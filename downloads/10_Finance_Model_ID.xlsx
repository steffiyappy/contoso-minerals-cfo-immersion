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mc:AlternateContent>
  <xr:revisionPtr revIDLastSave="126" documentId="11_080DAFF199F3B5CF63DFDECCB04A25180EB347B5" xr6:coauthVersionLast="47" xr6:coauthVersionMax="47" xr10:uidLastSave="{9C1564F0-4D2A-4FF4-B652-AE033503B91A}"/>
  <bookViews>
    <workbookView xWindow="-120" yWindow="-120" windowWidth="29040" windowHeight="17520" tabRatio="950" xr2:uid="{00000000-000D-0000-FFFF-FFFF00000000}"/>
  </bookViews>
  <sheets>
    <sheet name="Guide" sheetId="1" r:id="rId1"/>
    <sheet name="Model_Rules" sheetId="2" r:id="rId2"/>
    <sheet name="Assumptions" sheetId="3" r:id="rId3"/>
    <sheet name="Period_Status" sheetId="4" r:id="rId4"/>
    <sheet name="Settlement_Schedule" sheetId="5" r:id="rId5"/>
    <sheet name="Settlement_Bridge" sheetId="6" r:id="rId6"/>
    <sheet name="Budget" sheetId="7" r:id="rId7"/>
    <sheet name="Actuals_to_July" sheetId="8" r:id="rId8"/>
    <sheet name="Forecast_Drivers" sheetId="9" r:id="rId9"/>
    <sheet name="Gold_Stock" sheetId="10" r:id="rId10"/>
    <sheet name="Revenue" sheetId="11" r:id="rId11"/>
    <sheet name="Operating_Costs" sheetId="12" r:id="rId12"/>
    <sheet name="Capex" sheetId="13" r:id="rId13"/>
    <sheet name="Cashflow" sheetId="14" r:id="rId14"/>
    <sheet name="Management_View" sheetId="15" r:id="rId15"/>
    <sheet name="Controls" sheetId="16" r:id="rId16"/>
    <sheet name="Source_Index" sheetId="17" r:id="rId17"/>
    <sheet name="Change_Log" sheetId="18" r:id="rId18"/>
    <sheet name="Data_Dictionary" sheetId="19" r:id="rId19"/>
    <sheet name="Source_Detail" sheetId="20" r:id="rId20"/>
  </sheets>
  <definedNames>
    <definedName name="_xlnm.Print_Titles" localSheetId="7">Actuals_to_July!$1:$1</definedName>
    <definedName name="_xlnm.Print_Titles" localSheetId="2">Assumptions!$1:$1</definedName>
    <definedName name="_xlnm.Print_Titles" localSheetId="6">Budget!$1:$1</definedName>
    <definedName name="_xlnm.Print_Titles" localSheetId="12">Capex!$1:$1</definedName>
    <definedName name="_xlnm.Print_Titles" localSheetId="13">Cashflow!$1:$1</definedName>
    <definedName name="_xlnm.Print_Titles" localSheetId="17">Change_Log!$1:$1</definedName>
    <definedName name="_xlnm.Print_Titles" localSheetId="15">Controls!$1:$1</definedName>
    <definedName name="_xlnm.Print_Titles" localSheetId="18">Data_Dictionary!$1:$1</definedName>
    <definedName name="_xlnm.Print_Titles" localSheetId="8">Forecast_Drivers!$1:$1</definedName>
    <definedName name="_xlnm.Print_Titles" localSheetId="9">Gold_Stock!$1:$1</definedName>
    <definedName name="_xlnm.Print_Titles" localSheetId="0">Guide!$1:$1</definedName>
    <definedName name="_xlnm.Print_Titles" localSheetId="14">Management_View!$1:$1</definedName>
    <definedName name="_xlnm.Print_Titles" localSheetId="1">Model_Rules!$1:$1</definedName>
    <definedName name="_xlnm.Print_Titles" localSheetId="11">Operating_Costs!$1:$1</definedName>
    <definedName name="_xlnm.Print_Titles" localSheetId="3">Period_Status!$1:$1</definedName>
    <definedName name="_xlnm.Print_Titles" localSheetId="10">Revenue!$1:$1</definedName>
    <definedName name="_xlnm.Print_Titles" localSheetId="5">Settlement_Bridge!$1:$1</definedName>
    <definedName name="_xlnm.Print_Titles" localSheetId="4">Settlement_Schedule!$1:$1</definedName>
    <definedName name="_xlnm.Print_Titles" localSheetId="19">Source_Detail!$1:$1</definedName>
    <definedName name="_xlnm.Print_Titles" localSheetId="16">Source_Index!$1:$1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16" l="1"/>
  <c r="Q21" i="16"/>
  <c r="Q20" i="16"/>
  <c r="Q19" i="16"/>
  <c r="Q18" i="16"/>
  <c r="Q15" i="16"/>
  <c r="Q14" i="16"/>
  <c r="Q13" i="16"/>
  <c r="Q12" i="16"/>
  <c r="Q11" i="16"/>
  <c r="Q8" i="16"/>
  <c r="Q7" i="16"/>
  <c r="Q6" i="16"/>
  <c r="Q5" i="16"/>
  <c r="Q4" i="16"/>
  <c r="S22" i="15"/>
  <c r="O22" i="15"/>
  <c r="N22" i="15"/>
  <c r="M22" i="15"/>
  <c r="S21" i="15"/>
  <c r="O21" i="15"/>
  <c r="N21" i="15"/>
  <c r="M21" i="15"/>
  <c r="S20" i="15"/>
  <c r="O20" i="15"/>
  <c r="N20" i="15"/>
  <c r="M20" i="15"/>
  <c r="S19" i="15"/>
  <c r="O19" i="15"/>
  <c r="N19" i="15"/>
  <c r="M19" i="15"/>
  <c r="S18" i="15"/>
  <c r="O18" i="15"/>
  <c r="N18" i="15"/>
  <c r="M18" i="15"/>
  <c r="S17" i="15"/>
  <c r="O17" i="15"/>
  <c r="N17" i="15"/>
  <c r="M17" i="15"/>
  <c r="S16" i="15"/>
  <c r="O16" i="15"/>
  <c r="N16" i="15"/>
  <c r="M16" i="15"/>
  <c r="S15" i="15"/>
  <c r="O15" i="15"/>
  <c r="N15" i="15"/>
  <c r="M15" i="15"/>
  <c r="S14" i="15"/>
  <c r="O14" i="15"/>
  <c r="N14" i="15"/>
  <c r="M14" i="15"/>
  <c r="S13" i="15"/>
  <c r="O13" i="15"/>
  <c r="N13" i="15"/>
  <c r="M13" i="15"/>
  <c r="S12" i="15"/>
  <c r="O12" i="15"/>
  <c r="N12" i="15"/>
  <c r="M12" i="15"/>
  <c r="S11" i="15"/>
  <c r="O11" i="15"/>
  <c r="N11" i="15"/>
  <c r="M11" i="15"/>
  <c r="S10" i="15"/>
  <c r="O10" i="15"/>
  <c r="N10" i="15"/>
  <c r="M10" i="15"/>
  <c r="S9" i="15"/>
  <c r="O9" i="15"/>
  <c r="N9" i="15"/>
  <c r="M9" i="15"/>
  <c r="S8" i="15"/>
  <c r="O8" i="15"/>
  <c r="N8" i="15"/>
  <c r="M8" i="15"/>
  <c r="S7" i="15"/>
  <c r="O7" i="15"/>
  <c r="N7" i="15"/>
  <c r="M7" i="15"/>
  <c r="S6" i="15"/>
  <c r="O6" i="15"/>
  <c r="N6" i="15"/>
  <c r="M6" i="15"/>
  <c r="S5" i="15"/>
  <c r="O5" i="15"/>
  <c r="N5" i="15"/>
  <c r="M5" i="15"/>
  <c r="S4" i="15"/>
  <c r="O4" i="15"/>
  <c r="N4" i="15"/>
  <c r="M4" i="15"/>
  <c r="S3" i="15"/>
  <c r="O3" i="15"/>
  <c r="N3" i="15"/>
  <c r="M3" i="15"/>
  <c r="S2" i="15"/>
  <c r="O2" i="15"/>
  <c r="N2" i="15"/>
  <c r="M2" i="15"/>
  <c r="R17" i="14"/>
  <c r="N17" i="14"/>
  <c r="L17" i="14"/>
  <c r="G17" i="14"/>
  <c r="T17" i="16" s="1"/>
  <c r="F17" i="14"/>
  <c r="E17" i="14"/>
  <c r="R16" i="14"/>
  <c r="P16" i="14"/>
  <c r="N16" i="14"/>
  <c r="L16" i="14"/>
  <c r="J16" i="14"/>
  <c r="G16" i="14"/>
  <c r="T16" i="16" s="1"/>
  <c r="F16" i="14"/>
  <c r="E16" i="14"/>
  <c r="D16" i="14"/>
  <c r="R10" i="14"/>
  <c r="N10" i="14"/>
  <c r="L10" i="14"/>
  <c r="G10" i="14"/>
  <c r="T10" i="16" s="1"/>
  <c r="F10" i="14"/>
  <c r="E10" i="14"/>
  <c r="R9" i="14"/>
  <c r="P9" i="14"/>
  <c r="N9" i="14"/>
  <c r="L9" i="14"/>
  <c r="J9" i="14"/>
  <c r="G9" i="14"/>
  <c r="T9" i="16" s="1"/>
  <c r="F9" i="14"/>
  <c r="E9" i="14"/>
  <c r="D9" i="14"/>
  <c r="R3" i="14"/>
  <c r="N3" i="14"/>
  <c r="L3" i="14"/>
  <c r="G3" i="14"/>
  <c r="T3" i="16" s="1"/>
  <c r="F3" i="14"/>
  <c r="E3" i="14"/>
  <c r="R2" i="14"/>
  <c r="P2" i="14"/>
  <c r="N2" i="14"/>
  <c r="L2" i="14"/>
  <c r="J2" i="14"/>
  <c r="G2" i="14"/>
  <c r="T2" i="16" s="1"/>
  <c r="F2" i="14"/>
  <c r="E2" i="14"/>
  <c r="D2" i="14"/>
  <c r="F22" i="13"/>
  <c r="E22" i="13"/>
  <c r="D22" i="13"/>
  <c r="F21" i="13"/>
  <c r="E21" i="13"/>
  <c r="D21" i="13"/>
  <c r="F20" i="13"/>
  <c r="E20" i="13"/>
  <c r="D20" i="13"/>
  <c r="F19" i="13"/>
  <c r="E19" i="13"/>
  <c r="D19" i="13"/>
  <c r="F18" i="13"/>
  <c r="E18" i="13"/>
  <c r="D18" i="13"/>
  <c r="F17" i="13"/>
  <c r="E17" i="13"/>
  <c r="D17" i="13"/>
  <c r="F16" i="13"/>
  <c r="E16" i="13"/>
  <c r="D16" i="13"/>
  <c r="F15" i="13"/>
  <c r="E15" i="13"/>
  <c r="D15" i="13"/>
  <c r="F14" i="13"/>
  <c r="E14" i="13"/>
  <c r="D14" i="13"/>
  <c r="F13" i="13"/>
  <c r="E13" i="13"/>
  <c r="D13" i="13"/>
  <c r="F12" i="13"/>
  <c r="E12" i="13"/>
  <c r="D12" i="13"/>
  <c r="F11" i="13"/>
  <c r="E11" i="13"/>
  <c r="D11" i="13"/>
  <c r="F10" i="13"/>
  <c r="E10" i="13"/>
  <c r="D10" i="13"/>
  <c r="F9" i="13"/>
  <c r="E9" i="13"/>
  <c r="D9" i="13"/>
  <c r="F8" i="13"/>
  <c r="E8" i="13"/>
  <c r="D8" i="13"/>
  <c r="F7" i="13"/>
  <c r="E7" i="13"/>
  <c r="D7" i="13"/>
  <c r="F6" i="13"/>
  <c r="E6" i="13"/>
  <c r="D6" i="13"/>
  <c r="F5" i="13"/>
  <c r="E5" i="13"/>
  <c r="D5" i="13"/>
  <c r="F4" i="13"/>
  <c r="E4" i="13"/>
  <c r="D4" i="13"/>
  <c r="F3" i="13"/>
  <c r="E3" i="13"/>
  <c r="D3" i="13"/>
  <c r="F2" i="13"/>
  <c r="E2" i="13"/>
  <c r="D2" i="13"/>
  <c r="O22" i="12"/>
  <c r="M22" i="12"/>
  <c r="L22" i="12"/>
  <c r="K22" i="12"/>
  <c r="J22" i="12"/>
  <c r="I22" i="12"/>
  <c r="H22" i="12"/>
  <c r="G22" i="12"/>
  <c r="F22" i="12"/>
  <c r="E22" i="12"/>
  <c r="D22" i="12"/>
  <c r="O21" i="12"/>
  <c r="M21" i="12"/>
  <c r="L21" i="12"/>
  <c r="K21" i="12"/>
  <c r="J21" i="12"/>
  <c r="I21" i="12"/>
  <c r="H21" i="12"/>
  <c r="G21" i="12"/>
  <c r="F21" i="12"/>
  <c r="E21" i="12"/>
  <c r="D21" i="12"/>
  <c r="O20" i="12"/>
  <c r="M20" i="12"/>
  <c r="L20" i="12"/>
  <c r="K20" i="12"/>
  <c r="J20" i="12"/>
  <c r="I20" i="12"/>
  <c r="H20" i="12"/>
  <c r="G20" i="12"/>
  <c r="F20" i="12"/>
  <c r="E20" i="12"/>
  <c r="D20" i="12"/>
  <c r="O19" i="12"/>
  <c r="M19" i="12"/>
  <c r="L19" i="12"/>
  <c r="K19" i="12"/>
  <c r="J19" i="12"/>
  <c r="I19" i="12"/>
  <c r="H19" i="12"/>
  <c r="G19" i="12"/>
  <c r="F19" i="12"/>
  <c r="E19" i="12"/>
  <c r="D19" i="12"/>
  <c r="N19" i="12" s="1"/>
  <c r="O18" i="12"/>
  <c r="M18" i="12"/>
  <c r="L18" i="12"/>
  <c r="K18" i="12"/>
  <c r="J18" i="12"/>
  <c r="I18" i="12"/>
  <c r="H18" i="12"/>
  <c r="G18" i="12"/>
  <c r="F18" i="12"/>
  <c r="E18" i="12"/>
  <c r="D18" i="12"/>
  <c r="O17" i="12"/>
  <c r="M17" i="12"/>
  <c r="L17" i="12"/>
  <c r="K17" i="12"/>
  <c r="J17" i="12"/>
  <c r="I17" i="12"/>
  <c r="H17" i="12"/>
  <c r="G17" i="12"/>
  <c r="F17" i="12"/>
  <c r="E17" i="12"/>
  <c r="D17" i="12"/>
  <c r="O16" i="12"/>
  <c r="M16" i="12"/>
  <c r="L16" i="12"/>
  <c r="K16" i="12"/>
  <c r="J16" i="12"/>
  <c r="I16" i="12"/>
  <c r="H16" i="12"/>
  <c r="G16" i="12"/>
  <c r="F16" i="12"/>
  <c r="E16" i="12"/>
  <c r="D16" i="12"/>
  <c r="O15" i="12"/>
  <c r="M15" i="12"/>
  <c r="L15" i="12"/>
  <c r="K15" i="12"/>
  <c r="J15" i="12"/>
  <c r="I15" i="12"/>
  <c r="H15" i="12"/>
  <c r="G15" i="12"/>
  <c r="F15" i="12"/>
  <c r="E15" i="12"/>
  <c r="D15" i="12"/>
  <c r="O14" i="12"/>
  <c r="M14" i="12"/>
  <c r="L14" i="12"/>
  <c r="K14" i="12"/>
  <c r="J14" i="12"/>
  <c r="I14" i="12"/>
  <c r="H14" i="12"/>
  <c r="G14" i="12"/>
  <c r="F14" i="12"/>
  <c r="E14" i="12"/>
  <c r="D14" i="12"/>
  <c r="O13" i="12"/>
  <c r="M13" i="12"/>
  <c r="L13" i="12"/>
  <c r="K13" i="12"/>
  <c r="J13" i="12"/>
  <c r="I13" i="12"/>
  <c r="H13" i="12"/>
  <c r="G13" i="12"/>
  <c r="F13" i="12"/>
  <c r="E13" i="12"/>
  <c r="D13" i="12"/>
  <c r="N13" i="12" s="1"/>
  <c r="O12" i="12"/>
  <c r="M12" i="12"/>
  <c r="L12" i="12"/>
  <c r="K12" i="12"/>
  <c r="J12" i="12"/>
  <c r="I12" i="12"/>
  <c r="H12" i="12"/>
  <c r="G12" i="12"/>
  <c r="F12" i="12"/>
  <c r="E12" i="12"/>
  <c r="D12" i="12"/>
  <c r="O11" i="12"/>
  <c r="M11" i="12"/>
  <c r="L11" i="12"/>
  <c r="K11" i="12"/>
  <c r="J11" i="12"/>
  <c r="I11" i="12"/>
  <c r="H11" i="12"/>
  <c r="G11" i="12"/>
  <c r="F11" i="12"/>
  <c r="E11" i="12"/>
  <c r="D11" i="12"/>
  <c r="N11" i="12" s="1"/>
  <c r="O10" i="12"/>
  <c r="M10" i="12"/>
  <c r="L10" i="12"/>
  <c r="K10" i="12"/>
  <c r="J10" i="12"/>
  <c r="I10" i="12"/>
  <c r="H10" i="12"/>
  <c r="G10" i="12"/>
  <c r="F10" i="12"/>
  <c r="E10" i="12"/>
  <c r="D10" i="12"/>
  <c r="O9" i="12"/>
  <c r="M9" i="12"/>
  <c r="L9" i="12"/>
  <c r="K9" i="12"/>
  <c r="J9" i="12"/>
  <c r="I9" i="12"/>
  <c r="H9" i="12"/>
  <c r="G9" i="12"/>
  <c r="F9" i="12"/>
  <c r="E9" i="12"/>
  <c r="D9" i="12"/>
  <c r="O8" i="12"/>
  <c r="M8" i="12"/>
  <c r="L8" i="12"/>
  <c r="K8" i="12"/>
  <c r="J8" i="12"/>
  <c r="I8" i="12"/>
  <c r="H8" i="12"/>
  <c r="G8" i="12"/>
  <c r="F8" i="12"/>
  <c r="E8" i="12"/>
  <c r="D8" i="12"/>
  <c r="N8" i="12" s="1"/>
  <c r="O7" i="12"/>
  <c r="M7" i="12"/>
  <c r="L7" i="12"/>
  <c r="K7" i="12"/>
  <c r="J7" i="12"/>
  <c r="I7" i="12"/>
  <c r="H7" i="12"/>
  <c r="G7" i="12"/>
  <c r="F7" i="12"/>
  <c r="E7" i="12"/>
  <c r="D7" i="12"/>
  <c r="N7" i="12" s="1"/>
  <c r="O6" i="12"/>
  <c r="M6" i="12"/>
  <c r="L6" i="12"/>
  <c r="K6" i="12"/>
  <c r="J6" i="12"/>
  <c r="I6" i="12"/>
  <c r="H6" i="12"/>
  <c r="G6" i="12"/>
  <c r="F6" i="12"/>
  <c r="E6" i="12"/>
  <c r="D6" i="12"/>
  <c r="N6" i="12" s="1"/>
  <c r="O5" i="12"/>
  <c r="M5" i="12"/>
  <c r="L5" i="12"/>
  <c r="K5" i="12"/>
  <c r="J5" i="12"/>
  <c r="I5" i="12"/>
  <c r="H5" i="12"/>
  <c r="G5" i="12"/>
  <c r="F5" i="12"/>
  <c r="E5" i="12"/>
  <c r="D5" i="12"/>
  <c r="O4" i="12"/>
  <c r="M4" i="12"/>
  <c r="L4" i="12"/>
  <c r="K4" i="12"/>
  <c r="J4" i="12"/>
  <c r="I4" i="12"/>
  <c r="H4" i="12"/>
  <c r="G4" i="12"/>
  <c r="F4" i="12"/>
  <c r="E4" i="12"/>
  <c r="D4" i="12"/>
  <c r="N4" i="12" s="1"/>
  <c r="O3" i="12"/>
  <c r="M3" i="12"/>
  <c r="L3" i="12"/>
  <c r="K3" i="12"/>
  <c r="J3" i="12"/>
  <c r="I3" i="12"/>
  <c r="H3" i="12"/>
  <c r="G3" i="12"/>
  <c r="F3" i="12"/>
  <c r="E3" i="12"/>
  <c r="D3" i="12"/>
  <c r="O2" i="12"/>
  <c r="M2" i="12"/>
  <c r="L2" i="12"/>
  <c r="K2" i="12"/>
  <c r="J2" i="12"/>
  <c r="I2" i="12"/>
  <c r="H2" i="12"/>
  <c r="G2" i="12"/>
  <c r="F2" i="12"/>
  <c r="E2" i="12"/>
  <c r="D2" i="12"/>
  <c r="F22" i="11"/>
  <c r="E22" i="11"/>
  <c r="G22" i="11" s="1"/>
  <c r="F21" i="11"/>
  <c r="E21" i="11"/>
  <c r="G21" i="11" s="1"/>
  <c r="F20" i="11"/>
  <c r="E20" i="11"/>
  <c r="G20" i="11" s="1"/>
  <c r="F19" i="11"/>
  <c r="E19" i="11"/>
  <c r="G19" i="11" s="1"/>
  <c r="F18" i="11"/>
  <c r="E18" i="11"/>
  <c r="G18" i="11" s="1"/>
  <c r="I17" i="11"/>
  <c r="H17" i="11"/>
  <c r="G17" i="11"/>
  <c r="F17" i="11"/>
  <c r="E17" i="11"/>
  <c r="I16" i="11"/>
  <c r="H16" i="11"/>
  <c r="G16" i="11"/>
  <c r="F16" i="11"/>
  <c r="E16" i="11"/>
  <c r="F15" i="11"/>
  <c r="E15" i="11"/>
  <c r="G15" i="11" s="1"/>
  <c r="F14" i="11"/>
  <c r="E14" i="11"/>
  <c r="G14" i="11" s="1"/>
  <c r="F13" i="11"/>
  <c r="E13" i="11"/>
  <c r="G13" i="11" s="1"/>
  <c r="F12" i="11"/>
  <c r="E12" i="11"/>
  <c r="G12" i="11" s="1"/>
  <c r="G11" i="11"/>
  <c r="F11" i="11"/>
  <c r="E11" i="11"/>
  <c r="I10" i="11"/>
  <c r="H10" i="11"/>
  <c r="G10" i="11"/>
  <c r="F10" i="11"/>
  <c r="E10" i="11"/>
  <c r="I9" i="11"/>
  <c r="H9" i="11"/>
  <c r="G9" i="11"/>
  <c r="F9" i="11"/>
  <c r="E9" i="11"/>
  <c r="F8" i="11"/>
  <c r="E8" i="11"/>
  <c r="G8" i="11" s="1"/>
  <c r="F7" i="11"/>
  <c r="E7" i="11"/>
  <c r="G7" i="11" s="1"/>
  <c r="F6" i="11"/>
  <c r="E6" i="11"/>
  <c r="G6" i="11" s="1"/>
  <c r="F5" i="11"/>
  <c r="E5" i="11"/>
  <c r="G5" i="11" s="1"/>
  <c r="F4" i="11"/>
  <c r="E4" i="11"/>
  <c r="G4" i="11" s="1"/>
  <c r="I3" i="11"/>
  <c r="H3" i="11"/>
  <c r="G3" i="11"/>
  <c r="F3" i="11"/>
  <c r="E3" i="11"/>
  <c r="I2" i="11"/>
  <c r="H2" i="11"/>
  <c r="G2" i="11"/>
  <c r="F2" i="11"/>
  <c r="E2" i="11"/>
  <c r="G22" i="10"/>
  <c r="G21" i="10"/>
  <c r="D22" i="10" s="1"/>
  <c r="G20" i="10"/>
  <c r="D21" i="10" s="1"/>
  <c r="G19" i="10"/>
  <c r="D20" i="10" s="1"/>
  <c r="G18" i="10"/>
  <c r="D19" i="10" s="1"/>
  <c r="G17" i="10"/>
  <c r="D18" i="10" s="1"/>
  <c r="F17" i="10"/>
  <c r="G16" i="10"/>
  <c r="D17" i="10" s="1"/>
  <c r="F16" i="10"/>
  <c r="D16" i="10"/>
  <c r="G15" i="10"/>
  <c r="G14" i="10"/>
  <c r="D15" i="10" s="1"/>
  <c r="G13" i="10"/>
  <c r="D14" i="10" s="1"/>
  <c r="G12" i="10"/>
  <c r="D13" i="10" s="1"/>
  <c r="G11" i="10"/>
  <c r="D12" i="10" s="1"/>
  <c r="G10" i="10"/>
  <c r="D11" i="10" s="1"/>
  <c r="F10" i="10"/>
  <c r="G9" i="10"/>
  <c r="D10" i="10" s="1"/>
  <c r="F9" i="10"/>
  <c r="D9" i="10"/>
  <c r="G8" i="10"/>
  <c r="G7" i="10"/>
  <c r="D8" i="10" s="1"/>
  <c r="G6" i="10"/>
  <c r="D7" i="10" s="1"/>
  <c r="G5" i="10"/>
  <c r="D6" i="10" s="1"/>
  <c r="G4" i="10"/>
  <c r="D5" i="10" s="1"/>
  <c r="G3" i="10"/>
  <c r="D4" i="10" s="1"/>
  <c r="F3" i="10"/>
  <c r="G2" i="10"/>
  <c r="D3" i="10" s="1"/>
  <c r="F2" i="10"/>
  <c r="D2" i="10"/>
  <c r="H22" i="9"/>
  <c r="H21" i="9"/>
  <c r="H20" i="9"/>
  <c r="H19" i="9"/>
  <c r="H18" i="9"/>
  <c r="H17" i="9"/>
  <c r="E17" i="10" s="1"/>
  <c r="H16" i="9"/>
  <c r="E16" i="10" s="1"/>
  <c r="H15" i="9"/>
  <c r="H14" i="9"/>
  <c r="H13" i="9"/>
  <c r="H12" i="9"/>
  <c r="H11" i="9"/>
  <c r="H10" i="9"/>
  <c r="E10" i="10" s="1"/>
  <c r="H9" i="9"/>
  <c r="E9" i="10" s="1"/>
  <c r="H8" i="9"/>
  <c r="H7" i="9"/>
  <c r="H6" i="9"/>
  <c r="H5" i="9"/>
  <c r="H4" i="9"/>
  <c r="H3" i="9"/>
  <c r="E3" i="10" s="1"/>
  <c r="H2" i="9"/>
  <c r="E2" i="10" s="1"/>
  <c r="E4" i="6"/>
  <c r="C4" i="6"/>
  <c r="C3" i="6"/>
  <c r="C2" i="6"/>
  <c r="O4616" i="5"/>
  <c r="O4615" i="5"/>
  <c r="O4614" i="5"/>
  <c r="O4613" i="5"/>
  <c r="O4612" i="5"/>
  <c r="O4611" i="5"/>
  <c r="O4610" i="5"/>
  <c r="O4609" i="5"/>
  <c r="O4608" i="5"/>
  <c r="O4592" i="5"/>
  <c r="O4591" i="5"/>
  <c r="O4590" i="5"/>
  <c r="O4589" i="5"/>
  <c r="O4588" i="5"/>
  <c r="O4587" i="5"/>
  <c r="O4586" i="5"/>
  <c r="O4585" i="5"/>
  <c r="O4584" i="5"/>
  <c r="O4583" i="5"/>
  <c r="O4582" i="5"/>
  <c r="O4581" i="5"/>
  <c r="O4580" i="5"/>
  <c r="O4579" i="5"/>
  <c r="O4578" i="5"/>
  <c r="O4577" i="5"/>
  <c r="O4458" i="5"/>
  <c r="O4457" i="5"/>
  <c r="O4456" i="5"/>
  <c r="O4346" i="5"/>
  <c r="O4345" i="5"/>
  <c r="O4344" i="5"/>
  <c r="O4343" i="5"/>
  <c r="O4342" i="5"/>
  <c r="O4341" i="5"/>
  <c r="O4340" i="5"/>
  <c r="O4339" i="5"/>
  <c r="O4338" i="5"/>
  <c r="O4337" i="5"/>
  <c r="O4336" i="5"/>
  <c r="O4335" i="5"/>
  <c r="O4324" i="5"/>
  <c r="O4323" i="5"/>
  <c r="O4322" i="5"/>
  <c r="O4321" i="5"/>
  <c r="O4320" i="5"/>
  <c r="O4319" i="5"/>
  <c r="O4318" i="5"/>
  <c r="O4317" i="5"/>
  <c r="O4316" i="5"/>
  <c r="O4315" i="5"/>
  <c r="O4314" i="5"/>
  <c r="O4313" i="5"/>
  <c r="O4312" i="5"/>
  <c r="O4299" i="5"/>
  <c r="O4298" i="5"/>
  <c r="O4297" i="5"/>
  <c r="O4296" i="5"/>
  <c r="O4295" i="5"/>
  <c r="O4294" i="5"/>
  <c r="O4293" i="5"/>
  <c r="O4292" i="5"/>
  <c r="O4291" i="5"/>
  <c r="O4290" i="5"/>
  <c r="O4289" i="5"/>
  <c r="O4288" i="5"/>
  <c r="O4287" i="5"/>
  <c r="O4286" i="5"/>
  <c r="O4285" i="5"/>
  <c r="O4284" i="5"/>
  <c r="O4283" i="5"/>
  <c r="O4282" i="5"/>
  <c r="O4281" i="5"/>
  <c r="O4280" i="5"/>
  <c r="O4279" i="5"/>
  <c r="O4278" i="5"/>
  <c r="O4277" i="5"/>
  <c r="O4276" i="5"/>
  <c r="O4275" i="5"/>
  <c r="O4274" i="5"/>
  <c r="O4273" i="5"/>
  <c r="O4272" i="5"/>
  <c r="O4271" i="5"/>
  <c r="O4270" i="5"/>
  <c r="O4269" i="5"/>
  <c r="O4236" i="5"/>
  <c r="O4235" i="5"/>
  <c r="O4234" i="5"/>
  <c r="O4233" i="5"/>
  <c r="O4232" i="5"/>
  <c r="O4231" i="5"/>
  <c r="O4230" i="5"/>
  <c r="O4229" i="5"/>
  <c r="O4228" i="5"/>
  <c r="O4227" i="5"/>
  <c r="O4226" i="5"/>
  <c r="O4225" i="5"/>
  <c r="O4224" i="5"/>
  <c r="O4223" i="5"/>
  <c r="O4222" i="5"/>
  <c r="O4221" i="5"/>
  <c r="O4220" i="5"/>
  <c r="O4219" i="5"/>
  <c r="O4218" i="5"/>
  <c r="O4217" i="5"/>
  <c r="O4216" i="5"/>
  <c r="O4215" i="5"/>
  <c r="O4214" i="5"/>
  <c r="O4203" i="5"/>
  <c r="O4202" i="5"/>
  <c r="O4201" i="5"/>
  <c r="O4200" i="5"/>
  <c r="O4199" i="5"/>
  <c r="O4198" i="5"/>
  <c r="O4197" i="5"/>
  <c r="O4196" i="5"/>
  <c r="O4195" i="5"/>
  <c r="O4194" i="5"/>
  <c r="O4193" i="5"/>
  <c r="O4192" i="5"/>
  <c r="O4191" i="5"/>
  <c r="O4173" i="5"/>
  <c r="O4172" i="5"/>
  <c r="O4171" i="5"/>
  <c r="O4170" i="5"/>
  <c r="O4169" i="5"/>
  <c r="O4168" i="5"/>
  <c r="O4167" i="5"/>
  <c r="O4166" i="5"/>
  <c r="O4165" i="5"/>
  <c r="O4164" i="5"/>
  <c r="O4163" i="5"/>
  <c r="O4162" i="5"/>
  <c r="O4161" i="5"/>
  <c r="O4160" i="5"/>
  <c r="O4159" i="5"/>
  <c r="O4158" i="5"/>
  <c r="O4157" i="5"/>
  <c r="O4135" i="5"/>
  <c r="O4134" i="5"/>
  <c r="O4133" i="5"/>
  <c r="O4092" i="5"/>
  <c r="O4091" i="5"/>
  <c r="O4090" i="5"/>
  <c r="O4089" i="5"/>
  <c r="O4085" i="5"/>
  <c r="O4084" i="5"/>
  <c r="O4083" i="5"/>
  <c r="O4082" i="5"/>
  <c r="O4081" i="5"/>
  <c r="O4080" i="5"/>
  <c r="O4079" i="5"/>
  <c r="O4078" i="5"/>
  <c r="O4077" i="5"/>
  <c r="O4076" i="5"/>
  <c r="O4075" i="5"/>
  <c r="O4073" i="5"/>
  <c r="O4023" i="5"/>
  <c r="O4022" i="5"/>
  <c r="O4021" i="5"/>
  <c r="O4020" i="5"/>
  <c r="O4019" i="5"/>
  <c r="O4018" i="5"/>
  <c r="O4017" i="5"/>
  <c r="O4000" i="5"/>
  <c r="O3999" i="5"/>
  <c r="O3998" i="5"/>
  <c r="O3997" i="5"/>
  <c r="O3996" i="5"/>
  <c r="O3995" i="5"/>
  <c r="O3961" i="5"/>
  <c r="O3960" i="5"/>
  <c r="O3959" i="5"/>
  <c r="O3958" i="5"/>
  <c r="O3957" i="5"/>
  <c r="O3956" i="5"/>
  <c r="O3955" i="5"/>
  <c r="O3954" i="5"/>
  <c r="O3953" i="5"/>
  <c r="O3952" i="5"/>
  <c r="O3951" i="5"/>
  <c r="O3950" i="5"/>
  <c r="O3949" i="5"/>
  <c r="O3948" i="5"/>
  <c r="O3947" i="5"/>
  <c r="O3946" i="5"/>
  <c r="O3945" i="5"/>
  <c r="O3944" i="5"/>
  <c r="O3943" i="5"/>
  <c r="O3942" i="5"/>
  <c r="O3941" i="5"/>
  <c r="O3940" i="5"/>
  <c r="O3939" i="5"/>
  <c r="O3938" i="5"/>
  <c r="O3937" i="5"/>
  <c r="O3936" i="5"/>
  <c r="O3935" i="5"/>
  <c r="O3934" i="5"/>
  <c r="O3933" i="5"/>
  <c r="O3932" i="5"/>
  <c r="O3931" i="5"/>
  <c r="O3930" i="5"/>
  <c r="O3929" i="5"/>
  <c r="O3928" i="5"/>
  <c r="O3927" i="5"/>
  <c r="O3926" i="5"/>
  <c r="O3925" i="5"/>
  <c r="O3924" i="5"/>
  <c r="O3923" i="5"/>
  <c r="O3922" i="5"/>
  <c r="O3921" i="5"/>
  <c r="O3920" i="5"/>
  <c r="O3919" i="5"/>
  <c r="O3918" i="5"/>
  <c r="O3917" i="5"/>
  <c r="O3916" i="5"/>
  <c r="O3915" i="5"/>
  <c r="O3914" i="5"/>
  <c r="O3913" i="5"/>
  <c r="O3912" i="5"/>
  <c r="O3911" i="5"/>
  <c r="O3910" i="5"/>
  <c r="O3909" i="5"/>
  <c r="O3908" i="5"/>
  <c r="O3907" i="5"/>
  <c r="O3906" i="5"/>
  <c r="O3905" i="5"/>
  <c r="O3904" i="5"/>
  <c r="O3903" i="5"/>
  <c r="O3902" i="5"/>
  <c r="O3901" i="5"/>
  <c r="O3900" i="5"/>
  <c r="O3899" i="5"/>
  <c r="O3898" i="5"/>
  <c r="O3897" i="5"/>
  <c r="O3896" i="5"/>
  <c r="O3895" i="5"/>
  <c r="O3894" i="5"/>
  <c r="O3893" i="5"/>
  <c r="O3892" i="5"/>
  <c r="O3891" i="5"/>
  <c r="O3890" i="5"/>
  <c r="O3889" i="5"/>
  <c r="O3846" i="5"/>
  <c r="O3845" i="5"/>
  <c r="O3844" i="5"/>
  <c r="O3843" i="5"/>
  <c r="O3842" i="5"/>
  <c r="O3841" i="5"/>
  <c r="O3840" i="5"/>
  <c r="O3839" i="5"/>
  <c r="O3838" i="5"/>
  <c r="O3837" i="5"/>
  <c r="O3836" i="5"/>
  <c r="O3835" i="5"/>
  <c r="O3613" i="5"/>
  <c r="O3612" i="5"/>
  <c r="O3611" i="5"/>
  <c r="O3610" i="5"/>
  <c r="O3609" i="5"/>
  <c r="O3608" i="5"/>
  <c r="O3607" i="5"/>
  <c r="O3606" i="5"/>
  <c r="O3605" i="5"/>
  <c r="O3604" i="5"/>
  <c r="O3603" i="5"/>
  <c r="O3587" i="5"/>
  <c r="O3586" i="5"/>
  <c r="O3585" i="5"/>
  <c r="O3584" i="5"/>
  <c r="O3583" i="5"/>
  <c r="O3582" i="5"/>
  <c r="O3581" i="5"/>
  <c r="O3580" i="5"/>
  <c r="O3579" i="5"/>
  <c r="O3578" i="5"/>
  <c r="O3577" i="5"/>
  <c r="O3576" i="5"/>
  <c r="O3575" i="5"/>
  <c r="O3574" i="5"/>
  <c r="O3573" i="5"/>
  <c r="O3553" i="5"/>
  <c r="O3552" i="5"/>
  <c r="O3543" i="5"/>
  <c r="O3542" i="5"/>
  <c r="O3541" i="5"/>
  <c r="O3540" i="5"/>
  <c r="O3539" i="5"/>
  <c r="O3538" i="5"/>
  <c r="O3537" i="5"/>
  <c r="O3536" i="5"/>
  <c r="O3535" i="5"/>
  <c r="O3534" i="5"/>
  <c r="O3533" i="5"/>
  <c r="O3532" i="5"/>
  <c r="O3531" i="5"/>
  <c r="O3530" i="5"/>
  <c r="O3529" i="5"/>
  <c r="O3528" i="5"/>
  <c r="O3527" i="5"/>
  <c r="O3526" i="5"/>
  <c r="O3525" i="5"/>
  <c r="O3524" i="5"/>
  <c r="O3523" i="5"/>
  <c r="O3522" i="5"/>
  <c r="O3521" i="5"/>
  <c r="O3520" i="5"/>
  <c r="O3519" i="5"/>
  <c r="O3518" i="5"/>
  <c r="O3517" i="5"/>
  <c r="O3516" i="5"/>
  <c r="O3515" i="5"/>
  <c r="O3514" i="5"/>
  <c r="O3513" i="5"/>
  <c r="O3512" i="5"/>
  <c r="O3511" i="5"/>
  <c r="O3510" i="5"/>
  <c r="O3509" i="5"/>
  <c r="O3508" i="5"/>
  <c r="O3507" i="5"/>
  <c r="O3506" i="5"/>
  <c r="O3505" i="5"/>
  <c r="O3504" i="5"/>
  <c r="O3503" i="5"/>
  <c r="O3502" i="5"/>
  <c r="O3501" i="5"/>
  <c r="O3500" i="5"/>
  <c r="O3499" i="5"/>
  <c r="O3498" i="5"/>
  <c r="O3497" i="5"/>
  <c r="O3496" i="5"/>
  <c r="O3495" i="5"/>
  <c r="O3494" i="5"/>
  <c r="O3493" i="5"/>
  <c r="O3471" i="5"/>
  <c r="O3470" i="5"/>
  <c r="O3469" i="5"/>
  <c r="O3468" i="5"/>
  <c r="O3467" i="5"/>
  <c r="O3466" i="5"/>
  <c r="O3465" i="5"/>
  <c r="O3464" i="5"/>
  <c r="O3463" i="5"/>
  <c r="O3462" i="5"/>
  <c r="O3461" i="5"/>
  <c r="O3460" i="5"/>
  <c r="O3459" i="5"/>
  <c r="O3404" i="5"/>
  <c r="O3403" i="5"/>
  <c r="O3402" i="5"/>
  <c r="O3401" i="5"/>
  <c r="O3400" i="5"/>
  <c r="O3399" i="5"/>
  <c r="O3398" i="5"/>
  <c r="O3397" i="5"/>
  <c r="O3396" i="5"/>
  <c r="O3395" i="5"/>
  <c r="O3394" i="5"/>
  <c r="O3393" i="5"/>
  <c r="O3392" i="5"/>
  <c r="O3391" i="5"/>
  <c r="O3390" i="5"/>
  <c r="O3389" i="5"/>
  <c r="O3388" i="5"/>
  <c r="O3387" i="5"/>
  <c r="O3386" i="5"/>
  <c r="O3385" i="5"/>
  <c r="O3384" i="5"/>
  <c r="O3383" i="5"/>
  <c r="O3382" i="5"/>
  <c r="O3381" i="5"/>
  <c r="O3380" i="5"/>
  <c r="O3379" i="5"/>
  <c r="O3378" i="5"/>
  <c r="O3377" i="5"/>
  <c r="O3376" i="5"/>
  <c r="O3375" i="5"/>
  <c r="O3312" i="5"/>
  <c r="O3311" i="5"/>
  <c r="O3310" i="5"/>
  <c r="O3309" i="5"/>
  <c r="O3308" i="5"/>
  <c r="O3294" i="5"/>
  <c r="O3293" i="5"/>
  <c r="O3292" i="5"/>
  <c r="O3291" i="5"/>
  <c r="O3290" i="5"/>
  <c r="O3289" i="5"/>
  <c r="O3288" i="5"/>
  <c r="O3264" i="5"/>
  <c r="O3263" i="5"/>
  <c r="O3262" i="5"/>
  <c r="O3261" i="5"/>
  <c r="O3260" i="5"/>
  <c r="O3259" i="5"/>
  <c r="O3247" i="5"/>
  <c r="O3246" i="5"/>
  <c r="O3207" i="5"/>
  <c r="O3206" i="5"/>
  <c r="O3205" i="5"/>
  <c r="O3204" i="5"/>
  <c r="O3203" i="5"/>
  <c r="O3202" i="5"/>
  <c r="O3201" i="5"/>
  <c r="O3200" i="5"/>
  <c r="O3199" i="5"/>
  <c r="O3198" i="5"/>
  <c r="O3197" i="5"/>
  <c r="O3196" i="5"/>
  <c r="O3195" i="5"/>
  <c r="O3194" i="5"/>
  <c r="O3193" i="5"/>
  <c r="O3192" i="5"/>
  <c r="O3191" i="5"/>
  <c r="O3190" i="5"/>
  <c r="O3189" i="5"/>
  <c r="O3188" i="5"/>
  <c r="O3187" i="5"/>
  <c r="O3186" i="5"/>
  <c r="O3185" i="5"/>
  <c r="O3184" i="5"/>
  <c r="O3183" i="5"/>
  <c r="O3182" i="5"/>
  <c r="O3181" i="5"/>
  <c r="O3180" i="5"/>
  <c r="O3179" i="5"/>
  <c r="O3178" i="5"/>
  <c r="O3177" i="5"/>
  <c r="O3176" i="5"/>
  <c r="O3175" i="5"/>
  <c r="O3174" i="5"/>
  <c r="O3173" i="5"/>
  <c r="O3172" i="5"/>
  <c r="O3171" i="5"/>
  <c r="O3170" i="5"/>
  <c r="O3169" i="5"/>
  <c r="O3168" i="5"/>
  <c r="O3167" i="5"/>
  <c r="O3166" i="5"/>
  <c r="O3165" i="5"/>
  <c r="O3164" i="5"/>
  <c r="O3163" i="5"/>
  <c r="O3162" i="5"/>
  <c r="O3161" i="5"/>
  <c r="O3160" i="5"/>
  <c r="O3159" i="5"/>
  <c r="O3158" i="5"/>
  <c r="O3157" i="5"/>
  <c r="O3156" i="5"/>
  <c r="O3155" i="5"/>
  <c r="O3154" i="5"/>
  <c r="O3153" i="5"/>
  <c r="O3152" i="5"/>
  <c r="O3151" i="5"/>
  <c r="O3150" i="5"/>
  <c r="O2893" i="5"/>
  <c r="O2892" i="5"/>
  <c r="O2891" i="5"/>
  <c r="O2890" i="5"/>
  <c r="O2889" i="5"/>
  <c r="O2888" i="5"/>
  <c r="O2887" i="5"/>
  <c r="O2886" i="5"/>
  <c r="O2885" i="5"/>
  <c r="O2884" i="5"/>
  <c r="O2883" i="5"/>
  <c r="O2882" i="5"/>
  <c r="O2881" i="5"/>
  <c r="O2880" i="5"/>
  <c r="O2879" i="5"/>
  <c r="O2878" i="5"/>
  <c r="O2877" i="5"/>
  <c r="O2876" i="5"/>
  <c r="O2875" i="5"/>
  <c r="O2874" i="5"/>
  <c r="O2873" i="5"/>
  <c r="O2872" i="5"/>
  <c r="O2871" i="5"/>
  <c r="O2870" i="5"/>
  <c r="O2869" i="5"/>
  <c r="O2868" i="5"/>
  <c r="O2867" i="5"/>
  <c r="O2866" i="5"/>
  <c r="O2865" i="5"/>
  <c r="O2864" i="5"/>
  <c r="O2863" i="5"/>
  <c r="O2862" i="5"/>
  <c r="O2861" i="5"/>
  <c r="O2860" i="5"/>
  <c r="O2859" i="5"/>
  <c r="O2858" i="5"/>
  <c r="O2857" i="5"/>
  <c r="O2856" i="5"/>
  <c r="O2855" i="5"/>
  <c r="O2854" i="5"/>
  <c r="O2853" i="5"/>
  <c r="O2852" i="5"/>
  <c r="O2851" i="5"/>
  <c r="O2850" i="5"/>
  <c r="O2849" i="5"/>
  <c r="O2848" i="5"/>
  <c r="O2847" i="5"/>
  <c r="O2846" i="5"/>
  <c r="O2845" i="5"/>
  <c r="O2833" i="5"/>
  <c r="O2832" i="5"/>
  <c r="O2831" i="5"/>
  <c r="O2830" i="5"/>
  <c r="O2829" i="5"/>
  <c r="O2828" i="5"/>
  <c r="O2827" i="5"/>
  <c r="O2796" i="5"/>
  <c r="O2795" i="5"/>
  <c r="O2794" i="5"/>
  <c r="O2793" i="5"/>
  <c r="O2781" i="5"/>
  <c r="O2780" i="5"/>
  <c r="O2779" i="5"/>
  <c r="O2778" i="5"/>
  <c r="O2777" i="5"/>
  <c r="O2776" i="5"/>
  <c r="O2775" i="5"/>
  <c r="O2774" i="5"/>
  <c r="O2773" i="5"/>
  <c r="O2772" i="5"/>
  <c r="O2771" i="5"/>
  <c r="O2770" i="5"/>
  <c r="O2769" i="5"/>
  <c r="O2729" i="5"/>
  <c r="O2727" i="5"/>
  <c r="O2726" i="5"/>
  <c r="O2725" i="5"/>
  <c r="O2724" i="5"/>
  <c r="O2723" i="5"/>
  <c r="O2722" i="5"/>
  <c r="O2721" i="5"/>
  <c r="O2720" i="5"/>
  <c r="O2719" i="5"/>
  <c r="O2718" i="5"/>
  <c r="O2716" i="5"/>
  <c r="O2715" i="5"/>
  <c r="O2713" i="5"/>
  <c r="O2712" i="5"/>
  <c r="O2711" i="5"/>
  <c r="O2710" i="5"/>
  <c r="O2709" i="5"/>
  <c r="O2708" i="5"/>
  <c r="O2670" i="5"/>
  <c r="O2669" i="5"/>
  <c r="O2668" i="5"/>
  <c r="O2667" i="5"/>
  <c r="O2666" i="5"/>
  <c r="O2665" i="5"/>
  <c r="O2624" i="5"/>
  <c r="O2623" i="5"/>
  <c r="O2622" i="5"/>
  <c r="O2621" i="5"/>
  <c r="O2620" i="5"/>
  <c r="O2619" i="5"/>
  <c r="O2618" i="5"/>
  <c r="O2617" i="5"/>
  <c r="O2616" i="5"/>
  <c r="O2615" i="5"/>
  <c r="O2614" i="5"/>
  <c r="O2613" i="5"/>
  <c r="O2612" i="5"/>
  <c r="O2611" i="5"/>
  <c r="O2610" i="5"/>
  <c r="O2609" i="5"/>
  <c r="O2608" i="5"/>
  <c r="O2607" i="5"/>
  <c r="O2606" i="5"/>
  <c r="O2605" i="5"/>
  <c r="O2604" i="5"/>
  <c r="O2603" i="5"/>
  <c r="O2602" i="5"/>
  <c r="O2601" i="5"/>
  <c r="O2600" i="5"/>
  <c r="O2599" i="5"/>
  <c r="O2598" i="5"/>
  <c r="O2597" i="5"/>
  <c r="O2596" i="5"/>
  <c r="O2595" i="5"/>
  <c r="O2594" i="5"/>
  <c r="O2593" i="5"/>
  <c r="O2592" i="5"/>
  <c r="O2591" i="5"/>
  <c r="O2590" i="5"/>
  <c r="O2589" i="5"/>
  <c r="O2588" i="5"/>
  <c r="O2587" i="5"/>
  <c r="O2586" i="5"/>
  <c r="O2585" i="5"/>
  <c r="O2584" i="5"/>
  <c r="O2583" i="5"/>
  <c r="O2582" i="5"/>
  <c r="O2581" i="5"/>
  <c r="O2580" i="5"/>
  <c r="O2579" i="5"/>
  <c r="O2578" i="5"/>
  <c r="O2577" i="5"/>
  <c r="O2576" i="5"/>
  <c r="O2575" i="5"/>
  <c r="O2574" i="5"/>
  <c r="O2573" i="5"/>
  <c r="O2572" i="5"/>
  <c r="O2571" i="5"/>
  <c r="O2570" i="5"/>
  <c r="O2569" i="5"/>
  <c r="O2568" i="5"/>
  <c r="O2567" i="5"/>
  <c r="O2566" i="5"/>
  <c r="O2565" i="5"/>
  <c r="O2564" i="5"/>
  <c r="O2563" i="5"/>
  <c r="O2562" i="5"/>
  <c r="O2561" i="5"/>
  <c r="O2560" i="5"/>
  <c r="O2559" i="5"/>
  <c r="O2558" i="5"/>
  <c r="O2557" i="5"/>
  <c r="O2556" i="5"/>
  <c r="O2555" i="5"/>
  <c r="O2554" i="5"/>
  <c r="O2553" i="5"/>
  <c r="O2552" i="5"/>
  <c r="O2551" i="5"/>
  <c r="O2550" i="5"/>
  <c r="O2549" i="5"/>
  <c r="O2548" i="5"/>
  <c r="O2547" i="5"/>
  <c r="O2546" i="5"/>
  <c r="O2545" i="5"/>
  <c r="O2544" i="5"/>
  <c r="O2543" i="5"/>
  <c r="O2542" i="5"/>
  <c r="O2541" i="5"/>
  <c r="O2463" i="5"/>
  <c r="O2462" i="5"/>
  <c r="O2461" i="5"/>
  <c r="O2460" i="5"/>
  <c r="O2459" i="5"/>
  <c r="O2458" i="5"/>
  <c r="O2457" i="5"/>
  <c r="O2456" i="5"/>
  <c r="O2455" i="5"/>
  <c r="O2454" i="5"/>
  <c r="O2453" i="5"/>
  <c r="O2452" i="5"/>
  <c r="O2451" i="5"/>
  <c r="O2450" i="5"/>
  <c r="O2449" i="5"/>
  <c r="O2448" i="5"/>
  <c r="O2447" i="5"/>
  <c r="O2446" i="5"/>
  <c r="O2445" i="5"/>
  <c r="O2444" i="5"/>
  <c r="O2443" i="5"/>
  <c r="O2442" i="5"/>
  <c r="O2441" i="5"/>
  <c r="O2440" i="5"/>
  <c r="O2439" i="5"/>
  <c r="O2438" i="5"/>
  <c r="O2437" i="5"/>
  <c r="O2397" i="5"/>
  <c r="O2396" i="5"/>
  <c r="O2395" i="5"/>
  <c r="O2394" i="5"/>
  <c r="O2393" i="5"/>
  <c r="O2392" i="5"/>
  <c r="O2203" i="5"/>
  <c r="O2202" i="5"/>
  <c r="O2201" i="5"/>
  <c r="O2200" i="5"/>
  <c r="O2199" i="5"/>
  <c r="O2198" i="5"/>
  <c r="O2197" i="5"/>
  <c r="O2196" i="5"/>
  <c r="O2195" i="5"/>
  <c r="O2194" i="5"/>
  <c r="O2193" i="5"/>
  <c r="O2192" i="5"/>
  <c r="O2191" i="5"/>
  <c r="O2190" i="5"/>
  <c r="O2189" i="5"/>
  <c r="O2188" i="5"/>
  <c r="O2187" i="5"/>
  <c r="O2186" i="5"/>
  <c r="O2185" i="5"/>
  <c r="O2184" i="5"/>
  <c r="O2183" i="5"/>
  <c r="O2182" i="5"/>
  <c r="O2181" i="5"/>
  <c r="O2180" i="5"/>
  <c r="O2179" i="5"/>
  <c r="O2178" i="5"/>
  <c r="O2177" i="5"/>
  <c r="O2176" i="5"/>
  <c r="O2175" i="5"/>
  <c r="O2174" i="5"/>
  <c r="O2173" i="5"/>
  <c r="O2172" i="5"/>
  <c r="O2171" i="5"/>
  <c r="O2170" i="5"/>
  <c r="O2169" i="5"/>
  <c r="O2168" i="5"/>
  <c r="O2167" i="5"/>
  <c r="O2166" i="5"/>
  <c r="O2165" i="5"/>
  <c r="O2164" i="5"/>
  <c r="O2163" i="5"/>
  <c r="O2162" i="5"/>
  <c r="O2161" i="5"/>
  <c r="O2160" i="5"/>
  <c r="O2159" i="5"/>
  <c r="O2158" i="5"/>
  <c r="O2157" i="5"/>
  <c r="O2156" i="5"/>
  <c r="O2155" i="5"/>
  <c r="O2154" i="5"/>
  <c r="O2153" i="5"/>
  <c r="O2152" i="5"/>
  <c r="O2151" i="5"/>
  <c r="O2150" i="5"/>
  <c r="O2149" i="5"/>
  <c r="O2148" i="5"/>
  <c r="O2147" i="5"/>
  <c r="O2146" i="5"/>
  <c r="O2145" i="5"/>
  <c r="O2144" i="5"/>
  <c r="O2143" i="5"/>
  <c r="O2142" i="5"/>
  <c r="O2141" i="5"/>
  <c r="O2140" i="5"/>
  <c r="O2139" i="5"/>
  <c r="O2138" i="5"/>
  <c r="O2137" i="5"/>
  <c r="O2136" i="5"/>
  <c r="O2135" i="5"/>
  <c r="O2134" i="5"/>
  <c r="O2133" i="5"/>
  <c r="O2132" i="5"/>
  <c r="O2131" i="5"/>
  <c r="O2130" i="5"/>
  <c r="O2129" i="5"/>
  <c r="O2128" i="5"/>
  <c r="O2127" i="5"/>
  <c r="O2126" i="5"/>
  <c r="O2125" i="5"/>
  <c r="O2124" i="5"/>
  <c r="O2123" i="5"/>
  <c r="O2122" i="5"/>
  <c r="O2121" i="5"/>
  <c r="O2120" i="5"/>
  <c r="O2119" i="5"/>
  <c r="O2118" i="5"/>
  <c r="O2117" i="5"/>
  <c r="O2116" i="5"/>
  <c r="O2115" i="5"/>
  <c r="O2107" i="5"/>
  <c r="O2106" i="5"/>
  <c r="O2105" i="5"/>
  <c r="O2104" i="5"/>
  <c r="O2103" i="5"/>
  <c r="O2102" i="5"/>
  <c r="O2101" i="5"/>
  <c r="O2099" i="5"/>
  <c r="O2092" i="5"/>
  <c r="O2091" i="5"/>
  <c r="O2090" i="5"/>
  <c r="O2046" i="5"/>
  <c r="O2045" i="5"/>
  <c r="O2043" i="5"/>
  <c r="O2042" i="5"/>
  <c r="O2041" i="5"/>
  <c r="O2040" i="5"/>
  <c r="O2039" i="5"/>
  <c r="O1899" i="5"/>
  <c r="O1898" i="5"/>
  <c r="O1897" i="5"/>
  <c r="O1896" i="5"/>
  <c r="O1895" i="5"/>
  <c r="O1894" i="5"/>
  <c r="O1893" i="5"/>
  <c r="O1892" i="5"/>
  <c r="O1891" i="5"/>
  <c r="O1890" i="5"/>
  <c r="O1889" i="5"/>
  <c r="O1888" i="5"/>
  <c r="O1887" i="5"/>
  <c r="O1886" i="5"/>
  <c r="O1885" i="5"/>
  <c r="O1884" i="5"/>
  <c r="O1883" i="5"/>
  <c r="O1882" i="5"/>
  <c r="O1881" i="5"/>
  <c r="O1880" i="5"/>
  <c r="O1879" i="5"/>
  <c r="O1878" i="5"/>
  <c r="O1877" i="5"/>
  <c r="O1876" i="5"/>
  <c r="O1875" i="5"/>
  <c r="O1874" i="5"/>
  <c r="O1873" i="5"/>
  <c r="O1872" i="5"/>
  <c r="O1871" i="5"/>
  <c r="O1870" i="5"/>
  <c r="O1869" i="5"/>
  <c r="O1868" i="5"/>
  <c r="O1867" i="5"/>
  <c r="O1866" i="5"/>
  <c r="O1865" i="5"/>
  <c r="O1864" i="5"/>
  <c r="O1863" i="5"/>
  <c r="O1862" i="5"/>
  <c r="O1861" i="5"/>
  <c r="O1860" i="5"/>
  <c r="O1859" i="5"/>
  <c r="O1858" i="5"/>
  <c r="O1857" i="5"/>
  <c r="O1856" i="5"/>
  <c r="O1855" i="5"/>
  <c r="O1854" i="5"/>
  <c r="O1853" i="5"/>
  <c r="O1852" i="5"/>
  <c r="O1851" i="5"/>
  <c r="O1850" i="5"/>
  <c r="O1849" i="5"/>
  <c r="O1848" i="5"/>
  <c r="O1847" i="5"/>
  <c r="O1846" i="5"/>
  <c r="O1845" i="5"/>
  <c r="O1844" i="5"/>
  <c r="O1843" i="5"/>
  <c r="O1842" i="5"/>
  <c r="O1841" i="5"/>
  <c r="O1840" i="5"/>
  <c r="O1839" i="5"/>
  <c r="O1838" i="5"/>
  <c r="O1837" i="5"/>
  <c r="O1836" i="5"/>
  <c r="O1835" i="5"/>
  <c r="O1834" i="5"/>
  <c r="O1833" i="5"/>
  <c r="O1832" i="5"/>
  <c r="O1831" i="5"/>
  <c r="O1830" i="5"/>
  <c r="O1829" i="5"/>
  <c r="O1828" i="5"/>
  <c r="O1827" i="5"/>
  <c r="O1826" i="5"/>
  <c r="O1825" i="5"/>
  <c r="O1824" i="5"/>
  <c r="O1823" i="5"/>
  <c r="O1822" i="5"/>
  <c r="O1821" i="5"/>
  <c r="O1820" i="5"/>
  <c r="O1819" i="5"/>
  <c r="O1818" i="5"/>
  <c r="O1817" i="5"/>
  <c r="O1816" i="5"/>
  <c r="O1815" i="5"/>
  <c r="O1814" i="5"/>
  <c r="O1813" i="5"/>
  <c r="O1812" i="5"/>
  <c r="O1811" i="5"/>
  <c r="O1810" i="5"/>
  <c r="O1809" i="5"/>
  <c r="O1808" i="5"/>
  <c r="O1807" i="5"/>
  <c r="O1806" i="5"/>
  <c r="O1805" i="5"/>
  <c r="O1804" i="5"/>
  <c r="O1803" i="5"/>
  <c r="O1802" i="5"/>
  <c r="O1801" i="5"/>
  <c r="O1800" i="5"/>
  <c r="O1799" i="5"/>
  <c r="O1798" i="5"/>
  <c r="O1797" i="5"/>
  <c r="O1796" i="5"/>
  <c r="O1795" i="5"/>
  <c r="O1794" i="5"/>
  <c r="O1793" i="5"/>
  <c r="O1792" i="5"/>
  <c r="O1791" i="5"/>
  <c r="O1790" i="5"/>
  <c r="O1789" i="5"/>
  <c r="O1788" i="5"/>
  <c r="O1787" i="5"/>
  <c r="O1786" i="5"/>
  <c r="O1785" i="5"/>
  <c r="O1784" i="5"/>
  <c r="O1783" i="5"/>
  <c r="O1782" i="5"/>
  <c r="O1781" i="5"/>
  <c r="O1779" i="5"/>
  <c r="O1778" i="5"/>
  <c r="O1777" i="5"/>
  <c r="O1776" i="5"/>
  <c r="O1775" i="5"/>
  <c r="O1774" i="5"/>
  <c r="O1773" i="5"/>
  <c r="O1772" i="5"/>
  <c r="O1771" i="5"/>
  <c r="O1768" i="5"/>
  <c r="O1767" i="5"/>
  <c r="O1766" i="5"/>
  <c r="O1765" i="5"/>
  <c r="O1764" i="5"/>
  <c r="O1717" i="5"/>
  <c r="O1716" i="5"/>
  <c r="O1715" i="5"/>
  <c r="O1714" i="5"/>
  <c r="O1713" i="5"/>
  <c r="O1712" i="5"/>
  <c r="O1711" i="5"/>
  <c r="O1684" i="5"/>
  <c r="O1683" i="5"/>
  <c r="O1682" i="5"/>
  <c r="O1479" i="5"/>
  <c r="O1478" i="5"/>
  <c r="O1477" i="5"/>
  <c r="O1476" i="5"/>
  <c r="O1475" i="5"/>
  <c r="O1474" i="5"/>
  <c r="O1473" i="5"/>
  <c r="O1472" i="5"/>
  <c r="O1471" i="5"/>
  <c r="O1470" i="5"/>
  <c r="O1469" i="5"/>
  <c r="O1468" i="5"/>
  <c r="O1467" i="5"/>
  <c r="O1466" i="5"/>
  <c r="O1465" i="5"/>
  <c r="O1464" i="5"/>
  <c r="O1463" i="5"/>
  <c r="O1462" i="5"/>
  <c r="O1461" i="5"/>
  <c r="O1460" i="5"/>
  <c r="O1459" i="5"/>
  <c r="O1458" i="5"/>
  <c r="O1457" i="5"/>
  <c r="O1456" i="5"/>
  <c r="O1455" i="5"/>
  <c r="O1454" i="5"/>
  <c r="O1453" i="5"/>
  <c r="O1452" i="5"/>
  <c r="O1451" i="5"/>
  <c r="O1450" i="5"/>
  <c r="O1449" i="5"/>
  <c r="O1448" i="5"/>
  <c r="O1447" i="5"/>
  <c r="O1446" i="5"/>
  <c r="O1445" i="5"/>
  <c r="O1444" i="5"/>
  <c r="O1443" i="5"/>
  <c r="O1442" i="5"/>
  <c r="O1441" i="5"/>
  <c r="O1440" i="5"/>
  <c r="O1439" i="5"/>
  <c r="O1438" i="5"/>
  <c r="O1437" i="5"/>
  <c r="O1436" i="5"/>
  <c r="O1435" i="5"/>
  <c r="O1434" i="5"/>
  <c r="O1433" i="5"/>
  <c r="O1432" i="5"/>
  <c r="O1431" i="5"/>
  <c r="O1430" i="5"/>
  <c r="O1429" i="5"/>
  <c r="O1428" i="5"/>
  <c r="O1427" i="5"/>
  <c r="O1426" i="5"/>
  <c r="O1425" i="5"/>
  <c r="O1424" i="5"/>
  <c r="O1423" i="5"/>
  <c r="O1422" i="5"/>
  <c r="O1421" i="5"/>
  <c r="O1420" i="5"/>
  <c r="O1419" i="5"/>
  <c r="O1418" i="5"/>
  <c r="O1417" i="5"/>
  <c r="O1416" i="5"/>
  <c r="O1415" i="5"/>
  <c r="O1414" i="5"/>
  <c r="O1413" i="5"/>
  <c r="O1412" i="5"/>
  <c r="O1411" i="5"/>
  <c r="O1410" i="5"/>
  <c r="O1409" i="5"/>
  <c r="O1408" i="5"/>
  <c r="O1407" i="5"/>
  <c r="O1406" i="5"/>
  <c r="O1405" i="5"/>
  <c r="O1404" i="5"/>
  <c r="O1403" i="5"/>
  <c r="O1402" i="5"/>
  <c r="O1401" i="5"/>
  <c r="O1400" i="5"/>
  <c r="O1399" i="5"/>
  <c r="O1398" i="5"/>
  <c r="O1397" i="5"/>
  <c r="O1396" i="5"/>
  <c r="O1395" i="5"/>
  <c r="O1394" i="5"/>
  <c r="O1393" i="5"/>
  <c r="O1392" i="5"/>
  <c r="O1391" i="5"/>
  <c r="O1390" i="5"/>
  <c r="O1389" i="5"/>
  <c r="O1388" i="5"/>
  <c r="O1387" i="5"/>
  <c r="O1386" i="5"/>
  <c r="O1385" i="5"/>
  <c r="O1384" i="5"/>
  <c r="O1383" i="5"/>
  <c r="O1382" i="5"/>
  <c r="O1381" i="5"/>
  <c r="O1380" i="5"/>
  <c r="O1379" i="5"/>
  <c r="O1378" i="5"/>
  <c r="O1377" i="5"/>
  <c r="O1375" i="5"/>
  <c r="O1374" i="5"/>
  <c r="O1368" i="5"/>
  <c r="O1367" i="5"/>
  <c r="O1366" i="5"/>
  <c r="O1365" i="5"/>
  <c r="O1364" i="5"/>
  <c r="O1363" i="5"/>
  <c r="O1362" i="5"/>
  <c r="O1361" i="5"/>
  <c r="O1359" i="5"/>
  <c r="O1351" i="5"/>
  <c r="O1350" i="5"/>
  <c r="O1349" i="5"/>
  <c r="O1298" i="5"/>
  <c r="O1297" i="5"/>
  <c r="O1296" i="5"/>
  <c r="O1295" i="5"/>
  <c r="O1294" i="5"/>
  <c r="O1227" i="5"/>
  <c r="O1226" i="5"/>
  <c r="O1225" i="5"/>
  <c r="O1224" i="5"/>
  <c r="O1223" i="5"/>
  <c r="O1222" i="5"/>
  <c r="O1221" i="5"/>
  <c r="O1220" i="5"/>
  <c r="O1219" i="5"/>
  <c r="O1218" i="5"/>
  <c r="O1217" i="5"/>
  <c r="O1216" i="5"/>
  <c r="O1215" i="5"/>
  <c r="O1214" i="5"/>
  <c r="O1213" i="5"/>
  <c r="O1212" i="5"/>
  <c r="O1211" i="5"/>
  <c r="O1210" i="5"/>
  <c r="O1209" i="5"/>
  <c r="O1208" i="5"/>
  <c r="O1207" i="5"/>
  <c r="O1206" i="5"/>
  <c r="O1205" i="5"/>
  <c r="O1204" i="5"/>
  <c r="O1203" i="5"/>
  <c r="O1202" i="5"/>
  <c r="O1201" i="5"/>
  <c r="O1200" i="5"/>
  <c r="O1199" i="5"/>
  <c r="O1198" i="5"/>
  <c r="O1197" i="5"/>
  <c r="O1196" i="5"/>
  <c r="O1195" i="5"/>
  <c r="O1194" i="5"/>
  <c r="O1193" i="5"/>
  <c r="O1192" i="5"/>
  <c r="O1191" i="5"/>
  <c r="O1190" i="5"/>
  <c r="O1189" i="5"/>
  <c r="O1188" i="5"/>
  <c r="O1187" i="5"/>
  <c r="O1186" i="5"/>
  <c r="O1185" i="5"/>
  <c r="O1184" i="5"/>
  <c r="O1183" i="5"/>
  <c r="O1182" i="5"/>
  <c r="O1181" i="5"/>
  <c r="O1180" i="5"/>
  <c r="O1179" i="5"/>
  <c r="O1178" i="5"/>
  <c r="O1177" i="5"/>
  <c r="O1176" i="5"/>
  <c r="O1175" i="5"/>
  <c r="O1174" i="5"/>
  <c r="O1173" i="5"/>
  <c r="O1172" i="5"/>
  <c r="O1171" i="5"/>
  <c r="O1170" i="5"/>
  <c r="O1169" i="5"/>
  <c r="O1168" i="5"/>
  <c r="O1167" i="5"/>
  <c r="O1166" i="5"/>
  <c r="O1137" i="5"/>
  <c r="O1136" i="5"/>
  <c r="O1135" i="5"/>
  <c r="O1134" i="5"/>
  <c r="O1133" i="5"/>
  <c r="O1132" i="5"/>
  <c r="O1131" i="5"/>
  <c r="O1130" i="5"/>
  <c r="O1129" i="5"/>
  <c r="O1128" i="5"/>
  <c r="O1127" i="5"/>
  <c r="O1126" i="5"/>
  <c r="O1125" i="5"/>
  <c r="O1124" i="5"/>
  <c r="O1123" i="5"/>
  <c r="O1122" i="5"/>
  <c r="O1121" i="5"/>
  <c r="O1120" i="5"/>
  <c r="O1119" i="5"/>
  <c r="O1118" i="5"/>
  <c r="O1117" i="5"/>
  <c r="O1116" i="5"/>
  <c r="O1115" i="5"/>
  <c r="O1114" i="5"/>
  <c r="O1113" i="5"/>
  <c r="O1112" i="5"/>
  <c r="O1111" i="5"/>
  <c r="O1110" i="5"/>
  <c r="O1109" i="5"/>
  <c r="O1108" i="5"/>
  <c r="O1107" i="5"/>
  <c r="O1106" i="5"/>
  <c r="O1105" i="5"/>
  <c r="O1104" i="5"/>
  <c r="O1103" i="5"/>
  <c r="O1102" i="5"/>
  <c r="O1101" i="5"/>
  <c r="O1100" i="5"/>
  <c r="O1099" i="5"/>
  <c r="O1098" i="5"/>
  <c r="O1097" i="5"/>
  <c r="O1096" i="5"/>
  <c r="O1095" i="5"/>
  <c r="O1094" i="5"/>
  <c r="O1093" i="5"/>
  <c r="O1092" i="5"/>
  <c r="O1091" i="5"/>
  <c r="O1090" i="5"/>
  <c r="O1089" i="5"/>
  <c r="O1088" i="5"/>
  <c r="O1087" i="5"/>
  <c r="O1086" i="5"/>
  <c r="O1085" i="5"/>
  <c r="O1084" i="5"/>
  <c r="O1083" i="5"/>
  <c r="O1082" i="5"/>
  <c r="O1081" i="5"/>
  <c r="O1080" i="5"/>
  <c r="O1079" i="5"/>
  <c r="O1078" i="5"/>
  <c r="O1077" i="5"/>
  <c r="O1076" i="5"/>
  <c r="O1075" i="5"/>
  <c r="O1074" i="5"/>
  <c r="O1073" i="5"/>
  <c r="O1072" i="5"/>
  <c r="O1071" i="5"/>
  <c r="O1070" i="5"/>
  <c r="O1069" i="5"/>
  <c r="O1068" i="5"/>
  <c r="O1067" i="5"/>
  <c r="O1051" i="5"/>
  <c r="O1003" i="5"/>
  <c r="O879" i="5"/>
  <c r="O878" i="5"/>
  <c r="O877" i="5"/>
  <c r="O799" i="5"/>
  <c r="O798" i="5"/>
  <c r="O797" i="5"/>
  <c r="O796" i="5"/>
  <c r="O795" i="5"/>
  <c r="O794" i="5"/>
  <c r="O793" i="5"/>
  <c r="O792" i="5"/>
  <c r="O791" i="5"/>
  <c r="O790" i="5"/>
  <c r="O789" i="5"/>
  <c r="O788" i="5"/>
  <c r="O787" i="5"/>
  <c r="O786" i="5"/>
  <c r="O785" i="5"/>
  <c r="O784" i="5"/>
  <c r="O783" i="5"/>
  <c r="O782" i="5"/>
  <c r="O781" i="5"/>
  <c r="O780" i="5"/>
  <c r="O779" i="5"/>
  <c r="O778" i="5"/>
  <c r="O768" i="5"/>
  <c r="O767" i="5"/>
  <c r="O766" i="5"/>
  <c r="O765" i="5"/>
  <c r="O764" i="5"/>
  <c r="O763" i="5"/>
  <c r="O762" i="5"/>
  <c r="O761" i="5"/>
  <c r="O760" i="5"/>
  <c r="O759" i="5"/>
  <c r="O758" i="5"/>
  <c r="O757" i="5"/>
  <c r="O756" i="5"/>
  <c r="O755" i="5"/>
  <c r="O754" i="5"/>
  <c r="O753" i="5"/>
  <c r="O752" i="5"/>
  <c r="O751" i="5"/>
  <c r="O750" i="5"/>
  <c r="O749" i="5"/>
  <c r="O748" i="5"/>
  <c r="O747" i="5"/>
  <c r="O746" i="5"/>
  <c r="O745" i="5"/>
  <c r="O744" i="5"/>
  <c r="O743" i="5"/>
  <c r="O742" i="5"/>
  <c r="O741" i="5"/>
  <c r="O740" i="5"/>
  <c r="O739" i="5"/>
  <c r="O738" i="5"/>
  <c r="O737" i="5"/>
  <c r="O736" i="5"/>
  <c r="O735" i="5"/>
  <c r="O734" i="5"/>
  <c r="O733" i="5"/>
  <c r="O732" i="5"/>
  <c r="O731" i="5"/>
  <c r="O730" i="5"/>
  <c r="O729" i="5"/>
  <c r="O728" i="5"/>
  <c r="O727" i="5"/>
  <c r="O726" i="5"/>
  <c r="O725" i="5"/>
  <c r="O724" i="5"/>
  <c r="O723" i="5"/>
  <c r="O722" i="5"/>
  <c r="O721" i="5"/>
  <c r="O720" i="5"/>
  <c r="O719" i="5"/>
  <c r="O718" i="5"/>
  <c r="O717" i="5"/>
  <c r="O716" i="5"/>
  <c r="O715" i="5"/>
  <c r="O714" i="5"/>
  <c r="O713" i="5"/>
  <c r="O712" i="5"/>
  <c r="O711" i="5"/>
  <c r="O710" i="5"/>
  <c r="O709" i="5"/>
  <c r="O708" i="5"/>
  <c r="O707" i="5"/>
  <c r="O706" i="5"/>
  <c r="O705" i="5"/>
  <c r="O704" i="5"/>
  <c r="O703" i="5"/>
  <c r="O702" i="5"/>
  <c r="O701" i="5"/>
  <c r="O700" i="5"/>
  <c r="O699" i="5"/>
  <c r="O698" i="5"/>
  <c r="O697" i="5"/>
  <c r="O696" i="5"/>
  <c r="O695" i="5"/>
  <c r="O694" i="5"/>
  <c r="O693" i="5"/>
  <c r="O692" i="5"/>
  <c r="O691" i="5"/>
  <c r="O690" i="5"/>
  <c r="O689" i="5"/>
  <c r="O688" i="5"/>
  <c r="O687" i="5"/>
  <c r="O686" i="5"/>
  <c r="O685" i="5"/>
  <c r="O684" i="5"/>
  <c r="O683" i="5"/>
  <c r="O682" i="5"/>
  <c r="O681" i="5"/>
  <c r="O680" i="5"/>
  <c r="O679" i="5"/>
  <c r="O678" i="5"/>
  <c r="O677" i="5"/>
  <c r="O676" i="5"/>
  <c r="O675" i="5"/>
  <c r="O674" i="5"/>
  <c r="O673" i="5"/>
  <c r="O672" i="5"/>
  <c r="O671" i="5"/>
  <c r="O670" i="5"/>
  <c r="O669" i="5"/>
  <c r="O668" i="5"/>
  <c r="O667" i="5"/>
  <c r="O666" i="5"/>
  <c r="O665" i="5"/>
  <c r="O663" i="5"/>
  <c r="O662" i="5"/>
  <c r="O661" i="5"/>
  <c r="O660" i="5"/>
  <c r="O657" i="5"/>
  <c r="O656" i="5"/>
  <c r="O655" i="5"/>
  <c r="O654" i="5"/>
  <c r="O532" i="5"/>
  <c r="O531" i="5"/>
  <c r="O530" i="5"/>
  <c r="O529" i="5"/>
  <c r="O528" i="5"/>
  <c r="O527" i="5"/>
  <c r="O526" i="5"/>
  <c r="O525" i="5"/>
  <c r="O524" i="5"/>
  <c r="O523" i="5"/>
  <c r="O522" i="5"/>
  <c r="O521" i="5"/>
  <c r="O520" i="5"/>
  <c r="O519" i="5"/>
  <c r="O518" i="5"/>
  <c r="O517" i="5"/>
  <c r="O516" i="5"/>
  <c r="O515" i="5"/>
  <c r="O514" i="5"/>
  <c r="O513" i="5"/>
  <c r="O512" i="5"/>
  <c r="O511" i="5"/>
  <c r="O510" i="5"/>
  <c r="O509" i="5"/>
  <c r="O508" i="5"/>
  <c r="O507" i="5"/>
  <c r="O506" i="5"/>
  <c r="O505" i="5"/>
  <c r="O504" i="5"/>
  <c r="O503" i="5"/>
  <c r="O502" i="5"/>
  <c r="O501" i="5"/>
  <c r="O500" i="5"/>
  <c r="O499" i="5"/>
  <c r="O498" i="5"/>
  <c r="O497" i="5"/>
  <c r="O496" i="5"/>
  <c r="O495" i="5"/>
  <c r="O494" i="5"/>
  <c r="O493" i="5"/>
  <c r="O492" i="5"/>
  <c r="O491" i="5"/>
  <c r="O490" i="5"/>
  <c r="O489" i="5"/>
  <c r="O488" i="5"/>
  <c r="O487" i="5"/>
  <c r="O486" i="5"/>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34" i="5"/>
  <c r="O333"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E3" i="6" s="1"/>
  <c r="O25" i="5"/>
  <c r="O24" i="5"/>
  <c r="O23" i="5"/>
  <c r="O22" i="5"/>
  <c r="O21" i="5"/>
  <c r="O20" i="5"/>
  <c r="O19" i="5"/>
  <c r="O18" i="5"/>
  <c r="O17" i="5"/>
  <c r="O16" i="5"/>
  <c r="O15" i="5"/>
  <c r="O14" i="5"/>
  <c r="O13" i="5"/>
  <c r="O12" i="5"/>
  <c r="O11" i="5"/>
  <c r="O10" i="5"/>
  <c r="O9" i="5"/>
  <c r="O8" i="5"/>
  <c r="O7" i="5"/>
  <c r="O6" i="5"/>
  <c r="O5" i="5"/>
  <c r="O4" i="5"/>
  <c r="O3" i="5"/>
  <c r="O2" i="5"/>
  <c r="N5" i="12" l="1"/>
  <c r="H17" i="10"/>
  <c r="O17" i="16" s="1"/>
  <c r="H16" i="10"/>
  <c r="O16" i="16" s="1"/>
  <c r="H3" i="10"/>
  <c r="O3" i="16" s="1"/>
  <c r="H2" i="10"/>
  <c r="O2" i="16" s="1"/>
  <c r="O4213" i="5"/>
  <c r="O4212" i="5"/>
  <c r="O4211" i="5"/>
  <c r="O4210" i="5"/>
  <c r="O4209" i="5"/>
  <c r="O4208" i="5"/>
  <c r="O4207" i="5"/>
  <c r="O4206" i="5"/>
  <c r="O4205" i="5"/>
  <c r="O4204" i="5"/>
  <c r="O3888" i="5"/>
  <c r="O3887" i="5"/>
  <c r="O3886" i="5"/>
  <c r="O3885" i="5"/>
  <c r="O3884" i="5"/>
  <c r="O3883" i="5"/>
  <c r="O3882" i="5"/>
  <c r="O3881" i="5"/>
  <c r="O3848" i="5"/>
  <c r="O3847" i="5"/>
  <c r="O3374" i="5"/>
  <c r="O3373" i="5"/>
  <c r="O3372" i="5"/>
  <c r="O3371" i="5"/>
  <c r="O3370" i="5"/>
  <c r="O3369" i="5"/>
  <c r="O3368" i="5"/>
  <c r="O3367" i="5"/>
  <c r="O3342" i="5"/>
  <c r="O3341" i="5"/>
  <c r="O3320" i="5"/>
  <c r="O3319" i="5"/>
  <c r="O3318" i="5"/>
  <c r="O3317" i="5"/>
  <c r="O3316" i="5"/>
  <c r="O3315" i="5"/>
  <c r="O3314" i="5"/>
  <c r="O3313" i="5"/>
  <c r="O2844" i="5"/>
  <c r="O2843" i="5"/>
  <c r="O2842" i="5"/>
  <c r="O2841" i="5"/>
  <c r="O2840" i="5"/>
  <c r="O2839" i="5"/>
  <c r="O2838" i="5"/>
  <c r="O2837" i="5"/>
  <c r="O2836" i="5"/>
  <c r="O2835" i="5"/>
  <c r="O2834" i="5"/>
  <c r="O2540" i="5"/>
  <c r="O2539" i="5"/>
  <c r="O2538" i="5"/>
  <c r="O2537" i="5"/>
  <c r="O2536" i="5"/>
  <c r="O2535" i="5"/>
  <c r="O2534" i="5"/>
  <c r="O2533" i="5"/>
  <c r="O2532" i="5"/>
  <c r="O2531" i="5"/>
  <c r="O2530" i="5"/>
  <c r="O2529" i="5"/>
  <c r="O2528" i="5"/>
  <c r="O2465" i="5"/>
  <c r="O2464" i="5"/>
  <c r="O2100" i="5"/>
  <c r="O1729" i="5"/>
  <c r="O1728" i="5"/>
  <c r="O1727" i="5"/>
  <c r="O1726" i="5"/>
  <c r="O1725" i="5"/>
  <c r="O1724" i="5"/>
  <c r="O1723" i="5"/>
  <c r="O1722" i="5"/>
  <c r="O1721" i="5"/>
  <c r="O1720" i="5"/>
  <c r="O1719" i="5"/>
  <c r="O1718" i="5"/>
  <c r="O1237" i="5"/>
  <c r="O1236" i="5"/>
  <c r="O1235" i="5"/>
  <c r="O1234" i="5"/>
  <c r="O1233" i="5"/>
  <c r="O1232" i="5"/>
  <c r="O1231" i="5"/>
  <c r="O1230" i="5"/>
  <c r="O1229" i="5"/>
  <c r="O1228" i="5"/>
  <c r="O1050" i="5"/>
  <c r="O1049" i="5"/>
  <c r="O1025" i="5"/>
  <c r="O1024" i="5"/>
  <c r="O1023" i="5"/>
  <c r="O1005" i="5"/>
  <c r="O1004" i="5"/>
  <c r="O602" i="5"/>
  <c r="O593" i="5"/>
  <c r="O553" i="5"/>
  <c r="O535" i="5"/>
  <c r="O534" i="5"/>
  <c r="O533" i="5"/>
  <c r="O332" i="5"/>
  <c r="O331" i="5"/>
  <c r="O330" i="5"/>
  <c r="O329" i="5"/>
  <c r="O219" i="5"/>
  <c r="O4607" i="5"/>
  <c r="O4606" i="5"/>
  <c r="O4605" i="5"/>
  <c r="O4604" i="5"/>
  <c r="O4603" i="5"/>
  <c r="O4602" i="5"/>
  <c r="O4601" i="5"/>
  <c r="O4600" i="5"/>
  <c r="O4599" i="5"/>
  <c r="O4598" i="5"/>
  <c r="O4597" i="5"/>
  <c r="O4596" i="5"/>
  <c r="O4595" i="5"/>
  <c r="O4594" i="5"/>
  <c r="O4593" i="5"/>
  <c r="O4132" i="5"/>
  <c r="O4131" i="5"/>
  <c r="O4130" i="5"/>
  <c r="O4129" i="5"/>
  <c r="O4128" i="5"/>
  <c r="O4127" i="5"/>
  <c r="O4126" i="5"/>
  <c r="O4125" i="5"/>
  <c r="O4124" i="5"/>
  <c r="O4123" i="5"/>
  <c r="O4122" i="5"/>
  <c r="O4102" i="5"/>
  <c r="O4101" i="5"/>
  <c r="O4100" i="5"/>
  <c r="O4099" i="5"/>
  <c r="O4098" i="5"/>
  <c r="O4097" i="5"/>
  <c r="O4096" i="5"/>
  <c r="O4095" i="5"/>
  <c r="O4094" i="5"/>
  <c r="O4093" i="5"/>
  <c r="O3602" i="5"/>
  <c r="O3601" i="5"/>
  <c r="O3600" i="5"/>
  <c r="O3599" i="5"/>
  <c r="O3598" i="5"/>
  <c r="O3597" i="5"/>
  <c r="O3596" i="5"/>
  <c r="O3595" i="5"/>
  <c r="O3594" i="5"/>
  <c r="O3593" i="5"/>
  <c r="O3592" i="5"/>
  <c r="O3591" i="5"/>
  <c r="O3590" i="5"/>
  <c r="O3589" i="5"/>
  <c r="O3588" i="5"/>
  <c r="O3287" i="5"/>
  <c r="O3286" i="5"/>
  <c r="O3285" i="5"/>
  <c r="O3284" i="5"/>
  <c r="O3283" i="5"/>
  <c r="O3282" i="5"/>
  <c r="O3281" i="5"/>
  <c r="O3280" i="5"/>
  <c r="O3279" i="5"/>
  <c r="O3278" i="5"/>
  <c r="O3277" i="5"/>
  <c r="O3276" i="5"/>
  <c r="O3275" i="5"/>
  <c r="O3274" i="5"/>
  <c r="O3273" i="5"/>
  <c r="O3272" i="5"/>
  <c r="O3271" i="5"/>
  <c r="O3270" i="5"/>
  <c r="O3269" i="5"/>
  <c r="O3268" i="5"/>
  <c r="O3267" i="5"/>
  <c r="O3266" i="5"/>
  <c r="O3265" i="5"/>
  <c r="O2826" i="5"/>
  <c r="O2825" i="5"/>
  <c r="O2824" i="5"/>
  <c r="O2823" i="5"/>
  <c r="O2822" i="5"/>
  <c r="O2821" i="5"/>
  <c r="O2820" i="5"/>
  <c r="O2819" i="5"/>
  <c r="O2818" i="5"/>
  <c r="O2817" i="5"/>
  <c r="O2816" i="5"/>
  <c r="O2815" i="5"/>
  <c r="O2800" i="5"/>
  <c r="O2799" i="5"/>
  <c r="O2798" i="5"/>
  <c r="O2797" i="5"/>
  <c r="O2527" i="5"/>
  <c r="O2526" i="5"/>
  <c r="O2525" i="5"/>
  <c r="O2524" i="5"/>
  <c r="O2523" i="5"/>
  <c r="O2522" i="5"/>
  <c r="O2521" i="5"/>
  <c r="O2520" i="5"/>
  <c r="O2496" i="5"/>
  <c r="O2495" i="5"/>
  <c r="O2494" i="5"/>
  <c r="O2493" i="5"/>
  <c r="O2492" i="5"/>
  <c r="O2491" i="5"/>
  <c r="O2490" i="5"/>
  <c r="O2489" i="5"/>
  <c r="O2488" i="5"/>
  <c r="O2487" i="5"/>
  <c r="O2467" i="5"/>
  <c r="O2466" i="5"/>
  <c r="O2089" i="5"/>
  <c r="O2088" i="5"/>
  <c r="O2087" i="5"/>
  <c r="O2086" i="5"/>
  <c r="O2085" i="5"/>
  <c r="O2084" i="5"/>
  <c r="O2083" i="5"/>
  <c r="O2082" i="5"/>
  <c r="O2072" i="5"/>
  <c r="O2071" i="5"/>
  <c r="O2070" i="5"/>
  <c r="O2069" i="5"/>
  <c r="O2050" i="5"/>
  <c r="O2049" i="5"/>
  <c r="O2048" i="5"/>
  <c r="O2047" i="5"/>
  <c r="O1763" i="5"/>
  <c r="O1762" i="5"/>
  <c r="O1761" i="5"/>
  <c r="O1760" i="5"/>
  <c r="O1759" i="5"/>
  <c r="O1758" i="5"/>
  <c r="O1757" i="5"/>
  <c r="O1743" i="5"/>
  <c r="O1742" i="5"/>
  <c r="O1741" i="5"/>
  <c r="O1740" i="5"/>
  <c r="O1739" i="5"/>
  <c r="O1738" i="5"/>
  <c r="O1737" i="5"/>
  <c r="O1736" i="5"/>
  <c r="O1735" i="5"/>
  <c r="O1734" i="5"/>
  <c r="O1733" i="5"/>
  <c r="O1732" i="5"/>
  <c r="O1731" i="5"/>
  <c r="O1730" i="5"/>
  <c r="O1360" i="5"/>
  <c r="O1048" i="5"/>
  <c r="O1047" i="5"/>
  <c r="O1046" i="5"/>
  <c r="O1045" i="5"/>
  <c r="O1031" i="5"/>
  <c r="O1030" i="5"/>
  <c r="O1029" i="5"/>
  <c r="O1028" i="5"/>
  <c r="O1027" i="5"/>
  <c r="O1026" i="5"/>
  <c r="O552" i="5"/>
  <c r="O551" i="5"/>
  <c r="O550" i="5"/>
  <c r="O549" i="5"/>
  <c r="O548" i="5"/>
  <c r="O547" i="5"/>
  <c r="O546" i="5"/>
  <c r="O545" i="5"/>
  <c r="O544" i="5"/>
  <c r="O543" i="5"/>
  <c r="O542" i="5"/>
  <c r="O541" i="5"/>
  <c r="O540" i="5"/>
  <c r="O539" i="5"/>
  <c r="O538" i="5"/>
  <c r="O537" i="5"/>
  <c r="O536" i="5"/>
  <c r="O396" i="5"/>
  <c r="O395" i="5"/>
  <c r="O341" i="5"/>
  <c r="O340" i="5"/>
  <c r="O339" i="5"/>
  <c r="O338" i="5"/>
  <c r="O337" i="5"/>
  <c r="O336" i="5"/>
  <c r="O335" i="5"/>
  <c r="O4455" i="5"/>
  <c r="O4454" i="5"/>
  <c r="O4453" i="5"/>
  <c r="O4452" i="5"/>
  <c r="O4451" i="5"/>
  <c r="O4434" i="5"/>
  <c r="O4433" i="5"/>
  <c r="O4432" i="5"/>
  <c r="O4431" i="5"/>
  <c r="O4430" i="5"/>
  <c r="O4394" i="5"/>
  <c r="O4393" i="5"/>
  <c r="O4369" i="5"/>
  <c r="O4368" i="5"/>
  <c r="O4367" i="5"/>
  <c r="O4362" i="5"/>
  <c r="O4347" i="5"/>
  <c r="O4088" i="5"/>
  <c r="O4087" i="5"/>
  <c r="O4086" i="5"/>
  <c r="O3572" i="5"/>
  <c r="O3571" i="5"/>
  <c r="O3570" i="5"/>
  <c r="O3569" i="5"/>
  <c r="O3568" i="5"/>
  <c r="O3567" i="5"/>
  <c r="O3555" i="5"/>
  <c r="O3554" i="5"/>
  <c r="O3245" i="5"/>
  <c r="O3244" i="5"/>
  <c r="O3224" i="5"/>
  <c r="O3223" i="5"/>
  <c r="O3222" i="5"/>
  <c r="O3221" i="5"/>
  <c r="O3220" i="5"/>
  <c r="O3219" i="5"/>
  <c r="O3218" i="5"/>
  <c r="O3217" i="5"/>
  <c r="O3216" i="5"/>
  <c r="O3215" i="5"/>
  <c r="O3214" i="5"/>
  <c r="O3213" i="5"/>
  <c r="O3212" i="5"/>
  <c r="O3211" i="5"/>
  <c r="O3210" i="5"/>
  <c r="O3209" i="5"/>
  <c r="O3208" i="5"/>
  <c r="O2792" i="5"/>
  <c r="O2791" i="5"/>
  <c r="O2790" i="5"/>
  <c r="O2789" i="5"/>
  <c r="O2788" i="5"/>
  <c r="O2787" i="5"/>
  <c r="O2786" i="5"/>
  <c r="O2785" i="5"/>
  <c r="O2784" i="5"/>
  <c r="O2783" i="5"/>
  <c r="O2782" i="5"/>
  <c r="O2486" i="5"/>
  <c r="O2485" i="5"/>
  <c r="O2484" i="5"/>
  <c r="O2483" i="5"/>
  <c r="O2482" i="5"/>
  <c r="O2481" i="5"/>
  <c r="O2480" i="5"/>
  <c r="O2479" i="5"/>
  <c r="O2478" i="5"/>
  <c r="O2477" i="5"/>
  <c r="O2476" i="5"/>
  <c r="O2475" i="5"/>
  <c r="O2474" i="5"/>
  <c r="O2473" i="5"/>
  <c r="O2472" i="5"/>
  <c r="O2471" i="5"/>
  <c r="O2470" i="5"/>
  <c r="O2469" i="5"/>
  <c r="O2468" i="5"/>
  <c r="O2081" i="5"/>
  <c r="O2080" i="5"/>
  <c r="O2079" i="5"/>
  <c r="O2078" i="5"/>
  <c r="O2077" i="5"/>
  <c r="O2076" i="5"/>
  <c r="O2075" i="5"/>
  <c r="O2074" i="5"/>
  <c r="O2073" i="5"/>
  <c r="O1756" i="5"/>
  <c r="O1755" i="5"/>
  <c r="O1754" i="5"/>
  <c r="O1753" i="5"/>
  <c r="O1752" i="5"/>
  <c r="O1751" i="5"/>
  <c r="O1750" i="5"/>
  <c r="O1749" i="5"/>
  <c r="O1748" i="5"/>
  <c r="O1747" i="5"/>
  <c r="O1746" i="5"/>
  <c r="O1745" i="5"/>
  <c r="O1744" i="5"/>
  <c r="O1358" i="5"/>
  <c r="O1357" i="5"/>
  <c r="O1356" i="5"/>
  <c r="O1355" i="5"/>
  <c r="O1354" i="5"/>
  <c r="O1353" i="5"/>
  <c r="O1352" i="5"/>
  <c r="O1044" i="5"/>
  <c r="O1043" i="5"/>
  <c r="O1042" i="5"/>
  <c r="O1041" i="5"/>
  <c r="O1040" i="5"/>
  <c r="O1039" i="5"/>
  <c r="O1038" i="5"/>
  <c r="O1037" i="5"/>
  <c r="O1036" i="5"/>
  <c r="O1035" i="5"/>
  <c r="O1034" i="5"/>
  <c r="O1033" i="5"/>
  <c r="O1032" i="5"/>
  <c r="O592" i="5"/>
  <c r="O591" i="5"/>
  <c r="O590" i="5"/>
  <c r="O578" i="5"/>
  <c r="O554" i="5"/>
  <c r="O394" i="5"/>
  <c r="O351" i="5"/>
  <c r="O350" i="5"/>
  <c r="O349" i="5"/>
  <c r="O348" i="5"/>
  <c r="O347" i="5"/>
  <c r="O346" i="5"/>
  <c r="O345" i="5"/>
  <c r="O344" i="5"/>
  <c r="O343" i="5"/>
  <c r="O342" i="5"/>
  <c r="E2" i="6"/>
  <c r="O4366" i="5"/>
  <c r="O4365" i="5"/>
  <c r="O4364" i="5"/>
  <c r="O4363" i="5"/>
  <c r="O4072" i="5"/>
  <c r="O4071" i="5"/>
  <c r="O4070" i="5"/>
  <c r="O4069" i="5"/>
  <c r="O4068" i="5"/>
  <c r="O4067" i="5"/>
  <c r="O4066" i="5"/>
  <c r="O4065" i="5"/>
  <c r="O4064" i="5"/>
  <c r="O4063" i="5"/>
  <c r="O4027" i="5"/>
  <c r="O4026" i="5"/>
  <c r="O4025" i="5"/>
  <c r="O4024" i="5"/>
  <c r="O3566" i="5"/>
  <c r="O3565" i="5"/>
  <c r="O3564" i="5"/>
  <c r="O3563" i="5"/>
  <c r="O3562" i="5"/>
  <c r="O3561" i="5"/>
  <c r="O3560" i="5"/>
  <c r="O3559" i="5"/>
  <c r="O3558" i="5"/>
  <c r="O3557" i="5"/>
  <c r="O3556" i="5"/>
  <c r="O3258" i="5"/>
  <c r="O3257" i="5"/>
  <c r="O3256" i="5"/>
  <c r="O3255" i="5"/>
  <c r="O3254" i="5"/>
  <c r="O3253" i="5"/>
  <c r="O3252" i="5"/>
  <c r="O3251" i="5"/>
  <c r="O3250" i="5"/>
  <c r="O3249" i="5"/>
  <c r="O3248" i="5"/>
  <c r="O2814" i="5"/>
  <c r="O2813" i="5"/>
  <c r="O2812" i="5"/>
  <c r="O2803" i="5"/>
  <c r="O2802" i="5"/>
  <c r="O2801" i="5"/>
  <c r="O2519" i="5"/>
  <c r="O2518" i="5"/>
  <c r="O2498" i="5"/>
  <c r="O2497" i="5"/>
  <c r="O2098" i="5"/>
  <c r="O2097" i="5"/>
  <c r="O2096" i="5"/>
  <c r="O2095" i="5"/>
  <c r="O2094" i="5"/>
  <c r="O2093" i="5"/>
  <c r="O1770" i="5"/>
  <c r="O1769" i="5"/>
  <c r="O1373" i="5"/>
  <c r="O1372" i="5"/>
  <c r="O1371" i="5"/>
  <c r="O1370" i="5"/>
  <c r="O1369" i="5"/>
  <c r="O4311" i="5"/>
  <c r="O4310" i="5"/>
  <c r="O4309" i="5"/>
  <c r="O4308" i="5"/>
  <c r="O4307" i="5"/>
  <c r="O4306" i="5"/>
  <c r="O4305" i="5"/>
  <c r="O4304" i="5"/>
  <c r="O4303" i="5"/>
  <c r="O4302" i="5"/>
  <c r="O4301" i="5"/>
  <c r="O4300" i="5"/>
  <c r="O3994" i="5"/>
  <c r="O3993" i="5"/>
  <c r="O3992" i="5"/>
  <c r="O3991" i="5"/>
  <c r="O3990" i="5"/>
  <c r="O3989" i="5"/>
  <c r="O3974" i="5"/>
  <c r="O3973" i="5"/>
  <c r="O3972" i="5"/>
  <c r="O3971" i="5"/>
  <c r="O3970" i="5"/>
  <c r="O3969" i="5"/>
  <c r="O3968" i="5"/>
  <c r="O3967" i="5"/>
  <c r="O3966" i="5"/>
  <c r="O3965" i="5"/>
  <c r="O3964" i="5"/>
  <c r="O3963" i="5"/>
  <c r="O3962" i="5"/>
  <c r="O3551" i="5"/>
  <c r="O3550" i="5"/>
  <c r="O3549" i="5"/>
  <c r="O3548" i="5"/>
  <c r="O3547" i="5"/>
  <c r="O3546" i="5"/>
  <c r="O3545" i="5"/>
  <c r="O3544" i="5"/>
  <c r="O3243" i="5"/>
  <c r="O3242" i="5"/>
  <c r="O3241" i="5"/>
  <c r="O3240" i="5"/>
  <c r="O3239" i="5"/>
  <c r="O3238" i="5"/>
  <c r="O3237" i="5"/>
  <c r="O3236" i="5"/>
  <c r="O3235" i="5"/>
  <c r="O3234" i="5"/>
  <c r="O3233" i="5"/>
  <c r="O3232" i="5"/>
  <c r="O3231" i="5"/>
  <c r="O3230" i="5"/>
  <c r="O3229" i="5"/>
  <c r="O3228" i="5"/>
  <c r="O3227" i="5"/>
  <c r="O3226" i="5"/>
  <c r="O3225" i="5"/>
  <c r="O2811" i="5"/>
  <c r="O2810" i="5"/>
  <c r="O2809" i="5"/>
  <c r="O2808" i="5"/>
  <c r="O2807" i="5"/>
  <c r="O2806" i="5"/>
  <c r="O2805" i="5"/>
  <c r="O2804" i="5"/>
  <c r="O2517" i="5"/>
  <c r="O2516" i="5"/>
  <c r="O2515" i="5"/>
  <c r="O2514" i="5"/>
  <c r="O2513" i="5"/>
  <c r="O2512" i="5"/>
  <c r="O2511" i="5"/>
  <c r="O2510" i="5"/>
  <c r="O2509" i="5"/>
  <c r="O2508" i="5"/>
  <c r="O2507" i="5"/>
  <c r="O2506" i="5"/>
  <c r="O2505" i="5"/>
  <c r="O2504" i="5"/>
  <c r="O2503" i="5"/>
  <c r="O2502" i="5"/>
  <c r="O2501" i="5"/>
  <c r="O2500" i="5"/>
  <c r="O2499" i="5"/>
  <c r="O2114" i="5"/>
  <c r="O2113" i="5"/>
  <c r="O2112" i="5"/>
  <c r="O2111" i="5"/>
  <c r="O2110" i="5"/>
  <c r="O2109" i="5"/>
  <c r="O2108" i="5"/>
  <c r="O1780" i="5"/>
  <c r="O1376" i="5"/>
  <c r="O1066" i="5"/>
  <c r="O1065" i="5"/>
  <c r="O1064" i="5"/>
  <c r="O1063" i="5"/>
  <c r="O1062" i="5"/>
  <c r="O1061" i="5"/>
  <c r="O1060" i="5"/>
  <c r="O1059" i="5"/>
  <c r="O1058" i="5"/>
  <c r="O1057" i="5"/>
  <c r="O1056" i="5"/>
  <c r="O1055" i="5"/>
  <c r="O1054" i="5"/>
  <c r="O1053" i="5"/>
  <c r="O1052" i="5"/>
  <c r="O664" i="5"/>
  <c r="O393" i="5"/>
  <c r="O392" i="5"/>
  <c r="O391" i="5"/>
  <c r="O390" i="5"/>
  <c r="O358" i="5"/>
  <c r="O357" i="5"/>
  <c r="O356" i="5"/>
  <c r="O355" i="5"/>
  <c r="O354" i="5"/>
  <c r="O353" i="5"/>
  <c r="O352" i="5"/>
  <c r="N22" i="12"/>
  <c r="O4576" i="5"/>
  <c r="O4575" i="5"/>
  <c r="O4574" i="5"/>
  <c r="O4573" i="5"/>
  <c r="O4572" i="5"/>
  <c r="O4571" i="5"/>
  <c r="O4570" i="5"/>
  <c r="O4569" i="5"/>
  <c r="O4568" i="5"/>
  <c r="O4567" i="5"/>
  <c r="O4566" i="5"/>
  <c r="O4565" i="5"/>
  <c r="O4564" i="5"/>
  <c r="O4563" i="5"/>
  <c r="O4562" i="5"/>
  <c r="O4561" i="5"/>
  <c r="O4560" i="5"/>
  <c r="O4559" i="5"/>
  <c r="O4558" i="5"/>
  <c r="O4557" i="5"/>
  <c r="O4556" i="5"/>
  <c r="O4555" i="5"/>
  <c r="O4554" i="5"/>
  <c r="O4553" i="5"/>
  <c r="O4552" i="5"/>
  <c r="O4551" i="5"/>
  <c r="O4550" i="5"/>
  <c r="O4549" i="5"/>
  <c r="O4548" i="5"/>
  <c r="O4547" i="5"/>
  <c r="O4546" i="5"/>
  <c r="O4545" i="5"/>
  <c r="O4544" i="5"/>
  <c r="O4543" i="5"/>
  <c r="O4542" i="5"/>
  <c r="O4529" i="5"/>
  <c r="O4528" i="5"/>
  <c r="O4527" i="5"/>
  <c r="O4526" i="5"/>
  <c r="O4525" i="5"/>
  <c r="O4524" i="5"/>
  <c r="O4523" i="5"/>
  <c r="O4522" i="5"/>
  <c r="O4521" i="5"/>
  <c r="O4520" i="5"/>
  <c r="O4519" i="5"/>
  <c r="O4518" i="5"/>
  <c r="O4517" i="5"/>
  <c r="O4516" i="5"/>
  <c r="O4515" i="5"/>
  <c r="O4514" i="5"/>
  <c r="O4513" i="5"/>
  <c r="O4512" i="5"/>
  <c r="O4511" i="5"/>
  <c r="O4510" i="5"/>
  <c r="O4509" i="5"/>
  <c r="O4508" i="5"/>
  <c r="O4507" i="5"/>
  <c r="O4506" i="5"/>
  <c r="O4505" i="5"/>
  <c r="O4504" i="5"/>
  <c r="O4503" i="5"/>
  <c r="O4502" i="5"/>
  <c r="O4501" i="5"/>
  <c r="O4500" i="5"/>
  <c r="O4499" i="5"/>
  <c r="O4498" i="5"/>
  <c r="O4472" i="5"/>
  <c r="O4471" i="5"/>
  <c r="O4470" i="5"/>
  <c r="O4469" i="5"/>
  <c r="O4468" i="5"/>
  <c r="O4467" i="5"/>
  <c r="O4466" i="5"/>
  <c r="O4465" i="5"/>
  <c r="O4464" i="5"/>
  <c r="O4463" i="5"/>
  <c r="O4462" i="5"/>
  <c r="O4461" i="5"/>
  <c r="O4460" i="5"/>
  <c r="O4459" i="5"/>
  <c r="O4190" i="5"/>
  <c r="O4189" i="5"/>
  <c r="O4188" i="5"/>
  <c r="O4187" i="5"/>
  <c r="O4186" i="5"/>
  <c r="O4185" i="5"/>
  <c r="O4184" i="5"/>
  <c r="O4183" i="5"/>
  <c r="O4182" i="5"/>
  <c r="O4181" i="5"/>
  <c r="O4180" i="5"/>
  <c r="O4179" i="5"/>
  <c r="O4178" i="5"/>
  <c r="O4177" i="5"/>
  <c r="O4176" i="5"/>
  <c r="O4175" i="5"/>
  <c r="O4174" i="5"/>
  <c r="O3834" i="5"/>
  <c r="O3833" i="5"/>
  <c r="O3832" i="5"/>
  <c r="O3831" i="5"/>
  <c r="O3830" i="5"/>
  <c r="O3829" i="5"/>
  <c r="O3828" i="5"/>
  <c r="O3827" i="5"/>
  <c r="O3826" i="5"/>
  <c r="O3825" i="5"/>
  <c r="O3824" i="5"/>
  <c r="O3823" i="5"/>
  <c r="O3822" i="5"/>
  <c r="O3821" i="5"/>
  <c r="O3820" i="5"/>
  <c r="O3819" i="5"/>
  <c r="O3818" i="5"/>
  <c r="O3817" i="5"/>
  <c r="O3816" i="5"/>
  <c r="O3815" i="5"/>
  <c r="O3814" i="5"/>
  <c r="O3813" i="5"/>
  <c r="O3812" i="5"/>
  <c r="O3811" i="5"/>
  <c r="O3810" i="5"/>
  <c r="O3787" i="5"/>
  <c r="O3786" i="5"/>
  <c r="O3785" i="5"/>
  <c r="O3784" i="5"/>
  <c r="O3783" i="5"/>
  <c r="O3782" i="5"/>
  <c r="O3781" i="5"/>
  <c r="O3780" i="5"/>
  <c r="O3779" i="5"/>
  <c r="O3778" i="5"/>
  <c r="O3748" i="5"/>
  <c r="O3747" i="5"/>
  <c r="O3746" i="5"/>
  <c r="O3745" i="5"/>
  <c r="O3744" i="5"/>
  <c r="O3743" i="5"/>
  <c r="O3742" i="5"/>
  <c r="O3741" i="5"/>
  <c r="O3740" i="5"/>
  <c r="O3739" i="5"/>
  <c r="O3738" i="5"/>
  <c r="O3737" i="5"/>
  <c r="O3736" i="5"/>
  <c r="O3735" i="5"/>
  <c r="O3734" i="5"/>
  <c r="O3733" i="5"/>
  <c r="O3732" i="5"/>
  <c r="O3731" i="5"/>
  <c r="O3730" i="5"/>
  <c r="O3729" i="5"/>
  <c r="O3728" i="5"/>
  <c r="O3727" i="5"/>
  <c r="O3726" i="5"/>
  <c r="O3725" i="5"/>
  <c r="O3724" i="5"/>
  <c r="O3723" i="5"/>
  <c r="O3722" i="5"/>
  <c r="O3721" i="5"/>
  <c r="O3720" i="5"/>
  <c r="O3719" i="5"/>
  <c r="O3718" i="5"/>
  <c r="O3717" i="5"/>
  <c r="O3643" i="5"/>
  <c r="O3630" i="5"/>
  <c r="O3629" i="5"/>
  <c r="O3628" i="5"/>
  <c r="O3627" i="5"/>
  <c r="O3626" i="5"/>
  <c r="O3625" i="5"/>
  <c r="O3624" i="5"/>
  <c r="O3623" i="5"/>
  <c r="O3622" i="5"/>
  <c r="O3621" i="5"/>
  <c r="O3620" i="5"/>
  <c r="O3619" i="5"/>
  <c r="O3618" i="5"/>
  <c r="O3617" i="5"/>
  <c r="O3616" i="5"/>
  <c r="O3615" i="5"/>
  <c r="O3614" i="5"/>
  <c r="O3458" i="5"/>
  <c r="O3457" i="5"/>
  <c r="O3456" i="5"/>
  <c r="O3455" i="5"/>
  <c r="O3454" i="5"/>
  <c r="O3453" i="5"/>
  <c r="O3452" i="5"/>
  <c r="O3451" i="5"/>
  <c r="O3450" i="5"/>
  <c r="O3449" i="5"/>
  <c r="O3448" i="5"/>
  <c r="O3447" i="5"/>
  <c r="O3446" i="5"/>
  <c r="O3445" i="5"/>
  <c r="O3444" i="5"/>
  <c r="O3426" i="5"/>
  <c r="O3408" i="5"/>
  <c r="O3407" i="5"/>
  <c r="O3406" i="5"/>
  <c r="O3405" i="5"/>
  <c r="O3149" i="5"/>
  <c r="O3148" i="5"/>
  <c r="O3147" i="5"/>
  <c r="O3146" i="5"/>
  <c r="O3145" i="5"/>
  <c r="O3144" i="5"/>
  <c r="O3143" i="5"/>
  <c r="O3142" i="5"/>
  <c r="O3141" i="5"/>
  <c r="O3140" i="5"/>
  <c r="O3064" i="5"/>
  <c r="O3063" i="5"/>
  <c r="O3062" i="5"/>
  <c r="O3061" i="5"/>
  <c r="O3060" i="5"/>
  <c r="O3059" i="5"/>
  <c r="O3058" i="5"/>
  <c r="O3057" i="5"/>
  <c r="O3056" i="5"/>
  <c r="O3055" i="5"/>
  <c r="O3054" i="5"/>
  <c r="O3053" i="5"/>
  <c r="O3052" i="5"/>
  <c r="O3051" i="5"/>
  <c r="O3050" i="5"/>
  <c r="O3049" i="5"/>
  <c r="O3048" i="5"/>
  <c r="O3047" i="5"/>
  <c r="O3046" i="5"/>
  <c r="O3045" i="5"/>
  <c r="O3044" i="5"/>
  <c r="O3043" i="5"/>
  <c r="O3042" i="5"/>
  <c r="O3041" i="5"/>
  <c r="O3040" i="5"/>
  <c r="O3039" i="5"/>
  <c r="O3038" i="5"/>
  <c r="O3037" i="5"/>
  <c r="O3036" i="5"/>
  <c r="O3035" i="5"/>
  <c r="O3034" i="5"/>
  <c r="O3033" i="5"/>
  <c r="O3032" i="5"/>
  <c r="O3031" i="5"/>
  <c r="O2942" i="5"/>
  <c r="O2941" i="5"/>
  <c r="O2940" i="5"/>
  <c r="O2939" i="5"/>
  <c r="O2938" i="5"/>
  <c r="O2937" i="5"/>
  <c r="O2936" i="5"/>
  <c r="O2935" i="5"/>
  <c r="O2934" i="5"/>
  <c r="O2933" i="5"/>
  <c r="O2932" i="5"/>
  <c r="O2931" i="5"/>
  <c r="O2930" i="5"/>
  <c r="O2929" i="5"/>
  <c r="O2928" i="5"/>
  <c r="O2927" i="5"/>
  <c r="O2926" i="5"/>
  <c r="O2925" i="5"/>
  <c r="O2924" i="5"/>
  <c r="O2923" i="5"/>
  <c r="O2922" i="5"/>
  <c r="O2921" i="5"/>
  <c r="O2920" i="5"/>
  <c r="O2919" i="5"/>
  <c r="O2918" i="5"/>
  <c r="O2917" i="5"/>
  <c r="O2916" i="5"/>
  <c r="O2915" i="5"/>
  <c r="O2914" i="5"/>
  <c r="O2913" i="5"/>
  <c r="O2912" i="5"/>
  <c r="O2911" i="5"/>
  <c r="O2910" i="5"/>
  <c r="O2909" i="5"/>
  <c r="O2908" i="5"/>
  <c r="O2907" i="5"/>
  <c r="O2906" i="5"/>
  <c r="O2905" i="5"/>
  <c r="O2904" i="5"/>
  <c r="O2903" i="5"/>
  <c r="O2902" i="5"/>
  <c r="O2901" i="5"/>
  <c r="O2900" i="5"/>
  <c r="O2899" i="5"/>
  <c r="O2898" i="5"/>
  <c r="O2897" i="5"/>
  <c r="O2896" i="5"/>
  <c r="O2895" i="5"/>
  <c r="O2894" i="5"/>
  <c r="O2728" i="5"/>
  <c r="O2391" i="5"/>
  <c r="O2390" i="5"/>
  <c r="O2389" i="5"/>
  <c r="O2388" i="5"/>
  <c r="O2387" i="5"/>
  <c r="O2386" i="5"/>
  <c r="O2385" i="5"/>
  <c r="O2384" i="5"/>
  <c r="O2383" i="5"/>
  <c r="O2382" i="5"/>
  <c r="O2381" i="5"/>
  <c r="O2264" i="5"/>
  <c r="O2263" i="5"/>
  <c r="O2262" i="5"/>
  <c r="O2261" i="5"/>
  <c r="O2260" i="5"/>
  <c r="O2259" i="5"/>
  <c r="O2258" i="5"/>
  <c r="O2257" i="5"/>
  <c r="O2256" i="5"/>
  <c r="O2255" i="5"/>
  <c r="O2254" i="5"/>
  <c r="O2253" i="5"/>
  <c r="O2252" i="5"/>
  <c r="O2251" i="5"/>
  <c r="O2250" i="5"/>
  <c r="O2249" i="5"/>
  <c r="O2248" i="5"/>
  <c r="O2247" i="5"/>
  <c r="O2246" i="5"/>
  <c r="O2245" i="5"/>
  <c r="O2244" i="5"/>
  <c r="O2243" i="5"/>
  <c r="O2242" i="5"/>
  <c r="O2241" i="5"/>
  <c r="O2240" i="5"/>
  <c r="O2239" i="5"/>
  <c r="O2238" i="5"/>
  <c r="O2237" i="5"/>
  <c r="O2236" i="5"/>
  <c r="O2235" i="5"/>
  <c r="O2234" i="5"/>
  <c r="O2233" i="5"/>
  <c r="O2232" i="5"/>
  <c r="O2231" i="5"/>
  <c r="O2230" i="5"/>
  <c r="O2229" i="5"/>
  <c r="O2228" i="5"/>
  <c r="O2227" i="5"/>
  <c r="O2226" i="5"/>
  <c r="O2225" i="5"/>
  <c r="O2224" i="5"/>
  <c r="O2223" i="5"/>
  <c r="O2222" i="5"/>
  <c r="O2221" i="5"/>
  <c r="O2220" i="5"/>
  <c r="O2219" i="5"/>
  <c r="O2218" i="5"/>
  <c r="O2217" i="5"/>
  <c r="O2216" i="5"/>
  <c r="O2215" i="5"/>
  <c r="O2214" i="5"/>
  <c r="O2213" i="5"/>
  <c r="O2212" i="5"/>
  <c r="O2211" i="5"/>
  <c r="O2210" i="5"/>
  <c r="O2209" i="5"/>
  <c r="O2208" i="5"/>
  <c r="O2207" i="5"/>
  <c r="O2206" i="5"/>
  <c r="O2205" i="5"/>
  <c r="O2204" i="5"/>
  <c r="O2038" i="5"/>
  <c r="O2037" i="5"/>
  <c r="O2036" i="5"/>
  <c r="O2035" i="5"/>
  <c r="O1957" i="5"/>
  <c r="O1956" i="5"/>
  <c r="O1955" i="5"/>
  <c r="O1954" i="5"/>
  <c r="O1953" i="5"/>
  <c r="O1952" i="5"/>
  <c r="O1951" i="5"/>
  <c r="O1950" i="5"/>
  <c r="O1949" i="5"/>
  <c r="O1948" i="5"/>
  <c r="O1947" i="5"/>
  <c r="O1946" i="5"/>
  <c r="O1945" i="5"/>
  <c r="O1944" i="5"/>
  <c r="O1943" i="5"/>
  <c r="O1942" i="5"/>
  <c r="O1906" i="5"/>
  <c r="O1905" i="5"/>
  <c r="O1904" i="5"/>
  <c r="O1903" i="5"/>
  <c r="O1902" i="5"/>
  <c r="O1901" i="5"/>
  <c r="O1900" i="5"/>
  <c r="O1681" i="5"/>
  <c r="O1680" i="5"/>
  <c r="O1679" i="5"/>
  <c r="O1678" i="5"/>
  <c r="O1631" i="5"/>
  <c r="O1630" i="5"/>
  <c r="O1571" i="5"/>
  <c r="O1570" i="5"/>
  <c r="O1569" i="5"/>
  <c r="O1568" i="5"/>
  <c r="O1567" i="5"/>
  <c r="O1566" i="5"/>
  <c r="O1565" i="5"/>
  <c r="O1564" i="5"/>
  <c r="O1563" i="5"/>
  <c r="O1562" i="5"/>
  <c r="O1561" i="5"/>
  <c r="O1560" i="5"/>
  <c r="O1559" i="5"/>
  <c r="O1558" i="5"/>
  <c r="O1557" i="5"/>
  <c r="O1556" i="5"/>
  <c r="O1555" i="5"/>
  <c r="O1554" i="5"/>
  <c r="O1537" i="5"/>
  <c r="O1536" i="5"/>
  <c r="O1535" i="5"/>
  <c r="O1534" i="5"/>
  <c r="O1533" i="5"/>
  <c r="O1532" i="5"/>
  <c r="O1531" i="5"/>
  <c r="O1530" i="5"/>
  <c r="O1529" i="5"/>
  <c r="O1528" i="5"/>
  <c r="O1527" i="5"/>
  <c r="O1526" i="5"/>
  <c r="O1525" i="5"/>
  <c r="O1524" i="5"/>
  <c r="O1523" i="5"/>
  <c r="O1522" i="5"/>
  <c r="O1521" i="5"/>
  <c r="O1520" i="5"/>
  <c r="O1519" i="5"/>
  <c r="O1518" i="5"/>
  <c r="O1517" i="5"/>
  <c r="O1516" i="5"/>
  <c r="O1515" i="5"/>
  <c r="O1514" i="5"/>
  <c r="O1513" i="5"/>
  <c r="O1512" i="5"/>
  <c r="O1511" i="5"/>
  <c r="O1510" i="5"/>
  <c r="O1509" i="5"/>
  <c r="O1508" i="5"/>
  <c r="O1507" i="5"/>
  <c r="O1506" i="5"/>
  <c r="O1505" i="5"/>
  <c r="O1504" i="5"/>
  <c r="O1503" i="5"/>
  <c r="O1502" i="5"/>
  <c r="O1501" i="5"/>
  <c r="O1500" i="5"/>
  <c r="O1499" i="5"/>
  <c r="O1498" i="5"/>
  <c r="O1497" i="5"/>
  <c r="O1496" i="5"/>
  <c r="O1495" i="5"/>
  <c r="O1494" i="5"/>
  <c r="O1493" i="5"/>
  <c r="O1492" i="5"/>
  <c r="O1491" i="5"/>
  <c r="O1490" i="5"/>
  <c r="O1489" i="5"/>
  <c r="O1488" i="5"/>
  <c r="O1487" i="5"/>
  <c r="O1486" i="5"/>
  <c r="O1485" i="5"/>
  <c r="O1484" i="5"/>
  <c r="O1483" i="5"/>
  <c r="O1482" i="5"/>
  <c r="O1481" i="5"/>
  <c r="O1480" i="5"/>
  <c r="O1293" i="5"/>
  <c r="O1262" i="5"/>
  <c r="O1261" i="5"/>
  <c r="O1260" i="5"/>
  <c r="O1259" i="5"/>
  <c r="O1258" i="5"/>
  <c r="O1257" i="5"/>
  <c r="O1256" i="5"/>
  <c r="O1255" i="5"/>
  <c r="O1254" i="5"/>
  <c r="O1253" i="5"/>
  <c r="O1252" i="5"/>
  <c r="O1251" i="5"/>
  <c r="O1250" i="5"/>
  <c r="O1249" i="5"/>
  <c r="O1248" i="5"/>
  <c r="O1247" i="5"/>
  <c r="O1246" i="5"/>
  <c r="O1245" i="5"/>
  <c r="O1244" i="5"/>
  <c r="O1243" i="5"/>
  <c r="O1242" i="5"/>
  <c r="O1241" i="5"/>
  <c r="O1240" i="5"/>
  <c r="O1239" i="5"/>
  <c r="O1238" i="5"/>
  <c r="O876" i="5"/>
  <c r="O875" i="5"/>
  <c r="O874" i="5"/>
  <c r="O873" i="5"/>
  <c r="O872" i="5"/>
  <c r="O871" i="5"/>
  <c r="O870" i="5"/>
  <c r="O869" i="5"/>
  <c r="O868" i="5"/>
  <c r="O867" i="5"/>
  <c r="O866" i="5"/>
  <c r="O865" i="5"/>
  <c r="O864" i="5"/>
  <c r="O863" i="5"/>
  <c r="O862" i="5"/>
  <c r="O861" i="5"/>
  <c r="O860" i="5"/>
  <c r="O859" i="5"/>
  <c r="O858" i="5"/>
  <c r="O857" i="5"/>
  <c r="O856" i="5"/>
  <c r="O855" i="5"/>
  <c r="O854" i="5"/>
  <c r="O853" i="5"/>
  <c r="O852" i="5"/>
  <c r="O851" i="5"/>
  <c r="O850" i="5"/>
  <c r="O849" i="5"/>
  <c r="O848" i="5"/>
  <c r="O847" i="5"/>
  <c r="O846" i="5"/>
  <c r="O845" i="5"/>
  <c r="O844" i="5"/>
  <c r="O843" i="5"/>
  <c r="O842" i="5"/>
  <c r="O841" i="5"/>
  <c r="O840" i="5"/>
  <c r="O839" i="5"/>
  <c r="O838" i="5"/>
  <c r="O837" i="5"/>
  <c r="O836" i="5"/>
  <c r="O835" i="5"/>
  <c r="O834" i="5"/>
  <c r="O833" i="5"/>
  <c r="O832" i="5"/>
  <c r="O831" i="5"/>
  <c r="O830" i="5"/>
  <c r="O829" i="5"/>
  <c r="O828" i="5"/>
  <c r="O827" i="5"/>
  <c r="O826" i="5"/>
  <c r="O825" i="5"/>
  <c r="O824" i="5"/>
  <c r="O823" i="5"/>
  <c r="O822" i="5"/>
  <c r="O821" i="5"/>
  <c r="O820" i="5"/>
  <c r="O819" i="5"/>
  <c r="O818" i="5"/>
  <c r="O817" i="5"/>
  <c r="O816" i="5"/>
  <c r="O815" i="5"/>
  <c r="O814" i="5"/>
  <c r="O813" i="5"/>
  <c r="O812" i="5"/>
  <c r="O811" i="5"/>
  <c r="O810" i="5"/>
  <c r="O809" i="5"/>
  <c r="O808" i="5"/>
  <c r="O807" i="5"/>
  <c r="O806" i="5"/>
  <c r="O805" i="5"/>
  <c r="O804" i="5"/>
  <c r="O803" i="5"/>
  <c r="O802" i="5"/>
  <c r="O801" i="5"/>
  <c r="O800" i="5"/>
  <c r="O577" i="5"/>
  <c r="O576" i="5"/>
  <c r="O575" i="5"/>
  <c r="O574" i="5"/>
  <c r="O573" i="5"/>
  <c r="O572" i="5"/>
  <c r="O571" i="5"/>
  <c r="O570" i="5"/>
  <c r="O569" i="5"/>
  <c r="O568" i="5"/>
  <c r="O567" i="5"/>
  <c r="O566" i="5"/>
  <c r="O565" i="5"/>
  <c r="O564" i="5"/>
  <c r="O563" i="5"/>
  <c r="O562" i="5"/>
  <c r="O561" i="5"/>
  <c r="O560" i="5"/>
  <c r="O559" i="5"/>
  <c r="O558" i="5"/>
  <c r="O557" i="5"/>
  <c r="O556" i="5"/>
  <c r="O555"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N21" i="12"/>
  <c r="O4541" i="5"/>
  <c r="O4540" i="5"/>
  <c r="O4539" i="5"/>
  <c r="O4538" i="5"/>
  <c r="O4537" i="5"/>
  <c r="O4536" i="5"/>
  <c r="O4535" i="5"/>
  <c r="O4534" i="5"/>
  <c r="O4533" i="5"/>
  <c r="O4532" i="5"/>
  <c r="O4531" i="5"/>
  <c r="O4530" i="5"/>
  <c r="O4156" i="5"/>
  <c r="O4155" i="5"/>
  <c r="O4154" i="5"/>
  <c r="O4153" i="5"/>
  <c r="O4152" i="5"/>
  <c r="O4151" i="5"/>
  <c r="O4150" i="5"/>
  <c r="O4149" i="5"/>
  <c r="O4148" i="5"/>
  <c r="O4147" i="5"/>
  <c r="O4146" i="5"/>
  <c r="O4145" i="5"/>
  <c r="O4144" i="5"/>
  <c r="O4143" i="5"/>
  <c r="O4142" i="5"/>
  <c r="O4141" i="5"/>
  <c r="O4140" i="5"/>
  <c r="O4139" i="5"/>
  <c r="O4138" i="5"/>
  <c r="O4137" i="5"/>
  <c r="O4136" i="5"/>
  <c r="O3809" i="5"/>
  <c r="O3808" i="5"/>
  <c r="O3807" i="5"/>
  <c r="O3806" i="5"/>
  <c r="O3805" i="5"/>
  <c r="O3804" i="5"/>
  <c r="O3803" i="5"/>
  <c r="O3802" i="5"/>
  <c r="O3801" i="5"/>
  <c r="O3800" i="5"/>
  <c r="O3799" i="5"/>
  <c r="O3798" i="5"/>
  <c r="O3797" i="5"/>
  <c r="O3796" i="5"/>
  <c r="O3795" i="5"/>
  <c r="O3794" i="5"/>
  <c r="O3793" i="5"/>
  <c r="O3792" i="5"/>
  <c r="O3791" i="5"/>
  <c r="O3790" i="5"/>
  <c r="O3789" i="5"/>
  <c r="O3788" i="5"/>
  <c r="O3443" i="5"/>
  <c r="O3442" i="5"/>
  <c r="O3441" i="5"/>
  <c r="O3440" i="5"/>
  <c r="O3439" i="5"/>
  <c r="O3438" i="5"/>
  <c r="O3437" i="5"/>
  <c r="O3436" i="5"/>
  <c r="O3435" i="5"/>
  <c r="O3434" i="5"/>
  <c r="O3433" i="5"/>
  <c r="O3432" i="5"/>
  <c r="O3431" i="5"/>
  <c r="O3430" i="5"/>
  <c r="O3429" i="5"/>
  <c r="O3428" i="5"/>
  <c r="O3427" i="5"/>
  <c r="O3139" i="5"/>
  <c r="O3138" i="5"/>
  <c r="O3137" i="5"/>
  <c r="O3136" i="5"/>
  <c r="O3135" i="5"/>
  <c r="O3134" i="5"/>
  <c r="O3133" i="5"/>
  <c r="O3132" i="5"/>
  <c r="O3131" i="5"/>
  <c r="O3130" i="5"/>
  <c r="O3129" i="5"/>
  <c r="O3128" i="5"/>
  <c r="O3127" i="5"/>
  <c r="O3126" i="5"/>
  <c r="O3125" i="5"/>
  <c r="O3124" i="5"/>
  <c r="O3123" i="5"/>
  <c r="O3070" i="5"/>
  <c r="O3069" i="5"/>
  <c r="O3068" i="5"/>
  <c r="O3067" i="5"/>
  <c r="O3066" i="5"/>
  <c r="O3065" i="5"/>
  <c r="O2768" i="5"/>
  <c r="O2767" i="5"/>
  <c r="O2766" i="5"/>
  <c r="O2765" i="5"/>
  <c r="O2764" i="5"/>
  <c r="O2763" i="5"/>
  <c r="O2762" i="5"/>
  <c r="O2761" i="5"/>
  <c r="O2760" i="5"/>
  <c r="O2759" i="5"/>
  <c r="O2758" i="5"/>
  <c r="O2757" i="5"/>
  <c r="O2756" i="5"/>
  <c r="O2732" i="5"/>
  <c r="O2731" i="5"/>
  <c r="O2730" i="5"/>
  <c r="O2436" i="5"/>
  <c r="O2435" i="5"/>
  <c r="O2434" i="5"/>
  <c r="O2433" i="5"/>
  <c r="O2432" i="5"/>
  <c r="O2431" i="5"/>
  <c r="O2402" i="5"/>
  <c r="O2401" i="5"/>
  <c r="O2400" i="5"/>
  <c r="O2399" i="5"/>
  <c r="O2398" i="5"/>
  <c r="O2044" i="5"/>
  <c r="O1629" i="5"/>
  <c r="O1628" i="5"/>
  <c r="O1627" i="5"/>
  <c r="O1585" i="5"/>
  <c r="O1584" i="5"/>
  <c r="O1583" i="5"/>
  <c r="O1582" i="5"/>
  <c r="O1581" i="5"/>
  <c r="O1580" i="5"/>
  <c r="O1579" i="5"/>
  <c r="O1578" i="5"/>
  <c r="O1577" i="5"/>
  <c r="O1576" i="5"/>
  <c r="O1575" i="5"/>
  <c r="O1574" i="5"/>
  <c r="O1573" i="5"/>
  <c r="O1572" i="5"/>
  <c r="O1292" i="5"/>
  <c r="O1291" i="5"/>
  <c r="O1285" i="5"/>
  <c r="O1284" i="5"/>
  <c r="O1273" i="5"/>
  <c r="O1272" i="5"/>
  <c r="O1271" i="5"/>
  <c r="O1270" i="5"/>
  <c r="O1269" i="5"/>
  <c r="O1268" i="5"/>
  <c r="O1267" i="5"/>
  <c r="O1266" i="5"/>
  <c r="O1265" i="5"/>
  <c r="O1264" i="5"/>
  <c r="O1263" i="5"/>
  <c r="O1002" i="5"/>
  <c r="O1001" i="5"/>
  <c r="O935" i="5"/>
  <c r="O934" i="5"/>
  <c r="O933" i="5"/>
  <c r="O932" i="5"/>
  <c r="O931" i="5"/>
  <c r="O930" i="5"/>
  <c r="O882" i="5"/>
  <c r="O881" i="5"/>
  <c r="O880" i="5"/>
  <c r="O589" i="5"/>
  <c r="O588" i="5"/>
  <c r="O587" i="5"/>
  <c r="O586" i="5"/>
  <c r="O585" i="5"/>
  <c r="O584" i="5"/>
  <c r="O583" i="5"/>
  <c r="O582" i="5"/>
  <c r="O581" i="5"/>
  <c r="O580" i="5"/>
  <c r="O579" i="5"/>
  <c r="O328" i="5"/>
  <c r="O262" i="5"/>
  <c r="O228" i="5"/>
  <c r="O227" i="5"/>
  <c r="O226" i="5"/>
  <c r="O225" i="5"/>
  <c r="O224" i="5"/>
  <c r="O223" i="5"/>
  <c r="O222" i="5"/>
  <c r="O221" i="5"/>
  <c r="O220" i="5"/>
  <c r="N3" i="12"/>
  <c r="N20" i="12"/>
  <c r="O4497" i="5"/>
  <c r="O4496" i="5"/>
  <c r="O4495" i="5"/>
  <c r="O4494" i="5"/>
  <c r="O4493" i="5"/>
  <c r="O4492" i="5"/>
  <c r="O4491" i="5"/>
  <c r="O4490" i="5"/>
  <c r="O4489" i="5"/>
  <c r="O4488" i="5"/>
  <c r="O4487" i="5"/>
  <c r="O4486" i="5"/>
  <c r="O4485" i="5"/>
  <c r="O4484" i="5"/>
  <c r="O4483" i="5"/>
  <c r="O4482" i="5"/>
  <c r="O4481" i="5"/>
  <c r="O4480" i="5"/>
  <c r="O4479" i="5"/>
  <c r="O4478" i="5"/>
  <c r="O4477" i="5"/>
  <c r="O4476" i="5"/>
  <c r="O4475" i="5"/>
  <c r="O4474" i="5"/>
  <c r="O4473" i="5"/>
  <c r="O4121" i="5"/>
  <c r="O4120" i="5"/>
  <c r="O4119" i="5"/>
  <c r="O4118" i="5"/>
  <c r="O4117" i="5"/>
  <c r="O4116" i="5"/>
  <c r="O4115" i="5"/>
  <c r="O4114" i="5"/>
  <c r="O4113" i="5"/>
  <c r="O4112" i="5"/>
  <c r="O4111" i="5"/>
  <c r="O4110" i="5"/>
  <c r="O4109" i="5"/>
  <c r="O4108" i="5"/>
  <c r="O4107" i="5"/>
  <c r="O4106" i="5"/>
  <c r="O4105" i="5"/>
  <c r="O4104" i="5"/>
  <c r="O4103" i="5"/>
  <c r="O3777" i="5"/>
  <c r="O3776" i="5"/>
  <c r="O3775" i="5"/>
  <c r="O3774" i="5"/>
  <c r="O3773" i="5"/>
  <c r="O3772" i="5"/>
  <c r="O3771" i="5"/>
  <c r="O3770" i="5"/>
  <c r="O3769" i="5"/>
  <c r="O3768" i="5"/>
  <c r="O3767" i="5"/>
  <c r="O3766" i="5"/>
  <c r="O3765" i="5"/>
  <c r="O3764" i="5"/>
  <c r="O3763" i="5"/>
  <c r="O3762" i="5"/>
  <c r="O3761" i="5"/>
  <c r="O3760" i="5"/>
  <c r="O3759" i="5"/>
  <c r="O3758" i="5"/>
  <c r="O3757" i="5"/>
  <c r="O3756" i="5"/>
  <c r="O3755" i="5"/>
  <c r="O3754" i="5"/>
  <c r="O3753" i="5"/>
  <c r="O3752" i="5"/>
  <c r="O3751" i="5"/>
  <c r="O3750" i="5"/>
  <c r="O3749" i="5"/>
  <c r="O3425" i="5"/>
  <c r="O3424" i="5"/>
  <c r="O3423" i="5"/>
  <c r="O3422" i="5"/>
  <c r="O3421" i="5"/>
  <c r="O3420" i="5"/>
  <c r="O3419" i="5"/>
  <c r="O3418" i="5"/>
  <c r="O3417" i="5"/>
  <c r="O3416" i="5"/>
  <c r="O3415" i="5"/>
  <c r="O3414" i="5"/>
  <c r="O3413" i="5"/>
  <c r="O3412" i="5"/>
  <c r="O3411" i="5"/>
  <c r="O3410" i="5"/>
  <c r="O3409" i="5"/>
  <c r="O3122" i="5"/>
  <c r="O3121" i="5"/>
  <c r="O3120" i="5"/>
  <c r="O3119" i="5"/>
  <c r="O3118" i="5"/>
  <c r="O3117" i="5"/>
  <c r="O3116" i="5"/>
  <c r="O3115" i="5"/>
  <c r="O3114" i="5"/>
  <c r="O3113" i="5"/>
  <c r="O3112" i="5"/>
  <c r="O3111" i="5"/>
  <c r="O3110" i="5"/>
  <c r="O3109" i="5"/>
  <c r="O3108" i="5"/>
  <c r="O3107" i="5"/>
  <c r="O3106" i="5"/>
  <c r="O3105" i="5"/>
  <c r="O3072" i="5"/>
  <c r="O3071" i="5"/>
  <c r="O2755" i="5"/>
  <c r="O2754" i="5"/>
  <c r="O2753" i="5"/>
  <c r="O2752" i="5"/>
  <c r="O2751" i="5"/>
  <c r="O2750" i="5"/>
  <c r="O2749" i="5"/>
  <c r="O2748" i="5"/>
  <c r="O2747" i="5"/>
  <c r="O2746" i="5"/>
  <c r="O2745" i="5"/>
  <c r="O2744" i="5"/>
  <c r="O2743" i="5"/>
  <c r="O2742" i="5"/>
  <c r="O2741" i="5"/>
  <c r="O2740" i="5"/>
  <c r="O2739" i="5"/>
  <c r="O2738" i="5"/>
  <c r="O2737" i="5"/>
  <c r="O2736" i="5"/>
  <c r="O2735" i="5"/>
  <c r="O2734" i="5"/>
  <c r="O2733" i="5"/>
  <c r="O2430" i="5"/>
  <c r="O2429" i="5"/>
  <c r="O2428" i="5"/>
  <c r="O2427" i="5"/>
  <c r="O2426" i="5"/>
  <c r="O2425" i="5"/>
  <c r="O2424" i="5"/>
  <c r="O2423" i="5"/>
  <c r="O2422" i="5"/>
  <c r="O2421" i="5"/>
  <c r="O2420" i="5"/>
  <c r="O2419" i="5"/>
  <c r="O2418" i="5"/>
  <c r="O2417" i="5"/>
  <c r="O2416" i="5"/>
  <c r="O2415" i="5"/>
  <c r="O2414" i="5"/>
  <c r="O2413" i="5"/>
  <c r="O2412" i="5"/>
  <c r="O2411" i="5"/>
  <c r="O2410" i="5"/>
  <c r="O2409" i="5"/>
  <c r="O2408" i="5"/>
  <c r="O2407" i="5"/>
  <c r="O2406" i="5"/>
  <c r="O2405" i="5"/>
  <c r="O2404" i="5"/>
  <c r="O2403" i="5"/>
  <c r="O2068" i="5"/>
  <c r="O2067" i="5"/>
  <c r="O2066" i="5"/>
  <c r="O2065" i="5"/>
  <c r="O2064" i="5"/>
  <c r="O2063" i="5"/>
  <c r="O2062" i="5"/>
  <c r="O2061" i="5"/>
  <c r="O2060" i="5"/>
  <c r="O2059" i="5"/>
  <c r="O2058" i="5"/>
  <c r="O2057" i="5"/>
  <c r="O2056" i="5"/>
  <c r="O2055" i="5"/>
  <c r="O2054" i="5"/>
  <c r="O2053" i="5"/>
  <c r="O2052" i="5"/>
  <c r="O2051" i="5"/>
  <c r="O1710" i="5"/>
  <c r="O1709" i="5"/>
  <c r="O1708" i="5"/>
  <c r="O1707" i="5"/>
  <c r="O1706" i="5"/>
  <c r="O1705" i="5"/>
  <c r="O1704" i="5"/>
  <c r="O1703" i="5"/>
  <c r="O1702" i="5"/>
  <c r="O1701" i="5"/>
  <c r="O1700" i="5"/>
  <c r="O1699" i="5"/>
  <c r="O1698" i="5"/>
  <c r="O1697" i="5"/>
  <c r="O1696" i="5"/>
  <c r="O1695" i="5"/>
  <c r="O1694" i="5"/>
  <c r="O1693" i="5"/>
  <c r="O1692" i="5"/>
  <c r="O1691" i="5"/>
  <c r="O1690" i="5"/>
  <c r="O1689" i="5"/>
  <c r="O1688" i="5"/>
  <c r="O1687" i="5"/>
  <c r="O1686" i="5"/>
  <c r="O1685" i="5"/>
  <c r="O1022" i="5"/>
  <c r="O1021" i="5"/>
  <c r="O1020" i="5"/>
  <c r="O1019" i="5"/>
  <c r="O1018" i="5"/>
  <c r="O1017" i="5"/>
  <c r="O1016" i="5"/>
  <c r="O1015" i="5"/>
  <c r="O1014" i="5"/>
  <c r="O1013" i="5"/>
  <c r="O1012" i="5"/>
  <c r="O1011" i="5"/>
  <c r="O1010" i="5"/>
  <c r="O1009" i="5"/>
  <c r="O1008" i="5"/>
  <c r="O1007" i="5"/>
  <c r="O1006" i="5"/>
  <c r="O647" i="5"/>
  <c r="O632" i="5"/>
  <c r="O620" i="5"/>
  <c r="O619" i="5"/>
  <c r="O618" i="5"/>
  <c r="O617" i="5"/>
  <c r="O616" i="5"/>
  <c r="O605" i="5"/>
  <c r="O604" i="5"/>
  <c r="O603" i="5"/>
  <c r="O327" i="5"/>
  <c r="O326" i="5"/>
  <c r="O325" i="5"/>
  <c r="O324" i="5"/>
  <c r="O323" i="5"/>
  <c r="O281" i="5"/>
  <c r="O280" i="5"/>
  <c r="O275" i="5"/>
  <c r="O274" i="5"/>
  <c r="O273" i="5"/>
  <c r="O272" i="5"/>
  <c r="O271" i="5"/>
  <c r="O270" i="5"/>
  <c r="O266" i="5"/>
  <c r="O265" i="5"/>
  <c r="O264" i="5"/>
  <c r="O263" i="5"/>
  <c r="O4450" i="5"/>
  <c r="O4449" i="5"/>
  <c r="O4448" i="5"/>
  <c r="O4447" i="5"/>
  <c r="O4446" i="5"/>
  <c r="O4445" i="5"/>
  <c r="O4444" i="5"/>
  <c r="O4443" i="5"/>
  <c r="O4442" i="5"/>
  <c r="O4441" i="5"/>
  <c r="O4440" i="5"/>
  <c r="O4439" i="5"/>
  <c r="O4438" i="5"/>
  <c r="O4437" i="5"/>
  <c r="O4436" i="5"/>
  <c r="O4435" i="5"/>
  <c r="O4074" i="5"/>
  <c r="O3716" i="5"/>
  <c r="O3715" i="5"/>
  <c r="O3714" i="5"/>
  <c r="O3713" i="5"/>
  <c r="O3712" i="5"/>
  <c r="O3711" i="5"/>
  <c r="O3710" i="5"/>
  <c r="O3709" i="5"/>
  <c r="O3708" i="5"/>
  <c r="O3707" i="5"/>
  <c r="O3706" i="5"/>
  <c r="O3705" i="5"/>
  <c r="O3647" i="5"/>
  <c r="O3646" i="5"/>
  <c r="O3645" i="5"/>
  <c r="O3644" i="5"/>
  <c r="O3340" i="5"/>
  <c r="O3338" i="5"/>
  <c r="O3337" i="5"/>
  <c r="O3336" i="5"/>
  <c r="O3335" i="5"/>
  <c r="O3334" i="5"/>
  <c r="O3333" i="5"/>
  <c r="O3332" i="5"/>
  <c r="O3331" i="5"/>
  <c r="O3327" i="5"/>
  <c r="O3326" i="5"/>
  <c r="O3325" i="5"/>
  <c r="O3324" i="5"/>
  <c r="O3323" i="5"/>
  <c r="O3322" i="5"/>
  <c r="O3321" i="5"/>
  <c r="O3030" i="5"/>
  <c r="O3029" i="5"/>
  <c r="O3028" i="5"/>
  <c r="O3027" i="5"/>
  <c r="O3013" i="5"/>
  <c r="O3012" i="5"/>
  <c r="O3011" i="5"/>
  <c r="O3010" i="5"/>
  <c r="O3009" i="5"/>
  <c r="O2992" i="5"/>
  <c r="O2991" i="5"/>
  <c r="O2990" i="5"/>
  <c r="O2989" i="5"/>
  <c r="O2988" i="5"/>
  <c r="O2987" i="5"/>
  <c r="O2986" i="5"/>
  <c r="O2985" i="5"/>
  <c r="O2984" i="5"/>
  <c r="O2983" i="5"/>
  <c r="O2982" i="5"/>
  <c r="O2964" i="5"/>
  <c r="O2963" i="5"/>
  <c r="O2962" i="5"/>
  <c r="O2948" i="5"/>
  <c r="O2947" i="5"/>
  <c r="O2946" i="5"/>
  <c r="O2945" i="5"/>
  <c r="O2944" i="5"/>
  <c r="O2943" i="5"/>
  <c r="O2707" i="5"/>
  <c r="O2697" i="5"/>
  <c r="O2679" i="5"/>
  <c r="O2678" i="5"/>
  <c r="O2677" i="5"/>
  <c r="O2676" i="5"/>
  <c r="O2675" i="5"/>
  <c r="O2674" i="5"/>
  <c r="O2673" i="5"/>
  <c r="O2672" i="5"/>
  <c r="O2671" i="5"/>
  <c r="O2380" i="5"/>
  <c r="O2295" i="5"/>
  <c r="O2294" i="5"/>
  <c r="O2293" i="5"/>
  <c r="O2292" i="5"/>
  <c r="O2291" i="5"/>
  <c r="O2290" i="5"/>
  <c r="O2289" i="5"/>
  <c r="O2288" i="5"/>
  <c r="O2287" i="5"/>
  <c r="O2286" i="5"/>
  <c r="O2285" i="5"/>
  <c r="O2284" i="5"/>
  <c r="O2283" i="5"/>
  <c r="O2282" i="5"/>
  <c r="O2281" i="5"/>
  <c r="O2280" i="5"/>
  <c r="O2279" i="5"/>
  <c r="O2278" i="5"/>
  <c r="O2277" i="5"/>
  <c r="O2276" i="5"/>
  <c r="O2275" i="5"/>
  <c r="O2274" i="5"/>
  <c r="O2273" i="5"/>
  <c r="O2272" i="5"/>
  <c r="O2271" i="5"/>
  <c r="O2270" i="5"/>
  <c r="O2269" i="5"/>
  <c r="O2268" i="5"/>
  <c r="O2267" i="5"/>
  <c r="O2266" i="5"/>
  <c r="O2265" i="5"/>
  <c r="O1979" i="5"/>
  <c r="O1978" i="5"/>
  <c r="O1977" i="5"/>
  <c r="O1965" i="5"/>
  <c r="O1964" i="5"/>
  <c r="O1963" i="5"/>
  <c r="O1962" i="5"/>
  <c r="O1961" i="5"/>
  <c r="O1960" i="5"/>
  <c r="O1959" i="5"/>
  <c r="O1958" i="5"/>
  <c r="O1616" i="5"/>
  <c r="O1615" i="5"/>
  <c r="O1614" i="5"/>
  <c r="O1613" i="5"/>
  <c r="O1612" i="5"/>
  <c r="O1611" i="5"/>
  <c r="O1610" i="5"/>
  <c r="O1609" i="5"/>
  <c r="O1608" i="5"/>
  <c r="O1607" i="5"/>
  <c r="O1606" i="5"/>
  <c r="O1605" i="5"/>
  <c r="O1604" i="5"/>
  <c r="O1603" i="5"/>
  <c r="O1602" i="5"/>
  <c r="O1601" i="5"/>
  <c r="O1600" i="5"/>
  <c r="O1599" i="5"/>
  <c r="O1598" i="5"/>
  <c r="O1597" i="5"/>
  <c r="O1596" i="5"/>
  <c r="O1595" i="5"/>
  <c r="O1594" i="5"/>
  <c r="O1593" i="5"/>
  <c r="O1592" i="5"/>
  <c r="O1591" i="5"/>
  <c r="O1590" i="5"/>
  <c r="O1589" i="5"/>
  <c r="O1588" i="5"/>
  <c r="O1587" i="5"/>
  <c r="O1586" i="5"/>
  <c r="O1283" i="5"/>
  <c r="O1282" i="5"/>
  <c r="O1281" i="5"/>
  <c r="O1280" i="5"/>
  <c r="O1279" i="5"/>
  <c r="O1278" i="5"/>
  <c r="O1277" i="5"/>
  <c r="O1276" i="5"/>
  <c r="O1275" i="5"/>
  <c r="O1274" i="5"/>
  <c r="O929" i="5"/>
  <c r="O928" i="5"/>
  <c r="O913" i="5"/>
  <c r="O912" i="5"/>
  <c r="O911" i="5"/>
  <c r="O910" i="5"/>
  <c r="O909" i="5"/>
  <c r="O908" i="5"/>
  <c r="O907" i="5"/>
  <c r="O906" i="5"/>
  <c r="O905" i="5"/>
  <c r="O904" i="5"/>
  <c r="O903" i="5"/>
  <c r="O902" i="5"/>
  <c r="O901" i="5"/>
  <c r="O900" i="5"/>
  <c r="O899" i="5"/>
  <c r="O898" i="5"/>
  <c r="O897" i="5"/>
  <c r="O896" i="5"/>
  <c r="O895" i="5"/>
  <c r="O894" i="5"/>
  <c r="O893" i="5"/>
  <c r="O892" i="5"/>
  <c r="O891" i="5"/>
  <c r="O890" i="5"/>
  <c r="O889" i="5"/>
  <c r="O888" i="5"/>
  <c r="O887" i="5"/>
  <c r="O886" i="5"/>
  <c r="O885" i="5"/>
  <c r="O884" i="5"/>
  <c r="O883" i="5"/>
  <c r="O601" i="5"/>
  <c r="O600" i="5"/>
  <c r="O599" i="5"/>
  <c r="O598" i="5"/>
  <c r="O597" i="5"/>
  <c r="O596" i="5"/>
  <c r="O595" i="5"/>
  <c r="O594"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N18" i="12"/>
  <c r="M15" i="16"/>
  <c r="E15" i="10"/>
  <c r="O4429" i="5"/>
  <c r="O4428" i="5"/>
  <c r="O4427" i="5"/>
  <c r="O4426" i="5"/>
  <c r="O4425" i="5"/>
  <c r="O4424" i="5"/>
  <c r="O4423" i="5"/>
  <c r="O4422" i="5"/>
  <c r="O4421" i="5"/>
  <c r="O4420" i="5"/>
  <c r="O4419" i="5"/>
  <c r="O4418" i="5"/>
  <c r="O4417" i="5"/>
  <c r="O4416" i="5"/>
  <c r="O4397" i="5"/>
  <c r="O4396" i="5"/>
  <c r="O4395" i="5"/>
  <c r="O4062" i="5"/>
  <c r="O4061" i="5"/>
  <c r="O4060" i="5"/>
  <c r="O4059" i="5"/>
  <c r="O4058" i="5"/>
  <c r="O4057" i="5"/>
  <c r="O4045" i="5"/>
  <c r="O4044" i="5"/>
  <c r="O4028" i="5"/>
  <c r="O3704" i="5"/>
  <c r="O3703" i="5"/>
  <c r="O3702" i="5"/>
  <c r="O3701" i="5"/>
  <c r="O3661" i="5"/>
  <c r="O3660" i="5"/>
  <c r="O3659" i="5"/>
  <c r="O3658" i="5"/>
  <c r="O3657" i="5"/>
  <c r="O3656" i="5"/>
  <c r="O3655" i="5"/>
  <c r="O3654" i="5"/>
  <c r="O3653" i="5"/>
  <c r="O3652" i="5"/>
  <c r="O3651" i="5"/>
  <c r="O3650" i="5"/>
  <c r="O3649" i="5"/>
  <c r="O3648" i="5"/>
  <c r="O3339" i="5"/>
  <c r="O3008" i="5"/>
  <c r="O3007" i="5"/>
  <c r="O3006" i="5"/>
  <c r="O3005" i="5"/>
  <c r="O3004" i="5"/>
  <c r="O3003" i="5"/>
  <c r="O3002" i="5"/>
  <c r="O3001" i="5"/>
  <c r="O3000" i="5"/>
  <c r="O2999" i="5"/>
  <c r="O2998" i="5"/>
  <c r="O2997" i="5"/>
  <c r="O2996" i="5"/>
  <c r="O2995" i="5"/>
  <c r="O2994" i="5"/>
  <c r="O2993" i="5"/>
  <c r="O2706" i="5"/>
  <c r="O2705" i="5"/>
  <c r="O2704" i="5"/>
  <c r="O2703" i="5"/>
  <c r="O2702" i="5"/>
  <c r="O2701" i="5"/>
  <c r="O2700" i="5"/>
  <c r="O2699" i="5"/>
  <c r="O2698" i="5"/>
  <c r="O2379" i="5"/>
  <c r="O2378" i="5"/>
  <c r="O2347" i="5"/>
  <c r="O2346" i="5"/>
  <c r="O2345" i="5"/>
  <c r="O2344" i="5"/>
  <c r="O1976" i="5"/>
  <c r="O1975" i="5"/>
  <c r="O1974" i="5"/>
  <c r="O1973" i="5"/>
  <c r="O1972" i="5"/>
  <c r="O1971" i="5"/>
  <c r="O1970" i="5"/>
  <c r="O1969" i="5"/>
  <c r="O1968" i="5"/>
  <c r="O1967" i="5"/>
  <c r="O1966" i="5"/>
  <c r="O1626" i="5"/>
  <c r="O1625" i="5"/>
  <c r="O1624" i="5"/>
  <c r="O1623" i="5"/>
  <c r="O1622" i="5"/>
  <c r="O1621" i="5"/>
  <c r="O1620" i="5"/>
  <c r="O1619" i="5"/>
  <c r="O1618" i="5"/>
  <c r="O1617" i="5"/>
  <c r="O1290" i="5"/>
  <c r="O1289" i="5"/>
  <c r="O1288" i="5"/>
  <c r="O1287" i="5"/>
  <c r="O1286" i="5"/>
  <c r="O927" i="5"/>
  <c r="O926" i="5"/>
  <c r="O925" i="5"/>
  <c r="O924" i="5"/>
  <c r="O923" i="5"/>
  <c r="O922" i="5"/>
  <c r="O921" i="5"/>
  <c r="O920" i="5"/>
  <c r="O919" i="5"/>
  <c r="O918" i="5"/>
  <c r="O917" i="5"/>
  <c r="O916" i="5"/>
  <c r="O915" i="5"/>
  <c r="O914" i="5"/>
  <c r="O615" i="5"/>
  <c r="O614" i="5"/>
  <c r="O613" i="5"/>
  <c r="O612" i="5"/>
  <c r="O611" i="5"/>
  <c r="O610" i="5"/>
  <c r="O609" i="5"/>
  <c r="O608" i="5"/>
  <c r="O607" i="5"/>
  <c r="O606" i="5"/>
  <c r="O269" i="5"/>
  <c r="O268" i="5"/>
  <c r="O267" i="5"/>
  <c r="N2" i="12"/>
  <c r="N17" i="12"/>
  <c r="N10" i="12"/>
  <c r="M14" i="16"/>
  <c r="E14" i="10"/>
  <c r="M13" i="16"/>
  <c r="E13" i="10"/>
  <c r="M12" i="16"/>
  <c r="E12" i="10"/>
  <c r="M11" i="16"/>
  <c r="E11" i="10"/>
  <c r="O4415" i="5"/>
  <c r="O4414" i="5"/>
  <c r="O4413" i="5"/>
  <c r="O4412" i="5"/>
  <c r="O4411" i="5"/>
  <c r="O4410" i="5"/>
  <c r="O4409" i="5"/>
  <c r="O4408" i="5"/>
  <c r="O4407" i="5"/>
  <c r="O4406" i="5"/>
  <c r="O4405" i="5"/>
  <c r="O4404" i="5"/>
  <c r="O4403" i="5"/>
  <c r="O4402" i="5"/>
  <c r="O4401" i="5"/>
  <c r="O4400" i="5"/>
  <c r="O4399" i="5"/>
  <c r="O4398" i="5"/>
  <c r="O4056" i="5"/>
  <c r="O4055" i="5"/>
  <c r="O4054" i="5"/>
  <c r="O4053" i="5"/>
  <c r="O4052" i="5"/>
  <c r="O4051" i="5"/>
  <c r="O4050" i="5"/>
  <c r="O4049" i="5"/>
  <c r="O4048" i="5"/>
  <c r="O4047" i="5"/>
  <c r="O4046" i="5"/>
  <c r="O3700" i="5"/>
  <c r="O3699" i="5"/>
  <c r="O3698" i="5"/>
  <c r="O3697" i="5"/>
  <c r="O3696" i="5"/>
  <c r="O3695" i="5"/>
  <c r="O3694" i="5"/>
  <c r="O3693" i="5"/>
  <c r="O3692" i="5"/>
  <c r="O3691" i="5"/>
  <c r="O3690" i="5"/>
  <c r="O3689" i="5"/>
  <c r="O3668" i="5"/>
  <c r="O3667" i="5"/>
  <c r="O3665" i="5"/>
  <c r="O3664" i="5"/>
  <c r="O3663" i="5"/>
  <c r="O3662" i="5"/>
  <c r="O3366" i="5"/>
  <c r="O3365" i="5"/>
  <c r="O3364" i="5"/>
  <c r="O3363" i="5"/>
  <c r="O3362" i="5"/>
  <c r="O3348" i="5"/>
  <c r="O3347" i="5"/>
  <c r="O3346" i="5"/>
  <c r="O3345" i="5"/>
  <c r="O3344" i="5"/>
  <c r="O3343" i="5"/>
  <c r="O3026" i="5"/>
  <c r="O3025" i="5"/>
  <c r="O3024" i="5"/>
  <c r="O3023" i="5"/>
  <c r="O3022" i="5"/>
  <c r="O3021" i="5"/>
  <c r="O3019" i="5"/>
  <c r="O3018" i="5"/>
  <c r="O3017" i="5"/>
  <c r="O3016" i="5"/>
  <c r="O3015" i="5"/>
  <c r="O3014" i="5"/>
  <c r="O2714" i="5"/>
  <c r="O2377" i="5"/>
  <c r="O2376" i="5"/>
  <c r="O2375" i="5"/>
  <c r="O2374" i="5"/>
  <c r="O2373" i="5"/>
  <c r="O2372" i="5"/>
  <c r="O2371" i="5"/>
  <c r="O2370" i="5"/>
  <c r="O2369" i="5"/>
  <c r="O2368" i="5"/>
  <c r="O2367" i="5"/>
  <c r="O2366" i="5"/>
  <c r="O2365" i="5"/>
  <c r="O2364" i="5"/>
  <c r="O2034" i="5"/>
  <c r="O2033" i="5"/>
  <c r="O2032" i="5"/>
  <c r="O2031" i="5"/>
  <c r="O2030" i="5"/>
  <c r="O2029" i="5"/>
  <c r="O2028" i="5"/>
  <c r="O2027" i="5"/>
  <c r="O2026" i="5"/>
  <c r="O2025" i="5"/>
  <c r="O2024" i="5"/>
  <c r="O2023" i="5"/>
  <c r="O1980" i="5"/>
  <c r="O1677" i="5"/>
  <c r="O1676" i="5"/>
  <c r="O1675" i="5"/>
  <c r="O1674" i="5"/>
  <c r="O1673" i="5"/>
  <c r="O1672" i="5"/>
  <c r="O1671" i="5"/>
  <c r="O1670" i="5"/>
  <c r="O1669" i="5"/>
  <c r="O1668" i="5"/>
  <c r="O1667" i="5"/>
  <c r="O1666" i="5"/>
  <c r="O1348" i="5"/>
  <c r="O1347" i="5"/>
  <c r="O1346" i="5"/>
  <c r="O1345" i="5"/>
  <c r="O1344" i="5"/>
  <c r="O1343" i="5"/>
  <c r="O1302" i="5"/>
  <c r="O1301" i="5"/>
  <c r="O1300" i="5"/>
  <c r="O1299" i="5"/>
  <c r="O1000" i="5"/>
  <c r="O999" i="5"/>
  <c r="O998" i="5"/>
  <c r="O938" i="5"/>
  <c r="O937" i="5"/>
  <c r="O936" i="5"/>
  <c r="O631" i="5"/>
  <c r="O630" i="5"/>
  <c r="O629" i="5"/>
  <c r="O628" i="5"/>
  <c r="O627" i="5"/>
  <c r="O626" i="5"/>
  <c r="O625" i="5"/>
  <c r="O624" i="5"/>
  <c r="O623" i="5"/>
  <c r="O622" i="5"/>
  <c r="O621" i="5"/>
  <c r="O279" i="5"/>
  <c r="O278" i="5"/>
  <c r="O277" i="5"/>
  <c r="O276" i="5"/>
  <c r="N16" i="12"/>
  <c r="H9" i="10"/>
  <c r="O9" i="16" s="1"/>
  <c r="M8" i="16"/>
  <c r="E8" i="10"/>
  <c r="M7" i="16"/>
  <c r="E7" i="10"/>
  <c r="M6" i="16"/>
  <c r="E6" i="10"/>
  <c r="M5" i="16"/>
  <c r="E5" i="10"/>
  <c r="M4" i="16"/>
  <c r="E4" i="10"/>
  <c r="O4392" i="5"/>
  <c r="O4391" i="5"/>
  <c r="O4390" i="5"/>
  <c r="O4389" i="5"/>
  <c r="O4388" i="5"/>
  <c r="O4387" i="5"/>
  <c r="O4386" i="5"/>
  <c r="O4385" i="5"/>
  <c r="O4384" i="5"/>
  <c r="O4383" i="5"/>
  <c r="O4382" i="5"/>
  <c r="O4381" i="5"/>
  <c r="O4380" i="5"/>
  <c r="O4379" i="5"/>
  <c r="O4378" i="5"/>
  <c r="O4377" i="5"/>
  <c r="O4376" i="5"/>
  <c r="O4375" i="5"/>
  <c r="O4374" i="5"/>
  <c r="O4373" i="5"/>
  <c r="O4372" i="5"/>
  <c r="O4371" i="5"/>
  <c r="O4370" i="5"/>
  <c r="O4043" i="5"/>
  <c r="O4042" i="5"/>
  <c r="O4041" i="5"/>
  <c r="O4040" i="5"/>
  <c r="O4039" i="5"/>
  <c r="O4038" i="5"/>
  <c r="O4037" i="5"/>
  <c r="O4036" i="5"/>
  <c r="O4035" i="5"/>
  <c r="O4034" i="5"/>
  <c r="O4033" i="5"/>
  <c r="O4032" i="5"/>
  <c r="O4031" i="5"/>
  <c r="O4030" i="5"/>
  <c r="O4029" i="5"/>
  <c r="O3688" i="5"/>
  <c r="O3687" i="5"/>
  <c r="O3686" i="5"/>
  <c r="O3685" i="5"/>
  <c r="O3684" i="5"/>
  <c r="O3683" i="5"/>
  <c r="O3682" i="5"/>
  <c r="O3681" i="5"/>
  <c r="O3680" i="5"/>
  <c r="O3679" i="5"/>
  <c r="O3678" i="5"/>
  <c r="O3677" i="5"/>
  <c r="O3676" i="5"/>
  <c r="O3675" i="5"/>
  <c r="O3674" i="5"/>
  <c r="O3673" i="5"/>
  <c r="O3672" i="5"/>
  <c r="O3671" i="5"/>
  <c r="O3670" i="5"/>
  <c r="O3669" i="5"/>
  <c r="O3361" i="5"/>
  <c r="O3360" i="5"/>
  <c r="O3359" i="5"/>
  <c r="O3358" i="5"/>
  <c r="O3357" i="5"/>
  <c r="O3356" i="5"/>
  <c r="O3355" i="5"/>
  <c r="O3354" i="5"/>
  <c r="O3353" i="5"/>
  <c r="O3352" i="5"/>
  <c r="O3351" i="5"/>
  <c r="O3350" i="5"/>
  <c r="O3349" i="5"/>
  <c r="O3020" i="5"/>
  <c r="O2696" i="5"/>
  <c r="O2695" i="5"/>
  <c r="O2694" i="5"/>
  <c r="O2693" i="5"/>
  <c r="O2692" i="5"/>
  <c r="O2691" i="5"/>
  <c r="O2690" i="5"/>
  <c r="O2689" i="5"/>
  <c r="O2688" i="5"/>
  <c r="O2687" i="5"/>
  <c r="O2686" i="5"/>
  <c r="O2685" i="5"/>
  <c r="O2684" i="5"/>
  <c r="O2683" i="5"/>
  <c r="O2682" i="5"/>
  <c r="O2681" i="5"/>
  <c r="O2680" i="5"/>
  <c r="O2363" i="5"/>
  <c r="O2362" i="5"/>
  <c r="O2361" i="5"/>
  <c r="O2360" i="5"/>
  <c r="O2359" i="5"/>
  <c r="O2358" i="5"/>
  <c r="O2357" i="5"/>
  <c r="O2356" i="5"/>
  <c r="O2355" i="5"/>
  <c r="O2354" i="5"/>
  <c r="O2353" i="5"/>
  <c r="O2352" i="5"/>
  <c r="O2351" i="5"/>
  <c r="O2350" i="5"/>
  <c r="O2349" i="5"/>
  <c r="O2348" i="5"/>
  <c r="O2022" i="5"/>
  <c r="O2021" i="5"/>
  <c r="O2020" i="5"/>
  <c r="O2019" i="5"/>
  <c r="O2018" i="5"/>
  <c r="O2017" i="5"/>
  <c r="O2016" i="5"/>
  <c r="O2015" i="5"/>
  <c r="O2014" i="5"/>
  <c r="O2013" i="5"/>
  <c r="O2012" i="5"/>
  <c r="O2011" i="5"/>
  <c r="O1981" i="5"/>
  <c r="O1665" i="5"/>
  <c r="O1664" i="5"/>
  <c r="O1663" i="5"/>
  <c r="O1662" i="5"/>
  <c r="O1661" i="5"/>
  <c r="O1660" i="5"/>
  <c r="O1659" i="5"/>
  <c r="O1658" i="5"/>
  <c r="O1657" i="5"/>
  <c r="O1656" i="5"/>
  <c r="O1655" i="5"/>
  <c r="O1653" i="5"/>
  <c r="O1639" i="5"/>
  <c r="O1638" i="5"/>
  <c r="O1637" i="5"/>
  <c r="O1636" i="5"/>
  <c r="O1635" i="5"/>
  <c r="O1634" i="5"/>
  <c r="O1633" i="5"/>
  <c r="O1632" i="5"/>
  <c r="O1342" i="5"/>
  <c r="O1341" i="5"/>
  <c r="O1340" i="5"/>
  <c r="O1339" i="5"/>
  <c r="O1338" i="5"/>
  <c r="O1337" i="5"/>
  <c r="O1336" i="5"/>
  <c r="O1335" i="5"/>
  <c r="O1334" i="5"/>
  <c r="O1333" i="5"/>
  <c r="O1308" i="5"/>
  <c r="O1307" i="5"/>
  <c r="O1306" i="5"/>
  <c r="O1305" i="5"/>
  <c r="O1304" i="5"/>
  <c r="O1303" i="5"/>
  <c r="O997" i="5"/>
  <c r="O996" i="5"/>
  <c r="O995" i="5"/>
  <c r="O994" i="5"/>
  <c r="O993" i="5"/>
  <c r="O992" i="5"/>
  <c r="O991" i="5"/>
  <c r="O990" i="5"/>
  <c r="O989" i="5"/>
  <c r="O988" i="5"/>
  <c r="O987" i="5"/>
  <c r="O945" i="5"/>
  <c r="O944" i="5"/>
  <c r="O943" i="5"/>
  <c r="O942" i="5"/>
  <c r="O941" i="5"/>
  <c r="O940" i="5"/>
  <c r="O939" i="5"/>
  <c r="O646" i="5"/>
  <c r="O645" i="5"/>
  <c r="O644" i="5"/>
  <c r="O643" i="5"/>
  <c r="O642" i="5"/>
  <c r="O641" i="5"/>
  <c r="O640" i="5"/>
  <c r="O639" i="5"/>
  <c r="O638" i="5"/>
  <c r="O637" i="5"/>
  <c r="O636" i="5"/>
  <c r="O635" i="5"/>
  <c r="O634" i="5"/>
  <c r="O633" i="5"/>
  <c r="O322" i="5"/>
  <c r="O321" i="5"/>
  <c r="O320" i="5"/>
  <c r="O289" i="5"/>
  <c r="O288" i="5"/>
  <c r="O287" i="5"/>
  <c r="O286" i="5"/>
  <c r="O285" i="5"/>
  <c r="O284" i="5"/>
  <c r="O283" i="5"/>
  <c r="O282" i="5"/>
  <c r="N15" i="12"/>
  <c r="O4361" i="5"/>
  <c r="O4360" i="5"/>
  <c r="O4359" i="5"/>
  <c r="O4358" i="5"/>
  <c r="O4357" i="5"/>
  <c r="O4356" i="5"/>
  <c r="O4355" i="5"/>
  <c r="O4354" i="5"/>
  <c r="O4353" i="5"/>
  <c r="O4352" i="5"/>
  <c r="O4351" i="5"/>
  <c r="O4350" i="5"/>
  <c r="O4349" i="5"/>
  <c r="O4348" i="5"/>
  <c r="O4016" i="5"/>
  <c r="O4015" i="5"/>
  <c r="O4014" i="5"/>
  <c r="O4013" i="5"/>
  <c r="O4012" i="5"/>
  <c r="O4011" i="5"/>
  <c r="O4010" i="5"/>
  <c r="O4009" i="5"/>
  <c r="O4008" i="5"/>
  <c r="O4007" i="5"/>
  <c r="O4006" i="5"/>
  <c r="O4005" i="5"/>
  <c r="O4004" i="5"/>
  <c r="O4003" i="5"/>
  <c r="O4002" i="5"/>
  <c r="O4001" i="5"/>
  <c r="O3666" i="5"/>
  <c r="O3330" i="5"/>
  <c r="O3329" i="5"/>
  <c r="O3328" i="5"/>
  <c r="O2981" i="5"/>
  <c r="O2980" i="5"/>
  <c r="O2979" i="5"/>
  <c r="O2978" i="5"/>
  <c r="O2977" i="5"/>
  <c r="O2976" i="5"/>
  <c r="O2975" i="5"/>
  <c r="O2974" i="5"/>
  <c r="O2973" i="5"/>
  <c r="O2972" i="5"/>
  <c r="O2971" i="5"/>
  <c r="O2970" i="5"/>
  <c r="O2969" i="5"/>
  <c r="O2968" i="5"/>
  <c r="O2967" i="5"/>
  <c r="O2966" i="5"/>
  <c r="O2965" i="5"/>
  <c r="O2664" i="5"/>
  <c r="O2663" i="5"/>
  <c r="O2662" i="5"/>
  <c r="O2661" i="5"/>
  <c r="O2660" i="5"/>
  <c r="O2659" i="5"/>
  <c r="O2658" i="5"/>
  <c r="O2657" i="5"/>
  <c r="O2656" i="5"/>
  <c r="O2655" i="5"/>
  <c r="O2654" i="5"/>
  <c r="O2653" i="5"/>
  <c r="O2652" i="5"/>
  <c r="O2651" i="5"/>
  <c r="O2650" i="5"/>
  <c r="O2649" i="5"/>
  <c r="O2648" i="5"/>
  <c r="O2647" i="5"/>
  <c r="O2628" i="5"/>
  <c r="O2627" i="5"/>
  <c r="O2626" i="5"/>
  <c r="O2625" i="5"/>
  <c r="O2343" i="5"/>
  <c r="O2342" i="5"/>
  <c r="O2341" i="5"/>
  <c r="O2340" i="5"/>
  <c r="O2339" i="5"/>
  <c r="O2338" i="5"/>
  <c r="O2337" i="5"/>
  <c r="O2336" i="5"/>
  <c r="O2335" i="5"/>
  <c r="O2334" i="5"/>
  <c r="O2333" i="5"/>
  <c r="O2303" i="5"/>
  <c r="O2302" i="5"/>
  <c r="O2301" i="5"/>
  <c r="O2300" i="5"/>
  <c r="O2299" i="5"/>
  <c r="O2298" i="5"/>
  <c r="O2297" i="5"/>
  <c r="O2296" i="5"/>
  <c r="O2010" i="5"/>
  <c r="O2009" i="5"/>
  <c r="O2008" i="5"/>
  <c r="O2007" i="5"/>
  <c r="O2006" i="5"/>
  <c r="O2005" i="5"/>
  <c r="O2004" i="5"/>
  <c r="O1984" i="5"/>
  <c r="O1983" i="5"/>
  <c r="O1982" i="5"/>
  <c r="O1652" i="5"/>
  <c r="O1651" i="5"/>
  <c r="O1650" i="5"/>
  <c r="O1649" i="5"/>
  <c r="O1648" i="5"/>
  <c r="O1647" i="5"/>
  <c r="O1646" i="5"/>
  <c r="O1645" i="5"/>
  <c r="O1644" i="5"/>
  <c r="O1643" i="5"/>
  <c r="O1642" i="5"/>
  <c r="O1641" i="5"/>
  <c r="O1640" i="5"/>
  <c r="O1332" i="5"/>
  <c r="O1331" i="5"/>
  <c r="O1330" i="5"/>
  <c r="O1329" i="5"/>
  <c r="O1328" i="5"/>
  <c r="O1327" i="5"/>
  <c r="O1326" i="5"/>
  <c r="O1325" i="5"/>
  <c r="O1309" i="5"/>
  <c r="O986" i="5"/>
  <c r="O985" i="5"/>
  <c r="O984" i="5"/>
  <c r="O983" i="5"/>
  <c r="O964" i="5"/>
  <c r="O963" i="5"/>
  <c r="O962" i="5"/>
  <c r="O961" i="5"/>
  <c r="O960" i="5"/>
  <c r="O959" i="5"/>
  <c r="O958" i="5"/>
  <c r="O957" i="5"/>
  <c r="O956" i="5"/>
  <c r="O955" i="5"/>
  <c r="O954" i="5"/>
  <c r="O953" i="5"/>
  <c r="O952" i="5"/>
  <c r="O951" i="5"/>
  <c r="O950" i="5"/>
  <c r="O949" i="5"/>
  <c r="O948" i="5"/>
  <c r="O947" i="5"/>
  <c r="O946" i="5"/>
  <c r="O653" i="5"/>
  <c r="O652" i="5"/>
  <c r="O651" i="5"/>
  <c r="O650" i="5"/>
  <c r="O649" i="5"/>
  <c r="O648" i="5"/>
  <c r="O319" i="5"/>
  <c r="O318" i="5"/>
  <c r="O317" i="5"/>
  <c r="O316" i="5"/>
  <c r="O315" i="5"/>
  <c r="O298" i="5"/>
  <c r="O297" i="5"/>
  <c r="O296" i="5"/>
  <c r="O295" i="5"/>
  <c r="O294" i="5"/>
  <c r="O293" i="5"/>
  <c r="O292" i="5"/>
  <c r="O291" i="5"/>
  <c r="O290" i="5"/>
  <c r="N9" i="12"/>
  <c r="N14" i="12"/>
  <c r="N12" i="12"/>
  <c r="H10" i="10"/>
  <c r="O10" i="16" s="1"/>
  <c r="O4334" i="5"/>
  <c r="O4333" i="5"/>
  <c r="O4332" i="5"/>
  <c r="O4331" i="5"/>
  <c r="O4330" i="5"/>
  <c r="O4329" i="5"/>
  <c r="O4328" i="5"/>
  <c r="O4327" i="5"/>
  <c r="O4326" i="5"/>
  <c r="O4325" i="5"/>
  <c r="O3988" i="5"/>
  <c r="O3987" i="5"/>
  <c r="O3986" i="5"/>
  <c r="O3985" i="5"/>
  <c r="O3984" i="5"/>
  <c r="O3983" i="5"/>
  <c r="O3982" i="5"/>
  <c r="O3981" i="5"/>
  <c r="O3980" i="5"/>
  <c r="O3979" i="5"/>
  <c r="O3978" i="5"/>
  <c r="O3977" i="5"/>
  <c r="O3976" i="5"/>
  <c r="O3975" i="5"/>
  <c r="O3642" i="5"/>
  <c r="O3641" i="5"/>
  <c r="O3640" i="5"/>
  <c r="O3639" i="5"/>
  <c r="O3638" i="5"/>
  <c r="O3637" i="5"/>
  <c r="O3636" i="5"/>
  <c r="O3635" i="5"/>
  <c r="O3634" i="5"/>
  <c r="O3633" i="5"/>
  <c r="O3632" i="5"/>
  <c r="O3631" i="5"/>
  <c r="O3307" i="5"/>
  <c r="O3306" i="5"/>
  <c r="O3305" i="5"/>
  <c r="O3304" i="5"/>
  <c r="O3303" i="5"/>
  <c r="O3302" i="5"/>
  <c r="O3301" i="5"/>
  <c r="O3300" i="5"/>
  <c r="O3299" i="5"/>
  <c r="O3298" i="5"/>
  <c r="O3297" i="5"/>
  <c r="O3296" i="5"/>
  <c r="O3295" i="5"/>
  <c r="O2961" i="5"/>
  <c r="O2960" i="5"/>
  <c r="O2959" i="5"/>
  <c r="O2958" i="5"/>
  <c r="O2957" i="5"/>
  <c r="O2956" i="5"/>
  <c r="O2955" i="5"/>
  <c r="O2954" i="5"/>
  <c r="O2953" i="5"/>
  <c r="O2952" i="5"/>
  <c r="O2951" i="5"/>
  <c r="O2950" i="5"/>
  <c r="O2949" i="5"/>
  <c r="O2646" i="5"/>
  <c r="O2645" i="5"/>
  <c r="O2644" i="5"/>
  <c r="O2643" i="5"/>
  <c r="O2642" i="5"/>
  <c r="O2641" i="5"/>
  <c r="O2640" i="5"/>
  <c r="O2639" i="5"/>
  <c r="O2638" i="5"/>
  <c r="O2637" i="5"/>
  <c r="O2636" i="5"/>
  <c r="O2635" i="5"/>
  <c r="O2634" i="5"/>
  <c r="O2633" i="5"/>
  <c r="O2632" i="5"/>
  <c r="O2631" i="5"/>
  <c r="O2630" i="5"/>
  <c r="O2629" i="5"/>
  <c r="O2332" i="5"/>
  <c r="O2331" i="5"/>
  <c r="O2330" i="5"/>
  <c r="O2314" i="5"/>
  <c r="O2313" i="5"/>
  <c r="O2312" i="5"/>
  <c r="O2311" i="5"/>
  <c r="O2310" i="5"/>
  <c r="O2309" i="5"/>
  <c r="O2308" i="5"/>
  <c r="O2307" i="5"/>
  <c r="O2306" i="5"/>
  <c r="O2305" i="5"/>
  <c r="O2304" i="5"/>
  <c r="O2003" i="5"/>
  <c r="O2002" i="5"/>
  <c r="O2001" i="5"/>
  <c r="O2000" i="5"/>
  <c r="O1999" i="5"/>
  <c r="O1998" i="5"/>
  <c r="O1997" i="5"/>
  <c r="O1996" i="5"/>
  <c r="O1995" i="5"/>
  <c r="O1994" i="5"/>
  <c r="O1993" i="5"/>
  <c r="O1992" i="5"/>
  <c r="O1991" i="5"/>
  <c r="O1990" i="5"/>
  <c r="O1989" i="5"/>
  <c r="O1988" i="5"/>
  <c r="O1987" i="5"/>
  <c r="O1986" i="5"/>
  <c r="O1985" i="5"/>
  <c r="O1654" i="5"/>
  <c r="O1324" i="5"/>
  <c r="O1323" i="5"/>
  <c r="O1322" i="5"/>
  <c r="O1321" i="5"/>
  <c r="O1320" i="5"/>
  <c r="O1319" i="5"/>
  <c r="O1318" i="5"/>
  <c r="O1317" i="5"/>
  <c r="O1316" i="5"/>
  <c r="O1315" i="5"/>
  <c r="O1314" i="5"/>
  <c r="O1313" i="5"/>
  <c r="O1312" i="5"/>
  <c r="O1311" i="5"/>
  <c r="O1310" i="5"/>
  <c r="O982" i="5"/>
  <c r="O981" i="5"/>
  <c r="O980" i="5"/>
  <c r="O979" i="5"/>
  <c r="O978" i="5"/>
  <c r="O977" i="5"/>
  <c r="O976" i="5"/>
  <c r="O975" i="5"/>
  <c r="O974" i="5"/>
  <c r="O973" i="5"/>
  <c r="O972" i="5"/>
  <c r="O971" i="5"/>
  <c r="O970" i="5"/>
  <c r="O969" i="5"/>
  <c r="O968" i="5"/>
  <c r="O967" i="5"/>
  <c r="O966" i="5"/>
  <c r="O965" i="5"/>
  <c r="O659" i="5"/>
  <c r="O658" i="5"/>
  <c r="O314" i="5"/>
  <c r="O313" i="5"/>
  <c r="O312" i="5"/>
  <c r="O311" i="5"/>
  <c r="O310" i="5"/>
  <c r="O309" i="5"/>
  <c r="O308" i="5"/>
  <c r="O307" i="5"/>
  <c r="O306" i="5"/>
  <c r="O305" i="5"/>
  <c r="O304" i="5"/>
  <c r="O303" i="5"/>
  <c r="O302" i="5"/>
  <c r="O301" i="5"/>
  <c r="O300" i="5"/>
  <c r="O299" i="5"/>
  <c r="U17" i="14"/>
  <c r="S17" i="16"/>
  <c r="J17" i="15"/>
  <c r="H17" i="14"/>
  <c r="K17" i="15" s="1"/>
  <c r="O17" i="14"/>
  <c r="P17" i="16" s="1"/>
  <c r="T17" i="14"/>
  <c r="U16" i="14"/>
  <c r="S16" i="16"/>
  <c r="J16" i="15"/>
  <c r="O16" i="14"/>
  <c r="P16" i="16" s="1"/>
  <c r="H16" i="14"/>
  <c r="T16" i="14"/>
  <c r="S10" i="16"/>
  <c r="U10" i="14"/>
  <c r="O10" i="14"/>
  <c r="P10" i="16" s="1"/>
  <c r="T10" i="14"/>
  <c r="H10" i="14"/>
  <c r="K10" i="15" s="1"/>
  <c r="J10" i="15"/>
  <c r="U9" i="14"/>
  <c r="S9" i="16"/>
  <c r="H9" i="14"/>
  <c r="O9" i="14"/>
  <c r="P9" i="16" s="1"/>
  <c r="T9" i="14"/>
  <c r="J9" i="15"/>
  <c r="U3" i="14"/>
  <c r="S3" i="16"/>
  <c r="H3" i="14"/>
  <c r="K3" i="15" s="1"/>
  <c r="O3" i="14"/>
  <c r="P3" i="16" s="1"/>
  <c r="T3" i="14"/>
  <c r="J3" i="15"/>
  <c r="S2" i="16"/>
  <c r="U2" i="14"/>
  <c r="H2" i="14"/>
  <c r="O2" i="14"/>
  <c r="P2" i="16" s="1"/>
  <c r="T2" i="14"/>
  <c r="J2" i="15"/>
  <c r="G22" i="13"/>
  <c r="L22" i="16" s="1"/>
  <c r="F22" i="15"/>
  <c r="R22" i="15" s="1"/>
  <c r="F21" i="15"/>
  <c r="R21" i="15" s="1"/>
  <c r="G21" i="13"/>
  <c r="L21" i="16" s="1"/>
  <c r="F20" i="15"/>
  <c r="R20" i="15" s="1"/>
  <c r="G20" i="13"/>
  <c r="L20" i="16" s="1"/>
  <c r="F19" i="15"/>
  <c r="R19" i="15" s="1"/>
  <c r="G19" i="13"/>
  <c r="L19" i="16" s="1"/>
  <c r="G18" i="13"/>
  <c r="L18" i="16" s="1"/>
  <c r="F18" i="15"/>
  <c r="R18" i="15" s="1"/>
  <c r="G17" i="13"/>
  <c r="L17" i="16" s="1"/>
  <c r="F17" i="15"/>
  <c r="R17" i="15" s="1"/>
  <c r="G16" i="13"/>
  <c r="L16" i="16" s="1"/>
  <c r="F16" i="15"/>
  <c r="R16" i="15" s="1"/>
  <c r="F15" i="15"/>
  <c r="R15" i="15" s="1"/>
  <c r="G15" i="13"/>
  <c r="L15" i="16" s="1"/>
  <c r="F14" i="15"/>
  <c r="R14" i="15" s="1"/>
  <c r="G14" i="13"/>
  <c r="L14" i="16" s="1"/>
  <c r="F13" i="15"/>
  <c r="R13" i="15" s="1"/>
  <c r="G13" i="13"/>
  <c r="L13" i="16" s="1"/>
  <c r="F12" i="15"/>
  <c r="R12" i="15" s="1"/>
  <c r="G12" i="13"/>
  <c r="L12" i="16" s="1"/>
  <c r="G11" i="13"/>
  <c r="L11" i="16" s="1"/>
  <c r="F11" i="15"/>
  <c r="R11" i="15" s="1"/>
  <c r="F10" i="15"/>
  <c r="R10" i="15" s="1"/>
  <c r="G10" i="13"/>
  <c r="L10" i="16" s="1"/>
  <c r="F9" i="15"/>
  <c r="R9" i="15" s="1"/>
  <c r="G9" i="13"/>
  <c r="L9" i="16" s="1"/>
  <c r="F8" i="15"/>
  <c r="R8" i="15" s="1"/>
  <c r="G8" i="13"/>
  <c r="L8" i="16" s="1"/>
  <c r="F7" i="15"/>
  <c r="R7" i="15" s="1"/>
  <c r="G7" i="13"/>
  <c r="L7" i="16" s="1"/>
  <c r="G6" i="13"/>
  <c r="L6" i="16" s="1"/>
  <c r="F6" i="15"/>
  <c r="R6" i="15" s="1"/>
  <c r="F5" i="15"/>
  <c r="R5" i="15" s="1"/>
  <c r="G5" i="13"/>
  <c r="L5" i="16" s="1"/>
  <c r="F4" i="15"/>
  <c r="R4" i="15" s="1"/>
  <c r="G4" i="13"/>
  <c r="L4" i="16" s="1"/>
  <c r="F3" i="15"/>
  <c r="R3" i="15" s="1"/>
  <c r="G3" i="13"/>
  <c r="L3" i="16" s="1"/>
  <c r="F2" i="15"/>
  <c r="G2" i="13"/>
  <c r="L2" i="16" s="1"/>
  <c r="P19" i="12"/>
  <c r="K19" i="16" s="1"/>
  <c r="Q19" i="14"/>
  <c r="E19" i="15"/>
  <c r="Q19" i="15" s="1"/>
  <c r="P13" i="12"/>
  <c r="K13" i="16" s="1"/>
  <c r="Q13" i="14"/>
  <c r="E13" i="15"/>
  <c r="Q13" i="15" s="1"/>
  <c r="P11" i="12"/>
  <c r="K11" i="16" s="1"/>
  <c r="E11" i="15"/>
  <c r="Q11" i="15" s="1"/>
  <c r="Q11" i="14"/>
  <c r="P8" i="12"/>
  <c r="K8" i="16" s="1"/>
  <c r="F8" i="14"/>
  <c r="Q8" i="14"/>
  <c r="R8" i="14"/>
  <c r="E8" i="15"/>
  <c r="Q8" i="15" s="1"/>
  <c r="P7" i="12"/>
  <c r="K7" i="16" s="1"/>
  <c r="F7" i="14"/>
  <c r="Q7" i="14"/>
  <c r="R7" i="14"/>
  <c r="E7" i="15"/>
  <c r="Q7" i="15" s="1"/>
  <c r="P6" i="12"/>
  <c r="K6" i="16" s="1"/>
  <c r="Q6" i="14"/>
  <c r="E6" i="15"/>
  <c r="Q6" i="15" s="1"/>
  <c r="P5" i="12"/>
  <c r="K5" i="16" s="1"/>
  <c r="Q5" i="14"/>
  <c r="E5" i="15"/>
  <c r="Q5" i="15" s="1"/>
  <c r="P4" i="12"/>
  <c r="K4" i="16" s="1"/>
  <c r="E4" i="15"/>
  <c r="Q4" i="15" s="1"/>
  <c r="Q4" i="14"/>
  <c r="K17" i="14"/>
  <c r="Q17" i="16"/>
  <c r="D17" i="15"/>
  <c r="J17" i="11"/>
  <c r="N17" i="16" s="1"/>
  <c r="J16" i="11"/>
  <c r="N16" i="16" s="1"/>
  <c r="Q16" i="16"/>
  <c r="D16" i="15"/>
  <c r="K16" i="14"/>
  <c r="M16" i="14" s="1"/>
  <c r="J17" i="14" s="1"/>
  <c r="M17" i="14" s="1"/>
  <c r="J18" i="14" s="1"/>
  <c r="K10" i="14"/>
  <c r="Q10" i="16"/>
  <c r="D10" i="15"/>
  <c r="J10" i="11"/>
  <c r="N10" i="16" s="1"/>
  <c r="K9" i="14"/>
  <c r="M9" i="14" s="1"/>
  <c r="J10" i="14" s="1"/>
  <c r="J9" i="11"/>
  <c r="N9" i="16" s="1"/>
  <c r="D9" i="15"/>
  <c r="Q9" i="16"/>
  <c r="J3" i="11"/>
  <c r="N3" i="16" s="1"/>
  <c r="Q3" i="16"/>
  <c r="D3" i="15"/>
  <c r="K3" i="14"/>
  <c r="D2" i="15"/>
  <c r="Q2" i="16"/>
  <c r="J2" i="11"/>
  <c r="N2" i="16" s="1"/>
  <c r="K2" i="14"/>
  <c r="M2" i="14" s="1"/>
  <c r="J3" i="14" s="1"/>
  <c r="D17" i="11"/>
  <c r="I17" i="15"/>
  <c r="M17" i="16"/>
  <c r="H17" i="15"/>
  <c r="I16" i="15"/>
  <c r="D16" i="11"/>
  <c r="M16" i="16"/>
  <c r="H16" i="15"/>
  <c r="I10" i="15"/>
  <c r="D10" i="11"/>
  <c r="H10" i="15"/>
  <c r="M10" i="16"/>
  <c r="I9" i="15"/>
  <c r="D9" i="11"/>
  <c r="M9" i="16"/>
  <c r="H9" i="15"/>
  <c r="I3" i="15"/>
  <c r="D3" i="11"/>
  <c r="M3" i="16"/>
  <c r="H3" i="15"/>
  <c r="D2" i="11"/>
  <c r="I2" i="15"/>
  <c r="H2" i="15"/>
  <c r="M2" i="16"/>
  <c r="E22" i="10"/>
  <c r="M22" i="16"/>
  <c r="M21" i="16"/>
  <c r="E21" i="10"/>
  <c r="M20" i="16"/>
  <c r="E20" i="10"/>
  <c r="E19" i="10"/>
  <c r="M19" i="16"/>
  <c r="E18" i="10"/>
  <c r="M18" i="16"/>
  <c r="G4" i="6"/>
  <c r="D4" i="6"/>
  <c r="F4" i="6" s="1"/>
  <c r="D3" i="6"/>
  <c r="F3" i="6" s="1"/>
  <c r="G3" i="6"/>
  <c r="O772" i="5"/>
  <c r="O771" i="5"/>
  <c r="O770" i="5"/>
  <c r="O769"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862" i="5"/>
  <c r="G2" i="6"/>
  <c r="D2" i="6"/>
  <c r="O4268" i="5"/>
  <c r="O4267" i="5"/>
  <c r="O4266" i="5"/>
  <c r="O4265" i="5"/>
  <c r="O4264" i="5"/>
  <c r="O4263" i="5"/>
  <c r="O4262" i="5"/>
  <c r="O4261" i="5"/>
  <c r="O4260" i="5"/>
  <c r="O4259" i="5"/>
  <c r="O4258" i="5"/>
  <c r="O4257" i="5"/>
  <c r="O4256" i="5"/>
  <c r="O4255" i="5"/>
  <c r="O4254" i="5"/>
  <c r="O4253" i="5"/>
  <c r="O4252" i="5"/>
  <c r="O4251" i="5"/>
  <c r="O4250" i="5"/>
  <c r="O4249" i="5"/>
  <c r="O4248" i="5"/>
  <c r="O4247" i="5"/>
  <c r="O4246" i="5"/>
  <c r="O4245" i="5"/>
  <c r="O4244" i="5"/>
  <c r="O4243" i="5"/>
  <c r="O4242" i="5"/>
  <c r="O4241" i="5"/>
  <c r="O4240" i="5"/>
  <c r="O4239" i="5"/>
  <c r="O4238" i="5"/>
  <c r="O4237" i="5"/>
  <c r="O3880" i="5"/>
  <c r="O3879" i="5"/>
  <c r="O3878" i="5"/>
  <c r="O3877" i="5"/>
  <c r="O3876" i="5"/>
  <c r="O3875" i="5"/>
  <c r="O3874" i="5"/>
  <c r="O3873" i="5"/>
  <c r="O3872" i="5"/>
  <c r="O3871" i="5"/>
  <c r="O3870" i="5"/>
  <c r="O3869" i="5"/>
  <c r="O3868" i="5"/>
  <c r="O3867" i="5"/>
  <c r="O3866" i="5"/>
  <c r="O3865" i="5"/>
  <c r="O3864" i="5"/>
  <c r="O3863" i="5"/>
  <c r="O3861" i="5"/>
  <c r="O3860" i="5"/>
  <c r="O3859" i="5"/>
  <c r="O3858" i="5"/>
  <c r="O3857" i="5"/>
  <c r="O3856" i="5"/>
  <c r="O3855" i="5"/>
  <c r="O3854" i="5"/>
  <c r="O3853" i="5"/>
  <c r="O3852" i="5"/>
  <c r="O3851" i="5"/>
  <c r="O3850" i="5"/>
  <c r="O3849" i="5"/>
  <c r="O3492" i="5"/>
  <c r="O3491" i="5"/>
  <c r="O3490" i="5"/>
  <c r="O3489" i="5"/>
  <c r="O3488" i="5"/>
  <c r="O3487" i="5"/>
  <c r="O3486" i="5"/>
  <c r="O3485" i="5"/>
  <c r="O3484" i="5"/>
  <c r="O3483" i="5"/>
  <c r="O3482" i="5"/>
  <c r="O3481" i="5"/>
  <c r="O3480" i="5"/>
  <c r="O3479" i="5"/>
  <c r="O3478" i="5"/>
  <c r="O3477" i="5"/>
  <c r="O3476" i="5"/>
  <c r="O3475" i="5"/>
  <c r="O3474" i="5"/>
  <c r="O3473" i="5"/>
  <c r="O3472" i="5"/>
  <c r="O3104" i="5"/>
  <c r="O3103" i="5"/>
  <c r="O3102" i="5"/>
  <c r="O3101" i="5"/>
  <c r="O3100" i="5"/>
  <c r="O3099" i="5"/>
  <c r="O3098" i="5"/>
  <c r="O3097" i="5"/>
  <c r="O3096" i="5"/>
  <c r="O3095" i="5"/>
  <c r="O3094" i="5"/>
  <c r="O3093" i="5"/>
  <c r="O3092" i="5"/>
  <c r="O3091" i="5"/>
  <c r="O3090" i="5"/>
  <c r="O3089" i="5"/>
  <c r="O3088" i="5"/>
  <c r="O3087" i="5"/>
  <c r="O3086" i="5"/>
  <c r="O3085" i="5"/>
  <c r="O3084" i="5"/>
  <c r="O3083" i="5"/>
  <c r="O3082" i="5"/>
  <c r="O3081" i="5"/>
  <c r="O3080" i="5"/>
  <c r="O3079" i="5"/>
  <c r="O3078" i="5"/>
  <c r="O3077" i="5"/>
  <c r="O3076" i="5"/>
  <c r="O3075" i="5"/>
  <c r="O3074" i="5"/>
  <c r="O3073" i="5"/>
  <c r="O2717" i="5"/>
  <c r="O2329" i="5"/>
  <c r="O2328" i="5"/>
  <c r="O2327" i="5"/>
  <c r="O2326" i="5"/>
  <c r="O2325" i="5"/>
  <c r="O2324" i="5"/>
  <c r="O2323" i="5"/>
  <c r="O2322" i="5"/>
  <c r="O2321" i="5"/>
  <c r="O2320" i="5"/>
  <c r="O2319" i="5"/>
  <c r="O2318" i="5"/>
  <c r="O2317" i="5"/>
  <c r="O2316" i="5"/>
  <c r="O2315" i="5"/>
  <c r="O1941" i="5"/>
  <c r="O1940" i="5"/>
  <c r="O1939" i="5"/>
  <c r="O1938" i="5"/>
  <c r="O1937" i="5"/>
  <c r="O1936" i="5"/>
  <c r="O1935" i="5"/>
  <c r="O1934" i="5"/>
  <c r="O1933" i="5"/>
  <c r="O1932" i="5"/>
  <c r="O1931" i="5"/>
  <c r="O1930" i="5"/>
  <c r="O1929" i="5"/>
  <c r="O1928" i="5"/>
  <c r="O1927" i="5"/>
  <c r="O1926" i="5"/>
  <c r="O1925" i="5"/>
  <c r="O1924" i="5"/>
  <c r="O1923" i="5"/>
  <c r="O1922" i="5"/>
  <c r="O1921" i="5"/>
  <c r="O1920" i="5"/>
  <c r="O1919" i="5"/>
  <c r="O1918" i="5"/>
  <c r="O1917" i="5"/>
  <c r="O1916" i="5"/>
  <c r="O1915" i="5"/>
  <c r="O1914" i="5"/>
  <c r="O1913" i="5"/>
  <c r="O1912" i="5"/>
  <c r="O1911" i="5"/>
  <c r="O1910" i="5"/>
  <c r="O1909" i="5"/>
  <c r="O1908" i="5"/>
  <c r="O1907" i="5"/>
  <c r="O1553" i="5"/>
  <c r="O1552" i="5"/>
  <c r="O1551" i="5"/>
  <c r="O1550" i="5"/>
  <c r="O1549" i="5"/>
  <c r="O1548" i="5"/>
  <c r="O1547" i="5"/>
  <c r="O1546" i="5"/>
  <c r="O1545" i="5"/>
  <c r="O1544" i="5"/>
  <c r="O1543" i="5"/>
  <c r="O1542" i="5"/>
  <c r="O1541" i="5"/>
  <c r="O1540" i="5"/>
  <c r="O1539" i="5"/>
  <c r="O1538" i="5"/>
  <c r="O1165" i="5"/>
  <c r="O1164" i="5"/>
  <c r="O1163" i="5"/>
  <c r="O1162" i="5"/>
  <c r="O1161" i="5"/>
  <c r="O1160" i="5"/>
  <c r="O1159" i="5"/>
  <c r="O1158" i="5"/>
  <c r="O1157" i="5"/>
  <c r="O1156" i="5"/>
  <c r="O1155" i="5"/>
  <c r="O1154" i="5"/>
  <c r="O1153" i="5"/>
  <c r="O1152" i="5"/>
  <c r="O1151" i="5"/>
  <c r="O1150" i="5"/>
  <c r="O1149" i="5"/>
  <c r="O1148" i="5"/>
  <c r="O1147" i="5"/>
  <c r="O1146" i="5"/>
  <c r="O1145" i="5"/>
  <c r="O1144" i="5"/>
  <c r="O1143" i="5"/>
  <c r="O1142" i="5"/>
  <c r="O1141" i="5"/>
  <c r="O1140" i="5"/>
  <c r="O1139" i="5"/>
  <c r="O1138" i="5"/>
  <c r="O777" i="5"/>
  <c r="O776" i="5"/>
  <c r="O775" i="5"/>
  <c r="O774" i="5"/>
  <c r="O773" i="5"/>
  <c r="F2" i="6" l="1"/>
  <c r="F21" i="14"/>
  <c r="S21" i="16" s="1"/>
  <c r="P22" i="12"/>
  <c r="K22" i="16" s="1"/>
  <c r="R22" i="14"/>
  <c r="F22" i="14"/>
  <c r="Q22" i="14"/>
  <c r="E22" i="15"/>
  <c r="Q22" i="15" s="1"/>
  <c r="E21" i="15"/>
  <c r="Q21" i="15" s="1"/>
  <c r="P21" i="12"/>
  <c r="K21" i="16" s="1"/>
  <c r="R21" i="14"/>
  <c r="Q21" i="14"/>
  <c r="F13" i="14"/>
  <c r="S13" i="16" s="1"/>
  <c r="P20" i="12"/>
  <c r="K20" i="16" s="1"/>
  <c r="Q20" i="14"/>
  <c r="E20" i="15"/>
  <c r="Q20" i="15" s="1"/>
  <c r="P3" i="12"/>
  <c r="K3" i="16" s="1"/>
  <c r="R3" i="16" s="1"/>
  <c r="Q3" i="14"/>
  <c r="E3" i="15"/>
  <c r="P18" i="12"/>
  <c r="K18" i="16" s="1"/>
  <c r="Q18" i="14"/>
  <c r="E18" i="15"/>
  <c r="Q18" i="15" s="1"/>
  <c r="H15" i="15"/>
  <c r="F15" i="10"/>
  <c r="H15" i="10"/>
  <c r="O15" i="16" s="1"/>
  <c r="I15" i="11"/>
  <c r="R20" i="14"/>
  <c r="F20" i="14"/>
  <c r="M3" i="14"/>
  <c r="J4" i="14" s="1"/>
  <c r="P2" i="12"/>
  <c r="K2" i="16" s="1"/>
  <c r="R2" i="16" s="1"/>
  <c r="Q2" i="14"/>
  <c r="S2" i="14" s="1"/>
  <c r="P3" i="14" s="1"/>
  <c r="E2" i="15"/>
  <c r="Q17" i="14"/>
  <c r="E17" i="15"/>
  <c r="P17" i="12"/>
  <c r="K17" i="16" s="1"/>
  <c r="R17" i="16" s="1"/>
  <c r="P10" i="12"/>
  <c r="K10" i="16" s="1"/>
  <c r="R10" i="16" s="1"/>
  <c r="Q10" i="14"/>
  <c r="E10" i="15"/>
  <c r="H14" i="15"/>
  <c r="F14" i="10"/>
  <c r="H14" i="10" s="1"/>
  <c r="O14" i="16" s="1"/>
  <c r="I14" i="11"/>
  <c r="H13" i="15"/>
  <c r="F13" i="10"/>
  <c r="H13" i="10"/>
  <c r="O13" i="16" s="1"/>
  <c r="I13" i="11"/>
  <c r="H12" i="15"/>
  <c r="F12" i="10"/>
  <c r="H12" i="10" s="1"/>
  <c r="O12" i="16" s="1"/>
  <c r="I12" i="11"/>
  <c r="H11" i="15"/>
  <c r="F11" i="10"/>
  <c r="H11" i="10" s="1"/>
  <c r="O11" i="16" s="1"/>
  <c r="I11" i="11"/>
  <c r="Q16" i="14"/>
  <c r="S16" i="14" s="1"/>
  <c r="P17" i="14" s="1"/>
  <c r="E16" i="15"/>
  <c r="P16" i="12"/>
  <c r="K16" i="16" s="1"/>
  <c r="R16" i="16" s="1"/>
  <c r="H8" i="15"/>
  <c r="F8" i="10"/>
  <c r="I8" i="11"/>
  <c r="H7" i="15"/>
  <c r="F7" i="10"/>
  <c r="I7" i="11"/>
  <c r="H6" i="15"/>
  <c r="F6" i="10"/>
  <c r="H6" i="10" s="1"/>
  <c r="O6" i="16" s="1"/>
  <c r="I6" i="11"/>
  <c r="F5" i="10"/>
  <c r="H5" i="15"/>
  <c r="H5" i="10"/>
  <c r="O5" i="16" s="1"/>
  <c r="I5" i="11"/>
  <c r="H4" i="15"/>
  <c r="F4" i="10"/>
  <c r="I4" i="11"/>
  <c r="P15" i="12"/>
  <c r="K15" i="16" s="1"/>
  <c r="Q15" i="14"/>
  <c r="E15" i="15"/>
  <c r="Q15" i="15" s="1"/>
  <c r="M10" i="14"/>
  <c r="J11" i="14" s="1"/>
  <c r="F19" i="14"/>
  <c r="S19" i="16" s="1"/>
  <c r="P9" i="12"/>
  <c r="K9" i="16" s="1"/>
  <c r="R9" i="16" s="1"/>
  <c r="Q9" i="14"/>
  <c r="S9" i="14" s="1"/>
  <c r="P10" i="14" s="1"/>
  <c r="E9" i="15"/>
  <c r="P14" i="12"/>
  <c r="K14" i="16" s="1"/>
  <c r="F14" i="14"/>
  <c r="Q14" i="14"/>
  <c r="R14" i="14"/>
  <c r="F15" i="14"/>
  <c r="R15" i="14"/>
  <c r="E14" i="15"/>
  <c r="Q14" i="15" s="1"/>
  <c r="P12" i="12"/>
  <c r="K12" i="16" s="1"/>
  <c r="E12" i="15"/>
  <c r="Q12" i="15" s="1"/>
  <c r="Q12" i="14"/>
  <c r="R13" i="14"/>
  <c r="H4" i="6"/>
  <c r="I4" i="6" s="1"/>
  <c r="H3" i="6"/>
  <c r="I3" i="6" s="1"/>
  <c r="F12" i="14"/>
  <c r="R12" i="14"/>
  <c r="F5" i="14"/>
  <c r="R5" i="14"/>
  <c r="R6" i="14"/>
  <c r="F6" i="14"/>
  <c r="I16" i="14"/>
  <c r="K16" i="15"/>
  <c r="I9" i="14"/>
  <c r="K9" i="15"/>
  <c r="I2" i="14"/>
  <c r="K2" i="15"/>
  <c r="R2" i="15"/>
  <c r="D26" i="15"/>
  <c r="U8" i="14"/>
  <c r="S8" i="16"/>
  <c r="U7" i="14"/>
  <c r="S7" i="16"/>
  <c r="Q2" i="15"/>
  <c r="P17" i="15"/>
  <c r="P16" i="15"/>
  <c r="P10" i="15"/>
  <c r="P9" i="15"/>
  <c r="P3" i="15"/>
  <c r="P2" i="15"/>
  <c r="H2" i="6"/>
  <c r="I2" i="6" s="1"/>
  <c r="H22" i="15"/>
  <c r="I22" i="11"/>
  <c r="F22" i="10"/>
  <c r="H22" i="10" s="1"/>
  <c r="O22" i="16" s="1"/>
  <c r="H21" i="15"/>
  <c r="F21" i="10"/>
  <c r="H21" i="10" s="1"/>
  <c r="O21" i="16" s="1"/>
  <c r="I21" i="11"/>
  <c r="H20" i="15"/>
  <c r="I20" i="11"/>
  <c r="F20" i="10"/>
  <c r="H20" i="10" s="1"/>
  <c r="O20" i="16" s="1"/>
  <c r="H19" i="15"/>
  <c r="F19" i="10"/>
  <c r="H19" i="10" s="1"/>
  <c r="O19" i="16" s="1"/>
  <c r="I19" i="11"/>
  <c r="H18" i="15"/>
  <c r="F18" i="10"/>
  <c r="H18" i="10" s="1"/>
  <c r="O18" i="16" s="1"/>
  <c r="I18" i="11"/>
  <c r="R19" i="14"/>
  <c r="U21" i="14" l="1"/>
  <c r="U13" i="14"/>
  <c r="S22" i="16"/>
  <c r="U22" i="14"/>
  <c r="S3" i="14"/>
  <c r="P4" i="14" s="1"/>
  <c r="Q3" i="15"/>
  <c r="G3" i="15"/>
  <c r="D15" i="11"/>
  <c r="H15" i="11" s="1"/>
  <c r="I15" i="15"/>
  <c r="S10" i="14"/>
  <c r="P11" i="14" s="1"/>
  <c r="U20" i="14"/>
  <c r="S20" i="16"/>
  <c r="Q10" i="15"/>
  <c r="G10" i="15"/>
  <c r="S17" i="14"/>
  <c r="P18" i="14" s="1"/>
  <c r="C26" i="15"/>
  <c r="G2" i="15"/>
  <c r="Q17" i="15"/>
  <c r="G17" i="15"/>
  <c r="D14" i="11"/>
  <c r="H14" i="11" s="1"/>
  <c r="I14" i="15"/>
  <c r="D13" i="11"/>
  <c r="H13" i="11" s="1"/>
  <c r="I13" i="15"/>
  <c r="D12" i="11"/>
  <c r="H12" i="11" s="1"/>
  <c r="J12" i="11" s="1"/>
  <c r="N12" i="16" s="1"/>
  <c r="I12" i="15"/>
  <c r="D11" i="11"/>
  <c r="H11" i="11" s="1"/>
  <c r="G12" i="14" s="1"/>
  <c r="T12" i="16" s="1"/>
  <c r="I11" i="15"/>
  <c r="Q16" i="15"/>
  <c r="G16" i="15"/>
  <c r="H8" i="10"/>
  <c r="O8" i="16" s="1"/>
  <c r="I8" i="15"/>
  <c r="D8" i="11"/>
  <c r="H8" i="11" s="1"/>
  <c r="K8" i="14" s="1"/>
  <c r="H7" i="10"/>
  <c r="O7" i="16" s="1"/>
  <c r="I7" i="15"/>
  <c r="D7" i="11"/>
  <c r="H7" i="11" s="1"/>
  <c r="D7" i="15" s="1"/>
  <c r="I6" i="15"/>
  <c r="D6" i="11"/>
  <c r="H6" i="11" s="1"/>
  <c r="I5" i="15"/>
  <c r="D5" i="11"/>
  <c r="H5" i="11" s="1"/>
  <c r="N5" i="14" s="1"/>
  <c r="H4" i="10"/>
  <c r="O4" i="16" s="1"/>
  <c r="I4" i="15"/>
  <c r="D4" i="11"/>
  <c r="H4" i="11" s="1"/>
  <c r="K4" i="14" s="1"/>
  <c r="Q9" i="15"/>
  <c r="G9" i="15"/>
  <c r="U19" i="14"/>
  <c r="U14" i="14"/>
  <c r="S14" i="16"/>
  <c r="U15" i="14"/>
  <c r="S15" i="16"/>
  <c r="U12" i="14"/>
  <c r="S12" i="16"/>
  <c r="U5" i="14"/>
  <c r="S5" i="16"/>
  <c r="U6" i="14"/>
  <c r="S6" i="16"/>
  <c r="L16" i="15"/>
  <c r="D17" i="14"/>
  <c r="I17" i="14" s="1"/>
  <c r="L9" i="15"/>
  <c r="D10" i="14"/>
  <c r="I10" i="14" s="1"/>
  <c r="D3" i="14"/>
  <c r="I3" i="14" s="1"/>
  <c r="L2" i="15"/>
  <c r="E12" i="14"/>
  <c r="N12" i="14"/>
  <c r="N11" i="14"/>
  <c r="L11" i="14"/>
  <c r="G11" i="14"/>
  <c r="T11" i="16" s="1"/>
  <c r="J11" i="11"/>
  <c r="N11" i="16" s="1"/>
  <c r="J8" i="11"/>
  <c r="N8" i="16" s="1"/>
  <c r="E8" i="14"/>
  <c r="G8" i="14"/>
  <c r="T8" i="16" s="1"/>
  <c r="L8" i="14"/>
  <c r="N8" i="14"/>
  <c r="D8" i="15"/>
  <c r="J7" i="11"/>
  <c r="N7" i="16" s="1"/>
  <c r="E7" i="14"/>
  <c r="G7" i="14"/>
  <c r="T7" i="16" s="1"/>
  <c r="K7" i="14"/>
  <c r="L7" i="14"/>
  <c r="N7" i="14"/>
  <c r="E6" i="14"/>
  <c r="L6" i="14"/>
  <c r="G6" i="14"/>
  <c r="T6" i="16" s="1"/>
  <c r="N6" i="14"/>
  <c r="J6" i="11"/>
  <c r="N6" i="16" s="1"/>
  <c r="K6" i="14"/>
  <c r="D6" i="15"/>
  <c r="E5" i="14"/>
  <c r="G5" i="14"/>
  <c r="T5" i="16" s="1"/>
  <c r="L5" i="14"/>
  <c r="G4" i="14"/>
  <c r="T4" i="16" s="1"/>
  <c r="N4" i="14"/>
  <c r="E4" i="14"/>
  <c r="L4" i="14"/>
  <c r="J4" i="11"/>
  <c r="N4" i="16" s="1"/>
  <c r="R4" i="14"/>
  <c r="F4" i="14"/>
  <c r="J2" i="6"/>
  <c r="R11" i="14"/>
  <c r="J3" i="6"/>
  <c r="F11" i="14"/>
  <c r="J4" i="6"/>
  <c r="R18" i="14"/>
  <c r="F18" i="14"/>
  <c r="I22" i="15"/>
  <c r="D22" i="11"/>
  <c r="H22" i="11" s="1"/>
  <c r="I21" i="15"/>
  <c r="D21" i="11"/>
  <c r="H21" i="11" s="1"/>
  <c r="I20" i="15"/>
  <c r="D20" i="11"/>
  <c r="H20" i="11" s="1"/>
  <c r="I19" i="15"/>
  <c r="D19" i="11"/>
  <c r="H19" i="11" s="1"/>
  <c r="I18" i="15"/>
  <c r="D18" i="11"/>
  <c r="H18" i="11" s="1"/>
  <c r="S11" i="14" l="1"/>
  <c r="P12" i="14" s="1"/>
  <c r="S12" i="14" s="1"/>
  <c r="P13" i="14" s="1"/>
  <c r="S13" i="14" s="1"/>
  <c r="P14" i="14" s="1"/>
  <c r="S14" i="14" s="1"/>
  <c r="P15" i="14" s="1"/>
  <c r="S15" i="14" s="1"/>
  <c r="S4" i="14"/>
  <c r="P5" i="14" s="1"/>
  <c r="S5" i="14" s="1"/>
  <c r="P6" i="14" s="1"/>
  <c r="S6" i="14" s="1"/>
  <c r="P7" i="14" s="1"/>
  <c r="S7" i="14" s="1"/>
  <c r="P8" i="14" s="1"/>
  <c r="S8" i="14" s="1"/>
  <c r="L12" i="14"/>
  <c r="T12" i="14" s="1"/>
  <c r="D12" i="15"/>
  <c r="K12" i="14"/>
  <c r="D15" i="15"/>
  <c r="J15" i="11"/>
  <c r="N15" i="16" s="1"/>
  <c r="K15" i="14"/>
  <c r="D4" i="15"/>
  <c r="E11" i="14"/>
  <c r="D11" i="15"/>
  <c r="K11" i="14"/>
  <c r="M11" i="14" s="1"/>
  <c r="J12" i="14" s="1"/>
  <c r="J5" i="11"/>
  <c r="N5" i="16" s="1"/>
  <c r="K5" i="14"/>
  <c r="D5" i="15"/>
  <c r="S18" i="14"/>
  <c r="P19" i="14" s="1"/>
  <c r="S19" i="14" s="1"/>
  <c r="P20" i="14" s="1"/>
  <c r="S20" i="14" s="1"/>
  <c r="P21" i="14" s="1"/>
  <c r="S21" i="14" s="1"/>
  <c r="P22" i="14" s="1"/>
  <c r="S22" i="14" s="1"/>
  <c r="J14" i="11"/>
  <c r="N14" i="16" s="1"/>
  <c r="G14" i="14"/>
  <c r="T14" i="16" s="1"/>
  <c r="N15" i="14"/>
  <c r="G15" i="14"/>
  <c r="T15" i="16" s="1"/>
  <c r="E15" i="14"/>
  <c r="L15" i="14"/>
  <c r="K14" i="14"/>
  <c r="N14" i="14"/>
  <c r="E14" i="14"/>
  <c r="L14" i="14"/>
  <c r="D14" i="15"/>
  <c r="E13" i="14"/>
  <c r="N13" i="14"/>
  <c r="G13" i="14"/>
  <c r="T13" i="16" s="1"/>
  <c r="L13" i="14"/>
  <c r="J13" i="11"/>
  <c r="N13" i="16" s="1"/>
  <c r="K13" i="14"/>
  <c r="D13" i="15"/>
  <c r="D18" i="14"/>
  <c r="L17" i="15"/>
  <c r="L10" i="15"/>
  <c r="D11" i="14"/>
  <c r="D4" i="14"/>
  <c r="L3" i="15"/>
  <c r="J12" i="15"/>
  <c r="O12" i="14"/>
  <c r="P12" i="16" s="1"/>
  <c r="R12" i="16" s="1"/>
  <c r="H12" i="14"/>
  <c r="K12" i="15" s="1"/>
  <c r="H8" i="14"/>
  <c r="K8" i="15" s="1"/>
  <c r="O8" i="14"/>
  <c r="P8" i="16" s="1"/>
  <c r="R8" i="16" s="1"/>
  <c r="T8" i="14"/>
  <c r="J8" i="15"/>
  <c r="G8" i="15"/>
  <c r="P8" i="15"/>
  <c r="H7" i="14"/>
  <c r="K7" i="15" s="1"/>
  <c r="O7" i="14"/>
  <c r="P7" i="16" s="1"/>
  <c r="R7" i="16" s="1"/>
  <c r="T7" i="14"/>
  <c r="J7" i="15"/>
  <c r="G7" i="15"/>
  <c r="P7" i="15"/>
  <c r="J6" i="15"/>
  <c r="T6" i="14"/>
  <c r="O6" i="14"/>
  <c r="P6" i="16" s="1"/>
  <c r="R6" i="16" s="1"/>
  <c r="H6" i="14"/>
  <c r="K6" i="15" s="1"/>
  <c r="G6" i="15"/>
  <c r="P6" i="15"/>
  <c r="J5" i="15"/>
  <c r="T5" i="14"/>
  <c r="O5" i="14"/>
  <c r="P5" i="16" s="1"/>
  <c r="H5" i="14"/>
  <c r="K5" i="15" s="1"/>
  <c r="O4" i="14"/>
  <c r="P4" i="16" s="1"/>
  <c r="J4" i="15"/>
  <c r="T4" i="14"/>
  <c r="H4" i="14"/>
  <c r="K4" i="15" s="1"/>
  <c r="U4" i="14"/>
  <c r="S4" i="16"/>
  <c r="S11" i="16"/>
  <c r="U11" i="14"/>
  <c r="S18" i="16"/>
  <c r="U18" i="14"/>
  <c r="J22" i="11"/>
  <c r="N22" i="16" s="1"/>
  <c r="G22" i="14"/>
  <c r="T22" i="16" s="1"/>
  <c r="K22" i="14"/>
  <c r="L22" i="14"/>
  <c r="E22" i="14"/>
  <c r="N22" i="14"/>
  <c r="D22" i="15"/>
  <c r="J21" i="11"/>
  <c r="N21" i="16" s="1"/>
  <c r="E21" i="14"/>
  <c r="L21" i="14"/>
  <c r="G21" i="14"/>
  <c r="T21" i="16" s="1"/>
  <c r="K21" i="14"/>
  <c r="N21" i="14"/>
  <c r="D21" i="15"/>
  <c r="G20" i="14"/>
  <c r="T20" i="16" s="1"/>
  <c r="J20" i="11"/>
  <c r="N20" i="16" s="1"/>
  <c r="K20" i="14"/>
  <c r="N20" i="14"/>
  <c r="E20" i="14"/>
  <c r="L20" i="14"/>
  <c r="D20" i="15"/>
  <c r="G19" i="14"/>
  <c r="T19" i="16" s="1"/>
  <c r="J19" i="11"/>
  <c r="N19" i="16" s="1"/>
  <c r="E19" i="14"/>
  <c r="K19" i="14"/>
  <c r="L19" i="14"/>
  <c r="N19" i="14"/>
  <c r="D19" i="15"/>
  <c r="G18" i="14"/>
  <c r="T18" i="16" s="1"/>
  <c r="J18" i="11"/>
  <c r="N18" i="16" s="1"/>
  <c r="E18" i="14"/>
  <c r="K18" i="14"/>
  <c r="N18" i="14"/>
  <c r="L18" i="14"/>
  <c r="D18" i="15"/>
  <c r="M4" i="14"/>
  <c r="J5" i="14" s="1"/>
  <c r="B27" i="16"/>
  <c r="C27" i="16" s="1"/>
  <c r="M12" i="14" l="1"/>
  <c r="J13" i="14" s="1"/>
  <c r="G12" i="15"/>
  <c r="P12" i="15"/>
  <c r="G15" i="15"/>
  <c r="P15" i="15"/>
  <c r="R5" i="16"/>
  <c r="G4" i="15"/>
  <c r="P4" i="15"/>
  <c r="H11" i="14"/>
  <c r="O11" i="14"/>
  <c r="P11" i="16" s="1"/>
  <c r="R11" i="16" s="1"/>
  <c r="T11" i="14"/>
  <c r="J11" i="15"/>
  <c r="G5" i="15"/>
  <c r="P5" i="15"/>
  <c r="M5" i="14"/>
  <c r="J6" i="14" s="1"/>
  <c r="M6" i="14" s="1"/>
  <c r="J7" i="14" s="1"/>
  <c r="M7" i="14" s="1"/>
  <c r="J8" i="14" s="1"/>
  <c r="M8" i="14" s="1"/>
  <c r="G11" i="15"/>
  <c r="P11" i="15"/>
  <c r="M13" i="14"/>
  <c r="J14" i="14" s="1"/>
  <c r="M14" i="14" s="1"/>
  <c r="J15" i="14" s="1"/>
  <c r="M15" i="14" s="1"/>
  <c r="T15" i="14"/>
  <c r="H15" i="14"/>
  <c r="K15" i="15" s="1"/>
  <c r="O15" i="14"/>
  <c r="P15" i="16" s="1"/>
  <c r="R15" i="16" s="1"/>
  <c r="J15" i="15"/>
  <c r="T14" i="14"/>
  <c r="J14" i="15"/>
  <c r="H14" i="14"/>
  <c r="K14" i="15" s="1"/>
  <c r="O14" i="14"/>
  <c r="P14" i="16" s="1"/>
  <c r="R14" i="16" s="1"/>
  <c r="G14" i="15"/>
  <c r="P14" i="15"/>
  <c r="T13" i="14"/>
  <c r="J13" i="15"/>
  <c r="O13" i="14"/>
  <c r="P13" i="16" s="1"/>
  <c r="R13" i="16" s="1"/>
  <c r="H13" i="14"/>
  <c r="K13" i="15" s="1"/>
  <c r="G13" i="15"/>
  <c r="P13" i="15"/>
  <c r="M18" i="14"/>
  <c r="J19" i="14" s="1"/>
  <c r="M19" i="14" s="1"/>
  <c r="J20" i="14" s="1"/>
  <c r="M20" i="14" s="1"/>
  <c r="J21" i="14" s="1"/>
  <c r="M21" i="14" s="1"/>
  <c r="J22" i="14" s="1"/>
  <c r="M22" i="14" s="1"/>
  <c r="B26" i="15"/>
  <c r="O22" i="14"/>
  <c r="P22" i="16" s="1"/>
  <c r="R22" i="16" s="1"/>
  <c r="J22" i="15"/>
  <c r="H22" i="14"/>
  <c r="K22" i="15" s="1"/>
  <c r="T22" i="14"/>
  <c r="G22" i="15"/>
  <c r="P22" i="15"/>
  <c r="T21" i="14"/>
  <c r="H21" i="14"/>
  <c r="K21" i="15" s="1"/>
  <c r="O21" i="14"/>
  <c r="P21" i="16" s="1"/>
  <c r="R21" i="16" s="1"/>
  <c r="J21" i="15"/>
  <c r="G21" i="15"/>
  <c r="P21" i="15"/>
  <c r="T20" i="14"/>
  <c r="J20" i="15"/>
  <c r="H20" i="14"/>
  <c r="K20" i="15" s="1"/>
  <c r="O20" i="14"/>
  <c r="P20" i="16" s="1"/>
  <c r="R20" i="16" s="1"/>
  <c r="G20" i="15"/>
  <c r="P20" i="15"/>
  <c r="H19" i="14"/>
  <c r="K19" i="15" s="1"/>
  <c r="O19" i="14"/>
  <c r="P19" i="16" s="1"/>
  <c r="R19" i="16" s="1"/>
  <c r="T19" i="14"/>
  <c r="J19" i="15"/>
  <c r="G19" i="15"/>
  <c r="P19" i="15"/>
  <c r="H18" i="14"/>
  <c r="O18" i="14"/>
  <c r="P18" i="16" s="1"/>
  <c r="R18" i="16" s="1"/>
  <c r="T18" i="14"/>
  <c r="J18" i="15"/>
  <c r="G18" i="15"/>
  <c r="P18" i="15"/>
  <c r="I4" i="14"/>
  <c r="R4" i="16"/>
  <c r="K11" i="15" l="1"/>
  <c r="I11" i="14"/>
  <c r="E26" i="15"/>
  <c r="B25" i="16"/>
  <c r="C25" i="16" s="1"/>
  <c r="I18" i="14"/>
  <c r="K18" i="15"/>
  <c r="L4" i="15"/>
  <c r="D5" i="14"/>
  <c r="I5" i="14" s="1"/>
  <c r="B26" i="16"/>
  <c r="C26" i="16" s="1"/>
  <c r="F26" i="15" l="1"/>
  <c r="D12" i="14"/>
  <c r="I12" i="14" s="1"/>
  <c r="L11" i="15"/>
  <c r="L18" i="15"/>
  <c r="D19" i="14"/>
  <c r="I19" i="14" s="1"/>
  <c r="D6" i="14"/>
  <c r="I6" i="14" s="1"/>
  <c r="L5" i="15"/>
  <c r="D13" i="14" l="1"/>
  <c r="I13" i="14" s="1"/>
  <c r="L12" i="15"/>
  <c r="D20" i="14"/>
  <c r="I20" i="14" s="1"/>
  <c r="L19" i="15"/>
  <c r="D7" i="14"/>
  <c r="I7" i="14" s="1"/>
  <c r="L6" i="15"/>
  <c r="L13" i="15" l="1"/>
  <c r="D14" i="14"/>
  <c r="I14" i="14" s="1"/>
  <c r="D21" i="14"/>
  <c r="I21" i="14" s="1"/>
  <c r="L20" i="15"/>
  <c r="D8" i="14"/>
  <c r="I8" i="14" s="1"/>
  <c r="L8" i="15" s="1"/>
  <c r="L7" i="15"/>
  <c r="D15" i="14" l="1"/>
  <c r="I15" i="14" s="1"/>
  <c r="L15" i="15" s="1"/>
  <c r="L14" i="15"/>
  <c r="L21" i="15"/>
  <c r="D22" i="14"/>
  <c r="I22" i="14" s="1"/>
  <c r="L22" i="15" s="1"/>
  <c r="G26" i="15" s="1"/>
  <c r="H26" i="15" s="1"/>
</calcChain>
</file>

<file path=xl/sharedStrings.xml><?xml version="1.0" encoding="utf-8"?>
<sst xmlns="http://schemas.openxmlformats.org/spreadsheetml/2006/main" count="78132" uniqueCount="18305">
  <si>
    <t>Topic</t>
  </si>
  <si>
    <t>Explanation</t>
  </si>
  <si>
    <t>Title</t>
  </si>
  <si>
    <t>Contoso Minerals Group | Pelatihan keuangan</t>
  </si>
  <si>
    <t>Status</t>
  </si>
  <si>
    <t>MODEL PELATIHAN SEDANG DITINJAU. ANGKA BELUM DISETUJUI.</t>
  </si>
  <si>
    <t>Scope</t>
  </si>
  <si>
    <t>Keuangan manajemen Juni sampai Desember 2026 dalam USD. Juni dan Juli ditutup. Agustus masih prakiraan sebelum pembaruan; September sampai Desember tetap berbasis penggerak.</t>
  </si>
  <si>
    <t>Skills</t>
  </si>
  <si>
    <t>check-model | model-update | datapack-builder</t>
  </si>
  <si>
    <t>Workflow</t>
  </si>
  <si>
    <t>1 Tinjau aturan dan perbaiki model dengan check-model. 2 Terapkan hanya kejadian Agustus yang disetujui dari 11 dengan model-update. 3 Susun paket keuangan manajemen dengan datapack-builder. Tidak diperlukan skill kustom, Accounting, atau Visualization.</t>
  </si>
  <si>
    <t>Sites</t>
  </si>
  <si>
    <t>S01 Lembah Utara dan S02 Bukit Timur: tambang emas beroperasi. S03 Proyek Sentral: pengembangan tembaga-emas. S03 memiliki belanja modal, tetapi tidak memproduksi atau menjual emas.</t>
  </si>
  <si>
    <t>Owners</t>
  </si>
  <si>
    <t>Peran fiktif: Arman Pradipta, CFO; Maya Hartono, pengendali keuangan; Dimas Wicaksono, operasi; Nadia Kusuma, perbendaharaan.</t>
  </si>
  <si>
    <t>Boundaries</t>
  </si>
  <si>
    <t>Tidak ada klaim pelaporan wajib, pajak, kovenan, atau audit. Surplus operasi = pendapatan faktur dikurangi biaya operasi, sebelum penyusutan, biaya pendanaan, pajak dan biaya bank. Ini bukan EBITDA atau laba bersih.</t>
  </si>
  <si>
    <t>Independence</t>
  </si>
  <si>
    <t>Buku besar pengendali yang disetujui disusun dari cetak biru transaksi sebelum impor ditambah tiga penyesuaian pengendali. Secara desain sintetis, sumber ini terpisah dari impor berulang atau belum terselesaikan, bukan audit eksternal.</t>
  </si>
  <si>
    <t>Stock and sales</t>
  </si>
  <si>
    <t>Emas batangan awal + produksi - emas dikirim = emas batangan akhir. Pendapatan faktur mengikuti pengiriman yang diterima dan diuji kadarnya. Produksi tidak langsung menjadi pendapatan. Tanggal kirim, faktur dan penyelesaian kas dipisahkan.</t>
  </si>
  <si>
    <t>Currencies</t>
  </si>
  <si>
    <t>Nilai sumber USD, IDR dan AUD memakai USD per unit mata uang sesuai periode. Sen USD historis pengendali bersifat otoritatif; nilai lokal disimulasikan hingga enam desimal. Kurs penyelesaian dan biaya bank dipisahkan dari pendapatan faktur.</t>
  </si>
  <si>
    <t>Assumptions</t>
  </si>
  <si>
    <t>Kas awal Juni: S01 $6 juta, S02 $4 juta, S03 $9 juta. Piutang/utang awal nol; emas 185/115/0 oz. Faktur asal prakiraan memakai penerimaan 88% berjalan + 12% bulan PRAKIRAAN sebelumnya; biaya/belanja modal 82% + 18%. Piutang/utang AKTUAL mengikuti tanggal, aplikasi buku, kurs dan biaya Settlement_Schedule. Settlement_Bridge menyatakan estimasi sisa bulan berikutnya; jadwal/rasio tidak dihitung ganda.</t>
  </si>
  <si>
    <t>Controls</t>
  </si>
  <si>
    <t>Teks biru: sumber/masukan. Teks hijau: rumus tertaut. Sel emas: asumsi skenario. Controls membandingkan sertifikat independen, hitungan emas, aturan dan snapshot historis. Nol kesalahan Excel tidak berarti model pelatihan benar.</t>
  </si>
  <si>
    <t>Update safety</t>
  </si>
  <si>
    <t>Batas rilis Agustus: 31 Agustus 2026 pukul 23:59. Ganti hanya baris EventID Agustus yang disetujui. Penggabungan memakai kunci tetap, bukan posisi baris. Kecualikan DUPLICATE_UPLOAD, HELD_DRAFT, EXCLUDED_CUTOFF, HELD_UNMAPPED dan SCHEDULED. Penerapan ulang harus idempoten. Pertahankan Juli, semua anggaran dan rumus mendatang.</t>
  </si>
  <si>
    <t>Dashboard</t>
  </si>
  <si>
    <t>Slicer asli Site/Period/Metric mencakup Juni-Desember. Pilih SATU metrik. Actual berarti aktual ditutup plus prakiraan mendatang berlabel; Budget anggaran tetap; Variance selisih bertanda Aktual/Prakiraan dikurangi Anggaran, bukan kuantitas fisik negatif. Komentar menyebut lokasi, periode, metrik dan sumber. Kartu kas menunjukkan pergerakan, bukan jumlah saldo.</t>
  </si>
  <si>
    <t>Realized price</t>
  </si>
  <si>
    <t>PriceBasisCurrency pada Revenue adalah USD reporting untuk aktual; PricePerOz adalah USD faktur terealisasi dibagi ons dikirim, USDPerPriceUnit 1. Faktur sumber dapat USD/AUD. Prakiraan tetap memakai mata uang harga dan kurs per periode. Harga dan ons sembilan desimal merekonsiliasi sen faktur.</t>
  </si>
  <si>
    <t>Evidence</t>
  </si>
  <si>
    <t>Seluruh angka dan nama bersifat fiktif. Hanya CSV fabric-input sintetis yang ada, transaction_blueprint.json dan calibration.json yang dibaca. Penjualan baru, syarat pembayaran, hitungan emas dan komitmen merupakan asumsi pelatihan yang dinyatakan.</t>
  </si>
  <si>
    <t>RuleID</t>
  </si>
  <si>
    <t>Rule</t>
  </si>
  <si>
    <t>R01</t>
  </si>
  <si>
    <t>USD</t>
  </si>
  <si>
    <t>Konversi faktur dan sumber prakiraan memakai periode dan mata uang yang sama. Kalikan USD_per_unit. Jangan konversi USD pengendali historis dua kali.</t>
  </si>
  <si>
    <t>R02</t>
  </si>
  <si>
    <t>Opex</t>
  </si>
  <si>
    <t>Biaya operasi menjumlahkan sepuluh akun 6100 sampai 6190. Akun 1500 sampai 1590 hanya belanja modal pengembangan dan bukan biaya operasi.</t>
  </si>
  <si>
    <t>R03</t>
  </si>
  <si>
    <t>Gold</t>
  </si>
  <si>
    <t>Ons terjual harus memenuhi awal + produksi - akhir. S03 tidak memiliki produksi atau penjualan. Gunakan hitungan emas tersertifikasi untuk periode ditutup.</t>
  </si>
  <si>
    <t>R04</t>
  </si>
  <si>
    <t>Production</t>
  </si>
  <si>
    <t>Prakiraan ons = hari x ton bijih/hari x kadar g/t x fraksi perolehan / 31,1034768. Perolehan disimpan sebagai desimal seperti 0,914, bukan 91,4.</t>
  </si>
  <si>
    <t>R05</t>
  </si>
  <si>
    <t>Cash</t>
  </si>
  <si>
    <t>Cashflow menggabungkan penyelesaian tertunda asal AKTUAL dengan rasio asal PRAKIRAAN: penerimaan 88% berjalan + 12% bulan prakiraan sebelumnya; pembayaran 82% + 18%. Jangan gunakan rasio bulan sebelumnya pada kewajiban aktual. Pisahkan aplikasi buku, kurs penyelesaian kas dan biaya; hanya sisa positif belum dialokasikan diestimasi bulan berikutnya sesuai Settlement_Bridge.</t>
  </si>
  <si>
    <t>R06</t>
  </si>
  <si>
    <t>Range</t>
  </si>
  <si>
    <t>Semua baris sumber rilis berada dalam tabel Excel. Jumlah faktur periode ditutup harus mencakup pengiriman disetujui yang dibukukan belakangan. Jangan potong rentang pada baris terakhir lama.</t>
  </si>
  <si>
    <t>R07</t>
  </si>
  <si>
    <t>Horizon</t>
  </si>
  <si>
    <t>R08</t>
  </si>
  <si>
    <t>Controls memakai sertifikat pengendali independen, hitungan persediaan fisik, snapshot Juli tetap dan aturan rumus eksplisit. Nilai harapan tidak boleh tertaut ke keluaran berpotensi salah yang sedang diuji.</t>
  </si>
  <si>
    <t>FXKey</t>
  </si>
  <si>
    <t>Period</t>
  </si>
  <si>
    <t>Currency</t>
  </si>
  <si>
    <t>USD_per_unit</t>
  </si>
  <si>
    <t>ReleaseStatus</t>
  </si>
  <si>
    <t>EvidenceRef</t>
  </si>
  <si>
    <t>Parameter</t>
  </si>
  <si>
    <t>Value</t>
  </si>
  <si>
    <t>Unit</t>
  </si>
  <si>
    <t>2026-06|AUD</t>
  </si>
  <si>
    <t>AUD</t>
  </si>
  <si>
    <t>APPROVED</t>
  </si>
  <si>
    <t>fx_rates.csv</t>
  </si>
  <si>
    <t>OpeningCash_S01</t>
  </si>
  <si>
    <t>Asumsi kas awal Juni</t>
  </si>
  <si>
    <t>2026-06|IDR</t>
  </si>
  <si>
    <t>IDR</t>
  </si>
  <si>
    <t>OpeningCash_S02</t>
  </si>
  <si>
    <t>2026-06|USD</t>
  </si>
  <si>
    <t>OpeningCash_S03</t>
  </si>
  <si>
    <t>2026-07|AUD</t>
  </si>
  <si>
    <t>OpeningGold_S01</t>
  </si>
  <si>
    <t>oz</t>
  </si>
  <si>
    <t>SYN-BULLION-OPEN</t>
  </si>
  <si>
    <t>2026-07|IDR</t>
  </si>
  <si>
    <t>OpeningGold_S02</t>
  </si>
  <si>
    <t>2026-07|USD</t>
  </si>
  <si>
    <t>OpeningGold_S03</t>
  </si>
  <si>
    <t>2026-08|AUD</t>
  </si>
  <si>
    <t>CurrentCollectionShare</t>
  </si>
  <si>
    <t>fraction</t>
  </si>
  <si>
    <t>SYN-CASH-PROFILE</t>
  </si>
  <si>
    <t>2026-08|IDR</t>
  </si>
  <si>
    <t>CurrentPaymentShare</t>
  </si>
  <si>
    <t>2026-08|USD</t>
  </si>
  <si>
    <t>DecemberCashThreshold</t>
  </si>
  <si>
    <t>Internal training decision flag</t>
  </si>
  <si>
    <t>2026-09|AUD</t>
  </si>
  <si>
    <t>FORECAST</t>
  </si>
  <si>
    <t>SYN-FX-PLAN-v1</t>
  </si>
  <si>
    <t>OpeningReceivables</t>
  </si>
  <si>
    <t>June-start scope; no legacy invoices</t>
  </si>
  <si>
    <t>2026-09|IDR</t>
  </si>
  <si>
    <t>2026-09|USD</t>
  </si>
  <si>
    <t>2026-10|AUD</t>
  </si>
  <si>
    <t>2026-10|IDR</t>
  </si>
  <si>
    <t>2026-10|USD</t>
  </si>
  <si>
    <t>2026-11|AUD</t>
  </si>
  <si>
    <t>2026-11|IDR</t>
  </si>
  <si>
    <t>2026-11|USD</t>
  </si>
  <si>
    <t>2026-12|AUD</t>
  </si>
  <si>
    <t>2026-12|IDR</t>
  </si>
  <si>
    <t>2026-12|USD</t>
  </si>
  <si>
    <t>ReleaseRef</t>
  </si>
  <si>
    <t>CloseDate</t>
  </si>
  <si>
    <t>Owner</t>
  </si>
  <si>
    <t>ActualClosed</t>
  </si>
  <si>
    <t>FIN-REL-2026-06</t>
  </si>
  <si>
    <t>Maya Hartono</t>
  </si>
  <si>
    <t>FIN-REL-2026-07</t>
  </si>
  <si>
    <t>Forecast</t>
  </si>
  <si>
    <t>PLAN-v1</t>
  </si>
  <si>
    <t>ApplicationID</t>
  </si>
  <si>
    <t>Site</t>
  </si>
  <si>
    <t>SettlementDate</t>
  </si>
  <si>
    <t>EventType</t>
  </si>
  <si>
    <t>OriginID</t>
  </si>
  <si>
    <t>OriginPeriod</t>
  </si>
  <si>
    <t>AppliedLocal</t>
  </si>
  <si>
    <t>SettlementFX</t>
  </si>
  <si>
    <t>CashUSD</t>
  </si>
  <si>
    <t>AppliedBookUSD</t>
  </si>
  <si>
    <t>FeeUSD</t>
  </si>
  <si>
    <t>PendingActualOrigin</t>
  </si>
  <si>
    <t>SourceRef</t>
  </si>
  <si>
    <t>REC-SALE-S01-2026-06-01-1</t>
  </si>
  <si>
    <t>S01</t>
  </si>
  <si>
    <t>Collection</t>
  </si>
  <si>
    <t>SALE-S01-2026-06-01</t>
  </si>
  <si>
    <t>RB-SALE-S01-2026-06-01-1</t>
  </si>
  <si>
    <t>REC-SALE-S01-2026-06-01-2</t>
  </si>
  <si>
    <t>RB-SALE-S01-2026-06-01-2</t>
  </si>
  <si>
    <t>REC-SALE-S01-2026-06-02-1</t>
  </si>
  <si>
    <t>SALE-S01-2026-06-02</t>
  </si>
  <si>
    <t>RB-SALE-S01-2026-06-02-1</t>
  </si>
  <si>
    <t>REC-SALE-S01-2026-06-02-2</t>
  </si>
  <si>
    <t>RB-SALE-S01-2026-06-02-2</t>
  </si>
  <si>
    <t>REC-SALE-S01-2026-06-03-1</t>
  </si>
  <si>
    <t>SALE-S01-2026-06-03</t>
  </si>
  <si>
    <t>RB-SALE-S01-2026-06-03-1</t>
  </si>
  <si>
    <t>REC-SALE-S01-2026-06-03-2</t>
  </si>
  <si>
    <t>RB-SALE-S01-2026-06-03-2</t>
  </si>
  <si>
    <t>REC-SALE-S01-2026-06-04-1</t>
  </si>
  <si>
    <t>SALE-S01-2026-06-04</t>
  </si>
  <si>
    <t>RB-SALE-S01-2026-06-04-1</t>
  </si>
  <si>
    <t>REC-SALE-S01-2026-06-04-2</t>
  </si>
  <si>
    <t>RB-SALE-S01-2026-06-04-2</t>
  </si>
  <si>
    <t>REC-SALE-S01-2026-07-01-1</t>
  </si>
  <si>
    <t>SALE-S01-2026-07-01</t>
  </si>
  <si>
    <t>RB-SALE-S01-2026-07-01-1</t>
  </si>
  <si>
    <t>REC-SALE-S01-2026-07-01-2</t>
  </si>
  <si>
    <t>RB-SALE-S01-2026-07-01-2</t>
  </si>
  <si>
    <t>REC-SALE-S01-2026-07-02-1</t>
  </si>
  <si>
    <t>SALE-S01-2026-07-02</t>
  </si>
  <si>
    <t>RB-SALE-S01-2026-07-02-1</t>
  </si>
  <si>
    <t>REC-SALE-S01-2026-07-02-2</t>
  </si>
  <si>
    <t>RB-SALE-S01-2026-07-02-2</t>
  </si>
  <si>
    <t>REC-SALE-S01-2026-07-03-1</t>
  </si>
  <si>
    <t>SALE-S01-2026-07-03</t>
  </si>
  <si>
    <t>RB-SALE-S01-2026-07-03-1</t>
  </si>
  <si>
    <t>REC-SALE-S01-2026-07-03-2</t>
  </si>
  <si>
    <t>RB-SALE-S01-2026-07-03-2</t>
  </si>
  <si>
    <t>REC-SALE-S01-2026-07-04-1</t>
  </si>
  <si>
    <t>SALE-S01-2026-07-04</t>
  </si>
  <si>
    <t>RB-SALE-S01-2026-07-04-1</t>
  </si>
  <si>
    <t>REC-SALE-S01-2026-07-04-2</t>
  </si>
  <si>
    <t>SCHEDULED</t>
  </si>
  <si>
    <t>RB-SALE-S01-2026-07-04-2</t>
  </si>
  <si>
    <t>REC-SALE-S01-2026-08-01-1</t>
  </si>
  <si>
    <t>SALE-S01-2026-08-01</t>
  </si>
  <si>
    <t>RB-SALE-S01-2026-08-01-1</t>
  </si>
  <si>
    <t>REC-SALE-S01-2026-08-01-2</t>
  </si>
  <si>
    <t>RB-SALE-S01-2026-08-01-2</t>
  </si>
  <si>
    <t>REC-SALE-S01-2026-08-02-1</t>
  </si>
  <si>
    <t>SALE-S01-2026-08-02</t>
  </si>
  <si>
    <t>RB-SALE-S01-2026-08-02-1</t>
  </si>
  <si>
    <t>REC-SALE-S01-2026-08-02-2</t>
  </si>
  <si>
    <t>RB-SALE-S01-2026-08-02-2</t>
  </si>
  <si>
    <t>REC-SALE-S01-2026-08-03-1</t>
  </si>
  <si>
    <t>SALE-S01-2026-08-03</t>
  </si>
  <si>
    <t>RB-SALE-S01-2026-08-03-1</t>
  </si>
  <si>
    <t>REC-SALE-S01-2026-08-03-2</t>
  </si>
  <si>
    <t>RB-SALE-S01-2026-08-03-2</t>
  </si>
  <si>
    <t>REC-SALE-S01-2026-08-04-1</t>
  </si>
  <si>
    <t>SALE-S01-2026-08-04</t>
  </si>
  <si>
    <t>RB-SALE-S01-2026-08-04-1</t>
  </si>
  <si>
    <t>REC-SALE-S01-2026-08-04-2</t>
  </si>
  <si>
    <t>RB-SALE-S01-2026-08-04-2</t>
  </si>
  <si>
    <t>REC-SALE-S02-2026-06-01-1</t>
  </si>
  <si>
    <t>S02</t>
  </si>
  <si>
    <t>SALE-S02-2026-06-01</t>
  </si>
  <si>
    <t>RB-SALE-S02-2026-06-01-1</t>
  </si>
  <si>
    <t>REC-SALE-S02-2026-06-01-2</t>
  </si>
  <si>
    <t>RB-SALE-S02-2026-06-01-2</t>
  </si>
  <si>
    <t>REC-SALE-S02-2026-06-02-1</t>
  </si>
  <si>
    <t>SALE-S02-2026-06-02</t>
  </si>
  <si>
    <t>RB-SALE-S02-2026-06-02-1</t>
  </si>
  <si>
    <t>REC-SALE-S02-2026-06-02-2</t>
  </si>
  <si>
    <t>RB-SALE-S02-2026-06-02-2</t>
  </si>
  <si>
    <t>REC-SALE-S02-2026-06-03-1</t>
  </si>
  <si>
    <t>SALE-S02-2026-06-03</t>
  </si>
  <si>
    <t>RB-SALE-S02-2026-06-03-1</t>
  </si>
  <si>
    <t>REC-SALE-S02-2026-06-03-2</t>
  </si>
  <si>
    <t>RB-SALE-S02-2026-06-03-2</t>
  </si>
  <si>
    <t>REC-SALE-S02-2026-06-04-1</t>
  </si>
  <si>
    <t>SALE-S02-2026-06-04</t>
  </si>
  <si>
    <t>RB-SALE-S02-2026-06-04-1</t>
  </si>
  <si>
    <t>REC-SALE-S02-2026-06-04-2</t>
  </si>
  <si>
    <t>RB-SALE-S02-2026-06-04-2</t>
  </si>
  <si>
    <t>REC-SALE-S02-2026-07-01-1</t>
  </si>
  <si>
    <t>SALE-S02-2026-07-01</t>
  </si>
  <si>
    <t>RB-SALE-S02-2026-07-01-1</t>
  </si>
  <si>
    <t>REC-SALE-S02-2026-07-01-2</t>
  </si>
  <si>
    <t>RB-SALE-S02-2026-07-01-2</t>
  </si>
  <si>
    <t>REC-SALE-S02-2026-07-02-1</t>
  </si>
  <si>
    <t>SALE-S02-2026-07-02</t>
  </si>
  <si>
    <t>RB-SALE-S02-2026-07-02-1</t>
  </si>
  <si>
    <t>REC-SALE-S02-2026-07-02-2</t>
  </si>
  <si>
    <t>RB-SALE-S02-2026-07-02-2</t>
  </si>
  <si>
    <t>REC-SALE-S02-2026-07-03-1</t>
  </si>
  <si>
    <t>SALE-S02-2026-07-03</t>
  </si>
  <si>
    <t>RB-SALE-S02-2026-07-03-1</t>
  </si>
  <si>
    <t>REC-SALE-S02-2026-07-03-2</t>
  </si>
  <si>
    <t>RB-SALE-S02-2026-07-03-2</t>
  </si>
  <si>
    <t>REC-SALE-S02-2026-07-04-1</t>
  </si>
  <si>
    <t>SALE-S02-2026-07-04</t>
  </si>
  <si>
    <t>RB-SALE-S02-2026-07-04-1</t>
  </si>
  <si>
    <t>REC-SALE-S02-2026-07-04-2</t>
  </si>
  <si>
    <t>RB-SALE-S02-2026-07-04-2</t>
  </si>
  <si>
    <t>REC-SALE-S02-2026-08-01-1</t>
  </si>
  <si>
    <t>SALE-S02-2026-08-01</t>
  </si>
  <si>
    <t>RB-SALE-S02-2026-08-01-1</t>
  </si>
  <si>
    <t>REC-SALE-S02-2026-08-01-2</t>
  </si>
  <si>
    <t>RB-SALE-S02-2026-08-01-2</t>
  </si>
  <si>
    <t>REC-SALE-S02-2026-08-02-1</t>
  </si>
  <si>
    <t>SALE-S02-2026-08-02</t>
  </si>
  <si>
    <t>RB-SALE-S02-2026-08-02-1</t>
  </si>
  <si>
    <t>REC-SALE-S02-2026-08-02-2</t>
  </si>
  <si>
    <t>RB-SALE-S02-2026-08-02-2</t>
  </si>
  <si>
    <t>REC-SALE-S02-2026-08-03-1</t>
  </si>
  <si>
    <t>SALE-S02-2026-08-03</t>
  </si>
  <si>
    <t>RB-SALE-S02-2026-08-03-1</t>
  </si>
  <si>
    <t>REC-SALE-S02-2026-08-03-2</t>
  </si>
  <si>
    <t>RB-SALE-S02-2026-08-03-2</t>
  </si>
  <si>
    <t>REC-SALE-S02-2026-08-04-1</t>
  </si>
  <si>
    <t>SALE-S02-2026-08-04</t>
  </si>
  <si>
    <t>RB-SALE-S02-2026-08-04-1</t>
  </si>
  <si>
    <t>REC-SALE-S02-2026-08-04-2</t>
  </si>
  <si>
    <t>RB-SALE-S02-2026-08-04-2</t>
  </si>
  <si>
    <t>PAY-00001-1</t>
  </si>
  <si>
    <t>VendorSettlement</t>
  </si>
  <si>
    <t>TX-S01-0001</t>
  </si>
  <si>
    <t>TR-LINE-00001-1</t>
  </si>
  <si>
    <t>PAY-00002-1</t>
  </si>
  <si>
    <t>TX-S01-0002</t>
  </si>
  <si>
    <t>TR-LINE-00002-1</t>
  </si>
  <si>
    <t>PAY-00003-1</t>
  </si>
  <si>
    <t>TX-S01-0003</t>
  </si>
  <si>
    <t>TR-LINE-00003-1</t>
  </si>
  <si>
    <t>PAY-00004-1</t>
  </si>
  <si>
    <t>TX-S01-0004</t>
  </si>
  <si>
    <t>TR-LINE-00004-1</t>
  </si>
  <si>
    <t>PAY-00004-2</t>
  </si>
  <si>
    <t>TR-LINE-00004-2</t>
  </si>
  <si>
    <t>PAY-00005-1</t>
  </si>
  <si>
    <t>TX-S01-0005</t>
  </si>
  <si>
    <t>TR-LINE-00005-1</t>
  </si>
  <si>
    <t>PAY-00005-2</t>
  </si>
  <si>
    <t>TR-LINE-00005-2</t>
  </si>
  <si>
    <t>PAY-00006-1</t>
  </si>
  <si>
    <t>TX-S01-0006</t>
  </si>
  <si>
    <t>TR-LINE-00006-1</t>
  </si>
  <si>
    <t>PAY-00007-1</t>
  </si>
  <si>
    <t>TX-S01-0007</t>
  </si>
  <si>
    <t>TR-LINE-00007-1</t>
  </si>
  <si>
    <t>PAY-00008-1</t>
  </si>
  <si>
    <t>TX-S01-0008</t>
  </si>
  <si>
    <t>TR-LINE-00008-1</t>
  </si>
  <si>
    <t>PAY-00008-2</t>
  </si>
  <si>
    <t>TR-LINE-00008-2</t>
  </si>
  <si>
    <t>PAY-00009-1</t>
  </si>
  <si>
    <t>TX-S01-0009</t>
  </si>
  <si>
    <t>TR-LINE-00009-1</t>
  </si>
  <si>
    <t>PAY-00010-1</t>
  </si>
  <si>
    <t>TX-S01-0010</t>
  </si>
  <si>
    <t>TR-LINE-00010-1</t>
  </si>
  <si>
    <t>PAY-00011-1</t>
  </si>
  <si>
    <t>TX-S01-0011</t>
  </si>
  <si>
    <t>TR-LINE-00011-1</t>
  </si>
  <si>
    <t>PAY-00012-1</t>
  </si>
  <si>
    <t>TX-S01-0012</t>
  </si>
  <si>
    <t>TR-LINE-00012-1</t>
  </si>
  <si>
    <t>PAY-00013-1</t>
  </si>
  <si>
    <t>TX-S01-0013</t>
  </si>
  <si>
    <t>TR-LINE-00013-1</t>
  </si>
  <si>
    <t>PAY-00014-1</t>
  </si>
  <si>
    <t>TX-S01-0014</t>
  </si>
  <si>
    <t>TR-LINE-00014-1</t>
  </si>
  <si>
    <t>PAY-00014-2</t>
  </si>
  <si>
    <t>TR-LINE-00014-2</t>
  </si>
  <si>
    <t>PAY-00015-1</t>
  </si>
  <si>
    <t>TX-S01-0015</t>
  </si>
  <si>
    <t>TR-LINE-00015-1</t>
  </si>
  <si>
    <t>PAY-00015-2</t>
  </si>
  <si>
    <t>TR-LINE-00015-2</t>
  </si>
  <si>
    <t>PAY-00016-1</t>
  </si>
  <si>
    <t>TX-S01-0016</t>
  </si>
  <si>
    <t>TR-LINE-00016-1</t>
  </si>
  <si>
    <t>PAY-00017-1</t>
  </si>
  <si>
    <t>TX-S01-0017</t>
  </si>
  <si>
    <t>TR-LINE-00017-1</t>
  </si>
  <si>
    <t>PAY-00018-1</t>
  </si>
  <si>
    <t>TX-S01-0018</t>
  </si>
  <si>
    <t>TR-LINE-00018-1</t>
  </si>
  <si>
    <t>PAY-00018-2</t>
  </si>
  <si>
    <t>TR-LINE-00018-2</t>
  </si>
  <si>
    <t>PAY-00019-1</t>
  </si>
  <si>
    <t>TX-S01-0019</t>
  </si>
  <si>
    <t>TR-LINE-00019-1</t>
  </si>
  <si>
    <t>PAY-00020-1</t>
  </si>
  <si>
    <t>TX-S01-0020</t>
  </si>
  <si>
    <t>TR-LINE-00020-1</t>
  </si>
  <si>
    <t>PAY-00021-1</t>
  </si>
  <si>
    <t>TX-S01-0021</t>
  </si>
  <si>
    <t>TR-LINE-00021-1</t>
  </si>
  <si>
    <t>PAY-00022-1</t>
  </si>
  <si>
    <t>TX-S01-0022</t>
  </si>
  <si>
    <t>TR-LINE-00022-1</t>
  </si>
  <si>
    <t>PAY-00023-1</t>
  </si>
  <si>
    <t>TX-S01-0023</t>
  </si>
  <si>
    <t>TR-LINE-00023-1</t>
  </si>
  <si>
    <t>PAY-00024-1</t>
  </si>
  <si>
    <t>TX-S01-0024</t>
  </si>
  <si>
    <t>TR-LINE-00024-1</t>
  </si>
  <si>
    <t>PAY-00024-2</t>
  </si>
  <si>
    <t>TR-LINE-00024-2</t>
  </si>
  <si>
    <t>PAY-00025-1</t>
  </si>
  <si>
    <t>TX-S01-0025</t>
  </si>
  <si>
    <t>TR-LINE-00025-1</t>
  </si>
  <si>
    <t>PAY-00025-2</t>
  </si>
  <si>
    <t>TR-LINE-00025-2</t>
  </si>
  <si>
    <t>PAY-00026-1</t>
  </si>
  <si>
    <t>TX-S01-0026</t>
  </si>
  <si>
    <t>TR-LINE-00026-1</t>
  </si>
  <si>
    <t>PAY-00027-1</t>
  </si>
  <si>
    <t>TX-S01-0027</t>
  </si>
  <si>
    <t>TR-LINE-00027-1</t>
  </si>
  <si>
    <t>PAY-00028-1</t>
  </si>
  <si>
    <t>TX-S01-0028</t>
  </si>
  <si>
    <t>TR-LINE-00028-1</t>
  </si>
  <si>
    <t>PAY-00028-2</t>
  </si>
  <si>
    <t>TR-LINE-00028-2</t>
  </si>
  <si>
    <t>PAY-00029-1</t>
  </si>
  <si>
    <t>TX-S01-0029</t>
  </si>
  <si>
    <t>TR-LINE-00029-1</t>
  </si>
  <si>
    <t>PAY-00030-1</t>
  </si>
  <si>
    <t>TX-S01-0030</t>
  </si>
  <si>
    <t>TR-LINE-00030-1</t>
  </si>
  <si>
    <t>PAY-00031-1</t>
  </si>
  <si>
    <t>TX-S01-0031</t>
  </si>
  <si>
    <t>TR-LINE-00031-1</t>
  </si>
  <si>
    <t>PAY-00032-1</t>
  </si>
  <si>
    <t>TX-S01-0032</t>
  </si>
  <si>
    <t>TR-LINE-00032-1</t>
  </si>
  <si>
    <t>PAY-00033-1</t>
  </si>
  <si>
    <t>TX-S01-0033</t>
  </si>
  <si>
    <t>TR-LINE-00033-1</t>
  </si>
  <si>
    <t>PAY-00034-1</t>
  </si>
  <si>
    <t>TX-S01-0034</t>
  </si>
  <si>
    <t>TR-LINE-00034-1</t>
  </si>
  <si>
    <t>PAY-00034-2</t>
  </si>
  <si>
    <t>TR-LINE-00034-2</t>
  </si>
  <si>
    <t>PAY-00035-1</t>
  </si>
  <si>
    <t>TX-S01-0035</t>
  </si>
  <si>
    <t>TR-LINE-00035-1</t>
  </si>
  <si>
    <t>PAY-00035-2</t>
  </si>
  <si>
    <t>TR-LINE-00035-2</t>
  </si>
  <si>
    <t>PAY-00036-1</t>
  </si>
  <si>
    <t>TX-S01-0036</t>
  </si>
  <si>
    <t>TR-LINE-00036-1</t>
  </si>
  <si>
    <t>PAY-00037-1</t>
  </si>
  <si>
    <t>TX-S01-0037</t>
  </si>
  <si>
    <t>TR-LINE-00037-1</t>
  </si>
  <si>
    <t>PAY-00038-1</t>
  </si>
  <si>
    <t>TX-S01-0038</t>
  </si>
  <si>
    <t>TR-LINE-00038-1</t>
  </si>
  <si>
    <t>PAY-00038-2</t>
  </si>
  <si>
    <t>TR-LINE-00038-2</t>
  </si>
  <si>
    <t>PAY-00039-1</t>
  </si>
  <si>
    <t>TX-S01-0039</t>
  </si>
  <si>
    <t>TR-LINE-00039-1</t>
  </si>
  <si>
    <t>PAY-00040-1</t>
  </si>
  <si>
    <t>TX-S01-0040</t>
  </si>
  <si>
    <t>TR-LINE-00040-1</t>
  </si>
  <si>
    <t>PAY-00041-1</t>
  </si>
  <si>
    <t>TX-S01-0041</t>
  </si>
  <si>
    <t>TR-LINE-00041-1</t>
  </si>
  <si>
    <t>PAY-00042-1</t>
  </si>
  <si>
    <t>TX-S01-0042</t>
  </si>
  <si>
    <t>TR-LINE-00042-1</t>
  </si>
  <si>
    <t>PAY-00043-1</t>
  </si>
  <si>
    <t>TX-S01-0043</t>
  </si>
  <si>
    <t>TR-LINE-00043-1</t>
  </si>
  <si>
    <t>PAY-00044-1</t>
  </si>
  <si>
    <t>TX-S01-0044</t>
  </si>
  <si>
    <t>TR-LINE-00044-1</t>
  </si>
  <si>
    <t>PAY-00044-2</t>
  </si>
  <si>
    <t>TR-LINE-00044-2</t>
  </si>
  <si>
    <t>PAY-00045-1</t>
  </si>
  <si>
    <t>TX-S01-0045</t>
  </si>
  <si>
    <t>TR-LINE-00045-1</t>
  </si>
  <si>
    <t>PAY-00045-2</t>
  </si>
  <si>
    <t>TR-LINE-00045-2</t>
  </si>
  <si>
    <t>PAY-00046-1</t>
  </si>
  <si>
    <t>TX-S01-0046</t>
  </si>
  <si>
    <t>TR-LINE-00046-1</t>
  </si>
  <si>
    <t>PAY-00047-1</t>
  </si>
  <si>
    <t>TX-S01-0047</t>
  </si>
  <si>
    <t>TR-LINE-00047-1</t>
  </si>
  <si>
    <t>PAY-00048-1</t>
  </si>
  <si>
    <t>TX-S01-0048</t>
  </si>
  <si>
    <t>TR-LINE-00048-1</t>
  </si>
  <si>
    <t>PAY-00048-2</t>
  </si>
  <si>
    <t>TR-LINE-00048-2</t>
  </si>
  <si>
    <t>PAY-00049-1</t>
  </si>
  <si>
    <t>TX-S01-0049</t>
  </si>
  <si>
    <t>TR-LINE-00049-1</t>
  </si>
  <si>
    <t>PAY-00050-1</t>
  </si>
  <si>
    <t>TX-S01-0050</t>
  </si>
  <si>
    <t>TR-LINE-00050-1</t>
  </si>
  <si>
    <t>PAY-00051-1</t>
  </si>
  <si>
    <t>TX-S01-0051</t>
  </si>
  <si>
    <t>TR-LINE-00051-1</t>
  </si>
  <si>
    <t>PAY-00052-1</t>
  </si>
  <si>
    <t>TX-S01-0052</t>
  </si>
  <si>
    <t>TR-LINE-00052-1</t>
  </si>
  <si>
    <t>PAY-00053-1</t>
  </si>
  <si>
    <t>TX-S01-0053</t>
  </si>
  <si>
    <t>TR-LINE-00053-1</t>
  </si>
  <si>
    <t>PAY-00054-1</t>
  </si>
  <si>
    <t>TX-S01-0054</t>
  </si>
  <si>
    <t>TR-LINE-00054-1</t>
  </si>
  <si>
    <t>PAY-00054-2</t>
  </si>
  <si>
    <t>TR-LINE-00054-2</t>
  </si>
  <si>
    <t>PAY-00055-1</t>
  </si>
  <si>
    <t>TX-S01-0055</t>
  </si>
  <si>
    <t>TR-LINE-00055-1</t>
  </si>
  <si>
    <t>PAY-00055-2</t>
  </si>
  <si>
    <t>TR-LINE-00055-2</t>
  </si>
  <si>
    <t>PAY-00056-1</t>
  </si>
  <si>
    <t>TX-S01-0056</t>
  </si>
  <si>
    <t>TR-LINE-00056-1</t>
  </si>
  <si>
    <t>PAY-00057-1</t>
  </si>
  <si>
    <t>TX-S01-0057</t>
  </si>
  <si>
    <t>TR-LINE-00057-1</t>
  </si>
  <si>
    <t>PAY-00058-1</t>
  </si>
  <si>
    <t>TX-S01-0058</t>
  </si>
  <si>
    <t>TR-LINE-00058-1</t>
  </si>
  <si>
    <t>PAY-00058-2</t>
  </si>
  <si>
    <t>TR-LINE-00058-2</t>
  </si>
  <si>
    <t>PAY-00059-1</t>
  </si>
  <si>
    <t>TX-S01-0059</t>
  </si>
  <si>
    <t>TR-LINE-00059-1</t>
  </si>
  <si>
    <t>PAY-00060-1</t>
  </si>
  <si>
    <t>TX-S01-0060</t>
  </si>
  <si>
    <t>TR-LINE-00060-1</t>
  </si>
  <si>
    <t>PAY-00061-1</t>
  </si>
  <si>
    <t>TX-S01-0061</t>
  </si>
  <si>
    <t>TR-LINE-00061-1</t>
  </si>
  <si>
    <t>PAY-00062-1</t>
  </si>
  <si>
    <t>TX-S01-0062</t>
  </si>
  <si>
    <t>TR-LINE-00062-1</t>
  </si>
  <si>
    <t>PAY-00063-1</t>
  </si>
  <si>
    <t>TX-S01-0063</t>
  </si>
  <si>
    <t>TR-LINE-00063-1</t>
  </si>
  <si>
    <t>PAY-00064-1</t>
  </si>
  <si>
    <t>TX-S01-0064</t>
  </si>
  <si>
    <t>TR-LINE-00064-1</t>
  </si>
  <si>
    <t>PAY-00064-2</t>
  </si>
  <si>
    <t>TR-LINE-00064-2</t>
  </si>
  <si>
    <t>PAY-00065-1</t>
  </si>
  <si>
    <t>TX-S01-0065</t>
  </si>
  <si>
    <t>TR-LINE-00065-1</t>
  </si>
  <si>
    <t>PAY-00065-2</t>
  </si>
  <si>
    <t>TR-LINE-00065-2</t>
  </si>
  <si>
    <t>PAY-00066-1</t>
  </si>
  <si>
    <t>TX-S01-0066</t>
  </si>
  <si>
    <t>TR-LINE-00066-1</t>
  </si>
  <si>
    <t>PAY-00067-1</t>
  </si>
  <si>
    <t>TX-S01-0067</t>
  </si>
  <si>
    <t>TR-LINE-00067-1</t>
  </si>
  <si>
    <t>PAY-00068-1</t>
  </si>
  <si>
    <t>TX-S01-0068</t>
  </si>
  <si>
    <t>TR-LINE-00068-1</t>
  </si>
  <si>
    <t>PAY-00068-2</t>
  </si>
  <si>
    <t>TR-LINE-00068-2</t>
  </si>
  <si>
    <t>PAY-00069-1</t>
  </si>
  <si>
    <t>TX-S01-0069</t>
  </si>
  <si>
    <t>TR-LINE-00069-1</t>
  </si>
  <si>
    <t>PAY-00070-1</t>
  </si>
  <si>
    <t>TX-S01-0070</t>
  </si>
  <si>
    <t>TR-LINE-00070-1</t>
  </si>
  <si>
    <t>PAY-00071-1</t>
  </si>
  <si>
    <t>TX-S01-0071</t>
  </si>
  <si>
    <t>TR-LINE-00071-1</t>
  </si>
  <si>
    <t>PAY-00072-1</t>
  </si>
  <si>
    <t>TX-S01-0072</t>
  </si>
  <si>
    <t>TR-LINE-00072-1</t>
  </si>
  <si>
    <t>PAY-00073-1</t>
  </si>
  <si>
    <t>TX-S01-0073</t>
  </si>
  <si>
    <t>TR-LINE-00073-1</t>
  </si>
  <si>
    <t>PAY-00074-1</t>
  </si>
  <si>
    <t>TX-S01-0074</t>
  </si>
  <si>
    <t>TR-LINE-00074-1</t>
  </si>
  <si>
    <t>PAY-00074-2</t>
  </si>
  <si>
    <t>TR-LINE-00074-2</t>
  </si>
  <si>
    <t>PAY-00075-1</t>
  </si>
  <si>
    <t>TX-S01-0075</t>
  </si>
  <si>
    <t>TR-LINE-00075-1</t>
  </si>
  <si>
    <t>PAY-00075-2</t>
  </si>
  <si>
    <t>TR-LINE-00075-2</t>
  </si>
  <si>
    <t>PAY-00076-1</t>
  </si>
  <si>
    <t>TX-S01-0076</t>
  </si>
  <si>
    <t>TR-LINE-00076-1</t>
  </si>
  <si>
    <t>PAY-00077-1</t>
  </si>
  <si>
    <t>TX-S01-0077</t>
  </si>
  <si>
    <t>TR-LINE-00077-1</t>
  </si>
  <si>
    <t>PAY-00078-1</t>
  </si>
  <si>
    <t>TX-S01-0078</t>
  </si>
  <si>
    <t>TR-LINE-00078-1</t>
  </si>
  <si>
    <t>PAY-00078-2</t>
  </si>
  <si>
    <t>TR-LINE-00078-2</t>
  </si>
  <si>
    <t>PAY-00079-1</t>
  </si>
  <si>
    <t>TX-S01-0079</t>
  </si>
  <si>
    <t>TR-LINE-00079-1</t>
  </si>
  <si>
    <t>PAY-00080-1</t>
  </si>
  <si>
    <t>TX-S01-0080</t>
  </si>
  <si>
    <t>TR-LINE-00080-1</t>
  </si>
  <si>
    <t>PAY-00081-1</t>
  </si>
  <si>
    <t>TX-S01-0081</t>
  </si>
  <si>
    <t>TR-LINE-00081-1</t>
  </si>
  <si>
    <t>PAY-00082-1</t>
  </si>
  <si>
    <t>TX-S01-0082</t>
  </si>
  <si>
    <t>TR-LINE-00082-1</t>
  </si>
  <si>
    <t>PAY-00083-1</t>
  </si>
  <si>
    <t>TX-S01-0083</t>
  </si>
  <si>
    <t>TR-LINE-00083-1</t>
  </si>
  <si>
    <t>PAY-00084-1</t>
  </si>
  <si>
    <t>TX-S01-0084</t>
  </si>
  <si>
    <t>TR-LINE-00084-1</t>
  </si>
  <si>
    <t>PAY-00084-2</t>
  </si>
  <si>
    <t>TR-LINE-00084-2</t>
  </si>
  <si>
    <t>PAY-00085-1</t>
  </si>
  <si>
    <t>TX-S01-0085</t>
  </si>
  <si>
    <t>TR-LINE-00085-1</t>
  </si>
  <si>
    <t>PAY-00085-2</t>
  </si>
  <si>
    <t>TR-LINE-00085-2</t>
  </si>
  <si>
    <t>PAY-00086-1</t>
  </si>
  <si>
    <t>TX-S01-0086</t>
  </si>
  <si>
    <t>TR-LINE-00086-1</t>
  </si>
  <si>
    <t>PAY-00087-1</t>
  </si>
  <si>
    <t>TX-S01-0087</t>
  </si>
  <si>
    <t>TR-LINE-00087-1</t>
  </si>
  <si>
    <t>PAY-00088-1</t>
  </si>
  <si>
    <t>TX-S01-0088</t>
  </si>
  <si>
    <t>TR-LINE-00088-1</t>
  </si>
  <si>
    <t>PAY-00088-2</t>
  </si>
  <si>
    <t>TR-LINE-00088-2</t>
  </si>
  <si>
    <t>PAY-00089-1</t>
  </si>
  <si>
    <t>TX-S01-0089</t>
  </si>
  <si>
    <t>TR-LINE-00089-1</t>
  </si>
  <si>
    <t>PAY-00090-1</t>
  </si>
  <si>
    <t>TX-S01-0090</t>
  </si>
  <si>
    <t>TR-LINE-00090-1</t>
  </si>
  <si>
    <t>PAY-00091-1</t>
  </si>
  <si>
    <t>TX-S01-0091</t>
  </si>
  <si>
    <t>TR-LINE-00091-1</t>
  </si>
  <si>
    <t>PAY-00092-1</t>
  </si>
  <si>
    <t>TX-S01-0092</t>
  </si>
  <si>
    <t>TR-LINE-00092-1</t>
  </si>
  <si>
    <t>PAY-00093-1</t>
  </si>
  <si>
    <t>TX-S01-0093</t>
  </si>
  <si>
    <t>TR-LINE-00093-1</t>
  </si>
  <si>
    <t>PAY-00094-1</t>
  </si>
  <si>
    <t>TX-S01-0094</t>
  </si>
  <si>
    <t>TR-LINE-00094-1</t>
  </si>
  <si>
    <t>PAY-00094-2</t>
  </si>
  <si>
    <t>TR-LINE-00094-2</t>
  </si>
  <si>
    <t>PAY-00095-1</t>
  </si>
  <si>
    <t>TX-S01-0095</t>
  </si>
  <si>
    <t>TR-LINE-00095-1</t>
  </si>
  <si>
    <t>PAY-00095-2</t>
  </si>
  <si>
    <t>TR-LINE-00095-2</t>
  </si>
  <si>
    <t>PAY-00096-1</t>
  </si>
  <si>
    <t>TX-S01-0096</t>
  </si>
  <si>
    <t>TR-LINE-00096-1</t>
  </si>
  <si>
    <t>PAY-00097-1</t>
  </si>
  <si>
    <t>TX-S01-0097</t>
  </si>
  <si>
    <t>TR-LINE-00097-1</t>
  </si>
  <si>
    <t>PAY-00098-1</t>
  </si>
  <si>
    <t>TX-S01-0098</t>
  </si>
  <si>
    <t>TR-LINE-00098-1</t>
  </si>
  <si>
    <t>PAY-00098-2</t>
  </si>
  <si>
    <t>TR-LINE-00098-2</t>
  </si>
  <si>
    <t>PAY-00099-1</t>
  </si>
  <si>
    <t>TX-S01-0099</t>
  </si>
  <si>
    <t>TR-LINE-00099-1</t>
  </si>
  <si>
    <t>PAY-00100-1</t>
  </si>
  <si>
    <t>TX-S01-0100</t>
  </si>
  <si>
    <t>TR-LINE-00100-1</t>
  </si>
  <si>
    <t>PAY-00101-1</t>
  </si>
  <si>
    <t>TX-S01-0101</t>
  </si>
  <si>
    <t>TR-LINE-00101-1</t>
  </si>
  <si>
    <t>PAY-00102-1</t>
  </si>
  <si>
    <t>TX-S01-0102</t>
  </si>
  <si>
    <t>TR-LINE-00102-1</t>
  </si>
  <si>
    <t>PAY-00103-1</t>
  </si>
  <si>
    <t>TX-S01-0103</t>
  </si>
  <si>
    <t>TR-LINE-00103-1</t>
  </si>
  <si>
    <t>PAY-00104-1</t>
  </si>
  <si>
    <t>TX-S01-0104</t>
  </si>
  <si>
    <t>TR-LINE-00104-1</t>
  </si>
  <si>
    <t>PAY-00104-2</t>
  </si>
  <si>
    <t>TR-LINE-00104-2</t>
  </si>
  <si>
    <t>PAY-00105-1</t>
  </si>
  <si>
    <t>TX-S01-0105</t>
  </si>
  <si>
    <t>TR-LINE-00105-1</t>
  </si>
  <si>
    <t>PAY-00105-2</t>
  </si>
  <si>
    <t>TR-LINE-00105-2</t>
  </si>
  <si>
    <t>PAY-00106-1</t>
  </si>
  <si>
    <t>TX-S01-0106</t>
  </si>
  <si>
    <t>TR-LINE-00106-1</t>
  </si>
  <si>
    <t>PAY-00107-1</t>
  </si>
  <si>
    <t>TX-S01-0107</t>
  </si>
  <si>
    <t>TR-LINE-00107-1</t>
  </si>
  <si>
    <t>PAY-00108-1</t>
  </si>
  <si>
    <t>TX-S01-0108</t>
  </si>
  <si>
    <t>TR-LINE-00108-1</t>
  </si>
  <si>
    <t>PAY-00108-2</t>
  </si>
  <si>
    <t>TR-LINE-00108-2</t>
  </si>
  <si>
    <t>PAY-00109-1</t>
  </si>
  <si>
    <t>TX-S01-0109</t>
  </si>
  <si>
    <t>TR-LINE-00109-1</t>
  </si>
  <si>
    <t>PAY-00110-1</t>
  </si>
  <si>
    <t>TX-S01-0110</t>
  </si>
  <si>
    <t>TR-LINE-00110-1</t>
  </si>
  <si>
    <t>PAY-00111-1</t>
  </si>
  <si>
    <t>TX-S01-0111</t>
  </si>
  <si>
    <t>TR-LINE-00111-1</t>
  </si>
  <si>
    <t>PAY-00112-1</t>
  </si>
  <si>
    <t>TX-S01-0112</t>
  </si>
  <si>
    <t>TR-LINE-00112-1</t>
  </si>
  <si>
    <t>PAY-00113-1</t>
  </si>
  <si>
    <t>TX-S01-0113</t>
  </si>
  <si>
    <t>TR-LINE-00113-1</t>
  </si>
  <si>
    <t>PAY-00114-1</t>
  </si>
  <si>
    <t>TX-S01-0114</t>
  </si>
  <si>
    <t>TR-LINE-00114-1</t>
  </si>
  <si>
    <t>PAY-00114-2</t>
  </si>
  <si>
    <t>TR-LINE-00114-2</t>
  </si>
  <si>
    <t>PAY-00115-1</t>
  </si>
  <si>
    <t>TX-S01-0115</t>
  </si>
  <si>
    <t>TR-LINE-00115-1</t>
  </si>
  <si>
    <t>PAY-00115-2</t>
  </si>
  <si>
    <t>TR-LINE-00115-2</t>
  </si>
  <si>
    <t>PAY-00116-1</t>
  </si>
  <si>
    <t>TX-S01-0116</t>
  </si>
  <si>
    <t>TR-LINE-00116-1</t>
  </si>
  <si>
    <t>PAY-00117-1</t>
  </si>
  <si>
    <t>TX-S01-0117</t>
  </si>
  <si>
    <t>TR-LINE-00117-1</t>
  </si>
  <si>
    <t>PAY-00118-1</t>
  </si>
  <si>
    <t>TX-S01-0118</t>
  </si>
  <si>
    <t>TR-LINE-00118-1</t>
  </si>
  <si>
    <t>PAY-00118-2</t>
  </si>
  <si>
    <t>TR-LINE-00118-2</t>
  </si>
  <si>
    <t>PAY-00119-1</t>
  </si>
  <si>
    <t>TX-S01-0119</t>
  </si>
  <si>
    <t>TR-LINE-00119-1</t>
  </si>
  <si>
    <t>PAY-00120-1</t>
  </si>
  <si>
    <t>TX-S01-0120</t>
  </si>
  <si>
    <t>TR-LINE-00120-1</t>
  </si>
  <si>
    <t>PAY-00121-1</t>
  </si>
  <si>
    <t>TX-S01-0121</t>
  </si>
  <si>
    <t>TR-LINE-00121-1</t>
  </si>
  <si>
    <t>PAY-00122-1</t>
  </si>
  <si>
    <t>TX-S01-0122</t>
  </si>
  <si>
    <t>TR-LINE-00122-1</t>
  </si>
  <si>
    <t>PAY-00123-1</t>
  </si>
  <si>
    <t>TX-S01-0123</t>
  </si>
  <si>
    <t>TR-LINE-00123-1</t>
  </si>
  <si>
    <t>PAY-00124-1</t>
  </si>
  <si>
    <t>TX-S01-0124</t>
  </si>
  <si>
    <t>TR-LINE-00124-1</t>
  </si>
  <si>
    <t>PAY-00124-2</t>
  </si>
  <si>
    <t>TR-LINE-00124-2</t>
  </si>
  <si>
    <t>PAY-00125-1</t>
  </si>
  <si>
    <t>TX-S01-0125</t>
  </si>
  <si>
    <t>TR-LINE-00125-1</t>
  </si>
  <si>
    <t>PAY-00125-2</t>
  </si>
  <si>
    <t>TR-LINE-00125-2</t>
  </si>
  <si>
    <t>PAY-00126-1</t>
  </si>
  <si>
    <t>TX-S01-0126</t>
  </si>
  <si>
    <t>TR-LINE-00126-1</t>
  </si>
  <si>
    <t>PAY-00127-1</t>
  </si>
  <si>
    <t>TX-S01-0127</t>
  </si>
  <si>
    <t>TR-LINE-00127-1</t>
  </si>
  <si>
    <t>PAY-00128-1</t>
  </si>
  <si>
    <t>TX-S01-0128</t>
  </si>
  <si>
    <t>TR-LINE-00128-1</t>
  </si>
  <si>
    <t>PAY-00128-2</t>
  </si>
  <si>
    <t>TR-LINE-00128-2</t>
  </si>
  <si>
    <t>PAY-00129-1</t>
  </si>
  <si>
    <t>TX-S01-0129</t>
  </si>
  <si>
    <t>TR-LINE-00129-1</t>
  </si>
  <si>
    <t>PAY-00130-1</t>
  </si>
  <si>
    <t>TX-S01-0130</t>
  </si>
  <si>
    <t>TR-LINE-00130-1</t>
  </si>
  <si>
    <t>PAY-00131-1</t>
  </si>
  <si>
    <t>TX-S01-0131</t>
  </si>
  <si>
    <t>TR-LINE-00131-1</t>
  </si>
  <si>
    <t>PAY-00132-1</t>
  </si>
  <si>
    <t>TX-S01-0132</t>
  </si>
  <si>
    <t>TR-LINE-00132-1</t>
  </si>
  <si>
    <t>PAY-00133-1</t>
  </si>
  <si>
    <t>TX-S01-0133</t>
  </si>
  <si>
    <t>TR-LINE-00133-1</t>
  </si>
  <si>
    <t>PAY-00134-1</t>
  </si>
  <si>
    <t>TX-S01-0134</t>
  </si>
  <si>
    <t>TR-LINE-00134-1</t>
  </si>
  <si>
    <t>PAY-00134-2</t>
  </si>
  <si>
    <t>TR-LINE-00134-2</t>
  </si>
  <si>
    <t>PAY-00135-1</t>
  </si>
  <si>
    <t>TX-S01-0135</t>
  </si>
  <si>
    <t>TR-LINE-00135-1</t>
  </si>
  <si>
    <t>PAY-00135-2</t>
  </si>
  <si>
    <t>TR-LINE-00135-2</t>
  </si>
  <si>
    <t>PAY-00136-1</t>
  </si>
  <si>
    <t>TX-S01-0136</t>
  </si>
  <si>
    <t>TR-LINE-00136-1</t>
  </si>
  <si>
    <t>PAY-00137-1</t>
  </si>
  <si>
    <t>TX-S01-0137</t>
  </si>
  <si>
    <t>TR-LINE-00137-1</t>
  </si>
  <si>
    <t>PAY-00138-1</t>
  </si>
  <si>
    <t>TX-S01-0138</t>
  </si>
  <si>
    <t>TR-LINE-00138-1</t>
  </si>
  <si>
    <t>PAY-00138-2</t>
  </si>
  <si>
    <t>TR-LINE-00138-2</t>
  </si>
  <si>
    <t>PAY-00139-1</t>
  </si>
  <si>
    <t>TX-S01-0139</t>
  </si>
  <si>
    <t>TR-LINE-00139-1</t>
  </si>
  <si>
    <t>PAY-00140-1</t>
  </si>
  <si>
    <t>TX-S01-0140</t>
  </si>
  <si>
    <t>TR-LINE-00140-1</t>
  </si>
  <si>
    <t>PAY-00141-1</t>
  </si>
  <si>
    <t>TX-S01-0141</t>
  </si>
  <si>
    <t>TR-LINE-00141-1</t>
  </si>
  <si>
    <t>PAY-00142-1</t>
  </si>
  <si>
    <t>TX-S01-0142</t>
  </si>
  <si>
    <t>TR-LINE-00142-1</t>
  </si>
  <si>
    <t>PAY-00143-1</t>
  </si>
  <si>
    <t>TX-S01-0143</t>
  </si>
  <si>
    <t>TR-LINE-00143-1</t>
  </si>
  <si>
    <t>PAY-00144-1</t>
  </si>
  <si>
    <t>TX-S01-0144</t>
  </si>
  <si>
    <t>TR-LINE-00144-1</t>
  </si>
  <si>
    <t>PAY-00144-2</t>
  </si>
  <si>
    <t>TR-LINE-00144-2</t>
  </si>
  <si>
    <t>PAY-00145-1</t>
  </si>
  <si>
    <t>TX-S01-0145</t>
  </si>
  <si>
    <t>TR-LINE-00145-1</t>
  </si>
  <si>
    <t>PAY-00145-2</t>
  </si>
  <si>
    <t>TR-LINE-00145-2</t>
  </si>
  <si>
    <t>PAY-00146-1</t>
  </si>
  <si>
    <t>TX-S01-0146</t>
  </si>
  <si>
    <t>TR-LINE-00146-1</t>
  </si>
  <si>
    <t>PAY-00147-1</t>
  </si>
  <si>
    <t>TX-S01-0147</t>
  </si>
  <si>
    <t>TR-LINE-00147-1</t>
  </si>
  <si>
    <t>PAY-00148-1</t>
  </si>
  <si>
    <t>TX-S01-0148</t>
  </si>
  <si>
    <t>TR-LINE-00148-1</t>
  </si>
  <si>
    <t>PAY-00148-2</t>
  </si>
  <si>
    <t>TR-LINE-00148-2</t>
  </si>
  <si>
    <t>PAY-00149-1</t>
  </si>
  <si>
    <t>TX-S01-0149</t>
  </si>
  <si>
    <t>TR-LINE-00149-1</t>
  </si>
  <si>
    <t>PAY-00150-1</t>
  </si>
  <si>
    <t>TX-S01-0150</t>
  </si>
  <si>
    <t>TR-LINE-00150-1</t>
  </si>
  <si>
    <t>PAY-00151-1</t>
  </si>
  <si>
    <t>TX-S01-0151</t>
  </si>
  <si>
    <t>TR-LINE-00151-1</t>
  </si>
  <si>
    <t>PAY-00152-1</t>
  </si>
  <si>
    <t>TX-S01-0152</t>
  </si>
  <si>
    <t>TR-LINE-00152-1</t>
  </si>
  <si>
    <t>PAY-00153-1</t>
  </si>
  <si>
    <t>TX-S01-0153</t>
  </si>
  <si>
    <t>TR-LINE-00153-1</t>
  </si>
  <si>
    <t>PAY-00154-1</t>
  </si>
  <si>
    <t>TX-S01-0154</t>
  </si>
  <si>
    <t>TR-LINE-00154-1</t>
  </si>
  <si>
    <t>PAY-00154-2</t>
  </si>
  <si>
    <t>TR-LINE-00154-2</t>
  </si>
  <si>
    <t>PAY-00155-1</t>
  </si>
  <si>
    <t>TX-S01-0155</t>
  </si>
  <si>
    <t>TR-LINE-00155-1</t>
  </si>
  <si>
    <t>PAY-00155-2</t>
  </si>
  <si>
    <t>TR-LINE-00155-2</t>
  </si>
  <si>
    <t>PAY-00156-1</t>
  </si>
  <si>
    <t>TX-S01-0156</t>
  </si>
  <si>
    <t>TR-LINE-00156-1</t>
  </si>
  <si>
    <t>PAY-00157-1</t>
  </si>
  <si>
    <t>TX-S01-0157</t>
  </si>
  <si>
    <t>TR-LINE-00157-1</t>
  </si>
  <si>
    <t>PAY-00158-1</t>
  </si>
  <si>
    <t>TX-S01-0158</t>
  </si>
  <si>
    <t>TR-LINE-00158-1</t>
  </si>
  <si>
    <t>PAY-00158-2</t>
  </si>
  <si>
    <t>TR-LINE-00158-2</t>
  </si>
  <si>
    <t>PAY-00159-1</t>
  </si>
  <si>
    <t>TX-S01-0159</t>
  </si>
  <si>
    <t>TR-LINE-00159-1</t>
  </si>
  <si>
    <t>PAY-00160-1</t>
  </si>
  <si>
    <t>TX-S01-0160</t>
  </si>
  <si>
    <t>TR-LINE-00160-1</t>
  </si>
  <si>
    <t>PAY-00161-1</t>
  </si>
  <si>
    <t>TX-S01-0161</t>
  </si>
  <si>
    <t>TR-LINE-00161-1</t>
  </si>
  <si>
    <t>PAY-00162-1</t>
  </si>
  <si>
    <t>TX-S01-0162</t>
  </si>
  <si>
    <t>TR-LINE-00162-1</t>
  </si>
  <si>
    <t>PAY-00163-1</t>
  </si>
  <si>
    <t>TX-S01-0163</t>
  </si>
  <si>
    <t>TR-LINE-00163-1</t>
  </si>
  <si>
    <t>PAY-00164-1</t>
  </si>
  <si>
    <t>TX-S01-0164</t>
  </si>
  <si>
    <t>TR-LINE-00164-1</t>
  </si>
  <si>
    <t>PAY-00165-1</t>
  </si>
  <si>
    <t>TX-S01-0165</t>
  </si>
  <si>
    <t>TR-LINE-00165-1</t>
  </si>
  <si>
    <t>PAY-00165-2</t>
  </si>
  <si>
    <t>TR-LINE-00165-2</t>
  </si>
  <si>
    <t>PAY-00166-1</t>
  </si>
  <si>
    <t>TX-S01-0166</t>
  </si>
  <si>
    <t>TR-LINE-00166-1</t>
  </si>
  <si>
    <t>PAY-00167-1</t>
  </si>
  <si>
    <t>TX-S01-0167</t>
  </si>
  <si>
    <t>TR-LINE-00167-1</t>
  </si>
  <si>
    <t>PAY-00168-1</t>
  </si>
  <si>
    <t>TX-S01-0168</t>
  </si>
  <si>
    <t>TR-LINE-00168-1</t>
  </si>
  <si>
    <t>PAY-00168-2</t>
  </si>
  <si>
    <t>TR-LINE-00168-2</t>
  </si>
  <si>
    <t>PAY-00169-1</t>
  </si>
  <si>
    <t>TX-S01-0169</t>
  </si>
  <si>
    <t>TR-LINE-00169-1</t>
  </si>
  <si>
    <t>PAY-00170-1</t>
  </si>
  <si>
    <t>TX-S01-0170</t>
  </si>
  <si>
    <t>TR-LINE-00170-1</t>
  </si>
  <si>
    <t>PAY-00171-1</t>
  </si>
  <si>
    <t>TX-S01-0171</t>
  </si>
  <si>
    <t>TR-LINE-00171-1</t>
  </si>
  <si>
    <t>PAY-00172-1</t>
  </si>
  <si>
    <t>TX-S01-0172</t>
  </si>
  <si>
    <t>TR-LINE-00172-1</t>
  </si>
  <si>
    <t>PAY-00173-1</t>
  </si>
  <si>
    <t>TX-S01-0173</t>
  </si>
  <si>
    <t>TR-LINE-00173-1</t>
  </si>
  <si>
    <t>PAY-00174-1</t>
  </si>
  <si>
    <t>TX-S01-0174</t>
  </si>
  <si>
    <t>TR-LINE-00174-1</t>
  </si>
  <si>
    <t>PAY-00174-2</t>
  </si>
  <si>
    <t>TR-LINE-00174-2</t>
  </si>
  <si>
    <t>PAY-00175-1</t>
  </si>
  <si>
    <t>TX-S01-0175</t>
  </si>
  <si>
    <t>TR-LINE-00175-1</t>
  </si>
  <si>
    <t>PAY-00175-2</t>
  </si>
  <si>
    <t>TR-LINE-00175-2</t>
  </si>
  <si>
    <t>PAY-00176-1</t>
  </si>
  <si>
    <t>TX-S01-0176</t>
  </si>
  <si>
    <t>TR-LINE-00176-1</t>
  </si>
  <si>
    <t>PAY-00177-1</t>
  </si>
  <si>
    <t>TX-S01-0177</t>
  </si>
  <si>
    <t>TR-LINE-00177-1</t>
  </si>
  <si>
    <t>PAY-00178-1</t>
  </si>
  <si>
    <t>TX-S01-0178</t>
  </si>
  <si>
    <t>TR-LINE-00178-1</t>
  </si>
  <si>
    <t>PAY-00178-2</t>
  </si>
  <si>
    <t>TR-LINE-00178-2</t>
  </si>
  <si>
    <t>PAY-00179-1</t>
  </si>
  <si>
    <t>TX-S01-0179</t>
  </si>
  <si>
    <t>TR-LINE-00179-1</t>
  </si>
  <si>
    <t>PAY-00180-1</t>
  </si>
  <si>
    <t>TX-S01-0180</t>
  </si>
  <si>
    <t>TR-LINE-00180-1</t>
  </si>
  <si>
    <t>PAY-00181-1</t>
  </si>
  <si>
    <t>TX-S01-0181</t>
  </si>
  <si>
    <t>TR-LINE-00181-1</t>
  </si>
  <si>
    <t>PAY-00182-1</t>
  </si>
  <si>
    <t>TX-S01-0182</t>
  </si>
  <si>
    <t>TR-LINE-00182-1</t>
  </si>
  <si>
    <t>PAY-00183-1</t>
  </si>
  <si>
    <t>TX-S01-0183</t>
  </si>
  <si>
    <t>TR-LINE-00183-1</t>
  </si>
  <si>
    <t>PAY-00184-1</t>
  </si>
  <si>
    <t>TX-S01-0184</t>
  </si>
  <si>
    <t>TR-LINE-00184-1</t>
  </si>
  <si>
    <t>PAY-00184-2</t>
  </si>
  <si>
    <t>TR-LINE-00184-2</t>
  </si>
  <si>
    <t>PAY-00185-1</t>
  </si>
  <si>
    <t>TX-S01-0185</t>
  </si>
  <si>
    <t>TR-LINE-00185-1</t>
  </si>
  <si>
    <t>PAY-00185-2</t>
  </si>
  <si>
    <t>TR-LINE-00185-2</t>
  </si>
  <si>
    <t>PAY-00186-1</t>
  </si>
  <si>
    <t>TX-S01-0186</t>
  </si>
  <si>
    <t>TR-LINE-00186-1</t>
  </si>
  <si>
    <t>PAY-00187-1</t>
  </si>
  <si>
    <t>TX-S01-0187</t>
  </si>
  <si>
    <t>TR-LINE-00187-1</t>
  </si>
  <si>
    <t>PAY-00188-1</t>
  </si>
  <si>
    <t>TX-S01-0188</t>
  </si>
  <si>
    <t>TR-LINE-00188-1</t>
  </si>
  <si>
    <t>PAY-00188-2</t>
  </si>
  <si>
    <t>TR-LINE-00188-2</t>
  </si>
  <si>
    <t>PAY-00189-1</t>
  </si>
  <si>
    <t>TX-S01-0189</t>
  </si>
  <si>
    <t>TR-LINE-00189-1</t>
  </si>
  <si>
    <t>PAY-00190-1</t>
  </si>
  <si>
    <t>TX-S01-0190</t>
  </si>
  <si>
    <t>TR-LINE-00190-1</t>
  </si>
  <si>
    <t>PAY-00191-1</t>
  </si>
  <si>
    <t>TX-S01-0191</t>
  </si>
  <si>
    <t>TR-LINE-00191-1</t>
  </si>
  <si>
    <t>PAY-00192-1</t>
  </si>
  <si>
    <t>TX-S01-0192</t>
  </si>
  <si>
    <t>TR-LINE-00192-1</t>
  </si>
  <si>
    <t>PAY-00193-1</t>
  </si>
  <si>
    <t>TX-S01-0193</t>
  </si>
  <si>
    <t>TR-LINE-00193-1</t>
  </si>
  <si>
    <t>PAY-00194-1</t>
  </si>
  <si>
    <t>TX-S01-0194</t>
  </si>
  <si>
    <t>TR-LINE-00194-1</t>
  </si>
  <si>
    <t>PAY-00194-2</t>
  </si>
  <si>
    <t>TR-LINE-00194-2</t>
  </si>
  <si>
    <t>PAY-00195-1</t>
  </si>
  <si>
    <t>TX-S01-0195</t>
  </si>
  <si>
    <t>TR-LINE-00195-1</t>
  </si>
  <si>
    <t>PAY-00195-2</t>
  </si>
  <si>
    <t>TR-LINE-00195-2</t>
  </si>
  <si>
    <t>PAY-00196-1</t>
  </si>
  <si>
    <t>TX-S01-0196</t>
  </si>
  <si>
    <t>TR-LINE-00196-1</t>
  </si>
  <si>
    <t>PAY-00197-1</t>
  </si>
  <si>
    <t>TX-S01-0197</t>
  </si>
  <si>
    <t>TR-LINE-00197-1</t>
  </si>
  <si>
    <t>PAY-00198-1</t>
  </si>
  <si>
    <t>TX-S01-0198</t>
  </si>
  <si>
    <t>TR-LINE-00198-1</t>
  </si>
  <si>
    <t>PAY-00198-2</t>
  </si>
  <si>
    <t>TR-LINE-00198-2</t>
  </si>
  <si>
    <t>PAY-00199-1</t>
  </si>
  <si>
    <t>TX-S01-0199</t>
  </si>
  <si>
    <t>TR-LINE-00199-1</t>
  </si>
  <si>
    <t>PAY-00200-1</t>
  </si>
  <si>
    <t>TX-S01-0200</t>
  </si>
  <si>
    <t>TR-LINE-00200-1</t>
  </si>
  <si>
    <t>PAY-00201-1</t>
  </si>
  <si>
    <t>TX-S01-0201</t>
  </si>
  <si>
    <t>TR-LINE-00201-1</t>
  </si>
  <si>
    <t>PAY-00202-1</t>
  </si>
  <si>
    <t>TX-S01-0202</t>
  </si>
  <si>
    <t>TR-LINE-00202-1</t>
  </si>
  <si>
    <t>PAY-00203-1</t>
  </si>
  <si>
    <t>TX-S01-0203</t>
  </si>
  <si>
    <t>TR-LINE-00203-1</t>
  </si>
  <si>
    <t>PAY-00204-1</t>
  </si>
  <si>
    <t>TX-S01-0204</t>
  </si>
  <si>
    <t>TR-LINE-00204-1</t>
  </si>
  <si>
    <t>PAY-00204-2</t>
  </si>
  <si>
    <t>TR-LINE-00204-2</t>
  </si>
  <si>
    <t>PAY-00205-1</t>
  </si>
  <si>
    <t>TX-S01-0205</t>
  </si>
  <si>
    <t>TR-LINE-00205-1</t>
  </si>
  <si>
    <t>PAY-00206-1</t>
  </si>
  <si>
    <t>TX-S01-0206</t>
  </si>
  <si>
    <t>TR-LINE-00206-1</t>
  </si>
  <si>
    <t>PAY-00207-1</t>
  </si>
  <si>
    <t>TX-S01-0207</t>
  </si>
  <si>
    <t>TR-LINE-00207-1</t>
  </si>
  <si>
    <t>PAY-00208-1</t>
  </si>
  <si>
    <t>TX-S01-0208</t>
  </si>
  <si>
    <t>TR-LINE-00208-1</t>
  </si>
  <si>
    <t>PAY-00208-2</t>
  </si>
  <si>
    <t>TR-LINE-00208-2</t>
  </si>
  <si>
    <t>PAY-00209-1</t>
  </si>
  <si>
    <t>TX-S01-0209</t>
  </si>
  <si>
    <t>TR-LINE-00209-1</t>
  </si>
  <si>
    <t>PAY-00210-1</t>
  </si>
  <si>
    <t>TX-S01-0210</t>
  </si>
  <si>
    <t>TR-LINE-00210-1</t>
  </si>
  <si>
    <t>PAY-00211-1</t>
  </si>
  <si>
    <t>TX-S01-0211</t>
  </si>
  <si>
    <t>TR-LINE-00211-1</t>
  </si>
  <si>
    <t>PAY-00212-1</t>
  </si>
  <si>
    <t>TX-S01-0212</t>
  </si>
  <si>
    <t>TR-LINE-00212-1</t>
  </si>
  <si>
    <t>PAY-00213-1</t>
  </si>
  <si>
    <t>TX-S01-0213</t>
  </si>
  <si>
    <t>TR-LINE-00213-1</t>
  </si>
  <si>
    <t>PAY-00214-1</t>
  </si>
  <si>
    <t>TX-S01-0214</t>
  </si>
  <si>
    <t>TR-LINE-00214-1</t>
  </si>
  <si>
    <t>PAY-00214-2</t>
  </si>
  <si>
    <t>TR-LINE-00214-2</t>
  </si>
  <si>
    <t>PAY-00215-1</t>
  </si>
  <si>
    <t>TX-S01-0215</t>
  </si>
  <si>
    <t>TR-LINE-00215-1</t>
  </si>
  <si>
    <t>PAY-00215-2</t>
  </si>
  <si>
    <t>TR-LINE-00215-2</t>
  </si>
  <si>
    <t>PAY-00216-1</t>
  </si>
  <si>
    <t>TX-S01-0216</t>
  </si>
  <si>
    <t>TR-LINE-00216-1</t>
  </si>
  <si>
    <t>PAY-00217-1</t>
  </si>
  <si>
    <t>TX-S01-0217</t>
  </si>
  <si>
    <t>TR-LINE-00217-1</t>
  </si>
  <si>
    <t>PAY-00218-1</t>
  </si>
  <si>
    <t>TX-S01-0218</t>
  </si>
  <si>
    <t>TR-LINE-00218-1</t>
  </si>
  <si>
    <t>PAY-00218-2</t>
  </si>
  <si>
    <t>TR-LINE-00218-2</t>
  </si>
  <si>
    <t>PAY-00219-1</t>
  </si>
  <si>
    <t>TX-S01-0219</t>
  </si>
  <si>
    <t>TR-LINE-00219-1</t>
  </si>
  <si>
    <t>PAY-00220-1</t>
  </si>
  <si>
    <t>TX-S01-0220</t>
  </si>
  <si>
    <t>TR-LINE-00220-1</t>
  </si>
  <si>
    <t>PAY-00221-1</t>
  </si>
  <si>
    <t>TX-S01-0221</t>
  </si>
  <si>
    <t>TR-LINE-00221-1</t>
  </si>
  <si>
    <t>PAY-00222-1</t>
  </si>
  <si>
    <t>TX-S01-0222</t>
  </si>
  <si>
    <t>TR-LINE-00222-1</t>
  </si>
  <si>
    <t>PAY-00223-1</t>
  </si>
  <si>
    <t>TX-S01-0223</t>
  </si>
  <si>
    <t>TR-LINE-00223-1</t>
  </si>
  <si>
    <t>PAY-00224-1</t>
  </si>
  <si>
    <t>TX-S01-0224</t>
  </si>
  <si>
    <t>TR-LINE-00224-1</t>
  </si>
  <si>
    <t>PAY-00224-2</t>
  </si>
  <si>
    <t>TR-LINE-00224-2</t>
  </si>
  <si>
    <t>PAY-00225-1</t>
  </si>
  <si>
    <t>TX-S01-0225</t>
  </si>
  <si>
    <t>TR-LINE-00225-1</t>
  </si>
  <si>
    <t>PAY-00225-2</t>
  </si>
  <si>
    <t>TR-LINE-00225-2</t>
  </si>
  <si>
    <t>PAY-00226-1</t>
  </si>
  <si>
    <t>TX-S01-0226</t>
  </si>
  <si>
    <t>TR-LINE-00226-1</t>
  </si>
  <si>
    <t>PAY-00227-1</t>
  </si>
  <si>
    <t>TX-S01-0227</t>
  </si>
  <si>
    <t>TR-LINE-00227-1</t>
  </si>
  <si>
    <t>PAY-00228-1</t>
  </si>
  <si>
    <t>TX-S01-0228</t>
  </si>
  <si>
    <t>TR-LINE-00228-1</t>
  </si>
  <si>
    <t>PAY-00228-2</t>
  </si>
  <si>
    <t>TR-LINE-00228-2</t>
  </si>
  <si>
    <t>PAY-00229-1</t>
  </si>
  <si>
    <t>TX-S01-0229</t>
  </si>
  <si>
    <t>TR-LINE-00229-1</t>
  </si>
  <si>
    <t>PAY-00230-1</t>
  </si>
  <si>
    <t>TX-S01-0230</t>
  </si>
  <si>
    <t>TR-LINE-00230-1</t>
  </si>
  <si>
    <t>PAY-00231-1</t>
  </si>
  <si>
    <t>TX-S01-0231</t>
  </si>
  <si>
    <t>TR-LINE-00231-1</t>
  </si>
  <si>
    <t>PAY-00232-1</t>
  </si>
  <si>
    <t>TX-S01-0232</t>
  </si>
  <si>
    <t>TR-LINE-00232-1</t>
  </si>
  <si>
    <t>PAY-00233-1</t>
  </si>
  <si>
    <t>TX-S01-0233</t>
  </si>
  <si>
    <t>TR-LINE-00233-1</t>
  </si>
  <si>
    <t>PAY-00234-1</t>
  </si>
  <si>
    <t>TX-S01-0234</t>
  </si>
  <si>
    <t>TR-LINE-00234-1</t>
  </si>
  <si>
    <t>PAY-00234-2</t>
  </si>
  <si>
    <t>TR-LINE-00234-2</t>
  </si>
  <si>
    <t>PAY-00235-1</t>
  </si>
  <si>
    <t>TX-S01-0235</t>
  </si>
  <si>
    <t>TR-LINE-00235-1</t>
  </si>
  <si>
    <t>PAY-00235-2</t>
  </si>
  <si>
    <t>TR-LINE-00235-2</t>
  </si>
  <si>
    <t>PAY-00236-1</t>
  </si>
  <si>
    <t>TX-S01-0236</t>
  </si>
  <si>
    <t>TR-LINE-00236-1</t>
  </si>
  <si>
    <t>PAY-00237-1</t>
  </si>
  <si>
    <t>TX-S01-0237</t>
  </si>
  <si>
    <t>TR-LINE-00237-1</t>
  </si>
  <si>
    <t>PAY-00238-1</t>
  </si>
  <si>
    <t>TX-S01-0238</t>
  </si>
  <si>
    <t>TR-LINE-00238-1</t>
  </si>
  <si>
    <t>PAY-00238-2</t>
  </si>
  <si>
    <t>TR-LINE-00238-2</t>
  </si>
  <si>
    <t>PAY-00239-1</t>
  </si>
  <si>
    <t>TX-S01-0239</t>
  </si>
  <si>
    <t>TR-LINE-00239-1</t>
  </si>
  <si>
    <t>PAY-00240-1</t>
  </si>
  <si>
    <t>TX-S01-0240</t>
  </si>
  <si>
    <t>TR-LINE-00240-1</t>
  </si>
  <si>
    <t>PAY-00241-1</t>
  </si>
  <si>
    <t>TX-S01-0241</t>
  </si>
  <si>
    <t>TR-LINE-00241-1</t>
  </si>
  <si>
    <t>PAY-00242-1</t>
  </si>
  <si>
    <t>TX-S01-0242</t>
  </si>
  <si>
    <t>TR-LINE-00242-1</t>
  </si>
  <si>
    <t>PAY-00243-1</t>
  </si>
  <si>
    <t>TX-S01-0243</t>
  </si>
  <si>
    <t>TR-LINE-00243-1</t>
  </si>
  <si>
    <t>PAY-00244-1</t>
  </si>
  <si>
    <t>TX-S01-0244</t>
  </si>
  <si>
    <t>TR-LINE-00244-1</t>
  </si>
  <si>
    <t>PAY-00244-2</t>
  </si>
  <si>
    <t>TR-LINE-00244-2</t>
  </si>
  <si>
    <t>PAY-00245-1</t>
  </si>
  <si>
    <t>TX-S01-0245</t>
  </si>
  <si>
    <t>TR-LINE-00245-1</t>
  </si>
  <si>
    <t>PAY-00245-2</t>
  </si>
  <si>
    <t>TR-LINE-00245-2</t>
  </si>
  <si>
    <t>PAY-00246-1</t>
  </si>
  <si>
    <t>TX-S01-0246</t>
  </si>
  <si>
    <t>TR-LINE-00246-1</t>
  </si>
  <si>
    <t>PAY-00247-1</t>
  </si>
  <si>
    <t>TX-S01-0247</t>
  </si>
  <si>
    <t>TR-LINE-00247-1</t>
  </si>
  <si>
    <t>PAY-00248-1</t>
  </si>
  <si>
    <t>TX-S01-0248</t>
  </si>
  <si>
    <t>TR-LINE-00248-1</t>
  </si>
  <si>
    <t>PAY-00248-2</t>
  </si>
  <si>
    <t>TR-LINE-00248-2</t>
  </si>
  <si>
    <t>PAY-00249-1</t>
  </si>
  <si>
    <t>TX-S01-0249</t>
  </si>
  <si>
    <t>TR-LINE-00249-1</t>
  </si>
  <si>
    <t>PAY-00250-1</t>
  </si>
  <si>
    <t>TX-S01-0250</t>
  </si>
  <si>
    <t>TR-LINE-00250-1</t>
  </si>
  <si>
    <t>PAY-00251-1</t>
  </si>
  <si>
    <t>TX-S01-0251</t>
  </si>
  <si>
    <t>TR-LINE-00251-1</t>
  </si>
  <si>
    <t>PAY-00252-1</t>
  </si>
  <si>
    <t>TX-S01-0252</t>
  </si>
  <si>
    <t>TR-LINE-00252-1</t>
  </si>
  <si>
    <t>PAY-00253-1</t>
  </si>
  <si>
    <t>TX-S01-0253</t>
  </si>
  <si>
    <t>TR-LINE-00253-1</t>
  </si>
  <si>
    <t>PAY-00254-1</t>
  </si>
  <si>
    <t>TX-S01-0254</t>
  </si>
  <si>
    <t>TR-LINE-00254-1</t>
  </si>
  <si>
    <t>PAY-00254-2</t>
  </si>
  <si>
    <t>TR-LINE-00254-2</t>
  </si>
  <si>
    <t>PAY-00255-1</t>
  </si>
  <si>
    <t>TX-S01-0255</t>
  </si>
  <si>
    <t>TR-LINE-00255-1</t>
  </si>
  <si>
    <t>PAY-00255-2</t>
  </si>
  <si>
    <t>TR-LINE-00255-2</t>
  </si>
  <si>
    <t>PAY-00256-1</t>
  </si>
  <si>
    <t>TX-S01-0256</t>
  </si>
  <si>
    <t>TR-LINE-00256-1</t>
  </si>
  <si>
    <t>PAY-00257-1</t>
  </si>
  <si>
    <t>TX-S01-0257</t>
  </si>
  <si>
    <t>TR-LINE-00257-1</t>
  </si>
  <si>
    <t>PAY-00258-1</t>
  </si>
  <si>
    <t>TX-S01-0258</t>
  </si>
  <si>
    <t>TR-LINE-00258-1</t>
  </si>
  <si>
    <t>PAY-00258-2</t>
  </si>
  <si>
    <t>TR-LINE-00258-2</t>
  </si>
  <si>
    <t>PAY-00259-1</t>
  </si>
  <si>
    <t>TX-S01-0259</t>
  </si>
  <si>
    <t>TR-LINE-00259-1</t>
  </si>
  <si>
    <t>PAY-00260-1</t>
  </si>
  <si>
    <t>TX-S01-0260</t>
  </si>
  <si>
    <t>TR-LINE-00260-1</t>
  </si>
  <si>
    <t>PAY-00261-1</t>
  </si>
  <si>
    <t>TX-S01-0261</t>
  </si>
  <si>
    <t>TR-LINE-00261-1</t>
  </si>
  <si>
    <t>PAY-00262-1</t>
  </si>
  <si>
    <t>TX-S01-0262</t>
  </si>
  <si>
    <t>TR-LINE-00262-1</t>
  </si>
  <si>
    <t>PAY-00263-1</t>
  </si>
  <si>
    <t>TX-S01-0263</t>
  </si>
  <si>
    <t>TR-LINE-00263-1</t>
  </si>
  <si>
    <t>PAY-00264-1</t>
  </si>
  <si>
    <t>TX-S01-0264</t>
  </si>
  <si>
    <t>TR-LINE-00264-1</t>
  </si>
  <si>
    <t>PAY-00264-2</t>
  </si>
  <si>
    <t>TR-LINE-00264-2</t>
  </si>
  <si>
    <t>PAY-00265-1</t>
  </si>
  <si>
    <t>TX-S01-0265</t>
  </si>
  <si>
    <t>TR-LINE-00265-1</t>
  </si>
  <si>
    <t>PAY-00265-2</t>
  </si>
  <si>
    <t>TR-LINE-00265-2</t>
  </si>
  <si>
    <t>PAY-00266-1</t>
  </si>
  <si>
    <t>TX-S01-0266</t>
  </si>
  <si>
    <t>TR-LINE-00266-1</t>
  </si>
  <si>
    <t>PAY-00267-1</t>
  </si>
  <si>
    <t>TX-S01-0267</t>
  </si>
  <si>
    <t>TR-LINE-00267-1</t>
  </si>
  <si>
    <t>PAY-00268-1</t>
  </si>
  <si>
    <t>TX-S01-0268</t>
  </si>
  <si>
    <t>TR-LINE-00268-1</t>
  </si>
  <si>
    <t>PAY-00268-2</t>
  </si>
  <si>
    <t>TR-LINE-00268-2</t>
  </si>
  <si>
    <t>PAY-00269-1</t>
  </si>
  <si>
    <t>TX-S01-0269</t>
  </si>
  <si>
    <t>TR-LINE-00269-1</t>
  </si>
  <si>
    <t>PAY-00270-1</t>
  </si>
  <si>
    <t>TX-S01-0270</t>
  </si>
  <si>
    <t>TR-LINE-00270-1</t>
  </si>
  <si>
    <t>PAY-00271-1</t>
  </si>
  <si>
    <t>TX-S01-0271</t>
  </si>
  <si>
    <t>TR-LINE-00271-1</t>
  </si>
  <si>
    <t>PAY-00272-1</t>
  </si>
  <si>
    <t>TX-S01-0272</t>
  </si>
  <si>
    <t>TR-LINE-00272-1</t>
  </si>
  <si>
    <t>PAY-00273-1</t>
  </si>
  <si>
    <t>TX-S01-0273</t>
  </si>
  <si>
    <t>TR-LINE-00273-1</t>
  </si>
  <si>
    <t>PAY-00274-1</t>
  </si>
  <si>
    <t>TX-S01-0274</t>
  </si>
  <si>
    <t>TR-LINE-00274-1</t>
  </si>
  <si>
    <t>PAY-00274-2</t>
  </si>
  <si>
    <t>TR-LINE-00274-2</t>
  </si>
  <si>
    <t>PAY-00275-1</t>
  </si>
  <si>
    <t>TX-S01-0275</t>
  </si>
  <si>
    <t>TR-LINE-00275-1</t>
  </si>
  <si>
    <t>PAY-00275-2</t>
  </si>
  <si>
    <t>TR-LINE-00275-2</t>
  </si>
  <si>
    <t>PAY-00276-1</t>
  </si>
  <si>
    <t>TX-S01-0276</t>
  </si>
  <si>
    <t>TR-LINE-00276-1</t>
  </si>
  <si>
    <t>PAY-00277-1</t>
  </si>
  <si>
    <t>TX-S01-0277</t>
  </si>
  <si>
    <t>TR-LINE-00277-1</t>
  </si>
  <si>
    <t>PAY-00278-1</t>
  </si>
  <si>
    <t>TX-S01-0278</t>
  </si>
  <si>
    <t>TR-LINE-00278-1</t>
  </si>
  <si>
    <t>PAY-00278-2</t>
  </si>
  <si>
    <t>TR-LINE-00278-2</t>
  </si>
  <si>
    <t>PAY-00279-1</t>
  </si>
  <si>
    <t>TX-S01-0279</t>
  </si>
  <si>
    <t>TR-LINE-00279-1</t>
  </si>
  <si>
    <t>PAY-00280-1</t>
  </si>
  <si>
    <t>TX-S01-0280</t>
  </si>
  <si>
    <t>TR-LINE-00280-1</t>
  </si>
  <si>
    <t>PAY-00281-1</t>
  </si>
  <si>
    <t>TX-S01-0281</t>
  </si>
  <si>
    <t>TR-LINE-00281-1</t>
  </si>
  <si>
    <t>PAY-00282-1</t>
  </si>
  <si>
    <t>TX-S01-0282</t>
  </si>
  <si>
    <t>TR-LINE-00282-1</t>
  </si>
  <si>
    <t>PAY-00283-1</t>
  </si>
  <si>
    <t>TX-S01-0283</t>
  </si>
  <si>
    <t>TR-LINE-00283-1</t>
  </si>
  <si>
    <t>PAY-00284-1</t>
  </si>
  <si>
    <t>TX-S01-0284</t>
  </si>
  <si>
    <t>TR-LINE-00284-1</t>
  </si>
  <si>
    <t>PAY-00284-2</t>
  </si>
  <si>
    <t>TR-LINE-00284-2</t>
  </si>
  <si>
    <t>PAY-00285-1</t>
  </si>
  <si>
    <t>TX-S01-0285</t>
  </si>
  <si>
    <t>TR-LINE-00285-1</t>
  </si>
  <si>
    <t>PAY-00285-2</t>
  </si>
  <si>
    <t>TR-LINE-00285-2</t>
  </si>
  <si>
    <t>PAY-00286-1</t>
  </si>
  <si>
    <t>TX-S01-0286</t>
  </si>
  <si>
    <t>TR-LINE-00286-1</t>
  </si>
  <si>
    <t>PAY-00287-1</t>
  </si>
  <si>
    <t>TX-S01-0287</t>
  </si>
  <si>
    <t>TR-LINE-00287-1</t>
  </si>
  <si>
    <t>PAY-00288-1</t>
  </si>
  <si>
    <t>TX-S01-0288</t>
  </si>
  <si>
    <t>TR-LINE-00288-1</t>
  </si>
  <si>
    <t>PAY-00288-2</t>
  </si>
  <si>
    <t>TR-LINE-00288-2</t>
  </si>
  <si>
    <t>PAY-00289-1</t>
  </si>
  <si>
    <t>TX-S01-0289</t>
  </si>
  <si>
    <t>TR-LINE-00289-1</t>
  </si>
  <si>
    <t>PAY-00290-1</t>
  </si>
  <si>
    <t>TX-S01-0290</t>
  </si>
  <si>
    <t>TR-LINE-00290-1</t>
  </si>
  <si>
    <t>PAY-00291-1</t>
  </si>
  <si>
    <t>TX-S01-0291</t>
  </si>
  <si>
    <t>TR-LINE-00291-1</t>
  </si>
  <si>
    <t>PAY-00292-1</t>
  </si>
  <si>
    <t>TX-S01-0292</t>
  </si>
  <si>
    <t>TR-LINE-00292-1</t>
  </si>
  <si>
    <t>PAY-00293-1</t>
  </si>
  <si>
    <t>TX-S01-0293</t>
  </si>
  <si>
    <t>TR-LINE-00293-1</t>
  </si>
  <si>
    <t>PAY-00294-1</t>
  </si>
  <si>
    <t>TX-S01-0294</t>
  </si>
  <si>
    <t>TR-LINE-00294-1</t>
  </si>
  <si>
    <t>PAY-00294-2</t>
  </si>
  <si>
    <t>TR-LINE-00294-2</t>
  </si>
  <si>
    <t>PAY-00295-1</t>
  </si>
  <si>
    <t>TX-S01-0295</t>
  </si>
  <si>
    <t>TR-LINE-00295-1</t>
  </si>
  <si>
    <t>PAY-00295-2</t>
  </si>
  <si>
    <t>TR-LINE-00295-2</t>
  </si>
  <si>
    <t>PAY-00296-1</t>
  </si>
  <si>
    <t>TX-S01-0296</t>
  </si>
  <si>
    <t>TR-LINE-00296-1</t>
  </si>
  <si>
    <t>PAY-00297-1</t>
  </si>
  <si>
    <t>TX-S01-0297</t>
  </si>
  <si>
    <t>TR-LINE-00297-1</t>
  </si>
  <si>
    <t>PAY-00298-1</t>
  </si>
  <si>
    <t>TX-S01-0298</t>
  </si>
  <si>
    <t>TR-LINE-00298-1</t>
  </si>
  <si>
    <t>PAY-00298-2</t>
  </si>
  <si>
    <t>TR-LINE-00298-2</t>
  </si>
  <si>
    <t>PAY-00299-1</t>
  </si>
  <si>
    <t>TX-S01-0299</t>
  </si>
  <si>
    <t>TR-LINE-00299-1</t>
  </si>
  <si>
    <t>PAY-00300-1</t>
  </si>
  <si>
    <t>TX-S01-0300</t>
  </si>
  <si>
    <t>TR-LINE-00300-1</t>
  </si>
  <si>
    <t>PAY-00301-1</t>
  </si>
  <si>
    <t>TX-S01-0301</t>
  </si>
  <si>
    <t>TR-LINE-00301-1</t>
  </si>
  <si>
    <t>PAY-00302-1</t>
  </si>
  <si>
    <t>TX-S01-0302</t>
  </si>
  <si>
    <t>TR-LINE-00302-1</t>
  </si>
  <si>
    <t>PAY-00303-1</t>
  </si>
  <si>
    <t>TX-S01-0303</t>
  </si>
  <si>
    <t>TR-LINE-00303-1</t>
  </si>
  <si>
    <t>PAY-00304-1</t>
  </si>
  <si>
    <t>TX-S01-0304</t>
  </si>
  <si>
    <t>TR-LINE-00304-1</t>
  </si>
  <si>
    <t>PAY-00304-2</t>
  </si>
  <si>
    <t>TR-LINE-00304-2</t>
  </si>
  <si>
    <t>PAY-00305-1</t>
  </si>
  <si>
    <t>TX-S01-0305</t>
  </si>
  <si>
    <t>TR-LINE-00305-1</t>
  </si>
  <si>
    <t>PAY-00305-2</t>
  </si>
  <si>
    <t>TR-LINE-00305-2</t>
  </si>
  <si>
    <t>PAY-00306-1</t>
  </si>
  <si>
    <t>TX-S01-0306</t>
  </si>
  <si>
    <t>TR-LINE-00306-1</t>
  </si>
  <si>
    <t>PAY-00307-1</t>
  </si>
  <si>
    <t>TX-S01-0307</t>
  </si>
  <si>
    <t>TR-LINE-00307-1</t>
  </si>
  <si>
    <t>PAY-00308-1</t>
  </si>
  <si>
    <t>TX-S01-0308</t>
  </si>
  <si>
    <t>TR-LINE-00308-1</t>
  </si>
  <si>
    <t>PAY-00308-2</t>
  </si>
  <si>
    <t>TR-LINE-00308-2</t>
  </si>
  <si>
    <t>PAY-00309-1</t>
  </si>
  <si>
    <t>TX-S01-0309</t>
  </si>
  <si>
    <t>TR-LINE-00309-1</t>
  </si>
  <si>
    <t>PAY-00310-1</t>
  </si>
  <si>
    <t>TX-S01-0310</t>
  </si>
  <si>
    <t>TR-LINE-00310-1</t>
  </si>
  <si>
    <t>PAY-00311-1</t>
  </si>
  <si>
    <t>TX-S01-0311</t>
  </si>
  <si>
    <t>TR-LINE-00311-1</t>
  </si>
  <si>
    <t>PAY-00312-1</t>
  </si>
  <si>
    <t>TX-S01-0312</t>
  </si>
  <si>
    <t>TR-LINE-00312-1</t>
  </si>
  <si>
    <t>PAY-00313-1</t>
  </si>
  <si>
    <t>TX-S01-0313</t>
  </si>
  <si>
    <t>TR-LINE-00313-1</t>
  </si>
  <si>
    <t>PAY-00314-1</t>
  </si>
  <si>
    <t>TX-S01-0314</t>
  </si>
  <si>
    <t>TR-LINE-00314-1</t>
  </si>
  <si>
    <t>PAY-00314-2</t>
  </si>
  <si>
    <t>TR-LINE-00314-2</t>
  </si>
  <si>
    <t>PAY-00315-1</t>
  </si>
  <si>
    <t>TX-S01-0315</t>
  </si>
  <si>
    <t>TR-LINE-00315-1</t>
  </si>
  <si>
    <t>PAY-00315-2</t>
  </si>
  <si>
    <t>TR-LINE-00315-2</t>
  </si>
  <si>
    <t>PAY-00316-1</t>
  </si>
  <si>
    <t>TX-S01-0316</t>
  </si>
  <si>
    <t>TR-LINE-00316-1</t>
  </si>
  <si>
    <t>PAY-00317-1</t>
  </si>
  <si>
    <t>TX-S01-0317</t>
  </si>
  <si>
    <t>TR-LINE-00317-1</t>
  </si>
  <si>
    <t>PAY-00318-1</t>
  </si>
  <si>
    <t>TX-S01-0318</t>
  </si>
  <si>
    <t>TR-LINE-00318-1</t>
  </si>
  <si>
    <t>PAY-00318-2</t>
  </si>
  <si>
    <t>TR-LINE-00318-2</t>
  </si>
  <si>
    <t>PAY-00319-1</t>
  </si>
  <si>
    <t>TX-S01-0319</t>
  </si>
  <si>
    <t>TR-LINE-00319-1</t>
  </si>
  <si>
    <t>PAY-00320-1</t>
  </si>
  <si>
    <t>TX-S01-0320</t>
  </si>
  <si>
    <t>TR-LINE-00320-1</t>
  </si>
  <si>
    <t>PAY-00321-1</t>
  </si>
  <si>
    <t>TX-S01-0321</t>
  </si>
  <si>
    <t>TR-LINE-00321-1</t>
  </si>
  <si>
    <t>PAY-00322-1</t>
  </si>
  <si>
    <t>TX-S01-0322</t>
  </si>
  <si>
    <t>TR-LINE-00322-1</t>
  </si>
  <si>
    <t>PAY-00323-1</t>
  </si>
  <si>
    <t>TX-S01-0323</t>
  </si>
  <si>
    <t>TR-LINE-00323-1</t>
  </si>
  <si>
    <t>PAY-00324-1</t>
  </si>
  <si>
    <t>TX-S01-0324</t>
  </si>
  <si>
    <t>TR-LINE-00324-1</t>
  </si>
  <si>
    <t>PAY-00324-2</t>
  </si>
  <si>
    <t>TR-LINE-00324-2</t>
  </si>
  <si>
    <t>PAY-00325-1</t>
  </si>
  <si>
    <t>TX-S01-0325</t>
  </si>
  <si>
    <t>TR-LINE-00325-1</t>
  </si>
  <si>
    <t>PAY-00325-2</t>
  </si>
  <si>
    <t>TR-LINE-00325-2</t>
  </si>
  <si>
    <t>PAY-00326-1</t>
  </si>
  <si>
    <t>TX-S01-0326</t>
  </si>
  <si>
    <t>TR-LINE-00326-1</t>
  </si>
  <si>
    <t>PAY-00327-1</t>
  </si>
  <si>
    <t>TX-S01-0327</t>
  </si>
  <si>
    <t>TR-LINE-00327-1</t>
  </si>
  <si>
    <t>PAY-00328-1</t>
  </si>
  <si>
    <t>TX-S01-0328</t>
  </si>
  <si>
    <t>TR-LINE-00328-1</t>
  </si>
  <si>
    <t>PAY-00329-1</t>
  </si>
  <si>
    <t>TX-S01-0329</t>
  </si>
  <si>
    <t>TR-LINE-00329-1</t>
  </si>
  <si>
    <t>PAY-00330-1</t>
  </si>
  <si>
    <t>TX-S01-0330</t>
  </si>
  <si>
    <t>TR-LINE-00330-1</t>
  </si>
  <si>
    <t>PAY-00331-1</t>
  </si>
  <si>
    <t>TX-S01-0331</t>
  </si>
  <si>
    <t>TR-LINE-00331-1</t>
  </si>
  <si>
    <t>PAY-00332-1</t>
  </si>
  <si>
    <t>TX-S01-0332</t>
  </si>
  <si>
    <t>TR-LINE-00332-1</t>
  </si>
  <si>
    <t>PAY-00333-1</t>
  </si>
  <si>
    <t>TX-S01-0333</t>
  </si>
  <si>
    <t>TR-LINE-00333-1</t>
  </si>
  <si>
    <t>PAY-00334-1</t>
  </si>
  <si>
    <t>TX-S01-0334</t>
  </si>
  <si>
    <t>TR-LINE-00334-1</t>
  </si>
  <si>
    <t>PAY-00334-2</t>
  </si>
  <si>
    <t>TR-LINE-00334-2</t>
  </si>
  <si>
    <t>PAY-00335-1</t>
  </si>
  <si>
    <t>TX-S01-0335</t>
  </si>
  <si>
    <t>TR-LINE-00335-1</t>
  </si>
  <si>
    <t>PAY-00335-2</t>
  </si>
  <si>
    <t>TR-LINE-00335-2</t>
  </si>
  <si>
    <t>PAY-00336-1</t>
  </si>
  <si>
    <t>TX-S01-0336</t>
  </si>
  <si>
    <t>TR-LINE-00336-1</t>
  </si>
  <si>
    <t>PAY-00337-1</t>
  </si>
  <si>
    <t>TX-S01-0337</t>
  </si>
  <si>
    <t>TR-LINE-00337-1</t>
  </si>
  <si>
    <t>PAY-00338-1</t>
  </si>
  <si>
    <t>TX-S01-0338</t>
  </si>
  <si>
    <t>TR-LINE-00338-1</t>
  </si>
  <si>
    <t>PAY-00338-2</t>
  </si>
  <si>
    <t>TR-LINE-00338-2</t>
  </si>
  <si>
    <t>PAY-00339-1</t>
  </si>
  <si>
    <t>TX-S01-0339</t>
  </si>
  <si>
    <t>TR-LINE-00339-1</t>
  </si>
  <si>
    <t>PAY-00340-1</t>
  </si>
  <si>
    <t>TX-S01-0340</t>
  </si>
  <si>
    <t>TR-LINE-00340-1</t>
  </si>
  <si>
    <t>PAY-00341-1</t>
  </si>
  <si>
    <t>TX-S01-0341</t>
  </si>
  <si>
    <t>TR-LINE-00341-1</t>
  </si>
  <si>
    <t>PAY-00342-1</t>
  </si>
  <si>
    <t>TX-S01-0342</t>
  </si>
  <si>
    <t>TR-LINE-00342-1</t>
  </si>
  <si>
    <t>PAY-00343-1</t>
  </si>
  <si>
    <t>TX-S01-0343</t>
  </si>
  <si>
    <t>TR-LINE-00343-1</t>
  </si>
  <si>
    <t>PAY-00344-1</t>
  </si>
  <si>
    <t>TX-S01-0344</t>
  </si>
  <si>
    <t>TR-LINE-00344-1</t>
  </si>
  <si>
    <t>PAY-00344-2</t>
  </si>
  <si>
    <t>TR-LINE-00344-2</t>
  </si>
  <si>
    <t>PAY-00345-1</t>
  </si>
  <si>
    <t>TX-S01-0345</t>
  </si>
  <si>
    <t>TR-LINE-00345-1</t>
  </si>
  <si>
    <t>PAY-00345-2</t>
  </si>
  <si>
    <t>TR-LINE-00345-2</t>
  </si>
  <si>
    <t>PAY-00346-1</t>
  </si>
  <si>
    <t>TX-S01-0346</t>
  </si>
  <si>
    <t>TR-LINE-00346-1</t>
  </si>
  <si>
    <t>PAY-00347-1</t>
  </si>
  <si>
    <t>TX-S01-0347</t>
  </si>
  <si>
    <t>TR-LINE-00347-1</t>
  </si>
  <si>
    <t>PAY-00348-1</t>
  </si>
  <si>
    <t>TX-S01-0348</t>
  </si>
  <si>
    <t>TR-LINE-00348-1</t>
  </si>
  <si>
    <t>PAY-00348-2</t>
  </si>
  <si>
    <t>TR-LINE-00348-2</t>
  </si>
  <si>
    <t>PAY-00349-1</t>
  </si>
  <si>
    <t>TX-S01-0349</t>
  </si>
  <si>
    <t>TR-LINE-00349-1</t>
  </si>
  <si>
    <t>PAY-00350-1</t>
  </si>
  <si>
    <t>TX-S01-0350</t>
  </si>
  <si>
    <t>TR-LINE-00350-1</t>
  </si>
  <si>
    <t>PAY-00351-1</t>
  </si>
  <si>
    <t>TX-S01-0351</t>
  </si>
  <si>
    <t>TR-LINE-00351-1</t>
  </si>
  <si>
    <t>PAY-00352-1</t>
  </si>
  <si>
    <t>TX-S01-0352</t>
  </si>
  <si>
    <t>TR-LINE-00352-1</t>
  </si>
  <si>
    <t>PAY-00353-1</t>
  </si>
  <si>
    <t>TX-S01-0353</t>
  </si>
  <si>
    <t>TR-LINE-00353-1</t>
  </si>
  <si>
    <t>PAY-00354-1</t>
  </si>
  <si>
    <t>TX-S01-0354</t>
  </si>
  <si>
    <t>TR-LINE-00354-1</t>
  </si>
  <si>
    <t>PAY-00354-2</t>
  </si>
  <si>
    <t>TR-LINE-00354-2</t>
  </si>
  <si>
    <t>PAY-00355-1</t>
  </si>
  <si>
    <t>TX-S01-0355</t>
  </si>
  <si>
    <t>TR-LINE-00355-1</t>
  </si>
  <si>
    <t>PAY-00355-2</t>
  </si>
  <si>
    <t>TR-LINE-00355-2</t>
  </si>
  <si>
    <t>PAY-00356-1</t>
  </si>
  <si>
    <t>TX-S01-0356</t>
  </si>
  <si>
    <t>TR-LINE-00356-1</t>
  </si>
  <si>
    <t>PAY-00357-1</t>
  </si>
  <si>
    <t>TX-S01-0357</t>
  </si>
  <si>
    <t>TR-LINE-00357-1</t>
  </si>
  <si>
    <t>PAY-00358-1</t>
  </si>
  <si>
    <t>TX-S01-0358</t>
  </si>
  <si>
    <t>TR-LINE-00358-1</t>
  </si>
  <si>
    <t>PAY-00358-2</t>
  </si>
  <si>
    <t>TR-LINE-00358-2</t>
  </si>
  <si>
    <t>PAY-00359-1</t>
  </si>
  <si>
    <t>TX-S01-0359</t>
  </si>
  <si>
    <t>TR-LINE-00359-1</t>
  </si>
  <si>
    <t>PAY-00360-1</t>
  </si>
  <si>
    <t>TX-S01-0360</t>
  </si>
  <si>
    <t>TR-LINE-00360-1</t>
  </si>
  <si>
    <t>PAY-00361-1</t>
  </si>
  <si>
    <t>TX-S01-0361</t>
  </si>
  <si>
    <t>TR-LINE-00361-1</t>
  </si>
  <si>
    <t>PAY-00362-1</t>
  </si>
  <si>
    <t>TX-S01-0362</t>
  </si>
  <si>
    <t>TR-LINE-00362-1</t>
  </si>
  <si>
    <t>PAY-00363-1</t>
  </si>
  <si>
    <t>TX-S01-0363</t>
  </si>
  <si>
    <t>TR-LINE-00363-1</t>
  </si>
  <si>
    <t>PAY-00364-1</t>
  </si>
  <si>
    <t>TX-S01-0364</t>
  </si>
  <si>
    <t>TR-LINE-00364-1</t>
  </si>
  <si>
    <t>PAY-00364-2</t>
  </si>
  <si>
    <t>TR-LINE-00364-2</t>
  </si>
  <si>
    <t>PAY-00365-1</t>
  </si>
  <si>
    <t>TX-S01-0365</t>
  </si>
  <si>
    <t>TR-LINE-00365-1</t>
  </si>
  <si>
    <t>PAY-00365-2</t>
  </si>
  <si>
    <t>TR-LINE-00365-2</t>
  </si>
  <si>
    <t>PAY-00366-1</t>
  </si>
  <si>
    <t>TX-S01-0366</t>
  </si>
  <si>
    <t>TR-LINE-00366-1</t>
  </si>
  <si>
    <t>PAY-00367-1</t>
  </si>
  <si>
    <t>TX-S01-0367</t>
  </si>
  <si>
    <t>TR-LINE-00367-1</t>
  </si>
  <si>
    <t>PAY-00368-1</t>
  </si>
  <si>
    <t>TX-S01-0368</t>
  </si>
  <si>
    <t>TR-LINE-00368-1</t>
  </si>
  <si>
    <t>PAY-00368-2</t>
  </si>
  <si>
    <t>TR-LINE-00368-2</t>
  </si>
  <si>
    <t>PAY-00369-1</t>
  </si>
  <si>
    <t>TX-S01-0369</t>
  </si>
  <si>
    <t>TR-LINE-00369-1</t>
  </si>
  <si>
    <t>PAY-00370-1</t>
  </si>
  <si>
    <t>TX-S01-0370</t>
  </si>
  <si>
    <t>TR-LINE-00370-1</t>
  </si>
  <si>
    <t>PAY-00371-1</t>
  </si>
  <si>
    <t>TX-S01-0371</t>
  </si>
  <si>
    <t>TR-LINE-00371-1</t>
  </si>
  <si>
    <t>PAY-00372-1</t>
  </si>
  <si>
    <t>TX-S01-0372</t>
  </si>
  <si>
    <t>TR-LINE-00372-1</t>
  </si>
  <si>
    <t>PAY-00373-1</t>
  </si>
  <si>
    <t>TX-S01-0373</t>
  </si>
  <si>
    <t>TR-LINE-00373-1</t>
  </si>
  <si>
    <t>PAY-00374-1</t>
  </si>
  <si>
    <t>TX-S01-0374</t>
  </si>
  <si>
    <t>TR-LINE-00374-1</t>
  </si>
  <si>
    <t>PAY-00374-2</t>
  </si>
  <si>
    <t>TR-LINE-00374-2</t>
  </si>
  <si>
    <t>PAY-00375-1</t>
  </si>
  <si>
    <t>TX-S01-0375</t>
  </si>
  <si>
    <t>TR-LINE-00375-1</t>
  </si>
  <si>
    <t>PAY-00375-2</t>
  </si>
  <si>
    <t>TR-LINE-00375-2</t>
  </si>
  <si>
    <t>PAY-00376-1</t>
  </si>
  <si>
    <t>TX-S01-0376</t>
  </si>
  <si>
    <t>TR-LINE-00376-1</t>
  </si>
  <si>
    <t>PAY-00377-1</t>
  </si>
  <si>
    <t>TX-S01-0377</t>
  </si>
  <si>
    <t>TR-LINE-00377-1</t>
  </si>
  <si>
    <t>PAY-00378-1</t>
  </si>
  <si>
    <t>TX-S01-0378</t>
  </si>
  <si>
    <t>TR-LINE-00378-1</t>
  </si>
  <si>
    <t>PAY-00378-2</t>
  </si>
  <si>
    <t>TR-LINE-00378-2</t>
  </si>
  <si>
    <t>PAY-00379-1</t>
  </si>
  <si>
    <t>TX-S01-0379</t>
  </si>
  <si>
    <t>TR-LINE-00379-1</t>
  </si>
  <si>
    <t>PAY-00380-1</t>
  </si>
  <si>
    <t>TX-S01-0380</t>
  </si>
  <si>
    <t>TR-LINE-00380-1</t>
  </si>
  <si>
    <t>PAY-00381-1</t>
  </si>
  <si>
    <t>TX-S01-0381</t>
  </si>
  <si>
    <t>TR-LINE-00381-1</t>
  </si>
  <si>
    <t>PAY-00382-1</t>
  </si>
  <si>
    <t>TX-S01-0382</t>
  </si>
  <si>
    <t>TR-LINE-00382-1</t>
  </si>
  <si>
    <t>PAY-00383-1</t>
  </si>
  <si>
    <t>TX-S01-0383</t>
  </si>
  <si>
    <t>TR-LINE-00383-1</t>
  </si>
  <si>
    <t>PAY-00384-1</t>
  </si>
  <si>
    <t>TX-S01-0384</t>
  </si>
  <si>
    <t>TR-LINE-00384-1</t>
  </si>
  <si>
    <t>PAY-00384-2</t>
  </si>
  <si>
    <t>TR-LINE-00384-2</t>
  </si>
  <si>
    <t>PAY-00385-1</t>
  </si>
  <si>
    <t>TX-S01-0385</t>
  </si>
  <si>
    <t>TR-LINE-00385-1</t>
  </si>
  <si>
    <t>PAY-00385-2</t>
  </si>
  <si>
    <t>TR-LINE-00385-2</t>
  </si>
  <si>
    <t>PAY-00386-1</t>
  </si>
  <si>
    <t>TX-S01-0386</t>
  </si>
  <si>
    <t>TR-LINE-00386-1</t>
  </si>
  <si>
    <t>PAY-00387-1</t>
  </si>
  <si>
    <t>TX-S01-0387</t>
  </si>
  <si>
    <t>TR-LINE-00387-1</t>
  </si>
  <si>
    <t>PAY-00388-1</t>
  </si>
  <si>
    <t>TX-S01-0388</t>
  </si>
  <si>
    <t>TR-LINE-00388-1</t>
  </si>
  <si>
    <t>PAY-00388-2</t>
  </si>
  <si>
    <t>TR-LINE-00388-2</t>
  </si>
  <si>
    <t>PAY-00389-1</t>
  </si>
  <si>
    <t>TX-S01-0389</t>
  </si>
  <si>
    <t>TR-LINE-00389-1</t>
  </si>
  <si>
    <t>PAY-00390-1</t>
  </si>
  <si>
    <t>TX-S01-0390</t>
  </si>
  <si>
    <t>TR-LINE-00390-1</t>
  </si>
  <si>
    <t>PAY-00391-1</t>
  </si>
  <si>
    <t>TX-S01-0391</t>
  </si>
  <si>
    <t>TR-LINE-00391-1</t>
  </si>
  <si>
    <t>PAY-00392-1</t>
  </si>
  <si>
    <t>TX-S01-0392</t>
  </si>
  <si>
    <t>TR-LINE-00392-1</t>
  </si>
  <si>
    <t>PAY-00393-1</t>
  </si>
  <si>
    <t>TX-S01-0393</t>
  </si>
  <si>
    <t>TR-LINE-00393-1</t>
  </si>
  <si>
    <t>PAY-00394-1</t>
  </si>
  <si>
    <t>TX-S01-0394</t>
  </si>
  <si>
    <t>TR-LINE-00394-1</t>
  </si>
  <si>
    <t>PAY-00394-2</t>
  </si>
  <si>
    <t>TR-LINE-00394-2</t>
  </si>
  <si>
    <t>PAY-00395-1</t>
  </si>
  <si>
    <t>TX-S01-0395</t>
  </si>
  <si>
    <t>TR-LINE-00395-1</t>
  </si>
  <si>
    <t>PAY-00395-2</t>
  </si>
  <si>
    <t>TR-LINE-00395-2</t>
  </si>
  <si>
    <t>PAY-00396-1</t>
  </si>
  <si>
    <t>TX-S01-0396</t>
  </si>
  <si>
    <t>TR-LINE-00396-1</t>
  </si>
  <si>
    <t>PAY-00397-1</t>
  </si>
  <si>
    <t>TX-S01-0397</t>
  </si>
  <si>
    <t>TR-LINE-00397-1</t>
  </si>
  <si>
    <t>PAY-00398-1</t>
  </si>
  <si>
    <t>TX-S01-0398</t>
  </si>
  <si>
    <t>TR-LINE-00398-1</t>
  </si>
  <si>
    <t>PAY-00398-2</t>
  </si>
  <si>
    <t>TR-LINE-00398-2</t>
  </si>
  <si>
    <t>PAY-00399-1</t>
  </si>
  <si>
    <t>TX-S01-0399</t>
  </si>
  <si>
    <t>TR-LINE-00399-1</t>
  </si>
  <si>
    <t>PAY-00400-1</t>
  </si>
  <si>
    <t>TX-S01-0400</t>
  </si>
  <si>
    <t>TR-LINE-00400-1</t>
  </si>
  <si>
    <t>PAY-00401-1</t>
  </si>
  <si>
    <t>TX-S01-0401</t>
  </si>
  <si>
    <t>TR-LINE-00401-1</t>
  </si>
  <si>
    <t>PAY-00402-1</t>
  </si>
  <si>
    <t>TX-S01-0402</t>
  </si>
  <si>
    <t>TR-LINE-00402-1</t>
  </si>
  <si>
    <t>PAY-00403-1</t>
  </si>
  <si>
    <t>TX-S01-0403</t>
  </si>
  <si>
    <t>TR-LINE-00403-1</t>
  </si>
  <si>
    <t>PAY-00404-1</t>
  </si>
  <si>
    <t>TX-S01-0404</t>
  </si>
  <si>
    <t>TR-LINE-00404-1</t>
  </si>
  <si>
    <t>PAY-00404-2</t>
  </si>
  <si>
    <t>TR-LINE-00404-2</t>
  </si>
  <si>
    <t>PAY-00405-1</t>
  </si>
  <si>
    <t>TX-S01-0405</t>
  </si>
  <si>
    <t>TR-LINE-00405-1</t>
  </si>
  <si>
    <t>PAY-00405-2</t>
  </si>
  <si>
    <t>TR-LINE-00405-2</t>
  </si>
  <si>
    <t>PAY-00406-1</t>
  </si>
  <si>
    <t>TX-S01-0406</t>
  </si>
  <si>
    <t>TR-LINE-00406-1</t>
  </si>
  <si>
    <t>PAY-00407-1</t>
  </si>
  <si>
    <t>TX-S01-0407</t>
  </si>
  <si>
    <t>TR-LINE-00407-1</t>
  </si>
  <si>
    <t>PAY-00408-1</t>
  </si>
  <si>
    <t>TX-S01-0408</t>
  </si>
  <si>
    <t>TR-LINE-00408-1</t>
  </si>
  <si>
    <t>PAY-00408-2</t>
  </si>
  <si>
    <t>TR-LINE-00408-2</t>
  </si>
  <si>
    <t>PAY-00409-1</t>
  </si>
  <si>
    <t>TX-S01-0409</t>
  </si>
  <si>
    <t>TR-LINE-00409-1</t>
  </si>
  <si>
    <t>PAY-00410-1</t>
  </si>
  <si>
    <t>TX-S01-0410</t>
  </si>
  <si>
    <t>TR-LINE-00410-1</t>
  </si>
  <si>
    <t>PAY-00411-1</t>
  </si>
  <si>
    <t>TX-S01-0411</t>
  </si>
  <si>
    <t>TR-LINE-00411-1</t>
  </si>
  <si>
    <t>PAY-00412-1</t>
  </si>
  <si>
    <t>TX-S01-0412</t>
  </si>
  <si>
    <t>TR-LINE-00412-1</t>
  </si>
  <si>
    <t>PAY-00413-1</t>
  </si>
  <si>
    <t>TX-S01-0413</t>
  </si>
  <si>
    <t>TR-LINE-00413-1</t>
  </si>
  <si>
    <t>PAY-00414-1</t>
  </si>
  <si>
    <t>TX-S01-0414</t>
  </si>
  <si>
    <t>TR-LINE-00414-1</t>
  </si>
  <si>
    <t>PAY-00414-2</t>
  </si>
  <si>
    <t>TR-LINE-00414-2</t>
  </si>
  <si>
    <t>PAY-00415-1</t>
  </si>
  <si>
    <t>TX-S01-0415</t>
  </si>
  <si>
    <t>TR-LINE-00415-1</t>
  </si>
  <si>
    <t>PAY-00415-2</t>
  </si>
  <si>
    <t>TR-LINE-00415-2</t>
  </si>
  <si>
    <t>PAY-00416-1</t>
  </si>
  <si>
    <t>TX-S01-0416</t>
  </si>
  <si>
    <t>TR-LINE-00416-1</t>
  </si>
  <si>
    <t>PAY-00417-1</t>
  </si>
  <si>
    <t>TX-S01-0417</t>
  </si>
  <si>
    <t>TR-LINE-00417-1</t>
  </si>
  <si>
    <t>PAY-00418-1</t>
  </si>
  <si>
    <t>TX-S01-0418</t>
  </si>
  <si>
    <t>TR-LINE-00418-1</t>
  </si>
  <si>
    <t>PAY-00418-2</t>
  </si>
  <si>
    <t>TR-LINE-00418-2</t>
  </si>
  <si>
    <t>PAY-00419-1</t>
  </si>
  <si>
    <t>TX-S01-0419</t>
  </si>
  <si>
    <t>TR-LINE-00419-1</t>
  </si>
  <si>
    <t>PAY-00420-1</t>
  </si>
  <si>
    <t>TX-S01-0420</t>
  </si>
  <si>
    <t>TR-LINE-00420-1</t>
  </si>
  <si>
    <t>PAY-00421-1</t>
  </si>
  <si>
    <t>TX-S01-0421</t>
  </si>
  <si>
    <t>TR-LINE-00421-1</t>
  </si>
  <si>
    <t>PAY-00422-1</t>
  </si>
  <si>
    <t>TX-S01-0422</t>
  </si>
  <si>
    <t>TR-LINE-00422-1</t>
  </si>
  <si>
    <t>PAY-00423-1</t>
  </si>
  <si>
    <t>TX-S01-0423</t>
  </si>
  <si>
    <t>TR-LINE-00423-1</t>
  </si>
  <si>
    <t>PAY-00424-1</t>
  </si>
  <si>
    <t>TX-S01-0424</t>
  </si>
  <si>
    <t>TR-LINE-00424-1</t>
  </si>
  <si>
    <t>PAY-00424-2</t>
  </si>
  <si>
    <t>TR-LINE-00424-2</t>
  </si>
  <si>
    <t>PAY-00425-1</t>
  </si>
  <si>
    <t>TX-S01-0425</t>
  </si>
  <si>
    <t>TR-LINE-00425-1</t>
  </si>
  <si>
    <t>PAY-00425-2</t>
  </si>
  <si>
    <t>TR-LINE-00425-2</t>
  </si>
  <si>
    <t>PAY-00426-1</t>
  </si>
  <si>
    <t>TX-S01-0426</t>
  </si>
  <si>
    <t>TR-LINE-00426-1</t>
  </si>
  <si>
    <t>PAY-00427-1</t>
  </si>
  <si>
    <t>TX-S01-0427</t>
  </si>
  <si>
    <t>TR-LINE-00427-1</t>
  </si>
  <si>
    <t>PAY-00428-1</t>
  </si>
  <si>
    <t>TX-S01-0428</t>
  </si>
  <si>
    <t>TR-LINE-00428-1</t>
  </si>
  <si>
    <t>PAY-00428-2</t>
  </si>
  <si>
    <t>TR-LINE-00428-2</t>
  </si>
  <si>
    <t>PAY-00429-1</t>
  </si>
  <si>
    <t>TX-S01-0429</t>
  </si>
  <si>
    <t>TR-LINE-00429-1</t>
  </si>
  <si>
    <t>PAY-00430-1</t>
  </si>
  <si>
    <t>TX-S01-0430</t>
  </si>
  <si>
    <t>TR-LINE-00430-1</t>
  </si>
  <si>
    <t>PAY-00431-1</t>
  </si>
  <si>
    <t>TX-S01-0431</t>
  </si>
  <si>
    <t>TR-LINE-00431-1</t>
  </si>
  <si>
    <t>PAY-00432-1</t>
  </si>
  <si>
    <t>TX-S01-0432</t>
  </si>
  <si>
    <t>TR-LINE-00432-1</t>
  </si>
  <si>
    <t>PAY-00433-1</t>
  </si>
  <si>
    <t>TX-S01-0433</t>
  </si>
  <si>
    <t>TR-LINE-00433-1</t>
  </si>
  <si>
    <t>PAY-00434-1</t>
  </si>
  <si>
    <t>TX-S01-0434</t>
  </si>
  <si>
    <t>TR-LINE-00434-1</t>
  </si>
  <si>
    <t>PAY-00434-2</t>
  </si>
  <si>
    <t>TR-LINE-00434-2</t>
  </si>
  <si>
    <t>PAY-00435-1</t>
  </si>
  <si>
    <t>TX-S01-0435</t>
  </si>
  <si>
    <t>TR-LINE-00435-1</t>
  </si>
  <si>
    <t>PAY-00435-2</t>
  </si>
  <si>
    <t>TR-LINE-00435-2</t>
  </si>
  <si>
    <t>PAY-00436-1</t>
  </si>
  <si>
    <t>TX-S01-0436</t>
  </si>
  <si>
    <t>TR-LINE-00436-1</t>
  </si>
  <si>
    <t>PAY-00437-1</t>
  </si>
  <si>
    <t>TX-S01-0437</t>
  </si>
  <si>
    <t>TR-LINE-00437-1</t>
  </si>
  <si>
    <t>PAY-00438-1</t>
  </si>
  <si>
    <t>TX-S01-0438</t>
  </si>
  <si>
    <t>TR-LINE-00438-1</t>
  </si>
  <si>
    <t>PAY-00438-2</t>
  </si>
  <si>
    <t>TR-LINE-00438-2</t>
  </si>
  <si>
    <t>PAY-00439-1</t>
  </si>
  <si>
    <t>TX-S01-0439</t>
  </si>
  <si>
    <t>TR-LINE-00439-1</t>
  </si>
  <si>
    <t>PAY-00440-1</t>
  </si>
  <si>
    <t>TX-S01-0440</t>
  </si>
  <si>
    <t>TR-LINE-00440-1</t>
  </si>
  <si>
    <t>PAY-00441-1</t>
  </si>
  <si>
    <t>TX-S01-0441</t>
  </si>
  <si>
    <t>TR-LINE-00441-1</t>
  </si>
  <si>
    <t>PAY-00442-1</t>
  </si>
  <si>
    <t>TX-S01-0442</t>
  </si>
  <si>
    <t>TR-LINE-00442-1</t>
  </si>
  <si>
    <t>PAY-00443-1</t>
  </si>
  <si>
    <t>TX-S01-0443</t>
  </si>
  <si>
    <t>TR-LINE-00443-1</t>
  </si>
  <si>
    <t>PAY-00444-1</t>
  </si>
  <si>
    <t>TX-S01-0444</t>
  </si>
  <si>
    <t>TR-LINE-00444-1</t>
  </si>
  <si>
    <t>PAY-00444-2</t>
  </si>
  <si>
    <t>TR-LINE-00444-2</t>
  </si>
  <si>
    <t>PAY-00445-1</t>
  </si>
  <si>
    <t>TX-S01-0445</t>
  </si>
  <si>
    <t>TR-LINE-00445-1</t>
  </si>
  <si>
    <t>PAY-00445-2</t>
  </si>
  <si>
    <t>TR-LINE-00445-2</t>
  </si>
  <si>
    <t>PAY-00446-1</t>
  </si>
  <si>
    <t>TX-S01-0446</t>
  </si>
  <si>
    <t>TR-LINE-00446-1</t>
  </si>
  <si>
    <t>PAY-00447-1</t>
  </si>
  <si>
    <t>TX-S01-0447</t>
  </si>
  <si>
    <t>TR-LINE-00447-1</t>
  </si>
  <si>
    <t>PAY-00448-1</t>
  </si>
  <si>
    <t>TX-S01-0448</t>
  </si>
  <si>
    <t>TR-LINE-00448-1</t>
  </si>
  <si>
    <t>PAY-00448-2</t>
  </si>
  <si>
    <t>TR-LINE-00448-2</t>
  </si>
  <si>
    <t>PAY-00449-1</t>
  </si>
  <si>
    <t>TX-S01-0449</t>
  </si>
  <si>
    <t>TR-LINE-00449-1</t>
  </si>
  <si>
    <t>PAY-00450-1</t>
  </si>
  <si>
    <t>TX-S01-0450</t>
  </si>
  <si>
    <t>TR-LINE-00450-1</t>
  </si>
  <si>
    <t>PAY-00451-1</t>
  </si>
  <si>
    <t>TX-S01-0451</t>
  </si>
  <si>
    <t>TR-LINE-00451-1</t>
  </si>
  <si>
    <t>PAY-00452-1</t>
  </si>
  <si>
    <t>TX-S01-0452</t>
  </si>
  <si>
    <t>TR-LINE-00452-1</t>
  </si>
  <si>
    <t>PAY-00453-1</t>
  </si>
  <si>
    <t>TX-S01-0453</t>
  </si>
  <si>
    <t>TR-LINE-00453-1</t>
  </si>
  <si>
    <t>PAY-00454-1</t>
  </si>
  <si>
    <t>TX-S01-0454</t>
  </si>
  <si>
    <t>TR-LINE-00454-1</t>
  </si>
  <si>
    <t>PAY-00454-2</t>
  </si>
  <si>
    <t>TR-LINE-00454-2</t>
  </si>
  <si>
    <t>PAY-00455-1</t>
  </si>
  <si>
    <t>TX-S01-0455</t>
  </si>
  <si>
    <t>TR-LINE-00455-1</t>
  </si>
  <si>
    <t>PAY-00455-2</t>
  </si>
  <si>
    <t>TR-LINE-00455-2</t>
  </si>
  <si>
    <t>PAY-00456-1</t>
  </si>
  <si>
    <t>TX-S01-0456</t>
  </si>
  <si>
    <t>TR-LINE-00456-1</t>
  </si>
  <si>
    <t>PAY-00457-1</t>
  </si>
  <si>
    <t>TX-S01-0457</t>
  </si>
  <si>
    <t>TR-LINE-00457-1</t>
  </si>
  <si>
    <t>PAY-00458-1</t>
  </si>
  <si>
    <t>TX-S01-0458</t>
  </si>
  <si>
    <t>TR-LINE-00458-1</t>
  </si>
  <si>
    <t>PAY-00458-2</t>
  </si>
  <si>
    <t>TR-LINE-00458-2</t>
  </si>
  <si>
    <t>PAY-00459-1</t>
  </si>
  <si>
    <t>TX-S01-0459</t>
  </si>
  <si>
    <t>TR-LINE-00459-1</t>
  </si>
  <si>
    <t>PAY-00460-1</t>
  </si>
  <si>
    <t>TX-S01-0460</t>
  </si>
  <si>
    <t>TR-LINE-00460-1</t>
  </si>
  <si>
    <t>PAY-00461-1</t>
  </si>
  <si>
    <t>TX-S01-0461</t>
  </si>
  <si>
    <t>TR-LINE-00461-1</t>
  </si>
  <si>
    <t>PAY-00462-1</t>
  </si>
  <si>
    <t>TX-S01-0462</t>
  </si>
  <si>
    <t>TR-LINE-00462-1</t>
  </si>
  <si>
    <t>PAY-00463-1</t>
  </si>
  <si>
    <t>TX-S01-0463</t>
  </si>
  <si>
    <t>TR-LINE-00463-1</t>
  </si>
  <si>
    <t>PAY-00464-1</t>
  </si>
  <si>
    <t>TX-S01-0464</t>
  </si>
  <si>
    <t>TR-LINE-00464-1</t>
  </si>
  <si>
    <t>PAY-00464-2</t>
  </si>
  <si>
    <t>TR-LINE-00464-2</t>
  </si>
  <si>
    <t>PAY-00465-1</t>
  </si>
  <si>
    <t>TX-S01-0465</t>
  </si>
  <si>
    <t>TR-LINE-00465-1</t>
  </si>
  <si>
    <t>PAY-00465-2</t>
  </si>
  <si>
    <t>TR-LINE-00465-2</t>
  </si>
  <si>
    <t>PAY-00466-1</t>
  </si>
  <si>
    <t>TX-S01-0466</t>
  </si>
  <si>
    <t>TR-LINE-00466-1</t>
  </si>
  <si>
    <t>PAY-00467-1</t>
  </si>
  <si>
    <t>TX-S01-0467</t>
  </si>
  <si>
    <t>TR-LINE-00467-1</t>
  </si>
  <si>
    <t>PAY-00468-1</t>
  </si>
  <si>
    <t>TX-S01-0468</t>
  </si>
  <si>
    <t>TR-LINE-00468-1</t>
  </si>
  <si>
    <t>PAY-00468-2</t>
  </si>
  <si>
    <t>TR-LINE-00468-2</t>
  </si>
  <si>
    <t>PAY-00469-1</t>
  </si>
  <si>
    <t>TX-S01-0469</t>
  </si>
  <si>
    <t>TR-LINE-00469-1</t>
  </si>
  <si>
    <t>PAY-00470-1</t>
  </si>
  <si>
    <t>TX-S01-0470</t>
  </si>
  <si>
    <t>TR-LINE-00470-1</t>
  </si>
  <si>
    <t>PAY-00471-1</t>
  </si>
  <si>
    <t>TX-S01-0471</t>
  </si>
  <si>
    <t>TR-LINE-00471-1</t>
  </si>
  <si>
    <t>PAY-00472-1</t>
  </si>
  <si>
    <t>TX-S01-0472</t>
  </si>
  <si>
    <t>TR-LINE-00472-1</t>
  </si>
  <si>
    <t>PAY-00473-1</t>
  </si>
  <si>
    <t>TX-S01-0473</t>
  </si>
  <si>
    <t>TR-LINE-00473-1</t>
  </si>
  <si>
    <t>PAY-00474-1</t>
  </si>
  <si>
    <t>TX-S01-0474</t>
  </si>
  <si>
    <t>TR-LINE-00474-1</t>
  </si>
  <si>
    <t>PAY-00474-2</t>
  </si>
  <si>
    <t>TR-LINE-00474-2</t>
  </si>
  <si>
    <t>PAY-00475-1</t>
  </si>
  <si>
    <t>TX-S01-0475</t>
  </si>
  <si>
    <t>TR-LINE-00475-1</t>
  </si>
  <si>
    <t>PAY-00475-2</t>
  </si>
  <si>
    <t>TR-LINE-00475-2</t>
  </si>
  <si>
    <t>PAY-00476-1</t>
  </si>
  <si>
    <t>TX-S01-0476</t>
  </si>
  <si>
    <t>TR-LINE-00476-1</t>
  </si>
  <si>
    <t>PAY-00477-1</t>
  </si>
  <si>
    <t>TX-S01-0477</t>
  </si>
  <si>
    <t>TR-LINE-00477-1</t>
  </si>
  <si>
    <t>PAY-00478-1</t>
  </si>
  <si>
    <t>TX-S01-0478</t>
  </si>
  <si>
    <t>TR-LINE-00478-1</t>
  </si>
  <si>
    <t>PAY-00478-2</t>
  </si>
  <si>
    <t>TR-LINE-00478-2</t>
  </si>
  <si>
    <t>PAY-00479-1</t>
  </si>
  <si>
    <t>TX-S01-0479</t>
  </si>
  <si>
    <t>TR-LINE-00479-1</t>
  </si>
  <si>
    <t>PAY-00480-1</t>
  </si>
  <si>
    <t>TX-S01-0480</t>
  </si>
  <si>
    <t>TR-LINE-00480-1</t>
  </si>
  <si>
    <t>PAY-00481-1</t>
  </si>
  <si>
    <t>TX-S01-0481</t>
  </si>
  <si>
    <t>TR-LINE-00481-1</t>
  </si>
  <si>
    <t>PAY-00482-1</t>
  </si>
  <si>
    <t>TX-S01-0482</t>
  </si>
  <si>
    <t>TR-LINE-00482-1</t>
  </si>
  <si>
    <t>PAY-00483-1</t>
  </si>
  <si>
    <t>TX-S01-0483</t>
  </si>
  <si>
    <t>TR-LINE-00483-1</t>
  </si>
  <si>
    <t>PAY-00484-1</t>
  </si>
  <si>
    <t>TX-S01-0484</t>
  </si>
  <si>
    <t>TR-LINE-00484-1</t>
  </si>
  <si>
    <t>PAY-00484-2</t>
  </si>
  <si>
    <t>TR-LINE-00484-2</t>
  </si>
  <si>
    <t>PAY-00485-1</t>
  </si>
  <si>
    <t>TX-S01-0485</t>
  </si>
  <si>
    <t>TR-LINE-00485-1</t>
  </si>
  <si>
    <t>PAY-00485-2</t>
  </si>
  <si>
    <t>TR-LINE-00485-2</t>
  </si>
  <si>
    <t>PAY-00486-1</t>
  </si>
  <si>
    <t>TX-S01-0486</t>
  </si>
  <si>
    <t>TR-LINE-00486-1</t>
  </si>
  <si>
    <t>PAY-00487-1</t>
  </si>
  <si>
    <t>TX-S01-0487</t>
  </si>
  <si>
    <t>TR-LINE-00487-1</t>
  </si>
  <si>
    <t>PAY-00488-1</t>
  </si>
  <si>
    <t>TX-S01-0488</t>
  </si>
  <si>
    <t>TR-LINE-00488-1</t>
  </si>
  <si>
    <t>PAY-00488-2</t>
  </si>
  <si>
    <t>TR-LINE-00488-2</t>
  </si>
  <si>
    <t>PAY-00489-1</t>
  </si>
  <si>
    <t>TX-S01-0489</t>
  </si>
  <si>
    <t>TR-LINE-00489-1</t>
  </si>
  <si>
    <t>PAY-00490-1</t>
  </si>
  <si>
    <t>TX-S01-0490</t>
  </si>
  <si>
    <t>TR-LINE-00490-1</t>
  </si>
  <si>
    <t>PAY-00491-1</t>
  </si>
  <si>
    <t>TX-S01-0491</t>
  </si>
  <si>
    <t>TR-LINE-00491-1</t>
  </si>
  <si>
    <t>PAY-00492-1</t>
  </si>
  <si>
    <t>TX-S01-0492</t>
  </si>
  <si>
    <t>TR-LINE-00492-1</t>
  </si>
  <si>
    <t>PAY-00493-1</t>
  </si>
  <si>
    <t>TX-S01-0493</t>
  </si>
  <si>
    <t>TR-LINE-00493-1</t>
  </si>
  <si>
    <t>PAY-00494-1</t>
  </si>
  <si>
    <t>TX-S01-0494</t>
  </si>
  <si>
    <t>TR-LINE-00494-1</t>
  </si>
  <si>
    <t>PAY-00494-2</t>
  </si>
  <si>
    <t>TR-LINE-00494-2</t>
  </si>
  <si>
    <t>PAY-00495-1</t>
  </si>
  <si>
    <t>TX-S01-0495</t>
  </si>
  <si>
    <t>TR-LINE-00495-1</t>
  </si>
  <si>
    <t>PAY-00495-2</t>
  </si>
  <si>
    <t>TR-LINE-00495-2</t>
  </si>
  <si>
    <t>PAY-00496-1</t>
  </si>
  <si>
    <t>TX-S01-0496</t>
  </si>
  <si>
    <t>TR-LINE-00496-1</t>
  </si>
  <si>
    <t>PAY-00497-1</t>
  </si>
  <si>
    <t>TX-S01-0497</t>
  </si>
  <si>
    <t>TR-LINE-00497-1</t>
  </si>
  <si>
    <t>PAY-00498-1</t>
  </si>
  <si>
    <t>TX-S01-0498</t>
  </si>
  <si>
    <t>TR-LINE-00498-1</t>
  </si>
  <si>
    <t>PAY-00498-2</t>
  </si>
  <si>
    <t>TR-LINE-00498-2</t>
  </si>
  <si>
    <t>PAY-00499-1</t>
  </si>
  <si>
    <t>TX-S01-0499</t>
  </si>
  <si>
    <t>TR-LINE-00499-1</t>
  </si>
  <si>
    <t>PAY-00500-1</t>
  </si>
  <si>
    <t>TX-S01-0500</t>
  </si>
  <si>
    <t>TR-LINE-00500-1</t>
  </si>
  <si>
    <t>PAY-00501-1</t>
  </si>
  <si>
    <t>TX-S01-0501</t>
  </si>
  <si>
    <t>TR-LINE-00501-1</t>
  </si>
  <si>
    <t>PAY-00502-1</t>
  </si>
  <si>
    <t>TX-S01-0502</t>
  </si>
  <si>
    <t>TR-LINE-00502-1</t>
  </si>
  <si>
    <t>PAY-00503-1</t>
  </si>
  <si>
    <t>TX-S01-0503</t>
  </si>
  <si>
    <t>TR-LINE-00503-1</t>
  </si>
  <si>
    <t>PAY-00504-1</t>
  </si>
  <si>
    <t>TX-S01-0504</t>
  </si>
  <si>
    <t>TR-LINE-00504-1</t>
  </si>
  <si>
    <t>PAY-00504-2</t>
  </si>
  <si>
    <t>TR-LINE-00504-2</t>
  </si>
  <si>
    <t>PAY-00505-1</t>
  </si>
  <si>
    <t>TX-S01-0505</t>
  </si>
  <si>
    <t>TR-LINE-00505-1</t>
  </si>
  <si>
    <t>PAY-00505-2</t>
  </si>
  <si>
    <t>TR-LINE-00505-2</t>
  </si>
  <si>
    <t>PAY-00506-1</t>
  </si>
  <si>
    <t>TX-S01-0506</t>
  </si>
  <si>
    <t>TR-LINE-00506-1</t>
  </si>
  <si>
    <t>PAY-00507-1</t>
  </si>
  <si>
    <t>TX-S01-0507</t>
  </si>
  <si>
    <t>TR-LINE-00507-1</t>
  </si>
  <si>
    <t>PAY-00508-1</t>
  </si>
  <si>
    <t>TX-S01-0508</t>
  </si>
  <si>
    <t>TR-LINE-00508-1</t>
  </si>
  <si>
    <t>PAY-00508-2</t>
  </si>
  <si>
    <t>TR-LINE-00508-2</t>
  </si>
  <si>
    <t>PAY-00509-1</t>
  </si>
  <si>
    <t>TX-S01-0509</t>
  </si>
  <si>
    <t>TR-LINE-00509-1</t>
  </si>
  <si>
    <t>PAY-00510-1</t>
  </si>
  <si>
    <t>TX-S01-0510</t>
  </si>
  <si>
    <t>TR-LINE-00510-1</t>
  </si>
  <si>
    <t>PAY-00511-1</t>
  </si>
  <si>
    <t>TX-S01-0511</t>
  </si>
  <si>
    <t>TR-LINE-00511-1</t>
  </si>
  <si>
    <t>PAY-00512-1</t>
  </si>
  <si>
    <t>TX-S01-0512</t>
  </si>
  <si>
    <t>TR-LINE-00512-1</t>
  </si>
  <si>
    <t>PAY-00513-1</t>
  </si>
  <si>
    <t>TX-S01-0513</t>
  </si>
  <si>
    <t>TR-LINE-00513-1</t>
  </si>
  <si>
    <t>PAY-00514-1</t>
  </si>
  <si>
    <t>TX-S01-0514</t>
  </si>
  <si>
    <t>TR-LINE-00514-1</t>
  </si>
  <si>
    <t>PAY-00514-2</t>
  </si>
  <si>
    <t>TR-LINE-00514-2</t>
  </si>
  <si>
    <t>PAY-00515-1</t>
  </si>
  <si>
    <t>TX-S01-0515</t>
  </si>
  <si>
    <t>TR-LINE-00515-1</t>
  </si>
  <si>
    <t>PAY-00515-2</t>
  </si>
  <si>
    <t>TR-LINE-00515-2</t>
  </si>
  <si>
    <t>PAY-00516-1</t>
  </si>
  <si>
    <t>TX-S01-0516</t>
  </si>
  <si>
    <t>TR-LINE-00516-1</t>
  </si>
  <si>
    <t>PAY-00517-1</t>
  </si>
  <si>
    <t>TX-S01-0517</t>
  </si>
  <si>
    <t>TR-LINE-00517-1</t>
  </si>
  <si>
    <t>PAY-00518-1</t>
  </si>
  <si>
    <t>TX-S01-0518</t>
  </si>
  <si>
    <t>TR-LINE-00518-1</t>
  </si>
  <si>
    <t>PAY-00518-2</t>
  </si>
  <si>
    <t>TR-LINE-00518-2</t>
  </si>
  <si>
    <t>PAY-00519-1</t>
  </si>
  <si>
    <t>TX-S01-0519</t>
  </si>
  <si>
    <t>TR-LINE-00519-1</t>
  </si>
  <si>
    <t>PAY-00520-1</t>
  </si>
  <si>
    <t>TX-S01-0520</t>
  </si>
  <si>
    <t>TR-LINE-00520-1</t>
  </si>
  <si>
    <t>PAY-00521-1</t>
  </si>
  <si>
    <t>TX-S01-0521</t>
  </si>
  <si>
    <t>TR-LINE-00521-1</t>
  </si>
  <si>
    <t>PAY-00522-1</t>
  </si>
  <si>
    <t>TX-S01-0522</t>
  </si>
  <si>
    <t>TR-LINE-00522-1</t>
  </si>
  <si>
    <t>PAY-00523-1</t>
  </si>
  <si>
    <t>TX-S01-0523</t>
  </si>
  <si>
    <t>TR-LINE-00523-1</t>
  </si>
  <si>
    <t>PAY-00524-1</t>
  </si>
  <si>
    <t>TX-S01-0524</t>
  </si>
  <si>
    <t>TR-LINE-00524-1</t>
  </si>
  <si>
    <t>PAY-00524-2</t>
  </si>
  <si>
    <t>TR-LINE-00524-2</t>
  </si>
  <si>
    <t>PAY-00525-1</t>
  </si>
  <si>
    <t>TX-S01-0525</t>
  </si>
  <si>
    <t>TR-LINE-00525-1</t>
  </si>
  <si>
    <t>PAY-00525-2</t>
  </si>
  <si>
    <t>TR-LINE-00525-2</t>
  </si>
  <si>
    <t>PAY-00526-1</t>
  </si>
  <si>
    <t>TX-S01-0526</t>
  </si>
  <si>
    <t>TR-LINE-00526-1</t>
  </si>
  <si>
    <t>PAY-00527-1</t>
  </si>
  <si>
    <t>TX-S01-0527</t>
  </si>
  <si>
    <t>TR-LINE-00527-1</t>
  </si>
  <si>
    <t>PAY-00528-1</t>
  </si>
  <si>
    <t>TX-S01-0528</t>
  </si>
  <si>
    <t>TR-LINE-00528-1</t>
  </si>
  <si>
    <t>PAY-00528-2</t>
  </si>
  <si>
    <t>TR-LINE-00528-2</t>
  </si>
  <si>
    <t>PAY-00529-1</t>
  </si>
  <si>
    <t>TX-S01-0529</t>
  </si>
  <si>
    <t>TR-LINE-00529-1</t>
  </si>
  <si>
    <t>PAY-00530-1</t>
  </si>
  <si>
    <t>TX-S01-0530</t>
  </si>
  <si>
    <t>TR-LINE-00530-1</t>
  </si>
  <si>
    <t>PAY-00531-1</t>
  </si>
  <si>
    <t>TX-S01-0531</t>
  </si>
  <si>
    <t>TR-LINE-00531-1</t>
  </si>
  <si>
    <t>PAY-00532-1</t>
  </si>
  <si>
    <t>TX-S01-0532</t>
  </si>
  <si>
    <t>TR-LINE-00532-1</t>
  </si>
  <si>
    <t>PAY-00533-1</t>
  </si>
  <si>
    <t>TX-S01-0533</t>
  </si>
  <si>
    <t>TR-LINE-00533-1</t>
  </si>
  <si>
    <t>PAY-00534-1</t>
  </si>
  <si>
    <t>TX-S01-0534</t>
  </si>
  <si>
    <t>TR-LINE-00534-1</t>
  </si>
  <si>
    <t>PAY-00534-2</t>
  </si>
  <si>
    <t>TR-LINE-00534-2</t>
  </si>
  <si>
    <t>PAY-00535-1</t>
  </si>
  <si>
    <t>TX-S01-0535</t>
  </si>
  <si>
    <t>TR-LINE-00535-1</t>
  </si>
  <si>
    <t>PAY-00535-2</t>
  </si>
  <si>
    <t>TR-LINE-00535-2</t>
  </si>
  <si>
    <t>PAY-00536-1</t>
  </si>
  <si>
    <t>TX-S01-0536</t>
  </si>
  <si>
    <t>TR-LINE-00536-1</t>
  </si>
  <si>
    <t>PAY-00537-1</t>
  </si>
  <si>
    <t>TX-S01-0537</t>
  </si>
  <si>
    <t>TR-LINE-00537-1</t>
  </si>
  <si>
    <t>PAY-00538-1</t>
  </si>
  <si>
    <t>TX-S01-0538</t>
  </si>
  <si>
    <t>TR-LINE-00538-1</t>
  </si>
  <si>
    <t>PAY-00538-2</t>
  </si>
  <si>
    <t>TR-LINE-00538-2</t>
  </si>
  <si>
    <t>PAY-00539-1</t>
  </si>
  <si>
    <t>TX-S01-0539</t>
  </si>
  <si>
    <t>TR-LINE-00539-1</t>
  </si>
  <si>
    <t>PAY-00540-1</t>
  </si>
  <si>
    <t>TX-S01-0540</t>
  </si>
  <si>
    <t>TR-LINE-00540-1</t>
  </si>
  <si>
    <t>PAY-00541-1</t>
  </si>
  <si>
    <t>TX-S01-0541</t>
  </si>
  <si>
    <t>TR-LINE-00541-1</t>
  </si>
  <si>
    <t>PAY-00542-1</t>
  </si>
  <si>
    <t>TX-S01-0542</t>
  </si>
  <si>
    <t>TR-LINE-00542-1</t>
  </si>
  <si>
    <t>PAY-00543-1</t>
  </si>
  <si>
    <t>TX-S01-0543</t>
  </si>
  <si>
    <t>TR-LINE-00543-1</t>
  </si>
  <si>
    <t>PAY-00544-1</t>
  </si>
  <si>
    <t>TX-S01-0544</t>
  </si>
  <si>
    <t>TR-LINE-00544-1</t>
  </si>
  <si>
    <t>PAY-00544-2</t>
  </si>
  <si>
    <t>TR-LINE-00544-2</t>
  </si>
  <si>
    <t>PAY-00545-1</t>
  </si>
  <si>
    <t>TX-S01-0545</t>
  </si>
  <si>
    <t>TR-LINE-00545-1</t>
  </si>
  <si>
    <t>PAY-00545-2</t>
  </si>
  <si>
    <t>TR-LINE-00545-2</t>
  </si>
  <si>
    <t>PAY-00546-1</t>
  </si>
  <si>
    <t>TX-S01-0546</t>
  </si>
  <si>
    <t>TR-LINE-00546-1</t>
  </si>
  <si>
    <t>PAY-00547-1</t>
  </si>
  <si>
    <t>TX-S01-0547</t>
  </si>
  <si>
    <t>TR-LINE-00547-1</t>
  </si>
  <si>
    <t>PAY-00548-1</t>
  </si>
  <si>
    <t>TX-S01-0548</t>
  </si>
  <si>
    <t>TR-LINE-00548-1</t>
  </si>
  <si>
    <t>PAY-00548-2</t>
  </si>
  <si>
    <t>TR-LINE-00548-2</t>
  </si>
  <si>
    <t>PAY-00549-1</t>
  </si>
  <si>
    <t>TX-S01-0549</t>
  </si>
  <si>
    <t>TR-LINE-00549-1</t>
  </si>
  <si>
    <t>PAY-00550-1</t>
  </si>
  <si>
    <t>TX-S01-0550</t>
  </si>
  <si>
    <t>TR-LINE-00550-1</t>
  </si>
  <si>
    <t>PAY-00551-1</t>
  </si>
  <si>
    <t>TX-S01-0551</t>
  </si>
  <si>
    <t>TR-LINE-00551-1</t>
  </si>
  <si>
    <t>PAY-00552-1</t>
  </si>
  <si>
    <t>TX-S01-0552</t>
  </si>
  <si>
    <t>TR-LINE-00552-1</t>
  </si>
  <si>
    <t>PAY-00553-1</t>
  </si>
  <si>
    <t>TX-S01-0553</t>
  </si>
  <si>
    <t>TR-LINE-00553-1</t>
  </si>
  <si>
    <t>PAY-00554-1</t>
  </si>
  <si>
    <t>TX-S01-0554</t>
  </si>
  <si>
    <t>TR-LINE-00554-1</t>
  </si>
  <si>
    <t>PAY-00554-2</t>
  </si>
  <si>
    <t>TR-LINE-00554-2</t>
  </si>
  <si>
    <t>PAY-00555-1</t>
  </si>
  <si>
    <t>TX-S01-0555</t>
  </si>
  <si>
    <t>TR-LINE-00555-1</t>
  </si>
  <si>
    <t>PAY-00555-2</t>
  </si>
  <si>
    <t>TR-LINE-00555-2</t>
  </si>
  <si>
    <t>PAY-00556-1</t>
  </si>
  <si>
    <t>TX-S01-0556</t>
  </si>
  <si>
    <t>TR-LINE-00556-1</t>
  </si>
  <si>
    <t>PAY-00557-1</t>
  </si>
  <si>
    <t>TX-S01-0557</t>
  </si>
  <si>
    <t>TR-LINE-00557-1</t>
  </si>
  <si>
    <t>PAY-00558-1</t>
  </si>
  <si>
    <t>TX-S01-0558</t>
  </si>
  <si>
    <t>TR-LINE-00558-1</t>
  </si>
  <si>
    <t>PAY-00558-2</t>
  </si>
  <si>
    <t>TR-LINE-00558-2</t>
  </si>
  <si>
    <t>PAY-00559-1</t>
  </si>
  <si>
    <t>TX-S01-0559</t>
  </si>
  <si>
    <t>TR-LINE-00559-1</t>
  </si>
  <si>
    <t>PAY-00560-1</t>
  </si>
  <si>
    <t>TX-S01-0560</t>
  </si>
  <si>
    <t>TR-LINE-00560-1</t>
  </si>
  <si>
    <t>PAY-00561-1</t>
  </si>
  <si>
    <t>TX-S01-0561</t>
  </si>
  <si>
    <t>TR-LINE-00561-1</t>
  </si>
  <si>
    <t>PAY-00562-1</t>
  </si>
  <si>
    <t>TX-S01-0562</t>
  </si>
  <si>
    <t>TR-LINE-00562-1</t>
  </si>
  <si>
    <t>PAY-00563-1</t>
  </si>
  <si>
    <t>TX-S01-0563</t>
  </si>
  <si>
    <t>TR-LINE-00563-1</t>
  </si>
  <si>
    <t>PAY-00564-1</t>
  </si>
  <si>
    <t>TX-S01-0564</t>
  </si>
  <si>
    <t>TR-LINE-00564-1</t>
  </si>
  <si>
    <t>PAY-00564-2</t>
  </si>
  <si>
    <t>TR-LINE-00564-2</t>
  </si>
  <si>
    <t>PAY-00565-1</t>
  </si>
  <si>
    <t>TX-S01-0565</t>
  </si>
  <si>
    <t>TR-LINE-00565-1</t>
  </si>
  <si>
    <t>PAY-00565-2</t>
  </si>
  <si>
    <t>TR-LINE-00565-2</t>
  </si>
  <si>
    <t>PAY-00566-1</t>
  </si>
  <si>
    <t>TX-S01-0566</t>
  </si>
  <si>
    <t>TR-LINE-00566-1</t>
  </si>
  <si>
    <t>PAY-00567-1</t>
  </si>
  <si>
    <t>TX-S01-0567</t>
  </si>
  <si>
    <t>TR-LINE-00567-1</t>
  </si>
  <si>
    <t>PAY-00568-1</t>
  </si>
  <si>
    <t>TX-S01-0568</t>
  </si>
  <si>
    <t>TR-LINE-00568-1</t>
  </si>
  <si>
    <t>PAY-00568-2</t>
  </si>
  <si>
    <t>TR-LINE-00568-2</t>
  </si>
  <si>
    <t>PAY-00569-1</t>
  </si>
  <si>
    <t>TX-S01-0569</t>
  </si>
  <si>
    <t>TR-LINE-00569-1</t>
  </si>
  <si>
    <t>PAY-00570-1</t>
  </si>
  <si>
    <t>TX-S01-0570</t>
  </si>
  <si>
    <t>TR-LINE-00570-1</t>
  </si>
  <si>
    <t>PAY-00571-1</t>
  </si>
  <si>
    <t>TX-S01-0571</t>
  </si>
  <si>
    <t>TR-LINE-00571-1</t>
  </si>
  <si>
    <t>PAY-00572-1</t>
  </si>
  <si>
    <t>TX-S01-0572</t>
  </si>
  <si>
    <t>TR-LINE-00572-1</t>
  </si>
  <si>
    <t>PAY-00573-1</t>
  </si>
  <si>
    <t>TX-S01-0573</t>
  </si>
  <si>
    <t>TR-LINE-00573-1</t>
  </si>
  <si>
    <t>PAY-00574-1</t>
  </si>
  <si>
    <t>TX-S01-0574</t>
  </si>
  <si>
    <t>TR-LINE-00574-1</t>
  </si>
  <si>
    <t>PAY-00575-1</t>
  </si>
  <si>
    <t>TX-S01-0575</t>
  </si>
  <si>
    <t>TR-LINE-00575-1</t>
  </si>
  <si>
    <t>PAY-00575-2</t>
  </si>
  <si>
    <t>TR-LINE-00575-2</t>
  </si>
  <si>
    <t>PAY-00576-1</t>
  </si>
  <si>
    <t>TX-S01-0576</t>
  </si>
  <si>
    <t>TR-LINE-00576-1</t>
  </si>
  <si>
    <t>PAY-00577-1</t>
  </si>
  <si>
    <t>TX-S01-0577</t>
  </si>
  <si>
    <t>TR-LINE-00577-1</t>
  </si>
  <si>
    <t>PAY-00578-1</t>
  </si>
  <si>
    <t>TX-S01-0578</t>
  </si>
  <si>
    <t>TR-LINE-00578-1</t>
  </si>
  <si>
    <t>PAY-00578-2</t>
  </si>
  <si>
    <t>TR-LINE-00578-2</t>
  </si>
  <si>
    <t>PAY-00579-1</t>
  </si>
  <si>
    <t>TX-S01-0579</t>
  </si>
  <si>
    <t>TR-LINE-00579-1</t>
  </si>
  <si>
    <t>PAY-00580-1</t>
  </si>
  <si>
    <t>TX-S01-0580</t>
  </si>
  <si>
    <t>TR-LINE-00580-1</t>
  </si>
  <si>
    <t>PAY-00581-1</t>
  </si>
  <si>
    <t>TX-S01-0581</t>
  </si>
  <si>
    <t>TR-LINE-00581-1</t>
  </si>
  <si>
    <t>PAY-00582-1</t>
  </si>
  <si>
    <t>TX-S01-0582</t>
  </si>
  <si>
    <t>TR-LINE-00582-1</t>
  </si>
  <si>
    <t>PAY-00583-1</t>
  </si>
  <si>
    <t>TX-S01-0583</t>
  </si>
  <si>
    <t>TR-LINE-00583-1</t>
  </si>
  <si>
    <t>PAY-00584-1</t>
  </si>
  <si>
    <t>TX-S01-0584</t>
  </si>
  <si>
    <t>TR-LINE-00584-1</t>
  </si>
  <si>
    <t>PAY-00584-2</t>
  </si>
  <si>
    <t>TR-LINE-00584-2</t>
  </si>
  <si>
    <t>PAY-00585-1</t>
  </si>
  <si>
    <t>TX-S01-0585</t>
  </si>
  <si>
    <t>TR-LINE-00585-1</t>
  </si>
  <si>
    <t>PAY-00585-2</t>
  </si>
  <si>
    <t>TR-LINE-00585-2</t>
  </si>
  <si>
    <t>PAY-00586-1</t>
  </si>
  <si>
    <t>TX-S01-0586</t>
  </si>
  <si>
    <t>TR-LINE-00586-1</t>
  </si>
  <si>
    <t>PAY-00587-1</t>
  </si>
  <si>
    <t>TX-S01-0587</t>
  </si>
  <si>
    <t>TR-LINE-00587-1</t>
  </si>
  <si>
    <t>PAY-00588-1</t>
  </si>
  <si>
    <t>TX-S01-0588</t>
  </si>
  <si>
    <t>TR-LINE-00588-1</t>
  </si>
  <si>
    <t>PAY-00588-2</t>
  </si>
  <si>
    <t>TR-LINE-00588-2</t>
  </si>
  <si>
    <t>PAY-00589-1</t>
  </si>
  <si>
    <t>TX-S01-0589</t>
  </si>
  <si>
    <t>TR-LINE-00589-1</t>
  </si>
  <si>
    <t>PAY-00590-1</t>
  </si>
  <si>
    <t>TX-S01-0590</t>
  </si>
  <si>
    <t>TR-LINE-00590-1</t>
  </si>
  <si>
    <t>PAY-00591-1</t>
  </si>
  <si>
    <t>TX-S01-0591</t>
  </si>
  <si>
    <t>TR-LINE-00591-1</t>
  </si>
  <si>
    <t>PAY-00592-1</t>
  </si>
  <si>
    <t>TX-S01-0592</t>
  </si>
  <si>
    <t>TR-LINE-00592-1</t>
  </si>
  <si>
    <t>PAY-00593-1</t>
  </si>
  <si>
    <t>TX-S01-0593</t>
  </si>
  <si>
    <t>TR-LINE-00593-1</t>
  </si>
  <si>
    <t>PAY-00594-1</t>
  </si>
  <si>
    <t>TX-S01-0594</t>
  </si>
  <si>
    <t>TR-LINE-00594-1</t>
  </si>
  <si>
    <t>PAY-00594-2</t>
  </si>
  <si>
    <t>TR-LINE-00594-2</t>
  </si>
  <si>
    <t>PAY-00595-1</t>
  </si>
  <si>
    <t>TX-S01-0595</t>
  </si>
  <si>
    <t>TR-LINE-00595-1</t>
  </si>
  <si>
    <t>PAY-00595-2</t>
  </si>
  <si>
    <t>TR-LINE-00595-2</t>
  </si>
  <si>
    <t>PAY-00596-1</t>
  </si>
  <si>
    <t>TX-S01-0596</t>
  </si>
  <si>
    <t>TR-LINE-00596-1</t>
  </si>
  <si>
    <t>PAY-00597-1</t>
  </si>
  <si>
    <t>TX-S01-0597</t>
  </si>
  <si>
    <t>TR-LINE-00597-1</t>
  </si>
  <si>
    <t>PAY-00598-1</t>
  </si>
  <si>
    <t>TX-S01-0598</t>
  </si>
  <si>
    <t>TR-LINE-00598-1</t>
  </si>
  <si>
    <t>PAY-00598-2</t>
  </si>
  <si>
    <t>TR-LINE-00598-2</t>
  </si>
  <si>
    <t>PAY-00599-1</t>
  </si>
  <si>
    <t>TX-S01-0599</t>
  </si>
  <si>
    <t>TR-LINE-00599-1</t>
  </si>
  <si>
    <t>PAY-00600-1</t>
  </si>
  <si>
    <t>TX-S01-0600</t>
  </si>
  <si>
    <t>TR-LINE-00600-1</t>
  </si>
  <si>
    <t>PAY-00601-1</t>
  </si>
  <si>
    <t>TX-S01-0601</t>
  </si>
  <si>
    <t>TR-LINE-00601-1</t>
  </si>
  <si>
    <t>PAY-00602-1</t>
  </si>
  <si>
    <t>TX-S01-0602</t>
  </si>
  <si>
    <t>TR-LINE-00602-1</t>
  </si>
  <si>
    <t>PAY-00603-1</t>
  </si>
  <si>
    <t>TX-S01-0603</t>
  </si>
  <si>
    <t>TR-LINE-00603-1</t>
  </si>
  <si>
    <t>PAY-00604-1</t>
  </si>
  <si>
    <t>TX-S01-0604</t>
  </si>
  <si>
    <t>TR-LINE-00604-1</t>
  </si>
  <si>
    <t>PAY-00604-2</t>
  </si>
  <si>
    <t>TR-LINE-00604-2</t>
  </si>
  <si>
    <t>PAY-00605-1</t>
  </si>
  <si>
    <t>TX-S01-0605</t>
  </si>
  <si>
    <t>TR-LINE-00605-1</t>
  </si>
  <si>
    <t>PAY-00605-2</t>
  </si>
  <si>
    <t>TR-LINE-00605-2</t>
  </si>
  <si>
    <t>PAY-00606-1</t>
  </si>
  <si>
    <t>TX-S01-0606</t>
  </si>
  <si>
    <t>TR-LINE-00606-1</t>
  </si>
  <si>
    <t>PAY-00607-1</t>
  </si>
  <si>
    <t>TX-S01-0607</t>
  </si>
  <si>
    <t>TR-LINE-00607-1</t>
  </si>
  <si>
    <t>PAY-00608-1</t>
  </si>
  <si>
    <t>TX-S01-0608</t>
  </si>
  <si>
    <t>TR-LINE-00608-1</t>
  </si>
  <si>
    <t>PAY-00608-2</t>
  </si>
  <si>
    <t>TR-LINE-00608-2</t>
  </si>
  <si>
    <t>PAY-00609-1</t>
  </si>
  <si>
    <t>TX-S01-0609</t>
  </si>
  <si>
    <t>TR-LINE-00609-1</t>
  </si>
  <si>
    <t>PAY-00610-1</t>
  </si>
  <si>
    <t>TX-S01-0610</t>
  </si>
  <si>
    <t>TR-LINE-00610-1</t>
  </si>
  <si>
    <t>PAY-00611-1</t>
  </si>
  <si>
    <t>TX-S01-0611</t>
  </si>
  <si>
    <t>TR-LINE-00611-1</t>
  </si>
  <si>
    <t>PAY-00612-1</t>
  </si>
  <si>
    <t>TX-S01-0612</t>
  </si>
  <si>
    <t>TR-LINE-00612-1</t>
  </si>
  <si>
    <t>PAY-00613-1</t>
  </si>
  <si>
    <t>TX-S01-0613</t>
  </si>
  <si>
    <t>TR-LINE-00613-1</t>
  </si>
  <si>
    <t>PAY-00614-1</t>
  </si>
  <si>
    <t>TX-S01-0614</t>
  </si>
  <si>
    <t>TR-LINE-00614-1</t>
  </si>
  <si>
    <t>PAY-00614-2</t>
  </si>
  <si>
    <t>TR-LINE-00614-2</t>
  </si>
  <si>
    <t>PAY-00615-1</t>
  </si>
  <si>
    <t>TX-S01-0615</t>
  </si>
  <si>
    <t>TR-LINE-00615-1</t>
  </si>
  <si>
    <t>PAY-00616-1</t>
  </si>
  <si>
    <t>TX-S01-0616</t>
  </si>
  <si>
    <t>TR-LINE-00616-1</t>
  </si>
  <si>
    <t>PAY-00617-1</t>
  </si>
  <si>
    <t>TX-S01-0617</t>
  </si>
  <si>
    <t>TR-LINE-00617-1</t>
  </si>
  <si>
    <t>PAY-00618-1</t>
  </si>
  <si>
    <t>TX-S01-0618</t>
  </si>
  <si>
    <t>TR-LINE-00618-1</t>
  </si>
  <si>
    <t>PAY-00618-2</t>
  </si>
  <si>
    <t>TR-LINE-00618-2</t>
  </si>
  <si>
    <t>PAY-00619-1</t>
  </si>
  <si>
    <t>TX-S01-0619</t>
  </si>
  <si>
    <t>TR-LINE-00619-1</t>
  </si>
  <si>
    <t>PAY-00620-1</t>
  </si>
  <si>
    <t>TX-S01-0620</t>
  </si>
  <si>
    <t>TR-LINE-00620-1</t>
  </si>
  <si>
    <t>PAY-00621-1</t>
  </si>
  <si>
    <t>TX-S01-0621</t>
  </si>
  <si>
    <t>TR-LINE-00621-1</t>
  </si>
  <si>
    <t>PAY-00622-1</t>
  </si>
  <si>
    <t>TX-S01-0622</t>
  </si>
  <si>
    <t>TR-LINE-00622-1</t>
  </si>
  <si>
    <t>PAY-00623-1</t>
  </si>
  <si>
    <t>TX-S01-0623</t>
  </si>
  <si>
    <t>TR-LINE-00623-1</t>
  </si>
  <si>
    <t>PAY-00624-1</t>
  </si>
  <si>
    <t>TX-S01-0624</t>
  </si>
  <si>
    <t>TR-LINE-00624-1</t>
  </si>
  <si>
    <t>PAY-00624-2</t>
  </si>
  <si>
    <t>TR-LINE-00624-2</t>
  </si>
  <si>
    <t>PAY-00625-1</t>
  </si>
  <si>
    <t>TX-S01-0625</t>
  </si>
  <si>
    <t>TR-LINE-00625-1</t>
  </si>
  <si>
    <t>PAY-00625-2</t>
  </si>
  <si>
    <t>TR-LINE-00625-2</t>
  </si>
  <si>
    <t>PAY-00626-1</t>
  </si>
  <si>
    <t>TX-S01-0626</t>
  </si>
  <si>
    <t>TR-LINE-00626-1</t>
  </si>
  <si>
    <t>PAY-00627-1</t>
  </si>
  <si>
    <t>TX-S01-0627</t>
  </si>
  <si>
    <t>TR-LINE-00627-1</t>
  </si>
  <si>
    <t>PAY-00628-1</t>
  </si>
  <si>
    <t>TX-S01-0628</t>
  </si>
  <si>
    <t>TR-LINE-00628-1</t>
  </si>
  <si>
    <t>PAY-00628-2</t>
  </si>
  <si>
    <t>TR-LINE-00628-2</t>
  </si>
  <si>
    <t>PAY-00629-1</t>
  </si>
  <si>
    <t>TX-S01-0629</t>
  </si>
  <si>
    <t>TR-LINE-00629-1</t>
  </si>
  <si>
    <t>PAY-00630-1</t>
  </si>
  <si>
    <t>TX-S01-0630</t>
  </si>
  <si>
    <t>TR-LINE-00630-1</t>
  </si>
  <si>
    <t>PAY-00631-1</t>
  </si>
  <si>
    <t>TX-S01-0631</t>
  </si>
  <si>
    <t>TR-LINE-00631-1</t>
  </si>
  <si>
    <t>PAY-00632-1</t>
  </si>
  <si>
    <t>TX-S01-0632</t>
  </si>
  <si>
    <t>TR-LINE-00632-1</t>
  </si>
  <si>
    <t>PAY-00633-1</t>
  </si>
  <si>
    <t>TX-S01-0633</t>
  </si>
  <si>
    <t>TR-LINE-00633-1</t>
  </si>
  <si>
    <t>PAY-00634-1</t>
  </si>
  <si>
    <t>TX-S01-0634</t>
  </si>
  <si>
    <t>TR-LINE-00634-1</t>
  </si>
  <si>
    <t>PAY-00634-2</t>
  </si>
  <si>
    <t>TR-LINE-00634-2</t>
  </si>
  <si>
    <t>PAY-00635-1</t>
  </si>
  <si>
    <t>TX-S01-0635</t>
  </si>
  <si>
    <t>TR-LINE-00635-1</t>
  </si>
  <si>
    <t>PAY-00635-2</t>
  </si>
  <si>
    <t>TR-LINE-00635-2</t>
  </si>
  <si>
    <t>PAY-00636-1</t>
  </si>
  <si>
    <t>TX-S01-0636</t>
  </si>
  <si>
    <t>TR-LINE-00636-1</t>
  </si>
  <si>
    <t>PAY-00637-1</t>
  </si>
  <si>
    <t>TX-S01-0637</t>
  </si>
  <si>
    <t>TR-LINE-00637-1</t>
  </si>
  <si>
    <t>PAY-00638-1</t>
  </si>
  <si>
    <t>TX-S01-0638</t>
  </si>
  <si>
    <t>TR-LINE-00638-1</t>
  </si>
  <si>
    <t>PAY-00638-2</t>
  </si>
  <si>
    <t>TR-LINE-00638-2</t>
  </si>
  <si>
    <t>PAY-00639-1</t>
  </si>
  <si>
    <t>TX-S01-0639</t>
  </si>
  <si>
    <t>TR-LINE-00639-1</t>
  </si>
  <si>
    <t>PAY-00640-1</t>
  </si>
  <si>
    <t>TX-S01-0640</t>
  </si>
  <si>
    <t>TR-LINE-00640-1</t>
  </si>
  <si>
    <t>PAY-00641-1</t>
  </si>
  <si>
    <t>TX-S01-0641</t>
  </si>
  <si>
    <t>TR-LINE-00641-1</t>
  </si>
  <si>
    <t>PAY-00642-1</t>
  </si>
  <si>
    <t>TX-S01-0642</t>
  </si>
  <si>
    <t>TR-LINE-00642-1</t>
  </si>
  <si>
    <t>PAY-00643-1</t>
  </si>
  <si>
    <t>TX-S01-0643</t>
  </si>
  <si>
    <t>TR-LINE-00643-1</t>
  </si>
  <si>
    <t>PAY-00644-1</t>
  </si>
  <si>
    <t>TX-S01-0644</t>
  </si>
  <si>
    <t>TR-LINE-00644-1</t>
  </si>
  <si>
    <t>PAY-00644-2</t>
  </si>
  <si>
    <t>TR-LINE-00644-2</t>
  </si>
  <si>
    <t>PAY-00645-1</t>
  </si>
  <si>
    <t>TX-S01-0645</t>
  </si>
  <si>
    <t>TR-LINE-00645-1</t>
  </si>
  <si>
    <t>PAY-00645-2</t>
  </si>
  <si>
    <t>TR-LINE-00645-2</t>
  </si>
  <si>
    <t>PAY-00646-1</t>
  </si>
  <si>
    <t>TX-S01-0646</t>
  </si>
  <si>
    <t>TR-LINE-00646-1</t>
  </si>
  <si>
    <t>PAY-00647-1</t>
  </si>
  <si>
    <t>TX-S01-0647</t>
  </si>
  <si>
    <t>TR-LINE-00647-1</t>
  </si>
  <si>
    <t>PAY-00648-1</t>
  </si>
  <si>
    <t>TX-S01-0648</t>
  </si>
  <si>
    <t>TR-LINE-00648-1</t>
  </si>
  <si>
    <t>PAY-00648-2</t>
  </si>
  <si>
    <t>TR-LINE-00648-2</t>
  </si>
  <si>
    <t>PAY-00649-1</t>
  </si>
  <si>
    <t>TX-S01-0649</t>
  </si>
  <si>
    <t>TR-LINE-00649-1</t>
  </si>
  <si>
    <t>PAY-00650-1</t>
  </si>
  <si>
    <t>TX-S01-0650</t>
  </si>
  <si>
    <t>TR-LINE-00650-1</t>
  </si>
  <si>
    <t>PAY-00651-1</t>
  </si>
  <si>
    <t>TX-S01-0651</t>
  </si>
  <si>
    <t>TR-LINE-00651-1</t>
  </si>
  <si>
    <t>PAY-00652-1</t>
  </si>
  <si>
    <t>TX-S01-0652</t>
  </si>
  <si>
    <t>TR-LINE-00652-1</t>
  </si>
  <si>
    <t>PAY-00653-1</t>
  </si>
  <si>
    <t>TX-S01-0653</t>
  </si>
  <si>
    <t>TR-LINE-00653-1</t>
  </si>
  <si>
    <t>PAY-00654-1</t>
  </si>
  <si>
    <t>TX-S01-0654</t>
  </si>
  <si>
    <t>TR-LINE-00654-1</t>
  </si>
  <si>
    <t>PAY-00654-2</t>
  </si>
  <si>
    <t>TR-LINE-00654-2</t>
  </si>
  <si>
    <t>PAY-00655-1</t>
  </si>
  <si>
    <t>TX-S01-0655</t>
  </si>
  <si>
    <t>TR-LINE-00655-1</t>
  </si>
  <si>
    <t>PAY-00655-2</t>
  </si>
  <si>
    <t>TR-LINE-00655-2</t>
  </si>
  <si>
    <t>PAY-00656-1</t>
  </si>
  <si>
    <t>TX-S01-0656</t>
  </si>
  <si>
    <t>TR-LINE-00656-1</t>
  </si>
  <si>
    <t>PAY-00657-1</t>
  </si>
  <si>
    <t>TX-S01-0657</t>
  </si>
  <si>
    <t>TR-LINE-00657-1</t>
  </si>
  <si>
    <t>PAY-00658-1</t>
  </si>
  <si>
    <t>TX-S01-0658</t>
  </si>
  <si>
    <t>TR-LINE-00658-1</t>
  </si>
  <si>
    <t>PAY-00658-2</t>
  </si>
  <si>
    <t>TR-LINE-00658-2</t>
  </si>
  <si>
    <t>PAY-00659-1</t>
  </si>
  <si>
    <t>TX-S01-0659</t>
  </si>
  <si>
    <t>TR-LINE-00659-1</t>
  </si>
  <si>
    <t>PAY-00660-1</t>
  </si>
  <si>
    <t>TX-S01-0660</t>
  </si>
  <si>
    <t>TR-LINE-00660-1</t>
  </si>
  <si>
    <t>PAY-00661-1</t>
  </si>
  <si>
    <t>TX-S01-0661</t>
  </si>
  <si>
    <t>TR-LINE-00661-1</t>
  </si>
  <si>
    <t>PAY-00662-1</t>
  </si>
  <si>
    <t>TX-S01-0662</t>
  </si>
  <si>
    <t>TR-LINE-00662-1</t>
  </si>
  <si>
    <t>PAY-00663-1</t>
  </si>
  <si>
    <t>TX-S01-0663</t>
  </si>
  <si>
    <t>TR-LINE-00663-1</t>
  </si>
  <si>
    <t>PAY-00664-1</t>
  </si>
  <si>
    <t>TX-S01-0664</t>
  </si>
  <si>
    <t>TR-LINE-00664-1</t>
  </si>
  <si>
    <t>PAY-00664-2</t>
  </si>
  <si>
    <t>TR-LINE-00664-2</t>
  </si>
  <si>
    <t>PAY-00665-1</t>
  </si>
  <si>
    <t>TX-S01-0665</t>
  </si>
  <si>
    <t>TR-LINE-00665-1</t>
  </si>
  <si>
    <t>PAY-00665-2</t>
  </si>
  <si>
    <t>TR-LINE-00665-2</t>
  </si>
  <si>
    <t>PAY-00666-1</t>
  </si>
  <si>
    <t>TX-S01-0666</t>
  </si>
  <si>
    <t>TR-LINE-00666-1</t>
  </si>
  <si>
    <t>PAY-00667-1</t>
  </si>
  <si>
    <t>TX-S01-0667</t>
  </si>
  <si>
    <t>TR-LINE-00667-1</t>
  </si>
  <si>
    <t>PAY-00668-1</t>
  </si>
  <si>
    <t>TX-S01-0668</t>
  </si>
  <si>
    <t>TR-LINE-00668-1</t>
  </si>
  <si>
    <t>PAY-00668-2</t>
  </si>
  <si>
    <t>TR-LINE-00668-2</t>
  </si>
  <si>
    <t>PAY-00669-1</t>
  </si>
  <si>
    <t>TX-S01-0669</t>
  </si>
  <si>
    <t>TR-LINE-00669-1</t>
  </si>
  <si>
    <t>PAY-00670-1</t>
  </si>
  <si>
    <t>TX-S01-0670</t>
  </si>
  <si>
    <t>TR-LINE-00670-1</t>
  </si>
  <si>
    <t>PAY-00671-1</t>
  </si>
  <si>
    <t>TX-S01-0671</t>
  </si>
  <si>
    <t>TR-LINE-00671-1</t>
  </si>
  <si>
    <t>PAY-00672-1</t>
  </si>
  <si>
    <t>TX-S01-0672</t>
  </si>
  <si>
    <t>TR-LINE-00672-1</t>
  </si>
  <si>
    <t>PAY-00673-1</t>
  </si>
  <si>
    <t>TX-S01-0673</t>
  </si>
  <si>
    <t>TR-LINE-00673-1</t>
  </si>
  <si>
    <t>PAY-00674-1</t>
  </si>
  <si>
    <t>TX-S01-0674</t>
  </si>
  <si>
    <t>TR-LINE-00674-1</t>
  </si>
  <si>
    <t>PAY-00674-2</t>
  </si>
  <si>
    <t>TR-LINE-00674-2</t>
  </si>
  <si>
    <t>PAY-00675-1</t>
  </si>
  <si>
    <t>TX-S01-0675</t>
  </si>
  <si>
    <t>TR-LINE-00675-1</t>
  </si>
  <si>
    <t>PAY-00675-2</t>
  </si>
  <si>
    <t>TR-LINE-00675-2</t>
  </si>
  <si>
    <t>PAY-00676-1</t>
  </si>
  <si>
    <t>TX-S01-0676</t>
  </si>
  <si>
    <t>TR-LINE-00676-1</t>
  </si>
  <si>
    <t>PAY-00677-1</t>
  </si>
  <si>
    <t>TX-S01-0677</t>
  </si>
  <si>
    <t>TR-LINE-00677-1</t>
  </si>
  <si>
    <t>PAY-00678-1</t>
  </si>
  <si>
    <t>TX-S01-0678</t>
  </si>
  <si>
    <t>TR-LINE-00678-1</t>
  </si>
  <si>
    <t>PAY-00678-2</t>
  </si>
  <si>
    <t>TR-LINE-00678-2</t>
  </si>
  <si>
    <t>PAY-00679-1</t>
  </si>
  <si>
    <t>TX-S01-0679</t>
  </si>
  <si>
    <t>TR-LINE-00679-1</t>
  </si>
  <si>
    <t>PAY-00680-1</t>
  </si>
  <si>
    <t>TX-S01-0680</t>
  </si>
  <si>
    <t>TR-LINE-00680-1</t>
  </si>
  <si>
    <t>PAY-00681-1</t>
  </si>
  <si>
    <t>TX-S01-0681</t>
  </si>
  <si>
    <t>TR-LINE-00681-1</t>
  </si>
  <si>
    <t>PAY-00682-1</t>
  </si>
  <si>
    <t>TX-S01-0682</t>
  </si>
  <si>
    <t>TR-LINE-00682-1</t>
  </si>
  <si>
    <t>PAY-00683-1</t>
  </si>
  <si>
    <t>TX-S01-0683</t>
  </si>
  <si>
    <t>TR-LINE-00683-1</t>
  </si>
  <si>
    <t>PAY-00684-1</t>
  </si>
  <si>
    <t>TX-S01-0684</t>
  </si>
  <si>
    <t>TR-LINE-00684-1</t>
  </si>
  <si>
    <t>PAY-00684-2</t>
  </si>
  <si>
    <t>TR-LINE-00684-2</t>
  </si>
  <si>
    <t>PAY-00685-1</t>
  </si>
  <si>
    <t>TX-S01-0685</t>
  </si>
  <si>
    <t>TR-LINE-00685-1</t>
  </si>
  <si>
    <t>PAY-00685-2</t>
  </si>
  <si>
    <t>TR-LINE-00685-2</t>
  </si>
  <si>
    <t>PAY-00686-1</t>
  </si>
  <si>
    <t>TX-S01-0686</t>
  </si>
  <si>
    <t>TR-LINE-00686-1</t>
  </si>
  <si>
    <t>PAY-00687-1</t>
  </si>
  <si>
    <t>TX-S01-0687</t>
  </si>
  <si>
    <t>TR-LINE-00687-1</t>
  </si>
  <si>
    <t>PAY-00688-1</t>
  </si>
  <si>
    <t>TX-S01-0688</t>
  </si>
  <si>
    <t>TR-LINE-00688-1</t>
  </si>
  <si>
    <t>PAY-00688-2</t>
  </si>
  <si>
    <t>TR-LINE-00688-2</t>
  </si>
  <si>
    <t>PAY-00689-1</t>
  </si>
  <si>
    <t>TX-S01-0689</t>
  </si>
  <si>
    <t>TR-LINE-00689-1</t>
  </si>
  <si>
    <t>PAY-00690-1</t>
  </si>
  <si>
    <t>TX-S01-0690</t>
  </si>
  <si>
    <t>TR-LINE-00690-1</t>
  </si>
  <si>
    <t>PAY-00691-1</t>
  </si>
  <si>
    <t>TX-S01-0691</t>
  </si>
  <si>
    <t>TR-LINE-00691-1</t>
  </si>
  <si>
    <t>PAY-00692-1</t>
  </si>
  <si>
    <t>TX-S01-0692</t>
  </si>
  <si>
    <t>TR-LINE-00692-1</t>
  </si>
  <si>
    <t>PAY-00693-1</t>
  </si>
  <si>
    <t>TX-S01-0693</t>
  </si>
  <si>
    <t>TR-LINE-00693-1</t>
  </si>
  <si>
    <t>PAY-00694-1</t>
  </si>
  <si>
    <t>TX-S01-0694</t>
  </si>
  <si>
    <t>TR-LINE-00694-1</t>
  </si>
  <si>
    <t>PAY-00694-2</t>
  </si>
  <si>
    <t>TR-LINE-00694-2</t>
  </si>
  <si>
    <t>PAY-00695-1</t>
  </si>
  <si>
    <t>TX-S01-0695</t>
  </si>
  <si>
    <t>TR-LINE-00695-1</t>
  </si>
  <si>
    <t>PAY-00695-2</t>
  </si>
  <si>
    <t>TR-LINE-00695-2</t>
  </si>
  <si>
    <t>PAY-00696-1</t>
  </si>
  <si>
    <t>TX-S01-0696</t>
  </si>
  <si>
    <t>TR-LINE-00696-1</t>
  </si>
  <si>
    <t>PAY-00697-1</t>
  </si>
  <si>
    <t>TX-S01-0697</t>
  </si>
  <si>
    <t>TR-LINE-00697-1</t>
  </si>
  <si>
    <t>PAY-00698-1</t>
  </si>
  <si>
    <t>TX-S01-0698</t>
  </si>
  <si>
    <t>TR-LINE-00698-1</t>
  </si>
  <si>
    <t>PAY-00698-2</t>
  </si>
  <si>
    <t>TR-LINE-00698-2</t>
  </si>
  <si>
    <t>PAY-00699-1</t>
  </si>
  <si>
    <t>TX-S01-0699</t>
  </si>
  <si>
    <t>TR-LINE-00699-1</t>
  </si>
  <si>
    <t>PAY-00700-1</t>
  </si>
  <si>
    <t>TX-S01-0700</t>
  </si>
  <si>
    <t>TR-LINE-00700-1</t>
  </si>
  <si>
    <t>PAY-00701-1</t>
  </si>
  <si>
    <t>TX-S01-0701</t>
  </si>
  <si>
    <t>TR-LINE-00701-1</t>
  </si>
  <si>
    <t>PAY-00702-1</t>
  </si>
  <si>
    <t>TX-S01-0702</t>
  </si>
  <si>
    <t>TR-LINE-00702-1</t>
  </si>
  <si>
    <t>PAY-00703-1</t>
  </si>
  <si>
    <t>TX-S01-0703</t>
  </si>
  <si>
    <t>TR-LINE-00703-1</t>
  </si>
  <si>
    <t>PAY-00704-1</t>
  </si>
  <si>
    <t>TX-S01-0704</t>
  </si>
  <si>
    <t>TR-LINE-00704-1</t>
  </si>
  <si>
    <t>PAY-00704-2</t>
  </si>
  <si>
    <t>TR-LINE-00704-2</t>
  </si>
  <si>
    <t>PAY-00705-1</t>
  </si>
  <si>
    <t>TX-S01-0705</t>
  </si>
  <si>
    <t>TR-LINE-00705-1</t>
  </si>
  <si>
    <t>PAY-00705-2</t>
  </si>
  <si>
    <t>TR-LINE-00705-2</t>
  </si>
  <si>
    <t>PAY-00706-1</t>
  </si>
  <si>
    <t>TX-S01-0706</t>
  </si>
  <si>
    <t>TR-LINE-00706-1</t>
  </si>
  <si>
    <t>PAY-00707-1</t>
  </si>
  <si>
    <t>TX-S01-0707</t>
  </si>
  <si>
    <t>TR-LINE-00707-1</t>
  </si>
  <si>
    <t>PAY-00708-1</t>
  </si>
  <si>
    <t>TX-S01-0708</t>
  </si>
  <si>
    <t>TR-LINE-00708-1</t>
  </si>
  <si>
    <t>PAY-00708-2</t>
  </si>
  <si>
    <t>TR-LINE-00708-2</t>
  </si>
  <si>
    <t>PAY-00709-1</t>
  </si>
  <si>
    <t>TX-S01-0709</t>
  </si>
  <si>
    <t>TR-LINE-00709-1</t>
  </si>
  <si>
    <t>PAY-00710-1</t>
  </si>
  <si>
    <t>TX-S01-0710</t>
  </si>
  <si>
    <t>TR-LINE-00710-1</t>
  </si>
  <si>
    <t>PAY-00711-1</t>
  </si>
  <si>
    <t>TX-S01-0711</t>
  </si>
  <si>
    <t>TR-LINE-00711-1</t>
  </si>
  <si>
    <t>PAY-00712-1</t>
  </si>
  <si>
    <t>TX-S01-0712</t>
  </si>
  <si>
    <t>TR-LINE-00712-1</t>
  </si>
  <si>
    <t>PAY-00713-1</t>
  </si>
  <si>
    <t>TX-S01-0713</t>
  </si>
  <si>
    <t>TR-LINE-00713-1</t>
  </si>
  <si>
    <t>PAY-00714-1</t>
  </si>
  <si>
    <t>TX-S01-0714</t>
  </si>
  <si>
    <t>TR-LINE-00714-1</t>
  </si>
  <si>
    <t>PAY-00714-2</t>
  </si>
  <si>
    <t>TR-LINE-00714-2</t>
  </si>
  <si>
    <t>PAY-00715-1</t>
  </si>
  <si>
    <t>TX-S01-0715</t>
  </si>
  <si>
    <t>TR-LINE-00715-1</t>
  </si>
  <si>
    <t>PAY-00715-2</t>
  </si>
  <si>
    <t>TR-LINE-00715-2</t>
  </si>
  <si>
    <t>PAY-00716-1</t>
  </si>
  <si>
    <t>TX-S01-0716</t>
  </si>
  <si>
    <t>TR-LINE-00716-1</t>
  </si>
  <si>
    <t>PAY-00717-1</t>
  </si>
  <si>
    <t>TX-S01-0717</t>
  </si>
  <si>
    <t>TR-LINE-00717-1</t>
  </si>
  <si>
    <t>PAY-00718-1</t>
  </si>
  <si>
    <t>TX-S01-0718</t>
  </si>
  <si>
    <t>TR-LINE-00718-1</t>
  </si>
  <si>
    <t>PAY-00718-2</t>
  </si>
  <si>
    <t>TR-LINE-00718-2</t>
  </si>
  <si>
    <t>PAY-00719-1</t>
  </si>
  <si>
    <t>TX-S01-0719</t>
  </si>
  <si>
    <t>TR-LINE-00719-1</t>
  </si>
  <si>
    <t>PAY-00720-1</t>
  </si>
  <si>
    <t>TX-S01-0720</t>
  </si>
  <si>
    <t>TR-LINE-00720-1</t>
  </si>
  <si>
    <t>PAY-00721-1</t>
  </si>
  <si>
    <t>TX-S01-0721</t>
  </si>
  <si>
    <t>TR-LINE-00721-1</t>
  </si>
  <si>
    <t>PAY-00722-1</t>
  </si>
  <si>
    <t>TX-S01-0722</t>
  </si>
  <si>
    <t>TR-LINE-00722-1</t>
  </si>
  <si>
    <t>PAY-00723-1</t>
  </si>
  <si>
    <t>TX-S01-0723</t>
  </si>
  <si>
    <t>TR-LINE-00723-1</t>
  </si>
  <si>
    <t>PAY-00724-1</t>
  </si>
  <si>
    <t>TX-S01-0724</t>
  </si>
  <si>
    <t>TR-LINE-00724-1</t>
  </si>
  <si>
    <t>PAY-00724-2</t>
  </si>
  <si>
    <t>TR-LINE-00724-2</t>
  </si>
  <si>
    <t>PAY-00725-1</t>
  </si>
  <si>
    <t>TX-S01-0725</t>
  </si>
  <si>
    <t>TR-LINE-00725-1</t>
  </si>
  <si>
    <t>PAY-00725-2</t>
  </si>
  <si>
    <t>TR-LINE-00725-2</t>
  </si>
  <si>
    <t>PAY-00726-1</t>
  </si>
  <si>
    <t>TX-S01-0726</t>
  </si>
  <si>
    <t>TR-LINE-00726-1</t>
  </si>
  <si>
    <t>PAY-00727-1</t>
  </si>
  <si>
    <t>TX-S01-0727</t>
  </si>
  <si>
    <t>TR-LINE-00727-1</t>
  </si>
  <si>
    <t>PAY-00728-1</t>
  </si>
  <si>
    <t>TX-S01-0728</t>
  </si>
  <si>
    <t>TR-LINE-00728-1</t>
  </si>
  <si>
    <t>PAY-00728-2</t>
  </si>
  <si>
    <t>TR-LINE-00728-2</t>
  </si>
  <si>
    <t>PAY-00729-1</t>
  </si>
  <si>
    <t>TX-S01-0729</t>
  </si>
  <si>
    <t>TR-LINE-00729-1</t>
  </si>
  <si>
    <t>PAY-00730-1</t>
  </si>
  <si>
    <t>TX-S01-0730</t>
  </si>
  <si>
    <t>TR-LINE-00730-1</t>
  </si>
  <si>
    <t>PAY-00731-1</t>
  </si>
  <si>
    <t>TX-S01-0731</t>
  </si>
  <si>
    <t>TR-LINE-00731-1</t>
  </si>
  <si>
    <t>PAY-00732-1</t>
  </si>
  <si>
    <t>TX-S01-0732</t>
  </si>
  <si>
    <t>TR-LINE-00732-1</t>
  </si>
  <si>
    <t>PAY-00733-1</t>
  </si>
  <si>
    <t>TX-S01-0733</t>
  </si>
  <si>
    <t>TR-LINE-00733-1</t>
  </si>
  <si>
    <t>PAY-00734-1</t>
  </si>
  <si>
    <t>TX-S01-0734</t>
  </si>
  <si>
    <t>TR-LINE-00734-1</t>
  </si>
  <si>
    <t>PAY-00734-2</t>
  </si>
  <si>
    <t>TR-LINE-00734-2</t>
  </si>
  <si>
    <t>PAY-00735-1</t>
  </si>
  <si>
    <t>TX-S01-0735</t>
  </si>
  <si>
    <t>TR-LINE-00735-1</t>
  </si>
  <si>
    <t>PAY-00735-2</t>
  </si>
  <si>
    <t>TR-LINE-00735-2</t>
  </si>
  <si>
    <t>PAY-00736-1</t>
  </si>
  <si>
    <t>TX-S01-0736</t>
  </si>
  <si>
    <t>TR-LINE-00736-1</t>
  </si>
  <si>
    <t>PAY-00737-1</t>
  </si>
  <si>
    <t>TX-S01-0737</t>
  </si>
  <si>
    <t>TR-LINE-00737-1</t>
  </si>
  <si>
    <t>PAY-00738-1</t>
  </si>
  <si>
    <t>TX-S01-0738</t>
  </si>
  <si>
    <t>TR-LINE-00738-1</t>
  </si>
  <si>
    <t>PAY-00739-1</t>
  </si>
  <si>
    <t>TX-S01-0739</t>
  </si>
  <si>
    <t>TR-LINE-00739-1</t>
  </si>
  <si>
    <t>PAY-00740-1</t>
  </si>
  <si>
    <t>TX-S01-0740</t>
  </si>
  <si>
    <t>TR-LINE-00740-1</t>
  </si>
  <si>
    <t>PAY-00741-1</t>
  </si>
  <si>
    <t>TX-S01-0741</t>
  </si>
  <si>
    <t>TR-LINE-00741-1</t>
  </si>
  <si>
    <t>PAY-00742-1</t>
  </si>
  <si>
    <t>TX-S01-0742</t>
  </si>
  <si>
    <t>TR-LINE-00742-1</t>
  </si>
  <si>
    <t>PAY-00743-1</t>
  </si>
  <si>
    <t>TX-S01-0743</t>
  </si>
  <si>
    <t>TR-LINE-00743-1</t>
  </si>
  <si>
    <t>PAY-00744-1</t>
  </si>
  <si>
    <t>TX-S01-0744</t>
  </si>
  <si>
    <t>TR-LINE-00744-1</t>
  </si>
  <si>
    <t>PAY-00744-2</t>
  </si>
  <si>
    <t>TR-LINE-00744-2</t>
  </si>
  <si>
    <t>PAY-00745-1</t>
  </si>
  <si>
    <t>TX-S01-0745</t>
  </si>
  <si>
    <t>TR-LINE-00745-1</t>
  </si>
  <si>
    <t>PAY-00745-2</t>
  </si>
  <si>
    <t>TR-LINE-00745-2</t>
  </si>
  <si>
    <t>PAY-00746-1</t>
  </si>
  <si>
    <t>TX-S01-0746</t>
  </si>
  <si>
    <t>TR-LINE-00746-1</t>
  </si>
  <si>
    <t>PAY-00747-1</t>
  </si>
  <si>
    <t>TX-S01-0747</t>
  </si>
  <si>
    <t>TR-LINE-00747-1</t>
  </si>
  <si>
    <t>PAY-00748-1</t>
  </si>
  <si>
    <t>TX-S01-0748</t>
  </si>
  <si>
    <t>TR-LINE-00748-1</t>
  </si>
  <si>
    <t>PAY-00748-2</t>
  </si>
  <si>
    <t>TR-LINE-00748-2</t>
  </si>
  <si>
    <t>PAY-00749-1</t>
  </si>
  <si>
    <t>TX-S01-0749</t>
  </si>
  <si>
    <t>TR-LINE-00749-1</t>
  </si>
  <si>
    <t>PAY-00750-1</t>
  </si>
  <si>
    <t>TX-S01-0750</t>
  </si>
  <si>
    <t>TR-LINE-00750-1</t>
  </si>
  <si>
    <t>PAY-00751-1</t>
  </si>
  <si>
    <t>TX-S01-0751</t>
  </si>
  <si>
    <t>TR-LINE-00751-1</t>
  </si>
  <si>
    <t>PAY-00752-1</t>
  </si>
  <si>
    <t>TX-S01-0752</t>
  </si>
  <si>
    <t>TR-LINE-00752-1</t>
  </si>
  <si>
    <t>PAY-00753-1</t>
  </si>
  <si>
    <t>TX-S01-0753</t>
  </si>
  <si>
    <t>TR-LINE-00753-1</t>
  </si>
  <si>
    <t>PAY-00754-1</t>
  </si>
  <si>
    <t>TX-S01-0754</t>
  </si>
  <si>
    <t>TR-LINE-00754-1</t>
  </si>
  <si>
    <t>PAY-00754-2</t>
  </si>
  <si>
    <t>TR-LINE-00754-2</t>
  </si>
  <si>
    <t>PAY-00755-1</t>
  </si>
  <si>
    <t>TX-S01-0755</t>
  </si>
  <si>
    <t>TR-LINE-00755-1</t>
  </si>
  <si>
    <t>PAY-00755-2</t>
  </si>
  <si>
    <t>TR-LINE-00755-2</t>
  </si>
  <si>
    <t>PAY-00756-1</t>
  </si>
  <si>
    <t>TX-S01-0756</t>
  </si>
  <si>
    <t>TR-LINE-00756-1</t>
  </si>
  <si>
    <t>PAY-00757-1</t>
  </si>
  <si>
    <t>TX-S01-0757</t>
  </si>
  <si>
    <t>TR-LINE-00757-1</t>
  </si>
  <si>
    <t>PAY-00758-1</t>
  </si>
  <si>
    <t>TX-S01-0758</t>
  </si>
  <si>
    <t>TR-LINE-00758-1</t>
  </si>
  <si>
    <t>PAY-00758-2</t>
  </si>
  <si>
    <t>TR-LINE-00758-2</t>
  </si>
  <si>
    <t>PAY-00759-1</t>
  </si>
  <si>
    <t>TX-S01-0759</t>
  </si>
  <si>
    <t>TR-LINE-00759-1</t>
  </si>
  <si>
    <t>PAY-00760-1</t>
  </si>
  <si>
    <t>TX-S01-0760</t>
  </si>
  <si>
    <t>TR-LINE-00760-1</t>
  </si>
  <si>
    <t>PAY-00761-1</t>
  </si>
  <si>
    <t>TX-S01-0761</t>
  </si>
  <si>
    <t>TR-LINE-00761-1</t>
  </si>
  <si>
    <t>PAY-00762-1</t>
  </si>
  <si>
    <t>TX-S01-0762</t>
  </si>
  <si>
    <t>TR-LINE-00762-1</t>
  </si>
  <si>
    <t>PAY-00763-1</t>
  </si>
  <si>
    <t>TX-S01-0763</t>
  </si>
  <si>
    <t>TR-LINE-00763-1</t>
  </si>
  <si>
    <t>PAY-00764-1</t>
  </si>
  <si>
    <t>TX-S01-0764</t>
  </si>
  <si>
    <t>TR-LINE-00764-1</t>
  </si>
  <si>
    <t>PAY-00764-2</t>
  </si>
  <si>
    <t>TR-LINE-00764-2</t>
  </si>
  <si>
    <t>PAY-00765-1</t>
  </si>
  <si>
    <t>TX-S01-0765</t>
  </si>
  <si>
    <t>TR-LINE-00765-1</t>
  </si>
  <si>
    <t>PAY-00765-2</t>
  </si>
  <si>
    <t>TR-LINE-00765-2</t>
  </si>
  <si>
    <t>PAY-00766-1</t>
  </si>
  <si>
    <t>TX-S01-0766</t>
  </si>
  <si>
    <t>TR-LINE-00766-1</t>
  </si>
  <si>
    <t>PAY-00767-1</t>
  </si>
  <si>
    <t>TX-S01-0767</t>
  </si>
  <si>
    <t>TR-LINE-00767-1</t>
  </si>
  <si>
    <t>PAY-00768-1</t>
  </si>
  <si>
    <t>TX-S01-0768</t>
  </si>
  <si>
    <t>TR-LINE-00768-1</t>
  </si>
  <si>
    <t>PAY-00768-2</t>
  </si>
  <si>
    <t>TR-LINE-00768-2</t>
  </si>
  <si>
    <t>PAY-00769-1</t>
  </si>
  <si>
    <t>TX-S01-0769</t>
  </si>
  <si>
    <t>TR-LINE-00769-1</t>
  </si>
  <si>
    <t>PAY-00770-1</t>
  </si>
  <si>
    <t>TX-S01-0770</t>
  </si>
  <si>
    <t>TR-LINE-00770-1</t>
  </si>
  <si>
    <t>PAY-00771-1</t>
  </si>
  <si>
    <t>TX-S01-0771</t>
  </si>
  <si>
    <t>TR-LINE-00771-1</t>
  </si>
  <si>
    <t>PAY-00772-1</t>
  </si>
  <si>
    <t>TX-S01-0772</t>
  </si>
  <si>
    <t>TR-LINE-00772-1</t>
  </si>
  <si>
    <t>PAY-00773-1</t>
  </si>
  <si>
    <t>TX-S01-0773</t>
  </si>
  <si>
    <t>TR-LINE-00773-1</t>
  </si>
  <si>
    <t>PAY-00774-1</t>
  </si>
  <si>
    <t>TX-S01-0774</t>
  </si>
  <si>
    <t>TR-LINE-00774-1</t>
  </si>
  <si>
    <t>PAY-00774-2</t>
  </si>
  <si>
    <t>TR-LINE-00774-2</t>
  </si>
  <si>
    <t>PAY-00775-1</t>
  </si>
  <si>
    <t>TX-S01-0775</t>
  </si>
  <si>
    <t>TR-LINE-00775-1</t>
  </si>
  <si>
    <t>PAY-00775-2</t>
  </si>
  <si>
    <t>TR-LINE-00775-2</t>
  </si>
  <si>
    <t>PAY-00776-1</t>
  </si>
  <si>
    <t>TX-S01-0776</t>
  </si>
  <si>
    <t>TR-LINE-00776-1</t>
  </si>
  <si>
    <t>PAY-00777-1</t>
  </si>
  <si>
    <t>TX-S01-0777</t>
  </si>
  <si>
    <t>TR-LINE-00777-1</t>
  </si>
  <si>
    <t>PAY-00778-1</t>
  </si>
  <si>
    <t>TX-S01-0778</t>
  </si>
  <si>
    <t>TR-LINE-00778-1</t>
  </si>
  <si>
    <t>PAY-00778-2</t>
  </si>
  <si>
    <t>TR-LINE-00778-2</t>
  </si>
  <si>
    <t>PAY-00779-1</t>
  </si>
  <si>
    <t>TX-S01-0779</t>
  </si>
  <si>
    <t>TR-LINE-00779-1</t>
  </si>
  <si>
    <t>PAY-00780-1</t>
  </si>
  <si>
    <t>TX-S01-0780</t>
  </si>
  <si>
    <t>TR-LINE-00780-1</t>
  </si>
  <si>
    <t>PAY-00781-1</t>
  </si>
  <si>
    <t>TX-S01-0781</t>
  </si>
  <si>
    <t>TR-LINE-00781-1</t>
  </si>
  <si>
    <t>PAY-00782-1</t>
  </si>
  <si>
    <t>TX-S01-0782</t>
  </si>
  <si>
    <t>TR-LINE-00782-1</t>
  </si>
  <si>
    <t>PAY-00783-1</t>
  </si>
  <si>
    <t>TX-S01-0783</t>
  </si>
  <si>
    <t>TR-LINE-00783-1</t>
  </si>
  <si>
    <t>PAY-00784-1</t>
  </si>
  <si>
    <t>TX-S01-0784</t>
  </si>
  <si>
    <t>TR-LINE-00784-1</t>
  </si>
  <si>
    <t>PAY-00784-2</t>
  </si>
  <si>
    <t>TR-LINE-00784-2</t>
  </si>
  <si>
    <t>PAY-00785-1</t>
  </si>
  <si>
    <t>TX-S01-0785</t>
  </si>
  <si>
    <t>TR-LINE-00785-1</t>
  </si>
  <si>
    <t>PAY-00785-2</t>
  </si>
  <si>
    <t>TR-LINE-00785-2</t>
  </si>
  <si>
    <t>PAY-00786-1</t>
  </si>
  <si>
    <t>TX-S01-0786</t>
  </si>
  <si>
    <t>TR-LINE-00786-1</t>
  </si>
  <si>
    <t>PAY-00787-1</t>
  </si>
  <si>
    <t>TX-S01-0787</t>
  </si>
  <si>
    <t>TR-LINE-00787-1</t>
  </si>
  <si>
    <t>PAY-00788-1</t>
  </si>
  <si>
    <t>TX-S01-0788</t>
  </si>
  <si>
    <t>TR-LINE-00788-1</t>
  </si>
  <si>
    <t>PAY-00788-2</t>
  </si>
  <si>
    <t>TR-LINE-00788-2</t>
  </si>
  <si>
    <t>PAY-00789-1</t>
  </si>
  <si>
    <t>TX-S01-0789</t>
  </si>
  <si>
    <t>TR-LINE-00789-1</t>
  </si>
  <si>
    <t>PAY-00790-1</t>
  </si>
  <si>
    <t>TX-S01-0790</t>
  </si>
  <si>
    <t>TR-LINE-00790-1</t>
  </si>
  <si>
    <t>PAY-00791-1</t>
  </si>
  <si>
    <t>TX-S01-0791</t>
  </si>
  <si>
    <t>TR-LINE-00791-1</t>
  </si>
  <si>
    <t>PAY-00792-1</t>
  </si>
  <si>
    <t>TX-S01-0792</t>
  </si>
  <si>
    <t>TR-LINE-00792-1</t>
  </si>
  <si>
    <t>PAY-00793-1</t>
  </si>
  <si>
    <t>TX-S01-0793</t>
  </si>
  <si>
    <t>TR-LINE-00793-1</t>
  </si>
  <si>
    <t>PAY-00794-1</t>
  </si>
  <si>
    <t>TX-S01-0794</t>
  </si>
  <si>
    <t>TR-LINE-00794-1</t>
  </si>
  <si>
    <t>PAY-00794-2</t>
  </si>
  <si>
    <t>TR-LINE-00794-2</t>
  </si>
  <si>
    <t>PAY-00795-1</t>
  </si>
  <si>
    <t>TX-S01-0795</t>
  </si>
  <si>
    <t>TR-LINE-00795-1</t>
  </si>
  <si>
    <t>PAY-00795-2</t>
  </si>
  <si>
    <t>TR-LINE-00795-2</t>
  </si>
  <si>
    <t>PAY-00796-1</t>
  </si>
  <si>
    <t>TX-S01-0796</t>
  </si>
  <si>
    <t>TR-LINE-00796-1</t>
  </si>
  <si>
    <t>PAY-00797-1</t>
  </si>
  <si>
    <t>TX-S01-0797</t>
  </si>
  <si>
    <t>TR-LINE-00797-1</t>
  </si>
  <si>
    <t>PAY-00798-1</t>
  </si>
  <si>
    <t>TX-S01-0798</t>
  </si>
  <si>
    <t>TR-LINE-00798-1</t>
  </si>
  <si>
    <t>PAY-00798-2</t>
  </si>
  <si>
    <t>TR-LINE-00798-2</t>
  </si>
  <si>
    <t>PAY-00799-1</t>
  </si>
  <si>
    <t>TX-S01-0799</t>
  </si>
  <si>
    <t>TR-LINE-00799-1</t>
  </si>
  <si>
    <t>PAY-00800-1</t>
  </si>
  <si>
    <t>TX-S01-0800</t>
  </si>
  <si>
    <t>TR-LINE-00800-1</t>
  </si>
  <si>
    <t>PAY-00801-1</t>
  </si>
  <si>
    <t>TX-S01-0801</t>
  </si>
  <si>
    <t>TR-LINE-00801-1</t>
  </si>
  <si>
    <t>PAY-00802-1</t>
  </si>
  <si>
    <t>TX-S01-0802</t>
  </si>
  <si>
    <t>TR-LINE-00802-1</t>
  </si>
  <si>
    <t>PAY-00803-1</t>
  </si>
  <si>
    <t>TX-S01-0803</t>
  </si>
  <si>
    <t>TR-LINE-00803-1</t>
  </si>
  <si>
    <t>PAY-00804-1</t>
  </si>
  <si>
    <t>TX-S01-0804</t>
  </si>
  <si>
    <t>TR-LINE-00804-1</t>
  </si>
  <si>
    <t>PAY-00804-2</t>
  </si>
  <si>
    <t>TR-LINE-00804-2</t>
  </si>
  <si>
    <t>PAY-00805-1</t>
  </si>
  <si>
    <t>TX-S01-0805</t>
  </si>
  <si>
    <t>TR-LINE-00805-1</t>
  </si>
  <si>
    <t>PAY-00805-2</t>
  </si>
  <si>
    <t>TR-LINE-00805-2</t>
  </si>
  <si>
    <t>PAY-00806-1</t>
  </si>
  <si>
    <t>TX-S01-0806</t>
  </si>
  <si>
    <t>TR-LINE-00806-1</t>
  </si>
  <si>
    <t>PAY-00807-1</t>
  </si>
  <si>
    <t>TX-S01-0807</t>
  </si>
  <si>
    <t>TR-LINE-00807-1</t>
  </si>
  <si>
    <t>PAY-00808-1</t>
  </si>
  <si>
    <t>TX-S01-0808</t>
  </si>
  <si>
    <t>TR-LINE-00808-1</t>
  </si>
  <si>
    <t>PAY-00808-2</t>
  </si>
  <si>
    <t>TR-LINE-00808-2</t>
  </si>
  <si>
    <t>PAY-00809-1</t>
  </si>
  <si>
    <t>TX-S01-0809</t>
  </si>
  <si>
    <t>TR-LINE-00809-1</t>
  </si>
  <si>
    <t>PAY-00810-1</t>
  </si>
  <si>
    <t>TX-S01-0810</t>
  </si>
  <si>
    <t>TR-LINE-00810-1</t>
  </si>
  <si>
    <t>PAY-00811-1</t>
  </si>
  <si>
    <t>TX-S01-0811</t>
  </si>
  <si>
    <t>TR-LINE-00811-1</t>
  </si>
  <si>
    <t>PAY-00812-1</t>
  </si>
  <si>
    <t>TX-S01-0812</t>
  </si>
  <si>
    <t>TR-LINE-00812-1</t>
  </si>
  <si>
    <t>PAY-00813-1</t>
  </si>
  <si>
    <t>TX-S01-0813</t>
  </si>
  <si>
    <t>TR-LINE-00813-1</t>
  </si>
  <si>
    <t>PAY-00814-1</t>
  </si>
  <si>
    <t>TX-S01-0814</t>
  </si>
  <si>
    <t>TR-LINE-00814-1</t>
  </si>
  <si>
    <t>PAY-00814-2</t>
  </si>
  <si>
    <t>TR-LINE-00814-2</t>
  </si>
  <si>
    <t>PAY-00815-1</t>
  </si>
  <si>
    <t>TX-S01-0815</t>
  </si>
  <si>
    <t>TR-LINE-00815-1</t>
  </si>
  <si>
    <t>PAY-00815-2</t>
  </si>
  <si>
    <t>TR-LINE-00815-2</t>
  </si>
  <si>
    <t>PAY-00816-1</t>
  </si>
  <si>
    <t>TX-S01-0816</t>
  </si>
  <si>
    <t>TR-LINE-00816-1</t>
  </si>
  <si>
    <t>PAY-00817-1</t>
  </si>
  <si>
    <t>TX-S01-0817</t>
  </si>
  <si>
    <t>TR-LINE-00817-1</t>
  </si>
  <si>
    <t>PAY-00818-1</t>
  </si>
  <si>
    <t>TX-S01-0818</t>
  </si>
  <si>
    <t>TR-LINE-00818-1</t>
  </si>
  <si>
    <t>PAY-00818-2</t>
  </si>
  <si>
    <t>TR-LINE-00818-2</t>
  </si>
  <si>
    <t>PAY-00819-1</t>
  </si>
  <si>
    <t>TX-S01-0819</t>
  </si>
  <si>
    <t>TR-LINE-00819-1</t>
  </si>
  <si>
    <t>PAY-00820-1</t>
  </si>
  <si>
    <t>TX-S01-0820</t>
  </si>
  <si>
    <t>TR-LINE-00820-1</t>
  </si>
  <si>
    <t>PAY-00821-1</t>
  </si>
  <si>
    <t>TX-S01-0821</t>
  </si>
  <si>
    <t>TR-LINE-00821-1</t>
  </si>
  <si>
    <t>PAY-00822-1</t>
  </si>
  <si>
    <t>TX-S01-0822</t>
  </si>
  <si>
    <t>TR-LINE-00822-1</t>
  </si>
  <si>
    <t>PAY-00823-1</t>
  </si>
  <si>
    <t>TX-S01-0823</t>
  </si>
  <si>
    <t>TR-LINE-00823-1</t>
  </si>
  <si>
    <t>PAY-00824-1</t>
  </si>
  <si>
    <t>TX-S01-0824</t>
  </si>
  <si>
    <t>TR-LINE-00824-1</t>
  </si>
  <si>
    <t>PAY-00824-2</t>
  </si>
  <si>
    <t>TR-LINE-00824-2</t>
  </si>
  <si>
    <t>PAY-00825-1</t>
  </si>
  <si>
    <t>TX-S01-0825</t>
  </si>
  <si>
    <t>TR-LINE-00825-1</t>
  </si>
  <si>
    <t>PAY-00825-2</t>
  </si>
  <si>
    <t>TR-LINE-00825-2</t>
  </si>
  <si>
    <t>PAY-00826-1</t>
  </si>
  <si>
    <t>TX-S01-0826</t>
  </si>
  <si>
    <t>TR-LINE-00826-1</t>
  </si>
  <si>
    <t>PAY-00827-1</t>
  </si>
  <si>
    <t>TX-S01-0827</t>
  </si>
  <si>
    <t>TR-LINE-00827-1</t>
  </si>
  <si>
    <t>PAY-00828-1</t>
  </si>
  <si>
    <t>TX-S01-0828</t>
  </si>
  <si>
    <t>TR-LINE-00828-1</t>
  </si>
  <si>
    <t>PAY-00828-2</t>
  </si>
  <si>
    <t>TR-LINE-00828-2</t>
  </si>
  <si>
    <t>PAY-00829-1</t>
  </si>
  <si>
    <t>TX-S01-0829</t>
  </si>
  <si>
    <t>TR-LINE-00829-1</t>
  </si>
  <si>
    <t>PAY-00830-1</t>
  </si>
  <si>
    <t>TX-S01-0830</t>
  </si>
  <si>
    <t>TR-LINE-00830-1</t>
  </si>
  <si>
    <t>PAY-00831-1</t>
  </si>
  <si>
    <t>TX-S01-0831</t>
  </si>
  <si>
    <t>TR-LINE-00831-1</t>
  </si>
  <si>
    <t>PAY-00832-1</t>
  </si>
  <si>
    <t>TX-S01-0832</t>
  </si>
  <si>
    <t>TR-LINE-00832-1</t>
  </si>
  <si>
    <t>PAY-00833-1</t>
  </si>
  <si>
    <t>TX-S01-0833</t>
  </si>
  <si>
    <t>TR-LINE-00833-1</t>
  </si>
  <si>
    <t>PAY-00834-1</t>
  </si>
  <si>
    <t>TX-S01-0834</t>
  </si>
  <si>
    <t>TR-LINE-00834-1</t>
  </si>
  <si>
    <t>PAY-00834-2</t>
  </si>
  <si>
    <t>TR-LINE-00834-2</t>
  </si>
  <si>
    <t>PAY-00835-1</t>
  </si>
  <si>
    <t>TX-S01-0835</t>
  </si>
  <si>
    <t>TR-LINE-00835-1</t>
  </si>
  <si>
    <t>PAY-00835-2</t>
  </si>
  <si>
    <t>TR-LINE-00835-2</t>
  </si>
  <si>
    <t>PAY-00836-1</t>
  </si>
  <si>
    <t>TX-S01-0836</t>
  </si>
  <si>
    <t>TR-LINE-00836-1</t>
  </si>
  <si>
    <t>PAY-00837-1</t>
  </si>
  <si>
    <t>TX-S01-0837</t>
  </si>
  <si>
    <t>TR-LINE-00837-1</t>
  </si>
  <si>
    <t>PAY-00838-1</t>
  </si>
  <si>
    <t>TX-S01-0838</t>
  </si>
  <si>
    <t>TR-LINE-00838-1</t>
  </si>
  <si>
    <t>PAY-00838-2</t>
  </si>
  <si>
    <t>TR-LINE-00838-2</t>
  </si>
  <si>
    <t>PAY-00839-1</t>
  </si>
  <si>
    <t>TX-S01-0839</t>
  </si>
  <si>
    <t>TR-LINE-00839-1</t>
  </si>
  <si>
    <t>PAY-00840-1</t>
  </si>
  <si>
    <t>TX-S01-0840</t>
  </si>
  <si>
    <t>TR-LINE-00840-1</t>
  </si>
  <si>
    <t>PAY-00841-1</t>
  </si>
  <si>
    <t>TX-S01-0841</t>
  </si>
  <si>
    <t>TR-LINE-00841-1</t>
  </si>
  <si>
    <t>PAY-00842-1</t>
  </si>
  <si>
    <t>TX-S01-0842</t>
  </si>
  <si>
    <t>TR-LINE-00842-1</t>
  </si>
  <si>
    <t>PAY-00843-1</t>
  </si>
  <si>
    <t>TX-S01-0843</t>
  </si>
  <si>
    <t>TR-LINE-00843-1</t>
  </si>
  <si>
    <t>PAY-00844-1</t>
  </si>
  <si>
    <t>TX-S01-0844</t>
  </si>
  <si>
    <t>TR-LINE-00844-1</t>
  </si>
  <si>
    <t>PAY-00844-2</t>
  </si>
  <si>
    <t>TR-LINE-00844-2</t>
  </si>
  <si>
    <t>PAY-00845-1</t>
  </si>
  <si>
    <t>TX-S01-0845</t>
  </si>
  <si>
    <t>TR-LINE-00845-1</t>
  </si>
  <si>
    <t>PAY-00845-2</t>
  </si>
  <si>
    <t>TR-LINE-00845-2</t>
  </si>
  <si>
    <t>PAY-00846-1</t>
  </si>
  <si>
    <t>TX-S01-0846</t>
  </si>
  <si>
    <t>TR-LINE-00846-1</t>
  </si>
  <si>
    <t>PAY-00847-1</t>
  </si>
  <si>
    <t>TX-S01-0847</t>
  </si>
  <si>
    <t>TR-LINE-00847-1</t>
  </si>
  <si>
    <t>PAY-00848-1</t>
  </si>
  <si>
    <t>TX-S01-0848</t>
  </si>
  <si>
    <t>TR-LINE-00848-1</t>
  </si>
  <si>
    <t>PAY-00848-2</t>
  </si>
  <si>
    <t>TR-LINE-00848-2</t>
  </si>
  <si>
    <t>PAY-00849-1</t>
  </si>
  <si>
    <t>TX-S01-0849</t>
  </si>
  <si>
    <t>TR-LINE-00849-1</t>
  </si>
  <si>
    <t>PAY-00850-1</t>
  </si>
  <si>
    <t>TX-S01-0850</t>
  </si>
  <si>
    <t>TR-LINE-00850-1</t>
  </si>
  <si>
    <t>PAY-00851-1</t>
  </si>
  <si>
    <t>TX-S01-0851</t>
  </si>
  <si>
    <t>TR-LINE-00851-1</t>
  </si>
  <si>
    <t>PAY-00852-1</t>
  </si>
  <si>
    <t>TX-S01-0852</t>
  </si>
  <si>
    <t>TR-LINE-00852-1</t>
  </si>
  <si>
    <t>PAY-00853-1</t>
  </si>
  <si>
    <t>TX-S01-0853</t>
  </si>
  <si>
    <t>TR-LINE-00853-1</t>
  </si>
  <si>
    <t>PAY-00854-1</t>
  </si>
  <si>
    <t>TX-S01-0854</t>
  </si>
  <si>
    <t>TR-LINE-00854-1</t>
  </si>
  <si>
    <t>PAY-00854-2</t>
  </si>
  <si>
    <t>TR-LINE-00854-2</t>
  </si>
  <si>
    <t>PAY-00855-1</t>
  </si>
  <si>
    <t>TX-S01-0855</t>
  </si>
  <si>
    <t>TR-LINE-00855-1</t>
  </si>
  <si>
    <t>PAY-00855-2</t>
  </si>
  <si>
    <t>TR-LINE-00855-2</t>
  </si>
  <si>
    <t>PAY-00856-1</t>
  </si>
  <si>
    <t>TX-S01-0856</t>
  </si>
  <si>
    <t>TR-LINE-00856-1</t>
  </si>
  <si>
    <t>PAY-00857-1</t>
  </si>
  <si>
    <t>TX-S01-0857</t>
  </si>
  <si>
    <t>TR-LINE-00857-1</t>
  </si>
  <si>
    <t>PAY-00858-1</t>
  </si>
  <si>
    <t>TX-S01-0858</t>
  </si>
  <si>
    <t>TR-LINE-00858-1</t>
  </si>
  <si>
    <t>PAY-00858-2</t>
  </si>
  <si>
    <t>TR-LINE-00858-2</t>
  </si>
  <si>
    <t>PAY-00859-1</t>
  </si>
  <si>
    <t>TX-S01-0859</t>
  </si>
  <si>
    <t>TR-LINE-00859-1</t>
  </si>
  <si>
    <t>PAY-00860-1</t>
  </si>
  <si>
    <t>TX-S01-0860</t>
  </si>
  <si>
    <t>TR-LINE-00860-1</t>
  </si>
  <si>
    <t>PAY-00861-1</t>
  </si>
  <si>
    <t>TX-S01-0861</t>
  </si>
  <si>
    <t>TR-LINE-00861-1</t>
  </si>
  <si>
    <t>PAY-00862-1</t>
  </si>
  <si>
    <t>TX-S01-0862</t>
  </si>
  <si>
    <t>TR-LINE-00862-1</t>
  </si>
  <si>
    <t>PAY-00863-1</t>
  </si>
  <si>
    <t>TX-S01-0863</t>
  </si>
  <si>
    <t>TR-LINE-00863-1</t>
  </si>
  <si>
    <t>PAY-00864-1</t>
  </si>
  <si>
    <t>TX-S01-0864</t>
  </si>
  <si>
    <t>TR-LINE-00864-1</t>
  </si>
  <si>
    <t>PAY-00864-2</t>
  </si>
  <si>
    <t>TR-LINE-00864-2</t>
  </si>
  <si>
    <t>PAY-00865-1</t>
  </si>
  <si>
    <t>TX-S01-0865</t>
  </si>
  <si>
    <t>TR-LINE-00865-1</t>
  </si>
  <si>
    <t>PAY-00865-2</t>
  </si>
  <si>
    <t>TR-LINE-00865-2</t>
  </si>
  <si>
    <t>PAY-00866-1</t>
  </si>
  <si>
    <t>TX-S01-0866</t>
  </si>
  <si>
    <t>TR-LINE-00866-1</t>
  </si>
  <si>
    <t>PAY-00867-1</t>
  </si>
  <si>
    <t>TX-S01-0867</t>
  </si>
  <si>
    <t>TR-LINE-00867-1</t>
  </si>
  <si>
    <t>PAY-00868-1</t>
  </si>
  <si>
    <t>TX-S01-0868</t>
  </si>
  <si>
    <t>TR-LINE-00868-1</t>
  </si>
  <si>
    <t>PAY-00868-2</t>
  </si>
  <si>
    <t>TR-LINE-00868-2</t>
  </si>
  <si>
    <t>PAY-00869-1</t>
  </si>
  <si>
    <t>TX-S01-0869</t>
  </si>
  <si>
    <t>TR-LINE-00869-1</t>
  </si>
  <si>
    <t>PAY-00870-1</t>
  </si>
  <si>
    <t>TX-S01-0870</t>
  </si>
  <si>
    <t>TR-LINE-00870-1</t>
  </si>
  <si>
    <t>PAY-00871-1</t>
  </si>
  <si>
    <t>TX-S01-0871</t>
  </si>
  <si>
    <t>TR-LINE-00871-1</t>
  </si>
  <si>
    <t>PAY-00872-1</t>
  </si>
  <si>
    <t>TX-S01-0872</t>
  </si>
  <si>
    <t>TR-LINE-00872-1</t>
  </si>
  <si>
    <t>PAY-00873-1</t>
  </si>
  <si>
    <t>TX-S01-0873</t>
  </si>
  <si>
    <t>TR-LINE-00873-1</t>
  </si>
  <si>
    <t>PAY-00874-1</t>
  </si>
  <si>
    <t>TX-S01-0874</t>
  </si>
  <si>
    <t>TR-LINE-00874-1</t>
  </si>
  <si>
    <t>PAY-00874-2</t>
  </si>
  <si>
    <t>TR-LINE-00874-2</t>
  </si>
  <si>
    <t>PAY-00875-1</t>
  </si>
  <si>
    <t>TX-S01-0875</t>
  </si>
  <si>
    <t>TR-LINE-00875-1</t>
  </si>
  <si>
    <t>PAY-00875-2</t>
  </si>
  <si>
    <t>TR-LINE-00875-2</t>
  </si>
  <si>
    <t>PAY-00876-1</t>
  </si>
  <si>
    <t>TX-S01-0876</t>
  </si>
  <si>
    <t>TR-LINE-00876-1</t>
  </si>
  <si>
    <t>PAY-00877-1</t>
  </si>
  <si>
    <t>TX-S01-0877</t>
  </si>
  <si>
    <t>TR-LINE-00877-1</t>
  </si>
  <si>
    <t>PAY-00878-1</t>
  </si>
  <si>
    <t>TX-S01-0878</t>
  </si>
  <si>
    <t>TR-LINE-00878-1</t>
  </si>
  <si>
    <t>PAY-00878-2</t>
  </si>
  <si>
    <t>TR-LINE-00878-2</t>
  </si>
  <si>
    <t>PAY-00879-1</t>
  </si>
  <si>
    <t>TX-S01-0879</t>
  </si>
  <si>
    <t>TR-LINE-00879-1</t>
  </si>
  <si>
    <t>PAY-00880-1</t>
  </si>
  <si>
    <t>TX-S01-0880</t>
  </si>
  <si>
    <t>TR-LINE-00880-1</t>
  </si>
  <si>
    <t>PAY-00881-1</t>
  </si>
  <si>
    <t>TX-S01-0881</t>
  </si>
  <si>
    <t>TR-LINE-00881-1</t>
  </si>
  <si>
    <t>PAY-00882-1</t>
  </si>
  <si>
    <t>TX-S01-0882</t>
  </si>
  <si>
    <t>TR-LINE-00882-1</t>
  </si>
  <si>
    <t>PAY-00883-1</t>
  </si>
  <si>
    <t>TX-S01-0883</t>
  </si>
  <si>
    <t>TR-LINE-00883-1</t>
  </si>
  <si>
    <t>PAY-00884-1</t>
  </si>
  <si>
    <t>TX-S01-0884</t>
  </si>
  <si>
    <t>TR-LINE-00884-1</t>
  </si>
  <si>
    <t>PAY-00884-2</t>
  </si>
  <si>
    <t>TR-LINE-00884-2</t>
  </si>
  <si>
    <t>PAY-00885-1</t>
  </si>
  <si>
    <t>TX-S01-0885</t>
  </si>
  <si>
    <t>TR-LINE-00885-1</t>
  </si>
  <si>
    <t>PAY-00885-2</t>
  </si>
  <si>
    <t>TR-LINE-00885-2</t>
  </si>
  <si>
    <t>PAY-00886-1</t>
  </si>
  <si>
    <t>TX-S01-0886</t>
  </si>
  <si>
    <t>TR-LINE-00886-1</t>
  </si>
  <si>
    <t>PAY-00887-1</t>
  </si>
  <si>
    <t>TX-S01-0887</t>
  </si>
  <si>
    <t>TR-LINE-00887-1</t>
  </si>
  <si>
    <t>PAY-00888-1</t>
  </si>
  <si>
    <t>TX-S01-0888</t>
  </si>
  <si>
    <t>TR-LINE-00888-1</t>
  </si>
  <si>
    <t>PAY-00888-2</t>
  </si>
  <si>
    <t>TR-LINE-00888-2</t>
  </si>
  <si>
    <t>PAY-00889-1</t>
  </si>
  <si>
    <t>TX-S01-0889</t>
  </si>
  <si>
    <t>TR-LINE-00889-1</t>
  </si>
  <si>
    <t>PAY-00890-1</t>
  </si>
  <si>
    <t>TX-S01-0890</t>
  </si>
  <si>
    <t>TR-LINE-00890-1</t>
  </si>
  <si>
    <t>PAY-00891-1</t>
  </si>
  <si>
    <t>TX-S01-0891</t>
  </si>
  <si>
    <t>TR-LINE-00891-1</t>
  </si>
  <si>
    <t>PAY-00892-1</t>
  </si>
  <si>
    <t>TX-S01-0892</t>
  </si>
  <si>
    <t>TR-LINE-00892-1</t>
  </si>
  <si>
    <t>PAY-00893-1</t>
  </si>
  <si>
    <t>TX-S01-0893</t>
  </si>
  <si>
    <t>TR-LINE-00893-1</t>
  </si>
  <si>
    <t>PAY-00894-1</t>
  </si>
  <si>
    <t>TX-S01-0894</t>
  </si>
  <si>
    <t>TR-LINE-00894-1</t>
  </si>
  <si>
    <t>PAY-00894-2</t>
  </si>
  <si>
    <t>TR-LINE-00894-2</t>
  </si>
  <si>
    <t>PAY-00895-1</t>
  </si>
  <si>
    <t>TX-S01-0895</t>
  </si>
  <si>
    <t>TR-LINE-00895-1</t>
  </si>
  <si>
    <t>PAY-00895-2</t>
  </si>
  <si>
    <t>TR-LINE-00895-2</t>
  </si>
  <si>
    <t>PAY-00896-1</t>
  </si>
  <si>
    <t>TX-S01-0896</t>
  </si>
  <si>
    <t>TR-LINE-00896-1</t>
  </si>
  <si>
    <t>PAY-00897-1</t>
  </si>
  <si>
    <t>TX-S01-0897</t>
  </si>
  <si>
    <t>TR-LINE-00897-1</t>
  </si>
  <si>
    <t>PAY-00898-1</t>
  </si>
  <si>
    <t>TX-S01-0898</t>
  </si>
  <si>
    <t>TR-LINE-00898-1</t>
  </si>
  <si>
    <t>PAY-00898-2</t>
  </si>
  <si>
    <t>TR-LINE-00898-2</t>
  </si>
  <si>
    <t>PAY-00899-1</t>
  </si>
  <si>
    <t>TX-S01-0899</t>
  </si>
  <si>
    <t>TR-LINE-00899-1</t>
  </si>
  <si>
    <t>PAY-00900-1</t>
  </si>
  <si>
    <t>TX-S01-0900</t>
  </si>
  <si>
    <t>TR-LINE-00900-1</t>
  </si>
  <si>
    <t>PAY-00901-1</t>
  </si>
  <si>
    <t>TX-S01-0901</t>
  </si>
  <si>
    <t>TR-LINE-00901-1</t>
  </si>
  <si>
    <t>PAY-00902-1</t>
  </si>
  <si>
    <t>TX-S01-0902</t>
  </si>
  <si>
    <t>TR-LINE-00902-1</t>
  </si>
  <si>
    <t>PAY-00903-1</t>
  </si>
  <si>
    <t>TX-S01-0903</t>
  </si>
  <si>
    <t>TR-LINE-00903-1</t>
  </si>
  <si>
    <t>PAY-00904-1</t>
  </si>
  <si>
    <t>TX-S01-0904</t>
  </si>
  <si>
    <t>TR-LINE-00904-1</t>
  </si>
  <si>
    <t>PAY-00904-2</t>
  </si>
  <si>
    <t>TR-LINE-00904-2</t>
  </si>
  <si>
    <t>PAY-00905-1</t>
  </si>
  <si>
    <t>TX-S01-0905</t>
  </si>
  <si>
    <t>TR-LINE-00905-1</t>
  </si>
  <si>
    <t>PAY-00905-2</t>
  </si>
  <si>
    <t>TR-LINE-00905-2</t>
  </si>
  <si>
    <t>PAY-00906-1</t>
  </si>
  <si>
    <t>TX-S01-0906</t>
  </si>
  <si>
    <t>TR-LINE-00906-1</t>
  </si>
  <si>
    <t>PAY-00907-1</t>
  </si>
  <si>
    <t>TX-S01-0907</t>
  </si>
  <si>
    <t>TR-LINE-00907-1</t>
  </si>
  <si>
    <t>PAY-00908-1</t>
  </si>
  <si>
    <t>TX-S01-0908</t>
  </si>
  <si>
    <t>TR-LINE-00908-1</t>
  </si>
  <si>
    <t>PAY-00908-2</t>
  </si>
  <si>
    <t>TR-LINE-00908-2</t>
  </si>
  <si>
    <t>PAY-00909-1</t>
  </si>
  <si>
    <t>TX-S01-0909</t>
  </si>
  <si>
    <t>TR-LINE-00909-1</t>
  </si>
  <si>
    <t>PAY-00910-1</t>
  </si>
  <si>
    <t>TX-S01-0910</t>
  </si>
  <si>
    <t>TR-LINE-00910-1</t>
  </si>
  <si>
    <t>PAY-00911-1</t>
  </si>
  <si>
    <t>TX-S01-0911</t>
  </si>
  <si>
    <t>TR-LINE-00911-1</t>
  </si>
  <si>
    <t>PAY-00912-1</t>
  </si>
  <si>
    <t>TX-S01-0912</t>
  </si>
  <si>
    <t>TR-LINE-00912-1</t>
  </si>
  <si>
    <t>PAY-00913-1</t>
  </si>
  <si>
    <t>TX-S01-0913</t>
  </si>
  <si>
    <t>TR-LINE-00913-1</t>
  </si>
  <si>
    <t>PAY-00914-1</t>
  </si>
  <si>
    <t>TX-S01-0914</t>
  </si>
  <si>
    <t>TR-LINE-00914-1</t>
  </si>
  <si>
    <t>PAY-00914-2</t>
  </si>
  <si>
    <t>TR-LINE-00914-2</t>
  </si>
  <si>
    <t>PAY-00915-1</t>
  </si>
  <si>
    <t>TX-S01-0915</t>
  </si>
  <si>
    <t>TR-LINE-00915-1</t>
  </si>
  <si>
    <t>PAY-00915-2</t>
  </si>
  <si>
    <t>TR-LINE-00915-2</t>
  </si>
  <si>
    <t>PAY-00916-1</t>
  </si>
  <si>
    <t>TX-S01-0916</t>
  </si>
  <si>
    <t>TR-LINE-00916-1</t>
  </si>
  <si>
    <t>PAY-00917-1</t>
  </si>
  <si>
    <t>TX-S01-0917</t>
  </si>
  <si>
    <t>TR-LINE-00917-1</t>
  </si>
  <si>
    <t>PAY-00918-1</t>
  </si>
  <si>
    <t>TX-S01-0918</t>
  </si>
  <si>
    <t>TR-LINE-00918-1</t>
  </si>
  <si>
    <t>PAY-00918-2</t>
  </si>
  <si>
    <t>TR-LINE-00918-2</t>
  </si>
  <si>
    <t>PAY-00919-1</t>
  </si>
  <si>
    <t>TX-S01-0919</t>
  </si>
  <si>
    <t>TR-LINE-00919-1</t>
  </si>
  <si>
    <t>PAY-00920-1</t>
  </si>
  <si>
    <t>TX-S01-0920</t>
  </si>
  <si>
    <t>TR-LINE-00920-1</t>
  </si>
  <si>
    <t>PAY-00921-1</t>
  </si>
  <si>
    <t>TX-S01-0921</t>
  </si>
  <si>
    <t>TR-LINE-00921-1</t>
  </si>
  <si>
    <t>PAY-00922-1</t>
  </si>
  <si>
    <t>TX-S01-0922</t>
  </si>
  <si>
    <t>TR-LINE-00922-1</t>
  </si>
  <si>
    <t>PAY-00923-1</t>
  </si>
  <si>
    <t>TX-S01-0923</t>
  </si>
  <si>
    <t>TR-LINE-00923-1</t>
  </si>
  <si>
    <t>PAY-00924-1</t>
  </si>
  <si>
    <t>TX-S01-0924</t>
  </si>
  <si>
    <t>TR-LINE-00924-1</t>
  </si>
  <si>
    <t>PAY-00924-2</t>
  </si>
  <si>
    <t>TR-LINE-00924-2</t>
  </si>
  <si>
    <t>PAY-00925-1</t>
  </si>
  <si>
    <t>TX-S01-0925</t>
  </si>
  <si>
    <t>TR-LINE-00925-1</t>
  </si>
  <si>
    <t>PAY-00925-2</t>
  </si>
  <si>
    <t>TR-LINE-00925-2</t>
  </si>
  <si>
    <t>PAY-00926-1</t>
  </si>
  <si>
    <t>TX-S01-0926</t>
  </si>
  <si>
    <t>TR-LINE-00926-1</t>
  </si>
  <si>
    <t>PAY-00927-1</t>
  </si>
  <si>
    <t>TX-S01-0927</t>
  </si>
  <si>
    <t>TR-LINE-00927-1</t>
  </si>
  <si>
    <t>PAY-00928-1</t>
  </si>
  <si>
    <t>TX-S01-0928</t>
  </si>
  <si>
    <t>TR-LINE-00928-1</t>
  </si>
  <si>
    <t>PAY-00928-2</t>
  </si>
  <si>
    <t>TR-LINE-00928-2</t>
  </si>
  <si>
    <t>PAY-00929-1</t>
  </si>
  <si>
    <t>TX-S01-0929</t>
  </si>
  <si>
    <t>TR-LINE-00929-1</t>
  </si>
  <si>
    <t>PAY-00930-1</t>
  </si>
  <si>
    <t>TX-S01-0930</t>
  </si>
  <si>
    <t>TR-LINE-00930-1</t>
  </si>
  <si>
    <t>PAY-00931-1</t>
  </si>
  <si>
    <t>TX-S01-0931</t>
  </si>
  <si>
    <t>TR-LINE-00931-1</t>
  </si>
  <si>
    <t>PAY-00932-1</t>
  </si>
  <si>
    <t>TX-S01-0932</t>
  </si>
  <si>
    <t>TR-LINE-00932-1</t>
  </si>
  <si>
    <t>PAY-00933-1</t>
  </si>
  <si>
    <t>TX-S01-0933</t>
  </si>
  <si>
    <t>TR-LINE-00933-1</t>
  </si>
  <si>
    <t>PAY-00934-1</t>
  </si>
  <si>
    <t>TX-S01-0934</t>
  </si>
  <si>
    <t>TR-LINE-00934-1</t>
  </si>
  <si>
    <t>PAY-00934-2</t>
  </si>
  <si>
    <t>TR-LINE-00934-2</t>
  </si>
  <si>
    <t>PAY-00935-1</t>
  </si>
  <si>
    <t>TX-S01-0935</t>
  </si>
  <si>
    <t>TR-LINE-00935-1</t>
  </si>
  <si>
    <t>PAY-00935-2</t>
  </si>
  <si>
    <t>TR-LINE-00935-2</t>
  </si>
  <si>
    <t>PAY-00936-1</t>
  </si>
  <si>
    <t>TX-S01-0936</t>
  </si>
  <si>
    <t>TR-LINE-00936-1</t>
  </si>
  <si>
    <t>PAY-00937-1</t>
  </si>
  <si>
    <t>TX-S01-0937</t>
  </si>
  <si>
    <t>TR-LINE-00937-1</t>
  </si>
  <si>
    <t>PAY-00938-1</t>
  </si>
  <si>
    <t>TX-S01-0938</t>
  </si>
  <si>
    <t>TR-LINE-00938-1</t>
  </si>
  <si>
    <t>PAY-00938-2</t>
  </si>
  <si>
    <t>TR-LINE-00938-2</t>
  </si>
  <si>
    <t>PAY-00939-1</t>
  </si>
  <si>
    <t>TX-S01-0939</t>
  </si>
  <si>
    <t>TR-LINE-00939-1</t>
  </si>
  <si>
    <t>PAY-00940-1</t>
  </si>
  <si>
    <t>TX-S01-0940</t>
  </si>
  <si>
    <t>TR-LINE-00940-1</t>
  </si>
  <si>
    <t>PAY-00941-1</t>
  </si>
  <si>
    <t>TX-S01-0941</t>
  </si>
  <si>
    <t>TR-LINE-00941-1</t>
  </si>
  <si>
    <t>PAY-00942-1</t>
  </si>
  <si>
    <t>TX-S01-0942</t>
  </si>
  <si>
    <t>TR-LINE-00942-1</t>
  </si>
  <si>
    <t>PAY-00943-1</t>
  </si>
  <si>
    <t>TX-S01-0943</t>
  </si>
  <si>
    <t>TR-LINE-00943-1</t>
  </si>
  <si>
    <t>PAY-00944-1</t>
  </si>
  <si>
    <t>TX-S01-0944</t>
  </si>
  <si>
    <t>TR-LINE-00944-1</t>
  </si>
  <si>
    <t>PAY-00944-2</t>
  </si>
  <si>
    <t>TR-LINE-00944-2</t>
  </si>
  <si>
    <t>PAY-00945-1</t>
  </si>
  <si>
    <t>TX-S01-0945</t>
  </si>
  <si>
    <t>TR-LINE-00945-1</t>
  </si>
  <si>
    <t>PAY-00945-2</t>
  </si>
  <si>
    <t>TR-LINE-00945-2</t>
  </si>
  <si>
    <t>PAY-00946-1</t>
  </si>
  <si>
    <t>TX-S01-0946</t>
  </si>
  <si>
    <t>TR-LINE-00946-1</t>
  </si>
  <si>
    <t>PAY-00947-1</t>
  </si>
  <si>
    <t>TX-S01-0947</t>
  </si>
  <si>
    <t>TR-LINE-00947-1</t>
  </si>
  <si>
    <t>PAY-00948-1</t>
  </si>
  <si>
    <t>TX-S01-0948</t>
  </si>
  <si>
    <t>TR-LINE-00948-1</t>
  </si>
  <si>
    <t>PAY-00948-2</t>
  </si>
  <si>
    <t>TR-LINE-00948-2</t>
  </si>
  <si>
    <t>PAY-00949-1</t>
  </si>
  <si>
    <t>TX-S01-0949</t>
  </si>
  <si>
    <t>TR-LINE-00949-1</t>
  </si>
  <si>
    <t>PAY-00950-1</t>
  </si>
  <si>
    <t>TX-S01-0950</t>
  </si>
  <si>
    <t>TR-LINE-00950-1</t>
  </si>
  <si>
    <t>PAY-00951-1</t>
  </si>
  <si>
    <t>TX-S01-0951</t>
  </si>
  <si>
    <t>TR-LINE-00951-1</t>
  </si>
  <si>
    <t>PAY-00952-1</t>
  </si>
  <si>
    <t>TX-S01-0952</t>
  </si>
  <si>
    <t>TR-LINE-00952-1</t>
  </si>
  <si>
    <t>PAY-00953-1</t>
  </si>
  <si>
    <t>TX-S01-0953</t>
  </si>
  <si>
    <t>TR-LINE-00953-1</t>
  </si>
  <si>
    <t>PAY-00954-1</t>
  </si>
  <si>
    <t>TX-S01-0954</t>
  </si>
  <si>
    <t>TR-LINE-00954-1</t>
  </si>
  <si>
    <t>PAY-00954-2</t>
  </si>
  <si>
    <t>TR-LINE-00954-2</t>
  </si>
  <si>
    <t>PAY-00955-1</t>
  </si>
  <si>
    <t>TX-S01-0955</t>
  </si>
  <si>
    <t>TR-LINE-00955-1</t>
  </si>
  <si>
    <t>PAY-00955-2</t>
  </si>
  <si>
    <t>TR-LINE-00955-2</t>
  </si>
  <si>
    <t>PAY-00956-1</t>
  </si>
  <si>
    <t>TX-S01-0956</t>
  </si>
  <si>
    <t>TR-LINE-00956-1</t>
  </si>
  <si>
    <t>PAY-00957-1</t>
  </si>
  <si>
    <t>TX-S01-0957</t>
  </si>
  <si>
    <t>TR-LINE-00957-1</t>
  </si>
  <si>
    <t>PAY-00958-1</t>
  </si>
  <si>
    <t>TX-S01-0958</t>
  </si>
  <si>
    <t>TR-LINE-00958-1</t>
  </si>
  <si>
    <t>PAY-00958-2</t>
  </si>
  <si>
    <t>TR-LINE-00958-2</t>
  </si>
  <si>
    <t>PAY-00959-1</t>
  </si>
  <si>
    <t>TX-S01-0959</t>
  </si>
  <si>
    <t>TR-LINE-00959-1</t>
  </si>
  <si>
    <t>PAY-00960-1</t>
  </si>
  <si>
    <t>TX-S01-0960</t>
  </si>
  <si>
    <t>TR-LINE-00960-1</t>
  </si>
  <si>
    <t>PAY-00961-1</t>
  </si>
  <si>
    <t>TX-S01-0961</t>
  </si>
  <si>
    <t>TR-LINE-00961-1</t>
  </si>
  <si>
    <t>PAY-00962-1</t>
  </si>
  <si>
    <t>TX-S01-0962</t>
  </si>
  <si>
    <t>TR-LINE-00962-1</t>
  </si>
  <si>
    <t>PAY-00963-1</t>
  </si>
  <si>
    <t>TX-S01-0963</t>
  </si>
  <si>
    <t>TR-LINE-00963-1</t>
  </si>
  <si>
    <t>PAY-00964-1</t>
  </si>
  <si>
    <t>TX-S01-0964</t>
  </si>
  <si>
    <t>TR-LINE-00964-1</t>
  </si>
  <si>
    <t>PAY-00964-2</t>
  </si>
  <si>
    <t>TR-LINE-00964-2</t>
  </si>
  <si>
    <t>PAY-00965-1</t>
  </si>
  <si>
    <t>TX-S01-0965</t>
  </si>
  <si>
    <t>TR-LINE-00965-1</t>
  </si>
  <si>
    <t>PAY-00965-2</t>
  </si>
  <si>
    <t>TR-LINE-00965-2</t>
  </si>
  <si>
    <t>PAY-00966-1</t>
  </si>
  <si>
    <t>TX-S01-0966</t>
  </si>
  <si>
    <t>TR-LINE-00966-1</t>
  </si>
  <si>
    <t>PAY-00967-1</t>
  </si>
  <si>
    <t>TX-S01-0967</t>
  </si>
  <si>
    <t>TR-LINE-00967-1</t>
  </si>
  <si>
    <t>PAY-00968-1</t>
  </si>
  <si>
    <t>TX-S01-0968</t>
  </si>
  <si>
    <t>TR-LINE-00968-1</t>
  </si>
  <si>
    <t>PAY-00968-2</t>
  </si>
  <si>
    <t>TR-LINE-00968-2</t>
  </si>
  <si>
    <t>PAY-00969-1</t>
  </si>
  <si>
    <t>TX-S01-0969</t>
  </si>
  <si>
    <t>TR-LINE-00969-1</t>
  </si>
  <si>
    <t>PAY-00970-1</t>
  </si>
  <si>
    <t>TX-S01-0970</t>
  </si>
  <si>
    <t>TR-LINE-00970-1</t>
  </si>
  <si>
    <t>PAY-00971-1</t>
  </si>
  <si>
    <t>TX-S01-0971</t>
  </si>
  <si>
    <t>TR-LINE-00971-1</t>
  </si>
  <si>
    <t>PAY-00972-1</t>
  </si>
  <si>
    <t>TX-S01-0972</t>
  </si>
  <si>
    <t>TR-LINE-00972-1</t>
  </si>
  <si>
    <t>PAY-00973-1</t>
  </si>
  <si>
    <t>TX-S01-0973</t>
  </si>
  <si>
    <t>TR-LINE-00973-1</t>
  </si>
  <si>
    <t>PAY-00974-1</t>
  </si>
  <si>
    <t>TX-S01-0974</t>
  </si>
  <si>
    <t>TR-LINE-00974-1</t>
  </si>
  <si>
    <t>PAY-00974-2</t>
  </si>
  <si>
    <t>TR-LINE-00974-2</t>
  </si>
  <si>
    <t>PAY-00975-1</t>
  </si>
  <si>
    <t>TX-S01-0975</t>
  </si>
  <si>
    <t>TR-LINE-00975-1</t>
  </si>
  <si>
    <t>PAY-00975-2</t>
  </si>
  <si>
    <t>TR-LINE-00975-2</t>
  </si>
  <si>
    <t>PAY-00976-1</t>
  </si>
  <si>
    <t>TX-S01-0976</t>
  </si>
  <si>
    <t>TR-LINE-00976-1</t>
  </si>
  <si>
    <t>PAY-00977-1</t>
  </si>
  <si>
    <t>TX-S01-0977</t>
  </si>
  <si>
    <t>TR-LINE-00977-1</t>
  </si>
  <si>
    <t>PAY-00978-1</t>
  </si>
  <si>
    <t>TX-S01-0978</t>
  </si>
  <si>
    <t>TR-LINE-00978-1</t>
  </si>
  <si>
    <t>PAY-00978-2</t>
  </si>
  <si>
    <t>TR-LINE-00978-2</t>
  </si>
  <si>
    <t>PAY-00979-1</t>
  </si>
  <si>
    <t>TX-S01-0979</t>
  </si>
  <si>
    <t>TR-LINE-00979-1</t>
  </si>
  <si>
    <t>PAY-00980-1</t>
  </si>
  <si>
    <t>TX-S01-0980</t>
  </si>
  <si>
    <t>TR-LINE-00980-1</t>
  </si>
  <si>
    <t>PAY-00981-1</t>
  </si>
  <si>
    <t>TX-S01-0981</t>
  </si>
  <si>
    <t>TR-LINE-00981-1</t>
  </si>
  <si>
    <t>PAY-00982-1</t>
  </si>
  <si>
    <t>TX-S01-0982</t>
  </si>
  <si>
    <t>TR-LINE-00982-1</t>
  </si>
  <si>
    <t>PAY-00983-1</t>
  </si>
  <si>
    <t>TX-S01-0983</t>
  </si>
  <si>
    <t>TR-LINE-00983-1</t>
  </si>
  <si>
    <t>PAY-00984-1</t>
  </si>
  <si>
    <t>TX-S01-0984</t>
  </si>
  <si>
    <t>TR-LINE-00984-1</t>
  </si>
  <si>
    <t>PAY-00985-1</t>
  </si>
  <si>
    <t>TX-S01-0985</t>
  </si>
  <si>
    <t>TR-LINE-00985-1</t>
  </si>
  <si>
    <t>PAY-00985-2</t>
  </si>
  <si>
    <t>TR-LINE-00985-2</t>
  </si>
  <si>
    <t>PAY-00986-1</t>
  </si>
  <si>
    <t>TX-S01-0986</t>
  </si>
  <si>
    <t>TR-LINE-00986-1</t>
  </si>
  <si>
    <t>PAY-00987-1</t>
  </si>
  <si>
    <t>TX-S01-0987</t>
  </si>
  <si>
    <t>TR-LINE-00987-1</t>
  </si>
  <si>
    <t>PAY-00988-1</t>
  </si>
  <si>
    <t>TX-S01-0988</t>
  </si>
  <si>
    <t>TR-LINE-00988-1</t>
  </si>
  <si>
    <t>PAY-00988-2</t>
  </si>
  <si>
    <t>TR-LINE-00988-2</t>
  </si>
  <si>
    <t>PAY-00989-1</t>
  </si>
  <si>
    <t>TX-S01-0989</t>
  </si>
  <si>
    <t>TR-LINE-00989-1</t>
  </si>
  <si>
    <t>PAY-00990-1</t>
  </si>
  <si>
    <t>TX-S01-0990</t>
  </si>
  <si>
    <t>TR-LINE-00990-1</t>
  </si>
  <si>
    <t>PAY-00991-1</t>
  </si>
  <si>
    <t>TX-S01-0991</t>
  </si>
  <si>
    <t>TR-LINE-00991-1</t>
  </si>
  <si>
    <t>PAY-00992-1</t>
  </si>
  <si>
    <t>TX-S01-0992</t>
  </si>
  <si>
    <t>TR-LINE-00992-1</t>
  </si>
  <si>
    <t>PAY-00993-1</t>
  </si>
  <si>
    <t>TX-S01-0993</t>
  </si>
  <si>
    <t>TR-LINE-00993-1</t>
  </si>
  <si>
    <t>PAY-00994-1</t>
  </si>
  <si>
    <t>TX-S01-0994</t>
  </si>
  <si>
    <t>TR-LINE-00994-1</t>
  </si>
  <si>
    <t>PAY-00994-2</t>
  </si>
  <si>
    <t>TR-LINE-00994-2</t>
  </si>
  <si>
    <t>PAY-00995-1</t>
  </si>
  <si>
    <t>TX-S01-0995</t>
  </si>
  <si>
    <t>TR-LINE-00995-1</t>
  </si>
  <si>
    <t>PAY-00995-2</t>
  </si>
  <si>
    <t>TR-LINE-00995-2</t>
  </si>
  <si>
    <t>PAY-00996-1</t>
  </si>
  <si>
    <t>TX-S01-0996</t>
  </si>
  <si>
    <t>TR-LINE-00996-1</t>
  </si>
  <si>
    <t>PAY-00997-1</t>
  </si>
  <si>
    <t>TX-S01-0997</t>
  </si>
  <si>
    <t>TR-LINE-00997-1</t>
  </si>
  <si>
    <t>PAY-00998-1</t>
  </si>
  <si>
    <t>TX-S01-0998</t>
  </si>
  <si>
    <t>TR-LINE-00998-1</t>
  </si>
  <si>
    <t>PAY-00998-2</t>
  </si>
  <si>
    <t>TR-LINE-00998-2</t>
  </si>
  <si>
    <t>PAY-00999-1</t>
  </si>
  <si>
    <t>TX-S01-0999</t>
  </si>
  <si>
    <t>TR-LINE-00999-1</t>
  </si>
  <si>
    <t>PAY-01000-1</t>
  </si>
  <si>
    <t>TX-S01-1000</t>
  </si>
  <si>
    <t>TR-LINE-01000-1</t>
  </si>
  <si>
    <t>PAY-01001-1</t>
  </si>
  <si>
    <t>TX-S02-0001</t>
  </si>
  <si>
    <t>TR-LINE-01001-1</t>
  </si>
  <si>
    <t>PAY-01002-1</t>
  </si>
  <si>
    <t>TX-S02-0002</t>
  </si>
  <si>
    <t>TR-LINE-01002-1</t>
  </si>
  <si>
    <t>PAY-01003-1</t>
  </si>
  <si>
    <t>TX-S02-0003</t>
  </si>
  <si>
    <t>TR-LINE-01003-1</t>
  </si>
  <si>
    <t>PAY-01004-1</t>
  </si>
  <si>
    <t>TX-S02-0004</t>
  </si>
  <si>
    <t>TR-LINE-01004-1</t>
  </si>
  <si>
    <t>PAY-01004-2</t>
  </si>
  <si>
    <t>TR-LINE-01004-2</t>
  </si>
  <si>
    <t>PAY-01005-1</t>
  </si>
  <si>
    <t>TX-S02-0005</t>
  </si>
  <si>
    <t>TR-LINE-01005-1</t>
  </si>
  <si>
    <t>PAY-01005-2</t>
  </si>
  <si>
    <t>TR-LINE-01005-2</t>
  </si>
  <si>
    <t>PAY-01006-1</t>
  </si>
  <si>
    <t>TX-S02-0006</t>
  </si>
  <si>
    <t>TR-LINE-01006-1</t>
  </si>
  <si>
    <t>PAY-01007-1</t>
  </si>
  <si>
    <t>TX-S02-0007</t>
  </si>
  <si>
    <t>TR-LINE-01007-1</t>
  </si>
  <si>
    <t>PAY-01008-1</t>
  </si>
  <si>
    <t>TX-S02-0008</t>
  </si>
  <si>
    <t>TR-LINE-01008-1</t>
  </si>
  <si>
    <t>PAY-01008-2</t>
  </si>
  <si>
    <t>TR-LINE-01008-2</t>
  </si>
  <si>
    <t>PAY-01009-1</t>
  </si>
  <si>
    <t>TX-S02-0009</t>
  </si>
  <si>
    <t>TR-LINE-01009-1</t>
  </si>
  <si>
    <t>PAY-01010-1</t>
  </si>
  <si>
    <t>TX-S02-0010</t>
  </si>
  <si>
    <t>TR-LINE-01010-1</t>
  </si>
  <si>
    <t>PAY-01011-1</t>
  </si>
  <si>
    <t>TX-S02-0011</t>
  </si>
  <si>
    <t>TR-LINE-01011-1</t>
  </si>
  <si>
    <t>PAY-01012-1</t>
  </si>
  <si>
    <t>TX-S02-0012</t>
  </si>
  <si>
    <t>TR-LINE-01012-1</t>
  </si>
  <si>
    <t>PAY-01013-1</t>
  </si>
  <si>
    <t>TX-S02-0013</t>
  </si>
  <si>
    <t>TR-LINE-01013-1</t>
  </si>
  <si>
    <t>PAY-01014-1</t>
  </si>
  <si>
    <t>TX-S02-0014</t>
  </si>
  <si>
    <t>TR-LINE-01014-1</t>
  </si>
  <si>
    <t>PAY-01014-2</t>
  </si>
  <si>
    <t>TR-LINE-01014-2</t>
  </si>
  <si>
    <t>PAY-01015-1</t>
  </si>
  <si>
    <t>TX-S02-0015</t>
  </si>
  <si>
    <t>TR-LINE-01015-1</t>
  </si>
  <si>
    <t>PAY-01015-2</t>
  </si>
  <si>
    <t>TR-LINE-01015-2</t>
  </si>
  <si>
    <t>PAY-01016-1</t>
  </si>
  <si>
    <t>TX-S02-0016</t>
  </si>
  <si>
    <t>TR-LINE-01016-1</t>
  </si>
  <si>
    <t>PAY-01017-1</t>
  </si>
  <si>
    <t>TX-S02-0017</t>
  </si>
  <si>
    <t>TR-LINE-01017-1</t>
  </si>
  <si>
    <t>PAY-01018-1</t>
  </si>
  <si>
    <t>TX-S02-0018</t>
  </si>
  <si>
    <t>TR-LINE-01018-1</t>
  </si>
  <si>
    <t>PAY-01018-2</t>
  </si>
  <si>
    <t>TR-LINE-01018-2</t>
  </si>
  <si>
    <t>PAY-01019-1</t>
  </si>
  <si>
    <t>TX-S02-0019</t>
  </si>
  <si>
    <t>TR-LINE-01019-1</t>
  </si>
  <si>
    <t>PAY-01020-1</t>
  </si>
  <si>
    <t>TX-S02-0020</t>
  </si>
  <si>
    <t>TR-LINE-01020-1</t>
  </si>
  <si>
    <t>PAY-01021-1</t>
  </si>
  <si>
    <t>TX-S02-0021</t>
  </si>
  <si>
    <t>TR-LINE-01021-1</t>
  </si>
  <si>
    <t>PAY-01022-1</t>
  </si>
  <si>
    <t>TX-S02-0022</t>
  </si>
  <si>
    <t>TR-LINE-01022-1</t>
  </si>
  <si>
    <t>PAY-01023-1</t>
  </si>
  <si>
    <t>TX-S02-0023</t>
  </si>
  <si>
    <t>TR-LINE-01023-1</t>
  </si>
  <si>
    <t>PAY-01024-1</t>
  </si>
  <si>
    <t>TX-S02-0024</t>
  </si>
  <si>
    <t>TR-LINE-01024-1</t>
  </si>
  <si>
    <t>PAY-01024-2</t>
  </si>
  <si>
    <t>TR-LINE-01024-2</t>
  </si>
  <si>
    <t>PAY-01025-1</t>
  </si>
  <si>
    <t>TX-S02-0025</t>
  </si>
  <si>
    <t>TR-LINE-01025-1</t>
  </si>
  <si>
    <t>PAY-01025-2</t>
  </si>
  <si>
    <t>TR-LINE-01025-2</t>
  </si>
  <si>
    <t>PAY-01026-1</t>
  </si>
  <si>
    <t>TX-S02-0026</t>
  </si>
  <si>
    <t>TR-LINE-01026-1</t>
  </si>
  <si>
    <t>PAY-01027-1</t>
  </si>
  <si>
    <t>TX-S02-0027</t>
  </si>
  <si>
    <t>TR-LINE-01027-1</t>
  </si>
  <si>
    <t>PAY-01028-1</t>
  </si>
  <si>
    <t>TX-S02-0028</t>
  </si>
  <si>
    <t>TR-LINE-01028-1</t>
  </si>
  <si>
    <t>PAY-01028-2</t>
  </si>
  <si>
    <t>TR-LINE-01028-2</t>
  </si>
  <si>
    <t>PAY-01029-1</t>
  </si>
  <si>
    <t>TX-S02-0029</t>
  </si>
  <si>
    <t>TR-LINE-01029-1</t>
  </si>
  <si>
    <t>PAY-01030-1</t>
  </si>
  <si>
    <t>TX-S02-0030</t>
  </si>
  <si>
    <t>TR-LINE-01030-1</t>
  </si>
  <si>
    <t>PAY-01031-1</t>
  </si>
  <si>
    <t>TX-S02-0031</t>
  </si>
  <si>
    <t>TR-LINE-01031-1</t>
  </si>
  <si>
    <t>PAY-01032-1</t>
  </si>
  <si>
    <t>TX-S02-0032</t>
  </si>
  <si>
    <t>TR-LINE-01032-1</t>
  </si>
  <si>
    <t>PAY-01033-1</t>
  </si>
  <si>
    <t>TX-S02-0033</t>
  </si>
  <si>
    <t>TR-LINE-01033-1</t>
  </si>
  <si>
    <t>PAY-01034-1</t>
  </si>
  <si>
    <t>TX-S02-0034</t>
  </si>
  <si>
    <t>TR-LINE-01034-1</t>
  </si>
  <si>
    <t>PAY-01034-2</t>
  </si>
  <si>
    <t>TR-LINE-01034-2</t>
  </si>
  <si>
    <t>PAY-01035-1</t>
  </si>
  <si>
    <t>TX-S02-0035</t>
  </si>
  <si>
    <t>TR-LINE-01035-1</t>
  </si>
  <si>
    <t>PAY-01035-2</t>
  </si>
  <si>
    <t>TR-LINE-01035-2</t>
  </si>
  <si>
    <t>PAY-01036-1</t>
  </si>
  <si>
    <t>TX-S02-0036</t>
  </si>
  <si>
    <t>TR-LINE-01036-1</t>
  </si>
  <si>
    <t>PAY-01037-1</t>
  </si>
  <si>
    <t>TX-S02-0037</t>
  </si>
  <si>
    <t>TR-LINE-01037-1</t>
  </si>
  <si>
    <t>PAY-01038-1</t>
  </si>
  <si>
    <t>TX-S02-0038</t>
  </si>
  <si>
    <t>TR-LINE-01038-1</t>
  </si>
  <si>
    <t>PAY-01038-2</t>
  </si>
  <si>
    <t>TR-LINE-01038-2</t>
  </si>
  <si>
    <t>PAY-01039-1</t>
  </si>
  <si>
    <t>TX-S02-0039</t>
  </si>
  <si>
    <t>TR-LINE-01039-1</t>
  </si>
  <si>
    <t>PAY-01040-1</t>
  </si>
  <si>
    <t>TX-S02-0040</t>
  </si>
  <si>
    <t>TR-LINE-01040-1</t>
  </si>
  <si>
    <t>PAY-01041-1</t>
  </si>
  <si>
    <t>TX-S02-0041</t>
  </si>
  <si>
    <t>TR-LINE-01041-1</t>
  </si>
  <si>
    <t>PAY-01042-1</t>
  </si>
  <si>
    <t>TX-S02-0042</t>
  </si>
  <si>
    <t>TR-LINE-01042-1</t>
  </si>
  <si>
    <t>PAY-01043-1</t>
  </si>
  <si>
    <t>TX-S02-0043</t>
  </si>
  <si>
    <t>TR-LINE-01043-1</t>
  </si>
  <si>
    <t>PAY-01044-1</t>
  </si>
  <si>
    <t>TX-S02-0044</t>
  </si>
  <si>
    <t>TR-LINE-01044-1</t>
  </si>
  <si>
    <t>PAY-01044-2</t>
  </si>
  <si>
    <t>TR-LINE-01044-2</t>
  </si>
  <si>
    <t>PAY-01045-1</t>
  </si>
  <si>
    <t>TX-S02-0045</t>
  </si>
  <si>
    <t>TR-LINE-01045-1</t>
  </si>
  <si>
    <t>PAY-01045-2</t>
  </si>
  <si>
    <t>TR-LINE-01045-2</t>
  </si>
  <si>
    <t>PAY-01046-1</t>
  </si>
  <si>
    <t>TX-S02-0046</t>
  </si>
  <si>
    <t>TR-LINE-01046-1</t>
  </si>
  <si>
    <t>PAY-01047-1</t>
  </si>
  <si>
    <t>TX-S02-0047</t>
  </si>
  <si>
    <t>TR-LINE-01047-1</t>
  </si>
  <si>
    <t>PAY-01048-1</t>
  </si>
  <si>
    <t>TX-S02-0048</t>
  </si>
  <si>
    <t>TR-LINE-01048-1</t>
  </si>
  <si>
    <t>PAY-01048-2</t>
  </si>
  <si>
    <t>TR-LINE-01048-2</t>
  </si>
  <si>
    <t>PAY-01049-1</t>
  </si>
  <si>
    <t>TX-S02-0049</t>
  </si>
  <si>
    <t>TR-LINE-01049-1</t>
  </si>
  <si>
    <t>PAY-01050-1</t>
  </si>
  <si>
    <t>TX-S02-0050</t>
  </si>
  <si>
    <t>TR-LINE-01050-1</t>
  </si>
  <si>
    <t>PAY-01051-1</t>
  </si>
  <si>
    <t>TX-S02-0051</t>
  </si>
  <si>
    <t>TR-LINE-01051-1</t>
  </si>
  <si>
    <t>PAY-01052-1</t>
  </si>
  <si>
    <t>TX-S02-0052</t>
  </si>
  <si>
    <t>TR-LINE-01052-1</t>
  </si>
  <si>
    <t>PAY-01053-1</t>
  </si>
  <si>
    <t>TX-S02-0053</t>
  </si>
  <si>
    <t>TR-LINE-01053-1</t>
  </si>
  <si>
    <t>PAY-01054-1</t>
  </si>
  <si>
    <t>TX-S02-0054</t>
  </si>
  <si>
    <t>TR-LINE-01054-1</t>
  </si>
  <si>
    <t>PAY-01054-2</t>
  </si>
  <si>
    <t>TR-LINE-01054-2</t>
  </si>
  <si>
    <t>PAY-01055-1</t>
  </si>
  <si>
    <t>TX-S02-0055</t>
  </si>
  <si>
    <t>TR-LINE-01055-1</t>
  </si>
  <si>
    <t>PAY-01055-2</t>
  </si>
  <si>
    <t>TR-LINE-01055-2</t>
  </si>
  <si>
    <t>PAY-01056-1</t>
  </si>
  <si>
    <t>TX-S02-0056</t>
  </si>
  <si>
    <t>TR-LINE-01056-1</t>
  </si>
  <si>
    <t>PAY-01057-1</t>
  </si>
  <si>
    <t>TX-S02-0057</t>
  </si>
  <si>
    <t>TR-LINE-01057-1</t>
  </si>
  <si>
    <t>PAY-01058-1</t>
  </si>
  <si>
    <t>TX-S02-0058</t>
  </si>
  <si>
    <t>TR-LINE-01058-1</t>
  </si>
  <si>
    <t>PAY-01058-2</t>
  </si>
  <si>
    <t>TR-LINE-01058-2</t>
  </si>
  <si>
    <t>PAY-01059-1</t>
  </si>
  <si>
    <t>TX-S02-0059</t>
  </si>
  <si>
    <t>TR-LINE-01059-1</t>
  </si>
  <si>
    <t>PAY-01060-1</t>
  </si>
  <si>
    <t>TX-S02-0060</t>
  </si>
  <si>
    <t>TR-LINE-01060-1</t>
  </si>
  <si>
    <t>PAY-01061-1</t>
  </si>
  <si>
    <t>TX-S02-0061</t>
  </si>
  <si>
    <t>TR-LINE-01061-1</t>
  </si>
  <si>
    <t>PAY-01062-1</t>
  </si>
  <si>
    <t>TX-S02-0062</t>
  </si>
  <si>
    <t>TR-LINE-01062-1</t>
  </si>
  <si>
    <t>PAY-01063-1</t>
  </si>
  <si>
    <t>TX-S02-0063</t>
  </si>
  <si>
    <t>TR-LINE-01063-1</t>
  </si>
  <si>
    <t>PAY-01064-1</t>
  </si>
  <si>
    <t>TX-S02-0064</t>
  </si>
  <si>
    <t>TR-LINE-01064-1</t>
  </si>
  <si>
    <t>PAY-01064-2</t>
  </si>
  <si>
    <t>TR-LINE-01064-2</t>
  </si>
  <si>
    <t>PAY-01065-1</t>
  </si>
  <si>
    <t>TX-S02-0065</t>
  </si>
  <si>
    <t>TR-LINE-01065-1</t>
  </si>
  <si>
    <t>PAY-01065-2</t>
  </si>
  <si>
    <t>TR-LINE-01065-2</t>
  </si>
  <si>
    <t>PAY-01066-1</t>
  </si>
  <si>
    <t>TX-S02-0066</t>
  </si>
  <si>
    <t>TR-LINE-01066-1</t>
  </si>
  <si>
    <t>PAY-01067-1</t>
  </si>
  <si>
    <t>TX-S02-0067</t>
  </si>
  <si>
    <t>TR-LINE-01067-1</t>
  </si>
  <si>
    <t>PAY-01068-1</t>
  </si>
  <si>
    <t>TX-S02-0068</t>
  </si>
  <si>
    <t>TR-LINE-01068-1</t>
  </si>
  <si>
    <t>PAY-01068-2</t>
  </si>
  <si>
    <t>TR-LINE-01068-2</t>
  </si>
  <si>
    <t>PAY-01069-1</t>
  </si>
  <si>
    <t>TX-S02-0069</t>
  </si>
  <si>
    <t>TR-LINE-01069-1</t>
  </si>
  <si>
    <t>PAY-01070-1</t>
  </si>
  <si>
    <t>TX-S02-0070</t>
  </si>
  <si>
    <t>TR-LINE-01070-1</t>
  </si>
  <si>
    <t>PAY-01071-1</t>
  </si>
  <si>
    <t>TX-S02-0071</t>
  </si>
  <si>
    <t>TR-LINE-01071-1</t>
  </si>
  <si>
    <t>PAY-01072-1</t>
  </si>
  <si>
    <t>TX-S02-0072</t>
  </si>
  <si>
    <t>TR-LINE-01072-1</t>
  </si>
  <si>
    <t>PAY-01073-1</t>
  </si>
  <si>
    <t>TX-S02-0073</t>
  </si>
  <si>
    <t>TR-LINE-01073-1</t>
  </si>
  <si>
    <t>PAY-01074-1</t>
  </si>
  <si>
    <t>TX-S02-0074</t>
  </si>
  <si>
    <t>TR-LINE-01074-1</t>
  </si>
  <si>
    <t>PAY-01074-2</t>
  </si>
  <si>
    <t>TR-LINE-01074-2</t>
  </si>
  <si>
    <t>PAY-01075-1</t>
  </si>
  <si>
    <t>TX-S02-0075</t>
  </si>
  <si>
    <t>TR-LINE-01075-1</t>
  </si>
  <si>
    <t>PAY-01075-2</t>
  </si>
  <si>
    <t>TR-LINE-01075-2</t>
  </si>
  <si>
    <t>PAY-01076-1</t>
  </si>
  <si>
    <t>TX-S02-0076</t>
  </si>
  <si>
    <t>TR-LINE-01076-1</t>
  </si>
  <si>
    <t>PAY-01077-1</t>
  </si>
  <si>
    <t>TX-S02-0077</t>
  </si>
  <si>
    <t>TR-LINE-01077-1</t>
  </si>
  <si>
    <t>PAY-01078-1</t>
  </si>
  <si>
    <t>TX-S02-0078</t>
  </si>
  <si>
    <t>TR-LINE-01078-1</t>
  </si>
  <si>
    <t>PAY-01078-2</t>
  </si>
  <si>
    <t>TR-LINE-01078-2</t>
  </si>
  <si>
    <t>PAY-01079-1</t>
  </si>
  <si>
    <t>TX-S02-0079</t>
  </si>
  <si>
    <t>TR-LINE-01079-1</t>
  </si>
  <si>
    <t>PAY-01080-1</t>
  </si>
  <si>
    <t>TX-S02-0080</t>
  </si>
  <si>
    <t>TR-LINE-01080-1</t>
  </si>
  <si>
    <t>PAY-01081-1</t>
  </si>
  <si>
    <t>TX-S02-0081</t>
  </si>
  <si>
    <t>TR-LINE-01081-1</t>
  </si>
  <si>
    <t>PAY-01082-1</t>
  </si>
  <si>
    <t>TX-S02-0082</t>
  </si>
  <si>
    <t>TR-LINE-01082-1</t>
  </si>
  <si>
    <t>PAY-01083-1</t>
  </si>
  <si>
    <t>TX-S02-0083</t>
  </si>
  <si>
    <t>TR-LINE-01083-1</t>
  </si>
  <si>
    <t>PAY-01084-1</t>
  </si>
  <si>
    <t>TX-S02-0084</t>
  </si>
  <si>
    <t>TR-LINE-01084-1</t>
  </si>
  <si>
    <t>PAY-01084-2</t>
  </si>
  <si>
    <t>TR-LINE-01084-2</t>
  </si>
  <si>
    <t>PAY-01085-1</t>
  </si>
  <si>
    <t>TX-S02-0085</t>
  </si>
  <si>
    <t>TR-LINE-01085-1</t>
  </si>
  <si>
    <t>PAY-01085-2</t>
  </si>
  <si>
    <t>TR-LINE-01085-2</t>
  </si>
  <si>
    <t>PAY-01086-1</t>
  </si>
  <si>
    <t>TX-S02-0086</t>
  </si>
  <si>
    <t>TR-LINE-01086-1</t>
  </si>
  <si>
    <t>PAY-01087-1</t>
  </si>
  <si>
    <t>TX-S02-0087</t>
  </si>
  <si>
    <t>TR-LINE-01087-1</t>
  </si>
  <si>
    <t>PAY-01088-1</t>
  </si>
  <si>
    <t>TX-S02-0088</t>
  </si>
  <si>
    <t>TR-LINE-01088-1</t>
  </si>
  <si>
    <t>PAY-01088-2</t>
  </si>
  <si>
    <t>TR-LINE-01088-2</t>
  </si>
  <si>
    <t>PAY-01089-1</t>
  </si>
  <si>
    <t>TX-S02-0089</t>
  </si>
  <si>
    <t>TR-LINE-01089-1</t>
  </si>
  <si>
    <t>PAY-01090-1</t>
  </si>
  <si>
    <t>TX-S02-0090</t>
  </si>
  <si>
    <t>TR-LINE-01090-1</t>
  </si>
  <si>
    <t>PAY-01091-1</t>
  </si>
  <si>
    <t>TX-S02-0091</t>
  </si>
  <si>
    <t>TR-LINE-01091-1</t>
  </si>
  <si>
    <t>PAY-01092-1</t>
  </si>
  <si>
    <t>TX-S02-0092</t>
  </si>
  <si>
    <t>TR-LINE-01092-1</t>
  </si>
  <si>
    <t>PAY-01093-1</t>
  </si>
  <si>
    <t>TX-S02-0093</t>
  </si>
  <si>
    <t>TR-LINE-01093-1</t>
  </si>
  <si>
    <t>PAY-01094-1</t>
  </si>
  <si>
    <t>TX-S02-0094</t>
  </si>
  <si>
    <t>TR-LINE-01094-1</t>
  </si>
  <si>
    <t>PAY-01094-2</t>
  </si>
  <si>
    <t>TR-LINE-01094-2</t>
  </si>
  <si>
    <t>PAY-01095-1</t>
  </si>
  <si>
    <t>TX-S02-0095</t>
  </si>
  <si>
    <t>TR-LINE-01095-1</t>
  </si>
  <si>
    <t>PAY-01095-2</t>
  </si>
  <si>
    <t>TR-LINE-01095-2</t>
  </si>
  <si>
    <t>PAY-01096-1</t>
  </si>
  <si>
    <t>TX-S02-0096</t>
  </si>
  <si>
    <t>TR-LINE-01096-1</t>
  </si>
  <si>
    <t>PAY-01097-1</t>
  </si>
  <si>
    <t>TX-S02-0097</t>
  </si>
  <si>
    <t>TR-LINE-01097-1</t>
  </si>
  <si>
    <t>PAY-01098-1</t>
  </si>
  <si>
    <t>TX-S02-0098</t>
  </si>
  <si>
    <t>TR-LINE-01098-1</t>
  </si>
  <si>
    <t>PAY-01098-2</t>
  </si>
  <si>
    <t>TR-LINE-01098-2</t>
  </si>
  <si>
    <t>PAY-01099-1</t>
  </si>
  <si>
    <t>TX-S02-0099</t>
  </si>
  <si>
    <t>TR-LINE-01099-1</t>
  </si>
  <si>
    <t>PAY-01100-1</t>
  </si>
  <si>
    <t>TX-S02-0100</t>
  </si>
  <si>
    <t>TR-LINE-01100-1</t>
  </si>
  <si>
    <t>PAY-01101-1</t>
  </si>
  <si>
    <t>TX-S02-0101</t>
  </si>
  <si>
    <t>TR-LINE-01101-1</t>
  </si>
  <si>
    <t>PAY-01102-1</t>
  </si>
  <si>
    <t>TX-S02-0102</t>
  </si>
  <si>
    <t>TR-LINE-01102-1</t>
  </si>
  <si>
    <t>PAY-01103-1</t>
  </si>
  <si>
    <t>TX-S02-0103</t>
  </si>
  <si>
    <t>TR-LINE-01103-1</t>
  </si>
  <si>
    <t>PAY-01104-1</t>
  </si>
  <si>
    <t>TX-S02-0104</t>
  </si>
  <si>
    <t>TR-LINE-01104-1</t>
  </si>
  <si>
    <t>PAY-01104-2</t>
  </si>
  <si>
    <t>TR-LINE-01104-2</t>
  </si>
  <si>
    <t>PAY-01105-1</t>
  </si>
  <si>
    <t>TX-S02-0105</t>
  </si>
  <si>
    <t>TR-LINE-01105-1</t>
  </si>
  <si>
    <t>PAY-01105-2</t>
  </si>
  <si>
    <t>TR-LINE-01105-2</t>
  </si>
  <si>
    <t>PAY-01106-1</t>
  </si>
  <si>
    <t>TX-S02-0106</t>
  </si>
  <si>
    <t>TR-LINE-01106-1</t>
  </si>
  <si>
    <t>PAY-01107-1</t>
  </si>
  <si>
    <t>TX-S02-0107</t>
  </si>
  <si>
    <t>TR-LINE-01107-1</t>
  </si>
  <si>
    <t>PAY-01108-1</t>
  </si>
  <si>
    <t>TX-S02-0108</t>
  </si>
  <si>
    <t>TR-LINE-01108-1</t>
  </si>
  <si>
    <t>PAY-01108-2</t>
  </si>
  <si>
    <t>TR-LINE-01108-2</t>
  </si>
  <si>
    <t>PAY-01109-1</t>
  </si>
  <si>
    <t>TX-S02-0109</t>
  </si>
  <si>
    <t>TR-LINE-01109-1</t>
  </si>
  <si>
    <t>PAY-01110-1</t>
  </si>
  <si>
    <t>TX-S02-0110</t>
  </si>
  <si>
    <t>TR-LINE-01110-1</t>
  </si>
  <si>
    <t>PAY-01111-1</t>
  </si>
  <si>
    <t>TX-S02-0111</t>
  </si>
  <si>
    <t>TR-LINE-01111-1</t>
  </si>
  <si>
    <t>PAY-01112-1</t>
  </si>
  <si>
    <t>TX-S02-0112</t>
  </si>
  <si>
    <t>TR-LINE-01112-1</t>
  </si>
  <si>
    <t>PAY-01113-1</t>
  </si>
  <si>
    <t>TX-S02-0113</t>
  </si>
  <si>
    <t>TR-LINE-01113-1</t>
  </si>
  <si>
    <t>PAY-01114-1</t>
  </si>
  <si>
    <t>TX-S02-0114</t>
  </si>
  <si>
    <t>TR-LINE-01114-1</t>
  </si>
  <si>
    <t>PAY-01114-2</t>
  </si>
  <si>
    <t>TR-LINE-01114-2</t>
  </si>
  <si>
    <t>PAY-01115-1</t>
  </si>
  <si>
    <t>TX-S02-0115</t>
  </si>
  <si>
    <t>TR-LINE-01115-1</t>
  </si>
  <si>
    <t>PAY-01115-2</t>
  </si>
  <si>
    <t>TR-LINE-01115-2</t>
  </si>
  <si>
    <t>PAY-01116-1</t>
  </si>
  <si>
    <t>TX-S02-0116</t>
  </si>
  <si>
    <t>TR-LINE-01116-1</t>
  </si>
  <si>
    <t>PAY-01117-1</t>
  </si>
  <si>
    <t>TX-S02-0117</t>
  </si>
  <si>
    <t>TR-LINE-01117-1</t>
  </si>
  <si>
    <t>PAY-01118-1</t>
  </si>
  <si>
    <t>TX-S02-0118</t>
  </si>
  <si>
    <t>TR-LINE-01118-1</t>
  </si>
  <si>
    <t>PAY-01118-2</t>
  </si>
  <si>
    <t>TR-LINE-01118-2</t>
  </si>
  <si>
    <t>PAY-01119-1</t>
  </si>
  <si>
    <t>TX-S02-0119</t>
  </si>
  <si>
    <t>TR-LINE-01119-1</t>
  </si>
  <si>
    <t>PAY-01120-1</t>
  </si>
  <si>
    <t>TX-S02-0120</t>
  </si>
  <si>
    <t>TR-LINE-01120-1</t>
  </si>
  <si>
    <t>PAY-01121-1</t>
  </si>
  <si>
    <t>TX-S02-0121</t>
  </si>
  <si>
    <t>TR-LINE-01121-1</t>
  </si>
  <si>
    <t>PAY-01122-1</t>
  </si>
  <si>
    <t>TX-S02-0122</t>
  </si>
  <si>
    <t>TR-LINE-01122-1</t>
  </si>
  <si>
    <t>PAY-01123-1</t>
  </si>
  <si>
    <t>TX-S02-0123</t>
  </si>
  <si>
    <t>TR-LINE-01123-1</t>
  </si>
  <si>
    <t>PAY-01124-1</t>
  </si>
  <si>
    <t>TX-S02-0124</t>
  </si>
  <si>
    <t>TR-LINE-01124-1</t>
  </si>
  <si>
    <t>PAY-01124-2</t>
  </si>
  <si>
    <t>TR-LINE-01124-2</t>
  </si>
  <si>
    <t>PAY-01125-1</t>
  </si>
  <si>
    <t>TX-S02-0125</t>
  </si>
  <si>
    <t>TR-LINE-01125-1</t>
  </si>
  <si>
    <t>PAY-01125-2</t>
  </si>
  <si>
    <t>TR-LINE-01125-2</t>
  </si>
  <si>
    <t>PAY-01126-1</t>
  </si>
  <si>
    <t>TX-S02-0126</t>
  </si>
  <si>
    <t>TR-LINE-01126-1</t>
  </si>
  <si>
    <t>PAY-01127-1</t>
  </si>
  <si>
    <t>TX-S02-0127</t>
  </si>
  <si>
    <t>TR-LINE-01127-1</t>
  </si>
  <si>
    <t>PAY-01128-1</t>
  </si>
  <si>
    <t>TX-S02-0128</t>
  </si>
  <si>
    <t>TR-LINE-01128-1</t>
  </si>
  <si>
    <t>PAY-01128-2</t>
  </si>
  <si>
    <t>TR-LINE-01128-2</t>
  </si>
  <si>
    <t>PAY-01129-1</t>
  </si>
  <si>
    <t>TX-S02-0129</t>
  </si>
  <si>
    <t>TR-LINE-01129-1</t>
  </si>
  <si>
    <t>PAY-01130-1</t>
  </si>
  <si>
    <t>TX-S02-0130</t>
  </si>
  <si>
    <t>TR-LINE-01130-1</t>
  </si>
  <si>
    <t>PAY-01131-1</t>
  </si>
  <si>
    <t>TX-S02-0131</t>
  </si>
  <si>
    <t>TR-LINE-01131-1</t>
  </si>
  <si>
    <t>PAY-01132-1</t>
  </si>
  <si>
    <t>TX-S02-0132</t>
  </si>
  <si>
    <t>TR-LINE-01132-1</t>
  </si>
  <si>
    <t>PAY-01133-1</t>
  </si>
  <si>
    <t>TX-S02-0133</t>
  </si>
  <si>
    <t>TR-LINE-01133-1</t>
  </si>
  <si>
    <t>PAY-01134-1</t>
  </si>
  <si>
    <t>TX-S02-0134</t>
  </si>
  <si>
    <t>TR-LINE-01134-1</t>
  </si>
  <si>
    <t>PAY-01134-2</t>
  </si>
  <si>
    <t>TR-LINE-01134-2</t>
  </si>
  <si>
    <t>PAY-01135-1</t>
  </si>
  <si>
    <t>TX-S02-0135</t>
  </si>
  <si>
    <t>TR-LINE-01135-1</t>
  </si>
  <si>
    <t>PAY-01135-2</t>
  </si>
  <si>
    <t>TR-LINE-01135-2</t>
  </si>
  <si>
    <t>PAY-01136-1</t>
  </si>
  <si>
    <t>TX-S02-0136</t>
  </si>
  <si>
    <t>TR-LINE-01136-1</t>
  </si>
  <si>
    <t>PAY-01137-1</t>
  </si>
  <si>
    <t>TX-S02-0137</t>
  </si>
  <si>
    <t>TR-LINE-01137-1</t>
  </si>
  <si>
    <t>PAY-01138-1</t>
  </si>
  <si>
    <t>TX-S02-0138</t>
  </si>
  <si>
    <t>TR-LINE-01138-1</t>
  </si>
  <si>
    <t>PAY-01138-2</t>
  </si>
  <si>
    <t>TR-LINE-01138-2</t>
  </si>
  <si>
    <t>PAY-01139-1</t>
  </si>
  <si>
    <t>TX-S02-0139</t>
  </si>
  <si>
    <t>TR-LINE-01139-1</t>
  </si>
  <si>
    <t>PAY-01140-1</t>
  </si>
  <si>
    <t>TX-S02-0140</t>
  </si>
  <si>
    <t>TR-LINE-01140-1</t>
  </si>
  <si>
    <t>PAY-01141-1</t>
  </si>
  <si>
    <t>TX-S02-0141</t>
  </si>
  <si>
    <t>TR-LINE-01141-1</t>
  </si>
  <si>
    <t>PAY-01142-1</t>
  </si>
  <si>
    <t>TX-S02-0142</t>
  </si>
  <si>
    <t>TR-LINE-01142-1</t>
  </si>
  <si>
    <t>PAY-01143-1</t>
  </si>
  <si>
    <t>TX-S02-0143</t>
  </si>
  <si>
    <t>TR-LINE-01143-1</t>
  </si>
  <si>
    <t>PAY-01144-1</t>
  </si>
  <si>
    <t>TX-S02-0144</t>
  </si>
  <si>
    <t>TR-LINE-01144-1</t>
  </si>
  <si>
    <t>PAY-01144-2</t>
  </si>
  <si>
    <t>TR-LINE-01144-2</t>
  </si>
  <si>
    <t>PAY-01145-1</t>
  </si>
  <si>
    <t>TX-S02-0145</t>
  </si>
  <si>
    <t>TR-LINE-01145-1</t>
  </si>
  <si>
    <t>PAY-01145-2</t>
  </si>
  <si>
    <t>TR-LINE-01145-2</t>
  </si>
  <si>
    <t>PAY-01146-1</t>
  </si>
  <si>
    <t>TX-S02-0146</t>
  </si>
  <si>
    <t>TR-LINE-01146-1</t>
  </si>
  <si>
    <t>PAY-01147-1</t>
  </si>
  <si>
    <t>TX-S02-0147</t>
  </si>
  <si>
    <t>TR-LINE-01147-1</t>
  </si>
  <si>
    <t>PAY-01148-1</t>
  </si>
  <si>
    <t>TX-S02-0148</t>
  </si>
  <si>
    <t>TR-LINE-01148-1</t>
  </si>
  <si>
    <t>PAY-01148-2</t>
  </si>
  <si>
    <t>TR-LINE-01148-2</t>
  </si>
  <si>
    <t>PAY-01149-1</t>
  </si>
  <si>
    <t>TX-S02-0149</t>
  </si>
  <si>
    <t>TR-LINE-01149-1</t>
  </si>
  <si>
    <t>PAY-01150-1</t>
  </si>
  <si>
    <t>TX-S02-0150</t>
  </si>
  <si>
    <t>TR-LINE-01150-1</t>
  </si>
  <si>
    <t>PAY-01151-1</t>
  </si>
  <si>
    <t>TX-S02-0151</t>
  </si>
  <si>
    <t>TR-LINE-01151-1</t>
  </si>
  <si>
    <t>PAY-01152-1</t>
  </si>
  <si>
    <t>TX-S02-0152</t>
  </si>
  <si>
    <t>TR-LINE-01152-1</t>
  </si>
  <si>
    <t>PAY-01153-1</t>
  </si>
  <si>
    <t>TX-S02-0153</t>
  </si>
  <si>
    <t>TR-LINE-01153-1</t>
  </si>
  <si>
    <t>PAY-01154-1</t>
  </si>
  <si>
    <t>TX-S02-0154</t>
  </si>
  <si>
    <t>TR-LINE-01154-1</t>
  </si>
  <si>
    <t>PAY-01154-2</t>
  </si>
  <si>
    <t>TR-LINE-01154-2</t>
  </si>
  <si>
    <t>PAY-01155-1</t>
  </si>
  <si>
    <t>TX-S02-0155</t>
  </si>
  <si>
    <t>TR-LINE-01155-1</t>
  </si>
  <si>
    <t>PAY-01155-2</t>
  </si>
  <si>
    <t>TR-LINE-01155-2</t>
  </si>
  <si>
    <t>PAY-01156-1</t>
  </si>
  <si>
    <t>TX-S02-0156</t>
  </si>
  <si>
    <t>TR-LINE-01156-1</t>
  </si>
  <si>
    <t>PAY-01157-1</t>
  </si>
  <si>
    <t>TX-S02-0157</t>
  </si>
  <si>
    <t>TR-LINE-01157-1</t>
  </si>
  <si>
    <t>PAY-01158-1</t>
  </si>
  <si>
    <t>TX-S02-0158</t>
  </si>
  <si>
    <t>TR-LINE-01158-1</t>
  </si>
  <si>
    <t>PAY-01158-2</t>
  </si>
  <si>
    <t>TR-LINE-01158-2</t>
  </si>
  <si>
    <t>PAY-01159-1</t>
  </si>
  <si>
    <t>TX-S02-0159</t>
  </si>
  <si>
    <t>TR-LINE-01159-1</t>
  </si>
  <si>
    <t>PAY-01160-1</t>
  </si>
  <si>
    <t>TX-S02-0160</t>
  </si>
  <si>
    <t>TR-LINE-01160-1</t>
  </si>
  <si>
    <t>PAY-01161-1</t>
  </si>
  <si>
    <t>TX-S02-0161</t>
  </si>
  <si>
    <t>TR-LINE-01161-1</t>
  </si>
  <si>
    <t>PAY-01162-1</t>
  </si>
  <si>
    <t>TX-S02-0162</t>
  </si>
  <si>
    <t>TR-LINE-01162-1</t>
  </si>
  <si>
    <t>PAY-01163-1</t>
  </si>
  <si>
    <t>TX-S02-0163</t>
  </si>
  <si>
    <t>TR-LINE-01163-1</t>
  </si>
  <si>
    <t>PAY-01164-1</t>
  </si>
  <si>
    <t>TX-S02-0164</t>
  </si>
  <si>
    <t>TR-LINE-01164-1</t>
  </si>
  <si>
    <t>PAY-01165-1</t>
  </si>
  <si>
    <t>TX-S02-0165</t>
  </si>
  <si>
    <t>TR-LINE-01165-1</t>
  </si>
  <si>
    <t>PAY-01165-2</t>
  </si>
  <si>
    <t>TR-LINE-01165-2</t>
  </si>
  <si>
    <t>PAY-01166-1</t>
  </si>
  <si>
    <t>TX-S02-0166</t>
  </si>
  <si>
    <t>TR-LINE-01166-1</t>
  </si>
  <si>
    <t>PAY-01167-1</t>
  </si>
  <si>
    <t>TX-S02-0167</t>
  </si>
  <si>
    <t>TR-LINE-01167-1</t>
  </si>
  <si>
    <t>PAY-01168-1</t>
  </si>
  <si>
    <t>TX-S02-0168</t>
  </si>
  <si>
    <t>TR-LINE-01168-1</t>
  </si>
  <si>
    <t>PAY-01168-2</t>
  </si>
  <si>
    <t>TR-LINE-01168-2</t>
  </si>
  <si>
    <t>PAY-01169-1</t>
  </si>
  <si>
    <t>TX-S02-0169</t>
  </si>
  <si>
    <t>TR-LINE-01169-1</t>
  </si>
  <si>
    <t>PAY-01170-1</t>
  </si>
  <si>
    <t>TX-S02-0170</t>
  </si>
  <si>
    <t>TR-LINE-01170-1</t>
  </si>
  <si>
    <t>PAY-01171-1</t>
  </si>
  <si>
    <t>TX-S02-0171</t>
  </si>
  <si>
    <t>TR-LINE-01171-1</t>
  </si>
  <si>
    <t>PAY-01172-1</t>
  </si>
  <si>
    <t>TX-S02-0172</t>
  </si>
  <si>
    <t>TR-LINE-01172-1</t>
  </si>
  <si>
    <t>PAY-01173-1</t>
  </si>
  <si>
    <t>TX-S02-0173</t>
  </si>
  <si>
    <t>TR-LINE-01173-1</t>
  </si>
  <si>
    <t>PAY-01174-1</t>
  </si>
  <si>
    <t>TX-S02-0174</t>
  </si>
  <si>
    <t>TR-LINE-01174-1</t>
  </si>
  <si>
    <t>PAY-01174-2</t>
  </si>
  <si>
    <t>TR-LINE-01174-2</t>
  </si>
  <si>
    <t>PAY-01175-1</t>
  </si>
  <si>
    <t>TX-S02-0175</t>
  </si>
  <si>
    <t>TR-LINE-01175-1</t>
  </si>
  <si>
    <t>PAY-01175-2</t>
  </si>
  <si>
    <t>TR-LINE-01175-2</t>
  </si>
  <si>
    <t>PAY-01176-1</t>
  </si>
  <si>
    <t>TX-S02-0176</t>
  </si>
  <si>
    <t>TR-LINE-01176-1</t>
  </si>
  <si>
    <t>PAY-01177-1</t>
  </si>
  <si>
    <t>TX-S02-0177</t>
  </si>
  <si>
    <t>TR-LINE-01177-1</t>
  </si>
  <si>
    <t>PAY-01178-1</t>
  </si>
  <si>
    <t>TX-S02-0178</t>
  </si>
  <si>
    <t>TR-LINE-01178-1</t>
  </si>
  <si>
    <t>PAY-01178-2</t>
  </si>
  <si>
    <t>TR-LINE-01178-2</t>
  </si>
  <si>
    <t>PAY-01179-1</t>
  </si>
  <si>
    <t>TX-S02-0179</t>
  </si>
  <si>
    <t>TR-LINE-01179-1</t>
  </si>
  <si>
    <t>PAY-01180-1</t>
  </si>
  <si>
    <t>TX-S02-0180</t>
  </si>
  <si>
    <t>TR-LINE-01180-1</t>
  </si>
  <si>
    <t>PAY-01181-1</t>
  </si>
  <si>
    <t>TX-S02-0181</t>
  </si>
  <si>
    <t>TR-LINE-01181-1</t>
  </si>
  <si>
    <t>PAY-01182-1</t>
  </si>
  <si>
    <t>TX-S02-0182</t>
  </si>
  <si>
    <t>TR-LINE-01182-1</t>
  </si>
  <si>
    <t>PAY-01183-1</t>
  </si>
  <si>
    <t>TX-S02-0183</t>
  </si>
  <si>
    <t>TR-LINE-01183-1</t>
  </si>
  <si>
    <t>PAY-01184-1</t>
  </si>
  <si>
    <t>TX-S02-0184</t>
  </si>
  <si>
    <t>TR-LINE-01184-1</t>
  </si>
  <si>
    <t>PAY-01184-2</t>
  </si>
  <si>
    <t>TR-LINE-01184-2</t>
  </si>
  <si>
    <t>PAY-01185-1</t>
  </si>
  <si>
    <t>TX-S02-0185</t>
  </si>
  <si>
    <t>TR-LINE-01185-1</t>
  </si>
  <si>
    <t>PAY-01185-2</t>
  </si>
  <si>
    <t>TR-LINE-01185-2</t>
  </si>
  <si>
    <t>PAY-01186-1</t>
  </si>
  <si>
    <t>TX-S02-0186</t>
  </si>
  <si>
    <t>TR-LINE-01186-1</t>
  </si>
  <si>
    <t>PAY-01187-1</t>
  </si>
  <si>
    <t>TX-S02-0187</t>
  </si>
  <si>
    <t>TR-LINE-01187-1</t>
  </si>
  <si>
    <t>PAY-01188-1</t>
  </si>
  <si>
    <t>TX-S02-0188</t>
  </si>
  <si>
    <t>TR-LINE-01188-1</t>
  </si>
  <si>
    <t>PAY-01188-2</t>
  </si>
  <si>
    <t>TR-LINE-01188-2</t>
  </si>
  <si>
    <t>PAY-01189-1</t>
  </si>
  <si>
    <t>TX-S02-0189</t>
  </si>
  <si>
    <t>TR-LINE-01189-1</t>
  </si>
  <si>
    <t>PAY-01190-1</t>
  </si>
  <si>
    <t>TX-S02-0190</t>
  </si>
  <si>
    <t>TR-LINE-01190-1</t>
  </si>
  <si>
    <t>PAY-01191-1</t>
  </si>
  <si>
    <t>TX-S02-0191</t>
  </si>
  <si>
    <t>TR-LINE-01191-1</t>
  </si>
  <si>
    <t>PAY-01192-1</t>
  </si>
  <si>
    <t>TX-S02-0192</t>
  </si>
  <si>
    <t>TR-LINE-01192-1</t>
  </si>
  <si>
    <t>PAY-01193-1</t>
  </si>
  <si>
    <t>TX-S02-0193</t>
  </si>
  <si>
    <t>TR-LINE-01193-1</t>
  </si>
  <si>
    <t>PAY-01194-1</t>
  </si>
  <si>
    <t>TX-S02-0194</t>
  </si>
  <si>
    <t>TR-LINE-01194-1</t>
  </si>
  <si>
    <t>PAY-01194-2</t>
  </si>
  <si>
    <t>TR-LINE-01194-2</t>
  </si>
  <si>
    <t>PAY-01195-1</t>
  </si>
  <si>
    <t>TX-S02-0195</t>
  </si>
  <si>
    <t>TR-LINE-01195-1</t>
  </si>
  <si>
    <t>PAY-01195-2</t>
  </si>
  <si>
    <t>TR-LINE-01195-2</t>
  </si>
  <si>
    <t>PAY-01196-1</t>
  </si>
  <si>
    <t>TX-S02-0196</t>
  </si>
  <si>
    <t>TR-LINE-01196-1</t>
  </si>
  <si>
    <t>PAY-01197-1</t>
  </si>
  <si>
    <t>TX-S02-0197</t>
  </si>
  <si>
    <t>TR-LINE-01197-1</t>
  </si>
  <si>
    <t>PAY-01198-1</t>
  </si>
  <si>
    <t>TX-S02-0198</t>
  </si>
  <si>
    <t>TR-LINE-01198-1</t>
  </si>
  <si>
    <t>PAY-01198-2</t>
  </si>
  <si>
    <t>TR-LINE-01198-2</t>
  </si>
  <si>
    <t>PAY-01199-1</t>
  </si>
  <si>
    <t>TX-S02-0199</t>
  </si>
  <si>
    <t>TR-LINE-01199-1</t>
  </si>
  <si>
    <t>PAY-01200-1</t>
  </si>
  <si>
    <t>TX-S02-0200</t>
  </si>
  <si>
    <t>TR-LINE-01200-1</t>
  </si>
  <si>
    <t>PAY-01201-1</t>
  </si>
  <si>
    <t>TX-S02-0201</t>
  </si>
  <si>
    <t>TR-LINE-01201-1</t>
  </si>
  <si>
    <t>PAY-01202-1</t>
  </si>
  <si>
    <t>TX-S02-0202</t>
  </si>
  <si>
    <t>TR-LINE-01202-1</t>
  </si>
  <si>
    <t>PAY-01203-1</t>
  </si>
  <si>
    <t>TX-S02-0203</t>
  </si>
  <si>
    <t>TR-LINE-01203-1</t>
  </si>
  <si>
    <t>PAY-01204-1</t>
  </si>
  <si>
    <t>TX-S02-0204</t>
  </si>
  <si>
    <t>TR-LINE-01204-1</t>
  </si>
  <si>
    <t>PAY-01204-2</t>
  </si>
  <si>
    <t>TR-LINE-01204-2</t>
  </si>
  <si>
    <t>PAY-01205-1</t>
  </si>
  <si>
    <t>TX-S02-0205</t>
  </si>
  <si>
    <t>TR-LINE-01205-1</t>
  </si>
  <si>
    <t>PAY-01206-1</t>
  </si>
  <si>
    <t>TX-S02-0206</t>
  </si>
  <si>
    <t>TR-LINE-01206-1</t>
  </si>
  <si>
    <t>PAY-01207-1</t>
  </si>
  <si>
    <t>TX-S02-0207</t>
  </si>
  <si>
    <t>TR-LINE-01207-1</t>
  </si>
  <si>
    <t>PAY-01208-1</t>
  </si>
  <si>
    <t>TX-S02-0208</t>
  </si>
  <si>
    <t>TR-LINE-01208-1</t>
  </si>
  <si>
    <t>PAY-01208-2</t>
  </si>
  <si>
    <t>TR-LINE-01208-2</t>
  </si>
  <si>
    <t>PAY-01209-1</t>
  </si>
  <si>
    <t>TX-S02-0209</t>
  </si>
  <si>
    <t>TR-LINE-01209-1</t>
  </si>
  <si>
    <t>PAY-01210-1</t>
  </si>
  <si>
    <t>TX-S02-0210</t>
  </si>
  <si>
    <t>TR-LINE-01210-1</t>
  </si>
  <si>
    <t>PAY-01211-1</t>
  </si>
  <si>
    <t>TX-S02-0211</t>
  </si>
  <si>
    <t>TR-LINE-01211-1</t>
  </si>
  <si>
    <t>PAY-01212-1</t>
  </si>
  <si>
    <t>TX-S02-0212</t>
  </si>
  <si>
    <t>TR-LINE-01212-1</t>
  </si>
  <si>
    <t>PAY-01213-1</t>
  </si>
  <si>
    <t>TX-S02-0213</t>
  </si>
  <si>
    <t>TR-LINE-01213-1</t>
  </si>
  <si>
    <t>PAY-01214-1</t>
  </si>
  <si>
    <t>TX-S02-0214</t>
  </si>
  <si>
    <t>TR-LINE-01214-1</t>
  </si>
  <si>
    <t>PAY-01214-2</t>
  </si>
  <si>
    <t>TR-LINE-01214-2</t>
  </si>
  <si>
    <t>PAY-01215-1</t>
  </si>
  <si>
    <t>TX-S02-0215</t>
  </si>
  <si>
    <t>TR-LINE-01215-1</t>
  </si>
  <si>
    <t>PAY-01215-2</t>
  </si>
  <si>
    <t>TR-LINE-01215-2</t>
  </si>
  <si>
    <t>PAY-01216-1</t>
  </si>
  <si>
    <t>TX-S02-0216</t>
  </si>
  <si>
    <t>TR-LINE-01216-1</t>
  </si>
  <si>
    <t>PAY-01217-1</t>
  </si>
  <si>
    <t>TX-S02-0217</t>
  </si>
  <si>
    <t>TR-LINE-01217-1</t>
  </si>
  <si>
    <t>PAY-01218-1</t>
  </si>
  <si>
    <t>TX-S02-0218</t>
  </si>
  <si>
    <t>TR-LINE-01218-1</t>
  </si>
  <si>
    <t>PAY-01218-2</t>
  </si>
  <si>
    <t>TR-LINE-01218-2</t>
  </si>
  <si>
    <t>PAY-01219-1</t>
  </si>
  <si>
    <t>TX-S02-0219</t>
  </si>
  <si>
    <t>TR-LINE-01219-1</t>
  </si>
  <si>
    <t>PAY-01220-1</t>
  </si>
  <si>
    <t>TX-S02-0220</t>
  </si>
  <si>
    <t>TR-LINE-01220-1</t>
  </si>
  <si>
    <t>PAY-01221-1</t>
  </si>
  <si>
    <t>TX-S02-0221</t>
  </si>
  <si>
    <t>TR-LINE-01221-1</t>
  </si>
  <si>
    <t>PAY-01222-1</t>
  </si>
  <si>
    <t>TX-S02-0222</t>
  </si>
  <si>
    <t>TR-LINE-01222-1</t>
  </si>
  <si>
    <t>PAY-01223-1</t>
  </si>
  <si>
    <t>TX-S02-0223</t>
  </si>
  <si>
    <t>TR-LINE-01223-1</t>
  </si>
  <si>
    <t>PAY-01224-1</t>
  </si>
  <si>
    <t>TX-S02-0224</t>
  </si>
  <si>
    <t>TR-LINE-01224-1</t>
  </si>
  <si>
    <t>PAY-01224-2</t>
  </si>
  <si>
    <t>TR-LINE-01224-2</t>
  </si>
  <si>
    <t>PAY-01225-1</t>
  </si>
  <si>
    <t>TX-S02-0225</t>
  </si>
  <si>
    <t>TR-LINE-01225-1</t>
  </si>
  <si>
    <t>PAY-01225-2</t>
  </si>
  <si>
    <t>TR-LINE-01225-2</t>
  </si>
  <si>
    <t>PAY-01226-1</t>
  </si>
  <si>
    <t>TX-S02-0226</t>
  </si>
  <si>
    <t>TR-LINE-01226-1</t>
  </si>
  <si>
    <t>PAY-01227-1</t>
  </si>
  <si>
    <t>TX-S02-0227</t>
  </si>
  <si>
    <t>TR-LINE-01227-1</t>
  </si>
  <si>
    <t>PAY-01228-1</t>
  </si>
  <si>
    <t>TX-S02-0228</t>
  </si>
  <si>
    <t>TR-LINE-01228-1</t>
  </si>
  <si>
    <t>PAY-01228-2</t>
  </si>
  <si>
    <t>TR-LINE-01228-2</t>
  </si>
  <si>
    <t>PAY-01229-1</t>
  </si>
  <si>
    <t>TX-S02-0229</t>
  </si>
  <si>
    <t>TR-LINE-01229-1</t>
  </si>
  <si>
    <t>PAY-01230-1</t>
  </si>
  <si>
    <t>TX-S02-0230</t>
  </si>
  <si>
    <t>TR-LINE-01230-1</t>
  </si>
  <si>
    <t>PAY-01231-1</t>
  </si>
  <si>
    <t>TX-S02-0231</t>
  </si>
  <si>
    <t>TR-LINE-01231-1</t>
  </si>
  <si>
    <t>PAY-01232-1</t>
  </si>
  <si>
    <t>TX-S02-0232</t>
  </si>
  <si>
    <t>TR-LINE-01232-1</t>
  </si>
  <si>
    <t>PAY-01233-1</t>
  </si>
  <si>
    <t>TX-S02-0233</t>
  </si>
  <si>
    <t>TR-LINE-01233-1</t>
  </si>
  <si>
    <t>PAY-01234-1</t>
  </si>
  <si>
    <t>TX-S02-0234</t>
  </si>
  <si>
    <t>TR-LINE-01234-1</t>
  </si>
  <si>
    <t>PAY-01234-2</t>
  </si>
  <si>
    <t>TR-LINE-01234-2</t>
  </si>
  <si>
    <t>PAY-01235-1</t>
  </si>
  <si>
    <t>TX-S02-0235</t>
  </si>
  <si>
    <t>TR-LINE-01235-1</t>
  </si>
  <si>
    <t>PAY-01235-2</t>
  </si>
  <si>
    <t>TR-LINE-01235-2</t>
  </si>
  <si>
    <t>PAY-01236-1</t>
  </si>
  <si>
    <t>TX-S02-0236</t>
  </si>
  <si>
    <t>TR-LINE-01236-1</t>
  </si>
  <si>
    <t>PAY-01237-1</t>
  </si>
  <si>
    <t>TX-S02-0237</t>
  </si>
  <si>
    <t>TR-LINE-01237-1</t>
  </si>
  <si>
    <t>PAY-01238-1</t>
  </si>
  <si>
    <t>TX-S02-0238</t>
  </si>
  <si>
    <t>TR-LINE-01238-1</t>
  </si>
  <si>
    <t>PAY-01238-2</t>
  </si>
  <si>
    <t>TR-LINE-01238-2</t>
  </si>
  <si>
    <t>PAY-01239-1</t>
  </si>
  <si>
    <t>TX-S02-0239</t>
  </si>
  <si>
    <t>TR-LINE-01239-1</t>
  </si>
  <si>
    <t>PAY-01240-1</t>
  </si>
  <si>
    <t>TX-S02-0240</t>
  </si>
  <si>
    <t>TR-LINE-01240-1</t>
  </si>
  <si>
    <t>PAY-01241-1</t>
  </si>
  <si>
    <t>TX-S02-0241</t>
  </si>
  <si>
    <t>TR-LINE-01241-1</t>
  </si>
  <si>
    <t>PAY-01242-1</t>
  </si>
  <si>
    <t>TX-S02-0242</t>
  </si>
  <si>
    <t>TR-LINE-01242-1</t>
  </si>
  <si>
    <t>PAY-01243-1</t>
  </si>
  <si>
    <t>TX-S02-0243</t>
  </si>
  <si>
    <t>TR-LINE-01243-1</t>
  </si>
  <si>
    <t>PAY-01244-1</t>
  </si>
  <si>
    <t>TX-S02-0244</t>
  </si>
  <si>
    <t>TR-LINE-01244-1</t>
  </si>
  <si>
    <t>PAY-01244-2</t>
  </si>
  <si>
    <t>TR-LINE-01244-2</t>
  </si>
  <si>
    <t>PAY-01245-1</t>
  </si>
  <si>
    <t>TX-S02-0245</t>
  </si>
  <si>
    <t>TR-LINE-01245-1</t>
  </si>
  <si>
    <t>PAY-01245-2</t>
  </si>
  <si>
    <t>TR-LINE-01245-2</t>
  </si>
  <si>
    <t>PAY-01246-1</t>
  </si>
  <si>
    <t>TX-S02-0246</t>
  </si>
  <si>
    <t>TR-LINE-01246-1</t>
  </si>
  <si>
    <t>PAY-01247-1</t>
  </si>
  <si>
    <t>TX-S02-0247</t>
  </si>
  <si>
    <t>TR-LINE-01247-1</t>
  </si>
  <si>
    <t>PAY-01248-1</t>
  </si>
  <si>
    <t>TX-S02-0248</t>
  </si>
  <si>
    <t>TR-LINE-01248-1</t>
  </si>
  <si>
    <t>PAY-01248-2</t>
  </si>
  <si>
    <t>TR-LINE-01248-2</t>
  </si>
  <si>
    <t>PAY-01249-1</t>
  </si>
  <si>
    <t>TX-S02-0249</t>
  </si>
  <si>
    <t>TR-LINE-01249-1</t>
  </si>
  <si>
    <t>PAY-01250-1</t>
  </si>
  <si>
    <t>TX-S02-0250</t>
  </si>
  <si>
    <t>TR-LINE-01250-1</t>
  </si>
  <si>
    <t>PAY-01251-1</t>
  </si>
  <si>
    <t>TX-S02-0251</t>
  </si>
  <si>
    <t>TR-LINE-01251-1</t>
  </si>
  <si>
    <t>PAY-01252-1</t>
  </si>
  <si>
    <t>TX-S02-0252</t>
  </si>
  <si>
    <t>TR-LINE-01252-1</t>
  </si>
  <si>
    <t>PAY-01253-1</t>
  </si>
  <si>
    <t>TX-S02-0253</t>
  </si>
  <si>
    <t>TR-LINE-01253-1</t>
  </si>
  <si>
    <t>PAY-01254-1</t>
  </si>
  <si>
    <t>TX-S02-0254</t>
  </si>
  <si>
    <t>TR-LINE-01254-1</t>
  </si>
  <si>
    <t>PAY-01254-2</t>
  </si>
  <si>
    <t>TR-LINE-01254-2</t>
  </si>
  <si>
    <t>PAY-01255-1</t>
  </si>
  <si>
    <t>TX-S02-0255</t>
  </si>
  <si>
    <t>TR-LINE-01255-1</t>
  </si>
  <si>
    <t>PAY-01255-2</t>
  </si>
  <si>
    <t>TR-LINE-01255-2</t>
  </si>
  <si>
    <t>PAY-01256-1</t>
  </si>
  <si>
    <t>TX-S02-0256</t>
  </si>
  <si>
    <t>TR-LINE-01256-1</t>
  </si>
  <si>
    <t>PAY-01257-1</t>
  </si>
  <si>
    <t>TX-S02-0257</t>
  </si>
  <si>
    <t>TR-LINE-01257-1</t>
  </si>
  <si>
    <t>PAY-01258-1</t>
  </si>
  <si>
    <t>TX-S02-0258</t>
  </si>
  <si>
    <t>TR-LINE-01258-1</t>
  </si>
  <si>
    <t>PAY-01258-2</t>
  </si>
  <si>
    <t>TR-LINE-01258-2</t>
  </si>
  <si>
    <t>PAY-01259-1</t>
  </si>
  <si>
    <t>TX-S02-0259</t>
  </si>
  <si>
    <t>TR-LINE-01259-1</t>
  </si>
  <si>
    <t>PAY-01260-1</t>
  </si>
  <si>
    <t>TX-S02-0260</t>
  </si>
  <si>
    <t>TR-LINE-01260-1</t>
  </si>
  <si>
    <t>PAY-01261-1</t>
  </si>
  <si>
    <t>TX-S02-0261</t>
  </si>
  <si>
    <t>TR-LINE-01261-1</t>
  </si>
  <si>
    <t>PAY-01262-1</t>
  </si>
  <si>
    <t>TX-S02-0262</t>
  </si>
  <si>
    <t>TR-LINE-01262-1</t>
  </si>
  <si>
    <t>PAY-01263-1</t>
  </si>
  <si>
    <t>TX-S02-0263</t>
  </si>
  <si>
    <t>TR-LINE-01263-1</t>
  </si>
  <si>
    <t>PAY-01264-1</t>
  </si>
  <si>
    <t>TX-S02-0264</t>
  </si>
  <si>
    <t>TR-LINE-01264-1</t>
  </si>
  <si>
    <t>PAY-01264-2</t>
  </si>
  <si>
    <t>TR-LINE-01264-2</t>
  </si>
  <si>
    <t>PAY-01265-1</t>
  </si>
  <si>
    <t>TX-S02-0265</t>
  </si>
  <si>
    <t>TR-LINE-01265-1</t>
  </si>
  <si>
    <t>PAY-01265-2</t>
  </si>
  <si>
    <t>TR-LINE-01265-2</t>
  </si>
  <si>
    <t>PAY-01266-1</t>
  </si>
  <si>
    <t>TX-S02-0266</t>
  </si>
  <si>
    <t>TR-LINE-01266-1</t>
  </si>
  <si>
    <t>PAY-01267-1</t>
  </si>
  <si>
    <t>TX-S02-0267</t>
  </si>
  <si>
    <t>TR-LINE-01267-1</t>
  </si>
  <si>
    <t>PAY-01268-1</t>
  </si>
  <si>
    <t>TX-S02-0268</t>
  </si>
  <si>
    <t>TR-LINE-01268-1</t>
  </si>
  <si>
    <t>PAY-01268-2</t>
  </si>
  <si>
    <t>TR-LINE-01268-2</t>
  </si>
  <si>
    <t>PAY-01269-1</t>
  </si>
  <si>
    <t>TX-S02-0269</t>
  </si>
  <si>
    <t>TR-LINE-01269-1</t>
  </si>
  <si>
    <t>PAY-01270-1</t>
  </si>
  <si>
    <t>TX-S02-0270</t>
  </si>
  <si>
    <t>TR-LINE-01270-1</t>
  </si>
  <si>
    <t>PAY-01271-1</t>
  </si>
  <si>
    <t>TX-S02-0271</t>
  </si>
  <si>
    <t>TR-LINE-01271-1</t>
  </si>
  <si>
    <t>PAY-01272-1</t>
  </si>
  <si>
    <t>TX-S02-0272</t>
  </si>
  <si>
    <t>TR-LINE-01272-1</t>
  </si>
  <si>
    <t>PAY-01273-1</t>
  </si>
  <si>
    <t>TX-S02-0273</t>
  </si>
  <si>
    <t>TR-LINE-01273-1</t>
  </si>
  <si>
    <t>PAY-01274-1</t>
  </si>
  <si>
    <t>TX-S02-0274</t>
  </si>
  <si>
    <t>TR-LINE-01274-1</t>
  </si>
  <si>
    <t>PAY-01274-2</t>
  </si>
  <si>
    <t>TR-LINE-01274-2</t>
  </si>
  <si>
    <t>PAY-01275-1</t>
  </si>
  <si>
    <t>TX-S02-0275</t>
  </si>
  <si>
    <t>TR-LINE-01275-1</t>
  </si>
  <si>
    <t>PAY-01275-2</t>
  </si>
  <si>
    <t>TR-LINE-01275-2</t>
  </si>
  <si>
    <t>PAY-01276-1</t>
  </si>
  <si>
    <t>TX-S02-0276</t>
  </si>
  <si>
    <t>TR-LINE-01276-1</t>
  </si>
  <si>
    <t>PAY-01277-1</t>
  </si>
  <si>
    <t>TX-S02-0277</t>
  </si>
  <si>
    <t>TR-LINE-01277-1</t>
  </si>
  <si>
    <t>PAY-01278-1</t>
  </si>
  <si>
    <t>TX-S02-0278</t>
  </si>
  <si>
    <t>TR-LINE-01278-1</t>
  </si>
  <si>
    <t>PAY-01278-2</t>
  </si>
  <si>
    <t>TR-LINE-01278-2</t>
  </si>
  <si>
    <t>PAY-01279-1</t>
  </si>
  <si>
    <t>TX-S02-0279</t>
  </si>
  <si>
    <t>TR-LINE-01279-1</t>
  </si>
  <si>
    <t>PAY-01280-1</t>
  </si>
  <si>
    <t>TX-S02-0280</t>
  </si>
  <si>
    <t>TR-LINE-01280-1</t>
  </si>
  <si>
    <t>PAY-01281-1</t>
  </si>
  <si>
    <t>TX-S02-0281</t>
  </si>
  <si>
    <t>TR-LINE-01281-1</t>
  </si>
  <si>
    <t>PAY-01282-1</t>
  </si>
  <si>
    <t>TX-S02-0282</t>
  </si>
  <si>
    <t>TR-LINE-01282-1</t>
  </si>
  <si>
    <t>PAY-01283-1</t>
  </si>
  <si>
    <t>TX-S02-0283</t>
  </si>
  <si>
    <t>TR-LINE-01283-1</t>
  </si>
  <si>
    <t>PAY-01284-1</t>
  </si>
  <si>
    <t>TX-S02-0284</t>
  </si>
  <si>
    <t>TR-LINE-01284-1</t>
  </si>
  <si>
    <t>PAY-01284-2</t>
  </si>
  <si>
    <t>TR-LINE-01284-2</t>
  </si>
  <si>
    <t>PAY-01285-1</t>
  </si>
  <si>
    <t>TX-S02-0285</t>
  </si>
  <si>
    <t>TR-LINE-01285-1</t>
  </si>
  <si>
    <t>PAY-01285-2</t>
  </si>
  <si>
    <t>TR-LINE-01285-2</t>
  </si>
  <si>
    <t>PAY-01286-1</t>
  </si>
  <si>
    <t>TX-S02-0286</t>
  </si>
  <si>
    <t>TR-LINE-01286-1</t>
  </si>
  <si>
    <t>PAY-01287-1</t>
  </si>
  <si>
    <t>TX-S02-0287</t>
  </si>
  <si>
    <t>TR-LINE-01287-1</t>
  </si>
  <si>
    <t>PAY-01288-1</t>
  </si>
  <si>
    <t>TX-S02-0288</t>
  </si>
  <si>
    <t>TR-LINE-01288-1</t>
  </si>
  <si>
    <t>PAY-01288-2</t>
  </si>
  <si>
    <t>TR-LINE-01288-2</t>
  </si>
  <si>
    <t>PAY-01289-1</t>
  </si>
  <si>
    <t>TX-S02-0289</t>
  </si>
  <si>
    <t>TR-LINE-01289-1</t>
  </si>
  <si>
    <t>PAY-01290-1</t>
  </si>
  <si>
    <t>TX-S02-0290</t>
  </si>
  <si>
    <t>TR-LINE-01290-1</t>
  </si>
  <si>
    <t>PAY-01291-1</t>
  </si>
  <si>
    <t>TX-S02-0291</t>
  </si>
  <si>
    <t>TR-LINE-01291-1</t>
  </si>
  <si>
    <t>PAY-01292-1</t>
  </si>
  <si>
    <t>TX-S02-0292</t>
  </si>
  <si>
    <t>TR-LINE-01292-1</t>
  </si>
  <si>
    <t>PAY-01293-1</t>
  </si>
  <si>
    <t>TX-S02-0293</t>
  </si>
  <si>
    <t>TR-LINE-01293-1</t>
  </si>
  <si>
    <t>PAY-01294-1</t>
  </si>
  <si>
    <t>TX-S02-0294</t>
  </si>
  <si>
    <t>TR-LINE-01294-1</t>
  </si>
  <si>
    <t>PAY-01294-2</t>
  </si>
  <si>
    <t>TR-LINE-01294-2</t>
  </si>
  <si>
    <t>PAY-01295-1</t>
  </si>
  <si>
    <t>TX-S02-0295</t>
  </si>
  <si>
    <t>TR-LINE-01295-1</t>
  </si>
  <si>
    <t>PAY-01295-2</t>
  </si>
  <si>
    <t>TR-LINE-01295-2</t>
  </si>
  <si>
    <t>PAY-01296-1</t>
  </si>
  <si>
    <t>TX-S02-0296</t>
  </si>
  <si>
    <t>TR-LINE-01296-1</t>
  </si>
  <si>
    <t>PAY-01297-1</t>
  </si>
  <si>
    <t>TX-S02-0297</t>
  </si>
  <si>
    <t>TR-LINE-01297-1</t>
  </si>
  <si>
    <t>PAY-01298-1</t>
  </si>
  <si>
    <t>TX-S02-0298</t>
  </si>
  <si>
    <t>TR-LINE-01298-1</t>
  </si>
  <si>
    <t>PAY-01298-2</t>
  </si>
  <si>
    <t>TR-LINE-01298-2</t>
  </si>
  <si>
    <t>PAY-01299-1</t>
  </si>
  <si>
    <t>TX-S02-0299</t>
  </si>
  <si>
    <t>TR-LINE-01299-1</t>
  </si>
  <si>
    <t>PAY-01300-1</t>
  </si>
  <si>
    <t>TX-S02-0300</t>
  </si>
  <si>
    <t>TR-LINE-01300-1</t>
  </si>
  <si>
    <t>PAY-01301-1</t>
  </si>
  <si>
    <t>TX-S02-0301</t>
  </si>
  <si>
    <t>TR-LINE-01301-1</t>
  </si>
  <si>
    <t>PAY-01302-1</t>
  </si>
  <si>
    <t>TX-S02-0302</t>
  </si>
  <si>
    <t>TR-LINE-01302-1</t>
  </si>
  <si>
    <t>PAY-01303-1</t>
  </si>
  <si>
    <t>TX-S02-0303</t>
  </si>
  <si>
    <t>TR-LINE-01303-1</t>
  </si>
  <si>
    <t>PAY-01304-1</t>
  </si>
  <si>
    <t>TX-S02-0304</t>
  </si>
  <si>
    <t>TR-LINE-01304-1</t>
  </si>
  <si>
    <t>PAY-01304-2</t>
  </si>
  <si>
    <t>TR-LINE-01304-2</t>
  </si>
  <si>
    <t>PAY-01305-1</t>
  </si>
  <si>
    <t>TX-S02-0305</t>
  </si>
  <si>
    <t>TR-LINE-01305-1</t>
  </si>
  <si>
    <t>PAY-01305-2</t>
  </si>
  <si>
    <t>TR-LINE-01305-2</t>
  </si>
  <si>
    <t>PAY-01306-1</t>
  </si>
  <si>
    <t>TX-S02-0306</t>
  </si>
  <si>
    <t>TR-LINE-01306-1</t>
  </si>
  <si>
    <t>PAY-01307-1</t>
  </si>
  <si>
    <t>TX-S02-0307</t>
  </si>
  <si>
    <t>TR-LINE-01307-1</t>
  </si>
  <si>
    <t>PAY-01308-1</t>
  </si>
  <si>
    <t>TX-S02-0308</t>
  </si>
  <si>
    <t>TR-LINE-01308-1</t>
  </si>
  <si>
    <t>PAY-01308-2</t>
  </si>
  <si>
    <t>TR-LINE-01308-2</t>
  </si>
  <si>
    <t>PAY-01309-1</t>
  </si>
  <si>
    <t>TX-S02-0309</t>
  </si>
  <si>
    <t>TR-LINE-01309-1</t>
  </si>
  <si>
    <t>PAY-01310-1</t>
  </si>
  <si>
    <t>TX-S02-0310</t>
  </si>
  <si>
    <t>TR-LINE-01310-1</t>
  </si>
  <si>
    <t>PAY-01311-1</t>
  </si>
  <si>
    <t>TX-S02-0311</t>
  </si>
  <si>
    <t>TR-LINE-01311-1</t>
  </si>
  <si>
    <t>PAY-01312-1</t>
  </si>
  <si>
    <t>TX-S02-0312</t>
  </si>
  <si>
    <t>TR-LINE-01312-1</t>
  </si>
  <si>
    <t>PAY-01313-1</t>
  </si>
  <si>
    <t>TX-S02-0313</t>
  </si>
  <si>
    <t>TR-LINE-01313-1</t>
  </si>
  <si>
    <t>PAY-01314-1</t>
  </si>
  <si>
    <t>TX-S02-0314</t>
  </si>
  <si>
    <t>TR-LINE-01314-1</t>
  </si>
  <si>
    <t>PAY-01314-2</t>
  </si>
  <si>
    <t>TR-LINE-01314-2</t>
  </si>
  <si>
    <t>PAY-01315-1</t>
  </si>
  <si>
    <t>TX-S02-0315</t>
  </si>
  <si>
    <t>TR-LINE-01315-1</t>
  </si>
  <si>
    <t>PAY-01315-2</t>
  </si>
  <si>
    <t>TR-LINE-01315-2</t>
  </si>
  <si>
    <t>PAY-01316-1</t>
  </si>
  <si>
    <t>TX-S02-0316</t>
  </si>
  <si>
    <t>TR-LINE-01316-1</t>
  </si>
  <si>
    <t>PAY-01317-1</t>
  </si>
  <si>
    <t>TX-S02-0317</t>
  </si>
  <si>
    <t>TR-LINE-01317-1</t>
  </si>
  <si>
    <t>PAY-01318-1</t>
  </si>
  <si>
    <t>TX-S02-0318</t>
  </si>
  <si>
    <t>TR-LINE-01318-1</t>
  </si>
  <si>
    <t>PAY-01318-2</t>
  </si>
  <si>
    <t>TR-LINE-01318-2</t>
  </si>
  <si>
    <t>PAY-01319-1</t>
  </si>
  <si>
    <t>TX-S02-0319</t>
  </si>
  <si>
    <t>TR-LINE-01319-1</t>
  </si>
  <si>
    <t>PAY-01320-1</t>
  </si>
  <si>
    <t>TX-S02-0320</t>
  </si>
  <si>
    <t>TR-LINE-01320-1</t>
  </si>
  <si>
    <t>PAY-01321-1</t>
  </si>
  <si>
    <t>TX-S02-0321</t>
  </si>
  <si>
    <t>TR-LINE-01321-1</t>
  </si>
  <si>
    <t>PAY-01322-1</t>
  </si>
  <si>
    <t>TX-S02-0322</t>
  </si>
  <si>
    <t>TR-LINE-01322-1</t>
  </si>
  <si>
    <t>PAY-01323-1</t>
  </si>
  <si>
    <t>TX-S02-0323</t>
  </si>
  <si>
    <t>TR-LINE-01323-1</t>
  </si>
  <si>
    <t>PAY-01324-1</t>
  </si>
  <si>
    <t>TX-S02-0324</t>
  </si>
  <si>
    <t>TR-LINE-01324-1</t>
  </si>
  <si>
    <t>PAY-01324-2</t>
  </si>
  <si>
    <t>TR-LINE-01324-2</t>
  </si>
  <si>
    <t>PAY-01325-1</t>
  </si>
  <si>
    <t>TX-S02-0325</t>
  </si>
  <si>
    <t>TR-LINE-01325-1</t>
  </si>
  <si>
    <t>PAY-01325-2</t>
  </si>
  <si>
    <t>TR-LINE-01325-2</t>
  </si>
  <si>
    <t>PAY-01326-1</t>
  </si>
  <si>
    <t>TX-S02-0326</t>
  </si>
  <si>
    <t>TR-LINE-01326-1</t>
  </si>
  <si>
    <t>PAY-01327-1</t>
  </si>
  <si>
    <t>TX-S02-0327</t>
  </si>
  <si>
    <t>TR-LINE-01327-1</t>
  </si>
  <si>
    <t>PAY-01328-1</t>
  </si>
  <si>
    <t>TX-S02-0328</t>
  </si>
  <si>
    <t>TR-LINE-01328-1</t>
  </si>
  <si>
    <t>PAY-01329-1</t>
  </si>
  <si>
    <t>TX-S02-0329</t>
  </si>
  <si>
    <t>TR-LINE-01329-1</t>
  </si>
  <si>
    <t>PAY-01330-1</t>
  </si>
  <si>
    <t>TX-S02-0330</t>
  </si>
  <si>
    <t>TR-LINE-01330-1</t>
  </si>
  <si>
    <t>PAY-01331-1</t>
  </si>
  <si>
    <t>TX-S02-0331</t>
  </si>
  <si>
    <t>TR-LINE-01331-1</t>
  </si>
  <si>
    <t>PAY-01332-1</t>
  </si>
  <si>
    <t>TX-S02-0332</t>
  </si>
  <si>
    <t>TR-LINE-01332-1</t>
  </si>
  <si>
    <t>PAY-01333-1</t>
  </si>
  <si>
    <t>TX-S02-0333</t>
  </si>
  <si>
    <t>TR-LINE-01333-1</t>
  </si>
  <si>
    <t>PAY-01334-1</t>
  </si>
  <si>
    <t>TX-S02-0334</t>
  </si>
  <si>
    <t>TR-LINE-01334-1</t>
  </si>
  <si>
    <t>PAY-01334-2</t>
  </si>
  <si>
    <t>TR-LINE-01334-2</t>
  </si>
  <si>
    <t>PAY-01335-1</t>
  </si>
  <si>
    <t>TX-S02-0335</t>
  </si>
  <si>
    <t>TR-LINE-01335-1</t>
  </si>
  <si>
    <t>PAY-01335-2</t>
  </si>
  <si>
    <t>TR-LINE-01335-2</t>
  </si>
  <si>
    <t>PAY-01336-1</t>
  </si>
  <si>
    <t>TX-S02-0336</t>
  </si>
  <si>
    <t>TR-LINE-01336-1</t>
  </si>
  <si>
    <t>PAY-01337-1</t>
  </si>
  <si>
    <t>TX-S02-0337</t>
  </si>
  <si>
    <t>TR-LINE-01337-1</t>
  </si>
  <si>
    <t>PAY-01338-1</t>
  </si>
  <si>
    <t>TX-S02-0338</t>
  </si>
  <si>
    <t>TR-LINE-01338-1</t>
  </si>
  <si>
    <t>PAY-01338-2</t>
  </si>
  <si>
    <t>TR-LINE-01338-2</t>
  </si>
  <si>
    <t>PAY-01339-1</t>
  </si>
  <si>
    <t>TX-S02-0339</t>
  </si>
  <si>
    <t>TR-LINE-01339-1</t>
  </si>
  <si>
    <t>PAY-01340-1</t>
  </si>
  <si>
    <t>TX-S02-0340</t>
  </si>
  <si>
    <t>TR-LINE-01340-1</t>
  </si>
  <si>
    <t>PAY-01341-1</t>
  </si>
  <si>
    <t>TX-S02-0341</t>
  </si>
  <si>
    <t>TR-LINE-01341-1</t>
  </si>
  <si>
    <t>PAY-01342-1</t>
  </si>
  <si>
    <t>TX-S02-0342</t>
  </si>
  <si>
    <t>TR-LINE-01342-1</t>
  </si>
  <si>
    <t>PAY-01343-1</t>
  </si>
  <si>
    <t>TX-S02-0343</t>
  </si>
  <si>
    <t>TR-LINE-01343-1</t>
  </si>
  <si>
    <t>PAY-01344-1</t>
  </si>
  <si>
    <t>TX-S02-0344</t>
  </si>
  <si>
    <t>TR-LINE-01344-1</t>
  </si>
  <si>
    <t>PAY-01344-2</t>
  </si>
  <si>
    <t>TR-LINE-01344-2</t>
  </si>
  <si>
    <t>PAY-01345-1</t>
  </si>
  <si>
    <t>TX-S02-0345</t>
  </si>
  <si>
    <t>TR-LINE-01345-1</t>
  </si>
  <si>
    <t>PAY-01345-2</t>
  </si>
  <si>
    <t>TR-LINE-01345-2</t>
  </si>
  <si>
    <t>PAY-01346-1</t>
  </si>
  <si>
    <t>TX-S02-0346</t>
  </si>
  <si>
    <t>TR-LINE-01346-1</t>
  </si>
  <si>
    <t>PAY-01347-1</t>
  </si>
  <si>
    <t>TX-S02-0347</t>
  </si>
  <si>
    <t>TR-LINE-01347-1</t>
  </si>
  <si>
    <t>PAY-01348-1</t>
  </si>
  <si>
    <t>TX-S02-0348</t>
  </si>
  <si>
    <t>TR-LINE-01348-1</t>
  </si>
  <si>
    <t>PAY-01348-2</t>
  </si>
  <si>
    <t>TR-LINE-01348-2</t>
  </si>
  <si>
    <t>PAY-01349-1</t>
  </si>
  <si>
    <t>TX-S02-0349</t>
  </si>
  <si>
    <t>TR-LINE-01349-1</t>
  </si>
  <si>
    <t>PAY-01350-1</t>
  </si>
  <si>
    <t>TX-S02-0350</t>
  </si>
  <si>
    <t>TR-LINE-01350-1</t>
  </si>
  <si>
    <t>PAY-01351-1</t>
  </si>
  <si>
    <t>TX-S02-0351</t>
  </si>
  <si>
    <t>TR-LINE-01351-1</t>
  </si>
  <si>
    <t>PAY-01352-1</t>
  </si>
  <si>
    <t>TX-S02-0352</t>
  </si>
  <si>
    <t>TR-LINE-01352-1</t>
  </si>
  <si>
    <t>PAY-01353-1</t>
  </si>
  <si>
    <t>TX-S02-0353</t>
  </si>
  <si>
    <t>TR-LINE-01353-1</t>
  </si>
  <si>
    <t>PAY-01354-1</t>
  </si>
  <si>
    <t>TX-S02-0354</t>
  </si>
  <si>
    <t>TR-LINE-01354-1</t>
  </si>
  <si>
    <t>PAY-01354-2</t>
  </si>
  <si>
    <t>TR-LINE-01354-2</t>
  </si>
  <si>
    <t>PAY-01355-1</t>
  </si>
  <si>
    <t>TX-S02-0355</t>
  </si>
  <si>
    <t>TR-LINE-01355-1</t>
  </si>
  <si>
    <t>PAY-01355-2</t>
  </si>
  <si>
    <t>TR-LINE-01355-2</t>
  </si>
  <si>
    <t>PAY-01356-1</t>
  </si>
  <si>
    <t>TX-S02-0356</t>
  </si>
  <si>
    <t>TR-LINE-01356-1</t>
  </si>
  <si>
    <t>PAY-01357-1</t>
  </si>
  <si>
    <t>TX-S02-0357</t>
  </si>
  <si>
    <t>TR-LINE-01357-1</t>
  </si>
  <si>
    <t>PAY-01358-1</t>
  </si>
  <si>
    <t>TX-S02-0358</t>
  </si>
  <si>
    <t>TR-LINE-01358-1</t>
  </si>
  <si>
    <t>PAY-01358-2</t>
  </si>
  <si>
    <t>TR-LINE-01358-2</t>
  </si>
  <si>
    <t>PAY-01359-1</t>
  </si>
  <si>
    <t>TX-S02-0359</t>
  </si>
  <si>
    <t>TR-LINE-01359-1</t>
  </si>
  <si>
    <t>PAY-01360-1</t>
  </si>
  <si>
    <t>TX-S02-0360</t>
  </si>
  <si>
    <t>TR-LINE-01360-1</t>
  </si>
  <si>
    <t>PAY-01361-1</t>
  </si>
  <si>
    <t>TX-S02-0361</t>
  </si>
  <si>
    <t>TR-LINE-01361-1</t>
  </si>
  <si>
    <t>PAY-01362-1</t>
  </si>
  <si>
    <t>TX-S02-0362</t>
  </si>
  <si>
    <t>TR-LINE-01362-1</t>
  </si>
  <si>
    <t>PAY-01363-1</t>
  </si>
  <si>
    <t>TX-S02-0363</t>
  </si>
  <si>
    <t>TR-LINE-01363-1</t>
  </si>
  <si>
    <t>PAY-01364-1</t>
  </si>
  <si>
    <t>TX-S02-0364</t>
  </si>
  <si>
    <t>TR-LINE-01364-1</t>
  </si>
  <si>
    <t>PAY-01364-2</t>
  </si>
  <si>
    <t>TR-LINE-01364-2</t>
  </si>
  <si>
    <t>PAY-01365-1</t>
  </si>
  <si>
    <t>TX-S02-0365</t>
  </si>
  <si>
    <t>TR-LINE-01365-1</t>
  </si>
  <si>
    <t>PAY-01365-2</t>
  </si>
  <si>
    <t>TR-LINE-01365-2</t>
  </si>
  <si>
    <t>PAY-01366-1</t>
  </si>
  <si>
    <t>TX-S02-0366</t>
  </si>
  <si>
    <t>TR-LINE-01366-1</t>
  </si>
  <si>
    <t>PAY-01367-1</t>
  </si>
  <si>
    <t>TX-S02-0367</t>
  </si>
  <si>
    <t>TR-LINE-01367-1</t>
  </si>
  <si>
    <t>PAY-01368-1</t>
  </si>
  <si>
    <t>TX-S02-0368</t>
  </si>
  <si>
    <t>TR-LINE-01368-1</t>
  </si>
  <si>
    <t>PAY-01368-2</t>
  </si>
  <si>
    <t>TR-LINE-01368-2</t>
  </si>
  <si>
    <t>PAY-01369-1</t>
  </si>
  <si>
    <t>TX-S02-0369</t>
  </si>
  <si>
    <t>TR-LINE-01369-1</t>
  </si>
  <si>
    <t>PAY-01370-1</t>
  </si>
  <si>
    <t>TX-S02-0370</t>
  </si>
  <si>
    <t>TR-LINE-01370-1</t>
  </si>
  <si>
    <t>PAY-01371-1</t>
  </si>
  <si>
    <t>TX-S02-0371</t>
  </si>
  <si>
    <t>TR-LINE-01371-1</t>
  </si>
  <si>
    <t>PAY-01372-1</t>
  </si>
  <si>
    <t>TX-S02-0372</t>
  </si>
  <si>
    <t>TR-LINE-01372-1</t>
  </si>
  <si>
    <t>PAY-01373-1</t>
  </si>
  <si>
    <t>TX-S02-0373</t>
  </si>
  <si>
    <t>TR-LINE-01373-1</t>
  </si>
  <si>
    <t>PAY-01374-1</t>
  </si>
  <si>
    <t>TX-S02-0374</t>
  </si>
  <si>
    <t>TR-LINE-01374-1</t>
  </si>
  <si>
    <t>PAY-01374-2</t>
  </si>
  <si>
    <t>TR-LINE-01374-2</t>
  </si>
  <si>
    <t>PAY-01375-1</t>
  </si>
  <si>
    <t>TX-S02-0375</t>
  </si>
  <si>
    <t>TR-LINE-01375-1</t>
  </si>
  <si>
    <t>PAY-01375-2</t>
  </si>
  <si>
    <t>TR-LINE-01375-2</t>
  </si>
  <si>
    <t>PAY-01376-1</t>
  </si>
  <si>
    <t>TX-S02-0376</t>
  </si>
  <si>
    <t>TR-LINE-01376-1</t>
  </si>
  <si>
    <t>PAY-01377-1</t>
  </si>
  <si>
    <t>TX-S02-0377</t>
  </si>
  <si>
    <t>TR-LINE-01377-1</t>
  </si>
  <si>
    <t>PAY-01378-1</t>
  </si>
  <si>
    <t>TX-S02-0378</t>
  </si>
  <si>
    <t>TR-LINE-01378-1</t>
  </si>
  <si>
    <t>PAY-01378-2</t>
  </si>
  <si>
    <t>TR-LINE-01378-2</t>
  </si>
  <si>
    <t>PAY-01379-1</t>
  </si>
  <si>
    <t>TX-S02-0379</t>
  </si>
  <si>
    <t>TR-LINE-01379-1</t>
  </si>
  <si>
    <t>PAY-01380-1</t>
  </si>
  <si>
    <t>TX-S02-0380</t>
  </si>
  <si>
    <t>TR-LINE-01380-1</t>
  </si>
  <si>
    <t>PAY-01381-1</t>
  </si>
  <si>
    <t>TX-S02-0381</t>
  </si>
  <si>
    <t>TR-LINE-01381-1</t>
  </si>
  <si>
    <t>PAY-01382-1</t>
  </si>
  <si>
    <t>TX-S02-0382</t>
  </si>
  <si>
    <t>TR-LINE-01382-1</t>
  </si>
  <si>
    <t>PAY-01383-1</t>
  </si>
  <si>
    <t>TX-S02-0383</t>
  </si>
  <si>
    <t>TR-LINE-01383-1</t>
  </si>
  <si>
    <t>PAY-01384-1</t>
  </si>
  <si>
    <t>TX-S02-0384</t>
  </si>
  <si>
    <t>TR-LINE-01384-1</t>
  </si>
  <si>
    <t>PAY-01384-2</t>
  </si>
  <si>
    <t>TR-LINE-01384-2</t>
  </si>
  <si>
    <t>PAY-01385-1</t>
  </si>
  <si>
    <t>TX-S02-0385</t>
  </si>
  <si>
    <t>TR-LINE-01385-1</t>
  </si>
  <si>
    <t>PAY-01385-2</t>
  </si>
  <si>
    <t>TR-LINE-01385-2</t>
  </si>
  <si>
    <t>PAY-01386-1</t>
  </si>
  <si>
    <t>TX-S02-0386</t>
  </si>
  <si>
    <t>TR-LINE-01386-1</t>
  </si>
  <si>
    <t>PAY-01387-1</t>
  </si>
  <si>
    <t>TX-S02-0387</t>
  </si>
  <si>
    <t>TR-LINE-01387-1</t>
  </si>
  <si>
    <t>PAY-01388-1</t>
  </si>
  <si>
    <t>TX-S02-0388</t>
  </si>
  <si>
    <t>TR-LINE-01388-1</t>
  </si>
  <si>
    <t>PAY-01388-2</t>
  </si>
  <si>
    <t>TR-LINE-01388-2</t>
  </si>
  <si>
    <t>PAY-01389-1</t>
  </si>
  <si>
    <t>TX-S02-0389</t>
  </si>
  <si>
    <t>TR-LINE-01389-1</t>
  </si>
  <si>
    <t>PAY-01390-1</t>
  </si>
  <si>
    <t>TX-S02-0390</t>
  </si>
  <si>
    <t>TR-LINE-01390-1</t>
  </si>
  <si>
    <t>PAY-01391-1</t>
  </si>
  <si>
    <t>TX-S02-0391</t>
  </si>
  <si>
    <t>TR-LINE-01391-1</t>
  </si>
  <si>
    <t>PAY-01392-1</t>
  </si>
  <si>
    <t>TX-S02-0392</t>
  </si>
  <si>
    <t>TR-LINE-01392-1</t>
  </si>
  <si>
    <t>PAY-01393-1</t>
  </si>
  <si>
    <t>TX-S02-0393</t>
  </si>
  <si>
    <t>TR-LINE-01393-1</t>
  </si>
  <si>
    <t>PAY-01394-1</t>
  </si>
  <si>
    <t>TX-S02-0394</t>
  </si>
  <si>
    <t>TR-LINE-01394-1</t>
  </si>
  <si>
    <t>PAY-01394-2</t>
  </si>
  <si>
    <t>TR-LINE-01394-2</t>
  </si>
  <si>
    <t>PAY-01395-1</t>
  </si>
  <si>
    <t>TX-S02-0395</t>
  </si>
  <si>
    <t>TR-LINE-01395-1</t>
  </si>
  <si>
    <t>PAY-01395-2</t>
  </si>
  <si>
    <t>TR-LINE-01395-2</t>
  </si>
  <si>
    <t>PAY-01396-1</t>
  </si>
  <si>
    <t>TX-S02-0396</t>
  </si>
  <si>
    <t>TR-LINE-01396-1</t>
  </si>
  <si>
    <t>PAY-01397-1</t>
  </si>
  <si>
    <t>TX-S02-0397</t>
  </si>
  <si>
    <t>TR-LINE-01397-1</t>
  </si>
  <si>
    <t>PAY-01398-1</t>
  </si>
  <si>
    <t>TX-S02-0398</t>
  </si>
  <si>
    <t>TR-LINE-01398-1</t>
  </si>
  <si>
    <t>PAY-01398-2</t>
  </si>
  <si>
    <t>TR-LINE-01398-2</t>
  </si>
  <si>
    <t>PAY-01399-1</t>
  </si>
  <si>
    <t>TX-S02-0399</t>
  </si>
  <si>
    <t>TR-LINE-01399-1</t>
  </si>
  <si>
    <t>PAY-01400-1</t>
  </si>
  <si>
    <t>TX-S02-0400</t>
  </si>
  <si>
    <t>TR-LINE-01400-1</t>
  </si>
  <si>
    <t>PAY-01401-1</t>
  </si>
  <si>
    <t>TX-S02-0401</t>
  </si>
  <si>
    <t>TR-LINE-01401-1</t>
  </si>
  <si>
    <t>PAY-01402-1</t>
  </si>
  <si>
    <t>TX-S02-0402</t>
  </si>
  <si>
    <t>TR-LINE-01402-1</t>
  </si>
  <si>
    <t>PAY-01403-1</t>
  </si>
  <si>
    <t>TX-S02-0403</t>
  </si>
  <si>
    <t>TR-LINE-01403-1</t>
  </si>
  <si>
    <t>PAY-01404-1</t>
  </si>
  <si>
    <t>TX-S02-0404</t>
  </si>
  <si>
    <t>TR-LINE-01404-1</t>
  </si>
  <si>
    <t>PAY-01404-2</t>
  </si>
  <si>
    <t>TR-LINE-01404-2</t>
  </si>
  <si>
    <t>PAY-01405-1</t>
  </si>
  <si>
    <t>TX-S02-0405</t>
  </si>
  <si>
    <t>TR-LINE-01405-1</t>
  </si>
  <si>
    <t>PAY-01405-2</t>
  </si>
  <si>
    <t>TR-LINE-01405-2</t>
  </si>
  <si>
    <t>PAY-01406-1</t>
  </si>
  <si>
    <t>TX-S02-0406</t>
  </si>
  <si>
    <t>TR-LINE-01406-1</t>
  </si>
  <si>
    <t>PAY-01407-1</t>
  </si>
  <si>
    <t>TX-S02-0407</t>
  </si>
  <si>
    <t>TR-LINE-01407-1</t>
  </si>
  <si>
    <t>PAY-01408-1</t>
  </si>
  <si>
    <t>TX-S02-0408</t>
  </si>
  <si>
    <t>TR-LINE-01408-1</t>
  </si>
  <si>
    <t>PAY-01408-2</t>
  </si>
  <si>
    <t>TR-LINE-01408-2</t>
  </si>
  <si>
    <t>PAY-01409-1</t>
  </si>
  <si>
    <t>TX-S02-0409</t>
  </si>
  <si>
    <t>TR-LINE-01409-1</t>
  </si>
  <si>
    <t>PAY-01410-1</t>
  </si>
  <si>
    <t>TX-S02-0410</t>
  </si>
  <si>
    <t>TR-LINE-01410-1</t>
  </si>
  <si>
    <t>PAY-01411-1</t>
  </si>
  <si>
    <t>TX-S02-0411</t>
  </si>
  <si>
    <t>TR-LINE-01411-1</t>
  </si>
  <si>
    <t>PAY-01412-1</t>
  </si>
  <si>
    <t>TX-S02-0412</t>
  </si>
  <si>
    <t>TR-LINE-01412-1</t>
  </si>
  <si>
    <t>PAY-01413-1</t>
  </si>
  <si>
    <t>TX-S02-0413</t>
  </si>
  <si>
    <t>TR-LINE-01413-1</t>
  </si>
  <si>
    <t>PAY-01414-1</t>
  </si>
  <si>
    <t>TX-S02-0414</t>
  </si>
  <si>
    <t>TR-LINE-01414-1</t>
  </si>
  <si>
    <t>PAY-01414-2</t>
  </si>
  <si>
    <t>TR-LINE-01414-2</t>
  </si>
  <si>
    <t>PAY-01415-1</t>
  </si>
  <si>
    <t>TX-S02-0415</t>
  </si>
  <si>
    <t>TR-LINE-01415-1</t>
  </si>
  <si>
    <t>PAY-01415-2</t>
  </si>
  <si>
    <t>TR-LINE-01415-2</t>
  </si>
  <si>
    <t>PAY-01416-1</t>
  </si>
  <si>
    <t>TX-S02-0416</t>
  </si>
  <si>
    <t>TR-LINE-01416-1</t>
  </si>
  <si>
    <t>PAY-01417-1</t>
  </si>
  <si>
    <t>TX-S02-0417</t>
  </si>
  <si>
    <t>TR-LINE-01417-1</t>
  </si>
  <si>
    <t>PAY-01418-1</t>
  </si>
  <si>
    <t>TX-S02-0418</t>
  </si>
  <si>
    <t>TR-LINE-01418-1</t>
  </si>
  <si>
    <t>PAY-01418-2</t>
  </si>
  <si>
    <t>TR-LINE-01418-2</t>
  </si>
  <si>
    <t>PAY-01419-1</t>
  </si>
  <si>
    <t>TX-S02-0419</t>
  </si>
  <si>
    <t>TR-LINE-01419-1</t>
  </si>
  <si>
    <t>PAY-01420-1</t>
  </si>
  <si>
    <t>TX-S02-0420</t>
  </si>
  <si>
    <t>TR-LINE-01420-1</t>
  </si>
  <si>
    <t>PAY-01421-1</t>
  </si>
  <si>
    <t>TX-S02-0421</t>
  </si>
  <si>
    <t>TR-LINE-01421-1</t>
  </si>
  <si>
    <t>PAY-01422-1</t>
  </si>
  <si>
    <t>TX-S02-0422</t>
  </si>
  <si>
    <t>TR-LINE-01422-1</t>
  </si>
  <si>
    <t>PAY-01423-1</t>
  </si>
  <si>
    <t>TX-S02-0423</t>
  </si>
  <si>
    <t>TR-LINE-01423-1</t>
  </si>
  <si>
    <t>PAY-01424-1</t>
  </si>
  <si>
    <t>TX-S02-0424</t>
  </si>
  <si>
    <t>TR-LINE-01424-1</t>
  </si>
  <si>
    <t>PAY-01424-2</t>
  </si>
  <si>
    <t>TR-LINE-01424-2</t>
  </si>
  <si>
    <t>PAY-01425-1</t>
  </si>
  <si>
    <t>TX-S02-0425</t>
  </si>
  <si>
    <t>TR-LINE-01425-1</t>
  </si>
  <si>
    <t>PAY-01425-2</t>
  </si>
  <si>
    <t>TR-LINE-01425-2</t>
  </si>
  <si>
    <t>PAY-01426-1</t>
  </si>
  <si>
    <t>TX-S02-0426</t>
  </si>
  <si>
    <t>TR-LINE-01426-1</t>
  </si>
  <si>
    <t>PAY-01427-1</t>
  </si>
  <si>
    <t>TX-S02-0427</t>
  </si>
  <si>
    <t>TR-LINE-01427-1</t>
  </si>
  <si>
    <t>PAY-01428-1</t>
  </si>
  <si>
    <t>TX-S02-0428</t>
  </si>
  <si>
    <t>TR-LINE-01428-1</t>
  </si>
  <si>
    <t>PAY-01428-2</t>
  </si>
  <si>
    <t>TR-LINE-01428-2</t>
  </si>
  <si>
    <t>PAY-01429-1</t>
  </si>
  <si>
    <t>TX-S02-0429</t>
  </si>
  <si>
    <t>TR-LINE-01429-1</t>
  </si>
  <si>
    <t>PAY-01430-1</t>
  </si>
  <si>
    <t>TX-S02-0430</t>
  </si>
  <si>
    <t>TR-LINE-01430-1</t>
  </si>
  <si>
    <t>PAY-01431-1</t>
  </si>
  <si>
    <t>TX-S02-0431</t>
  </si>
  <si>
    <t>TR-LINE-01431-1</t>
  </si>
  <si>
    <t>PAY-01432-1</t>
  </si>
  <si>
    <t>TX-S02-0432</t>
  </si>
  <si>
    <t>TR-LINE-01432-1</t>
  </si>
  <si>
    <t>PAY-01433-1</t>
  </si>
  <si>
    <t>TX-S02-0433</t>
  </si>
  <si>
    <t>TR-LINE-01433-1</t>
  </si>
  <si>
    <t>PAY-01434-1</t>
  </si>
  <si>
    <t>TX-S02-0434</t>
  </si>
  <si>
    <t>TR-LINE-01434-1</t>
  </si>
  <si>
    <t>PAY-01434-2</t>
  </si>
  <si>
    <t>TR-LINE-01434-2</t>
  </si>
  <si>
    <t>PAY-01435-1</t>
  </si>
  <si>
    <t>TX-S02-0435</t>
  </si>
  <si>
    <t>TR-LINE-01435-1</t>
  </si>
  <si>
    <t>PAY-01435-2</t>
  </si>
  <si>
    <t>TR-LINE-01435-2</t>
  </si>
  <si>
    <t>PAY-01436-1</t>
  </si>
  <si>
    <t>TX-S02-0436</t>
  </si>
  <si>
    <t>TR-LINE-01436-1</t>
  </si>
  <si>
    <t>PAY-01437-1</t>
  </si>
  <si>
    <t>TX-S02-0437</t>
  </si>
  <si>
    <t>TR-LINE-01437-1</t>
  </si>
  <si>
    <t>PAY-01438-1</t>
  </si>
  <si>
    <t>TX-S02-0438</t>
  </si>
  <si>
    <t>TR-LINE-01438-1</t>
  </si>
  <si>
    <t>PAY-01438-2</t>
  </si>
  <si>
    <t>TR-LINE-01438-2</t>
  </si>
  <si>
    <t>PAY-01439-1</t>
  </si>
  <si>
    <t>TX-S02-0439</t>
  </si>
  <si>
    <t>TR-LINE-01439-1</t>
  </si>
  <si>
    <t>PAY-01440-1</t>
  </si>
  <si>
    <t>TX-S02-0440</t>
  </si>
  <si>
    <t>TR-LINE-01440-1</t>
  </si>
  <si>
    <t>PAY-01441-1</t>
  </si>
  <si>
    <t>TX-S02-0441</t>
  </si>
  <si>
    <t>TR-LINE-01441-1</t>
  </si>
  <si>
    <t>PAY-01442-1</t>
  </si>
  <si>
    <t>TX-S02-0442</t>
  </si>
  <si>
    <t>TR-LINE-01442-1</t>
  </si>
  <si>
    <t>PAY-01443-1</t>
  </si>
  <si>
    <t>TX-S02-0443</t>
  </si>
  <si>
    <t>TR-LINE-01443-1</t>
  </si>
  <si>
    <t>PAY-01444-1</t>
  </si>
  <si>
    <t>TX-S02-0444</t>
  </si>
  <si>
    <t>TR-LINE-01444-1</t>
  </si>
  <si>
    <t>PAY-01444-2</t>
  </si>
  <si>
    <t>TR-LINE-01444-2</t>
  </si>
  <si>
    <t>PAY-01445-1</t>
  </si>
  <si>
    <t>TX-S02-0445</t>
  </si>
  <si>
    <t>TR-LINE-01445-1</t>
  </si>
  <si>
    <t>PAY-01445-2</t>
  </si>
  <si>
    <t>TR-LINE-01445-2</t>
  </si>
  <si>
    <t>PAY-01446-1</t>
  </si>
  <si>
    <t>TX-S02-0446</t>
  </si>
  <si>
    <t>TR-LINE-01446-1</t>
  </si>
  <si>
    <t>PAY-01447-1</t>
  </si>
  <si>
    <t>TX-S02-0447</t>
  </si>
  <si>
    <t>TR-LINE-01447-1</t>
  </si>
  <si>
    <t>PAY-01448-1</t>
  </si>
  <si>
    <t>TX-S02-0448</t>
  </si>
  <si>
    <t>TR-LINE-01448-1</t>
  </si>
  <si>
    <t>PAY-01448-2</t>
  </si>
  <si>
    <t>TR-LINE-01448-2</t>
  </si>
  <si>
    <t>PAY-01449-1</t>
  </si>
  <si>
    <t>TX-S02-0449</t>
  </si>
  <si>
    <t>TR-LINE-01449-1</t>
  </si>
  <si>
    <t>PAY-01450-1</t>
  </si>
  <si>
    <t>TX-S02-0450</t>
  </si>
  <si>
    <t>TR-LINE-01450-1</t>
  </si>
  <si>
    <t>PAY-01451-1</t>
  </si>
  <si>
    <t>TX-S02-0451</t>
  </si>
  <si>
    <t>TR-LINE-01451-1</t>
  </si>
  <si>
    <t>PAY-01452-1</t>
  </si>
  <si>
    <t>TX-S02-0452</t>
  </si>
  <si>
    <t>TR-LINE-01452-1</t>
  </si>
  <si>
    <t>PAY-01453-1</t>
  </si>
  <si>
    <t>TX-S02-0453</t>
  </si>
  <si>
    <t>TR-LINE-01453-1</t>
  </si>
  <si>
    <t>PAY-01454-1</t>
  </si>
  <si>
    <t>TX-S02-0454</t>
  </si>
  <si>
    <t>TR-LINE-01454-1</t>
  </si>
  <si>
    <t>PAY-01454-2</t>
  </si>
  <si>
    <t>TR-LINE-01454-2</t>
  </si>
  <si>
    <t>PAY-01455-1</t>
  </si>
  <si>
    <t>TX-S02-0455</t>
  </si>
  <si>
    <t>TR-LINE-01455-1</t>
  </si>
  <si>
    <t>PAY-01455-2</t>
  </si>
  <si>
    <t>TR-LINE-01455-2</t>
  </si>
  <si>
    <t>PAY-01456-1</t>
  </si>
  <si>
    <t>TX-S02-0456</t>
  </si>
  <si>
    <t>TR-LINE-01456-1</t>
  </si>
  <si>
    <t>PAY-01457-1</t>
  </si>
  <si>
    <t>TX-S02-0457</t>
  </si>
  <si>
    <t>TR-LINE-01457-1</t>
  </si>
  <si>
    <t>PAY-01458-1</t>
  </si>
  <si>
    <t>TX-S02-0458</t>
  </si>
  <si>
    <t>TR-LINE-01458-1</t>
  </si>
  <si>
    <t>PAY-01458-2</t>
  </si>
  <si>
    <t>TR-LINE-01458-2</t>
  </si>
  <si>
    <t>PAY-01459-1</t>
  </si>
  <si>
    <t>TX-S02-0459</t>
  </si>
  <si>
    <t>TR-LINE-01459-1</t>
  </si>
  <si>
    <t>PAY-01460-1</t>
  </si>
  <si>
    <t>TX-S02-0460</t>
  </si>
  <si>
    <t>TR-LINE-01460-1</t>
  </si>
  <si>
    <t>PAY-01461-1</t>
  </si>
  <si>
    <t>TX-S02-0461</t>
  </si>
  <si>
    <t>TR-LINE-01461-1</t>
  </si>
  <si>
    <t>PAY-01462-1</t>
  </si>
  <si>
    <t>TX-S02-0462</t>
  </si>
  <si>
    <t>TR-LINE-01462-1</t>
  </si>
  <si>
    <t>PAY-01463-1</t>
  </si>
  <si>
    <t>TX-S02-0463</t>
  </si>
  <si>
    <t>TR-LINE-01463-1</t>
  </si>
  <si>
    <t>PAY-01464-1</t>
  </si>
  <si>
    <t>TX-S02-0464</t>
  </si>
  <si>
    <t>TR-LINE-01464-1</t>
  </si>
  <si>
    <t>PAY-01464-2</t>
  </si>
  <si>
    <t>TR-LINE-01464-2</t>
  </si>
  <si>
    <t>PAY-01465-1</t>
  </si>
  <si>
    <t>TX-S02-0465</t>
  </si>
  <si>
    <t>TR-LINE-01465-1</t>
  </si>
  <si>
    <t>PAY-01465-2</t>
  </si>
  <si>
    <t>TR-LINE-01465-2</t>
  </si>
  <si>
    <t>PAY-01466-1</t>
  </si>
  <si>
    <t>TX-S02-0466</t>
  </si>
  <si>
    <t>TR-LINE-01466-1</t>
  </si>
  <si>
    <t>PAY-01467-1</t>
  </si>
  <si>
    <t>TX-S02-0467</t>
  </si>
  <si>
    <t>TR-LINE-01467-1</t>
  </si>
  <si>
    <t>PAY-01468-1</t>
  </si>
  <si>
    <t>TX-S02-0468</t>
  </si>
  <si>
    <t>TR-LINE-01468-1</t>
  </si>
  <si>
    <t>PAY-01468-2</t>
  </si>
  <si>
    <t>TR-LINE-01468-2</t>
  </si>
  <si>
    <t>PAY-01469-1</t>
  </si>
  <si>
    <t>TX-S02-0469</t>
  </si>
  <si>
    <t>TR-LINE-01469-1</t>
  </si>
  <si>
    <t>PAY-01470-1</t>
  </si>
  <si>
    <t>TX-S02-0470</t>
  </si>
  <si>
    <t>TR-LINE-01470-1</t>
  </si>
  <si>
    <t>PAY-01471-1</t>
  </si>
  <si>
    <t>TX-S02-0471</t>
  </si>
  <si>
    <t>TR-LINE-01471-1</t>
  </si>
  <si>
    <t>PAY-01472-1</t>
  </si>
  <si>
    <t>TX-S02-0472</t>
  </si>
  <si>
    <t>TR-LINE-01472-1</t>
  </si>
  <si>
    <t>PAY-01473-1</t>
  </si>
  <si>
    <t>TX-S02-0473</t>
  </si>
  <si>
    <t>TR-LINE-01473-1</t>
  </si>
  <si>
    <t>PAY-01474-1</t>
  </si>
  <si>
    <t>TX-S02-0474</t>
  </si>
  <si>
    <t>TR-LINE-01474-1</t>
  </si>
  <si>
    <t>PAY-01474-2</t>
  </si>
  <si>
    <t>TR-LINE-01474-2</t>
  </si>
  <si>
    <t>PAY-01475-1</t>
  </si>
  <si>
    <t>TX-S02-0475</t>
  </si>
  <si>
    <t>TR-LINE-01475-1</t>
  </si>
  <si>
    <t>PAY-01475-2</t>
  </si>
  <si>
    <t>TR-LINE-01475-2</t>
  </si>
  <si>
    <t>PAY-01476-1</t>
  </si>
  <si>
    <t>TX-S02-0476</t>
  </si>
  <si>
    <t>TR-LINE-01476-1</t>
  </si>
  <si>
    <t>PAY-01477-1</t>
  </si>
  <si>
    <t>TX-S02-0477</t>
  </si>
  <si>
    <t>TR-LINE-01477-1</t>
  </si>
  <si>
    <t>PAY-01478-1</t>
  </si>
  <si>
    <t>TX-S02-0478</t>
  </si>
  <si>
    <t>TR-LINE-01478-1</t>
  </si>
  <si>
    <t>PAY-01478-2</t>
  </si>
  <si>
    <t>TR-LINE-01478-2</t>
  </si>
  <si>
    <t>PAY-01479-1</t>
  </si>
  <si>
    <t>TX-S02-0479</t>
  </si>
  <si>
    <t>TR-LINE-01479-1</t>
  </si>
  <si>
    <t>PAY-01480-1</t>
  </si>
  <si>
    <t>TX-S02-0480</t>
  </si>
  <si>
    <t>TR-LINE-01480-1</t>
  </si>
  <si>
    <t>PAY-01481-1</t>
  </si>
  <si>
    <t>TX-S02-0481</t>
  </si>
  <si>
    <t>TR-LINE-01481-1</t>
  </si>
  <si>
    <t>PAY-01482-1</t>
  </si>
  <si>
    <t>TX-S02-0482</t>
  </si>
  <si>
    <t>TR-LINE-01482-1</t>
  </si>
  <si>
    <t>PAY-01483-1</t>
  </si>
  <si>
    <t>TX-S02-0483</t>
  </si>
  <si>
    <t>TR-LINE-01483-1</t>
  </si>
  <si>
    <t>PAY-01484-1</t>
  </si>
  <si>
    <t>TX-S02-0484</t>
  </si>
  <si>
    <t>TR-LINE-01484-1</t>
  </si>
  <si>
    <t>PAY-01484-2</t>
  </si>
  <si>
    <t>TR-LINE-01484-2</t>
  </si>
  <si>
    <t>PAY-01485-1</t>
  </si>
  <si>
    <t>TX-S02-0485</t>
  </si>
  <si>
    <t>TR-LINE-01485-1</t>
  </si>
  <si>
    <t>PAY-01485-2</t>
  </si>
  <si>
    <t>TR-LINE-01485-2</t>
  </si>
  <si>
    <t>PAY-01486-1</t>
  </si>
  <si>
    <t>TX-S02-0486</t>
  </si>
  <si>
    <t>TR-LINE-01486-1</t>
  </si>
  <si>
    <t>PAY-01487-1</t>
  </si>
  <si>
    <t>TX-S02-0487</t>
  </si>
  <si>
    <t>TR-LINE-01487-1</t>
  </si>
  <si>
    <t>PAY-01488-1</t>
  </si>
  <si>
    <t>TX-S02-0488</t>
  </si>
  <si>
    <t>TR-LINE-01488-1</t>
  </si>
  <si>
    <t>PAY-01488-2</t>
  </si>
  <si>
    <t>TR-LINE-01488-2</t>
  </si>
  <si>
    <t>PAY-01489-1</t>
  </si>
  <si>
    <t>TX-S02-0489</t>
  </si>
  <si>
    <t>TR-LINE-01489-1</t>
  </si>
  <si>
    <t>PAY-01490-1</t>
  </si>
  <si>
    <t>TX-S02-0490</t>
  </si>
  <si>
    <t>TR-LINE-01490-1</t>
  </si>
  <si>
    <t>PAY-01491-1</t>
  </si>
  <si>
    <t>TX-S02-0491</t>
  </si>
  <si>
    <t>TR-LINE-01491-1</t>
  </si>
  <si>
    <t>PAY-01492-1</t>
  </si>
  <si>
    <t>TX-S02-0492</t>
  </si>
  <si>
    <t>TR-LINE-01492-1</t>
  </si>
  <si>
    <t>PAY-01493-1</t>
  </si>
  <si>
    <t>TX-S02-0493</t>
  </si>
  <si>
    <t>TR-LINE-01493-1</t>
  </si>
  <si>
    <t>PAY-01494-1</t>
  </si>
  <si>
    <t>TX-S02-0494</t>
  </si>
  <si>
    <t>TR-LINE-01494-1</t>
  </si>
  <si>
    <t>PAY-01494-2</t>
  </si>
  <si>
    <t>TR-LINE-01494-2</t>
  </si>
  <si>
    <t>PAY-01495-1</t>
  </si>
  <si>
    <t>TX-S02-0495</t>
  </si>
  <si>
    <t>TR-LINE-01495-1</t>
  </si>
  <si>
    <t>PAY-01495-2</t>
  </si>
  <si>
    <t>TR-LINE-01495-2</t>
  </si>
  <si>
    <t>PAY-01496-1</t>
  </si>
  <si>
    <t>TX-S02-0496</t>
  </si>
  <si>
    <t>TR-LINE-01496-1</t>
  </si>
  <si>
    <t>PAY-01497-1</t>
  </si>
  <si>
    <t>TX-S02-0497</t>
  </si>
  <si>
    <t>TR-LINE-01497-1</t>
  </si>
  <si>
    <t>PAY-01498-1</t>
  </si>
  <si>
    <t>TX-S02-0498</t>
  </si>
  <si>
    <t>TR-LINE-01498-1</t>
  </si>
  <si>
    <t>PAY-01498-2</t>
  </si>
  <si>
    <t>TR-LINE-01498-2</t>
  </si>
  <si>
    <t>PAY-01499-1</t>
  </si>
  <si>
    <t>TX-S02-0499</t>
  </si>
  <si>
    <t>TR-LINE-01499-1</t>
  </si>
  <si>
    <t>PAY-01500-1</t>
  </si>
  <si>
    <t>TX-S02-0500</t>
  </si>
  <si>
    <t>TR-LINE-01500-1</t>
  </si>
  <si>
    <t>PAY-01501-1</t>
  </si>
  <si>
    <t>TX-S02-0501</t>
  </si>
  <si>
    <t>TR-LINE-01501-1</t>
  </si>
  <si>
    <t>PAY-01502-1</t>
  </si>
  <si>
    <t>TX-S02-0502</t>
  </si>
  <si>
    <t>TR-LINE-01502-1</t>
  </si>
  <si>
    <t>PAY-01503-1</t>
  </si>
  <si>
    <t>TX-S02-0503</t>
  </si>
  <si>
    <t>TR-LINE-01503-1</t>
  </si>
  <si>
    <t>PAY-01504-1</t>
  </si>
  <si>
    <t>TX-S02-0504</t>
  </si>
  <si>
    <t>TR-LINE-01504-1</t>
  </si>
  <si>
    <t>PAY-01504-2</t>
  </si>
  <si>
    <t>TR-LINE-01504-2</t>
  </si>
  <si>
    <t>PAY-01505-1</t>
  </si>
  <si>
    <t>TX-S02-0505</t>
  </si>
  <si>
    <t>TR-LINE-01505-1</t>
  </si>
  <si>
    <t>PAY-01505-2</t>
  </si>
  <si>
    <t>TR-LINE-01505-2</t>
  </si>
  <si>
    <t>PAY-01506-1</t>
  </si>
  <si>
    <t>TX-S02-0506</t>
  </si>
  <si>
    <t>TR-LINE-01506-1</t>
  </si>
  <si>
    <t>PAY-01507-1</t>
  </si>
  <si>
    <t>TX-S02-0507</t>
  </si>
  <si>
    <t>TR-LINE-01507-1</t>
  </si>
  <si>
    <t>PAY-01508-1</t>
  </si>
  <si>
    <t>TX-S02-0508</t>
  </si>
  <si>
    <t>TR-LINE-01508-1</t>
  </si>
  <si>
    <t>PAY-01508-2</t>
  </si>
  <si>
    <t>TR-LINE-01508-2</t>
  </si>
  <si>
    <t>PAY-01509-1</t>
  </si>
  <si>
    <t>TX-S02-0509</t>
  </si>
  <si>
    <t>TR-LINE-01509-1</t>
  </si>
  <si>
    <t>PAY-01510-1</t>
  </si>
  <si>
    <t>TX-S02-0510</t>
  </si>
  <si>
    <t>TR-LINE-01510-1</t>
  </si>
  <si>
    <t>PAY-01511-1</t>
  </si>
  <si>
    <t>TX-S02-0511</t>
  </si>
  <si>
    <t>TR-LINE-01511-1</t>
  </si>
  <si>
    <t>PAY-01512-1</t>
  </si>
  <si>
    <t>TX-S02-0512</t>
  </si>
  <si>
    <t>TR-LINE-01512-1</t>
  </si>
  <si>
    <t>PAY-01513-1</t>
  </si>
  <si>
    <t>TX-S02-0513</t>
  </si>
  <si>
    <t>TR-LINE-01513-1</t>
  </si>
  <si>
    <t>PAY-01514-1</t>
  </si>
  <si>
    <t>TX-S02-0514</t>
  </si>
  <si>
    <t>TR-LINE-01514-1</t>
  </si>
  <si>
    <t>PAY-01514-2</t>
  </si>
  <si>
    <t>TR-LINE-01514-2</t>
  </si>
  <si>
    <t>PAY-01515-1</t>
  </si>
  <si>
    <t>TX-S02-0515</t>
  </si>
  <si>
    <t>TR-LINE-01515-1</t>
  </si>
  <si>
    <t>PAY-01515-2</t>
  </si>
  <si>
    <t>TR-LINE-01515-2</t>
  </si>
  <si>
    <t>PAY-01516-1</t>
  </si>
  <si>
    <t>TX-S02-0516</t>
  </si>
  <si>
    <t>TR-LINE-01516-1</t>
  </si>
  <si>
    <t>PAY-01517-1</t>
  </si>
  <si>
    <t>TX-S02-0517</t>
  </si>
  <si>
    <t>TR-LINE-01517-1</t>
  </si>
  <si>
    <t>PAY-01518-1</t>
  </si>
  <si>
    <t>TX-S02-0518</t>
  </si>
  <si>
    <t>TR-LINE-01518-1</t>
  </si>
  <si>
    <t>PAY-01518-2</t>
  </si>
  <si>
    <t>TR-LINE-01518-2</t>
  </si>
  <si>
    <t>PAY-01519-1</t>
  </si>
  <si>
    <t>TX-S02-0519</t>
  </si>
  <si>
    <t>TR-LINE-01519-1</t>
  </si>
  <si>
    <t>PAY-01520-1</t>
  </si>
  <si>
    <t>TX-S02-0520</t>
  </si>
  <si>
    <t>TR-LINE-01520-1</t>
  </si>
  <si>
    <t>PAY-01521-1</t>
  </si>
  <si>
    <t>TX-S02-0521</t>
  </si>
  <si>
    <t>TR-LINE-01521-1</t>
  </si>
  <si>
    <t>PAY-01522-1</t>
  </si>
  <si>
    <t>TX-S02-0522</t>
  </si>
  <si>
    <t>TR-LINE-01522-1</t>
  </si>
  <si>
    <t>PAY-01523-1</t>
  </si>
  <si>
    <t>TX-S02-0523</t>
  </si>
  <si>
    <t>TR-LINE-01523-1</t>
  </si>
  <si>
    <t>PAY-01524-1</t>
  </si>
  <si>
    <t>TX-S02-0524</t>
  </si>
  <si>
    <t>TR-LINE-01524-1</t>
  </si>
  <si>
    <t>PAY-01524-2</t>
  </si>
  <si>
    <t>TR-LINE-01524-2</t>
  </si>
  <si>
    <t>PAY-01525-1</t>
  </si>
  <si>
    <t>TX-S02-0525</t>
  </si>
  <si>
    <t>TR-LINE-01525-1</t>
  </si>
  <si>
    <t>PAY-01525-2</t>
  </si>
  <si>
    <t>TR-LINE-01525-2</t>
  </si>
  <si>
    <t>PAY-01526-1</t>
  </si>
  <si>
    <t>TX-S02-0526</t>
  </si>
  <si>
    <t>TR-LINE-01526-1</t>
  </si>
  <si>
    <t>PAY-01527-1</t>
  </si>
  <si>
    <t>TX-S02-0527</t>
  </si>
  <si>
    <t>TR-LINE-01527-1</t>
  </si>
  <si>
    <t>PAY-01528-1</t>
  </si>
  <si>
    <t>TX-S02-0528</t>
  </si>
  <si>
    <t>TR-LINE-01528-1</t>
  </si>
  <si>
    <t>PAY-01528-2</t>
  </si>
  <si>
    <t>TR-LINE-01528-2</t>
  </si>
  <si>
    <t>PAY-01529-1</t>
  </si>
  <si>
    <t>TX-S02-0529</t>
  </si>
  <si>
    <t>TR-LINE-01529-1</t>
  </si>
  <si>
    <t>PAY-01530-1</t>
  </si>
  <si>
    <t>TX-S02-0530</t>
  </si>
  <si>
    <t>TR-LINE-01530-1</t>
  </si>
  <si>
    <t>PAY-01531-1</t>
  </si>
  <si>
    <t>TX-S02-0531</t>
  </si>
  <si>
    <t>TR-LINE-01531-1</t>
  </si>
  <si>
    <t>PAY-01532-1</t>
  </si>
  <si>
    <t>TX-S02-0532</t>
  </si>
  <si>
    <t>TR-LINE-01532-1</t>
  </si>
  <si>
    <t>PAY-01533-1</t>
  </si>
  <si>
    <t>TX-S02-0533</t>
  </si>
  <si>
    <t>TR-LINE-01533-1</t>
  </si>
  <si>
    <t>PAY-01534-1</t>
  </si>
  <si>
    <t>TX-S02-0534</t>
  </si>
  <si>
    <t>TR-LINE-01534-1</t>
  </si>
  <si>
    <t>PAY-01534-2</t>
  </si>
  <si>
    <t>TR-LINE-01534-2</t>
  </si>
  <si>
    <t>PAY-01535-1</t>
  </si>
  <si>
    <t>TX-S02-0535</t>
  </si>
  <si>
    <t>TR-LINE-01535-1</t>
  </si>
  <si>
    <t>PAY-01535-2</t>
  </si>
  <si>
    <t>TR-LINE-01535-2</t>
  </si>
  <si>
    <t>PAY-01536-1</t>
  </si>
  <si>
    <t>TX-S02-0536</t>
  </si>
  <si>
    <t>TR-LINE-01536-1</t>
  </si>
  <si>
    <t>PAY-01537-1</t>
  </si>
  <si>
    <t>TX-S02-0537</t>
  </si>
  <si>
    <t>TR-LINE-01537-1</t>
  </si>
  <si>
    <t>PAY-01538-1</t>
  </si>
  <si>
    <t>TX-S02-0538</t>
  </si>
  <si>
    <t>TR-LINE-01538-1</t>
  </si>
  <si>
    <t>PAY-01538-2</t>
  </si>
  <si>
    <t>TR-LINE-01538-2</t>
  </si>
  <si>
    <t>PAY-01539-1</t>
  </si>
  <si>
    <t>TX-S02-0539</t>
  </si>
  <si>
    <t>TR-LINE-01539-1</t>
  </si>
  <si>
    <t>PAY-01540-1</t>
  </si>
  <si>
    <t>TX-S02-0540</t>
  </si>
  <si>
    <t>TR-LINE-01540-1</t>
  </si>
  <si>
    <t>PAY-01541-1</t>
  </si>
  <si>
    <t>TX-S02-0541</t>
  </si>
  <si>
    <t>TR-LINE-01541-1</t>
  </si>
  <si>
    <t>PAY-01542-1</t>
  </si>
  <si>
    <t>TX-S02-0542</t>
  </si>
  <si>
    <t>TR-LINE-01542-1</t>
  </si>
  <si>
    <t>PAY-01543-1</t>
  </si>
  <si>
    <t>TX-S02-0543</t>
  </si>
  <si>
    <t>TR-LINE-01543-1</t>
  </si>
  <si>
    <t>PAY-01544-1</t>
  </si>
  <si>
    <t>TX-S02-0544</t>
  </si>
  <si>
    <t>TR-LINE-01544-1</t>
  </si>
  <si>
    <t>PAY-01544-2</t>
  </si>
  <si>
    <t>TR-LINE-01544-2</t>
  </si>
  <si>
    <t>PAY-01545-1</t>
  </si>
  <si>
    <t>TX-S02-0545</t>
  </si>
  <si>
    <t>TR-LINE-01545-1</t>
  </si>
  <si>
    <t>PAY-01545-2</t>
  </si>
  <si>
    <t>TR-LINE-01545-2</t>
  </si>
  <si>
    <t>PAY-01546-1</t>
  </si>
  <si>
    <t>TX-S02-0546</t>
  </si>
  <si>
    <t>TR-LINE-01546-1</t>
  </si>
  <si>
    <t>PAY-01547-1</t>
  </si>
  <si>
    <t>TX-S02-0547</t>
  </si>
  <si>
    <t>TR-LINE-01547-1</t>
  </si>
  <si>
    <t>PAY-01548-1</t>
  </si>
  <si>
    <t>TX-S02-0548</t>
  </si>
  <si>
    <t>TR-LINE-01548-1</t>
  </si>
  <si>
    <t>PAY-01548-2</t>
  </si>
  <si>
    <t>TR-LINE-01548-2</t>
  </si>
  <si>
    <t>PAY-01549-1</t>
  </si>
  <si>
    <t>TX-S02-0549</t>
  </si>
  <si>
    <t>TR-LINE-01549-1</t>
  </si>
  <si>
    <t>PAY-01550-1</t>
  </si>
  <si>
    <t>TX-S02-0550</t>
  </si>
  <si>
    <t>TR-LINE-01550-1</t>
  </si>
  <si>
    <t>PAY-01551-1</t>
  </si>
  <si>
    <t>TX-S02-0551</t>
  </si>
  <si>
    <t>TR-LINE-01551-1</t>
  </si>
  <si>
    <t>PAY-01552-1</t>
  </si>
  <si>
    <t>TX-S02-0552</t>
  </si>
  <si>
    <t>TR-LINE-01552-1</t>
  </si>
  <si>
    <t>PAY-01553-1</t>
  </si>
  <si>
    <t>TX-S02-0553</t>
  </si>
  <si>
    <t>TR-LINE-01553-1</t>
  </si>
  <si>
    <t>PAY-01554-1</t>
  </si>
  <si>
    <t>TX-S02-0554</t>
  </si>
  <si>
    <t>TR-LINE-01554-1</t>
  </si>
  <si>
    <t>PAY-01554-2</t>
  </si>
  <si>
    <t>TR-LINE-01554-2</t>
  </si>
  <si>
    <t>PAY-01555-1</t>
  </si>
  <si>
    <t>TX-S02-0555</t>
  </si>
  <si>
    <t>TR-LINE-01555-1</t>
  </si>
  <si>
    <t>PAY-01555-2</t>
  </si>
  <si>
    <t>TR-LINE-01555-2</t>
  </si>
  <si>
    <t>PAY-01556-1</t>
  </si>
  <si>
    <t>TX-S02-0556</t>
  </si>
  <si>
    <t>TR-LINE-01556-1</t>
  </si>
  <si>
    <t>PAY-01557-1</t>
  </si>
  <si>
    <t>TX-S02-0557</t>
  </si>
  <si>
    <t>TR-LINE-01557-1</t>
  </si>
  <si>
    <t>PAY-01558-1</t>
  </si>
  <si>
    <t>TX-S02-0558</t>
  </si>
  <si>
    <t>TR-LINE-01558-1</t>
  </si>
  <si>
    <t>PAY-01558-2</t>
  </si>
  <si>
    <t>TR-LINE-01558-2</t>
  </si>
  <si>
    <t>PAY-01559-1</t>
  </si>
  <si>
    <t>TX-S02-0559</t>
  </si>
  <si>
    <t>TR-LINE-01559-1</t>
  </si>
  <si>
    <t>PAY-01560-1</t>
  </si>
  <si>
    <t>TX-S02-0560</t>
  </si>
  <si>
    <t>TR-LINE-01560-1</t>
  </si>
  <si>
    <t>PAY-01561-1</t>
  </si>
  <si>
    <t>TX-S02-0561</t>
  </si>
  <si>
    <t>TR-LINE-01561-1</t>
  </si>
  <si>
    <t>PAY-01562-1</t>
  </si>
  <si>
    <t>TX-S02-0562</t>
  </si>
  <si>
    <t>TR-LINE-01562-1</t>
  </si>
  <si>
    <t>PAY-01563-1</t>
  </si>
  <si>
    <t>TX-S02-0563</t>
  </si>
  <si>
    <t>TR-LINE-01563-1</t>
  </si>
  <si>
    <t>PAY-01564-1</t>
  </si>
  <si>
    <t>TX-S02-0564</t>
  </si>
  <si>
    <t>TR-LINE-01564-1</t>
  </si>
  <si>
    <t>PAY-01564-2</t>
  </si>
  <si>
    <t>TR-LINE-01564-2</t>
  </si>
  <si>
    <t>PAY-01565-1</t>
  </si>
  <si>
    <t>TX-S02-0565</t>
  </si>
  <si>
    <t>TR-LINE-01565-1</t>
  </si>
  <si>
    <t>PAY-01565-2</t>
  </si>
  <si>
    <t>TR-LINE-01565-2</t>
  </si>
  <si>
    <t>PAY-01566-1</t>
  </si>
  <si>
    <t>TX-S02-0566</t>
  </si>
  <si>
    <t>TR-LINE-01566-1</t>
  </si>
  <si>
    <t>PAY-01567-1</t>
  </si>
  <si>
    <t>TX-S02-0567</t>
  </si>
  <si>
    <t>TR-LINE-01567-1</t>
  </si>
  <si>
    <t>PAY-01568-1</t>
  </si>
  <si>
    <t>TX-S02-0568</t>
  </si>
  <si>
    <t>TR-LINE-01568-1</t>
  </si>
  <si>
    <t>PAY-01568-2</t>
  </si>
  <si>
    <t>TR-LINE-01568-2</t>
  </si>
  <si>
    <t>PAY-01569-1</t>
  </si>
  <si>
    <t>TX-S02-0569</t>
  </si>
  <si>
    <t>TR-LINE-01569-1</t>
  </si>
  <si>
    <t>PAY-01570-1</t>
  </si>
  <si>
    <t>TX-S02-0570</t>
  </si>
  <si>
    <t>TR-LINE-01570-1</t>
  </si>
  <si>
    <t>PAY-01571-1</t>
  </si>
  <si>
    <t>TX-S02-0571</t>
  </si>
  <si>
    <t>TR-LINE-01571-1</t>
  </si>
  <si>
    <t>PAY-01572-1</t>
  </si>
  <si>
    <t>TX-S02-0572</t>
  </si>
  <si>
    <t>TR-LINE-01572-1</t>
  </si>
  <si>
    <t>PAY-01573-1</t>
  </si>
  <si>
    <t>TX-S02-0573</t>
  </si>
  <si>
    <t>TR-LINE-01573-1</t>
  </si>
  <si>
    <t>PAY-01574-1</t>
  </si>
  <si>
    <t>TX-S02-0574</t>
  </si>
  <si>
    <t>TR-LINE-01574-1</t>
  </si>
  <si>
    <t>PAY-01575-1</t>
  </si>
  <si>
    <t>TX-S02-0575</t>
  </si>
  <si>
    <t>TR-LINE-01575-1</t>
  </si>
  <si>
    <t>PAY-01575-2</t>
  </si>
  <si>
    <t>TR-LINE-01575-2</t>
  </si>
  <si>
    <t>PAY-01576-1</t>
  </si>
  <si>
    <t>TX-S02-0576</t>
  </si>
  <si>
    <t>TR-LINE-01576-1</t>
  </si>
  <si>
    <t>PAY-01577-1</t>
  </si>
  <si>
    <t>TX-S02-0577</t>
  </si>
  <si>
    <t>TR-LINE-01577-1</t>
  </si>
  <si>
    <t>PAY-01578-1</t>
  </si>
  <si>
    <t>TX-S02-0578</t>
  </si>
  <si>
    <t>TR-LINE-01578-1</t>
  </si>
  <si>
    <t>PAY-01578-2</t>
  </si>
  <si>
    <t>TR-LINE-01578-2</t>
  </si>
  <si>
    <t>PAY-01579-1</t>
  </si>
  <si>
    <t>TX-S02-0579</t>
  </si>
  <si>
    <t>TR-LINE-01579-1</t>
  </si>
  <si>
    <t>PAY-01580-1</t>
  </si>
  <si>
    <t>TX-S02-0580</t>
  </si>
  <si>
    <t>TR-LINE-01580-1</t>
  </si>
  <si>
    <t>PAY-01581-1</t>
  </si>
  <si>
    <t>TX-S02-0581</t>
  </si>
  <si>
    <t>TR-LINE-01581-1</t>
  </si>
  <si>
    <t>PAY-01582-1</t>
  </si>
  <si>
    <t>TX-S02-0582</t>
  </si>
  <si>
    <t>TR-LINE-01582-1</t>
  </si>
  <si>
    <t>PAY-01583-1</t>
  </si>
  <si>
    <t>TX-S02-0583</t>
  </si>
  <si>
    <t>TR-LINE-01583-1</t>
  </si>
  <si>
    <t>PAY-01584-1</t>
  </si>
  <si>
    <t>TX-S02-0584</t>
  </si>
  <si>
    <t>TR-LINE-01584-1</t>
  </si>
  <si>
    <t>PAY-01584-2</t>
  </si>
  <si>
    <t>TR-LINE-01584-2</t>
  </si>
  <si>
    <t>PAY-01585-1</t>
  </si>
  <si>
    <t>TX-S02-0585</t>
  </si>
  <si>
    <t>TR-LINE-01585-1</t>
  </si>
  <si>
    <t>PAY-01585-2</t>
  </si>
  <si>
    <t>TR-LINE-01585-2</t>
  </si>
  <si>
    <t>PAY-01586-1</t>
  </si>
  <si>
    <t>TX-S02-0586</t>
  </si>
  <si>
    <t>TR-LINE-01586-1</t>
  </si>
  <si>
    <t>PAY-01587-1</t>
  </si>
  <si>
    <t>TX-S02-0587</t>
  </si>
  <si>
    <t>TR-LINE-01587-1</t>
  </si>
  <si>
    <t>PAY-01588-1</t>
  </si>
  <si>
    <t>TX-S02-0588</t>
  </si>
  <si>
    <t>TR-LINE-01588-1</t>
  </si>
  <si>
    <t>PAY-01588-2</t>
  </si>
  <si>
    <t>TR-LINE-01588-2</t>
  </si>
  <si>
    <t>PAY-01589-1</t>
  </si>
  <si>
    <t>TX-S02-0589</t>
  </si>
  <si>
    <t>TR-LINE-01589-1</t>
  </si>
  <si>
    <t>PAY-01590-1</t>
  </si>
  <si>
    <t>TX-S02-0590</t>
  </si>
  <si>
    <t>TR-LINE-01590-1</t>
  </si>
  <si>
    <t>PAY-01591-1</t>
  </si>
  <si>
    <t>TX-S02-0591</t>
  </si>
  <si>
    <t>TR-LINE-01591-1</t>
  </si>
  <si>
    <t>PAY-01592-1</t>
  </si>
  <si>
    <t>TX-S02-0592</t>
  </si>
  <si>
    <t>TR-LINE-01592-1</t>
  </si>
  <si>
    <t>PAY-01593-1</t>
  </si>
  <si>
    <t>TX-S02-0593</t>
  </si>
  <si>
    <t>TR-LINE-01593-1</t>
  </si>
  <si>
    <t>PAY-01594-1</t>
  </si>
  <si>
    <t>TX-S02-0594</t>
  </si>
  <si>
    <t>TR-LINE-01594-1</t>
  </si>
  <si>
    <t>PAY-01594-2</t>
  </si>
  <si>
    <t>TR-LINE-01594-2</t>
  </si>
  <si>
    <t>PAY-01595-1</t>
  </si>
  <si>
    <t>TX-S02-0595</t>
  </si>
  <si>
    <t>TR-LINE-01595-1</t>
  </si>
  <si>
    <t>PAY-01595-2</t>
  </si>
  <si>
    <t>TR-LINE-01595-2</t>
  </si>
  <si>
    <t>PAY-01596-1</t>
  </si>
  <si>
    <t>TX-S02-0596</t>
  </si>
  <si>
    <t>TR-LINE-01596-1</t>
  </si>
  <si>
    <t>PAY-01597-1</t>
  </si>
  <si>
    <t>TX-S02-0597</t>
  </si>
  <si>
    <t>TR-LINE-01597-1</t>
  </si>
  <si>
    <t>PAY-01598-1</t>
  </si>
  <si>
    <t>TX-S02-0598</t>
  </si>
  <si>
    <t>TR-LINE-01598-1</t>
  </si>
  <si>
    <t>PAY-01598-2</t>
  </si>
  <si>
    <t>TR-LINE-01598-2</t>
  </si>
  <si>
    <t>PAY-01599-1</t>
  </si>
  <si>
    <t>TX-S02-0599</t>
  </si>
  <si>
    <t>TR-LINE-01599-1</t>
  </si>
  <si>
    <t>PAY-01600-1</t>
  </si>
  <si>
    <t>TX-S02-0600</t>
  </si>
  <si>
    <t>TR-LINE-01600-1</t>
  </si>
  <si>
    <t>PAY-01601-1</t>
  </si>
  <si>
    <t>TX-S02-0601</t>
  </si>
  <si>
    <t>TR-LINE-01601-1</t>
  </si>
  <si>
    <t>PAY-01602-1</t>
  </si>
  <si>
    <t>TX-S02-0602</t>
  </si>
  <si>
    <t>TR-LINE-01602-1</t>
  </si>
  <si>
    <t>PAY-01603-1</t>
  </si>
  <si>
    <t>TX-S02-0603</t>
  </si>
  <si>
    <t>TR-LINE-01603-1</t>
  </si>
  <si>
    <t>PAY-01604-1</t>
  </si>
  <si>
    <t>TX-S02-0604</t>
  </si>
  <si>
    <t>TR-LINE-01604-1</t>
  </si>
  <si>
    <t>PAY-01604-2</t>
  </si>
  <si>
    <t>TR-LINE-01604-2</t>
  </si>
  <si>
    <t>PAY-01605-1</t>
  </si>
  <si>
    <t>TX-S02-0605</t>
  </si>
  <si>
    <t>TR-LINE-01605-1</t>
  </si>
  <si>
    <t>PAY-01605-2</t>
  </si>
  <si>
    <t>TR-LINE-01605-2</t>
  </si>
  <si>
    <t>PAY-01606-1</t>
  </si>
  <si>
    <t>TX-S02-0606</t>
  </si>
  <si>
    <t>TR-LINE-01606-1</t>
  </si>
  <si>
    <t>PAY-01607-1</t>
  </si>
  <si>
    <t>TX-S02-0607</t>
  </si>
  <si>
    <t>TR-LINE-01607-1</t>
  </si>
  <si>
    <t>PAY-01608-1</t>
  </si>
  <si>
    <t>TX-S02-0608</t>
  </si>
  <si>
    <t>TR-LINE-01608-1</t>
  </si>
  <si>
    <t>PAY-01608-2</t>
  </si>
  <si>
    <t>TR-LINE-01608-2</t>
  </si>
  <si>
    <t>PAY-01609-1</t>
  </si>
  <si>
    <t>TX-S02-0609</t>
  </si>
  <si>
    <t>TR-LINE-01609-1</t>
  </si>
  <si>
    <t>PAY-01610-1</t>
  </si>
  <si>
    <t>TX-S02-0610</t>
  </si>
  <si>
    <t>TR-LINE-01610-1</t>
  </si>
  <si>
    <t>PAY-01611-1</t>
  </si>
  <si>
    <t>TX-S02-0611</t>
  </si>
  <si>
    <t>TR-LINE-01611-1</t>
  </si>
  <si>
    <t>PAY-01612-1</t>
  </si>
  <si>
    <t>TX-S02-0612</t>
  </si>
  <si>
    <t>TR-LINE-01612-1</t>
  </si>
  <si>
    <t>PAY-01613-1</t>
  </si>
  <si>
    <t>TX-S02-0613</t>
  </si>
  <si>
    <t>TR-LINE-01613-1</t>
  </si>
  <si>
    <t>PAY-01614-1</t>
  </si>
  <si>
    <t>TX-S02-0614</t>
  </si>
  <si>
    <t>TR-LINE-01614-1</t>
  </si>
  <si>
    <t>PAY-01614-2</t>
  </si>
  <si>
    <t>TR-LINE-01614-2</t>
  </si>
  <si>
    <t>PAY-01615-1</t>
  </si>
  <si>
    <t>TX-S02-0615</t>
  </si>
  <si>
    <t>TR-LINE-01615-1</t>
  </si>
  <si>
    <t>PAY-01616-1</t>
  </si>
  <si>
    <t>TX-S02-0616</t>
  </si>
  <si>
    <t>TR-LINE-01616-1</t>
  </si>
  <si>
    <t>PAY-01617-1</t>
  </si>
  <si>
    <t>TX-S02-0617</t>
  </si>
  <si>
    <t>TR-LINE-01617-1</t>
  </si>
  <si>
    <t>PAY-01618-1</t>
  </si>
  <si>
    <t>TX-S02-0618</t>
  </si>
  <si>
    <t>TR-LINE-01618-1</t>
  </si>
  <si>
    <t>PAY-01618-2</t>
  </si>
  <si>
    <t>TR-LINE-01618-2</t>
  </si>
  <si>
    <t>PAY-01619-1</t>
  </si>
  <si>
    <t>TX-S02-0619</t>
  </si>
  <si>
    <t>TR-LINE-01619-1</t>
  </si>
  <si>
    <t>PAY-01620-1</t>
  </si>
  <si>
    <t>TX-S02-0620</t>
  </si>
  <si>
    <t>TR-LINE-01620-1</t>
  </si>
  <si>
    <t>PAY-01621-1</t>
  </si>
  <si>
    <t>TX-S02-0621</t>
  </si>
  <si>
    <t>TR-LINE-01621-1</t>
  </si>
  <si>
    <t>PAY-01622-1</t>
  </si>
  <si>
    <t>TX-S02-0622</t>
  </si>
  <si>
    <t>TR-LINE-01622-1</t>
  </si>
  <si>
    <t>PAY-01623-1</t>
  </si>
  <si>
    <t>TX-S02-0623</t>
  </si>
  <si>
    <t>TR-LINE-01623-1</t>
  </si>
  <si>
    <t>PAY-01624-1</t>
  </si>
  <si>
    <t>TX-S02-0624</t>
  </si>
  <si>
    <t>TR-LINE-01624-1</t>
  </si>
  <si>
    <t>PAY-01624-2</t>
  </si>
  <si>
    <t>TR-LINE-01624-2</t>
  </si>
  <si>
    <t>PAY-01625-1</t>
  </si>
  <si>
    <t>TX-S02-0625</t>
  </si>
  <si>
    <t>TR-LINE-01625-1</t>
  </si>
  <si>
    <t>PAY-01625-2</t>
  </si>
  <si>
    <t>TR-LINE-01625-2</t>
  </si>
  <si>
    <t>PAY-01626-1</t>
  </si>
  <si>
    <t>TX-S02-0626</t>
  </si>
  <si>
    <t>TR-LINE-01626-1</t>
  </si>
  <si>
    <t>PAY-01627-1</t>
  </si>
  <si>
    <t>TX-S02-0627</t>
  </si>
  <si>
    <t>TR-LINE-01627-1</t>
  </si>
  <si>
    <t>PAY-01628-1</t>
  </si>
  <si>
    <t>TX-S02-0628</t>
  </si>
  <si>
    <t>TR-LINE-01628-1</t>
  </si>
  <si>
    <t>PAY-01628-2</t>
  </si>
  <si>
    <t>TR-LINE-01628-2</t>
  </si>
  <si>
    <t>PAY-01629-1</t>
  </si>
  <si>
    <t>TX-S02-0629</t>
  </si>
  <si>
    <t>TR-LINE-01629-1</t>
  </si>
  <si>
    <t>PAY-01630-1</t>
  </si>
  <si>
    <t>TX-S02-0630</t>
  </si>
  <si>
    <t>TR-LINE-01630-1</t>
  </si>
  <si>
    <t>PAY-01631-1</t>
  </si>
  <si>
    <t>TX-S02-0631</t>
  </si>
  <si>
    <t>TR-LINE-01631-1</t>
  </si>
  <si>
    <t>PAY-01632-1</t>
  </si>
  <si>
    <t>TX-S02-0632</t>
  </si>
  <si>
    <t>TR-LINE-01632-1</t>
  </si>
  <si>
    <t>PAY-01633-1</t>
  </si>
  <si>
    <t>TX-S02-0633</t>
  </si>
  <si>
    <t>TR-LINE-01633-1</t>
  </si>
  <si>
    <t>PAY-01634-1</t>
  </si>
  <si>
    <t>TX-S02-0634</t>
  </si>
  <si>
    <t>TR-LINE-01634-1</t>
  </si>
  <si>
    <t>PAY-01634-2</t>
  </si>
  <si>
    <t>TR-LINE-01634-2</t>
  </si>
  <si>
    <t>PAY-01635-1</t>
  </si>
  <si>
    <t>TX-S02-0635</t>
  </si>
  <si>
    <t>TR-LINE-01635-1</t>
  </si>
  <si>
    <t>PAY-01635-2</t>
  </si>
  <si>
    <t>TR-LINE-01635-2</t>
  </si>
  <si>
    <t>PAY-01636-1</t>
  </si>
  <si>
    <t>TX-S02-0636</t>
  </si>
  <si>
    <t>TR-LINE-01636-1</t>
  </si>
  <si>
    <t>PAY-01637-1</t>
  </si>
  <si>
    <t>TX-S02-0637</t>
  </si>
  <si>
    <t>TR-LINE-01637-1</t>
  </si>
  <si>
    <t>PAY-01638-1</t>
  </si>
  <si>
    <t>TX-S02-0638</t>
  </si>
  <si>
    <t>TR-LINE-01638-1</t>
  </si>
  <si>
    <t>PAY-01638-2</t>
  </si>
  <si>
    <t>TR-LINE-01638-2</t>
  </si>
  <si>
    <t>PAY-01639-1</t>
  </si>
  <si>
    <t>TX-S02-0639</t>
  </si>
  <si>
    <t>TR-LINE-01639-1</t>
  </si>
  <si>
    <t>PAY-01640-1</t>
  </si>
  <si>
    <t>TX-S02-0640</t>
  </si>
  <si>
    <t>TR-LINE-01640-1</t>
  </si>
  <si>
    <t>PAY-01641-1</t>
  </si>
  <si>
    <t>TX-S02-0641</t>
  </si>
  <si>
    <t>TR-LINE-01641-1</t>
  </si>
  <si>
    <t>PAY-01642-1</t>
  </si>
  <si>
    <t>TX-S02-0642</t>
  </si>
  <si>
    <t>TR-LINE-01642-1</t>
  </si>
  <si>
    <t>PAY-01643-1</t>
  </si>
  <si>
    <t>TX-S02-0643</t>
  </si>
  <si>
    <t>TR-LINE-01643-1</t>
  </si>
  <si>
    <t>PAY-01644-1</t>
  </si>
  <si>
    <t>TX-S02-0644</t>
  </si>
  <si>
    <t>TR-LINE-01644-1</t>
  </si>
  <si>
    <t>PAY-01644-2</t>
  </si>
  <si>
    <t>TR-LINE-01644-2</t>
  </si>
  <si>
    <t>PAY-01645-1</t>
  </si>
  <si>
    <t>TX-S02-0645</t>
  </si>
  <si>
    <t>TR-LINE-01645-1</t>
  </si>
  <si>
    <t>PAY-01645-2</t>
  </si>
  <si>
    <t>TR-LINE-01645-2</t>
  </si>
  <si>
    <t>PAY-01646-1</t>
  </si>
  <si>
    <t>TX-S02-0646</t>
  </si>
  <si>
    <t>TR-LINE-01646-1</t>
  </si>
  <si>
    <t>PAY-01647-1</t>
  </si>
  <si>
    <t>TX-S02-0647</t>
  </si>
  <si>
    <t>TR-LINE-01647-1</t>
  </si>
  <si>
    <t>PAY-01648-1</t>
  </si>
  <si>
    <t>TX-S02-0648</t>
  </si>
  <si>
    <t>TR-LINE-01648-1</t>
  </si>
  <si>
    <t>PAY-01648-2</t>
  </si>
  <si>
    <t>TR-LINE-01648-2</t>
  </si>
  <si>
    <t>PAY-01649-1</t>
  </si>
  <si>
    <t>TX-S02-0649</t>
  </si>
  <si>
    <t>TR-LINE-01649-1</t>
  </si>
  <si>
    <t>PAY-01650-1</t>
  </si>
  <si>
    <t>TX-S02-0650</t>
  </si>
  <si>
    <t>TR-LINE-01650-1</t>
  </si>
  <si>
    <t>PAY-01651-1</t>
  </si>
  <si>
    <t>TX-S02-0651</t>
  </si>
  <si>
    <t>TR-LINE-01651-1</t>
  </si>
  <si>
    <t>PAY-01652-1</t>
  </si>
  <si>
    <t>TX-S02-0652</t>
  </si>
  <si>
    <t>TR-LINE-01652-1</t>
  </si>
  <si>
    <t>PAY-01653-1</t>
  </si>
  <si>
    <t>TX-S02-0653</t>
  </si>
  <si>
    <t>TR-LINE-01653-1</t>
  </si>
  <si>
    <t>PAY-01654-1</t>
  </si>
  <si>
    <t>TX-S02-0654</t>
  </si>
  <si>
    <t>TR-LINE-01654-1</t>
  </si>
  <si>
    <t>PAY-01654-2</t>
  </si>
  <si>
    <t>TR-LINE-01654-2</t>
  </si>
  <si>
    <t>PAY-01655-1</t>
  </si>
  <si>
    <t>TX-S02-0655</t>
  </si>
  <si>
    <t>TR-LINE-01655-1</t>
  </si>
  <si>
    <t>PAY-01655-2</t>
  </si>
  <si>
    <t>TR-LINE-01655-2</t>
  </si>
  <si>
    <t>PAY-01656-1</t>
  </si>
  <si>
    <t>TX-S02-0656</t>
  </si>
  <si>
    <t>TR-LINE-01656-1</t>
  </si>
  <si>
    <t>PAY-01657-1</t>
  </si>
  <si>
    <t>TX-S02-0657</t>
  </si>
  <si>
    <t>TR-LINE-01657-1</t>
  </si>
  <si>
    <t>PAY-01658-1</t>
  </si>
  <si>
    <t>TX-S02-0658</t>
  </si>
  <si>
    <t>TR-LINE-01658-1</t>
  </si>
  <si>
    <t>PAY-01658-2</t>
  </si>
  <si>
    <t>TR-LINE-01658-2</t>
  </si>
  <si>
    <t>PAY-01659-1</t>
  </si>
  <si>
    <t>TX-S02-0659</t>
  </si>
  <si>
    <t>TR-LINE-01659-1</t>
  </si>
  <si>
    <t>PAY-01660-1</t>
  </si>
  <si>
    <t>TX-S02-0660</t>
  </si>
  <si>
    <t>TR-LINE-01660-1</t>
  </si>
  <si>
    <t>PAY-01661-1</t>
  </si>
  <si>
    <t>TX-S02-0661</t>
  </si>
  <si>
    <t>TR-LINE-01661-1</t>
  </si>
  <si>
    <t>PAY-01662-1</t>
  </si>
  <si>
    <t>TX-S02-0662</t>
  </si>
  <si>
    <t>TR-LINE-01662-1</t>
  </si>
  <si>
    <t>PAY-01663-1</t>
  </si>
  <si>
    <t>TX-S02-0663</t>
  </si>
  <si>
    <t>TR-LINE-01663-1</t>
  </si>
  <si>
    <t>PAY-01664-1</t>
  </si>
  <si>
    <t>TX-S02-0664</t>
  </si>
  <si>
    <t>TR-LINE-01664-1</t>
  </si>
  <si>
    <t>PAY-01664-2</t>
  </si>
  <si>
    <t>TR-LINE-01664-2</t>
  </si>
  <si>
    <t>PAY-01665-1</t>
  </si>
  <si>
    <t>TX-S02-0665</t>
  </si>
  <si>
    <t>TR-LINE-01665-1</t>
  </si>
  <si>
    <t>PAY-01665-2</t>
  </si>
  <si>
    <t>TR-LINE-01665-2</t>
  </si>
  <si>
    <t>PAY-01666-1</t>
  </si>
  <si>
    <t>TX-S02-0666</t>
  </si>
  <si>
    <t>TR-LINE-01666-1</t>
  </si>
  <si>
    <t>PAY-01667-1</t>
  </si>
  <si>
    <t>TX-S02-0667</t>
  </si>
  <si>
    <t>TR-LINE-01667-1</t>
  </si>
  <si>
    <t>PAY-01668-1</t>
  </si>
  <si>
    <t>TX-S02-0668</t>
  </si>
  <si>
    <t>TR-LINE-01668-1</t>
  </si>
  <si>
    <t>PAY-01668-2</t>
  </si>
  <si>
    <t>TR-LINE-01668-2</t>
  </si>
  <si>
    <t>PAY-01669-1</t>
  </si>
  <si>
    <t>TX-S02-0669</t>
  </si>
  <si>
    <t>TR-LINE-01669-1</t>
  </si>
  <si>
    <t>PAY-01670-1</t>
  </si>
  <si>
    <t>TX-S02-0670</t>
  </si>
  <si>
    <t>TR-LINE-01670-1</t>
  </si>
  <si>
    <t>PAY-01671-1</t>
  </si>
  <si>
    <t>TX-S02-0671</t>
  </si>
  <si>
    <t>TR-LINE-01671-1</t>
  </si>
  <si>
    <t>PAY-01672-1</t>
  </si>
  <si>
    <t>TX-S02-0672</t>
  </si>
  <si>
    <t>TR-LINE-01672-1</t>
  </si>
  <si>
    <t>PAY-01673-1</t>
  </si>
  <si>
    <t>TX-S02-0673</t>
  </si>
  <si>
    <t>TR-LINE-01673-1</t>
  </si>
  <si>
    <t>PAY-01674-1</t>
  </si>
  <si>
    <t>TX-S02-0674</t>
  </si>
  <si>
    <t>TR-LINE-01674-1</t>
  </si>
  <si>
    <t>PAY-01674-2</t>
  </si>
  <si>
    <t>TR-LINE-01674-2</t>
  </si>
  <si>
    <t>PAY-01675-1</t>
  </si>
  <si>
    <t>TX-S02-0675</t>
  </si>
  <si>
    <t>TR-LINE-01675-1</t>
  </si>
  <si>
    <t>PAY-01675-2</t>
  </si>
  <si>
    <t>TR-LINE-01675-2</t>
  </si>
  <si>
    <t>PAY-01676-1</t>
  </si>
  <si>
    <t>TX-S02-0676</t>
  </si>
  <si>
    <t>TR-LINE-01676-1</t>
  </si>
  <si>
    <t>PAY-01677-1</t>
  </si>
  <si>
    <t>TX-S02-0677</t>
  </si>
  <si>
    <t>TR-LINE-01677-1</t>
  </si>
  <si>
    <t>PAY-01678-1</t>
  </si>
  <si>
    <t>TX-S02-0678</t>
  </si>
  <si>
    <t>TR-LINE-01678-1</t>
  </si>
  <si>
    <t>PAY-01678-2</t>
  </si>
  <si>
    <t>TR-LINE-01678-2</t>
  </si>
  <si>
    <t>PAY-01679-1</t>
  </si>
  <si>
    <t>TX-S02-0679</t>
  </si>
  <si>
    <t>TR-LINE-01679-1</t>
  </si>
  <si>
    <t>PAY-01680-1</t>
  </si>
  <si>
    <t>TX-S02-0680</t>
  </si>
  <si>
    <t>TR-LINE-01680-1</t>
  </si>
  <si>
    <t>PAY-01681-1</t>
  </si>
  <si>
    <t>TX-S02-0681</t>
  </si>
  <si>
    <t>TR-LINE-01681-1</t>
  </si>
  <si>
    <t>PAY-01682-1</t>
  </si>
  <si>
    <t>TX-S02-0682</t>
  </si>
  <si>
    <t>TR-LINE-01682-1</t>
  </si>
  <si>
    <t>PAY-01683-1</t>
  </si>
  <si>
    <t>TX-S02-0683</t>
  </si>
  <si>
    <t>TR-LINE-01683-1</t>
  </si>
  <si>
    <t>PAY-01684-1</t>
  </si>
  <si>
    <t>TX-S02-0684</t>
  </si>
  <si>
    <t>TR-LINE-01684-1</t>
  </si>
  <si>
    <t>PAY-01684-2</t>
  </si>
  <si>
    <t>TR-LINE-01684-2</t>
  </si>
  <si>
    <t>PAY-01685-1</t>
  </si>
  <si>
    <t>TX-S02-0685</t>
  </si>
  <si>
    <t>TR-LINE-01685-1</t>
  </si>
  <si>
    <t>PAY-01685-2</t>
  </si>
  <si>
    <t>TR-LINE-01685-2</t>
  </si>
  <si>
    <t>PAY-01686-1</t>
  </si>
  <si>
    <t>TX-S02-0686</t>
  </si>
  <si>
    <t>TR-LINE-01686-1</t>
  </si>
  <si>
    <t>PAY-01687-1</t>
  </si>
  <si>
    <t>TX-S02-0687</t>
  </si>
  <si>
    <t>TR-LINE-01687-1</t>
  </si>
  <si>
    <t>PAY-01688-1</t>
  </si>
  <si>
    <t>TX-S02-0688</t>
  </si>
  <si>
    <t>TR-LINE-01688-1</t>
  </si>
  <si>
    <t>PAY-01688-2</t>
  </si>
  <si>
    <t>TR-LINE-01688-2</t>
  </si>
  <si>
    <t>PAY-01689-1</t>
  </si>
  <si>
    <t>TX-S02-0689</t>
  </si>
  <si>
    <t>TR-LINE-01689-1</t>
  </si>
  <si>
    <t>PAY-01690-1</t>
  </si>
  <si>
    <t>TX-S02-0690</t>
  </si>
  <si>
    <t>TR-LINE-01690-1</t>
  </si>
  <si>
    <t>PAY-01691-1</t>
  </si>
  <si>
    <t>TX-S02-0691</t>
  </si>
  <si>
    <t>TR-LINE-01691-1</t>
  </si>
  <si>
    <t>PAY-01692-1</t>
  </si>
  <si>
    <t>TX-S02-0692</t>
  </si>
  <si>
    <t>TR-LINE-01692-1</t>
  </si>
  <si>
    <t>PAY-01693-1</t>
  </si>
  <si>
    <t>TX-S02-0693</t>
  </si>
  <si>
    <t>TR-LINE-01693-1</t>
  </si>
  <si>
    <t>PAY-01694-1</t>
  </si>
  <si>
    <t>TX-S02-0694</t>
  </si>
  <si>
    <t>TR-LINE-01694-1</t>
  </si>
  <si>
    <t>PAY-01694-2</t>
  </si>
  <si>
    <t>TR-LINE-01694-2</t>
  </si>
  <si>
    <t>PAY-01695-1</t>
  </si>
  <si>
    <t>TX-S02-0695</t>
  </si>
  <si>
    <t>TR-LINE-01695-1</t>
  </si>
  <si>
    <t>PAY-01695-2</t>
  </si>
  <si>
    <t>TR-LINE-01695-2</t>
  </si>
  <si>
    <t>PAY-01696-1</t>
  </si>
  <si>
    <t>TX-S02-0696</t>
  </si>
  <si>
    <t>TR-LINE-01696-1</t>
  </si>
  <si>
    <t>PAY-01697-1</t>
  </si>
  <si>
    <t>TX-S02-0697</t>
  </si>
  <si>
    <t>TR-LINE-01697-1</t>
  </si>
  <si>
    <t>PAY-01698-1</t>
  </si>
  <si>
    <t>TX-S02-0698</t>
  </si>
  <si>
    <t>TR-LINE-01698-1</t>
  </si>
  <si>
    <t>PAY-01698-2</t>
  </si>
  <si>
    <t>TR-LINE-01698-2</t>
  </si>
  <si>
    <t>PAY-01699-1</t>
  </si>
  <si>
    <t>TX-S02-0699</t>
  </si>
  <si>
    <t>TR-LINE-01699-1</t>
  </si>
  <si>
    <t>PAY-01700-1</t>
  </si>
  <si>
    <t>TX-S02-0700</t>
  </si>
  <si>
    <t>TR-LINE-01700-1</t>
  </si>
  <si>
    <t>PAY-01701-1</t>
  </si>
  <si>
    <t>TX-S02-0701</t>
  </si>
  <si>
    <t>TR-LINE-01701-1</t>
  </si>
  <si>
    <t>PAY-01702-1</t>
  </si>
  <si>
    <t>TX-S02-0702</t>
  </si>
  <si>
    <t>TR-LINE-01702-1</t>
  </si>
  <si>
    <t>PAY-01703-1</t>
  </si>
  <si>
    <t>TX-S02-0703</t>
  </si>
  <si>
    <t>TR-LINE-01703-1</t>
  </si>
  <si>
    <t>PAY-01704-1</t>
  </si>
  <si>
    <t>TX-S02-0704</t>
  </si>
  <si>
    <t>TR-LINE-01704-1</t>
  </si>
  <si>
    <t>PAY-01704-2</t>
  </si>
  <si>
    <t>TR-LINE-01704-2</t>
  </si>
  <si>
    <t>PAY-01705-1</t>
  </si>
  <si>
    <t>TX-S02-0705</t>
  </si>
  <si>
    <t>TR-LINE-01705-1</t>
  </si>
  <si>
    <t>PAY-01705-2</t>
  </si>
  <si>
    <t>TR-LINE-01705-2</t>
  </si>
  <si>
    <t>PAY-01706-1</t>
  </si>
  <si>
    <t>TX-S02-0706</t>
  </si>
  <si>
    <t>TR-LINE-01706-1</t>
  </si>
  <si>
    <t>PAY-01707-1</t>
  </si>
  <si>
    <t>TX-S02-0707</t>
  </si>
  <si>
    <t>TR-LINE-01707-1</t>
  </si>
  <si>
    <t>PAY-01708-1</t>
  </si>
  <si>
    <t>TX-S02-0708</t>
  </si>
  <si>
    <t>TR-LINE-01708-1</t>
  </si>
  <si>
    <t>PAY-01708-2</t>
  </si>
  <si>
    <t>TR-LINE-01708-2</t>
  </si>
  <si>
    <t>PAY-01709-1</t>
  </si>
  <si>
    <t>TX-S02-0709</t>
  </si>
  <si>
    <t>TR-LINE-01709-1</t>
  </si>
  <si>
    <t>PAY-01710-1</t>
  </si>
  <si>
    <t>TX-S02-0710</t>
  </si>
  <si>
    <t>TR-LINE-01710-1</t>
  </si>
  <si>
    <t>PAY-01711-1</t>
  </si>
  <si>
    <t>TX-S02-0711</t>
  </si>
  <si>
    <t>TR-LINE-01711-1</t>
  </si>
  <si>
    <t>PAY-01712-1</t>
  </si>
  <si>
    <t>TX-S02-0712</t>
  </si>
  <si>
    <t>TR-LINE-01712-1</t>
  </si>
  <si>
    <t>PAY-01713-1</t>
  </si>
  <si>
    <t>TX-S02-0713</t>
  </si>
  <si>
    <t>TR-LINE-01713-1</t>
  </si>
  <si>
    <t>PAY-01714-1</t>
  </si>
  <si>
    <t>TX-S02-0714</t>
  </si>
  <si>
    <t>TR-LINE-01714-1</t>
  </si>
  <si>
    <t>PAY-01714-2</t>
  </si>
  <si>
    <t>TR-LINE-01714-2</t>
  </si>
  <si>
    <t>PAY-01715-1</t>
  </si>
  <si>
    <t>TX-S02-0715</t>
  </si>
  <si>
    <t>TR-LINE-01715-1</t>
  </si>
  <si>
    <t>PAY-01715-2</t>
  </si>
  <si>
    <t>TR-LINE-01715-2</t>
  </si>
  <si>
    <t>PAY-01716-1</t>
  </si>
  <si>
    <t>TX-S02-0716</t>
  </si>
  <si>
    <t>TR-LINE-01716-1</t>
  </si>
  <si>
    <t>PAY-01717-1</t>
  </si>
  <si>
    <t>TX-S02-0717</t>
  </si>
  <si>
    <t>TR-LINE-01717-1</t>
  </si>
  <si>
    <t>PAY-01718-1</t>
  </si>
  <si>
    <t>TX-S02-0718</t>
  </si>
  <si>
    <t>TR-LINE-01718-1</t>
  </si>
  <si>
    <t>PAY-01718-2</t>
  </si>
  <si>
    <t>TR-LINE-01718-2</t>
  </si>
  <si>
    <t>PAY-01719-1</t>
  </si>
  <si>
    <t>TX-S02-0719</t>
  </si>
  <si>
    <t>TR-LINE-01719-1</t>
  </si>
  <si>
    <t>PAY-01720-1</t>
  </si>
  <si>
    <t>TX-S02-0720</t>
  </si>
  <si>
    <t>TR-LINE-01720-1</t>
  </si>
  <si>
    <t>PAY-01721-1</t>
  </si>
  <si>
    <t>TX-S02-0721</t>
  </si>
  <si>
    <t>TR-LINE-01721-1</t>
  </si>
  <si>
    <t>PAY-01722-1</t>
  </si>
  <si>
    <t>TX-S02-0722</t>
  </si>
  <si>
    <t>TR-LINE-01722-1</t>
  </si>
  <si>
    <t>PAY-01723-1</t>
  </si>
  <si>
    <t>TX-S02-0723</t>
  </si>
  <si>
    <t>TR-LINE-01723-1</t>
  </si>
  <si>
    <t>PAY-01724-1</t>
  </si>
  <si>
    <t>TX-S02-0724</t>
  </si>
  <si>
    <t>TR-LINE-01724-1</t>
  </si>
  <si>
    <t>PAY-01724-2</t>
  </si>
  <si>
    <t>TR-LINE-01724-2</t>
  </si>
  <si>
    <t>PAY-01725-1</t>
  </si>
  <si>
    <t>TX-S02-0725</t>
  </si>
  <si>
    <t>TR-LINE-01725-1</t>
  </si>
  <si>
    <t>PAY-01725-2</t>
  </si>
  <si>
    <t>TR-LINE-01725-2</t>
  </si>
  <si>
    <t>PAY-01726-1</t>
  </si>
  <si>
    <t>TX-S02-0726</t>
  </si>
  <si>
    <t>TR-LINE-01726-1</t>
  </si>
  <si>
    <t>PAY-01727-1</t>
  </si>
  <si>
    <t>TX-S02-0727</t>
  </si>
  <si>
    <t>TR-LINE-01727-1</t>
  </si>
  <si>
    <t>PAY-01728-1</t>
  </si>
  <si>
    <t>TX-S02-0728</t>
  </si>
  <si>
    <t>TR-LINE-01728-1</t>
  </si>
  <si>
    <t>PAY-01728-2</t>
  </si>
  <si>
    <t>TR-LINE-01728-2</t>
  </si>
  <si>
    <t>PAY-01729-1</t>
  </si>
  <si>
    <t>TX-S02-0729</t>
  </si>
  <si>
    <t>TR-LINE-01729-1</t>
  </si>
  <si>
    <t>PAY-01730-1</t>
  </si>
  <si>
    <t>TX-S02-0730</t>
  </si>
  <si>
    <t>TR-LINE-01730-1</t>
  </si>
  <si>
    <t>PAY-01731-1</t>
  </si>
  <si>
    <t>TX-S02-0731</t>
  </si>
  <si>
    <t>TR-LINE-01731-1</t>
  </si>
  <si>
    <t>PAY-01732-1</t>
  </si>
  <si>
    <t>TX-S02-0732</t>
  </si>
  <si>
    <t>TR-LINE-01732-1</t>
  </si>
  <si>
    <t>PAY-01733-1</t>
  </si>
  <si>
    <t>TX-S02-0733</t>
  </si>
  <si>
    <t>TR-LINE-01733-1</t>
  </si>
  <si>
    <t>PAY-01734-1</t>
  </si>
  <si>
    <t>TX-S02-0734</t>
  </si>
  <si>
    <t>TR-LINE-01734-1</t>
  </si>
  <si>
    <t>PAY-01734-2</t>
  </si>
  <si>
    <t>TR-LINE-01734-2</t>
  </si>
  <si>
    <t>PAY-01735-1</t>
  </si>
  <si>
    <t>TX-S02-0735</t>
  </si>
  <si>
    <t>TR-LINE-01735-1</t>
  </si>
  <si>
    <t>PAY-01735-2</t>
  </si>
  <si>
    <t>TR-LINE-01735-2</t>
  </si>
  <si>
    <t>PAY-01736-1</t>
  </si>
  <si>
    <t>TX-S02-0736</t>
  </si>
  <si>
    <t>TR-LINE-01736-1</t>
  </si>
  <si>
    <t>PAY-01737-1</t>
  </si>
  <si>
    <t>TX-S02-0737</t>
  </si>
  <si>
    <t>TR-LINE-01737-1</t>
  </si>
  <si>
    <t>PAY-01738-1</t>
  </si>
  <si>
    <t>TX-S02-0738</t>
  </si>
  <si>
    <t>TR-LINE-01738-1</t>
  </si>
  <si>
    <t>PAY-01739-1</t>
  </si>
  <si>
    <t>TX-S02-0739</t>
  </si>
  <si>
    <t>TR-LINE-01739-1</t>
  </si>
  <si>
    <t>PAY-01740-1</t>
  </si>
  <si>
    <t>TX-S02-0740</t>
  </si>
  <si>
    <t>TR-LINE-01740-1</t>
  </si>
  <si>
    <t>PAY-01741-1</t>
  </si>
  <si>
    <t>TX-S02-0741</t>
  </si>
  <si>
    <t>TR-LINE-01741-1</t>
  </si>
  <si>
    <t>PAY-01742-1</t>
  </si>
  <si>
    <t>TX-S02-0742</t>
  </si>
  <si>
    <t>TR-LINE-01742-1</t>
  </si>
  <si>
    <t>PAY-01743-1</t>
  </si>
  <si>
    <t>TX-S02-0743</t>
  </si>
  <si>
    <t>TR-LINE-01743-1</t>
  </si>
  <si>
    <t>PAY-01744-1</t>
  </si>
  <si>
    <t>TX-S02-0744</t>
  </si>
  <si>
    <t>TR-LINE-01744-1</t>
  </si>
  <si>
    <t>PAY-01744-2</t>
  </si>
  <si>
    <t>TR-LINE-01744-2</t>
  </si>
  <si>
    <t>PAY-01745-1</t>
  </si>
  <si>
    <t>TX-S02-0745</t>
  </si>
  <si>
    <t>TR-LINE-01745-1</t>
  </si>
  <si>
    <t>PAY-01745-2</t>
  </si>
  <si>
    <t>TR-LINE-01745-2</t>
  </si>
  <si>
    <t>PAY-01746-1</t>
  </si>
  <si>
    <t>TX-S02-0746</t>
  </si>
  <si>
    <t>TR-LINE-01746-1</t>
  </si>
  <si>
    <t>PAY-01747-1</t>
  </si>
  <si>
    <t>TX-S02-0747</t>
  </si>
  <si>
    <t>TR-LINE-01747-1</t>
  </si>
  <si>
    <t>PAY-01748-1</t>
  </si>
  <si>
    <t>TX-S02-0748</t>
  </si>
  <si>
    <t>TR-LINE-01748-1</t>
  </si>
  <si>
    <t>PAY-01748-2</t>
  </si>
  <si>
    <t>TR-LINE-01748-2</t>
  </si>
  <si>
    <t>PAY-01749-1</t>
  </si>
  <si>
    <t>TX-S02-0749</t>
  </si>
  <si>
    <t>TR-LINE-01749-1</t>
  </si>
  <si>
    <t>PAY-01750-1</t>
  </si>
  <si>
    <t>TX-S02-0750</t>
  </si>
  <si>
    <t>TR-LINE-01750-1</t>
  </si>
  <si>
    <t>PAY-01751-1</t>
  </si>
  <si>
    <t>TX-S02-0751</t>
  </si>
  <si>
    <t>TR-LINE-01751-1</t>
  </si>
  <si>
    <t>PAY-01752-1</t>
  </si>
  <si>
    <t>TX-S02-0752</t>
  </si>
  <si>
    <t>TR-LINE-01752-1</t>
  </si>
  <si>
    <t>PAY-01753-1</t>
  </si>
  <si>
    <t>TX-S02-0753</t>
  </si>
  <si>
    <t>TR-LINE-01753-1</t>
  </si>
  <si>
    <t>PAY-01754-1</t>
  </si>
  <si>
    <t>TX-S02-0754</t>
  </si>
  <si>
    <t>TR-LINE-01754-1</t>
  </si>
  <si>
    <t>PAY-01754-2</t>
  </si>
  <si>
    <t>TR-LINE-01754-2</t>
  </si>
  <si>
    <t>PAY-01755-1</t>
  </si>
  <si>
    <t>TX-S02-0755</t>
  </si>
  <si>
    <t>TR-LINE-01755-1</t>
  </si>
  <si>
    <t>PAY-01755-2</t>
  </si>
  <si>
    <t>TR-LINE-01755-2</t>
  </si>
  <si>
    <t>PAY-01756-1</t>
  </si>
  <si>
    <t>TX-S02-0756</t>
  </si>
  <si>
    <t>TR-LINE-01756-1</t>
  </si>
  <si>
    <t>PAY-01757-1</t>
  </si>
  <si>
    <t>TX-S02-0757</t>
  </si>
  <si>
    <t>TR-LINE-01757-1</t>
  </si>
  <si>
    <t>PAY-01758-1</t>
  </si>
  <si>
    <t>TX-S02-0758</t>
  </si>
  <si>
    <t>TR-LINE-01758-1</t>
  </si>
  <si>
    <t>PAY-01758-2</t>
  </si>
  <si>
    <t>TR-LINE-01758-2</t>
  </si>
  <si>
    <t>PAY-01759-1</t>
  </si>
  <si>
    <t>TX-S02-0759</t>
  </si>
  <si>
    <t>TR-LINE-01759-1</t>
  </si>
  <si>
    <t>PAY-01760-1</t>
  </si>
  <si>
    <t>TX-S02-0760</t>
  </si>
  <si>
    <t>TR-LINE-01760-1</t>
  </si>
  <si>
    <t>PAY-01761-1</t>
  </si>
  <si>
    <t>TX-S02-0761</t>
  </si>
  <si>
    <t>TR-LINE-01761-1</t>
  </si>
  <si>
    <t>PAY-01762-1</t>
  </si>
  <si>
    <t>TX-S02-0762</t>
  </si>
  <si>
    <t>TR-LINE-01762-1</t>
  </si>
  <si>
    <t>PAY-01763-1</t>
  </si>
  <si>
    <t>TX-S02-0763</t>
  </si>
  <si>
    <t>TR-LINE-01763-1</t>
  </si>
  <si>
    <t>PAY-01764-1</t>
  </si>
  <si>
    <t>TX-S02-0764</t>
  </si>
  <si>
    <t>TR-LINE-01764-1</t>
  </si>
  <si>
    <t>PAY-01764-2</t>
  </si>
  <si>
    <t>TR-LINE-01764-2</t>
  </si>
  <si>
    <t>PAY-01765-1</t>
  </si>
  <si>
    <t>TX-S02-0765</t>
  </si>
  <si>
    <t>TR-LINE-01765-1</t>
  </si>
  <si>
    <t>PAY-01765-2</t>
  </si>
  <si>
    <t>TR-LINE-01765-2</t>
  </si>
  <si>
    <t>PAY-01766-1</t>
  </si>
  <si>
    <t>TX-S02-0766</t>
  </si>
  <si>
    <t>TR-LINE-01766-1</t>
  </si>
  <si>
    <t>PAY-01767-1</t>
  </si>
  <si>
    <t>TX-S02-0767</t>
  </si>
  <si>
    <t>TR-LINE-01767-1</t>
  </si>
  <si>
    <t>PAY-01768-1</t>
  </si>
  <si>
    <t>TX-S02-0768</t>
  </si>
  <si>
    <t>TR-LINE-01768-1</t>
  </si>
  <si>
    <t>PAY-01768-2</t>
  </si>
  <si>
    <t>TR-LINE-01768-2</t>
  </si>
  <si>
    <t>PAY-01769-1</t>
  </si>
  <si>
    <t>TX-S02-0769</t>
  </si>
  <si>
    <t>TR-LINE-01769-1</t>
  </si>
  <si>
    <t>PAY-01770-1</t>
  </si>
  <si>
    <t>TX-S02-0770</t>
  </si>
  <si>
    <t>TR-LINE-01770-1</t>
  </si>
  <si>
    <t>PAY-01771-1</t>
  </si>
  <si>
    <t>TX-S02-0771</t>
  </si>
  <si>
    <t>TR-LINE-01771-1</t>
  </si>
  <si>
    <t>PAY-01772-1</t>
  </si>
  <si>
    <t>TX-S02-0772</t>
  </si>
  <si>
    <t>TR-LINE-01772-1</t>
  </si>
  <si>
    <t>PAY-01773-1</t>
  </si>
  <si>
    <t>TX-S02-0773</t>
  </si>
  <si>
    <t>TR-LINE-01773-1</t>
  </si>
  <si>
    <t>PAY-01774-1</t>
  </si>
  <si>
    <t>TX-S02-0774</t>
  </si>
  <si>
    <t>TR-LINE-01774-1</t>
  </si>
  <si>
    <t>PAY-01774-2</t>
  </si>
  <si>
    <t>TR-LINE-01774-2</t>
  </si>
  <si>
    <t>PAY-01775-1</t>
  </si>
  <si>
    <t>TX-S02-0775</t>
  </si>
  <si>
    <t>TR-LINE-01775-1</t>
  </si>
  <si>
    <t>PAY-01775-2</t>
  </si>
  <si>
    <t>TR-LINE-01775-2</t>
  </si>
  <si>
    <t>PAY-01776-1</t>
  </si>
  <si>
    <t>TX-S02-0776</t>
  </si>
  <si>
    <t>TR-LINE-01776-1</t>
  </si>
  <si>
    <t>PAY-01777-1</t>
  </si>
  <si>
    <t>TX-S02-0777</t>
  </si>
  <si>
    <t>TR-LINE-01777-1</t>
  </si>
  <si>
    <t>PAY-01778-1</t>
  </si>
  <si>
    <t>TX-S02-0778</t>
  </si>
  <si>
    <t>TR-LINE-01778-1</t>
  </si>
  <si>
    <t>PAY-01778-2</t>
  </si>
  <si>
    <t>TR-LINE-01778-2</t>
  </si>
  <si>
    <t>PAY-01779-1</t>
  </si>
  <si>
    <t>TX-S02-0779</t>
  </si>
  <si>
    <t>TR-LINE-01779-1</t>
  </si>
  <si>
    <t>PAY-01780-1</t>
  </si>
  <si>
    <t>TX-S02-0780</t>
  </si>
  <si>
    <t>TR-LINE-01780-1</t>
  </si>
  <si>
    <t>PAY-01781-1</t>
  </si>
  <si>
    <t>TX-S02-0781</t>
  </si>
  <si>
    <t>TR-LINE-01781-1</t>
  </si>
  <si>
    <t>PAY-01782-1</t>
  </si>
  <si>
    <t>TX-S02-0782</t>
  </si>
  <si>
    <t>TR-LINE-01782-1</t>
  </si>
  <si>
    <t>PAY-01783-1</t>
  </si>
  <si>
    <t>TX-S02-0783</t>
  </si>
  <si>
    <t>TR-LINE-01783-1</t>
  </si>
  <si>
    <t>PAY-01784-1</t>
  </si>
  <si>
    <t>TX-S02-0784</t>
  </si>
  <si>
    <t>TR-LINE-01784-1</t>
  </si>
  <si>
    <t>PAY-01784-2</t>
  </si>
  <si>
    <t>TR-LINE-01784-2</t>
  </si>
  <si>
    <t>PAY-01785-1</t>
  </si>
  <si>
    <t>TX-S02-0785</t>
  </si>
  <si>
    <t>TR-LINE-01785-1</t>
  </si>
  <si>
    <t>PAY-01785-2</t>
  </si>
  <si>
    <t>TR-LINE-01785-2</t>
  </si>
  <si>
    <t>PAY-01786-1</t>
  </si>
  <si>
    <t>TX-S02-0786</t>
  </si>
  <si>
    <t>TR-LINE-01786-1</t>
  </si>
  <si>
    <t>PAY-01787-1</t>
  </si>
  <si>
    <t>TX-S02-0787</t>
  </si>
  <si>
    <t>TR-LINE-01787-1</t>
  </si>
  <si>
    <t>PAY-01788-1</t>
  </si>
  <si>
    <t>TX-S02-0788</t>
  </si>
  <si>
    <t>TR-LINE-01788-1</t>
  </si>
  <si>
    <t>PAY-01788-2</t>
  </si>
  <si>
    <t>TR-LINE-01788-2</t>
  </si>
  <si>
    <t>PAY-01789-1</t>
  </si>
  <si>
    <t>TX-S02-0789</t>
  </si>
  <si>
    <t>TR-LINE-01789-1</t>
  </si>
  <si>
    <t>PAY-01790-1</t>
  </si>
  <si>
    <t>TX-S02-0790</t>
  </si>
  <si>
    <t>TR-LINE-01790-1</t>
  </si>
  <si>
    <t>PAY-01791-1</t>
  </si>
  <si>
    <t>TX-S02-0791</t>
  </si>
  <si>
    <t>TR-LINE-01791-1</t>
  </si>
  <si>
    <t>PAY-01792-1</t>
  </si>
  <si>
    <t>TX-S02-0792</t>
  </si>
  <si>
    <t>TR-LINE-01792-1</t>
  </si>
  <si>
    <t>PAY-01793-1</t>
  </si>
  <si>
    <t>TX-S02-0793</t>
  </si>
  <si>
    <t>TR-LINE-01793-1</t>
  </si>
  <si>
    <t>PAY-01794-1</t>
  </si>
  <si>
    <t>TX-S02-0794</t>
  </si>
  <si>
    <t>TR-LINE-01794-1</t>
  </si>
  <si>
    <t>PAY-01794-2</t>
  </si>
  <si>
    <t>TR-LINE-01794-2</t>
  </si>
  <si>
    <t>PAY-01795-1</t>
  </si>
  <si>
    <t>TX-S02-0795</t>
  </si>
  <si>
    <t>TR-LINE-01795-1</t>
  </si>
  <si>
    <t>PAY-01795-2</t>
  </si>
  <si>
    <t>TR-LINE-01795-2</t>
  </si>
  <si>
    <t>PAY-01796-1</t>
  </si>
  <si>
    <t>TX-S02-0796</t>
  </si>
  <si>
    <t>TR-LINE-01796-1</t>
  </si>
  <si>
    <t>PAY-01797-1</t>
  </si>
  <si>
    <t>TX-S02-0797</t>
  </si>
  <si>
    <t>TR-LINE-01797-1</t>
  </si>
  <si>
    <t>PAY-01798-1</t>
  </si>
  <si>
    <t>TX-S02-0798</t>
  </si>
  <si>
    <t>TR-LINE-01798-1</t>
  </si>
  <si>
    <t>PAY-01798-2</t>
  </si>
  <si>
    <t>TR-LINE-01798-2</t>
  </si>
  <si>
    <t>PAY-01799-1</t>
  </si>
  <si>
    <t>TX-S02-0799</t>
  </si>
  <si>
    <t>TR-LINE-01799-1</t>
  </si>
  <si>
    <t>PAY-01800-1</t>
  </si>
  <si>
    <t>TX-S02-0800</t>
  </si>
  <si>
    <t>TR-LINE-01800-1</t>
  </si>
  <si>
    <t>PAY-01801-1</t>
  </si>
  <si>
    <t>TX-S02-0801</t>
  </si>
  <si>
    <t>TR-LINE-01801-1</t>
  </si>
  <si>
    <t>PAY-01802-1</t>
  </si>
  <si>
    <t>TX-S02-0802</t>
  </si>
  <si>
    <t>TR-LINE-01802-1</t>
  </si>
  <si>
    <t>PAY-01803-1</t>
  </si>
  <si>
    <t>TX-S02-0803</t>
  </si>
  <si>
    <t>TR-LINE-01803-1</t>
  </si>
  <si>
    <t>PAY-01804-1</t>
  </si>
  <si>
    <t>TX-S02-0804</t>
  </si>
  <si>
    <t>TR-LINE-01804-1</t>
  </si>
  <si>
    <t>PAY-01804-2</t>
  </si>
  <si>
    <t>TR-LINE-01804-2</t>
  </si>
  <si>
    <t>PAY-01805-1</t>
  </si>
  <si>
    <t>TX-S02-0805</t>
  </si>
  <si>
    <t>TR-LINE-01805-1</t>
  </si>
  <si>
    <t>PAY-01805-2</t>
  </si>
  <si>
    <t>TR-LINE-01805-2</t>
  </si>
  <si>
    <t>PAY-01806-1</t>
  </si>
  <si>
    <t>TX-S02-0806</t>
  </si>
  <si>
    <t>TR-LINE-01806-1</t>
  </si>
  <si>
    <t>PAY-01807-1</t>
  </si>
  <si>
    <t>TX-S02-0807</t>
  </si>
  <si>
    <t>TR-LINE-01807-1</t>
  </si>
  <si>
    <t>PAY-01808-1</t>
  </si>
  <si>
    <t>TX-S02-0808</t>
  </si>
  <si>
    <t>TR-LINE-01808-1</t>
  </si>
  <si>
    <t>PAY-01808-2</t>
  </si>
  <si>
    <t>TR-LINE-01808-2</t>
  </si>
  <si>
    <t>PAY-01809-1</t>
  </si>
  <si>
    <t>TX-S02-0809</t>
  </si>
  <si>
    <t>TR-LINE-01809-1</t>
  </si>
  <si>
    <t>PAY-01810-1</t>
  </si>
  <si>
    <t>TX-S02-0810</t>
  </si>
  <si>
    <t>TR-LINE-01810-1</t>
  </si>
  <si>
    <t>PAY-01811-1</t>
  </si>
  <si>
    <t>TX-S02-0811</t>
  </si>
  <si>
    <t>TR-LINE-01811-1</t>
  </si>
  <si>
    <t>PAY-01812-1</t>
  </si>
  <si>
    <t>TX-S02-0812</t>
  </si>
  <si>
    <t>TR-LINE-01812-1</t>
  </si>
  <si>
    <t>PAY-01813-1</t>
  </si>
  <si>
    <t>TX-S02-0813</t>
  </si>
  <si>
    <t>TR-LINE-01813-1</t>
  </si>
  <si>
    <t>PAY-01814-1</t>
  </si>
  <si>
    <t>TX-S02-0814</t>
  </si>
  <si>
    <t>TR-LINE-01814-1</t>
  </si>
  <si>
    <t>PAY-01814-2</t>
  </si>
  <si>
    <t>TR-LINE-01814-2</t>
  </si>
  <si>
    <t>PAY-01815-1</t>
  </si>
  <si>
    <t>TX-S02-0815</t>
  </si>
  <si>
    <t>TR-LINE-01815-1</t>
  </si>
  <si>
    <t>PAY-01815-2</t>
  </si>
  <si>
    <t>TR-LINE-01815-2</t>
  </si>
  <si>
    <t>PAY-01816-1</t>
  </si>
  <si>
    <t>TX-S02-0816</t>
  </si>
  <si>
    <t>TR-LINE-01816-1</t>
  </si>
  <si>
    <t>PAY-01817-1</t>
  </si>
  <si>
    <t>TX-S02-0817</t>
  </si>
  <si>
    <t>TR-LINE-01817-1</t>
  </si>
  <si>
    <t>PAY-01818-1</t>
  </si>
  <si>
    <t>TX-S02-0818</t>
  </si>
  <si>
    <t>TR-LINE-01818-1</t>
  </si>
  <si>
    <t>PAY-01818-2</t>
  </si>
  <si>
    <t>TR-LINE-01818-2</t>
  </si>
  <si>
    <t>PAY-01819-1</t>
  </si>
  <si>
    <t>TX-S02-0819</t>
  </si>
  <si>
    <t>TR-LINE-01819-1</t>
  </si>
  <si>
    <t>PAY-01820-1</t>
  </si>
  <si>
    <t>TX-S02-0820</t>
  </si>
  <si>
    <t>TR-LINE-01820-1</t>
  </si>
  <si>
    <t>PAY-01821-1</t>
  </si>
  <si>
    <t>TX-S02-0821</t>
  </si>
  <si>
    <t>TR-LINE-01821-1</t>
  </si>
  <si>
    <t>PAY-01822-1</t>
  </si>
  <si>
    <t>TX-S02-0822</t>
  </si>
  <si>
    <t>TR-LINE-01822-1</t>
  </si>
  <si>
    <t>PAY-01823-1</t>
  </si>
  <si>
    <t>TX-S02-0823</t>
  </si>
  <si>
    <t>TR-LINE-01823-1</t>
  </si>
  <si>
    <t>PAY-01824-1</t>
  </si>
  <si>
    <t>TX-S02-0824</t>
  </si>
  <si>
    <t>TR-LINE-01824-1</t>
  </si>
  <si>
    <t>PAY-01824-2</t>
  </si>
  <si>
    <t>TR-LINE-01824-2</t>
  </si>
  <si>
    <t>PAY-01825-1</t>
  </si>
  <si>
    <t>TX-S02-0825</t>
  </si>
  <si>
    <t>TR-LINE-01825-1</t>
  </si>
  <si>
    <t>PAY-01825-2</t>
  </si>
  <si>
    <t>TR-LINE-01825-2</t>
  </si>
  <si>
    <t>PAY-01826-1</t>
  </si>
  <si>
    <t>TX-S02-0826</t>
  </si>
  <si>
    <t>TR-LINE-01826-1</t>
  </si>
  <si>
    <t>PAY-01827-1</t>
  </si>
  <si>
    <t>TX-S02-0827</t>
  </si>
  <si>
    <t>TR-LINE-01827-1</t>
  </si>
  <si>
    <t>PAY-01828-1</t>
  </si>
  <si>
    <t>TX-S02-0828</t>
  </si>
  <si>
    <t>TR-LINE-01828-1</t>
  </si>
  <si>
    <t>PAY-01828-2</t>
  </si>
  <si>
    <t>TR-LINE-01828-2</t>
  </si>
  <si>
    <t>PAY-01829-1</t>
  </si>
  <si>
    <t>TX-S02-0829</t>
  </si>
  <si>
    <t>TR-LINE-01829-1</t>
  </si>
  <si>
    <t>PAY-01830-1</t>
  </si>
  <si>
    <t>TX-S02-0830</t>
  </si>
  <si>
    <t>TR-LINE-01830-1</t>
  </si>
  <si>
    <t>PAY-01831-1</t>
  </si>
  <si>
    <t>TX-S02-0831</t>
  </si>
  <si>
    <t>TR-LINE-01831-1</t>
  </si>
  <si>
    <t>PAY-01832-1</t>
  </si>
  <si>
    <t>TX-S02-0832</t>
  </si>
  <si>
    <t>TR-LINE-01832-1</t>
  </si>
  <si>
    <t>PAY-01833-1</t>
  </si>
  <si>
    <t>TX-S02-0833</t>
  </si>
  <si>
    <t>TR-LINE-01833-1</t>
  </si>
  <si>
    <t>PAY-01834-1</t>
  </si>
  <si>
    <t>TX-S02-0834</t>
  </si>
  <si>
    <t>TR-LINE-01834-1</t>
  </si>
  <si>
    <t>PAY-01834-2</t>
  </si>
  <si>
    <t>TR-LINE-01834-2</t>
  </si>
  <si>
    <t>PAY-01835-1</t>
  </si>
  <si>
    <t>TX-S02-0835</t>
  </si>
  <si>
    <t>TR-LINE-01835-1</t>
  </si>
  <si>
    <t>PAY-01835-2</t>
  </si>
  <si>
    <t>TR-LINE-01835-2</t>
  </si>
  <si>
    <t>PAY-01836-1</t>
  </si>
  <si>
    <t>TX-S02-0836</t>
  </si>
  <si>
    <t>TR-LINE-01836-1</t>
  </si>
  <si>
    <t>PAY-01837-1</t>
  </si>
  <si>
    <t>TX-S02-0837</t>
  </si>
  <si>
    <t>TR-LINE-01837-1</t>
  </si>
  <si>
    <t>PAY-01838-1</t>
  </si>
  <si>
    <t>TX-S02-0838</t>
  </si>
  <si>
    <t>TR-LINE-01838-1</t>
  </si>
  <si>
    <t>PAY-01838-2</t>
  </si>
  <si>
    <t>TR-LINE-01838-2</t>
  </si>
  <si>
    <t>PAY-01839-1</t>
  </si>
  <si>
    <t>TX-S02-0839</t>
  </si>
  <si>
    <t>TR-LINE-01839-1</t>
  </si>
  <si>
    <t>PAY-01840-1</t>
  </si>
  <si>
    <t>TX-S02-0840</t>
  </si>
  <si>
    <t>TR-LINE-01840-1</t>
  </si>
  <si>
    <t>PAY-01841-1</t>
  </si>
  <si>
    <t>TX-S02-0841</t>
  </si>
  <si>
    <t>TR-LINE-01841-1</t>
  </si>
  <si>
    <t>PAY-01842-1</t>
  </si>
  <si>
    <t>TX-S02-0842</t>
  </si>
  <si>
    <t>TR-LINE-01842-1</t>
  </si>
  <si>
    <t>PAY-01843-1</t>
  </si>
  <si>
    <t>TX-S02-0843</t>
  </si>
  <si>
    <t>TR-LINE-01843-1</t>
  </si>
  <si>
    <t>PAY-01844-1</t>
  </si>
  <si>
    <t>TX-S02-0844</t>
  </si>
  <si>
    <t>TR-LINE-01844-1</t>
  </si>
  <si>
    <t>PAY-01844-2</t>
  </si>
  <si>
    <t>TR-LINE-01844-2</t>
  </si>
  <si>
    <t>PAY-01845-1</t>
  </si>
  <si>
    <t>TX-S02-0845</t>
  </si>
  <si>
    <t>TR-LINE-01845-1</t>
  </si>
  <si>
    <t>PAY-01845-2</t>
  </si>
  <si>
    <t>TR-LINE-01845-2</t>
  </si>
  <si>
    <t>PAY-01846-1</t>
  </si>
  <si>
    <t>TX-S02-0846</t>
  </si>
  <si>
    <t>TR-LINE-01846-1</t>
  </si>
  <si>
    <t>PAY-01847-1</t>
  </si>
  <si>
    <t>TX-S02-0847</t>
  </si>
  <si>
    <t>TR-LINE-01847-1</t>
  </si>
  <si>
    <t>PAY-01848-1</t>
  </si>
  <si>
    <t>TX-S02-0848</t>
  </si>
  <si>
    <t>TR-LINE-01848-1</t>
  </si>
  <si>
    <t>PAY-01848-2</t>
  </si>
  <si>
    <t>TR-LINE-01848-2</t>
  </si>
  <si>
    <t>PAY-01849-1</t>
  </si>
  <si>
    <t>TX-S02-0849</t>
  </si>
  <si>
    <t>TR-LINE-01849-1</t>
  </si>
  <si>
    <t>PAY-01850-1</t>
  </si>
  <si>
    <t>TX-S02-0850</t>
  </si>
  <si>
    <t>TR-LINE-01850-1</t>
  </si>
  <si>
    <t>PAY-01851-1</t>
  </si>
  <si>
    <t>TX-S02-0851</t>
  </si>
  <si>
    <t>TR-LINE-01851-1</t>
  </si>
  <si>
    <t>PAY-01852-1</t>
  </si>
  <si>
    <t>TX-S02-0852</t>
  </si>
  <si>
    <t>TR-LINE-01852-1</t>
  </si>
  <si>
    <t>PAY-01853-1</t>
  </si>
  <si>
    <t>TX-S02-0853</t>
  </si>
  <si>
    <t>TR-LINE-01853-1</t>
  </si>
  <si>
    <t>PAY-01854-1</t>
  </si>
  <si>
    <t>TX-S02-0854</t>
  </si>
  <si>
    <t>TR-LINE-01854-1</t>
  </si>
  <si>
    <t>PAY-01854-2</t>
  </si>
  <si>
    <t>TR-LINE-01854-2</t>
  </si>
  <si>
    <t>PAY-01855-1</t>
  </si>
  <si>
    <t>TX-S02-0855</t>
  </si>
  <si>
    <t>TR-LINE-01855-1</t>
  </si>
  <si>
    <t>PAY-01855-2</t>
  </si>
  <si>
    <t>TR-LINE-01855-2</t>
  </si>
  <si>
    <t>PAY-01856-1</t>
  </si>
  <si>
    <t>TX-S02-0856</t>
  </si>
  <si>
    <t>TR-LINE-01856-1</t>
  </si>
  <si>
    <t>PAY-01857-1</t>
  </si>
  <si>
    <t>TX-S02-0857</t>
  </si>
  <si>
    <t>TR-LINE-01857-1</t>
  </si>
  <si>
    <t>PAY-01858-1</t>
  </si>
  <si>
    <t>TX-S02-0858</t>
  </si>
  <si>
    <t>TR-LINE-01858-1</t>
  </si>
  <si>
    <t>PAY-01858-2</t>
  </si>
  <si>
    <t>TR-LINE-01858-2</t>
  </si>
  <si>
    <t>PAY-01859-1</t>
  </si>
  <si>
    <t>TX-S02-0859</t>
  </si>
  <si>
    <t>TR-LINE-01859-1</t>
  </si>
  <si>
    <t>PAY-01860-1</t>
  </si>
  <si>
    <t>TX-S02-0860</t>
  </si>
  <si>
    <t>TR-LINE-01860-1</t>
  </si>
  <si>
    <t>PAY-01861-1</t>
  </si>
  <si>
    <t>TX-S02-0861</t>
  </si>
  <si>
    <t>TR-LINE-01861-1</t>
  </si>
  <si>
    <t>PAY-01862-1</t>
  </si>
  <si>
    <t>TX-S02-0862</t>
  </si>
  <si>
    <t>TR-LINE-01862-1</t>
  </si>
  <si>
    <t>PAY-01863-1</t>
  </si>
  <si>
    <t>TX-S02-0863</t>
  </si>
  <si>
    <t>TR-LINE-01863-1</t>
  </si>
  <si>
    <t>PAY-01864-1</t>
  </si>
  <si>
    <t>TX-S02-0864</t>
  </si>
  <si>
    <t>TR-LINE-01864-1</t>
  </si>
  <si>
    <t>PAY-01864-2</t>
  </si>
  <si>
    <t>TR-LINE-01864-2</t>
  </si>
  <si>
    <t>PAY-01865-1</t>
  </si>
  <si>
    <t>TX-S02-0865</t>
  </si>
  <si>
    <t>TR-LINE-01865-1</t>
  </si>
  <si>
    <t>PAY-01865-2</t>
  </si>
  <si>
    <t>TR-LINE-01865-2</t>
  </si>
  <si>
    <t>PAY-01866-1</t>
  </si>
  <si>
    <t>TX-S02-0866</t>
  </si>
  <si>
    <t>TR-LINE-01866-1</t>
  </si>
  <si>
    <t>PAY-01867-1</t>
  </si>
  <si>
    <t>TX-S02-0867</t>
  </si>
  <si>
    <t>TR-LINE-01867-1</t>
  </si>
  <si>
    <t>PAY-01868-1</t>
  </si>
  <si>
    <t>TX-S02-0868</t>
  </si>
  <si>
    <t>TR-LINE-01868-1</t>
  </si>
  <si>
    <t>PAY-01868-2</t>
  </si>
  <si>
    <t>TR-LINE-01868-2</t>
  </si>
  <si>
    <t>PAY-01869-1</t>
  </si>
  <si>
    <t>TX-S02-0869</t>
  </si>
  <si>
    <t>TR-LINE-01869-1</t>
  </si>
  <si>
    <t>PAY-01870-1</t>
  </si>
  <si>
    <t>TX-S02-0870</t>
  </si>
  <si>
    <t>TR-LINE-01870-1</t>
  </si>
  <si>
    <t>PAY-01871-1</t>
  </si>
  <si>
    <t>TX-S02-0871</t>
  </si>
  <si>
    <t>TR-LINE-01871-1</t>
  </si>
  <si>
    <t>PAY-01872-1</t>
  </si>
  <si>
    <t>TX-S02-0872</t>
  </si>
  <si>
    <t>TR-LINE-01872-1</t>
  </si>
  <si>
    <t>PAY-01873-1</t>
  </si>
  <si>
    <t>TX-S02-0873</t>
  </si>
  <si>
    <t>TR-LINE-01873-1</t>
  </si>
  <si>
    <t>PAY-01874-1</t>
  </si>
  <si>
    <t>TX-S02-0874</t>
  </si>
  <si>
    <t>TR-LINE-01874-1</t>
  </si>
  <si>
    <t>PAY-01874-2</t>
  </si>
  <si>
    <t>TR-LINE-01874-2</t>
  </si>
  <si>
    <t>PAY-01875-1</t>
  </si>
  <si>
    <t>TX-S02-0875</t>
  </si>
  <si>
    <t>TR-LINE-01875-1</t>
  </si>
  <si>
    <t>PAY-01875-2</t>
  </si>
  <si>
    <t>TR-LINE-01875-2</t>
  </si>
  <si>
    <t>PAY-01876-1</t>
  </si>
  <si>
    <t>TX-S02-0876</t>
  </si>
  <si>
    <t>TR-LINE-01876-1</t>
  </si>
  <si>
    <t>PAY-01877-1</t>
  </si>
  <si>
    <t>TX-S02-0877</t>
  </si>
  <si>
    <t>TR-LINE-01877-1</t>
  </si>
  <si>
    <t>PAY-01878-1</t>
  </si>
  <si>
    <t>TX-S02-0878</t>
  </si>
  <si>
    <t>TR-LINE-01878-1</t>
  </si>
  <si>
    <t>PAY-01878-2</t>
  </si>
  <si>
    <t>TR-LINE-01878-2</t>
  </si>
  <si>
    <t>PAY-01879-1</t>
  </si>
  <si>
    <t>TX-S02-0879</t>
  </si>
  <si>
    <t>TR-LINE-01879-1</t>
  </si>
  <si>
    <t>PAY-01880-1</t>
  </si>
  <si>
    <t>TX-S02-0880</t>
  </si>
  <si>
    <t>TR-LINE-01880-1</t>
  </si>
  <si>
    <t>PAY-01881-1</t>
  </si>
  <si>
    <t>TX-S02-0881</t>
  </si>
  <si>
    <t>TR-LINE-01881-1</t>
  </si>
  <si>
    <t>PAY-01882-1</t>
  </si>
  <si>
    <t>TX-S02-0882</t>
  </si>
  <si>
    <t>TR-LINE-01882-1</t>
  </si>
  <si>
    <t>PAY-01883-1</t>
  </si>
  <si>
    <t>TX-S02-0883</t>
  </si>
  <si>
    <t>TR-LINE-01883-1</t>
  </si>
  <si>
    <t>PAY-01884-1</t>
  </si>
  <si>
    <t>TX-S02-0884</t>
  </si>
  <si>
    <t>TR-LINE-01884-1</t>
  </si>
  <si>
    <t>PAY-01884-2</t>
  </si>
  <si>
    <t>TR-LINE-01884-2</t>
  </si>
  <si>
    <t>PAY-01885-1</t>
  </si>
  <si>
    <t>TX-S02-0885</t>
  </si>
  <si>
    <t>TR-LINE-01885-1</t>
  </si>
  <si>
    <t>PAY-01885-2</t>
  </si>
  <si>
    <t>TR-LINE-01885-2</t>
  </si>
  <si>
    <t>PAY-01886-1</t>
  </si>
  <si>
    <t>TX-S02-0886</t>
  </si>
  <si>
    <t>TR-LINE-01886-1</t>
  </si>
  <si>
    <t>PAY-01887-1</t>
  </si>
  <si>
    <t>TX-S02-0887</t>
  </si>
  <si>
    <t>TR-LINE-01887-1</t>
  </si>
  <si>
    <t>PAY-01888-1</t>
  </si>
  <si>
    <t>TX-S02-0888</t>
  </si>
  <si>
    <t>TR-LINE-01888-1</t>
  </si>
  <si>
    <t>PAY-01888-2</t>
  </si>
  <si>
    <t>TR-LINE-01888-2</t>
  </si>
  <si>
    <t>PAY-01889-1</t>
  </si>
  <si>
    <t>TX-S02-0889</t>
  </si>
  <si>
    <t>TR-LINE-01889-1</t>
  </si>
  <si>
    <t>PAY-01890-1</t>
  </si>
  <si>
    <t>TX-S02-0890</t>
  </si>
  <si>
    <t>TR-LINE-01890-1</t>
  </si>
  <si>
    <t>PAY-01891-1</t>
  </si>
  <si>
    <t>TX-S02-0891</t>
  </si>
  <si>
    <t>TR-LINE-01891-1</t>
  </si>
  <si>
    <t>PAY-01892-1</t>
  </si>
  <si>
    <t>TX-S02-0892</t>
  </si>
  <si>
    <t>TR-LINE-01892-1</t>
  </si>
  <si>
    <t>PAY-01893-1</t>
  </si>
  <si>
    <t>TX-S02-0893</t>
  </si>
  <si>
    <t>TR-LINE-01893-1</t>
  </si>
  <si>
    <t>PAY-01894-1</t>
  </si>
  <si>
    <t>TX-S02-0894</t>
  </si>
  <si>
    <t>TR-LINE-01894-1</t>
  </si>
  <si>
    <t>PAY-01894-2</t>
  </si>
  <si>
    <t>TR-LINE-01894-2</t>
  </si>
  <si>
    <t>PAY-01895-1</t>
  </si>
  <si>
    <t>TX-S02-0895</t>
  </si>
  <si>
    <t>TR-LINE-01895-1</t>
  </si>
  <si>
    <t>PAY-01895-2</t>
  </si>
  <si>
    <t>TR-LINE-01895-2</t>
  </si>
  <si>
    <t>PAY-01896-1</t>
  </si>
  <si>
    <t>TX-S02-0896</t>
  </si>
  <si>
    <t>TR-LINE-01896-1</t>
  </si>
  <si>
    <t>PAY-01897-1</t>
  </si>
  <si>
    <t>TX-S02-0897</t>
  </si>
  <si>
    <t>TR-LINE-01897-1</t>
  </si>
  <si>
    <t>PAY-01898-1</t>
  </si>
  <si>
    <t>TX-S02-0898</t>
  </si>
  <si>
    <t>TR-LINE-01898-1</t>
  </si>
  <si>
    <t>PAY-01898-2</t>
  </si>
  <si>
    <t>TR-LINE-01898-2</t>
  </si>
  <si>
    <t>PAY-01899-1</t>
  </si>
  <si>
    <t>TX-S02-0899</t>
  </si>
  <si>
    <t>TR-LINE-01899-1</t>
  </si>
  <si>
    <t>PAY-01900-1</t>
  </si>
  <si>
    <t>TX-S02-0900</t>
  </si>
  <si>
    <t>TR-LINE-01900-1</t>
  </si>
  <si>
    <t>PAY-01901-1</t>
  </si>
  <si>
    <t>TX-S02-0901</t>
  </si>
  <si>
    <t>TR-LINE-01901-1</t>
  </si>
  <si>
    <t>PAY-01902-1</t>
  </si>
  <si>
    <t>TX-S02-0902</t>
  </si>
  <si>
    <t>TR-LINE-01902-1</t>
  </si>
  <si>
    <t>PAY-01903-1</t>
  </si>
  <si>
    <t>TX-S02-0903</t>
  </si>
  <si>
    <t>TR-LINE-01903-1</t>
  </si>
  <si>
    <t>PAY-01904-1</t>
  </si>
  <si>
    <t>TX-S02-0904</t>
  </si>
  <si>
    <t>TR-LINE-01904-1</t>
  </si>
  <si>
    <t>PAY-01904-2</t>
  </si>
  <si>
    <t>TR-LINE-01904-2</t>
  </si>
  <si>
    <t>PAY-01905-1</t>
  </si>
  <si>
    <t>TX-S02-0905</t>
  </si>
  <si>
    <t>TR-LINE-01905-1</t>
  </si>
  <si>
    <t>PAY-01905-2</t>
  </si>
  <si>
    <t>TR-LINE-01905-2</t>
  </si>
  <si>
    <t>PAY-01906-1</t>
  </si>
  <si>
    <t>TX-S02-0906</t>
  </si>
  <si>
    <t>TR-LINE-01906-1</t>
  </si>
  <si>
    <t>PAY-01907-1</t>
  </si>
  <si>
    <t>TX-S02-0907</t>
  </si>
  <si>
    <t>TR-LINE-01907-1</t>
  </si>
  <si>
    <t>PAY-01908-1</t>
  </si>
  <si>
    <t>TX-S02-0908</t>
  </si>
  <si>
    <t>TR-LINE-01908-1</t>
  </si>
  <si>
    <t>PAY-01908-2</t>
  </si>
  <si>
    <t>TR-LINE-01908-2</t>
  </si>
  <si>
    <t>PAY-01909-1</t>
  </si>
  <si>
    <t>TX-S02-0909</t>
  </si>
  <si>
    <t>TR-LINE-01909-1</t>
  </si>
  <si>
    <t>PAY-01910-1</t>
  </si>
  <si>
    <t>TX-S02-0910</t>
  </si>
  <si>
    <t>TR-LINE-01910-1</t>
  </si>
  <si>
    <t>PAY-01911-1</t>
  </si>
  <si>
    <t>TX-S02-0911</t>
  </si>
  <si>
    <t>TR-LINE-01911-1</t>
  </si>
  <si>
    <t>PAY-01912-1</t>
  </si>
  <si>
    <t>TX-S02-0912</t>
  </si>
  <si>
    <t>TR-LINE-01912-1</t>
  </si>
  <si>
    <t>PAY-01913-1</t>
  </si>
  <si>
    <t>TX-S02-0913</t>
  </si>
  <si>
    <t>TR-LINE-01913-1</t>
  </si>
  <si>
    <t>PAY-01914-1</t>
  </si>
  <si>
    <t>TX-S02-0914</t>
  </si>
  <si>
    <t>TR-LINE-01914-1</t>
  </si>
  <si>
    <t>PAY-01914-2</t>
  </si>
  <si>
    <t>TR-LINE-01914-2</t>
  </si>
  <si>
    <t>PAY-01915-1</t>
  </si>
  <si>
    <t>TX-S02-0915</t>
  </si>
  <si>
    <t>TR-LINE-01915-1</t>
  </si>
  <si>
    <t>PAY-01915-2</t>
  </si>
  <si>
    <t>TR-LINE-01915-2</t>
  </si>
  <si>
    <t>PAY-01916-1</t>
  </si>
  <si>
    <t>TX-S02-0916</t>
  </si>
  <si>
    <t>TR-LINE-01916-1</t>
  </si>
  <si>
    <t>PAY-01917-1</t>
  </si>
  <si>
    <t>TX-S02-0917</t>
  </si>
  <si>
    <t>TR-LINE-01917-1</t>
  </si>
  <si>
    <t>PAY-01918-1</t>
  </si>
  <si>
    <t>TX-S02-0918</t>
  </si>
  <si>
    <t>TR-LINE-01918-1</t>
  </si>
  <si>
    <t>PAY-01918-2</t>
  </si>
  <si>
    <t>TR-LINE-01918-2</t>
  </si>
  <si>
    <t>PAY-01919-1</t>
  </si>
  <si>
    <t>TX-S02-0919</t>
  </si>
  <si>
    <t>TR-LINE-01919-1</t>
  </si>
  <si>
    <t>PAY-01920-1</t>
  </si>
  <si>
    <t>TX-S02-0920</t>
  </si>
  <si>
    <t>TR-LINE-01920-1</t>
  </si>
  <si>
    <t>PAY-01921-1</t>
  </si>
  <si>
    <t>TX-S02-0921</t>
  </si>
  <si>
    <t>TR-LINE-01921-1</t>
  </si>
  <si>
    <t>PAY-01922-1</t>
  </si>
  <si>
    <t>TX-S02-0922</t>
  </si>
  <si>
    <t>TR-LINE-01922-1</t>
  </si>
  <si>
    <t>PAY-01923-1</t>
  </si>
  <si>
    <t>TX-S02-0923</t>
  </si>
  <si>
    <t>TR-LINE-01923-1</t>
  </si>
  <si>
    <t>PAY-01924-1</t>
  </si>
  <si>
    <t>TX-S02-0924</t>
  </si>
  <si>
    <t>TR-LINE-01924-1</t>
  </si>
  <si>
    <t>PAY-01924-2</t>
  </si>
  <si>
    <t>TR-LINE-01924-2</t>
  </si>
  <si>
    <t>PAY-01925-1</t>
  </si>
  <si>
    <t>TX-S02-0925</t>
  </si>
  <si>
    <t>TR-LINE-01925-1</t>
  </si>
  <si>
    <t>PAY-01925-2</t>
  </si>
  <si>
    <t>TR-LINE-01925-2</t>
  </si>
  <si>
    <t>PAY-01926-1</t>
  </si>
  <si>
    <t>TX-S02-0926</t>
  </si>
  <si>
    <t>TR-LINE-01926-1</t>
  </si>
  <si>
    <t>PAY-01927-1</t>
  </si>
  <si>
    <t>TX-S02-0927</t>
  </si>
  <si>
    <t>TR-LINE-01927-1</t>
  </si>
  <si>
    <t>PAY-01928-1</t>
  </si>
  <si>
    <t>TX-S02-0928</t>
  </si>
  <si>
    <t>TR-LINE-01928-1</t>
  </si>
  <si>
    <t>PAY-01928-2</t>
  </si>
  <si>
    <t>TR-LINE-01928-2</t>
  </si>
  <si>
    <t>PAY-01929-1</t>
  </si>
  <si>
    <t>TX-S02-0929</t>
  </si>
  <si>
    <t>TR-LINE-01929-1</t>
  </si>
  <si>
    <t>PAY-01930-1</t>
  </si>
  <si>
    <t>TX-S02-0930</t>
  </si>
  <si>
    <t>TR-LINE-01930-1</t>
  </si>
  <si>
    <t>PAY-01931-1</t>
  </si>
  <si>
    <t>TX-S02-0931</t>
  </si>
  <si>
    <t>TR-LINE-01931-1</t>
  </si>
  <si>
    <t>PAY-01932-1</t>
  </si>
  <si>
    <t>TX-S02-0932</t>
  </si>
  <si>
    <t>TR-LINE-01932-1</t>
  </si>
  <si>
    <t>PAY-01933-1</t>
  </si>
  <si>
    <t>TX-S02-0933</t>
  </si>
  <si>
    <t>TR-LINE-01933-1</t>
  </si>
  <si>
    <t>PAY-01934-1</t>
  </si>
  <si>
    <t>TX-S02-0934</t>
  </si>
  <si>
    <t>TR-LINE-01934-1</t>
  </si>
  <si>
    <t>PAY-01934-2</t>
  </si>
  <si>
    <t>TR-LINE-01934-2</t>
  </si>
  <si>
    <t>PAY-01935-1</t>
  </si>
  <si>
    <t>TX-S02-0935</t>
  </si>
  <si>
    <t>TR-LINE-01935-1</t>
  </si>
  <si>
    <t>PAY-01935-2</t>
  </si>
  <si>
    <t>TR-LINE-01935-2</t>
  </si>
  <si>
    <t>PAY-01936-1</t>
  </si>
  <si>
    <t>TX-S02-0936</t>
  </si>
  <si>
    <t>TR-LINE-01936-1</t>
  </si>
  <si>
    <t>PAY-01937-1</t>
  </si>
  <si>
    <t>TX-S02-0937</t>
  </si>
  <si>
    <t>TR-LINE-01937-1</t>
  </si>
  <si>
    <t>PAY-01938-1</t>
  </si>
  <si>
    <t>TX-S02-0938</t>
  </si>
  <si>
    <t>TR-LINE-01938-1</t>
  </si>
  <si>
    <t>PAY-01938-2</t>
  </si>
  <si>
    <t>TR-LINE-01938-2</t>
  </si>
  <si>
    <t>PAY-01939-1</t>
  </si>
  <si>
    <t>TX-S02-0939</t>
  </si>
  <si>
    <t>TR-LINE-01939-1</t>
  </si>
  <si>
    <t>PAY-01940-1</t>
  </si>
  <si>
    <t>TX-S02-0940</t>
  </si>
  <si>
    <t>TR-LINE-01940-1</t>
  </si>
  <si>
    <t>PAY-01941-1</t>
  </si>
  <si>
    <t>TX-S02-0941</t>
  </si>
  <si>
    <t>TR-LINE-01941-1</t>
  </si>
  <si>
    <t>PAY-01942-1</t>
  </si>
  <si>
    <t>TX-S02-0942</t>
  </si>
  <si>
    <t>TR-LINE-01942-1</t>
  </si>
  <si>
    <t>PAY-01943-1</t>
  </si>
  <si>
    <t>TX-S02-0943</t>
  </si>
  <si>
    <t>TR-LINE-01943-1</t>
  </si>
  <si>
    <t>PAY-01944-1</t>
  </si>
  <si>
    <t>TX-S02-0944</t>
  </si>
  <si>
    <t>TR-LINE-01944-1</t>
  </si>
  <si>
    <t>PAY-01944-2</t>
  </si>
  <si>
    <t>TR-LINE-01944-2</t>
  </si>
  <si>
    <t>PAY-01945-1</t>
  </si>
  <si>
    <t>TX-S02-0945</t>
  </si>
  <si>
    <t>TR-LINE-01945-1</t>
  </si>
  <si>
    <t>PAY-01945-2</t>
  </si>
  <si>
    <t>TR-LINE-01945-2</t>
  </si>
  <si>
    <t>PAY-01946-1</t>
  </si>
  <si>
    <t>TX-S02-0946</t>
  </si>
  <si>
    <t>TR-LINE-01946-1</t>
  </si>
  <si>
    <t>PAY-01947-1</t>
  </si>
  <si>
    <t>TX-S02-0947</t>
  </si>
  <si>
    <t>TR-LINE-01947-1</t>
  </si>
  <si>
    <t>PAY-01948-1</t>
  </si>
  <si>
    <t>TX-S02-0948</t>
  </si>
  <si>
    <t>TR-LINE-01948-1</t>
  </si>
  <si>
    <t>PAY-01948-2</t>
  </si>
  <si>
    <t>TR-LINE-01948-2</t>
  </si>
  <si>
    <t>PAY-01949-1</t>
  </si>
  <si>
    <t>TX-S02-0949</t>
  </si>
  <si>
    <t>TR-LINE-01949-1</t>
  </si>
  <si>
    <t>PAY-01950-1</t>
  </si>
  <si>
    <t>TX-S02-0950</t>
  </si>
  <si>
    <t>TR-LINE-01950-1</t>
  </si>
  <si>
    <t>PAY-01951-1</t>
  </si>
  <si>
    <t>TX-S02-0951</t>
  </si>
  <si>
    <t>TR-LINE-01951-1</t>
  </si>
  <si>
    <t>PAY-01952-1</t>
  </si>
  <si>
    <t>TX-S02-0952</t>
  </si>
  <si>
    <t>TR-LINE-01952-1</t>
  </si>
  <si>
    <t>PAY-01953-1</t>
  </si>
  <si>
    <t>TX-S02-0953</t>
  </si>
  <si>
    <t>TR-LINE-01953-1</t>
  </si>
  <si>
    <t>PAY-01954-1</t>
  </si>
  <si>
    <t>TX-S02-0954</t>
  </si>
  <si>
    <t>TR-LINE-01954-1</t>
  </si>
  <si>
    <t>PAY-01954-2</t>
  </si>
  <si>
    <t>TR-LINE-01954-2</t>
  </si>
  <si>
    <t>PAY-01955-1</t>
  </si>
  <si>
    <t>TX-S02-0955</t>
  </si>
  <si>
    <t>TR-LINE-01955-1</t>
  </si>
  <si>
    <t>PAY-01955-2</t>
  </si>
  <si>
    <t>TR-LINE-01955-2</t>
  </si>
  <si>
    <t>PAY-01956-1</t>
  </si>
  <si>
    <t>TX-S02-0956</t>
  </si>
  <si>
    <t>TR-LINE-01956-1</t>
  </si>
  <si>
    <t>PAY-01957-1</t>
  </si>
  <si>
    <t>TX-S02-0957</t>
  </si>
  <si>
    <t>TR-LINE-01957-1</t>
  </si>
  <si>
    <t>PAY-01958-1</t>
  </si>
  <si>
    <t>TX-S02-0958</t>
  </si>
  <si>
    <t>TR-LINE-01958-1</t>
  </si>
  <si>
    <t>PAY-01958-2</t>
  </si>
  <si>
    <t>TR-LINE-01958-2</t>
  </si>
  <si>
    <t>PAY-01959-1</t>
  </si>
  <si>
    <t>TX-S02-0959</t>
  </si>
  <si>
    <t>TR-LINE-01959-1</t>
  </si>
  <si>
    <t>PAY-01960-1</t>
  </si>
  <si>
    <t>TX-S02-0960</t>
  </si>
  <si>
    <t>TR-LINE-01960-1</t>
  </si>
  <si>
    <t>PAY-01961-1</t>
  </si>
  <si>
    <t>TX-S02-0961</t>
  </si>
  <si>
    <t>TR-LINE-01961-1</t>
  </si>
  <si>
    <t>PAY-01962-1</t>
  </si>
  <si>
    <t>TX-S02-0962</t>
  </si>
  <si>
    <t>TR-LINE-01962-1</t>
  </si>
  <si>
    <t>PAY-01963-1</t>
  </si>
  <si>
    <t>TX-S02-0963</t>
  </si>
  <si>
    <t>TR-LINE-01963-1</t>
  </si>
  <si>
    <t>PAY-01964-1</t>
  </si>
  <si>
    <t>TX-S02-0964</t>
  </si>
  <si>
    <t>TR-LINE-01964-1</t>
  </si>
  <si>
    <t>PAY-01964-2</t>
  </si>
  <si>
    <t>TR-LINE-01964-2</t>
  </si>
  <si>
    <t>PAY-01965-1</t>
  </si>
  <si>
    <t>TX-S02-0965</t>
  </si>
  <si>
    <t>TR-LINE-01965-1</t>
  </si>
  <si>
    <t>PAY-01965-2</t>
  </si>
  <si>
    <t>TR-LINE-01965-2</t>
  </si>
  <si>
    <t>PAY-01966-1</t>
  </si>
  <si>
    <t>TX-S02-0966</t>
  </si>
  <si>
    <t>TR-LINE-01966-1</t>
  </si>
  <si>
    <t>PAY-01967-1</t>
  </si>
  <si>
    <t>TX-S02-0967</t>
  </si>
  <si>
    <t>TR-LINE-01967-1</t>
  </si>
  <si>
    <t>PAY-01968-1</t>
  </si>
  <si>
    <t>TX-S02-0968</t>
  </si>
  <si>
    <t>TR-LINE-01968-1</t>
  </si>
  <si>
    <t>PAY-01968-2</t>
  </si>
  <si>
    <t>TR-LINE-01968-2</t>
  </si>
  <si>
    <t>PAY-01969-1</t>
  </si>
  <si>
    <t>TX-S02-0969</t>
  </si>
  <si>
    <t>TR-LINE-01969-1</t>
  </si>
  <si>
    <t>PAY-01970-1</t>
  </si>
  <si>
    <t>TX-S02-0970</t>
  </si>
  <si>
    <t>TR-LINE-01970-1</t>
  </si>
  <si>
    <t>PAY-01971-1</t>
  </si>
  <si>
    <t>TX-S02-0971</t>
  </si>
  <si>
    <t>TR-LINE-01971-1</t>
  </si>
  <si>
    <t>PAY-01972-1</t>
  </si>
  <si>
    <t>TX-S02-0972</t>
  </si>
  <si>
    <t>TR-LINE-01972-1</t>
  </si>
  <si>
    <t>PAY-01973-1</t>
  </si>
  <si>
    <t>TX-S02-0973</t>
  </si>
  <si>
    <t>TR-LINE-01973-1</t>
  </si>
  <si>
    <t>PAY-01974-1</t>
  </si>
  <si>
    <t>TX-S02-0974</t>
  </si>
  <si>
    <t>TR-LINE-01974-1</t>
  </si>
  <si>
    <t>PAY-01974-2</t>
  </si>
  <si>
    <t>TR-LINE-01974-2</t>
  </si>
  <si>
    <t>PAY-01975-1</t>
  </si>
  <si>
    <t>TX-S02-0975</t>
  </si>
  <si>
    <t>TR-LINE-01975-1</t>
  </si>
  <si>
    <t>PAY-01975-2</t>
  </si>
  <si>
    <t>TR-LINE-01975-2</t>
  </si>
  <si>
    <t>PAY-01976-1</t>
  </si>
  <si>
    <t>TX-S02-0976</t>
  </si>
  <si>
    <t>TR-LINE-01976-1</t>
  </si>
  <si>
    <t>PAY-01977-1</t>
  </si>
  <si>
    <t>TX-S02-0977</t>
  </si>
  <si>
    <t>TR-LINE-01977-1</t>
  </si>
  <si>
    <t>PAY-01978-1</t>
  </si>
  <si>
    <t>TX-S02-0978</t>
  </si>
  <si>
    <t>TR-LINE-01978-1</t>
  </si>
  <si>
    <t>PAY-01978-2</t>
  </si>
  <si>
    <t>TR-LINE-01978-2</t>
  </si>
  <si>
    <t>PAY-01979-1</t>
  </si>
  <si>
    <t>TX-S02-0979</t>
  </si>
  <si>
    <t>TR-LINE-01979-1</t>
  </si>
  <si>
    <t>PAY-01980-1</t>
  </si>
  <si>
    <t>TX-S02-0980</t>
  </si>
  <si>
    <t>TR-LINE-01980-1</t>
  </si>
  <si>
    <t>PAY-01981-1</t>
  </si>
  <si>
    <t>TX-S02-0981</t>
  </si>
  <si>
    <t>TR-LINE-01981-1</t>
  </si>
  <si>
    <t>PAY-01982-1</t>
  </si>
  <si>
    <t>TX-S02-0982</t>
  </si>
  <si>
    <t>TR-LINE-01982-1</t>
  </si>
  <si>
    <t>PAY-01983-1</t>
  </si>
  <si>
    <t>TX-S02-0983</t>
  </si>
  <si>
    <t>TR-LINE-01983-1</t>
  </si>
  <si>
    <t>PAY-01984-1</t>
  </si>
  <si>
    <t>TX-S02-0984</t>
  </si>
  <si>
    <t>TR-LINE-01984-1</t>
  </si>
  <si>
    <t>PAY-01985-1</t>
  </si>
  <si>
    <t>TX-S02-0985</t>
  </si>
  <si>
    <t>TR-LINE-01985-1</t>
  </si>
  <si>
    <t>PAY-01985-2</t>
  </si>
  <si>
    <t>TR-LINE-01985-2</t>
  </si>
  <si>
    <t>PAY-01986-1</t>
  </si>
  <si>
    <t>TX-S02-0986</t>
  </si>
  <si>
    <t>TR-LINE-01986-1</t>
  </si>
  <si>
    <t>PAY-01987-1</t>
  </si>
  <si>
    <t>TX-S02-0987</t>
  </si>
  <si>
    <t>TR-LINE-01987-1</t>
  </si>
  <si>
    <t>PAY-01988-1</t>
  </si>
  <si>
    <t>TX-S02-0988</t>
  </si>
  <si>
    <t>TR-LINE-01988-1</t>
  </si>
  <si>
    <t>PAY-01988-2</t>
  </si>
  <si>
    <t>TR-LINE-01988-2</t>
  </si>
  <si>
    <t>PAY-01989-1</t>
  </si>
  <si>
    <t>TX-S02-0989</t>
  </si>
  <si>
    <t>TR-LINE-01989-1</t>
  </si>
  <si>
    <t>PAY-01990-1</t>
  </si>
  <si>
    <t>TX-S02-0990</t>
  </si>
  <si>
    <t>TR-LINE-01990-1</t>
  </si>
  <si>
    <t>PAY-01991-1</t>
  </si>
  <si>
    <t>TX-S02-0991</t>
  </si>
  <si>
    <t>TR-LINE-01991-1</t>
  </si>
  <si>
    <t>PAY-01992-1</t>
  </si>
  <si>
    <t>TX-S02-0992</t>
  </si>
  <si>
    <t>TR-LINE-01992-1</t>
  </si>
  <si>
    <t>PAY-01993-1</t>
  </si>
  <si>
    <t>TX-S02-0993</t>
  </si>
  <si>
    <t>TR-LINE-01993-1</t>
  </si>
  <si>
    <t>PAY-01994-1</t>
  </si>
  <si>
    <t>TX-S02-0994</t>
  </si>
  <si>
    <t>TR-LINE-01994-1</t>
  </si>
  <si>
    <t>PAY-01994-2</t>
  </si>
  <si>
    <t>TR-LINE-01994-2</t>
  </si>
  <si>
    <t>PAY-01995-1</t>
  </si>
  <si>
    <t>TX-S02-0995</t>
  </si>
  <si>
    <t>TR-LINE-01995-1</t>
  </si>
  <si>
    <t>PAY-01995-2</t>
  </si>
  <si>
    <t>TR-LINE-01995-2</t>
  </si>
  <si>
    <t>PAY-01996-1</t>
  </si>
  <si>
    <t>TX-S02-0996</t>
  </si>
  <si>
    <t>TR-LINE-01996-1</t>
  </si>
  <si>
    <t>PAY-01997-1</t>
  </si>
  <si>
    <t>TX-S02-0997</t>
  </si>
  <si>
    <t>TR-LINE-01997-1</t>
  </si>
  <si>
    <t>PAY-01998-1</t>
  </si>
  <si>
    <t>TX-S02-0998</t>
  </si>
  <si>
    <t>TR-LINE-01998-1</t>
  </si>
  <si>
    <t>PAY-01998-2</t>
  </si>
  <si>
    <t>TR-LINE-01998-2</t>
  </si>
  <si>
    <t>PAY-01999-1</t>
  </si>
  <si>
    <t>TX-S02-0999</t>
  </si>
  <si>
    <t>TR-LINE-01999-1</t>
  </si>
  <si>
    <t>PAY-02000-1</t>
  </si>
  <si>
    <t>TX-S02-1000</t>
  </si>
  <si>
    <t>TR-LINE-02000-1</t>
  </si>
  <si>
    <t>PAY-02001-1</t>
  </si>
  <si>
    <t>S03</t>
  </si>
  <si>
    <t>TX-S03-0001</t>
  </si>
  <si>
    <t>TR-LINE-02001-1</t>
  </si>
  <si>
    <t>PAY-02001-2</t>
  </si>
  <si>
    <t>TR-LINE-02001-2</t>
  </si>
  <si>
    <t>PAY-02002-1</t>
  </si>
  <si>
    <t>TX-S03-0002</t>
  </si>
  <si>
    <t>TR-LINE-02002-1</t>
  </si>
  <si>
    <t>PAY-02002-2</t>
  </si>
  <si>
    <t>TR-LINE-02002-2</t>
  </si>
  <si>
    <t>PAY-02003-1</t>
  </si>
  <si>
    <t>TX-S03-0003</t>
  </si>
  <si>
    <t>TR-LINE-02003-1</t>
  </si>
  <si>
    <t>PAY-02003-2</t>
  </si>
  <si>
    <t>TR-LINE-02003-2</t>
  </si>
  <si>
    <t>PAY-02004-1</t>
  </si>
  <si>
    <t>TX-S03-0004</t>
  </si>
  <si>
    <t>TR-LINE-02004-1</t>
  </si>
  <si>
    <t>PAY-02004-2</t>
  </si>
  <si>
    <t>TR-LINE-02004-2</t>
  </si>
  <si>
    <t>PAY-02005-1</t>
  </si>
  <si>
    <t>TX-S03-0005</t>
  </si>
  <si>
    <t>TR-LINE-02005-1</t>
  </si>
  <si>
    <t>PAY-02005-2</t>
  </si>
  <si>
    <t>TR-LINE-02005-2</t>
  </si>
  <si>
    <t>PAY-02006-1</t>
  </si>
  <si>
    <t>TX-S03-0006</t>
  </si>
  <si>
    <t>TR-LINE-02006-1</t>
  </si>
  <si>
    <t>PAY-02006-2</t>
  </si>
  <si>
    <t>TR-LINE-02006-2</t>
  </si>
  <si>
    <t>PAY-02007-1</t>
  </si>
  <si>
    <t>TX-S03-0007</t>
  </si>
  <si>
    <t>TR-LINE-02007-1</t>
  </si>
  <si>
    <t>PAY-02007-2</t>
  </si>
  <si>
    <t>TR-LINE-02007-2</t>
  </si>
  <si>
    <t>PAY-02008-1</t>
  </si>
  <si>
    <t>TX-S03-0008</t>
  </si>
  <si>
    <t>TR-LINE-02008-1</t>
  </si>
  <si>
    <t>PAY-02008-2</t>
  </si>
  <si>
    <t>TR-LINE-02008-2</t>
  </si>
  <si>
    <t>PAY-02009-1</t>
  </si>
  <si>
    <t>TX-S03-0009</t>
  </si>
  <si>
    <t>TR-LINE-02009-1</t>
  </si>
  <si>
    <t>PAY-02009-2</t>
  </si>
  <si>
    <t>TR-LINE-02009-2</t>
  </si>
  <si>
    <t>PAY-02010-1</t>
  </si>
  <si>
    <t>TX-S03-0010</t>
  </si>
  <si>
    <t>TR-LINE-02010-1</t>
  </si>
  <si>
    <t>PAY-02010-2</t>
  </si>
  <si>
    <t>TR-LINE-02010-2</t>
  </si>
  <si>
    <t>PAY-02011-1</t>
  </si>
  <si>
    <t>TX-S03-0011</t>
  </si>
  <si>
    <t>TR-LINE-02011-1</t>
  </si>
  <si>
    <t>PAY-02011-2</t>
  </si>
  <si>
    <t>TR-LINE-02011-2</t>
  </si>
  <si>
    <t>PAY-02012-1</t>
  </si>
  <si>
    <t>TX-S03-0012</t>
  </si>
  <si>
    <t>TR-LINE-02012-1</t>
  </si>
  <si>
    <t>PAY-02012-2</t>
  </si>
  <si>
    <t>TR-LINE-02012-2</t>
  </si>
  <si>
    <t>PAY-02013-1</t>
  </si>
  <si>
    <t>TX-S03-0013</t>
  </si>
  <si>
    <t>TR-LINE-02013-1</t>
  </si>
  <si>
    <t>PAY-02013-2</t>
  </si>
  <si>
    <t>TR-LINE-02013-2</t>
  </si>
  <si>
    <t>PAY-02014-1</t>
  </si>
  <si>
    <t>TX-S03-0014</t>
  </si>
  <si>
    <t>TR-LINE-02014-1</t>
  </si>
  <si>
    <t>PAY-02014-2</t>
  </si>
  <si>
    <t>TR-LINE-02014-2</t>
  </si>
  <si>
    <t>PAY-02015-1</t>
  </si>
  <si>
    <t>TX-S03-0015</t>
  </si>
  <si>
    <t>TR-LINE-02015-1</t>
  </si>
  <si>
    <t>PAY-02015-2</t>
  </si>
  <si>
    <t>TR-LINE-02015-2</t>
  </si>
  <si>
    <t>PAY-02016-1</t>
  </si>
  <si>
    <t>TX-S03-0016</t>
  </si>
  <si>
    <t>TR-LINE-02016-1</t>
  </si>
  <si>
    <t>PAY-02016-2</t>
  </si>
  <si>
    <t>TR-LINE-02016-2</t>
  </si>
  <si>
    <t>PAY-02017-1</t>
  </si>
  <si>
    <t>TX-S03-0017</t>
  </si>
  <si>
    <t>TR-LINE-02017-1</t>
  </si>
  <si>
    <t>PAY-02017-2</t>
  </si>
  <si>
    <t>TR-LINE-02017-2</t>
  </si>
  <si>
    <t>PAY-02018-1</t>
  </si>
  <si>
    <t>TX-S03-0018</t>
  </si>
  <si>
    <t>TR-LINE-02018-1</t>
  </si>
  <si>
    <t>PAY-02018-2</t>
  </si>
  <si>
    <t>TR-LINE-02018-2</t>
  </si>
  <si>
    <t>PAY-02019-1</t>
  </si>
  <si>
    <t>TX-S03-0019</t>
  </si>
  <si>
    <t>TR-LINE-02019-1</t>
  </si>
  <si>
    <t>PAY-02019-2</t>
  </si>
  <si>
    <t>TR-LINE-02019-2</t>
  </si>
  <si>
    <t>PAY-02020-1</t>
  </si>
  <si>
    <t>TX-S03-0020</t>
  </si>
  <si>
    <t>TR-LINE-02020-1</t>
  </si>
  <si>
    <t>PAY-02020-2</t>
  </si>
  <si>
    <t>TR-LINE-02020-2</t>
  </si>
  <si>
    <t>PAY-02021-1</t>
  </si>
  <si>
    <t>TX-S03-0021</t>
  </si>
  <si>
    <t>TR-LINE-02021-1</t>
  </si>
  <si>
    <t>PAY-02021-2</t>
  </si>
  <si>
    <t>TR-LINE-02021-2</t>
  </si>
  <si>
    <t>PAY-02022-1</t>
  </si>
  <si>
    <t>TX-S03-0022</t>
  </si>
  <si>
    <t>TR-LINE-02022-1</t>
  </si>
  <si>
    <t>PAY-02022-2</t>
  </si>
  <si>
    <t>TR-LINE-02022-2</t>
  </si>
  <si>
    <t>PAY-02023-1</t>
  </si>
  <si>
    <t>TX-S03-0023</t>
  </si>
  <si>
    <t>TR-LINE-02023-1</t>
  </si>
  <si>
    <t>PAY-02023-2</t>
  </si>
  <si>
    <t>TR-LINE-02023-2</t>
  </si>
  <si>
    <t>PAY-02024-1</t>
  </si>
  <si>
    <t>TX-S03-0024</t>
  </si>
  <si>
    <t>TR-LINE-02024-1</t>
  </si>
  <si>
    <t>PAY-02024-2</t>
  </si>
  <si>
    <t>TR-LINE-02024-2</t>
  </si>
  <si>
    <t>PAY-02025-1</t>
  </si>
  <si>
    <t>TX-S03-0025</t>
  </si>
  <si>
    <t>TR-LINE-02025-1</t>
  </si>
  <si>
    <t>PAY-02025-2</t>
  </si>
  <si>
    <t>TR-LINE-02025-2</t>
  </si>
  <si>
    <t>PAY-02026-1</t>
  </si>
  <si>
    <t>TX-S03-0026</t>
  </si>
  <si>
    <t>TR-LINE-02026-1</t>
  </si>
  <si>
    <t>PAY-02026-2</t>
  </si>
  <si>
    <t>TR-LINE-02026-2</t>
  </si>
  <si>
    <t>PAY-02027-1</t>
  </si>
  <si>
    <t>TX-S03-0027</t>
  </si>
  <si>
    <t>TR-LINE-02027-1</t>
  </si>
  <si>
    <t>PAY-02027-2</t>
  </si>
  <si>
    <t>TR-LINE-02027-2</t>
  </si>
  <si>
    <t>PAY-02028-1</t>
  </si>
  <si>
    <t>TX-S03-0028</t>
  </si>
  <si>
    <t>TR-LINE-02028-1</t>
  </si>
  <si>
    <t>PAY-02028-2</t>
  </si>
  <si>
    <t>TR-LINE-02028-2</t>
  </si>
  <si>
    <t>PAY-02029-1</t>
  </si>
  <si>
    <t>TX-S03-0029</t>
  </si>
  <si>
    <t>TR-LINE-02029-1</t>
  </si>
  <si>
    <t>PAY-02029-2</t>
  </si>
  <si>
    <t>TR-LINE-02029-2</t>
  </si>
  <si>
    <t>PAY-02030-1</t>
  </si>
  <si>
    <t>TX-S03-0030</t>
  </si>
  <si>
    <t>TR-LINE-02030-1</t>
  </si>
  <si>
    <t>PAY-02030-2</t>
  </si>
  <si>
    <t>TR-LINE-02030-2</t>
  </si>
  <si>
    <t>PAY-02031-1</t>
  </si>
  <si>
    <t>TX-S03-0031</t>
  </si>
  <si>
    <t>TR-LINE-02031-1</t>
  </si>
  <si>
    <t>PAY-02031-2</t>
  </si>
  <si>
    <t>TR-LINE-02031-2</t>
  </si>
  <si>
    <t>PAY-02032-1</t>
  </si>
  <si>
    <t>TX-S03-0032</t>
  </si>
  <si>
    <t>TR-LINE-02032-1</t>
  </si>
  <si>
    <t>PAY-02032-2</t>
  </si>
  <si>
    <t>TR-LINE-02032-2</t>
  </si>
  <si>
    <t>PAY-02033-1</t>
  </si>
  <si>
    <t>TX-S03-0033</t>
  </si>
  <si>
    <t>TR-LINE-02033-1</t>
  </si>
  <si>
    <t>PAY-02033-2</t>
  </si>
  <si>
    <t>TR-LINE-02033-2</t>
  </si>
  <si>
    <t>PAY-02034-1</t>
  </si>
  <si>
    <t>TX-S03-0034</t>
  </si>
  <si>
    <t>TR-LINE-02034-1</t>
  </si>
  <si>
    <t>PAY-02034-2</t>
  </si>
  <si>
    <t>TR-LINE-02034-2</t>
  </si>
  <si>
    <t>PAY-02035-1</t>
  </si>
  <si>
    <t>TX-S03-0035</t>
  </si>
  <si>
    <t>TR-LINE-02035-1</t>
  </si>
  <si>
    <t>PAY-02035-2</t>
  </si>
  <si>
    <t>TR-LINE-02035-2</t>
  </si>
  <si>
    <t>PAY-02036-1</t>
  </si>
  <si>
    <t>TX-S03-0036</t>
  </si>
  <si>
    <t>TR-LINE-02036-1</t>
  </si>
  <si>
    <t>PAY-02036-2</t>
  </si>
  <si>
    <t>TR-LINE-02036-2</t>
  </si>
  <si>
    <t>PAY-02037-1</t>
  </si>
  <si>
    <t>TX-S03-0037</t>
  </si>
  <si>
    <t>TR-LINE-02037-1</t>
  </si>
  <si>
    <t>PAY-02037-2</t>
  </si>
  <si>
    <t>TR-LINE-02037-2</t>
  </si>
  <si>
    <t>PAY-02038-1</t>
  </si>
  <si>
    <t>TX-S03-0038</t>
  </si>
  <si>
    <t>TR-LINE-02038-1</t>
  </si>
  <si>
    <t>PAY-02038-2</t>
  </si>
  <si>
    <t>TR-LINE-02038-2</t>
  </si>
  <si>
    <t>PAY-02039-1</t>
  </si>
  <si>
    <t>TX-S03-0039</t>
  </si>
  <si>
    <t>TR-LINE-02039-1</t>
  </si>
  <si>
    <t>PAY-02039-2</t>
  </si>
  <si>
    <t>TR-LINE-02039-2</t>
  </si>
  <si>
    <t>PAY-02040-1</t>
  </si>
  <si>
    <t>TX-S03-0040</t>
  </si>
  <si>
    <t>TR-LINE-02040-1</t>
  </si>
  <si>
    <t>PAY-02040-2</t>
  </si>
  <si>
    <t>TR-LINE-02040-2</t>
  </si>
  <si>
    <t>PAY-02041-1</t>
  </si>
  <si>
    <t>TX-S03-0041</t>
  </si>
  <si>
    <t>TR-LINE-02041-1</t>
  </si>
  <si>
    <t>PAY-02042-1</t>
  </si>
  <si>
    <t>TX-S03-0042</t>
  </si>
  <si>
    <t>TR-LINE-02042-1</t>
  </si>
  <si>
    <t>PAY-02042-2</t>
  </si>
  <si>
    <t>TR-LINE-02042-2</t>
  </si>
  <si>
    <t>PAY-02043-1</t>
  </si>
  <si>
    <t>TX-S03-0043</t>
  </si>
  <si>
    <t>TR-LINE-02043-1</t>
  </si>
  <si>
    <t>PAY-02043-2</t>
  </si>
  <si>
    <t>TR-LINE-02043-2</t>
  </si>
  <si>
    <t>PAY-02044-1</t>
  </si>
  <si>
    <t>TX-S03-0044</t>
  </si>
  <si>
    <t>TR-LINE-02044-1</t>
  </si>
  <si>
    <t>PAY-02044-2</t>
  </si>
  <si>
    <t>TR-LINE-02044-2</t>
  </si>
  <si>
    <t>PAY-02045-1</t>
  </si>
  <si>
    <t>TX-S03-0045</t>
  </si>
  <si>
    <t>TR-LINE-02045-1</t>
  </si>
  <si>
    <t>PAY-02045-2</t>
  </si>
  <si>
    <t>TR-LINE-02045-2</t>
  </si>
  <si>
    <t>PAY-02046-1</t>
  </si>
  <si>
    <t>TX-S03-0046</t>
  </si>
  <si>
    <t>TR-LINE-02046-1</t>
  </si>
  <si>
    <t>PAY-02046-2</t>
  </si>
  <si>
    <t>TR-LINE-02046-2</t>
  </si>
  <si>
    <t>PAY-02047-1</t>
  </si>
  <si>
    <t>TX-S03-0047</t>
  </si>
  <si>
    <t>TR-LINE-02047-1</t>
  </si>
  <si>
    <t>PAY-02047-2</t>
  </si>
  <si>
    <t>TR-LINE-02047-2</t>
  </si>
  <si>
    <t>PAY-02048-1</t>
  </si>
  <si>
    <t>TX-S03-0048</t>
  </si>
  <si>
    <t>TR-LINE-02048-1</t>
  </si>
  <si>
    <t>PAY-02048-2</t>
  </si>
  <si>
    <t>TR-LINE-02048-2</t>
  </si>
  <si>
    <t>PAY-02049-1</t>
  </si>
  <si>
    <t>TX-S03-0049</t>
  </si>
  <si>
    <t>TR-LINE-02049-1</t>
  </si>
  <si>
    <t>PAY-02049-2</t>
  </si>
  <si>
    <t>TR-LINE-02049-2</t>
  </si>
  <si>
    <t>PAY-02050-1</t>
  </si>
  <si>
    <t>TX-S03-0050</t>
  </si>
  <si>
    <t>TR-LINE-02050-1</t>
  </si>
  <si>
    <t>PAY-02050-2</t>
  </si>
  <si>
    <t>TR-LINE-02050-2</t>
  </si>
  <si>
    <t>PAY-02051-1</t>
  </si>
  <si>
    <t>TX-S03-0051</t>
  </si>
  <si>
    <t>TR-LINE-02051-1</t>
  </si>
  <si>
    <t>PAY-02051-2</t>
  </si>
  <si>
    <t>TR-LINE-02051-2</t>
  </si>
  <si>
    <t>PAY-02052-1</t>
  </si>
  <si>
    <t>TX-S03-0052</t>
  </si>
  <si>
    <t>TR-LINE-02052-1</t>
  </si>
  <si>
    <t>PAY-02052-2</t>
  </si>
  <si>
    <t>TR-LINE-02052-2</t>
  </si>
  <si>
    <t>PAY-02053-1</t>
  </si>
  <si>
    <t>TX-S03-0053</t>
  </si>
  <si>
    <t>TR-LINE-02053-1</t>
  </si>
  <si>
    <t>PAY-02053-2</t>
  </si>
  <si>
    <t>TR-LINE-02053-2</t>
  </si>
  <si>
    <t>PAY-02054-1</t>
  </si>
  <si>
    <t>TX-S03-0054</t>
  </si>
  <si>
    <t>TR-LINE-02054-1</t>
  </si>
  <si>
    <t>PAY-02054-2</t>
  </si>
  <si>
    <t>TR-LINE-02054-2</t>
  </si>
  <si>
    <t>PAY-02055-1</t>
  </si>
  <si>
    <t>TX-S03-0055</t>
  </si>
  <si>
    <t>TR-LINE-02055-1</t>
  </si>
  <si>
    <t>PAY-02055-2</t>
  </si>
  <si>
    <t>TR-LINE-02055-2</t>
  </si>
  <si>
    <t>PAY-02056-1</t>
  </si>
  <si>
    <t>TX-S03-0056</t>
  </si>
  <si>
    <t>TR-LINE-02056-1</t>
  </si>
  <si>
    <t>PAY-02056-2</t>
  </si>
  <si>
    <t>TR-LINE-02056-2</t>
  </si>
  <si>
    <t>PAY-02057-1</t>
  </si>
  <si>
    <t>TX-S03-0057</t>
  </si>
  <si>
    <t>TR-LINE-02057-1</t>
  </si>
  <si>
    <t>PAY-02057-2</t>
  </si>
  <si>
    <t>TR-LINE-02057-2</t>
  </si>
  <si>
    <t>PAY-02058-1</t>
  </si>
  <si>
    <t>TX-S03-0058</t>
  </si>
  <si>
    <t>TR-LINE-02058-1</t>
  </si>
  <si>
    <t>PAY-02058-2</t>
  </si>
  <si>
    <t>TR-LINE-02058-2</t>
  </si>
  <si>
    <t>PAY-02059-1</t>
  </si>
  <si>
    <t>TX-S03-0059</t>
  </si>
  <si>
    <t>TR-LINE-02059-1</t>
  </si>
  <si>
    <t>PAY-02059-2</t>
  </si>
  <si>
    <t>TR-LINE-02059-2</t>
  </si>
  <si>
    <t>PAY-02060-1</t>
  </si>
  <si>
    <t>TX-S03-0060</t>
  </si>
  <si>
    <t>TR-LINE-02060-1</t>
  </si>
  <si>
    <t>PAY-02060-2</t>
  </si>
  <si>
    <t>TR-LINE-02060-2</t>
  </si>
  <si>
    <t>PAY-02061-1</t>
  </si>
  <si>
    <t>TX-S03-0061</t>
  </si>
  <si>
    <t>TR-LINE-02061-1</t>
  </si>
  <si>
    <t>PAY-02061-2</t>
  </si>
  <si>
    <t>TR-LINE-02061-2</t>
  </si>
  <si>
    <t>PAY-02062-1</t>
  </si>
  <si>
    <t>TX-S03-0062</t>
  </si>
  <si>
    <t>TR-LINE-02062-1</t>
  </si>
  <si>
    <t>PAY-02062-2</t>
  </si>
  <si>
    <t>TR-LINE-02062-2</t>
  </si>
  <si>
    <t>PAY-02063-1</t>
  </si>
  <si>
    <t>TX-S03-0063</t>
  </si>
  <si>
    <t>TR-LINE-02063-1</t>
  </si>
  <si>
    <t>PAY-02063-2</t>
  </si>
  <si>
    <t>TR-LINE-02063-2</t>
  </si>
  <si>
    <t>PAY-02064-1</t>
  </si>
  <si>
    <t>TX-S03-0064</t>
  </si>
  <si>
    <t>TR-LINE-02064-1</t>
  </si>
  <si>
    <t>PAY-02064-2</t>
  </si>
  <si>
    <t>TR-LINE-02064-2</t>
  </si>
  <si>
    <t>PAY-02065-1</t>
  </si>
  <si>
    <t>TX-S03-0065</t>
  </si>
  <si>
    <t>TR-LINE-02065-1</t>
  </si>
  <si>
    <t>PAY-02065-2</t>
  </si>
  <si>
    <t>TR-LINE-02065-2</t>
  </si>
  <si>
    <t>PAY-02066-1</t>
  </si>
  <si>
    <t>TX-S03-0066</t>
  </si>
  <si>
    <t>TR-LINE-02066-1</t>
  </si>
  <si>
    <t>PAY-02066-2</t>
  </si>
  <si>
    <t>TR-LINE-02066-2</t>
  </si>
  <si>
    <t>PAY-02067-1</t>
  </si>
  <si>
    <t>TX-S03-0067</t>
  </si>
  <si>
    <t>TR-LINE-02067-1</t>
  </si>
  <si>
    <t>PAY-02067-2</t>
  </si>
  <si>
    <t>TR-LINE-02067-2</t>
  </si>
  <si>
    <t>PAY-02068-1</t>
  </si>
  <si>
    <t>TX-S03-0068</t>
  </si>
  <si>
    <t>TR-LINE-02068-1</t>
  </si>
  <si>
    <t>PAY-02068-2</t>
  </si>
  <si>
    <t>TR-LINE-02068-2</t>
  </si>
  <si>
    <t>PAY-02069-1</t>
  </si>
  <si>
    <t>TX-S03-0069</t>
  </si>
  <si>
    <t>TR-LINE-02069-1</t>
  </si>
  <si>
    <t>PAY-02069-2</t>
  </si>
  <si>
    <t>TR-LINE-02069-2</t>
  </si>
  <si>
    <t>PAY-02070-1</t>
  </si>
  <si>
    <t>TX-S03-0070</t>
  </si>
  <si>
    <t>TR-LINE-02070-1</t>
  </si>
  <si>
    <t>PAY-02070-2</t>
  </si>
  <si>
    <t>TR-LINE-02070-2</t>
  </si>
  <si>
    <t>PAY-02071-1</t>
  </si>
  <si>
    <t>TX-S03-0071</t>
  </si>
  <si>
    <t>TR-LINE-02071-1</t>
  </si>
  <si>
    <t>PAY-02071-2</t>
  </si>
  <si>
    <t>TR-LINE-02071-2</t>
  </si>
  <si>
    <t>PAY-02072-1</t>
  </si>
  <si>
    <t>TX-S03-0072</t>
  </si>
  <si>
    <t>TR-LINE-02072-1</t>
  </si>
  <si>
    <t>PAY-02072-2</t>
  </si>
  <si>
    <t>TR-LINE-02072-2</t>
  </si>
  <si>
    <t>PAY-02073-1</t>
  </si>
  <si>
    <t>TX-S03-0073</t>
  </si>
  <si>
    <t>TR-LINE-02073-1</t>
  </si>
  <si>
    <t>PAY-02073-2</t>
  </si>
  <si>
    <t>TR-LINE-02073-2</t>
  </si>
  <si>
    <t>PAY-02074-1</t>
  </si>
  <si>
    <t>TX-S03-0074</t>
  </si>
  <si>
    <t>TR-LINE-02074-1</t>
  </si>
  <si>
    <t>PAY-02074-2</t>
  </si>
  <si>
    <t>TR-LINE-02074-2</t>
  </si>
  <si>
    <t>PAY-02075-1</t>
  </si>
  <si>
    <t>TX-S03-0075</t>
  </si>
  <si>
    <t>TR-LINE-02075-1</t>
  </si>
  <si>
    <t>PAY-02075-2</t>
  </si>
  <si>
    <t>TR-LINE-02075-2</t>
  </si>
  <si>
    <t>PAY-02076-1</t>
  </si>
  <si>
    <t>TX-S03-0076</t>
  </si>
  <si>
    <t>TR-LINE-02076-1</t>
  </si>
  <si>
    <t>PAY-02076-2</t>
  </si>
  <si>
    <t>TR-LINE-02076-2</t>
  </si>
  <si>
    <t>PAY-02077-1</t>
  </si>
  <si>
    <t>TX-S03-0077</t>
  </si>
  <si>
    <t>TR-LINE-02077-1</t>
  </si>
  <si>
    <t>PAY-02077-2</t>
  </si>
  <si>
    <t>TR-LINE-02077-2</t>
  </si>
  <si>
    <t>PAY-02078-1</t>
  </si>
  <si>
    <t>TX-S03-0078</t>
  </si>
  <si>
    <t>TR-LINE-02078-1</t>
  </si>
  <si>
    <t>PAY-02078-2</t>
  </si>
  <si>
    <t>TR-LINE-02078-2</t>
  </si>
  <si>
    <t>PAY-02079-1</t>
  </si>
  <si>
    <t>TX-S03-0079</t>
  </si>
  <si>
    <t>TR-LINE-02079-1</t>
  </si>
  <si>
    <t>PAY-02079-2</t>
  </si>
  <si>
    <t>TR-LINE-02079-2</t>
  </si>
  <si>
    <t>PAY-02080-1</t>
  </si>
  <si>
    <t>TX-S03-0080</t>
  </si>
  <si>
    <t>TR-LINE-02080-1</t>
  </si>
  <si>
    <t>PAY-02080-2</t>
  </si>
  <si>
    <t>TR-LINE-02080-2</t>
  </si>
  <si>
    <t>PAY-02081-1</t>
  </si>
  <si>
    <t>TX-S03-0081</t>
  </si>
  <si>
    <t>TR-LINE-02081-1</t>
  </si>
  <si>
    <t>PAY-02081-2</t>
  </si>
  <si>
    <t>TR-LINE-02081-2</t>
  </si>
  <si>
    <t>PAY-02082-1</t>
  </si>
  <si>
    <t>TX-S03-0082</t>
  </si>
  <si>
    <t>TR-LINE-02082-1</t>
  </si>
  <si>
    <t>PAY-02083-1</t>
  </si>
  <si>
    <t>TX-S03-0083</t>
  </si>
  <si>
    <t>TR-LINE-02083-1</t>
  </si>
  <si>
    <t>PAY-02083-2</t>
  </si>
  <si>
    <t>TR-LINE-02083-2</t>
  </si>
  <si>
    <t>PAY-02084-1</t>
  </si>
  <si>
    <t>TX-S03-0084</t>
  </si>
  <si>
    <t>TR-LINE-02084-1</t>
  </si>
  <si>
    <t>PAY-02084-2</t>
  </si>
  <si>
    <t>TR-LINE-02084-2</t>
  </si>
  <si>
    <t>PAY-02085-1</t>
  </si>
  <si>
    <t>TX-S03-0085</t>
  </si>
  <si>
    <t>TR-LINE-02085-1</t>
  </si>
  <si>
    <t>PAY-02085-2</t>
  </si>
  <si>
    <t>TR-LINE-02085-2</t>
  </si>
  <si>
    <t>PAY-02086-1</t>
  </si>
  <si>
    <t>TX-S03-0086</t>
  </si>
  <si>
    <t>TR-LINE-02086-1</t>
  </si>
  <si>
    <t>PAY-02086-2</t>
  </si>
  <si>
    <t>TR-LINE-02086-2</t>
  </si>
  <si>
    <t>PAY-02087-1</t>
  </si>
  <si>
    <t>TX-S03-0087</t>
  </si>
  <si>
    <t>TR-LINE-02087-1</t>
  </si>
  <si>
    <t>PAY-02087-2</t>
  </si>
  <si>
    <t>TR-LINE-02087-2</t>
  </si>
  <si>
    <t>PAY-02088-1</t>
  </si>
  <si>
    <t>TX-S03-0088</t>
  </si>
  <si>
    <t>TR-LINE-02088-1</t>
  </si>
  <si>
    <t>PAY-02088-2</t>
  </si>
  <si>
    <t>TR-LINE-02088-2</t>
  </si>
  <si>
    <t>PAY-02089-1</t>
  </si>
  <si>
    <t>TX-S03-0089</t>
  </si>
  <si>
    <t>TR-LINE-02089-1</t>
  </si>
  <si>
    <t>PAY-02089-2</t>
  </si>
  <si>
    <t>TR-LINE-02089-2</t>
  </si>
  <si>
    <t>PAY-02090-1</t>
  </si>
  <si>
    <t>TX-S03-0090</t>
  </si>
  <si>
    <t>TR-LINE-02090-1</t>
  </si>
  <si>
    <t>PAY-02090-2</t>
  </si>
  <si>
    <t>TR-LINE-02090-2</t>
  </si>
  <si>
    <t>PAY-02091-1</t>
  </si>
  <si>
    <t>TX-S03-0091</t>
  </si>
  <si>
    <t>TR-LINE-02091-1</t>
  </si>
  <si>
    <t>PAY-02091-2</t>
  </si>
  <si>
    <t>TR-LINE-02091-2</t>
  </si>
  <si>
    <t>PAY-02092-1</t>
  </si>
  <si>
    <t>TX-S03-0092</t>
  </si>
  <si>
    <t>TR-LINE-02092-1</t>
  </si>
  <si>
    <t>PAY-02092-2</t>
  </si>
  <si>
    <t>TR-LINE-02092-2</t>
  </si>
  <si>
    <t>PAY-02093-1</t>
  </si>
  <si>
    <t>TX-S03-0093</t>
  </si>
  <si>
    <t>TR-LINE-02093-1</t>
  </si>
  <si>
    <t>PAY-02093-2</t>
  </si>
  <si>
    <t>TR-LINE-02093-2</t>
  </si>
  <si>
    <t>PAY-02094-1</t>
  </si>
  <si>
    <t>TX-S03-0094</t>
  </si>
  <si>
    <t>TR-LINE-02094-1</t>
  </si>
  <si>
    <t>PAY-02094-2</t>
  </si>
  <si>
    <t>TR-LINE-02094-2</t>
  </si>
  <si>
    <t>PAY-02095-1</t>
  </si>
  <si>
    <t>TX-S03-0095</t>
  </si>
  <si>
    <t>TR-LINE-02095-1</t>
  </si>
  <si>
    <t>PAY-02095-2</t>
  </si>
  <si>
    <t>TR-LINE-02095-2</t>
  </si>
  <si>
    <t>PAY-02096-1</t>
  </si>
  <si>
    <t>TX-S03-0096</t>
  </si>
  <si>
    <t>TR-LINE-02096-1</t>
  </si>
  <si>
    <t>PAY-02096-2</t>
  </si>
  <si>
    <t>TR-LINE-02096-2</t>
  </si>
  <si>
    <t>PAY-02097-1</t>
  </si>
  <si>
    <t>TX-S03-0097</t>
  </si>
  <si>
    <t>TR-LINE-02097-1</t>
  </si>
  <si>
    <t>PAY-02097-2</t>
  </si>
  <si>
    <t>TR-LINE-02097-2</t>
  </si>
  <si>
    <t>PAY-02098-1</t>
  </si>
  <si>
    <t>TX-S03-0098</t>
  </si>
  <si>
    <t>TR-LINE-02098-1</t>
  </si>
  <si>
    <t>PAY-02098-2</t>
  </si>
  <si>
    <t>TR-LINE-02098-2</t>
  </si>
  <si>
    <t>PAY-02099-1</t>
  </si>
  <si>
    <t>TX-S03-0099</t>
  </si>
  <si>
    <t>TR-LINE-02099-1</t>
  </si>
  <si>
    <t>PAY-02099-2</t>
  </si>
  <si>
    <t>TR-LINE-02099-2</t>
  </si>
  <si>
    <t>PAY-02100-1</t>
  </si>
  <si>
    <t>TX-S03-0100</t>
  </si>
  <si>
    <t>TR-LINE-02100-1</t>
  </si>
  <si>
    <t>PAY-02100-2</t>
  </si>
  <si>
    <t>TR-LINE-02100-2</t>
  </si>
  <si>
    <t>PAY-02101-1</t>
  </si>
  <si>
    <t>TX-S03-0101</t>
  </si>
  <si>
    <t>TR-LINE-02101-1</t>
  </si>
  <si>
    <t>PAY-02101-2</t>
  </si>
  <si>
    <t>TR-LINE-02101-2</t>
  </si>
  <si>
    <t>PAY-02102-1</t>
  </si>
  <si>
    <t>TX-S03-0102</t>
  </si>
  <si>
    <t>TR-LINE-02102-1</t>
  </si>
  <si>
    <t>PAY-02102-2</t>
  </si>
  <si>
    <t>TR-LINE-02102-2</t>
  </si>
  <si>
    <t>PAY-02103-1</t>
  </si>
  <si>
    <t>TX-S03-0103</t>
  </si>
  <si>
    <t>TR-LINE-02103-1</t>
  </si>
  <si>
    <t>PAY-02103-2</t>
  </si>
  <si>
    <t>TR-LINE-02103-2</t>
  </si>
  <si>
    <t>PAY-02104-1</t>
  </si>
  <si>
    <t>TX-S03-0104</t>
  </si>
  <si>
    <t>TR-LINE-02104-1</t>
  </si>
  <si>
    <t>PAY-02104-2</t>
  </si>
  <si>
    <t>TR-LINE-02104-2</t>
  </si>
  <si>
    <t>PAY-02105-1</t>
  </si>
  <si>
    <t>TX-S03-0105</t>
  </si>
  <si>
    <t>TR-LINE-02105-1</t>
  </si>
  <si>
    <t>PAY-02105-2</t>
  </si>
  <si>
    <t>TR-LINE-02105-2</t>
  </si>
  <si>
    <t>PAY-02106-1</t>
  </si>
  <si>
    <t>TX-S03-0106</t>
  </si>
  <si>
    <t>TR-LINE-02106-1</t>
  </si>
  <si>
    <t>PAY-02106-2</t>
  </si>
  <si>
    <t>TR-LINE-02106-2</t>
  </si>
  <si>
    <t>PAY-02107-1</t>
  </si>
  <si>
    <t>TX-S03-0107</t>
  </si>
  <si>
    <t>TR-LINE-02107-1</t>
  </si>
  <si>
    <t>PAY-02107-2</t>
  </si>
  <si>
    <t>TR-LINE-02107-2</t>
  </si>
  <si>
    <t>PAY-02108-1</t>
  </si>
  <si>
    <t>TX-S03-0108</t>
  </si>
  <si>
    <t>TR-LINE-02108-1</t>
  </si>
  <si>
    <t>PAY-02108-2</t>
  </si>
  <si>
    <t>TR-LINE-02108-2</t>
  </si>
  <si>
    <t>PAY-02109-1</t>
  </si>
  <si>
    <t>TX-S03-0109</t>
  </si>
  <si>
    <t>TR-LINE-02109-1</t>
  </si>
  <si>
    <t>PAY-02109-2</t>
  </si>
  <si>
    <t>TR-LINE-02109-2</t>
  </si>
  <si>
    <t>PAY-02110-1</t>
  </si>
  <si>
    <t>TX-S03-0110</t>
  </si>
  <si>
    <t>TR-LINE-02110-1</t>
  </si>
  <si>
    <t>PAY-02110-2</t>
  </si>
  <si>
    <t>TR-LINE-02110-2</t>
  </si>
  <si>
    <t>PAY-02111-1</t>
  </si>
  <si>
    <t>TX-S03-0111</t>
  </si>
  <si>
    <t>TR-LINE-02111-1</t>
  </si>
  <si>
    <t>PAY-02111-2</t>
  </si>
  <si>
    <t>TR-LINE-02111-2</t>
  </si>
  <si>
    <t>PAY-02112-1</t>
  </si>
  <si>
    <t>TX-S03-0112</t>
  </si>
  <si>
    <t>TR-LINE-02112-1</t>
  </si>
  <si>
    <t>PAY-02112-2</t>
  </si>
  <si>
    <t>TR-LINE-02112-2</t>
  </si>
  <si>
    <t>PAY-02113-1</t>
  </si>
  <si>
    <t>TX-S03-0113</t>
  </si>
  <si>
    <t>TR-LINE-02113-1</t>
  </si>
  <si>
    <t>PAY-02113-2</t>
  </si>
  <si>
    <t>TR-LINE-02113-2</t>
  </si>
  <si>
    <t>PAY-02114-1</t>
  </si>
  <si>
    <t>TX-S03-0114</t>
  </si>
  <si>
    <t>TR-LINE-02114-1</t>
  </si>
  <si>
    <t>PAY-02114-2</t>
  </si>
  <si>
    <t>TR-LINE-02114-2</t>
  </si>
  <si>
    <t>PAY-02115-1</t>
  </si>
  <si>
    <t>TX-S03-0115</t>
  </si>
  <si>
    <t>TR-LINE-02115-1</t>
  </si>
  <si>
    <t>PAY-02115-2</t>
  </si>
  <si>
    <t>TR-LINE-02115-2</t>
  </si>
  <si>
    <t>PAY-02116-1</t>
  </si>
  <si>
    <t>TX-S03-0116</t>
  </si>
  <si>
    <t>TR-LINE-02116-1</t>
  </si>
  <si>
    <t>PAY-02116-2</t>
  </si>
  <si>
    <t>TR-LINE-02116-2</t>
  </si>
  <si>
    <t>PAY-02117-1</t>
  </si>
  <si>
    <t>TX-S03-0117</t>
  </si>
  <si>
    <t>TR-LINE-02117-1</t>
  </si>
  <si>
    <t>PAY-02117-2</t>
  </si>
  <si>
    <t>TR-LINE-02117-2</t>
  </si>
  <si>
    <t>PAY-02118-1</t>
  </si>
  <si>
    <t>TX-S03-0118</t>
  </si>
  <si>
    <t>TR-LINE-02118-1</t>
  </si>
  <si>
    <t>PAY-02118-2</t>
  </si>
  <si>
    <t>TR-LINE-02118-2</t>
  </si>
  <si>
    <t>PAY-02119-1</t>
  </si>
  <si>
    <t>TX-S03-0119</t>
  </si>
  <si>
    <t>TR-LINE-02119-1</t>
  </si>
  <si>
    <t>PAY-02119-2</t>
  </si>
  <si>
    <t>TR-LINE-02119-2</t>
  </si>
  <si>
    <t>PAY-02120-1</t>
  </si>
  <si>
    <t>TX-S03-0120</t>
  </si>
  <si>
    <t>TR-LINE-02120-1</t>
  </si>
  <si>
    <t>PAY-02120-2</t>
  </si>
  <si>
    <t>TR-LINE-02120-2</t>
  </si>
  <si>
    <t>PAY-02121-1</t>
  </si>
  <si>
    <t>TX-S03-0121</t>
  </si>
  <si>
    <t>TR-LINE-02121-1</t>
  </si>
  <si>
    <t>PAY-02121-2</t>
  </si>
  <si>
    <t>TR-LINE-02121-2</t>
  </si>
  <si>
    <t>PAY-02122-1</t>
  </si>
  <si>
    <t>TX-S03-0122</t>
  </si>
  <si>
    <t>TR-LINE-02122-1</t>
  </si>
  <si>
    <t>PAY-02122-2</t>
  </si>
  <si>
    <t>TR-LINE-02122-2</t>
  </si>
  <si>
    <t>PAY-02123-1</t>
  </si>
  <si>
    <t>TX-S03-0123</t>
  </si>
  <si>
    <t>TR-LINE-02123-1</t>
  </si>
  <si>
    <t>PAY-02124-1</t>
  </si>
  <si>
    <t>TX-S03-0124</t>
  </si>
  <si>
    <t>TR-LINE-02124-1</t>
  </si>
  <si>
    <t>PAY-02124-2</t>
  </si>
  <si>
    <t>TR-LINE-02124-2</t>
  </si>
  <si>
    <t>PAY-02125-1</t>
  </si>
  <si>
    <t>TX-S03-0125</t>
  </si>
  <si>
    <t>TR-LINE-02125-1</t>
  </si>
  <si>
    <t>PAY-02125-2</t>
  </si>
  <si>
    <t>TR-LINE-02125-2</t>
  </si>
  <si>
    <t>PAY-02126-1</t>
  </si>
  <si>
    <t>TX-S03-0126</t>
  </si>
  <si>
    <t>TR-LINE-02126-1</t>
  </si>
  <si>
    <t>PAY-02126-2</t>
  </si>
  <si>
    <t>TR-LINE-02126-2</t>
  </si>
  <si>
    <t>PAY-02127-1</t>
  </si>
  <si>
    <t>TX-S03-0127</t>
  </si>
  <si>
    <t>TR-LINE-02127-1</t>
  </si>
  <si>
    <t>PAY-02127-2</t>
  </si>
  <si>
    <t>TR-LINE-02127-2</t>
  </si>
  <si>
    <t>PAY-02128-1</t>
  </si>
  <si>
    <t>TX-S03-0128</t>
  </si>
  <si>
    <t>TR-LINE-02128-1</t>
  </si>
  <si>
    <t>PAY-02128-2</t>
  </si>
  <si>
    <t>TR-LINE-02128-2</t>
  </si>
  <si>
    <t>PAY-02129-1</t>
  </si>
  <si>
    <t>TX-S03-0129</t>
  </si>
  <si>
    <t>TR-LINE-02129-1</t>
  </si>
  <si>
    <t>PAY-02129-2</t>
  </si>
  <si>
    <t>TR-LINE-02129-2</t>
  </si>
  <si>
    <t>PAY-02130-1</t>
  </si>
  <si>
    <t>TX-S03-0130</t>
  </si>
  <si>
    <t>TR-LINE-02130-1</t>
  </si>
  <si>
    <t>PAY-02130-2</t>
  </si>
  <si>
    <t>TR-LINE-02130-2</t>
  </si>
  <si>
    <t>PAY-02131-1</t>
  </si>
  <si>
    <t>TX-S03-0131</t>
  </si>
  <si>
    <t>TR-LINE-02131-1</t>
  </si>
  <si>
    <t>PAY-02131-2</t>
  </si>
  <si>
    <t>TR-LINE-02131-2</t>
  </si>
  <si>
    <t>PAY-02132-1</t>
  </si>
  <si>
    <t>TX-S03-0132</t>
  </si>
  <si>
    <t>TR-LINE-02132-1</t>
  </si>
  <si>
    <t>PAY-02132-2</t>
  </si>
  <si>
    <t>TR-LINE-02132-2</t>
  </si>
  <si>
    <t>PAY-02133-1</t>
  </si>
  <si>
    <t>TX-S03-0133</t>
  </si>
  <si>
    <t>TR-LINE-02133-1</t>
  </si>
  <si>
    <t>PAY-02133-2</t>
  </si>
  <si>
    <t>TR-LINE-02133-2</t>
  </si>
  <si>
    <t>PAY-02134-1</t>
  </si>
  <si>
    <t>TX-S03-0134</t>
  </si>
  <si>
    <t>TR-LINE-02134-1</t>
  </si>
  <si>
    <t>PAY-02134-2</t>
  </si>
  <si>
    <t>TR-LINE-02134-2</t>
  </si>
  <si>
    <t>PAY-02135-1</t>
  </si>
  <si>
    <t>TX-S03-0135</t>
  </si>
  <si>
    <t>TR-LINE-02135-1</t>
  </si>
  <si>
    <t>PAY-02135-2</t>
  </si>
  <si>
    <t>TR-LINE-02135-2</t>
  </si>
  <si>
    <t>PAY-02136-1</t>
  </si>
  <si>
    <t>TX-S03-0136</t>
  </si>
  <si>
    <t>TR-LINE-02136-1</t>
  </si>
  <si>
    <t>PAY-02136-2</t>
  </si>
  <si>
    <t>TR-LINE-02136-2</t>
  </si>
  <si>
    <t>PAY-02137-1</t>
  </si>
  <si>
    <t>TX-S03-0137</t>
  </si>
  <si>
    <t>TR-LINE-02137-1</t>
  </si>
  <si>
    <t>PAY-02137-2</t>
  </si>
  <si>
    <t>TR-LINE-02137-2</t>
  </si>
  <si>
    <t>PAY-02138-1</t>
  </si>
  <si>
    <t>TX-S03-0138</t>
  </si>
  <si>
    <t>TR-LINE-02138-1</t>
  </si>
  <si>
    <t>PAY-02138-2</t>
  </si>
  <si>
    <t>TR-LINE-02138-2</t>
  </si>
  <si>
    <t>PAY-02139-1</t>
  </si>
  <si>
    <t>TX-S03-0139</t>
  </si>
  <si>
    <t>TR-LINE-02139-1</t>
  </si>
  <si>
    <t>PAY-02139-2</t>
  </si>
  <si>
    <t>TR-LINE-02139-2</t>
  </si>
  <si>
    <t>PAY-02140-1</t>
  </si>
  <si>
    <t>TX-S03-0140</t>
  </si>
  <si>
    <t>TR-LINE-02140-1</t>
  </si>
  <si>
    <t>PAY-02140-2</t>
  </si>
  <si>
    <t>TR-LINE-02140-2</t>
  </si>
  <si>
    <t>PAY-02141-1</t>
  </si>
  <si>
    <t>TX-S03-0141</t>
  </si>
  <si>
    <t>TR-LINE-02141-1</t>
  </si>
  <si>
    <t>PAY-02141-2</t>
  </si>
  <si>
    <t>TR-LINE-02141-2</t>
  </si>
  <si>
    <t>PAY-02142-1</t>
  </si>
  <si>
    <t>TX-S03-0142</t>
  </si>
  <si>
    <t>TR-LINE-02142-1</t>
  </si>
  <si>
    <t>PAY-02142-2</t>
  </si>
  <si>
    <t>TR-LINE-02142-2</t>
  </si>
  <si>
    <t>PAY-02143-1</t>
  </si>
  <si>
    <t>TX-S03-0143</t>
  </si>
  <si>
    <t>TR-LINE-02143-1</t>
  </si>
  <si>
    <t>PAY-02143-2</t>
  </si>
  <si>
    <t>TR-LINE-02143-2</t>
  </si>
  <si>
    <t>PAY-02144-1</t>
  </si>
  <si>
    <t>TX-S03-0144</t>
  </si>
  <si>
    <t>TR-LINE-02144-1</t>
  </si>
  <si>
    <t>PAY-02144-2</t>
  </si>
  <si>
    <t>TR-LINE-02144-2</t>
  </si>
  <si>
    <t>PAY-02145-1</t>
  </si>
  <si>
    <t>TX-S03-0145</t>
  </si>
  <si>
    <t>TR-LINE-02145-1</t>
  </si>
  <si>
    <t>PAY-02145-2</t>
  </si>
  <si>
    <t>TR-LINE-02145-2</t>
  </si>
  <si>
    <t>PAY-02146-1</t>
  </si>
  <si>
    <t>TX-S03-0146</t>
  </si>
  <si>
    <t>TR-LINE-02146-1</t>
  </si>
  <si>
    <t>PAY-02146-2</t>
  </si>
  <si>
    <t>TR-LINE-02146-2</t>
  </si>
  <si>
    <t>PAY-02147-1</t>
  </si>
  <si>
    <t>TX-S03-0147</t>
  </si>
  <si>
    <t>TR-LINE-02147-1</t>
  </si>
  <si>
    <t>PAY-02147-2</t>
  </si>
  <si>
    <t>TR-LINE-02147-2</t>
  </si>
  <si>
    <t>PAY-02148-1</t>
  </si>
  <si>
    <t>TX-S03-0148</t>
  </si>
  <si>
    <t>TR-LINE-02148-1</t>
  </si>
  <si>
    <t>PAY-02148-2</t>
  </si>
  <si>
    <t>TR-LINE-02148-2</t>
  </si>
  <si>
    <t>PAY-02149-1</t>
  </si>
  <si>
    <t>TX-S03-0149</t>
  </si>
  <si>
    <t>TR-LINE-02149-1</t>
  </si>
  <si>
    <t>PAY-02149-2</t>
  </si>
  <si>
    <t>TR-LINE-02149-2</t>
  </si>
  <si>
    <t>PAY-02150-1</t>
  </si>
  <si>
    <t>TX-S03-0150</t>
  </si>
  <si>
    <t>TR-LINE-02150-1</t>
  </si>
  <si>
    <t>PAY-02150-2</t>
  </si>
  <si>
    <t>TR-LINE-02150-2</t>
  </si>
  <si>
    <t>PAY-02151-1</t>
  </si>
  <si>
    <t>TX-S03-0151</t>
  </si>
  <si>
    <t>TR-LINE-02151-1</t>
  </si>
  <si>
    <t>PAY-02151-2</t>
  </si>
  <si>
    <t>TR-LINE-02151-2</t>
  </si>
  <si>
    <t>PAY-02152-1</t>
  </si>
  <si>
    <t>TX-S03-0152</t>
  </si>
  <si>
    <t>TR-LINE-02152-1</t>
  </si>
  <si>
    <t>PAY-02152-2</t>
  </si>
  <si>
    <t>TR-LINE-02152-2</t>
  </si>
  <si>
    <t>PAY-02153-1</t>
  </si>
  <si>
    <t>TX-S03-0153</t>
  </si>
  <si>
    <t>TR-LINE-02153-1</t>
  </si>
  <si>
    <t>PAY-02153-2</t>
  </si>
  <si>
    <t>TR-LINE-02153-2</t>
  </si>
  <si>
    <t>PAY-02154-1</t>
  </si>
  <si>
    <t>TX-S03-0154</t>
  </si>
  <si>
    <t>TR-LINE-02154-1</t>
  </si>
  <si>
    <t>PAY-02154-2</t>
  </si>
  <si>
    <t>TR-LINE-02154-2</t>
  </si>
  <si>
    <t>PAY-02155-1</t>
  </si>
  <si>
    <t>TX-S03-0155</t>
  </si>
  <si>
    <t>TR-LINE-02155-1</t>
  </si>
  <si>
    <t>PAY-02155-2</t>
  </si>
  <si>
    <t>TR-LINE-02155-2</t>
  </si>
  <si>
    <t>PAY-02156-1</t>
  </si>
  <si>
    <t>TX-S03-0156</t>
  </si>
  <si>
    <t>TR-LINE-02156-1</t>
  </si>
  <si>
    <t>PAY-02156-2</t>
  </si>
  <si>
    <t>TR-LINE-02156-2</t>
  </si>
  <si>
    <t>PAY-02157-1</t>
  </si>
  <si>
    <t>TX-S03-0157</t>
  </si>
  <si>
    <t>TR-LINE-02157-1</t>
  </si>
  <si>
    <t>PAY-02157-2</t>
  </si>
  <si>
    <t>TR-LINE-02157-2</t>
  </si>
  <si>
    <t>PAY-02158-1</t>
  </si>
  <si>
    <t>TX-S03-0158</t>
  </si>
  <si>
    <t>TR-LINE-02158-1</t>
  </si>
  <si>
    <t>PAY-02158-2</t>
  </si>
  <si>
    <t>TR-LINE-02158-2</t>
  </si>
  <si>
    <t>PAY-02159-1</t>
  </si>
  <si>
    <t>TX-S03-0159</t>
  </si>
  <si>
    <t>TR-LINE-02159-1</t>
  </si>
  <si>
    <t>PAY-02159-2</t>
  </si>
  <si>
    <t>TR-LINE-02159-2</t>
  </si>
  <si>
    <t>PAY-02160-1</t>
  </si>
  <si>
    <t>TX-S03-0160</t>
  </si>
  <si>
    <t>TR-LINE-02160-1</t>
  </si>
  <si>
    <t>PAY-02160-2</t>
  </si>
  <si>
    <t>TR-LINE-02160-2</t>
  </si>
  <si>
    <t>PAY-02161-1</t>
  </si>
  <si>
    <t>TX-S03-0161</t>
  </si>
  <si>
    <t>TR-LINE-02161-1</t>
  </si>
  <si>
    <t>PAY-02161-2</t>
  </si>
  <si>
    <t>TR-LINE-02161-2</t>
  </si>
  <si>
    <t>PAY-02162-1</t>
  </si>
  <si>
    <t>TX-S03-0162</t>
  </si>
  <si>
    <t>TR-LINE-02162-1</t>
  </si>
  <si>
    <t>PAY-02162-2</t>
  </si>
  <si>
    <t>TR-LINE-02162-2</t>
  </si>
  <si>
    <t>PAY-02163-1</t>
  </si>
  <si>
    <t>TX-S03-0163</t>
  </si>
  <si>
    <t>TR-LINE-02163-1</t>
  </si>
  <si>
    <t>PAY-02163-2</t>
  </si>
  <si>
    <t>TR-LINE-02163-2</t>
  </si>
  <si>
    <t>PAY-02164-1</t>
  </si>
  <si>
    <t>TX-S03-0164</t>
  </si>
  <si>
    <t>TR-LINE-02164-1</t>
  </si>
  <si>
    <t>PAY-02165-1</t>
  </si>
  <si>
    <t>TX-S03-0165</t>
  </si>
  <si>
    <t>TR-LINE-02165-1</t>
  </si>
  <si>
    <t>PAY-02165-2</t>
  </si>
  <si>
    <t>TR-LINE-02165-2</t>
  </si>
  <si>
    <t>PAY-02166-1</t>
  </si>
  <si>
    <t>TX-S03-0166</t>
  </si>
  <si>
    <t>TR-LINE-02166-1</t>
  </si>
  <si>
    <t>PAY-02166-2</t>
  </si>
  <si>
    <t>TR-LINE-02166-2</t>
  </si>
  <si>
    <t>PAY-02167-1</t>
  </si>
  <si>
    <t>TX-S03-0167</t>
  </si>
  <si>
    <t>TR-LINE-02167-1</t>
  </si>
  <si>
    <t>PAY-02167-2</t>
  </si>
  <si>
    <t>TR-LINE-02167-2</t>
  </si>
  <si>
    <t>PAY-02168-1</t>
  </si>
  <si>
    <t>TX-S03-0168</t>
  </si>
  <si>
    <t>TR-LINE-02168-1</t>
  </si>
  <si>
    <t>PAY-02168-2</t>
  </si>
  <si>
    <t>TR-LINE-02168-2</t>
  </si>
  <si>
    <t>PAY-02169-1</t>
  </si>
  <si>
    <t>TX-S03-0169</t>
  </si>
  <si>
    <t>TR-LINE-02169-1</t>
  </si>
  <si>
    <t>PAY-02169-2</t>
  </si>
  <si>
    <t>TR-LINE-02169-2</t>
  </si>
  <si>
    <t>PAY-02170-1</t>
  </si>
  <si>
    <t>TX-S03-0170</t>
  </si>
  <si>
    <t>TR-LINE-02170-1</t>
  </si>
  <si>
    <t>PAY-02170-2</t>
  </si>
  <si>
    <t>TR-LINE-02170-2</t>
  </si>
  <si>
    <t>PAY-02171-1</t>
  </si>
  <si>
    <t>TX-S03-0171</t>
  </si>
  <si>
    <t>TR-LINE-02171-1</t>
  </si>
  <si>
    <t>PAY-02171-2</t>
  </si>
  <si>
    <t>TR-LINE-02171-2</t>
  </si>
  <si>
    <t>PAY-02172-1</t>
  </si>
  <si>
    <t>TX-S03-0172</t>
  </si>
  <si>
    <t>TR-LINE-02172-1</t>
  </si>
  <si>
    <t>PAY-02172-2</t>
  </si>
  <si>
    <t>TR-LINE-02172-2</t>
  </si>
  <si>
    <t>PAY-02173-1</t>
  </si>
  <si>
    <t>TX-S03-0173</t>
  </si>
  <si>
    <t>TR-LINE-02173-1</t>
  </si>
  <si>
    <t>PAY-02173-2</t>
  </si>
  <si>
    <t>TR-LINE-02173-2</t>
  </si>
  <si>
    <t>PAY-02174-1</t>
  </si>
  <si>
    <t>TX-S03-0174</t>
  </si>
  <si>
    <t>TR-LINE-02174-1</t>
  </si>
  <si>
    <t>PAY-02174-2</t>
  </si>
  <si>
    <t>TR-LINE-02174-2</t>
  </si>
  <si>
    <t>PAY-02175-1</t>
  </si>
  <si>
    <t>TX-S03-0175</t>
  </si>
  <si>
    <t>TR-LINE-02175-1</t>
  </si>
  <si>
    <t>PAY-02175-2</t>
  </si>
  <si>
    <t>TR-LINE-02175-2</t>
  </si>
  <si>
    <t>PAY-02176-1</t>
  </si>
  <si>
    <t>TX-S03-0176</t>
  </si>
  <si>
    <t>TR-LINE-02176-1</t>
  </si>
  <si>
    <t>PAY-02176-2</t>
  </si>
  <si>
    <t>TR-LINE-02176-2</t>
  </si>
  <si>
    <t>PAY-02177-1</t>
  </si>
  <si>
    <t>TX-S03-0177</t>
  </si>
  <si>
    <t>TR-LINE-02177-1</t>
  </si>
  <si>
    <t>PAY-02177-2</t>
  </si>
  <si>
    <t>TR-LINE-02177-2</t>
  </si>
  <si>
    <t>PAY-02178-1</t>
  </si>
  <si>
    <t>TX-S03-0178</t>
  </si>
  <si>
    <t>TR-LINE-02178-1</t>
  </si>
  <si>
    <t>PAY-02178-2</t>
  </si>
  <si>
    <t>TR-LINE-02178-2</t>
  </si>
  <si>
    <t>PAY-02179-1</t>
  </si>
  <si>
    <t>TX-S03-0179</t>
  </si>
  <si>
    <t>TR-LINE-02179-1</t>
  </si>
  <si>
    <t>PAY-02179-2</t>
  </si>
  <si>
    <t>TR-LINE-02179-2</t>
  </si>
  <si>
    <t>PAY-02180-1</t>
  </si>
  <si>
    <t>TX-S03-0180</t>
  </si>
  <si>
    <t>TR-LINE-02180-1</t>
  </si>
  <si>
    <t>PAY-02180-2</t>
  </si>
  <si>
    <t>TR-LINE-02180-2</t>
  </si>
  <si>
    <t>PAY-02181-1</t>
  </si>
  <si>
    <t>TX-S03-0181</t>
  </si>
  <si>
    <t>TR-LINE-02181-1</t>
  </si>
  <si>
    <t>PAY-02181-2</t>
  </si>
  <si>
    <t>TR-LINE-02181-2</t>
  </si>
  <si>
    <t>PAY-02182-1</t>
  </si>
  <si>
    <t>TX-S03-0182</t>
  </si>
  <si>
    <t>TR-LINE-02182-1</t>
  </si>
  <si>
    <t>PAY-02182-2</t>
  </si>
  <si>
    <t>TR-LINE-02182-2</t>
  </si>
  <si>
    <t>PAY-02183-1</t>
  </si>
  <si>
    <t>TX-S03-0183</t>
  </si>
  <si>
    <t>TR-LINE-02183-1</t>
  </si>
  <si>
    <t>PAY-02183-2</t>
  </si>
  <si>
    <t>TR-LINE-02183-2</t>
  </si>
  <si>
    <t>PAY-02184-1</t>
  </si>
  <si>
    <t>TX-S03-0184</t>
  </si>
  <si>
    <t>TR-LINE-02184-1</t>
  </si>
  <si>
    <t>PAY-02184-2</t>
  </si>
  <si>
    <t>TR-LINE-02184-2</t>
  </si>
  <si>
    <t>PAY-02185-1</t>
  </si>
  <si>
    <t>TX-S03-0185</t>
  </si>
  <si>
    <t>TR-LINE-02185-1</t>
  </si>
  <si>
    <t>PAY-02185-2</t>
  </si>
  <si>
    <t>TR-LINE-02185-2</t>
  </si>
  <si>
    <t>PAY-02186-1</t>
  </si>
  <si>
    <t>TX-S03-0186</t>
  </si>
  <si>
    <t>TR-LINE-02186-1</t>
  </si>
  <si>
    <t>PAY-02186-2</t>
  </si>
  <si>
    <t>TR-LINE-02186-2</t>
  </si>
  <si>
    <t>PAY-02187-1</t>
  </si>
  <si>
    <t>TX-S03-0187</t>
  </si>
  <si>
    <t>TR-LINE-02187-1</t>
  </si>
  <si>
    <t>PAY-02187-2</t>
  </si>
  <si>
    <t>TR-LINE-02187-2</t>
  </si>
  <si>
    <t>PAY-02188-1</t>
  </si>
  <si>
    <t>TX-S03-0188</t>
  </si>
  <si>
    <t>TR-LINE-02188-1</t>
  </si>
  <si>
    <t>PAY-02188-2</t>
  </si>
  <si>
    <t>TR-LINE-02188-2</t>
  </si>
  <si>
    <t>PAY-02189-1</t>
  </si>
  <si>
    <t>TX-S03-0189</t>
  </si>
  <si>
    <t>TR-LINE-02189-1</t>
  </si>
  <si>
    <t>PAY-02189-2</t>
  </si>
  <si>
    <t>TR-LINE-02189-2</t>
  </si>
  <si>
    <t>PAY-02190-1</t>
  </si>
  <si>
    <t>TX-S03-0190</t>
  </si>
  <si>
    <t>TR-LINE-02190-1</t>
  </si>
  <si>
    <t>PAY-02190-2</t>
  </si>
  <si>
    <t>TR-LINE-02190-2</t>
  </si>
  <si>
    <t>PAY-02191-1</t>
  </si>
  <si>
    <t>TX-S03-0191</t>
  </si>
  <si>
    <t>TR-LINE-02191-1</t>
  </si>
  <si>
    <t>PAY-02191-2</t>
  </si>
  <si>
    <t>TR-LINE-02191-2</t>
  </si>
  <si>
    <t>PAY-02192-1</t>
  </si>
  <si>
    <t>TX-S03-0192</t>
  </si>
  <si>
    <t>TR-LINE-02192-1</t>
  </si>
  <si>
    <t>PAY-02192-2</t>
  </si>
  <si>
    <t>TR-LINE-02192-2</t>
  </si>
  <si>
    <t>PAY-02193-1</t>
  </si>
  <si>
    <t>TX-S03-0193</t>
  </si>
  <si>
    <t>TR-LINE-02193-1</t>
  </si>
  <si>
    <t>PAY-02193-2</t>
  </si>
  <si>
    <t>TR-LINE-02193-2</t>
  </si>
  <si>
    <t>PAY-02194-1</t>
  </si>
  <si>
    <t>TX-S03-0194</t>
  </si>
  <si>
    <t>TR-LINE-02194-1</t>
  </si>
  <si>
    <t>PAY-02194-2</t>
  </si>
  <si>
    <t>TR-LINE-02194-2</t>
  </si>
  <si>
    <t>PAY-02195-1</t>
  </si>
  <si>
    <t>TX-S03-0195</t>
  </si>
  <si>
    <t>TR-LINE-02195-1</t>
  </si>
  <si>
    <t>PAY-02195-2</t>
  </si>
  <si>
    <t>TR-LINE-02195-2</t>
  </si>
  <si>
    <t>PAY-02196-1</t>
  </si>
  <si>
    <t>TX-S03-0196</t>
  </si>
  <si>
    <t>TR-LINE-02196-1</t>
  </si>
  <si>
    <t>PAY-02196-2</t>
  </si>
  <si>
    <t>TR-LINE-02196-2</t>
  </si>
  <si>
    <t>PAY-02197-1</t>
  </si>
  <si>
    <t>TX-S03-0197</t>
  </si>
  <si>
    <t>TR-LINE-02197-1</t>
  </si>
  <si>
    <t>PAY-02197-2</t>
  </si>
  <si>
    <t>TR-LINE-02197-2</t>
  </si>
  <si>
    <t>PAY-02198-1</t>
  </si>
  <si>
    <t>TX-S03-0198</t>
  </si>
  <si>
    <t>TR-LINE-02198-1</t>
  </si>
  <si>
    <t>PAY-02198-2</t>
  </si>
  <si>
    <t>TR-LINE-02198-2</t>
  </si>
  <si>
    <t>PAY-02199-1</t>
  </si>
  <si>
    <t>TX-S03-0199</t>
  </si>
  <si>
    <t>TR-LINE-02199-1</t>
  </si>
  <si>
    <t>PAY-02199-2</t>
  </si>
  <si>
    <t>TR-LINE-02199-2</t>
  </si>
  <si>
    <t>PAY-02200-1</t>
  </si>
  <si>
    <t>TX-S03-0200</t>
  </si>
  <si>
    <t>TR-LINE-02200-1</t>
  </si>
  <si>
    <t>PAY-02200-2</t>
  </si>
  <si>
    <t>TR-LINE-02200-2</t>
  </si>
  <si>
    <t>PAY-02201-1</t>
  </si>
  <si>
    <t>TX-S03-0201</t>
  </si>
  <si>
    <t>TR-LINE-02201-1</t>
  </si>
  <si>
    <t>PAY-02201-2</t>
  </si>
  <si>
    <t>TR-LINE-02201-2</t>
  </si>
  <si>
    <t>PAY-02202-1</t>
  </si>
  <si>
    <t>TX-S03-0202</t>
  </si>
  <si>
    <t>TR-LINE-02202-1</t>
  </si>
  <si>
    <t>PAY-02202-2</t>
  </si>
  <si>
    <t>TR-LINE-02202-2</t>
  </si>
  <si>
    <t>PAY-02203-1</t>
  </si>
  <si>
    <t>TX-S03-0203</t>
  </si>
  <si>
    <t>TR-LINE-02203-1</t>
  </si>
  <si>
    <t>PAY-02203-2</t>
  </si>
  <si>
    <t>TR-LINE-02203-2</t>
  </si>
  <si>
    <t>PAY-02204-1</t>
  </si>
  <si>
    <t>TX-S03-0204</t>
  </si>
  <si>
    <t>TR-LINE-02204-1</t>
  </si>
  <si>
    <t>PAY-02204-2</t>
  </si>
  <si>
    <t>TR-LINE-02204-2</t>
  </si>
  <si>
    <t>PAY-02205-1</t>
  </si>
  <si>
    <t>TX-S03-0205</t>
  </si>
  <si>
    <t>TR-LINE-02205-1</t>
  </si>
  <si>
    <t>PAY-02206-1</t>
  </si>
  <si>
    <t>TX-S03-0206</t>
  </si>
  <si>
    <t>TR-LINE-02206-1</t>
  </si>
  <si>
    <t>PAY-02206-2</t>
  </si>
  <si>
    <t>TR-LINE-02206-2</t>
  </si>
  <si>
    <t>PAY-02207-1</t>
  </si>
  <si>
    <t>TX-S03-0207</t>
  </si>
  <si>
    <t>TR-LINE-02207-1</t>
  </si>
  <si>
    <t>PAY-02207-2</t>
  </si>
  <si>
    <t>TR-LINE-02207-2</t>
  </si>
  <si>
    <t>PAY-02208-1</t>
  </si>
  <si>
    <t>TX-S03-0208</t>
  </si>
  <si>
    <t>TR-LINE-02208-1</t>
  </si>
  <si>
    <t>PAY-02208-2</t>
  </si>
  <si>
    <t>TR-LINE-02208-2</t>
  </si>
  <si>
    <t>PAY-02209-1</t>
  </si>
  <si>
    <t>TX-S03-0209</t>
  </si>
  <si>
    <t>TR-LINE-02209-1</t>
  </si>
  <si>
    <t>PAY-02209-2</t>
  </si>
  <si>
    <t>TR-LINE-02209-2</t>
  </si>
  <si>
    <t>PAY-02210-1</t>
  </si>
  <si>
    <t>TX-S03-0210</t>
  </si>
  <si>
    <t>TR-LINE-02210-1</t>
  </si>
  <si>
    <t>PAY-02210-2</t>
  </si>
  <si>
    <t>TR-LINE-02210-2</t>
  </si>
  <si>
    <t>PAY-02211-1</t>
  </si>
  <si>
    <t>TX-S03-0211</t>
  </si>
  <si>
    <t>TR-LINE-02211-1</t>
  </si>
  <si>
    <t>PAY-02211-2</t>
  </si>
  <si>
    <t>TR-LINE-02211-2</t>
  </si>
  <si>
    <t>PAY-02212-1</t>
  </si>
  <si>
    <t>TX-S03-0212</t>
  </si>
  <si>
    <t>TR-LINE-02212-1</t>
  </si>
  <si>
    <t>PAY-02212-2</t>
  </si>
  <si>
    <t>TR-LINE-02212-2</t>
  </si>
  <si>
    <t>PAY-02213-1</t>
  </si>
  <si>
    <t>TX-S03-0213</t>
  </si>
  <si>
    <t>TR-LINE-02213-1</t>
  </si>
  <si>
    <t>PAY-02213-2</t>
  </si>
  <si>
    <t>TR-LINE-02213-2</t>
  </si>
  <si>
    <t>PAY-02214-1</t>
  </si>
  <si>
    <t>TX-S03-0214</t>
  </si>
  <si>
    <t>TR-LINE-02214-1</t>
  </si>
  <si>
    <t>PAY-02214-2</t>
  </si>
  <si>
    <t>TR-LINE-02214-2</t>
  </si>
  <si>
    <t>PAY-02215-1</t>
  </si>
  <si>
    <t>TX-S03-0215</t>
  </si>
  <si>
    <t>TR-LINE-02215-1</t>
  </si>
  <si>
    <t>PAY-02215-2</t>
  </si>
  <si>
    <t>TR-LINE-02215-2</t>
  </si>
  <si>
    <t>PAY-02216-1</t>
  </si>
  <si>
    <t>TX-S03-0216</t>
  </si>
  <si>
    <t>TR-LINE-02216-1</t>
  </si>
  <si>
    <t>PAY-02216-2</t>
  </si>
  <si>
    <t>TR-LINE-02216-2</t>
  </si>
  <si>
    <t>PAY-02217-1</t>
  </si>
  <si>
    <t>TX-S03-0217</t>
  </si>
  <si>
    <t>TR-LINE-02217-1</t>
  </si>
  <si>
    <t>PAY-02217-2</t>
  </si>
  <si>
    <t>TR-LINE-02217-2</t>
  </si>
  <si>
    <t>PAY-02218-1</t>
  </si>
  <si>
    <t>TX-S03-0218</t>
  </si>
  <si>
    <t>TR-LINE-02218-1</t>
  </si>
  <si>
    <t>PAY-02218-2</t>
  </si>
  <si>
    <t>TR-LINE-02218-2</t>
  </si>
  <si>
    <t>PAY-02219-1</t>
  </si>
  <si>
    <t>TX-S03-0219</t>
  </si>
  <si>
    <t>TR-LINE-02219-1</t>
  </si>
  <si>
    <t>PAY-02219-2</t>
  </si>
  <si>
    <t>TR-LINE-02219-2</t>
  </si>
  <si>
    <t>PAY-02220-1</t>
  </si>
  <si>
    <t>TX-S03-0220</t>
  </si>
  <si>
    <t>TR-LINE-02220-1</t>
  </si>
  <si>
    <t>PAY-02220-2</t>
  </si>
  <si>
    <t>TR-LINE-02220-2</t>
  </si>
  <si>
    <t>PAY-02221-1</t>
  </si>
  <si>
    <t>TX-S03-0221</t>
  </si>
  <si>
    <t>TR-LINE-02221-1</t>
  </si>
  <si>
    <t>PAY-02221-2</t>
  </si>
  <si>
    <t>TR-LINE-02221-2</t>
  </si>
  <si>
    <t>PAY-02222-1</t>
  </si>
  <si>
    <t>TX-S03-0222</t>
  </si>
  <si>
    <t>TR-LINE-02222-1</t>
  </si>
  <si>
    <t>PAY-02222-2</t>
  </si>
  <si>
    <t>TR-LINE-02222-2</t>
  </si>
  <si>
    <t>PAY-02223-1</t>
  </si>
  <si>
    <t>TX-S03-0223</t>
  </si>
  <si>
    <t>TR-LINE-02223-1</t>
  </si>
  <si>
    <t>PAY-02223-2</t>
  </si>
  <si>
    <t>TR-LINE-02223-2</t>
  </si>
  <si>
    <t>PAY-02224-1</t>
  </si>
  <si>
    <t>TX-S03-0224</t>
  </si>
  <si>
    <t>TR-LINE-02224-1</t>
  </si>
  <si>
    <t>PAY-02224-2</t>
  </si>
  <si>
    <t>TR-LINE-02224-2</t>
  </si>
  <si>
    <t>PAY-02225-1</t>
  </si>
  <si>
    <t>TX-S03-0225</t>
  </si>
  <si>
    <t>TR-LINE-02225-1</t>
  </si>
  <si>
    <t>PAY-02225-2</t>
  </si>
  <si>
    <t>TR-LINE-02225-2</t>
  </si>
  <si>
    <t>PAY-02226-1</t>
  </si>
  <si>
    <t>TX-S03-0226</t>
  </si>
  <si>
    <t>TR-LINE-02226-1</t>
  </si>
  <si>
    <t>PAY-02226-2</t>
  </si>
  <si>
    <t>TR-LINE-02226-2</t>
  </si>
  <si>
    <t>PAY-02227-1</t>
  </si>
  <si>
    <t>TX-S03-0227</t>
  </si>
  <si>
    <t>TR-LINE-02227-1</t>
  </si>
  <si>
    <t>PAY-02227-2</t>
  </si>
  <si>
    <t>TR-LINE-02227-2</t>
  </si>
  <si>
    <t>PAY-02228-1</t>
  </si>
  <si>
    <t>TX-S03-0228</t>
  </si>
  <si>
    <t>TR-LINE-02228-1</t>
  </si>
  <si>
    <t>PAY-02228-2</t>
  </si>
  <si>
    <t>TR-LINE-02228-2</t>
  </si>
  <si>
    <t>PAY-02229-1</t>
  </si>
  <si>
    <t>TX-S03-0229</t>
  </si>
  <si>
    <t>TR-LINE-02229-1</t>
  </si>
  <si>
    <t>PAY-02229-2</t>
  </si>
  <si>
    <t>TR-LINE-02229-2</t>
  </si>
  <si>
    <t>PAY-02230-1</t>
  </si>
  <si>
    <t>TX-S03-0230</t>
  </si>
  <si>
    <t>TR-LINE-02230-1</t>
  </si>
  <si>
    <t>PAY-02230-2</t>
  </si>
  <si>
    <t>TR-LINE-02230-2</t>
  </si>
  <si>
    <t>PAY-02231-1</t>
  </si>
  <si>
    <t>TX-S03-0231</t>
  </si>
  <si>
    <t>TR-LINE-02231-1</t>
  </si>
  <si>
    <t>PAY-02231-2</t>
  </si>
  <si>
    <t>TR-LINE-02231-2</t>
  </si>
  <si>
    <t>PAY-02232-1</t>
  </si>
  <si>
    <t>TX-S03-0232</t>
  </si>
  <si>
    <t>TR-LINE-02232-1</t>
  </si>
  <si>
    <t>PAY-02232-2</t>
  </si>
  <si>
    <t>TR-LINE-02232-2</t>
  </si>
  <si>
    <t>PAY-02233-1</t>
  </si>
  <si>
    <t>TX-S03-0233</t>
  </si>
  <si>
    <t>TR-LINE-02233-1</t>
  </si>
  <si>
    <t>PAY-02233-2</t>
  </si>
  <si>
    <t>TR-LINE-02233-2</t>
  </si>
  <si>
    <t>PAY-02234-1</t>
  </si>
  <si>
    <t>TX-S03-0234</t>
  </si>
  <si>
    <t>TR-LINE-02234-1</t>
  </si>
  <si>
    <t>PAY-02234-2</t>
  </si>
  <si>
    <t>TR-LINE-02234-2</t>
  </si>
  <si>
    <t>PAY-02235-1</t>
  </si>
  <si>
    <t>TX-S03-0235</t>
  </si>
  <si>
    <t>TR-LINE-02235-1</t>
  </si>
  <si>
    <t>PAY-02235-2</t>
  </si>
  <si>
    <t>TR-LINE-02235-2</t>
  </si>
  <si>
    <t>PAY-02236-1</t>
  </si>
  <si>
    <t>TX-S03-0236</t>
  </si>
  <si>
    <t>TR-LINE-02236-1</t>
  </si>
  <si>
    <t>PAY-02236-2</t>
  </si>
  <si>
    <t>TR-LINE-02236-2</t>
  </si>
  <si>
    <t>PAY-02237-1</t>
  </si>
  <si>
    <t>TX-S03-0237</t>
  </si>
  <si>
    <t>TR-LINE-02237-1</t>
  </si>
  <si>
    <t>PAY-02237-2</t>
  </si>
  <si>
    <t>TR-LINE-02237-2</t>
  </si>
  <si>
    <t>PAY-02238-1</t>
  </si>
  <si>
    <t>TX-S03-0238</t>
  </si>
  <si>
    <t>TR-LINE-02238-1</t>
  </si>
  <si>
    <t>PAY-02238-2</t>
  </si>
  <si>
    <t>TR-LINE-02238-2</t>
  </si>
  <si>
    <t>PAY-02239-1</t>
  </si>
  <si>
    <t>TX-S03-0239</t>
  </si>
  <si>
    <t>TR-LINE-02239-1</t>
  </si>
  <si>
    <t>PAY-02239-2</t>
  </si>
  <si>
    <t>TR-LINE-02239-2</t>
  </si>
  <si>
    <t>PAY-02240-1</t>
  </si>
  <si>
    <t>TX-S03-0240</t>
  </si>
  <si>
    <t>TR-LINE-02240-1</t>
  </si>
  <si>
    <t>PAY-02240-2</t>
  </si>
  <si>
    <t>TR-LINE-02240-2</t>
  </si>
  <si>
    <t>PAY-02241-1</t>
  </si>
  <si>
    <t>TX-S03-0241</t>
  </si>
  <si>
    <t>TR-LINE-02241-1</t>
  </si>
  <si>
    <t>PAY-02241-2</t>
  </si>
  <si>
    <t>TR-LINE-02241-2</t>
  </si>
  <si>
    <t>PAY-02242-1</t>
  </si>
  <si>
    <t>TX-S03-0242</t>
  </si>
  <si>
    <t>TR-LINE-02242-1</t>
  </si>
  <si>
    <t>PAY-02242-2</t>
  </si>
  <si>
    <t>TR-LINE-02242-2</t>
  </si>
  <si>
    <t>PAY-02243-1</t>
  </si>
  <si>
    <t>TX-S03-0243</t>
  </si>
  <si>
    <t>TR-LINE-02243-1</t>
  </si>
  <si>
    <t>PAY-02243-2</t>
  </si>
  <si>
    <t>TR-LINE-02243-2</t>
  </si>
  <si>
    <t>PAY-02244-1</t>
  </si>
  <si>
    <t>TX-S03-0244</t>
  </si>
  <si>
    <t>TR-LINE-02244-1</t>
  </si>
  <si>
    <t>PAY-02244-2</t>
  </si>
  <si>
    <t>TR-LINE-02244-2</t>
  </si>
  <si>
    <t>PAY-02245-1</t>
  </si>
  <si>
    <t>TX-S03-0245</t>
  </si>
  <si>
    <t>TR-LINE-02245-1</t>
  </si>
  <si>
    <t>PAY-02245-2</t>
  </si>
  <si>
    <t>TR-LINE-02245-2</t>
  </si>
  <si>
    <t>PAY-02246-1</t>
  </si>
  <si>
    <t>TX-S03-0246</t>
  </si>
  <si>
    <t>TR-LINE-02246-1</t>
  </si>
  <si>
    <t>PAY-02247-1</t>
  </si>
  <si>
    <t>TX-S03-0247</t>
  </si>
  <si>
    <t>TR-LINE-02247-1</t>
  </si>
  <si>
    <t>PAY-02247-2</t>
  </si>
  <si>
    <t>TR-LINE-02247-2</t>
  </si>
  <si>
    <t>PAY-02248-1</t>
  </si>
  <si>
    <t>TX-S03-0248</t>
  </si>
  <si>
    <t>TR-LINE-02248-1</t>
  </si>
  <si>
    <t>PAY-02248-2</t>
  </si>
  <si>
    <t>TR-LINE-02248-2</t>
  </si>
  <si>
    <t>PAY-02249-1</t>
  </si>
  <si>
    <t>TX-S03-0249</t>
  </si>
  <si>
    <t>TR-LINE-02249-1</t>
  </si>
  <si>
    <t>PAY-02249-2</t>
  </si>
  <si>
    <t>TR-LINE-02249-2</t>
  </si>
  <si>
    <t>PAY-02250-1</t>
  </si>
  <si>
    <t>TX-S03-0250</t>
  </si>
  <si>
    <t>TR-LINE-02250-1</t>
  </si>
  <si>
    <t>PAY-02250-2</t>
  </si>
  <si>
    <t>TR-LINE-02250-2</t>
  </si>
  <si>
    <t>PAY-02251-1</t>
  </si>
  <si>
    <t>TX-S03-0251</t>
  </si>
  <si>
    <t>TR-LINE-02251-1</t>
  </si>
  <si>
    <t>PAY-02251-2</t>
  </si>
  <si>
    <t>TR-LINE-02251-2</t>
  </si>
  <si>
    <t>PAY-02252-1</t>
  </si>
  <si>
    <t>TX-S03-0252</t>
  </si>
  <si>
    <t>TR-LINE-02252-1</t>
  </si>
  <si>
    <t>PAY-02252-2</t>
  </si>
  <si>
    <t>TR-LINE-02252-2</t>
  </si>
  <si>
    <t>PAY-02253-1</t>
  </si>
  <si>
    <t>TX-S03-0253</t>
  </si>
  <si>
    <t>TR-LINE-02253-1</t>
  </si>
  <si>
    <t>PAY-02253-2</t>
  </si>
  <si>
    <t>TR-LINE-02253-2</t>
  </si>
  <si>
    <t>PAY-02254-1</t>
  </si>
  <si>
    <t>TX-S03-0254</t>
  </si>
  <si>
    <t>TR-LINE-02254-1</t>
  </si>
  <si>
    <t>PAY-02254-2</t>
  </si>
  <si>
    <t>TR-LINE-02254-2</t>
  </si>
  <si>
    <t>PAY-02255-1</t>
  </si>
  <si>
    <t>TX-S03-0255</t>
  </si>
  <si>
    <t>TR-LINE-02255-1</t>
  </si>
  <si>
    <t>PAY-02255-2</t>
  </si>
  <si>
    <t>TR-LINE-02255-2</t>
  </si>
  <si>
    <t>PAY-02256-1</t>
  </si>
  <si>
    <t>TX-S03-0256</t>
  </si>
  <si>
    <t>TR-LINE-02256-1</t>
  </si>
  <si>
    <t>PAY-02256-2</t>
  </si>
  <si>
    <t>TR-LINE-02256-2</t>
  </si>
  <si>
    <t>PAY-02257-1</t>
  </si>
  <si>
    <t>TX-S03-0257</t>
  </si>
  <si>
    <t>TR-LINE-02257-1</t>
  </si>
  <si>
    <t>PAY-02257-2</t>
  </si>
  <si>
    <t>TR-LINE-02257-2</t>
  </si>
  <si>
    <t>PAY-02258-1</t>
  </si>
  <si>
    <t>TX-S03-0258</t>
  </si>
  <si>
    <t>TR-LINE-02258-1</t>
  </si>
  <si>
    <t>PAY-02258-2</t>
  </si>
  <si>
    <t>TR-LINE-02258-2</t>
  </si>
  <si>
    <t>PAY-02259-1</t>
  </si>
  <si>
    <t>TX-S03-0259</t>
  </si>
  <si>
    <t>TR-LINE-02259-1</t>
  </si>
  <si>
    <t>PAY-02259-2</t>
  </si>
  <si>
    <t>TR-LINE-02259-2</t>
  </si>
  <si>
    <t>PAY-02260-1</t>
  </si>
  <si>
    <t>TX-S03-0260</t>
  </si>
  <si>
    <t>TR-LINE-02260-1</t>
  </si>
  <si>
    <t>PAY-02260-2</t>
  </si>
  <si>
    <t>TR-LINE-02260-2</t>
  </si>
  <si>
    <t>PAY-02261-1</t>
  </si>
  <si>
    <t>TX-S03-0261</t>
  </si>
  <si>
    <t>TR-LINE-02261-1</t>
  </si>
  <si>
    <t>PAY-02261-2</t>
  </si>
  <si>
    <t>TR-LINE-02261-2</t>
  </si>
  <si>
    <t>PAY-02262-1</t>
  </si>
  <si>
    <t>TX-S03-0262</t>
  </si>
  <si>
    <t>TR-LINE-02262-1</t>
  </si>
  <si>
    <t>PAY-02262-2</t>
  </si>
  <si>
    <t>TR-LINE-02262-2</t>
  </si>
  <si>
    <t>PAY-02263-1</t>
  </si>
  <si>
    <t>TX-S03-0263</t>
  </si>
  <si>
    <t>TR-LINE-02263-1</t>
  </si>
  <si>
    <t>PAY-02263-2</t>
  </si>
  <si>
    <t>TR-LINE-02263-2</t>
  </si>
  <si>
    <t>PAY-02264-1</t>
  </si>
  <si>
    <t>TX-S03-0264</t>
  </si>
  <si>
    <t>TR-LINE-02264-1</t>
  </si>
  <si>
    <t>PAY-02264-2</t>
  </si>
  <si>
    <t>TR-LINE-02264-2</t>
  </si>
  <si>
    <t>PAY-02265-1</t>
  </si>
  <si>
    <t>TX-S03-0265</t>
  </si>
  <si>
    <t>TR-LINE-02265-1</t>
  </si>
  <si>
    <t>PAY-02265-2</t>
  </si>
  <si>
    <t>TR-LINE-02265-2</t>
  </si>
  <si>
    <t>PAY-02266-1</t>
  </si>
  <si>
    <t>TX-S03-0266</t>
  </si>
  <si>
    <t>TR-LINE-02266-1</t>
  </si>
  <si>
    <t>PAY-02266-2</t>
  </si>
  <si>
    <t>TR-LINE-02266-2</t>
  </si>
  <si>
    <t>PAY-02267-1</t>
  </si>
  <si>
    <t>TX-S03-0267</t>
  </si>
  <si>
    <t>TR-LINE-02267-1</t>
  </si>
  <si>
    <t>PAY-02267-2</t>
  </si>
  <si>
    <t>TR-LINE-02267-2</t>
  </si>
  <si>
    <t>PAY-02268-1</t>
  </si>
  <si>
    <t>TX-S03-0268</t>
  </si>
  <si>
    <t>TR-LINE-02268-1</t>
  </si>
  <si>
    <t>PAY-02268-2</t>
  </si>
  <si>
    <t>TR-LINE-02268-2</t>
  </si>
  <si>
    <t>PAY-02269-1</t>
  </si>
  <si>
    <t>TX-S03-0269</t>
  </si>
  <si>
    <t>TR-LINE-02269-1</t>
  </si>
  <si>
    <t>PAY-02269-2</t>
  </si>
  <si>
    <t>TR-LINE-02269-2</t>
  </si>
  <si>
    <t>PAY-02270-1</t>
  </si>
  <si>
    <t>TX-S03-0270</t>
  </si>
  <si>
    <t>TR-LINE-02270-1</t>
  </si>
  <si>
    <t>PAY-02270-2</t>
  </si>
  <si>
    <t>TR-LINE-02270-2</t>
  </si>
  <si>
    <t>PAY-02271-1</t>
  </si>
  <si>
    <t>TX-S03-0271</t>
  </si>
  <si>
    <t>TR-LINE-02271-1</t>
  </si>
  <si>
    <t>PAY-02271-2</t>
  </si>
  <si>
    <t>TR-LINE-02271-2</t>
  </si>
  <si>
    <t>PAY-02272-1</t>
  </si>
  <si>
    <t>TX-S03-0272</t>
  </si>
  <si>
    <t>TR-LINE-02272-1</t>
  </si>
  <si>
    <t>PAY-02272-2</t>
  </si>
  <si>
    <t>TR-LINE-02272-2</t>
  </si>
  <si>
    <t>PAY-02273-1</t>
  </si>
  <si>
    <t>TX-S03-0273</t>
  </si>
  <si>
    <t>TR-LINE-02273-1</t>
  </si>
  <si>
    <t>PAY-02273-2</t>
  </si>
  <si>
    <t>TR-LINE-02273-2</t>
  </si>
  <si>
    <t>PAY-02274-1</t>
  </si>
  <si>
    <t>TX-S03-0274</t>
  </si>
  <si>
    <t>TR-LINE-02274-1</t>
  </si>
  <si>
    <t>PAY-02274-2</t>
  </si>
  <si>
    <t>TR-LINE-02274-2</t>
  </si>
  <si>
    <t>PAY-02275-1</t>
  </si>
  <si>
    <t>TX-S03-0275</t>
  </si>
  <si>
    <t>TR-LINE-02275-1</t>
  </si>
  <si>
    <t>PAY-02275-2</t>
  </si>
  <si>
    <t>TR-LINE-02275-2</t>
  </si>
  <si>
    <t>PAY-02276-1</t>
  </si>
  <si>
    <t>TX-S03-0276</t>
  </si>
  <si>
    <t>TR-LINE-02276-1</t>
  </si>
  <si>
    <t>PAY-02276-2</t>
  </si>
  <si>
    <t>TR-LINE-02276-2</t>
  </si>
  <si>
    <t>PAY-02277-1</t>
  </si>
  <si>
    <t>TX-S03-0277</t>
  </si>
  <si>
    <t>TR-LINE-02277-1</t>
  </si>
  <si>
    <t>PAY-02277-2</t>
  </si>
  <si>
    <t>TR-LINE-02277-2</t>
  </si>
  <si>
    <t>PAY-02278-1</t>
  </si>
  <si>
    <t>TX-S03-0278</t>
  </si>
  <si>
    <t>TR-LINE-02278-1</t>
  </si>
  <si>
    <t>PAY-02278-2</t>
  </si>
  <si>
    <t>TR-LINE-02278-2</t>
  </si>
  <si>
    <t>PAY-02279-1</t>
  </si>
  <si>
    <t>TX-S03-0279</t>
  </si>
  <si>
    <t>TR-LINE-02279-1</t>
  </si>
  <si>
    <t>PAY-02279-2</t>
  </si>
  <si>
    <t>TR-LINE-02279-2</t>
  </si>
  <si>
    <t>PAY-02280-1</t>
  </si>
  <si>
    <t>TX-S03-0280</t>
  </si>
  <si>
    <t>TR-LINE-02280-1</t>
  </si>
  <si>
    <t>PAY-02280-2</t>
  </si>
  <si>
    <t>TR-LINE-02280-2</t>
  </si>
  <si>
    <t>PAY-02281-1</t>
  </si>
  <si>
    <t>TX-S03-0281</t>
  </si>
  <si>
    <t>TR-LINE-02281-1</t>
  </si>
  <si>
    <t>PAY-02281-2</t>
  </si>
  <si>
    <t>TR-LINE-02281-2</t>
  </si>
  <si>
    <t>PAY-02282-1</t>
  </si>
  <si>
    <t>TX-S03-0282</t>
  </si>
  <si>
    <t>TR-LINE-02282-1</t>
  </si>
  <si>
    <t>PAY-02282-2</t>
  </si>
  <si>
    <t>TR-LINE-02282-2</t>
  </si>
  <si>
    <t>PAY-02283-1</t>
  </si>
  <si>
    <t>TX-S03-0283</t>
  </si>
  <si>
    <t>TR-LINE-02283-1</t>
  </si>
  <si>
    <t>PAY-02283-2</t>
  </si>
  <si>
    <t>TR-LINE-02283-2</t>
  </si>
  <si>
    <t>PAY-02284-1</t>
  </si>
  <si>
    <t>TX-S03-0284</t>
  </si>
  <si>
    <t>TR-LINE-02284-1</t>
  </si>
  <si>
    <t>PAY-02284-2</t>
  </si>
  <si>
    <t>TR-LINE-02284-2</t>
  </si>
  <si>
    <t>PAY-02285-1</t>
  </si>
  <si>
    <t>TX-S03-0285</t>
  </si>
  <si>
    <t>TR-LINE-02285-1</t>
  </si>
  <si>
    <t>PAY-02285-2</t>
  </si>
  <si>
    <t>TR-LINE-02285-2</t>
  </si>
  <si>
    <t>PAY-02286-1</t>
  </si>
  <si>
    <t>TX-S03-0286</t>
  </si>
  <si>
    <t>TR-LINE-02286-1</t>
  </si>
  <si>
    <t>PAY-02286-2</t>
  </si>
  <si>
    <t>TR-LINE-02286-2</t>
  </si>
  <si>
    <t>PAY-02287-1</t>
  </si>
  <si>
    <t>TX-S03-0287</t>
  </si>
  <si>
    <t>TR-LINE-02287-1</t>
  </si>
  <si>
    <t>PAY-02288-1</t>
  </si>
  <si>
    <t>TX-S03-0288</t>
  </si>
  <si>
    <t>TR-LINE-02288-1</t>
  </si>
  <si>
    <t>PAY-02288-2</t>
  </si>
  <si>
    <t>TR-LINE-02288-2</t>
  </si>
  <si>
    <t>PAY-02289-1</t>
  </si>
  <si>
    <t>TX-S03-0289</t>
  </si>
  <si>
    <t>TR-LINE-02289-1</t>
  </si>
  <si>
    <t>PAY-02289-2</t>
  </si>
  <si>
    <t>TR-LINE-02289-2</t>
  </si>
  <si>
    <t>PAY-02290-1</t>
  </si>
  <si>
    <t>TX-S03-0290</t>
  </si>
  <si>
    <t>TR-LINE-02290-1</t>
  </si>
  <si>
    <t>PAY-02290-2</t>
  </si>
  <si>
    <t>TR-LINE-02290-2</t>
  </si>
  <si>
    <t>PAY-02291-1</t>
  </si>
  <si>
    <t>TX-S03-0291</t>
  </si>
  <si>
    <t>TR-LINE-02291-1</t>
  </si>
  <si>
    <t>PAY-02291-2</t>
  </si>
  <si>
    <t>TR-LINE-02291-2</t>
  </si>
  <si>
    <t>PAY-02292-1</t>
  </si>
  <si>
    <t>TX-S03-0292</t>
  </si>
  <si>
    <t>TR-LINE-02292-1</t>
  </si>
  <si>
    <t>PAY-02292-2</t>
  </si>
  <si>
    <t>TR-LINE-02292-2</t>
  </si>
  <si>
    <t>PAY-02293-1</t>
  </si>
  <si>
    <t>TX-S03-0293</t>
  </si>
  <si>
    <t>TR-LINE-02293-1</t>
  </si>
  <si>
    <t>PAY-02293-2</t>
  </si>
  <si>
    <t>TR-LINE-02293-2</t>
  </si>
  <si>
    <t>PAY-02294-1</t>
  </si>
  <si>
    <t>TX-S03-0294</t>
  </si>
  <si>
    <t>TR-LINE-02294-1</t>
  </si>
  <si>
    <t>PAY-02294-2</t>
  </si>
  <si>
    <t>TR-LINE-02294-2</t>
  </si>
  <si>
    <t>PAY-02295-1</t>
  </si>
  <si>
    <t>TX-S03-0295</t>
  </si>
  <si>
    <t>TR-LINE-02295-1</t>
  </si>
  <si>
    <t>PAY-02295-2</t>
  </si>
  <si>
    <t>TR-LINE-02295-2</t>
  </si>
  <si>
    <t>PAY-02296-1</t>
  </si>
  <si>
    <t>TX-S03-0296</t>
  </si>
  <si>
    <t>TR-LINE-02296-1</t>
  </si>
  <si>
    <t>PAY-02296-2</t>
  </si>
  <si>
    <t>TR-LINE-02296-2</t>
  </si>
  <si>
    <t>PAY-02297-1</t>
  </si>
  <si>
    <t>TX-S03-0297</t>
  </si>
  <si>
    <t>TR-LINE-02297-1</t>
  </si>
  <si>
    <t>PAY-02297-2</t>
  </si>
  <si>
    <t>TR-LINE-02297-2</t>
  </si>
  <si>
    <t>PAY-02298-1</t>
  </si>
  <si>
    <t>TX-S03-0298</t>
  </si>
  <si>
    <t>TR-LINE-02298-1</t>
  </si>
  <si>
    <t>PAY-02298-2</t>
  </si>
  <si>
    <t>TR-LINE-02298-2</t>
  </si>
  <si>
    <t>PAY-02299-1</t>
  </si>
  <si>
    <t>TX-S03-0299</t>
  </si>
  <si>
    <t>TR-LINE-02299-1</t>
  </si>
  <si>
    <t>PAY-02299-2</t>
  </si>
  <si>
    <t>TR-LINE-02299-2</t>
  </si>
  <si>
    <t>PAY-02300-1</t>
  </si>
  <si>
    <t>TX-S03-0300</t>
  </si>
  <si>
    <t>TR-LINE-02300-1</t>
  </si>
  <si>
    <t>PAY-02300-2</t>
  </si>
  <si>
    <t>TR-LINE-02300-2</t>
  </si>
  <si>
    <t>PAY-02301-1</t>
  </si>
  <si>
    <t>TX-S03-0301</t>
  </si>
  <si>
    <t>TR-LINE-02301-1</t>
  </si>
  <si>
    <t>PAY-02301-2</t>
  </si>
  <si>
    <t>TR-LINE-02301-2</t>
  </si>
  <si>
    <t>PAY-02302-1</t>
  </si>
  <si>
    <t>TX-S03-0302</t>
  </si>
  <si>
    <t>TR-LINE-02302-1</t>
  </si>
  <si>
    <t>PAY-02302-2</t>
  </si>
  <si>
    <t>TR-LINE-02302-2</t>
  </si>
  <si>
    <t>PAY-02303-1</t>
  </si>
  <si>
    <t>TX-S03-0303</t>
  </si>
  <si>
    <t>TR-LINE-02303-1</t>
  </si>
  <si>
    <t>PAY-02303-2</t>
  </si>
  <si>
    <t>TR-LINE-02303-2</t>
  </si>
  <si>
    <t>PAY-02304-1</t>
  </si>
  <si>
    <t>TX-S03-0304</t>
  </si>
  <si>
    <t>TR-LINE-02304-1</t>
  </si>
  <si>
    <t>PAY-02304-2</t>
  </si>
  <si>
    <t>TR-LINE-02304-2</t>
  </si>
  <si>
    <t>PAY-02305-1</t>
  </si>
  <si>
    <t>TX-S03-0305</t>
  </si>
  <si>
    <t>TR-LINE-02305-1</t>
  </si>
  <si>
    <t>PAY-02305-2</t>
  </si>
  <si>
    <t>TR-LINE-02305-2</t>
  </si>
  <si>
    <t>PAY-02306-1</t>
  </si>
  <si>
    <t>TX-S03-0306</t>
  </si>
  <si>
    <t>TR-LINE-02306-1</t>
  </si>
  <si>
    <t>PAY-02306-2</t>
  </si>
  <si>
    <t>TR-LINE-02306-2</t>
  </si>
  <si>
    <t>PAY-02307-1</t>
  </si>
  <si>
    <t>TX-S03-0307</t>
  </si>
  <si>
    <t>TR-LINE-02307-1</t>
  </si>
  <si>
    <t>PAY-02307-2</t>
  </si>
  <si>
    <t>TR-LINE-02307-2</t>
  </si>
  <si>
    <t>PAY-02308-1</t>
  </si>
  <si>
    <t>TX-S03-0308</t>
  </si>
  <si>
    <t>TR-LINE-02308-1</t>
  </si>
  <si>
    <t>PAY-02308-2</t>
  </si>
  <si>
    <t>TR-LINE-02308-2</t>
  </si>
  <si>
    <t>PAY-02309-1</t>
  </si>
  <si>
    <t>TX-S03-0309</t>
  </si>
  <si>
    <t>TR-LINE-02309-1</t>
  </si>
  <si>
    <t>PAY-02309-2</t>
  </si>
  <si>
    <t>TR-LINE-02309-2</t>
  </si>
  <si>
    <t>PAY-02310-1</t>
  </si>
  <si>
    <t>TX-S03-0310</t>
  </si>
  <si>
    <t>TR-LINE-02310-1</t>
  </si>
  <si>
    <t>PAY-02310-2</t>
  </si>
  <si>
    <t>TR-LINE-02310-2</t>
  </si>
  <si>
    <t>PAY-02311-1</t>
  </si>
  <si>
    <t>TX-S03-0311</t>
  </si>
  <si>
    <t>TR-LINE-02311-1</t>
  </si>
  <si>
    <t>PAY-02311-2</t>
  </si>
  <si>
    <t>TR-LINE-02311-2</t>
  </si>
  <si>
    <t>PAY-02312-1</t>
  </si>
  <si>
    <t>TX-S03-0312</t>
  </si>
  <si>
    <t>TR-LINE-02312-1</t>
  </si>
  <si>
    <t>PAY-02312-2</t>
  </si>
  <si>
    <t>TR-LINE-02312-2</t>
  </si>
  <si>
    <t>PAY-02313-1</t>
  </si>
  <si>
    <t>TX-S03-0313</t>
  </si>
  <si>
    <t>TR-LINE-02313-1</t>
  </si>
  <si>
    <t>PAY-02313-2</t>
  </si>
  <si>
    <t>TR-LINE-02313-2</t>
  </si>
  <si>
    <t>PAY-02314-1</t>
  </si>
  <si>
    <t>TX-S03-0314</t>
  </si>
  <si>
    <t>TR-LINE-02314-1</t>
  </si>
  <si>
    <t>PAY-02314-2</t>
  </si>
  <si>
    <t>TR-LINE-02314-2</t>
  </si>
  <si>
    <t>PAY-02315-1</t>
  </si>
  <si>
    <t>TX-S03-0315</t>
  </si>
  <si>
    <t>TR-LINE-02315-1</t>
  </si>
  <si>
    <t>PAY-02315-2</t>
  </si>
  <si>
    <t>TR-LINE-02315-2</t>
  </si>
  <si>
    <t>PAY-02316-1</t>
  </si>
  <si>
    <t>TX-S03-0316</t>
  </si>
  <si>
    <t>TR-LINE-02316-1</t>
  </si>
  <si>
    <t>PAY-02316-2</t>
  </si>
  <si>
    <t>TR-LINE-02316-2</t>
  </si>
  <si>
    <t>PAY-02317-1</t>
  </si>
  <si>
    <t>TX-S03-0317</t>
  </si>
  <si>
    <t>TR-LINE-02317-1</t>
  </si>
  <si>
    <t>PAY-02317-2</t>
  </si>
  <si>
    <t>TR-LINE-02317-2</t>
  </si>
  <si>
    <t>PAY-02318-1</t>
  </si>
  <si>
    <t>TX-S03-0318</t>
  </si>
  <si>
    <t>TR-LINE-02318-1</t>
  </si>
  <si>
    <t>PAY-02318-2</t>
  </si>
  <si>
    <t>TR-LINE-02318-2</t>
  </si>
  <si>
    <t>PAY-02319-1</t>
  </si>
  <si>
    <t>TX-S03-0319</t>
  </si>
  <si>
    <t>TR-LINE-02319-1</t>
  </si>
  <si>
    <t>PAY-02319-2</t>
  </si>
  <si>
    <t>TR-LINE-02319-2</t>
  </si>
  <si>
    <t>PAY-02320-1</t>
  </si>
  <si>
    <t>TX-S03-0320</t>
  </si>
  <si>
    <t>TR-LINE-02320-1</t>
  </si>
  <si>
    <t>PAY-02320-2</t>
  </si>
  <si>
    <t>TR-LINE-02320-2</t>
  </si>
  <si>
    <t>PAY-02321-1</t>
  </si>
  <si>
    <t>TX-S03-0321</t>
  </si>
  <si>
    <t>TR-LINE-02321-1</t>
  </si>
  <si>
    <t>PAY-02321-2</t>
  </si>
  <si>
    <t>TR-LINE-02321-2</t>
  </si>
  <si>
    <t>PAY-02322-1</t>
  </si>
  <si>
    <t>TX-S03-0322</t>
  </si>
  <si>
    <t>TR-LINE-02322-1</t>
  </si>
  <si>
    <t>PAY-02322-2</t>
  </si>
  <si>
    <t>TR-LINE-02322-2</t>
  </si>
  <si>
    <t>PAY-02323-1</t>
  </si>
  <si>
    <t>TX-S03-0323</t>
  </si>
  <si>
    <t>TR-LINE-02323-1</t>
  </si>
  <si>
    <t>PAY-02323-2</t>
  </si>
  <si>
    <t>TR-LINE-02323-2</t>
  </si>
  <si>
    <t>PAY-02324-1</t>
  </si>
  <si>
    <t>TX-S03-0324</t>
  </si>
  <si>
    <t>TR-LINE-02324-1</t>
  </si>
  <si>
    <t>PAY-02324-2</t>
  </si>
  <si>
    <t>TR-LINE-02324-2</t>
  </si>
  <si>
    <t>PAY-02325-1</t>
  </si>
  <si>
    <t>TX-S03-0325</t>
  </si>
  <si>
    <t>TR-LINE-02325-1</t>
  </si>
  <si>
    <t>PAY-02325-2</t>
  </si>
  <si>
    <t>TR-LINE-02325-2</t>
  </si>
  <si>
    <t>PAY-02326-1</t>
  </si>
  <si>
    <t>TX-S03-0326</t>
  </si>
  <si>
    <t>TR-LINE-02326-1</t>
  </si>
  <si>
    <t>PAY-02326-2</t>
  </si>
  <si>
    <t>TR-LINE-02326-2</t>
  </si>
  <si>
    <t>PAY-02327-1</t>
  </si>
  <si>
    <t>TX-S03-0327</t>
  </si>
  <si>
    <t>TR-LINE-02327-1</t>
  </si>
  <si>
    <t>PAY-02327-2</t>
  </si>
  <si>
    <t>TR-LINE-02327-2</t>
  </si>
  <si>
    <t>PAY-02328-1</t>
  </si>
  <si>
    <t>TX-S03-0328</t>
  </si>
  <si>
    <t>TR-LINE-02328-1</t>
  </si>
  <si>
    <t>PAY-02329-1</t>
  </si>
  <si>
    <t>TX-S03-0329</t>
  </si>
  <si>
    <t>TR-LINE-02329-1</t>
  </si>
  <si>
    <t>PAY-02329-2</t>
  </si>
  <si>
    <t>TR-LINE-02329-2</t>
  </si>
  <si>
    <t>PAY-02330-1</t>
  </si>
  <si>
    <t>TX-S03-0330</t>
  </si>
  <si>
    <t>TR-LINE-02330-1</t>
  </si>
  <si>
    <t>PAY-02330-2</t>
  </si>
  <si>
    <t>TR-LINE-02330-2</t>
  </si>
  <si>
    <t>PAY-02331-1</t>
  </si>
  <si>
    <t>TX-S03-0331</t>
  </si>
  <si>
    <t>TR-LINE-02331-1</t>
  </si>
  <si>
    <t>PAY-02331-2</t>
  </si>
  <si>
    <t>TR-LINE-02331-2</t>
  </si>
  <si>
    <t>PAY-02332-1</t>
  </si>
  <si>
    <t>TX-S03-0332</t>
  </si>
  <si>
    <t>TR-LINE-02332-1</t>
  </si>
  <si>
    <t>PAY-02332-2</t>
  </si>
  <si>
    <t>TR-LINE-02332-2</t>
  </si>
  <si>
    <t>PAY-02333-1</t>
  </si>
  <si>
    <t>TX-S03-0333</t>
  </si>
  <si>
    <t>TR-LINE-02333-1</t>
  </si>
  <si>
    <t>PAY-02333-2</t>
  </si>
  <si>
    <t>TR-LINE-02333-2</t>
  </si>
  <si>
    <t>PAY-02334-1</t>
  </si>
  <si>
    <t>TX-S03-0334</t>
  </si>
  <si>
    <t>TR-LINE-02334-1</t>
  </si>
  <si>
    <t>PAY-02334-2</t>
  </si>
  <si>
    <t>TR-LINE-02334-2</t>
  </si>
  <si>
    <t>PAY-02335-1</t>
  </si>
  <si>
    <t>TX-S03-0335</t>
  </si>
  <si>
    <t>TR-LINE-02335-1</t>
  </si>
  <si>
    <t>PAY-02335-2</t>
  </si>
  <si>
    <t>TR-LINE-02335-2</t>
  </si>
  <si>
    <t>PAY-02336-1</t>
  </si>
  <si>
    <t>TX-S03-0336</t>
  </si>
  <si>
    <t>TR-LINE-02336-1</t>
  </si>
  <si>
    <t>PAY-02336-2</t>
  </si>
  <si>
    <t>TR-LINE-02336-2</t>
  </si>
  <si>
    <t>PAY-02337-1</t>
  </si>
  <si>
    <t>TX-S03-0337</t>
  </si>
  <si>
    <t>TR-LINE-02337-1</t>
  </si>
  <si>
    <t>PAY-02337-2</t>
  </si>
  <si>
    <t>TR-LINE-02337-2</t>
  </si>
  <si>
    <t>PAY-02338-1</t>
  </si>
  <si>
    <t>TX-S03-0338</t>
  </si>
  <si>
    <t>TR-LINE-02338-1</t>
  </si>
  <si>
    <t>PAY-02338-2</t>
  </si>
  <si>
    <t>TR-LINE-02338-2</t>
  </si>
  <si>
    <t>PAY-02339-1</t>
  </si>
  <si>
    <t>TX-S03-0339</t>
  </si>
  <si>
    <t>TR-LINE-02339-1</t>
  </si>
  <si>
    <t>PAY-02339-2</t>
  </si>
  <si>
    <t>TR-LINE-02339-2</t>
  </si>
  <si>
    <t>PAY-02340-1</t>
  </si>
  <si>
    <t>TX-S03-0340</t>
  </si>
  <si>
    <t>TR-LINE-02340-1</t>
  </si>
  <si>
    <t>PAY-02340-2</t>
  </si>
  <si>
    <t>TR-LINE-02340-2</t>
  </si>
  <si>
    <t>PAY-02341-1</t>
  </si>
  <si>
    <t>TX-S03-0341</t>
  </si>
  <si>
    <t>TR-LINE-02341-1</t>
  </si>
  <si>
    <t>PAY-02341-2</t>
  </si>
  <si>
    <t>TR-LINE-02341-2</t>
  </si>
  <si>
    <t>PAY-02342-1</t>
  </si>
  <si>
    <t>TX-S03-0342</t>
  </si>
  <si>
    <t>TR-LINE-02342-1</t>
  </si>
  <si>
    <t>PAY-02342-2</t>
  </si>
  <si>
    <t>TR-LINE-02342-2</t>
  </si>
  <si>
    <t>PAY-02343-1</t>
  </si>
  <si>
    <t>TX-S03-0343</t>
  </si>
  <si>
    <t>TR-LINE-02343-1</t>
  </si>
  <si>
    <t>PAY-02343-2</t>
  </si>
  <si>
    <t>TR-LINE-02343-2</t>
  </si>
  <si>
    <t>PAY-02344-1</t>
  </si>
  <si>
    <t>TX-S03-0344</t>
  </si>
  <si>
    <t>TR-LINE-02344-1</t>
  </si>
  <si>
    <t>PAY-02344-2</t>
  </si>
  <si>
    <t>TR-LINE-02344-2</t>
  </si>
  <si>
    <t>PAY-02345-1</t>
  </si>
  <si>
    <t>TX-S03-0345</t>
  </si>
  <si>
    <t>TR-LINE-02345-1</t>
  </si>
  <si>
    <t>PAY-02345-2</t>
  </si>
  <si>
    <t>TR-LINE-02345-2</t>
  </si>
  <si>
    <t>PAY-02346-1</t>
  </si>
  <si>
    <t>TX-S03-0346</t>
  </si>
  <si>
    <t>TR-LINE-02346-1</t>
  </si>
  <si>
    <t>PAY-02346-2</t>
  </si>
  <si>
    <t>TR-LINE-02346-2</t>
  </si>
  <si>
    <t>PAY-02347-1</t>
  </si>
  <si>
    <t>TX-S03-0347</t>
  </si>
  <si>
    <t>TR-LINE-02347-1</t>
  </si>
  <si>
    <t>PAY-02347-2</t>
  </si>
  <si>
    <t>TR-LINE-02347-2</t>
  </si>
  <si>
    <t>PAY-02348-1</t>
  </si>
  <si>
    <t>TX-S03-0348</t>
  </si>
  <si>
    <t>TR-LINE-02348-1</t>
  </si>
  <si>
    <t>PAY-02348-2</t>
  </si>
  <si>
    <t>TR-LINE-02348-2</t>
  </si>
  <si>
    <t>PAY-02349-1</t>
  </si>
  <si>
    <t>TX-S03-0349</t>
  </si>
  <si>
    <t>TR-LINE-02349-1</t>
  </si>
  <si>
    <t>PAY-02349-2</t>
  </si>
  <si>
    <t>TR-LINE-02349-2</t>
  </si>
  <si>
    <t>PAY-02350-1</t>
  </si>
  <si>
    <t>TX-S03-0350</t>
  </si>
  <si>
    <t>TR-LINE-02350-1</t>
  </si>
  <si>
    <t>PAY-02350-2</t>
  </si>
  <si>
    <t>TR-LINE-02350-2</t>
  </si>
  <si>
    <t>PAY-02351-1</t>
  </si>
  <si>
    <t>TX-S03-0351</t>
  </si>
  <si>
    <t>TR-LINE-02351-1</t>
  </si>
  <si>
    <t>PAY-02351-2</t>
  </si>
  <si>
    <t>TR-LINE-02351-2</t>
  </si>
  <si>
    <t>PAY-02352-1</t>
  </si>
  <si>
    <t>TX-S03-0352</t>
  </si>
  <si>
    <t>TR-LINE-02352-1</t>
  </si>
  <si>
    <t>PAY-02352-2</t>
  </si>
  <si>
    <t>TR-LINE-02352-2</t>
  </si>
  <si>
    <t>PAY-02353-1</t>
  </si>
  <si>
    <t>TX-S03-0353</t>
  </si>
  <si>
    <t>TR-LINE-02353-1</t>
  </si>
  <si>
    <t>PAY-02353-2</t>
  </si>
  <si>
    <t>TR-LINE-02353-2</t>
  </si>
  <si>
    <t>PAY-02354-1</t>
  </si>
  <si>
    <t>TX-S03-0354</t>
  </si>
  <si>
    <t>TR-LINE-02354-1</t>
  </si>
  <si>
    <t>PAY-02354-2</t>
  </si>
  <si>
    <t>TR-LINE-02354-2</t>
  </si>
  <si>
    <t>PAY-02355-1</t>
  </si>
  <si>
    <t>TX-S03-0355</t>
  </si>
  <si>
    <t>TR-LINE-02355-1</t>
  </si>
  <si>
    <t>PAY-02355-2</t>
  </si>
  <si>
    <t>TR-LINE-02355-2</t>
  </si>
  <si>
    <t>PAY-02356-1</t>
  </si>
  <si>
    <t>TX-S03-0356</t>
  </si>
  <si>
    <t>TR-LINE-02356-1</t>
  </si>
  <si>
    <t>PAY-02356-2</t>
  </si>
  <si>
    <t>TR-LINE-02356-2</t>
  </si>
  <si>
    <t>PAY-02357-1</t>
  </si>
  <si>
    <t>TX-S03-0357</t>
  </si>
  <si>
    <t>TR-LINE-02357-1</t>
  </si>
  <si>
    <t>PAY-02357-2</t>
  </si>
  <si>
    <t>TR-LINE-02357-2</t>
  </si>
  <si>
    <t>PAY-02358-1</t>
  </si>
  <si>
    <t>TX-S03-0358</t>
  </si>
  <si>
    <t>TR-LINE-02358-1</t>
  </si>
  <si>
    <t>PAY-02358-2</t>
  </si>
  <si>
    <t>TR-LINE-02358-2</t>
  </si>
  <si>
    <t>PAY-02359-1</t>
  </si>
  <si>
    <t>TX-S03-0359</t>
  </si>
  <si>
    <t>TR-LINE-02359-1</t>
  </si>
  <si>
    <t>PAY-02359-2</t>
  </si>
  <si>
    <t>TR-LINE-02359-2</t>
  </si>
  <si>
    <t>PAY-02360-1</t>
  </si>
  <si>
    <t>TX-S03-0360</t>
  </si>
  <si>
    <t>TR-LINE-02360-1</t>
  </si>
  <si>
    <t>PAY-02360-2</t>
  </si>
  <si>
    <t>TR-LINE-02360-2</t>
  </si>
  <si>
    <t>PAY-02361-1</t>
  </si>
  <si>
    <t>TX-S03-0361</t>
  </si>
  <si>
    <t>TR-LINE-02361-1</t>
  </si>
  <si>
    <t>PAY-02361-2</t>
  </si>
  <si>
    <t>TR-LINE-02361-2</t>
  </si>
  <si>
    <t>PAY-02362-1</t>
  </si>
  <si>
    <t>TX-S03-0362</t>
  </si>
  <si>
    <t>TR-LINE-02362-1</t>
  </si>
  <si>
    <t>PAY-02362-2</t>
  </si>
  <si>
    <t>TR-LINE-02362-2</t>
  </si>
  <si>
    <t>PAY-02363-1</t>
  </si>
  <si>
    <t>TX-S03-0363</t>
  </si>
  <si>
    <t>TR-LINE-02363-1</t>
  </si>
  <si>
    <t>PAY-02363-2</t>
  </si>
  <si>
    <t>TR-LINE-02363-2</t>
  </si>
  <si>
    <t>PAY-02364-1</t>
  </si>
  <si>
    <t>TX-S03-0364</t>
  </si>
  <si>
    <t>TR-LINE-02364-1</t>
  </si>
  <si>
    <t>PAY-02364-2</t>
  </si>
  <si>
    <t>TR-LINE-02364-2</t>
  </si>
  <si>
    <t>PAY-02365-1</t>
  </si>
  <si>
    <t>TX-S03-0365</t>
  </si>
  <si>
    <t>TR-LINE-02365-1</t>
  </si>
  <si>
    <t>PAY-02365-2</t>
  </si>
  <si>
    <t>TR-LINE-02365-2</t>
  </si>
  <si>
    <t>PAY-02366-1</t>
  </si>
  <si>
    <t>TX-S03-0366</t>
  </si>
  <si>
    <t>TR-LINE-02366-1</t>
  </si>
  <si>
    <t>PAY-02366-2</t>
  </si>
  <si>
    <t>TR-LINE-02366-2</t>
  </si>
  <si>
    <t>PAY-02367-1</t>
  </si>
  <si>
    <t>TX-S03-0367</t>
  </si>
  <si>
    <t>TR-LINE-02367-1</t>
  </si>
  <si>
    <t>PAY-02367-2</t>
  </si>
  <si>
    <t>TR-LINE-02367-2</t>
  </si>
  <si>
    <t>PAY-02368-1</t>
  </si>
  <si>
    <t>TX-S03-0368</t>
  </si>
  <si>
    <t>TR-LINE-02368-1</t>
  </si>
  <si>
    <t>PAY-02368-2</t>
  </si>
  <si>
    <t>TR-LINE-02368-2</t>
  </si>
  <si>
    <t>PAY-02369-1</t>
  </si>
  <si>
    <t>TX-S03-0369</t>
  </si>
  <si>
    <t>TR-LINE-02369-1</t>
  </si>
  <si>
    <t>PAY-02370-1</t>
  </si>
  <si>
    <t>TX-S03-0370</t>
  </si>
  <si>
    <t>TR-LINE-02370-1</t>
  </si>
  <si>
    <t>PAY-02370-2</t>
  </si>
  <si>
    <t>TR-LINE-02370-2</t>
  </si>
  <si>
    <t>PAY-02371-1</t>
  </si>
  <si>
    <t>TX-S03-0371</t>
  </si>
  <si>
    <t>TR-LINE-02371-1</t>
  </si>
  <si>
    <t>PAY-02371-2</t>
  </si>
  <si>
    <t>TR-LINE-02371-2</t>
  </si>
  <si>
    <t>PAY-02372-1</t>
  </si>
  <si>
    <t>TX-S03-0372</t>
  </si>
  <si>
    <t>TR-LINE-02372-1</t>
  </si>
  <si>
    <t>PAY-02372-2</t>
  </si>
  <si>
    <t>TR-LINE-02372-2</t>
  </si>
  <si>
    <t>PAY-02373-1</t>
  </si>
  <si>
    <t>TX-S03-0373</t>
  </si>
  <si>
    <t>TR-LINE-02373-1</t>
  </si>
  <si>
    <t>PAY-02373-2</t>
  </si>
  <si>
    <t>TR-LINE-02373-2</t>
  </si>
  <si>
    <t>PAY-02374-1</t>
  </si>
  <si>
    <t>TX-S03-0374</t>
  </si>
  <si>
    <t>TR-LINE-02374-1</t>
  </si>
  <si>
    <t>PAY-02374-2</t>
  </si>
  <si>
    <t>TR-LINE-02374-2</t>
  </si>
  <si>
    <t>PAY-02375-1</t>
  </si>
  <si>
    <t>TX-S03-0375</t>
  </si>
  <si>
    <t>TR-LINE-02375-1</t>
  </si>
  <si>
    <t>PAY-02375-2</t>
  </si>
  <si>
    <t>TR-LINE-02375-2</t>
  </si>
  <si>
    <t>PAY-02376-1</t>
  </si>
  <si>
    <t>TX-S03-0376</t>
  </si>
  <si>
    <t>TR-LINE-02376-1</t>
  </si>
  <si>
    <t>PAY-02376-2</t>
  </si>
  <si>
    <t>TR-LINE-02376-2</t>
  </si>
  <si>
    <t>PAY-02377-1</t>
  </si>
  <si>
    <t>TX-S03-0377</t>
  </si>
  <si>
    <t>TR-LINE-02377-1</t>
  </si>
  <si>
    <t>PAY-02377-2</t>
  </si>
  <si>
    <t>TR-LINE-02377-2</t>
  </si>
  <si>
    <t>PAY-02378-1</t>
  </si>
  <si>
    <t>TX-S03-0378</t>
  </si>
  <si>
    <t>TR-LINE-02378-1</t>
  </si>
  <si>
    <t>PAY-02378-2</t>
  </si>
  <si>
    <t>TR-LINE-02378-2</t>
  </si>
  <si>
    <t>PAY-02379-1</t>
  </si>
  <si>
    <t>TX-S03-0379</t>
  </si>
  <si>
    <t>TR-LINE-02379-1</t>
  </si>
  <si>
    <t>PAY-02379-2</t>
  </si>
  <si>
    <t>TR-LINE-02379-2</t>
  </si>
  <si>
    <t>PAY-02380-1</t>
  </si>
  <si>
    <t>TX-S03-0380</t>
  </si>
  <si>
    <t>TR-LINE-02380-1</t>
  </si>
  <si>
    <t>PAY-02380-2</t>
  </si>
  <si>
    <t>TR-LINE-02380-2</t>
  </si>
  <si>
    <t>PAY-02381-1</t>
  </si>
  <si>
    <t>TX-S03-0381</t>
  </si>
  <si>
    <t>TR-LINE-02381-1</t>
  </si>
  <si>
    <t>PAY-02381-2</t>
  </si>
  <si>
    <t>TR-LINE-02381-2</t>
  </si>
  <si>
    <t>PAY-02382-1</t>
  </si>
  <si>
    <t>TX-S03-0382</t>
  </si>
  <si>
    <t>TR-LINE-02382-1</t>
  </si>
  <si>
    <t>PAY-02382-2</t>
  </si>
  <si>
    <t>TR-LINE-02382-2</t>
  </si>
  <si>
    <t>PAY-02383-1</t>
  </si>
  <si>
    <t>TX-S03-0383</t>
  </si>
  <si>
    <t>TR-LINE-02383-1</t>
  </si>
  <si>
    <t>PAY-02383-2</t>
  </si>
  <si>
    <t>TR-LINE-02383-2</t>
  </si>
  <si>
    <t>PAY-02384-1</t>
  </si>
  <si>
    <t>TX-S03-0384</t>
  </si>
  <si>
    <t>TR-LINE-02384-1</t>
  </si>
  <si>
    <t>PAY-02384-2</t>
  </si>
  <si>
    <t>TR-LINE-02384-2</t>
  </si>
  <si>
    <t>PAY-02385-1</t>
  </si>
  <si>
    <t>TX-S03-0385</t>
  </si>
  <si>
    <t>TR-LINE-02385-1</t>
  </si>
  <si>
    <t>PAY-02385-2</t>
  </si>
  <si>
    <t>TR-LINE-02385-2</t>
  </si>
  <si>
    <t>PAY-02386-1</t>
  </si>
  <si>
    <t>TX-S03-0386</t>
  </si>
  <si>
    <t>TR-LINE-02386-1</t>
  </si>
  <si>
    <t>PAY-02386-2</t>
  </si>
  <si>
    <t>TR-LINE-02386-2</t>
  </si>
  <si>
    <t>PAY-02387-1</t>
  </si>
  <si>
    <t>TX-S03-0387</t>
  </si>
  <si>
    <t>TR-LINE-02387-1</t>
  </si>
  <si>
    <t>PAY-02387-2</t>
  </si>
  <si>
    <t>TR-LINE-02387-2</t>
  </si>
  <si>
    <t>PAY-02388-1</t>
  </si>
  <si>
    <t>TX-S03-0388</t>
  </si>
  <si>
    <t>TR-LINE-02388-1</t>
  </si>
  <si>
    <t>PAY-02388-2</t>
  </si>
  <si>
    <t>TR-LINE-02388-2</t>
  </si>
  <si>
    <t>PAY-02389-1</t>
  </si>
  <si>
    <t>TX-S03-0389</t>
  </si>
  <si>
    <t>TR-LINE-02389-1</t>
  </si>
  <si>
    <t>PAY-02389-2</t>
  </si>
  <si>
    <t>TR-LINE-02389-2</t>
  </si>
  <si>
    <t>PAY-02390-1</t>
  </si>
  <si>
    <t>TX-S03-0390</t>
  </si>
  <si>
    <t>TR-LINE-02390-1</t>
  </si>
  <si>
    <t>PAY-02390-2</t>
  </si>
  <si>
    <t>TR-LINE-02390-2</t>
  </si>
  <si>
    <t>PAY-02391-1</t>
  </si>
  <si>
    <t>TX-S03-0391</t>
  </si>
  <si>
    <t>TR-LINE-02391-1</t>
  </si>
  <si>
    <t>PAY-02391-2</t>
  </si>
  <si>
    <t>TR-LINE-02391-2</t>
  </si>
  <si>
    <t>PAY-02392-1</t>
  </si>
  <si>
    <t>TX-S03-0392</t>
  </si>
  <si>
    <t>TR-LINE-02392-1</t>
  </si>
  <si>
    <t>PAY-02392-2</t>
  </si>
  <si>
    <t>TR-LINE-02392-2</t>
  </si>
  <si>
    <t>PAY-02393-1</t>
  </si>
  <si>
    <t>TX-S03-0393</t>
  </si>
  <si>
    <t>TR-LINE-02393-1</t>
  </si>
  <si>
    <t>PAY-02393-2</t>
  </si>
  <si>
    <t>TR-LINE-02393-2</t>
  </si>
  <si>
    <t>PAY-02394-1</t>
  </si>
  <si>
    <t>TX-S03-0394</t>
  </si>
  <si>
    <t>TR-LINE-02394-1</t>
  </si>
  <si>
    <t>PAY-02394-2</t>
  </si>
  <si>
    <t>TR-LINE-02394-2</t>
  </si>
  <si>
    <t>PAY-02395-1</t>
  </si>
  <si>
    <t>TX-S03-0395</t>
  </si>
  <si>
    <t>TR-LINE-02395-1</t>
  </si>
  <si>
    <t>PAY-02395-2</t>
  </si>
  <si>
    <t>TR-LINE-02395-2</t>
  </si>
  <si>
    <t>PAY-02396-1</t>
  </si>
  <si>
    <t>TX-S03-0396</t>
  </si>
  <si>
    <t>TR-LINE-02396-1</t>
  </si>
  <si>
    <t>PAY-02396-2</t>
  </si>
  <si>
    <t>TR-LINE-02396-2</t>
  </si>
  <si>
    <t>PAY-02397-1</t>
  </si>
  <si>
    <t>TX-S03-0397</t>
  </si>
  <si>
    <t>TR-LINE-02397-1</t>
  </si>
  <si>
    <t>PAY-02397-2</t>
  </si>
  <si>
    <t>TR-LINE-02397-2</t>
  </si>
  <si>
    <t>PAY-02398-1</t>
  </si>
  <si>
    <t>TX-S03-0398</t>
  </si>
  <si>
    <t>TR-LINE-02398-1</t>
  </si>
  <si>
    <t>PAY-02398-2</t>
  </si>
  <si>
    <t>TR-LINE-02398-2</t>
  </si>
  <si>
    <t>PAY-02399-1</t>
  </si>
  <si>
    <t>TX-S03-0399</t>
  </si>
  <si>
    <t>TR-LINE-02399-1</t>
  </si>
  <si>
    <t>PAY-02399-2</t>
  </si>
  <si>
    <t>TR-LINE-02399-2</t>
  </si>
  <si>
    <t>PAY-02400-1</t>
  </si>
  <si>
    <t>TX-S03-0400</t>
  </si>
  <si>
    <t>TR-LINE-02400-1</t>
  </si>
  <si>
    <t>PAY-02400-2</t>
  </si>
  <si>
    <t>TR-LINE-02400-2</t>
  </si>
  <si>
    <t>PAY-02401-1</t>
  </si>
  <si>
    <t>TX-S03-0401</t>
  </si>
  <si>
    <t>TR-LINE-02401-1</t>
  </si>
  <si>
    <t>PAY-02401-2</t>
  </si>
  <si>
    <t>TR-LINE-02401-2</t>
  </si>
  <si>
    <t>PAY-02402-1</t>
  </si>
  <si>
    <t>TX-S03-0402</t>
  </si>
  <si>
    <t>TR-LINE-02402-1</t>
  </si>
  <si>
    <t>PAY-02402-2</t>
  </si>
  <si>
    <t>TR-LINE-02402-2</t>
  </si>
  <si>
    <t>PAY-02403-1</t>
  </si>
  <si>
    <t>TX-S03-0403</t>
  </si>
  <si>
    <t>TR-LINE-02403-1</t>
  </si>
  <si>
    <t>PAY-02403-2</t>
  </si>
  <si>
    <t>TR-LINE-02403-2</t>
  </si>
  <si>
    <t>PAY-02404-1</t>
  </si>
  <si>
    <t>TX-S03-0404</t>
  </si>
  <si>
    <t>TR-LINE-02404-1</t>
  </si>
  <si>
    <t>PAY-02404-2</t>
  </si>
  <si>
    <t>TR-LINE-02404-2</t>
  </si>
  <si>
    <t>PAY-02405-1</t>
  </si>
  <si>
    <t>TX-S03-0405</t>
  </si>
  <si>
    <t>TR-LINE-02405-1</t>
  </si>
  <si>
    <t>PAY-02405-2</t>
  </si>
  <si>
    <t>TR-LINE-02405-2</t>
  </si>
  <si>
    <t>PAY-02406-1</t>
  </si>
  <si>
    <t>TX-S03-0406</t>
  </si>
  <si>
    <t>TR-LINE-02406-1</t>
  </si>
  <si>
    <t>PAY-02406-2</t>
  </si>
  <si>
    <t>TR-LINE-02406-2</t>
  </si>
  <si>
    <t>PAY-02407-1</t>
  </si>
  <si>
    <t>TX-S03-0407</t>
  </si>
  <si>
    <t>TR-LINE-02407-1</t>
  </si>
  <si>
    <t>PAY-02407-2</t>
  </si>
  <si>
    <t>TR-LINE-02407-2</t>
  </si>
  <si>
    <t>PAY-02408-1</t>
  </si>
  <si>
    <t>TX-S03-0408</t>
  </si>
  <si>
    <t>TR-LINE-02408-1</t>
  </si>
  <si>
    <t>PAY-02408-2</t>
  </si>
  <si>
    <t>TR-LINE-02408-2</t>
  </si>
  <si>
    <t>PAY-02409-1</t>
  </si>
  <si>
    <t>TX-S03-0409</t>
  </si>
  <si>
    <t>TR-LINE-02409-1</t>
  </si>
  <si>
    <t>PAY-02409-2</t>
  </si>
  <si>
    <t>TR-LINE-02409-2</t>
  </si>
  <si>
    <t>PAY-02410-1</t>
  </si>
  <si>
    <t>TX-S03-0410</t>
  </si>
  <si>
    <t>TR-LINE-02410-1</t>
  </si>
  <si>
    <t>PAY-02411-1</t>
  </si>
  <si>
    <t>TX-S03-0411</t>
  </si>
  <si>
    <t>TR-LINE-02411-1</t>
  </si>
  <si>
    <t>PAY-02411-2</t>
  </si>
  <si>
    <t>TR-LINE-02411-2</t>
  </si>
  <si>
    <t>PAY-02412-1</t>
  </si>
  <si>
    <t>TX-S03-0412</t>
  </si>
  <si>
    <t>TR-LINE-02412-1</t>
  </si>
  <si>
    <t>PAY-02412-2</t>
  </si>
  <si>
    <t>TR-LINE-02412-2</t>
  </si>
  <si>
    <t>PAY-02413-1</t>
  </si>
  <si>
    <t>TX-S03-0413</t>
  </si>
  <si>
    <t>TR-LINE-02413-1</t>
  </si>
  <si>
    <t>PAY-02413-2</t>
  </si>
  <si>
    <t>TR-LINE-02413-2</t>
  </si>
  <si>
    <t>PAY-02414-1</t>
  </si>
  <si>
    <t>TX-S03-0414</t>
  </si>
  <si>
    <t>TR-LINE-02414-1</t>
  </si>
  <si>
    <t>PAY-02414-2</t>
  </si>
  <si>
    <t>TR-LINE-02414-2</t>
  </si>
  <si>
    <t>PAY-02415-1</t>
  </si>
  <si>
    <t>TX-S03-0415</t>
  </si>
  <si>
    <t>TR-LINE-02415-1</t>
  </si>
  <si>
    <t>PAY-02415-2</t>
  </si>
  <si>
    <t>TR-LINE-02415-2</t>
  </si>
  <si>
    <t>PAY-02416-1</t>
  </si>
  <si>
    <t>TX-S03-0416</t>
  </si>
  <si>
    <t>TR-LINE-02416-1</t>
  </si>
  <si>
    <t>PAY-02416-2</t>
  </si>
  <si>
    <t>TR-LINE-02416-2</t>
  </si>
  <si>
    <t>PAY-02417-1</t>
  </si>
  <si>
    <t>TX-S03-0417</t>
  </si>
  <si>
    <t>TR-LINE-02417-1</t>
  </si>
  <si>
    <t>PAY-02417-2</t>
  </si>
  <si>
    <t>TR-LINE-02417-2</t>
  </si>
  <si>
    <t>PAY-02418-1</t>
  </si>
  <si>
    <t>TX-S03-0418</t>
  </si>
  <si>
    <t>TR-LINE-02418-1</t>
  </si>
  <si>
    <t>PAY-02418-2</t>
  </si>
  <si>
    <t>TR-LINE-02418-2</t>
  </si>
  <si>
    <t>PAY-02419-1</t>
  </si>
  <si>
    <t>TX-S03-0419</t>
  </si>
  <si>
    <t>TR-LINE-02419-1</t>
  </si>
  <si>
    <t>PAY-02419-2</t>
  </si>
  <si>
    <t>TR-LINE-02419-2</t>
  </si>
  <si>
    <t>PAY-02420-1</t>
  </si>
  <si>
    <t>TX-S03-0420</t>
  </si>
  <si>
    <t>TR-LINE-02420-1</t>
  </si>
  <si>
    <t>PAY-02420-2</t>
  </si>
  <si>
    <t>TR-LINE-02420-2</t>
  </si>
  <si>
    <t>PAY-02421-1</t>
  </si>
  <si>
    <t>TX-S03-0421</t>
  </si>
  <si>
    <t>TR-LINE-02421-1</t>
  </si>
  <si>
    <t>PAY-02421-2</t>
  </si>
  <si>
    <t>TR-LINE-02421-2</t>
  </si>
  <si>
    <t>PAY-02422-1</t>
  </si>
  <si>
    <t>TX-S03-0422</t>
  </si>
  <si>
    <t>TR-LINE-02422-1</t>
  </si>
  <si>
    <t>PAY-02422-2</t>
  </si>
  <si>
    <t>TR-LINE-02422-2</t>
  </si>
  <si>
    <t>PAY-02423-1</t>
  </si>
  <si>
    <t>TX-S03-0423</t>
  </si>
  <si>
    <t>TR-LINE-02423-1</t>
  </si>
  <si>
    <t>PAY-02423-2</t>
  </si>
  <si>
    <t>TR-LINE-02423-2</t>
  </si>
  <si>
    <t>PAY-02424-1</t>
  </si>
  <si>
    <t>TX-S03-0424</t>
  </si>
  <si>
    <t>TR-LINE-02424-1</t>
  </si>
  <si>
    <t>PAY-02424-2</t>
  </si>
  <si>
    <t>TR-LINE-02424-2</t>
  </si>
  <si>
    <t>PAY-02425-1</t>
  </si>
  <si>
    <t>TX-S03-0425</t>
  </si>
  <si>
    <t>TR-LINE-02425-1</t>
  </si>
  <si>
    <t>PAY-02425-2</t>
  </si>
  <si>
    <t>TR-LINE-02425-2</t>
  </si>
  <si>
    <t>PAY-02426-1</t>
  </si>
  <si>
    <t>TX-S03-0426</t>
  </si>
  <si>
    <t>TR-LINE-02426-1</t>
  </si>
  <si>
    <t>PAY-02426-2</t>
  </si>
  <si>
    <t>TR-LINE-02426-2</t>
  </si>
  <si>
    <t>PAY-02427-1</t>
  </si>
  <si>
    <t>TX-S03-0427</t>
  </si>
  <si>
    <t>TR-LINE-02427-1</t>
  </si>
  <si>
    <t>PAY-02427-2</t>
  </si>
  <si>
    <t>TR-LINE-02427-2</t>
  </si>
  <si>
    <t>PAY-02428-1</t>
  </si>
  <si>
    <t>TX-S03-0428</t>
  </si>
  <si>
    <t>TR-LINE-02428-1</t>
  </si>
  <si>
    <t>PAY-02428-2</t>
  </si>
  <si>
    <t>TR-LINE-02428-2</t>
  </si>
  <si>
    <t>PAY-02429-1</t>
  </si>
  <si>
    <t>TX-S03-0429</t>
  </si>
  <si>
    <t>TR-LINE-02429-1</t>
  </si>
  <si>
    <t>PAY-02429-2</t>
  </si>
  <si>
    <t>TR-LINE-02429-2</t>
  </si>
  <si>
    <t>PAY-02430-1</t>
  </si>
  <si>
    <t>TX-S03-0430</t>
  </si>
  <si>
    <t>TR-LINE-02430-1</t>
  </si>
  <si>
    <t>PAY-02430-2</t>
  </si>
  <si>
    <t>TR-LINE-02430-2</t>
  </si>
  <si>
    <t>PAY-02431-1</t>
  </si>
  <si>
    <t>TX-S03-0431</t>
  </si>
  <si>
    <t>TR-LINE-02431-1</t>
  </si>
  <si>
    <t>PAY-02431-2</t>
  </si>
  <si>
    <t>TR-LINE-02431-2</t>
  </si>
  <si>
    <t>PAY-02432-1</t>
  </si>
  <si>
    <t>TX-S03-0432</t>
  </si>
  <si>
    <t>TR-LINE-02432-1</t>
  </si>
  <si>
    <t>PAY-02432-2</t>
  </si>
  <si>
    <t>TR-LINE-02432-2</t>
  </si>
  <si>
    <t>PAY-02433-1</t>
  </si>
  <si>
    <t>TX-S03-0433</t>
  </si>
  <si>
    <t>TR-LINE-02433-1</t>
  </si>
  <si>
    <t>PAY-02433-2</t>
  </si>
  <si>
    <t>TR-LINE-02433-2</t>
  </si>
  <si>
    <t>PAY-02434-1</t>
  </si>
  <si>
    <t>TX-S03-0434</t>
  </si>
  <si>
    <t>TR-LINE-02434-1</t>
  </si>
  <si>
    <t>PAY-02434-2</t>
  </si>
  <si>
    <t>TR-LINE-02434-2</t>
  </si>
  <si>
    <t>PAY-02435-1</t>
  </si>
  <si>
    <t>TX-S03-0435</t>
  </si>
  <si>
    <t>TR-LINE-02435-1</t>
  </si>
  <si>
    <t>PAY-02435-2</t>
  </si>
  <si>
    <t>TR-LINE-02435-2</t>
  </si>
  <si>
    <t>PAY-02436-1</t>
  </si>
  <si>
    <t>TX-S03-0436</t>
  </si>
  <si>
    <t>TR-LINE-02436-1</t>
  </si>
  <si>
    <t>PAY-02436-2</t>
  </si>
  <si>
    <t>TR-LINE-02436-2</t>
  </si>
  <si>
    <t>PAY-02437-1</t>
  </si>
  <si>
    <t>TX-S03-0437</t>
  </si>
  <si>
    <t>TR-LINE-02437-1</t>
  </si>
  <si>
    <t>PAY-02437-2</t>
  </si>
  <si>
    <t>TR-LINE-02437-2</t>
  </si>
  <si>
    <t>PAY-02438-1</t>
  </si>
  <si>
    <t>TX-S03-0438</t>
  </si>
  <si>
    <t>TR-LINE-02438-1</t>
  </si>
  <si>
    <t>PAY-02438-2</t>
  </si>
  <si>
    <t>TR-LINE-02438-2</t>
  </si>
  <si>
    <t>PAY-02439-1</t>
  </si>
  <si>
    <t>TX-S03-0439</t>
  </si>
  <si>
    <t>TR-LINE-02439-1</t>
  </si>
  <si>
    <t>PAY-02439-2</t>
  </si>
  <si>
    <t>TR-LINE-02439-2</t>
  </si>
  <si>
    <t>PAY-02440-1</t>
  </si>
  <si>
    <t>TX-S03-0440</t>
  </si>
  <si>
    <t>TR-LINE-02440-1</t>
  </si>
  <si>
    <t>PAY-02440-2</t>
  </si>
  <si>
    <t>TR-LINE-02440-2</t>
  </si>
  <si>
    <t>PAY-02441-1</t>
  </si>
  <si>
    <t>TX-S03-0441</t>
  </si>
  <si>
    <t>TR-LINE-02441-1</t>
  </si>
  <si>
    <t>PAY-02441-2</t>
  </si>
  <si>
    <t>TR-LINE-02441-2</t>
  </si>
  <si>
    <t>PAY-02442-1</t>
  </si>
  <si>
    <t>TX-S03-0442</t>
  </si>
  <si>
    <t>TR-LINE-02442-1</t>
  </si>
  <si>
    <t>PAY-02442-2</t>
  </si>
  <si>
    <t>TR-LINE-02442-2</t>
  </si>
  <si>
    <t>PAY-02443-1</t>
  </si>
  <si>
    <t>TX-S03-0443</t>
  </si>
  <si>
    <t>TR-LINE-02443-1</t>
  </si>
  <si>
    <t>PAY-02443-2</t>
  </si>
  <si>
    <t>TR-LINE-02443-2</t>
  </si>
  <si>
    <t>PAY-02444-1</t>
  </si>
  <si>
    <t>TX-S03-0444</t>
  </si>
  <si>
    <t>TR-LINE-02444-1</t>
  </si>
  <si>
    <t>PAY-02444-2</t>
  </si>
  <si>
    <t>TR-LINE-02444-2</t>
  </si>
  <si>
    <t>PAY-02445-1</t>
  </si>
  <si>
    <t>TX-S03-0445</t>
  </si>
  <si>
    <t>TR-LINE-02445-1</t>
  </si>
  <si>
    <t>PAY-02445-2</t>
  </si>
  <si>
    <t>TR-LINE-02445-2</t>
  </si>
  <si>
    <t>PAY-02446-1</t>
  </si>
  <si>
    <t>TX-S03-0446</t>
  </si>
  <si>
    <t>TR-LINE-02446-1</t>
  </si>
  <si>
    <t>PAY-02446-2</t>
  </si>
  <si>
    <t>TR-LINE-02446-2</t>
  </si>
  <si>
    <t>PAY-02447-1</t>
  </si>
  <si>
    <t>TX-S03-0447</t>
  </si>
  <si>
    <t>TR-LINE-02447-1</t>
  </si>
  <si>
    <t>PAY-02447-2</t>
  </si>
  <si>
    <t>TR-LINE-02447-2</t>
  </si>
  <si>
    <t>PAY-02448-1</t>
  </si>
  <si>
    <t>TX-S03-0448</t>
  </si>
  <si>
    <t>TR-LINE-02448-1</t>
  </si>
  <si>
    <t>PAY-02448-2</t>
  </si>
  <si>
    <t>TR-LINE-02448-2</t>
  </si>
  <si>
    <t>PAY-02449-1</t>
  </si>
  <si>
    <t>TX-S03-0449</t>
  </si>
  <si>
    <t>TR-LINE-02449-1</t>
  </si>
  <si>
    <t>PAY-02449-2</t>
  </si>
  <si>
    <t>TR-LINE-02449-2</t>
  </si>
  <si>
    <t>PAY-02450-1</t>
  </si>
  <si>
    <t>TX-S03-0450</t>
  </si>
  <si>
    <t>TR-LINE-02450-1</t>
  </si>
  <si>
    <t>PAY-02450-2</t>
  </si>
  <si>
    <t>TR-LINE-02450-2</t>
  </si>
  <si>
    <t>PAY-02451-1</t>
  </si>
  <si>
    <t>TX-S03-0451</t>
  </si>
  <si>
    <t>TR-LINE-02451-1</t>
  </si>
  <si>
    <t>PAY-02452-1</t>
  </si>
  <si>
    <t>TX-S03-0452</t>
  </si>
  <si>
    <t>TR-LINE-02452-1</t>
  </si>
  <si>
    <t>PAY-02452-2</t>
  </si>
  <si>
    <t>TR-LINE-02452-2</t>
  </si>
  <si>
    <t>PAY-02453-1</t>
  </si>
  <si>
    <t>TX-S03-0453</t>
  </si>
  <si>
    <t>TR-LINE-02453-1</t>
  </si>
  <si>
    <t>PAY-02453-2</t>
  </si>
  <si>
    <t>TR-LINE-02453-2</t>
  </si>
  <si>
    <t>PAY-02454-1</t>
  </si>
  <si>
    <t>TX-S03-0454</t>
  </si>
  <si>
    <t>TR-LINE-02454-1</t>
  </si>
  <si>
    <t>PAY-02454-2</t>
  </si>
  <si>
    <t>TR-LINE-02454-2</t>
  </si>
  <si>
    <t>PAY-02455-1</t>
  </si>
  <si>
    <t>TX-S03-0455</t>
  </si>
  <si>
    <t>TR-LINE-02455-1</t>
  </si>
  <si>
    <t>PAY-02455-2</t>
  </si>
  <si>
    <t>TR-LINE-02455-2</t>
  </si>
  <si>
    <t>PAY-02456-1</t>
  </si>
  <si>
    <t>TX-S03-0456</t>
  </si>
  <si>
    <t>TR-LINE-02456-1</t>
  </si>
  <si>
    <t>PAY-02456-2</t>
  </si>
  <si>
    <t>TR-LINE-02456-2</t>
  </si>
  <si>
    <t>PAY-02457-1</t>
  </si>
  <si>
    <t>TX-S03-0457</t>
  </si>
  <si>
    <t>TR-LINE-02457-1</t>
  </si>
  <si>
    <t>PAY-02457-2</t>
  </si>
  <si>
    <t>TR-LINE-02457-2</t>
  </si>
  <si>
    <t>PAY-02458-1</t>
  </si>
  <si>
    <t>TX-S03-0458</t>
  </si>
  <si>
    <t>TR-LINE-02458-1</t>
  </si>
  <si>
    <t>PAY-02458-2</t>
  </si>
  <si>
    <t>TR-LINE-02458-2</t>
  </si>
  <si>
    <t>PAY-02459-1</t>
  </si>
  <si>
    <t>TX-S03-0459</t>
  </si>
  <si>
    <t>TR-LINE-02459-1</t>
  </si>
  <si>
    <t>PAY-02459-2</t>
  </si>
  <si>
    <t>TR-LINE-02459-2</t>
  </si>
  <si>
    <t>PAY-02460-1</t>
  </si>
  <si>
    <t>TX-S03-0460</t>
  </si>
  <si>
    <t>TR-LINE-02460-1</t>
  </si>
  <si>
    <t>PAY-02460-2</t>
  </si>
  <si>
    <t>TR-LINE-02460-2</t>
  </si>
  <si>
    <t>PAY-02461-1</t>
  </si>
  <si>
    <t>TX-S03-0461</t>
  </si>
  <si>
    <t>TR-LINE-02461-1</t>
  </si>
  <si>
    <t>PAY-02461-2</t>
  </si>
  <si>
    <t>TR-LINE-02461-2</t>
  </si>
  <si>
    <t>PAY-02462-1</t>
  </si>
  <si>
    <t>TX-S03-0462</t>
  </si>
  <si>
    <t>TR-LINE-02462-1</t>
  </si>
  <si>
    <t>PAY-02462-2</t>
  </si>
  <si>
    <t>TR-LINE-02462-2</t>
  </si>
  <si>
    <t>PAY-02463-1</t>
  </si>
  <si>
    <t>TX-S03-0463</t>
  </si>
  <si>
    <t>TR-LINE-02463-1</t>
  </si>
  <si>
    <t>PAY-02463-2</t>
  </si>
  <si>
    <t>TR-LINE-02463-2</t>
  </si>
  <si>
    <t>PAY-02464-1</t>
  </si>
  <si>
    <t>TX-S03-0464</t>
  </si>
  <si>
    <t>TR-LINE-02464-1</t>
  </si>
  <si>
    <t>PAY-02464-2</t>
  </si>
  <si>
    <t>TR-LINE-02464-2</t>
  </si>
  <si>
    <t>PAY-02465-1</t>
  </si>
  <si>
    <t>TX-S03-0465</t>
  </si>
  <si>
    <t>TR-LINE-02465-1</t>
  </si>
  <si>
    <t>PAY-02465-2</t>
  </si>
  <si>
    <t>TR-LINE-02465-2</t>
  </si>
  <si>
    <t>PAY-02466-1</t>
  </si>
  <si>
    <t>TX-S03-0466</t>
  </si>
  <si>
    <t>TR-LINE-02466-1</t>
  </si>
  <si>
    <t>PAY-02466-2</t>
  </si>
  <si>
    <t>TR-LINE-02466-2</t>
  </si>
  <si>
    <t>PAY-02467-1</t>
  </si>
  <si>
    <t>TX-S03-0467</t>
  </si>
  <si>
    <t>TR-LINE-02467-1</t>
  </si>
  <si>
    <t>PAY-02467-2</t>
  </si>
  <si>
    <t>TR-LINE-02467-2</t>
  </si>
  <si>
    <t>PAY-02468-1</t>
  </si>
  <si>
    <t>TX-S03-0468</t>
  </si>
  <si>
    <t>TR-LINE-02468-1</t>
  </si>
  <si>
    <t>PAY-02468-2</t>
  </si>
  <si>
    <t>TR-LINE-02468-2</t>
  </si>
  <si>
    <t>PAY-02469-1</t>
  </si>
  <si>
    <t>TX-S03-0469</t>
  </si>
  <si>
    <t>TR-LINE-02469-1</t>
  </si>
  <si>
    <t>PAY-02469-2</t>
  </si>
  <si>
    <t>TR-LINE-02469-2</t>
  </si>
  <si>
    <t>PAY-02470-1</t>
  </si>
  <si>
    <t>TX-S03-0470</t>
  </si>
  <si>
    <t>TR-LINE-02470-1</t>
  </si>
  <si>
    <t>PAY-02470-2</t>
  </si>
  <si>
    <t>TR-LINE-02470-2</t>
  </si>
  <si>
    <t>PAY-02471-1</t>
  </si>
  <si>
    <t>TX-S03-0471</t>
  </si>
  <si>
    <t>TR-LINE-02471-1</t>
  </si>
  <si>
    <t>PAY-02471-2</t>
  </si>
  <si>
    <t>TR-LINE-02471-2</t>
  </si>
  <si>
    <t>PAY-02472-1</t>
  </si>
  <si>
    <t>TX-S03-0472</t>
  </si>
  <si>
    <t>TR-LINE-02472-1</t>
  </si>
  <si>
    <t>PAY-02472-2</t>
  </si>
  <si>
    <t>TR-LINE-02472-2</t>
  </si>
  <si>
    <t>PAY-02473-1</t>
  </si>
  <si>
    <t>TX-S03-0473</t>
  </si>
  <si>
    <t>TR-LINE-02473-1</t>
  </si>
  <si>
    <t>PAY-02473-2</t>
  </si>
  <si>
    <t>TR-LINE-02473-2</t>
  </si>
  <si>
    <t>PAY-02474-1</t>
  </si>
  <si>
    <t>TX-S03-0474</t>
  </si>
  <si>
    <t>TR-LINE-02474-1</t>
  </si>
  <si>
    <t>PAY-02474-2</t>
  </si>
  <si>
    <t>TR-LINE-02474-2</t>
  </si>
  <si>
    <t>PAY-02475-1</t>
  </si>
  <si>
    <t>TX-S03-0475</t>
  </si>
  <si>
    <t>TR-LINE-02475-1</t>
  </si>
  <si>
    <t>PAY-02475-2</t>
  </si>
  <si>
    <t>TR-LINE-02475-2</t>
  </si>
  <si>
    <t>PAY-02476-1</t>
  </si>
  <si>
    <t>TX-S03-0476</t>
  </si>
  <si>
    <t>TR-LINE-02476-1</t>
  </si>
  <si>
    <t>PAY-02476-2</t>
  </si>
  <si>
    <t>TR-LINE-02476-2</t>
  </si>
  <si>
    <t>PAY-02477-1</t>
  </si>
  <si>
    <t>TX-S03-0477</t>
  </si>
  <si>
    <t>TR-LINE-02477-1</t>
  </si>
  <si>
    <t>PAY-02477-2</t>
  </si>
  <si>
    <t>TR-LINE-02477-2</t>
  </si>
  <si>
    <t>PAY-02478-1</t>
  </si>
  <si>
    <t>TX-S03-0478</t>
  </si>
  <si>
    <t>TR-LINE-02478-1</t>
  </si>
  <si>
    <t>PAY-02478-2</t>
  </si>
  <si>
    <t>TR-LINE-02478-2</t>
  </si>
  <si>
    <t>PAY-02479-1</t>
  </si>
  <si>
    <t>TX-S03-0479</t>
  </si>
  <si>
    <t>TR-LINE-02479-1</t>
  </si>
  <si>
    <t>PAY-02479-2</t>
  </si>
  <si>
    <t>TR-LINE-02479-2</t>
  </si>
  <si>
    <t>PAY-02480-1</t>
  </si>
  <si>
    <t>TX-S03-0480</t>
  </si>
  <si>
    <t>TR-LINE-02480-1</t>
  </si>
  <si>
    <t>PAY-02480-2</t>
  </si>
  <si>
    <t>TR-LINE-02480-2</t>
  </si>
  <si>
    <t>PAY-02481-1</t>
  </si>
  <si>
    <t>TX-S03-0481</t>
  </si>
  <si>
    <t>TR-LINE-02481-1</t>
  </si>
  <si>
    <t>PAY-02481-2</t>
  </si>
  <si>
    <t>TR-LINE-02481-2</t>
  </si>
  <si>
    <t>PAY-02482-1</t>
  </si>
  <si>
    <t>TX-S03-0482</t>
  </si>
  <si>
    <t>TR-LINE-02482-1</t>
  </si>
  <si>
    <t>PAY-02482-2</t>
  </si>
  <si>
    <t>TR-LINE-02482-2</t>
  </si>
  <si>
    <t>PAY-02483-1</t>
  </si>
  <si>
    <t>TX-S03-0483</t>
  </si>
  <si>
    <t>TR-LINE-02483-1</t>
  </si>
  <si>
    <t>PAY-02483-2</t>
  </si>
  <si>
    <t>TR-LINE-02483-2</t>
  </si>
  <si>
    <t>PAY-02484-1</t>
  </si>
  <si>
    <t>TX-S03-0484</t>
  </si>
  <si>
    <t>TR-LINE-02484-1</t>
  </si>
  <si>
    <t>PAY-02484-2</t>
  </si>
  <si>
    <t>TR-LINE-02484-2</t>
  </si>
  <si>
    <t>PAY-02485-1</t>
  </si>
  <si>
    <t>TX-S03-0485</t>
  </si>
  <si>
    <t>TR-LINE-02485-1</t>
  </si>
  <si>
    <t>PAY-02485-2</t>
  </si>
  <si>
    <t>TR-LINE-02485-2</t>
  </si>
  <si>
    <t>PAY-02486-1</t>
  </si>
  <si>
    <t>TX-S03-0486</t>
  </si>
  <si>
    <t>TR-LINE-02486-1</t>
  </si>
  <si>
    <t>PAY-02486-2</t>
  </si>
  <si>
    <t>TR-LINE-02486-2</t>
  </si>
  <si>
    <t>PAY-02487-1</t>
  </si>
  <si>
    <t>TX-S03-0487</t>
  </si>
  <si>
    <t>TR-LINE-02487-1</t>
  </si>
  <si>
    <t>PAY-02487-2</t>
  </si>
  <si>
    <t>TR-LINE-02487-2</t>
  </si>
  <si>
    <t>PAY-02488-1</t>
  </si>
  <si>
    <t>TX-S03-0488</t>
  </si>
  <si>
    <t>TR-LINE-02488-1</t>
  </si>
  <si>
    <t>PAY-02488-2</t>
  </si>
  <si>
    <t>TR-LINE-02488-2</t>
  </si>
  <si>
    <t>PAY-02489-1</t>
  </si>
  <si>
    <t>TX-S03-0489</t>
  </si>
  <si>
    <t>TR-LINE-02489-1</t>
  </si>
  <si>
    <t>PAY-02489-2</t>
  </si>
  <si>
    <t>TR-LINE-02489-2</t>
  </si>
  <si>
    <t>PAY-02490-1</t>
  </si>
  <si>
    <t>TX-S03-0490</t>
  </si>
  <si>
    <t>TR-LINE-02490-1</t>
  </si>
  <si>
    <t>PAY-02490-2</t>
  </si>
  <si>
    <t>TR-LINE-02490-2</t>
  </si>
  <si>
    <t>PAY-02491-1</t>
  </si>
  <si>
    <t>TX-S03-0491</t>
  </si>
  <si>
    <t>TR-LINE-02491-1</t>
  </si>
  <si>
    <t>PAY-02491-2</t>
  </si>
  <si>
    <t>TR-LINE-02491-2</t>
  </si>
  <si>
    <t>PAY-02492-1</t>
  </si>
  <si>
    <t>TX-S03-0492</t>
  </si>
  <si>
    <t>TR-LINE-02492-1</t>
  </si>
  <si>
    <t>PAY-02493-1</t>
  </si>
  <si>
    <t>TX-S03-0493</t>
  </si>
  <si>
    <t>TR-LINE-02493-1</t>
  </si>
  <si>
    <t>PAY-02493-2</t>
  </si>
  <si>
    <t>TR-LINE-02493-2</t>
  </si>
  <si>
    <t>PAY-02494-1</t>
  </si>
  <si>
    <t>TX-S03-0494</t>
  </si>
  <si>
    <t>TR-LINE-02494-1</t>
  </si>
  <si>
    <t>PAY-02494-2</t>
  </si>
  <si>
    <t>TR-LINE-02494-2</t>
  </si>
  <si>
    <t>PAY-02495-1</t>
  </si>
  <si>
    <t>TX-S03-0495</t>
  </si>
  <si>
    <t>TR-LINE-02495-1</t>
  </si>
  <si>
    <t>PAY-02495-2</t>
  </si>
  <si>
    <t>TR-LINE-02495-2</t>
  </si>
  <si>
    <t>PAY-02496-1</t>
  </si>
  <si>
    <t>TX-S03-0496</t>
  </si>
  <si>
    <t>TR-LINE-02496-1</t>
  </si>
  <si>
    <t>PAY-02496-2</t>
  </si>
  <si>
    <t>TR-LINE-02496-2</t>
  </si>
  <si>
    <t>PAY-02497-1</t>
  </si>
  <si>
    <t>TX-S03-0497</t>
  </si>
  <si>
    <t>TR-LINE-02497-1</t>
  </si>
  <si>
    <t>PAY-02497-2</t>
  </si>
  <si>
    <t>TR-LINE-02497-2</t>
  </si>
  <si>
    <t>PAY-02498-1</t>
  </si>
  <si>
    <t>TX-S03-0498</t>
  </si>
  <si>
    <t>TR-LINE-02498-1</t>
  </si>
  <si>
    <t>PAY-02498-2</t>
  </si>
  <si>
    <t>TR-LINE-02498-2</t>
  </si>
  <si>
    <t>PAY-02499-1</t>
  </si>
  <si>
    <t>TX-S03-0499</t>
  </si>
  <si>
    <t>TR-LINE-02499-1</t>
  </si>
  <si>
    <t>PAY-02499-2</t>
  </si>
  <si>
    <t>TR-LINE-02499-2</t>
  </si>
  <si>
    <t>PAY-02500-1</t>
  </si>
  <si>
    <t>TX-S03-0500</t>
  </si>
  <si>
    <t>TR-LINE-02500-1</t>
  </si>
  <si>
    <t>PAY-02500-2</t>
  </si>
  <si>
    <t>TR-LINE-02500-2</t>
  </si>
  <si>
    <t>PAY-02501-1</t>
  </si>
  <si>
    <t>TX-S03-0501</t>
  </si>
  <si>
    <t>TR-LINE-02501-1</t>
  </si>
  <si>
    <t>PAY-02501-2</t>
  </si>
  <si>
    <t>TR-LINE-02501-2</t>
  </si>
  <si>
    <t>PAY-02502-1</t>
  </si>
  <si>
    <t>TX-S03-0502</t>
  </si>
  <si>
    <t>TR-LINE-02502-1</t>
  </si>
  <si>
    <t>PAY-02502-2</t>
  </si>
  <si>
    <t>TR-LINE-02502-2</t>
  </si>
  <si>
    <t>PAY-02503-1</t>
  </si>
  <si>
    <t>TX-S03-0503</t>
  </si>
  <si>
    <t>TR-LINE-02503-1</t>
  </si>
  <si>
    <t>PAY-02503-2</t>
  </si>
  <si>
    <t>TR-LINE-02503-2</t>
  </si>
  <si>
    <t>PAY-02504-1</t>
  </si>
  <si>
    <t>TX-S03-0504</t>
  </si>
  <si>
    <t>TR-LINE-02504-1</t>
  </si>
  <si>
    <t>PAY-02504-2</t>
  </si>
  <si>
    <t>TR-LINE-02504-2</t>
  </si>
  <si>
    <t>PAY-02505-1</t>
  </si>
  <si>
    <t>TX-S03-0505</t>
  </si>
  <si>
    <t>TR-LINE-02505-1</t>
  </si>
  <si>
    <t>PAY-02505-2</t>
  </si>
  <si>
    <t>TR-LINE-02505-2</t>
  </si>
  <si>
    <t>PAY-02506-1</t>
  </si>
  <si>
    <t>TX-S03-0506</t>
  </si>
  <si>
    <t>TR-LINE-02506-1</t>
  </si>
  <si>
    <t>PAY-02506-2</t>
  </si>
  <si>
    <t>TR-LINE-02506-2</t>
  </si>
  <si>
    <t>PAY-02507-1</t>
  </si>
  <si>
    <t>TX-S03-0507</t>
  </si>
  <si>
    <t>TR-LINE-02507-1</t>
  </si>
  <si>
    <t>PAY-02507-2</t>
  </si>
  <si>
    <t>TR-LINE-02507-2</t>
  </si>
  <si>
    <t>PAY-02508-1</t>
  </si>
  <si>
    <t>TX-S03-0508</t>
  </si>
  <si>
    <t>TR-LINE-02508-1</t>
  </si>
  <si>
    <t>PAY-02508-2</t>
  </si>
  <si>
    <t>TR-LINE-02508-2</t>
  </si>
  <si>
    <t>PAY-02509-1</t>
  </si>
  <si>
    <t>TX-S03-0509</t>
  </si>
  <si>
    <t>TR-LINE-02509-1</t>
  </si>
  <si>
    <t>PAY-02509-2</t>
  </si>
  <si>
    <t>TR-LINE-02509-2</t>
  </si>
  <si>
    <t>PAY-02510-1</t>
  </si>
  <si>
    <t>TX-S03-0510</t>
  </si>
  <si>
    <t>TR-LINE-02510-1</t>
  </si>
  <si>
    <t>PAY-02510-2</t>
  </si>
  <si>
    <t>TR-LINE-02510-2</t>
  </si>
  <si>
    <t>PAY-02511-1</t>
  </si>
  <si>
    <t>TX-S03-0511</t>
  </si>
  <si>
    <t>TR-LINE-02511-1</t>
  </si>
  <si>
    <t>PAY-02511-2</t>
  </si>
  <si>
    <t>TR-LINE-02511-2</t>
  </si>
  <si>
    <t>PAY-02512-1</t>
  </si>
  <si>
    <t>TX-S03-0512</t>
  </si>
  <si>
    <t>TR-LINE-02512-1</t>
  </si>
  <si>
    <t>PAY-02512-2</t>
  </si>
  <si>
    <t>TR-LINE-02512-2</t>
  </si>
  <si>
    <t>PAY-02513-1</t>
  </si>
  <si>
    <t>TX-S03-0513</t>
  </si>
  <si>
    <t>TR-LINE-02513-1</t>
  </si>
  <si>
    <t>PAY-02513-2</t>
  </si>
  <si>
    <t>TR-LINE-02513-2</t>
  </si>
  <si>
    <t>PAY-02514-1</t>
  </si>
  <si>
    <t>TX-S03-0514</t>
  </si>
  <si>
    <t>TR-LINE-02514-1</t>
  </si>
  <si>
    <t>PAY-02514-2</t>
  </si>
  <si>
    <t>TR-LINE-02514-2</t>
  </si>
  <si>
    <t>PAY-02515-1</t>
  </si>
  <si>
    <t>TX-S03-0515</t>
  </si>
  <si>
    <t>TR-LINE-02515-1</t>
  </si>
  <si>
    <t>PAY-02515-2</t>
  </si>
  <si>
    <t>TR-LINE-02515-2</t>
  </si>
  <si>
    <t>PAY-02516-1</t>
  </si>
  <si>
    <t>TX-S03-0516</t>
  </si>
  <si>
    <t>TR-LINE-02516-1</t>
  </si>
  <si>
    <t>PAY-02516-2</t>
  </si>
  <si>
    <t>TR-LINE-02516-2</t>
  </si>
  <si>
    <t>PAY-02517-1</t>
  </si>
  <si>
    <t>TX-S03-0517</t>
  </si>
  <si>
    <t>TR-LINE-02517-1</t>
  </si>
  <si>
    <t>PAY-02517-2</t>
  </si>
  <si>
    <t>TR-LINE-02517-2</t>
  </si>
  <si>
    <t>PAY-02518-1</t>
  </si>
  <si>
    <t>TX-S03-0518</t>
  </si>
  <si>
    <t>TR-LINE-02518-1</t>
  </si>
  <si>
    <t>PAY-02518-2</t>
  </si>
  <si>
    <t>TR-LINE-02518-2</t>
  </si>
  <si>
    <t>PAY-02519-1</t>
  </si>
  <si>
    <t>TX-S03-0519</t>
  </si>
  <si>
    <t>TR-LINE-02519-1</t>
  </si>
  <si>
    <t>PAY-02519-2</t>
  </si>
  <si>
    <t>TR-LINE-02519-2</t>
  </si>
  <si>
    <t>PAY-02520-1</t>
  </si>
  <si>
    <t>TX-S03-0520</t>
  </si>
  <si>
    <t>TR-LINE-02520-1</t>
  </si>
  <si>
    <t>PAY-02520-2</t>
  </si>
  <si>
    <t>TR-LINE-02520-2</t>
  </si>
  <si>
    <t>PAY-02521-1</t>
  </si>
  <si>
    <t>TX-S03-0521</t>
  </si>
  <si>
    <t>TR-LINE-02521-1</t>
  </si>
  <si>
    <t>PAY-02521-2</t>
  </si>
  <si>
    <t>TR-LINE-02521-2</t>
  </si>
  <si>
    <t>PAY-02522-1</t>
  </si>
  <si>
    <t>TX-S03-0522</t>
  </si>
  <si>
    <t>TR-LINE-02522-1</t>
  </si>
  <si>
    <t>PAY-02522-2</t>
  </si>
  <si>
    <t>TR-LINE-02522-2</t>
  </si>
  <si>
    <t>PAY-02523-1</t>
  </si>
  <si>
    <t>TX-S03-0523</t>
  </si>
  <si>
    <t>TR-LINE-02523-1</t>
  </si>
  <si>
    <t>PAY-02523-2</t>
  </si>
  <si>
    <t>TR-LINE-02523-2</t>
  </si>
  <si>
    <t>PAY-02524-1</t>
  </si>
  <si>
    <t>TX-S03-0524</t>
  </si>
  <si>
    <t>TR-LINE-02524-1</t>
  </si>
  <si>
    <t>PAY-02524-2</t>
  </si>
  <si>
    <t>TR-LINE-02524-2</t>
  </si>
  <si>
    <t>PAY-02525-1</t>
  </si>
  <si>
    <t>TX-S03-0525</t>
  </si>
  <si>
    <t>TR-LINE-02525-1</t>
  </si>
  <si>
    <t>PAY-02525-2</t>
  </si>
  <si>
    <t>TR-LINE-02525-2</t>
  </si>
  <si>
    <t>PAY-02526-1</t>
  </si>
  <si>
    <t>TX-S03-0526</t>
  </si>
  <si>
    <t>TR-LINE-02526-1</t>
  </si>
  <si>
    <t>PAY-02526-2</t>
  </si>
  <si>
    <t>TR-LINE-02526-2</t>
  </si>
  <si>
    <t>PAY-02527-1</t>
  </si>
  <si>
    <t>TX-S03-0527</t>
  </si>
  <si>
    <t>TR-LINE-02527-1</t>
  </si>
  <si>
    <t>PAY-02527-2</t>
  </si>
  <si>
    <t>TR-LINE-02527-2</t>
  </si>
  <si>
    <t>PAY-02528-1</t>
  </si>
  <si>
    <t>TX-S03-0528</t>
  </si>
  <si>
    <t>TR-LINE-02528-1</t>
  </si>
  <si>
    <t>PAY-02528-2</t>
  </si>
  <si>
    <t>TR-LINE-02528-2</t>
  </si>
  <si>
    <t>PAY-02529-1</t>
  </si>
  <si>
    <t>TX-S03-0529</t>
  </si>
  <si>
    <t>TR-LINE-02529-1</t>
  </si>
  <si>
    <t>PAY-02529-2</t>
  </si>
  <si>
    <t>TR-LINE-02529-2</t>
  </si>
  <si>
    <t>PAY-02530-1</t>
  </si>
  <si>
    <t>TX-S03-0530</t>
  </si>
  <si>
    <t>TR-LINE-02530-1</t>
  </si>
  <si>
    <t>PAY-02530-2</t>
  </si>
  <si>
    <t>TR-LINE-02530-2</t>
  </si>
  <si>
    <t>PAY-02531-1</t>
  </si>
  <si>
    <t>TX-S03-0531</t>
  </si>
  <si>
    <t>TR-LINE-02531-1</t>
  </si>
  <si>
    <t>PAY-02531-2</t>
  </si>
  <si>
    <t>TR-LINE-02531-2</t>
  </si>
  <si>
    <t>PAY-02532-1</t>
  </si>
  <si>
    <t>TX-S03-0532</t>
  </si>
  <si>
    <t>TR-LINE-02532-1</t>
  </si>
  <si>
    <t>PAY-02532-2</t>
  </si>
  <si>
    <t>TR-LINE-02532-2</t>
  </si>
  <si>
    <t>PAY-02533-1</t>
  </si>
  <si>
    <t>TX-S03-0533</t>
  </si>
  <si>
    <t>TR-LINE-02533-1</t>
  </si>
  <si>
    <t>PAY-02534-1</t>
  </si>
  <si>
    <t>TX-S03-0534</t>
  </si>
  <si>
    <t>TR-LINE-02534-1</t>
  </si>
  <si>
    <t>PAY-02534-2</t>
  </si>
  <si>
    <t>TR-LINE-02534-2</t>
  </si>
  <si>
    <t>PAY-02535-1</t>
  </si>
  <si>
    <t>TX-S03-0535</t>
  </si>
  <si>
    <t>TR-LINE-02535-1</t>
  </si>
  <si>
    <t>PAY-02535-2</t>
  </si>
  <si>
    <t>TR-LINE-02535-2</t>
  </si>
  <si>
    <t>PAY-02536-1</t>
  </si>
  <si>
    <t>TX-S03-0536</t>
  </si>
  <si>
    <t>TR-LINE-02536-1</t>
  </si>
  <si>
    <t>PAY-02536-2</t>
  </si>
  <si>
    <t>TR-LINE-02536-2</t>
  </si>
  <si>
    <t>PAY-02537-1</t>
  </si>
  <si>
    <t>TX-S03-0537</t>
  </si>
  <si>
    <t>TR-LINE-02537-1</t>
  </si>
  <si>
    <t>PAY-02537-2</t>
  </si>
  <si>
    <t>TR-LINE-02537-2</t>
  </si>
  <si>
    <t>PAY-02538-1</t>
  </si>
  <si>
    <t>TX-S03-0538</t>
  </si>
  <si>
    <t>TR-LINE-02538-1</t>
  </si>
  <si>
    <t>PAY-02538-2</t>
  </si>
  <si>
    <t>TR-LINE-02538-2</t>
  </si>
  <si>
    <t>PAY-02539-1</t>
  </si>
  <si>
    <t>TX-S03-0539</t>
  </si>
  <si>
    <t>TR-LINE-02539-1</t>
  </si>
  <si>
    <t>PAY-02539-2</t>
  </si>
  <si>
    <t>TR-LINE-02539-2</t>
  </si>
  <si>
    <t>PAY-02540-1</t>
  </si>
  <si>
    <t>TX-S03-0540</t>
  </si>
  <si>
    <t>TR-LINE-02540-1</t>
  </si>
  <si>
    <t>PAY-02540-2</t>
  </si>
  <si>
    <t>TR-LINE-02540-2</t>
  </si>
  <si>
    <t>PAY-02541-1</t>
  </si>
  <si>
    <t>TX-S03-0541</t>
  </si>
  <si>
    <t>TR-LINE-02541-1</t>
  </si>
  <si>
    <t>PAY-02541-2</t>
  </si>
  <si>
    <t>TR-LINE-02541-2</t>
  </si>
  <si>
    <t>PAY-02542-1</t>
  </si>
  <si>
    <t>TX-S03-0542</t>
  </si>
  <si>
    <t>TR-LINE-02542-1</t>
  </si>
  <si>
    <t>PAY-02542-2</t>
  </si>
  <si>
    <t>TR-LINE-02542-2</t>
  </si>
  <si>
    <t>PAY-02543-1</t>
  </si>
  <si>
    <t>TX-S03-0543</t>
  </si>
  <si>
    <t>TR-LINE-02543-1</t>
  </si>
  <si>
    <t>PAY-02543-2</t>
  </si>
  <si>
    <t>TR-LINE-02543-2</t>
  </si>
  <si>
    <t>PAY-02544-1</t>
  </si>
  <si>
    <t>TX-S03-0544</t>
  </si>
  <si>
    <t>TR-LINE-02544-1</t>
  </si>
  <si>
    <t>PAY-02544-2</t>
  </si>
  <si>
    <t>TR-LINE-02544-2</t>
  </si>
  <si>
    <t>PAY-02545-1</t>
  </si>
  <si>
    <t>TX-S03-0545</t>
  </si>
  <si>
    <t>TR-LINE-02545-1</t>
  </si>
  <si>
    <t>PAY-02545-2</t>
  </si>
  <si>
    <t>TR-LINE-02545-2</t>
  </si>
  <si>
    <t>PAY-02546-1</t>
  </si>
  <si>
    <t>TX-S03-0546</t>
  </si>
  <si>
    <t>TR-LINE-02546-1</t>
  </si>
  <si>
    <t>PAY-02546-2</t>
  </si>
  <si>
    <t>TR-LINE-02546-2</t>
  </si>
  <si>
    <t>PAY-02547-1</t>
  </si>
  <si>
    <t>TX-S03-0547</t>
  </si>
  <si>
    <t>TR-LINE-02547-1</t>
  </si>
  <si>
    <t>PAY-02547-2</t>
  </si>
  <si>
    <t>TR-LINE-02547-2</t>
  </si>
  <si>
    <t>PAY-02548-1</t>
  </si>
  <si>
    <t>TX-S03-0548</t>
  </si>
  <si>
    <t>TR-LINE-02548-1</t>
  </si>
  <si>
    <t>PAY-02548-2</t>
  </si>
  <si>
    <t>TR-LINE-02548-2</t>
  </si>
  <si>
    <t>PAY-02549-1</t>
  </si>
  <si>
    <t>TX-S03-0549</t>
  </si>
  <si>
    <t>TR-LINE-02549-1</t>
  </si>
  <si>
    <t>PAY-02549-2</t>
  </si>
  <si>
    <t>TR-LINE-02549-2</t>
  </si>
  <si>
    <t>PAY-02550-1</t>
  </si>
  <si>
    <t>TX-S03-0550</t>
  </si>
  <si>
    <t>TR-LINE-02550-1</t>
  </si>
  <si>
    <t>PAY-02550-2</t>
  </si>
  <si>
    <t>TR-LINE-02550-2</t>
  </si>
  <si>
    <t>PAY-02551-1</t>
  </si>
  <si>
    <t>TX-S03-0551</t>
  </si>
  <si>
    <t>TR-LINE-02551-1</t>
  </si>
  <si>
    <t>PAY-02551-2</t>
  </si>
  <si>
    <t>TR-LINE-02551-2</t>
  </si>
  <si>
    <t>PAY-02552-1</t>
  </si>
  <si>
    <t>TX-S03-0552</t>
  </si>
  <si>
    <t>TR-LINE-02552-1</t>
  </si>
  <si>
    <t>PAY-02552-2</t>
  </si>
  <si>
    <t>TR-LINE-02552-2</t>
  </si>
  <si>
    <t>PAY-02553-1</t>
  </si>
  <si>
    <t>TX-S03-0553</t>
  </si>
  <si>
    <t>TR-LINE-02553-1</t>
  </si>
  <si>
    <t>PAY-02553-2</t>
  </si>
  <si>
    <t>TR-LINE-02553-2</t>
  </si>
  <si>
    <t>PAY-02554-1</t>
  </si>
  <si>
    <t>TX-S03-0554</t>
  </si>
  <si>
    <t>TR-LINE-02554-1</t>
  </si>
  <si>
    <t>PAY-02554-2</t>
  </si>
  <si>
    <t>TR-LINE-02554-2</t>
  </si>
  <si>
    <t>PAY-02555-1</t>
  </si>
  <si>
    <t>TX-S03-0555</t>
  </si>
  <si>
    <t>TR-LINE-02555-1</t>
  </si>
  <si>
    <t>PAY-02555-2</t>
  </si>
  <si>
    <t>TR-LINE-02555-2</t>
  </si>
  <si>
    <t>PAY-02556-1</t>
  </si>
  <si>
    <t>TX-S03-0556</t>
  </si>
  <si>
    <t>TR-LINE-02556-1</t>
  </si>
  <si>
    <t>PAY-02556-2</t>
  </si>
  <si>
    <t>TR-LINE-02556-2</t>
  </si>
  <si>
    <t>PAY-02557-1</t>
  </si>
  <si>
    <t>TX-S03-0557</t>
  </si>
  <si>
    <t>TR-LINE-02557-1</t>
  </si>
  <si>
    <t>PAY-02557-2</t>
  </si>
  <si>
    <t>TR-LINE-02557-2</t>
  </si>
  <si>
    <t>PAY-02558-1</t>
  </si>
  <si>
    <t>TX-S03-0558</t>
  </si>
  <si>
    <t>TR-LINE-02558-1</t>
  </si>
  <si>
    <t>PAY-02558-2</t>
  </si>
  <si>
    <t>TR-LINE-02558-2</t>
  </si>
  <si>
    <t>PAY-02559-1</t>
  </si>
  <si>
    <t>TX-S03-0559</t>
  </si>
  <si>
    <t>TR-LINE-02559-1</t>
  </si>
  <si>
    <t>PAY-02559-2</t>
  </si>
  <si>
    <t>TR-LINE-02559-2</t>
  </si>
  <si>
    <t>PAY-02560-1</t>
  </si>
  <si>
    <t>TX-S03-0560</t>
  </si>
  <si>
    <t>TR-LINE-02560-1</t>
  </si>
  <si>
    <t>PAY-02560-2</t>
  </si>
  <si>
    <t>TR-LINE-02560-2</t>
  </si>
  <si>
    <t>PAY-02561-1</t>
  </si>
  <si>
    <t>TX-S03-0561</t>
  </si>
  <si>
    <t>TR-LINE-02561-1</t>
  </si>
  <si>
    <t>PAY-02561-2</t>
  </si>
  <si>
    <t>TR-LINE-02561-2</t>
  </si>
  <si>
    <t>PAY-02562-1</t>
  </si>
  <si>
    <t>TX-S03-0562</t>
  </si>
  <si>
    <t>TR-LINE-02562-1</t>
  </si>
  <si>
    <t>PAY-02562-2</t>
  </si>
  <si>
    <t>TR-LINE-02562-2</t>
  </si>
  <si>
    <t>PAY-02563-1</t>
  </si>
  <si>
    <t>TX-S03-0563</t>
  </si>
  <si>
    <t>TR-LINE-02563-1</t>
  </si>
  <si>
    <t>PAY-02563-2</t>
  </si>
  <si>
    <t>TR-LINE-02563-2</t>
  </si>
  <si>
    <t>PAY-02564-1</t>
  </si>
  <si>
    <t>TX-S03-0564</t>
  </si>
  <si>
    <t>TR-LINE-02564-1</t>
  </si>
  <si>
    <t>PAY-02564-2</t>
  </si>
  <si>
    <t>TR-LINE-02564-2</t>
  </si>
  <si>
    <t>PAY-02565-1</t>
  </si>
  <si>
    <t>TX-S03-0565</t>
  </si>
  <si>
    <t>TR-LINE-02565-1</t>
  </si>
  <si>
    <t>PAY-02565-2</t>
  </si>
  <si>
    <t>TR-LINE-02565-2</t>
  </si>
  <si>
    <t>PAY-02566-1</t>
  </si>
  <si>
    <t>TX-S03-0566</t>
  </si>
  <si>
    <t>TR-LINE-02566-1</t>
  </si>
  <si>
    <t>PAY-02566-2</t>
  </si>
  <si>
    <t>TR-LINE-02566-2</t>
  </si>
  <si>
    <t>PAY-02567-1</t>
  </si>
  <si>
    <t>TX-S03-0567</t>
  </si>
  <si>
    <t>TR-LINE-02567-1</t>
  </si>
  <si>
    <t>PAY-02567-2</t>
  </si>
  <si>
    <t>TR-LINE-02567-2</t>
  </si>
  <si>
    <t>PAY-02568-1</t>
  </si>
  <si>
    <t>TX-S03-0568</t>
  </si>
  <si>
    <t>TR-LINE-02568-1</t>
  </si>
  <si>
    <t>PAY-02568-2</t>
  </si>
  <si>
    <t>TR-LINE-02568-2</t>
  </si>
  <si>
    <t>PAY-02569-1</t>
  </si>
  <si>
    <t>TX-S03-0569</t>
  </si>
  <si>
    <t>TR-LINE-02569-1</t>
  </si>
  <si>
    <t>PAY-02569-2</t>
  </si>
  <si>
    <t>TR-LINE-02569-2</t>
  </si>
  <si>
    <t>PAY-02570-1</t>
  </si>
  <si>
    <t>TX-S03-0570</t>
  </si>
  <si>
    <t>TR-LINE-02570-1</t>
  </si>
  <si>
    <t>PAY-02570-2</t>
  </si>
  <si>
    <t>TR-LINE-02570-2</t>
  </si>
  <si>
    <t>PAY-02571-1</t>
  </si>
  <si>
    <t>TX-S03-0571</t>
  </si>
  <si>
    <t>TR-LINE-02571-1</t>
  </si>
  <si>
    <t>PAY-02571-2</t>
  </si>
  <si>
    <t>TR-LINE-02571-2</t>
  </si>
  <si>
    <t>PAY-02572-1</t>
  </si>
  <si>
    <t>TX-S03-0572</t>
  </si>
  <si>
    <t>TR-LINE-02572-1</t>
  </si>
  <si>
    <t>PAY-02572-2</t>
  </si>
  <si>
    <t>TR-LINE-02572-2</t>
  </si>
  <si>
    <t>PAY-02573-1</t>
  </si>
  <si>
    <t>TX-S03-0573</t>
  </si>
  <si>
    <t>TR-LINE-02573-1</t>
  </si>
  <si>
    <t>PAY-02573-2</t>
  </si>
  <si>
    <t>TR-LINE-02573-2</t>
  </si>
  <si>
    <t>PAY-02574-1</t>
  </si>
  <si>
    <t>TX-S03-0574</t>
  </si>
  <si>
    <t>TR-LINE-02574-1</t>
  </si>
  <si>
    <t>PAY-02575-1</t>
  </si>
  <si>
    <t>TX-S03-0575</t>
  </si>
  <si>
    <t>TR-LINE-02575-1</t>
  </si>
  <si>
    <t>PAY-02575-2</t>
  </si>
  <si>
    <t>TR-LINE-02575-2</t>
  </si>
  <si>
    <t>PAY-02576-1</t>
  </si>
  <si>
    <t>TX-S03-0576</t>
  </si>
  <si>
    <t>TR-LINE-02576-1</t>
  </si>
  <si>
    <t>PAY-02576-2</t>
  </si>
  <si>
    <t>TR-LINE-02576-2</t>
  </si>
  <si>
    <t>PAY-02577-1</t>
  </si>
  <si>
    <t>TX-S03-0577</t>
  </si>
  <si>
    <t>TR-LINE-02577-1</t>
  </si>
  <si>
    <t>PAY-02577-2</t>
  </si>
  <si>
    <t>TR-LINE-02577-2</t>
  </si>
  <si>
    <t>PAY-02578-1</t>
  </si>
  <si>
    <t>TX-S03-0578</t>
  </si>
  <si>
    <t>TR-LINE-02578-1</t>
  </si>
  <si>
    <t>PAY-02578-2</t>
  </si>
  <si>
    <t>TR-LINE-02578-2</t>
  </si>
  <si>
    <t>PAY-02579-1</t>
  </si>
  <si>
    <t>TX-S03-0579</t>
  </si>
  <si>
    <t>TR-LINE-02579-1</t>
  </si>
  <si>
    <t>PAY-02579-2</t>
  </si>
  <si>
    <t>TR-LINE-02579-2</t>
  </si>
  <si>
    <t>PAY-02580-1</t>
  </si>
  <si>
    <t>TX-S03-0580</t>
  </si>
  <si>
    <t>TR-LINE-02580-1</t>
  </si>
  <si>
    <t>PAY-02580-2</t>
  </si>
  <si>
    <t>TR-LINE-02580-2</t>
  </si>
  <si>
    <t>PAY-02581-1</t>
  </si>
  <si>
    <t>TX-S03-0581</t>
  </si>
  <si>
    <t>TR-LINE-02581-1</t>
  </si>
  <si>
    <t>PAY-02581-2</t>
  </si>
  <si>
    <t>TR-LINE-02581-2</t>
  </si>
  <si>
    <t>PAY-02582-1</t>
  </si>
  <si>
    <t>TX-S03-0582</t>
  </si>
  <si>
    <t>TR-LINE-02582-1</t>
  </si>
  <si>
    <t>PAY-02582-2</t>
  </si>
  <si>
    <t>TR-LINE-02582-2</t>
  </si>
  <si>
    <t>PAY-02583-1</t>
  </si>
  <si>
    <t>TX-S03-0583</t>
  </si>
  <si>
    <t>TR-LINE-02583-1</t>
  </si>
  <si>
    <t>PAY-02583-2</t>
  </si>
  <si>
    <t>TR-LINE-02583-2</t>
  </si>
  <si>
    <t>PAY-02584-1</t>
  </si>
  <si>
    <t>TX-S03-0584</t>
  </si>
  <si>
    <t>TR-LINE-02584-1</t>
  </si>
  <si>
    <t>PAY-02584-2</t>
  </si>
  <si>
    <t>TR-LINE-02584-2</t>
  </si>
  <si>
    <t>PAY-02585-1</t>
  </si>
  <si>
    <t>TX-S03-0585</t>
  </si>
  <si>
    <t>TR-LINE-02585-1</t>
  </si>
  <si>
    <t>PAY-02585-2</t>
  </si>
  <si>
    <t>TR-LINE-02585-2</t>
  </si>
  <si>
    <t>PAY-02586-1</t>
  </si>
  <si>
    <t>TX-S03-0586</t>
  </si>
  <si>
    <t>TR-LINE-02586-1</t>
  </si>
  <si>
    <t>PAY-02586-2</t>
  </si>
  <si>
    <t>TR-LINE-02586-2</t>
  </si>
  <si>
    <t>PAY-02587-1</t>
  </si>
  <si>
    <t>TX-S03-0587</t>
  </si>
  <si>
    <t>TR-LINE-02587-1</t>
  </si>
  <si>
    <t>PAY-02587-2</t>
  </si>
  <si>
    <t>TR-LINE-02587-2</t>
  </si>
  <si>
    <t>PAY-02588-1</t>
  </si>
  <si>
    <t>TX-S03-0588</t>
  </si>
  <si>
    <t>TR-LINE-02588-1</t>
  </si>
  <si>
    <t>PAY-02588-2</t>
  </si>
  <si>
    <t>TR-LINE-02588-2</t>
  </si>
  <si>
    <t>PAY-02589-1</t>
  </si>
  <si>
    <t>TX-S03-0589</t>
  </si>
  <si>
    <t>TR-LINE-02589-1</t>
  </si>
  <si>
    <t>PAY-02589-2</t>
  </si>
  <si>
    <t>TR-LINE-02589-2</t>
  </si>
  <si>
    <t>PAY-02590-1</t>
  </si>
  <si>
    <t>TX-S03-0590</t>
  </si>
  <si>
    <t>TR-LINE-02590-1</t>
  </si>
  <si>
    <t>PAY-02590-2</t>
  </si>
  <si>
    <t>TR-LINE-02590-2</t>
  </si>
  <si>
    <t>PAY-02591-1</t>
  </si>
  <si>
    <t>TX-S03-0591</t>
  </si>
  <si>
    <t>TR-LINE-02591-1</t>
  </si>
  <si>
    <t>PAY-02591-2</t>
  </si>
  <si>
    <t>TR-LINE-02591-2</t>
  </si>
  <si>
    <t>PAY-02592-1</t>
  </si>
  <si>
    <t>TX-S03-0592</t>
  </si>
  <si>
    <t>TR-LINE-02592-1</t>
  </si>
  <si>
    <t>PAY-02592-2</t>
  </si>
  <si>
    <t>TR-LINE-02592-2</t>
  </si>
  <si>
    <t>PAY-02593-1</t>
  </si>
  <si>
    <t>TX-S03-0593</t>
  </si>
  <si>
    <t>TR-LINE-02593-1</t>
  </si>
  <si>
    <t>PAY-02593-2</t>
  </si>
  <si>
    <t>TR-LINE-02593-2</t>
  </si>
  <si>
    <t>PAY-02594-1</t>
  </si>
  <si>
    <t>TX-S03-0594</t>
  </si>
  <si>
    <t>TR-LINE-02594-1</t>
  </si>
  <si>
    <t>PAY-02594-2</t>
  </si>
  <si>
    <t>TR-LINE-02594-2</t>
  </si>
  <si>
    <t>PAY-02595-1</t>
  </si>
  <si>
    <t>TX-S03-0595</t>
  </si>
  <si>
    <t>TR-LINE-02595-1</t>
  </si>
  <si>
    <t>PAY-02595-2</t>
  </si>
  <si>
    <t>TR-LINE-02595-2</t>
  </si>
  <si>
    <t>PAY-02596-1</t>
  </si>
  <si>
    <t>TX-S03-0596</t>
  </si>
  <si>
    <t>TR-LINE-02596-1</t>
  </si>
  <si>
    <t>PAY-02596-2</t>
  </si>
  <si>
    <t>TR-LINE-02596-2</t>
  </si>
  <si>
    <t>PAY-02597-1</t>
  </si>
  <si>
    <t>TX-S03-0597</t>
  </si>
  <si>
    <t>TR-LINE-02597-1</t>
  </si>
  <si>
    <t>PAY-02597-2</t>
  </si>
  <si>
    <t>TR-LINE-02597-2</t>
  </si>
  <si>
    <t>PAY-02598-1</t>
  </si>
  <si>
    <t>TX-S03-0598</t>
  </si>
  <si>
    <t>TR-LINE-02598-1</t>
  </si>
  <si>
    <t>PAY-02598-2</t>
  </si>
  <si>
    <t>TR-LINE-02598-2</t>
  </si>
  <si>
    <t>PAY-02599-1</t>
  </si>
  <si>
    <t>TX-S03-0599</t>
  </si>
  <si>
    <t>TR-LINE-02599-1</t>
  </si>
  <si>
    <t>PAY-02599-2</t>
  </si>
  <si>
    <t>TR-LINE-02599-2</t>
  </si>
  <si>
    <t>PAY-02600-1</t>
  </si>
  <si>
    <t>TX-S03-0600</t>
  </si>
  <si>
    <t>TR-LINE-02600-1</t>
  </si>
  <si>
    <t>PAY-02600-2</t>
  </si>
  <si>
    <t>TR-LINE-02600-2</t>
  </si>
  <si>
    <t>PAY-02601-1</t>
  </si>
  <si>
    <t>TX-S03-0601</t>
  </si>
  <si>
    <t>TR-LINE-02601-1</t>
  </si>
  <si>
    <t>PAY-02601-2</t>
  </si>
  <si>
    <t>TR-LINE-02601-2</t>
  </si>
  <si>
    <t>PAY-02602-1</t>
  </si>
  <si>
    <t>TX-S03-0602</t>
  </si>
  <si>
    <t>TR-LINE-02602-1</t>
  </si>
  <si>
    <t>PAY-02602-2</t>
  </si>
  <si>
    <t>TR-LINE-02602-2</t>
  </si>
  <si>
    <t>PAY-02603-1</t>
  </si>
  <si>
    <t>TX-S03-0603</t>
  </si>
  <si>
    <t>TR-LINE-02603-1</t>
  </si>
  <si>
    <t>PAY-02603-2</t>
  </si>
  <si>
    <t>TR-LINE-02603-2</t>
  </si>
  <si>
    <t>PAY-02604-1</t>
  </si>
  <si>
    <t>TX-S03-0604</t>
  </si>
  <si>
    <t>TR-LINE-02604-1</t>
  </si>
  <si>
    <t>PAY-02604-2</t>
  </si>
  <si>
    <t>TR-LINE-02604-2</t>
  </si>
  <si>
    <t>PAY-02605-1</t>
  </si>
  <si>
    <t>TX-S03-0605</t>
  </si>
  <si>
    <t>TR-LINE-02605-1</t>
  </si>
  <si>
    <t>PAY-02605-2</t>
  </si>
  <si>
    <t>TR-LINE-02605-2</t>
  </si>
  <si>
    <t>PAY-02606-1</t>
  </si>
  <si>
    <t>TX-S03-0606</t>
  </si>
  <si>
    <t>TR-LINE-02606-1</t>
  </si>
  <si>
    <t>PAY-02606-2</t>
  </si>
  <si>
    <t>TR-LINE-02606-2</t>
  </si>
  <si>
    <t>PAY-02607-1</t>
  </si>
  <si>
    <t>TX-S03-0607</t>
  </si>
  <si>
    <t>TR-LINE-02607-1</t>
  </si>
  <si>
    <t>PAY-02607-2</t>
  </si>
  <si>
    <t>TR-LINE-02607-2</t>
  </si>
  <si>
    <t>PAY-02608-1</t>
  </si>
  <si>
    <t>TX-S03-0608</t>
  </si>
  <si>
    <t>TR-LINE-02608-1</t>
  </si>
  <si>
    <t>PAY-02608-2</t>
  </si>
  <si>
    <t>TR-LINE-02608-2</t>
  </si>
  <si>
    <t>PAY-02609-1</t>
  </si>
  <si>
    <t>TX-S03-0609</t>
  </si>
  <si>
    <t>TR-LINE-02609-1</t>
  </si>
  <si>
    <t>PAY-02609-2</t>
  </si>
  <si>
    <t>TR-LINE-02609-2</t>
  </si>
  <si>
    <t>PAY-02610-1</t>
  </si>
  <si>
    <t>TX-S03-0610</t>
  </si>
  <si>
    <t>TR-LINE-02610-1</t>
  </si>
  <si>
    <t>PAY-02610-2</t>
  </si>
  <si>
    <t>TR-LINE-02610-2</t>
  </si>
  <si>
    <t>PAY-02611-1</t>
  </si>
  <si>
    <t>TX-S03-0611</t>
  </si>
  <si>
    <t>TR-LINE-02611-1</t>
  </si>
  <si>
    <t>PAY-02611-2</t>
  </si>
  <si>
    <t>TR-LINE-02611-2</t>
  </si>
  <si>
    <t>PAY-02612-1</t>
  </si>
  <si>
    <t>TX-S03-0612</t>
  </si>
  <si>
    <t>TR-LINE-02612-1</t>
  </si>
  <si>
    <t>PAY-02612-2</t>
  </si>
  <si>
    <t>TR-LINE-02612-2</t>
  </si>
  <si>
    <t>PAY-02613-1</t>
  </si>
  <si>
    <t>TX-S03-0613</t>
  </si>
  <si>
    <t>TR-LINE-02613-1</t>
  </si>
  <si>
    <t>PAY-02613-2</t>
  </si>
  <si>
    <t>TR-LINE-02613-2</t>
  </si>
  <si>
    <t>PAY-02614-1</t>
  </si>
  <si>
    <t>TX-S03-0614</t>
  </si>
  <si>
    <t>TR-LINE-02614-1</t>
  </si>
  <si>
    <t>PAY-02614-2</t>
  </si>
  <si>
    <t>TR-LINE-02614-2</t>
  </si>
  <si>
    <t>PAY-02615-1</t>
  </si>
  <si>
    <t>TX-S03-0615</t>
  </si>
  <si>
    <t>TR-LINE-02615-1</t>
  </si>
  <si>
    <t>PAY-02616-1</t>
  </si>
  <si>
    <t>TX-S03-0616</t>
  </si>
  <si>
    <t>TR-LINE-02616-1</t>
  </si>
  <si>
    <t>PAY-02616-2</t>
  </si>
  <si>
    <t>TR-LINE-02616-2</t>
  </si>
  <si>
    <t>PAY-02617-1</t>
  </si>
  <si>
    <t>TX-S03-0617</t>
  </si>
  <si>
    <t>TR-LINE-02617-1</t>
  </si>
  <si>
    <t>PAY-02617-2</t>
  </si>
  <si>
    <t>TR-LINE-02617-2</t>
  </si>
  <si>
    <t>PAY-02618-1</t>
  </si>
  <si>
    <t>TX-S03-0618</t>
  </si>
  <si>
    <t>TR-LINE-02618-1</t>
  </si>
  <si>
    <t>PAY-02618-2</t>
  </si>
  <si>
    <t>TR-LINE-02618-2</t>
  </si>
  <si>
    <t>PAY-02619-1</t>
  </si>
  <si>
    <t>TX-S03-0619</t>
  </si>
  <si>
    <t>TR-LINE-02619-1</t>
  </si>
  <si>
    <t>PAY-02619-2</t>
  </si>
  <si>
    <t>TR-LINE-02619-2</t>
  </si>
  <si>
    <t>PAY-02620-1</t>
  </si>
  <si>
    <t>TX-S03-0620</t>
  </si>
  <si>
    <t>TR-LINE-02620-1</t>
  </si>
  <si>
    <t>PAY-02620-2</t>
  </si>
  <si>
    <t>TR-LINE-02620-2</t>
  </si>
  <si>
    <t>PAY-02621-1</t>
  </si>
  <si>
    <t>TX-S03-0621</t>
  </si>
  <si>
    <t>TR-LINE-02621-1</t>
  </si>
  <si>
    <t>PAY-02621-2</t>
  </si>
  <si>
    <t>TR-LINE-02621-2</t>
  </si>
  <si>
    <t>PAY-02622-1</t>
  </si>
  <si>
    <t>TX-S03-0622</t>
  </si>
  <si>
    <t>TR-LINE-02622-1</t>
  </si>
  <si>
    <t>PAY-02622-2</t>
  </si>
  <si>
    <t>TR-LINE-02622-2</t>
  </si>
  <si>
    <t>PAY-02623-1</t>
  </si>
  <si>
    <t>TX-S03-0623</t>
  </si>
  <si>
    <t>TR-LINE-02623-1</t>
  </si>
  <si>
    <t>PAY-02623-2</t>
  </si>
  <si>
    <t>TR-LINE-02623-2</t>
  </si>
  <si>
    <t>PAY-02624-1</t>
  </si>
  <si>
    <t>TX-S03-0624</t>
  </si>
  <si>
    <t>TR-LINE-02624-1</t>
  </si>
  <si>
    <t>PAY-02624-2</t>
  </si>
  <si>
    <t>TR-LINE-02624-2</t>
  </si>
  <si>
    <t>PAY-02625-1</t>
  </si>
  <si>
    <t>TX-S03-0625</t>
  </si>
  <si>
    <t>TR-LINE-02625-1</t>
  </si>
  <si>
    <t>PAY-02625-2</t>
  </si>
  <si>
    <t>TR-LINE-02625-2</t>
  </si>
  <si>
    <t>PAY-02626-1</t>
  </si>
  <si>
    <t>TX-S03-0626</t>
  </si>
  <si>
    <t>TR-LINE-02626-1</t>
  </si>
  <si>
    <t>PAY-02626-2</t>
  </si>
  <si>
    <t>TR-LINE-02626-2</t>
  </si>
  <si>
    <t>PAY-02627-1</t>
  </si>
  <si>
    <t>TX-S03-0627</t>
  </si>
  <si>
    <t>TR-LINE-02627-1</t>
  </si>
  <si>
    <t>PAY-02627-2</t>
  </si>
  <si>
    <t>TR-LINE-02627-2</t>
  </si>
  <si>
    <t>PAY-02628-1</t>
  </si>
  <si>
    <t>TX-S03-0628</t>
  </si>
  <si>
    <t>TR-LINE-02628-1</t>
  </si>
  <si>
    <t>PAY-02628-2</t>
  </si>
  <si>
    <t>TR-LINE-02628-2</t>
  </si>
  <si>
    <t>PAY-02629-1</t>
  </si>
  <si>
    <t>TX-S03-0629</t>
  </si>
  <si>
    <t>TR-LINE-02629-1</t>
  </si>
  <si>
    <t>PAY-02629-2</t>
  </si>
  <si>
    <t>TR-LINE-02629-2</t>
  </si>
  <si>
    <t>PAY-02630-1</t>
  </si>
  <si>
    <t>TX-S03-0630</t>
  </si>
  <si>
    <t>TR-LINE-02630-1</t>
  </si>
  <si>
    <t>PAY-02630-2</t>
  </si>
  <si>
    <t>TR-LINE-02630-2</t>
  </si>
  <si>
    <t>PAY-02631-1</t>
  </si>
  <si>
    <t>TX-S03-0631</t>
  </si>
  <si>
    <t>TR-LINE-02631-1</t>
  </si>
  <si>
    <t>PAY-02631-2</t>
  </si>
  <si>
    <t>TR-LINE-02631-2</t>
  </si>
  <si>
    <t>PAY-02632-1</t>
  </si>
  <si>
    <t>TX-S03-0632</t>
  </si>
  <si>
    <t>TR-LINE-02632-1</t>
  </si>
  <si>
    <t>PAY-02632-2</t>
  </si>
  <si>
    <t>TR-LINE-02632-2</t>
  </si>
  <si>
    <t>PAY-02633-1</t>
  </si>
  <si>
    <t>TX-S03-0633</t>
  </si>
  <si>
    <t>TR-LINE-02633-1</t>
  </si>
  <si>
    <t>PAY-02633-2</t>
  </si>
  <si>
    <t>TR-LINE-02633-2</t>
  </si>
  <si>
    <t>PAY-02634-1</t>
  </si>
  <si>
    <t>TX-S03-0634</t>
  </si>
  <si>
    <t>TR-LINE-02634-1</t>
  </si>
  <si>
    <t>PAY-02634-2</t>
  </si>
  <si>
    <t>TR-LINE-02634-2</t>
  </si>
  <si>
    <t>PAY-02635-1</t>
  </si>
  <si>
    <t>TX-S03-0635</t>
  </si>
  <si>
    <t>TR-LINE-02635-1</t>
  </si>
  <si>
    <t>PAY-02635-2</t>
  </si>
  <si>
    <t>TR-LINE-02635-2</t>
  </si>
  <si>
    <t>PAY-02636-1</t>
  </si>
  <si>
    <t>TX-S03-0636</t>
  </si>
  <si>
    <t>TR-LINE-02636-1</t>
  </si>
  <si>
    <t>PAY-02636-2</t>
  </si>
  <si>
    <t>TR-LINE-02636-2</t>
  </si>
  <si>
    <t>PAY-02637-1</t>
  </si>
  <si>
    <t>TX-S03-0637</t>
  </si>
  <si>
    <t>TR-LINE-02637-1</t>
  </si>
  <si>
    <t>PAY-02637-2</t>
  </si>
  <si>
    <t>TR-LINE-02637-2</t>
  </si>
  <si>
    <t>PAY-02638-1</t>
  </si>
  <si>
    <t>TX-S03-0638</t>
  </si>
  <si>
    <t>TR-LINE-02638-1</t>
  </si>
  <si>
    <t>PAY-02638-2</t>
  </si>
  <si>
    <t>TR-LINE-02638-2</t>
  </si>
  <si>
    <t>PAY-02639-1</t>
  </si>
  <si>
    <t>TX-S03-0639</t>
  </si>
  <si>
    <t>TR-LINE-02639-1</t>
  </si>
  <si>
    <t>PAY-02639-2</t>
  </si>
  <si>
    <t>TR-LINE-02639-2</t>
  </si>
  <si>
    <t>PAY-02640-1</t>
  </si>
  <si>
    <t>TX-S03-0640</t>
  </si>
  <si>
    <t>TR-LINE-02640-1</t>
  </si>
  <si>
    <t>PAY-02640-2</t>
  </si>
  <si>
    <t>TR-LINE-02640-2</t>
  </si>
  <si>
    <t>PAY-02641-1</t>
  </si>
  <si>
    <t>TX-S03-0641</t>
  </si>
  <si>
    <t>TR-LINE-02641-1</t>
  </si>
  <si>
    <t>PAY-02641-2</t>
  </si>
  <si>
    <t>TR-LINE-02641-2</t>
  </si>
  <si>
    <t>PAY-02642-1</t>
  </si>
  <si>
    <t>TX-S03-0642</t>
  </si>
  <si>
    <t>TR-LINE-02642-1</t>
  </si>
  <si>
    <t>PAY-02642-2</t>
  </si>
  <si>
    <t>TR-LINE-02642-2</t>
  </si>
  <si>
    <t>PAY-02643-1</t>
  </si>
  <si>
    <t>TX-S03-0643</t>
  </si>
  <si>
    <t>TR-LINE-02643-1</t>
  </si>
  <si>
    <t>PAY-02643-2</t>
  </si>
  <si>
    <t>TR-LINE-02643-2</t>
  </si>
  <si>
    <t>PAY-02644-1</t>
  </si>
  <si>
    <t>TX-S03-0644</t>
  </si>
  <si>
    <t>TR-LINE-02644-1</t>
  </si>
  <si>
    <t>PAY-02644-2</t>
  </si>
  <si>
    <t>TR-LINE-02644-2</t>
  </si>
  <si>
    <t>PAY-02645-1</t>
  </si>
  <si>
    <t>TX-S03-0645</t>
  </si>
  <si>
    <t>TR-LINE-02645-1</t>
  </si>
  <si>
    <t>PAY-02645-2</t>
  </si>
  <si>
    <t>TR-LINE-02645-2</t>
  </si>
  <si>
    <t>PAY-02646-1</t>
  </si>
  <si>
    <t>TX-S03-0646</t>
  </si>
  <si>
    <t>TR-LINE-02646-1</t>
  </si>
  <si>
    <t>PAY-02646-2</t>
  </si>
  <si>
    <t>TR-LINE-02646-2</t>
  </si>
  <si>
    <t>PAY-02647-1</t>
  </si>
  <si>
    <t>TX-S03-0647</t>
  </si>
  <si>
    <t>TR-LINE-02647-1</t>
  </si>
  <si>
    <t>PAY-02647-2</t>
  </si>
  <si>
    <t>TR-LINE-02647-2</t>
  </si>
  <si>
    <t>PAY-02648-1</t>
  </si>
  <si>
    <t>TX-S03-0648</t>
  </si>
  <si>
    <t>TR-LINE-02648-1</t>
  </si>
  <si>
    <t>PAY-02648-2</t>
  </si>
  <si>
    <t>TR-LINE-02648-2</t>
  </si>
  <si>
    <t>PAY-02649-1</t>
  </si>
  <si>
    <t>TX-S03-0649</t>
  </si>
  <si>
    <t>TR-LINE-02649-1</t>
  </si>
  <si>
    <t>PAY-02649-2</t>
  </si>
  <si>
    <t>TR-LINE-02649-2</t>
  </si>
  <si>
    <t>PAY-02650-1</t>
  </si>
  <si>
    <t>TX-S03-0650</t>
  </si>
  <si>
    <t>TR-LINE-02650-1</t>
  </si>
  <si>
    <t>PAY-02650-2</t>
  </si>
  <si>
    <t>TR-LINE-02650-2</t>
  </si>
  <si>
    <t>PAY-02651-1</t>
  </si>
  <si>
    <t>TX-S03-0651</t>
  </si>
  <si>
    <t>TR-LINE-02651-1</t>
  </si>
  <si>
    <t>PAY-02651-2</t>
  </si>
  <si>
    <t>TR-LINE-02651-2</t>
  </si>
  <si>
    <t>PAY-02652-1</t>
  </si>
  <si>
    <t>TX-S03-0652</t>
  </si>
  <si>
    <t>TR-LINE-02652-1</t>
  </si>
  <si>
    <t>PAY-02652-2</t>
  </si>
  <si>
    <t>TR-LINE-02652-2</t>
  </si>
  <si>
    <t>PAY-02653-1</t>
  </si>
  <si>
    <t>TX-S03-0653</t>
  </si>
  <si>
    <t>TR-LINE-02653-1</t>
  </si>
  <si>
    <t>PAY-02653-2</t>
  </si>
  <si>
    <t>TR-LINE-02653-2</t>
  </si>
  <si>
    <t>PAY-02654-1</t>
  </si>
  <si>
    <t>TX-S03-0654</t>
  </si>
  <si>
    <t>TR-LINE-02654-1</t>
  </si>
  <si>
    <t>PAY-02654-2</t>
  </si>
  <si>
    <t>TR-LINE-02654-2</t>
  </si>
  <si>
    <t>PAY-02655-1</t>
  </si>
  <si>
    <t>TX-S03-0655</t>
  </si>
  <si>
    <t>TR-LINE-02655-1</t>
  </si>
  <si>
    <t>PAY-02655-2</t>
  </si>
  <si>
    <t>TR-LINE-02655-2</t>
  </si>
  <si>
    <t>PAY-02656-1</t>
  </si>
  <si>
    <t>TX-S03-0656</t>
  </si>
  <si>
    <t>TR-LINE-02656-1</t>
  </si>
  <si>
    <t>PAY-02657-1</t>
  </si>
  <si>
    <t>TX-S03-0657</t>
  </si>
  <si>
    <t>TR-LINE-02657-1</t>
  </si>
  <si>
    <t>PAY-02657-2</t>
  </si>
  <si>
    <t>TR-LINE-02657-2</t>
  </si>
  <si>
    <t>PAY-02658-1</t>
  </si>
  <si>
    <t>TX-S03-0658</t>
  </si>
  <si>
    <t>TR-LINE-02658-1</t>
  </si>
  <si>
    <t>PAY-02658-2</t>
  </si>
  <si>
    <t>TR-LINE-02658-2</t>
  </si>
  <si>
    <t>PAY-02659-1</t>
  </si>
  <si>
    <t>TX-S03-0659</t>
  </si>
  <si>
    <t>TR-LINE-02659-1</t>
  </si>
  <si>
    <t>PAY-02659-2</t>
  </si>
  <si>
    <t>TR-LINE-02659-2</t>
  </si>
  <si>
    <t>PAY-02660-1</t>
  </si>
  <si>
    <t>TX-S03-0660</t>
  </si>
  <si>
    <t>TR-LINE-02660-1</t>
  </si>
  <si>
    <t>PAY-02660-2</t>
  </si>
  <si>
    <t>TR-LINE-02660-2</t>
  </si>
  <si>
    <t>PAY-02661-1</t>
  </si>
  <si>
    <t>TX-S03-0661</t>
  </si>
  <si>
    <t>TR-LINE-02661-1</t>
  </si>
  <si>
    <t>PAY-02661-2</t>
  </si>
  <si>
    <t>TR-LINE-02661-2</t>
  </si>
  <si>
    <t>PAY-02662-1</t>
  </si>
  <si>
    <t>TX-S03-0662</t>
  </si>
  <si>
    <t>TR-LINE-02662-1</t>
  </si>
  <si>
    <t>PAY-02662-2</t>
  </si>
  <si>
    <t>TR-LINE-02662-2</t>
  </si>
  <si>
    <t>PAY-02663-1</t>
  </si>
  <si>
    <t>TX-S03-0663</t>
  </si>
  <si>
    <t>TR-LINE-02663-1</t>
  </si>
  <si>
    <t>PAY-02663-2</t>
  </si>
  <si>
    <t>TR-LINE-02663-2</t>
  </si>
  <si>
    <t>PAY-02664-1</t>
  </si>
  <si>
    <t>TX-S03-0664</t>
  </si>
  <si>
    <t>TR-LINE-02664-1</t>
  </si>
  <si>
    <t>PAY-02664-2</t>
  </si>
  <si>
    <t>TR-LINE-02664-2</t>
  </si>
  <si>
    <t>PAY-02665-1</t>
  </si>
  <si>
    <t>TX-S03-0665</t>
  </si>
  <si>
    <t>TR-LINE-02665-1</t>
  </si>
  <si>
    <t>PAY-02665-2</t>
  </si>
  <si>
    <t>TR-LINE-02665-2</t>
  </si>
  <si>
    <t>PAY-02666-1</t>
  </si>
  <si>
    <t>TX-S03-0666</t>
  </si>
  <si>
    <t>TR-LINE-02666-1</t>
  </si>
  <si>
    <t>PAY-02666-2</t>
  </si>
  <si>
    <t>TR-LINE-02666-2</t>
  </si>
  <si>
    <t>PAY-02667-1</t>
  </si>
  <si>
    <t>TX-S03-0667</t>
  </si>
  <si>
    <t>TR-LINE-02667-1</t>
  </si>
  <si>
    <t>PAY-02667-2</t>
  </si>
  <si>
    <t>TR-LINE-02667-2</t>
  </si>
  <si>
    <t>PAY-02668-1</t>
  </si>
  <si>
    <t>TX-S03-0668</t>
  </si>
  <si>
    <t>TR-LINE-02668-1</t>
  </si>
  <si>
    <t>PAY-02668-2</t>
  </si>
  <si>
    <t>TR-LINE-02668-2</t>
  </si>
  <si>
    <t>PAY-02669-1</t>
  </si>
  <si>
    <t>TX-S03-0669</t>
  </si>
  <si>
    <t>TR-LINE-02669-1</t>
  </si>
  <si>
    <t>PAY-02669-2</t>
  </si>
  <si>
    <t>TR-LINE-02669-2</t>
  </si>
  <si>
    <t>PAY-02670-1</t>
  </si>
  <si>
    <t>TX-S03-0670</t>
  </si>
  <si>
    <t>TR-LINE-02670-1</t>
  </si>
  <si>
    <t>PAY-02670-2</t>
  </si>
  <si>
    <t>TR-LINE-02670-2</t>
  </si>
  <si>
    <t>PAY-02671-1</t>
  </si>
  <si>
    <t>TX-S03-0671</t>
  </si>
  <si>
    <t>TR-LINE-02671-1</t>
  </si>
  <si>
    <t>PAY-02671-2</t>
  </si>
  <si>
    <t>TR-LINE-02671-2</t>
  </si>
  <si>
    <t>PAY-02672-1</t>
  </si>
  <si>
    <t>TX-S03-0672</t>
  </si>
  <si>
    <t>TR-LINE-02672-1</t>
  </si>
  <si>
    <t>PAY-02672-2</t>
  </si>
  <si>
    <t>TR-LINE-02672-2</t>
  </si>
  <si>
    <t>PAY-02673-1</t>
  </si>
  <si>
    <t>TX-S03-0673</t>
  </si>
  <si>
    <t>TR-LINE-02673-1</t>
  </si>
  <si>
    <t>PAY-02673-2</t>
  </si>
  <si>
    <t>TR-LINE-02673-2</t>
  </si>
  <si>
    <t>PAY-02674-1</t>
  </si>
  <si>
    <t>TX-S03-0674</t>
  </si>
  <si>
    <t>TR-LINE-02674-1</t>
  </si>
  <si>
    <t>PAY-02674-2</t>
  </si>
  <si>
    <t>TR-LINE-02674-2</t>
  </si>
  <si>
    <t>PAY-02675-1</t>
  </si>
  <si>
    <t>TX-S03-0675</t>
  </si>
  <si>
    <t>TR-LINE-02675-1</t>
  </si>
  <si>
    <t>PAY-02675-2</t>
  </si>
  <si>
    <t>TR-LINE-02675-2</t>
  </si>
  <si>
    <t>PAY-02676-1</t>
  </si>
  <si>
    <t>TX-S03-0676</t>
  </si>
  <si>
    <t>TR-LINE-02676-1</t>
  </si>
  <si>
    <t>PAY-02676-2</t>
  </si>
  <si>
    <t>TR-LINE-02676-2</t>
  </si>
  <si>
    <t>PAY-02677-1</t>
  </si>
  <si>
    <t>TX-S03-0677</t>
  </si>
  <si>
    <t>TR-LINE-02677-1</t>
  </si>
  <si>
    <t>PAY-02677-2</t>
  </si>
  <si>
    <t>TR-LINE-02677-2</t>
  </si>
  <si>
    <t>PAY-02678-1</t>
  </si>
  <si>
    <t>TX-S03-0678</t>
  </si>
  <si>
    <t>TR-LINE-02678-1</t>
  </si>
  <si>
    <t>PAY-02678-2</t>
  </si>
  <si>
    <t>TR-LINE-02678-2</t>
  </si>
  <si>
    <t>PAY-02679-1</t>
  </si>
  <si>
    <t>TX-S03-0679</t>
  </si>
  <si>
    <t>TR-LINE-02679-1</t>
  </si>
  <si>
    <t>PAY-02679-2</t>
  </si>
  <si>
    <t>TR-LINE-02679-2</t>
  </si>
  <si>
    <t>PAY-02680-1</t>
  </si>
  <si>
    <t>TX-S03-0680</t>
  </si>
  <si>
    <t>TR-LINE-02680-1</t>
  </si>
  <si>
    <t>PAY-02680-2</t>
  </si>
  <si>
    <t>TR-LINE-02680-2</t>
  </si>
  <si>
    <t>PAY-02681-1</t>
  </si>
  <si>
    <t>TX-S03-0681</t>
  </si>
  <si>
    <t>TR-LINE-02681-1</t>
  </si>
  <si>
    <t>PAY-02681-2</t>
  </si>
  <si>
    <t>TR-LINE-02681-2</t>
  </si>
  <si>
    <t>PAY-02682-1</t>
  </si>
  <si>
    <t>TX-S03-0682</t>
  </si>
  <si>
    <t>TR-LINE-02682-1</t>
  </si>
  <si>
    <t>PAY-02682-2</t>
  </si>
  <si>
    <t>TR-LINE-02682-2</t>
  </si>
  <si>
    <t>PAY-02683-1</t>
  </si>
  <si>
    <t>TX-S03-0683</t>
  </si>
  <si>
    <t>TR-LINE-02683-1</t>
  </si>
  <si>
    <t>PAY-02683-2</t>
  </si>
  <si>
    <t>TR-LINE-02683-2</t>
  </si>
  <si>
    <t>PAY-02684-1</t>
  </si>
  <si>
    <t>TX-S03-0684</t>
  </si>
  <si>
    <t>TR-LINE-02684-1</t>
  </si>
  <si>
    <t>PAY-02684-2</t>
  </si>
  <si>
    <t>TR-LINE-02684-2</t>
  </si>
  <si>
    <t>PAY-02685-1</t>
  </si>
  <si>
    <t>TX-S03-0685</t>
  </si>
  <si>
    <t>TR-LINE-02685-1</t>
  </si>
  <si>
    <t>PAY-02685-2</t>
  </si>
  <si>
    <t>TR-LINE-02685-2</t>
  </si>
  <si>
    <t>PAY-02686-1</t>
  </si>
  <si>
    <t>TX-S03-0686</t>
  </si>
  <si>
    <t>TR-LINE-02686-1</t>
  </si>
  <si>
    <t>PAY-02686-2</t>
  </si>
  <si>
    <t>TR-LINE-02686-2</t>
  </si>
  <si>
    <t>PAY-02687-1</t>
  </si>
  <si>
    <t>TX-S03-0687</t>
  </si>
  <si>
    <t>TR-LINE-02687-1</t>
  </si>
  <si>
    <t>PAY-02687-2</t>
  </si>
  <si>
    <t>TR-LINE-02687-2</t>
  </si>
  <si>
    <t>PAY-02688-1</t>
  </si>
  <si>
    <t>TX-S03-0688</t>
  </si>
  <si>
    <t>TR-LINE-02688-1</t>
  </si>
  <si>
    <t>PAY-02688-2</t>
  </si>
  <si>
    <t>TR-LINE-02688-2</t>
  </si>
  <si>
    <t>PAY-02689-1</t>
  </si>
  <si>
    <t>TX-S03-0689</t>
  </si>
  <si>
    <t>TR-LINE-02689-1</t>
  </si>
  <si>
    <t>PAY-02689-2</t>
  </si>
  <si>
    <t>TR-LINE-02689-2</t>
  </si>
  <si>
    <t>PAY-02690-1</t>
  </si>
  <si>
    <t>TX-S03-0690</t>
  </si>
  <si>
    <t>TR-LINE-02690-1</t>
  </si>
  <si>
    <t>PAY-02690-2</t>
  </si>
  <si>
    <t>TR-LINE-02690-2</t>
  </si>
  <si>
    <t>PAY-02691-1</t>
  </si>
  <si>
    <t>TX-S03-0691</t>
  </si>
  <si>
    <t>TR-LINE-02691-1</t>
  </si>
  <si>
    <t>PAY-02691-2</t>
  </si>
  <si>
    <t>TR-LINE-02691-2</t>
  </si>
  <si>
    <t>PAY-02692-1</t>
  </si>
  <si>
    <t>TX-S03-0692</t>
  </si>
  <si>
    <t>TR-LINE-02692-1</t>
  </si>
  <si>
    <t>PAY-02692-2</t>
  </si>
  <si>
    <t>TR-LINE-02692-2</t>
  </si>
  <si>
    <t>PAY-02693-1</t>
  </si>
  <si>
    <t>TX-S03-0693</t>
  </si>
  <si>
    <t>TR-LINE-02693-1</t>
  </si>
  <si>
    <t>PAY-02693-2</t>
  </si>
  <si>
    <t>TR-LINE-02693-2</t>
  </si>
  <si>
    <t>PAY-02694-1</t>
  </si>
  <si>
    <t>TX-S03-0694</t>
  </si>
  <si>
    <t>TR-LINE-02694-1</t>
  </si>
  <si>
    <t>PAY-02694-2</t>
  </si>
  <si>
    <t>TR-LINE-02694-2</t>
  </si>
  <si>
    <t>PAY-02695-1</t>
  </si>
  <si>
    <t>TX-S03-0695</t>
  </si>
  <si>
    <t>TR-LINE-02695-1</t>
  </si>
  <si>
    <t>PAY-02695-2</t>
  </si>
  <si>
    <t>TR-LINE-02695-2</t>
  </si>
  <si>
    <t>PAY-02696-1</t>
  </si>
  <si>
    <t>TX-S03-0696</t>
  </si>
  <si>
    <t>TR-LINE-02696-1</t>
  </si>
  <si>
    <t>PAY-02696-2</t>
  </si>
  <si>
    <t>TR-LINE-02696-2</t>
  </si>
  <si>
    <t>PAY-02697-1</t>
  </si>
  <si>
    <t>TX-S03-0697</t>
  </si>
  <si>
    <t>TR-LINE-02697-1</t>
  </si>
  <si>
    <t>PAY-02698-1</t>
  </si>
  <si>
    <t>TX-S03-0698</t>
  </si>
  <si>
    <t>TR-LINE-02698-1</t>
  </si>
  <si>
    <t>PAY-02698-2</t>
  </si>
  <si>
    <t>TR-LINE-02698-2</t>
  </si>
  <si>
    <t>PAY-02699-1</t>
  </si>
  <si>
    <t>TX-S03-0699</t>
  </si>
  <si>
    <t>TR-LINE-02699-1</t>
  </si>
  <si>
    <t>PAY-02699-2</t>
  </si>
  <si>
    <t>TR-LINE-02699-2</t>
  </si>
  <si>
    <t>PAY-02700-1</t>
  </si>
  <si>
    <t>TX-S03-0700</t>
  </si>
  <si>
    <t>TR-LINE-02700-1</t>
  </si>
  <si>
    <t>PAY-02700-2</t>
  </si>
  <si>
    <t>TR-LINE-02700-2</t>
  </si>
  <si>
    <t>PAY-02701-1</t>
  </si>
  <si>
    <t>TX-S03-0701</t>
  </si>
  <si>
    <t>TR-LINE-02701-1</t>
  </si>
  <si>
    <t>PAY-02701-2</t>
  </si>
  <si>
    <t>TR-LINE-02701-2</t>
  </si>
  <si>
    <t>PAY-02702-1</t>
  </si>
  <si>
    <t>TX-S03-0702</t>
  </si>
  <si>
    <t>TR-LINE-02702-1</t>
  </si>
  <si>
    <t>PAY-02702-2</t>
  </si>
  <si>
    <t>TR-LINE-02702-2</t>
  </si>
  <si>
    <t>PAY-02703-1</t>
  </si>
  <si>
    <t>TX-S03-0703</t>
  </si>
  <si>
    <t>TR-LINE-02703-1</t>
  </si>
  <si>
    <t>PAY-02703-2</t>
  </si>
  <si>
    <t>TR-LINE-02703-2</t>
  </si>
  <si>
    <t>PAY-02704-1</t>
  </si>
  <si>
    <t>TX-S03-0704</t>
  </si>
  <si>
    <t>TR-LINE-02704-1</t>
  </si>
  <si>
    <t>PAY-02704-2</t>
  </si>
  <si>
    <t>TR-LINE-02704-2</t>
  </si>
  <si>
    <t>PAY-02705-1</t>
  </si>
  <si>
    <t>TX-S03-0705</t>
  </si>
  <si>
    <t>TR-LINE-02705-1</t>
  </si>
  <si>
    <t>PAY-02705-2</t>
  </si>
  <si>
    <t>TR-LINE-02705-2</t>
  </si>
  <si>
    <t>PAY-02706-1</t>
  </si>
  <si>
    <t>TX-S03-0706</t>
  </si>
  <si>
    <t>TR-LINE-02706-1</t>
  </si>
  <si>
    <t>PAY-02706-2</t>
  </si>
  <si>
    <t>TR-LINE-02706-2</t>
  </si>
  <si>
    <t>PAY-02707-1</t>
  </si>
  <si>
    <t>TX-S03-0707</t>
  </si>
  <si>
    <t>TR-LINE-02707-1</t>
  </si>
  <si>
    <t>PAY-02707-2</t>
  </si>
  <si>
    <t>TR-LINE-02707-2</t>
  </si>
  <si>
    <t>PAY-02708-1</t>
  </si>
  <si>
    <t>TX-S03-0708</t>
  </si>
  <si>
    <t>TR-LINE-02708-1</t>
  </si>
  <si>
    <t>PAY-02708-2</t>
  </si>
  <si>
    <t>TR-LINE-02708-2</t>
  </si>
  <si>
    <t>PAY-02709-1</t>
  </si>
  <si>
    <t>TX-S03-0709</t>
  </si>
  <si>
    <t>TR-LINE-02709-1</t>
  </si>
  <si>
    <t>PAY-02709-2</t>
  </si>
  <si>
    <t>TR-LINE-02709-2</t>
  </si>
  <si>
    <t>PAY-02710-1</t>
  </si>
  <si>
    <t>TX-S03-0710</t>
  </si>
  <si>
    <t>TR-LINE-02710-1</t>
  </si>
  <si>
    <t>PAY-02710-2</t>
  </si>
  <si>
    <t>TR-LINE-02710-2</t>
  </si>
  <si>
    <t>PAY-02711-1</t>
  </si>
  <si>
    <t>TX-S03-0711</t>
  </si>
  <si>
    <t>TR-LINE-02711-1</t>
  </si>
  <si>
    <t>PAY-02711-2</t>
  </si>
  <si>
    <t>TR-LINE-02711-2</t>
  </si>
  <si>
    <t>PAY-02712-1</t>
  </si>
  <si>
    <t>TX-S03-0712</t>
  </si>
  <si>
    <t>TR-LINE-02712-1</t>
  </si>
  <si>
    <t>PAY-02712-2</t>
  </si>
  <si>
    <t>TR-LINE-02712-2</t>
  </si>
  <si>
    <t>PAY-02713-1</t>
  </si>
  <si>
    <t>TX-S03-0713</t>
  </si>
  <si>
    <t>TR-LINE-02713-1</t>
  </si>
  <si>
    <t>PAY-02713-2</t>
  </si>
  <si>
    <t>TR-LINE-02713-2</t>
  </si>
  <si>
    <t>PAY-02714-1</t>
  </si>
  <si>
    <t>TX-S03-0714</t>
  </si>
  <si>
    <t>TR-LINE-02714-1</t>
  </si>
  <si>
    <t>PAY-02714-2</t>
  </si>
  <si>
    <t>TR-LINE-02714-2</t>
  </si>
  <si>
    <t>PAY-02715-1</t>
  </si>
  <si>
    <t>TX-S03-0715</t>
  </si>
  <si>
    <t>TR-LINE-02715-1</t>
  </si>
  <si>
    <t>PAY-02715-2</t>
  </si>
  <si>
    <t>TR-LINE-02715-2</t>
  </si>
  <si>
    <t>PAY-02716-1</t>
  </si>
  <si>
    <t>TX-S03-0716</t>
  </si>
  <si>
    <t>TR-LINE-02716-1</t>
  </si>
  <si>
    <t>PAY-02716-2</t>
  </si>
  <si>
    <t>TR-LINE-02716-2</t>
  </si>
  <si>
    <t>PAY-02717-1</t>
  </si>
  <si>
    <t>TX-S03-0717</t>
  </si>
  <si>
    <t>TR-LINE-02717-1</t>
  </si>
  <si>
    <t>PAY-02717-2</t>
  </si>
  <si>
    <t>TR-LINE-02717-2</t>
  </si>
  <si>
    <t>PAY-02718-1</t>
  </si>
  <si>
    <t>TX-S03-0718</t>
  </si>
  <si>
    <t>TR-LINE-02718-1</t>
  </si>
  <si>
    <t>PAY-02718-2</t>
  </si>
  <si>
    <t>TR-LINE-02718-2</t>
  </si>
  <si>
    <t>PAY-02719-1</t>
  </si>
  <si>
    <t>TX-S03-0719</t>
  </si>
  <si>
    <t>TR-LINE-02719-1</t>
  </si>
  <si>
    <t>PAY-02719-2</t>
  </si>
  <si>
    <t>TR-LINE-02719-2</t>
  </si>
  <si>
    <t>PAY-02720-1</t>
  </si>
  <si>
    <t>TX-S03-0720</t>
  </si>
  <si>
    <t>TR-LINE-02720-1</t>
  </si>
  <si>
    <t>PAY-02720-2</t>
  </si>
  <si>
    <t>TR-LINE-02720-2</t>
  </si>
  <si>
    <t>PAY-02721-1</t>
  </si>
  <si>
    <t>TX-S03-0721</t>
  </si>
  <si>
    <t>TR-LINE-02721-1</t>
  </si>
  <si>
    <t>PAY-02721-2</t>
  </si>
  <si>
    <t>TR-LINE-02721-2</t>
  </si>
  <si>
    <t>PAY-02722-1</t>
  </si>
  <si>
    <t>TX-S03-0722</t>
  </si>
  <si>
    <t>TR-LINE-02722-1</t>
  </si>
  <si>
    <t>PAY-02722-2</t>
  </si>
  <si>
    <t>TR-LINE-02722-2</t>
  </si>
  <si>
    <t>PAY-02723-1</t>
  </si>
  <si>
    <t>TX-S03-0723</t>
  </si>
  <si>
    <t>TR-LINE-02723-1</t>
  </si>
  <si>
    <t>PAY-02723-2</t>
  </si>
  <si>
    <t>TR-LINE-02723-2</t>
  </si>
  <si>
    <t>PAY-02724-1</t>
  </si>
  <si>
    <t>TX-S03-0724</t>
  </si>
  <si>
    <t>TR-LINE-02724-1</t>
  </si>
  <si>
    <t>PAY-02724-2</t>
  </si>
  <si>
    <t>TR-LINE-02724-2</t>
  </si>
  <si>
    <t>PAY-02725-1</t>
  </si>
  <si>
    <t>TX-S03-0725</t>
  </si>
  <si>
    <t>TR-LINE-02725-1</t>
  </si>
  <si>
    <t>PAY-02725-2</t>
  </si>
  <si>
    <t>TR-LINE-02725-2</t>
  </si>
  <si>
    <t>PAY-02726-1</t>
  </si>
  <si>
    <t>TX-S03-0726</t>
  </si>
  <si>
    <t>TR-LINE-02726-1</t>
  </si>
  <si>
    <t>PAY-02726-2</t>
  </si>
  <si>
    <t>TR-LINE-02726-2</t>
  </si>
  <si>
    <t>PAY-02727-1</t>
  </si>
  <si>
    <t>TX-S03-0727</t>
  </si>
  <si>
    <t>TR-LINE-02727-1</t>
  </si>
  <si>
    <t>PAY-02727-2</t>
  </si>
  <si>
    <t>TR-LINE-02727-2</t>
  </si>
  <si>
    <t>PAY-02728-1</t>
  </si>
  <si>
    <t>TX-S03-0728</t>
  </si>
  <si>
    <t>TR-LINE-02728-1</t>
  </si>
  <si>
    <t>PAY-02728-2</t>
  </si>
  <si>
    <t>TR-LINE-02728-2</t>
  </si>
  <si>
    <t>PAY-02729-1</t>
  </si>
  <si>
    <t>TX-S03-0729</t>
  </si>
  <si>
    <t>TR-LINE-02729-1</t>
  </si>
  <si>
    <t>PAY-02729-2</t>
  </si>
  <si>
    <t>TR-LINE-02729-2</t>
  </si>
  <si>
    <t>PAY-02730-1</t>
  </si>
  <si>
    <t>TX-S03-0730</t>
  </si>
  <si>
    <t>TR-LINE-02730-1</t>
  </si>
  <si>
    <t>PAY-02730-2</t>
  </si>
  <si>
    <t>TR-LINE-02730-2</t>
  </si>
  <si>
    <t>PAY-02731-1</t>
  </si>
  <si>
    <t>TX-S03-0731</t>
  </si>
  <si>
    <t>TR-LINE-02731-1</t>
  </si>
  <si>
    <t>PAY-02731-2</t>
  </si>
  <si>
    <t>TR-LINE-02731-2</t>
  </si>
  <si>
    <t>PAY-02732-1</t>
  </si>
  <si>
    <t>TX-S03-0732</t>
  </si>
  <si>
    <t>TR-LINE-02732-1</t>
  </si>
  <si>
    <t>PAY-02732-2</t>
  </si>
  <si>
    <t>TR-LINE-02732-2</t>
  </si>
  <si>
    <t>PAY-02733-1</t>
  </si>
  <si>
    <t>TX-S03-0733</t>
  </si>
  <si>
    <t>TR-LINE-02733-1</t>
  </si>
  <si>
    <t>PAY-02733-2</t>
  </si>
  <si>
    <t>TR-LINE-02733-2</t>
  </si>
  <si>
    <t>PAY-02734-1</t>
  </si>
  <si>
    <t>TX-S03-0734</t>
  </si>
  <si>
    <t>TR-LINE-02734-1</t>
  </si>
  <si>
    <t>PAY-02734-2</t>
  </si>
  <si>
    <t>TR-LINE-02734-2</t>
  </si>
  <si>
    <t>PAY-02735-1</t>
  </si>
  <si>
    <t>TX-S03-0735</t>
  </si>
  <si>
    <t>TR-LINE-02735-1</t>
  </si>
  <si>
    <t>PAY-02735-2</t>
  </si>
  <si>
    <t>TR-LINE-02735-2</t>
  </si>
  <si>
    <t>PAY-02736-1</t>
  </si>
  <si>
    <t>TX-S03-0736</t>
  </si>
  <si>
    <t>TR-LINE-02736-1</t>
  </si>
  <si>
    <t>PAY-02736-2</t>
  </si>
  <si>
    <t>TR-LINE-02736-2</t>
  </si>
  <si>
    <t>PAY-02737-1</t>
  </si>
  <si>
    <t>TX-S03-0737</t>
  </si>
  <si>
    <t>TR-LINE-02737-1</t>
  </si>
  <si>
    <t>PAY-02737-2</t>
  </si>
  <si>
    <t>TR-LINE-02737-2</t>
  </si>
  <si>
    <t>PAY-02738-1</t>
  </si>
  <si>
    <t>TX-S03-0738</t>
  </si>
  <si>
    <t>TR-LINE-02738-1</t>
  </si>
  <si>
    <t>PAY-02739-1</t>
  </si>
  <si>
    <t>TX-S03-0739</t>
  </si>
  <si>
    <t>TR-LINE-02739-1</t>
  </si>
  <si>
    <t>PAY-02739-2</t>
  </si>
  <si>
    <t>TR-LINE-02739-2</t>
  </si>
  <si>
    <t>PAY-02740-1</t>
  </si>
  <si>
    <t>TX-S03-0740</t>
  </si>
  <si>
    <t>TR-LINE-02740-1</t>
  </si>
  <si>
    <t>PAY-02740-2</t>
  </si>
  <si>
    <t>TR-LINE-02740-2</t>
  </si>
  <si>
    <t>PAY-02741-1</t>
  </si>
  <si>
    <t>TX-S03-0741</t>
  </si>
  <si>
    <t>TR-LINE-02741-1</t>
  </si>
  <si>
    <t>PAY-02741-2</t>
  </si>
  <si>
    <t>TR-LINE-02741-2</t>
  </si>
  <si>
    <t>PAY-02742-1</t>
  </si>
  <si>
    <t>TX-S03-0742</t>
  </si>
  <si>
    <t>TR-LINE-02742-1</t>
  </si>
  <si>
    <t>PAY-02742-2</t>
  </si>
  <si>
    <t>TR-LINE-02742-2</t>
  </si>
  <si>
    <t>PAY-02743-1</t>
  </si>
  <si>
    <t>TX-S03-0743</t>
  </si>
  <si>
    <t>TR-LINE-02743-1</t>
  </si>
  <si>
    <t>PAY-02743-2</t>
  </si>
  <si>
    <t>TR-LINE-02743-2</t>
  </si>
  <si>
    <t>PAY-02744-1</t>
  </si>
  <si>
    <t>TX-S03-0744</t>
  </si>
  <si>
    <t>TR-LINE-02744-1</t>
  </si>
  <si>
    <t>PAY-02744-2</t>
  </si>
  <si>
    <t>TR-LINE-02744-2</t>
  </si>
  <si>
    <t>PAY-02745-1</t>
  </si>
  <si>
    <t>TX-S03-0745</t>
  </si>
  <si>
    <t>TR-LINE-02745-1</t>
  </si>
  <si>
    <t>PAY-02745-2</t>
  </si>
  <si>
    <t>TR-LINE-02745-2</t>
  </si>
  <si>
    <t>PAY-02746-1</t>
  </si>
  <si>
    <t>TX-S03-0746</t>
  </si>
  <si>
    <t>TR-LINE-02746-1</t>
  </si>
  <si>
    <t>PAY-02746-2</t>
  </si>
  <si>
    <t>TR-LINE-02746-2</t>
  </si>
  <si>
    <t>PAY-02747-1</t>
  </si>
  <si>
    <t>TX-S03-0747</t>
  </si>
  <si>
    <t>TR-LINE-02747-1</t>
  </si>
  <si>
    <t>PAY-02747-2</t>
  </si>
  <si>
    <t>TR-LINE-02747-2</t>
  </si>
  <si>
    <t>PAY-02748-1</t>
  </si>
  <si>
    <t>TX-S03-0748</t>
  </si>
  <si>
    <t>TR-LINE-02748-1</t>
  </si>
  <si>
    <t>PAY-02748-2</t>
  </si>
  <si>
    <t>TR-LINE-02748-2</t>
  </si>
  <si>
    <t>PAY-02749-1</t>
  </si>
  <si>
    <t>TX-S03-0749</t>
  </si>
  <si>
    <t>TR-LINE-02749-1</t>
  </si>
  <si>
    <t>PAY-02749-2</t>
  </si>
  <si>
    <t>TR-LINE-02749-2</t>
  </si>
  <si>
    <t>PAY-02750-1</t>
  </si>
  <si>
    <t>TX-S03-0750</t>
  </si>
  <si>
    <t>TR-LINE-02750-1</t>
  </si>
  <si>
    <t>PAY-02750-2</t>
  </si>
  <si>
    <t>TR-LINE-02750-2</t>
  </si>
  <si>
    <t>PAY-02751-1</t>
  </si>
  <si>
    <t>TX-S03-0751</t>
  </si>
  <si>
    <t>TR-LINE-02751-1</t>
  </si>
  <si>
    <t>PAY-02751-2</t>
  </si>
  <si>
    <t>TR-LINE-02751-2</t>
  </si>
  <si>
    <t>PAY-02752-1</t>
  </si>
  <si>
    <t>TX-S03-0752</t>
  </si>
  <si>
    <t>TR-LINE-02752-1</t>
  </si>
  <si>
    <t>PAY-02752-2</t>
  </si>
  <si>
    <t>TR-LINE-02752-2</t>
  </si>
  <si>
    <t>PAY-02753-1</t>
  </si>
  <si>
    <t>TX-S03-0753</t>
  </si>
  <si>
    <t>TR-LINE-02753-1</t>
  </si>
  <si>
    <t>PAY-02753-2</t>
  </si>
  <si>
    <t>TR-LINE-02753-2</t>
  </si>
  <si>
    <t>PAY-02754-1</t>
  </si>
  <si>
    <t>TX-S03-0754</t>
  </si>
  <si>
    <t>TR-LINE-02754-1</t>
  </si>
  <si>
    <t>PAY-02754-2</t>
  </si>
  <si>
    <t>TR-LINE-02754-2</t>
  </si>
  <si>
    <t>PAY-02755-1</t>
  </si>
  <si>
    <t>TX-S03-0755</t>
  </si>
  <si>
    <t>TR-LINE-02755-1</t>
  </si>
  <si>
    <t>PAY-02755-2</t>
  </si>
  <si>
    <t>TR-LINE-02755-2</t>
  </si>
  <si>
    <t>PAY-02756-1</t>
  </si>
  <si>
    <t>TX-S03-0756</t>
  </si>
  <si>
    <t>TR-LINE-02756-1</t>
  </si>
  <si>
    <t>PAY-02756-2</t>
  </si>
  <si>
    <t>TR-LINE-02756-2</t>
  </si>
  <si>
    <t>PAY-02757-1</t>
  </si>
  <si>
    <t>TX-S03-0757</t>
  </si>
  <si>
    <t>TR-LINE-02757-1</t>
  </si>
  <si>
    <t>PAY-02757-2</t>
  </si>
  <si>
    <t>TR-LINE-02757-2</t>
  </si>
  <si>
    <t>PAY-02758-1</t>
  </si>
  <si>
    <t>TX-S03-0758</t>
  </si>
  <si>
    <t>TR-LINE-02758-1</t>
  </si>
  <si>
    <t>PAY-02758-2</t>
  </si>
  <si>
    <t>TR-LINE-02758-2</t>
  </si>
  <si>
    <t>PAY-02759-1</t>
  </si>
  <si>
    <t>TX-S03-0759</t>
  </si>
  <si>
    <t>TR-LINE-02759-1</t>
  </si>
  <si>
    <t>PAY-02759-2</t>
  </si>
  <si>
    <t>TR-LINE-02759-2</t>
  </si>
  <si>
    <t>PAY-02760-1</t>
  </si>
  <si>
    <t>TX-S03-0760</t>
  </si>
  <si>
    <t>TR-LINE-02760-1</t>
  </si>
  <si>
    <t>PAY-02760-2</t>
  </si>
  <si>
    <t>TR-LINE-02760-2</t>
  </si>
  <si>
    <t>PAY-02761-1</t>
  </si>
  <si>
    <t>TX-S03-0761</t>
  </si>
  <si>
    <t>TR-LINE-02761-1</t>
  </si>
  <si>
    <t>PAY-02761-2</t>
  </si>
  <si>
    <t>TR-LINE-02761-2</t>
  </si>
  <si>
    <t>PAY-02762-1</t>
  </si>
  <si>
    <t>TX-S03-0762</t>
  </si>
  <si>
    <t>TR-LINE-02762-1</t>
  </si>
  <si>
    <t>PAY-02762-2</t>
  </si>
  <si>
    <t>TR-LINE-02762-2</t>
  </si>
  <si>
    <t>PAY-02763-1</t>
  </si>
  <si>
    <t>TX-S03-0763</t>
  </si>
  <si>
    <t>TR-LINE-02763-1</t>
  </si>
  <si>
    <t>PAY-02763-2</t>
  </si>
  <si>
    <t>TR-LINE-02763-2</t>
  </si>
  <si>
    <t>PAY-02764-1</t>
  </si>
  <si>
    <t>TX-S03-0764</t>
  </si>
  <si>
    <t>TR-LINE-02764-1</t>
  </si>
  <si>
    <t>PAY-02764-2</t>
  </si>
  <si>
    <t>TR-LINE-02764-2</t>
  </si>
  <si>
    <t>PAY-02765-1</t>
  </si>
  <si>
    <t>TX-S03-0765</t>
  </si>
  <si>
    <t>TR-LINE-02765-1</t>
  </si>
  <si>
    <t>PAY-02765-2</t>
  </si>
  <si>
    <t>TR-LINE-02765-2</t>
  </si>
  <si>
    <t>PAY-02766-1</t>
  </si>
  <si>
    <t>TX-S03-0766</t>
  </si>
  <si>
    <t>TR-LINE-02766-1</t>
  </si>
  <si>
    <t>PAY-02766-2</t>
  </si>
  <si>
    <t>TR-LINE-02766-2</t>
  </si>
  <si>
    <t>PAY-02767-1</t>
  </si>
  <si>
    <t>TX-S03-0767</t>
  </si>
  <si>
    <t>TR-LINE-02767-1</t>
  </si>
  <si>
    <t>PAY-02767-2</t>
  </si>
  <si>
    <t>TR-LINE-02767-2</t>
  </si>
  <si>
    <t>PAY-02768-1</t>
  </si>
  <si>
    <t>TX-S03-0768</t>
  </si>
  <si>
    <t>TR-LINE-02768-1</t>
  </si>
  <si>
    <t>PAY-02768-2</t>
  </si>
  <si>
    <t>TR-LINE-02768-2</t>
  </si>
  <si>
    <t>PAY-02769-1</t>
  </si>
  <si>
    <t>TX-S03-0769</t>
  </si>
  <si>
    <t>TR-LINE-02769-1</t>
  </si>
  <si>
    <t>PAY-02769-2</t>
  </si>
  <si>
    <t>TR-LINE-02769-2</t>
  </si>
  <si>
    <t>PAY-02770-1</t>
  </si>
  <si>
    <t>TX-S03-0770</t>
  </si>
  <si>
    <t>TR-LINE-02770-1</t>
  </si>
  <si>
    <t>PAY-02770-2</t>
  </si>
  <si>
    <t>TR-LINE-02770-2</t>
  </si>
  <si>
    <t>PAY-02771-1</t>
  </si>
  <si>
    <t>TX-S03-0771</t>
  </si>
  <si>
    <t>TR-LINE-02771-1</t>
  </si>
  <si>
    <t>PAY-02771-2</t>
  </si>
  <si>
    <t>TR-LINE-02771-2</t>
  </si>
  <si>
    <t>PAY-02772-1</t>
  </si>
  <si>
    <t>TX-S03-0772</t>
  </si>
  <si>
    <t>TR-LINE-02772-1</t>
  </si>
  <si>
    <t>PAY-02772-2</t>
  </si>
  <si>
    <t>TR-LINE-02772-2</t>
  </si>
  <si>
    <t>PAY-02773-1</t>
  </si>
  <si>
    <t>TX-S03-0773</t>
  </si>
  <si>
    <t>TR-LINE-02773-1</t>
  </si>
  <si>
    <t>PAY-02773-2</t>
  </si>
  <si>
    <t>TR-LINE-02773-2</t>
  </si>
  <si>
    <t>PAY-02774-1</t>
  </si>
  <si>
    <t>TX-S03-0774</t>
  </si>
  <si>
    <t>TR-LINE-02774-1</t>
  </si>
  <si>
    <t>PAY-02774-2</t>
  </si>
  <si>
    <t>TR-LINE-02774-2</t>
  </si>
  <si>
    <t>PAY-02775-1</t>
  </si>
  <si>
    <t>TX-S03-0775</t>
  </si>
  <si>
    <t>TR-LINE-02775-1</t>
  </si>
  <si>
    <t>PAY-02775-2</t>
  </si>
  <si>
    <t>TR-LINE-02775-2</t>
  </si>
  <si>
    <t>PAY-02776-1</t>
  </si>
  <si>
    <t>TX-S03-0776</t>
  </si>
  <si>
    <t>TR-LINE-02776-1</t>
  </si>
  <si>
    <t>PAY-02776-2</t>
  </si>
  <si>
    <t>TR-LINE-02776-2</t>
  </si>
  <si>
    <t>PAY-02777-1</t>
  </si>
  <si>
    <t>TX-S03-0777</t>
  </si>
  <si>
    <t>TR-LINE-02777-1</t>
  </si>
  <si>
    <t>PAY-02777-2</t>
  </si>
  <si>
    <t>TR-LINE-02777-2</t>
  </si>
  <si>
    <t>PAY-02778-1</t>
  </si>
  <si>
    <t>TX-S03-0778</t>
  </si>
  <si>
    <t>TR-LINE-02778-1</t>
  </si>
  <si>
    <t>PAY-02778-2</t>
  </si>
  <si>
    <t>TR-LINE-02778-2</t>
  </si>
  <si>
    <t>PAY-02779-1</t>
  </si>
  <si>
    <t>TX-S03-0779</t>
  </si>
  <si>
    <t>TR-LINE-02779-1</t>
  </si>
  <si>
    <t>PAY-02780-1</t>
  </si>
  <si>
    <t>TX-S03-0780</t>
  </si>
  <si>
    <t>TR-LINE-02780-1</t>
  </si>
  <si>
    <t>PAY-02780-2</t>
  </si>
  <si>
    <t>TR-LINE-02780-2</t>
  </si>
  <si>
    <t>PAY-02781-1</t>
  </si>
  <si>
    <t>TX-S03-0781</t>
  </si>
  <si>
    <t>TR-LINE-02781-1</t>
  </si>
  <si>
    <t>PAY-02781-2</t>
  </si>
  <si>
    <t>TR-LINE-02781-2</t>
  </si>
  <si>
    <t>PAY-02782-1</t>
  </si>
  <si>
    <t>TX-S03-0782</t>
  </si>
  <si>
    <t>TR-LINE-02782-1</t>
  </si>
  <si>
    <t>PAY-02782-2</t>
  </si>
  <si>
    <t>TR-LINE-02782-2</t>
  </si>
  <si>
    <t>PAY-02783-1</t>
  </si>
  <si>
    <t>TX-S03-0783</t>
  </si>
  <si>
    <t>TR-LINE-02783-1</t>
  </si>
  <si>
    <t>PAY-02783-2</t>
  </si>
  <si>
    <t>TR-LINE-02783-2</t>
  </si>
  <si>
    <t>PAY-02784-1</t>
  </si>
  <si>
    <t>TX-S03-0784</t>
  </si>
  <si>
    <t>TR-LINE-02784-1</t>
  </si>
  <si>
    <t>PAY-02784-2</t>
  </si>
  <si>
    <t>TR-LINE-02784-2</t>
  </si>
  <si>
    <t>PAY-02785-1</t>
  </si>
  <si>
    <t>TX-S03-0785</t>
  </si>
  <si>
    <t>TR-LINE-02785-1</t>
  </si>
  <si>
    <t>PAY-02785-2</t>
  </si>
  <si>
    <t>TR-LINE-02785-2</t>
  </si>
  <si>
    <t>PAY-02786-1</t>
  </si>
  <si>
    <t>TX-S03-0786</t>
  </si>
  <si>
    <t>TR-LINE-02786-1</t>
  </si>
  <si>
    <t>PAY-02786-2</t>
  </si>
  <si>
    <t>TR-LINE-02786-2</t>
  </si>
  <si>
    <t>PAY-02787-1</t>
  </si>
  <si>
    <t>TX-S03-0787</t>
  </si>
  <si>
    <t>TR-LINE-02787-1</t>
  </si>
  <si>
    <t>PAY-02787-2</t>
  </si>
  <si>
    <t>TR-LINE-02787-2</t>
  </si>
  <si>
    <t>PAY-02788-1</t>
  </si>
  <si>
    <t>TX-S03-0788</t>
  </si>
  <si>
    <t>TR-LINE-02788-1</t>
  </si>
  <si>
    <t>PAY-02788-2</t>
  </si>
  <si>
    <t>TR-LINE-02788-2</t>
  </si>
  <si>
    <t>PAY-02789-1</t>
  </si>
  <si>
    <t>TX-S03-0789</t>
  </si>
  <si>
    <t>TR-LINE-02789-1</t>
  </si>
  <si>
    <t>PAY-02789-2</t>
  </si>
  <si>
    <t>TR-LINE-02789-2</t>
  </si>
  <si>
    <t>PAY-02790-1</t>
  </si>
  <si>
    <t>TX-S03-0790</t>
  </si>
  <si>
    <t>TR-LINE-02790-1</t>
  </si>
  <si>
    <t>PAY-02790-2</t>
  </si>
  <si>
    <t>TR-LINE-02790-2</t>
  </si>
  <si>
    <t>PAY-02791-1</t>
  </si>
  <si>
    <t>TX-S03-0791</t>
  </si>
  <si>
    <t>TR-LINE-02791-1</t>
  </si>
  <si>
    <t>PAY-02791-2</t>
  </si>
  <si>
    <t>TR-LINE-02791-2</t>
  </si>
  <si>
    <t>PAY-02792-1</t>
  </si>
  <si>
    <t>TX-S03-0792</t>
  </si>
  <si>
    <t>TR-LINE-02792-1</t>
  </si>
  <si>
    <t>PAY-02792-2</t>
  </si>
  <si>
    <t>TR-LINE-02792-2</t>
  </si>
  <si>
    <t>PAY-02793-1</t>
  </si>
  <si>
    <t>TX-S03-0793</t>
  </si>
  <si>
    <t>TR-LINE-02793-1</t>
  </si>
  <si>
    <t>PAY-02793-2</t>
  </si>
  <si>
    <t>TR-LINE-02793-2</t>
  </si>
  <si>
    <t>PAY-02794-1</t>
  </si>
  <si>
    <t>TX-S03-0794</t>
  </si>
  <si>
    <t>TR-LINE-02794-1</t>
  </si>
  <si>
    <t>PAY-02794-2</t>
  </si>
  <si>
    <t>TR-LINE-02794-2</t>
  </si>
  <si>
    <t>PAY-02795-1</t>
  </si>
  <si>
    <t>TX-S03-0795</t>
  </si>
  <si>
    <t>TR-LINE-02795-1</t>
  </si>
  <si>
    <t>PAY-02795-2</t>
  </si>
  <si>
    <t>TR-LINE-02795-2</t>
  </si>
  <si>
    <t>PAY-02796-1</t>
  </si>
  <si>
    <t>TX-S03-0796</t>
  </si>
  <si>
    <t>TR-LINE-02796-1</t>
  </si>
  <si>
    <t>PAY-02796-2</t>
  </si>
  <si>
    <t>TR-LINE-02796-2</t>
  </si>
  <si>
    <t>PAY-02797-1</t>
  </si>
  <si>
    <t>TX-S03-0797</t>
  </si>
  <si>
    <t>TR-LINE-02797-1</t>
  </si>
  <si>
    <t>PAY-02797-2</t>
  </si>
  <si>
    <t>TR-LINE-02797-2</t>
  </si>
  <si>
    <t>PAY-02798-1</t>
  </si>
  <si>
    <t>TX-S03-0798</t>
  </si>
  <si>
    <t>TR-LINE-02798-1</t>
  </si>
  <si>
    <t>PAY-02798-2</t>
  </si>
  <si>
    <t>TR-LINE-02798-2</t>
  </si>
  <si>
    <t>PAY-02799-1</t>
  </si>
  <si>
    <t>TX-S03-0799</t>
  </si>
  <si>
    <t>TR-LINE-02799-1</t>
  </si>
  <si>
    <t>PAY-02799-2</t>
  </si>
  <si>
    <t>TR-LINE-02799-2</t>
  </si>
  <si>
    <t>PAY-02800-1</t>
  </si>
  <si>
    <t>TX-S03-0800</t>
  </si>
  <si>
    <t>TR-LINE-02800-1</t>
  </si>
  <si>
    <t>PAY-02800-2</t>
  </si>
  <si>
    <t>TR-LINE-02800-2</t>
  </si>
  <si>
    <t>PAY-02801-1</t>
  </si>
  <si>
    <t>TX-S03-0801</t>
  </si>
  <si>
    <t>TR-LINE-02801-1</t>
  </si>
  <si>
    <t>PAY-02801-2</t>
  </si>
  <si>
    <t>TR-LINE-02801-2</t>
  </si>
  <si>
    <t>PAY-02802-1</t>
  </si>
  <si>
    <t>TX-S03-0802</t>
  </si>
  <si>
    <t>TR-LINE-02802-1</t>
  </si>
  <si>
    <t>PAY-02802-2</t>
  </si>
  <si>
    <t>TR-LINE-02802-2</t>
  </si>
  <si>
    <t>PAY-02803-1</t>
  </si>
  <si>
    <t>TX-S03-0803</t>
  </si>
  <si>
    <t>TR-LINE-02803-1</t>
  </si>
  <si>
    <t>PAY-02803-2</t>
  </si>
  <si>
    <t>TR-LINE-02803-2</t>
  </si>
  <si>
    <t>PAY-02804-1</t>
  </si>
  <si>
    <t>TX-S03-0804</t>
  </si>
  <si>
    <t>TR-LINE-02804-1</t>
  </si>
  <si>
    <t>PAY-02804-2</t>
  </si>
  <si>
    <t>TR-LINE-02804-2</t>
  </si>
  <si>
    <t>PAY-02805-1</t>
  </si>
  <si>
    <t>TX-S03-0805</t>
  </si>
  <si>
    <t>TR-LINE-02805-1</t>
  </si>
  <si>
    <t>PAY-02805-2</t>
  </si>
  <si>
    <t>TR-LINE-02805-2</t>
  </si>
  <si>
    <t>PAY-02806-1</t>
  </si>
  <si>
    <t>TX-S03-0806</t>
  </si>
  <si>
    <t>TR-LINE-02806-1</t>
  </si>
  <si>
    <t>PAY-02806-2</t>
  </si>
  <si>
    <t>TR-LINE-02806-2</t>
  </si>
  <si>
    <t>PAY-02807-1</t>
  </si>
  <si>
    <t>TX-S03-0807</t>
  </si>
  <si>
    <t>TR-LINE-02807-1</t>
  </si>
  <si>
    <t>PAY-02807-2</t>
  </si>
  <si>
    <t>TR-LINE-02807-2</t>
  </si>
  <si>
    <t>PAY-02808-1</t>
  </si>
  <si>
    <t>TX-S03-0808</t>
  </si>
  <si>
    <t>TR-LINE-02808-1</t>
  </si>
  <si>
    <t>PAY-02808-2</t>
  </si>
  <si>
    <t>TR-LINE-02808-2</t>
  </si>
  <si>
    <t>PAY-02809-1</t>
  </si>
  <si>
    <t>TX-S03-0809</t>
  </si>
  <si>
    <t>TR-LINE-02809-1</t>
  </si>
  <si>
    <t>PAY-02809-2</t>
  </si>
  <si>
    <t>TR-LINE-02809-2</t>
  </si>
  <si>
    <t>PAY-02810-1</t>
  </si>
  <si>
    <t>TX-S03-0810</t>
  </si>
  <si>
    <t>TR-LINE-02810-1</t>
  </si>
  <si>
    <t>PAY-02810-2</t>
  </si>
  <si>
    <t>TR-LINE-02810-2</t>
  </si>
  <si>
    <t>PAY-02811-1</t>
  </si>
  <si>
    <t>TX-S03-0811</t>
  </si>
  <si>
    <t>TR-LINE-02811-1</t>
  </si>
  <si>
    <t>PAY-02811-2</t>
  </si>
  <si>
    <t>TR-LINE-02811-2</t>
  </si>
  <si>
    <t>PAY-02812-1</t>
  </si>
  <si>
    <t>TX-S03-0812</t>
  </si>
  <si>
    <t>TR-LINE-02812-1</t>
  </si>
  <si>
    <t>PAY-02812-2</t>
  </si>
  <si>
    <t>TR-LINE-02812-2</t>
  </si>
  <si>
    <t>PAY-02813-1</t>
  </si>
  <si>
    <t>TX-S03-0813</t>
  </si>
  <si>
    <t>TR-LINE-02813-1</t>
  </si>
  <si>
    <t>PAY-02813-2</t>
  </si>
  <si>
    <t>TR-LINE-02813-2</t>
  </si>
  <si>
    <t>PAY-02814-1</t>
  </si>
  <si>
    <t>TX-S03-0814</t>
  </si>
  <si>
    <t>TR-LINE-02814-1</t>
  </si>
  <si>
    <t>PAY-02814-2</t>
  </si>
  <si>
    <t>TR-LINE-02814-2</t>
  </si>
  <si>
    <t>PAY-02815-1</t>
  </si>
  <si>
    <t>TX-S03-0815</t>
  </si>
  <si>
    <t>TR-LINE-02815-1</t>
  </si>
  <si>
    <t>PAY-02815-2</t>
  </si>
  <si>
    <t>TR-LINE-02815-2</t>
  </si>
  <si>
    <t>PAY-02816-1</t>
  </si>
  <si>
    <t>TX-S03-0816</t>
  </si>
  <si>
    <t>TR-LINE-02816-1</t>
  </si>
  <si>
    <t>PAY-02816-2</t>
  </si>
  <si>
    <t>TR-LINE-02816-2</t>
  </si>
  <si>
    <t>PAY-02817-1</t>
  </si>
  <si>
    <t>TX-S03-0817</t>
  </si>
  <si>
    <t>TR-LINE-02817-1</t>
  </si>
  <si>
    <t>PAY-02817-2</t>
  </si>
  <si>
    <t>TR-LINE-02817-2</t>
  </si>
  <si>
    <t>PAY-02818-1</t>
  </si>
  <si>
    <t>TX-S03-0818</t>
  </si>
  <si>
    <t>TR-LINE-02818-1</t>
  </si>
  <si>
    <t>PAY-02818-2</t>
  </si>
  <si>
    <t>TR-LINE-02818-2</t>
  </si>
  <si>
    <t>PAY-02819-1</t>
  </si>
  <si>
    <t>TX-S03-0819</t>
  </si>
  <si>
    <t>TR-LINE-02819-1</t>
  </si>
  <si>
    <t>PAY-02819-2</t>
  </si>
  <si>
    <t>TR-LINE-02819-2</t>
  </si>
  <si>
    <t>PAY-02820-1</t>
  </si>
  <si>
    <t>TX-S03-0820</t>
  </si>
  <si>
    <t>TR-LINE-02820-1</t>
  </si>
  <si>
    <t>PAY-02821-1</t>
  </si>
  <si>
    <t>TX-S03-0821</t>
  </si>
  <si>
    <t>TR-LINE-02821-1</t>
  </si>
  <si>
    <t>PAY-02821-2</t>
  </si>
  <si>
    <t>TR-LINE-02821-2</t>
  </si>
  <si>
    <t>PAY-02822-1</t>
  </si>
  <si>
    <t>TX-S03-0822</t>
  </si>
  <si>
    <t>TR-LINE-02822-1</t>
  </si>
  <si>
    <t>PAY-02822-2</t>
  </si>
  <si>
    <t>TR-LINE-02822-2</t>
  </si>
  <si>
    <t>PAY-02823-1</t>
  </si>
  <si>
    <t>TX-S03-0823</t>
  </si>
  <si>
    <t>TR-LINE-02823-1</t>
  </si>
  <si>
    <t>PAY-02823-2</t>
  </si>
  <si>
    <t>TR-LINE-02823-2</t>
  </si>
  <si>
    <t>PAY-02824-1</t>
  </si>
  <si>
    <t>TX-S03-0824</t>
  </si>
  <si>
    <t>TR-LINE-02824-1</t>
  </si>
  <si>
    <t>PAY-02824-2</t>
  </si>
  <si>
    <t>TR-LINE-02824-2</t>
  </si>
  <si>
    <t>PAY-02825-1</t>
  </si>
  <si>
    <t>TX-S03-0825</t>
  </si>
  <si>
    <t>TR-LINE-02825-1</t>
  </si>
  <si>
    <t>PAY-02825-2</t>
  </si>
  <si>
    <t>TR-LINE-02825-2</t>
  </si>
  <si>
    <t>PAY-02826-1</t>
  </si>
  <si>
    <t>TX-S03-0826</t>
  </si>
  <si>
    <t>TR-LINE-02826-1</t>
  </si>
  <si>
    <t>PAY-02826-2</t>
  </si>
  <si>
    <t>TR-LINE-02826-2</t>
  </si>
  <si>
    <t>PAY-02827-1</t>
  </si>
  <si>
    <t>TX-S03-0827</t>
  </si>
  <si>
    <t>TR-LINE-02827-1</t>
  </si>
  <si>
    <t>PAY-02827-2</t>
  </si>
  <si>
    <t>TR-LINE-02827-2</t>
  </si>
  <si>
    <t>PAY-02828-1</t>
  </si>
  <si>
    <t>TX-S03-0828</t>
  </si>
  <si>
    <t>TR-LINE-02828-1</t>
  </si>
  <si>
    <t>PAY-02828-2</t>
  </si>
  <si>
    <t>TR-LINE-02828-2</t>
  </si>
  <si>
    <t>PAY-02829-1</t>
  </si>
  <si>
    <t>TX-S03-0829</t>
  </si>
  <si>
    <t>TR-LINE-02829-1</t>
  </si>
  <si>
    <t>PAY-02829-2</t>
  </si>
  <si>
    <t>TR-LINE-02829-2</t>
  </si>
  <si>
    <t>PAY-02830-1</t>
  </si>
  <si>
    <t>TX-S03-0830</t>
  </si>
  <si>
    <t>TR-LINE-02830-1</t>
  </si>
  <si>
    <t>PAY-02830-2</t>
  </si>
  <si>
    <t>TR-LINE-02830-2</t>
  </si>
  <si>
    <t>PAY-02831-1</t>
  </si>
  <si>
    <t>TX-S03-0831</t>
  </si>
  <si>
    <t>TR-LINE-02831-1</t>
  </si>
  <si>
    <t>PAY-02831-2</t>
  </si>
  <si>
    <t>TR-LINE-02831-2</t>
  </si>
  <si>
    <t>PAY-02832-1</t>
  </si>
  <si>
    <t>TX-S03-0832</t>
  </si>
  <si>
    <t>TR-LINE-02832-1</t>
  </si>
  <si>
    <t>PAY-02832-2</t>
  </si>
  <si>
    <t>TR-LINE-02832-2</t>
  </si>
  <si>
    <t>PAY-02833-1</t>
  </si>
  <si>
    <t>TX-S03-0833</t>
  </si>
  <si>
    <t>TR-LINE-02833-1</t>
  </si>
  <si>
    <t>PAY-02833-2</t>
  </si>
  <si>
    <t>TR-LINE-02833-2</t>
  </si>
  <si>
    <t>PAY-02834-1</t>
  </si>
  <si>
    <t>TX-S03-0834</t>
  </si>
  <si>
    <t>TR-LINE-02834-1</t>
  </si>
  <si>
    <t>PAY-02834-2</t>
  </si>
  <si>
    <t>TR-LINE-02834-2</t>
  </si>
  <si>
    <t>PAY-02835-1</t>
  </si>
  <si>
    <t>TX-S03-0835</t>
  </si>
  <si>
    <t>TR-LINE-02835-1</t>
  </si>
  <si>
    <t>PAY-02835-2</t>
  </si>
  <si>
    <t>TR-LINE-02835-2</t>
  </si>
  <si>
    <t>PAY-02836-1</t>
  </si>
  <si>
    <t>TX-S03-0836</t>
  </si>
  <si>
    <t>TR-LINE-02836-1</t>
  </si>
  <si>
    <t>PAY-02836-2</t>
  </si>
  <si>
    <t>TR-LINE-02836-2</t>
  </si>
  <si>
    <t>PAY-02837-1</t>
  </si>
  <si>
    <t>TX-S03-0837</t>
  </si>
  <si>
    <t>TR-LINE-02837-1</t>
  </si>
  <si>
    <t>PAY-02837-2</t>
  </si>
  <si>
    <t>TR-LINE-02837-2</t>
  </si>
  <si>
    <t>PAY-02838-1</t>
  </si>
  <si>
    <t>TX-S03-0838</t>
  </si>
  <si>
    <t>TR-LINE-02838-1</t>
  </si>
  <si>
    <t>PAY-02838-2</t>
  </si>
  <si>
    <t>TR-LINE-02838-2</t>
  </si>
  <si>
    <t>PAY-02839-1</t>
  </si>
  <si>
    <t>TX-S03-0839</t>
  </si>
  <si>
    <t>TR-LINE-02839-1</t>
  </si>
  <si>
    <t>PAY-02839-2</t>
  </si>
  <si>
    <t>TR-LINE-02839-2</t>
  </si>
  <si>
    <t>PAY-02840-1</t>
  </si>
  <si>
    <t>TX-S03-0840</t>
  </si>
  <si>
    <t>TR-LINE-02840-1</t>
  </si>
  <si>
    <t>PAY-02840-2</t>
  </si>
  <si>
    <t>TR-LINE-02840-2</t>
  </si>
  <si>
    <t>PAY-02841-1</t>
  </si>
  <si>
    <t>TX-S03-0841</t>
  </si>
  <si>
    <t>TR-LINE-02841-1</t>
  </si>
  <si>
    <t>PAY-02841-2</t>
  </si>
  <si>
    <t>TR-LINE-02841-2</t>
  </si>
  <si>
    <t>PAY-02842-1</t>
  </si>
  <si>
    <t>TX-S03-0842</t>
  </si>
  <si>
    <t>TR-LINE-02842-1</t>
  </si>
  <si>
    <t>PAY-02842-2</t>
  </si>
  <si>
    <t>TR-LINE-02842-2</t>
  </si>
  <si>
    <t>PAY-02843-1</t>
  </si>
  <si>
    <t>TX-S03-0843</t>
  </si>
  <si>
    <t>TR-LINE-02843-1</t>
  </si>
  <si>
    <t>PAY-02843-2</t>
  </si>
  <si>
    <t>TR-LINE-02843-2</t>
  </si>
  <si>
    <t>PAY-02844-1</t>
  </si>
  <si>
    <t>TX-S03-0844</t>
  </si>
  <si>
    <t>TR-LINE-02844-1</t>
  </si>
  <si>
    <t>PAY-02844-2</t>
  </si>
  <si>
    <t>TR-LINE-02844-2</t>
  </si>
  <si>
    <t>PAY-02845-1</t>
  </si>
  <si>
    <t>TX-S03-0845</t>
  </si>
  <si>
    <t>TR-LINE-02845-1</t>
  </si>
  <si>
    <t>PAY-02845-2</t>
  </si>
  <si>
    <t>TR-LINE-02845-2</t>
  </si>
  <si>
    <t>PAY-02846-1</t>
  </si>
  <si>
    <t>TX-S03-0846</t>
  </si>
  <si>
    <t>TR-LINE-02846-1</t>
  </si>
  <si>
    <t>PAY-02846-2</t>
  </si>
  <si>
    <t>TR-LINE-02846-2</t>
  </si>
  <si>
    <t>PAY-02847-1</t>
  </si>
  <si>
    <t>TX-S03-0847</t>
  </si>
  <si>
    <t>TR-LINE-02847-1</t>
  </si>
  <si>
    <t>PAY-02847-2</t>
  </si>
  <si>
    <t>TR-LINE-02847-2</t>
  </si>
  <si>
    <t>PAY-02848-1</t>
  </si>
  <si>
    <t>TX-S03-0848</t>
  </si>
  <si>
    <t>TR-LINE-02848-1</t>
  </si>
  <si>
    <t>PAY-02848-2</t>
  </si>
  <si>
    <t>TR-LINE-02848-2</t>
  </si>
  <si>
    <t>PAY-02849-1</t>
  </si>
  <si>
    <t>TX-S03-0849</t>
  </si>
  <si>
    <t>TR-LINE-02849-1</t>
  </si>
  <si>
    <t>PAY-02849-2</t>
  </si>
  <si>
    <t>TR-LINE-02849-2</t>
  </si>
  <si>
    <t>PAY-02850-1</t>
  </si>
  <si>
    <t>TX-S03-0850</t>
  </si>
  <si>
    <t>TR-LINE-02850-1</t>
  </si>
  <si>
    <t>PAY-02850-2</t>
  </si>
  <si>
    <t>TR-LINE-02850-2</t>
  </si>
  <si>
    <t>PAY-02851-1</t>
  </si>
  <si>
    <t>TX-S03-0851</t>
  </si>
  <si>
    <t>TR-LINE-02851-1</t>
  </si>
  <si>
    <t>PAY-02851-2</t>
  </si>
  <si>
    <t>TR-LINE-02851-2</t>
  </si>
  <si>
    <t>PAY-02852-1</t>
  </si>
  <si>
    <t>TX-S03-0852</t>
  </si>
  <si>
    <t>TR-LINE-02852-1</t>
  </si>
  <si>
    <t>PAY-02852-2</t>
  </si>
  <si>
    <t>TR-LINE-02852-2</t>
  </si>
  <si>
    <t>PAY-02853-1</t>
  </si>
  <si>
    <t>TX-S03-0853</t>
  </si>
  <si>
    <t>TR-LINE-02853-1</t>
  </si>
  <si>
    <t>PAY-02853-2</t>
  </si>
  <si>
    <t>TR-LINE-02853-2</t>
  </si>
  <si>
    <t>PAY-02854-1</t>
  </si>
  <si>
    <t>TX-S03-0854</t>
  </si>
  <si>
    <t>TR-LINE-02854-1</t>
  </si>
  <si>
    <t>PAY-02854-2</t>
  </si>
  <si>
    <t>TR-LINE-02854-2</t>
  </si>
  <si>
    <t>PAY-02855-1</t>
  </si>
  <si>
    <t>TX-S03-0855</t>
  </si>
  <si>
    <t>TR-LINE-02855-1</t>
  </si>
  <si>
    <t>PAY-02855-2</t>
  </si>
  <si>
    <t>TR-LINE-02855-2</t>
  </si>
  <si>
    <t>PAY-02856-1</t>
  </si>
  <si>
    <t>TX-S03-0856</t>
  </si>
  <si>
    <t>TR-LINE-02856-1</t>
  </si>
  <si>
    <t>PAY-02856-2</t>
  </si>
  <si>
    <t>TR-LINE-02856-2</t>
  </si>
  <si>
    <t>PAY-02857-1</t>
  </si>
  <si>
    <t>TX-S03-0857</t>
  </si>
  <si>
    <t>TR-LINE-02857-1</t>
  </si>
  <si>
    <t>PAY-02857-2</t>
  </si>
  <si>
    <t>TR-LINE-02857-2</t>
  </si>
  <si>
    <t>PAY-02858-1</t>
  </si>
  <si>
    <t>TX-S03-0858</t>
  </si>
  <si>
    <t>TR-LINE-02858-1</t>
  </si>
  <si>
    <t>PAY-02858-2</t>
  </si>
  <si>
    <t>TR-LINE-02858-2</t>
  </si>
  <si>
    <t>PAY-02859-1</t>
  </si>
  <si>
    <t>TX-S03-0859</t>
  </si>
  <si>
    <t>TR-LINE-02859-1</t>
  </si>
  <si>
    <t>PAY-02859-2</t>
  </si>
  <si>
    <t>TR-LINE-02859-2</t>
  </si>
  <si>
    <t>PAY-02860-1</t>
  </si>
  <si>
    <t>TX-S03-0860</t>
  </si>
  <si>
    <t>TR-LINE-02860-1</t>
  </si>
  <si>
    <t>PAY-02860-2</t>
  </si>
  <si>
    <t>TR-LINE-02860-2</t>
  </si>
  <si>
    <t>PAY-02861-1</t>
  </si>
  <si>
    <t>TX-S03-0861</t>
  </si>
  <si>
    <t>TR-LINE-02861-1</t>
  </si>
  <si>
    <t>PAY-02862-1</t>
  </si>
  <si>
    <t>TX-S03-0862</t>
  </si>
  <si>
    <t>TR-LINE-02862-1</t>
  </si>
  <si>
    <t>PAY-02862-2</t>
  </si>
  <si>
    <t>TR-LINE-02862-2</t>
  </si>
  <si>
    <t>PAY-02863-1</t>
  </si>
  <si>
    <t>TX-S03-0863</t>
  </si>
  <si>
    <t>TR-LINE-02863-1</t>
  </si>
  <si>
    <t>PAY-02863-2</t>
  </si>
  <si>
    <t>TR-LINE-02863-2</t>
  </si>
  <si>
    <t>PAY-02864-1</t>
  </si>
  <si>
    <t>TX-S03-0864</t>
  </si>
  <si>
    <t>TR-LINE-02864-1</t>
  </si>
  <si>
    <t>PAY-02864-2</t>
  </si>
  <si>
    <t>TR-LINE-02864-2</t>
  </si>
  <si>
    <t>PAY-02865-1</t>
  </si>
  <si>
    <t>TX-S03-0865</t>
  </si>
  <si>
    <t>TR-LINE-02865-1</t>
  </si>
  <si>
    <t>PAY-02865-2</t>
  </si>
  <si>
    <t>TR-LINE-02865-2</t>
  </si>
  <si>
    <t>PAY-02866-1</t>
  </si>
  <si>
    <t>TX-S03-0866</t>
  </si>
  <si>
    <t>TR-LINE-02866-1</t>
  </si>
  <si>
    <t>PAY-02866-2</t>
  </si>
  <si>
    <t>TR-LINE-02866-2</t>
  </si>
  <si>
    <t>PAY-02867-1</t>
  </si>
  <si>
    <t>TX-S03-0867</t>
  </si>
  <si>
    <t>TR-LINE-02867-1</t>
  </si>
  <si>
    <t>PAY-02867-2</t>
  </si>
  <si>
    <t>TR-LINE-02867-2</t>
  </si>
  <si>
    <t>PAY-02868-1</t>
  </si>
  <si>
    <t>TX-S03-0868</t>
  </si>
  <si>
    <t>TR-LINE-02868-1</t>
  </si>
  <si>
    <t>PAY-02868-2</t>
  </si>
  <si>
    <t>TR-LINE-02868-2</t>
  </si>
  <si>
    <t>PAY-02869-1</t>
  </si>
  <si>
    <t>TX-S03-0869</t>
  </si>
  <si>
    <t>TR-LINE-02869-1</t>
  </si>
  <si>
    <t>PAY-02869-2</t>
  </si>
  <si>
    <t>TR-LINE-02869-2</t>
  </si>
  <si>
    <t>PAY-02870-1</t>
  </si>
  <si>
    <t>TX-S03-0870</t>
  </si>
  <si>
    <t>TR-LINE-02870-1</t>
  </si>
  <si>
    <t>PAY-02870-2</t>
  </si>
  <si>
    <t>TR-LINE-02870-2</t>
  </si>
  <si>
    <t>PAY-02871-1</t>
  </si>
  <si>
    <t>TX-S03-0871</t>
  </si>
  <si>
    <t>TR-LINE-02871-1</t>
  </si>
  <si>
    <t>PAY-02871-2</t>
  </si>
  <si>
    <t>TR-LINE-02871-2</t>
  </si>
  <si>
    <t>PAY-02872-1</t>
  </si>
  <si>
    <t>TX-S03-0872</t>
  </si>
  <si>
    <t>TR-LINE-02872-1</t>
  </si>
  <si>
    <t>PAY-02872-2</t>
  </si>
  <si>
    <t>TR-LINE-02872-2</t>
  </si>
  <si>
    <t>PAY-02873-1</t>
  </si>
  <si>
    <t>TX-S03-0873</t>
  </si>
  <si>
    <t>TR-LINE-02873-1</t>
  </si>
  <si>
    <t>PAY-02873-2</t>
  </si>
  <si>
    <t>TR-LINE-02873-2</t>
  </si>
  <si>
    <t>PAY-02874-1</t>
  </si>
  <si>
    <t>TX-S03-0874</t>
  </si>
  <si>
    <t>TR-LINE-02874-1</t>
  </si>
  <si>
    <t>PAY-02874-2</t>
  </si>
  <si>
    <t>TR-LINE-02874-2</t>
  </si>
  <si>
    <t>PAY-02875-1</t>
  </si>
  <si>
    <t>TX-S03-0875</t>
  </si>
  <si>
    <t>TR-LINE-02875-1</t>
  </si>
  <si>
    <t>PAY-02875-2</t>
  </si>
  <si>
    <t>TR-LINE-02875-2</t>
  </si>
  <si>
    <t>PAY-02876-1</t>
  </si>
  <si>
    <t>TX-S03-0876</t>
  </si>
  <si>
    <t>TR-LINE-02876-1</t>
  </si>
  <si>
    <t>PAY-02876-2</t>
  </si>
  <si>
    <t>TR-LINE-02876-2</t>
  </si>
  <si>
    <t>PAY-02877-1</t>
  </si>
  <si>
    <t>TX-S03-0877</t>
  </si>
  <si>
    <t>TR-LINE-02877-1</t>
  </si>
  <si>
    <t>PAY-02877-2</t>
  </si>
  <si>
    <t>TR-LINE-02877-2</t>
  </si>
  <si>
    <t>PAY-02878-1</t>
  </si>
  <si>
    <t>TX-S03-0878</t>
  </si>
  <si>
    <t>TR-LINE-02878-1</t>
  </si>
  <si>
    <t>PAY-02878-2</t>
  </si>
  <si>
    <t>TR-LINE-02878-2</t>
  </si>
  <si>
    <t>PAY-02879-1</t>
  </si>
  <si>
    <t>TX-S03-0879</t>
  </si>
  <si>
    <t>TR-LINE-02879-1</t>
  </si>
  <si>
    <t>PAY-02879-2</t>
  </si>
  <si>
    <t>TR-LINE-02879-2</t>
  </si>
  <si>
    <t>PAY-02880-1</t>
  </si>
  <si>
    <t>TX-S03-0880</t>
  </si>
  <si>
    <t>TR-LINE-02880-1</t>
  </si>
  <si>
    <t>PAY-02880-2</t>
  </si>
  <si>
    <t>TR-LINE-02880-2</t>
  </si>
  <si>
    <t>PAY-02881-1</t>
  </si>
  <si>
    <t>TX-S03-0881</t>
  </si>
  <si>
    <t>TR-LINE-02881-1</t>
  </si>
  <si>
    <t>PAY-02881-2</t>
  </si>
  <si>
    <t>TR-LINE-02881-2</t>
  </si>
  <si>
    <t>PAY-02882-1</t>
  </si>
  <si>
    <t>TX-S03-0882</t>
  </si>
  <si>
    <t>TR-LINE-02882-1</t>
  </si>
  <si>
    <t>PAY-02882-2</t>
  </si>
  <si>
    <t>TR-LINE-02882-2</t>
  </si>
  <si>
    <t>PAY-02883-1</t>
  </si>
  <si>
    <t>TX-S03-0883</t>
  </si>
  <si>
    <t>TR-LINE-02883-1</t>
  </si>
  <si>
    <t>PAY-02883-2</t>
  </si>
  <si>
    <t>TR-LINE-02883-2</t>
  </si>
  <si>
    <t>PAY-02884-1</t>
  </si>
  <si>
    <t>TX-S03-0884</t>
  </si>
  <si>
    <t>TR-LINE-02884-1</t>
  </si>
  <si>
    <t>PAY-02884-2</t>
  </si>
  <si>
    <t>TR-LINE-02884-2</t>
  </si>
  <si>
    <t>PAY-02885-1</t>
  </si>
  <si>
    <t>TX-S03-0885</t>
  </si>
  <si>
    <t>TR-LINE-02885-1</t>
  </si>
  <si>
    <t>PAY-02885-2</t>
  </si>
  <si>
    <t>TR-LINE-02885-2</t>
  </si>
  <si>
    <t>PAY-02886-1</t>
  </si>
  <si>
    <t>TX-S03-0886</t>
  </si>
  <si>
    <t>TR-LINE-02886-1</t>
  </si>
  <si>
    <t>PAY-02886-2</t>
  </si>
  <si>
    <t>TR-LINE-02886-2</t>
  </si>
  <si>
    <t>PAY-02887-1</t>
  </si>
  <si>
    <t>TX-S03-0887</t>
  </si>
  <si>
    <t>TR-LINE-02887-1</t>
  </si>
  <si>
    <t>PAY-02887-2</t>
  </si>
  <si>
    <t>TR-LINE-02887-2</t>
  </si>
  <si>
    <t>PAY-02888-1</t>
  </si>
  <si>
    <t>TX-S03-0888</t>
  </si>
  <si>
    <t>TR-LINE-02888-1</t>
  </si>
  <si>
    <t>PAY-02888-2</t>
  </si>
  <si>
    <t>TR-LINE-02888-2</t>
  </si>
  <si>
    <t>PAY-02889-1</t>
  </si>
  <si>
    <t>TX-S03-0889</t>
  </si>
  <si>
    <t>TR-LINE-02889-1</t>
  </si>
  <si>
    <t>PAY-02889-2</t>
  </si>
  <si>
    <t>TR-LINE-02889-2</t>
  </si>
  <si>
    <t>PAY-02890-1</t>
  </si>
  <si>
    <t>TX-S03-0890</t>
  </si>
  <si>
    <t>TR-LINE-02890-1</t>
  </si>
  <si>
    <t>PAY-02890-2</t>
  </si>
  <si>
    <t>TR-LINE-02890-2</t>
  </si>
  <si>
    <t>PAY-02891-1</t>
  </si>
  <si>
    <t>TX-S03-0891</t>
  </si>
  <si>
    <t>TR-LINE-02891-1</t>
  </si>
  <si>
    <t>PAY-02891-2</t>
  </si>
  <si>
    <t>TR-LINE-02891-2</t>
  </si>
  <si>
    <t>PAY-02892-1</t>
  </si>
  <si>
    <t>TX-S03-0892</t>
  </si>
  <si>
    <t>TR-LINE-02892-1</t>
  </si>
  <si>
    <t>PAY-02892-2</t>
  </si>
  <si>
    <t>TR-LINE-02892-2</t>
  </si>
  <si>
    <t>PAY-02893-1</t>
  </si>
  <si>
    <t>TX-S03-0893</t>
  </si>
  <si>
    <t>TR-LINE-02893-1</t>
  </si>
  <si>
    <t>PAY-02893-2</t>
  </si>
  <si>
    <t>TR-LINE-02893-2</t>
  </si>
  <si>
    <t>PAY-02894-1</t>
  </si>
  <si>
    <t>TX-S03-0894</t>
  </si>
  <si>
    <t>TR-LINE-02894-1</t>
  </si>
  <si>
    <t>PAY-02894-2</t>
  </si>
  <si>
    <t>TR-LINE-02894-2</t>
  </si>
  <si>
    <t>PAY-02895-1</t>
  </si>
  <si>
    <t>TX-S03-0895</t>
  </si>
  <si>
    <t>TR-LINE-02895-1</t>
  </si>
  <si>
    <t>PAY-02895-2</t>
  </si>
  <si>
    <t>TR-LINE-02895-2</t>
  </si>
  <si>
    <t>PAY-02896-1</t>
  </si>
  <si>
    <t>TX-S03-0896</t>
  </si>
  <si>
    <t>TR-LINE-02896-1</t>
  </si>
  <si>
    <t>PAY-02896-2</t>
  </si>
  <si>
    <t>TR-LINE-02896-2</t>
  </si>
  <si>
    <t>PAY-02897-1</t>
  </si>
  <si>
    <t>TX-S03-0897</t>
  </si>
  <si>
    <t>TR-LINE-02897-1</t>
  </si>
  <si>
    <t>PAY-02897-2</t>
  </si>
  <si>
    <t>TR-LINE-02897-2</t>
  </si>
  <si>
    <t>PAY-02898-1</t>
  </si>
  <si>
    <t>TX-S03-0898</t>
  </si>
  <si>
    <t>TR-LINE-02898-1</t>
  </si>
  <si>
    <t>PAY-02898-2</t>
  </si>
  <si>
    <t>TR-LINE-02898-2</t>
  </si>
  <si>
    <t>PAY-02899-1</t>
  </si>
  <si>
    <t>TX-S03-0899</t>
  </si>
  <si>
    <t>TR-LINE-02899-1</t>
  </si>
  <si>
    <t>PAY-02899-2</t>
  </si>
  <si>
    <t>TR-LINE-02899-2</t>
  </si>
  <si>
    <t>PAY-02900-1</t>
  </si>
  <si>
    <t>TX-S03-0900</t>
  </si>
  <si>
    <t>TR-LINE-02900-1</t>
  </si>
  <si>
    <t>PAY-02900-2</t>
  </si>
  <si>
    <t>TR-LINE-02900-2</t>
  </si>
  <si>
    <t>PAY-02901-1</t>
  </si>
  <si>
    <t>TX-S03-0901</t>
  </si>
  <si>
    <t>TR-LINE-02901-1</t>
  </si>
  <si>
    <t>PAY-02901-2</t>
  </si>
  <si>
    <t>TR-LINE-02901-2</t>
  </si>
  <si>
    <t>PAY-02902-1</t>
  </si>
  <si>
    <t>TX-S03-0902</t>
  </si>
  <si>
    <t>TR-LINE-02902-1</t>
  </si>
  <si>
    <t>PAY-02903-1</t>
  </si>
  <si>
    <t>TX-S03-0903</t>
  </si>
  <si>
    <t>TR-LINE-02903-1</t>
  </si>
  <si>
    <t>PAY-02903-2</t>
  </si>
  <si>
    <t>TR-LINE-02903-2</t>
  </si>
  <si>
    <t>PAY-02904-1</t>
  </si>
  <si>
    <t>TX-S03-0904</t>
  </si>
  <si>
    <t>TR-LINE-02904-1</t>
  </si>
  <si>
    <t>PAY-02904-2</t>
  </si>
  <si>
    <t>TR-LINE-02904-2</t>
  </si>
  <si>
    <t>PAY-02905-1</t>
  </si>
  <si>
    <t>TX-S03-0905</t>
  </si>
  <si>
    <t>TR-LINE-02905-1</t>
  </si>
  <si>
    <t>PAY-02905-2</t>
  </si>
  <si>
    <t>TR-LINE-02905-2</t>
  </si>
  <si>
    <t>PAY-02906-1</t>
  </si>
  <si>
    <t>TX-S03-0906</t>
  </si>
  <si>
    <t>TR-LINE-02906-1</t>
  </si>
  <si>
    <t>PAY-02906-2</t>
  </si>
  <si>
    <t>TR-LINE-02906-2</t>
  </si>
  <si>
    <t>PAY-02907-1</t>
  </si>
  <si>
    <t>TX-S03-0907</t>
  </si>
  <si>
    <t>TR-LINE-02907-1</t>
  </si>
  <si>
    <t>PAY-02907-2</t>
  </si>
  <si>
    <t>TR-LINE-02907-2</t>
  </si>
  <si>
    <t>PAY-02908-1</t>
  </si>
  <si>
    <t>TX-S03-0908</t>
  </si>
  <si>
    <t>TR-LINE-02908-1</t>
  </si>
  <si>
    <t>PAY-02908-2</t>
  </si>
  <si>
    <t>TR-LINE-02908-2</t>
  </si>
  <si>
    <t>PAY-02909-1</t>
  </si>
  <si>
    <t>TX-S03-0909</t>
  </si>
  <si>
    <t>TR-LINE-02909-1</t>
  </si>
  <si>
    <t>PAY-02909-2</t>
  </si>
  <si>
    <t>TR-LINE-02909-2</t>
  </si>
  <si>
    <t>PAY-02910-1</t>
  </si>
  <si>
    <t>TX-S03-0910</t>
  </si>
  <si>
    <t>TR-LINE-02910-1</t>
  </si>
  <si>
    <t>PAY-02910-2</t>
  </si>
  <si>
    <t>TR-LINE-02910-2</t>
  </si>
  <si>
    <t>PAY-02911-1</t>
  </si>
  <si>
    <t>TX-S03-0911</t>
  </si>
  <si>
    <t>TR-LINE-02911-1</t>
  </si>
  <si>
    <t>PAY-02911-2</t>
  </si>
  <si>
    <t>TR-LINE-02911-2</t>
  </si>
  <si>
    <t>PAY-02912-1</t>
  </si>
  <si>
    <t>TX-S03-0912</t>
  </si>
  <si>
    <t>TR-LINE-02912-1</t>
  </si>
  <si>
    <t>PAY-02912-2</t>
  </si>
  <si>
    <t>TR-LINE-02912-2</t>
  </si>
  <si>
    <t>PAY-02913-1</t>
  </si>
  <si>
    <t>TX-S03-0913</t>
  </si>
  <si>
    <t>TR-LINE-02913-1</t>
  </si>
  <si>
    <t>PAY-02913-2</t>
  </si>
  <si>
    <t>TR-LINE-02913-2</t>
  </si>
  <si>
    <t>PAY-02914-1</t>
  </si>
  <si>
    <t>TX-S03-0914</t>
  </si>
  <si>
    <t>TR-LINE-02914-1</t>
  </si>
  <si>
    <t>PAY-02914-2</t>
  </si>
  <si>
    <t>TR-LINE-02914-2</t>
  </si>
  <si>
    <t>PAY-02915-1</t>
  </si>
  <si>
    <t>TX-S03-0915</t>
  </si>
  <si>
    <t>TR-LINE-02915-1</t>
  </si>
  <si>
    <t>PAY-02915-2</t>
  </si>
  <si>
    <t>TR-LINE-02915-2</t>
  </si>
  <si>
    <t>PAY-02916-1</t>
  </si>
  <si>
    <t>TX-S03-0916</t>
  </si>
  <si>
    <t>TR-LINE-02916-1</t>
  </si>
  <si>
    <t>PAY-02916-2</t>
  </si>
  <si>
    <t>TR-LINE-02916-2</t>
  </si>
  <si>
    <t>PAY-02917-1</t>
  </si>
  <si>
    <t>TX-S03-0917</t>
  </si>
  <si>
    <t>TR-LINE-02917-1</t>
  </si>
  <si>
    <t>PAY-02917-2</t>
  </si>
  <si>
    <t>TR-LINE-02917-2</t>
  </si>
  <si>
    <t>PAY-02918-1</t>
  </si>
  <si>
    <t>TX-S03-0918</t>
  </si>
  <si>
    <t>TR-LINE-02918-1</t>
  </si>
  <si>
    <t>PAY-02918-2</t>
  </si>
  <si>
    <t>TR-LINE-02918-2</t>
  </si>
  <si>
    <t>PAY-02919-1</t>
  </si>
  <si>
    <t>TX-S03-0919</t>
  </si>
  <si>
    <t>TR-LINE-02919-1</t>
  </si>
  <si>
    <t>PAY-02919-2</t>
  </si>
  <si>
    <t>TR-LINE-02919-2</t>
  </si>
  <si>
    <t>PAY-02920-1</t>
  </si>
  <si>
    <t>TX-S03-0920</t>
  </si>
  <si>
    <t>TR-LINE-02920-1</t>
  </si>
  <si>
    <t>PAY-02920-2</t>
  </si>
  <si>
    <t>TR-LINE-02920-2</t>
  </si>
  <si>
    <t>PAY-02921-1</t>
  </si>
  <si>
    <t>TX-S03-0921</t>
  </si>
  <si>
    <t>TR-LINE-02921-1</t>
  </si>
  <si>
    <t>PAY-02921-2</t>
  </si>
  <si>
    <t>TR-LINE-02921-2</t>
  </si>
  <si>
    <t>PAY-02922-1</t>
  </si>
  <si>
    <t>TX-S03-0922</t>
  </si>
  <si>
    <t>TR-LINE-02922-1</t>
  </si>
  <si>
    <t>PAY-02922-2</t>
  </si>
  <si>
    <t>TR-LINE-02922-2</t>
  </si>
  <si>
    <t>PAY-02923-1</t>
  </si>
  <si>
    <t>TX-S03-0923</t>
  </si>
  <si>
    <t>TR-LINE-02923-1</t>
  </si>
  <si>
    <t>PAY-02923-2</t>
  </si>
  <si>
    <t>TR-LINE-02923-2</t>
  </si>
  <si>
    <t>PAY-02924-1</t>
  </si>
  <si>
    <t>TX-S03-0924</t>
  </si>
  <si>
    <t>TR-LINE-02924-1</t>
  </si>
  <si>
    <t>PAY-02924-2</t>
  </si>
  <si>
    <t>TR-LINE-02924-2</t>
  </si>
  <si>
    <t>PAY-02925-1</t>
  </si>
  <si>
    <t>TX-S03-0925</t>
  </si>
  <si>
    <t>TR-LINE-02925-1</t>
  </si>
  <si>
    <t>PAY-02925-2</t>
  </si>
  <si>
    <t>TR-LINE-02925-2</t>
  </si>
  <si>
    <t>PAY-02926-1</t>
  </si>
  <si>
    <t>TX-S03-0926</t>
  </si>
  <si>
    <t>TR-LINE-02926-1</t>
  </si>
  <si>
    <t>PAY-02926-2</t>
  </si>
  <si>
    <t>TR-LINE-02926-2</t>
  </si>
  <si>
    <t>PAY-02927-1</t>
  </si>
  <si>
    <t>TX-S03-0927</t>
  </si>
  <si>
    <t>TR-LINE-02927-1</t>
  </si>
  <si>
    <t>PAY-02927-2</t>
  </si>
  <si>
    <t>TR-LINE-02927-2</t>
  </si>
  <si>
    <t>PAY-02928-1</t>
  </si>
  <si>
    <t>TX-S03-0928</t>
  </si>
  <si>
    <t>TR-LINE-02928-1</t>
  </si>
  <si>
    <t>PAY-02928-2</t>
  </si>
  <si>
    <t>TR-LINE-02928-2</t>
  </si>
  <si>
    <t>PAY-02929-1</t>
  </si>
  <si>
    <t>TX-S03-0929</t>
  </si>
  <si>
    <t>TR-LINE-02929-1</t>
  </si>
  <si>
    <t>PAY-02929-2</t>
  </si>
  <si>
    <t>TR-LINE-02929-2</t>
  </si>
  <si>
    <t>PAY-02930-1</t>
  </si>
  <si>
    <t>TX-S03-0930</t>
  </si>
  <si>
    <t>TR-LINE-02930-1</t>
  </si>
  <si>
    <t>PAY-02930-2</t>
  </si>
  <si>
    <t>TR-LINE-02930-2</t>
  </si>
  <si>
    <t>PAY-02931-1</t>
  </si>
  <si>
    <t>TX-S03-0931</t>
  </si>
  <si>
    <t>TR-LINE-02931-1</t>
  </si>
  <si>
    <t>PAY-02931-2</t>
  </si>
  <si>
    <t>TR-LINE-02931-2</t>
  </si>
  <si>
    <t>PAY-02932-1</t>
  </si>
  <si>
    <t>TX-S03-0932</t>
  </si>
  <si>
    <t>TR-LINE-02932-1</t>
  </si>
  <si>
    <t>PAY-02932-2</t>
  </si>
  <si>
    <t>TR-LINE-02932-2</t>
  </si>
  <si>
    <t>PAY-02933-1</t>
  </si>
  <si>
    <t>TX-S03-0933</t>
  </si>
  <si>
    <t>TR-LINE-02933-1</t>
  </si>
  <si>
    <t>PAY-02933-2</t>
  </si>
  <si>
    <t>TR-LINE-02933-2</t>
  </si>
  <si>
    <t>PAY-02934-1</t>
  </si>
  <si>
    <t>TX-S03-0934</t>
  </si>
  <si>
    <t>TR-LINE-02934-1</t>
  </si>
  <si>
    <t>PAY-02934-2</t>
  </si>
  <si>
    <t>TR-LINE-02934-2</t>
  </si>
  <si>
    <t>PAY-02935-1</t>
  </si>
  <si>
    <t>TX-S03-0935</t>
  </si>
  <si>
    <t>TR-LINE-02935-1</t>
  </si>
  <si>
    <t>PAY-02935-2</t>
  </si>
  <si>
    <t>TR-LINE-02935-2</t>
  </si>
  <si>
    <t>PAY-02936-1</t>
  </si>
  <si>
    <t>TX-S03-0936</t>
  </si>
  <si>
    <t>TR-LINE-02936-1</t>
  </si>
  <si>
    <t>PAY-02936-2</t>
  </si>
  <si>
    <t>TR-LINE-02936-2</t>
  </si>
  <si>
    <t>PAY-02937-1</t>
  </si>
  <si>
    <t>TX-S03-0937</t>
  </si>
  <si>
    <t>TR-LINE-02937-1</t>
  </si>
  <si>
    <t>PAY-02937-2</t>
  </si>
  <si>
    <t>TR-LINE-02937-2</t>
  </si>
  <si>
    <t>PAY-02938-1</t>
  </si>
  <si>
    <t>TX-S03-0938</t>
  </si>
  <si>
    <t>TR-LINE-02938-1</t>
  </si>
  <si>
    <t>PAY-02938-2</t>
  </si>
  <si>
    <t>TR-LINE-02938-2</t>
  </si>
  <si>
    <t>PAY-02939-1</t>
  </si>
  <si>
    <t>TX-S03-0939</t>
  </si>
  <si>
    <t>TR-LINE-02939-1</t>
  </si>
  <si>
    <t>PAY-02939-2</t>
  </si>
  <si>
    <t>TR-LINE-02939-2</t>
  </si>
  <si>
    <t>PAY-02940-1</t>
  </si>
  <si>
    <t>TX-S03-0940</t>
  </si>
  <si>
    <t>TR-LINE-02940-1</t>
  </si>
  <si>
    <t>PAY-02940-2</t>
  </si>
  <si>
    <t>TR-LINE-02940-2</t>
  </si>
  <si>
    <t>PAY-02941-1</t>
  </si>
  <si>
    <t>TX-S03-0941</t>
  </si>
  <si>
    <t>TR-LINE-02941-1</t>
  </si>
  <si>
    <t>PAY-02941-2</t>
  </si>
  <si>
    <t>TR-LINE-02941-2</t>
  </si>
  <si>
    <t>PAY-02942-1</t>
  </si>
  <si>
    <t>TX-S03-0942</t>
  </si>
  <si>
    <t>TR-LINE-02942-1</t>
  </si>
  <si>
    <t>PAY-02942-2</t>
  </si>
  <si>
    <t>TR-LINE-02942-2</t>
  </si>
  <si>
    <t>PAY-02943-1</t>
  </si>
  <si>
    <t>TX-S03-0943</t>
  </si>
  <si>
    <t>TR-LINE-02943-1</t>
  </si>
  <si>
    <t>PAY-02944-1</t>
  </si>
  <si>
    <t>TX-S03-0944</t>
  </si>
  <si>
    <t>TR-LINE-02944-1</t>
  </si>
  <si>
    <t>PAY-02944-2</t>
  </si>
  <si>
    <t>TR-LINE-02944-2</t>
  </si>
  <si>
    <t>PAY-02945-1</t>
  </si>
  <si>
    <t>TX-S03-0945</t>
  </si>
  <si>
    <t>TR-LINE-02945-1</t>
  </si>
  <si>
    <t>PAY-02945-2</t>
  </si>
  <si>
    <t>TR-LINE-02945-2</t>
  </si>
  <si>
    <t>PAY-02946-1</t>
  </si>
  <si>
    <t>TX-S03-0946</t>
  </si>
  <si>
    <t>TR-LINE-02946-1</t>
  </si>
  <si>
    <t>PAY-02946-2</t>
  </si>
  <si>
    <t>TR-LINE-02946-2</t>
  </si>
  <si>
    <t>PAY-02947-1</t>
  </si>
  <si>
    <t>TX-S03-0947</t>
  </si>
  <si>
    <t>TR-LINE-02947-1</t>
  </si>
  <si>
    <t>PAY-02947-2</t>
  </si>
  <si>
    <t>TR-LINE-02947-2</t>
  </si>
  <si>
    <t>PAY-02948-1</t>
  </si>
  <si>
    <t>TX-S03-0948</t>
  </si>
  <si>
    <t>TR-LINE-02948-1</t>
  </si>
  <si>
    <t>PAY-02948-2</t>
  </si>
  <si>
    <t>TR-LINE-02948-2</t>
  </si>
  <si>
    <t>PAY-02949-1</t>
  </si>
  <si>
    <t>TX-S03-0949</t>
  </si>
  <si>
    <t>TR-LINE-02949-1</t>
  </si>
  <si>
    <t>PAY-02949-2</t>
  </si>
  <si>
    <t>TR-LINE-02949-2</t>
  </si>
  <si>
    <t>PAY-02950-1</t>
  </si>
  <si>
    <t>TX-S03-0950</t>
  </si>
  <si>
    <t>TR-LINE-02950-1</t>
  </si>
  <si>
    <t>PAY-02950-2</t>
  </si>
  <si>
    <t>TR-LINE-02950-2</t>
  </si>
  <si>
    <t>PAY-02951-1</t>
  </si>
  <si>
    <t>TX-S03-0951</t>
  </si>
  <si>
    <t>TR-LINE-02951-1</t>
  </si>
  <si>
    <t>PAY-02951-2</t>
  </si>
  <si>
    <t>TR-LINE-02951-2</t>
  </si>
  <si>
    <t>PAY-02952-1</t>
  </si>
  <si>
    <t>TX-S03-0952</t>
  </si>
  <si>
    <t>TR-LINE-02952-1</t>
  </si>
  <si>
    <t>PAY-02952-2</t>
  </si>
  <si>
    <t>TR-LINE-02952-2</t>
  </si>
  <si>
    <t>PAY-02953-1</t>
  </si>
  <si>
    <t>TX-S03-0953</t>
  </si>
  <si>
    <t>TR-LINE-02953-1</t>
  </si>
  <si>
    <t>PAY-02953-2</t>
  </si>
  <si>
    <t>TR-LINE-02953-2</t>
  </si>
  <si>
    <t>PAY-02954-1</t>
  </si>
  <si>
    <t>TX-S03-0954</t>
  </si>
  <si>
    <t>TR-LINE-02954-1</t>
  </si>
  <si>
    <t>PAY-02954-2</t>
  </si>
  <si>
    <t>TR-LINE-02954-2</t>
  </si>
  <si>
    <t>PAY-02955-1</t>
  </si>
  <si>
    <t>TX-S03-0955</t>
  </si>
  <si>
    <t>TR-LINE-02955-1</t>
  </si>
  <si>
    <t>PAY-02955-2</t>
  </si>
  <si>
    <t>TR-LINE-02955-2</t>
  </si>
  <si>
    <t>PAY-02956-1</t>
  </si>
  <si>
    <t>TX-S03-0956</t>
  </si>
  <si>
    <t>TR-LINE-02956-1</t>
  </si>
  <si>
    <t>PAY-02956-2</t>
  </si>
  <si>
    <t>TR-LINE-02956-2</t>
  </si>
  <si>
    <t>PAY-02957-1</t>
  </si>
  <si>
    <t>TX-S03-0957</t>
  </si>
  <si>
    <t>TR-LINE-02957-1</t>
  </si>
  <si>
    <t>PAY-02957-2</t>
  </si>
  <si>
    <t>TR-LINE-02957-2</t>
  </si>
  <si>
    <t>PAY-02958-1</t>
  </si>
  <si>
    <t>TX-S03-0958</t>
  </si>
  <si>
    <t>TR-LINE-02958-1</t>
  </si>
  <si>
    <t>PAY-02958-2</t>
  </si>
  <si>
    <t>TR-LINE-02958-2</t>
  </si>
  <si>
    <t>PAY-02959-1</t>
  </si>
  <si>
    <t>TX-S03-0959</t>
  </si>
  <si>
    <t>TR-LINE-02959-1</t>
  </si>
  <si>
    <t>PAY-02959-2</t>
  </si>
  <si>
    <t>TR-LINE-02959-2</t>
  </si>
  <si>
    <t>PAY-02960-1</t>
  </si>
  <si>
    <t>TX-S03-0960</t>
  </si>
  <si>
    <t>TR-LINE-02960-1</t>
  </si>
  <si>
    <t>PAY-02960-2</t>
  </si>
  <si>
    <t>TR-LINE-02960-2</t>
  </si>
  <si>
    <t>PAY-02961-1</t>
  </si>
  <si>
    <t>TX-S03-0961</t>
  </si>
  <si>
    <t>TR-LINE-02961-1</t>
  </si>
  <si>
    <t>PAY-02961-2</t>
  </si>
  <si>
    <t>TR-LINE-02961-2</t>
  </si>
  <si>
    <t>PAY-02962-1</t>
  </si>
  <si>
    <t>TX-S03-0962</t>
  </si>
  <si>
    <t>TR-LINE-02962-1</t>
  </si>
  <si>
    <t>PAY-02962-2</t>
  </si>
  <si>
    <t>TR-LINE-02962-2</t>
  </si>
  <si>
    <t>PAY-02963-1</t>
  </si>
  <si>
    <t>TX-S03-0963</t>
  </si>
  <si>
    <t>TR-LINE-02963-1</t>
  </si>
  <si>
    <t>PAY-02963-2</t>
  </si>
  <si>
    <t>TR-LINE-02963-2</t>
  </si>
  <si>
    <t>PAY-02964-1</t>
  </si>
  <si>
    <t>TX-S03-0964</t>
  </si>
  <si>
    <t>TR-LINE-02964-1</t>
  </si>
  <si>
    <t>PAY-02964-2</t>
  </si>
  <si>
    <t>TR-LINE-02964-2</t>
  </si>
  <si>
    <t>PAY-02965-1</t>
  </si>
  <si>
    <t>TX-S03-0965</t>
  </si>
  <si>
    <t>TR-LINE-02965-1</t>
  </si>
  <si>
    <t>PAY-02965-2</t>
  </si>
  <si>
    <t>TR-LINE-02965-2</t>
  </si>
  <si>
    <t>PAY-02966-1</t>
  </si>
  <si>
    <t>TX-S03-0966</t>
  </si>
  <si>
    <t>TR-LINE-02966-1</t>
  </si>
  <si>
    <t>PAY-02966-2</t>
  </si>
  <si>
    <t>TR-LINE-02966-2</t>
  </si>
  <si>
    <t>PAY-02967-1</t>
  </si>
  <si>
    <t>TX-S03-0967</t>
  </si>
  <si>
    <t>TR-LINE-02967-1</t>
  </si>
  <si>
    <t>PAY-02967-2</t>
  </si>
  <si>
    <t>TR-LINE-02967-2</t>
  </si>
  <si>
    <t>PAY-02968-1</t>
  </si>
  <si>
    <t>TX-S03-0968</t>
  </si>
  <si>
    <t>TR-LINE-02968-1</t>
  </si>
  <si>
    <t>PAY-02968-2</t>
  </si>
  <si>
    <t>TR-LINE-02968-2</t>
  </si>
  <si>
    <t>PAY-02969-1</t>
  </si>
  <si>
    <t>TX-S03-0969</t>
  </si>
  <si>
    <t>TR-LINE-02969-1</t>
  </si>
  <si>
    <t>PAY-02969-2</t>
  </si>
  <si>
    <t>TR-LINE-02969-2</t>
  </si>
  <si>
    <t>PAY-02970-1</t>
  </si>
  <si>
    <t>TX-S03-0970</t>
  </si>
  <si>
    <t>TR-LINE-02970-1</t>
  </si>
  <si>
    <t>PAY-02970-2</t>
  </si>
  <si>
    <t>TR-LINE-02970-2</t>
  </si>
  <si>
    <t>PAY-02971-1</t>
  </si>
  <si>
    <t>TX-S03-0971</t>
  </si>
  <si>
    <t>TR-LINE-02971-1</t>
  </si>
  <si>
    <t>PAY-02971-2</t>
  </si>
  <si>
    <t>TR-LINE-02971-2</t>
  </si>
  <si>
    <t>PAY-02972-1</t>
  </si>
  <si>
    <t>TX-S03-0972</t>
  </si>
  <si>
    <t>TR-LINE-02972-1</t>
  </si>
  <si>
    <t>PAY-02972-2</t>
  </si>
  <si>
    <t>TR-LINE-02972-2</t>
  </si>
  <si>
    <t>PAY-02973-1</t>
  </si>
  <si>
    <t>TX-S03-0973</t>
  </si>
  <si>
    <t>TR-LINE-02973-1</t>
  </si>
  <si>
    <t>PAY-02973-2</t>
  </si>
  <si>
    <t>TR-LINE-02973-2</t>
  </si>
  <si>
    <t>PAY-02974-1</t>
  </si>
  <si>
    <t>TX-S03-0974</t>
  </si>
  <si>
    <t>TR-LINE-02974-1</t>
  </si>
  <si>
    <t>PAY-02974-2</t>
  </si>
  <si>
    <t>TR-LINE-02974-2</t>
  </si>
  <si>
    <t>PAY-02975-1</t>
  </si>
  <si>
    <t>TX-S03-0975</t>
  </si>
  <si>
    <t>TR-LINE-02975-1</t>
  </si>
  <si>
    <t>PAY-02975-2</t>
  </si>
  <si>
    <t>TR-LINE-02975-2</t>
  </si>
  <si>
    <t>PAY-02976-1</t>
  </si>
  <si>
    <t>TX-S03-0976</t>
  </si>
  <si>
    <t>TR-LINE-02976-1</t>
  </si>
  <si>
    <t>PAY-02976-2</t>
  </si>
  <si>
    <t>TR-LINE-02976-2</t>
  </si>
  <si>
    <t>PAY-02977-1</t>
  </si>
  <si>
    <t>TX-S03-0977</t>
  </si>
  <si>
    <t>TR-LINE-02977-1</t>
  </si>
  <si>
    <t>PAY-02977-2</t>
  </si>
  <si>
    <t>TR-LINE-02977-2</t>
  </si>
  <si>
    <t>PAY-02978-1</t>
  </si>
  <si>
    <t>TX-S03-0978</t>
  </si>
  <si>
    <t>TR-LINE-02978-1</t>
  </si>
  <si>
    <t>PAY-02978-2</t>
  </si>
  <si>
    <t>TR-LINE-02978-2</t>
  </si>
  <si>
    <t>PAY-02979-1</t>
  </si>
  <si>
    <t>TX-S03-0979</t>
  </si>
  <si>
    <t>TR-LINE-02979-1</t>
  </si>
  <si>
    <t>PAY-02979-2</t>
  </si>
  <si>
    <t>TR-LINE-02979-2</t>
  </si>
  <si>
    <t>PAY-02980-1</t>
  </si>
  <si>
    <t>TX-S03-0980</t>
  </si>
  <si>
    <t>TR-LINE-02980-1</t>
  </si>
  <si>
    <t>PAY-02980-2</t>
  </si>
  <si>
    <t>TR-LINE-02980-2</t>
  </si>
  <si>
    <t>PAY-02981-1</t>
  </si>
  <si>
    <t>TX-S03-0981</t>
  </si>
  <si>
    <t>TR-LINE-02981-1</t>
  </si>
  <si>
    <t>PAY-02981-2</t>
  </si>
  <si>
    <t>TR-LINE-02981-2</t>
  </si>
  <si>
    <t>PAY-02982-1</t>
  </si>
  <si>
    <t>TX-S03-0982</t>
  </si>
  <si>
    <t>TR-LINE-02982-1</t>
  </si>
  <si>
    <t>PAY-02982-2</t>
  </si>
  <si>
    <t>TR-LINE-02982-2</t>
  </si>
  <si>
    <t>PAY-02983-1</t>
  </si>
  <si>
    <t>TX-S03-0983</t>
  </si>
  <si>
    <t>TR-LINE-02983-1</t>
  </si>
  <si>
    <t>PAY-02983-2</t>
  </si>
  <si>
    <t>TR-LINE-02983-2</t>
  </si>
  <si>
    <t>PAY-02984-1</t>
  </si>
  <si>
    <t>TX-S03-0984</t>
  </si>
  <si>
    <t>TR-LINE-02984-1</t>
  </si>
  <si>
    <t>PAY-02985-1</t>
  </si>
  <si>
    <t>TX-S03-0985</t>
  </si>
  <si>
    <t>TR-LINE-02985-1</t>
  </si>
  <si>
    <t>PAY-02985-2</t>
  </si>
  <si>
    <t>TR-LINE-02985-2</t>
  </si>
  <si>
    <t>PAY-02986-1</t>
  </si>
  <si>
    <t>TX-S03-0986</t>
  </si>
  <si>
    <t>TR-LINE-02986-1</t>
  </si>
  <si>
    <t>PAY-02986-2</t>
  </si>
  <si>
    <t>TR-LINE-02986-2</t>
  </si>
  <si>
    <t>PAY-02987-1</t>
  </si>
  <si>
    <t>TX-S03-0987</t>
  </si>
  <si>
    <t>TR-LINE-02987-1</t>
  </si>
  <si>
    <t>PAY-02987-2</t>
  </si>
  <si>
    <t>TR-LINE-02987-2</t>
  </si>
  <si>
    <t>PAY-02988-1</t>
  </si>
  <si>
    <t>TX-S03-0988</t>
  </si>
  <si>
    <t>TR-LINE-02988-1</t>
  </si>
  <si>
    <t>PAY-02988-2</t>
  </si>
  <si>
    <t>TR-LINE-02988-2</t>
  </si>
  <si>
    <t>PAY-02989-1</t>
  </si>
  <si>
    <t>TX-S03-0989</t>
  </si>
  <si>
    <t>TR-LINE-02989-1</t>
  </si>
  <si>
    <t>PAY-02989-2</t>
  </si>
  <si>
    <t>TR-LINE-02989-2</t>
  </si>
  <si>
    <t>PAY-02990-1</t>
  </si>
  <si>
    <t>TX-S03-0990</t>
  </si>
  <si>
    <t>TR-LINE-02990-1</t>
  </si>
  <si>
    <t>PAY-02990-2</t>
  </si>
  <si>
    <t>TR-LINE-02990-2</t>
  </si>
  <si>
    <t>PAY-02991-1</t>
  </si>
  <si>
    <t>TX-S03-0991</t>
  </si>
  <si>
    <t>TR-LINE-02991-1</t>
  </si>
  <si>
    <t>PAY-02991-2</t>
  </si>
  <si>
    <t>TR-LINE-02991-2</t>
  </si>
  <si>
    <t>PAY-02992-1</t>
  </si>
  <si>
    <t>TX-S03-0992</t>
  </si>
  <si>
    <t>TR-LINE-02992-1</t>
  </si>
  <si>
    <t>PAY-02992-2</t>
  </si>
  <si>
    <t>TR-LINE-02992-2</t>
  </si>
  <si>
    <t>PAY-02993-1</t>
  </si>
  <si>
    <t>TX-S03-0993</t>
  </si>
  <si>
    <t>TR-LINE-02993-1</t>
  </si>
  <si>
    <t>PAY-02993-2</t>
  </si>
  <si>
    <t>TR-LINE-02993-2</t>
  </si>
  <si>
    <t>PAY-02994-1</t>
  </si>
  <si>
    <t>TX-S03-0994</t>
  </si>
  <si>
    <t>TR-LINE-02994-1</t>
  </si>
  <si>
    <t>PAY-02994-2</t>
  </si>
  <si>
    <t>TR-LINE-02994-2</t>
  </si>
  <si>
    <t>PAY-02995-1</t>
  </si>
  <si>
    <t>TX-S03-0995</t>
  </si>
  <si>
    <t>TR-LINE-02995-1</t>
  </si>
  <si>
    <t>PAY-02995-2</t>
  </si>
  <si>
    <t>TR-LINE-02995-2</t>
  </si>
  <si>
    <t>PAY-02996-1</t>
  </si>
  <si>
    <t>TX-S03-0996</t>
  </si>
  <si>
    <t>TR-LINE-02996-1</t>
  </si>
  <si>
    <t>PAY-02996-2</t>
  </si>
  <si>
    <t>TR-LINE-02996-2</t>
  </si>
  <si>
    <t>PAY-02997-1</t>
  </si>
  <si>
    <t>TX-S03-0997</t>
  </si>
  <si>
    <t>TR-LINE-02997-1</t>
  </si>
  <si>
    <t>PAY-02997-2</t>
  </si>
  <si>
    <t>TR-LINE-02997-2</t>
  </si>
  <si>
    <t>PAY-02998-1</t>
  </si>
  <si>
    <t>TX-S03-0998</t>
  </si>
  <si>
    <t>TR-LINE-02998-1</t>
  </si>
  <si>
    <t>PAY-02998-2</t>
  </si>
  <si>
    <t>TR-LINE-02998-2</t>
  </si>
  <si>
    <t>PAY-02999-1</t>
  </si>
  <si>
    <t>TX-S03-0999</t>
  </si>
  <si>
    <t>TR-LINE-02999-1</t>
  </si>
  <si>
    <t>PAY-02999-2</t>
  </si>
  <si>
    <t>TR-LINE-02999-2</t>
  </si>
  <si>
    <t>PAY-03000-1</t>
  </si>
  <si>
    <t>TX-S03-1000</t>
  </si>
  <si>
    <t>TR-LINE-03000-1</t>
  </si>
  <si>
    <t>PAY-03000-2</t>
  </si>
  <si>
    <t>TR-LINE-03000-2</t>
  </si>
  <si>
    <t>PAY-03001-1</t>
  </si>
  <si>
    <t>CTRL-ADJ-1</t>
  </si>
  <si>
    <t>TR-LINE-03001-1</t>
  </si>
  <si>
    <t>PAY-03001-2</t>
  </si>
  <si>
    <t>TR-LINE-03001-2</t>
  </si>
  <si>
    <t>PAY-03002-1</t>
  </si>
  <si>
    <t>CTRL-ADJ-2</t>
  </si>
  <si>
    <t>TR-LINE-03002-1</t>
  </si>
  <si>
    <t>PAY-03003-1</t>
  </si>
  <si>
    <t>CTRL-ADJ-3</t>
  </si>
  <si>
    <t>TR-LINE-03003-1</t>
  </si>
  <si>
    <t>PAY-03003-2</t>
  </si>
  <si>
    <t>TR-LINE-03003-2</t>
  </si>
  <si>
    <t>SiteName</t>
  </si>
  <si>
    <t>ActualCutoffPeriod</t>
  </si>
  <si>
    <t>OutstandingARBookUSD</t>
  </si>
  <si>
    <t>DatedARBookUSD</t>
  </si>
  <si>
    <t>UnallocatedARBookUSD</t>
  </si>
  <si>
    <t>OutstandingAPBookUSD</t>
  </si>
  <si>
    <t>DatedAPBookUSD</t>
  </si>
  <si>
    <t>UnallocatedAPBookUSD</t>
  </si>
  <si>
    <t>AllocationStatus</t>
  </si>
  <si>
    <t>Lembah Utara</t>
  </si>
  <si>
    <t>Bukit Timur</t>
  </si>
  <si>
    <t>Proyek Sentral</t>
  </si>
  <si>
    <t>Kebijakan transisi</t>
  </si>
  <si>
    <t>Aplikasi APPROVED/SCHEDULED bertanggal hanya untuk kewajiban sumber yang sudah ditutup aktual. Baris terjadwal tidak menjadi kejadian aktual. Hanya sisa positif belum dialokasikan diestimasi pada bulan prakiraan pertama pada nilai buku USD, FX 1, biaya penerimaan 0,08% / pembayaran 0,055%. Sisa negatif ditandai REVIEW, tidak dialokasikan diam-diam. Rasio hanya untuk bisnis asal prakiraan, bukan kewajiban aktual.</t>
  </si>
  <si>
    <t>Key</t>
  </si>
  <si>
    <t>ProductionOz</t>
  </si>
  <si>
    <t>SalesOz</t>
  </si>
  <si>
    <t>RevenueUSD</t>
  </si>
  <si>
    <t>OpexUSD</t>
  </si>
  <si>
    <t>CapexUSD</t>
  </si>
  <si>
    <t>OperatingSurplusUSD</t>
  </si>
  <si>
    <t>CollectionsUSD</t>
  </si>
  <si>
    <t>VendorPaymentsUSD</t>
  </si>
  <si>
    <t>BankFeesUSD</t>
  </si>
  <si>
    <t>NetCashMovementUSD</t>
  </si>
  <si>
    <t>6100</t>
  </si>
  <si>
    <t>6110</t>
  </si>
  <si>
    <t>6120</t>
  </si>
  <si>
    <t>6130</t>
  </si>
  <si>
    <t>6140</t>
  </si>
  <si>
    <t>6150</t>
  </si>
  <si>
    <t>6160</t>
  </si>
  <si>
    <t>6170</t>
  </si>
  <si>
    <t>6180</t>
  </si>
  <si>
    <t>6190</t>
  </si>
  <si>
    <t>S01|2026-06</t>
  </si>
  <si>
    <t>S01|2026-07</t>
  </si>
  <si>
    <t>S01|2026-08</t>
  </si>
  <si>
    <t>S01|2026-09</t>
  </si>
  <si>
    <t>S01|2026-10</t>
  </si>
  <si>
    <t>S01|2026-11</t>
  </si>
  <si>
    <t>S01|2026-12</t>
  </si>
  <si>
    <t>S02|2026-06</t>
  </si>
  <si>
    <t>S02|2026-07</t>
  </si>
  <si>
    <t>S02|2026-08</t>
  </si>
  <si>
    <t>S02|2026-09</t>
  </si>
  <si>
    <t>S02|2026-10</t>
  </si>
  <si>
    <t>S02|2026-11</t>
  </si>
  <si>
    <t>S02|2026-12</t>
  </si>
  <si>
    <t>S03|2026-06</t>
  </si>
  <si>
    <t>S03|2026-07</t>
  </si>
  <si>
    <t>S03|2026-08</t>
  </si>
  <si>
    <t>S03|2026-09</t>
  </si>
  <si>
    <t>S03|2026-10</t>
  </si>
  <si>
    <t>S03|2026-11</t>
  </si>
  <si>
    <t>S03|2026-12</t>
  </si>
  <si>
    <t>FIXED_CONTROLLER_SNAPSHOT</t>
  </si>
  <si>
    <t>Days</t>
  </si>
  <si>
    <t>OreTonnesPerDay</t>
  </si>
  <si>
    <t>HeadGrade_gpt</t>
  </si>
  <si>
    <t>RecoveryPct</t>
  </si>
  <si>
    <t>ClosingBullionOz</t>
  </si>
  <si>
    <t>PriceCurrency</t>
  </si>
  <si>
    <t>PriceLocalPerOz</t>
  </si>
  <si>
    <t>OpexFactor</t>
  </si>
  <si>
    <t>CapexPlanUSD</t>
  </si>
  <si>
    <t>Notes</t>
  </si>
  <si>
    <t>Asumsi rencana; produksi ditutup memakai sumber harian disetujui</t>
  </si>
  <si>
    <t>OpeningOz</t>
  </si>
  <si>
    <t>ShippedOz</t>
  </si>
  <si>
    <t>ClosingOz</t>
  </si>
  <si>
    <t>BridgeResidualOz</t>
  </si>
  <si>
    <t>CountRef</t>
  </si>
  <si>
    <t>BULLION-COUNT-S01-2026-06</t>
  </si>
  <si>
    <t>BULLION-COUNT-S01-2026-07</t>
  </si>
  <si>
    <t>BULLION-COUNT-S01-2026-08</t>
  </si>
  <si>
    <t>SYN-BULLION-PLAN</t>
  </si>
  <si>
    <t>BULLION-COUNT-S02-2026-06</t>
  </si>
  <si>
    <t>BULLION-COUNT-S02-2026-07</t>
  </si>
  <si>
    <t>BULLION-COUNT-S02-2026-08</t>
  </si>
  <si>
    <t>BULLION-COUNT-S03-2026-06</t>
  </si>
  <si>
    <t>BULLION-COUNT-S03-2026-07</t>
  </si>
  <si>
    <t>BULLION-COUNT-S03-2026-08</t>
  </si>
  <si>
    <t>PriceBasisCurrency</t>
  </si>
  <si>
    <t>PricePerOz</t>
  </si>
  <si>
    <t>USDPerPriceUnit</t>
  </si>
  <si>
    <t>RuleExpectedUSD</t>
  </si>
  <si>
    <t>ResidualUSD</t>
  </si>
  <si>
    <t>TotalUSD</t>
  </si>
  <si>
    <t>ExpectedUSD</t>
  </si>
  <si>
    <t>CommittedUSD</t>
  </si>
  <si>
    <t>OpeningCashUSD</t>
  </si>
  <si>
    <t>ClosingCashUSD</t>
  </si>
  <si>
    <t>OpeningARUSD</t>
  </si>
  <si>
    <t>InvoicesUSD</t>
  </si>
  <si>
    <t>ClosingARUSD</t>
  </si>
  <si>
    <t>ExpectedCollectionsUSD</t>
  </si>
  <si>
    <t>OpeningAPUSD</t>
  </si>
  <si>
    <t>CostsAndCapexUSD</t>
  </si>
  <si>
    <t>AppliedPayableBookUSD</t>
  </si>
  <si>
    <t>ClosingAPUSD</t>
  </si>
  <si>
    <t>CollectionFXUSD</t>
  </si>
  <si>
    <t>PaymentFXUSD</t>
  </si>
  <si>
    <t>BudgetRevenueUSD</t>
  </si>
  <si>
    <t>BudgetOpexUSD</t>
  </si>
  <si>
    <t>BudgetCapexUSD</t>
  </si>
  <si>
    <t>RevenueVarianceUSD</t>
  </si>
  <si>
    <t>OpexVarianceUSD</t>
  </si>
  <si>
    <t>CapexVarianceUSD</t>
  </si>
  <si>
    <t>PeriodStatus</t>
  </si>
  <si>
    <t>DecemberClosingCashUSD</t>
  </si>
  <si>
    <t>CashDecision</t>
  </si>
  <si>
    <t>Jun-Dec 2026</t>
  </si>
  <si>
    <t>OpexCertUSD</t>
  </si>
  <si>
    <t>CapexCertUSD</t>
  </si>
  <si>
    <t>ProductionCertOz</t>
  </si>
  <si>
    <t>RevenueCertUSD</t>
  </si>
  <si>
    <t>CollectionsCertUSD</t>
  </si>
  <si>
    <t>PaymentsCertUSD</t>
  </si>
  <si>
    <t>FeesCertUSD</t>
  </si>
  <si>
    <t>OpexDeltaUSD</t>
  </si>
  <si>
    <t>CapexDeltaUSD</t>
  </si>
  <si>
    <t>ProductionDeltaOz</t>
  </si>
  <si>
    <t>RevenueDeltaUSD</t>
  </si>
  <si>
    <t>StockDeltaOz</t>
  </si>
  <si>
    <t>CollectionsDeltaUSD</t>
  </si>
  <si>
    <t>JulySnapshotDeltaUSD</t>
  </si>
  <si>
    <t>VendorPaymentDeltaUSD</t>
  </si>
  <si>
    <t>FeeDeltaUSD</t>
  </si>
  <si>
    <t>Horizon revenue cross-check</t>
  </si>
  <si>
    <t>Closed ledger / treasury release check</t>
  </si>
  <si>
    <t>Pending settlement overallocation check</t>
  </si>
  <si>
    <t>Source</t>
  </si>
  <si>
    <t>FieldMapping</t>
  </si>
  <si>
    <t>SourceRows</t>
  </si>
  <si>
    <t>transaction_blueprint.json</t>
  </si>
  <si>
    <t>Ledger EventID / Account / AmountUSD</t>
  </si>
  <si>
    <t>Kebenaran sintetis asli sebelum impor</t>
  </si>
  <si>
    <t>calibration.json</t>
  </si>
  <si>
    <t>Three approved controller adjustments</t>
  </si>
  <si>
    <t>ledger_control.csv</t>
  </si>
  <si>
    <t>Site / Period / Account / ControlUSD</t>
  </si>
  <si>
    <t>Sertifikat sintetis independen, bukan impor dinormalisasi</t>
  </si>
  <si>
    <t>operations.csv</t>
  </si>
  <si>
    <t>ProductionID / Date / gold ounces</t>
  </si>
  <si>
    <t>Period / Currency / USD_per_unit</t>
  </si>
  <si>
    <t>budget.csv</t>
  </si>
  <si>
    <t>Site / Period / Account / BudgetUSD</t>
  </si>
  <si>
    <t>SYN-SALES-v1</t>
  </si>
  <si>
    <t>Shipment / assay / invoice / bullion bridge</t>
  </si>
  <si>
    <t>SYN-TREASURY-v1</t>
  </si>
  <si>
    <t>Collections / payments / bank fee / FX</t>
  </si>
  <si>
    <t>SYN-CAPEX-v1</t>
  </si>
  <si>
    <t>PO component / approved / certified / remaining</t>
  </si>
  <si>
    <t>ChangeID</t>
  </si>
  <si>
    <t>Date</t>
  </si>
  <si>
    <t>Stage</t>
  </si>
  <si>
    <t>BUILD-v1</t>
  </si>
  <si>
    <t>TRAINING_UNDER_REVIEW</t>
  </si>
  <si>
    <t>Model sintetis asli disiapkan untuk tinjauan; belum ada kesimpulan disetujui</t>
  </si>
  <si>
    <t>Field</t>
  </si>
  <si>
    <t>TypeOrMeaning</t>
  </si>
  <si>
    <t>Definition</t>
  </si>
  <si>
    <t>EventID</t>
  </si>
  <si>
    <t>Stable unique event reference</t>
  </si>
  <si>
    <t>Satu baris per kejadian buku besar, pengiriman, aplikasi penerimaan, pembayaran pemasok, hari produksi atau komitmen aset.</t>
  </si>
  <si>
    <t>Native Excel date, first day of month</t>
  </si>
  <si>
    <t>Mengendalikan batas periode. Format tampilan tidak mengubah tipe tanggal.</t>
  </si>
  <si>
    <t>AmountUSD</t>
  </si>
  <si>
    <t>USD cents</t>
  </si>
  <si>
    <t>Sen USD faktur atau kas penyelesaian bruto sesuai EventType; jangan jumlahkan jenis kejadian berbeda.</t>
  </si>
  <si>
    <t>QuantityOz</t>
  </si>
  <si>
    <t>Fine troy ounces</t>
  </si>
  <si>
    <t>Produksi dan pengiriman adalah kejadian fisik berbeda; jangan jumlahkan keduanya sebagai penjualan.</t>
  </si>
  <si>
    <t>Biaya bank adalah arus kas keluar terpisah, di luar surplus operasi.</t>
  </si>
  <si>
    <t>AppliedUSD</t>
  </si>
  <si>
    <t>Book value of invoice cleared</t>
  </si>
  <si>
    <t>Aplikasi piutang merekonsiliasi nilai buku faktur; kas penyelesaian memakai kurs periode pembayaran.</t>
  </si>
  <si>
    <t>Derived flag, not an additional event</t>
  </si>
  <si>
    <t>Settlement_Schedule mengulang ApplicationID perbendaharaan yang sama. Hanya kewajiban aktual ditutup dengan tanggal penyelesaian berikutnya. Buku piutang/utang, kurs kas dan biaya terpisah; Settlement_Bridge memisahkan estimasi sisa.</t>
  </si>
  <si>
    <t>APPROVED / SCHEDULED / HELD</t>
  </si>
  <si>
    <t>Hanya APPROVED dan periode aktual ditutup masuk ke aktual.</t>
  </si>
  <si>
    <t>RevenueUSD - OpexUSD</t>
  </si>
  <si>
    <t>Sebelum penyusutan, biaya pendanaan, pajak dan biaya. Bukan EBITDA.</t>
  </si>
  <si>
    <t>Decimal fraction</t>
  </si>
  <si>
    <t>0,914 = 91,4 persen. Jangan bagi fraksi tersimpan dengan 100.</t>
  </si>
  <si>
    <t>Stable English technical key</t>
  </si>
  <si>
    <t>S01 Lembah Utara; S02 Bukit Timur; S03 Proyek Sentral.</t>
  </si>
  <si>
    <t>EventDate</t>
  </si>
  <si>
    <t>Account</t>
  </si>
  <si>
    <t>AmountLocal</t>
  </si>
  <si>
    <t>FX</t>
  </si>
  <si>
    <t>BatchID</t>
  </si>
  <si>
    <t>RelatedID</t>
  </si>
  <si>
    <t>CommentaryRef</t>
  </si>
  <si>
    <t>Ledger</t>
  </si>
  <si>
    <t>transaction_blueprint:TX-S01-0001</t>
  </si>
  <si>
    <t>APP-LED-2026-06</t>
  </si>
  <si>
    <t>FIN-TX-S01-0001</t>
  </si>
  <si>
    <t>CERT-S01-2026-06-6100</t>
  </si>
  <si>
    <t>transaction_blueprint:TX-S01-0002</t>
  </si>
  <si>
    <t>FIN-TX-S01-0002</t>
  </si>
  <si>
    <t>CERT-S01-2026-06-6110</t>
  </si>
  <si>
    <t>transaction_blueprint:TX-S01-0003</t>
  </si>
  <si>
    <t>FIN-TX-S01-0003</t>
  </si>
  <si>
    <t>CERT-S01-2026-06-6120</t>
  </si>
  <si>
    <t>transaction_blueprint:TX-S01-0004</t>
  </si>
  <si>
    <t>FIN-TX-S01-0004</t>
  </si>
  <si>
    <t>CERT-S01-2026-06-6130</t>
  </si>
  <si>
    <t>transaction_blueprint:TX-S01-0005</t>
  </si>
  <si>
    <t>FIN-TX-S01-0005</t>
  </si>
  <si>
    <t>CERT-S01-2026-06-6140</t>
  </si>
  <si>
    <t>transaction_blueprint:TX-S01-0006</t>
  </si>
  <si>
    <t>FIN-TX-S01-0006</t>
  </si>
  <si>
    <t>CERT-S01-2026-06-6150</t>
  </si>
  <si>
    <t>transaction_blueprint:TX-S01-0007</t>
  </si>
  <si>
    <t>FIN-TX-S01-0007</t>
  </si>
  <si>
    <t>CERT-S01-2026-06-6160</t>
  </si>
  <si>
    <t>transaction_blueprint:TX-S01-0008</t>
  </si>
  <si>
    <t>FIN-TX-S01-0008</t>
  </si>
  <si>
    <t>CERT-S01-2026-06-6170</t>
  </si>
  <si>
    <t>transaction_blueprint:TX-S01-0009</t>
  </si>
  <si>
    <t>FIN-TX-S01-0009</t>
  </si>
  <si>
    <t>CERT-S01-2026-06-6180</t>
  </si>
  <si>
    <t>transaction_blueprint:TX-S01-0010</t>
  </si>
  <si>
    <t>FIN-TX-S01-0010</t>
  </si>
  <si>
    <t>CERT-S01-2026-06-6190</t>
  </si>
  <si>
    <t>transaction_blueprint:TX-S01-0011</t>
  </si>
  <si>
    <t>FIN-TX-S01-0011</t>
  </si>
  <si>
    <t>transaction_blueprint:TX-S01-0012</t>
  </si>
  <si>
    <t>FIN-TX-S01-0012</t>
  </si>
  <si>
    <t>transaction_blueprint:TX-S01-0013</t>
  </si>
  <si>
    <t>FIN-TX-S01-0013</t>
  </si>
  <si>
    <t>transaction_blueprint:TX-S01-0014</t>
  </si>
  <si>
    <t>FIN-TX-S01-0014</t>
  </si>
  <si>
    <t>transaction_blueprint:TX-S01-0015</t>
  </si>
  <si>
    <t>FIN-TX-S01-0015</t>
  </si>
  <si>
    <t>transaction_blueprint:TX-S01-0016</t>
  </si>
  <si>
    <t>FIN-TX-S01-0016</t>
  </si>
  <si>
    <t>transaction_blueprint:TX-S01-0017</t>
  </si>
  <si>
    <t>FIN-TX-S01-0017</t>
  </si>
  <si>
    <t>transaction_blueprint:TX-S01-0018</t>
  </si>
  <si>
    <t>FIN-TX-S01-0018</t>
  </si>
  <si>
    <t>transaction_blueprint:TX-S01-0019</t>
  </si>
  <si>
    <t>FIN-TX-S01-0019</t>
  </si>
  <si>
    <t>transaction_blueprint:TX-S01-0020</t>
  </si>
  <si>
    <t>FIN-TX-S01-0020</t>
  </si>
  <si>
    <t>transaction_blueprint:TX-S01-0021</t>
  </si>
  <si>
    <t>FIN-TX-S01-0021</t>
  </si>
  <si>
    <t>transaction_blueprint:TX-S01-0022</t>
  </si>
  <si>
    <t>FIN-TX-S01-0022</t>
  </si>
  <si>
    <t>transaction_blueprint:TX-S01-0023</t>
  </si>
  <si>
    <t>FIN-TX-S01-0023</t>
  </si>
  <si>
    <t>transaction_blueprint:TX-S01-0024</t>
  </si>
  <si>
    <t>FIN-TX-S01-0024</t>
  </si>
  <si>
    <t>transaction_blueprint:TX-S01-0025</t>
  </si>
  <si>
    <t>FIN-TX-S01-0025</t>
  </si>
  <si>
    <t>transaction_blueprint:TX-S01-0026</t>
  </si>
  <si>
    <t>FIN-TX-S01-0026</t>
  </si>
  <si>
    <t>transaction_blueprint:TX-S01-0027</t>
  </si>
  <si>
    <t>FIN-TX-S01-0027</t>
  </si>
  <si>
    <t>transaction_blueprint:TX-S01-0028</t>
  </si>
  <si>
    <t>FIN-TX-S01-0028</t>
  </si>
  <si>
    <t>transaction_blueprint:TX-S01-0029</t>
  </si>
  <si>
    <t>FIN-TX-S01-0029</t>
  </si>
  <si>
    <t>transaction_blueprint:TX-S01-0030</t>
  </si>
  <si>
    <t>FIN-TX-S01-0030</t>
  </si>
  <si>
    <t>transaction_blueprint:TX-S01-0031</t>
  </si>
  <si>
    <t>FIN-TX-S01-0031</t>
  </si>
  <si>
    <t>transaction_blueprint:TX-S01-0032</t>
  </si>
  <si>
    <t>FIN-TX-S01-0032</t>
  </si>
  <si>
    <t>transaction_blueprint:TX-S01-0033</t>
  </si>
  <si>
    <t>FIN-TX-S01-0033</t>
  </si>
  <si>
    <t>transaction_blueprint:TX-S01-0034</t>
  </si>
  <si>
    <t>FIN-TX-S01-0034</t>
  </si>
  <si>
    <t>transaction_blueprint:TX-S01-0035</t>
  </si>
  <si>
    <t>FIN-TX-S01-0035</t>
  </si>
  <si>
    <t>transaction_blueprint:TX-S01-0036</t>
  </si>
  <si>
    <t>FIN-TX-S01-0036</t>
  </si>
  <si>
    <t>transaction_blueprint:TX-S01-0037</t>
  </si>
  <si>
    <t>FIN-TX-S01-0037</t>
  </si>
  <si>
    <t>transaction_blueprint:TX-S01-0038</t>
  </si>
  <si>
    <t>FIN-TX-S01-0038</t>
  </si>
  <si>
    <t>transaction_blueprint:TX-S01-0039</t>
  </si>
  <si>
    <t>FIN-TX-S01-0039</t>
  </si>
  <si>
    <t>transaction_blueprint:TX-S01-0040</t>
  </si>
  <si>
    <t>FIN-TX-S01-0040</t>
  </si>
  <si>
    <t>transaction_blueprint:TX-S01-0041</t>
  </si>
  <si>
    <t>FIN-TX-S01-0041</t>
  </si>
  <si>
    <t>transaction_blueprint:TX-S01-0042</t>
  </si>
  <si>
    <t>FIN-TX-S01-0042</t>
  </si>
  <si>
    <t>transaction_blueprint:TX-S01-0043</t>
  </si>
  <si>
    <t>FIN-TX-S01-0043</t>
  </si>
  <si>
    <t>transaction_blueprint:TX-S01-0044</t>
  </si>
  <si>
    <t>FIN-TX-S01-0044</t>
  </si>
  <si>
    <t>transaction_blueprint:TX-S01-0045</t>
  </si>
  <si>
    <t>FIN-TX-S01-0045</t>
  </si>
  <si>
    <t>transaction_blueprint:TX-S01-0046</t>
  </si>
  <si>
    <t>FIN-TX-S01-0046</t>
  </si>
  <si>
    <t>transaction_blueprint:TX-S01-0047</t>
  </si>
  <si>
    <t>FIN-TX-S01-0047</t>
  </si>
  <si>
    <t>transaction_blueprint:TX-S01-0048</t>
  </si>
  <si>
    <t>FIN-TX-S01-0048</t>
  </si>
  <si>
    <t>transaction_blueprint:TX-S01-0049</t>
  </si>
  <si>
    <t>FIN-TX-S01-0049</t>
  </si>
  <si>
    <t>transaction_blueprint:TX-S01-0050</t>
  </si>
  <si>
    <t>FIN-TX-S01-0050</t>
  </si>
  <si>
    <t>transaction_blueprint:TX-S01-0051</t>
  </si>
  <si>
    <t>FIN-TX-S01-0051</t>
  </si>
  <si>
    <t>transaction_blueprint:TX-S01-0052</t>
  </si>
  <si>
    <t>FIN-TX-S01-0052</t>
  </si>
  <si>
    <t>transaction_blueprint:TX-S01-0053</t>
  </si>
  <si>
    <t>FIN-TX-S01-0053</t>
  </si>
  <si>
    <t>transaction_blueprint:TX-S01-0054</t>
  </si>
  <si>
    <t>FIN-TX-S01-0054</t>
  </si>
  <si>
    <t>transaction_blueprint:TX-S01-0055</t>
  </si>
  <si>
    <t>FIN-TX-S01-0055</t>
  </si>
  <si>
    <t>transaction_blueprint:TX-S01-0056</t>
  </si>
  <si>
    <t>FIN-TX-S01-0056</t>
  </si>
  <si>
    <t>transaction_blueprint:TX-S01-0057</t>
  </si>
  <si>
    <t>FIN-TX-S01-0057</t>
  </si>
  <si>
    <t>transaction_blueprint:TX-S01-0058</t>
  </si>
  <si>
    <t>FIN-TX-S01-0058</t>
  </si>
  <si>
    <t>transaction_blueprint:TX-S01-0059</t>
  </si>
  <si>
    <t>FIN-TX-S01-0059</t>
  </si>
  <si>
    <t>transaction_blueprint:TX-S01-0060</t>
  </si>
  <si>
    <t>FIN-TX-S01-0060</t>
  </si>
  <si>
    <t>transaction_blueprint:TX-S01-0061</t>
  </si>
  <si>
    <t>FIN-TX-S01-0061</t>
  </si>
  <si>
    <t>transaction_blueprint:TX-S01-0062</t>
  </si>
  <si>
    <t>FIN-TX-S01-0062</t>
  </si>
  <si>
    <t>transaction_blueprint:TX-S01-0063</t>
  </si>
  <si>
    <t>FIN-TX-S01-0063</t>
  </si>
  <si>
    <t>transaction_blueprint:TX-S01-0064</t>
  </si>
  <si>
    <t>FIN-TX-S01-0064</t>
  </si>
  <si>
    <t>transaction_blueprint:TX-S01-0065</t>
  </si>
  <si>
    <t>FIN-TX-S01-0065</t>
  </si>
  <si>
    <t>transaction_blueprint:TX-S01-0066</t>
  </si>
  <si>
    <t>FIN-TX-S01-0066</t>
  </si>
  <si>
    <t>transaction_blueprint:TX-S01-0067</t>
  </si>
  <si>
    <t>FIN-TX-S01-0067</t>
  </si>
  <si>
    <t>transaction_blueprint:TX-S01-0068</t>
  </si>
  <si>
    <t>FIN-TX-S01-0068</t>
  </si>
  <si>
    <t>transaction_blueprint:TX-S01-0069</t>
  </si>
  <si>
    <t>FIN-TX-S01-0069</t>
  </si>
  <si>
    <t>transaction_blueprint:TX-S01-0070</t>
  </si>
  <si>
    <t>FIN-TX-S01-0070</t>
  </si>
  <si>
    <t>transaction_blueprint:TX-S01-0071</t>
  </si>
  <si>
    <t>FIN-TX-S01-0071</t>
  </si>
  <si>
    <t>transaction_blueprint:TX-S01-0072</t>
  </si>
  <si>
    <t>FIN-TX-S01-0072</t>
  </si>
  <si>
    <t>transaction_blueprint:TX-S01-0073</t>
  </si>
  <si>
    <t>FIN-TX-S01-0073</t>
  </si>
  <si>
    <t>transaction_blueprint:TX-S01-0074</t>
  </si>
  <si>
    <t>FIN-TX-S01-0074</t>
  </si>
  <si>
    <t>transaction_blueprint:TX-S01-0075</t>
  </si>
  <si>
    <t>FIN-TX-S01-0075</t>
  </si>
  <si>
    <t>transaction_blueprint:TX-S01-0076</t>
  </si>
  <si>
    <t>FIN-TX-S01-0076</t>
  </si>
  <si>
    <t>transaction_blueprint:TX-S01-0077</t>
  </si>
  <si>
    <t>FIN-TX-S01-0077</t>
  </si>
  <si>
    <t>transaction_blueprint:TX-S01-0078</t>
  </si>
  <si>
    <t>FIN-TX-S01-0078</t>
  </si>
  <si>
    <t>transaction_blueprint:TX-S01-0079</t>
  </si>
  <si>
    <t>FIN-TX-S01-0079</t>
  </si>
  <si>
    <t>transaction_blueprint:TX-S01-0080</t>
  </si>
  <si>
    <t>FIN-TX-S01-0080</t>
  </si>
  <si>
    <t>transaction_blueprint:TX-S01-0081</t>
  </si>
  <si>
    <t>FIN-TX-S01-0081</t>
  </si>
  <si>
    <t>transaction_blueprint:TX-S01-0082</t>
  </si>
  <si>
    <t>FIN-TX-S01-0082</t>
  </si>
  <si>
    <t>transaction_blueprint:TX-S01-0083</t>
  </si>
  <si>
    <t>FIN-TX-S01-0083</t>
  </si>
  <si>
    <t>transaction_blueprint:TX-S01-0084</t>
  </si>
  <si>
    <t>FIN-TX-S01-0084</t>
  </si>
  <si>
    <t>transaction_blueprint:TX-S01-0085</t>
  </si>
  <si>
    <t>FIN-TX-S01-0085</t>
  </si>
  <si>
    <t>transaction_blueprint:TX-S01-0086</t>
  </si>
  <si>
    <t>FIN-TX-S01-0086</t>
  </si>
  <si>
    <t>transaction_blueprint:TX-S01-0087</t>
  </si>
  <si>
    <t>FIN-TX-S01-0087</t>
  </si>
  <si>
    <t>transaction_blueprint:TX-S01-0088</t>
  </si>
  <si>
    <t>FIN-TX-S01-0088</t>
  </si>
  <si>
    <t>transaction_blueprint:TX-S01-0089</t>
  </si>
  <si>
    <t>FIN-TX-S01-0089</t>
  </si>
  <si>
    <t>transaction_blueprint:TX-S01-0090</t>
  </si>
  <si>
    <t>FIN-TX-S01-0090</t>
  </si>
  <si>
    <t>transaction_blueprint:TX-S01-0091</t>
  </si>
  <si>
    <t>FIN-TX-S01-0091</t>
  </si>
  <si>
    <t>transaction_blueprint:TX-S01-0092</t>
  </si>
  <si>
    <t>FIN-TX-S01-0092</t>
  </si>
  <si>
    <t>transaction_blueprint:TX-S01-0093</t>
  </si>
  <si>
    <t>FIN-TX-S01-0093</t>
  </si>
  <si>
    <t>transaction_blueprint:TX-S01-0094</t>
  </si>
  <si>
    <t>FIN-TX-S01-0094</t>
  </si>
  <si>
    <t>transaction_blueprint:TX-S01-0095</t>
  </si>
  <si>
    <t>FIN-TX-S01-0095</t>
  </si>
  <si>
    <t>transaction_blueprint:TX-S01-0096</t>
  </si>
  <si>
    <t>FIN-TX-S01-0096</t>
  </si>
  <si>
    <t>transaction_blueprint:TX-S01-0097</t>
  </si>
  <si>
    <t>FIN-TX-S01-0097</t>
  </si>
  <si>
    <t>transaction_blueprint:TX-S01-0098</t>
  </si>
  <si>
    <t>FIN-TX-S01-0098</t>
  </si>
  <si>
    <t>transaction_blueprint:TX-S01-0099</t>
  </si>
  <si>
    <t>FIN-TX-S01-0099</t>
  </si>
  <si>
    <t>transaction_blueprint:TX-S01-0100</t>
  </si>
  <si>
    <t>FIN-TX-S01-0100</t>
  </si>
  <si>
    <t>transaction_blueprint:TX-S01-0101</t>
  </si>
  <si>
    <t>FIN-TX-S01-0101</t>
  </si>
  <si>
    <t>transaction_blueprint:TX-S01-0102</t>
  </si>
  <si>
    <t>FIN-TX-S01-0102</t>
  </si>
  <si>
    <t>transaction_blueprint:TX-S01-0103</t>
  </si>
  <si>
    <t>FIN-TX-S01-0103</t>
  </si>
  <si>
    <t>transaction_blueprint:TX-S01-0104</t>
  </si>
  <si>
    <t>FIN-TX-S01-0104</t>
  </si>
  <si>
    <t>transaction_blueprint:TX-S01-0105</t>
  </si>
  <si>
    <t>FIN-TX-S01-0105</t>
  </si>
  <si>
    <t>transaction_blueprint:TX-S01-0106</t>
  </si>
  <si>
    <t>FIN-TX-S01-0106</t>
  </si>
  <si>
    <t>transaction_blueprint:TX-S01-0107</t>
  </si>
  <si>
    <t>FIN-TX-S01-0107</t>
  </si>
  <si>
    <t>transaction_blueprint:TX-S01-0108</t>
  </si>
  <si>
    <t>FIN-TX-S01-0108</t>
  </si>
  <si>
    <t>transaction_blueprint:TX-S01-0109</t>
  </si>
  <si>
    <t>FIN-TX-S01-0109</t>
  </si>
  <si>
    <t>transaction_blueprint:TX-S01-0110</t>
  </si>
  <si>
    <t>FIN-TX-S01-0110</t>
  </si>
  <si>
    <t>transaction_blueprint:TX-S01-0111</t>
  </si>
  <si>
    <t>FIN-TX-S01-0111</t>
  </si>
  <si>
    <t>transaction_blueprint:TX-S01-0112</t>
  </si>
  <si>
    <t>FIN-TX-S01-0112</t>
  </si>
  <si>
    <t>transaction_blueprint:TX-S01-0113</t>
  </si>
  <si>
    <t>FIN-TX-S01-0113</t>
  </si>
  <si>
    <t>transaction_blueprint:TX-S01-0114</t>
  </si>
  <si>
    <t>FIN-TX-S01-0114</t>
  </si>
  <si>
    <t>transaction_blueprint:TX-S01-0115</t>
  </si>
  <si>
    <t>FIN-TX-S01-0115</t>
  </si>
  <si>
    <t>transaction_blueprint:TX-S01-0116</t>
  </si>
  <si>
    <t>FIN-TX-S01-0116</t>
  </si>
  <si>
    <t>transaction_blueprint:TX-S01-0117</t>
  </si>
  <si>
    <t>FIN-TX-S01-0117</t>
  </si>
  <si>
    <t>transaction_blueprint:TX-S01-0118</t>
  </si>
  <si>
    <t>FIN-TX-S01-0118</t>
  </si>
  <si>
    <t>transaction_blueprint:TX-S01-0119</t>
  </si>
  <si>
    <t>FIN-TX-S01-0119</t>
  </si>
  <si>
    <t>transaction_blueprint:TX-S01-0120</t>
  </si>
  <si>
    <t>FIN-TX-S01-0120</t>
  </si>
  <si>
    <t>transaction_blueprint:TX-S01-0121</t>
  </si>
  <si>
    <t>FIN-TX-S01-0121</t>
  </si>
  <si>
    <t>transaction_blueprint:TX-S01-0122</t>
  </si>
  <si>
    <t>FIN-TX-S01-0122</t>
  </si>
  <si>
    <t>transaction_blueprint:TX-S01-0123</t>
  </si>
  <si>
    <t>FIN-TX-S01-0123</t>
  </si>
  <si>
    <t>transaction_blueprint:TX-S01-0124</t>
  </si>
  <si>
    <t>FIN-TX-S01-0124</t>
  </si>
  <si>
    <t>transaction_blueprint:TX-S01-0125</t>
  </si>
  <si>
    <t>FIN-TX-S01-0125</t>
  </si>
  <si>
    <t>transaction_blueprint:TX-S01-0126</t>
  </si>
  <si>
    <t>FIN-TX-S01-0126</t>
  </si>
  <si>
    <t>transaction_blueprint:TX-S01-0127</t>
  </si>
  <si>
    <t>FIN-TX-S01-0127</t>
  </si>
  <si>
    <t>transaction_blueprint:TX-S01-0128</t>
  </si>
  <si>
    <t>FIN-TX-S01-0128</t>
  </si>
  <si>
    <t>transaction_blueprint:TX-S01-0129</t>
  </si>
  <si>
    <t>FIN-TX-S01-0129</t>
  </si>
  <si>
    <t>transaction_blueprint:TX-S01-0130</t>
  </si>
  <si>
    <t>FIN-TX-S01-0130</t>
  </si>
  <si>
    <t>transaction_blueprint:TX-S01-0131</t>
  </si>
  <si>
    <t>FIN-TX-S01-0131</t>
  </si>
  <si>
    <t>transaction_blueprint:TX-S01-0132</t>
  </si>
  <si>
    <t>FIN-TX-S01-0132</t>
  </si>
  <si>
    <t>transaction_blueprint:TX-S01-0133</t>
  </si>
  <si>
    <t>FIN-TX-S01-0133</t>
  </si>
  <si>
    <t>transaction_blueprint:TX-S01-0134</t>
  </si>
  <si>
    <t>FIN-TX-S01-0134</t>
  </si>
  <si>
    <t>transaction_blueprint:TX-S01-0135</t>
  </si>
  <si>
    <t>FIN-TX-S01-0135</t>
  </si>
  <si>
    <t>transaction_blueprint:TX-S01-0136</t>
  </si>
  <si>
    <t>FIN-TX-S01-0136</t>
  </si>
  <si>
    <t>transaction_blueprint:TX-S01-0137</t>
  </si>
  <si>
    <t>FIN-TX-S01-0137</t>
  </si>
  <si>
    <t>transaction_blueprint:TX-S01-0138</t>
  </si>
  <si>
    <t>FIN-TX-S01-0138</t>
  </si>
  <si>
    <t>transaction_blueprint:TX-S01-0139</t>
  </si>
  <si>
    <t>FIN-TX-S01-0139</t>
  </si>
  <si>
    <t>transaction_blueprint:TX-S01-0140</t>
  </si>
  <si>
    <t>FIN-TX-S01-0140</t>
  </si>
  <si>
    <t>transaction_blueprint:TX-S01-0141</t>
  </si>
  <si>
    <t>FIN-TX-S01-0141</t>
  </si>
  <si>
    <t>transaction_blueprint:TX-S01-0142</t>
  </si>
  <si>
    <t>FIN-TX-S01-0142</t>
  </si>
  <si>
    <t>transaction_blueprint:TX-S01-0143</t>
  </si>
  <si>
    <t>FIN-TX-S01-0143</t>
  </si>
  <si>
    <t>transaction_blueprint:TX-S01-0144</t>
  </si>
  <si>
    <t>FIN-TX-S01-0144</t>
  </si>
  <si>
    <t>transaction_blueprint:TX-S01-0145</t>
  </si>
  <si>
    <t>FIN-TX-S01-0145</t>
  </si>
  <si>
    <t>transaction_blueprint:TX-S01-0146</t>
  </si>
  <si>
    <t>FIN-TX-S01-0146</t>
  </si>
  <si>
    <t>transaction_blueprint:TX-S01-0147</t>
  </si>
  <si>
    <t>FIN-TX-S01-0147</t>
  </si>
  <si>
    <t>transaction_blueprint:TX-S01-0148</t>
  </si>
  <si>
    <t>FIN-TX-S01-0148</t>
  </si>
  <si>
    <t>transaction_blueprint:TX-S01-0149</t>
  </si>
  <si>
    <t>FIN-TX-S01-0149</t>
  </si>
  <si>
    <t>transaction_blueprint:TX-S01-0150</t>
  </si>
  <si>
    <t>FIN-TX-S01-0150</t>
  </si>
  <si>
    <t>transaction_blueprint:TX-S01-0151</t>
  </si>
  <si>
    <t>FIN-TX-S01-0151</t>
  </si>
  <si>
    <t>transaction_blueprint:TX-S01-0152</t>
  </si>
  <si>
    <t>FIN-TX-S01-0152</t>
  </si>
  <si>
    <t>transaction_blueprint:TX-S01-0153</t>
  </si>
  <si>
    <t>FIN-TX-S01-0153</t>
  </si>
  <si>
    <t>transaction_blueprint:TX-S01-0154</t>
  </si>
  <si>
    <t>FIN-TX-S01-0154</t>
  </si>
  <si>
    <t>transaction_blueprint:TX-S01-0155</t>
  </si>
  <si>
    <t>FIN-TX-S01-0155</t>
  </si>
  <si>
    <t>transaction_blueprint:TX-S01-0156</t>
  </si>
  <si>
    <t>FIN-TX-S01-0156</t>
  </si>
  <si>
    <t>transaction_blueprint:TX-S01-0157</t>
  </si>
  <si>
    <t>FIN-TX-S01-0157</t>
  </si>
  <si>
    <t>transaction_blueprint:TX-S01-0158</t>
  </si>
  <si>
    <t>FIN-TX-S01-0158</t>
  </si>
  <si>
    <t>transaction_blueprint:TX-S01-0159</t>
  </si>
  <si>
    <t>FIN-TX-S01-0159</t>
  </si>
  <si>
    <t>transaction_blueprint:TX-S01-0160</t>
  </si>
  <si>
    <t>FIN-TX-S01-0160</t>
  </si>
  <si>
    <t>transaction_blueprint:TX-S01-0161</t>
  </si>
  <si>
    <t>FIN-TX-S01-0161</t>
  </si>
  <si>
    <t>transaction_blueprint:TX-S01-0162</t>
  </si>
  <si>
    <t>FIN-TX-S01-0162</t>
  </si>
  <si>
    <t>transaction_blueprint:TX-S01-0163</t>
  </si>
  <si>
    <t>FIN-TX-S01-0163</t>
  </si>
  <si>
    <t>transaction_blueprint:TX-S01-0164</t>
  </si>
  <si>
    <t>FIN-TX-S01-0164</t>
  </si>
  <si>
    <t>transaction_blueprint:TX-S01-0165</t>
  </si>
  <si>
    <t>FIN-TX-S01-0165</t>
  </si>
  <si>
    <t>transaction_blueprint:TX-S01-0166</t>
  </si>
  <si>
    <t>FIN-TX-S01-0166</t>
  </si>
  <si>
    <t>transaction_blueprint:TX-S01-0167</t>
  </si>
  <si>
    <t>FIN-TX-S01-0167</t>
  </si>
  <si>
    <t>transaction_blueprint:TX-S01-0168</t>
  </si>
  <si>
    <t>FIN-TX-S01-0168</t>
  </si>
  <si>
    <t>transaction_blueprint:TX-S01-0169</t>
  </si>
  <si>
    <t>FIN-TX-S01-0169</t>
  </si>
  <si>
    <t>transaction_blueprint:TX-S01-0170</t>
  </si>
  <si>
    <t>FIN-TX-S01-0170</t>
  </si>
  <si>
    <t>transaction_blueprint:TX-S01-0171</t>
  </si>
  <si>
    <t>FIN-TX-S01-0171</t>
  </si>
  <si>
    <t>transaction_blueprint:TX-S01-0172</t>
  </si>
  <si>
    <t>FIN-TX-S01-0172</t>
  </si>
  <si>
    <t>transaction_blueprint:TX-S01-0173</t>
  </si>
  <si>
    <t>FIN-TX-S01-0173</t>
  </si>
  <si>
    <t>transaction_blueprint:TX-S01-0174</t>
  </si>
  <si>
    <t>FIN-TX-S01-0174</t>
  </si>
  <si>
    <t>transaction_blueprint:TX-S01-0175</t>
  </si>
  <si>
    <t>FIN-TX-S01-0175</t>
  </si>
  <si>
    <t>transaction_blueprint:TX-S01-0176</t>
  </si>
  <si>
    <t>FIN-TX-S01-0176</t>
  </si>
  <si>
    <t>transaction_blueprint:TX-S01-0177</t>
  </si>
  <si>
    <t>FIN-TX-S01-0177</t>
  </si>
  <si>
    <t>transaction_blueprint:TX-S01-0178</t>
  </si>
  <si>
    <t>FIN-TX-S01-0178</t>
  </si>
  <si>
    <t>transaction_blueprint:TX-S01-0179</t>
  </si>
  <si>
    <t>FIN-TX-S01-0179</t>
  </si>
  <si>
    <t>transaction_blueprint:TX-S01-0180</t>
  </si>
  <si>
    <t>FIN-TX-S01-0180</t>
  </si>
  <si>
    <t>transaction_blueprint:TX-S01-0181</t>
  </si>
  <si>
    <t>FIN-TX-S01-0181</t>
  </si>
  <si>
    <t>transaction_blueprint:TX-S01-0182</t>
  </si>
  <si>
    <t>FIN-TX-S01-0182</t>
  </si>
  <si>
    <t>transaction_blueprint:TX-S01-0183</t>
  </si>
  <si>
    <t>FIN-TX-S01-0183</t>
  </si>
  <si>
    <t>transaction_blueprint:TX-S01-0184</t>
  </si>
  <si>
    <t>FIN-TX-S01-0184</t>
  </si>
  <si>
    <t>transaction_blueprint:TX-S01-0185</t>
  </si>
  <si>
    <t>FIN-TX-S01-0185</t>
  </si>
  <si>
    <t>transaction_blueprint:TX-S01-0186</t>
  </si>
  <si>
    <t>FIN-TX-S01-0186</t>
  </si>
  <si>
    <t>transaction_blueprint:TX-S01-0187</t>
  </si>
  <si>
    <t>FIN-TX-S01-0187</t>
  </si>
  <si>
    <t>transaction_blueprint:TX-S01-0188</t>
  </si>
  <si>
    <t>FIN-TX-S01-0188</t>
  </si>
  <si>
    <t>transaction_blueprint:TX-S01-0189</t>
  </si>
  <si>
    <t>FIN-TX-S01-0189</t>
  </si>
  <si>
    <t>transaction_blueprint:TX-S01-0190</t>
  </si>
  <si>
    <t>FIN-TX-S01-0190</t>
  </si>
  <si>
    <t>transaction_blueprint:TX-S01-0191</t>
  </si>
  <si>
    <t>FIN-TX-S01-0191</t>
  </si>
  <si>
    <t>transaction_blueprint:TX-S01-0192</t>
  </si>
  <si>
    <t>FIN-TX-S01-0192</t>
  </si>
  <si>
    <t>transaction_blueprint:TX-S01-0193</t>
  </si>
  <si>
    <t>FIN-TX-S01-0193</t>
  </si>
  <si>
    <t>transaction_blueprint:TX-S01-0194</t>
  </si>
  <si>
    <t>FIN-TX-S01-0194</t>
  </si>
  <si>
    <t>transaction_blueprint:TX-S01-0195</t>
  </si>
  <si>
    <t>FIN-TX-S01-0195</t>
  </si>
  <si>
    <t>transaction_blueprint:TX-S01-0196</t>
  </si>
  <si>
    <t>FIN-TX-S01-0196</t>
  </si>
  <si>
    <t>transaction_blueprint:TX-S01-0197</t>
  </si>
  <si>
    <t>FIN-TX-S01-0197</t>
  </si>
  <si>
    <t>transaction_blueprint:TX-S01-0198</t>
  </si>
  <si>
    <t>FIN-TX-S01-0198</t>
  </si>
  <si>
    <t>transaction_blueprint:TX-S01-0199</t>
  </si>
  <si>
    <t>FIN-TX-S01-0199</t>
  </si>
  <si>
    <t>transaction_blueprint:TX-S01-0200</t>
  </si>
  <si>
    <t>FIN-TX-S01-0200</t>
  </si>
  <si>
    <t>transaction_blueprint:TX-S01-0201</t>
  </si>
  <si>
    <t>FIN-TX-S01-0201</t>
  </si>
  <si>
    <t>transaction_blueprint:TX-S01-0202</t>
  </si>
  <si>
    <t>FIN-TX-S01-0202</t>
  </si>
  <si>
    <t>transaction_blueprint:TX-S01-0203</t>
  </si>
  <si>
    <t>FIN-TX-S01-0203</t>
  </si>
  <si>
    <t>transaction_blueprint:TX-S01-0204</t>
  </si>
  <si>
    <t>FIN-TX-S01-0204</t>
  </si>
  <si>
    <t>transaction_blueprint:TX-S01-0205</t>
  </si>
  <si>
    <t>FIN-TX-S01-0205</t>
  </si>
  <si>
    <t>transaction_blueprint:TX-S01-0206</t>
  </si>
  <si>
    <t>FIN-TX-S01-0206</t>
  </si>
  <si>
    <t>transaction_blueprint:TX-S01-0207</t>
  </si>
  <si>
    <t>FIN-TX-S01-0207</t>
  </si>
  <si>
    <t>transaction_blueprint:TX-S01-0208</t>
  </si>
  <si>
    <t>FIN-TX-S01-0208</t>
  </si>
  <si>
    <t>transaction_blueprint:TX-S01-0209</t>
  </si>
  <si>
    <t>FIN-TX-S01-0209</t>
  </si>
  <si>
    <t>transaction_blueprint:TX-S01-0210</t>
  </si>
  <si>
    <t>FIN-TX-S01-0210</t>
  </si>
  <si>
    <t>transaction_blueprint:TX-S01-0211</t>
  </si>
  <si>
    <t>FIN-TX-S01-0211</t>
  </si>
  <si>
    <t>transaction_blueprint:TX-S01-0212</t>
  </si>
  <si>
    <t>FIN-TX-S01-0212</t>
  </si>
  <si>
    <t>transaction_blueprint:TX-S01-0213</t>
  </si>
  <si>
    <t>FIN-TX-S01-0213</t>
  </si>
  <si>
    <t>transaction_blueprint:TX-S01-0214</t>
  </si>
  <si>
    <t>FIN-TX-S01-0214</t>
  </si>
  <si>
    <t>transaction_blueprint:TX-S01-0215</t>
  </si>
  <si>
    <t>FIN-TX-S01-0215</t>
  </si>
  <si>
    <t>transaction_blueprint:TX-S01-0216</t>
  </si>
  <si>
    <t>FIN-TX-S01-0216</t>
  </si>
  <si>
    <t>transaction_blueprint:TX-S01-0217</t>
  </si>
  <si>
    <t>FIN-TX-S01-0217</t>
  </si>
  <si>
    <t>transaction_blueprint:TX-S01-0218</t>
  </si>
  <si>
    <t>FIN-TX-S01-0218</t>
  </si>
  <si>
    <t>transaction_blueprint:TX-S01-0219</t>
  </si>
  <si>
    <t>FIN-TX-S01-0219</t>
  </si>
  <si>
    <t>transaction_blueprint:TX-S01-0220</t>
  </si>
  <si>
    <t>FIN-TX-S01-0220</t>
  </si>
  <si>
    <t>transaction_blueprint:TX-S01-0221</t>
  </si>
  <si>
    <t>FIN-TX-S01-0221</t>
  </si>
  <si>
    <t>transaction_blueprint:TX-S01-0222</t>
  </si>
  <si>
    <t>FIN-TX-S01-0222</t>
  </si>
  <si>
    <t>transaction_blueprint:TX-S01-0223</t>
  </si>
  <si>
    <t>FIN-TX-S01-0223</t>
  </si>
  <si>
    <t>transaction_blueprint:TX-S01-0224</t>
  </si>
  <si>
    <t>FIN-TX-S01-0224</t>
  </si>
  <si>
    <t>transaction_blueprint:TX-S01-0225</t>
  </si>
  <si>
    <t>FIN-TX-S01-0225</t>
  </si>
  <si>
    <t>transaction_blueprint:TX-S01-0226</t>
  </si>
  <si>
    <t>FIN-TX-S01-0226</t>
  </si>
  <si>
    <t>transaction_blueprint:TX-S01-0227</t>
  </si>
  <si>
    <t>FIN-TX-S01-0227</t>
  </si>
  <si>
    <t>transaction_blueprint:TX-S01-0228</t>
  </si>
  <si>
    <t>FIN-TX-S01-0228</t>
  </si>
  <si>
    <t>transaction_blueprint:TX-S01-0229</t>
  </si>
  <si>
    <t>FIN-TX-S01-0229</t>
  </si>
  <si>
    <t>transaction_blueprint:TX-S01-0230</t>
  </si>
  <si>
    <t>FIN-TX-S01-0230</t>
  </si>
  <si>
    <t>transaction_blueprint:TX-S01-0231</t>
  </si>
  <si>
    <t>FIN-TX-S01-0231</t>
  </si>
  <si>
    <t>transaction_blueprint:TX-S01-0232</t>
  </si>
  <si>
    <t>FIN-TX-S01-0232</t>
  </si>
  <si>
    <t>transaction_blueprint:TX-S01-0233</t>
  </si>
  <si>
    <t>FIN-TX-S01-0233</t>
  </si>
  <si>
    <t>transaction_blueprint:TX-S01-0234</t>
  </si>
  <si>
    <t>FIN-TX-S01-0234</t>
  </si>
  <si>
    <t>transaction_blueprint:TX-S01-0235</t>
  </si>
  <si>
    <t>FIN-TX-S01-0235</t>
  </si>
  <si>
    <t>transaction_blueprint:TX-S01-0236</t>
  </si>
  <si>
    <t>FIN-TX-S01-0236</t>
  </si>
  <si>
    <t>transaction_blueprint:TX-S01-0237</t>
  </si>
  <si>
    <t>FIN-TX-S01-0237</t>
  </si>
  <si>
    <t>transaction_blueprint:TX-S01-0238</t>
  </si>
  <si>
    <t>FIN-TX-S01-0238</t>
  </si>
  <si>
    <t>transaction_blueprint:TX-S01-0239</t>
  </si>
  <si>
    <t>FIN-TX-S01-0239</t>
  </si>
  <si>
    <t>transaction_blueprint:TX-S01-0240</t>
  </si>
  <si>
    <t>FIN-TX-S01-0240</t>
  </si>
  <si>
    <t>transaction_blueprint:TX-S01-0241</t>
  </si>
  <si>
    <t>FIN-TX-S01-0241</t>
  </si>
  <si>
    <t>transaction_blueprint:TX-S01-0242</t>
  </si>
  <si>
    <t>FIN-TX-S01-0242</t>
  </si>
  <si>
    <t>transaction_blueprint:TX-S01-0243</t>
  </si>
  <si>
    <t>FIN-TX-S01-0243</t>
  </si>
  <si>
    <t>transaction_blueprint:TX-S01-0244</t>
  </si>
  <si>
    <t>FIN-TX-S01-0244</t>
  </si>
  <si>
    <t>transaction_blueprint:TX-S01-0245</t>
  </si>
  <si>
    <t>FIN-TX-S01-0245</t>
  </si>
  <si>
    <t>transaction_blueprint:TX-S01-0246</t>
  </si>
  <si>
    <t>FIN-TX-S01-0246</t>
  </si>
  <si>
    <t>transaction_blueprint:TX-S01-0247</t>
  </si>
  <si>
    <t>FIN-TX-S01-0247</t>
  </si>
  <si>
    <t>transaction_blueprint:TX-S01-0248</t>
  </si>
  <si>
    <t>FIN-TX-S01-0248</t>
  </si>
  <si>
    <t>transaction_blueprint:TX-S01-0249</t>
  </si>
  <si>
    <t>FIN-TX-S01-0249</t>
  </si>
  <si>
    <t>transaction_blueprint:TX-S01-0250</t>
  </si>
  <si>
    <t>FIN-TX-S01-0250</t>
  </si>
  <si>
    <t>transaction_blueprint:TX-S01-0251</t>
  </si>
  <si>
    <t>FIN-TX-S01-0251</t>
  </si>
  <si>
    <t>transaction_blueprint:TX-S01-0252</t>
  </si>
  <si>
    <t>FIN-TX-S01-0252</t>
  </si>
  <si>
    <t>transaction_blueprint:TX-S01-0253</t>
  </si>
  <si>
    <t>FIN-TX-S01-0253</t>
  </si>
  <si>
    <t>transaction_blueprint:TX-S01-0254</t>
  </si>
  <si>
    <t>FIN-TX-S01-0254</t>
  </si>
  <si>
    <t>transaction_blueprint:TX-S01-0255</t>
  </si>
  <si>
    <t>FIN-TX-S01-0255</t>
  </si>
  <si>
    <t>transaction_blueprint:TX-S01-0256</t>
  </si>
  <si>
    <t>FIN-TX-S01-0256</t>
  </si>
  <si>
    <t>transaction_blueprint:TX-S01-0257</t>
  </si>
  <si>
    <t>FIN-TX-S01-0257</t>
  </si>
  <si>
    <t>transaction_blueprint:TX-S01-0258</t>
  </si>
  <si>
    <t>FIN-TX-S01-0258</t>
  </si>
  <si>
    <t>transaction_blueprint:TX-S01-0259</t>
  </si>
  <si>
    <t>FIN-TX-S01-0259</t>
  </si>
  <si>
    <t>transaction_blueprint:TX-S01-0260</t>
  </si>
  <si>
    <t>FIN-TX-S01-0260</t>
  </si>
  <si>
    <t>transaction_blueprint:TX-S01-0261</t>
  </si>
  <si>
    <t>FIN-TX-S01-0261</t>
  </si>
  <si>
    <t>transaction_blueprint:TX-S01-0262</t>
  </si>
  <si>
    <t>FIN-TX-S01-0262</t>
  </si>
  <si>
    <t>transaction_blueprint:TX-S01-0263</t>
  </si>
  <si>
    <t>FIN-TX-S01-0263</t>
  </si>
  <si>
    <t>transaction_blueprint:TX-S01-0264</t>
  </si>
  <si>
    <t>FIN-TX-S01-0264</t>
  </si>
  <si>
    <t>transaction_blueprint:TX-S01-0265</t>
  </si>
  <si>
    <t>FIN-TX-S01-0265</t>
  </si>
  <si>
    <t>transaction_blueprint:TX-S01-0266</t>
  </si>
  <si>
    <t>FIN-TX-S01-0266</t>
  </si>
  <si>
    <t>transaction_blueprint:TX-S01-0267</t>
  </si>
  <si>
    <t>FIN-TX-S01-0267</t>
  </si>
  <si>
    <t>transaction_blueprint:TX-S01-0268</t>
  </si>
  <si>
    <t>FIN-TX-S01-0268</t>
  </si>
  <si>
    <t>transaction_blueprint:TX-S01-0269</t>
  </si>
  <si>
    <t>FIN-TX-S01-0269</t>
  </si>
  <si>
    <t>transaction_blueprint:TX-S01-0270</t>
  </si>
  <si>
    <t>FIN-TX-S01-0270</t>
  </si>
  <si>
    <t>transaction_blueprint:TX-S01-0271</t>
  </si>
  <si>
    <t>FIN-TX-S01-0271</t>
  </si>
  <si>
    <t>transaction_blueprint:TX-S01-0272</t>
  </si>
  <si>
    <t>FIN-TX-S01-0272</t>
  </si>
  <si>
    <t>transaction_blueprint:TX-S01-0273</t>
  </si>
  <si>
    <t>FIN-TX-S01-0273</t>
  </si>
  <si>
    <t>transaction_blueprint:TX-S01-0274</t>
  </si>
  <si>
    <t>FIN-TX-S01-0274</t>
  </si>
  <si>
    <t>transaction_blueprint:TX-S01-0275</t>
  </si>
  <si>
    <t>FIN-TX-S01-0275</t>
  </si>
  <si>
    <t>transaction_blueprint:TX-S01-0276</t>
  </si>
  <si>
    <t>FIN-TX-S01-0276</t>
  </si>
  <si>
    <t>transaction_blueprint:TX-S01-0277</t>
  </si>
  <si>
    <t>FIN-TX-S01-0277</t>
  </si>
  <si>
    <t>transaction_blueprint:TX-S01-0278</t>
  </si>
  <si>
    <t>FIN-TX-S01-0278</t>
  </si>
  <si>
    <t>transaction_blueprint:TX-S01-0279</t>
  </si>
  <si>
    <t>FIN-TX-S01-0279</t>
  </si>
  <si>
    <t>transaction_blueprint:TX-S01-0280</t>
  </si>
  <si>
    <t>FIN-TX-S01-0280</t>
  </si>
  <si>
    <t>transaction_blueprint:TX-S01-0281</t>
  </si>
  <si>
    <t>FIN-TX-S01-0281</t>
  </si>
  <si>
    <t>transaction_blueprint:TX-S01-0282</t>
  </si>
  <si>
    <t>FIN-TX-S01-0282</t>
  </si>
  <si>
    <t>transaction_blueprint:TX-S01-0283</t>
  </si>
  <si>
    <t>FIN-TX-S01-0283</t>
  </si>
  <si>
    <t>transaction_blueprint:TX-S01-0284</t>
  </si>
  <si>
    <t>FIN-TX-S01-0284</t>
  </si>
  <si>
    <t>transaction_blueprint:TX-S01-0285</t>
  </si>
  <si>
    <t>FIN-TX-S01-0285</t>
  </si>
  <si>
    <t>transaction_blueprint:TX-S01-0286</t>
  </si>
  <si>
    <t>FIN-TX-S01-0286</t>
  </si>
  <si>
    <t>transaction_blueprint:TX-S01-0287</t>
  </si>
  <si>
    <t>FIN-TX-S01-0287</t>
  </si>
  <si>
    <t>transaction_blueprint:TX-S01-0288</t>
  </si>
  <si>
    <t>FIN-TX-S01-0288</t>
  </si>
  <si>
    <t>transaction_blueprint:TX-S01-0289</t>
  </si>
  <si>
    <t>FIN-TX-S01-0289</t>
  </si>
  <si>
    <t>transaction_blueprint:TX-S01-0290</t>
  </si>
  <si>
    <t>FIN-TX-S01-0290</t>
  </si>
  <si>
    <t>transaction_blueprint:TX-S01-0291</t>
  </si>
  <si>
    <t>FIN-TX-S01-0291</t>
  </si>
  <si>
    <t>transaction_blueprint:TX-S01-0292</t>
  </si>
  <si>
    <t>FIN-TX-S01-0292</t>
  </si>
  <si>
    <t>transaction_blueprint:TX-S01-0293</t>
  </si>
  <si>
    <t>FIN-TX-S01-0293</t>
  </si>
  <si>
    <t>transaction_blueprint:TX-S01-0294</t>
  </si>
  <si>
    <t>FIN-TX-S01-0294</t>
  </si>
  <si>
    <t>transaction_blueprint:TX-S01-0295</t>
  </si>
  <si>
    <t>FIN-TX-S01-0295</t>
  </si>
  <si>
    <t>transaction_blueprint:TX-S01-0296</t>
  </si>
  <si>
    <t>FIN-TX-S01-0296</t>
  </si>
  <si>
    <t>transaction_blueprint:TX-S01-0297</t>
  </si>
  <si>
    <t>FIN-TX-S01-0297</t>
  </si>
  <si>
    <t>transaction_blueprint:TX-S01-0298</t>
  </si>
  <si>
    <t>FIN-TX-S01-0298</t>
  </si>
  <si>
    <t>transaction_blueprint:TX-S01-0299</t>
  </si>
  <si>
    <t>FIN-TX-S01-0299</t>
  </si>
  <si>
    <t>transaction_blueprint:TX-S01-0300</t>
  </si>
  <si>
    <t>FIN-TX-S01-0300</t>
  </si>
  <si>
    <t>transaction_blueprint:TX-S01-0301</t>
  </si>
  <si>
    <t>FIN-TX-S01-0301</t>
  </si>
  <si>
    <t>transaction_blueprint:TX-S01-0302</t>
  </si>
  <si>
    <t>FIN-TX-S01-0302</t>
  </si>
  <si>
    <t>transaction_blueprint:TX-S01-0303</t>
  </si>
  <si>
    <t>FIN-TX-S01-0303</t>
  </si>
  <si>
    <t>transaction_blueprint:TX-S01-0304</t>
  </si>
  <si>
    <t>FIN-TX-S01-0304</t>
  </si>
  <si>
    <t>transaction_blueprint:TX-S01-0305</t>
  </si>
  <si>
    <t>FIN-TX-S01-0305</t>
  </si>
  <si>
    <t>transaction_blueprint:TX-S01-0306</t>
  </si>
  <si>
    <t>FIN-TX-S01-0306</t>
  </si>
  <si>
    <t>transaction_blueprint:TX-S01-0307</t>
  </si>
  <si>
    <t>FIN-TX-S01-0307</t>
  </si>
  <si>
    <t>transaction_blueprint:TX-S01-0308</t>
  </si>
  <si>
    <t>FIN-TX-S01-0308</t>
  </si>
  <si>
    <t>transaction_blueprint:TX-S01-0309</t>
  </si>
  <si>
    <t>FIN-TX-S01-0309</t>
  </si>
  <si>
    <t>transaction_blueprint:TX-S01-0310</t>
  </si>
  <si>
    <t>FIN-TX-S01-0310</t>
  </si>
  <si>
    <t>transaction_blueprint:TX-S01-0311</t>
  </si>
  <si>
    <t>FIN-TX-S01-0311</t>
  </si>
  <si>
    <t>transaction_blueprint:TX-S01-0312</t>
  </si>
  <si>
    <t>FIN-TX-S01-0312</t>
  </si>
  <si>
    <t>transaction_blueprint:TX-S01-0313</t>
  </si>
  <si>
    <t>FIN-TX-S01-0313</t>
  </si>
  <si>
    <t>transaction_blueprint:TX-S01-0314</t>
  </si>
  <si>
    <t>FIN-TX-S01-0314</t>
  </si>
  <si>
    <t>transaction_blueprint:TX-S01-0315</t>
  </si>
  <si>
    <t>FIN-TX-S01-0315</t>
  </si>
  <si>
    <t>transaction_blueprint:TX-S01-0316</t>
  </si>
  <si>
    <t>FIN-TX-S01-0316</t>
  </si>
  <si>
    <t>transaction_blueprint:TX-S01-0317</t>
  </si>
  <si>
    <t>FIN-TX-S01-0317</t>
  </si>
  <si>
    <t>transaction_blueprint:TX-S01-0318</t>
  </si>
  <si>
    <t>FIN-TX-S01-0318</t>
  </si>
  <si>
    <t>transaction_blueprint:TX-S01-0319</t>
  </si>
  <si>
    <t>FIN-TX-S01-0319</t>
  </si>
  <si>
    <t>transaction_blueprint:TX-S01-0320</t>
  </si>
  <si>
    <t>FIN-TX-S01-0320</t>
  </si>
  <si>
    <t>transaction_blueprint:TX-S01-0321</t>
  </si>
  <si>
    <t>FIN-TX-S01-0321</t>
  </si>
  <si>
    <t>transaction_blueprint:TX-S01-0322</t>
  </si>
  <si>
    <t>FIN-TX-S01-0322</t>
  </si>
  <si>
    <t>transaction_blueprint:TX-S01-0323</t>
  </si>
  <si>
    <t>FIN-TX-S01-0323</t>
  </si>
  <si>
    <t>transaction_blueprint:TX-S01-0324</t>
  </si>
  <si>
    <t>FIN-TX-S01-0324</t>
  </si>
  <si>
    <t>transaction_blueprint:TX-S01-0325</t>
  </si>
  <si>
    <t>FIN-TX-S01-0325</t>
  </si>
  <si>
    <t>transaction_blueprint:TX-S01-0326</t>
  </si>
  <si>
    <t>FIN-TX-S01-0326</t>
  </si>
  <si>
    <t>transaction_blueprint:TX-S01-0327</t>
  </si>
  <si>
    <t>FIN-TX-S01-0327</t>
  </si>
  <si>
    <t>transaction_blueprint:TX-S01-0328</t>
  </si>
  <si>
    <t>FIN-TX-S01-0328</t>
  </si>
  <si>
    <t>transaction_blueprint:TX-S01-0329</t>
  </si>
  <si>
    <t>FIN-TX-S01-0329</t>
  </si>
  <si>
    <t>transaction_blueprint:TX-S01-0330</t>
  </si>
  <si>
    <t>FIN-TX-S01-0330</t>
  </si>
  <si>
    <t>transaction_blueprint:TX-S01-0331</t>
  </si>
  <si>
    <t>FIN-TX-S01-0331</t>
  </si>
  <si>
    <t>transaction_blueprint:TX-S01-0332</t>
  </si>
  <si>
    <t>FIN-TX-S01-0332</t>
  </si>
  <si>
    <t>transaction_blueprint:TX-S01-0333</t>
  </si>
  <si>
    <t>FIN-TX-S01-0333</t>
  </si>
  <si>
    <t>transaction_blueprint:TX-S01-0334</t>
  </si>
  <si>
    <t>APP-LED-2026-07</t>
  </si>
  <si>
    <t>FIN-TX-S01-0334</t>
  </si>
  <si>
    <t>CERT-S01-2026-07-6130</t>
  </si>
  <si>
    <t>transaction_blueprint:TX-S01-0335</t>
  </si>
  <si>
    <t>FIN-TX-S01-0335</t>
  </si>
  <si>
    <t>CERT-S01-2026-07-6140</t>
  </si>
  <si>
    <t>transaction_blueprint:TX-S01-0336</t>
  </si>
  <si>
    <t>FIN-TX-S01-0336</t>
  </si>
  <si>
    <t>CERT-S01-2026-07-6150</t>
  </si>
  <si>
    <t>transaction_blueprint:TX-S01-0337</t>
  </si>
  <si>
    <t>FIN-TX-S01-0337</t>
  </si>
  <si>
    <t>CERT-S01-2026-07-6160</t>
  </si>
  <si>
    <t>transaction_blueprint:TX-S01-0338</t>
  </si>
  <si>
    <t>FIN-TX-S01-0338</t>
  </si>
  <si>
    <t>CERT-S01-2026-07-6170</t>
  </si>
  <si>
    <t>transaction_blueprint:TX-S01-0339</t>
  </si>
  <si>
    <t>FIN-TX-S01-0339</t>
  </si>
  <si>
    <t>CERT-S01-2026-07-6180</t>
  </si>
  <si>
    <t>transaction_blueprint:TX-S01-0340</t>
  </si>
  <si>
    <t>FIN-TX-S01-0340</t>
  </si>
  <si>
    <t>CERT-S01-2026-07-6190</t>
  </si>
  <si>
    <t>transaction_blueprint:TX-S01-0341</t>
  </si>
  <si>
    <t>FIN-TX-S01-0341</t>
  </si>
  <si>
    <t>CERT-S01-2026-07-6100</t>
  </si>
  <si>
    <t>transaction_blueprint:TX-S01-0342</t>
  </si>
  <si>
    <t>FIN-TX-S01-0342</t>
  </si>
  <si>
    <t>CERT-S01-2026-07-6110</t>
  </si>
  <si>
    <t>transaction_blueprint:TX-S01-0343</t>
  </si>
  <si>
    <t>FIN-TX-S01-0343</t>
  </si>
  <si>
    <t>CERT-S01-2026-07-6120</t>
  </si>
  <si>
    <t>transaction_blueprint:TX-S01-0344</t>
  </si>
  <si>
    <t>FIN-TX-S01-0344</t>
  </si>
  <si>
    <t>transaction_blueprint:TX-S01-0345</t>
  </si>
  <si>
    <t>FIN-TX-S01-0345</t>
  </si>
  <si>
    <t>transaction_blueprint:TX-S01-0346</t>
  </si>
  <si>
    <t>FIN-TX-S01-0346</t>
  </si>
  <si>
    <t>transaction_blueprint:TX-S01-0347</t>
  </si>
  <si>
    <t>FIN-TX-S01-0347</t>
  </si>
  <si>
    <t>transaction_blueprint:TX-S01-0348</t>
  </si>
  <si>
    <t>FIN-TX-S01-0348</t>
  </si>
  <si>
    <t>transaction_blueprint:TX-S01-0349</t>
  </si>
  <si>
    <t>FIN-TX-S01-0349</t>
  </si>
  <si>
    <t>transaction_blueprint:TX-S01-0350</t>
  </si>
  <si>
    <t>FIN-TX-S01-0350</t>
  </si>
  <si>
    <t>transaction_blueprint:TX-S01-0351</t>
  </si>
  <si>
    <t>FIN-TX-S01-0351</t>
  </si>
  <si>
    <t>transaction_blueprint:TX-S01-0352</t>
  </si>
  <si>
    <t>FIN-TX-S01-0352</t>
  </si>
  <si>
    <t>transaction_blueprint:TX-S01-0353</t>
  </si>
  <si>
    <t>FIN-TX-S01-0353</t>
  </si>
  <si>
    <t>transaction_blueprint:TX-S01-0354</t>
  </si>
  <si>
    <t>FIN-TX-S01-0354</t>
  </si>
  <si>
    <t>transaction_blueprint:TX-S01-0355</t>
  </si>
  <si>
    <t>FIN-TX-S01-0355</t>
  </si>
  <si>
    <t>transaction_blueprint:TX-S01-0356</t>
  </si>
  <si>
    <t>FIN-TX-S01-0356</t>
  </si>
  <si>
    <t>transaction_blueprint:TX-S01-0357</t>
  </si>
  <si>
    <t>FIN-TX-S01-0357</t>
  </si>
  <si>
    <t>transaction_blueprint:TX-S01-0358</t>
  </si>
  <si>
    <t>FIN-TX-S01-0358</t>
  </si>
  <si>
    <t>transaction_blueprint:TX-S01-0359</t>
  </si>
  <si>
    <t>FIN-TX-S01-0359</t>
  </si>
  <si>
    <t>transaction_blueprint:TX-S01-0360</t>
  </si>
  <si>
    <t>FIN-TX-S01-0360</t>
  </si>
  <si>
    <t>transaction_blueprint:TX-S01-0361</t>
  </si>
  <si>
    <t>FIN-TX-S01-0361</t>
  </si>
  <si>
    <t>transaction_blueprint:TX-S01-0362</t>
  </si>
  <si>
    <t>FIN-TX-S01-0362</t>
  </si>
  <si>
    <t>transaction_blueprint:TX-S01-0363</t>
  </si>
  <si>
    <t>FIN-TX-S01-0363</t>
  </si>
  <si>
    <t>transaction_blueprint:TX-S01-0364</t>
  </si>
  <si>
    <t>FIN-TX-S01-0364</t>
  </si>
  <si>
    <t>transaction_blueprint:TX-S01-0365</t>
  </si>
  <si>
    <t>FIN-TX-S01-0365</t>
  </si>
  <si>
    <t>transaction_blueprint:TX-S01-0366</t>
  </si>
  <si>
    <t>FIN-TX-S01-0366</t>
  </si>
  <si>
    <t>transaction_blueprint:TX-S01-0367</t>
  </si>
  <si>
    <t>FIN-TX-S01-0367</t>
  </si>
  <si>
    <t>transaction_blueprint:TX-S01-0368</t>
  </si>
  <si>
    <t>FIN-TX-S01-0368</t>
  </si>
  <si>
    <t>transaction_blueprint:TX-S01-0369</t>
  </si>
  <si>
    <t>FIN-TX-S01-0369</t>
  </si>
  <si>
    <t>transaction_blueprint:TX-S01-0370</t>
  </si>
  <si>
    <t>FIN-TX-S01-0370</t>
  </si>
  <si>
    <t>transaction_blueprint:TX-S01-0371</t>
  </si>
  <si>
    <t>FIN-TX-S01-0371</t>
  </si>
  <si>
    <t>transaction_blueprint:TX-S01-0372</t>
  </si>
  <si>
    <t>FIN-TX-S01-0372</t>
  </si>
  <si>
    <t>transaction_blueprint:TX-S01-0373</t>
  </si>
  <si>
    <t>FIN-TX-S01-0373</t>
  </si>
  <si>
    <t>transaction_blueprint:TX-S01-0374</t>
  </si>
  <si>
    <t>FIN-TX-S01-0374</t>
  </si>
  <si>
    <t>transaction_blueprint:TX-S01-0375</t>
  </si>
  <si>
    <t>FIN-TX-S01-0375</t>
  </si>
  <si>
    <t>transaction_blueprint:TX-S01-0376</t>
  </si>
  <si>
    <t>FIN-TX-S01-0376</t>
  </si>
  <si>
    <t>transaction_blueprint:TX-S01-0377</t>
  </si>
  <si>
    <t>FIN-TX-S01-0377</t>
  </si>
  <si>
    <t>transaction_blueprint:TX-S01-0378</t>
  </si>
  <si>
    <t>FIN-TX-S01-0378</t>
  </si>
  <si>
    <t>transaction_blueprint:TX-S01-0379</t>
  </si>
  <si>
    <t>FIN-TX-S01-0379</t>
  </si>
  <si>
    <t>transaction_blueprint:TX-S01-0380</t>
  </si>
  <si>
    <t>FIN-TX-S01-0380</t>
  </si>
  <si>
    <t>transaction_blueprint:TX-S01-0381</t>
  </si>
  <si>
    <t>FIN-TX-S01-0381</t>
  </si>
  <si>
    <t>transaction_blueprint:TX-S01-0382</t>
  </si>
  <si>
    <t>FIN-TX-S01-0382</t>
  </si>
  <si>
    <t>transaction_blueprint:TX-S01-0383</t>
  </si>
  <si>
    <t>FIN-TX-S01-0383</t>
  </si>
  <si>
    <t>transaction_blueprint:TX-S01-0384</t>
  </si>
  <si>
    <t>FIN-TX-S01-0384</t>
  </si>
  <si>
    <t>transaction_blueprint:TX-S01-0385</t>
  </si>
  <si>
    <t>FIN-TX-S01-0385</t>
  </si>
  <si>
    <t>transaction_blueprint:TX-S01-0386</t>
  </si>
  <si>
    <t>FIN-TX-S01-0386</t>
  </si>
  <si>
    <t>transaction_blueprint:TX-S01-0387</t>
  </si>
  <si>
    <t>FIN-TX-S01-0387</t>
  </si>
  <si>
    <t>transaction_blueprint:TX-S01-0388</t>
  </si>
  <si>
    <t>FIN-TX-S01-0388</t>
  </si>
  <si>
    <t>transaction_blueprint:TX-S01-0389</t>
  </si>
  <si>
    <t>FIN-TX-S01-0389</t>
  </si>
  <si>
    <t>transaction_blueprint:TX-S01-0390</t>
  </si>
  <si>
    <t>FIN-TX-S01-0390</t>
  </si>
  <si>
    <t>transaction_blueprint:TX-S01-0391</t>
  </si>
  <si>
    <t>FIN-TX-S01-0391</t>
  </si>
  <si>
    <t>transaction_blueprint:TX-S01-0392</t>
  </si>
  <si>
    <t>FIN-TX-S01-0392</t>
  </si>
  <si>
    <t>transaction_blueprint:TX-S01-0393</t>
  </si>
  <si>
    <t>FIN-TX-S01-0393</t>
  </si>
  <si>
    <t>transaction_blueprint:TX-S01-0394</t>
  </si>
  <si>
    <t>FIN-TX-S01-0394</t>
  </si>
  <si>
    <t>transaction_blueprint:TX-S01-0395</t>
  </si>
  <si>
    <t>FIN-TX-S01-0395</t>
  </si>
  <si>
    <t>transaction_blueprint:TX-S01-0396</t>
  </si>
  <si>
    <t>FIN-TX-S01-0396</t>
  </si>
  <si>
    <t>transaction_blueprint:TX-S01-0397</t>
  </si>
  <si>
    <t>FIN-TX-S01-0397</t>
  </si>
  <si>
    <t>transaction_blueprint:TX-S01-0398</t>
  </si>
  <si>
    <t>FIN-TX-S01-0398</t>
  </si>
  <si>
    <t>transaction_blueprint:TX-S01-0399</t>
  </si>
  <si>
    <t>FIN-TX-S01-0399</t>
  </si>
  <si>
    <t>transaction_blueprint:TX-S01-0400</t>
  </si>
  <si>
    <t>FIN-TX-S01-0400</t>
  </si>
  <si>
    <t>transaction_blueprint:TX-S01-0401</t>
  </si>
  <si>
    <t>FIN-TX-S01-0401</t>
  </si>
  <si>
    <t>transaction_blueprint:TX-S01-0402</t>
  </si>
  <si>
    <t>FIN-TX-S01-0402</t>
  </si>
  <si>
    <t>transaction_blueprint:TX-S01-0403</t>
  </si>
  <si>
    <t>FIN-TX-S01-0403</t>
  </si>
  <si>
    <t>transaction_blueprint:TX-S01-0404</t>
  </si>
  <si>
    <t>FIN-TX-S01-0404</t>
  </si>
  <si>
    <t>transaction_blueprint:TX-S01-0405</t>
  </si>
  <si>
    <t>FIN-TX-S01-0405</t>
  </si>
  <si>
    <t>transaction_blueprint:TX-S01-0406</t>
  </si>
  <si>
    <t>FIN-TX-S01-0406</t>
  </si>
  <si>
    <t>transaction_blueprint:TX-S01-0407</t>
  </si>
  <si>
    <t>FIN-TX-S01-0407</t>
  </si>
  <si>
    <t>transaction_blueprint:TX-S01-0408</t>
  </si>
  <si>
    <t>FIN-TX-S01-0408</t>
  </si>
  <si>
    <t>transaction_blueprint:TX-S01-0409</t>
  </si>
  <si>
    <t>FIN-TX-S01-0409</t>
  </si>
  <si>
    <t>transaction_blueprint:TX-S01-0410</t>
  </si>
  <si>
    <t>FIN-TX-S01-0410</t>
  </si>
  <si>
    <t>transaction_blueprint:TX-S01-0411</t>
  </si>
  <si>
    <t>FIN-TX-S01-0411</t>
  </si>
  <si>
    <t>transaction_blueprint:TX-S01-0412</t>
  </si>
  <si>
    <t>FIN-TX-S01-0412</t>
  </si>
  <si>
    <t>transaction_blueprint:TX-S01-0413</t>
  </si>
  <si>
    <t>FIN-TX-S01-0413</t>
  </si>
  <si>
    <t>transaction_blueprint:TX-S01-0414</t>
  </si>
  <si>
    <t>FIN-TX-S01-0414</t>
  </si>
  <si>
    <t>transaction_blueprint:TX-S01-0415</t>
  </si>
  <si>
    <t>FIN-TX-S01-0415</t>
  </si>
  <si>
    <t>transaction_blueprint:TX-S01-0416</t>
  </si>
  <si>
    <t>FIN-TX-S01-0416</t>
  </si>
  <si>
    <t>transaction_blueprint:TX-S01-0417</t>
  </si>
  <si>
    <t>FIN-TX-S01-0417</t>
  </si>
  <si>
    <t>transaction_blueprint:TX-S01-0418</t>
  </si>
  <si>
    <t>FIN-TX-S01-0418</t>
  </si>
  <si>
    <t>transaction_blueprint:TX-S01-0419</t>
  </si>
  <si>
    <t>FIN-TX-S01-0419</t>
  </si>
  <si>
    <t>transaction_blueprint:TX-S01-0420</t>
  </si>
  <si>
    <t>FIN-TX-S01-0420</t>
  </si>
  <si>
    <t>transaction_blueprint:TX-S01-0421</t>
  </si>
  <si>
    <t>FIN-TX-S01-0421</t>
  </si>
  <si>
    <t>transaction_blueprint:TX-S01-0422</t>
  </si>
  <si>
    <t>FIN-TX-S01-0422</t>
  </si>
  <si>
    <t>transaction_blueprint:TX-S01-0423</t>
  </si>
  <si>
    <t>FIN-TX-S01-0423</t>
  </si>
  <si>
    <t>transaction_blueprint:TX-S01-0424</t>
  </si>
  <si>
    <t>FIN-TX-S01-0424</t>
  </si>
  <si>
    <t>transaction_blueprint:TX-S01-0425</t>
  </si>
  <si>
    <t>FIN-TX-S01-0425</t>
  </si>
  <si>
    <t>transaction_blueprint:TX-S01-0426</t>
  </si>
  <si>
    <t>FIN-TX-S01-0426</t>
  </si>
  <si>
    <t>transaction_blueprint:TX-S01-0427</t>
  </si>
  <si>
    <t>FIN-TX-S01-0427</t>
  </si>
  <si>
    <t>transaction_blueprint:TX-S01-0428</t>
  </si>
  <si>
    <t>FIN-TX-S01-0428</t>
  </si>
  <si>
    <t>transaction_blueprint:TX-S01-0429</t>
  </si>
  <si>
    <t>FIN-TX-S01-0429</t>
  </si>
  <si>
    <t>transaction_blueprint:TX-S01-0430</t>
  </si>
  <si>
    <t>FIN-TX-S01-0430</t>
  </si>
  <si>
    <t>transaction_blueprint:TX-S01-0431</t>
  </si>
  <si>
    <t>FIN-TX-S01-0431</t>
  </si>
  <si>
    <t>transaction_blueprint:TX-S01-0432</t>
  </si>
  <si>
    <t>FIN-TX-S01-0432</t>
  </si>
  <si>
    <t>transaction_blueprint:TX-S01-0433</t>
  </si>
  <si>
    <t>FIN-TX-S01-0433</t>
  </si>
  <si>
    <t>transaction_blueprint:TX-S01-0434</t>
  </si>
  <si>
    <t>FIN-TX-S01-0434</t>
  </si>
  <si>
    <t>transaction_blueprint:TX-S01-0435</t>
  </si>
  <si>
    <t>FIN-TX-S01-0435</t>
  </si>
  <si>
    <t>transaction_blueprint:TX-S01-0436</t>
  </si>
  <si>
    <t>FIN-TX-S01-0436</t>
  </si>
  <si>
    <t>transaction_blueprint:TX-S01-0437</t>
  </si>
  <si>
    <t>FIN-TX-S01-0437</t>
  </si>
  <si>
    <t>transaction_blueprint:TX-S01-0438</t>
  </si>
  <si>
    <t>FIN-TX-S01-0438</t>
  </si>
  <si>
    <t>transaction_blueprint:TX-S01-0439</t>
  </si>
  <si>
    <t>FIN-TX-S01-0439</t>
  </si>
  <si>
    <t>transaction_blueprint:TX-S01-0440</t>
  </si>
  <si>
    <t>FIN-TX-S01-0440</t>
  </si>
  <si>
    <t>transaction_blueprint:TX-S01-0441</t>
  </si>
  <si>
    <t>FIN-TX-S01-0441</t>
  </si>
  <si>
    <t>transaction_blueprint:TX-S01-0442</t>
  </si>
  <si>
    <t>FIN-TX-S01-0442</t>
  </si>
  <si>
    <t>transaction_blueprint:TX-S01-0443</t>
  </si>
  <si>
    <t>FIN-TX-S01-0443</t>
  </si>
  <si>
    <t>transaction_blueprint:TX-S01-0444</t>
  </si>
  <si>
    <t>FIN-TX-S01-0444</t>
  </si>
  <si>
    <t>transaction_blueprint:TX-S01-0445</t>
  </si>
  <si>
    <t>FIN-TX-S01-0445</t>
  </si>
  <si>
    <t>transaction_blueprint:TX-S01-0446</t>
  </si>
  <si>
    <t>FIN-TX-S01-0446</t>
  </si>
  <si>
    <t>transaction_blueprint:TX-S01-0447</t>
  </si>
  <si>
    <t>FIN-TX-S01-0447</t>
  </si>
  <si>
    <t>transaction_blueprint:TX-S01-0448</t>
  </si>
  <si>
    <t>FIN-TX-S01-0448</t>
  </si>
  <si>
    <t>transaction_blueprint:TX-S01-0449</t>
  </si>
  <si>
    <t>FIN-TX-S01-0449</t>
  </si>
  <si>
    <t>transaction_blueprint:TX-S01-0450</t>
  </si>
  <si>
    <t>FIN-TX-S01-0450</t>
  </si>
  <si>
    <t>transaction_blueprint:TX-S01-0451</t>
  </si>
  <si>
    <t>FIN-TX-S01-0451</t>
  </si>
  <si>
    <t>transaction_blueprint:TX-S01-0452</t>
  </si>
  <si>
    <t>FIN-TX-S01-0452</t>
  </si>
  <si>
    <t>transaction_blueprint:TX-S01-0453</t>
  </si>
  <si>
    <t>FIN-TX-S01-0453</t>
  </si>
  <si>
    <t>transaction_blueprint:TX-S01-0454</t>
  </si>
  <si>
    <t>FIN-TX-S01-0454</t>
  </si>
  <si>
    <t>transaction_blueprint:TX-S01-0455</t>
  </si>
  <si>
    <t>FIN-TX-S01-0455</t>
  </si>
  <si>
    <t>transaction_blueprint:TX-S01-0456</t>
  </si>
  <si>
    <t>FIN-TX-S01-0456</t>
  </si>
  <si>
    <t>transaction_blueprint:TX-S01-0457</t>
  </si>
  <si>
    <t>FIN-TX-S01-0457</t>
  </si>
  <si>
    <t>transaction_blueprint:TX-S01-0458</t>
  </si>
  <si>
    <t>FIN-TX-S01-0458</t>
  </si>
  <si>
    <t>transaction_blueprint:TX-S01-0459</t>
  </si>
  <si>
    <t>FIN-TX-S01-0459</t>
  </si>
  <si>
    <t>transaction_blueprint:TX-S01-0460</t>
  </si>
  <si>
    <t>FIN-TX-S01-0460</t>
  </si>
  <si>
    <t>transaction_blueprint:TX-S01-0461</t>
  </si>
  <si>
    <t>FIN-TX-S01-0461</t>
  </si>
  <si>
    <t>transaction_blueprint:TX-S01-0462</t>
  </si>
  <si>
    <t>FIN-TX-S01-0462</t>
  </si>
  <si>
    <t>transaction_blueprint:TX-S01-0463</t>
  </si>
  <si>
    <t>FIN-TX-S01-0463</t>
  </si>
  <si>
    <t>transaction_blueprint:TX-S01-0464</t>
  </si>
  <si>
    <t>FIN-TX-S01-0464</t>
  </si>
  <si>
    <t>transaction_blueprint:TX-S01-0465</t>
  </si>
  <si>
    <t>FIN-TX-S01-0465</t>
  </si>
  <si>
    <t>transaction_blueprint:TX-S01-0466</t>
  </si>
  <si>
    <t>FIN-TX-S01-0466</t>
  </si>
  <si>
    <t>transaction_blueprint:TX-S01-0467</t>
  </si>
  <si>
    <t>FIN-TX-S01-0467</t>
  </si>
  <si>
    <t>transaction_blueprint:TX-S01-0468</t>
  </si>
  <si>
    <t>FIN-TX-S01-0468</t>
  </si>
  <si>
    <t>transaction_blueprint:TX-S01-0469</t>
  </si>
  <si>
    <t>FIN-TX-S01-0469</t>
  </si>
  <si>
    <t>transaction_blueprint:TX-S01-0470</t>
  </si>
  <si>
    <t>FIN-TX-S01-0470</t>
  </si>
  <si>
    <t>transaction_blueprint:TX-S01-0471</t>
  </si>
  <si>
    <t>FIN-TX-S01-0471</t>
  </si>
  <si>
    <t>transaction_blueprint:TX-S01-0472</t>
  </si>
  <si>
    <t>FIN-TX-S01-0472</t>
  </si>
  <si>
    <t>transaction_blueprint:TX-S01-0473</t>
  </si>
  <si>
    <t>FIN-TX-S01-0473</t>
  </si>
  <si>
    <t>transaction_blueprint:TX-S01-0474</t>
  </si>
  <si>
    <t>FIN-TX-S01-0474</t>
  </si>
  <si>
    <t>transaction_blueprint:TX-S01-0475</t>
  </si>
  <si>
    <t>FIN-TX-S01-0475</t>
  </si>
  <si>
    <t>transaction_blueprint:TX-S01-0476</t>
  </si>
  <si>
    <t>FIN-TX-S01-0476</t>
  </si>
  <si>
    <t>transaction_blueprint:TX-S01-0477</t>
  </si>
  <si>
    <t>FIN-TX-S01-0477</t>
  </si>
  <si>
    <t>transaction_blueprint:TX-S01-0478</t>
  </si>
  <si>
    <t>FIN-TX-S01-0478</t>
  </si>
  <si>
    <t>transaction_blueprint:TX-S01-0479</t>
  </si>
  <si>
    <t>FIN-TX-S01-0479</t>
  </si>
  <si>
    <t>transaction_blueprint:TX-S01-0480</t>
  </si>
  <si>
    <t>FIN-TX-S01-0480</t>
  </si>
  <si>
    <t>transaction_blueprint:TX-S01-0481</t>
  </si>
  <si>
    <t>FIN-TX-S01-0481</t>
  </si>
  <si>
    <t>transaction_blueprint:TX-S01-0482</t>
  </si>
  <si>
    <t>FIN-TX-S01-0482</t>
  </si>
  <si>
    <t>transaction_blueprint:TX-S01-0483</t>
  </si>
  <si>
    <t>FIN-TX-S01-0483</t>
  </si>
  <si>
    <t>transaction_blueprint:TX-S01-0484</t>
  </si>
  <si>
    <t>FIN-TX-S01-0484</t>
  </si>
  <si>
    <t>transaction_blueprint:TX-S01-0485</t>
  </si>
  <si>
    <t>FIN-TX-S01-0485</t>
  </si>
  <si>
    <t>transaction_blueprint:TX-S01-0486</t>
  </si>
  <si>
    <t>FIN-TX-S01-0486</t>
  </si>
  <si>
    <t>transaction_blueprint:TX-S01-0487</t>
  </si>
  <si>
    <t>FIN-TX-S01-0487</t>
  </si>
  <si>
    <t>transaction_blueprint:TX-S01-0488</t>
  </si>
  <si>
    <t>FIN-TX-S01-0488</t>
  </si>
  <si>
    <t>transaction_blueprint:TX-S01-0489</t>
  </si>
  <si>
    <t>FIN-TX-S01-0489</t>
  </si>
  <si>
    <t>transaction_blueprint:TX-S01-0490</t>
  </si>
  <si>
    <t>FIN-TX-S01-0490</t>
  </si>
  <si>
    <t>transaction_blueprint:TX-S01-0491</t>
  </si>
  <si>
    <t>FIN-TX-S01-0491</t>
  </si>
  <si>
    <t>transaction_blueprint:TX-S01-0492</t>
  </si>
  <si>
    <t>FIN-TX-S01-0492</t>
  </si>
  <si>
    <t>transaction_blueprint:TX-S01-0493</t>
  </si>
  <si>
    <t>FIN-TX-S01-0493</t>
  </si>
  <si>
    <t>transaction_blueprint:TX-S01-0494</t>
  </si>
  <si>
    <t>FIN-TX-S01-0494</t>
  </si>
  <si>
    <t>transaction_blueprint:TX-S01-0495</t>
  </si>
  <si>
    <t>FIN-TX-S01-0495</t>
  </si>
  <si>
    <t>transaction_blueprint:TX-S01-0496</t>
  </si>
  <si>
    <t>FIN-TX-S01-0496</t>
  </si>
  <si>
    <t>transaction_blueprint:TX-S01-0497</t>
  </si>
  <si>
    <t>FIN-TX-S01-0497</t>
  </si>
  <si>
    <t>transaction_blueprint:TX-S01-0498</t>
  </si>
  <si>
    <t>FIN-TX-S01-0498</t>
  </si>
  <si>
    <t>transaction_blueprint:TX-S01-0499</t>
  </si>
  <si>
    <t>FIN-TX-S01-0499</t>
  </si>
  <si>
    <t>transaction_blueprint:TX-S01-0500</t>
  </si>
  <si>
    <t>FIN-TX-S01-0500</t>
  </si>
  <si>
    <t>transaction_blueprint:TX-S01-0501</t>
  </si>
  <si>
    <t>FIN-TX-S01-0501</t>
  </si>
  <si>
    <t>transaction_blueprint:TX-S01-0502</t>
  </si>
  <si>
    <t>FIN-TX-S01-0502</t>
  </si>
  <si>
    <t>transaction_blueprint:TX-S01-0503</t>
  </si>
  <si>
    <t>FIN-TX-S01-0503</t>
  </si>
  <si>
    <t>transaction_blueprint:TX-S01-0504</t>
  </si>
  <si>
    <t>FIN-TX-S01-0504</t>
  </si>
  <si>
    <t>transaction_blueprint:TX-S01-0505</t>
  </si>
  <si>
    <t>FIN-TX-S01-0505</t>
  </si>
  <si>
    <t>transaction_blueprint:TX-S01-0506</t>
  </si>
  <si>
    <t>FIN-TX-S01-0506</t>
  </si>
  <si>
    <t>transaction_blueprint:TX-S01-0507</t>
  </si>
  <si>
    <t>FIN-TX-S01-0507</t>
  </si>
  <si>
    <t>transaction_blueprint:TX-S01-0508</t>
  </si>
  <si>
    <t>FIN-TX-S01-0508</t>
  </si>
  <si>
    <t>transaction_blueprint:TX-S01-0509</t>
  </si>
  <si>
    <t>FIN-TX-S01-0509</t>
  </si>
  <si>
    <t>transaction_blueprint:TX-S01-0510</t>
  </si>
  <si>
    <t>FIN-TX-S01-0510</t>
  </si>
  <si>
    <t>transaction_blueprint:TX-S01-0511</t>
  </si>
  <si>
    <t>FIN-TX-S01-0511</t>
  </si>
  <si>
    <t>transaction_blueprint:TX-S01-0512</t>
  </si>
  <si>
    <t>FIN-TX-S01-0512</t>
  </si>
  <si>
    <t>transaction_blueprint:TX-S01-0513</t>
  </si>
  <si>
    <t>FIN-TX-S01-0513</t>
  </si>
  <si>
    <t>transaction_blueprint:TX-S01-0514</t>
  </si>
  <si>
    <t>FIN-TX-S01-0514</t>
  </si>
  <si>
    <t>transaction_blueprint:TX-S01-0515</t>
  </si>
  <si>
    <t>FIN-TX-S01-0515</t>
  </si>
  <si>
    <t>transaction_blueprint:TX-S01-0516</t>
  </si>
  <si>
    <t>FIN-TX-S01-0516</t>
  </si>
  <si>
    <t>transaction_blueprint:TX-S01-0517</t>
  </si>
  <si>
    <t>FIN-TX-S01-0517</t>
  </si>
  <si>
    <t>transaction_blueprint:TX-S01-0518</t>
  </si>
  <si>
    <t>FIN-TX-S01-0518</t>
  </si>
  <si>
    <t>transaction_blueprint:TX-S01-0519</t>
  </si>
  <si>
    <t>FIN-TX-S01-0519</t>
  </si>
  <si>
    <t>transaction_blueprint:TX-S01-0520</t>
  </si>
  <si>
    <t>FIN-TX-S01-0520</t>
  </si>
  <si>
    <t>transaction_blueprint:TX-S01-0521</t>
  </si>
  <si>
    <t>FIN-TX-S01-0521</t>
  </si>
  <si>
    <t>transaction_blueprint:TX-S01-0522</t>
  </si>
  <si>
    <t>FIN-TX-S01-0522</t>
  </si>
  <si>
    <t>transaction_blueprint:TX-S01-0523</t>
  </si>
  <si>
    <t>FIN-TX-S01-0523</t>
  </si>
  <si>
    <t>transaction_blueprint:TX-S01-0524</t>
  </si>
  <si>
    <t>FIN-TX-S01-0524</t>
  </si>
  <si>
    <t>transaction_blueprint:TX-S01-0525</t>
  </si>
  <si>
    <t>FIN-TX-S01-0525</t>
  </si>
  <si>
    <t>transaction_blueprint:TX-S01-0526</t>
  </si>
  <si>
    <t>FIN-TX-S01-0526</t>
  </si>
  <si>
    <t>transaction_blueprint:TX-S01-0527</t>
  </si>
  <si>
    <t>FIN-TX-S01-0527</t>
  </si>
  <si>
    <t>transaction_blueprint:TX-S01-0528</t>
  </si>
  <si>
    <t>FIN-TX-S01-0528</t>
  </si>
  <si>
    <t>transaction_blueprint:TX-S01-0529</t>
  </si>
  <si>
    <t>FIN-TX-S01-0529</t>
  </si>
  <si>
    <t>transaction_blueprint:TX-S01-0530</t>
  </si>
  <si>
    <t>FIN-TX-S01-0530</t>
  </si>
  <si>
    <t>transaction_blueprint:TX-S01-0531</t>
  </si>
  <si>
    <t>FIN-TX-S01-0531</t>
  </si>
  <si>
    <t>transaction_blueprint:TX-S01-0532</t>
  </si>
  <si>
    <t>FIN-TX-S01-0532</t>
  </si>
  <si>
    <t>transaction_blueprint:TX-S01-0533</t>
  </si>
  <si>
    <t>FIN-TX-S01-0533</t>
  </si>
  <si>
    <t>transaction_blueprint:TX-S01-0534</t>
  </si>
  <si>
    <t>FIN-TX-S01-0534</t>
  </si>
  <si>
    <t>transaction_blueprint:TX-S01-0535</t>
  </si>
  <si>
    <t>FIN-TX-S01-0535</t>
  </si>
  <si>
    <t>transaction_blueprint:TX-S01-0536</t>
  </si>
  <si>
    <t>FIN-TX-S01-0536</t>
  </si>
  <si>
    <t>transaction_blueprint:TX-S01-0537</t>
  </si>
  <si>
    <t>FIN-TX-S01-0537</t>
  </si>
  <si>
    <t>transaction_blueprint:TX-S01-0538</t>
  </si>
  <si>
    <t>FIN-TX-S01-0538</t>
  </si>
  <si>
    <t>transaction_blueprint:TX-S01-0539</t>
  </si>
  <si>
    <t>FIN-TX-S01-0539</t>
  </si>
  <si>
    <t>transaction_blueprint:TX-S01-0540</t>
  </si>
  <si>
    <t>FIN-TX-S01-0540</t>
  </si>
  <si>
    <t>transaction_blueprint:TX-S01-0541</t>
  </si>
  <si>
    <t>FIN-TX-S01-0541</t>
  </si>
  <si>
    <t>transaction_blueprint:TX-S01-0542</t>
  </si>
  <si>
    <t>FIN-TX-S01-0542</t>
  </si>
  <si>
    <t>transaction_blueprint:TX-S01-0543</t>
  </si>
  <si>
    <t>FIN-TX-S01-0543</t>
  </si>
  <si>
    <t>transaction_blueprint:TX-S01-0544</t>
  </si>
  <si>
    <t>FIN-TX-S01-0544</t>
  </si>
  <si>
    <t>transaction_blueprint:TX-S01-0545</t>
  </si>
  <si>
    <t>FIN-TX-S01-0545</t>
  </si>
  <si>
    <t>transaction_blueprint:TX-S01-0546</t>
  </si>
  <si>
    <t>FIN-TX-S01-0546</t>
  </si>
  <si>
    <t>transaction_blueprint:TX-S01-0547</t>
  </si>
  <si>
    <t>FIN-TX-S01-0547</t>
  </si>
  <si>
    <t>transaction_blueprint:TX-S01-0548</t>
  </si>
  <si>
    <t>FIN-TX-S01-0548</t>
  </si>
  <si>
    <t>transaction_blueprint:TX-S01-0549</t>
  </si>
  <si>
    <t>FIN-TX-S01-0549</t>
  </si>
  <si>
    <t>transaction_blueprint:TX-S01-0550</t>
  </si>
  <si>
    <t>FIN-TX-S01-0550</t>
  </si>
  <si>
    <t>transaction_blueprint:TX-S01-0551</t>
  </si>
  <si>
    <t>FIN-TX-S01-0551</t>
  </si>
  <si>
    <t>transaction_blueprint:TX-S01-0552</t>
  </si>
  <si>
    <t>FIN-TX-S01-0552</t>
  </si>
  <si>
    <t>transaction_blueprint:TX-S01-0553</t>
  </si>
  <si>
    <t>FIN-TX-S01-0553</t>
  </si>
  <si>
    <t>transaction_blueprint:TX-S01-0554</t>
  </si>
  <si>
    <t>FIN-TX-S01-0554</t>
  </si>
  <si>
    <t>transaction_blueprint:TX-S01-0555</t>
  </si>
  <si>
    <t>FIN-TX-S01-0555</t>
  </si>
  <si>
    <t>transaction_blueprint:TX-S01-0556</t>
  </si>
  <si>
    <t>FIN-TX-S01-0556</t>
  </si>
  <si>
    <t>transaction_blueprint:TX-S01-0557</t>
  </si>
  <si>
    <t>FIN-TX-S01-0557</t>
  </si>
  <si>
    <t>transaction_blueprint:TX-S01-0558</t>
  </si>
  <si>
    <t>FIN-TX-S01-0558</t>
  </si>
  <si>
    <t>transaction_blueprint:TX-S01-0559</t>
  </si>
  <si>
    <t>FIN-TX-S01-0559</t>
  </si>
  <si>
    <t>transaction_blueprint:TX-S01-0560</t>
  </si>
  <si>
    <t>FIN-TX-S01-0560</t>
  </si>
  <si>
    <t>transaction_blueprint:TX-S01-0561</t>
  </si>
  <si>
    <t>FIN-TX-S01-0561</t>
  </si>
  <si>
    <t>transaction_blueprint:TX-S01-0562</t>
  </si>
  <si>
    <t>FIN-TX-S01-0562</t>
  </si>
  <si>
    <t>transaction_blueprint:TX-S01-0563</t>
  </si>
  <si>
    <t>FIN-TX-S01-0563</t>
  </si>
  <si>
    <t>transaction_blueprint:TX-S01-0564</t>
  </si>
  <si>
    <t>FIN-TX-S01-0564</t>
  </si>
  <si>
    <t>transaction_blueprint:TX-S01-0565</t>
  </si>
  <si>
    <t>FIN-TX-S01-0565</t>
  </si>
  <si>
    <t>transaction_blueprint:TX-S01-0566</t>
  </si>
  <si>
    <t>FIN-TX-S01-0566</t>
  </si>
  <si>
    <t>transaction_blueprint:TX-S01-0567</t>
  </si>
  <si>
    <t>FIN-TX-S01-0567</t>
  </si>
  <si>
    <t>transaction_blueprint:TX-S01-0568</t>
  </si>
  <si>
    <t>FIN-TX-S01-0568</t>
  </si>
  <si>
    <t>transaction_blueprint:TX-S01-0569</t>
  </si>
  <si>
    <t>FIN-TX-S01-0569</t>
  </si>
  <si>
    <t>transaction_blueprint:TX-S01-0570</t>
  </si>
  <si>
    <t>FIN-TX-S01-0570</t>
  </si>
  <si>
    <t>transaction_blueprint:TX-S01-0571</t>
  </si>
  <si>
    <t>FIN-TX-S01-0571</t>
  </si>
  <si>
    <t>transaction_blueprint:TX-S01-0572</t>
  </si>
  <si>
    <t>FIN-TX-S01-0572</t>
  </si>
  <si>
    <t>transaction_blueprint:TX-S01-0573</t>
  </si>
  <si>
    <t>FIN-TX-S01-0573</t>
  </si>
  <si>
    <t>transaction_blueprint:TX-S01-0574</t>
  </si>
  <si>
    <t>FIN-TX-S01-0574</t>
  </si>
  <si>
    <t>transaction_blueprint:TX-S01-0575</t>
  </si>
  <si>
    <t>FIN-TX-S01-0575</t>
  </si>
  <si>
    <t>transaction_blueprint:TX-S01-0576</t>
  </si>
  <si>
    <t>FIN-TX-S01-0576</t>
  </si>
  <si>
    <t>transaction_blueprint:TX-S01-0577</t>
  </si>
  <si>
    <t>FIN-TX-S01-0577</t>
  </si>
  <si>
    <t>transaction_blueprint:TX-S01-0578</t>
  </si>
  <si>
    <t>FIN-TX-S01-0578</t>
  </si>
  <si>
    <t>transaction_blueprint:TX-S01-0579</t>
  </si>
  <si>
    <t>FIN-TX-S01-0579</t>
  </si>
  <si>
    <t>transaction_blueprint:TX-S01-0580</t>
  </si>
  <si>
    <t>FIN-TX-S01-0580</t>
  </si>
  <si>
    <t>transaction_blueprint:TX-S01-0581</t>
  </si>
  <si>
    <t>FIN-TX-S01-0581</t>
  </si>
  <si>
    <t>transaction_blueprint:TX-S01-0582</t>
  </si>
  <si>
    <t>FIN-TX-S01-0582</t>
  </si>
  <si>
    <t>transaction_blueprint:TX-S01-0583</t>
  </si>
  <si>
    <t>FIN-TX-S01-0583</t>
  </si>
  <si>
    <t>transaction_blueprint:TX-S01-0584</t>
  </si>
  <si>
    <t>FIN-TX-S01-0584</t>
  </si>
  <si>
    <t>transaction_blueprint:TX-S01-0585</t>
  </si>
  <si>
    <t>FIN-TX-S01-0585</t>
  </si>
  <si>
    <t>transaction_blueprint:TX-S01-0586</t>
  </si>
  <si>
    <t>FIN-TX-S01-0586</t>
  </si>
  <si>
    <t>transaction_blueprint:TX-S01-0587</t>
  </si>
  <si>
    <t>FIN-TX-S01-0587</t>
  </si>
  <si>
    <t>transaction_blueprint:TX-S01-0588</t>
  </si>
  <si>
    <t>FIN-TX-S01-0588</t>
  </si>
  <si>
    <t>transaction_blueprint:TX-S01-0589</t>
  </si>
  <si>
    <t>FIN-TX-S01-0589</t>
  </si>
  <si>
    <t>transaction_blueprint:TX-S01-0590</t>
  </si>
  <si>
    <t>FIN-TX-S01-0590</t>
  </si>
  <si>
    <t>transaction_blueprint:TX-S01-0591</t>
  </si>
  <si>
    <t>FIN-TX-S01-0591</t>
  </si>
  <si>
    <t>transaction_blueprint:TX-S01-0592</t>
  </si>
  <si>
    <t>FIN-TX-S01-0592</t>
  </si>
  <si>
    <t>transaction_blueprint:TX-S01-0593</t>
  </si>
  <si>
    <t>FIN-TX-S01-0593</t>
  </si>
  <si>
    <t>transaction_blueprint:TX-S01-0594</t>
  </si>
  <si>
    <t>FIN-TX-S01-0594</t>
  </si>
  <si>
    <t>transaction_blueprint:TX-S01-0595</t>
  </si>
  <si>
    <t>FIN-TX-S01-0595</t>
  </si>
  <si>
    <t>transaction_blueprint:TX-S01-0596</t>
  </si>
  <si>
    <t>FIN-TX-S01-0596</t>
  </si>
  <si>
    <t>transaction_blueprint:TX-S01-0597</t>
  </si>
  <si>
    <t>FIN-TX-S01-0597</t>
  </si>
  <si>
    <t>transaction_blueprint:TX-S01-0598</t>
  </si>
  <si>
    <t>FIN-TX-S01-0598</t>
  </si>
  <si>
    <t>transaction_blueprint:TX-S01-0599</t>
  </si>
  <si>
    <t>FIN-TX-S01-0599</t>
  </si>
  <si>
    <t>transaction_blueprint:TX-S01-0600</t>
  </si>
  <si>
    <t>FIN-TX-S01-0600</t>
  </si>
  <si>
    <t>transaction_blueprint:TX-S01-0601</t>
  </si>
  <si>
    <t>FIN-TX-S01-0601</t>
  </si>
  <si>
    <t>transaction_blueprint:TX-S01-0602</t>
  </si>
  <si>
    <t>FIN-TX-S01-0602</t>
  </si>
  <si>
    <t>transaction_blueprint:TX-S01-0603</t>
  </si>
  <si>
    <t>FIN-TX-S01-0603</t>
  </si>
  <si>
    <t>transaction_blueprint:TX-S01-0604</t>
  </si>
  <si>
    <t>FIN-TX-S01-0604</t>
  </si>
  <si>
    <t>transaction_blueprint:TX-S01-0605</t>
  </si>
  <si>
    <t>FIN-TX-S01-0605</t>
  </si>
  <si>
    <t>transaction_blueprint:TX-S01-0606</t>
  </si>
  <si>
    <t>FIN-TX-S01-0606</t>
  </si>
  <si>
    <t>transaction_blueprint:TX-S01-0607</t>
  </si>
  <si>
    <t>FIN-TX-S01-0607</t>
  </si>
  <si>
    <t>transaction_blueprint:TX-S01-0608</t>
  </si>
  <si>
    <t>FIN-TX-S01-0608</t>
  </si>
  <si>
    <t>transaction_blueprint:TX-S01-0609</t>
  </si>
  <si>
    <t>FIN-TX-S01-0609</t>
  </si>
  <si>
    <t>transaction_blueprint:TX-S01-0610</t>
  </si>
  <si>
    <t>FIN-TX-S01-0610</t>
  </si>
  <si>
    <t>transaction_blueprint:TX-S01-0611</t>
  </si>
  <si>
    <t>FIN-TX-S01-0611</t>
  </si>
  <si>
    <t>transaction_blueprint:TX-S01-0612</t>
  </si>
  <si>
    <t>FIN-TX-S01-0612</t>
  </si>
  <si>
    <t>transaction_blueprint:TX-S01-0613</t>
  </si>
  <si>
    <t>FIN-TX-S01-0613</t>
  </si>
  <si>
    <t>transaction_blueprint:TX-S01-0614</t>
  </si>
  <si>
    <t>FIN-TX-S01-0614</t>
  </si>
  <si>
    <t>transaction_blueprint:TX-S01-0615</t>
  </si>
  <si>
    <t>FIN-TX-S01-0615</t>
  </si>
  <si>
    <t>transaction_blueprint:TX-S01-0616</t>
  </si>
  <si>
    <t>FIN-TX-S01-0616</t>
  </si>
  <si>
    <t>transaction_blueprint:TX-S01-0617</t>
  </si>
  <si>
    <t>FIN-TX-S01-0617</t>
  </si>
  <si>
    <t>transaction_blueprint:TX-S01-0618</t>
  </si>
  <si>
    <t>FIN-TX-S01-0618</t>
  </si>
  <si>
    <t>transaction_blueprint:TX-S01-0619</t>
  </si>
  <si>
    <t>FIN-TX-S01-0619</t>
  </si>
  <si>
    <t>transaction_blueprint:TX-S01-0620</t>
  </si>
  <si>
    <t>FIN-TX-S01-0620</t>
  </si>
  <si>
    <t>transaction_blueprint:TX-S01-0621</t>
  </si>
  <si>
    <t>FIN-TX-S01-0621</t>
  </si>
  <si>
    <t>transaction_blueprint:TX-S01-0622</t>
  </si>
  <si>
    <t>FIN-TX-S01-0622</t>
  </si>
  <si>
    <t>transaction_blueprint:TX-S01-0623</t>
  </si>
  <si>
    <t>FIN-TX-S01-0623</t>
  </si>
  <si>
    <t>transaction_blueprint:TX-S01-0624</t>
  </si>
  <si>
    <t>FIN-TX-S01-0624</t>
  </si>
  <si>
    <t>transaction_blueprint:TX-S01-0625</t>
  </si>
  <si>
    <t>FIN-TX-S01-0625</t>
  </si>
  <si>
    <t>transaction_blueprint:TX-S01-0626</t>
  </si>
  <si>
    <t>FIN-TX-S01-0626</t>
  </si>
  <si>
    <t>transaction_blueprint:TX-S01-0627</t>
  </si>
  <si>
    <t>FIN-TX-S01-0627</t>
  </si>
  <si>
    <t>transaction_blueprint:TX-S01-0628</t>
  </si>
  <si>
    <t>FIN-TX-S01-0628</t>
  </si>
  <si>
    <t>transaction_blueprint:TX-S01-0629</t>
  </si>
  <si>
    <t>FIN-TX-S01-0629</t>
  </si>
  <si>
    <t>transaction_blueprint:TX-S01-0630</t>
  </si>
  <si>
    <t>FIN-TX-S01-0630</t>
  </si>
  <si>
    <t>transaction_blueprint:TX-S01-0631</t>
  </si>
  <si>
    <t>FIN-TX-S01-0631</t>
  </si>
  <si>
    <t>transaction_blueprint:TX-S01-0632</t>
  </si>
  <si>
    <t>FIN-TX-S01-0632</t>
  </si>
  <si>
    <t>transaction_blueprint:TX-S01-0633</t>
  </si>
  <si>
    <t>FIN-TX-S01-0633</t>
  </si>
  <si>
    <t>transaction_blueprint:TX-S01-0634</t>
  </si>
  <si>
    <t>FIN-TX-S01-0634</t>
  </si>
  <si>
    <t>transaction_blueprint:TX-S01-0635</t>
  </si>
  <si>
    <t>FIN-TX-S01-0635</t>
  </si>
  <si>
    <t>transaction_blueprint:TX-S01-0636</t>
  </si>
  <si>
    <t>FIN-TX-S01-0636</t>
  </si>
  <si>
    <t>transaction_blueprint:TX-S01-0637</t>
  </si>
  <si>
    <t>FIN-TX-S01-0637</t>
  </si>
  <si>
    <t>transaction_blueprint:TX-S01-0638</t>
  </si>
  <si>
    <t>FIN-TX-S01-0638</t>
  </si>
  <si>
    <t>transaction_blueprint:TX-S01-0639</t>
  </si>
  <si>
    <t>FIN-TX-S01-0639</t>
  </si>
  <si>
    <t>transaction_blueprint:TX-S01-0640</t>
  </si>
  <si>
    <t>FIN-TX-S01-0640</t>
  </si>
  <si>
    <t>transaction_blueprint:TX-S01-0641</t>
  </si>
  <si>
    <t>FIN-TX-S01-0641</t>
  </si>
  <si>
    <t>transaction_blueprint:TX-S01-0642</t>
  </si>
  <si>
    <t>FIN-TX-S01-0642</t>
  </si>
  <si>
    <t>transaction_blueprint:TX-S01-0643</t>
  </si>
  <si>
    <t>FIN-TX-S01-0643</t>
  </si>
  <si>
    <t>transaction_blueprint:TX-S01-0644</t>
  </si>
  <si>
    <t>FIN-TX-S01-0644</t>
  </si>
  <si>
    <t>transaction_blueprint:TX-S01-0645</t>
  </si>
  <si>
    <t>FIN-TX-S01-0645</t>
  </si>
  <si>
    <t>transaction_blueprint:TX-S01-0646</t>
  </si>
  <si>
    <t>FIN-TX-S01-0646</t>
  </si>
  <si>
    <t>transaction_blueprint:TX-S01-0647</t>
  </si>
  <si>
    <t>FIN-TX-S01-0647</t>
  </si>
  <si>
    <t>transaction_blueprint:TX-S01-0648</t>
  </si>
  <si>
    <t>FIN-TX-S01-0648</t>
  </si>
  <si>
    <t>transaction_blueprint:TX-S01-0649</t>
  </si>
  <si>
    <t>FIN-TX-S01-0649</t>
  </si>
  <si>
    <t>transaction_blueprint:TX-S01-0650</t>
  </si>
  <si>
    <t>FIN-TX-S01-0650</t>
  </si>
  <si>
    <t>transaction_blueprint:TX-S01-0651</t>
  </si>
  <si>
    <t>FIN-TX-S01-0651</t>
  </si>
  <si>
    <t>transaction_blueprint:TX-S01-0652</t>
  </si>
  <si>
    <t>FIN-TX-S01-0652</t>
  </si>
  <si>
    <t>transaction_blueprint:TX-S01-0653</t>
  </si>
  <si>
    <t>FIN-TX-S01-0653</t>
  </si>
  <si>
    <t>transaction_blueprint:TX-S01-0654</t>
  </si>
  <si>
    <t>FIN-TX-S01-0654</t>
  </si>
  <si>
    <t>transaction_blueprint:TX-S01-0655</t>
  </si>
  <si>
    <t>FIN-TX-S01-0655</t>
  </si>
  <si>
    <t>transaction_blueprint:TX-S01-0656</t>
  </si>
  <si>
    <t>FIN-TX-S01-0656</t>
  </si>
  <si>
    <t>transaction_blueprint:TX-S01-0657</t>
  </si>
  <si>
    <t>FIN-TX-S01-0657</t>
  </si>
  <si>
    <t>transaction_blueprint:TX-S01-0658</t>
  </si>
  <si>
    <t>FIN-TX-S01-0658</t>
  </si>
  <si>
    <t>transaction_blueprint:TX-S01-0659</t>
  </si>
  <si>
    <t>FIN-TX-S01-0659</t>
  </si>
  <si>
    <t>transaction_blueprint:TX-S01-0660</t>
  </si>
  <si>
    <t>FIN-TX-S01-0660</t>
  </si>
  <si>
    <t>transaction_blueprint:TX-S01-0661</t>
  </si>
  <si>
    <t>FIN-TX-S01-0661</t>
  </si>
  <si>
    <t>transaction_blueprint:TX-S01-0662</t>
  </si>
  <si>
    <t>FIN-TX-S01-0662</t>
  </si>
  <si>
    <t>transaction_blueprint:TX-S01-0663</t>
  </si>
  <si>
    <t>FIN-TX-S01-0663</t>
  </si>
  <si>
    <t>transaction_blueprint:TX-S01-0664</t>
  </si>
  <si>
    <t>FIN-TX-S01-0664</t>
  </si>
  <si>
    <t>transaction_blueprint:TX-S01-0665</t>
  </si>
  <si>
    <t>FIN-TX-S01-0665</t>
  </si>
  <si>
    <t>transaction_blueprint:TX-S01-0666</t>
  </si>
  <si>
    <t>FIN-TX-S01-0666</t>
  </si>
  <si>
    <t>transaction_blueprint:TX-S02-0001</t>
  </si>
  <si>
    <t>FIN-TX-S02-0001</t>
  </si>
  <si>
    <t>CERT-S02-2026-06-6100</t>
  </si>
  <si>
    <t>transaction_blueprint:TX-S02-0002</t>
  </si>
  <si>
    <t>FIN-TX-S02-0002</t>
  </si>
  <si>
    <t>CERT-S02-2026-06-6110</t>
  </si>
  <si>
    <t>transaction_blueprint:TX-S02-0003</t>
  </si>
  <si>
    <t>FIN-TX-S02-0003</t>
  </si>
  <si>
    <t>CERT-S02-2026-06-6120</t>
  </si>
  <si>
    <t>transaction_blueprint:TX-S02-0004</t>
  </si>
  <si>
    <t>FIN-TX-S02-0004</t>
  </si>
  <si>
    <t>CERT-S02-2026-06-6130</t>
  </si>
  <si>
    <t>transaction_blueprint:TX-S02-0005</t>
  </si>
  <si>
    <t>FIN-TX-S02-0005</t>
  </si>
  <si>
    <t>CERT-S02-2026-06-6140</t>
  </si>
  <si>
    <t>transaction_blueprint:TX-S02-0006</t>
  </si>
  <si>
    <t>FIN-TX-S02-0006</t>
  </si>
  <si>
    <t>CERT-S02-2026-06-6150</t>
  </si>
  <si>
    <t>transaction_blueprint:TX-S02-0007</t>
  </si>
  <si>
    <t>FIN-TX-S02-0007</t>
  </si>
  <si>
    <t>CERT-S02-2026-06-6160</t>
  </si>
  <si>
    <t>transaction_blueprint:TX-S02-0008</t>
  </si>
  <si>
    <t>FIN-TX-S02-0008</t>
  </si>
  <si>
    <t>CERT-S02-2026-06-6170</t>
  </si>
  <si>
    <t>transaction_blueprint:TX-S02-0009</t>
  </si>
  <si>
    <t>FIN-TX-S02-0009</t>
  </si>
  <si>
    <t>CERT-S02-2026-06-6180</t>
  </si>
  <si>
    <t>transaction_blueprint:TX-S02-0010</t>
  </si>
  <si>
    <t>FIN-TX-S02-0010</t>
  </si>
  <si>
    <t>CERT-S02-2026-06-6190</t>
  </si>
  <si>
    <t>transaction_blueprint:TX-S02-0011</t>
  </si>
  <si>
    <t>FIN-TX-S02-0011</t>
  </si>
  <si>
    <t>transaction_blueprint:TX-S02-0012</t>
  </si>
  <si>
    <t>FIN-TX-S02-0012</t>
  </si>
  <si>
    <t>transaction_blueprint:TX-S02-0013</t>
  </si>
  <si>
    <t>FIN-TX-S02-0013</t>
  </si>
  <si>
    <t>transaction_blueprint:TX-S02-0014</t>
  </si>
  <si>
    <t>FIN-TX-S02-0014</t>
  </si>
  <si>
    <t>transaction_blueprint:TX-S02-0015</t>
  </si>
  <si>
    <t>FIN-TX-S02-0015</t>
  </si>
  <si>
    <t>transaction_blueprint:TX-S02-0016</t>
  </si>
  <si>
    <t>FIN-TX-S02-0016</t>
  </si>
  <si>
    <t>transaction_blueprint:TX-S02-0017</t>
  </si>
  <si>
    <t>FIN-TX-S02-0017</t>
  </si>
  <si>
    <t>transaction_blueprint:TX-S02-0018</t>
  </si>
  <si>
    <t>FIN-TX-S02-0018</t>
  </si>
  <si>
    <t>transaction_blueprint:TX-S02-0019</t>
  </si>
  <si>
    <t>FIN-TX-S02-0019</t>
  </si>
  <si>
    <t>transaction_blueprint:TX-S02-0020</t>
  </si>
  <si>
    <t>FIN-TX-S02-0020</t>
  </si>
  <si>
    <t>transaction_blueprint:TX-S02-0021</t>
  </si>
  <si>
    <t>FIN-TX-S02-0021</t>
  </si>
  <si>
    <t>transaction_blueprint:TX-S02-0022</t>
  </si>
  <si>
    <t>FIN-TX-S02-0022</t>
  </si>
  <si>
    <t>transaction_blueprint:TX-S02-0023</t>
  </si>
  <si>
    <t>FIN-TX-S02-0023</t>
  </si>
  <si>
    <t>transaction_blueprint:TX-S02-0024</t>
  </si>
  <si>
    <t>FIN-TX-S02-0024</t>
  </si>
  <si>
    <t>transaction_blueprint:TX-S02-0025</t>
  </si>
  <si>
    <t>FIN-TX-S02-0025</t>
  </si>
  <si>
    <t>transaction_blueprint:TX-S02-0026</t>
  </si>
  <si>
    <t>FIN-TX-S02-0026</t>
  </si>
  <si>
    <t>transaction_blueprint:TX-S02-0027</t>
  </si>
  <si>
    <t>FIN-TX-S02-0027</t>
  </si>
  <si>
    <t>transaction_blueprint:TX-S02-0028</t>
  </si>
  <si>
    <t>FIN-TX-S02-0028</t>
  </si>
  <si>
    <t>transaction_blueprint:TX-S02-0029</t>
  </si>
  <si>
    <t>FIN-TX-S02-0029</t>
  </si>
  <si>
    <t>transaction_blueprint:TX-S02-0030</t>
  </si>
  <si>
    <t>FIN-TX-S02-0030</t>
  </si>
  <si>
    <t>transaction_blueprint:TX-S02-0031</t>
  </si>
  <si>
    <t>FIN-TX-S02-0031</t>
  </si>
  <si>
    <t>transaction_blueprint:TX-S02-0032</t>
  </si>
  <si>
    <t>FIN-TX-S02-0032</t>
  </si>
  <si>
    <t>transaction_blueprint:TX-S02-0033</t>
  </si>
  <si>
    <t>FIN-TX-S02-0033</t>
  </si>
  <si>
    <t>transaction_blueprint:TX-S02-0034</t>
  </si>
  <si>
    <t>FIN-TX-S02-0034</t>
  </si>
  <si>
    <t>transaction_blueprint:TX-S02-0035</t>
  </si>
  <si>
    <t>FIN-TX-S02-0035</t>
  </si>
  <si>
    <t>transaction_blueprint:TX-S02-0036</t>
  </si>
  <si>
    <t>FIN-TX-S02-0036</t>
  </si>
  <si>
    <t>transaction_blueprint:TX-S02-0037</t>
  </si>
  <si>
    <t>FIN-TX-S02-0037</t>
  </si>
  <si>
    <t>transaction_blueprint:TX-S02-0038</t>
  </si>
  <si>
    <t>FIN-TX-S02-0038</t>
  </si>
  <si>
    <t>transaction_blueprint:TX-S02-0039</t>
  </si>
  <si>
    <t>FIN-TX-S02-0039</t>
  </si>
  <si>
    <t>transaction_blueprint:TX-S02-0040</t>
  </si>
  <si>
    <t>FIN-TX-S02-0040</t>
  </si>
  <si>
    <t>transaction_blueprint:TX-S02-0041</t>
  </si>
  <si>
    <t>FIN-TX-S02-0041</t>
  </si>
  <si>
    <t>transaction_blueprint:TX-S02-0042</t>
  </si>
  <si>
    <t>FIN-TX-S02-0042</t>
  </si>
  <si>
    <t>transaction_blueprint:TX-S02-0043</t>
  </si>
  <si>
    <t>FIN-TX-S02-0043</t>
  </si>
  <si>
    <t>transaction_blueprint:TX-S02-0044</t>
  </si>
  <si>
    <t>FIN-TX-S02-0044</t>
  </si>
  <si>
    <t>transaction_blueprint:TX-S02-0045</t>
  </si>
  <si>
    <t>FIN-TX-S02-0045</t>
  </si>
  <si>
    <t>transaction_blueprint:TX-S02-0046</t>
  </si>
  <si>
    <t>FIN-TX-S02-0046</t>
  </si>
  <si>
    <t>transaction_blueprint:TX-S02-0047</t>
  </si>
  <si>
    <t>FIN-TX-S02-0047</t>
  </si>
  <si>
    <t>transaction_blueprint:TX-S02-0048</t>
  </si>
  <si>
    <t>FIN-TX-S02-0048</t>
  </si>
  <si>
    <t>transaction_blueprint:TX-S02-0049</t>
  </si>
  <si>
    <t>FIN-TX-S02-0049</t>
  </si>
  <si>
    <t>transaction_blueprint:TX-S02-0050</t>
  </si>
  <si>
    <t>FIN-TX-S02-0050</t>
  </si>
  <si>
    <t>transaction_blueprint:TX-S02-0051</t>
  </si>
  <si>
    <t>FIN-TX-S02-0051</t>
  </si>
  <si>
    <t>transaction_blueprint:TX-S02-0052</t>
  </si>
  <si>
    <t>FIN-TX-S02-0052</t>
  </si>
  <si>
    <t>transaction_blueprint:TX-S02-0053</t>
  </si>
  <si>
    <t>FIN-TX-S02-0053</t>
  </si>
  <si>
    <t>transaction_blueprint:TX-S02-0054</t>
  </si>
  <si>
    <t>FIN-TX-S02-0054</t>
  </si>
  <si>
    <t>transaction_blueprint:TX-S02-0055</t>
  </si>
  <si>
    <t>FIN-TX-S02-0055</t>
  </si>
  <si>
    <t>transaction_blueprint:TX-S02-0056</t>
  </si>
  <si>
    <t>FIN-TX-S02-0056</t>
  </si>
  <si>
    <t>transaction_blueprint:TX-S02-0057</t>
  </si>
  <si>
    <t>FIN-TX-S02-0057</t>
  </si>
  <si>
    <t>transaction_blueprint:TX-S02-0058</t>
  </si>
  <si>
    <t>FIN-TX-S02-0058</t>
  </si>
  <si>
    <t>transaction_blueprint:TX-S02-0059</t>
  </si>
  <si>
    <t>FIN-TX-S02-0059</t>
  </si>
  <si>
    <t>transaction_blueprint:TX-S02-0060</t>
  </si>
  <si>
    <t>FIN-TX-S02-0060</t>
  </si>
  <si>
    <t>transaction_blueprint:TX-S02-0061</t>
  </si>
  <si>
    <t>FIN-TX-S02-0061</t>
  </si>
  <si>
    <t>transaction_blueprint:TX-S02-0062</t>
  </si>
  <si>
    <t>FIN-TX-S02-0062</t>
  </si>
  <si>
    <t>transaction_blueprint:TX-S02-0063</t>
  </si>
  <si>
    <t>FIN-TX-S02-0063</t>
  </si>
  <si>
    <t>transaction_blueprint:TX-S02-0064</t>
  </si>
  <si>
    <t>FIN-TX-S02-0064</t>
  </si>
  <si>
    <t>transaction_blueprint:TX-S02-0065</t>
  </si>
  <si>
    <t>FIN-TX-S02-0065</t>
  </si>
  <si>
    <t>transaction_blueprint:TX-S02-0066</t>
  </si>
  <si>
    <t>FIN-TX-S02-0066</t>
  </si>
  <si>
    <t>transaction_blueprint:TX-S02-0067</t>
  </si>
  <si>
    <t>FIN-TX-S02-0067</t>
  </si>
  <si>
    <t>transaction_blueprint:TX-S02-0068</t>
  </si>
  <si>
    <t>FIN-TX-S02-0068</t>
  </si>
  <si>
    <t>transaction_blueprint:TX-S02-0069</t>
  </si>
  <si>
    <t>FIN-TX-S02-0069</t>
  </si>
  <si>
    <t>transaction_blueprint:TX-S02-0070</t>
  </si>
  <si>
    <t>FIN-TX-S02-0070</t>
  </si>
  <si>
    <t>transaction_blueprint:TX-S02-0071</t>
  </si>
  <si>
    <t>FIN-TX-S02-0071</t>
  </si>
  <si>
    <t>transaction_blueprint:TX-S02-0072</t>
  </si>
  <si>
    <t>FIN-TX-S02-0072</t>
  </si>
  <si>
    <t>transaction_blueprint:TX-S02-0073</t>
  </si>
  <si>
    <t>FIN-TX-S02-0073</t>
  </si>
  <si>
    <t>transaction_blueprint:TX-S02-0074</t>
  </si>
  <si>
    <t>FIN-TX-S02-0074</t>
  </si>
  <si>
    <t>transaction_blueprint:TX-S02-0075</t>
  </si>
  <si>
    <t>FIN-TX-S02-0075</t>
  </si>
  <si>
    <t>transaction_blueprint:TX-S02-0076</t>
  </si>
  <si>
    <t>FIN-TX-S02-0076</t>
  </si>
  <si>
    <t>transaction_blueprint:TX-S02-0077</t>
  </si>
  <si>
    <t>FIN-TX-S02-0077</t>
  </si>
  <si>
    <t>transaction_blueprint:TX-S02-0078</t>
  </si>
  <si>
    <t>FIN-TX-S02-0078</t>
  </si>
  <si>
    <t>transaction_blueprint:TX-S02-0079</t>
  </si>
  <si>
    <t>FIN-TX-S02-0079</t>
  </si>
  <si>
    <t>transaction_blueprint:TX-S02-0080</t>
  </si>
  <si>
    <t>FIN-TX-S02-0080</t>
  </si>
  <si>
    <t>transaction_blueprint:TX-S02-0081</t>
  </si>
  <si>
    <t>FIN-TX-S02-0081</t>
  </si>
  <si>
    <t>transaction_blueprint:TX-S02-0082</t>
  </si>
  <si>
    <t>FIN-TX-S02-0082</t>
  </si>
  <si>
    <t>transaction_blueprint:TX-S02-0083</t>
  </si>
  <si>
    <t>FIN-TX-S02-0083</t>
  </si>
  <si>
    <t>transaction_blueprint:TX-S02-0084</t>
  </si>
  <si>
    <t>FIN-TX-S02-0084</t>
  </si>
  <si>
    <t>transaction_blueprint:TX-S02-0085</t>
  </si>
  <si>
    <t>FIN-TX-S02-0085</t>
  </si>
  <si>
    <t>transaction_blueprint:TX-S02-0086</t>
  </si>
  <si>
    <t>FIN-TX-S02-0086</t>
  </si>
  <si>
    <t>transaction_blueprint:TX-S02-0087</t>
  </si>
  <si>
    <t>FIN-TX-S02-0087</t>
  </si>
  <si>
    <t>transaction_blueprint:TX-S02-0088</t>
  </si>
  <si>
    <t>FIN-TX-S02-0088</t>
  </si>
  <si>
    <t>transaction_blueprint:TX-S02-0089</t>
  </si>
  <si>
    <t>FIN-TX-S02-0089</t>
  </si>
  <si>
    <t>transaction_blueprint:TX-S02-0090</t>
  </si>
  <si>
    <t>FIN-TX-S02-0090</t>
  </si>
  <si>
    <t>transaction_blueprint:TX-S02-0091</t>
  </si>
  <si>
    <t>FIN-TX-S02-0091</t>
  </si>
  <si>
    <t>transaction_blueprint:TX-S02-0092</t>
  </si>
  <si>
    <t>FIN-TX-S02-0092</t>
  </si>
  <si>
    <t>transaction_blueprint:TX-S02-0093</t>
  </si>
  <si>
    <t>FIN-TX-S02-0093</t>
  </si>
  <si>
    <t>transaction_blueprint:TX-S02-0094</t>
  </si>
  <si>
    <t>FIN-TX-S02-0094</t>
  </si>
  <si>
    <t>transaction_blueprint:TX-S02-0095</t>
  </si>
  <si>
    <t>FIN-TX-S02-0095</t>
  </si>
  <si>
    <t>transaction_blueprint:TX-S02-0096</t>
  </si>
  <si>
    <t>FIN-TX-S02-0096</t>
  </si>
  <si>
    <t>transaction_blueprint:TX-S02-0097</t>
  </si>
  <si>
    <t>FIN-TX-S02-0097</t>
  </si>
  <si>
    <t>transaction_blueprint:TX-S02-0098</t>
  </si>
  <si>
    <t>FIN-TX-S02-0098</t>
  </si>
  <si>
    <t>transaction_blueprint:TX-S02-0099</t>
  </si>
  <si>
    <t>FIN-TX-S02-0099</t>
  </si>
  <si>
    <t>transaction_blueprint:TX-S02-0100</t>
  </si>
  <si>
    <t>FIN-TX-S02-0100</t>
  </si>
  <si>
    <t>transaction_blueprint:TX-S02-0101</t>
  </si>
  <si>
    <t>FIN-TX-S02-0101</t>
  </si>
  <si>
    <t>transaction_blueprint:TX-S02-0102</t>
  </si>
  <si>
    <t>FIN-TX-S02-0102</t>
  </si>
  <si>
    <t>transaction_blueprint:TX-S02-0103</t>
  </si>
  <si>
    <t>FIN-TX-S02-0103</t>
  </si>
  <si>
    <t>transaction_blueprint:TX-S02-0104</t>
  </si>
  <si>
    <t>FIN-TX-S02-0104</t>
  </si>
  <si>
    <t>transaction_blueprint:TX-S02-0105</t>
  </si>
  <si>
    <t>FIN-TX-S02-0105</t>
  </si>
  <si>
    <t>transaction_blueprint:TX-S02-0106</t>
  </si>
  <si>
    <t>FIN-TX-S02-0106</t>
  </si>
  <si>
    <t>transaction_blueprint:TX-S02-0107</t>
  </si>
  <si>
    <t>FIN-TX-S02-0107</t>
  </si>
  <si>
    <t>transaction_blueprint:TX-S02-0108</t>
  </si>
  <si>
    <t>FIN-TX-S02-0108</t>
  </si>
  <si>
    <t>transaction_blueprint:TX-S02-0109</t>
  </si>
  <si>
    <t>FIN-TX-S02-0109</t>
  </si>
  <si>
    <t>transaction_blueprint:TX-S02-0110</t>
  </si>
  <si>
    <t>FIN-TX-S02-0110</t>
  </si>
  <si>
    <t>transaction_blueprint:TX-S02-0111</t>
  </si>
  <si>
    <t>FIN-TX-S02-0111</t>
  </si>
  <si>
    <t>transaction_blueprint:TX-S02-0112</t>
  </si>
  <si>
    <t>FIN-TX-S02-0112</t>
  </si>
  <si>
    <t>transaction_blueprint:TX-S02-0113</t>
  </si>
  <si>
    <t>FIN-TX-S02-0113</t>
  </si>
  <si>
    <t>transaction_blueprint:TX-S02-0114</t>
  </si>
  <si>
    <t>FIN-TX-S02-0114</t>
  </si>
  <si>
    <t>transaction_blueprint:TX-S02-0115</t>
  </si>
  <si>
    <t>FIN-TX-S02-0115</t>
  </si>
  <si>
    <t>transaction_blueprint:TX-S02-0116</t>
  </si>
  <si>
    <t>FIN-TX-S02-0116</t>
  </si>
  <si>
    <t>transaction_blueprint:TX-S02-0117</t>
  </si>
  <si>
    <t>FIN-TX-S02-0117</t>
  </si>
  <si>
    <t>transaction_blueprint:TX-S02-0118</t>
  </si>
  <si>
    <t>FIN-TX-S02-0118</t>
  </si>
  <si>
    <t>transaction_blueprint:TX-S02-0119</t>
  </si>
  <si>
    <t>FIN-TX-S02-0119</t>
  </si>
  <si>
    <t>transaction_blueprint:TX-S02-0120</t>
  </si>
  <si>
    <t>FIN-TX-S02-0120</t>
  </si>
  <si>
    <t>transaction_blueprint:TX-S02-0121</t>
  </si>
  <si>
    <t>FIN-TX-S02-0121</t>
  </si>
  <si>
    <t>transaction_blueprint:TX-S02-0122</t>
  </si>
  <si>
    <t>FIN-TX-S02-0122</t>
  </si>
  <si>
    <t>transaction_blueprint:TX-S02-0123</t>
  </si>
  <si>
    <t>FIN-TX-S02-0123</t>
  </si>
  <si>
    <t>transaction_blueprint:TX-S02-0124</t>
  </si>
  <si>
    <t>FIN-TX-S02-0124</t>
  </si>
  <si>
    <t>transaction_blueprint:TX-S02-0125</t>
  </si>
  <si>
    <t>FIN-TX-S02-0125</t>
  </si>
  <si>
    <t>transaction_blueprint:TX-S02-0126</t>
  </si>
  <si>
    <t>FIN-TX-S02-0126</t>
  </si>
  <si>
    <t>transaction_blueprint:TX-S02-0127</t>
  </si>
  <si>
    <t>FIN-TX-S02-0127</t>
  </si>
  <si>
    <t>transaction_blueprint:TX-S02-0128</t>
  </si>
  <si>
    <t>FIN-TX-S02-0128</t>
  </si>
  <si>
    <t>transaction_blueprint:TX-S02-0129</t>
  </si>
  <si>
    <t>FIN-TX-S02-0129</t>
  </si>
  <si>
    <t>transaction_blueprint:TX-S02-0130</t>
  </si>
  <si>
    <t>FIN-TX-S02-0130</t>
  </si>
  <si>
    <t>transaction_blueprint:TX-S02-0131</t>
  </si>
  <si>
    <t>FIN-TX-S02-0131</t>
  </si>
  <si>
    <t>transaction_blueprint:TX-S02-0132</t>
  </si>
  <si>
    <t>FIN-TX-S02-0132</t>
  </si>
  <si>
    <t>transaction_blueprint:TX-S02-0133</t>
  </si>
  <si>
    <t>FIN-TX-S02-0133</t>
  </si>
  <si>
    <t>transaction_blueprint:TX-S02-0134</t>
  </si>
  <si>
    <t>FIN-TX-S02-0134</t>
  </si>
  <si>
    <t>transaction_blueprint:TX-S02-0135</t>
  </si>
  <si>
    <t>FIN-TX-S02-0135</t>
  </si>
  <si>
    <t>transaction_blueprint:TX-S02-0136</t>
  </si>
  <si>
    <t>FIN-TX-S02-0136</t>
  </si>
  <si>
    <t>transaction_blueprint:TX-S02-0137</t>
  </si>
  <si>
    <t>FIN-TX-S02-0137</t>
  </si>
  <si>
    <t>transaction_blueprint:TX-S02-0138</t>
  </si>
  <si>
    <t>FIN-TX-S02-0138</t>
  </si>
  <si>
    <t>transaction_blueprint:TX-S02-0139</t>
  </si>
  <si>
    <t>FIN-TX-S02-0139</t>
  </si>
  <si>
    <t>transaction_blueprint:TX-S02-0140</t>
  </si>
  <si>
    <t>FIN-TX-S02-0140</t>
  </si>
  <si>
    <t>transaction_blueprint:TX-S02-0141</t>
  </si>
  <si>
    <t>FIN-TX-S02-0141</t>
  </si>
  <si>
    <t>transaction_blueprint:TX-S02-0142</t>
  </si>
  <si>
    <t>FIN-TX-S02-0142</t>
  </si>
  <si>
    <t>transaction_blueprint:TX-S02-0143</t>
  </si>
  <si>
    <t>FIN-TX-S02-0143</t>
  </si>
  <si>
    <t>transaction_blueprint:TX-S02-0144</t>
  </si>
  <si>
    <t>FIN-TX-S02-0144</t>
  </si>
  <si>
    <t>transaction_blueprint:TX-S02-0145</t>
  </si>
  <si>
    <t>FIN-TX-S02-0145</t>
  </si>
  <si>
    <t>transaction_blueprint:TX-S02-0146</t>
  </si>
  <si>
    <t>FIN-TX-S02-0146</t>
  </si>
  <si>
    <t>transaction_blueprint:TX-S02-0147</t>
  </si>
  <si>
    <t>FIN-TX-S02-0147</t>
  </si>
  <si>
    <t>transaction_blueprint:TX-S02-0148</t>
  </si>
  <si>
    <t>FIN-TX-S02-0148</t>
  </si>
  <si>
    <t>transaction_blueprint:TX-S02-0149</t>
  </si>
  <si>
    <t>FIN-TX-S02-0149</t>
  </si>
  <si>
    <t>transaction_blueprint:TX-S02-0150</t>
  </si>
  <si>
    <t>FIN-TX-S02-0150</t>
  </si>
  <si>
    <t>transaction_blueprint:TX-S02-0151</t>
  </si>
  <si>
    <t>FIN-TX-S02-0151</t>
  </si>
  <si>
    <t>transaction_blueprint:TX-S02-0152</t>
  </si>
  <si>
    <t>FIN-TX-S02-0152</t>
  </si>
  <si>
    <t>transaction_blueprint:TX-S02-0153</t>
  </si>
  <si>
    <t>FIN-TX-S02-0153</t>
  </si>
  <si>
    <t>transaction_blueprint:TX-S02-0154</t>
  </si>
  <si>
    <t>FIN-TX-S02-0154</t>
  </si>
  <si>
    <t>transaction_blueprint:TX-S02-0155</t>
  </si>
  <si>
    <t>FIN-TX-S02-0155</t>
  </si>
  <si>
    <t>transaction_blueprint:TX-S02-0156</t>
  </si>
  <si>
    <t>FIN-TX-S02-0156</t>
  </si>
  <si>
    <t>transaction_blueprint:TX-S02-0157</t>
  </si>
  <si>
    <t>FIN-TX-S02-0157</t>
  </si>
  <si>
    <t>transaction_blueprint:TX-S02-0158</t>
  </si>
  <si>
    <t>FIN-TX-S02-0158</t>
  </si>
  <si>
    <t>transaction_blueprint:TX-S02-0159</t>
  </si>
  <si>
    <t>FIN-TX-S02-0159</t>
  </si>
  <si>
    <t>transaction_blueprint:TX-S02-0160</t>
  </si>
  <si>
    <t>FIN-TX-S02-0160</t>
  </si>
  <si>
    <t>transaction_blueprint:TX-S02-0161</t>
  </si>
  <si>
    <t>FIN-TX-S02-0161</t>
  </si>
  <si>
    <t>transaction_blueprint:TX-S02-0162</t>
  </si>
  <si>
    <t>FIN-TX-S02-0162</t>
  </si>
  <si>
    <t>transaction_blueprint:TX-S02-0163</t>
  </si>
  <si>
    <t>FIN-TX-S02-0163</t>
  </si>
  <si>
    <t>transaction_blueprint:TX-S02-0164</t>
  </si>
  <si>
    <t>FIN-TX-S02-0164</t>
  </si>
  <si>
    <t>transaction_blueprint:TX-S02-0165</t>
  </si>
  <si>
    <t>FIN-TX-S02-0165</t>
  </si>
  <si>
    <t>transaction_blueprint:TX-S02-0166</t>
  </si>
  <si>
    <t>FIN-TX-S02-0166</t>
  </si>
  <si>
    <t>transaction_blueprint:TX-S02-0167</t>
  </si>
  <si>
    <t>FIN-TX-S02-0167</t>
  </si>
  <si>
    <t>transaction_blueprint:TX-S02-0168</t>
  </si>
  <si>
    <t>FIN-TX-S02-0168</t>
  </si>
  <si>
    <t>transaction_blueprint:TX-S02-0169</t>
  </si>
  <si>
    <t>FIN-TX-S02-0169</t>
  </si>
  <si>
    <t>transaction_blueprint:TX-S02-0170</t>
  </si>
  <si>
    <t>FIN-TX-S02-0170</t>
  </si>
  <si>
    <t>transaction_blueprint:TX-S02-0171</t>
  </si>
  <si>
    <t>FIN-TX-S02-0171</t>
  </si>
  <si>
    <t>transaction_blueprint:TX-S02-0172</t>
  </si>
  <si>
    <t>FIN-TX-S02-0172</t>
  </si>
  <si>
    <t>transaction_blueprint:TX-S02-0173</t>
  </si>
  <si>
    <t>FIN-TX-S02-0173</t>
  </si>
  <si>
    <t>transaction_blueprint:TX-S02-0174</t>
  </si>
  <si>
    <t>FIN-TX-S02-0174</t>
  </si>
  <si>
    <t>transaction_blueprint:TX-S02-0175</t>
  </si>
  <si>
    <t>FIN-TX-S02-0175</t>
  </si>
  <si>
    <t>transaction_blueprint:TX-S02-0176</t>
  </si>
  <si>
    <t>FIN-TX-S02-0176</t>
  </si>
  <si>
    <t>transaction_blueprint:TX-S02-0177</t>
  </si>
  <si>
    <t>FIN-TX-S02-0177</t>
  </si>
  <si>
    <t>transaction_blueprint:TX-S02-0178</t>
  </si>
  <si>
    <t>FIN-TX-S02-0178</t>
  </si>
  <si>
    <t>transaction_blueprint:TX-S02-0179</t>
  </si>
  <si>
    <t>FIN-TX-S02-0179</t>
  </si>
  <si>
    <t>transaction_blueprint:TX-S02-0180</t>
  </si>
  <si>
    <t>FIN-TX-S02-0180</t>
  </si>
  <si>
    <t>transaction_blueprint:TX-S02-0181</t>
  </si>
  <si>
    <t>FIN-TX-S02-0181</t>
  </si>
  <si>
    <t>transaction_blueprint:TX-S02-0182</t>
  </si>
  <si>
    <t>FIN-TX-S02-0182</t>
  </si>
  <si>
    <t>transaction_blueprint:TX-S02-0183</t>
  </si>
  <si>
    <t>FIN-TX-S02-0183</t>
  </si>
  <si>
    <t>transaction_blueprint:TX-S02-0184</t>
  </si>
  <si>
    <t>FIN-TX-S02-0184</t>
  </si>
  <si>
    <t>transaction_blueprint:TX-S02-0185</t>
  </si>
  <si>
    <t>FIN-TX-S02-0185</t>
  </si>
  <si>
    <t>transaction_blueprint:TX-S02-0186</t>
  </si>
  <si>
    <t>FIN-TX-S02-0186</t>
  </si>
  <si>
    <t>transaction_blueprint:TX-S02-0187</t>
  </si>
  <si>
    <t>FIN-TX-S02-0187</t>
  </si>
  <si>
    <t>transaction_blueprint:TX-S02-0188</t>
  </si>
  <si>
    <t>FIN-TX-S02-0188</t>
  </si>
  <si>
    <t>transaction_blueprint:TX-S02-0189</t>
  </si>
  <si>
    <t>FIN-TX-S02-0189</t>
  </si>
  <si>
    <t>transaction_blueprint:TX-S02-0190</t>
  </si>
  <si>
    <t>FIN-TX-S02-0190</t>
  </si>
  <si>
    <t>transaction_blueprint:TX-S02-0191</t>
  </si>
  <si>
    <t>FIN-TX-S02-0191</t>
  </si>
  <si>
    <t>transaction_blueprint:TX-S02-0192</t>
  </si>
  <si>
    <t>FIN-TX-S02-0192</t>
  </si>
  <si>
    <t>transaction_blueprint:TX-S02-0193</t>
  </si>
  <si>
    <t>FIN-TX-S02-0193</t>
  </si>
  <si>
    <t>transaction_blueprint:TX-S02-0194</t>
  </si>
  <si>
    <t>FIN-TX-S02-0194</t>
  </si>
  <si>
    <t>transaction_blueprint:TX-S02-0195</t>
  </si>
  <si>
    <t>FIN-TX-S02-0195</t>
  </si>
  <si>
    <t>transaction_blueprint:TX-S02-0196</t>
  </si>
  <si>
    <t>FIN-TX-S02-0196</t>
  </si>
  <si>
    <t>transaction_blueprint:TX-S02-0197</t>
  </si>
  <si>
    <t>FIN-TX-S02-0197</t>
  </si>
  <si>
    <t>transaction_blueprint:TX-S02-0198</t>
  </si>
  <si>
    <t>FIN-TX-S02-0198</t>
  </si>
  <si>
    <t>transaction_blueprint:TX-S02-0199</t>
  </si>
  <si>
    <t>FIN-TX-S02-0199</t>
  </si>
  <si>
    <t>transaction_blueprint:TX-S02-0200</t>
  </si>
  <si>
    <t>FIN-TX-S02-0200</t>
  </si>
  <si>
    <t>transaction_blueprint:TX-S02-0201</t>
  </si>
  <si>
    <t>FIN-TX-S02-0201</t>
  </si>
  <si>
    <t>transaction_blueprint:TX-S02-0202</t>
  </si>
  <si>
    <t>FIN-TX-S02-0202</t>
  </si>
  <si>
    <t>transaction_blueprint:TX-S02-0203</t>
  </si>
  <si>
    <t>FIN-TX-S02-0203</t>
  </si>
  <si>
    <t>transaction_blueprint:TX-S02-0204</t>
  </si>
  <si>
    <t>FIN-TX-S02-0204</t>
  </si>
  <si>
    <t>transaction_blueprint:TX-S02-0205</t>
  </si>
  <si>
    <t>FIN-TX-S02-0205</t>
  </si>
  <si>
    <t>transaction_blueprint:TX-S02-0206</t>
  </si>
  <si>
    <t>FIN-TX-S02-0206</t>
  </si>
  <si>
    <t>transaction_blueprint:TX-S02-0207</t>
  </si>
  <si>
    <t>FIN-TX-S02-0207</t>
  </si>
  <si>
    <t>transaction_blueprint:TX-S02-0208</t>
  </si>
  <si>
    <t>FIN-TX-S02-0208</t>
  </si>
  <si>
    <t>transaction_blueprint:TX-S02-0209</t>
  </si>
  <si>
    <t>FIN-TX-S02-0209</t>
  </si>
  <si>
    <t>transaction_blueprint:TX-S02-0210</t>
  </si>
  <si>
    <t>FIN-TX-S02-0210</t>
  </si>
  <si>
    <t>transaction_blueprint:TX-S02-0211</t>
  </si>
  <si>
    <t>FIN-TX-S02-0211</t>
  </si>
  <si>
    <t>transaction_blueprint:TX-S02-0212</t>
  </si>
  <si>
    <t>FIN-TX-S02-0212</t>
  </si>
  <si>
    <t>transaction_blueprint:TX-S02-0213</t>
  </si>
  <si>
    <t>FIN-TX-S02-0213</t>
  </si>
  <si>
    <t>transaction_blueprint:TX-S02-0214</t>
  </si>
  <si>
    <t>FIN-TX-S02-0214</t>
  </si>
  <si>
    <t>transaction_blueprint:TX-S02-0215</t>
  </si>
  <si>
    <t>FIN-TX-S02-0215</t>
  </si>
  <si>
    <t>transaction_blueprint:TX-S02-0216</t>
  </si>
  <si>
    <t>FIN-TX-S02-0216</t>
  </si>
  <si>
    <t>transaction_blueprint:TX-S02-0217</t>
  </si>
  <si>
    <t>FIN-TX-S02-0217</t>
  </si>
  <si>
    <t>transaction_blueprint:TX-S02-0218</t>
  </si>
  <si>
    <t>FIN-TX-S02-0218</t>
  </si>
  <si>
    <t>transaction_blueprint:TX-S02-0219</t>
  </si>
  <si>
    <t>FIN-TX-S02-0219</t>
  </si>
  <si>
    <t>transaction_blueprint:TX-S02-0220</t>
  </si>
  <si>
    <t>FIN-TX-S02-0220</t>
  </si>
  <si>
    <t>transaction_blueprint:TX-S02-0221</t>
  </si>
  <si>
    <t>FIN-TX-S02-0221</t>
  </si>
  <si>
    <t>transaction_blueprint:TX-S02-0222</t>
  </si>
  <si>
    <t>FIN-TX-S02-0222</t>
  </si>
  <si>
    <t>transaction_blueprint:TX-S02-0223</t>
  </si>
  <si>
    <t>FIN-TX-S02-0223</t>
  </si>
  <si>
    <t>transaction_blueprint:TX-S02-0224</t>
  </si>
  <si>
    <t>FIN-TX-S02-0224</t>
  </si>
  <si>
    <t>transaction_blueprint:TX-S02-0225</t>
  </si>
  <si>
    <t>FIN-TX-S02-0225</t>
  </si>
  <si>
    <t>transaction_blueprint:TX-S02-0226</t>
  </si>
  <si>
    <t>FIN-TX-S02-0226</t>
  </si>
  <si>
    <t>transaction_blueprint:TX-S02-0227</t>
  </si>
  <si>
    <t>FIN-TX-S02-0227</t>
  </si>
  <si>
    <t>transaction_blueprint:TX-S02-0228</t>
  </si>
  <si>
    <t>FIN-TX-S02-0228</t>
  </si>
  <si>
    <t>transaction_blueprint:TX-S02-0229</t>
  </si>
  <si>
    <t>FIN-TX-S02-0229</t>
  </si>
  <si>
    <t>transaction_blueprint:TX-S02-0230</t>
  </si>
  <si>
    <t>FIN-TX-S02-0230</t>
  </si>
  <si>
    <t>transaction_blueprint:TX-S02-0231</t>
  </si>
  <si>
    <t>FIN-TX-S02-0231</t>
  </si>
  <si>
    <t>transaction_blueprint:TX-S02-0232</t>
  </si>
  <si>
    <t>FIN-TX-S02-0232</t>
  </si>
  <si>
    <t>transaction_blueprint:TX-S02-0233</t>
  </si>
  <si>
    <t>FIN-TX-S02-0233</t>
  </si>
  <si>
    <t>transaction_blueprint:TX-S02-0234</t>
  </si>
  <si>
    <t>FIN-TX-S02-0234</t>
  </si>
  <si>
    <t>transaction_blueprint:TX-S02-0235</t>
  </si>
  <si>
    <t>FIN-TX-S02-0235</t>
  </si>
  <si>
    <t>transaction_blueprint:TX-S02-0236</t>
  </si>
  <si>
    <t>FIN-TX-S02-0236</t>
  </si>
  <si>
    <t>transaction_blueprint:TX-S02-0237</t>
  </si>
  <si>
    <t>FIN-TX-S02-0237</t>
  </si>
  <si>
    <t>transaction_blueprint:TX-S02-0238</t>
  </si>
  <si>
    <t>FIN-TX-S02-0238</t>
  </si>
  <si>
    <t>transaction_blueprint:TX-S02-0239</t>
  </si>
  <si>
    <t>FIN-TX-S02-0239</t>
  </si>
  <si>
    <t>transaction_blueprint:TX-S02-0240</t>
  </si>
  <si>
    <t>FIN-TX-S02-0240</t>
  </si>
  <si>
    <t>transaction_blueprint:TX-S02-0241</t>
  </si>
  <si>
    <t>FIN-TX-S02-0241</t>
  </si>
  <si>
    <t>transaction_blueprint:TX-S02-0242</t>
  </si>
  <si>
    <t>FIN-TX-S02-0242</t>
  </si>
  <si>
    <t>transaction_blueprint:TX-S02-0243</t>
  </si>
  <si>
    <t>FIN-TX-S02-0243</t>
  </si>
  <si>
    <t>transaction_blueprint:TX-S02-0244</t>
  </si>
  <si>
    <t>FIN-TX-S02-0244</t>
  </si>
  <si>
    <t>transaction_blueprint:TX-S02-0245</t>
  </si>
  <si>
    <t>FIN-TX-S02-0245</t>
  </si>
  <si>
    <t>transaction_blueprint:TX-S02-0246</t>
  </si>
  <si>
    <t>FIN-TX-S02-0246</t>
  </si>
  <si>
    <t>transaction_blueprint:TX-S02-0247</t>
  </si>
  <si>
    <t>FIN-TX-S02-0247</t>
  </si>
  <si>
    <t>transaction_blueprint:TX-S02-0248</t>
  </si>
  <si>
    <t>FIN-TX-S02-0248</t>
  </si>
  <si>
    <t>transaction_blueprint:TX-S02-0249</t>
  </si>
  <si>
    <t>FIN-TX-S02-0249</t>
  </si>
  <si>
    <t>transaction_blueprint:TX-S02-0250</t>
  </si>
  <si>
    <t>FIN-TX-S02-0250</t>
  </si>
  <si>
    <t>transaction_blueprint:TX-S02-0251</t>
  </si>
  <si>
    <t>FIN-TX-S02-0251</t>
  </si>
  <si>
    <t>transaction_blueprint:TX-S02-0252</t>
  </si>
  <si>
    <t>FIN-TX-S02-0252</t>
  </si>
  <si>
    <t>transaction_blueprint:TX-S02-0253</t>
  </si>
  <si>
    <t>FIN-TX-S02-0253</t>
  </si>
  <si>
    <t>transaction_blueprint:TX-S02-0254</t>
  </si>
  <si>
    <t>FIN-TX-S02-0254</t>
  </si>
  <si>
    <t>transaction_blueprint:TX-S02-0255</t>
  </si>
  <si>
    <t>FIN-TX-S02-0255</t>
  </si>
  <si>
    <t>transaction_blueprint:TX-S02-0256</t>
  </si>
  <si>
    <t>FIN-TX-S02-0256</t>
  </si>
  <si>
    <t>transaction_blueprint:TX-S02-0257</t>
  </si>
  <si>
    <t>FIN-TX-S02-0257</t>
  </si>
  <si>
    <t>transaction_blueprint:TX-S02-0258</t>
  </si>
  <si>
    <t>FIN-TX-S02-0258</t>
  </si>
  <si>
    <t>transaction_blueprint:TX-S02-0259</t>
  </si>
  <si>
    <t>FIN-TX-S02-0259</t>
  </si>
  <si>
    <t>transaction_blueprint:TX-S02-0260</t>
  </si>
  <si>
    <t>FIN-TX-S02-0260</t>
  </si>
  <si>
    <t>transaction_blueprint:TX-S02-0261</t>
  </si>
  <si>
    <t>FIN-TX-S02-0261</t>
  </si>
  <si>
    <t>transaction_blueprint:TX-S02-0262</t>
  </si>
  <si>
    <t>FIN-TX-S02-0262</t>
  </si>
  <si>
    <t>transaction_blueprint:TX-S02-0263</t>
  </si>
  <si>
    <t>FIN-TX-S02-0263</t>
  </si>
  <si>
    <t>transaction_blueprint:TX-S02-0264</t>
  </si>
  <si>
    <t>FIN-TX-S02-0264</t>
  </si>
  <si>
    <t>transaction_blueprint:TX-S02-0265</t>
  </si>
  <si>
    <t>FIN-TX-S02-0265</t>
  </si>
  <si>
    <t>transaction_blueprint:TX-S02-0266</t>
  </si>
  <si>
    <t>FIN-TX-S02-0266</t>
  </si>
  <si>
    <t>transaction_blueprint:TX-S02-0267</t>
  </si>
  <si>
    <t>FIN-TX-S02-0267</t>
  </si>
  <si>
    <t>transaction_blueprint:TX-S02-0268</t>
  </si>
  <si>
    <t>FIN-TX-S02-0268</t>
  </si>
  <si>
    <t>transaction_blueprint:TX-S02-0269</t>
  </si>
  <si>
    <t>FIN-TX-S02-0269</t>
  </si>
  <si>
    <t>transaction_blueprint:TX-S02-0270</t>
  </si>
  <si>
    <t>FIN-TX-S02-0270</t>
  </si>
  <si>
    <t>transaction_blueprint:TX-S02-0271</t>
  </si>
  <si>
    <t>FIN-TX-S02-0271</t>
  </si>
  <si>
    <t>transaction_blueprint:TX-S02-0272</t>
  </si>
  <si>
    <t>FIN-TX-S02-0272</t>
  </si>
  <si>
    <t>transaction_blueprint:TX-S02-0273</t>
  </si>
  <si>
    <t>FIN-TX-S02-0273</t>
  </si>
  <si>
    <t>transaction_blueprint:TX-S02-0274</t>
  </si>
  <si>
    <t>FIN-TX-S02-0274</t>
  </si>
  <si>
    <t>transaction_blueprint:TX-S02-0275</t>
  </si>
  <si>
    <t>FIN-TX-S02-0275</t>
  </si>
  <si>
    <t>transaction_blueprint:TX-S02-0276</t>
  </si>
  <si>
    <t>FIN-TX-S02-0276</t>
  </si>
  <si>
    <t>transaction_blueprint:TX-S02-0277</t>
  </si>
  <si>
    <t>FIN-TX-S02-0277</t>
  </si>
  <si>
    <t>transaction_blueprint:TX-S02-0278</t>
  </si>
  <si>
    <t>FIN-TX-S02-0278</t>
  </si>
  <si>
    <t>transaction_blueprint:TX-S02-0279</t>
  </si>
  <si>
    <t>FIN-TX-S02-0279</t>
  </si>
  <si>
    <t>transaction_blueprint:TX-S02-0280</t>
  </si>
  <si>
    <t>FIN-TX-S02-0280</t>
  </si>
  <si>
    <t>transaction_blueprint:TX-S02-0281</t>
  </si>
  <si>
    <t>FIN-TX-S02-0281</t>
  </si>
  <si>
    <t>transaction_blueprint:TX-S02-0282</t>
  </si>
  <si>
    <t>FIN-TX-S02-0282</t>
  </si>
  <si>
    <t>transaction_blueprint:TX-S02-0283</t>
  </si>
  <si>
    <t>FIN-TX-S02-0283</t>
  </si>
  <si>
    <t>transaction_blueprint:TX-S02-0284</t>
  </si>
  <si>
    <t>FIN-TX-S02-0284</t>
  </si>
  <si>
    <t>transaction_blueprint:TX-S02-0285</t>
  </si>
  <si>
    <t>FIN-TX-S02-0285</t>
  </si>
  <si>
    <t>transaction_blueprint:TX-S02-0286</t>
  </si>
  <si>
    <t>FIN-TX-S02-0286</t>
  </si>
  <si>
    <t>transaction_blueprint:TX-S02-0287</t>
  </si>
  <si>
    <t>FIN-TX-S02-0287</t>
  </si>
  <si>
    <t>transaction_blueprint:TX-S02-0288</t>
  </si>
  <si>
    <t>FIN-TX-S02-0288</t>
  </si>
  <si>
    <t>transaction_blueprint:TX-S02-0289</t>
  </si>
  <si>
    <t>FIN-TX-S02-0289</t>
  </si>
  <si>
    <t>transaction_blueprint:TX-S02-0290</t>
  </si>
  <si>
    <t>FIN-TX-S02-0290</t>
  </si>
  <si>
    <t>transaction_blueprint:TX-S02-0291</t>
  </si>
  <si>
    <t>FIN-TX-S02-0291</t>
  </si>
  <si>
    <t>transaction_blueprint:TX-S02-0292</t>
  </si>
  <si>
    <t>FIN-TX-S02-0292</t>
  </si>
  <si>
    <t>transaction_blueprint:TX-S02-0293</t>
  </si>
  <si>
    <t>FIN-TX-S02-0293</t>
  </si>
  <si>
    <t>transaction_blueprint:TX-S02-0294</t>
  </si>
  <si>
    <t>FIN-TX-S02-0294</t>
  </si>
  <si>
    <t>transaction_blueprint:TX-S02-0295</t>
  </si>
  <si>
    <t>FIN-TX-S02-0295</t>
  </si>
  <si>
    <t>transaction_blueprint:TX-S02-0296</t>
  </si>
  <si>
    <t>FIN-TX-S02-0296</t>
  </si>
  <si>
    <t>transaction_blueprint:TX-S02-0297</t>
  </si>
  <si>
    <t>FIN-TX-S02-0297</t>
  </si>
  <si>
    <t>transaction_blueprint:TX-S02-0298</t>
  </si>
  <si>
    <t>FIN-TX-S02-0298</t>
  </si>
  <si>
    <t>transaction_blueprint:TX-S02-0299</t>
  </si>
  <si>
    <t>FIN-TX-S02-0299</t>
  </si>
  <si>
    <t>transaction_blueprint:TX-S02-0300</t>
  </si>
  <si>
    <t>FIN-TX-S02-0300</t>
  </si>
  <si>
    <t>transaction_blueprint:TX-S02-0301</t>
  </si>
  <si>
    <t>FIN-TX-S02-0301</t>
  </si>
  <si>
    <t>transaction_blueprint:TX-S02-0302</t>
  </si>
  <si>
    <t>FIN-TX-S02-0302</t>
  </si>
  <si>
    <t>transaction_blueprint:TX-S02-0303</t>
  </si>
  <si>
    <t>FIN-TX-S02-0303</t>
  </si>
  <si>
    <t>transaction_blueprint:TX-S02-0304</t>
  </si>
  <si>
    <t>FIN-TX-S02-0304</t>
  </si>
  <si>
    <t>transaction_blueprint:TX-S02-0305</t>
  </si>
  <si>
    <t>FIN-TX-S02-0305</t>
  </si>
  <si>
    <t>transaction_blueprint:TX-S02-0306</t>
  </si>
  <si>
    <t>FIN-TX-S02-0306</t>
  </si>
  <si>
    <t>transaction_blueprint:TX-S02-0307</t>
  </si>
  <si>
    <t>FIN-TX-S02-0307</t>
  </si>
  <si>
    <t>transaction_blueprint:TX-S02-0308</t>
  </si>
  <si>
    <t>FIN-TX-S02-0308</t>
  </si>
  <si>
    <t>transaction_blueprint:TX-S02-0309</t>
  </si>
  <si>
    <t>FIN-TX-S02-0309</t>
  </si>
  <si>
    <t>transaction_blueprint:TX-S02-0310</t>
  </si>
  <si>
    <t>FIN-TX-S02-0310</t>
  </si>
  <si>
    <t>transaction_blueprint:TX-S02-0311</t>
  </si>
  <si>
    <t>FIN-TX-S02-0311</t>
  </si>
  <si>
    <t>transaction_blueprint:TX-S02-0312</t>
  </si>
  <si>
    <t>FIN-TX-S02-0312</t>
  </si>
  <si>
    <t>transaction_blueprint:TX-S02-0313</t>
  </si>
  <si>
    <t>FIN-TX-S02-0313</t>
  </si>
  <si>
    <t>transaction_blueprint:TX-S02-0314</t>
  </si>
  <si>
    <t>FIN-TX-S02-0314</t>
  </si>
  <si>
    <t>transaction_blueprint:TX-S02-0315</t>
  </si>
  <si>
    <t>FIN-TX-S02-0315</t>
  </si>
  <si>
    <t>transaction_blueprint:TX-S02-0316</t>
  </si>
  <si>
    <t>FIN-TX-S02-0316</t>
  </si>
  <si>
    <t>transaction_blueprint:TX-S02-0317</t>
  </si>
  <si>
    <t>FIN-TX-S02-0317</t>
  </si>
  <si>
    <t>transaction_blueprint:TX-S02-0318</t>
  </si>
  <si>
    <t>FIN-TX-S02-0318</t>
  </si>
  <si>
    <t>transaction_blueprint:TX-S02-0319</t>
  </si>
  <si>
    <t>FIN-TX-S02-0319</t>
  </si>
  <si>
    <t>transaction_blueprint:TX-S02-0320</t>
  </si>
  <si>
    <t>FIN-TX-S02-0320</t>
  </si>
  <si>
    <t>transaction_blueprint:TX-S02-0321</t>
  </si>
  <si>
    <t>FIN-TX-S02-0321</t>
  </si>
  <si>
    <t>transaction_blueprint:TX-S02-0322</t>
  </si>
  <si>
    <t>FIN-TX-S02-0322</t>
  </si>
  <si>
    <t>transaction_blueprint:TX-S02-0323</t>
  </si>
  <si>
    <t>FIN-TX-S02-0323</t>
  </si>
  <si>
    <t>transaction_blueprint:TX-S02-0324</t>
  </si>
  <si>
    <t>FIN-TX-S02-0324</t>
  </si>
  <si>
    <t>transaction_blueprint:TX-S02-0325</t>
  </si>
  <si>
    <t>FIN-TX-S02-0325</t>
  </si>
  <si>
    <t>transaction_blueprint:TX-S02-0326</t>
  </si>
  <si>
    <t>FIN-TX-S02-0326</t>
  </si>
  <si>
    <t>transaction_blueprint:TX-S02-0327</t>
  </si>
  <si>
    <t>FIN-TX-S02-0327</t>
  </si>
  <si>
    <t>transaction_blueprint:TX-S02-0328</t>
  </si>
  <si>
    <t>FIN-TX-S02-0328</t>
  </si>
  <si>
    <t>transaction_blueprint:TX-S02-0329</t>
  </si>
  <si>
    <t>FIN-TX-S02-0329</t>
  </si>
  <si>
    <t>transaction_blueprint:TX-S02-0330</t>
  </si>
  <si>
    <t>FIN-TX-S02-0330</t>
  </si>
  <si>
    <t>transaction_blueprint:TX-S02-0331</t>
  </si>
  <si>
    <t>FIN-TX-S02-0331</t>
  </si>
  <si>
    <t>transaction_blueprint:TX-S02-0332</t>
  </si>
  <si>
    <t>FIN-TX-S02-0332</t>
  </si>
  <si>
    <t>transaction_blueprint:TX-S02-0333</t>
  </si>
  <si>
    <t>FIN-TX-S02-0333</t>
  </si>
  <si>
    <t>transaction_blueprint:TX-S02-0334</t>
  </si>
  <si>
    <t>FIN-TX-S02-0334</t>
  </si>
  <si>
    <t>CERT-S02-2026-07-6130</t>
  </si>
  <si>
    <t>transaction_blueprint:TX-S02-0335</t>
  </si>
  <si>
    <t>FIN-TX-S02-0335</t>
  </si>
  <si>
    <t>CERT-S02-2026-07-6140</t>
  </si>
  <si>
    <t>transaction_blueprint:TX-S02-0336</t>
  </si>
  <si>
    <t>FIN-TX-S02-0336</t>
  </si>
  <si>
    <t>CERT-S02-2026-07-6150</t>
  </si>
  <si>
    <t>transaction_blueprint:TX-S02-0337</t>
  </si>
  <si>
    <t>FIN-TX-S02-0337</t>
  </si>
  <si>
    <t>CERT-S02-2026-07-6160</t>
  </si>
  <si>
    <t>transaction_blueprint:TX-S02-0338</t>
  </si>
  <si>
    <t>FIN-TX-S02-0338</t>
  </si>
  <si>
    <t>CERT-S02-2026-07-6170</t>
  </si>
  <si>
    <t>transaction_blueprint:TX-S02-0339</t>
  </si>
  <si>
    <t>FIN-TX-S02-0339</t>
  </si>
  <si>
    <t>CERT-S02-2026-07-6180</t>
  </si>
  <si>
    <t>transaction_blueprint:TX-S02-0340</t>
  </si>
  <si>
    <t>FIN-TX-S02-0340</t>
  </si>
  <si>
    <t>CERT-S02-2026-07-6190</t>
  </si>
  <si>
    <t>transaction_blueprint:TX-S02-0341</t>
  </si>
  <si>
    <t>FIN-TX-S02-0341</t>
  </si>
  <si>
    <t>CERT-S02-2026-07-6100</t>
  </si>
  <si>
    <t>transaction_blueprint:TX-S02-0342</t>
  </si>
  <si>
    <t>FIN-TX-S02-0342</t>
  </si>
  <si>
    <t>CERT-S02-2026-07-6110</t>
  </si>
  <si>
    <t>transaction_blueprint:TX-S02-0343</t>
  </si>
  <si>
    <t>FIN-TX-S02-0343</t>
  </si>
  <si>
    <t>CERT-S02-2026-07-6120</t>
  </si>
  <si>
    <t>transaction_blueprint:TX-S02-0344</t>
  </si>
  <si>
    <t>FIN-TX-S02-0344</t>
  </si>
  <si>
    <t>transaction_blueprint:TX-S02-0345</t>
  </si>
  <si>
    <t>FIN-TX-S02-0345</t>
  </si>
  <si>
    <t>transaction_blueprint:TX-S02-0346</t>
  </si>
  <si>
    <t>FIN-TX-S02-0346</t>
  </si>
  <si>
    <t>transaction_blueprint:TX-S02-0347</t>
  </si>
  <si>
    <t>FIN-TX-S02-0347</t>
  </si>
  <si>
    <t>transaction_blueprint:TX-S02-0348</t>
  </si>
  <si>
    <t>FIN-TX-S02-0348</t>
  </si>
  <si>
    <t>transaction_blueprint:TX-S02-0349</t>
  </si>
  <si>
    <t>FIN-TX-S02-0349</t>
  </si>
  <si>
    <t>transaction_blueprint:TX-S02-0350</t>
  </si>
  <si>
    <t>FIN-TX-S02-0350</t>
  </si>
  <si>
    <t>transaction_blueprint:TX-S02-0351</t>
  </si>
  <si>
    <t>FIN-TX-S02-0351</t>
  </si>
  <si>
    <t>transaction_blueprint:TX-S02-0352</t>
  </si>
  <si>
    <t>FIN-TX-S02-0352</t>
  </si>
  <si>
    <t>transaction_blueprint:TX-S02-0353</t>
  </si>
  <si>
    <t>FIN-TX-S02-0353</t>
  </si>
  <si>
    <t>transaction_blueprint:TX-S02-0354</t>
  </si>
  <si>
    <t>FIN-TX-S02-0354</t>
  </si>
  <si>
    <t>transaction_blueprint:TX-S02-0355</t>
  </si>
  <si>
    <t>FIN-TX-S02-0355</t>
  </si>
  <si>
    <t>transaction_blueprint:TX-S02-0356</t>
  </si>
  <si>
    <t>FIN-TX-S02-0356</t>
  </si>
  <si>
    <t>transaction_blueprint:TX-S02-0357</t>
  </si>
  <si>
    <t>FIN-TX-S02-0357</t>
  </si>
  <si>
    <t>transaction_blueprint:TX-S02-0358</t>
  </si>
  <si>
    <t>FIN-TX-S02-0358</t>
  </si>
  <si>
    <t>transaction_blueprint:TX-S02-0359</t>
  </si>
  <si>
    <t>FIN-TX-S02-0359</t>
  </si>
  <si>
    <t>transaction_blueprint:TX-S02-0360</t>
  </si>
  <si>
    <t>FIN-TX-S02-0360</t>
  </si>
  <si>
    <t>transaction_blueprint:TX-S02-0361</t>
  </si>
  <si>
    <t>FIN-TX-S02-0361</t>
  </si>
  <si>
    <t>transaction_blueprint:TX-S02-0362</t>
  </si>
  <si>
    <t>FIN-TX-S02-0362</t>
  </si>
  <si>
    <t>transaction_blueprint:TX-S02-0363</t>
  </si>
  <si>
    <t>FIN-TX-S02-0363</t>
  </si>
  <si>
    <t>transaction_blueprint:TX-S02-0364</t>
  </si>
  <si>
    <t>FIN-TX-S02-0364</t>
  </si>
  <si>
    <t>transaction_blueprint:TX-S02-0365</t>
  </si>
  <si>
    <t>FIN-TX-S02-0365</t>
  </si>
  <si>
    <t>transaction_blueprint:TX-S02-0366</t>
  </si>
  <si>
    <t>FIN-TX-S02-0366</t>
  </si>
  <si>
    <t>transaction_blueprint:TX-S02-0367</t>
  </si>
  <si>
    <t>FIN-TX-S02-0367</t>
  </si>
  <si>
    <t>transaction_blueprint:TX-S02-0368</t>
  </si>
  <si>
    <t>FIN-TX-S02-0368</t>
  </si>
  <si>
    <t>transaction_blueprint:TX-S02-0369</t>
  </si>
  <si>
    <t>FIN-TX-S02-0369</t>
  </si>
  <si>
    <t>transaction_blueprint:TX-S02-0370</t>
  </si>
  <si>
    <t>FIN-TX-S02-0370</t>
  </si>
  <si>
    <t>transaction_blueprint:TX-S02-0371</t>
  </si>
  <si>
    <t>FIN-TX-S02-0371</t>
  </si>
  <si>
    <t>transaction_blueprint:TX-S02-0372</t>
  </si>
  <si>
    <t>FIN-TX-S02-0372</t>
  </si>
  <si>
    <t>transaction_blueprint:TX-S02-0373</t>
  </si>
  <si>
    <t>FIN-TX-S02-0373</t>
  </si>
  <si>
    <t>transaction_blueprint:TX-S02-0374</t>
  </si>
  <si>
    <t>FIN-TX-S02-0374</t>
  </si>
  <si>
    <t>transaction_blueprint:TX-S02-0375</t>
  </si>
  <si>
    <t>FIN-TX-S02-0375</t>
  </si>
  <si>
    <t>transaction_blueprint:TX-S02-0376</t>
  </si>
  <si>
    <t>FIN-TX-S02-0376</t>
  </si>
  <si>
    <t>transaction_blueprint:TX-S02-0377</t>
  </si>
  <si>
    <t>FIN-TX-S02-0377</t>
  </si>
  <si>
    <t>transaction_blueprint:TX-S02-0378</t>
  </si>
  <si>
    <t>FIN-TX-S02-0378</t>
  </si>
  <si>
    <t>transaction_blueprint:TX-S02-0379</t>
  </si>
  <si>
    <t>FIN-TX-S02-0379</t>
  </si>
  <si>
    <t>transaction_blueprint:TX-S02-0380</t>
  </si>
  <si>
    <t>FIN-TX-S02-0380</t>
  </si>
  <si>
    <t>transaction_blueprint:TX-S02-0381</t>
  </si>
  <si>
    <t>FIN-TX-S02-0381</t>
  </si>
  <si>
    <t>transaction_blueprint:TX-S02-0382</t>
  </si>
  <si>
    <t>FIN-TX-S02-0382</t>
  </si>
  <si>
    <t>transaction_blueprint:TX-S02-0383</t>
  </si>
  <si>
    <t>FIN-TX-S02-0383</t>
  </si>
  <si>
    <t>transaction_blueprint:TX-S02-0384</t>
  </si>
  <si>
    <t>FIN-TX-S02-0384</t>
  </si>
  <si>
    <t>transaction_blueprint:TX-S02-0385</t>
  </si>
  <si>
    <t>FIN-TX-S02-0385</t>
  </si>
  <si>
    <t>transaction_blueprint:TX-S02-0386</t>
  </si>
  <si>
    <t>FIN-TX-S02-0386</t>
  </si>
  <si>
    <t>transaction_blueprint:TX-S02-0387</t>
  </si>
  <si>
    <t>FIN-TX-S02-0387</t>
  </si>
  <si>
    <t>transaction_blueprint:TX-S02-0388</t>
  </si>
  <si>
    <t>FIN-TX-S02-0388</t>
  </si>
  <si>
    <t>transaction_blueprint:TX-S02-0389</t>
  </si>
  <si>
    <t>FIN-TX-S02-0389</t>
  </si>
  <si>
    <t>transaction_blueprint:TX-S02-0390</t>
  </si>
  <si>
    <t>FIN-TX-S02-0390</t>
  </si>
  <si>
    <t>transaction_blueprint:TX-S02-0391</t>
  </si>
  <si>
    <t>FIN-TX-S02-0391</t>
  </si>
  <si>
    <t>transaction_blueprint:TX-S02-0392</t>
  </si>
  <si>
    <t>FIN-TX-S02-0392</t>
  </si>
  <si>
    <t>transaction_blueprint:TX-S02-0393</t>
  </si>
  <si>
    <t>FIN-TX-S02-0393</t>
  </si>
  <si>
    <t>transaction_blueprint:TX-S02-0394</t>
  </si>
  <si>
    <t>FIN-TX-S02-0394</t>
  </si>
  <si>
    <t>transaction_blueprint:TX-S02-0395</t>
  </si>
  <si>
    <t>FIN-TX-S02-0395</t>
  </si>
  <si>
    <t>transaction_blueprint:TX-S02-0396</t>
  </si>
  <si>
    <t>FIN-TX-S02-0396</t>
  </si>
  <si>
    <t>transaction_blueprint:TX-S02-0397</t>
  </si>
  <si>
    <t>FIN-TX-S02-0397</t>
  </si>
  <si>
    <t>transaction_blueprint:TX-S02-0398</t>
  </si>
  <si>
    <t>FIN-TX-S02-0398</t>
  </si>
  <si>
    <t>transaction_blueprint:TX-S02-0399</t>
  </si>
  <si>
    <t>FIN-TX-S02-0399</t>
  </si>
  <si>
    <t>transaction_blueprint:TX-S02-0400</t>
  </si>
  <si>
    <t>FIN-TX-S02-0400</t>
  </si>
  <si>
    <t>transaction_blueprint:TX-S02-0401</t>
  </si>
  <si>
    <t>FIN-TX-S02-0401</t>
  </si>
  <si>
    <t>transaction_blueprint:TX-S02-0402</t>
  </si>
  <si>
    <t>FIN-TX-S02-0402</t>
  </si>
  <si>
    <t>transaction_blueprint:TX-S02-0403</t>
  </si>
  <si>
    <t>FIN-TX-S02-0403</t>
  </si>
  <si>
    <t>transaction_blueprint:TX-S02-0404</t>
  </si>
  <si>
    <t>FIN-TX-S02-0404</t>
  </si>
  <si>
    <t>transaction_blueprint:TX-S02-0405</t>
  </si>
  <si>
    <t>FIN-TX-S02-0405</t>
  </si>
  <si>
    <t>transaction_blueprint:TX-S02-0406</t>
  </si>
  <si>
    <t>FIN-TX-S02-0406</t>
  </si>
  <si>
    <t>transaction_blueprint:TX-S02-0407</t>
  </si>
  <si>
    <t>FIN-TX-S02-0407</t>
  </si>
  <si>
    <t>transaction_blueprint:TX-S02-0408</t>
  </si>
  <si>
    <t>FIN-TX-S02-0408</t>
  </si>
  <si>
    <t>transaction_blueprint:TX-S02-0409</t>
  </si>
  <si>
    <t>FIN-TX-S02-0409</t>
  </si>
  <si>
    <t>transaction_blueprint:TX-S02-0410</t>
  </si>
  <si>
    <t>FIN-TX-S02-0410</t>
  </si>
  <si>
    <t>transaction_blueprint:TX-S02-0411</t>
  </si>
  <si>
    <t>FIN-TX-S02-0411</t>
  </si>
  <si>
    <t>transaction_blueprint:TX-S02-0412</t>
  </si>
  <si>
    <t>FIN-TX-S02-0412</t>
  </si>
  <si>
    <t>transaction_blueprint:TX-S02-0413</t>
  </si>
  <si>
    <t>FIN-TX-S02-0413</t>
  </si>
  <si>
    <t>transaction_blueprint:TX-S02-0414</t>
  </si>
  <si>
    <t>FIN-TX-S02-0414</t>
  </si>
  <si>
    <t>transaction_blueprint:TX-S02-0415</t>
  </si>
  <si>
    <t>FIN-TX-S02-0415</t>
  </si>
  <si>
    <t>transaction_blueprint:TX-S02-0416</t>
  </si>
  <si>
    <t>FIN-TX-S02-0416</t>
  </si>
  <si>
    <t>transaction_blueprint:TX-S02-0417</t>
  </si>
  <si>
    <t>FIN-TX-S02-0417</t>
  </si>
  <si>
    <t>transaction_blueprint:TX-S02-0418</t>
  </si>
  <si>
    <t>FIN-TX-S02-0418</t>
  </si>
  <si>
    <t>transaction_blueprint:TX-S02-0419</t>
  </si>
  <si>
    <t>FIN-TX-S02-0419</t>
  </si>
  <si>
    <t>transaction_blueprint:TX-S02-0420</t>
  </si>
  <si>
    <t>FIN-TX-S02-0420</t>
  </si>
  <si>
    <t>transaction_blueprint:TX-S02-0421</t>
  </si>
  <si>
    <t>FIN-TX-S02-0421</t>
  </si>
  <si>
    <t>transaction_blueprint:TX-S02-0422</t>
  </si>
  <si>
    <t>FIN-TX-S02-0422</t>
  </si>
  <si>
    <t>transaction_blueprint:TX-S02-0423</t>
  </si>
  <si>
    <t>FIN-TX-S02-0423</t>
  </si>
  <si>
    <t>transaction_blueprint:TX-S02-0424</t>
  </si>
  <si>
    <t>FIN-TX-S02-0424</t>
  </si>
  <si>
    <t>transaction_blueprint:TX-S02-0425</t>
  </si>
  <si>
    <t>FIN-TX-S02-0425</t>
  </si>
  <si>
    <t>transaction_blueprint:TX-S02-0426</t>
  </si>
  <si>
    <t>FIN-TX-S02-0426</t>
  </si>
  <si>
    <t>transaction_blueprint:TX-S02-0427</t>
  </si>
  <si>
    <t>FIN-TX-S02-0427</t>
  </si>
  <si>
    <t>transaction_blueprint:TX-S02-0428</t>
  </si>
  <si>
    <t>FIN-TX-S02-0428</t>
  </si>
  <si>
    <t>transaction_blueprint:TX-S02-0429</t>
  </si>
  <si>
    <t>FIN-TX-S02-0429</t>
  </si>
  <si>
    <t>transaction_blueprint:TX-S02-0430</t>
  </si>
  <si>
    <t>FIN-TX-S02-0430</t>
  </si>
  <si>
    <t>transaction_blueprint:TX-S02-0431</t>
  </si>
  <si>
    <t>FIN-TX-S02-0431</t>
  </si>
  <si>
    <t>transaction_blueprint:TX-S02-0432</t>
  </si>
  <si>
    <t>FIN-TX-S02-0432</t>
  </si>
  <si>
    <t>transaction_blueprint:TX-S02-0433</t>
  </si>
  <si>
    <t>FIN-TX-S02-0433</t>
  </si>
  <si>
    <t>transaction_blueprint:TX-S02-0434</t>
  </si>
  <si>
    <t>FIN-TX-S02-0434</t>
  </si>
  <si>
    <t>transaction_blueprint:TX-S02-0435</t>
  </si>
  <si>
    <t>FIN-TX-S02-0435</t>
  </si>
  <si>
    <t>transaction_blueprint:TX-S02-0436</t>
  </si>
  <si>
    <t>FIN-TX-S02-0436</t>
  </si>
  <si>
    <t>transaction_blueprint:TX-S02-0437</t>
  </si>
  <si>
    <t>FIN-TX-S02-0437</t>
  </si>
  <si>
    <t>transaction_blueprint:TX-S02-0438</t>
  </si>
  <si>
    <t>FIN-TX-S02-0438</t>
  </si>
  <si>
    <t>transaction_blueprint:TX-S02-0439</t>
  </si>
  <si>
    <t>FIN-TX-S02-0439</t>
  </si>
  <si>
    <t>transaction_blueprint:TX-S02-0440</t>
  </si>
  <si>
    <t>FIN-TX-S02-0440</t>
  </si>
  <si>
    <t>transaction_blueprint:TX-S02-0441</t>
  </si>
  <si>
    <t>FIN-TX-S02-0441</t>
  </si>
  <si>
    <t>transaction_blueprint:TX-S02-0442</t>
  </si>
  <si>
    <t>FIN-TX-S02-0442</t>
  </si>
  <si>
    <t>transaction_blueprint:TX-S02-0443</t>
  </si>
  <si>
    <t>FIN-TX-S02-0443</t>
  </si>
  <si>
    <t>transaction_blueprint:TX-S02-0444</t>
  </si>
  <si>
    <t>FIN-TX-S02-0444</t>
  </si>
  <si>
    <t>transaction_blueprint:TX-S02-0445</t>
  </si>
  <si>
    <t>FIN-TX-S02-0445</t>
  </si>
  <si>
    <t>transaction_blueprint:TX-S02-0446</t>
  </si>
  <si>
    <t>FIN-TX-S02-0446</t>
  </si>
  <si>
    <t>transaction_blueprint:TX-S02-0447</t>
  </si>
  <si>
    <t>FIN-TX-S02-0447</t>
  </si>
  <si>
    <t>transaction_blueprint:TX-S02-0448</t>
  </si>
  <si>
    <t>FIN-TX-S02-0448</t>
  </si>
  <si>
    <t>transaction_blueprint:TX-S02-0449</t>
  </si>
  <si>
    <t>FIN-TX-S02-0449</t>
  </si>
  <si>
    <t>transaction_blueprint:TX-S02-0450</t>
  </si>
  <si>
    <t>FIN-TX-S02-0450</t>
  </si>
  <si>
    <t>transaction_blueprint:TX-S02-0451</t>
  </si>
  <si>
    <t>FIN-TX-S02-0451</t>
  </si>
  <si>
    <t>transaction_blueprint:TX-S02-0452</t>
  </si>
  <si>
    <t>FIN-TX-S02-0452</t>
  </si>
  <si>
    <t>transaction_blueprint:TX-S02-0453</t>
  </si>
  <si>
    <t>FIN-TX-S02-0453</t>
  </si>
  <si>
    <t>transaction_blueprint:TX-S02-0454</t>
  </si>
  <si>
    <t>FIN-TX-S02-0454</t>
  </si>
  <si>
    <t>transaction_blueprint:TX-S02-0455</t>
  </si>
  <si>
    <t>FIN-TX-S02-0455</t>
  </si>
  <si>
    <t>transaction_blueprint:TX-S02-0456</t>
  </si>
  <si>
    <t>FIN-TX-S02-0456</t>
  </si>
  <si>
    <t>transaction_blueprint:TX-S02-0457</t>
  </si>
  <si>
    <t>FIN-TX-S02-0457</t>
  </si>
  <si>
    <t>transaction_blueprint:TX-S02-0458</t>
  </si>
  <si>
    <t>FIN-TX-S02-0458</t>
  </si>
  <si>
    <t>transaction_blueprint:TX-S02-0459</t>
  </si>
  <si>
    <t>FIN-TX-S02-0459</t>
  </si>
  <si>
    <t>transaction_blueprint:TX-S02-0460</t>
  </si>
  <si>
    <t>FIN-TX-S02-0460</t>
  </si>
  <si>
    <t>transaction_blueprint:TX-S02-0461</t>
  </si>
  <si>
    <t>FIN-TX-S02-0461</t>
  </si>
  <si>
    <t>transaction_blueprint:TX-S02-0462</t>
  </si>
  <si>
    <t>FIN-TX-S02-0462</t>
  </si>
  <si>
    <t>transaction_blueprint:TX-S02-0463</t>
  </si>
  <si>
    <t>FIN-TX-S02-0463</t>
  </si>
  <si>
    <t>transaction_blueprint:TX-S02-0464</t>
  </si>
  <si>
    <t>FIN-TX-S02-0464</t>
  </si>
  <si>
    <t>transaction_blueprint:TX-S02-0465</t>
  </si>
  <si>
    <t>FIN-TX-S02-0465</t>
  </si>
  <si>
    <t>transaction_blueprint:TX-S02-0466</t>
  </si>
  <si>
    <t>FIN-TX-S02-0466</t>
  </si>
  <si>
    <t>transaction_blueprint:TX-S02-0467</t>
  </si>
  <si>
    <t>FIN-TX-S02-0467</t>
  </si>
  <si>
    <t>transaction_blueprint:TX-S02-0468</t>
  </si>
  <si>
    <t>FIN-TX-S02-0468</t>
  </si>
  <si>
    <t>transaction_blueprint:TX-S02-0469</t>
  </si>
  <si>
    <t>FIN-TX-S02-0469</t>
  </si>
  <si>
    <t>transaction_blueprint:TX-S02-0470</t>
  </si>
  <si>
    <t>FIN-TX-S02-0470</t>
  </si>
  <si>
    <t>transaction_blueprint:TX-S02-0471</t>
  </si>
  <si>
    <t>FIN-TX-S02-0471</t>
  </si>
  <si>
    <t>transaction_blueprint:TX-S02-0472</t>
  </si>
  <si>
    <t>FIN-TX-S02-0472</t>
  </si>
  <si>
    <t>transaction_blueprint:TX-S02-0473</t>
  </si>
  <si>
    <t>FIN-TX-S02-0473</t>
  </si>
  <si>
    <t>transaction_blueprint:TX-S02-0474</t>
  </si>
  <si>
    <t>FIN-TX-S02-0474</t>
  </si>
  <si>
    <t>transaction_blueprint:TX-S02-0475</t>
  </si>
  <si>
    <t>FIN-TX-S02-0475</t>
  </si>
  <si>
    <t>transaction_blueprint:TX-S02-0476</t>
  </si>
  <si>
    <t>FIN-TX-S02-0476</t>
  </si>
  <si>
    <t>transaction_blueprint:TX-S02-0477</t>
  </si>
  <si>
    <t>FIN-TX-S02-0477</t>
  </si>
  <si>
    <t>transaction_blueprint:TX-S02-0478</t>
  </si>
  <si>
    <t>FIN-TX-S02-0478</t>
  </si>
  <si>
    <t>transaction_blueprint:TX-S02-0479</t>
  </si>
  <si>
    <t>FIN-TX-S02-0479</t>
  </si>
  <si>
    <t>transaction_blueprint:TX-S02-0480</t>
  </si>
  <si>
    <t>FIN-TX-S02-0480</t>
  </si>
  <si>
    <t>transaction_blueprint:TX-S02-0481</t>
  </si>
  <si>
    <t>FIN-TX-S02-0481</t>
  </si>
  <si>
    <t>transaction_blueprint:TX-S02-0482</t>
  </si>
  <si>
    <t>FIN-TX-S02-0482</t>
  </si>
  <si>
    <t>transaction_blueprint:TX-S02-0483</t>
  </si>
  <si>
    <t>FIN-TX-S02-0483</t>
  </si>
  <si>
    <t>transaction_blueprint:TX-S02-0484</t>
  </si>
  <si>
    <t>FIN-TX-S02-0484</t>
  </si>
  <si>
    <t>transaction_blueprint:TX-S02-0485</t>
  </si>
  <si>
    <t>FIN-TX-S02-0485</t>
  </si>
  <si>
    <t>transaction_blueprint:TX-S02-0486</t>
  </si>
  <si>
    <t>FIN-TX-S02-0486</t>
  </si>
  <si>
    <t>transaction_blueprint:TX-S02-0487</t>
  </si>
  <si>
    <t>FIN-TX-S02-0487</t>
  </si>
  <si>
    <t>transaction_blueprint:TX-S02-0488</t>
  </si>
  <si>
    <t>FIN-TX-S02-0488</t>
  </si>
  <si>
    <t>transaction_blueprint:TX-S02-0489</t>
  </si>
  <si>
    <t>FIN-TX-S02-0489</t>
  </si>
  <si>
    <t>transaction_blueprint:TX-S02-0490</t>
  </si>
  <si>
    <t>FIN-TX-S02-0490</t>
  </si>
  <si>
    <t>transaction_blueprint:TX-S02-0491</t>
  </si>
  <si>
    <t>FIN-TX-S02-0491</t>
  </si>
  <si>
    <t>transaction_blueprint:TX-S02-0492</t>
  </si>
  <si>
    <t>FIN-TX-S02-0492</t>
  </si>
  <si>
    <t>transaction_blueprint:TX-S02-0493</t>
  </si>
  <si>
    <t>FIN-TX-S02-0493</t>
  </si>
  <si>
    <t>transaction_blueprint:TX-S02-0494</t>
  </si>
  <si>
    <t>FIN-TX-S02-0494</t>
  </si>
  <si>
    <t>transaction_blueprint:TX-S02-0495</t>
  </si>
  <si>
    <t>FIN-TX-S02-0495</t>
  </si>
  <si>
    <t>transaction_blueprint:TX-S02-0496</t>
  </si>
  <si>
    <t>FIN-TX-S02-0496</t>
  </si>
  <si>
    <t>transaction_blueprint:TX-S02-0497</t>
  </si>
  <si>
    <t>FIN-TX-S02-0497</t>
  </si>
  <si>
    <t>transaction_blueprint:TX-S02-0498</t>
  </si>
  <si>
    <t>FIN-TX-S02-0498</t>
  </si>
  <si>
    <t>transaction_blueprint:TX-S02-0499</t>
  </si>
  <si>
    <t>FIN-TX-S02-0499</t>
  </si>
  <si>
    <t>transaction_blueprint:TX-S02-0500</t>
  </si>
  <si>
    <t>FIN-TX-S02-0500</t>
  </si>
  <si>
    <t>transaction_blueprint:TX-S02-0501</t>
  </si>
  <si>
    <t>FIN-TX-S02-0501</t>
  </si>
  <si>
    <t>transaction_blueprint:TX-S02-0502</t>
  </si>
  <si>
    <t>FIN-TX-S02-0502</t>
  </si>
  <si>
    <t>transaction_blueprint:TX-S02-0503</t>
  </si>
  <si>
    <t>FIN-TX-S02-0503</t>
  </si>
  <si>
    <t>transaction_blueprint:TX-S02-0504</t>
  </si>
  <si>
    <t>FIN-TX-S02-0504</t>
  </si>
  <si>
    <t>transaction_blueprint:TX-S02-0505</t>
  </si>
  <si>
    <t>FIN-TX-S02-0505</t>
  </si>
  <si>
    <t>transaction_blueprint:TX-S02-0506</t>
  </si>
  <si>
    <t>FIN-TX-S02-0506</t>
  </si>
  <si>
    <t>transaction_blueprint:TX-S02-0507</t>
  </si>
  <si>
    <t>FIN-TX-S02-0507</t>
  </si>
  <si>
    <t>transaction_blueprint:TX-S02-0508</t>
  </si>
  <si>
    <t>FIN-TX-S02-0508</t>
  </si>
  <si>
    <t>transaction_blueprint:TX-S02-0509</t>
  </si>
  <si>
    <t>FIN-TX-S02-0509</t>
  </si>
  <si>
    <t>transaction_blueprint:TX-S02-0510</t>
  </si>
  <si>
    <t>FIN-TX-S02-0510</t>
  </si>
  <si>
    <t>transaction_blueprint:TX-S02-0511</t>
  </si>
  <si>
    <t>FIN-TX-S02-0511</t>
  </si>
  <si>
    <t>transaction_blueprint:TX-S02-0512</t>
  </si>
  <si>
    <t>FIN-TX-S02-0512</t>
  </si>
  <si>
    <t>transaction_blueprint:TX-S02-0513</t>
  </si>
  <si>
    <t>FIN-TX-S02-0513</t>
  </si>
  <si>
    <t>transaction_blueprint:TX-S02-0514</t>
  </si>
  <si>
    <t>FIN-TX-S02-0514</t>
  </si>
  <si>
    <t>transaction_blueprint:TX-S02-0515</t>
  </si>
  <si>
    <t>FIN-TX-S02-0515</t>
  </si>
  <si>
    <t>transaction_blueprint:TX-S02-0516</t>
  </si>
  <si>
    <t>FIN-TX-S02-0516</t>
  </si>
  <si>
    <t>transaction_blueprint:TX-S02-0517</t>
  </si>
  <si>
    <t>FIN-TX-S02-0517</t>
  </si>
  <si>
    <t>transaction_blueprint:TX-S02-0518</t>
  </si>
  <si>
    <t>FIN-TX-S02-0518</t>
  </si>
  <si>
    <t>transaction_blueprint:TX-S02-0519</t>
  </si>
  <si>
    <t>FIN-TX-S02-0519</t>
  </si>
  <si>
    <t>transaction_blueprint:TX-S02-0520</t>
  </si>
  <si>
    <t>FIN-TX-S02-0520</t>
  </si>
  <si>
    <t>transaction_blueprint:TX-S02-0521</t>
  </si>
  <si>
    <t>FIN-TX-S02-0521</t>
  </si>
  <si>
    <t>transaction_blueprint:TX-S02-0522</t>
  </si>
  <si>
    <t>FIN-TX-S02-0522</t>
  </si>
  <si>
    <t>transaction_blueprint:TX-S02-0523</t>
  </si>
  <si>
    <t>FIN-TX-S02-0523</t>
  </si>
  <si>
    <t>transaction_blueprint:TX-S02-0524</t>
  </si>
  <si>
    <t>FIN-TX-S02-0524</t>
  </si>
  <si>
    <t>transaction_blueprint:TX-S02-0525</t>
  </si>
  <si>
    <t>FIN-TX-S02-0525</t>
  </si>
  <si>
    <t>transaction_blueprint:TX-S02-0526</t>
  </si>
  <si>
    <t>FIN-TX-S02-0526</t>
  </si>
  <si>
    <t>transaction_blueprint:TX-S02-0527</t>
  </si>
  <si>
    <t>FIN-TX-S02-0527</t>
  </si>
  <si>
    <t>transaction_blueprint:TX-S02-0528</t>
  </si>
  <si>
    <t>FIN-TX-S02-0528</t>
  </si>
  <si>
    <t>transaction_blueprint:TX-S02-0529</t>
  </si>
  <si>
    <t>FIN-TX-S02-0529</t>
  </si>
  <si>
    <t>transaction_blueprint:TX-S02-0530</t>
  </si>
  <si>
    <t>FIN-TX-S02-0530</t>
  </si>
  <si>
    <t>transaction_blueprint:TX-S02-0531</t>
  </si>
  <si>
    <t>FIN-TX-S02-0531</t>
  </si>
  <si>
    <t>transaction_blueprint:TX-S02-0532</t>
  </si>
  <si>
    <t>FIN-TX-S02-0532</t>
  </si>
  <si>
    <t>transaction_blueprint:TX-S02-0533</t>
  </si>
  <si>
    <t>FIN-TX-S02-0533</t>
  </si>
  <si>
    <t>transaction_blueprint:TX-S02-0534</t>
  </si>
  <si>
    <t>FIN-TX-S02-0534</t>
  </si>
  <si>
    <t>transaction_blueprint:TX-S02-0535</t>
  </si>
  <si>
    <t>FIN-TX-S02-0535</t>
  </si>
  <si>
    <t>transaction_blueprint:TX-S02-0536</t>
  </si>
  <si>
    <t>FIN-TX-S02-0536</t>
  </si>
  <si>
    <t>transaction_blueprint:TX-S02-0537</t>
  </si>
  <si>
    <t>FIN-TX-S02-0537</t>
  </si>
  <si>
    <t>transaction_blueprint:TX-S02-0538</t>
  </si>
  <si>
    <t>FIN-TX-S02-0538</t>
  </si>
  <si>
    <t>transaction_blueprint:TX-S02-0539</t>
  </si>
  <si>
    <t>FIN-TX-S02-0539</t>
  </si>
  <si>
    <t>transaction_blueprint:TX-S02-0540</t>
  </si>
  <si>
    <t>FIN-TX-S02-0540</t>
  </si>
  <si>
    <t>transaction_blueprint:TX-S02-0541</t>
  </si>
  <si>
    <t>FIN-TX-S02-0541</t>
  </si>
  <si>
    <t>transaction_blueprint:TX-S02-0542</t>
  </si>
  <si>
    <t>FIN-TX-S02-0542</t>
  </si>
  <si>
    <t>transaction_blueprint:TX-S02-0543</t>
  </si>
  <si>
    <t>FIN-TX-S02-0543</t>
  </si>
  <si>
    <t>transaction_blueprint:TX-S02-0544</t>
  </si>
  <si>
    <t>FIN-TX-S02-0544</t>
  </si>
  <si>
    <t>transaction_blueprint:TX-S02-0545</t>
  </si>
  <si>
    <t>FIN-TX-S02-0545</t>
  </si>
  <si>
    <t>transaction_blueprint:TX-S02-0546</t>
  </si>
  <si>
    <t>FIN-TX-S02-0546</t>
  </si>
  <si>
    <t>transaction_blueprint:TX-S02-0547</t>
  </si>
  <si>
    <t>FIN-TX-S02-0547</t>
  </si>
  <si>
    <t>transaction_blueprint:TX-S02-0548</t>
  </si>
  <si>
    <t>FIN-TX-S02-0548</t>
  </si>
  <si>
    <t>transaction_blueprint:TX-S02-0549</t>
  </si>
  <si>
    <t>FIN-TX-S02-0549</t>
  </si>
  <si>
    <t>transaction_blueprint:TX-S02-0550</t>
  </si>
  <si>
    <t>FIN-TX-S02-0550</t>
  </si>
  <si>
    <t>transaction_blueprint:TX-S02-0551</t>
  </si>
  <si>
    <t>FIN-TX-S02-0551</t>
  </si>
  <si>
    <t>transaction_blueprint:TX-S02-0552</t>
  </si>
  <si>
    <t>FIN-TX-S02-0552</t>
  </si>
  <si>
    <t>transaction_blueprint:TX-S02-0553</t>
  </si>
  <si>
    <t>FIN-TX-S02-0553</t>
  </si>
  <si>
    <t>transaction_blueprint:TX-S02-0554</t>
  </si>
  <si>
    <t>FIN-TX-S02-0554</t>
  </si>
  <si>
    <t>transaction_blueprint:TX-S02-0555</t>
  </si>
  <si>
    <t>FIN-TX-S02-0555</t>
  </si>
  <si>
    <t>transaction_blueprint:TX-S02-0556</t>
  </si>
  <si>
    <t>FIN-TX-S02-0556</t>
  </si>
  <si>
    <t>transaction_blueprint:TX-S02-0557</t>
  </si>
  <si>
    <t>FIN-TX-S02-0557</t>
  </si>
  <si>
    <t>transaction_blueprint:TX-S02-0558</t>
  </si>
  <si>
    <t>FIN-TX-S02-0558</t>
  </si>
  <si>
    <t>transaction_blueprint:TX-S02-0559</t>
  </si>
  <si>
    <t>FIN-TX-S02-0559</t>
  </si>
  <si>
    <t>transaction_blueprint:TX-S02-0560</t>
  </si>
  <si>
    <t>FIN-TX-S02-0560</t>
  </si>
  <si>
    <t>transaction_blueprint:TX-S02-0561</t>
  </si>
  <si>
    <t>FIN-TX-S02-0561</t>
  </si>
  <si>
    <t>transaction_blueprint:TX-S02-0562</t>
  </si>
  <si>
    <t>FIN-TX-S02-0562</t>
  </si>
  <si>
    <t>transaction_blueprint:TX-S02-0563</t>
  </si>
  <si>
    <t>FIN-TX-S02-0563</t>
  </si>
  <si>
    <t>transaction_blueprint:TX-S02-0564</t>
  </si>
  <si>
    <t>FIN-TX-S02-0564</t>
  </si>
  <si>
    <t>transaction_blueprint:TX-S02-0565</t>
  </si>
  <si>
    <t>FIN-TX-S02-0565</t>
  </si>
  <si>
    <t>transaction_blueprint:TX-S02-0566</t>
  </si>
  <si>
    <t>FIN-TX-S02-0566</t>
  </si>
  <si>
    <t>transaction_blueprint:TX-S02-0567</t>
  </si>
  <si>
    <t>FIN-TX-S02-0567</t>
  </si>
  <si>
    <t>transaction_blueprint:TX-S02-0568</t>
  </si>
  <si>
    <t>FIN-TX-S02-0568</t>
  </si>
  <si>
    <t>transaction_blueprint:TX-S02-0569</t>
  </si>
  <si>
    <t>FIN-TX-S02-0569</t>
  </si>
  <si>
    <t>transaction_blueprint:TX-S02-0570</t>
  </si>
  <si>
    <t>FIN-TX-S02-0570</t>
  </si>
  <si>
    <t>transaction_blueprint:TX-S02-0571</t>
  </si>
  <si>
    <t>FIN-TX-S02-0571</t>
  </si>
  <si>
    <t>transaction_blueprint:TX-S02-0572</t>
  </si>
  <si>
    <t>FIN-TX-S02-0572</t>
  </si>
  <si>
    <t>transaction_blueprint:TX-S02-0573</t>
  </si>
  <si>
    <t>FIN-TX-S02-0573</t>
  </si>
  <si>
    <t>transaction_blueprint:TX-S02-0574</t>
  </si>
  <si>
    <t>FIN-TX-S02-0574</t>
  </si>
  <si>
    <t>transaction_blueprint:TX-S02-0575</t>
  </si>
  <si>
    <t>FIN-TX-S02-0575</t>
  </si>
  <si>
    <t>transaction_blueprint:TX-S02-0576</t>
  </si>
  <si>
    <t>FIN-TX-S02-0576</t>
  </si>
  <si>
    <t>transaction_blueprint:TX-S02-0577</t>
  </si>
  <si>
    <t>FIN-TX-S02-0577</t>
  </si>
  <si>
    <t>transaction_blueprint:TX-S02-0578</t>
  </si>
  <si>
    <t>FIN-TX-S02-0578</t>
  </si>
  <si>
    <t>transaction_blueprint:TX-S02-0579</t>
  </si>
  <si>
    <t>FIN-TX-S02-0579</t>
  </si>
  <si>
    <t>transaction_blueprint:TX-S02-0580</t>
  </si>
  <si>
    <t>FIN-TX-S02-0580</t>
  </si>
  <si>
    <t>transaction_blueprint:TX-S02-0581</t>
  </si>
  <si>
    <t>FIN-TX-S02-0581</t>
  </si>
  <si>
    <t>transaction_blueprint:TX-S02-0582</t>
  </si>
  <si>
    <t>FIN-TX-S02-0582</t>
  </si>
  <si>
    <t>transaction_blueprint:TX-S02-0583</t>
  </si>
  <si>
    <t>FIN-TX-S02-0583</t>
  </si>
  <si>
    <t>transaction_blueprint:TX-S02-0584</t>
  </si>
  <si>
    <t>FIN-TX-S02-0584</t>
  </si>
  <si>
    <t>transaction_blueprint:TX-S02-0585</t>
  </si>
  <si>
    <t>FIN-TX-S02-0585</t>
  </si>
  <si>
    <t>transaction_blueprint:TX-S02-0586</t>
  </si>
  <si>
    <t>FIN-TX-S02-0586</t>
  </si>
  <si>
    <t>transaction_blueprint:TX-S02-0587</t>
  </si>
  <si>
    <t>FIN-TX-S02-0587</t>
  </si>
  <si>
    <t>transaction_blueprint:TX-S02-0588</t>
  </si>
  <si>
    <t>FIN-TX-S02-0588</t>
  </si>
  <si>
    <t>transaction_blueprint:TX-S02-0589</t>
  </si>
  <si>
    <t>FIN-TX-S02-0589</t>
  </si>
  <si>
    <t>transaction_blueprint:TX-S02-0590</t>
  </si>
  <si>
    <t>FIN-TX-S02-0590</t>
  </si>
  <si>
    <t>transaction_blueprint:TX-S02-0591</t>
  </si>
  <si>
    <t>FIN-TX-S02-0591</t>
  </si>
  <si>
    <t>transaction_blueprint:TX-S02-0592</t>
  </si>
  <si>
    <t>FIN-TX-S02-0592</t>
  </si>
  <si>
    <t>transaction_blueprint:TX-S02-0593</t>
  </si>
  <si>
    <t>FIN-TX-S02-0593</t>
  </si>
  <si>
    <t>transaction_blueprint:TX-S02-0594</t>
  </si>
  <si>
    <t>FIN-TX-S02-0594</t>
  </si>
  <si>
    <t>transaction_blueprint:TX-S02-0595</t>
  </si>
  <si>
    <t>FIN-TX-S02-0595</t>
  </si>
  <si>
    <t>transaction_blueprint:TX-S02-0596</t>
  </si>
  <si>
    <t>FIN-TX-S02-0596</t>
  </si>
  <si>
    <t>transaction_blueprint:TX-S02-0597</t>
  </si>
  <si>
    <t>FIN-TX-S02-0597</t>
  </si>
  <si>
    <t>transaction_blueprint:TX-S02-0598</t>
  </si>
  <si>
    <t>FIN-TX-S02-0598</t>
  </si>
  <si>
    <t>transaction_blueprint:TX-S02-0599</t>
  </si>
  <si>
    <t>FIN-TX-S02-0599</t>
  </si>
  <si>
    <t>transaction_blueprint:TX-S02-0600</t>
  </si>
  <si>
    <t>FIN-TX-S02-0600</t>
  </si>
  <si>
    <t>transaction_blueprint:TX-S02-0601</t>
  </si>
  <si>
    <t>FIN-TX-S02-0601</t>
  </si>
  <si>
    <t>transaction_blueprint:TX-S02-0602</t>
  </si>
  <si>
    <t>FIN-TX-S02-0602</t>
  </si>
  <si>
    <t>transaction_blueprint:TX-S02-0603</t>
  </si>
  <si>
    <t>FIN-TX-S02-0603</t>
  </si>
  <si>
    <t>transaction_blueprint:TX-S02-0604</t>
  </si>
  <si>
    <t>FIN-TX-S02-0604</t>
  </si>
  <si>
    <t>transaction_blueprint:TX-S02-0605</t>
  </si>
  <si>
    <t>FIN-TX-S02-0605</t>
  </si>
  <si>
    <t>transaction_blueprint:TX-S02-0606</t>
  </si>
  <si>
    <t>FIN-TX-S02-0606</t>
  </si>
  <si>
    <t>transaction_blueprint:TX-S02-0607</t>
  </si>
  <si>
    <t>FIN-TX-S02-0607</t>
  </si>
  <si>
    <t>transaction_blueprint:TX-S02-0608</t>
  </si>
  <si>
    <t>FIN-TX-S02-0608</t>
  </si>
  <si>
    <t>transaction_blueprint:TX-S02-0609</t>
  </si>
  <si>
    <t>FIN-TX-S02-0609</t>
  </si>
  <si>
    <t>transaction_blueprint:TX-S02-0610</t>
  </si>
  <si>
    <t>FIN-TX-S02-0610</t>
  </si>
  <si>
    <t>transaction_blueprint:TX-S02-0611</t>
  </si>
  <si>
    <t>FIN-TX-S02-0611</t>
  </si>
  <si>
    <t>transaction_blueprint:TX-S02-0612</t>
  </si>
  <si>
    <t>FIN-TX-S02-0612</t>
  </si>
  <si>
    <t>transaction_blueprint:TX-S02-0613</t>
  </si>
  <si>
    <t>FIN-TX-S02-0613</t>
  </si>
  <si>
    <t>transaction_blueprint:TX-S02-0614</t>
  </si>
  <si>
    <t>FIN-TX-S02-0614</t>
  </si>
  <si>
    <t>transaction_blueprint:TX-S02-0615</t>
  </si>
  <si>
    <t>FIN-TX-S02-0615</t>
  </si>
  <si>
    <t>transaction_blueprint:TX-S02-0616</t>
  </si>
  <si>
    <t>FIN-TX-S02-0616</t>
  </si>
  <si>
    <t>transaction_blueprint:TX-S02-0617</t>
  </si>
  <si>
    <t>FIN-TX-S02-0617</t>
  </si>
  <si>
    <t>transaction_blueprint:TX-S02-0618</t>
  </si>
  <si>
    <t>FIN-TX-S02-0618</t>
  </si>
  <si>
    <t>transaction_blueprint:TX-S02-0619</t>
  </si>
  <si>
    <t>FIN-TX-S02-0619</t>
  </si>
  <si>
    <t>transaction_blueprint:TX-S02-0620</t>
  </si>
  <si>
    <t>FIN-TX-S02-0620</t>
  </si>
  <si>
    <t>transaction_blueprint:TX-S02-0621</t>
  </si>
  <si>
    <t>FIN-TX-S02-0621</t>
  </si>
  <si>
    <t>transaction_blueprint:TX-S02-0622</t>
  </si>
  <si>
    <t>FIN-TX-S02-0622</t>
  </si>
  <si>
    <t>transaction_blueprint:TX-S02-0623</t>
  </si>
  <si>
    <t>FIN-TX-S02-0623</t>
  </si>
  <si>
    <t>transaction_blueprint:TX-S02-0624</t>
  </si>
  <si>
    <t>FIN-TX-S02-0624</t>
  </si>
  <si>
    <t>transaction_blueprint:TX-S02-0625</t>
  </si>
  <si>
    <t>FIN-TX-S02-0625</t>
  </si>
  <si>
    <t>transaction_blueprint:TX-S02-0626</t>
  </si>
  <si>
    <t>FIN-TX-S02-0626</t>
  </si>
  <si>
    <t>transaction_blueprint:TX-S02-0627</t>
  </si>
  <si>
    <t>FIN-TX-S02-0627</t>
  </si>
  <si>
    <t>transaction_blueprint:TX-S02-0628</t>
  </si>
  <si>
    <t>FIN-TX-S02-0628</t>
  </si>
  <si>
    <t>transaction_blueprint:TX-S02-0629</t>
  </si>
  <si>
    <t>FIN-TX-S02-0629</t>
  </si>
  <si>
    <t>transaction_blueprint:TX-S02-0630</t>
  </si>
  <si>
    <t>FIN-TX-S02-0630</t>
  </si>
  <si>
    <t>transaction_blueprint:TX-S02-0631</t>
  </si>
  <si>
    <t>FIN-TX-S02-0631</t>
  </si>
  <si>
    <t>transaction_blueprint:TX-S02-0632</t>
  </si>
  <si>
    <t>FIN-TX-S02-0632</t>
  </si>
  <si>
    <t>transaction_blueprint:TX-S02-0633</t>
  </si>
  <si>
    <t>FIN-TX-S02-0633</t>
  </si>
  <si>
    <t>transaction_blueprint:TX-S02-0634</t>
  </si>
  <si>
    <t>FIN-TX-S02-0634</t>
  </si>
  <si>
    <t>transaction_blueprint:TX-S02-0635</t>
  </si>
  <si>
    <t>FIN-TX-S02-0635</t>
  </si>
  <si>
    <t>transaction_blueprint:TX-S02-0636</t>
  </si>
  <si>
    <t>FIN-TX-S02-0636</t>
  </si>
  <si>
    <t>transaction_blueprint:TX-S02-0637</t>
  </si>
  <si>
    <t>FIN-TX-S02-0637</t>
  </si>
  <si>
    <t>transaction_blueprint:TX-S02-0638</t>
  </si>
  <si>
    <t>FIN-TX-S02-0638</t>
  </si>
  <si>
    <t>transaction_blueprint:TX-S02-0639</t>
  </si>
  <si>
    <t>FIN-TX-S02-0639</t>
  </si>
  <si>
    <t>transaction_blueprint:TX-S02-0640</t>
  </si>
  <si>
    <t>FIN-TX-S02-0640</t>
  </si>
  <si>
    <t>transaction_blueprint:TX-S02-0641</t>
  </si>
  <si>
    <t>FIN-TX-S02-0641</t>
  </si>
  <si>
    <t>transaction_blueprint:TX-S02-0642</t>
  </si>
  <si>
    <t>FIN-TX-S02-0642</t>
  </si>
  <si>
    <t>transaction_blueprint:TX-S02-0643</t>
  </si>
  <si>
    <t>FIN-TX-S02-0643</t>
  </si>
  <si>
    <t>transaction_blueprint:TX-S02-0644</t>
  </si>
  <si>
    <t>FIN-TX-S02-0644</t>
  </si>
  <si>
    <t>transaction_blueprint:TX-S02-0645</t>
  </si>
  <si>
    <t>FIN-TX-S02-0645</t>
  </si>
  <si>
    <t>transaction_blueprint:TX-S02-0646</t>
  </si>
  <si>
    <t>FIN-TX-S02-0646</t>
  </si>
  <si>
    <t>transaction_blueprint:TX-S02-0647</t>
  </si>
  <si>
    <t>FIN-TX-S02-0647</t>
  </si>
  <si>
    <t>transaction_blueprint:TX-S02-0648</t>
  </si>
  <si>
    <t>FIN-TX-S02-0648</t>
  </si>
  <si>
    <t>transaction_blueprint:TX-S02-0649</t>
  </si>
  <si>
    <t>FIN-TX-S02-0649</t>
  </si>
  <si>
    <t>transaction_blueprint:TX-S02-0650</t>
  </si>
  <si>
    <t>FIN-TX-S02-0650</t>
  </si>
  <si>
    <t>transaction_blueprint:TX-S02-0651</t>
  </si>
  <si>
    <t>FIN-TX-S02-0651</t>
  </si>
  <si>
    <t>transaction_blueprint:TX-S02-0652</t>
  </si>
  <si>
    <t>FIN-TX-S02-0652</t>
  </si>
  <si>
    <t>transaction_blueprint:TX-S02-0653</t>
  </si>
  <si>
    <t>FIN-TX-S02-0653</t>
  </si>
  <si>
    <t>transaction_blueprint:TX-S02-0654</t>
  </si>
  <si>
    <t>FIN-TX-S02-0654</t>
  </si>
  <si>
    <t>transaction_blueprint:TX-S02-0655</t>
  </si>
  <si>
    <t>FIN-TX-S02-0655</t>
  </si>
  <si>
    <t>transaction_blueprint:TX-S02-0656</t>
  </si>
  <si>
    <t>FIN-TX-S02-0656</t>
  </si>
  <si>
    <t>transaction_blueprint:TX-S02-0657</t>
  </si>
  <si>
    <t>FIN-TX-S02-0657</t>
  </si>
  <si>
    <t>transaction_blueprint:TX-S02-0658</t>
  </si>
  <si>
    <t>FIN-TX-S02-0658</t>
  </si>
  <si>
    <t>transaction_blueprint:TX-S02-0659</t>
  </si>
  <si>
    <t>FIN-TX-S02-0659</t>
  </si>
  <si>
    <t>transaction_blueprint:TX-S02-0660</t>
  </si>
  <si>
    <t>FIN-TX-S02-0660</t>
  </si>
  <si>
    <t>transaction_blueprint:TX-S02-0661</t>
  </si>
  <si>
    <t>FIN-TX-S02-0661</t>
  </si>
  <si>
    <t>transaction_blueprint:TX-S02-0662</t>
  </si>
  <si>
    <t>FIN-TX-S02-0662</t>
  </si>
  <si>
    <t>transaction_blueprint:TX-S02-0663</t>
  </si>
  <si>
    <t>FIN-TX-S02-0663</t>
  </si>
  <si>
    <t>transaction_blueprint:TX-S02-0664</t>
  </si>
  <si>
    <t>FIN-TX-S02-0664</t>
  </si>
  <si>
    <t>transaction_blueprint:TX-S02-0665</t>
  </si>
  <si>
    <t>FIN-TX-S02-0665</t>
  </si>
  <si>
    <t>transaction_blueprint:TX-S02-0666</t>
  </si>
  <si>
    <t>FIN-TX-S02-0666</t>
  </si>
  <si>
    <t>1500</t>
  </si>
  <si>
    <t>transaction_blueprint:TX-S03-0001</t>
  </si>
  <si>
    <t>FIN-TX-S03-0001</t>
  </si>
  <si>
    <t>CERT-S03-2026-06-1500</t>
  </si>
  <si>
    <t>1510</t>
  </si>
  <si>
    <t>transaction_blueprint:TX-S03-0002</t>
  </si>
  <si>
    <t>FIN-TX-S03-0002</t>
  </si>
  <si>
    <t>CERT-S03-2026-06-1510</t>
  </si>
  <si>
    <t>1520</t>
  </si>
  <si>
    <t>transaction_blueprint:TX-S03-0003</t>
  </si>
  <si>
    <t>FIN-TX-S03-0003</t>
  </si>
  <si>
    <t>CERT-S03-2026-06-1520</t>
  </si>
  <si>
    <t>1530</t>
  </si>
  <si>
    <t>transaction_blueprint:TX-S03-0004</t>
  </si>
  <si>
    <t>FIN-TX-S03-0004</t>
  </si>
  <si>
    <t>CERT-S03-2026-06-1530</t>
  </si>
  <si>
    <t>1540</t>
  </si>
  <si>
    <t>transaction_blueprint:TX-S03-0005</t>
  </si>
  <si>
    <t>FIN-TX-S03-0005</t>
  </si>
  <si>
    <t>CERT-S03-2026-06-1540</t>
  </si>
  <si>
    <t>1550</t>
  </si>
  <si>
    <t>transaction_blueprint:TX-S03-0006</t>
  </si>
  <si>
    <t>FIN-TX-S03-0006</t>
  </si>
  <si>
    <t>CERT-S03-2026-06-1550</t>
  </si>
  <si>
    <t>1560</t>
  </si>
  <si>
    <t>transaction_blueprint:TX-S03-0007</t>
  </si>
  <si>
    <t>FIN-TX-S03-0007</t>
  </si>
  <si>
    <t>CERT-S03-2026-06-1560</t>
  </si>
  <si>
    <t>1570</t>
  </si>
  <si>
    <t>transaction_blueprint:TX-S03-0008</t>
  </si>
  <si>
    <t>FIN-TX-S03-0008</t>
  </si>
  <si>
    <t>CERT-S03-2026-06-1570</t>
  </si>
  <si>
    <t>1580</t>
  </si>
  <si>
    <t>transaction_blueprint:TX-S03-0009</t>
  </si>
  <si>
    <t>FIN-TX-S03-0009</t>
  </si>
  <si>
    <t>CERT-S03-2026-06-1580</t>
  </si>
  <si>
    <t>1590</t>
  </si>
  <si>
    <t>transaction_blueprint:TX-S03-0010</t>
  </si>
  <si>
    <t>FIN-TX-S03-0010</t>
  </si>
  <si>
    <t>CERT-S03-2026-06-1590</t>
  </si>
  <si>
    <t>transaction_blueprint:TX-S03-0011</t>
  </si>
  <si>
    <t>FIN-TX-S03-0011</t>
  </si>
  <si>
    <t>transaction_blueprint:TX-S03-0012</t>
  </si>
  <si>
    <t>FIN-TX-S03-0012</t>
  </si>
  <si>
    <t>transaction_blueprint:TX-S03-0013</t>
  </si>
  <si>
    <t>FIN-TX-S03-0013</t>
  </si>
  <si>
    <t>transaction_blueprint:TX-S03-0014</t>
  </si>
  <si>
    <t>FIN-TX-S03-0014</t>
  </si>
  <si>
    <t>transaction_blueprint:TX-S03-0015</t>
  </si>
  <si>
    <t>FIN-TX-S03-0015</t>
  </si>
  <si>
    <t>transaction_blueprint:TX-S03-0016</t>
  </si>
  <si>
    <t>FIN-TX-S03-0016</t>
  </si>
  <si>
    <t>transaction_blueprint:TX-S03-0017</t>
  </si>
  <si>
    <t>FIN-TX-S03-0017</t>
  </si>
  <si>
    <t>transaction_blueprint:TX-S03-0018</t>
  </si>
  <si>
    <t>FIN-TX-S03-0018</t>
  </si>
  <si>
    <t>transaction_blueprint:TX-S03-0019</t>
  </si>
  <si>
    <t>FIN-TX-S03-0019</t>
  </si>
  <si>
    <t>transaction_blueprint:TX-S03-0020</t>
  </si>
  <si>
    <t>FIN-TX-S03-0020</t>
  </si>
  <si>
    <t>transaction_blueprint:TX-S03-0021</t>
  </si>
  <si>
    <t>FIN-TX-S03-0021</t>
  </si>
  <si>
    <t>transaction_blueprint:TX-S03-0022</t>
  </si>
  <si>
    <t>FIN-TX-S03-0022</t>
  </si>
  <si>
    <t>transaction_blueprint:TX-S03-0023</t>
  </si>
  <si>
    <t>FIN-TX-S03-0023</t>
  </si>
  <si>
    <t>transaction_blueprint:TX-S03-0024</t>
  </si>
  <si>
    <t>FIN-TX-S03-0024</t>
  </si>
  <si>
    <t>transaction_blueprint:TX-S03-0025</t>
  </si>
  <si>
    <t>FIN-TX-S03-0025</t>
  </si>
  <si>
    <t>transaction_blueprint:TX-S03-0026</t>
  </si>
  <si>
    <t>FIN-TX-S03-0026</t>
  </si>
  <si>
    <t>transaction_blueprint:TX-S03-0027</t>
  </si>
  <si>
    <t>FIN-TX-S03-0027</t>
  </si>
  <si>
    <t>transaction_blueprint:TX-S03-0028</t>
  </si>
  <si>
    <t>FIN-TX-S03-0028</t>
  </si>
  <si>
    <t>transaction_blueprint:TX-S03-0029</t>
  </si>
  <si>
    <t>FIN-TX-S03-0029</t>
  </si>
  <si>
    <t>transaction_blueprint:TX-S03-0030</t>
  </si>
  <si>
    <t>FIN-TX-S03-0030</t>
  </si>
  <si>
    <t>transaction_blueprint:TX-S03-0031</t>
  </si>
  <si>
    <t>FIN-TX-S03-0031</t>
  </si>
  <si>
    <t>transaction_blueprint:TX-S03-0032</t>
  </si>
  <si>
    <t>FIN-TX-S03-0032</t>
  </si>
  <si>
    <t>transaction_blueprint:TX-S03-0033</t>
  </si>
  <si>
    <t>FIN-TX-S03-0033</t>
  </si>
  <si>
    <t>transaction_blueprint:TX-S03-0034</t>
  </si>
  <si>
    <t>FIN-TX-S03-0034</t>
  </si>
  <si>
    <t>transaction_blueprint:TX-S03-0035</t>
  </si>
  <si>
    <t>FIN-TX-S03-0035</t>
  </si>
  <si>
    <t>transaction_blueprint:TX-S03-0036</t>
  </si>
  <si>
    <t>FIN-TX-S03-0036</t>
  </si>
  <si>
    <t>transaction_blueprint:TX-S03-0037</t>
  </si>
  <si>
    <t>FIN-TX-S03-0037</t>
  </si>
  <si>
    <t>transaction_blueprint:TX-S03-0038</t>
  </si>
  <si>
    <t>FIN-TX-S03-0038</t>
  </si>
  <si>
    <t>transaction_blueprint:TX-S03-0039</t>
  </si>
  <si>
    <t>FIN-TX-S03-0039</t>
  </si>
  <si>
    <t>transaction_blueprint:TX-S03-0040</t>
  </si>
  <si>
    <t>FIN-TX-S03-0040</t>
  </si>
  <si>
    <t>transaction_blueprint:TX-S03-0041</t>
  </si>
  <si>
    <t>FIN-TX-S03-0041</t>
  </si>
  <si>
    <t>transaction_blueprint:TX-S03-0042</t>
  </si>
  <si>
    <t>FIN-TX-S03-0042</t>
  </si>
  <si>
    <t>transaction_blueprint:TX-S03-0043</t>
  </si>
  <si>
    <t>FIN-TX-S03-0043</t>
  </si>
  <si>
    <t>transaction_blueprint:TX-S03-0044</t>
  </si>
  <si>
    <t>FIN-TX-S03-0044</t>
  </si>
  <si>
    <t>transaction_blueprint:TX-S03-0045</t>
  </si>
  <si>
    <t>FIN-TX-S03-0045</t>
  </si>
  <si>
    <t>transaction_blueprint:TX-S03-0046</t>
  </si>
  <si>
    <t>FIN-TX-S03-0046</t>
  </si>
  <si>
    <t>transaction_blueprint:TX-S03-0047</t>
  </si>
  <si>
    <t>FIN-TX-S03-0047</t>
  </si>
  <si>
    <t>transaction_blueprint:TX-S03-0048</t>
  </si>
  <si>
    <t>FIN-TX-S03-0048</t>
  </si>
  <si>
    <t>transaction_blueprint:TX-S03-0049</t>
  </si>
  <si>
    <t>FIN-TX-S03-0049</t>
  </si>
  <si>
    <t>transaction_blueprint:TX-S03-0050</t>
  </si>
  <si>
    <t>FIN-TX-S03-0050</t>
  </si>
  <si>
    <t>transaction_blueprint:TX-S03-0051</t>
  </si>
  <si>
    <t>FIN-TX-S03-0051</t>
  </si>
  <si>
    <t>transaction_blueprint:TX-S03-0052</t>
  </si>
  <si>
    <t>FIN-TX-S03-0052</t>
  </si>
  <si>
    <t>transaction_blueprint:TX-S03-0053</t>
  </si>
  <si>
    <t>FIN-TX-S03-0053</t>
  </si>
  <si>
    <t>transaction_blueprint:TX-S03-0054</t>
  </si>
  <si>
    <t>FIN-TX-S03-0054</t>
  </si>
  <si>
    <t>transaction_blueprint:TX-S03-0055</t>
  </si>
  <si>
    <t>FIN-TX-S03-0055</t>
  </si>
  <si>
    <t>transaction_blueprint:TX-S03-0056</t>
  </si>
  <si>
    <t>FIN-TX-S03-0056</t>
  </si>
  <si>
    <t>transaction_blueprint:TX-S03-0057</t>
  </si>
  <si>
    <t>FIN-TX-S03-0057</t>
  </si>
  <si>
    <t>transaction_blueprint:TX-S03-0058</t>
  </si>
  <si>
    <t>FIN-TX-S03-0058</t>
  </si>
  <si>
    <t>transaction_blueprint:TX-S03-0059</t>
  </si>
  <si>
    <t>FIN-TX-S03-0059</t>
  </si>
  <si>
    <t>transaction_blueprint:TX-S03-0060</t>
  </si>
  <si>
    <t>FIN-TX-S03-0060</t>
  </si>
  <si>
    <t>transaction_blueprint:TX-S03-0061</t>
  </si>
  <si>
    <t>FIN-TX-S03-0061</t>
  </si>
  <si>
    <t>transaction_blueprint:TX-S03-0062</t>
  </si>
  <si>
    <t>FIN-TX-S03-0062</t>
  </si>
  <si>
    <t>transaction_blueprint:TX-S03-0063</t>
  </si>
  <si>
    <t>FIN-TX-S03-0063</t>
  </si>
  <si>
    <t>transaction_blueprint:TX-S03-0064</t>
  </si>
  <si>
    <t>FIN-TX-S03-0064</t>
  </si>
  <si>
    <t>transaction_blueprint:TX-S03-0065</t>
  </si>
  <si>
    <t>FIN-TX-S03-0065</t>
  </si>
  <si>
    <t>transaction_blueprint:TX-S03-0066</t>
  </si>
  <si>
    <t>FIN-TX-S03-0066</t>
  </si>
  <si>
    <t>transaction_blueprint:TX-S03-0067</t>
  </si>
  <si>
    <t>FIN-TX-S03-0067</t>
  </si>
  <si>
    <t>transaction_blueprint:TX-S03-0068</t>
  </si>
  <si>
    <t>FIN-TX-S03-0068</t>
  </si>
  <si>
    <t>transaction_blueprint:TX-S03-0069</t>
  </si>
  <si>
    <t>FIN-TX-S03-0069</t>
  </si>
  <si>
    <t>transaction_blueprint:TX-S03-0070</t>
  </si>
  <si>
    <t>FIN-TX-S03-0070</t>
  </si>
  <si>
    <t>transaction_blueprint:TX-S03-0071</t>
  </si>
  <si>
    <t>FIN-TX-S03-0071</t>
  </si>
  <si>
    <t>transaction_blueprint:TX-S03-0072</t>
  </si>
  <si>
    <t>FIN-TX-S03-0072</t>
  </si>
  <si>
    <t>transaction_blueprint:TX-S03-0073</t>
  </si>
  <si>
    <t>FIN-TX-S03-0073</t>
  </si>
  <si>
    <t>transaction_blueprint:TX-S03-0074</t>
  </si>
  <si>
    <t>FIN-TX-S03-0074</t>
  </si>
  <si>
    <t>transaction_blueprint:TX-S03-0075</t>
  </si>
  <si>
    <t>FIN-TX-S03-0075</t>
  </si>
  <si>
    <t>transaction_blueprint:TX-S03-0076</t>
  </si>
  <si>
    <t>FIN-TX-S03-0076</t>
  </si>
  <si>
    <t>transaction_blueprint:TX-S03-0077</t>
  </si>
  <si>
    <t>FIN-TX-S03-0077</t>
  </si>
  <si>
    <t>transaction_blueprint:TX-S03-0078</t>
  </si>
  <si>
    <t>FIN-TX-S03-0078</t>
  </si>
  <si>
    <t>transaction_blueprint:TX-S03-0079</t>
  </si>
  <si>
    <t>FIN-TX-S03-0079</t>
  </si>
  <si>
    <t>transaction_blueprint:TX-S03-0080</t>
  </si>
  <si>
    <t>FIN-TX-S03-0080</t>
  </si>
  <si>
    <t>transaction_blueprint:TX-S03-0081</t>
  </si>
  <si>
    <t>FIN-TX-S03-0081</t>
  </si>
  <si>
    <t>transaction_blueprint:TX-S03-0082</t>
  </si>
  <si>
    <t>FIN-TX-S03-0082</t>
  </si>
  <si>
    <t>transaction_blueprint:TX-S03-0083</t>
  </si>
  <si>
    <t>FIN-TX-S03-0083</t>
  </si>
  <si>
    <t>transaction_blueprint:TX-S03-0084</t>
  </si>
  <si>
    <t>FIN-TX-S03-0084</t>
  </si>
  <si>
    <t>transaction_blueprint:TX-S03-0085</t>
  </si>
  <si>
    <t>FIN-TX-S03-0085</t>
  </si>
  <si>
    <t>transaction_blueprint:TX-S03-0086</t>
  </si>
  <si>
    <t>FIN-TX-S03-0086</t>
  </si>
  <si>
    <t>transaction_blueprint:TX-S03-0087</t>
  </si>
  <si>
    <t>FIN-TX-S03-0087</t>
  </si>
  <si>
    <t>transaction_blueprint:TX-S03-0088</t>
  </si>
  <si>
    <t>FIN-TX-S03-0088</t>
  </si>
  <si>
    <t>transaction_blueprint:TX-S03-0089</t>
  </si>
  <si>
    <t>FIN-TX-S03-0089</t>
  </si>
  <si>
    <t>transaction_blueprint:TX-S03-0090</t>
  </si>
  <si>
    <t>FIN-TX-S03-0090</t>
  </si>
  <si>
    <t>transaction_blueprint:TX-S03-0091</t>
  </si>
  <si>
    <t>FIN-TX-S03-0091</t>
  </si>
  <si>
    <t>transaction_blueprint:TX-S03-0092</t>
  </si>
  <si>
    <t>FIN-TX-S03-0092</t>
  </si>
  <si>
    <t>transaction_blueprint:TX-S03-0093</t>
  </si>
  <si>
    <t>FIN-TX-S03-0093</t>
  </si>
  <si>
    <t>transaction_blueprint:TX-S03-0094</t>
  </si>
  <si>
    <t>FIN-TX-S03-0094</t>
  </si>
  <si>
    <t>transaction_blueprint:TX-S03-0095</t>
  </si>
  <si>
    <t>FIN-TX-S03-0095</t>
  </si>
  <si>
    <t>transaction_blueprint:TX-S03-0096</t>
  </si>
  <si>
    <t>FIN-TX-S03-0096</t>
  </si>
  <si>
    <t>transaction_blueprint:TX-S03-0097</t>
  </si>
  <si>
    <t>FIN-TX-S03-0097</t>
  </si>
  <si>
    <t>transaction_blueprint:TX-S03-0098</t>
  </si>
  <si>
    <t>FIN-TX-S03-0098</t>
  </si>
  <si>
    <t>transaction_blueprint:TX-S03-0099</t>
  </si>
  <si>
    <t>FIN-TX-S03-0099</t>
  </si>
  <si>
    <t>transaction_blueprint:TX-S03-0100</t>
  </si>
  <si>
    <t>FIN-TX-S03-0100</t>
  </si>
  <si>
    <t>transaction_blueprint:TX-S03-0101</t>
  </si>
  <si>
    <t>FIN-TX-S03-0101</t>
  </si>
  <si>
    <t>transaction_blueprint:TX-S03-0102</t>
  </si>
  <si>
    <t>FIN-TX-S03-0102</t>
  </si>
  <si>
    <t>transaction_blueprint:TX-S03-0103</t>
  </si>
  <si>
    <t>FIN-TX-S03-0103</t>
  </si>
  <si>
    <t>transaction_blueprint:TX-S03-0104</t>
  </si>
  <si>
    <t>FIN-TX-S03-0104</t>
  </si>
  <si>
    <t>transaction_blueprint:TX-S03-0105</t>
  </si>
  <si>
    <t>FIN-TX-S03-0105</t>
  </si>
  <si>
    <t>transaction_blueprint:TX-S03-0106</t>
  </si>
  <si>
    <t>FIN-TX-S03-0106</t>
  </si>
  <si>
    <t>transaction_blueprint:TX-S03-0107</t>
  </si>
  <si>
    <t>FIN-TX-S03-0107</t>
  </si>
  <si>
    <t>transaction_blueprint:TX-S03-0108</t>
  </si>
  <si>
    <t>FIN-TX-S03-0108</t>
  </si>
  <si>
    <t>transaction_blueprint:TX-S03-0109</t>
  </si>
  <si>
    <t>FIN-TX-S03-0109</t>
  </si>
  <si>
    <t>transaction_blueprint:TX-S03-0110</t>
  </si>
  <si>
    <t>FIN-TX-S03-0110</t>
  </si>
  <si>
    <t>transaction_blueprint:TX-S03-0111</t>
  </si>
  <si>
    <t>FIN-TX-S03-0111</t>
  </si>
  <si>
    <t>transaction_blueprint:TX-S03-0112</t>
  </si>
  <si>
    <t>FIN-TX-S03-0112</t>
  </si>
  <si>
    <t>transaction_blueprint:TX-S03-0113</t>
  </si>
  <si>
    <t>FIN-TX-S03-0113</t>
  </si>
  <si>
    <t>transaction_blueprint:TX-S03-0114</t>
  </si>
  <si>
    <t>FIN-TX-S03-0114</t>
  </si>
  <si>
    <t>transaction_blueprint:TX-S03-0115</t>
  </si>
  <si>
    <t>FIN-TX-S03-0115</t>
  </si>
  <si>
    <t>transaction_blueprint:TX-S03-0116</t>
  </si>
  <si>
    <t>FIN-TX-S03-0116</t>
  </si>
  <si>
    <t>transaction_blueprint:TX-S03-0117</t>
  </si>
  <si>
    <t>FIN-TX-S03-0117</t>
  </si>
  <si>
    <t>transaction_blueprint:TX-S03-0118</t>
  </si>
  <si>
    <t>FIN-TX-S03-0118</t>
  </si>
  <si>
    <t>transaction_blueprint:TX-S03-0119</t>
  </si>
  <si>
    <t>FIN-TX-S03-0119</t>
  </si>
  <si>
    <t>transaction_blueprint:TX-S03-0120</t>
  </si>
  <si>
    <t>FIN-TX-S03-0120</t>
  </si>
  <si>
    <t>transaction_blueprint:TX-S03-0121</t>
  </si>
  <si>
    <t>FIN-TX-S03-0121</t>
  </si>
  <si>
    <t>transaction_blueprint:TX-S03-0122</t>
  </si>
  <si>
    <t>FIN-TX-S03-0122</t>
  </si>
  <si>
    <t>transaction_blueprint:TX-S03-0123</t>
  </si>
  <si>
    <t>FIN-TX-S03-0123</t>
  </si>
  <si>
    <t>transaction_blueprint:TX-S03-0124</t>
  </si>
  <si>
    <t>FIN-TX-S03-0124</t>
  </si>
  <si>
    <t>transaction_blueprint:TX-S03-0125</t>
  </si>
  <si>
    <t>FIN-TX-S03-0125</t>
  </si>
  <si>
    <t>transaction_blueprint:TX-S03-0126</t>
  </si>
  <si>
    <t>FIN-TX-S03-0126</t>
  </si>
  <si>
    <t>transaction_blueprint:TX-S03-0127</t>
  </si>
  <si>
    <t>FIN-TX-S03-0127</t>
  </si>
  <si>
    <t>transaction_blueprint:TX-S03-0128</t>
  </si>
  <si>
    <t>FIN-TX-S03-0128</t>
  </si>
  <si>
    <t>transaction_blueprint:TX-S03-0129</t>
  </si>
  <si>
    <t>FIN-TX-S03-0129</t>
  </si>
  <si>
    <t>transaction_blueprint:TX-S03-0130</t>
  </si>
  <si>
    <t>FIN-TX-S03-0130</t>
  </si>
  <si>
    <t>transaction_blueprint:TX-S03-0131</t>
  </si>
  <si>
    <t>FIN-TX-S03-0131</t>
  </si>
  <si>
    <t>transaction_blueprint:TX-S03-0132</t>
  </si>
  <si>
    <t>FIN-TX-S03-0132</t>
  </si>
  <si>
    <t>transaction_blueprint:TX-S03-0133</t>
  </si>
  <si>
    <t>FIN-TX-S03-0133</t>
  </si>
  <si>
    <t>transaction_blueprint:TX-S03-0134</t>
  </si>
  <si>
    <t>FIN-TX-S03-0134</t>
  </si>
  <si>
    <t>transaction_blueprint:TX-S03-0135</t>
  </si>
  <si>
    <t>FIN-TX-S03-0135</t>
  </si>
  <si>
    <t>transaction_blueprint:TX-S03-0136</t>
  </si>
  <si>
    <t>FIN-TX-S03-0136</t>
  </si>
  <si>
    <t>transaction_blueprint:TX-S03-0137</t>
  </si>
  <si>
    <t>FIN-TX-S03-0137</t>
  </si>
  <si>
    <t>transaction_blueprint:TX-S03-0138</t>
  </si>
  <si>
    <t>FIN-TX-S03-0138</t>
  </si>
  <si>
    <t>transaction_blueprint:TX-S03-0139</t>
  </si>
  <si>
    <t>FIN-TX-S03-0139</t>
  </si>
  <si>
    <t>transaction_blueprint:TX-S03-0140</t>
  </si>
  <si>
    <t>FIN-TX-S03-0140</t>
  </si>
  <si>
    <t>transaction_blueprint:TX-S03-0141</t>
  </si>
  <si>
    <t>FIN-TX-S03-0141</t>
  </si>
  <si>
    <t>transaction_blueprint:TX-S03-0142</t>
  </si>
  <si>
    <t>FIN-TX-S03-0142</t>
  </si>
  <si>
    <t>transaction_blueprint:TX-S03-0143</t>
  </si>
  <si>
    <t>FIN-TX-S03-0143</t>
  </si>
  <si>
    <t>transaction_blueprint:TX-S03-0144</t>
  </si>
  <si>
    <t>FIN-TX-S03-0144</t>
  </si>
  <si>
    <t>transaction_blueprint:TX-S03-0145</t>
  </si>
  <si>
    <t>FIN-TX-S03-0145</t>
  </si>
  <si>
    <t>transaction_blueprint:TX-S03-0146</t>
  </si>
  <si>
    <t>FIN-TX-S03-0146</t>
  </si>
  <si>
    <t>transaction_blueprint:TX-S03-0147</t>
  </si>
  <si>
    <t>FIN-TX-S03-0147</t>
  </si>
  <si>
    <t>transaction_blueprint:TX-S03-0148</t>
  </si>
  <si>
    <t>FIN-TX-S03-0148</t>
  </si>
  <si>
    <t>transaction_blueprint:TX-S03-0149</t>
  </si>
  <si>
    <t>FIN-TX-S03-0149</t>
  </si>
  <si>
    <t>transaction_blueprint:TX-S03-0150</t>
  </si>
  <si>
    <t>FIN-TX-S03-0150</t>
  </si>
  <si>
    <t>transaction_blueprint:TX-S03-0151</t>
  </si>
  <si>
    <t>FIN-TX-S03-0151</t>
  </si>
  <si>
    <t>transaction_blueprint:TX-S03-0152</t>
  </si>
  <si>
    <t>FIN-TX-S03-0152</t>
  </si>
  <si>
    <t>transaction_blueprint:TX-S03-0153</t>
  </si>
  <si>
    <t>FIN-TX-S03-0153</t>
  </si>
  <si>
    <t>transaction_blueprint:TX-S03-0154</t>
  </si>
  <si>
    <t>FIN-TX-S03-0154</t>
  </si>
  <si>
    <t>transaction_blueprint:TX-S03-0155</t>
  </si>
  <si>
    <t>FIN-TX-S03-0155</t>
  </si>
  <si>
    <t>transaction_blueprint:TX-S03-0156</t>
  </si>
  <si>
    <t>FIN-TX-S03-0156</t>
  </si>
  <si>
    <t>transaction_blueprint:TX-S03-0157</t>
  </si>
  <si>
    <t>FIN-TX-S03-0157</t>
  </si>
  <si>
    <t>transaction_blueprint:TX-S03-0158</t>
  </si>
  <si>
    <t>FIN-TX-S03-0158</t>
  </si>
  <si>
    <t>transaction_blueprint:TX-S03-0159</t>
  </si>
  <si>
    <t>FIN-TX-S03-0159</t>
  </si>
  <si>
    <t>transaction_blueprint:TX-S03-0160</t>
  </si>
  <si>
    <t>FIN-TX-S03-0160</t>
  </si>
  <si>
    <t>transaction_blueprint:TX-S03-0161</t>
  </si>
  <si>
    <t>FIN-TX-S03-0161</t>
  </si>
  <si>
    <t>transaction_blueprint:TX-S03-0162</t>
  </si>
  <si>
    <t>FIN-TX-S03-0162</t>
  </si>
  <si>
    <t>transaction_blueprint:TX-S03-0163</t>
  </si>
  <si>
    <t>FIN-TX-S03-0163</t>
  </si>
  <si>
    <t>transaction_blueprint:TX-S03-0164</t>
  </si>
  <si>
    <t>FIN-TX-S03-0164</t>
  </si>
  <si>
    <t>transaction_blueprint:TX-S03-0165</t>
  </si>
  <si>
    <t>FIN-TX-S03-0165</t>
  </si>
  <si>
    <t>transaction_blueprint:TX-S03-0166</t>
  </si>
  <si>
    <t>FIN-TX-S03-0166</t>
  </si>
  <si>
    <t>transaction_blueprint:TX-S03-0167</t>
  </si>
  <si>
    <t>FIN-TX-S03-0167</t>
  </si>
  <si>
    <t>transaction_blueprint:TX-S03-0168</t>
  </si>
  <si>
    <t>FIN-TX-S03-0168</t>
  </si>
  <si>
    <t>transaction_blueprint:TX-S03-0169</t>
  </si>
  <si>
    <t>FIN-TX-S03-0169</t>
  </si>
  <si>
    <t>transaction_blueprint:TX-S03-0170</t>
  </si>
  <si>
    <t>FIN-TX-S03-0170</t>
  </si>
  <si>
    <t>transaction_blueprint:TX-S03-0171</t>
  </si>
  <si>
    <t>FIN-TX-S03-0171</t>
  </si>
  <si>
    <t>transaction_blueprint:TX-S03-0172</t>
  </si>
  <si>
    <t>FIN-TX-S03-0172</t>
  </si>
  <si>
    <t>transaction_blueprint:TX-S03-0173</t>
  </si>
  <si>
    <t>FIN-TX-S03-0173</t>
  </si>
  <si>
    <t>transaction_blueprint:TX-S03-0174</t>
  </si>
  <si>
    <t>FIN-TX-S03-0174</t>
  </si>
  <si>
    <t>transaction_blueprint:TX-S03-0175</t>
  </si>
  <si>
    <t>FIN-TX-S03-0175</t>
  </si>
  <si>
    <t>transaction_blueprint:TX-S03-0176</t>
  </si>
  <si>
    <t>FIN-TX-S03-0176</t>
  </si>
  <si>
    <t>transaction_blueprint:TX-S03-0177</t>
  </si>
  <si>
    <t>FIN-TX-S03-0177</t>
  </si>
  <si>
    <t>transaction_blueprint:TX-S03-0178</t>
  </si>
  <si>
    <t>FIN-TX-S03-0178</t>
  </si>
  <si>
    <t>transaction_blueprint:TX-S03-0179</t>
  </si>
  <si>
    <t>FIN-TX-S03-0179</t>
  </si>
  <si>
    <t>transaction_blueprint:TX-S03-0180</t>
  </si>
  <si>
    <t>FIN-TX-S03-0180</t>
  </si>
  <si>
    <t>transaction_blueprint:TX-S03-0181</t>
  </si>
  <si>
    <t>FIN-TX-S03-0181</t>
  </si>
  <si>
    <t>transaction_blueprint:TX-S03-0182</t>
  </si>
  <si>
    <t>FIN-TX-S03-0182</t>
  </si>
  <si>
    <t>transaction_blueprint:TX-S03-0183</t>
  </si>
  <si>
    <t>FIN-TX-S03-0183</t>
  </si>
  <si>
    <t>transaction_blueprint:TX-S03-0184</t>
  </si>
  <si>
    <t>FIN-TX-S03-0184</t>
  </si>
  <si>
    <t>transaction_blueprint:TX-S03-0185</t>
  </si>
  <si>
    <t>FIN-TX-S03-0185</t>
  </si>
  <si>
    <t>transaction_blueprint:TX-S03-0186</t>
  </si>
  <si>
    <t>FIN-TX-S03-0186</t>
  </si>
  <si>
    <t>transaction_blueprint:TX-S03-0187</t>
  </si>
  <si>
    <t>FIN-TX-S03-0187</t>
  </si>
  <si>
    <t>transaction_blueprint:TX-S03-0188</t>
  </si>
  <si>
    <t>FIN-TX-S03-0188</t>
  </si>
  <si>
    <t>transaction_blueprint:TX-S03-0189</t>
  </si>
  <si>
    <t>FIN-TX-S03-0189</t>
  </si>
  <si>
    <t>transaction_blueprint:TX-S03-0190</t>
  </si>
  <si>
    <t>FIN-TX-S03-0190</t>
  </si>
  <si>
    <t>transaction_blueprint:TX-S03-0191</t>
  </si>
  <si>
    <t>FIN-TX-S03-0191</t>
  </si>
  <si>
    <t>transaction_blueprint:TX-S03-0192</t>
  </si>
  <si>
    <t>FIN-TX-S03-0192</t>
  </si>
  <si>
    <t>transaction_blueprint:TX-S03-0193</t>
  </si>
  <si>
    <t>FIN-TX-S03-0193</t>
  </si>
  <si>
    <t>transaction_blueprint:TX-S03-0194</t>
  </si>
  <si>
    <t>FIN-TX-S03-0194</t>
  </si>
  <si>
    <t>transaction_blueprint:TX-S03-0195</t>
  </si>
  <si>
    <t>FIN-TX-S03-0195</t>
  </si>
  <si>
    <t>transaction_blueprint:TX-S03-0196</t>
  </si>
  <si>
    <t>FIN-TX-S03-0196</t>
  </si>
  <si>
    <t>transaction_blueprint:TX-S03-0197</t>
  </si>
  <si>
    <t>FIN-TX-S03-0197</t>
  </si>
  <si>
    <t>transaction_blueprint:TX-S03-0198</t>
  </si>
  <si>
    <t>FIN-TX-S03-0198</t>
  </si>
  <si>
    <t>transaction_blueprint:TX-S03-0199</t>
  </si>
  <si>
    <t>FIN-TX-S03-0199</t>
  </si>
  <si>
    <t>transaction_blueprint:TX-S03-0200</t>
  </si>
  <si>
    <t>FIN-TX-S03-0200</t>
  </si>
  <si>
    <t>transaction_blueprint:TX-S03-0201</t>
  </si>
  <si>
    <t>FIN-TX-S03-0201</t>
  </si>
  <si>
    <t>transaction_blueprint:TX-S03-0202</t>
  </si>
  <si>
    <t>FIN-TX-S03-0202</t>
  </si>
  <si>
    <t>transaction_blueprint:TX-S03-0203</t>
  </si>
  <si>
    <t>FIN-TX-S03-0203</t>
  </si>
  <si>
    <t>transaction_blueprint:TX-S03-0204</t>
  </si>
  <si>
    <t>FIN-TX-S03-0204</t>
  </si>
  <si>
    <t>transaction_blueprint:TX-S03-0205</t>
  </si>
  <si>
    <t>FIN-TX-S03-0205</t>
  </si>
  <si>
    <t>transaction_blueprint:TX-S03-0206</t>
  </si>
  <si>
    <t>FIN-TX-S03-0206</t>
  </si>
  <si>
    <t>transaction_blueprint:TX-S03-0207</t>
  </si>
  <si>
    <t>FIN-TX-S03-0207</t>
  </si>
  <si>
    <t>transaction_blueprint:TX-S03-0208</t>
  </si>
  <si>
    <t>FIN-TX-S03-0208</t>
  </si>
  <si>
    <t>transaction_blueprint:TX-S03-0209</t>
  </si>
  <si>
    <t>FIN-TX-S03-0209</t>
  </si>
  <si>
    <t>transaction_blueprint:TX-S03-0210</t>
  </si>
  <si>
    <t>FIN-TX-S03-0210</t>
  </si>
  <si>
    <t>transaction_blueprint:TX-S03-0211</t>
  </si>
  <si>
    <t>FIN-TX-S03-0211</t>
  </si>
  <si>
    <t>transaction_blueprint:TX-S03-0212</t>
  </si>
  <si>
    <t>FIN-TX-S03-0212</t>
  </si>
  <si>
    <t>transaction_blueprint:TX-S03-0213</t>
  </si>
  <si>
    <t>FIN-TX-S03-0213</t>
  </si>
  <si>
    <t>transaction_blueprint:TX-S03-0214</t>
  </si>
  <si>
    <t>FIN-TX-S03-0214</t>
  </si>
  <si>
    <t>transaction_blueprint:TX-S03-0215</t>
  </si>
  <si>
    <t>FIN-TX-S03-0215</t>
  </si>
  <si>
    <t>transaction_blueprint:TX-S03-0216</t>
  </si>
  <si>
    <t>FIN-TX-S03-0216</t>
  </si>
  <si>
    <t>transaction_blueprint:TX-S03-0217</t>
  </si>
  <si>
    <t>FIN-TX-S03-0217</t>
  </si>
  <si>
    <t>transaction_blueprint:TX-S03-0218</t>
  </si>
  <si>
    <t>FIN-TX-S03-0218</t>
  </si>
  <si>
    <t>transaction_blueprint:TX-S03-0219</t>
  </si>
  <si>
    <t>FIN-TX-S03-0219</t>
  </si>
  <si>
    <t>transaction_blueprint:TX-S03-0220</t>
  </si>
  <si>
    <t>FIN-TX-S03-0220</t>
  </si>
  <si>
    <t>transaction_blueprint:TX-S03-0221</t>
  </si>
  <si>
    <t>FIN-TX-S03-0221</t>
  </si>
  <si>
    <t>transaction_blueprint:TX-S03-0222</t>
  </si>
  <si>
    <t>FIN-TX-S03-0222</t>
  </si>
  <si>
    <t>transaction_blueprint:TX-S03-0223</t>
  </si>
  <si>
    <t>FIN-TX-S03-0223</t>
  </si>
  <si>
    <t>transaction_blueprint:TX-S03-0224</t>
  </si>
  <si>
    <t>FIN-TX-S03-0224</t>
  </si>
  <si>
    <t>transaction_blueprint:TX-S03-0225</t>
  </si>
  <si>
    <t>FIN-TX-S03-0225</t>
  </si>
  <si>
    <t>transaction_blueprint:TX-S03-0226</t>
  </si>
  <si>
    <t>FIN-TX-S03-0226</t>
  </si>
  <si>
    <t>transaction_blueprint:TX-S03-0227</t>
  </si>
  <si>
    <t>FIN-TX-S03-0227</t>
  </si>
  <si>
    <t>transaction_blueprint:TX-S03-0228</t>
  </si>
  <si>
    <t>FIN-TX-S03-0228</t>
  </si>
  <si>
    <t>transaction_blueprint:TX-S03-0229</t>
  </si>
  <si>
    <t>FIN-TX-S03-0229</t>
  </si>
  <si>
    <t>transaction_blueprint:TX-S03-0230</t>
  </si>
  <si>
    <t>FIN-TX-S03-0230</t>
  </si>
  <si>
    <t>transaction_blueprint:TX-S03-0231</t>
  </si>
  <si>
    <t>FIN-TX-S03-0231</t>
  </si>
  <si>
    <t>transaction_blueprint:TX-S03-0232</t>
  </si>
  <si>
    <t>FIN-TX-S03-0232</t>
  </si>
  <si>
    <t>transaction_blueprint:TX-S03-0233</t>
  </si>
  <si>
    <t>FIN-TX-S03-0233</t>
  </si>
  <si>
    <t>transaction_blueprint:TX-S03-0234</t>
  </si>
  <si>
    <t>FIN-TX-S03-0234</t>
  </si>
  <si>
    <t>transaction_blueprint:TX-S03-0235</t>
  </si>
  <si>
    <t>FIN-TX-S03-0235</t>
  </si>
  <si>
    <t>transaction_blueprint:TX-S03-0236</t>
  </si>
  <si>
    <t>FIN-TX-S03-0236</t>
  </si>
  <si>
    <t>transaction_blueprint:TX-S03-0237</t>
  </si>
  <si>
    <t>FIN-TX-S03-0237</t>
  </si>
  <si>
    <t>transaction_blueprint:TX-S03-0238</t>
  </si>
  <si>
    <t>FIN-TX-S03-0238</t>
  </si>
  <si>
    <t>transaction_blueprint:TX-S03-0239</t>
  </si>
  <si>
    <t>FIN-TX-S03-0239</t>
  </si>
  <si>
    <t>transaction_blueprint:TX-S03-0240</t>
  </si>
  <si>
    <t>FIN-TX-S03-0240</t>
  </si>
  <si>
    <t>transaction_blueprint:TX-S03-0241</t>
  </si>
  <si>
    <t>FIN-TX-S03-0241</t>
  </si>
  <si>
    <t>transaction_blueprint:TX-S03-0242</t>
  </si>
  <si>
    <t>FIN-TX-S03-0242</t>
  </si>
  <si>
    <t>transaction_blueprint:TX-S03-0243</t>
  </si>
  <si>
    <t>FIN-TX-S03-0243</t>
  </si>
  <si>
    <t>transaction_blueprint:TX-S03-0244</t>
  </si>
  <si>
    <t>FIN-TX-S03-0244</t>
  </si>
  <si>
    <t>transaction_blueprint:TX-S03-0245</t>
  </si>
  <si>
    <t>FIN-TX-S03-0245</t>
  </si>
  <si>
    <t>transaction_blueprint:TX-S03-0246</t>
  </si>
  <si>
    <t>FIN-TX-S03-0246</t>
  </si>
  <si>
    <t>transaction_blueprint:TX-S03-0247</t>
  </si>
  <si>
    <t>FIN-TX-S03-0247</t>
  </si>
  <si>
    <t>transaction_blueprint:TX-S03-0248</t>
  </si>
  <si>
    <t>FIN-TX-S03-0248</t>
  </si>
  <si>
    <t>transaction_blueprint:TX-S03-0249</t>
  </si>
  <si>
    <t>FIN-TX-S03-0249</t>
  </si>
  <si>
    <t>transaction_blueprint:TX-S03-0250</t>
  </si>
  <si>
    <t>FIN-TX-S03-0250</t>
  </si>
  <si>
    <t>transaction_blueprint:TX-S03-0251</t>
  </si>
  <si>
    <t>FIN-TX-S03-0251</t>
  </si>
  <si>
    <t>transaction_blueprint:TX-S03-0252</t>
  </si>
  <si>
    <t>FIN-TX-S03-0252</t>
  </si>
  <si>
    <t>transaction_blueprint:TX-S03-0253</t>
  </si>
  <si>
    <t>FIN-TX-S03-0253</t>
  </si>
  <si>
    <t>transaction_blueprint:TX-S03-0254</t>
  </si>
  <si>
    <t>FIN-TX-S03-0254</t>
  </si>
  <si>
    <t>transaction_blueprint:TX-S03-0255</t>
  </si>
  <si>
    <t>FIN-TX-S03-0255</t>
  </si>
  <si>
    <t>transaction_blueprint:TX-S03-0256</t>
  </si>
  <si>
    <t>FIN-TX-S03-0256</t>
  </si>
  <si>
    <t>transaction_blueprint:TX-S03-0257</t>
  </si>
  <si>
    <t>FIN-TX-S03-0257</t>
  </si>
  <si>
    <t>transaction_blueprint:TX-S03-0258</t>
  </si>
  <si>
    <t>FIN-TX-S03-0258</t>
  </si>
  <si>
    <t>transaction_blueprint:TX-S03-0259</t>
  </si>
  <si>
    <t>FIN-TX-S03-0259</t>
  </si>
  <si>
    <t>transaction_blueprint:TX-S03-0260</t>
  </si>
  <si>
    <t>FIN-TX-S03-0260</t>
  </si>
  <si>
    <t>transaction_blueprint:TX-S03-0261</t>
  </si>
  <si>
    <t>FIN-TX-S03-0261</t>
  </si>
  <si>
    <t>transaction_blueprint:TX-S03-0262</t>
  </si>
  <si>
    <t>FIN-TX-S03-0262</t>
  </si>
  <si>
    <t>transaction_blueprint:TX-S03-0263</t>
  </si>
  <si>
    <t>FIN-TX-S03-0263</t>
  </si>
  <si>
    <t>transaction_blueprint:TX-S03-0264</t>
  </si>
  <si>
    <t>FIN-TX-S03-0264</t>
  </si>
  <si>
    <t>transaction_blueprint:TX-S03-0265</t>
  </si>
  <si>
    <t>FIN-TX-S03-0265</t>
  </si>
  <si>
    <t>transaction_blueprint:TX-S03-0266</t>
  </si>
  <si>
    <t>FIN-TX-S03-0266</t>
  </si>
  <si>
    <t>transaction_blueprint:TX-S03-0267</t>
  </si>
  <si>
    <t>FIN-TX-S03-0267</t>
  </si>
  <si>
    <t>transaction_blueprint:TX-S03-0268</t>
  </si>
  <si>
    <t>FIN-TX-S03-0268</t>
  </si>
  <si>
    <t>transaction_blueprint:TX-S03-0269</t>
  </si>
  <si>
    <t>FIN-TX-S03-0269</t>
  </si>
  <si>
    <t>transaction_blueprint:TX-S03-0270</t>
  </si>
  <si>
    <t>FIN-TX-S03-0270</t>
  </si>
  <si>
    <t>transaction_blueprint:TX-S03-0271</t>
  </si>
  <si>
    <t>FIN-TX-S03-0271</t>
  </si>
  <si>
    <t>transaction_blueprint:TX-S03-0272</t>
  </si>
  <si>
    <t>FIN-TX-S03-0272</t>
  </si>
  <si>
    <t>transaction_blueprint:TX-S03-0273</t>
  </si>
  <si>
    <t>FIN-TX-S03-0273</t>
  </si>
  <si>
    <t>transaction_blueprint:TX-S03-0274</t>
  </si>
  <si>
    <t>FIN-TX-S03-0274</t>
  </si>
  <si>
    <t>transaction_blueprint:TX-S03-0275</t>
  </si>
  <si>
    <t>FIN-TX-S03-0275</t>
  </si>
  <si>
    <t>transaction_blueprint:TX-S03-0276</t>
  </si>
  <si>
    <t>FIN-TX-S03-0276</t>
  </si>
  <si>
    <t>transaction_blueprint:TX-S03-0277</t>
  </si>
  <si>
    <t>FIN-TX-S03-0277</t>
  </si>
  <si>
    <t>transaction_blueprint:TX-S03-0278</t>
  </si>
  <si>
    <t>FIN-TX-S03-0278</t>
  </si>
  <si>
    <t>transaction_blueprint:TX-S03-0279</t>
  </si>
  <si>
    <t>FIN-TX-S03-0279</t>
  </si>
  <si>
    <t>transaction_blueprint:TX-S03-0280</t>
  </si>
  <si>
    <t>FIN-TX-S03-0280</t>
  </si>
  <si>
    <t>transaction_blueprint:TX-S03-0281</t>
  </si>
  <si>
    <t>FIN-TX-S03-0281</t>
  </si>
  <si>
    <t>transaction_blueprint:TX-S03-0282</t>
  </si>
  <si>
    <t>FIN-TX-S03-0282</t>
  </si>
  <si>
    <t>transaction_blueprint:TX-S03-0283</t>
  </si>
  <si>
    <t>FIN-TX-S03-0283</t>
  </si>
  <si>
    <t>transaction_blueprint:TX-S03-0284</t>
  </si>
  <si>
    <t>FIN-TX-S03-0284</t>
  </si>
  <si>
    <t>transaction_blueprint:TX-S03-0285</t>
  </si>
  <si>
    <t>FIN-TX-S03-0285</t>
  </si>
  <si>
    <t>transaction_blueprint:TX-S03-0286</t>
  </si>
  <si>
    <t>FIN-TX-S03-0286</t>
  </si>
  <si>
    <t>transaction_blueprint:TX-S03-0287</t>
  </si>
  <si>
    <t>FIN-TX-S03-0287</t>
  </si>
  <si>
    <t>transaction_blueprint:TX-S03-0288</t>
  </si>
  <si>
    <t>FIN-TX-S03-0288</t>
  </si>
  <si>
    <t>transaction_blueprint:TX-S03-0289</t>
  </si>
  <si>
    <t>FIN-TX-S03-0289</t>
  </si>
  <si>
    <t>transaction_blueprint:TX-S03-0290</t>
  </si>
  <si>
    <t>FIN-TX-S03-0290</t>
  </si>
  <si>
    <t>transaction_blueprint:TX-S03-0291</t>
  </si>
  <si>
    <t>FIN-TX-S03-0291</t>
  </si>
  <si>
    <t>transaction_blueprint:TX-S03-0292</t>
  </si>
  <si>
    <t>FIN-TX-S03-0292</t>
  </si>
  <si>
    <t>transaction_blueprint:TX-S03-0293</t>
  </si>
  <si>
    <t>FIN-TX-S03-0293</t>
  </si>
  <si>
    <t>transaction_blueprint:TX-S03-0294</t>
  </si>
  <si>
    <t>FIN-TX-S03-0294</t>
  </si>
  <si>
    <t>transaction_blueprint:TX-S03-0295</t>
  </si>
  <si>
    <t>FIN-TX-S03-0295</t>
  </si>
  <si>
    <t>transaction_blueprint:TX-S03-0296</t>
  </si>
  <si>
    <t>FIN-TX-S03-0296</t>
  </si>
  <si>
    <t>transaction_blueprint:TX-S03-0297</t>
  </si>
  <si>
    <t>FIN-TX-S03-0297</t>
  </si>
  <si>
    <t>transaction_blueprint:TX-S03-0298</t>
  </si>
  <si>
    <t>FIN-TX-S03-0298</t>
  </si>
  <si>
    <t>transaction_blueprint:TX-S03-0299</t>
  </si>
  <si>
    <t>FIN-TX-S03-0299</t>
  </si>
  <si>
    <t>transaction_blueprint:TX-S03-0300</t>
  </si>
  <si>
    <t>FIN-TX-S03-0300</t>
  </si>
  <si>
    <t>transaction_blueprint:TX-S03-0301</t>
  </si>
  <si>
    <t>FIN-TX-S03-0301</t>
  </si>
  <si>
    <t>transaction_blueprint:TX-S03-0302</t>
  </si>
  <si>
    <t>FIN-TX-S03-0302</t>
  </si>
  <si>
    <t>transaction_blueprint:TX-S03-0303</t>
  </si>
  <si>
    <t>FIN-TX-S03-0303</t>
  </si>
  <si>
    <t>transaction_blueprint:TX-S03-0304</t>
  </si>
  <si>
    <t>FIN-TX-S03-0304</t>
  </si>
  <si>
    <t>transaction_blueprint:TX-S03-0305</t>
  </si>
  <si>
    <t>FIN-TX-S03-0305</t>
  </si>
  <si>
    <t>transaction_blueprint:TX-S03-0306</t>
  </si>
  <si>
    <t>FIN-TX-S03-0306</t>
  </si>
  <si>
    <t>transaction_blueprint:TX-S03-0307</t>
  </si>
  <si>
    <t>FIN-TX-S03-0307</t>
  </si>
  <si>
    <t>transaction_blueprint:TX-S03-0308</t>
  </si>
  <si>
    <t>FIN-TX-S03-0308</t>
  </si>
  <si>
    <t>transaction_blueprint:TX-S03-0309</t>
  </si>
  <si>
    <t>FIN-TX-S03-0309</t>
  </si>
  <si>
    <t>transaction_blueprint:TX-S03-0310</t>
  </si>
  <si>
    <t>FIN-TX-S03-0310</t>
  </si>
  <si>
    <t>transaction_blueprint:TX-S03-0311</t>
  </si>
  <si>
    <t>FIN-TX-S03-0311</t>
  </si>
  <si>
    <t>transaction_blueprint:TX-S03-0312</t>
  </si>
  <si>
    <t>FIN-TX-S03-0312</t>
  </si>
  <si>
    <t>transaction_blueprint:TX-S03-0313</t>
  </si>
  <si>
    <t>FIN-TX-S03-0313</t>
  </si>
  <si>
    <t>transaction_blueprint:TX-S03-0314</t>
  </si>
  <si>
    <t>FIN-TX-S03-0314</t>
  </si>
  <si>
    <t>transaction_blueprint:TX-S03-0315</t>
  </si>
  <si>
    <t>FIN-TX-S03-0315</t>
  </si>
  <si>
    <t>transaction_blueprint:TX-S03-0316</t>
  </si>
  <si>
    <t>FIN-TX-S03-0316</t>
  </si>
  <si>
    <t>transaction_blueprint:TX-S03-0317</t>
  </si>
  <si>
    <t>FIN-TX-S03-0317</t>
  </si>
  <si>
    <t>transaction_blueprint:TX-S03-0318</t>
  </si>
  <si>
    <t>FIN-TX-S03-0318</t>
  </si>
  <si>
    <t>transaction_blueprint:TX-S03-0319</t>
  </si>
  <si>
    <t>FIN-TX-S03-0319</t>
  </si>
  <si>
    <t>transaction_blueprint:TX-S03-0320</t>
  </si>
  <si>
    <t>FIN-TX-S03-0320</t>
  </si>
  <si>
    <t>transaction_blueprint:TX-S03-0321</t>
  </si>
  <si>
    <t>FIN-TX-S03-0321</t>
  </si>
  <si>
    <t>transaction_blueprint:TX-S03-0322</t>
  </si>
  <si>
    <t>FIN-TX-S03-0322</t>
  </si>
  <si>
    <t>transaction_blueprint:TX-S03-0323</t>
  </si>
  <si>
    <t>FIN-TX-S03-0323</t>
  </si>
  <si>
    <t>transaction_blueprint:TX-S03-0324</t>
  </si>
  <si>
    <t>FIN-TX-S03-0324</t>
  </si>
  <si>
    <t>transaction_blueprint:TX-S03-0325</t>
  </si>
  <si>
    <t>FIN-TX-S03-0325</t>
  </si>
  <si>
    <t>transaction_blueprint:TX-S03-0326</t>
  </si>
  <si>
    <t>FIN-TX-S03-0326</t>
  </si>
  <si>
    <t>transaction_blueprint:TX-S03-0327</t>
  </si>
  <si>
    <t>FIN-TX-S03-0327</t>
  </si>
  <si>
    <t>transaction_blueprint:TX-S03-0328</t>
  </si>
  <si>
    <t>FIN-TX-S03-0328</t>
  </si>
  <si>
    <t>transaction_blueprint:TX-S03-0329</t>
  </si>
  <si>
    <t>FIN-TX-S03-0329</t>
  </si>
  <si>
    <t>transaction_blueprint:TX-S03-0330</t>
  </si>
  <si>
    <t>FIN-TX-S03-0330</t>
  </si>
  <si>
    <t>transaction_blueprint:TX-S03-0331</t>
  </si>
  <si>
    <t>FIN-TX-S03-0331</t>
  </si>
  <si>
    <t>transaction_blueprint:TX-S03-0332</t>
  </si>
  <si>
    <t>FIN-TX-S03-0332</t>
  </si>
  <si>
    <t>transaction_blueprint:TX-S03-0333</t>
  </si>
  <si>
    <t>FIN-TX-S03-0333</t>
  </si>
  <si>
    <t>transaction_blueprint:TX-S03-0334</t>
  </si>
  <si>
    <t>FIN-TX-S03-0334</t>
  </si>
  <si>
    <t>CERT-S03-2026-07-1530</t>
  </si>
  <si>
    <t>transaction_blueprint:TX-S03-0335</t>
  </si>
  <si>
    <t>FIN-TX-S03-0335</t>
  </si>
  <si>
    <t>CERT-S03-2026-07-1540</t>
  </si>
  <si>
    <t>transaction_blueprint:TX-S03-0336</t>
  </si>
  <si>
    <t>FIN-TX-S03-0336</t>
  </si>
  <si>
    <t>CERT-S03-2026-07-1550</t>
  </si>
  <si>
    <t>transaction_blueprint:TX-S03-0337</t>
  </si>
  <si>
    <t>FIN-TX-S03-0337</t>
  </si>
  <si>
    <t>CERT-S03-2026-07-1560</t>
  </si>
  <si>
    <t>transaction_blueprint:TX-S03-0338</t>
  </si>
  <si>
    <t>FIN-TX-S03-0338</t>
  </si>
  <si>
    <t>CERT-S03-2026-07-1570</t>
  </si>
  <si>
    <t>transaction_blueprint:TX-S03-0339</t>
  </si>
  <si>
    <t>FIN-TX-S03-0339</t>
  </si>
  <si>
    <t>CERT-S03-2026-07-1580</t>
  </si>
  <si>
    <t>transaction_blueprint:TX-S03-0340</t>
  </si>
  <si>
    <t>FIN-TX-S03-0340</t>
  </si>
  <si>
    <t>CERT-S03-2026-07-1590</t>
  </si>
  <si>
    <t>transaction_blueprint:TX-S03-0341</t>
  </si>
  <si>
    <t>FIN-TX-S03-0341</t>
  </si>
  <si>
    <t>CERT-S03-2026-07-1500</t>
  </si>
  <si>
    <t>transaction_blueprint:TX-S03-0342</t>
  </si>
  <si>
    <t>FIN-TX-S03-0342</t>
  </si>
  <si>
    <t>CERT-S03-2026-07-1510</t>
  </si>
  <si>
    <t>transaction_blueprint:TX-S03-0343</t>
  </si>
  <si>
    <t>FIN-TX-S03-0343</t>
  </si>
  <si>
    <t>CERT-S03-2026-07-1520</t>
  </si>
  <si>
    <t>transaction_blueprint:TX-S03-0344</t>
  </si>
  <si>
    <t>FIN-TX-S03-0344</t>
  </si>
  <si>
    <t>transaction_blueprint:TX-S03-0345</t>
  </si>
  <si>
    <t>FIN-TX-S03-0345</t>
  </si>
  <si>
    <t>transaction_blueprint:TX-S03-0346</t>
  </si>
  <si>
    <t>FIN-TX-S03-0346</t>
  </si>
  <si>
    <t>transaction_blueprint:TX-S03-0347</t>
  </si>
  <si>
    <t>FIN-TX-S03-0347</t>
  </si>
  <si>
    <t>transaction_blueprint:TX-S03-0348</t>
  </si>
  <si>
    <t>FIN-TX-S03-0348</t>
  </si>
  <si>
    <t>transaction_blueprint:TX-S03-0349</t>
  </si>
  <si>
    <t>FIN-TX-S03-0349</t>
  </si>
  <si>
    <t>transaction_blueprint:TX-S03-0350</t>
  </si>
  <si>
    <t>FIN-TX-S03-0350</t>
  </si>
  <si>
    <t>transaction_blueprint:TX-S03-0351</t>
  </si>
  <si>
    <t>FIN-TX-S03-0351</t>
  </si>
  <si>
    <t>transaction_blueprint:TX-S03-0352</t>
  </si>
  <si>
    <t>FIN-TX-S03-0352</t>
  </si>
  <si>
    <t>transaction_blueprint:TX-S03-0353</t>
  </si>
  <si>
    <t>FIN-TX-S03-0353</t>
  </si>
  <si>
    <t>transaction_blueprint:TX-S03-0354</t>
  </si>
  <si>
    <t>FIN-TX-S03-0354</t>
  </si>
  <si>
    <t>transaction_blueprint:TX-S03-0355</t>
  </si>
  <si>
    <t>FIN-TX-S03-0355</t>
  </si>
  <si>
    <t>transaction_blueprint:TX-S03-0356</t>
  </si>
  <si>
    <t>FIN-TX-S03-0356</t>
  </si>
  <si>
    <t>transaction_blueprint:TX-S03-0357</t>
  </si>
  <si>
    <t>FIN-TX-S03-0357</t>
  </si>
  <si>
    <t>transaction_blueprint:TX-S03-0358</t>
  </si>
  <si>
    <t>FIN-TX-S03-0358</t>
  </si>
  <si>
    <t>transaction_blueprint:TX-S03-0359</t>
  </si>
  <si>
    <t>FIN-TX-S03-0359</t>
  </si>
  <si>
    <t>transaction_blueprint:TX-S03-0360</t>
  </si>
  <si>
    <t>FIN-TX-S03-0360</t>
  </si>
  <si>
    <t>transaction_blueprint:TX-S03-0361</t>
  </si>
  <si>
    <t>FIN-TX-S03-0361</t>
  </si>
  <si>
    <t>transaction_blueprint:TX-S03-0362</t>
  </si>
  <si>
    <t>FIN-TX-S03-0362</t>
  </si>
  <si>
    <t>transaction_blueprint:TX-S03-0363</t>
  </si>
  <si>
    <t>FIN-TX-S03-0363</t>
  </si>
  <si>
    <t>transaction_blueprint:TX-S03-0364</t>
  </si>
  <si>
    <t>FIN-TX-S03-0364</t>
  </si>
  <si>
    <t>transaction_blueprint:TX-S03-0365</t>
  </si>
  <si>
    <t>FIN-TX-S03-0365</t>
  </si>
  <si>
    <t>transaction_blueprint:TX-S03-0366</t>
  </si>
  <si>
    <t>FIN-TX-S03-0366</t>
  </si>
  <si>
    <t>transaction_blueprint:TX-S03-0367</t>
  </si>
  <si>
    <t>FIN-TX-S03-0367</t>
  </si>
  <si>
    <t>transaction_blueprint:TX-S03-0368</t>
  </si>
  <si>
    <t>FIN-TX-S03-0368</t>
  </si>
  <si>
    <t>transaction_blueprint:TX-S03-0369</t>
  </si>
  <si>
    <t>FIN-TX-S03-0369</t>
  </si>
  <si>
    <t>transaction_blueprint:TX-S03-0370</t>
  </si>
  <si>
    <t>FIN-TX-S03-0370</t>
  </si>
  <si>
    <t>transaction_blueprint:TX-S03-0371</t>
  </si>
  <si>
    <t>FIN-TX-S03-0371</t>
  </si>
  <si>
    <t>transaction_blueprint:TX-S03-0372</t>
  </si>
  <si>
    <t>FIN-TX-S03-0372</t>
  </si>
  <si>
    <t>transaction_blueprint:TX-S03-0373</t>
  </si>
  <si>
    <t>FIN-TX-S03-0373</t>
  </si>
  <si>
    <t>transaction_blueprint:TX-S03-0374</t>
  </si>
  <si>
    <t>FIN-TX-S03-0374</t>
  </si>
  <si>
    <t>transaction_blueprint:TX-S03-0375</t>
  </si>
  <si>
    <t>FIN-TX-S03-0375</t>
  </si>
  <si>
    <t>transaction_blueprint:TX-S03-0376</t>
  </si>
  <si>
    <t>FIN-TX-S03-0376</t>
  </si>
  <si>
    <t>transaction_blueprint:TX-S03-0377</t>
  </si>
  <si>
    <t>FIN-TX-S03-0377</t>
  </si>
  <si>
    <t>transaction_blueprint:TX-S03-0378</t>
  </si>
  <si>
    <t>FIN-TX-S03-0378</t>
  </si>
  <si>
    <t>transaction_blueprint:TX-S03-0379</t>
  </si>
  <si>
    <t>FIN-TX-S03-0379</t>
  </si>
  <si>
    <t>transaction_blueprint:TX-S03-0380</t>
  </si>
  <si>
    <t>FIN-TX-S03-0380</t>
  </si>
  <si>
    <t>transaction_blueprint:TX-S03-0381</t>
  </si>
  <si>
    <t>FIN-TX-S03-0381</t>
  </si>
  <si>
    <t>transaction_blueprint:TX-S03-0382</t>
  </si>
  <si>
    <t>FIN-TX-S03-0382</t>
  </si>
  <si>
    <t>transaction_blueprint:TX-S03-0383</t>
  </si>
  <si>
    <t>FIN-TX-S03-0383</t>
  </si>
  <si>
    <t>transaction_blueprint:TX-S03-0384</t>
  </si>
  <si>
    <t>FIN-TX-S03-0384</t>
  </si>
  <si>
    <t>transaction_blueprint:TX-S03-0385</t>
  </si>
  <si>
    <t>FIN-TX-S03-0385</t>
  </si>
  <si>
    <t>transaction_blueprint:TX-S03-0386</t>
  </si>
  <si>
    <t>FIN-TX-S03-0386</t>
  </si>
  <si>
    <t>transaction_blueprint:TX-S03-0387</t>
  </si>
  <si>
    <t>FIN-TX-S03-0387</t>
  </si>
  <si>
    <t>transaction_blueprint:TX-S03-0388</t>
  </si>
  <si>
    <t>FIN-TX-S03-0388</t>
  </si>
  <si>
    <t>transaction_blueprint:TX-S03-0389</t>
  </si>
  <si>
    <t>FIN-TX-S03-0389</t>
  </si>
  <si>
    <t>transaction_blueprint:TX-S03-0390</t>
  </si>
  <si>
    <t>FIN-TX-S03-0390</t>
  </si>
  <si>
    <t>transaction_blueprint:TX-S03-0391</t>
  </si>
  <si>
    <t>FIN-TX-S03-0391</t>
  </si>
  <si>
    <t>transaction_blueprint:TX-S03-0392</t>
  </si>
  <si>
    <t>FIN-TX-S03-0392</t>
  </si>
  <si>
    <t>transaction_blueprint:TX-S03-0393</t>
  </si>
  <si>
    <t>FIN-TX-S03-0393</t>
  </si>
  <si>
    <t>transaction_blueprint:TX-S03-0394</t>
  </si>
  <si>
    <t>FIN-TX-S03-0394</t>
  </si>
  <si>
    <t>transaction_blueprint:TX-S03-0395</t>
  </si>
  <si>
    <t>FIN-TX-S03-0395</t>
  </si>
  <si>
    <t>transaction_blueprint:TX-S03-0396</t>
  </si>
  <si>
    <t>FIN-TX-S03-0396</t>
  </si>
  <si>
    <t>transaction_blueprint:TX-S03-0397</t>
  </si>
  <si>
    <t>FIN-TX-S03-0397</t>
  </si>
  <si>
    <t>transaction_blueprint:TX-S03-0398</t>
  </si>
  <si>
    <t>FIN-TX-S03-0398</t>
  </si>
  <si>
    <t>transaction_blueprint:TX-S03-0399</t>
  </si>
  <si>
    <t>FIN-TX-S03-0399</t>
  </si>
  <si>
    <t>transaction_blueprint:TX-S03-0400</t>
  </si>
  <si>
    <t>FIN-TX-S03-0400</t>
  </si>
  <si>
    <t>transaction_blueprint:TX-S03-0401</t>
  </si>
  <si>
    <t>FIN-TX-S03-0401</t>
  </si>
  <si>
    <t>transaction_blueprint:TX-S03-0402</t>
  </si>
  <si>
    <t>FIN-TX-S03-0402</t>
  </si>
  <si>
    <t>transaction_blueprint:TX-S03-0403</t>
  </si>
  <si>
    <t>FIN-TX-S03-0403</t>
  </si>
  <si>
    <t>transaction_blueprint:TX-S03-0404</t>
  </si>
  <si>
    <t>FIN-TX-S03-0404</t>
  </si>
  <si>
    <t>transaction_blueprint:TX-S03-0405</t>
  </si>
  <si>
    <t>FIN-TX-S03-0405</t>
  </si>
  <si>
    <t>transaction_blueprint:TX-S03-0406</t>
  </si>
  <si>
    <t>FIN-TX-S03-0406</t>
  </si>
  <si>
    <t>transaction_blueprint:TX-S03-0407</t>
  </si>
  <si>
    <t>FIN-TX-S03-0407</t>
  </si>
  <si>
    <t>transaction_blueprint:TX-S03-0408</t>
  </si>
  <si>
    <t>FIN-TX-S03-0408</t>
  </si>
  <si>
    <t>transaction_blueprint:TX-S03-0409</t>
  </si>
  <si>
    <t>FIN-TX-S03-0409</t>
  </si>
  <si>
    <t>transaction_blueprint:TX-S03-0410</t>
  </si>
  <si>
    <t>FIN-TX-S03-0410</t>
  </si>
  <si>
    <t>transaction_blueprint:TX-S03-0411</t>
  </si>
  <si>
    <t>FIN-TX-S03-0411</t>
  </si>
  <si>
    <t>transaction_blueprint:TX-S03-0412</t>
  </si>
  <si>
    <t>FIN-TX-S03-0412</t>
  </si>
  <si>
    <t>transaction_blueprint:TX-S03-0413</t>
  </si>
  <si>
    <t>FIN-TX-S03-0413</t>
  </si>
  <si>
    <t>transaction_blueprint:TX-S03-0414</t>
  </si>
  <si>
    <t>FIN-TX-S03-0414</t>
  </si>
  <si>
    <t>transaction_blueprint:TX-S03-0415</t>
  </si>
  <si>
    <t>FIN-TX-S03-0415</t>
  </si>
  <si>
    <t>transaction_blueprint:TX-S03-0416</t>
  </si>
  <si>
    <t>FIN-TX-S03-0416</t>
  </si>
  <si>
    <t>transaction_blueprint:TX-S03-0417</t>
  </si>
  <si>
    <t>FIN-TX-S03-0417</t>
  </si>
  <si>
    <t>transaction_blueprint:TX-S03-0418</t>
  </si>
  <si>
    <t>FIN-TX-S03-0418</t>
  </si>
  <si>
    <t>transaction_blueprint:TX-S03-0419</t>
  </si>
  <si>
    <t>FIN-TX-S03-0419</t>
  </si>
  <si>
    <t>transaction_blueprint:TX-S03-0420</t>
  </si>
  <si>
    <t>FIN-TX-S03-0420</t>
  </si>
  <si>
    <t>transaction_blueprint:TX-S03-0421</t>
  </si>
  <si>
    <t>FIN-TX-S03-0421</t>
  </si>
  <si>
    <t>transaction_blueprint:TX-S03-0422</t>
  </si>
  <si>
    <t>FIN-TX-S03-0422</t>
  </si>
  <si>
    <t>transaction_blueprint:TX-S03-0423</t>
  </si>
  <si>
    <t>FIN-TX-S03-0423</t>
  </si>
  <si>
    <t>transaction_blueprint:TX-S03-0424</t>
  </si>
  <si>
    <t>FIN-TX-S03-0424</t>
  </si>
  <si>
    <t>transaction_blueprint:TX-S03-0425</t>
  </si>
  <si>
    <t>FIN-TX-S03-0425</t>
  </si>
  <si>
    <t>transaction_blueprint:TX-S03-0426</t>
  </si>
  <si>
    <t>FIN-TX-S03-0426</t>
  </si>
  <si>
    <t>transaction_blueprint:TX-S03-0427</t>
  </si>
  <si>
    <t>FIN-TX-S03-0427</t>
  </si>
  <si>
    <t>transaction_blueprint:TX-S03-0428</t>
  </si>
  <si>
    <t>FIN-TX-S03-0428</t>
  </si>
  <si>
    <t>transaction_blueprint:TX-S03-0429</t>
  </si>
  <si>
    <t>FIN-TX-S03-0429</t>
  </si>
  <si>
    <t>transaction_blueprint:TX-S03-0430</t>
  </si>
  <si>
    <t>FIN-TX-S03-0430</t>
  </si>
  <si>
    <t>transaction_blueprint:TX-S03-0431</t>
  </si>
  <si>
    <t>FIN-TX-S03-0431</t>
  </si>
  <si>
    <t>transaction_blueprint:TX-S03-0432</t>
  </si>
  <si>
    <t>FIN-TX-S03-0432</t>
  </si>
  <si>
    <t>transaction_blueprint:TX-S03-0433</t>
  </si>
  <si>
    <t>FIN-TX-S03-0433</t>
  </si>
  <si>
    <t>transaction_blueprint:TX-S03-0434</t>
  </si>
  <si>
    <t>FIN-TX-S03-0434</t>
  </si>
  <si>
    <t>transaction_blueprint:TX-S03-0435</t>
  </si>
  <si>
    <t>FIN-TX-S03-0435</t>
  </si>
  <si>
    <t>transaction_blueprint:TX-S03-0436</t>
  </si>
  <si>
    <t>FIN-TX-S03-0436</t>
  </si>
  <si>
    <t>transaction_blueprint:TX-S03-0437</t>
  </si>
  <si>
    <t>FIN-TX-S03-0437</t>
  </si>
  <si>
    <t>transaction_blueprint:TX-S03-0438</t>
  </si>
  <si>
    <t>FIN-TX-S03-0438</t>
  </si>
  <si>
    <t>transaction_blueprint:TX-S03-0439</t>
  </si>
  <si>
    <t>FIN-TX-S03-0439</t>
  </si>
  <si>
    <t>transaction_blueprint:TX-S03-0440</t>
  </si>
  <si>
    <t>FIN-TX-S03-0440</t>
  </si>
  <si>
    <t>transaction_blueprint:TX-S03-0441</t>
  </si>
  <si>
    <t>FIN-TX-S03-0441</t>
  </si>
  <si>
    <t>transaction_blueprint:TX-S03-0442</t>
  </si>
  <si>
    <t>FIN-TX-S03-0442</t>
  </si>
  <si>
    <t>transaction_blueprint:TX-S03-0443</t>
  </si>
  <si>
    <t>FIN-TX-S03-0443</t>
  </si>
  <si>
    <t>transaction_blueprint:TX-S03-0444</t>
  </si>
  <si>
    <t>FIN-TX-S03-0444</t>
  </si>
  <si>
    <t>transaction_blueprint:TX-S03-0445</t>
  </si>
  <si>
    <t>FIN-TX-S03-0445</t>
  </si>
  <si>
    <t>transaction_blueprint:TX-S03-0446</t>
  </si>
  <si>
    <t>FIN-TX-S03-0446</t>
  </si>
  <si>
    <t>transaction_blueprint:TX-S03-0447</t>
  </si>
  <si>
    <t>FIN-TX-S03-0447</t>
  </si>
  <si>
    <t>transaction_blueprint:TX-S03-0448</t>
  </si>
  <si>
    <t>FIN-TX-S03-0448</t>
  </si>
  <si>
    <t>transaction_blueprint:TX-S03-0449</t>
  </si>
  <si>
    <t>FIN-TX-S03-0449</t>
  </si>
  <si>
    <t>transaction_blueprint:TX-S03-0450</t>
  </si>
  <si>
    <t>FIN-TX-S03-0450</t>
  </si>
  <si>
    <t>transaction_blueprint:TX-S03-0451</t>
  </si>
  <si>
    <t>FIN-TX-S03-0451</t>
  </si>
  <si>
    <t>transaction_blueprint:TX-S03-0452</t>
  </si>
  <si>
    <t>FIN-TX-S03-0452</t>
  </si>
  <si>
    <t>transaction_blueprint:TX-S03-0453</t>
  </si>
  <si>
    <t>FIN-TX-S03-0453</t>
  </si>
  <si>
    <t>transaction_blueprint:TX-S03-0454</t>
  </si>
  <si>
    <t>FIN-TX-S03-0454</t>
  </si>
  <si>
    <t>transaction_blueprint:TX-S03-0455</t>
  </si>
  <si>
    <t>FIN-TX-S03-0455</t>
  </si>
  <si>
    <t>transaction_blueprint:TX-S03-0456</t>
  </si>
  <si>
    <t>FIN-TX-S03-0456</t>
  </si>
  <si>
    <t>transaction_blueprint:TX-S03-0457</t>
  </si>
  <si>
    <t>FIN-TX-S03-0457</t>
  </si>
  <si>
    <t>transaction_blueprint:TX-S03-0458</t>
  </si>
  <si>
    <t>FIN-TX-S03-0458</t>
  </si>
  <si>
    <t>transaction_blueprint:TX-S03-0459</t>
  </si>
  <si>
    <t>FIN-TX-S03-0459</t>
  </si>
  <si>
    <t>transaction_blueprint:TX-S03-0460</t>
  </si>
  <si>
    <t>FIN-TX-S03-0460</t>
  </si>
  <si>
    <t>transaction_blueprint:TX-S03-0461</t>
  </si>
  <si>
    <t>FIN-TX-S03-0461</t>
  </si>
  <si>
    <t>transaction_blueprint:TX-S03-0462</t>
  </si>
  <si>
    <t>FIN-TX-S03-0462</t>
  </si>
  <si>
    <t>transaction_blueprint:TX-S03-0463</t>
  </si>
  <si>
    <t>FIN-TX-S03-0463</t>
  </si>
  <si>
    <t>transaction_blueprint:TX-S03-0464</t>
  </si>
  <si>
    <t>FIN-TX-S03-0464</t>
  </si>
  <si>
    <t>transaction_blueprint:TX-S03-0465</t>
  </si>
  <si>
    <t>FIN-TX-S03-0465</t>
  </si>
  <si>
    <t>transaction_blueprint:TX-S03-0466</t>
  </si>
  <si>
    <t>FIN-TX-S03-0466</t>
  </si>
  <si>
    <t>transaction_blueprint:TX-S03-0467</t>
  </si>
  <si>
    <t>FIN-TX-S03-0467</t>
  </si>
  <si>
    <t>transaction_blueprint:TX-S03-0468</t>
  </si>
  <si>
    <t>FIN-TX-S03-0468</t>
  </si>
  <si>
    <t>transaction_blueprint:TX-S03-0469</t>
  </si>
  <si>
    <t>FIN-TX-S03-0469</t>
  </si>
  <si>
    <t>transaction_blueprint:TX-S03-0470</t>
  </si>
  <si>
    <t>FIN-TX-S03-0470</t>
  </si>
  <si>
    <t>transaction_blueprint:TX-S03-0471</t>
  </si>
  <si>
    <t>FIN-TX-S03-0471</t>
  </si>
  <si>
    <t>transaction_blueprint:TX-S03-0472</t>
  </si>
  <si>
    <t>FIN-TX-S03-0472</t>
  </si>
  <si>
    <t>transaction_blueprint:TX-S03-0473</t>
  </si>
  <si>
    <t>FIN-TX-S03-0473</t>
  </si>
  <si>
    <t>transaction_blueprint:TX-S03-0474</t>
  </si>
  <si>
    <t>FIN-TX-S03-0474</t>
  </si>
  <si>
    <t>transaction_blueprint:TX-S03-0475</t>
  </si>
  <si>
    <t>FIN-TX-S03-0475</t>
  </si>
  <si>
    <t>transaction_blueprint:TX-S03-0476</t>
  </si>
  <si>
    <t>FIN-TX-S03-0476</t>
  </si>
  <si>
    <t>transaction_blueprint:TX-S03-0477</t>
  </si>
  <si>
    <t>FIN-TX-S03-0477</t>
  </si>
  <si>
    <t>transaction_blueprint:TX-S03-0478</t>
  </si>
  <si>
    <t>FIN-TX-S03-0478</t>
  </si>
  <si>
    <t>transaction_blueprint:TX-S03-0479</t>
  </si>
  <si>
    <t>FIN-TX-S03-0479</t>
  </si>
  <si>
    <t>transaction_blueprint:TX-S03-0480</t>
  </si>
  <si>
    <t>FIN-TX-S03-0480</t>
  </si>
  <si>
    <t>transaction_blueprint:TX-S03-0481</t>
  </si>
  <si>
    <t>FIN-TX-S03-0481</t>
  </si>
  <si>
    <t>transaction_blueprint:TX-S03-0482</t>
  </si>
  <si>
    <t>FIN-TX-S03-0482</t>
  </si>
  <si>
    <t>transaction_blueprint:TX-S03-0483</t>
  </si>
  <si>
    <t>FIN-TX-S03-0483</t>
  </si>
  <si>
    <t>transaction_blueprint:TX-S03-0484</t>
  </si>
  <si>
    <t>FIN-TX-S03-0484</t>
  </si>
  <si>
    <t>transaction_blueprint:TX-S03-0485</t>
  </si>
  <si>
    <t>FIN-TX-S03-0485</t>
  </si>
  <si>
    <t>transaction_blueprint:TX-S03-0486</t>
  </si>
  <si>
    <t>FIN-TX-S03-0486</t>
  </si>
  <si>
    <t>transaction_blueprint:TX-S03-0487</t>
  </si>
  <si>
    <t>FIN-TX-S03-0487</t>
  </si>
  <si>
    <t>transaction_blueprint:TX-S03-0488</t>
  </si>
  <si>
    <t>FIN-TX-S03-0488</t>
  </si>
  <si>
    <t>transaction_blueprint:TX-S03-0489</t>
  </si>
  <si>
    <t>FIN-TX-S03-0489</t>
  </si>
  <si>
    <t>transaction_blueprint:TX-S03-0490</t>
  </si>
  <si>
    <t>FIN-TX-S03-0490</t>
  </si>
  <si>
    <t>transaction_blueprint:TX-S03-0491</t>
  </si>
  <si>
    <t>FIN-TX-S03-0491</t>
  </si>
  <si>
    <t>transaction_blueprint:TX-S03-0492</t>
  </si>
  <si>
    <t>FIN-TX-S03-0492</t>
  </si>
  <si>
    <t>transaction_blueprint:TX-S03-0493</t>
  </si>
  <si>
    <t>FIN-TX-S03-0493</t>
  </si>
  <si>
    <t>transaction_blueprint:TX-S03-0494</t>
  </si>
  <si>
    <t>FIN-TX-S03-0494</t>
  </si>
  <si>
    <t>transaction_blueprint:TX-S03-0495</t>
  </si>
  <si>
    <t>FIN-TX-S03-0495</t>
  </si>
  <si>
    <t>transaction_blueprint:TX-S03-0496</t>
  </si>
  <si>
    <t>FIN-TX-S03-0496</t>
  </si>
  <si>
    <t>transaction_blueprint:TX-S03-0497</t>
  </si>
  <si>
    <t>FIN-TX-S03-0497</t>
  </si>
  <si>
    <t>transaction_blueprint:TX-S03-0498</t>
  </si>
  <si>
    <t>FIN-TX-S03-0498</t>
  </si>
  <si>
    <t>transaction_blueprint:TX-S03-0499</t>
  </si>
  <si>
    <t>FIN-TX-S03-0499</t>
  </si>
  <si>
    <t>transaction_blueprint:TX-S03-0500</t>
  </si>
  <si>
    <t>FIN-TX-S03-0500</t>
  </si>
  <si>
    <t>transaction_blueprint:TX-S03-0501</t>
  </si>
  <si>
    <t>FIN-TX-S03-0501</t>
  </si>
  <si>
    <t>transaction_blueprint:TX-S03-0502</t>
  </si>
  <si>
    <t>FIN-TX-S03-0502</t>
  </si>
  <si>
    <t>transaction_blueprint:TX-S03-0503</t>
  </si>
  <si>
    <t>FIN-TX-S03-0503</t>
  </si>
  <si>
    <t>transaction_blueprint:TX-S03-0504</t>
  </si>
  <si>
    <t>FIN-TX-S03-0504</t>
  </si>
  <si>
    <t>transaction_blueprint:TX-S03-0505</t>
  </si>
  <si>
    <t>FIN-TX-S03-0505</t>
  </si>
  <si>
    <t>transaction_blueprint:TX-S03-0506</t>
  </si>
  <si>
    <t>FIN-TX-S03-0506</t>
  </si>
  <si>
    <t>transaction_blueprint:TX-S03-0507</t>
  </si>
  <si>
    <t>FIN-TX-S03-0507</t>
  </si>
  <si>
    <t>transaction_blueprint:TX-S03-0508</t>
  </si>
  <si>
    <t>FIN-TX-S03-0508</t>
  </si>
  <si>
    <t>transaction_blueprint:TX-S03-0509</t>
  </si>
  <si>
    <t>FIN-TX-S03-0509</t>
  </si>
  <si>
    <t>transaction_blueprint:TX-S03-0510</t>
  </si>
  <si>
    <t>FIN-TX-S03-0510</t>
  </si>
  <si>
    <t>transaction_blueprint:TX-S03-0511</t>
  </si>
  <si>
    <t>FIN-TX-S03-0511</t>
  </si>
  <si>
    <t>transaction_blueprint:TX-S03-0512</t>
  </si>
  <si>
    <t>FIN-TX-S03-0512</t>
  </si>
  <si>
    <t>transaction_blueprint:TX-S03-0513</t>
  </si>
  <si>
    <t>FIN-TX-S03-0513</t>
  </si>
  <si>
    <t>transaction_blueprint:TX-S03-0514</t>
  </si>
  <si>
    <t>FIN-TX-S03-0514</t>
  </si>
  <si>
    <t>transaction_blueprint:TX-S03-0515</t>
  </si>
  <si>
    <t>FIN-TX-S03-0515</t>
  </si>
  <si>
    <t>transaction_blueprint:TX-S03-0516</t>
  </si>
  <si>
    <t>FIN-TX-S03-0516</t>
  </si>
  <si>
    <t>transaction_blueprint:TX-S03-0517</t>
  </si>
  <si>
    <t>FIN-TX-S03-0517</t>
  </si>
  <si>
    <t>transaction_blueprint:TX-S03-0518</t>
  </si>
  <si>
    <t>FIN-TX-S03-0518</t>
  </si>
  <si>
    <t>transaction_blueprint:TX-S03-0519</t>
  </si>
  <si>
    <t>FIN-TX-S03-0519</t>
  </si>
  <si>
    <t>transaction_blueprint:TX-S03-0520</t>
  </si>
  <si>
    <t>FIN-TX-S03-0520</t>
  </si>
  <si>
    <t>transaction_blueprint:TX-S03-0521</t>
  </si>
  <si>
    <t>FIN-TX-S03-0521</t>
  </si>
  <si>
    <t>transaction_blueprint:TX-S03-0522</t>
  </si>
  <si>
    <t>FIN-TX-S03-0522</t>
  </si>
  <si>
    <t>transaction_blueprint:TX-S03-0523</t>
  </si>
  <si>
    <t>FIN-TX-S03-0523</t>
  </si>
  <si>
    <t>transaction_blueprint:TX-S03-0524</t>
  </si>
  <si>
    <t>FIN-TX-S03-0524</t>
  </si>
  <si>
    <t>transaction_blueprint:TX-S03-0525</t>
  </si>
  <si>
    <t>FIN-TX-S03-0525</t>
  </si>
  <si>
    <t>transaction_blueprint:TX-S03-0526</t>
  </si>
  <si>
    <t>FIN-TX-S03-0526</t>
  </si>
  <si>
    <t>transaction_blueprint:TX-S03-0527</t>
  </si>
  <si>
    <t>FIN-TX-S03-0527</t>
  </si>
  <si>
    <t>transaction_blueprint:TX-S03-0528</t>
  </si>
  <si>
    <t>FIN-TX-S03-0528</t>
  </si>
  <si>
    <t>transaction_blueprint:TX-S03-0529</t>
  </si>
  <si>
    <t>FIN-TX-S03-0529</t>
  </si>
  <si>
    <t>transaction_blueprint:TX-S03-0530</t>
  </si>
  <si>
    <t>FIN-TX-S03-0530</t>
  </si>
  <si>
    <t>transaction_blueprint:TX-S03-0531</t>
  </si>
  <si>
    <t>FIN-TX-S03-0531</t>
  </si>
  <si>
    <t>transaction_blueprint:TX-S03-0532</t>
  </si>
  <si>
    <t>FIN-TX-S03-0532</t>
  </si>
  <si>
    <t>transaction_blueprint:TX-S03-0533</t>
  </si>
  <si>
    <t>FIN-TX-S03-0533</t>
  </si>
  <si>
    <t>transaction_blueprint:TX-S03-0534</t>
  </si>
  <si>
    <t>FIN-TX-S03-0534</t>
  </si>
  <si>
    <t>transaction_blueprint:TX-S03-0535</t>
  </si>
  <si>
    <t>FIN-TX-S03-0535</t>
  </si>
  <si>
    <t>transaction_blueprint:TX-S03-0536</t>
  </si>
  <si>
    <t>FIN-TX-S03-0536</t>
  </si>
  <si>
    <t>transaction_blueprint:TX-S03-0537</t>
  </si>
  <si>
    <t>FIN-TX-S03-0537</t>
  </si>
  <si>
    <t>transaction_blueprint:TX-S03-0538</t>
  </si>
  <si>
    <t>FIN-TX-S03-0538</t>
  </si>
  <si>
    <t>transaction_blueprint:TX-S03-0539</t>
  </si>
  <si>
    <t>FIN-TX-S03-0539</t>
  </si>
  <si>
    <t>transaction_blueprint:TX-S03-0540</t>
  </si>
  <si>
    <t>FIN-TX-S03-0540</t>
  </si>
  <si>
    <t>transaction_blueprint:TX-S03-0541</t>
  </si>
  <si>
    <t>FIN-TX-S03-0541</t>
  </si>
  <si>
    <t>transaction_blueprint:TX-S03-0542</t>
  </si>
  <si>
    <t>FIN-TX-S03-0542</t>
  </si>
  <si>
    <t>transaction_blueprint:TX-S03-0543</t>
  </si>
  <si>
    <t>FIN-TX-S03-0543</t>
  </si>
  <si>
    <t>transaction_blueprint:TX-S03-0544</t>
  </si>
  <si>
    <t>FIN-TX-S03-0544</t>
  </si>
  <si>
    <t>transaction_blueprint:TX-S03-0545</t>
  </si>
  <si>
    <t>FIN-TX-S03-0545</t>
  </si>
  <si>
    <t>transaction_blueprint:TX-S03-0546</t>
  </si>
  <si>
    <t>FIN-TX-S03-0546</t>
  </si>
  <si>
    <t>transaction_blueprint:TX-S03-0547</t>
  </si>
  <si>
    <t>FIN-TX-S03-0547</t>
  </si>
  <si>
    <t>transaction_blueprint:TX-S03-0548</t>
  </si>
  <si>
    <t>FIN-TX-S03-0548</t>
  </si>
  <si>
    <t>transaction_blueprint:TX-S03-0549</t>
  </si>
  <si>
    <t>FIN-TX-S03-0549</t>
  </si>
  <si>
    <t>transaction_blueprint:TX-S03-0550</t>
  </si>
  <si>
    <t>FIN-TX-S03-0550</t>
  </si>
  <si>
    <t>transaction_blueprint:TX-S03-0551</t>
  </si>
  <si>
    <t>FIN-TX-S03-0551</t>
  </si>
  <si>
    <t>transaction_blueprint:TX-S03-0552</t>
  </si>
  <si>
    <t>FIN-TX-S03-0552</t>
  </si>
  <si>
    <t>transaction_blueprint:TX-S03-0553</t>
  </si>
  <si>
    <t>FIN-TX-S03-0553</t>
  </si>
  <si>
    <t>transaction_blueprint:TX-S03-0554</t>
  </si>
  <si>
    <t>FIN-TX-S03-0554</t>
  </si>
  <si>
    <t>transaction_blueprint:TX-S03-0555</t>
  </si>
  <si>
    <t>FIN-TX-S03-0555</t>
  </si>
  <si>
    <t>transaction_blueprint:TX-S03-0556</t>
  </si>
  <si>
    <t>FIN-TX-S03-0556</t>
  </si>
  <si>
    <t>transaction_blueprint:TX-S03-0557</t>
  </si>
  <si>
    <t>FIN-TX-S03-0557</t>
  </si>
  <si>
    <t>transaction_blueprint:TX-S03-0558</t>
  </si>
  <si>
    <t>FIN-TX-S03-0558</t>
  </si>
  <si>
    <t>transaction_blueprint:TX-S03-0559</t>
  </si>
  <si>
    <t>FIN-TX-S03-0559</t>
  </si>
  <si>
    <t>transaction_blueprint:TX-S03-0560</t>
  </si>
  <si>
    <t>FIN-TX-S03-0560</t>
  </si>
  <si>
    <t>transaction_blueprint:TX-S03-0561</t>
  </si>
  <si>
    <t>FIN-TX-S03-0561</t>
  </si>
  <si>
    <t>transaction_blueprint:TX-S03-0562</t>
  </si>
  <si>
    <t>FIN-TX-S03-0562</t>
  </si>
  <si>
    <t>transaction_blueprint:TX-S03-0563</t>
  </si>
  <si>
    <t>FIN-TX-S03-0563</t>
  </si>
  <si>
    <t>transaction_blueprint:TX-S03-0564</t>
  </si>
  <si>
    <t>FIN-TX-S03-0564</t>
  </si>
  <si>
    <t>transaction_blueprint:TX-S03-0565</t>
  </si>
  <si>
    <t>FIN-TX-S03-0565</t>
  </si>
  <si>
    <t>transaction_blueprint:TX-S03-0566</t>
  </si>
  <si>
    <t>FIN-TX-S03-0566</t>
  </si>
  <si>
    <t>transaction_blueprint:TX-S03-0567</t>
  </si>
  <si>
    <t>FIN-TX-S03-0567</t>
  </si>
  <si>
    <t>transaction_blueprint:TX-S03-0568</t>
  </si>
  <si>
    <t>FIN-TX-S03-0568</t>
  </si>
  <si>
    <t>transaction_blueprint:TX-S03-0569</t>
  </si>
  <si>
    <t>FIN-TX-S03-0569</t>
  </si>
  <si>
    <t>transaction_blueprint:TX-S03-0570</t>
  </si>
  <si>
    <t>FIN-TX-S03-0570</t>
  </si>
  <si>
    <t>transaction_blueprint:TX-S03-0571</t>
  </si>
  <si>
    <t>FIN-TX-S03-0571</t>
  </si>
  <si>
    <t>transaction_blueprint:TX-S03-0572</t>
  </si>
  <si>
    <t>FIN-TX-S03-0572</t>
  </si>
  <si>
    <t>transaction_blueprint:TX-S03-0573</t>
  </si>
  <si>
    <t>FIN-TX-S03-0573</t>
  </si>
  <si>
    <t>transaction_blueprint:TX-S03-0574</t>
  </si>
  <si>
    <t>FIN-TX-S03-0574</t>
  </si>
  <si>
    <t>transaction_blueprint:TX-S03-0575</t>
  </si>
  <si>
    <t>FIN-TX-S03-0575</t>
  </si>
  <si>
    <t>transaction_blueprint:TX-S03-0576</t>
  </si>
  <si>
    <t>FIN-TX-S03-0576</t>
  </si>
  <si>
    <t>transaction_blueprint:TX-S03-0577</t>
  </si>
  <si>
    <t>FIN-TX-S03-0577</t>
  </si>
  <si>
    <t>transaction_blueprint:TX-S03-0578</t>
  </si>
  <si>
    <t>FIN-TX-S03-0578</t>
  </si>
  <si>
    <t>transaction_blueprint:TX-S03-0579</t>
  </si>
  <si>
    <t>FIN-TX-S03-0579</t>
  </si>
  <si>
    <t>transaction_blueprint:TX-S03-0580</t>
  </si>
  <si>
    <t>FIN-TX-S03-0580</t>
  </si>
  <si>
    <t>transaction_blueprint:TX-S03-0581</t>
  </si>
  <si>
    <t>FIN-TX-S03-0581</t>
  </si>
  <si>
    <t>transaction_blueprint:TX-S03-0582</t>
  </si>
  <si>
    <t>FIN-TX-S03-0582</t>
  </si>
  <si>
    <t>transaction_blueprint:TX-S03-0583</t>
  </si>
  <si>
    <t>FIN-TX-S03-0583</t>
  </si>
  <si>
    <t>transaction_blueprint:TX-S03-0584</t>
  </si>
  <si>
    <t>FIN-TX-S03-0584</t>
  </si>
  <si>
    <t>transaction_blueprint:TX-S03-0585</t>
  </si>
  <si>
    <t>FIN-TX-S03-0585</t>
  </si>
  <si>
    <t>transaction_blueprint:TX-S03-0586</t>
  </si>
  <si>
    <t>FIN-TX-S03-0586</t>
  </si>
  <si>
    <t>transaction_blueprint:TX-S03-0587</t>
  </si>
  <si>
    <t>FIN-TX-S03-0587</t>
  </si>
  <si>
    <t>transaction_blueprint:TX-S03-0588</t>
  </si>
  <si>
    <t>FIN-TX-S03-0588</t>
  </si>
  <si>
    <t>transaction_blueprint:TX-S03-0589</t>
  </si>
  <si>
    <t>FIN-TX-S03-0589</t>
  </si>
  <si>
    <t>transaction_blueprint:TX-S03-0590</t>
  </si>
  <si>
    <t>FIN-TX-S03-0590</t>
  </si>
  <si>
    <t>transaction_blueprint:TX-S03-0591</t>
  </si>
  <si>
    <t>FIN-TX-S03-0591</t>
  </si>
  <si>
    <t>transaction_blueprint:TX-S03-0592</t>
  </si>
  <si>
    <t>FIN-TX-S03-0592</t>
  </si>
  <si>
    <t>transaction_blueprint:TX-S03-0593</t>
  </si>
  <si>
    <t>FIN-TX-S03-0593</t>
  </si>
  <si>
    <t>transaction_blueprint:TX-S03-0594</t>
  </si>
  <si>
    <t>FIN-TX-S03-0594</t>
  </si>
  <si>
    <t>transaction_blueprint:TX-S03-0595</t>
  </si>
  <si>
    <t>FIN-TX-S03-0595</t>
  </si>
  <si>
    <t>transaction_blueprint:TX-S03-0596</t>
  </si>
  <si>
    <t>FIN-TX-S03-0596</t>
  </si>
  <si>
    <t>transaction_blueprint:TX-S03-0597</t>
  </si>
  <si>
    <t>FIN-TX-S03-0597</t>
  </si>
  <si>
    <t>transaction_blueprint:TX-S03-0598</t>
  </si>
  <si>
    <t>FIN-TX-S03-0598</t>
  </si>
  <si>
    <t>transaction_blueprint:TX-S03-0599</t>
  </si>
  <si>
    <t>FIN-TX-S03-0599</t>
  </si>
  <si>
    <t>transaction_blueprint:TX-S03-0600</t>
  </si>
  <si>
    <t>FIN-TX-S03-0600</t>
  </si>
  <si>
    <t>transaction_blueprint:TX-S03-0601</t>
  </si>
  <si>
    <t>FIN-TX-S03-0601</t>
  </si>
  <si>
    <t>transaction_blueprint:TX-S03-0602</t>
  </si>
  <si>
    <t>FIN-TX-S03-0602</t>
  </si>
  <si>
    <t>transaction_blueprint:TX-S03-0603</t>
  </si>
  <si>
    <t>FIN-TX-S03-0603</t>
  </si>
  <si>
    <t>transaction_blueprint:TX-S03-0604</t>
  </si>
  <si>
    <t>FIN-TX-S03-0604</t>
  </si>
  <si>
    <t>transaction_blueprint:TX-S03-0605</t>
  </si>
  <si>
    <t>FIN-TX-S03-0605</t>
  </si>
  <si>
    <t>transaction_blueprint:TX-S03-0606</t>
  </si>
  <si>
    <t>FIN-TX-S03-0606</t>
  </si>
  <si>
    <t>transaction_blueprint:TX-S03-0607</t>
  </si>
  <si>
    <t>FIN-TX-S03-0607</t>
  </si>
  <si>
    <t>transaction_blueprint:TX-S03-0608</t>
  </si>
  <si>
    <t>FIN-TX-S03-0608</t>
  </si>
  <si>
    <t>transaction_blueprint:TX-S03-0609</t>
  </si>
  <si>
    <t>FIN-TX-S03-0609</t>
  </si>
  <si>
    <t>transaction_blueprint:TX-S03-0610</t>
  </si>
  <si>
    <t>FIN-TX-S03-0610</t>
  </si>
  <si>
    <t>transaction_blueprint:TX-S03-0611</t>
  </si>
  <si>
    <t>FIN-TX-S03-0611</t>
  </si>
  <si>
    <t>transaction_blueprint:TX-S03-0612</t>
  </si>
  <si>
    <t>FIN-TX-S03-0612</t>
  </si>
  <si>
    <t>transaction_blueprint:TX-S03-0613</t>
  </si>
  <si>
    <t>FIN-TX-S03-0613</t>
  </si>
  <si>
    <t>transaction_blueprint:TX-S03-0614</t>
  </si>
  <si>
    <t>FIN-TX-S03-0614</t>
  </si>
  <si>
    <t>transaction_blueprint:TX-S03-0615</t>
  </si>
  <si>
    <t>FIN-TX-S03-0615</t>
  </si>
  <si>
    <t>transaction_blueprint:TX-S03-0616</t>
  </si>
  <si>
    <t>FIN-TX-S03-0616</t>
  </si>
  <si>
    <t>transaction_blueprint:TX-S03-0617</t>
  </si>
  <si>
    <t>FIN-TX-S03-0617</t>
  </si>
  <si>
    <t>transaction_blueprint:TX-S03-0618</t>
  </si>
  <si>
    <t>FIN-TX-S03-0618</t>
  </si>
  <si>
    <t>transaction_blueprint:TX-S03-0619</t>
  </si>
  <si>
    <t>FIN-TX-S03-0619</t>
  </si>
  <si>
    <t>transaction_blueprint:TX-S03-0620</t>
  </si>
  <si>
    <t>FIN-TX-S03-0620</t>
  </si>
  <si>
    <t>transaction_blueprint:TX-S03-0621</t>
  </si>
  <si>
    <t>FIN-TX-S03-0621</t>
  </si>
  <si>
    <t>transaction_blueprint:TX-S03-0622</t>
  </si>
  <si>
    <t>FIN-TX-S03-0622</t>
  </si>
  <si>
    <t>transaction_blueprint:TX-S03-0623</t>
  </si>
  <si>
    <t>FIN-TX-S03-0623</t>
  </si>
  <si>
    <t>transaction_blueprint:TX-S03-0624</t>
  </si>
  <si>
    <t>FIN-TX-S03-0624</t>
  </si>
  <si>
    <t>transaction_blueprint:TX-S03-0625</t>
  </si>
  <si>
    <t>FIN-TX-S03-0625</t>
  </si>
  <si>
    <t>transaction_blueprint:TX-S03-0626</t>
  </si>
  <si>
    <t>FIN-TX-S03-0626</t>
  </si>
  <si>
    <t>transaction_blueprint:TX-S03-0627</t>
  </si>
  <si>
    <t>FIN-TX-S03-0627</t>
  </si>
  <si>
    <t>transaction_blueprint:TX-S03-0628</t>
  </si>
  <si>
    <t>FIN-TX-S03-0628</t>
  </si>
  <si>
    <t>transaction_blueprint:TX-S03-0629</t>
  </si>
  <si>
    <t>FIN-TX-S03-0629</t>
  </si>
  <si>
    <t>transaction_blueprint:TX-S03-0630</t>
  </si>
  <si>
    <t>FIN-TX-S03-0630</t>
  </si>
  <si>
    <t>transaction_blueprint:TX-S03-0631</t>
  </si>
  <si>
    <t>FIN-TX-S03-0631</t>
  </si>
  <si>
    <t>transaction_blueprint:TX-S03-0632</t>
  </si>
  <si>
    <t>FIN-TX-S03-0632</t>
  </si>
  <si>
    <t>transaction_blueprint:TX-S03-0633</t>
  </si>
  <si>
    <t>FIN-TX-S03-0633</t>
  </si>
  <si>
    <t>transaction_blueprint:TX-S03-0634</t>
  </si>
  <si>
    <t>FIN-TX-S03-0634</t>
  </si>
  <si>
    <t>transaction_blueprint:TX-S03-0635</t>
  </si>
  <si>
    <t>FIN-TX-S03-0635</t>
  </si>
  <si>
    <t>transaction_blueprint:TX-S03-0636</t>
  </si>
  <si>
    <t>FIN-TX-S03-0636</t>
  </si>
  <si>
    <t>transaction_blueprint:TX-S03-0637</t>
  </si>
  <si>
    <t>FIN-TX-S03-0637</t>
  </si>
  <si>
    <t>transaction_blueprint:TX-S03-0638</t>
  </si>
  <si>
    <t>FIN-TX-S03-0638</t>
  </si>
  <si>
    <t>transaction_blueprint:TX-S03-0639</t>
  </si>
  <si>
    <t>FIN-TX-S03-0639</t>
  </si>
  <si>
    <t>transaction_blueprint:TX-S03-0640</t>
  </si>
  <si>
    <t>FIN-TX-S03-0640</t>
  </si>
  <si>
    <t>transaction_blueprint:TX-S03-0641</t>
  </si>
  <si>
    <t>FIN-TX-S03-0641</t>
  </si>
  <si>
    <t>transaction_blueprint:TX-S03-0642</t>
  </si>
  <si>
    <t>FIN-TX-S03-0642</t>
  </si>
  <si>
    <t>transaction_blueprint:TX-S03-0643</t>
  </si>
  <si>
    <t>FIN-TX-S03-0643</t>
  </si>
  <si>
    <t>transaction_blueprint:TX-S03-0644</t>
  </si>
  <si>
    <t>FIN-TX-S03-0644</t>
  </si>
  <si>
    <t>transaction_blueprint:TX-S03-0645</t>
  </si>
  <si>
    <t>FIN-TX-S03-0645</t>
  </si>
  <si>
    <t>transaction_blueprint:TX-S03-0646</t>
  </si>
  <si>
    <t>FIN-TX-S03-0646</t>
  </si>
  <si>
    <t>transaction_blueprint:TX-S03-0647</t>
  </si>
  <si>
    <t>FIN-TX-S03-0647</t>
  </si>
  <si>
    <t>transaction_blueprint:TX-S03-0648</t>
  </si>
  <si>
    <t>FIN-TX-S03-0648</t>
  </si>
  <si>
    <t>transaction_blueprint:TX-S03-0649</t>
  </si>
  <si>
    <t>FIN-TX-S03-0649</t>
  </si>
  <si>
    <t>transaction_blueprint:TX-S03-0650</t>
  </si>
  <si>
    <t>FIN-TX-S03-0650</t>
  </si>
  <si>
    <t>transaction_blueprint:TX-S03-0651</t>
  </si>
  <si>
    <t>FIN-TX-S03-0651</t>
  </si>
  <si>
    <t>transaction_blueprint:TX-S03-0652</t>
  </si>
  <si>
    <t>FIN-TX-S03-0652</t>
  </si>
  <si>
    <t>transaction_blueprint:TX-S03-0653</t>
  </si>
  <si>
    <t>FIN-TX-S03-0653</t>
  </si>
  <si>
    <t>transaction_blueprint:TX-S03-0654</t>
  </si>
  <si>
    <t>FIN-TX-S03-0654</t>
  </si>
  <si>
    <t>transaction_blueprint:TX-S03-0655</t>
  </si>
  <si>
    <t>FIN-TX-S03-0655</t>
  </si>
  <si>
    <t>transaction_blueprint:TX-S03-0656</t>
  </si>
  <si>
    <t>FIN-TX-S03-0656</t>
  </si>
  <si>
    <t>transaction_blueprint:TX-S03-0657</t>
  </si>
  <si>
    <t>FIN-TX-S03-0657</t>
  </si>
  <si>
    <t>transaction_blueprint:TX-S03-0658</t>
  </si>
  <si>
    <t>FIN-TX-S03-0658</t>
  </si>
  <si>
    <t>transaction_blueprint:TX-S03-0659</t>
  </si>
  <si>
    <t>FIN-TX-S03-0659</t>
  </si>
  <si>
    <t>transaction_blueprint:TX-S03-0660</t>
  </si>
  <si>
    <t>FIN-TX-S03-0660</t>
  </si>
  <si>
    <t>transaction_blueprint:TX-S03-0661</t>
  </si>
  <si>
    <t>FIN-TX-S03-0661</t>
  </si>
  <si>
    <t>transaction_blueprint:TX-S03-0662</t>
  </si>
  <si>
    <t>FIN-TX-S03-0662</t>
  </si>
  <si>
    <t>transaction_blueprint:TX-S03-0663</t>
  </si>
  <si>
    <t>FIN-TX-S03-0663</t>
  </si>
  <si>
    <t>transaction_blueprint:TX-S03-0664</t>
  </si>
  <si>
    <t>FIN-TX-S03-0664</t>
  </si>
  <si>
    <t>transaction_blueprint:TX-S03-0665</t>
  </si>
  <si>
    <t>FIN-TX-S03-0665</t>
  </si>
  <si>
    <t>transaction_blueprint:TX-S03-0666</t>
  </si>
  <si>
    <t>FIN-TX-S03-0666</t>
  </si>
  <si>
    <t>GoldSale</t>
  </si>
  <si>
    <t>4000</t>
  </si>
  <si>
    <t>DELIVERY-S01-2026-06-1</t>
  </si>
  <si>
    <t>APP-SALE-2026-06</t>
  </si>
  <si>
    <t>INV-SALE-S01-2026-06-01</t>
  </si>
  <si>
    <t>DELIVERY-S01-2026-06-2</t>
  </si>
  <si>
    <t>INV-SALE-S01-2026-06-02</t>
  </si>
  <si>
    <t>DELIVERY-S01-2026-06-3</t>
  </si>
  <si>
    <t>INV-SALE-S01-2026-06-03</t>
  </si>
  <si>
    <t>DELIVERY-S01-2026-06-4</t>
  </si>
  <si>
    <t>INV-SALE-S01-2026-06-04</t>
  </si>
  <si>
    <t>DELIVERY-S01-2026-07-1</t>
  </si>
  <si>
    <t>APP-SALE-2026-07</t>
  </si>
  <si>
    <t>INV-SALE-S01-2026-07-01</t>
  </si>
  <si>
    <t>DELIVERY-S01-2026-07-2</t>
  </si>
  <si>
    <t>INV-SALE-S01-2026-07-02</t>
  </si>
  <si>
    <t>DELIVERY-S01-2026-07-3</t>
  </si>
  <si>
    <t>INV-SALE-S01-2026-07-03</t>
  </si>
  <si>
    <t>DELIVERY-S02-2026-06-1</t>
  </si>
  <si>
    <t>INV-SALE-S02-2026-06-01</t>
  </si>
  <si>
    <t>DELIVERY-S02-2026-06-2</t>
  </si>
  <si>
    <t>INV-SALE-S02-2026-06-02</t>
  </si>
  <si>
    <t>DELIVERY-S02-2026-06-3</t>
  </si>
  <si>
    <t>INV-SALE-S02-2026-06-03</t>
  </si>
  <si>
    <t>DELIVERY-S02-2026-06-4</t>
  </si>
  <si>
    <t>INV-SALE-S02-2026-06-04</t>
  </si>
  <si>
    <t>DELIVERY-S02-2026-07-1</t>
  </si>
  <si>
    <t>INV-SALE-S02-2026-07-01</t>
  </si>
  <si>
    <t>DELIVERY-S02-2026-07-2</t>
  </si>
  <si>
    <t>INV-SALE-S02-2026-07-02</t>
  </si>
  <si>
    <t>DELIVERY-S02-2026-07-3</t>
  </si>
  <si>
    <t>INV-SALE-S02-2026-07-03</t>
  </si>
  <si>
    <t>DELIVERY-S02-2026-07-4</t>
  </si>
  <si>
    <t>INV-SALE-S02-2026-07-04</t>
  </si>
  <si>
    <t>1100</t>
  </si>
  <si>
    <t>APP-COLL-2026-06</t>
  </si>
  <si>
    <t>STMT-REFINER-S01-2026-06</t>
  </si>
  <si>
    <t>APP-COLL-2026-07</t>
  </si>
  <si>
    <t>STMT-REFINER-S01-2026-07</t>
  </si>
  <si>
    <t>STMT-REFINER-S02-2026-06</t>
  </si>
  <si>
    <t>STMT-REFINER-S02-2026-07</t>
  </si>
  <si>
    <t>2100</t>
  </si>
  <si>
    <t>APP-PAY-2026-06</t>
  </si>
  <si>
    <t>STMT-TR-S01-2026-06</t>
  </si>
  <si>
    <t>APP-PAY-2026-07</t>
  </si>
  <si>
    <t>STMT-TR-S01-2026-07</t>
  </si>
  <si>
    <t>STMT-TR-S02-2026-06</t>
  </si>
  <si>
    <t>STMT-TR-S02-2026-07</t>
  </si>
  <si>
    <t>STMT-TR-S03-2026-06</t>
  </si>
  <si>
    <t>STMT-TR-S03-2026-07</t>
  </si>
  <si>
    <t>PROD-S01-0601</t>
  </si>
  <si>
    <t>PROD-REPORT-S01-0601</t>
  </si>
  <si>
    <t>APP-OPS-2026-06</t>
  </si>
  <si>
    <t>PROD-S01-0602</t>
  </si>
  <si>
    <t>PROD-REPORT-S01-0602</t>
  </si>
  <si>
    <t>PROD-S01-0603</t>
  </si>
  <si>
    <t>PROD-REPORT-S01-0603</t>
  </si>
  <si>
    <t>PROD-S01-0604</t>
  </si>
  <si>
    <t>PROD-REPORT-S01-0604</t>
  </si>
  <si>
    <t>PROD-S01-0605</t>
  </si>
  <si>
    <t>PROD-REPORT-S01-0605</t>
  </si>
  <si>
    <t>PROD-S01-0606</t>
  </si>
  <si>
    <t>PROD-REPORT-S01-0606</t>
  </si>
  <si>
    <t>PROD-S01-0607</t>
  </si>
  <si>
    <t>PROD-REPORT-S01-0607</t>
  </si>
  <si>
    <t>PROD-S01-0608</t>
  </si>
  <si>
    <t>PROD-REPORT-S01-0608</t>
  </si>
  <si>
    <t>PROD-S01-0609</t>
  </si>
  <si>
    <t>PROD-REPORT-S01-0609</t>
  </si>
  <si>
    <t>PROD-S01-0610</t>
  </si>
  <si>
    <t>PROD-REPORT-S01-0610</t>
  </si>
  <si>
    <t>PROD-S01-0611</t>
  </si>
  <si>
    <t>PROD-REPORT-S01-0611</t>
  </si>
  <si>
    <t>PROD-S01-0612</t>
  </si>
  <si>
    <t>PROD-REPORT-S01-0612</t>
  </si>
  <si>
    <t>PROD-S01-0613</t>
  </si>
  <si>
    <t>PROD-REPORT-S01-0613</t>
  </si>
  <si>
    <t>PROD-S01-0614</t>
  </si>
  <si>
    <t>PROD-REPORT-S01-0614</t>
  </si>
  <si>
    <t>PROD-S01-0615</t>
  </si>
  <si>
    <t>PROD-REPORT-S01-0615</t>
  </si>
  <si>
    <t>PROD-S01-0616</t>
  </si>
  <si>
    <t>PROD-REPORT-S01-0616</t>
  </si>
  <si>
    <t>PROD-S01-0617</t>
  </si>
  <si>
    <t>PROD-REPORT-S01-0617</t>
  </si>
  <si>
    <t>PROD-S01-0618</t>
  </si>
  <si>
    <t>PROD-REPORT-S01-0618</t>
  </si>
  <si>
    <t>PROD-S01-0619</t>
  </si>
  <si>
    <t>PROD-REPORT-S01-0619</t>
  </si>
  <si>
    <t>PROD-S01-0620</t>
  </si>
  <si>
    <t>PROD-REPORT-S01-0620</t>
  </si>
  <si>
    <t>PROD-S01-0621</t>
  </si>
  <si>
    <t>PROD-REPORT-S01-0621</t>
  </si>
  <si>
    <t>PROD-S01-0622</t>
  </si>
  <si>
    <t>PROD-REPORT-S01-0622</t>
  </si>
  <si>
    <t>PROD-S01-0623</t>
  </si>
  <si>
    <t>PROD-REPORT-S01-0623</t>
  </si>
  <si>
    <t>PROD-S01-0624</t>
  </si>
  <si>
    <t>PROD-REPORT-S01-0624</t>
  </si>
  <si>
    <t>PROD-S01-0625</t>
  </si>
  <si>
    <t>PROD-REPORT-S01-0625</t>
  </si>
  <si>
    <t>PROD-S01-0626</t>
  </si>
  <si>
    <t>PROD-REPORT-S01-0626</t>
  </si>
  <si>
    <t>PROD-S01-0627</t>
  </si>
  <si>
    <t>PROD-REPORT-S01-0627</t>
  </si>
  <si>
    <t>PROD-S01-0628</t>
  </si>
  <si>
    <t>PROD-REPORT-S01-0628</t>
  </si>
  <si>
    <t>PROD-S01-0629</t>
  </si>
  <si>
    <t>PROD-REPORT-S01-0629</t>
  </si>
  <si>
    <t>PROD-S01-0630</t>
  </si>
  <si>
    <t>PROD-REPORT-S01-0630</t>
  </si>
  <si>
    <t>PROD-S01-0701</t>
  </si>
  <si>
    <t>PROD-REPORT-S01-0701</t>
  </si>
  <si>
    <t>APP-OPS-2026-07</t>
  </si>
  <si>
    <t>PROD-S01-0702</t>
  </si>
  <si>
    <t>PROD-REPORT-S01-0702</t>
  </si>
  <si>
    <t>PROD-S01-0703</t>
  </si>
  <si>
    <t>PROD-REPORT-S01-0703</t>
  </si>
  <si>
    <t>PROD-S01-0704</t>
  </si>
  <si>
    <t>PROD-REPORT-S01-0704</t>
  </si>
  <si>
    <t>PROD-S01-0705</t>
  </si>
  <si>
    <t>PROD-REPORT-S01-0705</t>
  </si>
  <si>
    <t>PROD-S01-0706</t>
  </si>
  <si>
    <t>PROD-REPORT-S01-0706</t>
  </si>
  <si>
    <t>PROD-S01-0707</t>
  </si>
  <si>
    <t>PROD-REPORT-S01-0707</t>
  </si>
  <si>
    <t>PROD-S01-0708</t>
  </si>
  <si>
    <t>PROD-REPORT-S01-0708</t>
  </si>
  <si>
    <t>PROD-S01-0709</t>
  </si>
  <si>
    <t>PROD-REPORT-S01-0709</t>
  </si>
  <si>
    <t>PROD-S01-0710</t>
  </si>
  <si>
    <t>PROD-REPORT-S01-0710</t>
  </si>
  <si>
    <t>PROD-S01-0711</t>
  </si>
  <si>
    <t>PROD-REPORT-S01-0711</t>
  </si>
  <si>
    <t>PROD-S01-0712</t>
  </si>
  <si>
    <t>PROD-REPORT-S01-0712</t>
  </si>
  <si>
    <t>PROD-S01-0713</t>
  </si>
  <si>
    <t>PROD-REPORT-S01-0713</t>
  </si>
  <si>
    <t>PROD-S01-0714</t>
  </si>
  <si>
    <t>PROD-REPORT-S01-0714</t>
  </si>
  <si>
    <t>PROD-S01-0715</t>
  </si>
  <si>
    <t>PROD-REPORT-S01-0715</t>
  </si>
  <si>
    <t>PROD-S01-0716</t>
  </si>
  <si>
    <t>PROD-REPORT-S01-0716</t>
  </si>
  <si>
    <t>PROD-S01-0717</t>
  </si>
  <si>
    <t>PROD-REPORT-S01-0717</t>
  </si>
  <si>
    <t>PROD-S01-0718</t>
  </si>
  <si>
    <t>PROD-REPORT-S01-0718</t>
  </si>
  <si>
    <t>PROD-S01-0719</t>
  </si>
  <si>
    <t>PROD-REPORT-S01-0719</t>
  </si>
  <si>
    <t>PROD-S01-0720</t>
  </si>
  <si>
    <t>PROD-REPORT-S01-0720</t>
  </si>
  <si>
    <t>PROD-S01-0721</t>
  </si>
  <si>
    <t>PROD-REPORT-S01-0721</t>
  </si>
  <si>
    <t>PROD-S01-0722</t>
  </si>
  <si>
    <t>PROD-REPORT-S01-0722</t>
  </si>
  <si>
    <t>PROD-S01-0723</t>
  </si>
  <si>
    <t>PROD-REPORT-S01-0723</t>
  </si>
  <si>
    <t>PROD-S01-0724</t>
  </si>
  <si>
    <t>PROD-REPORT-S01-0724</t>
  </si>
  <si>
    <t>PROD-S01-0725</t>
  </si>
  <si>
    <t>PROD-REPORT-S01-0725</t>
  </si>
  <si>
    <t>PROD-S01-0726</t>
  </si>
  <si>
    <t>PROD-REPORT-S01-0726</t>
  </si>
  <si>
    <t>PROD-S01-0727</t>
  </si>
  <si>
    <t>PROD-REPORT-S01-0727</t>
  </si>
  <si>
    <t>PROD-S01-0728</t>
  </si>
  <si>
    <t>PROD-REPORT-S01-0728</t>
  </si>
  <si>
    <t>PROD-S01-0729</t>
  </si>
  <si>
    <t>PROD-REPORT-S01-0729</t>
  </si>
  <si>
    <t>PROD-S01-0730</t>
  </si>
  <si>
    <t>PROD-REPORT-S01-0730</t>
  </si>
  <si>
    <t>PROD-S01-0731</t>
  </si>
  <si>
    <t>PROD-REPORT-S01-0731</t>
  </si>
  <si>
    <t>PROD-S02-0601</t>
  </si>
  <si>
    <t>PROD-REPORT-S02-0601</t>
  </si>
  <si>
    <t>PROD-S02-0602</t>
  </si>
  <si>
    <t>PROD-REPORT-S02-0602</t>
  </si>
  <si>
    <t>PROD-S02-0603</t>
  </si>
  <si>
    <t>PROD-REPORT-S02-0603</t>
  </si>
  <si>
    <t>PROD-S02-0604</t>
  </si>
  <si>
    <t>PROD-REPORT-S02-0604</t>
  </si>
  <si>
    <t>PROD-S02-0605</t>
  </si>
  <si>
    <t>PROD-REPORT-S02-0605</t>
  </si>
  <si>
    <t>PROD-S02-0606</t>
  </si>
  <si>
    <t>PROD-REPORT-S02-0606</t>
  </si>
  <si>
    <t>PROD-S02-0607</t>
  </si>
  <si>
    <t>PROD-REPORT-S02-0607</t>
  </si>
  <si>
    <t>PROD-S02-0608</t>
  </si>
  <si>
    <t>PROD-REPORT-S02-0608</t>
  </si>
  <si>
    <t>PROD-S02-0609</t>
  </si>
  <si>
    <t>PROD-REPORT-S02-0609</t>
  </si>
  <si>
    <t>PROD-S02-0610</t>
  </si>
  <si>
    <t>PROD-REPORT-S02-0610</t>
  </si>
  <si>
    <t>PROD-S02-0611</t>
  </si>
  <si>
    <t>PROD-REPORT-S02-0611</t>
  </si>
  <si>
    <t>PROD-S02-0612</t>
  </si>
  <si>
    <t>PROD-REPORT-S02-0612</t>
  </si>
  <si>
    <t>PROD-S02-0613</t>
  </si>
  <si>
    <t>PROD-REPORT-S02-0613</t>
  </si>
  <si>
    <t>PROD-S02-0614</t>
  </si>
  <si>
    <t>PROD-REPORT-S02-0614</t>
  </si>
  <si>
    <t>PROD-S02-0615</t>
  </si>
  <si>
    <t>PROD-REPORT-S02-0615</t>
  </si>
  <si>
    <t>PROD-S02-0616</t>
  </si>
  <si>
    <t>PROD-REPORT-S02-0616</t>
  </si>
  <si>
    <t>PROD-S02-0617</t>
  </si>
  <si>
    <t>PROD-REPORT-S02-0617</t>
  </si>
  <si>
    <t>PROD-S02-0618</t>
  </si>
  <si>
    <t>PROD-REPORT-S02-0618</t>
  </si>
  <si>
    <t>PROD-S02-0619</t>
  </si>
  <si>
    <t>PROD-REPORT-S02-0619</t>
  </si>
  <si>
    <t>PROD-S02-0620</t>
  </si>
  <si>
    <t>PROD-REPORT-S02-0620</t>
  </si>
  <si>
    <t>PROD-S02-0621</t>
  </si>
  <si>
    <t>PROD-REPORT-S02-0621</t>
  </si>
  <si>
    <t>PROD-S02-0622</t>
  </si>
  <si>
    <t>PROD-REPORT-S02-0622</t>
  </si>
  <si>
    <t>PROD-S02-0623</t>
  </si>
  <si>
    <t>PROD-REPORT-S02-0623</t>
  </si>
  <si>
    <t>PROD-S02-0624</t>
  </si>
  <si>
    <t>PROD-REPORT-S02-0624</t>
  </si>
  <si>
    <t>PROD-S02-0625</t>
  </si>
  <si>
    <t>PROD-REPORT-S02-0625</t>
  </si>
  <si>
    <t>PROD-S02-0626</t>
  </si>
  <si>
    <t>PROD-REPORT-S02-0626</t>
  </si>
  <si>
    <t>PROD-S02-0627</t>
  </si>
  <si>
    <t>PROD-REPORT-S02-0627</t>
  </si>
  <si>
    <t>PROD-S02-0628</t>
  </si>
  <si>
    <t>PROD-REPORT-S02-0628</t>
  </si>
  <si>
    <t>PROD-S02-0629</t>
  </si>
  <si>
    <t>PROD-REPORT-S02-0629</t>
  </si>
  <si>
    <t>PROD-S02-0630</t>
  </si>
  <si>
    <t>PROD-REPORT-S02-0630</t>
  </si>
  <si>
    <t>PROD-S02-0701</t>
  </si>
  <si>
    <t>PROD-REPORT-S02-0701</t>
  </si>
  <si>
    <t>PROD-S02-0702</t>
  </si>
  <si>
    <t>PROD-REPORT-S02-0702</t>
  </si>
  <si>
    <t>PROD-S02-0703</t>
  </si>
  <si>
    <t>PROD-REPORT-S02-0703</t>
  </si>
  <si>
    <t>PROD-S02-0704</t>
  </si>
  <si>
    <t>PROD-REPORT-S02-0704</t>
  </si>
  <si>
    <t>PROD-S02-0705</t>
  </si>
  <si>
    <t>PROD-REPORT-S02-0705</t>
  </si>
  <si>
    <t>PROD-S02-0706</t>
  </si>
  <si>
    <t>PROD-REPORT-S02-0706</t>
  </si>
  <si>
    <t>PROD-S02-0707</t>
  </si>
  <si>
    <t>PROD-REPORT-S02-0707</t>
  </si>
  <si>
    <t>PROD-S02-0708</t>
  </si>
  <si>
    <t>PROD-REPORT-S02-0708</t>
  </si>
  <si>
    <t>PROD-S02-0709</t>
  </si>
  <si>
    <t>PROD-REPORT-S02-0709</t>
  </si>
  <si>
    <t>PROD-S02-0710</t>
  </si>
  <si>
    <t>PROD-REPORT-S02-0710</t>
  </si>
  <si>
    <t>PROD-S02-0711</t>
  </si>
  <si>
    <t>PROD-REPORT-S02-0711</t>
  </si>
  <si>
    <t>PROD-S02-0712</t>
  </si>
  <si>
    <t>PROD-REPORT-S02-0712</t>
  </si>
  <si>
    <t>PROD-S02-0713</t>
  </si>
  <si>
    <t>PROD-REPORT-S02-0713</t>
  </si>
  <si>
    <t>PROD-S02-0714</t>
  </si>
  <si>
    <t>PROD-REPORT-S02-0714</t>
  </si>
  <si>
    <t>PROD-S02-0715</t>
  </si>
  <si>
    <t>PROD-REPORT-S02-0715</t>
  </si>
  <si>
    <t>PROD-S02-0716</t>
  </si>
  <si>
    <t>PROD-REPORT-S02-0716</t>
  </si>
  <si>
    <t>PROD-S02-0717</t>
  </si>
  <si>
    <t>PROD-REPORT-S02-0717</t>
  </si>
  <si>
    <t>PROD-S02-0718</t>
  </si>
  <si>
    <t>PROD-REPORT-S02-0718</t>
  </si>
  <si>
    <t>PROD-S02-0719</t>
  </si>
  <si>
    <t>PROD-REPORT-S02-0719</t>
  </si>
  <si>
    <t>PROD-S02-0720</t>
  </si>
  <si>
    <t>PROD-REPORT-S02-0720</t>
  </si>
  <si>
    <t>PROD-S02-0721</t>
  </si>
  <si>
    <t>PROD-REPORT-S02-0721</t>
  </si>
  <si>
    <t>PROD-S02-0722</t>
  </si>
  <si>
    <t>PROD-REPORT-S02-0722</t>
  </si>
  <si>
    <t>PROD-S02-0723</t>
  </si>
  <si>
    <t>PROD-REPORT-S02-0723</t>
  </si>
  <si>
    <t>PROD-S02-0724</t>
  </si>
  <si>
    <t>PROD-REPORT-S02-0724</t>
  </si>
  <si>
    <t>PROD-S02-0725</t>
  </si>
  <si>
    <t>PROD-REPORT-S02-0725</t>
  </si>
  <si>
    <t>PROD-S02-0726</t>
  </si>
  <si>
    <t>PROD-REPORT-S02-0726</t>
  </si>
  <si>
    <t>PROD-S02-0727</t>
  </si>
  <si>
    <t>PROD-REPORT-S02-0727</t>
  </si>
  <si>
    <t>PROD-S02-0728</t>
  </si>
  <si>
    <t>PROD-REPORT-S02-0728</t>
  </si>
  <si>
    <t>PROD-S02-0729</t>
  </si>
  <si>
    <t>PROD-REPORT-S02-0729</t>
  </si>
  <si>
    <t>PROD-S02-0730</t>
  </si>
  <si>
    <t>PROD-REPORT-S02-0730</t>
  </si>
  <si>
    <t>PROD-S02-0731</t>
  </si>
  <si>
    <t>PROD-REPORT-S02-0731</t>
  </si>
  <si>
    <t>PO-COMP-0001</t>
  </si>
  <si>
    <t>Commitment</t>
  </si>
  <si>
    <t>SYN-PO-AUTH-0001</t>
  </si>
  <si>
    <t>APP-CAP-2026-06</t>
  </si>
  <si>
    <t>PO-COMP-0002</t>
  </si>
  <si>
    <t>SYN-PO-AUTH-0002</t>
  </si>
  <si>
    <t>PO-COMP-0003</t>
  </si>
  <si>
    <t>SYN-PO-AUTH-0003</t>
  </si>
  <si>
    <t>PO-COMP-0004</t>
  </si>
  <si>
    <t>SYN-PO-AUTH-0004</t>
  </si>
  <si>
    <t>PO-COMP-0005</t>
  </si>
  <si>
    <t>SYN-PO-AUTH-0005</t>
  </si>
  <si>
    <t>PO-COMP-0006</t>
  </si>
  <si>
    <t>SYN-PO-AUTH-0006</t>
  </si>
  <si>
    <t>PO-COMP-0007</t>
  </si>
  <si>
    <t>SYN-PO-AUTH-0007</t>
  </si>
  <si>
    <t>PO-COMP-0008</t>
  </si>
  <si>
    <t>SYN-PO-AUTH-0008</t>
  </si>
  <si>
    <t>PO-COMP-0009</t>
  </si>
  <si>
    <t>SYN-PO-AUTH-0009</t>
  </si>
  <si>
    <t>PO-COMP-0010</t>
  </si>
  <si>
    <t>SYN-PO-AUTH-0010</t>
  </si>
  <si>
    <t>PO-COMP-0011</t>
  </si>
  <si>
    <t>SYN-PO-AUTH-0011</t>
  </si>
  <si>
    <t>PO-COMP-0012</t>
  </si>
  <si>
    <t>SYN-PO-AUTH-0012</t>
  </si>
  <si>
    <t>PO-COMP-0013</t>
  </si>
  <si>
    <t>SYN-PO-AUTH-0013</t>
  </si>
  <si>
    <t>PO-COMP-0014</t>
  </si>
  <si>
    <t>SYN-PO-AUTH-0014</t>
  </si>
  <si>
    <t>PO-COMP-0015</t>
  </si>
  <si>
    <t>SYN-PO-AUTH-0015</t>
  </si>
  <si>
    <t>PO-COMP-0016</t>
  </si>
  <si>
    <t>SYN-PO-AUTH-0016</t>
  </si>
  <si>
    <t>PO-COMP-0017</t>
  </si>
  <si>
    <t>SYN-PO-AUTH-0017</t>
  </si>
  <si>
    <t>PO-COMP-0018</t>
  </si>
  <si>
    <t>SYN-PO-AUTH-0018</t>
  </si>
  <si>
    <t>PO-COMP-0019</t>
  </si>
  <si>
    <t>SYN-PO-AUTH-0019</t>
  </si>
  <si>
    <t>PO-COMP-0020</t>
  </si>
  <si>
    <t>SYN-PO-AUTH-0020</t>
  </si>
  <si>
    <t>PO-COMP-0021</t>
  </si>
  <si>
    <t>SYN-PO-AUTH-0021</t>
  </si>
  <si>
    <t>PO-COMP-0022</t>
  </si>
  <si>
    <t>SYN-PO-AUTH-0022</t>
  </si>
  <si>
    <t>PO-COMP-0023</t>
  </si>
  <si>
    <t>SYN-PO-AUTH-0023</t>
  </si>
  <si>
    <t>PO-COMP-0024</t>
  </si>
  <si>
    <t>SYN-PO-AUTH-0024</t>
  </si>
  <si>
    <t>PO-COMP-0025</t>
  </si>
  <si>
    <t>SYN-PO-AUTH-0025</t>
  </si>
  <si>
    <t>PO-COMP-0026</t>
  </si>
  <si>
    <t>SYN-PO-AUTH-0026</t>
  </si>
  <si>
    <t>PO-COMP-0027</t>
  </si>
  <si>
    <t>SYN-PO-AUTH-0027</t>
  </si>
  <si>
    <t>PO-COMP-0028</t>
  </si>
  <si>
    <t>SYN-PO-AUTH-0028</t>
  </si>
  <si>
    <t>PO-COMP-0029</t>
  </si>
  <si>
    <t>SYN-PO-AUTH-0029</t>
  </si>
  <si>
    <t>PO-COMP-0030</t>
  </si>
  <si>
    <t>SYN-PO-AUTH-0030</t>
  </si>
  <si>
    <t>PO-COMP-0031</t>
  </si>
  <si>
    <t>SYN-PO-AUTH-0031</t>
  </si>
  <si>
    <t>PO-COMP-0032</t>
  </si>
  <si>
    <t>SYN-PO-AUTH-0032</t>
  </si>
  <si>
    <t>PO-COMP-0033</t>
  </si>
  <si>
    <t>SYN-PO-AUTH-0033</t>
  </si>
  <si>
    <t>PO-COMP-0034</t>
  </si>
  <si>
    <t>SYN-PO-AUTH-0034</t>
  </si>
  <si>
    <t>PO-COMP-0035</t>
  </si>
  <si>
    <t>SYN-PO-AUTH-0035</t>
  </si>
  <si>
    <t>PO-COMP-0036</t>
  </si>
  <si>
    <t>SYN-PO-AUTH-0036</t>
  </si>
  <si>
    <t>PO-COMP-0037</t>
  </si>
  <si>
    <t>SYN-PO-AUTH-0037</t>
  </si>
  <si>
    <t>PO-COMP-0038</t>
  </si>
  <si>
    <t>SYN-PO-AUTH-0038</t>
  </si>
  <si>
    <t>PO-COMP-0039</t>
  </si>
  <si>
    <t>SYN-PO-AUTH-0039</t>
  </si>
  <si>
    <t>PO-COMP-0040</t>
  </si>
  <si>
    <t>SYN-PO-AUTH-0040</t>
  </si>
  <si>
    <t>PO-COMP-0041</t>
  </si>
  <si>
    <t>SYN-PO-AUTH-0041</t>
  </si>
  <si>
    <t>PO-COMP-0042</t>
  </si>
  <si>
    <t>SYN-PO-AUTH-0042</t>
  </si>
  <si>
    <t>PO-COMP-0043</t>
  </si>
  <si>
    <t>SYN-PO-AUTH-0043</t>
  </si>
  <si>
    <t>PO-COMP-0044</t>
  </si>
  <si>
    <t>SYN-PO-AUTH-0044</t>
  </si>
  <si>
    <t>PO-COMP-0045</t>
  </si>
  <si>
    <t>SYN-PO-AUTH-0045</t>
  </si>
  <si>
    <t>PO-COMP-0046</t>
  </si>
  <si>
    <t>SYN-PO-AUTH-0046</t>
  </si>
  <si>
    <t>PO-COMP-0047</t>
  </si>
  <si>
    <t>SYN-PO-AUTH-0047</t>
  </si>
  <si>
    <t>PO-COMP-0048</t>
  </si>
  <si>
    <t>SYN-PO-AUTH-0048</t>
  </si>
  <si>
    <t>PO-COMP-0049</t>
  </si>
  <si>
    <t>SYN-PO-AUTH-0049</t>
  </si>
  <si>
    <t>PO-COMP-0050</t>
  </si>
  <si>
    <t>SYN-PO-AUTH-0050</t>
  </si>
  <si>
    <t>PO-COMP-0051</t>
  </si>
  <si>
    <t>SYN-PO-AUTH-0051</t>
  </si>
  <si>
    <t>PO-COMP-0052</t>
  </si>
  <si>
    <t>SYN-PO-AUTH-0052</t>
  </si>
  <si>
    <t>PO-COMP-0053</t>
  </si>
  <si>
    <t>SYN-PO-AUTH-0053</t>
  </si>
  <si>
    <t>PO-COMP-0054</t>
  </si>
  <si>
    <t>SYN-PO-AUTH-0054</t>
  </si>
  <si>
    <t>PO-COMP-0055</t>
  </si>
  <si>
    <t>SYN-PO-AUTH-0055</t>
  </si>
  <si>
    <t>PO-COMP-0056</t>
  </si>
  <si>
    <t>SYN-PO-AUTH-0056</t>
  </si>
  <si>
    <t>PO-COMP-0057</t>
  </si>
  <si>
    <t>SYN-PO-AUTH-0057</t>
  </si>
  <si>
    <t>PO-COMP-0058</t>
  </si>
  <si>
    <t>SYN-PO-AUTH-0058</t>
  </si>
  <si>
    <t>PO-COMP-0059</t>
  </si>
  <si>
    <t>SYN-PO-AUTH-0059</t>
  </si>
  <si>
    <t>PO-COMP-0060</t>
  </si>
  <si>
    <t>SYN-PO-AUTH-0060</t>
  </si>
  <si>
    <t>PO-COMP-0061</t>
  </si>
  <si>
    <t>SYN-PO-AUTH-0061</t>
  </si>
  <si>
    <t>PO-COMP-0062</t>
  </si>
  <si>
    <t>SYN-PO-AUTH-0062</t>
  </si>
  <si>
    <t>PO-COMP-0063</t>
  </si>
  <si>
    <t>SYN-PO-AUTH-0063</t>
  </si>
  <si>
    <t>PO-COMP-0064</t>
  </si>
  <si>
    <t>SYN-PO-AUTH-0064</t>
  </si>
  <si>
    <t>PO-COMP-0065</t>
  </si>
  <si>
    <t>SYN-PO-AUTH-0065</t>
  </si>
  <si>
    <t>PO-COMP-0066</t>
  </si>
  <si>
    <t>SYN-PO-AUTH-0066</t>
  </si>
  <si>
    <t>PO-COMP-0067</t>
  </si>
  <si>
    <t>SYN-PO-AUTH-0067</t>
  </si>
  <si>
    <t>PO-COMP-0068</t>
  </si>
  <si>
    <t>SYN-PO-AUTH-0068</t>
  </si>
  <si>
    <t>PO-COMP-0069</t>
  </si>
  <si>
    <t>SYN-PO-AUTH-0069</t>
  </si>
  <si>
    <t>PO-COMP-0070</t>
  </si>
  <si>
    <t>SYN-PO-AUTH-0070</t>
  </si>
  <si>
    <t>PO-COMP-0071</t>
  </si>
  <si>
    <t>SYN-PO-AUTH-0071</t>
  </si>
  <si>
    <t>PO-COMP-0072</t>
  </si>
  <si>
    <t>SYN-PO-AUTH-0072</t>
  </si>
  <si>
    <t>PO-COMP-0073</t>
  </si>
  <si>
    <t>SYN-PO-AUTH-0073</t>
  </si>
  <si>
    <t>PO-COMP-0074</t>
  </si>
  <si>
    <t>SYN-PO-AUTH-0074</t>
  </si>
  <si>
    <t>PO-COMP-0075</t>
  </si>
  <si>
    <t>SYN-PO-AUTH-0075</t>
  </si>
  <si>
    <t>PO-COMP-0076</t>
  </si>
  <si>
    <t>SYN-PO-AUTH-0076</t>
  </si>
  <si>
    <t>PO-COMP-0077</t>
  </si>
  <si>
    <t>SYN-PO-AUTH-0077</t>
  </si>
  <si>
    <t>PO-COMP-0078</t>
  </si>
  <si>
    <t>SYN-PO-AUTH-0078</t>
  </si>
  <si>
    <t>PO-COMP-0079</t>
  </si>
  <si>
    <t>SYN-PO-AUTH-0079</t>
  </si>
  <si>
    <t>PO-COMP-0080</t>
  </si>
  <si>
    <t>SYN-PO-AUTH-0080</t>
  </si>
  <si>
    <t>PO-COMP-0081</t>
  </si>
  <si>
    <t>SYN-PO-AUTH-0081</t>
  </si>
  <si>
    <t>PO-COMP-0082</t>
  </si>
  <si>
    <t>SYN-PO-AUTH-0082</t>
  </si>
  <si>
    <t>PO-COMP-0083</t>
  </si>
  <si>
    <t>SYN-PO-AUTH-0083</t>
  </si>
  <si>
    <t>PO-COMP-0084</t>
  </si>
  <si>
    <t>SYN-PO-AUTH-0084</t>
  </si>
  <si>
    <t>PO-COMP-0085</t>
  </si>
  <si>
    <t>SYN-PO-AUTH-0085</t>
  </si>
  <si>
    <t>PO-COMP-0086</t>
  </si>
  <si>
    <t>SYN-PO-AUTH-0086</t>
  </si>
  <si>
    <t>PO-COMP-0087</t>
  </si>
  <si>
    <t>SYN-PO-AUTH-0087</t>
  </si>
  <si>
    <t>PO-COMP-0088</t>
  </si>
  <si>
    <t>SYN-PO-AUTH-0088</t>
  </si>
  <si>
    <t>PO-COMP-0089</t>
  </si>
  <si>
    <t>SYN-PO-AUTH-0089</t>
  </si>
  <si>
    <t>PO-COMP-0090</t>
  </si>
  <si>
    <t>SYN-PO-AUTH-0090</t>
  </si>
  <si>
    <t>PO-COMP-0091</t>
  </si>
  <si>
    <t>SYN-PO-AUTH-0091</t>
  </si>
  <si>
    <t>PO-COMP-0092</t>
  </si>
  <si>
    <t>SYN-PO-AUTH-0092</t>
  </si>
  <si>
    <t>PO-COMP-0093</t>
  </si>
  <si>
    <t>SYN-PO-AUTH-0093</t>
  </si>
  <si>
    <t>PO-COMP-0094</t>
  </si>
  <si>
    <t>SYN-PO-AUTH-0094</t>
  </si>
  <si>
    <t>PO-COMP-0095</t>
  </si>
  <si>
    <t>SYN-PO-AUTH-0095</t>
  </si>
  <si>
    <t>PO-COMP-0096</t>
  </si>
  <si>
    <t>SYN-PO-AUTH-0096</t>
  </si>
  <si>
    <t>PO-COMP-0097</t>
  </si>
  <si>
    <t>SYN-PO-AUTH-0097</t>
  </si>
  <si>
    <t>PO-COMP-0098</t>
  </si>
  <si>
    <t>SYN-PO-AUTH-0098</t>
  </si>
  <si>
    <t>PO-COMP-0099</t>
  </si>
  <si>
    <t>SYN-PO-AUTH-0099</t>
  </si>
  <si>
    <t>PO-COMP-0100</t>
  </si>
  <si>
    <t>SYN-PO-AUTH-0100</t>
  </si>
  <si>
    <t>PO-COMP-0101</t>
  </si>
  <si>
    <t>SYN-PO-AUTH-0101</t>
  </si>
  <si>
    <t>PO-COMP-0102</t>
  </si>
  <si>
    <t>SYN-PO-AUTH-0102</t>
  </si>
  <si>
    <t>PO-COMP-0103</t>
  </si>
  <si>
    <t>SYN-PO-AUTH-0103</t>
  </si>
  <si>
    <t>PO-COMP-0104</t>
  </si>
  <si>
    <t>SYN-PO-AUTH-0104</t>
  </si>
  <si>
    <t>PO-COMP-0105</t>
  </si>
  <si>
    <t>SYN-PO-AUTH-0105</t>
  </si>
  <si>
    <t>PO-COMP-0106</t>
  </si>
  <si>
    <t>SYN-PO-AUTH-0106</t>
  </si>
  <si>
    <t>PO-COMP-0107</t>
  </si>
  <si>
    <t>SYN-PO-AUTH-0107</t>
  </si>
  <si>
    <t>PO-COMP-0108</t>
  </si>
  <si>
    <t>SYN-PO-AUTH-0108</t>
  </si>
  <si>
    <t>PO-COMP-0109</t>
  </si>
  <si>
    <t>SYN-PO-AUTH-0109</t>
  </si>
  <si>
    <t>PO-COMP-0110</t>
  </si>
  <si>
    <t>SYN-PO-AUTH-0110</t>
  </si>
  <si>
    <t>PO-COMP-0111</t>
  </si>
  <si>
    <t>SYN-PO-AUTH-0111</t>
  </si>
  <si>
    <t>PO-COMP-0112</t>
  </si>
  <si>
    <t>SYN-PO-AUTH-0112</t>
  </si>
  <si>
    <t>PO-COMP-0113</t>
  </si>
  <si>
    <t>SYN-PO-AUTH-0113</t>
  </si>
  <si>
    <t>PO-COMP-0114</t>
  </si>
  <si>
    <t>SYN-PO-AUTH-0114</t>
  </si>
  <si>
    <t>PO-COMP-0115</t>
  </si>
  <si>
    <t>SYN-PO-AUTH-0115</t>
  </si>
  <si>
    <t>PO-COMP-0116</t>
  </si>
  <si>
    <t>SYN-PO-AUTH-0116</t>
  </si>
  <si>
    <t>PO-COMP-0117</t>
  </si>
  <si>
    <t>SYN-PO-AUTH-0117</t>
  </si>
  <si>
    <t>PO-COMP-0118</t>
  </si>
  <si>
    <t>SYN-PO-AUTH-0118</t>
  </si>
  <si>
    <t>PO-COMP-0119</t>
  </si>
  <si>
    <t>SYN-PO-AUTH-0119</t>
  </si>
  <si>
    <t>PO-COMP-0120</t>
  </si>
  <si>
    <t>SYN-PO-AUTH-0120</t>
  </si>
  <si>
    <t>PO-COMP-0121</t>
  </si>
  <si>
    <t>SYN-PO-AUTH-0121</t>
  </si>
  <si>
    <t>PO-COMP-0122</t>
  </si>
  <si>
    <t>SYN-PO-AUTH-0122</t>
  </si>
  <si>
    <t>PO-COMP-0123</t>
  </si>
  <si>
    <t>SYN-PO-AUTH-0123</t>
  </si>
  <si>
    <t>PO-COMP-0124</t>
  </si>
  <si>
    <t>SYN-PO-AUTH-0124</t>
  </si>
  <si>
    <t>PO-COMP-0125</t>
  </si>
  <si>
    <t>SYN-PO-AUTH-0125</t>
  </si>
  <si>
    <t>PO-COMP-0126</t>
  </si>
  <si>
    <t>SYN-PO-AUTH-0126</t>
  </si>
  <si>
    <t>PO-COMP-0127</t>
  </si>
  <si>
    <t>SYN-PO-AUTH-0127</t>
  </si>
  <si>
    <t>PO-COMP-0128</t>
  </si>
  <si>
    <t>SYN-PO-AUTH-0128</t>
  </si>
  <si>
    <t>PO-COMP-0129</t>
  </si>
  <si>
    <t>SYN-PO-AUTH-0129</t>
  </si>
  <si>
    <t>PO-COMP-0130</t>
  </si>
  <si>
    <t>SYN-PO-AUTH-0130</t>
  </si>
  <si>
    <t>PO-COMP-0131</t>
  </si>
  <si>
    <t>SYN-PO-AUTH-0131</t>
  </si>
  <si>
    <t>PO-COMP-0132</t>
  </si>
  <si>
    <t>SYN-PO-AUTH-0132</t>
  </si>
  <si>
    <t>PO-COMP-0133</t>
  </si>
  <si>
    <t>SYN-PO-AUTH-0133</t>
  </si>
  <si>
    <t>PO-COMP-0134</t>
  </si>
  <si>
    <t>SYN-PO-AUTH-0134</t>
  </si>
  <si>
    <t>PO-COMP-0135</t>
  </si>
  <si>
    <t>SYN-PO-AUTH-0135</t>
  </si>
  <si>
    <t>PO-COMP-0136</t>
  </si>
  <si>
    <t>SYN-PO-AUTH-0136</t>
  </si>
  <si>
    <t>PO-COMP-0137</t>
  </si>
  <si>
    <t>SYN-PO-AUTH-0137</t>
  </si>
  <si>
    <t>PO-COMP-0138</t>
  </si>
  <si>
    <t>SYN-PO-AUTH-0138</t>
  </si>
  <si>
    <t>PO-COMP-0139</t>
  </si>
  <si>
    <t>SYN-PO-AUTH-0139</t>
  </si>
  <si>
    <t>PO-COMP-0140</t>
  </si>
  <si>
    <t>SYN-PO-AUTH-0140</t>
  </si>
  <si>
    <t>PO-COMP-0141</t>
  </si>
  <si>
    <t>SYN-PO-AUTH-0141</t>
  </si>
  <si>
    <t>PO-COMP-0142</t>
  </si>
  <si>
    <t>SYN-PO-AUTH-0142</t>
  </si>
  <si>
    <t>PO-COMP-0143</t>
  </si>
  <si>
    <t>SYN-PO-AUTH-0143</t>
  </si>
  <si>
    <t>PO-COMP-0144</t>
  </si>
  <si>
    <t>SYN-PO-AUTH-0144</t>
  </si>
  <si>
    <t>PO-COMP-0145</t>
  </si>
  <si>
    <t>SYN-PO-AUTH-0145</t>
  </si>
  <si>
    <t>PO-COMP-0146</t>
  </si>
  <si>
    <t>SYN-PO-AUTH-0146</t>
  </si>
  <si>
    <t>PO-COMP-0147</t>
  </si>
  <si>
    <t>SYN-PO-AUTH-0147</t>
  </si>
  <si>
    <t>PO-COMP-0148</t>
  </si>
  <si>
    <t>SYN-PO-AUTH-0148</t>
  </si>
  <si>
    <t>PO-COMP-0149</t>
  </si>
  <si>
    <t>SYN-PO-AUTH-0149</t>
  </si>
  <si>
    <t>PO-COMP-0150</t>
  </si>
  <si>
    <t>SYN-PO-AUTH-0150</t>
  </si>
  <si>
    <t>PO-COMP-0151</t>
  </si>
  <si>
    <t>SYN-PO-AUTH-0151</t>
  </si>
  <si>
    <t>PO-COMP-0152</t>
  </si>
  <si>
    <t>SYN-PO-AUTH-0152</t>
  </si>
  <si>
    <t>PO-COMP-0153</t>
  </si>
  <si>
    <t>SYN-PO-AUTH-0153</t>
  </si>
  <si>
    <t>PO-COMP-0154</t>
  </si>
  <si>
    <t>SYN-PO-AUTH-0154</t>
  </si>
  <si>
    <t>PO-COMP-0155</t>
  </si>
  <si>
    <t>SYN-PO-AUTH-0155</t>
  </si>
  <si>
    <t>PO-COMP-0156</t>
  </si>
  <si>
    <t>SYN-PO-AUTH-0156</t>
  </si>
  <si>
    <t>PO-COMP-0157</t>
  </si>
  <si>
    <t>SYN-PO-AUTH-0157</t>
  </si>
  <si>
    <t>PO-COMP-0158</t>
  </si>
  <si>
    <t>SYN-PO-AUTH-0158</t>
  </si>
  <si>
    <t>PO-COMP-0159</t>
  </si>
  <si>
    <t>SYN-PO-AUTH-0159</t>
  </si>
  <si>
    <t>PO-COMP-0160</t>
  </si>
  <si>
    <t>SYN-PO-AUTH-0160</t>
  </si>
  <si>
    <t>PO-COMP-0161</t>
  </si>
  <si>
    <t>SYN-PO-AUTH-0161</t>
  </si>
  <si>
    <t>PO-COMP-0162</t>
  </si>
  <si>
    <t>SYN-PO-AUTH-0162</t>
  </si>
  <si>
    <t>PO-COMP-0163</t>
  </si>
  <si>
    <t>SYN-PO-AUTH-0163</t>
  </si>
  <si>
    <t>PO-COMP-0164</t>
  </si>
  <si>
    <t>SYN-PO-AUTH-0164</t>
  </si>
  <si>
    <t>PO-COMP-0165</t>
  </si>
  <si>
    <t>SYN-PO-AUTH-0165</t>
  </si>
  <si>
    <t>PO-COMP-0166</t>
  </si>
  <si>
    <t>SYN-PO-AUTH-0166</t>
  </si>
  <si>
    <t>PO-COMP-0167</t>
  </si>
  <si>
    <t>SYN-PO-AUTH-0167</t>
  </si>
  <si>
    <t>PO-COMP-0168</t>
  </si>
  <si>
    <t>SYN-PO-AUTH-0168</t>
  </si>
  <si>
    <t>PO-COMP-0169</t>
  </si>
  <si>
    <t>SYN-PO-AUTH-0169</t>
  </si>
  <si>
    <t>PO-COMP-0170</t>
  </si>
  <si>
    <t>SYN-PO-AUTH-0170</t>
  </si>
  <si>
    <t>PO-COMP-0171</t>
  </si>
  <si>
    <t>SYN-PO-AUTH-0171</t>
  </si>
  <si>
    <t>PO-COMP-0172</t>
  </si>
  <si>
    <t>SYN-PO-AUTH-0172</t>
  </si>
  <si>
    <t>PO-COMP-0173</t>
  </si>
  <si>
    <t>SYN-PO-AUTH-0173</t>
  </si>
  <si>
    <t>PO-COMP-0174</t>
  </si>
  <si>
    <t>SYN-PO-AUTH-0174</t>
  </si>
  <si>
    <t>PO-COMP-0175</t>
  </si>
  <si>
    <t>SYN-PO-AUTH-0175</t>
  </si>
  <si>
    <t>PO-COMP-0176</t>
  </si>
  <si>
    <t>SYN-PO-AUTH-0176</t>
  </si>
  <si>
    <t>PO-COMP-0177</t>
  </si>
  <si>
    <t>SYN-PO-AUTH-0177</t>
  </si>
  <si>
    <t>PO-COMP-0178</t>
  </si>
  <si>
    <t>SYN-PO-AUTH-0178</t>
  </si>
  <si>
    <t>PO-COMP-0179</t>
  </si>
  <si>
    <t>SYN-PO-AUTH-0179</t>
  </si>
  <si>
    <t>PO-COMP-0180</t>
  </si>
  <si>
    <t>SYN-PO-AUTH-0180</t>
  </si>
  <si>
    <t>PO-COMP-0181</t>
  </si>
  <si>
    <t>SYN-PO-AUTH-0181</t>
  </si>
  <si>
    <t>PO-COMP-0182</t>
  </si>
  <si>
    <t>SYN-PO-AUTH-0182</t>
  </si>
  <si>
    <t>PO-COMP-0183</t>
  </si>
  <si>
    <t>SYN-PO-AUTH-0183</t>
  </si>
  <si>
    <t>PO-COMP-0184</t>
  </si>
  <si>
    <t>SYN-PO-AUTH-0184</t>
  </si>
  <si>
    <t>PO-COMP-0185</t>
  </si>
  <si>
    <t>SYN-PO-AUTH-0185</t>
  </si>
  <si>
    <t>PO-COMP-0186</t>
  </si>
  <si>
    <t>SYN-PO-AUTH-0186</t>
  </si>
  <si>
    <t>PO-COMP-0187</t>
  </si>
  <si>
    <t>SYN-PO-AUTH-0187</t>
  </si>
  <si>
    <t>PO-COMP-0188</t>
  </si>
  <si>
    <t>SYN-PO-AUTH-0188</t>
  </si>
  <si>
    <t>PO-COMP-0189</t>
  </si>
  <si>
    <t>SYN-PO-AUTH-0189</t>
  </si>
  <si>
    <t>PO-COMP-0190</t>
  </si>
  <si>
    <t>SYN-PO-AUTH-0190</t>
  </si>
  <si>
    <t>PO-COMP-0191</t>
  </si>
  <si>
    <t>SYN-PO-AUTH-0191</t>
  </si>
  <si>
    <t>PO-COMP-0192</t>
  </si>
  <si>
    <t>SYN-PO-AUTH-0192</t>
  </si>
  <si>
    <t>PO-COMP-0193</t>
  </si>
  <si>
    <t>SYN-PO-AUTH-0193</t>
  </si>
  <si>
    <t>PO-COMP-0194</t>
  </si>
  <si>
    <t>SYN-PO-AUTH-0194</t>
  </si>
  <si>
    <t>PO-COMP-0195</t>
  </si>
  <si>
    <t>SYN-PO-AUTH-0195</t>
  </si>
  <si>
    <t>PO-COMP-0196</t>
  </si>
  <si>
    <t>SYN-PO-AUTH-0196</t>
  </si>
  <si>
    <t>PO-COMP-0197</t>
  </si>
  <si>
    <t>SYN-PO-AUTH-0197</t>
  </si>
  <si>
    <t>PO-COMP-0198</t>
  </si>
  <si>
    <t>SYN-PO-AUTH-0198</t>
  </si>
  <si>
    <t>PO-COMP-0199</t>
  </si>
  <si>
    <t>SYN-PO-AUTH-0199</t>
  </si>
  <si>
    <t>PO-COMP-0200</t>
  </si>
  <si>
    <t>SYN-PO-AUTH-0200</t>
  </si>
  <si>
    <t>PO-COMP-0201</t>
  </si>
  <si>
    <t>SYN-PO-AUTH-0201</t>
  </si>
  <si>
    <t>PO-COMP-0202</t>
  </si>
  <si>
    <t>SYN-PO-AUTH-0202</t>
  </si>
  <si>
    <t>PO-COMP-0203</t>
  </si>
  <si>
    <t>SYN-PO-AUTH-0203</t>
  </si>
  <si>
    <t>PO-COMP-0204</t>
  </si>
  <si>
    <t>SYN-PO-AUTH-0204</t>
  </si>
  <si>
    <t>PO-COMP-0205</t>
  </si>
  <si>
    <t>SYN-PO-AUTH-0205</t>
  </si>
  <si>
    <t>PO-COMP-0206</t>
  </si>
  <si>
    <t>SYN-PO-AUTH-0206</t>
  </si>
  <si>
    <t>PO-COMP-0207</t>
  </si>
  <si>
    <t>SYN-PO-AUTH-0207</t>
  </si>
  <si>
    <t>PO-COMP-0208</t>
  </si>
  <si>
    <t>SYN-PO-AUTH-0208</t>
  </si>
  <si>
    <t>PO-COMP-0209</t>
  </si>
  <si>
    <t>SYN-PO-AUTH-0209</t>
  </si>
  <si>
    <t>PO-COMP-0210</t>
  </si>
  <si>
    <t>SYN-PO-AUTH-0210</t>
  </si>
  <si>
    <t>PO-COMP-0211</t>
  </si>
  <si>
    <t>SYN-PO-AUTH-0211</t>
  </si>
  <si>
    <t>PO-COMP-0212</t>
  </si>
  <si>
    <t>SYN-PO-AUTH-0212</t>
  </si>
  <si>
    <t>PO-COMP-0213</t>
  </si>
  <si>
    <t>SYN-PO-AUTH-0213</t>
  </si>
  <si>
    <t>PO-COMP-0214</t>
  </si>
  <si>
    <t>SYN-PO-AUTH-0214</t>
  </si>
  <si>
    <t>PO-COMP-0215</t>
  </si>
  <si>
    <t>SYN-PO-AUTH-0215</t>
  </si>
  <si>
    <t>PO-COMP-0216</t>
  </si>
  <si>
    <t>SYN-PO-AUTH-0216</t>
  </si>
  <si>
    <t>PO-COMP-0217</t>
  </si>
  <si>
    <t>SYN-PO-AUTH-0217</t>
  </si>
  <si>
    <t>PO-COMP-0218</t>
  </si>
  <si>
    <t>SYN-PO-AUTH-0218</t>
  </si>
  <si>
    <t>PO-COMP-0219</t>
  </si>
  <si>
    <t>SYN-PO-AUTH-0219</t>
  </si>
  <si>
    <t>PO-COMP-0220</t>
  </si>
  <si>
    <t>SYN-PO-AUTH-0220</t>
  </si>
  <si>
    <t>PO-COMP-0221</t>
  </si>
  <si>
    <t>SYN-PO-AUTH-0221</t>
  </si>
  <si>
    <t>PO-COMP-0222</t>
  </si>
  <si>
    <t>SYN-PO-AUTH-0222</t>
  </si>
  <si>
    <t>PO-COMP-0223</t>
  </si>
  <si>
    <t>SYN-PO-AUTH-0223</t>
  </si>
  <si>
    <t>PO-COMP-0224</t>
  </si>
  <si>
    <t>SYN-PO-AUTH-0224</t>
  </si>
  <si>
    <t>PO-COMP-0225</t>
  </si>
  <si>
    <t>SYN-PO-AUTH-0225</t>
  </si>
  <si>
    <t>PO-COMP-0226</t>
  </si>
  <si>
    <t>SYN-PO-AUTH-0226</t>
  </si>
  <si>
    <t>PO-COMP-0227</t>
  </si>
  <si>
    <t>SYN-PO-AUTH-0227</t>
  </si>
  <si>
    <t>PO-COMP-0228</t>
  </si>
  <si>
    <t>SYN-PO-AUTH-0228</t>
  </si>
  <si>
    <t>PO-COMP-0229</t>
  </si>
  <si>
    <t>SYN-PO-AUTH-0229</t>
  </si>
  <si>
    <t>PO-COMP-0230</t>
  </si>
  <si>
    <t>SYN-PO-AUTH-0230</t>
  </si>
  <si>
    <t>PO-COMP-0231</t>
  </si>
  <si>
    <t>SYN-PO-AUTH-0231</t>
  </si>
  <si>
    <t>PO-COMP-0232</t>
  </si>
  <si>
    <t>SYN-PO-AUTH-0232</t>
  </si>
  <si>
    <t>PO-COMP-0233</t>
  </si>
  <si>
    <t>SYN-PO-AUTH-0233</t>
  </si>
  <si>
    <t>PO-COMP-0234</t>
  </si>
  <si>
    <t>SYN-PO-AUTH-0234</t>
  </si>
  <si>
    <t>PO-COMP-0235</t>
  </si>
  <si>
    <t>SYN-PO-AUTH-0235</t>
  </si>
  <si>
    <t>PO-COMP-0236</t>
  </si>
  <si>
    <t>SYN-PO-AUTH-0236</t>
  </si>
  <si>
    <t>PO-COMP-0237</t>
  </si>
  <si>
    <t>SYN-PO-AUTH-0237</t>
  </si>
  <si>
    <t>PO-COMP-0238</t>
  </si>
  <si>
    <t>SYN-PO-AUTH-0238</t>
  </si>
  <si>
    <t>PO-COMP-0239</t>
  </si>
  <si>
    <t>SYN-PO-AUTH-0239</t>
  </si>
  <si>
    <t>PO-COMP-0240</t>
  </si>
  <si>
    <t>SYN-PO-AUTH-0240</t>
  </si>
  <si>
    <t>PO-COMP-0241</t>
  </si>
  <si>
    <t>SYN-PO-AUTH-0241</t>
  </si>
  <si>
    <t>PO-COMP-0242</t>
  </si>
  <si>
    <t>SYN-PO-AUTH-0242</t>
  </si>
  <si>
    <t>PO-COMP-0243</t>
  </si>
  <si>
    <t>SYN-PO-AUTH-0243</t>
  </si>
  <si>
    <t>PO-COMP-0244</t>
  </si>
  <si>
    <t>SYN-PO-AUTH-0244</t>
  </si>
  <si>
    <t>PO-COMP-0245</t>
  </si>
  <si>
    <t>SYN-PO-AUTH-0245</t>
  </si>
  <si>
    <t>PO-COMP-0246</t>
  </si>
  <si>
    <t>SYN-PO-AUTH-0246</t>
  </si>
  <si>
    <t>PO-COMP-0247</t>
  </si>
  <si>
    <t>SYN-PO-AUTH-0247</t>
  </si>
  <si>
    <t>PO-COMP-0248</t>
  </si>
  <si>
    <t>SYN-PO-AUTH-0248</t>
  </si>
  <si>
    <t>PO-COMP-0249</t>
  </si>
  <si>
    <t>SYN-PO-AUTH-0249</t>
  </si>
  <si>
    <t>PO-COMP-0250</t>
  </si>
  <si>
    <t>SYN-PO-AUTH-0250</t>
  </si>
  <si>
    <t>PO-COMP-0251</t>
  </si>
  <si>
    <t>SYN-PO-AUTH-0251</t>
  </si>
  <si>
    <t>PO-COMP-0252</t>
  </si>
  <si>
    <t>SYN-PO-AUTH-0252</t>
  </si>
  <si>
    <t>PO-COMP-0253</t>
  </si>
  <si>
    <t>SYN-PO-AUTH-0253</t>
  </si>
  <si>
    <t>PO-COMP-0254</t>
  </si>
  <si>
    <t>SYN-PO-AUTH-0254</t>
  </si>
  <si>
    <t>PO-COMP-0255</t>
  </si>
  <si>
    <t>SYN-PO-AUTH-0255</t>
  </si>
  <si>
    <t>PO-COMP-0256</t>
  </si>
  <si>
    <t>SYN-PO-AUTH-0256</t>
  </si>
  <si>
    <t>PO-COMP-0257</t>
  </si>
  <si>
    <t>SYN-PO-AUTH-0257</t>
  </si>
  <si>
    <t>PO-COMP-0258</t>
  </si>
  <si>
    <t>SYN-PO-AUTH-0258</t>
  </si>
  <si>
    <t>PO-COMP-0259</t>
  </si>
  <si>
    <t>SYN-PO-AUTH-0259</t>
  </si>
  <si>
    <t>PO-COMP-0260</t>
  </si>
  <si>
    <t>SYN-PO-AUTH-0260</t>
  </si>
  <si>
    <t>PO-COMP-0261</t>
  </si>
  <si>
    <t>SYN-PO-AUTH-0261</t>
  </si>
  <si>
    <t>PO-COMP-0262</t>
  </si>
  <si>
    <t>SYN-PO-AUTH-0262</t>
  </si>
  <si>
    <t>PO-COMP-0263</t>
  </si>
  <si>
    <t>SYN-PO-AUTH-0263</t>
  </si>
  <si>
    <t>PO-COMP-0264</t>
  </si>
  <si>
    <t>SYN-PO-AUTH-0264</t>
  </si>
  <si>
    <t>PO-COMP-0265</t>
  </si>
  <si>
    <t>SYN-PO-AUTH-0265</t>
  </si>
  <si>
    <t>PO-COMP-0266</t>
  </si>
  <si>
    <t>SYN-PO-AUTH-0266</t>
  </si>
  <si>
    <t>PO-COMP-0267</t>
  </si>
  <si>
    <t>SYN-PO-AUTH-0267</t>
  </si>
  <si>
    <t>PO-COMP-0268</t>
  </si>
  <si>
    <t>SYN-PO-AUTH-0268</t>
  </si>
  <si>
    <t>PO-COMP-0269</t>
  </si>
  <si>
    <t>SYN-PO-AUTH-0269</t>
  </si>
  <si>
    <t>PO-COMP-0270</t>
  </si>
  <si>
    <t>SYN-PO-AUTH-0270</t>
  </si>
  <si>
    <t>PO-COMP-0271</t>
  </si>
  <si>
    <t>SYN-PO-AUTH-0271</t>
  </si>
  <si>
    <t>PO-COMP-0272</t>
  </si>
  <si>
    <t>SYN-PO-AUTH-0272</t>
  </si>
  <si>
    <t>PO-COMP-0273</t>
  </si>
  <si>
    <t>SYN-PO-AUTH-0273</t>
  </si>
  <si>
    <t>PO-COMP-0274</t>
  </si>
  <si>
    <t>SYN-PO-AUTH-0274</t>
  </si>
  <si>
    <t>PO-COMP-0275</t>
  </si>
  <si>
    <t>SYN-PO-AUTH-0275</t>
  </si>
  <si>
    <t>PO-COMP-0276</t>
  </si>
  <si>
    <t>SYN-PO-AUTH-0276</t>
  </si>
  <si>
    <t>PO-COMP-0277</t>
  </si>
  <si>
    <t>SYN-PO-AUTH-0277</t>
  </si>
  <si>
    <t>PO-COMP-0278</t>
  </si>
  <si>
    <t>SYN-PO-AUTH-0278</t>
  </si>
  <si>
    <t>PO-COMP-0279</t>
  </si>
  <si>
    <t>SYN-PO-AUTH-0279</t>
  </si>
  <si>
    <t>PO-COMP-0280</t>
  </si>
  <si>
    <t>SYN-PO-AUTH-0280</t>
  </si>
  <si>
    <t>PO-COMP-0281</t>
  </si>
  <si>
    <t>SYN-PO-AUTH-0281</t>
  </si>
  <si>
    <t>PO-COMP-0282</t>
  </si>
  <si>
    <t>SYN-PO-AUTH-0282</t>
  </si>
  <si>
    <t>PO-COMP-0283</t>
  </si>
  <si>
    <t>SYN-PO-AUTH-0283</t>
  </si>
  <si>
    <t>PO-COMP-0284</t>
  </si>
  <si>
    <t>SYN-PO-AUTH-0284</t>
  </si>
  <si>
    <t>PO-COMP-0285</t>
  </si>
  <si>
    <t>SYN-PO-AUTH-0285</t>
  </si>
  <si>
    <t>PO-COMP-0286</t>
  </si>
  <si>
    <t>SYN-PO-AUTH-0286</t>
  </si>
  <si>
    <t>PO-COMP-0287</t>
  </si>
  <si>
    <t>SYN-PO-AUTH-0287</t>
  </si>
  <si>
    <t>PO-COMP-0288</t>
  </si>
  <si>
    <t>SYN-PO-AUTH-0288</t>
  </si>
  <si>
    <t>PO-COMP-0289</t>
  </si>
  <si>
    <t>SYN-PO-AUTH-0289</t>
  </si>
  <si>
    <t>PO-COMP-0290</t>
  </si>
  <si>
    <t>SYN-PO-AUTH-0290</t>
  </si>
  <si>
    <t>PO-COMP-0291</t>
  </si>
  <si>
    <t>SYN-PO-AUTH-0291</t>
  </si>
  <si>
    <t>PO-COMP-0292</t>
  </si>
  <si>
    <t>SYN-PO-AUTH-0292</t>
  </si>
  <si>
    <t>PO-COMP-0293</t>
  </si>
  <si>
    <t>SYN-PO-AUTH-0293</t>
  </si>
  <si>
    <t>PO-COMP-0294</t>
  </si>
  <si>
    <t>SYN-PO-AUTH-0294</t>
  </si>
  <si>
    <t>PO-COMP-0295</t>
  </si>
  <si>
    <t>SYN-PO-AUTH-0295</t>
  </si>
  <si>
    <t>PO-COMP-0296</t>
  </si>
  <si>
    <t>SYN-PO-AUTH-0296</t>
  </si>
  <si>
    <t>PO-COMP-0297</t>
  </si>
  <si>
    <t>SYN-PO-AUTH-0297</t>
  </si>
  <si>
    <t>PO-COMP-0298</t>
  </si>
  <si>
    <t>SYN-PO-AUTH-0298</t>
  </si>
  <si>
    <t>PO-COMP-0299</t>
  </si>
  <si>
    <t>SYN-PO-AUTH-0299</t>
  </si>
  <si>
    <t>PO-COMP-0300</t>
  </si>
  <si>
    <t>SYN-PO-AUTH-0300</t>
  </si>
  <si>
    <t>PO-COMP-0301</t>
  </si>
  <si>
    <t>SYN-PO-AUTH-0301</t>
  </si>
  <si>
    <t>PO-COMP-0302</t>
  </si>
  <si>
    <t>SYN-PO-AUTH-0302</t>
  </si>
  <si>
    <t>PO-COMP-0303</t>
  </si>
  <si>
    <t>SYN-PO-AUTH-0303</t>
  </si>
  <si>
    <t>PO-COMP-0304</t>
  </si>
  <si>
    <t>SYN-PO-AUTH-0304</t>
  </si>
  <si>
    <t>PO-COMP-0305</t>
  </si>
  <si>
    <t>SYN-PO-AUTH-0305</t>
  </si>
  <si>
    <t>PO-COMP-0306</t>
  </si>
  <si>
    <t>SYN-PO-AUTH-0306</t>
  </si>
  <si>
    <t>PO-COMP-0307</t>
  </si>
  <si>
    <t>SYN-PO-AUTH-0307</t>
  </si>
  <si>
    <t>PO-COMP-0308</t>
  </si>
  <si>
    <t>SYN-PO-AUTH-0308</t>
  </si>
  <si>
    <t>PO-COMP-0309</t>
  </si>
  <si>
    <t>SYN-PO-AUTH-0309</t>
  </si>
  <si>
    <t>PO-COMP-0310</t>
  </si>
  <si>
    <t>SYN-PO-AUTH-0310</t>
  </si>
  <si>
    <t>PO-COMP-0311</t>
  </si>
  <si>
    <t>SYN-PO-AUTH-0311</t>
  </si>
  <si>
    <t>PO-COMP-0312</t>
  </si>
  <si>
    <t>SYN-PO-AUTH-0312</t>
  </si>
  <si>
    <t>PO-COMP-0313</t>
  </si>
  <si>
    <t>SYN-PO-AUTH-0313</t>
  </si>
  <si>
    <t>PO-COMP-0314</t>
  </si>
  <si>
    <t>SYN-PO-AUTH-0314</t>
  </si>
  <si>
    <t>PO-COMP-0315</t>
  </si>
  <si>
    <t>SYN-PO-AUTH-0315</t>
  </si>
  <si>
    <t>PO-COMP-0316</t>
  </si>
  <si>
    <t>SYN-PO-AUTH-0316</t>
  </si>
  <si>
    <t>PO-COMP-0317</t>
  </si>
  <si>
    <t>SYN-PO-AUTH-0317</t>
  </si>
  <si>
    <t>PO-COMP-0318</t>
  </si>
  <si>
    <t>SYN-PO-AUTH-0318</t>
  </si>
  <si>
    <t>PO-COMP-0319</t>
  </si>
  <si>
    <t>SYN-PO-AUTH-0319</t>
  </si>
  <si>
    <t>PO-COMP-0320</t>
  </si>
  <si>
    <t>SYN-PO-AUTH-0320</t>
  </si>
  <si>
    <t>PO-COMP-0321</t>
  </si>
  <si>
    <t>SYN-PO-AUTH-0321</t>
  </si>
  <si>
    <t>PO-COMP-0322</t>
  </si>
  <si>
    <t>SYN-PO-AUTH-0322</t>
  </si>
  <si>
    <t>PO-COMP-0323</t>
  </si>
  <si>
    <t>SYN-PO-AUTH-0323</t>
  </si>
  <si>
    <t>PO-COMP-0324</t>
  </si>
  <si>
    <t>SYN-PO-AUTH-0324</t>
  </si>
  <si>
    <t>PO-COMP-0325</t>
  </si>
  <si>
    <t>SYN-PO-AUTH-0325</t>
  </si>
  <si>
    <t>PO-COMP-0326</t>
  </si>
  <si>
    <t>SYN-PO-AUTH-0326</t>
  </si>
  <si>
    <t>PO-COMP-0327</t>
  </si>
  <si>
    <t>SYN-PO-AUTH-0327</t>
  </si>
  <si>
    <t>PO-COMP-0328</t>
  </si>
  <si>
    <t>SYN-PO-AUTH-0328</t>
  </si>
  <si>
    <t>PO-COMP-0329</t>
  </si>
  <si>
    <t>SYN-PO-AUTH-0329</t>
  </si>
  <si>
    <t>PO-COMP-0330</t>
  </si>
  <si>
    <t>SYN-PO-AUTH-0330</t>
  </si>
  <si>
    <t>PO-COMP-0331</t>
  </si>
  <si>
    <t>SYN-PO-AUTH-0331</t>
  </si>
  <si>
    <t>PO-COMP-0332</t>
  </si>
  <si>
    <t>SYN-PO-AUTH-0332</t>
  </si>
  <si>
    <t>PO-COMP-0333</t>
  </si>
  <si>
    <t>SYN-PO-AUTH-0333</t>
  </si>
  <si>
    <t>PO-COMP-0334</t>
  </si>
  <si>
    <t>SYN-PO-AUTH-0334</t>
  </si>
  <si>
    <t>APP-CAP-2026-07</t>
  </si>
  <si>
    <t>PO-COMP-0335</t>
  </si>
  <si>
    <t>SYN-PO-AUTH-0335</t>
  </si>
  <si>
    <t>PO-COMP-0336</t>
  </si>
  <si>
    <t>SYN-PO-AUTH-0336</t>
  </si>
  <si>
    <t>PO-COMP-0337</t>
  </si>
  <si>
    <t>SYN-PO-AUTH-0337</t>
  </si>
  <si>
    <t>PO-COMP-0338</t>
  </si>
  <si>
    <t>SYN-PO-AUTH-0338</t>
  </si>
  <si>
    <t>PO-COMP-0339</t>
  </si>
  <si>
    <t>SYN-PO-AUTH-0339</t>
  </si>
  <si>
    <t>PO-COMP-0340</t>
  </si>
  <si>
    <t>SYN-PO-AUTH-0340</t>
  </si>
  <si>
    <t>PO-COMP-0341</t>
  </si>
  <si>
    <t>SYN-PO-AUTH-0341</t>
  </si>
  <si>
    <t>PO-COMP-0342</t>
  </si>
  <si>
    <t>SYN-PO-AUTH-0342</t>
  </si>
  <si>
    <t>PO-COMP-0343</t>
  </si>
  <si>
    <t>SYN-PO-AUTH-0343</t>
  </si>
  <si>
    <t>PO-COMP-0344</t>
  </si>
  <si>
    <t>SYN-PO-AUTH-0344</t>
  </si>
  <si>
    <t>PO-COMP-0345</t>
  </si>
  <si>
    <t>SYN-PO-AUTH-0345</t>
  </si>
  <si>
    <t>PO-COMP-0346</t>
  </si>
  <si>
    <t>SYN-PO-AUTH-0346</t>
  </si>
  <si>
    <t>PO-COMP-0347</t>
  </si>
  <si>
    <t>SYN-PO-AUTH-0347</t>
  </si>
  <si>
    <t>PO-COMP-0348</t>
  </si>
  <si>
    <t>SYN-PO-AUTH-0348</t>
  </si>
  <si>
    <t>PO-COMP-0349</t>
  </si>
  <si>
    <t>SYN-PO-AUTH-0349</t>
  </si>
  <si>
    <t>PO-COMP-0350</t>
  </si>
  <si>
    <t>SYN-PO-AUTH-0350</t>
  </si>
  <si>
    <t>PO-COMP-0351</t>
  </si>
  <si>
    <t>SYN-PO-AUTH-0351</t>
  </si>
  <si>
    <t>PO-COMP-0352</t>
  </si>
  <si>
    <t>SYN-PO-AUTH-0352</t>
  </si>
  <si>
    <t>PO-COMP-0353</t>
  </si>
  <si>
    <t>SYN-PO-AUTH-0353</t>
  </si>
  <si>
    <t>PO-COMP-0354</t>
  </si>
  <si>
    <t>SYN-PO-AUTH-0354</t>
  </si>
  <si>
    <t>PO-COMP-0355</t>
  </si>
  <si>
    <t>SYN-PO-AUTH-0355</t>
  </si>
  <si>
    <t>PO-COMP-0356</t>
  </si>
  <si>
    <t>SYN-PO-AUTH-0356</t>
  </si>
  <si>
    <t>PO-COMP-0357</t>
  </si>
  <si>
    <t>SYN-PO-AUTH-0357</t>
  </si>
  <si>
    <t>PO-COMP-0358</t>
  </si>
  <si>
    <t>SYN-PO-AUTH-0358</t>
  </si>
  <si>
    <t>PO-COMP-0359</t>
  </si>
  <si>
    <t>SYN-PO-AUTH-0359</t>
  </si>
  <si>
    <t>PO-COMP-0360</t>
  </si>
  <si>
    <t>SYN-PO-AUTH-0360</t>
  </si>
  <si>
    <t>PO-COMP-0361</t>
  </si>
  <si>
    <t>SYN-PO-AUTH-0361</t>
  </si>
  <si>
    <t>PO-COMP-0362</t>
  </si>
  <si>
    <t>SYN-PO-AUTH-0362</t>
  </si>
  <si>
    <t>PO-COMP-0363</t>
  </si>
  <si>
    <t>SYN-PO-AUTH-0363</t>
  </si>
  <si>
    <t>PO-COMP-0364</t>
  </si>
  <si>
    <t>SYN-PO-AUTH-0364</t>
  </si>
  <si>
    <t>PO-COMP-0365</t>
  </si>
  <si>
    <t>SYN-PO-AUTH-0365</t>
  </si>
  <si>
    <t>PO-COMP-0366</t>
  </si>
  <si>
    <t>SYN-PO-AUTH-0366</t>
  </si>
  <si>
    <t>PO-COMP-0367</t>
  </si>
  <si>
    <t>SYN-PO-AUTH-0367</t>
  </si>
  <si>
    <t>PO-COMP-0368</t>
  </si>
  <si>
    <t>SYN-PO-AUTH-0368</t>
  </si>
  <si>
    <t>PO-COMP-0369</t>
  </si>
  <si>
    <t>SYN-PO-AUTH-0369</t>
  </si>
  <si>
    <t>PO-COMP-0370</t>
  </si>
  <si>
    <t>SYN-PO-AUTH-0370</t>
  </si>
  <si>
    <t>PO-COMP-0371</t>
  </si>
  <si>
    <t>SYN-PO-AUTH-0371</t>
  </si>
  <si>
    <t>PO-COMP-0372</t>
  </si>
  <si>
    <t>SYN-PO-AUTH-0372</t>
  </si>
  <si>
    <t>PO-COMP-0373</t>
  </si>
  <si>
    <t>SYN-PO-AUTH-0373</t>
  </si>
  <si>
    <t>PO-COMP-0374</t>
  </si>
  <si>
    <t>SYN-PO-AUTH-0374</t>
  </si>
  <si>
    <t>PO-COMP-0375</t>
  </si>
  <si>
    <t>SYN-PO-AUTH-0375</t>
  </si>
  <si>
    <t>PO-COMP-0376</t>
  </si>
  <si>
    <t>SYN-PO-AUTH-0376</t>
  </si>
  <si>
    <t>PO-COMP-0377</t>
  </si>
  <si>
    <t>SYN-PO-AUTH-0377</t>
  </si>
  <si>
    <t>PO-COMP-0378</t>
  </si>
  <si>
    <t>SYN-PO-AUTH-0378</t>
  </si>
  <si>
    <t>PO-COMP-0379</t>
  </si>
  <si>
    <t>SYN-PO-AUTH-0379</t>
  </si>
  <si>
    <t>PO-COMP-0380</t>
  </si>
  <si>
    <t>SYN-PO-AUTH-0380</t>
  </si>
  <si>
    <t>PO-COMP-0381</t>
  </si>
  <si>
    <t>SYN-PO-AUTH-0381</t>
  </si>
  <si>
    <t>PO-COMP-0382</t>
  </si>
  <si>
    <t>SYN-PO-AUTH-0382</t>
  </si>
  <si>
    <t>PO-COMP-0383</t>
  </si>
  <si>
    <t>SYN-PO-AUTH-0383</t>
  </si>
  <si>
    <t>PO-COMP-0384</t>
  </si>
  <si>
    <t>SYN-PO-AUTH-0384</t>
  </si>
  <si>
    <t>PO-COMP-0385</t>
  </si>
  <si>
    <t>SYN-PO-AUTH-0385</t>
  </si>
  <si>
    <t>PO-COMP-0386</t>
  </si>
  <si>
    <t>SYN-PO-AUTH-0386</t>
  </si>
  <si>
    <t>PO-COMP-0387</t>
  </si>
  <si>
    <t>SYN-PO-AUTH-0387</t>
  </si>
  <si>
    <t>PO-COMP-0388</t>
  </si>
  <si>
    <t>SYN-PO-AUTH-0388</t>
  </si>
  <si>
    <t>PO-COMP-0389</t>
  </si>
  <si>
    <t>SYN-PO-AUTH-0389</t>
  </si>
  <si>
    <t>PO-COMP-0390</t>
  </si>
  <si>
    <t>SYN-PO-AUTH-0390</t>
  </si>
  <si>
    <t>PO-COMP-0391</t>
  </si>
  <si>
    <t>SYN-PO-AUTH-0391</t>
  </si>
  <si>
    <t>PO-COMP-0392</t>
  </si>
  <si>
    <t>SYN-PO-AUTH-0392</t>
  </si>
  <si>
    <t>PO-COMP-0393</t>
  </si>
  <si>
    <t>SYN-PO-AUTH-0393</t>
  </si>
  <si>
    <t>PO-COMP-0394</t>
  </si>
  <si>
    <t>SYN-PO-AUTH-0394</t>
  </si>
  <si>
    <t>PO-COMP-0395</t>
  </si>
  <si>
    <t>SYN-PO-AUTH-0395</t>
  </si>
  <si>
    <t>PO-COMP-0396</t>
  </si>
  <si>
    <t>SYN-PO-AUTH-0396</t>
  </si>
  <si>
    <t>PO-COMP-0397</t>
  </si>
  <si>
    <t>SYN-PO-AUTH-0397</t>
  </si>
  <si>
    <t>PO-COMP-0398</t>
  </si>
  <si>
    <t>SYN-PO-AUTH-0398</t>
  </si>
  <si>
    <t>PO-COMP-0399</t>
  </si>
  <si>
    <t>SYN-PO-AUTH-0399</t>
  </si>
  <si>
    <t>PO-COMP-0400</t>
  </si>
  <si>
    <t>SYN-PO-AUTH-0400</t>
  </si>
  <si>
    <t>PO-COMP-0401</t>
  </si>
  <si>
    <t>SYN-PO-AUTH-0401</t>
  </si>
  <si>
    <t>PO-COMP-0402</t>
  </si>
  <si>
    <t>SYN-PO-AUTH-0402</t>
  </si>
  <si>
    <t>PO-COMP-0403</t>
  </si>
  <si>
    <t>SYN-PO-AUTH-0403</t>
  </si>
  <si>
    <t>PO-COMP-0404</t>
  </si>
  <si>
    <t>SYN-PO-AUTH-0404</t>
  </si>
  <si>
    <t>PO-COMP-0405</t>
  </si>
  <si>
    <t>SYN-PO-AUTH-0405</t>
  </si>
  <si>
    <t>PO-COMP-0406</t>
  </si>
  <si>
    <t>SYN-PO-AUTH-0406</t>
  </si>
  <si>
    <t>PO-COMP-0407</t>
  </si>
  <si>
    <t>SYN-PO-AUTH-0407</t>
  </si>
  <si>
    <t>PO-COMP-0408</t>
  </si>
  <si>
    <t>SYN-PO-AUTH-0408</t>
  </si>
  <si>
    <t>PO-COMP-0409</t>
  </si>
  <si>
    <t>SYN-PO-AUTH-0409</t>
  </si>
  <si>
    <t>PO-COMP-0410</t>
  </si>
  <si>
    <t>SYN-PO-AUTH-0410</t>
  </si>
  <si>
    <t>PO-COMP-0411</t>
  </si>
  <si>
    <t>SYN-PO-AUTH-0411</t>
  </si>
  <si>
    <t>PO-COMP-0412</t>
  </si>
  <si>
    <t>SYN-PO-AUTH-0412</t>
  </si>
  <si>
    <t>PO-COMP-0413</t>
  </si>
  <si>
    <t>SYN-PO-AUTH-0413</t>
  </si>
  <si>
    <t>PO-COMP-0414</t>
  </si>
  <si>
    <t>SYN-PO-AUTH-0414</t>
  </si>
  <si>
    <t>PO-COMP-0415</t>
  </si>
  <si>
    <t>SYN-PO-AUTH-0415</t>
  </si>
  <si>
    <t>PO-COMP-0416</t>
  </si>
  <si>
    <t>SYN-PO-AUTH-0416</t>
  </si>
  <si>
    <t>PO-COMP-0417</t>
  </si>
  <si>
    <t>SYN-PO-AUTH-0417</t>
  </si>
  <si>
    <t>PO-COMP-0418</t>
  </si>
  <si>
    <t>SYN-PO-AUTH-0418</t>
  </si>
  <si>
    <t>PO-COMP-0419</t>
  </si>
  <si>
    <t>SYN-PO-AUTH-0419</t>
  </si>
  <si>
    <t>PO-COMP-0420</t>
  </si>
  <si>
    <t>SYN-PO-AUTH-0420</t>
  </si>
  <si>
    <t>PO-COMP-0421</t>
  </si>
  <si>
    <t>SYN-PO-AUTH-0421</t>
  </si>
  <si>
    <t>PO-COMP-0422</t>
  </si>
  <si>
    <t>SYN-PO-AUTH-0422</t>
  </si>
  <si>
    <t>PO-COMP-0423</t>
  </si>
  <si>
    <t>SYN-PO-AUTH-0423</t>
  </si>
  <si>
    <t>PO-COMP-0424</t>
  </si>
  <si>
    <t>SYN-PO-AUTH-0424</t>
  </si>
  <si>
    <t>PO-COMP-0425</t>
  </si>
  <si>
    <t>SYN-PO-AUTH-0425</t>
  </si>
  <si>
    <t>PO-COMP-0426</t>
  </si>
  <si>
    <t>SYN-PO-AUTH-0426</t>
  </si>
  <si>
    <t>PO-COMP-0427</t>
  </si>
  <si>
    <t>SYN-PO-AUTH-0427</t>
  </si>
  <si>
    <t>PO-COMP-0428</t>
  </si>
  <si>
    <t>SYN-PO-AUTH-0428</t>
  </si>
  <si>
    <t>PO-COMP-0429</t>
  </si>
  <si>
    <t>SYN-PO-AUTH-0429</t>
  </si>
  <si>
    <t>PO-COMP-0430</t>
  </si>
  <si>
    <t>SYN-PO-AUTH-0430</t>
  </si>
  <si>
    <t>PO-COMP-0431</t>
  </si>
  <si>
    <t>SYN-PO-AUTH-0431</t>
  </si>
  <si>
    <t>PO-COMP-0432</t>
  </si>
  <si>
    <t>SYN-PO-AUTH-0432</t>
  </si>
  <si>
    <t>PO-COMP-0433</t>
  </si>
  <si>
    <t>SYN-PO-AUTH-0433</t>
  </si>
  <si>
    <t>PO-COMP-0434</t>
  </si>
  <si>
    <t>SYN-PO-AUTH-0434</t>
  </si>
  <si>
    <t>PO-COMP-0435</t>
  </si>
  <si>
    <t>SYN-PO-AUTH-0435</t>
  </si>
  <si>
    <t>PO-COMP-0436</t>
  </si>
  <si>
    <t>SYN-PO-AUTH-0436</t>
  </si>
  <si>
    <t>PO-COMP-0437</t>
  </si>
  <si>
    <t>SYN-PO-AUTH-0437</t>
  </si>
  <si>
    <t>PO-COMP-0438</t>
  </si>
  <si>
    <t>SYN-PO-AUTH-0438</t>
  </si>
  <si>
    <t>PO-COMP-0439</t>
  </si>
  <si>
    <t>SYN-PO-AUTH-0439</t>
  </si>
  <si>
    <t>PO-COMP-0440</t>
  </si>
  <si>
    <t>SYN-PO-AUTH-0440</t>
  </si>
  <si>
    <t>PO-COMP-0441</t>
  </si>
  <si>
    <t>SYN-PO-AUTH-0441</t>
  </si>
  <si>
    <t>PO-COMP-0442</t>
  </si>
  <si>
    <t>SYN-PO-AUTH-0442</t>
  </si>
  <si>
    <t>PO-COMP-0443</t>
  </si>
  <si>
    <t>SYN-PO-AUTH-0443</t>
  </si>
  <si>
    <t>PO-COMP-0444</t>
  </si>
  <si>
    <t>SYN-PO-AUTH-0444</t>
  </si>
  <si>
    <t>PO-COMP-0445</t>
  </si>
  <si>
    <t>SYN-PO-AUTH-0445</t>
  </si>
  <si>
    <t>PO-COMP-0446</t>
  </si>
  <si>
    <t>SYN-PO-AUTH-0446</t>
  </si>
  <si>
    <t>PO-COMP-0447</t>
  </si>
  <si>
    <t>SYN-PO-AUTH-0447</t>
  </si>
  <si>
    <t>PO-COMP-0448</t>
  </si>
  <si>
    <t>SYN-PO-AUTH-0448</t>
  </si>
  <si>
    <t>PO-COMP-0449</t>
  </si>
  <si>
    <t>SYN-PO-AUTH-0449</t>
  </si>
  <si>
    <t>PO-COMP-0450</t>
  </si>
  <si>
    <t>SYN-PO-AUTH-0450</t>
  </si>
  <si>
    <t>PO-COMP-0451</t>
  </si>
  <si>
    <t>SYN-PO-AUTH-0451</t>
  </si>
  <si>
    <t>PO-COMP-0452</t>
  </si>
  <si>
    <t>SYN-PO-AUTH-0452</t>
  </si>
  <si>
    <t>PO-COMP-0453</t>
  </si>
  <si>
    <t>SYN-PO-AUTH-0453</t>
  </si>
  <si>
    <t>PO-COMP-0454</t>
  </si>
  <si>
    <t>SYN-PO-AUTH-0454</t>
  </si>
  <si>
    <t>PO-COMP-0455</t>
  </si>
  <si>
    <t>SYN-PO-AUTH-0455</t>
  </si>
  <si>
    <t>PO-COMP-0456</t>
  </si>
  <si>
    <t>SYN-PO-AUTH-0456</t>
  </si>
  <si>
    <t>PO-COMP-0457</t>
  </si>
  <si>
    <t>SYN-PO-AUTH-0457</t>
  </si>
  <si>
    <t>PO-COMP-0458</t>
  </si>
  <si>
    <t>SYN-PO-AUTH-0458</t>
  </si>
  <si>
    <t>PO-COMP-0459</t>
  </si>
  <si>
    <t>SYN-PO-AUTH-0459</t>
  </si>
  <si>
    <t>PO-COMP-0460</t>
  </si>
  <si>
    <t>SYN-PO-AUTH-0460</t>
  </si>
  <si>
    <t>PO-COMP-0461</t>
  </si>
  <si>
    <t>SYN-PO-AUTH-0461</t>
  </si>
  <si>
    <t>PO-COMP-0462</t>
  </si>
  <si>
    <t>SYN-PO-AUTH-0462</t>
  </si>
  <si>
    <t>PO-COMP-0463</t>
  </si>
  <si>
    <t>SYN-PO-AUTH-0463</t>
  </si>
  <si>
    <t>PO-COMP-0464</t>
  </si>
  <si>
    <t>SYN-PO-AUTH-0464</t>
  </si>
  <si>
    <t>PO-COMP-0465</t>
  </si>
  <si>
    <t>SYN-PO-AUTH-0465</t>
  </si>
  <si>
    <t>PO-COMP-0466</t>
  </si>
  <si>
    <t>SYN-PO-AUTH-0466</t>
  </si>
  <si>
    <t>PO-COMP-0467</t>
  </si>
  <si>
    <t>SYN-PO-AUTH-0467</t>
  </si>
  <si>
    <t>PO-COMP-0468</t>
  </si>
  <si>
    <t>SYN-PO-AUTH-0468</t>
  </si>
  <si>
    <t>PO-COMP-0469</t>
  </si>
  <si>
    <t>SYN-PO-AUTH-0469</t>
  </si>
  <si>
    <t>PO-COMP-0470</t>
  </si>
  <si>
    <t>SYN-PO-AUTH-0470</t>
  </si>
  <si>
    <t>PO-COMP-0471</t>
  </si>
  <si>
    <t>SYN-PO-AUTH-0471</t>
  </si>
  <si>
    <t>PO-COMP-0472</t>
  </si>
  <si>
    <t>SYN-PO-AUTH-0472</t>
  </si>
  <si>
    <t>PO-COMP-0473</t>
  </si>
  <si>
    <t>SYN-PO-AUTH-0473</t>
  </si>
  <si>
    <t>PO-COMP-0474</t>
  </si>
  <si>
    <t>SYN-PO-AUTH-0474</t>
  </si>
  <si>
    <t>PO-COMP-0475</t>
  </si>
  <si>
    <t>SYN-PO-AUTH-0475</t>
  </si>
  <si>
    <t>PO-COMP-0476</t>
  </si>
  <si>
    <t>SYN-PO-AUTH-0476</t>
  </si>
  <si>
    <t>PO-COMP-0477</t>
  </si>
  <si>
    <t>SYN-PO-AUTH-0477</t>
  </si>
  <si>
    <t>PO-COMP-0478</t>
  </si>
  <si>
    <t>SYN-PO-AUTH-0478</t>
  </si>
  <si>
    <t>PO-COMP-0479</t>
  </si>
  <si>
    <t>SYN-PO-AUTH-0479</t>
  </si>
  <si>
    <t>PO-COMP-0480</t>
  </si>
  <si>
    <t>SYN-PO-AUTH-0480</t>
  </si>
  <si>
    <t>PO-COMP-0481</t>
  </si>
  <si>
    <t>SYN-PO-AUTH-0481</t>
  </si>
  <si>
    <t>PO-COMP-0482</t>
  </si>
  <si>
    <t>SYN-PO-AUTH-0482</t>
  </si>
  <si>
    <t>PO-COMP-0483</t>
  </si>
  <si>
    <t>SYN-PO-AUTH-0483</t>
  </si>
  <si>
    <t>PO-COMP-0484</t>
  </si>
  <si>
    <t>SYN-PO-AUTH-0484</t>
  </si>
  <si>
    <t>PO-COMP-0485</t>
  </si>
  <si>
    <t>SYN-PO-AUTH-0485</t>
  </si>
  <si>
    <t>PO-COMP-0486</t>
  </si>
  <si>
    <t>SYN-PO-AUTH-0486</t>
  </si>
  <si>
    <t>PO-COMP-0487</t>
  </si>
  <si>
    <t>SYN-PO-AUTH-0487</t>
  </si>
  <si>
    <t>PO-COMP-0488</t>
  </si>
  <si>
    <t>SYN-PO-AUTH-0488</t>
  </si>
  <si>
    <t>PO-COMP-0489</t>
  </si>
  <si>
    <t>SYN-PO-AUTH-0489</t>
  </si>
  <si>
    <t>PO-COMP-0490</t>
  </si>
  <si>
    <t>SYN-PO-AUTH-0490</t>
  </si>
  <si>
    <t>PO-COMP-0491</t>
  </si>
  <si>
    <t>SYN-PO-AUTH-0491</t>
  </si>
  <si>
    <t>PO-COMP-0492</t>
  </si>
  <si>
    <t>SYN-PO-AUTH-0492</t>
  </si>
  <si>
    <t>PO-COMP-0493</t>
  </si>
  <si>
    <t>SYN-PO-AUTH-0493</t>
  </si>
  <si>
    <t>PO-COMP-0494</t>
  </si>
  <si>
    <t>SYN-PO-AUTH-0494</t>
  </si>
  <si>
    <t>PO-COMP-0495</t>
  </si>
  <si>
    <t>SYN-PO-AUTH-0495</t>
  </si>
  <si>
    <t>PO-COMP-0496</t>
  </si>
  <si>
    <t>SYN-PO-AUTH-0496</t>
  </si>
  <si>
    <t>PO-COMP-0497</t>
  </si>
  <si>
    <t>SYN-PO-AUTH-0497</t>
  </si>
  <si>
    <t>PO-COMP-0498</t>
  </si>
  <si>
    <t>SYN-PO-AUTH-0498</t>
  </si>
  <si>
    <t>PO-COMP-0499</t>
  </si>
  <si>
    <t>SYN-PO-AUTH-0499</t>
  </si>
  <si>
    <t>PO-COMP-0500</t>
  </si>
  <si>
    <t>SYN-PO-AUTH-0500</t>
  </si>
  <si>
    <t>PO-COMP-0501</t>
  </si>
  <si>
    <t>SYN-PO-AUTH-0501</t>
  </si>
  <si>
    <t>PO-COMP-0502</t>
  </si>
  <si>
    <t>SYN-PO-AUTH-0502</t>
  </si>
  <si>
    <t>PO-COMP-0503</t>
  </si>
  <si>
    <t>SYN-PO-AUTH-0503</t>
  </si>
  <si>
    <t>PO-COMP-0504</t>
  </si>
  <si>
    <t>SYN-PO-AUTH-0504</t>
  </si>
  <si>
    <t>PO-COMP-0505</t>
  </si>
  <si>
    <t>SYN-PO-AUTH-0505</t>
  </si>
  <si>
    <t>PO-COMP-0506</t>
  </si>
  <si>
    <t>SYN-PO-AUTH-0506</t>
  </si>
  <si>
    <t>PO-COMP-0507</t>
  </si>
  <si>
    <t>SYN-PO-AUTH-0507</t>
  </si>
  <si>
    <t>PO-COMP-0508</t>
  </si>
  <si>
    <t>SYN-PO-AUTH-0508</t>
  </si>
  <si>
    <t>PO-COMP-0509</t>
  </si>
  <si>
    <t>SYN-PO-AUTH-0509</t>
  </si>
  <si>
    <t>PO-COMP-0510</t>
  </si>
  <si>
    <t>SYN-PO-AUTH-0510</t>
  </si>
  <si>
    <t>PO-COMP-0511</t>
  </si>
  <si>
    <t>SYN-PO-AUTH-0511</t>
  </si>
  <si>
    <t>PO-COMP-0512</t>
  </si>
  <si>
    <t>SYN-PO-AUTH-0512</t>
  </si>
  <si>
    <t>PO-COMP-0513</t>
  </si>
  <si>
    <t>SYN-PO-AUTH-0513</t>
  </si>
  <si>
    <t>PO-COMP-0514</t>
  </si>
  <si>
    <t>SYN-PO-AUTH-0514</t>
  </si>
  <si>
    <t>PO-COMP-0515</t>
  </si>
  <si>
    <t>SYN-PO-AUTH-0515</t>
  </si>
  <si>
    <t>PO-COMP-0516</t>
  </si>
  <si>
    <t>SYN-PO-AUTH-0516</t>
  </si>
  <si>
    <t>PO-COMP-0517</t>
  </si>
  <si>
    <t>SYN-PO-AUTH-0517</t>
  </si>
  <si>
    <t>PO-COMP-0518</t>
  </si>
  <si>
    <t>SYN-PO-AUTH-0518</t>
  </si>
  <si>
    <t>PO-COMP-0519</t>
  </si>
  <si>
    <t>SYN-PO-AUTH-0519</t>
  </si>
  <si>
    <t>PO-COMP-0520</t>
  </si>
  <si>
    <t>SYN-PO-AUTH-0520</t>
  </si>
  <si>
    <t>PO-COMP-0521</t>
  </si>
  <si>
    <t>SYN-PO-AUTH-0521</t>
  </si>
  <si>
    <t>PO-COMP-0522</t>
  </si>
  <si>
    <t>SYN-PO-AUTH-0522</t>
  </si>
  <si>
    <t>PO-COMP-0523</t>
  </si>
  <si>
    <t>SYN-PO-AUTH-0523</t>
  </si>
  <si>
    <t>PO-COMP-0524</t>
  </si>
  <si>
    <t>SYN-PO-AUTH-0524</t>
  </si>
  <si>
    <t>PO-COMP-0525</t>
  </si>
  <si>
    <t>SYN-PO-AUTH-0525</t>
  </si>
  <si>
    <t>PO-COMP-0526</t>
  </si>
  <si>
    <t>SYN-PO-AUTH-0526</t>
  </si>
  <si>
    <t>PO-COMP-0527</t>
  </si>
  <si>
    <t>SYN-PO-AUTH-0527</t>
  </si>
  <si>
    <t>PO-COMP-0528</t>
  </si>
  <si>
    <t>SYN-PO-AUTH-0528</t>
  </si>
  <si>
    <t>PO-COMP-0529</t>
  </si>
  <si>
    <t>SYN-PO-AUTH-0529</t>
  </si>
  <si>
    <t>PO-COMP-0530</t>
  </si>
  <si>
    <t>SYN-PO-AUTH-0530</t>
  </si>
  <si>
    <t>PO-COMP-0531</t>
  </si>
  <si>
    <t>SYN-PO-AUTH-0531</t>
  </si>
  <si>
    <t>PO-COMP-0532</t>
  </si>
  <si>
    <t>SYN-PO-AUTH-0532</t>
  </si>
  <si>
    <t>PO-COMP-0533</t>
  </si>
  <si>
    <t>SYN-PO-AUTH-0533</t>
  </si>
  <si>
    <t>PO-COMP-0534</t>
  </si>
  <si>
    <t>SYN-PO-AUTH-0534</t>
  </si>
  <si>
    <t>PO-COMP-0535</t>
  </si>
  <si>
    <t>SYN-PO-AUTH-0535</t>
  </si>
  <si>
    <t>PO-COMP-0536</t>
  </si>
  <si>
    <t>SYN-PO-AUTH-0536</t>
  </si>
  <si>
    <t>PO-COMP-0537</t>
  </si>
  <si>
    <t>SYN-PO-AUTH-0537</t>
  </si>
  <si>
    <t>PO-COMP-0538</t>
  </si>
  <si>
    <t>SYN-PO-AUTH-0538</t>
  </si>
  <si>
    <t>PO-COMP-0539</t>
  </si>
  <si>
    <t>SYN-PO-AUTH-0539</t>
  </si>
  <si>
    <t>PO-COMP-0540</t>
  </si>
  <si>
    <t>SYN-PO-AUTH-0540</t>
  </si>
  <si>
    <t>PO-COMP-0541</t>
  </si>
  <si>
    <t>SYN-PO-AUTH-0541</t>
  </si>
  <si>
    <t>PO-COMP-0542</t>
  </si>
  <si>
    <t>SYN-PO-AUTH-0542</t>
  </si>
  <si>
    <t>PO-COMP-0543</t>
  </si>
  <si>
    <t>SYN-PO-AUTH-0543</t>
  </si>
  <si>
    <t>PO-COMP-0544</t>
  </si>
  <si>
    <t>SYN-PO-AUTH-0544</t>
  </si>
  <si>
    <t>PO-COMP-0545</t>
  </si>
  <si>
    <t>SYN-PO-AUTH-0545</t>
  </si>
  <si>
    <t>PO-COMP-0546</t>
  </si>
  <si>
    <t>SYN-PO-AUTH-0546</t>
  </si>
  <si>
    <t>PO-COMP-0547</t>
  </si>
  <si>
    <t>SYN-PO-AUTH-0547</t>
  </si>
  <si>
    <t>PO-COMP-0548</t>
  </si>
  <si>
    <t>SYN-PO-AUTH-0548</t>
  </si>
  <si>
    <t>PO-COMP-0549</t>
  </si>
  <si>
    <t>SYN-PO-AUTH-0549</t>
  </si>
  <si>
    <t>PO-COMP-0550</t>
  </si>
  <si>
    <t>SYN-PO-AUTH-0550</t>
  </si>
  <si>
    <t>PO-COMP-0551</t>
  </si>
  <si>
    <t>SYN-PO-AUTH-0551</t>
  </si>
  <si>
    <t>PO-COMP-0552</t>
  </si>
  <si>
    <t>SYN-PO-AUTH-0552</t>
  </si>
  <si>
    <t>PO-COMP-0553</t>
  </si>
  <si>
    <t>SYN-PO-AUTH-0553</t>
  </si>
  <si>
    <t>PO-COMP-0554</t>
  </si>
  <si>
    <t>SYN-PO-AUTH-0554</t>
  </si>
  <si>
    <t>PO-COMP-0555</t>
  </si>
  <si>
    <t>SYN-PO-AUTH-0555</t>
  </si>
  <si>
    <t>PO-COMP-0556</t>
  </si>
  <si>
    <t>SYN-PO-AUTH-0556</t>
  </si>
  <si>
    <t>PO-COMP-0557</t>
  </si>
  <si>
    <t>SYN-PO-AUTH-0557</t>
  </si>
  <si>
    <t>PO-COMP-0558</t>
  </si>
  <si>
    <t>SYN-PO-AUTH-0558</t>
  </si>
  <si>
    <t>PO-COMP-0559</t>
  </si>
  <si>
    <t>SYN-PO-AUTH-0559</t>
  </si>
  <si>
    <t>PO-COMP-0560</t>
  </si>
  <si>
    <t>SYN-PO-AUTH-0560</t>
  </si>
  <si>
    <t>PO-COMP-0561</t>
  </si>
  <si>
    <t>SYN-PO-AUTH-0561</t>
  </si>
  <si>
    <t>PO-COMP-0562</t>
  </si>
  <si>
    <t>SYN-PO-AUTH-0562</t>
  </si>
  <si>
    <t>PO-COMP-0563</t>
  </si>
  <si>
    <t>SYN-PO-AUTH-0563</t>
  </si>
  <si>
    <t>PO-COMP-0564</t>
  </si>
  <si>
    <t>SYN-PO-AUTH-0564</t>
  </si>
  <si>
    <t>PO-COMP-0565</t>
  </si>
  <si>
    <t>SYN-PO-AUTH-0565</t>
  </si>
  <si>
    <t>PO-COMP-0566</t>
  </si>
  <si>
    <t>SYN-PO-AUTH-0566</t>
  </si>
  <si>
    <t>PO-COMP-0567</t>
  </si>
  <si>
    <t>SYN-PO-AUTH-0567</t>
  </si>
  <si>
    <t>PO-COMP-0568</t>
  </si>
  <si>
    <t>SYN-PO-AUTH-0568</t>
  </si>
  <si>
    <t>PO-COMP-0569</t>
  </si>
  <si>
    <t>SYN-PO-AUTH-0569</t>
  </si>
  <si>
    <t>PO-COMP-0570</t>
  </si>
  <si>
    <t>SYN-PO-AUTH-0570</t>
  </si>
  <si>
    <t>PO-COMP-0571</t>
  </si>
  <si>
    <t>SYN-PO-AUTH-0571</t>
  </si>
  <si>
    <t>PO-COMP-0572</t>
  </si>
  <si>
    <t>SYN-PO-AUTH-0572</t>
  </si>
  <si>
    <t>PO-COMP-0573</t>
  </si>
  <si>
    <t>SYN-PO-AUTH-0573</t>
  </si>
  <si>
    <t>PO-COMP-0574</t>
  </si>
  <si>
    <t>SYN-PO-AUTH-0574</t>
  </si>
  <si>
    <t>PO-COMP-0575</t>
  </si>
  <si>
    <t>SYN-PO-AUTH-0575</t>
  </si>
  <si>
    <t>PO-COMP-0576</t>
  </si>
  <si>
    <t>SYN-PO-AUTH-0576</t>
  </si>
  <si>
    <t>PO-COMP-0577</t>
  </si>
  <si>
    <t>SYN-PO-AUTH-0577</t>
  </si>
  <si>
    <t>PO-COMP-0578</t>
  </si>
  <si>
    <t>SYN-PO-AUTH-0578</t>
  </si>
  <si>
    <t>PO-COMP-0579</t>
  </si>
  <si>
    <t>SYN-PO-AUTH-0579</t>
  </si>
  <si>
    <t>PO-COMP-0580</t>
  </si>
  <si>
    <t>SYN-PO-AUTH-0580</t>
  </si>
  <si>
    <t>PO-COMP-0581</t>
  </si>
  <si>
    <t>SYN-PO-AUTH-0581</t>
  </si>
  <si>
    <t>PO-COMP-0582</t>
  </si>
  <si>
    <t>SYN-PO-AUTH-0582</t>
  </si>
  <si>
    <t>PO-COMP-0583</t>
  </si>
  <si>
    <t>SYN-PO-AUTH-0583</t>
  </si>
  <si>
    <t>PO-COMP-0584</t>
  </si>
  <si>
    <t>SYN-PO-AUTH-0584</t>
  </si>
  <si>
    <t>PO-COMP-0585</t>
  </si>
  <si>
    <t>SYN-PO-AUTH-0585</t>
  </si>
  <si>
    <t>PO-COMP-0586</t>
  </si>
  <si>
    <t>SYN-PO-AUTH-0586</t>
  </si>
  <si>
    <t>PO-COMP-0587</t>
  </si>
  <si>
    <t>SYN-PO-AUTH-0587</t>
  </si>
  <si>
    <t>PO-COMP-0588</t>
  </si>
  <si>
    <t>SYN-PO-AUTH-0588</t>
  </si>
  <si>
    <t>PO-COMP-0589</t>
  </si>
  <si>
    <t>SYN-PO-AUTH-0589</t>
  </si>
  <si>
    <t>PO-COMP-0590</t>
  </si>
  <si>
    <t>SYN-PO-AUTH-0590</t>
  </si>
  <si>
    <t>PO-COMP-0591</t>
  </si>
  <si>
    <t>SYN-PO-AUTH-0591</t>
  </si>
  <si>
    <t>PO-COMP-0592</t>
  </si>
  <si>
    <t>SYN-PO-AUTH-0592</t>
  </si>
  <si>
    <t>PO-COMP-0593</t>
  </si>
  <si>
    <t>SYN-PO-AUTH-0593</t>
  </si>
  <si>
    <t>PO-COMP-0594</t>
  </si>
  <si>
    <t>SYN-PO-AUTH-0594</t>
  </si>
  <si>
    <t>PO-COMP-0595</t>
  </si>
  <si>
    <t>SYN-PO-AUTH-0595</t>
  </si>
  <si>
    <t>PO-COMP-0596</t>
  </si>
  <si>
    <t>SYN-PO-AUTH-0596</t>
  </si>
  <si>
    <t>PO-COMP-0597</t>
  </si>
  <si>
    <t>SYN-PO-AUTH-0597</t>
  </si>
  <si>
    <t>PO-COMP-0598</t>
  </si>
  <si>
    <t>SYN-PO-AUTH-0598</t>
  </si>
  <si>
    <t>PO-COMP-0599</t>
  </si>
  <si>
    <t>SYN-PO-AUTH-0599</t>
  </si>
  <si>
    <t>PO-COMP-0600</t>
  </si>
  <si>
    <t>SYN-PO-AUTH-0600</t>
  </si>
  <si>
    <t>PO-COMP-0601</t>
  </si>
  <si>
    <t>SYN-PO-AUTH-0601</t>
  </si>
  <si>
    <t>PO-COMP-0602</t>
  </si>
  <si>
    <t>SYN-PO-AUTH-0602</t>
  </si>
  <si>
    <t>PO-COMP-0603</t>
  </si>
  <si>
    <t>SYN-PO-AUTH-0603</t>
  </si>
  <si>
    <t>PO-COMP-0604</t>
  </si>
  <si>
    <t>SYN-PO-AUTH-0604</t>
  </si>
  <si>
    <t>PO-COMP-0605</t>
  </si>
  <si>
    <t>SYN-PO-AUTH-0605</t>
  </si>
  <si>
    <t>PO-COMP-0606</t>
  </si>
  <si>
    <t>SYN-PO-AUTH-0606</t>
  </si>
  <si>
    <t>PO-COMP-0607</t>
  </si>
  <si>
    <t>SYN-PO-AUTH-0607</t>
  </si>
  <si>
    <t>PO-COMP-0608</t>
  </si>
  <si>
    <t>SYN-PO-AUTH-0608</t>
  </si>
  <si>
    <t>PO-COMP-0609</t>
  </si>
  <si>
    <t>SYN-PO-AUTH-0609</t>
  </si>
  <si>
    <t>PO-COMP-0610</t>
  </si>
  <si>
    <t>SYN-PO-AUTH-0610</t>
  </si>
  <si>
    <t>PO-COMP-0611</t>
  </si>
  <si>
    <t>SYN-PO-AUTH-0611</t>
  </si>
  <si>
    <t>PO-COMP-0612</t>
  </si>
  <si>
    <t>SYN-PO-AUTH-0612</t>
  </si>
  <si>
    <t>PO-COMP-0613</t>
  </si>
  <si>
    <t>SYN-PO-AUTH-0613</t>
  </si>
  <si>
    <t>PO-COMP-0614</t>
  </si>
  <si>
    <t>SYN-PO-AUTH-0614</t>
  </si>
  <si>
    <t>PO-COMP-0615</t>
  </si>
  <si>
    <t>SYN-PO-AUTH-0615</t>
  </si>
  <si>
    <t>PO-COMP-0616</t>
  </si>
  <si>
    <t>SYN-PO-AUTH-0616</t>
  </si>
  <si>
    <t>PO-COMP-0617</t>
  </si>
  <si>
    <t>SYN-PO-AUTH-0617</t>
  </si>
  <si>
    <t>PO-COMP-0618</t>
  </si>
  <si>
    <t>SYN-PO-AUTH-0618</t>
  </si>
  <si>
    <t>PO-COMP-0619</t>
  </si>
  <si>
    <t>SYN-PO-AUTH-0619</t>
  </si>
  <si>
    <t>PO-COMP-0620</t>
  </si>
  <si>
    <t>SYN-PO-AUTH-0620</t>
  </si>
  <si>
    <t>PO-COMP-0621</t>
  </si>
  <si>
    <t>SYN-PO-AUTH-0621</t>
  </si>
  <si>
    <t>PO-COMP-0622</t>
  </si>
  <si>
    <t>SYN-PO-AUTH-0622</t>
  </si>
  <si>
    <t>PO-COMP-0623</t>
  </si>
  <si>
    <t>SYN-PO-AUTH-0623</t>
  </si>
  <si>
    <t>PO-COMP-0624</t>
  </si>
  <si>
    <t>SYN-PO-AUTH-0624</t>
  </si>
  <si>
    <t>PO-COMP-0625</t>
  </si>
  <si>
    <t>SYN-PO-AUTH-0625</t>
  </si>
  <si>
    <t>PO-COMP-0626</t>
  </si>
  <si>
    <t>SYN-PO-AUTH-0626</t>
  </si>
  <si>
    <t>PO-COMP-0627</t>
  </si>
  <si>
    <t>SYN-PO-AUTH-0627</t>
  </si>
  <si>
    <t>PO-COMP-0628</t>
  </si>
  <si>
    <t>SYN-PO-AUTH-0628</t>
  </si>
  <si>
    <t>PO-COMP-0629</t>
  </si>
  <si>
    <t>SYN-PO-AUTH-0629</t>
  </si>
  <si>
    <t>PO-COMP-0630</t>
  </si>
  <si>
    <t>SYN-PO-AUTH-0630</t>
  </si>
  <si>
    <t>PO-COMP-0631</t>
  </si>
  <si>
    <t>SYN-PO-AUTH-0631</t>
  </si>
  <si>
    <t>PO-COMP-0632</t>
  </si>
  <si>
    <t>SYN-PO-AUTH-0632</t>
  </si>
  <si>
    <t>PO-COMP-0633</t>
  </si>
  <si>
    <t>SYN-PO-AUTH-0633</t>
  </si>
  <si>
    <t>PO-COMP-0634</t>
  </si>
  <si>
    <t>SYN-PO-AUTH-0634</t>
  </si>
  <si>
    <t>PO-COMP-0635</t>
  </si>
  <si>
    <t>SYN-PO-AUTH-0635</t>
  </si>
  <si>
    <t>PO-COMP-0636</t>
  </si>
  <si>
    <t>SYN-PO-AUTH-0636</t>
  </si>
  <si>
    <t>PO-COMP-0637</t>
  </si>
  <si>
    <t>SYN-PO-AUTH-0637</t>
  </si>
  <si>
    <t>PO-COMP-0638</t>
  </si>
  <si>
    <t>SYN-PO-AUTH-0638</t>
  </si>
  <si>
    <t>PO-COMP-0639</t>
  </si>
  <si>
    <t>SYN-PO-AUTH-0639</t>
  </si>
  <si>
    <t>PO-COMP-0640</t>
  </si>
  <si>
    <t>SYN-PO-AUTH-0640</t>
  </si>
  <si>
    <t>PO-COMP-0641</t>
  </si>
  <si>
    <t>SYN-PO-AUTH-0641</t>
  </si>
  <si>
    <t>PO-COMP-0642</t>
  </si>
  <si>
    <t>SYN-PO-AUTH-0642</t>
  </si>
  <si>
    <t>PO-COMP-0643</t>
  </si>
  <si>
    <t>SYN-PO-AUTH-0643</t>
  </si>
  <si>
    <t>PO-COMP-0644</t>
  </si>
  <si>
    <t>SYN-PO-AUTH-0644</t>
  </si>
  <si>
    <t>PO-COMP-0645</t>
  </si>
  <si>
    <t>SYN-PO-AUTH-0645</t>
  </si>
  <si>
    <t>PO-COMP-0646</t>
  </si>
  <si>
    <t>SYN-PO-AUTH-0646</t>
  </si>
  <si>
    <t>PO-COMP-0647</t>
  </si>
  <si>
    <t>SYN-PO-AUTH-0647</t>
  </si>
  <si>
    <t>PO-COMP-0648</t>
  </si>
  <si>
    <t>SYN-PO-AUTH-0648</t>
  </si>
  <si>
    <t>PO-COMP-0649</t>
  </si>
  <si>
    <t>SYN-PO-AUTH-0649</t>
  </si>
  <si>
    <t>PO-COMP-0650</t>
  </si>
  <si>
    <t>SYN-PO-AUTH-0650</t>
  </si>
  <si>
    <t>PO-COMP-0651</t>
  </si>
  <si>
    <t>SYN-PO-AUTH-0651</t>
  </si>
  <si>
    <t>PO-COMP-0652</t>
  </si>
  <si>
    <t>SYN-PO-AUTH-0652</t>
  </si>
  <si>
    <t>PO-COMP-0653</t>
  </si>
  <si>
    <t>SYN-PO-AUTH-0653</t>
  </si>
  <si>
    <t>PO-COMP-0654</t>
  </si>
  <si>
    <t>SYN-PO-AUTH-0654</t>
  </si>
  <si>
    <t>PO-COMP-0655</t>
  </si>
  <si>
    <t>SYN-PO-AUTH-0655</t>
  </si>
  <si>
    <t>PO-COMP-0656</t>
  </si>
  <si>
    <t>SYN-PO-AUTH-0656</t>
  </si>
  <si>
    <t>PO-COMP-0657</t>
  </si>
  <si>
    <t>SYN-PO-AUTH-0657</t>
  </si>
  <si>
    <t>PO-COMP-0658</t>
  </si>
  <si>
    <t>SYN-PO-AUTH-0658</t>
  </si>
  <si>
    <t>PO-COMP-0659</t>
  </si>
  <si>
    <t>SYN-PO-AUTH-0659</t>
  </si>
  <si>
    <t>PO-COMP-0660</t>
  </si>
  <si>
    <t>SYN-PO-AUTH-0660</t>
  </si>
  <si>
    <t>PO-COMP-0661</t>
  </si>
  <si>
    <t>SYN-PO-AUTH-0661</t>
  </si>
  <si>
    <t>PO-COMP-0662</t>
  </si>
  <si>
    <t>SYN-PO-AUTH-0662</t>
  </si>
  <si>
    <t>PO-COMP-0663</t>
  </si>
  <si>
    <t>SYN-PO-AUTH-0663</t>
  </si>
  <si>
    <t>PO-COMP-0664</t>
  </si>
  <si>
    <t>SYN-PO-AUTH-0664</t>
  </si>
  <si>
    <t>PO-COMP-0665</t>
  </si>
  <si>
    <t>SYN-PO-AUTH-0665</t>
  </si>
  <si>
    <t>PO-COMP-0666</t>
  </si>
  <si>
    <t>SYN-PO-AUTH-0666</t>
  </si>
  <si>
    <t>DELIVERY-S01-2026-07-4</t>
  </si>
  <si>
    <t>INV-SALE-S01-2026-07-04</t>
  </si>
  <si>
    <t>Liquidity planning</t>
  </si>
  <si>
    <t>Cadangan kas grup Desember internal adalah USD 45 juta, indikator rencana ekspansi fiktif, bukan kovenan. Kas lokasi mendatang yang negatif menunjukkan kebutuhan pendanaan belum dialokasikan, bukan cerukan disetujui. Alokasi pendanaan antarentitas di luar model dan harus diputuskan terpisah. Angka kumulatif sejak Juni bukan YTD fiskal penuh.</t>
  </si>
  <si>
    <t>Jumlah manajemen mencakup Juni sampai Desember. Cadangan kas grup Desember USD 45 juta adalah indikator rencana ekspansi internal, bukan kovenan pemberi pinjaman. Kas lokasi prakiraan yang negatif menunjukkan kebutuhan pendanaan sebelum alokasi antarentitas.</t>
  </si>
  <si>
    <t>Tiga penyesuaian pengendali yang disetujui</t>
  </si>
  <si>
    <t>Sumber operasi harian yang disetujui</t>
  </si>
  <si>
    <t>Kurs Juni-Agustus disetujui; kurs mendatang adalah asumsi</t>
  </si>
  <si>
    <t>Anggaran biaya/belanja modal Juni-Agustus; anggaran mendatang adalah asumsi</t>
  </si>
  <si>
    <t>Kontrak penjualan dan hitungan fisik sintetis baru</t>
  </si>
  <si>
    <t>Kejadian penyelesaian, tanggal dan referensi laporan sintetis baru</t>
  </si>
  <si>
    <t>Komitmen komponen baru: sisa belum diterima 15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</si>
</sst>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mm\-yyyy"/>
    <numFmt numFmtId="165" formatCode="#,##0.00;[Red]\(#,##0.00\);&quot;-&quot;"/>
    <numFmt numFmtId="166" formatCode="0.0000000"/>
    <numFmt numFmtId="167" formatCode="dd\-mmm\-yyyy"/>
    <numFmt numFmtId="168" formatCode="#,##0.000"/>
    <numFmt numFmtId="169" formatCode="0.0%"/>
    <numFmt numFmtId="170" formatCode="0.000000000"/>
    <numFmt numFmtId="171" formatCode="#,##0.00;[Red]\(#,##0.00\)"/>
  </numFmts>
  <fonts count="5" x14ac:knownFonts="1">
    <font>
      <sz val="11"/>
      <color theme="1"/>
      <name val="Calibri"/>
      <family val="2"/>
      <scheme val="minor"/>
    </font>
    <font>
      <b/>
      <sz val="10"/>
      <color rgb="FFFFFFFF"/>
      <name val="Aptos"/>
    </font>
    <font>
      <sz val="10"/>
      <color rgb="FF244E80"/>
      <name val="Aptos"/>
    </font>
    <font>
      <sz val="10"/>
      <color rgb="FF006250"/>
      <name val="Aptos"/>
    </font>
    <font>
      <b/>
      <sz val="11"/>
      <color rgb="FF123247"/>
      <name val="Aptos"/>
    </font>
  </fonts>
  <fills count="5">
    <fill>
      <patternFill patternType="none"/>
    </fill>
    <fill>
      <patternFill patternType="gray125"/>
    </fill>
    <fill>
      <patternFill patternType="solid">
        <fgColor rgb="FF123247"/>
      </patternFill>
    </fill>
    <fill>
      <patternFill patternType="solid">
        <fgColor rgb="FFFFF0CE"/>
      </patternFill>
    </fill>
    <fill>
      <patternFill patternType="solid">
        <fgColor rgb="FFE0F0EE"/>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0" fillId="3" borderId="0" xfId="0" applyFill="1"/>
    <xf numFmtId="164" fontId="2" fillId="0" borderId="0" xfId="0" applyNumberFormat="1" applyFont="1" applyAlignment="1">
      <alignment vertical="top"/>
    </xf>
    <xf numFmtId="166" fontId="2" fillId="0" borderId="0" xfId="0" applyNumberFormat="1" applyFont="1" applyAlignment="1">
      <alignment vertical="top"/>
    </xf>
    <xf numFmtId="167" fontId="2" fillId="0" borderId="0" xfId="0" applyNumberFormat="1" applyFont="1" applyAlignment="1">
      <alignment vertical="top"/>
    </xf>
    <xf numFmtId="165" fontId="2" fillId="0" borderId="0" xfId="0" applyNumberFormat="1" applyFont="1" applyAlignment="1">
      <alignment vertical="top"/>
    </xf>
    <xf numFmtId="165" fontId="3" fillId="0" borderId="0" xfId="0" applyNumberFormat="1" applyFont="1" applyAlignment="1">
      <alignment vertical="top" wrapText="1"/>
    </xf>
    <xf numFmtId="164" fontId="3" fillId="0" borderId="0" xfId="0" applyNumberFormat="1" applyFont="1" applyAlignment="1">
      <alignment vertical="top" wrapText="1"/>
    </xf>
    <xf numFmtId="165" fontId="3" fillId="0" borderId="0" xfId="0" applyNumberFormat="1" applyFont="1" applyAlignment="1">
      <alignment vertical="top"/>
    </xf>
    <xf numFmtId="0" fontId="0" fillId="0" borderId="0" xfId="0" applyAlignment="1">
      <alignment wrapText="1"/>
    </xf>
    <xf numFmtId="168" fontId="2" fillId="0" borderId="0" xfId="0" applyNumberFormat="1" applyFont="1" applyAlignment="1">
      <alignment vertical="top"/>
    </xf>
    <xf numFmtId="165" fontId="2" fillId="3" borderId="0" xfId="0" applyNumberFormat="1" applyFont="1" applyFill="1" applyAlignment="1">
      <alignment vertical="top"/>
    </xf>
    <xf numFmtId="169" fontId="2" fillId="3" borderId="0" xfId="0" applyNumberFormat="1" applyFont="1" applyFill="1" applyAlignment="1">
      <alignment vertical="top"/>
    </xf>
    <xf numFmtId="168" fontId="3" fillId="0" borderId="0" xfId="0" applyNumberFormat="1" applyFont="1" applyAlignment="1">
      <alignment vertical="top" wrapText="1"/>
    </xf>
    <xf numFmtId="168" fontId="2" fillId="3" borderId="0" xfId="0" applyNumberFormat="1" applyFont="1" applyFill="1" applyAlignment="1">
      <alignment vertical="top"/>
    </xf>
    <xf numFmtId="168" fontId="3" fillId="0" borderId="0" xfId="0" applyNumberFormat="1" applyFont="1" applyAlignment="1">
      <alignment vertical="top"/>
    </xf>
    <xf numFmtId="170" fontId="3" fillId="0" borderId="0" xfId="0" applyNumberFormat="1" applyFont="1" applyAlignment="1">
      <alignment vertical="top"/>
    </xf>
    <xf numFmtId="170" fontId="3" fillId="0" borderId="0" xfId="0" applyNumberFormat="1" applyFont="1" applyAlignment="1">
      <alignment vertical="top" wrapText="1"/>
    </xf>
    <xf numFmtId="166" fontId="3" fillId="0" borderId="0" xfId="0" applyNumberFormat="1" applyFont="1" applyAlignment="1">
      <alignment vertical="top" wrapText="1"/>
    </xf>
    <xf numFmtId="166" fontId="3" fillId="0" borderId="0" xfId="0" applyNumberFormat="1" applyFont="1" applyAlignment="1">
      <alignment vertical="top"/>
    </xf>
    <xf numFmtId="0" fontId="4" fillId="4" borderId="0" xfId="0" applyFont="1" applyFill="1"/>
    <xf numFmtId="171" fontId="4" fillId="4" borderId="0" xfId="0" applyNumberFormat="1" applyFont="1" applyFill="1"/>
    <xf numFmtId="3" fontId="0" fillId="3" borderId="0" xfId="0" applyNumberFormat="1" applyFill="1"/>
    <xf numFmtId="169" fontId="0" fillId="3" borderId="0" xfId="0" applyNumberFormat="1" applyFill="1"/>
  </cellXfs>
  <cellStyles count="1">
    <cellStyle name="Normal" xfId="0" builtinId="0"/>
  </cellStyles>
  <dxfs count="3">
    <dxf>
      <fill>
        <patternFill patternType="solid">
          <fgColor rgb="FFFCE1DB"/>
        </patternFill>
      </fill>
    </dxf>
    <dxf>
      <numFmt numFmtId="165" formatCode="#,##0.00;[Red]\(#,##0.00\);&quot;-&quot;"/>
    </dxf>
    <dxf>
      <numFmt numFmtId="165" formatCode="#,##0.00;[Red]\(#,##0.00\);&quot;-&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Guide" displayName="tblGuide" ref="A1:B19">
  <autoFilter ref="A1:B19" xr:uid="{00000000-0009-0000-0100-000001000000}"/>
  <tableColumns count="2">
    <tableColumn id="1" xr3:uid="{00000000-0010-0000-0000-000001000000}" name="Topic"/>
    <tableColumn id="2" xr3:uid="{00000000-0010-0000-0000-000002000000}" name="Explan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Model_Rules" displayName="tblModel_Rules" ref="A1:C9">
  <autoFilter ref="A1:C9" xr:uid="{00000000-0009-0000-0100-000002000000}"/>
  <tableColumns count="3">
    <tableColumn id="1" xr3:uid="{00000000-0010-0000-0100-000001000000}" name="RuleID"/>
    <tableColumn id="2" xr3:uid="{00000000-0010-0000-0100-000002000000}" name="Topic"/>
    <tableColumn id="3" xr3:uid="{00000000-0010-0000-0100-000003000000}" name="Ru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FX" displayName="tblFX" ref="A1:F22">
  <autoFilter ref="A1:F22" xr:uid="{00000000-0009-0000-0100-000003000000}"/>
  <tableColumns count="6">
    <tableColumn id="1" xr3:uid="{00000000-0010-0000-0200-000001000000}" name="FXKey"/>
    <tableColumn id="2" xr3:uid="{00000000-0010-0000-0200-000002000000}" name="Period"/>
    <tableColumn id="3" xr3:uid="{00000000-0010-0000-0200-000003000000}" name="Currency"/>
    <tableColumn id="4" xr3:uid="{00000000-0010-0000-0200-000004000000}" name="USD_per_unit"/>
    <tableColumn id="5" xr3:uid="{00000000-0010-0000-0200-000005000000}" name="ReleaseStatus"/>
    <tableColumn id="6" xr3:uid="{00000000-0010-0000-0200-000006000000}" name="EvidenceRe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Parameters" displayName="tblParameters" ref="J1:M11">
  <autoFilter ref="J1:M11" xr:uid="{00000000-0009-0000-0100-000004000000}"/>
  <tableColumns count="4">
    <tableColumn id="10" xr3:uid="{00000000-0010-0000-0300-00000A000000}" name="Parameter"/>
    <tableColumn id="11" xr3:uid="{00000000-0010-0000-0300-00000B000000}" name="Value"/>
    <tableColumn id="12" xr3:uid="{00000000-0010-0000-0300-00000C000000}" name="Unit"/>
    <tableColumn id="13" xr3:uid="{00000000-0010-0000-0300-00000D000000}" name="Explanation"/>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eriod_Status" displayName="tblPeriod_Status" ref="A1:E8">
  <autoFilter ref="A1:E8" xr:uid="{00000000-0009-0000-0100-000005000000}"/>
  <tableColumns count="5">
    <tableColumn id="1" xr3:uid="{00000000-0010-0000-0400-000001000000}" name="Period"/>
    <tableColumn id="2" xr3:uid="{00000000-0010-0000-0400-000002000000}" name="Status"/>
    <tableColumn id="3" xr3:uid="{00000000-0010-0000-0400-000003000000}" name="ReleaseRef"/>
    <tableColumn id="4" xr3:uid="{00000000-0010-0000-0400-000004000000}" name="CloseDate"/>
    <tableColumn id="5" xr3:uid="{00000000-0010-0000-0400-000005000000}" name="Own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lementSchedule" displayName="tblSettlementSchedule" ref="A1:P4616">
  <autoFilter ref="A1:P4616" xr:uid="{00000000-0009-0000-0100-000006000000}"/>
  <tableColumns count="16">
    <tableColumn id="1" xr3:uid="{00000000-0010-0000-0500-000001000000}" name="ApplicationID"/>
    <tableColumn id="2" xr3:uid="{00000000-0010-0000-0500-000002000000}" name="Site"/>
    <tableColumn id="3" xr3:uid="{00000000-0010-0000-0500-000003000000}" name="SettlementDate"/>
    <tableColumn id="4" xr3:uid="{00000000-0010-0000-0500-000004000000}" name="Period"/>
    <tableColumn id="5" xr3:uid="{00000000-0010-0000-0500-000005000000}" name="EventType"/>
    <tableColumn id="6" xr3:uid="{00000000-0010-0000-0500-000006000000}" name="OriginID"/>
    <tableColumn id="7" xr3:uid="{00000000-0010-0000-0500-000007000000}" name="OriginPeriod"/>
    <tableColumn id="8" xr3:uid="{00000000-0010-0000-0500-000008000000}" name="ReleaseStatus"/>
    <tableColumn id="9" xr3:uid="{00000000-0010-0000-0500-000009000000}" name="Currency"/>
    <tableColumn id="10" xr3:uid="{00000000-0010-0000-0500-00000A000000}" name="AppliedLocal"/>
    <tableColumn id="11" xr3:uid="{00000000-0010-0000-0500-00000B000000}" name="SettlementFX"/>
    <tableColumn id="12" xr3:uid="{00000000-0010-0000-0500-00000C000000}" name="CashUSD"/>
    <tableColumn id="13" xr3:uid="{00000000-0010-0000-0500-00000D000000}" name="AppliedBookUSD"/>
    <tableColumn id="14" xr3:uid="{00000000-0010-0000-0500-00000E000000}" name="FeeUSD"/>
    <tableColumn id="15" xr3:uid="{00000000-0010-0000-0500-00000F000000}" name="PendingActualOrigin"/>
    <tableColumn id="16" xr3:uid="{00000000-0010-0000-0500-000010000000}" name="SourceRe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SettlementBridge" displayName="tblSettlementBridge" ref="A1:J4">
  <autoFilter ref="A1:J4" xr:uid="{00000000-0009-0000-0100-000007000000}"/>
  <tableColumns count="10">
    <tableColumn id="1" xr3:uid="{00000000-0010-0000-0600-000001000000}" name="Site"/>
    <tableColumn id="2" xr3:uid="{00000000-0010-0000-0600-000002000000}" name="SiteName"/>
    <tableColumn id="3" xr3:uid="{00000000-0010-0000-0600-000003000000}" name="ActualCutoffPeriod"/>
    <tableColumn id="4" xr3:uid="{00000000-0010-0000-0600-000004000000}" name="OutstandingARBookUSD"/>
    <tableColumn id="5" xr3:uid="{00000000-0010-0000-0600-000005000000}" name="DatedARBookUSD"/>
    <tableColumn id="6" xr3:uid="{00000000-0010-0000-0600-000006000000}" name="UnallocatedARBookUSD"/>
    <tableColumn id="7" xr3:uid="{00000000-0010-0000-0600-000007000000}" name="OutstandingAPBookUSD"/>
    <tableColumn id="8" xr3:uid="{00000000-0010-0000-0600-000008000000}" name="DatedAPBookUSD"/>
    <tableColumn id="9" xr3:uid="{00000000-0010-0000-0600-000009000000}" name="UnallocatedAPBookUSD"/>
    <tableColumn id="10" xr3:uid="{00000000-0010-0000-0600-00000A000000}" name="Allocation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Budget" displayName="tblBudget" ref="A1:W22">
  <autoFilter ref="A1:W22" xr:uid="{00000000-0009-0000-0100-000008000000}"/>
  <tableColumns count="23">
    <tableColumn id="1" xr3:uid="{00000000-0010-0000-0700-000001000000}" name="Key"/>
    <tableColumn id="2" xr3:uid="{00000000-0010-0000-0700-000002000000}" name="Site"/>
    <tableColumn id="3" xr3:uid="{00000000-0010-0000-0700-000003000000}" name="Period"/>
    <tableColumn id="4" xr3:uid="{00000000-0010-0000-0700-000004000000}" name="ProductionOz"/>
    <tableColumn id="5" xr3:uid="{00000000-0010-0000-0700-000005000000}" name="SalesOz"/>
    <tableColumn id="6" xr3:uid="{00000000-0010-0000-0700-000006000000}" name="RevenueUSD"/>
    <tableColumn id="7" xr3:uid="{00000000-0010-0000-0700-000007000000}" name="OpexUSD"/>
    <tableColumn id="8" xr3:uid="{00000000-0010-0000-0700-000008000000}" name="CapexUSD"/>
    <tableColumn id="9" xr3:uid="{00000000-0010-0000-0700-000009000000}" name="OperatingSurplusUSD"/>
    <tableColumn id="10" xr3:uid="{00000000-0010-0000-0700-00000A000000}" name="CollectionsUSD"/>
    <tableColumn id="11" xr3:uid="{00000000-0010-0000-0700-00000B000000}" name="VendorPaymentsUSD"/>
    <tableColumn id="12" xr3:uid="{00000000-0010-0000-0700-00000C000000}" name="BankFeesUSD"/>
    <tableColumn id="13" xr3:uid="{00000000-0010-0000-0700-00000D000000}" name="NetCashMovementUSD"/>
    <tableColumn id="14" xr3:uid="{00000000-0010-0000-0700-00000E000000}" name="6100"/>
    <tableColumn id="15" xr3:uid="{00000000-0010-0000-0700-00000F000000}" name="6110"/>
    <tableColumn id="16" xr3:uid="{00000000-0010-0000-0700-000010000000}" name="6120"/>
    <tableColumn id="17" xr3:uid="{00000000-0010-0000-0700-000011000000}" name="6130"/>
    <tableColumn id="18" xr3:uid="{00000000-0010-0000-0700-000012000000}" name="6140"/>
    <tableColumn id="19" xr3:uid="{00000000-0010-0000-0700-000013000000}" name="6150"/>
    <tableColumn id="20" xr3:uid="{00000000-0010-0000-0700-000014000000}" name="6160"/>
    <tableColumn id="21" xr3:uid="{00000000-0010-0000-0700-000015000000}" name="6170"/>
    <tableColumn id="22" xr3:uid="{00000000-0010-0000-0700-000016000000}" name="6180"/>
    <tableColumn id="23" xr3:uid="{00000000-0010-0000-0700-000017000000}" name="619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Snapshot" displayName="tblSnapshot" ref="A1:L7">
  <autoFilter ref="A1:L7" xr:uid="{00000000-0009-0000-0100-000009000000}"/>
  <tableColumns count="12">
    <tableColumn id="1" xr3:uid="{00000000-0010-0000-0800-000001000000}" name="Key"/>
    <tableColumn id="2" xr3:uid="{00000000-0010-0000-0800-000002000000}" name="Site"/>
    <tableColumn id="3" xr3:uid="{00000000-0010-0000-0800-000003000000}" name="Period"/>
    <tableColumn id="4" xr3:uid="{00000000-0010-0000-0800-000004000000}" name="ProductionOz"/>
    <tableColumn id="5" xr3:uid="{00000000-0010-0000-0800-000005000000}" name="SalesOz"/>
    <tableColumn id="6" xr3:uid="{00000000-0010-0000-0800-000006000000}" name="RevenueUSD"/>
    <tableColumn id="7" xr3:uid="{00000000-0010-0000-0800-000007000000}" name="OpexUSD"/>
    <tableColumn id="8" xr3:uid="{00000000-0010-0000-0800-000008000000}" name="CapexUSD"/>
    <tableColumn id="9" xr3:uid="{00000000-0010-0000-0800-000009000000}" name="CollectionsUSD"/>
    <tableColumn id="10" xr3:uid="{00000000-0010-0000-0800-00000A000000}" name="VendorPaymentsUSD"/>
    <tableColumn id="11" xr3:uid="{00000000-0010-0000-0800-00000B000000}" name="BankFeesUSD"/>
    <tableColumn id="12" xr3:uid="{00000000-0010-0000-0800-00000C000000}" name="Stat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Forecast_Drivers" displayName="tblForecast_Drivers" ref="A1:N22">
  <autoFilter ref="A1:N22" xr:uid="{00000000-0009-0000-0100-00000A000000}"/>
  <tableColumns count="14">
    <tableColumn id="1" xr3:uid="{00000000-0010-0000-0900-000001000000}" name="Key"/>
    <tableColumn id="2" xr3:uid="{00000000-0010-0000-0900-000002000000}" name="Site"/>
    <tableColumn id="3" xr3:uid="{00000000-0010-0000-0900-000003000000}" name="Period"/>
    <tableColumn id="4" xr3:uid="{00000000-0010-0000-0900-000004000000}" name="Days"/>
    <tableColumn id="5" xr3:uid="{00000000-0010-0000-0900-000005000000}" name="OreTonnesPerDay"/>
    <tableColumn id="6" xr3:uid="{00000000-0010-0000-0900-000006000000}" name="HeadGrade_gpt"/>
    <tableColumn id="7" xr3:uid="{00000000-0010-0000-0900-000007000000}" name="RecoveryPct"/>
    <tableColumn id="8" xr3:uid="{00000000-0010-0000-0900-000008000000}" name="ProductionOz"/>
    <tableColumn id="9" xr3:uid="{00000000-0010-0000-0900-000009000000}" name="ClosingBullionOz"/>
    <tableColumn id="10" xr3:uid="{00000000-0010-0000-0900-00000A000000}" name="PriceCurrency"/>
    <tableColumn id="11" xr3:uid="{00000000-0010-0000-0900-00000B000000}" name="PriceLocalPerOz"/>
    <tableColumn id="12" xr3:uid="{00000000-0010-0000-0900-00000C000000}" name="OpexFactor"/>
    <tableColumn id="13" xr3:uid="{00000000-0010-0000-0900-00000D000000}" name="CapexPlanUSD"/>
    <tableColumn id="14" xr3:uid="{00000000-0010-0000-0900-00000E000000}"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Gold_Stock" displayName="tblGold_Stock" ref="A1:I22">
  <autoFilter ref="A1:I22" xr:uid="{00000000-0009-0000-0100-00000B000000}"/>
  <tableColumns count="9">
    <tableColumn id="1" xr3:uid="{00000000-0010-0000-0A00-000001000000}" name="Key"/>
    <tableColumn id="2" xr3:uid="{00000000-0010-0000-0A00-000002000000}" name="Site"/>
    <tableColumn id="3" xr3:uid="{00000000-0010-0000-0A00-000003000000}" name="Period"/>
    <tableColumn id="4" xr3:uid="{00000000-0010-0000-0A00-000004000000}" name="OpeningOz"/>
    <tableColumn id="5" xr3:uid="{00000000-0010-0000-0A00-000005000000}" name="ProductionOz"/>
    <tableColumn id="6" xr3:uid="{00000000-0010-0000-0A00-000006000000}" name="ShippedOz"/>
    <tableColumn id="7" xr3:uid="{00000000-0010-0000-0A00-000007000000}" name="ClosingOz"/>
    <tableColumn id="8" xr3:uid="{00000000-0010-0000-0A00-000008000000}" name="BridgeResidualOz"/>
    <tableColumn id="9" xr3:uid="{00000000-0010-0000-0A00-000009000000}" name="CountRef"/>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Revenue" displayName="tblRevenue" ref="A1:J22">
  <autoFilter ref="A1:J22" xr:uid="{00000000-0009-0000-0100-00000C000000}"/>
  <tableColumns count="10">
    <tableColumn id="1" xr3:uid="{00000000-0010-0000-0B00-000001000000}" name="Key"/>
    <tableColumn id="2" xr3:uid="{00000000-0010-0000-0B00-000002000000}" name="Site"/>
    <tableColumn id="3" xr3:uid="{00000000-0010-0000-0B00-000003000000}" name="Period"/>
    <tableColumn id="4" xr3:uid="{00000000-0010-0000-0B00-000004000000}" name="ShippedOz"/>
    <tableColumn id="5" xr3:uid="{00000000-0010-0000-0B00-000005000000}" name="PriceBasisCurrency"/>
    <tableColumn id="6" xr3:uid="{00000000-0010-0000-0B00-000006000000}" name="PricePerOz"/>
    <tableColumn id="7" xr3:uid="{00000000-0010-0000-0B00-000007000000}" name="USDPerPriceUnit"/>
    <tableColumn id="8" xr3:uid="{00000000-0010-0000-0B00-000008000000}" name="RevenueUSD"/>
    <tableColumn id="9" xr3:uid="{00000000-0010-0000-0B00-000009000000}" name="RuleExpectedUSD"/>
    <tableColumn id="10" xr3:uid="{00000000-0010-0000-0B00-00000A000000}" name="ResidualUS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Operating_Costs" displayName="tblOperating_Costs" ref="A1:P22">
  <autoFilter ref="A1:P22" xr:uid="{00000000-0009-0000-0100-00000D000000}"/>
  <tableColumns count="16">
    <tableColumn id="1" xr3:uid="{00000000-0010-0000-0C00-000001000000}" name="Key"/>
    <tableColumn id="2" xr3:uid="{00000000-0010-0000-0C00-000002000000}" name="Site"/>
    <tableColumn id="3" xr3:uid="{00000000-0010-0000-0C00-000003000000}" name="Period"/>
    <tableColumn id="4" xr3:uid="{00000000-0010-0000-0C00-000004000000}" name="6100"/>
    <tableColumn id="5" xr3:uid="{00000000-0010-0000-0C00-000005000000}" name="6110"/>
    <tableColumn id="6" xr3:uid="{00000000-0010-0000-0C00-000006000000}" name="6120"/>
    <tableColumn id="7" xr3:uid="{00000000-0010-0000-0C00-000007000000}" name="6130"/>
    <tableColumn id="8" xr3:uid="{00000000-0010-0000-0C00-000008000000}" name="6140"/>
    <tableColumn id="9" xr3:uid="{00000000-0010-0000-0C00-000009000000}" name="6150"/>
    <tableColumn id="10" xr3:uid="{00000000-0010-0000-0C00-00000A000000}" name="6160"/>
    <tableColumn id="11" xr3:uid="{00000000-0010-0000-0C00-00000B000000}" name="6170"/>
    <tableColumn id="12" xr3:uid="{00000000-0010-0000-0C00-00000C000000}" name="6180"/>
    <tableColumn id="13" xr3:uid="{00000000-0010-0000-0C00-00000D000000}" name="6190"/>
    <tableColumn id="14" xr3:uid="{00000000-0010-0000-0C00-00000E000000}" name="TotalUSD"/>
    <tableColumn id="15" xr3:uid="{00000000-0010-0000-0C00-00000F000000}" name="ExpectedUSD"/>
    <tableColumn id="16" xr3:uid="{00000000-0010-0000-0C00-000010000000}" name="ResidualUS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Capex" displayName="tblCapex" ref="A1:G22">
  <autoFilter ref="A1:G22" xr:uid="{00000000-0009-0000-0100-00000E000000}"/>
  <tableColumns count="7">
    <tableColumn id="1" xr3:uid="{00000000-0010-0000-0D00-000001000000}" name="Key"/>
    <tableColumn id="2" xr3:uid="{00000000-0010-0000-0D00-000002000000}" name="Site"/>
    <tableColumn id="3" xr3:uid="{00000000-0010-0000-0D00-000003000000}" name="Period"/>
    <tableColumn id="4" xr3:uid="{00000000-0010-0000-0D00-000004000000}" name="CapexUSD"/>
    <tableColumn id="5" xr3:uid="{00000000-0010-0000-0D00-000005000000}" name="CommittedUSD"/>
    <tableColumn id="6" xr3:uid="{00000000-0010-0000-0D00-000006000000}" name="ExpectedUSD"/>
    <tableColumn id="7" xr3:uid="{00000000-0010-0000-0D00-000007000000}" name="ResidualUSD"/>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Cashflow" displayName="tblCashflow" ref="A1:U22">
  <autoFilter ref="A1:U22" xr:uid="{00000000-0009-0000-0100-00000F000000}"/>
  <tableColumns count="21">
    <tableColumn id="1" xr3:uid="{00000000-0010-0000-0E00-000001000000}" name="Key"/>
    <tableColumn id="2" xr3:uid="{00000000-0010-0000-0E00-000002000000}" name="Site"/>
    <tableColumn id="3" xr3:uid="{00000000-0010-0000-0E00-000003000000}" name="Period"/>
    <tableColumn id="4" xr3:uid="{00000000-0010-0000-0E00-000004000000}" name="OpeningCashUSD"/>
    <tableColumn id="5" xr3:uid="{00000000-0010-0000-0E00-000005000000}" name="CollectionsUSD"/>
    <tableColumn id="6" xr3:uid="{00000000-0010-0000-0E00-000006000000}" name="VendorPaymentsUSD"/>
    <tableColumn id="7" xr3:uid="{00000000-0010-0000-0E00-000007000000}" name="BankFeesUSD"/>
    <tableColumn id="8" xr3:uid="{00000000-0010-0000-0E00-000008000000}" name="NetCashMovementUSD"/>
    <tableColumn id="9" xr3:uid="{00000000-0010-0000-0E00-000009000000}" name="ClosingCashUSD"/>
    <tableColumn id="10" xr3:uid="{00000000-0010-0000-0E00-00000A000000}" name="OpeningARUSD"/>
    <tableColumn id="11" xr3:uid="{00000000-0010-0000-0E00-00000B000000}" name="InvoicesUSD"/>
    <tableColumn id="12" xr3:uid="{00000000-0010-0000-0E00-00000C000000}" name="AppliedBookUSD"/>
    <tableColumn id="13" xr3:uid="{00000000-0010-0000-0E00-00000D000000}" name="ClosingARUSD"/>
    <tableColumn id="14" xr3:uid="{00000000-0010-0000-0E00-00000E000000}" name="ExpectedCollectionsUSD"/>
    <tableColumn id="15" xr3:uid="{00000000-0010-0000-0E00-00000F000000}" name="ResidualUSD"/>
    <tableColumn id="16" xr3:uid="{00000000-0010-0000-0E00-000010000000}" name="OpeningAPUSD"/>
    <tableColumn id="17" xr3:uid="{00000000-0010-0000-0E00-000011000000}" name="CostsAndCapexUSD"/>
    <tableColumn id="18" xr3:uid="{00000000-0010-0000-0E00-000012000000}" name="AppliedPayableBookUSD"/>
    <tableColumn id="19" xr3:uid="{00000000-0010-0000-0E00-000013000000}" name="ClosingAPUSD"/>
    <tableColumn id="20" xr3:uid="{00000000-0010-0000-0E00-000014000000}" name="CollectionFXUSD"/>
    <tableColumn id="21" xr3:uid="{00000000-0010-0000-0E00-000015000000}" name="PaymentFXUSD"/>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Management_View" displayName="tblManagement_View" ref="A1:S22">
  <autoFilter ref="A1:S22" xr:uid="{00000000-0009-0000-0100-000010000000}"/>
  <tableColumns count="19">
    <tableColumn id="1" xr3:uid="{00000000-0010-0000-0F00-000001000000}" name="Key"/>
    <tableColumn id="2" xr3:uid="{00000000-0010-0000-0F00-000002000000}" name="Site"/>
    <tableColumn id="3" xr3:uid="{00000000-0010-0000-0F00-000003000000}" name="Period"/>
    <tableColumn id="4" xr3:uid="{00000000-0010-0000-0F00-000004000000}" name="RevenueUSD"/>
    <tableColumn id="5" xr3:uid="{00000000-0010-0000-0F00-000005000000}" name="OpexUSD"/>
    <tableColumn id="6" xr3:uid="{00000000-0010-0000-0F00-000006000000}" name="CapexUSD"/>
    <tableColumn id="7" xr3:uid="{00000000-0010-0000-0F00-000007000000}" name="OperatingSurplusUSD"/>
    <tableColumn id="8" xr3:uid="{00000000-0010-0000-0F00-000008000000}" name="ProductionOz"/>
    <tableColumn id="9" xr3:uid="{00000000-0010-0000-0F00-000009000000}" name="SalesOz"/>
    <tableColumn id="10" xr3:uid="{00000000-0010-0000-0F00-00000A000000}" name="CollectionsUSD"/>
    <tableColumn id="11" xr3:uid="{00000000-0010-0000-0F00-00000B000000}" name="NetCashMovementUSD"/>
    <tableColumn id="12" xr3:uid="{00000000-0010-0000-0F00-00000C000000}" name="ClosingCashUSD"/>
    <tableColumn id="13" xr3:uid="{00000000-0010-0000-0F00-00000D000000}" name="BudgetRevenueUSD"/>
    <tableColumn id="14" xr3:uid="{00000000-0010-0000-0F00-00000E000000}" name="BudgetOpexUSD"/>
    <tableColumn id="15" xr3:uid="{00000000-0010-0000-0F00-00000F000000}" name="BudgetCapexUSD"/>
    <tableColumn id="16" xr3:uid="{00000000-0010-0000-0F00-000010000000}" name="RevenueVarianceUSD"/>
    <tableColumn id="17" xr3:uid="{00000000-0010-0000-0F00-000011000000}" name="OpexVarianceUSD"/>
    <tableColumn id="18" xr3:uid="{00000000-0010-0000-0F00-000012000000}" name="CapexVarianceUSD"/>
    <tableColumn id="19" xr3:uid="{00000000-0010-0000-0F00-000013000000}" name="Period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blControls" displayName="tblControls" ref="A1:T22">
  <autoFilter ref="A1:T22" xr:uid="{00000000-0009-0000-0100-000011000000}"/>
  <tableColumns count="20">
    <tableColumn id="1" xr3:uid="{00000000-0010-0000-1000-000001000000}" name="Key"/>
    <tableColumn id="2" xr3:uid="{00000000-0010-0000-1000-000002000000}" name="Site"/>
    <tableColumn id="3" xr3:uid="{00000000-0010-0000-1000-000003000000}" name="Period"/>
    <tableColumn id="4" xr3:uid="{00000000-0010-0000-1000-000004000000}" name="OpexCertUSD"/>
    <tableColumn id="5" xr3:uid="{00000000-0010-0000-1000-000005000000}" name="CapexCertUSD"/>
    <tableColumn id="6" xr3:uid="{00000000-0010-0000-1000-000006000000}" name="ProductionCertOz"/>
    <tableColumn id="7" xr3:uid="{00000000-0010-0000-1000-000007000000}" name="RevenueCertUSD"/>
    <tableColumn id="8" xr3:uid="{00000000-0010-0000-1000-000008000000}" name="CollectionsCertUSD"/>
    <tableColumn id="9" xr3:uid="{00000000-0010-0000-1000-000009000000}" name="PaymentsCertUSD"/>
    <tableColumn id="10" xr3:uid="{00000000-0010-0000-1000-00000A000000}" name="FeesCertUSD"/>
    <tableColumn id="11" xr3:uid="{00000000-0010-0000-1000-00000B000000}" name="OpexDeltaUSD"/>
    <tableColumn id="12" xr3:uid="{00000000-0010-0000-1000-00000C000000}" name="CapexDeltaUSD"/>
    <tableColumn id="13" xr3:uid="{00000000-0010-0000-1000-00000D000000}" name="ProductionDeltaOz"/>
    <tableColumn id="14" xr3:uid="{00000000-0010-0000-1000-00000E000000}" name="RevenueDeltaUSD"/>
    <tableColumn id="15" xr3:uid="{00000000-0010-0000-1000-00000F000000}" name="StockDeltaOz"/>
    <tableColumn id="16" xr3:uid="{00000000-0010-0000-1000-000010000000}" name="CollectionsDeltaUSD"/>
    <tableColumn id="17" xr3:uid="{00000000-0010-0000-1000-000011000000}" name="JulySnapshotDeltaUSD"/>
    <tableColumn id="18" xr3:uid="{00000000-0010-0000-1000-000012000000}" name="Status"/>
    <tableColumn id="19" xr3:uid="{00000000-0010-0000-1000-000013000000}" name="VendorPaymentDeltaUSD" dataDxfId="2"/>
    <tableColumn id="20" xr3:uid="{00000000-0010-0000-1000-000014000000}" name="FeeDeltaUSD" dataDxfId="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blSource_Index" displayName="tblSource_Index" ref="A1:D10">
  <autoFilter ref="A1:D10" xr:uid="{00000000-0009-0000-0100-000012000000}"/>
  <tableColumns count="4">
    <tableColumn id="1" xr3:uid="{00000000-0010-0000-1100-000001000000}" name="Source"/>
    <tableColumn id="2" xr3:uid="{00000000-0010-0000-1100-000002000000}" name="FieldMapping"/>
    <tableColumn id="3" xr3:uid="{00000000-0010-0000-1100-000003000000}" name="SourceRows"/>
    <tableColumn id="4" xr3:uid="{00000000-0010-0000-1100-000004000000}" name="Explanatio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blChange_Log" displayName="tblChange_Log" ref="A1:E2">
  <autoFilter ref="A1:E2" xr:uid="{00000000-0009-0000-0100-000013000000}"/>
  <tableColumns count="5">
    <tableColumn id="1" xr3:uid="{00000000-0010-0000-1200-000001000000}" name="ChangeID"/>
    <tableColumn id="2" xr3:uid="{00000000-0010-0000-1200-000002000000}" name="Date"/>
    <tableColumn id="3" xr3:uid="{00000000-0010-0000-1200-000003000000}" name="Stage"/>
    <tableColumn id="4" xr3:uid="{00000000-0010-0000-1200-000004000000}" name="Owner"/>
    <tableColumn id="5" xr3:uid="{00000000-0010-0000-1200-000005000000}" name="Explanat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blData_Dictionary" displayName="tblData_Dictionary" ref="A1:C12">
  <autoFilter ref="A1:C12" xr:uid="{00000000-0009-0000-0100-000014000000}"/>
  <tableColumns count="3">
    <tableColumn id="1" xr3:uid="{00000000-0010-0000-1300-000001000000}" name="Field"/>
    <tableColumn id="2" xr3:uid="{00000000-0010-0000-1300-000002000000}" name="TypeOrMeaning"/>
    <tableColumn id="3" xr3:uid="{00000000-0010-0000-1300-000003000000}" name="Definitio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blSource" displayName="tblSource" ref="A1:R4592">
  <autoFilter ref="A1:R4592" xr:uid="{00000000-0009-0000-0100-000015000000}"/>
  <tableColumns count="18">
    <tableColumn id="1" xr3:uid="{00000000-0010-0000-1400-000001000000}" name="EventID"/>
    <tableColumn id="2" xr3:uid="{00000000-0010-0000-1400-000002000000}" name="Period"/>
    <tableColumn id="3" xr3:uid="{00000000-0010-0000-1400-000003000000}" name="EventDate"/>
    <tableColumn id="4" xr3:uid="{00000000-0010-0000-1400-000004000000}" name="Site"/>
    <tableColumn id="5" xr3:uid="{00000000-0010-0000-1400-000005000000}" name="EventType"/>
    <tableColumn id="6" xr3:uid="{00000000-0010-0000-1400-000006000000}" name="Account"/>
    <tableColumn id="7" xr3:uid="{00000000-0010-0000-1400-000007000000}" name="SourceRef"/>
    <tableColumn id="8" xr3:uid="{00000000-0010-0000-1400-000008000000}" name="Currency"/>
    <tableColumn id="9" xr3:uid="{00000000-0010-0000-1400-000009000000}" name="AmountLocal"/>
    <tableColumn id="10" xr3:uid="{00000000-0010-0000-1400-00000A000000}" name="FX"/>
    <tableColumn id="11" xr3:uid="{00000000-0010-0000-1400-00000B000000}" name="AmountUSD"/>
    <tableColumn id="12" xr3:uid="{00000000-0010-0000-1400-00000C000000}" name="QuantityOz"/>
    <tableColumn id="13" xr3:uid="{00000000-0010-0000-1400-00000D000000}" name="ReleaseStatus"/>
    <tableColumn id="14" xr3:uid="{00000000-0010-0000-1400-00000E000000}" name="BatchID"/>
    <tableColumn id="15" xr3:uid="{00000000-0010-0000-1400-00000F000000}" name="RelatedID"/>
    <tableColumn id="16" xr3:uid="{00000000-0010-0000-1400-000010000000}" name="FeeUSD"/>
    <tableColumn id="17" xr3:uid="{00000000-0010-0000-1400-000011000000}" name="AppliedUSD"/>
    <tableColumn id="18" xr3:uid="{00000000-0010-0000-1400-000012000000}" name="CommentaryRe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AA520"/>
    <pageSetUpPr fitToPage="1"/>
  </sheetPr>
  <dimension ref="A1:B19"/>
  <sheetViews>
    <sheetView showGridLines="0" tabSelected="1" zoomScale="85" workbookViewId="0">
      <pane ySplit="1" topLeftCell="A2" activePane="bottomLeft" state="frozen"/>
      <selection pane="bottomLeft"/>
    </sheetView>
  </sheetViews>
  <sheetFormatPr defaultRowHeight="15" x14ac:dyDescent="0.25"/>
  <cols>
    <col min="1" max="1" width="25" customWidth="1"/>
    <col min="2" max="2" width="125" customWidth="1"/>
  </cols>
  <sheetData>
    <row r="1" spans="1:2" ht="32.1" customHeight="1" x14ac:dyDescent="0.25">
      <c r="A1" s="1" t="s">
        <v>0</v>
      </c>
      <c r="B1" s="1" t="s">
        <v>1</v>
      </c>
    </row>
    <row r="2" spans="1:2" ht="30" customHeight="1" x14ac:dyDescent="0.25">
      <c r="A2" s="2" t="s">
        <v>2</v>
      </c>
      <c r="B2" s="2" t="s">
        <v>3</v>
      </c>
    </row>
    <row r="3" spans="1:2" ht="48" customHeight="1" x14ac:dyDescent="0.25">
      <c r="A3" s="2" t="s">
        <v>4</v>
      </c>
      <c r="B3" s="3" t="s">
        <v>5</v>
      </c>
    </row>
    <row r="4" spans="1:2" ht="48" customHeight="1" x14ac:dyDescent="0.25">
      <c r="A4" s="2" t="s">
        <v>6</v>
      </c>
      <c r="B4" s="4" t="s">
        <v>7</v>
      </c>
    </row>
    <row r="5" spans="1:2" ht="30" customHeight="1" x14ac:dyDescent="0.25">
      <c r="A5" s="2" t="s">
        <v>8</v>
      </c>
      <c r="B5" s="2" t="s">
        <v>9</v>
      </c>
    </row>
    <row r="6" spans="1:2" ht="48" customHeight="1" x14ac:dyDescent="0.25">
      <c r="A6" s="2" t="s">
        <v>10</v>
      </c>
      <c r="B6" s="4" t="s">
        <v>11</v>
      </c>
    </row>
    <row r="7" spans="1:2" ht="48" customHeight="1" x14ac:dyDescent="0.25">
      <c r="A7" s="2" t="s">
        <v>12</v>
      </c>
      <c r="B7" s="4" t="s">
        <v>13</v>
      </c>
    </row>
    <row r="8" spans="1:2" ht="48" customHeight="1" x14ac:dyDescent="0.25">
      <c r="A8" s="2" t="s">
        <v>14</v>
      </c>
      <c r="B8" s="4" t="s">
        <v>15</v>
      </c>
    </row>
    <row r="9" spans="1:2" ht="48" customHeight="1" x14ac:dyDescent="0.25">
      <c r="A9" s="2" t="s">
        <v>16</v>
      </c>
      <c r="B9" s="4" t="s">
        <v>17</v>
      </c>
    </row>
    <row r="10" spans="1:2" ht="48" customHeight="1" x14ac:dyDescent="0.25">
      <c r="A10" s="2" t="s">
        <v>18</v>
      </c>
      <c r="B10" s="4" t="s">
        <v>19</v>
      </c>
    </row>
    <row r="11" spans="1:2" ht="48" customHeight="1" x14ac:dyDescent="0.25">
      <c r="A11" s="2" t="s">
        <v>20</v>
      </c>
      <c r="B11" s="4" t="s">
        <v>21</v>
      </c>
    </row>
    <row r="12" spans="1:2" ht="48" customHeight="1" x14ac:dyDescent="0.25">
      <c r="A12" s="2" t="s">
        <v>22</v>
      </c>
      <c r="B12" s="4" t="s">
        <v>23</v>
      </c>
    </row>
    <row r="13" spans="1:2" ht="48" customHeight="1" x14ac:dyDescent="0.25">
      <c r="A13" s="2" t="s">
        <v>24</v>
      </c>
      <c r="B13" s="4" t="s">
        <v>25</v>
      </c>
    </row>
    <row r="14" spans="1:2" ht="48" customHeight="1" x14ac:dyDescent="0.25">
      <c r="A14" s="2" t="s">
        <v>26</v>
      </c>
      <c r="B14" s="4" t="s">
        <v>27</v>
      </c>
    </row>
    <row r="15" spans="1:2" ht="48" customHeight="1" x14ac:dyDescent="0.25">
      <c r="A15" s="2" t="s">
        <v>28</v>
      </c>
      <c r="B15" s="4" t="s">
        <v>29</v>
      </c>
    </row>
    <row r="16" spans="1:2" ht="48" customHeight="1" x14ac:dyDescent="0.25">
      <c r="A16" s="2" t="s">
        <v>30</v>
      </c>
      <c r="B16" s="4" t="s">
        <v>31</v>
      </c>
    </row>
    <row r="17" spans="1:2" ht="48" customHeight="1" x14ac:dyDescent="0.25">
      <c r="A17" s="2" t="s">
        <v>32</v>
      </c>
      <c r="B17" s="4" t="s">
        <v>33</v>
      </c>
    </row>
    <row r="18" spans="1:2" ht="48" customHeight="1" x14ac:dyDescent="0.25">
      <c r="A18" s="2" t="s">
        <v>34</v>
      </c>
      <c r="B18" s="4" t="s">
        <v>35</v>
      </c>
    </row>
    <row r="19" spans="1:2" ht="66" customHeight="1" x14ac:dyDescent="0.25">
      <c r="A19" t="s">
        <v>18295</v>
      </c>
      <c r="B19" s="13" t="s">
        <v>18296</v>
      </c>
    </row>
  </sheetData>
  <pageMargins left="0.75" right="0.75" top="1" bottom="1" header="0.5" footer="0.5"/>
  <pageSetup paperSize="8"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F86"/>
    <pageSetUpPr fitToPage="1"/>
  </sheetPr>
  <dimension ref="A1:C9"/>
  <sheetViews>
    <sheetView showGridLines="0" zoomScale="85" workbookViewId="0">
      <pane ySplit="1" topLeftCell="A2" activePane="bottomLeft" state="frozen"/>
      <selection pane="bottomLeft"/>
    </sheetView>
  </sheetViews>
  <sheetFormatPr defaultRowHeight="15" x14ac:dyDescent="0.25"/>
  <cols>
    <col min="1" max="1" width="28" customWidth="1"/>
    <col min="2" max="2" width="16" customWidth="1"/>
    <col min="3" max="3" width="120" customWidth="1"/>
  </cols>
  <sheetData>
    <row r="1" spans="1:3" ht="32.1" customHeight="1" x14ac:dyDescent="0.25">
      <c r="A1" s="1" t="s">
        <v>36</v>
      </c>
      <c r="B1" s="1" t="s">
        <v>0</v>
      </c>
      <c r="C1" s="1" t="s">
        <v>37</v>
      </c>
    </row>
    <row r="2" spans="1:3" ht="27" x14ac:dyDescent="0.25">
      <c r="A2" s="2" t="s">
        <v>38</v>
      </c>
      <c r="B2" s="2" t="s">
        <v>39</v>
      </c>
      <c r="C2" s="4" t="s">
        <v>40</v>
      </c>
    </row>
    <row r="3" spans="1:3" ht="27" x14ac:dyDescent="0.25">
      <c r="A3" s="2" t="s">
        <v>41</v>
      </c>
      <c r="B3" s="2" t="s">
        <v>42</v>
      </c>
      <c r="C3" s="4" t="s">
        <v>43</v>
      </c>
    </row>
    <row r="4" spans="1:3" ht="27" x14ac:dyDescent="0.25">
      <c r="A4" s="2" t="s">
        <v>44</v>
      </c>
      <c r="B4" s="2" t="s">
        <v>45</v>
      </c>
      <c r="C4" s="4" t="s">
        <v>46</v>
      </c>
    </row>
    <row r="5" spans="1:3" x14ac:dyDescent="0.25">
      <c r="A5" s="2" t="s">
        <v>47</v>
      </c>
      <c r="B5" s="2" t="s">
        <v>48</v>
      </c>
      <c r="C5" s="4" t="s">
        <v>49</v>
      </c>
    </row>
    <row r="6" spans="1:3" ht="40.5" x14ac:dyDescent="0.25">
      <c r="A6" s="2" t="s">
        <v>50</v>
      </c>
      <c r="B6" s="2" t="s">
        <v>51</v>
      </c>
      <c r="C6" s="4" t="s">
        <v>52</v>
      </c>
    </row>
    <row r="7" spans="1:3" ht="27" x14ac:dyDescent="0.25">
      <c r="A7" s="2" t="s">
        <v>53</v>
      </c>
      <c r="B7" s="2" t="s">
        <v>54</v>
      </c>
      <c r="C7" s="4" t="s">
        <v>55</v>
      </c>
    </row>
    <row r="8" spans="1:3" ht="27" x14ac:dyDescent="0.25">
      <c r="A8" s="2" t="s">
        <v>56</v>
      </c>
      <c r="B8" s="2" t="s">
        <v>57</v>
      </c>
      <c r="C8" s="4" t="s">
        <v>18297</v>
      </c>
    </row>
    <row r="9" spans="1:3" ht="27" x14ac:dyDescent="0.25">
      <c r="A9" s="2" t="s">
        <v>58</v>
      </c>
      <c r="B9" s="2" t="s">
        <v>34</v>
      </c>
      <c r="C9" s="4" t="s">
        <v>59</v>
      </c>
    </row>
  </sheetData>
  <pageMargins left="0.75" right="0.75" top="1" bottom="1" header="0.5" footer="0.5"/>
  <pageSetup paperSize="8"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F86"/>
    <pageSetUpPr fitToPage="1"/>
  </sheetPr>
  <dimension ref="A1:M22"/>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75" customWidth="1"/>
    <col min="10" max="12" width="29" customWidth="1"/>
    <col min="13" max="13" width="50" customWidth="1"/>
  </cols>
  <sheetData>
    <row r="1" spans="1:13" ht="32.1" customHeight="1" x14ac:dyDescent="0.25">
      <c r="A1" s="1" t="s">
        <v>60</v>
      </c>
      <c r="B1" s="1" t="s">
        <v>61</v>
      </c>
      <c r="C1" s="1" t="s">
        <v>62</v>
      </c>
      <c r="D1" s="1" t="s">
        <v>63</v>
      </c>
      <c r="E1" s="1" t="s">
        <v>64</v>
      </c>
      <c r="F1" s="1" t="s">
        <v>65</v>
      </c>
      <c r="J1" s="5" t="s">
        <v>66</v>
      </c>
      <c r="K1" s="5" t="s">
        <v>67</v>
      </c>
      <c r="L1" s="5" t="s">
        <v>68</v>
      </c>
      <c r="M1" s="5" t="s">
        <v>1</v>
      </c>
    </row>
    <row r="2" spans="1:13" x14ac:dyDescent="0.25">
      <c r="A2" s="2" t="s">
        <v>69</v>
      </c>
      <c r="B2" s="6">
        <v>46174</v>
      </c>
      <c r="C2" s="2" t="s">
        <v>70</v>
      </c>
      <c r="D2" s="7">
        <v>0.66500000000000004</v>
      </c>
      <c r="E2" s="2" t="s">
        <v>71</v>
      </c>
      <c r="F2" s="2" t="s">
        <v>72</v>
      </c>
      <c r="J2" s="5" t="s">
        <v>73</v>
      </c>
      <c r="K2" s="26">
        <v>6000000</v>
      </c>
      <c r="L2" s="5" t="s">
        <v>39</v>
      </c>
      <c r="M2" s="5" t="s">
        <v>74</v>
      </c>
    </row>
    <row r="3" spans="1:13" x14ac:dyDescent="0.25">
      <c r="A3" s="2" t="s">
        <v>75</v>
      </c>
      <c r="B3" s="6">
        <v>46174</v>
      </c>
      <c r="C3" s="2" t="s">
        <v>76</v>
      </c>
      <c r="D3" s="7">
        <v>6.2500000000000001E-5</v>
      </c>
      <c r="E3" s="2" t="s">
        <v>71</v>
      </c>
      <c r="F3" s="2" t="s">
        <v>72</v>
      </c>
      <c r="J3" s="5" t="s">
        <v>77</v>
      </c>
      <c r="K3" s="26">
        <v>4000000</v>
      </c>
      <c r="L3" s="5" t="s">
        <v>39</v>
      </c>
      <c r="M3" s="5" t="s">
        <v>74</v>
      </c>
    </row>
    <row r="4" spans="1:13" x14ac:dyDescent="0.25">
      <c r="A4" s="2" t="s">
        <v>78</v>
      </c>
      <c r="B4" s="6">
        <v>46174</v>
      </c>
      <c r="C4" s="2" t="s">
        <v>39</v>
      </c>
      <c r="D4" s="7">
        <v>1</v>
      </c>
      <c r="E4" s="2" t="s">
        <v>71</v>
      </c>
      <c r="F4" s="2" t="s">
        <v>72</v>
      </c>
      <c r="J4" s="5" t="s">
        <v>79</v>
      </c>
      <c r="K4" s="26">
        <v>9000000</v>
      </c>
      <c r="L4" s="5" t="s">
        <v>39</v>
      </c>
      <c r="M4" s="5" t="s">
        <v>74</v>
      </c>
    </row>
    <row r="5" spans="1:13" x14ac:dyDescent="0.25">
      <c r="A5" s="2" t="s">
        <v>80</v>
      </c>
      <c r="B5" s="6">
        <v>46204</v>
      </c>
      <c r="C5" s="2" t="s">
        <v>70</v>
      </c>
      <c r="D5" s="7">
        <v>0.65800000000000003</v>
      </c>
      <c r="E5" s="2" t="s">
        <v>71</v>
      </c>
      <c r="F5" s="2" t="s">
        <v>72</v>
      </c>
      <c r="J5" s="5" t="s">
        <v>81</v>
      </c>
      <c r="K5" s="26">
        <v>185</v>
      </c>
      <c r="L5" s="5" t="s">
        <v>82</v>
      </c>
      <c r="M5" s="5" t="s">
        <v>83</v>
      </c>
    </row>
    <row r="6" spans="1:13" x14ac:dyDescent="0.25">
      <c r="A6" s="2" t="s">
        <v>84</v>
      </c>
      <c r="B6" s="6">
        <v>46204</v>
      </c>
      <c r="C6" s="2" t="s">
        <v>76</v>
      </c>
      <c r="D6" s="7">
        <v>6.2000000000000003E-5</v>
      </c>
      <c r="E6" s="2" t="s">
        <v>71</v>
      </c>
      <c r="F6" s="2" t="s">
        <v>72</v>
      </c>
      <c r="J6" s="5" t="s">
        <v>85</v>
      </c>
      <c r="K6" s="26">
        <v>115</v>
      </c>
      <c r="L6" s="5" t="s">
        <v>82</v>
      </c>
      <c r="M6" s="5" t="s">
        <v>83</v>
      </c>
    </row>
    <row r="7" spans="1:13" x14ac:dyDescent="0.25">
      <c r="A7" s="2" t="s">
        <v>86</v>
      </c>
      <c r="B7" s="6">
        <v>46204</v>
      </c>
      <c r="C7" s="2" t="s">
        <v>39</v>
      </c>
      <c r="D7" s="7">
        <v>1</v>
      </c>
      <c r="E7" s="2" t="s">
        <v>71</v>
      </c>
      <c r="F7" s="2" t="s">
        <v>72</v>
      </c>
      <c r="J7" s="5" t="s">
        <v>87</v>
      </c>
      <c r="K7" s="26">
        <v>0</v>
      </c>
      <c r="L7" s="5" t="s">
        <v>82</v>
      </c>
      <c r="M7" s="5" t="s">
        <v>83</v>
      </c>
    </row>
    <row r="8" spans="1:13" x14ac:dyDescent="0.25">
      <c r="A8" s="2" t="s">
        <v>88</v>
      </c>
      <c r="B8" s="6">
        <v>46235</v>
      </c>
      <c r="C8" s="2" t="s">
        <v>70</v>
      </c>
      <c r="D8" s="7">
        <v>0.65</v>
      </c>
      <c r="E8" s="2" t="s">
        <v>71</v>
      </c>
      <c r="F8" s="2" t="s">
        <v>72</v>
      </c>
      <c r="J8" s="5" t="s">
        <v>89</v>
      </c>
      <c r="K8" s="27">
        <v>0.88</v>
      </c>
      <c r="L8" s="5" t="s">
        <v>90</v>
      </c>
      <c r="M8" s="5" t="s">
        <v>91</v>
      </c>
    </row>
    <row r="9" spans="1:13" x14ac:dyDescent="0.25">
      <c r="A9" s="2" t="s">
        <v>92</v>
      </c>
      <c r="B9" s="6">
        <v>46235</v>
      </c>
      <c r="C9" s="2" t="s">
        <v>76</v>
      </c>
      <c r="D9" s="7">
        <v>6.1500000000000004E-5</v>
      </c>
      <c r="E9" s="2" t="s">
        <v>71</v>
      </c>
      <c r="F9" s="2" t="s">
        <v>72</v>
      </c>
      <c r="J9" s="5" t="s">
        <v>93</v>
      </c>
      <c r="K9" s="27">
        <v>0.82</v>
      </c>
      <c r="L9" s="5" t="s">
        <v>90</v>
      </c>
      <c r="M9" s="5" t="s">
        <v>91</v>
      </c>
    </row>
    <row r="10" spans="1:13" x14ac:dyDescent="0.25">
      <c r="A10" s="2" t="s">
        <v>94</v>
      </c>
      <c r="B10" s="6">
        <v>46235</v>
      </c>
      <c r="C10" s="2" t="s">
        <v>39</v>
      </c>
      <c r="D10" s="7">
        <v>1</v>
      </c>
      <c r="E10" s="2" t="s">
        <v>71</v>
      </c>
      <c r="F10" s="2" t="s">
        <v>72</v>
      </c>
      <c r="J10" s="5" t="s">
        <v>95</v>
      </c>
      <c r="K10" s="26">
        <v>45000000</v>
      </c>
      <c r="L10" s="5" t="s">
        <v>39</v>
      </c>
      <c r="M10" s="5" t="s">
        <v>96</v>
      </c>
    </row>
    <row r="11" spans="1:13" x14ac:dyDescent="0.25">
      <c r="A11" s="2" t="s">
        <v>97</v>
      </c>
      <c r="B11" s="6">
        <v>46266</v>
      </c>
      <c r="C11" s="2" t="s">
        <v>70</v>
      </c>
      <c r="D11" s="7">
        <v>0.65100000000000002</v>
      </c>
      <c r="E11" s="2" t="s">
        <v>98</v>
      </c>
      <c r="F11" s="2" t="s">
        <v>99</v>
      </c>
      <c r="J11" s="5" t="s">
        <v>100</v>
      </c>
      <c r="K11" s="5">
        <v>0</v>
      </c>
      <c r="L11" s="5" t="s">
        <v>39</v>
      </c>
      <c r="M11" s="5" t="s">
        <v>101</v>
      </c>
    </row>
    <row r="12" spans="1:13" x14ac:dyDescent="0.25">
      <c r="A12" s="2" t="s">
        <v>102</v>
      </c>
      <c r="B12" s="6">
        <v>46266</v>
      </c>
      <c r="C12" s="2" t="s">
        <v>76</v>
      </c>
      <c r="D12" s="7">
        <v>6.1299999999999999E-5</v>
      </c>
      <c r="E12" s="2" t="s">
        <v>98</v>
      </c>
      <c r="F12" s="2" t="s">
        <v>99</v>
      </c>
    </row>
    <row r="13" spans="1:13" x14ac:dyDescent="0.25">
      <c r="A13" s="2" t="s">
        <v>103</v>
      </c>
      <c r="B13" s="6">
        <v>46266</v>
      </c>
      <c r="C13" s="2" t="s">
        <v>39</v>
      </c>
      <c r="D13" s="7">
        <v>1</v>
      </c>
      <c r="E13" s="2" t="s">
        <v>98</v>
      </c>
      <c r="F13" s="2" t="s">
        <v>99</v>
      </c>
    </row>
    <row r="14" spans="1:13" x14ac:dyDescent="0.25">
      <c r="A14" s="2" t="s">
        <v>104</v>
      </c>
      <c r="B14" s="6">
        <v>46296</v>
      </c>
      <c r="C14" s="2" t="s">
        <v>70</v>
      </c>
      <c r="D14" s="7">
        <v>0.65500000000000003</v>
      </c>
      <c r="E14" s="2" t="s">
        <v>98</v>
      </c>
      <c r="F14" s="2" t="s">
        <v>99</v>
      </c>
    </row>
    <row r="15" spans="1:13" x14ac:dyDescent="0.25">
      <c r="A15" s="2" t="s">
        <v>105</v>
      </c>
      <c r="B15" s="6">
        <v>46296</v>
      </c>
      <c r="C15" s="2" t="s">
        <v>76</v>
      </c>
      <c r="D15" s="7">
        <v>6.1099999999999994E-5</v>
      </c>
      <c r="E15" s="2" t="s">
        <v>98</v>
      </c>
      <c r="F15" s="2" t="s">
        <v>99</v>
      </c>
    </row>
    <row r="16" spans="1:13" x14ac:dyDescent="0.25">
      <c r="A16" s="2" t="s">
        <v>106</v>
      </c>
      <c r="B16" s="6">
        <v>46296</v>
      </c>
      <c r="C16" s="2" t="s">
        <v>39</v>
      </c>
      <c r="D16" s="7">
        <v>1</v>
      </c>
      <c r="E16" s="2" t="s">
        <v>98</v>
      </c>
      <c r="F16" s="2" t="s">
        <v>99</v>
      </c>
    </row>
    <row r="17" spans="1:6" x14ac:dyDescent="0.25">
      <c r="A17" s="2" t="s">
        <v>107</v>
      </c>
      <c r="B17" s="6">
        <v>46327</v>
      </c>
      <c r="C17" s="2" t="s">
        <v>70</v>
      </c>
      <c r="D17" s="7">
        <v>0.66200000000000003</v>
      </c>
      <c r="E17" s="2" t="s">
        <v>98</v>
      </c>
      <c r="F17" s="2" t="s">
        <v>99</v>
      </c>
    </row>
    <row r="18" spans="1:6" x14ac:dyDescent="0.25">
      <c r="A18" s="2" t="s">
        <v>108</v>
      </c>
      <c r="B18" s="6">
        <v>46327</v>
      </c>
      <c r="C18" s="2" t="s">
        <v>76</v>
      </c>
      <c r="D18" s="7">
        <v>6.0999999999999999E-5</v>
      </c>
      <c r="E18" s="2" t="s">
        <v>98</v>
      </c>
      <c r="F18" s="2" t="s">
        <v>99</v>
      </c>
    </row>
    <row r="19" spans="1:6" x14ac:dyDescent="0.25">
      <c r="A19" s="2" t="s">
        <v>109</v>
      </c>
      <c r="B19" s="6">
        <v>46327</v>
      </c>
      <c r="C19" s="2" t="s">
        <v>39</v>
      </c>
      <c r="D19" s="7">
        <v>1</v>
      </c>
      <c r="E19" s="2" t="s">
        <v>98</v>
      </c>
      <c r="F19" s="2" t="s">
        <v>99</v>
      </c>
    </row>
    <row r="20" spans="1:6" x14ac:dyDescent="0.25">
      <c r="A20" s="2" t="s">
        <v>110</v>
      </c>
      <c r="B20" s="6">
        <v>46357</v>
      </c>
      <c r="C20" s="2" t="s">
        <v>70</v>
      </c>
      <c r="D20" s="7">
        <v>0.65900000000000003</v>
      </c>
      <c r="E20" s="2" t="s">
        <v>98</v>
      </c>
      <c r="F20" s="2" t="s">
        <v>99</v>
      </c>
    </row>
    <row r="21" spans="1:6" x14ac:dyDescent="0.25">
      <c r="A21" s="2" t="s">
        <v>111</v>
      </c>
      <c r="B21" s="6">
        <v>46357</v>
      </c>
      <c r="C21" s="2" t="s">
        <v>76</v>
      </c>
      <c r="D21" s="7">
        <v>6.1199999999999997E-5</v>
      </c>
      <c r="E21" s="2" t="s">
        <v>98</v>
      </c>
      <c r="F21" s="2" t="s">
        <v>99</v>
      </c>
    </row>
    <row r="22" spans="1:6" x14ac:dyDescent="0.25">
      <c r="A22" s="2" t="s">
        <v>112</v>
      </c>
      <c r="B22" s="6">
        <v>46357</v>
      </c>
      <c r="C22" s="2" t="s">
        <v>39</v>
      </c>
      <c r="D22" s="7">
        <v>1</v>
      </c>
      <c r="E22" s="2" t="s">
        <v>98</v>
      </c>
      <c r="F22" s="2" t="s">
        <v>99</v>
      </c>
    </row>
  </sheetData>
  <pageMargins left="0.75" right="0.75" top="1" bottom="1" header="0.5" footer="0.5"/>
  <pageSetup paperSize="8" fitToHeight="0" orientation="landscape"/>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F86"/>
    <pageSetUpPr fitToPage="1"/>
  </sheetPr>
  <dimension ref="A1:E8"/>
  <sheetViews>
    <sheetView showGridLines="0" zoomScale="85" workbookViewId="0">
      <pane ySplit="1" topLeftCell="A2" activePane="bottomLeft" state="frozen"/>
      <selection pane="bottomLeft"/>
    </sheetView>
  </sheetViews>
  <sheetFormatPr defaultRowHeight="15" x14ac:dyDescent="0.25"/>
  <cols>
    <col min="1" max="2" width="16" customWidth="1"/>
    <col min="3" max="3" width="28" customWidth="1"/>
    <col min="4" max="5" width="16" customWidth="1"/>
  </cols>
  <sheetData>
    <row r="1" spans="1:5" ht="32.1" customHeight="1" x14ac:dyDescent="0.25">
      <c r="A1" s="1" t="s">
        <v>61</v>
      </c>
      <c r="B1" s="1" t="s">
        <v>4</v>
      </c>
      <c r="C1" s="1" t="s">
        <v>113</v>
      </c>
      <c r="D1" s="1" t="s">
        <v>114</v>
      </c>
      <c r="E1" s="1" t="s">
        <v>115</v>
      </c>
    </row>
    <row r="2" spans="1:5" x14ac:dyDescent="0.25">
      <c r="A2" s="6">
        <v>46174</v>
      </c>
      <c r="B2" s="2" t="s">
        <v>116</v>
      </c>
      <c r="C2" s="2" t="s">
        <v>117</v>
      </c>
      <c r="D2" s="8">
        <v>46206</v>
      </c>
      <c r="E2" s="2" t="s">
        <v>118</v>
      </c>
    </row>
    <row r="3" spans="1:5" x14ac:dyDescent="0.25">
      <c r="A3" s="6">
        <v>46204</v>
      </c>
      <c r="B3" s="2" t="s">
        <v>116</v>
      </c>
      <c r="C3" s="2" t="s">
        <v>119</v>
      </c>
      <c r="D3" s="8">
        <v>46237</v>
      </c>
      <c r="E3" s="2" t="s">
        <v>118</v>
      </c>
    </row>
    <row r="4" spans="1:5" x14ac:dyDescent="0.25">
      <c r="A4" s="6">
        <v>46235</v>
      </c>
      <c r="B4" s="2" t="s">
        <v>120</v>
      </c>
      <c r="C4" s="2" t="s">
        <v>121</v>
      </c>
      <c r="D4" s="2"/>
      <c r="E4" s="2" t="s">
        <v>118</v>
      </c>
    </row>
    <row r="5" spans="1:5" x14ac:dyDescent="0.25">
      <c r="A5" s="6">
        <v>46266</v>
      </c>
      <c r="B5" s="2" t="s">
        <v>120</v>
      </c>
      <c r="C5" s="2" t="s">
        <v>121</v>
      </c>
      <c r="D5" s="2"/>
      <c r="E5" s="2" t="s">
        <v>118</v>
      </c>
    </row>
    <row r="6" spans="1:5" x14ac:dyDescent="0.25">
      <c r="A6" s="6">
        <v>46296</v>
      </c>
      <c r="B6" s="2" t="s">
        <v>120</v>
      </c>
      <c r="C6" s="2" t="s">
        <v>121</v>
      </c>
      <c r="D6" s="2"/>
      <c r="E6" s="2" t="s">
        <v>118</v>
      </c>
    </row>
    <row r="7" spans="1:5" x14ac:dyDescent="0.25">
      <c r="A7" s="6">
        <v>46327</v>
      </c>
      <c r="B7" s="2" t="s">
        <v>120</v>
      </c>
      <c r="C7" s="2" t="s">
        <v>121</v>
      </c>
      <c r="D7" s="2"/>
      <c r="E7" s="2" t="s">
        <v>118</v>
      </c>
    </row>
    <row r="8" spans="1:5" x14ac:dyDescent="0.25">
      <c r="A8" s="6">
        <v>46357</v>
      </c>
      <c r="B8" s="2" t="s">
        <v>120</v>
      </c>
      <c r="C8" s="2" t="s">
        <v>121</v>
      </c>
      <c r="D8" s="2"/>
      <c r="E8" s="2" t="s">
        <v>118</v>
      </c>
    </row>
  </sheetData>
  <pageMargins left="0.75" right="0.75" top="1" bottom="1" header="0.5" footer="0.5"/>
  <pageSetup paperSize="8"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F86"/>
    <pageSetUpPr fitToPage="1"/>
  </sheetPr>
  <dimension ref="A1:P4616"/>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28" customWidth="1"/>
    <col min="7" max="14" width="16" customWidth="1"/>
    <col min="15" max="15" width="21" customWidth="1"/>
    <col min="16" max="16" width="28" customWidth="1"/>
  </cols>
  <sheetData>
    <row r="1" spans="1:16" ht="32.1" customHeight="1" x14ac:dyDescent="0.25">
      <c r="A1" s="1" t="s">
        <v>122</v>
      </c>
      <c r="B1" s="1" t="s">
        <v>123</v>
      </c>
      <c r="C1" s="1" t="s">
        <v>124</v>
      </c>
      <c r="D1" s="1" t="s">
        <v>61</v>
      </c>
      <c r="E1" s="1" t="s">
        <v>125</v>
      </c>
      <c r="F1" s="1" t="s">
        <v>126</v>
      </c>
      <c r="G1" s="1" t="s">
        <v>127</v>
      </c>
      <c r="H1" s="1" t="s">
        <v>64</v>
      </c>
      <c r="I1" s="1" t="s">
        <v>62</v>
      </c>
      <c r="J1" s="1" t="s">
        <v>128</v>
      </c>
      <c r="K1" s="1" t="s">
        <v>129</v>
      </c>
      <c r="L1" s="1" t="s">
        <v>130</v>
      </c>
      <c r="M1" s="1" t="s">
        <v>131</v>
      </c>
      <c r="N1" s="1" t="s">
        <v>132</v>
      </c>
      <c r="O1" s="1" t="s">
        <v>133</v>
      </c>
      <c r="P1" s="1" t="s">
        <v>134</v>
      </c>
    </row>
    <row r="2" spans="1:16" x14ac:dyDescent="0.25">
      <c r="A2" s="2" t="s">
        <v>135</v>
      </c>
      <c r="B2" s="2" t="s">
        <v>136</v>
      </c>
      <c r="C2" s="8">
        <v>46191</v>
      </c>
      <c r="D2" s="6">
        <v>46174</v>
      </c>
      <c r="E2" s="2" t="s">
        <v>137</v>
      </c>
      <c r="F2" s="2" t="s">
        <v>138</v>
      </c>
      <c r="G2" s="6">
        <v>46174</v>
      </c>
      <c r="H2" s="2" t="s">
        <v>71</v>
      </c>
      <c r="I2" s="2" t="s">
        <v>39</v>
      </c>
      <c r="J2" s="9">
        <v>1523204.7855169999</v>
      </c>
      <c r="K2" s="7">
        <v>1</v>
      </c>
      <c r="L2" s="9">
        <v>1523204.79</v>
      </c>
      <c r="M2" s="9">
        <v>1523204.79</v>
      </c>
      <c r="N2" s="9">
        <v>1218.56</v>
      </c>
      <c r="O2" s="10">
        <f>IF(AND(OR(H2="APPROVED",H2="SCHEDULED"),COUNTIFS(tblSource[EventID],F2,tblSource[ReleaseStatus],"APPROVED")=1,COUNTIFS(Period_Status!$A$2:$A$8,G2,Period_Status!$B$2:$B$8,"ActualClosed")=1,C2&gt;EOMONTH(Settlement_Bridge!$C$2,0)),1,0)</f>
        <v>0</v>
      </c>
      <c r="P2" s="2" t="s">
        <v>139</v>
      </c>
    </row>
    <row r="3" spans="1:16" x14ac:dyDescent="0.25">
      <c r="A3" s="2" t="s">
        <v>140</v>
      </c>
      <c r="B3" s="2" t="s">
        <v>136</v>
      </c>
      <c r="C3" s="8">
        <v>46211</v>
      </c>
      <c r="D3" s="6">
        <v>46204</v>
      </c>
      <c r="E3" s="2" t="s">
        <v>137</v>
      </c>
      <c r="F3" s="2" t="s">
        <v>138</v>
      </c>
      <c r="G3" s="6">
        <v>46174</v>
      </c>
      <c r="H3" s="2" t="s">
        <v>71</v>
      </c>
      <c r="I3" s="2" t="s">
        <v>39</v>
      </c>
      <c r="J3" s="9">
        <v>268800.84450299997</v>
      </c>
      <c r="K3" s="7">
        <v>1</v>
      </c>
      <c r="L3" s="9">
        <v>268800.84000000003</v>
      </c>
      <c r="M3" s="9">
        <v>268800.84000000003</v>
      </c>
      <c r="N3" s="9">
        <v>215.04</v>
      </c>
      <c r="O3" s="10">
        <f>IF(AND(OR(H3="APPROVED",H3="SCHEDULED"),COUNTIFS(tblSource[EventID],F3,tblSource[ReleaseStatus],"APPROVED")=1,COUNTIFS(Period_Status!$A$2:$A$8,G3,Period_Status!$B$2:$B$8,"ActualClosed")=1,C3&gt;EOMONTH(Settlement_Bridge!$C$2,0)),1,0)</f>
        <v>0</v>
      </c>
      <c r="P3" s="2" t="s">
        <v>141</v>
      </c>
    </row>
    <row r="4" spans="1:16" x14ac:dyDescent="0.25">
      <c r="A4" s="2" t="s">
        <v>142</v>
      </c>
      <c r="B4" s="2" t="s">
        <v>136</v>
      </c>
      <c r="C4" s="8">
        <v>46198</v>
      </c>
      <c r="D4" s="6">
        <v>46174</v>
      </c>
      <c r="E4" s="2" t="s">
        <v>137</v>
      </c>
      <c r="F4" s="2" t="s">
        <v>143</v>
      </c>
      <c r="G4" s="6">
        <v>46174</v>
      </c>
      <c r="H4" s="2" t="s">
        <v>71</v>
      </c>
      <c r="I4" s="2" t="s">
        <v>70</v>
      </c>
      <c r="J4" s="9">
        <v>2209365.0059059998</v>
      </c>
      <c r="K4" s="7">
        <v>0.66500000000000004</v>
      </c>
      <c r="L4" s="9">
        <v>1469227.73</v>
      </c>
      <c r="M4" s="9">
        <v>1469227.73</v>
      </c>
      <c r="N4" s="9">
        <v>1175.3800000000001</v>
      </c>
      <c r="O4" s="10">
        <f>IF(AND(OR(H4="APPROVED",H4="SCHEDULED"),COUNTIFS(tblSource[EventID],F4,tblSource[ReleaseStatus],"APPROVED")=1,COUNTIFS(Period_Status!$A$2:$A$8,G4,Period_Status!$B$2:$B$8,"ActualClosed")=1,C4&gt;EOMONTH(Settlement_Bridge!$C$2,0)),1,0)</f>
        <v>0</v>
      </c>
      <c r="P4" s="2" t="s">
        <v>144</v>
      </c>
    </row>
    <row r="5" spans="1:16" x14ac:dyDescent="0.25">
      <c r="A5" s="2" t="s">
        <v>145</v>
      </c>
      <c r="B5" s="2" t="s">
        <v>136</v>
      </c>
      <c r="C5" s="8">
        <v>46218</v>
      </c>
      <c r="D5" s="6">
        <v>46204</v>
      </c>
      <c r="E5" s="2" t="s">
        <v>137</v>
      </c>
      <c r="F5" s="2" t="s">
        <v>143</v>
      </c>
      <c r="G5" s="6">
        <v>46174</v>
      </c>
      <c r="H5" s="2" t="s">
        <v>71</v>
      </c>
      <c r="I5" s="2" t="s">
        <v>70</v>
      </c>
      <c r="J5" s="9">
        <v>389887.94221900002</v>
      </c>
      <c r="K5" s="7">
        <v>0.65800000000000003</v>
      </c>
      <c r="L5" s="9">
        <v>256546.27</v>
      </c>
      <c r="M5" s="9">
        <v>259275.48</v>
      </c>
      <c r="N5" s="9">
        <v>205.24</v>
      </c>
      <c r="O5" s="10">
        <f>IF(AND(OR(H5="APPROVED",H5="SCHEDULED"),COUNTIFS(tblSource[EventID],F5,tblSource[ReleaseStatus],"APPROVED")=1,COUNTIFS(Period_Status!$A$2:$A$8,G5,Period_Status!$B$2:$B$8,"ActualClosed")=1,C5&gt;EOMONTH(Settlement_Bridge!$C$2,0)),1,0)</f>
        <v>0</v>
      </c>
      <c r="P5" s="2" t="s">
        <v>146</v>
      </c>
    </row>
    <row r="6" spans="1:16" x14ac:dyDescent="0.25">
      <c r="A6" s="2" t="s">
        <v>147</v>
      </c>
      <c r="B6" s="2" t="s">
        <v>136</v>
      </c>
      <c r="C6" s="8">
        <v>46205</v>
      </c>
      <c r="D6" s="6">
        <v>46204</v>
      </c>
      <c r="E6" s="2" t="s">
        <v>137</v>
      </c>
      <c r="F6" s="2" t="s">
        <v>148</v>
      </c>
      <c r="G6" s="6">
        <v>46174</v>
      </c>
      <c r="H6" s="2" t="s">
        <v>71</v>
      </c>
      <c r="I6" s="2" t="s">
        <v>39</v>
      </c>
      <c r="J6" s="9">
        <v>1436325.154972</v>
      </c>
      <c r="K6" s="7">
        <v>1</v>
      </c>
      <c r="L6" s="9">
        <v>1436325.15</v>
      </c>
      <c r="M6" s="9">
        <v>1436325.16</v>
      </c>
      <c r="N6" s="9">
        <v>1149.06</v>
      </c>
      <c r="O6" s="10">
        <f>IF(AND(OR(H6="APPROVED",H6="SCHEDULED"),COUNTIFS(tblSource[EventID],F6,tblSource[ReleaseStatus],"APPROVED")=1,COUNTIFS(Period_Status!$A$2:$A$8,G6,Period_Status!$B$2:$B$8,"ActualClosed")=1,C6&gt;EOMONTH(Settlement_Bridge!$C$2,0)),1,0)</f>
        <v>0</v>
      </c>
      <c r="P6" s="2" t="s">
        <v>149</v>
      </c>
    </row>
    <row r="7" spans="1:16" x14ac:dyDescent="0.25">
      <c r="A7" s="2" t="s">
        <v>150</v>
      </c>
      <c r="B7" s="2" t="s">
        <v>136</v>
      </c>
      <c r="C7" s="8">
        <v>46225</v>
      </c>
      <c r="D7" s="6">
        <v>46204</v>
      </c>
      <c r="E7" s="2" t="s">
        <v>137</v>
      </c>
      <c r="F7" s="2" t="s">
        <v>148</v>
      </c>
      <c r="G7" s="6">
        <v>46174</v>
      </c>
      <c r="H7" s="2" t="s">
        <v>71</v>
      </c>
      <c r="I7" s="2" t="s">
        <v>39</v>
      </c>
      <c r="J7" s="9">
        <v>253469.14499500001</v>
      </c>
      <c r="K7" s="7">
        <v>1</v>
      </c>
      <c r="L7" s="9">
        <v>253469.14</v>
      </c>
      <c r="M7" s="9">
        <v>253469.14</v>
      </c>
      <c r="N7" s="9">
        <v>202.78</v>
      </c>
      <c r="O7" s="10">
        <f>IF(AND(OR(H7="APPROVED",H7="SCHEDULED"),COUNTIFS(tblSource[EventID],F7,tblSource[ReleaseStatus],"APPROVED")=1,COUNTIFS(Period_Status!$A$2:$A$8,G7,Period_Status!$B$2:$B$8,"ActualClosed")=1,C7&gt;EOMONTH(Settlement_Bridge!$C$2,0)),1,0)</f>
        <v>0</v>
      </c>
      <c r="P7" s="2" t="s">
        <v>151</v>
      </c>
    </row>
    <row r="8" spans="1:16" x14ac:dyDescent="0.25">
      <c r="A8" s="2" t="s">
        <v>152</v>
      </c>
      <c r="B8" s="2" t="s">
        <v>136</v>
      </c>
      <c r="C8" s="8">
        <v>46218</v>
      </c>
      <c r="D8" s="6">
        <v>46204</v>
      </c>
      <c r="E8" s="2" t="s">
        <v>137</v>
      </c>
      <c r="F8" s="2" t="s">
        <v>153</v>
      </c>
      <c r="G8" s="6">
        <v>46174</v>
      </c>
      <c r="H8" s="2" t="s">
        <v>71</v>
      </c>
      <c r="I8" s="2" t="s">
        <v>70</v>
      </c>
      <c r="J8" s="9">
        <v>2752054.9109359998</v>
      </c>
      <c r="K8" s="7">
        <v>0.65800000000000003</v>
      </c>
      <c r="L8" s="9">
        <v>1810852.13</v>
      </c>
      <c r="M8" s="9">
        <v>1830116.51</v>
      </c>
      <c r="N8" s="9">
        <v>1448.68</v>
      </c>
      <c r="O8" s="10">
        <f>IF(AND(OR(H8="APPROVED",H8="SCHEDULED"),COUNTIFS(tblSource[EventID],F8,tblSource[ReleaseStatus],"APPROVED")=1,COUNTIFS(Period_Status!$A$2:$A$8,G8,Period_Status!$B$2:$B$8,"ActualClosed")=1,C8&gt;EOMONTH(Settlement_Bridge!$C$2,0)),1,0)</f>
        <v>0</v>
      </c>
      <c r="P8" s="2" t="s">
        <v>154</v>
      </c>
    </row>
    <row r="9" spans="1:16" x14ac:dyDescent="0.25">
      <c r="A9" s="2" t="s">
        <v>155</v>
      </c>
      <c r="B9" s="2" t="s">
        <v>136</v>
      </c>
      <c r="C9" s="8">
        <v>46238</v>
      </c>
      <c r="D9" s="6">
        <v>46235</v>
      </c>
      <c r="E9" s="2" t="s">
        <v>137</v>
      </c>
      <c r="F9" s="2" t="s">
        <v>153</v>
      </c>
      <c r="G9" s="6">
        <v>46174</v>
      </c>
      <c r="H9" s="2" t="s">
        <v>71</v>
      </c>
      <c r="I9" s="2" t="s">
        <v>70</v>
      </c>
      <c r="J9" s="9">
        <v>485656.74898899999</v>
      </c>
      <c r="K9" s="7">
        <v>0.65</v>
      </c>
      <c r="L9" s="9">
        <v>315676.89</v>
      </c>
      <c r="M9" s="9">
        <v>322961.74</v>
      </c>
      <c r="N9" s="9">
        <v>252.54</v>
      </c>
      <c r="O9" s="10">
        <f>IF(AND(OR(H9="APPROVED",H9="SCHEDULED"),COUNTIFS(tblSource[EventID],F9,tblSource[ReleaseStatus],"APPROVED")=1,COUNTIFS(Period_Status!$A$2:$A$8,G9,Period_Status!$B$2:$B$8,"ActualClosed")=1,C9&gt;EOMONTH(Settlement_Bridge!$C$2,0)),1,0)</f>
        <v>1</v>
      </c>
      <c r="P9" s="2" t="s">
        <v>156</v>
      </c>
    </row>
    <row r="10" spans="1:16" x14ac:dyDescent="0.25">
      <c r="A10" s="2" t="s">
        <v>157</v>
      </c>
      <c r="B10" s="2" t="s">
        <v>136</v>
      </c>
      <c r="C10" s="8">
        <v>46221</v>
      </c>
      <c r="D10" s="6">
        <v>46204</v>
      </c>
      <c r="E10" s="2" t="s">
        <v>137</v>
      </c>
      <c r="F10" s="2" t="s">
        <v>158</v>
      </c>
      <c r="G10" s="6">
        <v>46204</v>
      </c>
      <c r="H10" s="2" t="s">
        <v>71</v>
      </c>
      <c r="I10" s="2" t="s">
        <v>39</v>
      </c>
      <c r="J10" s="9">
        <v>1508251.4180399999</v>
      </c>
      <c r="K10" s="7">
        <v>1</v>
      </c>
      <c r="L10" s="9">
        <v>1508251.42</v>
      </c>
      <c r="M10" s="9">
        <v>1508251.42</v>
      </c>
      <c r="N10" s="9">
        <v>1206.5999999999999</v>
      </c>
      <c r="O10" s="10">
        <f>IF(AND(OR(H10="APPROVED",H10="SCHEDULED"),COUNTIFS(tblSource[EventID],F10,tblSource[ReleaseStatus],"APPROVED")=1,COUNTIFS(Period_Status!$A$2:$A$8,G10,Period_Status!$B$2:$B$8,"ActualClosed")=1,C10&gt;EOMONTH(Settlement_Bridge!$C$2,0)),1,0)</f>
        <v>0</v>
      </c>
      <c r="P10" s="2" t="s">
        <v>159</v>
      </c>
    </row>
    <row r="11" spans="1:16" x14ac:dyDescent="0.25">
      <c r="A11" s="2" t="s">
        <v>160</v>
      </c>
      <c r="B11" s="2" t="s">
        <v>136</v>
      </c>
      <c r="C11" s="8">
        <v>46241</v>
      </c>
      <c r="D11" s="6">
        <v>46235</v>
      </c>
      <c r="E11" s="2" t="s">
        <v>137</v>
      </c>
      <c r="F11" s="2" t="s">
        <v>158</v>
      </c>
      <c r="G11" s="6">
        <v>46204</v>
      </c>
      <c r="H11" s="2" t="s">
        <v>71</v>
      </c>
      <c r="I11" s="2" t="s">
        <v>39</v>
      </c>
      <c r="J11" s="9">
        <v>266162.01494800003</v>
      </c>
      <c r="K11" s="7">
        <v>1</v>
      </c>
      <c r="L11" s="9">
        <v>266162.01</v>
      </c>
      <c r="M11" s="9">
        <v>266162.01</v>
      </c>
      <c r="N11" s="9">
        <v>212.93</v>
      </c>
      <c r="O11" s="10">
        <f>IF(AND(OR(H11="APPROVED",H11="SCHEDULED"),COUNTIFS(tblSource[EventID],F11,tblSource[ReleaseStatus],"APPROVED")=1,COUNTIFS(Period_Status!$A$2:$A$8,G11,Period_Status!$B$2:$B$8,"ActualClosed")=1,C11&gt;EOMONTH(Settlement_Bridge!$C$2,0)),1,0)</f>
        <v>1</v>
      </c>
      <c r="P11" s="2" t="s">
        <v>161</v>
      </c>
    </row>
    <row r="12" spans="1:16" x14ac:dyDescent="0.25">
      <c r="A12" s="2" t="s">
        <v>162</v>
      </c>
      <c r="B12" s="2" t="s">
        <v>136</v>
      </c>
      <c r="C12" s="8">
        <v>46228</v>
      </c>
      <c r="D12" s="6">
        <v>46204</v>
      </c>
      <c r="E12" s="2" t="s">
        <v>137</v>
      </c>
      <c r="F12" s="2" t="s">
        <v>163</v>
      </c>
      <c r="G12" s="6">
        <v>46204</v>
      </c>
      <c r="H12" s="2" t="s">
        <v>71</v>
      </c>
      <c r="I12" s="2" t="s">
        <v>70</v>
      </c>
      <c r="J12" s="9">
        <v>2270261.9197729998</v>
      </c>
      <c r="K12" s="7">
        <v>0.65800000000000003</v>
      </c>
      <c r="L12" s="9">
        <v>1493832.34</v>
      </c>
      <c r="M12" s="9">
        <v>1493832.35</v>
      </c>
      <c r="N12" s="9">
        <v>1195.07</v>
      </c>
      <c r="O12" s="10">
        <f>IF(AND(OR(H12="APPROVED",H12="SCHEDULED"),COUNTIFS(tblSource[EventID],F12,tblSource[ReleaseStatus],"APPROVED")=1,COUNTIFS(Period_Status!$A$2:$A$8,G12,Period_Status!$B$2:$B$8,"ActualClosed")=1,C12&gt;EOMONTH(Settlement_Bridge!$C$2,0)),1,0)</f>
        <v>0</v>
      </c>
      <c r="P12" s="2" t="s">
        <v>164</v>
      </c>
    </row>
    <row r="13" spans="1:16" x14ac:dyDescent="0.25">
      <c r="A13" s="2" t="s">
        <v>165</v>
      </c>
      <c r="B13" s="2" t="s">
        <v>136</v>
      </c>
      <c r="C13" s="8">
        <v>46248</v>
      </c>
      <c r="D13" s="6">
        <v>46235</v>
      </c>
      <c r="E13" s="2" t="s">
        <v>137</v>
      </c>
      <c r="F13" s="2" t="s">
        <v>163</v>
      </c>
      <c r="G13" s="6">
        <v>46204</v>
      </c>
      <c r="H13" s="2" t="s">
        <v>71</v>
      </c>
      <c r="I13" s="2" t="s">
        <v>70</v>
      </c>
      <c r="J13" s="9">
        <v>400634.45643100003</v>
      </c>
      <c r="K13" s="7">
        <v>0.65</v>
      </c>
      <c r="L13" s="9">
        <v>260412.4</v>
      </c>
      <c r="M13" s="9">
        <v>263617.46999999997</v>
      </c>
      <c r="N13" s="9">
        <v>208.33</v>
      </c>
      <c r="O13" s="10">
        <f>IF(AND(OR(H13="APPROVED",H13="SCHEDULED"),COUNTIFS(tblSource[EventID],F13,tblSource[ReleaseStatus],"APPROVED")=1,COUNTIFS(Period_Status!$A$2:$A$8,G13,Period_Status!$B$2:$B$8,"ActualClosed")=1,C13&gt;EOMONTH(Settlement_Bridge!$C$2,0)),1,0)</f>
        <v>1</v>
      </c>
      <c r="P13" s="2" t="s">
        <v>166</v>
      </c>
    </row>
    <row r="14" spans="1:16" x14ac:dyDescent="0.25">
      <c r="A14" s="2" t="s">
        <v>167</v>
      </c>
      <c r="B14" s="2" t="s">
        <v>136</v>
      </c>
      <c r="C14" s="8">
        <v>46235</v>
      </c>
      <c r="D14" s="6">
        <v>46235</v>
      </c>
      <c r="E14" s="2" t="s">
        <v>137</v>
      </c>
      <c r="F14" s="2" t="s">
        <v>168</v>
      </c>
      <c r="G14" s="6">
        <v>46204</v>
      </c>
      <c r="H14" s="2" t="s">
        <v>71</v>
      </c>
      <c r="I14" s="2" t="s">
        <v>39</v>
      </c>
      <c r="J14" s="9">
        <v>1425563.3110219999</v>
      </c>
      <c r="K14" s="7">
        <v>1</v>
      </c>
      <c r="L14" s="9">
        <v>1425563.31</v>
      </c>
      <c r="M14" s="9">
        <v>1425563.31</v>
      </c>
      <c r="N14" s="9">
        <v>1140.45</v>
      </c>
      <c r="O14" s="10">
        <f>IF(AND(OR(H14="APPROVED",H14="SCHEDULED"),COUNTIFS(tblSource[EventID],F14,tblSource[ReleaseStatus],"APPROVED")=1,COUNTIFS(Period_Status!$A$2:$A$8,G14,Period_Status!$B$2:$B$8,"ActualClosed")=1,C14&gt;EOMONTH(Settlement_Bridge!$C$2,0)),1,0)</f>
        <v>1</v>
      </c>
      <c r="P14" s="2" t="s">
        <v>169</v>
      </c>
    </row>
    <row r="15" spans="1:16" x14ac:dyDescent="0.25">
      <c r="A15" s="2" t="s">
        <v>170</v>
      </c>
      <c r="B15" s="2" t="s">
        <v>136</v>
      </c>
      <c r="C15" s="8">
        <v>46255</v>
      </c>
      <c r="D15" s="6">
        <v>46235</v>
      </c>
      <c r="E15" s="2" t="s">
        <v>137</v>
      </c>
      <c r="F15" s="2" t="s">
        <v>168</v>
      </c>
      <c r="G15" s="6">
        <v>46204</v>
      </c>
      <c r="H15" s="2" t="s">
        <v>71</v>
      </c>
      <c r="I15" s="2" t="s">
        <v>39</v>
      </c>
      <c r="J15" s="9">
        <v>251569.996063</v>
      </c>
      <c r="K15" s="7">
        <v>1</v>
      </c>
      <c r="L15" s="9">
        <v>251570</v>
      </c>
      <c r="M15" s="9">
        <v>251570</v>
      </c>
      <c r="N15" s="9">
        <v>201.26</v>
      </c>
      <c r="O15" s="10">
        <f>IF(AND(OR(H15="APPROVED",H15="SCHEDULED"),COUNTIFS(tblSource[EventID],F15,tblSource[ReleaseStatus],"APPROVED")=1,COUNTIFS(Period_Status!$A$2:$A$8,G15,Period_Status!$B$2:$B$8,"ActualClosed")=1,C15&gt;EOMONTH(Settlement_Bridge!$C$2,0)),1,0)</f>
        <v>1</v>
      </c>
      <c r="P15" s="2" t="s">
        <v>171</v>
      </c>
    </row>
    <row r="16" spans="1:16" x14ac:dyDescent="0.25">
      <c r="A16" s="2" t="s">
        <v>172</v>
      </c>
      <c r="B16" s="2" t="s">
        <v>136</v>
      </c>
      <c r="C16" s="8">
        <v>46249</v>
      </c>
      <c r="D16" s="6">
        <v>46235</v>
      </c>
      <c r="E16" s="2" t="s">
        <v>137</v>
      </c>
      <c r="F16" s="2" t="s">
        <v>173</v>
      </c>
      <c r="G16" s="6">
        <v>46204</v>
      </c>
      <c r="H16" s="2" t="s">
        <v>71</v>
      </c>
      <c r="I16" s="2" t="s">
        <v>70</v>
      </c>
      <c r="J16" s="9">
        <v>3104659.6684579998</v>
      </c>
      <c r="K16" s="7">
        <v>0.65</v>
      </c>
      <c r="L16" s="9">
        <v>2018028.78</v>
      </c>
      <c r="M16" s="9">
        <v>2042866.06</v>
      </c>
      <c r="N16" s="9">
        <v>1614.42</v>
      </c>
      <c r="O16" s="10">
        <f>IF(AND(OR(H16="APPROVED",H16="SCHEDULED"),COUNTIFS(tblSource[EventID],F16,tblSource[ReleaseStatus],"APPROVED")=1,COUNTIFS(Period_Status!$A$2:$A$8,G16,Period_Status!$B$2:$B$8,"ActualClosed")=1,C16&gt;EOMONTH(Settlement_Bridge!$C$2,0)),1,0)</f>
        <v>1</v>
      </c>
      <c r="P16" s="2" t="s">
        <v>174</v>
      </c>
    </row>
    <row r="17" spans="1:16" x14ac:dyDescent="0.25">
      <c r="A17" s="2" t="s">
        <v>175</v>
      </c>
      <c r="B17" s="2" t="s">
        <v>136</v>
      </c>
      <c r="C17" s="8">
        <v>46269</v>
      </c>
      <c r="D17" s="6">
        <v>46266</v>
      </c>
      <c r="E17" s="2" t="s">
        <v>137</v>
      </c>
      <c r="F17" s="2" t="s">
        <v>173</v>
      </c>
      <c r="G17" s="6">
        <v>46204</v>
      </c>
      <c r="H17" s="2" t="s">
        <v>176</v>
      </c>
      <c r="I17" s="2" t="s">
        <v>70</v>
      </c>
      <c r="J17" s="9">
        <v>547881.11796299997</v>
      </c>
      <c r="K17" s="7">
        <v>0.65100000000000002</v>
      </c>
      <c r="L17" s="9">
        <v>356670.61</v>
      </c>
      <c r="M17" s="9">
        <v>360505.78</v>
      </c>
      <c r="N17" s="9">
        <v>285.33999999999997</v>
      </c>
      <c r="O17" s="10">
        <f>IF(AND(OR(H17="APPROVED",H17="SCHEDULED"),COUNTIFS(tblSource[EventID],F17,tblSource[ReleaseStatus],"APPROVED")=1,COUNTIFS(Period_Status!$A$2:$A$8,G17,Period_Status!$B$2:$B$8,"ActualClosed")=1,C17&gt;EOMONTH(Settlement_Bridge!$C$2,0)),1,0)</f>
        <v>1</v>
      </c>
      <c r="P17" s="2" t="s">
        <v>177</v>
      </c>
    </row>
    <row r="18" spans="1:16" x14ac:dyDescent="0.25">
      <c r="A18" s="2" t="s">
        <v>178</v>
      </c>
      <c r="B18" s="2" t="s">
        <v>136</v>
      </c>
      <c r="C18" s="8">
        <v>46252</v>
      </c>
      <c r="D18" s="6">
        <v>46235</v>
      </c>
      <c r="E18" s="2" t="s">
        <v>137</v>
      </c>
      <c r="F18" s="2" t="s">
        <v>179</v>
      </c>
      <c r="G18" s="6">
        <v>46235</v>
      </c>
      <c r="H18" s="2" t="s">
        <v>71</v>
      </c>
      <c r="I18" s="2" t="s">
        <v>39</v>
      </c>
      <c r="J18" s="9">
        <v>1355495.9565049999</v>
      </c>
      <c r="K18" s="7">
        <v>1</v>
      </c>
      <c r="L18" s="9">
        <v>1355495.96</v>
      </c>
      <c r="M18" s="9">
        <v>1355495.96</v>
      </c>
      <c r="N18" s="9">
        <v>1084.4000000000001</v>
      </c>
      <c r="O18" s="10">
        <f>IF(AND(OR(H18="APPROVED",H18="SCHEDULED"),COUNTIFS(tblSource[EventID],F18,tblSource[ReleaseStatus],"APPROVED")=1,COUNTIFS(Period_Status!$A$2:$A$8,G18,Period_Status!$B$2:$B$8,"ActualClosed")=1,C18&gt;EOMONTH(Settlement_Bridge!$C$2,0)),1,0)</f>
        <v>0</v>
      </c>
      <c r="P18" s="2" t="s">
        <v>180</v>
      </c>
    </row>
    <row r="19" spans="1:16" x14ac:dyDescent="0.25">
      <c r="A19" s="2" t="s">
        <v>181</v>
      </c>
      <c r="B19" s="2" t="s">
        <v>136</v>
      </c>
      <c r="C19" s="8">
        <v>46272</v>
      </c>
      <c r="D19" s="6">
        <v>46266</v>
      </c>
      <c r="E19" s="2" t="s">
        <v>137</v>
      </c>
      <c r="F19" s="2" t="s">
        <v>179</v>
      </c>
      <c r="G19" s="6">
        <v>46235</v>
      </c>
      <c r="H19" s="2" t="s">
        <v>176</v>
      </c>
      <c r="I19" s="2" t="s">
        <v>39</v>
      </c>
      <c r="J19" s="9">
        <v>239205.16879500001</v>
      </c>
      <c r="K19" s="7">
        <v>1</v>
      </c>
      <c r="L19" s="9">
        <v>239205.17</v>
      </c>
      <c r="M19" s="9">
        <v>239205.17</v>
      </c>
      <c r="N19" s="9">
        <v>191.36</v>
      </c>
      <c r="O19" s="10">
        <f>IF(AND(OR(H19="APPROVED",H19="SCHEDULED"),COUNTIFS(tblSource[EventID],F19,tblSource[ReleaseStatus],"APPROVED")=1,COUNTIFS(Period_Status!$A$2:$A$8,G19,Period_Status!$B$2:$B$8,"ActualClosed")=1,C19&gt;EOMONTH(Settlement_Bridge!$C$2,0)),1,0)</f>
        <v>0</v>
      </c>
      <c r="P19" s="2" t="s">
        <v>182</v>
      </c>
    </row>
    <row r="20" spans="1:16" x14ac:dyDescent="0.25">
      <c r="A20" s="2" t="s">
        <v>183</v>
      </c>
      <c r="B20" s="2" t="s">
        <v>136</v>
      </c>
      <c r="C20" s="8">
        <v>46259</v>
      </c>
      <c r="D20" s="6">
        <v>46235</v>
      </c>
      <c r="E20" s="2" t="s">
        <v>137</v>
      </c>
      <c r="F20" s="2" t="s">
        <v>184</v>
      </c>
      <c r="G20" s="6">
        <v>46235</v>
      </c>
      <c r="H20" s="2" t="s">
        <v>71</v>
      </c>
      <c r="I20" s="2" t="s">
        <v>70</v>
      </c>
      <c r="J20" s="9">
        <v>2042721.759055</v>
      </c>
      <c r="K20" s="7">
        <v>0.65</v>
      </c>
      <c r="L20" s="9">
        <v>1327769.1399999999</v>
      </c>
      <c r="M20" s="9">
        <v>1327769.1499999999</v>
      </c>
      <c r="N20" s="9">
        <v>1062.22</v>
      </c>
      <c r="O20" s="10">
        <f>IF(AND(OR(H20="APPROVED",H20="SCHEDULED"),COUNTIFS(tblSource[EventID],F20,tblSource[ReleaseStatus],"APPROVED")=1,COUNTIFS(Period_Status!$A$2:$A$8,G20,Period_Status!$B$2:$B$8,"ActualClosed")=1,C20&gt;EOMONTH(Settlement_Bridge!$C$2,0)),1,0)</f>
        <v>0</v>
      </c>
      <c r="P20" s="2" t="s">
        <v>185</v>
      </c>
    </row>
    <row r="21" spans="1:16" x14ac:dyDescent="0.25">
      <c r="A21" s="2" t="s">
        <v>186</v>
      </c>
      <c r="B21" s="2" t="s">
        <v>136</v>
      </c>
      <c r="C21" s="8">
        <v>46279</v>
      </c>
      <c r="D21" s="6">
        <v>46266</v>
      </c>
      <c r="E21" s="2" t="s">
        <v>137</v>
      </c>
      <c r="F21" s="2" t="s">
        <v>184</v>
      </c>
      <c r="G21" s="6">
        <v>46235</v>
      </c>
      <c r="H21" s="2" t="s">
        <v>176</v>
      </c>
      <c r="I21" s="2" t="s">
        <v>70</v>
      </c>
      <c r="J21" s="9">
        <v>360480.31042200001</v>
      </c>
      <c r="K21" s="7">
        <v>0.65100000000000002</v>
      </c>
      <c r="L21" s="9">
        <v>234672.68</v>
      </c>
      <c r="M21" s="9">
        <v>234312.2</v>
      </c>
      <c r="N21" s="9">
        <v>187.74</v>
      </c>
      <c r="O21" s="10">
        <f>IF(AND(OR(H21="APPROVED",H21="SCHEDULED"),COUNTIFS(tblSource[EventID],F21,tblSource[ReleaseStatus],"APPROVED")=1,COUNTIFS(Period_Status!$A$2:$A$8,G21,Period_Status!$B$2:$B$8,"ActualClosed")=1,C21&gt;EOMONTH(Settlement_Bridge!$C$2,0)),1,0)</f>
        <v>0</v>
      </c>
      <c r="P21" s="2" t="s">
        <v>187</v>
      </c>
    </row>
    <row r="22" spans="1:16" x14ac:dyDescent="0.25">
      <c r="A22" s="2" t="s">
        <v>188</v>
      </c>
      <c r="B22" s="2" t="s">
        <v>136</v>
      </c>
      <c r="C22" s="8">
        <v>46266</v>
      </c>
      <c r="D22" s="6">
        <v>46266</v>
      </c>
      <c r="E22" s="2" t="s">
        <v>137</v>
      </c>
      <c r="F22" s="2" t="s">
        <v>189</v>
      </c>
      <c r="G22" s="6">
        <v>46235</v>
      </c>
      <c r="H22" s="2" t="s">
        <v>176</v>
      </c>
      <c r="I22" s="2" t="s">
        <v>39</v>
      </c>
      <c r="J22" s="9">
        <v>1237772.709603</v>
      </c>
      <c r="K22" s="7">
        <v>1</v>
      </c>
      <c r="L22" s="9">
        <v>1237772.71</v>
      </c>
      <c r="M22" s="9">
        <v>1237772.71</v>
      </c>
      <c r="N22" s="9">
        <v>990.22</v>
      </c>
      <c r="O22" s="10">
        <f>IF(AND(OR(H22="APPROVED",H22="SCHEDULED"),COUNTIFS(tblSource[EventID],F22,tblSource[ReleaseStatus],"APPROVED")=1,COUNTIFS(Period_Status!$A$2:$A$8,G22,Period_Status!$B$2:$B$8,"ActualClosed")=1,C22&gt;EOMONTH(Settlement_Bridge!$C$2,0)),1,0)</f>
        <v>0</v>
      </c>
      <c r="P22" s="2" t="s">
        <v>190</v>
      </c>
    </row>
    <row r="23" spans="1:16" x14ac:dyDescent="0.25">
      <c r="A23" s="2" t="s">
        <v>191</v>
      </c>
      <c r="B23" s="2" t="s">
        <v>136</v>
      </c>
      <c r="C23" s="8">
        <v>46286</v>
      </c>
      <c r="D23" s="6">
        <v>46266</v>
      </c>
      <c r="E23" s="2" t="s">
        <v>137</v>
      </c>
      <c r="F23" s="2" t="s">
        <v>189</v>
      </c>
      <c r="G23" s="6">
        <v>46235</v>
      </c>
      <c r="H23" s="2" t="s">
        <v>176</v>
      </c>
      <c r="I23" s="2" t="s">
        <v>39</v>
      </c>
      <c r="J23" s="9">
        <v>218430.47816500001</v>
      </c>
      <c r="K23" s="7">
        <v>1</v>
      </c>
      <c r="L23" s="9">
        <v>218430.48</v>
      </c>
      <c r="M23" s="9">
        <v>218430.48</v>
      </c>
      <c r="N23" s="9">
        <v>174.74</v>
      </c>
      <c r="O23" s="10">
        <f>IF(AND(OR(H23="APPROVED",H23="SCHEDULED"),COUNTIFS(tblSource[EventID],F23,tblSource[ReleaseStatus],"APPROVED")=1,COUNTIFS(Period_Status!$A$2:$A$8,G23,Period_Status!$B$2:$B$8,"ActualClosed")=1,C23&gt;EOMONTH(Settlement_Bridge!$C$2,0)),1,0)</f>
        <v>0</v>
      </c>
      <c r="P23" s="2" t="s">
        <v>192</v>
      </c>
    </row>
    <row r="24" spans="1:16" x14ac:dyDescent="0.25">
      <c r="A24" s="2" t="s">
        <v>193</v>
      </c>
      <c r="B24" s="2" t="s">
        <v>136</v>
      </c>
      <c r="C24" s="8">
        <v>46280</v>
      </c>
      <c r="D24" s="6">
        <v>46266</v>
      </c>
      <c r="E24" s="2" t="s">
        <v>137</v>
      </c>
      <c r="F24" s="2" t="s">
        <v>194</v>
      </c>
      <c r="G24" s="6">
        <v>46235</v>
      </c>
      <c r="H24" s="2" t="s">
        <v>176</v>
      </c>
      <c r="I24" s="2" t="s">
        <v>70</v>
      </c>
      <c r="J24" s="9">
        <v>2957177.2324649999</v>
      </c>
      <c r="K24" s="7">
        <v>0.65100000000000002</v>
      </c>
      <c r="L24" s="9">
        <v>1925122.38</v>
      </c>
      <c r="M24" s="9">
        <v>1922165.2</v>
      </c>
      <c r="N24" s="9">
        <v>1540.1</v>
      </c>
      <c r="O24" s="10">
        <f>IF(AND(OR(H24="APPROVED",H24="SCHEDULED"),COUNTIFS(tblSource[EventID],F24,tblSource[ReleaseStatus],"APPROVED")=1,COUNTIFS(Period_Status!$A$2:$A$8,G24,Period_Status!$B$2:$B$8,"ActualClosed")=1,C24&gt;EOMONTH(Settlement_Bridge!$C$2,0)),1,0)</f>
        <v>0</v>
      </c>
      <c r="P24" s="2" t="s">
        <v>195</v>
      </c>
    </row>
    <row r="25" spans="1:16" x14ac:dyDescent="0.25">
      <c r="A25" s="2" t="s">
        <v>196</v>
      </c>
      <c r="B25" s="2" t="s">
        <v>136</v>
      </c>
      <c r="C25" s="8">
        <v>46300</v>
      </c>
      <c r="D25" s="6">
        <v>46296</v>
      </c>
      <c r="E25" s="2" t="s">
        <v>137</v>
      </c>
      <c r="F25" s="2" t="s">
        <v>194</v>
      </c>
      <c r="G25" s="6">
        <v>46235</v>
      </c>
      <c r="H25" s="2" t="s">
        <v>176</v>
      </c>
      <c r="I25" s="2" t="s">
        <v>70</v>
      </c>
      <c r="J25" s="9">
        <v>521854.80572900001</v>
      </c>
      <c r="K25" s="7">
        <v>0.65500000000000003</v>
      </c>
      <c r="L25" s="9">
        <v>341814.9</v>
      </c>
      <c r="M25" s="9">
        <v>339205.62</v>
      </c>
      <c r="N25" s="9">
        <v>273.45</v>
      </c>
      <c r="O25" s="10">
        <f>IF(AND(OR(H25="APPROVED",H25="SCHEDULED"),COUNTIFS(tblSource[EventID],F25,tblSource[ReleaseStatus],"APPROVED")=1,COUNTIFS(Period_Status!$A$2:$A$8,G25,Period_Status!$B$2:$B$8,"ActualClosed")=1,C25&gt;EOMONTH(Settlement_Bridge!$C$2,0)),1,0)</f>
        <v>0</v>
      </c>
      <c r="P25" s="2" t="s">
        <v>197</v>
      </c>
    </row>
    <row r="26" spans="1:16" x14ac:dyDescent="0.25">
      <c r="A26" s="2" t="s">
        <v>198</v>
      </c>
      <c r="B26" s="2" t="s">
        <v>199</v>
      </c>
      <c r="C26" s="8">
        <v>46191</v>
      </c>
      <c r="D26" s="6">
        <v>46174</v>
      </c>
      <c r="E26" s="2" t="s">
        <v>137</v>
      </c>
      <c r="F26" s="2" t="s">
        <v>200</v>
      </c>
      <c r="G26" s="6">
        <v>46174</v>
      </c>
      <c r="H26" s="2" t="s">
        <v>71</v>
      </c>
      <c r="I26" s="2" t="s">
        <v>39</v>
      </c>
      <c r="J26" s="9">
        <v>904774.05655400001</v>
      </c>
      <c r="K26" s="7">
        <v>1</v>
      </c>
      <c r="L26" s="9">
        <v>904774.06</v>
      </c>
      <c r="M26" s="9">
        <v>904774.06</v>
      </c>
      <c r="N26" s="9">
        <v>723.82</v>
      </c>
      <c r="O26" s="10">
        <f>IF(AND(OR(H26="APPROVED",H26="SCHEDULED"),COUNTIFS(tblSource[EventID],F26,tblSource[ReleaseStatus],"APPROVED")=1,COUNTIFS(Period_Status!$A$2:$A$8,G26,Period_Status!$B$2:$B$8,"ActualClosed")=1,C26&gt;EOMONTH(Settlement_Bridge!$C$2,0)),1,0)</f>
        <v>0</v>
      </c>
      <c r="P26" s="2" t="s">
        <v>201</v>
      </c>
    </row>
    <row r="27" spans="1:16" x14ac:dyDescent="0.25">
      <c r="A27" s="2" t="s">
        <v>202</v>
      </c>
      <c r="B27" s="2" t="s">
        <v>199</v>
      </c>
      <c r="C27" s="8">
        <v>46211</v>
      </c>
      <c r="D27" s="6">
        <v>46204</v>
      </c>
      <c r="E27" s="2" t="s">
        <v>137</v>
      </c>
      <c r="F27" s="2" t="s">
        <v>200</v>
      </c>
      <c r="G27" s="6">
        <v>46174</v>
      </c>
      <c r="H27" s="2" t="s">
        <v>71</v>
      </c>
      <c r="I27" s="2" t="s">
        <v>39</v>
      </c>
      <c r="J27" s="9">
        <v>159666.00998</v>
      </c>
      <c r="K27" s="7">
        <v>1</v>
      </c>
      <c r="L27" s="9">
        <v>159666.01</v>
      </c>
      <c r="M27" s="9">
        <v>159666.01</v>
      </c>
      <c r="N27" s="9">
        <v>127.73</v>
      </c>
      <c r="O27" s="10">
        <f>IF(AND(OR(H27="APPROVED",H27="SCHEDULED"),COUNTIFS(tblSource[EventID],F27,tblSource[ReleaseStatus],"APPROVED")=1,COUNTIFS(Period_Status!$A$2:$A$8,G27,Period_Status!$B$2:$B$8,"ActualClosed")=1,C27&gt;EOMONTH(Settlement_Bridge!$C$2,0)),1,0)</f>
        <v>0</v>
      </c>
      <c r="P27" s="2" t="s">
        <v>203</v>
      </c>
    </row>
    <row r="28" spans="1:16" x14ac:dyDescent="0.25">
      <c r="A28" s="2" t="s">
        <v>204</v>
      </c>
      <c r="B28" s="2" t="s">
        <v>199</v>
      </c>
      <c r="C28" s="8">
        <v>46198</v>
      </c>
      <c r="D28" s="6">
        <v>46174</v>
      </c>
      <c r="E28" s="2" t="s">
        <v>137</v>
      </c>
      <c r="F28" s="2" t="s">
        <v>205</v>
      </c>
      <c r="G28" s="6">
        <v>46174</v>
      </c>
      <c r="H28" s="2" t="s">
        <v>71</v>
      </c>
      <c r="I28" s="2" t="s">
        <v>70</v>
      </c>
      <c r="J28" s="9">
        <v>1344954.1442549999</v>
      </c>
      <c r="K28" s="7">
        <v>0.66500000000000004</v>
      </c>
      <c r="L28" s="9">
        <v>894394.51</v>
      </c>
      <c r="M28" s="9">
        <v>894394.51</v>
      </c>
      <c r="N28" s="9">
        <v>715.52</v>
      </c>
      <c r="O28" s="10">
        <f>IF(AND(OR(H28="APPROVED",H28="SCHEDULED"),COUNTIFS(tblSource[EventID],F28,tblSource[ReleaseStatus],"APPROVED")=1,COUNTIFS(Period_Status!$A$2:$A$8,G28,Period_Status!$B$2:$B$8,"ActualClosed")=1,C28&gt;EOMONTH(Settlement_Bridge!$C$2,0)),1,0)</f>
        <v>0</v>
      </c>
      <c r="P28" s="2" t="s">
        <v>206</v>
      </c>
    </row>
    <row r="29" spans="1:16" x14ac:dyDescent="0.25">
      <c r="A29" s="2" t="s">
        <v>207</v>
      </c>
      <c r="B29" s="2" t="s">
        <v>199</v>
      </c>
      <c r="C29" s="8">
        <v>46218</v>
      </c>
      <c r="D29" s="6">
        <v>46204</v>
      </c>
      <c r="E29" s="2" t="s">
        <v>137</v>
      </c>
      <c r="F29" s="2" t="s">
        <v>205</v>
      </c>
      <c r="G29" s="6">
        <v>46174</v>
      </c>
      <c r="H29" s="2" t="s">
        <v>71</v>
      </c>
      <c r="I29" s="2" t="s">
        <v>70</v>
      </c>
      <c r="J29" s="9">
        <v>237344.848986</v>
      </c>
      <c r="K29" s="7">
        <v>0.65800000000000003</v>
      </c>
      <c r="L29" s="9">
        <v>156172.91</v>
      </c>
      <c r="M29" s="9">
        <v>157834.32</v>
      </c>
      <c r="N29" s="9">
        <v>124.94</v>
      </c>
      <c r="O29" s="10">
        <f>IF(AND(OR(H29="APPROVED",H29="SCHEDULED"),COUNTIFS(tblSource[EventID],F29,tblSource[ReleaseStatus],"APPROVED")=1,COUNTIFS(Period_Status!$A$2:$A$8,G29,Period_Status!$B$2:$B$8,"ActualClosed")=1,C29&gt;EOMONTH(Settlement_Bridge!$C$2,0)),1,0)</f>
        <v>0</v>
      </c>
      <c r="P29" s="2" t="s">
        <v>208</v>
      </c>
    </row>
    <row r="30" spans="1:16" x14ac:dyDescent="0.25">
      <c r="A30" s="2" t="s">
        <v>209</v>
      </c>
      <c r="B30" s="2" t="s">
        <v>199</v>
      </c>
      <c r="C30" s="8">
        <v>46205</v>
      </c>
      <c r="D30" s="6">
        <v>46204</v>
      </c>
      <c r="E30" s="2" t="s">
        <v>137</v>
      </c>
      <c r="F30" s="2" t="s">
        <v>210</v>
      </c>
      <c r="G30" s="6">
        <v>46174</v>
      </c>
      <c r="H30" s="2" t="s">
        <v>71</v>
      </c>
      <c r="I30" s="2" t="s">
        <v>39</v>
      </c>
      <c r="J30" s="9">
        <v>897789.53403700003</v>
      </c>
      <c r="K30" s="7">
        <v>1</v>
      </c>
      <c r="L30" s="9">
        <v>897789.53</v>
      </c>
      <c r="M30" s="9">
        <v>897789.53</v>
      </c>
      <c r="N30" s="9">
        <v>718.23</v>
      </c>
      <c r="O30" s="10">
        <f>IF(AND(OR(H30="APPROVED",H30="SCHEDULED"),COUNTIFS(tblSource[EventID],F30,tblSource[ReleaseStatus],"APPROVED")=1,COUNTIFS(Period_Status!$A$2:$A$8,G30,Period_Status!$B$2:$B$8,"ActualClosed")=1,C30&gt;EOMONTH(Settlement_Bridge!$C$2,0)),1,0)</f>
        <v>0</v>
      </c>
      <c r="P30" s="2" t="s">
        <v>211</v>
      </c>
    </row>
    <row r="31" spans="1:16" x14ac:dyDescent="0.25">
      <c r="A31" s="2" t="s">
        <v>212</v>
      </c>
      <c r="B31" s="2" t="s">
        <v>199</v>
      </c>
      <c r="C31" s="8">
        <v>46225</v>
      </c>
      <c r="D31" s="6">
        <v>46204</v>
      </c>
      <c r="E31" s="2" t="s">
        <v>137</v>
      </c>
      <c r="F31" s="2" t="s">
        <v>210</v>
      </c>
      <c r="G31" s="6">
        <v>46174</v>
      </c>
      <c r="H31" s="2" t="s">
        <v>71</v>
      </c>
      <c r="I31" s="2" t="s">
        <v>39</v>
      </c>
      <c r="J31" s="9">
        <v>158433.44718300001</v>
      </c>
      <c r="K31" s="7">
        <v>1</v>
      </c>
      <c r="L31" s="9">
        <v>158433.45000000001</v>
      </c>
      <c r="M31" s="9">
        <v>158433.45000000001</v>
      </c>
      <c r="N31" s="9">
        <v>126.75</v>
      </c>
      <c r="O31" s="10">
        <f>IF(AND(OR(H31="APPROVED",H31="SCHEDULED"),COUNTIFS(tblSource[EventID],F31,tblSource[ReleaseStatus],"APPROVED")=1,COUNTIFS(Period_Status!$A$2:$A$8,G31,Period_Status!$B$2:$B$8,"ActualClosed")=1,C31&gt;EOMONTH(Settlement_Bridge!$C$2,0)),1,0)</f>
        <v>0</v>
      </c>
      <c r="P31" s="2" t="s">
        <v>213</v>
      </c>
    </row>
    <row r="32" spans="1:16" x14ac:dyDescent="0.25">
      <c r="A32" s="2" t="s">
        <v>214</v>
      </c>
      <c r="B32" s="2" t="s">
        <v>199</v>
      </c>
      <c r="C32" s="8">
        <v>46218</v>
      </c>
      <c r="D32" s="6">
        <v>46204</v>
      </c>
      <c r="E32" s="2" t="s">
        <v>137</v>
      </c>
      <c r="F32" s="2" t="s">
        <v>215</v>
      </c>
      <c r="G32" s="6">
        <v>46174</v>
      </c>
      <c r="H32" s="2" t="s">
        <v>71</v>
      </c>
      <c r="I32" s="2" t="s">
        <v>70</v>
      </c>
      <c r="J32" s="9">
        <v>1636598.6200059999</v>
      </c>
      <c r="K32" s="7">
        <v>0.65800000000000003</v>
      </c>
      <c r="L32" s="9">
        <v>1076881.8899999999</v>
      </c>
      <c r="M32" s="9">
        <v>1088338.08</v>
      </c>
      <c r="N32" s="9">
        <v>861.51</v>
      </c>
      <c r="O32" s="10">
        <f>IF(AND(OR(H32="APPROVED",H32="SCHEDULED"),COUNTIFS(tblSource[EventID],F32,tblSource[ReleaseStatus],"APPROVED")=1,COUNTIFS(Period_Status!$A$2:$A$8,G32,Period_Status!$B$2:$B$8,"ActualClosed")=1,C32&gt;EOMONTH(Settlement_Bridge!$C$2,0)),1,0)</f>
        <v>0</v>
      </c>
      <c r="P32" s="2" t="s">
        <v>216</v>
      </c>
    </row>
    <row r="33" spans="1:16" x14ac:dyDescent="0.25">
      <c r="A33" s="2" t="s">
        <v>217</v>
      </c>
      <c r="B33" s="2" t="s">
        <v>199</v>
      </c>
      <c r="C33" s="8">
        <v>46238</v>
      </c>
      <c r="D33" s="6">
        <v>46235</v>
      </c>
      <c r="E33" s="2" t="s">
        <v>137</v>
      </c>
      <c r="F33" s="2" t="s">
        <v>215</v>
      </c>
      <c r="G33" s="6">
        <v>46174</v>
      </c>
      <c r="H33" s="2" t="s">
        <v>71</v>
      </c>
      <c r="I33" s="2" t="s">
        <v>70</v>
      </c>
      <c r="J33" s="9">
        <v>288811.52117800002</v>
      </c>
      <c r="K33" s="7">
        <v>0.65</v>
      </c>
      <c r="L33" s="9">
        <v>187727.49</v>
      </c>
      <c r="M33" s="9">
        <v>192059.66</v>
      </c>
      <c r="N33" s="9">
        <v>150.18</v>
      </c>
      <c r="O33" s="10">
        <f>IF(AND(OR(H33="APPROVED",H33="SCHEDULED"),COUNTIFS(tblSource[EventID],F33,tblSource[ReleaseStatus],"APPROVED")=1,COUNTIFS(Period_Status!$A$2:$A$8,G33,Period_Status!$B$2:$B$8,"ActualClosed")=1,C33&gt;EOMONTH(Settlement_Bridge!$C$2,0)),1,0)</f>
        <v>1</v>
      </c>
      <c r="P33" s="2" t="s">
        <v>218</v>
      </c>
    </row>
    <row r="34" spans="1:16" x14ac:dyDescent="0.25">
      <c r="A34" s="2" t="s">
        <v>219</v>
      </c>
      <c r="B34" s="2" t="s">
        <v>199</v>
      </c>
      <c r="C34" s="8">
        <v>46221</v>
      </c>
      <c r="D34" s="6">
        <v>46204</v>
      </c>
      <c r="E34" s="2" t="s">
        <v>137</v>
      </c>
      <c r="F34" s="2" t="s">
        <v>220</v>
      </c>
      <c r="G34" s="6">
        <v>46204</v>
      </c>
      <c r="H34" s="2" t="s">
        <v>71</v>
      </c>
      <c r="I34" s="2" t="s">
        <v>39</v>
      </c>
      <c r="J34" s="9">
        <v>944667.23285300005</v>
      </c>
      <c r="K34" s="7">
        <v>1</v>
      </c>
      <c r="L34" s="9">
        <v>944667.23</v>
      </c>
      <c r="M34" s="9">
        <v>944667.24</v>
      </c>
      <c r="N34" s="9">
        <v>755.73</v>
      </c>
      <c r="O34" s="10">
        <f>IF(AND(OR(H34="APPROVED",H34="SCHEDULED"),COUNTIFS(tblSource[EventID],F34,tblSource[ReleaseStatus],"APPROVED")=1,COUNTIFS(Period_Status!$A$2:$A$8,G34,Period_Status!$B$2:$B$8,"ActualClosed")=1,C34&gt;EOMONTH(Settlement_Bridge!$C$2,0)),1,0)</f>
        <v>0</v>
      </c>
      <c r="P34" s="2" t="s">
        <v>221</v>
      </c>
    </row>
    <row r="35" spans="1:16" x14ac:dyDescent="0.25">
      <c r="A35" s="2" t="s">
        <v>222</v>
      </c>
      <c r="B35" s="2" t="s">
        <v>199</v>
      </c>
      <c r="C35" s="8">
        <v>46241</v>
      </c>
      <c r="D35" s="6">
        <v>46235</v>
      </c>
      <c r="E35" s="2" t="s">
        <v>137</v>
      </c>
      <c r="F35" s="2" t="s">
        <v>220</v>
      </c>
      <c r="G35" s="6">
        <v>46204</v>
      </c>
      <c r="H35" s="2" t="s">
        <v>71</v>
      </c>
      <c r="I35" s="2" t="s">
        <v>39</v>
      </c>
      <c r="J35" s="9">
        <v>166705.98226799999</v>
      </c>
      <c r="K35" s="7">
        <v>1</v>
      </c>
      <c r="L35" s="9">
        <v>166705.98000000001</v>
      </c>
      <c r="M35" s="9">
        <v>166705.98000000001</v>
      </c>
      <c r="N35" s="9">
        <v>133.36000000000001</v>
      </c>
      <c r="O35" s="10">
        <f>IF(AND(OR(H35="APPROVED",H35="SCHEDULED"),COUNTIFS(tblSource[EventID],F35,tblSource[ReleaseStatus],"APPROVED")=1,COUNTIFS(Period_Status!$A$2:$A$8,G35,Period_Status!$B$2:$B$8,"ActualClosed")=1,C35&gt;EOMONTH(Settlement_Bridge!$C$2,0)),1,0)</f>
        <v>1</v>
      </c>
      <c r="P35" s="2" t="s">
        <v>223</v>
      </c>
    </row>
    <row r="36" spans="1:16" x14ac:dyDescent="0.25">
      <c r="A36" s="2" t="s">
        <v>224</v>
      </c>
      <c r="B36" s="2" t="s">
        <v>199</v>
      </c>
      <c r="C36" s="8">
        <v>46228</v>
      </c>
      <c r="D36" s="6">
        <v>46204</v>
      </c>
      <c r="E36" s="2" t="s">
        <v>137</v>
      </c>
      <c r="F36" s="2" t="s">
        <v>225</v>
      </c>
      <c r="G36" s="6">
        <v>46204</v>
      </c>
      <c r="H36" s="2" t="s">
        <v>71</v>
      </c>
      <c r="I36" s="2" t="s">
        <v>70</v>
      </c>
      <c r="J36" s="9">
        <v>1308998.8590480001</v>
      </c>
      <c r="K36" s="7">
        <v>0.65800000000000003</v>
      </c>
      <c r="L36" s="9">
        <v>861321.25</v>
      </c>
      <c r="M36" s="9">
        <v>861321.25</v>
      </c>
      <c r="N36" s="9">
        <v>689.06</v>
      </c>
      <c r="O36" s="10">
        <f>IF(AND(OR(H36="APPROVED",H36="SCHEDULED"),COUNTIFS(tblSource[EventID],F36,tblSource[ReleaseStatus],"APPROVED")=1,COUNTIFS(Period_Status!$A$2:$A$8,G36,Period_Status!$B$2:$B$8,"ActualClosed")=1,C36&gt;EOMONTH(Settlement_Bridge!$C$2,0)),1,0)</f>
        <v>0</v>
      </c>
      <c r="P36" s="2" t="s">
        <v>226</v>
      </c>
    </row>
    <row r="37" spans="1:16" x14ac:dyDescent="0.25">
      <c r="A37" s="2" t="s">
        <v>227</v>
      </c>
      <c r="B37" s="2" t="s">
        <v>199</v>
      </c>
      <c r="C37" s="8">
        <v>46248</v>
      </c>
      <c r="D37" s="6">
        <v>46235</v>
      </c>
      <c r="E37" s="2" t="s">
        <v>137</v>
      </c>
      <c r="F37" s="2" t="s">
        <v>225</v>
      </c>
      <c r="G37" s="6">
        <v>46204</v>
      </c>
      <c r="H37" s="2" t="s">
        <v>71</v>
      </c>
      <c r="I37" s="2" t="s">
        <v>70</v>
      </c>
      <c r="J37" s="9">
        <v>230999.79865499999</v>
      </c>
      <c r="K37" s="7">
        <v>0.65</v>
      </c>
      <c r="L37" s="9">
        <v>150149.87</v>
      </c>
      <c r="M37" s="9">
        <v>151997.87</v>
      </c>
      <c r="N37" s="9">
        <v>120.12</v>
      </c>
      <c r="O37" s="10">
        <f>IF(AND(OR(H37="APPROVED",H37="SCHEDULED"),COUNTIFS(tblSource[EventID],F37,tblSource[ReleaseStatus],"APPROVED")=1,COUNTIFS(Period_Status!$A$2:$A$8,G37,Period_Status!$B$2:$B$8,"ActualClosed")=1,C37&gt;EOMONTH(Settlement_Bridge!$C$2,0)),1,0)</f>
        <v>1</v>
      </c>
      <c r="P37" s="2" t="s">
        <v>228</v>
      </c>
    </row>
    <row r="38" spans="1:16" x14ac:dyDescent="0.25">
      <c r="A38" s="2" t="s">
        <v>229</v>
      </c>
      <c r="B38" s="2" t="s">
        <v>199</v>
      </c>
      <c r="C38" s="8">
        <v>46235</v>
      </c>
      <c r="D38" s="6">
        <v>46235</v>
      </c>
      <c r="E38" s="2" t="s">
        <v>137</v>
      </c>
      <c r="F38" s="2" t="s">
        <v>230</v>
      </c>
      <c r="G38" s="6">
        <v>46204</v>
      </c>
      <c r="H38" s="2" t="s">
        <v>71</v>
      </c>
      <c r="I38" s="2" t="s">
        <v>39</v>
      </c>
      <c r="J38" s="9">
        <v>896689.94306900003</v>
      </c>
      <c r="K38" s="7">
        <v>1</v>
      </c>
      <c r="L38" s="9">
        <v>896689.94</v>
      </c>
      <c r="M38" s="9">
        <v>896689.94</v>
      </c>
      <c r="N38" s="9">
        <v>717.35</v>
      </c>
      <c r="O38" s="10">
        <f>IF(AND(OR(H38="APPROVED",H38="SCHEDULED"),COUNTIFS(tblSource[EventID],F38,tblSource[ReleaseStatus],"APPROVED")=1,COUNTIFS(Period_Status!$A$2:$A$8,G38,Period_Status!$B$2:$B$8,"ActualClosed")=1,C38&gt;EOMONTH(Settlement_Bridge!$C$2,0)),1,0)</f>
        <v>1</v>
      </c>
      <c r="P38" s="2" t="s">
        <v>231</v>
      </c>
    </row>
    <row r="39" spans="1:16" x14ac:dyDescent="0.25">
      <c r="A39" s="2" t="s">
        <v>232</v>
      </c>
      <c r="B39" s="2" t="s">
        <v>199</v>
      </c>
      <c r="C39" s="8">
        <v>46255</v>
      </c>
      <c r="D39" s="6">
        <v>46235</v>
      </c>
      <c r="E39" s="2" t="s">
        <v>137</v>
      </c>
      <c r="F39" s="2" t="s">
        <v>230</v>
      </c>
      <c r="G39" s="6">
        <v>46204</v>
      </c>
      <c r="H39" s="2" t="s">
        <v>71</v>
      </c>
      <c r="I39" s="2" t="s">
        <v>39</v>
      </c>
      <c r="J39" s="9">
        <v>158239.40171800001</v>
      </c>
      <c r="K39" s="7">
        <v>1</v>
      </c>
      <c r="L39" s="9">
        <v>158239.4</v>
      </c>
      <c r="M39" s="9">
        <v>158239.4</v>
      </c>
      <c r="N39" s="9">
        <v>126.59</v>
      </c>
      <c r="O39" s="10">
        <f>IF(AND(OR(H39="APPROVED",H39="SCHEDULED"),COUNTIFS(tblSource[EventID],F39,tblSource[ReleaseStatus],"APPROVED")=1,COUNTIFS(Period_Status!$A$2:$A$8,G39,Period_Status!$B$2:$B$8,"ActualClosed")=1,C39&gt;EOMONTH(Settlement_Bridge!$C$2,0)),1,0)</f>
        <v>1</v>
      </c>
      <c r="P39" s="2" t="s">
        <v>233</v>
      </c>
    </row>
    <row r="40" spans="1:16" x14ac:dyDescent="0.25">
      <c r="A40" s="2" t="s">
        <v>234</v>
      </c>
      <c r="B40" s="2" t="s">
        <v>199</v>
      </c>
      <c r="C40" s="8">
        <v>46249</v>
      </c>
      <c r="D40" s="6">
        <v>46235</v>
      </c>
      <c r="E40" s="2" t="s">
        <v>137</v>
      </c>
      <c r="F40" s="2" t="s">
        <v>235</v>
      </c>
      <c r="G40" s="6">
        <v>46204</v>
      </c>
      <c r="H40" s="2" t="s">
        <v>71</v>
      </c>
      <c r="I40" s="2" t="s">
        <v>70</v>
      </c>
      <c r="J40" s="9">
        <v>1889023.4062119999</v>
      </c>
      <c r="K40" s="7">
        <v>0.65</v>
      </c>
      <c r="L40" s="9">
        <v>1227865.21</v>
      </c>
      <c r="M40" s="9">
        <v>1242977.3999999999</v>
      </c>
      <c r="N40" s="9">
        <v>982.29</v>
      </c>
      <c r="O40" s="10">
        <f>IF(AND(OR(H40="APPROVED",H40="SCHEDULED"),COUNTIFS(tblSource[EventID],F40,tblSource[ReleaseStatus],"APPROVED")=1,COUNTIFS(Period_Status!$A$2:$A$8,G40,Period_Status!$B$2:$B$8,"ActualClosed")=1,C40&gt;EOMONTH(Settlement_Bridge!$C$2,0)),1,0)</f>
        <v>1</v>
      </c>
      <c r="P40" s="2" t="s">
        <v>236</v>
      </c>
    </row>
    <row r="41" spans="1:16" x14ac:dyDescent="0.25">
      <c r="A41" s="2" t="s">
        <v>237</v>
      </c>
      <c r="B41" s="2" t="s">
        <v>199</v>
      </c>
      <c r="C41" s="8">
        <v>46269</v>
      </c>
      <c r="D41" s="6">
        <v>46266</v>
      </c>
      <c r="E41" s="2" t="s">
        <v>137</v>
      </c>
      <c r="F41" s="2" t="s">
        <v>235</v>
      </c>
      <c r="G41" s="6">
        <v>46204</v>
      </c>
      <c r="H41" s="2" t="s">
        <v>176</v>
      </c>
      <c r="I41" s="2" t="s">
        <v>70</v>
      </c>
      <c r="J41" s="9">
        <v>333357.07168499997</v>
      </c>
      <c r="K41" s="7">
        <v>0.65100000000000002</v>
      </c>
      <c r="L41" s="9">
        <v>217015.45</v>
      </c>
      <c r="M41" s="9">
        <v>219348.95</v>
      </c>
      <c r="N41" s="9">
        <v>173.61</v>
      </c>
      <c r="O41" s="10">
        <f>IF(AND(OR(H41="APPROVED",H41="SCHEDULED"),COUNTIFS(tblSource[EventID],F41,tblSource[ReleaseStatus],"APPROVED")=1,COUNTIFS(Period_Status!$A$2:$A$8,G41,Period_Status!$B$2:$B$8,"ActualClosed")=1,C41&gt;EOMONTH(Settlement_Bridge!$C$2,0)),1,0)</f>
        <v>1</v>
      </c>
      <c r="P41" s="2" t="s">
        <v>238</v>
      </c>
    </row>
    <row r="42" spans="1:16" x14ac:dyDescent="0.25">
      <c r="A42" s="2" t="s">
        <v>239</v>
      </c>
      <c r="B42" s="2" t="s">
        <v>199</v>
      </c>
      <c r="C42" s="8">
        <v>46252</v>
      </c>
      <c r="D42" s="6">
        <v>46235</v>
      </c>
      <c r="E42" s="2" t="s">
        <v>137</v>
      </c>
      <c r="F42" s="2" t="s">
        <v>240</v>
      </c>
      <c r="G42" s="6">
        <v>46235</v>
      </c>
      <c r="H42" s="2" t="s">
        <v>71</v>
      </c>
      <c r="I42" s="2" t="s">
        <v>39</v>
      </c>
      <c r="J42" s="9">
        <v>922622.36154900002</v>
      </c>
      <c r="K42" s="7">
        <v>1</v>
      </c>
      <c r="L42" s="9">
        <v>922622.36</v>
      </c>
      <c r="M42" s="9">
        <v>922622.36</v>
      </c>
      <c r="N42" s="9">
        <v>738.1</v>
      </c>
      <c r="O42" s="10">
        <f>IF(AND(OR(H42="APPROVED",H42="SCHEDULED"),COUNTIFS(tblSource[EventID],F42,tblSource[ReleaseStatus],"APPROVED")=1,COUNTIFS(Period_Status!$A$2:$A$8,G42,Period_Status!$B$2:$B$8,"ActualClosed")=1,C42&gt;EOMONTH(Settlement_Bridge!$C$2,0)),1,0)</f>
        <v>0</v>
      </c>
      <c r="P42" s="2" t="s">
        <v>241</v>
      </c>
    </row>
    <row r="43" spans="1:16" x14ac:dyDescent="0.25">
      <c r="A43" s="2" t="s">
        <v>242</v>
      </c>
      <c r="B43" s="2" t="s">
        <v>199</v>
      </c>
      <c r="C43" s="8">
        <v>46272</v>
      </c>
      <c r="D43" s="6">
        <v>46266</v>
      </c>
      <c r="E43" s="2" t="s">
        <v>137</v>
      </c>
      <c r="F43" s="2" t="s">
        <v>240</v>
      </c>
      <c r="G43" s="6">
        <v>46235</v>
      </c>
      <c r="H43" s="2" t="s">
        <v>176</v>
      </c>
      <c r="I43" s="2" t="s">
        <v>39</v>
      </c>
      <c r="J43" s="9">
        <v>162815.71086200001</v>
      </c>
      <c r="K43" s="7">
        <v>1</v>
      </c>
      <c r="L43" s="9">
        <v>162815.71</v>
      </c>
      <c r="M43" s="9">
        <v>162815.71</v>
      </c>
      <c r="N43" s="9">
        <v>130.25</v>
      </c>
      <c r="O43" s="10">
        <f>IF(AND(OR(H43="APPROVED",H43="SCHEDULED"),COUNTIFS(tblSource[EventID],F43,tblSource[ReleaseStatus],"APPROVED")=1,COUNTIFS(Period_Status!$A$2:$A$8,G43,Period_Status!$B$2:$B$8,"ActualClosed")=1,C43&gt;EOMONTH(Settlement_Bridge!$C$2,0)),1,0)</f>
        <v>0</v>
      </c>
      <c r="P43" s="2" t="s">
        <v>243</v>
      </c>
    </row>
    <row r="44" spans="1:16" x14ac:dyDescent="0.25">
      <c r="A44" s="2" t="s">
        <v>244</v>
      </c>
      <c r="B44" s="2" t="s">
        <v>199</v>
      </c>
      <c r="C44" s="8">
        <v>46259</v>
      </c>
      <c r="D44" s="6">
        <v>46235</v>
      </c>
      <c r="E44" s="2" t="s">
        <v>137</v>
      </c>
      <c r="F44" s="2" t="s">
        <v>245</v>
      </c>
      <c r="G44" s="6">
        <v>46235</v>
      </c>
      <c r="H44" s="2" t="s">
        <v>71</v>
      </c>
      <c r="I44" s="2" t="s">
        <v>70</v>
      </c>
      <c r="J44" s="9">
        <v>1392691.8790140001</v>
      </c>
      <c r="K44" s="7">
        <v>0.65</v>
      </c>
      <c r="L44" s="9">
        <v>905249.72</v>
      </c>
      <c r="M44" s="9">
        <v>905249.72</v>
      </c>
      <c r="N44" s="9">
        <v>724.2</v>
      </c>
      <c r="O44" s="10">
        <f>IF(AND(OR(H44="APPROVED",H44="SCHEDULED"),COUNTIFS(tblSource[EventID],F44,tblSource[ReleaseStatus],"APPROVED")=1,COUNTIFS(Period_Status!$A$2:$A$8,G44,Period_Status!$B$2:$B$8,"ActualClosed")=1,C44&gt;EOMONTH(Settlement_Bridge!$C$2,0)),1,0)</f>
        <v>0</v>
      </c>
      <c r="P44" s="2" t="s">
        <v>246</v>
      </c>
    </row>
    <row r="45" spans="1:16" x14ac:dyDescent="0.25">
      <c r="A45" s="2" t="s">
        <v>247</v>
      </c>
      <c r="B45" s="2" t="s">
        <v>199</v>
      </c>
      <c r="C45" s="8">
        <v>46279</v>
      </c>
      <c r="D45" s="6">
        <v>46266</v>
      </c>
      <c r="E45" s="2" t="s">
        <v>137</v>
      </c>
      <c r="F45" s="2" t="s">
        <v>245</v>
      </c>
      <c r="G45" s="6">
        <v>46235</v>
      </c>
      <c r="H45" s="2" t="s">
        <v>176</v>
      </c>
      <c r="I45" s="2" t="s">
        <v>70</v>
      </c>
      <c r="J45" s="9">
        <v>245769.15512000001</v>
      </c>
      <c r="K45" s="7">
        <v>0.65100000000000002</v>
      </c>
      <c r="L45" s="9">
        <v>159995.72</v>
      </c>
      <c r="M45" s="9">
        <v>159749.95000000001</v>
      </c>
      <c r="N45" s="9">
        <v>128</v>
      </c>
      <c r="O45" s="10">
        <f>IF(AND(OR(H45="APPROVED",H45="SCHEDULED"),COUNTIFS(tblSource[EventID],F45,tblSource[ReleaseStatus],"APPROVED")=1,COUNTIFS(Period_Status!$A$2:$A$8,G45,Period_Status!$B$2:$B$8,"ActualClosed")=1,C45&gt;EOMONTH(Settlement_Bridge!$C$2,0)),1,0)</f>
        <v>0</v>
      </c>
      <c r="P45" s="2" t="s">
        <v>248</v>
      </c>
    </row>
    <row r="46" spans="1:16" x14ac:dyDescent="0.25">
      <c r="A46" s="2" t="s">
        <v>249</v>
      </c>
      <c r="B46" s="2" t="s">
        <v>199</v>
      </c>
      <c r="C46" s="8">
        <v>46266</v>
      </c>
      <c r="D46" s="6">
        <v>46266</v>
      </c>
      <c r="E46" s="2" t="s">
        <v>137</v>
      </c>
      <c r="F46" s="2" t="s">
        <v>250</v>
      </c>
      <c r="G46" s="6">
        <v>46235</v>
      </c>
      <c r="H46" s="2" t="s">
        <v>176</v>
      </c>
      <c r="I46" s="2" t="s">
        <v>39</v>
      </c>
      <c r="J46" s="9">
        <v>849124.23103000002</v>
      </c>
      <c r="K46" s="7">
        <v>1</v>
      </c>
      <c r="L46" s="9">
        <v>849124.23</v>
      </c>
      <c r="M46" s="9">
        <v>849124.23</v>
      </c>
      <c r="N46" s="9">
        <v>679.3</v>
      </c>
      <c r="O46" s="10">
        <f>IF(AND(OR(H46="APPROVED",H46="SCHEDULED"),COUNTIFS(tblSource[EventID],F46,tblSource[ReleaseStatus],"APPROVED")=1,COUNTIFS(Period_Status!$A$2:$A$8,G46,Period_Status!$B$2:$B$8,"ActualClosed")=1,C46&gt;EOMONTH(Settlement_Bridge!$C$2,0)),1,0)</f>
        <v>0</v>
      </c>
      <c r="P46" s="2" t="s">
        <v>251</v>
      </c>
    </row>
    <row r="47" spans="1:16" x14ac:dyDescent="0.25">
      <c r="A47" s="2" t="s">
        <v>252</v>
      </c>
      <c r="B47" s="2" t="s">
        <v>199</v>
      </c>
      <c r="C47" s="8">
        <v>46286</v>
      </c>
      <c r="D47" s="6">
        <v>46266</v>
      </c>
      <c r="E47" s="2" t="s">
        <v>137</v>
      </c>
      <c r="F47" s="2" t="s">
        <v>250</v>
      </c>
      <c r="G47" s="6">
        <v>46235</v>
      </c>
      <c r="H47" s="2" t="s">
        <v>176</v>
      </c>
      <c r="I47" s="2" t="s">
        <v>39</v>
      </c>
      <c r="J47" s="9">
        <v>149845.45253499999</v>
      </c>
      <c r="K47" s="7">
        <v>1</v>
      </c>
      <c r="L47" s="9">
        <v>149845.45000000001</v>
      </c>
      <c r="M47" s="9">
        <v>149845.45000000001</v>
      </c>
      <c r="N47" s="9">
        <v>119.88</v>
      </c>
      <c r="O47" s="10">
        <f>IF(AND(OR(H47="APPROVED",H47="SCHEDULED"),COUNTIFS(tblSource[EventID],F47,tblSource[ReleaseStatus],"APPROVED")=1,COUNTIFS(Period_Status!$A$2:$A$8,G47,Period_Status!$B$2:$B$8,"ActualClosed")=1,C47&gt;EOMONTH(Settlement_Bridge!$C$2,0)),1,0)</f>
        <v>0</v>
      </c>
      <c r="P47" s="2" t="s">
        <v>253</v>
      </c>
    </row>
    <row r="48" spans="1:16" x14ac:dyDescent="0.25">
      <c r="A48" s="2" t="s">
        <v>254</v>
      </c>
      <c r="B48" s="2" t="s">
        <v>199</v>
      </c>
      <c r="C48" s="8">
        <v>46280</v>
      </c>
      <c r="D48" s="6">
        <v>46266</v>
      </c>
      <c r="E48" s="2" t="s">
        <v>137</v>
      </c>
      <c r="F48" s="2" t="s">
        <v>255</v>
      </c>
      <c r="G48" s="6">
        <v>46235</v>
      </c>
      <c r="H48" s="2" t="s">
        <v>176</v>
      </c>
      <c r="I48" s="2" t="s">
        <v>70</v>
      </c>
      <c r="J48" s="9">
        <v>1904405.1954969999</v>
      </c>
      <c r="K48" s="7">
        <v>0.65100000000000002</v>
      </c>
      <c r="L48" s="9">
        <v>1239767.78</v>
      </c>
      <c r="M48" s="9">
        <v>1237863.3799999999</v>
      </c>
      <c r="N48" s="9">
        <v>991.81</v>
      </c>
      <c r="O48" s="10">
        <f>IF(AND(OR(H48="APPROVED",H48="SCHEDULED"),COUNTIFS(tblSource[EventID],F48,tblSource[ReleaseStatus],"APPROVED")=1,COUNTIFS(Period_Status!$A$2:$A$8,G48,Period_Status!$B$2:$B$8,"ActualClosed")=1,C48&gt;EOMONTH(Settlement_Bridge!$C$2,0)),1,0)</f>
        <v>0</v>
      </c>
      <c r="P48" s="2" t="s">
        <v>256</v>
      </c>
    </row>
    <row r="49" spans="1:16" x14ac:dyDescent="0.25">
      <c r="A49" s="2" t="s">
        <v>257</v>
      </c>
      <c r="B49" s="2" t="s">
        <v>199</v>
      </c>
      <c r="C49" s="8">
        <v>46300</v>
      </c>
      <c r="D49" s="6">
        <v>46296</v>
      </c>
      <c r="E49" s="2" t="s">
        <v>137</v>
      </c>
      <c r="F49" s="2" t="s">
        <v>255</v>
      </c>
      <c r="G49" s="6">
        <v>46235</v>
      </c>
      <c r="H49" s="2" t="s">
        <v>176</v>
      </c>
      <c r="I49" s="2" t="s">
        <v>70</v>
      </c>
      <c r="J49" s="9">
        <v>336071.50508799998</v>
      </c>
      <c r="K49" s="7">
        <v>0.65500000000000003</v>
      </c>
      <c r="L49" s="9">
        <v>220126.84</v>
      </c>
      <c r="M49" s="9">
        <v>218446.48</v>
      </c>
      <c r="N49" s="9">
        <v>176.1</v>
      </c>
      <c r="O49" s="10">
        <f>IF(AND(OR(H49="APPROVED",H49="SCHEDULED"),COUNTIFS(tblSource[EventID],F49,tblSource[ReleaseStatus],"APPROVED")=1,COUNTIFS(Period_Status!$A$2:$A$8,G49,Period_Status!$B$2:$B$8,"ActualClosed")=1,C49&gt;EOMONTH(Settlement_Bridge!$C$2,0)),1,0)</f>
        <v>0</v>
      </c>
      <c r="P49" s="2" t="s">
        <v>258</v>
      </c>
    </row>
    <row r="50" spans="1:16" x14ac:dyDescent="0.25">
      <c r="A50" s="2" t="s">
        <v>259</v>
      </c>
      <c r="B50" s="2" t="s">
        <v>136</v>
      </c>
      <c r="C50" s="8">
        <v>46198</v>
      </c>
      <c r="D50" s="6">
        <v>46174</v>
      </c>
      <c r="E50" s="2" t="s">
        <v>260</v>
      </c>
      <c r="F50" s="2" t="s">
        <v>261</v>
      </c>
      <c r="G50" s="6">
        <v>46174</v>
      </c>
      <c r="H50" s="2" t="s">
        <v>71</v>
      </c>
      <c r="I50" s="2" t="s">
        <v>39</v>
      </c>
      <c r="J50" s="9">
        <v>1814.01</v>
      </c>
      <c r="K50" s="7">
        <v>1</v>
      </c>
      <c r="L50" s="9">
        <v>1814.01</v>
      </c>
      <c r="M50" s="9">
        <v>1814.01</v>
      </c>
      <c r="N50" s="9">
        <v>1.8</v>
      </c>
      <c r="O50" s="10">
        <f>IF(AND(OR(H50="APPROVED",H50="SCHEDULED"),COUNTIFS(tblSource[EventID],F50,tblSource[ReleaseStatus],"APPROVED")=1,COUNTIFS(Period_Status!$A$2:$A$8,G50,Period_Status!$B$2:$B$8,"ActualClosed")=1,C50&gt;EOMONTH(Settlement_Bridge!$C$2,0)),1,0)</f>
        <v>0</v>
      </c>
      <c r="P50" s="2" t="s">
        <v>262</v>
      </c>
    </row>
    <row r="51" spans="1:16" x14ac:dyDescent="0.25">
      <c r="A51" s="2" t="s">
        <v>263</v>
      </c>
      <c r="B51" s="2" t="s">
        <v>136</v>
      </c>
      <c r="C51" s="8">
        <v>46199</v>
      </c>
      <c r="D51" s="6">
        <v>46174</v>
      </c>
      <c r="E51" s="2" t="s">
        <v>260</v>
      </c>
      <c r="F51" s="2" t="s">
        <v>264</v>
      </c>
      <c r="G51" s="6">
        <v>46174</v>
      </c>
      <c r="H51" s="2" t="s">
        <v>71</v>
      </c>
      <c r="I51" s="2" t="s">
        <v>76</v>
      </c>
      <c r="J51" s="9">
        <v>31792320</v>
      </c>
      <c r="K51" s="7">
        <v>6.2500000000000001E-5</v>
      </c>
      <c r="L51" s="9">
        <v>1987.02</v>
      </c>
      <c r="M51" s="9">
        <v>1987.02</v>
      </c>
      <c r="N51" s="9">
        <v>1.8</v>
      </c>
      <c r="O51" s="10">
        <f>IF(AND(OR(H51="APPROVED",H51="SCHEDULED"),COUNTIFS(tblSource[EventID],F51,tblSource[ReleaseStatus],"APPROVED")=1,COUNTIFS(Period_Status!$A$2:$A$8,G51,Period_Status!$B$2:$B$8,"ActualClosed")=1,C51&gt;EOMONTH(Settlement_Bridge!$C$2,0)),1,0)</f>
        <v>0</v>
      </c>
      <c r="P51" s="2" t="s">
        <v>265</v>
      </c>
    </row>
    <row r="52" spans="1:16" x14ac:dyDescent="0.25">
      <c r="A52" s="2" t="s">
        <v>266</v>
      </c>
      <c r="B52" s="2" t="s">
        <v>136</v>
      </c>
      <c r="C52" s="8">
        <v>46200</v>
      </c>
      <c r="D52" s="6">
        <v>46174</v>
      </c>
      <c r="E52" s="2" t="s">
        <v>260</v>
      </c>
      <c r="F52" s="2" t="s">
        <v>267</v>
      </c>
      <c r="G52" s="6">
        <v>46174</v>
      </c>
      <c r="H52" s="2" t="s">
        <v>71</v>
      </c>
      <c r="I52" s="2" t="s">
        <v>70</v>
      </c>
      <c r="J52" s="9">
        <v>3248.1654140000001</v>
      </c>
      <c r="K52" s="7">
        <v>0.66500000000000004</v>
      </c>
      <c r="L52" s="9">
        <v>2160.0300000000002</v>
      </c>
      <c r="M52" s="9">
        <v>2160.0300000000002</v>
      </c>
      <c r="N52" s="9">
        <v>1.8</v>
      </c>
      <c r="O52" s="10">
        <f>IF(AND(OR(H52="APPROVED",H52="SCHEDULED"),COUNTIFS(tblSource[EventID],F52,tblSource[ReleaseStatus],"APPROVED")=1,COUNTIFS(Period_Status!$A$2:$A$8,G52,Period_Status!$B$2:$B$8,"ActualClosed")=1,C52&gt;EOMONTH(Settlement_Bridge!$C$2,0)),1,0)</f>
        <v>0</v>
      </c>
      <c r="P52" s="2" t="s">
        <v>268</v>
      </c>
    </row>
    <row r="53" spans="1:16" x14ac:dyDescent="0.25">
      <c r="A53" s="2" t="s">
        <v>269</v>
      </c>
      <c r="B53" s="2" t="s">
        <v>136</v>
      </c>
      <c r="C53" s="8">
        <v>46191</v>
      </c>
      <c r="D53" s="6">
        <v>46174</v>
      </c>
      <c r="E53" s="2" t="s">
        <v>260</v>
      </c>
      <c r="F53" s="2" t="s">
        <v>270</v>
      </c>
      <c r="G53" s="6">
        <v>46174</v>
      </c>
      <c r="H53" s="2" t="s">
        <v>71</v>
      </c>
      <c r="I53" s="2" t="s">
        <v>39</v>
      </c>
      <c r="J53" s="9">
        <v>933.21600000000001</v>
      </c>
      <c r="K53" s="7">
        <v>1</v>
      </c>
      <c r="L53" s="9">
        <v>933.22</v>
      </c>
      <c r="M53" s="9">
        <v>933.22</v>
      </c>
      <c r="N53" s="9">
        <v>1.8</v>
      </c>
      <c r="O53" s="10">
        <f>IF(AND(OR(H53="APPROVED",H53="SCHEDULED"),COUNTIFS(tblSource[EventID],F53,tblSource[ReleaseStatus],"APPROVED")=1,COUNTIFS(Period_Status!$A$2:$A$8,G53,Period_Status!$B$2:$B$8,"ActualClosed")=1,C53&gt;EOMONTH(Settlement_Bridge!$C$2,0)),1,0)</f>
        <v>0</v>
      </c>
      <c r="P53" s="2" t="s">
        <v>271</v>
      </c>
    </row>
    <row r="54" spans="1:16" x14ac:dyDescent="0.25">
      <c r="A54" s="2" t="s">
        <v>272</v>
      </c>
      <c r="B54" s="2" t="s">
        <v>136</v>
      </c>
      <c r="C54" s="8">
        <v>46216</v>
      </c>
      <c r="D54" s="6">
        <v>46204</v>
      </c>
      <c r="E54" s="2" t="s">
        <v>260</v>
      </c>
      <c r="F54" s="2" t="s">
        <v>270</v>
      </c>
      <c r="G54" s="6">
        <v>46174</v>
      </c>
      <c r="H54" s="2" t="s">
        <v>71</v>
      </c>
      <c r="I54" s="2" t="s">
        <v>39</v>
      </c>
      <c r="J54" s="9">
        <v>1399.8240000000001</v>
      </c>
      <c r="K54" s="7">
        <v>1</v>
      </c>
      <c r="L54" s="9">
        <v>1399.82</v>
      </c>
      <c r="M54" s="9">
        <v>1399.82</v>
      </c>
      <c r="N54" s="9">
        <v>1.8</v>
      </c>
      <c r="O54" s="10">
        <f>IF(AND(OR(H54="APPROVED",H54="SCHEDULED"),COUNTIFS(tblSource[EventID],F54,tblSource[ReleaseStatus],"APPROVED")=1,COUNTIFS(Period_Status!$A$2:$A$8,G54,Period_Status!$B$2:$B$8,"ActualClosed")=1,C54&gt;EOMONTH(Settlement_Bridge!$C$2,0)),1,0)</f>
        <v>0</v>
      </c>
      <c r="P54" s="2" t="s">
        <v>273</v>
      </c>
    </row>
    <row r="55" spans="1:16" x14ac:dyDescent="0.25">
      <c r="A55" s="2" t="s">
        <v>274</v>
      </c>
      <c r="B55" s="2" t="s">
        <v>136</v>
      </c>
      <c r="C55" s="8">
        <v>46192</v>
      </c>
      <c r="D55" s="6">
        <v>46174</v>
      </c>
      <c r="E55" s="2" t="s">
        <v>260</v>
      </c>
      <c r="F55" s="2" t="s">
        <v>275</v>
      </c>
      <c r="G55" s="6">
        <v>46174</v>
      </c>
      <c r="H55" s="2" t="s">
        <v>71</v>
      </c>
      <c r="I55" s="2" t="s">
        <v>76</v>
      </c>
      <c r="J55" s="9">
        <v>16038720</v>
      </c>
      <c r="K55" s="7">
        <v>6.2500000000000001E-5</v>
      </c>
      <c r="L55" s="9">
        <v>1002.42</v>
      </c>
      <c r="M55" s="9">
        <v>1002.42</v>
      </c>
      <c r="N55" s="9">
        <v>1.8</v>
      </c>
      <c r="O55" s="10">
        <f>IF(AND(OR(H55="APPROVED",H55="SCHEDULED"),COUNTIFS(tblSource[EventID],F55,tblSource[ReleaseStatus],"APPROVED")=1,COUNTIFS(Period_Status!$A$2:$A$8,G55,Period_Status!$B$2:$B$8,"ActualClosed")=1,C55&gt;EOMONTH(Settlement_Bridge!$C$2,0)),1,0)</f>
        <v>0</v>
      </c>
      <c r="P55" s="2" t="s">
        <v>276</v>
      </c>
    </row>
    <row r="56" spans="1:16" x14ac:dyDescent="0.25">
      <c r="A56" s="2" t="s">
        <v>277</v>
      </c>
      <c r="B56" s="2" t="s">
        <v>136</v>
      </c>
      <c r="C56" s="8">
        <v>46217</v>
      </c>
      <c r="D56" s="6">
        <v>46204</v>
      </c>
      <c r="E56" s="2" t="s">
        <v>260</v>
      </c>
      <c r="F56" s="2" t="s">
        <v>275</v>
      </c>
      <c r="G56" s="6">
        <v>46174</v>
      </c>
      <c r="H56" s="2" t="s">
        <v>71</v>
      </c>
      <c r="I56" s="2" t="s">
        <v>76</v>
      </c>
      <c r="J56" s="9">
        <v>24058080</v>
      </c>
      <c r="K56" s="7">
        <v>6.2000000000000003E-5</v>
      </c>
      <c r="L56" s="9">
        <v>1491.6</v>
      </c>
      <c r="M56" s="9">
        <v>1503.63</v>
      </c>
      <c r="N56" s="9">
        <v>1.8</v>
      </c>
      <c r="O56" s="10">
        <f>IF(AND(OR(H56="APPROVED",H56="SCHEDULED"),COUNTIFS(tblSource[EventID],F56,tblSource[ReleaseStatus],"APPROVED")=1,COUNTIFS(Period_Status!$A$2:$A$8,G56,Period_Status!$B$2:$B$8,"ActualClosed")=1,C56&gt;EOMONTH(Settlement_Bridge!$C$2,0)),1,0)</f>
        <v>0</v>
      </c>
      <c r="P56" s="2" t="s">
        <v>278</v>
      </c>
    </row>
    <row r="57" spans="1:16" x14ac:dyDescent="0.25">
      <c r="A57" s="2" t="s">
        <v>279</v>
      </c>
      <c r="B57" s="2" t="s">
        <v>136</v>
      </c>
      <c r="C57" s="8">
        <v>46203</v>
      </c>
      <c r="D57" s="6">
        <v>46174</v>
      </c>
      <c r="E57" s="2" t="s">
        <v>260</v>
      </c>
      <c r="F57" s="2" t="s">
        <v>280</v>
      </c>
      <c r="G57" s="6">
        <v>46174</v>
      </c>
      <c r="H57" s="2" t="s">
        <v>71</v>
      </c>
      <c r="I57" s="2" t="s">
        <v>70</v>
      </c>
      <c r="J57" s="9">
        <v>4028.661654</v>
      </c>
      <c r="K57" s="7">
        <v>0.66500000000000004</v>
      </c>
      <c r="L57" s="9">
        <v>2679.06</v>
      </c>
      <c r="M57" s="9">
        <v>2679.06</v>
      </c>
      <c r="N57" s="9">
        <v>1.8</v>
      </c>
      <c r="O57" s="10">
        <f>IF(AND(OR(H57="APPROVED",H57="SCHEDULED"),COUNTIFS(tblSource[EventID],F57,tblSource[ReleaseStatus],"APPROVED")=1,COUNTIFS(Period_Status!$A$2:$A$8,G57,Period_Status!$B$2:$B$8,"ActualClosed")=1,C57&gt;EOMONTH(Settlement_Bridge!$C$2,0)),1,0)</f>
        <v>0</v>
      </c>
      <c r="P57" s="2" t="s">
        <v>281</v>
      </c>
    </row>
    <row r="58" spans="1:16" x14ac:dyDescent="0.25">
      <c r="A58" s="2" t="s">
        <v>282</v>
      </c>
      <c r="B58" s="2" t="s">
        <v>136</v>
      </c>
      <c r="C58" s="8">
        <v>46204</v>
      </c>
      <c r="D58" s="6">
        <v>46204</v>
      </c>
      <c r="E58" s="2" t="s">
        <v>260</v>
      </c>
      <c r="F58" s="2" t="s">
        <v>283</v>
      </c>
      <c r="G58" s="6">
        <v>46174</v>
      </c>
      <c r="H58" s="2" t="s">
        <v>71</v>
      </c>
      <c r="I58" s="2" t="s">
        <v>39</v>
      </c>
      <c r="J58" s="9">
        <v>2852.07</v>
      </c>
      <c r="K58" s="7">
        <v>1</v>
      </c>
      <c r="L58" s="9">
        <v>2852.07</v>
      </c>
      <c r="M58" s="9">
        <v>2852.07</v>
      </c>
      <c r="N58" s="9">
        <v>1.8</v>
      </c>
      <c r="O58" s="10">
        <f>IF(AND(OR(H58="APPROVED",H58="SCHEDULED"),COUNTIFS(tblSource[EventID],F58,tblSource[ReleaseStatus],"APPROVED")=1,COUNTIFS(Period_Status!$A$2:$A$8,G58,Period_Status!$B$2:$B$8,"ActualClosed")=1,C58&gt;EOMONTH(Settlement_Bridge!$C$2,0)),1,0)</f>
        <v>0</v>
      </c>
      <c r="P58" s="2" t="s">
        <v>284</v>
      </c>
    </row>
    <row r="59" spans="1:16" x14ac:dyDescent="0.25">
      <c r="A59" s="2" t="s">
        <v>285</v>
      </c>
      <c r="B59" s="2" t="s">
        <v>136</v>
      </c>
      <c r="C59" s="8">
        <v>46195</v>
      </c>
      <c r="D59" s="6">
        <v>46174</v>
      </c>
      <c r="E59" s="2" t="s">
        <v>260</v>
      </c>
      <c r="F59" s="2" t="s">
        <v>286</v>
      </c>
      <c r="G59" s="6">
        <v>46174</v>
      </c>
      <c r="H59" s="2" t="s">
        <v>71</v>
      </c>
      <c r="I59" s="2" t="s">
        <v>76</v>
      </c>
      <c r="J59" s="9">
        <v>19360512</v>
      </c>
      <c r="K59" s="7">
        <v>6.2500000000000001E-5</v>
      </c>
      <c r="L59" s="9">
        <v>1210.03</v>
      </c>
      <c r="M59" s="9">
        <v>1210.03</v>
      </c>
      <c r="N59" s="9">
        <v>1.8</v>
      </c>
      <c r="O59" s="10">
        <f>IF(AND(OR(H59="APPROVED",H59="SCHEDULED"),COUNTIFS(tblSource[EventID],F59,tblSource[ReleaseStatus],"APPROVED")=1,COUNTIFS(Period_Status!$A$2:$A$8,G59,Period_Status!$B$2:$B$8,"ActualClosed")=1,C59&gt;EOMONTH(Settlement_Bridge!$C$2,0)),1,0)</f>
        <v>0</v>
      </c>
      <c r="P59" s="2" t="s">
        <v>287</v>
      </c>
    </row>
    <row r="60" spans="1:16" x14ac:dyDescent="0.25">
      <c r="A60" s="2" t="s">
        <v>288</v>
      </c>
      <c r="B60" s="2" t="s">
        <v>136</v>
      </c>
      <c r="C60" s="8">
        <v>46220</v>
      </c>
      <c r="D60" s="6">
        <v>46204</v>
      </c>
      <c r="E60" s="2" t="s">
        <v>260</v>
      </c>
      <c r="F60" s="2" t="s">
        <v>286</v>
      </c>
      <c r="G60" s="6">
        <v>46174</v>
      </c>
      <c r="H60" s="2" t="s">
        <v>71</v>
      </c>
      <c r="I60" s="2" t="s">
        <v>76</v>
      </c>
      <c r="J60" s="9">
        <v>29040768</v>
      </c>
      <c r="K60" s="7">
        <v>6.2000000000000003E-5</v>
      </c>
      <c r="L60" s="9">
        <v>1800.53</v>
      </c>
      <c r="M60" s="9">
        <v>1815.05</v>
      </c>
      <c r="N60" s="9">
        <v>1.8</v>
      </c>
      <c r="O60" s="10">
        <f>IF(AND(OR(H60="APPROVED",H60="SCHEDULED"),COUNTIFS(tblSource[EventID],F60,tblSource[ReleaseStatus],"APPROVED")=1,COUNTIFS(Period_Status!$A$2:$A$8,G60,Period_Status!$B$2:$B$8,"ActualClosed")=1,C60&gt;EOMONTH(Settlement_Bridge!$C$2,0)),1,0)</f>
        <v>0</v>
      </c>
      <c r="P60" s="2" t="s">
        <v>289</v>
      </c>
    </row>
    <row r="61" spans="1:16" x14ac:dyDescent="0.25">
      <c r="A61" s="2" t="s">
        <v>290</v>
      </c>
      <c r="B61" s="2" t="s">
        <v>136</v>
      </c>
      <c r="C61" s="8">
        <v>46206</v>
      </c>
      <c r="D61" s="6">
        <v>46204</v>
      </c>
      <c r="E61" s="2" t="s">
        <v>260</v>
      </c>
      <c r="F61" s="2" t="s">
        <v>291</v>
      </c>
      <c r="G61" s="6">
        <v>46174</v>
      </c>
      <c r="H61" s="2" t="s">
        <v>71</v>
      </c>
      <c r="I61" s="2" t="s">
        <v>70</v>
      </c>
      <c r="J61" s="9">
        <v>4809.1578950000003</v>
      </c>
      <c r="K61" s="7">
        <v>0.65800000000000003</v>
      </c>
      <c r="L61" s="9">
        <v>3164.43</v>
      </c>
      <c r="M61" s="9">
        <v>3198.09</v>
      </c>
      <c r="N61" s="9">
        <v>1.8</v>
      </c>
      <c r="O61" s="10">
        <f>IF(AND(OR(H61="APPROVED",H61="SCHEDULED"),COUNTIFS(tblSource[EventID],F61,tblSource[ReleaseStatus],"APPROVED")=1,COUNTIFS(Period_Status!$A$2:$A$8,G61,Period_Status!$B$2:$B$8,"ActualClosed")=1,C61&gt;EOMONTH(Settlement_Bridge!$C$2,0)),1,0)</f>
        <v>0</v>
      </c>
      <c r="P61" s="2" t="s">
        <v>292</v>
      </c>
    </row>
    <row r="62" spans="1:16" x14ac:dyDescent="0.25">
      <c r="A62" s="2" t="s">
        <v>293</v>
      </c>
      <c r="B62" s="2" t="s">
        <v>136</v>
      </c>
      <c r="C62" s="8">
        <v>46207</v>
      </c>
      <c r="D62" s="6">
        <v>46204</v>
      </c>
      <c r="E62" s="2" t="s">
        <v>260</v>
      </c>
      <c r="F62" s="2" t="s">
        <v>294</v>
      </c>
      <c r="G62" s="6">
        <v>46174</v>
      </c>
      <c r="H62" s="2" t="s">
        <v>71</v>
      </c>
      <c r="I62" s="2" t="s">
        <v>39</v>
      </c>
      <c r="J62" s="9">
        <v>3371.1</v>
      </c>
      <c r="K62" s="7">
        <v>1</v>
      </c>
      <c r="L62" s="9">
        <v>3371.1</v>
      </c>
      <c r="M62" s="9">
        <v>3371.1</v>
      </c>
      <c r="N62" s="9">
        <v>1.85</v>
      </c>
      <c r="O62" s="10">
        <f>IF(AND(OR(H62="APPROVED",H62="SCHEDULED"),COUNTIFS(tblSource[EventID],F62,tblSource[ReleaseStatus],"APPROVED")=1,COUNTIFS(Period_Status!$A$2:$A$8,G62,Period_Status!$B$2:$B$8,"ActualClosed")=1,C62&gt;EOMONTH(Settlement_Bridge!$C$2,0)),1,0)</f>
        <v>0</v>
      </c>
      <c r="P62" s="2" t="s">
        <v>295</v>
      </c>
    </row>
    <row r="63" spans="1:16" x14ac:dyDescent="0.25">
      <c r="A63" s="2" t="s">
        <v>296</v>
      </c>
      <c r="B63" s="2" t="s">
        <v>136</v>
      </c>
      <c r="C63" s="8">
        <v>46208</v>
      </c>
      <c r="D63" s="6">
        <v>46204</v>
      </c>
      <c r="E63" s="2" t="s">
        <v>260</v>
      </c>
      <c r="F63" s="2" t="s">
        <v>297</v>
      </c>
      <c r="G63" s="6">
        <v>46174</v>
      </c>
      <c r="H63" s="2" t="s">
        <v>71</v>
      </c>
      <c r="I63" s="2" t="s">
        <v>76</v>
      </c>
      <c r="J63" s="9">
        <v>56705760</v>
      </c>
      <c r="K63" s="7">
        <v>6.2000000000000003E-5</v>
      </c>
      <c r="L63" s="9">
        <v>3515.76</v>
      </c>
      <c r="M63" s="9">
        <v>3544.11</v>
      </c>
      <c r="N63" s="9">
        <v>1.93</v>
      </c>
      <c r="O63" s="10">
        <f>IF(AND(OR(H63="APPROVED",H63="SCHEDULED"),COUNTIFS(tblSource[EventID],F63,tblSource[ReleaseStatus],"APPROVED")=1,COUNTIFS(Period_Status!$A$2:$A$8,G63,Period_Status!$B$2:$B$8,"ActualClosed")=1,C63&gt;EOMONTH(Settlement_Bridge!$C$2,0)),1,0)</f>
        <v>0</v>
      </c>
      <c r="P63" s="2" t="s">
        <v>298</v>
      </c>
    </row>
    <row r="64" spans="1:16" x14ac:dyDescent="0.25">
      <c r="A64" s="2" t="s">
        <v>299</v>
      </c>
      <c r="B64" s="2" t="s">
        <v>136</v>
      </c>
      <c r="C64" s="8">
        <v>46209</v>
      </c>
      <c r="D64" s="6">
        <v>46204</v>
      </c>
      <c r="E64" s="2" t="s">
        <v>260</v>
      </c>
      <c r="F64" s="2" t="s">
        <v>300</v>
      </c>
      <c r="G64" s="6">
        <v>46174</v>
      </c>
      <c r="H64" s="2" t="s">
        <v>71</v>
      </c>
      <c r="I64" s="2" t="s">
        <v>70</v>
      </c>
      <c r="J64" s="9">
        <v>5589.6541349999998</v>
      </c>
      <c r="K64" s="7">
        <v>0.65800000000000003</v>
      </c>
      <c r="L64" s="9">
        <v>3677.99</v>
      </c>
      <c r="M64" s="9">
        <v>3717.12</v>
      </c>
      <c r="N64" s="9">
        <v>2.02</v>
      </c>
      <c r="O64" s="10">
        <f>IF(AND(OR(H64="APPROVED",H64="SCHEDULED"),COUNTIFS(tblSource[EventID],F64,tblSource[ReleaseStatus],"APPROVED")=1,COUNTIFS(Period_Status!$A$2:$A$8,G64,Period_Status!$B$2:$B$8,"ActualClosed")=1,C64&gt;EOMONTH(Settlement_Bridge!$C$2,0)),1,0)</f>
        <v>0</v>
      </c>
      <c r="P64" s="2" t="s">
        <v>301</v>
      </c>
    </row>
    <row r="65" spans="1:16" x14ac:dyDescent="0.25">
      <c r="A65" s="2" t="s">
        <v>302</v>
      </c>
      <c r="B65" s="2" t="s">
        <v>136</v>
      </c>
      <c r="C65" s="8">
        <v>46210</v>
      </c>
      <c r="D65" s="6">
        <v>46204</v>
      </c>
      <c r="E65" s="2" t="s">
        <v>260</v>
      </c>
      <c r="F65" s="2" t="s">
        <v>303</v>
      </c>
      <c r="G65" s="6">
        <v>46174</v>
      </c>
      <c r="H65" s="2" t="s">
        <v>71</v>
      </c>
      <c r="I65" s="2" t="s">
        <v>39</v>
      </c>
      <c r="J65" s="9">
        <v>3890.13</v>
      </c>
      <c r="K65" s="7">
        <v>1</v>
      </c>
      <c r="L65" s="9">
        <v>3890.13</v>
      </c>
      <c r="M65" s="9">
        <v>3890.13</v>
      </c>
      <c r="N65" s="9">
        <v>2.14</v>
      </c>
      <c r="O65" s="10">
        <f>IF(AND(OR(H65="APPROVED",H65="SCHEDULED"),COUNTIFS(tblSource[EventID],F65,tblSource[ReleaseStatus],"APPROVED")=1,COUNTIFS(Period_Status!$A$2:$A$8,G65,Period_Status!$B$2:$B$8,"ActualClosed")=1,C65&gt;EOMONTH(Settlement_Bridge!$C$2,0)),1,0)</f>
        <v>0</v>
      </c>
      <c r="P65" s="2" t="s">
        <v>304</v>
      </c>
    </row>
    <row r="66" spans="1:16" x14ac:dyDescent="0.25">
      <c r="A66" s="2" t="s">
        <v>305</v>
      </c>
      <c r="B66" s="2" t="s">
        <v>136</v>
      </c>
      <c r="C66" s="8">
        <v>46201</v>
      </c>
      <c r="D66" s="6">
        <v>46174</v>
      </c>
      <c r="E66" s="2" t="s">
        <v>260</v>
      </c>
      <c r="F66" s="2" t="s">
        <v>306</v>
      </c>
      <c r="G66" s="6">
        <v>46174</v>
      </c>
      <c r="H66" s="2" t="s">
        <v>71</v>
      </c>
      <c r="I66" s="2" t="s">
        <v>76</v>
      </c>
      <c r="J66" s="9">
        <v>26004096</v>
      </c>
      <c r="K66" s="7">
        <v>6.2500000000000001E-5</v>
      </c>
      <c r="L66" s="9">
        <v>1625.26</v>
      </c>
      <c r="M66" s="9">
        <v>1625.26</v>
      </c>
      <c r="N66" s="9">
        <v>1.8</v>
      </c>
      <c r="O66" s="10">
        <f>IF(AND(OR(H66="APPROVED",H66="SCHEDULED"),COUNTIFS(tblSource[EventID],F66,tblSource[ReleaseStatus],"APPROVED")=1,COUNTIFS(Period_Status!$A$2:$A$8,G66,Period_Status!$B$2:$B$8,"ActualClosed")=1,C66&gt;EOMONTH(Settlement_Bridge!$C$2,0)),1,0)</f>
        <v>0</v>
      </c>
      <c r="P66" s="2" t="s">
        <v>307</v>
      </c>
    </row>
    <row r="67" spans="1:16" x14ac:dyDescent="0.25">
      <c r="A67" s="2" t="s">
        <v>308</v>
      </c>
      <c r="B67" s="2" t="s">
        <v>136</v>
      </c>
      <c r="C67" s="8">
        <v>46226</v>
      </c>
      <c r="D67" s="6">
        <v>46204</v>
      </c>
      <c r="E67" s="2" t="s">
        <v>260</v>
      </c>
      <c r="F67" s="2" t="s">
        <v>306</v>
      </c>
      <c r="G67" s="6">
        <v>46174</v>
      </c>
      <c r="H67" s="2" t="s">
        <v>71</v>
      </c>
      <c r="I67" s="2" t="s">
        <v>76</v>
      </c>
      <c r="J67" s="9">
        <v>39006144</v>
      </c>
      <c r="K67" s="7">
        <v>6.2000000000000003E-5</v>
      </c>
      <c r="L67" s="9">
        <v>2418.38</v>
      </c>
      <c r="M67" s="9">
        <v>2437.88</v>
      </c>
      <c r="N67" s="9">
        <v>1.8</v>
      </c>
      <c r="O67" s="10">
        <f>IF(AND(OR(H67="APPROVED",H67="SCHEDULED"),COUNTIFS(tblSource[EventID],F67,tblSource[ReleaseStatus],"APPROVED")=1,COUNTIFS(Period_Status!$A$2:$A$8,G67,Period_Status!$B$2:$B$8,"ActualClosed")=1,C67&gt;EOMONTH(Settlement_Bridge!$C$2,0)),1,0)</f>
        <v>0</v>
      </c>
      <c r="P67" s="2" t="s">
        <v>309</v>
      </c>
    </row>
    <row r="68" spans="1:16" x14ac:dyDescent="0.25">
      <c r="A68" s="2" t="s">
        <v>310</v>
      </c>
      <c r="B68" s="2" t="s">
        <v>136</v>
      </c>
      <c r="C68" s="8">
        <v>46202</v>
      </c>
      <c r="D68" s="6">
        <v>46174</v>
      </c>
      <c r="E68" s="2" t="s">
        <v>260</v>
      </c>
      <c r="F68" s="2" t="s">
        <v>311</v>
      </c>
      <c r="G68" s="6">
        <v>46174</v>
      </c>
      <c r="H68" s="2" t="s">
        <v>71</v>
      </c>
      <c r="I68" s="2" t="s">
        <v>70</v>
      </c>
      <c r="J68" s="9">
        <v>2548.0601499999998</v>
      </c>
      <c r="K68" s="7">
        <v>0.66500000000000004</v>
      </c>
      <c r="L68" s="9">
        <v>1694.46</v>
      </c>
      <c r="M68" s="9">
        <v>1694.46</v>
      </c>
      <c r="N68" s="9">
        <v>1.8</v>
      </c>
      <c r="O68" s="10">
        <f>IF(AND(OR(H68="APPROVED",H68="SCHEDULED"),COUNTIFS(tblSource[EventID],F68,tblSource[ReleaseStatus],"APPROVED")=1,COUNTIFS(Period_Status!$A$2:$A$8,G68,Period_Status!$B$2:$B$8,"ActualClosed")=1,C68&gt;EOMONTH(Settlement_Bridge!$C$2,0)),1,0)</f>
        <v>0</v>
      </c>
      <c r="P68" s="2" t="s">
        <v>312</v>
      </c>
    </row>
    <row r="69" spans="1:16" x14ac:dyDescent="0.25">
      <c r="A69" s="2" t="s">
        <v>313</v>
      </c>
      <c r="B69" s="2" t="s">
        <v>136</v>
      </c>
      <c r="C69" s="8">
        <v>46227</v>
      </c>
      <c r="D69" s="6">
        <v>46204</v>
      </c>
      <c r="E69" s="2" t="s">
        <v>260</v>
      </c>
      <c r="F69" s="2" t="s">
        <v>311</v>
      </c>
      <c r="G69" s="6">
        <v>46174</v>
      </c>
      <c r="H69" s="2" t="s">
        <v>71</v>
      </c>
      <c r="I69" s="2" t="s">
        <v>70</v>
      </c>
      <c r="J69" s="9">
        <v>3822.0902259999998</v>
      </c>
      <c r="K69" s="7">
        <v>0.65800000000000003</v>
      </c>
      <c r="L69" s="9">
        <v>2514.94</v>
      </c>
      <c r="M69" s="9">
        <v>2541.69</v>
      </c>
      <c r="N69" s="9">
        <v>1.8</v>
      </c>
      <c r="O69" s="10">
        <f>IF(AND(OR(H69="APPROVED",H69="SCHEDULED"),COUNTIFS(tblSource[EventID],F69,tblSource[ReleaseStatus],"APPROVED")=1,COUNTIFS(Period_Status!$A$2:$A$8,G69,Period_Status!$B$2:$B$8,"ActualClosed")=1,C69&gt;EOMONTH(Settlement_Bridge!$C$2,0)),1,0)</f>
        <v>0</v>
      </c>
      <c r="P69" s="2" t="s">
        <v>314</v>
      </c>
    </row>
    <row r="70" spans="1:16" x14ac:dyDescent="0.25">
      <c r="A70" s="2" t="s">
        <v>315</v>
      </c>
      <c r="B70" s="2" t="s">
        <v>136</v>
      </c>
      <c r="C70" s="8">
        <v>46213</v>
      </c>
      <c r="D70" s="6">
        <v>46204</v>
      </c>
      <c r="E70" s="2" t="s">
        <v>260</v>
      </c>
      <c r="F70" s="2" t="s">
        <v>316</v>
      </c>
      <c r="G70" s="6">
        <v>46174</v>
      </c>
      <c r="H70" s="2" t="s">
        <v>71</v>
      </c>
      <c r="I70" s="2" t="s">
        <v>39</v>
      </c>
      <c r="J70" s="9">
        <v>4409.16</v>
      </c>
      <c r="K70" s="7">
        <v>1</v>
      </c>
      <c r="L70" s="9">
        <v>4409.16</v>
      </c>
      <c r="M70" s="9">
        <v>4409.16</v>
      </c>
      <c r="N70" s="9">
        <v>2.4300000000000002</v>
      </c>
      <c r="O70" s="10">
        <f>IF(AND(OR(H70="APPROVED",H70="SCHEDULED"),COUNTIFS(tblSource[EventID],F70,tblSource[ReleaseStatus],"APPROVED")=1,COUNTIFS(Period_Status!$A$2:$A$8,G70,Period_Status!$B$2:$B$8,"ActualClosed")=1,C70&gt;EOMONTH(Settlement_Bridge!$C$2,0)),1,0)</f>
        <v>0</v>
      </c>
      <c r="P70" s="2" t="s">
        <v>317</v>
      </c>
    </row>
    <row r="71" spans="1:16" x14ac:dyDescent="0.25">
      <c r="A71" s="2" t="s">
        <v>318</v>
      </c>
      <c r="B71" s="2" t="s">
        <v>136</v>
      </c>
      <c r="C71" s="8">
        <v>46214</v>
      </c>
      <c r="D71" s="6">
        <v>46204</v>
      </c>
      <c r="E71" s="2" t="s">
        <v>260</v>
      </c>
      <c r="F71" s="2" t="s">
        <v>319</v>
      </c>
      <c r="G71" s="6">
        <v>46174</v>
      </c>
      <c r="H71" s="2" t="s">
        <v>71</v>
      </c>
      <c r="I71" s="2" t="s">
        <v>76</v>
      </c>
      <c r="J71" s="9">
        <v>73314720</v>
      </c>
      <c r="K71" s="7">
        <v>6.2000000000000003E-5</v>
      </c>
      <c r="L71" s="9">
        <v>4545.51</v>
      </c>
      <c r="M71" s="9">
        <v>4582.17</v>
      </c>
      <c r="N71" s="9">
        <v>2.5</v>
      </c>
      <c r="O71" s="10">
        <f>IF(AND(OR(H71="APPROVED",H71="SCHEDULED"),COUNTIFS(tblSource[EventID],F71,tblSource[ReleaseStatus],"APPROVED")=1,COUNTIFS(Period_Status!$A$2:$A$8,G71,Period_Status!$B$2:$B$8,"ActualClosed")=1,C71&gt;EOMONTH(Settlement_Bridge!$C$2,0)),1,0)</f>
        <v>0</v>
      </c>
      <c r="P71" s="2" t="s">
        <v>320</v>
      </c>
    </row>
    <row r="72" spans="1:16" x14ac:dyDescent="0.25">
      <c r="A72" s="2" t="s">
        <v>321</v>
      </c>
      <c r="B72" s="2" t="s">
        <v>136</v>
      </c>
      <c r="C72" s="8">
        <v>46205</v>
      </c>
      <c r="D72" s="6">
        <v>46204</v>
      </c>
      <c r="E72" s="2" t="s">
        <v>260</v>
      </c>
      <c r="F72" s="2" t="s">
        <v>322</v>
      </c>
      <c r="G72" s="6">
        <v>46174</v>
      </c>
      <c r="H72" s="2" t="s">
        <v>71</v>
      </c>
      <c r="I72" s="2" t="s">
        <v>70</v>
      </c>
      <c r="J72" s="9">
        <v>2860.2586470000001</v>
      </c>
      <c r="K72" s="7">
        <v>0.65800000000000003</v>
      </c>
      <c r="L72" s="9">
        <v>1882.05</v>
      </c>
      <c r="M72" s="9">
        <v>1902.07</v>
      </c>
      <c r="N72" s="9">
        <v>1.8</v>
      </c>
      <c r="O72" s="10">
        <f>IF(AND(OR(H72="APPROVED",H72="SCHEDULED"),COUNTIFS(tblSource[EventID],F72,tblSource[ReleaseStatus],"APPROVED")=1,COUNTIFS(Period_Status!$A$2:$A$8,G72,Period_Status!$B$2:$B$8,"ActualClosed")=1,C72&gt;EOMONTH(Settlement_Bridge!$C$2,0)),1,0)</f>
        <v>0</v>
      </c>
      <c r="P72" s="2" t="s">
        <v>323</v>
      </c>
    </row>
    <row r="73" spans="1:16" x14ac:dyDescent="0.25">
      <c r="A73" s="2" t="s">
        <v>324</v>
      </c>
      <c r="B73" s="2" t="s">
        <v>136</v>
      </c>
      <c r="C73" s="8">
        <v>46230</v>
      </c>
      <c r="D73" s="6">
        <v>46204</v>
      </c>
      <c r="E73" s="2" t="s">
        <v>260</v>
      </c>
      <c r="F73" s="2" t="s">
        <v>322</v>
      </c>
      <c r="G73" s="6">
        <v>46174</v>
      </c>
      <c r="H73" s="2" t="s">
        <v>71</v>
      </c>
      <c r="I73" s="2" t="s">
        <v>70</v>
      </c>
      <c r="J73" s="9">
        <v>4290.3879699999998</v>
      </c>
      <c r="K73" s="7">
        <v>0.65800000000000003</v>
      </c>
      <c r="L73" s="9">
        <v>2823.08</v>
      </c>
      <c r="M73" s="9">
        <v>2853.11</v>
      </c>
      <c r="N73" s="9">
        <v>1.8</v>
      </c>
      <c r="O73" s="10">
        <f>IF(AND(OR(H73="APPROVED",H73="SCHEDULED"),COUNTIFS(tblSource[EventID],F73,tblSource[ReleaseStatus],"APPROVED")=1,COUNTIFS(Period_Status!$A$2:$A$8,G73,Period_Status!$B$2:$B$8,"ActualClosed")=1,C73&gt;EOMONTH(Settlement_Bridge!$C$2,0)),1,0)</f>
        <v>0</v>
      </c>
      <c r="P73" s="2" t="s">
        <v>325</v>
      </c>
    </row>
    <row r="74" spans="1:16" x14ac:dyDescent="0.25">
      <c r="A74" s="2" t="s">
        <v>326</v>
      </c>
      <c r="B74" s="2" t="s">
        <v>136</v>
      </c>
      <c r="C74" s="8">
        <v>46216</v>
      </c>
      <c r="D74" s="6">
        <v>46204</v>
      </c>
      <c r="E74" s="2" t="s">
        <v>260</v>
      </c>
      <c r="F74" s="2" t="s">
        <v>327</v>
      </c>
      <c r="G74" s="6">
        <v>46174</v>
      </c>
      <c r="H74" s="2" t="s">
        <v>71</v>
      </c>
      <c r="I74" s="2" t="s">
        <v>39</v>
      </c>
      <c r="J74" s="9">
        <v>4928.1899999999996</v>
      </c>
      <c r="K74" s="7">
        <v>1</v>
      </c>
      <c r="L74" s="9">
        <v>4928.1899999999996</v>
      </c>
      <c r="M74" s="9">
        <v>4928.1899999999996</v>
      </c>
      <c r="N74" s="9">
        <v>2.71</v>
      </c>
      <c r="O74" s="10">
        <f>IF(AND(OR(H74="APPROVED",H74="SCHEDULED"),COUNTIFS(tblSource[EventID],F74,tblSource[ReleaseStatus],"APPROVED")=1,COUNTIFS(Period_Status!$A$2:$A$8,G74,Period_Status!$B$2:$B$8,"ActualClosed")=1,C74&gt;EOMONTH(Settlement_Bridge!$C$2,0)),1,0)</f>
        <v>0</v>
      </c>
      <c r="P74" s="2" t="s">
        <v>328</v>
      </c>
    </row>
    <row r="75" spans="1:16" x14ac:dyDescent="0.25">
      <c r="A75" s="2" t="s">
        <v>329</v>
      </c>
      <c r="B75" s="2" t="s">
        <v>136</v>
      </c>
      <c r="C75" s="8">
        <v>46217</v>
      </c>
      <c r="D75" s="6">
        <v>46204</v>
      </c>
      <c r="E75" s="2" t="s">
        <v>260</v>
      </c>
      <c r="F75" s="2" t="s">
        <v>330</v>
      </c>
      <c r="G75" s="6">
        <v>46174</v>
      </c>
      <c r="H75" s="2" t="s">
        <v>71</v>
      </c>
      <c r="I75" s="2" t="s">
        <v>76</v>
      </c>
      <c r="J75" s="9">
        <v>81619200</v>
      </c>
      <c r="K75" s="7">
        <v>6.2000000000000003E-5</v>
      </c>
      <c r="L75" s="9">
        <v>5060.3900000000003</v>
      </c>
      <c r="M75" s="9">
        <v>5101.2</v>
      </c>
      <c r="N75" s="9">
        <v>2.78</v>
      </c>
      <c r="O75" s="10">
        <f>IF(AND(OR(H75="APPROVED",H75="SCHEDULED"),COUNTIFS(tblSource[EventID],F75,tblSource[ReleaseStatus],"APPROVED")=1,COUNTIFS(Period_Status!$A$2:$A$8,G75,Period_Status!$B$2:$B$8,"ActualClosed")=1,C75&gt;EOMONTH(Settlement_Bridge!$C$2,0)),1,0)</f>
        <v>0</v>
      </c>
      <c r="P75" s="2" t="s">
        <v>331</v>
      </c>
    </row>
    <row r="76" spans="1:16" x14ac:dyDescent="0.25">
      <c r="A76" s="2" t="s">
        <v>332</v>
      </c>
      <c r="B76" s="2" t="s">
        <v>136</v>
      </c>
      <c r="C76" s="8">
        <v>46218</v>
      </c>
      <c r="D76" s="6">
        <v>46204</v>
      </c>
      <c r="E76" s="2" t="s">
        <v>260</v>
      </c>
      <c r="F76" s="2" t="s">
        <v>333</v>
      </c>
      <c r="G76" s="6">
        <v>46174</v>
      </c>
      <c r="H76" s="2" t="s">
        <v>71</v>
      </c>
      <c r="I76" s="2" t="s">
        <v>70</v>
      </c>
      <c r="J76" s="9">
        <v>7931.1428569999998</v>
      </c>
      <c r="K76" s="7">
        <v>0.65800000000000003</v>
      </c>
      <c r="L76" s="9">
        <v>5218.6899999999996</v>
      </c>
      <c r="M76" s="9">
        <v>5274.21</v>
      </c>
      <c r="N76" s="9">
        <v>2.87</v>
      </c>
      <c r="O76" s="10">
        <f>IF(AND(OR(H76="APPROVED",H76="SCHEDULED"),COUNTIFS(tblSource[EventID],F76,tblSource[ReleaseStatus],"APPROVED")=1,COUNTIFS(Period_Status!$A$2:$A$8,G76,Period_Status!$B$2:$B$8,"ActualClosed")=1,C76&gt;EOMONTH(Settlement_Bridge!$C$2,0)),1,0)</f>
        <v>0</v>
      </c>
      <c r="P76" s="2" t="s">
        <v>334</v>
      </c>
    </row>
    <row r="77" spans="1:16" x14ac:dyDescent="0.25">
      <c r="A77" s="2" t="s">
        <v>335</v>
      </c>
      <c r="B77" s="2" t="s">
        <v>136</v>
      </c>
      <c r="C77" s="8">
        <v>46219</v>
      </c>
      <c r="D77" s="6">
        <v>46204</v>
      </c>
      <c r="E77" s="2" t="s">
        <v>260</v>
      </c>
      <c r="F77" s="2" t="s">
        <v>336</v>
      </c>
      <c r="G77" s="6">
        <v>46174</v>
      </c>
      <c r="H77" s="2" t="s">
        <v>71</v>
      </c>
      <c r="I77" s="2" t="s">
        <v>39</v>
      </c>
      <c r="J77" s="9">
        <v>5447.22</v>
      </c>
      <c r="K77" s="7">
        <v>1</v>
      </c>
      <c r="L77" s="9">
        <v>5447.22</v>
      </c>
      <c r="M77" s="9">
        <v>5447.22</v>
      </c>
      <c r="N77" s="9">
        <v>3</v>
      </c>
      <c r="O77" s="10">
        <f>IF(AND(OR(H77="APPROVED",H77="SCHEDULED"),COUNTIFS(tblSource[EventID],F77,tblSource[ReleaseStatus],"APPROVED")=1,COUNTIFS(Period_Status!$A$2:$A$8,G77,Period_Status!$B$2:$B$8,"ActualClosed")=1,C77&gt;EOMONTH(Settlement_Bridge!$C$2,0)),1,0)</f>
        <v>0</v>
      </c>
      <c r="P77" s="2" t="s">
        <v>337</v>
      </c>
    </row>
    <row r="78" spans="1:16" x14ac:dyDescent="0.25">
      <c r="A78" s="2" t="s">
        <v>338</v>
      </c>
      <c r="B78" s="2" t="s">
        <v>136</v>
      </c>
      <c r="C78" s="8">
        <v>46220</v>
      </c>
      <c r="D78" s="6">
        <v>46204</v>
      </c>
      <c r="E78" s="2" t="s">
        <v>260</v>
      </c>
      <c r="F78" s="2" t="s">
        <v>339</v>
      </c>
      <c r="G78" s="6">
        <v>46174</v>
      </c>
      <c r="H78" s="2" t="s">
        <v>71</v>
      </c>
      <c r="I78" s="2" t="s">
        <v>76</v>
      </c>
      <c r="J78" s="9">
        <v>89923680</v>
      </c>
      <c r="K78" s="7">
        <v>6.2000000000000003E-5</v>
      </c>
      <c r="L78" s="9">
        <v>5575.27</v>
      </c>
      <c r="M78" s="9">
        <v>5620.23</v>
      </c>
      <c r="N78" s="9">
        <v>3.07</v>
      </c>
      <c r="O78" s="10">
        <f>IF(AND(OR(H78="APPROVED",H78="SCHEDULED"),COUNTIFS(tblSource[EventID],F78,tblSource[ReleaseStatus],"APPROVED")=1,COUNTIFS(Period_Status!$A$2:$A$8,G78,Period_Status!$B$2:$B$8,"ActualClosed")=1,C78&gt;EOMONTH(Settlement_Bridge!$C$2,0)),1,0)</f>
        <v>0</v>
      </c>
      <c r="P78" s="2" t="s">
        <v>340</v>
      </c>
    </row>
    <row r="79" spans="1:16" x14ac:dyDescent="0.25">
      <c r="A79" s="2" t="s">
        <v>341</v>
      </c>
      <c r="B79" s="2" t="s">
        <v>136</v>
      </c>
      <c r="C79" s="8">
        <v>46211</v>
      </c>
      <c r="D79" s="6">
        <v>46204</v>
      </c>
      <c r="E79" s="2" t="s">
        <v>260</v>
      </c>
      <c r="F79" s="2" t="s">
        <v>342</v>
      </c>
      <c r="G79" s="6">
        <v>46174</v>
      </c>
      <c r="H79" s="2" t="s">
        <v>71</v>
      </c>
      <c r="I79" s="2" t="s">
        <v>70</v>
      </c>
      <c r="J79" s="9">
        <v>3484.6556390000001</v>
      </c>
      <c r="K79" s="7">
        <v>0.65800000000000003</v>
      </c>
      <c r="L79" s="9">
        <v>2292.9</v>
      </c>
      <c r="M79" s="9">
        <v>2317.3000000000002</v>
      </c>
      <c r="N79" s="9">
        <v>1.8</v>
      </c>
      <c r="O79" s="10">
        <f>IF(AND(OR(H79="APPROVED",H79="SCHEDULED"),COUNTIFS(tblSource[EventID],F79,tblSource[ReleaseStatus],"APPROVED")=1,COUNTIFS(Period_Status!$A$2:$A$8,G79,Period_Status!$B$2:$B$8,"ActualClosed")=1,C79&gt;EOMONTH(Settlement_Bridge!$C$2,0)),1,0)</f>
        <v>0</v>
      </c>
      <c r="P79" s="2" t="s">
        <v>343</v>
      </c>
    </row>
    <row r="80" spans="1:16" x14ac:dyDescent="0.25">
      <c r="A80" s="2" t="s">
        <v>344</v>
      </c>
      <c r="B80" s="2" t="s">
        <v>136</v>
      </c>
      <c r="C80" s="8">
        <v>46236</v>
      </c>
      <c r="D80" s="6">
        <v>46235</v>
      </c>
      <c r="E80" s="2" t="s">
        <v>260</v>
      </c>
      <c r="F80" s="2" t="s">
        <v>342</v>
      </c>
      <c r="G80" s="6">
        <v>46174</v>
      </c>
      <c r="H80" s="2" t="s">
        <v>71</v>
      </c>
      <c r="I80" s="2" t="s">
        <v>70</v>
      </c>
      <c r="J80" s="9">
        <v>5226.983459</v>
      </c>
      <c r="K80" s="7">
        <v>0.65</v>
      </c>
      <c r="L80" s="9">
        <v>3397.54</v>
      </c>
      <c r="M80" s="9">
        <v>3475.94</v>
      </c>
      <c r="N80" s="9">
        <v>1.87</v>
      </c>
      <c r="O80" s="10">
        <f>IF(AND(OR(H80="APPROVED",H80="SCHEDULED"),COUNTIFS(tblSource[EventID],F80,tblSource[ReleaseStatus],"APPROVED")=1,COUNTIFS(Period_Status!$A$2:$A$8,G80,Period_Status!$B$2:$B$8,"ActualClosed")=1,C80&gt;EOMONTH(Settlement_Bridge!$C$2,0)),1,0)</f>
        <v>1</v>
      </c>
      <c r="P80" s="2" t="s">
        <v>345</v>
      </c>
    </row>
    <row r="81" spans="1:16" x14ac:dyDescent="0.25">
      <c r="A81" s="2" t="s">
        <v>346</v>
      </c>
      <c r="B81" s="2" t="s">
        <v>136</v>
      </c>
      <c r="C81" s="8">
        <v>46212</v>
      </c>
      <c r="D81" s="6">
        <v>46204</v>
      </c>
      <c r="E81" s="2" t="s">
        <v>260</v>
      </c>
      <c r="F81" s="2" t="s">
        <v>347</v>
      </c>
      <c r="G81" s="6">
        <v>46174</v>
      </c>
      <c r="H81" s="2" t="s">
        <v>71</v>
      </c>
      <c r="I81" s="2" t="s">
        <v>39</v>
      </c>
      <c r="J81" s="9">
        <v>2386.5</v>
      </c>
      <c r="K81" s="7">
        <v>1</v>
      </c>
      <c r="L81" s="9">
        <v>2386.5</v>
      </c>
      <c r="M81" s="9">
        <v>2386.5</v>
      </c>
      <c r="N81" s="9">
        <v>1.8</v>
      </c>
      <c r="O81" s="10">
        <f>IF(AND(OR(H81="APPROVED",H81="SCHEDULED"),COUNTIFS(tblSource[EventID],F81,tblSource[ReleaseStatus],"APPROVED")=1,COUNTIFS(Period_Status!$A$2:$A$8,G81,Period_Status!$B$2:$B$8,"ActualClosed")=1,C81&gt;EOMONTH(Settlement_Bridge!$C$2,0)),1,0)</f>
        <v>0</v>
      </c>
      <c r="P81" s="2" t="s">
        <v>348</v>
      </c>
    </row>
    <row r="82" spans="1:16" x14ac:dyDescent="0.25">
      <c r="A82" s="2" t="s">
        <v>349</v>
      </c>
      <c r="B82" s="2" t="s">
        <v>136</v>
      </c>
      <c r="C82" s="8">
        <v>46237</v>
      </c>
      <c r="D82" s="6">
        <v>46235</v>
      </c>
      <c r="E82" s="2" t="s">
        <v>260</v>
      </c>
      <c r="F82" s="2" t="s">
        <v>347</v>
      </c>
      <c r="G82" s="6">
        <v>46174</v>
      </c>
      <c r="H82" s="2" t="s">
        <v>71</v>
      </c>
      <c r="I82" s="2" t="s">
        <v>39</v>
      </c>
      <c r="J82" s="9">
        <v>3579.75</v>
      </c>
      <c r="K82" s="7">
        <v>1</v>
      </c>
      <c r="L82" s="9">
        <v>3579.75</v>
      </c>
      <c r="M82" s="9">
        <v>3579.75</v>
      </c>
      <c r="N82" s="9">
        <v>1.97</v>
      </c>
      <c r="O82" s="10">
        <f>IF(AND(OR(H82="APPROVED",H82="SCHEDULED"),COUNTIFS(tblSource[EventID],F82,tblSource[ReleaseStatus],"APPROVED")=1,COUNTIFS(Period_Status!$A$2:$A$8,G82,Period_Status!$B$2:$B$8,"ActualClosed")=1,C82&gt;EOMONTH(Settlement_Bridge!$C$2,0)),1,0)</f>
        <v>1</v>
      </c>
      <c r="P82" s="2" t="s">
        <v>350</v>
      </c>
    </row>
    <row r="83" spans="1:16" x14ac:dyDescent="0.25">
      <c r="A83" s="2" t="s">
        <v>351</v>
      </c>
      <c r="B83" s="2" t="s">
        <v>136</v>
      </c>
      <c r="C83" s="8">
        <v>46223</v>
      </c>
      <c r="D83" s="6">
        <v>46204</v>
      </c>
      <c r="E83" s="2" t="s">
        <v>260</v>
      </c>
      <c r="F83" s="2" t="s">
        <v>352</v>
      </c>
      <c r="G83" s="6">
        <v>46174</v>
      </c>
      <c r="H83" s="2" t="s">
        <v>71</v>
      </c>
      <c r="I83" s="2" t="s">
        <v>76</v>
      </c>
      <c r="J83" s="9">
        <v>98228160</v>
      </c>
      <c r="K83" s="7">
        <v>6.2000000000000003E-5</v>
      </c>
      <c r="L83" s="9">
        <v>6090.15</v>
      </c>
      <c r="M83" s="9">
        <v>6139.26</v>
      </c>
      <c r="N83" s="9">
        <v>3.35</v>
      </c>
      <c r="O83" s="10">
        <f>IF(AND(OR(H83="APPROVED",H83="SCHEDULED"),COUNTIFS(tblSource[EventID],F83,tblSource[ReleaseStatus],"APPROVED")=1,COUNTIFS(Period_Status!$A$2:$A$8,G83,Period_Status!$B$2:$B$8,"ActualClosed")=1,C83&gt;EOMONTH(Settlement_Bridge!$C$2,0)),1,0)</f>
        <v>0</v>
      </c>
      <c r="P83" s="2" t="s">
        <v>353</v>
      </c>
    </row>
    <row r="84" spans="1:16" x14ac:dyDescent="0.25">
      <c r="A84" s="2" t="s">
        <v>354</v>
      </c>
      <c r="B84" s="2" t="s">
        <v>136</v>
      </c>
      <c r="C84" s="8">
        <v>46224</v>
      </c>
      <c r="D84" s="6">
        <v>46204</v>
      </c>
      <c r="E84" s="2" t="s">
        <v>260</v>
      </c>
      <c r="F84" s="2" t="s">
        <v>355</v>
      </c>
      <c r="G84" s="6">
        <v>46174</v>
      </c>
      <c r="H84" s="2" t="s">
        <v>71</v>
      </c>
      <c r="I84" s="2" t="s">
        <v>70</v>
      </c>
      <c r="J84" s="9">
        <v>9492.135338</v>
      </c>
      <c r="K84" s="7">
        <v>0.65800000000000003</v>
      </c>
      <c r="L84" s="9">
        <v>6245.83</v>
      </c>
      <c r="M84" s="9">
        <v>6312.27</v>
      </c>
      <c r="N84" s="9">
        <v>3.44</v>
      </c>
      <c r="O84" s="10">
        <f>IF(AND(OR(H84="APPROVED",H84="SCHEDULED"),COUNTIFS(tblSource[EventID],F84,tblSource[ReleaseStatus],"APPROVED")=1,COUNTIFS(Period_Status!$A$2:$A$8,G84,Period_Status!$B$2:$B$8,"ActualClosed")=1,C84&gt;EOMONTH(Settlement_Bridge!$C$2,0)),1,0)</f>
        <v>0</v>
      </c>
      <c r="P84" s="2" t="s">
        <v>356</v>
      </c>
    </row>
    <row r="85" spans="1:16" x14ac:dyDescent="0.25">
      <c r="A85" s="2" t="s">
        <v>357</v>
      </c>
      <c r="B85" s="2" t="s">
        <v>136</v>
      </c>
      <c r="C85" s="8">
        <v>46215</v>
      </c>
      <c r="D85" s="6">
        <v>46204</v>
      </c>
      <c r="E85" s="2" t="s">
        <v>260</v>
      </c>
      <c r="F85" s="2" t="s">
        <v>358</v>
      </c>
      <c r="G85" s="6">
        <v>46174</v>
      </c>
      <c r="H85" s="2" t="s">
        <v>71</v>
      </c>
      <c r="I85" s="2" t="s">
        <v>39</v>
      </c>
      <c r="J85" s="9">
        <v>2594.1120000000001</v>
      </c>
      <c r="K85" s="7">
        <v>1</v>
      </c>
      <c r="L85" s="9">
        <v>2594.11</v>
      </c>
      <c r="M85" s="9">
        <v>2594.11</v>
      </c>
      <c r="N85" s="9">
        <v>1.8</v>
      </c>
      <c r="O85" s="10">
        <f>IF(AND(OR(H85="APPROVED",H85="SCHEDULED"),COUNTIFS(tblSource[EventID],F85,tblSource[ReleaseStatus],"APPROVED")=1,COUNTIFS(Period_Status!$A$2:$A$8,G85,Period_Status!$B$2:$B$8,"ActualClosed")=1,C85&gt;EOMONTH(Settlement_Bridge!$C$2,0)),1,0)</f>
        <v>0</v>
      </c>
      <c r="P85" s="2" t="s">
        <v>359</v>
      </c>
    </row>
    <row r="86" spans="1:16" x14ac:dyDescent="0.25">
      <c r="A86" s="2" t="s">
        <v>360</v>
      </c>
      <c r="B86" s="2" t="s">
        <v>136</v>
      </c>
      <c r="C86" s="8">
        <v>46240</v>
      </c>
      <c r="D86" s="6">
        <v>46235</v>
      </c>
      <c r="E86" s="2" t="s">
        <v>260</v>
      </c>
      <c r="F86" s="2" t="s">
        <v>358</v>
      </c>
      <c r="G86" s="6">
        <v>46174</v>
      </c>
      <c r="H86" s="2" t="s">
        <v>71</v>
      </c>
      <c r="I86" s="2" t="s">
        <v>39</v>
      </c>
      <c r="J86" s="9">
        <v>3891.1680000000001</v>
      </c>
      <c r="K86" s="7">
        <v>1</v>
      </c>
      <c r="L86" s="9">
        <v>3891.17</v>
      </c>
      <c r="M86" s="9">
        <v>3891.17</v>
      </c>
      <c r="N86" s="9">
        <v>2.14</v>
      </c>
      <c r="O86" s="10">
        <f>IF(AND(OR(H86="APPROVED",H86="SCHEDULED"),COUNTIFS(tblSource[EventID],F86,tblSource[ReleaseStatus],"APPROVED")=1,COUNTIFS(Period_Status!$A$2:$A$8,G86,Period_Status!$B$2:$B$8,"ActualClosed")=1,C86&gt;EOMONTH(Settlement_Bridge!$C$2,0)),1,0)</f>
        <v>1</v>
      </c>
      <c r="P86" s="2" t="s">
        <v>361</v>
      </c>
    </row>
    <row r="87" spans="1:16" x14ac:dyDescent="0.25">
      <c r="A87" s="2" t="s">
        <v>362</v>
      </c>
      <c r="B87" s="2" t="s">
        <v>136</v>
      </c>
      <c r="C87" s="8">
        <v>46226</v>
      </c>
      <c r="D87" s="6">
        <v>46204</v>
      </c>
      <c r="E87" s="2" t="s">
        <v>260</v>
      </c>
      <c r="F87" s="2" t="s">
        <v>363</v>
      </c>
      <c r="G87" s="6">
        <v>46174</v>
      </c>
      <c r="H87" s="2" t="s">
        <v>71</v>
      </c>
      <c r="I87" s="2" t="s">
        <v>76</v>
      </c>
      <c r="J87" s="9">
        <v>106532640</v>
      </c>
      <c r="K87" s="7">
        <v>6.2000000000000003E-5</v>
      </c>
      <c r="L87" s="9">
        <v>6605.02</v>
      </c>
      <c r="M87" s="9">
        <v>6658.29</v>
      </c>
      <c r="N87" s="9">
        <v>3.63</v>
      </c>
      <c r="O87" s="10">
        <f>IF(AND(OR(H87="APPROVED",H87="SCHEDULED"),COUNTIFS(tblSource[EventID],F87,tblSource[ReleaseStatus],"APPROVED")=1,COUNTIFS(Period_Status!$A$2:$A$8,G87,Period_Status!$B$2:$B$8,"ActualClosed")=1,C87&gt;EOMONTH(Settlement_Bridge!$C$2,0)),1,0)</f>
        <v>0</v>
      </c>
      <c r="P87" s="2" t="s">
        <v>364</v>
      </c>
    </row>
    <row r="88" spans="1:16" x14ac:dyDescent="0.25">
      <c r="A88" s="2" t="s">
        <v>365</v>
      </c>
      <c r="B88" s="2" t="s">
        <v>136</v>
      </c>
      <c r="C88" s="8">
        <v>46227</v>
      </c>
      <c r="D88" s="6">
        <v>46204</v>
      </c>
      <c r="E88" s="2" t="s">
        <v>260</v>
      </c>
      <c r="F88" s="2" t="s">
        <v>366</v>
      </c>
      <c r="G88" s="6">
        <v>46174</v>
      </c>
      <c r="H88" s="2" t="s">
        <v>71</v>
      </c>
      <c r="I88" s="2" t="s">
        <v>70</v>
      </c>
      <c r="J88" s="9">
        <v>10272.631579000001</v>
      </c>
      <c r="K88" s="7">
        <v>0.65800000000000003</v>
      </c>
      <c r="L88" s="9">
        <v>6759.39</v>
      </c>
      <c r="M88" s="9">
        <v>6831.3</v>
      </c>
      <c r="N88" s="9">
        <v>3.72</v>
      </c>
      <c r="O88" s="10">
        <f>IF(AND(OR(H88="APPROVED",H88="SCHEDULED"),COUNTIFS(tblSource[EventID],F88,tblSource[ReleaseStatus],"APPROVED")=1,COUNTIFS(Period_Status!$A$2:$A$8,G88,Period_Status!$B$2:$B$8,"ActualClosed")=1,C88&gt;EOMONTH(Settlement_Bridge!$C$2,0)),1,0)</f>
        <v>0</v>
      </c>
      <c r="P88" s="2" t="s">
        <v>367</v>
      </c>
    </row>
    <row r="89" spans="1:16" x14ac:dyDescent="0.25">
      <c r="A89" s="2" t="s">
        <v>368</v>
      </c>
      <c r="B89" s="2" t="s">
        <v>136</v>
      </c>
      <c r="C89" s="8">
        <v>46198</v>
      </c>
      <c r="D89" s="6">
        <v>46174</v>
      </c>
      <c r="E89" s="2" t="s">
        <v>260</v>
      </c>
      <c r="F89" s="2" t="s">
        <v>369</v>
      </c>
      <c r="G89" s="6">
        <v>46174</v>
      </c>
      <c r="H89" s="2" t="s">
        <v>71</v>
      </c>
      <c r="I89" s="2" t="s">
        <v>39</v>
      </c>
      <c r="J89" s="9">
        <v>7004.31</v>
      </c>
      <c r="K89" s="7">
        <v>1</v>
      </c>
      <c r="L89" s="9">
        <v>7004.31</v>
      </c>
      <c r="M89" s="9">
        <v>7004.31</v>
      </c>
      <c r="N89" s="9">
        <v>3.85</v>
      </c>
      <c r="O89" s="10">
        <f>IF(AND(OR(H89="APPROVED",H89="SCHEDULED"),COUNTIFS(tblSource[EventID],F89,tblSource[ReleaseStatus],"APPROVED")=1,COUNTIFS(Period_Status!$A$2:$A$8,G89,Period_Status!$B$2:$B$8,"ActualClosed")=1,C89&gt;EOMONTH(Settlement_Bridge!$C$2,0)),1,0)</f>
        <v>0</v>
      </c>
      <c r="P89" s="2" t="s">
        <v>370</v>
      </c>
    </row>
    <row r="90" spans="1:16" x14ac:dyDescent="0.25">
      <c r="A90" s="2" t="s">
        <v>371</v>
      </c>
      <c r="B90" s="2" t="s">
        <v>136</v>
      </c>
      <c r="C90" s="8">
        <v>46199</v>
      </c>
      <c r="D90" s="6">
        <v>46174</v>
      </c>
      <c r="E90" s="2" t="s">
        <v>260</v>
      </c>
      <c r="F90" s="2" t="s">
        <v>372</v>
      </c>
      <c r="G90" s="6">
        <v>46174</v>
      </c>
      <c r="H90" s="2" t="s">
        <v>71</v>
      </c>
      <c r="I90" s="2" t="s">
        <v>76</v>
      </c>
      <c r="J90" s="9">
        <v>114837120</v>
      </c>
      <c r="K90" s="7">
        <v>6.2500000000000001E-5</v>
      </c>
      <c r="L90" s="9">
        <v>7177.32</v>
      </c>
      <c r="M90" s="9">
        <v>7177.32</v>
      </c>
      <c r="N90" s="9">
        <v>3.95</v>
      </c>
      <c r="O90" s="10">
        <f>IF(AND(OR(H90="APPROVED",H90="SCHEDULED"),COUNTIFS(tblSource[EventID],F90,tblSource[ReleaseStatus],"APPROVED")=1,COUNTIFS(Period_Status!$A$2:$A$8,G90,Period_Status!$B$2:$B$8,"ActualClosed")=1,C90&gt;EOMONTH(Settlement_Bridge!$C$2,0)),1,0)</f>
        <v>0</v>
      </c>
      <c r="P90" s="2" t="s">
        <v>373</v>
      </c>
    </row>
    <row r="91" spans="1:16" x14ac:dyDescent="0.25">
      <c r="A91" s="2" t="s">
        <v>374</v>
      </c>
      <c r="B91" s="2" t="s">
        <v>136</v>
      </c>
      <c r="C91" s="8">
        <v>46200</v>
      </c>
      <c r="D91" s="6">
        <v>46174</v>
      </c>
      <c r="E91" s="2" t="s">
        <v>260</v>
      </c>
      <c r="F91" s="2" t="s">
        <v>375</v>
      </c>
      <c r="G91" s="6">
        <v>46174</v>
      </c>
      <c r="H91" s="2" t="s">
        <v>71</v>
      </c>
      <c r="I91" s="2" t="s">
        <v>70</v>
      </c>
      <c r="J91" s="9">
        <v>11053.12782</v>
      </c>
      <c r="K91" s="7">
        <v>0.66500000000000004</v>
      </c>
      <c r="L91" s="9">
        <v>7350.33</v>
      </c>
      <c r="M91" s="9">
        <v>7350.33</v>
      </c>
      <c r="N91" s="9">
        <v>4.04</v>
      </c>
      <c r="O91" s="10">
        <f>IF(AND(OR(H91="APPROVED",H91="SCHEDULED"),COUNTIFS(tblSource[EventID],F91,tblSource[ReleaseStatus],"APPROVED")=1,COUNTIFS(Period_Status!$A$2:$A$8,G91,Period_Status!$B$2:$B$8,"ActualClosed")=1,C91&gt;EOMONTH(Settlement_Bridge!$C$2,0)),1,0)</f>
        <v>0</v>
      </c>
      <c r="P91" s="2" t="s">
        <v>376</v>
      </c>
    </row>
    <row r="92" spans="1:16" x14ac:dyDescent="0.25">
      <c r="A92" s="2" t="s">
        <v>377</v>
      </c>
      <c r="B92" s="2" t="s">
        <v>136</v>
      </c>
      <c r="C92" s="8">
        <v>46191</v>
      </c>
      <c r="D92" s="6">
        <v>46174</v>
      </c>
      <c r="E92" s="2" t="s">
        <v>260</v>
      </c>
      <c r="F92" s="2" t="s">
        <v>378</v>
      </c>
      <c r="G92" s="6">
        <v>46174</v>
      </c>
      <c r="H92" s="2" t="s">
        <v>71</v>
      </c>
      <c r="I92" s="2" t="s">
        <v>39</v>
      </c>
      <c r="J92" s="9">
        <v>3009.3359999999998</v>
      </c>
      <c r="K92" s="7">
        <v>1</v>
      </c>
      <c r="L92" s="9">
        <v>3009.34</v>
      </c>
      <c r="M92" s="9">
        <v>3009.34</v>
      </c>
      <c r="N92" s="9">
        <v>1.8</v>
      </c>
      <c r="O92" s="10">
        <f>IF(AND(OR(H92="APPROVED",H92="SCHEDULED"),COUNTIFS(tblSource[EventID],F92,tblSource[ReleaseStatus],"APPROVED")=1,COUNTIFS(Period_Status!$A$2:$A$8,G92,Period_Status!$B$2:$B$8,"ActualClosed")=1,C92&gt;EOMONTH(Settlement_Bridge!$C$2,0)),1,0)</f>
        <v>0</v>
      </c>
      <c r="P92" s="2" t="s">
        <v>379</v>
      </c>
    </row>
    <row r="93" spans="1:16" x14ac:dyDescent="0.25">
      <c r="A93" s="2" t="s">
        <v>380</v>
      </c>
      <c r="B93" s="2" t="s">
        <v>136</v>
      </c>
      <c r="C93" s="8">
        <v>46216</v>
      </c>
      <c r="D93" s="6">
        <v>46204</v>
      </c>
      <c r="E93" s="2" t="s">
        <v>260</v>
      </c>
      <c r="F93" s="2" t="s">
        <v>378</v>
      </c>
      <c r="G93" s="6">
        <v>46174</v>
      </c>
      <c r="H93" s="2" t="s">
        <v>71</v>
      </c>
      <c r="I93" s="2" t="s">
        <v>39</v>
      </c>
      <c r="J93" s="9">
        <v>4514.0039999999999</v>
      </c>
      <c r="K93" s="7">
        <v>1</v>
      </c>
      <c r="L93" s="9">
        <v>4514</v>
      </c>
      <c r="M93" s="9">
        <v>4514</v>
      </c>
      <c r="N93" s="9">
        <v>2.48</v>
      </c>
      <c r="O93" s="10">
        <f>IF(AND(OR(H93="APPROVED",H93="SCHEDULED"),COUNTIFS(tblSource[EventID],F93,tblSource[ReleaseStatus],"APPROVED")=1,COUNTIFS(Period_Status!$A$2:$A$8,G93,Period_Status!$B$2:$B$8,"ActualClosed")=1,C93&gt;EOMONTH(Settlement_Bridge!$C$2,0)),1,0)</f>
        <v>0</v>
      </c>
      <c r="P93" s="2" t="s">
        <v>381</v>
      </c>
    </row>
    <row r="94" spans="1:16" x14ac:dyDescent="0.25">
      <c r="A94" s="2" t="s">
        <v>382</v>
      </c>
      <c r="B94" s="2" t="s">
        <v>136</v>
      </c>
      <c r="C94" s="8">
        <v>46192</v>
      </c>
      <c r="D94" s="6">
        <v>46174</v>
      </c>
      <c r="E94" s="2" t="s">
        <v>260</v>
      </c>
      <c r="F94" s="2" t="s">
        <v>383</v>
      </c>
      <c r="G94" s="6">
        <v>46174</v>
      </c>
      <c r="H94" s="2" t="s">
        <v>71</v>
      </c>
      <c r="I94" s="2" t="s">
        <v>76</v>
      </c>
      <c r="J94" s="9">
        <v>49256640</v>
      </c>
      <c r="K94" s="7">
        <v>6.2500000000000001E-5</v>
      </c>
      <c r="L94" s="9">
        <v>3078.54</v>
      </c>
      <c r="M94" s="9">
        <v>3078.54</v>
      </c>
      <c r="N94" s="9">
        <v>1.8</v>
      </c>
      <c r="O94" s="10">
        <f>IF(AND(OR(H94="APPROVED",H94="SCHEDULED"),COUNTIFS(tblSource[EventID],F94,tblSource[ReleaseStatus],"APPROVED")=1,COUNTIFS(Period_Status!$A$2:$A$8,G94,Period_Status!$B$2:$B$8,"ActualClosed")=1,C94&gt;EOMONTH(Settlement_Bridge!$C$2,0)),1,0)</f>
        <v>0</v>
      </c>
      <c r="P94" s="2" t="s">
        <v>384</v>
      </c>
    </row>
    <row r="95" spans="1:16" x14ac:dyDescent="0.25">
      <c r="A95" s="2" t="s">
        <v>385</v>
      </c>
      <c r="B95" s="2" t="s">
        <v>136</v>
      </c>
      <c r="C95" s="8">
        <v>46217</v>
      </c>
      <c r="D95" s="6">
        <v>46204</v>
      </c>
      <c r="E95" s="2" t="s">
        <v>260</v>
      </c>
      <c r="F95" s="2" t="s">
        <v>383</v>
      </c>
      <c r="G95" s="6">
        <v>46174</v>
      </c>
      <c r="H95" s="2" t="s">
        <v>71</v>
      </c>
      <c r="I95" s="2" t="s">
        <v>76</v>
      </c>
      <c r="J95" s="9">
        <v>73884960</v>
      </c>
      <c r="K95" s="7">
        <v>6.2000000000000003E-5</v>
      </c>
      <c r="L95" s="9">
        <v>4580.87</v>
      </c>
      <c r="M95" s="9">
        <v>4617.8100000000004</v>
      </c>
      <c r="N95" s="9">
        <v>2.52</v>
      </c>
      <c r="O95" s="10">
        <f>IF(AND(OR(H95="APPROVED",H95="SCHEDULED"),COUNTIFS(tblSource[EventID],F95,tblSource[ReleaseStatus],"APPROVED")=1,COUNTIFS(Period_Status!$A$2:$A$8,G95,Period_Status!$B$2:$B$8,"ActualClosed")=1,C95&gt;EOMONTH(Settlement_Bridge!$C$2,0)),1,0)</f>
        <v>0</v>
      </c>
      <c r="P95" s="2" t="s">
        <v>386</v>
      </c>
    </row>
    <row r="96" spans="1:16" x14ac:dyDescent="0.25">
      <c r="A96" s="2" t="s">
        <v>387</v>
      </c>
      <c r="B96" s="2" t="s">
        <v>136</v>
      </c>
      <c r="C96" s="8">
        <v>46203</v>
      </c>
      <c r="D96" s="6">
        <v>46174</v>
      </c>
      <c r="E96" s="2" t="s">
        <v>260</v>
      </c>
      <c r="F96" s="2" t="s">
        <v>388</v>
      </c>
      <c r="G96" s="6">
        <v>46174</v>
      </c>
      <c r="H96" s="2" t="s">
        <v>71</v>
      </c>
      <c r="I96" s="2" t="s">
        <v>70</v>
      </c>
      <c r="J96" s="9">
        <v>11833.62406</v>
      </c>
      <c r="K96" s="7">
        <v>0.66500000000000004</v>
      </c>
      <c r="L96" s="9">
        <v>7869.36</v>
      </c>
      <c r="M96" s="9">
        <v>7869.36</v>
      </c>
      <c r="N96" s="9">
        <v>4.33</v>
      </c>
      <c r="O96" s="10">
        <f>IF(AND(OR(H96="APPROVED",H96="SCHEDULED"),COUNTIFS(tblSource[EventID],F96,tblSource[ReleaseStatus],"APPROVED")=1,COUNTIFS(Period_Status!$A$2:$A$8,G96,Period_Status!$B$2:$B$8,"ActualClosed")=1,C96&gt;EOMONTH(Settlement_Bridge!$C$2,0)),1,0)</f>
        <v>0</v>
      </c>
      <c r="P96" s="2" t="s">
        <v>389</v>
      </c>
    </row>
    <row r="97" spans="1:16" x14ac:dyDescent="0.25">
      <c r="A97" s="2" t="s">
        <v>390</v>
      </c>
      <c r="B97" s="2" t="s">
        <v>136</v>
      </c>
      <c r="C97" s="8">
        <v>46204</v>
      </c>
      <c r="D97" s="6">
        <v>46204</v>
      </c>
      <c r="E97" s="2" t="s">
        <v>260</v>
      </c>
      <c r="F97" s="2" t="s">
        <v>391</v>
      </c>
      <c r="G97" s="6">
        <v>46174</v>
      </c>
      <c r="H97" s="2" t="s">
        <v>71</v>
      </c>
      <c r="I97" s="2" t="s">
        <v>39</v>
      </c>
      <c r="J97" s="9">
        <v>8042.37</v>
      </c>
      <c r="K97" s="7">
        <v>1</v>
      </c>
      <c r="L97" s="9">
        <v>8042.37</v>
      </c>
      <c r="M97" s="9">
        <v>8042.37</v>
      </c>
      <c r="N97" s="9">
        <v>4.42</v>
      </c>
      <c r="O97" s="10">
        <f>IF(AND(OR(H97="APPROVED",H97="SCHEDULED"),COUNTIFS(tblSource[EventID],F97,tblSource[ReleaseStatus],"APPROVED")=1,COUNTIFS(Period_Status!$A$2:$A$8,G97,Period_Status!$B$2:$B$8,"ActualClosed")=1,C97&gt;EOMONTH(Settlement_Bridge!$C$2,0)),1,0)</f>
        <v>0</v>
      </c>
      <c r="P97" s="2" t="s">
        <v>392</v>
      </c>
    </row>
    <row r="98" spans="1:16" x14ac:dyDescent="0.25">
      <c r="A98" s="2" t="s">
        <v>393</v>
      </c>
      <c r="B98" s="2" t="s">
        <v>136</v>
      </c>
      <c r="C98" s="8">
        <v>46195</v>
      </c>
      <c r="D98" s="6">
        <v>46174</v>
      </c>
      <c r="E98" s="2" t="s">
        <v>260</v>
      </c>
      <c r="F98" s="2" t="s">
        <v>394</v>
      </c>
      <c r="G98" s="6">
        <v>46174</v>
      </c>
      <c r="H98" s="2" t="s">
        <v>71</v>
      </c>
      <c r="I98" s="2" t="s">
        <v>76</v>
      </c>
      <c r="J98" s="9">
        <v>52578432</v>
      </c>
      <c r="K98" s="7">
        <v>6.2500000000000001E-5</v>
      </c>
      <c r="L98" s="9">
        <v>3286.15</v>
      </c>
      <c r="M98" s="9">
        <v>3286.15</v>
      </c>
      <c r="N98" s="9">
        <v>1.81</v>
      </c>
      <c r="O98" s="10">
        <f>IF(AND(OR(H98="APPROVED",H98="SCHEDULED"),COUNTIFS(tblSource[EventID],F98,tblSource[ReleaseStatus],"APPROVED")=1,COUNTIFS(Period_Status!$A$2:$A$8,G98,Period_Status!$B$2:$B$8,"ActualClosed")=1,C98&gt;EOMONTH(Settlement_Bridge!$C$2,0)),1,0)</f>
        <v>0</v>
      </c>
      <c r="P98" s="2" t="s">
        <v>395</v>
      </c>
    </row>
    <row r="99" spans="1:16" x14ac:dyDescent="0.25">
      <c r="A99" s="2" t="s">
        <v>396</v>
      </c>
      <c r="B99" s="2" t="s">
        <v>136</v>
      </c>
      <c r="C99" s="8">
        <v>46220</v>
      </c>
      <c r="D99" s="6">
        <v>46204</v>
      </c>
      <c r="E99" s="2" t="s">
        <v>260</v>
      </c>
      <c r="F99" s="2" t="s">
        <v>394</v>
      </c>
      <c r="G99" s="6">
        <v>46174</v>
      </c>
      <c r="H99" s="2" t="s">
        <v>71</v>
      </c>
      <c r="I99" s="2" t="s">
        <v>76</v>
      </c>
      <c r="J99" s="9">
        <v>78867648</v>
      </c>
      <c r="K99" s="7">
        <v>6.2000000000000003E-5</v>
      </c>
      <c r="L99" s="9">
        <v>4889.79</v>
      </c>
      <c r="M99" s="9">
        <v>4929.2299999999996</v>
      </c>
      <c r="N99" s="9">
        <v>2.69</v>
      </c>
      <c r="O99" s="10">
        <f>IF(AND(OR(H99="APPROVED",H99="SCHEDULED"),COUNTIFS(tblSource[EventID],F99,tblSource[ReleaseStatus],"APPROVED")=1,COUNTIFS(Period_Status!$A$2:$A$8,G99,Period_Status!$B$2:$B$8,"ActualClosed")=1,C99&gt;EOMONTH(Settlement_Bridge!$C$2,0)),1,0)</f>
        <v>0</v>
      </c>
      <c r="P99" s="2" t="s">
        <v>397</v>
      </c>
    </row>
    <row r="100" spans="1:16" x14ac:dyDescent="0.25">
      <c r="A100" s="2" t="s">
        <v>398</v>
      </c>
      <c r="B100" s="2" t="s">
        <v>136</v>
      </c>
      <c r="C100" s="8">
        <v>46206</v>
      </c>
      <c r="D100" s="6">
        <v>46204</v>
      </c>
      <c r="E100" s="2" t="s">
        <v>260</v>
      </c>
      <c r="F100" s="2" t="s">
        <v>399</v>
      </c>
      <c r="G100" s="6">
        <v>46174</v>
      </c>
      <c r="H100" s="2" t="s">
        <v>71</v>
      </c>
      <c r="I100" s="2" t="s">
        <v>70</v>
      </c>
      <c r="J100" s="9">
        <v>12614.120301000001</v>
      </c>
      <c r="K100" s="7">
        <v>0.65800000000000003</v>
      </c>
      <c r="L100" s="9">
        <v>8300.09</v>
      </c>
      <c r="M100" s="9">
        <v>8388.39</v>
      </c>
      <c r="N100" s="9">
        <v>4.57</v>
      </c>
      <c r="O100" s="10">
        <f>IF(AND(OR(H100="APPROVED",H100="SCHEDULED"),COUNTIFS(tblSource[EventID],F100,tblSource[ReleaseStatus],"APPROVED")=1,COUNTIFS(Period_Status!$A$2:$A$8,G100,Period_Status!$B$2:$B$8,"ActualClosed")=1,C100&gt;EOMONTH(Settlement_Bridge!$C$2,0)),1,0)</f>
        <v>0</v>
      </c>
      <c r="P100" s="2" t="s">
        <v>400</v>
      </c>
    </row>
    <row r="101" spans="1:16" x14ac:dyDescent="0.25">
      <c r="A101" s="2" t="s">
        <v>401</v>
      </c>
      <c r="B101" s="2" t="s">
        <v>136</v>
      </c>
      <c r="C101" s="8">
        <v>46207</v>
      </c>
      <c r="D101" s="6">
        <v>46204</v>
      </c>
      <c r="E101" s="2" t="s">
        <v>260</v>
      </c>
      <c r="F101" s="2" t="s">
        <v>402</v>
      </c>
      <c r="G101" s="6">
        <v>46174</v>
      </c>
      <c r="H101" s="2" t="s">
        <v>71</v>
      </c>
      <c r="I101" s="2" t="s">
        <v>39</v>
      </c>
      <c r="J101" s="9">
        <v>8561.4</v>
      </c>
      <c r="K101" s="7">
        <v>1</v>
      </c>
      <c r="L101" s="9">
        <v>8561.4</v>
      </c>
      <c r="M101" s="9">
        <v>8561.4</v>
      </c>
      <c r="N101" s="9">
        <v>4.71</v>
      </c>
      <c r="O101" s="10">
        <f>IF(AND(OR(H101="APPROVED",H101="SCHEDULED"),COUNTIFS(tblSource[EventID],F101,tblSource[ReleaseStatus],"APPROVED")=1,COUNTIFS(Period_Status!$A$2:$A$8,G101,Period_Status!$B$2:$B$8,"ActualClosed")=1,C101&gt;EOMONTH(Settlement_Bridge!$C$2,0)),1,0)</f>
        <v>0</v>
      </c>
      <c r="P101" s="2" t="s">
        <v>403</v>
      </c>
    </row>
    <row r="102" spans="1:16" x14ac:dyDescent="0.25">
      <c r="A102" s="2" t="s">
        <v>404</v>
      </c>
      <c r="B102" s="2" t="s">
        <v>136</v>
      </c>
      <c r="C102" s="8">
        <v>46208</v>
      </c>
      <c r="D102" s="6">
        <v>46204</v>
      </c>
      <c r="E102" s="2" t="s">
        <v>260</v>
      </c>
      <c r="F102" s="2" t="s">
        <v>405</v>
      </c>
      <c r="G102" s="6">
        <v>46174</v>
      </c>
      <c r="H102" s="2" t="s">
        <v>71</v>
      </c>
      <c r="I102" s="2" t="s">
        <v>76</v>
      </c>
      <c r="J102" s="9">
        <v>-139750560</v>
      </c>
      <c r="K102" s="7">
        <v>6.2000000000000003E-5</v>
      </c>
      <c r="L102" s="9">
        <v>-8664.5300000000007</v>
      </c>
      <c r="M102" s="9">
        <v>-8734.41</v>
      </c>
      <c r="N102" s="9">
        <v>0</v>
      </c>
      <c r="O102" s="10">
        <f>IF(AND(OR(H102="APPROVED",H102="SCHEDULED"),COUNTIFS(tblSource[EventID],F102,tblSource[ReleaseStatus],"APPROVED")=1,COUNTIFS(Period_Status!$A$2:$A$8,G102,Period_Status!$B$2:$B$8,"ActualClosed")=1,C102&gt;EOMONTH(Settlement_Bridge!$C$2,0)),1,0)</f>
        <v>0</v>
      </c>
      <c r="P102" s="2" t="s">
        <v>406</v>
      </c>
    </row>
    <row r="103" spans="1:16" x14ac:dyDescent="0.25">
      <c r="A103" s="2" t="s">
        <v>407</v>
      </c>
      <c r="B103" s="2" t="s">
        <v>136</v>
      </c>
      <c r="C103" s="8">
        <v>46209</v>
      </c>
      <c r="D103" s="6">
        <v>46204</v>
      </c>
      <c r="E103" s="2" t="s">
        <v>260</v>
      </c>
      <c r="F103" s="2" t="s">
        <v>408</v>
      </c>
      <c r="G103" s="6">
        <v>46174</v>
      </c>
      <c r="H103" s="2" t="s">
        <v>71</v>
      </c>
      <c r="I103" s="2" t="s">
        <v>70</v>
      </c>
      <c r="J103" s="9">
        <v>13394.616540999999</v>
      </c>
      <c r="K103" s="7">
        <v>0.65800000000000003</v>
      </c>
      <c r="L103" s="9">
        <v>8813.66</v>
      </c>
      <c r="M103" s="9">
        <v>8907.42</v>
      </c>
      <c r="N103" s="9">
        <v>4.8499999999999996</v>
      </c>
      <c r="O103" s="10">
        <f>IF(AND(OR(H103="APPROVED",H103="SCHEDULED"),COUNTIFS(tblSource[EventID],F103,tblSource[ReleaseStatus],"APPROVED")=1,COUNTIFS(Period_Status!$A$2:$A$8,G103,Period_Status!$B$2:$B$8,"ActualClosed")=1,C103&gt;EOMONTH(Settlement_Bridge!$C$2,0)),1,0)</f>
        <v>0</v>
      </c>
      <c r="P103" s="2" t="s">
        <v>409</v>
      </c>
    </row>
    <row r="104" spans="1:16" x14ac:dyDescent="0.25">
      <c r="A104" s="2" t="s">
        <v>410</v>
      </c>
      <c r="B104" s="2" t="s">
        <v>136</v>
      </c>
      <c r="C104" s="8">
        <v>46210</v>
      </c>
      <c r="D104" s="6">
        <v>46204</v>
      </c>
      <c r="E104" s="2" t="s">
        <v>260</v>
      </c>
      <c r="F104" s="2" t="s">
        <v>411</v>
      </c>
      <c r="G104" s="6">
        <v>46174</v>
      </c>
      <c r="H104" s="2" t="s">
        <v>71</v>
      </c>
      <c r="I104" s="2" t="s">
        <v>39</v>
      </c>
      <c r="J104" s="9">
        <v>9080.43</v>
      </c>
      <c r="K104" s="7">
        <v>1</v>
      </c>
      <c r="L104" s="9">
        <v>9080.43</v>
      </c>
      <c r="M104" s="9">
        <v>9080.43</v>
      </c>
      <c r="N104" s="9">
        <v>4.99</v>
      </c>
      <c r="O104" s="10">
        <f>IF(AND(OR(H104="APPROVED",H104="SCHEDULED"),COUNTIFS(tblSource[EventID],F104,tblSource[ReleaseStatus],"APPROVED")=1,COUNTIFS(Period_Status!$A$2:$A$8,G104,Period_Status!$B$2:$B$8,"ActualClosed")=1,C104&gt;EOMONTH(Settlement_Bridge!$C$2,0)),1,0)</f>
        <v>0</v>
      </c>
      <c r="P104" s="2" t="s">
        <v>412</v>
      </c>
    </row>
    <row r="105" spans="1:16" x14ac:dyDescent="0.25">
      <c r="A105" s="2" t="s">
        <v>413</v>
      </c>
      <c r="B105" s="2" t="s">
        <v>136</v>
      </c>
      <c r="C105" s="8">
        <v>46201</v>
      </c>
      <c r="D105" s="6">
        <v>46174</v>
      </c>
      <c r="E105" s="2" t="s">
        <v>260</v>
      </c>
      <c r="F105" s="2" t="s">
        <v>414</v>
      </c>
      <c r="G105" s="6">
        <v>46174</v>
      </c>
      <c r="H105" s="2" t="s">
        <v>71</v>
      </c>
      <c r="I105" s="2" t="s">
        <v>76</v>
      </c>
      <c r="J105" s="9">
        <v>59222016</v>
      </c>
      <c r="K105" s="7">
        <v>6.2500000000000001E-5</v>
      </c>
      <c r="L105" s="9">
        <v>3701.38</v>
      </c>
      <c r="M105" s="9">
        <v>3701.38</v>
      </c>
      <c r="N105" s="9">
        <v>2.04</v>
      </c>
      <c r="O105" s="10">
        <f>IF(AND(OR(H105="APPROVED",H105="SCHEDULED"),COUNTIFS(tblSource[EventID],F105,tblSource[ReleaseStatus],"APPROVED")=1,COUNTIFS(Period_Status!$A$2:$A$8,G105,Period_Status!$B$2:$B$8,"ActualClosed")=1,C105&gt;EOMONTH(Settlement_Bridge!$C$2,0)),1,0)</f>
        <v>0</v>
      </c>
      <c r="P105" s="2" t="s">
        <v>415</v>
      </c>
    </row>
    <row r="106" spans="1:16" x14ac:dyDescent="0.25">
      <c r="A106" s="2" t="s">
        <v>416</v>
      </c>
      <c r="B106" s="2" t="s">
        <v>136</v>
      </c>
      <c r="C106" s="8">
        <v>46226</v>
      </c>
      <c r="D106" s="6">
        <v>46204</v>
      </c>
      <c r="E106" s="2" t="s">
        <v>260</v>
      </c>
      <c r="F106" s="2" t="s">
        <v>414</v>
      </c>
      <c r="G106" s="6">
        <v>46174</v>
      </c>
      <c r="H106" s="2" t="s">
        <v>71</v>
      </c>
      <c r="I106" s="2" t="s">
        <v>76</v>
      </c>
      <c r="J106" s="9">
        <v>88833024</v>
      </c>
      <c r="K106" s="7">
        <v>6.2000000000000003E-5</v>
      </c>
      <c r="L106" s="9">
        <v>5507.65</v>
      </c>
      <c r="M106" s="9">
        <v>5552.06</v>
      </c>
      <c r="N106" s="9">
        <v>3.03</v>
      </c>
      <c r="O106" s="10">
        <f>IF(AND(OR(H106="APPROVED",H106="SCHEDULED"),COUNTIFS(tblSource[EventID],F106,tblSource[ReleaseStatus],"APPROVED")=1,COUNTIFS(Period_Status!$A$2:$A$8,G106,Period_Status!$B$2:$B$8,"ActualClosed")=1,C106&gt;EOMONTH(Settlement_Bridge!$C$2,0)),1,0)</f>
        <v>0</v>
      </c>
      <c r="P106" s="2" t="s">
        <v>417</v>
      </c>
    </row>
    <row r="107" spans="1:16" x14ac:dyDescent="0.25">
      <c r="A107" s="2" t="s">
        <v>418</v>
      </c>
      <c r="B107" s="2" t="s">
        <v>136</v>
      </c>
      <c r="C107" s="8">
        <v>46202</v>
      </c>
      <c r="D107" s="6">
        <v>46174</v>
      </c>
      <c r="E107" s="2" t="s">
        <v>260</v>
      </c>
      <c r="F107" s="2" t="s">
        <v>419</v>
      </c>
      <c r="G107" s="6">
        <v>46174</v>
      </c>
      <c r="H107" s="2" t="s">
        <v>71</v>
      </c>
      <c r="I107" s="2" t="s">
        <v>70</v>
      </c>
      <c r="J107" s="9">
        <v>5670.0451130000001</v>
      </c>
      <c r="K107" s="7">
        <v>0.66500000000000004</v>
      </c>
      <c r="L107" s="9">
        <v>3770.58</v>
      </c>
      <c r="M107" s="9">
        <v>3770.58</v>
      </c>
      <c r="N107" s="9">
        <v>2.0699999999999998</v>
      </c>
      <c r="O107" s="10">
        <f>IF(AND(OR(H107="APPROVED",H107="SCHEDULED"),COUNTIFS(tblSource[EventID],F107,tblSource[ReleaseStatus],"APPROVED")=1,COUNTIFS(Period_Status!$A$2:$A$8,G107,Period_Status!$B$2:$B$8,"ActualClosed")=1,C107&gt;EOMONTH(Settlement_Bridge!$C$2,0)),1,0)</f>
        <v>0</v>
      </c>
      <c r="P107" s="2" t="s">
        <v>420</v>
      </c>
    </row>
    <row r="108" spans="1:16" x14ac:dyDescent="0.25">
      <c r="A108" s="2" t="s">
        <v>421</v>
      </c>
      <c r="B108" s="2" t="s">
        <v>136</v>
      </c>
      <c r="C108" s="8">
        <v>46227</v>
      </c>
      <c r="D108" s="6">
        <v>46204</v>
      </c>
      <c r="E108" s="2" t="s">
        <v>260</v>
      </c>
      <c r="F108" s="2" t="s">
        <v>419</v>
      </c>
      <c r="G108" s="6">
        <v>46174</v>
      </c>
      <c r="H108" s="2" t="s">
        <v>71</v>
      </c>
      <c r="I108" s="2" t="s">
        <v>70</v>
      </c>
      <c r="J108" s="9">
        <v>8505.067669</v>
      </c>
      <c r="K108" s="7">
        <v>0.65800000000000003</v>
      </c>
      <c r="L108" s="9">
        <v>5596.33</v>
      </c>
      <c r="M108" s="9">
        <v>5655.87</v>
      </c>
      <c r="N108" s="9">
        <v>3.08</v>
      </c>
      <c r="O108" s="10">
        <f>IF(AND(OR(H108="APPROVED",H108="SCHEDULED"),COUNTIFS(tblSource[EventID],F108,tblSource[ReleaseStatus],"APPROVED")=1,COUNTIFS(Period_Status!$A$2:$A$8,G108,Period_Status!$B$2:$B$8,"ActualClosed")=1,C108&gt;EOMONTH(Settlement_Bridge!$C$2,0)),1,0)</f>
        <v>0</v>
      </c>
      <c r="P108" s="2" t="s">
        <v>422</v>
      </c>
    </row>
    <row r="109" spans="1:16" x14ac:dyDescent="0.25">
      <c r="A109" s="2" t="s">
        <v>423</v>
      </c>
      <c r="B109" s="2" t="s">
        <v>136</v>
      </c>
      <c r="C109" s="8">
        <v>46213</v>
      </c>
      <c r="D109" s="6">
        <v>46204</v>
      </c>
      <c r="E109" s="2" t="s">
        <v>260</v>
      </c>
      <c r="F109" s="2" t="s">
        <v>424</v>
      </c>
      <c r="G109" s="6">
        <v>46174</v>
      </c>
      <c r="H109" s="2" t="s">
        <v>71</v>
      </c>
      <c r="I109" s="2" t="s">
        <v>39</v>
      </c>
      <c r="J109" s="9">
        <v>9599.4599999999991</v>
      </c>
      <c r="K109" s="7">
        <v>1</v>
      </c>
      <c r="L109" s="9">
        <v>9599.4599999999991</v>
      </c>
      <c r="M109" s="9">
        <v>9599.4599999999991</v>
      </c>
      <c r="N109" s="9">
        <v>5.28</v>
      </c>
      <c r="O109" s="10">
        <f>IF(AND(OR(H109="APPROVED",H109="SCHEDULED"),COUNTIFS(tblSource[EventID],F109,tblSource[ReleaseStatus],"APPROVED")=1,COUNTIFS(Period_Status!$A$2:$A$8,G109,Period_Status!$B$2:$B$8,"ActualClosed")=1,C109&gt;EOMONTH(Settlement_Bridge!$C$2,0)),1,0)</f>
        <v>0</v>
      </c>
      <c r="P109" s="2" t="s">
        <v>425</v>
      </c>
    </row>
    <row r="110" spans="1:16" x14ac:dyDescent="0.25">
      <c r="A110" s="2" t="s">
        <v>426</v>
      </c>
      <c r="B110" s="2" t="s">
        <v>136</v>
      </c>
      <c r="C110" s="8">
        <v>46214</v>
      </c>
      <c r="D110" s="6">
        <v>46204</v>
      </c>
      <c r="E110" s="2" t="s">
        <v>260</v>
      </c>
      <c r="F110" s="2" t="s">
        <v>427</v>
      </c>
      <c r="G110" s="6">
        <v>46174</v>
      </c>
      <c r="H110" s="2" t="s">
        <v>71</v>
      </c>
      <c r="I110" s="2" t="s">
        <v>76</v>
      </c>
      <c r="J110" s="9">
        <v>156359520</v>
      </c>
      <c r="K110" s="7">
        <v>6.2000000000000003E-5</v>
      </c>
      <c r="L110" s="9">
        <v>9694.2900000000009</v>
      </c>
      <c r="M110" s="9">
        <v>9772.4699999999993</v>
      </c>
      <c r="N110" s="9">
        <v>5.33</v>
      </c>
      <c r="O110" s="10">
        <f>IF(AND(OR(H110="APPROVED",H110="SCHEDULED"),COUNTIFS(tblSource[EventID],F110,tblSource[ReleaseStatus],"APPROVED")=1,COUNTIFS(Period_Status!$A$2:$A$8,G110,Period_Status!$B$2:$B$8,"ActualClosed")=1,C110&gt;EOMONTH(Settlement_Bridge!$C$2,0)),1,0)</f>
        <v>0</v>
      </c>
      <c r="P110" s="2" t="s">
        <v>428</v>
      </c>
    </row>
    <row r="111" spans="1:16" x14ac:dyDescent="0.25">
      <c r="A111" s="2" t="s">
        <v>429</v>
      </c>
      <c r="B111" s="2" t="s">
        <v>136</v>
      </c>
      <c r="C111" s="8">
        <v>46205</v>
      </c>
      <c r="D111" s="6">
        <v>46204</v>
      </c>
      <c r="E111" s="2" t="s">
        <v>260</v>
      </c>
      <c r="F111" s="2" t="s">
        <v>430</v>
      </c>
      <c r="G111" s="6">
        <v>46174</v>
      </c>
      <c r="H111" s="2" t="s">
        <v>71</v>
      </c>
      <c r="I111" s="2" t="s">
        <v>70</v>
      </c>
      <c r="J111" s="9">
        <v>5982.2436090000001</v>
      </c>
      <c r="K111" s="7">
        <v>0.65800000000000003</v>
      </c>
      <c r="L111" s="9">
        <v>3936.32</v>
      </c>
      <c r="M111" s="9">
        <v>3978.19</v>
      </c>
      <c r="N111" s="9">
        <v>2.16</v>
      </c>
      <c r="O111" s="10">
        <f>IF(AND(OR(H111="APPROVED",H111="SCHEDULED"),COUNTIFS(tblSource[EventID],F111,tblSource[ReleaseStatus],"APPROVED")=1,COUNTIFS(Period_Status!$A$2:$A$8,G111,Period_Status!$B$2:$B$8,"ActualClosed")=1,C111&gt;EOMONTH(Settlement_Bridge!$C$2,0)),1,0)</f>
        <v>0</v>
      </c>
      <c r="P111" s="2" t="s">
        <v>431</v>
      </c>
    </row>
    <row r="112" spans="1:16" x14ac:dyDescent="0.25">
      <c r="A112" s="2" t="s">
        <v>432</v>
      </c>
      <c r="B112" s="2" t="s">
        <v>136</v>
      </c>
      <c r="C112" s="8">
        <v>46230</v>
      </c>
      <c r="D112" s="6">
        <v>46204</v>
      </c>
      <c r="E112" s="2" t="s">
        <v>260</v>
      </c>
      <c r="F112" s="2" t="s">
        <v>430</v>
      </c>
      <c r="G112" s="6">
        <v>46174</v>
      </c>
      <c r="H112" s="2" t="s">
        <v>71</v>
      </c>
      <c r="I112" s="2" t="s">
        <v>70</v>
      </c>
      <c r="J112" s="9">
        <v>8973.3654139999999</v>
      </c>
      <c r="K112" s="7">
        <v>0.65800000000000003</v>
      </c>
      <c r="L112" s="9">
        <v>5904.47</v>
      </c>
      <c r="M112" s="9">
        <v>5967.29</v>
      </c>
      <c r="N112" s="9">
        <v>3.25</v>
      </c>
      <c r="O112" s="10">
        <f>IF(AND(OR(H112="APPROVED",H112="SCHEDULED"),COUNTIFS(tblSource[EventID],F112,tblSource[ReleaseStatus],"APPROVED")=1,COUNTIFS(Period_Status!$A$2:$A$8,G112,Period_Status!$B$2:$B$8,"ActualClosed")=1,C112&gt;EOMONTH(Settlement_Bridge!$C$2,0)),1,0)</f>
        <v>0</v>
      </c>
      <c r="P112" s="2" t="s">
        <v>433</v>
      </c>
    </row>
    <row r="113" spans="1:16" x14ac:dyDescent="0.25">
      <c r="A113" s="2" t="s">
        <v>434</v>
      </c>
      <c r="B113" s="2" t="s">
        <v>136</v>
      </c>
      <c r="C113" s="8">
        <v>46216</v>
      </c>
      <c r="D113" s="6">
        <v>46204</v>
      </c>
      <c r="E113" s="2" t="s">
        <v>260</v>
      </c>
      <c r="F113" s="2" t="s">
        <v>435</v>
      </c>
      <c r="G113" s="6">
        <v>46174</v>
      </c>
      <c r="H113" s="2" t="s">
        <v>71</v>
      </c>
      <c r="I113" s="2" t="s">
        <v>39</v>
      </c>
      <c r="J113" s="9">
        <v>10118.49</v>
      </c>
      <c r="K113" s="7">
        <v>1</v>
      </c>
      <c r="L113" s="9">
        <v>10118.49</v>
      </c>
      <c r="M113" s="9">
        <v>10118.49</v>
      </c>
      <c r="N113" s="9">
        <v>5.57</v>
      </c>
      <c r="O113" s="10">
        <f>IF(AND(OR(H113="APPROVED",H113="SCHEDULED"),COUNTIFS(tblSource[EventID],F113,tblSource[ReleaseStatus],"APPROVED")=1,COUNTIFS(Period_Status!$A$2:$A$8,G113,Period_Status!$B$2:$B$8,"ActualClosed")=1,C113&gt;EOMONTH(Settlement_Bridge!$C$2,0)),1,0)</f>
        <v>0</v>
      </c>
      <c r="P113" s="2" t="s">
        <v>436</v>
      </c>
    </row>
    <row r="114" spans="1:16" x14ac:dyDescent="0.25">
      <c r="A114" s="2" t="s">
        <v>437</v>
      </c>
      <c r="B114" s="2" t="s">
        <v>136</v>
      </c>
      <c r="C114" s="8">
        <v>46217</v>
      </c>
      <c r="D114" s="6">
        <v>46204</v>
      </c>
      <c r="E114" s="2" t="s">
        <v>260</v>
      </c>
      <c r="F114" s="2" t="s">
        <v>438</v>
      </c>
      <c r="G114" s="6">
        <v>46174</v>
      </c>
      <c r="H114" s="2" t="s">
        <v>71</v>
      </c>
      <c r="I114" s="2" t="s">
        <v>76</v>
      </c>
      <c r="J114" s="9">
        <v>164664000</v>
      </c>
      <c r="K114" s="7">
        <v>6.2000000000000003E-5</v>
      </c>
      <c r="L114" s="9">
        <v>10209.17</v>
      </c>
      <c r="M114" s="9">
        <v>10291.5</v>
      </c>
      <c r="N114" s="9">
        <v>5.62</v>
      </c>
      <c r="O114" s="10">
        <f>IF(AND(OR(H114="APPROVED",H114="SCHEDULED"),COUNTIFS(tblSource[EventID],F114,tblSource[ReleaseStatus],"APPROVED")=1,COUNTIFS(Period_Status!$A$2:$A$8,G114,Period_Status!$B$2:$B$8,"ActualClosed")=1,C114&gt;EOMONTH(Settlement_Bridge!$C$2,0)),1,0)</f>
        <v>0</v>
      </c>
      <c r="P114" s="2" t="s">
        <v>439</v>
      </c>
    </row>
    <row r="115" spans="1:16" x14ac:dyDescent="0.25">
      <c r="A115" s="2" t="s">
        <v>440</v>
      </c>
      <c r="B115" s="2" t="s">
        <v>136</v>
      </c>
      <c r="C115" s="8">
        <v>46218</v>
      </c>
      <c r="D115" s="6">
        <v>46204</v>
      </c>
      <c r="E115" s="2" t="s">
        <v>260</v>
      </c>
      <c r="F115" s="2" t="s">
        <v>441</v>
      </c>
      <c r="G115" s="6">
        <v>46174</v>
      </c>
      <c r="H115" s="2" t="s">
        <v>71</v>
      </c>
      <c r="I115" s="2" t="s">
        <v>70</v>
      </c>
      <c r="J115" s="9">
        <v>15736.105262999999</v>
      </c>
      <c r="K115" s="7">
        <v>0.65800000000000003</v>
      </c>
      <c r="L115" s="9">
        <v>10354.36</v>
      </c>
      <c r="M115" s="9">
        <v>10464.51</v>
      </c>
      <c r="N115" s="9">
        <v>5.69</v>
      </c>
      <c r="O115" s="10">
        <f>IF(AND(OR(H115="APPROVED",H115="SCHEDULED"),COUNTIFS(tblSource[EventID],F115,tblSource[ReleaseStatus],"APPROVED")=1,COUNTIFS(Period_Status!$A$2:$A$8,G115,Period_Status!$B$2:$B$8,"ActualClosed")=1,C115&gt;EOMONTH(Settlement_Bridge!$C$2,0)),1,0)</f>
        <v>0</v>
      </c>
      <c r="P115" s="2" t="s">
        <v>442</v>
      </c>
    </row>
    <row r="116" spans="1:16" x14ac:dyDescent="0.25">
      <c r="A116" s="2" t="s">
        <v>443</v>
      </c>
      <c r="B116" s="2" t="s">
        <v>136</v>
      </c>
      <c r="C116" s="8">
        <v>46219</v>
      </c>
      <c r="D116" s="6">
        <v>46204</v>
      </c>
      <c r="E116" s="2" t="s">
        <v>260</v>
      </c>
      <c r="F116" s="2" t="s">
        <v>444</v>
      </c>
      <c r="G116" s="6">
        <v>46174</v>
      </c>
      <c r="H116" s="2" t="s">
        <v>71</v>
      </c>
      <c r="I116" s="2" t="s">
        <v>39</v>
      </c>
      <c r="J116" s="9">
        <v>10637.52</v>
      </c>
      <c r="K116" s="7">
        <v>1</v>
      </c>
      <c r="L116" s="9">
        <v>10637.52</v>
      </c>
      <c r="M116" s="9">
        <v>10637.52</v>
      </c>
      <c r="N116" s="9">
        <v>5.85</v>
      </c>
      <c r="O116" s="10">
        <f>IF(AND(OR(H116="APPROVED",H116="SCHEDULED"),COUNTIFS(tblSource[EventID],F116,tblSource[ReleaseStatus],"APPROVED")=1,COUNTIFS(Period_Status!$A$2:$A$8,G116,Period_Status!$B$2:$B$8,"ActualClosed")=1,C116&gt;EOMONTH(Settlement_Bridge!$C$2,0)),1,0)</f>
        <v>0</v>
      </c>
      <c r="P116" s="2" t="s">
        <v>445</v>
      </c>
    </row>
    <row r="117" spans="1:16" x14ac:dyDescent="0.25">
      <c r="A117" s="2" t="s">
        <v>446</v>
      </c>
      <c r="B117" s="2" t="s">
        <v>136</v>
      </c>
      <c r="C117" s="8">
        <v>46220</v>
      </c>
      <c r="D117" s="6">
        <v>46204</v>
      </c>
      <c r="E117" s="2" t="s">
        <v>260</v>
      </c>
      <c r="F117" s="2" t="s">
        <v>447</v>
      </c>
      <c r="G117" s="6">
        <v>46174</v>
      </c>
      <c r="H117" s="2" t="s">
        <v>71</v>
      </c>
      <c r="I117" s="2" t="s">
        <v>76</v>
      </c>
      <c r="J117" s="9">
        <v>172968480</v>
      </c>
      <c r="K117" s="7">
        <v>6.2000000000000003E-5</v>
      </c>
      <c r="L117" s="9">
        <v>10724.05</v>
      </c>
      <c r="M117" s="9">
        <v>10810.53</v>
      </c>
      <c r="N117" s="9">
        <v>5.9</v>
      </c>
      <c r="O117" s="10">
        <f>IF(AND(OR(H117="APPROVED",H117="SCHEDULED"),COUNTIFS(tblSource[EventID],F117,tblSource[ReleaseStatus],"APPROVED")=1,COUNTIFS(Period_Status!$A$2:$A$8,G117,Period_Status!$B$2:$B$8,"ActualClosed")=1,C117&gt;EOMONTH(Settlement_Bridge!$C$2,0)),1,0)</f>
        <v>0</v>
      </c>
      <c r="P117" s="2" t="s">
        <v>448</v>
      </c>
    </row>
    <row r="118" spans="1:16" x14ac:dyDescent="0.25">
      <c r="A118" s="2" t="s">
        <v>449</v>
      </c>
      <c r="B118" s="2" t="s">
        <v>136</v>
      </c>
      <c r="C118" s="8">
        <v>46211</v>
      </c>
      <c r="D118" s="6">
        <v>46204</v>
      </c>
      <c r="E118" s="2" t="s">
        <v>260</v>
      </c>
      <c r="F118" s="2" t="s">
        <v>450</v>
      </c>
      <c r="G118" s="6">
        <v>46174</v>
      </c>
      <c r="H118" s="2" t="s">
        <v>71</v>
      </c>
      <c r="I118" s="2" t="s">
        <v>70</v>
      </c>
      <c r="J118" s="9">
        <v>6606.6406020000004</v>
      </c>
      <c r="K118" s="7">
        <v>0.65800000000000003</v>
      </c>
      <c r="L118" s="9">
        <v>4347.17</v>
      </c>
      <c r="M118" s="9">
        <v>4393.42</v>
      </c>
      <c r="N118" s="9">
        <v>2.39</v>
      </c>
      <c r="O118" s="10">
        <f>IF(AND(OR(H118="APPROVED",H118="SCHEDULED"),COUNTIFS(tblSource[EventID],F118,tblSource[ReleaseStatus],"APPROVED")=1,COUNTIFS(Period_Status!$A$2:$A$8,G118,Period_Status!$B$2:$B$8,"ActualClosed")=1,C118&gt;EOMONTH(Settlement_Bridge!$C$2,0)),1,0)</f>
        <v>0</v>
      </c>
      <c r="P118" s="2" t="s">
        <v>451</v>
      </c>
    </row>
    <row r="119" spans="1:16" x14ac:dyDescent="0.25">
      <c r="A119" s="2" t="s">
        <v>452</v>
      </c>
      <c r="B119" s="2" t="s">
        <v>136</v>
      </c>
      <c r="C119" s="8">
        <v>46236</v>
      </c>
      <c r="D119" s="6">
        <v>46235</v>
      </c>
      <c r="E119" s="2" t="s">
        <v>260</v>
      </c>
      <c r="F119" s="2" t="s">
        <v>450</v>
      </c>
      <c r="G119" s="6">
        <v>46174</v>
      </c>
      <c r="H119" s="2" t="s">
        <v>71</v>
      </c>
      <c r="I119" s="2" t="s">
        <v>70</v>
      </c>
      <c r="J119" s="9">
        <v>9909.9609020000007</v>
      </c>
      <c r="K119" s="7">
        <v>0.65</v>
      </c>
      <c r="L119" s="9">
        <v>6441.47</v>
      </c>
      <c r="M119" s="9">
        <v>6590.12</v>
      </c>
      <c r="N119" s="9">
        <v>3.54</v>
      </c>
      <c r="O119" s="10">
        <f>IF(AND(OR(H119="APPROVED",H119="SCHEDULED"),COUNTIFS(tblSource[EventID],F119,tblSource[ReleaseStatus],"APPROVED")=1,COUNTIFS(Period_Status!$A$2:$A$8,G119,Period_Status!$B$2:$B$8,"ActualClosed")=1,C119&gt;EOMONTH(Settlement_Bridge!$C$2,0)),1,0)</f>
        <v>1</v>
      </c>
      <c r="P119" s="2" t="s">
        <v>453</v>
      </c>
    </row>
    <row r="120" spans="1:16" x14ac:dyDescent="0.25">
      <c r="A120" s="2" t="s">
        <v>454</v>
      </c>
      <c r="B120" s="2" t="s">
        <v>136</v>
      </c>
      <c r="C120" s="8">
        <v>46212</v>
      </c>
      <c r="D120" s="6">
        <v>46204</v>
      </c>
      <c r="E120" s="2" t="s">
        <v>260</v>
      </c>
      <c r="F120" s="2" t="s">
        <v>455</v>
      </c>
      <c r="G120" s="6">
        <v>46174</v>
      </c>
      <c r="H120" s="2" t="s">
        <v>71</v>
      </c>
      <c r="I120" s="2" t="s">
        <v>39</v>
      </c>
      <c r="J120" s="9">
        <v>4462.62</v>
      </c>
      <c r="K120" s="7">
        <v>1</v>
      </c>
      <c r="L120" s="9">
        <v>4462.62</v>
      </c>
      <c r="M120" s="9">
        <v>4462.62</v>
      </c>
      <c r="N120" s="9">
        <v>2.4500000000000002</v>
      </c>
      <c r="O120" s="10">
        <f>IF(AND(OR(H120="APPROVED",H120="SCHEDULED"),COUNTIFS(tblSource[EventID],F120,tblSource[ReleaseStatus],"APPROVED")=1,COUNTIFS(Period_Status!$A$2:$A$8,G120,Period_Status!$B$2:$B$8,"ActualClosed")=1,C120&gt;EOMONTH(Settlement_Bridge!$C$2,0)),1,0)</f>
        <v>0</v>
      </c>
      <c r="P120" s="2" t="s">
        <v>456</v>
      </c>
    </row>
    <row r="121" spans="1:16" x14ac:dyDescent="0.25">
      <c r="A121" s="2" t="s">
        <v>457</v>
      </c>
      <c r="B121" s="2" t="s">
        <v>136</v>
      </c>
      <c r="C121" s="8">
        <v>46237</v>
      </c>
      <c r="D121" s="6">
        <v>46235</v>
      </c>
      <c r="E121" s="2" t="s">
        <v>260</v>
      </c>
      <c r="F121" s="2" t="s">
        <v>455</v>
      </c>
      <c r="G121" s="6">
        <v>46174</v>
      </c>
      <c r="H121" s="2" t="s">
        <v>71</v>
      </c>
      <c r="I121" s="2" t="s">
        <v>39</v>
      </c>
      <c r="J121" s="9">
        <v>6693.93</v>
      </c>
      <c r="K121" s="7">
        <v>1</v>
      </c>
      <c r="L121" s="9">
        <v>6693.93</v>
      </c>
      <c r="M121" s="9">
        <v>6693.93</v>
      </c>
      <c r="N121" s="9">
        <v>3.68</v>
      </c>
      <c r="O121" s="10">
        <f>IF(AND(OR(H121="APPROVED",H121="SCHEDULED"),COUNTIFS(tblSource[EventID],F121,tblSource[ReleaseStatus],"APPROVED")=1,COUNTIFS(Period_Status!$A$2:$A$8,G121,Period_Status!$B$2:$B$8,"ActualClosed")=1,C121&gt;EOMONTH(Settlement_Bridge!$C$2,0)),1,0)</f>
        <v>1</v>
      </c>
      <c r="P121" s="2" t="s">
        <v>458</v>
      </c>
    </row>
    <row r="122" spans="1:16" x14ac:dyDescent="0.25">
      <c r="A122" s="2" t="s">
        <v>459</v>
      </c>
      <c r="B122" s="2" t="s">
        <v>136</v>
      </c>
      <c r="C122" s="8">
        <v>46223</v>
      </c>
      <c r="D122" s="6">
        <v>46204</v>
      </c>
      <c r="E122" s="2" t="s">
        <v>260</v>
      </c>
      <c r="F122" s="2" t="s">
        <v>460</v>
      </c>
      <c r="G122" s="6">
        <v>46174</v>
      </c>
      <c r="H122" s="2" t="s">
        <v>71</v>
      </c>
      <c r="I122" s="2" t="s">
        <v>76</v>
      </c>
      <c r="J122" s="9">
        <v>181272960</v>
      </c>
      <c r="K122" s="7">
        <v>6.2000000000000003E-5</v>
      </c>
      <c r="L122" s="9">
        <v>11238.92</v>
      </c>
      <c r="M122" s="9">
        <v>11329.56</v>
      </c>
      <c r="N122" s="9">
        <v>6.18</v>
      </c>
      <c r="O122" s="10">
        <f>IF(AND(OR(H122="APPROVED",H122="SCHEDULED"),COUNTIFS(tblSource[EventID],F122,tblSource[ReleaseStatus],"APPROVED")=1,COUNTIFS(Period_Status!$A$2:$A$8,G122,Period_Status!$B$2:$B$8,"ActualClosed")=1,C122&gt;EOMONTH(Settlement_Bridge!$C$2,0)),1,0)</f>
        <v>0</v>
      </c>
      <c r="P122" s="2" t="s">
        <v>461</v>
      </c>
    </row>
    <row r="123" spans="1:16" x14ac:dyDescent="0.25">
      <c r="A123" s="2" t="s">
        <v>462</v>
      </c>
      <c r="B123" s="2" t="s">
        <v>136</v>
      </c>
      <c r="C123" s="8">
        <v>46224</v>
      </c>
      <c r="D123" s="6">
        <v>46204</v>
      </c>
      <c r="E123" s="2" t="s">
        <v>260</v>
      </c>
      <c r="F123" s="2" t="s">
        <v>463</v>
      </c>
      <c r="G123" s="6">
        <v>46174</v>
      </c>
      <c r="H123" s="2" t="s">
        <v>71</v>
      </c>
      <c r="I123" s="2" t="s">
        <v>70</v>
      </c>
      <c r="J123" s="9">
        <v>17297.097743999999</v>
      </c>
      <c r="K123" s="7">
        <v>0.65800000000000003</v>
      </c>
      <c r="L123" s="9">
        <v>11381.49</v>
      </c>
      <c r="M123" s="9">
        <v>11502.57</v>
      </c>
      <c r="N123" s="9">
        <v>6.26</v>
      </c>
      <c r="O123" s="10">
        <f>IF(AND(OR(H123="APPROVED",H123="SCHEDULED"),COUNTIFS(tblSource[EventID],F123,tblSource[ReleaseStatus],"APPROVED")=1,COUNTIFS(Period_Status!$A$2:$A$8,G123,Period_Status!$B$2:$B$8,"ActualClosed")=1,C123&gt;EOMONTH(Settlement_Bridge!$C$2,0)),1,0)</f>
        <v>0</v>
      </c>
      <c r="P123" s="2" t="s">
        <v>464</v>
      </c>
    </row>
    <row r="124" spans="1:16" x14ac:dyDescent="0.25">
      <c r="A124" s="2" t="s">
        <v>465</v>
      </c>
      <c r="B124" s="2" t="s">
        <v>136</v>
      </c>
      <c r="C124" s="8">
        <v>46215</v>
      </c>
      <c r="D124" s="6">
        <v>46204</v>
      </c>
      <c r="E124" s="2" t="s">
        <v>260</v>
      </c>
      <c r="F124" s="2" t="s">
        <v>466</v>
      </c>
      <c r="G124" s="6">
        <v>46174</v>
      </c>
      <c r="H124" s="2" t="s">
        <v>71</v>
      </c>
      <c r="I124" s="2" t="s">
        <v>39</v>
      </c>
      <c r="J124" s="9">
        <v>4670.232</v>
      </c>
      <c r="K124" s="7">
        <v>1</v>
      </c>
      <c r="L124" s="9">
        <v>4670.2299999999996</v>
      </c>
      <c r="M124" s="9">
        <v>4670.2299999999996</v>
      </c>
      <c r="N124" s="9">
        <v>2.57</v>
      </c>
      <c r="O124" s="10">
        <f>IF(AND(OR(H124="APPROVED",H124="SCHEDULED"),COUNTIFS(tblSource[EventID],F124,tblSource[ReleaseStatus],"APPROVED")=1,COUNTIFS(Period_Status!$A$2:$A$8,G124,Period_Status!$B$2:$B$8,"ActualClosed")=1,C124&gt;EOMONTH(Settlement_Bridge!$C$2,0)),1,0)</f>
        <v>0</v>
      </c>
      <c r="P124" s="2" t="s">
        <v>467</v>
      </c>
    </row>
    <row r="125" spans="1:16" x14ac:dyDescent="0.25">
      <c r="A125" s="2" t="s">
        <v>468</v>
      </c>
      <c r="B125" s="2" t="s">
        <v>136</v>
      </c>
      <c r="C125" s="8">
        <v>46240</v>
      </c>
      <c r="D125" s="6">
        <v>46235</v>
      </c>
      <c r="E125" s="2" t="s">
        <v>260</v>
      </c>
      <c r="F125" s="2" t="s">
        <v>466</v>
      </c>
      <c r="G125" s="6">
        <v>46174</v>
      </c>
      <c r="H125" s="2" t="s">
        <v>71</v>
      </c>
      <c r="I125" s="2" t="s">
        <v>39</v>
      </c>
      <c r="J125" s="9">
        <v>7005.348</v>
      </c>
      <c r="K125" s="7">
        <v>1</v>
      </c>
      <c r="L125" s="9">
        <v>7005.35</v>
      </c>
      <c r="M125" s="9">
        <v>7005.35</v>
      </c>
      <c r="N125" s="9">
        <v>3.85</v>
      </c>
      <c r="O125" s="10">
        <f>IF(AND(OR(H125="APPROVED",H125="SCHEDULED"),COUNTIFS(tblSource[EventID],F125,tblSource[ReleaseStatus],"APPROVED")=1,COUNTIFS(Period_Status!$A$2:$A$8,G125,Period_Status!$B$2:$B$8,"ActualClosed")=1,C125&gt;EOMONTH(Settlement_Bridge!$C$2,0)),1,0)</f>
        <v>1</v>
      </c>
      <c r="P125" s="2" t="s">
        <v>469</v>
      </c>
    </row>
    <row r="126" spans="1:16" x14ac:dyDescent="0.25">
      <c r="A126" s="2" t="s">
        <v>470</v>
      </c>
      <c r="B126" s="2" t="s">
        <v>136</v>
      </c>
      <c r="C126" s="8">
        <v>46226</v>
      </c>
      <c r="D126" s="6">
        <v>46204</v>
      </c>
      <c r="E126" s="2" t="s">
        <v>260</v>
      </c>
      <c r="F126" s="2" t="s">
        <v>471</v>
      </c>
      <c r="G126" s="6">
        <v>46174</v>
      </c>
      <c r="H126" s="2" t="s">
        <v>71</v>
      </c>
      <c r="I126" s="2" t="s">
        <v>76</v>
      </c>
      <c r="J126" s="9">
        <v>189577440</v>
      </c>
      <c r="K126" s="7">
        <v>6.2000000000000003E-5</v>
      </c>
      <c r="L126" s="9">
        <v>11753.8</v>
      </c>
      <c r="M126" s="9">
        <v>11848.59</v>
      </c>
      <c r="N126" s="9">
        <v>6.46</v>
      </c>
      <c r="O126" s="10">
        <f>IF(AND(OR(H126="APPROVED",H126="SCHEDULED"),COUNTIFS(tblSource[EventID],F126,tblSource[ReleaseStatus],"APPROVED")=1,COUNTIFS(Period_Status!$A$2:$A$8,G126,Period_Status!$B$2:$B$8,"ActualClosed")=1,C126&gt;EOMONTH(Settlement_Bridge!$C$2,0)),1,0)</f>
        <v>0</v>
      </c>
      <c r="P126" s="2" t="s">
        <v>472</v>
      </c>
    </row>
    <row r="127" spans="1:16" x14ac:dyDescent="0.25">
      <c r="A127" s="2" t="s">
        <v>473</v>
      </c>
      <c r="B127" s="2" t="s">
        <v>136</v>
      </c>
      <c r="C127" s="8">
        <v>46227</v>
      </c>
      <c r="D127" s="6">
        <v>46204</v>
      </c>
      <c r="E127" s="2" t="s">
        <v>260</v>
      </c>
      <c r="F127" s="2" t="s">
        <v>474</v>
      </c>
      <c r="G127" s="6">
        <v>46174</v>
      </c>
      <c r="H127" s="2" t="s">
        <v>71</v>
      </c>
      <c r="I127" s="2" t="s">
        <v>70</v>
      </c>
      <c r="J127" s="9">
        <v>18077.593985</v>
      </c>
      <c r="K127" s="7">
        <v>0.65800000000000003</v>
      </c>
      <c r="L127" s="9">
        <v>11895.06</v>
      </c>
      <c r="M127" s="9">
        <v>12021.6</v>
      </c>
      <c r="N127" s="9">
        <v>6.54</v>
      </c>
      <c r="O127" s="10">
        <f>IF(AND(OR(H127="APPROVED",H127="SCHEDULED"),COUNTIFS(tblSource[EventID],F127,tblSource[ReleaseStatus],"APPROVED")=1,COUNTIFS(Period_Status!$A$2:$A$8,G127,Period_Status!$B$2:$B$8,"ActualClosed")=1,C127&gt;EOMONTH(Settlement_Bridge!$C$2,0)),1,0)</f>
        <v>0</v>
      </c>
      <c r="P127" s="2" t="s">
        <v>475</v>
      </c>
    </row>
    <row r="128" spans="1:16" x14ac:dyDescent="0.25">
      <c r="A128" s="2" t="s">
        <v>476</v>
      </c>
      <c r="B128" s="2" t="s">
        <v>136</v>
      </c>
      <c r="C128" s="8">
        <v>46198</v>
      </c>
      <c r="D128" s="6">
        <v>46174</v>
      </c>
      <c r="E128" s="2" t="s">
        <v>260</v>
      </c>
      <c r="F128" s="2" t="s">
        <v>477</v>
      </c>
      <c r="G128" s="6">
        <v>46174</v>
      </c>
      <c r="H128" s="2" t="s">
        <v>71</v>
      </c>
      <c r="I128" s="2" t="s">
        <v>39</v>
      </c>
      <c r="J128" s="9">
        <v>12194.61</v>
      </c>
      <c r="K128" s="7">
        <v>1</v>
      </c>
      <c r="L128" s="9">
        <v>12194.61</v>
      </c>
      <c r="M128" s="9">
        <v>12194.61</v>
      </c>
      <c r="N128" s="9">
        <v>6.71</v>
      </c>
      <c r="O128" s="10">
        <f>IF(AND(OR(H128="APPROVED",H128="SCHEDULED"),COUNTIFS(tblSource[EventID],F128,tblSource[ReleaseStatus],"APPROVED")=1,COUNTIFS(Period_Status!$A$2:$A$8,G128,Period_Status!$B$2:$B$8,"ActualClosed")=1,C128&gt;EOMONTH(Settlement_Bridge!$C$2,0)),1,0)</f>
        <v>0</v>
      </c>
      <c r="P128" s="2" t="s">
        <v>478</v>
      </c>
    </row>
    <row r="129" spans="1:16" x14ac:dyDescent="0.25">
      <c r="A129" s="2" t="s">
        <v>479</v>
      </c>
      <c r="B129" s="2" t="s">
        <v>136</v>
      </c>
      <c r="C129" s="8">
        <v>46199</v>
      </c>
      <c r="D129" s="6">
        <v>46174</v>
      </c>
      <c r="E129" s="2" t="s">
        <v>260</v>
      </c>
      <c r="F129" s="2" t="s">
        <v>480</v>
      </c>
      <c r="G129" s="6">
        <v>46174</v>
      </c>
      <c r="H129" s="2" t="s">
        <v>71</v>
      </c>
      <c r="I129" s="2" t="s">
        <v>76</v>
      </c>
      <c r="J129" s="9">
        <v>197881920</v>
      </c>
      <c r="K129" s="7">
        <v>6.2500000000000001E-5</v>
      </c>
      <c r="L129" s="9">
        <v>12367.62</v>
      </c>
      <c r="M129" s="9">
        <v>12367.62</v>
      </c>
      <c r="N129" s="9">
        <v>6.8</v>
      </c>
      <c r="O129" s="10">
        <f>IF(AND(OR(H129="APPROVED",H129="SCHEDULED"),COUNTIFS(tblSource[EventID],F129,tblSource[ReleaseStatus],"APPROVED")=1,COUNTIFS(Period_Status!$A$2:$A$8,G129,Period_Status!$B$2:$B$8,"ActualClosed")=1,C129&gt;EOMONTH(Settlement_Bridge!$C$2,0)),1,0)</f>
        <v>0</v>
      </c>
      <c r="P129" s="2" t="s">
        <v>481</v>
      </c>
    </row>
    <row r="130" spans="1:16" x14ac:dyDescent="0.25">
      <c r="A130" s="2" t="s">
        <v>482</v>
      </c>
      <c r="B130" s="2" t="s">
        <v>136</v>
      </c>
      <c r="C130" s="8">
        <v>46200</v>
      </c>
      <c r="D130" s="6">
        <v>46174</v>
      </c>
      <c r="E130" s="2" t="s">
        <v>260</v>
      </c>
      <c r="F130" s="2" t="s">
        <v>483</v>
      </c>
      <c r="G130" s="6">
        <v>46174</v>
      </c>
      <c r="H130" s="2" t="s">
        <v>71</v>
      </c>
      <c r="I130" s="2" t="s">
        <v>70</v>
      </c>
      <c r="J130" s="9">
        <v>18858.090226</v>
      </c>
      <c r="K130" s="7">
        <v>0.66500000000000004</v>
      </c>
      <c r="L130" s="9">
        <v>12540.63</v>
      </c>
      <c r="M130" s="9">
        <v>12540.63</v>
      </c>
      <c r="N130" s="9">
        <v>6.9</v>
      </c>
      <c r="O130" s="10">
        <f>IF(AND(OR(H130="APPROVED",H130="SCHEDULED"),COUNTIFS(tblSource[EventID],F130,tblSource[ReleaseStatus],"APPROVED")=1,COUNTIFS(Period_Status!$A$2:$A$8,G130,Period_Status!$B$2:$B$8,"ActualClosed")=1,C130&gt;EOMONTH(Settlement_Bridge!$C$2,0)),1,0)</f>
        <v>0</v>
      </c>
      <c r="P130" s="2" t="s">
        <v>484</v>
      </c>
    </row>
    <row r="131" spans="1:16" x14ac:dyDescent="0.25">
      <c r="A131" s="2" t="s">
        <v>485</v>
      </c>
      <c r="B131" s="2" t="s">
        <v>136</v>
      </c>
      <c r="C131" s="8">
        <v>46191</v>
      </c>
      <c r="D131" s="6">
        <v>46174</v>
      </c>
      <c r="E131" s="2" t="s">
        <v>260</v>
      </c>
      <c r="F131" s="2" t="s">
        <v>486</v>
      </c>
      <c r="G131" s="6">
        <v>46174</v>
      </c>
      <c r="H131" s="2" t="s">
        <v>71</v>
      </c>
      <c r="I131" s="2" t="s">
        <v>39</v>
      </c>
      <c r="J131" s="9">
        <v>5085.4560000000001</v>
      </c>
      <c r="K131" s="7">
        <v>1</v>
      </c>
      <c r="L131" s="9">
        <v>5085.46</v>
      </c>
      <c r="M131" s="9">
        <v>5085.46</v>
      </c>
      <c r="N131" s="9">
        <v>2.8</v>
      </c>
      <c r="O131" s="10">
        <f>IF(AND(OR(H131="APPROVED",H131="SCHEDULED"),COUNTIFS(tblSource[EventID],F131,tblSource[ReleaseStatus],"APPROVED")=1,COUNTIFS(Period_Status!$A$2:$A$8,G131,Period_Status!$B$2:$B$8,"ActualClosed")=1,C131&gt;EOMONTH(Settlement_Bridge!$C$2,0)),1,0)</f>
        <v>0</v>
      </c>
      <c r="P131" s="2" t="s">
        <v>487</v>
      </c>
    </row>
    <row r="132" spans="1:16" x14ac:dyDescent="0.25">
      <c r="A132" s="2" t="s">
        <v>488</v>
      </c>
      <c r="B132" s="2" t="s">
        <v>136</v>
      </c>
      <c r="C132" s="8">
        <v>46216</v>
      </c>
      <c r="D132" s="6">
        <v>46204</v>
      </c>
      <c r="E132" s="2" t="s">
        <v>260</v>
      </c>
      <c r="F132" s="2" t="s">
        <v>486</v>
      </c>
      <c r="G132" s="6">
        <v>46174</v>
      </c>
      <c r="H132" s="2" t="s">
        <v>71</v>
      </c>
      <c r="I132" s="2" t="s">
        <v>39</v>
      </c>
      <c r="J132" s="9">
        <v>7628.1840000000002</v>
      </c>
      <c r="K132" s="7">
        <v>1</v>
      </c>
      <c r="L132" s="9">
        <v>7628.18</v>
      </c>
      <c r="M132" s="9">
        <v>7628.18</v>
      </c>
      <c r="N132" s="9">
        <v>4.2</v>
      </c>
      <c r="O132" s="10">
        <f>IF(AND(OR(H132="APPROVED",H132="SCHEDULED"),COUNTIFS(tblSource[EventID],F132,tblSource[ReleaseStatus],"APPROVED")=1,COUNTIFS(Period_Status!$A$2:$A$8,G132,Period_Status!$B$2:$B$8,"ActualClosed")=1,C132&gt;EOMONTH(Settlement_Bridge!$C$2,0)),1,0)</f>
        <v>0</v>
      </c>
      <c r="P132" s="2" t="s">
        <v>489</v>
      </c>
    </row>
    <row r="133" spans="1:16" x14ac:dyDescent="0.25">
      <c r="A133" s="2" t="s">
        <v>490</v>
      </c>
      <c r="B133" s="2" t="s">
        <v>136</v>
      </c>
      <c r="C133" s="8">
        <v>46192</v>
      </c>
      <c r="D133" s="6">
        <v>46174</v>
      </c>
      <c r="E133" s="2" t="s">
        <v>260</v>
      </c>
      <c r="F133" s="2" t="s">
        <v>491</v>
      </c>
      <c r="G133" s="6">
        <v>46174</v>
      </c>
      <c r="H133" s="2" t="s">
        <v>71</v>
      </c>
      <c r="I133" s="2" t="s">
        <v>76</v>
      </c>
      <c r="J133" s="9">
        <v>82474560</v>
      </c>
      <c r="K133" s="7">
        <v>6.2500000000000001E-5</v>
      </c>
      <c r="L133" s="9">
        <v>5154.66</v>
      </c>
      <c r="M133" s="9">
        <v>5154.66</v>
      </c>
      <c r="N133" s="9">
        <v>2.84</v>
      </c>
      <c r="O133" s="10">
        <f>IF(AND(OR(H133="APPROVED",H133="SCHEDULED"),COUNTIFS(tblSource[EventID],F133,tblSource[ReleaseStatus],"APPROVED")=1,COUNTIFS(Period_Status!$A$2:$A$8,G133,Period_Status!$B$2:$B$8,"ActualClosed")=1,C133&gt;EOMONTH(Settlement_Bridge!$C$2,0)),1,0)</f>
        <v>0</v>
      </c>
      <c r="P133" s="2" t="s">
        <v>492</v>
      </c>
    </row>
    <row r="134" spans="1:16" x14ac:dyDescent="0.25">
      <c r="A134" s="2" t="s">
        <v>493</v>
      </c>
      <c r="B134" s="2" t="s">
        <v>136</v>
      </c>
      <c r="C134" s="8">
        <v>46217</v>
      </c>
      <c r="D134" s="6">
        <v>46204</v>
      </c>
      <c r="E134" s="2" t="s">
        <v>260</v>
      </c>
      <c r="F134" s="2" t="s">
        <v>491</v>
      </c>
      <c r="G134" s="6">
        <v>46174</v>
      </c>
      <c r="H134" s="2" t="s">
        <v>71</v>
      </c>
      <c r="I134" s="2" t="s">
        <v>76</v>
      </c>
      <c r="J134" s="9">
        <v>123711840</v>
      </c>
      <c r="K134" s="7">
        <v>6.2000000000000003E-5</v>
      </c>
      <c r="L134" s="9">
        <v>7670.13</v>
      </c>
      <c r="M134" s="9">
        <v>7731.99</v>
      </c>
      <c r="N134" s="9">
        <v>4.22</v>
      </c>
      <c r="O134" s="10">
        <f>IF(AND(OR(H134="APPROVED",H134="SCHEDULED"),COUNTIFS(tblSource[EventID],F134,tblSource[ReleaseStatus],"APPROVED")=1,COUNTIFS(Period_Status!$A$2:$A$8,G134,Period_Status!$B$2:$B$8,"ActualClosed")=1,C134&gt;EOMONTH(Settlement_Bridge!$C$2,0)),1,0)</f>
        <v>0</v>
      </c>
      <c r="P134" s="2" t="s">
        <v>494</v>
      </c>
    </row>
    <row r="135" spans="1:16" x14ac:dyDescent="0.25">
      <c r="A135" s="2" t="s">
        <v>495</v>
      </c>
      <c r="B135" s="2" t="s">
        <v>136</v>
      </c>
      <c r="C135" s="8">
        <v>46203</v>
      </c>
      <c r="D135" s="6">
        <v>46174</v>
      </c>
      <c r="E135" s="2" t="s">
        <v>260</v>
      </c>
      <c r="F135" s="2" t="s">
        <v>496</v>
      </c>
      <c r="G135" s="6">
        <v>46174</v>
      </c>
      <c r="H135" s="2" t="s">
        <v>71</v>
      </c>
      <c r="I135" s="2" t="s">
        <v>70</v>
      </c>
      <c r="J135" s="9">
        <v>19638.586466000001</v>
      </c>
      <c r="K135" s="7">
        <v>0.66500000000000004</v>
      </c>
      <c r="L135" s="9">
        <v>13059.66</v>
      </c>
      <c r="M135" s="9">
        <v>13059.66</v>
      </c>
      <c r="N135" s="9">
        <v>7.18</v>
      </c>
      <c r="O135" s="10">
        <f>IF(AND(OR(H135="APPROVED",H135="SCHEDULED"),COUNTIFS(tblSource[EventID],F135,tblSource[ReleaseStatus],"APPROVED")=1,COUNTIFS(Period_Status!$A$2:$A$8,G135,Period_Status!$B$2:$B$8,"ActualClosed")=1,C135&gt;EOMONTH(Settlement_Bridge!$C$2,0)),1,0)</f>
        <v>0</v>
      </c>
      <c r="P135" s="2" t="s">
        <v>497</v>
      </c>
    </row>
    <row r="136" spans="1:16" x14ac:dyDescent="0.25">
      <c r="A136" s="2" t="s">
        <v>498</v>
      </c>
      <c r="B136" s="2" t="s">
        <v>136</v>
      </c>
      <c r="C136" s="8">
        <v>46204</v>
      </c>
      <c r="D136" s="6">
        <v>46204</v>
      </c>
      <c r="E136" s="2" t="s">
        <v>260</v>
      </c>
      <c r="F136" s="2" t="s">
        <v>499</v>
      </c>
      <c r="G136" s="6">
        <v>46174</v>
      </c>
      <c r="H136" s="2" t="s">
        <v>71</v>
      </c>
      <c r="I136" s="2" t="s">
        <v>39</v>
      </c>
      <c r="J136" s="9">
        <v>13232.67</v>
      </c>
      <c r="K136" s="7">
        <v>1</v>
      </c>
      <c r="L136" s="9">
        <v>13232.67</v>
      </c>
      <c r="M136" s="9">
        <v>13232.67</v>
      </c>
      <c r="N136" s="9">
        <v>7.28</v>
      </c>
      <c r="O136" s="10">
        <f>IF(AND(OR(H136="APPROVED",H136="SCHEDULED"),COUNTIFS(tblSource[EventID],F136,tblSource[ReleaseStatus],"APPROVED")=1,COUNTIFS(Period_Status!$A$2:$A$8,G136,Period_Status!$B$2:$B$8,"ActualClosed")=1,C136&gt;EOMONTH(Settlement_Bridge!$C$2,0)),1,0)</f>
        <v>0</v>
      </c>
      <c r="P136" s="2" t="s">
        <v>500</v>
      </c>
    </row>
    <row r="137" spans="1:16" x14ac:dyDescent="0.25">
      <c r="A137" s="2" t="s">
        <v>501</v>
      </c>
      <c r="B137" s="2" t="s">
        <v>136</v>
      </c>
      <c r="C137" s="8">
        <v>46195</v>
      </c>
      <c r="D137" s="6">
        <v>46174</v>
      </c>
      <c r="E137" s="2" t="s">
        <v>260</v>
      </c>
      <c r="F137" s="2" t="s">
        <v>502</v>
      </c>
      <c r="G137" s="6">
        <v>46174</v>
      </c>
      <c r="H137" s="2" t="s">
        <v>71</v>
      </c>
      <c r="I137" s="2" t="s">
        <v>76</v>
      </c>
      <c r="J137" s="9">
        <v>85796352</v>
      </c>
      <c r="K137" s="7">
        <v>6.2500000000000001E-5</v>
      </c>
      <c r="L137" s="9">
        <v>5362.27</v>
      </c>
      <c r="M137" s="9">
        <v>5362.27</v>
      </c>
      <c r="N137" s="9">
        <v>2.95</v>
      </c>
      <c r="O137" s="10">
        <f>IF(AND(OR(H137="APPROVED",H137="SCHEDULED"),COUNTIFS(tblSource[EventID],F137,tblSource[ReleaseStatus],"APPROVED")=1,COUNTIFS(Period_Status!$A$2:$A$8,G137,Period_Status!$B$2:$B$8,"ActualClosed")=1,C137&gt;EOMONTH(Settlement_Bridge!$C$2,0)),1,0)</f>
        <v>0</v>
      </c>
      <c r="P137" s="2" t="s">
        <v>503</v>
      </c>
    </row>
    <row r="138" spans="1:16" x14ac:dyDescent="0.25">
      <c r="A138" s="2" t="s">
        <v>504</v>
      </c>
      <c r="B138" s="2" t="s">
        <v>136</v>
      </c>
      <c r="C138" s="8">
        <v>46220</v>
      </c>
      <c r="D138" s="6">
        <v>46204</v>
      </c>
      <c r="E138" s="2" t="s">
        <v>260</v>
      </c>
      <c r="F138" s="2" t="s">
        <v>502</v>
      </c>
      <c r="G138" s="6">
        <v>46174</v>
      </c>
      <c r="H138" s="2" t="s">
        <v>71</v>
      </c>
      <c r="I138" s="2" t="s">
        <v>76</v>
      </c>
      <c r="J138" s="9">
        <v>128694528</v>
      </c>
      <c r="K138" s="7">
        <v>6.2000000000000003E-5</v>
      </c>
      <c r="L138" s="9">
        <v>7979.06</v>
      </c>
      <c r="M138" s="9">
        <v>8043.41</v>
      </c>
      <c r="N138" s="9">
        <v>4.3899999999999997</v>
      </c>
      <c r="O138" s="10">
        <f>IF(AND(OR(H138="APPROVED",H138="SCHEDULED"),COUNTIFS(tblSource[EventID],F138,tblSource[ReleaseStatus],"APPROVED")=1,COUNTIFS(Period_Status!$A$2:$A$8,G138,Period_Status!$B$2:$B$8,"ActualClosed")=1,C138&gt;EOMONTH(Settlement_Bridge!$C$2,0)),1,0)</f>
        <v>0</v>
      </c>
      <c r="P138" s="2" t="s">
        <v>505</v>
      </c>
    </row>
    <row r="139" spans="1:16" x14ac:dyDescent="0.25">
      <c r="A139" s="2" t="s">
        <v>506</v>
      </c>
      <c r="B139" s="2" t="s">
        <v>136</v>
      </c>
      <c r="C139" s="8">
        <v>46206</v>
      </c>
      <c r="D139" s="6">
        <v>46204</v>
      </c>
      <c r="E139" s="2" t="s">
        <v>260</v>
      </c>
      <c r="F139" s="2" t="s">
        <v>507</v>
      </c>
      <c r="G139" s="6">
        <v>46174</v>
      </c>
      <c r="H139" s="2" t="s">
        <v>71</v>
      </c>
      <c r="I139" s="2" t="s">
        <v>70</v>
      </c>
      <c r="J139" s="9">
        <v>20419.082707000001</v>
      </c>
      <c r="K139" s="7">
        <v>0.65800000000000003</v>
      </c>
      <c r="L139" s="9">
        <v>13435.76</v>
      </c>
      <c r="M139" s="9">
        <v>13578.69</v>
      </c>
      <c r="N139" s="9">
        <v>7.39</v>
      </c>
      <c r="O139" s="10">
        <f>IF(AND(OR(H139="APPROVED",H139="SCHEDULED"),COUNTIFS(tblSource[EventID],F139,tblSource[ReleaseStatus],"APPROVED")=1,COUNTIFS(Period_Status!$A$2:$A$8,G139,Period_Status!$B$2:$B$8,"ActualClosed")=1,C139&gt;EOMONTH(Settlement_Bridge!$C$2,0)),1,0)</f>
        <v>0</v>
      </c>
      <c r="P139" s="2" t="s">
        <v>508</v>
      </c>
    </row>
    <row r="140" spans="1:16" x14ac:dyDescent="0.25">
      <c r="A140" s="2" t="s">
        <v>509</v>
      </c>
      <c r="B140" s="2" t="s">
        <v>136</v>
      </c>
      <c r="C140" s="8">
        <v>46207</v>
      </c>
      <c r="D140" s="6">
        <v>46204</v>
      </c>
      <c r="E140" s="2" t="s">
        <v>260</v>
      </c>
      <c r="F140" s="2" t="s">
        <v>510</v>
      </c>
      <c r="G140" s="6">
        <v>46174</v>
      </c>
      <c r="H140" s="2" t="s">
        <v>71</v>
      </c>
      <c r="I140" s="2" t="s">
        <v>39</v>
      </c>
      <c r="J140" s="9">
        <v>13751.7</v>
      </c>
      <c r="K140" s="7">
        <v>1</v>
      </c>
      <c r="L140" s="9">
        <v>13751.7</v>
      </c>
      <c r="M140" s="9">
        <v>13751.7</v>
      </c>
      <c r="N140" s="9">
        <v>7.56</v>
      </c>
      <c r="O140" s="10">
        <f>IF(AND(OR(H140="APPROVED",H140="SCHEDULED"),COUNTIFS(tblSource[EventID],F140,tblSource[ReleaseStatus],"APPROVED")=1,COUNTIFS(Period_Status!$A$2:$A$8,G140,Period_Status!$B$2:$B$8,"ActualClosed")=1,C140&gt;EOMONTH(Settlement_Bridge!$C$2,0)),1,0)</f>
        <v>0</v>
      </c>
      <c r="P140" s="2" t="s">
        <v>511</v>
      </c>
    </row>
    <row r="141" spans="1:16" x14ac:dyDescent="0.25">
      <c r="A141" s="2" t="s">
        <v>512</v>
      </c>
      <c r="B141" s="2" t="s">
        <v>136</v>
      </c>
      <c r="C141" s="8">
        <v>46208</v>
      </c>
      <c r="D141" s="6">
        <v>46204</v>
      </c>
      <c r="E141" s="2" t="s">
        <v>260</v>
      </c>
      <c r="F141" s="2" t="s">
        <v>513</v>
      </c>
      <c r="G141" s="6">
        <v>46174</v>
      </c>
      <c r="H141" s="2" t="s">
        <v>71</v>
      </c>
      <c r="I141" s="2" t="s">
        <v>76</v>
      </c>
      <c r="J141" s="9">
        <v>222795360</v>
      </c>
      <c r="K141" s="7">
        <v>6.2000000000000003E-5</v>
      </c>
      <c r="L141" s="9">
        <v>13813.31</v>
      </c>
      <c r="M141" s="9">
        <v>13924.71</v>
      </c>
      <c r="N141" s="9">
        <v>7.6</v>
      </c>
      <c r="O141" s="10">
        <f>IF(AND(OR(H141="APPROVED",H141="SCHEDULED"),COUNTIFS(tblSource[EventID],F141,tblSource[ReleaseStatus],"APPROVED")=1,COUNTIFS(Period_Status!$A$2:$A$8,G141,Period_Status!$B$2:$B$8,"ActualClosed")=1,C141&gt;EOMONTH(Settlement_Bridge!$C$2,0)),1,0)</f>
        <v>0</v>
      </c>
      <c r="P141" s="2" t="s">
        <v>514</v>
      </c>
    </row>
    <row r="142" spans="1:16" x14ac:dyDescent="0.25">
      <c r="A142" s="2" t="s">
        <v>515</v>
      </c>
      <c r="B142" s="2" t="s">
        <v>136</v>
      </c>
      <c r="C142" s="8">
        <v>46209</v>
      </c>
      <c r="D142" s="6">
        <v>46204</v>
      </c>
      <c r="E142" s="2" t="s">
        <v>260</v>
      </c>
      <c r="F142" s="2" t="s">
        <v>516</v>
      </c>
      <c r="G142" s="6">
        <v>46174</v>
      </c>
      <c r="H142" s="2" t="s">
        <v>71</v>
      </c>
      <c r="I142" s="2" t="s">
        <v>70</v>
      </c>
      <c r="J142" s="9">
        <v>21199.578947000002</v>
      </c>
      <c r="K142" s="7">
        <v>0.65800000000000003</v>
      </c>
      <c r="L142" s="9">
        <v>13949.32</v>
      </c>
      <c r="M142" s="9">
        <v>14097.72</v>
      </c>
      <c r="N142" s="9">
        <v>7.67</v>
      </c>
      <c r="O142" s="10">
        <f>IF(AND(OR(H142="APPROVED",H142="SCHEDULED"),COUNTIFS(tblSource[EventID],F142,tblSource[ReleaseStatus],"APPROVED")=1,COUNTIFS(Period_Status!$A$2:$A$8,G142,Period_Status!$B$2:$B$8,"ActualClosed")=1,C142&gt;EOMONTH(Settlement_Bridge!$C$2,0)),1,0)</f>
        <v>0</v>
      </c>
      <c r="P142" s="2" t="s">
        <v>517</v>
      </c>
    </row>
    <row r="143" spans="1:16" x14ac:dyDescent="0.25">
      <c r="A143" s="2" t="s">
        <v>518</v>
      </c>
      <c r="B143" s="2" t="s">
        <v>136</v>
      </c>
      <c r="C143" s="8">
        <v>46210</v>
      </c>
      <c r="D143" s="6">
        <v>46204</v>
      </c>
      <c r="E143" s="2" t="s">
        <v>260</v>
      </c>
      <c r="F143" s="2" t="s">
        <v>519</v>
      </c>
      <c r="G143" s="6">
        <v>46174</v>
      </c>
      <c r="H143" s="2" t="s">
        <v>71</v>
      </c>
      <c r="I143" s="2" t="s">
        <v>39</v>
      </c>
      <c r="J143" s="9">
        <v>14270.73</v>
      </c>
      <c r="K143" s="7">
        <v>1</v>
      </c>
      <c r="L143" s="9">
        <v>14270.73</v>
      </c>
      <c r="M143" s="9">
        <v>14270.73</v>
      </c>
      <c r="N143" s="9">
        <v>7.85</v>
      </c>
      <c r="O143" s="10">
        <f>IF(AND(OR(H143="APPROVED",H143="SCHEDULED"),COUNTIFS(tblSource[EventID],F143,tblSource[ReleaseStatus],"APPROVED")=1,COUNTIFS(Period_Status!$A$2:$A$8,G143,Period_Status!$B$2:$B$8,"ActualClosed")=1,C143&gt;EOMONTH(Settlement_Bridge!$C$2,0)),1,0)</f>
        <v>0</v>
      </c>
      <c r="P143" s="2" t="s">
        <v>520</v>
      </c>
    </row>
    <row r="144" spans="1:16" x14ac:dyDescent="0.25">
      <c r="A144" s="2" t="s">
        <v>521</v>
      </c>
      <c r="B144" s="2" t="s">
        <v>136</v>
      </c>
      <c r="C144" s="8">
        <v>46201</v>
      </c>
      <c r="D144" s="6">
        <v>46174</v>
      </c>
      <c r="E144" s="2" t="s">
        <v>260</v>
      </c>
      <c r="F144" s="2" t="s">
        <v>522</v>
      </c>
      <c r="G144" s="6">
        <v>46174</v>
      </c>
      <c r="H144" s="2" t="s">
        <v>71</v>
      </c>
      <c r="I144" s="2" t="s">
        <v>76</v>
      </c>
      <c r="J144" s="9">
        <v>92439936</v>
      </c>
      <c r="K144" s="7">
        <v>6.2500000000000001E-5</v>
      </c>
      <c r="L144" s="9">
        <v>5777.5</v>
      </c>
      <c r="M144" s="9">
        <v>5777.5</v>
      </c>
      <c r="N144" s="9">
        <v>3.18</v>
      </c>
      <c r="O144" s="10">
        <f>IF(AND(OR(H144="APPROVED",H144="SCHEDULED"),COUNTIFS(tblSource[EventID],F144,tblSource[ReleaseStatus],"APPROVED")=1,COUNTIFS(Period_Status!$A$2:$A$8,G144,Period_Status!$B$2:$B$8,"ActualClosed")=1,C144&gt;EOMONTH(Settlement_Bridge!$C$2,0)),1,0)</f>
        <v>0</v>
      </c>
      <c r="P144" s="2" t="s">
        <v>523</v>
      </c>
    </row>
    <row r="145" spans="1:16" x14ac:dyDescent="0.25">
      <c r="A145" s="2" t="s">
        <v>524</v>
      </c>
      <c r="B145" s="2" t="s">
        <v>136</v>
      </c>
      <c r="C145" s="8">
        <v>46226</v>
      </c>
      <c r="D145" s="6">
        <v>46204</v>
      </c>
      <c r="E145" s="2" t="s">
        <v>260</v>
      </c>
      <c r="F145" s="2" t="s">
        <v>522</v>
      </c>
      <c r="G145" s="6">
        <v>46174</v>
      </c>
      <c r="H145" s="2" t="s">
        <v>71</v>
      </c>
      <c r="I145" s="2" t="s">
        <v>76</v>
      </c>
      <c r="J145" s="9">
        <v>138659904</v>
      </c>
      <c r="K145" s="7">
        <v>6.2000000000000003E-5</v>
      </c>
      <c r="L145" s="9">
        <v>8596.91</v>
      </c>
      <c r="M145" s="9">
        <v>8666.24</v>
      </c>
      <c r="N145" s="9">
        <v>4.7300000000000004</v>
      </c>
      <c r="O145" s="10">
        <f>IF(AND(OR(H145="APPROVED",H145="SCHEDULED"),COUNTIFS(tblSource[EventID],F145,tblSource[ReleaseStatus],"APPROVED")=1,COUNTIFS(Period_Status!$A$2:$A$8,G145,Period_Status!$B$2:$B$8,"ActualClosed")=1,C145&gt;EOMONTH(Settlement_Bridge!$C$2,0)),1,0)</f>
        <v>0</v>
      </c>
      <c r="P145" s="2" t="s">
        <v>525</v>
      </c>
    </row>
    <row r="146" spans="1:16" x14ac:dyDescent="0.25">
      <c r="A146" s="2" t="s">
        <v>526</v>
      </c>
      <c r="B146" s="2" t="s">
        <v>136</v>
      </c>
      <c r="C146" s="8">
        <v>46202</v>
      </c>
      <c r="D146" s="6">
        <v>46174</v>
      </c>
      <c r="E146" s="2" t="s">
        <v>260</v>
      </c>
      <c r="F146" s="2" t="s">
        <v>527</v>
      </c>
      <c r="G146" s="6">
        <v>46174</v>
      </c>
      <c r="H146" s="2" t="s">
        <v>71</v>
      </c>
      <c r="I146" s="2" t="s">
        <v>70</v>
      </c>
      <c r="J146" s="9">
        <v>8792.0300750000006</v>
      </c>
      <c r="K146" s="7">
        <v>0.66500000000000004</v>
      </c>
      <c r="L146" s="9">
        <v>5846.7</v>
      </c>
      <c r="M146" s="9">
        <v>5846.7</v>
      </c>
      <c r="N146" s="9">
        <v>3.22</v>
      </c>
      <c r="O146" s="10">
        <f>IF(AND(OR(H146="APPROVED",H146="SCHEDULED"),COUNTIFS(tblSource[EventID],F146,tblSource[ReleaseStatus],"APPROVED")=1,COUNTIFS(Period_Status!$A$2:$A$8,G146,Period_Status!$B$2:$B$8,"ActualClosed")=1,C146&gt;EOMONTH(Settlement_Bridge!$C$2,0)),1,0)</f>
        <v>0</v>
      </c>
      <c r="P146" s="2" t="s">
        <v>528</v>
      </c>
    </row>
    <row r="147" spans="1:16" x14ac:dyDescent="0.25">
      <c r="A147" s="2" t="s">
        <v>529</v>
      </c>
      <c r="B147" s="2" t="s">
        <v>136</v>
      </c>
      <c r="C147" s="8">
        <v>46227</v>
      </c>
      <c r="D147" s="6">
        <v>46204</v>
      </c>
      <c r="E147" s="2" t="s">
        <v>260</v>
      </c>
      <c r="F147" s="2" t="s">
        <v>527</v>
      </c>
      <c r="G147" s="6">
        <v>46174</v>
      </c>
      <c r="H147" s="2" t="s">
        <v>71</v>
      </c>
      <c r="I147" s="2" t="s">
        <v>70</v>
      </c>
      <c r="J147" s="9">
        <v>13188.045113</v>
      </c>
      <c r="K147" s="7">
        <v>0.65800000000000003</v>
      </c>
      <c r="L147" s="9">
        <v>8677.73</v>
      </c>
      <c r="M147" s="9">
        <v>8770.0499999999993</v>
      </c>
      <c r="N147" s="9">
        <v>4.7699999999999996</v>
      </c>
      <c r="O147" s="10">
        <f>IF(AND(OR(H147="APPROVED",H147="SCHEDULED"),COUNTIFS(tblSource[EventID],F147,tblSource[ReleaseStatus],"APPROVED")=1,COUNTIFS(Period_Status!$A$2:$A$8,G147,Period_Status!$B$2:$B$8,"ActualClosed")=1,C147&gt;EOMONTH(Settlement_Bridge!$C$2,0)),1,0)</f>
        <v>0</v>
      </c>
      <c r="P147" s="2" t="s">
        <v>530</v>
      </c>
    </row>
    <row r="148" spans="1:16" x14ac:dyDescent="0.25">
      <c r="A148" s="2" t="s">
        <v>531</v>
      </c>
      <c r="B148" s="2" t="s">
        <v>136</v>
      </c>
      <c r="C148" s="8">
        <v>46213</v>
      </c>
      <c r="D148" s="6">
        <v>46204</v>
      </c>
      <c r="E148" s="2" t="s">
        <v>260</v>
      </c>
      <c r="F148" s="2" t="s">
        <v>532</v>
      </c>
      <c r="G148" s="6">
        <v>46174</v>
      </c>
      <c r="H148" s="2" t="s">
        <v>71</v>
      </c>
      <c r="I148" s="2" t="s">
        <v>39</v>
      </c>
      <c r="J148" s="9">
        <v>14789.76</v>
      </c>
      <c r="K148" s="7">
        <v>1</v>
      </c>
      <c r="L148" s="9">
        <v>14789.76</v>
      </c>
      <c r="M148" s="9">
        <v>14789.76</v>
      </c>
      <c r="N148" s="9">
        <v>8.1300000000000008</v>
      </c>
      <c r="O148" s="10">
        <f>IF(AND(OR(H148="APPROVED",H148="SCHEDULED"),COUNTIFS(tblSource[EventID],F148,tblSource[ReleaseStatus],"APPROVED")=1,COUNTIFS(Period_Status!$A$2:$A$8,G148,Period_Status!$B$2:$B$8,"ActualClosed")=1,C148&gt;EOMONTH(Settlement_Bridge!$C$2,0)),1,0)</f>
        <v>0</v>
      </c>
      <c r="P148" s="2" t="s">
        <v>533</v>
      </c>
    </row>
    <row r="149" spans="1:16" x14ac:dyDescent="0.25">
      <c r="A149" s="2" t="s">
        <v>534</v>
      </c>
      <c r="B149" s="2" t="s">
        <v>136</v>
      </c>
      <c r="C149" s="8">
        <v>46214</v>
      </c>
      <c r="D149" s="6">
        <v>46204</v>
      </c>
      <c r="E149" s="2" t="s">
        <v>260</v>
      </c>
      <c r="F149" s="2" t="s">
        <v>535</v>
      </c>
      <c r="G149" s="6">
        <v>46174</v>
      </c>
      <c r="H149" s="2" t="s">
        <v>71</v>
      </c>
      <c r="I149" s="2" t="s">
        <v>76</v>
      </c>
      <c r="J149" s="9">
        <v>15404320</v>
      </c>
      <c r="K149" s="7">
        <v>6.2000000000000003E-5</v>
      </c>
      <c r="L149" s="9">
        <v>955.07</v>
      </c>
      <c r="M149" s="9">
        <v>962.77</v>
      </c>
      <c r="N149" s="9">
        <v>1.8</v>
      </c>
      <c r="O149" s="10">
        <f>IF(AND(OR(H149="APPROVED",H149="SCHEDULED"),COUNTIFS(tblSource[EventID],F149,tblSource[ReleaseStatus],"APPROVED")=1,COUNTIFS(Period_Status!$A$2:$A$8,G149,Period_Status!$B$2:$B$8,"ActualClosed")=1,C149&gt;EOMONTH(Settlement_Bridge!$C$2,0)),1,0)</f>
        <v>0</v>
      </c>
      <c r="P149" s="2" t="s">
        <v>536</v>
      </c>
    </row>
    <row r="150" spans="1:16" x14ac:dyDescent="0.25">
      <c r="A150" s="2" t="s">
        <v>537</v>
      </c>
      <c r="B150" s="2" t="s">
        <v>136</v>
      </c>
      <c r="C150" s="8">
        <v>46205</v>
      </c>
      <c r="D150" s="6">
        <v>46204</v>
      </c>
      <c r="E150" s="2" t="s">
        <v>260</v>
      </c>
      <c r="F150" s="2" t="s">
        <v>538</v>
      </c>
      <c r="G150" s="6">
        <v>46174</v>
      </c>
      <c r="H150" s="2" t="s">
        <v>71</v>
      </c>
      <c r="I150" s="2" t="s">
        <v>70</v>
      </c>
      <c r="J150" s="9">
        <v>683.17593999999997</v>
      </c>
      <c r="K150" s="7">
        <v>0.65800000000000003</v>
      </c>
      <c r="L150" s="9">
        <v>449.53</v>
      </c>
      <c r="M150" s="9">
        <v>454.31</v>
      </c>
      <c r="N150" s="9">
        <v>1.8</v>
      </c>
      <c r="O150" s="10">
        <f>IF(AND(OR(H150="APPROVED",H150="SCHEDULED"),COUNTIFS(tblSource[EventID],F150,tblSource[ReleaseStatus],"APPROVED")=1,COUNTIFS(Period_Status!$A$2:$A$8,G150,Period_Status!$B$2:$B$8,"ActualClosed")=1,C150&gt;EOMONTH(Settlement_Bridge!$C$2,0)),1,0)</f>
        <v>0</v>
      </c>
      <c r="P150" s="2" t="s">
        <v>539</v>
      </c>
    </row>
    <row r="151" spans="1:16" x14ac:dyDescent="0.25">
      <c r="A151" s="2" t="s">
        <v>540</v>
      </c>
      <c r="B151" s="2" t="s">
        <v>136</v>
      </c>
      <c r="C151" s="8">
        <v>46230</v>
      </c>
      <c r="D151" s="6">
        <v>46204</v>
      </c>
      <c r="E151" s="2" t="s">
        <v>260</v>
      </c>
      <c r="F151" s="2" t="s">
        <v>538</v>
      </c>
      <c r="G151" s="6">
        <v>46174</v>
      </c>
      <c r="H151" s="2" t="s">
        <v>71</v>
      </c>
      <c r="I151" s="2" t="s">
        <v>70</v>
      </c>
      <c r="J151" s="9">
        <v>1024.7639099999999</v>
      </c>
      <c r="K151" s="7">
        <v>0.65800000000000003</v>
      </c>
      <c r="L151" s="9">
        <v>674.29</v>
      </c>
      <c r="M151" s="9">
        <v>681.47</v>
      </c>
      <c r="N151" s="9">
        <v>1.8</v>
      </c>
      <c r="O151" s="10">
        <f>IF(AND(OR(H151="APPROVED",H151="SCHEDULED"),COUNTIFS(tblSource[EventID],F151,tblSource[ReleaseStatus],"APPROVED")=1,COUNTIFS(Period_Status!$A$2:$A$8,G151,Period_Status!$B$2:$B$8,"ActualClosed")=1,C151&gt;EOMONTH(Settlement_Bridge!$C$2,0)),1,0)</f>
        <v>0</v>
      </c>
      <c r="P151" s="2" t="s">
        <v>541</v>
      </c>
    </row>
    <row r="152" spans="1:16" x14ac:dyDescent="0.25">
      <c r="A152" s="2" t="s">
        <v>542</v>
      </c>
      <c r="B152" s="2" t="s">
        <v>136</v>
      </c>
      <c r="C152" s="8">
        <v>46216</v>
      </c>
      <c r="D152" s="6">
        <v>46204</v>
      </c>
      <c r="E152" s="2" t="s">
        <v>260</v>
      </c>
      <c r="F152" s="2" t="s">
        <v>543</v>
      </c>
      <c r="G152" s="6">
        <v>46174</v>
      </c>
      <c r="H152" s="2" t="s">
        <v>71</v>
      </c>
      <c r="I152" s="2" t="s">
        <v>39</v>
      </c>
      <c r="J152" s="9">
        <v>1308.79</v>
      </c>
      <c r="K152" s="7">
        <v>1</v>
      </c>
      <c r="L152" s="9">
        <v>1308.79</v>
      </c>
      <c r="M152" s="9">
        <v>1308.79</v>
      </c>
      <c r="N152" s="9">
        <v>1.8</v>
      </c>
      <c r="O152" s="10">
        <f>IF(AND(OR(H152="APPROVED",H152="SCHEDULED"),COUNTIFS(tblSource[EventID],F152,tblSource[ReleaseStatus],"APPROVED")=1,COUNTIFS(Period_Status!$A$2:$A$8,G152,Period_Status!$B$2:$B$8,"ActualClosed")=1,C152&gt;EOMONTH(Settlement_Bridge!$C$2,0)),1,0)</f>
        <v>0</v>
      </c>
      <c r="P152" s="2" t="s">
        <v>544</v>
      </c>
    </row>
    <row r="153" spans="1:16" x14ac:dyDescent="0.25">
      <c r="A153" s="2" t="s">
        <v>545</v>
      </c>
      <c r="B153" s="2" t="s">
        <v>136</v>
      </c>
      <c r="C153" s="8">
        <v>46217</v>
      </c>
      <c r="D153" s="6">
        <v>46204</v>
      </c>
      <c r="E153" s="2" t="s">
        <v>260</v>
      </c>
      <c r="F153" s="2" t="s">
        <v>546</v>
      </c>
      <c r="G153" s="6">
        <v>46174</v>
      </c>
      <c r="H153" s="2" t="s">
        <v>71</v>
      </c>
      <c r="I153" s="2" t="s">
        <v>76</v>
      </c>
      <c r="J153" s="9">
        <v>23708800</v>
      </c>
      <c r="K153" s="7">
        <v>6.2000000000000003E-5</v>
      </c>
      <c r="L153" s="9">
        <v>1469.95</v>
      </c>
      <c r="M153" s="9">
        <v>1481.8</v>
      </c>
      <c r="N153" s="9">
        <v>1.8</v>
      </c>
      <c r="O153" s="10">
        <f>IF(AND(OR(H153="APPROVED",H153="SCHEDULED"),COUNTIFS(tblSource[EventID],F153,tblSource[ReleaseStatus],"APPROVED")=1,COUNTIFS(Period_Status!$A$2:$A$8,G153,Period_Status!$B$2:$B$8,"ActualClosed")=1,C153&gt;EOMONTH(Settlement_Bridge!$C$2,0)),1,0)</f>
        <v>0</v>
      </c>
      <c r="P153" s="2" t="s">
        <v>547</v>
      </c>
    </row>
    <row r="154" spans="1:16" x14ac:dyDescent="0.25">
      <c r="A154" s="2" t="s">
        <v>548</v>
      </c>
      <c r="B154" s="2" t="s">
        <v>136</v>
      </c>
      <c r="C154" s="8">
        <v>46218</v>
      </c>
      <c r="D154" s="6">
        <v>46204</v>
      </c>
      <c r="E154" s="2" t="s">
        <v>260</v>
      </c>
      <c r="F154" s="2" t="s">
        <v>549</v>
      </c>
      <c r="G154" s="6">
        <v>46174</v>
      </c>
      <c r="H154" s="2" t="s">
        <v>71</v>
      </c>
      <c r="I154" s="2" t="s">
        <v>70</v>
      </c>
      <c r="J154" s="9">
        <v>2488.4360900000001</v>
      </c>
      <c r="K154" s="7">
        <v>0.65800000000000003</v>
      </c>
      <c r="L154" s="9">
        <v>1637.39</v>
      </c>
      <c r="M154" s="9">
        <v>1654.81</v>
      </c>
      <c r="N154" s="9">
        <v>1.8</v>
      </c>
      <c r="O154" s="10">
        <f>IF(AND(OR(H154="APPROVED",H154="SCHEDULED"),COUNTIFS(tblSource[EventID],F154,tblSource[ReleaseStatus],"APPROVED")=1,COUNTIFS(Period_Status!$A$2:$A$8,G154,Period_Status!$B$2:$B$8,"ActualClosed")=1,C154&gt;EOMONTH(Settlement_Bridge!$C$2,0)),1,0)</f>
        <v>0</v>
      </c>
      <c r="P154" s="2" t="s">
        <v>550</v>
      </c>
    </row>
    <row r="155" spans="1:16" x14ac:dyDescent="0.25">
      <c r="A155" s="2" t="s">
        <v>551</v>
      </c>
      <c r="B155" s="2" t="s">
        <v>136</v>
      </c>
      <c r="C155" s="8">
        <v>46219</v>
      </c>
      <c r="D155" s="6">
        <v>46204</v>
      </c>
      <c r="E155" s="2" t="s">
        <v>260</v>
      </c>
      <c r="F155" s="2" t="s">
        <v>552</v>
      </c>
      <c r="G155" s="6">
        <v>46174</v>
      </c>
      <c r="H155" s="2" t="s">
        <v>71</v>
      </c>
      <c r="I155" s="2" t="s">
        <v>39</v>
      </c>
      <c r="J155" s="9">
        <v>-1827.82</v>
      </c>
      <c r="K155" s="7">
        <v>1</v>
      </c>
      <c r="L155" s="9">
        <v>-1827.82</v>
      </c>
      <c r="M155" s="9">
        <v>-1827.82</v>
      </c>
      <c r="N155" s="9">
        <v>0</v>
      </c>
      <c r="O155" s="10">
        <f>IF(AND(OR(H155="APPROVED",H155="SCHEDULED"),COUNTIFS(tblSource[EventID],F155,tblSource[ReleaseStatus],"APPROVED")=1,COUNTIFS(Period_Status!$A$2:$A$8,G155,Period_Status!$B$2:$B$8,"ActualClosed")=1,C155&gt;EOMONTH(Settlement_Bridge!$C$2,0)),1,0)</f>
        <v>0</v>
      </c>
      <c r="P155" s="2" t="s">
        <v>553</v>
      </c>
    </row>
    <row r="156" spans="1:16" x14ac:dyDescent="0.25">
      <c r="A156" s="2" t="s">
        <v>554</v>
      </c>
      <c r="B156" s="2" t="s">
        <v>136</v>
      </c>
      <c r="C156" s="8">
        <v>46220</v>
      </c>
      <c r="D156" s="6">
        <v>46204</v>
      </c>
      <c r="E156" s="2" t="s">
        <v>260</v>
      </c>
      <c r="F156" s="2" t="s">
        <v>555</v>
      </c>
      <c r="G156" s="6">
        <v>46174</v>
      </c>
      <c r="H156" s="2" t="s">
        <v>71</v>
      </c>
      <c r="I156" s="2" t="s">
        <v>76</v>
      </c>
      <c r="J156" s="9">
        <v>32013280</v>
      </c>
      <c r="K156" s="7">
        <v>6.2000000000000003E-5</v>
      </c>
      <c r="L156" s="9">
        <v>1984.82</v>
      </c>
      <c r="M156" s="9">
        <v>2000.83</v>
      </c>
      <c r="N156" s="9">
        <v>1.8</v>
      </c>
      <c r="O156" s="10">
        <f>IF(AND(OR(H156="APPROVED",H156="SCHEDULED"),COUNTIFS(tblSource[EventID],F156,tblSource[ReleaseStatus],"APPROVED")=1,COUNTIFS(Period_Status!$A$2:$A$8,G156,Period_Status!$B$2:$B$8,"ActualClosed")=1,C156&gt;EOMONTH(Settlement_Bridge!$C$2,0)),1,0)</f>
        <v>0</v>
      </c>
      <c r="P156" s="2" t="s">
        <v>556</v>
      </c>
    </row>
    <row r="157" spans="1:16" x14ac:dyDescent="0.25">
      <c r="A157" s="2" t="s">
        <v>557</v>
      </c>
      <c r="B157" s="2" t="s">
        <v>136</v>
      </c>
      <c r="C157" s="8">
        <v>46211</v>
      </c>
      <c r="D157" s="6">
        <v>46204</v>
      </c>
      <c r="E157" s="2" t="s">
        <v>260</v>
      </c>
      <c r="F157" s="2" t="s">
        <v>558</v>
      </c>
      <c r="G157" s="6">
        <v>46174</v>
      </c>
      <c r="H157" s="2" t="s">
        <v>71</v>
      </c>
      <c r="I157" s="2" t="s">
        <v>70</v>
      </c>
      <c r="J157" s="9">
        <v>1307.572932</v>
      </c>
      <c r="K157" s="7">
        <v>0.65800000000000003</v>
      </c>
      <c r="L157" s="9">
        <v>860.38</v>
      </c>
      <c r="M157" s="9">
        <v>869.54</v>
      </c>
      <c r="N157" s="9">
        <v>1.8</v>
      </c>
      <c r="O157" s="10">
        <f>IF(AND(OR(H157="APPROVED",H157="SCHEDULED"),COUNTIFS(tblSource[EventID],F157,tblSource[ReleaseStatus],"APPROVED")=1,COUNTIFS(Period_Status!$A$2:$A$8,G157,Period_Status!$B$2:$B$8,"ActualClosed")=1,C157&gt;EOMONTH(Settlement_Bridge!$C$2,0)),1,0)</f>
        <v>0</v>
      </c>
      <c r="P157" s="2" t="s">
        <v>559</v>
      </c>
    </row>
    <row r="158" spans="1:16" x14ac:dyDescent="0.25">
      <c r="A158" s="2" t="s">
        <v>560</v>
      </c>
      <c r="B158" s="2" t="s">
        <v>136</v>
      </c>
      <c r="C158" s="8">
        <v>46236</v>
      </c>
      <c r="D158" s="6">
        <v>46235</v>
      </c>
      <c r="E158" s="2" t="s">
        <v>260</v>
      </c>
      <c r="F158" s="2" t="s">
        <v>558</v>
      </c>
      <c r="G158" s="6">
        <v>46174</v>
      </c>
      <c r="H158" s="2" t="s">
        <v>71</v>
      </c>
      <c r="I158" s="2" t="s">
        <v>70</v>
      </c>
      <c r="J158" s="9">
        <v>1961.3593989999999</v>
      </c>
      <c r="K158" s="7">
        <v>0.65</v>
      </c>
      <c r="L158" s="9">
        <v>1274.8800000000001</v>
      </c>
      <c r="M158" s="9">
        <v>1304.3</v>
      </c>
      <c r="N158" s="9">
        <v>1.8</v>
      </c>
      <c r="O158" s="10">
        <f>IF(AND(OR(H158="APPROVED",H158="SCHEDULED"),COUNTIFS(tblSource[EventID],F158,tblSource[ReleaseStatus],"APPROVED")=1,COUNTIFS(Period_Status!$A$2:$A$8,G158,Period_Status!$B$2:$B$8,"ActualClosed")=1,C158&gt;EOMONTH(Settlement_Bridge!$C$2,0)),1,0)</f>
        <v>1</v>
      </c>
      <c r="P158" s="2" t="s">
        <v>561</v>
      </c>
    </row>
    <row r="159" spans="1:16" x14ac:dyDescent="0.25">
      <c r="A159" s="2" t="s">
        <v>562</v>
      </c>
      <c r="B159" s="2" t="s">
        <v>136</v>
      </c>
      <c r="C159" s="8">
        <v>46212</v>
      </c>
      <c r="D159" s="6">
        <v>46204</v>
      </c>
      <c r="E159" s="2" t="s">
        <v>260</v>
      </c>
      <c r="F159" s="2" t="s">
        <v>563</v>
      </c>
      <c r="G159" s="6">
        <v>46174</v>
      </c>
      <c r="H159" s="2" t="s">
        <v>71</v>
      </c>
      <c r="I159" s="2" t="s">
        <v>39</v>
      </c>
      <c r="J159" s="9">
        <v>938.74</v>
      </c>
      <c r="K159" s="7">
        <v>1</v>
      </c>
      <c r="L159" s="9">
        <v>938.74</v>
      </c>
      <c r="M159" s="9">
        <v>938.74</v>
      </c>
      <c r="N159" s="9">
        <v>1.8</v>
      </c>
      <c r="O159" s="10">
        <f>IF(AND(OR(H159="APPROVED",H159="SCHEDULED"),COUNTIFS(tblSource[EventID],F159,tblSource[ReleaseStatus],"APPROVED")=1,COUNTIFS(Period_Status!$A$2:$A$8,G159,Period_Status!$B$2:$B$8,"ActualClosed")=1,C159&gt;EOMONTH(Settlement_Bridge!$C$2,0)),1,0)</f>
        <v>0</v>
      </c>
      <c r="P159" s="2" t="s">
        <v>564</v>
      </c>
    </row>
    <row r="160" spans="1:16" x14ac:dyDescent="0.25">
      <c r="A160" s="2" t="s">
        <v>565</v>
      </c>
      <c r="B160" s="2" t="s">
        <v>136</v>
      </c>
      <c r="C160" s="8">
        <v>46237</v>
      </c>
      <c r="D160" s="6">
        <v>46235</v>
      </c>
      <c r="E160" s="2" t="s">
        <v>260</v>
      </c>
      <c r="F160" s="2" t="s">
        <v>563</v>
      </c>
      <c r="G160" s="6">
        <v>46174</v>
      </c>
      <c r="H160" s="2" t="s">
        <v>71</v>
      </c>
      <c r="I160" s="2" t="s">
        <v>39</v>
      </c>
      <c r="J160" s="9">
        <v>1408.11</v>
      </c>
      <c r="K160" s="7">
        <v>1</v>
      </c>
      <c r="L160" s="9">
        <v>1408.11</v>
      </c>
      <c r="M160" s="9">
        <v>1408.11</v>
      </c>
      <c r="N160" s="9">
        <v>1.8</v>
      </c>
      <c r="O160" s="10">
        <f>IF(AND(OR(H160="APPROVED",H160="SCHEDULED"),COUNTIFS(tblSource[EventID],F160,tblSource[ReleaseStatus],"APPROVED")=1,COUNTIFS(Period_Status!$A$2:$A$8,G160,Period_Status!$B$2:$B$8,"ActualClosed")=1,C160&gt;EOMONTH(Settlement_Bridge!$C$2,0)),1,0)</f>
        <v>1</v>
      </c>
      <c r="P160" s="2" t="s">
        <v>566</v>
      </c>
    </row>
    <row r="161" spans="1:16" x14ac:dyDescent="0.25">
      <c r="A161" s="2" t="s">
        <v>567</v>
      </c>
      <c r="B161" s="2" t="s">
        <v>136</v>
      </c>
      <c r="C161" s="8">
        <v>46223</v>
      </c>
      <c r="D161" s="6">
        <v>46204</v>
      </c>
      <c r="E161" s="2" t="s">
        <v>260</v>
      </c>
      <c r="F161" s="2" t="s">
        <v>568</v>
      </c>
      <c r="G161" s="6">
        <v>46174</v>
      </c>
      <c r="H161" s="2" t="s">
        <v>71</v>
      </c>
      <c r="I161" s="2" t="s">
        <v>76</v>
      </c>
      <c r="J161" s="9">
        <v>40317760</v>
      </c>
      <c r="K161" s="7">
        <v>6.2000000000000003E-5</v>
      </c>
      <c r="L161" s="9">
        <v>2499.6999999999998</v>
      </c>
      <c r="M161" s="9">
        <v>2519.86</v>
      </c>
      <c r="N161" s="9">
        <v>1.8</v>
      </c>
      <c r="O161" s="10">
        <f>IF(AND(OR(H161="APPROVED",H161="SCHEDULED"),COUNTIFS(tblSource[EventID],F161,tblSource[ReleaseStatus],"APPROVED")=1,COUNTIFS(Period_Status!$A$2:$A$8,G161,Period_Status!$B$2:$B$8,"ActualClosed")=1,C161&gt;EOMONTH(Settlement_Bridge!$C$2,0)),1,0)</f>
        <v>0</v>
      </c>
      <c r="P161" s="2" t="s">
        <v>569</v>
      </c>
    </row>
    <row r="162" spans="1:16" x14ac:dyDescent="0.25">
      <c r="A162" s="2" t="s">
        <v>570</v>
      </c>
      <c r="B162" s="2" t="s">
        <v>136</v>
      </c>
      <c r="C162" s="8">
        <v>46224</v>
      </c>
      <c r="D162" s="6">
        <v>46204</v>
      </c>
      <c r="E162" s="2" t="s">
        <v>260</v>
      </c>
      <c r="F162" s="2" t="s">
        <v>571</v>
      </c>
      <c r="G162" s="6">
        <v>46174</v>
      </c>
      <c r="H162" s="2" t="s">
        <v>71</v>
      </c>
      <c r="I162" s="2" t="s">
        <v>70</v>
      </c>
      <c r="J162" s="9">
        <v>4049.4285709999999</v>
      </c>
      <c r="K162" s="7">
        <v>0.65800000000000003</v>
      </c>
      <c r="L162" s="9">
        <v>2664.52</v>
      </c>
      <c r="M162" s="9">
        <v>2692.87</v>
      </c>
      <c r="N162" s="9">
        <v>1.8</v>
      </c>
      <c r="O162" s="10">
        <f>IF(AND(OR(H162="APPROVED",H162="SCHEDULED"),COUNTIFS(tblSource[EventID],F162,tblSource[ReleaseStatus],"APPROVED")=1,COUNTIFS(Period_Status!$A$2:$A$8,G162,Period_Status!$B$2:$B$8,"ActualClosed")=1,C162&gt;EOMONTH(Settlement_Bridge!$C$2,0)),1,0)</f>
        <v>0</v>
      </c>
      <c r="P162" s="2" t="s">
        <v>572</v>
      </c>
    </row>
    <row r="163" spans="1:16" x14ac:dyDescent="0.25">
      <c r="A163" s="2" t="s">
        <v>573</v>
      </c>
      <c r="B163" s="2" t="s">
        <v>136</v>
      </c>
      <c r="C163" s="8">
        <v>46215</v>
      </c>
      <c r="D163" s="6">
        <v>46204</v>
      </c>
      <c r="E163" s="2" t="s">
        <v>260</v>
      </c>
      <c r="F163" s="2" t="s">
        <v>574</v>
      </c>
      <c r="G163" s="6">
        <v>46174</v>
      </c>
      <c r="H163" s="2" t="s">
        <v>71</v>
      </c>
      <c r="I163" s="2" t="s">
        <v>39</v>
      </c>
      <c r="J163" s="9">
        <v>1146.3520000000001</v>
      </c>
      <c r="K163" s="7">
        <v>1</v>
      </c>
      <c r="L163" s="9">
        <v>1146.3499999999999</v>
      </c>
      <c r="M163" s="9">
        <v>1146.3499999999999</v>
      </c>
      <c r="N163" s="9">
        <v>1.8</v>
      </c>
      <c r="O163" s="10">
        <f>IF(AND(OR(H163="APPROVED",H163="SCHEDULED"),COUNTIFS(tblSource[EventID],F163,tblSource[ReleaseStatus],"APPROVED")=1,COUNTIFS(Period_Status!$A$2:$A$8,G163,Period_Status!$B$2:$B$8,"ActualClosed")=1,C163&gt;EOMONTH(Settlement_Bridge!$C$2,0)),1,0)</f>
        <v>0</v>
      </c>
      <c r="P163" s="2" t="s">
        <v>575</v>
      </c>
    </row>
    <row r="164" spans="1:16" x14ac:dyDescent="0.25">
      <c r="A164" s="2" t="s">
        <v>576</v>
      </c>
      <c r="B164" s="2" t="s">
        <v>136</v>
      </c>
      <c r="C164" s="8">
        <v>46240</v>
      </c>
      <c r="D164" s="6">
        <v>46235</v>
      </c>
      <c r="E164" s="2" t="s">
        <v>260</v>
      </c>
      <c r="F164" s="2" t="s">
        <v>574</v>
      </c>
      <c r="G164" s="6">
        <v>46174</v>
      </c>
      <c r="H164" s="2" t="s">
        <v>71</v>
      </c>
      <c r="I164" s="2" t="s">
        <v>39</v>
      </c>
      <c r="J164" s="9">
        <v>1719.528</v>
      </c>
      <c r="K164" s="7">
        <v>1</v>
      </c>
      <c r="L164" s="9">
        <v>1719.53</v>
      </c>
      <c r="M164" s="9">
        <v>1719.53</v>
      </c>
      <c r="N164" s="9">
        <v>1.8</v>
      </c>
      <c r="O164" s="10">
        <f>IF(AND(OR(H164="APPROVED",H164="SCHEDULED"),COUNTIFS(tblSource[EventID],F164,tblSource[ReleaseStatus],"APPROVED")=1,COUNTIFS(Period_Status!$A$2:$A$8,G164,Period_Status!$B$2:$B$8,"ActualClosed")=1,C164&gt;EOMONTH(Settlement_Bridge!$C$2,0)),1,0)</f>
        <v>1</v>
      </c>
      <c r="P164" s="2" t="s">
        <v>577</v>
      </c>
    </row>
    <row r="165" spans="1:16" x14ac:dyDescent="0.25">
      <c r="A165" s="2" t="s">
        <v>578</v>
      </c>
      <c r="B165" s="2" t="s">
        <v>136</v>
      </c>
      <c r="C165" s="8">
        <v>46226</v>
      </c>
      <c r="D165" s="6">
        <v>46204</v>
      </c>
      <c r="E165" s="2" t="s">
        <v>260</v>
      </c>
      <c r="F165" s="2" t="s">
        <v>579</v>
      </c>
      <c r="G165" s="6">
        <v>46174</v>
      </c>
      <c r="H165" s="2" t="s">
        <v>71</v>
      </c>
      <c r="I165" s="2" t="s">
        <v>76</v>
      </c>
      <c r="J165" s="9">
        <v>48622240</v>
      </c>
      <c r="K165" s="7">
        <v>6.2000000000000003E-5</v>
      </c>
      <c r="L165" s="9">
        <v>3014.58</v>
      </c>
      <c r="M165" s="9">
        <v>3038.89</v>
      </c>
      <c r="N165" s="9">
        <v>1.8</v>
      </c>
      <c r="O165" s="10">
        <f>IF(AND(OR(H165="APPROVED",H165="SCHEDULED"),COUNTIFS(tblSource[EventID],F165,tblSource[ReleaseStatus],"APPROVED")=1,COUNTIFS(Period_Status!$A$2:$A$8,G165,Period_Status!$B$2:$B$8,"ActualClosed")=1,C165&gt;EOMONTH(Settlement_Bridge!$C$2,0)),1,0)</f>
        <v>0</v>
      </c>
      <c r="P165" s="2" t="s">
        <v>580</v>
      </c>
    </row>
    <row r="166" spans="1:16" x14ac:dyDescent="0.25">
      <c r="A166" s="2" t="s">
        <v>581</v>
      </c>
      <c r="B166" s="2" t="s">
        <v>136</v>
      </c>
      <c r="C166" s="8">
        <v>46227</v>
      </c>
      <c r="D166" s="6">
        <v>46204</v>
      </c>
      <c r="E166" s="2" t="s">
        <v>260</v>
      </c>
      <c r="F166" s="2" t="s">
        <v>582</v>
      </c>
      <c r="G166" s="6">
        <v>46174</v>
      </c>
      <c r="H166" s="2" t="s">
        <v>71</v>
      </c>
      <c r="I166" s="2" t="s">
        <v>70</v>
      </c>
      <c r="J166" s="9">
        <v>4829.9248120000002</v>
      </c>
      <c r="K166" s="7">
        <v>0.65800000000000003</v>
      </c>
      <c r="L166" s="9">
        <v>3178.09</v>
      </c>
      <c r="M166" s="9">
        <v>3211.9</v>
      </c>
      <c r="N166" s="9">
        <v>1.8</v>
      </c>
      <c r="O166" s="10">
        <f>IF(AND(OR(H166="APPROVED",H166="SCHEDULED"),COUNTIFS(tblSource[EventID],F166,tblSource[ReleaseStatus],"APPROVED")=1,COUNTIFS(Period_Status!$A$2:$A$8,G166,Period_Status!$B$2:$B$8,"ActualClosed")=1,C166&gt;EOMONTH(Settlement_Bridge!$C$2,0)),1,0)</f>
        <v>0</v>
      </c>
      <c r="P166" s="2" t="s">
        <v>583</v>
      </c>
    </row>
    <row r="167" spans="1:16" x14ac:dyDescent="0.25">
      <c r="A167" s="2" t="s">
        <v>584</v>
      </c>
      <c r="B167" s="2" t="s">
        <v>136</v>
      </c>
      <c r="C167" s="8">
        <v>46198</v>
      </c>
      <c r="D167" s="6">
        <v>46174</v>
      </c>
      <c r="E167" s="2" t="s">
        <v>260</v>
      </c>
      <c r="F167" s="2" t="s">
        <v>585</v>
      </c>
      <c r="G167" s="6">
        <v>46174</v>
      </c>
      <c r="H167" s="2" t="s">
        <v>71</v>
      </c>
      <c r="I167" s="2" t="s">
        <v>39</v>
      </c>
      <c r="J167" s="9">
        <v>3384.91</v>
      </c>
      <c r="K167" s="7">
        <v>1</v>
      </c>
      <c r="L167" s="9">
        <v>3384.91</v>
      </c>
      <c r="M167" s="9">
        <v>3384.91</v>
      </c>
      <c r="N167" s="9">
        <v>1.86</v>
      </c>
      <c r="O167" s="10">
        <f>IF(AND(OR(H167="APPROVED",H167="SCHEDULED"),COUNTIFS(tblSource[EventID],F167,tblSource[ReleaseStatus],"APPROVED")=1,COUNTIFS(Period_Status!$A$2:$A$8,G167,Period_Status!$B$2:$B$8,"ActualClosed")=1,C167&gt;EOMONTH(Settlement_Bridge!$C$2,0)),1,0)</f>
        <v>0</v>
      </c>
      <c r="P167" s="2" t="s">
        <v>586</v>
      </c>
    </row>
    <row r="168" spans="1:16" x14ac:dyDescent="0.25">
      <c r="A168" s="2" t="s">
        <v>587</v>
      </c>
      <c r="B168" s="2" t="s">
        <v>136</v>
      </c>
      <c r="C168" s="8">
        <v>46199</v>
      </c>
      <c r="D168" s="6">
        <v>46174</v>
      </c>
      <c r="E168" s="2" t="s">
        <v>260</v>
      </c>
      <c r="F168" s="2" t="s">
        <v>588</v>
      </c>
      <c r="G168" s="6">
        <v>46174</v>
      </c>
      <c r="H168" s="2" t="s">
        <v>71</v>
      </c>
      <c r="I168" s="2" t="s">
        <v>76</v>
      </c>
      <c r="J168" s="9">
        <v>56926720</v>
      </c>
      <c r="K168" s="7">
        <v>6.2500000000000001E-5</v>
      </c>
      <c r="L168" s="9">
        <v>3557.92</v>
      </c>
      <c r="M168" s="9">
        <v>3557.92</v>
      </c>
      <c r="N168" s="9">
        <v>1.96</v>
      </c>
      <c r="O168" s="10">
        <f>IF(AND(OR(H168="APPROVED",H168="SCHEDULED"),COUNTIFS(tblSource[EventID],F168,tblSource[ReleaseStatus],"APPROVED")=1,COUNTIFS(Period_Status!$A$2:$A$8,G168,Period_Status!$B$2:$B$8,"ActualClosed")=1,C168&gt;EOMONTH(Settlement_Bridge!$C$2,0)),1,0)</f>
        <v>0</v>
      </c>
      <c r="P168" s="2" t="s">
        <v>589</v>
      </c>
    </row>
    <row r="169" spans="1:16" x14ac:dyDescent="0.25">
      <c r="A169" s="2" t="s">
        <v>590</v>
      </c>
      <c r="B169" s="2" t="s">
        <v>136</v>
      </c>
      <c r="C169" s="8">
        <v>46200</v>
      </c>
      <c r="D169" s="6">
        <v>46174</v>
      </c>
      <c r="E169" s="2" t="s">
        <v>260</v>
      </c>
      <c r="F169" s="2" t="s">
        <v>591</v>
      </c>
      <c r="G169" s="6">
        <v>46174</v>
      </c>
      <c r="H169" s="2" t="s">
        <v>71</v>
      </c>
      <c r="I169" s="2" t="s">
        <v>70</v>
      </c>
      <c r="J169" s="9">
        <v>5610.421053</v>
      </c>
      <c r="K169" s="7">
        <v>0.66500000000000004</v>
      </c>
      <c r="L169" s="9">
        <v>3730.93</v>
      </c>
      <c r="M169" s="9">
        <v>3730.93</v>
      </c>
      <c r="N169" s="9">
        <v>2.0499999999999998</v>
      </c>
      <c r="O169" s="10">
        <f>IF(AND(OR(H169="APPROVED",H169="SCHEDULED"),COUNTIFS(tblSource[EventID],F169,tblSource[ReleaseStatus],"APPROVED")=1,COUNTIFS(Period_Status!$A$2:$A$8,G169,Period_Status!$B$2:$B$8,"ActualClosed")=1,C169&gt;EOMONTH(Settlement_Bridge!$C$2,0)),1,0)</f>
        <v>0</v>
      </c>
      <c r="P169" s="2" t="s">
        <v>592</v>
      </c>
    </row>
    <row r="170" spans="1:16" x14ac:dyDescent="0.25">
      <c r="A170" s="2" t="s">
        <v>593</v>
      </c>
      <c r="B170" s="2" t="s">
        <v>136</v>
      </c>
      <c r="C170" s="8">
        <v>46191</v>
      </c>
      <c r="D170" s="6">
        <v>46174</v>
      </c>
      <c r="E170" s="2" t="s">
        <v>260</v>
      </c>
      <c r="F170" s="2" t="s">
        <v>594</v>
      </c>
      <c r="G170" s="6">
        <v>46174</v>
      </c>
      <c r="H170" s="2" t="s">
        <v>71</v>
      </c>
      <c r="I170" s="2" t="s">
        <v>39</v>
      </c>
      <c r="J170" s="9">
        <v>1561.576</v>
      </c>
      <c r="K170" s="7">
        <v>1</v>
      </c>
      <c r="L170" s="9">
        <v>1561.58</v>
      </c>
      <c r="M170" s="9">
        <v>1561.58</v>
      </c>
      <c r="N170" s="9">
        <v>1.8</v>
      </c>
      <c r="O170" s="10">
        <f>IF(AND(OR(H170="APPROVED",H170="SCHEDULED"),COUNTIFS(tblSource[EventID],F170,tblSource[ReleaseStatus],"APPROVED")=1,COUNTIFS(Period_Status!$A$2:$A$8,G170,Period_Status!$B$2:$B$8,"ActualClosed")=1,C170&gt;EOMONTH(Settlement_Bridge!$C$2,0)),1,0)</f>
        <v>0</v>
      </c>
      <c r="P170" s="2" t="s">
        <v>595</v>
      </c>
    </row>
    <row r="171" spans="1:16" x14ac:dyDescent="0.25">
      <c r="A171" s="2" t="s">
        <v>596</v>
      </c>
      <c r="B171" s="2" t="s">
        <v>136</v>
      </c>
      <c r="C171" s="8">
        <v>46216</v>
      </c>
      <c r="D171" s="6">
        <v>46204</v>
      </c>
      <c r="E171" s="2" t="s">
        <v>260</v>
      </c>
      <c r="F171" s="2" t="s">
        <v>594</v>
      </c>
      <c r="G171" s="6">
        <v>46174</v>
      </c>
      <c r="H171" s="2" t="s">
        <v>71</v>
      </c>
      <c r="I171" s="2" t="s">
        <v>39</v>
      </c>
      <c r="J171" s="9">
        <v>2342.364</v>
      </c>
      <c r="K171" s="7">
        <v>1</v>
      </c>
      <c r="L171" s="9">
        <v>2342.36</v>
      </c>
      <c r="M171" s="9">
        <v>2342.36</v>
      </c>
      <c r="N171" s="9">
        <v>1.8</v>
      </c>
      <c r="O171" s="10">
        <f>IF(AND(OR(H171="APPROVED",H171="SCHEDULED"),COUNTIFS(tblSource[EventID],F171,tblSource[ReleaseStatus],"APPROVED")=1,COUNTIFS(Period_Status!$A$2:$A$8,G171,Period_Status!$B$2:$B$8,"ActualClosed")=1,C171&gt;EOMONTH(Settlement_Bridge!$C$2,0)),1,0)</f>
        <v>0</v>
      </c>
      <c r="P171" s="2" t="s">
        <v>597</v>
      </c>
    </row>
    <row r="172" spans="1:16" x14ac:dyDescent="0.25">
      <c r="A172" s="2" t="s">
        <v>598</v>
      </c>
      <c r="B172" s="2" t="s">
        <v>136</v>
      </c>
      <c r="C172" s="8">
        <v>46192</v>
      </c>
      <c r="D172" s="6">
        <v>46174</v>
      </c>
      <c r="E172" s="2" t="s">
        <v>260</v>
      </c>
      <c r="F172" s="2" t="s">
        <v>599</v>
      </c>
      <c r="G172" s="6">
        <v>46174</v>
      </c>
      <c r="H172" s="2" t="s">
        <v>71</v>
      </c>
      <c r="I172" s="2" t="s">
        <v>76</v>
      </c>
      <c r="J172" s="9">
        <v>26092480</v>
      </c>
      <c r="K172" s="7">
        <v>6.2500000000000001E-5</v>
      </c>
      <c r="L172" s="9">
        <v>1630.78</v>
      </c>
      <c r="M172" s="9">
        <v>1630.78</v>
      </c>
      <c r="N172" s="9">
        <v>1.8</v>
      </c>
      <c r="O172" s="10">
        <f>IF(AND(OR(H172="APPROVED",H172="SCHEDULED"),COUNTIFS(tblSource[EventID],F172,tblSource[ReleaseStatus],"APPROVED")=1,COUNTIFS(Period_Status!$A$2:$A$8,G172,Period_Status!$B$2:$B$8,"ActualClosed")=1,C172&gt;EOMONTH(Settlement_Bridge!$C$2,0)),1,0)</f>
        <v>0</v>
      </c>
      <c r="P172" s="2" t="s">
        <v>600</v>
      </c>
    </row>
    <row r="173" spans="1:16" x14ac:dyDescent="0.25">
      <c r="A173" s="2" t="s">
        <v>601</v>
      </c>
      <c r="B173" s="2" t="s">
        <v>136</v>
      </c>
      <c r="C173" s="8">
        <v>46217</v>
      </c>
      <c r="D173" s="6">
        <v>46204</v>
      </c>
      <c r="E173" s="2" t="s">
        <v>260</v>
      </c>
      <c r="F173" s="2" t="s">
        <v>599</v>
      </c>
      <c r="G173" s="6">
        <v>46174</v>
      </c>
      <c r="H173" s="2" t="s">
        <v>71</v>
      </c>
      <c r="I173" s="2" t="s">
        <v>76</v>
      </c>
      <c r="J173" s="9">
        <v>39138720</v>
      </c>
      <c r="K173" s="7">
        <v>6.2000000000000003E-5</v>
      </c>
      <c r="L173" s="9">
        <v>2426.6</v>
      </c>
      <c r="M173" s="9">
        <v>2446.17</v>
      </c>
      <c r="N173" s="9">
        <v>1.8</v>
      </c>
      <c r="O173" s="10">
        <f>IF(AND(OR(H173="APPROVED",H173="SCHEDULED"),COUNTIFS(tblSource[EventID],F173,tblSource[ReleaseStatus],"APPROVED")=1,COUNTIFS(Period_Status!$A$2:$A$8,G173,Period_Status!$B$2:$B$8,"ActualClosed")=1,C173&gt;EOMONTH(Settlement_Bridge!$C$2,0)),1,0)</f>
        <v>0</v>
      </c>
      <c r="P173" s="2" t="s">
        <v>602</v>
      </c>
    </row>
    <row r="174" spans="1:16" x14ac:dyDescent="0.25">
      <c r="A174" s="2" t="s">
        <v>603</v>
      </c>
      <c r="B174" s="2" t="s">
        <v>136</v>
      </c>
      <c r="C174" s="8">
        <v>46203</v>
      </c>
      <c r="D174" s="6">
        <v>46174</v>
      </c>
      <c r="E174" s="2" t="s">
        <v>260</v>
      </c>
      <c r="F174" s="2" t="s">
        <v>604</v>
      </c>
      <c r="G174" s="6">
        <v>46174</v>
      </c>
      <c r="H174" s="2" t="s">
        <v>71</v>
      </c>
      <c r="I174" s="2" t="s">
        <v>70</v>
      </c>
      <c r="J174" s="9">
        <v>6390.9172930000004</v>
      </c>
      <c r="K174" s="7">
        <v>0.66500000000000004</v>
      </c>
      <c r="L174" s="9">
        <v>4249.96</v>
      </c>
      <c r="M174" s="9">
        <v>4249.96</v>
      </c>
      <c r="N174" s="9">
        <v>2.34</v>
      </c>
      <c r="O174" s="10">
        <f>IF(AND(OR(H174="APPROVED",H174="SCHEDULED"),COUNTIFS(tblSource[EventID],F174,tblSource[ReleaseStatus],"APPROVED")=1,COUNTIFS(Period_Status!$A$2:$A$8,G174,Period_Status!$B$2:$B$8,"ActualClosed")=1,C174&gt;EOMONTH(Settlement_Bridge!$C$2,0)),1,0)</f>
        <v>0</v>
      </c>
      <c r="P174" s="2" t="s">
        <v>605</v>
      </c>
    </row>
    <row r="175" spans="1:16" x14ac:dyDescent="0.25">
      <c r="A175" s="2" t="s">
        <v>606</v>
      </c>
      <c r="B175" s="2" t="s">
        <v>136</v>
      </c>
      <c r="C175" s="8">
        <v>46204</v>
      </c>
      <c r="D175" s="6">
        <v>46204</v>
      </c>
      <c r="E175" s="2" t="s">
        <v>260</v>
      </c>
      <c r="F175" s="2" t="s">
        <v>607</v>
      </c>
      <c r="G175" s="6">
        <v>46174</v>
      </c>
      <c r="H175" s="2" t="s">
        <v>71</v>
      </c>
      <c r="I175" s="2" t="s">
        <v>39</v>
      </c>
      <c r="J175" s="9">
        <v>4422</v>
      </c>
      <c r="K175" s="7">
        <v>1</v>
      </c>
      <c r="L175" s="9">
        <v>4422</v>
      </c>
      <c r="M175" s="9">
        <v>4422</v>
      </c>
      <c r="N175" s="9">
        <v>2.4300000000000002</v>
      </c>
      <c r="O175" s="10">
        <f>IF(AND(OR(H175="APPROVED",H175="SCHEDULED"),COUNTIFS(tblSource[EventID],F175,tblSource[ReleaseStatus],"APPROVED")=1,COUNTIFS(Period_Status!$A$2:$A$8,G175,Period_Status!$B$2:$B$8,"ActualClosed")=1,C175&gt;EOMONTH(Settlement_Bridge!$C$2,0)),1,0)</f>
        <v>0</v>
      </c>
      <c r="P175" s="2" t="s">
        <v>608</v>
      </c>
    </row>
    <row r="176" spans="1:16" x14ac:dyDescent="0.25">
      <c r="A176" s="2" t="s">
        <v>609</v>
      </c>
      <c r="B176" s="2" t="s">
        <v>136</v>
      </c>
      <c r="C176" s="8">
        <v>46195</v>
      </c>
      <c r="D176" s="6">
        <v>46174</v>
      </c>
      <c r="E176" s="2" t="s">
        <v>260</v>
      </c>
      <c r="F176" s="2" t="s">
        <v>610</v>
      </c>
      <c r="G176" s="6">
        <v>46174</v>
      </c>
      <c r="H176" s="2" t="s">
        <v>71</v>
      </c>
      <c r="I176" s="2" t="s">
        <v>76</v>
      </c>
      <c r="J176" s="9">
        <v>29408064</v>
      </c>
      <c r="K176" s="7">
        <v>6.2500000000000001E-5</v>
      </c>
      <c r="L176" s="9">
        <v>1838</v>
      </c>
      <c r="M176" s="9">
        <v>1838</v>
      </c>
      <c r="N176" s="9">
        <v>1.8</v>
      </c>
      <c r="O176" s="10">
        <f>IF(AND(OR(H176="APPROVED",H176="SCHEDULED"),COUNTIFS(tblSource[EventID],F176,tblSource[ReleaseStatus],"APPROVED")=1,COUNTIFS(Period_Status!$A$2:$A$8,G176,Period_Status!$B$2:$B$8,"ActualClosed")=1,C176&gt;EOMONTH(Settlement_Bridge!$C$2,0)),1,0)</f>
        <v>0</v>
      </c>
      <c r="P176" s="2" t="s">
        <v>611</v>
      </c>
    </row>
    <row r="177" spans="1:16" x14ac:dyDescent="0.25">
      <c r="A177" s="2" t="s">
        <v>612</v>
      </c>
      <c r="B177" s="2" t="s">
        <v>136</v>
      </c>
      <c r="C177" s="8">
        <v>46220</v>
      </c>
      <c r="D177" s="6">
        <v>46204</v>
      </c>
      <c r="E177" s="2" t="s">
        <v>260</v>
      </c>
      <c r="F177" s="2" t="s">
        <v>610</v>
      </c>
      <c r="G177" s="6">
        <v>46174</v>
      </c>
      <c r="H177" s="2" t="s">
        <v>71</v>
      </c>
      <c r="I177" s="2" t="s">
        <v>76</v>
      </c>
      <c r="J177" s="9">
        <v>44112096</v>
      </c>
      <c r="K177" s="7">
        <v>6.2000000000000003E-5</v>
      </c>
      <c r="L177" s="9">
        <v>2734.95</v>
      </c>
      <c r="M177" s="9">
        <v>2757.01</v>
      </c>
      <c r="N177" s="9">
        <v>1.8</v>
      </c>
      <c r="O177" s="10">
        <f>IF(AND(OR(H177="APPROVED",H177="SCHEDULED"),COUNTIFS(tblSource[EventID],F177,tblSource[ReleaseStatus],"APPROVED")=1,COUNTIFS(Period_Status!$A$2:$A$8,G177,Period_Status!$B$2:$B$8,"ActualClosed")=1,C177&gt;EOMONTH(Settlement_Bridge!$C$2,0)),1,0)</f>
        <v>0</v>
      </c>
      <c r="P177" s="2" t="s">
        <v>613</v>
      </c>
    </row>
    <row r="178" spans="1:16" x14ac:dyDescent="0.25">
      <c r="A178" s="2" t="s">
        <v>614</v>
      </c>
      <c r="B178" s="2" t="s">
        <v>136</v>
      </c>
      <c r="C178" s="8">
        <v>46206</v>
      </c>
      <c r="D178" s="6">
        <v>46204</v>
      </c>
      <c r="E178" s="2" t="s">
        <v>260</v>
      </c>
      <c r="F178" s="2" t="s">
        <v>615</v>
      </c>
      <c r="G178" s="6">
        <v>46174</v>
      </c>
      <c r="H178" s="2" t="s">
        <v>71</v>
      </c>
      <c r="I178" s="2" t="s">
        <v>70</v>
      </c>
      <c r="J178" s="9">
        <v>7169.9548869999999</v>
      </c>
      <c r="K178" s="7">
        <v>0.65800000000000003</v>
      </c>
      <c r="L178" s="9">
        <v>4717.83</v>
      </c>
      <c r="M178" s="9">
        <v>4768.0200000000004</v>
      </c>
      <c r="N178" s="9">
        <v>2.59</v>
      </c>
      <c r="O178" s="10">
        <f>IF(AND(OR(H178="APPROVED",H178="SCHEDULED"),COUNTIFS(tblSource[EventID],F178,tblSource[ReleaseStatus],"APPROVED")=1,COUNTIFS(Period_Status!$A$2:$A$8,G178,Period_Status!$B$2:$B$8,"ActualClosed")=1,C178&gt;EOMONTH(Settlement_Bridge!$C$2,0)),1,0)</f>
        <v>0</v>
      </c>
      <c r="P178" s="2" t="s">
        <v>616</v>
      </c>
    </row>
    <row r="179" spans="1:16" x14ac:dyDescent="0.25">
      <c r="A179" s="2" t="s">
        <v>617</v>
      </c>
      <c r="B179" s="2" t="s">
        <v>136</v>
      </c>
      <c r="C179" s="8">
        <v>46207</v>
      </c>
      <c r="D179" s="6">
        <v>46204</v>
      </c>
      <c r="E179" s="2" t="s">
        <v>260</v>
      </c>
      <c r="F179" s="2" t="s">
        <v>618</v>
      </c>
      <c r="G179" s="6">
        <v>46174</v>
      </c>
      <c r="H179" s="2" t="s">
        <v>71</v>
      </c>
      <c r="I179" s="2" t="s">
        <v>39</v>
      </c>
      <c r="J179" s="9">
        <v>4941.03</v>
      </c>
      <c r="K179" s="7">
        <v>1</v>
      </c>
      <c r="L179" s="9">
        <v>4941.03</v>
      </c>
      <c r="M179" s="9">
        <v>4941.03</v>
      </c>
      <c r="N179" s="9">
        <v>2.72</v>
      </c>
      <c r="O179" s="10">
        <f>IF(AND(OR(H179="APPROVED",H179="SCHEDULED"),COUNTIFS(tblSource[EventID],F179,tblSource[ReleaseStatus],"APPROVED")=1,COUNTIFS(Period_Status!$A$2:$A$8,G179,Period_Status!$B$2:$B$8,"ActualClosed")=1,C179&gt;EOMONTH(Settlement_Bridge!$C$2,0)),1,0)</f>
        <v>0</v>
      </c>
      <c r="P179" s="2" t="s">
        <v>619</v>
      </c>
    </row>
    <row r="180" spans="1:16" x14ac:dyDescent="0.25">
      <c r="A180" s="2" t="s">
        <v>620</v>
      </c>
      <c r="B180" s="2" t="s">
        <v>136</v>
      </c>
      <c r="C180" s="8">
        <v>46208</v>
      </c>
      <c r="D180" s="6">
        <v>46204</v>
      </c>
      <c r="E180" s="2" t="s">
        <v>260</v>
      </c>
      <c r="F180" s="2" t="s">
        <v>621</v>
      </c>
      <c r="G180" s="6">
        <v>46174</v>
      </c>
      <c r="H180" s="2" t="s">
        <v>71</v>
      </c>
      <c r="I180" s="2" t="s">
        <v>76</v>
      </c>
      <c r="J180" s="9">
        <v>81824640</v>
      </c>
      <c r="K180" s="7">
        <v>6.2000000000000003E-5</v>
      </c>
      <c r="L180" s="9">
        <v>5073.13</v>
      </c>
      <c r="M180" s="9">
        <v>5114.04</v>
      </c>
      <c r="N180" s="9">
        <v>2.79</v>
      </c>
      <c r="O180" s="10">
        <f>IF(AND(OR(H180="APPROVED",H180="SCHEDULED"),COUNTIFS(tblSource[EventID],F180,tblSource[ReleaseStatus],"APPROVED")=1,COUNTIFS(Period_Status!$A$2:$A$8,G180,Period_Status!$B$2:$B$8,"ActualClosed")=1,C180&gt;EOMONTH(Settlement_Bridge!$C$2,0)),1,0)</f>
        <v>0</v>
      </c>
      <c r="P180" s="2" t="s">
        <v>622</v>
      </c>
    </row>
    <row r="181" spans="1:16" x14ac:dyDescent="0.25">
      <c r="A181" s="2" t="s">
        <v>623</v>
      </c>
      <c r="B181" s="2" t="s">
        <v>136</v>
      </c>
      <c r="C181" s="8">
        <v>46209</v>
      </c>
      <c r="D181" s="6">
        <v>46204</v>
      </c>
      <c r="E181" s="2" t="s">
        <v>260</v>
      </c>
      <c r="F181" s="2" t="s">
        <v>624</v>
      </c>
      <c r="G181" s="6">
        <v>46174</v>
      </c>
      <c r="H181" s="2" t="s">
        <v>71</v>
      </c>
      <c r="I181" s="2" t="s">
        <v>70</v>
      </c>
      <c r="J181" s="9">
        <v>7950.4511279999997</v>
      </c>
      <c r="K181" s="7">
        <v>0.65800000000000003</v>
      </c>
      <c r="L181" s="9">
        <v>5231.3999999999996</v>
      </c>
      <c r="M181" s="9">
        <v>5287.05</v>
      </c>
      <c r="N181" s="9">
        <v>2.88</v>
      </c>
      <c r="O181" s="10">
        <f>IF(AND(OR(H181="APPROVED",H181="SCHEDULED"),COUNTIFS(tblSource[EventID],F181,tblSource[ReleaseStatus],"APPROVED")=1,COUNTIFS(Period_Status!$A$2:$A$8,G181,Period_Status!$B$2:$B$8,"ActualClosed")=1,C181&gt;EOMONTH(Settlement_Bridge!$C$2,0)),1,0)</f>
        <v>0</v>
      </c>
      <c r="P181" s="2" t="s">
        <v>625</v>
      </c>
    </row>
    <row r="182" spans="1:16" x14ac:dyDescent="0.25">
      <c r="A182" s="2" t="s">
        <v>626</v>
      </c>
      <c r="B182" s="2" t="s">
        <v>136</v>
      </c>
      <c r="C182" s="8">
        <v>46210</v>
      </c>
      <c r="D182" s="6">
        <v>46204</v>
      </c>
      <c r="E182" s="2" t="s">
        <v>260</v>
      </c>
      <c r="F182" s="2" t="s">
        <v>627</v>
      </c>
      <c r="G182" s="6">
        <v>46174</v>
      </c>
      <c r="H182" s="2" t="s">
        <v>71</v>
      </c>
      <c r="I182" s="2" t="s">
        <v>39</v>
      </c>
      <c r="J182" s="9">
        <v>5460.06</v>
      </c>
      <c r="K182" s="7">
        <v>1</v>
      </c>
      <c r="L182" s="9">
        <v>5460.06</v>
      </c>
      <c r="M182" s="9">
        <v>5460.06</v>
      </c>
      <c r="N182" s="9">
        <v>3</v>
      </c>
      <c r="O182" s="10">
        <f>IF(AND(OR(H182="APPROVED",H182="SCHEDULED"),COUNTIFS(tblSource[EventID],F182,tblSource[ReleaseStatus],"APPROVED")=1,COUNTIFS(Period_Status!$A$2:$A$8,G182,Period_Status!$B$2:$B$8,"ActualClosed")=1,C182&gt;EOMONTH(Settlement_Bridge!$C$2,0)),1,0)</f>
        <v>0</v>
      </c>
      <c r="P182" s="2" t="s">
        <v>628</v>
      </c>
    </row>
    <row r="183" spans="1:16" x14ac:dyDescent="0.25">
      <c r="A183" s="2" t="s">
        <v>629</v>
      </c>
      <c r="B183" s="2" t="s">
        <v>136</v>
      </c>
      <c r="C183" s="8">
        <v>46201</v>
      </c>
      <c r="D183" s="6">
        <v>46174</v>
      </c>
      <c r="E183" s="2" t="s">
        <v>260</v>
      </c>
      <c r="F183" s="2" t="s">
        <v>630</v>
      </c>
      <c r="G183" s="6">
        <v>46174</v>
      </c>
      <c r="H183" s="2" t="s">
        <v>71</v>
      </c>
      <c r="I183" s="2" t="s">
        <v>76</v>
      </c>
      <c r="J183" s="9">
        <v>36051648</v>
      </c>
      <c r="K183" s="7">
        <v>6.2500000000000001E-5</v>
      </c>
      <c r="L183" s="9">
        <v>2253.23</v>
      </c>
      <c r="M183" s="9">
        <v>2253.23</v>
      </c>
      <c r="N183" s="9">
        <v>1.8</v>
      </c>
      <c r="O183" s="10">
        <f>IF(AND(OR(H183="APPROVED",H183="SCHEDULED"),COUNTIFS(tblSource[EventID],F183,tblSource[ReleaseStatus],"APPROVED")=1,COUNTIFS(Period_Status!$A$2:$A$8,G183,Period_Status!$B$2:$B$8,"ActualClosed")=1,C183&gt;EOMONTH(Settlement_Bridge!$C$2,0)),1,0)</f>
        <v>0</v>
      </c>
      <c r="P183" s="2" t="s">
        <v>631</v>
      </c>
    </row>
    <row r="184" spans="1:16" x14ac:dyDescent="0.25">
      <c r="A184" s="2" t="s">
        <v>632</v>
      </c>
      <c r="B184" s="2" t="s">
        <v>136</v>
      </c>
      <c r="C184" s="8">
        <v>46226</v>
      </c>
      <c r="D184" s="6">
        <v>46204</v>
      </c>
      <c r="E184" s="2" t="s">
        <v>260</v>
      </c>
      <c r="F184" s="2" t="s">
        <v>630</v>
      </c>
      <c r="G184" s="6">
        <v>46174</v>
      </c>
      <c r="H184" s="2" t="s">
        <v>71</v>
      </c>
      <c r="I184" s="2" t="s">
        <v>76</v>
      </c>
      <c r="J184" s="9">
        <v>54077472</v>
      </c>
      <c r="K184" s="7">
        <v>6.2000000000000003E-5</v>
      </c>
      <c r="L184" s="9">
        <v>3352.8</v>
      </c>
      <c r="M184" s="9">
        <v>3379.84</v>
      </c>
      <c r="N184" s="9">
        <v>1.84</v>
      </c>
      <c r="O184" s="10">
        <f>IF(AND(OR(H184="APPROVED",H184="SCHEDULED"),COUNTIFS(tblSource[EventID],F184,tblSource[ReleaseStatus],"APPROVED")=1,COUNTIFS(Period_Status!$A$2:$A$8,G184,Period_Status!$B$2:$B$8,"ActualClosed")=1,C184&gt;EOMONTH(Settlement_Bridge!$C$2,0)),1,0)</f>
        <v>0</v>
      </c>
      <c r="P184" s="2" t="s">
        <v>633</v>
      </c>
    </row>
    <row r="185" spans="1:16" x14ac:dyDescent="0.25">
      <c r="A185" s="2" t="s">
        <v>634</v>
      </c>
      <c r="B185" s="2" t="s">
        <v>136</v>
      </c>
      <c r="C185" s="8">
        <v>46202</v>
      </c>
      <c r="D185" s="6">
        <v>46174</v>
      </c>
      <c r="E185" s="2" t="s">
        <v>260</v>
      </c>
      <c r="F185" s="2" t="s">
        <v>635</v>
      </c>
      <c r="G185" s="6">
        <v>46174</v>
      </c>
      <c r="H185" s="2" t="s">
        <v>71</v>
      </c>
      <c r="I185" s="2" t="s">
        <v>70</v>
      </c>
      <c r="J185" s="9">
        <v>3492.3789470000002</v>
      </c>
      <c r="K185" s="7">
        <v>0.66500000000000004</v>
      </c>
      <c r="L185" s="9">
        <v>2322.4299999999998</v>
      </c>
      <c r="M185" s="9">
        <v>2322.4299999999998</v>
      </c>
      <c r="N185" s="9">
        <v>1.8</v>
      </c>
      <c r="O185" s="10">
        <f>IF(AND(OR(H185="APPROVED",H185="SCHEDULED"),COUNTIFS(tblSource[EventID],F185,tblSource[ReleaseStatus],"APPROVED")=1,COUNTIFS(Period_Status!$A$2:$A$8,G185,Period_Status!$B$2:$B$8,"ActualClosed")=1,C185&gt;EOMONTH(Settlement_Bridge!$C$2,0)),1,0)</f>
        <v>0</v>
      </c>
      <c r="P185" s="2" t="s">
        <v>636</v>
      </c>
    </row>
    <row r="186" spans="1:16" x14ac:dyDescent="0.25">
      <c r="A186" s="2" t="s">
        <v>637</v>
      </c>
      <c r="B186" s="2" t="s">
        <v>136</v>
      </c>
      <c r="C186" s="8">
        <v>46227</v>
      </c>
      <c r="D186" s="6">
        <v>46204</v>
      </c>
      <c r="E186" s="2" t="s">
        <v>260</v>
      </c>
      <c r="F186" s="2" t="s">
        <v>635</v>
      </c>
      <c r="G186" s="6">
        <v>46174</v>
      </c>
      <c r="H186" s="2" t="s">
        <v>71</v>
      </c>
      <c r="I186" s="2" t="s">
        <v>70</v>
      </c>
      <c r="J186" s="9">
        <v>5238.5684209999999</v>
      </c>
      <c r="K186" s="7">
        <v>0.65800000000000003</v>
      </c>
      <c r="L186" s="9">
        <v>3446.98</v>
      </c>
      <c r="M186" s="9">
        <v>3483.65</v>
      </c>
      <c r="N186" s="9">
        <v>1.9</v>
      </c>
      <c r="O186" s="10">
        <f>IF(AND(OR(H186="APPROVED",H186="SCHEDULED"),COUNTIFS(tblSource[EventID],F186,tblSource[ReleaseStatus],"APPROVED")=1,COUNTIFS(Period_Status!$A$2:$A$8,G186,Period_Status!$B$2:$B$8,"ActualClosed")=1,C186&gt;EOMONTH(Settlement_Bridge!$C$2,0)),1,0)</f>
        <v>0</v>
      </c>
      <c r="P186" s="2" t="s">
        <v>638</v>
      </c>
    </row>
    <row r="187" spans="1:16" x14ac:dyDescent="0.25">
      <c r="A187" s="2" t="s">
        <v>639</v>
      </c>
      <c r="B187" s="2" t="s">
        <v>136</v>
      </c>
      <c r="C187" s="8">
        <v>46213</v>
      </c>
      <c r="D187" s="6">
        <v>46204</v>
      </c>
      <c r="E187" s="2" t="s">
        <v>260</v>
      </c>
      <c r="F187" s="2" t="s">
        <v>640</v>
      </c>
      <c r="G187" s="6">
        <v>46174</v>
      </c>
      <c r="H187" s="2" t="s">
        <v>71</v>
      </c>
      <c r="I187" s="2" t="s">
        <v>39</v>
      </c>
      <c r="J187" s="9">
        <v>5979.09</v>
      </c>
      <c r="K187" s="7">
        <v>1</v>
      </c>
      <c r="L187" s="9">
        <v>5979.09</v>
      </c>
      <c r="M187" s="9">
        <v>5979.09</v>
      </c>
      <c r="N187" s="9">
        <v>3.29</v>
      </c>
      <c r="O187" s="10">
        <f>IF(AND(OR(H187="APPROVED",H187="SCHEDULED"),COUNTIFS(tblSource[EventID],F187,tblSource[ReleaseStatus],"APPROVED")=1,COUNTIFS(Period_Status!$A$2:$A$8,G187,Period_Status!$B$2:$B$8,"ActualClosed")=1,C187&gt;EOMONTH(Settlement_Bridge!$C$2,0)),1,0)</f>
        <v>0</v>
      </c>
      <c r="P187" s="2" t="s">
        <v>641</v>
      </c>
    </row>
    <row r="188" spans="1:16" x14ac:dyDescent="0.25">
      <c r="A188" s="2" t="s">
        <v>642</v>
      </c>
      <c r="B188" s="2" t="s">
        <v>136</v>
      </c>
      <c r="C188" s="8">
        <v>46214</v>
      </c>
      <c r="D188" s="6">
        <v>46204</v>
      </c>
      <c r="E188" s="2" t="s">
        <v>260</v>
      </c>
      <c r="F188" s="2" t="s">
        <v>643</v>
      </c>
      <c r="G188" s="6">
        <v>46174</v>
      </c>
      <c r="H188" s="2" t="s">
        <v>71</v>
      </c>
      <c r="I188" s="2" t="s">
        <v>76</v>
      </c>
      <c r="J188" s="9">
        <v>98433600</v>
      </c>
      <c r="K188" s="7">
        <v>6.2000000000000003E-5</v>
      </c>
      <c r="L188" s="9">
        <v>6102.88</v>
      </c>
      <c r="M188" s="9">
        <v>6152.1</v>
      </c>
      <c r="N188" s="9">
        <v>3.36</v>
      </c>
      <c r="O188" s="10">
        <f>IF(AND(OR(H188="APPROVED",H188="SCHEDULED"),COUNTIFS(tblSource[EventID],F188,tblSource[ReleaseStatus],"APPROVED")=1,COUNTIFS(Period_Status!$A$2:$A$8,G188,Period_Status!$B$2:$B$8,"ActualClosed")=1,C188&gt;EOMONTH(Settlement_Bridge!$C$2,0)),1,0)</f>
        <v>0</v>
      </c>
      <c r="P188" s="2" t="s">
        <v>644</v>
      </c>
    </row>
    <row r="189" spans="1:16" x14ac:dyDescent="0.25">
      <c r="A189" s="2" t="s">
        <v>645</v>
      </c>
      <c r="B189" s="2" t="s">
        <v>136</v>
      </c>
      <c r="C189" s="8">
        <v>46205</v>
      </c>
      <c r="D189" s="6">
        <v>46204</v>
      </c>
      <c r="E189" s="2" t="s">
        <v>260</v>
      </c>
      <c r="F189" s="2" t="s">
        <v>646</v>
      </c>
      <c r="G189" s="6">
        <v>46174</v>
      </c>
      <c r="H189" s="2" t="s">
        <v>71</v>
      </c>
      <c r="I189" s="2" t="s">
        <v>70</v>
      </c>
      <c r="J189" s="9">
        <v>3804.577444</v>
      </c>
      <c r="K189" s="7">
        <v>0.65800000000000003</v>
      </c>
      <c r="L189" s="9">
        <v>2503.41</v>
      </c>
      <c r="M189" s="9">
        <v>2530.04</v>
      </c>
      <c r="N189" s="9">
        <v>1.8</v>
      </c>
      <c r="O189" s="10">
        <f>IF(AND(OR(H189="APPROVED",H189="SCHEDULED"),COUNTIFS(tblSource[EventID],F189,tblSource[ReleaseStatus],"APPROVED")=1,COUNTIFS(Period_Status!$A$2:$A$8,G189,Period_Status!$B$2:$B$8,"ActualClosed")=1,C189&gt;EOMONTH(Settlement_Bridge!$C$2,0)),1,0)</f>
        <v>0</v>
      </c>
      <c r="P189" s="2" t="s">
        <v>647</v>
      </c>
    </row>
    <row r="190" spans="1:16" x14ac:dyDescent="0.25">
      <c r="A190" s="2" t="s">
        <v>648</v>
      </c>
      <c r="B190" s="2" t="s">
        <v>136</v>
      </c>
      <c r="C190" s="8">
        <v>46230</v>
      </c>
      <c r="D190" s="6">
        <v>46204</v>
      </c>
      <c r="E190" s="2" t="s">
        <v>260</v>
      </c>
      <c r="F190" s="2" t="s">
        <v>646</v>
      </c>
      <c r="G190" s="6">
        <v>46174</v>
      </c>
      <c r="H190" s="2" t="s">
        <v>71</v>
      </c>
      <c r="I190" s="2" t="s">
        <v>70</v>
      </c>
      <c r="J190" s="9">
        <v>5706.8661650000004</v>
      </c>
      <c r="K190" s="7">
        <v>0.65800000000000003</v>
      </c>
      <c r="L190" s="9">
        <v>3755.12</v>
      </c>
      <c r="M190" s="9">
        <v>3795.07</v>
      </c>
      <c r="N190" s="9">
        <v>2.0699999999999998</v>
      </c>
      <c r="O190" s="10">
        <f>IF(AND(OR(H190="APPROVED",H190="SCHEDULED"),COUNTIFS(tblSource[EventID],F190,tblSource[ReleaseStatus],"APPROVED")=1,COUNTIFS(Period_Status!$A$2:$A$8,G190,Period_Status!$B$2:$B$8,"ActualClosed")=1,C190&gt;EOMONTH(Settlement_Bridge!$C$2,0)),1,0)</f>
        <v>0</v>
      </c>
      <c r="P190" s="2" t="s">
        <v>649</v>
      </c>
    </row>
    <row r="191" spans="1:16" x14ac:dyDescent="0.25">
      <c r="A191" s="2" t="s">
        <v>650</v>
      </c>
      <c r="B191" s="2" t="s">
        <v>136</v>
      </c>
      <c r="C191" s="8">
        <v>46216</v>
      </c>
      <c r="D191" s="6">
        <v>46204</v>
      </c>
      <c r="E191" s="2" t="s">
        <v>260</v>
      </c>
      <c r="F191" s="2" t="s">
        <v>651</v>
      </c>
      <c r="G191" s="6">
        <v>46174</v>
      </c>
      <c r="H191" s="2" t="s">
        <v>71</v>
      </c>
      <c r="I191" s="2" t="s">
        <v>39</v>
      </c>
      <c r="J191" s="9">
        <v>6498.12</v>
      </c>
      <c r="K191" s="7">
        <v>1</v>
      </c>
      <c r="L191" s="9">
        <v>6498.12</v>
      </c>
      <c r="M191" s="9">
        <v>6498.12</v>
      </c>
      <c r="N191" s="9">
        <v>3.57</v>
      </c>
      <c r="O191" s="10">
        <f>IF(AND(OR(H191="APPROVED",H191="SCHEDULED"),COUNTIFS(tblSource[EventID],F191,tblSource[ReleaseStatus],"APPROVED")=1,COUNTIFS(Period_Status!$A$2:$A$8,G191,Period_Status!$B$2:$B$8,"ActualClosed")=1,C191&gt;EOMONTH(Settlement_Bridge!$C$2,0)),1,0)</f>
        <v>0</v>
      </c>
      <c r="P191" s="2" t="s">
        <v>652</v>
      </c>
    </row>
    <row r="192" spans="1:16" x14ac:dyDescent="0.25">
      <c r="A192" s="2" t="s">
        <v>653</v>
      </c>
      <c r="B192" s="2" t="s">
        <v>136</v>
      </c>
      <c r="C192" s="8">
        <v>46217</v>
      </c>
      <c r="D192" s="6">
        <v>46204</v>
      </c>
      <c r="E192" s="2" t="s">
        <v>260</v>
      </c>
      <c r="F192" s="2" t="s">
        <v>654</v>
      </c>
      <c r="G192" s="6">
        <v>46174</v>
      </c>
      <c r="H192" s="2" t="s">
        <v>71</v>
      </c>
      <c r="I192" s="2" t="s">
        <v>76</v>
      </c>
      <c r="J192" s="9">
        <v>106738080</v>
      </c>
      <c r="K192" s="7">
        <v>6.2000000000000003E-5</v>
      </c>
      <c r="L192" s="9">
        <v>6617.76</v>
      </c>
      <c r="M192" s="9">
        <v>6671.13</v>
      </c>
      <c r="N192" s="9">
        <v>3.64</v>
      </c>
      <c r="O192" s="10">
        <f>IF(AND(OR(H192="APPROVED",H192="SCHEDULED"),COUNTIFS(tblSource[EventID],F192,tblSource[ReleaseStatus],"APPROVED")=1,COUNTIFS(Period_Status!$A$2:$A$8,G192,Period_Status!$B$2:$B$8,"ActualClosed")=1,C192&gt;EOMONTH(Settlement_Bridge!$C$2,0)),1,0)</f>
        <v>0</v>
      </c>
      <c r="P192" s="2" t="s">
        <v>655</v>
      </c>
    </row>
    <row r="193" spans="1:16" x14ac:dyDescent="0.25">
      <c r="A193" s="2" t="s">
        <v>656</v>
      </c>
      <c r="B193" s="2" t="s">
        <v>136</v>
      </c>
      <c r="C193" s="8">
        <v>46218</v>
      </c>
      <c r="D193" s="6">
        <v>46204</v>
      </c>
      <c r="E193" s="2" t="s">
        <v>260</v>
      </c>
      <c r="F193" s="2" t="s">
        <v>657</v>
      </c>
      <c r="G193" s="6">
        <v>46174</v>
      </c>
      <c r="H193" s="2" t="s">
        <v>71</v>
      </c>
      <c r="I193" s="2" t="s">
        <v>70</v>
      </c>
      <c r="J193" s="9">
        <v>10291.939850000001</v>
      </c>
      <c r="K193" s="7">
        <v>0.65800000000000003</v>
      </c>
      <c r="L193" s="9">
        <v>6772.1</v>
      </c>
      <c r="M193" s="9">
        <v>6844.14</v>
      </c>
      <c r="N193" s="9">
        <v>3.72</v>
      </c>
      <c r="O193" s="10">
        <f>IF(AND(OR(H193="APPROVED",H193="SCHEDULED"),COUNTIFS(tblSource[EventID],F193,tblSource[ReleaseStatus],"APPROVED")=1,COUNTIFS(Period_Status!$A$2:$A$8,G193,Period_Status!$B$2:$B$8,"ActualClosed")=1,C193&gt;EOMONTH(Settlement_Bridge!$C$2,0)),1,0)</f>
        <v>0</v>
      </c>
      <c r="P193" s="2" t="s">
        <v>658</v>
      </c>
    </row>
    <row r="194" spans="1:16" x14ac:dyDescent="0.25">
      <c r="A194" s="2" t="s">
        <v>659</v>
      </c>
      <c r="B194" s="2" t="s">
        <v>136</v>
      </c>
      <c r="C194" s="8">
        <v>46219</v>
      </c>
      <c r="D194" s="6">
        <v>46204</v>
      </c>
      <c r="E194" s="2" t="s">
        <v>260</v>
      </c>
      <c r="F194" s="2" t="s">
        <v>660</v>
      </c>
      <c r="G194" s="6">
        <v>46174</v>
      </c>
      <c r="H194" s="2" t="s">
        <v>71</v>
      </c>
      <c r="I194" s="2" t="s">
        <v>39</v>
      </c>
      <c r="J194" s="9">
        <v>7017.15</v>
      </c>
      <c r="K194" s="7">
        <v>1</v>
      </c>
      <c r="L194" s="9">
        <v>7017.15</v>
      </c>
      <c r="M194" s="9">
        <v>7017.15</v>
      </c>
      <c r="N194" s="9">
        <v>3.86</v>
      </c>
      <c r="O194" s="10">
        <f>IF(AND(OR(H194="APPROVED",H194="SCHEDULED"),COUNTIFS(tblSource[EventID],F194,tblSource[ReleaseStatus],"APPROVED")=1,COUNTIFS(Period_Status!$A$2:$A$8,G194,Period_Status!$B$2:$B$8,"ActualClosed")=1,C194&gt;EOMONTH(Settlement_Bridge!$C$2,0)),1,0)</f>
        <v>0</v>
      </c>
      <c r="P194" s="2" t="s">
        <v>661</v>
      </c>
    </row>
    <row r="195" spans="1:16" x14ac:dyDescent="0.25">
      <c r="A195" s="2" t="s">
        <v>662</v>
      </c>
      <c r="B195" s="2" t="s">
        <v>136</v>
      </c>
      <c r="C195" s="8">
        <v>46220</v>
      </c>
      <c r="D195" s="6">
        <v>46204</v>
      </c>
      <c r="E195" s="2" t="s">
        <v>260</v>
      </c>
      <c r="F195" s="2" t="s">
        <v>663</v>
      </c>
      <c r="G195" s="6">
        <v>46174</v>
      </c>
      <c r="H195" s="2" t="s">
        <v>71</v>
      </c>
      <c r="I195" s="2" t="s">
        <v>76</v>
      </c>
      <c r="J195" s="9">
        <v>115042560</v>
      </c>
      <c r="K195" s="7">
        <v>6.2000000000000003E-5</v>
      </c>
      <c r="L195" s="9">
        <v>7132.64</v>
      </c>
      <c r="M195" s="9">
        <v>7190.16</v>
      </c>
      <c r="N195" s="9">
        <v>3.92</v>
      </c>
      <c r="O195" s="10">
        <f>IF(AND(OR(H195="APPROVED",H195="SCHEDULED"),COUNTIFS(tblSource[EventID],F195,tblSource[ReleaseStatus],"APPROVED")=1,COUNTIFS(Period_Status!$A$2:$A$8,G195,Period_Status!$B$2:$B$8,"ActualClosed")=1,C195&gt;EOMONTH(Settlement_Bridge!$C$2,0)),1,0)</f>
        <v>0</v>
      </c>
      <c r="P195" s="2" t="s">
        <v>664</v>
      </c>
    </row>
    <row r="196" spans="1:16" x14ac:dyDescent="0.25">
      <c r="A196" s="2" t="s">
        <v>665</v>
      </c>
      <c r="B196" s="2" t="s">
        <v>136</v>
      </c>
      <c r="C196" s="8">
        <v>46211</v>
      </c>
      <c r="D196" s="6">
        <v>46204</v>
      </c>
      <c r="E196" s="2" t="s">
        <v>260</v>
      </c>
      <c r="F196" s="2" t="s">
        <v>666</v>
      </c>
      <c r="G196" s="6">
        <v>46174</v>
      </c>
      <c r="H196" s="2" t="s">
        <v>71</v>
      </c>
      <c r="I196" s="2" t="s">
        <v>70</v>
      </c>
      <c r="J196" s="9">
        <v>4428.9744360000004</v>
      </c>
      <c r="K196" s="7">
        <v>0.65800000000000003</v>
      </c>
      <c r="L196" s="9">
        <v>2914.27</v>
      </c>
      <c r="M196" s="9">
        <v>2945.27</v>
      </c>
      <c r="N196" s="9">
        <v>1.8</v>
      </c>
      <c r="O196" s="10">
        <f>IF(AND(OR(H196="APPROVED",H196="SCHEDULED"),COUNTIFS(tblSource[EventID],F196,tblSource[ReleaseStatus],"APPROVED")=1,COUNTIFS(Period_Status!$A$2:$A$8,G196,Period_Status!$B$2:$B$8,"ActualClosed")=1,C196&gt;EOMONTH(Settlement_Bridge!$C$2,0)),1,0)</f>
        <v>0</v>
      </c>
      <c r="P196" s="2" t="s">
        <v>667</v>
      </c>
    </row>
    <row r="197" spans="1:16" x14ac:dyDescent="0.25">
      <c r="A197" s="2" t="s">
        <v>668</v>
      </c>
      <c r="B197" s="2" t="s">
        <v>136</v>
      </c>
      <c r="C197" s="8">
        <v>46236</v>
      </c>
      <c r="D197" s="6">
        <v>46235</v>
      </c>
      <c r="E197" s="2" t="s">
        <v>260</v>
      </c>
      <c r="F197" s="2" t="s">
        <v>666</v>
      </c>
      <c r="G197" s="6">
        <v>46174</v>
      </c>
      <c r="H197" s="2" t="s">
        <v>71</v>
      </c>
      <c r="I197" s="2" t="s">
        <v>70</v>
      </c>
      <c r="J197" s="9">
        <v>6643.4616539999997</v>
      </c>
      <c r="K197" s="7">
        <v>0.65</v>
      </c>
      <c r="L197" s="9">
        <v>4318.25</v>
      </c>
      <c r="M197" s="9">
        <v>4417.8999999999996</v>
      </c>
      <c r="N197" s="9">
        <v>2.38</v>
      </c>
      <c r="O197" s="10">
        <f>IF(AND(OR(H197="APPROVED",H197="SCHEDULED"),COUNTIFS(tblSource[EventID],F197,tblSource[ReleaseStatus],"APPROVED")=1,COUNTIFS(Period_Status!$A$2:$A$8,G197,Period_Status!$B$2:$B$8,"ActualClosed")=1,C197&gt;EOMONTH(Settlement_Bridge!$C$2,0)),1,0)</f>
        <v>1</v>
      </c>
      <c r="P197" s="2" t="s">
        <v>669</v>
      </c>
    </row>
    <row r="198" spans="1:16" x14ac:dyDescent="0.25">
      <c r="A198" s="2" t="s">
        <v>670</v>
      </c>
      <c r="B198" s="2" t="s">
        <v>136</v>
      </c>
      <c r="C198" s="8">
        <v>46212</v>
      </c>
      <c r="D198" s="6">
        <v>46204</v>
      </c>
      <c r="E198" s="2" t="s">
        <v>260</v>
      </c>
      <c r="F198" s="2" t="s">
        <v>671</v>
      </c>
      <c r="G198" s="6">
        <v>46174</v>
      </c>
      <c r="H198" s="2" t="s">
        <v>71</v>
      </c>
      <c r="I198" s="2" t="s">
        <v>39</v>
      </c>
      <c r="J198" s="9">
        <v>3014.4720000000002</v>
      </c>
      <c r="K198" s="7">
        <v>1</v>
      </c>
      <c r="L198" s="9">
        <v>3014.47</v>
      </c>
      <c r="M198" s="9">
        <v>3014.47</v>
      </c>
      <c r="N198" s="9">
        <v>1.8</v>
      </c>
      <c r="O198" s="10">
        <f>IF(AND(OR(H198="APPROVED",H198="SCHEDULED"),COUNTIFS(tblSource[EventID],F198,tblSource[ReleaseStatus],"APPROVED")=1,COUNTIFS(Period_Status!$A$2:$A$8,G198,Period_Status!$B$2:$B$8,"ActualClosed")=1,C198&gt;EOMONTH(Settlement_Bridge!$C$2,0)),1,0)</f>
        <v>0</v>
      </c>
      <c r="P198" s="2" t="s">
        <v>672</v>
      </c>
    </row>
    <row r="199" spans="1:16" x14ac:dyDescent="0.25">
      <c r="A199" s="2" t="s">
        <v>673</v>
      </c>
      <c r="B199" s="2" t="s">
        <v>136</v>
      </c>
      <c r="C199" s="8">
        <v>46237</v>
      </c>
      <c r="D199" s="6">
        <v>46235</v>
      </c>
      <c r="E199" s="2" t="s">
        <v>260</v>
      </c>
      <c r="F199" s="2" t="s">
        <v>671</v>
      </c>
      <c r="G199" s="6">
        <v>46174</v>
      </c>
      <c r="H199" s="2" t="s">
        <v>71</v>
      </c>
      <c r="I199" s="2" t="s">
        <v>39</v>
      </c>
      <c r="J199" s="9">
        <v>4521.7079999999996</v>
      </c>
      <c r="K199" s="7">
        <v>1</v>
      </c>
      <c r="L199" s="9">
        <v>4521.71</v>
      </c>
      <c r="M199" s="9">
        <v>4521.71</v>
      </c>
      <c r="N199" s="9">
        <v>2.4900000000000002</v>
      </c>
      <c r="O199" s="10">
        <f>IF(AND(OR(H199="APPROVED",H199="SCHEDULED"),COUNTIFS(tblSource[EventID],F199,tblSource[ReleaseStatus],"APPROVED")=1,COUNTIFS(Period_Status!$A$2:$A$8,G199,Period_Status!$B$2:$B$8,"ActualClosed")=1,C199&gt;EOMONTH(Settlement_Bridge!$C$2,0)),1,0)</f>
        <v>1</v>
      </c>
      <c r="P199" s="2" t="s">
        <v>674</v>
      </c>
    </row>
    <row r="200" spans="1:16" x14ac:dyDescent="0.25">
      <c r="A200" s="2" t="s">
        <v>675</v>
      </c>
      <c r="B200" s="2" t="s">
        <v>136</v>
      </c>
      <c r="C200" s="8">
        <v>46223</v>
      </c>
      <c r="D200" s="6">
        <v>46204</v>
      </c>
      <c r="E200" s="2" t="s">
        <v>260</v>
      </c>
      <c r="F200" s="2" t="s">
        <v>676</v>
      </c>
      <c r="G200" s="6">
        <v>46174</v>
      </c>
      <c r="H200" s="2" t="s">
        <v>71</v>
      </c>
      <c r="I200" s="2" t="s">
        <v>76</v>
      </c>
      <c r="J200" s="9">
        <v>123347040</v>
      </c>
      <c r="K200" s="7">
        <v>6.2000000000000003E-5</v>
      </c>
      <c r="L200" s="9">
        <v>7647.52</v>
      </c>
      <c r="M200" s="9">
        <v>7709.19</v>
      </c>
      <c r="N200" s="9">
        <v>4.21</v>
      </c>
      <c r="O200" s="10">
        <f>IF(AND(OR(H200="APPROVED",H200="SCHEDULED"),COUNTIFS(tblSource[EventID],F200,tblSource[ReleaseStatus],"APPROVED")=1,COUNTIFS(Period_Status!$A$2:$A$8,G200,Period_Status!$B$2:$B$8,"ActualClosed")=1,C200&gt;EOMONTH(Settlement_Bridge!$C$2,0)),1,0)</f>
        <v>0</v>
      </c>
      <c r="P200" s="2" t="s">
        <v>677</v>
      </c>
    </row>
    <row r="201" spans="1:16" x14ac:dyDescent="0.25">
      <c r="A201" s="2" t="s">
        <v>678</v>
      </c>
      <c r="B201" s="2" t="s">
        <v>136</v>
      </c>
      <c r="C201" s="8">
        <v>46224</v>
      </c>
      <c r="D201" s="6">
        <v>46204</v>
      </c>
      <c r="E201" s="2" t="s">
        <v>260</v>
      </c>
      <c r="F201" s="2" t="s">
        <v>679</v>
      </c>
      <c r="G201" s="6">
        <v>46174</v>
      </c>
      <c r="H201" s="2" t="s">
        <v>71</v>
      </c>
      <c r="I201" s="2" t="s">
        <v>70</v>
      </c>
      <c r="J201" s="9">
        <v>11852.932331</v>
      </c>
      <c r="K201" s="7">
        <v>0.65800000000000003</v>
      </c>
      <c r="L201" s="9">
        <v>7799.23</v>
      </c>
      <c r="M201" s="9">
        <v>7882.2</v>
      </c>
      <c r="N201" s="9">
        <v>4.29</v>
      </c>
      <c r="O201" s="10">
        <f>IF(AND(OR(H201="APPROVED",H201="SCHEDULED"),COUNTIFS(tblSource[EventID],F201,tblSource[ReleaseStatus],"APPROVED")=1,COUNTIFS(Period_Status!$A$2:$A$8,G201,Period_Status!$B$2:$B$8,"ActualClosed")=1,C201&gt;EOMONTH(Settlement_Bridge!$C$2,0)),1,0)</f>
        <v>0</v>
      </c>
      <c r="P201" s="2" t="s">
        <v>680</v>
      </c>
    </row>
    <row r="202" spans="1:16" x14ac:dyDescent="0.25">
      <c r="A202" s="2" t="s">
        <v>681</v>
      </c>
      <c r="B202" s="2" t="s">
        <v>136</v>
      </c>
      <c r="C202" s="8">
        <v>46215</v>
      </c>
      <c r="D202" s="6">
        <v>46204</v>
      </c>
      <c r="E202" s="2" t="s">
        <v>260</v>
      </c>
      <c r="F202" s="2" t="s">
        <v>682</v>
      </c>
      <c r="G202" s="6">
        <v>46174</v>
      </c>
      <c r="H202" s="2" t="s">
        <v>71</v>
      </c>
      <c r="I202" s="2" t="s">
        <v>39</v>
      </c>
      <c r="J202" s="9">
        <v>3222.0839999999998</v>
      </c>
      <c r="K202" s="7">
        <v>1</v>
      </c>
      <c r="L202" s="9">
        <v>3222.08</v>
      </c>
      <c r="M202" s="9">
        <v>3222.08</v>
      </c>
      <c r="N202" s="9">
        <v>1.8</v>
      </c>
      <c r="O202" s="10">
        <f>IF(AND(OR(H202="APPROVED",H202="SCHEDULED"),COUNTIFS(tblSource[EventID],F202,tblSource[ReleaseStatus],"APPROVED")=1,COUNTIFS(Period_Status!$A$2:$A$8,G202,Period_Status!$B$2:$B$8,"ActualClosed")=1,C202&gt;EOMONTH(Settlement_Bridge!$C$2,0)),1,0)</f>
        <v>0</v>
      </c>
      <c r="P202" s="2" t="s">
        <v>683</v>
      </c>
    </row>
    <row r="203" spans="1:16" x14ac:dyDescent="0.25">
      <c r="A203" s="2" t="s">
        <v>684</v>
      </c>
      <c r="B203" s="2" t="s">
        <v>136</v>
      </c>
      <c r="C203" s="8">
        <v>46240</v>
      </c>
      <c r="D203" s="6">
        <v>46235</v>
      </c>
      <c r="E203" s="2" t="s">
        <v>260</v>
      </c>
      <c r="F203" s="2" t="s">
        <v>682</v>
      </c>
      <c r="G203" s="6">
        <v>46174</v>
      </c>
      <c r="H203" s="2" t="s">
        <v>71</v>
      </c>
      <c r="I203" s="2" t="s">
        <v>39</v>
      </c>
      <c r="J203" s="9">
        <v>4833.1260000000002</v>
      </c>
      <c r="K203" s="7">
        <v>1</v>
      </c>
      <c r="L203" s="9">
        <v>4833.13</v>
      </c>
      <c r="M203" s="9">
        <v>4833.13</v>
      </c>
      <c r="N203" s="9">
        <v>2.66</v>
      </c>
      <c r="O203" s="10">
        <f>IF(AND(OR(H203="APPROVED",H203="SCHEDULED"),COUNTIFS(tblSource[EventID],F203,tblSource[ReleaseStatus],"APPROVED")=1,COUNTIFS(Period_Status!$A$2:$A$8,G203,Period_Status!$B$2:$B$8,"ActualClosed")=1,C203&gt;EOMONTH(Settlement_Bridge!$C$2,0)),1,0)</f>
        <v>1</v>
      </c>
      <c r="P203" s="2" t="s">
        <v>685</v>
      </c>
    </row>
    <row r="204" spans="1:16" x14ac:dyDescent="0.25">
      <c r="A204" s="2" t="s">
        <v>686</v>
      </c>
      <c r="B204" s="2" t="s">
        <v>136</v>
      </c>
      <c r="C204" s="8">
        <v>46226</v>
      </c>
      <c r="D204" s="6">
        <v>46204</v>
      </c>
      <c r="E204" s="2" t="s">
        <v>260</v>
      </c>
      <c r="F204" s="2" t="s">
        <v>687</v>
      </c>
      <c r="G204" s="6">
        <v>46174</v>
      </c>
      <c r="H204" s="2" t="s">
        <v>71</v>
      </c>
      <c r="I204" s="2" t="s">
        <v>76</v>
      </c>
      <c r="J204" s="9">
        <v>131651520</v>
      </c>
      <c r="K204" s="7">
        <v>6.2000000000000003E-5</v>
      </c>
      <c r="L204" s="9">
        <v>8162.39</v>
      </c>
      <c r="M204" s="9">
        <v>8228.2199999999993</v>
      </c>
      <c r="N204" s="9">
        <v>4.49</v>
      </c>
      <c r="O204" s="10">
        <f>IF(AND(OR(H204="APPROVED",H204="SCHEDULED"),COUNTIFS(tblSource[EventID],F204,tblSource[ReleaseStatus],"APPROVED")=1,COUNTIFS(Period_Status!$A$2:$A$8,G204,Period_Status!$B$2:$B$8,"ActualClosed")=1,C204&gt;EOMONTH(Settlement_Bridge!$C$2,0)),1,0)</f>
        <v>0</v>
      </c>
      <c r="P204" s="2" t="s">
        <v>688</v>
      </c>
    </row>
    <row r="205" spans="1:16" x14ac:dyDescent="0.25">
      <c r="A205" s="2" t="s">
        <v>689</v>
      </c>
      <c r="B205" s="2" t="s">
        <v>136</v>
      </c>
      <c r="C205" s="8">
        <v>46227</v>
      </c>
      <c r="D205" s="6">
        <v>46204</v>
      </c>
      <c r="E205" s="2" t="s">
        <v>260</v>
      </c>
      <c r="F205" s="2" t="s">
        <v>690</v>
      </c>
      <c r="G205" s="6">
        <v>46174</v>
      </c>
      <c r="H205" s="2" t="s">
        <v>71</v>
      </c>
      <c r="I205" s="2" t="s">
        <v>70</v>
      </c>
      <c r="J205" s="9">
        <v>12633.428571</v>
      </c>
      <c r="K205" s="7">
        <v>0.65800000000000003</v>
      </c>
      <c r="L205" s="9">
        <v>8312.7999999999993</v>
      </c>
      <c r="M205" s="9">
        <v>8401.23</v>
      </c>
      <c r="N205" s="9">
        <v>4.57</v>
      </c>
      <c r="O205" s="10">
        <f>IF(AND(OR(H205="APPROVED",H205="SCHEDULED"),COUNTIFS(tblSource[EventID],F205,tblSource[ReleaseStatus],"APPROVED")=1,COUNTIFS(Period_Status!$A$2:$A$8,G205,Period_Status!$B$2:$B$8,"ActualClosed")=1,C205&gt;EOMONTH(Settlement_Bridge!$C$2,0)),1,0)</f>
        <v>0</v>
      </c>
      <c r="P205" s="2" t="s">
        <v>691</v>
      </c>
    </row>
    <row r="206" spans="1:16" x14ac:dyDescent="0.25">
      <c r="A206" s="2" t="s">
        <v>692</v>
      </c>
      <c r="B206" s="2" t="s">
        <v>136</v>
      </c>
      <c r="C206" s="8">
        <v>46198</v>
      </c>
      <c r="D206" s="6">
        <v>46174</v>
      </c>
      <c r="E206" s="2" t="s">
        <v>260</v>
      </c>
      <c r="F206" s="2" t="s">
        <v>693</v>
      </c>
      <c r="G206" s="6">
        <v>46174</v>
      </c>
      <c r="H206" s="2" t="s">
        <v>71</v>
      </c>
      <c r="I206" s="2" t="s">
        <v>39</v>
      </c>
      <c r="J206" s="9">
        <v>8574.24</v>
      </c>
      <c r="K206" s="7">
        <v>1</v>
      </c>
      <c r="L206" s="9">
        <v>8574.24</v>
      </c>
      <c r="M206" s="9">
        <v>8574.24</v>
      </c>
      <c r="N206" s="9">
        <v>4.72</v>
      </c>
      <c r="O206" s="10">
        <f>IF(AND(OR(H206="APPROVED",H206="SCHEDULED"),COUNTIFS(tblSource[EventID],F206,tblSource[ReleaseStatus],"APPROVED")=1,COUNTIFS(Period_Status!$A$2:$A$8,G206,Period_Status!$B$2:$B$8,"ActualClosed")=1,C206&gt;EOMONTH(Settlement_Bridge!$C$2,0)),1,0)</f>
        <v>0</v>
      </c>
      <c r="P206" s="2" t="s">
        <v>694</v>
      </c>
    </row>
    <row r="207" spans="1:16" x14ac:dyDescent="0.25">
      <c r="A207" s="2" t="s">
        <v>695</v>
      </c>
      <c r="B207" s="2" t="s">
        <v>136</v>
      </c>
      <c r="C207" s="8">
        <v>46199</v>
      </c>
      <c r="D207" s="6">
        <v>46174</v>
      </c>
      <c r="E207" s="2" t="s">
        <v>260</v>
      </c>
      <c r="F207" s="2" t="s">
        <v>696</v>
      </c>
      <c r="G207" s="6">
        <v>46174</v>
      </c>
      <c r="H207" s="2" t="s">
        <v>71</v>
      </c>
      <c r="I207" s="2" t="s">
        <v>76</v>
      </c>
      <c r="J207" s="9">
        <v>139956000</v>
      </c>
      <c r="K207" s="7">
        <v>6.2500000000000001E-5</v>
      </c>
      <c r="L207" s="9">
        <v>8747.25</v>
      </c>
      <c r="M207" s="9">
        <v>8747.25</v>
      </c>
      <c r="N207" s="9">
        <v>4.8099999999999996</v>
      </c>
      <c r="O207" s="10">
        <f>IF(AND(OR(H207="APPROVED",H207="SCHEDULED"),COUNTIFS(tblSource[EventID],F207,tblSource[ReleaseStatus],"APPROVED")=1,COUNTIFS(Period_Status!$A$2:$A$8,G207,Period_Status!$B$2:$B$8,"ActualClosed")=1,C207&gt;EOMONTH(Settlement_Bridge!$C$2,0)),1,0)</f>
        <v>0</v>
      </c>
      <c r="P207" s="2" t="s">
        <v>697</v>
      </c>
    </row>
    <row r="208" spans="1:16" x14ac:dyDescent="0.25">
      <c r="A208" s="2" t="s">
        <v>698</v>
      </c>
      <c r="B208" s="2" t="s">
        <v>136</v>
      </c>
      <c r="C208" s="8">
        <v>46200</v>
      </c>
      <c r="D208" s="6">
        <v>46174</v>
      </c>
      <c r="E208" s="2" t="s">
        <v>260</v>
      </c>
      <c r="F208" s="2" t="s">
        <v>699</v>
      </c>
      <c r="G208" s="6">
        <v>46174</v>
      </c>
      <c r="H208" s="2" t="s">
        <v>71</v>
      </c>
      <c r="I208" s="2" t="s">
        <v>70</v>
      </c>
      <c r="J208" s="9">
        <v>-13413.924811999999</v>
      </c>
      <c r="K208" s="7">
        <v>0.66500000000000004</v>
      </c>
      <c r="L208" s="9">
        <v>-8920.26</v>
      </c>
      <c r="M208" s="9">
        <v>-8920.26</v>
      </c>
      <c r="N208" s="9">
        <v>0</v>
      </c>
      <c r="O208" s="10">
        <f>IF(AND(OR(H208="APPROVED",H208="SCHEDULED"),COUNTIFS(tblSource[EventID],F208,tblSource[ReleaseStatus],"APPROVED")=1,COUNTIFS(Period_Status!$A$2:$A$8,G208,Period_Status!$B$2:$B$8,"ActualClosed")=1,C208&gt;EOMONTH(Settlement_Bridge!$C$2,0)),1,0)</f>
        <v>0</v>
      </c>
      <c r="P208" s="2" t="s">
        <v>700</v>
      </c>
    </row>
    <row r="209" spans="1:16" x14ac:dyDescent="0.25">
      <c r="A209" s="2" t="s">
        <v>701</v>
      </c>
      <c r="B209" s="2" t="s">
        <v>136</v>
      </c>
      <c r="C209" s="8">
        <v>46191</v>
      </c>
      <c r="D209" s="6">
        <v>46174</v>
      </c>
      <c r="E209" s="2" t="s">
        <v>260</v>
      </c>
      <c r="F209" s="2" t="s">
        <v>702</v>
      </c>
      <c r="G209" s="6">
        <v>46174</v>
      </c>
      <c r="H209" s="2" t="s">
        <v>71</v>
      </c>
      <c r="I209" s="2" t="s">
        <v>39</v>
      </c>
      <c r="J209" s="9">
        <v>3637.308</v>
      </c>
      <c r="K209" s="7">
        <v>1</v>
      </c>
      <c r="L209" s="9">
        <v>3637.31</v>
      </c>
      <c r="M209" s="9">
        <v>3637.31</v>
      </c>
      <c r="N209" s="9">
        <v>2</v>
      </c>
      <c r="O209" s="10">
        <f>IF(AND(OR(H209="APPROVED",H209="SCHEDULED"),COUNTIFS(tblSource[EventID],F209,tblSource[ReleaseStatus],"APPROVED")=1,COUNTIFS(Period_Status!$A$2:$A$8,G209,Period_Status!$B$2:$B$8,"ActualClosed")=1,C209&gt;EOMONTH(Settlement_Bridge!$C$2,0)),1,0)</f>
        <v>0</v>
      </c>
      <c r="P209" s="2" t="s">
        <v>703</v>
      </c>
    </row>
    <row r="210" spans="1:16" x14ac:dyDescent="0.25">
      <c r="A210" s="2" t="s">
        <v>704</v>
      </c>
      <c r="B210" s="2" t="s">
        <v>136</v>
      </c>
      <c r="C210" s="8">
        <v>46216</v>
      </c>
      <c r="D210" s="6">
        <v>46204</v>
      </c>
      <c r="E210" s="2" t="s">
        <v>260</v>
      </c>
      <c r="F210" s="2" t="s">
        <v>702</v>
      </c>
      <c r="G210" s="6">
        <v>46174</v>
      </c>
      <c r="H210" s="2" t="s">
        <v>71</v>
      </c>
      <c r="I210" s="2" t="s">
        <v>39</v>
      </c>
      <c r="J210" s="9">
        <v>5455.9620000000004</v>
      </c>
      <c r="K210" s="7">
        <v>1</v>
      </c>
      <c r="L210" s="9">
        <v>5455.96</v>
      </c>
      <c r="M210" s="9">
        <v>5455.96</v>
      </c>
      <c r="N210" s="9">
        <v>3</v>
      </c>
      <c r="O210" s="10">
        <f>IF(AND(OR(H210="APPROVED",H210="SCHEDULED"),COUNTIFS(tblSource[EventID],F210,tblSource[ReleaseStatus],"APPROVED")=1,COUNTIFS(Period_Status!$A$2:$A$8,G210,Period_Status!$B$2:$B$8,"ActualClosed")=1,C210&gt;EOMONTH(Settlement_Bridge!$C$2,0)),1,0)</f>
        <v>0</v>
      </c>
      <c r="P210" s="2" t="s">
        <v>705</v>
      </c>
    </row>
    <row r="211" spans="1:16" x14ac:dyDescent="0.25">
      <c r="A211" s="2" t="s">
        <v>706</v>
      </c>
      <c r="B211" s="2" t="s">
        <v>136</v>
      </c>
      <c r="C211" s="8">
        <v>46192</v>
      </c>
      <c r="D211" s="6">
        <v>46174</v>
      </c>
      <c r="E211" s="2" t="s">
        <v>260</v>
      </c>
      <c r="F211" s="2" t="s">
        <v>707</v>
      </c>
      <c r="G211" s="6">
        <v>46174</v>
      </c>
      <c r="H211" s="2" t="s">
        <v>71</v>
      </c>
      <c r="I211" s="2" t="s">
        <v>76</v>
      </c>
      <c r="J211" s="9">
        <v>59304192</v>
      </c>
      <c r="K211" s="7">
        <v>6.2500000000000001E-5</v>
      </c>
      <c r="L211" s="9">
        <v>3706.51</v>
      </c>
      <c r="M211" s="9">
        <v>3706.51</v>
      </c>
      <c r="N211" s="9">
        <v>2.04</v>
      </c>
      <c r="O211" s="10">
        <f>IF(AND(OR(H211="APPROVED",H211="SCHEDULED"),COUNTIFS(tblSource[EventID],F211,tblSource[ReleaseStatus],"APPROVED")=1,COUNTIFS(Period_Status!$A$2:$A$8,G211,Period_Status!$B$2:$B$8,"ActualClosed")=1,C211&gt;EOMONTH(Settlement_Bridge!$C$2,0)),1,0)</f>
        <v>0</v>
      </c>
      <c r="P211" s="2" t="s">
        <v>708</v>
      </c>
    </row>
    <row r="212" spans="1:16" x14ac:dyDescent="0.25">
      <c r="A212" s="2" t="s">
        <v>709</v>
      </c>
      <c r="B212" s="2" t="s">
        <v>136</v>
      </c>
      <c r="C212" s="8">
        <v>46217</v>
      </c>
      <c r="D212" s="6">
        <v>46204</v>
      </c>
      <c r="E212" s="2" t="s">
        <v>260</v>
      </c>
      <c r="F212" s="2" t="s">
        <v>707</v>
      </c>
      <c r="G212" s="6">
        <v>46174</v>
      </c>
      <c r="H212" s="2" t="s">
        <v>71</v>
      </c>
      <c r="I212" s="2" t="s">
        <v>76</v>
      </c>
      <c r="J212" s="9">
        <v>88956288</v>
      </c>
      <c r="K212" s="7">
        <v>6.2000000000000003E-5</v>
      </c>
      <c r="L212" s="9">
        <v>5515.29</v>
      </c>
      <c r="M212" s="9">
        <v>5559.77</v>
      </c>
      <c r="N212" s="9">
        <v>3.03</v>
      </c>
      <c r="O212" s="10">
        <f>IF(AND(OR(H212="APPROVED",H212="SCHEDULED"),COUNTIFS(tblSource[EventID],F212,tblSource[ReleaseStatus],"APPROVED")=1,COUNTIFS(Period_Status!$A$2:$A$8,G212,Period_Status!$B$2:$B$8,"ActualClosed")=1,C212&gt;EOMONTH(Settlement_Bridge!$C$2,0)),1,0)</f>
        <v>0</v>
      </c>
      <c r="P212" s="2" t="s">
        <v>710</v>
      </c>
    </row>
    <row r="213" spans="1:16" x14ac:dyDescent="0.25">
      <c r="A213" s="2" t="s">
        <v>711</v>
      </c>
      <c r="B213" s="2" t="s">
        <v>136</v>
      </c>
      <c r="C213" s="8">
        <v>46203</v>
      </c>
      <c r="D213" s="6">
        <v>46174</v>
      </c>
      <c r="E213" s="2" t="s">
        <v>260</v>
      </c>
      <c r="F213" s="2" t="s">
        <v>712</v>
      </c>
      <c r="G213" s="6">
        <v>46174</v>
      </c>
      <c r="H213" s="2" t="s">
        <v>71</v>
      </c>
      <c r="I213" s="2" t="s">
        <v>70</v>
      </c>
      <c r="J213" s="9">
        <v>14194.421053</v>
      </c>
      <c r="K213" s="7">
        <v>0.66500000000000004</v>
      </c>
      <c r="L213" s="9">
        <v>9439.2900000000009</v>
      </c>
      <c r="M213" s="9">
        <v>9439.2900000000009</v>
      </c>
      <c r="N213" s="9">
        <v>5.19</v>
      </c>
      <c r="O213" s="10">
        <f>IF(AND(OR(H213="APPROVED",H213="SCHEDULED"),COUNTIFS(tblSource[EventID],F213,tblSource[ReleaseStatus],"APPROVED")=1,COUNTIFS(Period_Status!$A$2:$A$8,G213,Period_Status!$B$2:$B$8,"ActualClosed")=1,C213&gt;EOMONTH(Settlement_Bridge!$C$2,0)),1,0)</f>
        <v>0</v>
      </c>
      <c r="P213" s="2" t="s">
        <v>713</v>
      </c>
    </row>
    <row r="214" spans="1:16" x14ac:dyDescent="0.25">
      <c r="A214" s="2" t="s">
        <v>714</v>
      </c>
      <c r="B214" s="2" t="s">
        <v>136</v>
      </c>
      <c r="C214" s="8">
        <v>46204</v>
      </c>
      <c r="D214" s="6">
        <v>46204</v>
      </c>
      <c r="E214" s="2" t="s">
        <v>260</v>
      </c>
      <c r="F214" s="2" t="s">
        <v>715</v>
      </c>
      <c r="G214" s="6">
        <v>46174</v>
      </c>
      <c r="H214" s="2" t="s">
        <v>71</v>
      </c>
      <c r="I214" s="2" t="s">
        <v>39</v>
      </c>
      <c r="J214" s="9">
        <v>9612.2999999999993</v>
      </c>
      <c r="K214" s="7">
        <v>1</v>
      </c>
      <c r="L214" s="9">
        <v>9612.2999999999993</v>
      </c>
      <c r="M214" s="9">
        <v>9612.2999999999993</v>
      </c>
      <c r="N214" s="9">
        <v>5.29</v>
      </c>
      <c r="O214" s="10">
        <f>IF(AND(OR(H214="APPROVED",H214="SCHEDULED"),COUNTIFS(tblSource[EventID],F214,tblSource[ReleaseStatus],"APPROVED")=1,COUNTIFS(Period_Status!$A$2:$A$8,G214,Period_Status!$B$2:$B$8,"ActualClosed")=1,C214&gt;EOMONTH(Settlement_Bridge!$C$2,0)),1,0)</f>
        <v>0</v>
      </c>
      <c r="P214" s="2" t="s">
        <v>716</v>
      </c>
    </row>
    <row r="215" spans="1:16" x14ac:dyDescent="0.25">
      <c r="A215" s="2" t="s">
        <v>717</v>
      </c>
      <c r="B215" s="2" t="s">
        <v>136</v>
      </c>
      <c r="C215" s="8">
        <v>46195</v>
      </c>
      <c r="D215" s="6">
        <v>46174</v>
      </c>
      <c r="E215" s="2" t="s">
        <v>260</v>
      </c>
      <c r="F215" s="2" t="s">
        <v>718</v>
      </c>
      <c r="G215" s="6">
        <v>46174</v>
      </c>
      <c r="H215" s="2" t="s">
        <v>71</v>
      </c>
      <c r="I215" s="2" t="s">
        <v>76</v>
      </c>
      <c r="J215" s="9">
        <v>62625984</v>
      </c>
      <c r="K215" s="7">
        <v>6.2500000000000001E-5</v>
      </c>
      <c r="L215" s="9">
        <v>3914.12</v>
      </c>
      <c r="M215" s="9">
        <v>3914.12</v>
      </c>
      <c r="N215" s="9">
        <v>2.15</v>
      </c>
      <c r="O215" s="10">
        <f>IF(AND(OR(H215="APPROVED",H215="SCHEDULED"),COUNTIFS(tblSource[EventID],F215,tblSource[ReleaseStatus],"APPROVED")=1,COUNTIFS(Period_Status!$A$2:$A$8,G215,Period_Status!$B$2:$B$8,"ActualClosed")=1,C215&gt;EOMONTH(Settlement_Bridge!$C$2,0)),1,0)</f>
        <v>0</v>
      </c>
      <c r="P215" s="2" t="s">
        <v>719</v>
      </c>
    </row>
    <row r="216" spans="1:16" x14ac:dyDescent="0.25">
      <c r="A216" s="2" t="s">
        <v>720</v>
      </c>
      <c r="B216" s="2" t="s">
        <v>136</v>
      </c>
      <c r="C216" s="8">
        <v>46220</v>
      </c>
      <c r="D216" s="6">
        <v>46204</v>
      </c>
      <c r="E216" s="2" t="s">
        <v>260</v>
      </c>
      <c r="F216" s="2" t="s">
        <v>718</v>
      </c>
      <c r="G216" s="6">
        <v>46174</v>
      </c>
      <c r="H216" s="2" t="s">
        <v>71</v>
      </c>
      <c r="I216" s="2" t="s">
        <v>76</v>
      </c>
      <c r="J216" s="9">
        <v>93938976</v>
      </c>
      <c r="K216" s="7">
        <v>6.2000000000000003E-5</v>
      </c>
      <c r="L216" s="9">
        <v>5824.22</v>
      </c>
      <c r="M216" s="9">
        <v>5871.19</v>
      </c>
      <c r="N216" s="9">
        <v>3.2</v>
      </c>
      <c r="O216" s="10">
        <f>IF(AND(OR(H216="APPROVED",H216="SCHEDULED"),COUNTIFS(tblSource[EventID],F216,tblSource[ReleaseStatus],"APPROVED")=1,COUNTIFS(Period_Status!$A$2:$A$8,G216,Period_Status!$B$2:$B$8,"ActualClosed")=1,C216&gt;EOMONTH(Settlement_Bridge!$C$2,0)),1,0)</f>
        <v>0</v>
      </c>
      <c r="P216" s="2" t="s">
        <v>721</v>
      </c>
    </row>
    <row r="217" spans="1:16" x14ac:dyDescent="0.25">
      <c r="A217" s="2" t="s">
        <v>722</v>
      </c>
      <c r="B217" s="2" t="s">
        <v>136</v>
      </c>
      <c r="C217" s="8">
        <v>46206</v>
      </c>
      <c r="D217" s="6">
        <v>46204</v>
      </c>
      <c r="E217" s="2" t="s">
        <v>260</v>
      </c>
      <c r="F217" s="2" t="s">
        <v>723</v>
      </c>
      <c r="G217" s="6">
        <v>46174</v>
      </c>
      <c r="H217" s="2" t="s">
        <v>71</v>
      </c>
      <c r="I217" s="2" t="s">
        <v>70</v>
      </c>
      <c r="J217" s="9">
        <v>14974.917293</v>
      </c>
      <c r="K217" s="7">
        <v>0.65800000000000003</v>
      </c>
      <c r="L217" s="9">
        <v>9853.5</v>
      </c>
      <c r="M217" s="9">
        <v>9958.32</v>
      </c>
      <c r="N217" s="9">
        <v>5.42</v>
      </c>
      <c r="O217" s="10">
        <f>IF(AND(OR(H217="APPROVED",H217="SCHEDULED"),COUNTIFS(tblSource[EventID],F217,tblSource[ReleaseStatus],"APPROVED")=1,COUNTIFS(Period_Status!$A$2:$A$8,G217,Period_Status!$B$2:$B$8,"ActualClosed")=1,C217&gt;EOMONTH(Settlement_Bridge!$C$2,0)),1,0)</f>
        <v>0</v>
      </c>
      <c r="P217" s="2" t="s">
        <v>724</v>
      </c>
    </row>
    <row r="218" spans="1:16" x14ac:dyDescent="0.25">
      <c r="A218" s="2" t="s">
        <v>725</v>
      </c>
      <c r="B218" s="2" t="s">
        <v>136</v>
      </c>
      <c r="C218" s="8">
        <v>46207</v>
      </c>
      <c r="D218" s="6">
        <v>46204</v>
      </c>
      <c r="E218" s="2" t="s">
        <v>260</v>
      </c>
      <c r="F218" s="2" t="s">
        <v>726</v>
      </c>
      <c r="G218" s="6">
        <v>46174</v>
      </c>
      <c r="H218" s="2" t="s">
        <v>71</v>
      </c>
      <c r="I218" s="2" t="s">
        <v>39</v>
      </c>
      <c r="J218" s="9">
        <v>10131.33</v>
      </c>
      <c r="K218" s="7">
        <v>1</v>
      </c>
      <c r="L218" s="9">
        <v>10131.33</v>
      </c>
      <c r="M218" s="9">
        <v>10131.33</v>
      </c>
      <c r="N218" s="9">
        <v>5.57</v>
      </c>
      <c r="O218" s="10">
        <f>IF(AND(OR(H218="APPROVED",H218="SCHEDULED"),COUNTIFS(tblSource[EventID],F218,tblSource[ReleaseStatus],"APPROVED")=1,COUNTIFS(Period_Status!$A$2:$A$8,G218,Period_Status!$B$2:$B$8,"ActualClosed")=1,C218&gt;EOMONTH(Settlement_Bridge!$C$2,0)),1,0)</f>
        <v>0</v>
      </c>
      <c r="P218" s="2" t="s">
        <v>727</v>
      </c>
    </row>
    <row r="219" spans="1:16" x14ac:dyDescent="0.25">
      <c r="A219" s="2" t="s">
        <v>728</v>
      </c>
      <c r="B219" s="2" t="s">
        <v>136</v>
      </c>
      <c r="C219" s="8">
        <v>46208</v>
      </c>
      <c r="D219" s="6">
        <v>46204</v>
      </c>
      <c r="E219" s="2" t="s">
        <v>260</v>
      </c>
      <c r="F219" s="2" t="s">
        <v>729</v>
      </c>
      <c r="G219" s="6">
        <v>46174</v>
      </c>
      <c r="H219" s="2" t="s">
        <v>71</v>
      </c>
      <c r="I219" s="2" t="s">
        <v>76</v>
      </c>
      <c r="J219" s="9">
        <v>164869440</v>
      </c>
      <c r="K219" s="7">
        <v>6.2000000000000003E-5</v>
      </c>
      <c r="L219" s="9">
        <v>10221.91</v>
      </c>
      <c r="M219" s="9">
        <v>10304.34</v>
      </c>
      <c r="N219" s="9">
        <v>5.62</v>
      </c>
      <c r="O219" s="10">
        <f>IF(AND(OR(H219="APPROVED",H219="SCHEDULED"),COUNTIFS(tblSource[EventID],F219,tblSource[ReleaseStatus],"APPROVED")=1,COUNTIFS(Period_Status!$A$2:$A$8,G219,Period_Status!$B$2:$B$8,"ActualClosed")=1,C219&gt;EOMONTH(Settlement_Bridge!$C$2,0)),1,0)</f>
        <v>0</v>
      </c>
      <c r="P219" s="2" t="s">
        <v>730</v>
      </c>
    </row>
    <row r="220" spans="1:16" x14ac:dyDescent="0.25">
      <c r="A220" s="2" t="s">
        <v>731</v>
      </c>
      <c r="B220" s="2" t="s">
        <v>136</v>
      </c>
      <c r="C220" s="8">
        <v>46209</v>
      </c>
      <c r="D220" s="6">
        <v>46204</v>
      </c>
      <c r="E220" s="2" t="s">
        <v>260</v>
      </c>
      <c r="F220" s="2" t="s">
        <v>732</v>
      </c>
      <c r="G220" s="6">
        <v>46174</v>
      </c>
      <c r="H220" s="2" t="s">
        <v>71</v>
      </c>
      <c r="I220" s="2" t="s">
        <v>70</v>
      </c>
      <c r="J220" s="9">
        <v>15755.413533999999</v>
      </c>
      <c r="K220" s="7">
        <v>0.65800000000000003</v>
      </c>
      <c r="L220" s="9">
        <v>10367.06</v>
      </c>
      <c r="M220" s="9">
        <v>10477.35</v>
      </c>
      <c r="N220" s="9">
        <v>5.7</v>
      </c>
      <c r="O220" s="10">
        <f>IF(AND(OR(H220="APPROVED",H220="SCHEDULED"),COUNTIFS(tblSource[EventID],F220,tblSource[ReleaseStatus],"APPROVED")=1,COUNTIFS(Period_Status!$A$2:$A$8,G220,Period_Status!$B$2:$B$8,"ActualClosed")=1,C220&gt;EOMONTH(Settlement_Bridge!$C$2,0)),1,0)</f>
        <v>0</v>
      </c>
      <c r="P220" s="2" t="s">
        <v>733</v>
      </c>
    </row>
    <row r="221" spans="1:16" x14ac:dyDescent="0.25">
      <c r="A221" s="2" t="s">
        <v>734</v>
      </c>
      <c r="B221" s="2" t="s">
        <v>136</v>
      </c>
      <c r="C221" s="8">
        <v>46210</v>
      </c>
      <c r="D221" s="6">
        <v>46204</v>
      </c>
      <c r="E221" s="2" t="s">
        <v>260</v>
      </c>
      <c r="F221" s="2" t="s">
        <v>735</v>
      </c>
      <c r="G221" s="6">
        <v>46174</v>
      </c>
      <c r="H221" s="2" t="s">
        <v>71</v>
      </c>
      <c r="I221" s="2" t="s">
        <v>39</v>
      </c>
      <c r="J221" s="9">
        <v>10650.36</v>
      </c>
      <c r="K221" s="7">
        <v>1</v>
      </c>
      <c r="L221" s="9">
        <v>10650.36</v>
      </c>
      <c r="M221" s="9">
        <v>10650.36</v>
      </c>
      <c r="N221" s="9">
        <v>5.86</v>
      </c>
      <c r="O221" s="10">
        <f>IF(AND(OR(H221="APPROVED",H221="SCHEDULED"),COUNTIFS(tblSource[EventID],F221,tblSource[ReleaseStatus],"APPROVED")=1,COUNTIFS(Period_Status!$A$2:$A$8,G221,Period_Status!$B$2:$B$8,"ActualClosed")=1,C221&gt;EOMONTH(Settlement_Bridge!$C$2,0)),1,0)</f>
        <v>0</v>
      </c>
      <c r="P221" s="2" t="s">
        <v>736</v>
      </c>
    </row>
    <row r="222" spans="1:16" x14ac:dyDescent="0.25">
      <c r="A222" s="2" t="s">
        <v>737</v>
      </c>
      <c r="B222" s="2" t="s">
        <v>136</v>
      </c>
      <c r="C222" s="8">
        <v>46201</v>
      </c>
      <c r="D222" s="6">
        <v>46174</v>
      </c>
      <c r="E222" s="2" t="s">
        <v>260</v>
      </c>
      <c r="F222" s="2" t="s">
        <v>738</v>
      </c>
      <c r="G222" s="6">
        <v>46174</v>
      </c>
      <c r="H222" s="2" t="s">
        <v>71</v>
      </c>
      <c r="I222" s="2" t="s">
        <v>76</v>
      </c>
      <c r="J222" s="9">
        <v>69269568</v>
      </c>
      <c r="K222" s="7">
        <v>6.2500000000000001E-5</v>
      </c>
      <c r="L222" s="9">
        <v>4329.3500000000004</v>
      </c>
      <c r="M222" s="9">
        <v>4329.3500000000004</v>
      </c>
      <c r="N222" s="9">
        <v>2.38</v>
      </c>
      <c r="O222" s="10">
        <f>IF(AND(OR(H222="APPROVED",H222="SCHEDULED"),COUNTIFS(tblSource[EventID],F222,tblSource[ReleaseStatus],"APPROVED")=1,COUNTIFS(Period_Status!$A$2:$A$8,G222,Period_Status!$B$2:$B$8,"ActualClosed")=1,C222&gt;EOMONTH(Settlement_Bridge!$C$2,0)),1,0)</f>
        <v>0</v>
      </c>
      <c r="P222" s="2" t="s">
        <v>739</v>
      </c>
    </row>
    <row r="223" spans="1:16" x14ac:dyDescent="0.25">
      <c r="A223" s="2" t="s">
        <v>740</v>
      </c>
      <c r="B223" s="2" t="s">
        <v>136</v>
      </c>
      <c r="C223" s="8">
        <v>46226</v>
      </c>
      <c r="D223" s="6">
        <v>46204</v>
      </c>
      <c r="E223" s="2" t="s">
        <v>260</v>
      </c>
      <c r="F223" s="2" t="s">
        <v>738</v>
      </c>
      <c r="G223" s="6">
        <v>46174</v>
      </c>
      <c r="H223" s="2" t="s">
        <v>71</v>
      </c>
      <c r="I223" s="2" t="s">
        <v>76</v>
      </c>
      <c r="J223" s="9">
        <v>103904352</v>
      </c>
      <c r="K223" s="7">
        <v>6.2000000000000003E-5</v>
      </c>
      <c r="L223" s="9">
        <v>6442.07</v>
      </c>
      <c r="M223" s="9">
        <v>6494.02</v>
      </c>
      <c r="N223" s="9">
        <v>3.54</v>
      </c>
      <c r="O223" s="10">
        <f>IF(AND(OR(H223="APPROVED",H223="SCHEDULED"),COUNTIFS(tblSource[EventID],F223,tblSource[ReleaseStatus],"APPROVED")=1,COUNTIFS(Period_Status!$A$2:$A$8,G223,Period_Status!$B$2:$B$8,"ActualClosed")=1,C223&gt;EOMONTH(Settlement_Bridge!$C$2,0)),1,0)</f>
        <v>0</v>
      </c>
      <c r="P223" s="2" t="s">
        <v>741</v>
      </c>
    </row>
    <row r="224" spans="1:16" x14ac:dyDescent="0.25">
      <c r="A224" s="2" t="s">
        <v>742</v>
      </c>
      <c r="B224" s="2" t="s">
        <v>136</v>
      </c>
      <c r="C224" s="8">
        <v>46202</v>
      </c>
      <c r="D224" s="6">
        <v>46174</v>
      </c>
      <c r="E224" s="2" t="s">
        <v>260</v>
      </c>
      <c r="F224" s="2" t="s">
        <v>743</v>
      </c>
      <c r="G224" s="6">
        <v>46174</v>
      </c>
      <c r="H224" s="2" t="s">
        <v>71</v>
      </c>
      <c r="I224" s="2" t="s">
        <v>70</v>
      </c>
      <c r="J224" s="9">
        <v>6614.36391</v>
      </c>
      <c r="K224" s="7">
        <v>0.66500000000000004</v>
      </c>
      <c r="L224" s="9">
        <v>4398.55</v>
      </c>
      <c r="M224" s="9">
        <v>4398.55</v>
      </c>
      <c r="N224" s="9">
        <v>2.42</v>
      </c>
      <c r="O224" s="10">
        <f>IF(AND(OR(H224="APPROVED",H224="SCHEDULED"),COUNTIFS(tblSource[EventID],F224,tblSource[ReleaseStatus],"APPROVED")=1,COUNTIFS(Period_Status!$A$2:$A$8,G224,Period_Status!$B$2:$B$8,"ActualClosed")=1,C224&gt;EOMONTH(Settlement_Bridge!$C$2,0)),1,0)</f>
        <v>0</v>
      </c>
      <c r="P224" s="2" t="s">
        <v>744</v>
      </c>
    </row>
    <row r="225" spans="1:16" x14ac:dyDescent="0.25">
      <c r="A225" s="2" t="s">
        <v>745</v>
      </c>
      <c r="B225" s="2" t="s">
        <v>136</v>
      </c>
      <c r="C225" s="8">
        <v>46227</v>
      </c>
      <c r="D225" s="6">
        <v>46204</v>
      </c>
      <c r="E225" s="2" t="s">
        <v>260</v>
      </c>
      <c r="F225" s="2" t="s">
        <v>743</v>
      </c>
      <c r="G225" s="6">
        <v>46174</v>
      </c>
      <c r="H225" s="2" t="s">
        <v>71</v>
      </c>
      <c r="I225" s="2" t="s">
        <v>70</v>
      </c>
      <c r="J225" s="9">
        <v>9921.5458639999997</v>
      </c>
      <c r="K225" s="7">
        <v>0.65800000000000003</v>
      </c>
      <c r="L225" s="9">
        <v>6528.38</v>
      </c>
      <c r="M225" s="9">
        <v>6597.83</v>
      </c>
      <c r="N225" s="9">
        <v>3.59</v>
      </c>
      <c r="O225" s="10">
        <f>IF(AND(OR(H225="APPROVED",H225="SCHEDULED"),COUNTIFS(tblSource[EventID],F225,tblSource[ReleaseStatus],"APPROVED")=1,COUNTIFS(Period_Status!$A$2:$A$8,G225,Period_Status!$B$2:$B$8,"ActualClosed")=1,C225&gt;EOMONTH(Settlement_Bridge!$C$2,0)),1,0)</f>
        <v>0</v>
      </c>
      <c r="P225" s="2" t="s">
        <v>746</v>
      </c>
    </row>
    <row r="226" spans="1:16" x14ac:dyDescent="0.25">
      <c r="A226" s="2" t="s">
        <v>747</v>
      </c>
      <c r="B226" s="2" t="s">
        <v>136</v>
      </c>
      <c r="C226" s="8">
        <v>46213</v>
      </c>
      <c r="D226" s="6">
        <v>46204</v>
      </c>
      <c r="E226" s="2" t="s">
        <v>260</v>
      </c>
      <c r="F226" s="2" t="s">
        <v>748</v>
      </c>
      <c r="G226" s="6">
        <v>46174</v>
      </c>
      <c r="H226" s="2" t="s">
        <v>71</v>
      </c>
      <c r="I226" s="2" t="s">
        <v>39</v>
      </c>
      <c r="J226" s="9">
        <v>11169.39</v>
      </c>
      <c r="K226" s="7">
        <v>1</v>
      </c>
      <c r="L226" s="9">
        <v>11169.39</v>
      </c>
      <c r="M226" s="9">
        <v>11169.39</v>
      </c>
      <c r="N226" s="9">
        <v>6.14</v>
      </c>
      <c r="O226" s="10">
        <f>IF(AND(OR(H226="APPROVED",H226="SCHEDULED"),COUNTIFS(tblSource[EventID],F226,tblSource[ReleaseStatus],"APPROVED")=1,COUNTIFS(Period_Status!$A$2:$A$8,G226,Period_Status!$B$2:$B$8,"ActualClosed")=1,C226&gt;EOMONTH(Settlement_Bridge!$C$2,0)),1,0)</f>
        <v>0</v>
      </c>
      <c r="P226" s="2" t="s">
        <v>749</v>
      </c>
    </row>
    <row r="227" spans="1:16" x14ac:dyDescent="0.25">
      <c r="A227" s="2" t="s">
        <v>750</v>
      </c>
      <c r="B227" s="2" t="s">
        <v>136</v>
      </c>
      <c r="C227" s="8">
        <v>46214</v>
      </c>
      <c r="D227" s="6">
        <v>46204</v>
      </c>
      <c r="E227" s="2" t="s">
        <v>260</v>
      </c>
      <c r="F227" s="2" t="s">
        <v>751</v>
      </c>
      <c r="G227" s="6">
        <v>46174</v>
      </c>
      <c r="H227" s="2" t="s">
        <v>71</v>
      </c>
      <c r="I227" s="2" t="s">
        <v>76</v>
      </c>
      <c r="J227" s="9">
        <v>181478400</v>
      </c>
      <c r="K227" s="7">
        <v>6.2000000000000003E-5</v>
      </c>
      <c r="L227" s="9">
        <v>11251.66</v>
      </c>
      <c r="M227" s="9">
        <v>11342.4</v>
      </c>
      <c r="N227" s="9">
        <v>6.19</v>
      </c>
      <c r="O227" s="10">
        <f>IF(AND(OR(H227="APPROVED",H227="SCHEDULED"),COUNTIFS(tblSource[EventID],F227,tblSource[ReleaseStatus],"APPROVED")=1,COUNTIFS(Period_Status!$A$2:$A$8,G227,Period_Status!$B$2:$B$8,"ActualClosed")=1,C227&gt;EOMONTH(Settlement_Bridge!$C$2,0)),1,0)</f>
        <v>0</v>
      </c>
      <c r="P227" s="2" t="s">
        <v>752</v>
      </c>
    </row>
    <row r="228" spans="1:16" x14ac:dyDescent="0.25">
      <c r="A228" s="2" t="s">
        <v>753</v>
      </c>
      <c r="B228" s="2" t="s">
        <v>136</v>
      </c>
      <c r="C228" s="8">
        <v>46205</v>
      </c>
      <c r="D228" s="6">
        <v>46204</v>
      </c>
      <c r="E228" s="2" t="s">
        <v>260</v>
      </c>
      <c r="F228" s="2" t="s">
        <v>754</v>
      </c>
      <c r="G228" s="6">
        <v>46174</v>
      </c>
      <c r="H228" s="2" t="s">
        <v>71</v>
      </c>
      <c r="I228" s="2" t="s">
        <v>70</v>
      </c>
      <c r="J228" s="9">
        <v>6926.562406</v>
      </c>
      <c r="K228" s="7">
        <v>0.65800000000000003</v>
      </c>
      <c r="L228" s="9">
        <v>4557.68</v>
      </c>
      <c r="M228" s="9">
        <v>4606.16</v>
      </c>
      <c r="N228" s="9">
        <v>2.5099999999999998</v>
      </c>
      <c r="O228" s="10">
        <f>IF(AND(OR(H228="APPROVED",H228="SCHEDULED"),COUNTIFS(tblSource[EventID],F228,tblSource[ReleaseStatus],"APPROVED")=1,COUNTIFS(Period_Status!$A$2:$A$8,G228,Period_Status!$B$2:$B$8,"ActualClosed")=1,C228&gt;EOMONTH(Settlement_Bridge!$C$2,0)),1,0)</f>
        <v>0</v>
      </c>
      <c r="P228" s="2" t="s">
        <v>755</v>
      </c>
    </row>
    <row r="229" spans="1:16" x14ac:dyDescent="0.25">
      <c r="A229" s="2" t="s">
        <v>756</v>
      </c>
      <c r="B229" s="2" t="s">
        <v>136</v>
      </c>
      <c r="C229" s="8">
        <v>46230</v>
      </c>
      <c r="D229" s="6">
        <v>46204</v>
      </c>
      <c r="E229" s="2" t="s">
        <v>260</v>
      </c>
      <c r="F229" s="2" t="s">
        <v>754</v>
      </c>
      <c r="G229" s="6">
        <v>46174</v>
      </c>
      <c r="H229" s="2" t="s">
        <v>71</v>
      </c>
      <c r="I229" s="2" t="s">
        <v>70</v>
      </c>
      <c r="J229" s="9">
        <v>10389.843609</v>
      </c>
      <c r="K229" s="7">
        <v>0.65800000000000003</v>
      </c>
      <c r="L229" s="9">
        <v>6836.52</v>
      </c>
      <c r="M229" s="9">
        <v>6909.25</v>
      </c>
      <c r="N229" s="9">
        <v>3.76</v>
      </c>
      <c r="O229" s="10">
        <f>IF(AND(OR(H229="APPROVED",H229="SCHEDULED"),COUNTIFS(tblSource[EventID],F229,tblSource[ReleaseStatus],"APPROVED")=1,COUNTIFS(Period_Status!$A$2:$A$8,G229,Period_Status!$B$2:$B$8,"ActualClosed")=1,C229&gt;EOMONTH(Settlement_Bridge!$C$2,0)),1,0)</f>
        <v>0</v>
      </c>
      <c r="P229" s="2" t="s">
        <v>757</v>
      </c>
    </row>
    <row r="230" spans="1:16" x14ac:dyDescent="0.25">
      <c r="A230" s="2" t="s">
        <v>758</v>
      </c>
      <c r="B230" s="2" t="s">
        <v>136</v>
      </c>
      <c r="C230" s="8">
        <v>46216</v>
      </c>
      <c r="D230" s="6">
        <v>46204</v>
      </c>
      <c r="E230" s="2" t="s">
        <v>260</v>
      </c>
      <c r="F230" s="2" t="s">
        <v>759</v>
      </c>
      <c r="G230" s="6">
        <v>46174</v>
      </c>
      <c r="H230" s="2" t="s">
        <v>71</v>
      </c>
      <c r="I230" s="2" t="s">
        <v>39</v>
      </c>
      <c r="J230" s="9">
        <v>11688.42</v>
      </c>
      <c r="K230" s="7">
        <v>1</v>
      </c>
      <c r="L230" s="9">
        <v>11688.42</v>
      </c>
      <c r="M230" s="9">
        <v>11688.42</v>
      </c>
      <c r="N230" s="9">
        <v>6.43</v>
      </c>
      <c r="O230" s="10">
        <f>IF(AND(OR(H230="APPROVED",H230="SCHEDULED"),COUNTIFS(tblSource[EventID],F230,tblSource[ReleaseStatus],"APPROVED")=1,COUNTIFS(Period_Status!$A$2:$A$8,G230,Period_Status!$B$2:$B$8,"ActualClosed")=1,C230&gt;EOMONTH(Settlement_Bridge!$C$2,0)),1,0)</f>
        <v>0</v>
      </c>
      <c r="P230" s="2" t="s">
        <v>760</v>
      </c>
    </row>
    <row r="231" spans="1:16" x14ac:dyDescent="0.25">
      <c r="A231" s="2" t="s">
        <v>761</v>
      </c>
      <c r="B231" s="2" t="s">
        <v>136</v>
      </c>
      <c r="C231" s="8">
        <v>46217</v>
      </c>
      <c r="D231" s="6">
        <v>46204</v>
      </c>
      <c r="E231" s="2" t="s">
        <v>260</v>
      </c>
      <c r="F231" s="2" t="s">
        <v>762</v>
      </c>
      <c r="G231" s="6">
        <v>46174</v>
      </c>
      <c r="H231" s="2" t="s">
        <v>71</v>
      </c>
      <c r="I231" s="2" t="s">
        <v>76</v>
      </c>
      <c r="J231" s="9">
        <v>189782880</v>
      </c>
      <c r="K231" s="7">
        <v>6.2000000000000003E-5</v>
      </c>
      <c r="L231" s="9">
        <v>11766.54</v>
      </c>
      <c r="M231" s="9">
        <v>11861.43</v>
      </c>
      <c r="N231" s="9">
        <v>6.47</v>
      </c>
      <c r="O231" s="10">
        <f>IF(AND(OR(H231="APPROVED",H231="SCHEDULED"),COUNTIFS(tblSource[EventID],F231,tblSource[ReleaseStatus],"APPROVED")=1,COUNTIFS(Period_Status!$A$2:$A$8,G231,Period_Status!$B$2:$B$8,"ActualClosed")=1,C231&gt;EOMONTH(Settlement_Bridge!$C$2,0)),1,0)</f>
        <v>0</v>
      </c>
      <c r="P231" s="2" t="s">
        <v>763</v>
      </c>
    </row>
    <row r="232" spans="1:16" x14ac:dyDescent="0.25">
      <c r="A232" s="2" t="s">
        <v>764</v>
      </c>
      <c r="B232" s="2" t="s">
        <v>136</v>
      </c>
      <c r="C232" s="8">
        <v>46218</v>
      </c>
      <c r="D232" s="6">
        <v>46204</v>
      </c>
      <c r="E232" s="2" t="s">
        <v>260</v>
      </c>
      <c r="F232" s="2" t="s">
        <v>765</v>
      </c>
      <c r="G232" s="6">
        <v>46174</v>
      </c>
      <c r="H232" s="2" t="s">
        <v>71</v>
      </c>
      <c r="I232" s="2" t="s">
        <v>70</v>
      </c>
      <c r="J232" s="9">
        <v>18096.902256000001</v>
      </c>
      <c r="K232" s="7">
        <v>0.65800000000000003</v>
      </c>
      <c r="L232" s="9">
        <v>11907.76</v>
      </c>
      <c r="M232" s="9">
        <v>12034.44</v>
      </c>
      <c r="N232" s="9">
        <v>6.55</v>
      </c>
      <c r="O232" s="10">
        <f>IF(AND(OR(H232="APPROVED",H232="SCHEDULED"),COUNTIFS(tblSource[EventID],F232,tblSource[ReleaseStatus],"APPROVED")=1,COUNTIFS(Period_Status!$A$2:$A$8,G232,Period_Status!$B$2:$B$8,"ActualClosed")=1,C232&gt;EOMONTH(Settlement_Bridge!$C$2,0)),1,0)</f>
        <v>0</v>
      </c>
      <c r="P232" s="2" t="s">
        <v>766</v>
      </c>
    </row>
    <row r="233" spans="1:16" x14ac:dyDescent="0.25">
      <c r="A233" s="2" t="s">
        <v>767</v>
      </c>
      <c r="B233" s="2" t="s">
        <v>136</v>
      </c>
      <c r="C233" s="8">
        <v>46219</v>
      </c>
      <c r="D233" s="6">
        <v>46204</v>
      </c>
      <c r="E233" s="2" t="s">
        <v>260</v>
      </c>
      <c r="F233" s="2" t="s">
        <v>768</v>
      </c>
      <c r="G233" s="6">
        <v>46174</v>
      </c>
      <c r="H233" s="2" t="s">
        <v>71</v>
      </c>
      <c r="I233" s="2" t="s">
        <v>39</v>
      </c>
      <c r="J233" s="9">
        <v>12207.45</v>
      </c>
      <c r="K233" s="7">
        <v>1</v>
      </c>
      <c r="L233" s="9">
        <v>12207.45</v>
      </c>
      <c r="M233" s="9">
        <v>12207.45</v>
      </c>
      <c r="N233" s="9">
        <v>6.71</v>
      </c>
      <c r="O233" s="10">
        <f>IF(AND(OR(H233="APPROVED",H233="SCHEDULED"),COUNTIFS(tblSource[EventID],F233,tblSource[ReleaseStatus],"APPROVED")=1,COUNTIFS(Period_Status!$A$2:$A$8,G233,Period_Status!$B$2:$B$8,"ActualClosed")=1,C233&gt;EOMONTH(Settlement_Bridge!$C$2,0)),1,0)</f>
        <v>0</v>
      </c>
      <c r="P233" s="2" t="s">
        <v>769</v>
      </c>
    </row>
    <row r="234" spans="1:16" x14ac:dyDescent="0.25">
      <c r="A234" s="2" t="s">
        <v>770</v>
      </c>
      <c r="B234" s="2" t="s">
        <v>136</v>
      </c>
      <c r="C234" s="8">
        <v>46220</v>
      </c>
      <c r="D234" s="6">
        <v>46204</v>
      </c>
      <c r="E234" s="2" t="s">
        <v>260</v>
      </c>
      <c r="F234" s="2" t="s">
        <v>771</v>
      </c>
      <c r="G234" s="6">
        <v>46174</v>
      </c>
      <c r="H234" s="2" t="s">
        <v>71</v>
      </c>
      <c r="I234" s="2" t="s">
        <v>76</v>
      </c>
      <c r="J234" s="9">
        <v>198087360</v>
      </c>
      <c r="K234" s="7">
        <v>6.2000000000000003E-5</v>
      </c>
      <c r="L234" s="9">
        <v>12281.42</v>
      </c>
      <c r="M234" s="9">
        <v>12380.46</v>
      </c>
      <c r="N234" s="9">
        <v>6.75</v>
      </c>
      <c r="O234" s="10">
        <f>IF(AND(OR(H234="APPROVED",H234="SCHEDULED"),COUNTIFS(tblSource[EventID],F234,tblSource[ReleaseStatus],"APPROVED")=1,COUNTIFS(Period_Status!$A$2:$A$8,G234,Period_Status!$B$2:$B$8,"ActualClosed")=1,C234&gt;EOMONTH(Settlement_Bridge!$C$2,0)),1,0)</f>
        <v>0</v>
      </c>
      <c r="P234" s="2" t="s">
        <v>772</v>
      </c>
    </row>
    <row r="235" spans="1:16" x14ac:dyDescent="0.25">
      <c r="A235" s="2" t="s">
        <v>773</v>
      </c>
      <c r="B235" s="2" t="s">
        <v>136</v>
      </c>
      <c r="C235" s="8">
        <v>46211</v>
      </c>
      <c r="D235" s="6">
        <v>46204</v>
      </c>
      <c r="E235" s="2" t="s">
        <v>260</v>
      </c>
      <c r="F235" s="2" t="s">
        <v>774</v>
      </c>
      <c r="G235" s="6">
        <v>46174</v>
      </c>
      <c r="H235" s="2" t="s">
        <v>71</v>
      </c>
      <c r="I235" s="2" t="s">
        <v>70</v>
      </c>
      <c r="J235" s="9">
        <v>7550.959398</v>
      </c>
      <c r="K235" s="7">
        <v>0.65800000000000003</v>
      </c>
      <c r="L235" s="9">
        <v>4968.53</v>
      </c>
      <c r="M235" s="9">
        <v>5021.3900000000003</v>
      </c>
      <c r="N235" s="9">
        <v>2.73</v>
      </c>
      <c r="O235" s="10">
        <f>IF(AND(OR(H235="APPROVED",H235="SCHEDULED"),COUNTIFS(tblSource[EventID],F235,tblSource[ReleaseStatus],"APPROVED")=1,COUNTIFS(Period_Status!$A$2:$A$8,G235,Period_Status!$B$2:$B$8,"ActualClosed")=1,C235&gt;EOMONTH(Settlement_Bridge!$C$2,0)),1,0)</f>
        <v>0</v>
      </c>
      <c r="P235" s="2" t="s">
        <v>775</v>
      </c>
    </row>
    <row r="236" spans="1:16" x14ac:dyDescent="0.25">
      <c r="A236" s="2" t="s">
        <v>776</v>
      </c>
      <c r="B236" s="2" t="s">
        <v>136</v>
      </c>
      <c r="C236" s="8">
        <v>46236</v>
      </c>
      <c r="D236" s="6">
        <v>46235</v>
      </c>
      <c r="E236" s="2" t="s">
        <v>260</v>
      </c>
      <c r="F236" s="2" t="s">
        <v>774</v>
      </c>
      <c r="G236" s="6">
        <v>46174</v>
      </c>
      <c r="H236" s="2" t="s">
        <v>71</v>
      </c>
      <c r="I236" s="2" t="s">
        <v>70</v>
      </c>
      <c r="J236" s="9">
        <v>11326.439098000001</v>
      </c>
      <c r="K236" s="7">
        <v>0.65</v>
      </c>
      <c r="L236" s="9">
        <v>7362.19</v>
      </c>
      <c r="M236" s="9">
        <v>7532.08</v>
      </c>
      <c r="N236" s="9">
        <v>4.05</v>
      </c>
      <c r="O236" s="10">
        <f>IF(AND(OR(H236="APPROVED",H236="SCHEDULED"),COUNTIFS(tblSource[EventID],F236,tblSource[ReleaseStatus],"APPROVED")=1,COUNTIFS(Period_Status!$A$2:$A$8,G236,Period_Status!$B$2:$B$8,"ActualClosed")=1,C236&gt;EOMONTH(Settlement_Bridge!$C$2,0)),1,0)</f>
        <v>1</v>
      </c>
      <c r="P236" s="2" t="s">
        <v>777</v>
      </c>
    </row>
    <row r="237" spans="1:16" x14ac:dyDescent="0.25">
      <c r="A237" s="2" t="s">
        <v>778</v>
      </c>
      <c r="B237" s="2" t="s">
        <v>136</v>
      </c>
      <c r="C237" s="8">
        <v>46212</v>
      </c>
      <c r="D237" s="6">
        <v>46204</v>
      </c>
      <c r="E237" s="2" t="s">
        <v>260</v>
      </c>
      <c r="F237" s="2" t="s">
        <v>779</v>
      </c>
      <c r="G237" s="6">
        <v>46174</v>
      </c>
      <c r="H237" s="2" t="s">
        <v>71</v>
      </c>
      <c r="I237" s="2" t="s">
        <v>39</v>
      </c>
      <c r="J237" s="9">
        <v>5090.5919999999996</v>
      </c>
      <c r="K237" s="7">
        <v>1</v>
      </c>
      <c r="L237" s="9">
        <v>5090.59</v>
      </c>
      <c r="M237" s="9">
        <v>5090.59</v>
      </c>
      <c r="N237" s="9">
        <v>2.8</v>
      </c>
      <c r="O237" s="10">
        <f>IF(AND(OR(H237="APPROVED",H237="SCHEDULED"),COUNTIFS(tblSource[EventID],F237,tblSource[ReleaseStatus],"APPROVED")=1,COUNTIFS(Period_Status!$A$2:$A$8,G237,Period_Status!$B$2:$B$8,"ActualClosed")=1,C237&gt;EOMONTH(Settlement_Bridge!$C$2,0)),1,0)</f>
        <v>0</v>
      </c>
      <c r="P237" s="2" t="s">
        <v>780</v>
      </c>
    </row>
    <row r="238" spans="1:16" x14ac:dyDescent="0.25">
      <c r="A238" s="2" t="s">
        <v>781</v>
      </c>
      <c r="B238" s="2" t="s">
        <v>136</v>
      </c>
      <c r="C238" s="8">
        <v>46237</v>
      </c>
      <c r="D238" s="6">
        <v>46235</v>
      </c>
      <c r="E238" s="2" t="s">
        <v>260</v>
      </c>
      <c r="F238" s="2" t="s">
        <v>779</v>
      </c>
      <c r="G238" s="6">
        <v>46174</v>
      </c>
      <c r="H238" s="2" t="s">
        <v>71</v>
      </c>
      <c r="I238" s="2" t="s">
        <v>39</v>
      </c>
      <c r="J238" s="9">
        <v>7635.8879999999999</v>
      </c>
      <c r="K238" s="7">
        <v>1</v>
      </c>
      <c r="L238" s="9">
        <v>7635.89</v>
      </c>
      <c r="M238" s="9">
        <v>7635.89</v>
      </c>
      <c r="N238" s="9">
        <v>4.2</v>
      </c>
      <c r="O238" s="10">
        <f>IF(AND(OR(H238="APPROVED",H238="SCHEDULED"),COUNTIFS(tblSource[EventID],F238,tblSource[ReleaseStatus],"APPROVED")=1,COUNTIFS(Period_Status!$A$2:$A$8,G238,Period_Status!$B$2:$B$8,"ActualClosed")=1,C238&gt;EOMONTH(Settlement_Bridge!$C$2,0)),1,0)</f>
        <v>1</v>
      </c>
      <c r="P238" s="2" t="s">
        <v>782</v>
      </c>
    </row>
    <row r="239" spans="1:16" x14ac:dyDescent="0.25">
      <c r="A239" s="2" t="s">
        <v>783</v>
      </c>
      <c r="B239" s="2" t="s">
        <v>136</v>
      </c>
      <c r="C239" s="8">
        <v>46223</v>
      </c>
      <c r="D239" s="6">
        <v>46204</v>
      </c>
      <c r="E239" s="2" t="s">
        <v>260</v>
      </c>
      <c r="F239" s="2" t="s">
        <v>784</v>
      </c>
      <c r="G239" s="6">
        <v>46174</v>
      </c>
      <c r="H239" s="2" t="s">
        <v>71</v>
      </c>
      <c r="I239" s="2" t="s">
        <v>76</v>
      </c>
      <c r="J239" s="9">
        <v>206391840</v>
      </c>
      <c r="K239" s="7">
        <v>6.2000000000000003E-5</v>
      </c>
      <c r="L239" s="9">
        <v>12796.29</v>
      </c>
      <c r="M239" s="9">
        <v>12899.49</v>
      </c>
      <c r="N239" s="9">
        <v>7.04</v>
      </c>
      <c r="O239" s="10">
        <f>IF(AND(OR(H239="APPROVED",H239="SCHEDULED"),COUNTIFS(tblSource[EventID],F239,tblSource[ReleaseStatus],"APPROVED")=1,COUNTIFS(Period_Status!$A$2:$A$8,G239,Period_Status!$B$2:$B$8,"ActualClosed")=1,C239&gt;EOMONTH(Settlement_Bridge!$C$2,0)),1,0)</f>
        <v>0</v>
      </c>
      <c r="P239" s="2" t="s">
        <v>785</v>
      </c>
    </row>
    <row r="240" spans="1:16" x14ac:dyDescent="0.25">
      <c r="A240" s="2" t="s">
        <v>786</v>
      </c>
      <c r="B240" s="2" t="s">
        <v>136</v>
      </c>
      <c r="C240" s="8">
        <v>46224</v>
      </c>
      <c r="D240" s="6">
        <v>46204</v>
      </c>
      <c r="E240" s="2" t="s">
        <v>260</v>
      </c>
      <c r="F240" s="2" t="s">
        <v>787</v>
      </c>
      <c r="G240" s="6">
        <v>46174</v>
      </c>
      <c r="H240" s="2" t="s">
        <v>71</v>
      </c>
      <c r="I240" s="2" t="s">
        <v>70</v>
      </c>
      <c r="J240" s="9">
        <v>19657.894736999999</v>
      </c>
      <c r="K240" s="7">
        <v>0.65800000000000003</v>
      </c>
      <c r="L240" s="9">
        <v>12934.89</v>
      </c>
      <c r="M240" s="9">
        <v>13072.5</v>
      </c>
      <c r="N240" s="9">
        <v>7.11</v>
      </c>
      <c r="O240" s="10">
        <f>IF(AND(OR(H240="APPROVED",H240="SCHEDULED"),COUNTIFS(tblSource[EventID],F240,tblSource[ReleaseStatus],"APPROVED")=1,COUNTIFS(Period_Status!$A$2:$A$8,G240,Period_Status!$B$2:$B$8,"ActualClosed")=1,C240&gt;EOMONTH(Settlement_Bridge!$C$2,0)),1,0)</f>
        <v>0</v>
      </c>
      <c r="P240" s="2" t="s">
        <v>788</v>
      </c>
    </row>
    <row r="241" spans="1:16" x14ac:dyDescent="0.25">
      <c r="A241" s="2" t="s">
        <v>789</v>
      </c>
      <c r="B241" s="2" t="s">
        <v>136</v>
      </c>
      <c r="C241" s="8">
        <v>46215</v>
      </c>
      <c r="D241" s="6">
        <v>46204</v>
      </c>
      <c r="E241" s="2" t="s">
        <v>260</v>
      </c>
      <c r="F241" s="2" t="s">
        <v>790</v>
      </c>
      <c r="G241" s="6">
        <v>46174</v>
      </c>
      <c r="H241" s="2" t="s">
        <v>71</v>
      </c>
      <c r="I241" s="2" t="s">
        <v>39</v>
      </c>
      <c r="J241" s="9">
        <v>5298.2039999999997</v>
      </c>
      <c r="K241" s="7">
        <v>1</v>
      </c>
      <c r="L241" s="9">
        <v>5298.2</v>
      </c>
      <c r="M241" s="9">
        <v>5298.2</v>
      </c>
      <c r="N241" s="9">
        <v>2.91</v>
      </c>
      <c r="O241" s="10">
        <f>IF(AND(OR(H241="APPROVED",H241="SCHEDULED"),COUNTIFS(tblSource[EventID],F241,tblSource[ReleaseStatus],"APPROVED")=1,COUNTIFS(Period_Status!$A$2:$A$8,G241,Period_Status!$B$2:$B$8,"ActualClosed")=1,C241&gt;EOMONTH(Settlement_Bridge!$C$2,0)),1,0)</f>
        <v>0</v>
      </c>
      <c r="P241" s="2" t="s">
        <v>791</v>
      </c>
    </row>
    <row r="242" spans="1:16" x14ac:dyDescent="0.25">
      <c r="A242" s="2" t="s">
        <v>792</v>
      </c>
      <c r="B242" s="2" t="s">
        <v>136</v>
      </c>
      <c r="C242" s="8">
        <v>46240</v>
      </c>
      <c r="D242" s="6">
        <v>46235</v>
      </c>
      <c r="E242" s="2" t="s">
        <v>260</v>
      </c>
      <c r="F242" s="2" t="s">
        <v>790</v>
      </c>
      <c r="G242" s="6">
        <v>46174</v>
      </c>
      <c r="H242" s="2" t="s">
        <v>71</v>
      </c>
      <c r="I242" s="2" t="s">
        <v>39</v>
      </c>
      <c r="J242" s="9">
        <v>7947.3059999999996</v>
      </c>
      <c r="K242" s="7">
        <v>1</v>
      </c>
      <c r="L242" s="9">
        <v>7947.31</v>
      </c>
      <c r="M242" s="9">
        <v>7947.31</v>
      </c>
      <c r="N242" s="9">
        <v>4.37</v>
      </c>
      <c r="O242" s="10">
        <f>IF(AND(OR(H242="APPROVED",H242="SCHEDULED"),COUNTIFS(tblSource[EventID],F242,tblSource[ReleaseStatus],"APPROVED")=1,COUNTIFS(Period_Status!$A$2:$A$8,G242,Period_Status!$B$2:$B$8,"ActualClosed")=1,C242&gt;EOMONTH(Settlement_Bridge!$C$2,0)),1,0)</f>
        <v>1</v>
      </c>
      <c r="P242" s="2" t="s">
        <v>793</v>
      </c>
    </row>
    <row r="243" spans="1:16" x14ac:dyDescent="0.25">
      <c r="A243" s="2" t="s">
        <v>794</v>
      </c>
      <c r="B243" s="2" t="s">
        <v>136</v>
      </c>
      <c r="C243" s="8">
        <v>46226</v>
      </c>
      <c r="D243" s="6">
        <v>46204</v>
      </c>
      <c r="E243" s="2" t="s">
        <v>260</v>
      </c>
      <c r="F243" s="2" t="s">
        <v>795</v>
      </c>
      <c r="G243" s="6">
        <v>46174</v>
      </c>
      <c r="H243" s="2" t="s">
        <v>71</v>
      </c>
      <c r="I243" s="2" t="s">
        <v>76</v>
      </c>
      <c r="J243" s="9">
        <v>214696320</v>
      </c>
      <c r="K243" s="7">
        <v>6.2000000000000003E-5</v>
      </c>
      <c r="L243" s="9">
        <v>13311.17</v>
      </c>
      <c r="M243" s="9">
        <v>13418.52</v>
      </c>
      <c r="N243" s="9">
        <v>7.32</v>
      </c>
      <c r="O243" s="10">
        <f>IF(AND(OR(H243="APPROVED",H243="SCHEDULED"),COUNTIFS(tblSource[EventID],F243,tblSource[ReleaseStatus],"APPROVED")=1,COUNTIFS(Period_Status!$A$2:$A$8,G243,Period_Status!$B$2:$B$8,"ActualClosed")=1,C243&gt;EOMONTH(Settlement_Bridge!$C$2,0)),1,0)</f>
        <v>0</v>
      </c>
      <c r="P243" s="2" t="s">
        <v>796</v>
      </c>
    </row>
    <row r="244" spans="1:16" x14ac:dyDescent="0.25">
      <c r="A244" s="2" t="s">
        <v>797</v>
      </c>
      <c r="B244" s="2" t="s">
        <v>136</v>
      </c>
      <c r="C244" s="8">
        <v>46227</v>
      </c>
      <c r="D244" s="6">
        <v>46204</v>
      </c>
      <c r="E244" s="2" t="s">
        <v>260</v>
      </c>
      <c r="F244" s="2" t="s">
        <v>798</v>
      </c>
      <c r="G244" s="6">
        <v>46174</v>
      </c>
      <c r="H244" s="2" t="s">
        <v>71</v>
      </c>
      <c r="I244" s="2" t="s">
        <v>70</v>
      </c>
      <c r="J244" s="9">
        <v>20438.390976999999</v>
      </c>
      <c r="K244" s="7">
        <v>0.65800000000000003</v>
      </c>
      <c r="L244" s="9">
        <v>13448.46</v>
      </c>
      <c r="M244" s="9">
        <v>13591.53</v>
      </c>
      <c r="N244" s="9">
        <v>7.4</v>
      </c>
      <c r="O244" s="10">
        <f>IF(AND(OR(H244="APPROVED",H244="SCHEDULED"),COUNTIFS(tblSource[EventID],F244,tblSource[ReleaseStatus],"APPROVED")=1,COUNTIFS(Period_Status!$A$2:$A$8,G244,Period_Status!$B$2:$B$8,"ActualClosed")=1,C244&gt;EOMONTH(Settlement_Bridge!$C$2,0)),1,0)</f>
        <v>0</v>
      </c>
      <c r="P244" s="2" t="s">
        <v>799</v>
      </c>
    </row>
    <row r="245" spans="1:16" x14ac:dyDescent="0.25">
      <c r="A245" s="2" t="s">
        <v>800</v>
      </c>
      <c r="B245" s="2" t="s">
        <v>136</v>
      </c>
      <c r="C245" s="8">
        <v>46198</v>
      </c>
      <c r="D245" s="6">
        <v>46174</v>
      </c>
      <c r="E245" s="2" t="s">
        <v>260</v>
      </c>
      <c r="F245" s="2" t="s">
        <v>801</v>
      </c>
      <c r="G245" s="6">
        <v>46174</v>
      </c>
      <c r="H245" s="2" t="s">
        <v>71</v>
      </c>
      <c r="I245" s="2" t="s">
        <v>39</v>
      </c>
      <c r="J245" s="9">
        <v>13764.54</v>
      </c>
      <c r="K245" s="7">
        <v>1</v>
      </c>
      <c r="L245" s="9">
        <v>13764.54</v>
      </c>
      <c r="M245" s="9">
        <v>13764.54</v>
      </c>
      <c r="N245" s="9">
        <v>7.57</v>
      </c>
      <c r="O245" s="10">
        <f>IF(AND(OR(H245="APPROVED",H245="SCHEDULED"),COUNTIFS(tblSource[EventID],F245,tblSource[ReleaseStatus],"APPROVED")=1,COUNTIFS(Period_Status!$A$2:$A$8,G245,Period_Status!$B$2:$B$8,"ActualClosed")=1,C245&gt;EOMONTH(Settlement_Bridge!$C$2,0)),1,0)</f>
        <v>0</v>
      </c>
      <c r="P245" s="2" t="s">
        <v>802</v>
      </c>
    </row>
    <row r="246" spans="1:16" x14ac:dyDescent="0.25">
      <c r="A246" s="2" t="s">
        <v>803</v>
      </c>
      <c r="B246" s="2" t="s">
        <v>136</v>
      </c>
      <c r="C246" s="8">
        <v>46199</v>
      </c>
      <c r="D246" s="6">
        <v>46174</v>
      </c>
      <c r="E246" s="2" t="s">
        <v>260</v>
      </c>
      <c r="F246" s="2" t="s">
        <v>804</v>
      </c>
      <c r="G246" s="6">
        <v>46174</v>
      </c>
      <c r="H246" s="2" t="s">
        <v>71</v>
      </c>
      <c r="I246" s="2" t="s">
        <v>76</v>
      </c>
      <c r="J246" s="9">
        <v>223000800</v>
      </c>
      <c r="K246" s="7">
        <v>6.2500000000000001E-5</v>
      </c>
      <c r="L246" s="9">
        <v>13937.55</v>
      </c>
      <c r="M246" s="9">
        <v>13937.55</v>
      </c>
      <c r="N246" s="9">
        <v>7.67</v>
      </c>
      <c r="O246" s="10">
        <f>IF(AND(OR(H246="APPROVED",H246="SCHEDULED"),COUNTIFS(tblSource[EventID],F246,tblSource[ReleaseStatus],"APPROVED")=1,COUNTIFS(Period_Status!$A$2:$A$8,G246,Period_Status!$B$2:$B$8,"ActualClosed")=1,C246&gt;EOMONTH(Settlement_Bridge!$C$2,0)),1,0)</f>
        <v>0</v>
      </c>
      <c r="P246" s="2" t="s">
        <v>805</v>
      </c>
    </row>
    <row r="247" spans="1:16" x14ac:dyDescent="0.25">
      <c r="A247" s="2" t="s">
        <v>806</v>
      </c>
      <c r="B247" s="2" t="s">
        <v>136</v>
      </c>
      <c r="C247" s="8">
        <v>46200</v>
      </c>
      <c r="D247" s="6">
        <v>46174</v>
      </c>
      <c r="E247" s="2" t="s">
        <v>260</v>
      </c>
      <c r="F247" s="2" t="s">
        <v>807</v>
      </c>
      <c r="G247" s="6">
        <v>46174</v>
      </c>
      <c r="H247" s="2" t="s">
        <v>71</v>
      </c>
      <c r="I247" s="2" t="s">
        <v>70</v>
      </c>
      <c r="J247" s="9">
        <v>21218.887218</v>
      </c>
      <c r="K247" s="7">
        <v>0.66500000000000004</v>
      </c>
      <c r="L247" s="9">
        <v>14110.56</v>
      </c>
      <c r="M247" s="9">
        <v>14110.56</v>
      </c>
      <c r="N247" s="9">
        <v>7.76</v>
      </c>
      <c r="O247" s="10">
        <f>IF(AND(OR(H247="APPROVED",H247="SCHEDULED"),COUNTIFS(tblSource[EventID],F247,tblSource[ReleaseStatus],"APPROVED")=1,COUNTIFS(Period_Status!$A$2:$A$8,G247,Period_Status!$B$2:$B$8,"ActualClosed")=1,C247&gt;EOMONTH(Settlement_Bridge!$C$2,0)),1,0)</f>
        <v>0</v>
      </c>
      <c r="P247" s="2" t="s">
        <v>808</v>
      </c>
    </row>
    <row r="248" spans="1:16" x14ac:dyDescent="0.25">
      <c r="A248" s="2" t="s">
        <v>809</v>
      </c>
      <c r="B248" s="2" t="s">
        <v>136</v>
      </c>
      <c r="C248" s="8">
        <v>46191</v>
      </c>
      <c r="D248" s="6">
        <v>46174</v>
      </c>
      <c r="E248" s="2" t="s">
        <v>260</v>
      </c>
      <c r="F248" s="2" t="s">
        <v>810</v>
      </c>
      <c r="G248" s="6">
        <v>46174</v>
      </c>
      <c r="H248" s="2" t="s">
        <v>71</v>
      </c>
      <c r="I248" s="2" t="s">
        <v>39</v>
      </c>
      <c r="J248" s="9">
        <v>5713.4279999999999</v>
      </c>
      <c r="K248" s="7">
        <v>1</v>
      </c>
      <c r="L248" s="9">
        <v>5713.43</v>
      </c>
      <c r="M248" s="9">
        <v>5713.43</v>
      </c>
      <c r="N248" s="9">
        <v>3.14</v>
      </c>
      <c r="O248" s="10">
        <f>IF(AND(OR(H248="APPROVED",H248="SCHEDULED"),COUNTIFS(tblSource[EventID],F248,tblSource[ReleaseStatus],"APPROVED")=1,COUNTIFS(Period_Status!$A$2:$A$8,G248,Period_Status!$B$2:$B$8,"ActualClosed")=1,C248&gt;EOMONTH(Settlement_Bridge!$C$2,0)),1,0)</f>
        <v>0</v>
      </c>
      <c r="P248" s="2" t="s">
        <v>811</v>
      </c>
    </row>
    <row r="249" spans="1:16" x14ac:dyDescent="0.25">
      <c r="A249" s="2" t="s">
        <v>812</v>
      </c>
      <c r="B249" s="2" t="s">
        <v>136</v>
      </c>
      <c r="C249" s="8">
        <v>46216</v>
      </c>
      <c r="D249" s="6">
        <v>46204</v>
      </c>
      <c r="E249" s="2" t="s">
        <v>260</v>
      </c>
      <c r="F249" s="2" t="s">
        <v>810</v>
      </c>
      <c r="G249" s="6">
        <v>46174</v>
      </c>
      <c r="H249" s="2" t="s">
        <v>71</v>
      </c>
      <c r="I249" s="2" t="s">
        <v>39</v>
      </c>
      <c r="J249" s="9">
        <v>8570.1419999999998</v>
      </c>
      <c r="K249" s="7">
        <v>1</v>
      </c>
      <c r="L249" s="9">
        <v>8570.14</v>
      </c>
      <c r="M249" s="9">
        <v>8570.14</v>
      </c>
      <c r="N249" s="9">
        <v>4.71</v>
      </c>
      <c r="O249" s="10">
        <f>IF(AND(OR(H249="APPROVED",H249="SCHEDULED"),COUNTIFS(tblSource[EventID],F249,tblSource[ReleaseStatus],"APPROVED")=1,COUNTIFS(Period_Status!$A$2:$A$8,G249,Period_Status!$B$2:$B$8,"ActualClosed")=1,C249&gt;EOMONTH(Settlement_Bridge!$C$2,0)),1,0)</f>
        <v>0</v>
      </c>
      <c r="P249" s="2" t="s">
        <v>813</v>
      </c>
    </row>
    <row r="250" spans="1:16" x14ac:dyDescent="0.25">
      <c r="A250" s="2" t="s">
        <v>814</v>
      </c>
      <c r="B250" s="2" t="s">
        <v>136</v>
      </c>
      <c r="C250" s="8">
        <v>46192</v>
      </c>
      <c r="D250" s="6">
        <v>46174</v>
      </c>
      <c r="E250" s="2" t="s">
        <v>260</v>
      </c>
      <c r="F250" s="2" t="s">
        <v>815</v>
      </c>
      <c r="G250" s="6">
        <v>46174</v>
      </c>
      <c r="H250" s="2" t="s">
        <v>71</v>
      </c>
      <c r="I250" s="2" t="s">
        <v>76</v>
      </c>
      <c r="J250" s="9">
        <v>92522112</v>
      </c>
      <c r="K250" s="7">
        <v>6.2500000000000001E-5</v>
      </c>
      <c r="L250" s="9">
        <v>5782.63</v>
      </c>
      <c r="M250" s="9">
        <v>5782.63</v>
      </c>
      <c r="N250" s="9">
        <v>3.18</v>
      </c>
      <c r="O250" s="10">
        <f>IF(AND(OR(H250="APPROVED",H250="SCHEDULED"),COUNTIFS(tblSource[EventID],F250,tblSource[ReleaseStatus],"APPROVED")=1,COUNTIFS(Period_Status!$A$2:$A$8,G250,Period_Status!$B$2:$B$8,"ActualClosed")=1,C250&gt;EOMONTH(Settlement_Bridge!$C$2,0)),1,0)</f>
        <v>0</v>
      </c>
      <c r="P250" s="2" t="s">
        <v>816</v>
      </c>
    </row>
    <row r="251" spans="1:16" x14ac:dyDescent="0.25">
      <c r="A251" s="2" t="s">
        <v>817</v>
      </c>
      <c r="B251" s="2" t="s">
        <v>136</v>
      </c>
      <c r="C251" s="8">
        <v>46217</v>
      </c>
      <c r="D251" s="6">
        <v>46204</v>
      </c>
      <c r="E251" s="2" t="s">
        <v>260</v>
      </c>
      <c r="F251" s="2" t="s">
        <v>815</v>
      </c>
      <c r="G251" s="6">
        <v>46174</v>
      </c>
      <c r="H251" s="2" t="s">
        <v>71</v>
      </c>
      <c r="I251" s="2" t="s">
        <v>76</v>
      </c>
      <c r="J251" s="9">
        <v>138783168</v>
      </c>
      <c r="K251" s="7">
        <v>6.2000000000000003E-5</v>
      </c>
      <c r="L251" s="9">
        <v>8604.56</v>
      </c>
      <c r="M251" s="9">
        <v>8673.9500000000007</v>
      </c>
      <c r="N251" s="9">
        <v>4.7300000000000004</v>
      </c>
      <c r="O251" s="10">
        <f>IF(AND(OR(H251="APPROVED",H251="SCHEDULED"),COUNTIFS(tblSource[EventID],F251,tblSource[ReleaseStatus],"APPROVED")=1,COUNTIFS(Period_Status!$A$2:$A$8,G251,Period_Status!$B$2:$B$8,"ActualClosed")=1,C251&gt;EOMONTH(Settlement_Bridge!$C$2,0)),1,0)</f>
        <v>0</v>
      </c>
      <c r="P251" s="2" t="s">
        <v>818</v>
      </c>
    </row>
    <row r="252" spans="1:16" x14ac:dyDescent="0.25">
      <c r="A252" s="2" t="s">
        <v>819</v>
      </c>
      <c r="B252" s="2" t="s">
        <v>136</v>
      </c>
      <c r="C252" s="8">
        <v>46203</v>
      </c>
      <c r="D252" s="6">
        <v>46174</v>
      </c>
      <c r="E252" s="2" t="s">
        <v>260</v>
      </c>
      <c r="F252" s="2" t="s">
        <v>820</v>
      </c>
      <c r="G252" s="6">
        <v>46174</v>
      </c>
      <c r="H252" s="2" t="s">
        <v>71</v>
      </c>
      <c r="I252" s="2" t="s">
        <v>70</v>
      </c>
      <c r="J252" s="9">
        <v>21999.383459000001</v>
      </c>
      <c r="K252" s="7">
        <v>0.66500000000000004</v>
      </c>
      <c r="L252" s="9">
        <v>14629.59</v>
      </c>
      <c r="M252" s="9">
        <v>14629.59</v>
      </c>
      <c r="N252" s="9">
        <v>8.0500000000000007</v>
      </c>
      <c r="O252" s="10">
        <f>IF(AND(OR(H252="APPROVED",H252="SCHEDULED"),COUNTIFS(tblSource[EventID],F252,tblSource[ReleaseStatus],"APPROVED")=1,COUNTIFS(Period_Status!$A$2:$A$8,G252,Period_Status!$B$2:$B$8,"ActualClosed")=1,C252&gt;EOMONTH(Settlement_Bridge!$C$2,0)),1,0)</f>
        <v>0</v>
      </c>
      <c r="P252" s="2" t="s">
        <v>821</v>
      </c>
    </row>
    <row r="253" spans="1:16" x14ac:dyDescent="0.25">
      <c r="A253" s="2" t="s">
        <v>822</v>
      </c>
      <c r="B253" s="2" t="s">
        <v>136</v>
      </c>
      <c r="C253" s="8">
        <v>46204</v>
      </c>
      <c r="D253" s="6">
        <v>46204</v>
      </c>
      <c r="E253" s="2" t="s">
        <v>260</v>
      </c>
      <c r="F253" s="2" t="s">
        <v>823</v>
      </c>
      <c r="G253" s="6">
        <v>46174</v>
      </c>
      <c r="H253" s="2" t="s">
        <v>71</v>
      </c>
      <c r="I253" s="2" t="s">
        <v>39</v>
      </c>
      <c r="J253" s="9">
        <v>14802.6</v>
      </c>
      <c r="K253" s="7">
        <v>1</v>
      </c>
      <c r="L253" s="9">
        <v>14802.6</v>
      </c>
      <c r="M253" s="9">
        <v>14802.6</v>
      </c>
      <c r="N253" s="9">
        <v>8.14</v>
      </c>
      <c r="O253" s="10">
        <f>IF(AND(OR(H253="APPROVED",H253="SCHEDULED"),COUNTIFS(tblSource[EventID],F253,tblSource[ReleaseStatus],"APPROVED")=1,COUNTIFS(Period_Status!$A$2:$A$8,G253,Period_Status!$B$2:$B$8,"ActualClosed")=1,C253&gt;EOMONTH(Settlement_Bridge!$C$2,0)),1,0)</f>
        <v>0</v>
      </c>
      <c r="P253" s="2" t="s">
        <v>824</v>
      </c>
    </row>
    <row r="254" spans="1:16" x14ac:dyDescent="0.25">
      <c r="A254" s="2" t="s">
        <v>825</v>
      </c>
      <c r="B254" s="2" t="s">
        <v>136</v>
      </c>
      <c r="C254" s="8">
        <v>46195</v>
      </c>
      <c r="D254" s="6">
        <v>46174</v>
      </c>
      <c r="E254" s="2" t="s">
        <v>260</v>
      </c>
      <c r="F254" s="2" t="s">
        <v>826</v>
      </c>
      <c r="G254" s="6">
        <v>46174</v>
      </c>
      <c r="H254" s="2" t="s">
        <v>71</v>
      </c>
      <c r="I254" s="2" t="s">
        <v>76</v>
      </c>
      <c r="J254" s="9">
        <v>6243904</v>
      </c>
      <c r="K254" s="7">
        <v>6.2500000000000001E-5</v>
      </c>
      <c r="L254" s="9">
        <v>390.24</v>
      </c>
      <c r="M254" s="9">
        <v>390.24</v>
      </c>
      <c r="N254" s="9">
        <v>1.8</v>
      </c>
      <c r="O254" s="10">
        <f>IF(AND(OR(H254="APPROVED",H254="SCHEDULED"),COUNTIFS(tblSource[EventID],F254,tblSource[ReleaseStatus],"APPROVED")=1,COUNTIFS(Period_Status!$A$2:$A$8,G254,Period_Status!$B$2:$B$8,"ActualClosed")=1,C254&gt;EOMONTH(Settlement_Bridge!$C$2,0)),1,0)</f>
        <v>0</v>
      </c>
      <c r="P254" s="2" t="s">
        <v>827</v>
      </c>
    </row>
    <row r="255" spans="1:16" x14ac:dyDescent="0.25">
      <c r="A255" s="2" t="s">
        <v>828</v>
      </c>
      <c r="B255" s="2" t="s">
        <v>136</v>
      </c>
      <c r="C255" s="8">
        <v>46220</v>
      </c>
      <c r="D255" s="6">
        <v>46204</v>
      </c>
      <c r="E255" s="2" t="s">
        <v>260</v>
      </c>
      <c r="F255" s="2" t="s">
        <v>826</v>
      </c>
      <c r="G255" s="6">
        <v>46174</v>
      </c>
      <c r="H255" s="2" t="s">
        <v>71</v>
      </c>
      <c r="I255" s="2" t="s">
        <v>76</v>
      </c>
      <c r="J255" s="9">
        <v>9365856</v>
      </c>
      <c r="K255" s="7">
        <v>6.2000000000000003E-5</v>
      </c>
      <c r="L255" s="9">
        <v>580.67999999999995</v>
      </c>
      <c r="M255" s="9">
        <v>585.37</v>
      </c>
      <c r="N255" s="9">
        <v>1.8</v>
      </c>
      <c r="O255" s="10">
        <f>IF(AND(OR(H255="APPROVED",H255="SCHEDULED"),COUNTIFS(tblSource[EventID],F255,tblSource[ReleaseStatus],"APPROVED")=1,COUNTIFS(Period_Status!$A$2:$A$8,G255,Period_Status!$B$2:$B$8,"ActualClosed")=1,C255&gt;EOMONTH(Settlement_Bridge!$C$2,0)),1,0)</f>
        <v>0</v>
      </c>
      <c r="P255" s="2" t="s">
        <v>829</v>
      </c>
    </row>
    <row r="256" spans="1:16" x14ac:dyDescent="0.25">
      <c r="A256" s="2" t="s">
        <v>830</v>
      </c>
      <c r="B256" s="2" t="s">
        <v>136</v>
      </c>
      <c r="C256" s="8">
        <v>46206</v>
      </c>
      <c r="D256" s="6">
        <v>46204</v>
      </c>
      <c r="E256" s="2" t="s">
        <v>260</v>
      </c>
      <c r="F256" s="2" t="s">
        <v>831</v>
      </c>
      <c r="G256" s="6">
        <v>46174</v>
      </c>
      <c r="H256" s="2" t="s">
        <v>71</v>
      </c>
      <c r="I256" s="2" t="s">
        <v>70</v>
      </c>
      <c r="J256" s="9">
        <v>1727.24812</v>
      </c>
      <c r="K256" s="7">
        <v>0.65800000000000003</v>
      </c>
      <c r="L256" s="9">
        <v>1136.53</v>
      </c>
      <c r="M256" s="9">
        <v>1148.6199999999999</v>
      </c>
      <c r="N256" s="9">
        <v>1.8</v>
      </c>
      <c r="O256" s="10">
        <f>IF(AND(OR(H256="APPROVED",H256="SCHEDULED"),COUNTIFS(tblSource[EventID],F256,tblSource[ReleaseStatus],"APPROVED")=1,COUNTIFS(Period_Status!$A$2:$A$8,G256,Period_Status!$B$2:$B$8,"ActualClosed")=1,C256&gt;EOMONTH(Settlement_Bridge!$C$2,0)),1,0)</f>
        <v>0</v>
      </c>
      <c r="P256" s="2" t="s">
        <v>832</v>
      </c>
    </row>
    <row r="257" spans="1:16" x14ac:dyDescent="0.25">
      <c r="A257" s="2" t="s">
        <v>833</v>
      </c>
      <c r="B257" s="2" t="s">
        <v>136</v>
      </c>
      <c r="C257" s="8">
        <v>46207</v>
      </c>
      <c r="D257" s="6">
        <v>46204</v>
      </c>
      <c r="E257" s="2" t="s">
        <v>260</v>
      </c>
      <c r="F257" s="2" t="s">
        <v>834</v>
      </c>
      <c r="G257" s="6">
        <v>46174</v>
      </c>
      <c r="H257" s="2" t="s">
        <v>71</v>
      </c>
      <c r="I257" s="2" t="s">
        <v>39</v>
      </c>
      <c r="J257" s="9">
        <v>1321.63</v>
      </c>
      <c r="K257" s="7">
        <v>1</v>
      </c>
      <c r="L257" s="9">
        <v>1321.63</v>
      </c>
      <c r="M257" s="9">
        <v>1321.63</v>
      </c>
      <c r="N257" s="9">
        <v>1.8</v>
      </c>
      <c r="O257" s="10">
        <f>IF(AND(OR(H257="APPROVED",H257="SCHEDULED"),COUNTIFS(tblSource[EventID],F257,tblSource[ReleaseStatus],"APPROVED")=1,COUNTIFS(Period_Status!$A$2:$A$8,G257,Period_Status!$B$2:$B$8,"ActualClosed")=1,C257&gt;EOMONTH(Settlement_Bridge!$C$2,0)),1,0)</f>
        <v>0</v>
      </c>
      <c r="P257" s="2" t="s">
        <v>835</v>
      </c>
    </row>
    <row r="258" spans="1:16" x14ac:dyDescent="0.25">
      <c r="A258" s="2" t="s">
        <v>836</v>
      </c>
      <c r="B258" s="2" t="s">
        <v>136</v>
      </c>
      <c r="C258" s="8">
        <v>46208</v>
      </c>
      <c r="D258" s="6">
        <v>46204</v>
      </c>
      <c r="E258" s="2" t="s">
        <v>260</v>
      </c>
      <c r="F258" s="2" t="s">
        <v>837</v>
      </c>
      <c r="G258" s="6">
        <v>46174</v>
      </c>
      <c r="H258" s="2" t="s">
        <v>71</v>
      </c>
      <c r="I258" s="2" t="s">
        <v>76</v>
      </c>
      <c r="J258" s="9">
        <v>23914240</v>
      </c>
      <c r="K258" s="7">
        <v>6.2000000000000003E-5</v>
      </c>
      <c r="L258" s="9">
        <v>1482.68</v>
      </c>
      <c r="M258" s="9">
        <v>1494.64</v>
      </c>
      <c r="N258" s="9">
        <v>1.8</v>
      </c>
      <c r="O258" s="10">
        <f>IF(AND(OR(H258="APPROVED",H258="SCHEDULED"),COUNTIFS(tblSource[EventID],F258,tblSource[ReleaseStatus],"APPROVED")=1,COUNTIFS(Period_Status!$A$2:$A$8,G258,Period_Status!$B$2:$B$8,"ActualClosed")=1,C258&gt;EOMONTH(Settlement_Bridge!$C$2,0)),1,0)</f>
        <v>0</v>
      </c>
      <c r="P258" s="2" t="s">
        <v>838</v>
      </c>
    </row>
    <row r="259" spans="1:16" x14ac:dyDescent="0.25">
      <c r="A259" s="2" t="s">
        <v>839</v>
      </c>
      <c r="B259" s="2" t="s">
        <v>136</v>
      </c>
      <c r="C259" s="8">
        <v>46209</v>
      </c>
      <c r="D259" s="6">
        <v>46204</v>
      </c>
      <c r="E259" s="2" t="s">
        <v>260</v>
      </c>
      <c r="F259" s="2" t="s">
        <v>840</v>
      </c>
      <c r="G259" s="6">
        <v>46174</v>
      </c>
      <c r="H259" s="2" t="s">
        <v>71</v>
      </c>
      <c r="I259" s="2" t="s">
        <v>70</v>
      </c>
      <c r="J259" s="9">
        <v>2507.744361</v>
      </c>
      <c r="K259" s="7">
        <v>0.65800000000000003</v>
      </c>
      <c r="L259" s="9">
        <v>1650.1</v>
      </c>
      <c r="M259" s="9">
        <v>1667.65</v>
      </c>
      <c r="N259" s="9">
        <v>1.8</v>
      </c>
      <c r="O259" s="10">
        <f>IF(AND(OR(H259="APPROVED",H259="SCHEDULED"),COUNTIFS(tblSource[EventID],F259,tblSource[ReleaseStatus],"APPROVED")=1,COUNTIFS(Period_Status!$A$2:$A$8,G259,Period_Status!$B$2:$B$8,"ActualClosed")=1,C259&gt;EOMONTH(Settlement_Bridge!$C$2,0)),1,0)</f>
        <v>0</v>
      </c>
      <c r="P259" s="2" t="s">
        <v>841</v>
      </c>
    </row>
    <row r="260" spans="1:16" x14ac:dyDescent="0.25">
      <c r="A260" s="2" t="s">
        <v>842</v>
      </c>
      <c r="B260" s="2" t="s">
        <v>136</v>
      </c>
      <c r="C260" s="8">
        <v>46210</v>
      </c>
      <c r="D260" s="6">
        <v>46204</v>
      </c>
      <c r="E260" s="2" t="s">
        <v>260</v>
      </c>
      <c r="F260" s="2" t="s">
        <v>843</v>
      </c>
      <c r="G260" s="6">
        <v>46174</v>
      </c>
      <c r="H260" s="2" t="s">
        <v>71</v>
      </c>
      <c r="I260" s="2" t="s">
        <v>39</v>
      </c>
      <c r="J260" s="9">
        <v>1840.66</v>
      </c>
      <c r="K260" s="7">
        <v>1</v>
      </c>
      <c r="L260" s="9">
        <v>1840.66</v>
      </c>
      <c r="M260" s="9">
        <v>1840.66</v>
      </c>
      <c r="N260" s="9">
        <v>1.8</v>
      </c>
      <c r="O260" s="10">
        <f>IF(AND(OR(H260="APPROVED",H260="SCHEDULED"),COUNTIFS(tblSource[EventID],F260,tblSource[ReleaseStatus],"APPROVED")=1,COUNTIFS(Period_Status!$A$2:$A$8,G260,Period_Status!$B$2:$B$8,"ActualClosed")=1,C260&gt;EOMONTH(Settlement_Bridge!$C$2,0)),1,0)</f>
        <v>0</v>
      </c>
      <c r="P260" s="2" t="s">
        <v>844</v>
      </c>
    </row>
    <row r="261" spans="1:16" x14ac:dyDescent="0.25">
      <c r="A261" s="2" t="s">
        <v>845</v>
      </c>
      <c r="B261" s="2" t="s">
        <v>136</v>
      </c>
      <c r="C261" s="8">
        <v>46201</v>
      </c>
      <c r="D261" s="6">
        <v>46174</v>
      </c>
      <c r="E261" s="2" t="s">
        <v>260</v>
      </c>
      <c r="F261" s="2" t="s">
        <v>846</v>
      </c>
      <c r="G261" s="6">
        <v>46174</v>
      </c>
      <c r="H261" s="2" t="s">
        <v>71</v>
      </c>
      <c r="I261" s="2" t="s">
        <v>76</v>
      </c>
      <c r="J261" s="9">
        <v>-32218720</v>
      </c>
      <c r="K261" s="7">
        <v>6.2500000000000001E-5</v>
      </c>
      <c r="L261" s="9">
        <v>-2013.67</v>
      </c>
      <c r="M261" s="9">
        <v>-2013.67</v>
      </c>
      <c r="N261" s="9">
        <v>0</v>
      </c>
      <c r="O261" s="10">
        <f>IF(AND(OR(H261="APPROVED",H261="SCHEDULED"),COUNTIFS(tblSource[EventID],F261,tblSource[ReleaseStatus],"APPROVED")=1,COUNTIFS(Period_Status!$A$2:$A$8,G261,Period_Status!$B$2:$B$8,"ActualClosed")=1,C261&gt;EOMONTH(Settlement_Bridge!$C$2,0)),1,0)</f>
        <v>0</v>
      </c>
      <c r="P261" s="2" t="s">
        <v>847</v>
      </c>
    </row>
    <row r="262" spans="1:16" x14ac:dyDescent="0.25">
      <c r="A262" s="2" t="s">
        <v>848</v>
      </c>
      <c r="B262" s="2" t="s">
        <v>136</v>
      </c>
      <c r="C262" s="8">
        <v>46202</v>
      </c>
      <c r="D262" s="6">
        <v>46174</v>
      </c>
      <c r="E262" s="2" t="s">
        <v>260</v>
      </c>
      <c r="F262" s="2" t="s">
        <v>849</v>
      </c>
      <c r="G262" s="6">
        <v>46174</v>
      </c>
      <c r="H262" s="2" t="s">
        <v>71</v>
      </c>
      <c r="I262" s="2" t="s">
        <v>70</v>
      </c>
      <c r="J262" s="9">
        <v>1315.296241</v>
      </c>
      <c r="K262" s="7">
        <v>0.66500000000000004</v>
      </c>
      <c r="L262" s="9">
        <v>874.67</v>
      </c>
      <c r="M262" s="9">
        <v>874.67</v>
      </c>
      <c r="N262" s="9">
        <v>1.8</v>
      </c>
      <c r="O262" s="10">
        <f>IF(AND(OR(H262="APPROVED",H262="SCHEDULED"),COUNTIFS(tblSource[EventID],F262,tblSource[ReleaseStatus],"APPROVED")=1,COUNTIFS(Period_Status!$A$2:$A$8,G262,Period_Status!$B$2:$B$8,"ActualClosed")=1,C262&gt;EOMONTH(Settlement_Bridge!$C$2,0)),1,0)</f>
        <v>0</v>
      </c>
      <c r="P262" s="2" t="s">
        <v>850</v>
      </c>
    </row>
    <row r="263" spans="1:16" x14ac:dyDescent="0.25">
      <c r="A263" s="2" t="s">
        <v>851</v>
      </c>
      <c r="B263" s="2" t="s">
        <v>136</v>
      </c>
      <c r="C263" s="8">
        <v>46227</v>
      </c>
      <c r="D263" s="6">
        <v>46204</v>
      </c>
      <c r="E263" s="2" t="s">
        <v>260</v>
      </c>
      <c r="F263" s="2" t="s">
        <v>849</v>
      </c>
      <c r="G263" s="6">
        <v>46174</v>
      </c>
      <c r="H263" s="2" t="s">
        <v>71</v>
      </c>
      <c r="I263" s="2" t="s">
        <v>70</v>
      </c>
      <c r="J263" s="9">
        <v>1972.9443610000001</v>
      </c>
      <c r="K263" s="7">
        <v>0.65800000000000003</v>
      </c>
      <c r="L263" s="9">
        <v>1298.2</v>
      </c>
      <c r="M263" s="9">
        <v>1312.01</v>
      </c>
      <c r="N263" s="9">
        <v>1.8</v>
      </c>
      <c r="O263" s="10">
        <f>IF(AND(OR(H263="APPROVED",H263="SCHEDULED"),COUNTIFS(tblSource[EventID],F263,tblSource[ReleaseStatus],"APPROVED")=1,COUNTIFS(Period_Status!$A$2:$A$8,G263,Period_Status!$B$2:$B$8,"ActualClosed")=1,C263&gt;EOMONTH(Settlement_Bridge!$C$2,0)),1,0)</f>
        <v>0</v>
      </c>
      <c r="P263" s="2" t="s">
        <v>852</v>
      </c>
    </row>
    <row r="264" spans="1:16" x14ac:dyDescent="0.25">
      <c r="A264" s="2" t="s">
        <v>853</v>
      </c>
      <c r="B264" s="2" t="s">
        <v>136</v>
      </c>
      <c r="C264" s="8">
        <v>46213</v>
      </c>
      <c r="D264" s="6">
        <v>46204</v>
      </c>
      <c r="E264" s="2" t="s">
        <v>260</v>
      </c>
      <c r="F264" s="2" t="s">
        <v>854</v>
      </c>
      <c r="G264" s="6">
        <v>46174</v>
      </c>
      <c r="H264" s="2" t="s">
        <v>71</v>
      </c>
      <c r="I264" s="2" t="s">
        <v>39</v>
      </c>
      <c r="J264" s="9">
        <v>2359.69</v>
      </c>
      <c r="K264" s="7">
        <v>1</v>
      </c>
      <c r="L264" s="9">
        <v>2359.69</v>
      </c>
      <c r="M264" s="9">
        <v>2359.69</v>
      </c>
      <c r="N264" s="9">
        <v>1.8</v>
      </c>
      <c r="O264" s="10">
        <f>IF(AND(OR(H264="APPROVED",H264="SCHEDULED"),COUNTIFS(tblSource[EventID],F264,tblSource[ReleaseStatus],"APPROVED")=1,COUNTIFS(Period_Status!$A$2:$A$8,G264,Period_Status!$B$2:$B$8,"ActualClosed")=1,C264&gt;EOMONTH(Settlement_Bridge!$C$2,0)),1,0)</f>
        <v>0</v>
      </c>
      <c r="P264" s="2" t="s">
        <v>855</v>
      </c>
    </row>
    <row r="265" spans="1:16" x14ac:dyDescent="0.25">
      <c r="A265" s="2" t="s">
        <v>856</v>
      </c>
      <c r="B265" s="2" t="s">
        <v>136</v>
      </c>
      <c r="C265" s="8">
        <v>46214</v>
      </c>
      <c r="D265" s="6">
        <v>46204</v>
      </c>
      <c r="E265" s="2" t="s">
        <v>260</v>
      </c>
      <c r="F265" s="2" t="s">
        <v>857</v>
      </c>
      <c r="G265" s="6">
        <v>46174</v>
      </c>
      <c r="H265" s="2" t="s">
        <v>71</v>
      </c>
      <c r="I265" s="2" t="s">
        <v>76</v>
      </c>
      <c r="J265" s="9">
        <v>40523200</v>
      </c>
      <c r="K265" s="7">
        <v>6.2000000000000003E-5</v>
      </c>
      <c r="L265" s="9">
        <v>2512.44</v>
      </c>
      <c r="M265" s="9">
        <v>2532.6999999999998</v>
      </c>
      <c r="N265" s="9">
        <v>1.8</v>
      </c>
      <c r="O265" s="10">
        <f>IF(AND(OR(H265="APPROVED",H265="SCHEDULED"),COUNTIFS(tblSource[EventID],F265,tblSource[ReleaseStatus],"APPROVED")=1,COUNTIFS(Period_Status!$A$2:$A$8,G265,Period_Status!$B$2:$B$8,"ActualClosed")=1,C265&gt;EOMONTH(Settlement_Bridge!$C$2,0)),1,0)</f>
        <v>0</v>
      </c>
      <c r="P265" s="2" t="s">
        <v>858</v>
      </c>
    </row>
    <row r="266" spans="1:16" x14ac:dyDescent="0.25">
      <c r="A266" s="2" t="s">
        <v>859</v>
      </c>
      <c r="B266" s="2" t="s">
        <v>136</v>
      </c>
      <c r="C266" s="8">
        <v>46205</v>
      </c>
      <c r="D266" s="6">
        <v>46204</v>
      </c>
      <c r="E266" s="2" t="s">
        <v>260</v>
      </c>
      <c r="F266" s="2" t="s">
        <v>860</v>
      </c>
      <c r="G266" s="6">
        <v>46174</v>
      </c>
      <c r="H266" s="2" t="s">
        <v>71</v>
      </c>
      <c r="I266" s="2" t="s">
        <v>70</v>
      </c>
      <c r="J266" s="9">
        <v>1627.494737</v>
      </c>
      <c r="K266" s="7">
        <v>0.65800000000000003</v>
      </c>
      <c r="L266" s="9">
        <v>1070.8900000000001</v>
      </c>
      <c r="M266" s="9">
        <v>1082.28</v>
      </c>
      <c r="N266" s="9">
        <v>1.8</v>
      </c>
      <c r="O266" s="10">
        <f>IF(AND(OR(H266="APPROVED",H266="SCHEDULED"),COUNTIFS(tblSource[EventID],F266,tblSource[ReleaseStatus],"APPROVED")=1,COUNTIFS(Period_Status!$A$2:$A$8,G266,Period_Status!$B$2:$B$8,"ActualClosed")=1,C266&gt;EOMONTH(Settlement_Bridge!$C$2,0)),1,0)</f>
        <v>0</v>
      </c>
      <c r="P266" s="2" t="s">
        <v>861</v>
      </c>
    </row>
    <row r="267" spans="1:16" x14ac:dyDescent="0.25">
      <c r="A267" s="2" t="s">
        <v>862</v>
      </c>
      <c r="B267" s="2" t="s">
        <v>136</v>
      </c>
      <c r="C267" s="8">
        <v>46230</v>
      </c>
      <c r="D267" s="6">
        <v>46204</v>
      </c>
      <c r="E267" s="2" t="s">
        <v>260</v>
      </c>
      <c r="F267" s="2" t="s">
        <v>860</v>
      </c>
      <c r="G267" s="6">
        <v>46174</v>
      </c>
      <c r="H267" s="2" t="s">
        <v>71</v>
      </c>
      <c r="I267" s="2" t="s">
        <v>70</v>
      </c>
      <c r="J267" s="9">
        <v>2441.2421049999998</v>
      </c>
      <c r="K267" s="7">
        <v>0.65800000000000003</v>
      </c>
      <c r="L267" s="9">
        <v>1606.34</v>
      </c>
      <c r="M267" s="9">
        <v>1623.43</v>
      </c>
      <c r="N267" s="9">
        <v>1.8</v>
      </c>
      <c r="O267" s="10">
        <f>IF(AND(OR(H267="APPROVED",H267="SCHEDULED"),COUNTIFS(tblSource[EventID],F267,tblSource[ReleaseStatus],"APPROVED")=1,COUNTIFS(Period_Status!$A$2:$A$8,G267,Period_Status!$B$2:$B$8,"ActualClosed")=1,C267&gt;EOMONTH(Settlement_Bridge!$C$2,0)),1,0)</f>
        <v>0</v>
      </c>
      <c r="P267" s="2" t="s">
        <v>863</v>
      </c>
    </row>
    <row r="268" spans="1:16" x14ac:dyDescent="0.25">
      <c r="A268" s="2" t="s">
        <v>864</v>
      </c>
      <c r="B268" s="2" t="s">
        <v>136</v>
      </c>
      <c r="C268" s="8">
        <v>46216</v>
      </c>
      <c r="D268" s="6">
        <v>46204</v>
      </c>
      <c r="E268" s="2" t="s">
        <v>260</v>
      </c>
      <c r="F268" s="2" t="s">
        <v>865</v>
      </c>
      <c r="G268" s="6">
        <v>46174</v>
      </c>
      <c r="H268" s="2" t="s">
        <v>71</v>
      </c>
      <c r="I268" s="2" t="s">
        <v>39</v>
      </c>
      <c r="J268" s="9">
        <v>2878.72</v>
      </c>
      <c r="K268" s="7">
        <v>1</v>
      </c>
      <c r="L268" s="9">
        <v>2878.72</v>
      </c>
      <c r="M268" s="9">
        <v>2878.72</v>
      </c>
      <c r="N268" s="9">
        <v>1.8</v>
      </c>
      <c r="O268" s="10">
        <f>IF(AND(OR(H268="APPROVED",H268="SCHEDULED"),COUNTIFS(tblSource[EventID],F268,tblSource[ReleaseStatus],"APPROVED")=1,COUNTIFS(Period_Status!$A$2:$A$8,G268,Period_Status!$B$2:$B$8,"ActualClosed")=1,C268&gt;EOMONTH(Settlement_Bridge!$C$2,0)),1,0)</f>
        <v>0</v>
      </c>
      <c r="P268" s="2" t="s">
        <v>866</v>
      </c>
    </row>
    <row r="269" spans="1:16" x14ac:dyDescent="0.25">
      <c r="A269" s="2" t="s">
        <v>867</v>
      </c>
      <c r="B269" s="2" t="s">
        <v>136</v>
      </c>
      <c r="C269" s="8">
        <v>46217</v>
      </c>
      <c r="D269" s="6">
        <v>46204</v>
      </c>
      <c r="E269" s="2" t="s">
        <v>260</v>
      </c>
      <c r="F269" s="2" t="s">
        <v>868</v>
      </c>
      <c r="G269" s="6">
        <v>46174</v>
      </c>
      <c r="H269" s="2" t="s">
        <v>71</v>
      </c>
      <c r="I269" s="2" t="s">
        <v>76</v>
      </c>
      <c r="J269" s="9">
        <v>48827680</v>
      </c>
      <c r="K269" s="7">
        <v>6.2000000000000003E-5</v>
      </c>
      <c r="L269" s="9">
        <v>3027.32</v>
      </c>
      <c r="M269" s="9">
        <v>3051.73</v>
      </c>
      <c r="N269" s="9">
        <v>1.8</v>
      </c>
      <c r="O269" s="10">
        <f>IF(AND(OR(H269="APPROVED",H269="SCHEDULED"),COUNTIFS(tblSource[EventID],F269,tblSource[ReleaseStatus],"APPROVED")=1,COUNTIFS(Period_Status!$A$2:$A$8,G269,Period_Status!$B$2:$B$8,"ActualClosed")=1,C269&gt;EOMONTH(Settlement_Bridge!$C$2,0)),1,0)</f>
        <v>0</v>
      </c>
      <c r="P269" s="2" t="s">
        <v>869</v>
      </c>
    </row>
    <row r="270" spans="1:16" x14ac:dyDescent="0.25">
      <c r="A270" s="2" t="s">
        <v>870</v>
      </c>
      <c r="B270" s="2" t="s">
        <v>136</v>
      </c>
      <c r="C270" s="8">
        <v>46218</v>
      </c>
      <c r="D270" s="6">
        <v>46204</v>
      </c>
      <c r="E270" s="2" t="s">
        <v>260</v>
      </c>
      <c r="F270" s="2" t="s">
        <v>871</v>
      </c>
      <c r="G270" s="6">
        <v>46174</v>
      </c>
      <c r="H270" s="2" t="s">
        <v>71</v>
      </c>
      <c r="I270" s="2" t="s">
        <v>70</v>
      </c>
      <c r="J270" s="9">
        <v>4849.2330830000001</v>
      </c>
      <c r="K270" s="7">
        <v>0.65800000000000003</v>
      </c>
      <c r="L270" s="9">
        <v>3190.8</v>
      </c>
      <c r="M270" s="9">
        <v>3224.74</v>
      </c>
      <c r="N270" s="9">
        <v>1.8</v>
      </c>
      <c r="O270" s="10">
        <f>IF(AND(OR(H270="APPROVED",H270="SCHEDULED"),COUNTIFS(tblSource[EventID],F270,tblSource[ReleaseStatus],"APPROVED")=1,COUNTIFS(Period_Status!$A$2:$A$8,G270,Period_Status!$B$2:$B$8,"ActualClosed")=1,C270&gt;EOMONTH(Settlement_Bridge!$C$2,0)),1,0)</f>
        <v>0</v>
      </c>
      <c r="P270" s="2" t="s">
        <v>872</v>
      </c>
    </row>
    <row r="271" spans="1:16" x14ac:dyDescent="0.25">
      <c r="A271" s="2" t="s">
        <v>873</v>
      </c>
      <c r="B271" s="2" t="s">
        <v>136</v>
      </c>
      <c r="C271" s="8">
        <v>46219</v>
      </c>
      <c r="D271" s="6">
        <v>46204</v>
      </c>
      <c r="E271" s="2" t="s">
        <v>260</v>
      </c>
      <c r="F271" s="2" t="s">
        <v>874</v>
      </c>
      <c r="G271" s="6">
        <v>46174</v>
      </c>
      <c r="H271" s="2" t="s">
        <v>71</v>
      </c>
      <c r="I271" s="2" t="s">
        <v>39</v>
      </c>
      <c r="J271" s="9">
        <v>3397.75</v>
      </c>
      <c r="K271" s="7">
        <v>1</v>
      </c>
      <c r="L271" s="9">
        <v>3397.75</v>
      </c>
      <c r="M271" s="9">
        <v>3397.75</v>
      </c>
      <c r="N271" s="9">
        <v>1.87</v>
      </c>
      <c r="O271" s="10">
        <f>IF(AND(OR(H271="APPROVED",H271="SCHEDULED"),COUNTIFS(tblSource[EventID],F271,tblSource[ReleaseStatus],"APPROVED")=1,COUNTIFS(Period_Status!$A$2:$A$8,G271,Period_Status!$B$2:$B$8,"ActualClosed")=1,C271&gt;EOMONTH(Settlement_Bridge!$C$2,0)),1,0)</f>
        <v>0</v>
      </c>
      <c r="P271" s="2" t="s">
        <v>875</v>
      </c>
    </row>
    <row r="272" spans="1:16" x14ac:dyDescent="0.25">
      <c r="A272" s="2" t="s">
        <v>876</v>
      </c>
      <c r="B272" s="2" t="s">
        <v>136</v>
      </c>
      <c r="C272" s="8">
        <v>46220</v>
      </c>
      <c r="D272" s="6">
        <v>46204</v>
      </c>
      <c r="E272" s="2" t="s">
        <v>260</v>
      </c>
      <c r="F272" s="2" t="s">
        <v>877</v>
      </c>
      <c r="G272" s="6">
        <v>46174</v>
      </c>
      <c r="H272" s="2" t="s">
        <v>71</v>
      </c>
      <c r="I272" s="2" t="s">
        <v>76</v>
      </c>
      <c r="J272" s="9">
        <v>57132160</v>
      </c>
      <c r="K272" s="7">
        <v>6.2000000000000003E-5</v>
      </c>
      <c r="L272" s="9">
        <v>3542.19</v>
      </c>
      <c r="M272" s="9">
        <v>3570.76</v>
      </c>
      <c r="N272" s="9">
        <v>1.95</v>
      </c>
      <c r="O272" s="10">
        <f>IF(AND(OR(H272="APPROVED",H272="SCHEDULED"),COUNTIFS(tblSource[EventID],F272,tblSource[ReleaseStatus],"APPROVED")=1,COUNTIFS(Period_Status!$A$2:$A$8,G272,Period_Status!$B$2:$B$8,"ActualClosed")=1,C272&gt;EOMONTH(Settlement_Bridge!$C$2,0)),1,0)</f>
        <v>0</v>
      </c>
      <c r="P272" s="2" t="s">
        <v>878</v>
      </c>
    </row>
    <row r="273" spans="1:16" x14ac:dyDescent="0.25">
      <c r="A273" s="2" t="s">
        <v>879</v>
      </c>
      <c r="B273" s="2" t="s">
        <v>136</v>
      </c>
      <c r="C273" s="8">
        <v>46211</v>
      </c>
      <c r="D273" s="6">
        <v>46204</v>
      </c>
      <c r="E273" s="2" t="s">
        <v>260</v>
      </c>
      <c r="F273" s="2" t="s">
        <v>880</v>
      </c>
      <c r="G273" s="6">
        <v>46174</v>
      </c>
      <c r="H273" s="2" t="s">
        <v>71</v>
      </c>
      <c r="I273" s="2" t="s">
        <v>70</v>
      </c>
      <c r="J273" s="9">
        <v>2251.8917289999999</v>
      </c>
      <c r="K273" s="7">
        <v>0.65800000000000003</v>
      </c>
      <c r="L273" s="9">
        <v>1481.74</v>
      </c>
      <c r="M273" s="9">
        <v>1497.51</v>
      </c>
      <c r="N273" s="9">
        <v>1.8</v>
      </c>
      <c r="O273" s="10">
        <f>IF(AND(OR(H273="APPROVED",H273="SCHEDULED"),COUNTIFS(tblSource[EventID],F273,tblSource[ReleaseStatus],"APPROVED")=1,COUNTIFS(Period_Status!$A$2:$A$8,G273,Period_Status!$B$2:$B$8,"ActualClosed")=1,C273&gt;EOMONTH(Settlement_Bridge!$C$2,0)),1,0)</f>
        <v>0</v>
      </c>
      <c r="P273" s="2" t="s">
        <v>881</v>
      </c>
    </row>
    <row r="274" spans="1:16" x14ac:dyDescent="0.25">
      <c r="A274" s="2" t="s">
        <v>882</v>
      </c>
      <c r="B274" s="2" t="s">
        <v>136</v>
      </c>
      <c r="C274" s="8">
        <v>46236</v>
      </c>
      <c r="D274" s="6">
        <v>46235</v>
      </c>
      <c r="E274" s="2" t="s">
        <v>260</v>
      </c>
      <c r="F274" s="2" t="s">
        <v>880</v>
      </c>
      <c r="G274" s="6">
        <v>46174</v>
      </c>
      <c r="H274" s="2" t="s">
        <v>71</v>
      </c>
      <c r="I274" s="2" t="s">
        <v>70</v>
      </c>
      <c r="J274" s="9">
        <v>3377.8375940000001</v>
      </c>
      <c r="K274" s="7">
        <v>0.65</v>
      </c>
      <c r="L274" s="9">
        <v>2195.59</v>
      </c>
      <c r="M274" s="9">
        <v>2246.2600000000002</v>
      </c>
      <c r="N274" s="9">
        <v>1.8</v>
      </c>
      <c r="O274" s="10">
        <f>IF(AND(OR(H274="APPROVED",H274="SCHEDULED"),COUNTIFS(tblSource[EventID],F274,tblSource[ReleaseStatus],"APPROVED")=1,COUNTIFS(Period_Status!$A$2:$A$8,G274,Period_Status!$B$2:$B$8,"ActualClosed")=1,C274&gt;EOMONTH(Settlement_Bridge!$C$2,0)),1,0)</f>
        <v>1</v>
      </c>
      <c r="P274" s="2" t="s">
        <v>883</v>
      </c>
    </row>
    <row r="275" spans="1:16" x14ac:dyDescent="0.25">
      <c r="A275" s="2" t="s">
        <v>884</v>
      </c>
      <c r="B275" s="2" t="s">
        <v>136</v>
      </c>
      <c r="C275" s="8">
        <v>46212</v>
      </c>
      <c r="D275" s="6">
        <v>46204</v>
      </c>
      <c r="E275" s="2" t="s">
        <v>260</v>
      </c>
      <c r="F275" s="2" t="s">
        <v>885</v>
      </c>
      <c r="G275" s="6">
        <v>46174</v>
      </c>
      <c r="H275" s="2" t="s">
        <v>71</v>
      </c>
      <c r="I275" s="2" t="s">
        <v>39</v>
      </c>
      <c r="J275" s="9">
        <v>1566.712</v>
      </c>
      <c r="K275" s="7">
        <v>1</v>
      </c>
      <c r="L275" s="9">
        <v>1566.71</v>
      </c>
      <c r="M275" s="9">
        <v>1566.71</v>
      </c>
      <c r="N275" s="9">
        <v>1.8</v>
      </c>
      <c r="O275" s="10">
        <f>IF(AND(OR(H275="APPROVED",H275="SCHEDULED"),COUNTIFS(tblSource[EventID],F275,tblSource[ReleaseStatus],"APPROVED")=1,COUNTIFS(Period_Status!$A$2:$A$8,G275,Period_Status!$B$2:$B$8,"ActualClosed")=1,C275&gt;EOMONTH(Settlement_Bridge!$C$2,0)),1,0)</f>
        <v>0</v>
      </c>
      <c r="P275" s="2" t="s">
        <v>886</v>
      </c>
    </row>
    <row r="276" spans="1:16" x14ac:dyDescent="0.25">
      <c r="A276" s="2" t="s">
        <v>887</v>
      </c>
      <c r="B276" s="2" t="s">
        <v>136</v>
      </c>
      <c r="C276" s="8">
        <v>46237</v>
      </c>
      <c r="D276" s="6">
        <v>46235</v>
      </c>
      <c r="E276" s="2" t="s">
        <v>260</v>
      </c>
      <c r="F276" s="2" t="s">
        <v>885</v>
      </c>
      <c r="G276" s="6">
        <v>46174</v>
      </c>
      <c r="H276" s="2" t="s">
        <v>71</v>
      </c>
      <c r="I276" s="2" t="s">
        <v>39</v>
      </c>
      <c r="J276" s="9">
        <v>2350.0680000000002</v>
      </c>
      <c r="K276" s="7">
        <v>1</v>
      </c>
      <c r="L276" s="9">
        <v>2350.0700000000002</v>
      </c>
      <c r="M276" s="9">
        <v>2350.0700000000002</v>
      </c>
      <c r="N276" s="9">
        <v>1.8</v>
      </c>
      <c r="O276" s="10">
        <f>IF(AND(OR(H276="APPROVED",H276="SCHEDULED"),COUNTIFS(tblSource[EventID],F276,tblSource[ReleaseStatus],"APPROVED")=1,COUNTIFS(Period_Status!$A$2:$A$8,G276,Period_Status!$B$2:$B$8,"ActualClosed")=1,C276&gt;EOMONTH(Settlement_Bridge!$C$2,0)),1,0)</f>
        <v>1</v>
      </c>
      <c r="P276" s="2" t="s">
        <v>888</v>
      </c>
    </row>
    <row r="277" spans="1:16" x14ac:dyDescent="0.25">
      <c r="A277" s="2" t="s">
        <v>889</v>
      </c>
      <c r="B277" s="2" t="s">
        <v>136</v>
      </c>
      <c r="C277" s="8">
        <v>46223</v>
      </c>
      <c r="D277" s="6">
        <v>46204</v>
      </c>
      <c r="E277" s="2" t="s">
        <v>260</v>
      </c>
      <c r="F277" s="2" t="s">
        <v>890</v>
      </c>
      <c r="G277" s="6">
        <v>46174</v>
      </c>
      <c r="H277" s="2" t="s">
        <v>71</v>
      </c>
      <c r="I277" s="2" t="s">
        <v>76</v>
      </c>
      <c r="J277" s="9">
        <v>65436640</v>
      </c>
      <c r="K277" s="7">
        <v>6.2000000000000003E-5</v>
      </c>
      <c r="L277" s="9">
        <v>4057.07</v>
      </c>
      <c r="M277" s="9">
        <v>4089.79</v>
      </c>
      <c r="N277" s="9">
        <v>2.23</v>
      </c>
      <c r="O277" s="10">
        <f>IF(AND(OR(H277="APPROVED",H277="SCHEDULED"),COUNTIFS(tblSource[EventID],F277,tblSource[ReleaseStatus],"APPROVED")=1,COUNTIFS(Period_Status!$A$2:$A$8,G277,Period_Status!$B$2:$B$8,"ActualClosed")=1,C277&gt;EOMONTH(Settlement_Bridge!$C$2,0)),1,0)</f>
        <v>0</v>
      </c>
      <c r="P277" s="2" t="s">
        <v>891</v>
      </c>
    </row>
    <row r="278" spans="1:16" x14ac:dyDescent="0.25">
      <c r="A278" s="2" t="s">
        <v>892</v>
      </c>
      <c r="B278" s="2" t="s">
        <v>136</v>
      </c>
      <c r="C278" s="8">
        <v>46224</v>
      </c>
      <c r="D278" s="6">
        <v>46204</v>
      </c>
      <c r="E278" s="2" t="s">
        <v>260</v>
      </c>
      <c r="F278" s="2" t="s">
        <v>893</v>
      </c>
      <c r="G278" s="6">
        <v>46174</v>
      </c>
      <c r="H278" s="2" t="s">
        <v>71</v>
      </c>
      <c r="I278" s="2" t="s">
        <v>70</v>
      </c>
      <c r="J278" s="9">
        <v>6410.2255640000003</v>
      </c>
      <c r="K278" s="7">
        <v>0.65800000000000003</v>
      </c>
      <c r="L278" s="9">
        <v>4217.93</v>
      </c>
      <c r="M278" s="9">
        <v>4262.8</v>
      </c>
      <c r="N278" s="9">
        <v>2.3199999999999998</v>
      </c>
      <c r="O278" s="10">
        <f>IF(AND(OR(H278="APPROVED",H278="SCHEDULED"),COUNTIFS(tblSource[EventID],F278,tblSource[ReleaseStatus],"APPROVED")=1,COUNTIFS(Period_Status!$A$2:$A$8,G278,Period_Status!$B$2:$B$8,"ActualClosed")=1,C278&gt;EOMONTH(Settlement_Bridge!$C$2,0)),1,0)</f>
        <v>0</v>
      </c>
      <c r="P278" s="2" t="s">
        <v>894</v>
      </c>
    </row>
    <row r="279" spans="1:16" x14ac:dyDescent="0.25">
      <c r="A279" s="2" t="s">
        <v>895</v>
      </c>
      <c r="B279" s="2" t="s">
        <v>136</v>
      </c>
      <c r="C279" s="8">
        <v>46215</v>
      </c>
      <c r="D279" s="6">
        <v>46204</v>
      </c>
      <c r="E279" s="2" t="s">
        <v>260</v>
      </c>
      <c r="F279" s="2" t="s">
        <v>896</v>
      </c>
      <c r="G279" s="6">
        <v>46174</v>
      </c>
      <c r="H279" s="2" t="s">
        <v>71</v>
      </c>
      <c r="I279" s="2" t="s">
        <v>39</v>
      </c>
      <c r="J279" s="9">
        <v>1774.3240000000001</v>
      </c>
      <c r="K279" s="7">
        <v>1</v>
      </c>
      <c r="L279" s="9">
        <v>1774.32</v>
      </c>
      <c r="M279" s="9">
        <v>1774.32</v>
      </c>
      <c r="N279" s="9">
        <v>1.8</v>
      </c>
      <c r="O279" s="10">
        <f>IF(AND(OR(H279="APPROVED",H279="SCHEDULED"),COUNTIFS(tblSource[EventID],F279,tblSource[ReleaseStatus],"APPROVED")=1,COUNTIFS(Period_Status!$A$2:$A$8,G279,Period_Status!$B$2:$B$8,"ActualClosed")=1,C279&gt;EOMONTH(Settlement_Bridge!$C$2,0)),1,0)</f>
        <v>0</v>
      </c>
      <c r="P279" s="2" t="s">
        <v>897</v>
      </c>
    </row>
    <row r="280" spans="1:16" x14ac:dyDescent="0.25">
      <c r="A280" s="2" t="s">
        <v>898</v>
      </c>
      <c r="B280" s="2" t="s">
        <v>136</v>
      </c>
      <c r="C280" s="8">
        <v>46240</v>
      </c>
      <c r="D280" s="6">
        <v>46235</v>
      </c>
      <c r="E280" s="2" t="s">
        <v>260</v>
      </c>
      <c r="F280" s="2" t="s">
        <v>896</v>
      </c>
      <c r="G280" s="6">
        <v>46174</v>
      </c>
      <c r="H280" s="2" t="s">
        <v>71</v>
      </c>
      <c r="I280" s="2" t="s">
        <v>39</v>
      </c>
      <c r="J280" s="9">
        <v>2661.4859999999999</v>
      </c>
      <c r="K280" s="7">
        <v>1</v>
      </c>
      <c r="L280" s="9">
        <v>2661.49</v>
      </c>
      <c r="M280" s="9">
        <v>2661.49</v>
      </c>
      <c r="N280" s="9">
        <v>1.8</v>
      </c>
      <c r="O280" s="10">
        <f>IF(AND(OR(H280="APPROVED",H280="SCHEDULED"),COUNTIFS(tblSource[EventID],F280,tblSource[ReleaseStatus],"APPROVED")=1,COUNTIFS(Period_Status!$A$2:$A$8,G280,Period_Status!$B$2:$B$8,"ActualClosed")=1,C280&gt;EOMONTH(Settlement_Bridge!$C$2,0)),1,0)</f>
        <v>1</v>
      </c>
      <c r="P280" s="2" t="s">
        <v>899</v>
      </c>
    </row>
    <row r="281" spans="1:16" x14ac:dyDescent="0.25">
      <c r="A281" s="2" t="s">
        <v>900</v>
      </c>
      <c r="B281" s="2" t="s">
        <v>136</v>
      </c>
      <c r="C281" s="8">
        <v>46226</v>
      </c>
      <c r="D281" s="6">
        <v>46204</v>
      </c>
      <c r="E281" s="2" t="s">
        <v>260</v>
      </c>
      <c r="F281" s="2" t="s">
        <v>901</v>
      </c>
      <c r="G281" s="6">
        <v>46174</v>
      </c>
      <c r="H281" s="2" t="s">
        <v>71</v>
      </c>
      <c r="I281" s="2" t="s">
        <v>76</v>
      </c>
      <c r="J281" s="9">
        <v>73741120</v>
      </c>
      <c r="K281" s="7">
        <v>6.2000000000000003E-5</v>
      </c>
      <c r="L281" s="9">
        <v>4571.95</v>
      </c>
      <c r="M281" s="9">
        <v>4608.82</v>
      </c>
      <c r="N281" s="9">
        <v>2.5099999999999998</v>
      </c>
      <c r="O281" s="10">
        <f>IF(AND(OR(H281="APPROVED",H281="SCHEDULED"),COUNTIFS(tblSource[EventID],F281,tblSource[ReleaseStatus],"APPROVED")=1,COUNTIFS(Period_Status!$A$2:$A$8,G281,Period_Status!$B$2:$B$8,"ActualClosed")=1,C281&gt;EOMONTH(Settlement_Bridge!$C$2,0)),1,0)</f>
        <v>0</v>
      </c>
      <c r="P281" s="2" t="s">
        <v>902</v>
      </c>
    </row>
    <row r="282" spans="1:16" x14ac:dyDescent="0.25">
      <c r="A282" s="2" t="s">
        <v>903</v>
      </c>
      <c r="B282" s="2" t="s">
        <v>136</v>
      </c>
      <c r="C282" s="8">
        <v>46227</v>
      </c>
      <c r="D282" s="6">
        <v>46204</v>
      </c>
      <c r="E282" s="2" t="s">
        <v>260</v>
      </c>
      <c r="F282" s="2" t="s">
        <v>904</v>
      </c>
      <c r="G282" s="6">
        <v>46174</v>
      </c>
      <c r="H282" s="2" t="s">
        <v>71</v>
      </c>
      <c r="I282" s="2" t="s">
        <v>70</v>
      </c>
      <c r="J282" s="9">
        <v>7190.7218050000001</v>
      </c>
      <c r="K282" s="7">
        <v>0.65800000000000003</v>
      </c>
      <c r="L282" s="9">
        <v>4731.49</v>
      </c>
      <c r="M282" s="9">
        <v>4781.83</v>
      </c>
      <c r="N282" s="9">
        <v>2.6</v>
      </c>
      <c r="O282" s="10">
        <f>IF(AND(OR(H282="APPROVED",H282="SCHEDULED"),COUNTIFS(tblSource[EventID],F282,tblSource[ReleaseStatus],"APPROVED")=1,COUNTIFS(Period_Status!$A$2:$A$8,G282,Period_Status!$B$2:$B$8,"ActualClosed")=1,C282&gt;EOMONTH(Settlement_Bridge!$C$2,0)),1,0)</f>
        <v>0</v>
      </c>
      <c r="P282" s="2" t="s">
        <v>905</v>
      </c>
    </row>
    <row r="283" spans="1:16" x14ac:dyDescent="0.25">
      <c r="A283" s="2" t="s">
        <v>906</v>
      </c>
      <c r="B283" s="2" t="s">
        <v>136</v>
      </c>
      <c r="C283" s="8">
        <v>46198</v>
      </c>
      <c r="D283" s="6">
        <v>46174</v>
      </c>
      <c r="E283" s="2" t="s">
        <v>260</v>
      </c>
      <c r="F283" s="2" t="s">
        <v>907</v>
      </c>
      <c r="G283" s="6">
        <v>46174</v>
      </c>
      <c r="H283" s="2" t="s">
        <v>71</v>
      </c>
      <c r="I283" s="2" t="s">
        <v>39</v>
      </c>
      <c r="J283" s="9">
        <v>4954.84</v>
      </c>
      <c r="K283" s="7">
        <v>1</v>
      </c>
      <c r="L283" s="9">
        <v>4954.84</v>
      </c>
      <c r="M283" s="9">
        <v>4954.84</v>
      </c>
      <c r="N283" s="9">
        <v>2.73</v>
      </c>
      <c r="O283" s="10">
        <f>IF(AND(OR(H283="APPROVED",H283="SCHEDULED"),COUNTIFS(tblSource[EventID],F283,tblSource[ReleaseStatus],"APPROVED")=1,COUNTIFS(Period_Status!$A$2:$A$8,G283,Period_Status!$B$2:$B$8,"ActualClosed")=1,C283&gt;EOMONTH(Settlement_Bridge!$C$2,0)),1,0)</f>
        <v>0</v>
      </c>
      <c r="P283" s="2" t="s">
        <v>908</v>
      </c>
    </row>
    <row r="284" spans="1:16" x14ac:dyDescent="0.25">
      <c r="A284" s="2" t="s">
        <v>909</v>
      </c>
      <c r="B284" s="2" t="s">
        <v>136</v>
      </c>
      <c r="C284" s="8">
        <v>46199</v>
      </c>
      <c r="D284" s="6">
        <v>46174</v>
      </c>
      <c r="E284" s="2" t="s">
        <v>260</v>
      </c>
      <c r="F284" s="2" t="s">
        <v>910</v>
      </c>
      <c r="G284" s="6">
        <v>46174</v>
      </c>
      <c r="H284" s="2" t="s">
        <v>71</v>
      </c>
      <c r="I284" s="2" t="s">
        <v>76</v>
      </c>
      <c r="J284" s="9">
        <v>82045600</v>
      </c>
      <c r="K284" s="7">
        <v>6.2500000000000001E-5</v>
      </c>
      <c r="L284" s="9">
        <v>5127.8500000000004</v>
      </c>
      <c r="M284" s="9">
        <v>5127.8500000000004</v>
      </c>
      <c r="N284" s="9">
        <v>2.82</v>
      </c>
      <c r="O284" s="10">
        <f>IF(AND(OR(H284="APPROVED",H284="SCHEDULED"),COUNTIFS(tblSource[EventID],F284,tblSource[ReleaseStatus],"APPROVED")=1,COUNTIFS(Period_Status!$A$2:$A$8,G284,Period_Status!$B$2:$B$8,"ActualClosed")=1,C284&gt;EOMONTH(Settlement_Bridge!$C$2,0)),1,0)</f>
        <v>0</v>
      </c>
      <c r="P284" s="2" t="s">
        <v>911</v>
      </c>
    </row>
    <row r="285" spans="1:16" x14ac:dyDescent="0.25">
      <c r="A285" s="2" t="s">
        <v>912</v>
      </c>
      <c r="B285" s="2" t="s">
        <v>136</v>
      </c>
      <c r="C285" s="8">
        <v>46200</v>
      </c>
      <c r="D285" s="6">
        <v>46174</v>
      </c>
      <c r="E285" s="2" t="s">
        <v>260</v>
      </c>
      <c r="F285" s="2" t="s">
        <v>913</v>
      </c>
      <c r="G285" s="6">
        <v>46174</v>
      </c>
      <c r="H285" s="2" t="s">
        <v>71</v>
      </c>
      <c r="I285" s="2" t="s">
        <v>70</v>
      </c>
      <c r="J285" s="9">
        <v>7971.2180449999996</v>
      </c>
      <c r="K285" s="7">
        <v>0.66500000000000004</v>
      </c>
      <c r="L285" s="9">
        <v>5300.86</v>
      </c>
      <c r="M285" s="9">
        <v>5300.86</v>
      </c>
      <c r="N285" s="9">
        <v>2.92</v>
      </c>
      <c r="O285" s="10">
        <f>IF(AND(OR(H285="APPROVED",H285="SCHEDULED"),COUNTIFS(tblSource[EventID],F285,tblSource[ReleaseStatus],"APPROVED")=1,COUNTIFS(Period_Status!$A$2:$A$8,G285,Period_Status!$B$2:$B$8,"ActualClosed")=1,C285&gt;EOMONTH(Settlement_Bridge!$C$2,0)),1,0)</f>
        <v>0</v>
      </c>
      <c r="P285" s="2" t="s">
        <v>914</v>
      </c>
    </row>
    <row r="286" spans="1:16" x14ac:dyDescent="0.25">
      <c r="A286" s="2" t="s">
        <v>915</v>
      </c>
      <c r="B286" s="2" t="s">
        <v>136</v>
      </c>
      <c r="C286" s="8">
        <v>46191</v>
      </c>
      <c r="D286" s="6">
        <v>46174</v>
      </c>
      <c r="E286" s="2" t="s">
        <v>260</v>
      </c>
      <c r="F286" s="2" t="s">
        <v>916</v>
      </c>
      <c r="G286" s="6">
        <v>46174</v>
      </c>
      <c r="H286" s="2" t="s">
        <v>71</v>
      </c>
      <c r="I286" s="2" t="s">
        <v>39</v>
      </c>
      <c r="J286" s="9">
        <v>2189.5479999999998</v>
      </c>
      <c r="K286" s="7">
        <v>1</v>
      </c>
      <c r="L286" s="9">
        <v>2189.5500000000002</v>
      </c>
      <c r="M286" s="9">
        <v>2189.5500000000002</v>
      </c>
      <c r="N286" s="9">
        <v>1.8</v>
      </c>
      <c r="O286" s="10">
        <f>IF(AND(OR(H286="APPROVED",H286="SCHEDULED"),COUNTIFS(tblSource[EventID],F286,tblSource[ReleaseStatus],"APPROVED")=1,COUNTIFS(Period_Status!$A$2:$A$8,G286,Period_Status!$B$2:$B$8,"ActualClosed")=1,C286&gt;EOMONTH(Settlement_Bridge!$C$2,0)),1,0)</f>
        <v>0</v>
      </c>
      <c r="P286" s="2" t="s">
        <v>917</v>
      </c>
    </row>
    <row r="287" spans="1:16" x14ac:dyDescent="0.25">
      <c r="A287" s="2" t="s">
        <v>918</v>
      </c>
      <c r="B287" s="2" t="s">
        <v>136</v>
      </c>
      <c r="C287" s="8">
        <v>46216</v>
      </c>
      <c r="D287" s="6">
        <v>46204</v>
      </c>
      <c r="E287" s="2" t="s">
        <v>260</v>
      </c>
      <c r="F287" s="2" t="s">
        <v>916</v>
      </c>
      <c r="G287" s="6">
        <v>46174</v>
      </c>
      <c r="H287" s="2" t="s">
        <v>71</v>
      </c>
      <c r="I287" s="2" t="s">
        <v>39</v>
      </c>
      <c r="J287" s="9">
        <v>3284.3220000000001</v>
      </c>
      <c r="K287" s="7">
        <v>1</v>
      </c>
      <c r="L287" s="9">
        <v>3284.32</v>
      </c>
      <c r="M287" s="9">
        <v>3284.32</v>
      </c>
      <c r="N287" s="9">
        <v>1.81</v>
      </c>
      <c r="O287" s="10">
        <f>IF(AND(OR(H287="APPROVED",H287="SCHEDULED"),COUNTIFS(tblSource[EventID],F287,tblSource[ReleaseStatus],"APPROVED")=1,COUNTIFS(Period_Status!$A$2:$A$8,G287,Period_Status!$B$2:$B$8,"ActualClosed")=1,C287&gt;EOMONTH(Settlement_Bridge!$C$2,0)),1,0)</f>
        <v>0</v>
      </c>
      <c r="P287" s="2" t="s">
        <v>919</v>
      </c>
    </row>
    <row r="288" spans="1:16" x14ac:dyDescent="0.25">
      <c r="A288" s="2" t="s">
        <v>920</v>
      </c>
      <c r="B288" s="2" t="s">
        <v>136</v>
      </c>
      <c r="C288" s="8">
        <v>46192</v>
      </c>
      <c r="D288" s="6">
        <v>46174</v>
      </c>
      <c r="E288" s="2" t="s">
        <v>260</v>
      </c>
      <c r="F288" s="2" t="s">
        <v>921</v>
      </c>
      <c r="G288" s="6">
        <v>46174</v>
      </c>
      <c r="H288" s="2" t="s">
        <v>71</v>
      </c>
      <c r="I288" s="2" t="s">
        <v>76</v>
      </c>
      <c r="J288" s="9">
        <v>36140032</v>
      </c>
      <c r="K288" s="7">
        <v>6.2500000000000001E-5</v>
      </c>
      <c r="L288" s="9">
        <v>2258.75</v>
      </c>
      <c r="M288" s="9">
        <v>2258.75</v>
      </c>
      <c r="N288" s="9">
        <v>1.8</v>
      </c>
      <c r="O288" s="10">
        <f>IF(AND(OR(H288="APPROVED",H288="SCHEDULED"),COUNTIFS(tblSource[EventID],F288,tblSource[ReleaseStatus],"APPROVED")=1,COUNTIFS(Period_Status!$A$2:$A$8,G288,Period_Status!$B$2:$B$8,"ActualClosed")=1,C288&gt;EOMONTH(Settlement_Bridge!$C$2,0)),1,0)</f>
        <v>0</v>
      </c>
      <c r="P288" s="2" t="s">
        <v>922</v>
      </c>
    </row>
    <row r="289" spans="1:16" x14ac:dyDescent="0.25">
      <c r="A289" s="2" t="s">
        <v>923</v>
      </c>
      <c r="B289" s="2" t="s">
        <v>136</v>
      </c>
      <c r="C289" s="8">
        <v>46217</v>
      </c>
      <c r="D289" s="6">
        <v>46204</v>
      </c>
      <c r="E289" s="2" t="s">
        <v>260</v>
      </c>
      <c r="F289" s="2" t="s">
        <v>921</v>
      </c>
      <c r="G289" s="6">
        <v>46174</v>
      </c>
      <c r="H289" s="2" t="s">
        <v>71</v>
      </c>
      <c r="I289" s="2" t="s">
        <v>76</v>
      </c>
      <c r="J289" s="9">
        <v>54210048</v>
      </c>
      <c r="K289" s="7">
        <v>6.2000000000000003E-5</v>
      </c>
      <c r="L289" s="9">
        <v>3361.02</v>
      </c>
      <c r="M289" s="9">
        <v>3388.13</v>
      </c>
      <c r="N289" s="9">
        <v>1.85</v>
      </c>
      <c r="O289" s="10">
        <f>IF(AND(OR(H289="APPROVED",H289="SCHEDULED"),COUNTIFS(tblSource[EventID],F289,tblSource[ReleaseStatus],"APPROVED")=1,COUNTIFS(Period_Status!$A$2:$A$8,G289,Period_Status!$B$2:$B$8,"ActualClosed")=1,C289&gt;EOMONTH(Settlement_Bridge!$C$2,0)),1,0)</f>
        <v>0</v>
      </c>
      <c r="P289" s="2" t="s">
        <v>924</v>
      </c>
    </row>
    <row r="290" spans="1:16" x14ac:dyDescent="0.25">
      <c r="A290" s="2" t="s">
        <v>925</v>
      </c>
      <c r="B290" s="2" t="s">
        <v>136</v>
      </c>
      <c r="C290" s="8">
        <v>46203</v>
      </c>
      <c r="D290" s="6">
        <v>46174</v>
      </c>
      <c r="E290" s="2" t="s">
        <v>260</v>
      </c>
      <c r="F290" s="2" t="s">
        <v>926</v>
      </c>
      <c r="G290" s="6">
        <v>46174</v>
      </c>
      <c r="H290" s="2" t="s">
        <v>71</v>
      </c>
      <c r="I290" s="2" t="s">
        <v>70</v>
      </c>
      <c r="J290" s="9">
        <v>8751.7142860000004</v>
      </c>
      <c r="K290" s="7">
        <v>0.66500000000000004</v>
      </c>
      <c r="L290" s="9">
        <v>5819.89</v>
      </c>
      <c r="M290" s="9">
        <v>5819.89</v>
      </c>
      <c r="N290" s="9">
        <v>3.2</v>
      </c>
      <c r="O290" s="10">
        <f>IF(AND(OR(H290="APPROVED",H290="SCHEDULED"),COUNTIFS(tblSource[EventID],F290,tblSource[ReleaseStatus],"APPROVED")=1,COUNTIFS(Period_Status!$A$2:$A$8,G290,Period_Status!$B$2:$B$8,"ActualClosed")=1,C290&gt;EOMONTH(Settlement_Bridge!$C$2,0)),1,0)</f>
        <v>0</v>
      </c>
      <c r="P290" s="2" t="s">
        <v>927</v>
      </c>
    </row>
    <row r="291" spans="1:16" x14ac:dyDescent="0.25">
      <c r="A291" s="2" t="s">
        <v>928</v>
      </c>
      <c r="B291" s="2" t="s">
        <v>136</v>
      </c>
      <c r="C291" s="8">
        <v>46204</v>
      </c>
      <c r="D291" s="6">
        <v>46204</v>
      </c>
      <c r="E291" s="2" t="s">
        <v>260</v>
      </c>
      <c r="F291" s="2" t="s">
        <v>929</v>
      </c>
      <c r="G291" s="6">
        <v>46174</v>
      </c>
      <c r="H291" s="2" t="s">
        <v>71</v>
      </c>
      <c r="I291" s="2" t="s">
        <v>39</v>
      </c>
      <c r="J291" s="9">
        <v>5992.9</v>
      </c>
      <c r="K291" s="7">
        <v>1</v>
      </c>
      <c r="L291" s="9">
        <v>5992.9</v>
      </c>
      <c r="M291" s="9">
        <v>5992.9</v>
      </c>
      <c r="N291" s="9">
        <v>3.3</v>
      </c>
      <c r="O291" s="10">
        <f>IF(AND(OR(H291="APPROVED",H291="SCHEDULED"),COUNTIFS(tblSource[EventID],F291,tblSource[ReleaseStatus],"APPROVED")=1,COUNTIFS(Period_Status!$A$2:$A$8,G291,Period_Status!$B$2:$B$8,"ActualClosed")=1,C291&gt;EOMONTH(Settlement_Bridge!$C$2,0)),1,0)</f>
        <v>0</v>
      </c>
      <c r="P291" s="2" t="s">
        <v>930</v>
      </c>
    </row>
    <row r="292" spans="1:16" x14ac:dyDescent="0.25">
      <c r="A292" s="2" t="s">
        <v>931</v>
      </c>
      <c r="B292" s="2" t="s">
        <v>136</v>
      </c>
      <c r="C292" s="8">
        <v>46195</v>
      </c>
      <c r="D292" s="6">
        <v>46174</v>
      </c>
      <c r="E292" s="2" t="s">
        <v>260</v>
      </c>
      <c r="F292" s="2" t="s">
        <v>932</v>
      </c>
      <c r="G292" s="6">
        <v>46174</v>
      </c>
      <c r="H292" s="2" t="s">
        <v>71</v>
      </c>
      <c r="I292" s="2" t="s">
        <v>76</v>
      </c>
      <c r="J292" s="9">
        <v>39461824</v>
      </c>
      <c r="K292" s="7">
        <v>6.2500000000000001E-5</v>
      </c>
      <c r="L292" s="9">
        <v>2466.36</v>
      </c>
      <c r="M292" s="9">
        <v>2466.36</v>
      </c>
      <c r="N292" s="9">
        <v>1.8</v>
      </c>
      <c r="O292" s="10">
        <f>IF(AND(OR(H292="APPROVED",H292="SCHEDULED"),COUNTIFS(tblSource[EventID],F292,tblSource[ReleaseStatus],"APPROVED")=1,COUNTIFS(Period_Status!$A$2:$A$8,G292,Period_Status!$B$2:$B$8,"ActualClosed")=1,C292&gt;EOMONTH(Settlement_Bridge!$C$2,0)),1,0)</f>
        <v>0</v>
      </c>
      <c r="P292" s="2" t="s">
        <v>933</v>
      </c>
    </row>
    <row r="293" spans="1:16" x14ac:dyDescent="0.25">
      <c r="A293" s="2" t="s">
        <v>934</v>
      </c>
      <c r="B293" s="2" t="s">
        <v>136</v>
      </c>
      <c r="C293" s="8">
        <v>46220</v>
      </c>
      <c r="D293" s="6">
        <v>46204</v>
      </c>
      <c r="E293" s="2" t="s">
        <v>260</v>
      </c>
      <c r="F293" s="2" t="s">
        <v>932</v>
      </c>
      <c r="G293" s="6">
        <v>46174</v>
      </c>
      <c r="H293" s="2" t="s">
        <v>71</v>
      </c>
      <c r="I293" s="2" t="s">
        <v>76</v>
      </c>
      <c r="J293" s="9">
        <v>59192736</v>
      </c>
      <c r="K293" s="7">
        <v>6.2000000000000003E-5</v>
      </c>
      <c r="L293" s="9">
        <v>3669.95</v>
      </c>
      <c r="M293" s="9">
        <v>3699.55</v>
      </c>
      <c r="N293" s="9">
        <v>2.02</v>
      </c>
      <c r="O293" s="10">
        <f>IF(AND(OR(H293="APPROVED",H293="SCHEDULED"),COUNTIFS(tblSource[EventID],F293,tblSource[ReleaseStatus],"APPROVED")=1,COUNTIFS(Period_Status!$A$2:$A$8,G293,Period_Status!$B$2:$B$8,"ActualClosed")=1,C293&gt;EOMONTH(Settlement_Bridge!$C$2,0)),1,0)</f>
        <v>0</v>
      </c>
      <c r="P293" s="2" t="s">
        <v>935</v>
      </c>
    </row>
    <row r="294" spans="1:16" x14ac:dyDescent="0.25">
      <c r="A294" s="2" t="s">
        <v>936</v>
      </c>
      <c r="B294" s="2" t="s">
        <v>136</v>
      </c>
      <c r="C294" s="8">
        <v>46206</v>
      </c>
      <c r="D294" s="6">
        <v>46204</v>
      </c>
      <c r="E294" s="2" t="s">
        <v>260</v>
      </c>
      <c r="F294" s="2" t="s">
        <v>937</v>
      </c>
      <c r="G294" s="6">
        <v>46174</v>
      </c>
      <c r="H294" s="2" t="s">
        <v>71</v>
      </c>
      <c r="I294" s="2" t="s">
        <v>70</v>
      </c>
      <c r="J294" s="9">
        <v>9532.2105260000008</v>
      </c>
      <c r="K294" s="7">
        <v>0.65800000000000003</v>
      </c>
      <c r="L294" s="9">
        <v>6272.19</v>
      </c>
      <c r="M294" s="9">
        <v>6338.92</v>
      </c>
      <c r="N294" s="9">
        <v>3.45</v>
      </c>
      <c r="O294" s="10">
        <f>IF(AND(OR(H294="APPROVED",H294="SCHEDULED"),COUNTIFS(tblSource[EventID],F294,tblSource[ReleaseStatus],"APPROVED")=1,COUNTIFS(Period_Status!$A$2:$A$8,G294,Period_Status!$B$2:$B$8,"ActualClosed")=1,C294&gt;EOMONTH(Settlement_Bridge!$C$2,0)),1,0)</f>
        <v>0</v>
      </c>
      <c r="P294" s="2" t="s">
        <v>938</v>
      </c>
    </row>
    <row r="295" spans="1:16" x14ac:dyDescent="0.25">
      <c r="A295" s="2" t="s">
        <v>939</v>
      </c>
      <c r="B295" s="2" t="s">
        <v>136</v>
      </c>
      <c r="C295" s="8">
        <v>46207</v>
      </c>
      <c r="D295" s="6">
        <v>46204</v>
      </c>
      <c r="E295" s="2" t="s">
        <v>260</v>
      </c>
      <c r="F295" s="2" t="s">
        <v>940</v>
      </c>
      <c r="G295" s="6">
        <v>46174</v>
      </c>
      <c r="H295" s="2" t="s">
        <v>71</v>
      </c>
      <c r="I295" s="2" t="s">
        <v>39</v>
      </c>
      <c r="J295" s="9">
        <v>6511.93</v>
      </c>
      <c r="K295" s="7">
        <v>1</v>
      </c>
      <c r="L295" s="9">
        <v>6511.93</v>
      </c>
      <c r="M295" s="9">
        <v>6511.93</v>
      </c>
      <c r="N295" s="9">
        <v>3.58</v>
      </c>
      <c r="O295" s="10">
        <f>IF(AND(OR(H295="APPROVED",H295="SCHEDULED"),COUNTIFS(tblSource[EventID],F295,tblSource[ReleaseStatus],"APPROVED")=1,COUNTIFS(Period_Status!$A$2:$A$8,G295,Period_Status!$B$2:$B$8,"ActualClosed")=1,C295&gt;EOMONTH(Settlement_Bridge!$C$2,0)),1,0)</f>
        <v>0</v>
      </c>
      <c r="P295" s="2" t="s">
        <v>941</v>
      </c>
    </row>
    <row r="296" spans="1:16" x14ac:dyDescent="0.25">
      <c r="A296" s="2" t="s">
        <v>942</v>
      </c>
      <c r="B296" s="2" t="s">
        <v>136</v>
      </c>
      <c r="C296" s="8">
        <v>46208</v>
      </c>
      <c r="D296" s="6">
        <v>46204</v>
      </c>
      <c r="E296" s="2" t="s">
        <v>260</v>
      </c>
      <c r="F296" s="2" t="s">
        <v>943</v>
      </c>
      <c r="G296" s="6">
        <v>46174</v>
      </c>
      <c r="H296" s="2" t="s">
        <v>71</v>
      </c>
      <c r="I296" s="2" t="s">
        <v>76</v>
      </c>
      <c r="J296" s="9">
        <v>106959040</v>
      </c>
      <c r="K296" s="7">
        <v>6.2000000000000003E-5</v>
      </c>
      <c r="L296" s="9">
        <v>6631.46</v>
      </c>
      <c r="M296" s="9">
        <v>6684.94</v>
      </c>
      <c r="N296" s="9">
        <v>3.65</v>
      </c>
      <c r="O296" s="10">
        <f>IF(AND(OR(H296="APPROVED",H296="SCHEDULED"),COUNTIFS(tblSource[EventID],F296,tblSource[ReleaseStatus],"APPROVED")=1,COUNTIFS(Period_Status!$A$2:$A$8,G296,Period_Status!$B$2:$B$8,"ActualClosed")=1,C296&gt;EOMONTH(Settlement_Bridge!$C$2,0)),1,0)</f>
        <v>0</v>
      </c>
      <c r="P296" s="2" t="s">
        <v>944</v>
      </c>
    </row>
    <row r="297" spans="1:16" x14ac:dyDescent="0.25">
      <c r="A297" s="2" t="s">
        <v>945</v>
      </c>
      <c r="B297" s="2" t="s">
        <v>136</v>
      </c>
      <c r="C297" s="8">
        <v>46209</v>
      </c>
      <c r="D297" s="6">
        <v>46204</v>
      </c>
      <c r="E297" s="2" t="s">
        <v>260</v>
      </c>
      <c r="F297" s="2" t="s">
        <v>946</v>
      </c>
      <c r="G297" s="6">
        <v>46174</v>
      </c>
      <c r="H297" s="2" t="s">
        <v>71</v>
      </c>
      <c r="I297" s="2" t="s">
        <v>70</v>
      </c>
      <c r="J297" s="9">
        <v>10312.706767</v>
      </c>
      <c r="K297" s="7">
        <v>0.65800000000000003</v>
      </c>
      <c r="L297" s="9">
        <v>6785.76</v>
      </c>
      <c r="M297" s="9">
        <v>6857.95</v>
      </c>
      <c r="N297" s="9">
        <v>3.73</v>
      </c>
      <c r="O297" s="10">
        <f>IF(AND(OR(H297="APPROVED",H297="SCHEDULED"),COUNTIFS(tblSource[EventID],F297,tblSource[ReleaseStatus],"APPROVED")=1,COUNTIFS(Period_Status!$A$2:$A$8,G297,Period_Status!$B$2:$B$8,"ActualClosed")=1,C297&gt;EOMONTH(Settlement_Bridge!$C$2,0)),1,0)</f>
        <v>0</v>
      </c>
      <c r="P297" s="2" t="s">
        <v>947</v>
      </c>
    </row>
    <row r="298" spans="1:16" x14ac:dyDescent="0.25">
      <c r="A298" s="2" t="s">
        <v>948</v>
      </c>
      <c r="B298" s="2" t="s">
        <v>136</v>
      </c>
      <c r="C298" s="8">
        <v>46210</v>
      </c>
      <c r="D298" s="6">
        <v>46204</v>
      </c>
      <c r="E298" s="2" t="s">
        <v>260</v>
      </c>
      <c r="F298" s="2" t="s">
        <v>949</v>
      </c>
      <c r="G298" s="6">
        <v>46174</v>
      </c>
      <c r="H298" s="2" t="s">
        <v>71</v>
      </c>
      <c r="I298" s="2" t="s">
        <v>39</v>
      </c>
      <c r="J298" s="9">
        <v>7030.96</v>
      </c>
      <c r="K298" s="7">
        <v>1</v>
      </c>
      <c r="L298" s="9">
        <v>7030.96</v>
      </c>
      <c r="M298" s="9">
        <v>7030.96</v>
      </c>
      <c r="N298" s="9">
        <v>3.87</v>
      </c>
      <c r="O298" s="10">
        <f>IF(AND(OR(H298="APPROVED",H298="SCHEDULED"),COUNTIFS(tblSource[EventID],F298,tblSource[ReleaseStatus],"APPROVED")=1,COUNTIFS(Period_Status!$A$2:$A$8,G298,Period_Status!$B$2:$B$8,"ActualClosed")=1,C298&gt;EOMONTH(Settlement_Bridge!$C$2,0)),1,0)</f>
        <v>0</v>
      </c>
      <c r="P298" s="2" t="s">
        <v>950</v>
      </c>
    </row>
    <row r="299" spans="1:16" x14ac:dyDescent="0.25">
      <c r="A299" s="2" t="s">
        <v>951</v>
      </c>
      <c r="B299" s="2" t="s">
        <v>136</v>
      </c>
      <c r="C299" s="8">
        <v>46201</v>
      </c>
      <c r="D299" s="6">
        <v>46174</v>
      </c>
      <c r="E299" s="2" t="s">
        <v>260</v>
      </c>
      <c r="F299" s="2" t="s">
        <v>952</v>
      </c>
      <c r="G299" s="6">
        <v>46174</v>
      </c>
      <c r="H299" s="2" t="s">
        <v>71</v>
      </c>
      <c r="I299" s="2" t="s">
        <v>76</v>
      </c>
      <c r="J299" s="9">
        <v>46099200</v>
      </c>
      <c r="K299" s="7">
        <v>6.2500000000000001E-5</v>
      </c>
      <c r="L299" s="9">
        <v>2881.2</v>
      </c>
      <c r="M299" s="9">
        <v>2881.2</v>
      </c>
      <c r="N299" s="9">
        <v>1.8</v>
      </c>
      <c r="O299" s="10">
        <f>IF(AND(OR(H299="APPROVED",H299="SCHEDULED"),COUNTIFS(tblSource[EventID],F299,tblSource[ReleaseStatus],"APPROVED")=1,COUNTIFS(Period_Status!$A$2:$A$8,G299,Period_Status!$B$2:$B$8,"ActualClosed")=1,C299&gt;EOMONTH(Settlement_Bridge!$C$2,0)),1,0)</f>
        <v>0</v>
      </c>
      <c r="P299" s="2" t="s">
        <v>953</v>
      </c>
    </row>
    <row r="300" spans="1:16" x14ac:dyDescent="0.25">
      <c r="A300" s="2" t="s">
        <v>954</v>
      </c>
      <c r="B300" s="2" t="s">
        <v>136</v>
      </c>
      <c r="C300" s="8">
        <v>46226</v>
      </c>
      <c r="D300" s="6">
        <v>46204</v>
      </c>
      <c r="E300" s="2" t="s">
        <v>260</v>
      </c>
      <c r="F300" s="2" t="s">
        <v>952</v>
      </c>
      <c r="G300" s="6">
        <v>46174</v>
      </c>
      <c r="H300" s="2" t="s">
        <v>71</v>
      </c>
      <c r="I300" s="2" t="s">
        <v>76</v>
      </c>
      <c r="J300" s="9">
        <v>69148800</v>
      </c>
      <c r="K300" s="7">
        <v>6.2000000000000003E-5</v>
      </c>
      <c r="L300" s="9">
        <v>4287.2299999999996</v>
      </c>
      <c r="M300" s="9">
        <v>4321.8</v>
      </c>
      <c r="N300" s="9">
        <v>2.36</v>
      </c>
      <c r="O300" s="10">
        <f>IF(AND(OR(H300="APPROVED",H300="SCHEDULED"),COUNTIFS(tblSource[EventID],F300,tblSource[ReleaseStatus],"APPROVED")=1,COUNTIFS(Period_Status!$A$2:$A$8,G300,Period_Status!$B$2:$B$8,"ActualClosed")=1,C300&gt;EOMONTH(Settlement_Bridge!$C$2,0)),1,0)</f>
        <v>0</v>
      </c>
      <c r="P300" s="2" t="s">
        <v>955</v>
      </c>
    </row>
    <row r="301" spans="1:16" x14ac:dyDescent="0.25">
      <c r="A301" s="2" t="s">
        <v>956</v>
      </c>
      <c r="B301" s="2" t="s">
        <v>136</v>
      </c>
      <c r="C301" s="8">
        <v>46202</v>
      </c>
      <c r="D301" s="6">
        <v>46174</v>
      </c>
      <c r="E301" s="2" t="s">
        <v>260</v>
      </c>
      <c r="F301" s="2" t="s">
        <v>957</v>
      </c>
      <c r="G301" s="6">
        <v>46174</v>
      </c>
      <c r="H301" s="2" t="s">
        <v>71</v>
      </c>
      <c r="I301" s="2" t="s">
        <v>70</v>
      </c>
      <c r="J301" s="9">
        <v>4436.6977440000001</v>
      </c>
      <c r="K301" s="7">
        <v>0.66500000000000004</v>
      </c>
      <c r="L301" s="9">
        <v>2950.4</v>
      </c>
      <c r="M301" s="9">
        <v>2950.4</v>
      </c>
      <c r="N301" s="9">
        <v>1.8</v>
      </c>
      <c r="O301" s="10">
        <f>IF(AND(OR(H301="APPROVED",H301="SCHEDULED"),COUNTIFS(tblSource[EventID],F301,tblSource[ReleaseStatus],"APPROVED")=1,COUNTIFS(Period_Status!$A$2:$A$8,G301,Period_Status!$B$2:$B$8,"ActualClosed")=1,C301&gt;EOMONTH(Settlement_Bridge!$C$2,0)),1,0)</f>
        <v>0</v>
      </c>
      <c r="P301" s="2" t="s">
        <v>958</v>
      </c>
    </row>
    <row r="302" spans="1:16" x14ac:dyDescent="0.25">
      <c r="A302" s="2" t="s">
        <v>959</v>
      </c>
      <c r="B302" s="2" t="s">
        <v>136</v>
      </c>
      <c r="C302" s="8">
        <v>46227</v>
      </c>
      <c r="D302" s="6">
        <v>46204</v>
      </c>
      <c r="E302" s="2" t="s">
        <v>260</v>
      </c>
      <c r="F302" s="2" t="s">
        <v>957</v>
      </c>
      <c r="G302" s="6">
        <v>46174</v>
      </c>
      <c r="H302" s="2" t="s">
        <v>71</v>
      </c>
      <c r="I302" s="2" t="s">
        <v>70</v>
      </c>
      <c r="J302" s="9">
        <v>6655.046617</v>
      </c>
      <c r="K302" s="7">
        <v>0.65800000000000003</v>
      </c>
      <c r="L302" s="9">
        <v>4379.0200000000004</v>
      </c>
      <c r="M302" s="9">
        <v>4425.6099999999997</v>
      </c>
      <c r="N302" s="9">
        <v>2.41</v>
      </c>
      <c r="O302" s="10">
        <f>IF(AND(OR(H302="APPROVED",H302="SCHEDULED"),COUNTIFS(tblSource[EventID],F302,tblSource[ReleaseStatus],"APPROVED")=1,COUNTIFS(Period_Status!$A$2:$A$8,G302,Period_Status!$B$2:$B$8,"ActualClosed")=1,C302&gt;EOMONTH(Settlement_Bridge!$C$2,0)),1,0)</f>
        <v>0</v>
      </c>
      <c r="P302" s="2" t="s">
        <v>960</v>
      </c>
    </row>
    <row r="303" spans="1:16" x14ac:dyDescent="0.25">
      <c r="A303" s="2" t="s">
        <v>961</v>
      </c>
      <c r="B303" s="2" t="s">
        <v>136</v>
      </c>
      <c r="C303" s="8">
        <v>46213</v>
      </c>
      <c r="D303" s="6">
        <v>46204</v>
      </c>
      <c r="E303" s="2" t="s">
        <v>260</v>
      </c>
      <c r="F303" s="2" t="s">
        <v>962</v>
      </c>
      <c r="G303" s="6">
        <v>46174</v>
      </c>
      <c r="H303" s="2" t="s">
        <v>71</v>
      </c>
      <c r="I303" s="2" t="s">
        <v>39</v>
      </c>
      <c r="J303" s="9">
        <v>7549.02</v>
      </c>
      <c r="K303" s="7">
        <v>1</v>
      </c>
      <c r="L303" s="9">
        <v>7549.02</v>
      </c>
      <c r="M303" s="9">
        <v>7549.02</v>
      </c>
      <c r="N303" s="9">
        <v>4.1500000000000004</v>
      </c>
      <c r="O303" s="10">
        <f>IF(AND(OR(H303="APPROVED",H303="SCHEDULED"),COUNTIFS(tblSource[EventID],F303,tblSource[ReleaseStatus],"APPROVED")=1,COUNTIFS(Period_Status!$A$2:$A$8,G303,Period_Status!$B$2:$B$8,"ActualClosed")=1,C303&gt;EOMONTH(Settlement_Bridge!$C$2,0)),1,0)</f>
        <v>0</v>
      </c>
      <c r="P303" s="2" t="s">
        <v>963</v>
      </c>
    </row>
    <row r="304" spans="1:16" x14ac:dyDescent="0.25">
      <c r="A304" s="2" t="s">
        <v>964</v>
      </c>
      <c r="B304" s="2" t="s">
        <v>136</v>
      </c>
      <c r="C304" s="8">
        <v>46214</v>
      </c>
      <c r="D304" s="6">
        <v>46204</v>
      </c>
      <c r="E304" s="2" t="s">
        <v>260</v>
      </c>
      <c r="F304" s="2" t="s">
        <v>965</v>
      </c>
      <c r="G304" s="6">
        <v>46174</v>
      </c>
      <c r="H304" s="2" t="s">
        <v>71</v>
      </c>
      <c r="I304" s="2" t="s">
        <v>76</v>
      </c>
      <c r="J304" s="9">
        <v>123552480</v>
      </c>
      <c r="K304" s="7">
        <v>6.2000000000000003E-5</v>
      </c>
      <c r="L304" s="9">
        <v>7660.25</v>
      </c>
      <c r="M304" s="9">
        <v>7722.03</v>
      </c>
      <c r="N304" s="9">
        <v>4.21</v>
      </c>
      <c r="O304" s="10">
        <f>IF(AND(OR(H304="APPROVED",H304="SCHEDULED"),COUNTIFS(tblSource[EventID],F304,tblSource[ReleaseStatus],"APPROVED")=1,COUNTIFS(Period_Status!$A$2:$A$8,G304,Period_Status!$B$2:$B$8,"ActualClosed")=1,C304&gt;EOMONTH(Settlement_Bridge!$C$2,0)),1,0)</f>
        <v>0</v>
      </c>
      <c r="P304" s="2" t="s">
        <v>966</v>
      </c>
    </row>
    <row r="305" spans="1:16" x14ac:dyDescent="0.25">
      <c r="A305" s="2" t="s">
        <v>967</v>
      </c>
      <c r="B305" s="2" t="s">
        <v>136</v>
      </c>
      <c r="C305" s="8">
        <v>46205</v>
      </c>
      <c r="D305" s="6">
        <v>46204</v>
      </c>
      <c r="E305" s="2" t="s">
        <v>260</v>
      </c>
      <c r="F305" s="2" t="s">
        <v>968</v>
      </c>
      <c r="G305" s="6">
        <v>46174</v>
      </c>
      <c r="H305" s="2" t="s">
        <v>71</v>
      </c>
      <c r="I305" s="2" t="s">
        <v>70</v>
      </c>
      <c r="J305" s="9">
        <v>4748.8962410000004</v>
      </c>
      <c r="K305" s="7">
        <v>0.65800000000000003</v>
      </c>
      <c r="L305" s="9">
        <v>3124.77</v>
      </c>
      <c r="M305" s="9">
        <v>3158.02</v>
      </c>
      <c r="N305" s="9">
        <v>1.8</v>
      </c>
      <c r="O305" s="10">
        <f>IF(AND(OR(H305="APPROVED",H305="SCHEDULED"),COUNTIFS(tblSource[EventID],F305,tblSource[ReleaseStatus],"APPROVED")=1,COUNTIFS(Period_Status!$A$2:$A$8,G305,Period_Status!$B$2:$B$8,"ActualClosed")=1,C305&gt;EOMONTH(Settlement_Bridge!$C$2,0)),1,0)</f>
        <v>0</v>
      </c>
      <c r="P305" s="2" t="s">
        <v>969</v>
      </c>
    </row>
    <row r="306" spans="1:16" x14ac:dyDescent="0.25">
      <c r="A306" s="2" t="s">
        <v>970</v>
      </c>
      <c r="B306" s="2" t="s">
        <v>136</v>
      </c>
      <c r="C306" s="8">
        <v>46230</v>
      </c>
      <c r="D306" s="6">
        <v>46204</v>
      </c>
      <c r="E306" s="2" t="s">
        <v>260</v>
      </c>
      <c r="F306" s="2" t="s">
        <v>968</v>
      </c>
      <c r="G306" s="6">
        <v>46174</v>
      </c>
      <c r="H306" s="2" t="s">
        <v>71</v>
      </c>
      <c r="I306" s="2" t="s">
        <v>70</v>
      </c>
      <c r="J306" s="9">
        <v>7123.3443610000004</v>
      </c>
      <c r="K306" s="7">
        <v>0.65800000000000003</v>
      </c>
      <c r="L306" s="9">
        <v>4687.16</v>
      </c>
      <c r="M306" s="9">
        <v>4737.0200000000004</v>
      </c>
      <c r="N306" s="9">
        <v>2.58</v>
      </c>
      <c r="O306" s="10">
        <f>IF(AND(OR(H306="APPROVED",H306="SCHEDULED"),COUNTIFS(tblSource[EventID],F306,tblSource[ReleaseStatus],"APPROVED")=1,COUNTIFS(Period_Status!$A$2:$A$8,G306,Period_Status!$B$2:$B$8,"ActualClosed")=1,C306&gt;EOMONTH(Settlement_Bridge!$C$2,0)),1,0)</f>
        <v>0</v>
      </c>
      <c r="P306" s="2" t="s">
        <v>971</v>
      </c>
    </row>
    <row r="307" spans="1:16" x14ac:dyDescent="0.25">
      <c r="A307" s="2" t="s">
        <v>972</v>
      </c>
      <c r="B307" s="2" t="s">
        <v>136</v>
      </c>
      <c r="C307" s="8">
        <v>46216</v>
      </c>
      <c r="D307" s="6">
        <v>46204</v>
      </c>
      <c r="E307" s="2" t="s">
        <v>260</v>
      </c>
      <c r="F307" s="2" t="s">
        <v>973</v>
      </c>
      <c r="G307" s="6">
        <v>46174</v>
      </c>
      <c r="H307" s="2" t="s">
        <v>71</v>
      </c>
      <c r="I307" s="2" t="s">
        <v>39</v>
      </c>
      <c r="J307" s="9">
        <v>8068.05</v>
      </c>
      <c r="K307" s="7">
        <v>1</v>
      </c>
      <c r="L307" s="9">
        <v>8068.05</v>
      </c>
      <c r="M307" s="9">
        <v>8068.05</v>
      </c>
      <c r="N307" s="9">
        <v>4.4400000000000004</v>
      </c>
      <c r="O307" s="10">
        <f>IF(AND(OR(H307="APPROVED",H307="SCHEDULED"),COUNTIFS(tblSource[EventID],F307,tblSource[ReleaseStatus],"APPROVED")=1,COUNTIFS(Period_Status!$A$2:$A$8,G307,Period_Status!$B$2:$B$8,"ActualClosed")=1,C307&gt;EOMONTH(Settlement_Bridge!$C$2,0)),1,0)</f>
        <v>0</v>
      </c>
      <c r="P307" s="2" t="s">
        <v>974</v>
      </c>
    </row>
    <row r="308" spans="1:16" x14ac:dyDescent="0.25">
      <c r="A308" s="2" t="s">
        <v>975</v>
      </c>
      <c r="B308" s="2" t="s">
        <v>136</v>
      </c>
      <c r="C308" s="8">
        <v>46217</v>
      </c>
      <c r="D308" s="6">
        <v>46204</v>
      </c>
      <c r="E308" s="2" t="s">
        <v>260</v>
      </c>
      <c r="F308" s="2" t="s">
        <v>976</v>
      </c>
      <c r="G308" s="6">
        <v>46174</v>
      </c>
      <c r="H308" s="2" t="s">
        <v>71</v>
      </c>
      <c r="I308" s="2" t="s">
        <v>76</v>
      </c>
      <c r="J308" s="9">
        <v>131856960</v>
      </c>
      <c r="K308" s="7">
        <v>6.2000000000000003E-5</v>
      </c>
      <c r="L308" s="9">
        <v>8175.13</v>
      </c>
      <c r="M308" s="9">
        <v>8241.06</v>
      </c>
      <c r="N308" s="9">
        <v>4.5</v>
      </c>
      <c r="O308" s="10">
        <f>IF(AND(OR(H308="APPROVED",H308="SCHEDULED"),COUNTIFS(tblSource[EventID],F308,tblSource[ReleaseStatus],"APPROVED")=1,COUNTIFS(Period_Status!$A$2:$A$8,G308,Period_Status!$B$2:$B$8,"ActualClosed")=1,C308&gt;EOMONTH(Settlement_Bridge!$C$2,0)),1,0)</f>
        <v>0</v>
      </c>
      <c r="P308" s="2" t="s">
        <v>977</v>
      </c>
    </row>
    <row r="309" spans="1:16" x14ac:dyDescent="0.25">
      <c r="A309" s="2" t="s">
        <v>978</v>
      </c>
      <c r="B309" s="2" t="s">
        <v>136</v>
      </c>
      <c r="C309" s="8">
        <v>46218</v>
      </c>
      <c r="D309" s="6">
        <v>46204</v>
      </c>
      <c r="E309" s="2" t="s">
        <v>260</v>
      </c>
      <c r="F309" s="2" t="s">
        <v>979</v>
      </c>
      <c r="G309" s="6">
        <v>46174</v>
      </c>
      <c r="H309" s="2" t="s">
        <v>71</v>
      </c>
      <c r="I309" s="2" t="s">
        <v>70</v>
      </c>
      <c r="J309" s="9">
        <v>12652.736842</v>
      </c>
      <c r="K309" s="7">
        <v>0.65800000000000003</v>
      </c>
      <c r="L309" s="9">
        <v>8325.5</v>
      </c>
      <c r="M309" s="9">
        <v>8414.07</v>
      </c>
      <c r="N309" s="9">
        <v>4.58</v>
      </c>
      <c r="O309" s="10">
        <f>IF(AND(OR(H309="APPROVED",H309="SCHEDULED"),COUNTIFS(tblSource[EventID],F309,tblSource[ReleaseStatus],"APPROVED")=1,COUNTIFS(Period_Status!$A$2:$A$8,G309,Period_Status!$B$2:$B$8,"ActualClosed")=1,C309&gt;EOMONTH(Settlement_Bridge!$C$2,0)),1,0)</f>
        <v>0</v>
      </c>
      <c r="P309" s="2" t="s">
        <v>980</v>
      </c>
    </row>
    <row r="310" spans="1:16" x14ac:dyDescent="0.25">
      <c r="A310" s="2" t="s">
        <v>981</v>
      </c>
      <c r="B310" s="2" t="s">
        <v>136</v>
      </c>
      <c r="C310" s="8">
        <v>46219</v>
      </c>
      <c r="D310" s="6">
        <v>46204</v>
      </c>
      <c r="E310" s="2" t="s">
        <v>260</v>
      </c>
      <c r="F310" s="2" t="s">
        <v>982</v>
      </c>
      <c r="G310" s="6">
        <v>46174</v>
      </c>
      <c r="H310" s="2" t="s">
        <v>71</v>
      </c>
      <c r="I310" s="2" t="s">
        <v>39</v>
      </c>
      <c r="J310" s="9">
        <v>8587.08</v>
      </c>
      <c r="K310" s="7">
        <v>1</v>
      </c>
      <c r="L310" s="9">
        <v>8587.08</v>
      </c>
      <c r="M310" s="9">
        <v>8587.08</v>
      </c>
      <c r="N310" s="9">
        <v>4.72</v>
      </c>
      <c r="O310" s="10">
        <f>IF(AND(OR(H310="APPROVED",H310="SCHEDULED"),COUNTIFS(tblSource[EventID],F310,tblSource[ReleaseStatus],"APPROVED")=1,COUNTIFS(Period_Status!$A$2:$A$8,G310,Period_Status!$B$2:$B$8,"ActualClosed")=1,C310&gt;EOMONTH(Settlement_Bridge!$C$2,0)),1,0)</f>
        <v>0</v>
      </c>
      <c r="P310" s="2" t="s">
        <v>983</v>
      </c>
    </row>
    <row r="311" spans="1:16" x14ac:dyDescent="0.25">
      <c r="A311" s="2" t="s">
        <v>984</v>
      </c>
      <c r="B311" s="2" t="s">
        <v>136</v>
      </c>
      <c r="C311" s="8">
        <v>46220</v>
      </c>
      <c r="D311" s="6">
        <v>46204</v>
      </c>
      <c r="E311" s="2" t="s">
        <v>260</v>
      </c>
      <c r="F311" s="2" t="s">
        <v>985</v>
      </c>
      <c r="G311" s="6">
        <v>46174</v>
      </c>
      <c r="H311" s="2" t="s">
        <v>71</v>
      </c>
      <c r="I311" s="2" t="s">
        <v>76</v>
      </c>
      <c r="J311" s="9">
        <v>140161440</v>
      </c>
      <c r="K311" s="7">
        <v>6.2000000000000003E-5</v>
      </c>
      <c r="L311" s="9">
        <v>8690.01</v>
      </c>
      <c r="M311" s="9">
        <v>8760.09</v>
      </c>
      <c r="N311" s="9">
        <v>4.78</v>
      </c>
      <c r="O311" s="10">
        <f>IF(AND(OR(H311="APPROVED",H311="SCHEDULED"),COUNTIFS(tblSource[EventID],F311,tblSource[ReleaseStatus],"APPROVED")=1,COUNTIFS(Period_Status!$A$2:$A$8,G311,Period_Status!$B$2:$B$8,"ActualClosed")=1,C311&gt;EOMONTH(Settlement_Bridge!$C$2,0)),1,0)</f>
        <v>0</v>
      </c>
      <c r="P311" s="2" t="s">
        <v>986</v>
      </c>
    </row>
    <row r="312" spans="1:16" x14ac:dyDescent="0.25">
      <c r="A312" s="2" t="s">
        <v>987</v>
      </c>
      <c r="B312" s="2" t="s">
        <v>136</v>
      </c>
      <c r="C312" s="8">
        <v>46211</v>
      </c>
      <c r="D312" s="6">
        <v>46204</v>
      </c>
      <c r="E312" s="2" t="s">
        <v>260</v>
      </c>
      <c r="F312" s="2" t="s">
        <v>988</v>
      </c>
      <c r="G312" s="6">
        <v>46174</v>
      </c>
      <c r="H312" s="2" t="s">
        <v>71</v>
      </c>
      <c r="I312" s="2" t="s">
        <v>70</v>
      </c>
      <c r="J312" s="9">
        <v>5373.2932330000003</v>
      </c>
      <c r="K312" s="7">
        <v>0.65800000000000003</v>
      </c>
      <c r="L312" s="9">
        <v>3535.63</v>
      </c>
      <c r="M312" s="9">
        <v>3573.24</v>
      </c>
      <c r="N312" s="9">
        <v>1.94</v>
      </c>
      <c r="O312" s="10">
        <f>IF(AND(OR(H312="APPROVED",H312="SCHEDULED"),COUNTIFS(tblSource[EventID],F312,tblSource[ReleaseStatus],"APPROVED")=1,COUNTIFS(Period_Status!$A$2:$A$8,G312,Period_Status!$B$2:$B$8,"ActualClosed")=1,C312&gt;EOMONTH(Settlement_Bridge!$C$2,0)),1,0)</f>
        <v>0</v>
      </c>
      <c r="P312" s="2" t="s">
        <v>989</v>
      </c>
    </row>
    <row r="313" spans="1:16" x14ac:dyDescent="0.25">
      <c r="A313" s="2" t="s">
        <v>990</v>
      </c>
      <c r="B313" s="2" t="s">
        <v>136</v>
      </c>
      <c r="C313" s="8">
        <v>46236</v>
      </c>
      <c r="D313" s="6">
        <v>46235</v>
      </c>
      <c r="E313" s="2" t="s">
        <v>260</v>
      </c>
      <c r="F313" s="2" t="s">
        <v>988</v>
      </c>
      <c r="G313" s="6">
        <v>46174</v>
      </c>
      <c r="H313" s="2" t="s">
        <v>71</v>
      </c>
      <c r="I313" s="2" t="s">
        <v>70</v>
      </c>
      <c r="J313" s="9">
        <v>8059.9398499999998</v>
      </c>
      <c r="K313" s="7">
        <v>0.65</v>
      </c>
      <c r="L313" s="9">
        <v>5238.96</v>
      </c>
      <c r="M313" s="9">
        <v>5359.86</v>
      </c>
      <c r="N313" s="9">
        <v>2.88</v>
      </c>
      <c r="O313" s="10">
        <f>IF(AND(OR(H313="APPROVED",H313="SCHEDULED"),COUNTIFS(tblSource[EventID],F313,tblSource[ReleaseStatus],"APPROVED")=1,COUNTIFS(Period_Status!$A$2:$A$8,G313,Period_Status!$B$2:$B$8,"ActualClosed")=1,C313&gt;EOMONTH(Settlement_Bridge!$C$2,0)),1,0)</f>
        <v>1</v>
      </c>
      <c r="P313" s="2" t="s">
        <v>991</v>
      </c>
    </row>
    <row r="314" spans="1:16" x14ac:dyDescent="0.25">
      <c r="A314" s="2" t="s">
        <v>992</v>
      </c>
      <c r="B314" s="2" t="s">
        <v>136</v>
      </c>
      <c r="C314" s="8">
        <v>46212</v>
      </c>
      <c r="D314" s="6">
        <v>46204</v>
      </c>
      <c r="E314" s="2" t="s">
        <v>260</v>
      </c>
      <c r="F314" s="2" t="s">
        <v>993</v>
      </c>
      <c r="G314" s="6">
        <v>46174</v>
      </c>
      <c r="H314" s="2" t="s">
        <v>71</v>
      </c>
      <c r="I314" s="2" t="s">
        <v>39</v>
      </c>
      <c r="J314" s="9">
        <v>-9106.11</v>
      </c>
      <c r="K314" s="7">
        <v>1</v>
      </c>
      <c r="L314" s="9">
        <v>-9106.11</v>
      </c>
      <c r="M314" s="9">
        <v>-9106.11</v>
      </c>
      <c r="N314" s="9">
        <v>0</v>
      </c>
      <c r="O314" s="10">
        <f>IF(AND(OR(H314="APPROVED",H314="SCHEDULED"),COUNTIFS(tblSource[EventID],F314,tblSource[ReleaseStatus],"APPROVED")=1,COUNTIFS(Period_Status!$A$2:$A$8,G314,Period_Status!$B$2:$B$8,"ActualClosed")=1,C314&gt;EOMONTH(Settlement_Bridge!$C$2,0)),1,0)</f>
        <v>0</v>
      </c>
      <c r="P314" s="2" t="s">
        <v>994</v>
      </c>
    </row>
    <row r="315" spans="1:16" x14ac:dyDescent="0.25">
      <c r="A315" s="2" t="s">
        <v>995</v>
      </c>
      <c r="B315" s="2" t="s">
        <v>136</v>
      </c>
      <c r="C315" s="8">
        <v>46223</v>
      </c>
      <c r="D315" s="6">
        <v>46204</v>
      </c>
      <c r="E315" s="2" t="s">
        <v>260</v>
      </c>
      <c r="F315" s="2" t="s">
        <v>996</v>
      </c>
      <c r="G315" s="6">
        <v>46174</v>
      </c>
      <c r="H315" s="2" t="s">
        <v>71</v>
      </c>
      <c r="I315" s="2" t="s">
        <v>76</v>
      </c>
      <c r="J315" s="9">
        <v>148465920</v>
      </c>
      <c r="K315" s="7">
        <v>6.2000000000000003E-5</v>
      </c>
      <c r="L315" s="9">
        <v>9204.89</v>
      </c>
      <c r="M315" s="9">
        <v>9279.1200000000008</v>
      </c>
      <c r="N315" s="9">
        <v>5.0599999999999996</v>
      </c>
      <c r="O315" s="10">
        <f>IF(AND(OR(H315="APPROVED",H315="SCHEDULED"),COUNTIFS(tblSource[EventID],F315,tblSource[ReleaseStatus],"APPROVED")=1,COUNTIFS(Period_Status!$A$2:$A$8,G315,Period_Status!$B$2:$B$8,"ActualClosed")=1,C315&gt;EOMONTH(Settlement_Bridge!$C$2,0)),1,0)</f>
        <v>0</v>
      </c>
      <c r="P315" s="2" t="s">
        <v>997</v>
      </c>
    </row>
    <row r="316" spans="1:16" x14ac:dyDescent="0.25">
      <c r="A316" s="2" t="s">
        <v>998</v>
      </c>
      <c r="B316" s="2" t="s">
        <v>136</v>
      </c>
      <c r="C316" s="8">
        <v>46224</v>
      </c>
      <c r="D316" s="6">
        <v>46204</v>
      </c>
      <c r="E316" s="2" t="s">
        <v>260</v>
      </c>
      <c r="F316" s="2" t="s">
        <v>999</v>
      </c>
      <c r="G316" s="6">
        <v>46174</v>
      </c>
      <c r="H316" s="2" t="s">
        <v>71</v>
      </c>
      <c r="I316" s="2" t="s">
        <v>70</v>
      </c>
      <c r="J316" s="9">
        <v>14213.729323</v>
      </c>
      <c r="K316" s="7">
        <v>0.65800000000000003</v>
      </c>
      <c r="L316" s="9">
        <v>9352.6299999999992</v>
      </c>
      <c r="M316" s="9">
        <v>9452.1299999999992</v>
      </c>
      <c r="N316" s="9">
        <v>5.14</v>
      </c>
      <c r="O316" s="10">
        <f>IF(AND(OR(H316="APPROVED",H316="SCHEDULED"),COUNTIFS(tblSource[EventID],F316,tblSource[ReleaseStatus],"APPROVED")=1,COUNTIFS(Period_Status!$A$2:$A$8,G316,Period_Status!$B$2:$B$8,"ActualClosed")=1,C316&gt;EOMONTH(Settlement_Bridge!$C$2,0)),1,0)</f>
        <v>0</v>
      </c>
      <c r="P316" s="2" t="s">
        <v>1000</v>
      </c>
    </row>
    <row r="317" spans="1:16" x14ac:dyDescent="0.25">
      <c r="A317" s="2" t="s">
        <v>1001</v>
      </c>
      <c r="B317" s="2" t="s">
        <v>136</v>
      </c>
      <c r="C317" s="8">
        <v>46215</v>
      </c>
      <c r="D317" s="6">
        <v>46204</v>
      </c>
      <c r="E317" s="2" t="s">
        <v>260</v>
      </c>
      <c r="F317" s="2" t="s">
        <v>1002</v>
      </c>
      <c r="G317" s="6">
        <v>46174</v>
      </c>
      <c r="H317" s="2" t="s">
        <v>71</v>
      </c>
      <c r="I317" s="2" t="s">
        <v>39</v>
      </c>
      <c r="J317" s="9">
        <v>3850.056</v>
      </c>
      <c r="K317" s="7">
        <v>1</v>
      </c>
      <c r="L317" s="9">
        <v>3850.06</v>
      </c>
      <c r="M317" s="9">
        <v>3850.06</v>
      </c>
      <c r="N317" s="9">
        <v>2.12</v>
      </c>
      <c r="O317" s="10">
        <f>IF(AND(OR(H317="APPROVED",H317="SCHEDULED"),COUNTIFS(tblSource[EventID],F317,tblSource[ReleaseStatus],"APPROVED")=1,COUNTIFS(Period_Status!$A$2:$A$8,G317,Period_Status!$B$2:$B$8,"ActualClosed")=1,C317&gt;EOMONTH(Settlement_Bridge!$C$2,0)),1,0)</f>
        <v>0</v>
      </c>
      <c r="P317" s="2" t="s">
        <v>1003</v>
      </c>
    </row>
    <row r="318" spans="1:16" x14ac:dyDescent="0.25">
      <c r="A318" s="2" t="s">
        <v>1004</v>
      </c>
      <c r="B318" s="2" t="s">
        <v>136</v>
      </c>
      <c r="C318" s="8">
        <v>46240</v>
      </c>
      <c r="D318" s="6">
        <v>46235</v>
      </c>
      <c r="E318" s="2" t="s">
        <v>260</v>
      </c>
      <c r="F318" s="2" t="s">
        <v>1002</v>
      </c>
      <c r="G318" s="6">
        <v>46174</v>
      </c>
      <c r="H318" s="2" t="s">
        <v>71</v>
      </c>
      <c r="I318" s="2" t="s">
        <v>39</v>
      </c>
      <c r="J318" s="9">
        <v>5775.0839999999998</v>
      </c>
      <c r="K318" s="7">
        <v>1</v>
      </c>
      <c r="L318" s="9">
        <v>5775.08</v>
      </c>
      <c r="M318" s="9">
        <v>5775.08</v>
      </c>
      <c r="N318" s="9">
        <v>3.18</v>
      </c>
      <c r="O318" s="10">
        <f>IF(AND(OR(H318="APPROVED",H318="SCHEDULED"),COUNTIFS(tblSource[EventID],F318,tblSource[ReleaseStatus],"APPROVED")=1,COUNTIFS(Period_Status!$A$2:$A$8,G318,Period_Status!$B$2:$B$8,"ActualClosed")=1,C318&gt;EOMONTH(Settlement_Bridge!$C$2,0)),1,0)</f>
        <v>1</v>
      </c>
      <c r="P318" s="2" t="s">
        <v>1005</v>
      </c>
    </row>
    <row r="319" spans="1:16" x14ac:dyDescent="0.25">
      <c r="A319" s="2" t="s">
        <v>1006</v>
      </c>
      <c r="B319" s="2" t="s">
        <v>136</v>
      </c>
      <c r="C319" s="8">
        <v>46226</v>
      </c>
      <c r="D319" s="6">
        <v>46204</v>
      </c>
      <c r="E319" s="2" t="s">
        <v>260</v>
      </c>
      <c r="F319" s="2" t="s">
        <v>1007</v>
      </c>
      <c r="G319" s="6">
        <v>46174</v>
      </c>
      <c r="H319" s="2" t="s">
        <v>71</v>
      </c>
      <c r="I319" s="2" t="s">
        <v>76</v>
      </c>
      <c r="J319" s="9">
        <v>156770400</v>
      </c>
      <c r="K319" s="7">
        <v>6.2000000000000003E-5</v>
      </c>
      <c r="L319" s="9">
        <v>9719.76</v>
      </c>
      <c r="M319" s="9">
        <v>9798.15</v>
      </c>
      <c r="N319" s="9">
        <v>5.35</v>
      </c>
      <c r="O319" s="10">
        <f>IF(AND(OR(H319="APPROVED",H319="SCHEDULED"),COUNTIFS(tblSource[EventID],F319,tblSource[ReleaseStatus],"APPROVED")=1,COUNTIFS(Period_Status!$A$2:$A$8,G319,Period_Status!$B$2:$B$8,"ActualClosed")=1,C319&gt;EOMONTH(Settlement_Bridge!$C$2,0)),1,0)</f>
        <v>0</v>
      </c>
      <c r="P319" s="2" t="s">
        <v>1008</v>
      </c>
    </row>
    <row r="320" spans="1:16" x14ac:dyDescent="0.25">
      <c r="A320" s="2" t="s">
        <v>1009</v>
      </c>
      <c r="B320" s="2" t="s">
        <v>136</v>
      </c>
      <c r="C320" s="8">
        <v>46227</v>
      </c>
      <c r="D320" s="6">
        <v>46204</v>
      </c>
      <c r="E320" s="2" t="s">
        <v>260</v>
      </c>
      <c r="F320" s="2" t="s">
        <v>1010</v>
      </c>
      <c r="G320" s="6">
        <v>46174</v>
      </c>
      <c r="H320" s="2" t="s">
        <v>71</v>
      </c>
      <c r="I320" s="2" t="s">
        <v>70</v>
      </c>
      <c r="J320" s="9">
        <v>14994.225564</v>
      </c>
      <c r="K320" s="7">
        <v>0.65800000000000003</v>
      </c>
      <c r="L320" s="9">
        <v>9866.2000000000007</v>
      </c>
      <c r="M320" s="9">
        <v>9971.16</v>
      </c>
      <c r="N320" s="9">
        <v>5.43</v>
      </c>
      <c r="O320" s="10">
        <f>IF(AND(OR(H320="APPROVED",H320="SCHEDULED"),COUNTIFS(tblSource[EventID],F320,tblSource[ReleaseStatus],"APPROVED")=1,COUNTIFS(Period_Status!$A$2:$A$8,G320,Period_Status!$B$2:$B$8,"ActualClosed")=1,C320&gt;EOMONTH(Settlement_Bridge!$C$2,0)),1,0)</f>
        <v>0</v>
      </c>
      <c r="P320" s="2" t="s">
        <v>1011</v>
      </c>
    </row>
    <row r="321" spans="1:16" x14ac:dyDescent="0.25">
      <c r="A321" s="2" t="s">
        <v>1012</v>
      </c>
      <c r="B321" s="2" t="s">
        <v>136</v>
      </c>
      <c r="C321" s="8">
        <v>46198</v>
      </c>
      <c r="D321" s="6">
        <v>46174</v>
      </c>
      <c r="E321" s="2" t="s">
        <v>260</v>
      </c>
      <c r="F321" s="2" t="s">
        <v>1013</v>
      </c>
      <c r="G321" s="6">
        <v>46174</v>
      </c>
      <c r="H321" s="2" t="s">
        <v>71</v>
      </c>
      <c r="I321" s="2" t="s">
        <v>39</v>
      </c>
      <c r="J321" s="9">
        <v>10144.17</v>
      </c>
      <c r="K321" s="7">
        <v>1</v>
      </c>
      <c r="L321" s="9">
        <v>10144.17</v>
      </c>
      <c r="M321" s="9">
        <v>10144.17</v>
      </c>
      <c r="N321" s="9">
        <v>5.58</v>
      </c>
      <c r="O321" s="10">
        <f>IF(AND(OR(H321="APPROVED",H321="SCHEDULED"),COUNTIFS(tblSource[EventID],F321,tblSource[ReleaseStatus],"APPROVED")=1,COUNTIFS(Period_Status!$A$2:$A$8,G321,Period_Status!$B$2:$B$8,"ActualClosed")=1,C321&gt;EOMONTH(Settlement_Bridge!$C$2,0)),1,0)</f>
        <v>0</v>
      </c>
      <c r="P321" s="2" t="s">
        <v>1014</v>
      </c>
    </row>
    <row r="322" spans="1:16" x14ac:dyDescent="0.25">
      <c r="A322" s="2" t="s">
        <v>1015</v>
      </c>
      <c r="B322" s="2" t="s">
        <v>136</v>
      </c>
      <c r="C322" s="8">
        <v>46199</v>
      </c>
      <c r="D322" s="6">
        <v>46174</v>
      </c>
      <c r="E322" s="2" t="s">
        <v>260</v>
      </c>
      <c r="F322" s="2" t="s">
        <v>1016</v>
      </c>
      <c r="G322" s="6">
        <v>46174</v>
      </c>
      <c r="H322" s="2" t="s">
        <v>71</v>
      </c>
      <c r="I322" s="2" t="s">
        <v>76</v>
      </c>
      <c r="J322" s="9">
        <v>165074880</v>
      </c>
      <c r="K322" s="7">
        <v>6.2500000000000001E-5</v>
      </c>
      <c r="L322" s="9">
        <v>10317.18</v>
      </c>
      <c r="M322" s="9">
        <v>10317.18</v>
      </c>
      <c r="N322" s="9">
        <v>5.67</v>
      </c>
      <c r="O322" s="10">
        <f>IF(AND(OR(H322="APPROVED",H322="SCHEDULED"),COUNTIFS(tblSource[EventID],F322,tblSource[ReleaseStatus],"APPROVED")=1,COUNTIFS(Period_Status!$A$2:$A$8,G322,Period_Status!$B$2:$B$8,"ActualClosed")=1,C322&gt;EOMONTH(Settlement_Bridge!$C$2,0)),1,0)</f>
        <v>0</v>
      </c>
      <c r="P322" s="2" t="s">
        <v>1017</v>
      </c>
    </row>
    <row r="323" spans="1:16" x14ac:dyDescent="0.25">
      <c r="A323" s="2" t="s">
        <v>1018</v>
      </c>
      <c r="B323" s="2" t="s">
        <v>136</v>
      </c>
      <c r="C323" s="8">
        <v>46200</v>
      </c>
      <c r="D323" s="6">
        <v>46174</v>
      </c>
      <c r="E323" s="2" t="s">
        <v>260</v>
      </c>
      <c r="F323" s="2" t="s">
        <v>1019</v>
      </c>
      <c r="G323" s="6">
        <v>46174</v>
      </c>
      <c r="H323" s="2" t="s">
        <v>71</v>
      </c>
      <c r="I323" s="2" t="s">
        <v>70</v>
      </c>
      <c r="J323" s="9">
        <v>15774.721804999999</v>
      </c>
      <c r="K323" s="7">
        <v>0.66500000000000004</v>
      </c>
      <c r="L323" s="9">
        <v>10490.19</v>
      </c>
      <c r="M323" s="9">
        <v>10490.19</v>
      </c>
      <c r="N323" s="9">
        <v>5.77</v>
      </c>
      <c r="O323" s="10">
        <f>IF(AND(OR(H323="APPROVED",H323="SCHEDULED"),COUNTIFS(tblSource[EventID],F323,tblSource[ReleaseStatus],"APPROVED")=1,COUNTIFS(Period_Status!$A$2:$A$8,G323,Period_Status!$B$2:$B$8,"ActualClosed")=1,C323&gt;EOMONTH(Settlement_Bridge!$C$2,0)),1,0)</f>
        <v>0</v>
      </c>
      <c r="P323" s="2" t="s">
        <v>1020</v>
      </c>
    </row>
    <row r="324" spans="1:16" x14ac:dyDescent="0.25">
      <c r="A324" s="2" t="s">
        <v>1021</v>
      </c>
      <c r="B324" s="2" t="s">
        <v>136</v>
      </c>
      <c r="C324" s="8">
        <v>46191</v>
      </c>
      <c r="D324" s="6">
        <v>46174</v>
      </c>
      <c r="E324" s="2" t="s">
        <v>260</v>
      </c>
      <c r="F324" s="2" t="s">
        <v>1022</v>
      </c>
      <c r="G324" s="6">
        <v>46174</v>
      </c>
      <c r="H324" s="2" t="s">
        <v>71</v>
      </c>
      <c r="I324" s="2" t="s">
        <v>39</v>
      </c>
      <c r="J324" s="9">
        <v>4265.28</v>
      </c>
      <c r="K324" s="7">
        <v>1</v>
      </c>
      <c r="L324" s="9">
        <v>4265.28</v>
      </c>
      <c r="M324" s="9">
        <v>4265.28</v>
      </c>
      <c r="N324" s="9">
        <v>2.35</v>
      </c>
      <c r="O324" s="10">
        <f>IF(AND(OR(H324="APPROVED",H324="SCHEDULED"),COUNTIFS(tblSource[EventID],F324,tblSource[ReleaseStatus],"APPROVED")=1,COUNTIFS(Period_Status!$A$2:$A$8,G324,Period_Status!$B$2:$B$8,"ActualClosed")=1,C324&gt;EOMONTH(Settlement_Bridge!$C$2,0)),1,0)</f>
        <v>0</v>
      </c>
      <c r="P324" s="2" t="s">
        <v>1023</v>
      </c>
    </row>
    <row r="325" spans="1:16" x14ac:dyDescent="0.25">
      <c r="A325" s="2" t="s">
        <v>1024</v>
      </c>
      <c r="B325" s="2" t="s">
        <v>136</v>
      </c>
      <c r="C325" s="8">
        <v>46216</v>
      </c>
      <c r="D325" s="6">
        <v>46204</v>
      </c>
      <c r="E325" s="2" t="s">
        <v>260</v>
      </c>
      <c r="F325" s="2" t="s">
        <v>1022</v>
      </c>
      <c r="G325" s="6">
        <v>46174</v>
      </c>
      <c r="H325" s="2" t="s">
        <v>71</v>
      </c>
      <c r="I325" s="2" t="s">
        <v>39</v>
      </c>
      <c r="J325" s="9">
        <v>6397.92</v>
      </c>
      <c r="K325" s="7">
        <v>1</v>
      </c>
      <c r="L325" s="9">
        <v>6397.92</v>
      </c>
      <c r="M325" s="9">
        <v>6397.92</v>
      </c>
      <c r="N325" s="9">
        <v>3.52</v>
      </c>
      <c r="O325" s="10">
        <f>IF(AND(OR(H325="APPROVED",H325="SCHEDULED"),COUNTIFS(tblSource[EventID],F325,tblSource[ReleaseStatus],"APPROVED")=1,COUNTIFS(Period_Status!$A$2:$A$8,G325,Period_Status!$B$2:$B$8,"ActualClosed")=1,C325&gt;EOMONTH(Settlement_Bridge!$C$2,0)),1,0)</f>
        <v>0</v>
      </c>
      <c r="P325" s="2" t="s">
        <v>1025</v>
      </c>
    </row>
    <row r="326" spans="1:16" x14ac:dyDescent="0.25">
      <c r="A326" s="2" t="s">
        <v>1026</v>
      </c>
      <c r="B326" s="2" t="s">
        <v>136</v>
      </c>
      <c r="C326" s="8">
        <v>46192</v>
      </c>
      <c r="D326" s="6">
        <v>46174</v>
      </c>
      <c r="E326" s="2" t="s">
        <v>260</v>
      </c>
      <c r="F326" s="2" t="s">
        <v>1027</v>
      </c>
      <c r="G326" s="6">
        <v>46174</v>
      </c>
      <c r="H326" s="2" t="s">
        <v>71</v>
      </c>
      <c r="I326" s="2" t="s">
        <v>76</v>
      </c>
      <c r="J326" s="9">
        <v>69351744</v>
      </c>
      <c r="K326" s="7">
        <v>6.2500000000000001E-5</v>
      </c>
      <c r="L326" s="9">
        <v>4334.4799999999996</v>
      </c>
      <c r="M326" s="9">
        <v>4334.4799999999996</v>
      </c>
      <c r="N326" s="9">
        <v>2.38</v>
      </c>
      <c r="O326" s="10">
        <f>IF(AND(OR(H326="APPROVED",H326="SCHEDULED"),COUNTIFS(tblSource[EventID],F326,tblSource[ReleaseStatus],"APPROVED")=1,COUNTIFS(Period_Status!$A$2:$A$8,G326,Period_Status!$B$2:$B$8,"ActualClosed")=1,C326&gt;EOMONTH(Settlement_Bridge!$C$2,0)),1,0)</f>
        <v>0</v>
      </c>
      <c r="P326" s="2" t="s">
        <v>1028</v>
      </c>
    </row>
    <row r="327" spans="1:16" x14ac:dyDescent="0.25">
      <c r="A327" s="2" t="s">
        <v>1029</v>
      </c>
      <c r="B327" s="2" t="s">
        <v>136</v>
      </c>
      <c r="C327" s="8">
        <v>46217</v>
      </c>
      <c r="D327" s="6">
        <v>46204</v>
      </c>
      <c r="E327" s="2" t="s">
        <v>260</v>
      </c>
      <c r="F327" s="2" t="s">
        <v>1027</v>
      </c>
      <c r="G327" s="6">
        <v>46174</v>
      </c>
      <c r="H327" s="2" t="s">
        <v>71</v>
      </c>
      <c r="I327" s="2" t="s">
        <v>76</v>
      </c>
      <c r="J327" s="9">
        <v>104027616</v>
      </c>
      <c r="K327" s="7">
        <v>6.2000000000000003E-5</v>
      </c>
      <c r="L327" s="9">
        <v>6449.71</v>
      </c>
      <c r="M327" s="9">
        <v>6501.73</v>
      </c>
      <c r="N327" s="9">
        <v>3.55</v>
      </c>
      <c r="O327" s="10">
        <f>IF(AND(OR(H327="APPROVED",H327="SCHEDULED"),COUNTIFS(tblSource[EventID],F327,tblSource[ReleaseStatus],"APPROVED")=1,COUNTIFS(Period_Status!$A$2:$A$8,G327,Period_Status!$B$2:$B$8,"ActualClosed")=1,C327&gt;EOMONTH(Settlement_Bridge!$C$2,0)),1,0)</f>
        <v>0</v>
      </c>
      <c r="P327" s="2" t="s">
        <v>1030</v>
      </c>
    </row>
    <row r="328" spans="1:16" x14ac:dyDescent="0.25">
      <c r="A328" s="2" t="s">
        <v>1031</v>
      </c>
      <c r="B328" s="2" t="s">
        <v>136</v>
      </c>
      <c r="C328" s="8">
        <v>46203</v>
      </c>
      <c r="D328" s="6">
        <v>46174</v>
      </c>
      <c r="E328" s="2" t="s">
        <v>260</v>
      </c>
      <c r="F328" s="2" t="s">
        <v>1032</v>
      </c>
      <c r="G328" s="6">
        <v>46174</v>
      </c>
      <c r="H328" s="2" t="s">
        <v>71</v>
      </c>
      <c r="I328" s="2" t="s">
        <v>70</v>
      </c>
      <c r="J328" s="9">
        <v>16555.218045000001</v>
      </c>
      <c r="K328" s="7">
        <v>0.66500000000000004</v>
      </c>
      <c r="L328" s="9">
        <v>11009.22</v>
      </c>
      <c r="M328" s="9">
        <v>11009.22</v>
      </c>
      <c r="N328" s="9">
        <v>6.06</v>
      </c>
      <c r="O328" s="10">
        <f>IF(AND(OR(H328="APPROVED",H328="SCHEDULED"),COUNTIFS(tblSource[EventID],F328,tblSource[ReleaseStatus],"APPROVED")=1,COUNTIFS(Period_Status!$A$2:$A$8,G328,Period_Status!$B$2:$B$8,"ActualClosed")=1,C328&gt;EOMONTH(Settlement_Bridge!$C$2,0)),1,0)</f>
        <v>0</v>
      </c>
      <c r="P328" s="2" t="s">
        <v>1033</v>
      </c>
    </row>
    <row r="329" spans="1:16" x14ac:dyDescent="0.25">
      <c r="A329" s="2" t="s">
        <v>1034</v>
      </c>
      <c r="B329" s="2" t="s">
        <v>136</v>
      </c>
      <c r="C329" s="8">
        <v>46204</v>
      </c>
      <c r="D329" s="6">
        <v>46204</v>
      </c>
      <c r="E329" s="2" t="s">
        <v>260</v>
      </c>
      <c r="F329" s="2" t="s">
        <v>1035</v>
      </c>
      <c r="G329" s="6">
        <v>46174</v>
      </c>
      <c r="H329" s="2" t="s">
        <v>71</v>
      </c>
      <c r="I329" s="2" t="s">
        <v>39</v>
      </c>
      <c r="J329" s="9">
        <v>11182.23</v>
      </c>
      <c r="K329" s="7">
        <v>1</v>
      </c>
      <c r="L329" s="9">
        <v>11182.23</v>
      </c>
      <c r="M329" s="9">
        <v>11182.23</v>
      </c>
      <c r="N329" s="9">
        <v>6.15</v>
      </c>
      <c r="O329" s="10">
        <f>IF(AND(OR(H329="APPROVED",H329="SCHEDULED"),COUNTIFS(tblSource[EventID],F329,tblSource[ReleaseStatus],"APPROVED")=1,COUNTIFS(Period_Status!$A$2:$A$8,G329,Period_Status!$B$2:$B$8,"ActualClosed")=1,C329&gt;EOMONTH(Settlement_Bridge!$C$2,0)),1,0)</f>
        <v>0</v>
      </c>
      <c r="P329" s="2" t="s">
        <v>1036</v>
      </c>
    </row>
    <row r="330" spans="1:16" x14ac:dyDescent="0.25">
      <c r="A330" s="2" t="s">
        <v>1037</v>
      </c>
      <c r="B330" s="2" t="s">
        <v>136</v>
      </c>
      <c r="C330" s="8">
        <v>46195</v>
      </c>
      <c r="D330" s="6">
        <v>46174</v>
      </c>
      <c r="E330" s="2" t="s">
        <v>260</v>
      </c>
      <c r="F330" s="2" t="s">
        <v>1038</v>
      </c>
      <c r="G330" s="6">
        <v>46174</v>
      </c>
      <c r="H330" s="2" t="s">
        <v>71</v>
      </c>
      <c r="I330" s="2" t="s">
        <v>76</v>
      </c>
      <c r="J330" s="9">
        <v>72673536</v>
      </c>
      <c r="K330" s="7">
        <v>6.2500000000000001E-5</v>
      </c>
      <c r="L330" s="9">
        <v>4542.1000000000004</v>
      </c>
      <c r="M330" s="9">
        <v>4542.1000000000004</v>
      </c>
      <c r="N330" s="9">
        <v>2.5</v>
      </c>
      <c r="O330" s="10">
        <f>IF(AND(OR(H330="APPROVED",H330="SCHEDULED"),COUNTIFS(tblSource[EventID],F330,tblSource[ReleaseStatus],"APPROVED")=1,COUNTIFS(Period_Status!$A$2:$A$8,G330,Period_Status!$B$2:$B$8,"ActualClosed")=1,C330&gt;EOMONTH(Settlement_Bridge!$C$2,0)),1,0)</f>
        <v>0</v>
      </c>
      <c r="P330" s="2" t="s">
        <v>1039</v>
      </c>
    </row>
    <row r="331" spans="1:16" x14ac:dyDescent="0.25">
      <c r="A331" s="2" t="s">
        <v>1040</v>
      </c>
      <c r="B331" s="2" t="s">
        <v>136</v>
      </c>
      <c r="C331" s="8">
        <v>46220</v>
      </c>
      <c r="D331" s="6">
        <v>46204</v>
      </c>
      <c r="E331" s="2" t="s">
        <v>260</v>
      </c>
      <c r="F331" s="2" t="s">
        <v>1038</v>
      </c>
      <c r="G331" s="6">
        <v>46174</v>
      </c>
      <c r="H331" s="2" t="s">
        <v>71</v>
      </c>
      <c r="I331" s="2" t="s">
        <v>76</v>
      </c>
      <c r="J331" s="9">
        <v>109010304</v>
      </c>
      <c r="K331" s="7">
        <v>6.2000000000000003E-5</v>
      </c>
      <c r="L331" s="9">
        <v>6758.64</v>
      </c>
      <c r="M331" s="9">
        <v>6813.14</v>
      </c>
      <c r="N331" s="9">
        <v>3.72</v>
      </c>
      <c r="O331" s="10">
        <f>IF(AND(OR(H331="APPROVED",H331="SCHEDULED"),COUNTIFS(tblSource[EventID],F331,tblSource[ReleaseStatus],"APPROVED")=1,COUNTIFS(Period_Status!$A$2:$A$8,G331,Period_Status!$B$2:$B$8,"ActualClosed")=1,C331&gt;EOMONTH(Settlement_Bridge!$C$2,0)),1,0)</f>
        <v>0</v>
      </c>
      <c r="P331" s="2" t="s">
        <v>1041</v>
      </c>
    </row>
    <row r="332" spans="1:16" x14ac:dyDescent="0.25">
      <c r="A332" s="2" t="s">
        <v>1042</v>
      </c>
      <c r="B332" s="2" t="s">
        <v>136</v>
      </c>
      <c r="C332" s="8">
        <v>46206</v>
      </c>
      <c r="D332" s="6">
        <v>46204</v>
      </c>
      <c r="E332" s="2" t="s">
        <v>260</v>
      </c>
      <c r="F332" s="2" t="s">
        <v>1043</v>
      </c>
      <c r="G332" s="6">
        <v>46174</v>
      </c>
      <c r="H332" s="2" t="s">
        <v>71</v>
      </c>
      <c r="I332" s="2" t="s">
        <v>70</v>
      </c>
      <c r="J332" s="9">
        <v>17335.714285999999</v>
      </c>
      <c r="K332" s="7">
        <v>0.65800000000000003</v>
      </c>
      <c r="L332" s="9">
        <v>11406.9</v>
      </c>
      <c r="M332" s="9">
        <v>11528.25</v>
      </c>
      <c r="N332" s="9">
        <v>6.27</v>
      </c>
      <c r="O332" s="10">
        <f>IF(AND(OR(H332="APPROVED",H332="SCHEDULED"),COUNTIFS(tblSource[EventID],F332,tblSource[ReleaseStatus],"APPROVED")=1,COUNTIFS(Period_Status!$A$2:$A$8,G332,Period_Status!$B$2:$B$8,"ActualClosed")=1,C332&gt;EOMONTH(Settlement_Bridge!$C$2,0)),1,0)</f>
        <v>0</v>
      </c>
      <c r="P332" s="2" t="s">
        <v>1044</v>
      </c>
    </row>
    <row r="333" spans="1:16" x14ac:dyDescent="0.25">
      <c r="A333" s="2" t="s">
        <v>1045</v>
      </c>
      <c r="B333" s="2" t="s">
        <v>136</v>
      </c>
      <c r="C333" s="8">
        <v>46207</v>
      </c>
      <c r="D333" s="6">
        <v>46204</v>
      </c>
      <c r="E333" s="2" t="s">
        <v>260</v>
      </c>
      <c r="F333" s="2" t="s">
        <v>1046</v>
      </c>
      <c r="G333" s="6">
        <v>46174</v>
      </c>
      <c r="H333" s="2" t="s">
        <v>71</v>
      </c>
      <c r="I333" s="2" t="s">
        <v>39</v>
      </c>
      <c r="J333" s="9">
        <v>11701.26</v>
      </c>
      <c r="K333" s="7">
        <v>1</v>
      </c>
      <c r="L333" s="9">
        <v>11701.26</v>
      </c>
      <c r="M333" s="9">
        <v>11701.26</v>
      </c>
      <c r="N333" s="9">
        <v>6.44</v>
      </c>
      <c r="O333" s="10">
        <f>IF(AND(OR(H333="APPROVED",H333="SCHEDULED"),COUNTIFS(tblSource[EventID],F333,tblSource[ReleaseStatus],"APPROVED")=1,COUNTIFS(Period_Status!$A$2:$A$8,G333,Period_Status!$B$2:$B$8,"ActualClosed")=1,C333&gt;EOMONTH(Settlement_Bridge!$C$2,0)),1,0)</f>
        <v>0</v>
      </c>
      <c r="P333" s="2" t="s">
        <v>1047</v>
      </c>
    </row>
    <row r="334" spans="1:16" x14ac:dyDescent="0.25">
      <c r="A334" s="2" t="s">
        <v>1048</v>
      </c>
      <c r="B334" s="2" t="s">
        <v>136</v>
      </c>
      <c r="C334" s="8">
        <v>46208</v>
      </c>
      <c r="D334" s="6">
        <v>46204</v>
      </c>
      <c r="E334" s="2" t="s">
        <v>260</v>
      </c>
      <c r="F334" s="2" t="s">
        <v>1049</v>
      </c>
      <c r="G334" s="6">
        <v>46174</v>
      </c>
      <c r="H334" s="2" t="s">
        <v>71</v>
      </c>
      <c r="I334" s="2" t="s">
        <v>76</v>
      </c>
      <c r="J334" s="9">
        <v>189988320</v>
      </c>
      <c r="K334" s="7">
        <v>6.2000000000000003E-5</v>
      </c>
      <c r="L334" s="9">
        <v>11779.28</v>
      </c>
      <c r="M334" s="9">
        <v>11874.27</v>
      </c>
      <c r="N334" s="9">
        <v>6.48</v>
      </c>
      <c r="O334" s="10">
        <f>IF(AND(OR(H334="APPROVED",H334="SCHEDULED"),COUNTIFS(tblSource[EventID],F334,tblSource[ReleaseStatus],"APPROVED")=1,COUNTIFS(Period_Status!$A$2:$A$8,G334,Period_Status!$B$2:$B$8,"ActualClosed")=1,C334&gt;EOMONTH(Settlement_Bridge!$C$2,0)),1,0)</f>
        <v>0</v>
      </c>
      <c r="P334" s="2" t="s">
        <v>1050</v>
      </c>
    </row>
    <row r="335" spans="1:16" x14ac:dyDescent="0.25">
      <c r="A335" s="2" t="s">
        <v>1051</v>
      </c>
      <c r="B335" s="2" t="s">
        <v>136</v>
      </c>
      <c r="C335" s="8">
        <v>46209</v>
      </c>
      <c r="D335" s="6">
        <v>46204</v>
      </c>
      <c r="E335" s="2" t="s">
        <v>260</v>
      </c>
      <c r="F335" s="2" t="s">
        <v>1052</v>
      </c>
      <c r="G335" s="6">
        <v>46174</v>
      </c>
      <c r="H335" s="2" t="s">
        <v>71</v>
      </c>
      <c r="I335" s="2" t="s">
        <v>70</v>
      </c>
      <c r="J335" s="9">
        <v>18116.210525999999</v>
      </c>
      <c r="K335" s="7">
        <v>0.65800000000000003</v>
      </c>
      <c r="L335" s="9">
        <v>11920.47</v>
      </c>
      <c r="M335" s="9">
        <v>12047.28</v>
      </c>
      <c r="N335" s="9">
        <v>6.56</v>
      </c>
      <c r="O335" s="10">
        <f>IF(AND(OR(H335="APPROVED",H335="SCHEDULED"),COUNTIFS(tblSource[EventID],F335,tblSource[ReleaseStatus],"APPROVED")=1,COUNTIFS(Period_Status!$A$2:$A$8,G335,Period_Status!$B$2:$B$8,"ActualClosed")=1,C335&gt;EOMONTH(Settlement_Bridge!$C$2,0)),1,0)</f>
        <v>0</v>
      </c>
      <c r="P335" s="2" t="s">
        <v>1053</v>
      </c>
    </row>
    <row r="336" spans="1:16" x14ac:dyDescent="0.25">
      <c r="A336" s="2" t="s">
        <v>1054</v>
      </c>
      <c r="B336" s="2" t="s">
        <v>136</v>
      </c>
      <c r="C336" s="8">
        <v>46210</v>
      </c>
      <c r="D336" s="6">
        <v>46204</v>
      </c>
      <c r="E336" s="2" t="s">
        <v>260</v>
      </c>
      <c r="F336" s="2" t="s">
        <v>1055</v>
      </c>
      <c r="G336" s="6">
        <v>46174</v>
      </c>
      <c r="H336" s="2" t="s">
        <v>71</v>
      </c>
      <c r="I336" s="2" t="s">
        <v>39</v>
      </c>
      <c r="J336" s="9">
        <v>12220.29</v>
      </c>
      <c r="K336" s="7">
        <v>1</v>
      </c>
      <c r="L336" s="9">
        <v>12220.29</v>
      </c>
      <c r="M336" s="9">
        <v>12220.29</v>
      </c>
      <c r="N336" s="9">
        <v>6.72</v>
      </c>
      <c r="O336" s="10">
        <f>IF(AND(OR(H336="APPROVED",H336="SCHEDULED"),COUNTIFS(tblSource[EventID],F336,tblSource[ReleaseStatus],"APPROVED")=1,COUNTIFS(Period_Status!$A$2:$A$8,G336,Period_Status!$B$2:$B$8,"ActualClosed")=1,C336&gt;EOMONTH(Settlement_Bridge!$C$2,0)),1,0)</f>
        <v>0</v>
      </c>
      <c r="P336" s="2" t="s">
        <v>1056</v>
      </c>
    </row>
    <row r="337" spans="1:16" x14ac:dyDescent="0.25">
      <c r="A337" s="2" t="s">
        <v>1057</v>
      </c>
      <c r="B337" s="2" t="s">
        <v>136</v>
      </c>
      <c r="C337" s="8">
        <v>46201</v>
      </c>
      <c r="D337" s="6">
        <v>46174</v>
      </c>
      <c r="E337" s="2" t="s">
        <v>260</v>
      </c>
      <c r="F337" s="2" t="s">
        <v>1058</v>
      </c>
      <c r="G337" s="6">
        <v>46174</v>
      </c>
      <c r="H337" s="2" t="s">
        <v>71</v>
      </c>
      <c r="I337" s="2" t="s">
        <v>76</v>
      </c>
      <c r="J337" s="9">
        <v>79317120</v>
      </c>
      <c r="K337" s="7">
        <v>6.2500000000000001E-5</v>
      </c>
      <c r="L337" s="9">
        <v>4957.32</v>
      </c>
      <c r="M337" s="9">
        <v>4957.32</v>
      </c>
      <c r="N337" s="9">
        <v>2.73</v>
      </c>
      <c r="O337" s="10">
        <f>IF(AND(OR(H337="APPROVED",H337="SCHEDULED"),COUNTIFS(tblSource[EventID],F337,tblSource[ReleaseStatus],"APPROVED")=1,COUNTIFS(Period_Status!$A$2:$A$8,G337,Period_Status!$B$2:$B$8,"ActualClosed")=1,C337&gt;EOMONTH(Settlement_Bridge!$C$2,0)),1,0)</f>
        <v>0</v>
      </c>
      <c r="P337" s="2" t="s">
        <v>1059</v>
      </c>
    </row>
    <row r="338" spans="1:16" x14ac:dyDescent="0.25">
      <c r="A338" s="2" t="s">
        <v>1060</v>
      </c>
      <c r="B338" s="2" t="s">
        <v>136</v>
      </c>
      <c r="C338" s="8">
        <v>46226</v>
      </c>
      <c r="D338" s="6">
        <v>46204</v>
      </c>
      <c r="E338" s="2" t="s">
        <v>260</v>
      </c>
      <c r="F338" s="2" t="s">
        <v>1058</v>
      </c>
      <c r="G338" s="6">
        <v>46174</v>
      </c>
      <c r="H338" s="2" t="s">
        <v>71</v>
      </c>
      <c r="I338" s="2" t="s">
        <v>76</v>
      </c>
      <c r="J338" s="9">
        <v>118975680</v>
      </c>
      <c r="K338" s="7">
        <v>6.2000000000000003E-5</v>
      </c>
      <c r="L338" s="9">
        <v>7376.49</v>
      </c>
      <c r="M338" s="9">
        <v>7435.98</v>
      </c>
      <c r="N338" s="9">
        <v>4.0599999999999996</v>
      </c>
      <c r="O338" s="10">
        <f>IF(AND(OR(H338="APPROVED",H338="SCHEDULED"),COUNTIFS(tblSource[EventID],F338,tblSource[ReleaseStatus],"APPROVED")=1,COUNTIFS(Period_Status!$A$2:$A$8,G338,Period_Status!$B$2:$B$8,"ActualClosed")=1,C338&gt;EOMONTH(Settlement_Bridge!$C$2,0)),1,0)</f>
        <v>0</v>
      </c>
      <c r="P338" s="2" t="s">
        <v>1061</v>
      </c>
    </row>
    <row r="339" spans="1:16" x14ac:dyDescent="0.25">
      <c r="A339" s="2" t="s">
        <v>1062</v>
      </c>
      <c r="B339" s="2" t="s">
        <v>136</v>
      </c>
      <c r="C339" s="8">
        <v>46202</v>
      </c>
      <c r="D339" s="6">
        <v>46174</v>
      </c>
      <c r="E339" s="2" t="s">
        <v>260</v>
      </c>
      <c r="F339" s="2" t="s">
        <v>1063</v>
      </c>
      <c r="G339" s="6">
        <v>46174</v>
      </c>
      <c r="H339" s="2" t="s">
        <v>71</v>
      </c>
      <c r="I339" s="2" t="s">
        <v>70</v>
      </c>
      <c r="J339" s="9">
        <v>7558.6827069999999</v>
      </c>
      <c r="K339" s="7">
        <v>0.66500000000000004</v>
      </c>
      <c r="L339" s="9">
        <v>5026.5200000000004</v>
      </c>
      <c r="M339" s="9">
        <v>5026.5200000000004</v>
      </c>
      <c r="N339" s="9">
        <v>2.76</v>
      </c>
      <c r="O339" s="10">
        <f>IF(AND(OR(H339="APPROVED",H339="SCHEDULED"),COUNTIFS(tblSource[EventID],F339,tblSource[ReleaseStatus],"APPROVED")=1,COUNTIFS(Period_Status!$A$2:$A$8,G339,Period_Status!$B$2:$B$8,"ActualClosed")=1,C339&gt;EOMONTH(Settlement_Bridge!$C$2,0)),1,0)</f>
        <v>0</v>
      </c>
      <c r="P339" s="2" t="s">
        <v>1064</v>
      </c>
    </row>
    <row r="340" spans="1:16" x14ac:dyDescent="0.25">
      <c r="A340" s="2" t="s">
        <v>1065</v>
      </c>
      <c r="B340" s="2" t="s">
        <v>136</v>
      </c>
      <c r="C340" s="8">
        <v>46227</v>
      </c>
      <c r="D340" s="6">
        <v>46204</v>
      </c>
      <c r="E340" s="2" t="s">
        <v>260</v>
      </c>
      <c r="F340" s="2" t="s">
        <v>1063</v>
      </c>
      <c r="G340" s="6">
        <v>46174</v>
      </c>
      <c r="H340" s="2" t="s">
        <v>71</v>
      </c>
      <c r="I340" s="2" t="s">
        <v>70</v>
      </c>
      <c r="J340" s="9">
        <v>11338.02406</v>
      </c>
      <c r="K340" s="7">
        <v>0.65800000000000003</v>
      </c>
      <c r="L340" s="9">
        <v>7460.42</v>
      </c>
      <c r="M340" s="9">
        <v>7539.79</v>
      </c>
      <c r="N340" s="9">
        <v>4.0999999999999996</v>
      </c>
      <c r="O340" s="10">
        <f>IF(AND(OR(H340="APPROVED",H340="SCHEDULED"),COUNTIFS(tblSource[EventID],F340,tblSource[ReleaseStatus],"APPROVED")=1,COUNTIFS(Period_Status!$A$2:$A$8,G340,Period_Status!$B$2:$B$8,"ActualClosed")=1,C340&gt;EOMONTH(Settlement_Bridge!$C$2,0)),1,0)</f>
        <v>0</v>
      </c>
      <c r="P340" s="2" t="s">
        <v>1066</v>
      </c>
    </row>
    <row r="341" spans="1:16" x14ac:dyDescent="0.25">
      <c r="A341" s="2" t="s">
        <v>1067</v>
      </c>
      <c r="B341" s="2" t="s">
        <v>136</v>
      </c>
      <c r="C341" s="8">
        <v>46213</v>
      </c>
      <c r="D341" s="6">
        <v>46204</v>
      </c>
      <c r="E341" s="2" t="s">
        <v>260</v>
      </c>
      <c r="F341" s="2" t="s">
        <v>1068</v>
      </c>
      <c r="G341" s="6">
        <v>46174</v>
      </c>
      <c r="H341" s="2" t="s">
        <v>71</v>
      </c>
      <c r="I341" s="2" t="s">
        <v>39</v>
      </c>
      <c r="J341" s="9">
        <v>12739.32</v>
      </c>
      <c r="K341" s="7">
        <v>1</v>
      </c>
      <c r="L341" s="9">
        <v>12739.32</v>
      </c>
      <c r="M341" s="9">
        <v>12739.32</v>
      </c>
      <c r="N341" s="9">
        <v>7.01</v>
      </c>
      <c r="O341" s="10">
        <f>IF(AND(OR(H341="APPROVED",H341="SCHEDULED"),COUNTIFS(tblSource[EventID],F341,tblSource[ReleaseStatus],"APPROVED")=1,COUNTIFS(Period_Status!$A$2:$A$8,G341,Period_Status!$B$2:$B$8,"ActualClosed")=1,C341&gt;EOMONTH(Settlement_Bridge!$C$2,0)),1,0)</f>
        <v>0</v>
      </c>
      <c r="P341" s="2" t="s">
        <v>1069</v>
      </c>
    </row>
    <row r="342" spans="1:16" x14ac:dyDescent="0.25">
      <c r="A342" s="2" t="s">
        <v>1070</v>
      </c>
      <c r="B342" s="2" t="s">
        <v>136</v>
      </c>
      <c r="C342" s="8">
        <v>46214</v>
      </c>
      <c r="D342" s="6">
        <v>46204</v>
      </c>
      <c r="E342" s="2" t="s">
        <v>260</v>
      </c>
      <c r="F342" s="2" t="s">
        <v>1071</v>
      </c>
      <c r="G342" s="6">
        <v>46174</v>
      </c>
      <c r="H342" s="2" t="s">
        <v>71</v>
      </c>
      <c r="I342" s="2" t="s">
        <v>76</v>
      </c>
      <c r="J342" s="9">
        <v>206597280</v>
      </c>
      <c r="K342" s="7">
        <v>6.2000000000000003E-5</v>
      </c>
      <c r="L342" s="9">
        <v>12809.03</v>
      </c>
      <c r="M342" s="9">
        <v>12912.33</v>
      </c>
      <c r="N342" s="9">
        <v>7.04</v>
      </c>
      <c r="O342" s="10">
        <f>IF(AND(OR(H342="APPROVED",H342="SCHEDULED"),COUNTIFS(tblSource[EventID],F342,tblSource[ReleaseStatus],"APPROVED")=1,COUNTIFS(Period_Status!$A$2:$A$8,G342,Period_Status!$B$2:$B$8,"ActualClosed")=1,C342&gt;EOMONTH(Settlement_Bridge!$C$2,0)),1,0)</f>
        <v>0</v>
      </c>
      <c r="P342" s="2" t="s">
        <v>1072</v>
      </c>
    </row>
    <row r="343" spans="1:16" x14ac:dyDescent="0.25">
      <c r="A343" s="2" t="s">
        <v>1073</v>
      </c>
      <c r="B343" s="2" t="s">
        <v>136</v>
      </c>
      <c r="C343" s="8">
        <v>46205</v>
      </c>
      <c r="D343" s="6">
        <v>46204</v>
      </c>
      <c r="E343" s="2" t="s">
        <v>260</v>
      </c>
      <c r="F343" s="2" t="s">
        <v>1074</v>
      </c>
      <c r="G343" s="6">
        <v>46174</v>
      </c>
      <c r="H343" s="2" t="s">
        <v>71</v>
      </c>
      <c r="I343" s="2" t="s">
        <v>70</v>
      </c>
      <c r="J343" s="9">
        <v>7870.8812029999999</v>
      </c>
      <c r="K343" s="7">
        <v>0.65800000000000003</v>
      </c>
      <c r="L343" s="9">
        <v>5179.04</v>
      </c>
      <c r="M343" s="9">
        <v>5234.1400000000003</v>
      </c>
      <c r="N343" s="9">
        <v>2.85</v>
      </c>
      <c r="O343" s="10">
        <f>IF(AND(OR(H343="APPROVED",H343="SCHEDULED"),COUNTIFS(tblSource[EventID],F343,tblSource[ReleaseStatus],"APPROVED")=1,COUNTIFS(Period_Status!$A$2:$A$8,G343,Period_Status!$B$2:$B$8,"ActualClosed")=1,C343&gt;EOMONTH(Settlement_Bridge!$C$2,0)),1,0)</f>
        <v>0</v>
      </c>
      <c r="P343" s="2" t="s">
        <v>1075</v>
      </c>
    </row>
    <row r="344" spans="1:16" x14ac:dyDescent="0.25">
      <c r="A344" s="2" t="s">
        <v>1076</v>
      </c>
      <c r="B344" s="2" t="s">
        <v>136</v>
      </c>
      <c r="C344" s="8">
        <v>46230</v>
      </c>
      <c r="D344" s="6">
        <v>46204</v>
      </c>
      <c r="E344" s="2" t="s">
        <v>260</v>
      </c>
      <c r="F344" s="2" t="s">
        <v>1074</v>
      </c>
      <c r="G344" s="6">
        <v>46174</v>
      </c>
      <c r="H344" s="2" t="s">
        <v>71</v>
      </c>
      <c r="I344" s="2" t="s">
        <v>70</v>
      </c>
      <c r="J344" s="9">
        <v>11806.321805</v>
      </c>
      <c r="K344" s="7">
        <v>0.65800000000000003</v>
      </c>
      <c r="L344" s="9">
        <v>7768.56</v>
      </c>
      <c r="M344" s="9">
        <v>7851.2</v>
      </c>
      <c r="N344" s="9">
        <v>4.2699999999999996</v>
      </c>
      <c r="O344" s="10">
        <f>IF(AND(OR(H344="APPROVED",H344="SCHEDULED"),COUNTIFS(tblSource[EventID],F344,tblSource[ReleaseStatus],"APPROVED")=1,COUNTIFS(Period_Status!$A$2:$A$8,G344,Period_Status!$B$2:$B$8,"ActualClosed")=1,C344&gt;EOMONTH(Settlement_Bridge!$C$2,0)),1,0)</f>
        <v>0</v>
      </c>
      <c r="P344" s="2" t="s">
        <v>1077</v>
      </c>
    </row>
    <row r="345" spans="1:16" x14ac:dyDescent="0.25">
      <c r="A345" s="2" t="s">
        <v>1078</v>
      </c>
      <c r="B345" s="2" t="s">
        <v>136</v>
      </c>
      <c r="C345" s="8">
        <v>46216</v>
      </c>
      <c r="D345" s="6">
        <v>46204</v>
      </c>
      <c r="E345" s="2" t="s">
        <v>260</v>
      </c>
      <c r="F345" s="2" t="s">
        <v>1079</v>
      </c>
      <c r="G345" s="6">
        <v>46174</v>
      </c>
      <c r="H345" s="2" t="s">
        <v>71</v>
      </c>
      <c r="I345" s="2" t="s">
        <v>39</v>
      </c>
      <c r="J345" s="9">
        <v>13258.35</v>
      </c>
      <c r="K345" s="7">
        <v>1</v>
      </c>
      <c r="L345" s="9">
        <v>13258.35</v>
      </c>
      <c r="M345" s="9">
        <v>13258.35</v>
      </c>
      <c r="N345" s="9">
        <v>7.29</v>
      </c>
      <c r="O345" s="10">
        <f>IF(AND(OR(H345="APPROVED",H345="SCHEDULED"),COUNTIFS(tblSource[EventID],F345,tblSource[ReleaseStatus],"APPROVED")=1,COUNTIFS(Period_Status!$A$2:$A$8,G345,Period_Status!$B$2:$B$8,"ActualClosed")=1,C345&gt;EOMONTH(Settlement_Bridge!$C$2,0)),1,0)</f>
        <v>0</v>
      </c>
      <c r="P345" s="2" t="s">
        <v>1080</v>
      </c>
    </row>
    <row r="346" spans="1:16" x14ac:dyDescent="0.25">
      <c r="A346" s="2" t="s">
        <v>1081</v>
      </c>
      <c r="B346" s="2" t="s">
        <v>136</v>
      </c>
      <c r="C346" s="8">
        <v>46217</v>
      </c>
      <c r="D346" s="6">
        <v>46204</v>
      </c>
      <c r="E346" s="2" t="s">
        <v>260</v>
      </c>
      <c r="F346" s="2" t="s">
        <v>1082</v>
      </c>
      <c r="G346" s="6">
        <v>46174</v>
      </c>
      <c r="H346" s="2" t="s">
        <v>71</v>
      </c>
      <c r="I346" s="2" t="s">
        <v>76</v>
      </c>
      <c r="J346" s="9">
        <v>214901760</v>
      </c>
      <c r="K346" s="7">
        <v>6.2000000000000003E-5</v>
      </c>
      <c r="L346" s="9">
        <v>13323.91</v>
      </c>
      <c r="M346" s="9">
        <v>13431.36</v>
      </c>
      <c r="N346" s="9">
        <v>7.33</v>
      </c>
      <c r="O346" s="10">
        <f>IF(AND(OR(H346="APPROVED",H346="SCHEDULED"),COUNTIFS(tblSource[EventID],F346,tblSource[ReleaseStatus],"APPROVED")=1,COUNTIFS(Period_Status!$A$2:$A$8,G346,Period_Status!$B$2:$B$8,"ActualClosed")=1,C346&gt;EOMONTH(Settlement_Bridge!$C$2,0)),1,0)</f>
        <v>0</v>
      </c>
      <c r="P346" s="2" t="s">
        <v>1083</v>
      </c>
    </row>
    <row r="347" spans="1:16" x14ac:dyDescent="0.25">
      <c r="A347" s="2" t="s">
        <v>1084</v>
      </c>
      <c r="B347" s="2" t="s">
        <v>136</v>
      </c>
      <c r="C347" s="8">
        <v>46218</v>
      </c>
      <c r="D347" s="6">
        <v>46204</v>
      </c>
      <c r="E347" s="2" t="s">
        <v>260</v>
      </c>
      <c r="F347" s="2" t="s">
        <v>1085</v>
      </c>
      <c r="G347" s="6">
        <v>46174</v>
      </c>
      <c r="H347" s="2" t="s">
        <v>71</v>
      </c>
      <c r="I347" s="2" t="s">
        <v>70</v>
      </c>
      <c r="J347" s="9">
        <v>20457.699248000001</v>
      </c>
      <c r="K347" s="7">
        <v>0.65800000000000003</v>
      </c>
      <c r="L347" s="9">
        <v>13461.17</v>
      </c>
      <c r="M347" s="9">
        <v>13604.37</v>
      </c>
      <c r="N347" s="9">
        <v>7.4</v>
      </c>
      <c r="O347" s="10">
        <f>IF(AND(OR(H347="APPROVED",H347="SCHEDULED"),COUNTIFS(tblSource[EventID],F347,tblSource[ReleaseStatus],"APPROVED")=1,COUNTIFS(Period_Status!$A$2:$A$8,G347,Period_Status!$B$2:$B$8,"ActualClosed")=1,C347&gt;EOMONTH(Settlement_Bridge!$C$2,0)),1,0)</f>
        <v>0</v>
      </c>
      <c r="P347" s="2" t="s">
        <v>1086</v>
      </c>
    </row>
    <row r="348" spans="1:16" x14ac:dyDescent="0.25">
      <c r="A348" s="2" t="s">
        <v>1087</v>
      </c>
      <c r="B348" s="2" t="s">
        <v>136</v>
      </c>
      <c r="C348" s="8">
        <v>46219</v>
      </c>
      <c r="D348" s="6">
        <v>46204</v>
      </c>
      <c r="E348" s="2" t="s">
        <v>260</v>
      </c>
      <c r="F348" s="2" t="s">
        <v>1088</v>
      </c>
      <c r="G348" s="6">
        <v>46174</v>
      </c>
      <c r="H348" s="2" t="s">
        <v>71</v>
      </c>
      <c r="I348" s="2" t="s">
        <v>39</v>
      </c>
      <c r="J348" s="9">
        <v>13777.38</v>
      </c>
      <c r="K348" s="7">
        <v>1</v>
      </c>
      <c r="L348" s="9">
        <v>13777.38</v>
      </c>
      <c r="M348" s="9">
        <v>13777.38</v>
      </c>
      <c r="N348" s="9">
        <v>7.58</v>
      </c>
      <c r="O348" s="10">
        <f>IF(AND(OR(H348="APPROVED",H348="SCHEDULED"),COUNTIFS(tblSource[EventID],F348,tblSource[ReleaseStatus],"APPROVED")=1,COUNTIFS(Period_Status!$A$2:$A$8,G348,Period_Status!$B$2:$B$8,"ActualClosed")=1,C348&gt;EOMONTH(Settlement_Bridge!$C$2,0)),1,0)</f>
        <v>0</v>
      </c>
      <c r="P348" s="2" t="s">
        <v>1089</v>
      </c>
    </row>
    <row r="349" spans="1:16" x14ac:dyDescent="0.25">
      <c r="A349" s="2" t="s">
        <v>1090</v>
      </c>
      <c r="B349" s="2" t="s">
        <v>136</v>
      </c>
      <c r="C349" s="8">
        <v>46220</v>
      </c>
      <c r="D349" s="6">
        <v>46204</v>
      </c>
      <c r="E349" s="2" t="s">
        <v>260</v>
      </c>
      <c r="F349" s="2" t="s">
        <v>1091</v>
      </c>
      <c r="G349" s="6">
        <v>46174</v>
      </c>
      <c r="H349" s="2" t="s">
        <v>71</v>
      </c>
      <c r="I349" s="2" t="s">
        <v>76</v>
      </c>
      <c r="J349" s="9">
        <v>223206240</v>
      </c>
      <c r="K349" s="7">
        <v>6.2000000000000003E-5</v>
      </c>
      <c r="L349" s="9">
        <v>13838.79</v>
      </c>
      <c r="M349" s="9">
        <v>13950.39</v>
      </c>
      <c r="N349" s="9">
        <v>7.61</v>
      </c>
      <c r="O349" s="10">
        <f>IF(AND(OR(H349="APPROVED",H349="SCHEDULED"),COUNTIFS(tblSource[EventID],F349,tblSource[ReleaseStatus],"APPROVED")=1,COUNTIFS(Period_Status!$A$2:$A$8,G349,Period_Status!$B$2:$B$8,"ActualClosed")=1,C349&gt;EOMONTH(Settlement_Bridge!$C$2,0)),1,0)</f>
        <v>0</v>
      </c>
      <c r="P349" s="2" t="s">
        <v>1092</v>
      </c>
    </row>
    <row r="350" spans="1:16" x14ac:dyDescent="0.25">
      <c r="A350" s="2" t="s">
        <v>1093</v>
      </c>
      <c r="B350" s="2" t="s">
        <v>136</v>
      </c>
      <c r="C350" s="8">
        <v>46211</v>
      </c>
      <c r="D350" s="6">
        <v>46204</v>
      </c>
      <c r="E350" s="2" t="s">
        <v>260</v>
      </c>
      <c r="F350" s="2" t="s">
        <v>1094</v>
      </c>
      <c r="G350" s="6">
        <v>46174</v>
      </c>
      <c r="H350" s="2" t="s">
        <v>71</v>
      </c>
      <c r="I350" s="2" t="s">
        <v>70</v>
      </c>
      <c r="J350" s="9">
        <v>8495.2781959999993</v>
      </c>
      <c r="K350" s="7">
        <v>0.65800000000000003</v>
      </c>
      <c r="L350" s="9">
        <v>5589.89</v>
      </c>
      <c r="M350" s="9">
        <v>5649.36</v>
      </c>
      <c r="N350" s="9">
        <v>3.07</v>
      </c>
      <c r="O350" s="10">
        <f>IF(AND(OR(H350="APPROVED",H350="SCHEDULED"),COUNTIFS(tblSource[EventID],F350,tblSource[ReleaseStatus],"APPROVED")=1,COUNTIFS(Period_Status!$A$2:$A$8,G350,Period_Status!$B$2:$B$8,"ActualClosed")=1,C350&gt;EOMONTH(Settlement_Bridge!$C$2,0)),1,0)</f>
        <v>0</v>
      </c>
      <c r="P350" s="2" t="s">
        <v>1095</v>
      </c>
    </row>
    <row r="351" spans="1:16" x14ac:dyDescent="0.25">
      <c r="A351" s="2" t="s">
        <v>1096</v>
      </c>
      <c r="B351" s="2" t="s">
        <v>136</v>
      </c>
      <c r="C351" s="8">
        <v>46236</v>
      </c>
      <c r="D351" s="6">
        <v>46235</v>
      </c>
      <c r="E351" s="2" t="s">
        <v>260</v>
      </c>
      <c r="F351" s="2" t="s">
        <v>1094</v>
      </c>
      <c r="G351" s="6">
        <v>46174</v>
      </c>
      <c r="H351" s="2" t="s">
        <v>71</v>
      </c>
      <c r="I351" s="2" t="s">
        <v>70</v>
      </c>
      <c r="J351" s="9">
        <v>12742.917293</v>
      </c>
      <c r="K351" s="7">
        <v>0.65</v>
      </c>
      <c r="L351" s="9">
        <v>8282.9</v>
      </c>
      <c r="M351" s="9">
        <v>8474.0400000000009</v>
      </c>
      <c r="N351" s="9">
        <v>4.5599999999999996</v>
      </c>
      <c r="O351" s="10">
        <f>IF(AND(OR(H351="APPROVED",H351="SCHEDULED"),COUNTIFS(tblSource[EventID],F351,tblSource[ReleaseStatus],"APPROVED")=1,COUNTIFS(Period_Status!$A$2:$A$8,G351,Period_Status!$B$2:$B$8,"ActualClosed")=1,C351&gt;EOMONTH(Settlement_Bridge!$C$2,0)),1,0)</f>
        <v>1</v>
      </c>
      <c r="P351" s="2" t="s">
        <v>1097</v>
      </c>
    </row>
    <row r="352" spans="1:16" x14ac:dyDescent="0.25">
      <c r="A352" s="2" t="s">
        <v>1098</v>
      </c>
      <c r="B352" s="2" t="s">
        <v>136</v>
      </c>
      <c r="C352" s="8">
        <v>46212</v>
      </c>
      <c r="D352" s="6">
        <v>46204</v>
      </c>
      <c r="E352" s="2" t="s">
        <v>260</v>
      </c>
      <c r="F352" s="2" t="s">
        <v>1099</v>
      </c>
      <c r="G352" s="6">
        <v>46174</v>
      </c>
      <c r="H352" s="2" t="s">
        <v>71</v>
      </c>
      <c r="I352" s="2" t="s">
        <v>39</v>
      </c>
      <c r="J352" s="9">
        <v>5718.5640000000003</v>
      </c>
      <c r="K352" s="7">
        <v>1</v>
      </c>
      <c r="L352" s="9">
        <v>5718.56</v>
      </c>
      <c r="M352" s="9">
        <v>5718.56</v>
      </c>
      <c r="N352" s="9">
        <v>3.15</v>
      </c>
      <c r="O352" s="10">
        <f>IF(AND(OR(H352="APPROVED",H352="SCHEDULED"),COUNTIFS(tblSource[EventID],F352,tblSource[ReleaseStatus],"APPROVED")=1,COUNTIFS(Period_Status!$A$2:$A$8,G352,Period_Status!$B$2:$B$8,"ActualClosed")=1,C352&gt;EOMONTH(Settlement_Bridge!$C$2,0)),1,0)</f>
        <v>0</v>
      </c>
      <c r="P352" s="2" t="s">
        <v>1100</v>
      </c>
    </row>
    <row r="353" spans="1:16" x14ac:dyDescent="0.25">
      <c r="A353" s="2" t="s">
        <v>1101</v>
      </c>
      <c r="B353" s="2" t="s">
        <v>136</v>
      </c>
      <c r="C353" s="8">
        <v>46237</v>
      </c>
      <c r="D353" s="6">
        <v>46235</v>
      </c>
      <c r="E353" s="2" t="s">
        <v>260</v>
      </c>
      <c r="F353" s="2" t="s">
        <v>1099</v>
      </c>
      <c r="G353" s="6">
        <v>46174</v>
      </c>
      <c r="H353" s="2" t="s">
        <v>71</v>
      </c>
      <c r="I353" s="2" t="s">
        <v>39</v>
      </c>
      <c r="J353" s="9">
        <v>8577.8459999999995</v>
      </c>
      <c r="K353" s="7">
        <v>1</v>
      </c>
      <c r="L353" s="9">
        <v>8577.85</v>
      </c>
      <c r="M353" s="9">
        <v>8577.85</v>
      </c>
      <c r="N353" s="9">
        <v>4.72</v>
      </c>
      <c r="O353" s="10">
        <f>IF(AND(OR(H353="APPROVED",H353="SCHEDULED"),COUNTIFS(tblSource[EventID],F353,tblSource[ReleaseStatus],"APPROVED")=1,COUNTIFS(Period_Status!$A$2:$A$8,G353,Period_Status!$B$2:$B$8,"ActualClosed")=1,C353&gt;EOMONTH(Settlement_Bridge!$C$2,0)),1,0)</f>
        <v>1</v>
      </c>
      <c r="P353" s="2" t="s">
        <v>1102</v>
      </c>
    </row>
    <row r="354" spans="1:16" x14ac:dyDescent="0.25">
      <c r="A354" s="2" t="s">
        <v>1103</v>
      </c>
      <c r="B354" s="2" t="s">
        <v>136</v>
      </c>
      <c r="C354" s="8">
        <v>46223</v>
      </c>
      <c r="D354" s="6">
        <v>46204</v>
      </c>
      <c r="E354" s="2" t="s">
        <v>260</v>
      </c>
      <c r="F354" s="2" t="s">
        <v>1104</v>
      </c>
      <c r="G354" s="6">
        <v>46174</v>
      </c>
      <c r="H354" s="2" t="s">
        <v>71</v>
      </c>
      <c r="I354" s="2" t="s">
        <v>76</v>
      </c>
      <c r="J354" s="9">
        <v>231510720</v>
      </c>
      <c r="K354" s="7">
        <v>6.2000000000000003E-5</v>
      </c>
      <c r="L354" s="9">
        <v>14353.66</v>
      </c>
      <c r="M354" s="9">
        <v>14469.42</v>
      </c>
      <c r="N354" s="9">
        <v>7.89</v>
      </c>
      <c r="O354" s="10">
        <f>IF(AND(OR(H354="APPROVED",H354="SCHEDULED"),COUNTIFS(tblSource[EventID],F354,tblSource[ReleaseStatus],"APPROVED")=1,COUNTIFS(Period_Status!$A$2:$A$8,G354,Period_Status!$B$2:$B$8,"ActualClosed")=1,C354&gt;EOMONTH(Settlement_Bridge!$C$2,0)),1,0)</f>
        <v>0</v>
      </c>
      <c r="P354" s="2" t="s">
        <v>1105</v>
      </c>
    </row>
    <row r="355" spans="1:16" x14ac:dyDescent="0.25">
      <c r="A355" s="2" t="s">
        <v>1106</v>
      </c>
      <c r="B355" s="2" t="s">
        <v>136</v>
      </c>
      <c r="C355" s="8">
        <v>46224</v>
      </c>
      <c r="D355" s="6">
        <v>46204</v>
      </c>
      <c r="E355" s="2" t="s">
        <v>260</v>
      </c>
      <c r="F355" s="2" t="s">
        <v>1107</v>
      </c>
      <c r="G355" s="6">
        <v>46174</v>
      </c>
      <c r="H355" s="2" t="s">
        <v>71</v>
      </c>
      <c r="I355" s="2" t="s">
        <v>70</v>
      </c>
      <c r="J355" s="9">
        <v>22018.691728999998</v>
      </c>
      <c r="K355" s="7">
        <v>0.65800000000000003</v>
      </c>
      <c r="L355" s="9">
        <v>14488.3</v>
      </c>
      <c r="M355" s="9">
        <v>14642.43</v>
      </c>
      <c r="N355" s="9">
        <v>7.97</v>
      </c>
      <c r="O355" s="10">
        <f>IF(AND(OR(H355="APPROVED",H355="SCHEDULED"),COUNTIFS(tblSource[EventID],F355,tblSource[ReleaseStatus],"APPROVED")=1,COUNTIFS(Period_Status!$A$2:$A$8,G355,Period_Status!$B$2:$B$8,"ActualClosed")=1,C355&gt;EOMONTH(Settlement_Bridge!$C$2,0)),1,0)</f>
        <v>0</v>
      </c>
      <c r="P355" s="2" t="s">
        <v>1108</v>
      </c>
    </row>
    <row r="356" spans="1:16" x14ac:dyDescent="0.25">
      <c r="A356" s="2" t="s">
        <v>1109</v>
      </c>
      <c r="B356" s="2" t="s">
        <v>136</v>
      </c>
      <c r="C356" s="8">
        <v>46215</v>
      </c>
      <c r="D356" s="6">
        <v>46204</v>
      </c>
      <c r="E356" s="2" t="s">
        <v>260</v>
      </c>
      <c r="F356" s="2" t="s">
        <v>1110</v>
      </c>
      <c r="G356" s="6">
        <v>46174</v>
      </c>
      <c r="H356" s="2" t="s">
        <v>71</v>
      </c>
      <c r="I356" s="2" t="s">
        <v>39</v>
      </c>
      <c r="J356" s="9">
        <v>5926.1760000000004</v>
      </c>
      <c r="K356" s="7">
        <v>1</v>
      </c>
      <c r="L356" s="9">
        <v>5926.18</v>
      </c>
      <c r="M356" s="9">
        <v>5926.18</v>
      </c>
      <c r="N356" s="9">
        <v>3.26</v>
      </c>
      <c r="O356" s="10">
        <f>IF(AND(OR(H356="APPROVED",H356="SCHEDULED"),COUNTIFS(tblSource[EventID],F356,tblSource[ReleaseStatus],"APPROVED")=1,COUNTIFS(Period_Status!$A$2:$A$8,G356,Period_Status!$B$2:$B$8,"ActualClosed")=1,C356&gt;EOMONTH(Settlement_Bridge!$C$2,0)),1,0)</f>
        <v>0</v>
      </c>
      <c r="P356" s="2" t="s">
        <v>1111</v>
      </c>
    </row>
    <row r="357" spans="1:16" x14ac:dyDescent="0.25">
      <c r="A357" s="2" t="s">
        <v>1112</v>
      </c>
      <c r="B357" s="2" t="s">
        <v>136</v>
      </c>
      <c r="C357" s="8">
        <v>46240</v>
      </c>
      <c r="D357" s="6">
        <v>46235</v>
      </c>
      <c r="E357" s="2" t="s">
        <v>260</v>
      </c>
      <c r="F357" s="2" t="s">
        <v>1110</v>
      </c>
      <c r="G357" s="6">
        <v>46174</v>
      </c>
      <c r="H357" s="2" t="s">
        <v>71</v>
      </c>
      <c r="I357" s="2" t="s">
        <v>39</v>
      </c>
      <c r="J357" s="9">
        <v>8889.2639999999992</v>
      </c>
      <c r="K357" s="7">
        <v>1</v>
      </c>
      <c r="L357" s="9">
        <v>8889.26</v>
      </c>
      <c r="M357" s="9">
        <v>8889.26</v>
      </c>
      <c r="N357" s="9">
        <v>4.8899999999999997</v>
      </c>
      <c r="O357" s="10">
        <f>IF(AND(OR(H357="APPROVED",H357="SCHEDULED"),COUNTIFS(tblSource[EventID],F357,tblSource[ReleaseStatus],"APPROVED")=1,COUNTIFS(Period_Status!$A$2:$A$8,G357,Period_Status!$B$2:$B$8,"ActualClosed")=1,C357&gt;EOMONTH(Settlement_Bridge!$C$2,0)),1,0)</f>
        <v>1</v>
      </c>
      <c r="P357" s="2" t="s">
        <v>1113</v>
      </c>
    </row>
    <row r="358" spans="1:16" x14ac:dyDescent="0.25">
      <c r="A358" s="2" t="s">
        <v>1114</v>
      </c>
      <c r="B358" s="2" t="s">
        <v>136</v>
      </c>
      <c r="C358" s="8">
        <v>46226</v>
      </c>
      <c r="D358" s="6">
        <v>46204</v>
      </c>
      <c r="E358" s="2" t="s">
        <v>260</v>
      </c>
      <c r="F358" s="2" t="s">
        <v>1115</v>
      </c>
      <c r="G358" s="6">
        <v>46174</v>
      </c>
      <c r="H358" s="2" t="s">
        <v>71</v>
      </c>
      <c r="I358" s="2" t="s">
        <v>76</v>
      </c>
      <c r="J358" s="9">
        <v>15815200</v>
      </c>
      <c r="K358" s="7">
        <v>6.2000000000000003E-5</v>
      </c>
      <c r="L358" s="9">
        <v>980.54</v>
      </c>
      <c r="M358" s="9">
        <v>988.45</v>
      </c>
      <c r="N358" s="9">
        <v>1.8</v>
      </c>
      <c r="O358" s="10">
        <f>IF(AND(OR(H358="APPROVED",H358="SCHEDULED"),COUNTIFS(tblSource[EventID],F358,tblSource[ReleaseStatus],"APPROVED")=1,COUNTIFS(Period_Status!$A$2:$A$8,G358,Period_Status!$B$2:$B$8,"ActualClosed")=1,C358&gt;EOMONTH(Settlement_Bridge!$C$2,0)),1,0)</f>
        <v>0</v>
      </c>
      <c r="P358" s="2" t="s">
        <v>1116</v>
      </c>
    </row>
    <row r="359" spans="1:16" x14ac:dyDescent="0.25">
      <c r="A359" s="2" t="s">
        <v>1117</v>
      </c>
      <c r="B359" s="2" t="s">
        <v>136</v>
      </c>
      <c r="C359" s="8">
        <v>46227</v>
      </c>
      <c r="D359" s="6">
        <v>46204</v>
      </c>
      <c r="E359" s="2" t="s">
        <v>260</v>
      </c>
      <c r="F359" s="2" t="s">
        <v>1118</v>
      </c>
      <c r="G359" s="6">
        <v>46174</v>
      </c>
      <c r="H359" s="2" t="s">
        <v>71</v>
      </c>
      <c r="I359" s="2" t="s">
        <v>70</v>
      </c>
      <c r="J359" s="9">
        <v>1746.5563910000001</v>
      </c>
      <c r="K359" s="7">
        <v>0.65800000000000003</v>
      </c>
      <c r="L359" s="9">
        <v>1149.23</v>
      </c>
      <c r="M359" s="9">
        <v>1161.46</v>
      </c>
      <c r="N359" s="9">
        <v>1.8</v>
      </c>
      <c r="O359" s="10">
        <f>IF(AND(OR(H359="APPROVED",H359="SCHEDULED"),COUNTIFS(tblSource[EventID],F359,tblSource[ReleaseStatus],"APPROVED")=1,COUNTIFS(Period_Status!$A$2:$A$8,G359,Period_Status!$B$2:$B$8,"ActualClosed")=1,C359&gt;EOMONTH(Settlement_Bridge!$C$2,0)),1,0)</f>
        <v>0</v>
      </c>
      <c r="P359" s="2" t="s">
        <v>1119</v>
      </c>
    </row>
    <row r="360" spans="1:16" x14ac:dyDescent="0.25">
      <c r="A360" s="2" t="s">
        <v>1120</v>
      </c>
      <c r="B360" s="2" t="s">
        <v>136</v>
      </c>
      <c r="C360" s="8">
        <v>46198</v>
      </c>
      <c r="D360" s="6">
        <v>46174</v>
      </c>
      <c r="E360" s="2" t="s">
        <v>260</v>
      </c>
      <c r="F360" s="2" t="s">
        <v>1121</v>
      </c>
      <c r="G360" s="6">
        <v>46174</v>
      </c>
      <c r="H360" s="2" t="s">
        <v>71</v>
      </c>
      <c r="I360" s="2" t="s">
        <v>39</v>
      </c>
      <c r="J360" s="9">
        <v>1334.47</v>
      </c>
      <c r="K360" s="7">
        <v>1</v>
      </c>
      <c r="L360" s="9">
        <v>1334.47</v>
      </c>
      <c r="M360" s="9">
        <v>1334.47</v>
      </c>
      <c r="N360" s="9">
        <v>1.8</v>
      </c>
      <c r="O360" s="10">
        <f>IF(AND(OR(H360="APPROVED",H360="SCHEDULED"),COUNTIFS(tblSource[EventID],F360,tblSource[ReleaseStatus],"APPROVED")=1,COUNTIFS(Period_Status!$A$2:$A$8,G360,Period_Status!$B$2:$B$8,"ActualClosed")=1,C360&gt;EOMONTH(Settlement_Bridge!$C$2,0)),1,0)</f>
        <v>0</v>
      </c>
      <c r="P360" s="2" t="s">
        <v>1122</v>
      </c>
    </row>
    <row r="361" spans="1:16" x14ac:dyDescent="0.25">
      <c r="A361" s="2" t="s">
        <v>1123</v>
      </c>
      <c r="B361" s="2" t="s">
        <v>136</v>
      </c>
      <c r="C361" s="8">
        <v>46199</v>
      </c>
      <c r="D361" s="6">
        <v>46174</v>
      </c>
      <c r="E361" s="2" t="s">
        <v>260</v>
      </c>
      <c r="F361" s="2" t="s">
        <v>1124</v>
      </c>
      <c r="G361" s="6">
        <v>46174</v>
      </c>
      <c r="H361" s="2" t="s">
        <v>71</v>
      </c>
      <c r="I361" s="2" t="s">
        <v>76</v>
      </c>
      <c r="J361" s="9">
        <v>24119680</v>
      </c>
      <c r="K361" s="7">
        <v>6.2500000000000001E-5</v>
      </c>
      <c r="L361" s="9">
        <v>1507.48</v>
      </c>
      <c r="M361" s="9">
        <v>1507.48</v>
      </c>
      <c r="N361" s="9">
        <v>1.8</v>
      </c>
      <c r="O361" s="10">
        <f>IF(AND(OR(H361="APPROVED",H361="SCHEDULED"),COUNTIFS(tblSource[EventID],F361,tblSource[ReleaseStatus],"APPROVED")=1,COUNTIFS(Period_Status!$A$2:$A$8,G361,Period_Status!$B$2:$B$8,"ActualClosed")=1,C361&gt;EOMONTH(Settlement_Bridge!$C$2,0)),1,0)</f>
        <v>0</v>
      </c>
      <c r="P361" s="2" t="s">
        <v>1125</v>
      </c>
    </row>
    <row r="362" spans="1:16" x14ac:dyDescent="0.25">
      <c r="A362" s="2" t="s">
        <v>1126</v>
      </c>
      <c r="B362" s="2" t="s">
        <v>136</v>
      </c>
      <c r="C362" s="8">
        <v>46200</v>
      </c>
      <c r="D362" s="6">
        <v>46174</v>
      </c>
      <c r="E362" s="2" t="s">
        <v>260</v>
      </c>
      <c r="F362" s="2" t="s">
        <v>1127</v>
      </c>
      <c r="G362" s="6">
        <v>46174</v>
      </c>
      <c r="H362" s="2" t="s">
        <v>71</v>
      </c>
      <c r="I362" s="2" t="s">
        <v>70</v>
      </c>
      <c r="J362" s="9">
        <v>2527.0526319999999</v>
      </c>
      <c r="K362" s="7">
        <v>0.66500000000000004</v>
      </c>
      <c r="L362" s="9">
        <v>1680.49</v>
      </c>
      <c r="M362" s="9">
        <v>1680.49</v>
      </c>
      <c r="N362" s="9">
        <v>1.8</v>
      </c>
      <c r="O362" s="10">
        <f>IF(AND(OR(H362="APPROVED",H362="SCHEDULED"),COUNTIFS(tblSource[EventID],F362,tblSource[ReleaseStatus],"APPROVED")=1,COUNTIFS(Period_Status!$A$2:$A$8,G362,Period_Status!$B$2:$B$8,"ActualClosed")=1,C362&gt;EOMONTH(Settlement_Bridge!$C$2,0)),1,0)</f>
        <v>0</v>
      </c>
      <c r="P362" s="2" t="s">
        <v>1128</v>
      </c>
    </row>
    <row r="363" spans="1:16" x14ac:dyDescent="0.25">
      <c r="A363" s="2" t="s">
        <v>1129</v>
      </c>
      <c r="B363" s="2" t="s">
        <v>136</v>
      </c>
      <c r="C363" s="8">
        <v>46191</v>
      </c>
      <c r="D363" s="6">
        <v>46174</v>
      </c>
      <c r="E363" s="2" t="s">
        <v>260</v>
      </c>
      <c r="F363" s="2" t="s">
        <v>1130</v>
      </c>
      <c r="G363" s="6">
        <v>46174</v>
      </c>
      <c r="H363" s="2" t="s">
        <v>71</v>
      </c>
      <c r="I363" s="2" t="s">
        <v>39</v>
      </c>
      <c r="J363" s="9">
        <v>741.4</v>
      </c>
      <c r="K363" s="7">
        <v>1</v>
      </c>
      <c r="L363" s="9">
        <v>741.4</v>
      </c>
      <c r="M363" s="9">
        <v>741.4</v>
      </c>
      <c r="N363" s="9">
        <v>1.8</v>
      </c>
      <c r="O363" s="10">
        <f>IF(AND(OR(H363="APPROVED",H363="SCHEDULED"),COUNTIFS(tblSource[EventID],F363,tblSource[ReleaseStatus],"APPROVED")=1,COUNTIFS(Period_Status!$A$2:$A$8,G363,Period_Status!$B$2:$B$8,"ActualClosed")=1,C363&gt;EOMONTH(Settlement_Bridge!$C$2,0)),1,0)</f>
        <v>0</v>
      </c>
      <c r="P363" s="2" t="s">
        <v>1131</v>
      </c>
    </row>
    <row r="364" spans="1:16" x14ac:dyDescent="0.25">
      <c r="A364" s="2" t="s">
        <v>1132</v>
      </c>
      <c r="B364" s="2" t="s">
        <v>136</v>
      </c>
      <c r="C364" s="8">
        <v>46216</v>
      </c>
      <c r="D364" s="6">
        <v>46204</v>
      </c>
      <c r="E364" s="2" t="s">
        <v>260</v>
      </c>
      <c r="F364" s="2" t="s">
        <v>1130</v>
      </c>
      <c r="G364" s="6">
        <v>46174</v>
      </c>
      <c r="H364" s="2" t="s">
        <v>71</v>
      </c>
      <c r="I364" s="2" t="s">
        <v>39</v>
      </c>
      <c r="J364" s="9">
        <v>1112.0999999999999</v>
      </c>
      <c r="K364" s="7">
        <v>1</v>
      </c>
      <c r="L364" s="9">
        <v>1112.0999999999999</v>
      </c>
      <c r="M364" s="9">
        <v>1112.0999999999999</v>
      </c>
      <c r="N364" s="9">
        <v>1.8</v>
      </c>
      <c r="O364" s="10">
        <f>IF(AND(OR(H364="APPROVED",H364="SCHEDULED"),COUNTIFS(tblSource[EventID],F364,tblSource[ReleaseStatus],"APPROVED")=1,COUNTIFS(Period_Status!$A$2:$A$8,G364,Period_Status!$B$2:$B$8,"ActualClosed")=1,C364&gt;EOMONTH(Settlement_Bridge!$C$2,0)),1,0)</f>
        <v>0</v>
      </c>
      <c r="P364" s="2" t="s">
        <v>1133</v>
      </c>
    </row>
    <row r="365" spans="1:16" x14ac:dyDescent="0.25">
      <c r="A365" s="2" t="s">
        <v>1134</v>
      </c>
      <c r="B365" s="2" t="s">
        <v>136</v>
      </c>
      <c r="C365" s="8">
        <v>46192</v>
      </c>
      <c r="D365" s="6">
        <v>46174</v>
      </c>
      <c r="E365" s="2" t="s">
        <v>260</v>
      </c>
      <c r="F365" s="2" t="s">
        <v>1135</v>
      </c>
      <c r="G365" s="6">
        <v>46174</v>
      </c>
      <c r="H365" s="2" t="s">
        <v>71</v>
      </c>
      <c r="I365" s="2" t="s">
        <v>76</v>
      </c>
      <c r="J365" s="9">
        <v>12969664</v>
      </c>
      <c r="K365" s="7">
        <v>6.2500000000000001E-5</v>
      </c>
      <c r="L365" s="9">
        <v>810.6</v>
      </c>
      <c r="M365" s="9">
        <v>810.6</v>
      </c>
      <c r="N365" s="9">
        <v>1.8</v>
      </c>
      <c r="O365" s="10">
        <f>IF(AND(OR(H365="APPROVED",H365="SCHEDULED"),COUNTIFS(tblSource[EventID],F365,tblSource[ReleaseStatus],"APPROVED")=1,COUNTIFS(Period_Status!$A$2:$A$8,G365,Period_Status!$B$2:$B$8,"ActualClosed")=1,C365&gt;EOMONTH(Settlement_Bridge!$C$2,0)),1,0)</f>
        <v>0</v>
      </c>
      <c r="P365" s="2" t="s">
        <v>1136</v>
      </c>
    </row>
    <row r="366" spans="1:16" x14ac:dyDescent="0.25">
      <c r="A366" s="2" t="s">
        <v>1137</v>
      </c>
      <c r="B366" s="2" t="s">
        <v>136</v>
      </c>
      <c r="C366" s="8">
        <v>46217</v>
      </c>
      <c r="D366" s="6">
        <v>46204</v>
      </c>
      <c r="E366" s="2" t="s">
        <v>260</v>
      </c>
      <c r="F366" s="2" t="s">
        <v>1135</v>
      </c>
      <c r="G366" s="6">
        <v>46174</v>
      </c>
      <c r="H366" s="2" t="s">
        <v>71</v>
      </c>
      <c r="I366" s="2" t="s">
        <v>76</v>
      </c>
      <c r="J366" s="9">
        <v>19454496</v>
      </c>
      <c r="K366" s="7">
        <v>6.2000000000000003E-5</v>
      </c>
      <c r="L366" s="9">
        <v>1206.18</v>
      </c>
      <c r="M366" s="9">
        <v>1215.9100000000001</v>
      </c>
      <c r="N366" s="9">
        <v>1.8</v>
      </c>
      <c r="O366" s="10">
        <f>IF(AND(OR(H366="APPROVED",H366="SCHEDULED"),COUNTIFS(tblSource[EventID],F366,tblSource[ReleaseStatus],"APPROVED")=1,COUNTIFS(Period_Status!$A$2:$A$8,G366,Period_Status!$B$2:$B$8,"ActualClosed")=1,C366&gt;EOMONTH(Settlement_Bridge!$C$2,0)),1,0)</f>
        <v>0</v>
      </c>
      <c r="P366" s="2" t="s">
        <v>1138</v>
      </c>
    </row>
    <row r="367" spans="1:16" x14ac:dyDescent="0.25">
      <c r="A367" s="2" t="s">
        <v>1139</v>
      </c>
      <c r="B367" s="2" t="s">
        <v>136</v>
      </c>
      <c r="C367" s="8">
        <v>46203</v>
      </c>
      <c r="D367" s="6">
        <v>46174</v>
      </c>
      <c r="E367" s="2" t="s">
        <v>260</v>
      </c>
      <c r="F367" s="2" t="s">
        <v>1140</v>
      </c>
      <c r="G367" s="6">
        <v>46174</v>
      </c>
      <c r="H367" s="2" t="s">
        <v>71</v>
      </c>
      <c r="I367" s="2" t="s">
        <v>70</v>
      </c>
      <c r="J367" s="9">
        <v>-3307.5488719999998</v>
      </c>
      <c r="K367" s="7">
        <v>0.66500000000000004</v>
      </c>
      <c r="L367" s="9">
        <v>-2199.52</v>
      </c>
      <c r="M367" s="9">
        <v>-2199.52</v>
      </c>
      <c r="N367" s="9">
        <v>0</v>
      </c>
      <c r="O367" s="10">
        <f>IF(AND(OR(H367="APPROVED",H367="SCHEDULED"),COUNTIFS(tblSource[EventID],F367,tblSource[ReleaseStatus],"APPROVED")=1,COUNTIFS(Period_Status!$A$2:$A$8,G367,Period_Status!$B$2:$B$8,"ActualClosed")=1,C367&gt;EOMONTH(Settlement_Bridge!$C$2,0)),1,0)</f>
        <v>0</v>
      </c>
      <c r="P367" s="2" t="s">
        <v>1141</v>
      </c>
    </row>
    <row r="368" spans="1:16" x14ac:dyDescent="0.25">
      <c r="A368" s="2" t="s">
        <v>1142</v>
      </c>
      <c r="B368" s="2" t="s">
        <v>136</v>
      </c>
      <c r="C368" s="8">
        <v>46204</v>
      </c>
      <c r="D368" s="6">
        <v>46204</v>
      </c>
      <c r="E368" s="2" t="s">
        <v>260</v>
      </c>
      <c r="F368" s="2" t="s">
        <v>1143</v>
      </c>
      <c r="G368" s="6">
        <v>46174</v>
      </c>
      <c r="H368" s="2" t="s">
        <v>71</v>
      </c>
      <c r="I368" s="2" t="s">
        <v>39</v>
      </c>
      <c r="J368" s="9">
        <v>2372.5300000000002</v>
      </c>
      <c r="K368" s="7">
        <v>1</v>
      </c>
      <c r="L368" s="9">
        <v>2372.5300000000002</v>
      </c>
      <c r="M368" s="9">
        <v>2372.5300000000002</v>
      </c>
      <c r="N368" s="9">
        <v>1.8</v>
      </c>
      <c r="O368" s="10">
        <f>IF(AND(OR(H368="APPROVED",H368="SCHEDULED"),COUNTIFS(tblSource[EventID],F368,tblSource[ReleaseStatus],"APPROVED")=1,COUNTIFS(Period_Status!$A$2:$A$8,G368,Period_Status!$B$2:$B$8,"ActualClosed")=1,C368&gt;EOMONTH(Settlement_Bridge!$C$2,0)),1,0)</f>
        <v>0</v>
      </c>
      <c r="P368" s="2" t="s">
        <v>1144</v>
      </c>
    </row>
    <row r="369" spans="1:16" x14ac:dyDescent="0.25">
      <c r="A369" s="2" t="s">
        <v>1145</v>
      </c>
      <c r="B369" s="2" t="s">
        <v>136</v>
      </c>
      <c r="C369" s="8">
        <v>46195</v>
      </c>
      <c r="D369" s="6">
        <v>46174</v>
      </c>
      <c r="E369" s="2" t="s">
        <v>260</v>
      </c>
      <c r="F369" s="2" t="s">
        <v>1146</v>
      </c>
      <c r="G369" s="6">
        <v>46174</v>
      </c>
      <c r="H369" s="2" t="s">
        <v>71</v>
      </c>
      <c r="I369" s="2" t="s">
        <v>76</v>
      </c>
      <c r="J369" s="9">
        <v>16291456</v>
      </c>
      <c r="K369" s="7">
        <v>6.2500000000000001E-5</v>
      </c>
      <c r="L369" s="9">
        <v>1018.22</v>
      </c>
      <c r="M369" s="9">
        <v>1018.22</v>
      </c>
      <c r="N369" s="9">
        <v>1.8</v>
      </c>
      <c r="O369" s="10">
        <f>IF(AND(OR(H369="APPROVED",H369="SCHEDULED"),COUNTIFS(tblSource[EventID],F369,tblSource[ReleaseStatus],"APPROVED")=1,COUNTIFS(Period_Status!$A$2:$A$8,G369,Period_Status!$B$2:$B$8,"ActualClosed")=1,C369&gt;EOMONTH(Settlement_Bridge!$C$2,0)),1,0)</f>
        <v>0</v>
      </c>
      <c r="P369" s="2" t="s">
        <v>1147</v>
      </c>
    </row>
    <row r="370" spans="1:16" x14ac:dyDescent="0.25">
      <c r="A370" s="2" t="s">
        <v>1148</v>
      </c>
      <c r="B370" s="2" t="s">
        <v>136</v>
      </c>
      <c r="C370" s="8">
        <v>46220</v>
      </c>
      <c r="D370" s="6">
        <v>46204</v>
      </c>
      <c r="E370" s="2" t="s">
        <v>260</v>
      </c>
      <c r="F370" s="2" t="s">
        <v>1146</v>
      </c>
      <c r="G370" s="6">
        <v>46174</v>
      </c>
      <c r="H370" s="2" t="s">
        <v>71</v>
      </c>
      <c r="I370" s="2" t="s">
        <v>76</v>
      </c>
      <c r="J370" s="9">
        <v>24437184</v>
      </c>
      <c r="K370" s="7">
        <v>6.2000000000000003E-5</v>
      </c>
      <c r="L370" s="9">
        <v>1515.11</v>
      </c>
      <c r="M370" s="9">
        <v>1527.32</v>
      </c>
      <c r="N370" s="9">
        <v>1.8</v>
      </c>
      <c r="O370" s="10">
        <f>IF(AND(OR(H370="APPROVED",H370="SCHEDULED"),COUNTIFS(tblSource[EventID],F370,tblSource[ReleaseStatus],"APPROVED")=1,COUNTIFS(Period_Status!$A$2:$A$8,G370,Period_Status!$B$2:$B$8,"ActualClosed")=1,C370&gt;EOMONTH(Settlement_Bridge!$C$2,0)),1,0)</f>
        <v>0</v>
      </c>
      <c r="P370" s="2" t="s">
        <v>1149</v>
      </c>
    </row>
    <row r="371" spans="1:16" x14ac:dyDescent="0.25">
      <c r="A371" s="2" t="s">
        <v>1150</v>
      </c>
      <c r="B371" s="2" t="s">
        <v>136</v>
      </c>
      <c r="C371" s="8">
        <v>46206</v>
      </c>
      <c r="D371" s="6">
        <v>46204</v>
      </c>
      <c r="E371" s="2" t="s">
        <v>260</v>
      </c>
      <c r="F371" s="2" t="s">
        <v>1151</v>
      </c>
      <c r="G371" s="6">
        <v>46174</v>
      </c>
      <c r="H371" s="2" t="s">
        <v>71</v>
      </c>
      <c r="I371" s="2" t="s">
        <v>70</v>
      </c>
      <c r="J371" s="9">
        <v>4088.0451130000001</v>
      </c>
      <c r="K371" s="7">
        <v>0.65800000000000003</v>
      </c>
      <c r="L371" s="9">
        <v>2689.93</v>
      </c>
      <c r="M371" s="9">
        <v>2718.55</v>
      </c>
      <c r="N371" s="9">
        <v>1.8</v>
      </c>
      <c r="O371" s="10">
        <f>IF(AND(OR(H371="APPROVED",H371="SCHEDULED"),COUNTIFS(tblSource[EventID],F371,tblSource[ReleaseStatus],"APPROVED")=1,COUNTIFS(Period_Status!$A$2:$A$8,G371,Period_Status!$B$2:$B$8,"ActualClosed")=1,C371&gt;EOMONTH(Settlement_Bridge!$C$2,0)),1,0)</f>
        <v>0</v>
      </c>
      <c r="P371" s="2" t="s">
        <v>1152</v>
      </c>
    </row>
    <row r="372" spans="1:16" x14ac:dyDescent="0.25">
      <c r="A372" s="2" t="s">
        <v>1153</v>
      </c>
      <c r="B372" s="2" t="s">
        <v>136</v>
      </c>
      <c r="C372" s="8">
        <v>46207</v>
      </c>
      <c r="D372" s="6">
        <v>46204</v>
      </c>
      <c r="E372" s="2" t="s">
        <v>260</v>
      </c>
      <c r="F372" s="2" t="s">
        <v>1154</v>
      </c>
      <c r="G372" s="6">
        <v>46174</v>
      </c>
      <c r="H372" s="2" t="s">
        <v>71</v>
      </c>
      <c r="I372" s="2" t="s">
        <v>39</v>
      </c>
      <c r="J372" s="9">
        <v>2891.56</v>
      </c>
      <c r="K372" s="7">
        <v>1</v>
      </c>
      <c r="L372" s="9">
        <v>2891.56</v>
      </c>
      <c r="M372" s="9">
        <v>2891.56</v>
      </c>
      <c r="N372" s="9">
        <v>1.8</v>
      </c>
      <c r="O372" s="10">
        <f>IF(AND(OR(H372="APPROVED",H372="SCHEDULED"),COUNTIFS(tblSource[EventID],F372,tblSource[ReleaseStatus],"APPROVED")=1,COUNTIFS(Period_Status!$A$2:$A$8,G372,Period_Status!$B$2:$B$8,"ActualClosed")=1,C372&gt;EOMONTH(Settlement_Bridge!$C$2,0)),1,0)</f>
        <v>0</v>
      </c>
      <c r="P372" s="2" t="s">
        <v>1155</v>
      </c>
    </row>
    <row r="373" spans="1:16" x14ac:dyDescent="0.25">
      <c r="A373" s="2" t="s">
        <v>1156</v>
      </c>
      <c r="B373" s="2" t="s">
        <v>136</v>
      </c>
      <c r="C373" s="8">
        <v>46208</v>
      </c>
      <c r="D373" s="6">
        <v>46204</v>
      </c>
      <c r="E373" s="2" t="s">
        <v>260</v>
      </c>
      <c r="F373" s="2" t="s">
        <v>1157</v>
      </c>
      <c r="G373" s="6">
        <v>46174</v>
      </c>
      <c r="H373" s="2" t="s">
        <v>71</v>
      </c>
      <c r="I373" s="2" t="s">
        <v>76</v>
      </c>
      <c r="J373" s="9">
        <v>49033120</v>
      </c>
      <c r="K373" s="7">
        <v>6.2000000000000003E-5</v>
      </c>
      <c r="L373" s="9">
        <v>3040.05</v>
      </c>
      <c r="M373" s="9">
        <v>3064.57</v>
      </c>
      <c r="N373" s="9">
        <v>1.8</v>
      </c>
      <c r="O373" s="10">
        <f>IF(AND(OR(H373="APPROVED",H373="SCHEDULED"),COUNTIFS(tblSource[EventID],F373,tblSource[ReleaseStatus],"APPROVED")=1,COUNTIFS(Period_Status!$A$2:$A$8,G373,Period_Status!$B$2:$B$8,"ActualClosed")=1,C373&gt;EOMONTH(Settlement_Bridge!$C$2,0)),1,0)</f>
        <v>0</v>
      </c>
      <c r="P373" s="2" t="s">
        <v>1158</v>
      </c>
    </row>
    <row r="374" spans="1:16" x14ac:dyDescent="0.25">
      <c r="A374" s="2" t="s">
        <v>1159</v>
      </c>
      <c r="B374" s="2" t="s">
        <v>136</v>
      </c>
      <c r="C374" s="8">
        <v>46209</v>
      </c>
      <c r="D374" s="6">
        <v>46204</v>
      </c>
      <c r="E374" s="2" t="s">
        <v>260</v>
      </c>
      <c r="F374" s="2" t="s">
        <v>1160</v>
      </c>
      <c r="G374" s="6">
        <v>46174</v>
      </c>
      <c r="H374" s="2" t="s">
        <v>71</v>
      </c>
      <c r="I374" s="2" t="s">
        <v>70</v>
      </c>
      <c r="J374" s="9">
        <v>4868.5413529999996</v>
      </c>
      <c r="K374" s="7">
        <v>0.65800000000000003</v>
      </c>
      <c r="L374" s="9">
        <v>3203.5</v>
      </c>
      <c r="M374" s="9">
        <v>3237.58</v>
      </c>
      <c r="N374" s="9">
        <v>1.8</v>
      </c>
      <c r="O374" s="10">
        <f>IF(AND(OR(H374="APPROVED",H374="SCHEDULED"),COUNTIFS(tblSource[EventID],F374,tblSource[ReleaseStatus],"APPROVED")=1,COUNTIFS(Period_Status!$A$2:$A$8,G374,Period_Status!$B$2:$B$8,"ActualClosed")=1,C374&gt;EOMONTH(Settlement_Bridge!$C$2,0)),1,0)</f>
        <v>0</v>
      </c>
      <c r="P374" s="2" t="s">
        <v>1161</v>
      </c>
    </row>
    <row r="375" spans="1:16" x14ac:dyDescent="0.25">
      <c r="A375" s="2" t="s">
        <v>1162</v>
      </c>
      <c r="B375" s="2" t="s">
        <v>136</v>
      </c>
      <c r="C375" s="8">
        <v>46210</v>
      </c>
      <c r="D375" s="6">
        <v>46204</v>
      </c>
      <c r="E375" s="2" t="s">
        <v>260</v>
      </c>
      <c r="F375" s="2" t="s">
        <v>1163</v>
      </c>
      <c r="G375" s="6">
        <v>46174</v>
      </c>
      <c r="H375" s="2" t="s">
        <v>71</v>
      </c>
      <c r="I375" s="2" t="s">
        <v>39</v>
      </c>
      <c r="J375" s="9">
        <v>3410.59</v>
      </c>
      <c r="K375" s="7">
        <v>1</v>
      </c>
      <c r="L375" s="9">
        <v>3410.59</v>
      </c>
      <c r="M375" s="9">
        <v>3410.59</v>
      </c>
      <c r="N375" s="9">
        <v>1.88</v>
      </c>
      <c r="O375" s="10">
        <f>IF(AND(OR(H375="APPROVED",H375="SCHEDULED"),COUNTIFS(tblSource[EventID],F375,tblSource[ReleaseStatus],"APPROVED")=1,COUNTIFS(Period_Status!$A$2:$A$8,G375,Period_Status!$B$2:$B$8,"ActualClosed")=1,C375&gt;EOMONTH(Settlement_Bridge!$C$2,0)),1,0)</f>
        <v>0</v>
      </c>
      <c r="P375" s="2" t="s">
        <v>1164</v>
      </c>
    </row>
    <row r="376" spans="1:16" x14ac:dyDescent="0.25">
      <c r="A376" s="2" t="s">
        <v>1165</v>
      </c>
      <c r="B376" s="2" t="s">
        <v>136</v>
      </c>
      <c r="C376" s="8">
        <v>46201</v>
      </c>
      <c r="D376" s="6">
        <v>46174</v>
      </c>
      <c r="E376" s="2" t="s">
        <v>260</v>
      </c>
      <c r="F376" s="2" t="s">
        <v>1166</v>
      </c>
      <c r="G376" s="6">
        <v>46174</v>
      </c>
      <c r="H376" s="2" t="s">
        <v>71</v>
      </c>
      <c r="I376" s="2" t="s">
        <v>76</v>
      </c>
      <c r="J376" s="9">
        <v>22935040</v>
      </c>
      <c r="K376" s="7">
        <v>6.2500000000000001E-5</v>
      </c>
      <c r="L376" s="9">
        <v>1433.44</v>
      </c>
      <c r="M376" s="9">
        <v>1433.44</v>
      </c>
      <c r="N376" s="9">
        <v>1.8</v>
      </c>
      <c r="O376" s="10">
        <f>IF(AND(OR(H376="APPROVED",H376="SCHEDULED"),COUNTIFS(tblSource[EventID],F376,tblSource[ReleaseStatus],"APPROVED")=1,COUNTIFS(Period_Status!$A$2:$A$8,G376,Period_Status!$B$2:$B$8,"ActualClosed")=1,C376&gt;EOMONTH(Settlement_Bridge!$C$2,0)),1,0)</f>
        <v>0</v>
      </c>
      <c r="P376" s="2" t="s">
        <v>1167</v>
      </c>
    </row>
    <row r="377" spans="1:16" x14ac:dyDescent="0.25">
      <c r="A377" s="2" t="s">
        <v>1168</v>
      </c>
      <c r="B377" s="2" t="s">
        <v>136</v>
      </c>
      <c r="C377" s="8">
        <v>46226</v>
      </c>
      <c r="D377" s="6">
        <v>46204</v>
      </c>
      <c r="E377" s="2" t="s">
        <v>260</v>
      </c>
      <c r="F377" s="2" t="s">
        <v>1166</v>
      </c>
      <c r="G377" s="6">
        <v>46174</v>
      </c>
      <c r="H377" s="2" t="s">
        <v>71</v>
      </c>
      <c r="I377" s="2" t="s">
        <v>76</v>
      </c>
      <c r="J377" s="9">
        <v>34402560</v>
      </c>
      <c r="K377" s="7">
        <v>6.2000000000000003E-5</v>
      </c>
      <c r="L377" s="9">
        <v>2132.96</v>
      </c>
      <c r="M377" s="9">
        <v>2150.16</v>
      </c>
      <c r="N377" s="9">
        <v>1.8</v>
      </c>
      <c r="O377" s="10">
        <f>IF(AND(OR(H377="APPROVED",H377="SCHEDULED"),COUNTIFS(tblSource[EventID],F377,tblSource[ReleaseStatus],"APPROVED")=1,COUNTIFS(Period_Status!$A$2:$A$8,G377,Period_Status!$B$2:$B$8,"ActualClosed")=1,C377&gt;EOMONTH(Settlement_Bridge!$C$2,0)),1,0)</f>
        <v>0</v>
      </c>
      <c r="P377" s="2" t="s">
        <v>1169</v>
      </c>
    </row>
    <row r="378" spans="1:16" x14ac:dyDescent="0.25">
      <c r="A378" s="2" t="s">
        <v>1170</v>
      </c>
      <c r="B378" s="2" t="s">
        <v>136</v>
      </c>
      <c r="C378" s="8">
        <v>46202</v>
      </c>
      <c r="D378" s="6">
        <v>46174</v>
      </c>
      <c r="E378" s="2" t="s">
        <v>260</v>
      </c>
      <c r="F378" s="2" t="s">
        <v>1171</v>
      </c>
      <c r="G378" s="6">
        <v>46174</v>
      </c>
      <c r="H378" s="2" t="s">
        <v>71</v>
      </c>
      <c r="I378" s="2" t="s">
        <v>70</v>
      </c>
      <c r="J378" s="9">
        <v>2259.6150379999999</v>
      </c>
      <c r="K378" s="7">
        <v>0.66500000000000004</v>
      </c>
      <c r="L378" s="9">
        <v>1502.64</v>
      </c>
      <c r="M378" s="9">
        <v>1502.64</v>
      </c>
      <c r="N378" s="9">
        <v>1.8</v>
      </c>
      <c r="O378" s="10">
        <f>IF(AND(OR(H378="APPROVED",H378="SCHEDULED"),COUNTIFS(tblSource[EventID],F378,tblSource[ReleaseStatus],"APPROVED")=1,COUNTIFS(Period_Status!$A$2:$A$8,G378,Period_Status!$B$2:$B$8,"ActualClosed")=1,C378&gt;EOMONTH(Settlement_Bridge!$C$2,0)),1,0)</f>
        <v>0</v>
      </c>
      <c r="P378" s="2" t="s">
        <v>1172</v>
      </c>
    </row>
    <row r="379" spans="1:16" x14ac:dyDescent="0.25">
      <c r="A379" s="2" t="s">
        <v>1173</v>
      </c>
      <c r="B379" s="2" t="s">
        <v>136</v>
      </c>
      <c r="C379" s="8">
        <v>46227</v>
      </c>
      <c r="D379" s="6">
        <v>46204</v>
      </c>
      <c r="E379" s="2" t="s">
        <v>260</v>
      </c>
      <c r="F379" s="2" t="s">
        <v>1171</v>
      </c>
      <c r="G379" s="6">
        <v>46174</v>
      </c>
      <c r="H379" s="2" t="s">
        <v>71</v>
      </c>
      <c r="I379" s="2" t="s">
        <v>70</v>
      </c>
      <c r="J379" s="9">
        <v>3389.422556</v>
      </c>
      <c r="K379" s="7">
        <v>0.65800000000000003</v>
      </c>
      <c r="L379" s="9">
        <v>2230.2399999999998</v>
      </c>
      <c r="M379" s="9">
        <v>2253.9699999999998</v>
      </c>
      <c r="N379" s="9">
        <v>1.8</v>
      </c>
      <c r="O379" s="10">
        <f>IF(AND(OR(H379="APPROVED",H379="SCHEDULED"),COUNTIFS(tblSource[EventID],F379,tblSource[ReleaseStatus],"APPROVED")=1,COUNTIFS(Period_Status!$A$2:$A$8,G379,Period_Status!$B$2:$B$8,"ActualClosed")=1,C379&gt;EOMONTH(Settlement_Bridge!$C$2,0)),1,0)</f>
        <v>0</v>
      </c>
      <c r="P379" s="2" t="s">
        <v>1174</v>
      </c>
    </row>
    <row r="380" spans="1:16" x14ac:dyDescent="0.25">
      <c r="A380" s="2" t="s">
        <v>1175</v>
      </c>
      <c r="B380" s="2" t="s">
        <v>136</v>
      </c>
      <c r="C380" s="8">
        <v>46213</v>
      </c>
      <c r="D380" s="6">
        <v>46204</v>
      </c>
      <c r="E380" s="2" t="s">
        <v>260</v>
      </c>
      <c r="F380" s="2" t="s">
        <v>1176</v>
      </c>
      <c r="G380" s="6">
        <v>46174</v>
      </c>
      <c r="H380" s="2" t="s">
        <v>71</v>
      </c>
      <c r="I380" s="2" t="s">
        <v>39</v>
      </c>
      <c r="J380" s="9">
        <v>3929.62</v>
      </c>
      <c r="K380" s="7">
        <v>1</v>
      </c>
      <c r="L380" s="9">
        <v>3929.62</v>
      </c>
      <c r="M380" s="9">
        <v>3929.62</v>
      </c>
      <c r="N380" s="9">
        <v>2.16</v>
      </c>
      <c r="O380" s="10">
        <f>IF(AND(OR(H380="APPROVED",H380="SCHEDULED"),COUNTIFS(tblSource[EventID],F380,tblSource[ReleaseStatus],"APPROVED")=1,COUNTIFS(Period_Status!$A$2:$A$8,G380,Period_Status!$B$2:$B$8,"ActualClosed")=1,C380&gt;EOMONTH(Settlement_Bridge!$C$2,0)),1,0)</f>
        <v>0</v>
      </c>
      <c r="P380" s="2" t="s">
        <v>1177</v>
      </c>
    </row>
    <row r="381" spans="1:16" x14ac:dyDescent="0.25">
      <c r="A381" s="2" t="s">
        <v>1178</v>
      </c>
      <c r="B381" s="2" t="s">
        <v>136</v>
      </c>
      <c r="C381" s="8">
        <v>46214</v>
      </c>
      <c r="D381" s="6">
        <v>46204</v>
      </c>
      <c r="E381" s="2" t="s">
        <v>260</v>
      </c>
      <c r="F381" s="2" t="s">
        <v>1179</v>
      </c>
      <c r="G381" s="6">
        <v>46174</v>
      </c>
      <c r="H381" s="2" t="s">
        <v>71</v>
      </c>
      <c r="I381" s="2" t="s">
        <v>76</v>
      </c>
      <c r="J381" s="9">
        <v>65642080</v>
      </c>
      <c r="K381" s="7">
        <v>6.2000000000000003E-5</v>
      </c>
      <c r="L381" s="9">
        <v>4069.81</v>
      </c>
      <c r="M381" s="9">
        <v>4102.63</v>
      </c>
      <c r="N381" s="9">
        <v>2.2400000000000002</v>
      </c>
      <c r="O381" s="10">
        <f>IF(AND(OR(H381="APPROVED",H381="SCHEDULED"),COUNTIFS(tblSource[EventID],F381,tblSource[ReleaseStatus],"APPROVED")=1,COUNTIFS(Period_Status!$A$2:$A$8,G381,Period_Status!$B$2:$B$8,"ActualClosed")=1,C381&gt;EOMONTH(Settlement_Bridge!$C$2,0)),1,0)</f>
        <v>0</v>
      </c>
      <c r="P381" s="2" t="s">
        <v>1180</v>
      </c>
    </row>
    <row r="382" spans="1:16" x14ac:dyDescent="0.25">
      <c r="A382" s="2" t="s">
        <v>1181</v>
      </c>
      <c r="B382" s="2" t="s">
        <v>136</v>
      </c>
      <c r="C382" s="8">
        <v>46205</v>
      </c>
      <c r="D382" s="6">
        <v>46204</v>
      </c>
      <c r="E382" s="2" t="s">
        <v>260</v>
      </c>
      <c r="F382" s="2" t="s">
        <v>1182</v>
      </c>
      <c r="G382" s="6">
        <v>46174</v>
      </c>
      <c r="H382" s="2" t="s">
        <v>71</v>
      </c>
      <c r="I382" s="2" t="s">
        <v>70</v>
      </c>
      <c r="J382" s="9">
        <v>2571.8135339999999</v>
      </c>
      <c r="K382" s="7">
        <v>0.65800000000000003</v>
      </c>
      <c r="L382" s="9">
        <v>1692.25</v>
      </c>
      <c r="M382" s="9">
        <v>1710.26</v>
      </c>
      <c r="N382" s="9">
        <v>1.8</v>
      </c>
      <c r="O382" s="10">
        <f>IF(AND(OR(H382="APPROVED",H382="SCHEDULED"),COUNTIFS(tblSource[EventID],F382,tblSource[ReleaseStatus],"APPROVED")=1,COUNTIFS(Period_Status!$A$2:$A$8,G382,Period_Status!$B$2:$B$8,"ActualClosed")=1,C382&gt;EOMONTH(Settlement_Bridge!$C$2,0)),1,0)</f>
        <v>0</v>
      </c>
      <c r="P382" s="2" t="s">
        <v>1183</v>
      </c>
    </row>
    <row r="383" spans="1:16" x14ac:dyDescent="0.25">
      <c r="A383" s="2" t="s">
        <v>1184</v>
      </c>
      <c r="B383" s="2" t="s">
        <v>136</v>
      </c>
      <c r="C383" s="8">
        <v>46230</v>
      </c>
      <c r="D383" s="6">
        <v>46204</v>
      </c>
      <c r="E383" s="2" t="s">
        <v>260</v>
      </c>
      <c r="F383" s="2" t="s">
        <v>1182</v>
      </c>
      <c r="G383" s="6">
        <v>46174</v>
      </c>
      <c r="H383" s="2" t="s">
        <v>71</v>
      </c>
      <c r="I383" s="2" t="s">
        <v>70</v>
      </c>
      <c r="J383" s="9">
        <v>3857.7203009999998</v>
      </c>
      <c r="K383" s="7">
        <v>0.65800000000000003</v>
      </c>
      <c r="L383" s="9">
        <v>2538.38</v>
      </c>
      <c r="M383" s="9">
        <v>2565.38</v>
      </c>
      <c r="N383" s="9">
        <v>1.8</v>
      </c>
      <c r="O383" s="10">
        <f>IF(AND(OR(H383="APPROVED",H383="SCHEDULED"),COUNTIFS(tblSource[EventID],F383,tblSource[ReleaseStatus],"APPROVED")=1,COUNTIFS(Period_Status!$A$2:$A$8,G383,Period_Status!$B$2:$B$8,"ActualClosed")=1,C383&gt;EOMONTH(Settlement_Bridge!$C$2,0)),1,0)</f>
        <v>0</v>
      </c>
      <c r="P383" s="2" t="s">
        <v>1185</v>
      </c>
    </row>
    <row r="384" spans="1:16" x14ac:dyDescent="0.25">
      <c r="A384" s="2" t="s">
        <v>1186</v>
      </c>
      <c r="B384" s="2" t="s">
        <v>136</v>
      </c>
      <c r="C384" s="8">
        <v>46216</v>
      </c>
      <c r="D384" s="6">
        <v>46204</v>
      </c>
      <c r="E384" s="2" t="s">
        <v>260</v>
      </c>
      <c r="F384" s="2" t="s">
        <v>1187</v>
      </c>
      <c r="G384" s="6">
        <v>46174</v>
      </c>
      <c r="H384" s="2" t="s">
        <v>71</v>
      </c>
      <c r="I384" s="2" t="s">
        <v>39</v>
      </c>
      <c r="J384" s="9">
        <v>4448.6499999999996</v>
      </c>
      <c r="K384" s="7">
        <v>1</v>
      </c>
      <c r="L384" s="9">
        <v>4448.6499999999996</v>
      </c>
      <c r="M384" s="9">
        <v>4448.6499999999996</v>
      </c>
      <c r="N384" s="9">
        <v>2.4500000000000002</v>
      </c>
      <c r="O384" s="10">
        <f>IF(AND(OR(H384="APPROVED",H384="SCHEDULED"),COUNTIFS(tblSource[EventID],F384,tblSource[ReleaseStatus],"APPROVED")=1,COUNTIFS(Period_Status!$A$2:$A$8,G384,Period_Status!$B$2:$B$8,"ActualClosed")=1,C384&gt;EOMONTH(Settlement_Bridge!$C$2,0)),1,0)</f>
        <v>0</v>
      </c>
      <c r="P384" s="2" t="s">
        <v>1188</v>
      </c>
    </row>
    <row r="385" spans="1:16" x14ac:dyDescent="0.25">
      <c r="A385" s="2" t="s">
        <v>1189</v>
      </c>
      <c r="B385" s="2" t="s">
        <v>136</v>
      </c>
      <c r="C385" s="8">
        <v>46217</v>
      </c>
      <c r="D385" s="6">
        <v>46204</v>
      </c>
      <c r="E385" s="2" t="s">
        <v>260</v>
      </c>
      <c r="F385" s="2" t="s">
        <v>1190</v>
      </c>
      <c r="G385" s="6">
        <v>46174</v>
      </c>
      <c r="H385" s="2" t="s">
        <v>71</v>
      </c>
      <c r="I385" s="2" t="s">
        <v>76</v>
      </c>
      <c r="J385" s="9">
        <v>73946560</v>
      </c>
      <c r="K385" s="7">
        <v>6.2000000000000003E-5</v>
      </c>
      <c r="L385" s="9">
        <v>4584.6899999999996</v>
      </c>
      <c r="M385" s="9">
        <v>4621.66</v>
      </c>
      <c r="N385" s="9">
        <v>2.52</v>
      </c>
      <c r="O385" s="10">
        <f>IF(AND(OR(H385="APPROVED",H385="SCHEDULED"),COUNTIFS(tblSource[EventID],F385,tblSource[ReleaseStatus],"APPROVED")=1,COUNTIFS(Period_Status!$A$2:$A$8,G385,Period_Status!$B$2:$B$8,"ActualClosed")=1,C385&gt;EOMONTH(Settlement_Bridge!$C$2,0)),1,0)</f>
        <v>0</v>
      </c>
      <c r="P385" s="2" t="s">
        <v>1191</v>
      </c>
    </row>
    <row r="386" spans="1:16" x14ac:dyDescent="0.25">
      <c r="A386" s="2" t="s">
        <v>1192</v>
      </c>
      <c r="B386" s="2" t="s">
        <v>136</v>
      </c>
      <c r="C386" s="8">
        <v>46218</v>
      </c>
      <c r="D386" s="6">
        <v>46204</v>
      </c>
      <c r="E386" s="2" t="s">
        <v>260</v>
      </c>
      <c r="F386" s="2" t="s">
        <v>1193</v>
      </c>
      <c r="G386" s="6">
        <v>46174</v>
      </c>
      <c r="H386" s="2" t="s">
        <v>71</v>
      </c>
      <c r="I386" s="2" t="s">
        <v>70</v>
      </c>
      <c r="J386" s="9">
        <v>7210.0300749999997</v>
      </c>
      <c r="K386" s="7">
        <v>0.65800000000000003</v>
      </c>
      <c r="L386" s="9">
        <v>4744.2</v>
      </c>
      <c r="M386" s="9">
        <v>4794.67</v>
      </c>
      <c r="N386" s="9">
        <v>2.61</v>
      </c>
      <c r="O386" s="10">
        <f>IF(AND(OR(H386="APPROVED",H386="SCHEDULED"),COUNTIFS(tblSource[EventID],F386,tblSource[ReleaseStatus],"APPROVED")=1,COUNTIFS(Period_Status!$A$2:$A$8,G386,Period_Status!$B$2:$B$8,"ActualClosed")=1,C386&gt;EOMONTH(Settlement_Bridge!$C$2,0)),1,0)</f>
        <v>0</v>
      </c>
      <c r="P386" s="2" t="s">
        <v>1194</v>
      </c>
    </row>
    <row r="387" spans="1:16" x14ac:dyDescent="0.25">
      <c r="A387" s="2" t="s">
        <v>1195</v>
      </c>
      <c r="B387" s="2" t="s">
        <v>136</v>
      </c>
      <c r="C387" s="8">
        <v>46219</v>
      </c>
      <c r="D387" s="6">
        <v>46204</v>
      </c>
      <c r="E387" s="2" t="s">
        <v>260</v>
      </c>
      <c r="F387" s="2" t="s">
        <v>1196</v>
      </c>
      <c r="G387" s="6">
        <v>46174</v>
      </c>
      <c r="H387" s="2" t="s">
        <v>71</v>
      </c>
      <c r="I387" s="2" t="s">
        <v>39</v>
      </c>
      <c r="J387" s="9">
        <v>4967.68</v>
      </c>
      <c r="K387" s="7">
        <v>1</v>
      </c>
      <c r="L387" s="9">
        <v>4967.68</v>
      </c>
      <c r="M387" s="9">
        <v>4967.68</v>
      </c>
      <c r="N387" s="9">
        <v>2.73</v>
      </c>
      <c r="O387" s="10">
        <f>IF(AND(OR(H387="APPROVED",H387="SCHEDULED"),COUNTIFS(tblSource[EventID],F387,tblSource[ReleaseStatus],"APPROVED")=1,COUNTIFS(Period_Status!$A$2:$A$8,G387,Period_Status!$B$2:$B$8,"ActualClosed")=1,C387&gt;EOMONTH(Settlement_Bridge!$C$2,0)),1,0)</f>
        <v>0</v>
      </c>
      <c r="P387" s="2" t="s">
        <v>1197</v>
      </c>
    </row>
    <row r="388" spans="1:16" x14ac:dyDescent="0.25">
      <c r="A388" s="2" t="s">
        <v>1198</v>
      </c>
      <c r="B388" s="2" t="s">
        <v>136</v>
      </c>
      <c r="C388" s="8">
        <v>46220</v>
      </c>
      <c r="D388" s="6">
        <v>46204</v>
      </c>
      <c r="E388" s="2" t="s">
        <v>260</v>
      </c>
      <c r="F388" s="2" t="s">
        <v>1199</v>
      </c>
      <c r="G388" s="6">
        <v>46174</v>
      </c>
      <c r="H388" s="2" t="s">
        <v>71</v>
      </c>
      <c r="I388" s="2" t="s">
        <v>76</v>
      </c>
      <c r="J388" s="9">
        <v>82251040</v>
      </c>
      <c r="K388" s="7">
        <v>6.2000000000000003E-5</v>
      </c>
      <c r="L388" s="9">
        <v>5099.5600000000004</v>
      </c>
      <c r="M388" s="9">
        <v>5140.6899999999996</v>
      </c>
      <c r="N388" s="9">
        <v>2.8</v>
      </c>
      <c r="O388" s="10">
        <f>IF(AND(OR(H388="APPROVED",H388="SCHEDULED"),COUNTIFS(tblSource[EventID],F388,tblSource[ReleaseStatus],"APPROVED")=1,COUNTIFS(Period_Status!$A$2:$A$8,G388,Period_Status!$B$2:$B$8,"ActualClosed")=1,C388&gt;EOMONTH(Settlement_Bridge!$C$2,0)),1,0)</f>
        <v>0</v>
      </c>
      <c r="P388" s="2" t="s">
        <v>1200</v>
      </c>
    </row>
    <row r="389" spans="1:16" x14ac:dyDescent="0.25">
      <c r="A389" s="2" t="s">
        <v>1201</v>
      </c>
      <c r="B389" s="2" t="s">
        <v>136</v>
      </c>
      <c r="C389" s="8">
        <v>46211</v>
      </c>
      <c r="D389" s="6">
        <v>46204</v>
      </c>
      <c r="E389" s="2" t="s">
        <v>260</v>
      </c>
      <c r="F389" s="2" t="s">
        <v>1202</v>
      </c>
      <c r="G389" s="6">
        <v>46174</v>
      </c>
      <c r="H389" s="2" t="s">
        <v>71</v>
      </c>
      <c r="I389" s="2" t="s">
        <v>70</v>
      </c>
      <c r="J389" s="9">
        <v>3196.2105259999998</v>
      </c>
      <c r="K389" s="7">
        <v>0.65800000000000003</v>
      </c>
      <c r="L389" s="9">
        <v>2103.11</v>
      </c>
      <c r="M389" s="9">
        <v>2125.48</v>
      </c>
      <c r="N389" s="9">
        <v>1.8</v>
      </c>
      <c r="O389" s="10">
        <f>IF(AND(OR(H389="APPROVED",H389="SCHEDULED"),COUNTIFS(tblSource[EventID],F389,tblSource[ReleaseStatus],"APPROVED")=1,COUNTIFS(Period_Status!$A$2:$A$8,G389,Period_Status!$B$2:$B$8,"ActualClosed")=1,C389&gt;EOMONTH(Settlement_Bridge!$C$2,0)),1,0)</f>
        <v>0</v>
      </c>
      <c r="P389" s="2" t="s">
        <v>1203</v>
      </c>
    </row>
    <row r="390" spans="1:16" x14ac:dyDescent="0.25">
      <c r="A390" s="2" t="s">
        <v>1204</v>
      </c>
      <c r="B390" s="2" t="s">
        <v>136</v>
      </c>
      <c r="C390" s="8">
        <v>46236</v>
      </c>
      <c r="D390" s="6">
        <v>46235</v>
      </c>
      <c r="E390" s="2" t="s">
        <v>260</v>
      </c>
      <c r="F390" s="2" t="s">
        <v>1202</v>
      </c>
      <c r="G390" s="6">
        <v>46174</v>
      </c>
      <c r="H390" s="2" t="s">
        <v>71</v>
      </c>
      <c r="I390" s="2" t="s">
        <v>70</v>
      </c>
      <c r="J390" s="9">
        <v>4794.3157899999997</v>
      </c>
      <c r="K390" s="7">
        <v>0.65</v>
      </c>
      <c r="L390" s="9">
        <v>3116.31</v>
      </c>
      <c r="M390" s="9">
        <v>3188.22</v>
      </c>
      <c r="N390" s="9">
        <v>1.8</v>
      </c>
      <c r="O390" s="10">
        <f>IF(AND(OR(H390="APPROVED",H390="SCHEDULED"),COUNTIFS(tblSource[EventID],F390,tblSource[ReleaseStatus],"APPROVED")=1,COUNTIFS(Period_Status!$A$2:$A$8,G390,Period_Status!$B$2:$B$8,"ActualClosed")=1,C390&gt;EOMONTH(Settlement_Bridge!$C$2,0)),1,0)</f>
        <v>1</v>
      </c>
      <c r="P390" s="2" t="s">
        <v>1205</v>
      </c>
    </row>
    <row r="391" spans="1:16" x14ac:dyDescent="0.25">
      <c r="A391" s="2" t="s">
        <v>1206</v>
      </c>
      <c r="B391" s="2" t="s">
        <v>136</v>
      </c>
      <c r="C391" s="8">
        <v>46212</v>
      </c>
      <c r="D391" s="6">
        <v>46204</v>
      </c>
      <c r="E391" s="2" t="s">
        <v>260</v>
      </c>
      <c r="F391" s="2" t="s">
        <v>1207</v>
      </c>
      <c r="G391" s="6">
        <v>46174</v>
      </c>
      <c r="H391" s="2" t="s">
        <v>71</v>
      </c>
      <c r="I391" s="2" t="s">
        <v>39</v>
      </c>
      <c r="J391" s="9">
        <v>2194.6840000000002</v>
      </c>
      <c r="K391" s="7">
        <v>1</v>
      </c>
      <c r="L391" s="9">
        <v>2194.6799999999998</v>
      </c>
      <c r="M391" s="9">
        <v>2194.6799999999998</v>
      </c>
      <c r="N391" s="9">
        <v>1.8</v>
      </c>
      <c r="O391" s="10">
        <f>IF(AND(OR(H391="APPROVED",H391="SCHEDULED"),COUNTIFS(tblSource[EventID],F391,tblSource[ReleaseStatus],"APPROVED")=1,COUNTIFS(Period_Status!$A$2:$A$8,G391,Period_Status!$B$2:$B$8,"ActualClosed")=1,C391&gt;EOMONTH(Settlement_Bridge!$C$2,0)),1,0)</f>
        <v>0</v>
      </c>
      <c r="P391" s="2" t="s">
        <v>1208</v>
      </c>
    </row>
    <row r="392" spans="1:16" x14ac:dyDescent="0.25">
      <c r="A392" s="2" t="s">
        <v>1209</v>
      </c>
      <c r="B392" s="2" t="s">
        <v>136</v>
      </c>
      <c r="C392" s="8">
        <v>46237</v>
      </c>
      <c r="D392" s="6">
        <v>46235</v>
      </c>
      <c r="E392" s="2" t="s">
        <v>260</v>
      </c>
      <c r="F392" s="2" t="s">
        <v>1207</v>
      </c>
      <c r="G392" s="6">
        <v>46174</v>
      </c>
      <c r="H392" s="2" t="s">
        <v>71</v>
      </c>
      <c r="I392" s="2" t="s">
        <v>39</v>
      </c>
      <c r="J392" s="9">
        <v>3292.0259999999998</v>
      </c>
      <c r="K392" s="7">
        <v>1</v>
      </c>
      <c r="L392" s="9">
        <v>3292.03</v>
      </c>
      <c r="M392" s="9">
        <v>3292.03</v>
      </c>
      <c r="N392" s="9">
        <v>1.81</v>
      </c>
      <c r="O392" s="10">
        <f>IF(AND(OR(H392="APPROVED",H392="SCHEDULED"),COUNTIFS(tblSource[EventID],F392,tblSource[ReleaseStatus],"APPROVED")=1,COUNTIFS(Period_Status!$A$2:$A$8,G392,Period_Status!$B$2:$B$8,"ActualClosed")=1,C392&gt;EOMONTH(Settlement_Bridge!$C$2,0)),1,0)</f>
        <v>1</v>
      </c>
      <c r="P392" s="2" t="s">
        <v>1210</v>
      </c>
    </row>
    <row r="393" spans="1:16" x14ac:dyDescent="0.25">
      <c r="A393" s="2" t="s">
        <v>1211</v>
      </c>
      <c r="B393" s="2" t="s">
        <v>136</v>
      </c>
      <c r="C393" s="8">
        <v>46223</v>
      </c>
      <c r="D393" s="6">
        <v>46204</v>
      </c>
      <c r="E393" s="2" t="s">
        <v>260</v>
      </c>
      <c r="F393" s="2" t="s">
        <v>1212</v>
      </c>
      <c r="G393" s="6">
        <v>46174</v>
      </c>
      <c r="H393" s="2" t="s">
        <v>71</v>
      </c>
      <c r="I393" s="2" t="s">
        <v>76</v>
      </c>
      <c r="J393" s="9">
        <v>90555520</v>
      </c>
      <c r="K393" s="7">
        <v>6.2000000000000003E-5</v>
      </c>
      <c r="L393" s="9">
        <v>5614.44</v>
      </c>
      <c r="M393" s="9">
        <v>5659.72</v>
      </c>
      <c r="N393" s="9">
        <v>3.09</v>
      </c>
      <c r="O393" s="10">
        <f>IF(AND(OR(H393="APPROVED",H393="SCHEDULED"),COUNTIFS(tblSource[EventID],F393,tblSource[ReleaseStatus],"APPROVED")=1,COUNTIFS(Period_Status!$A$2:$A$8,G393,Period_Status!$B$2:$B$8,"ActualClosed")=1,C393&gt;EOMONTH(Settlement_Bridge!$C$2,0)),1,0)</f>
        <v>0</v>
      </c>
      <c r="P393" s="2" t="s">
        <v>1213</v>
      </c>
    </row>
    <row r="394" spans="1:16" x14ac:dyDescent="0.25">
      <c r="A394" s="2" t="s">
        <v>1214</v>
      </c>
      <c r="B394" s="2" t="s">
        <v>136</v>
      </c>
      <c r="C394" s="8">
        <v>46224</v>
      </c>
      <c r="D394" s="6">
        <v>46204</v>
      </c>
      <c r="E394" s="2" t="s">
        <v>260</v>
      </c>
      <c r="F394" s="2" t="s">
        <v>1215</v>
      </c>
      <c r="G394" s="6">
        <v>46174</v>
      </c>
      <c r="H394" s="2" t="s">
        <v>71</v>
      </c>
      <c r="I394" s="2" t="s">
        <v>70</v>
      </c>
      <c r="J394" s="9">
        <v>8771.0225559999999</v>
      </c>
      <c r="K394" s="7">
        <v>0.65800000000000003</v>
      </c>
      <c r="L394" s="9">
        <v>5771.33</v>
      </c>
      <c r="M394" s="9">
        <v>5832.73</v>
      </c>
      <c r="N394" s="9">
        <v>3.17</v>
      </c>
      <c r="O394" s="10">
        <f>IF(AND(OR(H394="APPROVED",H394="SCHEDULED"),COUNTIFS(tblSource[EventID],F394,tblSource[ReleaseStatus],"APPROVED")=1,COUNTIFS(Period_Status!$A$2:$A$8,G394,Period_Status!$B$2:$B$8,"ActualClosed")=1,C394&gt;EOMONTH(Settlement_Bridge!$C$2,0)),1,0)</f>
        <v>0</v>
      </c>
      <c r="P394" s="2" t="s">
        <v>1216</v>
      </c>
    </row>
    <row r="395" spans="1:16" x14ac:dyDescent="0.25">
      <c r="A395" s="2" t="s">
        <v>1217</v>
      </c>
      <c r="B395" s="2" t="s">
        <v>136</v>
      </c>
      <c r="C395" s="8">
        <v>46215</v>
      </c>
      <c r="D395" s="6">
        <v>46204</v>
      </c>
      <c r="E395" s="2" t="s">
        <v>260</v>
      </c>
      <c r="F395" s="2" t="s">
        <v>1218</v>
      </c>
      <c r="G395" s="6">
        <v>46174</v>
      </c>
      <c r="H395" s="2" t="s">
        <v>71</v>
      </c>
      <c r="I395" s="2" t="s">
        <v>39</v>
      </c>
      <c r="J395" s="9">
        <v>2402.2959999999998</v>
      </c>
      <c r="K395" s="7">
        <v>1</v>
      </c>
      <c r="L395" s="9">
        <v>2402.3000000000002</v>
      </c>
      <c r="M395" s="9">
        <v>2402.3000000000002</v>
      </c>
      <c r="N395" s="9">
        <v>1.8</v>
      </c>
      <c r="O395" s="10">
        <f>IF(AND(OR(H395="APPROVED",H395="SCHEDULED"),COUNTIFS(tblSource[EventID],F395,tblSource[ReleaseStatus],"APPROVED")=1,COUNTIFS(Period_Status!$A$2:$A$8,G395,Period_Status!$B$2:$B$8,"ActualClosed")=1,C395&gt;EOMONTH(Settlement_Bridge!$C$2,0)),1,0)</f>
        <v>0</v>
      </c>
      <c r="P395" s="2" t="s">
        <v>1219</v>
      </c>
    </row>
    <row r="396" spans="1:16" x14ac:dyDescent="0.25">
      <c r="A396" s="2" t="s">
        <v>1220</v>
      </c>
      <c r="B396" s="2" t="s">
        <v>136</v>
      </c>
      <c r="C396" s="8">
        <v>46240</v>
      </c>
      <c r="D396" s="6">
        <v>46235</v>
      </c>
      <c r="E396" s="2" t="s">
        <v>260</v>
      </c>
      <c r="F396" s="2" t="s">
        <v>1218</v>
      </c>
      <c r="G396" s="6">
        <v>46174</v>
      </c>
      <c r="H396" s="2" t="s">
        <v>71</v>
      </c>
      <c r="I396" s="2" t="s">
        <v>39</v>
      </c>
      <c r="J396" s="9">
        <v>3603.444</v>
      </c>
      <c r="K396" s="7">
        <v>1</v>
      </c>
      <c r="L396" s="9">
        <v>3603.44</v>
      </c>
      <c r="M396" s="9">
        <v>3603.44</v>
      </c>
      <c r="N396" s="9">
        <v>1.98</v>
      </c>
      <c r="O396" s="10">
        <f>IF(AND(OR(H396="APPROVED",H396="SCHEDULED"),COUNTIFS(tblSource[EventID],F396,tblSource[ReleaseStatus],"APPROVED")=1,COUNTIFS(Period_Status!$A$2:$A$8,G396,Period_Status!$B$2:$B$8,"ActualClosed")=1,C396&gt;EOMONTH(Settlement_Bridge!$C$2,0)),1,0)</f>
        <v>1</v>
      </c>
      <c r="P396" s="2" t="s">
        <v>1221</v>
      </c>
    </row>
    <row r="397" spans="1:16" x14ac:dyDescent="0.25">
      <c r="A397" s="2" t="s">
        <v>1222</v>
      </c>
      <c r="B397" s="2" t="s">
        <v>136</v>
      </c>
      <c r="C397" s="8">
        <v>46226</v>
      </c>
      <c r="D397" s="6">
        <v>46204</v>
      </c>
      <c r="E397" s="2" t="s">
        <v>260</v>
      </c>
      <c r="F397" s="2" t="s">
        <v>1223</v>
      </c>
      <c r="G397" s="6">
        <v>46174</v>
      </c>
      <c r="H397" s="2" t="s">
        <v>71</v>
      </c>
      <c r="I397" s="2" t="s">
        <v>76</v>
      </c>
      <c r="J397" s="9">
        <v>98860000</v>
      </c>
      <c r="K397" s="7">
        <v>6.2000000000000003E-5</v>
      </c>
      <c r="L397" s="9">
        <v>6129.32</v>
      </c>
      <c r="M397" s="9">
        <v>6178.75</v>
      </c>
      <c r="N397" s="9">
        <v>3.37</v>
      </c>
      <c r="O397" s="10">
        <f>IF(AND(OR(H397="APPROVED",H397="SCHEDULED"),COUNTIFS(tblSource[EventID],F397,tblSource[ReleaseStatus],"APPROVED")=1,COUNTIFS(Period_Status!$A$2:$A$8,G397,Period_Status!$B$2:$B$8,"ActualClosed")=1,C397&gt;EOMONTH(Settlement_Bridge!$C$2,0)),1,0)</f>
        <v>0</v>
      </c>
      <c r="P397" s="2" t="s">
        <v>1224</v>
      </c>
    </row>
    <row r="398" spans="1:16" x14ac:dyDescent="0.25">
      <c r="A398" s="2" t="s">
        <v>1225</v>
      </c>
      <c r="B398" s="2" t="s">
        <v>136</v>
      </c>
      <c r="C398" s="8">
        <v>46227</v>
      </c>
      <c r="D398" s="6">
        <v>46204</v>
      </c>
      <c r="E398" s="2" t="s">
        <v>260</v>
      </c>
      <c r="F398" s="2" t="s">
        <v>1226</v>
      </c>
      <c r="G398" s="6">
        <v>46174</v>
      </c>
      <c r="H398" s="2" t="s">
        <v>71</v>
      </c>
      <c r="I398" s="2" t="s">
        <v>70</v>
      </c>
      <c r="J398" s="9">
        <v>9551.5187970000006</v>
      </c>
      <c r="K398" s="7">
        <v>0.65800000000000003</v>
      </c>
      <c r="L398" s="9">
        <v>6284.9</v>
      </c>
      <c r="M398" s="9">
        <v>6351.76</v>
      </c>
      <c r="N398" s="9">
        <v>3.46</v>
      </c>
      <c r="O398" s="10">
        <f>IF(AND(OR(H398="APPROVED",H398="SCHEDULED"),COUNTIFS(tblSource[EventID],F398,tblSource[ReleaseStatus],"APPROVED")=1,COUNTIFS(Period_Status!$A$2:$A$8,G398,Period_Status!$B$2:$B$8,"ActualClosed")=1,C398&gt;EOMONTH(Settlement_Bridge!$C$2,0)),1,0)</f>
        <v>0</v>
      </c>
      <c r="P398" s="2" t="s">
        <v>1227</v>
      </c>
    </row>
    <row r="399" spans="1:16" x14ac:dyDescent="0.25">
      <c r="A399" s="2" t="s">
        <v>1228</v>
      </c>
      <c r="B399" s="2" t="s">
        <v>136</v>
      </c>
      <c r="C399" s="8">
        <v>46198</v>
      </c>
      <c r="D399" s="6">
        <v>46174</v>
      </c>
      <c r="E399" s="2" t="s">
        <v>260</v>
      </c>
      <c r="F399" s="2" t="s">
        <v>1229</v>
      </c>
      <c r="G399" s="6">
        <v>46174</v>
      </c>
      <c r="H399" s="2" t="s">
        <v>71</v>
      </c>
      <c r="I399" s="2" t="s">
        <v>39</v>
      </c>
      <c r="J399" s="9">
        <v>6524.77</v>
      </c>
      <c r="K399" s="7">
        <v>1</v>
      </c>
      <c r="L399" s="9">
        <v>6524.77</v>
      </c>
      <c r="M399" s="9">
        <v>6524.77</v>
      </c>
      <c r="N399" s="9">
        <v>3.59</v>
      </c>
      <c r="O399" s="10">
        <f>IF(AND(OR(H399="APPROVED",H399="SCHEDULED"),COUNTIFS(tblSource[EventID],F399,tblSource[ReleaseStatus],"APPROVED")=1,COUNTIFS(Period_Status!$A$2:$A$8,G399,Period_Status!$B$2:$B$8,"ActualClosed")=1,C399&gt;EOMONTH(Settlement_Bridge!$C$2,0)),1,0)</f>
        <v>0</v>
      </c>
      <c r="P399" s="2" t="s">
        <v>1230</v>
      </c>
    </row>
    <row r="400" spans="1:16" x14ac:dyDescent="0.25">
      <c r="A400" s="2" t="s">
        <v>1231</v>
      </c>
      <c r="B400" s="2" t="s">
        <v>136</v>
      </c>
      <c r="C400" s="8">
        <v>46199</v>
      </c>
      <c r="D400" s="6">
        <v>46174</v>
      </c>
      <c r="E400" s="2" t="s">
        <v>260</v>
      </c>
      <c r="F400" s="2" t="s">
        <v>1232</v>
      </c>
      <c r="G400" s="6">
        <v>46174</v>
      </c>
      <c r="H400" s="2" t="s">
        <v>71</v>
      </c>
      <c r="I400" s="2" t="s">
        <v>76</v>
      </c>
      <c r="J400" s="9">
        <v>107164480</v>
      </c>
      <c r="K400" s="7">
        <v>6.2500000000000001E-5</v>
      </c>
      <c r="L400" s="9">
        <v>6697.78</v>
      </c>
      <c r="M400" s="9">
        <v>6697.78</v>
      </c>
      <c r="N400" s="9">
        <v>3.68</v>
      </c>
      <c r="O400" s="10">
        <f>IF(AND(OR(H400="APPROVED",H400="SCHEDULED"),COUNTIFS(tblSource[EventID],F400,tblSource[ReleaseStatus],"APPROVED")=1,COUNTIFS(Period_Status!$A$2:$A$8,G400,Period_Status!$B$2:$B$8,"ActualClosed")=1,C400&gt;EOMONTH(Settlement_Bridge!$C$2,0)),1,0)</f>
        <v>0</v>
      </c>
      <c r="P400" s="2" t="s">
        <v>1233</v>
      </c>
    </row>
    <row r="401" spans="1:16" x14ac:dyDescent="0.25">
      <c r="A401" s="2" t="s">
        <v>1234</v>
      </c>
      <c r="B401" s="2" t="s">
        <v>136</v>
      </c>
      <c r="C401" s="8">
        <v>46200</v>
      </c>
      <c r="D401" s="6">
        <v>46174</v>
      </c>
      <c r="E401" s="2" t="s">
        <v>260</v>
      </c>
      <c r="F401" s="2" t="s">
        <v>1235</v>
      </c>
      <c r="G401" s="6">
        <v>46174</v>
      </c>
      <c r="H401" s="2" t="s">
        <v>71</v>
      </c>
      <c r="I401" s="2" t="s">
        <v>70</v>
      </c>
      <c r="J401" s="9">
        <v>10332.015038</v>
      </c>
      <c r="K401" s="7">
        <v>0.66500000000000004</v>
      </c>
      <c r="L401" s="9">
        <v>6870.79</v>
      </c>
      <c r="M401" s="9">
        <v>6870.79</v>
      </c>
      <c r="N401" s="9">
        <v>3.78</v>
      </c>
      <c r="O401" s="10">
        <f>IF(AND(OR(H401="APPROVED",H401="SCHEDULED"),COUNTIFS(tblSource[EventID],F401,tblSource[ReleaseStatus],"APPROVED")=1,COUNTIFS(Period_Status!$A$2:$A$8,G401,Period_Status!$B$2:$B$8,"ActualClosed")=1,C401&gt;EOMONTH(Settlement_Bridge!$C$2,0)),1,0)</f>
        <v>0</v>
      </c>
      <c r="P401" s="2" t="s">
        <v>1236</v>
      </c>
    </row>
    <row r="402" spans="1:16" x14ac:dyDescent="0.25">
      <c r="A402" s="2" t="s">
        <v>1237</v>
      </c>
      <c r="B402" s="2" t="s">
        <v>136</v>
      </c>
      <c r="C402" s="8">
        <v>46191</v>
      </c>
      <c r="D402" s="6">
        <v>46174</v>
      </c>
      <c r="E402" s="2" t="s">
        <v>260</v>
      </c>
      <c r="F402" s="2" t="s">
        <v>1238</v>
      </c>
      <c r="G402" s="6">
        <v>46174</v>
      </c>
      <c r="H402" s="2" t="s">
        <v>71</v>
      </c>
      <c r="I402" s="2" t="s">
        <v>39</v>
      </c>
      <c r="J402" s="9">
        <v>2817.52</v>
      </c>
      <c r="K402" s="7">
        <v>1</v>
      </c>
      <c r="L402" s="9">
        <v>2817.52</v>
      </c>
      <c r="M402" s="9">
        <v>2817.52</v>
      </c>
      <c r="N402" s="9">
        <v>1.8</v>
      </c>
      <c r="O402" s="10">
        <f>IF(AND(OR(H402="APPROVED",H402="SCHEDULED"),COUNTIFS(tblSource[EventID],F402,tblSource[ReleaseStatus],"APPROVED")=1,COUNTIFS(Period_Status!$A$2:$A$8,G402,Period_Status!$B$2:$B$8,"ActualClosed")=1,C402&gt;EOMONTH(Settlement_Bridge!$C$2,0)),1,0)</f>
        <v>0</v>
      </c>
      <c r="P402" s="2" t="s">
        <v>1239</v>
      </c>
    </row>
    <row r="403" spans="1:16" x14ac:dyDescent="0.25">
      <c r="A403" s="2" t="s">
        <v>1240</v>
      </c>
      <c r="B403" s="2" t="s">
        <v>136</v>
      </c>
      <c r="C403" s="8">
        <v>46216</v>
      </c>
      <c r="D403" s="6">
        <v>46204</v>
      </c>
      <c r="E403" s="2" t="s">
        <v>260</v>
      </c>
      <c r="F403" s="2" t="s">
        <v>1238</v>
      </c>
      <c r="G403" s="6">
        <v>46174</v>
      </c>
      <c r="H403" s="2" t="s">
        <v>71</v>
      </c>
      <c r="I403" s="2" t="s">
        <v>39</v>
      </c>
      <c r="J403" s="9">
        <v>4226.28</v>
      </c>
      <c r="K403" s="7">
        <v>1</v>
      </c>
      <c r="L403" s="9">
        <v>4226.28</v>
      </c>
      <c r="M403" s="9">
        <v>4226.28</v>
      </c>
      <c r="N403" s="9">
        <v>2.3199999999999998</v>
      </c>
      <c r="O403" s="10">
        <f>IF(AND(OR(H403="APPROVED",H403="SCHEDULED"),COUNTIFS(tblSource[EventID],F403,tblSource[ReleaseStatus],"APPROVED")=1,COUNTIFS(Period_Status!$A$2:$A$8,G403,Period_Status!$B$2:$B$8,"ActualClosed")=1,C403&gt;EOMONTH(Settlement_Bridge!$C$2,0)),1,0)</f>
        <v>0</v>
      </c>
      <c r="P403" s="2" t="s">
        <v>1241</v>
      </c>
    </row>
    <row r="404" spans="1:16" x14ac:dyDescent="0.25">
      <c r="A404" s="2" t="s">
        <v>1242</v>
      </c>
      <c r="B404" s="2" t="s">
        <v>136</v>
      </c>
      <c r="C404" s="8">
        <v>46192</v>
      </c>
      <c r="D404" s="6">
        <v>46174</v>
      </c>
      <c r="E404" s="2" t="s">
        <v>260</v>
      </c>
      <c r="F404" s="2" t="s">
        <v>1243</v>
      </c>
      <c r="G404" s="6">
        <v>46174</v>
      </c>
      <c r="H404" s="2" t="s">
        <v>71</v>
      </c>
      <c r="I404" s="2" t="s">
        <v>76</v>
      </c>
      <c r="J404" s="9">
        <v>46187584</v>
      </c>
      <c r="K404" s="7">
        <v>6.2500000000000001E-5</v>
      </c>
      <c r="L404" s="9">
        <v>2886.72</v>
      </c>
      <c r="M404" s="9">
        <v>2886.72</v>
      </c>
      <c r="N404" s="9">
        <v>1.8</v>
      </c>
      <c r="O404" s="10">
        <f>IF(AND(OR(H404="APPROVED",H404="SCHEDULED"),COUNTIFS(tblSource[EventID],F404,tblSource[ReleaseStatus],"APPROVED")=1,COUNTIFS(Period_Status!$A$2:$A$8,G404,Period_Status!$B$2:$B$8,"ActualClosed")=1,C404&gt;EOMONTH(Settlement_Bridge!$C$2,0)),1,0)</f>
        <v>0</v>
      </c>
      <c r="P404" s="2" t="s">
        <v>1244</v>
      </c>
    </row>
    <row r="405" spans="1:16" x14ac:dyDescent="0.25">
      <c r="A405" s="2" t="s">
        <v>1245</v>
      </c>
      <c r="B405" s="2" t="s">
        <v>136</v>
      </c>
      <c r="C405" s="8">
        <v>46217</v>
      </c>
      <c r="D405" s="6">
        <v>46204</v>
      </c>
      <c r="E405" s="2" t="s">
        <v>260</v>
      </c>
      <c r="F405" s="2" t="s">
        <v>1243</v>
      </c>
      <c r="G405" s="6">
        <v>46174</v>
      </c>
      <c r="H405" s="2" t="s">
        <v>71</v>
      </c>
      <c r="I405" s="2" t="s">
        <v>76</v>
      </c>
      <c r="J405" s="9">
        <v>69281376</v>
      </c>
      <c r="K405" s="7">
        <v>6.2000000000000003E-5</v>
      </c>
      <c r="L405" s="9">
        <v>4295.45</v>
      </c>
      <c r="M405" s="9">
        <v>4330.09</v>
      </c>
      <c r="N405" s="9">
        <v>2.36</v>
      </c>
      <c r="O405" s="10">
        <f>IF(AND(OR(H405="APPROVED",H405="SCHEDULED"),COUNTIFS(tblSource[EventID],F405,tblSource[ReleaseStatus],"APPROVED")=1,COUNTIFS(Period_Status!$A$2:$A$8,G405,Period_Status!$B$2:$B$8,"ActualClosed")=1,C405&gt;EOMONTH(Settlement_Bridge!$C$2,0)),1,0)</f>
        <v>0</v>
      </c>
      <c r="P405" s="2" t="s">
        <v>1246</v>
      </c>
    </row>
    <row r="406" spans="1:16" x14ac:dyDescent="0.25">
      <c r="A406" s="2" t="s">
        <v>1247</v>
      </c>
      <c r="B406" s="2" t="s">
        <v>136</v>
      </c>
      <c r="C406" s="8">
        <v>46203</v>
      </c>
      <c r="D406" s="6">
        <v>46174</v>
      </c>
      <c r="E406" s="2" t="s">
        <v>260</v>
      </c>
      <c r="F406" s="2" t="s">
        <v>1248</v>
      </c>
      <c r="G406" s="6">
        <v>46174</v>
      </c>
      <c r="H406" s="2" t="s">
        <v>71</v>
      </c>
      <c r="I406" s="2" t="s">
        <v>70</v>
      </c>
      <c r="J406" s="9">
        <v>11112.511278</v>
      </c>
      <c r="K406" s="7">
        <v>0.66500000000000004</v>
      </c>
      <c r="L406" s="9">
        <v>7389.82</v>
      </c>
      <c r="M406" s="9">
        <v>7389.82</v>
      </c>
      <c r="N406" s="9">
        <v>4.0599999999999996</v>
      </c>
      <c r="O406" s="10">
        <f>IF(AND(OR(H406="APPROVED",H406="SCHEDULED"),COUNTIFS(tblSource[EventID],F406,tblSource[ReleaseStatus],"APPROVED")=1,COUNTIFS(Period_Status!$A$2:$A$8,G406,Period_Status!$B$2:$B$8,"ActualClosed")=1,C406&gt;EOMONTH(Settlement_Bridge!$C$2,0)),1,0)</f>
        <v>0</v>
      </c>
      <c r="P406" s="2" t="s">
        <v>1249</v>
      </c>
    </row>
    <row r="407" spans="1:16" x14ac:dyDescent="0.25">
      <c r="A407" s="2" t="s">
        <v>1250</v>
      </c>
      <c r="B407" s="2" t="s">
        <v>136</v>
      </c>
      <c r="C407" s="8">
        <v>46204</v>
      </c>
      <c r="D407" s="6">
        <v>46204</v>
      </c>
      <c r="E407" s="2" t="s">
        <v>260</v>
      </c>
      <c r="F407" s="2" t="s">
        <v>1251</v>
      </c>
      <c r="G407" s="6">
        <v>46174</v>
      </c>
      <c r="H407" s="2" t="s">
        <v>71</v>
      </c>
      <c r="I407" s="2" t="s">
        <v>39</v>
      </c>
      <c r="J407" s="9">
        <v>7562.83</v>
      </c>
      <c r="K407" s="7">
        <v>1</v>
      </c>
      <c r="L407" s="9">
        <v>7562.83</v>
      </c>
      <c r="M407" s="9">
        <v>7562.83</v>
      </c>
      <c r="N407" s="9">
        <v>4.16</v>
      </c>
      <c r="O407" s="10">
        <f>IF(AND(OR(H407="APPROVED",H407="SCHEDULED"),COUNTIFS(tblSource[EventID],F407,tblSource[ReleaseStatus],"APPROVED")=1,COUNTIFS(Period_Status!$A$2:$A$8,G407,Period_Status!$B$2:$B$8,"ActualClosed")=1,C407&gt;EOMONTH(Settlement_Bridge!$C$2,0)),1,0)</f>
        <v>0</v>
      </c>
      <c r="P407" s="2" t="s">
        <v>1252</v>
      </c>
    </row>
    <row r="408" spans="1:16" x14ac:dyDescent="0.25">
      <c r="A408" s="2" t="s">
        <v>1253</v>
      </c>
      <c r="B408" s="2" t="s">
        <v>136</v>
      </c>
      <c r="C408" s="8">
        <v>46195</v>
      </c>
      <c r="D408" s="6">
        <v>46174</v>
      </c>
      <c r="E408" s="2" t="s">
        <v>260</v>
      </c>
      <c r="F408" s="2" t="s">
        <v>1254</v>
      </c>
      <c r="G408" s="6">
        <v>46174</v>
      </c>
      <c r="H408" s="2" t="s">
        <v>71</v>
      </c>
      <c r="I408" s="2" t="s">
        <v>76</v>
      </c>
      <c r="J408" s="9">
        <v>49509376</v>
      </c>
      <c r="K408" s="7">
        <v>6.2500000000000001E-5</v>
      </c>
      <c r="L408" s="9">
        <v>3094.34</v>
      </c>
      <c r="M408" s="9">
        <v>3094.34</v>
      </c>
      <c r="N408" s="9">
        <v>1.8</v>
      </c>
      <c r="O408" s="10">
        <f>IF(AND(OR(H408="APPROVED",H408="SCHEDULED"),COUNTIFS(tblSource[EventID],F408,tblSource[ReleaseStatus],"APPROVED")=1,COUNTIFS(Period_Status!$A$2:$A$8,G408,Period_Status!$B$2:$B$8,"ActualClosed")=1,C408&gt;EOMONTH(Settlement_Bridge!$C$2,0)),1,0)</f>
        <v>0</v>
      </c>
      <c r="P408" s="2" t="s">
        <v>1255</v>
      </c>
    </row>
    <row r="409" spans="1:16" x14ac:dyDescent="0.25">
      <c r="A409" s="2" t="s">
        <v>1256</v>
      </c>
      <c r="B409" s="2" t="s">
        <v>136</v>
      </c>
      <c r="C409" s="8">
        <v>46220</v>
      </c>
      <c r="D409" s="6">
        <v>46204</v>
      </c>
      <c r="E409" s="2" t="s">
        <v>260</v>
      </c>
      <c r="F409" s="2" t="s">
        <v>1254</v>
      </c>
      <c r="G409" s="6">
        <v>46174</v>
      </c>
      <c r="H409" s="2" t="s">
        <v>71</v>
      </c>
      <c r="I409" s="2" t="s">
        <v>76</v>
      </c>
      <c r="J409" s="9">
        <v>74264064</v>
      </c>
      <c r="K409" s="7">
        <v>6.2000000000000003E-5</v>
      </c>
      <c r="L409" s="9">
        <v>4604.37</v>
      </c>
      <c r="M409" s="9">
        <v>4641.5</v>
      </c>
      <c r="N409" s="9">
        <v>2.5299999999999998</v>
      </c>
      <c r="O409" s="10">
        <f>IF(AND(OR(H409="APPROVED",H409="SCHEDULED"),COUNTIFS(tblSource[EventID],F409,tblSource[ReleaseStatus],"APPROVED")=1,COUNTIFS(Period_Status!$A$2:$A$8,G409,Period_Status!$B$2:$B$8,"ActualClosed")=1,C409&gt;EOMONTH(Settlement_Bridge!$C$2,0)),1,0)</f>
        <v>0</v>
      </c>
      <c r="P409" s="2" t="s">
        <v>1257</v>
      </c>
    </row>
    <row r="410" spans="1:16" x14ac:dyDescent="0.25">
      <c r="A410" s="2" t="s">
        <v>1258</v>
      </c>
      <c r="B410" s="2" t="s">
        <v>136</v>
      </c>
      <c r="C410" s="8">
        <v>46206</v>
      </c>
      <c r="D410" s="6">
        <v>46204</v>
      </c>
      <c r="E410" s="2" t="s">
        <v>260</v>
      </c>
      <c r="F410" s="2" t="s">
        <v>1259</v>
      </c>
      <c r="G410" s="6">
        <v>46174</v>
      </c>
      <c r="H410" s="2" t="s">
        <v>71</v>
      </c>
      <c r="I410" s="2" t="s">
        <v>70</v>
      </c>
      <c r="J410" s="9">
        <v>11893.007519000001</v>
      </c>
      <c r="K410" s="7">
        <v>0.65800000000000003</v>
      </c>
      <c r="L410" s="9">
        <v>7825.6</v>
      </c>
      <c r="M410" s="9">
        <v>7908.85</v>
      </c>
      <c r="N410" s="9">
        <v>4.3</v>
      </c>
      <c r="O410" s="10">
        <f>IF(AND(OR(H410="APPROVED",H410="SCHEDULED"),COUNTIFS(tblSource[EventID],F410,tblSource[ReleaseStatus],"APPROVED")=1,COUNTIFS(Period_Status!$A$2:$A$8,G410,Period_Status!$B$2:$B$8,"ActualClosed")=1,C410&gt;EOMONTH(Settlement_Bridge!$C$2,0)),1,0)</f>
        <v>0</v>
      </c>
      <c r="P410" s="2" t="s">
        <v>1260</v>
      </c>
    </row>
    <row r="411" spans="1:16" x14ac:dyDescent="0.25">
      <c r="A411" s="2" t="s">
        <v>1261</v>
      </c>
      <c r="B411" s="2" t="s">
        <v>136</v>
      </c>
      <c r="C411" s="8">
        <v>46207</v>
      </c>
      <c r="D411" s="6">
        <v>46204</v>
      </c>
      <c r="E411" s="2" t="s">
        <v>260</v>
      </c>
      <c r="F411" s="2" t="s">
        <v>1262</v>
      </c>
      <c r="G411" s="6">
        <v>46174</v>
      </c>
      <c r="H411" s="2" t="s">
        <v>71</v>
      </c>
      <c r="I411" s="2" t="s">
        <v>39</v>
      </c>
      <c r="J411" s="9">
        <v>8081.86</v>
      </c>
      <c r="K411" s="7">
        <v>1</v>
      </c>
      <c r="L411" s="9">
        <v>8081.86</v>
      </c>
      <c r="M411" s="9">
        <v>8081.86</v>
      </c>
      <c r="N411" s="9">
        <v>4.45</v>
      </c>
      <c r="O411" s="10">
        <f>IF(AND(OR(H411="APPROVED",H411="SCHEDULED"),COUNTIFS(tblSource[EventID],F411,tblSource[ReleaseStatus],"APPROVED")=1,COUNTIFS(Period_Status!$A$2:$A$8,G411,Period_Status!$B$2:$B$8,"ActualClosed")=1,C411&gt;EOMONTH(Settlement_Bridge!$C$2,0)),1,0)</f>
        <v>0</v>
      </c>
      <c r="P411" s="2" t="s">
        <v>1263</v>
      </c>
    </row>
    <row r="412" spans="1:16" x14ac:dyDescent="0.25">
      <c r="A412" s="2" t="s">
        <v>1264</v>
      </c>
      <c r="B412" s="2" t="s">
        <v>136</v>
      </c>
      <c r="C412" s="8">
        <v>46208</v>
      </c>
      <c r="D412" s="6">
        <v>46204</v>
      </c>
      <c r="E412" s="2" t="s">
        <v>260</v>
      </c>
      <c r="F412" s="2" t="s">
        <v>1265</v>
      </c>
      <c r="G412" s="6">
        <v>46174</v>
      </c>
      <c r="H412" s="2" t="s">
        <v>71</v>
      </c>
      <c r="I412" s="2" t="s">
        <v>76</v>
      </c>
      <c r="J412" s="9">
        <v>132077920</v>
      </c>
      <c r="K412" s="7">
        <v>6.2000000000000003E-5</v>
      </c>
      <c r="L412" s="9">
        <v>8188.83</v>
      </c>
      <c r="M412" s="9">
        <v>8254.8700000000008</v>
      </c>
      <c r="N412" s="9">
        <v>4.5</v>
      </c>
      <c r="O412" s="10">
        <f>IF(AND(OR(H412="APPROVED",H412="SCHEDULED"),COUNTIFS(tblSource[EventID],F412,tblSource[ReleaseStatus],"APPROVED")=1,COUNTIFS(Period_Status!$A$2:$A$8,G412,Period_Status!$B$2:$B$8,"ActualClosed")=1,C412&gt;EOMONTH(Settlement_Bridge!$C$2,0)),1,0)</f>
        <v>0</v>
      </c>
      <c r="P412" s="2" t="s">
        <v>1266</v>
      </c>
    </row>
    <row r="413" spans="1:16" x14ac:dyDescent="0.25">
      <c r="A413" s="2" t="s">
        <v>1267</v>
      </c>
      <c r="B413" s="2" t="s">
        <v>136</v>
      </c>
      <c r="C413" s="8">
        <v>46209</v>
      </c>
      <c r="D413" s="6">
        <v>46204</v>
      </c>
      <c r="E413" s="2" t="s">
        <v>260</v>
      </c>
      <c r="F413" s="2" t="s">
        <v>1268</v>
      </c>
      <c r="G413" s="6">
        <v>46174</v>
      </c>
      <c r="H413" s="2" t="s">
        <v>71</v>
      </c>
      <c r="I413" s="2" t="s">
        <v>70</v>
      </c>
      <c r="J413" s="9">
        <v>12673.503758999999</v>
      </c>
      <c r="K413" s="7">
        <v>0.65800000000000003</v>
      </c>
      <c r="L413" s="9">
        <v>8339.17</v>
      </c>
      <c r="M413" s="9">
        <v>8427.8799999999992</v>
      </c>
      <c r="N413" s="9">
        <v>4.59</v>
      </c>
      <c r="O413" s="10">
        <f>IF(AND(OR(H413="APPROVED",H413="SCHEDULED"),COUNTIFS(tblSource[EventID],F413,tblSource[ReleaseStatus],"APPROVED")=1,COUNTIFS(Period_Status!$A$2:$A$8,G413,Period_Status!$B$2:$B$8,"ActualClosed")=1,C413&gt;EOMONTH(Settlement_Bridge!$C$2,0)),1,0)</f>
        <v>0</v>
      </c>
      <c r="P413" s="2" t="s">
        <v>1269</v>
      </c>
    </row>
    <row r="414" spans="1:16" x14ac:dyDescent="0.25">
      <c r="A414" s="2" t="s">
        <v>1270</v>
      </c>
      <c r="B414" s="2" t="s">
        <v>136</v>
      </c>
      <c r="C414" s="8">
        <v>46210</v>
      </c>
      <c r="D414" s="6">
        <v>46204</v>
      </c>
      <c r="E414" s="2" t="s">
        <v>260</v>
      </c>
      <c r="F414" s="2" t="s">
        <v>1271</v>
      </c>
      <c r="G414" s="6">
        <v>46174</v>
      </c>
      <c r="H414" s="2" t="s">
        <v>71</v>
      </c>
      <c r="I414" s="2" t="s">
        <v>39</v>
      </c>
      <c r="J414" s="9">
        <v>8600.89</v>
      </c>
      <c r="K414" s="7">
        <v>1</v>
      </c>
      <c r="L414" s="9">
        <v>8600.89</v>
      </c>
      <c r="M414" s="9">
        <v>8600.89</v>
      </c>
      <c r="N414" s="9">
        <v>4.7300000000000004</v>
      </c>
      <c r="O414" s="10">
        <f>IF(AND(OR(H414="APPROVED",H414="SCHEDULED"),COUNTIFS(tblSource[EventID],F414,tblSource[ReleaseStatus],"APPROVED")=1,COUNTIFS(Period_Status!$A$2:$A$8,G414,Period_Status!$B$2:$B$8,"ActualClosed")=1,C414&gt;EOMONTH(Settlement_Bridge!$C$2,0)),1,0)</f>
        <v>0</v>
      </c>
      <c r="P414" s="2" t="s">
        <v>1272</v>
      </c>
    </row>
    <row r="415" spans="1:16" x14ac:dyDescent="0.25">
      <c r="A415" s="2" t="s">
        <v>1273</v>
      </c>
      <c r="B415" s="2" t="s">
        <v>136</v>
      </c>
      <c r="C415" s="8">
        <v>46201</v>
      </c>
      <c r="D415" s="6">
        <v>46174</v>
      </c>
      <c r="E415" s="2" t="s">
        <v>260</v>
      </c>
      <c r="F415" s="2" t="s">
        <v>1274</v>
      </c>
      <c r="G415" s="6">
        <v>46174</v>
      </c>
      <c r="H415" s="2" t="s">
        <v>71</v>
      </c>
      <c r="I415" s="2" t="s">
        <v>76</v>
      </c>
      <c r="J415" s="9">
        <v>56152960</v>
      </c>
      <c r="K415" s="7">
        <v>6.2500000000000001E-5</v>
      </c>
      <c r="L415" s="9">
        <v>3509.56</v>
      </c>
      <c r="M415" s="9">
        <v>3509.56</v>
      </c>
      <c r="N415" s="9">
        <v>1.93</v>
      </c>
      <c r="O415" s="10">
        <f>IF(AND(OR(H415="APPROVED",H415="SCHEDULED"),COUNTIFS(tblSource[EventID],F415,tblSource[ReleaseStatus],"APPROVED")=1,COUNTIFS(Period_Status!$A$2:$A$8,G415,Period_Status!$B$2:$B$8,"ActualClosed")=1,C415&gt;EOMONTH(Settlement_Bridge!$C$2,0)),1,0)</f>
        <v>0</v>
      </c>
      <c r="P415" s="2" t="s">
        <v>1275</v>
      </c>
    </row>
    <row r="416" spans="1:16" x14ac:dyDescent="0.25">
      <c r="A416" s="2" t="s">
        <v>1276</v>
      </c>
      <c r="B416" s="2" t="s">
        <v>136</v>
      </c>
      <c r="C416" s="8">
        <v>46226</v>
      </c>
      <c r="D416" s="6">
        <v>46204</v>
      </c>
      <c r="E416" s="2" t="s">
        <v>260</v>
      </c>
      <c r="F416" s="2" t="s">
        <v>1274</v>
      </c>
      <c r="G416" s="6">
        <v>46174</v>
      </c>
      <c r="H416" s="2" t="s">
        <v>71</v>
      </c>
      <c r="I416" s="2" t="s">
        <v>76</v>
      </c>
      <c r="J416" s="9">
        <v>84229440</v>
      </c>
      <c r="K416" s="7">
        <v>6.2000000000000003E-5</v>
      </c>
      <c r="L416" s="9">
        <v>5222.2299999999996</v>
      </c>
      <c r="M416" s="9">
        <v>5264.34</v>
      </c>
      <c r="N416" s="9">
        <v>2.87</v>
      </c>
      <c r="O416" s="10">
        <f>IF(AND(OR(H416="APPROVED",H416="SCHEDULED"),COUNTIFS(tblSource[EventID],F416,tblSource[ReleaseStatus],"APPROVED")=1,COUNTIFS(Period_Status!$A$2:$A$8,G416,Period_Status!$B$2:$B$8,"ActualClosed")=1,C416&gt;EOMONTH(Settlement_Bridge!$C$2,0)),1,0)</f>
        <v>0</v>
      </c>
      <c r="P416" s="2" t="s">
        <v>1277</v>
      </c>
    </row>
    <row r="417" spans="1:16" x14ac:dyDescent="0.25">
      <c r="A417" s="2" t="s">
        <v>1278</v>
      </c>
      <c r="B417" s="2" t="s">
        <v>136</v>
      </c>
      <c r="C417" s="8">
        <v>46202</v>
      </c>
      <c r="D417" s="6">
        <v>46174</v>
      </c>
      <c r="E417" s="2" t="s">
        <v>260</v>
      </c>
      <c r="F417" s="2" t="s">
        <v>1279</v>
      </c>
      <c r="G417" s="6">
        <v>46174</v>
      </c>
      <c r="H417" s="2" t="s">
        <v>71</v>
      </c>
      <c r="I417" s="2" t="s">
        <v>70</v>
      </c>
      <c r="J417" s="9">
        <v>5381.6</v>
      </c>
      <c r="K417" s="7">
        <v>0.66500000000000004</v>
      </c>
      <c r="L417" s="9">
        <v>3578.76</v>
      </c>
      <c r="M417" s="9">
        <v>3578.76</v>
      </c>
      <c r="N417" s="9">
        <v>1.97</v>
      </c>
      <c r="O417" s="10">
        <f>IF(AND(OR(H417="APPROVED",H417="SCHEDULED"),COUNTIFS(tblSource[EventID],F417,tblSource[ReleaseStatus],"APPROVED")=1,COUNTIFS(Period_Status!$A$2:$A$8,G417,Period_Status!$B$2:$B$8,"ActualClosed")=1,C417&gt;EOMONTH(Settlement_Bridge!$C$2,0)),1,0)</f>
        <v>0</v>
      </c>
      <c r="P417" s="2" t="s">
        <v>1280</v>
      </c>
    </row>
    <row r="418" spans="1:16" x14ac:dyDescent="0.25">
      <c r="A418" s="2" t="s">
        <v>1281</v>
      </c>
      <c r="B418" s="2" t="s">
        <v>136</v>
      </c>
      <c r="C418" s="8">
        <v>46227</v>
      </c>
      <c r="D418" s="6">
        <v>46204</v>
      </c>
      <c r="E418" s="2" t="s">
        <v>260</v>
      </c>
      <c r="F418" s="2" t="s">
        <v>1279</v>
      </c>
      <c r="G418" s="6">
        <v>46174</v>
      </c>
      <c r="H418" s="2" t="s">
        <v>71</v>
      </c>
      <c r="I418" s="2" t="s">
        <v>70</v>
      </c>
      <c r="J418" s="9">
        <v>8072.4</v>
      </c>
      <c r="K418" s="7">
        <v>0.65800000000000003</v>
      </c>
      <c r="L418" s="9">
        <v>5311.64</v>
      </c>
      <c r="M418" s="9">
        <v>5368.15</v>
      </c>
      <c r="N418" s="9">
        <v>2.92</v>
      </c>
      <c r="O418" s="10">
        <f>IF(AND(OR(H418="APPROVED",H418="SCHEDULED"),COUNTIFS(tblSource[EventID],F418,tblSource[ReleaseStatus],"APPROVED")=1,COUNTIFS(Period_Status!$A$2:$A$8,G418,Period_Status!$B$2:$B$8,"ActualClosed")=1,C418&gt;EOMONTH(Settlement_Bridge!$C$2,0)),1,0)</f>
        <v>0</v>
      </c>
      <c r="P418" s="2" t="s">
        <v>1282</v>
      </c>
    </row>
    <row r="419" spans="1:16" x14ac:dyDescent="0.25">
      <c r="A419" s="2" t="s">
        <v>1283</v>
      </c>
      <c r="B419" s="2" t="s">
        <v>136</v>
      </c>
      <c r="C419" s="8">
        <v>46213</v>
      </c>
      <c r="D419" s="6">
        <v>46204</v>
      </c>
      <c r="E419" s="2" t="s">
        <v>260</v>
      </c>
      <c r="F419" s="2" t="s">
        <v>1284</v>
      </c>
      <c r="G419" s="6">
        <v>46174</v>
      </c>
      <c r="H419" s="2" t="s">
        <v>71</v>
      </c>
      <c r="I419" s="2" t="s">
        <v>39</v>
      </c>
      <c r="J419" s="9">
        <v>9119.92</v>
      </c>
      <c r="K419" s="7">
        <v>1</v>
      </c>
      <c r="L419" s="9">
        <v>9119.92</v>
      </c>
      <c r="M419" s="9">
        <v>9119.92</v>
      </c>
      <c r="N419" s="9">
        <v>5.0199999999999996</v>
      </c>
      <c r="O419" s="10">
        <f>IF(AND(OR(H419="APPROVED",H419="SCHEDULED"),COUNTIFS(tblSource[EventID],F419,tblSource[ReleaseStatus],"APPROVED")=1,COUNTIFS(Period_Status!$A$2:$A$8,G419,Period_Status!$B$2:$B$8,"ActualClosed")=1,C419&gt;EOMONTH(Settlement_Bridge!$C$2,0)),1,0)</f>
        <v>0</v>
      </c>
      <c r="P419" s="2" t="s">
        <v>1285</v>
      </c>
    </row>
    <row r="420" spans="1:16" x14ac:dyDescent="0.25">
      <c r="A420" s="2" t="s">
        <v>1286</v>
      </c>
      <c r="B420" s="2" t="s">
        <v>136</v>
      </c>
      <c r="C420" s="8">
        <v>46214</v>
      </c>
      <c r="D420" s="6">
        <v>46204</v>
      </c>
      <c r="E420" s="2" t="s">
        <v>260</v>
      </c>
      <c r="F420" s="2" t="s">
        <v>1287</v>
      </c>
      <c r="G420" s="6">
        <v>46174</v>
      </c>
      <c r="H420" s="2" t="s">
        <v>71</v>
      </c>
      <c r="I420" s="2" t="s">
        <v>76</v>
      </c>
      <c r="J420" s="9">
        <v>-148686880</v>
      </c>
      <c r="K420" s="7">
        <v>6.2000000000000003E-5</v>
      </c>
      <c r="L420" s="9">
        <v>-9218.59</v>
      </c>
      <c r="M420" s="9">
        <v>-9292.93</v>
      </c>
      <c r="N420" s="9">
        <v>0</v>
      </c>
      <c r="O420" s="10">
        <f>IF(AND(OR(H420="APPROVED",H420="SCHEDULED"),COUNTIFS(tblSource[EventID],F420,tblSource[ReleaseStatus],"APPROVED")=1,COUNTIFS(Period_Status!$A$2:$A$8,G420,Period_Status!$B$2:$B$8,"ActualClosed")=1,C420&gt;EOMONTH(Settlement_Bridge!$C$2,0)),1,0)</f>
        <v>0</v>
      </c>
      <c r="P420" s="2" t="s">
        <v>1288</v>
      </c>
    </row>
    <row r="421" spans="1:16" x14ac:dyDescent="0.25">
      <c r="A421" s="2" t="s">
        <v>1289</v>
      </c>
      <c r="B421" s="2" t="s">
        <v>136</v>
      </c>
      <c r="C421" s="8">
        <v>46205</v>
      </c>
      <c r="D421" s="6">
        <v>46204</v>
      </c>
      <c r="E421" s="2" t="s">
        <v>260</v>
      </c>
      <c r="F421" s="2" t="s">
        <v>1290</v>
      </c>
      <c r="G421" s="6">
        <v>46174</v>
      </c>
      <c r="H421" s="2" t="s">
        <v>71</v>
      </c>
      <c r="I421" s="2" t="s">
        <v>70</v>
      </c>
      <c r="J421" s="9">
        <v>5693.7984960000003</v>
      </c>
      <c r="K421" s="7">
        <v>0.65800000000000003</v>
      </c>
      <c r="L421" s="9">
        <v>3746.52</v>
      </c>
      <c r="M421" s="9">
        <v>3786.38</v>
      </c>
      <c r="N421" s="9">
        <v>2.06</v>
      </c>
      <c r="O421" s="10">
        <f>IF(AND(OR(H421="APPROVED",H421="SCHEDULED"),COUNTIFS(tblSource[EventID],F421,tblSource[ReleaseStatus],"APPROVED")=1,COUNTIFS(Period_Status!$A$2:$A$8,G421,Period_Status!$B$2:$B$8,"ActualClosed")=1,C421&gt;EOMONTH(Settlement_Bridge!$C$2,0)),1,0)</f>
        <v>0</v>
      </c>
      <c r="P421" s="2" t="s">
        <v>1291</v>
      </c>
    </row>
    <row r="422" spans="1:16" x14ac:dyDescent="0.25">
      <c r="A422" s="2" t="s">
        <v>1292</v>
      </c>
      <c r="B422" s="2" t="s">
        <v>136</v>
      </c>
      <c r="C422" s="8">
        <v>46230</v>
      </c>
      <c r="D422" s="6">
        <v>46204</v>
      </c>
      <c r="E422" s="2" t="s">
        <v>260</v>
      </c>
      <c r="F422" s="2" t="s">
        <v>1290</v>
      </c>
      <c r="G422" s="6">
        <v>46174</v>
      </c>
      <c r="H422" s="2" t="s">
        <v>71</v>
      </c>
      <c r="I422" s="2" t="s">
        <v>70</v>
      </c>
      <c r="J422" s="9">
        <v>8540.6977449999995</v>
      </c>
      <c r="K422" s="7">
        <v>0.65800000000000003</v>
      </c>
      <c r="L422" s="9">
        <v>5619.78</v>
      </c>
      <c r="M422" s="9">
        <v>5679.56</v>
      </c>
      <c r="N422" s="9">
        <v>3.09</v>
      </c>
      <c r="O422" s="10">
        <f>IF(AND(OR(H422="APPROVED",H422="SCHEDULED"),COUNTIFS(tblSource[EventID],F422,tblSource[ReleaseStatus],"APPROVED")=1,COUNTIFS(Period_Status!$A$2:$A$8,G422,Period_Status!$B$2:$B$8,"ActualClosed")=1,C422&gt;EOMONTH(Settlement_Bridge!$C$2,0)),1,0)</f>
        <v>0</v>
      </c>
      <c r="P422" s="2" t="s">
        <v>1293</v>
      </c>
    </row>
    <row r="423" spans="1:16" x14ac:dyDescent="0.25">
      <c r="A423" s="2" t="s">
        <v>1294</v>
      </c>
      <c r="B423" s="2" t="s">
        <v>136</v>
      </c>
      <c r="C423" s="8">
        <v>46216</v>
      </c>
      <c r="D423" s="6">
        <v>46204</v>
      </c>
      <c r="E423" s="2" t="s">
        <v>260</v>
      </c>
      <c r="F423" s="2" t="s">
        <v>1295</v>
      </c>
      <c r="G423" s="6">
        <v>46174</v>
      </c>
      <c r="H423" s="2" t="s">
        <v>71</v>
      </c>
      <c r="I423" s="2" t="s">
        <v>39</v>
      </c>
      <c r="J423" s="9">
        <v>9638.9500000000007</v>
      </c>
      <c r="K423" s="7">
        <v>1</v>
      </c>
      <c r="L423" s="9">
        <v>9638.9500000000007</v>
      </c>
      <c r="M423" s="9">
        <v>9638.9500000000007</v>
      </c>
      <c r="N423" s="9">
        <v>5.3</v>
      </c>
      <c r="O423" s="10">
        <f>IF(AND(OR(H423="APPROVED",H423="SCHEDULED"),COUNTIFS(tblSource[EventID],F423,tblSource[ReleaseStatus],"APPROVED")=1,COUNTIFS(Period_Status!$A$2:$A$8,G423,Period_Status!$B$2:$B$8,"ActualClosed")=1,C423&gt;EOMONTH(Settlement_Bridge!$C$2,0)),1,0)</f>
        <v>0</v>
      </c>
      <c r="P423" s="2" t="s">
        <v>1296</v>
      </c>
    </row>
    <row r="424" spans="1:16" x14ac:dyDescent="0.25">
      <c r="A424" s="2" t="s">
        <v>1297</v>
      </c>
      <c r="B424" s="2" t="s">
        <v>136</v>
      </c>
      <c r="C424" s="8">
        <v>46217</v>
      </c>
      <c r="D424" s="6">
        <v>46204</v>
      </c>
      <c r="E424" s="2" t="s">
        <v>260</v>
      </c>
      <c r="F424" s="2" t="s">
        <v>1298</v>
      </c>
      <c r="G424" s="6">
        <v>46174</v>
      </c>
      <c r="H424" s="2" t="s">
        <v>71</v>
      </c>
      <c r="I424" s="2" t="s">
        <v>76</v>
      </c>
      <c r="J424" s="9">
        <v>156991360</v>
      </c>
      <c r="K424" s="7">
        <v>6.2000000000000003E-5</v>
      </c>
      <c r="L424" s="9">
        <v>9733.4599999999991</v>
      </c>
      <c r="M424" s="9">
        <v>9811.9599999999991</v>
      </c>
      <c r="N424" s="9">
        <v>5.35</v>
      </c>
      <c r="O424" s="10">
        <f>IF(AND(OR(H424="APPROVED",H424="SCHEDULED"),COUNTIFS(tblSource[EventID],F424,tblSource[ReleaseStatus],"APPROVED")=1,COUNTIFS(Period_Status!$A$2:$A$8,G424,Period_Status!$B$2:$B$8,"ActualClosed")=1,C424&gt;EOMONTH(Settlement_Bridge!$C$2,0)),1,0)</f>
        <v>0</v>
      </c>
      <c r="P424" s="2" t="s">
        <v>1299</v>
      </c>
    </row>
    <row r="425" spans="1:16" x14ac:dyDescent="0.25">
      <c r="A425" s="2" t="s">
        <v>1300</v>
      </c>
      <c r="B425" s="2" t="s">
        <v>136</v>
      </c>
      <c r="C425" s="8">
        <v>46218</v>
      </c>
      <c r="D425" s="6">
        <v>46204</v>
      </c>
      <c r="E425" s="2" t="s">
        <v>260</v>
      </c>
      <c r="F425" s="2" t="s">
        <v>1301</v>
      </c>
      <c r="G425" s="6">
        <v>46174</v>
      </c>
      <c r="H425" s="2" t="s">
        <v>71</v>
      </c>
      <c r="I425" s="2" t="s">
        <v>70</v>
      </c>
      <c r="J425" s="9">
        <v>15013.533835</v>
      </c>
      <c r="K425" s="7">
        <v>0.65800000000000003</v>
      </c>
      <c r="L425" s="9">
        <v>9878.91</v>
      </c>
      <c r="M425" s="9">
        <v>9984</v>
      </c>
      <c r="N425" s="9">
        <v>5.43</v>
      </c>
      <c r="O425" s="10">
        <f>IF(AND(OR(H425="APPROVED",H425="SCHEDULED"),COUNTIFS(tblSource[EventID],F425,tblSource[ReleaseStatus],"APPROVED")=1,COUNTIFS(Period_Status!$A$2:$A$8,G425,Period_Status!$B$2:$B$8,"ActualClosed")=1,C425&gt;EOMONTH(Settlement_Bridge!$C$2,0)),1,0)</f>
        <v>0</v>
      </c>
      <c r="P425" s="2" t="s">
        <v>1302</v>
      </c>
    </row>
    <row r="426" spans="1:16" x14ac:dyDescent="0.25">
      <c r="A426" s="2" t="s">
        <v>1303</v>
      </c>
      <c r="B426" s="2" t="s">
        <v>136</v>
      </c>
      <c r="C426" s="8">
        <v>46219</v>
      </c>
      <c r="D426" s="6">
        <v>46204</v>
      </c>
      <c r="E426" s="2" t="s">
        <v>260</v>
      </c>
      <c r="F426" s="2" t="s">
        <v>1304</v>
      </c>
      <c r="G426" s="6">
        <v>46174</v>
      </c>
      <c r="H426" s="2" t="s">
        <v>71</v>
      </c>
      <c r="I426" s="2" t="s">
        <v>39</v>
      </c>
      <c r="J426" s="9">
        <v>10157.01</v>
      </c>
      <c r="K426" s="7">
        <v>1</v>
      </c>
      <c r="L426" s="9">
        <v>10157.01</v>
      </c>
      <c r="M426" s="9">
        <v>10157.01</v>
      </c>
      <c r="N426" s="9">
        <v>5.59</v>
      </c>
      <c r="O426" s="10">
        <f>IF(AND(OR(H426="APPROVED",H426="SCHEDULED"),COUNTIFS(tblSource[EventID],F426,tblSource[ReleaseStatus],"APPROVED")=1,COUNTIFS(Period_Status!$A$2:$A$8,G426,Period_Status!$B$2:$B$8,"ActualClosed")=1,C426&gt;EOMONTH(Settlement_Bridge!$C$2,0)),1,0)</f>
        <v>0</v>
      </c>
      <c r="P426" s="2" t="s">
        <v>1305</v>
      </c>
    </row>
    <row r="427" spans="1:16" x14ac:dyDescent="0.25">
      <c r="A427" s="2" t="s">
        <v>1306</v>
      </c>
      <c r="B427" s="2" t="s">
        <v>136</v>
      </c>
      <c r="C427" s="8">
        <v>46220</v>
      </c>
      <c r="D427" s="6">
        <v>46204</v>
      </c>
      <c r="E427" s="2" t="s">
        <v>260</v>
      </c>
      <c r="F427" s="2" t="s">
        <v>1307</v>
      </c>
      <c r="G427" s="6">
        <v>46174</v>
      </c>
      <c r="H427" s="2" t="s">
        <v>71</v>
      </c>
      <c r="I427" s="2" t="s">
        <v>76</v>
      </c>
      <c r="J427" s="9">
        <v>165280320</v>
      </c>
      <c r="K427" s="7">
        <v>6.2000000000000003E-5</v>
      </c>
      <c r="L427" s="9">
        <v>10247.379999999999</v>
      </c>
      <c r="M427" s="9">
        <v>10330.02</v>
      </c>
      <c r="N427" s="9">
        <v>5.64</v>
      </c>
      <c r="O427" s="10">
        <f>IF(AND(OR(H427="APPROVED",H427="SCHEDULED"),COUNTIFS(tblSource[EventID],F427,tblSource[ReleaseStatus],"APPROVED")=1,COUNTIFS(Period_Status!$A$2:$A$8,G427,Period_Status!$B$2:$B$8,"ActualClosed")=1,C427&gt;EOMONTH(Settlement_Bridge!$C$2,0)),1,0)</f>
        <v>0</v>
      </c>
      <c r="P427" s="2" t="s">
        <v>1308</v>
      </c>
    </row>
    <row r="428" spans="1:16" x14ac:dyDescent="0.25">
      <c r="A428" s="2" t="s">
        <v>1309</v>
      </c>
      <c r="B428" s="2" t="s">
        <v>136</v>
      </c>
      <c r="C428" s="8">
        <v>46211</v>
      </c>
      <c r="D428" s="6">
        <v>46204</v>
      </c>
      <c r="E428" s="2" t="s">
        <v>260</v>
      </c>
      <c r="F428" s="2" t="s">
        <v>1310</v>
      </c>
      <c r="G428" s="6">
        <v>46174</v>
      </c>
      <c r="H428" s="2" t="s">
        <v>71</v>
      </c>
      <c r="I428" s="2" t="s">
        <v>70</v>
      </c>
      <c r="J428" s="9">
        <v>6317.6120300000002</v>
      </c>
      <c r="K428" s="7">
        <v>0.65800000000000003</v>
      </c>
      <c r="L428" s="9">
        <v>4156.99</v>
      </c>
      <c r="M428" s="9">
        <v>4201.21</v>
      </c>
      <c r="N428" s="9">
        <v>2.29</v>
      </c>
      <c r="O428" s="10">
        <f>IF(AND(OR(H428="APPROVED",H428="SCHEDULED"),COUNTIFS(tblSource[EventID],F428,tblSource[ReleaseStatus],"APPROVED")=1,COUNTIFS(Period_Status!$A$2:$A$8,G428,Period_Status!$B$2:$B$8,"ActualClosed")=1,C428&gt;EOMONTH(Settlement_Bridge!$C$2,0)),1,0)</f>
        <v>0</v>
      </c>
      <c r="P428" s="2" t="s">
        <v>1311</v>
      </c>
    </row>
    <row r="429" spans="1:16" x14ac:dyDescent="0.25">
      <c r="A429" s="2" t="s">
        <v>1312</v>
      </c>
      <c r="B429" s="2" t="s">
        <v>136</v>
      </c>
      <c r="C429" s="8">
        <v>46236</v>
      </c>
      <c r="D429" s="6">
        <v>46235</v>
      </c>
      <c r="E429" s="2" t="s">
        <v>260</v>
      </c>
      <c r="F429" s="2" t="s">
        <v>1310</v>
      </c>
      <c r="G429" s="6">
        <v>46174</v>
      </c>
      <c r="H429" s="2" t="s">
        <v>71</v>
      </c>
      <c r="I429" s="2" t="s">
        <v>70</v>
      </c>
      <c r="J429" s="9">
        <v>9476.4180450000003</v>
      </c>
      <c r="K429" s="7">
        <v>0.65</v>
      </c>
      <c r="L429" s="9">
        <v>6159.67</v>
      </c>
      <c r="M429" s="9">
        <v>6301.82</v>
      </c>
      <c r="N429" s="9">
        <v>3.39</v>
      </c>
      <c r="O429" s="10">
        <f>IF(AND(OR(H429="APPROVED",H429="SCHEDULED"),COUNTIFS(tblSource[EventID],F429,tblSource[ReleaseStatus],"APPROVED")=1,COUNTIFS(Period_Status!$A$2:$A$8,G429,Period_Status!$B$2:$B$8,"ActualClosed")=1,C429&gt;EOMONTH(Settlement_Bridge!$C$2,0)),1,0)</f>
        <v>1</v>
      </c>
      <c r="P429" s="2" t="s">
        <v>1313</v>
      </c>
    </row>
    <row r="430" spans="1:16" x14ac:dyDescent="0.25">
      <c r="A430" s="2" t="s">
        <v>1314</v>
      </c>
      <c r="B430" s="2" t="s">
        <v>136</v>
      </c>
      <c r="C430" s="8">
        <v>46212</v>
      </c>
      <c r="D430" s="6">
        <v>46204</v>
      </c>
      <c r="E430" s="2" t="s">
        <v>260</v>
      </c>
      <c r="F430" s="2" t="s">
        <v>1315</v>
      </c>
      <c r="G430" s="6">
        <v>46174</v>
      </c>
      <c r="H430" s="2" t="s">
        <v>71</v>
      </c>
      <c r="I430" s="2" t="s">
        <v>39</v>
      </c>
      <c r="J430" s="9">
        <v>4270.4160000000002</v>
      </c>
      <c r="K430" s="7">
        <v>1</v>
      </c>
      <c r="L430" s="9">
        <v>4270.42</v>
      </c>
      <c r="M430" s="9">
        <v>4270.42</v>
      </c>
      <c r="N430" s="9">
        <v>2.35</v>
      </c>
      <c r="O430" s="10">
        <f>IF(AND(OR(H430="APPROVED",H430="SCHEDULED"),COUNTIFS(tblSource[EventID],F430,tblSource[ReleaseStatus],"APPROVED")=1,COUNTIFS(Period_Status!$A$2:$A$8,G430,Period_Status!$B$2:$B$8,"ActualClosed")=1,C430&gt;EOMONTH(Settlement_Bridge!$C$2,0)),1,0)</f>
        <v>0</v>
      </c>
      <c r="P430" s="2" t="s">
        <v>1316</v>
      </c>
    </row>
    <row r="431" spans="1:16" x14ac:dyDescent="0.25">
      <c r="A431" s="2" t="s">
        <v>1317</v>
      </c>
      <c r="B431" s="2" t="s">
        <v>136</v>
      </c>
      <c r="C431" s="8">
        <v>46237</v>
      </c>
      <c r="D431" s="6">
        <v>46235</v>
      </c>
      <c r="E431" s="2" t="s">
        <v>260</v>
      </c>
      <c r="F431" s="2" t="s">
        <v>1315</v>
      </c>
      <c r="G431" s="6">
        <v>46174</v>
      </c>
      <c r="H431" s="2" t="s">
        <v>71</v>
      </c>
      <c r="I431" s="2" t="s">
        <v>39</v>
      </c>
      <c r="J431" s="9">
        <v>6405.6239999999998</v>
      </c>
      <c r="K431" s="7">
        <v>1</v>
      </c>
      <c r="L431" s="9">
        <v>6405.62</v>
      </c>
      <c r="M431" s="9">
        <v>6405.62</v>
      </c>
      <c r="N431" s="9">
        <v>3.52</v>
      </c>
      <c r="O431" s="10">
        <f>IF(AND(OR(H431="APPROVED",H431="SCHEDULED"),COUNTIFS(tblSource[EventID],F431,tblSource[ReleaseStatus],"APPROVED")=1,COUNTIFS(Period_Status!$A$2:$A$8,G431,Period_Status!$B$2:$B$8,"ActualClosed")=1,C431&gt;EOMONTH(Settlement_Bridge!$C$2,0)),1,0)</f>
        <v>1</v>
      </c>
      <c r="P431" s="2" t="s">
        <v>1318</v>
      </c>
    </row>
    <row r="432" spans="1:16" x14ac:dyDescent="0.25">
      <c r="A432" s="2" t="s">
        <v>1319</v>
      </c>
      <c r="B432" s="2" t="s">
        <v>136</v>
      </c>
      <c r="C432" s="8">
        <v>46223</v>
      </c>
      <c r="D432" s="6">
        <v>46204</v>
      </c>
      <c r="E432" s="2" t="s">
        <v>260</v>
      </c>
      <c r="F432" s="2" t="s">
        <v>1320</v>
      </c>
      <c r="G432" s="6">
        <v>46174</v>
      </c>
      <c r="H432" s="2" t="s">
        <v>71</v>
      </c>
      <c r="I432" s="2" t="s">
        <v>76</v>
      </c>
      <c r="J432" s="9">
        <v>173584800</v>
      </c>
      <c r="K432" s="7">
        <v>6.2000000000000003E-5</v>
      </c>
      <c r="L432" s="9">
        <v>10762.26</v>
      </c>
      <c r="M432" s="9">
        <v>10849.05</v>
      </c>
      <c r="N432" s="9">
        <v>5.92</v>
      </c>
      <c r="O432" s="10">
        <f>IF(AND(OR(H432="APPROVED",H432="SCHEDULED"),COUNTIFS(tblSource[EventID],F432,tblSource[ReleaseStatus],"APPROVED")=1,COUNTIFS(Period_Status!$A$2:$A$8,G432,Period_Status!$B$2:$B$8,"ActualClosed")=1,C432&gt;EOMONTH(Settlement_Bridge!$C$2,0)),1,0)</f>
        <v>0</v>
      </c>
      <c r="P432" s="2" t="s">
        <v>1321</v>
      </c>
    </row>
    <row r="433" spans="1:16" x14ac:dyDescent="0.25">
      <c r="A433" s="2" t="s">
        <v>1322</v>
      </c>
      <c r="B433" s="2" t="s">
        <v>136</v>
      </c>
      <c r="C433" s="8">
        <v>46224</v>
      </c>
      <c r="D433" s="6">
        <v>46204</v>
      </c>
      <c r="E433" s="2" t="s">
        <v>260</v>
      </c>
      <c r="F433" s="2" t="s">
        <v>1323</v>
      </c>
      <c r="G433" s="6">
        <v>46174</v>
      </c>
      <c r="H433" s="2" t="s">
        <v>71</v>
      </c>
      <c r="I433" s="2" t="s">
        <v>70</v>
      </c>
      <c r="J433" s="9">
        <v>16574.526315999999</v>
      </c>
      <c r="K433" s="7">
        <v>0.65800000000000003</v>
      </c>
      <c r="L433" s="9">
        <v>10906.04</v>
      </c>
      <c r="M433" s="9">
        <v>11022.06</v>
      </c>
      <c r="N433" s="9">
        <v>6</v>
      </c>
      <c r="O433" s="10">
        <f>IF(AND(OR(H433="APPROVED",H433="SCHEDULED"),COUNTIFS(tblSource[EventID],F433,tblSource[ReleaseStatus],"APPROVED")=1,COUNTIFS(Period_Status!$A$2:$A$8,G433,Period_Status!$B$2:$B$8,"ActualClosed")=1,C433&gt;EOMONTH(Settlement_Bridge!$C$2,0)),1,0)</f>
        <v>0</v>
      </c>
      <c r="P433" s="2" t="s">
        <v>1324</v>
      </c>
    </row>
    <row r="434" spans="1:16" x14ac:dyDescent="0.25">
      <c r="A434" s="2" t="s">
        <v>1325</v>
      </c>
      <c r="B434" s="2" t="s">
        <v>136</v>
      </c>
      <c r="C434" s="8">
        <v>46215</v>
      </c>
      <c r="D434" s="6">
        <v>46204</v>
      </c>
      <c r="E434" s="2" t="s">
        <v>260</v>
      </c>
      <c r="F434" s="2" t="s">
        <v>1326</v>
      </c>
      <c r="G434" s="6">
        <v>46174</v>
      </c>
      <c r="H434" s="2" t="s">
        <v>71</v>
      </c>
      <c r="I434" s="2" t="s">
        <v>39</v>
      </c>
      <c r="J434" s="9">
        <v>4478.0280000000002</v>
      </c>
      <c r="K434" s="7">
        <v>1</v>
      </c>
      <c r="L434" s="9">
        <v>4478.03</v>
      </c>
      <c r="M434" s="9">
        <v>4478.03</v>
      </c>
      <c r="N434" s="9">
        <v>2.46</v>
      </c>
      <c r="O434" s="10">
        <f>IF(AND(OR(H434="APPROVED",H434="SCHEDULED"),COUNTIFS(tblSource[EventID],F434,tblSource[ReleaseStatus],"APPROVED")=1,COUNTIFS(Period_Status!$A$2:$A$8,G434,Period_Status!$B$2:$B$8,"ActualClosed")=1,C434&gt;EOMONTH(Settlement_Bridge!$C$2,0)),1,0)</f>
        <v>0</v>
      </c>
      <c r="P434" s="2" t="s">
        <v>1327</v>
      </c>
    </row>
    <row r="435" spans="1:16" x14ac:dyDescent="0.25">
      <c r="A435" s="2" t="s">
        <v>1328</v>
      </c>
      <c r="B435" s="2" t="s">
        <v>136</v>
      </c>
      <c r="C435" s="8">
        <v>46240</v>
      </c>
      <c r="D435" s="6">
        <v>46235</v>
      </c>
      <c r="E435" s="2" t="s">
        <v>260</v>
      </c>
      <c r="F435" s="2" t="s">
        <v>1326</v>
      </c>
      <c r="G435" s="6">
        <v>46174</v>
      </c>
      <c r="H435" s="2" t="s">
        <v>71</v>
      </c>
      <c r="I435" s="2" t="s">
        <v>39</v>
      </c>
      <c r="J435" s="9">
        <v>6717.0420000000004</v>
      </c>
      <c r="K435" s="7">
        <v>1</v>
      </c>
      <c r="L435" s="9">
        <v>6717.04</v>
      </c>
      <c r="M435" s="9">
        <v>6717.04</v>
      </c>
      <c r="N435" s="9">
        <v>3.69</v>
      </c>
      <c r="O435" s="10">
        <f>IF(AND(OR(H435="APPROVED",H435="SCHEDULED"),COUNTIFS(tblSource[EventID],F435,tblSource[ReleaseStatus],"APPROVED")=1,COUNTIFS(Period_Status!$A$2:$A$8,G435,Period_Status!$B$2:$B$8,"ActualClosed")=1,C435&gt;EOMONTH(Settlement_Bridge!$C$2,0)),1,0)</f>
        <v>1</v>
      </c>
      <c r="P435" s="2" t="s">
        <v>1329</v>
      </c>
    </row>
    <row r="436" spans="1:16" x14ac:dyDescent="0.25">
      <c r="A436" s="2" t="s">
        <v>1330</v>
      </c>
      <c r="B436" s="2" t="s">
        <v>136</v>
      </c>
      <c r="C436" s="8">
        <v>46226</v>
      </c>
      <c r="D436" s="6">
        <v>46204</v>
      </c>
      <c r="E436" s="2" t="s">
        <v>260</v>
      </c>
      <c r="F436" s="2" t="s">
        <v>1331</v>
      </c>
      <c r="G436" s="6">
        <v>46174</v>
      </c>
      <c r="H436" s="2" t="s">
        <v>71</v>
      </c>
      <c r="I436" s="2" t="s">
        <v>76</v>
      </c>
      <c r="J436" s="9">
        <v>181889280</v>
      </c>
      <c r="K436" s="7">
        <v>6.2000000000000003E-5</v>
      </c>
      <c r="L436" s="9">
        <v>11277.14</v>
      </c>
      <c r="M436" s="9">
        <v>11368.08</v>
      </c>
      <c r="N436" s="9">
        <v>6.2</v>
      </c>
      <c r="O436" s="10">
        <f>IF(AND(OR(H436="APPROVED",H436="SCHEDULED"),COUNTIFS(tblSource[EventID],F436,tblSource[ReleaseStatus],"APPROVED")=1,COUNTIFS(Period_Status!$A$2:$A$8,G436,Period_Status!$B$2:$B$8,"ActualClosed")=1,C436&gt;EOMONTH(Settlement_Bridge!$C$2,0)),1,0)</f>
        <v>0</v>
      </c>
      <c r="P436" s="2" t="s">
        <v>1332</v>
      </c>
    </row>
    <row r="437" spans="1:16" x14ac:dyDescent="0.25">
      <c r="A437" s="2" t="s">
        <v>1333</v>
      </c>
      <c r="B437" s="2" t="s">
        <v>136</v>
      </c>
      <c r="C437" s="8">
        <v>46227</v>
      </c>
      <c r="D437" s="6">
        <v>46204</v>
      </c>
      <c r="E437" s="2" t="s">
        <v>260</v>
      </c>
      <c r="F437" s="2" t="s">
        <v>1334</v>
      </c>
      <c r="G437" s="6">
        <v>46174</v>
      </c>
      <c r="H437" s="2" t="s">
        <v>71</v>
      </c>
      <c r="I437" s="2" t="s">
        <v>70</v>
      </c>
      <c r="J437" s="9">
        <v>17355.022556</v>
      </c>
      <c r="K437" s="7">
        <v>0.65800000000000003</v>
      </c>
      <c r="L437" s="9">
        <v>11419.6</v>
      </c>
      <c r="M437" s="9">
        <v>11541.09</v>
      </c>
      <c r="N437" s="9">
        <v>6.28</v>
      </c>
      <c r="O437" s="10">
        <f>IF(AND(OR(H437="APPROVED",H437="SCHEDULED"),COUNTIFS(tblSource[EventID],F437,tblSource[ReleaseStatus],"APPROVED")=1,COUNTIFS(Period_Status!$A$2:$A$8,G437,Period_Status!$B$2:$B$8,"ActualClosed")=1,C437&gt;EOMONTH(Settlement_Bridge!$C$2,0)),1,0)</f>
        <v>0</v>
      </c>
      <c r="P437" s="2" t="s">
        <v>1335</v>
      </c>
    </row>
    <row r="438" spans="1:16" x14ac:dyDescent="0.25">
      <c r="A438" s="2" t="s">
        <v>1336</v>
      </c>
      <c r="B438" s="2" t="s">
        <v>136</v>
      </c>
      <c r="C438" s="8">
        <v>46198</v>
      </c>
      <c r="D438" s="6">
        <v>46174</v>
      </c>
      <c r="E438" s="2" t="s">
        <v>260</v>
      </c>
      <c r="F438" s="2" t="s">
        <v>1337</v>
      </c>
      <c r="G438" s="6">
        <v>46174</v>
      </c>
      <c r="H438" s="2" t="s">
        <v>71</v>
      </c>
      <c r="I438" s="2" t="s">
        <v>39</v>
      </c>
      <c r="J438" s="9">
        <v>11714.1</v>
      </c>
      <c r="K438" s="7">
        <v>1</v>
      </c>
      <c r="L438" s="9">
        <v>11714.1</v>
      </c>
      <c r="M438" s="9">
        <v>11714.1</v>
      </c>
      <c r="N438" s="9">
        <v>6.44</v>
      </c>
      <c r="O438" s="10">
        <f>IF(AND(OR(H438="APPROVED",H438="SCHEDULED"),COUNTIFS(tblSource[EventID],F438,tblSource[ReleaseStatus],"APPROVED")=1,COUNTIFS(Period_Status!$A$2:$A$8,G438,Period_Status!$B$2:$B$8,"ActualClosed")=1,C438&gt;EOMONTH(Settlement_Bridge!$C$2,0)),1,0)</f>
        <v>0</v>
      </c>
      <c r="P438" s="2" t="s">
        <v>1338</v>
      </c>
    </row>
    <row r="439" spans="1:16" x14ac:dyDescent="0.25">
      <c r="A439" s="2" t="s">
        <v>1339</v>
      </c>
      <c r="B439" s="2" t="s">
        <v>136</v>
      </c>
      <c r="C439" s="8">
        <v>46199</v>
      </c>
      <c r="D439" s="6">
        <v>46174</v>
      </c>
      <c r="E439" s="2" t="s">
        <v>260</v>
      </c>
      <c r="F439" s="2" t="s">
        <v>1340</v>
      </c>
      <c r="G439" s="6">
        <v>46174</v>
      </c>
      <c r="H439" s="2" t="s">
        <v>71</v>
      </c>
      <c r="I439" s="2" t="s">
        <v>76</v>
      </c>
      <c r="J439" s="9">
        <v>190193760</v>
      </c>
      <c r="K439" s="7">
        <v>6.2500000000000001E-5</v>
      </c>
      <c r="L439" s="9">
        <v>11887.11</v>
      </c>
      <c r="M439" s="9">
        <v>11887.11</v>
      </c>
      <c r="N439" s="9">
        <v>6.54</v>
      </c>
      <c r="O439" s="10">
        <f>IF(AND(OR(H439="APPROVED",H439="SCHEDULED"),COUNTIFS(tblSource[EventID],F439,tblSource[ReleaseStatus],"APPROVED")=1,COUNTIFS(Period_Status!$A$2:$A$8,G439,Period_Status!$B$2:$B$8,"ActualClosed")=1,C439&gt;EOMONTH(Settlement_Bridge!$C$2,0)),1,0)</f>
        <v>0</v>
      </c>
      <c r="P439" s="2" t="s">
        <v>1341</v>
      </c>
    </row>
    <row r="440" spans="1:16" x14ac:dyDescent="0.25">
      <c r="A440" s="2" t="s">
        <v>1342</v>
      </c>
      <c r="B440" s="2" t="s">
        <v>136</v>
      </c>
      <c r="C440" s="8">
        <v>46200</v>
      </c>
      <c r="D440" s="6">
        <v>46174</v>
      </c>
      <c r="E440" s="2" t="s">
        <v>260</v>
      </c>
      <c r="F440" s="2" t="s">
        <v>1343</v>
      </c>
      <c r="G440" s="6">
        <v>46174</v>
      </c>
      <c r="H440" s="2" t="s">
        <v>71</v>
      </c>
      <c r="I440" s="2" t="s">
        <v>70</v>
      </c>
      <c r="J440" s="9">
        <v>18135.518797000001</v>
      </c>
      <c r="K440" s="7">
        <v>0.66500000000000004</v>
      </c>
      <c r="L440" s="9">
        <v>12060.12</v>
      </c>
      <c r="M440" s="9">
        <v>12060.12</v>
      </c>
      <c r="N440" s="9">
        <v>6.63</v>
      </c>
      <c r="O440" s="10">
        <f>IF(AND(OR(H440="APPROVED",H440="SCHEDULED"),COUNTIFS(tblSource[EventID],F440,tblSource[ReleaseStatus],"APPROVED")=1,COUNTIFS(Period_Status!$A$2:$A$8,G440,Period_Status!$B$2:$B$8,"ActualClosed")=1,C440&gt;EOMONTH(Settlement_Bridge!$C$2,0)),1,0)</f>
        <v>0</v>
      </c>
      <c r="P440" s="2" t="s">
        <v>1344</v>
      </c>
    </row>
    <row r="441" spans="1:16" x14ac:dyDescent="0.25">
      <c r="A441" s="2" t="s">
        <v>1345</v>
      </c>
      <c r="B441" s="2" t="s">
        <v>136</v>
      </c>
      <c r="C441" s="8">
        <v>46191</v>
      </c>
      <c r="D441" s="6">
        <v>46174</v>
      </c>
      <c r="E441" s="2" t="s">
        <v>260</v>
      </c>
      <c r="F441" s="2" t="s">
        <v>1346</v>
      </c>
      <c r="G441" s="6">
        <v>46174</v>
      </c>
      <c r="H441" s="2" t="s">
        <v>71</v>
      </c>
      <c r="I441" s="2" t="s">
        <v>39</v>
      </c>
      <c r="J441" s="9">
        <v>4893.2520000000004</v>
      </c>
      <c r="K441" s="7">
        <v>1</v>
      </c>
      <c r="L441" s="9">
        <v>4893.25</v>
      </c>
      <c r="M441" s="9">
        <v>4893.25</v>
      </c>
      <c r="N441" s="9">
        <v>2.69</v>
      </c>
      <c r="O441" s="10">
        <f>IF(AND(OR(H441="APPROVED",H441="SCHEDULED"),COUNTIFS(tblSource[EventID],F441,tblSource[ReleaseStatus],"APPROVED")=1,COUNTIFS(Period_Status!$A$2:$A$8,G441,Period_Status!$B$2:$B$8,"ActualClosed")=1,C441&gt;EOMONTH(Settlement_Bridge!$C$2,0)),1,0)</f>
        <v>0</v>
      </c>
      <c r="P441" s="2" t="s">
        <v>1347</v>
      </c>
    </row>
    <row r="442" spans="1:16" x14ac:dyDescent="0.25">
      <c r="A442" s="2" t="s">
        <v>1348</v>
      </c>
      <c r="B442" s="2" t="s">
        <v>136</v>
      </c>
      <c r="C442" s="8">
        <v>46216</v>
      </c>
      <c r="D442" s="6">
        <v>46204</v>
      </c>
      <c r="E442" s="2" t="s">
        <v>260</v>
      </c>
      <c r="F442" s="2" t="s">
        <v>1346</v>
      </c>
      <c r="G442" s="6">
        <v>46174</v>
      </c>
      <c r="H442" s="2" t="s">
        <v>71</v>
      </c>
      <c r="I442" s="2" t="s">
        <v>39</v>
      </c>
      <c r="J442" s="9">
        <v>7339.8779999999997</v>
      </c>
      <c r="K442" s="7">
        <v>1</v>
      </c>
      <c r="L442" s="9">
        <v>7339.88</v>
      </c>
      <c r="M442" s="9">
        <v>7339.88</v>
      </c>
      <c r="N442" s="9">
        <v>4.04</v>
      </c>
      <c r="O442" s="10">
        <f>IF(AND(OR(H442="APPROVED",H442="SCHEDULED"),COUNTIFS(tblSource[EventID],F442,tblSource[ReleaseStatus],"APPROVED")=1,COUNTIFS(Period_Status!$A$2:$A$8,G442,Period_Status!$B$2:$B$8,"ActualClosed")=1,C442&gt;EOMONTH(Settlement_Bridge!$C$2,0)),1,0)</f>
        <v>0</v>
      </c>
      <c r="P442" s="2" t="s">
        <v>1349</v>
      </c>
    </row>
    <row r="443" spans="1:16" x14ac:dyDescent="0.25">
      <c r="A443" s="2" t="s">
        <v>1350</v>
      </c>
      <c r="B443" s="2" t="s">
        <v>136</v>
      </c>
      <c r="C443" s="8">
        <v>46192</v>
      </c>
      <c r="D443" s="6">
        <v>46174</v>
      </c>
      <c r="E443" s="2" t="s">
        <v>260</v>
      </c>
      <c r="F443" s="2" t="s">
        <v>1351</v>
      </c>
      <c r="G443" s="6">
        <v>46174</v>
      </c>
      <c r="H443" s="2" t="s">
        <v>71</v>
      </c>
      <c r="I443" s="2" t="s">
        <v>76</v>
      </c>
      <c r="J443" s="9">
        <v>79399296</v>
      </c>
      <c r="K443" s="7">
        <v>6.2500000000000001E-5</v>
      </c>
      <c r="L443" s="9">
        <v>4962.46</v>
      </c>
      <c r="M443" s="9">
        <v>4962.46</v>
      </c>
      <c r="N443" s="9">
        <v>2.73</v>
      </c>
      <c r="O443" s="10">
        <f>IF(AND(OR(H443="APPROVED",H443="SCHEDULED"),COUNTIFS(tblSource[EventID],F443,tblSource[ReleaseStatus],"APPROVED")=1,COUNTIFS(Period_Status!$A$2:$A$8,G443,Period_Status!$B$2:$B$8,"ActualClosed")=1,C443&gt;EOMONTH(Settlement_Bridge!$C$2,0)),1,0)</f>
        <v>0</v>
      </c>
      <c r="P443" s="2" t="s">
        <v>1352</v>
      </c>
    </row>
    <row r="444" spans="1:16" x14ac:dyDescent="0.25">
      <c r="A444" s="2" t="s">
        <v>1353</v>
      </c>
      <c r="B444" s="2" t="s">
        <v>136</v>
      </c>
      <c r="C444" s="8">
        <v>46217</v>
      </c>
      <c r="D444" s="6">
        <v>46204</v>
      </c>
      <c r="E444" s="2" t="s">
        <v>260</v>
      </c>
      <c r="F444" s="2" t="s">
        <v>1351</v>
      </c>
      <c r="G444" s="6">
        <v>46174</v>
      </c>
      <c r="H444" s="2" t="s">
        <v>71</v>
      </c>
      <c r="I444" s="2" t="s">
        <v>76</v>
      </c>
      <c r="J444" s="9">
        <v>119098944</v>
      </c>
      <c r="K444" s="7">
        <v>6.2000000000000003E-5</v>
      </c>
      <c r="L444" s="9">
        <v>7384.13</v>
      </c>
      <c r="M444" s="9">
        <v>7443.68</v>
      </c>
      <c r="N444" s="9">
        <v>4.0599999999999996</v>
      </c>
      <c r="O444" s="10">
        <f>IF(AND(OR(H444="APPROVED",H444="SCHEDULED"),COUNTIFS(tblSource[EventID],F444,tblSource[ReleaseStatus],"APPROVED")=1,COUNTIFS(Period_Status!$A$2:$A$8,G444,Period_Status!$B$2:$B$8,"ActualClosed")=1,C444&gt;EOMONTH(Settlement_Bridge!$C$2,0)),1,0)</f>
        <v>0</v>
      </c>
      <c r="P444" s="2" t="s">
        <v>1354</v>
      </c>
    </row>
    <row r="445" spans="1:16" x14ac:dyDescent="0.25">
      <c r="A445" s="2" t="s">
        <v>1355</v>
      </c>
      <c r="B445" s="2" t="s">
        <v>136</v>
      </c>
      <c r="C445" s="8">
        <v>46203</v>
      </c>
      <c r="D445" s="6">
        <v>46174</v>
      </c>
      <c r="E445" s="2" t="s">
        <v>260</v>
      </c>
      <c r="F445" s="2" t="s">
        <v>1356</v>
      </c>
      <c r="G445" s="6">
        <v>46174</v>
      </c>
      <c r="H445" s="2" t="s">
        <v>71</v>
      </c>
      <c r="I445" s="2" t="s">
        <v>70</v>
      </c>
      <c r="J445" s="9">
        <v>18916.015038000001</v>
      </c>
      <c r="K445" s="7">
        <v>0.66500000000000004</v>
      </c>
      <c r="L445" s="9">
        <v>12579.15</v>
      </c>
      <c r="M445" s="9">
        <v>12579.15</v>
      </c>
      <c r="N445" s="9">
        <v>6.92</v>
      </c>
      <c r="O445" s="10">
        <f>IF(AND(OR(H445="APPROVED",H445="SCHEDULED"),COUNTIFS(tblSource[EventID],F445,tblSource[ReleaseStatus],"APPROVED")=1,COUNTIFS(Period_Status!$A$2:$A$8,G445,Period_Status!$B$2:$B$8,"ActualClosed")=1,C445&gt;EOMONTH(Settlement_Bridge!$C$2,0)),1,0)</f>
        <v>0</v>
      </c>
      <c r="P445" s="2" t="s">
        <v>1357</v>
      </c>
    </row>
    <row r="446" spans="1:16" x14ac:dyDescent="0.25">
      <c r="A446" s="2" t="s">
        <v>1358</v>
      </c>
      <c r="B446" s="2" t="s">
        <v>136</v>
      </c>
      <c r="C446" s="8">
        <v>46204</v>
      </c>
      <c r="D446" s="6">
        <v>46204</v>
      </c>
      <c r="E446" s="2" t="s">
        <v>260</v>
      </c>
      <c r="F446" s="2" t="s">
        <v>1359</v>
      </c>
      <c r="G446" s="6">
        <v>46174</v>
      </c>
      <c r="H446" s="2" t="s">
        <v>71</v>
      </c>
      <c r="I446" s="2" t="s">
        <v>39</v>
      </c>
      <c r="J446" s="9">
        <v>12752.16</v>
      </c>
      <c r="K446" s="7">
        <v>1</v>
      </c>
      <c r="L446" s="9">
        <v>12752.16</v>
      </c>
      <c r="M446" s="9">
        <v>12752.16</v>
      </c>
      <c r="N446" s="9">
        <v>7.01</v>
      </c>
      <c r="O446" s="10">
        <f>IF(AND(OR(H446="APPROVED",H446="SCHEDULED"),COUNTIFS(tblSource[EventID],F446,tblSource[ReleaseStatus],"APPROVED")=1,COUNTIFS(Period_Status!$A$2:$A$8,G446,Period_Status!$B$2:$B$8,"ActualClosed")=1,C446&gt;EOMONTH(Settlement_Bridge!$C$2,0)),1,0)</f>
        <v>0</v>
      </c>
      <c r="P446" s="2" t="s">
        <v>1360</v>
      </c>
    </row>
    <row r="447" spans="1:16" x14ac:dyDescent="0.25">
      <c r="A447" s="2" t="s">
        <v>1361</v>
      </c>
      <c r="B447" s="2" t="s">
        <v>136</v>
      </c>
      <c r="C447" s="8">
        <v>46195</v>
      </c>
      <c r="D447" s="6">
        <v>46174</v>
      </c>
      <c r="E447" s="2" t="s">
        <v>260</v>
      </c>
      <c r="F447" s="2" t="s">
        <v>1362</v>
      </c>
      <c r="G447" s="6">
        <v>46174</v>
      </c>
      <c r="H447" s="2" t="s">
        <v>71</v>
      </c>
      <c r="I447" s="2" t="s">
        <v>76</v>
      </c>
      <c r="J447" s="9">
        <v>82721088</v>
      </c>
      <c r="K447" s="7">
        <v>6.2500000000000001E-5</v>
      </c>
      <c r="L447" s="9">
        <v>5170.07</v>
      </c>
      <c r="M447" s="9">
        <v>5170.07</v>
      </c>
      <c r="N447" s="9">
        <v>2.84</v>
      </c>
      <c r="O447" s="10">
        <f>IF(AND(OR(H447="APPROVED",H447="SCHEDULED"),COUNTIFS(tblSource[EventID],F447,tblSource[ReleaseStatus],"APPROVED")=1,COUNTIFS(Period_Status!$A$2:$A$8,G447,Period_Status!$B$2:$B$8,"ActualClosed")=1,C447&gt;EOMONTH(Settlement_Bridge!$C$2,0)),1,0)</f>
        <v>0</v>
      </c>
      <c r="P447" s="2" t="s">
        <v>1363</v>
      </c>
    </row>
    <row r="448" spans="1:16" x14ac:dyDescent="0.25">
      <c r="A448" s="2" t="s">
        <v>1364</v>
      </c>
      <c r="B448" s="2" t="s">
        <v>136</v>
      </c>
      <c r="C448" s="8">
        <v>46220</v>
      </c>
      <c r="D448" s="6">
        <v>46204</v>
      </c>
      <c r="E448" s="2" t="s">
        <v>260</v>
      </c>
      <c r="F448" s="2" t="s">
        <v>1362</v>
      </c>
      <c r="G448" s="6">
        <v>46174</v>
      </c>
      <c r="H448" s="2" t="s">
        <v>71</v>
      </c>
      <c r="I448" s="2" t="s">
        <v>76</v>
      </c>
      <c r="J448" s="9">
        <v>124081632</v>
      </c>
      <c r="K448" s="7">
        <v>6.2000000000000003E-5</v>
      </c>
      <c r="L448" s="9">
        <v>7693.06</v>
      </c>
      <c r="M448" s="9">
        <v>7755.1</v>
      </c>
      <c r="N448" s="9">
        <v>4.2300000000000004</v>
      </c>
      <c r="O448" s="10">
        <f>IF(AND(OR(H448="APPROVED",H448="SCHEDULED"),COUNTIFS(tblSource[EventID],F448,tblSource[ReleaseStatus],"APPROVED")=1,COUNTIFS(Period_Status!$A$2:$A$8,G448,Period_Status!$B$2:$B$8,"ActualClosed")=1,C448&gt;EOMONTH(Settlement_Bridge!$C$2,0)),1,0)</f>
        <v>0</v>
      </c>
      <c r="P448" s="2" t="s">
        <v>1365</v>
      </c>
    </row>
    <row r="449" spans="1:16" x14ac:dyDescent="0.25">
      <c r="A449" s="2" t="s">
        <v>1366</v>
      </c>
      <c r="B449" s="2" t="s">
        <v>136</v>
      </c>
      <c r="C449" s="8">
        <v>46206</v>
      </c>
      <c r="D449" s="6">
        <v>46204</v>
      </c>
      <c r="E449" s="2" t="s">
        <v>260</v>
      </c>
      <c r="F449" s="2" t="s">
        <v>1367</v>
      </c>
      <c r="G449" s="6">
        <v>46174</v>
      </c>
      <c r="H449" s="2" t="s">
        <v>71</v>
      </c>
      <c r="I449" s="2" t="s">
        <v>70</v>
      </c>
      <c r="J449" s="9">
        <v>19696.511278000002</v>
      </c>
      <c r="K449" s="7">
        <v>0.65800000000000003</v>
      </c>
      <c r="L449" s="9">
        <v>12960.3</v>
      </c>
      <c r="M449" s="9">
        <v>13098.18</v>
      </c>
      <c r="N449" s="9">
        <v>7.13</v>
      </c>
      <c r="O449" s="10">
        <f>IF(AND(OR(H449="APPROVED",H449="SCHEDULED"),COUNTIFS(tblSource[EventID],F449,tblSource[ReleaseStatus],"APPROVED")=1,COUNTIFS(Period_Status!$A$2:$A$8,G449,Period_Status!$B$2:$B$8,"ActualClosed")=1,C449&gt;EOMONTH(Settlement_Bridge!$C$2,0)),1,0)</f>
        <v>0</v>
      </c>
      <c r="P449" s="2" t="s">
        <v>1368</v>
      </c>
    </row>
    <row r="450" spans="1:16" x14ac:dyDescent="0.25">
      <c r="A450" s="2" t="s">
        <v>1369</v>
      </c>
      <c r="B450" s="2" t="s">
        <v>136</v>
      </c>
      <c r="C450" s="8">
        <v>46207</v>
      </c>
      <c r="D450" s="6">
        <v>46204</v>
      </c>
      <c r="E450" s="2" t="s">
        <v>260</v>
      </c>
      <c r="F450" s="2" t="s">
        <v>1370</v>
      </c>
      <c r="G450" s="6">
        <v>46174</v>
      </c>
      <c r="H450" s="2" t="s">
        <v>71</v>
      </c>
      <c r="I450" s="2" t="s">
        <v>39</v>
      </c>
      <c r="J450" s="9">
        <v>13271.19</v>
      </c>
      <c r="K450" s="7">
        <v>1</v>
      </c>
      <c r="L450" s="9">
        <v>13271.19</v>
      </c>
      <c r="M450" s="9">
        <v>13271.19</v>
      </c>
      <c r="N450" s="9">
        <v>7.3</v>
      </c>
      <c r="O450" s="10">
        <f>IF(AND(OR(H450="APPROVED",H450="SCHEDULED"),COUNTIFS(tblSource[EventID],F450,tblSource[ReleaseStatus],"APPROVED")=1,COUNTIFS(Period_Status!$A$2:$A$8,G450,Period_Status!$B$2:$B$8,"ActualClosed")=1,C450&gt;EOMONTH(Settlement_Bridge!$C$2,0)),1,0)</f>
        <v>0</v>
      </c>
      <c r="P450" s="2" t="s">
        <v>1371</v>
      </c>
    </row>
    <row r="451" spans="1:16" x14ac:dyDescent="0.25">
      <c r="A451" s="2" t="s">
        <v>1372</v>
      </c>
      <c r="B451" s="2" t="s">
        <v>136</v>
      </c>
      <c r="C451" s="8">
        <v>46208</v>
      </c>
      <c r="D451" s="6">
        <v>46204</v>
      </c>
      <c r="E451" s="2" t="s">
        <v>260</v>
      </c>
      <c r="F451" s="2" t="s">
        <v>1373</v>
      </c>
      <c r="G451" s="6">
        <v>46174</v>
      </c>
      <c r="H451" s="2" t="s">
        <v>71</v>
      </c>
      <c r="I451" s="2" t="s">
        <v>76</v>
      </c>
      <c r="J451" s="9">
        <v>215107200</v>
      </c>
      <c r="K451" s="7">
        <v>6.2000000000000003E-5</v>
      </c>
      <c r="L451" s="9">
        <v>13336.65</v>
      </c>
      <c r="M451" s="9">
        <v>13444.2</v>
      </c>
      <c r="N451" s="9">
        <v>7.34</v>
      </c>
      <c r="O451" s="10">
        <f>IF(AND(OR(H451="APPROVED",H451="SCHEDULED"),COUNTIFS(tblSource[EventID],F451,tblSource[ReleaseStatus],"APPROVED")=1,COUNTIFS(Period_Status!$A$2:$A$8,G451,Period_Status!$B$2:$B$8,"ActualClosed")=1,C451&gt;EOMONTH(Settlement_Bridge!$C$2,0)),1,0)</f>
        <v>0</v>
      </c>
      <c r="P451" s="2" t="s">
        <v>1374</v>
      </c>
    </row>
    <row r="452" spans="1:16" x14ac:dyDescent="0.25">
      <c r="A452" s="2" t="s">
        <v>1375</v>
      </c>
      <c r="B452" s="2" t="s">
        <v>136</v>
      </c>
      <c r="C452" s="8">
        <v>46209</v>
      </c>
      <c r="D452" s="6">
        <v>46204</v>
      </c>
      <c r="E452" s="2" t="s">
        <v>260</v>
      </c>
      <c r="F452" s="2" t="s">
        <v>1376</v>
      </c>
      <c r="G452" s="6">
        <v>46174</v>
      </c>
      <c r="H452" s="2" t="s">
        <v>71</v>
      </c>
      <c r="I452" s="2" t="s">
        <v>70</v>
      </c>
      <c r="J452" s="9">
        <v>20477.007518999999</v>
      </c>
      <c r="K452" s="7">
        <v>0.65800000000000003</v>
      </c>
      <c r="L452" s="9">
        <v>13473.87</v>
      </c>
      <c r="M452" s="9">
        <v>13617.21</v>
      </c>
      <c r="N452" s="9">
        <v>7.41</v>
      </c>
      <c r="O452" s="10">
        <f>IF(AND(OR(H452="APPROVED",H452="SCHEDULED"),COUNTIFS(tblSource[EventID],F452,tblSource[ReleaseStatus],"APPROVED")=1,COUNTIFS(Period_Status!$A$2:$A$8,G452,Period_Status!$B$2:$B$8,"ActualClosed")=1,C452&gt;EOMONTH(Settlement_Bridge!$C$2,0)),1,0)</f>
        <v>0</v>
      </c>
      <c r="P452" s="2" t="s">
        <v>1377</v>
      </c>
    </row>
    <row r="453" spans="1:16" x14ac:dyDescent="0.25">
      <c r="A453" s="2" t="s">
        <v>1378</v>
      </c>
      <c r="B453" s="2" t="s">
        <v>136</v>
      </c>
      <c r="C453" s="8">
        <v>46210</v>
      </c>
      <c r="D453" s="6">
        <v>46204</v>
      </c>
      <c r="E453" s="2" t="s">
        <v>260</v>
      </c>
      <c r="F453" s="2" t="s">
        <v>1379</v>
      </c>
      <c r="G453" s="6">
        <v>46174</v>
      </c>
      <c r="H453" s="2" t="s">
        <v>71</v>
      </c>
      <c r="I453" s="2" t="s">
        <v>39</v>
      </c>
      <c r="J453" s="9">
        <v>13790.22</v>
      </c>
      <c r="K453" s="7">
        <v>1</v>
      </c>
      <c r="L453" s="9">
        <v>13790.22</v>
      </c>
      <c r="M453" s="9">
        <v>13790.22</v>
      </c>
      <c r="N453" s="9">
        <v>7.58</v>
      </c>
      <c r="O453" s="10">
        <f>IF(AND(OR(H453="APPROVED",H453="SCHEDULED"),COUNTIFS(tblSource[EventID],F453,tblSource[ReleaseStatus],"APPROVED")=1,COUNTIFS(Period_Status!$A$2:$A$8,G453,Period_Status!$B$2:$B$8,"ActualClosed")=1,C453&gt;EOMONTH(Settlement_Bridge!$C$2,0)),1,0)</f>
        <v>0</v>
      </c>
      <c r="P453" s="2" t="s">
        <v>1380</v>
      </c>
    </row>
    <row r="454" spans="1:16" x14ac:dyDescent="0.25">
      <c r="A454" s="2" t="s">
        <v>1381</v>
      </c>
      <c r="B454" s="2" t="s">
        <v>136</v>
      </c>
      <c r="C454" s="8">
        <v>46201</v>
      </c>
      <c r="D454" s="6">
        <v>46174</v>
      </c>
      <c r="E454" s="2" t="s">
        <v>260</v>
      </c>
      <c r="F454" s="2" t="s">
        <v>1382</v>
      </c>
      <c r="G454" s="6">
        <v>46174</v>
      </c>
      <c r="H454" s="2" t="s">
        <v>71</v>
      </c>
      <c r="I454" s="2" t="s">
        <v>76</v>
      </c>
      <c r="J454" s="9">
        <v>89364672</v>
      </c>
      <c r="K454" s="7">
        <v>6.2500000000000001E-5</v>
      </c>
      <c r="L454" s="9">
        <v>5585.29</v>
      </c>
      <c r="M454" s="9">
        <v>5585.29</v>
      </c>
      <c r="N454" s="9">
        <v>3.07</v>
      </c>
      <c r="O454" s="10">
        <f>IF(AND(OR(H454="APPROVED",H454="SCHEDULED"),COUNTIFS(tblSource[EventID],F454,tblSource[ReleaseStatus],"APPROVED")=1,COUNTIFS(Period_Status!$A$2:$A$8,G454,Period_Status!$B$2:$B$8,"ActualClosed")=1,C454&gt;EOMONTH(Settlement_Bridge!$C$2,0)),1,0)</f>
        <v>0</v>
      </c>
      <c r="P454" s="2" t="s">
        <v>1383</v>
      </c>
    </row>
    <row r="455" spans="1:16" x14ac:dyDescent="0.25">
      <c r="A455" s="2" t="s">
        <v>1384</v>
      </c>
      <c r="B455" s="2" t="s">
        <v>136</v>
      </c>
      <c r="C455" s="8">
        <v>46226</v>
      </c>
      <c r="D455" s="6">
        <v>46204</v>
      </c>
      <c r="E455" s="2" t="s">
        <v>260</v>
      </c>
      <c r="F455" s="2" t="s">
        <v>1382</v>
      </c>
      <c r="G455" s="6">
        <v>46174</v>
      </c>
      <c r="H455" s="2" t="s">
        <v>71</v>
      </c>
      <c r="I455" s="2" t="s">
        <v>76</v>
      </c>
      <c r="J455" s="9">
        <v>134047008</v>
      </c>
      <c r="K455" s="7">
        <v>6.2000000000000003E-5</v>
      </c>
      <c r="L455" s="9">
        <v>8310.91</v>
      </c>
      <c r="M455" s="9">
        <v>8377.94</v>
      </c>
      <c r="N455" s="9">
        <v>4.57</v>
      </c>
      <c r="O455" s="10">
        <f>IF(AND(OR(H455="APPROVED",H455="SCHEDULED"),COUNTIFS(tblSource[EventID],F455,tblSource[ReleaseStatus],"APPROVED")=1,COUNTIFS(Period_Status!$A$2:$A$8,G455,Period_Status!$B$2:$B$8,"ActualClosed")=1,C455&gt;EOMONTH(Settlement_Bridge!$C$2,0)),1,0)</f>
        <v>0</v>
      </c>
      <c r="P455" s="2" t="s">
        <v>1385</v>
      </c>
    </row>
    <row r="456" spans="1:16" x14ac:dyDescent="0.25">
      <c r="A456" s="2" t="s">
        <v>1386</v>
      </c>
      <c r="B456" s="2" t="s">
        <v>136</v>
      </c>
      <c r="C456" s="8">
        <v>46202</v>
      </c>
      <c r="D456" s="6">
        <v>46174</v>
      </c>
      <c r="E456" s="2" t="s">
        <v>260</v>
      </c>
      <c r="F456" s="2" t="s">
        <v>1387</v>
      </c>
      <c r="G456" s="6">
        <v>46174</v>
      </c>
      <c r="H456" s="2" t="s">
        <v>71</v>
      </c>
      <c r="I456" s="2" t="s">
        <v>70</v>
      </c>
      <c r="J456" s="9">
        <v>8503.0015039999998</v>
      </c>
      <c r="K456" s="7">
        <v>0.66500000000000004</v>
      </c>
      <c r="L456" s="9">
        <v>5654.5</v>
      </c>
      <c r="M456" s="9">
        <v>5654.5</v>
      </c>
      <c r="N456" s="9">
        <v>3.11</v>
      </c>
      <c r="O456" s="10">
        <f>IF(AND(OR(H456="APPROVED",H456="SCHEDULED"),COUNTIFS(tblSource[EventID],F456,tblSource[ReleaseStatus],"APPROVED")=1,COUNTIFS(Period_Status!$A$2:$A$8,G456,Period_Status!$B$2:$B$8,"ActualClosed")=1,C456&gt;EOMONTH(Settlement_Bridge!$C$2,0)),1,0)</f>
        <v>0</v>
      </c>
      <c r="P456" s="2" t="s">
        <v>1388</v>
      </c>
    </row>
    <row r="457" spans="1:16" x14ac:dyDescent="0.25">
      <c r="A457" s="2" t="s">
        <v>1389</v>
      </c>
      <c r="B457" s="2" t="s">
        <v>136</v>
      </c>
      <c r="C457" s="8">
        <v>46227</v>
      </c>
      <c r="D457" s="6">
        <v>46204</v>
      </c>
      <c r="E457" s="2" t="s">
        <v>260</v>
      </c>
      <c r="F457" s="2" t="s">
        <v>1387</v>
      </c>
      <c r="G457" s="6">
        <v>46174</v>
      </c>
      <c r="H457" s="2" t="s">
        <v>71</v>
      </c>
      <c r="I457" s="2" t="s">
        <v>70</v>
      </c>
      <c r="J457" s="9">
        <v>12754.502254999999</v>
      </c>
      <c r="K457" s="7">
        <v>0.65800000000000003</v>
      </c>
      <c r="L457" s="9">
        <v>8392.4599999999991</v>
      </c>
      <c r="M457" s="9">
        <v>8481.74</v>
      </c>
      <c r="N457" s="9">
        <v>4.62</v>
      </c>
      <c r="O457" s="10">
        <f>IF(AND(OR(H457="APPROVED",H457="SCHEDULED"),COUNTIFS(tblSource[EventID],F457,tblSource[ReleaseStatus],"APPROVED")=1,COUNTIFS(Period_Status!$A$2:$A$8,G457,Period_Status!$B$2:$B$8,"ActualClosed")=1,C457&gt;EOMONTH(Settlement_Bridge!$C$2,0)),1,0)</f>
        <v>0</v>
      </c>
      <c r="P457" s="2" t="s">
        <v>1390</v>
      </c>
    </row>
    <row r="458" spans="1:16" x14ac:dyDescent="0.25">
      <c r="A458" s="2" t="s">
        <v>1391</v>
      </c>
      <c r="B458" s="2" t="s">
        <v>136</v>
      </c>
      <c r="C458" s="8">
        <v>46213</v>
      </c>
      <c r="D458" s="6">
        <v>46204</v>
      </c>
      <c r="E458" s="2" t="s">
        <v>260</v>
      </c>
      <c r="F458" s="2" t="s">
        <v>1392</v>
      </c>
      <c r="G458" s="6">
        <v>46174</v>
      </c>
      <c r="H458" s="2" t="s">
        <v>71</v>
      </c>
      <c r="I458" s="2" t="s">
        <v>39</v>
      </c>
      <c r="J458" s="9">
        <v>14309.25</v>
      </c>
      <c r="K458" s="7">
        <v>1</v>
      </c>
      <c r="L458" s="9">
        <v>14309.25</v>
      </c>
      <c r="M458" s="9">
        <v>14309.25</v>
      </c>
      <c r="N458" s="9">
        <v>7.87</v>
      </c>
      <c r="O458" s="10">
        <f>IF(AND(OR(H458="APPROVED",H458="SCHEDULED"),COUNTIFS(tblSource[EventID],F458,tblSource[ReleaseStatus],"APPROVED")=1,COUNTIFS(Period_Status!$A$2:$A$8,G458,Period_Status!$B$2:$B$8,"ActualClosed")=1,C458&gt;EOMONTH(Settlement_Bridge!$C$2,0)),1,0)</f>
        <v>0</v>
      </c>
      <c r="P458" s="2" t="s">
        <v>1393</v>
      </c>
    </row>
    <row r="459" spans="1:16" x14ac:dyDescent="0.25">
      <c r="A459" s="2" t="s">
        <v>1394</v>
      </c>
      <c r="B459" s="2" t="s">
        <v>136</v>
      </c>
      <c r="C459" s="8">
        <v>46214</v>
      </c>
      <c r="D459" s="6">
        <v>46204</v>
      </c>
      <c r="E459" s="2" t="s">
        <v>260</v>
      </c>
      <c r="F459" s="2" t="s">
        <v>1395</v>
      </c>
      <c r="G459" s="6">
        <v>46174</v>
      </c>
      <c r="H459" s="2" t="s">
        <v>71</v>
      </c>
      <c r="I459" s="2" t="s">
        <v>76</v>
      </c>
      <c r="J459" s="9">
        <v>231716160</v>
      </c>
      <c r="K459" s="7">
        <v>6.2000000000000003E-5</v>
      </c>
      <c r="L459" s="9">
        <v>14366.4</v>
      </c>
      <c r="M459" s="9">
        <v>14482.26</v>
      </c>
      <c r="N459" s="9">
        <v>7.9</v>
      </c>
      <c r="O459" s="10">
        <f>IF(AND(OR(H459="APPROVED",H459="SCHEDULED"),COUNTIFS(tblSource[EventID],F459,tblSource[ReleaseStatus],"APPROVED")=1,COUNTIFS(Period_Status!$A$2:$A$8,G459,Period_Status!$B$2:$B$8,"ActualClosed")=1,C459&gt;EOMONTH(Settlement_Bridge!$C$2,0)),1,0)</f>
        <v>0</v>
      </c>
      <c r="P459" s="2" t="s">
        <v>1396</v>
      </c>
    </row>
    <row r="460" spans="1:16" x14ac:dyDescent="0.25">
      <c r="A460" s="2" t="s">
        <v>1397</v>
      </c>
      <c r="B460" s="2" t="s">
        <v>136</v>
      </c>
      <c r="C460" s="8">
        <v>46205</v>
      </c>
      <c r="D460" s="6">
        <v>46204</v>
      </c>
      <c r="E460" s="2" t="s">
        <v>260</v>
      </c>
      <c r="F460" s="2" t="s">
        <v>1398</v>
      </c>
      <c r="G460" s="6">
        <v>46174</v>
      </c>
      <c r="H460" s="2" t="s">
        <v>71</v>
      </c>
      <c r="I460" s="2" t="s">
        <v>70</v>
      </c>
      <c r="J460" s="9">
        <v>8815.2000000000007</v>
      </c>
      <c r="K460" s="7">
        <v>0.65800000000000003</v>
      </c>
      <c r="L460" s="9">
        <v>5800.4</v>
      </c>
      <c r="M460" s="9">
        <v>5862.11</v>
      </c>
      <c r="N460" s="9">
        <v>3.19</v>
      </c>
      <c r="O460" s="10">
        <f>IF(AND(OR(H460="APPROVED",H460="SCHEDULED"),COUNTIFS(tblSource[EventID],F460,tblSource[ReleaseStatus],"APPROVED")=1,COUNTIFS(Period_Status!$A$2:$A$8,G460,Period_Status!$B$2:$B$8,"ActualClosed")=1,C460&gt;EOMONTH(Settlement_Bridge!$C$2,0)),1,0)</f>
        <v>0</v>
      </c>
      <c r="P460" s="2" t="s">
        <v>1399</v>
      </c>
    </row>
    <row r="461" spans="1:16" x14ac:dyDescent="0.25">
      <c r="A461" s="2" t="s">
        <v>1400</v>
      </c>
      <c r="B461" s="2" t="s">
        <v>136</v>
      </c>
      <c r="C461" s="8">
        <v>46230</v>
      </c>
      <c r="D461" s="6">
        <v>46204</v>
      </c>
      <c r="E461" s="2" t="s">
        <v>260</v>
      </c>
      <c r="F461" s="2" t="s">
        <v>1398</v>
      </c>
      <c r="G461" s="6">
        <v>46174</v>
      </c>
      <c r="H461" s="2" t="s">
        <v>71</v>
      </c>
      <c r="I461" s="2" t="s">
        <v>70</v>
      </c>
      <c r="J461" s="9">
        <v>13222.8</v>
      </c>
      <c r="K461" s="7">
        <v>0.65800000000000003</v>
      </c>
      <c r="L461" s="9">
        <v>8700.6</v>
      </c>
      <c r="M461" s="9">
        <v>8793.16</v>
      </c>
      <c r="N461" s="9">
        <v>4.79</v>
      </c>
      <c r="O461" s="10">
        <f>IF(AND(OR(H461="APPROVED",H461="SCHEDULED"),COUNTIFS(tblSource[EventID],F461,tblSource[ReleaseStatus],"APPROVED")=1,COUNTIFS(Period_Status!$A$2:$A$8,G461,Period_Status!$B$2:$B$8,"ActualClosed")=1,C461&gt;EOMONTH(Settlement_Bridge!$C$2,0)),1,0)</f>
        <v>0</v>
      </c>
      <c r="P461" s="2" t="s">
        <v>1401</v>
      </c>
    </row>
    <row r="462" spans="1:16" x14ac:dyDescent="0.25">
      <c r="A462" s="2" t="s">
        <v>1402</v>
      </c>
      <c r="B462" s="2" t="s">
        <v>136</v>
      </c>
      <c r="C462" s="8">
        <v>46216</v>
      </c>
      <c r="D462" s="6">
        <v>46204</v>
      </c>
      <c r="E462" s="2" t="s">
        <v>260</v>
      </c>
      <c r="F462" s="2" t="s">
        <v>1403</v>
      </c>
      <c r="G462" s="6">
        <v>46174</v>
      </c>
      <c r="H462" s="2" t="s">
        <v>71</v>
      </c>
      <c r="I462" s="2" t="s">
        <v>39</v>
      </c>
      <c r="J462" s="9">
        <v>14828.28</v>
      </c>
      <c r="K462" s="7">
        <v>1</v>
      </c>
      <c r="L462" s="9">
        <v>14828.28</v>
      </c>
      <c r="M462" s="9">
        <v>14828.28</v>
      </c>
      <c r="N462" s="9">
        <v>8.16</v>
      </c>
      <c r="O462" s="10">
        <f>IF(AND(OR(H462="APPROVED",H462="SCHEDULED"),COUNTIFS(tblSource[EventID],F462,tblSource[ReleaseStatus],"APPROVED")=1,COUNTIFS(Period_Status!$A$2:$A$8,G462,Period_Status!$B$2:$B$8,"ActualClosed")=1,C462&gt;EOMONTH(Settlement_Bridge!$C$2,0)),1,0)</f>
        <v>0</v>
      </c>
      <c r="P462" s="2" t="s">
        <v>1404</v>
      </c>
    </row>
    <row r="463" spans="1:16" x14ac:dyDescent="0.25">
      <c r="A463" s="2" t="s">
        <v>1405</v>
      </c>
      <c r="B463" s="2" t="s">
        <v>136</v>
      </c>
      <c r="C463" s="8">
        <v>46217</v>
      </c>
      <c r="D463" s="6">
        <v>46204</v>
      </c>
      <c r="E463" s="2" t="s">
        <v>260</v>
      </c>
      <c r="F463" s="2" t="s">
        <v>1406</v>
      </c>
      <c r="G463" s="6">
        <v>46174</v>
      </c>
      <c r="H463" s="2" t="s">
        <v>71</v>
      </c>
      <c r="I463" s="2" t="s">
        <v>76</v>
      </c>
      <c r="J463" s="9">
        <v>16020640</v>
      </c>
      <c r="K463" s="7">
        <v>6.2000000000000003E-5</v>
      </c>
      <c r="L463" s="9">
        <v>993.28</v>
      </c>
      <c r="M463" s="9">
        <v>1001.29</v>
      </c>
      <c r="N463" s="9">
        <v>1.8</v>
      </c>
      <c r="O463" s="10">
        <f>IF(AND(OR(H463="APPROVED",H463="SCHEDULED"),COUNTIFS(tblSource[EventID],F463,tblSource[ReleaseStatus],"APPROVED")=1,COUNTIFS(Period_Status!$A$2:$A$8,G463,Period_Status!$B$2:$B$8,"ActualClosed")=1,C463&gt;EOMONTH(Settlement_Bridge!$C$2,0)),1,0)</f>
        <v>0</v>
      </c>
      <c r="P463" s="2" t="s">
        <v>1407</v>
      </c>
    </row>
    <row r="464" spans="1:16" x14ac:dyDescent="0.25">
      <c r="A464" s="2" t="s">
        <v>1408</v>
      </c>
      <c r="B464" s="2" t="s">
        <v>136</v>
      </c>
      <c r="C464" s="8">
        <v>46218</v>
      </c>
      <c r="D464" s="6">
        <v>46204</v>
      </c>
      <c r="E464" s="2" t="s">
        <v>260</v>
      </c>
      <c r="F464" s="2" t="s">
        <v>1409</v>
      </c>
      <c r="G464" s="6">
        <v>46174</v>
      </c>
      <c r="H464" s="2" t="s">
        <v>71</v>
      </c>
      <c r="I464" s="2" t="s">
        <v>70</v>
      </c>
      <c r="J464" s="9">
        <v>1765.864662</v>
      </c>
      <c r="K464" s="7">
        <v>0.65800000000000003</v>
      </c>
      <c r="L464" s="9">
        <v>1161.94</v>
      </c>
      <c r="M464" s="9">
        <v>1174.3</v>
      </c>
      <c r="N464" s="9">
        <v>1.8</v>
      </c>
      <c r="O464" s="10">
        <f>IF(AND(OR(H464="APPROVED",H464="SCHEDULED"),COUNTIFS(tblSource[EventID],F464,tblSource[ReleaseStatus],"APPROVED")=1,COUNTIFS(Period_Status!$A$2:$A$8,G464,Period_Status!$B$2:$B$8,"ActualClosed")=1,C464&gt;EOMONTH(Settlement_Bridge!$C$2,0)),1,0)</f>
        <v>0</v>
      </c>
      <c r="P464" s="2" t="s">
        <v>1410</v>
      </c>
    </row>
    <row r="465" spans="1:16" x14ac:dyDescent="0.25">
      <c r="A465" s="2" t="s">
        <v>1411</v>
      </c>
      <c r="B465" s="2" t="s">
        <v>136</v>
      </c>
      <c r="C465" s="8">
        <v>46219</v>
      </c>
      <c r="D465" s="6">
        <v>46204</v>
      </c>
      <c r="E465" s="2" t="s">
        <v>260</v>
      </c>
      <c r="F465" s="2" t="s">
        <v>1412</v>
      </c>
      <c r="G465" s="6">
        <v>46174</v>
      </c>
      <c r="H465" s="2" t="s">
        <v>71</v>
      </c>
      <c r="I465" s="2" t="s">
        <v>39</v>
      </c>
      <c r="J465" s="9">
        <v>1347.31</v>
      </c>
      <c r="K465" s="7">
        <v>1</v>
      </c>
      <c r="L465" s="9">
        <v>1347.31</v>
      </c>
      <c r="M465" s="9">
        <v>1347.31</v>
      </c>
      <c r="N465" s="9">
        <v>1.8</v>
      </c>
      <c r="O465" s="10">
        <f>IF(AND(OR(H465="APPROVED",H465="SCHEDULED"),COUNTIFS(tblSource[EventID],F465,tblSource[ReleaseStatus],"APPROVED")=1,COUNTIFS(Period_Status!$A$2:$A$8,G465,Period_Status!$B$2:$B$8,"ActualClosed")=1,C465&gt;EOMONTH(Settlement_Bridge!$C$2,0)),1,0)</f>
        <v>0</v>
      </c>
      <c r="P465" s="2" t="s">
        <v>1413</v>
      </c>
    </row>
    <row r="466" spans="1:16" x14ac:dyDescent="0.25">
      <c r="A466" s="2" t="s">
        <v>1414</v>
      </c>
      <c r="B466" s="2" t="s">
        <v>136</v>
      </c>
      <c r="C466" s="8">
        <v>46220</v>
      </c>
      <c r="D466" s="6">
        <v>46204</v>
      </c>
      <c r="E466" s="2" t="s">
        <v>260</v>
      </c>
      <c r="F466" s="2" t="s">
        <v>1415</v>
      </c>
      <c r="G466" s="6">
        <v>46174</v>
      </c>
      <c r="H466" s="2" t="s">
        <v>71</v>
      </c>
      <c r="I466" s="2" t="s">
        <v>76</v>
      </c>
      <c r="J466" s="9">
        <v>24325120</v>
      </c>
      <c r="K466" s="7">
        <v>6.2000000000000003E-5</v>
      </c>
      <c r="L466" s="9">
        <v>1508.16</v>
      </c>
      <c r="M466" s="9">
        <v>1520.32</v>
      </c>
      <c r="N466" s="9">
        <v>1.8</v>
      </c>
      <c r="O466" s="10">
        <f>IF(AND(OR(H466="APPROVED",H466="SCHEDULED"),COUNTIFS(tblSource[EventID],F466,tblSource[ReleaseStatus],"APPROVED")=1,COUNTIFS(Period_Status!$A$2:$A$8,G466,Period_Status!$B$2:$B$8,"ActualClosed")=1,C466&gt;EOMONTH(Settlement_Bridge!$C$2,0)),1,0)</f>
        <v>0</v>
      </c>
      <c r="P466" s="2" t="s">
        <v>1416</v>
      </c>
    </row>
    <row r="467" spans="1:16" x14ac:dyDescent="0.25">
      <c r="A467" s="2" t="s">
        <v>1417</v>
      </c>
      <c r="B467" s="2" t="s">
        <v>136</v>
      </c>
      <c r="C467" s="8">
        <v>46211</v>
      </c>
      <c r="D467" s="6">
        <v>46204</v>
      </c>
      <c r="E467" s="2" t="s">
        <v>260</v>
      </c>
      <c r="F467" s="2" t="s">
        <v>1418</v>
      </c>
      <c r="G467" s="6">
        <v>46174</v>
      </c>
      <c r="H467" s="2" t="s">
        <v>71</v>
      </c>
      <c r="I467" s="2" t="s">
        <v>70</v>
      </c>
      <c r="J467" s="9">
        <v>1018.544361</v>
      </c>
      <c r="K467" s="7">
        <v>0.65800000000000003</v>
      </c>
      <c r="L467" s="9">
        <v>670.2</v>
      </c>
      <c r="M467" s="9">
        <v>677.33</v>
      </c>
      <c r="N467" s="9">
        <v>1.8</v>
      </c>
      <c r="O467" s="10">
        <f>IF(AND(OR(H467="APPROVED",H467="SCHEDULED"),COUNTIFS(tblSource[EventID],F467,tblSource[ReleaseStatus],"APPROVED")=1,COUNTIFS(Period_Status!$A$2:$A$8,G467,Period_Status!$B$2:$B$8,"ActualClosed")=1,C467&gt;EOMONTH(Settlement_Bridge!$C$2,0)),1,0)</f>
        <v>0</v>
      </c>
      <c r="P467" s="2" t="s">
        <v>1419</v>
      </c>
    </row>
    <row r="468" spans="1:16" x14ac:dyDescent="0.25">
      <c r="A468" s="2" t="s">
        <v>1420</v>
      </c>
      <c r="B468" s="2" t="s">
        <v>136</v>
      </c>
      <c r="C468" s="8">
        <v>46236</v>
      </c>
      <c r="D468" s="6">
        <v>46235</v>
      </c>
      <c r="E468" s="2" t="s">
        <v>260</v>
      </c>
      <c r="F468" s="2" t="s">
        <v>1418</v>
      </c>
      <c r="G468" s="6">
        <v>46174</v>
      </c>
      <c r="H468" s="2" t="s">
        <v>71</v>
      </c>
      <c r="I468" s="2" t="s">
        <v>70</v>
      </c>
      <c r="J468" s="9">
        <v>1527.8165409999999</v>
      </c>
      <c r="K468" s="7">
        <v>0.65</v>
      </c>
      <c r="L468" s="9">
        <v>993.08</v>
      </c>
      <c r="M468" s="9">
        <v>1016</v>
      </c>
      <c r="N468" s="9">
        <v>1.8</v>
      </c>
      <c r="O468" s="10">
        <f>IF(AND(OR(H468="APPROVED",H468="SCHEDULED"),COUNTIFS(tblSource[EventID],F468,tblSource[ReleaseStatus],"APPROVED")=1,COUNTIFS(Period_Status!$A$2:$A$8,G468,Period_Status!$B$2:$B$8,"ActualClosed")=1,C468&gt;EOMONTH(Settlement_Bridge!$C$2,0)),1,0)</f>
        <v>1</v>
      </c>
      <c r="P468" s="2" t="s">
        <v>1421</v>
      </c>
    </row>
    <row r="469" spans="1:16" x14ac:dyDescent="0.25">
      <c r="A469" s="2" t="s">
        <v>1422</v>
      </c>
      <c r="B469" s="2" t="s">
        <v>136</v>
      </c>
      <c r="C469" s="8">
        <v>46212</v>
      </c>
      <c r="D469" s="6">
        <v>46204</v>
      </c>
      <c r="E469" s="2" t="s">
        <v>260</v>
      </c>
      <c r="F469" s="2" t="s">
        <v>1423</v>
      </c>
      <c r="G469" s="6">
        <v>46174</v>
      </c>
      <c r="H469" s="2" t="s">
        <v>71</v>
      </c>
      <c r="I469" s="2" t="s">
        <v>39</v>
      </c>
      <c r="J469" s="9">
        <v>746.53599999999994</v>
      </c>
      <c r="K469" s="7">
        <v>1</v>
      </c>
      <c r="L469" s="9">
        <v>746.54</v>
      </c>
      <c r="M469" s="9">
        <v>746.54</v>
      </c>
      <c r="N469" s="9">
        <v>1.8</v>
      </c>
      <c r="O469" s="10">
        <f>IF(AND(OR(H469="APPROVED",H469="SCHEDULED"),COUNTIFS(tblSource[EventID],F469,tblSource[ReleaseStatus],"APPROVED")=1,COUNTIFS(Period_Status!$A$2:$A$8,G469,Period_Status!$B$2:$B$8,"ActualClosed")=1,C469&gt;EOMONTH(Settlement_Bridge!$C$2,0)),1,0)</f>
        <v>0</v>
      </c>
      <c r="P469" s="2" t="s">
        <v>1424</v>
      </c>
    </row>
    <row r="470" spans="1:16" x14ac:dyDescent="0.25">
      <c r="A470" s="2" t="s">
        <v>1425</v>
      </c>
      <c r="B470" s="2" t="s">
        <v>136</v>
      </c>
      <c r="C470" s="8">
        <v>46237</v>
      </c>
      <c r="D470" s="6">
        <v>46235</v>
      </c>
      <c r="E470" s="2" t="s">
        <v>260</v>
      </c>
      <c r="F470" s="2" t="s">
        <v>1423</v>
      </c>
      <c r="G470" s="6">
        <v>46174</v>
      </c>
      <c r="H470" s="2" t="s">
        <v>71</v>
      </c>
      <c r="I470" s="2" t="s">
        <v>39</v>
      </c>
      <c r="J470" s="9">
        <v>1119.8040000000001</v>
      </c>
      <c r="K470" s="7">
        <v>1</v>
      </c>
      <c r="L470" s="9">
        <v>1119.8</v>
      </c>
      <c r="M470" s="9">
        <v>1119.8</v>
      </c>
      <c r="N470" s="9">
        <v>1.8</v>
      </c>
      <c r="O470" s="10">
        <f>IF(AND(OR(H470="APPROVED",H470="SCHEDULED"),COUNTIFS(tblSource[EventID],F470,tblSource[ReleaseStatus],"APPROVED")=1,COUNTIFS(Period_Status!$A$2:$A$8,G470,Period_Status!$B$2:$B$8,"ActualClosed")=1,C470&gt;EOMONTH(Settlement_Bridge!$C$2,0)),1,0)</f>
        <v>1</v>
      </c>
      <c r="P470" s="2" t="s">
        <v>1426</v>
      </c>
    </row>
    <row r="471" spans="1:16" x14ac:dyDescent="0.25">
      <c r="A471" s="2" t="s">
        <v>1427</v>
      </c>
      <c r="B471" s="2" t="s">
        <v>136</v>
      </c>
      <c r="C471" s="8">
        <v>46223</v>
      </c>
      <c r="D471" s="6">
        <v>46204</v>
      </c>
      <c r="E471" s="2" t="s">
        <v>260</v>
      </c>
      <c r="F471" s="2" t="s">
        <v>1428</v>
      </c>
      <c r="G471" s="6">
        <v>46174</v>
      </c>
      <c r="H471" s="2" t="s">
        <v>71</v>
      </c>
      <c r="I471" s="2" t="s">
        <v>76</v>
      </c>
      <c r="J471" s="9">
        <v>32629600</v>
      </c>
      <c r="K471" s="7">
        <v>6.2000000000000003E-5</v>
      </c>
      <c r="L471" s="9">
        <v>2023.04</v>
      </c>
      <c r="M471" s="9">
        <v>2039.35</v>
      </c>
      <c r="N471" s="9">
        <v>1.8</v>
      </c>
      <c r="O471" s="10">
        <f>IF(AND(OR(H471="APPROVED",H471="SCHEDULED"),COUNTIFS(tblSource[EventID],F471,tblSource[ReleaseStatus],"APPROVED")=1,COUNTIFS(Period_Status!$A$2:$A$8,G471,Period_Status!$B$2:$B$8,"ActualClosed")=1,C471&gt;EOMONTH(Settlement_Bridge!$C$2,0)),1,0)</f>
        <v>0</v>
      </c>
      <c r="P471" s="2" t="s">
        <v>1429</v>
      </c>
    </row>
    <row r="472" spans="1:16" x14ac:dyDescent="0.25">
      <c r="A472" s="2" t="s">
        <v>1430</v>
      </c>
      <c r="B472" s="2" t="s">
        <v>136</v>
      </c>
      <c r="C472" s="8">
        <v>46224</v>
      </c>
      <c r="D472" s="6">
        <v>46204</v>
      </c>
      <c r="E472" s="2" t="s">
        <v>260</v>
      </c>
      <c r="F472" s="2" t="s">
        <v>1431</v>
      </c>
      <c r="G472" s="6">
        <v>46174</v>
      </c>
      <c r="H472" s="2" t="s">
        <v>71</v>
      </c>
      <c r="I472" s="2" t="s">
        <v>70</v>
      </c>
      <c r="J472" s="9">
        <v>3326.8571430000002</v>
      </c>
      <c r="K472" s="7">
        <v>0.65800000000000003</v>
      </c>
      <c r="L472" s="9">
        <v>2189.0700000000002</v>
      </c>
      <c r="M472" s="9">
        <v>2212.36</v>
      </c>
      <c r="N472" s="9">
        <v>1.8</v>
      </c>
      <c r="O472" s="10">
        <f>IF(AND(OR(H472="APPROVED",H472="SCHEDULED"),COUNTIFS(tblSource[EventID],F472,tblSource[ReleaseStatus],"APPROVED")=1,COUNTIFS(Period_Status!$A$2:$A$8,G472,Period_Status!$B$2:$B$8,"ActualClosed")=1,C472&gt;EOMONTH(Settlement_Bridge!$C$2,0)),1,0)</f>
        <v>0</v>
      </c>
      <c r="P472" s="2" t="s">
        <v>1432</v>
      </c>
    </row>
    <row r="473" spans="1:16" x14ac:dyDescent="0.25">
      <c r="A473" s="2" t="s">
        <v>1433</v>
      </c>
      <c r="B473" s="2" t="s">
        <v>136</v>
      </c>
      <c r="C473" s="8">
        <v>46215</v>
      </c>
      <c r="D473" s="6">
        <v>46204</v>
      </c>
      <c r="E473" s="2" t="s">
        <v>260</v>
      </c>
      <c r="F473" s="2" t="s">
        <v>1434</v>
      </c>
      <c r="G473" s="6">
        <v>46174</v>
      </c>
      <c r="H473" s="2" t="s">
        <v>71</v>
      </c>
      <c r="I473" s="2" t="s">
        <v>39</v>
      </c>
      <c r="J473" s="9">
        <v>-2385.37</v>
      </c>
      <c r="K473" s="7">
        <v>1</v>
      </c>
      <c r="L473" s="9">
        <v>-2385.37</v>
      </c>
      <c r="M473" s="9">
        <v>-2385.37</v>
      </c>
      <c r="N473" s="9">
        <v>0</v>
      </c>
      <c r="O473" s="10">
        <f>IF(AND(OR(H473="APPROVED",H473="SCHEDULED"),COUNTIFS(tblSource[EventID],F473,tblSource[ReleaseStatus],"APPROVED")=1,COUNTIFS(Period_Status!$A$2:$A$8,G473,Period_Status!$B$2:$B$8,"ActualClosed")=1,C473&gt;EOMONTH(Settlement_Bridge!$C$2,0)),1,0)</f>
        <v>0</v>
      </c>
      <c r="P473" s="2" t="s">
        <v>1435</v>
      </c>
    </row>
    <row r="474" spans="1:16" x14ac:dyDescent="0.25">
      <c r="A474" s="2" t="s">
        <v>1436</v>
      </c>
      <c r="B474" s="2" t="s">
        <v>136</v>
      </c>
      <c r="C474" s="8">
        <v>46226</v>
      </c>
      <c r="D474" s="6">
        <v>46204</v>
      </c>
      <c r="E474" s="2" t="s">
        <v>260</v>
      </c>
      <c r="F474" s="2" t="s">
        <v>1437</v>
      </c>
      <c r="G474" s="6">
        <v>46174</v>
      </c>
      <c r="H474" s="2" t="s">
        <v>71</v>
      </c>
      <c r="I474" s="2" t="s">
        <v>76</v>
      </c>
      <c r="J474" s="9">
        <v>40934080</v>
      </c>
      <c r="K474" s="7">
        <v>6.2000000000000003E-5</v>
      </c>
      <c r="L474" s="9">
        <v>2537.91</v>
      </c>
      <c r="M474" s="9">
        <v>2558.38</v>
      </c>
      <c r="N474" s="9">
        <v>1.8</v>
      </c>
      <c r="O474" s="10">
        <f>IF(AND(OR(H474="APPROVED",H474="SCHEDULED"),COUNTIFS(tblSource[EventID],F474,tblSource[ReleaseStatus],"APPROVED")=1,COUNTIFS(Period_Status!$A$2:$A$8,G474,Period_Status!$B$2:$B$8,"ActualClosed")=1,C474&gt;EOMONTH(Settlement_Bridge!$C$2,0)),1,0)</f>
        <v>0</v>
      </c>
      <c r="P474" s="2" t="s">
        <v>1438</v>
      </c>
    </row>
    <row r="475" spans="1:16" x14ac:dyDescent="0.25">
      <c r="A475" s="2" t="s">
        <v>1439</v>
      </c>
      <c r="B475" s="2" t="s">
        <v>136</v>
      </c>
      <c r="C475" s="8">
        <v>46227</v>
      </c>
      <c r="D475" s="6">
        <v>46204</v>
      </c>
      <c r="E475" s="2" t="s">
        <v>260</v>
      </c>
      <c r="F475" s="2" t="s">
        <v>1440</v>
      </c>
      <c r="G475" s="6">
        <v>46174</v>
      </c>
      <c r="H475" s="2" t="s">
        <v>71</v>
      </c>
      <c r="I475" s="2" t="s">
        <v>70</v>
      </c>
      <c r="J475" s="9">
        <v>4107.3533829999997</v>
      </c>
      <c r="K475" s="7">
        <v>0.65800000000000003</v>
      </c>
      <c r="L475" s="9">
        <v>2702.64</v>
      </c>
      <c r="M475" s="9">
        <v>2731.39</v>
      </c>
      <c r="N475" s="9">
        <v>1.8</v>
      </c>
      <c r="O475" s="10">
        <f>IF(AND(OR(H475="APPROVED",H475="SCHEDULED"),COUNTIFS(tblSource[EventID],F475,tblSource[ReleaseStatus],"APPROVED")=1,COUNTIFS(Period_Status!$A$2:$A$8,G475,Period_Status!$B$2:$B$8,"ActualClosed")=1,C475&gt;EOMONTH(Settlement_Bridge!$C$2,0)),1,0)</f>
        <v>0</v>
      </c>
      <c r="P475" s="2" t="s">
        <v>1441</v>
      </c>
    </row>
    <row r="476" spans="1:16" x14ac:dyDescent="0.25">
      <c r="A476" s="2" t="s">
        <v>1442</v>
      </c>
      <c r="B476" s="2" t="s">
        <v>136</v>
      </c>
      <c r="C476" s="8">
        <v>46198</v>
      </c>
      <c r="D476" s="6">
        <v>46174</v>
      </c>
      <c r="E476" s="2" t="s">
        <v>260</v>
      </c>
      <c r="F476" s="2" t="s">
        <v>1443</v>
      </c>
      <c r="G476" s="6">
        <v>46174</v>
      </c>
      <c r="H476" s="2" t="s">
        <v>71</v>
      </c>
      <c r="I476" s="2" t="s">
        <v>39</v>
      </c>
      <c r="J476" s="9">
        <v>2904.4</v>
      </c>
      <c r="K476" s="7">
        <v>1</v>
      </c>
      <c r="L476" s="9">
        <v>2904.4</v>
      </c>
      <c r="M476" s="9">
        <v>2904.4</v>
      </c>
      <c r="N476" s="9">
        <v>1.8</v>
      </c>
      <c r="O476" s="10">
        <f>IF(AND(OR(H476="APPROVED",H476="SCHEDULED"),COUNTIFS(tblSource[EventID],F476,tblSource[ReleaseStatus],"APPROVED")=1,COUNTIFS(Period_Status!$A$2:$A$8,G476,Period_Status!$B$2:$B$8,"ActualClosed")=1,C476&gt;EOMONTH(Settlement_Bridge!$C$2,0)),1,0)</f>
        <v>0</v>
      </c>
      <c r="P476" s="2" t="s">
        <v>1444</v>
      </c>
    </row>
    <row r="477" spans="1:16" x14ac:dyDescent="0.25">
      <c r="A477" s="2" t="s">
        <v>1445</v>
      </c>
      <c r="B477" s="2" t="s">
        <v>136</v>
      </c>
      <c r="C477" s="8">
        <v>46199</v>
      </c>
      <c r="D477" s="6">
        <v>46174</v>
      </c>
      <c r="E477" s="2" t="s">
        <v>260</v>
      </c>
      <c r="F477" s="2" t="s">
        <v>1446</v>
      </c>
      <c r="G477" s="6">
        <v>46174</v>
      </c>
      <c r="H477" s="2" t="s">
        <v>71</v>
      </c>
      <c r="I477" s="2" t="s">
        <v>76</v>
      </c>
      <c r="J477" s="9">
        <v>49238560</v>
      </c>
      <c r="K477" s="7">
        <v>6.2500000000000001E-5</v>
      </c>
      <c r="L477" s="9">
        <v>3077.41</v>
      </c>
      <c r="M477" s="9">
        <v>3077.41</v>
      </c>
      <c r="N477" s="9">
        <v>1.8</v>
      </c>
      <c r="O477" s="10">
        <f>IF(AND(OR(H477="APPROVED",H477="SCHEDULED"),COUNTIFS(tblSource[EventID],F477,tblSource[ReleaseStatus],"APPROVED")=1,COUNTIFS(Period_Status!$A$2:$A$8,G477,Period_Status!$B$2:$B$8,"ActualClosed")=1,C477&gt;EOMONTH(Settlement_Bridge!$C$2,0)),1,0)</f>
        <v>0</v>
      </c>
      <c r="P477" s="2" t="s">
        <v>1447</v>
      </c>
    </row>
    <row r="478" spans="1:16" x14ac:dyDescent="0.25">
      <c r="A478" s="2" t="s">
        <v>1448</v>
      </c>
      <c r="B478" s="2" t="s">
        <v>136</v>
      </c>
      <c r="C478" s="8">
        <v>46200</v>
      </c>
      <c r="D478" s="6">
        <v>46174</v>
      </c>
      <c r="E478" s="2" t="s">
        <v>260</v>
      </c>
      <c r="F478" s="2" t="s">
        <v>1449</v>
      </c>
      <c r="G478" s="6">
        <v>46174</v>
      </c>
      <c r="H478" s="2" t="s">
        <v>71</v>
      </c>
      <c r="I478" s="2" t="s">
        <v>70</v>
      </c>
      <c r="J478" s="9">
        <v>4887.8496240000004</v>
      </c>
      <c r="K478" s="7">
        <v>0.66500000000000004</v>
      </c>
      <c r="L478" s="9">
        <v>3250.42</v>
      </c>
      <c r="M478" s="9">
        <v>3250.42</v>
      </c>
      <c r="N478" s="9">
        <v>1.8</v>
      </c>
      <c r="O478" s="10">
        <f>IF(AND(OR(H478="APPROVED",H478="SCHEDULED"),COUNTIFS(tblSource[EventID],F478,tblSource[ReleaseStatus],"APPROVED")=1,COUNTIFS(Period_Status!$A$2:$A$8,G478,Period_Status!$B$2:$B$8,"ActualClosed")=1,C478&gt;EOMONTH(Settlement_Bridge!$C$2,0)),1,0)</f>
        <v>0</v>
      </c>
      <c r="P478" s="2" t="s">
        <v>1450</v>
      </c>
    </row>
    <row r="479" spans="1:16" x14ac:dyDescent="0.25">
      <c r="A479" s="2" t="s">
        <v>1451</v>
      </c>
      <c r="B479" s="2" t="s">
        <v>136</v>
      </c>
      <c r="C479" s="8">
        <v>46241</v>
      </c>
      <c r="D479" s="6">
        <v>46235</v>
      </c>
      <c r="E479" s="2" t="s">
        <v>260</v>
      </c>
      <c r="F479" s="2" t="s">
        <v>1452</v>
      </c>
      <c r="G479" s="6">
        <v>46204</v>
      </c>
      <c r="H479" s="2" t="s">
        <v>71</v>
      </c>
      <c r="I479" s="2" t="s">
        <v>39</v>
      </c>
      <c r="J479" s="9">
        <v>1369.3720000000001</v>
      </c>
      <c r="K479" s="7">
        <v>1</v>
      </c>
      <c r="L479" s="9">
        <v>1369.37</v>
      </c>
      <c r="M479" s="9">
        <v>1369.37</v>
      </c>
      <c r="N479" s="9">
        <v>1.8</v>
      </c>
      <c r="O479" s="10">
        <f>IF(AND(OR(H479="APPROVED",H479="SCHEDULED"),COUNTIFS(tblSource[EventID],F479,tblSource[ReleaseStatus],"APPROVED")=1,COUNTIFS(Period_Status!$A$2:$A$8,G479,Period_Status!$B$2:$B$8,"ActualClosed")=1,C479&gt;EOMONTH(Settlement_Bridge!$C$2,0)),1,0)</f>
        <v>1</v>
      </c>
      <c r="P479" s="2" t="s">
        <v>1453</v>
      </c>
    </row>
    <row r="480" spans="1:16" x14ac:dyDescent="0.25">
      <c r="A480" s="2" t="s">
        <v>1454</v>
      </c>
      <c r="B480" s="2" t="s">
        <v>136</v>
      </c>
      <c r="C480" s="8">
        <v>46266</v>
      </c>
      <c r="D480" s="6">
        <v>46266</v>
      </c>
      <c r="E480" s="2" t="s">
        <v>260</v>
      </c>
      <c r="F480" s="2" t="s">
        <v>1452</v>
      </c>
      <c r="G480" s="6">
        <v>46204</v>
      </c>
      <c r="H480" s="2" t="s">
        <v>176</v>
      </c>
      <c r="I480" s="2" t="s">
        <v>39</v>
      </c>
      <c r="J480" s="9">
        <v>2054.058</v>
      </c>
      <c r="K480" s="7">
        <v>1</v>
      </c>
      <c r="L480" s="9">
        <v>2054.06</v>
      </c>
      <c r="M480" s="9">
        <v>2054.06</v>
      </c>
      <c r="N480" s="9">
        <v>1.8</v>
      </c>
      <c r="O480" s="10">
        <f>IF(AND(OR(H480="APPROVED",H480="SCHEDULED"),COUNTIFS(tblSource[EventID],F480,tblSource[ReleaseStatus],"APPROVED")=1,COUNTIFS(Period_Status!$A$2:$A$8,G480,Period_Status!$B$2:$B$8,"ActualClosed")=1,C480&gt;EOMONTH(Settlement_Bridge!$C$2,0)),1,0)</f>
        <v>1</v>
      </c>
      <c r="P480" s="2" t="s">
        <v>1455</v>
      </c>
    </row>
    <row r="481" spans="1:16" x14ac:dyDescent="0.25">
      <c r="A481" s="2" t="s">
        <v>1456</v>
      </c>
      <c r="B481" s="2" t="s">
        <v>136</v>
      </c>
      <c r="C481" s="8">
        <v>46242</v>
      </c>
      <c r="D481" s="6">
        <v>46235</v>
      </c>
      <c r="E481" s="2" t="s">
        <v>260</v>
      </c>
      <c r="F481" s="2" t="s">
        <v>1457</v>
      </c>
      <c r="G481" s="6">
        <v>46204</v>
      </c>
      <c r="H481" s="2" t="s">
        <v>71</v>
      </c>
      <c r="I481" s="2" t="s">
        <v>76</v>
      </c>
      <c r="J481" s="9">
        <v>23202838.709678002</v>
      </c>
      <c r="K481" s="7">
        <v>6.1500000000000004E-5</v>
      </c>
      <c r="L481" s="9">
        <v>1426.97</v>
      </c>
      <c r="M481" s="9">
        <v>1438.58</v>
      </c>
      <c r="N481" s="9">
        <v>1.8</v>
      </c>
      <c r="O481" s="10">
        <f>IF(AND(OR(H481="APPROVED",H481="SCHEDULED"),COUNTIFS(tblSource[EventID],F481,tblSource[ReleaseStatus],"APPROVED")=1,COUNTIFS(Period_Status!$A$2:$A$8,G481,Period_Status!$B$2:$B$8,"ActualClosed")=1,C481&gt;EOMONTH(Settlement_Bridge!$C$2,0)),1,0)</f>
        <v>1</v>
      </c>
      <c r="P481" s="2" t="s">
        <v>1458</v>
      </c>
    </row>
    <row r="482" spans="1:16" x14ac:dyDescent="0.25">
      <c r="A482" s="2" t="s">
        <v>1459</v>
      </c>
      <c r="B482" s="2" t="s">
        <v>136</v>
      </c>
      <c r="C482" s="8">
        <v>46267</v>
      </c>
      <c r="D482" s="6">
        <v>46266</v>
      </c>
      <c r="E482" s="2" t="s">
        <v>260</v>
      </c>
      <c r="F482" s="2" t="s">
        <v>1457</v>
      </c>
      <c r="G482" s="6">
        <v>46204</v>
      </c>
      <c r="H482" s="2" t="s">
        <v>176</v>
      </c>
      <c r="I482" s="2" t="s">
        <v>76</v>
      </c>
      <c r="J482" s="9">
        <v>34804258.064516</v>
      </c>
      <c r="K482" s="7">
        <v>6.1299999999999999E-5</v>
      </c>
      <c r="L482" s="9">
        <v>2133.5</v>
      </c>
      <c r="M482" s="9">
        <v>2157.86</v>
      </c>
      <c r="N482" s="9">
        <v>1.8</v>
      </c>
      <c r="O482" s="10">
        <f>IF(AND(OR(H482="APPROVED",H482="SCHEDULED"),COUNTIFS(tblSource[EventID],F482,tblSource[ReleaseStatus],"APPROVED")=1,COUNTIFS(Period_Status!$A$2:$A$8,G482,Period_Status!$B$2:$B$8,"ActualClosed")=1,C482&gt;EOMONTH(Settlement_Bridge!$C$2,0)),1,0)</f>
        <v>1</v>
      </c>
      <c r="P482" s="2" t="s">
        <v>1460</v>
      </c>
    </row>
    <row r="483" spans="1:16" x14ac:dyDescent="0.25">
      <c r="A483" s="2" t="s">
        <v>1461</v>
      </c>
      <c r="B483" s="2" t="s">
        <v>136</v>
      </c>
      <c r="C483" s="8">
        <v>46253</v>
      </c>
      <c r="D483" s="6">
        <v>46235</v>
      </c>
      <c r="E483" s="2" t="s">
        <v>260</v>
      </c>
      <c r="F483" s="2" t="s">
        <v>1462</v>
      </c>
      <c r="G483" s="6">
        <v>46204</v>
      </c>
      <c r="H483" s="2" t="s">
        <v>71</v>
      </c>
      <c r="I483" s="2" t="s">
        <v>70</v>
      </c>
      <c r="J483" s="9">
        <v>5728.6474159999998</v>
      </c>
      <c r="K483" s="7">
        <v>0.65</v>
      </c>
      <c r="L483" s="9">
        <v>3723.62</v>
      </c>
      <c r="M483" s="9">
        <v>3769.45</v>
      </c>
      <c r="N483" s="9">
        <v>2.0499999999999998</v>
      </c>
      <c r="O483" s="10">
        <f>IF(AND(OR(H483="APPROVED",H483="SCHEDULED"),COUNTIFS(tblSource[EventID],F483,tblSource[ReleaseStatus],"APPROVED")=1,COUNTIFS(Period_Status!$A$2:$A$8,G483,Period_Status!$B$2:$B$8,"ActualClosed")=1,C483&gt;EOMONTH(Settlement_Bridge!$C$2,0)),1,0)</f>
        <v>1</v>
      </c>
      <c r="P483" s="2" t="s">
        <v>1463</v>
      </c>
    </row>
    <row r="484" spans="1:16" x14ac:dyDescent="0.25">
      <c r="A484" s="2" t="s">
        <v>1464</v>
      </c>
      <c r="B484" s="2" t="s">
        <v>136</v>
      </c>
      <c r="C484" s="8">
        <v>46254</v>
      </c>
      <c r="D484" s="6">
        <v>46235</v>
      </c>
      <c r="E484" s="2" t="s">
        <v>260</v>
      </c>
      <c r="F484" s="2" t="s">
        <v>1465</v>
      </c>
      <c r="G484" s="6">
        <v>46204</v>
      </c>
      <c r="H484" s="2" t="s">
        <v>71</v>
      </c>
      <c r="I484" s="2" t="s">
        <v>39</v>
      </c>
      <c r="J484" s="9">
        <v>3942.46</v>
      </c>
      <c r="K484" s="7">
        <v>1</v>
      </c>
      <c r="L484" s="9">
        <v>3942.46</v>
      </c>
      <c r="M484" s="9">
        <v>3942.46</v>
      </c>
      <c r="N484" s="9">
        <v>2.17</v>
      </c>
      <c r="O484" s="10">
        <f>IF(AND(OR(H484="APPROVED",H484="SCHEDULED"),COUNTIFS(tblSource[EventID],F484,tblSource[ReleaseStatus],"APPROVED")=1,COUNTIFS(Period_Status!$A$2:$A$8,G484,Period_Status!$B$2:$B$8,"ActualClosed")=1,C484&gt;EOMONTH(Settlement_Bridge!$C$2,0)),1,0)</f>
        <v>1</v>
      </c>
      <c r="P484" s="2" t="s">
        <v>1466</v>
      </c>
    </row>
    <row r="485" spans="1:16" x14ac:dyDescent="0.25">
      <c r="A485" s="2" t="s">
        <v>1467</v>
      </c>
      <c r="B485" s="2" t="s">
        <v>136</v>
      </c>
      <c r="C485" s="8">
        <v>46245</v>
      </c>
      <c r="D485" s="6">
        <v>46235</v>
      </c>
      <c r="E485" s="2" t="s">
        <v>260</v>
      </c>
      <c r="F485" s="2" t="s">
        <v>1468</v>
      </c>
      <c r="G485" s="6">
        <v>46204</v>
      </c>
      <c r="H485" s="2" t="s">
        <v>71</v>
      </c>
      <c r="I485" s="2" t="s">
        <v>76</v>
      </c>
      <c r="J485" s="9">
        <v>26551419.354839001</v>
      </c>
      <c r="K485" s="7">
        <v>6.1500000000000004E-5</v>
      </c>
      <c r="L485" s="9">
        <v>1632.91</v>
      </c>
      <c r="M485" s="9">
        <v>1646.19</v>
      </c>
      <c r="N485" s="9">
        <v>1.8</v>
      </c>
      <c r="O485" s="10">
        <f>IF(AND(OR(H485="APPROVED",H485="SCHEDULED"),COUNTIFS(tblSource[EventID],F485,tblSource[ReleaseStatus],"APPROVED")=1,COUNTIFS(Period_Status!$A$2:$A$8,G485,Period_Status!$B$2:$B$8,"ActualClosed")=1,C485&gt;EOMONTH(Settlement_Bridge!$C$2,0)),1,0)</f>
        <v>1</v>
      </c>
      <c r="P485" s="2" t="s">
        <v>1469</v>
      </c>
    </row>
    <row r="486" spans="1:16" x14ac:dyDescent="0.25">
      <c r="A486" s="2" t="s">
        <v>1470</v>
      </c>
      <c r="B486" s="2" t="s">
        <v>136</v>
      </c>
      <c r="C486" s="8">
        <v>46270</v>
      </c>
      <c r="D486" s="6">
        <v>46266</v>
      </c>
      <c r="E486" s="2" t="s">
        <v>260</v>
      </c>
      <c r="F486" s="2" t="s">
        <v>1468</v>
      </c>
      <c r="G486" s="6">
        <v>46204</v>
      </c>
      <c r="H486" s="2" t="s">
        <v>176</v>
      </c>
      <c r="I486" s="2" t="s">
        <v>76</v>
      </c>
      <c r="J486" s="9">
        <v>39827129.032257996</v>
      </c>
      <c r="K486" s="7">
        <v>6.1299999999999999E-5</v>
      </c>
      <c r="L486" s="9">
        <v>2441.4</v>
      </c>
      <c r="M486" s="9">
        <v>2469.2800000000002</v>
      </c>
      <c r="N486" s="9">
        <v>1.8</v>
      </c>
      <c r="O486" s="10">
        <f>IF(AND(OR(H486="APPROVED",H486="SCHEDULED"),COUNTIFS(tblSource[EventID],F486,tblSource[ReleaseStatus],"APPROVED")=1,COUNTIFS(Period_Status!$A$2:$A$8,G486,Period_Status!$B$2:$B$8,"ActualClosed")=1,C486&gt;EOMONTH(Settlement_Bridge!$C$2,0)),1,0)</f>
        <v>1</v>
      </c>
      <c r="P486" s="2" t="s">
        <v>1471</v>
      </c>
    </row>
    <row r="487" spans="1:16" x14ac:dyDescent="0.25">
      <c r="A487" s="2" t="s">
        <v>1472</v>
      </c>
      <c r="B487" s="2" t="s">
        <v>136</v>
      </c>
      <c r="C487" s="8">
        <v>46256</v>
      </c>
      <c r="D487" s="6">
        <v>46235</v>
      </c>
      <c r="E487" s="2" t="s">
        <v>260</v>
      </c>
      <c r="F487" s="2" t="s">
        <v>1473</v>
      </c>
      <c r="G487" s="6">
        <v>46204</v>
      </c>
      <c r="H487" s="2" t="s">
        <v>71</v>
      </c>
      <c r="I487" s="2" t="s">
        <v>70</v>
      </c>
      <c r="J487" s="9">
        <v>6517.446809</v>
      </c>
      <c r="K487" s="7">
        <v>0.65</v>
      </c>
      <c r="L487" s="9">
        <v>4236.34</v>
      </c>
      <c r="M487" s="9">
        <v>4288.4799999999996</v>
      </c>
      <c r="N487" s="9">
        <v>2.33</v>
      </c>
      <c r="O487" s="10">
        <f>IF(AND(OR(H487="APPROVED",H487="SCHEDULED"),COUNTIFS(tblSource[EventID],F487,tblSource[ReleaseStatus],"APPROVED")=1,COUNTIFS(Period_Status!$A$2:$A$8,G487,Period_Status!$B$2:$B$8,"ActualClosed")=1,C487&gt;EOMONTH(Settlement_Bridge!$C$2,0)),1,0)</f>
        <v>1</v>
      </c>
      <c r="P487" s="2" t="s">
        <v>1474</v>
      </c>
    </row>
    <row r="488" spans="1:16" x14ac:dyDescent="0.25">
      <c r="A488" s="2" t="s">
        <v>1475</v>
      </c>
      <c r="B488" s="2" t="s">
        <v>136</v>
      </c>
      <c r="C488" s="8">
        <v>46257</v>
      </c>
      <c r="D488" s="6">
        <v>46235</v>
      </c>
      <c r="E488" s="2" t="s">
        <v>260</v>
      </c>
      <c r="F488" s="2" t="s">
        <v>1476</v>
      </c>
      <c r="G488" s="6">
        <v>46204</v>
      </c>
      <c r="H488" s="2" t="s">
        <v>71</v>
      </c>
      <c r="I488" s="2" t="s">
        <v>39</v>
      </c>
      <c r="J488" s="9">
        <v>4461.49</v>
      </c>
      <c r="K488" s="7">
        <v>1</v>
      </c>
      <c r="L488" s="9">
        <v>4461.49</v>
      </c>
      <c r="M488" s="9">
        <v>4461.49</v>
      </c>
      <c r="N488" s="9">
        <v>2.4500000000000002</v>
      </c>
      <c r="O488" s="10">
        <f>IF(AND(OR(H488="APPROVED",H488="SCHEDULED"),COUNTIFS(tblSource[EventID],F488,tblSource[ReleaseStatus],"APPROVED")=1,COUNTIFS(Period_Status!$A$2:$A$8,G488,Period_Status!$B$2:$B$8,"ActualClosed")=1,C488&gt;EOMONTH(Settlement_Bridge!$C$2,0)),1,0)</f>
        <v>1</v>
      </c>
      <c r="P488" s="2" t="s">
        <v>1477</v>
      </c>
    </row>
    <row r="489" spans="1:16" x14ac:dyDescent="0.25">
      <c r="A489" s="2" t="s">
        <v>1478</v>
      </c>
      <c r="B489" s="2" t="s">
        <v>136</v>
      </c>
      <c r="C489" s="8">
        <v>46258</v>
      </c>
      <c r="D489" s="6">
        <v>46235</v>
      </c>
      <c r="E489" s="2" t="s">
        <v>260</v>
      </c>
      <c r="F489" s="2" t="s">
        <v>1479</v>
      </c>
      <c r="G489" s="6">
        <v>46204</v>
      </c>
      <c r="H489" s="2" t="s">
        <v>71</v>
      </c>
      <c r="I489" s="2" t="s">
        <v>76</v>
      </c>
      <c r="J489" s="9">
        <v>74750000</v>
      </c>
      <c r="K489" s="7">
        <v>6.1500000000000004E-5</v>
      </c>
      <c r="L489" s="9">
        <v>4597.13</v>
      </c>
      <c r="M489" s="9">
        <v>4634.5</v>
      </c>
      <c r="N489" s="9">
        <v>2.5299999999999998</v>
      </c>
      <c r="O489" s="10">
        <f>IF(AND(OR(H489="APPROVED",H489="SCHEDULED"),COUNTIFS(tblSource[EventID],F489,tblSource[ReleaseStatus],"APPROVED")=1,COUNTIFS(Period_Status!$A$2:$A$8,G489,Period_Status!$B$2:$B$8,"ActualClosed")=1,C489&gt;EOMONTH(Settlement_Bridge!$C$2,0)),1,0)</f>
        <v>1</v>
      </c>
      <c r="P489" s="2" t="s">
        <v>1480</v>
      </c>
    </row>
    <row r="490" spans="1:16" x14ac:dyDescent="0.25">
      <c r="A490" s="2" t="s">
        <v>1481</v>
      </c>
      <c r="B490" s="2" t="s">
        <v>136</v>
      </c>
      <c r="C490" s="8">
        <v>46228</v>
      </c>
      <c r="D490" s="6">
        <v>46204</v>
      </c>
      <c r="E490" s="2" t="s">
        <v>260</v>
      </c>
      <c r="F490" s="2" t="s">
        <v>1482</v>
      </c>
      <c r="G490" s="6">
        <v>46204</v>
      </c>
      <c r="H490" s="2" t="s">
        <v>71</v>
      </c>
      <c r="I490" s="2" t="s">
        <v>70</v>
      </c>
      <c r="J490" s="9">
        <v>7306.2462009999999</v>
      </c>
      <c r="K490" s="7">
        <v>0.65800000000000003</v>
      </c>
      <c r="L490" s="9">
        <v>4807.51</v>
      </c>
      <c r="M490" s="9">
        <v>4807.51</v>
      </c>
      <c r="N490" s="9">
        <v>2.64</v>
      </c>
      <c r="O490" s="10">
        <f>IF(AND(OR(H490="APPROVED",H490="SCHEDULED"),COUNTIFS(tblSource[EventID],F490,tblSource[ReleaseStatus],"APPROVED")=1,COUNTIFS(Period_Status!$A$2:$A$8,G490,Period_Status!$B$2:$B$8,"ActualClosed")=1,C490&gt;EOMONTH(Settlement_Bridge!$C$2,0)),1,0)</f>
        <v>0</v>
      </c>
      <c r="P490" s="2" t="s">
        <v>1483</v>
      </c>
    </row>
    <row r="491" spans="1:16" x14ac:dyDescent="0.25">
      <c r="A491" s="2" t="s">
        <v>1484</v>
      </c>
      <c r="B491" s="2" t="s">
        <v>136</v>
      </c>
      <c r="C491" s="8">
        <v>46229</v>
      </c>
      <c r="D491" s="6">
        <v>46204</v>
      </c>
      <c r="E491" s="2" t="s">
        <v>260</v>
      </c>
      <c r="F491" s="2" t="s">
        <v>1485</v>
      </c>
      <c r="G491" s="6">
        <v>46204</v>
      </c>
      <c r="H491" s="2" t="s">
        <v>71</v>
      </c>
      <c r="I491" s="2" t="s">
        <v>39</v>
      </c>
      <c r="J491" s="9">
        <v>4980.5200000000004</v>
      </c>
      <c r="K491" s="7">
        <v>1</v>
      </c>
      <c r="L491" s="9">
        <v>4980.5200000000004</v>
      </c>
      <c r="M491" s="9">
        <v>4980.5200000000004</v>
      </c>
      <c r="N491" s="9">
        <v>2.74</v>
      </c>
      <c r="O491" s="10">
        <f>IF(AND(OR(H491="APPROVED",H491="SCHEDULED"),COUNTIFS(tblSource[EventID],F491,tblSource[ReleaseStatus],"APPROVED")=1,COUNTIFS(Period_Status!$A$2:$A$8,G491,Period_Status!$B$2:$B$8,"ActualClosed")=1,C491&gt;EOMONTH(Settlement_Bridge!$C$2,0)),1,0)</f>
        <v>0</v>
      </c>
      <c r="P491" s="2" t="s">
        <v>1486</v>
      </c>
    </row>
    <row r="492" spans="1:16" x14ac:dyDescent="0.25">
      <c r="A492" s="2" t="s">
        <v>1487</v>
      </c>
      <c r="B492" s="2" t="s">
        <v>136</v>
      </c>
      <c r="C492" s="8">
        <v>46220</v>
      </c>
      <c r="D492" s="6">
        <v>46204</v>
      </c>
      <c r="E492" s="2" t="s">
        <v>260</v>
      </c>
      <c r="F492" s="2" t="s">
        <v>1488</v>
      </c>
      <c r="G492" s="6">
        <v>46204</v>
      </c>
      <c r="H492" s="2" t="s">
        <v>71</v>
      </c>
      <c r="I492" s="2" t="s">
        <v>76</v>
      </c>
      <c r="J492" s="9">
        <v>33248580.645160999</v>
      </c>
      <c r="K492" s="7">
        <v>6.2000000000000003E-5</v>
      </c>
      <c r="L492" s="9">
        <v>2061.41</v>
      </c>
      <c r="M492" s="9">
        <v>2061.41</v>
      </c>
      <c r="N492" s="9">
        <v>1.8</v>
      </c>
      <c r="O492" s="10">
        <f>IF(AND(OR(H492="APPROVED",H492="SCHEDULED"),COUNTIFS(tblSource[EventID],F492,tblSource[ReleaseStatus],"APPROVED")=1,COUNTIFS(Period_Status!$A$2:$A$8,G492,Period_Status!$B$2:$B$8,"ActualClosed")=1,C492&gt;EOMONTH(Settlement_Bridge!$C$2,0)),1,0)</f>
        <v>0</v>
      </c>
      <c r="P492" s="2" t="s">
        <v>1489</v>
      </c>
    </row>
    <row r="493" spans="1:16" x14ac:dyDescent="0.25">
      <c r="A493" s="2" t="s">
        <v>1490</v>
      </c>
      <c r="B493" s="2" t="s">
        <v>136</v>
      </c>
      <c r="C493" s="8">
        <v>46245</v>
      </c>
      <c r="D493" s="6">
        <v>46235</v>
      </c>
      <c r="E493" s="2" t="s">
        <v>260</v>
      </c>
      <c r="F493" s="2" t="s">
        <v>1488</v>
      </c>
      <c r="G493" s="6">
        <v>46204</v>
      </c>
      <c r="H493" s="2" t="s">
        <v>71</v>
      </c>
      <c r="I493" s="2" t="s">
        <v>76</v>
      </c>
      <c r="J493" s="9">
        <v>49872870.967742004</v>
      </c>
      <c r="K493" s="7">
        <v>6.1500000000000004E-5</v>
      </c>
      <c r="L493" s="9">
        <v>3067.18</v>
      </c>
      <c r="M493" s="9">
        <v>3092.12</v>
      </c>
      <c r="N493" s="9">
        <v>1.8</v>
      </c>
      <c r="O493" s="10">
        <f>IF(AND(OR(H493="APPROVED",H493="SCHEDULED"),COUNTIFS(tblSource[EventID],F493,tblSource[ReleaseStatus],"APPROVED")=1,COUNTIFS(Period_Status!$A$2:$A$8,G493,Period_Status!$B$2:$B$8,"ActualClosed")=1,C493&gt;EOMONTH(Settlement_Bridge!$C$2,0)),1,0)</f>
        <v>1</v>
      </c>
      <c r="P493" s="2" t="s">
        <v>1491</v>
      </c>
    </row>
    <row r="494" spans="1:16" x14ac:dyDescent="0.25">
      <c r="A494" s="2" t="s">
        <v>1492</v>
      </c>
      <c r="B494" s="2" t="s">
        <v>136</v>
      </c>
      <c r="C494" s="8">
        <v>46221</v>
      </c>
      <c r="D494" s="6">
        <v>46204</v>
      </c>
      <c r="E494" s="2" t="s">
        <v>260</v>
      </c>
      <c r="F494" s="2" t="s">
        <v>1493</v>
      </c>
      <c r="G494" s="6">
        <v>46204</v>
      </c>
      <c r="H494" s="2" t="s">
        <v>71</v>
      </c>
      <c r="I494" s="2" t="s">
        <v>70</v>
      </c>
      <c r="J494" s="9">
        <v>3238.0182370000002</v>
      </c>
      <c r="K494" s="7">
        <v>0.65800000000000003</v>
      </c>
      <c r="L494" s="9">
        <v>2130.62</v>
      </c>
      <c r="M494" s="9">
        <v>2130.62</v>
      </c>
      <c r="N494" s="9">
        <v>1.8</v>
      </c>
      <c r="O494" s="10">
        <f>IF(AND(OR(H494="APPROVED",H494="SCHEDULED"),COUNTIFS(tblSource[EventID],F494,tblSource[ReleaseStatus],"APPROVED")=1,COUNTIFS(Period_Status!$A$2:$A$8,G494,Period_Status!$B$2:$B$8,"ActualClosed")=1,C494&gt;EOMONTH(Settlement_Bridge!$C$2,0)),1,0)</f>
        <v>0</v>
      </c>
      <c r="P494" s="2" t="s">
        <v>1494</v>
      </c>
    </row>
    <row r="495" spans="1:16" x14ac:dyDescent="0.25">
      <c r="A495" s="2" t="s">
        <v>1495</v>
      </c>
      <c r="B495" s="2" t="s">
        <v>136</v>
      </c>
      <c r="C495" s="8">
        <v>46246</v>
      </c>
      <c r="D495" s="6">
        <v>46235</v>
      </c>
      <c r="E495" s="2" t="s">
        <v>260</v>
      </c>
      <c r="F495" s="2" t="s">
        <v>1493</v>
      </c>
      <c r="G495" s="6">
        <v>46204</v>
      </c>
      <c r="H495" s="2" t="s">
        <v>71</v>
      </c>
      <c r="I495" s="2" t="s">
        <v>70</v>
      </c>
      <c r="J495" s="9">
        <v>4857.0273559999996</v>
      </c>
      <c r="K495" s="7">
        <v>0.65</v>
      </c>
      <c r="L495" s="9">
        <v>3157.07</v>
      </c>
      <c r="M495" s="9">
        <v>3195.92</v>
      </c>
      <c r="N495" s="9">
        <v>1.8</v>
      </c>
      <c r="O495" s="10">
        <f>IF(AND(OR(H495="APPROVED",H495="SCHEDULED"),COUNTIFS(tblSource[EventID],F495,tblSource[ReleaseStatus],"APPROVED")=1,COUNTIFS(Period_Status!$A$2:$A$8,G495,Period_Status!$B$2:$B$8,"ActualClosed")=1,C495&gt;EOMONTH(Settlement_Bridge!$C$2,0)),1,0)</f>
        <v>1</v>
      </c>
      <c r="P495" s="2" t="s">
        <v>1496</v>
      </c>
    </row>
    <row r="496" spans="1:16" x14ac:dyDescent="0.25">
      <c r="A496" s="2" t="s">
        <v>1497</v>
      </c>
      <c r="B496" s="2" t="s">
        <v>136</v>
      </c>
      <c r="C496" s="8">
        <v>46232</v>
      </c>
      <c r="D496" s="6">
        <v>46204</v>
      </c>
      <c r="E496" s="2" t="s">
        <v>260</v>
      </c>
      <c r="F496" s="2" t="s">
        <v>1498</v>
      </c>
      <c r="G496" s="6">
        <v>46204</v>
      </c>
      <c r="H496" s="2" t="s">
        <v>71</v>
      </c>
      <c r="I496" s="2" t="s">
        <v>39</v>
      </c>
      <c r="J496" s="9">
        <v>5499.55</v>
      </c>
      <c r="K496" s="7">
        <v>1</v>
      </c>
      <c r="L496" s="9">
        <v>5499.55</v>
      </c>
      <c r="M496" s="9">
        <v>5499.55</v>
      </c>
      <c r="N496" s="9">
        <v>3.02</v>
      </c>
      <c r="O496" s="10">
        <f>IF(AND(OR(H496="APPROVED",H496="SCHEDULED"),COUNTIFS(tblSource[EventID],F496,tblSource[ReleaseStatus],"APPROVED")=1,COUNTIFS(Period_Status!$A$2:$A$8,G496,Period_Status!$B$2:$B$8,"ActualClosed")=1,C496&gt;EOMONTH(Settlement_Bridge!$C$2,0)),1,0)</f>
        <v>0</v>
      </c>
      <c r="P496" s="2" t="s">
        <v>1499</v>
      </c>
    </row>
    <row r="497" spans="1:16" x14ac:dyDescent="0.25">
      <c r="A497" s="2" t="s">
        <v>1500</v>
      </c>
      <c r="B497" s="2" t="s">
        <v>136</v>
      </c>
      <c r="C497" s="8">
        <v>46233</v>
      </c>
      <c r="D497" s="6">
        <v>46204</v>
      </c>
      <c r="E497" s="2" t="s">
        <v>260</v>
      </c>
      <c r="F497" s="2" t="s">
        <v>1501</v>
      </c>
      <c r="G497" s="6">
        <v>46204</v>
      </c>
      <c r="H497" s="2" t="s">
        <v>71</v>
      </c>
      <c r="I497" s="2" t="s">
        <v>76</v>
      </c>
      <c r="J497" s="9">
        <v>91492903.225805998</v>
      </c>
      <c r="K497" s="7">
        <v>6.2000000000000003E-5</v>
      </c>
      <c r="L497" s="9">
        <v>5672.56</v>
      </c>
      <c r="M497" s="9">
        <v>5672.56</v>
      </c>
      <c r="N497" s="9">
        <v>3.12</v>
      </c>
      <c r="O497" s="10">
        <f>IF(AND(OR(H497="APPROVED",H497="SCHEDULED"),COUNTIFS(tblSource[EventID],F497,tblSource[ReleaseStatus],"APPROVED")=1,COUNTIFS(Period_Status!$A$2:$A$8,G497,Period_Status!$B$2:$B$8,"ActualClosed")=1,C497&gt;EOMONTH(Settlement_Bridge!$C$2,0)),1,0)</f>
        <v>0</v>
      </c>
      <c r="P497" s="2" t="s">
        <v>1502</v>
      </c>
    </row>
    <row r="498" spans="1:16" x14ac:dyDescent="0.25">
      <c r="A498" s="2" t="s">
        <v>1503</v>
      </c>
      <c r="B498" s="2" t="s">
        <v>136</v>
      </c>
      <c r="C498" s="8">
        <v>46224</v>
      </c>
      <c r="D498" s="6">
        <v>46204</v>
      </c>
      <c r="E498" s="2" t="s">
        <v>260</v>
      </c>
      <c r="F498" s="2" t="s">
        <v>1504</v>
      </c>
      <c r="G498" s="6">
        <v>46204</v>
      </c>
      <c r="H498" s="2" t="s">
        <v>71</v>
      </c>
      <c r="I498" s="2" t="s">
        <v>70</v>
      </c>
      <c r="J498" s="9">
        <v>3553.5379939999998</v>
      </c>
      <c r="K498" s="7">
        <v>0.65800000000000003</v>
      </c>
      <c r="L498" s="9">
        <v>2338.23</v>
      </c>
      <c r="M498" s="9">
        <v>2338.23</v>
      </c>
      <c r="N498" s="9">
        <v>1.8</v>
      </c>
      <c r="O498" s="10">
        <f>IF(AND(OR(H498="APPROVED",H498="SCHEDULED"),COUNTIFS(tblSource[EventID],F498,tblSource[ReleaseStatus],"APPROVED")=1,COUNTIFS(Period_Status!$A$2:$A$8,G498,Period_Status!$B$2:$B$8,"ActualClosed")=1,C498&gt;EOMONTH(Settlement_Bridge!$C$2,0)),1,0)</f>
        <v>0</v>
      </c>
      <c r="P498" s="2" t="s">
        <v>1505</v>
      </c>
    </row>
    <row r="499" spans="1:16" x14ac:dyDescent="0.25">
      <c r="A499" s="2" t="s">
        <v>1506</v>
      </c>
      <c r="B499" s="2" t="s">
        <v>136</v>
      </c>
      <c r="C499" s="8">
        <v>46249</v>
      </c>
      <c r="D499" s="6">
        <v>46235</v>
      </c>
      <c r="E499" s="2" t="s">
        <v>260</v>
      </c>
      <c r="F499" s="2" t="s">
        <v>1504</v>
      </c>
      <c r="G499" s="6">
        <v>46204</v>
      </c>
      <c r="H499" s="2" t="s">
        <v>71</v>
      </c>
      <c r="I499" s="2" t="s">
        <v>70</v>
      </c>
      <c r="J499" s="9">
        <v>5330.3069910000004</v>
      </c>
      <c r="K499" s="7">
        <v>0.65</v>
      </c>
      <c r="L499" s="9">
        <v>3464.7</v>
      </c>
      <c r="M499" s="9">
        <v>3507.34</v>
      </c>
      <c r="N499" s="9">
        <v>1.91</v>
      </c>
      <c r="O499" s="10">
        <f>IF(AND(OR(H499="APPROVED",H499="SCHEDULED"),COUNTIFS(tblSource[EventID],F499,tblSource[ReleaseStatus],"APPROVED")=1,COUNTIFS(Period_Status!$A$2:$A$8,G499,Period_Status!$B$2:$B$8,"ActualClosed")=1,C499&gt;EOMONTH(Settlement_Bridge!$C$2,0)),1,0)</f>
        <v>1</v>
      </c>
      <c r="P499" s="2" t="s">
        <v>1507</v>
      </c>
    </row>
    <row r="500" spans="1:16" x14ac:dyDescent="0.25">
      <c r="A500" s="2" t="s">
        <v>1508</v>
      </c>
      <c r="B500" s="2" t="s">
        <v>136</v>
      </c>
      <c r="C500" s="8">
        <v>46235</v>
      </c>
      <c r="D500" s="6">
        <v>46235</v>
      </c>
      <c r="E500" s="2" t="s">
        <v>260</v>
      </c>
      <c r="F500" s="2" t="s">
        <v>1509</v>
      </c>
      <c r="G500" s="6">
        <v>46204</v>
      </c>
      <c r="H500" s="2" t="s">
        <v>71</v>
      </c>
      <c r="I500" s="2" t="s">
        <v>39</v>
      </c>
      <c r="J500" s="9">
        <v>6018.58</v>
      </c>
      <c r="K500" s="7">
        <v>1</v>
      </c>
      <c r="L500" s="9">
        <v>6018.58</v>
      </c>
      <c r="M500" s="9">
        <v>6018.58</v>
      </c>
      <c r="N500" s="9">
        <v>3.31</v>
      </c>
      <c r="O500" s="10">
        <f>IF(AND(OR(H500="APPROVED",H500="SCHEDULED"),COUNTIFS(tblSource[EventID],F500,tblSource[ReleaseStatus],"APPROVED")=1,COUNTIFS(Period_Status!$A$2:$A$8,G500,Period_Status!$B$2:$B$8,"ActualClosed")=1,C500&gt;EOMONTH(Settlement_Bridge!$C$2,0)),1,0)</f>
        <v>1</v>
      </c>
      <c r="P500" s="2" t="s">
        <v>1510</v>
      </c>
    </row>
    <row r="501" spans="1:16" x14ac:dyDescent="0.25">
      <c r="A501" s="2" t="s">
        <v>1511</v>
      </c>
      <c r="B501" s="2" t="s">
        <v>136</v>
      </c>
      <c r="C501" s="8">
        <v>46236</v>
      </c>
      <c r="D501" s="6">
        <v>46235</v>
      </c>
      <c r="E501" s="2" t="s">
        <v>260</v>
      </c>
      <c r="F501" s="2" t="s">
        <v>1512</v>
      </c>
      <c r="G501" s="6">
        <v>46204</v>
      </c>
      <c r="H501" s="2" t="s">
        <v>71</v>
      </c>
      <c r="I501" s="2" t="s">
        <v>76</v>
      </c>
      <c r="J501" s="9">
        <v>99864354.838709995</v>
      </c>
      <c r="K501" s="7">
        <v>6.1500000000000004E-5</v>
      </c>
      <c r="L501" s="9">
        <v>6141.66</v>
      </c>
      <c r="M501" s="9">
        <v>6191.59</v>
      </c>
      <c r="N501" s="9">
        <v>3.38</v>
      </c>
      <c r="O501" s="10">
        <f>IF(AND(OR(H501="APPROVED",H501="SCHEDULED"),COUNTIFS(tblSource[EventID],F501,tblSource[ReleaseStatus],"APPROVED")=1,COUNTIFS(Period_Status!$A$2:$A$8,G501,Period_Status!$B$2:$B$8,"ActualClosed")=1,C501&gt;EOMONTH(Settlement_Bridge!$C$2,0)),1,0)</f>
        <v>1</v>
      </c>
      <c r="P501" s="2" t="s">
        <v>1513</v>
      </c>
    </row>
    <row r="502" spans="1:16" x14ac:dyDescent="0.25">
      <c r="A502" s="2" t="s">
        <v>1514</v>
      </c>
      <c r="B502" s="2" t="s">
        <v>136</v>
      </c>
      <c r="C502" s="8">
        <v>46237</v>
      </c>
      <c r="D502" s="6">
        <v>46235</v>
      </c>
      <c r="E502" s="2" t="s">
        <v>260</v>
      </c>
      <c r="F502" s="2" t="s">
        <v>1515</v>
      </c>
      <c r="G502" s="6">
        <v>46204</v>
      </c>
      <c r="H502" s="2" t="s">
        <v>71</v>
      </c>
      <c r="I502" s="2" t="s">
        <v>70</v>
      </c>
      <c r="J502" s="9">
        <v>9672.6443770000005</v>
      </c>
      <c r="K502" s="7">
        <v>0.65</v>
      </c>
      <c r="L502" s="9">
        <v>6287.22</v>
      </c>
      <c r="M502" s="9">
        <v>6364.6</v>
      </c>
      <c r="N502" s="9">
        <v>3.46</v>
      </c>
      <c r="O502" s="10">
        <f>IF(AND(OR(H502="APPROVED",H502="SCHEDULED"),COUNTIFS(tblSource[EventID],F502,tblSource[ReleaseStatus],"APPROVED")=1,COUNTIFS(Period_Status!$A$2:$A$8,G502,Period_Status!$B$2:$B$8,"ActualClosed")=1,C502&gt;EOMONTH(Settlement_Bridge!$C$2,0)),1,0)</f>
        <v>1</v>
      </c>
      <c r="P502" s="2" t="s">
        <v>1516</v>
      </c>
    </row>
    <row r="503" spans="1:16" x14ac:dyDescent="0.25">
      <c r="A503" s="2" t="s">
        <v>1517</v>
      </c>
      <c r="B503" s="2" t="s">
        <v>136</v>
      </c>
      <c r="C503" s="8">
        <v>46238</v>
      </c>
      <c r="D503" s="6">
        <v>46235</v>
      </c>
      <c r="E503" s="2" t="s">
        <v>260</v>
      </c>
      <c r="F503" s="2" t="s">
        <v>1518</v>
      </c>
      <c r="G503" s="6">
        <v>46204</v>
      </c>
      <c r="H503" s="2" t="s">
        <v>71</v>
      </c>
      <c r="I503" s="2" t="s">
        <v>39</v>
      </c>
      <c r="J503" s="9">
        <v>6537.61</v>
      </c>
      <c r="K503" s="7">
        <v>1</v>
      </c>
      <c r="L503" s="9">
        <v>6537.61</v>
      </c>
      <c r="M503" s="9">
        <v>6537.61</v>
      </c>
      <c r="N503" s="9">
        <v>3.6</v>
      </c>
      <c r="O503" s="10">
        <f>IF(AND(OR(H503="APPROVED",H503="SCHEDULED"),COUNTIFS(tblSource[EventID],F503,tblSource[ReleaseStatus],"APPROVED")=1,COUNTIFS(Period_Status!$A$2:$A$8,G503,Period_Status!$B$2:$B$8,"ActualClosed")=1,C503&gt;EOMONTH(Settlement_Bridge!$C$2,0)),1,0)</f>
        <v>1</v>
      </c>
      <c r="P503" s="2" t="s">
        <v>1519</v>
      </c>
    </row>
    <row r="504" spans="1:16" x14ac:dyDescent="0.25">
      <c r="A504" s="2" t="s">
        <v>1520</v>
      </c>
      <c r="B504" s="2" t="s">
        <v>136</v>
      </c>
      <c r="C504" s="8">
        <v>46239</v>
      </c>
      <c r="D504" s="6">
        <v>46235</v>
      </c>
      <c r="E504" s="2" t="s">
        <v>260</v>
      </c>
      <c r="F504" s="2" t="s">
        <v>1521</v>
      </c>
      <c r="G504" s="6">
        <v>46204</v>
      </c>
      <c r="H504" s="2" t="s">
        <v>71</v>
      </c>
      <c r="I504" s="2" t="s">
        <v>76</v>
      </c>
      <c r="J504" s="9">
        <v>108235806.45161299</v>
      </c>
      <c r="K504" s="7">
        <v>6.1500000000000004E-5</v>
      </c>
      <c r="L504" s="9">
        <v>6656.5</v>
      </c>
      <c r="M504" s="9">
        <v>6710.62</v>
      </c>
      <c r="N504" s="9">
        <v>3.66</v>
      </c>
      <c r="O504" s="10">
        <f>IF(AND(OR(H504="APPROVED",H504="SCHEDULED"),COUNTIFS(tblSource[EventID],F504,tblSource[ReleaseStatus],"APPROVED")=1,COUNTIFS(Period_Status!$A$2:$A$8,G504,Period_Status!$B$2:$B$8,"ActualClosed")=1,C504&gt;EOMONTH(Settlement_Bridge!$C$2,0)),1,0)</f>
        <v>1</v>
      </c>
      <c r="P504" s="2" t="s">
        <v>1522</v>
      </c>
    </row>
    <row r="505" spans="1:16" x14ac:dyDescent="0.25">
      <c r="A505" s="2" t="s">
        <v>1523</v>
      </c>
      <c r="B505" s="2" t="s">
        <v>136</v>
      </c>
      <c r="C505" s="8">
        <v>46230</v>
      </c>
      <c r="D505" s="6">
        <v>46204</v>
      </c>
      <c r="E505" s="2" t="s">
        <v>260</v>
      </c>
      <c r="F505" s="2" t="s">
        <v>1524</v>
      </c>
      <c r="G505" s="6">
        <v>46204</v>
      </c>
      <c r="H505" s="2" t="s">
        <v>71</v>
      </c>
      <c r="I505" s="2" t="s">
        <v>70</v>
      </c>
      <c r="J505" s="9">
        <v>4184.5775080000003</v>
      </c>
      <c r="K505" s="7">
        <v>0.65800000000000003</v>
      </c>
      <c r="L505" s="9">
        <v>2753.45</v>
      </c>
      <c r="M505" s="9">
        <v>2753.45</v>
      </c>
      <c r="N505" s="9">
        <v>1.8</v>
      </c>
      <c r="O505" s="10">
        <f>IF(AND(OR(H505="APPROVED",H505="SCHEDULED"),COUNTIFS(tblSource[EventID],F505,tblSource[ReleaseStatus],"APPROVED")=1,COUNTIFS(Period_Status!$A$2:$A$8,G505,Period_Status!$B$2:$B$8,"ActualClosed")=1,C505&gt;EOMONTH(Settlement_Bridge!$C$2,0)),1,0)</f>
        <v>0</v>
      </c>
      <c r="P505" s="2" t="s">
        <v>1525</v>
      </c>
    </row>
    <row r="506" spans="1:16" x14ac:dyDescent="0.25">
      <c r="A506" s="2" t="s">
        <v>1526</v>
      </c>
      <c r="B506" s="2" t="s">
        <v>136</v>
      </c>
      <c r="C506" s="8">
        <v>46255</v>
      </c>
      <c r="D506" s="6">
        <v>46235</v>
      </c>
      <c r="E506" s="2" t="s">
        <v>260</v>
      </c>
      <c r="F506" s="2" t="s">
        <v>1524</v>
      </c>
      <c r="G506" s="6">
        <v>46204</v>
      </c>
      <c r="H506" s="2" t="s">
        <v>71</v>
      </c>
      <c r="I506" s="2" t="s">
        <v>70</v>
      </c>
      <c r="J506" s="9">
        <v>6276.8662610000001</v>
      </c>
      <c r="K506" s="7">
        <v>0.65</v>
      </c>
      <c r="L506" s="9">
        <v>4079.96</v>
      </c>
      <c r="M506" s="9">
        <v>4130.18</v>
      </c>
      <c r="N506" s="9">
        <v>2.2400000000000002</v>
      </c>
      <c r="O506" s="10">
        <f>IF(AND(OR(H506="APPROVED",H506="SCHEDULED"),COUNTIFS(tblSource[EventID],F506,tblSource[ReleaseStatus],"APPROVED")=1,COUNTIFS(Period_Status!$A$2:$A$8,G506,Period_Status!$B$2:$B$8,"ActualClosed")=1,C506&gt;EOMONTH(Settlement_Bridge!$C$2,0)),1,0)</f>
        <v>1</v>
      </c>
      <c r="P506" s="2" t="s">
        <v>1527</v>
      </c>
    </row>
    <row r="507" spans="1:16" x14ac:dyDescent="0.25">
      <c r="A507" s="2" t="s">
        <v>1528</v>
      </c>
      <c r="B507" s="2" t="s">
        <v>136</v>
      </c>
      <c r="C507" s="8">
        <v>46231</v>
      </c>
      <c r="D507" s="6">
        <v>46204</v>
      </c>
      <c r="E507" s="2" t="s">
        <v>260</v>
      </c>
      <c r="F507" s="2" t="s">
        <v>1529</v>
      </c>
      <c r="G507" s="6">
        <v>46204</v>
      </c>
      <c r="H507" s="2" t="s">
        <v>71</v>
      </c>
      <c r="I507" s="2" t="s">
        <v>39</v>
      </c>
      <c r="J507" s="9">
        <v>2822.6559999999999</v>
      </c>
      <c r="K507" s="7">
        <v>1</v>
      </c>
      <c r="L507" s="9">
        <v>2822.66</v>
      </c>
      <c r="M507" s="9">
        <v>2822.66</v>
      </c>
      <c r="N507" s="9">
        <v>1.8</v>
      </c>
      <c r="O507" s="10">
        <f>IF(AND(OR(H507="APPROVED",H507="SCHEDULED"),COUNTIFS(tblSource[EventID],F507,tblSource[ReleaseStatus],"APPROVED")=1,COUNTIFS(Period_Status!$A$2:$A$8,G507,Period_Status!$B$2:$B$8,"ActualClosed")=1,C507&gt;EOMONTH(Settlement_Bridge!$C$2,0)),1,0)</f>
        <v>0</v>
      </c>
      <c r="P507" s="2" t="s">
        <v>1530</v>
      </c>
    </row>
    <row r="508" spans="1:16" x14ac:dyDescent="0.25">
      <c r="A508" s="2" t="s">
        <v>1531</v>
      </c>
      <c r="B508" s="2" t="s">
        <v>136</v>
      </c>
      <c r="C508" s="8">
        <v>46256</v>
      </c>
      <c r="D508" s="6">
        <v>46235</v>
      </c>
      <c r="E508" s="2" t="s">
        <v>260</v>
      </c>
      <c r="F508" s="2" t="s">
        <v>1529</v>
      </c>
      <c r="G508" s="6">
        <v>46204</v>
      </c>
      <c r="H508" s="2" t="s">
        <v>71</v>
      </c>
      <c r="I508" s="2" t="s">
        <v>39</v>
      </c>
      <c r="J508" s="9">
        <v>4233.9840000000004</v>
      </c>
      <c r="K508" s="7">
        <v>1</v>
      </c>
      <c r="L508" s="9">
        <v>4233.9799999999996</v>
      </c>
      <c r="M508" s="9">
        <v>4233.9799999999996</v>
      </c>
      <c r="N508" s="9">
        <v>2.33</v>
      </c>
      <c r="O508" s="10">
        <f>IF(AND(OR(H508="APPROVED",H508="SCHEDULED"),COUNTIFS(tblSource[EventID],F508,tblSource[ReleaseStatus],"APPROVED")=1,COUNTIFS(Period_Status!$A$2:$A$8,G508,Period_Status!$B$2:$B$8,"ActualClosed")=1,C508&gt;EOMONTH(Settlement_Bridge!$C$2,0)),1,0)</f>
        <v>1</v>
      </c>
      <c r="P508" s="2" t="s">
        <v>1532</v>
      </c>
    </row>
    <row r="509" spans="1:16" x14ac:dyDescent="0.25">
      <c r="A509" s="2" t="s">
        <v>1533</v>
      </c>
      <c r="B509" s="2" t="s">
        <v>136</v>
      </c>
      <c r="C509" s="8">
        <v>46242</v>
      </c>
      <c r="D509" s="6">
        <v>46235</v>
      </c>
      <c r="E509" s="2" t="s">
        <v>260</v>
      </c>
      <c r="F509" s="2" t="s">
        <v>1534</v>
      </c>
      <c r="G509" s="6">
        <v>46204</v>
      </c>
      <c r="H509" s="2" t="s">
        <v>71</v>
      </c>
      <c r="I509" s="2" t="s">
        <v>76</v>
      </c>
      <c r="J509" s="9">
        <v>116607258.06451599</v>
      </c>
      <c r="K509" s="7">
        <v>6.1500000000000004E-5</v>
      </c>
      <c r="L509" s="9">
        <v>7171.35</v>
      </c>
      <c r="M509" s="9">
        <v>7229.65</v>
      </c>
      <c r="N509" s="9">
        <v>3.94</v>
      </c>
      <c r="O509" s="10">
        <f>IF(AND(OR(H509="APPROVED",H509="SCHEDULED"),COUNTIFS(tblSource[EventID],F509,tblSource[ReleaseStatus],"APPROVED")=1,COUNTIFS(Period_Status!$A$2:$A$8,G509,Period_Status!$B$2:$B$8,"ActualClosed")=1,C509&gt;EOMONTH(Settlement_Bridge!$C$2,0)),1,0)</f>
        <v>1</v>
      </c>
      <c r="P509" s="2" t="s">
        <v>1535</v>
      </c>
    </row>
    <row r="510" spans="1:16" x14ac:dyDescent="0.25">
      <c r="A510" s="2" t="s">
        <v>1536</v>
      </c>
      <c r="B510" s="2" t="s">
        <v>136</v>
      </c>
      <c r="C510" s="8">
        <v>46243</v>
      </c>
      <c r="D510" s="6">
        <v>46235</v>
      </c>
      <c r="E510" s="2" t="s">
        <v>260</v>
      </c>
      <c r="F510" s="2" t="s">
        <v>1537</v>
      </c>
      <c r="G510" s="6">
        <v>46204</v>
      </c>
      <c r="H510" s="2" t="s">
        <v>71</v>
      </c>
      <c r="I510" s="2" t="s">
        <v>70</v>
      </c>
      <c r="J510" s="9">
        <v>11250.243161</v>
      </c>
      <c r="K510" s="7">
        <v>0.65</v>
      </c>
      <c r="L510" s="9">
        <v>7312.66</v>
      </c>
      <c r="M510" s="9">
        <v>7402.66</v>
      </c>
      <c r="N510" s="9">
        <v>4.0199999999999996</v>
      </c>
      <c r="O510" s="10">
        <f>IF(AND(OR(H510="APPROVED",H510="SCHEDULED"),COUNTIFS(tblSource[EventID],F510,tblSource[ReleaseStatus],"APPROVED")=1,COUNTIFS(Period_Status!$A$2:$A$8,G510,Period_Status!$B$2:$B$8,"ActualClosed")=1,C510&gt;EOMONTH(Settlement_Bridge!$C$2,0)),1,0)</f>
        <v>1</v>
      </c>
      <c r="P510" s="2" t="s">
        <v>1538</v>
      </c>
    </row>
    <row r="511" spans="1:16" x14ac:dyDescent="0.25">
      <c r="A511" s="2" t="s">
        <v>1539</v>
      </c>
      <c r="B511" s="2" t="s">
        <v>136</v>
      </c>
      <c r="C511" s="8">
        <v>46234</v>
      </c>
      <c r="D511" s="6">
        <v>46204</v>
      </c>
      <c r="E511" s="2" t="s">
        <v>260</v>
      </c>
      <c r="F511" s="2" t="s">
        <v>1540</v>
      </c>
      <c r="G511" s="6">
        <v>46204</v>
      </c>
      <c r="H511" s="2" t="s">
        <v>71</v>
      </c>
      <c r="I511" s="2" t="s">
        <v>39</v>
      </c>
      <c r="J511" s="9">
        <v>3030.268</v>
      </c>
      <c r="K511" s="7">
        <v>1</v>
      </c>
      <c r="L511" s="9">
        <v>3030.27</v>
      </c>
      <c r="M511" s="9">
        <v>3030.27</v>
      </c>
      <c r="N511" s="9">
        <v>1.8</v>
      </c>
      <c r="O511" s="10">
        <f>IF(AND(OR(H511="APPROVED",H511="SCHEDULED"),COUNTIFS(tblSource[EventID],F511,tblSource[ReleaseStatus],"APPROVED")=1,COUNTIFS(Period_Status!$A$2:$A$8,G511,Period_Status!$B$2:$B$8,"ActualClosed")=1,C511&gt;EOMONTH(Settlement_Bridge!$C$2,0)),1,0)</f>
        <v>0</v>
      </c>
      <c r="P511" s="2" t="s">
        <v>1541</v>
      </c>
    </row>
    <row r="512" spans="1:16" x14ac:dyDescent="0.25">
      <c r="A512" s="2" t="s">
        <v>1542</v>
      </c>
      <c r="B512" s="2" t="s">
        <v>136</v>
      </c>
      <c r="C512" s="8">
        <v>46259</v>
      </c>
      <c r="D512" s="6">
        <v>46235</v>
      </c>
      <c r="E512" s="2" t="s">
        <v>260</v>
      </c>
      <c r="F512" s="2" t="s">
        <v>1540</v>
      </c>
      <c r="G512" s="6">
        <v>46204</v>
      </c>
      <c r="H512" s="2" t="s">
        <v>71</v>
      </c>
      <c r="I512" s="2" t="s">
        <v>39</v>
      </c>
      <c r="J512" s="9">
        <v>4545.402</v>
      </c>
      <c r="K512" s="7">
        <v>1</v>
      </c>
      <c r="L512" s="9">
        <v>4545.3999999999996</v>
      </c>
      <c r="M512" s="9">
        <v>4545.3999999999996</v>
      </c>
      <c r="N512" s="9">
        <v>2.5</v>
      </c>
      <c r="O512" s="10">
        <f>IF(AND(OR(H512="APPROVED",H512="SCHEDULED"),COUNTIFS(tblSource[EventID],F512,tblSource[ReleaseStatus],"APPROVED")=1,COUNTIFS(Period_Status!$A$2:$A$8,G512,Period_Status!$B$2:$B$8,"ActualClosed")=1,C512&gt;EOMONTH(Settlement_Bridge!$C$2,0)),1,0)</f>
        <v>1</v>
      </c>
      <c r="P512" s="2" t="s">
        <v>1543</v>
      </c>
    </row>
    <row r="513" spans="1:16" x14ac:dyDescent="0.25">
      <c r="A513" s="2" t="s">
        <v>1544</v>
      </c>
      <c r="B513" s="2" t="s">
        <v>136</v>
      </c>
      <c r="C513" s="8">
        <v>46245</v>
      </c>
      <c r="D513" s="6">
        <v>46235</v>
      </c>
      <c r="E513" s="2" t="s">
        <v>260</v>
      </c>
      <c r="F513" s="2" t="s">
        <v>1545</v>
      </c>
      <c r="G513" s="6">
        <v>46204</v>
      </c>
      <c r="H513" s="2" t="s">
        <v>71</v>
      </c>
      <c r="I513" s="2" t="s">
        <v>76</v>
      </c>
      <c r="J513" s="9">
        <v>124978709.67741901</v>
      </c>
      <c r="K513" s="7">
        <v>6.1500000000000004E-5</v>
      </c>
      <c r="L513" s="9">
        <v>7686.19</v>
      </c>
      <c r="M513" s="9">
        <v>7748.68</v>
      </c>
      <c r="N513" s="9">
        <v>4.2300000000000004</v>
      </c>
      <c r="O513" s="10">
        <f>IF(AND(OR(H513="APPROVED",H513="SCHEDULED"),COUNTIFS(tblSource[EventID],F513,tblSource[ReleaseStatus],"APPROVED")=1,COUNTIFS(Period_Status!$A$2:$A$8,G513,Period_Status!$B$2:$B$8,"ActualClosed")=1,C513&gt;EOMONTH(Settlement_Bridge!$C$2,0)),1,0)</f>
        <v>1</v>
      </c>
      <c r="P513" s="2" t="s">
        <v>1546</v>
      </c>
    </row>
    <row r="514" spans="1:16" x14ac:dyDescent="0.25">
      <c r="A514" s="2" t="s">
        <v>1547</v>
      </c>
      <c r="B514" s="2" t="s">
        <v>136</v>
      </c>
      <c r="C514" s="8">
        <v>46246</v>
      </c>
      <c r="D514" s="6">
        <v>46235</v>
      </c>
      <c r="E514" s="2" t="s">
        <v>260</v>
      </c>
      <c r="F514" s="2" t="s">
        <v>1548</v>
      </c>
      <c r="G514" s="6">
        <v>46204</v>
      </c>
      <c r="H514" s="2" t="s">
        <v>71</v>
      </c>
      <c r="I514" s="2" t="s">
        <v>70</v>
      </c>
      <c r="J514" s="9">
        <v>12039.042552999999</v>
      </c>
      <c r="K514" s="7">
        <v>0.65</v>
      </c>
      <c r="L514" s="9">
        <v>7825.38</v>
      </c>
      <c r="M514" s="9">
        <v>7921.69</v>
      </c>
      <c r="N514" s="9">
        <v>4.3</v>
      </c>
      <c r="O514" s="10">
        <f>IF(AND(OR(H514="APPROVED",H514="SCHEDULED"),COUNTIFS(tblSource[EventID],F514,tblSource[ReleaseStatus],"APPROVED")=1,COUNTIFS(Period_Status!$A$2:$A$8,G514,Period_Status!$B$2:$B$8,"ActualClosed")=1,C514&gt;EOMONTH(Settlement_Bridge!$C$2,0)),1,0)</f>
        <v>1</v>
      </c>
      <c r="P514" s="2" t="s">
        <v>1549</v>
      </c>
    </row>
    <row r="515" spans="1:16" x14ac:dyDescent="0.25">
      <c r="A515" s="2" t="s">
        <v>1550</v>
      </c>
      <c r="B515" s="2" t="s">
        <v>136</v>
      </c>
      <c r="C515" s="8">
        <v>46247</v>
      </c>
      <c r="D515" s="6">
        <v>46235</v>
      </c>
      <c r="E515" s="2" t="s">
        <v>260</v>
      </c>
      <c r="F515" s="2" t="s">
        <v>1551</v>
      </c>
      <c r="G515" s="6">
        <v>46204</v>
      </c>
      <c r="H515" s="2" t="s">
        <v>71</v>
      </c>
      <c r="I515" s="2" t="s">
        <v>39</v>
      </c>
      <c r="J515" s="9">
        <v>8094.7</v>
      </c>
      <c r="K515" s="7">
        <v>1</v>
      </c>
      <c r="L515" s="9">
        <v>8094.7</v>
      </c>
      <c r="M515" s="9">
        <v>8094.7</v>
      </c>
      <c r="N515" s="9">
        <v>4.45</v>
      </c>
      <c r="O515" s="10">
        <f>IF(AND(OR(H515="APPROVED",H515="SCHEDULED"),COUNTIFS(tblSource[EventID],F515,tblSource[ReleaseStatus],"APPROVED")=1,COUNTIFS(Period_Status!$A$2:$A$8,G515,Period_Status!$B$2:$B$8,"ActualClosed")=1,C515&gt;EOMONTH(Settlement_Bridge!$C$2,0)),1,0)</f>
        <v>1</v>
      </c>
      <c r="P515" s="2" t="s">
        <v>1552</v>
      </c>
    </row>
    <row r="516" spans="1:16" x14ac:dyDescent="0.25">
      <c r="A516" s="2" t="s">
        <v>1553</v>
      </c>
      <c r="B516" s="2" t="s">
        <v>136</v>
      </c>
      <c r="C516" s="8">
        <v>46248</v>
      </c>
      <c r="D516" s="6">
        <v>46235</v>
      </c>
      <c r="E516" s="2" t="s">
        <v>260</v>
      </c>
      <c r="F516" s="2" t="s">
        <v>1554</v>
      </c>
      <c r="G516" s="6">
        <v>46204</v>
      </c>
      <c r="H516" s="2" t="s">
        <v>71</v>
      </c>
      <c r="I516" s="2" t="s">
        <v>76</v>
      </c>
      <c r="J516" s="9">
        <v>133350161.290323</v>
      </c>
      <c r="K516" s="7">
        <v>6.1500000000000004E-5</v>
      </c>
      <c r="L516" s="9">
        <v>8201.0300000000007</v>
      </c>
      <c r="M516" s="9">
        <v>8267.7099999999991</v>
      </c>
      <c r="N516" s="9">
        <v>4.51</v>
      </c>
      <c r="O516" s="10">
        <f>IF(AND(OR(H516="APPROVED",H516="SCHEDULED"),COUNTIFS(tblSource[EventID],F516,tblSource[ReleaseStatus],"APPROVED")=1,COUNTIFS(Period_Status!$A$2:$A$8,G516,Period_Status!$B$2:$B$8,"ActualClosed")=1,C516&gt;EOMONTH(Settlement_Bridge!$C$2,0)),1,0)</f>
        <v>1</v>
      </c>
      <c r="P516" s="2" t="s">
        <v>1555</v>
      </c>
    </row>
    <row r="517" spans="1:16" x14ac:dyDescent="0.25">
      <c r="A517" s="2" t="s">
        <v>1556</v>
      </c>
      <c r="B517" s="2" t="s">
        <v>136</v>
      </c>
      <c r="C517" s="8">
        <v>46249</v>
      </c>
      <c r="D517" s="6">
        <v>46235</v>
      </c>
      <c r="E517" s="2" t="s">
        <v>260</v>
      </c>
      <c r="F517" s="2" t="s">
        <v>1557</v>
      </c>
      <c r="G517" s="6">
        <v>46204</v>
      </c>
      <c r="H517" s="2" t="s">
        <v>71</v>
      </c>
      <c r="I517" s="2" t="s">
        <v>70</v>
      </c>
      <c r="J517" s="9">
        <v>12827.841945</v>
      </c>
      <c r="K517" s="7">
        <v>0.65</v>
      </c>
      <c r="L517" s="9">
        <v>8338.1</v>
      </c>
      <c r="M517" s="9">
        <v>8440.7199999999993</v>
      </c>
      <c r="N517" s="9">
        <v>4.59</v>
      </c>
      <c r="O517" s="10">
        <f>IF(AND(OR(H517="APPROVED",H517="SCHEDULED"),COUNTIFS(tblSource[EventID],F517,tblSource[ReleaseStatus],"APPROVED")=1,COUNTIFS(Period_Status!$A$2:$A$8,G517,Period_Status!$B$2:$B$8,"ActualClosed")=1,C517&gt;EOMONTH(Settlement_Bridge!$C$2,0)),1,0)</f>
        <v>1</v>
      </c>
      <c r="P517" s="2" t="s">
        <v>1558</v>
      </c>
    </row>
    <row r="518" spans="1:16" x14ac:dyDescent="0.25">
      <c r="A518" s="2" t="s">
        <v>1559</v>
      </c>
      <c r="B518" s="2" t="s">
        <v>136</v>
      </c>
      <c r="C518" s="8">
        <v>46240</v>
      </c>
      <c r="D518" s="6">
        <v>46235</v>
      </c>
      <c r="E518" s="2" t="s">
        <v>260</v>
      </c>
      <c r="F518" s="2" t="s">
        <v>1560</v>
      </c>
      <c r="G518" s="6">
        <v>46204</v>
      </c>
      <c r="H518" s="2" t="s">
        <v>71</v>
      </c>
      <c r="I518" s="2" t="s">
        <v>39</v>
      </c>
      <c r="J518" s="9">
        <v>3445.4920000000002</v>
      </c>
      <c r="K518" s="7">
        <v>1</v>
      </c>
      <c r="L518" s="9">
        <v>3445.49</v>
      </c>
      <c r="M518" s="9">
        <v>3445.49</v>
      </c>
      <c r="N518" s="9">
        <v>1.9</v>
      </c>
      <c r="O518" s="10">
        <f>IF(AND(OR(H518="APPROVED",H518="SCHEDULED"),COUNTIFS(tblSource[EventID],F518,tblSource[ReleaseStatus],"APPROVED")=1,COUNTIFS(Period_Status!$A$2:$A$8,G518,Period_Status!$B$2:$B$8,"ActualClosed")=1,C518&gt;EOMONTH(Settlement_Bridge!$C$2,0)),1,0)</f>
        <v>1</v>
      </c>
      <c r="P518" s="2" t="s">
        <v>1561</v>
      </c>
    </row>
    <row r="519" spans="1:16" x14ac:dyDescent="0.25">
      <c r="A519" s="2" t="s">
        <v>1562</v>
      </c>
      <c r="B519" s="2" t="s">
        <v>136</v>
      </c>
      <c r="C519" s="8">
        <v>46265</v>
      </c>
      <c r="D519" s="6">
        <v>46235</v>
      </c>
      <c r="E519" s="2" t="s">
        <v>260</v>
      </c>
      <c r="F519" s="2" t="s">
        <v>1560</v>
      </c>
      <c r="G519" s="6">
        <v>46204</v>
      </c>
      <c r="H519" s="2" t="s">
        <v>71</v>
      </c>
      <c r="I519" s="2" t="s">
        <v>39</v>
      </c>
      <c r="J519" s="9">
        <v>5168.2380000000003</v>
      </c>
      <c r="K519" s="7">
        <v>1</v>
      </c>
      <c r="L519" s="9">
        <v>5168.24</v>
      </c>
      <c r="M519" s="9">
        <v>5168.24</v>
      </c>
      <c r="N519" s="9">
        <v>2.84</v>
      </c>
      <c r="O519" s="10">
        <f>IF(AND(OR(H519="APPROVED",H519="SCHEDULED"),COUNTIFS(tblSource[EventID],F519,tblSource[ReleaseStatus],"APPROVED")=1,COUNTIFS(Period_Status!$A$2:$A$8,G519,Period_Status!$B$2:$B$8,"ActualClosed")=1,C519&gt;EOMONTH(Settlement_Bridge!$C$2,0)),1,0)</f>
        <v>1</v>
      </c>
      <c r="P519" s="2" t="s">
        <v>1563</v>
      </c>
    </row>
    <row r="520" spans="1:16" x14ac:dyDescent="0.25">
      <c r="A520" s="2" t="s">
        <v>1564</v>
      </c>
      <c r="B520" s="2" t="s">
        <v>136</v>
      </c>
      <c r="C520" s="8">
        <v>46241</v>
      </c>
      <c r="D520" s="6">
        <v>46235</v>
      </c>
      <c r="E520" s="2" t="s">
        <v>260</v>
      </c>
      <c r="F520" s="2" t="s">
        <v>1565</v>
      </c>
      <c r="G520" s="6">
        <v>46204</v>
      </c>
      <c r="H520" s="2" t="s">
        <v>71</v>
      </c>
      <c r="I520" s="2" t="s">
        <v>76</v>
      </c>
      <c r="J520" s="9">
        <v>56688645.161289997</v>
      </c>
      <c r="K520" s="7">
        <v>6.1500000000000004E-5</v>
      </c>
      <c r="L520" s="9">
        <v>3486.35</v>
      </c>
      <c r="M520" s="9">
        <v>3514.7</v>
      </c>
      <c r="N520" s="9">
        <v>1.92</v>
      </c>
      <c r="O520" s="10">
        <f>IF(AND(OR(H520="APPROVED",H520="SCHEDULED"),COUNTIFS(tblSource[EventID],F520,tblSource[ReleaseStatus],"APPROVED")=1,COUNTIFS(Period_Status!$A$2:$A$8,G520,Period_Status!$B$2:$B$8,"ActualClosed")=1,C520&gt;EOMONTH(Settlement_Bridge!$C$2,0)),1,0)</f>
        <v>1</v>
      </c>
      <c r="P520" s="2" t="s">
        <v>1566</v>
      </c>
    </row>
    <row r="521" spans="1:16" x14ac:dyDescent="0.25">
      <c r="A521" s="2" t="s">
        <v>1567</v>
      </c>
      <c r="B521" s="2" t="s">
        <v>136</v>
      </c>
      <c r="C521" s="8">
        <v>46266</v>
      </c>
      <c r="D521" s="6">
        <v>46266</v>
      </c>
      <c r="E521" s="2" t="s">
        <v>260</v>
      </c>
      <c r="F521" s="2" t="s">
        <v>1565</v>
      </c>
      <c r="G521" s="6">
        <v>46204</v>
      </c>
      <c r="H521" s="2" t="s">
        <v>176</v>
      </c>
      <c r="I521" s="2" t="s">
        <v>76</v>
      </c>
      <c r="J521" s="9">
        <v>85032967.741935998</v>
      </c>
      <c r="K521" s="7">
        <v>6.1299999999999999E-5</v>
      </c>
      <c r="L521" s="9">
        <v>5212.5200000000004</v>
      </c>
      <c r="M521" s="9">
        <v>5272.04</v>
      </c>
      <c r="N521" s="9">
        <v>2.87</v>
      </c>
      <c r="O521" s="10">
        <f>IF(AND(OR(H521="APPROVED",H521="SCHEDULED"),COUNTIFS(tblSource[EventID],F521,tblSource[ReleaseStatus],"APPROVED")=1,COUNTIFS(Period_Status!$A$2:$A$8,G521,Period_Status!$B$2:$B$8,"ActualClosed")=1,C521&gt;EOMONTH(Settlement_Bridge!$C$2,0)),1,0)</f>
        <v>1</v>
      </c>
      <c r="P521" s="2" t="s">
        <v>1568</v>
      </c>
    </row>
    <row r="522" spans="1:16" x14ac:dyDescent="0.25">
      <c r="A522" s="2" t="s">
        <v>1569</v>
      </c>
      <c r="B522" s="2" t="s">
        <v>136</v>
      </c>
      <c r="C522" s="8">
        <v>46252</v>
      </c>
      <c r="D522" s="6">
        <v>46235</v>
      </c>
      <c r="E522" s="2" t="s">
        <v>260</v>
      </c>
      <c r="F522" s="2" t="s">
        <v>1570</v>
      </c>
      <c r="G522" s="6">
        <v>46204</v>
      </c>
      <c r="H522" s="2" t="s">
        <v>71</v>
      </c>
      <c r="I522" s="2" t="s">
        <v>70</v>
      </c>
      <c r="J522" s="9">
        <v>13616.641336999999</v>
      </c>
      <c r="K522" s="7">
        <v>0.65</v>
      </c>
      <c r="L522" s="9">
        <v>8850.82</v>
      </c>
      <c r="M522" s="9">
        <v>8959.75</v>
      </c>
      <c r="N522" s="9">
        <v>4.87</v>
      </c>
      <c r="O522" s="10">
        <f>IF(AND(OR(H522="APPROVED",H522="SCHEDULED"),COUNTIFS(tblSource[EventID],F522,tblSource[ReleaseStatus],"APPROVED")=1,COUNTIFS(Period_Status!$A$2:$A$8,G522,Period_Status!$B$2:$B$8,"ActualClosed")=1,C522&gt;EOMONTH(Settlement_Bridge!$C$2,0)),1,0)</f>
        <v>1</v>
      </c>
      <c r="P522" s="2" t="s">
        <v>1571</v>
      </c>
    </row>
    <row r="523" spans="1:16" x14ac:dyDescent="0.25">
      <c r="A523" s="2" t="s">
        <v>1572</v>
      </c>
      <c r="B523" s="2" t="s">
        <v>136</v>
      </c>
      <c r="C523" s="8">
        <v>46253</v>
      </c>
      <c r="D523" s="6">
        <v>46235</v>
      </c>
      <c r="E523" s="2" t="s">
        <v>260</v>
      </c>
      <c r="F523" s="2" t="s">
        <v>1573</v>
      </c>
      <c r="G523" s="6">
        <v>46204</v>
      </c>
      <c r="H523" s="2" t="s">
        <v>71</v>
      </c>
      <c r="I523" s="2" t="s">
        <v>39</v>
      </c>
      <c r="J523" s="9">
        <v>9132.76</v>
      </c>
      <c r="K523" s="7">
        <v>1</v>
      </c>
      <c r="L523" s="9">
        <v>9132.76</v>
      </c>
      <c r="M523" s="9">
        <v>9132.76</v>
      </c>
      <c r="N523" s="9">
        <v>5.0199999999999996</v>
      </c>
      <c r="O523" s="10">
        <f>IF(AND(OR(H523="APPROVED",H523="SCHEDULED"),COUNTIFS(tblSource[EventID],F523,tblSource[ReleaseStatus],"APPROVED")=1,COUNTIFS(Period_Status!$A$2:$A$8,G523,Period_Status!$B$2:$B$8,"ActualClosed")=1,C523&gt;EOMONTH(Settlement_Bridge!$C$2,0)),1,0)</f>
        <v>1</v>
      </c>
      <c r="P523" s="2" t="s">
        <v>1574</v>
      </c>
    </row>
    <row r="524" spans="1:16" x14ac:dyDescent="0.25">
      <c r="A524" s="2" t="s">
        <v>1575</v>
      </c>
      <c r="B524" s="2" t="s">
        <v>136</v>
      </c>
      <c r="C524" s="8">
        <v>46244</v>
      </c>
      <c r="D524" s="6">
        <v>46235</v>
      </c>
      <c r="E524" s="2" t="s">
        <v>260</v>
      </c>
      <c r="F524" s="2" t="s">
        <v>1576</v>
      </c>
      <c r="G524" s="6">
        <v>46204</v>
      </c>
      <c r="H524" s="2" t="s">
        <v>71</v>
      </c>
      <c r="I524" s="2" t="s">
        <v>76</v>
      </c>
      <c r="J524" s="9">
        <v>60037225.806451999</v>
      </c>
      <c r="K524" s="7">
        <v>6.1500000000000004E-5</v>
      </c>
      <c r="L524" s="9">
        <v>3692.29</v>
      </c>
      <c r="M524" s="9">
        <v>3722.31</v>
      </c>
      <c r="N524" s="9">
        <v>2.0299999999999998</v>
      </c>
      <c r="O524" s="10">
        <f>IF(AND(OR(H524="APPROVED",H524="SCHEDULED"),COUNTIFS(tblSource[EventID],F524,tblSource[ReleaseStatus],"APPROVED")=1,COUNTIFS(Period_Status!$A$2:$A$8,G524,Period_Status!$B$2:$B$8,"ActualClosed")=1,C524&gt;EOMONTH(Settlement_Bridge!$C$2,0)),1,0)</f>
        <v>1</v>
      </c>
      <c r="P524" s="2" t="s">
        <v>1577</v>
      </c>
    </row>
    <row r="525" spans="1:16" x14ac:dyDescent="0.25">
      <c r="A525" s="2" t="s">
        <v>1578</v>
      </c>
      <c r="B525" s="2" t="s">
        <v>136</v>
      </c>
      <c r="C525" s="8">
        <v>46269</v>
      </c>
      <c r="D525" s="6">
        <v>46266</v>
      </c>
      <c r="E525" s="2" t="s">
        <v>260</v>
      </c>
      <c r="F525" s="2" t="s">
        <v>1576</v>
      </c>
      <c r="G525" s="6">
        <v>46204</v>
      </c>
      <c r="H525" s="2" t="s">
        <v>176</v>
      </c>
      <c r="I525" s="2" t="s">
        <v>76</v>
      </c>
      <c r="J525" s="9">
        <v>90055838.709676996</v>
      </c>
      <c r="K525" s="7">
        <v>6.1299999999999999E-5</v>
      </c>
      <c r="L525" s="9">
        <v>5520.42</v>
      </c>
      <c r="M525" s="9">
        <v>5583.46</v>
      </c>
      <c r="N525" s="9">
        <v>3.04</v>
      </c>
      <c r="O525" s="10">
        <f>IF(AND(OR(H525="APPROVED",H525="SCHEDULED"),COUNTIFS(tblSource[EventID],F525,tblSource[ReleaseStatus],"APPROVED")=1,COUNTIFS(Period_Status!$A$2:$A$8,G525,Period_Status!$B$2:$B$8,"ActualClosed")=1,C525&gt;EOMONTH(Settlement_Bridge!$C$2,0)),1,0)</f>
        <v>1</v>
      </c>
      <c r="P525" s="2" t="s">
        <v>1579</v>
      </c>
    </row>
    <row r="526" spans="1:16" x14ac:dyDescent="0.25">
      <c r="A526" s="2" t="s">
        <v>1580</v>
      </c>
      <c r="B526" s="2" t="s">
        <v>136</v>
      </c>
      <c r="C526" s="8">
        <v>46255</v>
      </c>
      <c r="D526" s="6">
        <v>46235</v>
      </c>
      <c r="E526" s="2" t="s">
        <v>260</v>
      </c>
      <c r="F526" s="2" t="s">
        <v>1581</v>
      </c>
      <c r="G526" s="6">
        <v>46204</v>
      </c>
      <c r="H526" s="2" t="s">
        <v>71</v>
      </c>
      <c r="I526" s="2" t="s">
        <v>70</v>
      </c>
      <c r="J526" s="9">
        <v>-14405.440729</v>
      </c>
      <c r="K526" s="7">
        <v>0.65</v>
      </c>
      <c r="L526" s="9">
        <v>-9363.5400000000009</v>
      </c>
      <c r="M526" s="9">
        <v>-9478.7800000000007</v>
      </c>
      <c r="N526" s="9">
        <v>0</v>
      </c>
      <c r="O526" s="10">
        <f>IF(AND(OR(H526="APPROVED",H526="SCHEDULED"),COUNTIFS(tblSource[EventID],F526,tblSource[ReleaseStatus],"APPROVED")=1,COUNTIFS(Period_Status!$A$2:$A$8,G526,Period_Status!$B$2:$B$8,"ActualClosed")=1,C526&gt;EOMONTH(Settlement_Bridge!$C$2,0)),1,0)</f>
        <v>1</v>
      </c>
      <c r="P526" s="2" t="s">
        <v>1582</v>
      </c>
    </row>
    <row r="527" spans="1:16" x14ac:dyDescent="0.25">
      <c r="A527" s="2" t="s">
        <v>1583</v>
      </c>
      <c r="B527" s="2" t="s">
        <v>136</v>
      </c>
      <c r="C527" s="8">
        <v>46256</v>
      </c>
      <c r="D527" s="6">
        <v>46235</v>
      </c>
      <c r="E527" s="2" t="s">
        <v>260</v>
      </c>
      <c r="F527" s="2" t="s">
        <v>1584</v>
      </c>
      <c r="G527" s="6">
        <v>46204</v>
      </c>
      <c r="H527" s="2" t="s">
        <v>71</v>
      </c>
      <c r="I527" s="2" t="s">
        <v>39</v>
      </c>
      <c r="J527" s="9">
        <v>9651.7900000000009</v>
      </c>
      <c r="K527" s="7">
        <v>1</v>
      </c>
      <c r="L527" s="9">
        <v>9651.7900000000009</v>
      </c>
      <c r="M527" s="9">
        <v>9651.7900000000009</v>
      </c>
      <c r="N527" s="9">
        <v>5.31</v>
      </c>
      <c r="O527" s="10">
        <f>IF(AND(OR(H527="APPROVED",H527="SCHEDULED"),COUNTIFS(tblSource[EventID],F527,tblSource[ReleaseStatus],"APPROVED")=1,COUNTIFS(Period_Status!$A$2:$A$8,G527,Period_Status!$B$2:$B$8,"ActualClosed")=1,C527&gt;EOMONTH(Settlement_Bridge!$C$2,0)),1,0)</f>
        <v>1</v>
      </c>
      <c r="P527" s="2" t="s">
        <v>1585</v>
      </c>
    </row>
    <row r="528" spans="1:16" x14ac:dyDescent="0.25">
      <c r="A528" s="2" t="s">
        <v>1586</v>
      </c>
      <c r="B528" s="2" t="s">
        <v>136</v>
      </c>
      <c r="C528" s="8">
        <v>46257</v>
      </c>
      <c r="D528" s="6">
        <v>46235</v>
      </c>
      <c r="E528" s="2" t="s">
        <v>260</v>
      </c>
      <c r="F528" s="2" t="s">
        <v>1587</v>
      </c>
      <c r="G528" s="6">
        <v>46204</v>
      </c>
      <c r="H528" s="2" t="s">
        <v>71</v>
      </c>
      <c r="I528" s="2" t="s">
        <v>76</v>
      </c>
      <c r="J528" s="9">
        <v>158464516.12903199</v>
      </c>
      <c r="K528" s="7">
        <v>6.1500000000000004E-5</v>
      </c>
      <c r="L528" s="9">
        <v>9745.57</v>
      </c>
      <c r="M528" s="9">
        <v>9824.7999999999993</v>
      </c>
      <c r="N528" s="9">
        <v>5.36</v>
      </c>
      <c r="O528" s="10">
        <f>IF(AND(OR(H528="APPROVED",H528="SCHEDULED"),COUNTIFS(tblSource[EventID],F528,tblSource[ReleaseStatus],"APPROVED")=1,COUNTIFS(Period_Status!$A$2:$A$8,G528,Period_Status!$B$2:$B$8,"ActualClosed")=1,C528&gt;EOMONTH(Settlement_Bridge!$C$2,0)),1,0)</f>
        <v>1</v>
      </c>
      <c r="P528" s="2" t="s">
        <v>1588</v>
      </c>
    </row>
    <row r="529" spans="1:16" x14ac:dyDescent="0.25">
      <c r="A529" s="2" t="s">
        <v>1589</v>
      </c>
      <c r="B529" s="2" t="s">
        <v>136</v>
      </c>
      <c r="C529" s="8">
        <v>46258</v>
      </c>
      <c r="D529" s="6">
        <v>46235</v>
      </c>
      <c r="E529" s="2" t="s">
        <v>260</v>
      </c>
      <c r="F529" s="2" t="s">
        <v>1590</v>
      </c>
      <c r="G529" s="6">
        <v>46204</v>
      </c>
      <c r="H529" s="2" t="s">
        <v>71</v>
      </c>
      <c r="I529" s="2" t="s">
        <v>70</v>
      </c>
      <c r="J529" s="9">
        <v>15194.240121999999</v>
      </c>
      <c r="K529" s="7">
        <v>0.65</v>
      </c>
      <c r="L529" s="9">
        <v>9876.26</v>
      </c>
      <c r="M529" s="9">
        <v>9997.81</v>
      </c>
      <c r="N529" s="9">
        <v>5.43</v>
      </c>
      <c r="O529" s="10">
        <f>IF(AND(OR(H529="APPROVED",H529="SCHEDULED"),COUNTIFS(tblSource[EventID],F529,tblSource[ReleaseStatus],"APPROVED")=1,COUNTIFS(Period_Status!$A$2:$A$8,G529,Period_Status!$B$2:$B$8,"ActualClosed")=1,C529&gt;EOMONTH(Settlement_Bridge!$C$2,0)),1,0)</f>
        <v>1</v>
      </c>
      <c r="P529" s="2" t="s">
        <v>1591</v>
      </c>
    </row>
    <row r="530" spans="1:16" x14ac:dyDescent="0.25">
      <c r="A530" s="2" t="s">
        <v>1592</v>
      </c>
      <c r="B530" s="2" t="s">
        <v>136</v>
      </c>
      <c r="C530" s="8">
        <v>46228</v>
      </c>
      <c r="D530" s="6">
        <v>46204</v>
      </c>
      <c r="E530" s="2" t="s">
        <v>260</v>
      </c>
      <c r="F530" s="2" t="s">
        <v>1593</v>
      </c>
      <c r="G530" s="6">
        <v>46204</v>
      </c>
      <c r="H530" s="2" t="s">
        <v>71</v>
      </c>
      <c r="I530" s="2" t="s">
        <v>39</v>
      </c>
      <c r="J530" s="9">
        <v>10170.82</v>
      </c>
      <c r="K530" s="7">
        <v>1</v>
      </c>
      <c r="L530" s="9">
        <v>10170.82</v>
      </c>
      <c r="M530" s="9">
        <v>10170.82</v>
      </c>
      <c r="N530" s="9">
        <v>5.59</v>
      </c>
      <c r="O530" s="10">
        <f>IF(AND(OR(H530="APPROVED",H530="SCHEDULED"),COUNTIFS(tblSource[EventID],F530,tblSource[ReleaseStatus],"APPROVED")=1,COUNTIFS(Period_Status!$A$2:$A$8,G530,Period_Status!$B$2:$B$8,"ActualClosed")=1,C530&gt;EOMONTH(Settlement_Bridge!$C$2,0)),1,0)</f>
        <v>0</v>
      </c>
      <c r="P530" s="2" t="s">
        <v>1594</v>
      </c>
    </row>
    <row r="531" spans="1:16" x14ac:dyDescent="0.25">
      <c r="A531" s="2" t="s">
        <v>1595</v>
      </c>
      <c r="B531" s="2" t="s">
        <v>136</v>
      </c>
      <c r="C531" s="8">
        <v>46219</v>
      </c>
      <c r="D531" s="6">
        <v>46204</v>
      </c>
      <c r="E531" s="2" t="s">
        <v>260</v>
      </c>
      <c r="F531" s="2" t="s">
        <v>1596</v>
      </c>
      <c r="G531" s="6">
        <v>46204</v>
      </c>
      <c r="H531" s="2" t="s">
        <v>71</v>
      </c>
      <c r="I531" s="2" t="s">
        <v>76</v>
      </c>
      <c r="J531" s="9">
        <v>66734387.096773997</v>
      </c>
      <c r="K531" s="7">
        <v>6.2000000000000003E-5</v>
      </c>
      <c r="L531" s="9">
        <v>4137.53</v>
      </c>
      <c r="M531" s="9">
        <v>4137.53</v>
      </c>
      <c r="N531" s="9">
        <v>2.2799999999999998</v>
      </c>
      <c r="O531" s="10">
        <f>IF(AND(OR(H531="APPROVED",H531="SCHEDULED"),COUNTIFS(tblSource[EventID],F531,tblSource[ReleaseStatus],"APPROVED")=1,COUNTIFS(Period_Status!$A$2:$A$8,G531,Period_Status!$B$2:$B$8,"ActualClosed")=1,C531&gt;EOMONTH(Settlement_Bridge!$C$2,0)),1,0)</f>
        <v>0</v>
      </c>
      <c r="P531" s="2" t="s">
        <v>1597</v>
      </c>
    </row>
    <row r="532" spans="1:16" x14ac:dyDescent="0.25">
      <c r="A532" s="2" t="s">
        <v>1598</v>
      </c>
      <c r="B532" s="2" t="s">
        <v>136</v>
      </c>
      <c r="C532" s="8">
        <v>46244</v>
      </c>
      <c r="D532" s="6">
        <v>46235</v>
      </c>
      <c r="E532" s="2" t="s">
        <v>260</v>
      </c>
      <c r="F532" s="2" t="s">
        <v>1596</v>
      </c>
      <c r="G532" s="6">
        <v>46204</v>
      </c>
      <c r="H532" s="2" t="s">
        <v>71</v>
      </c>
      <c r="I532" s="2" t="s">
        <v>76</v>
      </c>
      <c r="J532" s="9">
        <v>100101580.645161</v>
      </c>
      <c r="K532" s="7">
        <v>6.1500000000000004E-5</v>
      </c>
      <c r="L532" s="9">
        <v>6156.25</v>
      </c>
      <c r="M532" s="9">
        <v>6206.3</v>
      </c>
      <c r="N532" s="9">
        <v>3.39</v>
      </c>
      <c r="O532" s="10">
        <f>IF(AND(OR(H532="APPROVED",H532="SCHEDULED"),COUNTIFS(tblSource[EventID],F532,tblSource[ReleaseStatus],"APPROVED")=1,COUNTIFS(Period_Status!$A$2:$A$8,G532,Period_Status!$B$2:$B$8,"ActualClosed")=1,C532&gt;EOMONTH(Settlement_Bridge!$C$2,0)),1,0)</f>
        <v>1</v>
      </c>
      <c r="P532" s="2" t="s">
        <v>1599</v>
      </c>
    </row>
    <row r="533" spans="1:16" x14ac:dyDescent="0.25">
      <c r="A533" s="2" t="s">
        <v>1600</v>
      </c>
      <c r="B533" s="2" t="s">
        <v>136</v>
      </c>
      <c r="C533" s="8">
        <v>46220</v>
      </c>
      <c r="D533" s="6">
        <v>46204</v>
      </c>
      <c r="E533" s="2" t="s">
        <v>260</v>
      </c>
      <c r="F533" s="2" t="s">
        <v>1601</v>
      </c>
      <c r="G533" s="6">
        <v>46204</v>
      </c>
      <c r="H533" s="2" t="s">
        <v>71</v>
      </c>
      <c r="I533" s="2" t="s">
        <v>70</v>
      </c>
      <c r="J533" s="9">
        <v>6393.2158060000002</v>
      </c>
      <c r="K533" s="7">
        <v>0.65800000000000003</v>
      </c>
      <c r="L533" s="9">
        <v>4206.74</v>
      </c>
      <c r="M533" s="9">
        <v>4206.74</v>
      </c>
      <c r="N533" s="9">
        <v>2.31</v>
      </c>
      <c r="O533" s="10">
        <f>IF(AND(OR(H533="APPROVED",H533="SCHEDULED"),COUNTIFS(tblSource[EventID],F533,tblSource[ReleaseStatus],"APPROVED")=1,COUNTIFS(Period_Status!$A$2:$A$8,G533,Period_Status!$B$2:$B$8,"ActualClosed")=1,C533&gt;EOMONTH(Settlement_Bridge!$C$2,0)),1,0)</f>
        <v>0</v>
      </c>
      <c r="P533" s="2" t="s">
        <v>1602</v>
      </c>
    </row>
    <row r="534" spans="1:16" x14ac:dyDescent="0.25">
      <c r="A534" s="2" t="s">
        <v>1603</v>
      </c>
      <c r="B534" s="2" t="s">
        <v>136</v>
      </c>
      <c r="C534" s="8">
        <v>46245</v>
      </c>
      <c r="D534" s="6">
        <v>46235</v>
      </c>
      <c r="E534" s="2" t="s">
        <v>260</v>
      </c>
      <c r="F534" s="2" t="s">
        <v>1601</v>
      </c>
      <c r="G534" s="6">
        <v>46204</v>
      </c>
      <c r="H534" s="2" t="s">
        <v>71</v>
      </c>
      <c r="I534" s="2" t="s">
        <v>70</v>
      </c>
      <c r="J534" s="9">
        <v>9589.8237079999999</v>
      </c>
      <c r="K534" s="7">
        <v>0.65</v>
      </c>
      <c r="L534" s="9">
        <v>6233.39</v>
      </c>
      <c r="M534" s="9">
        <v>6310.1</v>
      </c>
      <c r="N534" s="9">
        <v>3.43</v>
      </c>
      <c r="O534" s="10">
        <f>IF(AND(OR(H534="APPROVED",H534="SCHEDULED"),COUNTIFS(tblSource[EventID],F534,tblSource[ReleaseStatus],"APPROVED")=1,COUNTIFS(Period_Status!$A$2:$A$8,G534,Period_Status!$B$2:$B$8,"ActualClosed")=1,C534&gt;EOMONTH(Settlement_Bridge!$C$2,0)),1,0)</f>
        <v>1</v>
      </c>
      <c r="P534" s="2" t="s">
        <v>1604</v>
      </c>
    </row>
    <row r="535" spans="1:16" x14ac:dyDescent="0.25">
      <c r="A535" s="2" t="s">
        <v>1605</v>
      </c>
      <c r="B535" s="2" t="s">
        <v>136</v>
      </c>
      <c r="C535" s="8">
        <v>46231</v>
      </c>
      <c r="D535" s="6">
        <v>46204</v>
      </c>
      <c r="E535" s="2" t="s">
        <v>260</v>
      </c>
      <c r="F535" s="2" t="s">
        <v>1606</v>
      </c>
      <c r="G535" s="6">
        <v>46204</v>
      </c>
      <c r="H535" s="2" t="s">
        <v>71</v>
      </c>
      <c r="I535" s="2" t="s">
        <v>39</v>
      </c>
      <c r="J535" s="9">
        <v>10689.85</v>
      </c>
      <c r="K535" s="7">
        <v>1</v>
      </c>
      <c r="L535" s="9">
        <v>10689.85</v>
      </c>
      <c r="M535" s="9">
        <v>10689.85</v>
      </c>
      <c r="N535" s="9">
        <v>5.88</v>
      </c>
      <c r="O535" s="10">
        <f>IF(AND(OR(H535="APPROVED",H535="SCHEDULED"),COUNTIFS(tblSource[EventID],F535,tblSource[ReleaseStatus],"APPROVED")=1,COUNTIFS(Period_Status!$A$2:$A$8,G535,Period_Status!$B$2:$B$8,"ActualClosed")=1,C535&gt;EOMONTH(Settlement_Bridge!$C$2,0)),1,0)</f>
        <v>0</v>
      </c>
      <c r="P535" s="2" t="s">
        <v>1607</v>
      </c>
    </row>
    <row r="536" spans="1:16" x14ac:dyDescent="0.25">
      <c r="A536" s="2" t="s">
        <v>1608</v>
      </c>
      <c r="B536" s="2" t="s">
        <v>136</v>
      </c>
      <c r="C536" s="8">
        <v>46232</v>
      </c>
      <c r="D536" s="6">
        <v>46204</v>
      </c>
      <c r="E536" s="2" t="s">
        <v>260</v>
      </c>
      <c r="F536" s="2" t="s">
        <v>1609</v>
      </c>
      <c r="G536" s="6">
        <v>46204</v>
      </c>
      <c r="H536" s="2" t="s">
        <v>71</v>
      </c>
      <c r="I536" s="2" t="s">
        <v>76</v>
      </c>
      <c r="J536" s="9">
        <v>175207419.354839</v>
      </c>
      <c r="K536" s="7">
        <v>6.2000000000000003E-5</v>
      </c>
      <c r="L536" s="9">
        <v>10862.86</v>
      </c>
      <c r="M536" s="9">
        <v>10862.86</v>
      </c>
      <c r="N536" s="9">
        <v>5.97</v>
      </c>
      <c r="O536" s="10">
        <f>IF(AND(OR(H536="APPROVED",H536="SCHEDULED"),COUNTIFS(tblSource[EventID],F536,tblSource[ReleaseStatus],"APPROVED")=1,COUNTIFS(Period_Status!$A$2:$A$8,G536,Period_Status!$B$2:$B$8,"ActualClosed")=1,C536&gt;EOMONTH(Settlement_Bridge!$C$2,0)),1,0)</f>
        <v>0</v>
      </c>
      <c r="P536" s="2" t="s">
        <v>1610</v>
      </c>
    </row>
    <row r="537" spans="1:16" x14ac:dyDescent="0.25">
      <c r="A537" s="2" t="s">
        <v>1611</v>
      </c>
      <c r="B537" s="2" t="s">
        <v>136</v>
      </c>
      <c r="C537" s="8">
        <v>46223</v>
      </c>
      <c r="D537" s="6">
        <v>46204</v>
      </c>
      <c r="E537" s="2" t="s">
        <v>260</v>
      </c>
      <c r="F537" s="2" t="s">
        <v>1612</v>
      </c>
      <c r="G537" s="6">
        <v>46204</v>
      </c>
      <c r="H537" s="2" t="s">
        <v>71</v>
      </c>
      <c r="I537" s="2" t="s">
        <v>70</v>
      </c>
      <c r="J537" s="9">
        <v>6708.7355619999998</v>
      </c>
      <c r="K537" s="7">
        <v>0.65800000000000003</v>
      </c>
      <c r="L537" s="9">
        <v>4414.3500000000004</v>
      </c>
      <c r="M537" s="9">
        <v>4414.3500000000004</v>
      </c>
      <c r="N537" s="9">
        <v>2.4300000000000002</v>
      </c>
      <c r="O537" s="10">
        <f>IF(AND(OR(H537="APPROVED",H537="SCHEDULED"),COUNTIFS(tblSource[EventID],F537,tblSource[ReleaseStatus],"APPROVED")=1,COUNTIFS(Period_Status!$A$2:$A$8,G537,Period_Status!$B$2:$B$8,"ActualClosed")=1,C537&gt;EOMONTH(Settlement_Bridge!$C$2,0)),1,0)</f>
        <v>0</v>
      </c>
      <c r="P537" s="2" t="s">
        <v>1613</v>
      </c>
    </row>
    <row r="538" spans="1:16" x14ac:dyDescent="0.25">
      <c r="A538" s="2" t="s">
        <v>1614</v>
      </c>
      <c r="B538" s="2" t="s">
        <v>136</v>
      </c>
      <c r="C538" s="8">
        <v>46248</v>
      </c>
      <c r="D538" s="6">
        <v>46235</v>
      </c>
      <c r="E538" s="2" t="s">
        <v>260</v>
      </c>
      <c r="F538" s="2" t="s">
        <v>1612</v>
      </c>
      <c r="G538" s="6">
        <v>46204</v>
      </c>
      <c r="H538" s="2" t="s">
        <v>71</v>
      </c>
      <c r="I538" s="2" t="s">
        <v>70</v>
      </c>
      <c r="J538" s="9">
        <v>10063.103343999999</v>
      </c>
      <c r="K538" s="7">
        <v>0.65</v>
      </c>
      <c r="L538" s="9">
        <v>6541.02</v>
      </c>
      <c r="M538" s="9">
        <v>6621.52</v>
      </c>
      <c r="N538" s="9">
        <v>3.6</v>
      </c>
      <c r="O538" s="10">
        <f>IF(AND(OR(H538="APPROVED",H538="SCHEDULED"),COUNTIFS(tblSource[EventID],F538,tblSource[ReleaseStatus],"APPROVED")=1,COUNTIFS(Period_Status!$A$2:$A$8,G538,Period_Status!$B$2:$B$8,"ActualClosed")=1,C538&gt;EOMONTH(Settlement_Bridge!$C$2,0)),1,0)</f>
        <v>1</v>
      </c>
      <c r="P538" s="2" t="s">
        <v>1615</v>
      </c>
    </row>
    <row r="539" spans="1:16" x14ac:dyDescent="0.25">
      <c r="A539" s="2" t="s">
        <v>1616</v>
      </c>
      <c r="B539" s="2" t="s">
        <v>136</v>
      </c>
      <c r="C539" s="8">
        <v>46234</v>
      </c>
      <c r="D539" s="6">
        <v>46204</v>
      </c>
      <c r="E539" s="2" t="s">
        <v>260</v>
      </c>
      <c r="F539" s="2" t="s">
        <v>1617</v>
      </c>
      <c r="G539" s="6">
        <v>46204</v>
      </c>
      <c r="H539" s="2" t="s">
        <v>71</v>
      </c>
      <c r="I539" s="2" t="s">
        <v>39</v>
      </c>
      <c r="J539" s="9">
        <v>11208.88</v>
      </c>
      <c r="K539" s="7">
        <v>1</v>
      </c>
      <c r="L539" s="9">
        <v>11208.88</v>
      </c>
      <c r="M539" s="9">
        <v>11208.88</v>
      </c>
      <c r="N539" s="9">
        <v>6.16</v>
      </c>
      <c r="O539" s="10">
        <f>IF(AND(OR(H539="APPROVED",H539="SCHEDULED"),COUNTIFS(tblSource[EventID],F539,tblSource[ReleaseStatus],"APPROVED")=1,COUNTIFS(Period_Status!$A$2:$A$8,G539,Period_Status!$B$2:$B$8,"ActualClosed")=1,C539&gt;EOMONTH(Settlement_Bridge!$C$2,0)),1,0)</f>
        <v>0</v>
      </c>
      <c r="P539" s="2" t="s">
        <v>1618</v>
      </c>
    </row>
    <row r="540" spans="1:16" x14ac:dyDescent="0.25">
      <c r="A540" s="2" t="s">
        <v>1619</v>
      </c>
      <c r="B540" s="2" t="s">
        <v>136</v>
      </c>
      <c r="C540" s="8">
        <v>46235</v>
      </c>
      <c r="D540" s="6">
        <v>46235</v>
      </c>
      <c r="E540" s="2" t="s">
        <v>260</v>
      </c>
      <c r="F540" s="2" t="s">
        <v>1620</v>
      </c>
      <c r="G540" s="6">
        <v>46204</v>
      </c>
      <c r="H540" s="2" t="s">
        <v>71</v>
      </c>
      <c r="I540" s="2" t="s">
        <v>76</v>
      </c>
      <c r="J540" s="9">
        <v>183578870.967742</v>
      </c>
      <c r="K540" s="7">
        <v>6.1500000000000004E-5</v>
      </c>
      <c r="L540" s="9">
        <v>11290.1</v>
      </c>
      <c r="M540" s="9">
        <v>11381.89</v>
      </c>
      <c r="N540" s="9">
        <v>6.21</v>
      </c>
      <c r="O540" s="10">
        <f>IF(AND(OR(H540="APPROVED",H540="SCHEDULED"),COUNTIFS(tblSource[EventID],F540,tblSource[ReleaseStatus],"APPROVED")=1,COUNTIFS(Period_Status!$A$2:$A$8,G540,Period_Status!$B$2:$B$8,"ActualClosed")=1,C540&gt;EOMONTH(Settlement_Bridge!$C$2,0)),1,0)</f>
        <v>1</v>
      </c>
      <c r="P540" s="2" t="s">
        <v>1621</v>
      </c>
    </row>
    <row r="541" spans="1:16" x14ac:dyDescent="0.25">
      <c r="A541" s="2" t="s">
        <v>1622</v>
      </c>
      <c r="B541" s="2" t="s">
        <v>136</v>
      </c>
      <c r="C541" s="8">
        <v>46236</v>
      </c>
      <c r="D541" s="6">
        <v>46235</v>
      </c>
      <c r="E541" s="2" t="s">
        <v>260</v>
      </c>
      <c r="F541" s="2" t="s">
        <v>1623</v>
      </c>
      <c r="G541" s="6">
        <v>46204</v>
      </c>
      <c r="H541" s="2" t="s">
        <v>71</v>
      </c>
      <c r="I541" s="2" t="s">
        <v>70</v>
      </c>
      <c r="J541" s="9">
        <v>17560.638298000002</v>
      </c>
      <c r="K541" s="7">
        <v>0.65</v>
      </c>
      <c r="L541" s="9">
        <v>11414.41</v>
      </c>
      <c r="M541" s="9">
        <v>11554.9</v>
      </c>
      <c r="N541" s="9">
        <v>6.28</v>
      </c>
      <c r="O541" s="10">
        <f>IF(AND(OR(H541="APPROVED",H541="SCHEDULED"),COUNTIFS(tblSource[EventID],F541,tblSource[ReleaseStatus],"APPROVED")=1,COUNTIFS(Period_Status!$A$2:$A$8,G541,Period_Status!$B$2:$B$8,"ActualClosed")=1,C541&gt;EOMONTH(Settlement_Bridge!$C$2,0)),1,0)</f>
        <v>1</v>
      </c>
      <c r="P541" s="2" t="s">
        <v>1624</v>
      </c>
    </row>
    <row r="542" spans="1:16" x14ac:dyDescent="0.25">
      <c r="A542" s="2" t="s">
        <v>1625</v>
      </c>
      <c r="B542" s="2" t="s">
        <v>136</v>
      </c>
      <c r="C542" s="8">
        <v>46237</v>
      </c>
      <c r="D542" s="6">
        <v>46235</v>
      </c>
      <c r="E542" s="2" t="s">
        <v>260</v>
      </c>
      <c r="F542" s="2" t="s">
        <v>1626</v>
      </c>
      <c r="G542" s="6">
        <v>46204</v>
      </c>
      <c r="H542" s="2" t="s">
        <v>71</v>
      </c>
      <c r="I542" s="2" t="s">
        <v>39</v>
      </c>
      <c r="J542" s="9">
        <v>11727.91</v>
      </c>
      <c r="K542" s="7">
        <v>1</v>
      </c>
      <c r="L542" s="9">
        <v>11727.91</v>
      </c>
      <c r="M542" s="9">
        <v>11727.91</v>
      </c>
      <c r="N542" s="9">
        <v>6.45</v>
      </c>
      <c r="O542" s="10">
        <f>IF(AND(OR(H542="APPROVED",H542="SCHEDULED"),COUNTIFS(tblSource[EventID],F542,tblSource[ReleaseStatus],"APPROVED")=1,COUNTIFS(Period_Status!$A$2:$A$8,G542,Period_Status!$B$2:$B$8,"ActualClosed")=1,C542&gt;EOMONTH(Settlement_Bridge!$C$2,0)),1,0)</f>
        <v>1</v>
      </c>
      <c r="P542" s="2" t="s">
        <v>1627</v>
      </c>
    </row>
    <row r="543" spans="1:16" x14ac:dyDescent="0.25">
      <c r="A543" s="2" t="s">
        <v>1628</v>
      </c>
      <c r="B543" s="2" t="s">
        <v>136</v>
      </c>
      <c r="C543" s="8">
        <v>46238</v>
      </c>
      <c r="D543" s="6">
        <v>46235</v>
      </c>
      <c r="E543" s="2" t="s">
        <v>260</v>
      </c>
      <c r="F543" s="2" t="s">
        <v>1629</v>
      </c>
      <c r="G543" s="6">
        <v>46204</v>
      </c>
      <c r="H543" s="2" t="s">
        <v>71</v>
      </c>
      <c r="I543" s="2" t="s">
        <v>76</v>
      </c>
      <c r="J543" s="9">
        <v>191950322.58064499</v>
      </c>
      <c r="K543" s="7">
        <v>6.1500000000000004E-5</v>
      </c>
      <c r="L543" s="9">
        <v>11804.94</v>
      </c>
      <c r="M543" s="9">
        <v>11900.92</v>
      </c>
      <c r="N543" s="9">
        <v>6.49</v>
      </c>
      <c r="O543" s="10">
        <f>IF(AND(OR(H543="APPROVED",H543="SCHEDULED"),COUNTIFS(tblSource[EventID],F543,tblSource[ReleaseStatus],"APPROVED")=1,COUNTIFS(Period_Status!$A$2:$A$8,G543,Period_Status!$B$2:$B$8,"ActualClosed")=1,C543&gt;EOMONTH(Settlement_Bridge!$C$2,0)),1,0)</f>
        <v>1</v>
      </c>
      <c r="P543" s="2" t="s">
        <v>1630</v>
      </c>
    </row>
    <row r="544" spans="1:16" x14ac:dyDescent="0.25">
      <c r="A544" s="2" t="s">
        <v>1631</v>
      </c>
      <c r="B544" s="2" t="s">
        <v>136</v>
      </c>
      <c r="C544" s="8">
        <v>46229</v>
      </c>
      <c r="D544" s="6">
        <v>46204</v>
      </c>
      <c r="E544" s="2" t="s">
        <v>260</v>
      </c>
      <c r="F544" s="2" t="s">
        <v>1632</v>
      </c>
      <c r="G544" s="6">
        <v>46204</v>
      </c>
      <c r="H544" s="2" t="s">
        <v>71</v>
      </c>
      <c r="I544" s="2" t="s">
        <v>70</v>
      </c>
      <c r="J544" s="9">
        <v>7339.7750759999999</v>
      </c>
      <c r="K544" s="7">
        <v>0.65800000000000003</v>
      </c>
      <c r="L544" s="9">
        <v>4829.57</v>
      </c>
      <c r="M544" s="9">
        <v>4829.57</v>
      </c>
      <c r="N544" s="9">
        <v>2.66</v>
      </c>
      <c r="O544" s="10">
        <f>IF(AND(OR(H544="APPROVED",H544="SCHEDULED"),COUNTIFS(tblSource[EventID],F544,tblSource[ReleaseStatus],"APPROVED")=1,COUNTIFS(Period_Status!$A$2:$A$8,G544,Period_Status!$B$2:$B$8,"ActualClosed")=1,C544&gt;EOMONTH(Settlement_Bridge!$C$2,0)),1,0)</f>
        <v>0</v>
      </c>
      <c r="P544" s="2" t="s">
        <v>1633</v>
      </c>
    </row>
    <row r="545" spans="1:16" x14ac:dyDescent="0.25">
      <c r="A545" s="2" t="s">
        <v>1634</v>
      </c>
      <c r="B545" s="2" t="s">
        <v>136</v>
      </c>
      <c r="C545" s="8">
        <v>46254</v>
      </c>
      <c r="D545" s="6">
        <v>46235</v>
      </c>
      <c r="E545" s="2" t="s">
        <v>260</v>
      </c>
      <c r="F545" s="2" t="s">
        <v>1632</v>
      </c>
      <c r="G545" s="6">
        <v>46204</v>
      </c>
      <c r="H545" s="2" t="s">
        <v>71</v>
      </c>
      <c r="I545" s="2" t="s">
        <v>70</v>
      </c>
      <c r="J545" s="9">
        <v>11009.662614000001</v>
      </c>
      <c r="K545" s="7">
        <v>0.65</v>
      </c>
      <c r="L545" s="9">
        <v>7156.28</v>
      </c>
      <c r="M545" s="9">
        <v>7244.36</v>
      </c>
      <c r="N545" s="9">
        <v>3.94</v>
      </c>
      <c r="O545" s="10">
        <f>IF(AND(OR(H545="APPROVED",H545="SCHEDULED"),COUNTIFS(tblSource[EventID],F545,tblSource[ReleaseStatus],"APPROVED")=1,COUNTIFS(Period_Status!$A$2:$A$8,G545,Period_Status!$B$2:$B$8,"ActualClosed")=1,C545&gt;EOMONTH(Settlement_Bridge!$C$2,0)),1,0)</f>
        <v>1</v>
      </c>
      <c r="P545" s="2" t="s">
        <v>1635</v>
      </c>
    </row>
    <row r="546" spans="1:16" x14ac:dyDescent="0.25">
      <c r="A546" s="2" t="s">
        <v>1636</v>
      </c>
      <c r="B546" s="2" t="s">
        <v>136</v>
      </c>
      <c r="C546" s="8">
        <v>46230</v>
      </c>
      <c r="D546" s="6">
        <v>46204</v>
      </c>
      <c r="E546" s="2" t="s">
        <v>260</v>
      </c>
      <c r="F546" s="2" t="s">
        <v>1637</v>
      </c>
      <c r="G546" s="6">
        <v>46204</v>
      </c>
      <c r="H546" s="2" t="s">
        <v>71</v>
      </c>
      <c r="I546" s="2" t="s">
        <v>39</v>
      </c>
      <c r="J546" s="9">
        <v>4898.7759999999998</v>
      </c>
      <c r="K546" s="7">
        <v>1</v>
      </c>
      <c r="L546" s="9">
        <v>4898.78</v>
      </c>
      <c r="M546" s="9">
        <v>4898.78</v>
      </c>
      <c r="N546" s="9">
        <v>2.69</v>
      </c>
      <c r="O546" s="10">
        <f>IF(AND(OR(H546="APPROVED",H546="SCHEDULED"),COUNTIFS(tblSource[EventID],F546,tblSource[ReleaseStatus],"APPROVED")=1,COUNTIFS(Period_Status!$A$2:$A$8,G546,Period_Status!$B$2:$B$8,"ActualClosed")=1,C546&gt;EOMONTH(Settlement_Bridge!$C$2,0)),1,0)</f>
        <v>0</v>
      </c>
      <c r="P546" s="2" t="s">
        <v>1638</v>
      </c>
    </row>
    <row r="547" spans="1:16" x14ac:dyDescent="0.25">
      <c r="A547" s="2" t="s">
        <v>1639</v>
      </c>
      <c r="B547" s="2" t="s">
        <v>136</v>
      </c>
      <c r="C547" s="8">
        <v>46255</v>
      </c>
      <c r="D547" s="6">
        <v>46235</v>
      </c>
      <c r="E547" s="2" t="s">
        <v>260</v>
      </c>
      <c r="F547" s="2" t="s">
        <v>1637</v>
      </c>
      <c r="G547" s="6">
        <v>46204</v>
      </c>
      <c r="H547" s="2" t="s">
        <v>71</v>
      </c>
      <c r="I547" s="2" t="s">
        <v>39</v>
      </c>
      <c r="J547" s="9">
        <v>7348.1639999999998</v>
      </c>
      <c r="K547" s="7">
        <v>1</v>
      </c>
      <c r="L547" s="9">
        <v>7348.16</v>
      </c>
      <c r="M547" s="9">
        <v>7348.16</v>
      </c>
      <c r="N547" s="9">
        <v>4.04</v>
      </c>
      <c r="O547" s="10">
        <f>IF(AND(OR(H547="APPROVED",H547="SCHEDULED"),COUNTIFS(tblSource[EventID],F547,tblSource[ReleaseStatus],"APPROVED")=1,COUNTIFS(Period_Status!$A$2:$A$8,G547,Period_Status!$B$2:$B$8,"ActualClosed")=1,C547&gt;EOMONTH(Settlement_Bridge!$C$2,0)),1,0)</f>
        <v>1</v>
      </c>
      <c r="P547" s="2" t="s">
        <v>1640</v>
      </c>
    </row>
    <row r="548" spans="1:16" x14ac:dyDescent="0.25">
      <c r="A548" s="2" t="s">
        <v>1641</v>
      </c>
      <c r="B548" s="2" t="s">
        <v>136</v>
      </c>
      <c r="C548" s="8">
        <v>46241</v>
      </c>
      <c r="D548" s="6">
        <v>46235</v>
      </c>
      <c r="E548" s="2" t="s">
        <v>260</v>
      </c>
      <c r="F548" s="2" t="s">
        <v>1642</v>
      </c>
      <c r="G548" s="6">
        <v>46204</v>
      </c>
      <c r="H548" s="2" t="s">
        <v>71</v>
      </c>
      <c r="I548" s="2" t="s">
        <v>76</v>
      </c>
      <c r="J548" s="9">
        <v>200321774.19354799</v>
      </c>
      <c r="K548" s="7">
        <v>6.1500000000000004E-5</v>
      </c>
      <c r="L548" s="9">
        <v>12319.79</v>
      </c>
      <c r="M548" s="9">
        <v>12419.95</v>
      </c>
      <c r="N548" s="9">
        <v>6.78</v>
      </c>
      <c r="O548" s="10">
        <f>IF(AND(OR(H548="APPROVED",H548="SCHEDULED"),COUNTIFS(tblSource[EventID],F548,tblSource[ReleaseStatus],"APPROVED")=1,COUNTIFS(Period_Status!$A$2:$A$8,G548,Period_Status!$B$2:$B$8,"ActualClosed")=1,C548&gt;EOMONTH(Settlement_Bridge!$C$2,0)),1,0)</f>
        <v>1</v>
      </c>
      <c r="P548" s="2" t="s">
        <v>1643</v>
      </c>
    </row>
    <row r="549" spans="1:16" x14ac:dyDescent="0.25">
      <c r="A549" s="2" t="s">
        <v>1644</v>
      </c>
      <c r="B549" s="2" t="s">
        <v>136</v>
      </c>
      <c r="C549" s="8">
        <v>46242</v>
      </c>
      <c r="D549" s="6">
        <v>46235</v>
      </c>
      <c r="E549" s="2" t="s">
        <v>260</v>
      </c>
      <c r="F549" s="2" t="s">
        <v>1645</v>
      </c>
      <c r="G549" s="6">
        <v>46204</v>
      </c>
      <c r="H549" s="2" t="s">
        <v>71</v>
      </c>
      <c r="I549" s="2" t="s">
        <v>70</v>
      </c>
      <c r="J549" s="9">
        <v>19138.237082</v>
      </c>
      <c r="K549" s="7">
        <v>0.65</v>
      </c>
      <c r="L549" s="9">
        <v>12439.85</v>
      </c>
      <c r="M549" s="9">
        <v>12592.96</v>
      </c>
      <c r="N549" s="9">
        <v>6.84</v>
      </c>
      <c r="O549" s="10">
        <f>IF(AND(OR(H549="APPROVED",H549="SCHEDULED"),COUNTIFS(tblSource[EventID],F549,tblSource[ReleaseStatus],"APPROVED")=1,COUNTIFS(Period_Status!$A$2:$A$8,G549,Period_Status!$B$2:$B$8,"ActualClosed")=1,C549&gt;EOMONTH(Settlement_Bridge!$C$2,0)),1,0)</f>
        <v>1</v>
      </c>
      <c r="P549" s="2" t="s">
        <v>1646</v>
      </c>
    </row>
    <row r="550" spans="1:16" x14ac:dyDescent="0.25">
      <c r="A550" s="2" t="s">
        <v>1647</v>
      </c>
      <c r="B550" s="2" t="s">
        <v>136</v>
      </c>
      <c r="C550" s="8">
        <v>46233</v>
      </c>
      <c r="D550" s="6">
        <v>46204</v>
      </c>
      <c r="E550" s="2" t="s">
        <v>260</v>
      </c>
      <c r="F550" s="2" t="s">
        <v>1648</v>
      </c>
      <c r="G550" s="6">
        <v>46204</v>
      </c>
      <c r="H550" s="2" t="s">
        <v>71</v>
      </c>
      <c r="I550" s="2" t="s">
        <v>39</v>
      </c>
      <c r="J550" s="9">
        <v>5106</v>
      </c>
      <c r="K550" s="7">
        <v>1</v>
      </c>
      <c r="L550" s="9">
        <v>5106</v>
      </c>
      <c r="M550" s="9">
        <v>5106</v>
      </c>
      <c r="N550" s="9">
        <v>2.81</v>
      </c>
      <c r="O550" s="10">
        <f>IF(AND(OR(H550="APPROVED",H550="SCHEDULED"),COUNTIFS(tblSource[EventID],F550,tblSource[ReleaseStatus],"APPROVED")=1,COUNTIFS(Period_Status!$A$2:$A$8,G550,Period_Status!$B$2:$B$8,"ActualClosed")=1,C550&gt;EOMONTH(Settlement_Bridge!$C$2,0)),1,0)</f>
        <v>0</v>
      </c>
      <c r="P550" s="2" t="s">
        <v>1649</v>
      </c>
    </row>
    <row r="551" spans="1:16" x14ac:dyDescent="0.25">
      <c r="A551" s="2" t="s">
        <v>1650</v>
      </c>
      <c r="B551" s="2" t="s">
        <v>136</v>
      </c>
      <c r="C551" s="8">
        <v>46258</v>
      </c>
      <c r="D551" s="6">
        <v>46235</v>
      </c>
      <c r="E551" s="2" t="s">
        <v>260</v>
      </c>
      <c r="F551" s="2" t="s">
        <v>1648</v>
      </c>
      <c r="G551" s="6">
        <v>46204</v>
      </c>
      <c r="H551" s="2" t="s">
        <v>71</v>
      </c>
      <c r="I551" s="2" t="s">
        <v>39</v>
      </c>
      <c r="J551" s="9">
        <v>7659</v>
      </c>
      <c r="K551" s="7">
        <v>1</v>
      </c>
      <c r="L551" s="9">
        <v>7659</v>
      </c>
      <c r="M551" s="9">
        <v>7659</v>
      </c>
      <c r="N551" s="9">
        <v>4.21</v>
      </c>
      <c r="O551" s="10">
        <f>IF(AND(OR(H551="APPROVED",H551="SCHEDULED"),COUNTIFS(tblSource[EventID],F551,tblSource[ReleaseStatus],"APPROVED")=1,COUNTIFS(Period_Status!$A$2:$A$8,G551,Period_Status!$B$2:$B$8,"ActualClosed")=1,C551&gt;EOMONTH(Settlement_Bridge!$C$2,0)),1,0)</f>
        <v>1</v>
      </c>
      <c r="P551" s="2" t="s">
        <v>1651</v>
      </c>
    </row>
    <row r="552" spans="1:16" x14ac:dyDescent="0.25">
      <c r="A552" s="2" t="s">
        <v>1652</v>
      </c>
      <c r="B552" s="2" t="s">
        <v>136</v>
      </c>
      <c r="C552" s="8">
        <v>46244</v>
      </c>
      <c r="D552" s="6">
        <v>46235</v>
      </c>
      <c r="E552" s="2" t="s">
        <v>260</v>
      </c>
      <c r="F552" s="2" t="s">
        <v>1653</v>
      </c>
      <c r="G552" s="6">
        <v>46204</v>
      </c>
      <c r="H552" s="2" t="s">
        <v>71</v>
      </c>
      <c r="I552" s="2" t="s">
        <v>76</v>
      </c>
      <c r="J552" s="9">
        <v>208677580.645161</v>
      </c>
      <c r="K552" s="7">
        <v>6.1500000000000004E-5</v>
      </c>
      <c r="L552" s="9">
        <v>12833.67</v>
      </c>
      <c r="M552" s="9">
        <v>12938.01</v>
      </c>
      <c r="N552" s="9">
        <v>7.06</v>
      </c>
      <c r="O552" s="10">
        <f>IF(AND(OR(H552="APPROVED",H552="SCHEDULED"),COUNTIFS(tblSource[EventID],F552,tblSource[ReleaseStatus],"APPROVED")=1,COUNTIFS(Period_Status!$A$2:$A$8,G552,Period_Status!$B$2:$B$8,"ActualClosed")=1,C552&gt;EOMONTH(Settlement_Bridge!$C$2,0)),1,0)</f>
        <v>1</v>
      </c>
      <c r="P552" s="2" t="s">
        <v>1654</v>
      </c>
    </row>
    <row r="553" spans="1:16" x14ac:dyDescent="0.25">
      <c r="A553" s="2" t="s">
        <v>1655</v>
      </c>
      <c r="B553" s="2" t="s">
        <v>136</v>
      </c>
      <c r="C553" s="8">
        <v>46245</v>
      </c>
      <c r="D553" s="6">
        <v>46235</v>
      </c>
      <c r="E553" s="2" t="s">
        <v>260</v>
      </c>
      <c r="F553" s="2" t="s">
        <v>1656</v>
      </c>
      <c r="G553" s="6">
        <v>46204</v>
      </c>
      <c r="H553" s="2" t="s">
        <v>71</v>
      </c>
      <c r="I553" s="2" t="s">
        <v>70</v>
      </c>
      <c r="J553" s="9">
        <v>19925.562310000001</v>
      </c>
      <c r="K553" s="7">
        <v>0.65</v>
      </c>
      <c r="L553" s="9">
        <v>12951.62</v>
      </c>
      <c r="M553" s="9">
        <v>13111.02</v>
      </c>
      <c r="N553" s="9">
        <v>7.12</v>
      </c>
      <c r="O553" s="10">
        <f>IF(AND(OR(H553="APPROVED",H553="SCHEDULED"),COUNTIFS(tblSource[EventID],F553,tblSource[ReleaseStatus],"APPROVED")=1,COUNTIFS(Period_Status!$A$2:$A$8,G553,Period_Status!$B$2:$B$8,"ActualClosed")=1,C553&gt;EOMONTH(Settlement_Bridge!$C$2,0)),1,0)</f>
        <v>1</v>
      </c>
      <c r="P553" s="2" t="s">
        <v>1657</v>
      </c>
    </row>
    <row r="554" spans="1:16" x14ac:dyDescent="0.25">
      <c r="A554" s="2" t="s">
        <v>1658</v>
      </c>
      <c r="B554" s="2" t="s">
        <v>136</v>
      </c>
      <c r="C554" s="8">
        <v>46246</v>
      </c>
      <c r="D554" s="6">
        <v>46235</v>
      </c>
      <c r="E554" s="2" t="s">
        <v>260</v>
      </c>
      <c r="F554" s="2" t="s">
        <v>1659</v>
      </c>
      <c r="G554" s="6">
        <v>46204</v>
      </c>
      <c r="H554" s="2" t="s">
        <v>71</v>
      </c>
      <c r="I554" s="2" t="s">
        <v>39</v>
      </c>
      <c r="J554" s="9">
        <v>13284.03</v>
      </c>
      <c r="K554" s="7">
        <v>1</v>
      </c>
      <c r="L554" s="9">
        <v>13284.03</v>
      </c>
      <c r="M554" s="9">
        <v>13284.03</v>
      </c>
      <c r="N554" s="9">
        <v>7.31</v>
      </c>
      <c r="O554" s="10">
        <f>IF(AND(OR(H554="APPROVED",H554="SCHEDULED"),COUNTIFS(tblSource[EventID],F554,tblSource[ReleaseStatus],"APPROVED")=1,COUNTIFS(Period_Status!$A$2:$A$8,G554,Period_Status!$B$2:$B$8,"ActualClosed")=1,C554&gt;EOMONTH(Settlement_Bridge!$C$2,0)),1,0)</f>
        <v>1</v>
      </c>
      <c r="P554" s="2" t="s">
        <v>1660</v>
      </c>
    </row>
    <row r="555" spans="1:16" x14ac:dyDescent="0.25">
      <c r="A555" s="2" t="s">
        <v>1661</v>
      </c>
      <c r="B555" s="2" t="s">
        <v>136</v>
      </c>
      <c r="C555" s="8">
        <v>46247</v>
      </c>
      <c r="D555" s="6">
        <v>46235</v>
      </c>
      <c r="E555" s="2" t="s">
        <v>260</v>
      </c>
      <c r="F555" s="2" t="s">
        <v>1662</v>
      </c>
      <c r="G555" s="6">
        <v>46204</v>
      </c>
      <c r="H555" s="2" t="s">
        <v>71</v>
      </c>
      <c r="I555" s="2" t="s">
        <v>76</v>
      </c>
      <c r="J555" s="9">
        <v>217049032.25806499</v>
      </c>
      <c r="K555" s="7">
        <v>6.1500000000000004E-5</v>
      </c>
      <c r="L555" s="9">
        <v>13348.52</v>
      </c>
      <c r="M555" s="9">
        <v>13457.04</v>
      </c>
      <c r="N555" s="9">
        <v>7.34</v>
      </c>
      <c r="O555" s="10">
        <f>IF(AND(OR(H555="APPROVED",H555="SCHEDULED"),COUNTIFS(tblSource[EventID],F555,tblSource[ReleaseStatus],"APPROVED")=1,COUNTIFS(Period_Status!$A$2:$A$8,G555,Period_Status!$B$2:$B$8,"ActualClosed")=1,C555&gt;EOMONTH(Settlement_Bridge!$C$2,0)),1,0)</f>
        <v>1</v>
      </c>
      <c r="P555" s="2" t="s">
        <v>1663</v>
      </c>
    </row>
    <row r="556" spans="1:16" x14ac:dyDescent="0.25">
      <c r="A556" s="2" t="s">
        <v>1664</v>
      </c>
      <c r="B556" s="2" t="s">
        <v>136</v>
      </c>
      <c r="C556" s="8">
        <v>46248</v>
      </c>
      <c r="D556" s="6">
        <v>46235</v>
      </c>
      <c r="E556" s="2" t="s">
        <v>260</v>
      </c>
      <c r="F556" s="2" t="s">
        <v>1665</v>
      </c>
      <c r="G556" s="6">
        <v>46204</v>
      </c>
      <c r="H556" s="2" t="s">
        <v>71</v>
      </c>
      <c r="I556" s="2" t="s">
        <v>70</v>
      </c>
      <c r="J556" s="9">
        <v>20714.361701999998</v>
      </c>
      <c r="K556" s="7">
        <v>0.65</v>
      </c>
      <c r="L556" s="9">
        <v>13464.34</v>
      </c>
      <c r="M556" s="9">
        <v>13630.05</v>
      </c>
      <c r="N556" s="9">
        <v>7.41</v>
      </c>
      <c r="O556" s="10">
        <f>IF(AND(OR(H556="APPROVED",H556="SCHEDULED"),COUNTIFS(tblSource[EventID],F556,tblSource[ReleaseStatus],"APPROVED")=1,COUNTIFS(Period_Status!$A$2:$A$8,G556,Period_Status!$B$2:$B$8,"ActualClosed")=1,C556&gt;EOMONTH(Settlement_Bridge!$C$2,0)),1,0)</f>
        <v>1</v>
      </c>
      <c r="P556" s="2" t="s">
        <v>1666</v>
      </c>
    </row>
    <row r="557" spans="1:16" x14ac:dyDescent="0.25">
      <c r="A557" s="2" t="s">
        <v>1667</v>
      </c>
      <c r="B557" s="2" t="s">
        <v>136</v>
      </c>
      <c r="C557" s="8">
        <v>46239</v>
      </c>
      <c r="D557" s="6">
        <v>46235</v>
      </c>
      <c r="E557" s="2" t="s">
        <v>260</v>
      </c>
      <c r="F557" s="2" t="s">
        <v>1668</v>
      </c>
      <c r="G557" s="6">
        <v>46204</v>
      </c>
      <c r="H557" s="2" t="s">
        <v>71</v>
      </c>
      <c r="I557" s="2" t="s">
        <v>39</v>
      </c>
      <c r="J557" s="9">
        <v>5521.2240000000002</v>
      </c>
      <c r="K557" s="7">
        <v>1</v>
      </c>
      <c r="L557" s="9">
        <v>5521.22</v>
      </c>
      <c r="M557" s="9">
        <v>5521.22</v>
      </c>
      <c r="N557" s="9">
        <v>3.04</v>
      </c>
      <c r="O557" s="10">
        <f>IF(AND(OR(H557="APPROVED",H557="SCHEDULED"),COUNTIFS(tblSource[EventID],F557,tblSource[ReleaseStatus],"APPROVED")=1,COUNTIFS(Period_Status!$A$2:$A$8,G557,Period_Status!$B$2:$B$8,"ActualClosed")=1,C557&gt;EOMONTH(Settlement_Bridge!$C$2,0)),1,0)</f>
        <v>1</v>
      </c>
      <c r="P557" s="2" t="s">
        <v>1669</v>
      </c>
    </row>
    <row r="558" spans="1:16" x14ac:dyDescent="0.25">
      <c r="A558" s="2" t="s">
        <v>1670</v>
      </c>
      <c r="B558" s="2" t="s">
        <v>136</v>
      </c>
      <c r="C558" s="8">
        <v>46264</v>
      </c>
      <c r="D558" s="6">
        <v>46235</v>
      </c>
      <c r="E558" s="2" t="s">
        <v>260</v>
      </c>
      <c r="F558" s="2" t="s">
        <v>1668</v>
      </c>
      <c r="G558" s="6">
        <v>46204</v>
      </c>
      <c r="H558" s="2" t="s">
        <v>71</v>
      </c>
      <c r="I558" s="2" t="s">
        <v>39</v>
      </c>
      <c r="J558" s="9">
        <v>8281.8359999999993</v>
      </c>
      <c r="K558" s="7">
        <v>1</v>
      </c>
      <c r="L558" s="9">
        <v>8281.84</v>
      </c>
      <c r="M558" s="9">
        <v>8281.84</v>
      </c>
      <c r="N558" s="9">
        <v>4.5599999999999996</v>
      </c>
      <c r="O558" s="10">
        <f>IF(AND(OR(H558="APPROVED",H558="SCHEDULED"),COUNTIFS(tblSource[EventID],F558,tblSource[ReleaseStatus],"APPROVED")=1,COUNTIFS(Period_Status!$A$2:$A$8,G558,Period_Status!$B$2:$B$8,"ActualClosed")=1,C558&gt;EOMONTH(Settlement_Bridge!$C$2,0)),1,0)</f>
        <v>1</v>
      </c>
      <c r="P558" s="2" t="s">
        <v>1671</v>
      </c>
    </row>
    <row r="559" spans="1:16" x14ac:dyDescent="0.25">
      <c r="A559" s="2" t="s">
        <v>1672</v>
      </c>
      <c r="B559" s="2" t="s">
        <v>136</v>
      </c>
      <c r="C559" s="8">
        <v>46240</v>
      </c>
      <c r="D559" s="6">
        <v>46235</v>
      </c>
      <c r="E559" s="2" t="s">
        <v>260</v>
      </c>
      <c r="F559" s="2" t="s">
        <v>1673</v>
      </c>
      <c r="G559" s="6">
        <v>46204</v>
      </c>
      <c r="H559" s="2" t="s">
        <v>71</v>
      </c>
      <c r="I559" s="2" t="s">
        <v>76</v>
      </c>
      <c r="J559" s="9">
        <v>90168193.548387006</v>
      </c>
      <c r="K559" s="7">
        <v>6.1500000000000004E-5</v>
      </c>
      <c r="L559" s="9">
        <v>5545.34</v>
      </c>
      <c r="M559" s="9">
        <v>5590.43</v>
      </c>
      <c r="N559" s="9">
        <v>3.05</v>
      </c>
      <c r="O559" s="10">
        <f>IF(AND(OR(H559="APPROVED",H559="SCHEDULED"),COUNTIFS(tblSource[EventID],F559,tblSource[ReleaseStatus],"APPROVED")=1,COUNTIFS(Period_Status!$A$2:$A$8,G559,Period_Status!$B$2:$B$8,"ActualClosed")=1,C559&gt;EOMONTH(Settlement_Bridge!$C$2,0)),1,0)</f>
        <v>1</v>
      </c>
      <c r="P559" s="2" t="s">
        <v>1674</v>
      </c>
    </row>
    <row r="560" spans="1:16" x14ac:dyDescent="0.25">
      <c r="A560" s="2" t="s">
        <v>1675</v>
      </c>
      <c r="B560" s="2" t="s">
        <v>136</v>
      </c>
      <c r="C560" s="8">
        <v>46265</v>
      </c>
      <c r="D560" s="6">
        <v>46235</v>
      </c>
      <c r="E560" s="2" t="s">
        <v>260</v>
      </c>
      <c r="F560" s="2" t="s">
        <v>1673</v>
      </c>
      <c r="G560" s="6">
        <v>46204</v>
      </c>
      <c r="H560" s="2" t="s">
        <v>71</v>
      </c>
      <c r="I560" s="2" t="s">
        <v>76</v>
      </c>
      <c r="J560" s="9">
        <v>135252290.32258099</v>
      </c>
      <c r="K560" s="7">
        <v>6.1500000000000004E-5</v>
      </c>
      <c r="L560" s="9">
        <v>8318.02</v>
      </c>
      <c r="M560" s="9">
        <v>8385.64</v>
      </c>
      <c r="N560" s="9">
        <v>4.57</v>
      </c>
      <c r="O560" s="10">
        <f>IF(AND(OR(H560="APPROVED",H560="SCHEDULED"),COUNTIFS(tblSource[EventID],F560,tblSource[ReleaseStatus],"APPROVED")=1,COUNTIFS(Period_Status!$A$2:$A$8,G560,Period_Status!$B$2:$B$8,"ActualClosed")=1,C560&gt;EOMONTH(Settlement_Bridge!$C$2,0)),1,0)</f>
        <v>1</v>
      </c>
      <c r="P560" s="2" t="s">
        <v>1676</v>
      </c>
    </row>
    <row r="561" spans="1:16" x14ac:dyDescent="0.25">
      <c r="A561" s="2" t="s">
        <v>1677</v>
      </c>
      <c r="B561" s="2" t="s">
        <v>136</v>
      </c>
      <c r="C561" s="8">
        <v>46251</v>
      </c>
      <c r="D561" s="6">
        <v>46235</v>
      </c>
      <c r="E561" s="2" t="s">
        <v>260</v>
      </c>
      <c r="F561" s="2" t="s">
        <v>1678</v>
      </c>
      <c r="G561" s="6">
        <v>46204</v>
      </c>
      <c r="H561" s="2" t="s">
        <v>71</v>
      </c>
      <c r="I561" s="2" t="s">
        <v>70</v>
      </c>
      <c r="J561" s="9">
        <v>21503.161093999999</v>
      </c>
      <c r="K561" s="7">
        <v>0.65</v>
      </c>
      <c r="L561" s="9">
        <v>13977.05</v>
      </c>
      <c r="M561" s="9">
        <v>14149.08</v>
      </c>
      <c r="N561" s="9">
        <v>7.69</v>
      </c>
      <c r="O561" s="10">
        <f>IF(AND(OR(H561="APPROVED",H561="SCHEDULED"),COUNTIFS(tblSource[EventID],F561,tblSource[ReleaseStatus],"APPROVED")=1,COUNTIFS(Period_Status!$A$2:$A$8,G561,Period_Status!$B$2:$B$8,"ActualClosed")=1,C561&gt;EOMONTH(Settlement_Bridge!$C$2,0)),1,0)</f>
        <v>1</v>
      </c>
      <c r="P561" s="2" t="s">
        <v>1679</v>
      </c>
    </row>
    <row r="562" spans="1:16" x14ac:dyDescent="0.25">
      <c r="A562" s="2" t="s">
        <v>1680</v>
      </c>
      <c r="B562" s="2" t="s">
        <v>136</v>
      </c>
      <c r="C562" s="8">
        <v>46252</v>
      </c>
      <c r="D562" s="6">
        <v>46235</v>
      </c>
      <c r="E562" s="2" t="s">
        <v>260</v>
      </c>
      <c r="F562" s="2" t="s">
        <v>1681</v>
      </c>
      <c r="G562" s="6">
        <v>46204</v>
      </c>
      <c r="H562" s="2" t="s">
        <v>71</v>
      </c>
      <c r="I562" s="2" t="s">
        <v>39</v>
      </c>
      <c r="J562" s="9">
        <v>14322.09</v>
      </c>
      <c r="K562" s="7">
        <v>1</v>
      </c>
      <c r="L562" s="9">
        <v>14322.09</v>
      </c>
      <c r="M562" s="9">
        <v>14322.09</v>
      </c>
      <c r="N562" s="9">
        <v>7.88</v>
      </c>
      <c r="O562" s="10">
        <f>IF(AND(OR(H562="APPROVED",H562="SCHEDULED"),COUNTIFS(tblSource[EventID],F562,tblSource[ReleaseStatus],"APPROVED")=1,COUNTIFS(Period_Status!$A$2:$A$8,G562,Period_Status!$B$2:$B$8,"ActualClosed")=1,C562&gt;EOMONTH(Settlement_Bridge!$C$2,0)),1,0)</f>
        <v>1</v>
      </c>
      <c r="P562" s="2" t="s">
        <v>1682</v>
      </c>
    </row>
    <row r="563" spans="1:16" x14ac:dyDescent="0.25">
      <c r="A563" s="2" t="s">
        <v>1683</v>
      </c>
      <c r="B563" s="2" t="s">
        <v>136</v>
      </c>
      <c r="C563" s="8">
        <v>46243</v>
      </c>
      <c r="D563" s="6">
        <v>46235</v>
      </c>
      <c r="E563" s="2" t="s">
        <v>260</v>
      </c>
      <c r="F563" s="2" t="s">
        <v>1684</v>
      </c>
      <c r="G563" s="6">
        <v>46204</v>
      </c>
      <c r="H563" s="2" t="s">
        <v>71</v>
      </c>
      <c r="I563" s="2" t="s">
        <v>76</v>
      </c>
      <c r="J563" s="9">
        <v>93516774.193547994</v>
      </c>
      <c r="K563" s="7">
        <v>6.1500000000000004E-5</v>
      </c>
      <c r="L563" s="9">
        <v>5751.28</v>
      </c>
      <c r="M563" s="9">
        <v>5798.04</v>
      </c>
      <c r="N563" s="9">
        <v>3.16</v>
      </c>
      <c r="O563" s="10">
        <f>IF(AND(OR(H563="APPROVED",H563="SCHEDULED"),COUNTIFS(tblSource[EventID],F563,tblSource[ReleaseStatus],"APPROVED")=1,COUNTIFS(Period_Status!$A$2:$A$8,G563,Period_Status!$B$2:$B$8,"ActualClosed")=1,C563&gt;EOMONTH(Settlement_Bridge!$C$2,0)),1,0)</f>
        <v>1</v>
      </c>
      <c r="P563" s="2" t="s">
        <v>1685</v>
      </c>
    </row>
    <row r="564" spans="1:16" x14ac:dyDescent="0.25">
      <c r="A564" s="2" t="s">
        <v>1686</v>
      </c>
      <c r="B564" s="2" t="s">
        <v>136</v>
      </c>
      <c r="C564" s="8">
        <v>46268</v>
      </c>
      <c r="D564" s="6">
        <v>46266</v>
      </c>
      <c r="E564" s="2" t="s">
        <v>260</v>
      </c>
      <c r="F564" s="2" t="s">
        <v>1684</v>
      </c>
      <c r="G564" s="6">
        <v>46204</v>
      </c>
      <c r="H564" s="2" t="s">
        <v>176</v>
      </c>
      <c r="I564" s="2" t="s">
        <v>76</v>
      </c>
      <c r="J564" s="9">
        <v>140275161.29032299</v>
      </c>
      <c r="K564" s="7">
        <v>6.1299999999999999E-5</v>
      </c>
      <c r="L564" s="9">
        <v>8598.8700000000008</v>
      </c>
      <c r="M564" s="9">
        <v>8697.06</v>
      </c>
      <c r="N564" s="9">
        <v>4.7300000000000004</v>
      </c>
      <c r="O564" s="10">
        <f>IF(AND(OR(H564="APPROVED",H564="SCHEDULED"),COUNTIFS(tblSource[EventID],F564,tblSource[ReleaseStatus],"APPROVED")=1,COUNTIFS(Period_Status!$A$2:$A$8,G564,Period_Status!$B$2:$B$8,"ActualClosed")=1,C564&gt;EOMONTH(Settlement_Bridge!$C$2,0)),1,0)</f>
        <v>1</v>
      </c>
      <c r="P564" s="2" t="s">
        <v>1687</v>
      </c>
    </row>
    <row r="565" spans="1:16" x14ac:dyDescent="0.25">
      <c r="A565" s="2" t="s">
        <v>1688</v>
      </c>
      <c r="B565" s="2" t="s">
        <v>136</v>
      </c>
      <c r="C565" s="8">
        <v>46254</v>
      </c>
      <c r="D565" s="6">
        <v>46235</v>
      </c>
      <c r="E565" s="2" t="s">
        <v>260</v>
      </c>
      <c r="F565" s="2" t="s">
        <v>1689</v>
      </c>
      <c r="G565" s="6">
        <v>46204</v>
      </c>
      <c r="H565" s="2" t="s">
        <v>71</v>
      </c>
      <c r="I565" s="2" t="s">
        <v>70</v>
      </c>
      <c r="J565" s="9">
        <v>22291.960486</v>
      </c>
      <c r="K565" s="7">
        <v>0.65</v>
      </c>
      <c r="L565" s="9">
        <v>14489.77</v>
      </c>
      <c r="M565" s="9">
        <v>14668.11</v>
      </c>
      <c r="N565" s="9">
        <v>7.97</v>
      </c>
      <c r="O565" s="10">
        <f>IF(AND(OR(H565="APPROVED",H565="SCHEDULED"),COUNTIFS(tblSource[EventID],F565,tblSource[ReleaseStatus],"APPROVED")=1,COUNTIFS(Period_Status!$A$2:$A$8,G565,Period_Status!$B$2:$B$8,"ActualClosed")=1,C565&gt;EOMONTH(Settlement_Bridge!$C$2,0)),1,0)</f>
        <v>1</v>
      </c>
      <c r="P565" s="2" t="s">
        <v>1690</v>
      </c>
    </row>
    <row r="566" spans="1:16" x14ac:dyDescent="0.25">
      <c r="A566" s="2" t="s">
        <v>1691</v>
      </c>
      <c r="B566" s="2" t="s">
        <v>136</v>
      </c>
      <c r="C566" s="8">
        <v>46255</v>
      </c>
      <c r="D566" s="6">
        <v>46235</v>
      </c>
      <c r="E566" s="2" t="s">
        <v>260</v>
      </c>
      <c r="F566" s="2" t="s">
        <v>1692</v>
      </c>
      <c r="G566" s="6">
        <v>46204</v>
      </c>
      <c r="H566" s="2" t="s">
        <v>71</v>
      </c>
      <c r="I566" s="2" t="s">
        <v>39</v>
      </c>
      <c r="J566" s="9">
        <v>14841.12</v>
      </c>
      <c r="K566" s="7">
        <v>1</v>
      </c>
      <c r="L566" s="9">
        <v>14841.12</v>
      </c>
      <c r="M566" s="9">
        <v>14841.12</v>
      </c>
      <c r="N566" s="9">
        <v>8.16</v>
      </c>
      <c r="O566" s="10">
        <f>IF(AND(OR(H566="APPROVED",H566="SCHEDULED"),COUNTIFS(tblSource[EventID],F566,tblSource[ReleaseStatus],"APPROVED")=1,COUNTIFS(Period_Status!$A$2:$A$8,G566,Period_Status!$B$2:$B$8,"ActualClosed")=1,C566&gt;EOMONTH(Settlement_Bridge!$C$2,0)),1,0)</f>
        <v>1</v>
      </c>
      <c r="P566" s="2" t="s">
        <v>1693</v>
      </c>
    </row>
    <row r="567" spans="1:16" x14ac:dyDescent="0.25">
      <c r="A567" s="2" t="s">
        <v>1694</v>
      </c>
      <c r="B567" s="2" t="s">
        <v>136</v>
      </c>
      <c r="C567" s="8">
        <v>46256</v>
      </c>
      <c r="D567" s="6">
        <v>46235</v>
      </c>
      <c r="E567" s="2" t="s">
        <v>260</v>
      </c>
      <c r="F567" s="2" t="s">
        <v>1695</v>
      </c>
      <c r="G567" s="6">
        <v>46204</v>
      </c>
      <c r="H567" s="2" t="s">
        <v>71</v>
      </c>
      <c r="I567" s="2" t="s">
        <v>76</v>
      </c>
      <c r="J567" s="9">
        <v>16356935.483871</v>
      </c>
      <c r="K567" s="7">
        <v>6.1500000000000004E-5</v>
      </c>
      <c r="L567" s="9">
        <v>1005.95</v>
      </c>
      <c r="M567" s="9">
        <v>1014.13</v>
      </c>
      <c r="N567" s="9">
        <v>1.8</v>
      </c>
      <c r="O567" s="10">
        <f>IF(AND(OR(H567="APPROVED",H567="SCHEDULED"),COUNTIFS(tblSource[EventID],F567,tblSource[ReleaseStatus],"APPROVED")=1,COUNTIFS(Period_Status!$A$2:$A$8,G567,Period_Status!$B$2:$B$8,"ActualClosed")=1,C567&gt;EOMONTH(Settlement_Bridge!$C$2,0)),1,0)</f>
        <v>1</v>
      </c>
      <c r="P567" s="2" t="s">
        <v>1696</v>
      </c>
    </row>
    <row r="568" spans="1:16" x14ac:dyDescent="0.25">
      <c r="A568" s="2" t="s">
        <v>1697</v>
      </c>
      <c r="B568" s="2" t="s">
        <v>136</v>
      </c>
      <c r="C568" s="8">
        <v>46257</v>
      </c>
      <c r="D568" s="6">
        <v>46235</v>
      </c>
      <c r="E568" s="2" t="s">
        <v>260</v>
      </c>
      <c r="F568" s="2" t="s">
        <v>1698</v>
      </c>
      <c r="G568" s="6">
        <v>46204</v>
      </c>
      <c r="H568" s="2" t="s">
        <v>71</v>
      </c>
      <c r="I568" s="2" t="s">
        <v>70</v>
      </c>
      <c r="J568" s="9">
        <v>1804.1641340000001</v>
      </c>
      <c r="K568" s="7">
        <v>0.65</v>
      </c>
      <c r="L568" s="9">
        <v>1172.71</v>
      </c>
      <c r="M568" s="9">
        <v>1187.1400000000001</v>
      </c>
      <c r="N568" s="9">
        <v>1.8</v>
      </c>
      <c r="O568" s="10">
        <f>IF(AND(OR(H568="APPROVED",H568="SCHEDULED"),COUNTIFS(tblSource[EventID],F568,tblSource[ReleaseStatus],"APPROVED")=1,COUNTIFS(Period_Status!$A$2:$A$8,G568,Period_Status!$B$2:$B$8,"ActualClosed")=1,C568&gt;EOMONTH(Settlement_Bridge!$C$2,0)),1,0)</f>
        <v>1</v>
      </c>
      <c r="P568" s="2" t="s">
        <v>1699</v>
      </c>
    </row>
    <row r="569" spans="1:16" x14ac:dyDescent="0.25">
      <c r="A569" s="2" t="s">
        <v>1700</v>
      </c>
      <c r="B569" s="2" t="s">
        <v>136</v>
      </c>
      <c r="C569" s="8">
        <v>46258</v>
      </c>
      <c r="D569" s="6">
        <v>46235</v>
      </c>
      <c r="E569" s="2" t="s">
        <v>260</v>
      </c>
      <c r="F569" s="2" t="s">
        <v>1701</v>
      </c>
      <c r="G569" s="6">
        <v>46204</v>
      </c>
      <c r="H569" s="2" t="s">
        <v>71</v>
      </c>
      <c r="I569" s="2" t="s">
        <v>39</v>
      </c>
      <c r="J569" s="9">
        <v>1360.15</v>
      </c>
      <c r="K569" s="7">
        <v>1</v>
      </c>
      <c r="L569" s="9">
        <v>1360.15</v>
      </c>
      <c r="M569" s="9">
        <v>1360.15</v>
      </c>
      <c r="N569" s="9">
        <v>1.8</v>
      </c>
      <c r="O569" s="10">
        <f>IF(AND(OR(H569="APPROVED",H569="SCHEDULED"),COUNTIFS(tblSource[EventID],F569,tblSource[ReleaseStatus],"APPROVED")=1,COUNTIFS(Period_Status!$A$2:$A$8,G569,Period_Status!$B$2:$B$8,"ActualClosed")=1,C569&gt;EOMONTH(Settlement_Bridge!$C$2,0)),1,0)</f>
        <v>1</v>
      </c>
      <c r="P569" s="2" t="s">
        <v>1702</v>
      </c>
    </row>
    <row r="570" spans="1:16" x14ac:dyDescent="0.25">
      <c r="A570" s="2" t="s">
        <v>1703</v>
      </c>
      <c r="B570" s="2" t="s">
        <v>136</v>
      </c>
      <c r="C570" s="8">
        <v>46218</v>
      </c>
      <c r="D570" s="6">
        <v>46204</v>
      </c>
      <c r="E570" s="2" t="s">
        <v>260</v>
      </c>
      <c r="F570" s="2" t="s">
        <v>1704</v>
      </c>
      <c r="G570" s="6">
        <v>46204</v>
      </c>
      <c r="H570" s="2" t="s">
        <v>71</v>
      </c>
      <c r="I570" s="2" t="s">
        <v>76</v>
      </c>
      <c r="J570" s="9">
        <v>9891354.8387100007</v>
      </c>
      <c r="K570" s="7">
        <v>6.2000000000000003E-5</v>
      </c>
      <c r="L570" s="9">
        <v>613.26</v>
      </c>
      <c r="M570" s="9">
        <v>613.26</v>
      </c>
      <c r="N570" s="9">
        <v>1.8</v>
      </c>
      <c r="O570" s="10">
        <f>IF(AND(OR(H570="APPROVED",H570="SCHEDULED"),COUNTIFS(tblSource[EventID],F570,tblSource[ReleaseStatus],"APPROVED")=1,COUNTIFS(Period_Status!$A$2:$A$8,G570,Period_Status!$B$2:$B$8,"ActualClosed")=1,C570&gt;EOMONTH(Settlement_Bridge!$C$2,0)),1,0)</f>
        <v>0</v>
      </c>
      <c r="P570" s="2" t="s">
        <v>1705</v>
      </c>
    </row>
    <row r="571" spans="1:16" x14ac:dyDescent="0.25">
      <c r="A571" s="2" t="s">
        <v>1706</v>
      </c>
      <c r="B571" s="2" t="s">
        <v>136</v>
      </c>
      <c r="C571" s="8">
        <v>46243</v>
      </c>
      <c r="D571" s="6">
        <v>46235</v>
      </c>
      <c r="E571" s="2" t="s">
        <v>260</v>
      </c>
      <c r="F571" s="2" t="s">
        <v>1704</v>
      </c>
      <c r="G571" s="6">
        <v>46204</v>
      </c>
      <c r="H571" s="2" t="s">
        <v>71</v>
      </c>
      <c r="I571" s="2" t="s">
        <v>76</v>
      </c>
      <c r="J571" s="9">
        <v>14837032.258064</v>
      </c>
      <c r="K571" s="7">
        <v>6.1500000000000004E-5</v>
      </c>
      <c r="L571" s="9">
        <v>912.48</v>
      </c>
      <c r="M571" s="9">
        <v>919.9</v>
      </c>
      <c r="N571" s="9">
        <v>1.8</v>
      </c>
      <c r="O571" s="10">
        <f>IF(AND(OR(H571="APPROVED",H571="SCHEDULED"),COUNTIFS(tblSource[EventID],F571,tblSource[ReleaseStatus],"APPROVED")=1,COUNTIFS(Period_Status!$A$2:$A$8,G571,Period_Status!$B$2:$B$8,"ActualClosed")=1,C571&gt;EOMONTH(Settlement_Bridge!$C$2,0)),1,0)</f>
        <v>1</v>
      </c>
      <c r="P571" s="2" t="s">
        <v>1707</v>
      </c>
    </row>
    <row r="572" spans="1:16" x14ac:dyDescent="0.25">
      <c r="A572" s="2" t="s">
        <v>1708</v>
      </c>
      <c r="B572" s="2" t="s">
        <v>136</v>
      </c>
      <c r="C572" s="8">
        <v>46219</v>
      </c>
      <c r="D572" s="6">
        <v>46204</v>
      </c>
      <c r="E572" s="2" t="s">
        <v>260</v>
      </c>
      <c r="F572" s="2" t="s">
        <v>1709</v>
      </c>
      <c r="G572" s="6">
        <v>46204</v>
      </c>
      <c r="H572" s="2" t="s">
        <v>71</v>
      </c>
      <c r="I572" s="2" t="s">
        <v>70</v>
      </c>
      <c r="J572" s="9">
        <v>1037.18541</v>
      </c>
      <c r="K572" s="7">
        <v>0.65800000000000003</v>
      </c>
      <c r="L572" s="9">
        <v>682.47</v>
      </c>
      <c r="M572" s="9">
        <v>682.47</v>
      </c>
      <c r="N572" s="9">
        <v>1.8</v>
      </c>
      <c r="O572" s="10">
        <f>IF(AND(OR(H572="APPROVED",H572="SCHEDULED"),COUNTIFS(tblSource[EventID],F572,tblSource[ReleaseStatus],"APPROVED")=1,COUNTIFS(Period_Status!$A$2:$A$8,G572,Period_Status!$B$2:$B$8,"ActualClosed")=1,C572&gt;EOMONTH(Settlement_Bridge!$C$2,0)),1,0)</f>
        <v>0</v>
      </c>
      <c r="P572" s="2" t="s">
        <v>1710</v>
      </c>
    </row>
    <row r="573" spans="1:16" x14ac:dyDescent="0.25">
      <c r="A573" s="2" t="s">
        <v>1711</v>
      </c>
      <c r="B573" s="2" t="s">
        <v>136</v>
      </c>
      <c r="C573" s="8">
        <v>46244</v>
      </c>
      <c r="D573" s="6">
        <v>46235</v>
      </c>
      <c r="E573" s="2" t="s">
        <v>260</v>
      </c>
      <c r="F573" s="2" t="s">
        <v>1709</v>
      </c>
      <c r="G573" s="6">
        <v>46204</v>
      </c>
      <c r="H573" s="2" t="s">
        <v>71</v>
      </c>
      <c r="I573" s="2" t="s">
        <v>70</v>
      </c>
      <c r="J573" s="9">
        <v>1555.778116</v>
      </c>
      <c r="K573" s="7">
        <v>0.65</v>
      </c>
      <c r="L573" s="9">
        <v>1011.26</v>
      </c>
      <c r="M573" s="9">
        <v>1023.7</v>
      </c>
      <c r="N573" s="9">
        <v>1.8</v>
      </c>
      <c r="O573" s="10">
        <f>IF(AND(OR(H573="APPROVED",H573="SCHEDULED"),COUNTIFS(tblSource[EventID],F573,tblSource[ReleaseStatus],"APPROVED")=1,COUNTIFS(Period_Status!$A$2:$A$8,G573,Period_Status!$B$2:$B$8,"ActualClosed")=1,C573&gt;EOMONTH(Settlement_Bridge!$C$2,0)),1,0)</f>
        <v>1</v>
      </c>
      <c r="P573" s="2" t="s">
        <v>1712</v>
      </c>
    </row>
    <row r="574" spans="1:16" x14ac:dyDescent="0.25">
      <c r="A574" s="2" t="s">
        <v>1713</v>
      </c>
      <c r="B574" s="2" t="s">
        <v>136</v>
      </c>
      <c r="C574" s="8">
        <v>46230</v>
      </c>
      <c r="D574" s="6">
        <v>46204</v>
      </c>
      <c r="E574" s="2" t="s">
        <v>260</v>
      </c>
      <c r="F574" s="2" t="s">
        <v>1714</v>
      </c>
      <c r="G574" s="6">
        <v>46204</v>
      </c>
      <c r="H574" s="2" t="s">
        <v>71</v>
      </c>
      <c r="I574" s="2" t="s">
        <v>39</v>
      </c>
      <c r="J574" s="9">
        <v>1879.18</v>
      </c>
      <c r="K574" s="7">
        <v>1</v>
      </c>
      <c r="L574" s="9">
        <v>1879.18</v>
      </c>
      <c r="M574" s="9">
        <v>1879.18</v>
      </c>
      <c r="N574" s="9">
        <v>1.8</v>
      </c>
      <c r="O574" s="10">
        <f>IF(AND(OR(H574="APPROVED",H574="SCHEDULED"),COUNTIFS(tblSource[EventID],F574,tblSource[ReleaseStatus],"APPROVED")=1,COUNTIFS(Period_Status!$A$2:$A$8,G574,Period_Status!$B$2:$B$8,"ActualClosed")=1,C574&gt;EOMONTH(Settlement_Bridge!$C$2,0)),1,0)</f>
        <v>0</v>
      </c>
      <c r="P574" s="2" t="s">
        <v>1715</v>
      </c>
    </row>
    <row r="575" spans="1:16" x14ac:dyDescent="0.25">
      <c r="A575" s="2" t="s">
        <v>1716</v>
      </c>
      <c r="B575" s="2" t="s">
        <v>136</v>
      </c>
      <c r="C575" s="8">
        <v>46231</v>
      </c>
      <c r="D575" s="6">
        <v>46204</v>
      </c>
      <c r="E575" s="2" t="s">
        <v>260</v>
      </c>
      <c r="F575" s="2" t="s">
        <v>1717</v>
      </c>
      <c r="G575" s="6">
        <v>46204</v>
      </c>
      <c r="H575" s="2" t="s">
        <v>71</v>
      </c>
      <c r="I575" s="2" t="s">
        <v>76</v>
      </c>
      <c r="J575" s="9">
        <v>33099838.709677</v>
      </c>
      <c r="K575" s="7">
        <v>6.2000000000000003E-5</v>
      </c>
      <c r="L575" s="9">
        <v>2052.19</v>
      </c>
      <c r="M575" s="9">
        <v>2052.19</v>
      </c>
      <c r="N575" s="9">
        <v>1.8</v>
      </c>
      <c r="O575" s="10">
        <f>IF(AND(OR(H575="APPROVED",H575="SCHEDULED"),COUNTIFS(tblSource[EventID],F575,tblSource[ReleaseStatus],"APPROVED")=1,COUNTIFS(Period_Status!$A$2:$A$8,G575,Period_Status!$B$2:$B$8,"ActualClosed")=1,C575&gt;EOMONTH(Settlement_Bridge!$C$2,0)),1,0)</f>
        <v>0</v>
      </c>
      <c r="P575" s="2" t="s">
        <v>1718</v>
      </c>
    </row>
    <row r="576" spans="1:16" x14ac:dyDescent="0.25">
      <c r="A576" s="2" t="s">
        <v>1719</v>
      </c>
      <c r="B576" s="2" t="s">
        <v>136</v>
      </c>
      <c r="C576" s="8">
        <v>46222</v>
      </c>
      <c r="D576" s="6">
        <v>46204</v>
      </c>
      <c r="E576" s="2" t="s">
        <v>260</v>
      </c>
      <c r="F576" s="2" t="s">
        <v>1720</v>
      </c>
      <c r="G576" s="6">
        <v>46204</v>
      </c>
      <c r="H576" s="2" t="s">
        <v>71</v>
      </c>
      <c r="I576" s="2" t="s">
        <v>70</v>
      </c>
      <c r="J576" s="9">
        <v>1352.7051670000001</v>
      </c>
      <c r="K576" s="7">
        <v>0.65800000000000003</v>
      </c>
      <c r="L576" s="9">
        <v>890.08</v>
      </c>
      <c r="M576" s="9">
        <v>890.08</v>
      </c>
      <c r="N576" s="9">
        <v>1.8</v>
      </c>
      <c r="O576" s="10">
        <f>IF(AND(OR(H576="APPROVED",H576="SCHEDULED"),COUNTIFS(tblSource[EventID],F576,tblSource[ReleaseStatus],"APPROVED")=1,COUNTIFS(Period_Status!$A$2:$A$8,G576,Period_Status!$B$2:$B$8,"ActualClosed")=1,C576&gt;EOMONTH(Settlement_Bridge!$C$2,0)),1,0)</f>
        <v>0</v>
      </c>
      <c r="P576" s="2" t="s">
        <v>1721</v>
      </c>
    </row>
    <row r="577" spans="1:16" x14ac:dyDescent="0.25">
      <c r="A577" s="2" t="s">
        <v>1722</v>
      </c>
      <c r="B577" s="2" t="s">
        <v>136</v>
      </c>
      <c r="C577" s="8">
        <v>46247</v>
      </c>
      <c r="D577" s="6">
        <v>46235</v>
      </c>
      <c r="E577" s="2" t="s">
        <v>260</v>
      </c>
      <c r="F577" s="2" t="s">
        <v>1720</v>
      </c>
      <c r="G577" s="6">
        <v>46204</v>
      </c>
      <c r="H577" s="2" t="s">
        <v>71</v>
      </c>
      <c r="I577" s="2" t="s">
        <v>70</v>
      </c>
      <c r="J577" s="9">
        <v>2029.0577510000001</v>
      </c>
      <c r="K577" s="7">
        <v>0.65</v>
      </c>
      <c r="L577" s="9">
        <v>1318.89</v>
      </c>
      <c r="M577" s="9">
        <v>1335.12</v>
      </c>
      <c r="N577" s="9">
        <v>1.8</v>
      </c>
      <c r="O577" s="10">
        <f>IF(AND(OR(H577="APPROVED",H577="SCHEDULED"),COUNTIFS(tblSource[EventID],F577,tblSource[ReleaseStatus],"APPROVED")=1,COUNTIFS(Period_Status!$A$2:$A$8,G577,Period_Status!$B$2:$B$8,"ActualClosed")=1,C577&gt;EOMONTH(Settlement_Bridge!$C$2,0)),1,0)</f>
        <v>1</v>
      </c>
      <c r="P577" s="2" t="s">
        <v>1723</v>
      </c>
    </row>
    <row r="578" spans="1:16" x14ac:dyDescent="0.25">
      <c r="A578" s="2" t="s">
        <v>1724</v>
      </c>
      <c r="B578" s="2" t="s">
        <v>136</v>
      </c>
      <c r="C578" s="8">
        <v>46233</v>
      </c>
      <c r="D578" s="6">
        <v>46204</v>
      </c>
      <c r="E578" s="2" t="s">
        <v>260</v>
      </c>
      <c r="F578" s="2" t="s">
        <v>1725</v>
      </c>
      <c r="G578" s="6">
        <v>46204</v>
      </c>
      <c r="H578" s="2" t="s">
        <v>71</v>
      </c>
      <c r="I578" s="2" t="s">
        <v>39</v>
      </c>
      <c r="J578" s="9">
        <v>2398.21</v>
      </c>
      <c r="K578" s="7">
        <v>1</v>
      </c>
      <c r="L578" s="9">
        <v>2398.21</v>
      </c>
      <c r="M578" s="9">
        <v>2398.21</v>
      </c>
      <c r="N578" s="9">
        <v>1.8</v>
      </c>
      <c r="O578" s="10">
        <f>IF(AND(OR(H578="APPROVED",H578="SCHEDULED"),COUNTIFS(tblSource[EventID],F578,tblSource[ReleaseStatus],"APPROVED")=1,COUNTIFS(Period_Status!$A$2:$A$8,G578,Period_Status!$B$2:$B$8,"ActualClosed")=1,C578&gt;EOMONTH(Settlement_Bridge!$C$2,0)),1,0)</f>
        <v>0</v>
      </c>
      <c r="P578" s="2" t="s">
        <v>1726</v>
      </c>
    </row>
    <row r="579" spans="1:16" x14ac:dyDescent="0.25">
      <c r="A579" s="2" t="s">
        <v>1727</v>
      </c>
      <c r="B579" s="2" t="s">
        <v>136</v>
      </c>
      <c r="C579" s="8">
        <v>46234</v>
      </c>
      <c r="D579" s="6">
        <v>46204</v>
      </c>
      <c r="E579" s="2" t="s">
        <v>260</v>
      </c>
      <c r="F579" s="2" t="s">
        <v>1728</v>
      </c>
      <c r="G579" s="6">
        <v>46204</v>
      </c>
      <c r="H579" s="2" t="s">
        <v>71</v>
      </c>
      <c r="I579" s="2" t="s">
        <v>76</v>
      </c>
      <c r="J579" s="9">
        <v>-41471290.322581001</v>
      </c>
      <c r="K579" s="7">
        <v>6.2000000000000003E-5</v>
      </c>
      <c r="L579" s="9">
        <v>-2571.2199999999998</v>
      </c>
      <c r="M579" s="9">
        <v>-2571.2199999999998</v>
      </c>
      <c r="N579" s="9">
        <v>0</v>
      </c>
      <c r="O579" s="10">
        <f>IF(AND(OR(H579="APPROVED",H579="SCHEDULED"),COUNTIFS(tblSource[EventID],F579,tblSource[ReleaseStatus],"APPROVED")=1,COUNTIFS(Period_Status!$A$2:$A$8,G579,Period_Status!$B$2:$B$8,"ActualClosed")=1,C579&gt;EOMONTH(Settlement_Bridge!$C$2,0)),1,0)</f>
        <v>0</v>
      </c>
      <c r="P579" s="2" t="s">
        <v>1729</v>
      </c>
    </row>
    <row r="580" spans="1:16" x14ac:dyDescent="0.25">
      <c r="A580" s="2" t="s">
        <v>1730</v>
      </c>
      <c r="B580" s="2" t="s">
        <v>136</v>
      </c>
      <c r="C580" s="8">
        <v>46235</v>
      </c>
      <c r="D580" s="6">
        <v>46235</v>
      </c>
      <c r="E580" s="2" t="s">
        <v>260</v>
      </c>
      <c r="F580" s="2" t="s">
        <v>1731</v>
      </c>
      <c r="G580" s="6">
        <v>46204</v>
      </c>
      <c r="H580" s="2" t="s">
        <v>71</v>
      </c>
      <c r="I580" s="2" t="s">
        <v>70</v>
      </c>
      <c r="J580" s="9">
        <v>4170.5623100000003</v>
      </c>
      <c r="K580" s="7">
        <v>0.65</v>
      </c>
      <c r="L580" s="9">
        <v>2710.87</v>
      </c>
      <c r="M580" s="9">
        <v>2744.23</v>
      </c>
      <c r="N580" s="9">
        <v>1.8</v>
      </c>
      <c r="O580" s="10">
        <f>IF(AND(OR(H580="APPROVED",H580="SCHEDULED"),COUNTIFS(tblSource[EventID],F580,tblSource[ReleaseStatus],"APPROVED")=1,COUNTIFS(Period_Status!$A$2:$A$8,G580,Period_Status!$B$2:$B$8,"ActualClosed")=1,C580&gt;EOMONTH(Settlement_Bridge!$C$2,0)),1,0)</f>
        <v>1</v>
      </c>
      <c r="P580" s="2" t="s">
        <v>1732</v>
      </c>
    </row>
    <row r="581" spans="1:16" x14ac:dyDescent="0.25">
      <c r="A581" s="2" t="s">
        <v>1733</v>
      </c>
      <c r="B581" s="2" t="s">
        <v>136</v>
      </c>
      <c r="C581" s="8">
        <v>46236</v>
      </c>
      <c r="D581" s="6">
        <v>46235</v>
      </c>
      <c r="E581" s="2" t="s">
        <v>260</v>
      </c>
      <c r="F581" s="2" t="s">
        <v>1734</v>
      </c>
      <c r="G581" s="6">
        <v>46204</v>
      </c>
      <c r="H581" s="2" t="s">
        <v>71</v>
      </c>
      <c r="I581" s="2" t="s">
        <v>39</v>
      </c>
      <c r="J581" s="9">
        <v>2917.24</v>
      </c>
      <c r="K581" s="7">
        <v>1</v>
      </c>
      <c r="L581" s="9">
        <v>2917.24</v>
      </c>
      <c r="M581" s="9">
        <v>2917.24</v>
      </c>
      <c r="N581" s="9">
        <v>1.8</v>
      </c>
      <c r="O581" s="10">
        <f>IF(AND(OR(H581="APPROVED",H581="SCHEDULED"),COUNTIFS(tblSource[EventID],F581,tblSource[ReleaseStatus],"APPROVED")=1,COUNTIFS(Period_Status!$A$2:$A$8,G581,Period_Status!$B$2:$B$8,"ActualClosed")=1,C581&gt;EOMONTH(Settlement_Bridge!$C$2,0)),1,0)</f>
        <v>1</v>
      </c>
      <c r="P581" s="2" t="s">
        <v>1735</v>
      </c>
    </row>
    <row r="582" spans="1:16" x14ac:dyDescent="0.25">
      <c r="A582" s="2" t="s">
        <v>1736</v>
      </c>
      <c r="B582" s="2" t="s">
        <v>136</v>
      </c>
      <c r="C582" s="8">
        <v>46237</v>
      </c>
      <c r="D582" s="6">
        <v>46235</v>
      </c>
      <c r="E582" s="2" t="s">
        <v>260</v>
      </c>
      <c r="F582" s="2" t="s">
        <v>1737</v>
      </c>
      <c r="G582" s="6">
        <v>46204</v>
      </c>
      <c r="H582" s="2" t="s">
        <v>71</v>
      </c>
      <c r="I582" s="2" t="s">
        <v>76</v>
      </c>
      <c r="J582" s="9">
        <v>49842741.935484</v>
      </c>
      <c r="K582" s="7">
        <v>6.1500000000000004E-5</v>
      </c>
      <c r="L582" s="9">
        <v>3065.33</v>
      </c>
      <c r="M582" s="9">
        <v>3090.25</v>
      </c>
      <c r="N582" s="9">
        <v>1.8</v>
      </c>
      <c r="O582" s="10">
        <f>IF(AND(OR(H582="APPROVED",H582="SCHEDULED"),COUNTIFS(tblSource[EventID],F582,tblSource[ReleaseStatus],"APPROVED")=1,COUNTIFS(Period_Status!$A$2:$A$8,G582,Period_Status!$B$2:$B$8,"ActualClosed")=1,C582&gt;EOMONTH(Settlement_Bridge!$C$2,0)),1,0)</f>
        <v>1</v>
      </c>
      <c r="P582" s="2" t="s">
        <v>1738</v>
      </c>
    </row>
    <row r="583" spans="1:16" x14ac:dyDescent="0.25">
      <c r="A583" s="2" t="s">
        <v>1739</v>
      </c>
      <c r="B583" s="2" t="s">
        <v>136</v>
      </c>
      <c r="C583" s="8">
        <v>46228</v>
      </c>
      <c r="D583" s="6">
        <v>46204</v>
      </c>
      <c r="E583" s="2" t="s">
        <v>260</v>
      </c>
      <c r="F583" s="2" t="s">
        <v>1740</v>
      </c>
      <c r="G583" s="6">
        <v>46204</v>
      </c>
      <c r="H583" s="2" t="s">
        <v>71</v>
      </c>
      <c r="I583" s="2" t="s">
        <v>70</v>
      </c>
      <c r="J583" s="9">
        <v>1983.7446809999999</v>
      </c>
      <c r="K583" s="7">
        <v>0.65800000000000003</v>
      </c>
      <c r="L583" s="9">
        <v>1305.3</v>
      </c>
      <c r="M583" s="9">
        <v>1305.3</v>
      </c>
      <c r="N583" s="9">
        <v>1.8</v>
      </c>
      <c r="O583" s="10">
        <f>IF(AND(OR(H583="APPROVED",H583="SCHEDULED"),COUNTIFS(tblSource[EventID],F583,tblSource[ReleaseStatus],"APPROVED")=1,COUNTIFS(Period_Status!$A$2:$A$8,G583,Period_Status!$B$2:$B$8,"ActualClosed")=1,C583&gt;EOMONTH(Settlement_Bridge!$C$2,0)),1,0)</f>
        <v>0</v>
      </c>
      <c r="P583" s="2" t="s">
        <v>1741</v>
      </c>
    </row>
    <row r="584" spans="1:16" x14ac:dyDescent="0.25">
      <c r="A584" s="2" t="s">
        <v>1742</v>
      </c>
      <c r="B584" s="2" t="s">
        <v>136</v>
      </c>
      <c r="C584" s="8">
        <v>46253</v>
      </c>
      <c r="D584" s="6">
        <v>46235</v>
      </c>
      <c r="E584" s="2" t="s">
        <v>260</v>
      </c>
      <c r="F584" s="2" t="s">
        <v>1740</v>
      </c>
      <c r="G584" s="6">
        <v>46204</v>
      </c>
      <c r="H584" s="2" t="s">
        <v>71</v>
      </c>
      <c r="I584" s="2" t="s">
        <v>70</v>
      </c>
      <c r="J584" s="9">
        <v>2975.617021</v>
      </c>
      <c r="K584" s="7">
        <v>0.65</v>
      </c>
      <c r="L584" s="9">
        <v>1934.15</v>
      </c>
      <c r="M584" s="9">
        <v>1957.96</v>
      </c>
      <c r="N584" s="9">
        <v>1.8</v>
      </c>
      <c r="O584" s="10">
        <f>IF(AND(OR(H584="APPROVED",H584="SCHEDULED"),COUNTIFS(tblSource[EventID],F584,tblSource[ReleaseStatus],"APPROVED")=1,COUNTIFS(Period_Status!$A$2:$A$8,G584,Period_Status!$B$2:$B$8,"ActualClosed")=1,C584&gt;EOMONTH(Settlement_Bridge!$C$2,0)),1,0)</f>
        <v>1</v>
      </c>
      <c r="P584" s="2" t="s">
        <v>1743</v>
      </c>
    </row>
    <row r="585" spans="1:16" x14ac:dyDescent="0.25">
      <c r="A585" s="2" t="s">
        <v>1744</v>
      </c>
      <c r="B585" s="2" t="s">
        <v>136</v>
      </c>
      <c r="C585" s="8">
        <v>46229</v>
      </c>
      <c r="D585" s="6">
        <v>46204</v>
      </c>
      <c r="E585" s="2" t="s">
        <v>260</v>
      </c>
      <c r="F585" s="2" t="s">
        <v>1745</v>
      </c>
      <c r="G585" s="6">
        <v>46204</v>
      </c>
      <c r="H585" s="2" t="s">
        <v>71</v>
      </c>
      <c r="I585" s="2" t="s">
        <v>39</v>
      </c>
      <c r="J585" s="9">
        <v>1374.508</v>
      </c>
      <c r="K585" s="7">
        <v>1</v>
      </c>
      <c r="L585" s="9">
        <v>1374.51</v>
      </c>
      <c r="M585" s="9">
        <v>1374.51</v>
      </c>
      <c r="N585" s="9">
        <v>1.8</v>
      </c>
      <c r="O585" s="10">
        <f>IF(AND(OR(H585="APPROVED",H585="SCHEDULED"),COUNTIFS(tblSource[EventID],F585,tblSource[ReleaseStatus],"APPROVED")=1,COUNTIFS(Period_Status!$A$2:$A$8,G585,Period_Status!$B$2:$B$8,"ActualClosed")=1,C585&gt;EOMONTH(Settlement_Bridge!$C$2,0)),1,0)</f>
        <v>0</v>
      </c>
      <c r="P585" s="2" t="s">
        <v>1746</v>
      </c>
    </row>
    <row r="586" spans="1:16" x14ac:dyDescent="0.25">
      <c r="A586" s="2" t="s">
        <v>1747</v>
      </c>
      <c r="B586" s="2" t="s">
        <v>136</v>
      </c>
      <c r="C586" s="8">
        <v>46254</v>
      </c>
      <c r="D586" s="6">
        <v>46235</v>
      </c>
      <c r="E586" s="2" t="s">
        <v>260</v>
      </c>
      <c r="F586" s="2" t="s">
        <v>1745</v>
      </c>
      <c r="G586" s="6">
        <v>46204</v>
      </c>
      <c r="H586" s="2" t="s">
        <v>71</v>
      </c>
      <c r="I586" s="2" t="s">
        <v>39</v>
      </c>
      <c r="J586" s="9">
        <v>2061.7620000000002</v>
      </c>
      <c r="K586" s="7">
        <v>1</v>
      </c>
      <c r="L586" s="9">
        <v>2061.7600000000002</v>
      </c>
      <c r="M586" s="9">
        <v>2061.7600000000002</v>
      </c>
      <c r="N586" s="9">
        <v>1.8</v>
      </c>
      <c r="O586" s="10">
        <f>IF(AND(OR(H586="APPROVED",H586="SCHEDULED"),COUNTIFS(tblSource[EventID],F586,tblSource[ReleaseStatus],"APPROVED")=1,COUNTIFS(Period_Status!$A$2:$A$8,G586,Period_Status!$B$2:$B$8,"ActualClosed")=1,C586&gt;EOMONTH(Settlement_Bridge!$C$2,0)),1,0)</f>
        <v>1</v>
      </c>
      <c r="P586" s="2" t="s">
        <v>1748</v>
      </c>
    </row>
    <row r="587" spans="1:16" x14ac:dyDescent="0.25">
      <c r="A587" s="2" t="s">
        <v>1749</v>
      </c>
      <c r="B587" s="2" t="s">
        <v>136</v>
      </c>
      <c r="C587" s="8">
        <v>46240</v>
      </c>
      <c r="D587" s="6">
        <v>46235</v>
      </c>
      <c r="E587" s="2" t="s">
        <v>260</v>
      </c>
      <c r="F587" s="2" t="s">
        <v>1750</v>
      </c>
      <c r="G587" s="6">
        <v>46204</v>
      </c>
      <c r="H587" s="2" t="s">
        <v>71</v>
      </c>
      <c r="I587" s="2" t="s">
        <v>76</v>
      </c>
      <c r="J587" s="9">
        <v>58214193.548386998</v>
      </c>
      <c r="K587" s="7">
        <v>6.1500000000000004E-5</v>
      </c>
      <c r="L587" s="9">
        <v>3580.17</v>
      </c>
      <c r="M587" s="9">
        <v>3609.28</v>
      </c>
      <c r="N587" s="9">
        <v>1.97</v>
      </c>
      <c r="O587" s="10">
        <f>IF(AND(OR(H587="APPROVED",H587="SCHEDULED"),COUNTIFS(tblSource[EventID],F587,tblSource[ReleaseStatus],"APPROVED")=1,COUNTIFS(Period_Status!$A$2:$A$8,G587,Period_Status!$B$2:$B$8,"ActualClosed")=1,C587&gt;EOMONTH(Settlement_Bridge!$C$2,0)),1,0)</f>
        <v>1</v>
      </c>
      <c r="P587" s="2" t="s">
        <v>1751</v>
      </c>
    </row>
    <row r="588" spans="1:16" x14ac:dyDescent="0.25">
      <c r="A588" s="2" t="s">
        <v>1752</v>
      </c>
      <c r="B588" s="2" t="s">
        <v>136</v>
      </c>
      <c r="C588" s="8">
        <v>46241</v>
      </c>
      <c r="D588" s="6">
        <v>46235</v>
      </c>
      <c r="E588" s="2" t="s">
        <v>260</v>
      </c>
      <c r="F588" s="2" t="s">
        <v>1753</v>
      </c>
      <c r="G588" s="6">
        <v>46204</v>
      </c>
      <c r="H588" s="2" t="s">
        <v>71</v>
      </c>
      <c r="I588" s="2" t="s">
        <v>70</v>
      </c>
      <c r="J588" s="9">
        <v>5748.161094</v>
      </c>
      <c r="K588" s="7">
        <v>0.65</v>
      </c>
      <c r="L588" s="9">
        <v>3736.3</v>
      </c>
      <c r="M588" s="9">
        <v>3782.29</v>
      </c>
      <c r="N588" s="9">
        <v>2.0499999999999998</v>
      </c>
      <c r="O588" s="10">
        <f>IF(AND(OR(H588="APPROVED",H588="SCHEDULED"),COUNTIFS(tblSource[EventID],F588,tblSource[ReleaseStatus],"APPROVED")=1,COUNTIFS(Period_Status!$A$2:$A$8,G588,Period_Status!$B$2:$B$8,"ActualClosed")=1,C588&gt;EOMONTH(Settlement_Bridge!$C$2,0)),1,0)</f>
        <v>1</v>
      </c>
      <c r="P588" s="2" t="s">
        <v>1754</v>
      </c>
    </row>
    <row r="589" spans="1:16" x14ac:dyDescent="0.25">
      <c r="A589" s="2" t="s">
        <v>1755</v>
      </c>
      <c r="B589" s="2" t="s">
        <v>136</v>
      </c>
      <c r="C589" s="8">
        <v>46232</v>
      </c>
      <c r="D589" s="6">
        <v>46204</v>
      </c>
      <c r="E589" s="2" t="s">
        <v>260</v>
      </c>
      <c r="F589" s="2" t="s">
        <v>1756</v>
      </c>
      <c r="G589" s="6">
        <v>46204</v>
      </c>
      <c r="H589" s="2" t="s">
        <v>71</v>
      </c>
      <c r="I589" s="2" t="s">
        <v>39</v>
      </c>
      <c r="J589" s="9">
        <v>1582.12</v>
      </c>
      <c r="K589" s="7">
        <v>1</v>
      </c>
      <c r="L589" s="9">
        <v>1582.12</v>
      </c>
      <c r="M589" s="9">
        <v>1582.12</v>
      </c>
      <c r="N589" s="9">
        <v>1.8</v>
      </c>
      <c r="O589" s="10">
        <f>IF(AND(OR(H589="APPROVED",H589="SCHEDULED"),COUNTIFS(tblSource[EventID],F589,tblSource[ReleaseStatus],"APPROVED")=1,COUNTIFS(Period_Status!$A$2:$A$8,G589,Period_Status!$B$2:$B$8,"ActualClosed")=1,C589&gt;EOMONTH(Settlement_Bridge!$C$2,0)),1,0)</f>
        <v>0</v>
      </c>
      <c r="P589" s="2" t="s">
        <v>1757</v>
      </c>
    </row>
    <row r="590" spans="1:16" x14ac:dyDescent="0.25">
      <c r="A590" s="2" t="s">
        <v>1758</v>
      </c>
      <c r="B590" s="2" t="s">
        <v>136</v>
      </c>
      <c r="C590" s="8">
        <v>46257</v>
      </c>
      <c r="D590" s="6">
        <v>46235</v>
      </c>
      <c r="E590" s="2" t="s">
        <v>260</v>
      </c>
      <c r="F590" s="2" t="s">
        <v>1756</v>
      </c>
      <c r="G590" s="6">
        <v>46204</v>
      </c>
      <c r="H590" s="2" t="s">
        <v>71</v>
      </c>
      <c r="I590" s="2" t="s">
        <v>39</v>
      </c>
      <c r="J590" s="9">
        <v>2373.1799999999998</v>
      </c>
      <c r="K590" s="7">
        <v>1</v>
      </c>
      <c r="L590" s="9">
        <v>2373.1799999999998</v>
      </c>
      <c r="M590" s="9">
        <v>2373.1799999999998</v>
      </c>
      <c r="N590" s="9">
        <v>1.8</v>
      </c>
      <c r="O590" s="10">
        <f>IF(AND(OR(H590="APPROVED",H590="SCHEDULED"),COUNTIFS(tblSource[EventID],F590,tblSource[ReleaseStatus],"APPROVED")=1,COUNTIFS(Period_Status!$A$2:$A$8,G590,Period_Status!$B$2:$B$8,"ActualClosed")=1,C590&gt;EOMONTH(Settlement_Bridge!$C$2,0)),1,0)</f>
        <v>1</v>
      </c>
      <c r="P590" s="2" t="s">
        <v>1759</v>
      </c>
    </row>
    <row r="591" spans="1:16" x14ac:dyDescent="0.25">
      <c r="A591" s="2" t="s">
        <v>1760</v>
      </c>
      <c r="B591" s="2" t="s">
        <v>136</v>
      </c>
      <c r="C591" s="8">
        <v>46243</v>
      </c>
      <c r="D591" s="6">
        <v>46235</v>
      </c>
      <c r="E591" s="2" t="s">
        <v>260</v>
      </c>
      <c r="F591" s="2" t="s">
        <v>1761</v>
      </c>
      <c r="G591" s="6">
        <v>46204</v>
      </c>
      <c r="H591" s="2" t="s">
        <v>71</v>
      </c>
      <c r="I591" s="2" t="s">
        <v>76</v>
      </c>
      <c r="J591" s="9">
        <v>66585645.161289997</v>
      </c>
      <c r="K591" s="7">
        <v>6.1500000000000004E-5</v>
      </c>
      <c r="L591" s="9">
        <v>4095.02</v>
      </c>
      <c r="M591" s="9">
        <v>4128.3100000000004</v>
      </c>
      <c r="N591" s="9">
        <v>2.25</v>
      </c>
      <c r="O591" s="10">
        <f>IF(AND(OR(H591="APPROVED",H591="SCHEDULED"),COUNTIFS(tblSource[EventID],F591,tblSource[ReleaseStatus],"APPROVED")=1,COUNTIFS(Period_Status!$A$2:$A$8,G591,Period_Status!$B$2:$B$8,"ActualClosed")=1,C591&gt;EOMONTH(Settlement_Bridge!$C$2,0)),1,0)</f>
        <v>1</v>
      </c>
      <c r="P591" s="2" t="s">
        <v>1762</v>
      </c>
    </row>
    <row r="592" spans="1:16" x14ac:dyDescent="0.25">
      <c r="A592" s="2" t="s">
        <v>1763</v>
      </c>
      <c r="B592" s="2" t="s">
        <v>136</v>
      </c>
      <c r="C592" s="8">
        <v>46244</v>
      </c>
      <c r="D592" s="6">
        <v>46235</v>
      </c>
      <c r="E592" s="2" t="s">
        <v>260</v>
      </c>
      <c r="F592" s="2" t="s">
        <v>1764</v>
      </c>
      <c r="G592" s="6">
        <v>46204</v>
      </c>
      <c r="H592" s="2" t="s">
        <v>71</v>
      </c>
      <c r="I592" s="2" t="s">
        <v>70</v>
      </c>
      <c r="J592" s="9">
        <v>6536.9604859999999</v>
      </c>
      <c r="K592" s="7">
        <v>0.65</v>
      </c>
      <c r="L592" s="9">
        <v>4249.0200000000004</v>
      </c>
      <c r="M592" s="9">
        <v>4301.32</v>
      </c>
      <c r="N592" s="9">
        <v>2.34</v>
      </c>
      <c r="O592" s="10">
        <f>IF(AND(OR(H592="APPROVED",H592="SCHEDULED"),COUNTIFS(tblSource[EventID],F592,tblSource[ReleaseStatus],"APPROVED")=1,COUNTIFS(Period_Status!$A$2:$A$8,G592,Period_Status!$B$2:$B$8,"ActualClosed")=1,C592&gt;EOMONTH(Settlement_Bridge!$C$2,0)),1,0)</f>
        <v>1</v>
      </c>
      <c r="P592" s="2" t="s">
        <v>1765</v>
      </c>
    </row>
    <row r="593" spans="1:16" x14ac:dyDescent="0.25">
      <c r="A593" s="2" t="s">
        <v>1766</v>
      </c>
      <c r="B593" s="2" t="s">
        <v>136</v>
      </c>
      <c r="C593" s="8">
        <v>46245</v>
      </c>
      <c r="D593" s="6">
        <v>46235</v>
      </c>
      <c r="E593" s="2" t="s">
        <v>260</v>
      </c>
      <c r="F593" s="2" t="s">
        <v>1767</v>
      </c>
      <c r="G593" s="6">
        <v>46204</v>
      </c>
      <c r="H593" s="2" t="s">
        <v>71</v>
      </c>
      <c r="I593" s="2" t="s">
        <v>39</v>
      </c>
      <c r="J593" s="9">
        <v>4474.33</v>
      </c>
      <c r="K593" s="7">
        <v>1</v>
      </c>
      <c r="L593" s="9">
        <v>4474.33</v>
      </c>
      <c r="M593" s="9">
        <v>4474.33</v>
      </c>
      <c r="N593" s="9">
        <v>2.46</v>
      </c>
      <c r="O593" s="10">
        <f>IF(AND(OR(H593="APPROVED",H593="SCHEDULED"),COUNTIFS(tblSource[EventID],F593,tblSource[ReleaseStatus],"APPROVED")=1,COUNTIFS(Period_Status!$A$2:$A$8,G593,Period_Status!$B$2:$B$8,"ActualClosed")=1,C593&gt;EOMONTH(Settlement_Bridge!$C$2,0)),1,0)</f>
        <v>1</v>
      </c>
      <c r="P593" s="2" t="s">
        <v>1768</v>
      </c>
    </row>
    <row r="594" spans="1:16" x14ac:dyDescent="0.25">
      <c r="A594" s="2" t="s">
        <v>1769</v>
      </c>
      <c r="B594" s="2" t="s">
        <v>136</v>
      </c>
      <c r="C594" s="8">
        <v>46246</v>
      </c>
      <c r="D594" s="6">
        <v>46235</v>
      </c>
      <c r="E594" s="2" t="s">
        <v>260</v>
      </c>
      <c r="F594" s="2" t="s">
        <v>1770</v>
      </c>
      <c r="G594" s="6">
        <v>46204</v>
      </c>
      <c r="H594" s="2" t="s">
        <v>71</v>
      </c>
      <c r="I594" s="2" t="s">
        <v>76</v>
      </c>
      <c r="J594" s="9">
        <v>74957096.774194002</v>
      </c>
      <c r="K594" s="7">
        <v>6.1500000000000004E-5</v>
      </c>
      <c r="L594" s="9">
        <v>4609.8599999999997</v>
      </c>
      <c r="M594" s="9">
        <v>4647.34</v>
      </c>
      <c r="N594" s="9">
        <v>2.54</v>
      </c>
      <c r="O594" s="10">
        <f>IF(AND(OR(H594="APPROVED",H594="SCHEDULED"),COUNTIFS(tblSource[EventID],F594,tblSource[ReleaseStatus],"APPROVED")=1,COUNTIFS(Period_Status!$A$2:$A$8,G594,Period_Status!$B$2:$B$8,"ActualClosed")=1,C594&gt;EOMONTH(Settlement_Bridge!$C$2,0)),1,0)</f>
        <v>1</v>
      </c>
      <c r="P594" s="2" t="s">
        <v>1771</v>
      </c>
    </row>
    <row r="595" spans="1:16" x14ac:dyDescent="0.25">
      <c r="A595" s="2" t="s">
        <v>1772</v>
      </c>
      <c r="B595" s="2" t="s">
        <v>136</v>
      </c>
      <c r="C595" s="8">
        <v>46247</v>
      </c>
      <c r="D595" s="6">
        <v>46235</v>
      </c>
      <c r="E595" s="2" t="s">
        <v>260</v>
      </c>
      <c r="F595" s="2" t="s">
        <v>1773</v>
      </c>
      <c r="G595" s="6">
        <v>46204</v>
      </c>
      <c r="H595" s="2" t="s">
        <v>71</v>
      </c>
      <c r="I595" s="2" t="s">
        <v>70</v>
      </c>
      <c r="J595" s="9">
        <v>7325.7598779999998</v>
      </c>
      <c r="K595" s="7">
        <v>0.65</v>
      </c>
      <c r="L595" s="9">
        <v>4761.74</v>
      </c>
      <c r="M595" s="9">
        <v>4820.3500000000004</v>
      </c>
      <c r="N595" s="9">
        <v>2.62</v>
      </c>
      <c r="O595" s="10">
        <f>IF(AND(OR(H595="APPROVED",H595="SCHEDULED"),COUNTIFS(tblSource[EventID],F595,tblSource[ReleaseStatus],"APPROVED")=1,COUNTIFS(Period_Status!$A$2:$A$8,G595,Period_Status!$B$2:$B$8,"ActualClosed")=1,C595&gt;EOMONTH(Settlement_Bridge!$C$2,0)),1,0)</f>
        <v>1</v>
      </c>
      <c r="P595" s="2" t="s">
        <v>1774</v>
      </c>
    </row>
    <row r="596" spans="1:16" x14ac:dyDescent="0.25">
      <c r="A596" s="2" t="s">
        <v>1775</v>
      </c>
      <c r="B596" s="2" t="s">
        <v>136</v>
      </c>
      <c r="C596" s="8">
        <v>46238</v>
      </c>
      <c r="D596" s="6">
        <v>46235</v>
      </c>
      <c r="E596" s="2" t="s">
        <v>260</v>
      </c>
      <c r="F596" s="2" t="s">
        <v>1776</v>
      </c>
      <c r="G596" s="6">
        <v>46204</v>
      </c>
      <c r="H596" s="2" t="s">
        <v>71</v>
      </c>
      <c r="I596" s="2" t="s">
        <v>39</v>
      </c>
      <c r="J596" s="9">
        <v>1997.3440000000001</v>
      </c>
      <c r="K596" s="7">
        <v>1</v>
      </c>
      <c r="L596" s="9">
        <v>1997.34</v>
      </c>
      <c r="M596" s="9">
        <v>1997.34</v>
      </c>
      <c r="N596" s="9">
        <v>1.8</v>
      </c>
      <c r="O596" s="10">
        <f>IF(AND(OR(H596="APPROVED",H596="SCHEDULED"),COUNTIFS(tblSource[EventID],F596,tblSource[ReleaseStatus],"APPROVED")=1,COUNTIFS(Period_Status!$A$2:$A$8,G596,Period_Status!$B$2:$B$8,"ActualClosed")=1,C596&gt;EOMONTH(Settlement_Bridge!$C$2,0)),1,0)</f>
        <v>1</v>
      </c>
      <c r="P596" s="2" t="s">
        <v>1777</v>
      </c>
    </row>
    <row r="597" spans="1:16" x14ac:dyDescent="0.25">
      <c r="A597" s="2" t="s">
        <v>1778</v>
      </c>
      <c r="B597" s="2" t="s">
        <v>136</v>
      </c>
      <c r="C597" s="8">
        <v>46263</v>
      </c>
      <c r="D597" s="6">
        <v>46235</v>
      </c>
      <c r="E597" s="2" t="s">
        <v>260</v>
      </c>
      <c r="F597" s="2" t="s">
        <v>1776</v>
      </c>
      <c r="G597" s="6">
        <v>46204</v>
      </c>
      <c r="H597" s="2" t="s">
        <v>71</v>
      </c>
      <c r="I597" s="2" t="s">
        <v>39</v>
      </c>
      <c r="J597" s="9">
        <v>2996.0160000000001</v>
      </c>
      <c r="K597" s="7">
        <v>1</v>
      </c>
      <c r="L597" s="9">
        <v>2996.02</v>
      </c>
      <c r="M597" s="9">
        <v>2996.02</v>
      </c>
      <c r="N597" s="9">
        <v>1.8</v>
      </c>
      <c r="O597" s="10">
        <f>IF(AND(OR(H597="APPROVED",H597="SCHEDULED"),COUNTIFS(tblSource[EventID],F597,tblSource[ReleaseStatus],"APPROVED")=1,COUNTIFS(Period_Status!$A$2:$A$8,G597,Period_Status!$B$2:$B$8,"ActualClosed")=1,C597&gt;EOMONTH(Settlement_Bridge!$C$2,0)),1,0)</f>
        <v>1</v>
      </c>
      <c r="P597" s="2" t="s">
        <v>1779</v>
      </c>
    </row>
    <row r="598" spans="1:16" x14ac:dyDescent="0.25">
      <c r="A598" s="2" t="s">
        <v>1780</v>
      </c>
      <c r="B598" s="2" t="s">
        <v>136</v>
      </c>
      <c r="C598" s="8">
        <v>46239</v>
      </c>
      <c r="D598" s="6">
        <v>46235</v>
      </c>
      <c r="E598" s="2" t="s">
        <v>260</v>
      </c>
      <c r="F598" s="2" t="s">
        <v>1781</v>
      </c>
      <c r="G598" s="6">
        <v>46204</v>
      </c>
      <c r="H598" s="2" t="s">
        <v>71</v>
      </c>
      <c r="I598" s="2" t="s">
        <v>76</v>
      </c>
      <c r="J598" s="9">
        <v>33331419.354839001</v>
      </c>
      <c r="K598" s="7">
        <v>6.1500000000000004E-5</v>
      </c>
      <c r="L598" s="9">
        <v>2049.88</v>
      </c>
      <c r="M598" s="9">
        <v>2066.5500000000002</v>
      </c>
      <c r="N598" s="9">
        <v>1.8</v>
      </c>
      <c r="O598" s="10">
        <f>IF(AND(OR(H598="APPROVED",H598="SCHEDULED"),COUNTIFS(tblSource[EventID],F598,tblSource[ReleaseStatus],"APPROVED")=1,COUNTIFS(Period_Status!$A$2:$A$8,G598,Period_Status!$B$2:$B$8,"ActualClosed")=1,C598&gt;EOMONTH(Settlement_Bridge!$C$2,0)),1,0)</f>
        <v>1</v>
      </c>
      <c r="P598" s="2" t="s">
        <v>1782</v>
      </c>
    </row>
    <row r="599" spans="1:16" x14ac:dyDescent="0.25">
      <c r="A599" s="2" t="s">
        <v>1783</v>
      </c>
      <c r="B599" s="2" t="s">
        <v>136</v>
      </c>
      <c r="C599" s="8">
        <v>46264</v>
      </c>
      <c r="D599" s="6">
        <v>46235</v>
      </c>
      <c r="E599" s="2" t="s">
        <v>260</v>
      </c>
      <c r="F599" s="2" t="s">
        <v>1781</v>
      </c>
      <c r="G599" s="6">
        <v>46204</v>
      </c>
      <c r="H599" s="2" t="s">
        <v>71</v>
      </c>
      <c r="I599" s="2" t="s">
        <v>76</v>
      </c>
      <c r="J599" s="9">
        <v>49997129.032257996</v>
      </c>
      <c r="K599" s="7">
        <v>6.1500000000000004E-5</v>
      </c>
      <c r="L599" s="9">
        <v>3074.82</v>
      </c>
      <c r="M599" s="9">
        <v>3099.82</v>
      </c>
      <c r="N599" s="9">
        <v>1.8</v>
      </c>
      <c r="O599" s="10">
        <f>IF(AND(OR(H599="APPROVED",H599="SCHEDULED"),COUNTIFS(tblSource[EventID],F599,tblSource[ReleaseStatus],"APPROVED")=1,COUNTIFS(Period_Status!$A$2:$A$8,G599,Period_Status!$B$2:$B$8,"ActualClosed")=1,C599&gt;EOMONTH(Settlement_Bridge!$C$2,0)),1,0)</f>
        <v>1</v>
      </c>
      <c r="P599" s="2" t="s">
        <v>1784</v>
      </c>
    </row>
    <row r="600" spans="1:16" x14ac:dyDescent="0.25">
      <c r="A600" s="2" t="s">
        <v>1785</v>
      </c>
      <c r="B600" s="2" t="s">
        <v>136</v>
      </c>
      <c r="C600" s="8">
        <v>46250</v>
      </c>
      <c r="D600" s="6">
        <v>46235</v>
      </c>
      <c r="E600" s="2" t="s">
        <v>260</v>
      </c>
      <c r="F600" s="2" t="s">
        <v>1786</v>
      </c>
      <c r="G600" s="6">
        <v>46204</v>
      </c>
      <c r="H600" s="2" t="s">
        <v>71</v>
      </c>
      <c r="I600" s="2" t="s">
        <v>70</v>
      </c>
      <c r="J600" s="9">
        <v>8114.5592710000001</v>
      </c>
      <c r="K600" s="7">
        <v>0.65</v>
      </c>
      <c r="L600" s="9">
        <v>5274.46</v>
      </c>
      <c r="M600" s="9">
        <v>5339.38</v>
      </c>
      <c r="N600" s="9">
        <v>2.9</v>
      </c>
      <c r="O600" s="10">
        <f>IF(AND(OR(H600="APPROVED",H600="SCHEDULED"),COUNTIFS(tblSource[EventID],F600,tblSource[ReleaseStatus],"APPROVED")=1,COUNTIFS(Period_Status!$A$2:$A$8,G600,Period_Status!$B$2:$B$8,"ActualClosed")=1,C600&gt;EOMONTH(Settlement_Bridge!$C$2,0)),1,0)</f>
        <v>1</v>
      </c>
      <c r="P600" s="2" t="s">
        <v>1787</v>
      </c>
    </row>
    <row r="601" spans="1:16" x14ac:dyDescent="0.25">
      <c r="A601" s="2" t="s">
        <v>1788</v>
      </c>
      <c r="B601" s="2" t="s">
        <v>136</v>
      </c>
      <c r="C601" s="8">
        <v>46251</v>
      </c>
      <c r="D601" s="6">
        <v>46235</v>
      </c>
      <c r="E601" s="2" t="s">
        <v>260</v>
      </c>
      <c r="F601" s="2" t="s">
        <v>1789</v>
      </c>
      <c r="G601" s="6">
        <v>46204</v>
      </c>
      <c r="H601" s="2" t="s">
        <v>71</v>
      </c>
      <c r="I601" s="2" t="s">
        <v>39</v>
      </c>
      <c r="J601" s="9">
        <v>5512.39</v>
      </c>
      <c r="K601" s="7">
        <v>1</v>
      </c>
      <c r="L601" s="9">
        <v>5512.39</v>
      </c>
      <c r="M601" s="9">
        <v>5512.39</v>
      </c>
      <c r="N601" s="9">
        <v>3.03</v>
      </c>
      <c r="O601" s="10">
        <f>IF(AND(OR(H601="APPROVED",H601="SCHEDULED"),COUNTIFS(tblSource[EventID],F601,tblSource[ReleaseStatus],"APPROVED")=1,COUNTIFS(Period_Status!$A$2:$A$8,G601,Period_Status!$B$2:$B$8,"ActualClosed")=1,C601&gt;EOMONTH(Settlement_Bridge!$C$2,0)),1,0)</f>
        <v>1</v>
      </c>
      <c r="P601" s="2" t="s">
        <v>1790</v>
      </c>
    </row>
    <row r="602" spans="1:16" x14ac:dyDescent="0.25">
      <c r="A602" s="2" t="s">
        <v>1791</v>
      </c>
      <c r="B602" s="2" t="s">
        <v>136</v>
      </c>
      <c r="C602" s="8">
        <v>46242</v>
      </c>
      <c r="D602" s="6">
        <v>46235</v>
      </c>
      <c r="E602" s="2" t="s">
        <v>260</v>
      </c>
      <c r="F602" s="2" t="s">
        <v>1792</v>
      </c>
      <c r="G602" s="6">
        <v>46204</v>
      </c>
      <c r="H602" s="2" t="s">
        <v>71</v>
      </c>
      <c r="I602" s="2" t="s">
        <v>76</v>
      </c>
      <c r="J602" s="9">
        <v>36680000</v>
      </c>
      <c r="K602" s="7">
        <v>6.1500000000000004E-5</v>
      </c>
      <c r="L602" s="9">
        <v>2255.8200000000002</v>
      </c>
      <c r="M602" s="9">
        <v>2274.16</v>
      </c>
      <c r="N602" s="9">
        <v>1.8</v>
      </c>
      <c r="O602" s="10">
        <f>IF(AND(OR(H602="APPROVED",H602="SCHEDULED"),COUNTIFS(tblSource[EventID],F602,tblSource[ReleaseStatus],"APPROVED")=1,COUNTIFS(Period_Status!$A$2:$A$8,G602,Period_Status!$B$2:$B$8,"ActualClosed")=1,C602&gt;EOMONTH(Settlement_Bridge!$C$2,0)),1,0)</f>
        <v>1</v>
      </c>
      <c r="P602" s="2" t="s">
        <v>1793</v>
      </c>
    </row>
    <row r="603" spans="1:16" x14ac:dyDescent="0.25">
      <c r="A603" s="2" t="s">
        <v>1794</v>
      </c>
      <c r="B603" s="2" t="s">
        <v>136</v>
      </c>
      <c r="C603" s="8">
        <v>46267</v>
      </c>
      <c r="D603" s="6">
        <v>46266</v>
      </c>
      <c r="E603" s="2" t="s">
        <v>260</v>
      </c>
      <c r="F603" s="2" t="s">
        <v>1792</v>
      </c>
      <c r="G603" s="6">
        <v>46204</v>
      </c>
      <c r="H603" s="2" t="s">
        <v>176</v>
      </c>
      <c r="I603" s="2" t="s">
        <v>76</v>
      </c>
      <c r="J603" s="9">
        <v>55020000</v>
      </c>
      <c r="K603" s="7">
        <v>6.1299999999999999E-5</v>
      </c>
      <c r="L603" s="9">
        <v>3372.73</v>
      </c>
      <c r="M603" s="9">
        <v>3411.24</v>
      </c>
      <c r="N603" s="9">
        <v>1.86</v>
      </c>
      <c r="O603" s="10">
        <f>IF(AND(OR(H603="APPROVED",H603="SCHEDULED"),COUNTIFS(tblSource[EventID],F603,tblSource[ReleaseStatus],"APPROVED")=1,COUNTIFS(Period_Status!$A$2:$A$8,G603,Period_Status!$B$2:$B$8,"ActualClosed")=1,C603&gt;EOMONTH(Settlement_Bridge!$C$2,0)),1,0)</f>
        <v>1</v>
      </c>
      <c r="P603" s="2" t="s">
        <v>1795</v>
      </c>
    </row>
    <row r="604" spans="1:16" x14ac:dyDescent="0.25">
      <c r="A604" s="2" t="s">
        <v>1796</v>
      </c>
      <c r="B604" s="2" t="s">
        <v>136</v>
      </c>
      <c r="C604" s="8">
        <v>46253</v>
      </c>
      <c r="D604" s="6">
        <v>46235</v>
      </c>
      <c r="E604" s="2" t="s">
        <v>260</v>
      </c>
      <c r="F604" s="2" t="s">
        <v>1797</v>
      </c>
      <c r="G604" s="6">
        <v>46204</v>
      </c>
      <c r="H604" s="2" t="s">
        <v>71</v>
      </c>
      <c r="I604" s="2" t="s">
        <v>70</v>
      </c>
      <c r="J604" s="9">
        <v>8903.3586630000009</v>
      </c>
      <c r="K604" s="7">
        <v>0.65</v>
      </c>
      <c r="L604" s="9">
        <v>5787.18</v>
      </c>
      <c r="M604" s="9">
        <v>5858.41</v>
      </c>
      <c r="N604" s="9">
        <v>3.18</v>
      </c>
      <c r="O604" s="10">
        <f>IF(AND(OR(H604="APPROVED",H604="SCHEDULED"),COUNTIFS(tblSource[EventID],F604,tblSource[ReleaseStatus],"APPROVED")=1,COUNTIFS(Period_Status!$A$2:$A$8,G604,Period_Status!$B$2:$B$8,"ActualClosed")=1,C604&gt;EOMONTH(Settlement_Bridge!$C$2,0)),1,0)</f>
        <v>1</v>
      </c>
      <c r="P604" s="2" t="s">
        <v>1798</v>
      </c>
    </row>
    <row r="605" spans="1:16" x14ac:dyDescent="0.25">
      <c r="A605" s="2" t="s">
        <v>1799</v>
      </c>
      <c r="B605" s="2" t="s">
        <v>136</v>
      </c>
      <c r="C605" s="8">
        <v>46254</v>
      </c>
      <c r="D605" s="6">
        <v>46235</v>
      </c>
      <c r="E605" s="2" t="s">
        <v>260</v>
      </c>
      <c r="F605" s="2" t="s">
        <v>1800</v>
      </c>
      <c r="G605" s="6">
        <v>46204</v>
      </c>
      <c r="H605" s="2" t="s">
        <v>71</v>
      </c>
      <c r="I605" s="2" t="s">
        <v>39</v>
      </c>
      <c r="J605" s="9">
        <v>6031.42</v>
      </c>
      <c r="K605" s="7">
        <v>1</v>
      </c>
      <c r="L605" s="9">
        <v>6031.42</v>
      </c>
      <c r="M605" s="9">
        <v>6031.42</v>
      </c>
      <c r="N605" s="9">
        <v>3.32</v>
      </c>
      <c r="O605" s="10">
        <f>IF(AND(OR(H605="APPROVED",H605="SCHEDULED"),COUNTIFS(tblSource[EventID],F605,tblSource[ReleaseStatus],"APPROVED")=1,COUNTIFS(Period_Status!$A$2:$A$8,G605,Period_Status!$B$2:$B$8,"ActualClosed")=1,C605&gt;EOMONTH(Settlement_Bridge!$C$2,0)),1,0)</f>
        <v>1</v>
      </c>
      <c r="P605" s="2" t="s">
        <v>1801</v>
      </c>
    </row>
    <row r="606" spans="1:16" x14ac:dyDescent="0.25">
      <c r="A606" s="2" t="s">
        <v>1802</v>
      </c>
      <c r="B606" s="2" t="s">
        <v>136</v>
      </c>
      <c r="C606" s="8">
        <v>46255</v>
      </c>
      <c r="D606" s="6">
        <v>46235</v>
      </c>
      <c r="E606" s="2" t="s">
        <v>260</v>
      </c>
      <c r="F606" s="2" t="s">
        <v>1803</v>
      </c>
      <c r="G606" s="6">
        <v>46204</v>
      </c>
      <c r="H606" s="2" t="s">
        <v>71</v>
      </c>
      <c r="I606" s="2" t="s">
        <v>76</v>
      </c>
      <c r="J606" s="9">
        <v>100071451.612903</v>
      </c>
      <c r="K606" s="7">
        <v>6.1500000000000004E-5</v>
      </c>
      <c r="L606" s="9">
        <v>6154.39</v>
      </c>
      <c r="M606" s="9">
        <v>6204.43</v>
      </c>
      <c r="N606" s="9">
        <v>3.38</v>
      </c>
      <c r="O606" s="10">
        <f>IF(AND(OR(H606="APPROVED",H606="SCHEDULED"),COUNTIFS(tblSource[EventID],F606,tblSource[ReleaseStatus],"APPROVED")=1,COUNTIFS(Period_Status!$A$2:$A$8,G606,Period_Status!$B$2:$B$8,"ActualClosed")=1,C606&gt;EOMONTH(Settlement_Bridge!$C$2,0)),1,0)</f>
        <v>1</v>
      </c>
      <c r="P606" s="2" t="s">
        <v>1804</v>
      </c>
    </row>
    <row r="607" spans="1:16" x14ac:dyDescent="0.25">
      <c r="A607" s="2" t="s">
        <v>1805</v>
      </c>
      <c r="B607" s="2" t="s">
        <v>136</v>
      </c>
      <c r="C607" s="8">
        <v>46256</v>
      </c>
      <c r="D607" s="6">
        <v>46235</v>
      </c>
      <c r="E607" s="2" t="s">
        <v>260</v>
      </c>
      <c r="F607" s="2" t="s">
        <v>1806</v>
      </c>
      <c r="G607" s="6">
        <v>46204</v>
      </c>
      <c r="H607" s="2" t="s">
        <v>71</v>
      </c>
      <c r="I607" s="2" t="s">
        <v>70</v>
      </c>
      <c r="J607" s="9">
        <v>9692.1580549999999</v>
      </c>
      <c r="K607" s="7">
        <v>0.65</v>
      </c>
      <c r="L607" s="9">
        <v>6299.9</v>
      </c>
      <c r="M607" s="9">
        <v>6377.44</v>
      </c>
      <c r="N607" s="9">
        <v>3.46</v>
      </c>
      <c r="O607" s="10">
        <f>IF(AND(OR(H607="APPROVED",H607="SCHEDULED"),COUNTIFS(tblSource[EventID],F607,tblSource[ReleaseStatus],"APPROVED")=1,COUNTIFS(Period_Status!$A$2:$A$8,G607,Period_Status!$B$2:$B$8,"ActualClosed")=1,C607&gt;EOMONTH(Settlement_Bridge!$C$2,0)),1,0)</f>
        <v>1</v>
      </c>
      <c r="P607" s="2" t="s">
        <v>1807</v>
      </c>
    </row>
    <row r="608" spans="1:16" x14ac:dyDescent="0.25">
      <c r="A608" s="2" t="s">
        <v>1808</v>
      </c>
      <c r="B608" s="2" t="s">
        <v>136</v>
      </c>
      <c r="C608" s="8">
        <v>46257</v>
      </c>
      <c r="D608" s="6">
        <v>46235</v>
      </c>
      <c r="E608" s="2" t="s">
        <v>260</v>
      </c>
      <c r="F608" s="2" t="s">
        <v>1809</v>
      </c>
      <c r="G608" s="6">
        <v>46204</v>
      </c>
      <c r="H608" s="2" t="s">
        <v>71</v>
      </c>
      <c r="I608" s="2" t="s">
        <v>39</v>
      </c>
      <c r="J608" s="9">
        <v>6550.45</v>
      </c>
      <c r="K608" s="7">
        <v>1</v>
      </c>
      <c r="L608" s="9">
        <v>6550.45</v>
      </c>
      <c r="M608" s="9">
        <v>6550.45</v>
      </c>
      <c r="N608" s="9">
        <v>3.6</v>
      </c>
      <c r="O608" s="10">
        <f>IF(AND(OR(H608="APPROVED",H608="SCHEDULED"),COUNTIFS(tblSource[EventID],F608,tblSource[ReleaseStatus],"APPROVED")=1,COUNTIFS(Period_Status!$A$2:$A$8,G608,Period_Status!$B$2:$B$8,"ActualClosed")=1,C608&gt;EOMONTH(Settlement_Bridge!$C$2,0)),1,0)</f>
        <v>1</v>
      </c>
      <c r="P608" s="2" t="s">
        <v>1810</v>
      </c>
    </row>
    <row r="609" spans="1:16" x14ac:dyDescent="0.25">
      <c r="A609" s="2" t="s">
        <v>1811</v>
      </c>
      <c r="B609" s="2" t="s">
        <v>136</v>
      </c>
      <c r="C609" s="8">
        <v>46248</v>
      </c>
      <c r="D609" s="6">
        <v>46235</v>
      </c>
      <c r="E609" s="2" t="s">
        <v>260</v>
      </c>
      <c r="F609" s="2" t="s">
        <v>1812</v>
      </c>
      <c r="G609" s="6">
        <v>46204</v>
      </c>
      <c r="H609" s="2" t="s">
        <v>71</v>
      </c>
      <c r="I609" s="2" t="s">
        <v>76</v>
      </c>
      <c r="J609" s="9">
        <v>43377161.290321998</v>
      </c>
      <c r="K609" s="7">
        <v>6.1500000000000004E-5</v>
      </c>
      <c r="L609" s="9">
        <v>2667.7</v>
      </c>
      <c r="M609" s="9">
        <v>2689.38</v>
      </c>
      <c r="N609" s="9">
        <v>1.8</v>
      </c>
      <c r="O609" s="10">
        <f>IF(AND(OR(H609="APPROVED",H609="SCHEDULED"),COUNTIFS(tblSource[EventID],F609,tblSource[ReleaseStatus],"APPROVED")=1,COUNTIFS(Period_Status!$A$2:$A$8,G609,Period_Status!$B$2:$B$8,"ActualClosed")=1,C609&gt;EOMONTH(Settlement_Bridge!$C$2,0)),1,0)</f>
        <v>1</v>
      </c>
      <c r="P609" s="2" t="s">
        <v>1813</v>
      </c>
    </row>
    <row r="610" spans="1:16" x14ac:dyDescent="0.25">
      <c r="A610" s="2" t="s">
        <v>1814</v>
      </c>
      <c r="B610" s="2" t="s">
        <v>136</v>
      </c>
      <c r="C610" s="8">
        <v>46273</v>
      </c>
      <c r="D610" s="6">
        <v>46266</v>
      </c>
      <c r="E610" s="2" t="s">
        <v>260</v>
      </c>
      <c r="F610" s="2" t="s">
        <v>1812</v>
      </c>
      <c r="G610" s="6">
        <v>46204</v>
      </c>
      <c r="H610" s="2" t="s">
        <v>176</v>
      </c>
      <c r="I610" s="2" t="s">
        <v>76</v>
      </c>
      <c r="J610" s="9">
        <v>65065741.935484</v>
      </c>
      <c r="K610" s="7">
        <v>6.1299999999999999E-5</v>
      </c>
      <c r="L610" s="9">
        <v>3988.53</v>
      </c>
      <c r="M610" s="9">
        <v>4034.08</v>
      </c>
      <c r="N610" s="9">
        <v>2.19</v>
      </c>
      <c r="O610" s="10">
        <f>IF(AND(OR(H610="APPROVED",H610="SCHEDULED"),COUNTIFS(tblSource[EventID],F610,tblSource[ReleaseStatus],"APPROVED")=1,COUNTIFS(Period_Status!$A$2:$A$8,G610,Period_Status!$B$2:$B$8,"ActualClosed")=1,C610&gt;EOMONTH(Settlement_Bridge!$C$2,0)),1,0)</f>
        <v>1</v>
      </c>
      <c r="P610" s="2" t="s">
        <v>1815</v>
      </c>
    </row>
    <row r="611" spans="1:16" x14ac:dyDescent="0.25">
      <c r="A611" s="2" t="s">
        <v>1816</v>
      </c>
      <c r="B611" s="2" t="s">
        <v>136</v>
      </c>
      <c r="C611" s="8">
        <v>46218</v>
      </c>
      <c r="D611" s="6">
        <v>46204</v>
      </c>
      <c r="E611" s="2" t="s">
        <v>260</v>
      </c>
      <c r="F611" s="2" t="s">
        <v>1817</v>
      </c>
      <c r="G611" s="6">
        <v>46204</v>
      </c>
      <c r="H611" s="2" t="s">
        <v>71</v>
      </c>
      <c r="I611" s="2" t="s">
        <v>70</v>
      </c>
      <c r="J611" s="9">
        <v>4192.382979</v>
      </c>
      <c r="K611" s="7">
        <v>0.65800000000000003</v>
      </c>
      <c r="L611" s="9">
        <v>2758.59</v>
      </c>
      <c r="M611" s="9">
        <v>2758.59</v>
      </c>
      <c r="N611" s="9">
        <v>1.8</v>
      </c>
      <c r="O611" s="10">
        <f>IF(AND(OR(H611="APPROVED",H611="SCHEDULED"),COUNTIFS(tblSource[EventID],F611,tblSource[ReleaseStatus],"APPROVED")=1,COUNTIFS(Period_Status!$A$2:$A$8,G611,Period_Status!$B$2:$B$8,"ActualClosed")=1,C611&gt;EOMONTH(Settlement_Bridge!$C$2,0)),1,0)</f>
        <v>0</v>
      </c>
      <c r="P611" s="2" t="s">
        <v>1818</v>
      </c>
    </row>
    <row r="612" spans="1:16" x14ac:dyDescent="0.25">
      <c r="A612" s="2" t="s">
        <v>1819</v>
      </c>
      <c r="B612" s="2" t="s">
        <v>136</v>
      </c>
      <c r="C612" s="8">
        <v>46243</v>
      </c>
      <c r="D612" s="6">
        <v>46235</v>
      </c>
      <c r="E612" s="2" t="s">
        <v>260</v>
      </c>
      <c r="F612" s="2" t="s">
        <v>1817</v>
      </c>
      <c r="G612" s="6">
        <v>46204</v>
      </c>
      <c r="H612" s="2" t="s">
        <v>71</v>
      </c>
      <c r="I612" s="2" t="s">
        <v>70</v>
      </c>
      <c r="J612" s="9">
        <v>6288.5744679999998</v>
      </c>
      <c r="K612" s="7">
        <v>0.65</v>
      </c>
      <c r="L612" s="9">
        <v>4087.57</v>
      </c>
      <c r="M612" s="9">
        <v>4137.88</v>
      </c>
      <c r="N612" s="9">
        <v>2.25</v>
      </c>
      <c r="O612" s="10">
        <f>IF(AND(OR(H612="APPROVED",H612="SCHEDULED"),COUNTIFS(tblSource[EventID],F612,tblSource[ReleaseStatus],"APPROVED")=1,COUNTIFS(Period_Status!$A$2:$A$8,G612,Period_Status!$B$2:$B$8,"ActualClosed")=1,C612&gt;EOMONTH(Settlement_Bridge!$C$2,0)),1,0)</f>
        <v>1</v>
      </c>
      <c r="P612" s="2" t="s">
        <v>1820</v>
      </c>
    </row>
    <row r="613" spans="1:16" x14ac:dyDescent="0.25">
      <c r="A613" s="2" t="s">
        <v>1821</v>
      </c>
      <c r="B613" s="2" t="s">
        <v>136</v>
      </c>
      <c r="C613" s="8">
        <v>46229</v>
      </c>
      <c r="D613" s="6">
        <v>46204</v>
      </c>
      <c r="E613" s="2" t="s">
        <v>260</v>
      </c>
      <c r="F613" s="2" t="s">
        <v>1822</v>
      </c>
      <c r="G613" s="6">
        <v>46204</v>
      </c>
      <c r="H613" s="2" t="s">
        <v>71</v>
      </c>
      <c r="I613" s="2" t="s">
        <v>39</v>
      </c>
      <c r="J613" s="9">
        <v>7069.48</v>
      </c>
      <c r="K613" s="7">
        <v>1</v>
      </c>
      <c r="L613" s="9">
        <v>7069.48</v>
      </c>
      <c r="M613" s="9">
        <v>7069.48</v>
      </c>
      <c r="N613" s="9">
        <v>3.89</v>
      </c>
      <c r="O613" s="10">
        <f>IF(AND(OR(H613="APPROVED",H613="SCHEDULED"),COUNTIFS(tblSource[EventID],F613,tblSource[ReleaseStatus],"APPROVED")=1,COUNTIFS(Period_Status!$A$2:$A$8,G613,Period_Status!$B$2:$B$8,"ActualClosed")=1,C613&gt;EOMONTH(Settlement_Bridge!$C$2,0)),1,0)</f>
        <v>0</v>
      </c>
      <c r="P613" s="2" t="s">
        <v>1823</v>
      </c>
    </row>
    <row r="614" spans="1:16" x14ac:dyDescent="0.25">
      <c r="A614" s="2" t="s">
        <v>1824</v>
      </c>
      <c r="B614" s="2" t="s">
        <v>136</v>
      </c>
      <c r="C614" s="8">
        <v>46230</v>
      </c>
      <c r="D614" s="6">
        <v>46204</v>
      </c>
      <c r="E614" s="2" t="s">
        <v>260</v>
      </c>
      <c r="F614" s="2" t="s">
        <v>1825</v>
      </c>
      <c r="G614" s="6">
        <v>46204</v>
      </c>
      <c r="H614" s="2" t="s">
        <v>71</v>
      </c>
      <c r="I614" s="2" t="s">
        <v>76</v>
      </c>
      <c r="J614" s="9">
        <v>116814354.83871</v>
      </c>
      <c r="K614" s="7">
        <v>6.2000000000000003E-5</v>
      </c>
      <c r="L614" s="9">
        <v>7242.49</v>
      </c>
      <c r="M614" s="9">
        <v>7242.49</v>
      </c>
      <c r="N614" s="9">
        <v>3.98</v>
      </c>
      <c r="O614" s="10">
        <f>IF(AND(OR(H614="APPROVED",H614="SCHEDULED"),COUNTIFS(tblSource[EventID],F614,tblSource[ReleaseStatus],"APPROVED")=1,COUNTIFS(Period_Status!$A$2:$A$8,G614,Period_Status!$B$2:$B$8,"ActualClosed")=1,C614&gt;EOMONTH(Settlement_Bridge!$C$2,0)),1,0)</f>
        <v>0</v>
      </c>
      <c r="P614" s="2" t="s">
        <v>1826</v>
      </c>
    </row>
    <row r="615" spans="1:16" x14ac:dyDescent="0.25">
      <c r="A615" s="2" t="s">
        <v>1827</v>
      </c>
      <c r="B615" s="2" t="s">
        <v>136</v>
      </c>
      <c r="C615" s="8">
        <v>46221</v>
      </c>
      <c r="D615" s="6">
        <v>46204</v>
      </c>
      <c r="E615" s="2" t="s">
        <v>260</v>
      </c>
      <c r="F615" s="2" t="s">
        <v>1828</v>
      </c>
      <c r="G615" s="6">
        <v>46204</v>
      </c>
      <c r="H615" s="2" t="s">
        <v>71</v>
      </c>
      <c r="I615" s="2" t="s">
        <v>70</v>
      </c>
      <c r="J615" s="9">
        <v>4507.902736</v>
      </c>
      <c r="K615" s="7">
        <v>0.65800000000000003</v>
      </c>
      <c r="L615" s="9">
        <v>2966.2</v>
      </c>
      <c r="M615" s="9">
        <v>2966.2</v>
      </c>
      <c r="N615" s="9">
        <v>1.8</v>
      </c>
      <c r="O615" s="10">
        <f>IF(AND(OR(H615="APPROVED",H615="SCHEDULED"),COUNTIFS(tblSource[EventID],F615,tblSource[ReleaseStatus],"APPROVED")=1,COUNTIFS(Period_Status!$A$2:$A$8,G615,Period_Status!$B$2:$B$8,"ActualClosed")=1,C615&gt;EOMONTH(Settlement_Bridge!$C$2,0)),1,0)</f>
        <v>0</v>
      </c>
      <c r="P615" s="2" t="s">
        <v>1829</v>
      </c>
    </row>
    <row r="616" spans="1:16" x14ac:dyDescent="0.25">
      <c r="A616" s="2" t="s">
        <v>1830</v>
      </c>
      <c r="B616" s="2" t="s">
        <v>136</v>
      </c>
      <c r="C616" s="8">
        <v>46246</v>
      </c>
      <c r="D616" s="6">
        <v>46235</v>
      </c>
      <c r="E616" s="2" t="s">
        <v>260</v>
      </c>
      <c r="F616" s="2" t="s">
        <v>1828</v>
      </c>
      <c r="G616" s="6">
        <v>46204</v>
      </c>
      <c r="H616" s="2" t="s">
        <v>71</v>
      </c>
      <c r="I616" s="2" t="s">
        <v>70</v>
      </c>
      <c r="J616" s="9">
        <v>6761.8541029999997</v>
      </c>
      <c r="K616" s="7">
        <v>0.65</v>
      </c>
      <c r="L616" s="9">
        <v>4395.21</v>
      </c>
      <c r="M616" s="9">
        <v>4449.3</v>
      </c>
      <c r="N616" s="9">
        <v>2.42</v>
      </c>
      <c r="O616" s="10">
        <f>IF(AND(OR(H616="APPROVED",H616="SCHEDULED"),COUNTIFS(tblSource[EventID],F616,tblSource[ReleaseStatus],"APPROVED")=1,COUNTIFS(Period_Status!$A$2:$A$8,G616,Period_Status!$B$2:$B$8,"ActualClosed")=1,C616&gt;EOMONTH(Settlement_Bridge!$C$2,0)),1,0)</f>
        <v>1</v>
      </c>
      <c r="P616" s="2" t="s">
        <v>1831</v>
      </c>
    </row>
    <row r="617" spans="1:16" x14ac:dyDescent="0.25">
      <c r="A617" s="2" t="s">
        <v>1832</v>
      </c>
      <c r="B617" s="2" t="s">
        <v>136</v>
      </c>
      <c r="C617" s="8">
        <v>46232</v>
      </c>
      <c r="D617" s="6">
        <v>46204</v>
      </c>
      <c r="E617" s="2" t="s">
        <v>260</v>
      </c>
      <c r="F617" s="2" t="s">
        <v>1833</v>
      </c>
      <c r="G617" s="6">
        <v>46204</v>
      </c>
      <c r="H617" s="2" t="s">
        <v>71</v>
      </c>
      <c r="I617" s="2" t="s">
        <v>39</v>
      </c>
      <c r="J617" s="9">
        <v>7588.51</v>
      </c>
      <c r="K617" s="7">
        <v>1</v>
      </c>
      <c r="L617" s="9">
        <v>7588.51</v>
      </c>
      <c r="M617" s="9">
        <v>7588.51</v>
      </c>
      <c r="N617" s="9">
        <v>4.17</v>
      </c>
      <c r="O617" s="10">
        <f>IF(AND(OR(H617="APPROVED",H617="SCHEDULED"),COUNTIFS(tblSource[EventID],F617,tblSource[ReleaseStatus],"APPROVED")=1,COUNTIFS(Period_Status!$A$2:$A$8,G617,Period_Status!$B$2:$B$8,"ActualClosed")=1,C617&gt;EOMONTH(Settlement_Bridge!$C$2,0)),1,0)</f>
        <v>0</v>
      </c>
      <c r="P617" s="2" t="s">
        <v>1834</v>
      </c>
    </row>
    <row r="618" spans="1:16" x14ac:dyDescent="0.25">
      <c r="A618" s="2" t="s">
        <v>1835</v>
      </c>
      <c r="B618" s="2" t="s">
        <v>136</v>
      </c>
      <c r="C618" s="8">
        <v>46233</v>
      </c>
      <c r="D618" s="6">
        <v>46204</v>
      </c>
      <c r="E618" s="2" t="s">
        <v>260</v>
      </c>
      <c r="F618" s="2" t="s">
        <v>1836</v>
      </c>
      <c r="G618" s="6">
        <v>46204</v>
      </c>
      <c r="H618" s="2" t="s">
        <v>71</v>
      </c>
      <c r="I618" s="2" t="s">
        <v>76</v>
      </c>
      <c r="J618" s="9">
        <v>125185806.45161299</v>
      </c>
      <c r="K618" s="7">
        <v>6.2000000000000003E-5</v>
      </c>
      <c r="L618" s="9">
        <v>7761.52</v>
      </c>
      <c r="M618" s="9">
        <v>7761.52</v>
      </c>
      <c r="N618" s="9">
        <v>4.2699999999999996</v>
      </c>
      <c r="O618" s="10">
        <f>IF(AND(OR(H618="APPROVED",H618="SCHEDULED"),COUNTIFS(tblSource[EventID],F618,tblSource[ReleaseStatus],"APPROVED")=1,COUNTIFS(Period_Status!$A$2:$A$8,G618,Period_Status!$B$2:$B$8,"ActualClosed")=1,C618&gt;EOMONTH(Settlement_Bridge!$C$2,0)),1,0)</f>
        <v>0</v>
      </c>
      <c r="P618" s="2" t="s">
        <v>1837</v>
      </c>
    </row>
    <row r="619" spans="1:16" x14ac:dyDescent="0.25">
      <c r="A619" s="2" t="s">
        <v>1838</v>
      </c>
      <c r="B619" s="2" t="s">
        <v>136</v>
      </c>
      <c r="C619" s="8">
        <v>46234</v>
      </c>
      <c r="D619" s="6">
        <v>46204</v>
      </c>
      <c r="E619" s="2" t="s">
        <v>260</v>
      </c>
      <c r="F619" s="2" t="s">
        <v>1839</v>
      </c>
      <c r="G619" s="6">
        <v>46204</v>
      </c>
      <c r="H619" s="2" t="s">
        <v>71</v>
      </c>
      <c r="I619" s="2" t="s">
        <v>70</v>
      </c>
      <c r="J619" s="9">
        <v>12058.556231</v>
      </c>
      <c r="K619" s="7">
        <v>0.65800000000000003</v>
      </c>
      <c r="L619" s="9">
        <v>7934.53</v>
      </c>
      <c r="M619" s="9">
        <v>7934.53</v>
      </c>
      <c r="N619" s="9">
        <v>4.3600000000000003</v>
      </c>
      <c r="O619" s="10">
        <f>IF(AND(OR(H619="APPROVED",H619="SCHEDULED"),COUNTIFS(tblSource[EventID],F619,tblSource[ReleaseStatus],"APPROVED")=1,COUNTIFS(Period_Status!$A$2:$A$8,G619,Period_Status!$B$2:$B$8,"ActualClosed")=1,C619&gt;EOMONTH(Settlement_Bridge!$C$2,0)),1,0)</f>
        <v>0</v>
      </c>
      <c r="P619" s="2" t="s">
        <v>1840</v>
      </c>
    </row>
    <row r="620" spans="1:16" x14ac:dyDescent="0.25">
      <c r="A620" s="2" t="s">
        <v>1841</v>
      </c>
      <c r="B620" s="2" t="s">
        <v>136</v>
      </c>
      <c r="C620" s="8">
        <v>46235</v>
      </c>
      <c r="D620" s="6">
        <v>46235</v>
      </c>
      <c r="E620" s="2" t="s">
        <v>260</v>
      </c>
      <c r="F620" s="2" t="s">
        <v>1842</v>
      </c>
      <c r="G620" s="6">
        <v>46204</v>
      </c>
      <c r="H620" s="2" t="s">
        <v>71</v>
      </c>
      <c r="I620" s="2" t="s">
        <v>39</v>
      </c>
      <c r="J620" s="9">
        <v>8107.54</v>
      </c>
      <c r="K620" s="7">
        <v>1</v>
      </c>
      <c r="L620" s="9">
        <v>8107.54</v>
      </c>
      <c r="M620" s="9">
        <v>8107.54</v>
      </c>
      <c r="N620" s="9">
        <v>4.46</v>
      </c>
      <c r="O620" s="10">
        <f>IF(AND(OR(H620="APPROVED",H620="SCHEDULED"),COUNTIFS(tblSource[EventID],F620,tblSource[ReleaseStatus],"APPROVED")=1,COUNTIFS(Period_Status!$A$2:$A$8,G620,Period_Status!$B$2:$B$8,"ActualClosed")=1,C620&gt;EOMONTH(Settlement_Bridge!$C$2,0)),1,0)</f>
        <v>1</v>
      </c>
      <c r="P620" s="2" t="s">
        <v>1843</v>
      </c>
    </row>
    <row r="621" spans="1:16" x14ac:dyDescent="0.25">
      <c r="A621" s="2" t="s">
        <v>1844</v>
      </c>
      <c r="B621" s="2" t="s">
        <v>136</v>
      </c>
      <c r="C621" s="8">
        <v>46236</v>
      </c>
      <c r="D621" s="6">
        <v>46235</v>
      </c>
      <c r="E621" s="2" t="s">
        <v>260</v>
      </c>
      <c r="F621" s="2" t="s">
        <v>1845</v>
      </c>
      <c r="G621" s="6">
        <v>46204</v>
      </c>
      <c r="H621" s="2" t="s">
        <v>71</v>
      </c>
      <c r="I621" s="2" t="s">
        <v>76</v>
      </c>
      <c r="J621" s="9">
        <v>133557258.06451599</v>
      </c>
      <c r="K621" s="7">
        <v>6.1500000000000004E-5</v>
      </c>
      <c r="L621" s="9">
        <v>8213.77</v>
      </c>
      <c r="M621" s="9">
        <v>8280.5499999999993</v>
      </c>
      <c r="N621" s="9">
        <v>4.5199999999999996</v>
      </c>
      <c r="O621" s="10">
        <f>IF(AND(OR(H621="APPROVED",H621="SCHEDULED"),COUNTIFS(tblSource[EventID],F621,tblSource[ReleaseStatus],"APPROVED")=1,COUNTIFS(Period_Status!$A$2:$A$8,G621,Period_Status!$B$2:$B$8,"ActualClosed")=1,C621&gt;EOMONTH(Settlement_Bridge!$C$2,0)),1,0)</f>
        <v>1</v>
      </c>
      <c r="P621" s="2" t="s">
        <v>1846</v>
      </c>
    </row>
    <row r="622" spans="1:16" x14ac:dyDescent="0.25">
      <c r="A622" s="2" t="s">
        <v>1847</v>
      </c>
      <c r="B622" s="2" t="s">
        <v>136</v>
      </c>
      <c r="C622" s="8">
        <v>46227</v>
      </c>
      <c r="D622" s="6">
        <v>46204</v>
      </c>
      <c r="E622" s="2" t="s">
        <v>260</v>
      </c>
      <c r="F622" s="2" t="s">
        <v>1848</v>
      </c>
      <c r="G622" s="6">
        <v>46204</v>
      </c>
      <c r="H622" s="2" t="s">
        <v>71</v>
      </c>
      <c r="I622" s="2" t="s">
        <v>70</v>
      </c>
      <c r="J622" s="9">
        <v>5138.9422489999997</v>
      </c>
      <c r="K622" s="7">
        <v>0.65800000000000003</v>
      </c>
      <c r="L622" s="9">
        <v>3381.42</v>
      </c>
      <c r="M622" s="9">
        <v>3381.42</v>
      </c>
      <c r="N622" s="9">
        <v>1.86</v>
      </c>
      <c r="O622" s="10">
        <f>IF(AND(OR(H622="APPROVED",H622="SCHEDULED"),COUNTIFS(tblSource[EventID],F622,tblSource[ReleaseStatus],"APPROVED")=1,COUNTIFS(Period_Status!$A$2:$A$8,G622,Period_Status!$B$2:$B$8,"ActualClosed")=1,C622&gt;EOMONTH(Settlement_Bridge!$C$2,0)),1,0)</f>
        <v>0</v>
      </c>
      <c r="P622" s="2" t="s">
        <v>1849</v>
      </c>
    </row>
    <row r="623" spans="1:16" x14ac:dyDescent="0.25">
      <c r="A623" s="2" t="s">
        <v>1850</v>
      </c>
      <c r="B623" s="2" t="s">
        <v>136</v>
      </c>
      <c r="C623" s="8">
        <v>46252</v>
      </c>
      <c r="D623" s="6">
        <v>46235</v>
      </c>
      <c r="E623" s="2" t="s">
        <v>260</v>
      </c>
      <c r="F623" s="2" t="s">
        <v>1848</v>
      </c>
      <c r="G623" s="6">
        <v>46204</v>
      </c>
      <c r="H623" s="2" t="s">
        <v>71</v>
      </c>
      <c r="I623" s="2" t="s">
        <v>70</v>
      </c>
      <c r="J623" s="9">
        <v>7708.4133739999997</v>
      </c>
      <c r="K623" s="7">
        <v>0.65</v>
      </c>
      <c r="L623" s="9">
        <v>5010.47</v>
      </c>
      <c r="M623" s="9">
        <v>5072.1400000000003</v>
      </c>
      <c r="N623" s="9">
        <v>2.76</v>
      </c>
      <c r="O623" s="10">
        <f>IF(AND(OR(H623="APPROVED",H623="SCHEDULED"),COUNTIFS(tblSource[EventID],F623,tblSource[ReleaseStatus],"APPROVED")=1,COUNTIFS(Period_Status!$A$2:$A$8,G623,Period_Status!$B$2:$B$8,"ActualClosed")=1,C623&gt;EOMONTH(Settlement_Bridge!$C$2,0)),1,0)</f>
        <v>1</v>
      </c>
      <c r="P623" s="2" t="s">
        <v>1851</v>
      </c>
    </row>
    <row r="624" spans="1:16" x14ac:dyDescent="0.25">
      <c r="A624" s="2" t="s">
        <v>1852</v>
      </c>
      <c r="B624" s="2" t="s">
        <v>136</v>
      </c>
      <c r="C624" s="8">
        <v>46228</v>
      </c>
      <c r="D624" s="6">
        <v>46204</v>
      </c>
      <c r="E624" s="2" t="s">
        <v>260</v>
      </c>
      <c r="F624" s="2" t="s">
        <v>1853</v>
      </c>
      <c r="G624" s="6">
        <v>46204</v>
      </c>
      <c r="H624" s="2" t="s">
        <v>71</v>
      </c>
      <c r="I624" s="2" t="s">
        <v>39</v>
      </c>
      <c r="J624" s="9">
        <v>3450.6280000000002</v>
      </c>
      <c r="K624" s="7">
        <v>1</v>
      </c>
      <c r="L624" s="9">
        <v>3450.63</v>
      </c>
      <c r="M624" s="9">
        <v>3450.63</v>
      </c>
      <c r="N624" s="9">
        <v>1.9</v>
      </c>
      <c r="O624" s="10">
        <f>IF(AND(OR(H624="APPROVED",H624="SCHEDULED"),COUNTIFS(tblSource[EventID],F624,tblSource[ReleaseStatus],"APPROVED")=1,COUNTIFS(Period_Status!$A$2:$A$8,G624,Period_Status!$B$2:$B$8,"ActualClosed")=1,C624&gt;EOMONTH(Settlement_Bridge!$C$2,0)),1,0)</f>
        <v>0</v>
      </c>
      <c r="P624" s="2" t="s">
        <v>1854</v>
      </c>
    </row>
    <row r="625" spans="1:16" x14ac:dyDescent="0.25">
      <c r="A625" s="2" t="s">
        <v>1855</v>
      </c>
      <c r="B625" s="2" t="s">
        <v>136</v>
      </c>
      <c r="C625" s="8">
        <v>46253</v>
      </c>
      <c r="D625" s="6">
        <v>46235</v>
      </c>
      <c r="E625" s="2" t="s">
        <v>260</v>
      </c>
      <c r="F625" s="2" t="s">
        <v>1853</v>
      </c>
      <c r="G625" s="6">
        <v>46204</v>
      </c>
      <c r="H625" s="2" t="s">
        <v>71</v>
      </c>
      <c r="I625" s="2" t="s">
        <v>39</v>
      </c>
      <c r="J625" s="9">
        <v>5175.942</v>
      </c>
      <c r="K625" s="7">
        <v>1</v>
      </c>
      <c r="L625" s="9">
        <v>5175.9399999999996</v>
      </c>
      <c r="M625" s="9">
        <v>5175.9399999999996</v>
      </c>
      <c r="N625" s="9">
        <v>2.85</v>
      </c>
      <c r="O625" s="10">
        <f>IF(AND(OR(H625="APPROVED",H625="SCHEDULED"),COUNTIFS(tblSource[EventID],F625,tblSource[ReleaseStatus],"APPROVED")=1,COUNTIFS(Period_Status!$A$2:$A$8,G625,Period_Status!$B$2:$B$8,"ActualClosed")=1,C625&gt;EOMONTH(Settlement_Bridge!$C$2,0)),1,0)</f>
        <v>1</v>
      </c>
      <c r="P625" s="2" t="s">
        <v>1856</v>
      </c>
    </row>
    <row r="626" spans="1:16" x14ac:dyDescent="0.25">
      <c r="A626" s="2" t="s">
        <v>1857</v>
      </c>
      <c r="B626" s="2" t="s">
        <v>136</v>
      </c>
      <c r="C626" s="8">
        <v>46239</v>
      </c>
      <c r="D626" s="6">
        <v>46235</v>
      </c>
      <c r="E626" s="2" t="s">
        <v>260</v>
      </c>
      <c r="F626" s="2" t="s">
        <v>1858</v>
      </c>
      <c r="G626" s="6">
        <v>46204</v>
      </c>
      <c r="H626" s="2" t="s">
        <v>71</v>
      </c>
      <c r="I626" s="2" t="s">
        <v>76</v>
      </c>
      <c r="J626" s="9">
        <v>141928709.67741901</v>
      </c>
      <c r="K626" s="7">
        <v>6.1500000000000004E-5</v>
      </c>
      <c r="L626" s="9">
        <v>8728.6200000000008</v>
      </c>
      <c r="M626" s="9">
        <v>8799.58</v>
      </c>
      <c r="N626" s="9">
        <v>4.8</v>
      </c>
      <c r="O626" s="10">
        <f>IF(AND(OR(H626="APPROVED",H626="SCHEDULED"),COUNTIFS(tblSource[EventID],F626,tblSource[ReleaseStatus],"APPROVED")=1,COUNTIFS(Period_Status!$A$2:$A$8,G626,Period_Status!$B$2:$B$8,"ActualClosed")=1,C626&gt;EOMONTH(Settlement_Bridge!$C$2,0)),1,0)</f>
        <v>1</v>
      </c>
      <c r="P626" s="2" t="s">
        <v>1859</v>
      </c>
    </row>
    <row r="627" spans="1:16" x14ac:dyDescent="0.25">
      <c r="A627" s="2" t="s">
        <v>1860</v>
      </c>
      <c r="B627" s="2" t="s">
        <v>136</v>
      </c>
      <c r="C627" s="8">
        <v>46240</v>
      </c>
      <c r="D627" s="6">
        <v>46235</v>
      </c>
      <c r="E627" s="2" t="s">
        <v>260</v>
      </c>
      <c r="F627" s="2" t="s">
        <v>1861</v>
      </c>
      <c r="G627" s="6">
        <v>46204</v>
      </c>
      <c r="H627" s="2" t="s">
        <v>71</v>
      </c>
      <c r="I627" s="2" t="s">
        <v>70</v>
      </c>
      <c r="J627" s="9">
        <v>13636.155015</v>
      </c>
      <c r="K627" s="7">
        <v>0.65</v>
      </c>
      <c r="L627" s="9">
        <v>8863.5</v>
      </c>
      <c r="M627" s="9">
        <v>8972.59</v>
      </c>
      <c r="N627" s="9">
        <v>4.87</v>
      </c>
      <c r="O627" s="10">
        <f>IF(AND(OR(H627="APPROVED",H627="SCHEDULED"),COUNTIFS(tblSource[EventID],F627,tblSource[ReleaseStatus],"APPROVED")=1,COUNTIFS(Period_Status!$A$2:$A$8,G627,Period_Status!$B$2:$B$8,"ActualClosed")=1,C627&gt;EOMONTH(Settlement_Bridge!$C$2,0)),1,0)</f>
        <v>1</v>
      </c>
      <c r="P627" s="2" t="s">
        <v>1862</v>
      </c>
    </row>
    <row r="628" spans="1:16" x14ac:dyDescent="0.25">
      <c r="A628" s="2" t="s">
        <v>1863</v>
      </c>
      <c r="B628" s="2" t="s">
        <v>136</v>
      </c>
      <c r="C628" s="8">
        <v>46231</v>
      </c>
      <c r="D628" s="6">
        <v>46204</v>
      </c>
      <c r="E628" s="2" t="s">
        <v>260</v>
      </c>
      <c r="F628" s="2" t="s">
        <v>1864</v>
      </c>
      <c r="G628" s="6">
        <v>46204</v>
      </c>
      <c r="H628" s="2" t="s">
        <v>71</v>
      </c>
      <c r="I628" s="2" t="s">
        <v>39</v>
      </c>
      <c r="J628" s="9">
        <v>3658.24</v>
      </c>
      <c r="K628" s="7">
        <v>1</v>
      </c>
      <c r="L628" s="9">
        <v>3658.24</v>
      </c>
      <c r="M628" s="9">
        <v>3658.24</v>
      </c>
      <c r="N628" s="9">
        <v>2.0099999999999998</v>
      </c>
      <c r="O628" s="10">
        <f>IF(AND(OR(H628="APPROVED",H628="SCHEDULED"),COUNTIFS(tblSource[EventID],F628,tblSource[ReleaseStatus],"APPROVED")=1,COUNTIFS(Period_Status!$A$2:$A$8,G628,Period_Status!$B$2:$B$8,"ActualClosed")=1,C628&gt;EOMONTH(Settlement_Bridge!$C$2,0)),1,0)</f>
        <v>0</v>
      </c>
      <c r="P628" s="2" t="s">
        <v>1865</v>
      </c>
    </row>
    <row r="629" spans="1:16" x14ac:dyDescent="0.25">
      <c r="A629" s="2" t="s">
        <v>1866</v>
      </c>
      <c r="B629" s="2" t="s">
        <v>136</v>
      </c>
      <c r="C629" s="8">
        <v>46256</v>
      </c>
      <c r="D629" s="6">
        <v>46235</v>
      </c>
      <c r="E629" s="2" t="s">
        <v>260</v>
      </c>
      <c r="F629" s="2" t="s">
        <v>1864</v>
      </c>
      <c r="G629" s="6">
        <v>46204</v>
      </c>
      <c r="H629" s="2" t="s">
        <v>71</v>
      </c>
      <c r="I629" s="2" t="s">
        <v>39</v>
      </c>
      <c r="J629" s="9">
        <v>5487.36</v>
      </c>
      <c r="K629" s="7">
        <v>1</v>
      </c>
      <c r="L629" s="9">
        <v>5487.36</v>
      </c>
      <c r="M629" s="9">
        <v>5487.36</v>
      </c>
      <c r="N629" s="9">
        <v>3.02</v>
      </c>
      <c r="O629" s="10">
        <f>IF(AND(OR(H629="APPROVED",H629="SCHEDULED"),COUNTIFS(tblSource[EventID],F629,tblSource[ReleaseStatus],"APPROVED")=1,COUNTIFS(Period_Status!$A$2:$A$8,G629,Period_Status!$B$2:$B$8,"ActualClosed")=1,C629&gt;EOMONTH(Settlement_Bridge!$C$2,0)),1,0)</f>
        <v>1</v>
      </c>
      <c r="P629" s="2" t="s">
        <v>1867</v>
      </c>
    </row>
    <row r="630" spans="1:16" x14ac:dyDescent="0.25">
      <c r="A630" s="2" t="s">
        <v>1868</v>
      </c>
      <c r="B630" s="2" t="s">
        <v>136</v>
      </c>
      <c r="C630" s="8">
        <v>46242</v>
      </c>
      <c r="D630" s="6">
        <v>46235</v>
      </c>
      <c r="E630" s="2" t="s">
        <v>260</v>
      </c>
      <c r="F630" s="2" t="s">
        <v>1869</v>
      </c>
      <c r="G630" s="6">
        <v>46204</v>
      </c>
      <c r="H630" s="2" t="s">
        <v>71</v>
      </c>
      <c r="I630" s="2" t="s">
        <v>76</v>
      </c>
      <c r="J630" s="9">
        <v>150300161.29032299</v>
      </c>
      <c r="K630" s="7">
        <v>6.1500000000000004E-5</v>
      </c>
      <c r="L630" s="9">
        <v>9243.4599999999991</v>
      </c>
      <c r="M630" s="9">
        <v>9318.61</v>
      </c>
      <c r="N630" s="9">
        <v>5.08</v>
      </c>
      <c r="O630" s="10">
        <f>IF(AND(OR(H630="APPROVED",H630="SCHEDULED"),COUNTIFS(tblSource[EventID],F630,tblSource[ReleaseStatus],"APPROVED")=1,COUNTIFS(Period_Status!$A$2:$A$8,G630,Period_Status!$B$2:$B$8,"ActualClosed")=1,C630&gt;EOMONTH(Settlement_Bridge!$C$2,0)),1,0)</f>
        <v>1</v>
      </c>
      <c r="P630" s="2" t="s">
        <v>1870</v>
      </c>
    </row>
    <row r="631" spans="1:16" x14ac:dyDescent="0.25">
      <c r="A631" s="2" t="s">
        <v>1871</v>
      </c>
      <c r="B631" s="2" t="s">
        <v>136</v>
      </c>
      <c r="C631" s="8">
        <v>46243</v>
      </c>
      <c r="D631" s="6">
        <v>46235</v>
      </c>
      <c r="E631" s="2" t="s">
        <v>260</v>
      </c>
      <c r="F631" s="2" t="s">
        <v>1872</v>
      </c>
      <c r="G631" s="6">
        <v>46204</v>
      </c>
      <c r="H631" s="2" t="s">
        <v>71</v>
      </c>
      <c r="I631" s="2" t="s">
        <v>70</v>
      </c>
      <c r="J631" s="9">
        <v>14424.954406999999</v>
      </c>
      <c r="K631" s="7">
        <v>0.65</v>
      </c>
      <c r="L631" s="9">
        <v>9376.2199999999993</v>
      </c>
      <c r="M631" s="9">
        <v>9491.6200000000008</v>
      </c>
      <c r="N631" s="9">
        <v>5.16</v>
      </c>
      <c r="O631" s="10">
        <f>IF(AND(OR(H631="APPROVED",H631="SCHEDULED"),COUNTIFS(tblSource[EventID],F631,tblSource[ReleaseStatus],"APPROVED")=1,COUNTIFS(Period_Status!$A$2:$A$8,G631,Period_Status!$B$2:$B$8,"ActualClosed")=1,C631&gt;EOMONTH(Settlement_Bridge!$C$2,0)),1,0)</f>
        <v>1</v>
      </c>
      <c r="P631" s="2" t="s">
        <v>1873</v>
      </c>
    </row>
    <row r="632" spans="1:16" x14ac:dyDescent="0.25">
      <c r="A632" s="2" t="s">
        <v>1874</v>
      </c>
      <c r="B632" s="2" t="s">
        <v>136</v>
      </c>
      <c r="C632" s="8">
        <v>46244</v>
      </c>
      <c r="D632" s="6">
        <v>46235</v>
      </c>
      <c r="E632" s="2" t="s">
        <v>260</v>
      </c>
      <c r="F632" s="2" t="s">
        <v>1875</v>
      </c>
      <c r="G632" s="6">
        <v>46204</v>
      </c>
      <c r="H632" s="2" t="s">
        <v>71</v>
      </c>
      <c r="I632" s="2" t="s">
        <v>39</v>
      </c>
      <c r="J632" s="9">
        <v>-9664.6299999999992</v>
      </c>
      <c r="K632" s="7">
        <v>1</v>
      </c>
      <c r="L632" s="9">
        <v>-9664.6299999999992</v>
      </c>
      <c r="M632" s="9">
        <v>-9664.6299999999992</v>
      </c>
      <c r="N632" s="9">
        <v>0</v>
      </c>
      <c r="O632" s="10">
        <f>IF(AND(OR(H632="APPROVED",H632="SCHEDULED"),COUNTIFS(tblSource[EventID],F632,tblSource[ReleaseStatus],"APPROVED")=1,COUNTIFS(Period_Status!$A$2:$A$8,G632,Period_Status!$B$2:$B$8,"ActualClosed")=1,C632&gt;EOMONTH(Settlement_Bridge!$C$2,0)),1,0)</f>
        <v>1</v>
      </c>
      <c r="P632" s="2" t="s">
        <v>1876</v>
      </c>
    </row>
    <row r="633" spans="1:16" x14ac:dyDescent="0.25">
      <c r="A633" s="2" t="s">
        <v>1877</v>
      </c>
      <c r="B633" s="2" t="s">
        <v>136</v>
      </c>
      <c r="C633" s="8">
        <v>46245</v>
      </c>
      <c r="D633" s="6">
        <v>46235</v>
      </c>
      <c r="E633" s="2" t="s">
        <v>260</v>
      </c>
      <c r="F633" s="2" t="s">
        <v>1878</v>
      </c>
      <c r="G633" s="6">
        <v>46204</v>
      </c>
      <c r="H633" s="2" t="s">
        <v>71</v>
      </c>
      <c r="I633" s="2" t="s">
        <v>76</v>
      </c>
      <c r="J633" s="9">
        <v>158671612.90322599</v>
      </c>
      <c r="K633" s="7">
        <v>6.1500000000000004E-5</v>
      </c>
      <c r="L633" s="9">
        <v>9758.2999999999993</v>
      </c>
      <c r="M633" s="9">
        <v>9837.64</v>
      </c>
      <c r="N633" s="9">
        <v>5.37</v>
      </c>
      <c r="O633" s="10">
        <f>IF(AND(OR(H633="APPROVED",H633="SCHEDULED"),COUNTIFS(tblSource[EventID],F633,tblSource[ReleaseStatus],"APPROVED")=1,COUNTIFS(Period_Status!$A$2:$A$8,G633,Period_Status!$B$2:$B$8,"ActualClosed")=1,C633&gt;EOMONTH(Settlement_Bridge!$C$2,0)),1,0)</f>
        <v>1</v>
      </c>
      <c r="P633" s="2" t="s">
        <v>1879</v>
      </c>
    </row>
    <row r="634" spans="1:16" x14ac:dyDescent="0.25">
      <c r="A634" s="2" t="s">
        <v>1880</v>
      </c>
      <c r="B634" s="2" t="s">
        <v>136</v>
      </c>
      <c r="C634" s="8">
        <v>46246</v>
      </c>
      <c r="D634" s="6">
        <v>46235</v>
      </c>
      <c r="E634" s="2" t="s">
        <v>260</v>
      </c>
      <c r="F634" s="2" t="s">
        <v>1881</v>
      </c>
      <c r="G634" s="6">
        <v>46204</v>
      </c>
      <c r="H634" s="2" t="s">
        <v>71</v>
      </c>
      <c r="I634" s="2" t="s">
        <v>70</v>
      </c>
      <c r="J634" s="9">
        <v>15213.753799</v>
      </c>
      <c r="K634" s="7">
        <v>0.65</v>
      </c>
      <c r="L634" s="9">
        <v>9888.94</v>
      </c>
      <c r="M634" s="9">
        <v>10010.65</v>
      </c>
      <c r="N634" s="9">
        <v>5.44</v>
      </c>
      <c r="O634" s="10">
        <f>IF(AND(OR(H634="APPROVED",H634="SCHEDULED"),COUNTIFS(tblSource[EventID],F634,tblSource[ReleaseStatus],"APPROVED")=1,COUNTIFS(Period_Status!$A$2:$A$8,G634,Period_Status!$B$2:$B$8,"ActualClosed")=1,C634&gt;EOMONTH(Settlement_Bridge!$C$2,0)),1,0)</f>
        <v>1</v>
      </c>
      <c r="P634" s="2" t="s">
        <v>1882</v>
      </c>
    </row>
    <row r="635" spans="1:16" x14ac:dyDescent="0.25">
      <c r="A635" s="2" t="s">
        <v>1883</v>
      </c>
      <c r="B635" s="2" t="s">
        <v>136</v>
      </c>
      <c r="C635" s="8">
        <v>46237</v>
      </c>
      <c r="D635" s="6">
        <v>46235</v>
      </c>
      <c r="E635" s="2" t="s">
        <v>260</v>
      </c>
      <c r="F635" s="2" t="s">
        <v>1884</v>
      </c>
      <c r="G635" s="6">
        <v>46204</v>
      </c>
      <c r="H635" s="2" t="s">
        <v>71</v>
      </c>
      <c r="I635" s="2" t="s">
        <v>39</v>
      </c>
      <c r="J635" s="9">
        <v>4073.4639999999999</v>
      </c>
      <c r="K635" s="7">
        <v>1</v>
      </c>
      <c r="L635" s="9">
        <v>4073.46</v>
      </c>
      <c r="M635" s="9">
        <v>4073.46</v>
      </c>
      <c r="N635" s="9">
        <v>2.2400000000000002</v>
      </c>
      <c r="O635" s="10">
        <f>IF(AND(OR(H635="APPROVED",H635="SCHEDULED"),COUNTIFS(tblSource[EventID],F635,tblSource[ReleaseStatus],"APPROVED")=1,COUNTIFS(Period_Status!$A$2:$A$8,G635,Period_Status!$B$2:$B$8,"ActualClosed")=1,C635&gt;EOMONTH(Settlement_Bridge!$C$2,0)),1,0)</f>
        <v>1</v>
      </c>
      <c r="P635" s="2" t="s">
        <v>1885</v>
      </c>
    </row>
    <row r="636" spans="1:16" x14ac:dyDescent="0.25">
      <c r="A636" s="2" t="s">
        <v>1886</v>
      </c>
      <c r="B636" s="2" t="s">
        <v>136</v>
      </c>
      <c r="C636" s="8">
        <v>46262</v>
      </c>
      <c r="D636" s="6">
        <v>46235</v>
      </c>
      <c r="E636" s="2" t="s">
        <v>260</v>
      </c>
      <c r="F636" s="2" t="s">
        <v>1884</v>
      </c>
      <c r="G636" s="6">
        <v>46204</v>
      </c>
      <c r="H636" s="2" t="s">
        <v>71</v>
      </c>
      <c r="I636" s="2" t="s">
        <v>39</v>
      </c>
      <c r="J636" s="9">
        <v>6110.1959999999999</v>
      </c>
      <c r="K636" s="7">
        <v>1</v>
      </c>
      <c r="L636" s="9">
        <v>6110.2</v>
      </c>
      <c r="M636" s="9">
        <v>6110.2</v>
      </c>
      <c r="N636" s="9">
        <v>3.36</v>
      </c>
      <c r="O636" s="10">
        <f>IF(AND(OR(H636="APPROVED",H636="SCHEDULED"),COUNTIFS(tblSource[EventID],F636,tblSource[ReleaseStatus],"APPROVED")=1,COUNTIFS(Period_Status!$A$2:$A$8,G636,Period_Status!$B$2:$B$8,"ActualClosed")=1,C636&gt;EOMONTH(Settlement_Bridge!$C$2,0)),1,0)</f>
        <v>1</v>
      </c>
      <c r="P636" s="2" t="s">
        <v>1887</v>
      </c>
    </row>
    <row r="637" spans="1:16" x14ac:dyDescent="0.25">
      <c r="A637" s="2" t="s">
        <v>1888</v>
      </c>
      <c r="B637" s="2" t="s">
        <v>136</v>
      </c>
      <c r="C637" s="8">
        <v>46238</v>
      </c>
      <c r="D637" s="6">
        <v>46235</v>
      </c>
      <c r="E637" s="2" t="s">
        <v>260</v>
      </c>
      <c r="F637" s="2" t="s">
        <v>1889</v>
      </c>
      <c r="G637" s="6">
        <v>46204</v>
      </c>
      <c r="H637" s="2" t="s">
        <v>71</v>
      </c>
      <c r="I637" s="2" t="s">
        <v>76</v>
      </c>
      <c r="J637" s="9">
        <v>66817225.806451999</v>
      </c>
      <c r="K637" s="7">
        <v>6.1500000000000004E-5</v>
      </c>
      <c r="L637" s="9">
        <v>4109.26</v>
      </c>
      <c r="M637" s="9">
        <v>4142.67</v>
      </c>
      <c r="N637" s="9">
        <v>2.2599999999999998</v>
      </c>
      <c r="O637" s="10">
        <f>IF(AND(OR(H637="APPROVED",H637="SCHEDULED"),COUNTIFS(tblSource[EventID],F637,tblSource[ReleaseStatus],"APPROVED")=1,COUNTIFS(Period_Status!$A$2:$A$8,G637,Period_Status!$B$2:$B$8,"ActualClosed")=1,C637&gt;EOMONTH(Settlement_Bridge!$C$2,0)),1,0)</f>
        <v>1</v>
      </c>
      <c r="P637" s="2" t="s">
        <v>1890</v>
      </c>
    </row>
    <row r="638" spans="1:16" x14ac:dyDescent="0.25">
      <c r="A638" s="2" t="s">
        <v>1891</v>
      </c>
      <c r="B638" s="2" t="s">
        <v>136</v>
      </c>
      <c r="C638" s="8">
        <v>46263</v>
      </c>
      <c r="D638" s="6">
        <v>46235</v>
      </c>
      <c r="E638" s="2" t="s">
        <v>260</v>
      </c>
      <c r="F638" s="2" t="s">
        <v>1889</v>
      </c>
      <c r="G638" s="6">
        <v>46204</v>
      </c>
      <c r="H638" s="2" t="s">
        <v>71</v>
      </c>
      <c r="I638" s="2" t="s">
        <v>76</v>
      </c>
      <c r="J638" s="9">
        <v>100225838.709677</v>
      </c>
      <c r="K638" s="7">
        <v>6.1500000000000004E-5</v>
      </c>
      <c r="L638" s="9">
        <v>6163.89</v>
      </c>
      <c r="M638" s="9">
        <v>6214</v>
      </c>
      <c r="N638" s="9">
        <v>3.39</v>
      </c>
      <c r="O638" s="10">
        <f>IF(AND(OR(H638="APPROVED",H638="SCHEDULED"),COUNTIFS(tblSource[EventID],F638,tblSource[ReleaseStatus],"APPROVED")=1,COUNTIFS(Period_Status!$A$2:$A$8,G638,Period_Status!$B$2:$B$8,"ActualClosed")=1,C638&gt;EOMONTH(Settlement_Bridge!$C$2,0)),1,0)</f>
        <v>1</v>
      </c>
      <c r="P638" s="2" t="s">
        <v>1892</v>
      </c>
    </row>
    <row r="639" spans="1:16" x14ac:dyDescent="0.25">
      <c r="A639" s="2" t="s">
        <v>1893</v>
      </c>
      <c r="B639" s="2" t="s">
        <v>136</v>
      </c>
      <c r="C639" s="8">
        <v>46249</v>
      </c>
      <c r="D639" s="6">
        <v>46235</v>
      </c>
      <c r="E639" s="2" t="s">
        <v>260</v>
      </c>
      <c r="F639" s="2" t="s">
        <v>1894</v>
      </c>
      <c r="G639" s="6">
        <v>46204</v>
      </c>
      <c r="H639" s="2" t="s">
        <v>71</v>
      </c>
      <c r="I639" s="2" t="s">
        <v>70</v>
      </c>
      <c r="J639" s="9">
        <v>16002.553191000001</v>
      </c>
      <c r="K639" s="7">
        <v>0.65</v>
      </c>
      <c r="L639" s="9">
        <v>10401.66</v>
      </c>
      <c r="M639" s="9">
        <v>10529.68</v>
      </c>
      <c r="N639" s="9">
        <v>5.72</v>
      </c>
      <c r="O639" s="10">
        <f>IF(AND(OR(H639="APPROVED",H639="SCHEDULED"),COUNTIFS(tblSource[EventID],F639,tblSource[ReleaseStatus],"APPROVED")=1,COUNTIFS(Period_Status!$A$2:$A$8,G639,Period_Status!$B$2:$B$8,"ActualClosed")=1,C639&gt;EOMONTH(Settlement_Bridge!$C$2,0)),1,0)</f>
        <v>1</v>
      </c>
      <c r="P639" s="2" t="s">
        <v>1895</v>
      </c>
    </row>
    <row r="640" spans="1:16" x14ac:dyDescent="0.25">
      <c r="A640" s="2" t="s">
        <v>1896</v>
      </c>
      <c r="B640" s="2" t="s">
        <v>136</v>
      </c>
      <c r="C640" s="8">
        <v>46250</v>
      </c>
      <c r="D640" s="6">
        <v>46235</v>
      </c>
      <c r="E640" s="2" t="s">
        <v>260</v>
      </c>
      <c r="F640" s="2" t="s">
        <v>1897</v>
      </c>
      <c r="G640" s="6">
        <v>46204</v>
      </c>
      <c r="H640" s="2" t="s">
        <v>71</v>
      </c>
      <c r="I640" s="2" t="s">
        <v>39</v>
      </c>
      <c r="J640" s="9">
        <v>10702.69</v>
      </c>
      <c r="K640" s="7">
        <v>1</v>
      </c>
      <c r="L640" s="9">
        <v>10702.69</v>
      </c>
      <c r="M640" s="9">
        <v>10702.69</v>
      </c>
      <c r="N640" s="9">
        <v>5.89</v>
      </c>
      <c r="O640" s="10">
        <f>IF(AND(OR(H640="APPROVED",H640="SCHEDULED"),COUNTIFS(tblSource[EventID],F640,tblSource[ReleaseStatus],"APPROVED")=1,COUNTIFS(Period_Status!$A$2:$A$8,G640,Period_Status!$B$2:$B$8,"ActualClosed")=1,C640&gt;EOMONTH(Settlement_Bridge!$C$2,0)),1,0)</f>
        <v>1</v>
      </c>
      <c r="P640" s="2" t="s">
        <v>1898</v>
      </c>
    </row>
    <row r="641" spans="1:16" x14ac:dyDescent="0.25">
      <c r="A641" s="2" t="s">
        <v>1899</v>
      </c>
      <c r="B641" s="2" t="s">
        <v>136</v>
      </c>
      <c r="C641" s="8">
        <v>46241</v>
      </c>
      <c r="D641" s="6">
        <v>46235</v>
      </c>
      <c r="E641" s="2" t="s">
        <v>260</v>
      </c>
      <c r="F641" s="2" t="s">
        <v>1900</v>
      </c>
      <c r="G641" s="6">
        <v>46204</v>
      </c>
      <c r="H641" s="2" t="s">
        <v>71</v>
      </c>
      <c r="I641" s="2" t="s">
        <v>76</v>
      </c>
      <c r="J641" s="9">
        <v>70165806.451612994</v>
      </c>
      <c r="K641" s="7">
        <v>6.1500000000000004E-5</v>
      </c>
      <c r="L641" s="9">
        <v>4315.2</v>
      </c>
      <c r="M641" s="9">
        <v>4350.28</v>
      </c>
      <c r="N641" s="9">
        <v>2.37</v>
      </c>
      <c r="O641" s="10">
        <f>IF(AND(OR(H641="APPROVED",H641="SCHEDULED"),COUNTIFS(tblSource[EventID],F641,tblSource[ReleaseStatus],"APPROVED")=1,COUNTIFS(Period_Status!$A$2:$A$8,G641,Period_Status!$B$2:$B$8,"ActualClosed")=1,C641&gt;EOMONTH(Settlement_Bridge!$C$2,0)),1,0)</f>
        <v>1</v>
      </c>
      <c r="P641" s="2" t="s">
        <v>1901</v>
      </c>
    </row>
    <row r="642" spans="1:16" x14ac:dyDescent="0.25">
      <c r="A642" s="2" t="s">
        <v>1902</v>
      </c>
      <c r="B642" s="2" t="s">
        <v>136</v>
      </c>
      <c r="C642" s="8">
        <v>46266</v>
      </c>
      <c r="D642" s="6">
        <v>46266</v>
      </c>
      <c r="E642" s="2" t="s">
        <v>260</v>
      </c>
      <c r="F642" s="2" t="s">
        <v>1900</v>
      </c>
      <c r="G642" s="6">
        <v>46204</v>
      </c>
      <c r="H642" s="2" t="s">
        <v>176</v>
      </c>
      <c r="I642" s="2" t="s">
        <v>76</v>
      </c>
      <c r="J642" s="9">
        <v>105248709.67741901</v>
      </c>
      <c r="K642" s="7">
        <v>6.1299999999999999E-5</v>
      </c>
      <c r="L642" s="9">
        <v>6451.75</v>
      </c>
      <c r="M642" s="9">
        <v>6525.42</v>
      </c>
      <c r="N642" s="9">
        <v>3.55</v>
      </c>
      <c r="O642" s="10">
        <f>IF(AND(OR(H642="APPROVED",H642="SCHEDULED"),COUNTIFS(tblSource[EventID],F642,tblSource[ReleaseStatus],"APPROVED")=1,COUNTIFS(Period_Status!$A$2:$A$8,G642,Period_Status!$B$2:$B$8,"ActualClosed")=1,C642&gt;EOMONTH(Settlement_Bridge!$C$2,0)),1,0)</f>
        <v>1</v>
      </c>
      <c r="P642" s="2" t="s">
        <v>1903</v>
      </c>
    </row>
    <row r="643" spans="1:16" x14ac:dyDescent="0.25">
      <c r="A643" s="2" t="s">
        <v>1904</v>
      </c>
      <c r="B643" s="2" t="s">
        <v>136</v>
      </c>
      <c r="C643" s="8">
        <v>46252</v>
      </c>
      <c r="D643" s="6">
        <v>46235</v>
      </c>
      <c r="E643" s="2" t="s">
        <v>260</v>
      </c>
      <c r="F643" s="2" t="s">
        <v>1905</v>
      </c>
      <c r="G643" s="6">
        <v>46204</v>
      </c>
      <c r="H643" s="2" t="s">
        <v>71</v>
      </c>
      <c r="I643" s="2" t="s">
        <v>70</v>
      </c>
      <c r="J643" s="9">
        <v>16791.352584</v>
      </c>
      <c r="K643" s="7">
        <v>0.65</v>
      </c>
      <c r="L643" s="9">
        <v>10914.38</v>
      </c>
      <c r="M643" s="9">
        <v>11048.71</v>
      </c>
      <c r="N643" s="9">
        <v>6</v>
      </c>
      <c r="O643" s="10">
        <f>IF(AND(OR(H643="APPROVED",H643="SCHEDULED"),COUNTIFS(tblSource[EventID],F643,tblSource[ReleaseStatus],"APPROVED")=1,COUNTIFS(Period_Status!$A$2:$A$8,G643,Period_Status!$B$2:$B$8,"ActualClosed")=1,C643&gt;EOMONTH(Settlement_Bridge!$C$2,0)),1,0)</f>
        <v>1</v>
      </c>
      <c r="P643" s="2" t="s">
        <v>1906</v>
      </c>
    </row>
    <row r="644" spans="1:16" x14ac:dyDescent="0.25">
      <c r="A644" s="2" t="s">
        <v>1907</v>
      </c>
      <c r="B644" s="2" t="s">
        <v>136</v>
      </c>
      <c r="C644" s="8">
        <v>46253</v>
      </c>
      <c r="D644" s="6">
        <v>46235</v>
      </c>
      <c r="E644" s="2" t="s">
        <v>260</v>
      </c>
      <c r="F644" s="2" t="s">
        <v>1908</v>
      </c>
      <c r="G644" s="6">
        <v>46204</v>
      </c>
      <c r="H644" s="2" t="s">
        <v>71</v>
      </c>
      <c r="I644" s="2" t="s">
        <v>39</v>
      </c>
      <c r="J644" s="9">
        <v>11221.72</v>
      </c>
      <c r="K644" s="7">
        <v>1</v>
      </c>
      <c r="L644" s="9">
        <v>11221.72</v>
      </c>
      <c r="M644" s="9">
        <v>11221.72</v>
      </c>
      <c r="N644" s="9">
        <v>6.17</v>
      </c>
      <c r="O644" s="10">
        <f>IF(AND(OR(H644="APPROVED",H644="SCHEDULED"),COUNTIFS(tblSource[EventID],F644,tblSource[ReleaseStatus],"APPROVED")=1,COUNTIFS(Period_Status!$A$2:$A$8,G644,Period_Status!$B$2:$B$8,"ActualClosed")=1,C644&gt;EOMONTH(Settlement_Bridge!$C$2,0)),1,0)</f>
        <v>1</v>
      </c>
      <c r="P644" s="2" t="s">
        <v>1909</v>
      </c>
    </row>
    <row r="645" spans="1:16" x14ac:dyDescent="0.25">
      <c r="A645" s="2" t="s">
        <v>1910</v>
      </c>
      <c r="B645" s="2" t="s">
        <v>136</v>
      </c>
      <c r="C645" s="8">
        <v>46254</v>
      </c>
      <c r="D645" s="6">
        <v>46235</v>
      </c>
      <c r="E645" s="2" t="s">
        <v>260</v>
      </c>
      <c r="F645" s="2" t="s">
        <v>1911</v>
      </c>
      <c r="G645" s="6">
        <v>46204</v>
      </c>
      <c r="H645" s="2" t="s">
        <v>71</v>
      </c>
      <c r="I645" s="2" t="s">
        <v>76</v>
      </c>
      <c r="J645" s="9">
        <v>183785967.74193501</v>
      </c>
      <c r="K645" s="7">
        <v>6.1500000000000004E-5</v>
      </c>
      <c r="L645" s="9">
        <v>11302.84</v>
      </c>
      <c r="M645" s="9">
        <v>11394.73</v>
      </c>
      <c r="N645" s="9">
        <v>6.22</v>
      </c>
      <c r="O645" s="10">
        <f>IF(AND(OR(H645="APPROVED",H645="SCHEDULED"),COUNTIFS(tblSource[EventID],F645,tblSource[ReleaseStatus],"APPROVED")=1,COUNTIFS(Period_Status!$A$2:$A$8,G645,Period_Status!$B$2:$B$8,"ActualClosed")=1,C645&gt;EOMONTH(Settlement_Bridge!$C$2,0)),1,0)</f>
        <v>1</v>
      </c>
      <c r="P645" s="2" t="s">
        <v>1912</v>
      </c>
    </row>
    <row r="646" spans="1:16" x14ac:dyDescent="0.25">
      <c r="A646" s="2" t="s">
        <v>1913</v>
      </c>
      <c r="B646" s="2" t="s">
        <v>136</v>
      </c>
      <c r="C646" s="8">
        <v>46255</v>
      </c>
      <c r="D646" s="6">
        <v>46235</v>
      </c>
      <c r="E646" s="2" t="s">
        <v>260</v>
      </c>
      <c r="F646" s="2" t="s">
        <v>1914</v>
      </c>
      <c r="G646" s="6">
        <v>46204</v>
      </c>
      <c r="H646" s="2" t="s">
        <v>71</v>
      </c>
      <c r="I646" s="2" t="s">
        <v>70</v>
      </c>
      <c r="J646" s="9">
        <v>17580.151976000001</v>
      </c>
      <c r="K646" s="7">
        <v>0.65</v>
      </c>
      <c r="L646" s="9">
        <v>11427.1</v>
      </c>
      <c r="M646" s="9">
        <v>11567.74</v>
      </c>
      <c r="N646" s="9">
        <v>6.28</v>
      </c>
      <c r="O646" s="10">
        <f>IF(AND(OR(H646="APPROVED",H646="SCHEDULED"),COUNTIFS(tblSource[EventID],F646,tblSource[ReleaseStatus],"APPROVED")=1,COUNTIFS(Period_Status!$A$2:$A$8,G646,Period_Status!$B$2:$B$8,"ActualClosed")=1,C646&gt;EOMONTH(Settlement_Bridge!$C$2,0)),1,0)</f>
        <v>1</v>
      </c>
      <c r="P646" s="2" t="s">
        <v>1915</v>
      </c>
    </row>
    <row r="647" spans="1:16" x14ac:dyDescent="0.25">
      <c r="A647" s="2" t="s">
        <v>1916</v>
      </c>
      <c r="B647" s="2" t="s">
        <v>136</v>
      </c>
      <c r="C647" s="8">
        <v>46256</v>
      </c>
      <c r="D647" s="6">
        <v>46235</v>
      </c>
      <c r="E647" s="2" t="s">
        <v>260</v>
      </c>
      <c r="F647" s="2" t="s">
        <v>1917</v>
      </c>
      <c r="G647" s="6">
        <v>46204</v>
      </c>
      <c r="H647" s="2" t="s">
        <v>71</v>
      </c>
      <c r="I647" s="2" t="s">
        <v>39</v>
      </c>
      <c r="J647" s="9">
        <v>11740.75</v>
      </c>
      <c r="K647" s="7">
        <v>1</v>
      </c>
      <c r="L647" s="9">
        <v>11740.75</v>
      </c>
      <c r="M647" s="9">
        <v>11740.75</v>
      </c>
      <c r="N647" s="9">
        <v>6.46</v>
      </c>
      <c r="O647" s="10">
        <f>IF(AND(OR(H647="APPROVED",H647="SCHEDULED"),COUNTIFS(tblSource[EventID],F647,tblSource[ReleaseStatus],"APPROVED")=1,COUNTIFS(Period_Status!$A$2:$A$8,G647,Period_Status!$B$2:$B$8,"ActualClosed")=1,C647&gt;EOMONTH(Settlement_Bridge!$C$2,0)),1,0)</f>
        <v>1</v>
      </c>
      <c r="P647" s="2" t="s">
        <v>1918</v>
      </c>
    </row>
    <row r="648" spans="1:16" x14ac:dyDescent="0.25">
      <c r="A648" s="2" t="s">
        <v>1919</v>
      </c>
      <c r="B648" s="2" t="s">
        <v>136</v>
      </c>
      <c r="C648" s="8">
        <v>46247</v>
      </c>
      <c r="D648" s="6">
        <v>46235</v>
      </c>
      <c r="E648" s="2" t="s">
        <v>260</v>
      </c>
      <c r="F648" s="2" t="s">
        <v>1920</v>
      </c>
      <c r="G648" s="6">
        <v>46204</v>
      </c>
      <c r="H648" s="2" t="s">
        <v>71</v>
      </c>
      <c r="I648" s="2" t="s">
        <v>76</v>
      </c>
      <c r="J648" s="9">
        <v>76862967.741935998</v>
      </c>
      <c r="K648" s="7">
        <v>6.1500000000000004E-5</v>
      </c>
      <c r="L648" s="9">
        <v>4727.07</v>
      </c>
      <c r="M648" s="9">
        <v>4765.5</v>
      </c>
      <c r="N648" s="9">
        <v>2.6</v>
      </c>
      <c r="O648" s="10">
        <f>IF(AND(OR(H648="APPROVED",H648="SCHEDULED"),COUNTIFS(tblSource[EventID],F648,tblSource[ReleaseStatus],"APPROVED")=1,COUNTIFS(Period_Status!$A$2:$A$8,G648,Period_Status!$B$2:$B$8,"ActualClosed")=1,C648&gt;EOMONTH(Settlement_Bridge!$C$2,0)),1,0)</f>
        <v>1</v>
      </c>
      <c r="P648" s="2" t="s">
        <v>1921</v>
      </c>
    </row>
    <row r="649" spans="1:16" x14ac:dyDescent="0.25">
      <c r="A649" s="2" t="s">
        <v>1922</v>
      </c>
      <c r="B649" s="2" t="s">
        <v>136</v>
      </c>
      <c r="C649" s="8">
        <v>46272</v>
      </c>
      <c r="D649" s="6">
        <v>46266</v>
      </c>
      <c r="E649" s="2" t="s">
        <v>260</v>
      </c>
      <c r="F649" s="2" t="s">
        <v>1920</v>
      </c>
      <c r="G649" s="6">
        <v>46204</v>
      </c>
      <c r="H649" s="2" t="s">
        <v>176</v>
      </c>
      <c r="I649" s="2" t="s">
        <v>76</v>
      </c>
      <c r="J649" s="9">
        <v>115294451.612903</v>
      </c>
      <c r="K649" s="7">
        <v>6.1299999999999999E-5</v>
      </c>
      <c r="L649" s="9">
        <v>7067.55</v>
      </c>
      <c r="M649" s="9">
        <v>7148.26</v>
      </c>
      <c r="N649" s="9">
        <v>3.89</v>
      </c>
      <c r="O649" s="10">
        <f>IF(AND(OR(H649="APPROVED",H649="SCHEDULED"),COUNTIFS(tblSource[EventID],F649,tblSource[ReleaseStatus],"APPROVED")=1,COUNTIFS(Period_Status!$A$2:$A$8,G649,Period_Status!$B$2:$B$8,"ActualClosed")=1,C649&gt;EOMONTH(Settlement_Bridge!$C$2,0)),1,0)</f>
        <v>1</v>
      </c>
      <c r="P649" s="2" t="s">
        <v>1923</v>
      </c>
    </row>
    <row r="650" spans="1:16" x14ac:dyDescent="0.25">
      <c r="A650" s="2" t="s">
        <v>1924</v>
      </c>
      <c r="B650" s="2" t="s">
        <v>136</v>
      </c>
      <c r="C650" s="8">
        <v>46248</v>
      </c>
      <c r="D650" s="6">
        <v>46235</v>
      </c>
      <c r="E650" s="2" t="s">
        <v>260</v>
      </c>
      <c r="F650" s="2" t="s">
        <v>1925</v>
      </c>
      <c r="G650" s="6">
        <v>46204</v>
      </c>
      <c r="H650" s="2" t="s">
        <v>71</v>
      </c>
      <c r="I650" s="2" t="s">
        <v>70</v>
      </c>
      <c r="J650" s="9">
        <v>7347.5805469999996</v>
      </c>
      <c r="K650" s="7">
        <v>0.65</v>
      </c>
      <c r="L650" s="9">
        <v>4775.93</v>
      </c>
      <c r="M650" s="9">
        <v>4834.71</v>
      </c>
      <c r="N650" s="9">
        <v>2.63</v>
      </c>
      <c r="O650" s="10">
        <f>IF(AND(OR(H650="APPROVED",H650="SCHEDULED"),COUNTIFS(tblSource[EventID],F650,tblSource[ReleaseStatus],"APPROVED")=1,COUNTIFS(Period_Status!$A$2:$A$8,G650,Period_Status!$B$2:$B$8,"ActualClosed")=1,C650&gt;EOMONTH(Settlement_Bridge!$C$2,0)),1,0)</f>
        <v>1</v>
      </c>
      <c r="P650" s="2" t="s">
        <v>1926</v>
      </c>
    </row>
    <row r="651" spans="1:16" x14ac:dyDescent="0.25">
      <c r="A651" s="2" t="s">
        <v>1927</v>
      </c>
      <c r="B651" s="2" t="s">
        <v>136</v>
      </c>
      <c r="C651" s="8">
        <v>46273</v>
      </c>
      <c r="D651" s="6">
        <v>46266</v>
      </c>
      <c r="E651" s="2" t="s">
        <v>260</v>
      </c>
      <c r="F651" s="2" t="s">
        <v>1925</v>
      </c>
      <c r="G651" s="6">
        <v>46204</v>
      </c>
      <c r="H651" s="2" t="s">
        <v>176</v>
      </c>
      <c r="I651" s="2" t="s">
        <v>70</v>
      </c>
      <c r="J651" s="9">
        <v>11021.370821</v>
      </c>
      <c r="K651" s="7">
        <v>0.65100000000000002</v>
      </c>
      <c r="L651" s="9">
        <v>7174.91</v>
      </c>
      <c r="M651" s="9">
        <v>7252.06</v>
      </c>
      <c r="N651" s="9">
        <v>3.95</v>
      </c>
      <c r="O651" s="10">
        <f>IF(AND(OR(H651="APPROVED",H651="SCHEDULED"),COUNTIFS(tblSource[EventID],F651,tblSource[ReleaseStatus],"APPROVED")=1,COUNTIFS(Period_Status!$A$2:$A$8,G651,Period_Status!$B$2:$B$8,"ActualClosed")=1,C651&gt;EOMONTH(Settlement_Bridge!$C$2,0)),1,0)</f>
        <v>1</v>
      </c>
      <c r="P651" s="2" t="s">
        <v>1928</v>
      </c>
    </row>
    <row r="652" spans="1:16" x14ac:dyDescent="0.25">
      <c r="A652" s="2" t="s">
        <v>1929</v>
      </c>
      <c r="B652" s="2" t="s">
        <v>136</v>
      </c>
      <c r="C652" s="8">
        <v>46228</v>
      </c>
      <c r="D652" s="6">
        <v>46204</v>
      </c>
      <c r="E652" s="2" t="s">
        <v>260</v>
      </c>
      <c r="F652" s="2" t="s">
        <v>1930</v>
      </c>
      <c r="G652" s="6">
        <v>46204</v>
      </c>
      <c r="H652" s="2" t="s">
        <v>71</v>
      </c>
      <c r="I652" s="2" t="s">
        <v>39</v>
      </c>
      <c r="J652" s="9">
        <v>12259.78</v>
      </c>
      <c r="K652" s="7">
        <v>1</v>
      </c>
      <c r="L652" s="9">
        <v>12259.78</v>
      </c>
      <c r="M652" s="9">
        <v>12259.78</v>
      </c>
      <c r="N652" s="9">
        <v>6.74</v>
      </c>
      <c r="O652" s="10">
        <f>IF(AND(OR(H652="APPROVED",H652="SCHEDULED"),COUNTIFS(tblSource[EventID],F652,tblSource[ReleaseStatus],"APPROVED")=1,COUNTIFS(Period_Status!$A$2:$A$8,G652,Period_Status!$B$2:$B$8,"ActualClosed")=1,C652&gt;EOMONTH(Settlement_Bridge!$C$2,0)),1,0)</f>
        <v>0</v>
      </c>
      <c r="P652" s="2" t="s">
        <v>1931</v>
      </c>
    </row>
    <row r="653" spans="1:16" x14ac:dyDescent="0.25">
      <c r="A653" s="2" t="s">
        <v>1932</v>
      </c>
      <c r="B653" s="2" t="s">
        <v>136</v>
      </c>
      <c r="C653" s="8">
        <v>46229</v>
      </c>
      <c r="D653" s="6">
        <v>46204</v>
      </c>
      <c r="E653" s="2" t="s">
        <v>260</v>
      </c>
      <c r="F653" s="2" t="s">
        <v>1933</v>
      </c>
      <c r="G653" s="6">
        <v>46204</v>
      </c>
      <c r="H653" s="2" t="s">
        <v>71</v>
      </c>
      <c r="I653" s="2" t="s">
        <v>76</v>
      </c>
      <c r="J653" s="9">
        <v>200528870.967742</v>
      </c>
      <c r="K653" s="7">
        <v>6.2000000000000003E-5</v>
      </c>
      <c r="L653" s="9">
        <v>12432.79</v>
      </c>
      <c r="M653" s="9">
        <v>12432.79</v>
      </c>
      <c r="N653" s="9">
        <v>6.84</v>
      </c>
      <c r="O653" s="10">
        <f>IF(AND(OR(H653="APPROVED",H653="SCHEDULED"),COUNTIFS(tblSource[EventID],F653,tblSource[ReleaseStatus],"APPROVED")=1,COUNTIFS(Period_Status!$A$2:$A$8,G653,Period_Status!$B$2:$B$8,"ActualClosed")=1,C653&gt;EOMONTH(Settlement_Bridge!$C$2,0)),1,0)</f>
        <v>0</v>
      </c>
      <c r="P653" s="2" t="s">
        <v>1934</v>
      </c>
    </row>
    <row r="654" spans="1:16" x14ac:dyDescent="0.25">
      <c r="A654" s="2" t="s">
        <v>1935</v>
      </c>
      <c r="B654" s="2" t="s">
        <v>136</v>
      </c>
      <c r="C654" s="8">
        <v>46220</v>
      </c>
      <c r="D654" s="6">
        <v>46204</v>
      </c>
      <c r="E654" s="2" t="s">
        <v>260</v>
      </c>
      <c r="F654" s="2" t="s">
        <v>1936</v>
      </c>
      <c r="G654" s="6">
        <v>46204</v>
      </c>
      <c r="H654" s="2" t="s">
        <v>71</v>
      </c>
      <c r="I654" s="2" t="s">
        <v>70</v>
      </c>
      <c r="J654" s="9">
        <v>7663.1003039999996</v>
      </c>
      <c r="K654" s="7">
        <v>0.65800000000000003</v>
      </c>
      <c r="L654" s="9">
        <v>5042.32</v>
      </c>
      <c r="M654" s="9">
        <v>5042.32</v>
      </c>
      <c r="N654" s="9">
        <v>2.77</v>
      </c>
      <c r="O654" s="10">
        <f>IF(AND(OR(H654="APPROVED",H654="SCHEDULED"),COUNTIFS(tblSource[EventID],F654,tblSource[ReleaseStatus],"APPROVED")=1,COUNTIFS(Period_Status!$A$2:$A$8,G654,Period_Status!$B$2:$B$8,"ActualClosed")=1,C654&gt;EOMONTH(Settlement_Bridge!$C$2,0)),1,0)</f>
        <v>0</v>
      </c>
      <c r="P654" s="2" t="s">
        <v>1937</v>
      </c>
    </row>
    <row r="655" spans="1:16" x14ac:dyDescent="0.25">
      <c r="A655" s="2" t="s">
        <v>1938</v>
      </c>
      <c r="B655" s="2" t="s">
        <v>136</v>
      </c>
      <c r="C655" s="8">
        <v>46245</v>
      </c>
      <c r="D655" s="6">
        <v>46235</v>
      </c>
      <c r="E655" s="2" t="s">
        <v>260</v>
      </c>
      <c r="F655" s="2" t="s">
        <v>1936</v>
      </c>
      <c r="G655" s="6">
        <v>46204</v>
      </c>
      <c r="H655" s="2" t="s">
        <v>71</v>
      </c>
      <c r="I655" s="2" t="s">
        <v>70</v>
      </c>
      <c r="J655" s="9">
        <v>11494.650455999999</v>
      </c>
      <c r="K655" s="7">
        <v>0.65</v>
      </c>
      <c r="L655" s="9">
        <v>7471.52</v>
      </c>
      <c r="M655" s="9">
        <v>7563.48</v>
      </c>
      <c r="N655" s="9">
        <v>4.1100000000000003</v>
      </c>
      <c r="O655" s="10">
        <f>IF(AND(OR(H655="APPROVED",H655="SCHEDULED"),COUNTIFS(tblSource[EventID],F655,tblSource[ReleaseStatus],"APPROVED")=1,COUNTIFS(Period_Status!$A$2:$A$8,G655,Period_Status!$B$2:$B$8,"ActualClosed")=1,C655&gt;EOMONTH(Settlement_Bridge!$C$2,0)),1,0)</f>
        <v>1</v>
      </c>
      <c r="P655" s="2" t="s">
        <v>1939</v>
      </c>
    </row>
    <row r="656" spans="1:16" x14ac:dyDescent="0.25">
      <c r="A656" s="2" t="s">
        <v>1940</v>
      </c>
      <c r="B656" s="2" t="s">
        <v>136</v>
      </c>
      <c r="C656" s="8">
        <v>46231</v>
      </c>
      <c r="D656" s="6">
        <v>46204</v>
      </c>
      <c r="E656" s="2" t="s">
        <v>260</v>
      </c>
      <c r="F656" s="2" t="s">
        <v>1941</v>
      </c>
      <c r="G656" s="6">
        <v>46204</v>
      </c>
      <c r="H656" s="2" t="s">
        <v>71</v>
      </c>
      <c r="I656" s="2" t="s">
        <v>39</v>
      </c>
      <c r="J656" s="9">
        <v>12778.81</v>
      </c>
      <c r="K656" s="7">
        <v>1</v>
      </c>
      <c r="L656" s="9">
        <v>12778.81</v>
      </c>
      <c r="M656" s="9">
        <v>12778.81</v>
      </c>
      <c r="N656" s="9">
        <v>7.03</v>
      </c>
      <c r="O656" s="10">
        <f>IF(AND(OR(H656="APPROVED",H656="SCHEDULED"),COUNTIFS(tblSource[EventID],F656,tblSource[ReleaseStatus],"APPROVED")=1,COUNTIFS(Period_Status!$A$2:$A$8,G656,Period_Status!$B$2:$B$8,"ActualClosed")=1,C656&gt;EOMONTH(Settlement_Bridge!$C$2,0)),1,0)</f>
        <v>0</v>
      </c>
      <c r="P656" s="2" t="s">
        <v>1942</v>
      </c>
    </row>
    <row r="657" spans="1:16" x14ac:dyDescent="0.25">
      <c r="A657" s="2" t="s">
        <v>1943</v>
      </c>
      <c r="B657" s="2" t="s">
        <v>136</v>
      </c>
      <c r="C657" s="8">
        <v>46232</v>
      </c>
      <c r="D657" s="6">
        <v>46204</v>
      </c>
      <c r="E657" s="2" t="s">
        <v>260</v>
      </c>
      <c r="F657" s="2" t="s">
        <v>1944</v>
      </c>
      <c r="G657" s="6">
        <v>46204</v>
      </c>
      <c r="H657" s="2" t="s">
        <v>71</v>
      </c>
      <c r="I657" s="2" t="s">
        <v>76</v>
      </c>
      <c r="J657" s="9">
        <v>208900322.58064499</v>
      </c>
      <c r="K657" s="7">
        <v>6.2000000000000003E-5</v>
      </c>
      <c r="L657" s="9">
        <v>12951.82</v>
      </c>
      <c r="M657" s="9">
        <v>12951.82</v>
      </c>
      <c r="N657" s="9">
        <v>7.12</v>
      </c>
      <c r="O657" s="10">
        <f>IF(AND(OR(H657="APPROVED",H657="SCHEDULED"),COUNTIFS(tblSource[EventID],F657,tblSource[ReleaseStatus],"APPROVED")=1,COUNTIFS(Period_Status!$A$2:$A$8,G657,Period_Status!$B$2:$B$8,"ActualClosed")=1,C657&gt;EOMONTH(Settlement_Bridge!$C$2,0)),1,0)</f>
        <v>0</v>
      </c>
      <c r="P657" s="2" t="s">
        <v>1945</v>
      </c>
    </row>
    <row r="658" spans="1:16" x14ac:dyDescent="0.25">
      <c r="A658" s="2" t="s">
        <v>1946</v>
      </c>
      <c r="B658" s="2" t="s">
        <v>136</v>
      </c>
      <c r="C658" s="8">
        <v>46233</v>
      </c>
      <c r="D658" s="6">
        <v>46204</v>
      </c>
      <c r="E658" s="2" t="s">
        <v>260</v>
      </c>
      <c r="F658" s="2" t="s">
        <v>1947</v>
      </c>
      <c r="G658" s="6">
        <v>46204</v>
      </c>
      <c r="H658" s="2" t="s">
        <v>71</v>
      </c>
      <c r="I658" s="2" t="s">
        <v>70</v>
      </c>
      <c r="J658" s="9">
        <v>19946.550152</v>
      </c>
      <c r="K658" s="7">
        <v>0.65800000000000003</v>
      </c>
      <c r="L658" s="9">
        <v>13124.83</v>
      </c>
      <c r="M658" s="9">
        <v>13124.83</v>
      </c>
      <c r="N658" s="9">
        <v>7.22</v>
      </c>
      <c r="O658" s="10">
        <f>IF(AND(OR(H658="APPROVED",H658="SCHEDULED"),COUNTIFS(tblSource[EventID],F658,tblSource[ReleaseStatus],"APPROVED")=1,COUNTIFS(Period_Status!$A$2:$A$8,G658,Period_Status!$B$2:$B$8,"ActualClosed")=1,C658&gt;EOMONTH(Settlement_Bridge!$C$2,0)),1,0)</f>
        <v>0</v>
      </c>
      <c r="P658" s="2" t="s">
        <v>1948</v>
      </c>
    </row>
    <row r="659" spans="1:16" x14ac:dyDescent="0.25">
      <c r="A659" s="2" t="s">
        <v>1949</v>
      </c>
      <c r="B659" s="2" t="s">
        <v>136</v>
      </c>
      <c r="C659" s="8">
        <v>46234</v>
      </c>
      <c r="D659" s="6">
        <v>46204</v>
      </c>
      <c r="E659" s="2" t="s">
        <v>260</v>
      </c>
      <c r="F659" s="2" t="s">
        <v>1950</v>
      </c>
      <c r="G659" s="6">
        <v>46204</v>
      </c>
      <c r="H659" s="2" t="s">
        <v>71</v>
      </c>
      <c r="I659" s="2" t="s">
        <v>39</v>
      </c>
      <c r="J659" s="9">
        <v>13297.84</v>
      </c>
      <c r="K659" s="7">
        <v>1</v>
      </c>
      <c r="L659" s="9">
        <v>13297.84</v>
      </c>
      <c r="M659" s="9">
        <v>13297.84</v>
      </c>
      <c r="N659" s="9">
        <v>7.31</v>
      </c>
      <c r="O659" s="10">
        <f>IF(AND(OR(H659="APPROVED",H659="SCHEDULED"),COUNTIFS(tblSource[EventID],F659,tblSource[ReleaseStatus],"APPROVED")=1,COUNTIFS(Period_Status!$A$2:$A$8,G659,Period_Status!$B$2:$B$8,"ActualClosed")=1,C659&gt;EOMONTH(Settlement_Bridge!$C$2,0)),1,0)</f>
        <v>0</v>
      </c>
      <c r="P659" s="2" t="s">
        <v>1951</v>
      </c>
    </row>
    <row r="660" spans="1:16" x14ac:dyDescent="0.25">
      <c r="A660" s="2" t="s">
        <v>1952</v>
      </c>
      <c r="B660" s="2" t="s">
        <v>136</v>
      </c>
      <c r="C660" s="8">
        <v>46235</v>
      </c>
      <c r="D660" s="6">
        <v>46235</v>
      </c>
      <c r="E660" s="2" t="s">
        <v>260</v>
      </c>
      <c r="F660" s="2" t="s">
        <v>1953</v>
      </c>
      <c r="G660" s="6">
        <v>46204</v>
      </c>
      <c r="H660" s="2" t="s">
        <v>71</v>
      </c>
      <c r="I660" s="2" t="s">
        <v>76</v>
      </c>
      <c r="J660" s="9">
        <v>217271774.19354799</v>
      </c>
      <c r="K660" s="7">
        <v>6.1500000000000004E-5</v>
      </c>
      <c r="L660" s="9">
        <v>13362.21</v>
      </c>
      <c r="M660" s="9">
        <v>13470.85</v>
      </c>
      <c r="N660" s="9">
        <v>7.35</v>
      </c>
      <c r="O660" s="10">
        <f>IF(AND(OR(H660="APPROVED",H660="SCHEDULED"),COUNTIFS(tblSource[EventID],F660,tblSource[ReleaseStatus],"APPROVED")=1,COUNTIFS(Period_Status!$A$2:$A$8,G660,Period_Status!$B$2:$B$8,"ActualClosed")=1,C660&gt;EOMONTH(Settlement_Bridge!$C$2,0)),1,0)</f>
        <v>1</v>
      </c>
      <c r="P660" s="2" t="s">
        <v>1954</v>
      </c>
    </row>
    <row r="661" spans="1:16" x14ac:dyDescent="0.25">
      <c r="A661" s="2" t="s">
        <v>1955</v>
      </c>
      <c r="B661" s="2" t="s">
        <v>136</v>
      </c>
      <c r="C661" s="8">
        <v>46226</v>
      </c>
      <c r="D661" s="6">
        <v>46204</v>
      </c>
      <c r="E661" s="2" t="s">
        <v>260</v>
      </c>
      <c r="F661" s="2" t="s">
        <v>1956</v>
      </c>
      <c r="G661" s="6">
        <v>46204</v>
      </c>
      <c r="H661" s="2" t="s">
        <v>71</v>
      </c>
      <c r="I661" s="2" t="s">
        <v>70</v>
      </c>
      <c r="J661" s="9">
        <v>8294.1398179999997</v>
      </c>
      <c r="K661" s="7">
        <v>0.65800000000000003</v>
      </c>
      <c r="L661" s="9">
        <v>5457.54</v>
      </c>
      <c r="M661" s="9">
        <v>5457.54</v>
      </c>
      <c r="N661" s="9">
        <v>3</v>
      </c>
      <c r="O661" s="10">
        <f>IF(AND(OR(H661="APPROVED",H661="SCHEDULED"),COUNTIFS(tblSource[EventID],F661,tblSource[ReleaseStatus],"APPROVED")=1,COUNTIFS(Period_Status!$A$2:$A$8,G661,Period_Status!$B$2:$B$8,"ActualClosed")=1,C661&gt;EOMONTH(Settlement_Bridge!$C$2,0)),1,0)</f>
        <v>0</v>
      </c>
      <c r="P661" s="2" t="s">
        <v>1957</v>
      </c>
    </row>
    <row r="662" spans="1:16" x14ac:dyDescent="0.25">
      <c r="A662" s="2" t="s">
        <v>1958</v>
      </c>
      <c r="B662" s="2" t="s">
        <v>136</v>
      </c>
      <c r="C662" s="8">
        <v>46251</v>
      </c>
      <c r="D662" s="6">
        <v>46235</v>
      </c>
      <c r="E662" s="2" t="s">
        <v>260</v>
      </c>
      <c r="F662" s="2" t="s">
        <v>1956</v>
      </c>
      <c r="G662" s="6">
        <v>46204</v>
      </c>
      <c r="H662" s="2" t="s">
        <v>71</v>
      </c>
      <c r="I662" s="2" t="s">
        <v>70</v>
      </c>
      <c r="J662" s="9">
        <v>12441.209725999999</v>
      </c>
      <c r="K662" s="7">
        <v>0.65</v>
      </c>
      <c r="L662" s="9">
        <v>8086.79</v>
      </c>
      <c r="M662" s="9">
        <v>8186.32</v>
      </c>
      <c r="N662" s="9">
        <v>4.45</v>
      </c>
      <c r="O662" s="10">
        <f>IF(AND(OR(H662="APPROVED",H662="SCHEDULED"),COUNTIFS(tblSource[EventID],F662,tblSource[ReleaseStatus],"APPROVED")=1,COUNTIFS(Period_Status!$A$2:$A$8,G662,Period_Status!$B$2:$B$8,"ActualClosed")=1,C662&gt;EOMONTH(Settlement_Bridge!$C$2,0)),1,0)</f>
        <v>1</v>
      </c>
      <c r="P662" s="2" t="s">
        <v>1959</v>
      </c>
    </row>
    <row r="663" spans="1:16" x14ac:dyDescent="0.25">
      <c r="A663" s="2" t="s">
        <v>1960</v>
      </c>
      <c r="B663" s="2" t="s">
        <v>136</v>
      </c>
      <c r="C663" s="8">
        <v>46227</v>
      </c>
      <c r="D663" s="6">
        <v>46204</v>
      </c>
      <c r="E663" s="2" t="s">
        <v>260</v>
      </c>
      <c r="F663" s="2" t="s">
        <v>1961</v>
      </c>
      <c r="G663" s="6">
        <v>46204</v>
      </c>
      <c r="H663" s="2" t="s">
        <v>71</v>
      </c>
      <c r="I663" s="2" t="s">
        <v>39</v>
      </c>
      <c r="J663" s="9">
        <v>5526.7479999999996</v>
      </c>
      <c r="K663" s="7">
        <v>1</v>
      </c>
      <c r="L663" s="9">
        <v>5526.75</v>
      </c>
      <c r="M663" s="9">
        <v>5526.75</v>
      </c>
      <c r="N663" s="9">
        <v>3.04</v>
      </c>
      <c r="O663" s="10">
        <f>IF(AND(OR(H663="APPROVED",H663="SCHEDULED"),COUNTIFS(tblSource[EventID],F663,tblSource[ReleaseStatus],"APPROVED")=1,COUNTIFS(Period_Status!$A$2:$A$8,G663,Period_Status!$B$2:$B$8,"ActualClosed")=1,C663&gt;EOMONTH(Settlement_Bridge!$C$2,0)),1,0)</f>
        <v>0</v>
      </c>
      <c r="P663" s="2" t="s">
        <v>1962</v>
      </c>
    </row>
    <row r="664" spans="1:16" x14ac:dyDescent="0.25">
      <c r="A664" s="2" t="s">
        <v>1963</v>
      </c>
      <c r="B664" s="2" t="s">
        <v>136</v>
      </c>
      <c r="C664" s="8">
        <v>46252</v>
      </c>
      <c r="D664" s="6">
        <v>46235</v>
      </c>
      <c r="E664" s="2" t="s">
        <v>260</v>
      </c>
      <c r="F664" s="2" t="s">
        <v>1961</v>
      </c>
      <c r="G664" s="6">
        <v>46204</v>
      </c>
      <c r="H664" s="2" t="s">
        <v>71</v>
      </c>
      <c r="I664" s="2" t="s">
        <v>39</v>
      </c>
      <c r="J664" s="9">
        <v>8290.1219999999994</v>
      </c>
      <c r="K664" s="7">
        <v>1</v>
      </c>
      <c r="L664" s="9">
        <v>8290.1200000000008</v>
      </c>
      <c r="M664" s="9">
        <v>8290.1200000000008</v>
      </c>
      <c r="N664" s="9">
        <v>4.5599999999999996</v>
      </c>
      <c r="O664" s="10">
        <f>IF(AND(OR(H664="APPROVED",H664="SCHEDULED"),COUNTIFS(tblSource[EventID],F664,tblSource[ReleaseStatus],"APPROVED")=1,COUNTIFS(Period_Status!$A$2:$A$8,G664,Period_Status!$B$2:$B$8,"ActualClosed")=1,C664&gt;EOMONTH(Settlement_Bridge!$C$2,0)),1,0)</f>
        <v>1</v>
      </c>
      <c r="P664" s="2" t="s">
        <v>1964</v>
      </c>
    </row>
    <row r="665" spans="1:16" x14ac:dyDescent="0.25">
      <c r="A665" s="2" t="s">
        <v>1965</v>
      </c>
      <c r="B665" s="2" t="s">
        <v>136</v>
      </c>
      <c r="C665" s="8">
        <v>46238</v>
      </c>
      <c r="D665" s="6">
        <v>46235</v>
      </c>
      <c r="E665" s="2" t="s">
        <v>260</v>
      </c>
      <c r="F665" s="2" t="s">
        <v>1966</v>
      </c>
      <c r="G665" s="6">
        <v>46204</v>
      </c>
      <c r="H665" s="2" t="s">
        <v>71</v>
      </c>
      <c r="I665" s="2" t="s">
        <v>76</v>
      </c>
      <c r="J665" s="9">
        <v>225643225.80645201</v>
      </c>
      <c r="K665" s="7">
        <v>6.1500000000000004E-5</v>
      </c>
      <c r="L665" s="9">
        <v>13877.06</v>
      </c>
      <c r="M665" s="9">
        <v>13989.88</v>
      </c>
      <c r="N665" s="9">
        <v>7.63</v>
      </c>
      <c r="O665" s="10">
        <f>IF(AND(OR(H665="APPROVED",H665="SCHEDULED"),COUNTIFS(tblSource[EventID],F665,tblSource[ReleaseStatus],"APPROVED")=1,COUNTIFS(Period_Status!$A$2:$A$8,G665,Period_Status!$B$2:$B$8,"ActualClosed")=1,C665&gt;EOMONTH(Settlement_Bridge!$C$2,0)),1,0)</f>
        <v>1</v>
      </c>
      <c r="P665" s="2" t="s">
        <v>1967</v>
      </c>
    </row>
    <row r="666" spans="1:16" x14ac:dyDescent="0.25">
      <c r="A666" s="2" t="s">
        <v>1968</v>
      </c>
      <c r="B666" s="2" t="s">
        <v>136</v>
      </c>
      <c r="C666" s="8">
        <v>46239</v>
      </c>
      <c r="D666" s="6">
        <v>46235</v>
      </c>
      <c r="E666" s="2" t="s">
        <v>260</v>
      </c>
      <c r="F666" s="2" t="s">
        <v>1969</v>
      </c>
      <c r="G666" s="6">
        <v>46204</v>
      </c>
      <c r="H666" s="2" t="s">
        <v>71</v>
      </c>
      <c r="I666" s="2" t="s">
        <v>70</v>
      </c>
      <c r="J666" s="9">
        <v>21524.148936000001</v>
      </c>
      <c r="K666" s="7">
        <v>0.65</v>
      </c>
      <c r="L666" s="9">
        <v>13990.7</v>
      </c>
      <c r="M666" s="9">
        <v>14162.89</v>
      </c>
      <c r="N666" s="9">
        <v>7.69</v>
      </c>
      <c r="O666" s="10">
        <f>IF(AND(OR(H666="APPROVED",H666="SCHEDULED"),COUNTIFS(tblSource[EventID],F666,tblSource[ReleaseStatus],"APPROVED")=1,COUNTIFS(Period_Status!$A$2:$A$8,G666,Period_Status!$B$2:$B$8,"ActualClosed")=1,C666&gt;EOMONTH(Settlement_Bridge!$C$2,0)),1,0)</f>
        <v>1</v>
      </c>
      <c r="P666" s="2" t="s">
        <v>1970</v>
      </c>
    </row>
    <row r="667" spans="1:16" x14ac:dyDescent="0.25">
      <c r="A667" s="2" t="s">
        <v>1971</v>
      </c>
      <c r="B667" s="2" t="s">
        <v>136</v>
      </c>
      <c r="C667" s="8">
        <v>46230</v>
      </c>
      <c r="D667" s="6">
        <v>46204</v>
      </c>
      <c r="E667" s="2" t="s">
        <v>260</v>
      </c>
      <c r="F667" s="2" t="s">
        <v>1972</v>
      </c>
      <c r="G667" s="6">
        <v>46204</v>
      </c>
      <c r="H667" s="2" t="s">
        <v>71</v>
      </c>
      <c r="I667" s="2" t="s">
        <v>39</v>
      </c>
      <c r="J667" s="9">
        <v>5734.36</v>
      </c>
      <c r="K667" s="7">
        <v>1</v>
      </c>
      <c r="L667" s="9">
        <v>5734.36</v>
      </c>
      <c r="M667" s="9">
        <v>5734.36</v>
      </c>
      <c r="N667" s="9">
        <v>3.15</v>
      </c>
      <c r="O667" s="10">
        <f>IF(AND(OR(H667="APPROVED",H667="SCHEDULED"),COUNTIFS(tblSource[EventID],F667,tblSource[ReleaseStatus],"APPROVED")=1,COUNTIFS(Period_Status!$A$2:$A$8,G667,Period_Status!$B$2:$B$8,"ActualClosed")=1,C667&gt;EOMONTH(Settlement_Bridge!$C$2,0)),1,0)</f>
        <v>0</v>
      </c>
      <c r="P667" s="2" t="s">
        <v>1973</v>
      </c>
    </row>
    <row r="668" spans="1:16" x14ac:dyDescent="0.25">
      <c r="A668" s="2" t="s">
        <v>1974</v>
      </c>
      <c r="B668" s="2" t="s">
        <v>136</v>
      </c>
      <c r="C668" s="8">
        <v>46255</v>
      </c>
      <c r="D668" s="6">
        <v>46235</v>
      </c>
      <c r="E668" s="2" t="s">
        <v>260</v>
      </c>
      <c r="F668" s="2" t="s">
        <v>1972</v>
      </c>
      <c r="G668" s="6">
        <v>46204</v>
      </c>
      <c r="H668" s="2" t="s">
        <v>71</v>
      </c>
      <c r="I668" s="2" t="s">
        <v>39</v>
      </c>
      <c r="J668" s="9">
        <v>8601.5400000000009</v>
      </c>
      <c r="K668" s="7">
        <v>1</v>
      </c>
      <c r="L668" s="9">
        <v>8601.5400000000009</v>
      </c>
      <c r="M668" s="9">
        <v>8601.5400000000009</v>
      </c>
      <c r="N668" s="9">
        <v>4.7300000000000004</v>
      </c>
      <c r="O668" s="10">
        <f>IF(AND(OR(H668="APPROVED",H668="SCHEDULED"),COUNTIFS(tblSource[EventID],F668,tblSource[ReleaseStatus],"APPROVED")=1,COUNTIFS(Period_Status!$A$2:$A$8,G668,Period_Status!$B$2:$B$8,"ActualClosed")=1,C668&gt;EOMONTH(Settlement_Bridge!$C$2,0)),1,0)</f>
        <v>1</v>
      </c>
      <c r="P668" s="2" t="s">
        <v>1975</v>
      </c>
    </row>
    <row r="669" spans="1:16" x14ac:dyDescent="0.25">
      <c r="A669" s="2" t="s">
        <v>1976</v>
      </c>
      <c r="B669" s="2" t="s">
        <v>136</v>
      </c>
      <c r="C669" s="8">
        <v>46241</v>
      </c>
      <c r="D669" s="6">
        <v>46235</v>
      </c>
      <c r="E669" s="2" t="s">
        <v>260</v>
      </c>
      <c r="F669" s="2" t="s">
        <v>1977</v>
      </c>
      <c r="G669" s="6">
        <v>46204</v>
      </c>
      <c r="H669" s="2" t="s">
        <v>71</v>
      </c>
      <c r="I669" s="2" t="s">
        <v>76</v>
      </c>
      <c r="J669" s="9">
        <v>234014677.41935501</v>
      </c>
      <c r="K669" s="7">
        <v>6.1500000000000004E-5</v>
      </c>
      <c r="L669" s="9">
        <v>14391.9</v>
      </c>
      <c r="M669" s="9">
        <v>14508.91</v>
      </c>
      <c r="N669" s="9">
        <v>7.92</v>
      </c>
      <c r="O669" s="10">
        <f>IF(AND(OR(H669="APPROVED",H669="SCHEDULED"),COUNTIFS(tblSource[EventID],F669,tblSource[ReleaseStatus],"APPROVED")=1,COUNTIFS(Period_Status!$A$2:$A$8,G669,Period_Status!$B$2:$B$8,"ActualClosed")=1,C669&gt;EOMONTH(Settlement_Bridge!$C$2,0)),1,0)</f>
        <v>1</v>
      </c>
      <c r="P669" s="2" t="s">
        <v>1978</v>
      </c>
    </row>
    <row r="670" spans="1:16" x14ac:dyDescent="0.25">
      <c r="A670" s="2" t="s">
        <v>1979</v>
      </c>
      <c r="B670" s="2" t="s">
        <v>136</v>
      </c>
      <c r="C670" s="8">
        <v>46242</v>
      </c>
      <c r="D670" s="6">
        <v>46235</v>
      </c>
      <c r="E670" s="2" t="s">
        <v>260</v>
      </c>
      <c r="F670" s="2" t="s">
        <v>1980</v>
      </c>
      <c r="G670" s="6">
        <v>46204</v>
      </c>
      <c r="H670" s="2" t="s">
        <v>71</v>
      </c>
      <c r="I670" s="2" t="s">
        <v>70</v>
      </c>
      <c r="J670" s="9">
        <v>22312.948327999999</v>
      </c>
      <c r="K670" s="7">
        <v>0.65</v>
      </c>
      <c r="L670" s="9">
        <v>14503.42</v>
      </c>
      <c r="M670" s="9">
        <v>14681.92</v>
      </c>
      <c r="N670" s="9">
        <v>7.98</v>
      </c>
      <c r="O670" s="10">
        <f>IF(AND(OR(H670="APPROVED",H670="SCHEDULED"),COUNTIFS(tblSource[EventID],F670,tblSource[ReleaseStatus],"APPROVED")=1,COUNTIFS(Period_Status!$A$2:$A$8,G670,Period_Status!$B$2:$B$8,"ActualClosed")=1,C670&gt;EOMONTH(Settlement_Bridge!$C$2,0)),1,0)</f>
        <v>1</v>
      </c>
      <c r="P670" s="2" t="s">
        <v>1981</v>
      </c>
    </row>
    <row r="671" spans="1:16" x14ac:dyDescent="0.25">
      <c r="A671" s="2" t="s">
        <v>1982</v>
      </c>
      <c r="B671" s="2" t="s">
        <v>136</v>
      </c>
      <c r="C671" s="8">
        <v>46243</v>
      </c>
      <c r="D671" s="6">
        <v>46235</v>
      </c>
      <c r="E671" s="2" t="s">
        <v>260</v>
      </c>
      <c r="F671" s="2" t="s">
        <v>1983</v>
      </c>
      <c r="G671" s="6">
        <v>46204</v>
      </c>
      <c r="H671" s="2" t="s">
        <v>71</v>
      </c>
      <c r="I671" s="2" t="s">
        <v>39</v>
      </c>
      <c r="J671" s="9">
        <v>854.93</v>
      </c>
      <c r="K671" s="7">
        <v>1</v>
      </c>
      <c r="L671" s="9">
        <v>854.93</v>
      </c>
      <c r="M671" s="9">
        <v>854.93</v>
      </c>
      <c r="N671" s="9">
        <v>1.8</v>
      </c>
      <c r="O671" s="10">
        <f>IF(AND(OR(H671="APPROVED",H671="SCHEDULED"),COUNTIFS(tblSource[EventID],F671,tblSource[ReleaseStatus],"APPROVED")=1,COUNTIFS(Period_Status!$A$2:$A$8,G671,Period_Status!$B$2:$B$8,"ActualClosed")=1,C671&gt;EOMONTH(Settlement_Bridge!$C$2,0)),1,0)</f>
        <v>1</v>
      </c>
      <c r="P671" s="2" t="s">
        <v>1984</v>
      </c>
    </row>
    <row r="672" spans="1:16" x14ac:dyDescent="0.25">
      <c r="A672" s="2" t="s">
        <v>1985</v>
      </c>
      <c r="B672" s="2" t="s">
        <v>136</v>
      </c>
      <c r="C672" s="8">
        <v>46244</v>
      </c>
      <c r="D672" s="6">
        <v>46235</v>
      </c>
      <c r="E672" s="2" t="s">
        <v>260</v>
      </c>
      <c r="F672" s="2" t="s">
        <v>1986</v>
      </c>
      <c r="G672" s="6">
        <v>46204</v>
      </c>
      <c r="H672" s="2" t="s">
        <v>71</v>
      </c>
      <c r="I672" s="2" t="s">
        <v>76</v>
      </c>
      <c r="J672" s="9">
        <v>16579677.419354999</v>
      </c>
      <c r="K672" s="7">
        <v>6.1500000000000004E-5</v>
      </c>
      <c r="L672" s="9">
        <v>1019.65</v>
      </c>
      <c r="M672" s="9">
        <v>1027.94</v>
      </c>
      <c r="N672" s="9">
        <v>1.8</v>
      </c>
      <c r="O672" s="10">
        <f>IF(AND(OR(H672="APPROVED",H672="SCHEDULED"),COUNTIFS(tblSource[EventID],F672,tblSource[ReleaseStatus],"APPROVED")=1,COUNTIFS(Period_Status!$A$2:$A$8,G672,Period_Status!$B$2:$B$8,"ActualClosed")=1,C672&gt;EOMONTH(Settlement_Bridge!$C$2,0)),1,0)</f>
        <v>1</v>
      </c>
      <c r="P672" s="2" t="s">
        <v>1987</v>
      </c>
    </row>
    <row r="673" spans="1:16" x14ac:dyDescent="0.25">
      <c r="A673" s="2" t="s">
        <v>1988</v>
      </c>
      <c r="B673" s="2" t="s">
        <v>136</v>
      </c>
      <c r="C673" s="8">
        <v>46245</v>
      </c>
      <c r="D673" s="6">
        <v>46235</v>
      </c>
      <c r="E673" s="2" t="s">
        <v>260</v>
      </c>
      <c r="F673" s="2" t="s">
        <v>1989</v>
      </c>
      <c r="G673" s="6">
        <v>46204</v>
      </c>
      <c r="H673" s="2" t="s">
        <v>71</v>
      </c>
      <c r="I673" s="2" t="s">
        <v>70</v>
      </c>
      <c r="J673" s="9">
        <v>1825.1519760000001</v>
      </c>
      <c r="K673" s="7">
        <v>0.65</v>
      </c>
      <c r="L673" s="9">
        <v>1186.3499999999999</v>
      </c>
      <c r="M673" s="9">
        <v>1200.95</v>
      </c>
      <c r="N673" s="9">
        <v>1.8</v>
      </c>
      <c r="O673" s="10">
        <f>IF(AND(OR(H673="APPROVED",H673="SCHEDULED"),COUNTIFS(tblSource[EventID],F673,tblSource[ReleaseStatus],"APPROVED")=1,COUNTIFS(Period_Status!$A$2:$A$8,G673,Period_Status!$B$2:$B$8,"ActualClosed")=1,C673&gt;EOMONTH(Settlement_Bridge!$C$2,0)),1,0)</f>
        <v>1</v>
      </c>
      <c r="P673" s="2" t="s">
        <v>1990</v>
      </c>
    </row>
    <row r="674" spans="1:16" x14ac:dyDescent="0.25">
      <c r="A674" s="2" t="s">
        <v>1991</v>
      </c>
      <c r="B674" s="2" t="s">
        <v>136</v>
      </c>
      <c r="C674" s="8">
        <v>46236</v>
      </c>
      <c r="D674" s="6">
        <v>46235</v>
      </c>
      <c r="E674" s="2" t="s">
        <v>260</v>
      </c>
      <c r="F674" s="2" t="s">
        <v>1992</v>
      </c>
      <c r="G674" s="6">
        <v>46204</v>
      </c>
      <c r="H674" s="2" t="s">
        <v>71</v>
      </c>
      <c r="I674" s="2" t="s">
        <v>39</v>
      </c>
      <c r="J674" s="9">
        <v>549.58399999999995</v>
      </c>
      <c r="K674" s="7">
        <v>1</v>
      </c>
      <c r="L674" s="9">
        <v>549.58000000000004</v>
      </c>
      <c r="M674" s="9">
        <v>549.58000000000004</v>
      </c>
      <c r="N674" s="9">
        <v>1.8</v>
      </c>
      <c r="O674" s="10">
        <f>IF(AND(OR(H674="APPROVED",H674="SCHEDULED"),COUNTIFS(tblSource[EventID],F674,tblSource[ReleaseStatus],"APPROVED")=1,COUNTIFS(Period_Status!$A$2:$A$8,G674,Period_Status!$B$2:$B$8,"ActualClosed")=1,C674&gt;EOMONTH(Settlement_Bridge!$C$2,0)),1,0)</f>
        <v>1</v>
      </c>
      <c r="P674" s="2" t="s">
        <v>1993</v>
      </c>
    </row>
    <row r="675" spans="1:16" x14ac:dyDescent="0.25">
      <c r="A675" s="2" t="s">
        <v>1994</v>
      </c>
      <c r="B675" s="2" t="s">
        <v>136</v>
      </c>
      <c r="C675" s="8">
        <v>46261</v>
      </c>
      <c r="D675" s="6">
        <v>46235</v>
      </c>
      <c r="E675" s="2" t="s">
        <v>260</v>
      </c>
      <c r="F675" s="2" t="s">
        <v>1992</v>
      </c>
      <c r="G675" s="6">
        <v>46204</v>
      </c>
      <c r="H675" s="2" t="s">
        <v>71</v>
      </c>
      <c r="I675" s="2" t="s">
        <v>39</v>
      </c>
      <c r="J675" s="9">
        <v>824.37599999999998</v>
      </c>
      <c r="K675" s="7">
        <v>1</v>
      </c>
      <c r="L675" s="9">
        <v>824.38</v>
      </c>
      <c r="M675" s="9">
        <v>824.38</v>
      </c>
      <c r="N675" s="9">
        <v>1.8</v>
      </c>
      <c r="O675" s="10">
        <f>IF(AND(OR(H675="APPROVED",H675="SCHEDULED"),COUNTIFS(tblSource[EventID],F675,tblSource[ReleaseStatus],"APPROVED")=1,COUNTIFS(Period_Status!$A$2:$A$8,G675,Period_Status!$B$2:$B$8,"ActualClosed")=1,C675&gt;EOMONTH(Settlement_Bridge!$C$2,0)),1,0)</f>
        <v>1</v>
      </c>
      <c r="P675" s="2" t="s">
        <v>1995</v>
      </c>
    </row>
    <row r="676" spans="1:16" x14ac:dyDescent="0.25">
      <c r="A676" s="2" t="s">
        <v>1996</v>
      </c>
      <c r="B676" s="2" t="s">
        <v>136</v>
      </c>
      <c r="C676" s="8">
        <v>46237</v>
      </c>
      <c r="D676" s="6">
        <v>46235</v>
      </c>
      <c r="E676" s="2" t="s">
        <v>260</v>
      </c>
      <c r="F676" s="2" t="s">
        <v>1997</v>
      </c>
      <c r="G676" s="6">
        <v>46204</v>
      </c>
      <c r="H676" s="2" t="s">
        <v>71</v>
      </c>
      <c r="I676" s="2" t="s">
        <v>76</v>
      </c>
      <c r="J676" s="9">
        <v>9974193.5483870003</v>
      </c>
      <c r="K676" s="7">
        <v>6.1500000000000004E-5</v>
      </c>
      <c r="L676" s="9">
        <v>613.41</v>
      </c>
      <c r="M676" s="9">
        <v>618.4</v>
      </c>
      <c r="N676" s="9">
        <v>1.8</v>
      </c>
      <c r="O676" s="10">
        <f>IF(AND(OR(H676="APPROVED",H676="SCHEDULED"),COUNTIFS(tblSource[EventID],F676,tblSource[ReleaseStatus],"APPROVED")=1,COUNTIFS(Period_Status!$A$2:$A$8,G676,Period_Status!$B$2:$B$8,"ActualClosed")=1,C676&gt;EOMONTH(Settlement_Bridge!$C$2,0)),1,0)</f>
        <v>1</v>
      </c>
      <c r="P676" s="2" t="s">
        <v>1998</v>
      </c>
    </row>
    <row r="677" spans="1:16" x14ac:dyDescent="0.25">
      <c r="A677" s="2" t="s">
        <v>1999</v>
      </c>
      <c r="B677" s="2" t="s">
        <v>136</v>
      </c>
      <c r="C677" s="8">
        <v>46262</v>
      </c>
      <c r="D677" s="6">
        <v>46235</v>
      </c>
      <c r="E677" s="2" t="s">
        <v>260</v>
      </c>
      <c r="F677" s="2" t="s">
        <v>1997</v>
      </c>
      <c r="G677" s="6">
        <v>46204</v>
      </c>
      <c r="H677" s="2" t="s">
        <v>71</v>
      </c>
      <c r="I677" s="2" t="s">
        <v>76</v>
      </c>
      <c r="J677" s="9">
        <v>14961290.322581001</v>
      </c>
      <c r="K677" s="7">
        <v>6.1500000000000004E-5</v>
      </c>
      <c r="L677" s="9">
        <v>920.12</v>
      </c>
      <c r="M677" s="9">
        <v>927.6</v>
      </c>
      <c r="N677" s="9">
        <v>1.8</v>
      </c>
      <c r="O677" s="10">
        <f>IF(AND(OR(H677="APPROVED",H677="SCHEDULED"),COUNTIFS(tblSource[EventID],F677,tblSource[ReleaseStatus],"APPROVED")=1,COUNTIFS(Period_Status!$A$2:$A$8,G677,Period_Status!$B$2:$B$8,"ActualClosed")=1,C677&gt;EOMONTH(Settlement_Bridge!$C$2,0)),1,0)</f>
        <v>1</v>
      </c>
      <c r="P677" s="2" t="s">
        <v>2000</v>
      </c>
    </row>
    <row r="678" spans="1:16" x14ac:dyDescent="0.25">
      <c r="A678" s="2" t="s">
        <v>2001</v>
      </c>
      <c r="B678" s="2" t="s">
        <v>136</v>
      </c>
      <c r="C678" s="8">
        <v>46248</v>
      </c>
      <c r="D678" s="6">
        <v>46235</v>
      </c>
      <c r="E678" s="2" t="s">
        <v>260</v>
      </c>
      <c r="F678" s="2" t="s">
        <v>2002</v>
      </c>
      <c r="G678" s="6">
        <v>46204</v>
      </c>
      <c r="H678" s="2" t="s">
        <v>71</v>
      </c>
      <c r="I678" s="2" t="s">
        <v>70</v>
      </c>
      <c r="J678" s="9">
        <v>2612.4772039999998</v>
      </c>
      <c r="K678" s="7">
        <v>0.65</v>
      </c>
      <c r="L678" s="9">
        <v>1698.11</v>
      </c>
      <c r="M678" s="9">
        <v>1719.01</v>
      </c>
      <c r="N678" s="9">
        <v>1.8</v>
      </c>
      <c r="O678" s="10">
        <f>IF(AND(OR(H678="APPROVED",H678="SCHEDULED"),COUNTIFS(tblSource[EventID],F678,tblSource[ReleaseStatus],"APPROVED")=1,COUNTIFS(Period_Status!$A$2:$A$8,G678,Period_Status!$B$2:$B$8,"ActualClosed")=1,C678&gt;EOMONTH(Settlement_Bridge!$C$2,0)),1,0)</f>
        <v>1</v>
      </c>
      <c r="P678" s="2" t="s">
        <v>2003</v>
      </c>
    </row>
    <row r="679" spans="1:16" x14ac:dyDescent="0.25">
      <c r="A679" s="2" t="s">
        <v>2004</v>
      </c>
      <c r="B679" s="2" t="s">
        <v>136</v>
      </c>
      <c r="C679" s="8">
        <v>46249</v>
      </c>
      <c r="D679" s="6">
        <v>46235</v>
      </c>
      <c r="E679" s="2" t="s">
        <v>260</v>
      </c>
      <c r="F679" s="2" t="s">
        <v>2005</v>
      </c>
      <c r="G679" s="6">
        <v>46204</v>
      </c>
      <c r="H679" s="2" t="s">
        <v>71</v>
      </c>
      <c r="I679" s="2" t="s">
        <v>39</v>
      </c>
      <c r="J679" s="9">
        <v>1892.02</v>
      </c>
      <c r="K679" s="7">
        <v>1</v>
      </c>
      <c r="L679" s="9">
        <v>1892.02</v>
      </c>
      <c r="M679" s="9">
        <v>1892.02</v>
      </c>
      <c r="N679" s="9">
        <v>1.8</v>
      </c>
      <c r="O679" s="10">
        <f>IF(AND(OR(H679="APPROVED",H679="SCHEDULED"),COUNTIFS(tblSource[EventID],F679,tblSource[ReleaseStatus],"APPROVED")=1,COUNTIFS(Period_Status!$A$2:$A$8,G679,Period_Status!$B$2:$B$8,"ActualClosed")=1,C679&gt;EOMONTH(Settlement_Bridge!$C$2,0)),1,0)</f>
        <v>1</v>
      </c>
      <c r="P679" s="2" t="s">
        <v>2006</v>
      </c>
    </row>
    <row r="680" spans="1:16" x14ac:dyDescent="0.25">
      <c r="A680" s="2" t="s">
        <v>2007</v>
      </c>
      <c r="B680" s="2" t="s">
        <v>136</v>
      </c>
      <c r="C680" s="8">
        <v>46240</v>
      </c>
      <c r="D680" s="6">
        <v>46235</v>
      </c>
      <c r="E680" s="2" t="s">
        <v>260</v>
      </c>
      <c r="F680" s="2" t="s">
        <v>2008</v>
      </c>
      <c r="G680" s="6">
        <v>46204</v>
      </c>
      <c r="H680" s="2" t="s">
        <v>71</v>
      </c>
      <c r="I680" s="2" t="s">
        <v>76</v>
      </c>
      <c r="J680" s="9">
        <v>13322774.193547999</v>
      </c>
      <c r="K680" s="7">
        <v>6.1500000000000004E-5</v>
      </c>
      <c r="L680" s="9">
        <v>819.35</v>
      </c>
      <c r="M680" s="9">
        <v>826.01</v>
      </c>
      <c r="N680" s="9">
        <v>1.8</v>
      </c>
      <c r="O680" s="10">
        <f>IF(AND(OR(H680="APPROVED",H680="SCHEDULED"),COUNTIFS(tblSource[EventID],F680,tblSource[ReleaseStatus],"APPROVED")=1,COUNTIFS(Period_Status!$A$2:$A$8,G680,Period_Status!$B$2:$B$8,"ActualClosed")=1,C680&gt;EOMONTH(Settlement_Bridge!$C$2,0)),1,0)</f>
        <v>1</v>
      </c>
      <c r="P680" s="2" t="s">
        <v>2009</v>
      </c>
    </row>
    <row r="681" spans="1:16" x14ac:dyDescent="0.25">
      <c r="A681" s="2" t="s">
        <v>2010</v>
      </c>
      <c r="B681" s="2" t="s">
        <v>136</v>
      </c>
      <c r="C681" s="8">
        <v>46265</v>
      </c>
      <c r="D681" s="6">
        <v>46235</v>
      </c>
      <c r="E681" s="2" t="s">
        <v>260</v>
      </c>
      <c r="F681" s="2" t="s">
        <v>2008</v>
      </c>
      <c r="G681" s="6">
        <v>46204</v>
      </c>
      <c r="H681" s="2" t="s">
        <v>71</v>
      </c>
      <c r="I681" s="2" t="s">
        <v>76</v>
      </c>
      <c r="J681" s="9">
        <v>19984161.290323</v>
      </c>
      <c r="K681" s="7">
        <v>6.1500000000000004E-5</v>
      </c>
      <c r="L681" s="9">
        <v>1229.03</v>
      </c>
      <c r="M681" s="9">
        <v>1239.02</v>
      </c>
      <c r="N681" s="9">
        <v>1.8</v>
      </c>
      <c r="O681" s="10">
        <f>IF(AND(OR(H681="APPROVED",H681="SCHEDULED"),COUNTIFS(tblSource[EventID],F681,tblSource[ReleaseStatus],"APPROVED")=1,COUNTIFS(Period_Status!$A$2:$A$8,G681,Period_Status!$B$2:$B$8,"ActualClosed")=1,C681&gt;EOMONTH(Settlement_Bridge!$C$2,0)),1,0)</f>
        <v>1</v>
      </c>
      <c r="P681" s="2" t="s">
        <v>2011</v>
      </c>
    </row>
    <row r="682" spans="1:16" x14ac:dyDescent="0.25">
      <c r="A682" s="2" t="s">
        <v>2012</v>
      </c>
      <c r="B682" s="2" t="s">
        <v>136</v>
      </c>
      <c r="C682" s="8">
        <v>46251</v>
      </c>
      <c r="D682" s="6">
        <v>46235</v>
      </c>
      <c r="E682" s="2" t="s">
        <v>260</v>
      </c>
      <c r="F682" s="2" t="s">
        <v>2013</v>
      </c>
      <c r="G682" s="6">
        <v>46204</v>
      </c>
      <c r="H682" s="2" t="s">
        <v>71</v>
      </c>
      <c r="I682" s="2" t="s">
        <v>70</v>
      </c>
      <c r="J682" s="9">
        <v>3401.2765960000002</v>
      </c>
      <c r="K682" s="7">
        <v>0.65</v>
      </c>
      <c r="L682" s="9">
        <v>2210.83</v>
      </c>
      <c r="M682" s="9">
        <v>2238.04</v>
      </c>
      <c r="N682" s="9">
        <v>1.8</v>
      </c>
      <c r="O682" s="10">
        <f>IF(AND(OR(H682="APPROVED",H682="SCHEDULED"),COUNTIFS(tblSource[EventID],F682,tblSource[ReleaseStatus],"APPROVED")=1,COUNTIFS(Period_Status!$A$2:$A$8,G682,Period_Status!$B$2:$B$8,"ActualClosed")=1,C682&gt;EOMONTH(Settlement_Bridge!$C$2,0)),1,0)</f>
        <v>1</v>
      </c>
      <c r="P682" s="2" t="s">
        <v>2014</v>
      </c>
    </row>
    <row r="683" spans="1:16" x14ac:dyDescent="0.25">
      <c r="A683" s="2" t="s">
        <v>2015</v>
      </c>
      <c r="B683" s="2" t="s">
        <v>136</v>
      </c>
      <c r="C683" s="8">
        <v>46252</v>
      </c>
      <c r="D683" s="6">
        <v>46235</v>
      </c>
      <c r="E683" s="2" t="s">
        <v>260</v>
      </c>
      <c r="F683" s="2" t="s">
        <v>2016</v>
      </c>
      <c r="G683" s="6">
        <v>46204</v>
      </c>
      <c r="H683" s="2" t="s">
        <v>71</v>
      </c>
      <c r="I683" s="2" t="s">
        <v>39</v>
      </c>
      <c r="J683" s="9">
        <v>2411.0500000000002</v>
      </c>
      <c r="K683" s="7">
        <v>1</v>
      </c>
      <c r="L683" s="9">
        <v>2411.0500000000002</v>
      </c>
      <c r="M683" s="9">
        <v>2411.0500000000002</v>
      </c>
      <c r="N683" s="9">
        <v>1.8</v>
      </c>
      <c r="O683" s="10">
        <f>IF(AND(OR(H683="APPROVED",H683="SCHEDULED"),COUNTIFS(tblSource[EventID],F683,tblSource[ReleaseStatus],"APPROVED")=1,COUNTIFS(Period_Status!$A$2:$A$8,G683,Period_Status!$B$2:$B$8,"ActualClosed")=1,C683&gt;EOMONTH(Settlement_Bridge!$C$2,0)),1,0)</f>
        <v>1</v>
      </c>
      <c r="P683" s="2" t="s">
        <v>2017</v>
      </c>
    </row>
    <row r="684" spans="1:16" x14ac:dyDescent="0.25">
      <c r="A684" s="2" t="s">
        <v>2018</v>
      </c>
      <c r="B684" s="2" t="s">
        <v>136</v>
      </c>
      <c r="C684" s="8">
        <v>46253</v>
      </c>
      <c r="D684" s="6">
        <v>46235</v>
      </c>
      <c r="E684" s="2" t="s">
        <v>260</v>
      </c>
      <c r="F684" s="2" t="s">
        <v>2019</v>
      </c>
      <c r="G684" s="6">
        <v>46204</v>
      </c>
      <c r="H684" s="2" t="s">
        <v>71</v>
      </c>
      <c r="I684" s="2" t="s">
        <v>76</v>
      </c>
      <c r="J684" s="9">
        <v>41678387.096773997</v>
      </c>
      <c r="K684" s="7">
        <v>6.1500000000000004E-5</v>
      </c>
      <c r="L684" s="9">
        <v>2563.2199999999998</v>
      </c>
      <c r="M684" s="9">
        <v>2584.06</v>
      </c>
      <c r="N684" s="9">
        <v>1.8</v>
      </c>
      <c r="O684" s="10">
        <f>IF(AND(OR(H684="APPROVED",H684="SCHEDULED"),COUNTIFS(tblSource[EventID],F684,tblSource[ReleaseStatus],"APPROVED")=1,COUNTIFS(Period_Status!$A$2:$A$8,G684,Period_Status!$B$2:$B$8,"ActualClosed")=1,C684&gt;EOMONTH(Settlement_Bridge!$C$2,0)),1,0)</f>
        <v>1</v>
      </c>
      <c r="P684" s="2" t="s">
        <v>2020</v>
      </c>
    </row>
    <row r="685" spans="1:16" x14ac:dyDescent="0.25">
      <c r="A685" s="2" t="s">
        <v>2021</v>
      </c>
      <c r="B685" s="2" t="s">
        <v>136</v>
      </c>
      <c r="C685" s="8">
        <v>46254</v>
      </c>
      <c r="D685" s="6">
        <v>46235</v>
      </c>
      <c r="E685" s="2" t="s">
        <v>260</v>
      </c>
      <c r="F685" s="2" t="s">
        <v>2022</v>
      </c>
      <c r="G685" s="6">
        <v>46204</v>
      </c>
      <c r="H685" s="2" t="s">
        <v>71</v>
      </c>
      <c r="I685" s="2" t="s">
        <v>70</v>
      </c>
      <c r="J685" s="9">
        <v>-4190.0759879999996</v>
      </c>
      <c r="K685" s="7">
        <v>0.65</v>
      </c>
      <c r="L685" s="9">
        <v>-2723.55</v>
      </c>
      <c r="M685" s="9">
        <v>-2757.07</v>
      </c>
      <c r="N685" s="9">
        <v>0</v>
      </c>
      <c r="O685" s="10">
        <f>IF(AND(OR(H685="APPROVED",H685="SCHEDULED"),COUNTIFS(tblSource[EventID],F685,tblSource[ReleaseStatus],"APPROVED")=1,COUNTIFS(Period_Status!$A$2:$A$8,G685,Period_Status!$B$2:$B$8,"ActualClosed")=1,C685&gt;EOMONTH(Settlement_Bridge!$C$2,0)),1,0)</f>
        <v>1</v>
      </c>
      <c r="P685" s="2" t="s">
        <v>2023</v>
      </c>
    </row>
    <row r="686" spans="1:16" x14ac:dyDescent="0.25">
      <c r="A686" s="2" t="s">
        <v>2024</v>
      </c>
      <c r="B686" s="2" t="s">
        <v>136</v>
      </c>
      <c r="C686" s="8">
        <v>46255</v>
      </c>
      <c r="D686" s="6">
        <v>46235</v>
      </c>
      <c r="E686" s="2" t="s">
        <v>260</v>
      </c>
      <c r="F686" s="2" t="s">
        <v>2025</v>
      </c>
      <c r="G686" s="6">
        <v>46204</v>
      </c>
      <c r="H686" s="2" t="s">
        <v>71</v>
      </c>
      <c r="I686" s="2" t="s">
        <v>39</v>
      </c>
      <c r="J686" s="9">
        <v>2930.08</v>
      </c>
      <c r="K686" s="7">
        <v>1</v>
      </c>
      <c r="L686" s="9">
        <v>2930.08</v>
      </c>
      <c r="M686" s="9">
        <v>2930.08</v>
      </c>
      <c r="N686" s="9">
        <v>1.8</v>
      </c>
      <c r="O686" s="10">
        <f>IF(AND(OR(H686="APPROVED",H686="SCHEDULED"),COUNTIFS(tblSource[EventID],F686,tblSource[ReleaseStatus],"APPROVED")=1,COUNTIFS(Period_Status!$A$2:$A$8,G686,Period_Status!$B$2:$B$8,"ActualClosed")=1,C686&gt;EOMONTH(Settlement_Bridge!$C$2,0)),1,0)</f>
        <v>1</v>
      </c>
      <c r="P686" s="2" t="s">
        <v>2026</v>
      </c>
    </row>
    <row r="687" spans="1:16" x14ac:dyDescent="0.25">
      <c r="A687" s="2" t="s">
        <v>2027</v>
      </c>
      <c r="B687" s="2" t="s">
        <v>136</v>
      </c>
      <c r="C687" s="8">
        <v>46246</v>
      </c>
      <c r="D687" s="6">
        <v>46235</v>
      </c>
      <c r="E687" s="2" t="s">
        <v>260</v>
      </c>
      <c r="F687" s="2" t="s">
        <v>2028</v>
      </c>
      <c r="G687" s="6">
        <v>46204</v>
      </c>
      <c r="H687" s="2" t="s">
        <v>71</v>
      </c>
      <c r="I687" s="2" t="s">
        <v>76</v>
      </c>
      <c r="J687" s="9">
        <v>20019935.483871002</v>
      </c>
      <c r="K687" s="7">
        <v>6.1500000000000004E-5</v>
      </c>
      <c r="L687" s="9">
        <v>1231.23</v>
      </c>
      <c r="M687" s="9">
        <v>1241.24</v>
      </c>
      <c r="N687" s="9">
        <v>1.8</v>
      </c>
      <c r="O687" s="10">
        <f>IF(AND(OR(H687="APPROVED",H687="SCHEDULED"),COUNTIFS(tblSource[EventID],F687,tblSource[ReleaseStatus],"APPROVED")=1,COUNTIFS(Period_Status!$A$2:$A$8,G687,Period_Status!$B$2:$B$8,"ActualClosed")=1,C687&gt;EOMONTH(Settlement_Bridge!$C$2,0)),1,0)</f>
        <v>1</v>
      </c>
      <c r="P687" s="2" t="s">
        <v>2029</v>
      </c>
    </row>
    <row r="688" spans="1:16" x14ac:dyDescent="0.25">
      <c r="A688" s="2" t="s">
        <v>2030</v>
      </c>
      <c r="B688" s="2" t="s">
        <v>136</v>
      </c>
      <c r="C688" s="8">
        <v>46271</v>
      </c>
      <c r="D688" s="6">
        <v>46266</v>
      </c>
      <c r="E688" s="2" t="s">
        <v>260</v>
      </c>
      <c r="F688" s="2" t="s">
        <v>2028</v>
      </c>
      <c r="G688" s="6">
        <v>46204</v>
      </c>
      <c r="H688" s="2" t="s">
        <v>176</v>
      </c>
      <c r="I688" s="2" t="s">
        <v>76</v>
      </c>
      <c r="J688" s="9">
        <v>30029903.225806002</v>
      </c>
      <c r="K688" s="7">
        <v>6.1299999999999999E-5</v>
      </c>
      <c r="L688" s="9">
        <v>1840.83</v>
      </c>
      <c r="M688" s="9">
        <v>1861.85</v>
      </c>
      <c r="N688" s="9">
        <v>1.8</v>
      </c>
      <c r="O688" s="10">
        <f>IF(AND(OR(H688="APPROVED",H688="SCHEDULED"),COUNTIFS(tblSource[EventID],F688,tblSource[ReleaseStatus],"APPROVED")=1,COUNTIFS(Period_Status!$A$2:$A$8,G688,Period_Status!$B$2:$B$8,"ActualClosed")=1,C688&gt;EOMONTH(Settlement_Bridge!$C$2,0)),1,0)</f>
        <v>1</v>
      </c>
      <c r="P688" s="2" t="s">
        <v>2031</v>
      </c>
    </row>
    <row r="689" spans="1:16" x14ac:dyDescent="0.25">
      <c r="A689" s="2" t="s">
        <v>2032</v>
      </c>
      <c r="B689" s="2" t="s">
        <v>136</v>
      </c>
      <c r="C689" s="8">
        <v>46247</v>
      </c>
      <c r="D689" s="6">
        <v>46235</v>
      </c>
      <c r="E689" s="2" t="s">
        <v>260</v>
      </c>
      <c r="F689" s="2" t="s">
        <v>2033</v>
      </c>
      <c r="G689" s="6">
        <v>46204</v>
      </c>
      <c r="H689" s="2" t="s">
        <v>71</v>
      </c>
      <c r="I689" s="2" t="s">
        <v>70</v>
      </c>
      <c r="J689" s="9">
        <v>1991.550152</v>
      </c>
      <c r="K689" s="7">
        <v>0.65</v>
      </c>
      <c r="L689" s="9">
        <v>1294.51</v>
      </c>
      <c r="M689" s="9">
        <v>1310.44</v>
      </c>
      <c r="N689" s="9">
        <v>1.8</v>
      </c>
      <c r="O689" s="10">
        <f>IF(AND(OR(H689="APPROVED",H689="SCHEDULED"),COUNTIFS(tblSource[EventID],F689,tblSource[ReleaseStatus],"APPROVED")=1,COUNTIFS(Period_Status!$A$2:$A$8,G689,Period_Status!$B$2:$B$8,"ActualClosed")=1,C689&gt;EOMONTH(Settlement_Bridge!$C$2,0)),1,0)</f>
        <v>1</v>
      </c>
      <c r="P689" s="2" t="s">
        <v>2034</v>
      </c>
    </row>
    <row r="690" spans="1:16" x14ac:dyDescent="0.25">
      <c r="A690" s="2" t="s">
        <v>2035</v>
      </c>
      <c r="B690" s="2" t="s">
        <v>136</v>
      </c>
      <c r="C690" s="8">
        <v>46272</v>
      </c>
      <c r="D690" s="6">
        <v>46266</v>
      </c>
      <c r="E690" s="2" t="s">
        <v>260</v>
      </c>
      <c r="F690" s="2" t="s">
        <v>2033</v>
      </c>
      <c r="G690" s="6">
        <v>46204</v>
      </c>
      <c r="H690" s="2" t="s">
        <v>176</v>
      </c>
      <c r="I690" s="2" t="s">
        <v>70</v>
      </c>
      <c r="J690" s="9">
        <v>2987.3252280000002</v>
      </c>
      <c r="K690" s="7">
        <v>0.65100000000000002</v>
      </c>
      <c r="L690" s="9">
        <v>1944.75</v>
      </c>
      <c r="M690" s="9">
        <v>1965.66</v>
      </c>
      <c r="N690" s="9">
        <v>1.8</v>
      </c>
      <c r="O690" s="10">
        <f>IF(AND(OR(H690="APPROVED",H690="SCHEDULED"),COUNTIFS(tblSource[EventID],F690,tblSource[ReleaseStatus],"APPROVED")=1,COUNTIFS(Period_Status!$A$2:$A$8,G690,Period_Status!$B$2:$B$8,"ActualClosed")=1,C690&gt;EOMONTH(Settlement_Bridge!$C$2,0)),1,0)</f>
        <v>1</v>
      </c>
      <c r="P690" s="2" t="s">
        <v>2036</v>
      </c>
    </row>
    <row r="691" spans="1:16" x14ac:dyDescent="0.25">
      <c r="A691" s="2" t="s">
        <v>2037</v>
      </c>
      <c r="B691" s="2" t="s">
        <v>136</v>
      </c>
      <c r="C691" s="8">
        <v>46258</v>
      </c>
      <c r="D691" s="6">
        <v>46235</v>
      </c>
      <c r="E691" s="2" t="s">
        <v>260</v>
      </c>
      <c r="F691" s="2" t="s">
        <v>2038</v>
      </c>
      <c r="G691" s="6">
        <v>46204</v>
      </c>
      <c r="H691" s="2" t="s">
        <v>71</v>
      </c>
      <c r="I691" s="2" t="s">
        <v>39</v>
      </c>
      <c r="J691" s="9">
        <v>3449.11</v>
      </c>
      <c r="K691" s="7">
        <v>1</v>
      </c>
      <c r="L691" s="9">
        <v>3449.11</v>
      </c>
      <c r="M691" s="9">
        <v>3449.11</v>
      </c>
      <c r="N691" s="9">
        <v>1.9</v>
      </c>
      <c r="O691" s="10">
        <f>IF(AND(OR(H691="APPROVED",H691="SCHEDULED"),COUNTIFS(tblSource[EventID],F691,tblSource[ReleaseStatus],"APPROVED")=1,COUNTIFS(Period_Status!$A$2:$A$8,G691,Period_Status!$B$2:$B$8,"ActualClosed")=1,C691&gt;EOMONTH(Settlement_Bridge!$C$2,0)),1,0)</f>
        <v>1</v>
      </c>
      <c r="P691" s="2" t="s">
        <v>2039</v>
      </c>
    </row>
    <row r="692" spans="1:16" x14ac:dyDescent="0.25">
      <c r="A692" s="2" t="s">
        <v>2040</v>
      </c>
      <c r="B692" s="2" t="s">
        <v>136</v>
      </c>
      <c r="C692" s="8">
        <v>46228</v>
      </c>
      <c r="D692" s="6">
        <v>46204</v>
      </c>
      <c r="E692" s="2" t="s">
        <v>260</v>
      </c>
      <c r="F692" s="2" t="s">
        <v>2041</v>
      </c>
      <c r="G692" s="6">
        <v>46204</v>
      </c>
      <c r="H692" s="2" t="s">
        <v>71</v>
      </c>
      <c r="I692" s="2" t="s">
        <v>76</v>
      </c>
      <c r="J692" s="9">
        <v>58421290.322581001</v>
      </c>
      <c r="K692" s="7">
        <v>6.2000000000000003E-5</v>
      </c>
      <c r="L692" s="9">
        <v>3622.12</v>
      </c>
      <c r="M692" s="9">
        <v>3622.12</v>
      </c>
      <c r="N692" s="9">
        <v>1.99</v>
      </c>
      <c r="O692" s="10">
        <f>IF(AND(OR(H692="APPROVED",H692="SCHEDULED"),COUNTIFS(tblSource[EventID],F692,tblSource[ReleaseStatus],"APPROVED")=1,COUNTIFS(Period_Status!$A$2:$A$8,G692,Period_Status!$B$2:$B$8,"ActualClosed")=1,C692&gt;EOMONTH(Settlement_Bridge!$C$2,0)),1,0)</f>
        <v>0</v>
      </c>
      <c r="P692" s="2" t="s">
        <v>2042</v>
      </c>
    </row>
    <row r="693" spans="1:16" x14ac:dyDescent="0.25">
      <c r="A693" s="2" t="s">
        <v>2043</v>
      </c>
      <c r="B693" s="2" t="s">
        <v>136</v>
      </c>
      <c r="C693" s="8">
        <v>46219</v>
      </c>
      <c r="D693" s="6">
        <v>46204</v>
      </c>
      <c r="E693" s="2" t="s">
        <v>260</v>
      </c>
      <c r="F693" s="2" t="s">
        <v>2044</v>
      </c>
      <c r="G693" s="6">
        <v>46204</v>
      </c>
      <c r="H693" s="2" t="s">
        <v>71</v>
      </c>
      <c r="I693" s="2" t="s">
        <v>70</v>
      </c>
      <c r="J693" s="9">
        <v>2307.0699089999998</v>
      </c>
      <c r="K693" s="7">
        <v>0.65800000000000003</v>
      </c>
      <c r="L693" s="9">
        <v>1518.05</v>
      </c>
      <c r="M693" s="9">
        <v>1518.05</v>
      </c>
      <c r="N693" s="9">
        <v>1.8</v>
      </c>
      <c r="O693" s="10">
        <f>IF(AND(OR(H693="APPROVED",H693="SCHEDULED"),COUNTIFS(tblSource[EventID],F693,tblSource[ReleaseStatus],"APPROVED")=1,COUNTIFS(Period_Status!$A$2:$A$8,G693,Period_Status!$B$2:$B$8,"ActualClosed")=1,C693&gt;EOMONTH(Settlement_Bridge!$C$2,0)),1,0)</f>
        <v>0</v>
      </c>
      <c r="P693" s="2" t="s">
        <v>2045</v>
      </c>
    </row>
    <row r="694" spans="1:16" x14ac:dyDescent="0.25">
      <c r="A694" s="2" t="s">
        <v>2046</v>
      </c>
      <c r="B694" s="2" t="s">
        <v>136</v>
      </c>
      <c r="C694" s="8">
        <v>46244</v>
      </c>
      <c r="D694" s="6">
        <v>46235</v>
      </c>
      <c r="E694" s="2" t="s">
        <v>260</v>
      </c>
      <c r="F694" s="2" t="s">
        <v>2044</v>
      </c>
      <c r="G694" s="6">
        <v>46204</v>
      </c>
      <c r="H694" s="2" t="s">
        <v>71</v>
      </c>
      <c r="I694" s="2" t="s">
        <v>70</v>
      </c>
      <c r="J694" s="9">
        <v>3460.604863</v>
      </c>
      <c r="K694" s="7">
        <v>0.65</v>
      </c>
      <c r="L694" s="9">
        <v>2249.39</v>
      </c>
      <c r="M694" s="9">
        <v>2277.08</v>
      </c>
      <c r="N694" s="9">
        <v>1.8</v>
      </c>
      <c r="O694" s="10">
        <f>IF(AND(OR(H694="APPROVED",H694="SCHEDULED"),COUNTIFS(tblSource[EventID],F694,tblSource[ReleaseStatus],"APPROVED")=1,COUNTIFS(Period_Status!$A$2:$A$8,G694,Period_Status!$B$2:$B$8,"ActualClosed")=1,C694&gt;EOMONTH(Settlement_Bridge!$C$2,0)),1,0)</f>
        <v>1</v>
      </c>
      <c r="P694" s="2" t="s">
        <v>2047</v>
      </c>
    </row>
    <row r="695" spans="1:16" x14ac:dyDescent="0.25">
      <c r="A695" s="2" t="s">
        <v>2048</v>
      </c>
      <c r="B695" s="2" t="s">
        <v>136</v>
      </c>
      <c r="C695" s="8">
        <v>46230</v>
      </c>
      <c r="D695" s="6">
        <v>46204</v>
      </c>
      <c r="E695" s="2" t="s">
        <v>260</v>
      </c>
      <c r="F695" s="2" t="s">
        <v>2049</v>
      </c>
      <c r="G695" s="6">
        <v>46204</v>
      </c>
      <c r="H695" s="2" t="s">
        <v>71</v>
      </c>
      <c r="I695" s="2" t="s">
        <v>39</v>
      </c>
      <c r="J695" s="9">
        <v>3968.14</v>
      </c>
      <c r="K695" s="7">
        <v>1</v>
      </c>
      <c r="L695" s="9">
        <v>3968.14</v>
      </c>
      <c r="M695" s="9">
        <v>3968.14</v>
      </c>
      <c r="N695" s="9">
        <v>2.1800000000000002</v>
      </c>
      <c r="O695" s="10">
        <f>IF(AND(OR(H695="APPROVED",H695="SCHEDULED"),COUNTIFS(tblSource[EventID],F695,tblSource[ReleaseStatus],"APPROVED")=1,COUNTIFS(Period_Status!$A$2:$A$8,G695,Period_Status!$B$2:$B$8,"ActualClosed")=1,C695&gt;EOMONTH(Settlement_Bridge!$C$2,0)),1,0)</f>
        <v>0</v>
      </c>
      <c r="P695" s="2" t="s">
        <v>2050</v>
      </c>
    </row>
    <row r="696" spans="1:16" x14ac:dyDescent="0.25">
      <c r="A696" s="2" t="s">
        <v>2051</v>
      </c>
      <c r="B696" s="2" t="s">
        <v>136</v>
      </c>
      <c r="C696" s="8">
        <v>46231</v>
      </c>
      <c r="D696" s="6">
        <v>46204</v>
      </c>
      <c r="E696" s="2" t="s">
        <v>260</v>
      </c>
      <c r="F696" s="2" t="s">
        <v>2052</v>
      </c>
      <c r="G696" s="6">
        <v>46204</v>
      </c>
      <c r="H696" s="2" t="s">
        <v>71</v>
      </c>
      <c r="I696" s="2" t="s">
        <v>76</v>
      </c>
      <c r="J696" s="9">
        <v>66792741.935484</v>
      </c>
      <c r="K696" s="7">
        <v>6.2000000000000003E-5</v>
      </c>
      <c r="L696" s="9">
        <v>4141.1499999999996</v>
      </c>
      <c r="M696" s="9">
        <v>4141.1499999999996</v>
      </c>
      <c r="N696" s="9">
        <v>2.2799999999999998</v>
      </c>
      <c r="O696" s="10">
        <f>IF(AND(OR(H696="APPROVED",H696="SCHEDULED"),COUNTIFS(tblSource[EventID],F696,tblSource[ReleaseStatus],"APPROVED")=1,COUNTIFS(Period_Status!$A$2:$A$8,G696,Period_Status!$B$2:$B$8,"ActualClosed")=1,C696&gt;EOMONTH(Settlement_Bridge!$C$2,0)),1,0)</f>
        <v>0</v>
      </c>
      <c r="P696" s="2" t="s">
        <v>2053</v>
      </c>
    </row>
    <row r="697" spans="1:16" x14ac:dyDescent="0.25">
      <c r="A697" s="2" t="s">
        <v>2054</v>
      </c>
      <c r="B697" s="2" t="s">
        <v>136</v>
      </c>
      <c r="C697" s="8">
        <v>46232</v>
      </c>
      <c r="D697" s="6">
        <v>46204</v>
      </c>
      <c r="E697" s="2" t="s">
        <v>260</v>
      </c>
      <c r="F697" s="2" t="s">
        <v>2055</v>
      </c>
      <c r="G697" s="6">
        <v>46204</v>
      </c>
      <c r="H697" s="2" t="s">
        <v>71</v>
      </c>
      <c r="I697" s="2" t="s">
        <v>70</v>
      </c>
      <c r="J697" s="9">
        <v>6556.4741640000002</v>
      </c>
      <c r="K697" s="7">
        <v>0.65800000000000003</v>
      </c>
      <c r="L697" s="9">
        <v>4314.16</v>
      </c>
      <c r="M697" s="9">
        <v>4314.16</v>
      </c>
      <c r="N697" s="9">
        <v>2.37</v>
      </c>
      <c r="O697" s="10">
        <f>IF(AND(OR(H697="APPROVED",H697="SCHEDULED"),COUNTIFS(tblSource[EventID],F697,tblSource[ReleaseStatus],"APPROVED")=1,COUNTIFS(Period_Status!$A$2:$A$8,G697,Period_Status!$B$2:$B$8,"ActualClosed")=1,C697&gt;EOMONTH(Settlement_Bridge!$C$2,0)),1,0)</f>
        <v>0</v>
      </c>
      <c r="P697" s="2" t="s">
        <v>2056</v>
      </c>
    </row>
    <row r="698" spans="1:16" x14ac:dyDescent="0.25">
      <c r="A698" s="2" t="s">
        <v>2057</v>
      </c>
      <c r="B698" s="2" t="s">
        <v>136</v>
      </c>
      <c r="C698" s="8">
        <v>46233</v>
      </c>
      <c r="D698" s="6">
        <v>46204</v>
      </c>
      <c r="E698" s="2" t="s">
        <v>260</v>
      </c>
      <c r="F698" s="2" t="s">
        <v>2058</v>
      </c>
      <c r="G698" s="6">
        <v>46204</v>
      </c>
      <c r="H698" s="2" t="s">
        <v>71</v>
      </c>
      <c r="I698" s="2" t="s">
        <v>39</v>
      </c>
      <c r="J698" s="9">
        <v>4487.17</v>
      </c>
      <c r="K698" s="7">
        <v>1</v>
      </c>
      <c r="L698" s="9">
        <v>4487.17</v>
      </c>
      <c r="M698" s="9">
        <v>4487.17</v>
      </c>
      <c r="N698" s="9">
        <v>2.4700000000000002</v>
      </c>
      <c r="O698" s="10">
        <f>IF(AND(OR(H698="APPROVED",H698="SCHEDULED"),COUNTIFS(tblSource[EventID],F698,tblSource[ReleaseStatus],"APPROVED")=1,COUNTIFS(Period_Status!$A$2:$A$8,G698,Period_Status!$B$2:$B$8,"ActualClosed")=1,C698&gt;EOMONTH(Settlement_Bridge!$C$2,0)),1,0)</f>
        <v>0</v>
      </c>
      <c r="P698" s="2" t="s">
        <v>2059</v>
      </c>
    </row>
    <row r="699" spans="1:16" x14ac:dyDescent="0.25">
      <c r="A699" s="2" t="s">
        <v>2060</v>
      </c>
      <c r="B699" s="2" t="s">
        <v>136</v>
      </c>
      <c r="C699" s="8">
        <v>46234</v>
      </c>
      <c r="D699" s="6">
        <v>46204</v>
      </c>
      <c r="E699" s="2" t="s">
        <v>260</v>
      </c>
      <c r="F699" s="2" t="s">
        <v>2061</v>
      </c>
      <c r="G699" s="6">
        <v>46204</v>
      </c>
      <c r="H699" s="2" t="s">
        <v>71</v>
      </c>
      <c r="I699" s="2" t="s">
        <v>76</v>
      </c>
      <c r="J699" s="9">
        <v>75164193.548387006</v>
      </c>
      <c r="K699" s="7">
        <v>6.2000000000000003E-5</v>
      </c>
      <c r="L699" s="9">
        <v>4660.18</v>
      </c>
      <c r="M699" s="9">
        <v>4660.18</v>
      </c>
      <c r="N699" s="9">
        <v>2.56</v>
      </c>
      <c r="O699" s="10">
        <f>IF(AND(OR(H699="APPROVED",H699="SCHEDULED"),COUNTIFS(tblSource[EventID],F699,tblSource[ReleaseStatus],"APPROVED")=1,COUNTIFS(Period_Status!$A$2:$A$8,G699,Period_Status!$B$2:$B$8,"ActualClosed")=1,C699&gt;EOMONTH(Settlement_Bridge!$C$2,0)),1,0)</f>
        <v>0</v>
      </c>
      <c r="P699" s="2" t="s">
        <v>2062</v>
      </c>
    </row>
    <row r="700" spans="1:16" x14ac:dyDescent="0.25">
      <c r="A700" s="2" t="s">
        <v>2063</v>
      </c>
      <c r="B700" s="2" t="s">
        <v>136</v>
      </c>
      <c r="C700" s="8">
        <v>46225</v>
      </c>
      <c r="D700" s="6">
        <v>46204</v>
      </c>
      <c r="E700" s="2" t="s">
        <v>260</v>
      </c>
      <c r="F700" s="2" t="s">
        <v>2064</v>
      </c>
      <c r="G700" s="6">
        <v>46204</v>
      </c>
      <c r="H700" s="2" t="s">
        <v>71</v>
      </c>
      <c r="I700" s="2" t="s">
        <v>70</v>
      </c>
      <c r="J700" s="9">
        <v>2938.109422</v>
      </c>
      <c r="K700" s="7">
        <v>0.65800000000000003</v>
      </c>
      <c r="L700" s="9">
        <v>1933.28</v>
      </c>
      <c r="M700" s="9">
        <v>1933.28</v>
      </c>
      <c r="N700" s="9">
        <v>1.8</v>
      </c>
      <c r="O700" s="10">
        <f>IF(AND(OR(H700="APPROVED",H700="SCHEDULED"),COUNTIFS(tblSource[EventID],F700,tblSource[ReleaseStatus],"APPROVED")=1,COUNTIFS(Period_Status!$A$2:$A$8,G700,Period_Status!$B$2:$B$8,"ActualClosed")=1,C700&gt;EOMONTH(Settlement_Bridge!$C$2,0)),1,0)</f>
        <v>0</v>
      </c>
      <c r="P700" s="2" t="s">
        <v>2065</v>
      </c>
    </row>
    <row r="701" spans="1:16" x14ac:dyDescent="0.25">
      <c r="A701" s="2" t="s">
        <v>2066</v>
      </c>
      <c r="B701" s="2" t="s">
        <v>136</v>
      </c>
      <c r="C701" s="8">
        <v>46250</v>
      </c>
      <c r="D701" s="6">
        <v>46235</v>
      </c>
      <c r="E701" s="2" t="s">
        <v>260</v>
      </c>
      <c r="F701" s="2" t="s">
        <v>2064</v>
      </c>
      <c r="G701" s="6">
        <v>46204</v>
      </c>
      <c r="H701" s="2" t="s">
        <v>71</v>
      </c>
      <c r="I701" s="2" t="s">
        <v>70</v>
      </c>
      <c r="J701" s="9">
        <v>4407.1641339999996</v>
      </c>
      <c r="K701" s="7">
        <v>0.65</v>
      </c>
      <c r="L701" s="9">
        <v>2864.66</v>
      </c>
      <c r="M701" s="9">
        <v>2899.91</v>
      </c>
      <c r="N701" s="9">
        <v>1.8</v>
      </c>
      <c r="O701" s="10">
        <f>IF(AND(OR(H701="APPROVED",H701="SCHEDULED"),COUNTIFS(tblSource[EventID],F701,tblSource[ReleaseStatus],"APPROVED")=1,COUNTIFS(Period_Status!$A$2:$A$8,G701,Period_Status!$B$2:$B$8,"ActualClosed")=1,C701&gt;EOMONTH(Settlement_Bridge!$C$2,0)),1,0)</f>
        <v>1</v>
      </c>
      <c r="P701" s="2" t="s">
        <v>2067</v>
      </c>
    </row>
    <row r="702" spans="1:16" x14ac:dyDescent="0.25">
      <c r="A702" s="2" t="s">
        <v>2068</v>
      </c>
      <c r="B702" s="2" t="s">
        <v>136</v>
      </c>
      <c r="C702" s="8">
        <v>46226</v>
      </c>
      <c r="D702" s="6">
        <v>46204</v>
      </c>
      <c r="E702" s="2" t="s">
        <v>260</v>
      </c>
      <c r="F702" s="2" t="s">
        <v>2069</v>
      </c>
      <c r="G702" s="6">
        <v>46204</v>
      </c>
      <c r="H702" s="2" t="s">
        <v>71</v>
      </c>
      <c r="I702" s="2" t="s">
        <v>39</v>
      </c>
      <c r="J702" s="9">
        <v>2002.48</v>
      </c>
      <c r="K702" s="7">
        <v>1</v>
      </c>
      <c r="L702" s="9">
        <v>2002.48</v>
      </c>
      <c r="M702" s="9">
        <v>2002.48</v>
      </c>
      <c r="N702" s="9">
        <v>1.8</v>
      </c>
      <c r="O702" s="10">
        <f>IF(AND(OR(H702="APPROVED",H702="SCHEDULED"),COUNTIFS(tblSource[EventID],F702,tblSource[ReleaseStatus],"APPROVED")=1,COUNTIFS(Period_Status!$A$2:$A$8,G702,Period_Status!$B$2:$B$8,"ActualClosed")=1,C702&gt;EOMONTH(Settlement_Bridge!$C$2,0)),1,0)</f>
        <v>0</v>
      </c>
      <c r="P702" s="2" t="s">
        <v>2070</v>
      </c>
    </row>
    <row r="703" spans="1:16" x14ac:dyDescent="0.25">
      <c r="A703" s="2" t="s">
        <v>2071</v>
      </c>
      <c r="B703" s="2" t="s">
        <v>136</v>
      </c>
      <c r="C703" s="8">
        <v>46251</v>
      </c>
      <c r="D703" s="6">
        <v>46235</v>
      </c>
      <c r="E703" s="2" t="s">
        <v>260</v>
      </c>
      <c r="F703" s="2" t="s">
        <v>2069</v>
      </c>
      <c r="G703" s="6">
        <v>46204</v>
      </c>
      <c r="H703" s="2" t="s">
        <v>71</v>
      </c>
      <c r="I703" s="2" t="s">
        <v>39</v>
      </c>
      <c r="J703" s="9">
        <v>3003.72</v>
      </c>
      <c r="K703" s="7">
        <v>1</v>
      </c>
      <c r="L703" s="9">
        <v>3003.72</v>
      </c>
      <c r="M703" s="9">
        <v>3003.72</v>
      </c>
      <c r="N703" s="9">
        <v>1.8</v>
      </c>
      <c r="O703" s="10">
        <f>IF(AND(OR(H703="APPROVED",H703="SCHEDULED"),COUNTIFS(tblSource[EventID],F703,tblSource[ReleaseStatus],"APPROVED")=1,COUNTIFS(Period_Status!$A$2:$A$8,G703,Period_Status!$B$2:$B$8,"ActualClosed")=1,C703&gt;EOMONTH(Settlement_Bridge!$C$2,0)),1,0)</f>
        <v>1</v>
      </c>
      <c r="P703" s="2" t="s">
        <v>2072</v>
      </c>
    </row>
    <row r="704" spans="1:16" x14ac:dyDescent="0.25">
      <c r="A704" s="2" t="s">
        <v>2073</v>
      </c>
      <c r="B704" s="2" t="s">
        <v>136</v>
      </c>
      <c r="C704" s="8">
        <v>46237</v>
      </c>
      <c r="D704" s="6">
        <v>46235</v>
      </c>
      <c r="E704" s="2" t="s">
        <v>260</v>
      </c>
      <c r="F704" s="2" t="s">
        <v>2074</v>
      </c>
      <c r="G704" s="6">
        <v>46204</v>
      </c>
      <c r="H704" s="2" t="s">
        <v>71</v>
      </c>
      <c r="I704" s="2" t="s">
        <v>76</v>
      </c>
      <c r="J704" s="9">
        <v>83535645.161290005</v>
      </c>
      <c r="K704" s="7">
        <v>6.1500000000000004E-5</v>
      </c>
      <c r="L704" s="9">
        <v>5137.4399999999996</v>
      </c>
      <c r="M704" s="9">
        <v>5179.21</v>
      </c>
      <c r="N704" s="9">
        <v>2.83</v>
      </c>
      <c r="O704" s="10">
        <f>IF(AND(OR(H704="APPROVED",H704="SCHEDULED"),COUNTIFS(tblSource[EventID],F704,tblSource[ReleaseStatus],"APPROVED")=1,COUNTIFS(Period_Status!$A$2:$A$8,G704,Period_Status!$B$2:$B$8,"ActualClosed")=1,C704&gt;EOMONTH(Settlement_Bridge!$C$2,0)),1,0)</f>
        <v>1</v>
      </c>
      <c r="P704" s="2" t="s">
        <v>2075</v>
      </c>
    </row>
    <row r="705" spans="1:16" x14ac:dyDescent="0.25">
      <c r="A705" s="2" t="s">
        <v>2076</v>
      </c>
      <c r="B705" s="2" t="s">
        <v>136</v>
      </c>
      <c r="C705" s="8">
        <v>46238</v>
      </c>
      <c r="D705" s="6">
        <v>46235</v>
      </c>
      <c r="E705" s="2" t="s">
        <v>260</v>
      </c>
      <c r="F705" s="2" t="s">
        <v>2077</v>
      </c>
      <c r="G705" s="6">
        <v>46204</v>
      </c>
      <c r="H705" s="2" t="s">
        <v>71</v>
      </c>
      <c r="I705" s="2" t="s">
        <v>70</v>
      </c>
      <c r="J705" s="9">
        <v>8134.072948</v>
      </c>
      <c r="K705" s="7">
        <v>0.65</v>
      </c>
      <c r="L705" s="9">
        <v>5287.15</v>
      </c>
      <c r="M705" s="9">
        <v>5352.22</v>
      </c>
      <c r="N705" s="9">
        <v>2.91</v>
      </c>
      <c r="O705" s="10">
        <f>IF(AND(OR(H705="APPROVED",H705="SCHEDULED"),COUNTIFS(tblSource[EventID],F705,tblSource[ReleaseStatus],"APPROVED")=1,COUNTIFS(Period_Status!$A$2:$A$8,G705,Period_Status!$B$2:$B$8,"ActualClosed")=1,C705&gt;EOMONTH(Settlement_Bridge!$C$2,0)),1,0)</f>
        <v>1</v>
      </c>
      <c r="P705" s="2" t="s">
        <v>2078</v>
      </c>
    </row>
    <row r="706" spans="1:16" x14ac:dyDescent="0.25">
      <c r="A706" s="2" t="s">
        <v>2079</v>
      </c>
      <c r="B706" s="2" t="s">
        <v>136</v>
      </c>
      <c r="C706" s="8">
        <v>46229</v>
      </c>
      <c r="D706" s="6">
        <v>46204</v>
      </c>
      <c r="E706" s="2" t="s">
        <v>260</v>
      </c>
      <c r="F706" s="2" t="s">
        <v>2080</v>
      </c>
      <c r="G706" s="6">
        <v>46204</v>
      </c>
      <c r="H706" s="2" t="s">
        <v>71</v>
      </c>
      <c r="I706" s="2" t="s">
        <v>39</v>
      </c>
      <c r="J706" s="9">
        <v>2210.0920000000001</v>
      </c>
      <c r="K706" s="7">
        <v>1</v>
      </c>
      <c r="L706" s="9">
        <v>2210.09</v>
      </c>
      <c r="M706" s="9">
        <v>2210.09</v>
      </c>
      <c r="N706" s="9">
        <v>1.8</v>
      </c>
      <c r="O706" s="10">
        <f>IF(AND(OR(H706="APPROVED",H706="SCHEDULED"),COUNTIFS(tblSource[EventID],F706,tblSource[ReleaseStatus],"APPROVED")=1,COUNTIFS(Period_Status!$A$2:$A$8,G706,Period_Status!$B$2:$B$8,"ActualClosed")=1,C706&gt;EOMONTH(Settlement_Bridge!$C$2,0)),1,0)</f>
        <v>0</v>
      </c>
      <c r="P706" s="2" t="s">
        <v>2081</v>
      </c>
    </row>
    <row r="707" spans="1:16" x14ac:dyDescent="0.25">
      <c r="A707" s="2" t="s">
        <v>2082</v>
      </c>
      <c r="B707" s="2" t="s">
        <v>136</v>
      </c>
      <c r="C707" s="8">
        <v>46254</v>
      </c>
      <c r="D707" s="6">
        <v>46235</v>
      </c>
      <c r="E707" s="2" t="s">
        <v>260</v>
      </c>
      <c r="F707" s="2" t="s">
        <v>2080</v>
      </c>
      <c r="G707" s="6">
        <v>46204</v>
      </c>
      <c r="H707" s="2" t="s">
        <v>71</v>
      </c>
      <c r="I707" s="2" t="s">
        <v>39</v>
      </c>
      <c r="J707" s="9">
        <v>3315.1379999999999</v>
      </c>
      <c r="K707" s="7">
        <v>1</v>
      </c>
      <c r="L707" s="9">
        <v>3315.14</v>
      </c>
      <c r="M707" s="9">
        <v>3315.14</v>
      </c>
      <c r="N707" s="9">
        <v>1.82</v>
      </c>
      <c r="O707" s="10">
        <f>IF(AND(OR(H707="APPROVED",H707="SCHEDULED"),COUNTIFS(tblSource[EventID],F707,tblSource[ReleaseStatus],"APPROVED")=1,COUNTIFS(Period_Status!$A$2:$A$8,G707,Period_Status!$B$2:$B$8,"ActualClosed")=1,C707&gt;EOMONTH(Settlement_Bridge!$C$2,0)),1,0)</f>
        <v>1</v>
      </c>
      <c r="P707" s="2" t="s">
        <v>2083</v>
      </c>
    </row>
    <row r="708" spans="1:16" x14ac:dyDescent="0.25">
      <c r="A708" s="2" t="s">
        <v>2084</v>
      </c>
      <c r="B708" s="2" t="s">
        <v>136</v>
      </c>
      <c r="C708" s="8">
        <v>46240</v>
      </c>
      <c r="D708" s="6">
        <v>46235</v>
      </c>
      <c r="E708" s="2" t="s">
        <v>260</v>
      </c>
      <c r="F708" s="2" t="s">
        <v>2085</v>
      </c>
      <c r="G708" s="6">
        <v>46204</v>
      </c>
      <c r="H708" s="2" t="s">
        <v>71</v>
      </c>
      <c r="I708" s="2" t="s">
        <v>76</v>
      </c>
      <c r="J708" s="9">
        <v>91907096.774194002</v>
      </c>
      <c r="K708" s="7">
        <v>6.1500000000000004E-5</v>
      </c>
      <c r="L708" s="9">
        <v>5652.29</v>
      </c>
      <c r="M708" s="9">
        <v>5698.24</v>
      </c>
      <c r="N708" s="9">
        <v>3.11</v>
      </c>
      <c r="O708" s="10">
        <f>IF(AND(OR(H708="APPROVED",H708="SCHEDULED"),COUNTIFS(tblSource[EventID],F708,tblSource[ReleaseStatus],"APPROVED")=1,COUNTIFS(Period_Status!$A$2:$A$8,G708,Period_Status!$B$2:$B$8,"ActualClosed")=1,C708&gt;EOMONTH(Settlement_Bridge!$C$2,0)),1,0)</f>
        <v>1</v>
      </c>
      <c r="P708" s="2" t="s">
        <v>2086</v>
      </c>
    </row>
    <row r="709" spans="1:16" x14ac:dyDescent="0.25">
      <c r="A709" s="2" t="s">
        <v>2087</v>
      </c>
      <c r="B709" s="2" t="s">
        <v>136</v>
      </c>
      <c r="C709" s="8">
        <v>46241</v>
      </c>
      <c r="D709" s="6">
        <v>46235</v>
      </c>
      <c r="E709" s="2" t="s">
        <v>260</v>
      </c>
      <c r="F709" s="2" t="s">
        <v>2088</v>
      </c>
      <c r="G709" s="6">
        <v>46204</v>
      </c>
      <c r="H709" s="2" t="s">
        <v>71</v>
      </c>
      <c r="I709" s="2" t="s">
        <v>70</v>
      </c>
      <c r="J709" s="9">
        <v>8922.8723399999999</v>
      </c>
      <c r="K709" s="7">
        <v>0.65</v>
      </c>
      <c r="L709" s="9">
        <v>5799.87</v>
      </c>
      <c r="M709" s="9">
        <v>5871.25</v>
      </c>
      <c r="N709" s="9">
        <v>3.19</v>
      </c>
      <c r="O709" s="10">
        <f>IF(AND(OR(H709="APPROVED",H709="SCHEDULED"),COUNTIFS(tblSource[EventID],F709,tblSource[ReleaseStatus],"APPROVED")=1,COUNTIFS(Period_Status!$A$2:$A$8,G709,Period_Status!$B$2:$B$8,"ActualClosed")=1,C709&gt;EOMONTH(Settlement_Bridge!$C$2,0)),1,0)</f>
        <v>1</v>
      </c>
      <c r="P709" s="2" t="s">
        <v>2089</v>
      </c>
    </row>
    <row r="710" spans="1:16" x14ac:dyDescent="0.25">
      <c r="A710" s="2" t="s">
        <v>2090</v>
      </c>
      <c r="B710" s="2" t="s">
        <v>136</v>
      </c>
      <c r="C710" s="8">
        <v>46242</v>
      </c>
      <c r="D710" s="6">
        <v>46235</v>
      </c>
      <c r="E710" s="2" t="s">
        <v>260</v>
      </c>
      <c r="F710" s="2" t="s">
        <v>2091</v>
      </c>
      <c r="G710" s="6">
        <v>46204</v>
      </c>
      <c r="H710" s="2" t="s">
        <v>71</v>
      </c>
      <c r="I710" s="2" t="s">
        <v>39</v>
      </c>
      <c r="J710" s="9">
        <v>6044.26</v>
      </c>
      <c r="K710" s="7">
        <v>1</v>
      </c>
      <c r="L710" s="9">
        <v>6044.26</v>
      </c>
      <c r="M710" s="9">
        <v>6044.26</v>
      </c>
      <c r="N710" s="9">
        <v>3.32</v>
      </c>
      <c r="O710" s="10">
        <f>IF(AND(OR(H710="APPROVED",H710="SCHEDULED"),COUNTIFS(tblSource[EventID],F710,tblSource[ReleaseStatus],"APPROVED")=1,COUNTIFS(Period_Status!$A$2:$A$8,G710,Period_Status!$B$2:$B$8,"ActualClosed")=1,C710&gt;EOMONTH(Settlement_Bridge!$C$2,0)),1,0)</f>
        <v>1</v>
      </c>
      <c r="P710" s="2" t="s">
        <v>2092</v>
      </c>
    </row>
    <row r="711" spans="1:16" x14ac:dyDescent="0.25">
      <c r="A711" s="2" t="s">
        <v>2093</v>
      </c>
      <c r="B711" s="2" t="s">
        <v>136</v>
      </c>
      <c r="C711" s="8">
        <v>46243</v>
      </c>
      <c r="D711" s="6">
        <v>46235</v>
      </c>
      <c r="E711" s="2" t="s">
        <v>260</v>
      </c>
      <c r="F711" s="2" t="s">
        <v>2094</v>
      </c>
      <c r="G711" s="6">
        <v>46204</v>
      </c>
      <c r="H711" s="2" t="s">
        <v>71</v>
      </c>
      <c r="I711" s="2" t="s">
        <v>76</v>
      </c>
      <c r="J711" s="9">
        <v>100278548.387097</v>
      </c>
      <c r="K711" s="7">
        <v>6.1500000000000004E-5</v>
      </c>
      <c r="L711" s="9">
        <v>6167.13</v>
      </c>
      <c r="M711" s="9">
        <v>6217.27</v>
      </c>
      <c r="N711" s="9">
        <v>3.39</v>
      </c>
      <c r="O711" s="10">
        <f>IF(AND(OR(H711="APPROVED",H711="SCHEDULED"),COUNTIFS(tblSource[EventID],F711,tblSource[ReleaseStatus],"APPROVED")=1,COUNTIFS(Period_Status!$A$2:$A$8,G711,Period_Status!$B$2:$B$8,"ActualClosed")=1,C711&gt;EOMONTH(Settlement_Bridge!$C$2,0)),1,0)</f>
        <v>1</v>
      </c>
      <c r="P711" s="2" t="s">
        <v>2095</v>
      </c>
    </row>
    <row r="712" spans="1:16" x14ac:dyDescent="0.25">
      <c r="A712" s="2" t="s">
        <v>2096</v>
      </c>
      <c r="B712" s="2" t="s">
        <v>136</v>
      </c>
      <c r="C712" s="8">
        <v>46244</v>
      </c>
      <c r="D712" s="6">
        <v>46235</v>
      </c>
      <c r="E712" s="2" t="s">
        <v>260</v>
      </c>
      <c r="F712" s="2" t="s">
        <v>2097</v>
      </c>
      <c r="G712" s="6">
        <v>46204</v>
      </c>
      <c r="H712" s="2" t="s">
        <v>71</v>
      </c>
      <c r="I712" s="2" t="s">
        <v>70</v>
      </c>
      <c r="J712" s="9">
        <v>9711.6717329999992</v>
      </c>
      <c r="K712" s="7">
        <v>0.65</v>
      </c>
      <c r="L712" s="9">
        <v>6312.59</v>
      </c>
      <c r="M712" s="9">
        <v>6390.28</v>
      </c>
      <c r="N712" s="9">
        <v>3.47</v>
      </c>
      <c r="O712" s="10">
        <f>IF(AND(OR(H712="APPROVED",H712="SCHEDULED"),COUNTIFS(tblSource[EventID],F712,tblSource[ReleaseStatus],"APPROVED")=1,COUNTIFS(Period_Status!$A$2:$A$8,G712,Period_Status!$B$2:$B$8,"ActualClosed")=1,C712&gt;EOMONTH(Settlement_Bridge!$C$2,0)),1,0)</f>
        <v>1</v>
      </c>
      <c r="P712" s="2" t="s">
        <v>2098</v>
      </c>
    </row>
    <row r="713" spans="1:16" x14ac:dyDescent="0.25">
      <c r="A713" s="2" t="s">
        <v>2099</v>
      </c>
      <c r="B713" s="2" t="s">
        <v>136</v>
      </c>
      <c r="C713" s="8">
        <v>46235</v>
      </c>
      <c r="D713" s="6">
        <v>46235</v>
      </c>
      <c r="E713" s="2" t="s">
        <v>260</v>
      </c>
      <c r="F713" s="2" t="s">
        <v>2100</v>
      </c>
      <c r="G713" s="6">
        <v>46204</v>
      </c>
      <c r="H713" s="2" t="s">
        <v>71</v>
      </c>
      <c r="I713" s="2" t="s">
        <v>39</v>
      </c>
      <c r="J713" s="9">
        <v>2625.3159999999998</v>
      </c>
      <c r="K713" s="7">
        <v>1</v>
      </c>
      <c r="L713" s="9">
        <v>2625.32</v>
      </c>
      <c r="M713" s="9">
        <v>2625.32</v>
      </c>
      <c r="N713" s="9">
        <v>1.8</v>
      </c>
      <c r="O713" s="10">
        <f>IF(AND(OR(H713="APPROVED",H713="SCHEDULED"),COUNTIFS(tblSource[EventID],F713,tblSource[ReleaseStatus],"APPROVED")=1,COUNTIFS(Period_Status!$A$2:$A$8,G713,Period_Status!$B$2:$B$8,"ActualClosed")=1,C713&gt;EOMONTH(Settlement_Bridge!$C$2,0)),1,0)</f>
        <v>1</v>
      </c>
      <c r="P713" s="2" t="s">
        <v>2101</v>
      </c>
    </row>
    <row r="714" spans="1:16" x14ac:dyDescent="0.25">
      <c r="A714" s="2" t="s">
        <v>2102</v>
      </c>
      <c r="B714" s="2" t="s">
        <v>136</v>
      </c>
      <c r="C714" s="8">
        <v>46260</v>
      </c>
      <c r="D714" s="6">
        <v>46235</v>
      </c>
      <c r="E714" s="2" t="s">
        <v>260</v>
      </c>
      <c r="F714" s="2" t="s">
        <v>2100</v>
      </c>
      <c r="G714" s="6">
        <v>46204</v>
      </c>
      <c r="H714" s="2" t="s">
        <v>71</v>
      </c>
      <c r="I714" s="2" t="s">
        <v>39</v>
      </c>
      <c r="J714" s="9">
        <v>3937.9740000000002</v>
      </c>
      <c r="K714" s="7">
        <v>1</v>
      </c>
      <c r="L714" s="9">
        <v>3937.97</v>
      </c>
      <c r="M714" s="9">
        <v>3937.97</v>
      </c>
      <c r="N714" s="9">
        <v>2.17</v>
      </c>
      <c r="O714" s="10">
        <f>IF(AND(OR(H714="APPROVED",H714="SCHEDULED"),COUNTIFS(tblSource[EventID],F714,tblSource[ReleaseStatus],"APPROVED")=1,COUNTIFS(Period_Status!$A$2:$A$8,G714,Period_Status!$B$2:$B$8,"ActualClosed")=1,C714&gt;EOMONTH(Settlement_Bridge!$C$2,0)),1,0)</f>
        <v>1</v>
      </c>
      <c r="P714" s="2" t="s">
        <v>2103</v>
      </c>
    </row>
    <row r="715" spans="1:16" x14ac:dyDescent="0.25">
      <c r="A715" s="2" t="s">
        <v>2104</v>
      </c>
      <c r="B715" s="2" t="s">
        <v>136</v>
      </c>
      <c r="C715" s="8">
        <v>46236</v>
      </c>
      <c r="D715" s="6">
        <v>46235</v>
      </c>
      <c r="E715" s="2" t="s">
        <v>260</v>
      </c>
      <c r="F715" s="2" t="s">
        <v>2105</v>
      </c>
      <c r="G715" s="6">
        <v>46204</v>
      </c>
      <c r="H715" s="2" t="s">
        <v>71</v>
      </c>
      <c r="I715" s="2" t="s">
        <v>76</v>
      </c>
      <c r="J715" s="9">
        <v>43460000</v>
      </c>
      <c r="K715" s="7">
        <v>6.1500000000000004E-5</v>
      </c>
      <c r="L715" s="9">
        <v>2672.79</v>
      </c>
      <c r="M715" s="9">
        <v>2694.52</v>
      </c>
      <c r="N715" s="9">
        <v>1.8</v>
      </c>
      <c r="O715" s="10">
        <f>IF(AND(OR(H715="APPROVED",H715="SCHEDULED"),COUNTIFS(tblSource[EventID],F715,tblSource[ReleaseStatus],"APPROVED")=1,COUNTIFS(Period_Status!$A$2:$A$8,G715,Period_Status!$B$2:$B$8,"ActualClosed")=1,C715&gt;EOMONTH(Settlement_Bridge!$C$2,0)),1,0)</f>
        <v>1</v>
      </c>
      <c r="P715" s="2" t="s">
        <v>2106</v>
      </c>
    </row>
    <row r="716" spans="1:16" x14ac:dyDescent="0.25">
      <c r="A716" s="2" t="s">
        <v>2107</v>
      </c>
      <c r="B716" s="2" t="s">
        <v>136</v>
      </c>
      <c r="C716" s="8">
        <v>46261</v>
      </c>
      <c r="D716" s="6">
        <v>46235</v>
      </c>
      <c r="E716" s="2" t="s">
        <v>260</v>
      </c>
      <c r="F716" s="2" t="s">
        <v>2105</v>
      </c>
      <c r="G716" s="6">
        <v>46204</v>
      </c>
      <c r="H716" s="2" t="s">
        <v>71</v>
      </c>
      <c r="I716" s="2" t="s">
        <v>76</v>
      </c>
      <c r="J716" s="9">
        <v>65190000</v>
      </c>
      <c r="K716" s="7">
        <v>6.1500000000000004E-5</v>
      </c>
      <c r="L716" s="9">
        <v>4009.19</v>
      </c>
      <c r="M716" s="9">
        <v>4041.78</v>
      </c>
      <c r="N716" s="9">
        <v>2.21</v>
      </c>
      <c r="O716" s="10">
        <f>IF(AND(OR(H716="APPROVED",H716="SCHEDULED"),COUNTIFS(tblSource[EventID],F716,tblSource[ReleaseStatus],"APPROVED")=1,COUNTIFS(Period_Status!$A$2:$A$8,G716,Period_Status!$B$2:$B$8,"ActualClosed")=1,C716&gt;EOMONTH(Settlement_Bridge!$C$2,0)),1,0)</f>
        <v>1</v>
      </c>
      <c r="P716" s="2" t="s">
        <v>2108</v>
      </c>
    </row>
    <row r="717" spans="1:16" x14ac:dyDescent="0.25">
      <c r="A717" s="2" t="s">
        <v>2109</v>
      </c>
      <c r="B717" s="2" t="s">
        <v>136</v>
      </c>
      <c r="C717" s="8">
        <v>46247</v>
      </c>
      <c r="D717" s="6">
        <v>46235</v>
      </c>
      <c r="E717" s="2" t="s">
        <v>260</v>
      </c>
      <c r="F717" s="2" t="s">
        <v>2110</v>
      </c>
      <c r="G717" s="6">
        <v>46204</v>
      </c>
      <c r="H717" s="2" t="s">
        <v>71</v>
      </c>
      <c r="I717" s="2" t="s">
        <v>70</v>
      </c>
      <c r="J717" s="9">
        <v>10500.471125</v>
      </c>
      <c r="K717" s="7">
        <v>0.65</v>
      </c>
      <c r="L717" s="9">
        <v>6825.31</v>
      </c>
      <c r="M717" s="9">
        <v>6909.31</v>
      </c>
      <c r="N717" s="9">
        <v>3.75</v>
      </c>
      <c r="O717" s="10">
        <f>IF(AND(OR(H717="APPROVED",H717="SCHEDULED"),COUNTIFS(tblSource[EventID],F717,tblSource[ReleaseStatus],"APPROVED")=1,COUNTIFS(Period_Status!$A$2:$A$8,G717,Period_Status!$B$2:$B$8,"ActualClosed")=1,C717&gt;EOMONTH(Settlement_Bridge!$C$2,0)),1,0)</f>
        <v>1</v>
      </c>
      <c r="P717" s="2" t="s">
        <v>2111</v>
      </c>
    </row>
    <row r="718" spans="1:16" x14ac:dyDescent="0.25">
      <c r="A718" s="2" t="s">
        <v>2112</v>
      </c>
      <c r="B718" s="2" t="s">
        <v>136</v>
      </c>
      <c r="C718" s="8">
        <v>46248</v>
      </c>
      <c r="D718" s="6">
        <v>46235</v>
      </c>
      <c r="E718" s="2" t="s">
        <v>260</v>
      </c>
      <c r="F718" s="2" t="s">
        <v>2113</v>
      </c>
      <c r="G718" s="6">
        <v>46204</v>
      </c>
      <c r="H718" s="2" t="s">
        <v>71</v>
      </c>
      <c r="I718" s="2" t="s">
        <v>39</v>
      </c>
      <c r="J718" s="9">
        <v>7082.32</v>
      </c>
      <c r="K718" s="7">
        <v>1</v>
      </c>
      <c r="L718" s="9">
        <v>7082.32</v>
      </c>
      <c r="M718" s="9">
        <v>7082.32</v>
      </c>
      <c r="N718" s="9">
        <v>3.9</v>
      </c>
      <c r="O718" s="10">
        <f>IF(AND(OR(H718="APPROVED",H718="SCHEDULED"),COUNTIFS(tblSource[EventID],F718,tblSource[ReleaseStatus],"APPROVED")=1,COUNTIFS(Period_Status!$A$2:$A$8,G718,Period_Status!$B$2:$B$8,"ActualClosed")=1,C718&gt;EOMONTH(Settlement_Bridge!$C$2,0)),1,0)</f>
        <v>1</v>
      </c>
      <c r="P718" s="2" t="s">
        <v>2114</v>
      </c>
    </row>
    <row r="719" spans="1:16" x14ac:dyDescent="0.25">
      <c r="A719" s="2" t="s">
        <v>2115</v>
      </c>
      <c r="B719" s="2" t="s">
        <v>136</v>
      </c>
      <c r="C719" s="8">
        <v>46239</v>
      </c>
      <c r="D719" s="6">
        <v>46235</v>
      </c>
      <c r="E719" s="2" t="s">
        <v>260</v>
      </c>
      <c r="F719" s="2" t="s">
        <v>2116</v>
      </c>
      <c r="G719" s="6">
        <v>46204</v>
      </c>
      <c r="H719" s="2" t="s">
        <v>71</v>
      </c>
      <c r="I719" s="2" t="s">
        <v>76</v>
      </c>
      <c r="J719" s="9">
        <v>46808580.645161003</v>
      </c>
      <c r="K719" s="7">
        <v>6.1500000000000004E-5</v>
      </c>
      <c r="L719" s="9">
        <v>2878.73</v>
      </c>
      <c r="M719" s="9">
        <v>2902.13</v>
      </c>
      <c r="N719" s="9">
        <v>1.8</v>
      </c>
      <c r="O719" s="10">
        <f>IF(AND(OR(H719="APPROVED",H719="SCHEDULED"),COUNTIFS(tblSource[EventID],F719,tblSource[ReleaseStatus],"APPROVED")=1,COUNTIFS(Period_Status!$A$2:$A$8,G719,Period_Status!$B$2:$B$8,"ActualClosed")=1,C719&gt;EOMONTH(Settlement_Bridge!$C$2,0)),1,0)</f>
        <v>1</v>
      </c>
      <c r="P719" s="2" t="s">
        <v>2117</v>
      </c>
    </row>
    <row r="720" spans="1:16" x14ac:dyDescent="0.25">
      <c r="A720" s="2" t="s">
        <v>2118</v>
      </c>
      <c r="B720" s="2" t="s">
        <v>136</v>
      </c>
      <c r="C720" s="8">
        <v>46264</v>
      </c>
      <c r="D720" s="6">
        <v>46235</v>
      </c>
      <c r="E720" s="2" t="s">
        <v>260</v>
      </c>
      <c r="F720" s="2" t="s">
        <v>2116</v>
      </c>
      <c r="G720" s="6">
        <v>46204</v>
      </c>
      <c r="H720" s="2" t="s">
        <v>71</v>
      </c>
      <c r="I720" s="2" t="s">
        <v>76</v>
      </c>
      <c r="J720" s="9">
        <v>70212870.967741996</v>
      </c>
      <c r="K720" s="7">
        <v>6.1500000000000004E-5</v>
      </c>
      <c r="L720" s="9">
        <v>4318.09</v>
      </c>
      <c r="M720" s="9">
        <v>4353.2</v>
      </c>
      <c r="N720" s="9">
        <v>2.37</v>
      </c>
      <c r="O720" s="10">
        <f>IF(AND(OR(H720="APPROVED",H720="SCHEDULED"),COUNTIFS(tblSource[EventID],F720,tblSource[ReleaseStatus],"APPROVED")=1,COUNTIFS(Period_Status!$A$2:$A$8,G720,Period_Status!$B$2:$B$8,"ActualClosed")=1,C720&gt;EOMONTH(Settlement_Bridge!$C$2,0)),1,0)</f>
        <v>1</v>
      </c>
      <c r="P720" s="2" t="s">
        <v>2119</v>
      </c>
    </row>
    <row r="721" spans="1:16" x14ac:dyDescent="0.25">
      <c r="A721" s="2" t="s">
        <v>2120</v>
      </c>
      <c r="B721" s="2" t="s">
        <v>136</v>
      </c>
      <c r="C721" s="8">
        <v>46250</v>
      </c>
      <c r="D721" s="6">
        <v>46235</v>
      </c>
      <c r="E721" s="2" t="s">
        <v>260</v>
      </c>
      <c r="F721" s="2" t="s">
        <v>2121</v>
      </c>
      <c r="G721" s="6">
        <v>46204</v>
      </c>
      <c r="H721" s="2" t="s">
        <v>71</v>
      </c>
      <c r="I721" s="2" t="s">
        <v>70</v>
      </c>
      <c r="J721" s="9">
        <v>11289.270517000001</v>
      </c>
      <c r="K721" s="7">
        <v>0.65</v>
      </c>
      <c r="L721" s="9">
        <v>7338.03</v>
      </c>
      <c r="M721" s="9">
        <v>7428.34</v>
      </c>
      <c r="N721" s="9">
        <v>4.04</v>
      </c>
      <c r="O721" s="10">
        <f>IF(AND(OR(H721="APPROVED",H721="SCHEDULED"),COUNTIFS(tblSource[EventID],F721,tblSource[ReleaseStatus],"APPROVED")=1,COUNTIFS(Period_Status!$A$2:$A$8,G721,Period_Status!$B$2:$B$8,"ActualClosed")=1,C721&gt;EOMONTH(Settlement_Bridge!$C$2,0)),1,0)</f>
        <v>1</v>
      </c>
      <c r="P721" s="2" t="s">
        <v>2122</v>
      </c>
    </row>
    <row r="722" spans="1:16" x14ac:dyDescent="0.25">
      <c r="A722" s="2" t="s">
        <v>2123</v>
      </c>
      <c r="B722" s="2" t="s">
        <v>136</v>
      </c>
      <c r="C722" s="8">
        <v>46251</v>
      </c>
      <c r="D722" s="6">
        <v>46235</v>
      </c>
      <c r="E722" s="2" t="s">
        <v>260</v>
      </c>
      <c r="F722" s="2" t="s">
        <v>2124</v>
      </c>
      <c r="G722" s="6">
        <v>46204</v>
      </c>
      <c r="H722" s="2" t="s">
        <v>71</v>
      </c>
      <c r="I722" s="2" t="s">
        <v>39</v>
      </c>
      <c r="J722" s="9">
        <v>7601.35</v>
      </c>
      <c r="K722" s="7">
        <v>1</v>
      </c>
      <c r="L722" s="9">
        <v>7601.35</v>
      </c>
      <c r="M722" s="9">
        <v>7601.35</v>
      </c>
      <c r="N722" s="9">
        <v>4.18</v>
      </c>
      <c r="O722" s="10">
        <f>IF(AND(OR(H722="APPROVED",H722="SCHEDULED"),COUNTIFS(tblSource[EventID],F722,tblSource[ReleaseStatus],"APPROVED")=1,COUNTIFS(Period_Status!$A$2:$A$8,G722,Period_Status!$B$2:$B$8,"ActualClosed")=1,C722&gt;EOMONTH(Settlement_Bridge!$C$2,0)),1,0)</f>
        <v>1</v>
      </c>
      <c r="P722" s="2" t="s">
        <v>2125</v>
      </c>
    </row>
    <row r="723" spans="1:16" x14ac:dyDescent="0.25">
      <c r="A723" s="2" t="s">
        <v>2126</v>
      </c>
      <c r="B723" s="2" t="s">
        <v>136</v>
      </c>
      <c r="C723" s="8">
        <v>46252</v>
      </c>
      <c r="D723" s="6">
        <v>46235</v>
      </c>
      <c r="E723" s="2" t="s">
        <v>260</v>
      </c>
      <c r="F723" s="2" t="s">
        <v>2127</v>
      </c>
      <c r="G723" s="6">
        <v>46204</v>
      </c>
      <c r="H723" s="2" t="s">
        <v>71</v>
      </c>
      <c r="I723" s="2" t="s">
        <v>76</v>
      </c>
      <c r="J723" s="9">
        <v>125392903.225806</v>
      </c>
      <c r="K723" s="7">
        <v>6.1500000000000004E-5</v>
      </c>
      <c r="L723" s="9">
        <v>7711.66</v>
      </c>
      <c r="M723" s="9">
        <v>7774.36</v>
      </c>
      <c r="N723" s="9">
        <v>4.24</v>
      </c>
      <c r="O723" s="10">
        <f>IF(AND(OR(H723="APPROVED",H723="SCHEDULED"),COUNTIFS(tblSource[EventID],F723,tblSource[ReleaseStatus],"APPROVED")=1,COUNTIFS(Period_Status!$A$2:$A$8,G723,Period_Status!$B$2:$B$8,"ActualClosed")=1,C723&gt;EOMONTH(Settlement_Bridge!$C$2,0)),1,0)</f>
        <v>1</v>
      </c>
      <c r="P723" s="2" t="s">
        <v>2128</v>
      </c>
    </row>
    <row r="724" spans="1:16" x14ac:dyDescent="0.25">
      <c r="A724" s="2" t="s">
        <v>2129</v>
      </c>
      <c r="B724" s="2" t="s">
        <v>136</v>
      </c>
      <c r="C724" s="8">
        <v>46253</v>
      </c>
      <c r="D724" s="6">
        <v>46235</v>
      </c>
      <c r="E724" s="2" t="s">
        <v>260</v>
      </c>
      <c r="F724" s="2" t="s">
        <v>2130</v>
      </c>
      <c r="G724" s="6">
        <v>46204</v>
      </c>
      <c r="H724" s="2" t="s">
        <v>71</v>
      </c>
      <c r="I724" s="2" t="s">
        <v>70</v>
      </c>
      <c r="J724" s="9">
        <v>12078.069909</v>
      </c>
      <c r="K724" s="7">
        <v>0.65</v>
      </c>
      <c r="L724" s="9">
        <v>7850.75</v>
      </c>
      <c r="M724" s="9">
        <v>7947.37</v>
      </c>
      <c r="N724" s="9">
        <v>4.32</v>
      </c>
      <c r="O724" s="10">
        <f>IF(AND(OR(H724="APPROVED",H724="SCHEDULED"),COUNTIFS(tblSource[EventID],F724,tblSource[ReleaseStatus],"APPROVED")=1,COUNTIFS(Period_Status!$A$2:$A$8,G724,Period_Status!$B$2:$B$8,"ActualClosed")=1,C724&gt;EOMONTH(Settlement_Bridge!$C$2,0)),1,0)</f>
        <v>1</v>
      </c>
      <c r="P724" s="2" t="s">
        <v>2131</v>
      </c>
    </row>
    <row r="725" spans="1:16" x14ac:dyDescent="0.25">
      <c r="A725" s="2" t="s">
        <v>2132</v>
      </c>
      <c r="B725" s="2" t="s">
        <v>136</v>
      </c>
      <c r="C725" s="8">
        <v>46254</v>
      </c>
      <c r="D725" s="6">
        <v>46235</v>
      </c>
      <c r="E725" s="2" t="s">
        <v>260</v>
      </c>
      <c r="F725" s="2" t="s">
        <v>2133</v>
      </c>
      <c r="G725" s="6">
        <v>46204</v>
      </c>
      <c r="H725" s="2" t="s">
        <v>71</v>
      </c>
      <c r="I725" s="2" t="s">
        <v>39</v>
      </c>
      <c r="J725" s="9">
        <v>8120.38</v>
      </c>
      <c r="K725" s="7">
        <v>1</v>
      </c>
      <c r="L725" s="9">
        <v>8120.38</v>
      </c>
      <c r="M725" s="9">
        <v>8120.38</v>
      </c>
      <c r="N725" s="9">
        <v>4.47</v>
      </c>
      <c r="O725" s="10">
        <f>IF(AND(OR(H725="APPROVED",H725="SCHEDULED"),COUNTIFS(tblSource[EventID],F725,tblSource[ReleaseStatus],"APPROVED")=1,COUNTIFS(Period_Status!$A$2:$A$8,G725,Period_Status!$B$2:$B$8,"ActualClosed")=1,C725&gt;EOMONTH(Settlement_Bridge!$C$2,0)),1,0)</f>
        <v>1</v>
      </c>
      <c r="P725" s="2" t="s">
        <v>2134</v>
      </c>
    </row>
    <row r="726" spans="1:16" x14ac:dyDescent="0.25">
      <c r="A726" s="2" t="s">
        <v>2135</v>
      </c>
      <c r="B726" s="2" t="s">
        <v>136</v>
      </c>
      <c r="C726" s="8">
        <v>46245</v>
      </c>
      <c r="D726" s="6">
        <v>46235</v>
      </c>
      <c r="E726" s="2" t="s">
        <v>260</v>
      </c>
      <c r="F726" s="2" t="s">
        <v>2136</v>
      </c>
      <c r="G726" s="6">
        <v>46204</v>
      </c>
      <c r="H726" s="2" t="s">
        <v>71</v>
      </c>
      <c r="I726" s="2" t="s">
        <v>76</v>
      </c>
      <c r="J726" s="9">
        <v>53505741.935484</v>
      </c>
      <c r="K726" s="7">
        <v>6.1500000000000004E-5</v>
      </c>
      <c r="L726" s="9">
        <v>3290.6</v>
      </c>
      <c r="M726" s="9">
        <v>3317.36</v>
      </c>
      <c r="N726" s="9">
        <v>1.81</v>
      </c>
      <c r="O726" s="10">
        <f>IF(AND(OR(H726="APPROVED",H726="SCHEDULED"),COUNTIFS(tblSource[EventID],F726,tblSource[ReleaseStatus],"APPROVED")=1,COUNTIFS(Period_Status!$A$2:$A$8,G726,Period_Status!$B$2:$B$8,"ActualClosed")=1,C726&gt;EOMONTH(Settlement_Bridge!$C$2,0)),1,0)</f>
        <v>1</v>
      </c>
      <c r="P726" s="2" t="s">
        <v>2137</v>
      </c>
    </row>
    <row r="727" spans="1:16" x14ac:dyDescent="0.25">
      <c r="A727" s="2" t="s">
        <v>2138</v>
      </c>
      <c r="B727" s="2" t="s">
        <v>136</v>
      </c>
      <c r="C727" s="8">
        <v>46270</v>
      </c>
      <c r="D727" s="6">
        <v>46266</v>
      </c>
      <c r="E727" s="2" t="s">
        <v>260</v>
      </c>
      <c r="F727" s="2" t="s">
        <v>2136</v>
      </c>
      <c r="G727" s="6">
        <v>46204</v>
      </c>
      <c r="H727" s="2" t="s">
        <v>176</v>
      </c>
      <c r="I727" s="2" t="s">
        <v>76</v>
      </c>
      <c r="J727" s="9">
        <v>80258612.903226003</v>
      </c>
      <c r="K727" s="7">
        <v>6.1299999999999999E-5</v>
      </c>
      <c r="L727" s="9">
        <v>4919.8500000000004</v>
      </c>
      <c r="M727" s="9">
        <v>4976.03</v>
      </c>
      <c r="N727" s="9">
        <v>2.71</v>
      </c>
      <c r="O727" s="10">
        <f>IF(AND(OR(H727="APPROVED",H727="SCHEDULED"),COUNTIFS(tblSource[EventID],F727,tblSource[ReleaseStatus],"APPROVED")=1,COUNTIFS(Period_Status!$A$2:$A$8,G727,Period_Status!$B$2:$B$8,"ActualClosed")=1,C727&gt;EOMONTH(Settlement_Bridge!$C$2,0)),1,0)</f>
        <v>1</v>
      </c>
      <c r="P727" s="2" t="s">
        <v>2139</v>
      </c>
    </row>
    <row r="728" spans="1:16" x14ac:dyDescent="0.25">
      <c r="A728" s="2" t="s">
        <v>2140</v>
      </c>
      <c r="B728" s="2" t="s">
        <v>136</v>
      </c>
      <c r="C728" s="8">
        <v>46246</v>
      </c>
      <c r="D728" s="6">
        <v>46235</v>
      </c>
      <c r="E728" s="2" t="s">
        <v>260</v>
      </c>
      <c r="F728" s="2" t="s">
        <v>2141</v>
      </c>
      <c r="G728" s="6">
        <v>46204</v>
      </c>
      <c r="H728" s="2" t="s">
        <v>71</v>
      </c>
      <c r="I728" s="2" t="s">
        <v>70</v>
      </c>
      <c r="J728" s="9">
        <v>5146.7477200000003</v>
      </c>
      <c r="K728" s="7">
        <v>0.65</v>
      </c>
      <c r="L728" s="9">
        <v>3345.39</v>
      </c>
      <c r="M728" s="9">
        <v>3386.56</v>
      </c>
      <c r="N728" s="9">
        <v>1.84</v>
      </c>
      <c r="O728" s="10">
        <f>IF(AND(OR(H728="APPROVED",H728="SCHEDULED"),COUNTIFS(tblSource[EventID],F728,tblSource[ReleaseStatus],"APPROVED")=1,COUNTIFS(Period_Status!$A$2:$A$8,G728,Period_Status!$B$2:$B$8,"ActualClosed")=1,C728&gt;EOMONTH(Settlement_Bridge!$C$2,0)),1,0)</f>
        <v>1</v>
      </c>
      <c r="P728" s="2" t="s">
        <v>2142</v>
      </c>
    </row>
    <row r="729" spans="1:16" x14ac:dyDescent="0.25">
      <c r="A729" s="2" t="s">
        <v>2143</v>
      </c>
      <c r="B729" s="2" t="s">
        <v>136</v>
      </c>
      <c r="C729" s="8">
        <v>46271</v>
      </c>
      <c r="D729" s="6">
        <v>46266</v>
      </c>
      <c r="E729" s="2" t="s">
        <v>260</v>
      </c>
      <c r="F729" s="2" t="s">
        <v>2141</v>
      </c>
      <c r="G729" s="6">
        <v>46204</v>
      </c>
      <c r="H729" s="2" t="s">
        <v>176</v>
      </c>
      <c r="I729" s="2" t="s">
        <v>70</v>
      </c>
      <c r="J729" s="9">
        <v>7720.1215810000003</v>
      </c>
      <c r="K729" s="7">
        <v>0.65100000000000002</v>
      </c>
      <c r="L729" s="9">
        <v>5025.8</v>
      </c>
      <c r="M729" s="9">
        <v>5079.84</v>
      </c>
      <c r="N729" s="9">
        <v>2.76</v>
      </c>
      <c r="O729" s="10">
        <f>IF(AND(OR(H729="APPROVED",H729="SCHEDULED"),COUNTIFS(tblSource[EventID],F729,tblSource[ReleaseStatus],"APPROVED")=1,COUNTIFS(Period_Status!$A$2:$A$8,G729,Period_Status!$B$2:$B$8,"ActualClosed")=1,C729&gt;EOMONTH(Settlement_Bridge!$C$2,0)),1,0)</f>
        <v>1</v>
      </c>
      <c r="P729" s="2" t="s">
        <v>2144</v>
      </c>
    </row>
    <row r="730" spans="1:16" x14ac:dyDescent="0.25">
      <c r="A730" s="2" t="s">
        <v>2145</v>
      </c>
      <c r="B730" s="2" t="s">
        <v>136</v>
      </c>
      <c r="C730" s="8">
        <v>46257</v>
      </c>
      <c r="D730" s="6">
        <v>46235</v>
      </c>
      <c r="E730" s="2" t="s">
        <v>260</v>
      </c>
      <c r="F730" s="2" t="s">
        <v>2146</v>
      </c>
      <c r="G730" s="6">
        <v>46204</v>
      </c>
      <c r="H730" s="2" t="s">
        <v>71</v>
      </c>
      <c r="I730" s="2" t="s">
        <v>39</v>
      </c>
      <c r="J730" s="9">
        <v>8639.41</v>
      </c>
      <c r="K730" s="7">
        <v>1</v>
      </c>
      <c r="L730" s="9">
        <v>8639.41</v>
      </c>
      <c r="M730" s="9">
        <v>8639.41</v>
      </c>
      <c r="N730" s="9">
        <v>4.75</v>
      </c>
      <c r="O730" s="10">
        <f>IF(AND(OR(H730="APPROVED",H730="SCHEDULED"),COUNTIFS(tblSource[EventID],F730,tblSource[ReleaseStatus],"APPROVED")=1,COUNTIFS(Period_Status!$A$2:$A$8,G730,Period_Status!$B$2:$B$8,"ActualClosed")=1,C730&gt;EOMONTH(Settlement_Bridge!$C$2,0)),1,0)</f>
        <v>1</v>
      </c>
      <c r="P730" s="2" t="s">
        <v>2147</v>
      </c>
    </row>
    <row r="731" spans="1:16" x14ac:dyDescent="0.25">
      <c r="A731" s="2" t="s">
        <v>2148</v>
      </c>
      <c r="B731" s="2" t="s">
        <v>136</v>
      </c>
      <c r="C731" s="8">
        <v>46258</v>
      </c>
      <c r="D731" s="6">
        <v>46235</v>
      </c>
      <c r="E731" s="2" t="s">
        <v>260</v>
      </c>
      <c r="F731" s="2" t="s">
        <v>2149</v>
      </c>
      <c r="G731" s="6">
        <v>46204</v>
      </c>
      <c r="H731" s="2" t="s">
        <v>71</v>
      </c>
      <c r="I731" s="2" t="s">
        <v>76</v>
      </c>
      <c r="J731" s="9">
        <v>142135806.45161301</v>
      </c>
      <c r="K731" s="7">
        <v>6.1500000000000004E-5</v>
      </c>
      <c r="L731" s="9">
        <v>8741.35</v>
      </c>
      <c r="M731" s="9">
        <v>8812.42</v>
      </c>
      <c r="N731" s="9">
        <v>4.8099999999999996</v>
      </c>
      <c r="O731" s="10">
        <f>IF(AND(OR(H731="APPROVED",H731="SCHEDULED"),COUNTIFS(tblSource[EventID],F731,tblSource[ReleaseStatus],"APPROVED")=1,COUNTIFS(Period_Status!$A$2:$A$8,G731,Period_Status!$B$2:$B$8,"ActualClosed")=1,C731&gt;EOMONTH(Settlement_Bridge!$C$2,0)),1,0)</f>
        <v>1</v>
      </c>
      <c r="P731" s="2" t="s">
        <v>2150</v>
      </c>
    </row>
    <row r="732" spans="1:16" x14ac:dyDescent="0.25">
      <c r="A732" s="2" t="s">
        <v>2151</v>
      </c>
      <c r="B732" s="2" t="s">
        <v>136</v>
      </c>
      <c r="C732" s="8">
        <v>46218</v>
      </c>
      <c r="D732" s="6">
        <v>46204</v>
      </c>
      <c r="E732" s="2" t="s">
        <v>260</v>
      </c>
      <c r="F732" s="2" t="s">
        <v>2152</v>
      </c>
      <c r="G732" s="6">
        <v>46204</v>
      </c>
      <c r="H732" s="2" t="s">
        <v>71</v>
      </c>
      <c r="I732" s="2" t="s">
        <v>70</v>
      </c>
      <c r="J732" s="9">
        <v>5462.2674770000003</v>
      </c>
      <c r="K732" s="7">
        <v>0.65800000000000003</v>
      </c>
      <c r="L732" s="9">
        <v>3594.17</v>
      </c>
      <c r="M732" s="9">
        <v>3594.17</v>
      </c>
      <c r="N732" s="9">
        <v>1.98</v>
      </c>
      <c r="O732" s="10">
        <f>IF(AND(OR(H732="APPROVED",H732="SCHEDULED"),COUNTIFS(tblSource[EventID],F732,tblSource[ReleaseStatus],"APPROVED")=1,COUNTIFS(Period_Status!$A$2:$A$8,G732,Period_Status!$B$2:$B$8,"ActualClosed")=1,C732&gt;EOMONTH(Settlement_Bridge!$C$2,0)),1,0)</f>
        <v>0</v>
      </c>
      <c r="P732" s="2" t="s">
        <v>2153</v>
      </c>
    </row>
    <row r="733" spans="1:16" x14ac:dyDescent="0.25">
      <c r="A733" s="2" t="s">
        <v>2154</v>
      </c>
      <c r="B733" s="2" t="s">
        <v>136</v>
      </c>
      <c r="C733" s="8">
        <v>46243</v>
      </c>
      <c r="D733" s="6">
        <v>46235</v>
      </c>
      <c r="E733" s="2" t="s">
        <v>260</v>
      </c>
      <c r="F733" s="2" t="s">
        <v>2152</v>
      </c>
      <c r="G733" s="6">
        <v>46204</v>
      </c>
      <c r="H733" s="2" t="s">
        <v>71</v>
      </c>
      <c r="I733" s="2" t="s">
        <v>70</v>
      </c>
      <c r="J733" s="9">
        <v>8193.4012160000002</v>
      </c>
      <c r="K733" s="7">
        <v>0.65</v>
      </c>
      <c r="L733" s="9">
        <v>5325.71</v>
      </c>
      <c r="M733" s="9">
        <v>5391.26</v>
      </c>
      <c r="N733" s="9">
        <v>2.93</v>
      </c>
      <c r="O733" s="10">
        <f>IF(AND(OR(H733="APPROVED",H733="SCHEDULED"),COUNTIFS(tblSource[EventID],F733,tblSource[ReleaseStatus],"APPROVED")=1,COUNTIFS(Period_Status!$A$2:$A$8,G733,Period_Status!$B$2:$B$8,"ActualClosed")=1,C733&gt;EOMONTH(Settlement_Bridge!$C$2,0)),1,0)</f>
        <v>1</v>
      </c>
      <c r="P733" s="2" t="s">
        <v>2155</v>
      </c>
    </row>
    <row r="734" spans="1:16" x14ac:dyDescent="0.25">
      <c r="A734" s="2" t="s">
        <v>2156</v>
      </c>
      <c r="B734" s="2" t="s">
        <v>136</v>
      </c>
      <c r="C734" s="8">
        <v>46229</v>
      </c>
      <c r="D734" s="6">
        <v>46204</v>
      </c>
      <c r="E734" s="2" t="s">
        <v>260</v>
      </c>
      <c r="F734" s="2" t="s">
        <v>2157</v>
      </c>
      <c r="G734" s="6">
        <v>46204</v>
      </c>
      <c r="H734" s="2" t="s">
        <v>71</v>
      </c>
      <c r="I734" s="2" t="s">
        <v>39</v>
      </c>
      <c r="J734" s="9">
        <v>9158.44</v>
      </c>
      <c r="K734" s="7">
        <v>1</v>
      </c>
      <c r="L734" s="9">
        <v>9158.44</v>
      </c>
      <c r="M734" s="9">
        <v>9158.44</v>
      </c>
      <c r="N734" s="9">
        <v>5.04</v>
      </c>
      <c r="O734" s="10">
        <f>IF(AND(OR(H734="APPROVED",H734="SCHEDULED"),COUNTIFS(tblSource[EventID],F734,tblSource[ReleaseStatus],"APPROVED")=1,COUNTIFS(Period_Status!$A$2:$A$8,G734,Period_Status!$B$2:$B$8,"ActualClosed")=1,C734&gt;EOMONTH(Settlement_Bridge!$C$2,0)),1,0)</f>
        <v>0</v>
      </c>
      <c r="P734" s="2" t="s">
        <v>2158</v>
      </c>
    </row>
    <row r="735" spans="1:16" x14ac:dyDescent="0.25">
      <c r="A735" s="2" t="s">
        <v>2159</v>
      </c>
      <c r="B735" s="2" t="s">
        <v>136</v>
      </c>
      <c r="C735" s="8">
        <v>46230</v>
      </c>
      <c r="D735" s="6">
        <v>46204</v>
      </c>
      <c r="E735" s="2" t="s">
        <v>260</v>
      </c>
      <c r="F735" s="2" t="s">
        <v>2160</v>
      </c>
      <c r="G735" s="6">
        <v>46204</v>
      </c>
      <c r="H735" s="2" t="s">
        <v>71</v>
      </c>
      <c r="I735" s="2" t="s">
        <v>76</v>
      </c>
      <c r="J735" s="9">
        <v>150507258.06451601</v>
      </c>
      <c r="K735" s="7">
        <v>6.2000000000000003E-5</v>
      </c>
      <c r="L735" s="9">
        <v>9331.4500000000007</v>
      </c>
      <c r="M735" s="9">
        <v>9331.4500000000007</v>
      </c>
      <c r="N735" s="9">
        <v>5.13</v>
      </c>
      <c r="O735" s="10">
        <f>IF(AND(OR(H735="APPROVED",H735="SCHEDULED"),COUNTIFS(tblSource[EventID],F735,tblSource[ReleaseStatus],"APPROVED")=1,COUNTIFS(Period_Status!$A$2:$A$8,G735,Period_Status!$B$2:$B$8,"ActualClosed")=1,C735&gt;EOMONTH(Settlement_Bridge!$C$2,0)),1,0)</f>
        <v>0</v>
      </c>
      <c r="P735" s="2" t="s">
        <v>2161</v>
      </c>
    </row>
    <row r="736" spans="1:16" x14ac:dyDescent="0.25">
      <c r="A736" s="2" t="s">
        <v>2162</v>
      </c>
      <c r="B736" s="2" t="s">
        <v>136</v>
      </c>
      <c r="C736" s="8">
        <v>46231</v>
      </c>
      <c r="D736" s="6">
        <v>46204</v>
      </c>
      <c r="E736" s="2" t="s">
        <v>260</v>
      </c>
      <c r="F736" s="2" t="s">
        <v>2163</v>
      </c>
      <c r="G736" s="6">
        <v>46204</v>
      </c>
      <c r="H736" s="2" t="s">
        <v>71</v>
      </c>
      <c r="I736" s="2" t="s">
        <v>70</v>
      </c>
      <c r="J736" s="9">
        <v>14444.468085</v>
      </c>
      <c r="K736" s="7">
        <v>0.65800000000000003</v>
      </c>
      <c r="L736" s="9">
        <v>9504.4599999999991</v>
      </c>
      <c r="M736" s="9">
        <v>9504.4599999999991</v>
      </c>
      <c r="N736" s="9">
        <v>5.23</v>
      </c>
      <c r="O736" s="10">
        <f>IF(AND(OR(H736="APPROVED",H736="SCHEDULED"),COUNTIFS(tblSource[EventID],F736,tblSource[ReleaseStatus],"APPROVED")=1,COUNTIFS(Period_Status!$A$2:$A$8,G736,Period_Status!$B$2:$B$8,"ActualClosed")=1,C736&gt;EOMONTH(Settlement_Bridge!$C$2,0)),1,0)</f>
        <v>0</v>
      </c>
      <c r="P736" s="2" t="s">
        <v>2164</v>
      </c>
    </row>
    <row r="737" spans="1:16" x14ac:dyDescent="0.25">
      <c r="A737" s="2" t="s">
        <v>2165</v>
      </c>
      <c r="B737" s="2" t="s">
        <v>136</v>
      </c>
      <c r="C737" s="8">
        <v>46232</v>
      </c>
      <c r="D737" s="6">
        <v>46204</v>
      </c>
      <c r="E737" s="2" t="s">
        <v>260</v>
      </c>
      <c r="F737" s="2" t="s">
        <v>2166</v>
      </c>
      <c r="G737" s="6">
        <v>46204</v>
      </c>
      <c r="H737" s="2" t="s">
        <v>71</v>
      </c>
      <c r="I737" s="2" t="s">
        <v>39</v>
      </c>
      <c r="J737" s="9">
        <v>9677.4699999999993</v>
      </c>
      <c r="K737" s="7">
        <v>1</v>
      </c>
      <c r="L737" s="9">
        <v>9677.4699999999993</v>
      </c>
      <c r="M737" s="9">
        <v>9677.4699999999993</v>
      </c>
      <c r="N737" s="9">
        <v>5.32</v>
      </c>
      <c r="O737" s="10">
        <f>IF(AND(OR(H737="APPROVED",H737="SCHEDULED"),COUNTIFS(tblSource[EventID],F737,tblSource[ReleaseStatus],"APPROVED")=1,COUNTIFS(Period_Status!$A$2:$A$8,G737,Period_Status!$B$2:$B$8,"ActualClosed")=1,C737&gt;EOMONTH(Settlement_Bridge!$C$2,0)),1,0)</f>
        <v>0</v>
      </c>
      <c r="P737" s="2" t="s">
        <v>2167</v>
      </c>
    </row>
    <row r="738" spans="1:16" x14ac:dyDescent="0.25">
      <c r="A738" s="2" t="s">
        <v>2168</v>
      </c>
      <c r="B738" s="2" t="s">
        <v>136</v>
      </c>
      <c r="C738" s="8">
        <v>46233</v>
      </c>
      <c r="D738" s="6">
        <v>46204</v>
      </c>
      <c r="E738" s="2" t="s">
        <v>260</v>
      </c>
      <c r="F738" s="2" t="s">
        <v>2169</v>
      </c>
      <c r="G738" s="6">
        <v>46204</v>
      </c>
      <c r="H738" s="2" t="s">
        <v>71</v>
      </c>
      <c r="I738" s="2" t="s">
        <v>76</v>
      </c>
      <c r="J738" s="9">
        <v>-158878709.67741901</v>
      </c>
      <c r="K738" s="7">
        <v>6.2000000000000003E-5</v>
      </c>
      <c r="L738" s="9">
        <v>-9850.48</v>
      </c>
      <c r="M738" s="9">
        <v>-9850.48</v>
      </c>
      <c r="N738" s="9">
        <v>0</v>
      </c>
      <c r="O738" s="10">
        <f>IF(AND(OR(H738="APPROVED",H738="SCHEDULED"),COUNTIFS(tblSource[EventID],F738,tblSource[ReleaseStatus],"APPROVED")=1,COUNTIFS(Period_Status!$A$2:$A$8,G738,Period_Status!$B$2:$B$8,"ActualClosed")=1,C738&gt;EOMONTH(Settlement_Bridge!$C$2,0)),1,0)</f>
        <v>0</v>
      </c>
      <c r="P738" s="2" t="s">
        <v>2170</v>
      </c>
    </row>
    <row r="739" spans="1:16" x14ac:dyDescent="0.25">
      <c r="A739" s="2" t="s">
        <v>2171</v>
      </c>
      <c r="B739" s="2" t="s">
        <v>136</v>
      </c>
      <c r="C739" s="8">
        <v>46224</v>
      </c>
      <c r="D739" s="6">
        <v>46204</v>
      </c>
      <c r="E739" s="2" t="s">
        <v>260</v>
      </c>
      <c r="F739" s="2" t="s">
        <v>2172</v>
      </c>
      <c r="G739" s="6">
        <v>46204</v>
      </c>
      <c r="H739" s="2" t="s">
        <v>71</v>
      </c>
      <c r="I739" s="2" t="s">
        <v>70</v>
      </c>
      <c r="J739" s="9">
        <v>6093.3069910000004</v>
      </c>
      <c r="K739" s="7">
        <v>0.65800000000000003</v>
      </c>
      <c r="L739" s="9">
        <v>4009.4</v>
      </c>
      <c r="M739" s="9">
        <v>4009.4</v>
      </c>
      <c r="N739" s="9">
        <v>2.21</v>
      </c>
      <c r="O739" s="10">
        <f>IF(AND(OR(H739="APPROVED",H739="SCHEDULED"),COUNTIFS(tblSource[EventID],F739,tblSource[ReleaseStatus],"APPROVED")=1,COUNTIFS(Period_Status!$A$2:$A$8,G739,Period_Status!$B$2:$B$8,"ActualClosed")=1,C739&gt;EOMONTH(Settlement_Bridge!$C$2,0)),1,0)</f>
        <v>0</v>
      </c>
      <c r="P739" s="2" t="s">
        <v>2173</v>
      </c>
    </row>
    <row r="740" spans="1:16" x14ac:dyDescent="0.25">
      <c r="A740" s="2" t="s">
        <v>2174</v>
      </c>
      <c r="B740" s="2" t="s">
        <v>136</v>
      </c>
      <c r="C740" s="8">
        <v>46249</v>
      </c>
      <c r="D740" s="6">
        <v>46235</v>
      </c>
      <c r="E740" s="2" t="s">
        <v>260</v>
      </c>
      <c r="F740" s="2" t="s">
        <v>2172</v>
      </c>
      <c r="G740" s="6">
        <v>46204</v>
      </c>
      <c r="H740" s="2" t="s">
        <v>71</v>
      </c>
      <c r="I740" s="2" t="s">
        <v>70</v>
      </c>
      <c r="J740" s="9">
        <v>9139.9604859999999</v>
      </c>
      <c r="K740" s="7">
        <v>0.65</v>
      </c>
      <c r="L740" s="9">
        <v>5940.97</v>
      </c>
      <c r="M740" s="9">
        <v>6014.09</v>
      </c>
      <c r="N740" s="9">
        <v>3.27</v>
      </c>
      <c r="O740" s="10">
        <f>IF(AND(OR(H740="APPROVED",H740="SCHEDULED"),COUNTIFS(tblSource[EventID],F740,tblSource[ReleaseStatus],"APPROVED")=1,COUNTIFS(Period_Status!$A$2:$A$8,G740,Period_Status!$B$2:$B$8,"ActualClosed")=1,C740&gt;EOMONTH(Settlement_Bridge!$C$2,0)),1,0)</f>
        <v>1</v>
      </c>
      <c r="P740" s="2" t="s">
        <v>2175</v>
      </c>
    </row>
    <row r="741" spans="1:16" x14ac:dyDescent="0.25">
      <c r="A741" s="2" t="s">
        <v>2176</v>
      </c>
      <c r="B741" s="2" t="s">
        <v>136</v>
      </c>
      <c r="C741" s="8">
        <v>46225</v>
      </c>
      <c r="D741" s="6">
        <v>46204</v>
      </c>
      <c r="E741" s="2" t="s">
        <v>260</v>
      </c>
      <c r="F741" s="2" t="s">
        <v>2177</v>
      </c>
      <c r="G741" s="6">
        <v>46204</v>
      </c>
      <c r="H741" s="2" t="s">
        <v>71</v>
      </c>
      <c r="I741" s="2" t="s">
        <v>39</v>
      </c>
      <c r="J741" s="9">
        <v>4078.6</v>
      </c>
      <c r="K741" s="7">
        <v>1</v>
      </c>
      <c r="L741" s="9">
        <v>4078.6</v>
      </c>
      <c r="M741" s="9">
        <v>4078.6</v>
      </c>
      <c r="N741" s="9">
        <v>2.2400000000000002</v>
      </c>
      <c r="O741" s="10">
        <f>IF(AND(OR(H741="APPROVED",H741="SCHEDULED"),COUNTIFS(tblSource[EventID],F741,tblSource[ReleaseStatus],"APPROVED")=1,COUNTIFS(Period_Status!$A$2:$A$8,G741,Period_Status!$B$2:$B$8,"ActualClosed")=1,C741&gt;EOMONTH(Settlement_Bridge!$C$2,0)),1,0)</f>
        <v>0</v>
      </c>
      <c r="P741" s="2" t="s">
        <v>2178</v>
      </c>
    </row>
    <row r="742" spans="1:16" x14ac:dyDescent="0.25">
      <c r="A742" s="2" t="s">
        <v>2179</v>
      </c>
      <c r="B742" s="2" t="s">
        <v>136</v>
      </c>
      <c r="C742" s="8">
        <v>46250</v>
      </c>
      <c r="D742" s="6">
        <v>46235</v>
      </c>
      <c r="E742" s="2" t="s">
        <v>260</v>
      </c>
      <c r="F742" s="2" t="s">
        <v>2177</v>
      </c>
      <c r="G742" s="6">
        <v>46204</v>
      </c>
      <c r="H742" s="2" t="s">
        <v>71</v>
      </c>
      <c r="I742" s="2" t="s">
        <v>39</v>
      </c>
      <c r="J742" s="9">
        <v>6117.9</v>
      </c>
      <c r="K742" s="7">
        <v>1</v>
      </c>
      <c r="L742" s="9">
        <v>6117.9</v>
      </c>
      <c r="M742" s="9">
        <v>6117.9</v>
      </c>
      <c r="N742" s="9">
        <v>3.36</v>
      </c>
      <c r="O742" s="10">
        <f>IF(AND(OR(H742="APPROVED",H742="SCHEDULED"),COUNTIFS(tblSource[EventID],F742,tblSource[ReleaseStatus],"APPROVED")=1,COUNTIFS(Period_Status!$A$2:$A$8,G742,Period_Status!$B$2:$B$8,"ActualClosed")=1,C742&gt;EOMONTH(Settlement_Bridge!$C$2,0)),1,0)</f>
        <v>1</v>
      </c>
      <c r="P742" s="2" t="s">
        <v>2180</v>
      </c>
    </row>
    <row r="743" spans="1:16" x14ac:dyDescent="0.25">
      <c r="A743" s="2" t="s">
        <v>2181</v>
      </c>
      <c r="B743" s="2" t="s">
        <v>136</v>
      </c>
      <c r="C743" s="8">
        <v>46236</v>
      </c>
      <c r="D743" s="6">
        <v>46235</v>
      </c>
      <c r="E743" s="2" t="s">
        <v>260</v>
      </c>
      <c r="F743" s="2" t="s">
        <v>2182</v>
      </c>
      <c r="G743" s="6">
        <v>46204</v>
      </c>
      <c r="H743" s="2" t="s">
        <v>71</v>
      </c>
      <c r="I743" s="2" t="s">
        <v>76</v>
      </c>
      <c r="J743" s="9">
        <v>167250161.29032299</v>
      </c>
      <c r="K743" s="7">
        <v>6.1500000000000004E-5</v>
      </c>
      <c r="L743" s="9">
        <v>10285.879999999999</v>
      </c>
      <c r="M743" s="9">
        <v>10369.51</v>
      </c>
      <c r="N743" s="9">
        <v>5.66</v>
      </c>
      <c r="O743" s="10">
        <f>IF(AND(OR(H743="APPROVED",H743="SCHEDULED"),COUNTIFS(tblSource[EventID],F743,tblSource[ReleaseStatus],"APPROVED")=1,COUNTIFS(Period_Status!$A$2:$A$8,G743,Period_Status!$B$2:$B$8,"ActualClosed")=1,C743&gt;EOMONTH(Settlement_Bridge!$C$2,0)),1,0)</f>
        <v>1</v>
      </c>
      <c r="P743" s="2" t="s">
        <v>2183</v>
      </c>
    </row>
    <row r="744" spans="1:16" x14ac:dyDescent="0.25">
      <c r="A744" s="2" t="s">
        <v>2184</v>
      </c>
      <c r="B744" s="2" t="s">
        <v>136</v>
      </c>
      <c r="C744" s="8">
        <v>46237</v>
      </c>
      <c r="D744" s="6">
        <v>46235</v>
      </c>
      <c r="E744" s="2" t="s">
        <v>260</v>
      </c>
      <c r="F744" s="2" t="s">
        <v>2185</v>
      </c>
      <c r="G744" s="6">
        <v>46204</v>
      </c>
      <c r="H744" s="2" t="s">
        <v>71</v>
      </c>
      <c r="I744" s="2" t="s">
        <v>70</v>
      </c>
      <c r="J744" s="9">
        <v>16022.066869</v>
      </c>
      <c r="K744" s="7">
        <v>0.65</v>
      </c>
      <c r="L744" s="9">
        <v>10414.34</v>
      </c>
      <c r="M744" s="9">
        <v>10542.52</v>
      </c>
      <c r="N744" s="9">
        <v>5.73</v>
      </c>
      <c r="O744" s="10">
        <f>IF(AND(OR(H744="APPROVED",H744="SCHEDULED"),COUNTIFS(tblSource[EventID],F744,tblSource[ReleaseStatus],"APPROVED")=1,COUNTIFS(Period_Status!$A$2:$A$8,G744,Period_Status!$B$2:$B$8,"ActualClosed")=1,C744&gt;EOMONTH(Settlement_Bridge!$C$2,0)),1,0)</f>
        <v>1</v>
      </c>
      <c r="P744" s="2" t="s">
        <v>2186</v>
      </c>
    </row>
    <row r="745" spans="1:16" x14ac:dyDescent="0.25">
      <c r="A745" s="2" t="s">
        <v>2187</v>
      </c>
      <c r="B745" s="2" t="s">
        <v>136</v>
      </c>
      <c r="C745" s="8">
        <v>46228</v>
      </c>
      <c r="D745" s="6">
        <v>46204</v>
      </c>
      <c r="E745" s="2" t="s">
        <v>260</v>
      </c>
      <c r="F745" s="2" t="s">
        <v>2188</v>
      </c>
      <c r="G745" s="6">
        <v>46204</v>
      </c>
      <c r="H745" s="2" t="s">
        <v>71</v>
      </c>
      <c r="I745" s="2" t="s">
        <v>39</v>
      </c>
      <c r="J745" s="9">
        <v>4286.2120000000004</v>
      </c>
      <c r="K745" s="7">
        <v>1</v>
      </c>
      <c r="L745" s="9">
        <v>4286.21</v>
      </c>
      <c r="M745" s="9">
        <v>4286.21</v>
      </c>
      <c r="N745" s="9">
        <v>2.36</v>
      </c>
      <c r="O745" s="10">
        <f>IF(AND(OR(H745="APPROVED",H745="SCHEDULED"),COUNTIFS(tblSource[EventID],F745,tblSource[ReleaseStatus],"APPROVED")=1,COUNTIFS(Period_Status!$A$2:$A$8,G745,Period_Status!$B$2:$B$8,"ActualClosed")=1,C745&gt;EOMONTH(Settlement_Bridge!$C$2,0)),1,0)</f>
        <v>0</v>
      </c>
      <c r="P745" s="2" t="s">
        <v>2189</v>
      </c>
    </row>
    <row r="746" spans="1:16" x14ac:dyDescent="0.25">
      <c r="A746" s="2" t="s">
        <v>2190</v>
      </c>
      <c r="B746" s="2" t="s">
        <v>136</v>
      </c>
      <c r="C746" s="8">
        <v>46253</v>
      </c>
      <c r="D746" s="6">
        <v>46235</v>
      </c>
      <c r="E746" s="2" t="s">
        <v>260</v>
      </c>
      <c r="F746" s="2" t="s">
        <v>2188</v>
      </c>
      <c r="G746" s="6">
        <v>46204</v>
      </c>
      <c r="H746" s="2" t="s">
        <v>71</v>
      </c>
      <c r="I746" s="2" t="s">
        <v>39</v>
      </c>
      <c r="J746" s="9">
        <v>6429.3180000000002</v>
      </c>
      <c r="K746" s="7">
        <v>1</v>
      </c>
      <c r="L746" s="9">
        <v>6429.32</v>
      </c>
      <c r="M746" s="9">
        <v>6429.32</v>
      </c>
      <c r="N746" s="9">
        <v>3.54</v>
      </c>
      <c r="O746" s="10">
        <f>IF(AND(OR(H746="APPROVED",H746="SCHEDULED"),COUNTIFS(tblSource[EventID],F746,tblSource[ReleaseStatus],"APPROVED")=1,COUNTIFS(Period_Status!$A$2:$A$8,G746,Period_Status!$B$2:$B$8,"ActualClosed")=1,C746&gt;EOMONTH(Settlement_Bridge!$C$2,0)),1,0)</f>
        <v>1</v>
      </c>
      <c r="P746" s="2" t="s">
        <v>2191</v>
      </c>
    </row>
    <row r="747" spans="1:16" x14ac:dyDescent="0.25">
      <c r="A747" s="2" t="s">
        <v>2192</v>
      </c>
      <c r="B747" s="2" t="s">
        <v>136</v>
      </c>
      <c r="C747" s="8">
        <v>46239</v>
      </c>
      <c r="D747" s="6">
        <v>46235</v>
      </c>
      <c r="E747" s="2" t="s">
        <v>260</v>
      </c>
      <c r="F747" s="2" t="s">
        <v>2193</v>
      </c>
      <c r="G747" s="6">
        <v>46204</v>
      </c>
      <c r="H747" s="2" t="s">
        <v>71</v>
      </c>
      <c r="I747" s="2" t="s">
        <v>76</v>
      </c>
      <c r="J747" s="9">
        <v>175621612.90322599</v>
      </c>
      <c r="K747" s="7">
        <v>6.1500000000000004E-5</v>
      </c>
      <c r="L747" s="9">
        <v>10800.73</v>
      </c>
      <c r="M747" s="9">
        <v>10888.54</v>
      </c>
      <c r="N747" s="9">
        <v>5.94</v>
      </c>
      <c r="O747" s="10">
        <f>IF(AND(OR(H747="APPROVED",H747="SCHEDULED"),COUNTIFS(tblSource[EventID],F747,tblSource[ReleaseStatus],"APPROVED")=1,COUNTIFS(Period_Status!$A$2:$A$8,G747,Period_Status!$B$2:$B$8,"ActualClosed")=1,C747&gt;EOMONTH(Settlement_Bridge!$C$2,0)),1,0)</f>
        <v>1</v>
      </c>
      <c r="P747" s="2" t="s">
        <v>2194</v>
      </c>
    </row>
    <row r="748" spans="1:16" x14ac:dyDescent="0.25">
      <c r="A748" s="2" t="s">
        <v>2195</v>
      </c>
      <c r="B748" s="2" t="s">
        <v>136</v>
      </c>
      <c r="C748" s="8">
        <v>46240</v>
      </c>
      <c r="D748" s="6">
        <v>46235</v>
      </c>
      <c r="E748" s="2" t="s">
        <v>260</v>
      </c>
      <c r="F748" s="2" t="s">
        <v>2196</v>
      </c>
      <c r="G748" s="6">
        <v>46204</v>
      </c>
      <c r="H748" s="2" t="s">
        <v>71</v>
      </c>
      <c r="I748" s="2" t="s">
        <v>70</v>
      </c>
      <c r="J748" s="9">
        <v>16810.866260999999</v>
      </c>
      <c r="K748" s="7">
        <v>0.65</v>
      </c>
      <c r="L748" s="9">
        <v>10927.06</v>
      </c>
      <c r="M748" s="9">
        <v>11061.55</v>
      </c>
      <c r="N748" s="9">
        <v>6.01</v>
      </c>
      <c r="O748" s="10">
        <f>IF(AND(OR(H748="APPROVED",H748="SCHEDULED"),COUNTIFS(tblSource[EventID],F748,tblSource[ReleaseStatus],"APPROVED")=1,COUNTIFS(Period_Status!$A$2:$A$8,G748,Period_Status!$B$2:$B$8,"ActualClosed")=1,C748&gt;EOMONTH(Settlement_Bridge!$C$2,0)),1,0)</f>
        <v>1</v>
      </c>
      <c r="P748" s="2" t="s">
        <v>2197</v>
      </c>
    </row>
    <row r="749" spans="1:16" x14ac:dyDescent="0.25">
      <c r="A749" s="2" t="s">
        <v>2198</v>
      </c>
      <c r="B749" s="2" t="s">
        <v>136</v>
      </c>
      <c r="C749" s="8">
        <v>46241</v>
      </c>
      <c r="D749" s="6">
        <v>46235</v>
      </c>
      <c r="E749" s="2" t="s">
        <v>260</v>
      </c>
      <c r="F749" s="2" t="s">
        <v>2199</v>
      </c>
      <c r="G749" s="6">
        <v>46204</v>
      </c>
      <c r="H749" s="2" t="s">
        <v>71</v>
      </c>
      <c r="I749" s="2" t="s">
        <v>39</v>
      </c>
      <c r="J749" s="9">
        <v>11234.56</v>
      </c>
      <c r="K749" s="7">
        <v>1</v>
      </c>
      <c r="L749" s="9">
        <v>11234.56</v>
      </c>
      <c r="M749" s="9">
        <v>11234.56</v>
      </c>
      <c r="N749" s="9">
        <v>6.18</v>
      </c>
      <c r="O749" s="10">
        <f>IF(AND(OR(H749="APPROVED",H749="SCHEDULED"),COUNTIFS(tblSource[EventID],F749,tblSource[ReleaseStatus],"APPROVED")=1,COUNTIFS(Period_Status!$A$2:$A$8,G749,Period_Status!$B$2:$B$8,"ActualClosed")=1,C749&gt;EOMONTH(Settlement_Bridge!$C$2,0)),1,0)</f>
        <v>1</v>
      </c>
      <c r="P749" s="2" t="s">
        <v>2200</v>
      </c>
    </row>
    <row r="750" spans="1:16" x14ac:dyDescent="0.25">
      <c r="A750" s="2" t="s">
        <v>2201</v>
      </c>
      <c r="B750" s="2" t="s">
        <v>136</v>
      </c>
      <c r="C750" s="8">
        <v>46242</v>
      </c>
      <c r="D750" s="6">
        <v>46235</v>
      </c>
      <c r="E750" s="2" t="s">
        <v>260</v>
      </c>
      <c r="F750" s="2" t="s">
        <v>2202</v>
      </c>
      <c r="G750" s="6">
        <v>46204</v>
      </c>
      <c r="H750" s="2" t="s">
        <v>71</v>
      </c>
      <c r="I750" s="2" t="s">
        <v>76</v>
      </c>
      <c r="J750" s="9">
        <v>183993064.51612899</v>
      </c>
      <c r="K750" s="7">
        <v>6.1500000000000004E-5</v>
      </c>
      <c r="L750" s="9">
        <v>11315.57</v>
      </c>
      <c r="M750" s="9">
        <v>11407.57</v>
      </c>
      <c r="N750" s="9">
        <v>6.22</v>
      </c>
      <c r="O750" s="10">
        <f>IF(AND(OR(H750="APPROVED",H750="SCHEDULED"),COUNTIFS(tblSource[EventID],F750,tblSource[ReleaseStatus],"APPROVED")=1,COUNTIFS(Period_Status!$A$2:$A$8,G750,Period_Status!$B$2:$B$8,"ActualClosed")=1,C750&gt;EOMONTH(Settlement_Bridge!$C$2,0)),1,0)</f>
        <v>1</v>
      </c>
      <c r="P750" s="2" t="s">
        <v>2203</v>
      </c>
    </row>
    <row r="751" spans="1:16" x14ac:dyDescent="0.25">
      <c r="A751" s="2" t="s">
        <v>2204</v>
      </c>
      <c r="B751" s="2" t="s">
        <v>136</v>
      </c>
      <c r="C751" s="8">
        <v>46243</v>
      </c>
      <c r="D751" s="6">
        <v>46235</v>
      </c>
      <c r="E751" s="2" t="s">
        <v>260</v>
      </c>
      <c r="F751" s="2" t="s">
        <v>2205</v>
      </c>
      <c r="G751" s="6">
        <v>46204</v>
      </c>
      <c r="H751" s="2" t="s">
        <v>71</v>
      </c>
      <c r="I751" s="2" t="s">
        <v>70</v>
      </c>
      <c r="J751" s="9">
        <v>17599.665653</v>
      </c>
      <c r="K751" s="7">
        <v>0.65</v>
      </c>
      <c r="L751" s="9">
        <v>11439.78</v>
      </c>
      <c r="M751" s="9">
        <v>11580.58</v>
      </c>
      <c r="N751" s="9">
        <v>6.29</v>
      </c>
      <c r="O751" s="10">
        <f>IF(AND(OR(H751="APPROVED",H751="SCHEDULED"),COUNTIFS(tblSource[EventID],F751,tblSource[ReleaseStatus],"APPROVED")=1,COUNTIFS(Period_Status!$A$2:$A$8,G751,Period_Status!$B$2:$B$8,"ActualClosed")=1,C751&gt;EOMONTH(Settlement_Bridge!$C$2,0)),1,0)</f>
        <v>1</v>
      </c>
      <c r="P751" s="2" t="s">
        <v>2206</v>
      </c>
    </row>
    <row r="752" spans="1:16" x14ac:dyDescent="0.25">
      <c r="A752" s="2" t="s">
        <v>2207</v>
      </c>
      <c r="B752" s="2" t="s">
        <v>136</v>
      </c>
      <c r="C752" s="8">
        <v>46234</v>
      </c>
      <c r="D752" s="6">
        <v>46204</v>
      </c>
      <c r="E752" s="2" t="s">
        <v>260</v>
      </c>
      <c r="F752" s="2" t="s">
        <v>2208</v>
      </c>
      <c r="G752" s="6">
        <v>46204</v>
      </c>
      <c r="H752" s="2" t="s">
        <v>71</v>
      </c>
      <c r="I752" s="2" t="s">
        <v>39</v>
      </c>
      <c r="J752" s="9">
        <v>4701.4359999999997</v>
      </c>
      <c r="K752" s="7">
        <v>1</v>
      </c>
      <c r="L752" s="9">
        <v>4701.4399999999996</v>
      </c>
      <c r="M752" s="9">
        <v>4701.4399999999996</v>
      </c>
      <c r="N752" s="9">
        <v>2.59</v>
      </c>
      <c r="O752" s="10">
        <f>IF(AND(OR(H752="APPROVED",H752="SCHEDULED"),COUNTIFS(tblSource[EventID],F752,tblSource[ReleaseStatus],"APPROVED")=1,COUNTIFS(Period_Status!$A$2:$A$8,G752,Period_Status!$B$2:$B$8,"ActualClosed")=1,C752&gt;EOMONTH(Settlement_Bridge!$C$2,0)),1,0)</f>
        <v>0</v>
      </c>
      <c r="P752" s="2" t="s">
        <v>2209</v>
      </c>
    </row>
    <row r="753" spans="1:16" x14ac:dyDescent="0.25">
      <c r="A753" s="2" t="s">
        <v>2210</v>
      </c>
      <c r="B753" s="2" t="s">
        <v>136</v>
      </c>
      <c r="C753" s="8">
        <v>46259</v>
      </c>
      <c r="D753" s="6">
        <v>46235</v>
      </c>
      <c r="E753" s="2" t="s">
        <v>260</v>
      </c>
      <c r="F753" s="2" t="s">
        <v>2208</v>
      </c>
      <c r="G753" s="6">
        <v>46204</v>
      </c>
      <c r="H753" s="2" t="s">
        <v>71</v>
      </c>
      <c r="I753" s="2" t="s">
        <v>39</v>
      </c>
      <c r="J753" s="9">
        <v>7052.1540000000005</v>
      </c>
      <c r="K753" s="7">
        <v>1</v>
      </c>
      <c r="L753" s="9">
        <v>7052.15</v>
      </c>
      <c r="M753" s="9">
        <v>7052.15</v>
      </c>
      <c r="N753" s="9">
        <v>3.88</v>
      </c>
      <c r="O753" s="10">
        <f>IF(AND(OR(H753="APPROVED",H753="SCHEDULED"),COUNTIFS(tblSource[EventID],F753,tblSource[ReleaseStatus],"APPROVED")=1,COUNTIFS(Period_Status!$A$2:$A$8,G753,Period_Status!$B$2:$B$8,"ActualClosed")=1,C753&gt;EOMONTH(Settlement_Bridge!$C$2,0)),1,0)</f>
        <v>1</v>
      </c>
      <c r="P753" s="2" t="s">
        <v>2211</v>
      </c>
    </row>
    <row r="754" spans="1:16" x14ac:dyDescent="0.25">
      <c r="A754" s="2" t="s">
        <v>2212</v>
      </c>
      <c r="B754" s="2" t="s">
        <v>136</v>
      </c>
      <c r="C754" s="8">
        <v>46235</v>
      </c>
      <c r="D754" s="6">
        <v>46235</v>
      </c>
      <c r="E754" s="2" t="s">
        <v>260</v>
      </c>
      <c r="F754" s="2" t="s">
        <v>2213</v>
      </c>
      <c r="G754" s="6">
        <v>46204</v>
      </c>
      <c r="H754" s="2" t="s">
        <v>71</v>
      </c>
      <c r="I754" s="2" t="s">
        <v>76</v>
      </c>
      <c r="J754" s="9">
        <v>76945806.451612994</v>
      </c>
      <c r="K754" s="7">
        <v>6.1500000000000004E-5</v>
      </c>
      <c r="L754" s="9">
        <v>4732.17</v>
      </c>
      <c r="M754" s="9">
        <v>4770.6400000000003</v>
      </c>
      <c r="N754" s="9">
        <v>2.6</v>
      </c>
      <c r="O754" s="10">
        <f>IF(AND(OR(H754="APPROVED",H754="SCHEDULED"),COUNTIFS(tblSource[EventID],F754,tblSource[ReleaseStatus],"APPROVED")=1,COUNTIFS(Period_Status!$A$2:$A$8,G754,Period_Status!$B$2:$B$8,"ActualClosed")=1,C754&gt;EOMONTH(Settlement_Bridge!$C$2,0)),1,0)</f>
        <v>1</v>
      </c>
      <c r="P754" s="2" t="s">
        <v>2214</v>
      </c>
    </row>
    <row r="755" spans="1:16" x14ac:dyDescent="0.25">
      <c r="A755" s="2" t="s">
        <v>2215</v>
      </c>
      <c r="B755" s="2" t="s">
        <v>136</v>
      </c>
      <c r="C755" s="8">
        <v>46260</v>
      </c>
      <c r="D755" s="6">
        <v>46235</v>
      </c>
      <c r="E755" s="2" t="s">
        <v>260</v>
      </c>
      <c r="F755" s="2" t="s">
        <v>2213</v>
      </c>
      <c r="G755" s="6">
        <v>46204</v>
      </c>
      <c r="H755" s="2" t="s">
        <v>71</v>
      </c>
      <c r="I755" s="2" t="s">
        <v>76</v>
      </c>
      <c r="J755" s="9">
        <v>115418709.67741901</v>
      </c>
      <c r="K755" s="7">
        <v>6.1500000000000004E-5</v>
      </c>
      <c r="L755" s="9">
        <v>7098.25</v>
      </c>
      <c r="M755" s="9">
        <v>7155.96</v>
      </c>
      <c r="N755" s="9">
        <v>3.9</v>
      </c>
      <c r="O755" s="10">
        <f>IF(AND(OR(H755="APPROVED",H755="SCHEDULED"),COUNTIFS(tblSource[EventID],F755,tblSource[ReleaseStatus],"APPROVED")=1,COUNTIFS(Period_Status!$A$2:$A$8,G755,Period_Status!$B$2:$B$8,"ActualClosed")=1,C755&gt;EOMONTH(Settlement_Bridge!$C$2,0)),1,0)</f>
        <v>1</v>
      </c>
      <c r="P755" s="2" t="s">
        <v>2216</v>
      </c>
    </row>
    <row r="756" spans="1:16" x14ac:dyDescent="0.25">
      <c r="A756" s="2" t="s">
        <v>2217</v>
      </c>
      <c r="B756" s="2" t="s">
        <v>136</v>
      </c>
      <c r="C756" s="8">
        <v>46246</v>
      </c>
      <c r="D756" s="6">
        <v>46235</v>
      </c>
      <c r="E756" s="2" t="s">
        <v>260</v>
      </c>
      <c r="F756" s="2" t="s">
        <v>2218</v>
      </c>
      <c r="G756" s="6">
        <v>46204</v>
      </c>
      <c r="H756" s="2" t="s">
        <v>71</v>
      </c>
      <c r="I756" s="2" t="s">
        <v>70</v>
      </c>
      <c r="J756" s="9">
        <v>18388.465046000001</v>
      </c>
      <c r="K756" s="7">
        <v>0.65</v>
      </c>
      <c r="L756" s="9">
        <v>11952.5</v>
      </c>
      <c r="M756" s="9">
        <v>12099.61</v>
      </c>
      <c r="N756" s="9">
        <v>6.57</v>
      </c>
      <c r="O756" s="10">
        <f>IF(AND(OR(H756="APPROVED",H756="SCHEDULED"),COUNTIFS(tblSource[EventID],F756,tblSource[ReleaseStatus],"APPROVED")=1,COUNTIFS(Period_Status!$A$2:$A$8,G756,Period_Status!$B$2:$B$8,"ActualClosed")=1,C756&gt;EOMONTH(Settlement_Bridge!$C$2,0)),1,0)</f>
        <v>1</v>
      </c>
      <c r="P756" s="2" t="s">
        <v>2219</v>
      </c>
    </row>
    <row r="757" spans="1:16" x14ac:dyDescent="0.25">
      <c r="A757" s="2" t="s">
        <v>2220</v>
      </c>
      <c r="B757" s="2" t="s">
        <v>136</v>
      </c>
      <c r="C757" s="8">
        <v>46247</v>
      </c>
      <c r="D757" s="6">
        <v>46235</v>
      </c>
      <c r="E757" s="2" t="s">
        <v>260</v>
      </c>
      <c r="F757" s="2" t="s">
        <v>2221</v>
      </c>
      <c r="G757" s="6">
        <v>46204</v>
      </c>
      <c r="H757" s="2" t="s">
        <v>71</v>
      </c>
      <c r="I757" s="2" t="s">
        <v>39</v>
      </c>
      <c r="J757" s="9">
        <v>12272.62</v>
      </c>
      <c r="K757" s="7">
        <v>1</v>
      </c>
      <c r="L757" s="9">
        <v>12272.62</v>
      </c>
      <c r="M757" s="9">
        <v>12272.62</v>
      </c>
      <c r="N757" s="9">
        <v>6.75</v>
      </c>
      <c r="O757" s="10">
        <f>IF(AND(OR(H757="APPROVED",H757="SCHEDULED"),COUNTIFS(tblSource[EventID],F757,tblSource[ReleaseStatus],"APPROVED")=1,COUNTIFS(Period_Status!$A$2:$A$8,G757,Period_Status!$B$2:$B$8,"ActualClosed")=1,C757&gt;EOMONTH(Settlement_Bridge!$C$2,0)),1,0)</f>
        <v>1</v>
      </c>
      <c r="P757" s="2" t="s">
        <v>2222</v>
      </c>
    </row>
    <row r="758" spans="1:16" x14ac:dyDescent="0.25">
      <c r="A758" s="2" t="s">
        <v>2223</v>
      </c>
      <c r="B758" s="2" t="s">
        <v>136</v>
      </c>
      <c r="C758" s="8">
        <v>46238</v>
      </c>
      <c r="D758" s="6">
        <v>46235</v>
      </c>
      <c r="E758" s="2" t="s">
        <v>260</v>
      </c>
      <c r="F758" s="2" t="s">
        <v>2224</v>
      </c>
      <c r="G758" s="6">
        <v>46204</v>
      </c>
      <c r="H758" s="2" t="s">
        <v>71</v>
      </c>
      <c r="I758" s="2" t="s">
        <v>76</v>
      </c>
      <c r="J758" s="9">
        <v>80294387.096773997</v>
      </c>
      <c r="K758" s="7">
        <v>6.1500000000000004E-5</v>
      </c>
      <c r="L758" s="9">
        <v>4938.1000000000004</v>
      </c>
      <c r="M758" s="9">
        <v>4978.25</v>
      </c>
      <c r="N758" s="9">
        <v>2.72</v>
      </c>
      <c r="O758" s="10">
        <f>IF(AND(OR(H758="APPROVED",H758="SCHEDULED"),COUNTIFS(tblSource[EventID],F758,tblSource[ReleaseStatus],"APPROVED")=1,COUNTIFS(Period_Status!$A$2:$A$8,G758,Period_Status!$B$2:$B$8,"ActualClosed")=1,C758&gt;EOMONTH(Settlement_Bridge!$C$2,0)),1,0)</f>
        <v>1</v>
      </c>
      <c r="P758" s="2" t="s">
        <v>2225</v>
      </c>
    </row>
    <row r="759" spans="1:16" x14ac:dyDescent="0.25">
      <c r="A759" s="2" t="s">
        <v>2226</v>
      </c>
      <c r="B759" s="2" t="s">
        <v>136</v>
      </c>
      <c r="C759" s="8">
        <v>46263</v>
      </c>
      <c r="D759" s="6">
        <v>46235</v>
      </c>
      <c r="E759" s="2" t="s">
        <v>260</v>
      </c>
      <c r="F759" s="2" t="s">
        <v>2224</v>
      </c>
      <c r="G759" s="6">
        <v>46204</v>
      </c>
      <c r="H759" s="2" t="s">
        <v>71</v>
      </c>
      <c r="I759" s="2" t="s">
        <v>76</v>
      </c>
      <c r="J759" s="9">
        <v>120441580.645161</v>
      </c>
      <c r="K759" s="7">
        <v>6.1500000000000004E-5</v>
      </c>
      <c r="L759" s="9">
        <v>7407.16</v>
      </c>
      <c r="M759" s="9">
        <v>7467.38</v>
      </c>
      <c r="N759" s="9">
        <v>4.07</v>
      </c>
      <c r="O759" s="10">
        <f>IF(AND(OR(H759="APPROVED",H759="SCHEDULED"),COUNTIFS(tblSource[EventID],F759,tblSource[ReleaseStatus],"APPROVED")=1,COUNTIFS(Period_Status!$A$2:$A$8,G759,Period_Status!$B$2:$B$8,"ActualClosed")=1,C759&gt;EOMONTH(Settlement_Bridge!$C$2,0)),1,0)</f>
        <v>1</v>
      </c>
      <c r="P759" s="2" t="s">
        <v>2227</v>
      </c>
    </row>
    <row r="760" spans="1:16" x14ac:dyDescent="0.25">
      <c r="A760" s="2" t="s">
        <v>2228</v>
      </c>
      <c r="B760" s="2" t="s">
        <v>136</v>
      </c>
      <c r="C760" s="8">
        <v>46249</v>
      </c>
      <c r="D760" s="6">
        <v>46235</v>
      </c>
      <c r="E760" s="2" t="s">
        <v>260</v>
      </c>
      <c r="F760" s="2" t="s">
        <v>2229</v>
      </c>
      <c r="G760" s="6">
        <v>46204</v>
      </c>
      <c r="H760" s="2" t="s">
        <v>71</v>
      </c>
      <c r="I760" s="2" t="s">
        <v>70</v>
      </c>
      <c r="J760" s="9">
        <v>19177.264437999998</v>
      </c>
      <c r="K760" s="7">
        <v>0.65</v>
      </c>
      <c r="L760" s="9">
        <v>12465.22</v>
      </c>
      <c r="M760" s="9">
        <v>12618.64</v>
      </c>
      <c r="N760" s="9">
        <v>6.86</v>
      </c>
      <c r="O760" s="10">
        <f>IF(AND(OR(H760="APPROVED",H760="SCHEDULED"),COUNTIFS(tblSource[EventID],F760,tblSource[ReleaseStatus],"APPROVED")=1,COUNTIFS(Period_Status!$A$2:$A$8,G760,Period_Status!$B$2:$B$8,"ActualClosed")=1,C760&gt;EOMONTH(Settlement_Bridge!$C$2,0)),1,0)</f>
        <v>1</v>
      </c>
      <c r="P760" s="2" t="s">
        <v>2230</v>
      </c>
    </row>
    <row r="761" spans="1:16" x14ac:dyDescent="0.25">
      <c r="A761" s="2" t="s">
        <v>2231</v>
      </c>
      <c r="B761" s="2" t="s">
        <v>136</v>
      </c>
      <c r="C761" s="8">
        <v>46250</v>
      </c>
      <c r="D761" s="6">
        <v>46235</v>
      </c>
      <c r="E761" s="2" t="s">
        <v>260</v>
      </c>
      <c r="F761" s="2" t="s">
        <v>2232</v>
      </c>
      <c r="G761" s="6">
        <v>46204</v>
      </c>
      <c r="H761" s="2" t="s">
        <v>71</v>
      </c>
      <c r="I761" s="2" t="s">
        <v>39</v>
      </c>
      <c r="J761" s="9">
        <v>12791.65</v>
      </c>
      <c r="K761" s="7">
        <v>1</v>
      </c>
      <c r="L761" s="9">
        <v>12791.65</v>
      </c>
      <c r="M761" s="9">
        <v>12791.65</v>
      </c>
      <c r="N761" s="9">
        <v>7.04</v>
      </c>
      <c r="O761" s="10">
        <f>IF(AND(OR(H761="APPROVED",H761="SCHEDULED"),COUNTIFS(tblSource[EventID],F761,tblSource[ReleaseStatus],"APPROVED")=1,COUNTIFS(Period_Status!$A$2:$A$8,G761,Period_Status!$B$2:$B$8,"ActualClosed")=1,C761&gt;EOMONTH(Settlement_Bridge!$C$2,0)),1,0)</f>
        <v>1</v>
      </c>
      <c r="P761" s="2" t="s">
        <v>2233</v>
      </c>
    </row>
    <row r="762" spans="1:16" x14ac:dyDescent="0.25">
      <c r="A762" s="2" t="s">
        <v>2234</v>
      </c>
      <c r="B762" s="2" t="s">
        <v>136</v>
      </c>
      <c r="C762" s="8">
        <v>46251</v>
      </c>
      <c r="D762" s="6">
        <v>46235</v>
      </c>
      <c r="E762" s="2" t="s">
        <v>260</v>
      </c>
      <c r="F762" s="2" t="s">
        <v>2235</v>
      </c>
      <c r="G762" s="6">
        <v>46204</v>
      </c>
      <c r="H762" s="2" t="s">
        <v>71</v>
      </c>
      <c r="I762" s="2" t="s">
        <v>76</v>
      </c>
      <c r="J762" s="9">
        <v>209107419.354839</v>
      </c>
      <c r="K762" s="7">
        <v>6.1500000000000004E-5</v>
      </c>
      <c r="L762" s="9">
        <v>12860.11</v>
      </c>
      <c r="M762" s="9">
        <v>12964.66</v>
      </c>
      <c r="N762" s="9">
        <v>7.07</v>
      </c>
      <c r="O762" s="10">
        <f>IF(AND(OR(H762="APPROVED",H762="SCHEDULED"),COUNTIFS(tblSource[EventID],F762,tblSource[ReleaseStatus],"APPROVED")=1,COUNTIFS(Period_Status!$A$2:$A$8,G762,Period_Status!$B$2:$B$8,"ActualClosed")=1,C762&gt;EOMONTH(Settlement_Bridge!$C$2,0)),1,0)</f>
        <v>1</v>
      </c>
      <c r="P762" s="2" t="s">
        <v>2236</v>
      </c>
    </row>
    <row r="763" spans="1:16" x14ac:dyDescent="0.25">
      <c r="A763" s="2" t="s">
        <v>2237</v>
      </c>
      <c r="B763" s="2" t="s">
        <v>136</v>
      </c>
      <c r="C763" s="8">
        <v>46252</v>
      </c>
      <c r="D763" s="6">
        <v>46235</v>
      </c>
      <c r="E763" s="2" t="s">
        <v>260</v>
      </c>
      <c r="F763" s="2" t="s">
        <v>2238</v>
      </c>
      <c r="G763" s="6">
        <v>46204</v>
      </c>
      <c r="H763" s="2" t="s">
        <v>71</v>
      </c>
      <c r="I763" s="2" t="s">
        <v>70</v>
      </c>
      <c r="J763" s="9">
        <v>19966.063829999999</v>
      </c>
      <c r="K763" s="7">
        <v>0.65</v>
      </c>
      <c r="L763" s="9">
        <v>12977.94</v>
      </c>
      <c r="M763" s="9">
        <v>13137.67</v>
      </c>
      <c r="N763" s="9">
        <v>7.14</v>
      </c>
      <c r="O763" s="10">
        <f>IF(AND(OR(H763="APPROVED",H763="SCHEDULED"),COUNTIFS(tblSource[EventID],F763,tblSource[ReleaseStatus],"APPROVED")=1,COUNTIFS(Period_Status!$A$2:$A$8,G763,Period_Status!$B$2:$B$8,"ActualClosed")=1,C763&gt;EOMONTH(Settlement_Bridge!$C$2,0)),1,0)</f>
        <v>1</v>
      </c>
      <c r="P763" s="2" t="s">
        <v>2239</v>
      </c>
    </row>
    <row r="764" spans="1:16" x14ac:dyDescent="0.25">
      <c r="A764" s="2" t="s">
        <v>2240</v>
      </c>
      <c r="B764" s="2" t="s">
        <v>136</v>
      </c>
      <c r="C764" s="8">
        <v>46253</v>
      </c>
      <c r="D764" s="6">
        <v>46235</v>
      </c>
      <c r="E764" s="2" t="s">
        <v>260</v>
      </c>
      <c r="F764" s="2" t="s">
        <v>2241</v>
      </c>
      <c r="G764" s="6">
        <v>46204</v>
      </c>
      <c r="H764" s="2" t="s">
        <v>71</v>
      </c>
      <c r="I764" s="2" t="s">
        <v>39</v>
      </c>
      <c r="J764" s="9">
        <v>13310.68</v>
      </c>
      <c r="K764" s="7">
        <v>1</v>
      </c>
      <c r="L764" s="9">
        <v>13310.68</v>
      </c>
      <c r="M764" s="9">
        <v>13310.68</v>
      </c>
      <c r="N764" s="9">
        <v>7.32</v>
      </c>
      <c r="O764" s="10">
        <f>IF(AND(OR(H764="APPROVED",H764="SCHEDULED"),COUNTIFS(tblSource[EventID],F764,tblSource[ReleaseStatus],"APPROVED")=1,COUNTIFS(Period_Status!$A$2:$A$8,G764,Period_Status!$B$2:$B$8,"ActualClosed")=1,C764&gt;EOMONTH(Settlement_Bridge!$C$2,0)),1,0)</f>
        <v>1</v>
      </c>
      <c r="P764" s="2" t="s">
        <v>2242</v>
      </c>
    </row>
    <row r="765" spans="1:16" x14ac:dyDescent="0.25">
      <c r="A765" s="2" t="s">
        <v>2243</v>
      </c>
      <c r="B765" s="2" t="s">
        <v>136</v>
      </c>
      <c r="C765" s="8">
        <v>46244</v>
      </c>
      <c r="D765" s="6">
        <v>46235</v>
      </c>
      <c r="E765" s="2" t="s">
        <v>260</v>
      </c>
      <c r="F765" s="2" t="s">
        <v>2244</v>
      </c>
      <c r="G765" s="6">
        <v>46204</v>
      </c>
      <c r="H765" s="2" t="s">
        <v>71</v>
      </c>
      <c r="I765" s="2" t="s">
        <v>76</v>
      </c>
      <c r="J765" s="9">
        <v>86991548.387097001</v>
      </c>
      <c r="K765" s="7">
        <v>6.1500000000000004E-5</v>
      </c>
      <c r="L765" s="9">
        <v>5349.98</v>
      </c>
      <c r="M765" s="9">
        <v>5393.48</v>
      </c>
      <c r="N765" s="9">
        <v>2.94</v>
      </c>
      <c r="O765" s="10">
        <f>IF(AND(OR(H765="APPROVED",H765="SCHEDULED"),COUNTIFS(tblSource[EventID],F765,tblSource[ReleaseStatus],"APPROVED")=1,COUNTIFS(Period_Status!$A$2:$A$8,G765,Period_Status!$B$2:$B$8,"ActualClosed")=1,C765&gt;EOMONTH(Settlement_Bridge!$C$2,0)),1,0)</f>
        <v>1</v>
      </c>
      <c r="P765" s="2" t="s">
        <v>2245</v>
      </c>
    </row>
    <row r="766" spans="1:16" x14ac:dyDescent="0.25">
      <c r="A766" s="2" t="s">
        <v>2246</v>
      </c>
      <c r="B766" s="2" t="s">
        <v>136</v>
      </c>
      <c r="C766" s="8">
        <v>46269</v>
      </c>
      <c r="D766" s="6">
        <v>46266</v>
      </c>
      <c r="E766" s="2" t="s">
        <v>260</v>
      </c>
      <c r="F766" s="2" t="s">
        <v>2244</v>
      </c>
      <c r="G766" s="6">
        <v>46204</v>
      </c>
      <c r="H766" s="2" t="s">
        <v>176</v>
      </c>
      <c r="I766" s="2" t="s">
        <v>76</v>
      </c>
      <c r="J766" s="9">
        <v>130487322.58064499</v>
      </c>
      <c r="K766" s="7">
        <v>6.1299999999999999E-5</v>
      </c>
      <c r="L766" s="9">
        <v>7998.87</v>
      </c>
      <c r="M766" s="9">
        <v>8090.21</v>
      </c>
      <c r="N766" s="9">
        <v>4.4000000000000004</v>
      </c>
      <c r="O766" s="10">
        <f>IF(AND(OR(H766="APPROVED",H766="SCHEDULED"),COUNTIFS(tblSource[EventID],F766,tblSource[ReleaseStatus],"APPROVED")=1,COUNTIFS(Period_Status!$A$2:$A$8,G766,Period_Status!$B$2:$B$8,"ActualClosed")=1,C766&gt;EOMONTH(Settlement_Bridge!$C$2,0)),1,0)</f>
        <v>1</v>
      </c>
      <c r="P766" s="2" t="s">
        <v>2247</v>
      </c>
    </row>
    <row r="767" spans="1:16" x14ac:dyDescent="0.25">
      <c r="A767" s="2" t="s">
        <v>2248</v>
      </c>
      <c r="B767" s="2" t="s">
        <v>136</v>
      </c>
      <c r="C767" s="8">
        <v>46245</v>
      </c>
      <c r="D767" s="6">
        <v>46235</v>
      </c>
      <c r="E767" s="2" t="s">
        <v>260</v>
      </c>
      <c r="F767" s="2" t="s">
        <v>2249</v>
      </c>
      <c r="G767" s="6">
        <v>46204</v>
      </c>
      <c r="H767" s="2" t="s">
        <v>71</v>
      </c>
      <c r="I767" s="2" t="s">
        <v>70</v>
      </c>
      <c r="J767" s="9">
        <v>8301.9452889999993</v>
      </c>
      <c r="K767" s="7">
        <v>0.65</v>
      </c>
      <c r="L767" s="9">
        <v>5396.26</v>
      </c>
      <c r="M767" s="9">
        <v>5462.68</v>
      </c>
      <c r="N767" s="9">
        <v>2.97</v>
      </c>
      <c r="O767" s="10">
        <f>IF(AND(OR(H767="APPROVED",H767="SCHEDULED"),COUNTIFS(tblSource[EventID],F767,tblSource[ReleaseStatus],"APPROVED")=1,COUNTIFS(Period_Status!$A$2:$A$8,G767,Period_Status!$B$2:$B$8,"ActualClosed")=1,C767&gt;EOMONTH(Settlement_Bridge!$C$2,0)),1,0)</f>
        <v>1</v>
      </c>
      <c r="P767" s="2" t="s">
        <v>2250</v>
      </c>
    </row>
    <row r="768" spans="1:16" x14ac:dyDescent="0.25">
      <c r="A768" s="2" t="s">
        <v>2251</v>
      </c>
      <c r="B768" s="2" t="s">
        <v>136</v>
      </c>
      <c r="C768" s="8">
        <v>46270</v>
      </c>
      <c r="D768" s="6">
        <v>46266</v>
      </c>
      <c r="E768" s="2" t="s">
        <v>260</v>
      </c>
      <c r="F768" s="2" t="s">
        <v>2249</v>
      </c>
      <c r="G768" s="6">
        <v>46204</v>
      </c>
      <c r="H768" s="2" t="s">
        <v>176</v>
      </c>
      <c r="I768" s="2" t="s">
        <v>70</v>
      </c>
      <c r="J768" s="9">
        <v>12452.917933000001</v>
      </c>
      <c r="K768" s="7">
        <v>0.65100000000000002</v>
      </c>
      <c r="L768" s="9">
        <v>8106.85</v>
      </c>
      <c r="M768" s="9">
        <v>8194.02</v>
      </c>
      <c r="N768" s="9">
        <v>4.46</v>
      </c>
      <c r="O768" s="10">
        <f>IF(AND(OR(H768="APPROVED",H768="SCHEDULED"),COUNTIFS(tblSource[EventID],F768,tblSource[ReleaseStatus],"APPROVED")=1,COUNTIFS(Period_Status!$A$2:$A$8,G768,Period_Status!$B$2:$B$8,"ActualClosed")=1,C768&gt;EOMONTH(Settlement_Bridge!$C$2,0)),1,0)</f>
        <v>1</v>
      </c>
      <c r="P768" s="2" t="s">
        <v>2252</v>
      </c>
    </row>
    <row r="769" spans="1:16" x14ac:dyDescent="0.25">
      <c r="A769" s="2" t="s">
        <v>2253</v>
      </c>
      <c r="B769" s="2" t="s">
        <v>136</v>
      </c>
      <c r="C769" s="8">
        <v>46256</v>
      </c>
      <c r="D769" s="6">
        <v>46235</v>
      </c>
      <c r="E769" s="2" t="s">
        <v>260</v>
      </c>
      <c r="F769" s="2" t="s">
        <v>2254</v>
      </c>
      <c r="G769" s="6">
        <v>46204</v>
      </c>
      <c r="H769" s="2" t="s">
        <v>71</v>
      </c>
      <c r="I769" s="2" t="s">
        <v>39</v>
      </c>
      <c r="J769" s="9">
        <v>13829.71</v>
      </c>
      <c r="K769" s="7">
        <v>1</v>
      </c>
      <c r="L769" s="9">
        <v>13829.71</v>
      </c>
      <c r="M769" s="9">
        <v>13829.71</v>
      </c>
      <c r="N769" s="9">
        <v>7.61</v>
      </c>
      <c r="O769" s="10">
        <f>IF(AND(OR(H769="APPROVED",H769="SCHEDULED"),COUNTIFS(tblSource[EventID],F769,tblSource[ReleaseStatus],"APPROVED")=1,COUNTIFS(Period_Status!$A$2:$A$8,G769,Period_Status!$B$2:$B$8,"ActualClosed")=1,C769&gt;EOMONTH(Settlement_Bridge!$C$2,0)),1,0)</f>
        <v>1</v>
      </c>
      <c r="P769" s="2" t="s">
        <v>2255</v>
      </c>
    </row>
    <row r="770" spans="1:16" x14ac:dyDescent="0.25">
      <c r="A770" s="2" t="s">
        <v>2256</v>
      </c>
      <c r="B770" s="2" t="s">
        <v>136</v>
      </c>
      <c r="C770" s="8">
        <v>46257</v>
      </c>
      <c r="D770" s="6">
        <v>46235</v>
      </c>
      <c r="E770" s="2" t="s">
        <v>260</v>
      </c>
      <c r="F770" s="2" t="s">
        <v>2257</v>
      </c>
      <c r="G770" s="6">
        <v>46204</v>
      </c>
      <c r="H770" s="2" t="s">
        <v>71</v>
      </c>
      <c r="I770" s="2" t="s">
        <v>76</v>
      </c>
      <c r="J770" s="9">
        <v>225850322.58064499</v>
      </c>
      <c r="K770" s="7">
        <v>6.1500000000000004E-5</v>
      </c>
      <c r="L770" s="9">
        <v>13889.79</v>
      </c>
      <c r="M770" s="9">
        <v>14002.72</v>
      </c>
      <c r="N770" s="9">
        <v>7.64</v>
      </c>
      <c r="O770" s="10">
        <f>IF(AND(OR(H770="APPROVED",H770="SCHEDULED"),COUNTIFS(tblSource[EventID],F770,tblSource[ReleaseStatus],"APPROVED")=1,COUNTIFS(Period_Status!$A$2:$A$8,G770,Period_Status!$B$2:$B$8,"ActualClosed")=1,C770&gt;EOMONTH(Settlement_Bridge!$C$2,0)),1,0)</f>
        <v>1</v>
      </c>
      <c r="P770" s="2" t="s">
        <v>2258</v>
      </c>
    </row>
    <row r="771" spans="1:16" x14ac:dyDescent="0.25">
      <c r="A771" s="2" t="s">
        <v>2259</v>
      </c>
      <c r="B771" s="2" t="s">
        <v>136</v>
      </c>
      <c r="C771" s="8">
        <v>46248</v>
      </c>
      <c r="D771" s="6">
        <v>46235</v>
      </c>
      <c r="E771" s="2" t="s">
        <v>260</v>
      </c>
      <c r="F771" s="2" t="s">
        <v>2260</v>
      </c>
      <c r="G771" s="6">
        <v>46204</v>
      </c>
      <c r="H771" s="2" t="s">
        <v>71</v>
      </c>
      <c r="I771" s="2" t="s">
        <v>70</v>
      </c>
      <c r="J771" s="9">
        <v>8617.4650459999993</v>
      </c>
      <c r="K771" s="7">
        <v>0.65</v>
      </c>
      <c r="L771" s="9">
        <v>5601.35</v>
      </c>
      <c r="M771" s="9">
        <v>5670.29</v>
      </c>
      <c r="N771" s="9">
        <v>3.08</v>
      </c>
      <c r="O771" s="10">
        <f>IF(AND(OR(H771="APPROVED",H771="SCHEDULED"),COUNTIFS(tblSource[EventID],F771,tblSource[ReleaseStatus],"APPROVED")=1,COUNTIFS(Period_Status!$A$2:$A$8,G771,Period_Status!$B$2:$B$8,"ActualClosed")=1,C771&gt;EOMONTH(Settlement_Bridge!$C$2,0)),1,0)</f>
        <v>1</v>
      </c>
      <c r="P771" s="2" t="s">
        <v>2261</v>
      </c>
    </row>
    <row r="772" spans="1:16" x14ac:dyDescent="0.25">
      <c r="A772" s="2" t="s">
        <v>2262</v>
      </c>
      <c r="B772" s="2" t="s">
        <v>136</v>
      </c>
      <c r="C772" s="8">
        <v>46273</v>
      </c>
      <c r="D772" s="6">
        <v>46266</v>
      </c>
      <c r="E772" s="2" t="s">
        <v>260</v>
      </c>
      <c r="F772" s="2" t="s">
        <v>2260</v>
      </c>
      <c r="G772" s="6">
        <v>46204</v>
      </c>
      <c r="H772" s="2" t="s">
        <v>176</v>
      </c>
      <c r="I772" s="2" t="s">
        <v>70</v>
      </c>
      <c r="J772" s="9">
        <v>12926.197568</v>
      </c>
      <c r="K772" s="7">
        <v>0.65100000000000002</v>
      </c>
      <c r="L772" s="9">
        <v>8414.9500000000007</v>
      </c>
      <c r="M772" s="9">
        <v>8505.44</v>
      </c>
      <c r="N772" s="9">
        <v>4.63</v>
      </c>
      <c r="O772" s="10">
        <f>IF(AND(OR(H772="APPROVED",H772="SCHEDULED"),COUNTIFS(tblSource[EventID],F772,tblSource[ReleaseStatus],"APPROVED")=1,COUNTIFS(Period_Status!$A$2:$A$8,G772,Period_Status!$B$2:$B$8,"ActualClosed")=1,C772&gt;EOMONTH(Settlement_Bridge!$C$2,0)),1,0)</f>
        <v>1</v>
      </c>
      <c r="P772" s="2" t="s">
        <v>2263</v>
      </c>
    </row>
    <row r="773" spans="1:16" x14ac:dyDescent="0.25">
      <c r="A773" s="2" t="s">
        <v>2264</v>
      </c>
      <c r="B773" s="2" t="s">
        <v>136</v>
      </c>
      <c r="C773" s="8">
        <v>46228</v>
      </c>
      <c r="D773" s="6">
        <v>46204</v>
      </c>
      <c r="E773" s="2" t="s">
        <v>260</v>
      </c>
      <c r="F773" s="2" t="s">
        <v>2265</v>
      </c>
      <c r="G773" s="6">
        <v>46204</v>
      </c>
      <c r="H773" s="2" t="s">
        <v>71</v>
      </c>
      <c r="I773" s="2" t="s">
        <v>39</v>
      </c>
      <c r="J773" s="9">
        <v>14348.74</v>
      </c>
      <c r="K773" s="7">
        <v>1</v>
      </c>
      <c r="L773" s="9">
        <v>14348.74</v>
      </c>
      <c r="M773" s="9">
        <v>14348.74</v>
      </c>
      <c r="N773" s="9">
        <v>7.89</v>
      </c>
      <c r="O773" s="10">
        <f>IF(AND(OR(H773="APPROVED",H773="SCHEDULED"),COUNTIFS(tblSource[EventID],F773,tblSource[ReleaseStatus],"APPROVED")=1,COUNTIFS(Period_Status!$A$2:$A$8,G773,Period_Status!$B$2:$B$8,"ActualClosed")=1,C773&gt;EOMONTH(Settlement_Bridge!$C$2,0)),1,0)</f>
        <v>0</v>
      </c>
      <c r="P773" s="2" t="s">
        <v>2266</v>
      </c>
    </row>
    <row r="774" spans="1:16" x14ac:dyDescent="0.25">
      <c r="A774" s="2" t="s">
        <v>2267</v>
      </c>
      <c r="B774" s="2" t="s">
        <v>136</v>
      </c>
      <c r="C774" s="8">
        <v>46229</v>
      </c>
      <c r="D774" s="6">
        <v>46204</v>
      </c>
      <c r="E774" s="2" t="s">
        <v>260</v>
      </c>
      <c r="F774" s="2" t="s">
        <v>2268</v>
      </c>
      <c r="G774" s="6">
        <v>46204</v>
      </c>
      <c r="H774" s="2" t="s">
        <v>71</v>
      </c>
      <c r="I774" s="2" t="s">
        <v>76</v>
      </c>
      <c r="J774" s="9">
        <v>234221774.19354799</v>
      </c>
      <c r="K774" s="7">
        <v>6.2000000000000003E-5</v>
      </c>
      <c r="L774" s="9">
        <v>14521.75</v>
      </c>
      <c r="M774" s="9">
        <v>14521.75</v>
      </c>
      <c r="N774" s="9">
        <v>7.99</v>
      </c>
      <c r="O774" s="10">
        <f>IF(AND(OR(H774="APPROVED",H774="SCHEDULED"),COUNTIFS(tblSource[EventID],F774,tblSource[ReleaseStatus],"APPROVED")=1,COUNTIFS(Period_Status!$A$2:$A$8,G774,Period_Status!$B$2:$B$8,"ActualClosed")=1,C774&gt;EOMONTH(Settlement_Bridge!$C$2,0)),1,0)</f>
        <v>0</v>
      </c>
      <c r="P774" s="2" t="s">
        <v>2269</v>
      </c>
    </row>
    <row r="775" spans="1:16" x14ac:dyDescent="0.25">
      <c r="A775" s="2" t="s">
        <v>2270</v>
      </c>
      <c r="B775" s="2" t="s">
        <v>136</v>
      </c>
      <c r="C775" s="8">
        <v>46230</v>
      </c>
      <c r="D775" s="6">
        <v>46204</v>
      </c>
      <c r="E775" s="2" t="s">
        <v>260</v>
      </c>
      <c r="F775" s="2" t="s">
        <v>2271</v>
      </c>
      <c r="G775" s="6">
        <v>46204</v>
      </c>
      <c r="H775" s="2" t="s">
        <v>71</v>
      </c>
      <c r="I775" s="2" t="s">
        <v>70</v>
      </c>
      <c r="J775" s="9">
        <v>22332.462006000002</v>
      </c>
      <c r="K775" s="7">
        <v>0.65800000000000003</v>
      </c>
      <c r="L775" s="9">
        <v>14694.76</v>
      </c>
      <c r="M775" s="9">
        <v>14694.76</v>
      </c>
      <c r="N775" s="9">
        <v>8.08</v>
      </c>
      <c r="O775" s="10">
        <f>IF(AND(OR(H775="APPROVED",H775="SCHEDULED"),COUNTIFS(tblSource[EventID],F775,tblSource[ReleaseStatus],"APPROVED")=1,COUNTIFS(Period_Status!$A$2:$A$8,G775,Period_Status!$B$2:$B$8,"ActualClosed")=1,C775&gt;EOMONTH(Settlement_Bridge!$C$2,0)),1,0)</f>
        <v>0</v>
      </c>
      <c r="P775" s="2" t="s">
        <v>2272</v>
      </c>
    </row>
    <row r="776" spans="1:16" x14ac:dyDescent="0.25">
      <c r="A776" s="2" t="s">
        <v>2273</v>
      </c>
      <c r="B776" s="2" t="s">
        <v>136</v>
      </c>
      <c r="C776" s="8">
        <v>46231</v>
      </c>
      <c r="D776" s="6">
        <v>46204</v>
      </c>
      <c r="E776" s="2" t="s">
        <v>260</v>
      </c>
      <c r="F776" s="2" t="s">
        <v>2274</v>
      </c>
      <c r="G776" s="6">
        <v>46204</v>
      </c>
      <c r="H776" s="2" t="s">
        <v>71</v>
      </c>
      <c r="I776" s="2" t="s">
        <v>39</v>
      </c>
      <c r="J776" s="9">
        <v>867.77</v>
      </c>
      <c r="K776" s="7">
        <v>1</v>
      </c>
      <c r="L776" s="9">
        <v>867.77</v>
      </c>
      <c r="M776" s="9">
        <v>867.77</v>
      </c>
      <c r="N776" s="9">
        <v>1.8</v>
      </c>
      <c r="O776" s="10">
        <f>IF(AND(OR(H776="APPROVED",H776="SCHEDULED"),COUNTIFS(tblSource[EventID],F776,tblSource[ReleaseStatus],"APPROVED")=1,COUNTIFS(Period_Status!$A$2:$A$8,G776,Period_Status!$B$2:$B$8,"ActualClosed")=1,C776&gt;EOMONTH(Settlement_Bridge!$C$2,0)),1,0)</f>
        <v>0</v>
      </c>
      <c r="P776" s="2" t="s">
        <v>2275</v>
      </c>
    </row>
    <row r="777" spans="1:16" x14ac:dyDescent="0.25">
      <c r="A777" s="2" t="s">
        <v>2276</v>
      </c>
      <c r="B777" s="2" t="s">
        <v>136</v>
      </c>
      <c r="C777" s="8">
        <v>46232</v>
      </c>
      <c r="D777" s="6">
        <v>46204</v>
      </c>
      <c r="E777" s="2" t="s">
        <v>260</v>
      </c>
      <c r="F777" s="2" t="s">
        <v>2277</v>
      </c>
      <c r="G777" s="6">
        <v>46204</v>
      </c>
      <c r="H777" s="2" t="s">
        <v>71</v>
      </c>
      <c r="I777" s="2" t="s">
        <v>76</v>
      </c>
      <c r="J777" s="9">
        <v>16786774.193548001</v>
      </c>
      <c r="K777" s="7">
        <v>6.2000000000000003E-5</v>
      </c>
      <c r="L777" s="9">
        <v>1040.78</v>
      </c>
      <c r="M777" s="9">
        <v>1040.78</v>
      </c>
      <c r="N777" s="9">
        <v>1.8</v>
      </c>
      <c r="O777" s="10">
        <f>IF(AND(OR(H777="APPROVED",H777="SCHEDULED"),COUNTIFS(tblSource[EventID],F777,tblSource[ReleaseStatus],"APPROVED")=1,COUNTIFS(Period_Status!$A$2:$A$8,G777,Period_Status!$B$2:$B$8,"ActualClosed")=1,C777&gt;EOMONTH(Settlement_Bridge!$C$2,0)),1,0)</f>
        <v>0</v>
      </c>
      <c r="P777" s="2" t="s">
        <v>2278</v>
      </c>
    </row>
    <row r="778" spans="1:16" x14ac:dyDescent="0.25">
      <c r="A778" s="2" t="s">
        <v>2279</v>
      </c>
      <c r="B778" s="2" t="s">
        <v>136</v>
      </c>
      <c r="C778" s="8">
        <v>46223</v>
      </c>
      <c r="D778" s="6">
        <v>46204</v>
      </c>
      <c r="E778" s="2" t="s">
        <v>260</v>
      </c>
      <c r="F778" s="2" t="s">
        <v>2280</v>
      </c>
      <c r="G778" s="6">
        <v>46204</v>
      </c>
      <c r="H778" s="2" t="s">
        <v>71</v>
      </c>
      <c r="I778" s="2" t="s">
        <v>70</v>
      </c>
      <c r="J778" s="9">
        <v>737.86626100000001</v>
      </c>
      <c r="K778" s="7">
        <v>0.65800000000000003</v>
      </c>
      <c r="L778" s="9">
        <v>485.52</v>
      </c>
      <c r="M778" s="9">
        <v>485.52</v>
      </c>
      <c r="N778" s="9">
        <v>1.8</v>
      </c>
      <c r="O778" s="10">
        <f>IF(AND(OR(H778="APPROVED",H778="SCHEDULED"),COUNTIFS(tblSource[EventID],F778,tblSource[ReleaseStatus],"APPROVED")=1,COUNTIFS(Period_Status!$A$2:$A$8,G778,Period_Status!$B$2:$B$8,"ActualClosed")=1,C778&gt;EOMONTH(Settlement_Bridge!$C$2,0)),1,0)</f>
        <v>0</v>
      </c>
      <c r="P778" s="2" t="s">
        <v>2281</v>
      </c>
    </row>
    <row r="779" spans="1:16" x14ac:dyDescent="0.25">
      <c r="A779" s="2" t="s">
        <v>2282</v>
      </c>
      <c r="B779" s="2" t="s">
        <v>136</v>
      </c>
      <c r="C779" s="8">
        <v>46248</v>
      </c>
      <c r="D779" s="6">
        <v>46235</v>
      </c>
      <c r="E779" s="2" t="s">
        <v>260</v>
      </c>
      <c r="F779" s="2" t="s">
        <v>2280</v>
      </c>
      <c r="G779" s="6">
        <v>46204</v>
      </c>
      <c r="H779" s="2" t="s">
        <v>71</v>
      </c>
      <c r="I779" s="2" t="s">
        <v>70</v>
      </c>
      <c r="J779" s="9">
        <v>1106.7993919999999</v>
      </c>
      <c r="K779" s="7">
        <v>0.65</v>
      </c>
      <c r="L779" s="9">
        <v>719.42</v>
      </c>
      <c r="M779" s="9">
        <v>728.27</v>
      </c>
      <c r="N779" s="9">
        <v>1.8</v>
      </c>
      <c r="O779" s="10">
        <f>IF(AND(OR(H779="APPROVED",H779="SCHEDULED"),COUNTIFS(tblSource[EventID],F779,tblSource[ReleaseStatus],"APPROVED")=1,COUNTIFS(Period_Status!$A$2:$A$8,G779,Period_Status!$B$2:$B$8,"ActualClosed")=1,C779&gt;EOMONTH(Settlement_Bridge!$C$2,0)),1,0)</f>
        <v>1</v>
      </c>
      <c r="P779" s="2" t="s">
        <v>2283</v>
      </c>
    </row>
    <row r="780" spans="1:16" x14ac:dyDescent="0.25">
      <c r="A780" s="2" t="s">
        <v>2284</v>
      </c>
      <c r="B780" s="2" t="s">
        <v>136</v>
      </c>
      <c r="C780" s="8">
        <v>46224</v>
      </c>
      <c r="D780" s="6">
        <v>46204</v>
      </c>
      <c r="E780" s="2" t="s">
        <v>260</v>
      </c>
      <c r="F780" s="2" t="s">
        <v>2285</v>
      </c>
      <c r="G780" s="6">
        <v>46204</v>
      </c>
      <c r="H780" s="2" t="s">
        <v>71</v>
      </c>
      <c r="I780" s="2" t="s">
        <v>39</v>
      </c>
      <c r="J780" s="9">
        <v>554.72</v>
      </c>
      <c r="K780" s="7">
        <v>1</v>
      </c>
      <c r="L780" s="9">
        <v>554.72</v>
      </c>
      <c r="M780" s="9">
        <v>554.72</v>
      </c>
      <c r="N780" s="9">
        <v>1.8</v>
      </c>
      <c r="O780" s="10">
        <f>IF(AND(OR(H780="APPROVED",H780="SCHEDULED"),COUNTIFS(tblSource[EventID],F780,tblSource[ReleaseStatus],"APPROVED")=1,COUNTIFS(Period_Status!$A$2:$A$8,G780,Period_Status!$B$2:$B$8,"ActualClosed")=1,C780&gt;EOMONTH(Settlement_Bridge!$C$2,0)),1,0)</f>
        <v>0</v>
      </c>
      <c r="P780" s="2" t="s">
        <v>2286</v>
      </c>
    </row>
    <row r="781" spans="1:16" x14ac:dyDescent="0.25">
      <c r="A781" s="2" t="s">
        <v>2287</v>
      </c>
      <c r="B781" s="2" t="s">
        <v>136</v>
      </c>
      <c r="C781" s="8">
        <v>46249</v>
      </c>
      <c r="D781" s="6">
        <v>46235</v>
      </c>
      <c r="E781" s="2" t="s">
        <v>260</v>
      </c>
      <c r="F781" s="2" t="s">
        <v>2285</v>
      </c>
      <c r="G781" s="6">
        <v>46204</v>
      </c>
      <c r="H781" s="2" t="s">
        <v>71</v>
      </c>
      <c r="I781" s="2" t="s">
        <v>39</v>
      </c>
      <c r="J781" s="9">
        <v>832.08</v>
      </c>
      <c r="K781" s="7">
        <v>1</v>
      </c>
      <c r="L781" s="9">
        <v>832.08</v>
      </c>
      <c r="M781" s="9">
        <v>832.08</v>
      </c>
      <c r="N781" s="9">
        <v>1.8</v>
      </c>
      <c r="O781" s="10">
        <f>IF(AND(OR(H781="APPROVED",H781="SCHEDULED"),COUNTIFS(tblSource[EventID],F781,tblSource[ReleaseStatus],"APPROVED")=1,COUNTIFS(Period_Status!$A$2:$A$8,G781,Period_Status!$B$2:$B$8,"ActualClosed")=1,C781&gt;EOMONTH(Settlement_Bridge!$C$2,0)),1,0)</f>
        <v>1</v>
      </c>
      <c r="P781" s="2" t="s">
        <v>2288</v>
      </c>
    </row>
    <row r="782" spans="1:16" x14ac:dyDescent="0.25">
      <c r="A782" s="2" t="s">
        <v>2289</v>
      </c>
      <c r="B782" s="2" t="s">
        <v>136</v>
      </c>
      <c r="C782" s="8">
        <v>46235</v>
      </c>
      <c r="D782" s="6">
        <v>46235</v>
      </c>
      <c r="E782" s="2" t="s">
        <v>260</v>
      </c>
      <c r="F782" s="2" t="s">
        <v>2290</v>
      </c>
      <c r="G782" s="6">
        <v>46204</v>
      </c>
      <c r="H782" s="2" t="s">
        <v>71</v>
      </c>
      <c r="I782" s="2" t="s">
        <v>76</v>
      </c>
      <c r="J782" s="9">
        <v>25158225.806451999</v>
      </c>
      <c r="K782" s="7">
        <v>6.1500000000000004E-5</v>
      </c>
      <c r="L782" s="9">
        <v>1547.23</v>
      </c>
      <c r="M782" s="9">
        <v>1559.81</v>
      </c>
      <c r="N782" s="9">
        <v>1.8</v>
      </c>
      <c r="O782" s="10">
        <f>IF(AND(OR(H782="APPROVED",H782="SCHEDULED"),COUNTIFS(tblSource[EventID],F782,tblSource[ReleaseStatus],"APPROVED")=1,COUNTIFS(Period_Status!$A$2:$A$8,G782,Period_Status!$B$2:$B$8,"ActualClosed")=1,C782&gt;EOMONTH(Settlement_Bridge!$C$2,0)),1,0)</f>
        <v>1</v>
      </c>
      <c r="P782" s="2" t="s">
        <v>2291</v>
      </c>
    </row>
    <row r="783" spans="1:16" x14ac:dyDescent="0.25">
      <c r="A783" s="2" t="s">
        <v>2292</v>
      </c>
      <c r="B783" s="2" t="s">
        <v>136</v>
      </c>
      <c r="C783" s="8">
        <v>46236</v>
      </c>
      <c r="D783" s="6">
        <v>46235</v>
      </c>
      <c r="E783" s="2" t="s">
        <v>260</v>
      </c>
      <c r="F783" s="2" t="s">
        <v>2293</v>
      </c>
      <c r="G783" s="6">
        <v>46204</v>
      </c>
      <c r="H783" s="2" t="s">
        <v>71</v>
      </c>
      <c r="I783" s="2" t="s">
        <v>70</v>
      </c>
      <c r="J783" s="9">
        <v>2633.4650459999998</v>
      </c>
      <c r="K783" s="7">
        <v>0.65</v>
      </c>
      <c r="L783" s="9">
        <v>1711.75</v>
      </c>
      <c r="M783" s="9">
        <v>1732.82</v>
      </c>
      <c r="N783" s="9">
        <v>1.8</v>
      </c>
      <c r="O783" s="10">
        <f>IF(AND(OR(H783="APPROVED",H783="SCHEDULED"),COUNTIFS(tblSource[EventID],F783,tblSource[ReleaseStatus],"APPROVED")=1,COUNTIFS(Period_Status!$A$2:$A$8,G783,Period_Status!$B$2:$B$8,"ActualClosed")=1,C783&gt;EOMONTH(Settlement_Bridge!$C$2,0)),1,0)</f>
        <v>1</v>
      </c>
      <c r="P783" s="2" t="s">
        <v>2294</v>
      </c>
    </row>
    <row r="784" spans="1:16" x14ac:dyDescent="0.25">
      <c r="A784" s="2" t="s">
        <v>2295</v>
      </c>
      <c r="B784" s="2" t="s">
        <v>136</v>
      </c>
      <c r="C784" s="8">
        <v>46227</v>
      </c>
      <c r="D784" s="6">
        <v>46204</v>
      </c>
      <c r="E784" s="2" t="s">
        <v>260</v>
      </c>
      <c r="F784" s="2" t="s">
        <v>2296</v>
      </c>
      <c r="G784" s="6">
        <v>46204</v>
      </c>
      <c r="H784" s="2" t="s">
        <v>71</v>
      </c>
      <c r="I784" s="2" t="s">
        <v>39</v>
      </c>
      <c r="J784" s="9">
        <v>762.33199999999999</v>
      </c>
      <c r="K784" s="7">
        <v>1</v>
      </c>
      <c r="L784" s="9">
        <v>762.33</v>
      </c>
      <c r="M784" s="9">
        <v>762.33</v>
      </c>
      <c r="N784" s="9">
        <v>1.8</v>
      </c>
      <c r="O784" s="10">
        <f>IF(AND(OR(H784="APPROVED",H784="SCHEDULED"),COUNTIFS(tblSource[EventID],F784,tblSource[ReleaseStatus],"APPROVED")=1,COUNTIFS(Period_Status!$A$2:$A$8,G784,Period_Status!$B$2:$B$8,"ActualClosed")=1,C784&gt;EOMONTH(Settlement_Bridge!$C$2,0)),1,0)</f>
        <v>0</v>
      </c>
      <c r="P784" s="2" t="s">
        <v>2297</v>
      </c>
    </row>
    <row r="785" spans="1:16" x14ac:dyDescent="0.25">
      <c r="A785" s="2" t="s">
        <v>2298</v>
      </c>
      <c r="B785" s="2" t="s">
        <v>136</v>
      </c>
      <c r="C785" s="8">
        <v>46252</v>
      </c>
      <c r="D785" s="6">
        <v>46235</v>
      </c>
      <c r="E785" s="2" t="s">
        <v>260</v>
      </c>
      <c r="F785" s="2" t="s">
        <v>2296</v>
      </c>
      <c r="G785" s="6">
        <v>46204</v>
      </c>
      <c r="H785" s="2" t="s">
        <v>71</v>
      </c>
      <c r="I785" s="2" t="s">
        <v>39</v>
      </c>
      <c r="J785" s="9">
        <v>1143.498</v>
      </c>
      <c r="K785" s="7">
        <v>1</v>
      </c>
      <c r="L785" s="9">
        <v>1143.5</v>
      </c>
      <c r="M785" s="9">
        <v>1143.5</v>
      </c>
      <c r="N785" s="9">
        <v>1.8</v>
      </c>
      <c r="O785" s="10">
        <f>IF(AND(OR(H785="APPROVED",H785="SCHEDULED"),COUNTIFS(tblSource[EventID],F785,tblSource[ReleaseStatus],"APPROVED")=1,COUNTIFS(Period_Status!$A$2:$A$8,G785,Period_Status!$B$2:$B$8,"ActualClosed")=1,C785&gt;EOMONTH(Settlement_Bridge!$C$2,0)),1,0)</f>
        <v>1</v>
      </c>
      <c r="P785" s="2" t="s">
        <v>2299</v>
      </c>
    </row>
    <row r="786" spans="1:16" x14ac:dyDescent="0.25">
      <c r="A786" s="2" t="s">
        <v>2300</v>
      </c>
      <c r="B786" s="2" t="s">
        <v>136</v>
      </c>
      <c r="C786" s="8">
        <v>46238</v>
      </c>
      <c r="D786" s="6">
        <v>46235</v>
      </c>
      <c r="E786" s="2" t="s">
        <v>260</v>
      </c>
      <c r="F786" s="2" t="s">
        <v>2301</v>
      </c>
      <c r="G786" s="6">
        <v>46204</v>
      </c>
      <c r="H786" s="2" t="s">
        <v>71</v>
      </c>
      <c r="I786" s="2" t="s">
        <v>76</v>
      </c>
      <c r="J786" s="9">
        <v>33529677.419355001</v>
      </c>
      <c r="K786" s="7">
        <v>6.1500000000000004E-5</v>
      </c>
      <c r="L786" s="9">
        <v>2062.08</v>
      </c>
      <c r="M786" s="9">
        <v>2078.84</v>
      </c>
      <c r="N786" s="9">
        <v>1.8</v>
      </c>
      <c r="O786" s="10">
        <f>IF(AND(OR(H786="APPROVED",H786="SCHEDULED"),COUNTIFS(tblSource[EventID],F786,tblSource[ReleaseStatus],"APPROVED")=1,COUNTIFS(Period_Status!$A$2:$A$8,G786,Period_Status!$B$2:$B$8,"ActualClosed")=1,C786&gt;EOMONTH(Settlement_Bridge!$C$2,0)),1,0)</f>
        <v>1</v>
      </c>
      <c r="P786" s="2" t="s">
        <v>2302</v>
      </c>
    </row>
    <row r="787" spans="1:16" x14ac:dyDescent="0.25">
      <c r="A787" s="2" t="s">
        <v>2303</v>
      </c>
      <c r="B787" s="2" t="s">
        <v>136</v>
      </c>
      <c r="C787" s="8">
        <v>46239</v>
      </c>
      <c r="D787" s="6">
        <v>46235</v>
      </c>
      <c r="E787" s="2" t="s">
        <v>260</v>
      </c>
      <c r="F787" s="2" t="s">
        <v>2304</v>
      </c>
      <c r="G787" s="6">
        <v>46204</v>
      </c>
      <c r="H787" s="2" t="s">
        <v>71</v>
      </c>
      <c r="I787" s="2" t="s">
        <v>70</v>
      </c>
      <c r="J787" s="9">
        <v>3422.2644380000002</v>
      </c>
      <c r="K787" s="7">
        <v>0.65</v>
      </c>
      <c r="L787" s="9">
        <v>2224.4699999999998</v>
      </c>
      <c r="M787" s="9">
        <v>2251.85</v>
      </c>
      <c r="N787" s="9">
        <v>1.8</v>
      </c>
      <c r="O787" s="10">
        <f>IF(AND(OR(H787="APPROVED",H787="SCHEDULED"),COUNTIFS(tblSource[EventID],F787,tblSource[ReleaseStatus],"APPROVED")=1,COUNTIFS(Period_Status!$A$2:$A$8,G787,Period_Status!$B$2:$B$8,"ActualClosed")=1,C787&gt;EOMONTH(Settlement_Bridge!$C$2,0)),1,0)</f>
        <v>1</v>
      </c>
      <c r="P787" s="2" t="s">
        <v>2305</v>
      </c>
    </row>
    <row r="788" spans="1:16" x14ac:dyDescent="0.25">
      <c r="A788" s="2" t="s">
        <v>2306</v>
      </c>
      <c r="B788" s="2" t="s">
        <v>136</v>
      </c>
      <c r="C788" s="8">
        <v>46240</v>
      </c>
      <c r="D788" s="6">
        <v>46235</v>
      </c>
      <c r="E788" s="2" t="s">
        <v>260</v>
      </c>
      <c r="F788" s="2" t="s">
        <v>2307</v>
      </c>
      <c r="G788" s="6">
        <v>46204</v>
      </c>
      <c r="H788" s="2" t="s">
        <v>71</v>
      </c>
      <c r="I788" s="2" t="s">
        <v>39</v>
      </c>
      <c r="J788" s="9">
        <v>2424.86</v>
      </c>
      <c r="K788" s="7">
        <v>1</v>
      </c>
      <c r="L788" s="9">
        <v>2424.86</v>
      </c>
      <c r="M788" s="9">
        <v>2424.86</v>
      </c>
      <c r="N788" s="9">
        <v>1.8</v>
      </c>
      <c r="O788" s="10">
        <f>IF(AND(OR(H788="APPROVED",H788="SCHEDULED"),COUNTIFS(tblSource[EventID],F788,tblSource[ReleaseStatus],"APPROVED")=1,COUNTIFS(Period_Status!$A$2:$A$8,G788,Period_Status!$B$2:$B$8,"ActualClosed")=1,C788&gt;EOMONTH(Settlement_Bridge!$C$2,0)),1,0)</f>
        <v>1</v>
      </c>
      <c r="P788" s="2" t="s">
        <v>2308</v>
      </c>
    </row>
    <row r="789" spans="1:16" x14ac:dyDescent="0.25">
      <c r="A789" s="2" t="s">
        <v>2309</v>
      </c>
      <c r="B789" s="2" t="s">
        <v>136</v>
      </c>
      <c r="C789" s="8">
        <v>46241</v>
      </c>
      <c r="D789" s="6">
        <v>46235</v>
      </c>
      <c r="E789" s="2" t="s">
        <v>260</v>
      </c>
      <c r="F789" s="2" t="s">
        <v>2310</v>
      </c>
      <c r="G789" s="6">
        <v>46204</v>
      </c>
      <c r="H789" s="2" t="s">
        <v>71</v>
      </c>
      <c r="I789" s="2" t="s">
        <v>76</v>
      </c>
      <c r="J789" s="9">
        <v>41901129.032257996</v>
      </c>
      <c r="K789" s="7">
        <v>6.1500000000000004E-5</v>
      </c>
      <c r="L789" s="9">
        <v>2576.92</v>
      </c>
      <c r="M789" s="9">
        <v>2597.87</v>
      </c>
      <c r="N789" s="9">
        <v>1.8</v>
      </c>
      <c r="O789" s="10">
        <f>IF(AND(OR(H789="APPROVED",H789="SCHEDULED"),COUNTIFS(tblSource[EventID],F789,tblSource[ReleaseStatus],"APPROVED")=1,COUNTIFS(Period_Status!$A$2:$A$8,G789,Period_Status!$B$2:$B$8,"ActualClosed")=1,C789&gt;EOMONTH(Settlement_Bridge!$C$2,0)),1,0)</f>
        <v>1</v>
      </c>
      <c r="P789" s="2" t="s">
        <v>2311</v>
      </c>
    </row>
    <row r="790" spans="1:16" x14ac:dyDescent="0.25">
      <c r="A790" s="2" t="s">
        <v>2312</v>
      </c>
      <c r="B790" s="2" t="s">
        <v>136</v>
      </c>
      <c r="C790" s="8">
        <v>46242</v>
      </c>
      <c r="D790" s="6">
        <v>46235</v>
      </c>
      <c r="E790" s="2" t="s">
        <v>260</v>
      </c>
      <c r="F790" s="2" t="s">
        <v>2313</v>
      </c>
      <c r="G790" s="6">
        <v>46204</v>
      </c>
      <c r="H790" s="2" t="s">
        <v>71</v>
      </c>
      <c r="I790" s="2" t="s">
        <v>70</v>
      </c>
      <c r="J790" s="9">
        <v>4211.0638300000001</v>
      </c>
      <c r="K790" s="7">
        <v>0.65</v>
      </c>
      <c r="L790" s="9">
        <v>2737.19</v>
      </c>
      <c r="M790" s="9">
        <v>2770.88</v>
      </c>
      <c r="N790" s="9">
        <v>1.8</v>
      </c>
      <c r="O790" s="10">
        <f>IF(AND(OR(H790="APPROVED",H790="SCHEDULED"),COUNTIFS(tblSource[EventID],F790,tblSource[ReleaseStatus],"APPROVED")=1,COUNTIFS(Period_Status!$A$2:$A$8,G790,Period_Status!$B$2:$B$8,"ActualClosed")=1,C790&gt;EOMONTH(Settlement_Bridge!$C$2,0)),1,0)</f>
        <v>1</v>
      </c>
      <c r="P790" s="2" t="s">
        <v>2314</v>
      </c>
    </row>
    <row r="791" spans="1:16" x14ac:dyDescent="0.25">
      <c r="A791" s="2" t="s">
        <v>2315</v>
      </c>
      <c r="B791" s="2" t="s">
        <v>136</v>
      </c>
      <c r="C791" s="8">
        <v>46233</v>
      </c>
      <c r="D791" s="6">
        <v>46204</v>
      </c>
      <c r="E791" s="2" t="s">
        <v>260</v>
      </c>
      <c r="F791" s="2" t="s">
        <v>2316</v>
      </c>
      <c r="G791" s="6">
        <v>46204</v>
      </c>
      <c r="H791" s="2" t="s">
        <v>71</v>
      </c>
      <c r="I791" s="2" t="s">
        <v>39</v>
      </c>
      <c r="J791" s="9">
        <v>-2943.89</v>
      </c>
      <c r="K791" s="7">
        <v>1</v>
      </c>
      <c r="L791" s="9">
        <v>-2943.89</v>
      </c>
      <c r="M791" s="9">
        <v>-2943.89</v>
      </c>
      <c r="N791" s="9">
        <v>0</v>
      </c>
      <c r="O791" s="10">
        <f>IF(AND(OR(H791="APPROVED",H791="SCHEDULED"),COUNTIFS(tblSource[EventID],F791,tblSource[ReleaseStatus],"APPROVED")=1,COUNTIFS(Period_Status!$A$2:$A$8,G791,Period_Status!$B$2:$B$8,"ActualClosed")=1,C791&gt;EOMONTH(Settlement_Bridge!$C$2,0)),1,0)</f>
        <v>0</v>
      </c>
      <c r="P791" s="2" t="s">
        <v>2317</v>
      </c>
    </row>
    <row r="792" spans="1:16" x14ac:dyDescent="0.25">
      <c r="A792" s="2" t="s">
        <v>2318</v>
      </c>
      <c r="B792" s="2" t="s">
        <v>136</v>
      </c>
      <c r="C792" s="8">
        <v>46234</v>
      </c>
      <c r="D792" s="6">
        <v>46204</v>
      </c>
      <c r="E792" s="2" t="s">
        <v>260</v>
      </c>
      <c r="F792" s="2" t="s">
        <v>2319</v>
      </c>
      <c r="G792" s="6">
        <v>46204</v>
      </c>
      <c r="H792" s="2" t="s">
        <v>71</v>
      </c>
      <c r="I792" s="2" t="s">
        <v>76</v>
      </c>
      <c r="J792" s="9">
        <v>20109032.258064002</v>
      </c>
      <c r="K792" s="7">
        <v>6.2000000000000003E-5</v>
      </c>
      <c r="L792" s="9">
        <v>1246.76</v>
      </c>
      <c r="M792" s="9">
        <v>1246.76</v>
      </c>
      <c r="N792" s="9">
        <v>1.8</v>
      </c>
      <c r="O792" s="10">
        <f>IF(AND(OR(H792="APPROVED",H792="SCHEDULED"),COUNTIFS(tblSource[EventID],F792,tblSource[ReleaseStatus],"APPROVED")=1,COUNTIFS(Period_Status!$A$2:$A$8,G792,Period_Status!$B$2:$B$8,"ActualClosed")=1,C792&gt;EOMONTH(Settlement_Bridge!$C$2,0)),1,0)</f>
        <v>0</v>
      </c>
      <c r="P792" s="2" t="s">
        <v>2320</v>
      </c>
    </row>
    <row r="793" spans="1:16" x14ac:dyDescent="0.25">
      <c r="A793" s="2" t="s">
        <v>2321</v>
      </c>
      <c r="B793" s="2" t="s">
        <v>136</v>
      </c>
      <c r="C793" s="8">
        <v>46259</v>
      </c>
      <c r="D793" s="6">
        <v>46235</v>
      </c>
      <c r="E793" s="2" t="s">
        <v>260</v>
      </c>
      <c r="F793" s="2" t="s">
        <v>2319</v>
      </c>
      <c r="G793" s="6">
        <v>46204</v>
      </c>
      <c r="H793" s="2" t="s">
        <v>71</v>
      </c>
      <c r="I793" s="2" t="s">
        <v>76</v>
      </c>
      <c r="J793" s="9">
        <v>30163548.387097001</v>
      </c>
      <c r="K793" s="7">
        <v>6.1500000000000004E-5</v>
      </c>
      <c r="L793" s="9">
        <v>1855.06</v>
      </c>
      <c r="M793" s="9">
        <v>1870.14</v>
      </c>
      <c r="N793" s="9">
        <v>1.8</v>
      </c>
      <c r="O793" s="10">
        <f>IF(AND(OR(H793="APPROVED",H793="SCHEDULED"),COUNTIFS(tblSource[EventID],F793,tblSource[ReleaseStatus],"APPROVED")=1,COUNTIFS(Period_Status!$A$2:$A$8,G793,Period_Status!$B$2:$B$8,"ActualClosed")=1,C793&gt;EOMONTH(Settlement_Bridge!$C$2,0)),1,0)</f>
        <v>1</v>
      </c>
      <c r="P793" s="2" t="s">
        <v>2322</v>
      </c>
    </row>
    <row r="794" spans="1:16" x14ac:dyDescent="0.25">
      <c r="A794" s="2" t="s">
        <v>2323</v>
      </c>
      <c r="B794" s="2" t="s">
        <v>136</v>
      </c>
      <c r="C794" s="8">
        <v>46245</v>
      </c>
      <c r="D794" s="6">
        <v>46235</v>
      </c>
      <c r="E794" s="2" t="s">
        <v>260</v>
      </c>
      <c r="F794" s="2" t="s">
        <v>2324</v>
      </c>
      <c r="G794" s="6">
        <v>46204</v>
      </c>
      <c r="H794" s="2" t="s">
        <v>71</v>
      </c>
      <c r="I794" s="2" t="s">
        <v>70</v>
      </c>
      <c r="J794" s="9">
        <v>4999.863222</v>
      </c>
      <c r="K794" s="7">
        <v>0.65</v>
      </c>
      <c r="L794" s="9">
        <v>3249.91</v>
      </c>
      <c r="M794" s="9">
        <v>3289.91</v>
      </c>
      <c r="N794" s="9">
        <v>1.8</v>
      </c>
      <c r="O794" s="10">
        <f>IF(AND(OR(H794="APPROVED",H794="SCHEDULED"),COUNTIFS(tblSource[EventID],F794,tblSource[ReleaseStatus],"APPROVED")=1,COUNTIFS(Period_Status!$A$2:$A$8,G794,Period_Status!$B$2:$B$8,"ActualClosed")=1,C794&gt;EOMONTH(Settlement_Bridge!$C$2,0)),1,0)</f>
        <v>1</v>
      </c>
      <c r="P794" s="2" t="s">
        <v>2325</v>
      </c>
    </row>
    <row r="795" spans="1:16" x14ac:dyDescent="0.25">
      <c r="A795" s="2" t="s">
        <v>2326</v>
      </c>
      <c r="B795" s="2" t="s">
        <v>136</v>
      </c>
      <c r="C795" s="8">
        <v>46246</v>
      </c>
      <c r="D795" s="6">
        <v>46235</v>
      </c>
      <c r="E795" s="2" t="s">
        <v>260</v>
      </c>
      <c r="F795" s="2" t="s">
        <v>2327</v>
      </c>
      <c r="G795" s="6">
        <v>46204</v>
      </c>
      <c r="H795" s="2" t="s">
        <v>71</v>
      </c>
      <c r="I795" s="2" t="s">
        <v>39</v>
      </c>
      <c r="J795" s="9">
        <v>3462.92</v>
      </c>
      <c r="K795" s="7">
        <v>1</v>
      </c>
      <c r="L795" s="9">
        <v>3462.92</v>
      </c>
      <c r="M795" s="9">
        <v>3462.92</v>
      </c>
      <c r="N795" s="9">
        <v>1.9</v>
      </c>
      <c r="O795" s="10">
        <f>IF(AND(OR(H795="APPROVED",H795="SCHEDULED"),COUNTIFS(tblSource[EventID],F795,tblSource[ReleaseStatus],"APPROVED")=1,COUNTIFS(Period_Status!$A$2:$A$8,G795,Period_Status!$B$2:$B$8,"ActualClosed")=1,C795&gt;EOMONTH(Settlement_Bridge!$C$2,0)),1,0)</f>
        <v>1</v>
      </c>
      <c r="P795" s="2" t="s">
        <v>2328</v>
      </c>
    </row>
    <row r="796" spans="1:16" x14ac:dyDescent="0.25">
      <c r="A796" s="2" t="s">
        <v>2329</v>
      </c>
      <c r="B796" s="2" t="s">
        <v>136</v>
      </c>
      <c r="C796" s="8">
        <v>46237</v>
      </c>
      <c r="D796" s="6">
        <v>46235</v>
      </c>
      <c r="E796" s="2" t="s">
        <v>260</v>
      </c>
      <c r="F796" s="2" t="s">
        <v>2330</v>
      </c>
      <c r="G796" s="6">
        <v>46204</v>
      </c>
      <c r="H796" s="2" t="s">
        <v>71</v>
      </c>
      <c r="I796" s="2" t="s">
        <v>76</v>
      </c>
      <c r="J796" s="9">
        <v>23457612.903225999</v>
      </c>
      <c r="K796" s="7">
        <v>6.1500000000000004E-5</v>
      </c>
      <c r="L796" s="9">
        <v>1442.64</v>
      </c>
      <c r="M796" s="9">
        <v>1454.37</v>
      </c>
      <c r="N796" s="9">
        <v>1.8</v>
      </c>
      <c r="O796" s="10">
        <f>IF(AND(OR(H796="APPROVED",H796="SCHEDULED"),COUNTIFS(tblSource[EventID],F796,tblSource[ReleaseStatus],"APPROVED")=1,COUNTIFS(Period_Status!$A$2:$A$8,G796,Period_Status!$B$2:$B$8,"ActualClosed")=1,C796&gt;EOMONTH(Settlement_Bridge!$C$2,0)),1,0)</f>
        <v>1</v>
      </c>
      <c r="P796" s="2" t="s">
        <v>2331</v>
      </c>
    </row>
    <row r="797" spans="1:16" x14ac:dyDescent="0.25">
      <c r="A797" s="2" t="s">
        <v>2332</v>
      </c>
      <c r="B797" s="2" t="s">
        <v>136</v>
      </c>
      <c r="C797" s="8">
        <v>46262</v>
      </c>
      <c r="D797" s="6">
        <v>46235</v>
      </c>
      <c r="E797" s="2" t="s">
        <v>260</v>
      </c>
      <c r="F797" s="2" t="s">
        <v>2330</v>
      </c>
      <c r="G797" s="6">
        <v>46204</v>
      </c>
      <c r="H797" s="2" t="s">
        <v>71</v>
      </c>
      <c r="I797" s="2" t="s">
        <v>76</v>
      </c>
      <c r="J797" s="9">
        <v>35186419.354838997</v>
      </c>
      <c r="K797" s="7">
        <v>6.1500000000000004E-5</v>
      </c>
      <c r="L797" s="9">
        <v>2163.96</v>
      </c>
      <c r="M797" s="9">
        <v>2181.56</v>
      </c>
      <c r="N797" s="9">
        <v>1.8</v>
      </c>
      <c r="O797" s="10">
        <f>IF(AND(OR(H797="APPROVED",H797="SCHEDULED"),COUNTIFS(tblSource[EventID],F797,tblSource[ReleaseStatus],"APPROVED")=1,COUNTIFS(Period_Status!$A$2:$A$8,G797,Period_Status!$B$2:$B$8,"ActualClosed")=1,C797&gt;EOMONTH(Settlement_Bridge!$C$2,0)),1,0)</f>
        <v>1</v>
      </c>
      <c r="P797" s="2" t="s">
        <v>2333</v>
      </c>
    </row>
    <row r="798" spans="1:16" x14ac:dyDescent="0.25">
      <c r="A798" s="2" t="s">
        <v>2334</v>
      </c>
      <c r="B798" s="2" t="s">
        <v>136</v>
      </c>
      <c r="C798" s="8">
        <v>46248</v>
      </c>
      <c r="D798" s="6">
        <v>46235</v>
      </c>
      <c r="E798" s="2" t="s">
        <v>260</v>
      </c>
      <c r="F798" s="2" t="s">
        <v>2335</v>
      </c>
      <c r="G798" s="6">
        <v>46204</v>
      </c>
      <c r="H798" s="2" t="s">
        <v>71</v>
      </c>
      <c r="I798" s="2" t="s">
        <v>70</v>
      </c>
      <c r="J798" s="9">
        <v>5788.6626139999998</v>
      </c>
      <c r="K798" s="7">
        <v>0.65</v>
      </c>
      <c r="L798" s="9">
        <v>3762.63</v>
      </c>
      <c r="M798" s="9">
        <v>3808.94</v>
      </c>
      <c r="N798" s="9">
        <v>2.0699999999999998</v>
      </c>
      <c r="O798" s="10">
        <f>IF(AND(OR(H798="APPROVED",H798="SCHEDULED"),COUNTIFS(tblSource[EventID],F798,tblSource[ReleaseStatus],"APPROVED")=1,COUNTIFS(Period_Status!$A$2:$A$8,G798,Period_Status!$B$2:$B$8,"ActualClosed")=1,C798&gt;EOMONTH(Settlement_Bridge!$C$2,0)),1,0)</f>
        <v>1</v>
      </c>
      <c r="P798" s="2" t="s">
        <v>2336</v>
      </c>
    </row>
    <row r="799" spans="1:16" x14ac:dyDescent="0.25">
      <c r="A799" s="2" t="s">
        <v>2337</v>
      </c>
      <c r="B799" s="2" t="s">
        <v>136</v>
      </c>
      <c r="C799" s="8">
        <v>46249</v>
      </c>
      <c r="D799" s="6">
        <v>46235</v>
      </c>
      <c r="E799" s="2" t="s">
        <v>260</v>
      </c>
      <c r="F799" s="2" t="s">
        <v>2338</v>
      </c>
      <c r="G799" s="6">
        <v>46204</v>
      </c>
      <c r="H799" s="2" t="s">
        <v>71</v>
      </c>
      <c r="I799" s="2" t="s">
        <v>39</v>
      </c>
      <c r="J799" s="9">
        <v>3981.95</v>
      </c>
      <c r="K799" s="7">
        <v>1</v>
      </c>
      <c r="L799" s="9">
        <v>3981.95</v>
      </c>
      <c r="M799" s="9">
        <v>3981.95</v>
      </c>
      <c r="N799" s="9">
        <v>2.19</v>
      </c>
      <c r="O799" s="10">
        <f>IF(AND(OR(H799="APPROVED",H799="SCHEDULED"),COUNTIFS(tblSource[EventID],F799,tblSource[ReleaseStatus],"APPROVED")=1,COUNTIFS(Period_Status!$A$2:$A$8,G799,Period_Status!$B$2:$B$8,"ActualClosed")=1,C799&gt;EOMONTH(Settlement_Bridge!$C$2,0)),1,0)</f>
        <v>1</v>
      </c>
      <c r="P799" s="2" t="s">
        <v>2339</v>
      </c>
    </row>
    <row r="800" spans="1:16" x14ac:dyDescent="0.25">
      <c r="A800" s="2" t="s">
        <v>2340</v>
      </c>
      <c r="B800" s="2" t="s">
        <v>136</v>
      </c>
      <c r="C800" s="8">
        <v>46250</v>
      </c>
      <c r="D800" s="6">
        <v>46235</v>
      </c>
      <c r="E800" s="2" t="s">
        <v>260</v>
      </c>
      <c r="F800" s="2" t="s">
        <v>2341</v>
      </c>
      <c r="G800" s="6">
        <v>46204</v>
      </c>
      <c r="H800" s="2" t="s">
        <v>71</v>
      </c>
      <c r="I800" s="2" t="s">
        <v>76</v>
      </c>
      <c r="J800" s="9">
        <v>67015483.870967999</v>
      </c>
      <c r="K800" s="7">
        <v>6.1500000000000004E-5</v>
      </c>
      <c r="L800" s="9">
        <v>4121.45</v>
      </c>
      <c r="M800" s="9">
        <v>4154.96</v>
      </c>
      <c r="N800" s="9">
        <v>2.27</v>
      </c>
      <c r="O800" s="10">
        <f>IF(AND(OR(H800="APPROVED",H800="SCHEDULED"),COUNTIFS(tblSource[EventID],F800,tblSource[ReleaseStatus],"APPROVED")=1,COUNTIFS(Period_Status!$A$2:$A$8,G800,Period_Status!$B$2:$B$8,"ActualClosed")=1,C800&gt;EOMONTH(Settlement_Bridge!$C$2,0)),1,0)</f>
        <v>1</v>
      </c>
      <c r="P800" s="2" t="s">
        <v>2342</v>
      </c>
    </row>
    <row r="801" spans="1:16" x14ac:dyDescent="0.25">
      <c r="A801" s="2" t="s">
        <v>2343</v>
      </c>
      <c r="B801" s="2" t="s">
        <v>136</v>
      </c>
      <c r="C801" s="8">
        <v>46251</v>
      </c>
      <c r="D801" s="6">
        <v>46235</v>
      </c>
      <c r="E801" s="2" t="s">
        <v>260</v>
      </c>
      <c r="F801" s="2" t="s">
        <v>2344</v>
      </c>
      <c r="G801" s="6">
        <v>46204</v>
      </c>
      <c r="H801" s="2" t="s">
        <v>71</v>
      </c>
      <c r="I801" s="2" t="s">
        <v>70</v>
      </c>
      <c r="J801" s="9">
        <v>6575.9878419999995</v>
      </c>
      <c r="K801" s="7">
        <v>0.65</v>
      </c>
      <c r="L801" s="9">
        <v>4274.3900000000003</v>
      </c>
      <c r="M801" s="9">
        <v>4327</v>
      </c>
      <c r="N801" s="9">
        <v>2.35</v>
      </c>
      <c r="O801" s="10">
        <f>IF(AND(OR(H801="APPROVED",H801="SCHEDULED"),COUNTIFS(tblSource[EventID],F801,tblSource[ReleaseStatus],"APPROVED")=1,COUNTIFS(Period_Status!$A$2:$A$8,G801,Period_Status!$B$2:$B$8,"ActualClosed")=1,C801&gt;EOMONTH(Settlement_Bridge!$C$2,0)),1,0)</f>
        <v>1</v>
      </c>
      <c r="P801" s="2" t="s">
        <v>2345</v>
      </c>
    </row>
    <row r="802" spans="1:16" x14ac:dyDescent="0.25">
      <c r="A802" s="2" t="s">
        <v>2346</v>
      </c>
      <c r="B802" s="2" t="s">
        <v>136</v>
      </c>
      <c r="C802" s="8">
        <v>46252</v>
      </c>
      <c r="D802" s="6">
        <v>46235</v>
      </c>
      <c r="E802" s="2" t="s">
        <v>260</v>
      </c>
      <c r="F802" s="2" t="s">
        <v>2347</v>
      </c>
      <c r="G802" s="6">
        <v>46204</v>
      </c>
      <c r="H802" s="2" t="s">
        <v>71</v>
      </c>
      <c r="I802" s="2" t="s">
        <v>39</v>
      </c>
      <c r="J802" s="9">
        <v>4500.01</v>
      </c>
      <c r="K802" s="7">
        <v>1</v>
      </c>
      <c r="L802" s="9">
        <v>4500.01</v>
      </c>
      <c r="M802" s="9">
        <v>4500.01</v>
      </c>
      <c r="N802" s="9">
        <v>2.48</v>
      </c>
      <c r="O802" s="10">
        <f>IF(AND(OR(H802="APPROVED",H802="SCHEDULED"),COUNTIFS(tblSource[EventID],F802,tblSource[ReleaseStatus],"APPROVED")=1,COUNTIFS(Period_Status!$A$2:$A$8,G802,Period_Status!$B$2:$B$8,"ActualClosed")=1,C802&gt;EOMONTH(Settlement_Bridge!$C$2,0)),1,0)</f>
        <v>1</v>
      </c>
      <c r="P802" s="2" t="s">
        <v>2348</v>
      </c>
    </row>
    <row r="803" spans="1:16" x14ac:dyDescent="0.25">
      <c r="A803" s="2" t="s">
        <v>2349</v>
      </c>
      <c r="B803" s="2" t="s">
        <v>136</v>
      </c>
      <c r="C803" s="8">
        <v>46243</v>
      </c>
      <c r="D803" s="6">
        <v>46235</v>
      </c>
      <c r="E803" s="2" t="s">
        <v>260</v>
      </c>
      <c r="F803" s="2" t="s">
        <v>2350</v>
      </c>
      <c r="G803" s="6">
        <v>46204</v>
      </c>
      <c r="H803" s="2" t="s">
        <v>71</v>
      </c>
      <c r="I803" s="2" t="s">
        <v>76</v>
      </c>
      <c r="J803" s="9">
        <v>30148516.129032001</v>
      </c>
      <c r="K803" s="7">
        <v>6.1500000000000004E-5</v>
      </c>
      <c r="L803" s="9">
        <v>1854.13</v>
      </c>
      <c r="M803" s="9">
        <v>1869.21</v>
      </c>
      <c r="N803" s="9">
        <v>1.8</v>
      </c>
      <c r="O803" s="10">
        <f>IF(AND(OR(H803="APPROVED",H803="SCHEDULED"),COUNTIFS(tblSource[EventID],F803,tblSource[ReleaseStatus],"APPROVED")=1,COUNTIFS(Period_Status!$A$2:$A$8,G803,Period_Status!$B$2:$B$8,"ActualClosed")=1,C803&gt;EOMONTH(Settlement_Bridge!$C$2,0)),1,0)</f>
        <v>1</v>
      </c>
      <c r="P803" s="2" t="s">
        <v>2351</v>
      </c>
    </row>
    <row r="804" spans="1:16" x14ac:dyDescent="0.25">
      <c r="A804" s="2" t="s">
        <v>2352</v>
      </c>
      <c r="B804" s="2" t="s">
        <v>136</v>
      </c>
      <c r="C804" s="8">
        <v>46268</v>
      </c>
      <c r="D804" s="6">
        <v>46266</v>
      </c>
      <c r="E804" s="2" t="s">
        <v>260</v>
      </c>
      <c r="F804" s="2" t="s">
        <v>2350</v>
      </c>
      <c r="G804" s="6">
        <v>46204</v>
      </c>
      <c r="H804" s="2" t="s">
        <v>176</v>
      </c>
      <c r="I804" s="2" t="s">
        <v>76</v>
      </c>
      <c r="J804" s="9">
        <v>45222774.193549</v>
      </c>
      <c r="K804" s="7">
        <v>6.1299999999999999E-5</v>
      </c>
      <c r="L804" s="9">
        <v>2772.16</v>
      </c>
      <c r="M804" s="9">
        <v>2803.81</v>
      </c>
      <c r="N804" s="9">
        <v>1.8</v>
      </c>
      <c r="O804" s="10">
        <f>IF(AND(OR(H804="APPROVED",H804="SCHEDULED"),COUNTIFS(tblSource[EventID],F804,tblSource[ReleaseStatus],"APPROVED")=1,COUNTIFS(Period_Status!$A$2:$A$8,G804,Period_Status!$B$2:$B$8,"ActualClosed")=1,C804&gt;EOMONTH(Settlement_Bridge!$C$2,0)),1,0)</f>
        <v>1</v>
      </c>
      <c r="P804" s="2" t="s">
        <v>2353</v>
      </c>
    </row>
    <row r="805" spans="1:16" x14ac:dyDescent="0.25">
      <c r="A805" s="2" t="s">
        <v>2354</v>
      </c>
      <c r="B805" s="2" t="s">
        <v>136</v>
      </c>
      <c r="C805" s="8">
        <v>46244</v>
      </c>
      <c r="D805" s="6">
        <v>46235</v>
      </c>
      <c r="E805" s="2" t="s">
        <v>260</v>
      </c>
      <c r="F805" s="2" t="s">
        <v>2355</v>
      </c>
      <c r="G805" s="6">
        <v>46204</v>
      </c>
      <c r="H805" s="2" t="s">
        <v>71</v>
      </c>
      <c r="I805" s="2" t="s">
        <v>70</v>
      </c>
      <c r="J805" s="9">
        <v>2945.914894</v>
      </c>
      <c r="K805" s="7">
        <v>0.65</v>
      </c>
      <c r="L805" s="9">
        <v>1914.84</v>
      </c>
      <c r="M805" s="9">
        <v>1938.41</v>
      </c>
      <c r="N805" s="9">
        <v>1.8</v>
      </c>
      <c r="O805" s="10">
        <f>IF(AND(OR(H805="APPROVED",H805="SCHEDULED"),COUNTIFS(tblSource[EventID],F805,tblSource[ReleaseStatus],"APPROVED")=1,COUNTIFS(Period_Status!$A$2:$A$8,G805,Period_Status!$B$2:$B$8,"ActualClosed")=1,C805&gt;EOMONTH(Settlement_Bridge!$C$2,0)),1,0)</f>
        <v>1</v>
      </c>
      <c r="P805" s="2" t="s">
        <v>2356</v>
      </c>
    </row>
    <row r="806" spans="1:16" x14ac:dyDescent="0.25">
      <c r="A806" s="2" t="s">
        <v>2357</v>
      </c>
      <c r="B806" s="2" t="s">
        <v>136</v>
      </c>
      <c r="C806" s="8">
        <v>46269</v>
      </c>
      <c r="D806" s="6">
        <v>46266</v>
      </c>
      <c r="E806" s="2" t="s">
        <v>260</v>
      </c>
      <c r="F806" s="2" t="s">
        <v>2355</v>
      </c>
      <c r="G806" s="6">
        <v>46204</v>
      </c>
      <c r="H806" s="2" t="s">
        <v>176</v>
      </c>
      <c r="I806" s="2" t="s">
        <v>70</v>
      </c>
      <c r="J806" s="9">
        <v>4418.8723399999999</v>
      </c>
      <c r="K806" s="7">
        <v>0.65100000000000002</v>
      </c>
      <c r="L806" s="9">
        <v>2876.69</v>
      </c>
      <c r="M806" s="9">
        <v>2907.62</v>
      </c>
      <c r="N806" s="9">
        <v>1.8</v>
      </c>
      <c r="O806" s="10">
        <f>IF(AND(OR(H806="APPROVED",H806="SCHEDULED"),COUNTIFS(tblSource[EventID],F806,tblSource[ReleaseStatus],"APPROVED")=1,COUNTIFS(Period_Status!$A$2:$A$8,G806,Period_Status!$B$2:$B$8,"ActualClosed")=1,C806&gt;EOMONTH(Settlement_Bridge!$C$2,0)),1,0)</f>
        <v>1</v>
      </c>
      <c r="P806" s="2" t="s">
        <v>2358</v>
      </c>
    </row>
    <row r="807" spans="1:16" x14ac:dyDescent="0.25">
      <c r="A807" s="2" t="s">
        <v>2359</v>
      </c>
      <c r="B807" s="2" t="s">
        <v>136</v>
      </c>
      <c r="C807" s="8">
        <v>46255</v>
      </c>
      <c r="D807" s="6">
        <v>46235</v>
      </c>
      <c r="E807" s="2" t="s">
        <v>260</v>
      </c>
      <c r="F807" s="2" t="s">
        <v>2360</v>
      </c>
      <c r="G807" s="6">
        <v>46204</v>
      </c>
      <c r="H807" s="2" t="s">
        <v>71</v>
      </c>
      <c r="I807" s="2" t="s">
        <v>39</v>
      </c>
      <c r="J807" s="9">
        <v>5019.04</v>
      </c>
      <c r="K807" s="7">
        <v>1</v>
      </c>
      <c r="L807" s="9">
        <v>5019.04</v>
      </c>
      <c r="M807" s="9">
        <v>5019.04</v>
      </c>
      <c r="N807" s="9">
        <v>2.76</v>
      </c>
      <c r="O807" s="10">
        <f>IF(AND(OR(H807="APPROVED",H807="SCHEDULED"),COUNTIFS(tblSource[EventID],F807,tblSource[ReleaseStatus],"APPROVED")=1,COUNTIFS(Period_Status!$A$2:$A$8,G807,Period_Status!$B$2:$B$8,"ActualClosed")=1,C807&gt;EOMONTH(Settlement_Bridge!$C$2,0)),1,0)</f>
        <v>1</v>
      </c>
      <c r="P807" s="2" t="s">
        <v>2361</v>
      </c>
    </row>
    <row r="808" spans="1:16" x14ac:dyDescent="0.25">
      <c r="A808" s="2" t="s">
        <v>2362</v>
      </c>
      <c r="B808" s="2" t="s">
        <v>136</v>
      </c>
      <c r="C808" s="8">
        <v>46256</v>
      </c>
      <c r="D808" s="6">
        <v>46235</v>
      </c>
      <c r="E808" s="2" t="s">
        <v>260</v>
      </c>
      <c r="F808" s="2" t="s">
        <v>2363</v>
      </c>
      <c r="G808" s="6">
        <v>46204</v>
      </c>
      <c r="H808" s="2" t="s">
        <v>71</v>
      </c>
      <c r="I808" s="2" t="s">
        <v>76</v>
      </c>
      <c r="J808" s="9">
        <v>83742741.935484007</v>
      </c>
      <c r="K808" s="7">
        <v>6.1500000000000004E-5</v>
      </c>
      <c r="L808" s="9">
        <v>5150.18</v>
      </c>
      <c r="M808" s="9">
        <v>5192.05</v>
      </c>
      <c r="N808" s="9">
        <v>2.83</v>
      </c>
      <c r="O808" s="10">
        <f>IF(AND(OR(H808="APPROVED",H808="SCHEDULED"),COUNTIFS(tblSource[EventID],F808,tblSource[ReleaseStatus],"APPROVED")=1,COUNTIFS(Period_Status!$A$2:$A$8,G808,Period_Status!$B$2:$B$8,"ActualClosed")=1,C808&gt;EOMONTH(Settlement_Bridge!$C$2,0)),1,0)</f>
        <v>1</v>
      </c>
      <c r="P808" s="2" t="s">
        <v>2364</v>
      </c>
    </row>
    <row r="809" spans="1:16" x14ac:dyDescent="0.25">
      <c r="A809" s="2" t="s">
        <v>2365</v>
      </c>
      <c r="B809" s="2" t="s">
        <v>136</v>
      </c>
      <c r="C809" s="8">
        <v>46247</v>
      </c>
      <c r="D809" s="6">
        <v>46235</v>
      </c>
      <c r="E809" s="2" t="s">
        <v>260</v>
      </c>
      <c r="F809" s="2" t="s">
        <v>2366</v>
      </c>
      <c r="G809" s="6">
        <v>46204</v>
      </c>
      <c r="H809" s="2" t="s">
        <v>71</v>
      </c>
      <c r="I809" s="2" t="s">
        <v>70</v>
      </c>
      <c r="J809" s="9">
        <v>3261.4346500000001</v>
      </c>
      <c r="K809" s="7">
        <v>0.65</v>
      </c>
      <c r="L809" s="9">
        <v>2119.9299999999998</v>
      </c>
      <c r="M809" s="9">
        <v>2146.02</v>
      </c>
      <c r="N809" s="9">
        <v>1.8</v>
      </c>
      <c r="O809" s="10">
        <f>IF(AND(OR(H809="APPROVED",H809="SCHEDULED"),COUNTIFS(tblSource[EventID],F809,tblSource[ReleaseStatus],"APPROVED")=1,COUNTIFS(Period_Status!$A$2:$A$8,G809,Period_Status!$B$2:$B$8,"ActualClosed")=1,C809&gt;EOMONTH(Settlement_Bridge!$C$2,0)),1,0)</f>
        <v>1</v>
      </c>
      <c r="P809" s="2" t="s">
        <v>2367</v>
      </c>
    </row>
    <row r="810" spans="1:16" x14ac:dyDescent="0.25">
      <c r="A810" s="2" t="s">
        <v>2368</v>
      </c>
      <c r="B810" s="2" t="s">
        <v>136</v>
      </c>
      <c r="C810" s="8">
        <v>46272</v>
      </c>
      <c r="D810" s="6">
        <v>46266</v>
      </c>
      <c r="E810" s="2" t="s">
        <v>260</v>
      </c>
      <c r="F810" s="2" t="s">
        <v>2366</v>
      </c>
      <c r="G810" s="6">
        <v>46204</v>
      </c>
      <c r="H810" s="2" t="s">
        <v>176</v>
      </c>
      <c r="I810" s="2" t="s">
        <v>70</v>
      </c>
      <c r="J810" s="9">
        <v>4892.1519760000001</v>
      </c>
      <c r="K810" s="7">
        <v>0.65100000000000002</v>
      </c>
      <c r="L810" s="9">
        <v>3184.79</v>
      </c>
      <c r="M810" s="9">
        <v>3219.04</v>
      </c>
      <c r="N810" s="9">
        <v>1.8</v>
      </c>
      <c r="O810" s="10">
        <f>IF(AND(OR(H810="APPROVED",H810="SCHEDULED"),COUNTIFS(tblSource[EventID],F810,tblSource[ReleaseStatus],"APPROVED")=1,COUNTIFS(Period_Status!$A$2:$A$8,G810,Period_Status!$B$2:$B$8,"ActualClosed")=1,C810&gt;EOMONTH(Settlement_Bridge!$C$2,0)),1,0)</f>
        <v>1</v>
      </c>
      <c r="P810" s="2" t="s">
        <v>2369</v>
      </c>
    </row>
    <row r="811" spans="1:16" x14ac:dyDescent="0.25">
      <c r="A811" s="2" t="s">
        <v>2370</v>
      </c>
      <c r="B811" s="2" t="s">
        <v>136</v>
      </c>
      <c r="C811" s="8">
        <v>46258</v>
      </c>
      <c r="D811" s="6">
        <v>46235</v>
      </c>
      <c r="E811" s="2" t="s">
        <v>260</v>
      </c>
      <c r="F811" s="2" t="s">
        <v>2371</v>
      </c>
      <c r="G811" s="6">
        <v>46204</v>
      </c>
      <c r="H811" s="2" t="s">
        <v>71</v>
      </c>
      <c r="I811" s="2" t="s">
        <v>39</v>
      </c>
      <c r="J811" s="9">
        <v>5538.07</v>
      </c>
      <c r="K811" s="7">
        <v>1</v>
      </c>
      <c r="L811" s="9">
        <v>5538.07</v>
      </c>
      <c r="M811" s="9">
        <v>5538.07</v>
      </c>
      <c r="N811" s="9">
        <v>3.05</v>
      </c>
      <c r="O811" s="10">
        <f>IF(AND(OR(H811="APPROVED",H811="SCHEDULED"),COUNTIFS(tblSource[EventID],F811,tblSource[ReleaseStatus],"APPROVED")=1,COUNTIFS(Period_Status!$A$2:$A$8,G811,Period_Status!$B$2:$B$8,"ActualClosed")=1,C811&gt;EOMONTH(Settlement_Bridge!$C$2,0)),1,0)</f>
        <v>1</v>
      </c>
      <c r="P811" s="2" t="s">
        <v>2372</v>
      </c>
    </row>
    <row r="812" spans="1:16" x14ac:dyDescent="0.25">
      <c r="A812" s="2" t="s">
        <v>2373</v>
      </c>
      <c r="B812" s="2" t="s">
        <v>136</v>
      </c>
      <c r="C812" s="8">
        <v>46228</v>
      </c>
      <c r="D812" s="6">
        <v>46204</v>
      </c>
      <c r="E812" s="2" t="s">
        <v>260</v>
      </c>
      <c r="F812" s="2" t="s">
        <v>2374</v>
      </c>
      <c r="G812" s="6">
        <v>46204</v>
      </c>
      <c r="H812" s="2" t="s">
        <v>71</v>
      </c>
      <c r="I812" s="2" t="s">
        <v>76</v>
      </c>
      <c r="J812" s="9">
        <v>92114193.548387006</v>
      </c>
      <c r="K812" s="7">
        <v>6.2000000000000003E-5</v>
      </c>
      <c r="L812" s="9">
        <v>5711.08</v>
      </c>
      <c r="M812" s="9">
        <v>5711.08</v>
      </c>
      <c r="N812" s="9">
        <v>3.14</v>
      </c>
      <c r="O812" s="10">
        <f>IF(AND(OR(H812="APPROVED",H812="SCHEDULED"),COUNTIFS(tblSource[EventID],F812,tblSource[ReleaseStatus],"APPROVED")=1,COUNTIFS(Period_Status!$A$2:$A$8,G812,Period_Status!$B$2:$B$8,"ActualClosed")=1,C812&gt;EOMONTH(Settlement_Bridge!$C$2,0)),1,0)</f>
        <v>0</v>
      </c>
      <c r="P812" s="2" t="s">
        <v>2375</v>
      </c>
    </row>
    <row r="813" spans="1:16" x14ac:dyDescent="0.25">
      <c r="A813" s="2" t="s">
        <v>2376</v>
      </c>
      <c r="B813" s="2" t="s">
        <v>136</v>
      </c>
      <c r="C813" s="8">
        <v>46229</v>
      </c>
      <c r="D813" s="6">
        <v>46204</v>
      </c>
      <c r="E813" s="2" t="s">
        <v>260</v>
      </c>
      <c r="F813" s="2" t="s">
        <v>2377</v>
      </c>
      <c r="G813" s="6">
        <v>46204</v>
      </c>
      <c r="H813" s="2" t="s">
        <v>71</v>
      </c>
      <c r="I813" s="2" t="s">
        <v>70</v>
      </c>
      <c r="J813" s="9">
        <v>8942.3860179999992</v>
      </c>
      <c r="K813" s="7">
        <v>0.65800000000000003</v>
      </c>
      <c r="L813" s="9">
        <v>5884.09</v>
      </c>
      <c r="M813" s="9">
        <v>5884.09</v>
      </c>
      <c r="N813" s="9">
        <v>3.24</v>
      </c>
      <c r="O813" s="10">
        <f>IF(AND(OR(H813="APPROVED",H813="SCHEDULED"),COUNTIFS(tblSource[EventID],F813,tblSource[ReleaseStatus],"APPROVED")=1,COUNTIFS(Period_Status!$A$2:$A$8,G813,Period_Status!$B$2:$B$8,"ActualClosed")=1,C813&gt;EOMONTH(Settlement_Bridge!$C$2,0)),1,0)</f>
        <v>0</v>
      </c>
      <c r="P813" s="2" t="s">
        <v>2378</v>
      </c>
    </row>
    <row r="814" spans="1:16" x14ac:dyDescent="0.25">
      <c r="A814" s="2" t="s">
        <v>2379</v>
      </c>
      <c r="B814" s="2" t="s">
        <v>136</v>
      </c>
      <c r="C814" s="8">
        <v>46230</v>
      </c>
      <c r="D814" s="6">
        <v>46204</v>
      </c>
      <c r="E814" s="2" t="s">
        <v>260</v>
      </c>
      <c r="F814" s="2" t="s">
        <v>2380</v>
      </c>
      <c r="G814" s="6">
        <v>46204</v>
      </c>
      <c r="H814" s="2" t="s">
        <v>71</v>
      </c>
      <c r="I814" s="2" t="s">
        <v>39</v>
      </c>
      <c r="J814" s="9">
        <v>6057.1</v>
      </c>
      <c r="K814" s="7">
        <v>1</v>
      </c>
      <c r="L814" s="9">
        <v>6057.1</v>
      </c>
      <c r="M814" s="9">
        <v>6057.1</v>
      </c>
      <c r="N814" s="9">
        <v>3.33</v>
      </c>
      <c r="O814" s="10">
        <f>IF(AND(OR(H814="APPROVED",H814="SCHEDULED"),COUNTIFS(tblSource[EventID],F814,tblSource[ReleaseStatus],"APPROVED")=1,COUNTIFS(Period_Status!$A$2:$A$8,G814,Period_Status!$B$2:$B$8,"ActualClosed")=1,C814&gt;EOMONTH(Settlement_Bridge!$C$2,0)),1,0)</f>
        <v>0</v>
      </c>
      <c r="P814" s="2" t="s">
        <v>2381</v>
      </c>
    </row>
    <row r="815" spans="1:16" x14ac:dyDescent="0.25">
      <c r="A815" s="2" t="s">
        <v>2382</v>
      </c>
      <c r="B815" s="2" t="s">
        <v>136</v>
      </c>
      <c r="C815" s="8">
        <v>46231</v>
      </c>
      <c r="D815" s="6">
        <v>46204</v>
      </c>
      <c r="E815" s="2" t="s">
        <v>260</v>
      </c>
      <c r="F815" s="2" t="s">
        <v>2383</v>
      </c>
      <c r="G815" s="6">
        <v>46204</v>
      </c>
      <c r="H815" s="2" t="s">
        <v>71</v>
      </c>
      <c r="I815" s="2" t="s">
        <v>76</v>
      </c>
      <c r="J815" s="9">
        <v>100485645.16129</v>
      </c>
      <c r="K815" s="7">
        <v>6.2000000000000003E-5</v>
      </c>
      <c r="L815" s="9">
        <v>6230.11</v>
      </c>
      <c r="M815" s="9">
        <v>6230.11</v>
      </c>
      <c r="N815" s="9">
        <v>3.43</v>
      </c>
      <c r="O815" s="10">
        <f>IF(AND(OR(H815="APPROVED",H815="SCHEDULED"),COUNTIFS(tblSource[EventID],F815,tblSource[ReleaseStatus],"APPROVED")=1,COUNTIFS(Period_Status!$A$2:$A$8,G815,Period_Status!$B$2:$B$8,"ActualClosed")=1,C815&gt;EOMONTH(Settlement_Bridge!$C$2,0)),1,0)</f>
        <v>0</v>
      </c>
      <c r="P815" s="2" t="s">
        <v>2384</v>
      </c>
    </row>
    <row r="816" spans="1:16" x14ac:dyDescent="0.25">
      <c r="A816" s="2" t="s">
        <v>2385</v>
      </c>
      <c r="B816" s="2" t="s">
        <v>136</v>
      </c>
      <c r="C816" s="8">
        <v>46222</v>
      </c>
      <c r="D816" s="6">
        <v>46204</v>
      </c>
      <c r="E816" s="2" t="s">
        <v>260</v>
      </c>
      <c r="F816" s="2" t="s">
        <v>2386</v>
      </c>
      <c r="G816" s="6">
        <v>46204</v>
      </c>
      <c r="H816" s="2" t="s">
        <v>71</v>
      </c>
      <c r="I816" s="2" t="s">
        <v>70</v>
      </c>
      <c r="J816" s="9">
        <v>3892.4741640000002</v>
      </c>
      <c r="K816" s="7">
        <v>0.65800000000000003</v>
      </c>
      <c r="L816" s="9">
        <v>2561.25</v>
      </c>
      <c r="M816" s="9">
        <v>2561.25</v>
      </c>
      <c r="N816" s="9">
        <v>1.8</v>
      </c>
      <c r="O816" s="10">
        <f>IF(AND(OR(H816="APPROVED",H816="SCHEDULED"),COUNTIFS(tblSource[EventID],F816,tblSource[ReleaseStatus],"APPROVED")=1,COUNTIFS(Period_Status!$A$2:$A$8,G816,Period_Status!$B$2:$B$8,"ActualClosed")=1,C816&gt;EOMONTH(Settlement_Bridge!$C$2,0)),1,0)</f>
        <v>0</v>
      </c>
      <c r="P816" s="2" t="s">
        <v>2387</v>
      </c>
    </row>
    <row r="817" spans="1:16" x14ac:dyDescent="0.25">
      <c r="A817" s="2" t="s">
        <v>2388</v>
      </c>
      <c r="B817" s="2" t="s">
        <v>136</v>
      </c>
      <c r="C817" s="8">
        <v>46247</v>
      </c>
      <c r="D817" s="6">
        <v>46235</v>
      </c>
      <c r="E817" s="2" t="s">
        <v>260</v>
      </c>
      <c r="F817" s="2" t="s">
        <v>2386</v>
      </c>
      <c r="G817" s="6">
        <v>46204</v>
      </c>
      <c r="H817" s="2" t="s">
        <v>71</v>
      </c>
      <c r="I817" s="2" t="s">
        <v>70</v>
      </c>
      <c r="J817" s="9">
        <v>5838.7112459999998</v>
      </c>
      <c r="K817" s="7">
        <v>0.65</v>
      </c>
      <c r="L817" s="9">
        <v>3795.16</v>
      </c>
      <c r="M817" s="9">
        <v>3841.87</v>
      </c>
      <c r="N817" s="9">
        <v>2.09</v>
      </c>
      <c r="O817" s="10">
        <f>IF(AND(OR(H817="APPROVED",H817="SCHEDULED"),COUNTIFS(tblSource[EventID],F817,tblSource[ReleaseStatus],"APPROVED")=1,COUNTIFS(Period_Status!$A$2:$A$8,G817,Period_Status!$B$2:$B$8,"ActualClosed")=1,C817&gt;EOMONTH(Settlement_Bridge!$C$2,0)),1,0)</f>
        <v>1</v>
      </c>
      <c r="P817" s="2" t="s">
        <v>2389</v>
      </c>
    </row>
    <row r="818" spans="1:16" x14ac:dyDescent="0.25">
      <c r="A818" s="2" t="s">
        <v>2390</v>
      </c>
      <c r="B818" s="2" t="s">
        <v>136</v>
      </c>
      <c r="C818" s="8">
        <v>46223</v>
      </c>
      <c r="D818" s="6">
        <v>46204</v>
      </c>
      <c r="E818" s="2" t="s">
        <v>260</v>
      </c>
      <c r="F818" s="2" t="s">
        <v>2391</v>
      </c>
      <c r="G818" s="6">
        <v>46204</v>
      </c>
      <c r="H818" s="2" t="s">
        <v>71</v>
      </c>
      <c r="I818" s="2" t="s">
        <v>39</v>
      </c>
      <c r="J818" s="9">
        <v>2630.4520000000002</v>
      </c>
      <c r="K818" s="7">
        <v>1</v>
      </c>
      <c r="L818" s="9">
        <v>2630.45</v>
      </c>
      <c r="M818" s="9">
        <v>2630.45</v>
      </c>
      <c r="N818" s="9">
        <v>1.8</v>
      </c>
      <c r="O818" s="10">
        <f>IF(AND(OR(H818="APPROVED",H818="SCHEDULED"),COUNTIFS(tblSource[EventID],F818,tblSource[ReleaseStatus],"APPROVED")=1,COUNTIFS(Period_Status!$A$2:$A$8,G818,Period_Status!$B$2:$B$8,"ActualClosed")=1,C818&gt;EOMONTH(Settlement_Bridge!$C$2,0)),1,0)</f>
        <v>0</v>
      </c>
      <c r="P818" s="2" t="s">
        <v>2392</v>
      </c>
    </row>
    <row r="819" spans="1:16" x14ac:dyDescent="0.25">
      <c r="A819" s="2" t="s">
        <v>2393</v>
      </c>
      <c r="B819" s="2" t="s">
        <v>136</v>
      </c>
      <c r="C819" s="8">
        <v>46248</v>
      </c>
      <c r="D819" s="6">
        <v>46235</v>
      </c>
      <c r="E819" s="2" t="s">
        <v>260</v>
      </c>
      <c r="F819" s="2" t="s">
        <v>2391</v>
      </c>
      <c r="G819" s="6">
        <v>46204</v>
      </c>
      <c r="H819" s="2" t="s">
        <v>71</v>
      </c>
      <c r="I819" s="2" t="s">
        <v>39</v>
      </c>
      <c r="J819" s="9">
        <v>3945.6779999999999</v>
      </c>
      <c r="K819" s="7">
        <v>1</v>
      </c>
      <c r="L819" s="9">
        <v>3945.68</v>
      </c>
      <c r="M819" s="9">
        <v>3945.68</v>
      </c>
      <c r="N819" s="9">
        <v>2.17</v>
      </c>
      <c r="O819" s="10">
        <f>IF(AND(OR(H819="APPROVED",H819="SCHEDULED"),COUNTIFS(tblSource[EventID],F819,tblSource[ReleaseStatus],"APPROVED")=1,COUNTIFS(Period_Status!$A$2:$A$8,G819,Period_Status!$B$2:$B$8,"ActualClosed")=1,C819&gt;EOMONTH(Settlement_Bridge!$C$2,0)),1,0)</f>
        <v>1</v>
      </c>
      <c r="P819" s="2" t="s">
        <v>2394</v>
      </c>
    </row>
    <row r="820" spans="1:16" x14ac:dyDescent="0.25">
      <c r="A820" s="2" t="s">
        <v>2395</v>
      </c>
      <c r="B820" s="2" t="s">
        <v>136</v>
      </c>
      <c r="C820" s="8">
        <v>46234</v>
      </c>
      <c r="D820" s="6">
        <v>46204</v>
      </c>
      <c r="E820" s="2" t="s">
        <v>260</v>
      </c>
      <c r="F820" s="2" t="s">
        <v>2396</v>
      </c>
      <c r="G820" s="6">
        <v>46204</v>
      </c>
      <c r="H820" s="2" t="s">
        <v>71</v>
      </c>
      <c r="I820" s="2" t="s">
        <v>76</v>
      </c>
      <c r="J820" s="9">
        <v>108857096.774194</v>
      </c>
      <c r="K820" s="7">
        <v>6.2000000000000003E-5</v>
      </c>
      <c r="L820" s="9">
        <v>6749.14</v>
      </c>
      <c r="M820" s="9">
        <v>6749.14</v>
      </c>
      <c r="N820" s="9">
        <v>3.71</v>
      </c>
      <c r="O820" s="10">
        <f>IF(AND(OR(H820="APPROVED",H820="SCHEDULED"),COUNTIFS(tblSource[EventID],F820,tblSource[ReleaseStatus],"APPROVED")=1,COUNTIFS(Period_Status!$A$2:$A$8,G820,Period_Status!$B$2:$B$8,"ActualClosed")=1,C820&gt;EOMONTH(Settlement_Bridge!$C$2,0)),1,0)</f>
        <v>0</v>
      </c>
      <c r="P820" s="2" t="s">
        <v>2397</v>
      </c>
    </row>
    <row r="821" spans="1:16" x14ac:dyDescent="0.25">
      <c r="A821" s="2" t="s">
        <v>2398</v>
      </c>
      <c r="B821" s="2" t="s">
        <v>136</v>
      </c>
      <c r="C821" s="8">
        <v>46235</v>
      </c>
      <c r="D821" s="6">
        <v>46235</v>
      </c>
      <c r="E821" s="2" t="s">
        <v>260</v>
      </c>
      <c r="F821" s="2" t="s">
        <v>2399</v>
      </c>
      <c r="G821" s="6">
        <v>46204</v>
      </c>
      <c r="H821" s="2" t="s">
        <v>71</v>
      </c>
      <c r="I821" s="2" t="s">
        <v>70</v>
      </c>
      <c r="J821" s="9">
        <v>10519.984802000001</v>
      </c>
      <c r="K821" s="7">
        <v>0.65</v>
      </c>
      <c r="L821" s="9">
        <v>6837.99</v>
      </c>
      <c r="M821" s="9">
        <v>6922.15</v>
      </c>
      <c r="N821" s="9">
        <v>3.76</v>
      </c>
      <c r="O821" s="10">
        <f>IF(AND(OR(H821="APPROVED",H821="SCHEDULED"),COUNTIFS(tblSource[EventID],F821,tblSource[ReleaseStatus],"APPROVED")=1,COUNTIFS(Period_Status!$A$2:$A$8,G821,Period_Status!$B$2:$B$8,"ActualClosed")=1,C821&gt;EOMONTH(Settlement_Bridge!$C$2,0)),1,0)</f>
        <v>1</v>
      </c>
      <c r="P821" s="2" t="s">
        <v>2400</v>
      </c>
    </row>
    <row r="822" spans="1:16" x14ac:dyDescent="0.25">
      <c r="A822" s="2" t="s">
        <v>2401</v>
      </c>
      <c r="B822" s="2" t="s">
        <v>136</v>
      </c>
      <c r="C822" s="8">
        <v>46226</v>
      </c>
      <c r="D822" s="6">
        <v>46204</v>
      </c>
      <c r="E822" s="2" t="s">
        <v>260</v>
      </c>
      <c r="F822" s="2" t="s">
        <v>2402</v>
      </c>
      <c r="G822" s="6">
        <v>46204</v>
      </c>
      <c r="H822" s="2" t="s">
        <v>71</v>
      </c>
      <c r="I822" s="2" t="s">
        <v>39</v>
      </c>
      <c r="J822" s="9">
        <v>2838.0639999999999</v>
      </c>
      <c r="K822" s="7">
        <v>1</v>
      </c>
      <c r="L822" s="9">
        <v>2838.06</v>
      </c>
      <c r="M822" s="9">
        <v>2838.06</v>
      </c>
      <c r="N822" s="9">
        <v>1.8</v>
      </c>
      <c r="O822" s="10">
        <f>IF(AND(OR(H822="APPROVED",H822="SCHEDULED"),COUNTIFS(tblSource[EventID],F822,tblSource[ReleaseStatus],"APPROVED")=1,COUNTIFS(Period_Status!$A$2:$A$8,G822,Period_Status!$B$2:$B$8,"ActualClosed")=1,C822&gt;EOMONTH(Settlement_Bridge!$C$2,0)),1,0)</f>
        <v>0</v>
      </c>
      <c r="P822" s="2" t="s">
        <v>2403</v>
      </c>
    </row>
    <row r="823" spans="1:16" x14ac:dyDescent="0.25">
      <c r="A823" s="2" t="s">
        <v>2404</v>
      </c>
      <c r="B823" s="2" t="s">
        <v>136</v>
      </c>
      <c r="C823" s="8">
        <v>46251</v>
      </c>
      <c r="D823" s="6">
        <v>46235</v>
      </c>
      <c r="E823" s="2" t="s">
        <v>260</v>
      </c>
      <c r="F823" s="2" t="s">
        <v>2402</v>
      </c>
      <c r="G823" s="6">
        <v>46204</v>
      </c>
      <c r="H823" s="2" t="s">
        <v>71</v>
      </c>
      <c r="I823" s="2" t="s">
        <v>39</v>
      </c>
      <c r="J823" s="9">
        <v>4257.0959999999995</v>
      </c>
      <c r="K823" s="7">
        <v>1</v>
      </c>
      <c r="L823" s="9">
        <v>4257.1000000000004</v>
      </c>
      <c r="M823" s="9">
        <v>4257.1000000000004</v>
      </c>
      <c r="N823" s="9">
        <v>2.34</v>
      </c>
      <c r="O823" s="10">
        <f>IF(AND(OR(H823="APPROVED",H823="SCHEDULED"),COUNTIFS(tblSource[EventID],F823,tblSource[ReleaseStatus],"APPROVED")=1,COUNTIFS(Period_Status!$A$2:$A$8,G823,Period_Status!$B$2:$B$8,"ActualClosed")=1,C823&gt;EOMONTH(Settlement_Bridge!$C$2,0)),1,0)</f>
        <v>1</v>
      </c>
      <c r="P823" s="2" t="s">
        <v>2405</v>
      </c>
    </row>
    <row r="824" spans="1:16" x14ac:dyDescent="0.25">
      <c r="A824" s="2" t="s">
        <v>2406</v>
      </c>
      <c r="B824" s="2" t="s">
        <v>136</v>
      </c>
      <c r="C824" s="8">
        <v>46237</v>
      </c>
      <c r="D824" s="6">
        <v>46235</v>
      </c>
      <c r="E824" s="2" t="s">
        <v>260</v>
      </c>
      <c r="F824" s="2" t="s">
        <v>2407</v>
      </c>
      <c r="G824" s="6">
        <v>46204</v>
      </c>
      <c r="H824" s="2" t="s">
        <v>71</v>
      </c>
      <c r="I824" s="2" t="s">
        <v>76</v>
      </c>
      <c r="J824" s="9">
        <v>117228548.387097</v>
      </c>
      <c r="K824" s="7">
        <v>6.1500000000000004E-5</v>
      </c>
      <c r="L824" s="9">
        <v>7209.56</v>
      </c>
      <c r="M824" s="9">
        <v>7268.17</v>
      </c>
      <c r="N824" s="9">
        <v>3.97</v>
      </c>
      <c r="O824" s="10">
        <f>IF(AND(OR(H824="APPROVED",H824="SCHEDULED"),COUNTIFS(tblSource[EventID],F824,tblSource[ReleaseStatus],"APPROVED")=1,COUNTIFS(Period_Status!$A$2:$A$8,G824,Period_Status!$B$2:$B$8,"ActualClosed")=1,C824&gt;EOMONTH(Settlement_Bridge!$C$2,0)),1,0)</f>
        <v>1</v>
      </c>
      <c r="P824" s="2" t="s">
        <v>2408</v>
      </c>
    </row>
    <row r="825" spans="1:16" x14ac:dyDescent="0.25">
      <c r="A825" s="2" t="s">
        <v>2409</v>
      </c>
      <c r="B825" s="2" t="s">
        <v>136</v>
      </c>
      <c r="C825" s="8">
        <v>46238</v>
      </c>
      <c r="D825" s="6">
        <v>46235</v>
      </c>
      <c r="E825" s="2" t="s">
        <v>260</v>
      </c>
      <c r="F825" s="2" t="s">
        <v>2410</v>
      </c>
      <c r="G825" s="6">
        <v>46204</v>
      </c>
      <c r="H825" s="2" t="s">
        <v>71</v>
      </c>
      <c r="I825" s="2" t="s">
        <v>70</v>
      </c>
      <c r="J825" s="9">
        <v>11308.784195</v>
      </c>
      <c r="K825" s="7">
        <v>0.65</v>
      </c>
      <c r="L825" s="9">
        <v>7350.71</v>
      </c>
      <c r="M825" s="9">
        <v>7441.18</v>
      </c>
      <c r="N825" s="9">
        <v>4.04</v>
      </c>
      <c r="O825" s="10">
        <f>IF(AND(OR(H825="APPROVED",H825="SCHEDULED"),COUNTIFS(tblSource[EventID],F825,tblSource[ReleaseStatus],"APPROVED")=1,COUNTIFS(Period_Status!$A$2:$A$8,G825,Period_Status!$B$2:$B$8,"ActualClosed")=1,C825&gt;EOMONTH(Settlement_Bridge!$C$2,0)),1,0)</f>
        <v>1</v>
      </c>
      <c r="P825" s="2" t="s">
        <v>2411</v>
      </c>
    </row>
    <row r="826" spans="1:16" x14ac:dyDescent="0.25">
      <c r="A826" s="2" t="s">
        <v>2412</v>
      </c>
      <c r="B826" s="2" t="s">
        <v>136</v>
      </c>
      <c r="C826" s="8">
        <v>46239</v>
      </c>
      <c r="D826" s="6">
        <v>46235</v>
      </c>
      <c r="E826" s="2" t="s">
        <v>260</v>
      </c>
      <c r="F826" s="2" t="s">
        <v>2413</v>
      </c>
      <c r="G826" s="6">
        <v>46204</v>
      </c>
      <c r="H826" s="2" t="s">
        <v>71</v>
      </c>
      <c r="I826" s="2" t="s">
        <v>39</v>
      </c>
      <c r="J826" s="9">
        <v>7614.19</v>
      </c>
      <c r="K826" s="7">
        <v>1</v>
      </c>
      <c r="L826" s="9">
        <v>7614.19</v>
      </c>
      <c r="M826" s="9">
        <v>7614.19</v>
      </c>
      <c r="N826" s="9">
        <v>4.1900000000000004</v>
      </c>
      <c r="O826" s="10">
        <f>IF(AND(OR(H826="APPROVED",H826="SCHEDULED"),COUNTIFS(tblSource[EventID],F826,tblSource[ReleaseStatus],"APPROVED")=1,COUNTIFS(Period_Status!$A$2:$A$8,G826,Period_Status!$B$2:$B$8,"ActualClosed")=1,C826&gt;EOMONTH(Settlement_Bridge!$C$2,0)),1,0)</f>
        <v>1</v>
      </c>
      <c r="P826" s="2" t="s">
        <v>2414</v>
      </c>
    </row>
    <row r="827" spans="1:16" x14ac:dyDescent="0.25">
      <c r="A827" s="2" t="s">
        <v>2415</v>
      </c>
      <c r="B827" s="2" t="s">
        <v>136</v>
      </c>
      <c r="C827" s="8">
        <v>46240</v>
      </c>
      <c r="D827" s="6">
        <v>46235</v>
      </c>
      <c r="E827" s="2" t="s">
        <v>260</v>
      </c>
      <c r="F827" s="2" t="s">
        <v>2416</v>
      </c>
      <c r="G827" s="6">
        <v>46204</v>
      </c>
      <c r="H827" s="2" t="s">
        <v>71</v>
      </c>
      <c r="I827" s="2" t="s">
        <v>76</v>
      </c>
      <c r="J827" s="9">
        <v>125600000</v>
      </c>
      <c r="K827" s="7">
        <v>6.1500000000000004E-5</v>
      </c>
      <c r="L827" s="9">
        <v>7724.4</v>
      </c>
      <c r="M827" s="9">
        <v>7787.2</v>
      </c>
      <c r="N827" s="9">
        <v>4.25</v>
      </c>
      <c r="O827" s="10">
        <f>IF(AND(OR(H827="APPROVED",H827="SCHEDULED"),COUNTIFS(tblSource[EventID],F827,tblSource[ReleaseStatus],"APPROVED")=1,COUNTIFS(Period_Status!$A$2:$A$8,G827,Period_Status!$B$2:$B$8,"ActualClosed")=1,C827&gt;EOMONTH(Settlement_Bridge!$C$2,0)),1,0)</f>
        <v>1</v>
      </c>
      <c r="P827" s="2" t="s">
        <v>2417</v>
      </c>
    </row>
    <row r="828" spans="1:16" x14ac:dyDescent="0.25">
      <c r="A828" s="2" t="s">
        <v>2418</v>
      </c>
      <c r="B828" s="2" t="s">
        <v>136</v>
      </c>
      <c r="C828" s="8">
        <v>46241</v>
      </c>
      <c r="D828" s="6">
        <v>46235</v>
      </c>
      <c r="E828" s="2" t="s">
        <v>260</v>
      </c>
      <c r="F828" s="2" t="s">
        <v>2419</v>
      </c>
      <c r="G828" s="6">
        <v>46204</v>
      </c>
      <c r="H828" s="2" t="s">
        <v>71</v>
      </c>
      <c r="I828" s="2" t="s">
        <v>70</v>
      </c>
      <c r="J828" s="9">
        <v>12097.583586999999</v>
      </c>
      <c r="K828" s="7">
        <v>0.65</v>
      </c>
      <c r="L828" s="9">
        <v>7863.43</v>
      </c>
      <c r="M828" s="9">
        <v>7960.21</v>
      </c>
      <c r="N828" s="9">
        <v>4.32</v>
      </c>
      <c r="O828" s="10">
        <f>IF(AND(OR(H828="APPROVED",H828="SCHEDULED"),COUNTIFS(tblSource[EventID],F828,tblSource[ReleaseStatus],"APPROVED")=1,COUNTIFS(Period_Status!$A$2:$A$8,G828,Period_Status!$B$2:$B$8,"ActualClosed")=1,C828&gt;EOMONTH(Settlement_Bridge!$C$2,0)),1,0)</f>
        <v>1</v>
      </c>
      <c r="P828" s="2" t="s">
        <v>2420</v>
      </c>
    </row>
    <row r="829" spans="1:16" x14ac:dyDescent="0.25">
      <c r="A829" s="2" t="s">
        <v>2421</v>
      </c>
      <c r="B829" s="2" t="s">
        <v>136</v>
      </c>
      <c r="C829" s="8">
        <v>46232</v>
      </c>
      <c r="D829" s="6">
        <v>46204</v>
      </c>
      <c r="E829" s="2" t="s">
        <v>260</v>
      </c>
      <c r="F829" s="2" t="s">
        <v>2422</v>
      </c>
      <c r="G829" s="6">
        <v>46204</v>
      </c>
      <c r="H829" s="2" t="s">
        <v>71</v>
      </c>
      <c r="I829" s="2" t="s">
        <v>39</v>
      </c>
      <c r="J829" s="9">
        <v>3253.288</v>
      </c>
      <c r="K829" s="7">
        <v>1</v>
      </c>
      <c r="L829" s="9">
        <v>3253.29</v>
      </c>
      <c r="M829" s="9">
        <v>3253.29</v>
      </c>
      <c r="N829" s="9">
        <v>1.8</v>
      </c>
      <c r="O829" s="10">
        <f>IF(AND(OR(H829="APPROVED",H829="SCHEDULED"),COUNTIFS(tblSource[EventID],F829,tblSource[ReleaseStatus],"APPROVED")=1,COUNTIFS(Period_Status!$A$2:$A$8,G829,Period_Status!$B$2:$B$8,"ActualClosed")=1,C829&gt;EOMONTH(Settlement_Bridge!$C$2,0)),1,0)</f>
        <v>0</v>
      </c>
      <c r="P829" s="2" t="s">
        <v>2423</v>
      </c>
    </row>
    <row r="830" spans="1:16" x14ac:dyDescent="0.25">
      <c r="A830" s="2" t="s">
        <v>2424</v>
      </c>
      <c r="B830" s="2" t="s">
        <v>136</v>
      </c>
      <c r="C830" s="8">
        <v>46257</v>
      </c>
      <c r="D830" s="6">
        <v>46235</v>
      </c>
      <c r="E830" s="2" t="s">
        <v>260</v>
      </c>
      <c r="F830" s="2" t="s">
        <v>2422</v>
      </c>
      <c r="G830" s="6">
        <v>46204</v>
      </c>
      <c r="H830" s="2" t="s">
        <v>71</v>
      </c>
      <c r="I830" s="2" t="s">
        <v>39</v>
      </c>
      <c r="J830" s="9">
        <v>4879.9319999999998</v>
      </c>
      <c r="K830" s="7">
        <v>1</v>
      </c>
      <c r="L830" s="9">
        <v>4879.93</v>
      </c>
      <c r="M830" s="9">
        <v>4879.93</v>
      </c>
      <c r="N830" s="9">
        <v>2.68</v>
      </c>
      <c r="O830" s="10">
        <f>IF(AND(OR(H830="APPROVED",H830="SCHEDULED"),COUNTIFS(tblSource[EventID],F830,tblSource[ReleaseStatus],"APPROVED")=1,COUNTIFS(Period_Status!$A$2:$A$8,G830,Period_Status!$B$2:$B$8,"ActualClosed")=1,C830&gt;EOMONTH(Settlement_Bridge!$C$2,0)),1,0)</f>
        <v>1</v>
      </c>
      <c r="P830" s="2" t="s">
        <v>2425</v>
      </c>
    </row>
    <row r="831" spans="1:16" x14ac:dyDescent="0.25">
      <c r="A831" s="2" t="s">
        <v>2426</v>
      </c>
      <c r="B831" s="2" t="s">
        <v>136</v>
      </c>
      <c r="C831" s="8">
        <v>46233</v>
      </c>
      <c r="D831" s="6">
        <v>46204</v>
      </c>
      <c r="E831" s="2" t="s">
        <v>260</v>
      </c>
      <c r="F831" s="2" t="s">
        <v>2427</v>
      </c>
      <c r="G831" s="6">
        <v>46204</v>
      </c>
      <c r="H831" s="2" t="s">
        <v>71</v>
      </c>
      <c r="I831" s="2" t="s">
        <v>76</v>
      </c>
      <c r="J831" s="9">
        <v>53588580.645161003</v>
      </c>
      <c r="K831" s="7">
        <v>6.2000000000000003E-5</v>
      </c>
      <c r="L831" s="9">
        <v>3322.49</v>
      </c>
      <c r="M831" s="9">
        <v>3322.49</v>
      </c>
      <c r="N831" s="9">
        <v>1.83</v>
      </c>
      <c r="O831" s="10">
        <f>IF(AND(OR(H831="APPROVED",H831="SCHEDULED"),COUNTIFS(tblSource[EventID],F831,tblSource[ReleaseStatus],"APPROVED")=1,COUNTIFS(Period_Status!$A$2:$A$8,G831,Period_Status!$B$2:$B$8,"ActualClosed")=1,C831&gt;EOMONTH(Settlement_Bridge!$C$2,0)),1,0)</f>
        <v>0</v>
      </c>
      <c r="P831" s="2" t="s">
        <v>2428</v>
      </c>
    </row>
    <row r="832" spans="1:16" x14ac:dyDescent="0.25">
      <c r="A832" s="2" t="s">
        <v>2429</v>
      </c>
      <c r="B832" s="2" t="s">
        <v>136</v>
      </c>
      <c r="C832" s="8">
        <v>46258</v>
      </c>
      <c r="D832" s="6">
        <v>46235</v>
      </c>
      <c r="E832" s="2" t="s">
        <v>260</v>
      </c>
      <c r="F832" s="2" t="s">
        <v>2427</v>
      </c>
      <c r="G832" s="6">
        <v>46204</v>
      </c>
      <c r="H832" s="2" t="s">
        <v>71</v>
      </c>
      <c r="I832" s="2" t="s">
        <v>76</v>
      </c>
      <c r="J832" s="9">
        <v>80382870.967741996</v>
      </c>
      <c r="K832" s="7">
        <v>6.1500000000000004E-5</v>
      </c>
      <c r="L832" s="9">
        <v>4943.55</v>
      </c>
      <c r="M832" s="9">
        <v>4983.74</v>
      </c>
      <c r="N832" s="9">
        <v>2.72</v>
      </c>
      <c r="O832" s="10">
        <f>IF(AND(OR(H832="APPROVED",H832="SCHEDULED"),COUNTIFS(tblSource[EventID],F832,tblSource[ReleaseStatus],"APPROVED")=1,COUNTIFS(Period_Status!$A$2:$A$8,G832,Period_Status!$B$2:$B$8,"ActualClosed")=1,C832&gt;EOMONTH(Settlement_Bridge!$C$2,0)),1,0)</f>
        <v>1</v>
      </c>
      <c r="P832" s="2" t="s">
        <v>2430</v>
      </c>
    </row>
    <row r="833" spans="1:16" x14ac:dyDescent="0.25">
      <c r="A833" s="2" t="s">
        <v>2431</v>
      </c>
      <c r="B833" s="2" t="s">
        <v>136</v>
      </c>
      <c r="C833" s="8">
        <v>46244</v>
      </c>
      <c r="D833" s="6">
        <v>46235</v>
      </c>
      <c r="E833" s="2" t="s">
        <v>260</v>
      </c>
      <c r="F833" s="2" t="s">
        <v>2432</v>
      </c>
      <c r="G833" s="6">
        <v>46204</v>
      </c>
      <c r="H833" s="2" t="s">
        <v>71</v>
      </c>
      <c r="I833" s="2" t="s">
        <v>70</v>
      </c>
      <c r="J833" s="9">
        <v>12886.382979</v>
      </c>
      <c r="K833" s="7">
        <v>0.65</v>
      </c>
      <c r="L833" s="9">
        <v>8376.15</v>
      </c>
      <c r="M833" s="9">
        <v>8479.24</v>
      </c>
      <c r="N833" s="9">
        <v>4.6100000000000003</v>
      </c>
      <c r="O833" s="10">
        <f>IF(AND(OR(H833="APPROVED",H833="SCHEDULED"),COUNTIFS(tblSource[EventID],F833,tblSource[ReleaseStatus],"APPROVED")=1,COUNTIFS(Period_Status!$A$2:$A$8,G833,Period_Status!$B$2:$B$8,"ActualClosed")=1,C833&gt;EOMONTH(Settlement_Bridge!$C$2,0)),1,0)</f>
        <v>1</v>
      </c>
      <c r="P833" s="2" t="s">
        <v>2433</v>
      </c>
    </row>
    <row r="834" spans="1:16" x14ac:dyDescent="0.25">
      <c r="A834" s="2" t="s">
        <v>2434</v>
      </c>
      <c r="B834" s="2" t="s">
        <v>136</v>
      </c>
      <c r="C834" s="8">
        <v>46245</v>
      </c>
      <c r="D834" s="6">
        <v>46235</v>
      </c>
      <c r="E834" s="2" t="s">
        <v>260</v>
      </c>
      <c r="F834" s="2" t="s">
        <v>2435</v>
      </c>
      <c r="G834" s="6">
        <v>46204</v>
      </c>
      <c r="H834" s="2" t="s">
        <v>71</v>
      </c>
      <c r="I834" s="2" t="s">
        <v>39</v>
      </c>
      <c r="J834" s="9">
        <v>8652.25</v>
      </c>
      <c r="K834" s="7">
        <v>1</v>
      </c>
      <c r="L834" s="9">
        <v>8652.25</v>
      </c>
      <c r="M834" s="9">
        <v>8652.25</v>
      </c>
      <c r="N834" s="9">
        <v>4.76</v>
      </c>
      <c r="O834" s="10">
        <f>IF(AND(OR(H834="APPROVED",H834="SCHEDULED"),COUNTIFS(tblSource[EventID],F834,tblSource[ReleaseStatus],"APPROVED")=1,COUNTIFS(Period_Status!$A$2:$A$8,G834,Period_Status!$B$2:$B$8,"ActualClosed")=1,C834&gt;EOMONTH(Settlement_Bridge!$C$2,0)),1,0)</f>
        <v>1</v>
      </c>
      <c r="P834" s="2" t="s">
        <v>2436</v>
      </c>
    </row>
    <row r="835" spans="1:16" x14ac:dyDescent="0.25">
      <c r="A835" s="2" t="s">
        <v>2437</v>
      </c>
      <c r="B835" s="2" t="s">
        <v>136</v>
      </c>
      <c r="C835" s="8">
        <v>46236</v>
      </c>
      <c r="D835" s="6">
        <v>46235</v>
      </c>
      <c r="E835" s="2" t="s">
        <v>260</v>
      </c>
      <c r="F835" s="2" t="s">
        <v>2438</v>
      </c>
      <c r="G835" s="6">
        <v>46204</v>
      </c>
      <c r="H835" s="2" t="s">
        <v>71</v>
      </c>
      <c r="I835" s="2" t="s">
        <v>76</v>
      </c>
      <c r="J835" s="9">
        <v>56937161.290321998</v>
      </c>
      <c r="K835" s="7">
        <v>6.1500000000000004E-5</v>
      </c>
      <c r="L835" s="9">
        <v>3501.64</v>
      </c>
      <c r="M835" s="9">
        <v>3530.1</v>
      </c>
      <c r="N835" s="9">
        <v>1.93</v>
      </c>
      <c r="O835" s="10">
        <f>IF(AND(OR(H835="APPROVED",H835="SCHEDULED"),COUNTIFS(tblSource[EventID],F835,tblSource[ReleaseStatus],"APPROVED")=1,COUNTIFS(Period_Status!$A$2:$A$8,G835,Period_Status!$B$2:$B$8,"ActualClosed")=1,C835&gt;EOMONTH(Settlement_Bridge!$C$2,0)),1,0)</f>
        <v>1</v>
      </c>
      <c r="P835" s="2" t="s">
        <v>2439</v>
      </c>
    </row>
    <row r="836" spans="1:16" x14ac:dyDescent="0.25">
      <c r="A836" s="2" t="s">
        <v>2440</v>
      </c>
      <c r="B836" s="2" t="s">
        <v>136</v>
      </c>
      <c r="C836" s="8">
        <v>46261</v>
      </c>
      <c r="D836" s="6">
        <v>46235</v>
      </c>
      <c r="E836" s="2" t="s">
        <v>260</v>
      </c>
      <c r="F836" s="2" t="s">
        <v>2438</v>
      </c>
      <c r="G836" s="6">
        <v>46204</v>
      </c>
      <c r="H836" s="2" t="s">
        <v>71</v>
      </c>
      <c r="I836" s="2" t="s">
        <v>76</v>
      </c>
      <c r="J836" s="9">
        <v>85405741.935484007</v>
      </c>
      <c r="K836" s="7">
        <v>6.1500000000000004E-5</v>
      </c>
      <c r="L836" s="9">
        <v>5252.45</v>
      </c>
      <c r="M836" s="9">
        <v>5295.16</v>
      </c>
      <c r="N836" s="9">
        <v>2.89</v>
      </c>
      <c r="O836" s="10">
        <f>IF(AND(OR(H836="APPROVED",H836="SCHEDULED"),COUNTIFS(tblSource[EventID],F836,tblSource[ReleaseStatus],"APPROVED")=1,COUNTIFS(Period_Status!$A$2:$A$8,G836,Period_Status!$B$2:$B$8,"ActualClosed")=1,C836&gt;EOMONTH(Settlement_Bridge!$C$2,0)),1,0)</f>
        <v>1</v>
      </c>
      <c r="P836" s="2" t="s">
        <v>2441</v>
      </c>
    </row>
    <row r="837" spans="1:16" x14ac:dyDescent="0.25">
      <c r="A837" s="2" t="s">
        <v>2442</v>
      </c>
      <c r="B837" s="2" t="s">
        <v>136</v>
      </c>
      <c r="C837" s="8">
        <v>46247</v>
      </c>
      <c r="D837" s="6">
        <v>46235</v>
      </c>
      <c r="E837" s="2" t="s">
        <v>260</v>
      </c>
      <c r="F837" s="2" t="s">
        <v>2443</v>
      </c>
      <c r="G837" s="6">
        <v>46204</v>
      </c>
      <c r="H837" s="2" t="s">
        <v>71</v>
      </c>
      <c r="I837" s="2" t="s">
        <v>70</v>
      </c>
      <c r="J837" s="9">
        <v>13675.182371000001</v>
      </c>
      <c r="K837" s="7">
        <v>0.65</v>
      </c>
      <c r="L837" s="9">
        <v>8888.8700000000008</v>
      </c>
      <c r="M837" s="9">
        <v>8998.27</v>
      </c>
      <c r="N837" s="9">
        <v>4.8899999999999997</v>
      </c>
      <c r="O837" s="10">
        <f>IF(AND(OR(H837="APPROVED",H837="SCHEDULED"),COUNTIFS(tblSource[EventID],F837,tblSource[ReleaseStatus],"APPROVED")=1,COUNTIFS(Period_Status!$A$2:$A$8,G837,Period_Status!$B$2:$B$8,"ActualClosed")=1,C837&gt;EOMONTH(Settlement_Bridge!$C$2,0)),1,0)</f>
        <v>1</v>
      </c>
      <c r="P837" s="2" t="s">
        <v>2444</v>
      </c>
    </row>
    <row r="838" spans="1:16" x14ac:dyDescent="0.25">
      <c r="A838" s="2" t="s">
        <v>2445</v>
      </c>
      <c r="B838" s="2" t="s">
        <v>136</v>
      </c>
      <c r="C838" s="8">
        <v>46248</v>
      </c>
      <c r="D838" s="6">
        <v>46235</v>
      </c>
      <c r="E838" s="2" t="s">
        <v>260</v>
      </c>
      <c r="F838" s="2" t="s">
        <v>2446</v>
      </c>
      <c r="G838" s="6">
        <v>46204</v>
      </c>
      <c r="H838" s="2" t="s">
        <v>71</v>
      </c>
      <c r="I838" s="2" t="s">
        <v>39</v>
      </c>
      <c r="J838" s="9">
        <v>9171.2800000000007</v>
      </c>
      <c r="K838" s="7">
        <v>1</v>
      </c>
      <c r="L838" s="9">
        <v>9171.2800000000007</v>
      </c>
      <c r="M838" s="9">
        <v>9171.2800000000007</v>
      </c>
      <c r="N838" s="9">
        <v>5.04</v>
      </c>
      <c r="O838" s="10">
        <f>IF(AND(OR(H838="APPROVED",H838="SCHEDULED"),COUNTIFS(tblSource[EventID],F838,tblSource[ReleaseStatus],"APPROVED")=1,COUNTIFS(Period_Status!$A$2:$A$8,G838,Period_Status!$B$2:$B$8,"ActualClosed")=1,C838&gt;EOMONTH(Settlement_Bridge!$C$2,0)),1,0)</f>
        <v>1</v>
      </c>
      <c r="P838" s="2" t="s">
        <v>2447</v>
      </c>
    </row>
    <row r="839" spans="1:16" x14ac:dyDescent="0.25">
      <c r="A839" s="2" t="s">
        <v>2448</v>
      </c>
      <c r="B839" s="2" t="s">
        <v>136</v>
      </c>
      <c r="C839" s="8">
        <v>46249</v>
      </c>
      <c r="D839" s="6">
        <v>46235</v>
      </c>
      <c r="E839" s="2" t="s">
        <v>260</v>
      </c>
      <c r="F839" s="2" t="s">
        <v>2449</v>
      </c>
      <c r="G839" s="6">
        <v>46204</v>
      </c>
      <c r="H839" s="2" t="s">
        <v>71</v>
      </c>
      <c r="I839" s="2" t="s">
        <v>76</v>
      </c>
      <c r="J839" s="9">
        <v>150714354.83871001</v>
      </c>
      <c r="K839" s="7">
        <v>6.1500000000000004E-5</v>
      </c>
      <c r="L839" s="9">
        <v>9268.93</v>
      </c>
      <c r="M839" s="9">
        <v>9344.2900000000009</v>
      </c>
      <c r="N839" s="9">
        <v>5.0999999999999996</v>
      </c>
      <c r="O839" s="10">
        <f>IF(AND(OR(H839="APPROVED",H839="SCHEDULED"),COUNTIFS(tblSource[EventID],F839,tblSource[ReleaseStatus],"APPROVED")=1,COUNTIFS(Period_Status!$A$2:$A$8,G839,Period_Status!$B$2:$B$8,"ActualClosed")=1,C839&gt;EOMONTH(Settlement_Bridge!$C$2,0)),1,0)</f>
        <v>1</v>
      </c>
      <c r="P839" s="2" t="s">
        <v>2450</v>
      </c>
    </row>
    <row r="840" spans="1:16" x14ac:dyDescent="0.25">
      <c r="A840" s="2" t="s">
        <v>2451</v>
      </c>
      <c r="B840" s="2" t="s">
        <v>136</v>
      </c>
      <c r="C840" s="8">
        <v>46250</v>
      </c>
      <c r="D840" s="6">
        <v>46235</v>
      </c>
      <c r="E840" s="2" t="s">
        <v>260</v>
      </c>
      <c r="F840" s="2" t="s">
        <v>2452</v>
      </c>
      <c r="G840" s="6">
        <v>46204</v>
      </c>
      <c r="H840" s="2" t="s">
        <v>71</v>
      </c>
      <c r="I840" s="2" t="s">
        <v>70</v>
      </c>
      <c r="J840" s="9">
        <v>14463.981763</v>
      </c>
      <c r="K840" s="7">
        <v>0.65</v>
      </c>
      <c r="L840" s="9">
        <v>9401.59</v>
      </c>
      <c r="M840" s="9">
        <v>9517.2999999999993</v>
      </c>
      <c r="N840" s="9">
        <v>5.17</v>
      </c>
      <c r="O840" s="10">
        <f>IF(AND(OR(H840="APPROVED",H840="SCHEDULED"),COUNTIFS(tblSource[EventID],F840,tblSource[ReleaseStatus],"APPROVED")=1,COUNTIFS(Period_Status!$A$2:$A$8,G840,Period_Status!$B$2:$B$8,"ActualClosed")=1,C840&gt;EOMONTH(Settlement_Bridge!$C$2,0)),1,0)</f>
        <v>1</v>
      </c>
      <c r="P840" s="2" t="s">
        <v>2453</v>
      </c>
    </row>
    <row r="841" spans="1:16" x14ac:dyDescent="0.25">
      <c r="A841" s="2" t="s">
        <v>2454</v>
      </c>
      <c r="B841" s="2" t="s">
        <v>136</v>
      </c>
      <c r="C841" s="8">
        <v>46251</v>
      </c>
      <c r="D841" s="6">
        <v>46235</v>
      </c>
      <c r="E841" s="2" t="s">
        <v>260</v>
      </c>
      <c r="F841" s="2" t="s">
        <v>2455</v>
      </c>
      <c r="G841" s="6">
        <v>46204</v>
      </c>
      <c r="H841" s="2" t="s">
        <v>71</v>
      </c>
      <c r="I841" s="2" t="s">
        <v>39</v>
      </c>
      <c r="J841" s="9">
        <v>9690.31</v>
      </c>
      <c r="K841" s="7">
        <v>1</v>
      </c>
      <c r="L841" s="9">
        <v>9690.31</v>
      </c>
      <c r="M841" s="9">
        <v>9690.31</v>
      </c>
      <c r="N841" s="9">
        <v>5.33</v>
      </c>
      <c r="O841" s="10">
        <f>IF(AND(OR(H841="APPROVED",H841="SCHEDULED"),COUNTIFS(tblSource[EventID],F841,tblSource[ReleaseStatus],"APPROVED")=1,COUNTIFS(Period_Status!$A$2:$A$8,G841,Period_Status!$B$2:$B$8,"ActualClosed")=1,C841&gt;EOMONTH(Settlement_Bridge!$C$2,0)),1,0)</f>
        <v>1</v>
      </c>
      <c r="P841" s="2" t="s">
        <v>2456</v>
      </c>
    </row>
    <row r="842" spans="1:16" x14ac:dyDescent="0.25">
      <c r="A842" s="2" t="s">
        <v>2457</v>
      </c>
      <c r="B842" s="2" t="s">
        <v>136</v>
      </c>
      <c r="C842" s="8">
        <v>46242</v>
      </c>
      <c r="D842" s="6">
        <v>46235</v>
      </c>
      <c r="E842" s="2" t="s">
        <v>260</v>
      </c>
      <c r="F842" s="2" t="s">
        <v>2458</v>
      </c>
      <c r="G842" s="6">
        <v>46204</v>
      </c>
      <c r="H842" s="2" t="s">
        <v>71</v>
      </c>
      <c r="I842" s="2" t="s">
        <v>76</v>
      </c>
      <c r="J842" s="9">
        <v>63634322.580645002</v>
      </c>
      <c r="K842" s="7">
        <v>6.1500000000000004E-5</v>
      </c>
      <c r="L842" s="9">
        <v>3913.51</v>
      </c>
      <c r="M842" s="9">
        <v>3945.33</v>
      </c>
      <c r="N842" s="9">
        <v>2.15</v>
      </c>
      <c r="O842" s="10">
        <f>IF(AND(OR(H842="APPROVED",H842="SCHEDULED"),COUNTIFS(tblSource[EventID],F842,tblSource[ReleaseStatus],"APPROVED")=1,COUNTIFS(Period_Status!$A$2:$A$8,G842,Period_Status!$B$2:$B$8,"ActualClosed")=1,C842&gt;EOMONTH(Settlement_Bridge!$C$2,0)),1,0)</f>
        <v>1</v>
      </c>
      <c r="P842" s="2" t="s">
        <v>2459</v>
      </c>
    </row>
    <row r="843" spans="1:16" x14ac:dyDescent="0.25">
      <c r="A843" s="2" t="s">
        <v>2460</v>
      </c>
      <c r="B843" s="2" t="s">
        <v>136</v>
      </c>
      <c r="C843" s="8">
        <v>46267</v>
      </c>
      <c r="D843" s="6">
        <v>46266</v>
      </c>
      <c r="E843" s="2" t="s">
        <v>260</v>
      </c>
      <c r="F843" s="2" t="s">
        <v>2458</v>
      </c>
      <c r="G843" s="6">
        <v>46204</v>
      </c>
      <c r="H843" s="2" t="s">
        <v>176</v>
      </c>
      <c r="I843" s="2" t="s">
        <v>76</v>
      </c>
      <c r="J843" s="9">
        <v>95451483.870967999</v>
      </c>
      <c r="K843" s="7">
        <v>6.1299999999999999E-5</v>
      </c>
      <c r="L843" s="9">
        <v>5851.18</v>
      </c>
      <c r="M843" s="9">
        <v>5917.99</v>
      </c>
      <c r="N843" s="9">
        <v>3.22</v>
      </c>
      <c r="O843" s="10">
        <f>IF(AND(OR(H843="APPROVED",H843="SCHEDULED"),COUNTIFS(tblSource[EventID],F843,tblSource[ReleaseStatus],"APPROVED")=1,COUNTIFS(Period_Status!$A$2:$A$8,G843,Period_Status!$B$2:$B$8,"ActualClosed")=1,C843&gt;EOMONTH(Settlement_Bridge!$C$2,0)),1,0)</f>
        <v>1</v>
      </c>
      <c r="P843" s="2" t="s">
        <v>2461</v>
      </c>
    </row>
    <row r="844" spans="1:16" x14ac:dyDescent="0.25">
      <c r="A844" s="2" t="s">
        <v>2462</v>
      </c>
      <c r="B844" s="2" t="s">
        <v>136</v>
      </c>
      <c r="C844" s="8">
        <v>46243</v>
      </c>
      <c r="D844" s="6">
        <v>46235</v>
      </c>
      <c r="E844" s="2" t="s">
        <v>260</v>
      </c>
      <c r="F844" s="2" t="s">
        <v>2463</v>
      </c>
      <c r="G844" s="6">
        <v>46204</v>
      </c>
      <c r="H844" s="2" t="s">
        <v>71</v>
      </c>
      <c r="I844" s="2" t="s">
        <v>70</v>
      </c>
      <c r="J844" s="9">
        <v>-15252.781155000001</v>
      </c>
      <c r="K844" s="7">
        <v>0.65</v>
      </c>
      <c r="L844" s="9">
        <v>-9914.31</v>
      </c>
      <c r="M844" s="9">
        <v>-10036.33</v>
      </c>
      <c r="N844" s="9">
        <v>0</v>
      </c>
      <c r="O844" s="10">
        <f>IF(AND(OR(H844="APPROVED",H844="SCHEDULED"),COUNTIFS(tblSource[EventID],F844,tblSource[ReleaseStatus],"APPROVED")=1,COUNTIFS(Period_Status!$A$2:$A$8,G844,Period_Status!$B$2:$B$8,"ActualClosed")=1,C844&gt;EOMONTH(Settlement_Bridge!$C$2,0)),1,0)</f>
        <v>1</v>
      </c>
      <c r="P844" s="2" t="s">
        <v>2464</v>
      </c>
    </row>
    <row r="845" spans="1:16" x14ac:dyDescent="0.25">
      <c r="A845" s="2" t="s">
        <v>2465</v>
      </c>
      <c r="B845" s="2" t="s">
        <v>136</v>
      </c>
      <c r="C845" s="8">
        <v>46254</v>
      </c>
      <c r="D845" s="6">
        <v>46235</v>
      </c>
      <c r="E845" s="2" t="s">
        <v>260</v>
      </c>
      <c r="F845" s="2" t="s">
        <v>2466</v>
      </c>
      <c r="G845" s="6">
        <v>46204</v>
      </c>
      <c r="H845" s="2" t="s">
        <v>71</v>
      </c>
      <c r="I845" s="2" t="s">
        <v>39</v>
      </c>
      <c r="J845" s="9">
        <v>10209.34</v>
      </c>
      <c r="K845" s="7">
        <v>1</v>
      </c>
      <c r="L845" s="9">
        <v>10209.34</v>
      </c>
      <c r="M845" s="9">
        <v>10209.34</v>
      </c>
      <c r="N845" s="9">
        <v>5.62</v>
      </c>
      <c r="O845" s="10">
        <f>IF(AND(OR(H845="APPROVED",H845="SCHEDULED"),COUNTIFS(tblSource[EventID],F845,tblSource[ReleaseStatus],"APPROVED")=1,COUNTIFS(Period_Status!$A$2:$A$8,G845,Period_Status!$B$2:$B$8,"ActualClosed")=1,C845&gt;EOMONTH(Settlement_Bridge!$C$2,0)),1,0)</f>
        <v>1</v>
      </c>
      <c r="P845" s="2" t="s">
        <v>2467</v>
      </c>
    </row>
    <row r="846" spans="1:16" x14ac:dyDescent="0.25">
      <c r="A846" s="2" t="s">
        <v>2468</v>
      </c>
      <c r="B846" s="2" t="s">
        <v>136</v>
      </c>
      <c r="C846" s="8">
        <v>46255</v>
      </c>
      <c r="D846" s="6">
        <v>46235</v>
      </c>
      <c r="E846" s="2" t="s">
        <v>260</v>
      </c>
      <c r="F846" s="2" t="s">
        <v>2469</v>
      </c>
      <c r="G846" s="6">
        <v>46204</v>
      </c>
      <c r="H846" s="2" t="s">
        <v>71</v>
      </c>
      <c r="I846" s="2" t="s">
        <v>76</v>
      </c>
      <c r="J846" s="9">
        <v>167457258.06451601</v>
      </c>
      <c r="K846" s="7">
        <v>6.1500000000000004E-5</v>
      </c>
      <c r="L846" s="9">
        <v>10298.620000000001</v>
      </c>
      <c r="M846" s="9">
        <v>10382.35</v>
      </c>
      <c r="N846" s="9">
        <v>5.66</v>
      </c>
      <c r="O846" s="10">
        <f>IF(AND(OR(H846="APPROVED",H846="SCHEDULED"),COUNTIFS(tblSource[EventID],F846,tblSource[ReleaseStatus],"APPROVED")=1,COUNTIFS(Period_Status!$A$2:$A$8,G846,Period_Status!$B$2:$B$8,"ActualClosed")=1,C846&gt;EOMONTH(Settlement_Bridge!$C$2,0)),1,0)</f>
        <v>1</v>
      </c>
      <c r="P846" s="2" t="s">
        <v>2470</v>
      </c>
    </row>
    <row r="847" spans="1:16" x14ac:dyDescent="0.25">
      <c r="A847" s="2" t="s">
        <v>2471</v>
      </c>
      <c r="B847" s="2" t="s">
        <v>136</v>
      </c>
      <c r="C847" s="8">
        <v>46246</v>
      </c>
      <c r="D847" s="6">
        <v>46235</v>
      </c>
      <c r="E847" s="2" t="s">
        <v>260</v>
      </c>
      <c r="F847" s="2" t="s">
        <v>2472</v>
      </c>
      <c r="G847" s="6">
        <v>46204</v>
      </c>
      <c r="H847" s="2" t="s">
        <v>71</v>
      </c>
      <c r="I847" s="2" t="s">
        <v>70</v>
      </c>
      <c r="J847" s="9">
        <v>6416.6322190000001</v>
      </c>
      <c r="K847" s="7">
        <v>0.65</v>
      </c>
      <c r="L847" s="9">
        <v>4170.8100000000004</v>
      </c>
      <c r="M847" s="9">
        <v>4222.1400000000003</v>
      </c>
      <c r="N847" s="9">
        <v>2.29</v>
      </c>
      <c r="O847" s="10">
        <f>IF(AND(OR(H847="APPROVED",H847="SCHEDULED"),COUNTIFS(tblSource[EventID],F847,tblSource[ReleaseStatus],"APPROVED")=1,COUNTIFS(Period_Status!$A$2:$A$8,G847,Period_Status!$B$2:$B$8,"ActualClosed")=1,C847&gt;EOMONTH(Settlement_Bridge!$C$2,0)),1,0)</f>
        <v>1</v>
      </c>
      <c r="P847" s="2" t="s">
        <v>2473</v>
      </c>
    </row>
    <row r="848" spans="1:16" x14ac:dyDescent="0.25">
      <c r="A848" s="2" t="s">
        <v>2474</v>
      </c>
      <c r="B848" s="2" t="s">
        <v>136</v>
      </c>
      <c r="C848" s="8">
        <v>46271</v>
      </c>
      <c r="D848" s="6">
        <v>46266</v>
      </c>
      <c r="E848" s="2" t="s">
        <v>260</v>
      </c>
      <c r="F848" s="2" t="s">
        <v>2472</v>
      </c>
      <c r="G848" s="6">
        <v>46204</v>
      </c>
      <c r="H848" s="2" t="s">
        <v>176</v>
      </c>
      <c r="I848" s="2" t="s">
        <v>70</v>
      </c>
      <c r="J848" s="9">
        <v>9624.9483280000004</v>
      </c>
      <c r="K848" s="7">
        <v>0.65100000000000002</v>
      </c>
      <c r="L848" s="9">
        <v>6265.84</v>
      </c>
      <c r="M848" s="9">
        <v>6333.22</v>
      </c>
      <c r="N848" s="9">
        <v>3.45</v>
      </c>
      <c r="O848" s="10">
        <f>IF(AND(OR(H848="APPROVED",H848="SCHEDULED"),COUNTIFS(tblSource[EventID],F848,tblSource[ReleaseStatus],"APPROVED")=1,COUNTIFS(Period_Status!$A$2:$A$8,G848,Period_Status!$B$2:$B$8,"ActualClosed")=1,C848&gt;EOMONTH(Settlement_Bridge!$C$2,0)),1,0)</f>
        <v>1</v>
      </c>
      <c r="P848" s="2" t="s">
        <v>2475</v>
      </c>
    </row>
    <row r="849" spans="1:16" x14ac:dyDescent="0.25">
      <c r="A849" s="2" t="s">
        <v>2476</v>
      </c>
      <c r="B849" s="2" t="s">
        <v>136</v>
      </c>
      <c r="C849" s="8">
        <v>46257</v>
      </c>
      <c r="D849" s="6">
        <v>46235</v>
      </c>
      <c r="E849" s="2" t="s">
        <v>260</v>
      </c>
      <c r="F849" s="2" t="s">
        <v>2477</v>
      </c>
      <c r="G849" s="6">
        <v>46204</v>
      </c>
      <c r="H849" s="2" t="s">
        <v>71</v>
      </c>
      <c r="I849" s="2" t="s">
        <v>39</v>
      </c>
      <c r="J849" s="9">
        <v>10728.37</v>
      </c>
      <c r="K849" s="7">
        <v>1</v>
      </c>
      <c r="L849" s="9">
        <v>10728.37</v>
      </c>
      <c r="M849" s="9">
        <v>10728.37</v>
      </c>
      <c r="N849" s="9">
        <v>5.9</v>
      </c>
      <c r="O849" s="10">
        <f>IF(AND(OR(H849="APPROVED",H849="SCHEDULED"),COUNTIFS(tblSource[EventID],F849,tblSource[ReleaseStatus],"APPROVED")=1,COUNTIFS(Period_Status!$A$2:$A$8,G849,Period_Status!$B$2:$B$8,"ActualClosed")=1,C849&gt;EOMONTH(Settlement_Bridge!$C$2,0)),1,0)</f>
        <v>1</v>
      </c>
      <c r="P849" s="2" t="s">
        <v>2478</v>
      </c>
    </row>
    <row r="850" spans="1:16" x14ac:dyDescent="0.25">
      <c r="A850" s="2" t="s">
        <v>2479</v>
      </c>
      <c r="B850" s="2" t="s">
        <v>136</v>
      </c>
      <c r="C850" s="8">
        <v>46258</v>
      </c>
      <c r="D850" s="6">
        <v>46235</v>
      </c>
      <c r="E850" s="2" t="s">
        <v>260</v>
      </c>
      <c r="F850" s="2" t="s">
        <v>2480</v>
      </c>
      <c r="G850" s="6">
        <v>46204</v>
      </c>
      <c r="H850" s="2" t="s">
        <v>71</v>
      </c>
      <c r="I850" s="2" t="s">
        <v>76</v>
      </c>
      <c r="J850" s="9">
        <v>175828709.67741901</v>
      </c>
      <c r="K850" s="7">
        <v>6.1500000000000004E-5</v>
      </c>
      <c r="L850" s="9">
        <v>10813.47</v>
      </c>
      <c r="M850" s="9">
        <v>10901.38</v>
      </c>
      <c r="N850" s="9">
        <v>5.95</v>
      </c>
      <c r="O850" s="10">
        <f>IF(AND(OR(H850="APPROVED",H850="SCHEDULED"),COUNTIFS(tblSource[EventID],F850,tblSource[ReleaseStatus],"APPROVED")=1,COUNTIFS(Period_Status!$A$2:$A$8,G850,Period_Status!$B$2:$B$8,"ActualClosed")=1,C850&gt;EOMONTH(Settlement_Bridge!$C$2,0)),1,0)</f>
        <v>1</v>
      </c>
      <c r="P850" s="2" t="s">
        <v>2481</v>
      </c>
    </row>
    <row r="851" spans="1:16" x14ac:dyDescent="0.25">
      <c r="A851" s="2" t="s">
        <v>2482</v>
      </c>
      <c r="B851" s="2" t="s">
        <v>136</v>
      </c>
      <c r="C851" s="8">
        <v>46228</v>
      </c>
      <c r="D851" s="6">
        <v>46204</v>
      </c>
      <c r="E851" s="2" t="s">
        <v>260</v>
      </c>
      <c r="F851" s="2" t="s">
        <v>2483</v>
      </c>
      <c r="G851" s="6">
        <v>46204</v>
      </c>
      <c r="H851" s="2" t="s">
        <v>71</v>
      </c>
      <c r="I851" s="2" t="s">
        <v>70</v>
      </c>
      <c r="J851" s="9">
        <v>16830.379938999999</v>
      </c>
      <c r="K851" s="7">
        <v>0.65800000000000003</v>
      </c>
      <c r="L851" s="9">
        <v>11074.39</v>
      </c>
      <c r="M851" s="9">
        <v>11074.39</v>
      </c>
      <c r="N851" s="9">
        <v>6.09</v>
      </c>
      <c r="O851" s="10">
        <f>IF(AND(OR(H851="APPROVED",H851="SCHEDULED"),COUNTIFS(tblSource[EventID],F851,tblSource[ReleaseStatus],"APPROVED")=1,COUNTIFS(Period_Status!$A$2:$A$8,G851,Period_Status!$B$2:$B$8,"ActualClosed")=1,C851&gt;EOMONTH(Settlement_Bridge!$C$2,0)),1,0)</f>
        <v>0</v>
      </c>
      <c r="P851" s="2" t="s">
        <v>2484</v>
      </c>
    </row>
    <row r="852" spans="1:16" x14ac:dyDescent="0.25">
      <c r="A852" s="2" t="s">
        <v>2485</v>
      </c>
      <c r="B852" s="2" t="s">
        <v>136</v>
      </c>
      <c r="C852" s="8">
        <v>46229</v>
      </c>
      <c r="D852" s="6">
        <v>46204</v>
      </c>
      <c r="E852" s="2" t="s">
        <v>260</v>
      </c>
      <c r="F852" s="2" t="s">
        <v>2486</v>
      </c>
      <c r="G852" s="6">
        <v>46204</v>
      </c>
      <c r="H852" s="2" t="s">
        <v>71</v>
      </c>
      <c r="I852" s="2" t="s">
        <v>39</v>
      </c>
      <c r="J852" s="9">
        <v>11247.4</v>
      </c>
      <c r="K852" s="7">
        <v>1</v>
      </c>
      <c r="L852" s="9">
        <v>11247.4</v>
      </c>
      <c r="M852" s="9">
        <v>11247.4</v>
      </c>
      <c r="N852" s="9">
        <v>6.19</v>
      </c>
      <c r="O852" s="10">
        <f>IF(AND(OR(H852="APPROVED",H852="SCHEDULED"),COUNTIFS(tblSource[EventID],F852,tblSource[ReleaseStatus],"APPROVED")=1,COUNTIFS(Period_Status!$A$2:$A$8,G852,Period_Status!$B$2:$B$8,"ActualClosed")=1,C852&gt;EOMONTH(Settlement_Bridge!$C$2,0)),1,0)</f>
        <v>0</v>
      </c>
      <c r="P852" s="2" t="s">
        <v>2487</v>
      </c>
    </row>
    <row r="853" spans="1:16" x14ac:dyDescent="0.25">
      <c r="A853" s="2" t="s">
        <v>2488</v>
      </c>
      <c r="B853" s="2" t="s">
        <v>136</v>
      </c>
      <c r="C853" s="8">
        <v>46230</v>
      </c>
      <c r="D853" s="6">
        <v>46204</v>
      </c>
      <c r="E853" s="2" t="s">
        <v>260</v>
      </c>
      <c r="F853" s="2" t="s">
        <v>2489</v>
      </c>
      <c r="G853" s="6">
        <v>46204</v>
      </c>
      <c r="H853" s="2" t="s">
        <v>71</v>
      </c>
      <c r="I853" s="2" t="s">
        <v>76</v>
      </c>
      <c r="J853" s="9">
        <v>184200161.29032299</v>
      </c>
      <c r="K853" s="7">
        <v>6.2000000000000003E-5</v>
      </c>
      <c r="L853" s="9">
        <v>11420.41</v>
      </c>
      <c r="M853" s="9">
        <v>11420.41</v>
      </c>
      <c r="N853" s="9">
        <v>6.28</v>
      </c>
      <c r="O853" s="10">
        <f>IF(AND(OR(H853="APPROVED",H853="SCHEDULED"),COUNTIFS(tblSource[EventID],F853,tblSource[ReleaseStatus],"APPROVED")=1,COUNTIFS(Period_Status!$A$2:$A$8,G853,Period_Status!$B$2:$B$8,"ActualClosed")=1,C853&gt;EOMONTH(Settlement_Bridge!$C$2,0)),1,0)</f>
        <v>0</v>
      </c>
      <c r="P853" s="2" t="s">
        <v>2490</v>
      </c>
    </row>
    <row r="854" spans="1:16" x14ac:dyDescent="0.25">
      <c r="A854" s="2" t="s">
        <v>2491</v>
      </c>
      <c r="B854" s="2" t="s">
        <v>136</v>
      </c>
      <c r="C854" s="8">
        <v>46221</v>
      </c>
      <c r="D854" s="6">
        <v>46204</v>
      </c>
      <c r="E854" s="2" t="s">
        <v>260</v>
      </c>
      <c r="F854" s="2" t="s">
        <v>2492</v>
      </c>
      <c r="G854" s="6">
        <v>46204</v>
      </c>
      <c r="H854" s="2" t="s">
        <v>71</v>
      </c>
      <c r="I854" s="2" t="s">
        <v>70</v>
      </c>
      <c r="J854" s="9">
        <v>7047.6717319999998</v>
      </c>
      <c r="K854" s="7">
        <v>0.65800000000000003</v>
      </c>
      <c r="L854" s="9">
        <v>4637.37</v>
      </c>
      <c r="M854" s="9">
        <v>4637.37</v>
      </c>
      <c r="N854" s="9">
        <v>2.5499999999999998</v>
      </c>
      <c r="O854" s="10">
        <f>IF(AND(OR(H854="APPROVED",H854="SCHEDULED"),COUNTIFS(tblSource[EventID],F854,tblSource[ReleaseStatus],"APPROVED")=1,COUNTIFS(Period_Status!$A$2:$A$8,G854,Period_Status!$B$2:$B$8,"ActualClosed")=1,C854&gt;EOMONTH(Settlement_Bridge!$C$2,0)),1,0)</f>
        <v>0</v>
      </c>
      <c r="P854" s="2" t="s">
        <v>2493</v>
      </c>
    </row>
    <row r="855" spans="1:16" x14ac:dyDescent="0.25">
      <c r="A855" s="2" t="s">
        <v>2494</v>
      </c>
      <c r="B855" s="2" t="s">
        <v>136</v>
      </c>
      <c r="C855" s="8">
        <v>46246</v>
      </c>
      <c r="D855" s="6">
        <v>46235</v>
      </c>
      <c r="E855" s="2" t="s">
        <v>260</v>
      </c>
      <c r="F855" s="2" t="s">
        <v>2492</v>
      </c>
      <c r="G855" s="6">
        <v>46204</v>
      </c>
      <c r="H855" s="2" t="s">
        <v>71</v>
      </c>
      <c r="I855" s="2" t="s">
        <v>70</v>
      </c>
      <c r="J855" s="9">
        <v>10571.507599</v>
      </c>
      <c r="K855" s="7">
        <v>0.65</v>
      </c>
      <c r="L855" s="9">
        <v>6871.48</v>
      </c>
      <c r="M855" s="9">
        <v>6956.05</v>
      </c>
      <c r="N855" s="9">
        <v>3.78</v>
      </c>
      <c r="O855" s="10">
        <f>IF(AND(OR(H855="APPROVED",H855="SCHEDULED"),COUNTIFS(tblSource[EventID],F855,tblSource[ReleaseStatus],"APPROVED")=1,COUNTIFS(Period_Status!$A$2:$A$8,G855,Period_Status!$B$2:$B$8,"ActualClosed")=1,C855&gt;EOMONTH(Settlement_Bridge!$C$2,0)),1,0)</f>
        <v>1</v>
      </c>
      <c r="P855" s="2" t="s">
        <v>2495</v>
      </c>
    </row>
    <row r="856" spans="1:16" x14ac:dyDescent="0.25">
      <c r="A856" s="2" t="s">
        <v>2496</v>
      </c>
      <c r="B856" s="2" t="s">
        <v>136</v>
      </c>
      <c r="C856" s="8">
        <v>46222</v>
      </c>
      <c r="D856" s="6">
        <v>46204</v>
      </c>
      <c r="E856" s="2" t="s">
        <v>260</v>
      </c>
      <c r="F856" s="2" t="s">
        <v>2497</v>
      </c>
      <c r="G856" s="6">
        <v>46204</v>
      </c>
      <c r="H856" s="2" t="s">
        <v>71</v>
      </c>
      <c r="I856" s="2" t="s">
        <v>39</v>
      </c>
      <c r="J856" s="9">
        <v>4706.5720000000001</v>
      </c>
      <c r="K856" s="7">
        <v>1</v>
      </c>
      <c r="L856" s="9">
        <v>4706.57</v>
      </c>
      <c r="M856" s="9">
        <v>4706.57</v>
      </c>
      <c r="N856" s="9">
        <v>2.59</v>
      </c>
      <c r="O856" s="10">
        <f>IF(AND(OR(H856="APPROVED",H856="SCHEDULED"),COUNTIFS(tblSource[EventID],F856,tblSource[ReleaseStatus],"APPROVED")=1,COUNTIFS(Period_Status!$A$2:$A$8,G856,Period_Status!$B$2:$B$8,"ActualClosed")=1,C856&gt;EOMONTH(Settlement_Bridge!$C$2,0)),1,0)</f>
        <v>0</v>
      </c>
      <c r="P856" s="2" t="s">
        <v>2498</v>
      </c>
    </row>
    <row r="857" spans="1:16" x14ac:dyDescent="0.25">
      <c r="A857" s="2" t="s">
        <v>2499</v>
      </c>
      <c r="B857" s="2" t="s">
        <v>136</v>
      </c>
      <c r="C857" s="8">
        <v>46247</v>
      </c>
      <c r="D857" s="6">
        <v>46235</v>
      </c>
      <c r="E857" s="2" t="s">
        <v>260</v>
      </c>
      <c r="F857" s="2" t="s">
        <v>2497</v>
      </c>
      <c r="G857" s="6">
        <v>46204</v>
      </c>
      <c r="H857" s="2" t="s">
        <v>71</v>
      </c>
      <c r="I857" s="2" t="s">
        <v>39</v>
      </c>
      <c r="J857" s="9">
        <v>7059.8580000000002</v>
      </c>
      <c r="K857" s="7">
        <v>1</v>
      </c>
      <c r="L857" s="9">
        <v>7059.86</v>
      </c>
      <c r="M857" s="9">
        <v>7059.86</v>
      </c>
      <c r="N857" s="9">
        <v>3.88</v>
      </c>
      <c r="O857" s="10">
        <f>IF(AND(OR(H857="APPROVED",H857="SCHEDULED"),COUNTIFS(tblSource[EventID],F857,tblSource[ReleaseStatus],"APPROVED")=1,COUNTIFS(Period_Status!$A$2:$A$8,G857,Period_Status!$B$2:$B$8,"ActualClosed")=1,C857&gt;EOMONTH(Settlement_Bridge!$C$2,0)),1,0)</f>
        <v>1</v>
      </c>
      <c r="P857" s="2" t="s">
        <v>2500</v>
      </c>
    </row>
    <row r="858" spans="1:16" x14ac:dyDescent="0.25">
      <c r="A858" s="2" t="s">
        <v>2501</v>
      </c>
      <c r="B858" s="2" t="s">
        <v>136</v>
      </c>
      <c r="C858" s="8">
        <v>46233</v>
      </c>
      <c r="D858" s="6">
        <v>46204</v>
      </c>
      <c r="E858" s="2" t="s">
        <v>260</v>
      </c>
      <c r="F858" s="2" t="s">
        <v>2502</v>
      </c>
      <c r="G858" s="6">
        <v>46204</v>
      </c>
      <c r="H858" s="2" t="s">
        <v>71</v>
      </c>
      <c r="I858" s="2" t="s">
        <v>76</v>
      </c>
      <c r="J858" s="9">
        <v>192571612.90322599</v>
      </c>
      <c r="K858" s="7">
        <v>6.2000000000000003E-5</v>
      </c>
      <c r="L858" s="9">
        <v>11939.44</v>
      </c>
      <c r="M858" s="9">
        <v>11939.44</v>
      </c>
      <c r="N858" s="9">
        <v>6.57</v>
      </c>
      <c r="O858" s="10">
        <f>IF(AND(OR(H858="APPROVED",H858="SCHEDULED"),COUNTIFS(tblSource[EventID],F858,tblSource[ReleaseStatus],"APPROVED")=1,COUNTIFS(Period_Status!$A$2:$A$8,G858,Period_Status!$B$2:$B$8,"ActualClosed")=1,C858&gt;EOMONTH(Settlement_Bridge!$C$2,0)),1,0)</f>
        <v>0</v>
      </c>
      <c r="P858" s="2" t="s">
        <v>2503</v>
      </c>
    </row>
    <row r="859" spans="1:16" x14ac:dyDescent="0.25">
      <c r="A859" s="2" t="s">
        <v>2504</v>
      </c>
      <c r="B859" s="2" t="s">
        <v>136</v>
      </c>
      <c r="C859" s="8">
        <v>46234</v>
      </c>
      <c r="D859" s="6">
        <v>46204</v>
      </c>
      <c r="E859" s="2" t="s">
        <v>260</v>
      </c>
      <c r="F859" s="2" t="s">
        <v>2505</v>
      </c>
      <c r="G859" s="6">
        <v>46204</v>
      </c>
      <c r="H859" s="2" t="s">
        <v>71</v>
      </c>
      <c r="I859" s="2" t="s">
        <v>70</v>
      </c>
      <c r="J859" s="9">
        <v>18407.978723</v>
      </c>
      <c r="K859" s="7">
        <v>0.65800000000000003</v>
      </c>
      <c r="L859" s="9">
        <v>12112.45</v>
      </c>
      <c r="M859" s="9">
        <v>12112.45</v>
      </c>
      <c r="N859" s="9">
        <v>6.66</v>
      </c>
      <c r="O859" s="10">
        <f>IF(AND(OR(H859="APPROVED",H859="SCHEDULED"),COUNTIFS(tblSource[EventID],F859,tblSource[ReleaseStatus],"APPROVED")=1,COUNTIFS(Period_Status!$A$2:$A$8,G859,Period_Status!$B$2:$B$8,"ActualClosed")=1,C859&gt;EOMONTH(Settlement_Bridge!$C$2,0)),1,0)</f>
        <v>0</v>
      </c>
      <c r="P859" s="2" t="s">
        <v>2506</v>
      </c>
    </row>
    <row r="860" spans="1:16" x14ac:dyDescent="0.25">
      <c r="A860" s="2" t="s">
        <v>2507</v>
      </c>
      <c r="B860" s="2" t="s">
        <v>136</v>
      </c>
      <c r="C860" s="8">
        <v>46225</v>
      </c>
      <c r="D860" s="6">
        <v>46204</v>
      </c>
      <c r="E860" s="2" t="s">
        <v>260</v>
      </c>
      <c r="F860" s="2" t="s">
        <v>2508</v>
      </c>
      <c r="G860" s="6">
        <v>46204</v>
      </c>
      <c r="H860" s="2" t="s">
        <v>71</v>
      </c>
      <c r="I860" s="2" t="s">
        <v>39</v>
      </c>
      <c r="J860" s="9">
        <v>4914.1840000000002</v>
      </c>
      <c r="K860" s="7">
        <v>1</v>
      </c>
      <c r="L860" s="9">
        <v>4914.18</v>
      </c>
      <c r="M860" s="9">
        <v>4914.18</v>
      </c>
      <c r="N860" s="9">
        <v>2.7</v>
      </c>
      <c r="O860" s="10">
        <f>IF(AND(OR(H860="APPROVED",H860="SCHEDULED"),COUNTIFS(tblSource[EventID],F860,tblSource[ReleaseStatus],"APPROVED")=1,COUNTIFS(Period_Status!$A$2:$A$8,G860,Period_Status!$B$2:$B$8,"ActualClosed")=1,C860&gt;EOMONTH(Settlement_Bridge!$C$2,0)),1,0)</f>
        <v>0</v>
      </c>
      <c r="P860" s="2" t="s">
        <v>2509</v>
      </c>
    </row>
    <row r="861" spans="1:16" x14ac:dyDescent="0.25">
      <c r="A861" s="2" t="s">
        <v>2510</v>
      </c>
      <c r="B861" s="2" t="s">
        <v>136</v>
      </c>
      <c r="C861" s="8">
        <v>46250</v>
      </c>
      <c r="D861" s="6">
        <v>46235</v>
      </c>
      <c r="E861" s="2" t="s">
        <v>260</v>
      </c>
      <c r="F861" s="2" t="s">
        <v>2508</v>
      </c>
      <c r="G861" s="6">
        <v>46204</v>
      </c>
      <c r="H861" s="2" t="s">
        <v>71</v>
      </c>
      <c r="I861" s="2" t="s">
        <v>39</v>
      </c>
      <c r="J861" s="9">
        <v>7371.2759999999998</v>
      </c>
      <c r="K861" s="7">
        <v>1</v>
      </c>
      <c r="L861" s="9">
        <v>7371.28</v>
      </c>
      <c r="M861" s="9">
        <v>7371.28</v>
      </c>
      <c r="N861" s="9">
        <v>4.05</v>
      </c>
      <c r="O861" s="10">
        <f>IF(AND(OR(H861="APPROVED",H861="SCHEDULED"),COUNTIFS(tblSource[EventID],F861,tblSource[ReleaseStatus],"APPROVED")=1,COUNTIFS(Period_Status!$A$2:$A$8,G861,Period_Status!$B$2:$B$8,"ActualClosed")=1,C861&gt;EOMONTH(Settlement_Bridge!$C$2,0)),1,0)</f>
        <v>1</v>
      </c>
      <c r="P861" s="2" t="s">
        <v>2511</v>
      </c>
    </row>
    <row r="862" spans="1:16" x14ac:dyDescent="0.25">
      <c r="A862" s="2" t="s">
        <v>2512</v>
      </c>
      <c r="B862" s="2" t="s">
        <v>136</v>
      </c>
      <c r="C862" s="8">
        <v>46236</v>
      </c>
      <c r="D862" s="6">
        <v>46235</v>
      </c>
      <c r="E862" s="2" t="s">
        <v>260</v>
      </c>
      <c r="F862" s="2" t="s">
        <v>2513</v>
      </c>
      <c r="G862" s="6">
        <v>46204</v>
      </c>
      <c r="H862" s="2" t="s">
        <v>71</v>
      </c>
      <c r="I862" s="2" t="s">
        <v>76</v>
      </c>
      <c r="J862" s="9">
        <v>200943064.51612899</v>
      </c>
      <c r="K862" s="7">
        <v>6.1500000000000004E-5</v>
      </c>
      <c r="L862" s="9">
        <v>12358</v>
      </c>
      <c r="M862" s="9">
        <v>12458.47</v>
      </c>
      <c r="N862" s="9">
        <v>6.8</v>
      </c>
      <c r="O862" s="10">
        <f>IF(AND(OR(H862="APPROVED",H862="SCHEDULED"),COUNTIFS(tblSource[EventID],F862,tblSource[ReleaseStatus],"APPROVED")=1,COUNTIFS(Period_Status!$A$2:$A$8,G862,Period_Status!$B$2:$B$8,"ActualClosed")=1,C862&gt;EOMONTH(Settlement_Bridge!$C$2,0)),1,0)</f>
        <v>1</v>
      </c>
      <c r="P862" s="2" t="s">
        <v>2514</v>
      </c>
    </row>
    <row r="863" spans="1:16" x14ac:dyDescent="0.25">
      <c r="A863" s="2" t="s">
        <v>2515</v>
      </c>
      <c r="B863" s="2" t="s">
        <v>136</v>
      </c>
      <c r="C863" s="8">
        <v>46237</v>
      </c>
      <c r="D863" s="6">
        <v>46235</v>
      </c>
      <c r="E863" s="2" t="s">
        <v>260</v>
      </c>
      <c r="F863" s="2" t="s">
        <v>2516</v>
      </c>
      <c r="G863" s="6">
        <v>46204</v>
      </c>
      <c r="H863" s="2" t="s">
        <v>71</v>
      </c>
      <c r="I863" s="2" t="s">
        <v>70</v>
      </c>
      <c r="J863" s="9">
        <v>19196.778116000001</v>
      </c>
      <c r="K863" s="7">
        <v>0.65</v>
      </c>
      <c r="L863" s="9">
        <v>12477.91</v>
      </c>
      <c r="M863" s="9">
        <v>12631.48</v>
      </c>
      <c r="N863" s="9">
        <v>6.86</v>
      </c>
      <c r="O863" s="10">
        <f>IF(AND(OR(H863="APPROVED",H863="SCHEDULED"),COUNTIFS(tblSource[EventID],F863,tblSource[ReleaseStatus],"APPROVED")=1,COUNTIFS(Period_Status!$A$2:$A$8,G863,Period_Status!$B$2:$B$8,"ActualClosed")=1,C863&gt;EOMONTH(Settlement_Bridge!$C$2,0)),1,0)</f>
        <v>1</v>
      </c>
      <c r="P863" s="2" t="s">
        <v>2517</v>
      </c>
    </row>
    <row r="864" spans="1:16" x14ac:dyDescent="0.25">
      <c r="A864" s="2" t="s">
        <v>2518</v>
      </c>
      <c r="B864" s="2" t="s">
        <v>136</v>
      </c>
      <c r="C864" s="8">
        <v>46238</v>
      </c>
      <c r="D864" s="6">
        <v>46235</v>
      </c>
      <c r="E864" s="2" t="s">
        <v>260</v>
      </c>
      <c r="F864" s="2" t="s">
        <v>2519</v>
      </c>
      <c r="G864" s="6">
        <v>46204</v>
      </c>
      <c r="H864" s="2" t="s">
        <v>71</v>
      </c>
      <c r="I864" s="2" t="s">
        <v>39</v>
      </c>
      <c r="J864" s="9">
        <v>12804.49</v>
      </c>
      <c r="K864" s="7">
        <v>1</v>
      </c>
      <c r="L864" s="9">
        <v>12804.49</v>
      </c>
      <c r="M864" s="9">
        <v>12804.49</v>
      </c>
      <c r="N864" s="9">
        <v>7.04</v>
      </c>
      <c r="O864" s="10">
        <f>IF(AND(OR(H864="APPROVED",H864="SCHEDULED"),COUNTIFS(tblSource[EventID],F864,tblSource[ReleaseStatus],"APPROVED")=1,COUNTIFS(Period_Status!$A$2:$A$8,G864,Period_Status!$B$2:$B$8,"ActualClosed")=1,C864&gt;EOMONTH(Settlement_Bridge!$C$2,0)),1,0)</f>
        <v>1</v>
      </c>
      <c r="P864" s="2" t="s">
        <v>2520</v>
      </c>
    </row>
    <row r="865" spans="1:16" x14ac:dyDescent="0.25">
      <c r="A865" s="2" t="s">
        <v>2521</v>
      </c>
      <c r="B865" s="2" t="s">
        <v>136</v>
      </c>
      <c r="C865" s="8">
        <v>46239</v>
      </c>
      <c r="D865" s="6">
        <v>46235</v>
      </c>
      <c r="E865" s="2" t="s">
        <v>260</v>
      </c>
      <c r="F865" s="2" t="s">
        <v>2522</v>
      </c>
      <c r="G865" s="6">
        <v>46204</v>
      </c>
      <c r="H865" s="2" t="s">
        <v>71</v>
      </c>
      <c r="I865" s="2" t="s">
        <v>76</v>
      </c>
      <c r="J865" s="9">
        <v>209314516.12903199</v>
      </c>
      <c r="K865" s="7">
        <v>6.1500000000000004E-5</v>
      </c>
      <c r="L865" s="9">
        <v>12872.84</v>
      </c>
      <c r="M865" s="9">
        <v>12977.5</v>
      </c>
      <c r="N865" s="9">
        <v>7.08</v>
      </c>
      <c r="O865" s="10">
        <f>IF(AND(OR(H865="APPROVED",H865="SCHEDULED"),COUNTIFS(tblSource[EventID],F865,tblSource[ReleaseStatus],"APPROVED")=1,COUNTIFS(Period_Status!$A$2:$A$8,G865,Period_Status!$B$2:$B$8,"ActualClosed")=1,C865&gt;EOMONTH(Settlement_Bridge!$C$2,0)),1,0)</f>
        <v>1</v>
      </c>
      <c r="P865" s="2" t="s">
        <v>2523</v>
      </c>
    </row>
    <row r="866" spans="1:16" x14ac:dyDescent="0.25">
      <c r="A866" s="2" t="s">
        <v>2524</v>
      </c>
      <c r="B866" s="2" t="s">
        <v>136</v>
      </c>
      <c r="C866" s="8">
        <v>46240</v>
      </c>
      <c r="D866" s="6">
        <v>46235</v>
      </c>
      <c r="E866" s="2" t="s">
        <v>260</v>
      </c>
      <c r="F866" s="2" t="s">
        <v>2525</v>
      </c>
      <c r="G866" s="6">
        <v>46204</v>
      </c>
      <c r="H866" s="2" t="s">
        <v>71</v>
      </c>
      <c r="I866" s="2" t="s">
        <v>70</v>
      </c>
      <c r="J866" s="9">
        <v>19985.577507999998</v>
      </c>
      <c r="K866" s="7">
        <v>0.65</v>
      </c>
      <c r="L866" s="9">
        <v>12990.63</v>
      </c>
      <c r="M866" s="9">
        <v>13150.51</v>
      </c>
      <c r="N866" s="9">
        <v>7.14</v>
      </c>
      <c r="O866" s="10">
        <f>IF(AND(OR(H866="APPROVED",H866="SCHEDULED"),COUNTIFS(tblSource[EventID],F866,tblSource[ReleaseStatus],"APPROVED")=1,COUNTIFS(Period_Status!$A$2:$A$8,G866,Period_Status!$B$2:$B$8,"ActualClosed")=1,C866&gt;EOMONTH(Settlement_Bridge!$C$2,0)),1,0)</f>
        <v>1</v>
      </c>
      <c r="P866" s="2" t="s">
        <v>2526</v>
      </c>
    </row>
    <row r="867" spans="1:16" x14ac:dyDescent="0.25">
      <c r="A867" s="2" t="s">
        <v>2527</v>
      </c>
      <c r="B867" s="2" t="s">
        <v>136</v>
      </c>
      <c r="C867" s="8">
        <v>46231</v>
      </c>
      <c r="D867" s="6">
        <v>46204</v>
      </c>
      <c r="E867" s="2" t="s">
        <v>260</v>
      </c>
      <c r="F867" s="2" t="s">
        <v>2528</v>
      </c>
      <c r="G867" s="6">
        <v>46204</v>
      </c>
      <c r="H867" s="2" t="s">
        <v>71</v>
      </c>
      <c r="I867" s="2" t="s">
        <v>39</v>
      </c>
      <c r="J867" s="9">
        <v>5329.4080000000004</v>
      </c>
      <c r="K867" s="7">
        <v>1</v>
      </c>
      <c r="L867" s="9">
        <v>5329.41</v>
      </c>
      <c r="M867" s="9">
        <v>5329.41</v>
      </c>
      <c r="N867" s="9">
        <v>2.93</v>
      </c>
      <c r="O867" s="10">
        <f>IF(AND(OR(H867="APPROVED",H867="SCHEDULED"),COUNTIFS(tblSource[EventID],F867,tblSource[ReleaseStatus],"APPROVED")=1,COUNTIFS(Period_Status!$A$2:$A$8,G867,Period_Status!$B$2:$B$8,"ActualClosed")=1,C867&gt;EOMONTH(Settlement_Bridge!$C$2,0)),1,0)</f>
        <v>0</v>
      </c>
      <c r="P867" s="2" t="s">
        <v>2529</v>
      </c>
    </row>
    <row r="868" spans="1:16" x14ac:dyDescent="0.25">
      <c r="A868" s="2" t="s">
        <v>2530</v>
      </c>
      <c r="B868" s="2" t="s">
        <v>136</v>
      </c>
      <c r="C868" s="8">
        <v>46256</v>
      </c>
      <c r="D868" s="6">
        <v>46235</v>
      </c>
      <c r="E868" s="2" t="s">
        <v>260</v>
      </c>
      <c r="F868" s="2" t="s">
        <v>2528</v>
      </c>
      <c r="G868" s="6">
        <v>46204</v>
      </c>
      <c r="H868" s="2" t="s">
        <v>71</v>
      </c>
      <c r="I868" s="2" t="s">
        <v>39</v>
      </c>
      <c r="J868" s="9">
        <v>7994.1120000000001</v>
      </c>
      <c r="K868" s="7">
        <v>1</v>
      </c>
      <c r="L868" s="9">
        <v>7994.11</v>
      </c>
      <c r="M868" s="9">
        <v>7994.11</v>
      </c>
      <c r="N868" s="9">
        <v>4.4000000000000004</v>
      </c>
      <c r="O868" s="10">
        <f>IF(AND(OR(H868="APPROVED",H868="SCHEDULED"),COUNTIFS(tblSource[EventID],F868,tblSource[ReleaseStatus],"APPROVED")=1,COUNTIFS(Period_Status!$A$2:$A$8,G868,Period_Status!$B$2:$B$8,"ActualClosed")=1,C868&gt;EOMONTH(Settlement_Bridge!$C$2,0)),1,0)</f>
        <v>1</v>
      </c>
      <c r="P868" s="2" t="s">
        <v>2531</v>
      </c>
    </row>
    <row r="869" spans="1:16" x14ac:dyDescent="0.25">
      <c r="A869" s="2" t="s">
        <v>2532</v>
      </c>
      <c r="B869" s="2" t="s">
        <v>136</v>
      </c>
      <c r="C869" s="8">
        <v>46232</v>
      </c>
      <c r="D869" s="6">
        <v>46204</v>
      </c>
      <c r="E869" s="2" t="s">
        <v>260</v>
      </c>
      <c r="F869" s="2" t="s">
        <v>2533</v>
      </c>
      <c r="G869" s="6">
        <v>46204</v>
      </c>
      <c r="H869" s="2" t="s">
        <v>71</v>
      </c>
      <c r="I869" s="2" t="s">
        <v>76</v>
      </c>
      <c r="J869" s="9">
        <v>87074387.096773997</v>
      </c>
      <c r="K869" s="7">
        <v>6.2000000000000003E-5</v>
      </c>
      <c r="L869" s="9">
        <v>5398.61</v>
      </c>
      <c r="M869" s="9">
        <v>5398.61</v>
      </c>
      <c r="N869" s="9">
        <v>2.97</v>
      </c>
      <c r="O869" s="10">
        <f>IF(AND(OR(H869="APPROVED",H869="SCHEDULED"),COUNTIFS(tblSource[EventID],F869,tblSource[ReleaseStatus],"APPROVED")=1,COUNTIFS(Period_Status!$A$2:$A$8,G869,Period_Status!$B$2:$B$8,"ActualClosed")=1,C869&gt;EOMONTH(Settlement_Bridge!$C$2,0)),1,0)</f>
        <v>0</v>
      </c>
      <c r="P869" s="2" t="s">
        <v>2534</v>
      </c>
    </row>
    <row r="870" spans="1:16" x14ac:dyDescent="0.25">
      <c r="A870" s="2" t="s">
        <v>2535</v>
      </c>
      <c r="B870" s="2" t="s">
        <v>136</v>
      </c>
      <c r="C870" s="8">
        <v>46257</v>
      </c>
      <c r="D870" s="6">
        <v>46235</v>
      </c>
      <c r="E870" s="2" t="s">
        <v>260</v>
      </c>
      <c r="F870" s="2" t="s">
        <v>2533</v>
      </c>
      <c r="G870" s="6">
        <v>46204</v>
      </c>
      <c r="H870" s="2" t="s">
        <v>71</v>
      </c>
      <c r="I870" s="2" t="s">
        <v>76</v>
      </c>
      <c r="J870" s="9">
        <v>130611580.645161</v>
      </c>
      <c r="K870" s="7">
        <v>6.1500000000000004E-5</v>
      </c>
      <c r="L870" s="9">
        <v>8032.61</v>
      </c>
      <c r="M870" s="9">
        <v>8097.92</v>
      </c>
      <c r="N870" s="9">
        <v>4.42</v>
      </c>
      <c r="O870" s="10">
        <f>IF(AND(OR(H870="APPROVED",H870="SCHEDULED"),COUNTIFS(tblSource[EventID],F870,tblSource[ReleaseStatus],"APPROVED")=1,COUNTIFS(Period_Status!$A$2:$A$8,G870,Period_Status!$B$2:$B$8,"ActualClosed")=1,C870&gt;EOMONTH(Settlement_Bridge!$C$2,0)),1,0)</f>
        <v>1</v>
      </c>
      <c r="P870" s="2" t="s">
        <v>2536</v>
      </c>
    </row>
    <row r="871" spans="1:16" x14ac:dyDescent="0.25">
      <c r="A871" s="2" t="s">
        <v>2537</v>
      </c>
      <c r="B871" s="2" t="s">
        <v>136</v>
      </c>
      <c r="C871" s="8">
        <v>46243</v>
      </c>
      <c r="D871" s="6">
        <v>46235</v>
      </c>
      <c r="E871" s="2" t="s">
        <v>260</v>
      </c>
      <c r="F871" s="2" t="s">
        <v>2538</v>
      </c>
      <c r="G871" s="6">
        <v>46204</v>
      </c>
      <c r="H871" s="2" t="s">
        <v>71</v>
      </c>
      <c r="I871" s="2" t="s">
        <v>70</v>
      </c>
      <c r="J871" s="9">
        <v>20774.376899999999</v>
      </c>
      <c r="K871" s="7">
        <v>0.65</v>
      </c>
      <c r="L871" s="9">
        <v>13503.34</v>
      </c>
      <c r="M871" s="9">
        <v>13669.54</v>
      </c>
      <c r="N871" s="9">
        <v>7.43</v>
      </c>
      <c r="O871" s="10">
        <f>IF(AND(OR(H871="APPROVED",H871="SCHEDULED"),COUNTIFS(tblSource[EventID],F871,tblSource[ReleaseStatus],"APPROVED")=1,COUNTIFS(Period_Status!$A$2:$A$8,G871,Period_Status!$B$2:$B$8,"ActualClosed")=1,C871&gt;EOMONTH(Settlement_Bridge!$C$2,0)),1,0)</f>
        <v>1</v>
      </c>
      <c r="P871" s="2" t="s">
        <v>2539</v>
      </c>
    </row>
    <row r="872" spans="1:16" x14ac:dyDescent="0.25">
      <c r="A872" s="2" t="s">
        <v>2540</v>
      </c>
      <c r="B872" s="2" t="s">
        <v>136</v>
      </c>
      <c r="C872" s="8">
        <v>46244</v>
      </c>
      <c r="D872" s="6">
        <v>46235</v>
      </c>
      <c r="E872" s="2" t="s">
        <v>260</v>
      </c>
      <c r="F872" s="2" t="s">
        <v>2541</v>
      </c>
      <c r="G872" s="6">
        <v>46204</v>
      </c>
      <c r="H872" s="2" t="s">
        <v>71</v>
      </c>
      <c r="I872" s="2" t="s">
        <v>39</v>
      </c>
      <c r="J872" s="9">
        <v>13842.55</v>
      </c>
      <c r="K872" s="7">
        <v>1</v>
      </c>
      <c r="L872" s="9">
        <v>13842.55</v>
      </c>
      <c r="M872" s="9">
        <v>13842.55</v>
      </c>
      <c r="N872" s="9">
        <v>7.61</v>
      </c>
      <c r="O872" s="10">
        <f>IF(AND(OR(H872="APPROVED",H872="SCHEDULED"),COUNTIFS(tblSource[EventID],F872,tblSource[ReleaseStatus],"APPROVED")=1,COUNTIFS(Period_Status!$A$2:$A$8,G872,Period_Status!$B$2:$B$8,"ActualClosed")=1,C872&gt;EOMONTH(Settlement_Bridge!$C$2,0)),1,0)</f>
        <v>1</v>
      </c>
      <c r="P872" s="2" t="s">
        <v>2542</v>
      </c>
    </row>
    <row r="873" spans="1:16" x14ac:dyDescent="0.25">
      <c r="A873" s="2" t="s">
        <v>2543</v>
      </c>
      <c r="B873" s="2" t="s">
        <v>136</v>
      </c>
      <c r="C873" s="8">
        <v>46235</v>
      </c>
      <c r="D873" s="6">
        <v>46235</v>
      </c>
      <c r="E873" s="2" t="s">
        <v>260</v>
      </c>
      <c r="F873" s="2" t="s">
        <v>2544</v>
      </c>
      <c r="G873" s="6">
        <v>46204</v>
      </c>
      <c r="H873" s="2" t="s">
        <v>71</v>
      </c>
      <c r="I873" s="2" t="s">
        <v>76</v>
      </c>
      <c r="J873" s="9">
        <v>90422967.741935998</v>
      </c>
      <c r="K873" s="7">
        <v>6.1500000000000004E-5</v>
      </c>
      <c r="L873" s="9">
        <v>5561.01</v>
      </c>
      <c r="M873" s="9">
        <v>5606.22</v>
      </c>
      <c r="N873" s="9">
        <v>3.06</v>
      </c>
      <c r="O873" s="10">
        <f>IF(AND(OR(H873="APPROVED",H873="SCHEDULED"),COUNTIFS(tblSource[EventID],F873,tblSource[ReleaseStatus],"APPROVED")=1,COUNTIFS(Period_Status!$A$2:$A$8,G873,Period_Status!$B$2:$B$8,"ActualClosed")=1,C873&gt;EOMONTH(Settlement_Bridge!$C$2,0)),1,0)</f>
        <v>1</v>
      </c>
      <c r="P873" s="2" t="s">
        <v>2545</v>
      </c>
    </row>
    <row r="874" spans="1:16" x14ac:dyDescent="0.25">
      <c r="A874" s="2" t="s">
        <v>2546</v>
      </c>
      <c r="B874" s="2" t="s">
        <v>136</v>
      </c>
      <c r="C874" s="8">
        <v>46260</v>
      </c>
      <c r="D874" s="6">
        <v>46235</v>
      </c>
      <c r="E874" s="2" t="s">
        <v>260</v>
      </c>
      <c r="F874" s="2" t="s">
        <v>2544</v>
      </c>
      <c r="G874" s="6">
        <v>46204</v>
      </c>
      <c r="H874" s="2" t="s">
        <v>71</v>
      </c>
      <c r="I874" s="2" t="s">
        <v>76</v>
      </c>
      <c r="J874" s="9">
        <v>135634451.612903</v>
      </c>
      <c r="K874" s="7">
        <v>6.1500000000000004E-5</v>
      </c>
      <c r="L874" s="9">
        <v>8341.52</v>
      </c>
      <c r="M874" s="9">
        <v>8409.34</v>
      </c>
      <c r="N874" s="9">
        <v>4.59</v>
      </c>
      <c r="O874" s="10">
        <f>IF(AND(OR(H874="APPROVED",H874="SCHEDULED"),COUNTIFS(tblSource[EventID],F874,tblSource[ReleaseStatus],"APPROVED")=1,COUNTIFS(Period_Status!$A$2:$A$8,G874,Period_Status!$B$2:$B$8,"ActualClosed")=1,C874&gt;EOMONTH(Settlement_Bridge!$C$2,0)),1,0)</f>
        <v>1</v>
      </c>
      <c r="P874" s="2" t="s">
        <v>2547</v>
      </c>
    </row>
    <row r="875" spans="1:16" x14ac:dyDescent="0.25">
      <c r="A875" s="2" t="s">
        <v>2548</v>
      </c>
      <c r="B875" s="2" t="s">
        <v>136</v>
      </c>
      <c r="C875" s="8">
        <v>46246</v>
      </c>
      <c r="D875" s="6">
        <v>46235</v>
      </c>
      <c r="E875" s="2" t="s">
        <v>260</v>
      </c>
      <c r="F875" s="2" t="s">
        <v>2549</v>
      </c>
      <c r="G875" s="6">
        <v>46204</v>
      </c>
      <c r="H875" s="2" t="s">
        <v>71</v>
      </c>
      <c r="I875" s="2" t="s">
        <v>70</v>
      </c>
      <c r="J875" s="9">
        <v>21563.176292</v>
      </c>
      <c r="K875" s="7">
        <v>0.65</v>
      </c>
      <c r="L875" s="9">
        <v>14016.06</v>
      </c>
      <c r="M875" s="9">
        <v>14188.57</v>
      </c>
      <c r="N875" s="9">
        <v>7.71</v>
      </c>
      <c r="O875" s="10">
        <f>IF(AND(OR(H875="APPROVED",H875="SCHEDULED"),COUNTIFS(tblSource[EventID],F875,tblSource[ReleaseStatus],"APPROVED")=1,COUNTIFS(Period_Status!$A$2:$A$8,G875,Period_Status!$B$2:$B$8,"ActualClosed")=1,C875&gt;EOMONTH(Settlement_Bridge!$C$2,0)),1,0)</f>
        <v>1</v>
      </c>
      <c r="P875" s="2" t="s">
        <v>2550</v>
      </c>
    </row>
    <row r="876" spans="1:16" x14ac:dyDescent="0.25">
      <c r="A876" s="2" t="s">
        <v>2551</v>
      </c>
      <c r="B876" s="2" t="s">
        <v>136</v>
      </c>
      <c r="C876" s="8">
        <v>46247</v>
      </c>
      <c r="D876" s="6">
        <v>46235</v>
      </c>
      <c r="E876" s="2" t="s">
        <v>260</v>
      </c>
      <c r="F876" s="2" t="s">
        <v>2552</v>
      </c>
      <c r="G876" s="6">
        <v>46204</v>
      </c>
      <c r="H876" s="2" t="s">
        <v>71</v>
      </c>
      <c r="I876" s="2" t="s">
        <v>39</v>
      </c>
      <c r="J876" s="9">
        <v>14361.58</v>
      </c>
      <c r="K876" s="7">
        <v>1</v>
      </c>
      <c r="L876" s="9">
        <v>14361.58</v>
      </c>
      <c r="M876" s="9">
        <v>14361.58</v>
      </c>
      <c r="N876" s="9">
        <v>7.9</v>
      </c>
      <c r="O876" s="10">
        <f>IF(AND(OR(H876="APPROVED",H876="SCHEDULED"),COUNTIFS(tblSource[EventID],F876,tblSource[ReleaseStatus],"APPROVED")=1,COUNTIFS(Period_Status!$A$2:$A$8,G876,Period_Status!$B$2:$B$8,"ActualClosed")=1,C876&gt;EOMONTH(Settlement_Bridge!$C$2,0)),1,0)</f>
        <v>1</v>
      </c>
      <c r="P876" s="2" t="s">
        <v>2553</v>
      </c>
    </row>
    <row r="877" spans="1:16" x14ac:dyDescent="0.25">
      <c r="A877" s="2" t="s">
        <v>2554</v>
      </c>
      <c r="B877" s="2" t="s">
        <v>136</v>
      </c>
      <c r="C877" s="8">
        <v>46248</v>
      </c>
      <c r="D877" s="6">
        <v>46235</v>
      </c>
      <c r="E877" s="2" t="s">
        <v>260</v>
      </c>
      <c r="F877" s="2" t="s">
        <v>2555</v>
      </c>
      <c r="G877" s="6">
        <v>46204</v>
      </c>
      <c r="H877" s="2" t="s">
        <v>71</v>
      </c>
      <c r="I877" s="2" t="s">
        <v>76</v>
      </c>
      <c r="J877" s="9">
        <v>234428870.967742</v>
      </c>
      <c r="K877" s="7">
        <v>6.1500000000000004E-5</v>
      </c>
      <c r="L877" s="9">
        <v>14417.38</v>
      </c>
      <c r="M877" s="9">
        <v>14534.59</v>
      </c>
      <c r="N877" s="9">
        <v>7.93</v>
      </c>
      <c r="O877" s="10">
        <f>IF(AND(OR(H877="APPROVED",H877="SCHEDULED"),COUNTIFS(tblSource[EventID],F877,tblSource[ReleaseStatus],"APPROVED")=1,COUNTIFS(Period_Status!$A$2:$A$8,G877,Period_Status!$B$2:$B$8,"ActualClosed")=1,C877&gt;EOMONTH(Settlement_Bridge!$C$2,0)),1,0)</f>
        <v>1</v>
      </c>
      <c r="P877" s="2" t="s">
        <v>2556</v>
      </c>
    </row>
    <row r="878" spans="1:16" x14ac:dyDescent="0.25">
      <c r="A878" s="2" t="s">
        <v>2557</v>
      </c>
      <c r="B878" s="2" t="s">
        <v>136</v>
      </c>
      <c r="C878" s="8">
        <v>46249</v>
      </c>
      <c r="D878" s="6">
        <v>46235</v>
      </c>
      <c r="E878" s="2" t="s">
        <v>260</v>
      </c>
      <c r="F878" s="2" t="s">
        <v>2558</v>
      </c>
      <c r="G878" s="6">
        <v>46204</v>
      </c>
      <c r="H878" s="2" t="s">
        <v>71</v>
      </c>
      <c r="I878" s="2" t="s">
        <v>70</v>
      </c>
      <c r="J878" s="9">
        <v>22351.975684000001</v>
      </c>
      <c r="K878" s="7">
        <v>0.65</v>
      </c>
      <c r="L878" s="9">
        <v>14528.78</v>
      </c>
      <c r="M878" s="9">
        <v>14707.6</v>
      </c>
      <c r="N878" s="9">
        <v>7.99</v>
      </c>
      <c r="O878" s="10">
        <f>IF(AND(OR(H878="APPROVED",H878="SCHEDULED"),COUNTIFS(tblSource[EventID],F878,tblSource[ReleaseStatus],"APPROVED")=1,COUNTIFS(Period_Status!$A$2:$A$8,G878,Period_Status!$B$2:$B$8,"ActualClosed")=1,C878&gt;EOMONTH(Settlement_Bridge!$C$2,0)),1,0)</f>
        <v>1</v>
      </c>
      <c r="P878" s="2" t="s">
        <v>2559</v>
      </c>
    </row>
    <row r="879" spans="1:16" x14ac:dyDescent="0.25">
      <c r="A879" s="2" t="s">
        <v>2560</v>
      </c>
      <c r="B879" s="2" t="s">
        <v>136</v>
      </c>
      <c r="C879" s="8">
        <v>46250</v>
      </c>
      <c r="D879" s="6">
        <v>46235</v>
      </c>
      <c r="E879" s="2" t="s">
        <v>260</v>
      </c>
      <c r="F879" s="2" t="s">
        <v>2561</v>
      </c>
      <c r="G879" s="6">
        <v>46204</v>
      </c>
      <c r="H879" s="2" t="s">
        <v>71</v>
      </c>
      <c r="I879" s="2" t="s">
        <v>39</v>
      </c>
      <c r="J879" s="9">
        <v>880.61</v>
      </c>
      <c r="K879" s="7">
        <v>1</v>
      </c>
      <c r="L879" s="9">
        <v>880.61</v>
      </c>
      <c r="M879" s="9">
        <v>880.61</v>
      </c>
      <c r="N879" s="9">
        <v>1.8</v>
      </c>
      <c r="O879" s="10">
        <f>IF(AND(OR(H879="APPROVED",H879="SCHEDULED"),COUNTIFS(tblSource[EventID],F879,tblSource[ReleaseStatus],"APPROVED")=1,COUNTIFS(Period_Status!$A$2:$A$8,G879,Period_Status!$B$2:$B$8,"ActualClosed")=1,C879&gt;EOMONTH(Settlement_Bridge!$C$2,0)),1,0)</f>
        <v>1</v>
      </c>
      <c r="P879" s="2" t="s">
        <v>2562</v>
      </c>
    </row>
    <row r="880" spans="1:16" x14ac:dyDescent="0.25">
      <c r="A880" s="2" t="s">
        <v>2563</v>
      </c>
      <c r="B880" s="2" t="s">
        <v>136</v>
      </c>
      <c r="C880" s="8">
        <v>46241</v>
      </c>
      <c r="D880" s="6">
        <v>46235</v>
      </c>
      <c r="E880" s="2" t="s">
        <v>260</v>
      </c>
      <c r="F880" s="2" t="s">
        <v>2564</v>
      </c>
      <c r="G880" s="6">
        <v>46204</v>
      </c>
      <c r="H880" s="2" t="s">
        <v>71</v>
      </c>
      <c r="I880" s="2" t="s">
        <v>76</v>
      </c>
      <c r="J880" s="9">
        <v>6797548.3870970001</v>
      </c>
      <c r="K880" s="7">
        <v>6.1500000000000004E-5</v>
      </c>
      <c r="L880" s="9">
        <v>418.05</v>
      </c>
      <c r="M880" s="9">
        <v>421.45</v>
      </c>
      <c r="N880" s="9">
        <v>1.8</v>
      </c>
      <c r="O880" s="10">
        <f>IF(AND(OR(H880="APPROVED",H880="SCHEDULED"),COUNTIFS(tblSource[EventID],F880,tblSource[ReleaseStatus],"APPROVED")=1,COUNTIFS(Period_Status!$A$2:$A$8,G880,Period_Status!$B$2:$B$8,"ActualClosed")=1,C880&gt;EOMONTH(Settlement_Bridge!$C$2,0)),1,0)</f>
        <v>1</v>
      </c>
      <c r="P880" s="2" t="s">
        <v>2565</v>
      </c>
    </row>
    <row r="881" spans="1:16" x14ac:dyDescent="0.25">
      <c r="A881" s="2" t="s">
        <v>2566</v>
      </c>
      <c r="B881" s="2" t="s">
        <v>136</v>
      </c>
      <c r="C881" s="8">
        <v>46266</v>
      </c>
      <c r="D881" s="6">
        <v>46266</v>
      </c>
      <c r="E881" s="2" t="s">
        <v>260</v>
      </c>
      <c r="F881" s="2" t="s">
        <v>2564</v>
      </c>
      <c r="G881" s="6">
        <v>46204</v>
      </c>
      <c r="H881" s="2" t="s">
        <v>176</v>
      </c>
      <c r="I881" s="2" t="s">
        <v>76</v>
      </c>
      <c r="J881" s="9">
        <v>10196322.580645001</v>
      </c>
      <c r="K881" s="7">
        <v>6.1299999999999999E-5</v>
      </c>
      <c r="L881" s="9">
        <v>625.03</v>
      </c>
      <c r="M881" s="9">
        <v>632.16999999999996</v>
      </c>
      <c r="N881" s="9">
        <v>1.8</v>
      </c>
      <c r="O881" s="10">
        <f>IF(AND(OR(H881="APPROVED",H881="SCHEDULED"),COUNTIFS(tblSource[EventID],F881,tblSource[ReleaseStatus],"APPROVED")=1,COUNTIFS(Period_Status!$A$2:$A$8,G881,Period_Status!$B$2:$B$8,"ActualClosed")=1,C881&gt;EOMONTH(Settlement_Bridge!$C$2,0)),1,0)</f>
        <v>1</v>
      </c>
      <c r="P881" s="2" t="s">
        <v>2567</v>
      </c>
    </row>
    <row r="882" spans="1:16" x14ac:dyDescent="0.25">
      <c r="A882" s="2" t="s">
        <v>2568</v>
      </c>
      <c r="B882" s="2" t="s">
        <v>136</v>
      </c>
      <c r="C882" s="8">
        <v>46242</v>
      </c>
      <c r="D882" s="6">
        <v>46235</v>
      </c>
      <c r="E882" s="2" t="s">
        <v>260</v>
      </c>
      <c r="F882" s="2" t="s">
        <v>2569</v>
      </c>
      <c r="G882" s="6">
        <v>46204</v>
      </c>
      <c r="H882" s="2" t="s">
        <v>71</v>
      </c>
      <c r="I882" s="2" t="s">
        <v>70</v>
      </c>
      <c r="J882" s="9">
        <v>745.67173200000002</v>
      </c>
      <c r="K882" s="7">
        <v>0.65</v>
      </c>
      <c r="L882" s="9">
        <v>484.69</v>
      </c>
      <c r="M882" s="9">
        <v>490.65</v>
      </c>
      <c r="N882" s="9">
        <v>1.8</v>
      </c>
      <c r="O882" s="10">
        <f>IF(AND(OR(H882="APPROVED",H882="SCHEDULED"),COUNTIFS(tblSource[EventID],F882,tblSource[ReleaseStatus],"APPROVED")=1,COUNTIFS(Period_Status!$A$2:$A$8,G882,Period_Status!$B$2:$B$8,"ActualClosed")=1,C882&gt;EOMONTH(Settlement_Bridge!$C$2,0)),1,0)</f>
        <v>1</v>
      </c>
      <c r="P882" s="2" t="s">
        <v>2570</v>
      </c>
    </row>
    <row r="883" spans="1:16" x14ac:dyDescent="0.25">
      <c r="A883" s="2" t="s">
        <v>2571</v>
      </c>
      <c r="B883" s="2" t="s">
        <v>136</v>
      </c>
      <c r="C883" s="8">
        <v>46267</v>
      </c>
      <c r="D883" s="6">
        <v>46266</v>
      </c>
      <c r="E883" s="2" t="s">
        <v>260</v>
      </c>
      <c r="F883" s="2" t="s">
        <v>2569</v>
      </c>
      <c r="G883" s="6">
        <v>46204</v>
      </c>
      <c r="H883" s="2" t="s">
        <v>176</v>
      </c>
      <c r="I883" s="2" t="s">
        <v>70</v>
      </c>
      <c r="J883" s="9">
        <v>1118.507599</v>
      </c>
      <c r="K883" s="7">
        <v>0.65100000000000002</v>
      </c>
      <c r="L883" s="9">
        <v>728.15</v>
      </c>
      <c r="M883" s="9">
        <v>735.98</v>
      </c>
      <c r="N883" s="9">
        <v>1.8</v>
      </c>
      <c r="O883" s="10">
        <f>IF(AND(OR(H883="APPROVED",H883="SCHEDULED"),COUNTIFS(tblSource[EventID],F883,tblSource[ReleaseStatus],"APPROVED")=1,COUNTIFS(Period_Status!$A$2:$A$8,G883,Period_Status!$B$2:$B$8,"ActualClosed")=1,C883&gt;EOMONTH(Settlement_Bridge!$C$2,0)),1,0)</f>
        <v>1</v>
      </c>
      <c r="P883" s="2" t="s">
        <v>2572</v>
      </c>
    </row>
    <row r="884" spans="1:16" x14ac:dyDescent="0.25">
      <c r="A884" s="2" t="s">
        <v>2573</v>
      </c>
      <c r="B884" s="2" t="s">
        <v>136</v>
      </c>
      <c r="C884" s="8">
        <v>46253</v>
      </c>
      <c r="D884" s="6">
        <v>46235</v>
      </c>
      <c r="E884" s="2" t="s">
        <v>260</v>
      </c>
      <c r="F884" s="2" t="s">
        <v>2574</v>
      </c>
      <c r="G884" s="6">
        <v>46204</v>
      </c>
      <c r="H884" s="2" t="s">
        <v>71</v>
      </c>
      <c r="I884" s="2" t="s">
        <v>39</v>
      </c>
      <c r="J884" s="9">
        <v>1399.64</v>
      </c>
      <c r="K884" s="7">
        <v>1</v>
      </c>
      <c r="L884" s="9">
        <v>1399.64</v>
      </c>
      <c r="M884" s="9">
        <v>1399.64</v>
      </c>
      <c r="N884" s="9">
        <v>1.8</v>
      </c>
      <c r="O884" s="10">
        <f>IF(AND(OR(H884="APPROVED",H884="SCHEDULED"),COUNTIFS(tblSource[EventID],F884,tblSource[ReleaseStatus],"APPROVED")=1,COUNTIFS(Period_Status!$A$2:$A$8,G884,Period_Status!$B$2:$B$8,"ActualClosed")=1,C884&gt;EOMONTH(Settlement_Bridge!$C$2,0)),1,0)</f>
        <v>1</v>
      </c>
      <c r="P884" s="2" t="s">
        <v>2575</v>
      </c>
    </row>
    <row r="885" spans="1:16" x14ac:dyDescent="0.25">
      <c r="A885" s="2" t="s">
        <v>2576</v>
      </c>
      <c r="B885" s="2" t="s">
        <v>136</v>
      </c>
      <c r="C885" s="8">
        <v>46254</v>
      </c>
      <c r="D885" s="6">
        <v>46235</v>
      </c>
      <c r="E885" s="2" t="s">
        <v>260</v>
      </c>
      <c r="F885" s="2" t="s">
        <v>2577</v>
      </c>
      <c r="G885" s="6">
        <v>46204</v>
      </c>
      <c r="H885" s="2" t="s">
        <v>71</v>
      </c>
      <c r="I885" s="2" t="s">
        <v>76</v>
      </c>
      <c r="J885" s="9">
        <v>25365322.580644999</v>
      </c>
      <c r="K885" s="7">
        <v>6.1500000000000004E-5</v>
      </c>
      <c r="L885" s="9">
        <v>1559.97</v>
      </c>
      <c r="M885" s="9">
        <v>1572.65</v>
      </c>
      <c r="N885" s="9">
        <v>1.8</v>
      </c>
      <c r="O885" s="10">
        <f>IF(AND(OR(H885="APPROVED",H885="SCHEDULED"),COUNTIFS(tblSource[EventID],F885,tblSource[ReleaseStatus],"APPROVED")=1,COUNTIFS(Period_Status!$A$2:$A$8,G885,Period_Status!$B$2:$B$8,"ActualClosed")=1,C885&gt;EOMONTH(Settlement_Bridge!$C$2,0)),1,0)</f>
        <v>1</v>
      </c>
      <c r="P885" s="2" t="s">
        <v>2578</v>
      </c>
    </row>
    <row r="886" spans="1:16" x14ac:dyDescent="0.25">
      <c r="A886" s="2" t="s">
        <v>2579</v>
      </c>
      <c r="B886" s="2" t="s">
        <v>136</v>
      </c>
      <c r="C886" s="8">
        <v>46245</v>
      </c>
      <c r="D886" s="6">
        <v>46235</v>
      </c>
      <c r="E886" s="2" t="s">
        <v>260</v>
      </c>
      <c r="F886" s="2" t="s">
        <v>2580</v>
      </c>
      <c r="G886" s="6">
        <v>46204</v>
      </c>
      <c r="H886" s="2" t="s">
        <v>71</v>
      </c>
      <c r="I886" s="2" t="s">
        <v>70</v>
      </c>
      <c r="J886" s="9">
        <v>1061.191489</v>
      </c>
      <c r="K886" s="7">
        <v>0.65</v>
      </c>
      <c r="L886" s="9">
        <v>689.77</v>
      </c>
      <c r="M886" s="9">
        <v>698.26</v>
      </c>
      <c r="N886" s="9">
        <v>1.8</v>
      </c>
      <c r="O886" s="10">
        <f>IF(AND(OR(H886="APPROVED",H886="SCHEDULED"),COUNTIFS(tblSource[EventID],F886,tblSource[ReleaseStatus],"APPROVED")=1,COUNTIFS(Period_Status!$A$2:$A$8,G886,Period_Status!$B$2:$B$8,"ActualClosed")=1,C886&gt;EOMONTH(Settlement_Bridge!$C$2,0)),1,0)</f>
        <v>1</v>
      </c>
      <c r="P886" s="2" t="s">
        <v>2581</v>
      </c>
    </row>
    <row r="887" spans="1:16" x14ac:dyDescent="0.25">
      <c r="A887" s="2" t="s">
        <v>2582</v>
      </c>
      <c r="B887" s="2" t="s">
        <v>136</v>
      </c>
      <c r="C887" s="8">
        <v>46270</v>
      </c>
      <c r="D887" s="6">
        <v>46266</v>
      </c>
      <c r="E887" s="2" t="s">
        <v>260</v>
      </c>
      <c r="F887" s="2" t="s">
        <v>2580</v>
      </c>
      <c r="G887" s="6">
        <v>46204</v>
      </c>
      <c r="H887" s="2" t="s">
        <v>176</v>
      </c>
      <c r="I887" s="2" t="s">
        <v>70</v>
      </c>
      <c r="J887" s="9">
        <v>1591.7872339999999</v>
      </c>
      <c r="K887" s="7">
        <v>0.65100000000000002</v>
      </c>
      <c r="L887" s="9">
        <v>1036.25</v>
      </c>
      <c r="M887" s="9">
        <v>1047.4000000000001</v>
      </c>
      <c r="N887" s="9">
        <v>1.8</v>
      </c>
      <c r="O887" s="10">
        <f>IF(AND(OR(H887="APPROVED",H887="SCHEDULED"),COUNTIFS(tblSource[EventID],F887,tblSource[ReleaseStatus],"APPROVED")=1,COUNTIFS(Period_Status!$A$2:$A$8,G887,Period_Status!$B$2:$B$8,"ActualClosed")=1,C887&gt;EOMONTH(Settlement_Bridge!$C$2,0)),1,0)</f>
        <v>1</v>
      </c>
      <c r="P887" s="2" t="s">
        <v>2583</v>
      </c>
    </row>
    <row r="888" spans="1:16" x14ac:dyDescent="0.25">
      <c r="A888" s="2" t="s">
        <v>2584</v>
      </c>
      <c r="B888" s="2" t="s">
        <v>136</v>
      </c>
      <c r="C888" s="8">
        <v>46256</v>
      </c>
      <c r="D888" s="6">
        <v>46235</v>
      </c>
      <c r="E888" s="2" t="s">
        <v>260</v>
      </c>
      <c r="F888" s="2" t="s">
        <v>2585</v>
      </c>
      <c r="G888" s="6">
        <v>46204</v>
      </c>
      <c r="H888" s="2" t="s">
        <v>71</v>
      </c>
      <c r="I888" s="2" t="s">
        <v>39</v>
      </c>
      <c r="J888" s="9">
        <v>1918.67</v>
      </c>
      <c r="K888" s="7">
        <v>1</v>
      </c>
      <c r="L888" s="9">
        <v>1918.67</v>
      </c>
      <c r="M888" s="9">
        <v>1918.67</v>
      </c>
      <c r="N888" s="9">
        <v>1.8</v>
      </c>
      <c r="O888" s="10">
        <f>IF(AND(OR(H888="APPROVED",H888="SCHEDULED"),COUNTIFS(tblSource[EventID],F888,tblSource[ReleaseStatus],"APPROVED")=1,COUNTIFS(Period_Status!$A$2:$A$8,G888,Period_Status!$B$2:$B$8,"ActualClosed")=1,C888&gt;EOMONTH(Settlement_Bridge!$C$2,0)),1,0)</f>
        <v>1</v>
      </c>
      <c r="P888" s="2" t="s">
        <v>2586</v>
      </c>
    </row>
    <row r="889" spans="1:16" x14ac:dyDescent="0.25">
      <c r="A889" s="2" t="s">
        <v>2587</v>
      </c>
      <c r="B889" s="2" t="s">
        <v>136</v>
      </c>
      <c r="C889" s="8">
        <v>46257</v>
      </c>
      <c r="D889" s="6">
        <v>46235</v>
      </c>
      <c r="E889" s="2" t="s">
        <v>260</v>
      </c>
      <c r="F889" s="2" t="s">
        <v>2588</v>
      </c>
      <c r="G889" s="6">
        <v>46204</v>
      </c>
      <c r="H889" s="2" t="s">
        <v>71</v>
      </c>
      <c r="I889" s="2" t="s">
        <v>76</v>
      </c>
      <c r="J889" s="9">
        <v>33736774.193548001</v>
      </c>
      <c r="K889" s="7">
        <v>6.1500000000000004E-5</v>
      </c>
      <c r="L889" s="9">
        <v>2074.81</v>
      </c>
      <c r="M889" s="9">
        <v>2091.6799999999998</v>
      </c>
      <c r="N889" s="9">
        <v>1.8</v>
      </c>
      <c r="O889" s="10">
        <f>IF(AND(OR(H889="APPROVED",H889="SCHEDULED"),COUNTIFS(tblSource[EventID],F889,tblSource[ReleaseStatus],"APPROVED")=1,COUNTIFS(Period_Status!$A$2:$A$8,G889,Period_Status!$B$2:$B$8,"ActualClosed")=1,C889&gt;EOMONTH(Settlement_Bridge!$C$2,0)),1,0)</f>
        <v>1</v>
      </c>
      <c r="P889" s="2" t="s">
        <v>2589</v>
      </c>
    </row>
    <row r="890" spans="1:16" x14ac:dyDescent="0.25">
      <c r="A890" s="2" t="s">
        <v>2590</v>
      </c>
      <c r="B890" s="2" t="s">
        <v>136</v>
      </c>
      <c r="C890" s="8">
        <v>46258</v>
      </c>
      <c r="D890" s="6">
        <v>46235</v>
      </c>
      <c r="E890" s="2" t="s">
        <v>260</v>
      </c>
      <c r="F890" s="2" t="s">
        <v>2591</v>
      </c>
      <c r="G890" s="6">
        <v>46204</v>
      </c>
      <c r="H890" s="2" t="s">
        <v>71</v>
      </c>
      <c r="I890" s="2" t="s">
        <v>70</v>
      </c>
      <c r="J890" s="9">
        <v>3441.778116</v>
      </c>
      <c r="K890" s="7">
        <v>0.65</v>
      </c>
      <c r="L890" s="9">
        <v>2237.16</v>
      </c>
      <c r="M890" s="9">
        <v>2264.69</v>
      </c>
      <c r="N890" s="9">
        <v>1.8</v>
      </c>
      <c r="O890" s="10">
        <f>IF(AND(OR(H890="APPROVED",H890="SCHEDULED"),COUNTIFS(tblSource[EventID],F890,tblSource[ReleaseStatus],"APPROVED")=1,COUNTIFS(Period_Status!$A$2:$A$8,G890,Period_Status!$B$2:$B$8,"ActualClosed")=1,C890&gt;EOMONTH(Settlement_Bridge!$C$2,0)),1,0)</f>
        <v>1</v>
      </c>
      <c r="P890" s="2" t="s">
        <v>2592</v>
      </c>
    </row>
    <row r="891" spans="1:16" x14ac:dyDescent="0.25">
      <c r="A891" s="2" t="s">
        <v>2593</v>
      </c>
      <c r="B891" s="2" t="s">
        <v>136</v>
      </c>
      <c r="C891" s="8">
        <v>46228</v>
      </c>
      <c r="D891" s="6">
        <v>46204</v>
      </c>
      <c r="E891" s="2" t="s">
        <v>260</v>
      </c>
      <c r="F891" s="2" t="s">
        <v>2594</v>
      </c>
      <c r="G891" s="6">
        <v>46204</v>
      </c>
      <c r="H891" s="2" t="s">
        <v>71</v>
      </c>
      <c r="I891" s="2" t="s">
        <v>39</v>
      </c>
      <c r="J891" s="9">
        <v>2437.6999999999998</v>
      </c>
      <c r="K891" s="7">
        <v>1</v>
      </c>
      <c r="L891" s="9">
        <v>2437.6999999999998</v>
      </c>
      <c r="M891" s="9">
        <v>2437.6999999999998</v>
      </c>
      <c r="N891" s="9">
        <v>1.8</v>
      </c>
      <c r="O891" s="10">
        <f>IF(AND(OR(H891="APPROVED",H891="SCHEDULED"),COUNTIFS(tblSource[EventID],F891,tblSource[ReleaseStatus],"APPROVED")=1,COUNTIFS(Period_Status!$A$2:$A$8,G891,Period_Status!$B$2:$B$8,"ActualClosed")=1,C891&gt;EOMONTH(Settlement_Bridge!$C$2,0)),1,0)</f>
        <v>0</v>
      </c>
      <c r="P891" s="2" t="s">
        <v>2595</v>
      </c>
    </row>
    <row r="892" spans="1:16" x14ac:dyDescent="0.25">
      <c r="A892" s="2" t="s">
        <v>2596</v>
      </c>
      <c r="B892" s="2" t="s">
        <v>136</v>
      </c>
      <c r="C892" s="8">
        <v>46229</v>
      </c>
      <c r="D892" s="6">
        <v>46204</v>
      </c>
      <c r="E892" s="2" t="s">
        <v>260</v>
      </c>
      <c r="F892" s="2" t="s">
        <v>2597</v>
      </c>
      <c r="G892" s="6">
        <v>46204</v>
      </c>
      <c r="H892" s="2" t="s">
        <v>71</v>
      </c>
      <c r="I892" s="2" t="s">
        <v>76</v>
      </c>
      <c r="J892" s="9">
        <v>42108225.806451999</v>
      </c>
      <c r="K892" s="7">
        <v>6.2000000000000003E-5</v>
      </c>
      <c r="L892" s="9">
        <v>2610.71</v>
      </c>
      <c r="M892" s="9">
        <v>2610.71</v>
      </c>
      <c r="N892" s="9">
        <v>1.8</v>
      </c>
      <c r="O892" s="10">
        <f>IF(AND(OR(H892="APPROVED",H892="SCHEDULED"),COUNTIFS(tblSource[EventID],F892,tblSource[ReleaseStatus],"APPROVED")=1,COUNTIFS(Period_Status!$A$2:$A$8,G892,Period_Status!$B$2:$B$8,"ActualClosed")=1,C892&gt;EOMONTH(Settlement_Bridge!$C$2,0)),1,0)</f>
        <v>0</v>
      </c>
      <c r="P892" s="2" t="s">
        <v>2598</v>
      </c>
    </row>
    <row r="893" spans="1:16" x14ac:dyDescent="0.25">
      <c r="A893" s="2" t="s">
        <v>2599</v>
      </c>
      <c r="B893" s="2" t="s">
        <v>136</v>
      </c>
      <c r="C893" s="8">
        <v>46220</v>
      </c>
      <c r="D893" s="6">
        <v>46204</v>
      </c>
      <c r="E893" s="2" t="s">
        <v>260</v>
      </c>
      <c r="F893" s="2" t="s">
        <v>2600</v>
      </c>
      <c r="G893" s="6">
        <v>46204</v>
      </c>
      <c r="H893" s="2" t="s">
        <v>71</v>
      </c>
      <c r="I893" s="2" t="s">
        <v>70</v>
      </c>
      <c r="J893" s="9">
        <v>1692.2310030000001</v>
      </c>
      <c r="K893" s="7">
        <v>0.65800000000000003</v>
      </c>
      <c r="L893" s="9">
        <v>1113.49</v>
      </c>
      <c r="M893" s="9">
        <v>1113.49</v>
      </c>
      <c r="N893" s="9">
        <v>1.8</v>
      </c>
      <c r="O893" s="10">
        <f>IF(AND(OR(H893="APPROVED",H893="SCHEDULED"),COUNTIFS(tblSource[EventID],F893,tblSource[ReleaseStatus],"APPROVED")=1,COUNTIFS(Period_Status!$A$2:$A$8,G893,Period_Status!$B$2:$B$8,"ActualClosed")=1,C893&gt;EOMONTH(Settlement_Bridge!$C$2,0)),1,0)</f>
        <v>0</v>
      </c>
      <c r="P893" s="2" t="s">
        <v>2601</v>
      </c>
    </row>
    <row r="894" spans="1:16" x14ac:dyDescent="0.25">
      <c r="A894" s="2" t="s">
        <v>2602</v>
      </c>
      <c r="B894" s="2" t="s">
        <v>136</v>
      </c>
      <c r="C894" s="8">
        <v>46245</v>
      </c>
      <c r="D894" s="6">
        <v>46235</v>
      </c>
      <c r="E894" s="2" t="s">
        <v>260</v>
      </c>
      <c r="F894" s="2" t="s">
        <v>2600</v>
      </c>
      <c r="G894" s="6">
        <v>46204</v>
      </c>
      <c r="H894" s="2" t="s">
        <v>71</v>
      </c>
      <c r="I894" s="2" t="s">
        <v>70</v>
      </c>
      <c r="J894" s="9">
        <v>2538.346505</v>
      </c>
      <c r="K894" s="7">
        <v>0.65</v>
      </c>
      <c r="L894" s="9">
        <v>1649.93</v>
      </c>
      <c r="M894" s="9">
        <v>1670.23</v>
      </c>
      <c r="N894" s="9">
        <v>1.8</v>
      </c>
      <c r="O894" s="10">
        <f>IF(AND(OR(H894="APPROVED",H894="SCHEDULED"),COUNTIFS(tblSource[EventID],F894,tblSource[ReleaseStatus],"APPROVED")=1,COUNTIFS(Period_Status!$A$2:$A$8,G894,Period_Status!$B$2:$B$8,"ActualClosed")=1,C894&gt;EOMONTH(Settlement_Bridge!$C$2,0)),1,0)</f>
        <v>1</v>
      </c>
      <c r="P894" s="2" t="s">
        <v>2603</v>
      </c>
    </row>
    <row r="895" spans="1:16" x14ac:dyDescent="0.25">
      <c r="A895" s="2" t="s">
        <v>2604</v>
      </c>
      <c r="B895" s="2" t="s">
        <v>136</v>
      </c>
      <c r="C895" s="8">
        <v>46221</v>
      </c>
      <c r="D895" s="6">
        <v>46204</v>
      </c>
      <c r="E895" s="2" t="s">
        <v>260</v>
      </c>
      <c r="F895" s="2" t="s">
        <v>2605</v>
      </c>
      <c r="G895" s="6">
        <v>46204</v>
      </c>
      <c r="H895" s="2" t="s">
        <v>71</v>
      </c>
      <c r="I895" s="2" t="s">
        <v>39</v>
      </c>
      <c r="J895" s="9">
        <v>1182.692</v>
      </c>
      <c r="K895" s="7">
        <v>1</v>
      </c>
      <c r="L895" s="9">
        <v>1182.69</v>
      </c>
      <c r="M895" s="9">
        <v>1182.69</v>
      </c>
      <c r="N895" s="9">
        <v>1.8</v>
      </c>
      <c r="O895" s="10">
        <f>IF(AND(OR(H895="APPROVED",H895="SCHEDULED"),COUNTIFS(tblSource[EventID],F895,tblSource[ReleaseStatus],"APPROVED")=1,COUNTIFS(Period_Status!$A$2:$A$8,G895,Period_Status!$B$2:$B$8,"ActualClosed")=1,C895&gt;EOMONTH(Settlement_Bridge!$C$2,0)),1,0)</f>
        <v>0</v>
      </c>
      <c r="P895" s="2" t="s">
        <v>2606</v>
      </c>
    </row>
    <row r="896" spans="1:16" x14ac:dyDescent="0.25">
      <c r="A896" s="2" t="s">
        <v>2607</v>
      </c>
      <c r="B896" s="2" t="s">
        <v>136</v>
      </c>
      <c r="C896" s="8">
        <v>46246</v>
      </c>
      <c r="D896" s="6">
        <v>46235</v>
      </c>
      <c r="E896" s="2" t="s">
        <v>260</v>
      </c>
      <c r="F896" s="2" t="s">
        <v>2605</v>
      </c>
      <c r="G896" s="6">
        <v>46204</v>
      </c>
      <c r="H896" s="2" t="s">
        <v>71</v>
      </c>
      <c r="I896" s="2" t="s">
        <v>39</v>
      </c>
      <c r="J896" s="9">
        <v>1774.038</v>
      </c>
      <c r="K896" s="7">
        <v>1</v>
      </c>
      <c r="L896" s="9">
        <v>1774.04</v>
      </c>
      <c r="M896" s="9">
        <v>1774.04</v>
      </c>
      <c r="N896" s="9">
        <v>1.8</v>
      </c>
      <c r="O896" s="10">
        <f>IF(AND(OR(H896="APPROVED",H896="SCHEDULED"),COUNTIFS(tblSource[EventID],F896,tblSource[ReleaseStatus],"APPROVED")=1,COUNTIFS(Period_Status!$A$2:$A$8,G896,Period_Status!$B$2:$B$8,"ActualClosed")=1,C896&gt;EOMONTH(Settlement_Bridge!$C$2,0)),1,0)</f>
        <v>1</v>
      </c>
      <c r="P896" s="2" t="s">
        <v>2608</v>
      </c>
    </row>
    <row r="897" spans="1:16" x14ac:dyDescent="0.25">
      <c r="A897" s="2" t="s">
        <v>2609</v>
      </c>
      <c r="B897" s="2" t="s">
        <v>136</v>
      </c>
      <c r="C897" s="8">
        <v>46232</v>
      </c>
      <c r="D897" s="6">
        <v>46204</v>
      </c>
      <c r="E897" s="2" t="s">
        <v>260</v>
      </c>
      <c r="F897" s="2" t="s">
        <v>2610</v>
      </c>
      <c r="G897" s="6">
        <v>46204</v>
      </c>
      <c r="H897" s="2" t="s">
        <v>71</v>
      </c>
      <c r="I897" s="2" t="s">
        <v>76</v>
      </c>
      <c r="J897" s="9">
        <v>-50479677.419354998</v>
      </c>
      <c r="K897" s="7">
        <v>6.2000000000000003E-5</v>
      </c>
      <c r="L897" s="9">
        <v>-3129.74</v>
      </c>
      <c r="M897" s="9">
        <v>-3129.74</v>
      </c>
      <c r="N897" s="9">
        <v>0</v>
      </c>
      <c r="O897" s="10">
        <f>IF(AND(OR(H897="APPROVED",H897="SCHEDULED"),COUNTIFS(tblSource[EventID],F897,tblSource[ReleaseStatus],"APPROVED")=1,COUNTIFS(Period_Status!$A$2:$A$8,G897,Period_Status!$B$2:$B$8,"ActualClosed")=1,C897&gt;EOMONTH(Settlement_Bridge!$C$2,0)),1,0)</f>
        <v>0</v>
      </c>
      <c r="P897" s="2" t="s">
        <v>2611</v>
      </c>
    </row>
    <row r="898" spans="1:16" x14ac:dyDescent="0.25">
      <c r="A898" s="2" t="s">
        <v>2612</v>
      </c>
      <c r="B898" s="2" t="s">
        <v>136</v>
      </c>
      <c r="C898" s="8">
        <v>46233</v>
      </c>
      <c r="D898" s="6">
        <v>46204</v>
      </c>
      <c r="E898" s="2" t="s">
        <v>260</v>
      </c>
      <c r="F898" s="2" t="s">
        <v>2613</v>
      </c>
      <c r="G898" s="6">
        <v>46204</v>
      </c>
      <c r="H898" s="2" t="s">
        <v>71</v>
      </c>
      <c r="I898" s="2" t="s">
        <v>70</v>
      </c>
      <c r="J898" s="9">
        <v>5019.3769000000002</v>
      </c>
      <c r="K898" s="7">
        <v>0.65800000000000003</v>
      </c>
      <c r="L898" s="9">
        <v>3302.75</v>
      </c>
      <c r="M898" s="9">
        <v>3302.75</v>
      </c>
      <c r="N898" s="9">
        <v>1.82</v>
      </c>
      <c r="O898" s="10">
        <f>IF(AND(OR(H898="APPROVED",H898="SCHEDULED"),COUNTIFS(tblSource[EventID],F898,tblSource[ReleaseStatus],"APPROVED")=1,COUNTIFS(Period_Status!$A$2:$A$8,G898,Period_Status!$B$2:$B$8,"ActualClosed")=1,C898&gt;EOMONTH(Settlement_Bridge!$C$2,0)),1,0)</f>
        <v>0</v>
      </c>
      <c r="P898" s="2" t="s">
        <v>2614</v>
      </c>
    </row>
    <row r="899" spans="1:16" x14ac:dyDescent="0.25">
      <c r="A899" s="2" t="s">
        <v>2615</v>
      </c>
      <c r="B899" s="2" t="s">
        <v>136</v>
      </c>
      <c r="C899" s="8">
        <v>46224</v>
      </c>
      <c r="D899" s="6">
        <v>46204</v>
      </c>
      <c r="E899" s="2" t="s">
        <v>260</v>
      </c>
      <c r="F899" s="2" t="s">
        <v>2616</v>
      </c>
      <c r="G899" s="6">
        <v>46204</v>
      </c>
      <c r="H899" s="2" t="s">
        <v>71</v>
      </c>
      <c r="I899" s="2" t="s">
        <v>39</v>
      </c>
      <c r="J899" s="9">
        <v>1390.3040000000001</v>
      </c>
      <c r="K899" s="7">
        <v>1</v>
      </c>
      <c r="L899" s="9">
        <v>1390.3</v>
      </c>
      <c r="M899" s="9">
        <v>1390.3</v>
      </c>
      <c r="N899" s="9">
        <v>1.8</v>
      </c>
      <c r="O899" s="10">
        <f>IF(AND(OR(H899="APPROVED",H899="SCHEDULED"),COUNTIFS(tblSource[EventID],F899,tblSource[ReleaseStatus],"APPROVED")=1,COUNTIFS(Period_Status!$A$2:$A$8,G899,Period_Status!$B$2:$B$8,"ActualClosed")=1,C899&gt;EOMONTH(Settlement_Bridge!$C$2,0)),1,0)</f>
        <v>0</v>
      </c>
      <c r="P899" s="2" t="s">
        <v>2617</v>
      </c>
    </row>
    <row r="900" spans="1:16" x14ac:dyDescent="0.25">
      <c r="A900" s="2" t="s">
        <v>2618</v>
      </c>
      <c r="B900" s="2" t="s">
        <v>136</v>
      </c>
      <c r="C900" s="8">
        <v>46249</v>
      </c>
      <c r="D900" s="6">
        <v>46235</v>
      </c>
      <c r="E900" s="2" t="s">
        <v>260</v>
      </c>
      <c r="F900" s="2" t="s">
        <v>2616</v>
      </c>
      <c r="G900" s="6">
        <v>46204</v>
      </c>
      <c r="H900" s="2" t="s">
        <v>71</v>
      </c>
      <c r="I900" s="2" t="s">
        <v>39</v>
      </c>
      <c r="J900" s="9">
        <v>2085.4560000000001</v>
      </c>
      <c r="K900" s="7">
        <v>1</v>
      </c>
      <c r="L900" s="9">
        <v>2085.46</v>
      </c>
      <c r="M900" s="9">
        <v>2085.46</v>
      </c>
      <c r="N900" s="9">
        <v>1.8</v>
      </c>
      <c r="O900" s="10">
        <f>IF(AND(OR(H900="APPROVED",H900="SCHEDULED"),COUNTIFS(tblSource[EventID],F900,tblSource[ReleaseStatus],"APPROVED")=1,COUNTIFS(Period_Status!$A$2:$A$8,G900,Period_Status!$B$2:$B$8,"ActualClosed")=1,C900&gt;EOMONTH(Settlement_Bridge!$C$2,0)),1,0)</f>
        <v>1</v>
      </c>
      <c r="P900" s="2" t="s">
        <v>2619</v>
      </c>
    </row>
    <row r="901" spans="1:16" x14ac:dyDescent="0.25">
      <c r="A901" s="2" t="s">
        <v>2620</v>
      </c>
      <c r="B901" s="2" t="s">
        <v>136</v>
      </c>
      <c r="C901" s="8">
        <v>46235</v>
      </c>
      <c r="D901" s="6">
        <v>46235</v>
      </c>
      <c r="E901" s="2" t="s">
        <v>260</v>
      </c>
      <c r="F901" s="2" t="s">
        <v>2621</v>
      </c>
      <c r="G901" s="6">
        <v>46204</v>
      </c>
      <c r="H901" s="2" t="s">
        <v>71</v>
      </c>
      <c r="I901" s="2" t="s">
        <v>76</v>
      </c>
      <c r="J901" s="9">
        <v>58851129.032257996</v>
      </c>
      <c r="K901" s="7">
        <v>6.1500000000000004E-5</v>
      </c>
      <c r="L901" s="9">
        <v>3619.34</v>
      </c>
      <c r="M901" s="9">
        <v>3648.77</v>
      </c>
      <c r="N901" s="9">
        <v>1.99</v>
      </c>
      <c r="O901" s="10">
        <f>IF(AND(OR(H901="APPROVED",H901="SCHEDULED"),COUNTIFS(tblSource[EventID],F901,tblSource[ReleaseStatus],"APPROVED")=1,COUNTIFS(Period_Status!$A$2:$A$8,G901,Period_Status!$B$2:$B$8,"ActualClosed")=1,C901&gt;EOMONTH(Settlement_Bridge!$C$2,0)),1,0)</f>
        <v>1</v>
      </c>
      <c r="P901" s="2" t="s">
        <v>2622</v>
      </c>
    </row>
    <row r="902" spans="1:16" x14ac:dyDescent="0.25">
      <c r="A902" s="2" t="s">
        <v>2623</v>
      </c>
      <c r="B902" s="2" t="s">
        <v>136</v>
      </c>
      <c r="C902" s="8">
        <v>46236</v>
      </c>
      <c r="D902" s="6">
        <v>46235</v>
      </c>
      <c r="E902" s="2" t="s">
        <v>260</v>
      </c>
      <c r="F902" s="2" t="s">
        <v>2624</v>
      </c>
      <c r="G902" s="6">
        <v>46204</v>
      </c>
      <c r="H902" s="2" t="s">
        <v>71</v>
      </c>
      <c r="I902" s="2" t="s">
        <v>70</v>
      </c>
      <c r="J902" s="9">
        <v>5808.1762920000001</v>
      </c>
      <c r="K902" s="7">
        <v>0.65</v>
      </c>
      <c r="L902" s="9">
        <v>3775.31</v>
      </c>
      <c r="M902" s="9">
        <v>3821.78</v>
      </c>
      <c r="N902" s="9">
        <v>2.08</v>
      </c>
      <c r="O902" s="10">
        <f>IF(AND(OR(H902="APPROVED",H902="SCHEDULED"),COUNTIFS(tblSource[EventID],F902,tblSource[ReleaseStatus],"APPROVED")=1,COUNTIFS(Period_Status!$A$2:$A$8,G902,Period_Status!$B$2:$B$8,"ActualClosed")=1,C902&gt;EOMONTH(Settlement_Bridge!$C$2,0)),1,0)</f>
        <v>1</v>
      </c>
      <c r="P902" s="2" t="s">
        <v>2625</v>
      </c>
    </row>
    <row r="903" spans="1:16" x14ac:dyDescent="0.25">
      <c r="A903" s="2" t="s">
        <v>2626</v>
      </c>
      <c r="B903" s="2" t="s">
        <v>136</v>
      </c>
      <c r="C903" s="8">
        <v>46237</v>
      </c>
      <c r="D903" s="6">
        <v>46235</v>
      </c>
      <c r="E903" s="2" t="s">
        <v>260</v>
      </c>
      <c r="F903" s="2" t="s">
        <v>2627</v>
      </c>
      <c r="G903" s="6">
        <v>46204</v>
      </c>
      <c r="H903" s="2" t="s">
        <v>71</v>
      </c>
      <c r="I903" s="2" t="s">
        <v>39</v>
      </c>
      <c r="J903" s="9">
        <v>3994.79</v>
      </c>
      <c r="K903" s="7">
        <v>1</v>
      </c>
      <c r="L903" s="9">
        <v>3994.79</v>
      </c>
      <c r="M903" s="9">
        <v>3994.79</v>
      </c>
      <c r="N903" s="9">
        <v>2.2000000000000002</v>
      </c>
      <c r="O903" s="10">
        <f>IF(AND(OR(H903="APPROVED",H903="SCHEDULED"),COUNTIFS(tblSource[EventID],F903,tblSource[ReleaseStatus],"APPROVED")=1,COUNTIFS(Period_Status!$A$2:$A$8,G903,Period_Status!$B$2:$B$8,"ActualClosed")=1,C903&gt;EOMONTH(Settlement_Bridge!$C$2,0)),1,0)</f>
        <v>1</v>
      </c>
      <c r="P903" s="2" t="s">
        <v>2628</v>
      </c>
    </row>
    <row r="904" spans="1:16" x14ac:dyDescent="0.25">
      <c r="A904" s="2" t="s">
        <v>2629</v>
      </c>
      <c r="B904" s="2" t="s">
        <v>136</v>
      </c>
      <c r="C904" s="8">
        <v>46238</v>
      </c>
      <c r="D904" s="6">
        <v>46235</v>
      </c>
      <c r="E904" s="2" t="s">
        <v>260</v>
      </c>
      <c r="F904" s="2" t="s">
        <v>2630</v>
      </c>
      <c r="G904" s="6">
        <v>46204</v>
      </c>
      <c r="H904" s="2" t="s">
        <v>71</v>
      </c>
      <c r="I904" s="2" t="s">
        <v>76</v>
      </c>
      <c r="J904" s="9">
        <v>67222580.645161003</v>
      </c>
      <c r="K904" s="7">
        <v>6.1500000000000004E-5</v>
      </c>
      <c r="L904" s="9">
        <v>4134.1899999999996</v>
      </c>
      <c r="M904" s="9">
        <v>4167.8</v>
      </c>
      <c r="N904" s="9">
        <v>2.27</v>
      </c>
      <c r="O904" s="10">
        <f>IF(AND(OR(H904="APPROVED",H904="SCHEDULED"),COUNTIFS(tblSource[EventID],F904,tblSource[ReleaseStatus],"APPROVED")=1,COUNTIFS(Period_Status!$A$2:$A$8,G904,Period_Status!$B$2:$B$8,"ActualClosed")=1,C904&gt;EOMONTH(Settlement_Bridge!$C$2,0)),1,0)</f>
        <v>1</v>
      </c>
      <c r="P904" s="2" t="s">
        <v>2631</v>
      </c>
    </row>
    <row r="905" spans="1:16" x14ac:dyDescent="0.25">
      <c r="A905" s="2" t="s">
        <v>2632</v>
      </c>
      <c r="B905" s="2" t="s">
        <v>136</v>
      </c>
      <c r="C905" s="8">
        <v>46239</v>
      </c>
      <c r="D905" s="6">
        <v>46235</v>
      </c>
      <c r="E905" s="2" t="s">
        <v>260</v>
      </c>
      <c r="F905" s="2" t="s">
        <v>2633</v>
      </c>
      <c r="G905" s="6">
        <v>46204</v>
      </c>
      <c r="H905" s="2" t="s">
        <v>71</v>
      </c>
      <c r="I905" s="2" t="s">
        <v>70</v>
      </c>
      <c r="J905" s="9">
        <v>6596.975684</v>
      </c>
      <c r="K905" s="7">
        <v>0.65</v>
      </c>
      <c r="L905" s="9">
        <v>4288.03</v>
      </c>
      <c r="M905" s="9">
        <v>4340.8100000000004</v>
      </c>
      <c r="N905" s="9">
        <v>2.36</v>
      </c>
      <c r="O905" s="10">
        <f>IF(AND(OR(H905="APPROVED",H905="SCHEDULED"),COUNTIFS(tblSource[EventID],F905,tblSource[ReleaseStatus],"APPROVED")=1,COUNTIFS(Period_Status!$A$2:$A$8,G905,Period_Status!$B$2:$B$8,"ActualClosed")=1,C905&gt;EOMONTH(Settlement_Bridge!$C$2,0)),1,0)</f>
        <v>1</v>
      </c>
      <c r="P905" s="2" t="s">
        <v>2634</v>
      </c>
    </row>
    <row r="906" spans="1:16" x14ac:dyDescent="0.25">
      <c r="A906" s="2" t="s">
        <v>2635</v>
      </c>
      <c r="B906" s="2" t="s">
        <v>136</v>
      </c>
      <c r="C906" s="8">
        <v>46230</v>
      </c>
      <c r="D906" s="6">
        <v>46204</v>
      </c>
      <c r="E906" s="2" t="s">
        <v>260</v>
      </c>
      <c r="F906" s="2" t="s">
        <v>2636</v>
      </c>
      <c r="G906" s="6">
        <v>46204</v>
      </c>
      <c r="H906" s="2" t="s">
        <v>71</v>
      </c>
      <c r="I906" s="2" t="s">
        <v>39</v>
      </c>
      <c r="J906" s="9">
        <v>1805.528</v>
      </c>
      <c r="K906" s="7">
        <v>1</v>
      </c>
      <c r="L906" s="9">
        <v>1805.53</v>
      </c>
      <c r="M906" s="9">
        <v>1805.53</v>
      </c>
      <c r="N906" s="9">
        <v>1.8</v>
      </c>
      <c r="O906" s="10">
        <f>IF(AND(OR(H906="APPROVED",H906="SCHEDULED"),COUNTIFS(tblSource[EventID],F906,tblSource[ReleaseStatus],"APPROVED")=1,COUNTIFS(Period_Status!$A$2:$A$8,G906,Period_Status!$B$2:$B$8,"ActualClosed")=1,C906&gt;EOMONTH(Settlement_Bridge!$C$2,0)),1,0)</f>
        <v>0</v>
      </c>
      <c r="P906" s="2" t="s">
        <v>2637</v>
      </c>
    </row>
    <row r="907" spans="1:16" x14ac:dyDescent="0.25">
      <c r="A907" s="2" t="s">
        <v>2638</v>
      </c>
      <c r="B907" s="2" t="s">
        <v>136</v>
      </c>
      <c r="C907" s="8">
        <v>46255</v>
      </c>
      <c r="D907" s="6">
        <v>46235</v>
      </c>
      <c r="E907" s="2" t="s">
        <v>260</v>
      </c>
      <c r="F907" s="2" t="s">
        <v>2636</v>
      </c>
      <c r="G907" s="6">
        <v>46204</v>
      </c>
      <c r="H907" s="2" t="s">
        <v>71</v>
      </c>
      <c r="I907" s="2" t="s">
        <v>39</v>
      </c>
      <c r="J907" s="9">
        <v>2708.2919999999999</v>
      </c>
      <c r="K907" s="7">
        <v>1</v>
      </c>
      <c r="L907" s="9">
        <v>2708.29</v>
      </c>
      <c r="M907" s="9">
        <v>2708.29</v>
      </c>
      <c r="N907" s="9">
        <v>1.8</v>
      </c>
      <c r="O907" s="10">
        <f>IF(AND(OR(H907="APPROVED",H907="SCHEDULED"),COUNTIFS(tblSource[EventID],F907,tblSource[ReleaseStatus],"APPROVED")=1,COUNTIFS(Period_Status!$A$2:$A$8,G907,Period_Status!$B$2:$B$8,"ActualClosed")=1,C907&gt;EOMONTH(Settlement_Bridge!$C$2,0)),1,0)</f>
        <v>1</v>
      </c>
      <c r="P907" s="2" t="s">
        <v>2639</v>
      </c>
    </row>
    <row r="908" spans="1:16" x14ac:dyDescent="0.25">
      <c r="A908" s="2" t="s">
        <v>2640</v>
      </c>
      <c r="B908" s="2" t="s">
        <v>136</v>
      </c>
      <c r="C908" s="8">
        <v>46231</v>
      </c>
      <c r="D908" s="6">
        <v>46204</v>
      </c>
      <c r="E908" s="2" t="s">
        <v>260</v>
      </c>
      <c r="F908" s="2" t="s">
        <v>2641</v>
      </c>
      <c r="G908" s="6">
        <v>46204</v>
      </c>
      <c r="H908" s="2" t="s">
        <v>71</v>
      </c>
      <c r="I908" s="2" t="s">
        <v>76</v>
      </c>
      <c r="J908" s="9">
        <v>30237612.903225999</v>
      </c>
      <c r="K908" s="7">
        <v>6.2000000000000003E-5</v>
      </c>
      <c r="L908" s="9">
        <v>1874.73</v>
      </c>
      <c r="M908" s="9">
        <v>1874.73</v>
      </c>
      <c r="N908" s="9">
        <v>1.8</v>
      </c>
      <c r="O908" s="10">
        <f>IF(AND(OR(H908="APPROVED",H908="SCHEDULED"),COUNTIFS(tblSource[EventID],F908,tblSource[ReleaseStatus],"APPROVED")=1,COUNTIFS(Period_Status!$A$2:$A$8,G908,Period_Status!$B$2:$B$8,"ActualClosed")=1,C908&gt;EOMONTH(Settlement_Bridge!$C$2,0)),1,0)</f>
        <v>0</v>
      </c>
      <c r="P908" s="2" t="s">
        <v>2642</v>
      </c>
    </row>
    <row r="909" spans="1:16" x14ac:dyDescent="0.25">
      <c r="A909" s="2" t="s">
        <v>2643</v>
      </c>
      <c r="B909" s="2" t="s">
        <v>136</v>
      </c>
      <c r="C909" s="8">
        <v>46256</v>
      </c>
      <c r="D909" s="6">
        <v>46235</v>
      </c>
      <c r="E909" s="2" t="s">
        <v>260</v>
      </c>
      <c r="F909" s="2" t="s">
        <v>2641</v>
      </c>
      <c r="G909" s="6">
        <v>46204</v>
      </c>
      <c r="H909" s="2" t="s">
        <v>71</v>
      </c>
      <c r="I909" s="2" t="s">
        <v>76</v>
      </c>
      <c r="J909" s="9">
        <v>45356419.354838997</v>
      </c>
      <c r="K909" s="7">
        <v>6.1500000000000004E-5</v>
      </c>
      <c r="L909" s="9">
        <v>2789.42</v>
      </c>
      <c r="M909" s="9">
        <v>2812.1</v>
      </c>
      <c r="N909" s="9">
        <v>1.8</v>
      </c>
      <c r="O909" s="10">
        <f>IF(AND(OR(H909="APPROVED",H909="SCHEDULED"),COUNTIFS(tblSource[EventID],F909,tblSource[ReleaseStatus],"APPROVED")=1,COUNTIFS(Period_Status!$A$2:$A$8,G909,Period_Status!$B$2:$B$8,"ActualClosed")=1,C909&gt;EOMONTH(Settlement_Bridge!$C$2,0)),1,0)</f>
        <v>1</v>
      </c>
      <c r="P909" s="2" t="s">
        <v>2644</v>
      </c>
    </row>
    <row r="910" spans="1:16" x14ac:dyDescent="0.25">
      <c r="A910" s="2" t="s">
        <v>2645</v>
      </c>
      <c r="B910" s="2" t="s">
        <v>136</v>
      </c>
      <c r="C910" s="8">
        <v>46242</v>
      </c>
      <c r="D910" s="6">
        <v>46235</v>
      </c>
      <c r="E910" s="2" t="s">
        <v>260</v>
      </c>
      <c r="F910" s="2" t="s">
        <v>2646</v>
      </c>
      <c r="G910" s="6">
        <v>46204</v>
      </c>
      <c r="H910" s="2" t="s">
        <v>71</v>
      </c>
      <c r="I910" s="2" t="s">
        <v>70</v>
      </c>
      <c r="J910" s="9">
        <v>7385.7750759999999</v>
      </c>
      <c r="K910" s="7">
        <v>0.65</v>
      </c>
      <c r="L910" s="9">
        <v>4800.75</v>
      </c>
      <c r="M910" s="9">
        <v>4859.84</v>
      </c>
      <c r="N910" s="9">
        <v>2.64</v>
      </c>
      <c r="O910" s="10">
        <f>IF(AND(OR(H910="APPROVED",H910="SCHEDULED"),COUNTIFS(tblSource[EventID],F910,tblSource[ReleaseStatus],"APPROVED")=1,COUNTIFS(Period_Status!$A$2:$A$8,G910,Period_Status!$B$2:$B$8,"ActualClosed")=1,C910&gt;EOMONTH(Settlement_Bridge!$C$2,0)),1,0)</f>
        <v>1</v>
      </c>
      <c r="P910" s="2" t="s">
        <v>2647</v>
      </c>
    </row>
    <row r="911" spans="1:16" x14ac:dyDescent="0.25">
      <c r="A911" s="2" t="s">
        <v>2648</v>
      </c>
      <c r="B911" s="2" t="s">
        <v>136</v>
      </c>
      <c r="C911" s="8">
        <v>46274</v>
      </c>
      <c r="D911" s="6">
        <v>46266</v>
      </c>
      <c r="E911" s="2" t="s">
        <v>260</v>
      </c>
      <c r="F911" s="2" t="s">
        <v>2649</v>
      </c>
      <c r="G911" s="6">
        <v>46235</v>
      </c>
      <c r="H911" s="2" t="s">
        <v>176</v>
      </c>
      <c r="I911" s="2" t="s">
        <v>39</v>
      </c>
      <c r="J911" s="9">
        <v>5032.8500000000004</v>
      </c>
      <c r="K911" s="7">
        <v>1</v>
      </c>
      <c r="L911" s="9">
        <v>5032.8500000000004</v>
      </c>
      <c r="M911" s="9">
        <v>5032.8500000000004</v>
      </c>
      <c r="N911" s="9">
        <v>2.77</v>
      </c>
      <c r="O911" s="10">
        <f>IF(AND(OR(H911="APPROVED",H911="SCHEDULED"),COUNTIFS(tblSource[EventID],F911,tblSource[ReleaseStatus],"APPROVED")=1,COUNTIFS(Period_Status!$A$2:$A$8,G911,Period_Status!$B$2:$B$8,"ActualClosed")=1,C911&gt;EOMONTH(Settlement_Bridge!$C$2,0)),1,0)</f>
        <v>0</v>
      </c>
      <c r="P911" s="2" t="s">
        <v>2650</v>
      </c>
    </row>
    <row r="912" spans="1:16" x14ac:dyDescent="0.25">
      <c r="A912" s="2" t="s">
        <v>2651</v>
      </c>
      <c r="B912" s="2" t="s">
        <v>136</v>
      </c>
      <c r="C912" s="8">
        <v>46265</v>
      </c>
      <c r="D912" s="6">
        <v>46235</v>
      </c>
      <c r="E912" s="2" t="s">
        <v>260</v>
      </c>
      <c r="F912" s="2" t="s">
        <v>2652</v>
      </c>
      <c r="G912" s="6">
        <v>46235</v>
      </c>
      <c r="H912" s="2" t="s">
        <v>71</v>
      </c>
      <c r="I912" s="2" t="s">
        <v>76</v>
      </c>
      <c r="J912" s="9">
        <v>33859252.032520004</v>
      </c>
      <c r="K912" s="7">
        <v>6.1500000000000004E-5</v>
      </c>
      <c r="L912" s="9">
        <v>2082.34</v>
      </c>
      <c r="M912" s="9">
        <v>2082.34</v>
      </c>
      <c r="N912" s="9">
        <v>1.8</v>
      </c>
      <c r="O912" s="10">
        <f>IF(AND(OR(H912="APPROVED",H912="SCHEDULED"),COUNTIFS(tblSource[EventID],F912,tblSource[ReleaseStatus],"APPROVED")=1,COUNTIFS(Period_Status!$A$2:$A$8,G912,Period_Status!$B$2:$B$8,"ActualClosed")=1,C912&gt;EOMONTH(Settlement_Bridge!$C$2,0)),1,0)</f>
        <v>0</v>
      </c>
      <c r="P912" s="2" t="s">
        <v>2653</v>
      </c>
    </row>
    <row r="913" spans="1:16" x14ac:dyDescent="0.25">
      <c r="A913" s="2" t="s">
        <v>2654</v>
      </c>
      <c r="B913" s="2" t="s">
        <v>136</v>
      </c>
      <c r="C913" s="8">
        <v>46290</v>
      </c>
      <c r="D913" s="6">
        <v>46266</v>
      </c>
      <c r="E913" s="2" t="s">
        <v>260</v>
      </c>
      <c r="F913" s="2" t="s">
        <v>2652</v>
      </c>
      <c r="G913" s="6">
        <v>46235</v>
      </c>
      <c r="H913" s="2" t="s">
        <v>176</v>
      </c>
      <c r="I913" s="2" t="s">
        <v>76</v>
      </c>
      <c r="J913" s="9">
        <v>50788878.048781</v>
      </c>
      <c r="K913" s="7">
        <v>6.1299999999999999E-5</v>
      </c>
      <c r="L913" s="9">
        <v>3113.36</v>
      </c>
      <c r="M913" s="9">
        <v>3123.52</v>
      </c>
      <c r="N913" s="9">
        <v>1.8</v>
      </c>
      <c r="O913" s="10">
        <f>IF(AND(OR(H913="APPROVED",H913="SCHEDULED"),COUNTIFS(tblSource[EventID],F913,tblSource[ReleaseStatus],"APPROVED")=1,COUNTIFS(Period_Status!$A$2:$A$8,G913,Period_Status!$B$2:$B$8,"ActualClosed")=1,C913&gt;EOMONTH(Settlement_Bridge!$C$2,0)),1,0)</f>
        <v>0</v>
      </c>
      <c r="P913" s="2" t="s">
        <v>2655</v>
      </c>
    </row>
    <row r="914" spans="1:16" x14ac:dyDescent="0.25">
      <c r="A914" s="2" t="s">
        <v>2656</v>
      </c>
      <c r="B914" s="2" t="s">
        <v>136</v>
      </c>
      <c r="C914" s="8">
        <v>46276</v>
      </c>
      <c r="D914" s="6">
        <v>46266</v>
      </c>
      <c r="E914" s="2" t="s">
        <v>260</v>
      </c>
      <c r="F914" s="2" t="s">
        <v>2657</v>
      </c>
      <c r="G914" s="6">
        <v>46235</v>
      </c>
      <c r="H914" s="2" t="s">
        <v>176</v>
      </c>
      <c r="I914" s="2" t="s">
        <v>70</v>
      </c>
      <c r="J914" s="9">
        <v>8275.1846150000001</v>
      </c>
      <c r="K914" s="7">
        <v>0.65100000000000002</v>
      </c>
      <c r="L914" s="9">
        <v>5387.15</v>
      </c>
      <c r="M914" s="9">
        <v>5378.87</v>
      </c>
      <c r="N914" s="9">
        <v>2.96</v>
      </c>
      <c r="O914" s="10">
        <f>IF(AND(OR(H914="APPROVED",H914="SCHEDULED"),COUNTIFS(tblSource[EventID],F914,tblSource[ReleaseStatus],"APPROVED")=1,COUNTIFS(Period_Status!$A$2:$A$8,G914,Period_Status!$B$2:$B$8,"ActualClosed")=1,C914&gt;EOMONTH(Settlement_Bridge!$C$2,0)),1,0)</f>
        <v>0</v>
      </c>
      <c r="P914" s="2" t="s">
        <v>2658</v>
      </c>
    </row>
    <row r="915" spans="1:16" x14ac:dyDescent="0.25">
      <c r="A915" s="2" t="s">
        <v>2659</v>
      </c>
      <c r="B915" s="2" t="s">
        <v>136</v>
      </c>
      <c r="C915" s="8">
        <v>46277</v>
      </c>
      <c r="D915" s="6">
        <v>46266</v>
      </c>
      <c r="E915" s="2" t="s">
        <v>260</v>
      </c>
      <c r="F915" s="2" t="s">
        <v>2660</v>
      </c>
      <c r="G915" s="6">
        <v>46235</v>
      </c>
      <c r="H915" s="2" t="s">
        <v>176</v>
      </c>
      <c r="I915" s="2" t="s">
        <v>39</v>
      </c>
      <c r="J915" s="9">
        <v>5551.88</v>
      </c>
      <c r="K915" s="7">
        <v>1</v>
      </c>
      <c r="L915" s="9">
        <v>5551.88</v>
      </c>
      <c r="M915" s="9">
        <v>5551.88</v>
      </c>
      <c r="N915" s="9">
        <v>3.05</v>
      </c>
      <c r="O915" s="10">
        <f>IF(AND(OR(H915="APPROVED",H915="SCHEDULED"),COUNTIFS(tblSource[EventID],F915,tblSource[ReleaseStatus],"APPROVED")=1,COUNTIFS(Period_Status!$A$2:$A$8,G915,Period_Status!$B$2:$B$8,"ActualClosed")=1,C915&gt;EOMONTH(Settlement_Bridge!$C$2,0)),1,0)</f>
        <v>0</v>
      </c>
      <c r="P915" s="2" t="s">
        <v>2661</v>
      </c>
    </row>
    <row r="916" spans="1:16" x14ac:dyDescent="0.25">
      <c r="A916" s="2" t="s">
        <v>2662</v>
      </c>
      <c r="B916" s="2" t="s">
        <v>136</v>
      </c>
      <c r="C916" s="8">
        <v>46278</v>
      </c>
      <c r="D916" s="6">
        <v>46266</v>
      </c>
      <c r="E916" s="2" t="s">
        <v>260</v>
      </c>
      <c r="F916" s="2" t="s">
        <v>2663</v>
      </c>
      <c r="G916" s="6">
        <v>46235</v>
      </c>
      <c r="H916" s="2" t="s">
        <v>176</v>
      </c>
      <c r="I916" s="2" t="s">
        <v>76</v>
      </c>
      <c r="J916" s="9">
        <v>93087642.276423007</v>
      </c>
      <c r="K916" s="7">
        <v>6.1299999999999999E-5</v>
      </c>
      <c r="L916" s="9">
        <v>5706.27</v>
      </c>
      <c r="M916" s="9">
        <v>5724.89</v>
      </c>
      <c r="N916" s="9">
        <v>3.14</v>
      </c>
      <c r="O916" s="10">
        <f>IF(AND(OR(H916="APPROVED",H916="SCHEDULED"),COUNTIFS(tblSource[EventID],F916,tblSource[ReleaseStatus],"APPROVED")=1,COUNTIFS(Period_Status!$A$2:$A$8,G916,Period_Status!$B$2:$B$8,"ActualClosed")=1,C916&gt;EOMONTH(Settlement_Bridge!$C$2,0)),1,0)</f>
        <v>0</v>
      </c>
      <c r="P916" s="2" t="s">
        <v>2664</v>
      </c>
    </row>
    <row r="917" spans="1:16" x14ac:dyDescent="0.25">
      <c r="A917" s="2" t="s">
        <v>2665</v>
      </c>
      <c r="B917" s="2" t="s">
        <v>136</v>
      </c>
      <c r="C917" s="8">
        <v>46279</v>
      </c>
      <c r="D917" s="6">
        <v>46266</v>
      </c>
      <c r="E917" s="2" t="s">
        <v>260</v>
      </c>
      <c r="F917" s="2" t="s">
        <v>2666</v>
      </c>
      <c r="G917" s="6">
        <v>46235</v>
      </c>
      <c r="H917" s="2" t="s">
        <v>176</v>
      </c>
      <c r="I917" s="2" t="s">
        <v>70</v>
      </c>
      <c r="J917" s="9">
        <v>9073.6923079999997</v>
      </c>
      <c r="K917" s="7">
        <v>0.65100000000000002</v>
      </c>
      <c r="L917" s="9">
        <v>5906.97</v>
      </c>
      <c r="M917" s="9">
        <v>5897.9</v>
      </c>
      <c r="N917" s="9">
        <v>3.25</v>
      </c>
      <c r="O917" s="10">
        <f>IF(AND(OR(H917="APPROVED",H917="SCHEDULED"),COUNTIFS(tblSource[EventID],F917,tblSource[ReleaseStatus],"APPROVED")=1,COUNTIFS(Period_Status!$A$2:$A$8,G917,Period_Status!$B$2:$B$8,"ActualClosed")=1,C917&gt;EOMONTH(Settlement_Bridge!$C$2,0)),1,0)</f>
        <v>0</v>
      </c>
      <c r="P917" s="2" t="s">
        <v>2667</v>
      </c>
    </row>
    <row r="918" spans="1:16" x14ac:dyDescent="0.25">
      <c r="A918" s="2" t="s">
        <v>2668</v>
      </c>
      <c r="B918" s="2" t="s">
        <v>136</v>
      </c>
      <c r="C918" s="8">
        <v>46280</v>
      </c>
      <c r="D918" s="6">
        <v>46266</v>
      </c>
      <c r="E918" s="2" t="s">
        <v>260</v>
      </c>
      <c r="F918" s="2" t="s">
        <v>2669</v>
      </c>
      <c r="G918" s="6">
        <v>46235</v>
      </c>
      <c r="H918" s="2" t="s">
        <v>176</v>
      </c>
      <c r="I918" s="2" t="s">
        <v>39</v>
      </c>
      <c r="J918" s="9">
        <v>6070.91</v>
      </c>
      <c r="K918" s="7">
        <v>1</v>
      </c>
      <c r="L918" s="9">
        <v>6070.91</v>
      </c>
      <c r="M918" s="9">
        <v>6070.91</v>
      </c>
      <c r="N918" s="9">
        <v>3.34</v>
      </c>
      <c r="O918" s="10">
        <f>IF(AND(OR(H918="APPROVED",H918="SCHEDULED"),COUNTIFS(tblSource[EventID],F918,tblSource[ReleaseStatus],"APPROVED")=1,COUNTIFS(Period_Status!$A$2:$A$8,G918,Period_Status!$B$2:$B$8,"ActualClosed")=1,C918&gt;EOMONTH(Settlement_Bridge!$C$2,0)),1,0)</f>
        <v>0</v>
      </c>
      <c r="P918" s="2" t="s">
        <v>2670</v>
      </c>
    </row>
    <row r="919" spans="1:16" x14ac:dyDescent="0.25">
      <c r="A919" s="2" t="s">
        <v>2671</v>
      </c>
      <c r="B919" s="2" t="s">
        <v>136</v>
      </c>
      <c r="C919" s="8">
        <v>46271</v>
      </c>
      <c r="D919" s="6">
        <v>46266</v>
      </c>
      <c r="E919" s="2" t="s">
        <v>260</v>
      </c>
      <c r="F919" s="2" t="s">
        <v>2672</v>
      </c>
      <c r="G919" s="6">
        <v>46235</v>
      </c>
      <c r="H919" s="2" t="s">
        <v>176</v>
      </c>
      <c r="I919" s="2" t="s">
        <v>76</v>
      </c>
      <c r="J919" s="9">
        <v>40610861.788617998</v>
      </c>
      <c r="K919" s="7">
        <v>6.1299999999999999E-5</v>
      </c>
      <c r="L919" s="9">
        <v>2489.4499999999998</v>
      </c>
      <c r="M919" s="9">
        <v>2497.5700000000002</v>
      </c>
      <c r="N919" s="9">
        <v>1.8</v>
      </c>
      <c r="O919" s="10">
        <f>IF(AND(OR(H919="APPROVED",H919="SCHEDULED"),COUNTIFS(tblSource[EventID],F919,tblSource[ReleaseStatus],"APPROVED")=1,COUNTIFS(Period_Status!$A$2:$A$8,G919,Period_Status!$B$2:$B$8,"ActualClosed")=1,C919&gt;EOMONTH(Settlement_Bridge!$C$2,0)),1,0)</f>
        <v>0</v>
      </c>
      <c r="P919" s="2" t="s">
        <v>2673</v>
      </c>
    </row>
    <row r="920" spans="1:16" x14ac:dyDescent="0.25">
      <c r="A920" s="2" t="s">
        <v>2674</v>
      </c>
      <c r="B920" s="2" t="s">
        <v>136</v>
      </c>
      <c r="C920" s="8">
        <v>46296</v>
      </c>
      <c r="D920" s="6">
        <v>46296</v>
      </c>
      <c r="E920" s="2" t="s">
        <v>260</v>
      </c>
      <c r="F920" s="2" t="s">
        <v>2672</v>
      </c>
      <c r="G920" s="6">
        <v>46235</v>
      </c>
      <c r="H920" s="2" t="s">
        <v>176</v>
      </c>
      <c r="I920" s="2" t="s">
        <v>76</v>
      </c>
      <c r="J920" s="9">
        <v>60916292.682926998</v>
      </c>
      <c r="K920" s="7">
        <v>6.1099999999999994E-5</v>
      </c>
      <c r="L920" s="9">
        <v>3721.99</v>
      </c>
      <c r="M920" s="9">
        <v>3746.35</v>
      </c>
      <c r="N920" s="9">
        <v>2.0499999999999998</v>
      </c>
      <c r="O920" s="10">
        <f>IF(AND(OR(H920="APPROVED",H920="SCHEDULED"),COUNTIFS(tblSource[EventID],F920,tblSource[ReleaseStatus],"APPROVED")=1,COUNTIFS(Period_Status!$A$2:$A$8,G920,Period_Status!$B$2:$B$8,"ActualClosed")=1,C920&gt;EOMONTH(Settlement_Bridge!$C$2,0)),1,0)</f>
        <v>0</v>
      </c>
      <c r="P920" s="2" t="s">
        <v>2675</v>
      </c>
    </row>
    <row r="921" spans="1:16" x14ac:dyDescent="0.25">
      <c r="A921" s="2" t="s">
        <v>2676</v>
      </c>
      <c r="B921" s="2" t="s">
        <v>136</v>
      </c>
      <c r="C921" s="8">
        <v>46272</v>
      </c>
      <c r="D921" s="6">
        <v>46266</v>
      </c>
      <c r="E921" s="2" t="s">
        <v>260</v>
      </c>
      <c r="F921" s="2" t="s">
        <v>2677</v>
      </c>
      <c r="G921" s="6">
        <v>46235</v>
      </c>
      <c r="H921" s="2" t="s">
        <v>176</v>
      </c>
      <c r="I921" s="2" t="s">
        <v>70</v>
      </c>
      <c r="J921" s="9">
        <v>3948.88</v>
      </c>
      <c r="K921" s="7">
        <v>0.65100000000000002</v>
      </c>
      <c r="L921" s="9">
        <v>2570.7199999999998</v>
      </c>
      <c r="M921" s="9">
        <v>2566.77</v>
      </c>
      <c r="N921" s="9">
        <v>1.8</v>
      </c>
      <c r="O921" s="10">
        <f>IF(AND(OR(H921="APPROVED",H921="SCHEDULED"),COUNTIFS(tblSource[EventID],F921,tblSource[ReleaseStatus],"APPROVED")=1,COUNTIFS(Period_Status!$A$2:$A$8,G921,Period_Status!$B$2:$B$8,"ActualClosed")=1,C921&gt;EOMONTH(Settlement_Bridge!$C$2,0)),1,0)</f>
        <v>0</v>
      </c>
      <c r="P921" s="2" t="s">
        <v>2678</v>
      </c>
    </row>
    <row r="922" spans="1:16" x14ac:dyDescent="0.25">
      <c r="A922" s="2" t="s">
        <v>2679</v>
      </c>
      <c r="B922" s="2" t="s">
        <v>136</v>
      </c>
      <c r="C922" s="8">
        <v>46297</v>
      </c>
      <c r="D922" s="6">
        <v>46296</v>
      </c>
      <c r="E922" s="2" t="s">
        <v>260</v>
      </c>
      <c r="F922" s="2" t="s">
        <v>2677</v>
      </c>
      <c r="G922" s="6">
        <v>46235</v>
      </c>
      <c r="H922" s="2" t="s">
        <v>176</v>
      </c>
      <c r="I922" s="2" t="s">
        <v>70</v>
      </c>
      <c r="J922" s="9">
        <v>5923.32</v>
      </c>
      <c r="K922" s="7">
        <v>0.65500000000000003</v>
      </c>
      <c r="L922" s="9">
        <v>3879.77</v>
      </c>
      <c r="M922" s="9">
        <v>3850.16</v>
      </c>
      <c r="N922" s="9">
        <v>2.13</v>
      </c>
      <c r="O922" s="10">
        <f>IF(AND(OR(H922="APPROVED",H922="SCHEDULED"),COUNTIFS(tblSource[EventID],F922,tblSource[ReleaseStatus],"APPROVED")=1,COUNTIFS(Period_Status!$A$2:$A$8,G922,Period_Status!$B$2:$B$8,"ActualClosed")=1,C922&gt;EOMONTH(Settlement_Bridge!$C$2,0)),1,0)</f>
        <v>0</v>
      </c>
      <c r="P922" s="2" t="s">
        <v>2680</v>
      </c>
    </row>
    <row r="923" spans="1:16" x14ac:dyDescent="0.25">
      <c r="A923" s="2" t="s">
        <v>2681</v>
      </c>
      <c r="B923" s="2" t="s">
        <v>136</v>
      </c>
      <c r="C923" s="8">
        <v>46283</v>
      </c>
      <c r="D923" s="6">
        <v>46266</v>
      </c>
      <c r="E923" s="2" t="s">
        <v>260</v>
      </c>
      <c r="F923" s="2" t="s">
        <v>2682</v>
      </c>
      <c r="G923" s="6">
        <v>46235</v>
      </c>
      <c r="H923" s="2" t="s">
        <v>176</v>
      </c>
      <c r="I923" s="2" t="s">
        <v>39</v>
      </c>
      <c r="J923" s="9">
        <v>6589.94</v>
      </c>
      <c r="K923" s="7">
        <v>1</v>
      </c>
      <c r="L923" s="9">
        <v>6589.94</v>
      </c>
      <c r="M923" s="9">
        <v>6589.94</v>
      </c>
      <c r="N923" s="9">
        <v>3.62</v>
      </c>
      <c r="O923" s="10">
        <f>IF(AND(OR(H923="APPROVED",H923="SCHEDULED"),COUNTIFS(tblSource[EventID],F923,tblSource[ReleaseStatus],"APPROVED")=1,COUNTIFS(Period_Status!$A$2:$A$8,G923,Period_Status!$B$2:$B$8,"ActualClosed")=1,C923&gt;EOMONTH(Settlement_Bridge!$C$2,0)),1,0)</f>
        <v>0</v>
      </c>
      <c r="P923" s="2" t="s">
        <v>2683</v>
      </c>
    </row>
    <row r="924" spans="1:16" x14ac:dyDescent="0.25">
      <c r="A924" s="2" t="s">
        <v>2684</v>
      </c>
      <c r="B924" s="2" t="s">
        <v>136</v>
      </c>
      <c r="C924" s="8">
        <v>46284</v>
      </c>
      <c r="D924" s="6">
        <v>46266</v>
      </c>
      <c r="E924" s="2" t="s">
        <v>260</v>
      </c>
      <c r="F924" s="2" t="s">
        <v>2685</v>
      </c>
      <c r="G924" s="6">
        <v>46235</v>
      </c>
      <c r="H924" s="2" t="s">
        <v>176</v>
      </c>
      <c r="I924" s="2" t="s">
        <v>76</v>
      </c>
      <c r="J924" s="9">
        <v>109966666.666667</v>
      </c>
      <c r="K924" s="7">
        <v>6.1299999999999999E-5</v>
      </c>
      <c r="L924" s="9">
        <v>6740.96</v>
      </c>
      <c r="M924" s="9">
        <v>6762.95</v>
      </c>
      <c r="N924" s="9">
        <v>3.71</v>
      </c>
      <c r="O924" s="10">
        <f>IF(AND(OR(H924="APPROVED",H924="SCHEDULED"),COUNTIFS(tblSource[EventID],F924,tblSource[ReleaseStatus],"APPROVED")=1,COUNTIFS(Period_Status!$A$2:$A$8,G924,Period_Status!$B$2:$B$8,"ActualClosed")=1,C924&gt;EOMONTH(Settlement_Bridge!$C$2,0)),1,0)</f>
        <v>0</v>
      </c>
      <c r="P924" s="2" t="s">
        <v>2686</v>
      </c>
    </row>
    <row r="925" spans="1:16" x14ac:dyDescent="0.25">
      <c r="A925" s="2" t="s">
        <v>2687</v>
      </c>
      <c r="B925" s="2" t="s">
        <v>136</v>
      </c>
      <c r="C925" s="8">
        <v>46275</v>
      </c>
      <c r="D925" s="6">
        <v>46266</v>
      </c>
      <c r="E925" s="2" t="s">
        <v>260</v>
      </c>
      <c r="F925" s="2" t="s">
        <v>2688</v>
      </c>
      <c r="G925" s="6">
        <v>46235</v>
      </c>
      <c r="H925" s="2" t="s">
        <v>176</v>
      </c>
      <c r="I925" s="2" t="s">
        <v>70</v>
      </c>
      <c r="J925" s="9">
        <v>4268.283077</v>
      </c>
      <c r="K925" s="7">
        <v>0.65100000000000002</v>
      </c>
      <c r="L925" s="9">
        <v>2778.65</v>
      </c>
      <c r="M925" s="9">
        <v>2774.38</v>
      </c>
      <c r="N925" s="9">
        <v>1.8</v>
      </c>
      <c r="O925" s="10">
        <f>IF(AND(OR(H925="APPROVED",H925="SCHEDULED"),COUNTIFS(tblSource[EventID],F925,tblSource[ReleaseStatus],"APPROVED")=1,COUNTIFS(Period_Status!$A$2:$A$8,G925,Period_Status!$B$2:$B$8,"ActualClosed")=1,C925&gt;EOMONTH(Settlement_Bridge!$C$2,0)),1,0)</f>
        <v>0</v>
      </c>
      <c r="P925" s="2" t="s">
        <v>2689</v>
      </c>
    </row>
    <row r="926" spans="1:16" x14ac:dyDescent="0.25">
      <c r="A926" s="2" t="s">
        <v>2690</v>
      </c>
      <c r="B926" s="2" t="s">
        <v>136</v>
      </c>
      <c r="C926" s="8">
        <v>46300</v>
      </c>
      <c r="D926" s="6">
        <v>46296</v>
      </c>
      <c r="E926" s="2" t="s">
        <v>260</v>
      </c>
      <c r="F926" s="2" t="s">
        <v>2688</v>
      </c>
      <c r="G926" s="6">
        <v>46235</v>
      </c>
      <c r="H926" s="2" t="s">
        <v>176</v>
      </c>
      <c r="I926" s="2" t="s">
        <v>70</v>
      </c>
      <c r="J926" s="9">
        <v>6402.4246149999999</v>
      </c>
      <c r="K926" s="7">
        <v>0.65500000000000003</v>
      </c>
      <c r="L926" s="9">
        <v>4193.59</v>
      </c>
      <c r="M926" s="9">
        <v>4161.58</v>
      </c>
      <c r="N926" s="9">
        <v>2.31</v>
      </c>
      <c r="O926" s="10">
        <f>IF(AND(OR(H926="APPROVED",H926="SCHEDULED"),COUNTIFS(tblSource[EventID],F926,tblSource[ReleaseStatus],"APPROVED")=1,COUNTIFS(Period_Status!$A$2:$A$8,G926,Period_Status!$B$2:$B$8,"ActualClosed")=1,C926&gt;EOMONTH(Settlement_Bridge!$C$2,0)),1,0)</f>
        <v>0</v>
      </c>
      <c r="P926" s="2" t="s">
        <v>2691</v>
      </c>
    </row>
    <row r="927" spans="1:16" x14ac:dyDescent="0.25">
      <c r="A927" s="2" t="s">
        <v>2692</v>
      </c>
      <c r="B927" s="2" t="s">
        <v>136</v>
      </c>
      <c r="C927" s="8">
        <v>46286</v>
      </c>
      <c r="D927" s="6">
        <v>46266</v>
      </c>
      <c r="E927" s="2" t="s">
        <v>260</v>
      </c>
      <c r="F927" s="2" t="s">
        <v>2693</v>
      </c>
      <c r="G927" s="6">
        <v>46235</v>
      </c>
      <c r="H927" s="2" t="s">
        <v>176</v>
      </c>
      <c r="I927" s="2" t="s">
        <v>39</v>
      </c>
      <c r="J927" s="9">
        <v>7108</v>
      </c>
      <c r="K927" s="7">
        <v>1</v>
      </c>
      <c r="L927" s="9">
        <v>7108</v>
      </c>
      <c r="M927" s="9">
        <v>7108</v>
      </c>
      <c r="N927" s="9">
        <v>3.91</v>
      </c>
      <c r="O927" s="10">
        <f>IF(AND(OR(H927="APPROVED",H927="SCHEDULED"),COUNTIFS(tblSource[EventID],F927,tblSource[ReleaseStatus],"APPROVED")=1,COUNTIFS(Period_Status!$A$2:$A$8,G927,Period_Status!$B$2:$B$8,"ActualClosed")=1,C927&gt;EOMONTH(Settlement_Bridge!$C$2,0)),1,0)</f>
        <v>0</v>
      </c>
      <c r="P927" s="2" t="s">
        <v>2694</v>
      </c>
    </row>
    <row r="928" spans="1:16" x14ac:dyDescent="0.25">
      <c r="A928" s="2" t="s">
        <v>2695</v>
      </c>
      <c r="B928" s="2" t="s">
        <v>136</v>
      </c>
      <c r="C928" s="8">
        <v>46287</v>
      </c>
      <c r="D928" s="6">
        <v>46266</v>
      </c>
      <c r="E928" s="2" t="s">
        <v>260</v>
      </c>
      <c r="F928" s="2" t="s">
        <v>2696</v>
      </c>
      <c r="G928" s="6">
        <v>46235</v>
      </c>
      <c r="H928" s="2" t="s">
        <v>176</v>
      </c>
      <c r="I928" s="2" t="s">
        <v>76</v>
      </c>
      <c r="J928" s="9">
        <v>118390406.50406501</v>
      </c>
      <c r="K928" s="7">
        <v>6.1299999999999999E-5</v>
      </c>
      <c r="L928" s="9">
        <v>7257.33</v>
      </c>
      <c r="M928" s="9">
        <v>7281.01</v>
      </c>
      <c r="N928" s="9">
        <v>3.99</v>
      </c>
      <c r="O928" s="10">
        <f>IF(AND(OR(H928="APPROVED",H928="SCHEDULED"),COUNTIFS(tblSource[EventID],F928,tblSource[ReleaseStatus],"APPROVED")=1,COUNTIFS(Period_Status!$A$2:$A$8,G928,Period_Status!$B$2:$B$8,"ActualClosed")=1,C928&gt;EOMONTH(Settlement_Bridge!$C$2,0)),1,0)</f>
        <v>0</v>
      </c>
      <c r="P928" s="2" t="s">
        <v>2697</v>
      </c>
    </row>
    <row r="929" spans="1:16" x14ac:dyDescent="0.25">
      <c r="A929" s="2" t="s">
        <v>2698</v>
      </c>
      <c r="B929" s="2" t="s">
        <v>136</v>
      </c>
      <c r="C929" s="8">
        <v>46288</v>
      </c>
      <c r="D929" s="6">
        <v>46266</v>
      </c>
      <c r="E929" s="2" t="s">
        <v>260</v>
      </c>
      <c r="F929" s="2" t="s">
        <v>2699</v>
      </c>
      <c r="G929" s="6">
        <v>46235</v>
      </c>
      <c r="H929" s="2" t="s">
        <v>176</v>
      </c>
      <c r="I929" s="2" t="s">
        <v>70</v>
      </c>
      <c r="J929" s="9">
        <v>11467.723077000001</v>
      </c>
      <c r="K929" s="7">
        <v>0.65100000000000002</v>
      </c>
      <c r="L929" s="9">
        <v>7465.49</v>
      </c>
      <c r="M929" s="9">
        <v>7454.02</v>
      </c>
      <c r="N929" s="9">
        <v>4.1100000000000003</v>
      </c>
      <c r="O929" s="10">
        <f>IF(AND(OR(H929="APPROVED",H929="SCHEDULED"),COUNTIFS(tblSource[EventID],F929,tblSource[ReleaseStatus],"APPROVED")=1,COUNTIFS(Period_Status!$A$2:$A$8,G929,Period_Status!$B$2:$B$8,"ActualClosed")=1,C929&gt;EOMONTH(Settlement_Bridge!$C$2,0)),1,0)</f>
        <v>0</v>
      </c>
      <c r="P929" s="2" t="s">
        <v>2700</v>
      </c>
    </row>
    <row r="930" spans="1:16" x14ac:dyDescent="0.25">
      <c r="A930" s="2" t="s">
        <v>2701</v>
      </c>
      <c r="B930" s="2" t="s">
        <v>136</v>
      </c>
      <c r="C930" s="8">
        <v>46289</v>
      </c>
      <c r="D930" s="6">
        <v>46266</v>
      </c>
      <c r="E930" s="2" t="s">
        <v>260</v>
      </c>
      <c r="F930" s="2" t="s">
        <v>2702</v>
      </c>
      <c r="G930" s="6">
        <v>46235</v>
      </c>
      <c r="H930" s="2" t="s">
        <v>176</v>
      </c>
      <c r="I930" s="2" t="s">
        <v>39</v>
      </c>
      <c r="J930" s="9">
        <v>7627.03</v>
      </c>
      <c r="K930" s="7">
        <v>1</v>
      </c>
      <c r="L930" s="9">
        <v>7627.03</v>
      </c>
      <c r="M930" s="9">
        <v>7627.03</v>
      </c>
      <c r="N930" s="9">
        <v>4.1900000000000004</v>
      </c>
      <c r="O930" s="10">
        <f>IF(AND(OR(H930="APPROVED",H930="SCHEDULED"),COUNTIFS(tblSource[EventID],F930,tblSource[ReleaseStatus],"APPROVED")=1,COUNTIFS(Period_Status!$A$2:$A$8,G930,Period_Status!$B$2:$B$8,"ActualClosed")=1,C930&gt;EOMONTH(Settlement_Bridge!$C$2,0)),1,0)</f>
        <v>0</v>
      </c>
      <c r="P930" s="2" t="s">
        <v>2703</v>
      </c>
    </row>
    <row r="931" spans="1:16" x14ac:dyDescent="0.25">
      <c r="A931" s="2" t="s">
        <v>2704</v>
      </c>
      <c r="B931" s="2" t="s">
        <v>136</v>
      </c>
      <c r="C931" s="8">
        <v>46259</v>
      </c>
      <c r="D931" s="6">
        <v>46235</v>
      </c>
      <c r="E931" s="2" t="s">
        <v>260</v>
      </c>
      <c r="F931" s="2" t="s">
        <v>2705</v>
      </c>
      <c r="G931" s="6">
        <v>46235</v>
      </c>
      <c r="H931" s="2" t="s">
        <v>71</v>
      </c>
      <c r="I931" s="2" t="s">
        <v>76</v>
      </c>
      <c r="J931" s="9">
        <v>126829918.699187</v>
      </c>
      <c r="K931" s="7">
        <v>6.1500000000000004E-5</v>
      </c>
      <c r="L931" s="9">
        <v>7800.04</v>
      </c>
      <c r="M931" s="9">
        <v>7800.04</v>
      </c>
      <c r="N931" s="9">
        <v>4.29</v>
      </c>
      <c r="O931" s="10">
        <f>IF(AND(OR(H931="APPROVED",H931="SCHEDULED"),COUNTIFS(tblSource[EventID],F931,tblSource[ReleaseStatus],"APPROVED")=1,COUNTIFS(Period_Status!$A$2:$A$8,G931,Period_Status!$B$2:$B$8,"ActualClosed")=1,C931&gt;EOMONTH(Settlement_Bridge!$C$2,0)),1,0)</f>
        <v>0</v>
      </c>
      <c r="P931" s="2" t="s">
        <v>2706</v>
      </c>
    </row>
    <row r="932" spans="1:16" x14ac:dyDescent="0.25">
      <c r="A932" s="2" t="s">
        <v>2707</v>
      </c>
      <c r="B932" s="2" t="s">
        <v>136</v>
      </c>
      <c r="C932" s="8">
        <v>46250</v>
      </c>
      <c r="D932" s="6">
        <v>46235</v>
      </c>
      <c r="E932" s="2" t="s">
        <v>260</v>
      </c>
      <c r="F932" s="2" t="s">
        <v>2708</v>
      </c>
      <c r="G932" s="6">
        <v>46235</v>
      </c>
      <c r="H932" s="2" t="s">
        <v>71</v>
      </c>
      <c r="I932" s="2" t="s">
        <v>70</v>
      </c>
      <c r="J932" s="9">
        <v>4906.4923079999999</v>
      </c>
      <c r="K932" s="7">
        <v>0.65</v>
      </c>
      <c r="L932" s="9">
        <v>3189.22</v>
      </c>
      <c r="M932" s="9">
        <v>3189.22</v>
      </c>
      <c r="N932" s="9">
        <v>1.8</v>
      </c>
      <c r="O932" s="10">
        <f>IF(AND(OR(H932="APPROVED",H932="SCHEDULED"),COUNTIFS(tblSource[EventID],F932,tblSource[ReleaseStatus],"APPROVED")=1,COUNTIFS(Period_Status!$A$2:$A$8,G932,Period_Status!$B$2:$B$8,"ActualClosed")=1,C932&gt;EOMONTH(Settlement_Bridge!$C$2,0)),1,0)</f>
        <v>0</v>
      </c>
      <c r="P932" s="2" t="s">
        <v>2709</v>
      </c>
    </row>
    <row r="933" spans="1:16" x14ac:dyDescent="0.25">
      <c r="A933" s="2" t="s">
        <v>2710</v>
      </c>
      <c r="B933" s="2" t="s">
        <v>136</v>
      </c>
      <c r="C933" s="8">
        <v>46275</v>
      </c>
      <c r="D933" s="6">
        <v>46266</v>
      </c>
      <c r="E933" s="2" t="s">
        <v>260</v>
      </c>
      <c r="F933" s="2" t="s">
        <v>2708</v>
      </c>
      <c r="G933" s="6">
        <v>46235</v>
      </c>
      <c r="H933" s="2" t="s">
        <v>176</v>
      </c>
      <c r="I933" s="2" t="s">
        <v>70</v>
      </c>
      <c r="J933" s="9">
        <v>7359.7384609999999</v>
      </c>
      <c r="K933" s="7">
        <v>0.65100000000000002</v>
      </c>
      <c r="L933" s="9">
        <v>4791.1899999999996</v>
      </c>
      <c r="M933" s="9">
        <v>4783.83</v>
      </c>
      <c r="N933" s="9">
        <v>2.64</v>
      </c>
      <c r="O933" s="10">
        <f>IF(AND(OR(H933="APPROVED",H933="SCHEDULED"),COUNTIFS(tblSource[EventID],F933,tblSource[ReleaseStatus],"APPROVED")=1,COUNTIFS(Period_Status!$A$2:$A$8,G933,Period_Status!$B$2:$B$8,"ActualClosed")=1,C933&gt;EOMONTH(Settlement_Bridge!$C$2,0)),1,0)</f>
        <v>0</v>
      </c>
      <c r="P933" s="2" t="s">
        <v>2711</v>
      </c>
    </row>
    <row r="934" spans="1:16" x14ac:dyDescent="0.25">
      <c r="A934" s="2" t="s">
        <v>2712</v>
      </c>
      <c r="B934" s="2" t="s">
        <v>136</v>
      </c>
      <c r="C934" s="8">
        <v>46251</v>
      </c>
      <c r="D934" s="6">
        <v>46235</v>
      </c>
      <c r="E934" s="2" t="s">
        <v>260</v>
      </c>
      <c r="F934" s="2" t="s">
        <v>2713</v>
      </c>
      <c r="G934" s="6">
        <v>46235</v>
      </c>
      <c r="H934" s="2" t="s">
        <v>71</v>
      </c>
      <c r="I934" s="2" t="s">
        <v>39</v>
      </c>
      <c r="J934" s="9">
        <v>3258.424</v>
      </c>
      <c r="K934" s="7">
        <v>1</v>
      </c>
      <c r="L934" s="9">
        <v>3258.42</v>
      </c>
      <c r="M934" s="9">
        <v>3258.42</v>
      </c>
      <c r="N934" s="9">
        <v>1.8</v>
      </c>
      <c r="O934" s="10">
        <f>IF(AND(OR(H934="APPROVED",H934="SCHEDULED"),COUNTIFS(tblSource[EventID],F934,tblSource[ReleaseStatus],"APPROVED")=1,COUNTIFS(Period_Status!$A$2:$A$8,G934,Period_Status!$B$2:$B$8,"ActualClosed")=1,C934&gt;EOMONTH(Settlement_Bridge!$C$2,0)),1,0)</f>
        <v>0</v>
      </c>
      <c r="P934" s="2" t="s">
        <v>2714</v>
      </c>
    </row>
    <row r="935" spans="1:16" x14ac:dyDescent="0.25">
      <c r="A935" s="2" t="s">
        <v>2715</v>
      </c>
      <c r="B935" s="2" t="s">
        <v>136</v>
      </c>
      <c r="C935" s="8">
        <v>46276</v>
      </c>
      <c r="D935" s="6">
        <v>46266</v>
      </c>
      <c r="E935" s="2" t="s">
        <v>260</v>
      </c>
      <c r="F935" s="2" t="s">
        <v>2713</v>
      </c>
      <c r="G935" s="6">
        <v>46235</v>
      </c>
      <c r="H935" s="2" t="s">
        <v>176</v>
      </c>
      <c r="I935" s="2" t="s">
        <v>39</v>
      </c>
      <c r="J935" s="9">
        <v>4887.6360000000004</v>
      </c>
      <c r="K935" s="7">
        <v>1</v>
      </c>
      <c r="L935" s="9">
        <v>4887.6400000000003</v>
      </c>
      <c r="M935" s="9">
        <v>4887.6400000000003</v>
      </c>
      <c r="N935" s="9">
        <v>2.69</v>
      </c>
      <c r="O935" s="10">
        <f>IF(AND(OR(H935="APPROVED",H935="SCHEDULED"),COUNTIFS(tblSource[EventID],F935,tblSource[ReleaseStatus],"APPROVED")=1,COUNTIFS(Period_Status!$A$2:$A$8,G935,Period_Status!$B$2:$B$8,"ActualClosed")=1,C935&gt;EOMONTH(Settlement_Bridge!$C$2,0)),1,0)</f>
        <v>0</v>
      </c>
      <c r="P935" s="2" t="s">
        <v>2716</v>
      </c>
    </row>
    <row r="936" spans="1:16" x14ac:dyDescent="0.25">
      <c r="A936" s="2" t="s">
        <v>2717</v>
      </c>
      <c r="B936" s="2" t="s">
        <v>136</v>
      </c>
      <c r="C936" s="8">
        <v>46262</v>
      </c>
      <c r="D936" s="6">
        <v>46235</v>
      </c>
      <c r="E936" s="2" t="s">
        <v>260</v>
      </c>
      <c r="F936" s="2" t="s">
        <v>2718</v>
      </c>
      <c r="G936" s="6">
        <v>46235</v>
      </c>
      <c r="H936" s="2" t="s">
        <v>71</v>
      </c>
      <c r="I936" s="2" t="s">
        <v>76</v>
      </c>
      <c r="J936" s="9">
        <v>135269430.89430901</v>
      </c>
      <c r="K936" s="7">
        <v>6.1500000000000004E-5</v>
      </c>
      <c r="L936" s="9">
        <v>8319.07</v>
      </c>
      <c r="M936" s="9">
        <v>8319.07</v>
      </c>
      <c r="N936" s="9">
        <v>4.58</v>
      </c>
      <c r="O936" s="10">
        <f>IF(AND(OR(H936="APPROVED",H936="SCHEDULED"),COUNTIFS(tblSource[EventID],F936,tblSource[ReleaseStatus],"APPROVED")=1,COUNTIFS(Period_Status!$A$2:$A$8,G936,Period_Status!$B$2:$B$8,"ActualClosed")=1,C936&gt;EOMONTH(Settlement_Bridge!$C$2,0)),1,0)</f>
        <v>0</v>
      </c>
      <c r="P936" s="2" t="s">
        <v>2719</v>
      </c>
    </row>
    <row r="937" spans="1:16" x14ac:dyDescent="0.25">
      <c r="A937" s="2" t="s">
        <v>2720</v>
      </c>
      <c r="B937" s="2" t="s">
        <v>136</v>
      </c>
      <c r="C937" s="8">
        <v>46263</v>
      </c>
      <c r="D937" s="6">
        <v>46235</v>
      </c>
      <c r="E937" s="2" t="s">
        <v>260</v>
      </c>
      <c r="F937" s="2" t="s">
        <v>2721</v>
      </c>
      <c r="G937" s="6">
        <v>46235</v>
      </c>
      <c r="H937" s="2" t="s">
        <v>71</v>
      </c>
      <c r="I937" s="2" t="s">
        <v>70</v>
      </c>
      <c r="J937" s="9">
        <v>13064.738461999999</v>
      </c>
      <c r="K937" s="7">
        <v>0.65</v>
      </c>
      <c r="L937" s="9">
        <v>8492.08</v>
      </c>
      <c r="M937" s="9">
        <v>8492.08</v>
      </c>
      <c r="N937" s="9">
        <v>4.67</v>
      </c>
      <c r="O937" s="10">
        <f>IF(AND(OR(H937="APPROVED",H937="SCHEDULED"),COUNTIFS(tblSource[EventID],F937,tblSource[ReleaseStatus],"APPROVED")=1,COUNTIFS(Period_Status!$A$2:$A$8,G937,Period_Status!$B$2:$B$8,"ActualClosed")=1,C937&gt;EOMONTH(Settlement_Bridge!$C$2,0)),1,0)</f>
        <v>0</v>
      </c>
      <c r="P937" s="2" t="s">
        <v>2722</v>
      </c>
    </row>
    <row r="938" spans="1:16" x14ac:dyDescent="0.25">
      <c r="A938" s="2" t="s">
        <v>2723</v>
      </c>
      <c r="B938" s="2" t="s">
        <v>136</v>
      </c>
      <c r="C938" s="8">
        <v>46254</v>
      </c>
      <c r="D938" s="6">
        <v>46235</v>
      </c>
      <c r="E938" s="2" t="s">
        <v>260</v>
      </c>
      <c r="F938" s="2" t="s">
        <v>2724</v>
      </c>
      <c r="G938" s="6">
        <v>46235</v>
      </c>
      <c r="H938" s="2" t="s">
        <v>71</v>
      </c>
      <c r="I938" s="2" t="s">
        <v>39</v>
      </c>
      <c r="J938" s="9">
        <v>3466.0360000000001</v>
      </c>
      <c r="K938" s="7">
        <v>1</v>
      </c>
      <c r="L938" s="9">
        <v>3466.04</v>
      </c>
      <c r="M938" s="9">
        <v>3466.04</v>
      </c>
      <c r="N938" s="9">
        <v>1.91</v>
      </c>
      <c r="O938" s="10">
        <f>IF(AND(OR(H938="APPROVED",H938="SCHEDULED"),COUNTIFS(tblSource[EventID],F938,tblSource[ReleaseStatus],"APPROVED")=1,COUNTIFS(Period_Status!$A$2:$A$8,G938,Period_Status!$B$2:$B$8,"ActualClosed")=1,C938&gt;EOMONTH(Settlement_Bridge!$C$2,0)),1,0)</f>
        <v>0</v>
      </c>
      <c r="P938" s="2" t="s">
        <v>2725</v>
      </c>
    </row>
    <row r="939" spans="1:16" x14ac:dyDescent="0.25">
      <c r="A939" s="2" t="s">
        <v>2726</v>
      </c>
      <c r="B939" s="2" t="s">
        <v>136</v>
      </c>
      <c r="C939" s="8">
        <v>46279</v>
      </c>
      <c r="D939" s="6">
        <v>46266</v>
      </c>
      <c r="E939" s="2" t="s">
        <v>260</v>
      </c>
      <c r="F939" s="2" t="s">
        <v>2724</v>
      </c>
      <c r="G939" s="6">
        <v>46235</v>
      </c>
      <c r="H939" s="2" t="s">
        <v>176</v>
      </c>
      <c r="I939" s="2" t="s">
        <v>39</v>
      </c>
      <c r="J939" s="9">
        <v>5199.0540000000001</v>
      </c>
      <c r="K939" s="7">
        <v>1</v>
      </c>
      <c r="L939" s="9">
        <v>5199.05</v>
      </c>
      <c r="M939" s="9">
        <v>5199.05</v>
      </c>
      <c r="N939" s="9">
        <v>2.86</v>
      </c>
      <c r="O939" s="10">
        <f>IF(AND(OR(H939="APPROVED",H939="SCHEDULED"),COUNTIFS(tblSource[EventID],F939,tblSource[ReleaseStatus],"APPROVED")=1,COUNTIFS(Period_Status!$A$2:$A$8,G939,Period_Status!$B$2:$B$8,"ActualClosed")=1,C939&gt;EOMONTH(Settlement_Bridge!$C$2,0)),1,0)</f>
        <v>0</v>
      </c>
      <c r="P939" s="2" t="s">
        <v>2727</v>
      </c>
    </row>
    <row r="940" spans="1:16" x14ac:dyDescent="0.25">
      <c r="A940" s="2" t="s">
        <v>2728</v>
      </c>
      <c r="B940" s="2" t="s">
        <v>136</v>
      </c>
      <c r="C940" s="8">
        <v>46265</v>
      </c>
      <c r="D940" s="6">
        <v>46235</v>
      </c>
      <c r="E940" s="2" t="s">
        <v>260</v>
      </c>
      <c r="F940" s="2" t="s">
        <v>2729</v>
      </c>
      <c r="G940" s="6">
        <v>46235</v>
      </c>
      <c r="H940" s="2" t="s">
        <v>71</v>
      </c>
      <c r="I940" s="2" t="s">
        <v>76</v>
      </c>
      <c r="J940" s="9">
        <v>143708943.08943099</v>
      </c>
      <c r="K940" s="7">
        <v>6.1500000000000004E-5</v>
      </c>
      <c r="L940" s="9">
        <v>8838.1</v>
      </c>
      <c r="M940" s="9">
        <v>8838.1</v>
      </c>
      <c r="N940" s="9">
        <v>4.8600000000000003</v>
      </c>
      <c r="O940" s="10">
        <f>IF(AND(OR(H940="APPROVED",H940="SCHEDULED"),COUNTIFS(tblSource[EventID],F940,tblSource[ReleaseStatus],"APPROVED")=1,COUNTIFS(Period_Status!$A$2:$A$8,G940,Period_Status!$B$2:$B$8,"ActualClosed")=1,C940&gt;EOMONTH(Settlement_Bridge!$C$2,0)),1,0)</f>
        <v>0</v>
      </c>
      <c r="P940" s="2" t="s">
        <v>2730</v>
      </c>
    </row>
    <row r="941" spans="1:16" x14ac:dyDescent="0.25">
      <c r="A941" s="2" t="s">
        <v>2731</v>
      </c>
      <c r="B941" s="2" t="s">
        <v>136</v>
      </c>
      <c r="C941" s="8">
        <v>46266</v>
      </c>
      <c r="D941" s="6">
        <v>46266</v>
      </c>
      <c r="E941" s="2" t="s">
        <v>260</v>
      </c>
      <c r="F941" s="2" t="s">
        <v>2732</v>
      </c>
      <c r="G941" s="6">
        <v>46235</v>
      </c>
      <c r="H941" s="2" t="s">
        <v>176</v>
      </c>
      <c r="I941" s="2" t="s">
        <v>70</v>
      </c>
      <c r="J941" s="9">
        <v>13863.246154</v>
      </c>
      <c r="K941" s="7">
        <v>0.65100000000000002</v>
      </c>
      <c r="L941" s="9">
        <v>9024.9699999999993</v>
      </c>
      <c r="M941" s="9">
        <v>9011.11</v>
      </c>
      <c r="N941" s="9">
        <v>4.96</v>
      </c>
      <c r="O941" s="10">
        <f>IF(AND(OR(H941="APPROVED",H941="SCHEDULED"),COUNTIFS(tblSource[EventID],F941,tblSource[ReleaseStatus],"APPROVED")=1,COUNTIFS(Period_Status!$A$2:$A$8,G941,Period_Status!$B$2:$B$8,"ActualClosed")=1,C941&gt;EOMONTH(Settlement_Bridge!$C$2,0)),1,0)</f>
        <v>0</v>
      </c>
      <c r="P941" s="2" t="s">
        <v>2733</v>
      </c>
    </row>
    <row r="942" spans="1:16" x14ac:dyDescent="0.25">
      <c r="A942" s="2" t="s">
        <v>2734</v>
      </c>
      <c r="B942" s="2" t="s">
        <v>136</v>
      </c>
      <c r="C942" s="8">
        <v>46267</v>
      </c>
      <c r="D942" s="6">
        <v>46266</v>
      </c>
      <c r="E942" s="2" t="s">
        <v>260</v>
      </c>
      <c r="F942" s="2" t="s">
        <v>2735</v>
      </c>
      <c r="G942" s="6">
        <v>46235</v>
      </c>
      <c r="H942" s="2" t="s">
        <v>176</v>
      </c>
      <c r="I942" s="2" t="s">
        <v>39</v>
      </c>
      <c r="J942" s="9">
        <v>9184.1200000000008</v>
      </c>
      <c r="K942" s="7">
        <v>1</v>
      </c>
      <c r="L942" s="9">
        <v>9184.1200000000008</v>
      </c>
      <c r="M942" s="9">
        <v>9184.1200000000008</v>
      </c>
      <c r="N942" s="9">
        <v>5.05</v>
      </c>
      <c r="O942" s="10">
        <f>IF(AND(OR(H942="APPROVED",H942="SCHEDULED"),COUNTIFS(tblSource[EventID],F942,tblSource[ReleaseStatus],"APPROVED")=1,COUNTIFS(Period_Status!$A$2:$A$8,G942,Period_Status!$B$2:$B$8,"ActualClosed")=1,C942&gt;EOMONTH(Settlement_Bridge!$C$2,0)),1,0)</f>
        <v>0</v>
      </c>
      <c r="P942" s="2" t="s">
        <v>2736</v>
      </c>
    </row>
    <row r="943" spans="1:16" x14ac:dyDescent="0.25">
      <c r="A943" s="2" t="s">
        <v>2737</v>
      </c>
      <c r="B943" s="2" t="s">
        <v>136</v>
      </c>
      <c r="C943" s="8">
        <v>46268</v>
      </c>
      <c r="D943" s="6">
        <v>46266</v>
      </c>
      <c r="E943" s="2" t="s">
        <v>260</v>
      </c>
      <c r="F943" s="2" t="s">
        <v>2738</v>
      </c>
      <c r="G943" s="6">
        <v>46235</v>
      </c>
      <c r="H943" s="2" t="s">
        <v>176</v>
      </c>
      <c r="I943" s="2" t="s">
        <v>76</v>
      </c>
      <c r="J943" s="9">
        <v>152148455.28455299</v>
      </c>
      <c r="K943" s="7">
        <v>6.1299999999999999E-5</v>
      </c>
      <c r="L943" s="9">
        <v>9326.7000000000007</v>
      </c>
      <c r="M943" s="9">
        <v>9357.1299999999992</v>
      </c>
      <c r="N943" s="9">
        <v>5.13</v>
      </c>
      <c r="O943" s="10">
        <f>IF(AND(OR(H943="APPROVED",H943="SCHEDULED"),COUNTIFS(tblSource[EventID],F943,tblSource[ReleaseStatus],"APPROVED")=1,COUNTIFS(Period_Status!$A$2:$A$8,G943,Period_Status!$B$2:$B$8,"ActualClosed")=1,C943&gt;EOMONTH(Settlement_Bridge!$C$2,0)),1,0)</f>
        <v>0</v>
      </c>
      <c r="P943" s="2" t="s">
        <v>2739</v>
      </c>
    </row>
    <row r="944" spans="1:16" x14ac:dyDescent="0.25">
      <c r="A944" s="2" t="s">
        <v>2740</v>
      </c>
      <c r="B944" s="2" t="s">
        <v>136</v>
      </c>
      <c r="C944" s="8">
        <v>46269</v>
      </c>
      <c r="D944" s="6">
        <v>46266</v>
      </c>
      <c r="E944" s="2" t="s">
        <v>260</v>
      </c>
      <c r="F944" s="2" t="s">
        <v>2741</v>
      </c>
      <c r="G944" s="6">
        <v>46235</v>
      </c>
      <c r="H944" s="2" t="s">
        <v>176</v>
      </c>
      <c r="I944" s="2" t="s">
        <v>70</v>
      </c>
      <c r="J944" s="9">
        <v>14661.753846</v>
      </c>
      <c r="K944" s="7">
        <v>0.65100000000000002</v>
      </c>
      <c r="L944" s="9">
        <v>9544.7999999999993</v>
      </c>
      <c r="M944" s="9">
        <v>9530.14</v>
      </c>
      <c r="N944" s="9">
        <v>5.25</v>
      </c>
      <c r="O944" s="10">
        <f>IF(AND(OR(H944="APPROVED",H944="SCHEDULED"),COUNTIFS(tblSource[EventID],F944,tblSource[ReleaseStatus],"APPROVED")=1,COUNTIFS(Period_Status!$A$2:$A$8,G944,Period_Status!$B$2:$B$8,"ActualClosed")=1,C944&gt;EOMONTH(Settlement_Bridge!$C$2,0)),1,0)</f>
        <v>0</v>
      </c>
      <c r="P944" s="2" t="s">
        <v>2742</v>
      </c>
    </row>
    <row r="945" spans="1:16" x14ac:dyDescent="0.25">
      <c r="A945" s="2" t="s">
        <v>2743</v>
      </c>
      <c r="B945" s="2" t="s">
        <v>136</v>
      </c>
      <c r="C945" s="8">
        <v>46260</v>
      </c>
      <c r="D945" s="6">
        <v>46235</v>
      </c>
      <c r="E945" s="2" t="s">
        <v>260</v>
      </c>
      <c r="F945" s="2" t="s">
        <v>2744</v>
      </c>
      <c r="G945" s="6">
        <v>46235</v>
      </c>
      <c r="H945" s="2" t="s">
        <v>71</v>
      </c>
      <c r="I945" s="2" t="s">
        <v>39</v>
      </c>
      <c r="J945" s="9">
        <v>3881.26</v>
      </c>
      <c r="K945" s="7">
        <v>1</v>
      </c>
      <c r="L945" s="9">
        <v>3881.26</v>
      </c>
      <c r="M945" s="9">
        <v>3881.26</v>
      </c>
      <c r="N945" s="9">
        <v>2.13</v>
      </c>
      <c r="O945" s="10">
        <f>IF(AND(OR(H945="APPROVED",H945="SCHEDULED"),COUNTIFS(tblSource[EventID],F945,tblSource[ReleaseStatus],"APPROVED")=1,COUNTIFS(Period_Status!$A$2:$A$8,G945,Period_Status!$B$2:$B$8,"ActualClosed")=1,C945&gt;EOMONTH(Settlement_Bridge!$C$2,0)),1,0)</f>
        <v>0</v>
      </c>
      <c r="P945" s="2" t="s">
        <v>2745</v>
      </c>
    </row>
    <row r="946" spans="1:16" x14ac:dyDescent="0.25">
      <c r="A946" s="2" t="s">
        <v>2746</v>
      </c>
      <c r="B946" s="2" t="s">
        <v>136</v>
      </c>
      <c r="C946" s="8">
        <v>46285</v>
      </c>
      <c r="D946" s="6">
        <v>46266</v>
      </c>
      <c r="E946" s="2" t="s">
        <v>260</v>
      </c>
      <c r="F946" s="2" t="s">
        <v>2744</v>
      </c>
      <c r="G946" s="6">
        <v>46235</v>
      </c>
      <c r="H946" s="2" t="s">
        <v>176</v>
      </c>
      <c r="I946" s="2" t="s">
        <v>39</v>
      </c>
      <c r="J946" s="9">
        <v>5821.89</v>
      </c>
      <c r="K946" s="7">
        <v>1</v>
      </c>
      <c r="L946" s="9">
        <v>5821.89</v>
      </c>
      <c r="M946" s="9">
        <v>5821.89</v>
      </c>
      <c r="N946" s="9">
        <v>3.2</v>
      </c>
      <c r="O946" s="10">
        <f>IF(AND(OR(H946="APPROVED",H946="SCHEDULED"),COUNTIFS(tblSource[EventID],F946,tblSource[ReleaseStatus],"APPROVED")=1,COUNTIFS(Period_Status!$A$2:$A$8,G946,Period_Status!$B$2:$B$8,"ActualClosed")=1,C946&gt;EOMONTH(Settlement_Bridge!$C$2,0)),1,0)</f>
        <v>0</v>
      </c>
      <c r="P946" s="2" t="s">
        <v>2747</v>
      </c>
    </row>
    <row r="947" spans="1:16" x14ac:dyDescent="0.25">
      <c r="A947" s="2" t="s">
        <v>2748</v>
      </c>
      <c r="B947" s="2" t="s">
        <v>136</v>
      </c>
      <c r="C947" s="8">
        <v>46261</v>
      </c>
      <c r="D947" s="6">
        <v>46235</v>
      </c>
      <c r="E947" s="2" t="s">
        <v>260</v>
      </c>
      <c r="F947" s="2" t="s">
        <v>2749</v>
      </c>
      <c r="G947" s="6">
        <v>46235</v>
      </c>
      <c r="H947" s="2" t="s">
        <v>71</v>
      </c>
      <c r="I947" s="2" t="s">
        <v>76</v>
      </c>
      <c r="J947" s="9">
        <v>64235186.991870001</v>
      </c>
      <c r="K947" s="7">
        <v>6.1500000000000004E-5</v>
      </c>
      <c r="L947" s="9">
        <v>3950.46</v>
      </c>
      <c r="M947" s="9">
        <v>3950.46</v>
      </c>
      <c r="N947" s="9">
        <v>2.17</v>
      </c>
      <c r="O947" s="10">
        <f>IF(AND(OR(H947="APPROVED",H947="SCHEDULED"),COUNTIFS(tblSource[EventID],F947,tblSource[ReleaseStatus],"APPROVED")=1,COUNTIFS(Period_Status!$A$2:$A$8,G947,Period_Status!$B$2:$B$8,"ActualClosed")=1,C947&gt;EOMONTH(Settlement_Bridge!$C$2,0)),1,0)</f>
        <v>0</v>
      </c>
      <c r="P947" s="2" t="s">
        <v>2750</v>
      </c>
    </row>
    <row r="948" spans="1:16" x14ac:dyDescent="0.25">
      <c r="A948" s="2" t="s">
        <v>2751</v>
      </c>
      <c r="B948" s="2" t="s">
        <v>136</v>
      </c>
      <c r="C948" s="8">
        <v>46286</v>
      </c>
      <c r="D948" s="6">
        <v>46266</v>
      </c>
      <c r="E948" s="2" t="s">
        <v>260</v>
      </c>
      <c r="F948" s="2" t="s">
        <v>2749</v>
      </c>
      <c r="G948" s="6">
        <v>46235</v>
      </c>
      <c r="H948" s="2" t="s">
        <v>176</v>
      </c>
      <c r="I948" s="2" t="s">
        <v>76</v>
      </c>
      <c r="J948" s="9">
        <v>96352780.487804994</v>
      </c>
      <c r="K948" s="7">
        <v>6.1299999999999999E-5</v>
      </c>
      <c r="L948" s="9">
        <v>5906.43</v>
      </c>
      <c r="M948" s="9">
        <v>5925.7</v>
      </c>
      <c r="N948" s="9">
        <v>3.25</v>
      </c>
      <c r="O948" s="10">
        <f>IF(AND(OR(H948="APPROVED",H948="SCHEDULED"),COUNTIFS(tblSource[EventID],F948,tblSource[ReleaseStatus],"APPROVED")=1,COUNTIFS(Period_Status!$A$2:$A$8,G948,Period_Status!$B$2:$B$8,"ActualClosed")=1,C948&gt;EOMONTH(Settlement_Bridge!$C$2,0)),1,0)</f>
        <v>0</v>
      </c>
      <c r="P948" s="2" t="s">
        <v>2752</v>
      </c>
    </row>
    <row r="949" spans="1:16" x14ac:dyDescent="0.25">
      <c r="A949" s="2" t="s">
        <v>2753</v>
      </c>
      <c r="B949" s="2" t="s">
        <v>136</v>
      </c>
      <c r="C949" s="8">
        <v>46272</v>
      </c>
      <c r="D949" s="6">
        <v>46266</v>
      </c>
      <c r="E949" s="2" t="s">
        <v>260</v>
      </c>
      <c r="F949" s="2" t="s">
        <v>2754</v>
      </c>
      <c r="G949" s="6">
        <v>46235</v>
      </c>
      <c r="H949" s="2" t="s">
        <v>176</v>
      </c>
      <c r="I949" s="2" t="s">
        <v>70</v>
      </c>
      <c r="J949" s="9">
        <v>15460.261538000001</v>
      </c>
      <c r="K949" s="7">
        <v>0.65100000000000002</v>
      </c>
      <c r="L949" s="9">
        <v>10064.629999999999</v>
      </c>
      <c r="M949" s="9">
        <v>10049.17</v>
      </c>
      <c r="N949" s="9">
        <v>5.54</v>
      </c>
      <c r="O949" s="10">
        <f>IF(AND(OR(H949="APPROVED",H949="SCHEDULED"),COUNTIFS(tblSource[EventID],F949,tblSource[ReleaseStatus],"APPROVED")=1,COUNTIFS(Period_Status!$A$2:$A$8,G949,Period_Status!$B$2:$B$8,"ActualClosed")=1,C949&gt;EOMONTH(Settlement_Bridge!$C$2,0)),1,0)</f>
        <v>0</v>
      </c>
      <c r="P949" s="2" t="s">
        <v>2755</v>
      </c>
    </row>
    <row r="950" spans="1:16" x14ac:dyDescent="0.25">
      <c r="A950" s="2" t="s">
        <v>2756</v>
      </c>
      <c r="B950" s="2" t="s">
        <v>136</v>
      </c>
      <c r="C950" s="8">
        <v>46273</v>
      </c>
      <c r="D950" s="6">
        <v>46266</v>
      </c>
      <c r="E950" s="2" t="s">
        <v>260</v>
      </c>
      <c r="F950" s="2" t="s">
        <v>2757</v>
      </c>
      <c r="G950" s="6">
        <v>46235</v>
      </c>
      <c r="H950" s="2" t="s">
        <v>176</v>
      </c>
      <c r="I950" s="2" t="s">
        <v>39</v>
      </c>
      <c r="J950" s="9">
        <v>-10222.18</v>
      </c>
      <c r="K950" s="7">
        <v>1</v>
      </c>
      <c r="L950" s="9">
        <v>-10222.18</v>
      </c>
      <c r="M950" s="9">
        <v>-10222.18</v>
      </c>
      <c r="N950" s="9">
        <v>0</v>
      </c>
      <c r="O950" s="10">
        <f>IF(AND(OR(H950="APPROVED",H950="SCHEDULED"),COUNTIFS(tblSource[EventID],F950,tblSource[ReleaseStatus],"APPROVED")=1,COUNTIFS(Period_Status!$A$2:$A$8,G950,Period_Status!$B$2:$B$8,"ActualClosed")=1,C950&gt;EOMONTH(Settlement_Bridge!$C$2,0)),1,0)</f>
        <v>0</v>
      </c>
      <c r="P950" s="2" t="s">
        <v>2758</v>
      </c>
    </row>
    <row r="951" spans="1:16" x14ac:dyDescent="0.25">
      <c r="A951" s="2" t="s">
        <v>2759</v>
      </c>
      <c r="B951" s="2" t="s">
        <v>136</v>
      </c>
      <c r="C951" s="8">
        <v>46264</v>
      </c>
      <c r="D951" s="6">
        <v>46235</v>
      </c>
      <c r="E951" s="2" t="s">
        <v>260</v>
      </c>
      <c r="F951" s="2" t="s">
        <v>2760</v>
      </c>
      <c r="G951" s="6">
        <v>46235</v>
      </c>
      <c r="H951" s="2" t="s">
        <v>71</v>
      </c>
      <c r="I951" s="2" t="s">
        <v>76</v>
      </c>
      <c r="J951" s="9">
        <v>67610991.869919002</v>
      </c>
      <c r="K951" s="7">
        <v>6.1500000000000004E-5</v>
      </c>
      <c r="L951" s="9">
        <v>4158.08</v>
      </c>
      <c r="M951" s="9">
        <v>4158.08</v>
      </c>
      <c r="N951" s="9">
        <v>2.29</v>
      </c>
      <c r="O951" s="10">
        <f>IF(AND(OR(H951="APPROVED",H951="SCHEDULED"),COUNTIFS(tblSource[EventID],F951,tblSource[ReleaseStatus],"APPROVED")=1,COUNTIFS(Period_Status!$A$2:$A$8,G951,Period_Status!$B$2:$B$8,"ActualClosed")=1,C951&gt;EOMONTH(Settlement_Bridge!$C$2,0)),1,0)</f>
        <v>0</v>
      </c>
      <c r="P951" s="2" t="s">
        <v>2761</v>
      </c>
    </row>
    <row r="952" spans="1:16" x14ac:dyDescent="0.25">
      <c r="A952" s="2" t="s">
        <v>2762</v>
      </c>
      <c r="B952" s="2" t="s">
        <v>136</v>
      </c>
      <c r="C952" s="8">
        <v>46289</v>
      </c>
      <c r="D952" s="6">
        <v>46266</v>
      </c>
      <c r="E952" s="2" t="s">
        <v>260</v>
      </c>
      <c r="F952" s="2" t="s">
        <v>2760</v>
      </c>
      <c r="G952" s="6">
        <v>46235</v>
      </c>
      <c r="H952" s="2" t="s">
        <v>176</v>
      </c>
      <c r="I952" s="2" t="s">
        <v>76</v>
      </c>
      <c r="J952" s="9">
        <v>101416487.804878</v>
      </c>
      <c r="K952" s="7">
        <v>6.1299999999999999E-5</v>
      </c>
      <c r="L952" s="9">
        <v>6216.83</v>
      </c>
      <c r="M952" s="9">
        <v>6237.11</v>
      </c>
      <c r="N952" s="9">
        <v>3.42</v>
      </c>
      <c r="O952" s="10">
        <f>IF(AND(OR(H952="APPROVED",H952="SCHEDULED"),COUNTIFS(tblSource[EventID],F952,tblSource[ReleaseStatus],"APPROVED")=1,COUNTIFS(Period_Status!$A$2:$A$8,G952,Period_Status!$B$2:$B$8,"ActualClosed")=1,C952&gt;EOMONTH(Settlement_Bridge!$C$2,0)),1,0)</f>
        <v>0</v>
      </c>
      <c r="P952" s="2" t="s">
        <v>2763</v>
      </c>
    </row>
    <row r="953" spans="1:16" x14ac:dyDescent="0.25">
      <c r="A953" s="2" t="s">
        <v>2764</v>
      </c>
      <c r="B953" s="2" t="s">
        <v>136</v>
      </c>
      <c r="C953" s="8">
        <v>46275</v>
      </c>
      <c r="D953" s="6">
        <v>46266</v>
      </c>
      <c r="E953" s="2" t="s">
        <v>260</v>
      </c>
      <c r="F953" s="2" t="s">
        <v>2765</v>
      </c>
      <c r="G953" s="6">
        <v>46235</v>
      </c>
      <c r="H953" s="2" t="s">
        <v>176</v>
      </c>
      <c r="I953" s="2" t="s">
        <v>70</v>
      </c>
      <c r="J953" s="9">
        <v>16258.769231</v>
      </c>
      <c r="K953" s="7">
        <v>0.65100000000000002</v>
      </c>
      <c r="L953" s="9">
        <v>10584.46</v>
      </c>
      <c r="M953" s="9">
        <v>10568.2</v>
      </c>
      <c r="N953" s="9">
        <v>5.82</v>
      </c>
      <c r="O953" s="10">
        <f>IF(AND(OR(H953="APPROVED",H953="SCHEDULED"),COUNTIFS(tblSource[EventID],F953,tblSource[ReleaseStatus],"APPROVED")=1,COUNTIFS(Period_Status!$A$2:$A$8,G953,Period_Status!$B$2:$B$8,"ActualClosed")=1,C953&gt;EOMONTH(Settlement_Bridge!$C$2,0)),1,0)</f>
        <v>0</v>
      </c>
      <c r="P953" s="2" t="s">
        <v>2766</v>
      </c>
    </row>
    <row r="954" spans="1:16" x14ac:dyDescent="0.25">
      <c r="A954" s="2" t="s">
        <v>2767</v>
      </c>
      <c r="B954" s="2" t="s">
        <v>136</v>
      </c>
      <c r="C954" s="8">
        <v>46276</v>
      </c>
      <c r="D954" s="6">
        <v>46266</v>
      </c>
      <c r="E954" s="2" t="s">
        <v>260</v>
      </c>
      <c r="F954" s="2" t="s">
        <v>2768</v>
      </c>
      <c r="G954" s="6">
        <v>46235</v>
      </c>
      <c r="H954" s="2" t="s">
        <v>176</v>
      </c>
      <c r="I954" s="2" t="s">
        <v>39</v>
      </c>
      <c r="J954" s="9">
        <v>10741.21</v>
      </c>
      <c r="K954" s="7">
        <v>1</v>
      </c>
      <c r="L954" s="9">
        <v>10741.21</v>
      </c>
      <c r="M954" s="9">
        <v>10741.21</v>
      </c>
      <c r="N954" s="9">
        <v>5.91</v>
      </c>
      <c r="O954" s="10">
        <f>IF(AND(OR(H954="APPROVED",H954="SCHEDULED"),COUNTIFS(tblSource[EventID],F954,tblSource[ReleaseStatus],"APPROVED")=1,COUNTIFS(Period_Status!$A$2:$A$8,G954,Period_Status!$B$2:$B$8,"ActualClosed")=1,C954&gt;EOMONTH(Settlement_Bridge!$C$2,0)),1,0)</f>
        <v>0</v>
      </c>
      <c r="P954" s="2" t="s">
        <v>2769</v>
      </c>
    </row>
    <row r="955" spans="1:16" x14ac:dyDescent="0.25">
      <c r="A955" s="2" t="s">
        <v>2770</v>
      </c>
      <c r="B955" s="2" t="s">
        <v>136</v>
      </c>
      <c r="C955" s="8">
        <v>46277</v>
      </c>
      <c r="D955" s="6">
        <v>46266</v>
      </c>
      <c r="E955" s="2" t="s">
        <v>260</v>
      </c>
      <c r="F955" s="2" t="s">
        <v>2771</v>
      </c>
      <c r="G955" s="6">
        <v>46235</v>
      </c>
      <c r="H955" s="2" t="s">
        <v>176</v>
      </c>
      <c r="I955" s="2" t="s">
        <v>76</v>
      </c>
      <c r="J955" s="9">
        <v>177466991.869919</v>
      </c>
      <c r="K955" s="7">
        <v>6.1299999999999999E-5</v>
      </c>
      <c r="L955" s="9">
        <v>10878.73</v>
      </c>
      <c r="M955" s="9">
        <v>10914.22</v>
      </c>
      <c r="N955" s="9">
        <v>5.98</v>
      </c>
      <c r="O955" s="10">
        <f>IF(AND(OR(H955="APPROVED",H955="SCHEDULED"),COUNTIFS(tblSource[EventID],F955,tblSource[ReleaseStatus],"APPROVED")=1,COUNTIFS(Period_Status!$A$2:$A$8,G955,Period_Status!$B$2:$B$8,"ActualClosed")=1,C955&gt;EOMONTH(Settlement_Bridge!$C$2,0)),1,0)</f>
        <v>0</v>
      </c>
      <c r="P955" s="2" t="s">
        <v>2772</v>
      </c>
    </row>
    <row r="956" spans="1:16" x14ac:dyDescent="0.25">
      <c r="A956" s="2" t="s">
        <v>2773</v>
      </c>
      <c r="B956" s="2" t="s">
        <v>136</v>
      </c>
      <c r="C956" s="8">
        <v>46278</v>
      </c>
      <c r="D956" s="6">
        <v>46266</v>
      </c>
      <c r="E956" s="2" t="s">
        <v>260</v>
      </c>
      <c r="F956" s="2" t="s">
        <v>2774</v>
      </c>
      <c r="G956" s="6">
        <v>46235</v>
      </c>
      <c r="H956" s="2" t="s">
        <v>176</v>
      </c>
      <c r="I956" s="2" t="s">
        <v>70</v>
      </c>
      <c r="J956" s="9">
        <v>17057.276923000001</v>
      </c>
      <c r="K956" s="7">
        <v>0.65100000000000002</v>
      </c>
      <c r="L956" s="9">
        <v>11104.29</v>
      </c>
      <c r="M956" s="9">
        <v>11087.23</v>
      </c>
      <c r="N956" s="9">
        <v>6.11</v>
      </c>
      <c r="O956" s="10">
        <f>IF(AND(OR(H956="APPROVED",H956="SCHEDULED"),COUNTIFS(tblSource[EventID],F956,tblSource[ReleaseStatus],"APPROVED")=1,COUNTIFS(Period_Status!$A$2:$A$8,G956,Period_Status!$B$2:$B$8,"ActualClosed")=1,C956&gt;EOMONTH(Settlement_Bridge!$C$2,0)),1,0)</f>
        <v>0</v>
      </c>
      <c r="P956" s="2" t="s">
        <v>2775</v>
      </c>
    </row>
    <row r="957" spans="1:16" x14ac:dyDescent="0.25">
      <c r="A957" s="2" t="s">
        <v>2776</v>
      </c>
      <c r="B957" s="2" t="s">
        <v>136</v>
      </c>
      <c r="C957" s="8">
        <v>46279</v>
      </c>
      <c r="D957" s="6">
        <v>46266</v>
      </c>
      <c r="E957" s="2" t="s">
        <v>260</v>
      </c>
      <c r="F957" s="2" t="s">
        <v>2777</v>
      </c>
      <c r="G957" s="6">
        <v>46235</v>
      </c>
      <c r="H957" s="2" t="s">
        <v>176</v>
      </c>
      <c r="I957" s="2" t="s">
        <v>39</v>
      </c>
      <c r="J957" s="9">
        <v>11260.24</v>
      </c>
      <c r="K957" s="7">
        <v>1</v>
      </c>
      <c r="L957" s="9">
        <v>11260.24</v>
      </c>
      <c r="M957" s="9">
        <v>11260.24</v>
      </c>
      <c r="N957" s="9">
        <v>6.19</v>
      </c>
      <c r="O957" s="10">
        <f>IF(AND(OR(H957="APPROVED",H957="SCHEDULED"),COUNTIFS(tblSource[EventID],F957,tblSource[ReleaseStatus],"APPROVED")=1,COUNTIFS(Period_Status!$A$2:$A$8,G957,Period_Status!$B$2:$B$8,"ActualClosed")=1,C957&gt;EOMONTH(Settlement_Bridge!$C$2,0)),1,0)</f>
        <v>0</v>
      </c>
      <c r="P957" s="2" t="s">
        <v>2778</v>
      </c>
    </row>
    <row r="958" spans="1:16" x14ac:dyDescent="0.25">
      <c r="A958" s="2" t="s">
        <v>2779</v>
      </c>
      <c r="B958" s="2" t="s">
        <v>136</v>
      </c>
      <c r="C958" s="8">
        <v>46270</v>
      </c>
      <c r="D958" s="6">
        <v>46266</v>
      </c>
      <c r="E958" s="2" t="s">
        <v>260</v>
      </c>
      <c r="F958" s="2" t="s">
        <v>2780</v>
      </c>
      <c r="G958" s="6">
        <v>46235</v>
      </c>
      <c r="H958" s="2" t="s">
        <v>176</v>
      </c>
      <c r="I958" s="2" t="s">
        <v>76</v>
      </c>
      <c r="J958" s="9">
        <v>74362601.626016006</v>
      </c>
      <c r="K958" s="7">
        <v>6.1299999999999999E-5</v>
      </c>
      <c r="L958" s="9">
        <v>4558.43</v>
      </c>
      <c r="M958" s="9">
        <v>4573.3</v>
      </c>
      <c r="N958" s="9">
        <v>2.5099999999999998</v>
      </c>
      <c r="O958" s="10">
        <f>IF(AND(OR(H958="APPROVED",H958="SCHEDULED"),COUNTIFS(tblSource[EventID],F958,tblSource[ReleaseStatus],"APPROVED")=1,COUNTIFS(Period_Status!$A$2:$A$8,G958,Period_Status!$B$2:$B$8,"ActualClosed")=1,C958&gt;EOMONTH(Settlement_Bridge!$C$2,0)),1,0)</f>
        <v>0</v>
      </c>
      <c r="P958" s="2" t="s">
        <v>2781</v>
      </c>
    </row>
    <row r="959" spans="1:16" x14ac:dyDescent="0.25">
      <c r="A959" s="2" t="s">
        <v>2782</v>
      </c>
      <c r="B959" s="2" t="s">
        <v>136</v>
      </c>
      <c r="C959" s="8">
        <v>46295</v>
      </c>
      <c r="D959" s="6">
        <v>46266</v>
      </c>
      <c r="E959" s="2" t="s">
        <v>260</v>
      </c>
      <c r="F959" s="2" t="s">
        <v>2780</v>
      </c>
      <c r="G959" s="6">
        <v>46235</v>
      </c>
      <c r="H959" s="2" t="s">
        <v>176</v>
      </c>
      <c r="I959" s="2" t="s">
        <v>76</v>
      </c>
      <c r="J959" s="9">
        <v>111543902.439025</v>
      </c>
      <c r="K959" s="7">
        <v>6.1299999999999999E-5</v>
      </c>
      <c r="L959" s="9">
        <v>6837.64</v>
      </c>
      <c r="M959" s="9">
        <v>6859.95</v>
      </c>
      <c r="N959" s="9">
        <v>3.76</v>
      </c>
      <c r="O959" s="10">
        <f>IF(AND(OR(H959="APPROVED",H959="SCHEDULED"),COUNTIFS(tblSource[EventID],F959,tblSource[ReleaseStatus],"APPROVED")=1,COUNTIFS(Period_Status!$A$2:$A$8,G959,Period_Status!$B$2:$B$8,"ActualClosed")=1,C959&gt;EOMONTH(Settlement_Bridge!$C$2,0)),1,0)</f>
        <v>0</v>
      </c>
      <c r="P959" s="2" t="s">
        <v>2783</v>
      </c>
    </row>
    <row r="960" spans="1:16" x14ac:dyDescent="0.25">
      <c r="A960" s="2" t="s">
        <v>2784</v>
      </c>
      <c r="B960" s="2" t="s">
        <v>136</v>
      </c>
      <c r="C960" s="8">
        <v>46271</v>
      </c>
      <c r="D960" s="6">
        <v>46266</v>
      </c>
      <c r="E960" s="2" t="s">
        <v>260</v>
      </c>
      <c r="F960" s="2" t="s">
        <v>2785</v>
      </c>
      <c r="G960" s="6">
        <v>46235</v>
      </c>
      <c r="H960" s="2" t="s">
        <v>176</v>
      </c>
      <c r="I960" s="2" t="s">
        <v>70</v>
      </c>
      <c r="J960" s="9">
        <v>7142.313846</v>
      </c>
      <c r="K960" s="7">
        <v>0.65100000000000002</v>
      </c>
      <c r="L960" s="9">
        <v>4649.6499999999996</v>
      </c>
      <c r="M960" s="9">
        <v>4642.5</v>
      </c>
      <c r="N960" s="9">
        <v>2.56</v>
      </c>
      <c r="O960" s="10">
        <f>IF(AND(OR(H960="APPROVED",H960="SCHEDULED"),COUNTIFS(tblSource[EventID],F960,tblSource[ReleaseStatus],"APPROVED")=1,COUNTIFS(Period_Status!$A$2:$A$8,G960,Period_Status!$B$2:$B$8,"ActualClosed")=1,C960&gt;EOMONTH(Settlement_Bridge!$C$2,0)),1,0)</f>
        <v>0</v>
      </c>
      <c r="P960" s="2" t="s">
        <v>2786</v>
      </c>
    </row>
    <row r="961" spans="1:16" x14ac:dyDescent="0.25">
      <c r="A961" s="2" t="s">
        <v>2787</v>
      </c>
      <c r="B961" s="2" t="s">
        <v>136</v>
      </c>
      <c r="C961" s="8">
        <v>46296</v>
      </c>
      <c r="D961" s="6">
        <v>46296</v>
      </c>
      <c r="E961" s="2" t="s">
        <v>260</v>
      </c>
      <c r="F961" s="2" t="s">
        <v>2785</v>
      </c>
      <c r="G961" s="6">
        <v>46235</v>
      </c>
      <c r="H961" s="2" t="s">
        <v>176</v>
      </c>
      <c r="I961" s="2" t="s">
        <v>70</v>
      </c>
      <c r="J961" s="9">
        <v>10713.470769</v>
      </c>
      <c r="K961" s="7">
        <v>0.65500000000000003</v>
      </c>
      <c r="L961" s="9">
        <v>7017.32</v>
      </c>
      <c r="M961" s="9">
        <v>6963.76</v>
      </c>
      <c r="N961" s="9">
        <v>3.86</v>
      </c>
      <c r="O961" s="10">
        <f>IF(AND(OR(H961="APPROVED",H961="SCHEDULED"),COUNTIFS(tblSource[EventID],F961,tblSource[ReleaseStatus],"APPROVED")=1,COUNTIFS(Period_Status!$A$2:$A$8,G961,Period_Status!$B$2:$B$8,"ActualClosed")=1,C961&gt;EOMONTH(Settlement_Bridge!$C$2,0)),1,0)</f>
        <v>0</v>
      </c>
      <c r="P961" s="2" t="s">
        <v>2788</v>
      </c>
    </row>
    <row r="962" spans="1:16" x14ac:dyDescent="0.25">
      <c r="A962" s="2" t="s">
        <v>2789</v>
      </c>
      <c r="B962" s="2" t="s">
        <v>136</v>
      </c>
      <c r="C962" s="8">
        <v>46282</v>
      </c>
      <c r="D962" s="6">
        <v>46266</v>
      </c>
      <c r="E962" s="2" t="s">
        <v>260</v>
      </c>
      <c r="F962" s="2" t="s">
        <v>2790</v>
      </c>
      <c r="G962" s="6">
        <v>46235</v>
      </c>
      <c r="H962" s="2" t="s">
        <v>176</v>
      </c>
      <c r="I962" s="2" t="s">
        <v>39</v>
      </c>
      <c r="J962" s="9">
        <v>11779.27</v>
      </c>
      <c r="K962" s="7">
        <v>1</v>
      </c>
      <c r="L962" s="9">
        <v>11779.27</v>
      </c>
      <c r="M962" s="9">
        <v>11779.27</v>
      </c>
      <c r="N962" s="9">
        <v>6.48</v>
      </c>
      <c r="O962" s="10">
        <f>IF(AND(OR(H962="APPROVED",H962="SCHEDULED"),COUNTIFS(tblSource[EventID],F962,tblSource[ReleaseStatus],"APPROVED")=1,COUNTIFS(Period_Status!$A$2:$A$8,G962,Period_Status!$B$2:$B$8,"ActualClosed")=1,C962&gt;EOMONTH(Settlement_Bridge!$C$2,0)),1,0)</f>
        <v>0</v>
      </c>
      <c r="P962" s="2" t="s">
        <v>2791</v>
      </c>
    </row>
    <row r="963" spans="1:16" x14ac:dyDescent="0.25">
      <c r="A963" s="2" t="s">
        <v>2792</v>
      </c>
      <c r="B963" s="2" t="s">
        <v>136</v>
      </c>
      <c r="C963" s="8">
        <v>46283</v>
      </c>
      <c r="D963" s="6">
        <v>46266</v>
      </c>
      <c r="E963" s="2" t="s">
        <v>260</v>
      </c>
      <c r="F963" s="2" t="s">
        <v>2793</v>
      </c>
      <c r="G963" s="6">
        <v>46235</v>
      </c>
      <c r="H963" s="2" t="s">
        <v>176</v>
      </c>
      <c r="I963" s="2" t="s">
        <v>76</v>
      </c>
      <c r="J963" s="9">
        <v>194346016.26016301</v>
      </c>
      <c r="K963" s="7">
        <v>6.1299999999999999E-5</v>
      </c>
      <c r="L963" s="9">
        <v>11913.41</v>
      </c>
      <c r="M963" s="9">
        <v>11952.28</v>
      </c>
      <c r="N963" s="9">
        <v>6.55</v>
      </c>
      <c r="O963" s="10">
        <f>IF(AND(OR(H963="APPROVED",H963="SCHEDULED"),COUNTIFS(tblSource[EventID],F963,tblSource[ReleaseStatus],"APPROVED")=1,COUNTIFS(Period_Status!$A$2:$A$8,G963,Period_Status!$B$2:$B$8,"ActualClosed")=1,C963&gt;EOMONTH(Settlement_Bridge!$C$2,0)),1,0)</f>
        <v>0</v>
      </c>
      <c r="P963" s="2" t="s">
        <v>2794</v>
      </c>
    </row>
    <row r="964" spans="1:16" x14ac:dyDescent="0.25">
      <c r="A964" s="2" t="s">
        <v>2795</v>
      </c>
      <c r="B964" s="2" t="s">
        <v>136</v>
      </c>
      <c r="C964" s="8">
        <v>46274</v>
      </c>
      <c r="D964" s="6">
        <v>46266</v>
      </c>
      <c r="E964" s="2" t="s">
        <v>260</v>
      </c>
      <c r="F964" s="2" t="s">
        <v>2796</v>
      </c>
      <c r="G964" s="6">
        <v>46235</v>
      </c>
      <c r="H964" s="2" t="s">
        <v>176</v>
      </c>
      <c r="I964" s="2" t="s">
        <v>70</v>
      </c>
      <c r="J964" s="9">
        <v>7461.716923</v>
      </c>
      <c r="K964" s="7">
        <v>0.65100000000000002</v>
      </c>
      <c r="L964" s="9">
        <v>4857.58</v>
      </c>
      <c r="M964" s="9">
        <v>4850.12</v>
      </c>
      <c r="N964" s="9">
        <v>2.67</v>
      </c>
      <c r="O964" s="10">
        <f>IF(AND(OR(H964="APPROVED",H964="SCHEDULED"),COUNTIFS(tblSource[EventID],F964,tblSource[ReleaseStatus],"APPROVED")=1,COUNTIFS(Period_Status!$A$2:$A$8,G964,Period_Status!$B$2:$B$8,"ActualClosed")=1,C964&gt;EOMONTH(Settlement_Bridge!$C$2,0)),1,0)</f>
        <v>0</v>
      </c>
      <c r="P964" s="2" t="s">
        <v>2797</v>
      </c>
    </row>
    <row r="965" spans="1:16" x14ac:dyDescent="0.25">
      <c r="A965" s="2" t="s">
        <v>2798</v>
      </c>
      <c r="B965" s="2" t="s">
        <v>136</v>
      </c>
      <c r="C965" s="8">
        <v>46299</v>
      </c>
      <c r="D965" s="6">
        <v>46296</v>
      </c>
      <c r="E965" s="2" t="s">
        <v>260</v>
      </c>
      <c r="F965" s="2" t="s">
        <v>2796</v>
      </c>
      <c r="G965" s="6">
        <v>46235</v>
      </c>
      <c r="H965" s="2" t="s">
        <v>176</v>
      </c>
      <c r="I965" s="2" t="s">
        <v>70</v>
      </c>
      <c r="J965" s="9">
        <v>11192.575385</v>
      </c>
      <c r="K965" s="7">
        <v>0.65500000000000003</v>
      </c>
      <c r="L965" s="9">
        <v>7331.14</v>
      </c>
      <c r="M965" s="9">
        <v>7275.17</v>
      </c>
      <c r="N965" s="9">
        <v>4.03</v>
      </c>
      <c r="O965" s="10">
        <f>IF(AND(OR(H965="APPROVED",H965="SCHEDULED"),COUNTIFS(tblSource[EventID],F965,tblSource[ReleaseStatus],"APPROVED")=1,COUNTIFS(Period_Status!$A$2:$A$8,G965,Period_Status!$B$2:$B$8,"ActualClosed")=1,C965&gt;EOMONTH(Settlement_Bridge!$C$2,0)),1,0)</f>
        <v>0</v>
      </c>
      <c r="P965" s="2" t="s">
        <v>2799</v>
      </c>
    </row>
    <row r="966" spans="1:16" x14ac:dyDescent="0.25">
      <c r="A966" s="2" t="s">
        <v>2800</v>
      </c>
      <c r="B966" s="2" t="s">
        <v>136</v>
      </c>
      <c r="C966" s="8">
        <v>46285</v>
      </c>
      <c r="D966" s="6">
        <v>46266</v>
      </c>
      <c r="E966" s="2" t="s">
        <v>260</v>
      </c>
      <c r="F966" s="2" t="s">
        <v>2801</v>
      </c>
      <c r="G966" s="6">
        <v>46235</v>
      </c>
      <c r="H966" s="2" t="s">
        <v>176</v>
      </c>
      <c r="I966" s="2" t="s">
        <v>39</v>
      </c>
      <c r="J966" s="9">
        <v>12298.3</v>
      </c>
      <c r="K966" s="7">
        <v>1</v>
      </c>
      <c r="L966" s="9">
        <v>12298.3</v>
      </c>
      <c r="M966" s="9">
        <v>12298.3</v>
      </c>
      <c r="N966" s="9">
        <v>6.76</v>
      </c>
      <c r="O966" s="10">
        <f>IF(AND(OR(H966="APPROVED",H966="SCHEDULED"),COUNTIFS(tblSource[EventID],F966,tblSource[ReleaseStatus],"APPROVED")=1,COUNTIFS(Period_Status!$A$2:$A$8,G966,Period_Status!$B$2:$B$8,"ActualClosed")=1,C966&gt;EOMONTH(Settlement_Bridge!$C$2,0)),1,0)</f>
        <v>0</v>
      </c>
      <c r="P966" s="2" t="s">
        <v>2802</v>
      </c>
    </row>
    <row r="967" spans="1:16" x14ac:dyDescent="0.25">
      <c r="A967" s="2" t="s">
        <v>2803</v>
      </c>
      <c r="B967" s="2" t="s">
        <v>136</v>
      </c>
      <c r="C967" s="8">
        <v>46286</v>
      </c>
      <c r="D967" s="6">
        <v>46266</v>
      </c>
      <c r="E967" s="2" t="s">
        <v>260</v>
      </c>
      <c r="F967" s="2" t="s">
        <v>2804</v>
      </c>
      <c r="G967" s="6">
        <v>46235</v>
      </c>
      <c r="H967" s="2" t="s">
        <v>176</v>
      </c>
      <c r="I967" s="2" t="s">
        <v>76</v>
      </c>
      <c r="J967" s="9">
        <v>202785528.45528501</v>
      </c>
      <c r="K967" s="7">
        <v>6.1299999999999999E-5</v>
      </c>
      <c r="L967" s="9">
        <v>12430.75</v>
      </c>
      <c r="M967" s="9">
        <v>12471.31</v>
      </c>
      <c r="N967" s="9">
        <v>6.84</v>
      </c>
      <c r="O967" s="10">
        <f>IF(AND(OR(H967="APPROVED",H967="SCHEDULED"),COUNTIFS(tblSource[EventID],F967,tblSource[ReleaseStatus],"APPROVED")=1,COUNTIFS(Period_Status!$A$2:$A$8,G967,Period_Status!$B$2:$B$8,"ActualClosed")=1,C967&gt;EOMONTH(Settlement_Bridge!$C$2,0)),1,0)</f>
        <v>0</v>
      </c>
      <c r="P967" s="2" t="s">
        <v>2805</v>
      </c>
    </row>
    <row r="968" spans="1:16" x14ac:dyDescent="0.25">
      <c r="A968" s="2" t="s">
        <v>2806</v>
      </c>
      <c r="B968" s="2" t="s">
        <v>136</v>
      </c>
      <c r="C968" s="8">
        <v>46287</v>
      </c>
      <c r="D968" s="6">
        <v>46266</v>
      </c>
      <c r="E968" s="2" t="s">
        <v>260</v>
      </c>
      <c r="F968" s="2" t="s">
        <v>2807</v>
      </c>
      <c r="G968" s="6">
        <v>46235</v>
      </c>
      <c r="H968" s="2" t="s">
        <v>176</v>
      </c>
      <c r="I968" s="2" t="s">
        <v>70</v>
      </c>
      <c r="J968" s="9">
        <v>19452.8</v>
      </c>
      <c r="K968" s="7">
        <v>0.65100000000000002</v>
      </c>
      <c r="L968" s="9">
        <v>12663.77</v>
      </c>
      <c r="M968" s="9">
        <v>12644.32</v>
      </c>
      <c r="N968" s="9">
        <v>6.97</v>
      </c>
      <c r="O968" s="10">
        <f>IF(AND(OR(H968="APPROVED",H968="SCHEDULED"),COUNTIFS(tblSource[EventID],F968,tblSource[ReleaseStatus],"APPROVED")=1,COUNTIFS(Period_Status!$A$2:$A$8,G968,Period_Status!$B$2:$B$8,"ActualClosed")=1,C968&gt;EOMONTH(Settlement_Bridge!$C$2,0)),1,0)</f>
        <v>0</v>
      </c>
      <c r="P968" s="2" t="s">
        <v>2808</v>
      </c>
    </row>
    <row r="969" spans="1:16" x14ac:dyDescent="0.25">
      <c r="A969" s="2" t="s">
        <v>2809</v>
      </c>
      <c r="B969" s="2" t="s">
        <v>136</v>
      </c>
      <c r="C969" s="8">
        <v>46288</v>
      </c>
      <c r="D969" s="6">
        <v>46266</v>
      </c>
      <c r="E969" s="2" t="s">
        <v>260</v>
      </c>
      <c r="F969" s="2" t="s">
        <v>2810</v>
      </c>
      <c r="G969" s="6">
        <v>46235</v>
      </c>
      <c r="H969" s="2" t="s">
        <v>176</v>
      </c>
      <c r="I969" s="2" t="s">
        <v>39</v>
      </c>
      <c r="J969" s="9">
        <v>12817.33</v>
      </c>
      <c r="K969" s="7">
        <v>1</v>
      </c>
      <c r="L969" s="9">
        <v>12817.33</v>
      </c>
      <c r="M969" s="9">
        <v>12817.33</v>
      </c>
      <c r="N969" s="9">
        <v>7.05</v>
      </c>
      <c r="O969" s="10">
        <f>IF(AND(OR(H969="APPROVED",H969="SCHEDULED"),COUNTIFS(tblSource[EventID],F969,tblSource[ReleaseStatus],"APPROVED")=1,COUNTIFS(Period_Status!$A$2:$A$8,G969,Period_Status!$B$2:$B$8,"ActualClosed")=1,C969&gt;EOMONTH(Settlement_Bridge!$C$2,0)),1,0)</f>
        <v>0</v>
      </c>
      <c r="P969" s="2" t="s">
        <v>2811</v>
      </c>
    </row>
    <row r="970" spans="1:16" x14ac:dyDescent="0.25">
      <c r="A970" s="2" t="s">
        <v>2812</v>
      </c>
      <c r="B970" s="2" t="s">
        <v>136</v>
      </c>
      <c r="C970" s="8">
        <v>46289</v>
      </c>
      <c r="D970" s="6">
        <v>46266</v>
      </c>
      <c r="E970" s="2" t="s">
        <v>260</v>
      </c>
      <c r="F970" s="2" t="s">
        <v>2813</v>
      </c>
      <c r="G970" s="6">
        <v>46235</v>
      </c>
      <c r="H970" s="2" t="s">
        <v>176</v>
      </c>
      <c r="I970" s="2" t="s">
        <v>76</v>
      </c>
      <c r="J970" s="9">
        <v>211225040.650406</v>
      </c>
      <c r="K970" s="7">
        <v>6.1299999999999999E-5</v>
      </c>
      <c r="L970" s="9">
        <v>12948.09</v>
      </c>
      <c r="M970" s="9">
        <v>12990.34</v>
      </c>
      <c r="N970" s="9">
        <v>7.12</v>
      </c>
      <c r="O970" s="10">
        <f>IF(AND(OR(H970="APPROVED",H970="SCHEDULED"),COUNTIFS(tblSource[EventID],F970,tblSource[ReleaseStatus],"APPROVED")=1,COUNTIFS(Period_Status!$A$2:$A$8,G970,Period_Status!$B$2:$B$8,"ActualClosed")=1,C970&gt;EOMONTH(Settlement_Bridge!$C$2,0)),1,0)</f>
        <v>0</v>
      </c>
      <c r="P970" s="2" t="s">
        <v>2814</v>
      </c>
    </row>
    <row r="971" spans="1:16" x14ac:dyDescent="0.25">
      <c r="A971" s="2" t="s">
        <v>2815</v>
      </c>
      <c r="B971" s="2" t="s">
        <v>136</v>
      </c>
      <c r="C971" s="8">
        <v>46249</v>
      </c>
      <c r="D971" s="6">
        <v>46235</v>
      </c>
      <c r="E971" s="2" t="s">
        <v>260</v>
      </c>
      <c r="F971" s="2" t="s">
        <v>2816</v>
      </c>
      <c r="G971" s="6">
        <v>46235</v>
      </c>
      <c r="H971" s="2" t="s">
        <v>71</v>
      </c>
      <c r="I971" s="2" t="s">
        <v>70</v>
      </c>
      <c r="J971" s="9">
        <v>8100.5230769999998</v>
      </c>
      <c r="K971" s="7">
        <v>0.65</v>
      </c>
      <c r="L971" s="9">
        <v>5265.34</v>
      </c>
      <c r="M971" s="9">
        <v>5265.34</v>
      </c>
      <c r="N971" s="9">
        <v>2.9</v>
      </c>
      <c r="O971" s="10">
        <f>IF(AND(OR(H971="APPROVED",H971="SCHEDULED"),COUNTIFS(tblSource[EventID],F971,tblSource[ReleaseStatus],"APPROVED")=1,COUNTIFS(Period_Status!$A$2:$A$8,G971,Period_Status!$B$2:$B$8,"ActualClosed")=1,C971&gt;EOMONTH(Settlement_Bridge!$C$2,0)),1,0)</f>
        <v>0</v>
      </c>
      <c r="P971" s="2" t="s">
        <v>2817</v>
      </c>
    </row>
    <row r="972" spans="1:16" x14ac:dyDescent="0.25">
      <c r="A972" s="2" t="s">
        <v>2818</v>
      </c>
      <c r="B972" s="2" t="s">
        <v>136</v>
      </c>
      <c r="C972" s="8">
        <v>46274</v>
      </c>
      <c r="D972" s="6">
        <v>46266</v>
      </c>
      <c r="E972" s="2" t="s">
        <v>260</v>
      </c>
      <c r="F972" s="2" t="s">
        <v>2816</v>
      </c>
      <c r="G972" s="6">
        <v>46235</v>
      </c>
      <c r="H972" s="2" t="s">
        <v>176</v>
      </c>
      <c r="I972" s="2" t="s">
        <v>70</v>
      </c>
      <c r="J972" s="9">
        <v>12150.784615</v>
      </c>
      <c r="K972" s="7">
        <v>0.65100000000000002</v>
      </c>
      <c r="L972" s="9">
        <v>7910.16</v>
      </c>
      <c r="M972" s="9">
        <v>7898.01</v>
      </c>
      <c r="N972" s="9">
        <v>4.3499999999999996</v>
      </c>
      <c r="O972" s="10">
        <f>IF(AND(OR(H972="APPROVED",H972="SCHEDULED"),COUNTIFS(tblSource[EventID],F972,tblSource[ReleaseStatus],"APPROVED")=1,COUNTIFS(Period_Status!$A$2:$A$8,G972,Period_Status!$B$2:$B$8,"ActualClosed")=1,C972&gt;EOMONTH(Settlement_Bridge!$C$2,0)),1,0)</f>
        <v>0</v>
      </c>
      <c r="P972" s="2" t="s">
        <v>2819</v>
      </c>
    </row>
    <row r="973" spans="1:16" x14ac:dyDescent="0.25">
      <c r="A973" s="2" t="s">
        <v>2820</v>
      </c>
      <c r="B973" s="2" t="s">
        <v>136</v>
      </c>
      <c r="C973" s="8">
        <v>46250</v>
      </c>
      <c r="D973" s="6">
        <v>46235</v>
      </c>
      <c r="E973" s="2" t="s">
        <v>260</v>
      </c>
      <c r="F973" s="2" t="s">
        <v>2821</v>
      </c>
      <c r="G973" s="6">
        <v>46235</v>
      </c>
      <c r="H973" s="2" t="s">
        <v>71</v>
      </c>
      <c r="I973" s="2" t="s">
        <v>39</v>
      </c>
      <c r="J973" s="9">
        <v>5334.5439999999999</v>
      </c>
      <c r="K973" s="7">
        <v>1</v>
      </c>
      <c r="L973" s="9">
        <v>5334.54</v>
      </c>
      <c r="M973" s="9">
        <v>5334.54</v>
      </c>
      <c r="N973" s="9">
        <v>2.93</v>
      </c>
      <c r="O973" s="10">
        <f>IF(AND(OR(H973="APPROVED",H973="SCHEDULED"),COUNTIFS(tblSource[EventID],F973,tblSource[ReleaseStatus],"APPROVED")=1,COUNTIFS(Period_Status!$A$2:$A$8,G973,Period_Status!$B$2:$B$8,"ActualClosed")=1,C973&gt;EOMONTH(Settlement_Bridge!$C$2,0)),1,0)</f>
        <v>0</v>
      </c>
      <c r="P973" s="2" t="s">
        <v>2822</v>
      </c>
    </row>
    <row r="974" spans="1:16" x14ac:dyDescent="0.25">
      <c r="A974" s="2" t="s">
        <v>2823</v>
      </c>
      <c r="B974" s="2" t="s">
        <v>136</v>
      </c>
      <c r="C974" s="8">
        <v>46275</v>
      </c>
      <c r="D974" s="6">
        <v>46266</v>
      </c>
      <c r="E974" s="2" t="s">
        <v>260</v>
      </c>
      <c r="F974" s="2" t="s">
        <v>2821</v>
      </c>
      <c r="G974" s="6">
        <v>46235</v>
      </c>
      <c r="H974" s="2" t="s">
        <v>176</v>
      </c>
      <c r="I974" s="2" t="s">
        <v>39</v>
      </c>
      <c r="J974" s="9">
        <v>8001.8159999999998</v>
      </c>
      <c r="K974" s="7">
        <v>1</v>
      </c>
      <c r="L974" s="9">
        <v>8001.82</v>
      </c>
      <c r="M974" s="9">
        <v>8001.82</v>
      </c>
      <c r="N974" s="9">
        <v>4.4000000000000004</v>
      </c>
      <c r="O974" s="10">
        <f>IF(AND(OR(H974="APPROVED",H974="SCHEDULED"),COUNTIFS(tblSource[EventID],F974,tblSource[ReleaseStatus],"APPROVED")=1,COUNTIFS(Period_Status!$A$2:$A$8,G974,Period_Status!$B$2:$B$8,"ActualClosed")=1,C974&gt;EOMONTH(Settlement_Bridge!$C$2,0)),1,0)</f>
        <v>0</v>
      </c>
      <c r="P974" s="2" t="s">
        <v>2824</v>
      </c>
    </row>
    <row r="975" spans="1:16" x14ac:dyDescent="0.25">
      <c r="A975" s="2" t="s">
        <v>2825</v>
      </c>
      <c r="B975" s="2" t="s">
        <v>136</v>
      </c>
      <c r="C975" s="8">
        <v>46261</v>
      </c>
      <c r="D975" s="6">
        <v>46235</v>
      </c>
      <c r="E975" s="2" t="s">
        <v>260</v>
      </c>
      <c r="F975" s="2" t="s">
        <v>2826</v>
      </c>
      <c r="G975" s="6">
        <v>46235</v>
      </c>
      <c r="H975" s="2" t="s">
        <v>71</v>
      </c>
      <c r="I975" s="2" t="s">
        <v>76</v>
      </c>
      <c r="J975" s="9">
        <v>219664552.84552801</v>
      </c>
      <c r="K975" s="7">
        <v>6.1500000000000004E-5</v>
      </c>
      <c r="L975" s="9">
        <v>13509.37</v>
      </c>
      <c r="M975" s="9">
        <v>13509.37</v>
      </c>
      <c r="N975" s="9">
        <v>7.43</v>
      </c>
      <c r="O975" s="10">
        <f>IF(AND(OR(H975="APPROVED",H975="SCHEDULED"),COUNTIFS(tblSource[EventID],F975,tblSource[ReleaseStatus],"APPROVED")=1,COUNTIFS(Period_Status!$A$2:$A$8,G975,Period_Status!$B$2:$B$8,"ActualClosed")=1,C975&gt;EOMONTH(Settlement_Bridge!$C$2,0)),1,0)</f>
        <v>0</v>
      </c>
      <c r="P975" s="2" t="s">
        <v>2827</v>
      </c>
    </row>
    <row r="976" spans="1:16" x14ac:dyDescent="0.25">
      <c r="A976" s="2" t="s">
        <v>2828</v>
      </c>
      <c r="B976" s="2" t="s">
        <v>136</v>
      </c>
      <c r="C976" s="8">
        <v>46262</v>
      </c>
      <c r="D976" s="6">
        <v>46235</v>
      </c>
      <c r="E976" s="2" t="s">
        <v>260</v>
      </c>
      <c r="F976" s="2" t="s">
        <v>2829</v>
      </c>
      <c r="G976" s="6">
        <v>46235</v>
      </c>
      <c r="H976" s="2" t="s">
        <v>71</v>
      </c>
      <c r="I976" s="2" t="s">
        <v>70</v>
      </c>
      <c r="J976" s="9">
        <v>21049.815385000002</v>
      </c>
      <c r="K976" s="7">
        <v>0.65</v>
      </c>
      <c r="L976" s="9">
        <v>13682.38</v>
      </c>
      <c r="M976" s="9">
        <v>13682.38</v>
      </c>
      <c r="N976" s="9">
        <v>7.53</v>
      </c>
      <c r="O976" s="10">
        <f>IF(AND(OR(H976="APPROVED",H976="SCHEDULED"),COUNTIFS(tblSource[EventID],F976,tblSource[ReleaseStatus],"APPROVED")=1,COUNTIFS(Period_Status!$A$2:$A$8,G976,Period_Status!$B$2:$B$8,"ActualClosed")=1,C976&gt;EOMONTH(Settlement_Bridge!$C$2,0)),1,0)</f>
        <v>0</v>
      </c>
      <c r="P976" s="2" t="s">
        <v>2830</v>
      </c>
    </row>
    <row r="977" spans="1:16" x14ac:dyDescent="0.25">
      <c r="A977" s="2" t="s">
        <v>2831</v>
      </c>
      <c r="B977" s="2" t="s">
        <v>136</v>
      </c>
      <c r="C977" s="8">
        <v>46253</v>
      </c>
      <c r="D977" s="6">
        <v>46235</v>
      </c>
      <c r="E977" s="2" t="s">
        <v>260</v>
      </c>
      <c r="F977" s="2" t="s">
        <v>2832</v>
      </c>
      <c r="G977" s="6">
        <v>46235</v>
      </c>
      <c r="H977" s="2" t="s">
        <v>71</v>
      </c>
      <c r="I977" s="2" t="s">
        <v>39</v>
      </c>
      <c r="J977" s="9">
        <v>5542.1559999999999</v>
      </c>
      <c r="K977" s="7">
        <v>1</v>
      </c>
      <c r="L977" s="9">
        <v>5542.16</v>
      </c>
      <c r="M977" s="9">
        <v>5542.16</v>
      </c>
      <c r="N977" s="9">
        <v>3.05</v>
      </c>
      <c r="O977" s="10">
        <f>IF(AND(OR(H977="APPROVED",H977="SCHEDULED"),COUNTIFS(tblSource[EventID],F977,tblSource[ReleaseStatus],"APPROVED")=1,COUNTIFS(Period_Status!$A$2:$A$8,G977,Period_Status!$B$2:$B$8,"ActualClosed")=1,C977&gt;EOMONTH(Settlement_Bridge!$C$2,0)),1,0)</f>
        <v>0</v>
      </c>
      <c r="P977" s="2" t="s">
        <v>2833</v>
      </c>
    </row>
    <row r="978" spans="1:16" x14ac:dyDescent="0.25">
      <c r="A978" s="2" t="s">
        <v>2834</v>
      </c>
      <c r="B978" s="2" t="s">
        <v>136</v>
      </c>
      <c r="C978" s="8">
        <v>46278</v>
      </c>
      <c r="D978" s="6">
        <v>46266</v>
      </c>
      <c r="E978" s="2" t="s">
        <v>260</v>
      </c>
      <c r="F978" s="2" t="s">
        <v>2832</v>
      </c>
      <c r="G978" s="6">
        <v>46235</v>
      </c>
      <c r="H978" s="2" t="s">
        <v>176</v>
      </c>
      <c r="I978" s="2" t="s">
        <v>39</v>
      </c>
      <c r="J978" s="9">
        <v>8313.2340000000004</v>
      </c>
      <c r="K978" s="7">
        <v>1</v>
      </c>
      <c r="L978" s="9">
        <v>8313.23</v>
      </c>
      <c r="M978" s="9">
        <v>8313.23</v>
      </c>
      <c r="N978" s="9">
        <v>4.57</v>
      </c>
      <c r="O978" s="10">
        <f>IF(AND(OR(H978="APPROVED",H978="SCHEDULED"),COUNTIFS(tblSource[EventID],F978,tblSource[ReleaseStatus],"APPROVED")=1,COUNTIFS(Period_Status!$A$2:$A$8,G978,Period_Status!$B$2:$B$8,"ActualClosed")=1,C978&gt;EOMONTH(Settlement_Bridge!$C$2,0)),1,0)</f>
        <v>0</v>
      </c>
      <c r="P978" s="2" t="s">
        <v>2835</v>
      </c>
    </row>
    <row r="979" spans="1:16" x14ac:dyDescent="0.25">
      <c r="A979" s="2" t="s">
        <v>2836</v>
      </c>
      <c r="B979" s="2" t="s">
        <v>136</v>
      </c>
      <c r="C979" s="8">
        <v>46264</v>
      </c>
      <c r="D979" s="6">
        <v>46235</v>
      </c>
      <c r="E979" s="2" t="s">
        <v>260</v>
      </c>
      <c r="F979" s="2" t="s">
        <v>2837</v>
      </c>
      <c r="G979" s="6">
        <v>46235</v>
      </c>
      <c r="H979" s="2" t="s">
        <v>71</v>
      </c>
      <c r="I979" s="2" t="s">
        <v>76</v>
      </c>
      <c r="J979" s="9">
        <v>228104065.04065001</v>
      </c>
      <c r="K979" s="7">
        <v>6.1500000000000004E-5</v>
      </c>
      <c r="L979" s="9">
        <v>14028.4</v>
      </c>
      <c r="M979" s="9">
        <v>14028.4</v>
      </c>
      <c r="N979" s="9">
        <v>7.72</v>
      </c>
      <c r="O979" s="10">
        <f>IF(AND(OR(H979="APPROVED",H979="SCHEDULED"),COUNTIFS(tblSource[EventID],F979,tblSource[ReleaseStatus],"APPROVED")=1,COUNTIFS(Period_Status!$A$2:$A$8,G979,Period_Status!$B$2:$B$8,"ActualClosed")=1,C979&gt;EOMONTH(Settlement_Bridge!$C$2,0)),1,0)</f>
        <v>0</v>
      </c>
      <c r="P979" s="2" t="s">
        <v>2838</v>
      </c>
    </row>
    <row r="980" spans="1:16" x14ac:dyDescent="0.25">
      <c r="A980" s="2" t="s">
        <v>2839</v>
      </c>
      <c r="B980" s="2" t="s">
        <v>136</v>
      </c>
      <c r="C980" s="8">
        <v>46265</v>
      </c>
      <c r="D980" s="6">
        <v>46235</v>
      </c>
      <c r="E980" s="2" t="s">
        <v>260</v>
      </c>
      <c r="F980" s="2" t="s">
        <v>2840</v>
      </c>
      <c r="G980" s="6">
        <v>46235</v>
      </c>
      <c r="H980" s="2" t="s">
        <v>71</v>
      </c>
      <c r="I980" s="2" t="s">
        <v>70</v>
      </c>
      <c r="J980" s="9">
        <v>21848.323077000001</v>
      </c>
      <c r="K980" s="7">
        <v>0.65</v>
      </c>
      <c r="L980" s="9">
        <v>14201.41</v>
      </c>
      <c r="M980" s="9">
        <v>14201.41</v>
      </c>
      <c r="N980" s="9">
        <v>7.81</v>
      </c>
      <c r="O980" s="10">
        <f>IF(AND(OR(H980="APPROVED",H980="SCHEDULED"),COUNTIFS(tblSource[EventID],F980,tblSource[ReleaseStatus],"APPROVED")=1,COUNTIFS(Period_Status!$A$2:$A$8,G980,Period_Status!$B$2:$B$8,"ActualClosed")=1,C980&gt;EOMONTH(Settlement_Bridge!$C$2,0)),1,0)</f>
        <v>0</v>
      </c>
      <c r="P980" s="2" t="s">
        <v>2841</v>
      </c>
    </row>
    <row r="981" spans="1:16" x14ac:dyDescent="0.25">
      <c r="A981" s="2" t="s">
        <v>2842</v>
      </c>
      <c r="B981" s="2" t="s">
        <v>136</v>
      </c>
      <c r="C981" s="8">
        <v>46266</v>
      </c>
      <c r="D981" s="6">
        <v>46266</v>
      </c>
      <c r="E981" s="2" t="s">
        <v>260</v>
      </c>
      <c r="F981" s="2" t="s">
        <v>2843</v>
      </c>
      <c r="G981" s="6">
        <v>46235</v>
      </c>
      <c r="H981" s="2" t="s">
        <v>176</v>
      </c>
      <c r="I981" s="2" t="s">
        <v>39</v>
      </c>
      <c r="J981" s="9">
        <v>14374.42</v>
      </c>
      <c r="K981" s="7">
        <v>1</v>
      </c>
      <c r="L981" s="9">
        <v>14374.42</v>
      </c>
      <c r="M981" s="9">
        <v>14374.42</v>
      </c>
      <c r="N981" s="9">
        <v>7.91</v>
      </c>
      <c r="O981" s="10">
        <f>IF(AND(OR(H981="APPROVED",H981="SCHEDULED"),COUNTIFS(tblSource[EventID],F981,tblSource[ReleaseStatus],"APPROVED")=1,COUNTIFS(Period_Status!$A$2:$A$8,G981,Period_Status!$B$2:$B$8,"ActualClosed")=1,C981&gt;EOMONTH(Settlement_Bridge!$C$2,0)),1,0)</f>
        <v>0</v>
      </c>
      <c r="P981" s="2" t="s">
        <v>2844</v>
      </c>
    </row>
    <row r="982" spans="1:16" x14ac:dyDescent="0.25">
      <c r="A982" s="2" t="s">
        <v>2845</v>
      </c>
      <c r="B982" s="2" t="s">
        <v>136</v>
      </c>
      <c r="C982" s="8">
        <v>46267</v>
      </c>
      <c r="D982" s="6">
        <v>46266</v>
      </c>
      <c r="E982" s="2" t="s">
        <v>260</v>
      </c>
      <c r="F982" s="2" t="s">
        <v>2846</v>
      </c>
      <c r="G982" s="6">
        <v>46235</v>
      </c>
      <c r="H982" s="2" t="s">
        <v>176</v>
      </c>
      <c r="I982" s="2" t="s">
        <v>76</v>
      </c>
      <c r="J982" s="9">
        <v>236543577.23577201</v>
      </c>
      <c r="K982" s="7">
        <v>6.1299999999999999E-5</v>
      </c>
      <c r="L982" s="9">
        <v>14500.12</v>
      </c>
      <c r="M982" s="9">
        <v>14547.43</v>
      </c>
      <c r="N982" s="9">
        <v>7.98</v>
      </c>
      <c r="O982" s="10">
        <f>IF(AND(OR(H982="APPROVED",H982="SCHEDULED"),COUNTIFS(tblSource[EventID],F982,tblSource[ReleaseStatus],"APPROVED")=1,COUNTIFS(Period_Status!$A$2:$A$8,G982,Period_Status!$B$2:$B$8,"ActualClosed")=1,C982&gt;EOMONTH(Settlement_Bridge!$C$2,0)),1,0)</f>
        <v>0</v>
      </c>
      <c r="P982" s="2" t="s">
        <v>2847</v>
      </c>
    </row>
    <row r="983" spans="1:16" x14ac:dyDescent="0.25">
      <c r="A983" s="2" t="s">
        <v>2848</v>
      </c>
      <c r="B983" s="2" t="s">
        <v>136</v>
      </c>
      <c r="C983" s="8">
        <v>46268</v>
      </c>
      <c r="D983" s="6">
        <v>46266</v>
      </c>
      <c r="E983" s="2" t="s">
        <v>260</v>
      </c>
      <c r="F983" s="2" t="s">
        <v>2849</v>
      </c>
      <c r="G983" s="6">
        <v>46235</v>
      </c>
      <c r="H983" s="2" t="s">
        <v>176</v>
      </c>
      <c r="I983" s="2" t="s">
        <v>70</v>
      </c>
      <c r="J983" s="9">
        <v>22646.830769</v>
      </c>
      <c r="K983" s="7">
        <v>0.65100000000000002</v>
      </c>
      <c r="L983" s="9">
        <v>14743.09</v>
      </c>
      <c r="M983" s="9">
        <v>14720.44</v>
      </c>
      <c r="N983" s="9">
        <v>8.11</v>
      </c>
      <c r="O983" s="10">
        <f>IF(AND(OR(H983="APPROVED",H983="SCHEDULED"),COUNTIFS(tblSource[EventID],F983,tblSource[ReleaseStatus],"APPROVED")=1,COUNTIFS(Period_Status!$A$2:$A$8,G983,Period_Status!$B$2:$B$8,"ActualClosed")=1,C983&gt;EOMONTH(Settlement_Bridge!$C$2,0)),1,0)</f>
        <v>0</v>
      </c>
      <c r="P983" s="2" t="s">
        <v>2850</v>
      </c>
    </row>
    <row r="984" spans="1:16" x14ac:dyDescent="0.25">
      <c r="A984" s="2" t="s">
        <v>2851</v>
      </c>
      <c r="B984" s="2" t="s">
        <v>136</v>
      </c>
      <c r="C984" s="8">
        <v>46259</v>
      </c>
      <c r="D984" s="6">
        <v>46235</v>
      </c>
      <c r="E984" s="2" t="s">
        <v>260</v>
      </c>
      <c r="F984" s="2" t="s">
        <v>2852</v>
      </c>
      <c r="G984" s="6">
        <v>46235</v>
      </c>
      <c r="H984" s="2" t="s">
        <v>71</v>
      </c>
      <c r="I984" s="2" t="s">
        <v>39</v>
      </c>
      <c r="J984" s="9">
        <v>357.38</v>
      </c>
      <c r="K984" s="7">
        <v>1</v>
      </c>
      <c r="L984" s="9">
        <v>357.38</v>
      </c>
      <c r="M984" s="9">
        <v>357.38</v>
      </c>
      <c r="N984" s="9">
        <v>1.8</v>
      </c>
      <c r="O984" s="10">
        <f>IF(AND(OR(H984="APPROVED",H984="SCHEDULED"),COUNTIFS(tblSource[EventID],F984,tblSource[ReleaseStatus],"APPROVED")=1,COUNTIFS(Period_Status!$A$2:$A$8,G984,Period_Status!$B$2:$B$8,"ActualClosed")=1,C984&gt;EOMONTH(Settlement_Bridge!$C$2,0)),1,0)</f>
        <v>0</v>
      </c>
      <c r="P984" s="2" t="s">
        <v>2853</v>
      </c>
    </row>
    <row r="985" spans="1:16" x14ac:dyDescent="0.25">
      <c r="A985" s="2" t="s">
        <v>2854</v>
      </c>
      <c r="B985" s="2" t="s">
        <v>136</v>
      </c>
      <c r="C985" s="8">
        <v>46284</v>
      </c>
      <c r="D985" s="6">
        <v>46266</v>
      </c>
      <c r="E985" s="2" t="s">
        <v>260</v>
      </c>
      <c r="F985" s="2" t="s">
        <v>2852</v>
      </c>
      <c r="G985" s="6">
        <v>46235</v>
      </c>
      <c r="H985" s="2" t="s">
        <v>176</v>
      </c>
      <c r="I985" s="2" t="s">
        <v>39</v>
      </c>
      <c r="J985" s="9">
        <v>536.07000000000005</v>
      </c>
      <c r="K985" s="7">
        <v>1</v>
      </c>
      <c r="L985" s="9">
        <v>536.07000000000005</v>
      </c>
      <c r="M985" s="9">
        <v>536.07000000000005</v>
      </c>
      <c r="N985" s="9">
        <v>1.8</v>
      </c>
      <c r="O985" s="10">
        <f>IF(AND(OR(H985="APPROVED",H985="SCHEDULED"),COUNTIFS(tblSource[EventID],F985,tblSource[ReleaseStatus],"APPROVED")=1,COUNTIFS(Period_Status!$A$2:$A$8,G985,Period_Status!$B$2:$B$8,"ActualClosed")=1,C985&gt;EOMONTH(Settlement_Bridge!$C$2,0)),1,0)</f>
        <v>0</v>
      </c>
      <c r="P985" s="2" t="s">
        <v>2855</v>
      </c>
    </row>
    <row r="986" spans="1:16" x14ac:dyDescent="0.25">
      <c r="A986" s="2" t="s">
        <v>2856</v>
      </c>
      <c r="B986" s="2" t="s">
        <v>136</v>
      </c>
      <c r="C986" s="8">
        <v>46260</v>
      </c>
      <c r="D986" s="6">
        <v>46235</v>
      </c>
      <c r="E986" s="2" t="s">
        <v>260</v>
      </c>
      <c r="F986" s="2" t="s">
        <v>2857</v>
      </c>
      <c r="G986" s="6">
        <v>46235</v>
      </c>
      <c r="H986" s="2" t="s">
        <v>71</v>
      </c>
      <c r="I986" s="2" t="s">
        <v>76</v>
      </c>
      <c r="J986" s="9">
        <v>6936325.2032519998</v>
      </c>
      <c r="K986" s="7">
        <v>6.1500000000000004E-5</v>
      </c>
      <c r="L986" s="9">
        <v>426.58</v>
      </c>
      <c r="M986" s="9">
        <v>426.58</v>
      </c>
      <c r="N986" s="9">
        <v>1.8</v>
      </c>
      <c r="O986" s="10">
        <f>IF(AND(OR(H986="APPROVED",H986="SCHEDULED"),COUNTIFS(tblSource[EventID],F986,tblSource[ReleaseStatus],"APPROVED")=1,COUNTIFS(Period_Status!$A$2:$A$8,G986,Period_Status!$B$2:$B$8,"ActualClosed")=1,C986&gt;EOMONTH(Settlement_Bridge!$C$2,0)),1,0)</f>
        <v>0</v>
      </c>
      <c r="P986" s="2" t="s">
        <v>2858</v>
      </c>
    </row>
    <row r="987" spans="1:16" x14ac:dyDescent="0.25">
      <c r="A987" s="2" t="s">
        <v>2859</v>
      </c>
      <c r="B987" s="2" t="s">
        <v>136</v>
      </c>
      <c r="C987" s="8">
        <v>46285</v>
      </c>
      <c r="D987" s="6">
        <v>46266</v>
      </c>
      <c r="E987" s="2" t="s">
        <v>260</v>
      </c>
      <c r="F987" s="2" t="s">
        <v>2857</v>
      </c>
      <c r="G987" s="6">
        <v>46235</v>
      </c>
      <c r="H987" s="2" t="s">
        <v>176</v>
      </c>
      <c r="I987" s="2" t="s">
        <v>76</v>
      </c>
      <c r="J987" s="9">
        <v>10404487.804878</v>
      </c>
      <c r="K987" s="7">
        <v>6.1299999999999999E-5</v>
      </c>
      <c r="L987" s="9">
        <v>637.79999999999995</v>
      </c>
      <c r="M987" s="9">
        <v>639.88</v>
      </c>
      <c r="N987" s="9">
        <v>1.8</v>
      </c>
      <c r="O987" s="10">
        <f>IF(AND(OR(H987="APPROVED",H987="SCHEDULED"),COUNTIFS(tblSource[EventID],F987,tblSource[ReleaseStatus],"APPROVED")=1,COUNTIFS(Period_Status!$A$2:$A$8,G987,Period_Status!$B$2:$B$8,"ActualClosed")=1,C987&gt;EOMONTH(Settlement_Bridge!$C$2,0)),1,0)</f>
        <v>0</v>
      </c>
      <c r="P987" s="2" t="s">
        <v>2860</v>
      </c>
    </row>
    <row r="988" spans="1:16" x14ac:dyDescent="0.25">
      <c r="A988" s="2" t="s">
        <v>2861</v>
      </c>
      <c r="B988" s="2" t="s">
        <v>136</v>
      </c>
      <c r="C988" s="8">
        <v>46271</v>
      </c>
      <c r="D988" s="6">
        <v>46266</v>
      </c>
      <c r="E988" s="2" t="s">
        <v>260</v>
      </c>
      <c r="F988" s="2" t="s">
        <v>2862</v>
      </c>
      <c r="G988" s="6">
        <v>46235</v>
      </c>
      <c r="H988" s="2" t="s">
        <v>176</v>
      </c>
      <c r="I988" s="2" t="s">
        <v>70</v>
      </c>
      <c r="J988" s="9">
        <v>1906.876923</v>
      </c>
      <c r="K988" s="7">
        <v>0.65100000000000002</v>
      </c>
      <c r="L988" s="9">
        <v>1241.3800000000001</v>
      </c>
      <c r="M988" s="9">
        <v>1239.47</v>
      </c>
      <c r="N988" s="9">
        <v>1.8</v>
      </c>
      <c r="O988" s="10">
        <f>IF(AND(OR(H988="APPROVED",H988="SCHEDULED"),COUNTIFS(tblSource[EventID],F988,tblSource[ReleaseStatus],"APPROVED")=1,COUNTIFS(Period_Status!$A$2:$A$8,G988,Period_Status!$B$2:$B$8,"ActualClosed")=1,C988&gt;EOMONTH(Settlement_Bridge!$C$2,0)),1,0)</f>
        <v>0</v>
      </c>
      <c r="P988" s="2" t="s">
        <v>2863</v>
      </c>
    </row>
    <row r="989" spans="1:16" x14ac:dyDescent="0.25">
      <c r="A989" s="2" t="s">
        <v>2864</v>
      </c>
      <c r="B989" s="2" t="s">
        <v>136</v>
      </c>
      <c r="C989" s="8">
        <v>46272</v>
      </c>
      <c r="D989" s="6">
        <v>46266</v>
      </c>
      <c r="E989" s="2" t="s">
        <v>260</v>
      </c>
      <c r="F989" s="2" t="s">
        <v>2865</v>
      </c>
      <c r="G989" s="6">
        <v>46235</v>
      </c>
      <c r="H989" s="2" t="s">
        <v>176</v>
      </c>
      <c r="I989" s="2" t="s">
        <v>39</v>
      </c>
      <c r="J989" s="9">
        <v>1412.48</v>
      </c>
      <c r="K989" s="7">
        <v>1</v>
      </c>
      <c r="L989" s="9">
        <v>1412.48</v>
      </c>
      <c r="M989" s="9">
        <v>1412.48</v>
      </c>
      <c r="N989" s="9">
        <v>1.8</v>
      </c>
      <c r="O989" s="10">
        <f>IF(AND(OR(H989="APPROVED",H989="SCHEDULED"),COUNTIFS(tblSource[EventID],F989,tblSource[ReleaseStatus],"APPROVED")=1,COUNTIFS(Period_Status!$A$2:$A$8,G989,Period_Status!$B$2:$B$8,"ActualClosed")=1,C989&gt;EOMONTH(Settlement_Bridge!$C$2,0)),1,0)</f>
        <v>0</v>
      </c>
      <c r="P989" s="2" t="s">
        <v>2866</v>
      </c>
    </row>
    <row r="990" spans="1:16" x14ac:dyDescent="0.25">
      <c r="A990" s="2" t="s">
        <v>2867</v>
      </c>
      <c r="B990" s="2" t="s">
        <v>136</v>
      </c>
      <c r="C990" s="8">
        <v>46263</v>
      </c>
      <c r="D990" s="6">
        <v>46235</v>
      </c>
      <c r="E990" s="2" t="s">
        <v>260</v>
      </c>
      <c r="F990" s="2" t="s">
        <v>2868</v>
      </c>
      <c r="G990" s="6">
        <v>46235</v>
      </c>
      <c r="H990" s="2" t="s">
        <v>71</v>
      </c>
      <c r="I990" s="2" t="s">
        <v>76</v>
      </c>
      <c r="J990" s="9">
        <v>10312130.081301</v>
      </c>
      <c r="K990" s="7">
        <v>6.1500000000000004E-5</v>
      </c>
      <c r="L990" s="9">
        <v>634.20000000000005</v>
      </c>
      <c r="M990" s="9">
        <v>634.20000000000005</v>
      </c>
      <c r="N990" s="9">
        <v>1.8</v>
      </c>
      <c r="O990" s="10">
        <f>IF(AND(OR(H990="APPROVED",H990="SCHEDULED"),COUNTIFS(tblSource[EventID],F990,tblSource[ReleaseStatus],"APPROVED")=1,COUNTIFS(Period_Status!$A$2:$A$8,G990,Period_Status!$B$2:$B$8,"ActualClosed")=1,C990&gt;EOMONTH(Settlement_Bridge!$C$2,0)),1,0)</f>
        <v>0</v>
      </c>
      <c r="P990" s="2" t="s">
        <v>2869</v>
      </c>
    </row>
    <row r="991" spans="1:16" x14ac:dyDescent="0.25">
      <c r="A991" s="2" t="s">
        <v>2870</v>
      </c>
      <c r="B991" s="2" t="s">
        <v>136</v>
      </c>
      <c r="C991" s="8">
        <v>46288</v>
      </c>
      <c r="D991" s="6">
        <v>46266</v>
      </c>
      <c r="E991" s="2" t="s">
        <v>260</v>
      </c>
      <c r="F991" s="2" t="s">
        <v>2868</v>
      </c>
      <c r="G991" s="6">
        <v>46235</v>
      </c>
      <c r="H991" s="2" t="s">
        <v>176</v>
      </c>
      <c r="I991" s="2" t="s">
        <v>76</v>
      </c>
      <c r="J991" s="9">
        <v>15468195.121951001</v>
      </c>
      <c r="K991" s="7">
        <v>6.1299999999999999E-5</v>
      </c>
      <c r="L991" s="9">
        <v>948.2</v>
      </c>
      <c r="M991" s="9">
        <v>951.29</v>
      </c>
      <c r="N991" s="9">
        <v>1.8</v>
      </c>
      <c r="O991" s="10">
        <f>IF(AND(OR(H991="APPROVED",H991="SCHEDULED"),COUNTIFS(tblSource[EventID],F991,tblSource[ReleaseStatus],"APPROVED")=1,COUNTIFS(Period_Status!$A$2:$A$8,G991,Period_Status!$B$2:$B$8,"ActualClosed")=1,C991&gt;EOMONTH(Settlement_Bridge!$C$2,0)),1,0)</f>
        <v>0</v>
      </c>
      <c r="P991" s="2" t="s">
        <v>2871</v>
      </c>
    </row>
    <row r="992" spans="1:16" x14ac:dyDescent="0.25">
      <c r="A992" s="2" t="s">
        <v>2872</v>
      </c>
      <c r="B992" s="2" t="s">
        <v>136</v>
      </c>
      <c r="C992" s="8">
        <v>46274</v>
      </c>
      <c r="D992" s="6">
        <v>46266</v>
      </c>
      <c r="E992" s="2" t="s">
        <v>260</v>
      </c>
      <c r="F992" s="2" t="s">
        <v>2873</v>
      </c>
      <c r="G992" s="6">
        <v>46235</v>
      </c>
      <c r="H992" s="2" t="s">
        <v>176</v>
      </c>
      <c r="I992" s="2" t="s">
        <v>70</v>
      </c>
      <c r="J992" s="9">
        <v>2705.3846149999999</v>
      </c>
      <c r="K992" s="7">
        <v>0.65100000000000002</v>
      </c>
      <c r="L992" s="9">
        <v>1761.21</v>
      </c>
      <c r="M992" s="9">
        <v>1758.5</v>
      </c>
      <c r="N992" s="9">
        <v>1.8</v>
      </c>
      <c r="O992" s="10">
        <f>IF(AND(OR(H992="APPROVED",H992="SCHEDULED"),COUNTIFS(tblSource[EventID],F992,tblSource[ReleaseStatus],"APPROVED")=1,COUNTIFS(Period_Status!$A$2:$A$8,G992,Period_Status!$B$2:$B$8,"ActualClosed")=1,C992&gt;EOMONTH(Settlement_Bridge!$C$2,0)),1,0)</f>
        <v>0</v>
      </c>
      <c r="P992" s="2" t="s">
        <v>2874</v>
      </c>
    </row>
    <row r="993" spans="1:16" x14ac:dyDescent="0.25">
      <c r="A993" s="2" t="s">
        <v>2875</v>
      </c>
      <c r="B993" s="2" t="s">
        <v>136</v>
      </c>
      <c r="C993" s="8">
        <v>46275</v>
      </c>
      <c r="D993" s="6">
        <v>46266</v>
      </c>
      <c r="E993" s="2" t="s">
        <v>260</v>
      </c>
      <c r="F993" s="2" t="s">
        <v>2876</v>
      </c>
      <c r="G993" s="6">
        <v>46235</v>
      </c>
      <c r="H993" s="2" t="s">
        <v>176</v>
      </c>
      <c r="I993" s="2" t="s">
        <v>39</v>
      </c>
      <c r="J993" s="9">
        <v>1931.51</v>
      </c>
      <c r="K993" s="7">
        <v>1</v>
      </c>
      <c r="L993" s="9">
        <v>1931.51</v>
      </c>
      <c r="M993" s="9">
        <v>1931.51</v>
      </c>
      <c r="N993" s="9">
        <v>1.8</v>
      </c>
      <c r="O993" s="10">
        <f>IF(AND(OR(H993="APPROVED",H993="SCHEDULED"),COUNTIFS(tblSource[EventID],F993,tblSource[ReleaseStatus],"APPROVED")=1,COUNTIFS(Period_Status!$A$2:$A$8,G993,Period_Status!$B$2:$B$8,"ActualClosed")=1,C993&gt;EOMONTH(Settlement_Bridge!$C$2,0)),1,0)</f>
        <v>0</v>
      </c>
      <c r="P993" s="2" t="s">
        <v>2877</v>
      </c>
    </row>
    <row r="994" spans="1:16" x14ac:dyDescent="0.25">
      <c r="A994" s="2" t="s">
        <v>2878</v>
      </c>
      <c r="B994" s="2" t="s">
        <v>136</v>
      </c>
      <c r="C994" s="8">
        <v>46276</v>
      </c>
      <c r="D994" s="6">
        <v>46266</v>
      </c>
      <c r="E994" s="2" t="s">
        <v>260</v>
      </c>
      <c r="F994" s="2" t="s">
        <v>2879</v>
      </c>
      <c r="G994" s="6">
        <v>46235</v>
      </c>
      <c r="H994" s="2" t="s">
        <v>176</v>
      </c>
      <c r="I994" s="2" t="s">
        <v>76</v>
      </c>
      <c r="J994" s="9">
        <v>34219837.398373999</v>
      </c>
      <c r="K994" s="7">
        <v>6.1299999999999999E-5</v>
      </c>
      <c r="L994" s="9">
        <v>2097.6799999999998</v>
      </c>
      <c r="M994" s="9">
        <v>2104.52</v>
      </c>
      <c r="N994" s="9">
        <v>1.8</v>
      </c>
      <c r="O994" s="10">
        <f>IF(AND(OR(H994="APPROVED",H994="SCHEDULED"),COUNTIFS(tblSource[EventID],F994,tblSource[ReleaseStatus],"APPROVED")=1,COUNTIFS(Period_Status!$A$2:$A$8,G994,Period_Status!$B$2:$B$8,"ActualClosed")=1,C994&gt;EOMONTH(Settlement_Bridge!$C$2,0)),1,0)</f>
        <v>0</v>
      </c>
      <c r="P994" s="2" t="s">
        <v>2880</v>
      </c>
    </row>
    <row r="995" spans="1:16" x14ac:dyDescent="0.25">
      <c r="A995" s="2" t="s">
        <v>2881</v>
      </c>
      <c r="B995" s="2" t="s">
        <v>136</v>
      </c>
      <c r="C995" s="8">
        <v>46277</v>
      </c>
      <c r="D995" s="6">
        <v>46266</v>
      </c>
      <c r="E995" s="2" t="s">
        <v>260</v>
      </c>
      <c r="F995" s="2" t="s">
        <v>2882</v>
      </c>
      <c r="G995" s="6">
        <v>46235</v>
      </c>
      <c r="H995" s="2" t="s">
        <v>176</v>
      </c>
      <c r="I995" s="2" t="s">
        <v>70</v>
      </c>
      <c r="J995" s="9">
        <v>3503.892308</v>
      </c>
      <c r="K995" s="7">
        <v>0.65100000000000002</v>
      </c>
      <c r="L995" s="9">
        <v>2281.0300000000002</v>
      </c>
      <c r="M995" s="9">
        <v>2277.5300000000002</v>
      </c>
      <c r="N995" s="9">
        <v>1.8</v>
      </c>
      <c r="O995" s="10">
        <f>IF(AND(OR(H995="APPROVED",H995="SCHEDULED"),COUNTIFS(tblSource[EventID],F995,tblSource[ReleaseStatus],"APPROVED")=1,COUNTIFS(Period_Status!$A$2:$A$8,G995,Period_Status!$B$2:$B$8,"ActualClosed")=1,C995&gt;EOMONTH(Settlement_Bridge!$C$2,0)),1,0)</f>
        <v>0</v>
      </c>
      <c r="P995" s="2" t="s">
        <v>2883</v>
      </c>
    </row>
    <row r="996" spans="1:16" x14ac:dyDescent="0.25">
      <c r="A996" s="2" t="s">
        <v>2884</v>
      </c>
      <c r="B996" s="2" t="s">
        <v>136</v>
      </c>
      <c r="C996" s="8">
        <v>46278</v>
      </c>
      <c r="D996" s="6">
        <v>46266</v>
      </c>
      <c r="E996" s="2" t="s">
        <v>260</v>
      </c>
      <c r="F996" s="2" t="s">
        <v>2885</v>
      </c>
      <c r="G996" s="6">
        <v>46235</v>
      </c>
      <c r="H996" s="2" t="s">
        <v>176</v>
      </c>
      <c r="I996" s="2" t="s">
        <v>39</v>
      </c>
      <c r="J996" s="9">
        <v>2450.54</v>
      </c>
      <c r="K996" s="7">
        <v>1</v>
      </c>
      <c r="L996" s="9">
        <v>2450.54</v>
      </c>
      <c r="M996" s="9">
        <v>2450.54</v>
      </c>
      <c r="N996" s="9">
        <v>1.8</v>
      </c>
      <c r="O996" s="10">
        <f>IF(AND(OR(H996="APPROVED",H996="SCHEDULED"),COUNTIFS(tblSource[EventID],F996,tblSource[ReleaseStatus],"APPROVED")=1,COUNTIFS(Period_Status!$A$2:$A$8,G996,Period_Status!$B$2:$B$8,"ActualClosed")=1,C996&gt;EOMONTH(Settlement_Bridge!$C$2,0)),1,0)</f>
        <v>0</v>
      </c>
      <c r="P996" s="2" t="s">
        <v>2886</v>
      </c>
    </row>
    <row r="997" spans="1:16" x14ac:dyDescent="0.25">
      <c r="A997" s="2" t="s">
        <v>2887</v>
      </c>
      <c r="B997" s="2" t="s">
        <v>136</v>
      </c>
      <c r="C997" s="8">
        <v>46269</v>
      </c>
      <c r="D997" s="6">
        <v>46266</v>
      </c>
      <c r="E997" s="2" t="s">
        <v>260</v>
      </c>
      <c r="F997" s="2" t="s">
        <v>2888</v>
      </c>
      <c r="G997" s="6">
        <v>46235</v>
      </c>
      <c r="H997" s="2" t="s">
        <v>176</v>
      </c>
      <c r="I997" s="2" t="s">
        <v>76</v>
      </c>
      <c r="J997" s="9">
        <v>17063739.837398</v>
      </c>
      <c r="K997" s="7">
        <v>6.1299999999999999E-5</v>
      </c>
      <c r="L997" s="9">
        <v>1046.01</v>
      </c>
      <c r="M997" s="9">
        <v>1049.42</v>
      </c>
      <c r="N997" s="9">
        <v>1.8</v>
      </c>
      <c r="O997" s="10">
        <f>IF(AND(OR(H997="APPROVED",H997="SCHEDULED"),COUNTIFS(tblSource[EventID],F997,tblSource[ReleaseStatus],"APPROVED")=1,COUNTIFS(Period_Status!$A$2:$A$8,G997,Period_Status!$B$2:$B$8,"ActualClosed")=1,C997&gt;EOMONTH(Settlement_Bridge!$C$2,0)),1,0)</f>
        <v>0</v>
      </c>
      <c r="P997" s="2" t="s">
        <v>2889</v>
      </c>
    </row>
    <row r="998" spans="1:16" x14ac:dyDescent="0.25">
      <c r="A998" s="2" t="s">
        <v>2890</v>
      </c>
      <c r="B998" s="2" t="s">
        <v>136</v>
      </c>
      <c r="C998" s="8">
        <v>46294</v>
      </c>
      <c r="D998" s="6">
        <v>46266</v>
      </c>
      <c r="E998" s="2" t="s">
        <v>260</v>
      </c>
      <c r="F998" s="2" t="s">
        <v>2888</v>
      </c>
      <c r="G998" s="6">
        <v>46235</v>
      </c>
      <c r="H998" s="2" t="s">
        <v>176</v>
      </c>
      <c r="I998" s="2" t="s">
        <v>76</v>
      </c>
      <c r="J998" s="9">
        <v>25595609.756097998</v>
      </c>
      <c r="K998" s="7">
        <v>6.1299999999999999E-5</v>
      </c>
      <c r="L998" s="9">
        <v>1569.01</v>
      </c>
      <c r="M998" s="9">
        <v>1574.13</v>
      </c>
      <c r="N998" s="9">
        <v>1.8</v>
      </c>
      <c r="O998" s="10">
        <f>IF(AND(OR(H998="APPROVED",H998="SCHEDULED"),COUNTIFS(tblSource[EventID],F998,tblSource[ReleaseStatus],"APPROVED")=1,COUNTIFS(Period_Status!$A$2:$A$8,G998,Period_Status!$B$2:$B$8,"ActualClosed")=1,C998&gt;EOMONTH(Settlement_Bridge!$C$2,0)),1,0)</f>
        <v>0</v>
      </c>
      <c r="P998" s="2" t="s">
        <v>2891</v>
      </c>
    </row>
    <row r="999" spans="1:16" x14ac:dyDescent="0.25">
      <c r="A999" s="2" t="s">
        <v>2892</v>
      </c>
      <c r="B999" s="2" t="s">
        <v>136</v>
      </c>
      <c r="C999" s="8">
        <v>46270</v>
      </c>
      <c r="D999" s="6">
        <v>46266</v>
      </c>
      <c r="E999" s="2" t="s">
        <v>260</v>
      </c>
      <c r="F999" s="2" t="s">
        <v>2893</v>
      </c>
      <c r="G999" s="6">
        <v>46235</v>
      </c>
      <c r="H999" s="2" t="s">
        <v>176</v>
      </c>
      <c r="I999" s="2" t="s">
        <v>70</v>
      </c>
      <c r="J999" s="9">
        <v>1720.96</v>
      </c>
      <c r="K999" s="7">
        <v>0.65100000000000002</v>
      </c>
      <c r="L999" s="9">
        <v>1120.3399999999999</v>
      </c>
      <c r="M999" s="9">
        <v>1118.6199999999999</v>
      </c>
      <c r="N999" s="9">
        <v>1.8</v>
      </c>
      <c r="O999" s="10">
        <f>IF(AND(OR(H999="APPROVED",H999="SCHEDULED"),COUNTIFS(tblSource[EventID],F999,tblSource[ReleaseStatus],"APPROVED")=1,COUNTIFS(Period_Status!$A$2:$A$8,G999,Period_Status!$B$2:$B$8,"ActualClosed")=1,C999&gt;EOMONTH(Settlement_Bridge!$C$2,0)),1,0)</f>
        <v>0</v>
      </c>
      <c r="P999" s="2" t="s">
        <v>2894</v>
      </c>
    </row>
    <row r="1000" spans="1:16" x14ac:dyDescent="0.25">
      <c r="A1000" s="2" t="s">
        <v>2895</v>
      </c>
      <c r="B1000" s="2" t="s">
        <v>136</v>
      </c>
      <c r="C1000" s="8">
        <v>46295</v>
      </c>
      <c r="D1000" s="6">
        <v>46266</v>
      </c>
      <c r="E1000" s="2" t="s">
        <v>260</v>
      </c>
      <c r="F1000" s="2" t="s">
        <v>2893</v>
      </c>
      <c r="G1000" s="6">
        <v>46235</v>
      </c>
      <c r="H1000" s="2" t="s">
        <v>176</v>
      </c>
      <c r="I1000" s="2" t="s">
        <v>70</v>
      </c>
      <c r="J1000" s="9">
        <v>2581.44</v>
      </c>
      <c r="K1000" s="7">
        <v>0.65100000000000002</v>
      </c>
      <c r="L1000" s="9">
        <v>1680.52</v>
      </c>
      <c r="M1000" s="9">
        <v>1677.94</v>
      </c>
      <c r="N1000" s="9">
        <v>1.8</v>
      </c>
      <c r="O1000" s="10">
        <f>IF(AND(OR(H1000="APPROVED",H1000="SCHEDULED"),COUNTIFS(tblSource[EventID],F1000,tblSource[ReleaseStatus],"APPROVED")=1,COUNTIFS(Period_Status!$A$2:$A$8,G1000,Period_Status!$B$2:$B$8,"ActualClosed")=1,C1000&gt;EOMONTH(Settlement_Bridge!$C$2,0)),1,0)</f>
        <v>0</v>
      </c>
      <c r="P1000" s="2" t="s">
        <v>2896</v>
      </c>
    </row>
    <row r="1001" spans="1:16" x14ac:dyDescent="0.25">
      <c r="A1001" s="2" t="s">
        <v>2897</v>
      </c>
      <c r="B1001" s="2" t="s">
        <v>136</v>
      </c>
      <c r="C1001" s="8">
        <v>46281</v>
      </c>
      <c r="D1001" s="6">
        <v>46266</v>
      </c>
      <c r="E1001" s="2" t="s">
        <v>260</v>
      </c>
      <c r="F1001" s="2" t="s">
        <v>2898</v>
      </c>
      <c r="G1001" s="6">
        <v>46235</v>
      </c>
      <c r="H1001" s="2" t="s">
        <v>176</v>
      </c>
      <c r="I1001" s="2" t="s">
        <v>39</v>
      </c>
      <c r="J1001" s="9">
        <v>2969.57</v>
      </c>
      <c r="K1001" s="7">
        <v>1</v>
      </c>
      <c r="L1001" s="9">
        <v>2969.57</v>
      </c>
      <c r="M1001" s="9">
        <v>2969.57</v>
      </c>
      <c r="N1001" s="9">
        <v>1.8</v>
      </c>
      <c r="O1001" s="10">
        <f>IF(AND(OR(H1001="APPROVED",H1001="SCHEDULED"),COUNTIFS(tblSource[EventID],F1001,tblSource[ReleaseStatus],"APPROVED")=1,COUNTIFS(Period_Status!$A$2:$A$8,G1001,Period_Status!$B$2:$B$8,"ActualClosed")=1,C1001&gt;EOMONTH(Settlement_Bridge!$C$2,0)),1,0)</f>
        <v>0</v>
      </c>
      <c r="P1001" s="2" t="s">
        <v>2899</v>
      </c>
    </row>
    <row r="1002" spans="1:16" x14ac:dyDescent="0.25">
      <c r="A1002" s="2" t="s">
        <v>2900</v>
      </c>
      <c r="B1002" s="2" t="s">
        <v>136</v>
      </c>
      <c r="C1002" s="8">
        <v>46282</v>
      </c>
      <c r="D1002" s="6">
        <v>46266</v>
      </c>
      <c r="E1002" s="2" t="s">
        <v>260</v>
      </c>
      <c r="F1002" s="2" t="s">
        <v>2901</v>
      </c>
      <c r="G1002" s="6">
        <v>46235</v>
      </c>
      <c r="H1002" s="2" t="s">
        <v>176</v>
      </c>
      <c r="I1002" s="2" t="s">
        <v>76</v>
      </c>
      <c r="J1002" s="9">
        <v>51098861.788617998</v>
      </c>
      <c r="K1002" s="7">
        <v>6.1299999999999999E-5</v>
      </c>
      <c r="L1002" s="9">
        <v>3132.36</v>
      </c>
      <c r="M1002" s="9">
        <v>3142.58</v>
      </c>
      <c r="N1002" s="9">
        <v>1.8</v>
      </c>
      <c r="O1002" s="10">
        <f>IF(AND(OR(H1002="APPROVED",H1002="SCHEDULED"),COUNTIFS(tblSource[EventID],F1002,tblSource[ReleaseStatus],"APPROVED")=1,COUNTIFS(Period_Status!$A$2:$A$8,G1002,Period_Status!$B$2:$B$8,"ActualClosed")=1,C1002&gt;EOMONTH(Settlement_Bridge!$C$2,0)),1,0)</f>
        <v>0</v>
      </c>
      <c r="P1002" s="2" t="s">
        <v>2902</v>
      </c>
    </row>
    <row r="1003" spans="1:16" x14ac:dyDescent="0.25">
      <c r="A1003" s="2" t="s">
        <v>2903</v>
      </c>
      <c r="B1003" s="2" t="s">
        <v>136</v>
      </c>
      <c r="C1003" s="8">
        <v>46273</v>
      </c>
      <c r="D1003" s="6">
        <v>46266</v>
      </c>
      <c r="E1003" s="2" t="s">
        <v>260</v>
      </c>
      <c r="F1003" s="2" t="s">
        <v>2904</v>
      </c>
      <c r="G1003" s="6">
        <v>46235</v>
      </c>
      <c r="H1003" s="2" t="s">
        <v>176</v>
      </c>
      <c r="I1003" s="2" t="s">
        <v>70</v>
      </c>
      <c r="J1003" s="9">
        <v>-5100.9076919999998</v>
      </c>
      <c r="K1003" s="7">
        <v>0.65100000000000002</v>
      </c>
      <c r="L1003" s="9">
        <v>-3320.69</v>
      </c>
      <c r="M1003" s="9">
        <v>-3315.59</v>
      </c>
      <c r="N1003" s="9">
        <v>0</v>
      </c>
      <c r="O1003" s="10">
        <f>IF(AND(OR(H1003="APPROVED",H1003="SCHEDULED"),COUNTIFS(tblSource[EventID],F1003,tblSource[ReleaseStatus],"APPROVED")=1,COUNTIFS(Period_Status!$A$2:$A$8,G1003,Period_Status!$B$2:$B$8,"ActualClosed")=1,C1003&gt;EOMONTH(Settlement_Bridge!$C$2,0)),1,0)</f>
        <v>0</v>
      </c>
      <c r="P1003" s="2" t="s">
        <v>2905</v>
      </c>
    </row>
    <row r="1004" spans="1:16" x14ac:dyDescent="0.25">
      <c r="A1004" s="2" t="s">
        <v>2906</v>
      </c>
      <c r="B1004" s="2" t="s">
        <v>136</v>
      </c>
      <c r="C1004" s="8">
        <v>46284</v>
      </c>
      <c r="D1004" s="6">
        <v>46266</v>
      </c>
      <c r="E1004" s="2" t="s">
        <v>260</v>
      </c>
      <c r="F1004" s="2" t="s">
        <v>2907</v>
      </c>
      <c r="G1004" s="6">
        <v>46235</v>
      </c>
      <c r="H1004" s="2" t="s">
        <v>176</v>
      </c>
      <c r="I1004" s="2" t="s">
        <v>39</v>
      </c>
      <c r="J1004" s="9">
        <v>3488.6</v>
      </c>
      <c r="K1004" s="7">
        <v>1</v>
      </c>
      <c r="L1004" s="9">
        <v>3488.6</v>
      </c>
      <c r="M1004" s="9">
        <v>3488.6</v>
      </c>
      <c r="N1004" s="9">
        <v>1.92</v>
      </c>
      <c r="O1004" s="10">
        <f>IF(AND(OR(H1004="APPROVED",H1004="SCHEDULED"),COUNTIFS(tblSource[EventID],F1004,tblSource[ReleaseStatus],"APPROVED")=1,COUNTIFS(Period_Status!$A$2:$A$8,G1004,Period_Status!$B$2:$B$8,"ActualClosed")=1,C1004&gt;EOMONTH(Settlement_Bridge!$C$2,0)),1,0)</f>
        <v>0</v>
      </c>
      <c r="P1004" s="2" t="s">
        <v>2908</v>
      </c>
    </row>
    <row r="1005" spans="1:16" x14ac:dyDescent="0.25">
      <c r="A1005" s="2" t="s">
        <v>2909</v>
      </c>
      <c r="B1005" s="2" t="s">
        <v>136</v>
      </c>
      <c r="C1005" s="8">
        <v>46285</v>
      </c>
      <c r="D1005" s="6">
        <v>46266</v>
      </c>
      <c r="E1005" s="2" t="s">
        <v>260</v>
      </c>
      <c r="F1005" s="2" t="s">
        <v>2910</v>
      </c>
      <c r="G1005" s="6">
        <v>46235</v>
      </c>
      <c r="H1005" s="2" t="s">
        <v>176</v>
      </c>
      <c r="I1005" s="2" t="s">
        <v>76</v>
      </c>
      <c r="J1005" s="9">
        <v>59538373.983740002</v>
      </c>
      <c r="K1005" s="7">
        <v>6.1299999999999999E-5</v>
      </c>
      <c r="L1005" s="9">
        <v>3649.7</v>
      </c>
      <c r="M1005" s="9">
        <v>3661.61</v>
      </c>
      <c r="N1005" s="9">
        <v>2.0099999999999998</v>
      </c>
      <c r="O1005" s="10">
        <f>IF(AND(OR(H1005="APPROVED",H1005="SCHEDULED"),COUNTIFS(tblSource[EventID],F1005,tblSource[ReleaseStatus],"APPROVED")=1,COUNTIFS(Period_Status!$A$2:$A$8,G1005,Period_Status!$B$2:$B$8,"ActualClosed")=1,C1005&gt;EOMONTH(Settlement_Bridge!$C$2,0)),1,0)</f>
        <v>0</v>
      </c>
      <c r="P1005" s="2" t="s">
        <v>2911</v>
      </c>
    </row>
    <row r="1006" spans="1:16" x14ac:dyDescent="0.25">
      <c r="A1006" s="2" t="s">
        <v>2912</v>
      </c>
      <c r="B1006" s="2" t="s">
        <v>136</v>
      </c>
      <c r="C1006" s="8">
        <v>46286</v>
      </c>
      <c r="D1006" s="6">
        <v>46266</v>
      </c>
      <c r="E1006" s="2" t="s">
        <v>260</v>
      </c>
      <c r="F1006" s="2" t="s">
        <v>2913</v>
      </c>
      <c r="G1006" s="6">
        <v>46235</v>
      </c>
      <c r="H1006" s="2" t="s">
        <v>176</v>
      </c>
      <c r="I1006" s="2" t="s">
        <v>70</v>
      </c>
      <c r="J1006" s="9">
        <v>5899.4153850000002</v>
      </c>
      <c r="K1006" s="7">
        <v>0.65100000000000002</v>
      </c>
      <c r="L1006" s="9">
        <v>3840.52</v>
      </c>
      <c r="M1006" s="9">
        <v>3834.62</v>
      </c>
      <c r="N1006" s="9">
        <v>2.11</v>
      </c>
      <c r="O1006" s="10">
        <f>IF(AND(OR(H1006="APPROVED",H1006="SCHEDULED"),COUNTIFS(tblSource[EventID],F1006,tblSource[ReleaseStatus],"APPROVED")=1,COUNTIFS(Period_Status!$A$2:$A$8,G1006,Period_Status!$B$2:$B$8,"ActualClosed")=1,C1006&gt;EOMONTH(Settlement_Bridge!$C$2,0)),1,0)</f>
        <v>0</v>
      </c>
      <c r="P1006" s="2" t="s">
        <v>2914</v>
      </c>
    </row>
    <row r="1007" spans="1:16" x14ac:dyDescent="0.25">
      <c r="A1007" s="2" t="s">
        <v>2915</v>
      </c>
      <c r="B1007" s="2" t="s">
        <v>136</v>
      </c>
      <c r="C1007" s="8">
        <v>46287</v>
      </c>
      <c r="D1007" s="6">
        <v>46266</v>
      </c>
      <c r="E1007" s="2" t="s">
        <v>260</v>
      </c>
      <c r="F1007" s="2" t="s">
        <v>2916</v>
      </c>
      <c r="G1007" s="6">
        <v>46235</v>
      </c>
      <c r="H1007" s="2" t="s">
        <v>176</v>
      </c>
      <c r="I1007" s="2" t="s">
        <v>39</v>
      </c>
      <c r="J1007" s="9">
        <v>4007.63</v>
      </c>
      <c r="K1007" s="7">
        <v>1</v>
      </c>
      <c r="L1007" s="9">
        <v>4007.63</v>
      </c>
      <c r="M1007" s="9">
        <v>4007.63</v>
      </c>
      <c r="N1007" s="9">
        <v>2.2000000000000002</v>
      </c>
      <c r="O1007" s="10">
        <f>IF(AND(OR(H1007="APPROVED",H1007="SCHEDULED"),COUNTIFS(tblSource[EventID],F1007,tblSource[ReleaseStatus],"APPROVED")=1,COUNTIFS(Period_Status!$A$2:$A$8,G1007,Period_Status!$B$2:$B$8,"ActualClosed")=1,C1007&gt;EOMONTH(Settlement_Bridge!$C$2,0)),1,0)</f>
        <v>0</v>
      </c>
      <c r="P1007" s="2" t="s">
        <v>2917</v>
      </c>
    </row>
    <row r="1008" spans="1:16" x14ac:dyDescent="0.25">
      <c r="A1008" s="2" t="s">
        <v>2918</v>
      </c>
      <c r="B1008" s="2" t="s">
        <v>136</v>
      </c>
      <c r="C1008" s="8">
        <v>46288</v>
      </c>
      <c r="D1008" s="6">
        <v>46266</v>
      </c>
      <c r="E1008" s="2" t="s">
        <v>260</v>
      </c>
      <c r="F1008" s="2" t="s">
        <v>2919</v>
      </c>
      <c r="G1008" s="6">
        <v>46235</v>
      </c>
      <c r="H1008" s="2" t="s">
        <v>176</v>
      </c>
      <c r="I1008" s="2" t="s">
        <v>76</v>
      </c>
      <c r="J1008" s="9">
        <v>67977886.178862005</v>
      </c>
      <c r="K1008" s="7">
        <v>6.1299999999999999E-5</v>
      </c>
      <c r="L1008" s="9">
        <v>4167.04</v>
      </c>
      <c r="M1008" s="9">
        <v>4180.6400000000003</v>
      </c>
      <c r="N1008" s="9">
        <v>2.29</v>
      </c>
      <c r="O1008" s="10">
        <f>IF(AND(OR(H1008="APPROVED",H1008="SCHEDULED"),COUNTIFS(tblSource[EventID],F1008,tblSource[ReleaseStatus],"APPROVED")=1,COUNTIFS(Period_Status!$A$2:$A$8,G1008,Period_Status!$B$2:$B$8,"ActualClosed")=1,C1008&gt;EOMONTH(Settlement_Bridge!$C$2,0)),1,0)</f>
        <v>0</v>
      </c>
      <c r="P1008" s="2" t="s">
        <v>2920</v>
      </c>
    </row>
    <row r="1009" spans="1:16" x14ac:dyDescent="0.25">
      <c r="A1009" s="2" t="s">
        <v>2921</v>
      </c>
      <c r="B1009" s="2" t="s">
        <v>136</v>
      </c>
      <c r="C1009" s="8">
        <v>46279</v>
      </c>
      <c r="D1009" s="6">
        <v>46266</v>
      </c>
      <c r="E1009" s="2" t="s">
        <v>260</v>
      </c>
      <c r="F1009" s="2" t="s">
        <v>2922</v>
      </c>
      <c r="G1009" s="6">
        <v>46235</v>
      </c>
      <c r="H1009" s="2" t="s">
        <v>176</v>
      </c>
      <c r="I1009" s="2" t="s">
        <v>70</v>
      </c>
      <c r="J1009" s="9">
        <v>2679.1692309999999</v>
      </c>
      <c r="K1009" s="7">
        <v>0.65100000000000002</v>
      </c>
      <c r="L1009" s="9">
        <v>1744.14</v>
      </c>
      <c r="M1009" s="9">
        <v>1741.46</v>
      </c>
      <c r="N1009" s="9">
        <v>1.8</v>
      </c>
      <c r="O1009" s="10">
        <f>IF(AND(OR(H1009="APPROVED",H1009="SCHEDULED"),COUNTIFS(tblSource[EventID],F1009,tblSource[ReleaseStatus],"APPROVED")=1,COUNTIFS(Period_Status!$A$2:$A$8,G1009,Period_Status!$B$2:$B$8,"ActualClosed")=1,C1009&gt;EOMONTH(Settlement_Bridge!$C$2,0)),1,0)</f>
        <v>0</v>
      </c>
      <c r="P1009" s="2" t="s">
        <v>2923</v>
      </c>
    </row>
    <row r="1010" spans="1:16" x14ac:dyDescent="0.25">
      <c r="A1010" s="2" t="s">
        <v>2924</v>
      </c>
      <c r="B1010" s="2" t="s">
        <v>136</v>
      </c>
      <c r="C1010" s="8">
        <v>46304</v>
      </c>
      <c r="D1010" s="6">
        <v>46296</v>
      </c>
      <c r="E1010" s="2" t="s">
        <v>260</v>
      </c>
      <c r="F1010" s="2" t="s">
        <v>2922</v>
      </c>
      <c r="G1010" s="6">
        <v>46235</v>
      </c>
      <c r="H1010" s="2" t="s">
        <v>176</v>
      </c>
      <c r="I1010" s="2" t="s">
        <v>70</v>
      </c>
      <c r="J1010" s="9">
        <v>4018.7538460000001</v>
      </c>
      <c r="K1010" s="7">
        <v>0.65500000000000003</v>
      </c>
      <c r="L1010" s="9">
        <v>2632.28</v>
      </c>
      <c r="M1010" s="9">
        <v>2612.19</v>
      </c>
      <c r="N1010" s="9">
        <v>1.8</v>
      </c>
      <c r="O1010" s="10">
        <f>IF(AND(OR(H1010="APPROVED",H1010="SCHEDULED"),COUNTIFS(tblSource[EventID],F1010,tblSource[ReleaseStatus],"APPROVED")=1,COUNTIFS(Period_Status!$A$2:$A$8,G1010,Period_Status!$B$2:$B$8,"ActualClosed")=1,C1010&gt;EOMONTH(Settlement_Bridge!$C$2,0)),1,0)</f>
        <v>0</v>
      </c>
      <c r="P1010" s="2" t="s">
        <v>2925</v>
      </c>
    </row>
    <row r="1011" spans="1:16" x14ac:dyDescent="0.25">
      <c r="A1011" s="2" t="s">
        <v>2926</v>
      </c>
      <c r="B1011" s="2" t="s">
        <v>136</v>
      </c>
      <c r="C1011" s="8">
        <v>46249</v>
      </c>
      <c r="D1011" s="6">
        <v>46235</v>
      </c>
      <c r="E1011" s="2" t="s">
        <v>260</v>
      </c>
      <c r="F1011" s="2" t="s">
        <v>2927</v>
      </c>
      <c r="G1011" s="6">
        <v>46235</v>
      </c>
      <c r="H1011" s="2" t="s">
        <v>71</v>
      </c>
      <c r="I1011" s="2" t="s">
        <v>39</v>
      </c>
      <c r="J1011" s="9">
        <v>1810.664</v>
      </c>
      <c r="K1011" s="7">
        <v>1</v>
      </c>
      <c r="L1011" s="9">
        <v>1810.66</v>
      </c>
      <c r="M1011" s="9">
        <v>1810.66</v>
      </c>
      <c r="N1011" s="9">
        <v>1.8</v>
      </c>
      <c r="O1011" s="10">
        <f>IF(AND(OR(H1011="APPROVED",H1011="SCHEDULED"),COUNTIFS(tblSource[EventID],F1011,tblSource[ReleaseStatus],"APPROVED")=1,COUNTIFS(Period_Status!$A$2:$A$8,G1011,Period_Status!$B$2:$B$8,"ActualClosed")=1,C1011&gt;EOMONTH(Settlement_Bridge!$C$2,0)),1,0)</f>
        <v>0</v>
      </c>
      <c r="P1011" s="2" t="s">
        <v>2928</v>
      </c>
    </row>
    <row r="1012" spans="1:16" x14ac:dyDescent="0.25">
      <c r="A1012" s="2" t="s">
        <v>2929</v>
      </c>
      <c r="B1012" s="2" t="s">
        <v>136</v>
      </c>
      <c r="C1012" s="8">
        <v>46274</v>
      </c>
      <c r="D1012" s="6">
        <v>46266</v>
      </c>
      <c r="E1012" s="2" t="s">
        <v>260</v>
      </c>
      <c r="F1012" s="2" t="s">
        <v>2927</v>
      </c>
      <c r="G1012" s="6">
        <v>46235</v>
      </c>
      <c r="H1012" s="2" t="s">
        <v>176</v>
      </c>
      <c r="I1012" s="2" t="s">
        <v>39</v>
      </c>
      <c r="J1012" s="9">
        <v>2715.9960000000001</v>
      </c>
      <c r="K1012" s="7">
        <v>1</v>
      </c>
      <c r="L1012" s="9">
        <v>2716</v>
      </c>
      <c r="M1012" s="9">
        <v>2716</v>
      </c>
      <c r="N1012" s="9">
        <v>1.8</v>
      </c>
      <c r="O1012" s="10">
        <f>IF(AND(OR(H1012="APPROVED",H1012="SCHEDULED"),COUNTIFS(tblSource[EventID],F1012,tblSource[ReleaseStatus],"APPROVED")=1,COUNTIFS(Period_Status!$A$2:$A$8,G1012,Period_Status!$B$2:$B$8,"ActualClosed")=1,C1012&gt;EOMONTH(Settlement_Bridge!$C$2,0)),1,0)</f>
        <v>0</v>
      </c>
      <c r="P1012" s="2" t="s">
        <v>2930</v>
      </c>
    </row>
    <row r="1013" spans="1:16" x14ac:dyDescent="0.25">
      <c r="A1013" s="2" t="s">
        <v>2931</v>
      </c>
      <c r="B1013" s="2" t="s">
        <v>136</v>
      </c>
      <c r="C1013" s="8">
        <v>46260</v>
      </c>
      <c r="D1013" s="6">
        <v>46235</v>
      </c>
      <c r="E1013" s="2" t="s">
        <v>260</v>
      </c>
      <c r="F1013" s="2" t="s">
        <v>2932</v>
      </c>
      <c r="G1013" s="6">
        <v>46235</v>
      </c>
      <c r="H1013" s="2" t="s">
        <v>71</v>
      </c>
      <c r="I1013" s="2" t="s">
        <v>76</v>
      </c>
      <c r="J1013" s="9">
        <v>76417398.373983994</v>
      </c>
      <c r="K1013" s="7">
        <v>6.1500000000000004E-5</v>
      </c>
      <c r="L1013" s="9">
        <v>4699.67</v>
      </c>
      <c r="M1013" s="9">
        <v>4699.67</v>
      </c>
      <c r="N1013" s="9">
        <v>2.58</v>
      </c>
      <c r="O1013" s="10">
        <f>IF(AND(OR(H1013="APPROVED",H1013="SCHEDULED"),COUNTIFS(tblSource[EventID],F1013,tblSource[ReleaseStatus],"APPROVED")=1,COUNTIFS(Period_Status!$A$2:$A$8,G1013,Period_Status!$B$2:$B$8,"ActualClosed")=1,C1013&gt;EOMONTH(Settlement_Bridge!$C$2,0)),1,0)</f>
        <v>0</v>
      </c>
      <c r="P1013" s="2" t="s">
        <v>2933</v>
      </c>
    </row>
    <row r="1014" spans="1:16" x14ac:dyDescent="0.25">
      <c r="A1014" s="2" t="s">
        <v>2934</v>
      </c>
      <c r="B1014" s="2" t="s">
        <v>136</v>
      </c>
      <c r="C1014" s="8">
        <v>46261</v>
      </c>
      <c r="D1014" s="6">
        <v>46235</v>
      </c>
      <c r="E1014" s="2" t="s">
        <v>260</v>
      </c>
      <c r="F1014" s="2" t="s">
        <v>2935</v>
      </c>
      <c r="G1014" s="6">
        <v>46235</v>
      </c>
      <c r="H1014" s="2" t="s">
        <v>71</v>
      </c>
      <c r="I1014" s="2" t="s">
        <v>70</v>
      </c>
      <c r="J1014" s="9">
        <v>7496.4307689999996</v>
      </c>
      <c r="K1014" s="7">
        <v>0.65</v>
      </c>
      <c r="L1014" s="9">
        <v>4872.68</v>
      </c>
      <c r="M1014" s="9">
        <v>4872.68</v>
      </c>
      <c r="N1014" s="9">
        <v>2.68</v>
      </c>
      <c r="O1014" s="10">
        <f>IF(AND(OR(H1014="APPROVED",H1014="SCHEDULED"),COUNTIFS(tblSource[EventID],F1014,tblSource[ReleaseStatus],"APPROVED")=1,COUNTIFS(Period_Status!$A$2:$A$8,G1014,Period_Status!$B$2:$B$8,"ActualClosed")=1,C1014&gt;EOMONTH(Settlement_Bridge!$C$2,0)),1,0)</f>
        <v>0</v>
      </c>
      <c r="P1014" s="2" t="s">
        <v>2936</v>
      </c>
    </row>
    <row r="1015" spans="1:16" x14ac:dyDescent="0.25">
      <c r="A1015" s="2" t="s">
        <v>2937</v>
      </c>
      <c r="B1015" s="2" t="s">
        <v>136</v>
      </c>
      <c r="C1015" s="8">
        <v>46252</v>
      </c>
      <c r="D1015" s="6">
        <v>46235</v>
      </c>
      <c r="E1015" s="2" t="s">
        <v>260</v>
      </c>
      <c r="F1015" s="2" t="s">
        <v>2938</v>
      </c>
      <c r="G1015" s="6">
        <v>46235</v>
      </c>
      <c r="H1015" s="2" t="s">
        <v>71</v>
      </c>
      <c r="I1015" s="2" t="s">
        <v>39</v>
      </c>
      <c r="J1015" s="9">
        <v>2018.2760000000001</v>
      </c>
      <c r="K1015" s="7">
        <v>1</v>
      </c>
      <c r="L1015" s="9">
        <v>2018.28</v>
      </c>
      <c r="M1015" s="9">
        <v>2018.28</v>
      </c>
      <c r="N1015" s="9">
        <v>1.8</v>
      </c>
      <c r="O1015" s="10">
        <f>IF(AND(OR(H1015="APPROVED",H1015="SCHEDULED"),COUNTIFS(tblSource[EventID],F1015,tblSource[ReleaseStatus],"APPROVED")=1,COUNTIFS(Period_Status!$A$2:$A$8,G1015,Period_Status!$B$2:$B$8,"ActualClosed")=1,C1015&gt;EOMONTH(Settlement_Bridge!$C$2,0)),1,0)</f>
        <v>0</v>
      </c>
      <c r="P1015" s="2" t="s">
        <v>2939</v>
      </c>
    </row>
    <row r="1016" spans="1:16" x14ac:dyDescent="0.25">
      <c r="A1016" s="2" t="s">
        <v>2940</v>
      </c>
      <c r="B1016" s="2" t="s">
        <v>136</v>
      </c>
      <c r="C1016" s="8">
        <v>46277</v>
      </c>
      <c r="D1016" s="6">
        <v>46266</v>
      </c>
      <c r="E1016" s="2" t="s">
        <v>260</v>
      </c>
      <c r="F1016" s="2" t="s">
        <v>2938</v>
      </c>
      <c r="G1016" s="6">
        <v>46235</v>
      </c>
      <c r="H1016" s="2" t="s">
        <v>176</v>
      </c>
      <c r="I1016" s="2" t="s">
        <v>39</v>
      </c>
      <c r="J1016" s="9">
        <v>3027.4140000000002</v>
      </c>
      <c r="K1016" s="7">
        <v>1</v>
      </c>
      <c r="L1016" s="9">
        <v>3027.41</v>
      </c>
      <c r="M1016" s="9">
        <v>3027.41</v>
      </c>
      <c r="N1016" s="9">
        <v>1.8</v>
      </c>
      <c r="O1016" s="10">
        <f>IF(AND(OR(H1016="APPROVED",H1016="SCHEDULED"),COUNTIFS(tblSource[EventID],F1016,tblSource[ReleaseStatus],"APPROVED")=1,COUNTIFS(Period_Status!$A$2:$A$8,G1016,Period_Status!$B$2:$B$8,"ActualClosed")=1,C1016&gt;EOMONTH(Settlement_Bridge!$C$2,0)),1,0)</f>
        <v>0</v>
      </c>
      <c r="P1016" s="2" t="s">
        <v>2941</v>
      </c>
    </row>
    <row r="1017" spans="1:16" x14ac:dyDescent="0.25">
      <c r="A1017" s="2" t="s">
        <v>2942</v>
      </c>
      <c r="B1017" s="2" t="s">
        <v>136</v>
      </c>
      <c r="C1017" s="8">
        <v>46263</v>
      </c>
      <c r="D1017" s="6">
        <v>46235</v>
      </c>
      <c r="E1017" s="2" t="s">
        <v>260</v>
      </c>
      <c r="F1017" s="2" t="s">
        <v>2943</v>
      </c>
      <c r="G1017" s="6">
        <v>46235</v>
      </c>
      <c r="H1017" s="2" t="s">
        <v>71</v>
      </c>
      <c r="I1017" s="2" t="s">
        <v>76</v>
      </c>
      <c r="J1017" s="9">
        <v>84856910.569105998</v>
      </c>
      <c r="K1017" s="7">
        <v>6.1500000000000004E-5</v>
      </c>
      <c r="L1017" s="9">
        <v>5218.7</v>
      </c>
      <c r="M1017" s="9">
        <v>5218.7</v>
      </c>
      <c r="N1017" s="9">
        <v>2.87</v>
      </c>
      <c r="O1017" s="10">
        <f>IF(AND(OR(H1017="APPROVED",H1017="SCHEDULED"),COUNTIFS(tblSource[EventID],F1017,tblSource[ReleaseStatus],"APPROVED")=1,COUNTIFS(Period_Status!$A$2:$A$8,G1017,Period_Status!$B$2:$B$8,"ActualClosed")=1,C1017&gt;EOMONTH(Settlement_Bridge!$C$2,0)),1,0)</f>
        <v>0</v>
      </c>
      <c r="P1017" s="2" t="s">
        <v>2944</v>
      </c>
    </row>
    <row r="1018" spans="1:16" x14ac:dyDescent="0.25">
      <c r="A1018" s="2" t="s">
        <v>2945</v>
      </c>
      <c r="B1018" s="2" t="s">
        <v>136</v>
      </c>
      <c r="C1018" s="8">
        <v>46264</v>
      </c>
      <c r="D1018" s="6">
        <v>46235</v>
      </c>
      <c r="E1018" s="2" t="s">
        <v>260</v>
      </c>
      <c r="F1018" s="2" t="s">
        <v>2946</v>
      </c>
      <c r="G1018" s="6">
        <v>46235</v>
      </c>
      <c r="H1018" s="2" t="s">
        <v>71</v>
      </c>
      <c r="I1018" s="2" t="s">
        <v>70</v>
      </c>
      <c r="J1018" s="9">
        <v>8294.9384620000001</v>
      </c>
      <c r="K1018" s="7">
        <v>0.65</v>
      </c>
      <c r="L1018" s="9">
        <v>5391.71</v>
      </c>
      <c r="M1018" s="9">
        <v>5391.71</v>
      </c>
      <c r="N1018" s="9">
        <v>2.97</v>
      </c>
      <c r="O1018" s="10">
        <f>IF(AND(OR(H1018="APPROVED",H1018="SCHEDULED"),COUNTIFS(tblSource[EventID],F1018,tblSource[ReleaseStatus],"APPROVED")=1,COUNTIFS(Period_Status!$A$2:$A$8,G1018,Period_Status!$B$2:$B$8,"ActualClosed")=1,C1018&gt;EOMONTH(Settlement_Bridge!$C$2,0)),1,0)</f>
        <v>0</v>
      </c>
      <c r="P1018" s="2" t="s">
        <v>2947</v>
      </c>
    </row>
    <row r="1019" spans="1:16" x14ac:dyDescent="0.25">
      <c r="A1019" s="2" t="s">
        <v>2948</v>
      </c>
      <c r="B1019" s="2" t="s">
        <v>136</v>
      </c>
      <c r="C1019" s="8">
        <v>46265</v>
      </c>
      <c r="D1019" s="6">
        <v>46235</v>
      </c>
      <c r="E1019" s="2" t="s">
        <v>260</v>
      </c>
      <c r="F1019" s="2" t="s">
        <v>2949</v>
      </c>
      <c r="G1019" s="6">
        <v>46235</v>
      </c>
      <c r="H1019" s="2" t="s">
        <v>71</v>
      </c>
      <c r="I1019" s="2" t="s">
        <v>39</v>
      </c>
      <c r="J1019" s="9">
        <v>5564.72</v>
      </c>
      <c r="K1019" s="7">
        <v>1</v>
      </c>
      <c r="L1019" s="9">
        <v>5564.72</v>
      </c>
      <c r="M1019" s="9">
        <v>5564.72</v>
      </c>
      <c r="N1019" s="9">
        <v>3.06</v>
      </c>
      <c r="O1019" s="10">
        <f>IF(AND(OR(H1019="APPROVED",H1019="SCHEDULED"),COUNTIFS(tblSource[EventID],F1019,tblSource[ReleaseStatus],"APPROVED")=1,COUNTIFS(Period_Status!$A$2:$A$8,G1019,Period_Status!$B$2:$B$8,"ActualClosed")=1,C1019&gt;EOMONTH(Settlement_Bridge!$C$2,0)),1,0)</f>
        <v>0</v>
      </c>
      <c r="P1019" s="2" t="s">
        <v>2950</v>
      </c>
    </row>
    <row r="1020" spans="1:16" x14ac:dyDescent="0.25">
      <c r="A1020" s="2" t="s">
        <v>2951</v>
      </c>
      <c r="B1020" s="2" t="s">
        <v>136</v>
      </c>
      <c r="C1020" s="8">
        <v>46266</v>
      </c>
      <c r="D1020" s="6">
        <v>46266</v>
      </c>
      <c r="E1020" s="2" t="s">
        <v>260</v>
      </c>
      <c r="F1020" s="2" t="s">
        <v>2952</v>
      </c>
      <c r="G1020" s="6">
        <v>46235</v>
      </c>
      <c r="H1020" s="2" t="s">
        <v>176</v>
      </c>
      <c r="I1020" s="2" t="s">
        <v>76</v>
      </c>
      <c r="J1020" s="9">
        <v>93296422.764228001</v>
      </c>
      <c r="K1020" s="7">
        <v>6.1299999999999999E-5</v>
      </c>
      <c r="L1020" s="9">
        <v>5719.07</v>
      </c>
      <c r="M1020" s="9">
        <v>5737.73</v>
      </c>
      <c r="N1020" s="9">
        <v>3.15</v>
      </c>
      <c r="O1020" s="10">
        <f>IF(AND(OR(H1020="APPROVED",H1020="SCHEDULED"),COUNTIFS(tblSource[EventID],F1020,tblSource[ReleaseStatus],"APPROVED")=1,COUNTIFS(Period_Status!$A$2:$A$8,G1020,Period_Status!$B$2:$B$8,"ActualClosed")=1,C1020&gt;EOMONTH(Settlement_Bridge!$C$2,0)),1,0)</f>
        <v>0</v>
      </c>
      <c r="P1020" s="2" t="s">
        <v>2953</v>
      </c>
    </row>
    <row r="1021" spans="1:16" x14ac:dyDescent="0.25">
      <c r="A1021" s="2" t="s">
        <v>2954</v>
      </c>
      <c r="B1021" s="2" t="s">
        <v>136</v>
      </c>
      <c r="C1021" s="8">
        <v>46267</v>
      </c>
      <c r="D1021" s="6">
        <v>46266</v>
      </c>
      <c r="E1021" s="2" t="s">
        <v>260</v>
      </c>
      <c r="F1021" s="2" t="s">
        <v>2955</v>
      </c>
      <c r="G1021" s="6">
        <v>46235</v>
      </c>
      <c r="H1021" s="2" t="s">
        <v>176</v>
      </c>
      <c r="I1021" s="2" t="s">
        <v>70</v>
      </c>
      <c r="J1021" s="9">
        <v>9093.4461539999993</v>
      </c>
      <c r="K1021" s="7">
        <v>0.65100000000000002</v>
      </c>
      <c r="L1021" s="9">
        <v>5919.83</v>
      </c>
      <c r="M1021" s="9">
        <v>5910.74</v>
      </c>
      <c r="N1021" s="9">
        <v>3.26</v>
      </c>
      <c r="O1021" s="10">
        <f>IF(AND(OR(H1021="APPROVED",H1021="SCHEDULED"),COUNTIFS(tblSource[EventID],F1021,tblSource[ReleaseStatus],"APPROVED")=1,COUNTIFS(Period_Status!$A$2:$A$8,G1021,Period_Status!$B$2:$B$8,"ActualClosed")=1,C1021&gt;EOMONTH(Settlement_Bridge!$C$2,0)),1,0)</f>
        <v>0</v>
      </c>
      <c r="P1021" s="2" t="s">
        <v>2956</v>
      </c>
    </row>
    <row r="1022" spans="1:16" x14ac:dyDescent="0.25">
      <c r="A1022" s="2" t="s">
        <v>2957</v>
      </c>
      <c r="B1022" s="2" t="s">
        <v>136</v>
      </c>
      <c r="C1022" s="8">
        <v>46258</v>
      </c>
      <c r="D1022" s="6">
        <v>46235</v>
      </c>
      <c r="E1022" s="2" t="s">
        <v>260</v>
      </c>
      <c r="F1022" s="2" t="s">
        <v>2958</v>
      </c>
      <c r="G1022" s="6">
        <v>46235</v>
      </c>
      <c r="H1022" s="2" t="s">
        <v>71</v>
      </c>
      <c r="I1022" s="2" t="s">
        <v>39</v>
      </c>
      <c r="J1022" s="9">
        <v>2433.5</v>
      </c>
      <c r="K1022" s="7">
        <v>1</v>
      </c>
      <c r="L1022" s="9">
        <v>2433.5</v>
      </c>
      <c r="M1022" s="9">
        <v>2433.5</v>
      </c>
      <c r="N1022" s="9">
        <v>1.8</v>
      </c>
      <c r="O1022" s="10">
        <f>IF(AND(OR(H1022="APPROVED",H1022="SCHEDULED"),COUNTIFS(tblSource[EventID],F1022,tblSource[ReleaseStatus],"APPROVED")=1,COUNTIFS(Period_Status!$A$2:$A$8,G1022,Period_Status!$B$2:$B$8,"ActualClosed")=1,C1022&gt;EOMONTH(Settlement_Bridge!$C$2,0)),1,0)</f>
        <v>0</v>
      </c>
      <c r="P1022" s="2" t="s">
        <v>2959</v>
      </c>
    </row>
    <row r="1023" spans="1:16" x14ac:dyDescent="0.25">
      <c r="A1023" s="2" t="s">
        <v>2960</v>
      </c>
      <c r="B1023" s="2" t="s">
        <v>136</v>
      </c>
      <c r="C1023" s="8">
        <v>46283</v>
      </c>
      <c r="D1023" s="6">
        <v>46266</v>
      </c>
      <c r="E1023" s="2" t="s">
        <v>260</v>
      </c>
      <c r="F1023" s="2" t="s">
        <v>2958</v>
      </c>
      <c r="G1023" s="6">
        <v>46235</v>
      </c>
      <c r="H1023" s="2" t="s">
        <v>176</v>
      </c>
      <c r="I1023" s="2" t="s">
        <v>39</v>
      </c>
      <c r="J1023" s="9">
        <v>3650.25</v>
      </c>
      <c r="K1023" s="7">
        <v>1</v>
      </c>
      <c r="L1023" s="9">
        <v>3650.25</v>
      </c>
      <c r="M1023" s="9">
        <v>3650.25</v>
      </c>
      <c r="N1023" s="9">
        <v>2.0099999999999998</v>
      </c>
      <c r="O1023" s="10">
        <f>IF(AND(OR(H1023="APPROVED",H1023="SCHEDULED"),COUNTIFS(tblSource[EventID],F1023,tblSource[ReleaseStatus],"APPROVED")=1,COUNTIFS(Period_Status!$A$2:$A$8,G1023,Period_Status!$B$2:$B$8,"ActualClosed")=1,C1023&gt;EOMONTH(Settlement_Bridge!$C$2,0)),1,0)</f>
        <v>0</v>
      </c>
      <c r="P1023" s="2" t="s">
        <v>2961</v>
      </c>
    </row>
    <row r="1024" spans="1:16" x14ac:dyDescent="0.25">
      <c r="A1024" s="2" t="s">
        <v>2962</v>
      </c>
      <c r="B1024" s="2" t="s">
        <v>136</v>
      </c>
      <c r="C1024" s="8">
        <v>46259</v>
      </c>
      <c r="D1024" s="6">
        <v>46235</v>
      </c>
      <c r="E1024" s="2" t="s">
        <v>260</v>
      </c>
      <c r="F1024" s="2" t="s">
        <v>2963</v>
      </c>
      <c r="G1024" s="6">
        <v>46235</v>
      </c>
      <c r="H1024" s="2" t="s">
        <v>71</v>
      </c>
      <c r="I1024" s="2" t="s">
        <v>76</v>
      </c>
      <c r="J1024" s="9">
        <v>40694373.983740002</v>
      </c>
      <c r="K1024" s="7">
        <v>6.1500000000000004E-5</v>
      </c>
      <c r="L1024" s="9">
        <v>2502.6999999999998</v>
      </c>
      <c r="M1024" s="9">
        <v>2502.6999999999998</v>
      </c>
      <c r="N1024" s="9">
        <v>1.8</v>
      </c>
      <c r="O1024" s="10">
        <f>IF(AND(OR(H1024="APPROVED",H1024="SCHEDULED"),COUNTIFS(tblSource[EventID],F1024,tblSource[ReleaseStatus],"APPROVED")=1,COUNTIFS(Period_Status!$A$2:$A$8,G1024,Period_Status!$B$2:$B$8,"ActualClosed")=1,C1024&gt;EOMONTH(Settlement_Bridge!$C$2,0)),1,0)</f>
        <v>0</v>
      </c>
      <c r="P1024" s="2" t="s">
        <v>2964</v>
      </c>
    </row>
    <row r="1025" spans="1:16" x14ac:dyDescent="0.25">
      <c r="A1025" s="2" t="s">
        <v>2965</v>
      </c>
      <c r="B1025" s="2" t="s">
        <v>136</v>
      </c>
      <c r="C1025" s="8">
        <v>46284</v>
      </c>
      <c r="D1025" s="6">
        <v>46266</v>
      </c>
      <c r="E1025" s="2" t="s">
        <v>260</v>
      </c>
      <c r="F1025" s="2" t="s">
        <v>2963</v>
      </c>
      <c r="G1025" s="6">
        <v>46235</v>
      </c>
      <c r="H1025" s="2" t="s">
        <v>176</v>
      </c>
      <c r="I1025" s="2" t="s">
        <v>76</v>
      </c>
      <c r="J1025" s="9">
        <v>61041560.975610003</v>
      </c>
      <c r="K1025" s="7">
        <v>6.1299999999999999E-5</v>
      </c>
      <c r="L1025" s="9">
        <v>3741.85</v>
      </c>
      <c r="M1025" s="9">
        <v>3754.06</v>
      </c>
      <c r="N1025" s="9">
        <v>2.06</v>
      </c>
      <c r="O1025" s="10">
        <f>IF(AND(OR(H1025="APPROVED",H1025="SCHEDULED"),COUNTIFS(tblSource[EventID],F1025,tblSource[ReleaseStatus],"APPROVED")=1,COUNTIFS(Period_Status!$A$2:$A$8,G1025,Period_Status!$B$2:$B$8,"ActualClosed")=1,C1025&gt;EOMONTH(Settlement_Bridge!$C$2,0)),1,0)</f>
        <v>0</v>
      </c>
      <c r="P1025" s="2" t="s">
        <v>2966</v>
      </c>
    </row>
    <row r="1026" spans="1:16" x14ac:dyDescent="0.25">
      <c r="A1026" s="2" t="s">
        <v>2967</v>
      </c>
      <c r="B1026" s="2" t="s">
        <v>136</v>
      </c>
      <c r="C1026" s="8">
        <v>46270</v>
      </c>
      <c r="D1026" s="6">
        <v>46266</v>
      </c>
      <c r="E1026" s="2" t="s">
        <v>260</v>
      </c>
      <c r="F1026" s="2" t="s">
        <v>2968</v>
      </c>
      <c r="G1026" s="6">
        <v>46235</v>
      </c>
      <c r="H1026" s="2" t="s">
        <v>176</v>
      </c>
      <c r="I1026" s="2" t="s">
        <v>70</v>
      </c>
      <c r="J1026" s="9">
        <v>9891.9538460000003</v>
      </c>
      <c r="K1026" s="7">
        <v>0.65100000000000002</v>
      </c>
      <c r="L1026" s="9">
        <v>6439.66</v>
      </c>
      <c r="M1026" s="9">
        <v>6429.77</v>
      </c>
      <c r="N1026" s="9">
        <v>3.54</v>
      </c>
      <c r="O1026" s="10">
        <f>IF(AND(OR(H1026="APPROVED",H1026="SCHEDULED"),COUNTIFS(tblSource[EventID],F1026,tblSource[ReleaseStatus],"APPROVED")=1,COUNTIFS(Period_Status!$A$2:$A$8,G1026,Period_Status!$B$2:$B$8,"ActualClosed")=1,C1026&gt;EOMONTH(Settlement_Bridge!$C$2,0)),1,0)</f>
        <v>0</v>
      </c>
      <c r="P1026" s="2" t="s">
        <v>2969</v>
      </c>
    </row>
    <row r="1027" spans="1:16" x14ac:dyDescent="0.25">
      <c r="A1027" s="2" t="s">
        <v>2970</v>
      </c>
      <c r="B1027" s="2" t="s">
        <v>136</v>
      </c>
      <c r="C1027" s="8">
        <v>46271</v>
      </c>
      <c r="D1027" s="6">
        <v>46266</v>
      </c>
      <c r="E1027" s="2" t="s">
        <v>260</v>
      </c>
      <c r="F1027" s="2" t="s">
        <v>2971</v>
      </c>
      <c r="G1027" s="6">
        <v>46235</v>
      </c>
      <c r="H1027" s="2" t="s">
        <v>176</v>
      </c>
      <c r="I1027" s="2" t="s">
        <v>39</v>
      </c>
      <c r="J1027" s="9">
        <v>6602.78</v>
      </c>
      <c r="K1027" s="7">
        <v>1</v>
      </c>
      <c r="L1027" s="9">
        <v>6602.78</v>
      </c>
      <c r="M1027" s="9">
        <v>6602.78</v>
      </c>
      <c r="N1027" s="9">
        <v>3.63</v>
      </c>
      <c r="O1027" s="10">
        <f>IF(AND(OR(H1027="APPROVED",H1027="SCHEDULED"),COUNTIFS(tblSource[EventID],F1027,tblSource[ReleaseStatus],"APPROVED")=1,COUNTIFS(Period_Status!$A$2:$A$8,G1027,Period_Status!$B$2:$B$8,"ActualClosed")=1,C1027&gt;EOMONTH(Settlement_Bridge!$C$2,0)),1,0)</f>
        <v>0</v>
      </c>
      <c r="P1027" s="2" t="s">
        <v>2972</v>
      </c>
    </row>
    <row r="1028" spans="1:16" x14ac:dyDescent="0.25">
      <c r="A1028" s="2" t="s">
        <v>2973</v>
      </c>
      <c r="B1028" s="2" t="s">
        <v>136</v>
      </c>
      <c r="C1028" s="8">
        <v>46262</v>
      </c>
      <c r="D1028" s="6">
        <v>46235</v>
      </c>
      <c r="E1028" s="2" t="s">
        <v>260</v>
      </c>
      <c r="F1028" s="2" t="s">
        <v>2974</v>
      </c>
      <c r="G1028" s="6">
        <v>46235</v>
      </c>
      <c r="H1028" s="2" t="s">
        <v>71</v>
      </c>
      <c r="I1028" s="2" t="s">
        <v>76</v>
      </c>
      <c r="J1028" s="9">
        <v>44070178.861789003</v>
      </c>
      <c r="K1028" s="7">
        <v>6.1500000000000004E-5</v>
      </c>
      <c r="L1028" s="9">
        <v>2710.32</v>
      </c>
      <c r="M1028" s="9">
        <v>2710.32</v>
      </c>
      <c r="N1028" s="9">
        <v>1.8</v>
      </c>
      <c r="O1028" s="10">
        <f>IF(AND(OR(H1028="APPROVED",H1028="SCHEDULED"),COUNTIFS(tblSource[EventID],F1028,tblSource[ReleaseStatus],"APPROVED")=1,COUNTIFS(Period_Status!$A$2:$A$8,G1028,Period_Status!$B$2:$B$8,"ActualClosed")=1,C1028&gt;EOMONTH(Settlement_Bridge!$C$2,0)),1,0)</f>
        <v>0</v>
      </c>
      <c r="P1028" s="2" t="s">
        <v>2975</v>
      </c>
    </row>
    <row r="1029" spans="1:16" x14ac:dyDescent="0.25">
      <c r="A1029" s="2" t="s">
        <v>2976</v>
      </c>
      <c r="B1029" s="2" t="s">
        <v>136</v>
      </c>
      <c r="C1029" s="8">
        <v>46287</v>
      </c>
      <c r="D1029" s="6">
        <v>46266</v>
      </c>
      <c r="E1029" s="2" t="s">
        <v>260</v>
      </c>
      <c r="F1029" s="2" t="s">
        <v>2974</v>
      </c>
      <c r="G1029" s="6">
        <v>46235</v>
      </c>
      <c r="H1029" s="2" t="s">
        <v>176</v>
      </c>
      <c r="I1029" s="2" t="s">
        <v>76</v>
      </c>
      <c r="J1029" s="9">
        <v>66105268.292682998</v>
      </c>
      <c r="K1029" s="7">
        <v>6.1299999999999999E-5</v>
      </c>
      <c r="L1029" s="9">
        <v>4052.25</v>
      </c>
      <c r="M1029" s="9">
        <v>4065.47</v>
      </c>
      <c r="N1029" s="9">
        <v>2.23</v>
      </c>
      <c r="O1029" s="10">
        <f>IF(AND(OR(H1029="APPROVED",H1029="SCHEDULED"),COUNTIFS(tblSource[EventID],F1029,tblSource[ReleaseStatus],"APPROVED")=1,COUNTIFS(Period_Status!$A$2:$A$8,G1029,Period_Status!$B$2:$B$8,"ActualClosed")=1,C1029&gt;EOMONTH(Settlement_Bridge!$C$2,0)),1,0)</f>
        <v>0</v>
      </c>
      <c r="P1029" s="2" t="s">
        <v>2977</v>
      </c>
    </row>
    <row r="1030" spans="1:16" x14ac:dyDescent="0.25">
      <c r="A1030" s="2" t="s">
        <v>2978</v>
      </c>
      <c r="B1030" s="2" t="s">
        <v>136</v>
      </c>
      <c r="C1030" s="8">
        <v>46273</v>
      </c>
      <c r="D1030" s="6">
        <v>46266</v>
      </c>
      <c r="E1030" s="2" t="s">
        <v>260</v>
      </c>
      <c r="F1030" s="2" t="s">
        <v>2979</v>
      </c>
      <c r="G1030" s="6">
        <v>46235</v>
      </c>
      <c r="H1030" s="2" t="s">
        <v>176</v>
      </c>
      <c r="I1030" s="2" t="s">
        <v>70</v>
      </c>
      <c r="J1030" s="9">
        <v>10690.461538</v>
      </c>
      <c r="K1030" s="7">
        <v>0.65100000000000002</v>
      </c>
      <c r="L1030" s="9">
        <v>6959.49</v>
      </c>
      <c r="M1030" s="9">
        <v>6948.8</v>
      </c>
      <c r="N1030" s="9">
        <v>3.83</v>
      </c>
      <c r="O1030" s="10">
        <f>IF(AND(OR(H1030="APPROVED",H1030="SCHEDULED"),COUNTIFS(tblSource[EventID],F1030,tblSource[ReleaseStatus],"APPROVED")=1,COUNTIFS(Period_Status!$A$2:$A$8,G1030,Period_Status!$B$2:$B$8,"ActualClosed")=1,C1030&gt;EOMONTH(Settlement_Bridge!$C$2,0)),1,0)</f>
        <v>0</v>
      </c>
      <c r="P1030" s="2" t="s">
        <v>2980</v>
      </c>
    </row>
    <row r="1031" spans="1:16" x14ac:dyDescent="0.25">
      <c r="A1031" s="2" t="s">
        <v>2981</v>
      </c>
      <c r="B1031" s="2" t="s">
        <v>136</v>
      </c>
      <c r="C1031" s="8">
        <v>46274</v>
      </c>
      <c r="D1031" s="6">
        <v>46266</v>
      </c>
      <c r="E1031" s="2" t="s">
        <v>260</v>
      </c>
      <c r="F1031" s="2" t="s">
        <v>2982</v>
      </c>
      <c r="G1031" s="6">
        <v>46235</v>
      </c>
      <c r="H1031" s="2" t="s">
        <v>176</v>
      </c>
      <c r="I1031" s="2" t="s">
        <v>39</v>
      </c>
      <c r="J1031" s="9">
        <v>7121.81</v>
      </c>
      <c r="K1031" s="7">
        <v>1</v>
      </c>
      <c r="L1031" s="9">
        <v>7121.81</v>
      </c>
      <c r="M1031" s="9">
        <v>7121.81</v>
      </c>
      <c r="N1031" s="9">
        <v>3.92</v>
      </c>
      <c r="O1031" s="10">
        <f>IF(AND(OR(H1031="APPROVED",H1031="SCHEDULED"),COUNTIFS(tblSource[EventID],F1031,tblSource[ReleaseStatus],"APPROVED")=1,COUNTIFS(Period_Status!$A$2:$A$8,G1031,Period_Status!$B$2:$B$8,"ActualClosed")=1,C1031&gt;EOMONTH(Settlement_Bridge!$C$2,0)),1,0)</f>
        <v>0</v>
      </c>
      <c r="P1031" s="2" t="s">
        <v>2983</v>
      </c>
    </row>
    <row r="1032" spans="1:16" x14ac:dyDescent="0.25">
      <c r="A1032" s="2" t="s">
        <v>2984</v>
      </c>
      <c r="B1032" s="2" t="s">
        <v>136</v>
      </c>
      <c r="C1032" s="8">
        <v>46275</v>
      </c>
      <c r="D1032" s="6">
        <v>46266</v>
      </c>
      <c r="E1032" s="2" t="s">
        <v>260</v>
      </c>
      <c r="F1032" s="2" t="s">
        <v>2985</v>
      </c>
      <c r="G1032" s="6">
        <v>46235</v>
      </c>
      <c r="H1032" s="2" t="s">
        <v>176</v>
      </c>
      <c r="I1032" s="2" t="s">
        <v>76</v>
      </c>
      <c r="J1032" s="9">
        <v>118614959.349593</v>
      </c>
      <c r="K1032" s="7">
        <v>6.1299999999999999E-5</v>
      </c>
      <c r="L1032" s="9">
        <v>7271.1</v>
      </c>
      <c r="M1032" s="9">
        <v>7294.82</v>
      </c>
      <c r="N1032" s="9">
        <v>4</v>
      </c>
      <c r="O1032" s="10">
        <f>IF(AND(OR(H1032="APPROVED",H1032="SCHEDULED"),COUNTIFS(tblSource[EventID],F1032,tblSource[ReleaseStatus],"APPROVED")=1,COUNTIFS(Period_Status!$A$2:$A$8,G1032,Period_Status!$B$2:$B$8,"ActualClosed")=1,C1032&gt;EOMONTH(Settlement_Bridge!$C$2,0)),1,0)</f>
        <v>0</v>
      </c>
      <c r="P1032" s="2" t="s">
        <v>2986</v>
      </c>
    </row>
    <row r="1033" spans="1:16" x14ac:dyDescent="0.25">
      <c r="A1033" s="2" t="s">
        <v>2987</v>
      </c>
      <c r="B1033" s="2" t="s">
        <v>136</v>
      </c>
      <c r="C1033" s="8">
        <v>46276</v>
      </c>
      <c r="D1033" s="6">
        <v>46266</v>
      </c>
      <c r="E1033" s="2" t="s">
        <v>260</v>
      </c>
      <c r="F1033" s="2" t="s">
        <v>2988</v>
      </c>
      <c r="G1033" s="6">
        <v>46235</v>
      </c>
      <c r="H1033" s="2" t="s">
        <v>176</v>
      </c>
      <c r="I1033" s="2" t="s">
        <v>70</v>
      </c>
      <c r="J1033" s="9">
        <v>11488.969230999999</v>
      </c>
      <c r="K1033" s="7">
        <v>0.65100000000000002</v>
      </c>
      <c r="L1033" s="9">
        <v>7479.32</v>
      </c>
      <c r="M1033" s="9">
        <v>7467.83</v>
      </c>
      <c r="N1033" s="9">
        <v>4.1100000000000003</v>
      </c>
      <c r="O1033" s="10">
        <f>IF(AND(OR(H1033="APPROVED",H1033="SCHEDULED"),COUNTIFS(tblSource[EventID],F1033,tblSource[ReleaseStatus],"APPROVED")=1,COUNTIFS(Period_Status!$A$2:$A$8,G1033,Period_Status!$B$2:$B$8,"ActualClosed")=1,C1033&gt;EOMONTH(Settlement_Bridge!$C$2,0)),1,0)</f>
        <v>0</v>
      </c>
      <c r="P1033" s="2" t="s">
        <v>2989</v>
      </c>
    </row>
    <row r="1034" spans="1:16" x14ac:dyDescent="0.25">
      <c r="A1034" s="2" t="s">
        <v>2990</v>
      </c>
      <c r="B1034" s="2" t="s">
        <v>136</v>
      </c>
      <c r="C1034" s="8">
        <v>46277</v>
      </c>
      <c r="D1034" s="6">
        <v>46266</v>
      </c>
      <c r="E1034" s="2" t="s">
        <v>260</v>
      </c>
      <c r="F1034" s="2" t="s">
        <v>2991</v>
      </c>
      <c r="G1034" s="6">
        <v>46235</v>
      </c>
      <c r="H1034" s="2" t="s">
        <v>176</v>
      </c>
      <c r="I1034" s="2" t="s">
        <v>39</v>
      </c>
      <c r="J1034" s="9">
        <v>7640.84</v>
      </c>
      <c r="K1034" s="7">
        <v>1</v>
      </c>
      <c r="L1034" s="9">
        <v>7640.84</v>
      </c>
      <c r="M1034" s="9">
        <v>7640.84</v>
      </c>
      <c r="N1034" s="9">
        <v>4.2</v>
      </c>
      <c r="O1034" s="10">
        <f>IF(AND(OR(H1034="APPROVED",H1034="SCHEDULED"),COUNTIFS(tblSource[EventID],F1034,tblSource[ReleaseStatus],"APPROVED")=1,COUNTIFS(Period_Status!$A$2:$A$8,G1034,Period_Status!$B$2:$B$8,"ActualClosed")=1,C1034&gt;EOMONTH(Settlement_Bridge!$C$2,0)),1,0)</f>
        <v>0</v>
      </c>
      <c r="P1034" s="2" t="s">
        <v>2992</v>
      </c>
    </row>
    <row r="1035" spans="1:16" x14ac:dyDescent="0.25">
      <c r="A1035" s="2" t="s">
        <v>2993</v>
      </c>
      <c r="B1035" s="2" t="s">
        <v>136</v>
      </c>
      <c r="C1035" s="8">
        <v>46268</v>
      </c>
      <c r="D1035" s="6">
        <v>46266</v>
      </c>
      <c r="E1035" s="2" t="s">
        <v>260</v>
      </c>
      <c r="F1035" s="2" t="s">
        <v>2994</v>
      </c>
      <c r="G1035" s="6">
        <v>46235</v>
      </c>
      <c r="H1035" s="2" t="s">
        <v>176</v>
      </c>
      <c r="I1035" s="2" t="s">
        <v>76</v>
      </c>
      <c r="J1035" s="9">
        <v>50821788.617885999</v>
      </c>
      <c r="K1035" s="7">
        <v>6.1299999999999999E-5</v>
      </c>
      <c r="L1035" s="9">
        <v>3115.38</v>
      </c>
      <c r="M1035" s="9">
        <v>3125.54</v>
      </c>
      <c r="N1035" s="9">
        <v>1.8</v>
      </c>
      <c r="O1035" s="10">
        <f>IF(AND(OR(H1035="APPROVED",H1035="SCHEDULED"),COUNTIFS(tblSource[EventID],F1035,tblSource[ReleaseStatus],"APPROVED")=1,COUNTIFS(Period_Status!$A$2:$A$8,G1035,Period_Status!$B$2:$B$8,"ActualClosed")=1,C1035&gt;EOMONTH(Settlement_Bridge!$C$2,0)),1,0)</f>
        <v>0</v>
      </c>
      <c r="P1035" s="2" t="s">
        <v>2995</v>
      </c>
    </row>
    <row r="1036" spans="1:16" x14ac:dyDescent="0.25">
      <c r="A1036" s="2" t="s">
        <v>2996</v>
      </c>
      <c r="B1036" s="2" t="s">
        <v>136</v>
      </c>
      <c r="C1036" s="8">
        <v>46293</v>
      </c>
      <c r="D1036" s="6">
        <v>46266</v>
      </c>
      <c r="E1036" s="2" t="s">
        <v>260</v>
      </c>
      <c r="F1036" s="2" t="s">
        <v>2994</v>
      </c>
      <c r="G1036" s="6">
        <v>46235</v>
      </c>
      <c r="H1036" s="2" t="s">
        <v>176</v>
      </c>
      <c r="I1036" s="2" t="s">
        <v>76</v>
      </c>
      <c r="J1036" s="9">
        <v>76232682.926828995</v>
      </c>
      <c r="K1036" s="7">
        <v>6.1299999999999999E-5</v>
      </c>
      <c r="L1036" s="9">
        <v>4673.0600000000004</v>
      </c>
      <c r="M1036" s="9">
        <v>4688.3100000000004</v>
      </c>
      <c r="N1036" s="9">
        <v>2.57</v>
      </c>
      <c r="O1036" s="10">
        <f>IF(AND(OR(H1036="APPROVED",H1036="SCHEDULED"),COUNTIFS(tblSource[EventID],F1036,tblSource[ReleaseStatus],"APPROVED")=1,COUNTIFS(Period_Status!$A$2:$A$8,G1036,Period_Status!$B$2:$B$8,"ActualClosed")=1,C1036&gt;EOMONTH(Settlement_Bridge!$C$2,0)),1,0)</f>
        <v>0</v>
      </c>
      <c r="P1036" s="2" t="s">
        <v>2997</v>
      </c>
    </row>
    <row r="1037" spans="1:16" x14ac:dyDescent="0.25">
      <c r="A1037" s="2" t="s">
        <v>2998</v>
      </c>
      <c r="B1037" s="2" t="s">
        <v>136</v>
      </c>
      <c r="C1037" s="8">
        <v>46269</v>
      </c>
      <c r="D1037" s="6">
        <v>46266</v>
      </c>
      <c r="E1037" s="2" t="s">
        <v>260</v>
      </c>
      <c r="F1037" s="2" t="s">
        <v>2999</v>
      </c>
      <c r="G1037" s="6">
        <v>46235</v>
      </c>
      <c r="H1037" s="2" t="s">
        <v>176</v>
      </c>
      <c r="I1037" s="2" t="s">
        <v>70</v>
      </c>
      <c r="J1037" s="9">
        <v>4914.990769</v>
      </c>
      <c r="K1037" s="7">
        <v>0.65100000000000002</v>
      </c>
      <c r="L1037" s="9">
        <v>3199.66</v>
      </c>
      <c r="M1037" s="9">
        <v>3194.74</v>
      </c>
      <c r="N1037" s="9">
        <v>1.8</v>
      </c>
      <c r="O1037" s="10">
        <f>IF(AND(OR(H1037="APPROVED",H1037="SCHEDULED"),COUNTIFS(tblSource[EventID],F1037,tblSource[ReleaseStatus],"APPROVED")=1,COUNTIFS(Period_Status!$A$2:$A$8,G1037,Period_Status!$B$2:$B$8,"ActualClosed")=1,C1037&gt;EOMONTH(Settlement_Bridge!$C$2,0)),1,0)</f>
        <v>0</v>
      </c>
      <c r="P1037" s="2" t="s">
        <v>3000</v>
      </c>
    </row>
    <row r="1038" spans="1:16" x14ac:dyDescent="0.25">
      <c r="A1038" s="2" t="s">
        <v>3001</v>
      </c>
      <c r="B1038" s="2" t="s">
        <v>136</v>
      </c>
      <c r="C1038" s="8">
        <v>46294</v>
      </c>
      <c r="D1038" s="6">
        <v>46266</v>
      </c>
      <c r="E1038" s="2" t="s">
        <v>260</v>
      </c>
      <c r="F1038" s="2" t="s">
        <v>2999</v>
      </c>
      <c r="G1038" s="6">
        <v>46235</v>
      </c>
      <c r="H1038" s="2" t="s">
        <v>176</v>
      </c>
      <c r="I1038" s="2" t="s">
        <v>70</v>
      </c>
      <c r="J1038" s="9">
        <v>7372.4861540000002</v>
      </c>
      <c r="K1038" s="7">
        <v>0.65100000000000002</v>
      </c>
      <c r="L1038" s="9">
        <v>4799.49</v>
      </c>
      <c r="M1038" s="9">
        <v>4792.12</v>
      </c>
      <c r="N1038" s="9">
        <v>2.64</v>
      </c>
      <c r="O1038" s="10">
        <f>IF(AND(OR(H1038="APPROVED",H1038="SCHEDULED"),COUNTIFS(tblSource[EventID],F1038,tblSource[ReleaseStatus],"APPROVED")=1,COUNTIFS(Period_Status!$A$2:$A$8,G1038,Period_Status!$B$2:$B$8,"ActualClosed")=1,C1038&gt;EOMONTH(Settlement_Bridge!$C$2,0)),1,0)</f>
        <v>0</v>
      </c>
      <c r="P1038" s="2" t="s">
        <v>3002</v>
      </c>
    </row>
    <row r="1039" spans="1:16" x14ac:dyDescent="0.25">
      <c r="A1039" s="2" t="s">
        <v>3003</v>
      </c>
      <c r="B1039" s="2" t="s">
        <v>136</v>
      </c>
      <c r="C1039" s="8">
        <v>46280</v>
      </c>
      <c r="D1039" s="6">
        <v>46266</v>
      </c>
      <c r="E1039" s="2" t="s">
        <v>260</v>
      </c>
      <c r="F1039" s="2" t="s">
        <v>3004</v>
      </c>
      <c r="G1039" s="6">
        <v>46235</v>
      </c>
      <c r="H1039" s="2" t="s">
        <v>176</v>
      </c>
      <c r="I1039" s="2" t="s">
        <v>39</v>
      </c>
      <c r="J1039" s="9">
        <v>8159.87</v>
      </c>
      <c r="K1039" s="7">
        <v>1</v>
      </c>
      <c r="L1039" s="9">
        <v>8159.87</v>
      </c>
      <c r="M1039" s="9">
        <v>8159.87</v>
      </c>
      <c r="N1039" s="9">
        <v>4.49</v>
      </c>
      <c r="O1039" s="10">
        <f>IF(AND(OR(H1039="APPROVED",H1039="SCHEDULED"),COUNTIFS(tblSource[EventID],F1039,tblSource[ReleaseStatus],"APPROVED")=1,COUNTIFS(Period_Status!$A$2:$A$8,G1039,Period_Status!$B$2:$B$8,"ActualClosed")=1,C1039&gt;EOMONTH(Settlement_Bridge!$C$2,0)),1,0)</f>
        <v>0</v>
      </c>
      <c r="P1039" s="2" t="s">
        <v>3005</v>
      </c>
    </row>
    <row r="1040" spans="1:16" x14ac:dyDescent="0.25">
      <c r="A1040" s="2" t="s">
        <v>3006</v>
      </c>
      <c r="B1040" s="2" t="s">
        <v>136</v>
      </c>
      <c r="C1040" s="8">
        <v>46281</v>
      </c>
      <c r="D1040" s="6">
        <v>46266</v>
      </c>
      <c r="E1040" s="2" t="s">
        <v>260</v>
      </c>
      <c r="F1040" s="2" t="s">
        <v>3007</v>
      </c>
      <c r="G1040" s="6">
        <v>46235</v>
      </c>
      <c r="H1040" s="2" t="s">
        <v>176</v>
      </c>
      <c r="I1040" s="2" t="s">
        <v>76</v>
      </c>
      <c r="J1040" s="9">
        <v>135493983.73983699</v>
      </c>
      <c r="K1040" s="7">
        <v>6.1299999999999999E-5</v>
      </c>
      <c r="L1040" s="9">
        <v>8305.7800000000007</v>
      </c>
      <c r="M1040" s="9">
        <v>8332.8799999999992</v>
      </c>
      <c r="N1040" s="9">
        <v>4.57</v>
      </c>
      <c r="O1040" s="10">
        <f>IF(AND(OR(H1040="APPROVED",H1040="SCHEDULED"),COUNTIFS(tblSource[EventID],F1040,tblSource[ReleaseStatus],"APPROVED")=1,COUNTIFS(Period_Status!$A$2:$A$8,G1040,Period_Status!$B$2:$B$8,"ActualClosed")=1,C1040&gt;EOMONTH(Settlement_Bridge!$C$2,0)),1,0)</f>
        <v>0</v>
      </c>
      <c r="P1040" s="2" t="s">
        <v>3008</v>
      </c>
    </row>
    <row r="1041" spans="1:16" x14ac:dyDescent="0.25">
      <c r="A1041" s="2" t="s">
        <v>3009</v>
      </c>
      <c r="B1041" s="2" t="s">
        <v>136</v>
      </c>
      <c r="C1041" s="8">
        <v>46272</v>
      </c>
      <c r="D1041" s="6">
        <v>46266</v>
      </c>
      <c r="E1041" s="2" t="s">
        <v>260</v>
      </c>
      <c r="F1041" s="2" t="s">
        <v>3010</v>
      </c>
      <c r="G1041" s="6">
        <v>46235</v>
      </c>
      <c r="H1041" s="2" t="s">
        <v>176</v>
      </c>
      <c r="I1041" s="2" t="s">
        <v>70</v>
      </c>
      <c r="J1041" s="9">
        <v>5234.3938459999999</v>
      </c>
      <c r="K1041" s="7">
        <v>0.65100000000000002</v>
      </c>
      <c r="L1041" s="9">
        <v>3407.59</v>
      </c>
      <c r="M1041" s="9">
        <v>3402.36</v>
      </c>
      <c r="N1041" s="9">
        <v>1.87</v>
      </c>
      <c r="O1041" s="10">
        <f>IF(AND(OR(H1041="APPROVED",H1041="SCHEDULED"),COUNTIFS(tblSource[EventID],F1041,tblSource[ReleaseStatus],"APPROVED")=1,COUNTIFS(Period_Status!$A$2:$A$8,G1041,Period_Status!$B$2:$B$8,"ActualClosed")=1,C1041&gt;EOMONTH(Settlement_Bridge!$C$2,0)),1,0)</f>
        <v>0</v>
      </c>
      <c r="P1041" s="2" t="s">
        <v>3011</v>
      </c>
    </row>
    <row r="1042" spans="1:16" x14ac:dyDescent="0.25">
      <c r="A1042" s="2" t="s">
        <v>3012</v>
      </c>
      <c r="B1042" s="2" t="s">
        <v>136</v>
      </c>
      <c r="C1042" s="8">
        <v>46297</v>
      </c>
      <c r="D1042" s="6">
        <v>46296</v>
      </c>
      <c r="E1042" s="2" t="s">
        <v>260</v>
      </c>
      <c r="F1042" s="2" t="s">
        <v>3010</v>
      </c>
      <c r="G1042" s="6">
        <v>46235</v>
      </c>
      <c r="H1042" s="2" t="s">
        <v>176</v>
      </c>
      <c r="I1042" s="2" t="s">
        <v>70</v>
      </c>
      <c r="J1042" s="9">
        <v>7851.5907690000004</v>
      </c>
      <c r="K1042" s="7">
        <v>0.65500000000000003</v>
      </c>
      <c r="L1042" s="9">
        <v>5142.79</v>
      </c>
      <c r="M1042" s="9">
        <v>5103.53</v>
      </c>
      <c r="N1042" s="9">
        <v>2.83</v>
      </c>
      <c r="O1042" s="10">
        <f>IF(AND(OR(H1042="APPROVED",H1042="SCHEDULED"),COUNTIFS(tblSource[EventID],F1042,tblSource[ReleaseStatus],"APPROVED")=1,COUNTIFS(Period_Status!$A$2:$A$8,G1042,Period_Status!$B$2:$B$8,"ActualClosed")=1,C1042&gt;EOMONTH(Settlement_Bridge!$C$2,0)),1,0)</f>
        <v>0</v>
      </c>
      <c r="P1042" s="2" t="s">
        <v>3013</v>
      </c>
    </row>
    <row r="1043" spans="1:16" x14ac:dyDescent="0.25">
      <c r="A1043" s="2" t="s">
        <v>3014</v>
      </c>
      <c r="B1043" s="2" t="s">
        <v>136</v>
      </c>
      <c r="C1043" s="8">
        <v>46283</v>
      </c>
      <c r="D1043" s="6">
        <v>46266</v>
      </c>
      <c r="E1043" s="2" t="s">
        <v>260</v>
      </c>
      <c r="F1043" s="2" t="s">
        <v>3015</v>
      </c>
      <c r="G1043" s="6">
        <v>46235</v>
      </c>
      <c r="H1043" s="2" t="s">
        <v>176</v>
      </c>
      <c r="I1043" s="2" t="s">
        <v>39</v>
      </c>
      <c r="J1043" s="9">
        <v>8678.9</v>
      </c>
      <c r="K1043" s="7">
        <v>1</v>
      </c>
      <c r="L1043" s="9">
        <v>8678.9</v>
      </c>
      <c r="M1043" s="9">
        <v>8678.9</v>
      </c>
      <c r="N1043" s="9">
        <v>4.7699999999999996</v>
      </c>
      <c r="O1043" s="10">
        <f>IF(AND(OR(H1043="APPROVED",H1043="SCHEDULED"),COUNTIFS(tblSource[EventID],F1043,tblSource[ReleaseStatus],"APPROVED")=1,COUNTIFS(Period_Status!$A$2:$A$8,G1043,Period_Status!$B$2:$B$8,"ActualClosed")=1,C1043&gt;EOMONTH(Settlement_Bridge!$C$2,0)),1,0)</f>
        <v>0</v>
      </c>
      <c r="P1043" s="2" t="s">
        <v>3016</v>
      </c>
    </row>
    <row r="1044" spans="1:16" x14ac:dyDescent="0.25">
      <c r="A1044" s="2" t="s">
        <v>3017</v>
      </c>
      <c r="B1044" s="2" t="s">
        <v>136</v>
      </c>
      <c r="C1044" s="8">
        <v>46284</v>
      </c>
      <c r="D1044" s="6">
        <v>46266</v>
      </c>
      <c r="E1044" s="2" t="s">
        <v>260</v>
      </c>
      <c r="F1044" s="2" t="s">
        <v>3018</v>
      </c>
      <c r="G1044" s="6">
        <v>46235</v>
      </c>
      <c r="H1044" s="2" t="s">
        <v>176</v>
      </c>
      <c r="I1044" s="2" t="s">
        <v>76</v>
      </c>
      <c r="J1044" s="9">
        <v>143933495.93495899</v>
      </c>
      <c r="K1044" s="7">
        <v>6.1299999999999999E-5</v>
      </c>
      <c r="L1044" s="9">
        <v>8823.1200000000008</v>
      </c>
      <c r="M1044" s="9">
        <v>8851.91</v>
      </c>
      <c r="N1044" s="9">
        <v>4.8499999999999996</v>
      </c>
      <c r="O1044" s="10">
        <f>IF(AND(OR(H1044="APPROVED",H1044="SCHEDULED"),COUNTIFS(tblSource[EventID],F1044,tblSource[ReleaseStatus],"APPROVED")=1,COUNTIFS(Period_Status!$A$2:$A$8,G1044,Period_Status!$B$2:$B$8,"ActualClosed")=1,C1044&gt;EOMONTH(Settlement_Bridge!$C$2,0)),1,0)</f>
        <v>0</v>
      </c>
      <c r="P1044" s="2" t="s">
        <v>3019</v>
      </c>
    </row>
    <row r="1045" spans="1:16" x14ac:dyDescent="0.25">
      <c r="A1045" s="2" t="s">
        <v>3020</v>
      </c>
      <c r="B1045" s="2" t="s">
        <v>136</v>
      </c>
      <c r="C1045" s="8">
        <v>46285</v>
      </c>
      <c r="D1045" s="6">
        <v>46266</v>
      </c>
      <c r="E1045" s="2" t="s">
        <v>260</v>
      </c>
      <c r="F1045" s="2" t="s">
        <v>3021</v>
      </c>
      <c r="G1045" s="6">
        <v>46235</v>
      </c>
      <c r="H1045" s="2" t="s">
        <v>176</v>
      </c>
      <c r="I1045" s="2" t="s">
        <v>70</v>
      </c>
      <c r="J1045" s="9">
        <v>13884.492308000001</v>
      </c>
      <c r="K1045" s="7">
        <v>0.65100000000000002</v>
      </c>
      <c r="L1045" s="9">
        <v>9038.7999999999993</v>
      </c>
      <c r="M1045" s="9">
        <v>9024.92</v>
      </c>
      <c r="N1045" s="9">
        <v>4.97</v>
      </c>
      <c r="O1045" s="10">
        <f>IF(AND(OR(H1045="APPROVED",H1045="SCHEDULED"),COUNTIFS(tblSource[EventID],F1045,tblSource[ReleaseStatus],"APPROVED")=1,COUNTIFS(Period_Status!$A$2:$A$8,G1045,Period_Status!$B$2:$B$8,"ActualClosed")=1,C1045&gt;EOMONTH(Settlement_Bridge!$C$2,0)),1,0)</f>
        <v>0</v>
      </c>
      <c r="P1045" s="2" t="s">
        <v>3022</v>
      </c>
    </row>
    <row r="1046" spans="1:16" x14ac:dyDescent="0.25">
      <c r="A1046" s="2" t="s">
        <v>3023</v>
      </c>
      <c r="B1046" s="2" t="s">
        <v>136</v>
      </c>
      <c r="C1046" s="8">
        <v>46286</v>
      </c>
      <c r="D1046" s="6">
        <v>46266</v>
      </c>
      <c r="E1046" s="2" t="s">
        <v>260</v>
      </c>
      <c r="F1046" s="2" t="s">
        <v>3024</v>
      </c>
      <c r="G1046" s="6">
        <v>46235</v>
      </c>
      <c r="H1046" s="2" t="s">
        <v>176</v>
      </c>
      <c r="I1046" s="2" t="s">
        <v>39</v>
      </c>
      <c r="J1046" s="9">
        <v>9197.93</v>
      </c>
      <c r="K1046" s="7">
        <v>1</v>
      </c>
      <c r="L1046" s="9">
        <v>9197.93</v>
      </c>
      <c r="M1046" s="9">
        <v>9197.93</v>
      </c>
      <c r="N1046" s="9">
        <v>5.0599999999999996</v>
      </c>
      <c r="O1046" s="10">
        <f>IF(AND(OR(H1046="APPROVED",H1046="SCHEDULED"),COUNTIFS(tblSource[EventID],F1046,tblSource[ReleaseStatus],"APPROVED")=1,COUNTIFS(Period_Status!$A$2:$A$8,G1046,Period_Status!$B$2:$B$8,"ActualClosed")=1,C1046&gt;EOMONTH(Settlement_Bridge!$C$2,0)),1,0)</f>
        <v>0</v>
      </c>
      <c r="P1046" s="2" t="s">
        <v>3025</v>
      </c>
    </row>
    <row r="1047" spans="1:16" x14ac:dyDescent="0.25">
      <c r="A1047" s="2" t="s">
        <v>3026</v>
      </c>
      <c r="B1047" s="2" t="s">
        <v>136</v>
      </c>
      <c r="C1047" s="8">
        <v>46287</v>
      </c>
      <c r="D1047" s="6">
        <v>46266</v>
      </c>
      <c r="E1047" s="2" t="s">
        <v>260</v>
      </c>
      <c r="F1047" s="2" t="s">
        <v>3027</v>
      </c>
      <c r="G1047" s="6">
        <v>46235</v>
      </c>
      <c r="H1047" s="2" t="s">
        <v>176</v>
      </c>
      <c r="I1047" s="2" t="s">
        <v>76</v>
      </c>
      <c r="J1047" s="9">
        <v>152373008.130081</v>
      </c>
      <c r="K1047" s="7">
        <v>6.1299999999999999E-5</v>
      </c>
      <c r="L1047" s="9">
        <v>9340.4699999999993</v>
      </c>
      <c r="M1047" s="9">
        <v>9370.94</v>
      </c>
      <c r="N1047" s="9">
        <v>5.14</v>
      </c>
      <c r="O1047" s="10">
        <f>IF(AND(OR(H1047="APPROVED",H1047="SCHEDULED"),COUNTIFS(tblSource[EventID],F1047,tblSource[ReleaseStatus],"APPROVED")=1,COUNTIFS(Period_Status!$A$2:$A$8,G1047,Period_Status!$B$2:$B$8,"ActualClosed")=1,C1047&gt;EOMONTH(Settlement_Bridge!$C$2,0)),1,0)</f>
        <v>0</v>
      </c>
      <c r="P1047" s="2" t="s">
        <v>3028</v>
      </c>
    </row>
    <row r="1048" spans="1:16" x14ac:dyDescent="0.25">
      <c r="A1048" s="2" t="s">
        <v>3029</v>
      </c>
      <c r="B1048" s="2" t="s">
        <v>136</v>
      </c>
      <c r="C1048" s="8">
        <v>46278</v>
      </c>
      <c r="D1048" s="6">
        <v>46266</v>
      </c>
      <c r="E1048" s="2" t="s">
        <v>260</v>
      </c>
      <c r="F1048" s="2" t="s">
        <v>3030</v>
      </c>
      <c r="G1048" s="6">
        <v>46235</v>
      </c>
      <c r="H1048" s="2" t="s">
        <v>176</v>
      </c>
      <c r="I1048" s="2" t="s">
        <v>70</v>
      </c>
      <c r="J1048" s="9">
        <v>5873.2</v>
      </c>
      <c r="K1048" s="7">
        <v>0.65100000000000002</v>
      </c>
      <c r="L1048" s="9">
        <v>3823.45</v>
      </c>
      <c r="M1048" s="9">
        <v>3817.58</v>
      </c>
      <c r="N1048" s="9">
        <v>2.1</v>
      </c>
      <c r="O1048" s="10">
        <f>IF(AND(OR(H1048="APPROVED",H1048="SCHEDULED"),COUNTIFS(tblSource[EventID],F1048,tblSource[ReleaseStatus],"APPROVED")=1,COUNTIFS(Period_Status!$A$2:$A$8,G1048,Period_Status!$B$2:$B$8,"ActualClosed")=1,C1048&gt;EOMONTH(Settlement_Bridge!$C$2,0)),1,0)</f>
        <v>0</v>
      </c>
      <c r="P1048" s="2" t="s">
        <v>3031</v>
      </c>
    </row>
    <row r="1049" spans="1:16" x14ac:dyDescent="0.25">
      <c r="A1049" s="2" t="s">
        <v>3032</v>
      </c>
      <c r="B1049" s="2" t="s">
        <v>136</v>
      </c>
      <c r="C1049" s="8">
        <v>46303</v>
      </c>
      <c r="D1049" s="6">
        <v>46296</v>
      </c>
      <c r="E1049" s="2" t="s">
        <v>260</v>
      </c>
      <c r="F1049" s="2" t="s">
        <v>3030</v>
      </c>
      <c r="G1049" s="6">
        <v>46235</v>
      </c>
      <c r="H1049" s="2" t="s">
        <v>176</v>
      </c>
      <c r="I1049" s="2" t="s">
        <v>70</v>
      </c>
      <c r="J1049" s="9">
        <v>8809.7999999999993</v>
      </c>
      <c r="K1049" s="7">
        <v>0.65500000000000003</v>
      </c>
      <c r="L1049" s="9">
        <v>5770.42</v>
      </c>
      <c r="M1049" s="9">
        <v>5726.37</v>
      </c>
      <c r="N1049" s="9">
        <v>3.17</v>
      </c>
      <c r="O1049" s="10">
        <f>IF(AND(OR(H1049="APPROVED",H1049="SCHEDULED"),COUNTIFS(tblSource[EventID],F1049,tblSource[ReleaseStatus],"APPROVED")=1,COUNTIFS(Period_Status!$A$2:$A$8,G1049,Period_Status!$B$2:$B$8,"ActualClosed")=1,C1049&gt;EOMONTH(Settlement_Bridge!$C$2,0)),1,0)</f>
        <v>0</v>
      </c>
      <c r="P1049" s="2" t="s">
        <v>3033</v>
      </c>
    </row>
    <row r="1050" spans="1:16" x14ac:dyDescent="0.25">
      <c r="A1050" s="2" t="s">
        <v>3034</v>
      </c>
      <c r="B1050" s="2" t="s">
        <v>136</v>
      </c>
      <c r="C1050" s="8">
        <v>46279</v>
      </c>
      <c r="D1050" s="6">
        <v>46266</v>
      </c>
      <c r="E1050" s="2" t="s">
        <v>260</v>
      </c>
      <c r="F1050" s="2" t="s">
        <v>3035</v>
      </c>
      <c r="G1050" s="6">
        <v>46235</v>
      </c>
      <c r="H1050" s="2" t="s">
        <v>176</v>
      </c>
      <c r="I1050" s="2" t="s">
        <v>39</v>
      </c>
      <c r="J1050" s="9">
        <v>3886.7840000000001</v>
      </c>
      <c r="K1050" s="7">
        <v>1</v>
      </c>
      <c r="L1050" s="9">
        <v>3886.78</v>
      </c>
      <c r="M1050" s="9">
        <v>3886.78</v>
      </c>
      <c r="N1050" s="9">
        <v>2.14</v>
      </c>
      <c r="O1050" s="10">
        <f>IF(AND(OR(H1050="APPROVED",H1050="SCHEDULED"),COUNTIFS(tblSource[EventID],F1050,tblSource[ReleaseStatus],"APPROVED")=1,COUNTIFS(Period_Status!$A$2:$A$8,G1050,Period_Status!$B$2:$B$8,"ActualClosed")=1,C1050&gt;EOMONTH(Settlement_Bridge!$C$2,0)),1,0)</f>
        <v>0</v>
      </c>
      <c r="P1050" s="2" t="s">
        <v>3036</v>
      </c>
    </row>
    <row r="1051" spans="1:16" x14ac:dyDescent="0.25">
      <c r="A1051" s="2" t="s">
        <v>3037</v>
      </c>
      <c r="B1051" s="2" t="s">
        <v>136</v>
      </c>
      <c r="C1051" s="8">
        <v>46304</v>
      </c>
      <c r="D1051" s="6">
        <v>46296</v>
      </c>
      <c r="E1051" s="2" t="s">
        <v>260</v>
      </c>
      <c r="F1051" s="2" t="s">
        <v>3035</v>
      </c>
      <c r="G1051" s="6">
        <v>46235</v>
      </c>
      <c r="H1051" s="2" t="s">
        <v>176</v>
      </c>
      <c r="I1051" s="2" t="s">
        <v>39</v>
      </c>
      <c r="J1051" s="9">
        <v>5830.1760000000004</v>
      </c>
      <c r="K1051" s="7">
        <v>1</v>
      </c>
      <c r="L1051" s="9">
        <v>5830.18</v>
      </c>
      <c r="M1051" s="9">
        <v>5830.18</v>
      </c>
      <c r="N1051" s="9">
        <v>3.21</v>
      </c>
      <c r="O1051" s="10">
        <f>IF(AND(OR(H1051="APPROVED",H1051="SCHEDULED"),COUNTIFS(tblSource[EventID],F1051,tblSource[ReleaseStatus],"APPROVED")=1,COUNTIFS(Period_Status!$A$2:$A$8,G1051,Period_Status!$B$2:$B$8,"ActualClosed")=1,C1051&gt;EOMONTH(Settlement_Bridge!$C$2,0)),1,0)</f>
        <v>0</v>
      </c>
      <c r="P1051" s="2" t="s">
        <v>3038</v>
      </c>
    </row>
    <row r="1052" spans="1:16" x14ac:dyDescent="0.25">
      <c r="A1052" s="2" t="s">
        <v>3039</v>
      </c>
      <c r="B1052" s="2" t="s">
        <v>136</v>
      </c>
      <c r="C1052" s="8">
        <v>46259</v>
      </c>
      <c r="D1052" s="6">
        <v>46235</v>
      </c>
      <c r="E1052" s="2" t="s">
        <v>260</v>
      </c>
      <c r="F1052" s="2" t="s">
        <v>3040</v>
      </c>
      <c r="G1052" s="6">
        <v>46235</v>
      </c>
      <c r="H1052" s="2" t="s">
        <v>71</v>
      </c>
      <c r="I1052" s="2" t="s">
        <v>76</v>
      </c>
      <c r="J1052" s="9">
        <v>160796747.96748</v>
      </c>
      <c r="K1052" s="7">
        <v>6.1500000000000004E-5</v>
      </c>
      <c r="L1052" s="9">
        <v>9889</v>
      </c>
      <c r="M1052" s="9">
        <v>9889</v>
      </c>
      <c r="N1052" s="9">
        <v>5.44</v>
      </c>
      <c r="O1052" s="10">
        <f>IF(AND(OR(H1052="APPROVED",H1052="SCHEDULED"),COUNTIFS(tblSource[EventID],F1052,tblSource[ReleaseStatus],"APPROVED")=1,COUNTIFS(Period_Status!$A$2:$A$8,G1052,Period_Status!$B$2:$B$8,"ActualClosed")=1,C1052&gt;EOMONTH(Settlement_Bridge!$C$2,0)),1,0)</f>
        <v>0</v>
      </c>
      <c r="P1052" s="2" t="s">
        <v>3041</v>
      </c>
    </row>
    <row r="1053" spans="1:16" x14ac:dyDescent="0.25">
      <c r="A1053" s="2" t="s">
        <v>3042</v>
      </c>
      <c r="B1053" s="2" t="s">
        <v>136</v>
      </c>
      <c r="C1053" s="8">
        <v>46260</v>
      </c>
      <c r="D1053" s="6">
        <v>46235</v>
      </c>
      <c r="E1053" s="2" t="s">
        <v>260</v>
      </c>
      <c r="F1053" s="2" t="s">
        <v>3043</v>
      </c>
      <c r="G1053" s="6">
        <v>46235</v>
      </c>
      <c r="H1053" s="2" t="s">
        <v>71</v>
      </c>
      <c r="I1053" s="2" t="s">
        <v>70</v>
      </c>
      <c r="J1053" s="9">
        <v>15480.015385000001</v>
      </c>
      <c r="K1053" s="7">
        <v>0.65</v>
      </c>
      <c r="L1053" s="9">
        <v>10062.01</v>
      </c>
      <c r="M1053" s="9">
        <v>10062.01</v>
      </c>
      <c r="N1053" s="9">
        <v>5.53</v>
      </c>
      <c r="O1053" s="10">
        <f>IF(AND(OR(H1053="APPROVED",H1053="SCHEDULED"),COUNTIFS(tblSource[EventID],F1053,tblSource[ReleaseStatus],"APPROVED")=1,COUNTIFS(Period_Status!$A$2:$A$8,G1053,Period_Status!$B$2:$B$8,"ActualClosed")=1,C1053&gt;EOMONTH(Settlement_Bridge!$C$2,0)),1,0)</f>
        <v>0</v>
      </c>
      <c r="P1053" s="2" t="s">
        <v>3044</v>
      </c>
    </row>
    <row r="1054" spans="1:16" x14ac:dyDescent="0.25">
      <c r="A1054" s="2" t="s">
        <v>3045</v>
      </c>
      <c r="B1054" s="2" t="s">
        <v>136</v>
      </c>
      <c r="C1054" s="8">
        <v>46251</v>
      </c>
      <c r="D1054" s="6">
        <v>46235</v>
      </c>
      <c r="E1054" s="2" t="s">
        <v>260</v>
      </c>
      <c r="F1054" s="2" t="s">
        <v>3046</v>
      </c>
      <c r="G1054" s="6">
        <v>46235</v>
      </c>
      <c r="H1054" s="2" t="s">
        <v>71</v>
      </c>
      <c r="I1054" s="2" t="s">
        <v>39</v>
      </c>
      <c r="J1054" s="9">
        <v>4094.0079999999998</v>
      </c>
      <c r="K1054" s="7">
        <v>1</v>
      </c>
      <c r="L1054" s="9">
        <v>4094.01</v>
      </c>
      <c r="M1054" s="9">
        <v>4094.01</v>
      </c>
      <c r="N1054" s="9">
        <v>2.25</v>
      </c>
      <c r="O1054" s="10">
        <f>IF(AND(OR(H1054="APPROVED",H1054="SCHEDULED"),COUNTIFS(tblSource[EventID],F1054,tblSource[ReleaseStatus],"APPROVED")=1,COUNTIFS(Period_Status!$A$2:$A$8,G1054,Period_Status!$B$2:$B$8,"ActualClosed")=1,C1054&gt;EOMONTH(Settlement_Bridge!$C$2,0)),1,0)</f>
        <v>0</v>
      </c>
      <c r="P1054" s="2" t="s">
        <v>3047</v>
      </c>
    </row>
    <row r="1055" spans="1:16" x14ac:dyDescent="0.25">
      <c r="A1055" s="2" t="s">
        <v>3048</v>
      </c>
      <c r="B1055" s="2" t="s">
        <v>136</v>
      </c>
      <c r="C1055" s="8">
        <v>46276</v>
      </c>
      <c r="D1055" s="6">
        <v>46266</v>
      </c>
      <c r="E1055" s="2" t="s">
        <v>260</v>
      </c>
      <c r="F1055" s="2" t="s">
        <v>3046</v>
      </c>
      <c r="G1055" s="6">
        <v>46235</v>
      </c>
      <c r="H1055" s="2" t="s">
        <v>176</v>
      </c>
      <c r="I1055" s="2" t="s">
        <v>39</v>
      </c>
      <c r="J1055" s="9">
        <v>6141.0119999999997</v>
      </c>
      <c r="K1055" s="7">
        <v>1</v>
      </c>
      <c r="L1055" s="9">
        <v>6141.01</v>
      </c>
      <c r="M1055" s="9">
        <v>6141.01</v>
      </c>
      <c r="N1055" s="9">
        <v>3.38</v>
      </c>
      <c r="O1055" s="10">
        <f>IF(AND(OR(H1055="APPROVED",H1055="SCHEDULED"),COUNTIFS(tblSource[EventID],F1055,tblSource[ReleaseStatus],"APPROVED")=1,COUNTIFS(Period_Status!$A$2:$A$8,G1055,Period_Status!$B$2:$B$8,"ActualClosed")=1,C1055&gt;EOMONTH(Settlement_Bridge!$C$2,0)),1,0)</f>
        <v>0</v>
      </c>
      <c r="P1055" s="2" t="s">
        <v>3049</v>
      </c>
    </row>
    <row r="1056" spans="1:16" x14ac:dyDescent="0.25">
      <c r="A1056" s="2" t="s">
        <v>3050</v>
      </c>
      <c r="B1056" s="2" t="s">
        <v>136</v>
      </c>
      <c r="C1056" s="8">
        <v>46262</v>
      </c>
      <c r="D1056" s="6">
        <v>46235</v>
      </c>
      <c r="E1056" s="2" t="s">
        <v>260</v>
      </c>
      <c r="F1056" s="2" t="s">
        <v>3051</v>
      </c>
      <c r="G1056" s="6">
        <v>46235</v>
      </c>
      <c r="H1056" s="2" t="s">
        <v>71</v>
      </c>
      <c r="I1056" s="2" t="s">
        <v>76</v>
      </c>
      <c r="J1056" s="9">
        <v>-169236260.16260201</v>
      </c>
      <c r="K1056" s="7">
        <v>6.1500000000000004E-5</v>
      </c>
      <c r="L1056" s="9">
        <v>-10408.030000000001</v>
      </c>
      <c r="M1056" s="9">
        <v>-10408.030000000001</v>
      </c>
      <c r="N1056" s="9">
        <v>0</v>
      </c>
      <c r="O1056" s="10">
        <f>IF(AND(OR(H1056="APPROVED",H1056="SCHEDULED"),COUNTIFS(tblSource[EventID],F1056,tblSource[ReleaseStatus],"APPROVED")=1,COUNTIFS(Period_Status!$A$2:$A$8,G1056,Period_Status!$B$2:$B$8,"ActualClosed")=1,C1056&gt;EOMONTH(Settlement_Bridge!$C$2,0)),1,0)</f>
        <v>0</v>
      </c>
      <c r="P1056" s="2" t="s">
        <v>3052</v>
      </c>
    </row>
    <row r="1057" spans="1:16" x14ac:dyDescent="0.25">
      <c r="A1057" s="2" t="s">
        <v>3053</v>
      </c>
      <c r="B1057" s="2" t="s">
        <v>136</v>
      </c>
      <c r="C1057" s="8">
        <v>46263</v>
      </c>
      <c r="D1057" s="6">
        <v>46235</v>
      </c>
      <c r="E1057" s="2" t="s">
        <v>260</v>
      </c>
      <c r="F1057" s="2" t="s">
        <v>3054</v>
      </c>
      <c r="G1057" s="6">
        <v>46235</v>
      </c>
      <c r="H1057" s="2" t="s">
        <v>71</v>
      </c>
      <c r="I1057" s="2" t="s">
        <v>70</v>
      </c>
      <c r="J1057" s="9">
        <v>16278.523077</v>
      </c>
      <c r="K1057" s="7">
        <v>0.65</v>
      </c>
      <c r="L1057" s="9">
        <v>10581.04</v>
      </c>
      <c r="M1057" s="9">
        <v>10581.04</v>
      </c>
      <c r="N1057" s="9">
        <v>5.82</v>
      </c>
      <c r="O1057" s="10">
        <f>IF(AND(OR(H1057="APPROVED",H1057="SCHEDULED"),COUNTIFS(tblSource[EventID],F1057,tblSource[ReleaseStatus],"APPROVED")=1,COUNTIFS(Period_Status!$A$2:$A$8,G1057,Period_Status!$B$2:$B$8,"ActualClosed")=1,C1057&gt;EOMONTH(Settlement_Bridge!$C$2,0)),1,0)</f>
        <v>0</v>
      </c>
      <c r="P1057" s="2" t="s">
        <v>3055</v>
      </c>
    </row>
    <row r="1058" spans="1:16" x14ac:dyDescent="0.25">
      <c r="A1058" s="2" t="s">
        <v>3056</v>
      </c>
      <c r="B1058" s="2" t="s">
        <v>136</v>
      </c>
      <c r="C1058" s="8">
        <v>46264</v>
      </c>
      <c r="D1058" s="6">
        <v>46235</v>
      </c>
      <c r="E1058" s="2" t="s">
        <v>260</v>
      </c>
      <c r="F1058" s="2" t="s">
        <v>3057</v>
      </c>
      <c r="G1058" s="6">
        <v>46235</v>
      </c>
      <c r="H1058" s="2" t="s">
        <v>71</v>
      </c>
      <c r="I1058" s="2" t="s">
        <v>39</v>
      </c>
      <c r="J1058" s="9">
        <v>10754.05</v>
      </c>
      <c r="K1058" s="7">
        <v>1</v>
      </c>
      <c r="L1058" s="9">
        <v>10754.05</v>
      </c>
      <c r="M1058" s="9">
        <v>10754.05</v>
      </c>
      <c r="N1058" s="9">
        <v>5.91</v>
      </c>
      <c r="O1058" s="10">
        <f>IF(AND(OR(H1058="APPROVED",H1058="SCHEDULED"),COUNTIFS(tblSource[EventID],F1058,tblSource[ReleaseStatus],"APPROVED")=1,COUNTIFS(Period_Status!$A$2:$A$8,G1058,Period_Status!$B$2:$B$8,"ActualClosed")=1,C1058&gt;EOMONTH(Settlement_Bridge!$C$2,0)),1,0)</f>
        <v>0</v>
      </c>
      <c r="P1058" s="2" t="s">
        <v>3058</v>
      </c>
    </row>
    <row r="1059" spans="1:16" x14ac:dyDescent="0.25">
      <c r="A1059" s="2" t="s">
        <v>3059</v>
      </c>
      <c r="B1059" s="2" t="s">
        <v>136</v>
      </c>
      <c r="C1059" s="8">
        <v>46265</v>
      </c>
      <c r="D1059" s="6">
        <v>46235</v>
      </c>
      <c r="E1059" s="2" t="s">
        <v>260</v>
      </c>
      <c r="F1059" s="2" t="s">
        <v>3060</v>
      </c>
      <c r="G1059" s="6">
        <v>46235</v>
      </c>
      <c r="H1059" s="2" t="s">
        <v>71</v>
      </c>
      <c r="I1059" s="2" t="s">
        <v>76</v>
      </c>
      <c r="J1059" s="9">
        <v>177675772.35772401</v>
      </c>
      <c r="K1059" s="7">
        <v>6.1500000000000004E-5</v>
      </c>
      <c r="L1059" s="9">
        <v>10927.06</v>
      </c>
      <c r="M1059" s="9">
        <v>10927.06</v>
      </c>
      <c r="N1059" s="9">
        <v>6.01</v>
      </c>
      <c r="O1059" s="10">
        <f>IF(AND(OR(H1059="APPROVED",H1059="SCHEDULED"),COUNTIFS(tblSource[EventID],F1059,tblSource[ReleaseStatus],"APPROVED")=1,COUNTIFS(Period_Status!$A$2:$A$8,G1059,Period_Status!$B$2:$B$8,"ActualClosed")=1,C1059&gt;EOMONTH(Settlement_Bridge!$C$2,0)),1,0)</f>
        <v>0</v>
      </c>
      <c r="P1059" s="2" t="s">
        <v>3061</v>
      </c>
    </row>
    <row r="1060" spans="1:16" x14ac:dyDescent="0.25">
      <c r="A1060" s="2" t="s">
        <v>3062</v>
      </c>
      <c r="B1060" s="2" t="s">
        <v>136</v>
      </c>
      <c r="C1060" s="8">
        <v>46266</v>
      </c>
      <c r="D1060" s="6">
        <v>46266</v>
      </c>
      <c r="E1060" s="2" t="s">
        <v>260</v>
      </c>
      <c r="F1060" s="2" t="s">
        <v>3063</v>
      </c>
      <c r="G1060" s="6">
        <v>46235</v>
      </c>
      <c r="H1060" s="2" t="s">
        <v>176</v>
      </c>
      <c r="I1060" s="2" t="s">
        <v>70</v>
      </c>
      <c r="J1060" s="9">
        <v>17077.030769000001</v>
      </c>
      <c r="K1060" s="7">
        <v>0.65100000000000002</v>
      </c>
      <c r="L1060" s="9">
        <v>11117.15</v>
      </c>
      <c r="M1060" s="9">
        <v>11100.07</v>
      </c>
      <c r="N1060" s="9">
        <v>6.11</v>
      </c>
      <c r="O1060" s="10">
        <f>IF(AND(OR(H1060="APPROVED",H1060="SCHEDULED"),COUNTIFS(tblSource[EventID],F1060,tblSource[ReleaseStatus],"APPROVED")=1,COUNTIFS(Period_Status!$A$2:$A$8,G1060,Period_Status!$B$2:$B$8,"ActualClosed")=1,C1060&gt;EOMONTH(Settlement_Bridge!$C$2,0)),1,0)</f>
        <v>0</v>
      </c>
      <c r="P1060" s="2" t="s">
        <v>3064</v>
      </c>
    </row>
    <row r="1061" spans="1:16" x14ac:dyDescent="0.25">
      <c r="A1061" s="2" t="s">
        <v>3065</v>
      </c>
      <c r="B1061" s="2" t="s">
        <v>136</v>
      </c>
      <c r="C1061" s="8">
        <v>46257</v>
      </c>
      <c r="D1061" s="6">
        <v>46235</v>
      </c>
      <c r="E1061" s="2" t="s">
        <v>260</v>
      </c>
      <c r="F1061" s="2" t="s">
        <v>3066</v>
      </c>
      <c r="G1061" s="6">
        <v>46235</v>
      </c>
      <c r="H1061" s="2" t="s">
        <v>71</v>
      </c>
      <c r="I1061" s="2" t="s">
        <v>39</v>
      </c>
      <c r="J1061" s="9">
        <v>4509.232</v>
      </c>
      <c r="K1061" s="7">
        <v>1</v>
      </c>
      <c r="L1061" s="9">
        <v>4509.2299999999996</v>
      </c>
      <c r="M1061" s="9">
        <v>4509.2299999999996</v>
      </c>
      <c r="N1061" s="9">
        <v>2.48</v>
      </c>
      <c r="O1061" s="10">
        <f>IF(AND(OR(H1061="APPROVED",H1061="SCHEDULED"),COUNTIFS(tblSource[EventID],F1061,tblSource[ReleaseStatus],"APPROVED")=1,COUNTIFS(Period_Status!$A$2:$A$8,G1061,Period_Status!$B$2:$B$8,"ActualClosed")=1,C1061&gt;EOMONTH(Settlement_Bridge!$C$2,0)),1,0)</f>
        <v>0</v>
      </c>
      <c r="P1061" s="2" t="s">
        <v>3067</v>
      </c>
    </row>
    <row r="1062" spans="1:16" x14ac:dyDescent="0.25">
      <c r="A1062" s="2" t="s">
        <v>3068</v>
      </c>
      <c r="B1062" s="2" t="s">
        <v>136</v>
      </c>
      <c r="C1062" s="8">
        <v>46282</v>
      </c>
      <c r="D1062" s="6">
        <v>46266</v>
      </c>
      <c r="E1062" s="2" t="s">
        <v>260</v>
      </c>
      <c r="F1062" s="2" t="s">
        <v>3066</v>
      </c>
      <c r="G1062" s="6">
        <v>46235</v>
      </c>
      <c r="H1062" s="2" t="s">
        <v>176</v>
      </c>
      <c r="I1062" s="2" t="s">
        <v>39</v>
      </c>
      <c r="J1062" s="9">
        <v>6763.848</v>
      </c>
      <c r="K1062" s="7">
        <v>1</v>
      </c>
      <c r="L1062" s="9">
        <v>6763.85</v>
      </c>
      <c r="M1062" s="9">
        <v>6763.85</v>
      </c>
      <c r="N1062" s="9">
        <v>3.72</v>
      </c>
      <c r="O1062" s="10">
        <f>IF(AND(OR(H1062="APPROVED",H1062="SCHEDULED"),COUNTIFS(tblSource[EventID],F1062,tblSource[ReleaseStatus],"APPROVED")=1,COUNTIFS(Period_Status!$A$2:$A$8,G1062,Period_Status!$B$2:$B$8,"ActualClosed")=1,C1062&gt;EOMONTH(Settlement_Bridge!$C$2,0)),1,0)</f>
        <v>0</v>
      </c>
      <c r="P1062" s="2" t="s">
        <v>3069</v>
      </c>
    </row>
    <row r="1063" spans="1:16" x14ac:dyDescent="0.25">
      <c r="A1063" s="2" t="s">
        <v>3070</v>
      </c>
      <c r="B1063" s="2" t="s">
        <v>136</v>
      </c>
      <c r="C1063" s="8">
        <v>46258</v>
      </c>
      <c r="D1063" s="6">
        <v>46235</v>
      </c>
      <c r="E1063" s="2" t="s">
        <v>260</v>
      </c>
      <c r="F1063" s="2" t="s">
        <v>3071</v>
      </c>
      <c r="G1063" s="6">
        <v>46235</v>
      </c>
      <c r="H1063" s="2" t="s">
        <v>71</v>
      </c>
      <c r="I1063" s="2" t="s">
        <v>76</v>
      </c>
      <c r="J1063" s="9">
        <v>74446113.821137995</v>
      </c>
      <c r="K1063" s="7">
        <v>6.1500000000000004E-5</v>
      </c>
      <c r="L1063" s="9">
        <v>4578.4399999999996</v>
      </c>
      <c r="M1063" s="9">
        <v>4578.4399999999996</v>
      </c>
      <c r="N1063" s="9">
        <v>2.52</v>
      </c>
      <c r="O1063" s="10">
        <f>IF(AND(OR(H1063="APPROVED",H1063="SCHEDULED"),COUNTIFS(tblSource[EventID],F1063,tblSource[ReleaseStatus],"APPROVED")=1,COUNTIFS(Period_Status!$A$2:$A$8,G1063,Period_Status!$B$2:$B$8,"ActualClosed")=1,C1063&gt;EOMONTH(Settlement_Bridge!$C$2,0)),1,0)</f>
        <v>0</v>
      </c>
      <c r="P1063" s="2" t="s">
        <v>3072</v>
      </c>
    </row>
    <row r="1064" spans="1:16" x14ac:dyDescent="0.25">
      <c r="A1064" s="2" t="s">
        <v>3073</v>
      </c>
      <c r="B1064" s="2" t="s">
        <v>136</v>
      </c>
      <c r="C1064" s="8">
        <v>46283</v>
      </c>
      <c r="D1064" s="6">
        <v>46266</v>
      </c>
      <c r="E1064" s="2" t="s">
        <v>260</v>
      </c>
      <c r="F1064" s="2" t="s">
        <v>3071</v>
      </c>
      <c r="G1064" s="6">
        <v>46235</v>
      </c>
      <c r="H1064" s="2" t="s">
        <v>176</v>
      </c>
      <c r="I1064" s="2" t="s">
        <v>76</v>
      </c>
      <c r="J1064" s="9">
        <v>111669170.73170801</v>
      </c>
      <c r="K1064" s="7">
        <v>6.1299999999999999E-5</v>
      </c>
      <c r="L1064" s="9">
        <v>6845.32</v>
      </c>
      <c r="M1064" s="9">
        <v>6867.65</v>
      </c>
      <c r="N1064" s="9">
        <v>3.76</v>
      </c>
      <c r="O1064" s="10">
        <f>IF(AND(OR(H1064="APPROVED",H1064="SCHEDULED"),COUNTIFS(tblSource[EventID],F1064,tblSource[ReleaseStatus],"APPROVED")=1,COUNTIFS(Period_Status!$A$2:$A$8,G1064,Period_Status!$B$2:$B$8,"ActualClosed")=1,C1064&gt;EOMONTH(Settlement_Bridge!$C$2,0)),1,0)</f>
        <v>0</v>
      </c>
      <c r="P1064" s="2" t="s">
        <v>3074</v>
      </c>
    </row>
    <row r="1065" spans="1:16" x14ac:dyDescent="0.25">
      <c r="A1065" s="2" t="s">
        <v>3075</v>
      </c>
      <c r="B1065" s="2" t="s">
        <v>136</v>
      </c>
      <c r="C1065" s="8">
        <v>46269</v>
      </c>
      <c r="D1065" s="6">
        <v>46266</v>
      </c>
      <c r="E1065" s="2" t="s">
        <v>260</v>
      </c>
      <c r="F1065" s="2" t="s">
        <v>3076</v>
      </c>
      <c r="G1065" s="6">
        <v>46235</v>
      </c>
      <c r="H1065" s="2" t="s">
        <v>176</v>
      </c>
      <c r="I1065" s="2" t="s">
        <v>70</v>
      </c>
      <c r="J1065" s="9">
        <v>17875.538462</v>
      </c>
      <c r="K1065" s="7">
        <v>0.65100000000000002</v>
      </c>
      <c r="L1065" s="9">
        <v>11636.98</v>
      </c>
      <c r="M1065" s="9">
        <v>11619.1</v>
      </c>
      <c r="N1065" s="9">
        <v>6.4</v>
      </c>
      <c r="O1065" s="10">
        <f>IF(AND(OR(H1065="APPROVED",H1065="SCHEDULED"),COUNTIFS(tblSource[EventID],F1065,tblSource[ReleaseStatus],"APPROVED")=1,COUNTIFS(Period_Status!$A$2:$A$8,G1065,Period_Status!$B$2:$B$8,"ActualClosed")=1,C1065&gt;EOMONTH(Settlement_Bridge!$C$2,0)),1,0)</f>
        <v>0</v>
      </c>
      <c r="P1065" s="2" t="s">
        <v>3077</v>
      </c>
    </row>
    <row r="1066" spans="1:16" x14ac:dyDescent="0.25">
      <c r="A1066" s="2" t="s">
        <v>3078</v>
      </c>
      <c r="B1066" s="2" t="s">
        <v>136</v>
      </c>
      <c r="C1066" s="8">
        <v>46270</v>
      </c>
      <c r="D1066" s="6">
        <v>46266</v>
      </c>
      <c r="E1066" s="2" t="s">
        <v>260</v>
      </c>
      <c r="F1066" s="2" t="s">
        <v>3079</v>
      </c>
      <c r="G1066" s="6">
        <v>46235</v>
      </c>
      <c r="H1066" s="2" t="s">
        <v>176</v>
      </c>
      <c r="I1066" s="2" t="s">
        <v>39</v>
      </c>
      <c r="J1066" s="9">
        <v>11792.11</v>
      </c>
      <c r="K1066" s="7">
        <v>1</v>
      </c>
      <c r="L1066" s="9">
        <v>11792.11</v>
      </c>
      <c r="M1066" s="9">
        <v>11792.11</v>
      </c>
      <c r="N1066" s="9">
        <v>6.49</v>
      </c>
      <c r="O1066" s="10">
        <f>IF(AND(OR(H1066="APPROVED",H1066="SCHEDULED"),COUNTIFS(tblSource[EventID],F1066,tblSource[ReleaseStatus],"APPROVED")=1,COUNTIFS(Period_Status!$A$2:$A$8,G1066,Period_Status!$B$2:$B$8,"ActualClosed")=1,C1066&gt;EOMONTH(Settlement_Bridge!$C$2,0)),1,0)</f>
        <v>0</v>
      </c>
      <c r="P1066" s="2" t="s">
        <v>3080</v>
      </c>
    </row>
    <row r="1067" spans="1:16" x14ac:dyDescent="0.25">
      <c r="A1067" s="2" t="s">
        <v>3081</v>
      </c>
      <c r="B1067" s="2" t="s">
        <v>136</v>
      </c>
      <c r="C1067" s="8">
        <v>46261</v>
      </c>
      <c r="D1067" s="6">
        <v>46235</v>
      </c>
      <c r="E1067" s="2" t="s">
        <v>260</v>
      </c>
      <c r="F1067" s="2" t="s">
        <v>3082</v>
      </c>
      <c r="G1067" s="6">
        <v>46235</v>
      </c>
      <c r="H1067" s="2" t="s">
        <v>71</v>
      </c>
      <c r="I1067" s="2" t="s">
        <v>76</v>
      </c>
      <c r="J1067" s="9">
        <v>77821918.699186996</v>
      </c>
      <c r="K1067" s="7">
        <v>6.1500000000000004E-5</v>
      </c>
      <c r="L1067" s="9">
        <v>4786.05</v>
      </c>
      <c r="M1067" s="9">
        <v>4786.05</v>
      </c>
      <c r="N1067" s="9">
        <v>2.63</v>
      </c>
      <c r="O1067" s="10">
        <f>IF(AND(OR(H1067="APPROVED",H1067="SCHEDULED"),COUNTIFS(tblSource[EventID],F1067,tblSource[ReleaseStatus],"APPROVED")=1,COUNTIFS(Period_Status!$A$2:$A$8,G1067,Period_Status!$B$2:$B$8,"ActualClosed")=1,C1067&gt;EOMONTH(Settlement_Bridge!$C$2,0)),1,0)</f>
        <v>0</v>
      </c>
      <c r="P1067" s="2" t="s">
        <v>3083</v>
      </c>
    </row>
    <row r="1068" spans="1:16" x14ac:dyDescent="0.25">
      <c r="A1068" s="2" t="s">
        <v>3084</v>
      </c>
      <c r="B1068" s="2" t="s">
        <v>136</v>
      </c>
      <c r="C1068" s="8">
        <v>46286</v>
      </c>
      <c r="D1068" s="6">
        <v>46266</v>
      </c>
      <c r="E1068" s="2" t="s">
        <v>260</v>
      </c>
      <c r="F1068" s="2" t="s">
        <v>3082</v>
      </c>
      <c r="G1068" s="6">
        <v>46235</v>
      </c>
      <c r="H1068" s="2" t="s">
        <v>176</v>
      </c>
      <c r="I1068" s="2" t="s">
        <v>76</v>
      </c>
      <c r="J1068" s="9">
        <v>116732878.04877999</v>
      </c>
      <c r="K1068" s="7">
        <v>6.1299999999999999E-5</v>
      </c>
      <c r="L1068" s="9">
        <v>7155.73</v>
      </c>
      <c r="M1068" s="9">
        <v>7179.07</v>
      </c>
      <c r="N1068" s="9">
        <v>3.94</v>
      </c>
      <c r="O1068" s="10">
        <f>IF(AND(OR(H1068="APPROVED",H1068="SCHEDULED"),COUNTIFS(tblSource[EventID],F1068,tblSource[ReleaseStatus],"APPROVED")=1,COUNTIFS(Period_Status!$A$2:$A$8,G1068,Period_Status!$B$2:$B$8,"ActualClosed")=1,C1068&gt;EOMONTH(Settlement_Bridge!$C$2,0)),1,0)</f>
        <v>0</v>
      </c>
      <c r="P1068" s="2" t="s">
        <v>3085</v>
      </c>
    </row>
    <row r="1069" spans="1:16" x14ac:dyDescent="0.25">
      <c r="A1069" s="2" t="s">
        <v>3086</v>
      </c>
      <c r="B1069" s="2" t="s">
        <v>136</v>
      </c>
      <c r="C1069" s="8">
        <v>46272</v>
      </c>
      <c r="D1069" s="6">
        <v>46266</v>
      </c>
      <c r="E1069" s="2" t="s">
        <v>260</v>
      </c>
      <c r="F1069" s="2" t="s">
        <v>3087</v>
      </c>
      <c r="G1069" s="6">
        <v>46235</v>
      </c>
      <c r="H1069" s="2" t="s">
        <v>176</v>
      </c>
      <c r="I1069" s="2" t="s">
        <v>70</v>
      </c>
      <c r="J1069" s="9">
        <v>18674.046154</v>
      </c>
      <c r="K1069" s="7">
        <v>0.65100000000000002</v>
      </c>
      <c r="L1069" s="9">
        <v>12156.8</v>
      </c>
      <c r="M1069" s="9">
        <v>12138.13</v>
      </c>
      <c r="N1069" s="9">
        <v>6.69</v>
      </c>
      <c r="O1069" s="10">
        <f>IF(AND(OR(H1069="APPROVED",H1069="SCHEDULED"),COUNTIFS(tblSource[EventID],F1069,tblSource[ReleaseStatus],"APPROVED")=1,COUNTIFS(Period_Status!$A$2:$A$8,G1069,Period_Status!$B$2:$B$8,"ActualClosed")=1,C1069&gt;EOMONTH(Settlement_Bridge!$C$2,0)),1,0)</f>
        <v>0</v>
      </c>
      <c r="P1069" s="2" t="s">
        <v>3088</v>
      </c>
    </row>
    <row r="1070" spans="1:16" x14ac:dyDescent="0.25">
      <c r="A1070" s="2" t="s">
        <v>3089</v>
      </c>
      <c r="B1070" s="2" t="s">
        <v>136</v>
      </c>
      <c r="C1070" s="8">
        <v>46273</v>
      </c>
      <c r="D1070" s="6">
        <v>46266</v>
      </c>
      <c r="E1070" s="2" t="s">
        <v>260</v>
      </c>
      <c r="F1070" s="2" t="s">
        <v>3090</v>
      </c>
      <c r="G1070" s="6">
        <v>46235</v>
      </c>
      <c r="H1070" s="2" t="s">
        <v>176</v>
      </c>
      <c r="I1070" s="2" t="s">
        <v>39</v>
      </c>
      <c r="J1070" s="9">
        <v>12311.14</v>
      </c>
      <c r="K1070" s="7">
        <v>1</v>
      </c>
      <c r="L1070" s="9">
        <v>12311.14</v>
      </c>
      <c r="M1070" s="9">
        <v>12311.14</v>
      </c>
      <c r="N1070" s="9">
        <v>6.77</v>
      </c>
      <c r="O1070" s="10">
        <f>IF(AND(OR(H1070="APPROVED",H1070="SCHEDULED"),COUNTIFS(tblSource[EventID],F1070,tblSource[ReleaseStatus],"APPROVED")=1,COUNTIFS(Period_Status!$A$2:$A$8,G1070,Period_Status!$B$2:$B$8,"ActualClosed")=1,C1070&gt;EOMONTH(Settlement_Bridge!$C$2,0)),1,0)</f>
        <v>0</v>
      </c>
      <c r="P1070" s="2" t="s">
        <v>3091</v>
      </c>
    </row>
    <row r="1071" spans="1:16" x14ac:dyDescent="0.25">
      <c r="A1071" s="2" t="s">
        <v>3092</v>
      </c>
      <c r="B1071" s="2" t="s">
        <v>136</v>
      </c>
      <c r="C1071" s="8">
        <v>46274</v>
      </c>
      <c r="D1071" s="6">
        <v>46266</v>
      </c>
      <c r="E1071" s="2" t="s">
        <v>260</v>
      </c>
      <c r="F1071" s="2" t="s">
        <v>3093</v>
      </c>
      <c r="G1071" s="6">
        <v>46235</v>
      </c>
      <c r="H1071" s="2" t="s">
        <v>176</v>
      </c>
      <c r="I1071" s="2" t="s">
        <v>76</v>
      </c>
      <c r="J1071" s="9">
        <v>202994308.94308901</v>
      </c>
      <c r="K1071" s="7">
        <v>6.1299999999999999E-5</v>
      </c>
      <c r="L1071" s="9">
        <v>12443.55</v>
      </c>
      <c r="M1071" s="9">
        <v>12484.15</v>
      </c>
      <c r="N1071" s="9">
        <v>6.84</v>
      </c>
      <c r="O1071" s="10">
        <f>IF(AND(OR(H1071="APPROVED",H1071="SCHEDULED"),COUNTIFS(tblSource[EventID],F1071,tblSource[ReleaseStatus],"APPROVED")=1,COUNTIFS(Period_Status!$A$2:$A$8,G1071,Period_Status!$B$2:$B$8,"ActualClosed")=1,C1071&gt;EOMONTH(Settlement_Bridge!$C$2,0)),1,0)</f>
        <v>0</v>
      </c>
      <c r="P1071" s="2" t="s">
        <v>3094</v>
      </c>
    </row>
    <row r="1072" spans="1:16" x14ac:dyDescent="0.25">
      <c r="A1072" s="2" t="s">
        <v>3095</v>
      </c>
      <c r="B1072" s="2" t="s">
        <v>136</v>
      </c>
      <c r="C1072" s="8">
        <v>46275</v>
      </c>
      <c r="D1072" s="6">
        <v>46266</v>
      </c>
      <c r="E1072" s="2" t="s">
        <v>260</v>
      </c>
      <c r="F1072" s="2" t="s">
        <v>3096</v>
      </c>
      <c r="G1072" s="6">
        <v>46235</v>
      </c>
      <c r="H1072" s="2" t="s">
        <v>176</v>
      </c>
      <c r="I1072" s="2" t="s">
        <v>70</v>
      </c>
      <c r="J1072" s="9">
        <v>19472.553845999999</v>
      </c>
      <c r="K1072" s="7">
        <v>0.65100000000000002</v>
      </c>
      <c r="L1072" s="9">
        <v>12676.63</v>
      </c>
      <c r="M1072" s="9">
        <v>12657.16</v>
      </c>
      <c r="N1072" s="9">
        <v>6.97</v>
      </c>
      <c r="O1072" s="10">
        <f>IF(AND(OR(H1072="APPROVED",H1072="SCHEDULED"),COUNTIFS(tblSource[EventID],F1072,tblSource[ReleaseStatus],"APPROVED")=1,COUNTIFS(Period_Status!$A$2:$A$8,G1072,Period_Status!$B$2:$B$8,"ActualClosed")=1,C1072&gt;EOMONTH(Settlement_Bridge!$C$2,0)),1,0)</f>
        <v>0</v>
      </c>
      <c r="P1072" s="2" t="s">
        <v>3097</v>
      </c>
    </row>
    <row r="1073" spans="1:16" x14ac:dyDescent="0.25">
      <c r="A1073" s="2" t="s">
        <v>3098</v>
      </c>
      <c r="B1073" s="2" t="s">
        <v>136</v>
      </c>
      <c r="C1073" s="8">
        <v>46276</v>
      </c>
      <c r="D1073" s="6">
        <v>46266</v>
      </c>
      <c r="E1073" s="2" t="s">
        <v>260</v>
      </c>
      <c r="F1073" s="2" t="s">
        <v>3099</v>
      </c>
      <c r="G1073" s="6">
        <v>46235</v>
      </c>
      <c r="H1073" s="2" t="s">
        <v>176</v>
      </c>
      <c r="I1073" s="2" t="s">
        <v>39</v>
      </c>
      <c r="J1073" s="9">
        <v>12830.17</v>
      </c>
      <c r="K1073" s="7">
        <v>1</v>
      </c>
      <c r="L1073" s="9">
        <v>12830.17</v>
      </c>
      <c r="M1073" s="9">
        <v>12830.17</v>
      </c>
      <c r="N1073" s="9">
        <v>7.06</v>
      </c>
      <c r="O1073" s="10">
        <f>IF(AND(OR(H1073="APPROVED",H1073="SCHEDULED"),COUNTIFS(tblSource[EventID],F1073,tblSource[ReleaseStatus],"APPROVED")=1,COUNTIFS(Period_Status!$A$2:$A$8,G1073,Period_Status!$B$2:$B$8,"ActualClosed")=1,C1073&gt;EOMONTH(Settlement_Bridge!$C$2,0)),1,0)</f>
        <v>0</v>
      </c>
      <c r="P1073" s="2" t="s">
        <v>3100</v>
      </c>
    </row>
    <row r="1074" spans="1:16" x14ac:dyDescent="0.25">
      <c r="A1074" s="2" t="s">
        <v>3101</v>
      </c>
      <c r="B1074" s="2" t="s">
        <v>136</v>
      </c>
      <c r="C1074" s="8">
        <v>46267</v>
      </c>
      <c r="D1074" s="6">
        <v>46266</v>
      </c>
      <c r="E1074" s="2" t="s">
        <v>260</v>
      </c>
      <c r="F1074" s="2" t="s">
        <v>3102</v>
      </c>
      <c r="G1074" s="6">
        <v>46235</v>
      </c>
      <c r="H1074" s="2" t="s">
        <v>176</v>
      </c>
      <c r="I1074" s="2" t="s">
        <v>76</v>
      </c>
      <c r="J1074" s="9">
        <v>84573528.455283999</v>
      </c>
      <c r="K1074" s="7">
        <v>6.1299999999999999E-5</v>
      </c>
      <c r="L1074" s="9">
        <v>5184.3599999999997</v>
      </c>
      <c r="M1074" s="9">
        <v>5201.2700000000004</v>
      </c>
      <c r="N1074" s="9">
        <v>2.85</v>
      </c>
      <c r="O1074" s="10">
        <f>IF(AND(OR(H1074="APPROVED",H1074="SCHEDULED"),COUNTIFS(tblSource[EventID],F1074,tblSource[ReleaseStatus],"APPROVED")=1,COUNTIFS(Period_Status!$A$2:$A$8,G1074,Period_Status!$B$2:$B$8,"ActualClosed")=1,C1074&gt;EOMONTH(Settlement_Bridge!$C$2,0)),1,0)</f>
        <v>0</v>
      </c>
      <c r="P1074" s="2" t="s">
        <v>3103</v>
      </c>
    </row>
    <row r="1075" spans="1:16" x14ac:dyDescent="0.25">
      <c r="A1075" s="2" t="s">
        <v>3104</v>
      </c>
      <c r="B1075" s="2" t="s">
        <v>136</v>
      </c>
      <c r="C1075" s="8">
        <v>46292</v>
      </c>
      <c r="D1075" s="6">
        <v>46266</v>
      </c>
      <c r="E1075" s="2" t="s">
        <v>260</v>
      </c>
      <c r="F1075" s="2" t="s">
        <v>3102</v>
      </c>
      <c r="G1075" s="6">
        <v>46235</v>
      </c>
      <c r="H1075" s="2" t="s">
        <v>176</v>
      </c>
      <c r="I1075" s="2" t="s">
        <v>76</v>
      </c>
      <c r="J1075" s="9">
        <v>126860292.682927</v>
      </c>
      <c r="K1075" s="7">
        <v>6.1299999999999999E-5</v>
      </c>
      <c r="L1075" s="9">
        <v>7776.54</v>
      </c>
      <c r="M1075" s="9">
        <v>7801.91</v>
      </c>
      <c r="N1075" s="9">
        <v>4.28</v>
      </c>
      <c r="O1075" s="10">
        <f>IF(AND(OR(H1075="APPROVED",H1075="SCHEDULED"),COUNTIFS(tblSource[EventID],F1075,tblSource[ReleaseStatus],"APPROVED")=1,COUNTIFS(Period_Status!$A$2:$A$8,G1075,Period_Status!$B$2:$B$8,"ActualClosed")=1,C1075&gt;EOMONTH(Settlement_Bridge!$C$2,0)),1,0)</f>
        <v>0</v>
      </c>
      <c r="P1075" s="2" t="s">
        <v>3105</v>
      </c>
    </row>
    <row r="1076" spans="1:16" x14ac:dyDescent="0.25">
      <c r="A1076" s="2" t="s">
        <v>3106</v>
      </c>
      <c r="B1076" s="2" t="s">
        <v>136</v>
      </c>
      <c r="C1076" s="8">
        <v>46268</v>
      </c>
      <c r="D1076" s="6">
        <v>46266</v>
      </c>
      <c r="E1076" s="2" t="s">
        <v>260</v>
      </c>
      <c r="F1076" s="2" t="s">
        <v>3107</v>
      </c>
      <c r="G1076" s="6">
        <v>46235</v>
      </c>
      <c r="H1076" s="2" t="s">
        <v>176</v>
      </c>
      <c r="I1076" s="2" t="s">
        <v>70</v>
      </c>
      <c r="J1076" s="9">
        <v>8108.4246149999999</v>
      </c>
      <c r="K1076" s="7">
        <v>0.65100000000000002</v>
      </c>
      <c r="L1076" s="9">
        <v>5278.58</v>
      </c>
      <c r="M1076" s="9">
        <v>5270.48</v>
      </c>
      <c r="N1076" s="9">
        <v>2.9</v>
      </c>
      <c r="O1076" s="10">
        <f>IF(AND(OR(H1076="APPROVED",H1076="SCHEDULED"),COUNTIFS(tblSource[EventID],F1076,tblSource[ReleaseStatus],"APPROVED")=1,COUNTIFS(Period_Status!$A$2:$A$8,G1076,Period_Status!$B$2:$B$8,"ActualClosed")=1,C1076&gt;EOMONTH(Settlement_Bridge!$C$2,0)),1,0)</f>
        <v>0</v>
      </c>
      <c r="P1076" s="2" t="s">
        <v>3108</v>
      </c>
    </row>
    <row r="1077" spans="1:16" x14ac:dyDescent="0.25">
      <c r="A1077" s="2" t="s">
        <v>3109</v>
      </c>
      <c r="B1077" s="2" t="s">
        <v>136</v>
      </c>
      <c r="C1077" s="8">
        <v>46293</v>
      </c>
      <c r="D1077" s="6">
        <v>46266</v>
      </c>
      <c r="E1077" s="2" t="s">
        <v>260</v>
      </c>
      <c r="F1077" s="2" t="s">
        <v>3107</v>
      </c>
      <c r="G1077" s="6">
        <v>46235</v>
      </c>
      <c r="H1077" s="2" t="s">
        <v>176</v>
      </c>
      <c r="I1077" s="2" t="s">
        <v>70</v>
      </c>
      <c r="J1077" s="9">
        <v>12162.636923</v>
      </c>
      <c r="K1077" s="7">
        <v>0.65100000000000002</v>
      </c>
      <c r="L1077" s="9">
        <v>7917.88</v>
      </c>
      <c r="M1077" s="9">
        <v>7905.71</v>
      </c>
      <c r="N1077" s="9">
        <v>4.3499999999999996</v>
      </c>
      <c r="O1077" s="10">
        <f>IF(AND(OR(H1077="APPROVED",H1077="SCHEDULED"),COUNTIFS(tblSource[EventID],F1077,tblSource[ReleaseStatus],"APPROVED")=1,COUNTIFS(Period_Status!$A$2:$A$8,G1077,Period_Status!$B$2:$B$8,"ActualClosed")=1,C1077&gt;EOMONTH(Settlement_Bridge!$C$2,0)),1,0)</f>
        <v>0</v>
      </c>
      <c r="P1077" s="2" t="s">
        <v>3110</v>
      </c>
    </row>
    <row r="1078" spans="1:16" x14ac:dyDescent="0.25">
      <c r="A1078" s="2" t="s">
        <v>3111</v>
      </c>
      <c r="B1078" s="2" t="s">
        <v>136</v>
      </c>
      <c r="C1078" s="8">
        <v>46279</v>
      </c>
      <c r="D1078" s="6">
        <v>46266</v>
      </c>
      <c r="E1078" s="2" t="s">
        <v>260</v>
      </c>
      <c r="F1078" s="2" t="s">
        <v>3112</v>
      </c>
      <c r="G1078" s="6">
        <v>46235</v>
      </c>
      <c r="H1078" s="2" t="s">
        <v>176</v>
      </c>
      <c r="I1078" s="2" t="s">
        <v>39</v>
      </c>
      <c r="J1078" s="9">
        <v>13349.2</v>
      </c>
      <c r="K1078" s="7">
        <v>1</v>
      </c>
      <c r="L1078" s="9">
        <v>13349.2</v>
      </c>
      <c r="M1078" s="9">
        <v>13349.2</v>
      </c>
      <c r="N1078" s="9">
        <v>7.34</v>
      </c>
      <c r="O1078" s="10">
        <f>IF(AND(OR(H1078="APPROVED",H1078="SCHEDULED"),COUNTIFS(tblSource[EventID],F1078,tblSource[ReleaseStatus],"APPROVED")=1,COUNTIFS(Period_Status!$A$2:$A$8,G1078,Period_Status!$B$2:$B$8,"ActualClosed")=1,C1078&gt;EOMONTH(Settlement_Bridge!$C$2,0)),1,0)</f>
        <v>0</v>
      </c>
      <c r="P1078" s="2" t="s">
        <v>3113</v>
      </c>
    </row>
    <row r="1079" spans="1:16" x14ac:dyDescent="0.25">
      <c r="A1079" s="2" t="s">
        <v>3114</v>
      </c>
      <c r="B1079" s="2" t="s">
        <v>136</v>
      </c>
      <c r="C1079" s="8">
        <v>46280</v>
      </c>
      <c r="D1079" s="6">
        <v>46266</v>
      </c>
      <c r="E1079" s="2" t="s">
        <v>260</v>
      </c>
      <c r="F1079" s="2" t="s">
        <v>3115</v>
      </c>
      <c r="G1079" s="6">
        <v>46235</v>
      </c>
      <c r="H1079" s="2" t="s">
        <v>176</v>
      </c>
      <c r="I1079" s="2" t="s">
        <v>76</v>
      </c>
      <c r="J1079" s="9">
        <v>219873333.33333299</v>
      </c>
      <c r="K1079" s="7">
        <v>6.1299999999999999E-5</v>
      </c>
      <c r="L1079" s="9">
        <v>13478.24</v>
      </c>
      <c r="M1079" s="9">
        <v>13522.21</v>
      </c>
      <c r="N1079" s="9">
        <v>7.41</v>
      </c>
      <c r="O1079" s="10">
        <f>IF(AND(OR(H1079="APPROVED",H1079="SCHEDULED"),COUNTIFS(tblSource[EventID],F1079,tblSource[ReleaseStatus],"APPROVED")=1,COUNTIFS(Period_Status!$A$2:$A$8,G1079,Period_Status!$B$2:$B$8,"ActualClosed")=1,C1079&gt;EOMONTH(Settlement_Bridge!$C$2,0)),1,0)</f>
        <v>0</v>
      </c>
      <c r="P1079" s="2" t="s">
        <v>3116</v>
      </c>
    </row>
    <row r="1080" spans="1:16" x14ac:dyDescent="0.25">
      <c r="A1080" s="2" t="s">
        <v>3117</v>
      </c>
      <c r="B1080" s="2" t="s">
        <v>136</v>
      </c>
      <c r="C1080" s="8">
        <v>46271</v>
      </c>
      <c r="D1080" s="6">
        <v>46266</v>
      </c>
      <c r="E1080" s="2" t="s">
        <v>260</v>
      </c>
      <c r="F1080" s="2" t="s">
        <v>3118</v>
      </c>
      <c r="G1080" s="6">
        <v>46235</v>
      </c>
      <c r="H1080" s="2" t="s">
        <v>176</v>
      </c>
      <c r="I1080" s="2" t="s">
        <v>70</v>
      </c>
      <c r="J1080" s="9">
        <v>8427.8276920000008</v>
      </c>
      <c r="K1080" s="7">
        <v>0.65100000000000002</v>
      </c>
      <c r="L1080" s="9">
        <v>5486.52</v>
      </c>
      <c r="M1080" s="9">
        <v>5478.09</v>
      </c>
      <c r="N1080" s="9">
        <v>3.02</v>
      </c>
      <c r="O1080" s="10">
        <f>IF(AND(OR(H1080="APPROVED",H1080="SCHEDULED"),COUNTIFS(tblSource[EventID],F1080,tblSource[ReleaseStatus],"APPROVED")=1,COUNTIFS(Period_Status!$A$2:$A$8,G1080,Period_Status!$B$2:$B$8,"ActualClosed")=1,C1080&gt;EOMONTH(Settlement_Bridge!$C$2,0)),1,0)</f>
        <v>0</v>
      </c>
      <c r="P1080" s="2" t="s">
        <v>3119</v>
      </c>
    </row>
    <row r="1081" spans="1:16" x14ac:dyDescent="0.25">
      <c r="A1081" s="2" t="s">
        <v>3120</v>
      </c>
      <c r="B1081" s="2" t="s">
        <v>136</v>
      </c>
      <c r="C1081" s="8">
        <v>46296</v>
      </c>
      <c r="D1081" s="6">
        <v>46296</v>
      </c>
      <c r="E1081" s="2" t="s">
        <v>260</v>
      </c>
      <c r="F1081" s="2" t="s">
        <v>3118</v>
      </c>
      <c r="G1081" s="6">
        <v>46235</v>
      </c>
      <c r="H1081" s="2" t="s">
        <v>176</v>
      </c>
      <c r="I1081" s="2" t="s">
        <v>70</v>
      </c>
      <c r="J1081" s="9">
        <v>12641.741539000001</v>
      </c>
      <c r="K1081" s="7">
        <v>0.65500000000000003</v>
      </c>
      <c r="L1081" s="9">
        <v>8280.34</v>
      </c>
      <c r="M1081" s="9">
        <v>8217.1299999999992</v>
      </c>
      <c r="N1081" s="9">
        <v>4.55</v>
      </c>
      <c r="O1081" s="10">
        <f>IF(AND(OR(H1081="APPROVED",H1081="SCHEDULED"),COUNTIFS(tblSource[EventID],F1081,tblSource[ReleaseStatus],"APPROVED")=1,COUNTIFS(Period_Status!$A$2:$A$8,G1081,Period_Status!$B$2:$B$8,"ActualClosed")=1,C1081&gt;EOMONTH(Settlement_Bridge!$C$2,0)),1,0)</f>
        <v>0</v>
      </c>
      <c r="P1081" s="2" t="s">
        <v>3121</v>
      </c>
    </row>
    <row r="1082" spans="1:16" x14ac:dyDescent="0.25">
      <c r="A1082" s="2" t="s">
        <v>3122</v>
      </c>
      <c r="B1082" s="2" t="s">
        <v>136</v>
      </c>
      <c r="C1082" s="8">
        <v>46282</v>
      </c>
      <c r="D1082" s="6">
        <v>46266</v>
      </c>
      <c r="E1082" s="2" t="s">
        <v>260</v>
      </c>
      <c r="F1082" s="2" t="s">
        <v>3123</v>
      </c>
      <c r="G1082" s="6">
        <v>46235</v>
      </c>
      <c r="H1082" s="2" t="s">
        <v>176</v>
      </c>
      <c r="I1082" s="2" t="s">
        <v>39</v>
      </c>
      <c r="J1082" s="9">
        <v>13868.23</v>
      </c>
      <c r="K1082" s="7">
        <v>1</v>
      </c>
      <c r="L1082" s="9">
        <v>13868.23</v>
      </c>
      <c r="M1082" s="9">
        <v>13868.23</v>
      </c>
      <c r="N1082" s="9">
        <v>7.63</v>
      </c>
      <c r="O1082" s="10">
        <f>IF(AND(OR(H1082="APPROVED",H1082="SCHEDULED"),COUNTIFS(tblSource[EventID],F1082,tblSource[ReleaseStatus],"APPROVED")=1,COUNTIFS(Period_Status!$A$2:$A$8,G1082,Period_Status!$B$2:$B$8,"ActualClosed")=1,C1082&gt;EOMONTH(Settlement_Bridge!$C$2,0)),1,0)</f>
        <v>0</v>
      </c>
      <c r="P1082" s="2" t="s">
        <v>3124</v>
      </c>
    </row>
    <row r="1083" spans="1:16" x14ac:dyDescent="0.25">
      <c r="A1083" s="2" t="s">
        <v>3125</v>
      </c>
      <c r="B1083" s="2" t="s">
        <v>136</v>
      </c>
      <c r="C1083" s="8">
        <v>46283</v>
      </c>
      <c r="D1083" s="6">
        <v>46266</v>
      </c>
      <c r="E1083" s="2" t="s">
        <v>260</v>
      </c>
      <c r="F1083" s="2" t="s">
        <v>3126</v>
      </c>
      <c r="G1083" s="6">
        <v>46235</v>
      </c>
      <c r="H1083" s="2" t="s">
        <v>176</v>
      </c>
      <c r="I1083" s="2" t="s">
        <v>76</v>
      </c>
      <c r="J1083" s="9">
        <v>228312845.52845499</v>
      </c>
      <c r="K1083" s="7">
        <v>6.1299999999999999E-5</v>
      </c>
      <c r="L1083" s="9">
        <v>13995.58</v>
      </c>
      <c r="M1083" s="9">
        <v>14041.24</v>
      </c>
      <c r="N1083" s="9">
        <v>7.7</v>
      </c>
      <c r="O1083" s="10">
        <f>IF(AND(OR(H1083="APPROVED",H1083="SCHEDULED"),COUNTIFS(tblSource[EventID],F1083,tblSource[ReleaseStatus],"APPROVED")=1,COUNTIFS(Period_Status!$A$2:$A$8,G1083,Period_Status!$B$2:$B$8,"ActualClosed")=1,C1083&gt;EOMONTH(Settlement_Bridge!$C$2,0)),1,0)</f>
        <v>0</v>
      </c>
      <c r="P1083" s="2" t="s">
        <v>3127</v>
      </c>
    </row>
    <row r="1084" spans="1:16" x14ac:dyDescent="0.25">
      <c r="A1084" s="2" t="s">
        <v>3128</v>
      </c>
      <c r="B1084" s="2" t="s">
        <v>136</v>
      </c>
      <c r="C1084" s="8">
        <v>46284</v>
      </c>
      <c r="D1084" s="6">
        <v>46266</v>
      </c>
      <c r="E1084" s="2" t="s">
        <v>260</v>
      </c>
      <c r="F1084" s="2" t="s">
        <v>3129</v>
      </c>
      <c r="G1084" s="6">
        <v>46235</v>
      </c>
      <c r="H1084" s="2" t="s">
        <v>176</v>
      </c>
      <c r="I1084" s="2" t="s">
        <v>70</v>
      </c>
      <c r="J1084" s="9">
        <v>21868.076923000001</v>
      </c>
      <c r="K1084" s="7">
        <v>0.65100000000000002</v>
      </c>
      <c r="L1084" s="9">
        <v>14236.12</v>
      </c>
      <c r="M1084" s="9">
        <v>14214.25</v>
      </c>
      <c r="N1084" s="9">
        <v>7.83</v>
      </c>
      <c r="O1084" s="10">
        <f>IF(AND(OR(H1084="APPROVED",H1084="SCHEDULED"),COUNTIFS(tblSource[EventID],F1084,tblSource[ReleaseStatus],"APPROVED")=1,COUNTIFS(Period_Status!$A$2:$A$8,G1084,Period_Status!$B$2:$B$8,"ActualClosed")=1,C1084&gt;EOMONTH(Settlement_Bridge!$C$2,0)),1,0)</f>
        <v>0</v>
      </c>
      <c r="P1084" s="2" t="s">
        <v>3130</v>
      </c>
    </row>
    <row r="1085" spans="1:16" x14ac:dyDescent="0.25">
      <c r="A1085" s="2" t="s">
        <v>3131</v>
      </c>
      <c r="B1085" s="2" t="s">
        <v>136</v>
      </c>
      <c r="C1085" s="8">
        <v>46285</v>
      </c>
      <c r="D1085" s="6">
        <v>46266</v>
      </c>
      <c r="E1085" s="2" t="s">
        <v>260</v>
      </c>
      <c r="F1085" s="2" t="s">
        <v>3132</v>
      </c>
      <c r="G1085" s="6">
        <v>46235</v>
      </c>
      <c r="H1085" s="2" t="s">
        <v>176</v>
      </c>
      <c r="I1085" s="2" t="s">
        <v>39</v>
      </c>
      <c r="J1085" s="9">
        <v>14387.26</v>
      </c>
      <c r="K1085" s="7">
        <v>1</v>
      </c>
      <c r="L1085" s="9">
        <v>14387.26</v>
      </c>
      <c r="M1085" s="9">
        <v>14387.26</v>
      </c>
      <c r="N1085" s="9">
        <v>7.91</v>
      </c>
      <c r="O1085" s="10">
        <f>IF(AND(OR(H1085="APPROVED",H1085="SCHEDULED"),COUNTIFS(tblSource[EventID],F1085,tblSource[ReleaseStatus],"APPROVED")=1,COUNTIFS(Period_Status!$A$2:$A$8,G1085,Period_Status!$B$2:$B$8,"ActualClosed")=1,C1085&gt;EOMONTH(Settlement_Bridge!$C$2,0)),1,0)</f>
        <v>0</v>
      </c>
      <c r="P1085" s="2" t="s">
        <v>3133</v>
      </c>
    </row>
    <row r="1086" spans="1:16" x14ac:dyDescent="0.25">
      <c r="A1086" s="2" t="s">
        <v>3134</v>
      </c>
      <c r="B1086" s="2" t="s">
        <v>136</v>
      </c>
      <c r="C1086" s="8">
        <v>46286</v>
      </c>
      <c r="D1086" s="6">
        <v>46266</v>
      </c>
      <c r="E1086" s="2" t="s">
        <v>260</v>
      </c>
      <c r="F1086" s="2" t="s">
        <v>3135</v>
      </c>
      <c r="G1086" s="6">
        <v>46235</v>
      </c>
      <c r="H1086" s="2" t="s">
        <v>176</v>
      </c>
      <c r="I1086" s="2" t="s">
        <v>76</v>
      </c>
      <c r="J1086" s="9">
        <v>236752357.72357699</v>
      </c>
      <c r="K1086" s="7">
        <v>6.1299999999999999E-5</v>
      </c>
      <c r="L1086" s="9">
        <v>14512.92</v>
      </c>
      <c r="M1086" s="9">
        <v>14560.27</v>
      </c>
      <c r="N1086" s="9">
        <v>7.98</v>
      </c>
      <c r="O1086" s="10">
        <f>IF(AND(OR(H1086="APPROVED",H1086="SCHEDULED"),COUNTIFS(tblSource[EventID],F1086,tblSource[ReleaseStatus],"APPROVED")=1,COUNTIFS(Period_Status!$A$2:$A$8,G1086,Period_Status!$B$2:$B$8,"ActualClosed")=1,C1086&gt;EOMONTH(Settlement_Bridge!$C$2,0)),1,0)</f>
        <v>0</v>
      </c>
      <c r="P1086" s="2" t="s">
        <v>3136</v>
      </c>
    </row>
    <row r="1087" spans="1:16" x14ac:dyDescent="0.25">
      <c r="A1087" s="2" t="s">
        <v>3137</v>
      </c>
      <c r="B1087" s="2" t="s">
        <v>136</v>
      </c>
      <c r="C1087" s="8">
        <v>46277</v>
      </c>
      <c r="D1087" s="6">
        <v>46266</v>
      </c>
      <c r="E1087" s="2" t="s">
        <v>260</v>
      </c>
      <c r="F1087" s="2" t="s">
        <v>3138</v>
      </c>
      <c r="G1087" s="6">
        <v>46235</v>
      </c>
      <c r="H1087" s="2" t="s">
        <v>176</v>
      </c>
      <c r="I1087" s="2" t="s">
        <v>70</v>
      </c>
      <c r="J1087" s="9">
        <v>9066.6338460000006</v>
      </c>
      <c r="K1087" s="7">
        <v>0.65100000000000002</v>
      </c>
      <c r="L1087" s="9">
        <v>5902.38</v>
      </c>
      <c r="M1087" s="9">
        <v>5893.31</v>
      </c>
      <c r="N1087" s="9">
        <v>3.25</v>
      </c>
      <c r="O1087" s="10">
        <f>IF(AND(OR(H1087="APPROVED",H1087="SCHEDULED"),COUNTIFS(tblSource[EventID],F1087,tblSource[ReleaseStatus],"APPROVED")=1,COUNTIFS(Period_Status!$A$2:$A$8,G1087,Period_Status!$B$2:$B$8,"ActualClosed")=1,C1087&gt;EOMONTH(Settlement_Bridge!$C$2,0)),1,0)</f>
        <v>0</v>
      </c>
      <c r="P1087" s="2" t="s">
        <v>3139</v>
      </c>
    </row>
    <row r="1088" spans="1:16" x14ac:dyDescent="0.25">
      <c r="A1088" s="2" t="s">
        <v>3140</v>
      </c>
      <c r="B1088" s="2" t="s">
        <v>136</v>
      </c>
      <c r="C1088" s="8">
        <v>46302</v>
      </c>
      <c r="D1088" s="6">
        <v>46296</v>
      </c>
      <c r="E1088" s="2" t="s">
        <v>260</v>
      </c>
      <c r="F1088" s="2" t="s">
        <v>3138</v>
      </c>
      <c r="G1088" s="6">
        <v>46235</v>
      </c>
      <c r="H1088" s="2" t="s">
        <v>176</v>
      </c>
      <c r="I1088" s="2" t="s">
        <v>70</v>
      </c>
      <c r="J1088" s="9">
        <v>13599.950768999999</v>
      </c>
      <c r="K1088" s="7">
        <v>0.65500000000000003</v>
      </c>
      <c r="L1088" s="9">
        <v>8907.9699999999993</v>
      </c>
      <c r="M1088" s="9">
        <v>8839.9699999999993</v>
      </c>
      <c r="N1088" s="9">
        <v>4.9000000000000004</v>
      </c>
      <c r="O1088" s="10">
        <f>IF(AND(OR(H1088="APPROVED",H1088="SCHEDULED"),COUNTIFS(tblSource[EventID],F1088,tblSource[ReleaseStatus],"APPROVED")=1,COUNTIFS(Period_Status!$A$2:$A$8,G1088,Period_Status!$B$2:$B$8,"ActualClosed")=1,C1088&gt;EOMONTH(Settlement_Bridge!$C$2,0)),1,0)</f>
        <v>0</v>
      </c>
      <c r="P1088" s="2" t="s">
        <v>3141</v>
      </c>
    </row>
    <row r="1089" spans="1:16" x14ac:dyDescent="0.25">
      <c r="A1089" s="2" t="s">
        <v>3142</v>
      </c>
      <c r="B1089" s="2" t="s">
        <v>136</v>
      </c>
      <c r="C1089" s="8">
        <v>46278</v>
      </c>
      <c r="D1089" s="6">
        <v>46266</v>
      </c>
      <c r="E1089" s="2" t="s">
        <v>260</v>
      </c>
      <c r="F1089" s="2" t="s">
        <v>3143</v>
      </c>
      <c r="G1089" s="6">
        <v>46235</v>
      </c>
      <c r="H1089" s="2" t="s">
        <v>176</v>
      </c>
      <c r="I1089" s="2" t="s">
        <v>39</v>
      </c>
      <c r="J1089" s="9">
        <v>362.51600000000002</v>
      </c>
      <c r="K1089" s="7">
        <v>1</v>
      </c>
      <c r="L1089" s="9">
        <v>362.52</v>
      </c>
      <c r="M1089" s="9">
        <v>362.52</v>
      </c>
      <c r="N1089" s="9">
        <v>1.8</v>
      </c>
      <c r="O1089" s="10">
        <f>IF(AND(OR(H1089="APPROVED",H1089="SCHEDULED"),COUNTIFS(tblSource[EventID],F1089,tblSource[ReleaseStatus],"APPROVED")=1,COUNTIFS(Period_Status!$A$2:$A$8,G1089,Period_Status!$B$2:$B$8,"ActualClosed")=1,C1089&gt;EOMONTH(Settlement_Bridge!$C$2,0)),1,0)</f>
        <v>0</v>
      </c>
      <c r="P1089" s="2" t="s">
        <v>3144</v>
      </c>
    </row>
    <row r="1090" spans="1:16" x14ac:dyDescent="0.25">
      <c r="A1090" s="2" t="s">
        <v>3145</v>
      </c>
      <c r="B1090" s="2" t="s">
        <v>136</v>
      </c>
      <c r="C1090" s="8">
        <v>46303</v>
      </c>
      <c r="D1090" s="6">
        <v>46296</v>
      </c>
      <c r="E1090" s="2" t="s">
        <v>260</v>
      </c>
      <c r="F1090" s="2" t="s">
        <v>3143</v>
      </c>
      <c r="G1090" s="6">
        <v>46235</v>
      </c>
      <c r="H1090" s="2" t="s">
        <v>176</v>
      </c>
      <c r="I1090" s="2" t="s">
        <v>39</v>
      </c>
      <c r="J1090" s="9">
        <v>543.774</v>
      </c>
      <c r="K1090" s="7">
        <v>1</v>
      </c>
      <c r="L1090" s="9">
        <v>543.77</v>
      </c>
      <c r="M1090" s="9">
        <v>543.77</v>
      </c>
      <c r="N1090" s="9">
        <v>1.8</v>
      </c>
      <c r="O1090" s="10">
        <f>IF(AND(OR(H1090="APPROVED",H1090="SCHEDULED"),COUNTIFS(tblSource[EventID],F1090,tblSource[ReleaseStatus],"APPROVED")=1,COUNTIFS(Period_Status!$A$2:$A$8,G1090,Period_Status!$B$2:$B$8,"ActualClosed")=1,C1090&gt;EOMONTH(Settlement_Bridge!$C$2,0)),1,0)</f>
        <v>0</v>
      </c>
      <c r="P1090" s="2" t="s">
        <v>3146</v>
      </c>
    </row>
    <row r="1091" spans="1:16" x14ac:dyDescent="0.25">
      <c r="A1091" s="2" t="s">
        <v>3147</v>
      </c>
      <c r="B1091" s="2" t="s">
        <v>136</v>
      </c>
      <c r="C1091" s="8">
        <v>46289</v>
      </c>
      <c r="D1091" s="6">
        <v>46266</v>
      </c>
      <c r="E1091" s="2" t="s">
        <v>260</v>
      </c>
      <c r="F1091" s="2" t="s">
        <v>3148</v>
      </c>
      <c r="G1091" s="6">
        <v>46235</v>
      </c>
      <c r="H1091" s="2" t="s">
        <v>176</v>
      </c>
      <c r="I1091" s="2" t="s">
        <v>76</v>
      </c>
      <c r="J1091" s="9">
        <v>17549593.495935</v>
      </c>
      <c r="K1091" s="7">
        <v>6.1299999999999999E-5</v>
      </c>
      <c r="L1091" s="9">
        <v>1075.79</v>
      </c>
      <c r="M1091" s="9">
        <v>1079.3</v>
      </c>
      <c r="N1091" s="9">
        <v>1.8</v>
      </c>
      <c r="O1091" s="10">
        <f>IF(AND(OR(H1091="APPROVED",H1091="SCHEDULED"),COUNTIFS(tblSource[EventID],F1091,tblSource[ReleaseStatus],"APPROVED")=1,COUNTIFS(Period_Status!$A$2:$A$8,G1091,Period_Status!$B$2:$B$8,"ActualClosed")=1,C1091&gt;EOMONTH(Settlement_Bridge!$C$2,0)),1,0)</f>
        <v>0</v>
      </c>
      <c r="P1091" s="2" t="s">
        <v>3149</v>
      </c>
    </row>
    <row r="1092" spans="1:16" x14ac:dyDescent="0.25">
      <c r="A1092" s="2" t="s">
        <v>3150</v>
      </c>
      <c r="B1092" s="2" t="s">
        <v>136</v>
      </c>
      <c r="C1092" s="8">
        <v>46259</v>
      </c>
      <c r="D1092" s="6">
        <v>46235</v>
      </c>
      <c r="E1092" s="2" t="s">
        <v>260</v>
      </c>
      <c r="F1092" s="2" t="s">
        <v>3151</v>
      </c>
      <c r="G1092" s="6">
        <v>46235</v>
      </c>
      <c r="H1092" s="2" t="s">
        <v>71</v>
      </c>
      <c r="I1092" s="2" t="s">
        <v>70</v>
      </c>
      <c r="J1092" s="9">
        <v>1926.6307690000001</v>
      </c>
      <c r="K1092" s="7">
        <v>0.65</v>
      </c>
      <c r="L1092" s="9">
        <v>1252.31</v>
      </c>
      <c r="M1092" s="9">
        <v>1252.31</v>
      </c>
      <c r="N1092" s="9">
        <v>1.8</v>
      </c>
      <c r="O1092" s="10">
        <f>IF(AND(OR(H1092="APPROVED",H1092="SCHEDULED"),COUNTIFS(tblSource[EventID],F1092,tblSource[ReleaseStatus],"APPROVED")=1,COUNTIFS(Period_Status!$A$2:$A$8,G1092,Period_Status!$B$2:$B$8,"ActualClosed")=1,C1092&gt;EOMONTH(Settlement_Bridge!$C$2,0)),1,0)</f>
        <v>0</v>
      </c>
      <c r="P1092" s="2" t="s">
        <v>3152</v>
      </c>
    </row>
    <row r="1093" spans="1:16" x14ac:dyDescent="0.25">
      <c r="A1093" s="2" t="s">
        <v>3153</v>
      </c>
      <c r="B1093" s="2" t="s">
        <v>136</v>
      </c>
      <c r="C1093" s="8">
        <v>46250</v>
      </c>
      <c r="D1093" s="6">
        <v>46235</v>
      </c>
      <c r="E1093" s="2" t="s">
        <v>260</v>
      </c>
      <c r="F1093" s="2" t="s">
        <v>3154</v>
      </c>
      <c r="G1093" s="6">
        <v>46235</v>
      </c>
      <c r="H1093" s="2" t="s">
        <v>71</v>
      </c>
      <c r="I1093" s="2" t="s">
        <v>39</v>
      </c>
      <c r="J1093" s="9">
        <v>570.12800000000004</v>
      </c>
      <c r="K1093" s="7">
        <v>1</v>
      </c>
      <c r="L1093" s="9">
        <v>570.13</v>
      </c>
      <c r="M1093" s="9">
        <v>570.13</v>
      </c>
      <c r="N1093" s="9">
        <v>1.8</v>
      </c>
      <c r="O1093" s="10">
        <f>IF(AND(OR(H1093="APPROVED",H1093="SCHEDULED"),COUNTIFS(tblSource[EventID],F1093,tblSource[ReleaseStatus],"APPROVED")=1,COUNTIFS(Period_Status!$A$2:$A$8,G1093,Period_Status!$B$2:$B$8,"ActualClosed")=1,C1093&gt;EOMONTH(Settlement_Bridge!$C$2,0)),1,0)</f>
        <v>0</v>
      </c>
      <c r="P1093" s="2" t="s">
        <v>3155</v>
      </c>
    </row>
    <row r="1094" spans="1:16" x14ac:dyDescent="0.25">
      <c r="A1094" s="2" t="s">
        <v>3156</v>
      </c>
      <c r="B1094" s="2" t="s">
        <v>136</v>
      </c>
      <c r="C1094" s="8">
        <v>46275</v>
      </c>
      <c r="D1094" s="6">
        <v>46266</v>
      </c>
      <c r="E1094" s="2" t="s">
        <v>260</v>
      </c>
      <c r="F1094" s="2" t="s">
        <v>3154</v>
      </c>
      <c r="G1094" s="6">
        <v>46235</v>
      </c>
      <c r="H1094" s="2" t="s">
        <v>176</v>
      </c>
      <c r="I1094" s="2" t="s">
        <v>39</v>
      </c>
      <c r="J1094" s="9">
        <v>855.19200000000001</v>
      </c>
      <c r="K1094" s="7">
        <v>1</v>
      </c>
      <c r="L1094" s="9">
        <v>855.19</v>
      </c>
      <c r="M1094" s="9">
        <v>855.19</v>
      </c>
      <c r="N1094" s="9">
        <v>1.8</v>
      </c>
      <c r="O1094" s="10">
        <f>IF(AND(OR(H1094="APPROVED",H1094="SCHEDULED"),COUNTIFS(tblSource[EventID],F1094,tblSource[ReleaseStatus],"APPROVED")=1,COUNTIFS(Period_Status!$A$2:$A$8,G1094,Period_Status!$B$2:$B$8,"ActualClosed")=1,C1094&gt;EOMONTH(Settlement_Bridge!$C$2,0)),1,0)</f>
        <v>0</v>
      </c>
      <c r="P1094" s="2" t="s">
        <v>3157</v>
      </c>
    </row>
    <row r="1095" spans="1:16" x14ac:dyDescent="0.25">
      <c r="A1095" s="2" t="s">
        <v>3158</v>
      </c>
      <c r="B1095" s="2" t="s">
        <v>136</v>
      </c>
      <c r="C1095" s="8">
        <v>46261</v>
      </c>
      <c r="D1095" s="6">
        <v>46235</v>
      </c>
      <c r="E1095" s="2" t="s">
        <v>260</v>
      </c>
      <c r="F1095" s="2" t="s">
        <v>3159</v>
      </c>
      <c r="G1095" s="6">
        <v>46235</v>
      </c>
      <c r="H1095" s="2" t="s">
        <v>71</v>
      </c>
      <c r="I1095" s="2" t="s">
        <v>76</v>
      </c>
      <c r="J1095" s="9">
        <v>25989105.691057</v>
      </c>
      <c r="K1095" s="7">
        <v>6.1500000000000004E-5</v>
      </c>
      <c r="L1095" s="9">
        <v>1598.33</v>
      </c>
      <c r="M1095" s="9">
        <v>1598.33</v>
      </c>
      <c r="N1095" s="9">
        <v>1.8</v>
      </c>
      <c r="O1095" s="10">
        <f>IF(AND(OR(H1095="APPROVED",H1095="SCHEDULED"),COUNTIFS(tblSource[EventID],F1095,tblSource[ReleaseStatus],"APPROVED")=1,COUNTIFS(Period_Status!$A$2:$A$8,G1095,Period_Status!$B$2:$B$8,"ActualClosed")=1,C1095&gt;EOMONTH(Settlement_Bridge!$C$2,0)),1,0)</f>
        <v>0</v>
      </c>
      <c r="P1095" s="2" t="s">
        <v>3160</v>
      </c>
    </row>
    <row r="1096" spans="1:16" x14ac:dyDescent="0.25">
      <c r="A1096" s="2" t="s">
        <v>3161</v>
      </c>
      <c r="B1096" s="2" t="s">
        <v>136</v>
      </c>
      <c r="C1096" s="8">
        <v>46262</v>
      </c>
      <c r="D1096" s="6">
        <v>46235</v>
      </c>
      <c r="E1096" s="2" t="s">
        <v>260</v>
      </c>
      <c r="F1096" s="2" t="s">
        <v>3162</v>
      </c>
      <c r="G1096" s="6">
        <v>46235</v>
      </c>
      <c r="H1096" s="2" t="s">
        <v>71</v>
      </c>
      <c r="I1096" s="2" t="s">
        <v>70</v>
      </c>
      <c r="J1096" s="9">
        <v>2725.1384619999999</v>
      </c>
      <c r="K1096" s="7">
        <v>0.65</v>
      </c>
      <c r="L1096" s="9">
        <v>1771.34</v>
      </c>
      <c r="M1096" s="9">
        <v>1771.34</v>
      </c>
      <c r="N1096" s="9">
        <v>1.8</v>
      </c>
      <c r="O1096" s="10">
        <f>IF(AND(OR(H1096="APPROVED",H1096="SCHEDULED"),COUNTIFS(tblSource[EventID],F1096,tblSource[ReleaseStatus],"APPROVED")=1,COUNTIFS(Period_Status!$A$2:$A$8,G1096,Period_Status!$B$2:$B$8,"ActualClosed")=1,C1096&gt;EOMONTH(Settlement_Bridge!$C$2,0)),1,0)</f>
        <v>0</v>
      </c>
      <c r="P1096" s="2" t="s">
        <v>3163</v>
      </c>
    </row>
    <row r="1097" spans="1:16" x14ac:dyDescent="0.25">
      <c r="A1097" s="2" t="s">
        <v>3164</v>
      </c>
      <c r="B1097" s="2" t="s">
        <v>136</v>
      </c>
      <c r="C1097" s="8">
        <v>46263</v>
      </c>
      <c r="D1097" s="6">
        <v>46235</v>
      </c>
      <c r="E1097" s="2" t="s">
        <v>260</v>
      </c>
      <c r="F1097" s="2" t="s">
        <v>3165</v>
      </c>
      <c r="G1097" s="6">
        <v>46235</v>
      </c>
      <c r="H1097" s="2" t="s">
        <v>71</v>
      </c>
      <c r="I1097" s="2" t="s">
        <v>39</v>
      </c>
      <c r="J1097" s="9">
        <v>1944.35</v>
      </c>
      <c r="K1097" s="7">
        <v>1</v>
      </c>
      <c r="L1097" s="9">
        <v>1944.35</v>
      </c>
      <c r="M1097" s="9">
        <v>1944.35</v>
      </c>
      <c r="N1097" s="9">
        <v>1.8</v>
      </c>
      <c r="O1097" s="10">
        <f>IF(AND(OR(H1097="APPROVED",H1097="SCHEDULED"),COUNTIFS(tblSource[EventID],F1097,tblSource[ReleaseStatus],"APPROVED")=1,COUNTIFS(Period_Status!$A$2:$A$8,G1097,Period_Status!$B$2:$B$8,"ActualClosed")=1,C1097&gt;EOMONTH(Settlement_Bridge!$C$2,0)),1,0)</f>
        <v>0</v>
      </c>
      <c r="P1097" s="2" t="s">
        <v>3166</v>
      </c>
    </row>
    <row r="1098" spans="1:16" x14ac:dyDescent="0.25">
      <c r="A1098" s="2" t="s">
        <v>3167</v>
      </c>
      <c r="B1098" s="2" t="s">
        <v>136</v>
      </c>
      <c r="C1098" s="8">
        <v>46264</v>
      </c>
      <c r="D1098" s="6">
        <v>46235</v>
      </c>
      <c r="E1098" s="2" t="s">
        <v>260</v>
      </c>
      <c r="F1098" s="2" t="s">
        <v>3168</v>
      </c>
      <c r="G1098" s="6">
        <v>46235</v>
      </c>
      <c r="H1098" s="2" t="s">
        <v>71</v>
      </c>
      <c r="I1098" s="2" t="s">
        <v>76</v>
      </c>
      <c r="J1098" s="9">
        <v>34428617.886179</v>
      </c>
      <c r="K1098" s="7">
        <v>6.1500000000000004E-5</v>
      </c>
      <c r="L1098" s="9">
        <v>2117.36</v>
      </c>
      <c r="M1098" s="9">
        <v>2117.36</v>
      </c>
      <c r="N1098" s="9">
        <v>1.8</v>
      </c>
      <c r="O1098" s="10">
        <f>IF(AND(OR(H1098="APPROVED",H1098="SCHEDULED"),COUNTIFS(tblSource[EventID],F1098,tblSource[ReleaseStatus],"APPROVED")=1,COUNTIFS(Period_Status!$A$2:$A$8,G1098,Period_Status!$B$2:$B$8,"ActualClosed")=1,C1098&gt;EOMONTH(Settlement_Bridge!$C$2,0)),1,0)</f>
        <v>0</v>
      </c>
      <c r="P1098" s="2" t="s">
        <v>3169</v>
      </c>
    </row>
    <row r="1099" spans="1:16" x14ac:dyDescent="0.25">
      <c r="A1099" s="2" t="s">
        <v>3170</v>
      </c>
      <c r="B1099" s="2" t="s">
        <v>136</v>
      </c>
      <c r="C1099" s="8">
        <v>46265</v>
      </c>
      <c r="D1099" s="6">
        <v>46235</v>
      </c>
      <c r="E1099" s="2" t="s">
        <v>260</v>
      </c>
      <c r="F1099" s="2" t="s">
        <v>3171</v>
      </c>
      <c r="G1099" s="6">
        <v>46235</v>
      </c>
      <c r="H1099" s="2" t="s">
        <v>71</v>
      </c>
      <c r="I1099" s="2" t="s">
        <v>70</v>
      </c>
      <c r="J1099" s="9">
        <v>3523.646154</v>
      </c>
      <c r="K1099" s="7">
        <v>0.65</v>
      </c>
      <c r="L1099" s="9">
        <v>2290.37</v>
      </c>
      <c r="M1099" s="9">
        <v>2290.37</v>
      </c>
      <c r="N1099" s="9">
        <v>1.8</v>
      </c>
      <c r="O1099" s="10">
        <f>IF(AND(OR(H1099="APPROVED",H1099="SCHEDULED"),COUNTIFS(tblSource[EventID],F1099,tblSource[ReleaseStatus],"APPROVED")=1,COUNTIFS(Period_Status!$A$2:$A$8,G1099,Period_Status!$B$2:$B$8,"ActualClosed")=1,C1099&gt;EOMONTH(Settlement_Bridge!$C$2,0)),1,0)</f>
        <v>0</v>
      </c>
      <c r="P1099" s="2" t="s">
        <v>3172</v>
      </c>
    </row>
    <row r="1100" spans="1:16" x14ac:dyDescent="0.25">
      <c r="A1100" s="2" t="s">
        <v>3173</v>
      </c>
      <c r="B1100" s="2" t="s">
        <v>136</v>
      </c>
      <c r="C1100" s="8">
        <v>46256</v>
      </c>
      <c r="D1100" s="6">
        <v>46235</v>
      </c>
      <c r="E1100" s="2" t="s">
        <v>260</v>
      </c>
      <c r="F1100" s="2" t="s">
        <v>3174</v>
      </c>
      <c r="G1100" s="6">
        <v>46235</v>
      </c>
      <c r="H1100" s="2" t="s">
        <v>71</v>
      </c>
      <c r="I1100" s="2" t="s">
        <v>39</v>
      </c>
      <c r="J1100" s="9">
        <v>985.35199999999998</v>
      </c>
      <c r="K1100" s="7">
        <v>1</v>
      </c>
      <c r="L1100" s="9">
        <v>985.35</v>
      </c>
      <c r="M1100" s="9">
        <v>985.35</v>
      </c>
      <c r="N1100" s="9">
        <v>1.8</v>
      </c>
      <c r="O1100" s="10">
        <f>IF(AND(OR(H1100="APPROVED",H1100="SCHEDULED"),COUNTIFS(tblSource[EventID],F1100,tblSource[ReleaseStatus],"APPROVED")=1,COUNTIFS(Period_Status!$A$2:$A$8,G1100,Period_Status!$B$2:$B$8,"ActualClosed")=1,C1100&gt;EOMONTH(Settlement_Bridge!$C$2,0)),1,0)</f>
        <v>0</v>
      </c>
      <c r="P1100" s="2" t="s">
        <v>3175</v>
      </c>
    </row>
    <row r="1101" spans="1:16" x14ac:dyDescent="0.25">
      <c r="A1101" s="2" t="s">
        <v>3176</v>
      </c>
      <c r="B1101" s="2" t="s">
        <v>136</v>
      </c>
      <c r="C1101" s="8">
        <v>46281</v>
      </c>
      <c r="D1101" s="6">
        <v>46266</v>
      </c>
      <c r="E1101" s="2" t="s">
        <v>260</v>
      </c>
      <c r="F1101" s="2" t="s">
        <v>3174</v>
      </c>
      <c r="G1101" s="6">
        <v>46235</v>
      </c>
      <c r="H1101" s="2" t="s">
        <v>176</v>
      </c>
      <c r="I1101" s="2" t="s">
        <v>39</v>
      </c>
      <c r="J1101" s="9">
        <v>1478.028</v>
      </c>
      <c r="K1101" s="7">
        <v>1</v>
      </c>
      <c r="L1101" s="9">
        <v>1478.03</v>
      </c>
      <c r="M1101" s="9">
        <v>1478.03</v>
      </c>
      <c r="N1101" s="9">
        <v>1.8</v>
      </c>
      <c r="O1101" s="10">
        <f>IF(AND(OR(H1101="APPROVED",H1101="SCHEDULED"),COUNTIFS(tblSource[EventID],F1101,tblSource[ReleaseStatus],"APPROVED")=1,COUNTIFS(Period_Status!$A$2:$A$8,G1101,Period_Status!$B$2:$B$8,"ActualClosed")=1,C1101&gt;EOMONTH(Settlement_Bridge!$C$2,0)),1,0)</f>
        <v>0</v>
      </c>
      <c r="P1101" s="2" t="s">
        <v>3177</v>
      </c>
    </row>
    <row r="1102" spans="1:16" x14ac:dyDescent="0.25">
      <c r="A1102" s="2" t="s">
        <v>3178</v>
      </c>
      <c r="B1102" s="2" t="s">
        <v>136</v>
      </c>
      <c r="C1102" s="8">
        <v>46257</v>
      </c>
      <c r="D1102" s="6">
        <v>46235</v>
      </c>
      <c r="E1102" s="2" t="s">
        <v>260</v>
      </c>
      <c r="F1102" s="2" t="s">
        <v>3179</v>
      </c>
      <c r="G1102" s="6">
        <v>46235</v>
      </c>
      <c r="H1102" s="2" t="s">
        <v>71</v>
      </c>
      <c r="I1102" s="2" t="s">
        <v>76</v>
      </c>
      <c r="J1102" s="9">
        <v>17147252.03252</v>
      </c>
      <c r="K1102" s="7">
        <v>6.1500000000000004E-5</v>
      </c>
      <c r="L1102" s="9">
        <v>1054.56</v>
      </c>
      <c r="M1102" s="9">
        <v>1054.56</v>
      </c>
      <c r="N1102" s="9">
        <v>1.8</v>
      </c>
      <c r="O1102" s="10">
        <f>IF(AND(OR(H1102="APPROVED",H1102="SCHEDULED"),COUNTIFS(tblSource[EventID],F1102,tblSource[ReleaseStatus],"APPROVED")=1,COUNTIFS(Period_Status!$A$2:$A$8,G1102,Period_Status!$B$2:$B$8,"ActualClosed")=1,C1102&gt;EOMONTH(Settlement_Bridge!$C$2,0)),1,0)</f>
        <v>0</v>
      </c>
      <c r="P1102" s="2" t="s">
        <v>3180</v>
      </c>
    </row>
    <row r="1103" spans="1:16" x14ac:dyDescent="0.25">
      <c r="A1103" s="2" t="s">
        <v>3181</v>
      </c>
      <c r="B1103" s="2" t="s">
        <v>136</v>
      </c>
      <c r="C1103" s="8">
        <v>46282</v>
      </c>
      <c r="D1103" s="6">
        <v>46266</v>
      </c>
      <c r="E1103" s="2" t="s">
        <v>260</v>
      </c>
      <c r="F1103" s="2" t="s">
        <v>3179</v>
      </c>
      <c r="G1103" s="6">
        <v>46235</v>
      </c>
      <c r="H1103" s="2" t="s">
        <v>176</v>
      </c>
      <c r="I1103" s="2" t="s">
        <v>76</v>
      </c>
      <c r="J1103" s="9">
        <v>25720878.048781</v>
      </c>
      <c r="K1103" s="7">
        <v>6.1299999999999999E-5</v>
      </c>
      <c r="L1103" s="9">
        <v>1576.69</v>
      </c>
      <c r="M1103" s="9">
        <v>1581.83</v>
      </c>
      <c r="N1103" s="9">
        <v>1.8</v>
      </c>
      <c r="O1103" s="10">
        <f>IF(AND(OR(H1103="APPROVED",H1103="SCHEDULED"),COUNTIFS(tblSource[EventID],F1103,tblSource[ReleaseStatus],"APPROVED")=1,COUNTIFS(Period_Status!$A$2:$A$8,G1103,Period_Status!$B$2:$B$8,"ActualClosed")=1,C1103&gt;EOMONTH(Settlement_Bridge!$C$2,0)),1,0)</f>
        <v>0</v>
      </c>
      <c r="P1103" s="2" t="s">
        <v>3182</v>
      </c>
    </row>
    <row r="1104" spans="1:16" x14ac:dyDescent="0.25">
      <c r="A1104" s="2" t="s">
        <v>3183</v>
      </c>
      <c r="B1104" s="2" t="s">
        <v>136</v>
      </c>
      <c r="C1104" s="8">
        <v>46268</v>
      </c>
      <c r="D1104" s="6">
        <v>46266</v>
      </c>
      <c r="E1104" s="2" t="s">
        <v>260</v>
      </c>
      <c r="F1104" s="2" t="s">
        <v>3184</v>
      </c>
      <c r="G1104" s="6">
        <v>46235</v>
      </c>
      <c r="H1104" s="2" t="s">
        <v>176</v>
      </c>
      <c r="I1104" s="2" t="s">
        <v>70</v>
      </c>
      <c r="J1104" s="9">
        <v>4322.1538460000002</v>
      </c>
      <c r="K1104" s="7">
        <v>0.65100000000000002</v>
      </c>
      <c r="L1104" s="9">
        <v>2813.72</v>
      </c>
      <c r="M1104" s="9">
        <v>2809.4</v>
      </c>
      <c r="N1104" s="9">
        <v>1.8</v>
      </c>
      <c r="O1104" s="10">
        <f>IF(AND(OR(H1104="APPROVED",H1104="SCHEDULED"),COUNTIFS(tblSource[EventID],F1104,tblSource[ReleaseStatus],"APPROVED")=1,COUNTIFS(Period_Status!$A$2:$A$8,G1104,Period_Status!$B$2:$B$8,"ActualClosed")=1,C1104&gt;EOMONTH(Settlement_Bridge!$C$2,0)),1,0)</f>
        <v>0</v>
      </c>
      <c r="P1104" s="2" t="s">
        <v>3185</v>
      </c>
    </row>
    <row r="1105" spans="1:16" x14ac:dyDescent="0.25">
      <c r="A1105" s="2" t="s">
        <v>3186</v>
      </c>
      <c r="B1105" s="2" t="s">
        <v>136</v>
      </c>
      <c r="C1105" s="8">
        <v>46269</v>
      </c>
      <c r="D1105" s="6">
        <v>46266</v>
      </c>
      <c r="E1105" s="2" t="s">
        <v>260</v>
      </c>
      <c r="F1105" s="2" t="s">
        <v>3187</v>
      </c>
      <c r="G1105" s="6">
        <v>46235</v>
      </c>
      <c r="H1105" s="2" t="s">
        <v>176</v>
      </c>
      <c r="I1105" s="2" t="s">
        <v>39</v>
      </c>
      <c r="J1105" s="9">
        <v>2982.41</v>
      </c>
      <c r="K1105" s="7">
        <v>1</v>
      </c>
      <c r="L1105" s="9">
        <v>2982.41</v>
      </c>
      <c r="M1105" s="9">
        <v>2982.41</v>
      </c>
      <c r="N1105" s="9">
        <v>1.8</v>
      </c>
      <c r="O1105" s="10">
        <f>IF(AND(OR(H1105="APPROVED",H1105="SCHEDULED"),COUNTIFS(tblSource[EventID],F1105,tblSource[ReleaseStatus],"APPROVED")=1,COUNTIFS(Period_Status!$A$2:$A$8,G1105,Period_Status!$B$2:$B$8,"ActualClosed")=1,C1105&gt;EOMONTH(Settlement_Bridge!$C$2,0)),1,0)</f>
        <v>0</v>
      </c>
      <c r="P1105" s="2" t="s">
        <v>3188</v>
      </c>
    </row>
    <row r="1106" spans="1:16" x14ac:dyDescent="0.25">
      <c r="A1106" s="2" t="s">
        <v>3189</v>
      </c>
      <c r="B1106" s="2" t="s">
        <v>136</v>
      </c>
      <c r="C1106" s="8">
        <v>46260</v>
      </c>
      <c r="D1106" s="6">
        <v>46235</v>
      </c>
      <c r="E1106" s="2" t="s">
        <v>260</v>
      </c>
      <c r="F1106" s="2" t="s">
        <v>3190</v>
      </c>
      <c r="G1106" s="6">
        <v>46235</v>
      </c>
      <c r="H1106" s="2" t="s">
        <v>71</v>
      </c>
      <c r="I1106" s="2" t="s">
        <v>76</v>
      </c>
      <c r="J1106" s="9">
        <v>20523056.910569001</v>
      </c>
      <c r="K1106" s="7">
        <v>6.1500000000000004E-5</v>
      </c>
      <c r="L1106" s="9">
        <v>1262.17</v>
      </c>
      <c r="M1106" s="9">
        <v>1262.17</v>
      </c>
      <c r="N1106" s="9">
        <v>1.8</v>
      </c>
      <c r="O1106" s="10">
        <f>IF(AND(OR(H1106="APPROVED",H1106="SCHEDULED"),COUNTIFS(tblSource[EventID],F1106,tblSource[ReleaseStatus],"APPROVED")=1,COUNTIFS(Period_Status!$A$2:$A$8,G1106,Period_Status!$B$2:$B$8,"ActualClosed")=1,C1106&gt;EOMONTH(Settlement_Bridge!$C$2,0)),1,0)</f>
        <v>0</v>
      </c>
      <c r="P1106" s="2" t="s">
        <v>3191</v>
      </c>
    </row>
    <row r="1107" spans="1:16" x14ac:dyDescent="0.25">
      <c r="A1107" s="2" t="s">
        <v>3192</v>
      </c>
      <c r="B1107" s="2" t="s">
        <v>136</v>
      </c>
      <c r="C1107" s="8">
        <v>46285</v>
      </c>
      <c r="D1107" s="6">
        <v>46266</v>
      </c>
      <c r="E1107" s="2" t="s">
        <v>260</v>
      </c>
      <c r="F1107" s="2" t="s">
        <v>3190</v>
      </c>
      <c r="G1107" s="6">
        <v>46235</v>
      </c>
      <c r="H1107" s="2" t="s">
        <v>176</v>
      </c>
      <c r="I1107" s="2" t="s">
        <v>76</v>
      </c>
      <c r="J1107" s="9">
        <v>30784585.365853999</v>
      </c>
      <c r="K1107" s="7">
        <v>6.1299999999999999E-5</v>
      </c>
      <c r="L1107" s="9">
        <v>1887.1</v>
      </c>
      <c r="M1107" s="9">
        <v>1893.25</v>
      </c>
      <c r="N1107" s="9">
        <v>1.8</v>
      </c>
      <c r="O1107" s="10">
        <f>IF(AND(OR(H1107="APPROVED",H1107="SCHEDULED"),COUNTIFS(tblSource[EventID],F1107,tblSource[ReleaseStatus],"APPROVED")=1,COUNTIFS(Period_Status!$A$2:$A$8,G1107,Period_Status!$B$2:$B$8,"ActualClosed")=1,C1107&gt;EOMONTH(Settlement_Bridge!$C$2,0)),1,0)</f>
        <v>0</v>
      </c>
      <c r="P1107" s="2" t="s">
        <v>3193</v>
      </c>
    </row>
    <row r="1108" spans="1:16" x14ac:dyDescent="0.25">
      <c r="A1108" s="2" t="s">
        <v>3194</v>
      </c>
      <c r="B1108" s="2" t="s">
        <v>136</v>
      </c>
      <c r="C1108" s="8">
        <v>46271</v>
      </c>
      <c r="D1108" s="6">
        <v>46266</v>
      </c>
      <c r="E1108" s="2" t="s">
        <v>260</v>
      </c>
      <c r="F1108" s="2" t="s">
        <v>3195</v>
      </c>
      <c r="G1108" s="6">
        <v>46235</v>
      </c>
      <c r="H1108" s="2" t="s">
        <v>176</v>
      </c>
      <c r="I1108" s="2" t="s">
        <v>70</v>
      </c>
      <c r="J1108" s="9">
        <v>5120.6615380000003</v>
      </c>
      <c r="K1108" s="7">
        <v>0.65100000000000002</v>
      </c>
      <c r="L1108" s="9">
        <v>3333.55</v>
      </c>
      <c r="M1108" s="9">
        <v>3328.43</v>
      </c>
      <c r="N1108" s="9">
        <v>1.83</v>
      </c>
      <c r="O1108" s="10">
        <f>IF(AND(OR(H1108="APPROVED",H1108="SCHEDULED"),COUNTIFS(tblSource[EventID],F1108,tblSource[ReleaseStatus],"APPROVED")=1,COUNTIFS(Period_Status!$A$2:$A$8,G1108,Period_Status!$B$2:$B$8,"ActualClosed")=1,C1108&gt;EOMONTH(Settlement_Bridge!$C$2,0)),1,0)</f>
        <v>0</v>
      </c>
      <c r="P1108" s="2" t="s">
        <v>3196</v>
      </c>
    </row>
    <row r="1109" spans="1:16" x14ac:dyDescent="0.25">
      <c r="A1109" s="2" t="s">
        <v>3197</v>
      </c>
      <c r="B1109" s="2" t="s">
        <v>136</v>
      </c>
      <c r="C1109" s="8">
        <v>46272</v>
      </c>
      <c r="D1109" s="6">
        <v>46266</v>
      </c>
      <c r="E1109" s="2" t="s">
        <v>260</v>
      </c>
      <c r="F1109" s="2" t="s">
        <v>3198</v>
      </c>
      <c r="G1109" s="6">
        <v>46235</v>
      </c>
      <c r="H1109" s="2" t="s">
        <v>176</v>
      </c>
      <c r="I1109" s="2" t="s">
        <v>39</v>
      </c>
      <c r="J1109" s="9">
        <v>-3501.44</v>
      </c>
      <c r="K1109" s="7">
        <v>1</v>
      </c>
      <c r="L1109" s="9">
        <v>-3501.44</v>
      </c>
      <c r="M1109" s="9">
        <v>-3501.44</v>
      </c>
      <c r="N1109" s="9">
        <v>0</v>
      </c>
      <c r="O1109" s="10">
        <f>IF(AND(OR(H1109="APPROVED",H1109="SCHEDULED"),COUNTIFS(tblSource[EventID],F1109,tblSource[ReleaseStatus],"APPROVED")=1,COUNTIFS(Period_Status!$A$2:$A$8,G1109,Period_Status!$B$2:$B$8,"ActualClosed")=1,C1109&gt;EOMONTH(Settlement_Bridge!$C$2,0)),1,0)</f>
        <v>0</v>
      </c>
      <c r="P1109" s="2" t="s">
        <v>3199</v>
      </c>
    </row>
    <row r="1110" spans="1:16" x14ac:dyDescent="0.25">
      <c r="A1110" s="2" t="s">
        <v>3200</v>
      </c>
      <c r="B1110" s="2" t="s">
        <v>136</v>
      </c>
      <c r="C1110" s="8">
        <v>46273</v>
      </c>
      <c r="D1110" s="6">
        <v>46266</v>
      </c>
      <c r="E1110" s="2" t="s">
        <v>260</v>
      </c>
      <c r="F1110" s="2" t="s">
        <v>3201</v>
      </c>
      <c r="G1110" s="6">
        <v>46235</v>
      </c>
      <c r="H1110" s="2" t="s">
        <v>176</v>
      </c>
      <c r="I1110" s="2" t="s">
        <v>76</v>
      </c>
      <c r="J1110" s="9">
        <v>59747154.471545003</v>
      </c>
      <c r="K1110" s="7">
        <v>6.1299999999999999E-5</v>
      </c>
      <c r="L1110" s="9">
        <v>3662.5</v>
      </c>
      <c r="M1110" s="9">
        <v>3674.45</v>
      </c>
      <c r="N1110" s="9">
        <v>2.0099999999999998</v>
      </c>
      <c r="O1110" s="10">
        <f>IF(AND(OR(H1110="APPROVED",H1110="SCHEDULED"),COUNTIFS(tblSource[EventID],F1110,tblSource[ReleaseStatus],"APPROVED")=1,COUNTIFS(Period_Status!$A$2:$A$8,G1110,Period_Status!$B$2:$B$8,"ActualClosed")=1,C1110&gt;EOMONTH(Settlement_Bridge!$C$2,0)),1,0)</f>
        <v>0</v>
      </c>
      <c r="P1110" s="2" t="s">
        <v>3202</v>
      </c>
    </row>
    <row r="1111" spans="1:16" x14ac:dyDescent="0.25">
      <c r="A1111" s="2" t="s">
        <v>3203</v>
      </c>
      <c r="B1111" s="2" t="s">
        <v>136</v>
      </c>
      <c r="C1111" s="8">
        <v>46274</v>
      </c>
      <c r="D1111" s="6">
        <v>46266</v>
      </c>
      <c r="E1111" s="2" t="s">
        <v>260</v>
      </c>
      <c r="F1111" s="2" t="s">
        <v>3204</v>
      </c>
      <c r="G1111" s="6">
        <v>46235</v>
      </c>
      <c r="H1111" s="2" t="s">
        <v>176</v>
      </c>
      <c r="I1111" s="2" t="s">
        <v>70</v>
      </c>
      <c r="J1111" s="9">
        <v>5919.1692309999999</v>
      </c>
      <c r="K1111" s="7">
        <v>0.65100000000000002</v>
      </c>
      <c r="L1111" s="9">
        <v>3853.38</v>
      </c>
      <c r="M1111" s="9">
        <v>3847.46</v>
      </c>
      <c r="N1111" s="9">
        <v>2.12</v>
      </c>
      <c r="O1111" s="10">
        <f>IF(AND(OR(H1111="APPROVED",H1111="SCHEDULED"),COUNTIFS(tblSource[EventID],F1111,tblSource[ReleaseStatus],"APPROVED")=1,COUNTIFS(Period_Status!$A$2:$A$8,G1111,Period_Status!$B$2:$B$8,"ActualClosed")=1,C1111&gt;EOMONTH(Settlement_Bridge!$C$2,0)),1,0)</f>
        <v>0</v>
      </c>
      <c r="P1111" s="2" t="s">
        <v>3205</v>
      </c>
    </row>
    <row r="1112" spans="1:16" x14ac:dyDescent="0.25">
      <c r="A1112" s="2" t="s">
        <v>3206</v>
      </c>
      <c r="B1112" s="2" t="s">
        <v>136</v>
      </c>
      <c r="C1112" s="8">
        <v>46275</v>
      </c>
      <c r="D1112" s="6">
        <v>46266</v>
      </c>
      <c r="E1112" s="2" t="s">
        <v>260</v>
      </c>
      <c r="F1112" s="2" t="s">
        <v>3207</v>
      </c>
      <c r="G1112" s="6">
        <v>46235</v>
      </c>
      <c r="H1112" s="2" t="s">
        <v>176</v>
      </c>
      <c r="I1112" s="2" t="s">
        <v>39</v>
      </c>
      <c r="J1112" s="9">
        <v>4020.47</v>
      </c>
      <c r="K1112" s="7">
        <v>1</v>
      </c>
      <c r="L1112" s="9">
        <v>4020.47</v>
      </c>
      <c r="M1112" s="9">
        <v>4020.47</v>
      </c>
      <c r="N1112" s="9">
        <v>2.21</v>
      </c>
      <c r="O1112" s="10">
        <f>IF(AND(OR(H1112="APPROVED",H1112="SCHEDULED"),COUNTIFS(tblSource[EventID],F1112,tblSource[ReleaseStatus],"APPROVED")=1,COUNTIFS(Period_Status!$A$2:$A$8,G1112,Period_Status!$B$2:$B$8,"ActualClosed")=1,C1112&gt;EOMONTH(Settlement_Bridge!$C$2,0)),1,0)</f>
        <v>0</v>
      </c>
      <c r="P1112" s="2" t="s">
        <v>3208</v>
      </c>
    </row>
    <row r="1113" spans="1:16" x14ac:dyDescent="0.25">
      <c r="A1113" s="2" t="s">
        <v>3209</v>
      </c>
      <c r="B1113" s="2" t="s">
        <v>136</v>
      </c>
      <c r="C1113" s="8">
        <v>46266</v>
      </c>
      <c r="D1113" s="6">
        <v>46266</v>
      </c>
      <c r="E1113" s="2" t="s">
        <v>260</v>
      </c>
      <c r="F1113" s="2" t="s">
        <v>3210</v>
      </c>
      <c r="G1113" s="6">
        <v>46235</v>
      </c>
      <c r="H1113" s="2" t="s">
        <v>176</v>
      </c>
      <c r="I1113" s="2" t="s">
        <v>76</v>
      </c>
      <c r="J1113" s="9">
        <v>27274666.666666999</v>
      </c>
      <c r="K1113" s="7">
        <v>6.1299999999999999E-5</v>
      </c>
      <c r="L1113" s="9">
        <v>1671.94</v>
      </c>
      <c r="M1113" s="9">
        <v>1677.39</v>
      </c>
      <c r="N1113" s="9">
        <v>1.8</v>
      </c>
      <c r="O1113" s="10">
        <f>IF(AND(OR(H1113="APPROVED",H1113="SCHEDULED"),COUNTIFS(tblSource[EventID],F1113,tblSource[ReleaseStatus],"APPROVED")=1,COUNTIFS(Period_Status!$A$2:$A$8,G1113,Period_Status!$B$2:$B$8,"ActualClosed")=1,C1113&gt;EOMONTH(Settlement_Bridge!$C$2,0)),1,0)</f>
        <v>0</v>
      </c>
      <c r="P1113" s="2" t="s">
        <v>3211</v>
      </c>
    </row>
    <row r="1114" spans="1:16" x14ac:dyDescent="0.25">
      <c r="A1114" s="2" t="s">
        <v>3212</v>
      </c>
      <c r="B1114" s="2" t="s">
        <v>136</v>
      </c>
      <c r="C1114" s="8">
        <v>46291</v>
      </c>
      <c r="D1114" s="6">
        <v>46266</v>
      </c>
      <c r="E1114" s="2" t="s">
        <v>260</v>
      </c>
      <c r="F1114" s="2" t="s">
        <v>3210</v>
      </c>
      <c r="G1114" s="6">
        <v>46235</v>
      </c>
      <c r="H1114" s="2" t="s">
        <v>176</v>
      </c>
      <c r="I1114" s="2" t="s">
        <v>76</v>
      </c>
      <c r="J1114" s="9">
        <v>40912000</v>
      </c>
      <c r="K1114" s="7">
        <v>6.1299999999999999E-5</v>
      </c>
      <c r="L1114" s="9">
        <v>2507.91</v>
      </c>
      <c r="M1114" s="9">
        <v>2516.09</v>
      </c>
      <c r="N1114" s="9">
        <v>1.8</v>
      </c>
      <c r="O1114" s="10">
        <f>IF(AND(OR(H1114="APPROVED",H1114="SCHEDULED"),COUNTIFS(tblSource[EventID],F1114,tblSource[ReleaseStatus],"APPROVED")=1,COUNTIFS(Period_Status!$A$2:$A$8,G1114,Period_Status!$B$2:$B$8,"ActualClosed")=1,C1114&gt;EOMONTH(Settlement_Bridge!$C$2,0)),1,0)</f>
        <v>0</v>
      </c>
      <c r="P1114" s="2" t="s">
        <v>3213</v>
      </c>
    </row>
    <row r="1115" spans="1:16" x14ac:dyDescent="0.25">
      <c r="A1115" s="2" t="s">
        <v>3214</v>
      </c>
      <c r="B1115" s="2" t="s">
        <v>136</v>
      </c>
      <c r="C1115" s="8">
        <v>46267</v>
      </c>
      <c r="D1115" s="6">
        <v>46266</v>
      </c>
      <c r="E1115" s="2" t="s">
        <v>260</v>
      </c>
      <c r="F1115" s="2" t="s">
        <v>3215</v>
      </c>
      <c r="G1115" s="6">
        <v>46235</v>
      </c>
      <c r="H1115" s="2" t="s">
        <v>176</v>
      </c>
      <c r="I1115" s="2" t="s">
        <v>70</v>
      </c>
      <c r="J1115" s="9">
        <v>2687.0707689999999</v>
      </c>
      <c r="K1115" s="7">
        <v>0.65100000000000002</v>
      </c>
      <c r="L1115" s="9">
        <v>1749.28</v>
      </c>
      <c r="M1115" s="9">
        <v>1746.6</v>
      </c>
      <c r="N1115" s="9">
        <v>1.8</v>
      </c>
      <c r="O1115" s="10">
        <f>IF(AND(OR(H1115="APPROVED",H1115="SCHEDULED"),COUNTIFS(tblSource[EventID],F1115,tblSource[ReleaseStatus],"APPROVED")=1,COUNTIFS(Period_Status!$A$2:$A$8,G1115,Period_Status!$B$2:$B$8,"ActualClosed")=1,C1115&gt;EOMONTH(Settlement_Bridge!$C$2,0)),1,0)</f>
        <v>0</v>
      </c>
      <c r="P1115" s="2" t="s">
        <v>3216</v>
      </c>
    </row>
    <row r="1116" spans="1:16" x14ac:dyDescent="0.25">
      <c r="A1116" s="2" t="s">
        <v>3217</v>
      </c>
      <c r="B1116" s="2" t="s">
        <v>136</v>
      </c>
      <c r="C1116" s="8">
        <v>46292</v>
      </c>
      <c r="D1116" s="6">
        <v>46266</v>
      </c>
      <c r="E1116" s="2" t="s">
        <v>260</v>
      </c>
      <c r="F1116" s="2" t="s">
        <v>3215</v>
      </c>
      <c r="G1116" s="6">
        <v>46235</v>
      </c>
      <c r="H1116" s="2" t="s">
        <v>176</v>
      </c>
      <c r="I1116" s="2" t="s">
        <v>70</v>
      </c>
      <c r="J1116" s="9">
        <v>4030.6061540000001</v>
      </c>
      <c r="K1116" s="7">
        <v>0.65100000000000002</v>
      </c>
      <c r="L1116" s="9">
        <v>2623.92</v>
      </c>
      <c r="M1116" s="9">
        <v>2619.89</v>
      </c>
      <c r="N1116" s="9">
        <v>1.8</v>
      </c>
      <c r="O1116" s="10">
        <f>IF(AND(OR(H1116="APPROVED",H1116="SCHEDULED"),COUNTIFS(tblSource[EventID],F1116,tblSource[ReleaseStatus],"APPROVED")=1,COUNTIFS(Period_Status!$A$2:$A$8,G1116,Period_Status!$B$2:$B$8,"ActualClosed")=1,C1116&gt;EOMONTH(Settlement_Bridge!$C$2,0)),1,0)</f>
        <v>0</v>
      </c>
      <c r="P1116" s="2" t="s">
        <v>3218</v>
      </c>
    </row>
    <row r="1117" spans="1:16" x14ac:dyDescent="0.25">
      <c r="A1117" s="2" t="s">
        <v>3219</v>
      </c>
      <c r="B1117" s="2" t="s">
        <v>136</v>
      </c>
      <c r="C1117" s="8">
        <v>46278</v>
      </c>
      <c r="D1117" s="6">
        <v>46266</v>
      </c>
      <c r="E1117" s="2" t="s">
        <v>260</v>
      </c>
      <c r="F1117" s="2" t="s">
        <v>3220</v>
      </c>
      <c r="G1117" s="6">
        <v>46235</v>
      </c>
      <c r="H1117" s="2" t="s">
        <v>176</v>
      </c>
      <c r="I1117" s="2" t="s">
        <v>39</v>
      </c>
      <c r="J1117" s="9">
        <v>4539.5</v>
      </c>
      <c r="K1117" s="7">
        <v>1</v>
      </c>
      <c r="L1117" s="9">
        <v>4539.5</v>
      </c>
      <c r="M1117" s="9">
        <v>4539.5</v>
      </c>
      <c r="N1117" s="9">
        <v>2.5</v>
      </c>
      <c r="O1117" s="10">
        <f>IF(AND(OR(H1117="APPROVED",H1117="SCHEDULED"),COUNTIFS(tblSource[EventID],F1117,tblSource[ReleaseStatus],"APPROVED")=1,COUNTIFS(Period_Status!$A$2:$A$8,G1117,Period_Status!$B$2:$B$8,"ActualClosed")=1,C1117&gt;EOMONTH(Settlement_Bridge!$C$2,0)),1,0)</f>
        <v>0</v>
      </c>
      <c r="P1117" s="2" t="s">
        <v>3221</v>
      </c>
    </row>
    <row r="1118" spans="1:16" x14ac:dyDescent="0.25">
      <c r="A1118" s="2" t="s">
        <v>3222</v>
      </c>
      <c r="B1118" s="2" t="s">
        <v>136</v>
      </c>
      <c r="C1118" s="8">
        <v>46279</v>
      </c>
      <c r="D1118" s="6">
        <v>46266</v>
      </c>
      <c r="E1118" s="2" t="s">
        <v>260</v>
      </c>
      <c r="F1118" s="2" t="s">
        <v>3223</v>
      </c>
      <c r="G1118" s="6">
        <v>46235</v>
      </c>
      <c r="H1118" s="2" t="s">
        <v>176</v>
      </c>
      <c r="I1118" s="2" t="s">
        <v>76</v>
      </c>
      <c r="J1118" s="9">
        <v>76626178.861789003</v>
      </c>
      <c r="K1118" s="7">
        <v>6.1299999999999999E-5</v>
      </c>
      <c r="L1118" s="9">
        <v>4697.18</v>
      </c>
      <c r="M1118" s="9">
        <v>4712.51</v>
      </c>
      <c r="N1118" s="9">
        <v>2.58</v>
      </c>
      <c r="O1118" s="10">
        <f>IF(AND(OR(H1118="APPROVED",H1118="SCHEDULED"),COUNTIFS(tblSource[EventID],F1118,tblSource[ReleaseStatus],"APPROVED")=1,COUNTIFS(Period_Status!$A$2:$A$8,G1118,Period_Status!$B$2:$B$8,"ActualClosed")=1,C1118&gt;EOMONTH(Settlement_Bridge!$C$2,0)),1,0)</f>
        <v>0</v>
      </c>
      <c r="P1118" s="2" t="s">
        <v>3224</v>
      </c>
    </row>
    <row r="1119" spans="1:16" x14ac:dyDescent="0.25">
      <c r="A1119" s="2" t="s">
        <v>3225</v>
      </c>
      <c r="B1119" s="2" t="s">
        <v>136</v>
      </c>
      <c r="C1119" s="8">
        <v>46270</v>
      </c>
      <c r="D1119" s="6">
        <v>46266</v>
      </c>
      <c r="E1119" s="2" t="s">
        <v>260</v>
      </c>
      <c r="F1119" s="2" t="s">
        <v>3226</v>
      </c>
      <c r="G1119" s="6">
        <v>46235</v>
      </c>
      <c r="H1119" s="2" t="s">
        <v>176</v>
      </c>
      <c r="I1119" s="2" t="s">
        <v>70</v>
      </c>
      <c r="J1119" s="9">
        <v>3006.4738459999999</v>
      </c>
      <c r="K1119" s="7">
        <v>0.65100000000000002</v>
      </c>
      <c r="L1119" s="9">
        <v>1957.21</v>
      </c>
      <c r="M1119" s="9">
        <v>1954.21</v>
      </c>
      <c r="N1119" s="9">
        <v>1.8</v>
      </c>
      <c r="O1119" s="10">
        <f>IF(AND(OR(H1119="APPROVED",H1119="SCHEDULED"),COUNTIFS(tblSource[EventID],F1119,tblSource[ReleaseStatus],"APPROVED")=1,COUNTIFS(Period_Status!$A$2:$A$8,G1119,Period_Status!$B$2:$B$8,"ActualClosed")=1,C1119&gt;EOMONTH(Settlement_Bridge!$C$2,0)),1,0)</f>
        <v>0</v>
      </c>
      <c r="P1119" s="2" t="s">
        <v>3227</v>
      </c>
    </row>
    <row r="1120" spans="1:16" x14ac:dyDescent="0.25">
      <c r="A1120" s="2" t="s">
        <v>3228</v>
      </c>
      <c r="B1120" s="2" t="s">
        <v>136</v>
      </c>
      <c r="C1120" s="8">
        <v>46295</v>
      </c>
      <c r="D1120" s="6">
        <v>46266</v>
      </c>
      <c r="E1120" s="2" t="s">
        <v>260</v>
      </c>
      <c r="F1120" s="2" t="s">
        <v>3226</v>
      </c>
      <c r="G1120" s="6">
        <v>46235</v>
      </c>
      <c r="H1120" s="2" t="s">
        <v>176</v>
      </c>
      <c r="I1120" s="2" t="s">
        <v>70</v>
      </c>
      <c r="J1120" s="9">
        <v>4509.7107690000003</v>
      </c>
      <c r="K1120" s="7">
        <v>0.65100000000000002</v>
      </c>
      <c r="L1120" s="9">
        <v>2935.82</v>
      </c>
      <c r="M1120" s="9">
        <v>2931.31</v>
      </c>
      <c r="N1120" s="9">
        <v>1.8</v>
      </c>
      <c r="O1120" s="10">
        <f>IF(AND(OR(H1120="APPROVED",H1120="SCHEDULED"),COUNTIFS(tblSource[EventID],F1120,tblSource[ReleaseStatus],"APPROVED")=1,COUNTIFS(Period_Status!$A$2:$A$8,G1120,Period_Status!$B$2:$B$8,"ActualClosed")=1,C1120&gt;EOMONTH(Settlement_Bridge!$C$2,0)),1,0)</f>
        <v>0</v>
      </c>
      <c r="P1120" s="2" t="s">
        <v>3229</v>
      </c>
    </row>
    <row r="1121" spans="1:16" x14ac:dyDescent="0.25">
      <c r="A1121" s="2" t="s">
        <v>3230</v>
      </c>
      <c r="B1121" s="2" t="s">
        <v>136</v>
      </c>
      <c r="C1121" s="8">
        <v>46281</v>
      </c>
      <c r="D1121" s="6">
        <v>46266</v>
      </c>
      <c r="E1121" s="2" t="s">
        <v>260</v>
      </c>
      <c r="F1121" s="2" t="s">
        <v>3231</v>
      </c>
      <c r="G1121" s="6">
        <v>46235</v>
      </c>
      <c r="H1121" s="2" t="s">
        <v>176</v>
      </c>
      <c r="I1121" s="2" t="s">
        <v>39</v>
      </c>
      <c r="J1121" s="9">
        <v>5058.53</v>
      </c>
      <c r="K1121" s="7">
        <v>1</v>
      </c>
      <c r="L1121" s="9">
        <v>5058.53</v>
      </c>
      <c r="M1121" s="9">
        <v>5058.53</v>
      </c>
      <c r="N1121" s="9">
        <v>2.78</v>
      </c>
      <c r="O1121" s="10">
        <f>IF(AND(OR(H1121="APPROVED",H1121="SCHEDULED"),COUNTIFS(tblSource[EventID],F1121,tblSource[ReleaseStatus],"APPROVED")=1,COUNTIFS(Period_Status!$A$2:$A$8,G1121,Period_Status!$B$2:$B$8,"ActualClosed")=1,C1121&gt;EOMONTH(Settlement_Bridge!$C$2,0)),1,0)</f>
        <v>0</v>
      </c>
      <c r="P1121" s="2" t="s">
        <v>3232</v>
      </c>
    </row>
    <row r="1122" spans="1:16" x14ac:dyDescent="0.25">
      <c r="A1122" s="2" t="s">
        <v>3233</v>
      </c>
      <c r="B1122" s="2" t="s">
        <v>136</v>
      </c>
      <c r="C1122" s="8">
        <v>46282</v>
      </c>
      <c r="D1122" s="6">
        <v>46266</v>
      </c>
      <c r="E1122" s="2" t="s">
        <v>260</v>
      </c>
      <c r="F1122" s="2" t="s">
        <v>3234</v>
      </c>
      <c r="G1122" s="6">
        <v>46235</v>
      </c>
      <c r="H1122" s="2" t="s">
        <v>176</v>
      </c>
      <c r="I1122" s="2" t="s">
        <v>76</v>
      </c>
      <c r="J1122" s="9">
        <v>85065691.056911007</v>
      </c>
      <c r="K1122" s="7">
        <v>6.1299999999999999E-5</v>
      </c>
      <c r="L1122" s="9">
        <v>5214.53</v>
      </c>
      <c r="M1122" s="9">
        <v>5231.54</v>
      </c>
      <c r="N1122" s="9">
        <v>2.87</v>
      </c>
      <c r="O1122" s="10">
        <f>IF(AND(OR(H1122="APPROVED",H1122="SCHEDULED"),COUNTIFS(tblSource[EventID],F1122,tblSource[ReleaseStatus],"APPROVED")=1,COUNTIFS(Period_Status!$A$2:$A$8,G1122,Period_Status!$B$2:$B$8,"ActualClosed")=1,C1122&gt;EOMONTH(Settlement_Bridge!$C$2,0)),1,0)</f>
        <v>0</v>
      </c>
      <c r="P1122" s="2" t="s">
        <v>3235</v>
      </c>
    </row>
    <row r="1123" spans="1:16" x14ac:dyDescent="0.25">
      <c r="A1123" s="2" t="s">
        <v>3236</v>
      </c>
      <c r="B1123" s="2" t="s">
        <v>136</v>
      </c>
      <c r="C1123" s="8">
        <v>46283</v>
      </c>
      <c r="D1123" s="6">
        <v>46266</v>
      </c>
      <c r="E1123" s="2" t="s">
        <v>260</v>
      </c>
      <c r="F1123" s="2" t="s">
        <v>3237</v>
      </c>
      <c r="G1123" s="6">
        <v>46235</v>
      </c>
      <c r="H1123" s="2" t="s">
        <v>176</v>
      </c>
      <c r="I1123" s="2" t="s">
        <v>70</v>
      </c>
      <c r="J1123" s="9">
        <v>8314.6923079999997</v>
      </c>
      <c r="K1123" s="7">
        <v>0.65100000000000002</v>
      </c>
      <c r="L1123" s="9">
        <v>5412.86</v>
      </c>
      <c r="M1123" s="9">
        <v>5404.55</v>
      </c>
      <c r="N1123" s="9">
        <v>2.98</v>
      </c>
      <c r="O1123" s="10">
        <f>IF(AND(OR(H1123="APPROVED",H1123="SCHEDULED"),COUNTIFS(tblSource[EventID],F1123,tblSource[ReleaseStatus],"APPROVED")=1,COUNTIFS(Period_Status!$A$2:$A$8,G1123,Period_Status!$B$2:$B$8,"ActualClosed")=1,C1123&gt;EOMONTH(Settlement_Bridge!$C$2,0)),1,0)</f>
        <v>0</v>
      </c>
      <c r="P1123" s="2" t="s">
        <v>3238</v>
      </c>
    </row>
    <row r="1124" spans="1:16" x14ac:dyDescent="0.25">
      <c r="A1124" s="2" t="s">
        <v>3239</v>
      </c>
      <c r="B1124" s="2" t="s">
        <v>136</v>
      </c>
      <c r="C1124" s="8">
        <v>46284</v>
      </c>
      <c r="D1124" s="6">
        <v>46266</v>
      </c>
      <c r="E1124" s="2" t="s">
        <v>260</v>
      </c>
      <c r="F1124" s="2" t="s">
        <v>3240</v>
      </c>
      <c r="G1124" s="6">
        <v>46235</v>
      </c>
      <c r="H1124" s="2" t="s">
        <v>176</v>
      </c>
      <c r="I1124" s="2" t="s">
        <v>39</v>
      </c>
      <c r="J1124" s="9">
        <v>5577.56</v>
      </c>
      <c r="K1124" s="7">
        <v>1</v>
      </c>
      <c r="L1124" s="9">
        <v>5577.56</v>
      </c>
      <c r="M1124" s="9">
        <v>5577.56</v>
      </c>
      <c r="N1124" s="9">
        <v>3.07</v>
      </c>
      <c r="O1124" s="10">
        <f>IF(AND(OR(H1124="APPROVED",H1124="SCHEDULED"),COUNTIFS(tblSource[EventID],F1124,tblSource[ReleaseStatus],"APPROVED")=1,COUNTIFS(Period_Status!$A$2:$A$8,G1124,Period_Status!$B$2:$B$8,"ActualClosed")=1,C1124&gt;EOMONTH(Settlement_Bridge!$C$2,0)),1,0)</f>
        <v>0</v>
      </c>
      <c r="P1124" s="2" t="s">
        <v>3241</v>
      </c>
    </row>
    <row r="1125" spans="1:16" x14ac:dyDescent="0.25">
      <c r="A1125" s="2" t="s">
        <v>3242</v>
      </c>
      <c r="B1125" s="2" t="s">
        <v>136</v>
      </c>
      <c r="C1125" s="8">
        <v>46285</v>
      </c>
      <c r="D1125" s="6">
        <v>46266</v>
      </c>
      <c r="E1125" s="2" t="s">
        <v>260</v>
      </c>
      <c r="F1125" s="2" t="s">
        <v>3243</v>
      </c>
      <c r="G1125" s="6">
        <v>46235</v>
      </c>
      <c r="H1125" s="2" t="s">
        <v>176</v>
      </c>
      <c r="I1125" s="2" t="s">
        <v>76</v>
      </c>
      <c r="J1125" s="9">
        <v>93505203.252032995</v>
      </c>
      <c r="K1125" s="7">
        <v>6.1299999999999999E-5</v>
      </c>
      <c r="L1125" s="9">
        <v>5731.87</v>
      </c>
      <c r="M1125" s="9">
        <v>5750.57</v>
      </c>
      <c r="N1125" s="9">
        <v>3.15</v>
      </c>
      <c r="O1125" s="10">
        <f>IF(AND(OR(H1125="APPROVED",H1125="SCHEDULED"),COUNTIFS(tblSource[EventID],F1125,tblSource[ReleaseStatus],"APPROVED")=1,COUNTIFS(Period_Status!$A$2:$A$8,G1125,Period_Status!$B$2:$B$8,"ActualClosed")=1,C1125&gt;EOMONTH(Settlement_Bridge!$C$2,0)),1,0)</f>
        <v>0</v>
      </c>
      <c r="P1125" s="2" t="s">
        <v>3244</v>
      </c>
    </row>
    <row r="1126" spans="1:16" x14ac:dyDescent="0.25">
      <c r="A1126" s="2" t="s">
        <v>3245</v>
      </c>
      <c r="B1126" s="2" t="s">
        <v>136</v>
      </c>
      <c r="C1126" s="8">
        <v>46276</v>
      </c>
      <c r="D1126" s="6">
        <v>46266</v>
      </c>
      <c r="E1126" s="2" t="s">
        <v>260</v>
      </c>
      <c r="F1126" s="2" t="s">
        <v>3246</v>
      </c>
      <c r="G1126" s="6">
        <v>46235</v>
      </c>
      <c r="H1126" s="2" t="s">
        <v>176</v>
      </c>
      <c r="I1126" s="2" t="s">
        <v>70</v>
      </c>
      <c r="J1126" s="9">
        <v>3645.28</v>
      </c>
      <c r="K1126" s="7">
        <v>0.65100000000000002</v>
      </c>
      <c r="L1126" s="9">
        <v>2373.08</v>
      </c>
      <c r="M1126" s="9">
        <v>2369.4299999999998</v>
      </c>
      <c r="N1126" s="9">
        <v>1.8</v>
      </c>
      <c r="O1126" s="10">
        <f>IF(AND(OR(H1126="APPROVED",H1126="SCHEDULED"),COUNTIFS(tblSource[EventID],F1126,tblSource[ReleaseStatus],"APPROVED")=1,COUNTIFS(Period_Status!$A$2:$A$8,G1126,Period_Status!$B$2:$B$8,"ActualClosed")=1,C1126&gt;EOMONTH(Settlement_Bridge!$C$2,0)),1,0)</f>
        <v>0</v>
      </c>
      <c r="P1126" s="2" t="s">
        <v>3247</v>
      </c>
    </row>
    <row r="1127" spans="1:16" x14ac:dyDescent="0.25">
      <c r="A1127" s="2" t="s">
        <v>3248</v>
      </c>
      <c r="B1127" s="2" t="s">
        <v>136</v>
      </c>
      <c r="C1127" s="8">
        <v>46301</v>
      </c>
      <c r="D1127" s="6">
        <v>46296</v>
      </c>
      <c r="E1127" s="2" t="s">
        <v>260</v>
      </c>
      <c r="F1127" s="2" t="s">
        <v>3246</v>
      </c>
      <c r="G1127" s="6">
        <v>46235</v>
      </c>
      <c r="H1127" s="2" t="s">
        <v>176</v>
      </c>
      <c r="I1127" s="2" t="s">
        <v>70</v>
      </c>
      <c r="J1127" s="9">
        <v>5467.92</v>
      </c>
      <c r="K1127" s="7">
        <v>0.65500000000000003</v>
      </c>
      <c r="L1127" s="9">
        <v>3581.49</v>
      </c>
      <c r="M1127" s="9">
        <v>3554.15</v>
      </c>
      <c r="N1127" s="9">
        <v>1.97</v>
      </c>
      <c r="O1127" s="10">
        <f>IF(AND(OR(H1127="APPROVED",H1127="SCHEDULED"),COUNTIFS(tblSource[EventID],F1127,tblSource[ReleaseStatus],"APPROVED")=1,COUNTIFS(Period_Status!$A$2:$A$8,G1127,Period_Status!$B$2:$B$8,"ActualClosed")=1,C1127&gt;EOMONTH(Settlement_Bridge!$C$2,0)),1,0)</f>
        <v>0</v>
      </c>
      <c r="P1127" s="2" t="s">
        <v>3249</v>
      </c>
    </row>
    <row r="1128" spans="1:16" x14ac:dyDescent="0.25">
      <c r="A1128" s="2" t="s">
        <v>3250</v>
      </c>
      <c r="B1128" s="2" t="s">
        <v>136</v>
      </c>
      <c r="C1128" s="8">
        <v>46277</v>
      </c>
      <c r="D1128" s="6">
        <v>46266</v>
      </c>
      <c r="E1128" s="2" t="s">
        <v>260</v>
      </c>
      <c r="F1128" s="2" t="s">
        <v>3251</v>
      </c>
      <c r="G1128" s="6">
        <v>46235</v>
      </c>
      <c r="H1128" s="2" t="s">
        <v>176</v>
      </c>
      <c r="I1128" s="2" t="s">
        <v>39</v>
      </c>
      <c r="J1128" s="9">
        <v>2438.636</v>
      </c>
      <c r="K1128" s="7">
        <v>1</v>
      </c>
      <c r="L1128" s="9">
        <v>2438.64</v>
      </c>
      <c r="M1128" s="9">
        <v>2438.64</v>
      </c>
      <c r="N1128" s="9">
        <v>1.8</v>
      </c>
      <c r="O1128" s="10">
        <f>IF(AND(OR(H1128="APPROVED",H1128="SCHEDULED"),COUNTIFS(tblSource[EventID],F1128,tblSource[ReleaseStatus],"APPROVED")=1,COUNTIFS(Period_Status!$A$2:$A$8,G1128,Period_Status!$B$2:$B$8,"ActualClosed")=1,C1128&gt;EOMONTH(Settlement_Bridge!$C$2,0)),1,0)</f>
        <v>0</v>
      </c>
      <c r="P1128" s="2" t="s">
        <v>3252</v>
      </c>
    </row>
    <row r="1129" spans="1:16" x14ac:dyDescent="0.25">
      <c r="A1129" s="2" t="s">
        <v>3253</v>
      </c>
      <c r="B1129" s="2" t="s">
        <v>136</v>
      </c>
      <c r="C1129" s="8">
        <v>46302</v>
      </c>
      <c r="D1129" s="6">
        <v>46296</v>
      </c>
      <c r="E1129" s="2" t="s">
        <v>260</v>
      </c>
      <c r="F1129" s="2" t="s">
        <v>3251</v>
      </c>
      <c r="G1129" s="6">
        <v>46235</v>
      </c>
      <c r="H1129" s="2" t="s">
        <v>176</v>
      </c>
      <c r="I1129" s="2" t="s">
        <v>39</v>
      </c>
      <c r="J1129" s="9">
        <v>3657.9540000000002</v>
      </c>
      <c r="K1129" s="7">
        <v>1</v>
      </c>
      <c r="L1129" s="9">
        <v>3657.95</v>
      </c>
      <c r="M1129" s="9">
        <v>3657.95</v>
      </c>
      <c r="N1129" s="9">
        <v>2.0099999999999998</v>
      </c>
      <c r="O1129" s="10">
        <f>IF(AND(OR(H1129="APPROVED",H1129="SCHEDULED"),COUNTIFS(tblSource[EventID],F1129,tblSource[ReleaseStatus],"APPROVED")=1,COUNTIFS(Period_Status!$A$2:$A$8,G1129,Period_Status!$B$2:$B$8,"ActualClosed")=1,C1129&gt;EOMONTH(Settlement_Bridge!$C$2,0)),1,0)</f>
        <v>0</v>
      </c>
      <c r="P1129" s="2" t="s">
        <v>3254</v>
      </c>
    </row>
    <row r="1130" spans="1:16" x14ac:dyDescent="0.25">
      <c r="A1130" s="2" t="s">
        <v>3255</v>
      </c>
      <c r="B1130" s="2" t="s">
        <v>136</v>
      </c>
      <c r="C1130" s="8">
        <v>46288</v>
      </c>
      <c r="D1130" s="6">
        <v>46266</v>
      </c>
      <c r="E1130" s="2" t="s">
        <v>260</v>
      </c>
      <c r="F1130" s="2" t="s">
        <v>3256</v>
      </c>
      <c r="G1130" s="6">
        <v>46235</v>
      </c>
      <c r="H1130" s="2" t="s">
        <v>176</v>
      </c>
      <c r="I1130" s="2" t="s">
        <v>76</v>
      </c>
      <c r="J1130" s="9">
        <v>101944715.447154</v>
      </c>
      <c r="K1130" s="7">
        <v>6.1299999999999999E-5</v>
      </c>
      <c r="L1130" s="9">
        <v>6249.21</v>
      </c>
      <c r="M1130" s="9">
        <v>6269.6</v>
      </c>
      <c r="N1130" s="9">
        <v>3.44</v>
      </c>
      <c r="O1130" s="10">
        <f>IF(AND(OR(H1130="APPROVED",H1130="SCHEDULED"),COUNTIFS(tblSource[EventID],F1130,tblSource[ReleaseStatus],"APPROVED")=1,COUNTIFS(Period_Status!$A$2:$A$8,G1130,Period_Status!$B$2:$B$8,"ActualClosed")=1,C1130&gt;EOMONTH(Settlement_Bridge!$C$2,0)),1,0)</f>
        <v>0</v>
      </c>
      <c r="P1130" s="2" t="s">
        <v>3257</v>
      </c>
    </row>
    <row r="1131" spans="1:16" x14ac:dyDescent="0.25">
      <c r="A1131" s="2" t="s">
        <v>3258</v>
      </c>
      <c r="B1131" s="2" t="s">
        <v>136</v>
      </c>
      <c r="C1131" s="8">
        <v>46289</v>
      </c>
      <c r="D1131" s="6">
        <v>46266</v>
      </c>
      <c r="E1131" s="2" t="s">
        <v>260</v>
      </c>
      <c r="F1131" s="2" t="s">
        <v>3259</v>
      </c>
      <c r="G1131" s="6">
        <v>46235</v>
      </c>
      <c r="H1131" s="2" t="s">
        <v>176</v>
      </c>
      <c r="I1131" s="2" t="s">
        <v>70</v>
      </c>
      <c r="J1131" s="9">
        <v>9911.707692</v>
      </c>
      <c r="K1131" s="7">
        <v>0.65100000000000002</v>
      </c>
      <c r="L1131" s="9">
        <v>6452.52</v>
      </c>
      <c r="M1131" s="9">
        <v>6442.61</v>
      </c>
      <c r="N1131" s="9">
        <v>3.55</v>
      </c>
      <c r="O1131" s="10">
        <f>IF(AND(OR(H1131="APPROVED",H1131="SCHEDULED"),COUNTIFS(tblSource[EventID],F1131,tblSource[ReleaseStatus],"APPROVED")=1,COUNTIFS(Period_Status!$A$2:$A$8,G1131,Period_Status!$B$2:$B$8,"ActualClosed")=1,C1131&gt;EOMONTH(Settlement_Bridge!$C$2,0)),1,0)</f>
        <v>0</v>
      </c>
      <c r="P1131" s="2" t="s">
        <v>3260</v>
      </c>
    </row>
    <row r="1132" spans="1:16" x14ac:dyDescent="0.25">
      <c r="A1132" s="2" t="s">
        <v>3261</v>
      </c>
      <c r="B1132" s="2" t="s">
        <v>136</v>
      </c>
      <c r="C1132" s="8">
        <v>46249</v>
      </c>
      <c r="D1132" s="6">
        <v>46235</v>
      </c>
      <c r="E1132" s="2" t="s">
        <v>260</v>
      </c>
      <c r="F1132" s="2" t="s">
        <v>3262</v>
      </c>
      <c r="G1132" s="6">
        <v>46235</v>
      </c>
      <c r="H1132" s="2" t="s">
        <v>71</v>
      </c>
      <c r="I1132" s="2" t="s">
        <v>39</v>
      </c>
      <c r="J1132" s="9">
        <v>2646.248</v>
      </c>
      <c r="K1132" s="7">
        <v>1</v>
      </c>
      <c r="L1132" s="9">
        <v>2646.25</v>
      </c>
      <c r="M1132" s="9">
        <v>2646.25</v>
      </c>
      <c r="N1132" s="9">
        <v>1.8</v>
      </c>
      <c r="O1132" s="10">
        <f>IF(AND(OR(H1132="APPROVED",H1132="SCHEDULED"),COUNTIFS(tblSource[EventID],F1132,tblSource[ReleaseStatus],"APPROVED")=1,COUNTIFS(Period_Status!$A$2:$A$8,G1132,Period_Status!$B$2:$B$8,"ActualClosed")=1,C1132&gt;EOMONTH(Settlement_Bridge!$C$2,0)),1,0)</f>
        <v>0</v>
      </c>
      <c r="P1132" s="2" t="s">
        <v>3263</v>
      </c>
    </row>
    <row r="1133" spans="1:16" x14ac:dyDescent="0.25">
      <c r="A1133" s="2" t="s">
        <v>3264</v>
      </c>
      <c r="B1133" s="2" t="s">
        <v>136</v>
      </c>
      <c r="C1133" s="8">
        <v>46274</v>
      </c>
      <c r="D1133" s="6">
        <v>46266</v>
      </c>
      <c r="E1133" s="2" t="s">
        <v>260</v>
      </c>
      <c r="F1133" s="2" t="s">
        <v>3262</v>
      </c>
      <c r="G1133" s="6">
        <v>46235</v>
      </c>
      <c r="H1133" s="2" t="s">
        <v>176</v>
      </c>
      <c r="I1133" s="2" t="s">
        <v>39</v>
      </c>
      <c r="J1133" s="9">
        <v>3969.3719999999998</v>
      </c>
      <c r="K1133" s="7">
        <v>1</v>
      </c>
      <c r="L1133" s="9">
        <v>3969.37</v>
      </c>
      <c r="M1133" s="9">
        <v>3969.37</v>
      </c>
      <c r="N1133" s="9">
        <v>2.1800000000000002</v>
      </c>
      <c r="O1133" s="10">
        <f>IF(AND(OR(H1133="APPROVED",H1133="SCHEDULED"),COUNTIFS(tblSource[EventID],F1133,tblSource[ReleaseStatus],"APPROVED")=1,COUNTIFS(Period_Status!$A$2:$A$8,G1133,Period_Status!$B$2:$B$8,"ActualClosed")=1,C1133&gt;EOMONTH(Settlement_Bridge!$C$2,0)),1,0)</f>
        <v>0</v>
      </c>
      <c r="P1133" s="2" t="s">
        <v>3265</v>
      </c>
    </row>
    <row r="1134" spans="1:16" x14ac:dyDescent="0.25">
      <c r="A1134" s="2" t="s">
        <v>3266</v>
      </c>
      <c r="B1134" s="2" t="s">
        <v>136</v>
      </c>
      <c r="C1134" s="8">
        <v>46260</v>
      </c>
      <c r="D1134" s="6">
        <v>46235</v>
      </c>
      <c r="E1134" s="2" t="s">
        <v>260</v>
      </c>
      <c r="F1134" s="2" t="s">
        <v>3267</v>
      </c>
      <c r="G1134" s="6">
        <v>46235</v>
      </c>
      <c r="H1134" s="2" t="s">
        <v>71</v>
      </c>
      <c r="I1134" s="2" t="s">
        <v>76</v>
      </c>
      <c r="J1134" s="9">
        <v>110384227.642276</v>
      </c>
      <c r="K1134" s="7">
        <v>6.1500000000000004E-5</v>
      </c>
      <c r="L1134" s="9">
        <v>6788.63</v>
      </c>
      <c r="M1134" s="9">
        <v>6788.63</v>
      </c>
      <c r="N1134" s="9">
        <v>3.73</v>
      </c>
      <c r="O1134" s="10">
        <f>IF(AND(OR(H1134="APPROVED",H1134="SCHEDULED"),COUNTIFS(tblSource[EventID],F1134,tblSource[ReleaseStatus],"APPROVED")=1,COUNTIFS(Period_Status!$A$2:$A$8,G1134,Period_Status!$B$2:$B$8,"ActualClosed")=1,C1134&gt;EOMONTH(Settlement_Bridge!$C$2,0)),1,0)</f>
        <v>0</v>
      </c>
      <c r="P1134" s="2" t="s">
        <v>3268</v>
      </c>
    </row>
    <row r="1135" spans="1:16" x14ac:dyDescent="0.25">
      <c r="A1135" s="2" t="s">
        <v>3269</v>
      </c>
      <c r="B1135" s="2" t="s">
        <v>136</v>
      </c>
      <c r="C1135" s="8">
        <v>46261</v>
      </c>
      <c r="D1135" s="6">
        <v>46235</v>
      </c>
      <c r="E1135" s="2" t="s">
        <v>260</v>
      </c>
      <c r="F1135" s="2" t="s">
        <v>3270</v>
      </c>
      <c r="G1135" s="6">
        <v>46235</v>
      </c>
      <c r="H1135" s="2" t="s">
        <v>71</v>
      </c>
      <c r="I1135" s="2" t="s">
        <v>70</v>
      </c>
      <c r="J1135" s="9">
        <v>10710.215385</v>
      </c>
      <c r="K1135" s="7">
        <v>0.65</v>
      </c>
      <c r="L1135" s="9">
        <v>6961.64</v>
      </c>
      <c r="M1135" s="9">
        <v>6961.64</v>
      </c>
      <c r="N1135" s="9">
        <v>3.83</v>
      </c>
      <c r="O1135" s="10">
        <f>IF(AND(OR(H1135="APPROVED",H1135="SCHEDULED"),COUNTIFS(tblSource[EventID],F1135,tblSource[ReleaseStatus],"APPROVED")=1,COUNTIFS(Period_Status!$A$2:$A$8,G1135,Period_Status!$B$2:$B$8,"ActualClosed")=1,C1135&gt;EOMONTH(Settlement_Bridge!$C$2,0)),1,0)</f>
        <v>0</v>
      </c>
      <c r="P1135" s="2" t="s">
        <v>3271</v>
      </c>
    </row>
    <row r="1136" spans="1:16" x14ac:dyDescent="0.25">
      <c r="A1136" s="2" t="s">
        <v>3272</v>
      </c>
      <c r="B1136" s="2" t="s">
        <v>136</v>
      </c>
      <c r="C1136" s="8">
        <v>46262</v>
      </c>
      <c r="D1136" s="6">
        <v>46235</v>
      </c>
      <c r="E1136" s="2" t="s">
        <v>260</v>
      </c>
      <c r="F1136" s="2" t="s">
        <v>3273</v>
      </c>
      <c r="G1136" s="6">
        <v>46235</v>
      </c>
      <c r="H1136" s="2" t="s">
        <v>71</v>
      </c>
      <c r="I1136" s="2" t="s">
        <v>39</v>
      </c>
      <c r="J1136" s="9">
        <v>7134.65</v>
      </c>
      <c r="K1136" s="7">
        <v>1</v>
      </c>
      <c r="L1136" s="9">
        <v>7134.65</v>
      </c>
      <c r="M1136" s="9">
        <v>7134.65</v>
      </c>
      <c r="N1136" s="9">
        <v>3.92</v>
      </c>
      <c r="O1136" s="10">
        <f>IF(AND(OR(H1136="APPROVED",H1136="SCHEDULED"),COUNTIFS(tblSource[EventID],F1136,tblSource[ReleaseStatus],"APPROVED")=1,COUNTIFS(Period_Status!$A$2:$A$8,G1136,Period_Status!$B$2:$B$8,"ActualClosed")=1,C1136&gt;EOMONTH(Settlement_Bridge!$C$2,0)),1,0)</f>
        <v>0</v>
      </c>
      <c r="P1136" s="2" t="s">
        <v>3274</v>
      </c>
    </row>
    <row r="1137" spans="1:16" x14ac:dyDescent="0.25">
      <c r="A1137" s="2" t="s">
        <v>3275</v>
      </c>
      <c r="B1137" s="2" t="s">
        <v>136</v>
      </c>
      <c r="C1137" s="8">
        <v>46263</v>
      </c>
      <c r="D1137" s="6">
        <v>46235</v>
      </c>
      <c r="E1137" s="2" t="s">
        <v>260</v>
      </c>
      <c r="F1137" s="2" t="s">
        <v>3276</v>
      </c>
      <c r="G1137" s="6">
        <v>46235</v>
      </c>
      <c r="H1137" s="2" t="s">
        <v>71</v>
      </c>
      <c r="I1137" s="2" t="s">
        <v>76</v>
      </c>
      <c r="J1137" s="9">
        <v>118823739.83739799</v>
      </c>
      <c r="K1137" s="7">
        <v>6.1500000000000004E-5</v>
      </c>
      <c r="L1137" s="9">
        <v>7307.66</v>
      </c>
      <c r="M1137" s="9">
        <v>7307.66</v>
      </c>
      <c r="N1137" s="9">
        <v>4.0199999999999996</v>
      </c>
      <c r="O1137" s="10">
        <f>IF(AND(OR(H1137="APPROVED",H1137="SCHEDULED"),COUNTIFS(tblSource[EventID],F1137,tblSource[ReleaseStatus],"APPROVED")=1,COUNTIFS(Period_Status!$A$2:$A$8,G1137,Period_Status!$B$2:$B$8,"ActualClosed")=1,C1137&gt;EOMONTH(Settlement_Bridge!$C$2,0)),1,0)</f>
        <v>0</v>
      </c>
      <c r="P1137" s="2" t="s">
        <v>3277</v>
      </c>
    </row>
    <row r="1138" spans="1:16" x14ac:dyDescent="0.25">
      <c r="A1138" s="2" t="s">
        <v>3278</v>
      </c>
      <c r="B1138" s="2" t="s">
        <v>136</v>
      </c>
      <c r="C1138" s="8">
        <v>46264</v>
      </c>
      <c r="D1138" s="6">
        <v>46235</v>
      </c>
      <c r="E1138" s="2" t="s">
        <v>260</v>
      </c>
      <c r="F1138" s="2" t="s">
        <v>3279</v>
      </c>
      <c r="G1138" s="6">
        <v>46235</v>
      </c>
      <c r="H1138" s="2" t="s">
        <v>71</v>
      </c>
      <c r="I1138" s="2" t="s">
        <v>70</v>
      </c>
      <c r="J1138" s="9">
        <v>11508.723077000001</v>
      </c>
      <c r="K1138" s="7">
        <v>0.65</v>
      </c>
      <c r="L1138" s="9">
        <v>7480.67</v>
      </c>
      <c r="M1138" s="9">
        <v>7480.67</v>
      </c>
      <c r="N1138" s="9">
        <v>4.1100000000000003</v>
      </c>
      <c r="O1138" s="10">
        <f>IF(AND(OR(H1138="APPROVED",H1138="SCHEDULED"),COUNTIFS(tblSource[EventID],F1138,tblSource[ReleaseStatus],"APPROVED")=1,COUNTIFS(Period_Status!$A$2:$A$8,G1138,Period_Status!$B$2:$B$8,"ActualClosed")=1,C1138&gt;EOMONTH(Settlement_Bridge!$C$2,0)),1,0)</f>
        <v>0</v>
      </c>
      <c r="P1138" s="2" t="s">
        <v>3280</v>
      </c>
    </row>
    <row r="1139" spans="1:16" x14ac:dyDescent="0.25">
      <c r="A1139" s="2" t="s">
        <v>3281</v>
      </c>
      <c r="B1139" s="2" t="s">
        <v>136</v>
      </c>
      <c r="C1139" s="8">
        <v>46255</v>
      </c>
      <c r="D1139" s="6">
        <v>46235</v>
      </c>
      <c r="E1139" s="2" t="s">
        <v>260</v>
      </c>
      <c r="F1139" s="2" t="s">
        <v>3282</v>
      </c>
      <c r="G1139" s="6">
        <v>46235</v>
      </c>
      <c r="H1139" s="2" t="s">
        <v>71</v>
      </c>
      <c r="I1139" s="2" t="s">
        <v>39</v>
      </c>
      <c r="J1139" s="9">
        <v>3061.4720000000002</v>
      </c>
      <c r="K1139" s="7">
        <v>1</v>
      </c>
      <c r="L1139" s="9">
        <v>3061.47</v>
      </c>
      <c r="M1139" s="9">
        <v>3061.47</v>
      </c>
      <c r="N1139" s="9">
        <v>1.8</v>
      </c>
      <c r="O1139" s="10">
        <f>IF(AND(OR(H1139="APPROVED",H1139="SCHEDULED"),COUNTIFS(tblSource[EventID],F1139,tblSource[ReleaseStatus],"APPROVED")=1,COUNTIFS(Period_Status!$A$2:$A$8,G1139,Period_Status!$B$2:$B$8,"ActualClosed")=1,C1139&gt;EOMONTH(Settlement_Bridge!$C$2,0)),1,0)</f>
        <v>0</v>
      </c>
      <c r="P1139" s="2" t="s">
        <v>3283</v>
      </c>
    </row>
    <row r="1140" spans="1:16" x14ac:dyDescent="0.25">
      <c r="A1140" s="2" t="s">
        <v>3284</v>
      </c>
      <c r="B1140" s="2" t="s">
        <v>136</v>
      </c>
      <c r="C1140" s="8">
        <v>46280</v>
      </c>
      <c r="D1140" s="6">
        <v>46266</v>
      </c>
      <c r="E1140" s="2" t="s">
        <v>260</v>
      </c>
      <c r="F1140" s="2" t="s">
        <v>3282</v>
      </c>
      <c r="G1140" s="6">
        <v>46235</v>
      </c>
      <c r="H1140" s="2" t="s">
        <v>176</v>
      </c>
      <c r="I1140" s="2" t="s">
        <v>39</v>
      </c>
      <c r="J1140" s="9">
        <v>4592.2079999999996</v>
      </c>
      <c r="K1140" s="7">
        <v>1</v>
      </c>
      <c r="L1140" s="9">
        <v>4592.21</v>
      </c>
      <c r="M1140" s="9">
        <v>4592.21</v>
      </c>
      <c r="N1140" s="9">
        <v>2.5299999999999998</v>
      </c>
      <c r="O1140" s="10">
        <f>IF(AND(OR(H1140="APPROVED",H1140="SCHEDULED"),COUNTIFS(tblSource[EventID],F1140,tblSource[ReleaseStatus],"APPROVED")=1,COUNTIFS(Period_Status!$A$2:$A$8,G1140,Period_Status!$B$2:$B$8,"ActualClosed")=1,C1140&gt;EOMONTH(Settlement_Bridge!$C$2,0)),1,0)</f>
        <v>0</v>
      </c>
      <c r="P1140" s="2" t="s">
        <v>3285</v>
      </c>
    </row>
    <row r="1141" spans="1:16" x14ac:dyDescent="0.25">
      <c r="A1141" s="2" t="s">
        <v>3286</v>
      </c>
      <c r="B1141" s="2" t="s">
        <v>136</v>
      </c>
      <c r="C1141" s="8">
        <v>46256</v>
      </c>
      <c r="D1141" s="6">
        <v>46235</v>
      </c>
      <c r="E1141" s="2" t="s">
        <v>260</v>
      </c>
      <c r="F1141" s="2" t="s">
        <v>3287</v>
      </c>
      <c r="G1141" s="6">
        <v>46235</v>
      </c>
      <c r="H1141" s="2" t="s">
        <v>71</v>
      </c>
      <c r="I1141" s="2" t="s">
        <v>76</v>
      </c>
      <c r="J1141" s="9">
        <v>50905300.813008003</v>
      </c>
      <c r="K1141" s="7">
        <v>6.1500000000000004E-5</v>
      </c>
      <c r="L1141" s="9">
        <v>3130.68</v>
      </c>
      <c r="M1141" s="9">
        <v>3130.68</v>
      </c>
      <c r="N1141" s="9">
        <v>1.8</v>
      </c>
      <c r="O1141" s="10">
        <f>IF(AND(OR(H1141="APPROVED",H1141="SCHEDULED"),COUNTIFS(tblSource[EventID],F1141,tblSource[ReleaseStatus],"APPROVED")=1,COUNTIFS(Period_Status!$A$2:$A$8,G1141,Period_Status!$B$2:$B$8,"ActualClosed")=1,C1141&gt;EOMONTH(Settlement_Bridge!$C$2,0)),1,0)</f>
        <v>0</v>
      </c>
      <c r="P1141" s="2" t="s">
        <v>3288</v>
      </c>
    </row>
    <row r="1142" spans="1:16" x14ac:dyDescent="0.25">
      <c r="A1142" s="2" t="s">
        <v>3289</v>
      </c>
      <c r="B1142" s="2" t="s">
        <v>136</v>
      </c>
      <c r="C1142" s="8">
        <v>46281</v>
      </c>
      <c r="D1142" s="6">
        <v>46266</v>
      </c>
      <c r="E1142" s="2" t="s">
        <v>260</v>
      </c>
      <c r="F1142" s="2" t="s">
        <v>3287</v>
      </c>
      <c r="G1142" s="6">
        <v>46235</v>
      </c>
      <c r="H1142" s="2" t="s">
        <v>176</v>
      </c>
      <c r="I1142" s="2" t="s">
        <v>76</v>
      </c>
      <c r="J1142" s="9">
        <v>76357951.219512001</v>
      </c>
      <c r="K1142" s="7">
        <v>6.1299999999999999E-5</v>
      </c>
      <c r="L1142" s="9">
        <v>4680.74</v>
      </c>
      <c r="M1142" s="9">
        <v>4696.01</v>
      </c>
      <c r="N1142" s="9">
        <v>2.57</v>
      </c>
      <c r="O1142" s="10">
        <f>IF(AND(OR(H1142="APPROVED",H1142="SCHEDULED"),COUNTIFS(tblSource[EventID],F1142,tblSource[ReleaseStatus],"APPROVED")=1,COUNTIFS(Period_Status!$A$2:$A$8,G1142,Period_Status!$B$2:$B$8,"ActualClosed")=1,C1142&gt;EOMONTH(Settlement_Bridge!$C$2,0)),1,0)</f>
        <v>0</v>
      </c>
      <c r="P1142" s="2" t="s">
        <v>3290</v>
      </c>
    </row>
    <row r="1143" spans="1:16" x14ac:dyDescent="0.25">
      <c r="A1143" s="2" t="s">
        <v>3291</v>
      </c>
      <c r="B1143" s="2" t="s">
        <v>136</v>
      </c>
      <c r="C1143" s="8">
        <v>46267</v>
      </c>
      <c r="D1143" s="6">
        <v>46266</v>
      </c>
      <c r="E1143" s="2" t="s">
        <v>260</v>
      </c>
      <c r="F1143" s="2" t="s">
        <v>3292</v>
      </c>
      <c r="G1143" s="6">
        <v>46235</v>
      </c>
      <c r="H1143" s="2" t="s">
        <v>176</v>
      </c>
      <c r="I1143" s="2" t="s">
        <v>70</v>
      </c>
      <c r="J1143" s="9">
        <v>12307.230769</v>
      </c>
      <c r="K1143" s="7">
        <v>0.65100000000000002</v>
      </c>
      <c r="L1143" s="9">
        <v>8012.01</v>
      </c>
      <c r="M1143" s="9">
        <v>7999.7</v>
      </c>
      <c r="N1143" s="9">
        <v>4.41</v>
      </c>
      <c r="O1143" s="10">
        <f>IF(AND(OR(H1143="APPROVED",H1143="SCHEDULED"),COUNTIFS(tblSource[EventID],F1143,tblSource[ReleaseStatus],"APPROVED")=1,COUNTIFS(Period_Status!$A$2:$A$8,G1143,Period_Status!$B$2:$B$8,"ActualClosed")=1,C1143&gt;EOMONTH(Settlement_Bridge!$C$2,0)),1,0)</f>
        <v>0</v>
      </c>
      <c r="P1143" s="2" t="s">
        <v>3293</v>
      </c>
    </row>
    <row r="1144" spans="1:16" x14ac:dyDescent="0.25">
      <c r="A1144" s="2" t="s">
        <v>3294</v>
      </c>
      <c r="B1144" s="2" t="s">
        <v>136</v>
      </c>
      <c r="C1144" s="8">
        <v>46268</v>
      </c>
      <c r="D1144" s="6">
        <v>46266</v>
      </c>
      <c r="E1144" s="2" t="s">
        <v>260</v>
      </c>
      <c r="F1144" s="2" t="s">
        <v>3295</v>
      </c>
      <c r="G1144" s="6">
        <v>46235</v>
      </c>
      <c r="H1144" s="2" t="s">
        <v>176</v>
      </c>
      <c r="I1144" s="2" t="s">
        <v>39</v>
      </c>
      <c r="J1144" s="9">
        <v>8172.71</v>
      </c>
      <c r="K1144" s="7">
        <v>1</v>
      </c>
      <c r="L1144" s="9">
        <v>8172.71</v>
      </c>
      <c r="M1144" s="9">
        <v>8172.71</v>
      </c>
      <c r="N1144" s="9">
        <v>4.49</v>
      </c>
      <c r="O1144" s="10">
        <f>IF(AND(OR(H1144="APPROVED",H1144="SCHEDULED"),COUNTIFS(tblSource[EventID],F1144,tblSource[ReleaseStatus],"APPROVED")=1,COUNTIFS(Period_Status!$A$2:$A$8,G1144,Period_Status!$B$2:$B$8,"ActualClosed")=1,C1144&gt;EOMONTH(Settlement_Bridge!$C$2,0)),1,0)</f>
        <v>0</v>
      </c>
      <c r="P1144" s="2" t="s">
        <v>3296</v>
      </c>
    </row>
    <row r="1145" spans="1:16" x14ac:dyDescent="0.25">
      <c r="A1145" s="2" t="s">
        <v>3297</v>
      </c>
      <c r="B1145" s="2" t="s">
        <v>136</v>
      </c>
      <c r="C1145" s="8">
        <v>46259</v>
      </c>
      <c r="D1145" s="6">
        <v>46235</v>
      </c>
      <c r="E1145" s="2" t="s">
        <v>260</v>
      </c>
      <c r="F1145" s="2" t="s">
        <v>3298</v>
      </c>
      <c r="G1145" s="6">
        <v>46235</v>
      </c>
      <c r="H1145" s="2" t="s">
        <v>71</v>
      </c>
      <c r="I1145" s="2" t="s">
        <v>76</v>
      </c>
      <c r="J1145" s="9">
        <v>54281105.691056997</v>
      </c>
      <c r="K1145" s="7">
        <v>6.1500000000000004E-5</v>
      </c>
      <c r="L1145" s="9">
        <v>3338.29</v>
      </c>
      <c r="M1145" s="9">
        <v>3338.29</v>
      </c>
      <c r="N1145" s="9">
        <v>1.84</v>
      </c>
      <c r="O1145" s="10">
        <f>IF(AND(OR(H1145="APPROVED",H1145="SCHEDULED"),COUNTIFS(tblSource[EventID],F1145,tblSource[ReleaseStatus],"APPROVED")=1,COUNTIFS(Period_Status!$A$2:$A$8,G1145,Period_Status!$B$2:$B$8,"ActualClosed")=1,C1145&gt;EOMONTH(Settlement_Bridge!$C$2,0)),1,0)</f>
        <v>0</v>
      </c>
      <c r="P1145" s="2" t="s">
        <v>3299</v>
      </c>
    </row>
    <row r="1146" spans="1:16" x14ac:dyDescent="0.25">
      <c r="A1146" s="2" t="s">
        <v>3300</v>
      </c>
      <c r="B1146" s="2" t="s">
        <v>136</v>
      </c>
      <c r="C1146" s="8">
        <v>46284</v>
      </c>
      <c r="D1146" s="6">
        <v>46266</v>
      </c>
      <c r="E1146" s="2" t="s">
        <v>260</v>
      </c>
      <c r="F1146" s="2" t="s">
        <v>3298</v>
      </c>
      <c r="G1146" s="6">
        <v>46235</v>
      </c>
      <c r="H1146" s="2" t="s">
        <v>176</v>
      </c>
      <c r="I1146" s="2" t="s">
        <v>76</v>
      </c>
      <c r="J1146" s="9">
        <v>81421658.536585003</v>
      </c>
      <c r="K1146" s="7">
        <v>6.1299999999999999E-5</v>
      </c>
      <c r="L1146" s="9">
        <v>4991.1499999999996</v>
      </c>
      <c r="M1146" s="9">
        <v>5007.43</v>
      </c>
      <c r="N1146" s="9">
        <v>2.75</v>
      </c>
      <c r="O1146" s="10">
        <f>IF(AND(OR(H1146="APPROVED",H1146="SCHEDULED"),COUNTIFS(tblSource[EventID],F1146,tblSource[ReleaseStatus],"APPROVED")=1,COUNTIFS(Period_Status!$A$2:$A$8,G1146,Period_Status!$B$2:$B$8,"ActualClosed")=1,C1146&gt;EOMONTH(Settlement_Bridge!$C$2,0)),1,0)</f>
        <v>0</v>
      </c>
      <c r="P1146" s="2" t="s">
        <v>3301</v>
      </c>
    </row>
    <row r="1147" spans="1:16" x14ac:dyDescent="0.25">
      <c r="A1147" s="2" t="s">
        <v>3302</v>
      </c>
      <c r="B1147" s="2" t="s">
        <v>136</v>
      </c>
      <c r="C1147" s="8">
        <v>46270</v>
      </c>
      <c r="D1147" s="6">
        <v>46266</v>
      </c>
      <c r="E1147" s="2" t="s">
        <v>260</v>
      </c>
      <c r="F1147" s="2" t="s">
        <v>3303</v>
      </c>
      <c r="G1147" s="6">
        <v>46235</v>
      </c>
      <c r="H1147" s="2" t="s">
        <v>176</v>
      </c>
      <c r="I1147" s="2" t="s">
        <v>70</v>
      </c>
      <c r="J1147" s="9">
        <v>13105.738461999999</v>
      </c>
      <c r="K1147" s="7">
        <v>0.65100000000000002</v>
      </c>
      <c r="L1147" s="9">
        <v>8531.84</v>
      </c>
      <c r="M1147" s="9">
        <v>8518.73</v>
      </c>
      <c r="N1147" s="9">
        <v>4.6900000000000004</v>
      </c>
      <c r="O1147" s="10">
        <f>IF(AND(OR(H1147="APPROVED",H1147="SCHEDULED"),COUNTIFS(tblSource[EventID],F1147,tblSource[ReleaseStatus],"APPROVED")=1,COUNTIFS(Period_Status!$A$2:$A$8,G1147,Period_Status!$B$2:$B$8,"ActualClosed")=1,C1147&gt;EOMONTH(Settlement_Bridge!$C$2,0)),1,0)</f>
        <v>0</v>
      </c>
      <c r="P1147" s="2" t="s">
        <v>3304</v>
      </c>
    </row>
    <row r="1148" spans="1:16" x14ac:dyDescent="0.25">
      <c r="A1148" s="2" t="s">
        <v>3305</v>
      </c>
      <c r="B1148" s="2" t="s">
        <v>136</v>
      </c>
      <c r="C1148" s="8">
        <v>46271</v>
      </c>
      <c r="D1148" s="6">
        <v>46266</v>
      </c>
      <c r="E1148" s="2" t="s">
        <v>260</v>
      </c>
      <c r="F1148" s="2" t="s">
        <v>3306</v>
      </c>
      <c r="G1148" s="6">
        <v>46235</v>
      </c>
      <c r="H1148" s="2" t="s">
        <v>176</v>
      </c>
      <c r="I1148" s="2" t="s">
        <v>39</v>
      </c>
      <c r="J1148" s="9">
        <v>8691.74</v>
      </c>
      <c r="K1148" s="7">
        <v>1</v>
      </c>
      <c r="L1148" s="9">
        <v>8691.74</v>
      </c>
      <c r="M1148" s="9">
        <v>8691.74</v>
      </c>
      <c r="N1148" s="9">
        <v>4.78</v>
      </c>
      <c r="O1148" s="10">
        <f>IF(AND(OR(H1148="APPROVED",H1148="SCHEDULED"),COUNTIFS(tblSource[EventID],F1148,tblSource[ReleaseStatus],"APPROVED")=1,COUNTIFS(Period_Status!$A$2:$A$8,G1148,Period_Status!$B$2:$B$8,"ActualClosed")=1,C1148&gt;EOMONTH(Settlement_Bridge!$C$2,0)),1,0)</f>
        <v>0</v>
      </c>
      <c r="P1148" s="2" t="s">
        <v>3307</v>
      </c>
    </row>
    <row r="1149" spans="1:16" x14ac:dyDescent="0.25">
      <c r="A1149" s="2" t="s">
        <v>3308</v>
      </c>
      <c r="B1149" s="2" t="s">
        <v>136</v>
      </c>
      <c r="C1149" s="8">
        <v>46272</v>
      </c>
      <c r="D1149" s="6">
        <v>46266</v>
      </c>
      <c r="E1149" s="2" t="s">
        <v>260</v>
      </c>
      <c r="F1149" s="2" t="s">
        <v>3309</v>
      </c>
      <c r="G1149" s="6">
        <v>46235</v>
      </c>
      <c r="H1149" s="2" t="s">
        <v>176</v>
      </c>
      <c r="I1149" s="2" t="s">
        <v>76</v>
      </c>
      <c r="J1149" s="9">
        <v>144142276.422764</v>
      </c>
      <c r="K1149" s="7">
        <v>6.1299999999999999E-5</v>
      </c>
      <c r="L1149" s="9">
        <v>8835.92</v>
      </c>
      <c r="M1149" s="9">
        <v>8864.75</v>
      </c>
      <c r="N1149" s="9">
        <v>4.8600000000000003</v>
      </c>
      <c r="O1149" s="10">
        <f>IF(AND(OR(H1149="APPROVED",H1149="SCHEDULED"),COUNTIFS(tblSource[EventID],F1149,tblSource[ReleaseStatus],"APPROVED")=1,COUNTIFS(Period_Status!$A$2:$A$8,G1149,Period_Status!$B$2:$B$8,"ActualClosed")=1,C1149&gt;EOMONTH(Settlement_Bridge!$C$2,0)),1,0)</f>
        <v>0</v>
      </c>
      <c r="P1149" s="2" t="s">
        <v>3310</v>
      </c>
    </row>
    <row r="1150" spans="1:16" x14ac:dyDescent="0.25">
      <c r="A1150" s="2" t="s">
        <v>3311</v>
      </c>
      <c r="B1150" s="2" t="s">
        <v>136</v>
      </c>
      <c r="C1150" s="8">
        <v>46273</v>
      </c>
      <c r="D1150" s="6">
        <v>46266</v>
      </c>
      <c r="E1150" s="2" t="s">
        <v>260</v>
      </c>
      <c r="F1150" s="2" t="s">
        <v>3312</v>
      </c>
      <c r="G1150" s="6">
        <v>46235</v>
      </c>
      <c r="H1150" s="2" t="s">
        <v>176</v>
      </c>
      <c r="I1150" s="2" t="s">
        <v>70</v>
      </c>
      <c r="J1150" s="9">
        <v>13904.246154</v>
      </c>
      <c r="K1150" s="7">
        <v>0.65100000000000002</v>
      </c>
      <c r="L1150" s="9">
        <v>9051.66</v>
      </c>
      <c r="M1150" s="9">
        <v>9037.76</v>
      </c>
      <c r="N1150" s="9">
        <v>4.9800000000000004</v>
      </c>
      <c r="O1150" s="10">
        <f>IF(AND(OR(H1150="APPROVED",H1150="SCHEDULED"),COUNTIFS(tblSource[EventID],F1150,tblSource[ReleaseStatus],"APPROVED")=1,COUNTIFS(Period_Status!$A$2:$A$8,G1150,Period_Status!$B$2:$B$8,"ActualClosed")=1,C1150&gt;EOMONTH(Settlement_Bridge!$C$2,0)),1,0)</f>
        <v>0</v>
      </c>
      <c r="P1150" s="2" t="s">
        <v>3313</v>
      </c>
    </row>
    <row r="1151" spans="1:16" x14ac:dyDescent="0.25">
      <c r="A1151" s="2" t="s">
        <v>3314</v>
      </c>
      <c r="B1151" s="2" t="s">
        <v>136</v>
      </c>
      <c r="C1151" s="8">
        <v>46274</v>
      </c>
      <c r="D1151" s="6">
        <v>46266</v>
      </c>
      <c r="E1151" s="2" t="s">
        <v>260</v>
      </c>
      <c r="F1151" s="2" t="s">
        <v>3315</v>
      </c>
      <c r="G1151" s="6">
        <v>46235</v>
      </c>
      <c r="H1151" s="2" t="s">
        <v>176</v>
      </c>
      <c r="I1151" s="2" t="s">
        <v>39</v>
      </c>
      <c r="J1151" s="9">
        <v>9210.77</v>
      </c>
      <c r="K1151" s="7">
        <v>1</v>
      </c>
      <c r="L1151" s="9">
        <v>9210.77</v>
      </c>
      <c r="M1151" s="9">
        <v>9210.77</v>
      </c>
      <c r="N1151" s="9">
        <v>5.07</v>
      </c>
      <c r="O1151" s="10">
        <f>IF(AND(OR(H1151="APPROVED",H1151="SCHEDULED"),COUNTIFS(tblSource[EventID],F1151,tblSource[ReleaseStatus],"APPROVED")=1,COUNTIFS(Period_Status!$A$2:$A$8,G1151,Period_Status!$B$2:$B$8,"ActualClosed")=1,C1151&gt;EOMONTH(Settlement_Bridge!$C$2,0)),1,0)</f>
        <v>0</v>
      </c>
      <c r="P1151" s="2" t="s">
        <v>3316</v>
      </c>
    </row>
    <row r="1152" spans="1:16" x14ac:dyDescent="0.25">
      <c r="A1152" s="2" t="s">
        <v>3317</v>
      </c>
      <c r="B1152" s="2" t="s">
        <v>136</v>
      </c>
      <c r="C1152" s="8">
        <v>46265</v>
      </c>
      <c r="D1152" s="6">
        <v>46235</v>
      </c>
      <c r="E1152" s="2" t="s">
        <v>260</v>
      </c>
      <c r="F1152" s="2" t="s">
        <v>3318</v>
      </c>
      <c r="G1152" s="6">
        <v>46235</v>
      </c>
      <c r="H1152" s="2" t="s">
        <v>71</v>
      </c>
      <c r="I1152" s="2" t="s">
        <v>76</v>
      </c>
      <c r="J1152" s="9">
        <v>61032715.447154</v>
      </c>
      <c r="K1152" s="7">
        <v>6.1500000000000004E-5</v>
      </c>
      <c r="L1152" s="9">
        <v>3753.51</v>
      </c>
      <c r="M1152" s="9">
        <v>3753.51</v>
      </c>
      <c r="N1152" s="9">
        <v>2.06</v>
      </c>
      <c r="O1152" s="10">
        <f>IF(AND(OR(H1152="APPROVED",H1152="SCHEDULED"),COUNTIFS(tblSource[EventID],F1152,tblSource[ReleaseStatus],"APPROVED")=1,COUNTIFS(Period_Status!$A$2:$A$8,G1152,Period_Status!$B$2:$B$8,"ActualClosed")=1,C1152&gt;EOMONTH(Settlement_Bridge!$C$2,0)),1,0)</f>
        <v>0</v>
      </c>
      <c r="P1152" s="2" t="s">
        <v>3319</v>
      </c>
    </row>
    <row r="1153" spans="1:16" x14ac:dyDescent="0.25">
      <c r="A1153" s="2" t="s">
        <v>3320</v>
      </c>
      <c r="B1153" s="2" t="s">
        <v>136</v>
      </c>
      <c r="C1153" s="8">
        <v>46290</v>
      </c>
      <c r="D1153" s="6">
        <v>46266</v>
      </c>
      <c r="E1153" s="2" t="s">
        <v>260</v>
      </c>
      <c r="F1153" s="2" t="s">
        <v>3318</v>
      </c>
      <c r="G1153" s="6">
        <v>46235</v>
      </c>
      <c r="H1153" s="2" t="s">
        <v>176</v>
      </c>
      <c r="I1153" s="2" t="s">
        <v>76</v>
      </c>
      <c r="J1153" s="9">
        <v>91549073.170732006</v>
      </c>
      <c r="K1153" s="7">
        <v>6.1299999999999999E-5</v>
      </c>
      <c r="L1153" s="9">
        <v>5611.96</v>
      </c>
      <c r="M1153" s="9">
        <v>5630.27</v>
      </c>
      <c r="N1153" s="9">
        <v>3.09</v>
      </c>
      <c r="O1153" s="10">
        <f>IF(AND(OR(H1153="APPROVED",H1153="SCHEDULED"),COUNTIFS(tblSource[EventID],F1153,tblSource[ReleaseStatus],"APPROVED")=1,COUNTIFS(Period_Status!$A$2:$A$8,G1153,Period_Status!$B$2:$B$8,"ActualClosed")=1,C1153&gt;EOMONTH(Settlement_Bridge!$C$2,0)),1,0)</f>
        <v>0</v>
      </c>
      <c r="P1153" s="2" t="s">
        <v>3321</v>
      </c>
    </row>
    <row r="1154" spans="1:16" x14ac:dyDescent="0.25">
      <c r="A1154" s="2" t="s">
        <v>3322</v>
      </c>
      <c r="B1154" s="2" t="s">
        <v>136</v>
      </c>
      <c r="C1154" s="8">
        <v>46266</v>
      </c>
      <c r="D1154" s="6">
        <v>46266</v>
      </c>
      <c r="E1154" s="2" t="s">
        <v>260</v>
      </c>
      <c r="F1154" s="2" t="s">
        <v>3323</v>
      </c>
      <c r="G1154" s="6">
        <v>46235</v>
      </c>
      <c r="H1154" s="2" t="s">
        <v>176</v>
      </c>
      <c r="I1154" s="2" t="s">
        <v>70</v>
      </c>
      <c r="J1154" s="9">
        <v>5881.1015379999999</v>
      </c>
      <c r="K1154" s="7">
        <v>0.65100000000000002</v>
      </c>
      <c r="L1154" s="9">
        <v>3828.6</v>
      </c>
      <c r="M1154" s="9">
        <v>3822.72</v>
      </c>
      <c r="N1154" s="9">
        <v>2.11</v>
      </c>
      <c r="O1154" s="10">
        <f>IF(AND(OR(H1154="APPROVED",H1154="SCHEDULED"),COUNTIFS(tblSource[EventID],F1154,tblSource[ReleaseStatus],"APPROVED")=1,COUNTIFS(Period_Status!$A$2:$A$8,G1154,Period_Status!$B$2:$B$8,"ActualClosed")=1,C1154&gt;EOMONTH(Settlement_Bridge!$C$2,0)),1,0)</f>
        <v>0</v>
      </c>
      <c r="P1154" s="2" t="s">
        <v>3324</v>
      </c>
    </row>
    <row r="1155" spans="1:16" x14ac:dyDescent="0.25">
      <c r="A1155" s="2" t="s">
        <v>3325</v>
      </c>
      <c r="B1155" s="2" t="s">
        <v>136</v>
      </c>
      <c r="C1155" s="8">
        <v>46291</v>
      </c>
      <c r="D1155" s="6">
        <v>46266</v>
      </c>
      <c r="E1155" s="2" t="s">
        <v>260</v>
      </c>
      <c r="F1155" s="2" t="s">
        <v>3323</v>
      </c>
      <c r="G1155" s="6">
        <v>46235</v>
      </c>
      <c r="H1155" s="2" t="s">
        <v>176</v>
      </c>
      <c r="I1155" s="2" t="s">
        <v>70</v>
      </c>
      <c r="J1155" s="9">
        <v>8821.6523080000006</v>
      </c>
      <c r="K1155" s="7">
        <v>0.65100000000000002</v>
      </c>
      <c r="L1155" s="9">
        <v>5742.9</v>
      </c>
      <c r="M1155" s="9">
        <v>5734.07</v>
      </c>
      <c r="N1155" s="9">
        <v>3.16</v>
      </c>
      <c r="O1155" s="10">
        <f>IF(AND(OR(H1155="APPROVED",H1155="SCHEDULED"),COUNTIFS(tblSource[EventID],F1155,tblSource[ReleaseStatus],"APPROVED")=1,COUNTIFS(Period_Status!$A$2:$A$8,G1155,Period_Status!$B$2:$B$8,"ActualClosed")=1,C1155&gt;EOMONTH(Settlement_Bridge!$C$2,0)),1,0)</f>
        <v>0</v>
      </c>
      <c r="P1155" s="2" t="s">
        <v>3326</v>
      </c>
    </row>
    <row r="1156" spans="1:16" x14ac:dyDescent="0.25">
      <c r="A1156" s="2" t="s">
        <v>3327</v>
      </c>
      <c r="B1156" s="2" t="s">
        <v>136</v>
      </c>
      <c r="C1156" s="8">
        <v>46277</v>
      </c>
      <c r="D1156" s="6">
        <v>46266</v>
      </c>
      <c r="E1156" s="2" t="s">
        <v>260</v>
      </c>
      <c r="F1156" s="2" t="s">
        <v>3328</v>
      </c>
      <c r="G1156" s="6">
        <v>46235</v>
      </c>
      <c r="H1156" s="2" t="s">
        <v>176</v>
      </c>
      <c r="I1156" s="2" t="s">
        <v>39</v>
      </c>
      <c r="J1156" s="9">
        <v>9729.7999999999993</v>
      </c>
      <c r="K1156" s="7">
        <v>1</v>
      </c>
      <c r="L1156" s="9">
        <v>9729.7999999999993</v>
      </c>
      <c r="M1156" s="9">
        <v>9729.7999999999993</v>
      </c>
      <c r="N1156" s="9">
        <v>5.35</v>
      </c>
      <c r="O1156" s="10">
        <f>IF(AND(OR(H1156="APPROVED",H1156="SCHEDULED"),COUNTIFS(tblSource[EventID],F1156,tblSource[ReleaseStatus],"APPROVED")=1,COUNTIFS(Period_Status!$A$2:$A$8,G1156,Period_Status!$B$2:$B$8,"ActualClosed")=1,C1156&gt;EOMONTH(Settlement_Bridge!$C$2,0)),1,0)</f>
        <v>0</v>
      </c>
      <c r="P1156" s="2" t="s">
        <v>3329</v>
      </c>
    </row>
    <row r="1157" spans="1:16" x14ac:dyDescent="0.25">
      <c r="A1157" s="2" t="s">
        <v>3330</v>
      </c>
      <c r="B1157" s="2" t="s">
        <v>136</v>
      </c>
      <c r="C1157" s="8">
        <v>46278</v>
      </c>
      <c r="D1157" s="6">
        <v>46266</v>
      </c>
      <c r="E1157" s="2" t="s">
        <v>260</v>
      </c>
      <c r="F1157" s="2" t="s">
        <v>3331</v>
      </c>
      <c r="G1157" s="6">
        <v>46235</v>
      </c>
      <c r="H1157" s="2" t="s">
        <v>176</v>
      </c>
      <c r="I1157" s="2" t="s">
        <v>76</v>
      </c>
      <c r="J1157" s="9">
        <v>161021300.81300801</v>
      </c>
      <c r="K1157" s="7">
        <v>6.1299999999999999E-5</v>
      </c>
      <c r="L1157" s="9">
        <v>9870.61</v>
      </c>
      <c r="M1157" s="9">
        <v>9902.81</v>
      </c>
      <c r="N1157" s="9">
        <v>5.43</v>
      </c>
      <c r="O1157" s="10">
        <f>IF(AND(OR(H1157="APPROVED",H1157="SCHEDULED"),COUNTIFS(tblSource[EventID],F1157,tblSource[ReleaseStatus],"APPROVED")=1,COUNTIFS(Period_Status!$A$2:$A$8,G1157,Period_Status!$B$2:$B$8,"ActualClosed")=1,C1157&gt;EOMONTH(Settlement_Bridge!$C$2,0)),1,0)</f>
        <v>0</v>
      </c>
      <c r="P1157" s="2" t="s">
        <v>3332</v>
      </c>
    </row>
    <row r="1158" spans="1:16" x14ac:dyDescent="0.25">
      <c r="A1158" s="2" t="s">
        <v>3333</v>
      </c>
      <c r="B1158" s="2" t="s">
        <v>136</v>
      </c>
      <c r="C1158" s="8">
        <v>46269</v>
      </c>
      <c r="D1158" s="6">
        <v>46266</v>
      </c>
      <c r="E1158" s="2" t="s">
        <v>260</v>
      </c>
      <c r="F1158" s="2" t="s">
        <v>3334</v>
      </c>
      <c r="G1158" s="6">
        <v>46235</v>
      </c>
      <c r="H1158" s="2" t="s">
        <v>176</v>
      </c>
      <c r="I1158" s="2" t="s">
        <v>70</v>
      </c>
      <c r="J1158" s="9">
        <v>6200.5046149999998</v>
      </c>
      <c r="K1158" s="7">
        <v>0.65100000000000002</v>
      </c>
      <c r="L1158" s="9">
        <v>4036.53</v>
      </c>
      <c r="M1158" s="9">
        <v>4030.33</v>
      </c>
      <c r="N1158" s="9">
        <v>2.2200000000000002</v>
      </c>
      <c r="O1158" s="10">
        <f>IF(AND(OR(H1158="APPROVED",H1158="SCHEDULED"),COUNTIFS(tblSource[EventID],F1158,tblSource[ReleaseStatus],"APPROVED")=1,COUNTIFS(Period_Status!$A$2:$A$8,G1158,Period_Status!$B$2:$B$8,"ActualClosed")=1,C1158&gt;EOMONTH(Settlement_Bridge!$C$2,0)),1,0)</f>
        <v>0</v>
      </c>
      <c r="P1158" s="2" t="s">
        <v>3335</v>
      </c>
    </row>
    <row r="1159" spans="1:16" x14ac:dyDescent="0.25">
      <c r="A1159" s="2" t="s">
        <v>3336</v>
      </c>
      <c r="B1159" s="2" t="s">
        <v>136</v>
      </c>
      <c r="C1159" s="8">
        <v>46294</v>
      </c>
      <c r="D1159" s="6">
        <v>46266</v>
      </c>
      <c r="E1159" s="2" t="s">
        <v>260</v>
      </c>
      <c r="F1159" s="2" t="s">
        <v>3334</v>
      </c>
      <c r="G1159" s="6">
        <v>46235</v>
      </c>
      <c r="H1159" s="2" t="s">
        <v>176</v>
      </c>
      <c r="I1159" s="2" t="s">
        <v>70</v>
      </c>
      <c r="J1159" s="9">
        <v>9300.7569230000008</v>
      </c>
      <c r="K1159" s="7">
        <v>0.65100000000000002</v>
      </c>
      <c r="L1159" s="9">
        <v>6054.79</v>
      </c>
      <c r="M1159" s="9">
        <v>6045.49</v>
      </c>
      <c r="N1159" s="9">
        <v>3.33</v>
      </c>
      <c r="O1159" s="10">
        <f>IF(AND(OR(H1159="APPROVED",H1159="SCHEDULED"),COUNTIFS(tblSource[EventID],F1159,tblSource[ReleaseStatus],"APPROVED")=1,COUNTIFS(Period_Status!$A$2:$A$8,G1159,Period_Status!$B$2:$B$8,"ActualClosed")=1,C1159&gt;EOMONTH(Settlement_Bridge!$C$2,0)),1,0)</f>
        <v>0</v>
      </c>
      <c r="P1159" s="2" t="s">
        <v>3337</v>
      </c>
    </row>
    <row r="1160" spans="1:16" x14ac:dyDescent="0.25">
      <c r="A1160" s="2" t="s">
        <v>3338</v>
      </c>
      <c r="B1160" s="2" t="s">
        <v>136</v>
      </c>
      <c r="C1160" s="8">
        <v>46280</v>
      </c>
      <c r="D1160" s="6">
        <v>46266</v>
      </c>
      <c r="E1160" s="2" t="s">
        <v>260</v>
      </c>
      <c r="F1160" s="2" t="s">
        <v>3339</v>
      </c>
      <c r="G1160" s="6">
        <v>46235</v>
      </c>
      <c r="H1160" s="2" t="s">
        <v>176</v>
      </c>
      <c r="I1160" s="2" t="s">
        <v>39</v>
      </c>
      <c r="J1160" s="9">
        <v>10248.83</v>
      </c>
      <c r="K1160" s="7">
        <v>1</v>
      </c>
      <c r="L1160" s="9">
        <v>10248.83</v>
      </c>
      <c r="M1160" s="9">
        <v>10248.83</v>
      </c>
      <c r="N1160" s="9">
        <v>5.64</v>
      </c>
      <c r="O1160" s="10">
        <f>IF(AND(OR(H1160="APPROVED",H1160="SCHEDULED"),COUNTIFS(tblSource[EventID],F1160,tblSource[ReleaseStatus],"APPROVED")=1,COUNTIFS(Period_Status!$A$2:$A$8,G1160,Period_Status!$B$2:$B$8,"ActualClosed")=1,C1160&gt;EOMONTH(Settlement_Bridge!$C$2,0)),1,0)</f>
        <v>0</v>
      </c>
      <c r="P1160" s="2" t="s">
        <v>3340</v>
      </c>
    </row>
    <row r="1161" spans="1:16" x14ac:dyDescent="0.25">
      <c r="A1161" s="2" t="s">
        <v>3341</v>
      </c>
      <c r="B1161" s="2" t="s">
        <v>136</v>
      </c>
      <c r="C1161" s="8">
        <v>46281</v>
      </c>
      <c r="D1161" s="6">
        <v>46266</v>
      </c>
      <c r="E1161" s="2" t="s">
        <v>260</v>
      </c>
      <c r="F1161" s="2" t="s">
        <v>3342</v>
      </c>
      <c r="G1161" s="6">
        <v>46235</v>
      </c>
      <c r="H1161" s="2" t="s">
        <v>176</v>
      </c>
      <c r="I1161" s="2" t="s">
        <v>76</v>
      </c>
      <c r="J1161" s="9">
        <v>169460813.00813001</v>
      </c>
      <c r="K1161" s="7">
        <v>6.1299999999999999E-5</v>
      </c>
      <c r="L1161" s="9">
        <v>10387.950000000001</v>
      </c>
      <c r="M1161" s="9">
        <v>10421.84</v>
      </c>
      <c r="N1161" s="9">
        <v>5.71</v>
      </c>
      <c r="O1161" s="10">
        <f>IF(AND(OR(H1161="APPROVED",H1161="SCHEDULED"),COUNTIFS(tblSource[EventID],F1161,tblSource[ReleaseStatus],"APPROVED")=1,COUNTIFS(Period_Status!$A$2:$A$8,G1161,Period_Status!$B$2:$B$8,"ActualClosed")=1,C1161&gt;EOMONTH(Settlement_Bridge!$C$2,0)),1,0)</f>
        <v>0</v>
      </c>
      <c r="P1161" s="2" t="s">
        <v>3343</v>
      </c>
    </row>
    <row r="1162" spans="1:16" x14ac:dyDescent="0.25">
      <c r="A1162" s="2" t="s">
        <v>3344</v>
      </c>
      <c r="B1162" s="2" t="s">
        <v>136</v>
      </c>
      <c r="C1162" s="8">
        <v>46282</v>
      </c>
      <c r="D1162" s="6">
        <v>46266</v>
      </c>
      <c r="E1162" s="2" t="s">
        <v>260</v>
      </c>
      <c r="F1162" s="2" t="s">
        <v>3345</v>
      </c>
      <c r="G1162" s="6">
        <v>46235</v>
      </c>
      <c r="H1162" s="2" t="s">
        <v>176</v>
      </c>
      <c r="I1162" s="2" t="s">
        <v>70</v>
      </c>
      <c r="J1162" s="9">
        <v>-16299.769231</v>
      </c>
      <c r="K1162" s="7">
        <v>0.65100000000000002</v>
      </c>
      <c r="L1162" s="9">
        <v>-10611.15</v>
      </c>
      <c r="M1162" s="9">
        <v>-10594.85</v>
      </c>
      <c r="N1162" s="9">
        <v>0</v>
      </c>
      <c r="O1162" s="10">
        <f>IF(AND(OR(H1162="APPROVED",H1162="SCHEDULED"),COUNTIFS(tblSource[EventID],F1162,tblSource[ReleaseStatus],"APPROVED")=1,COUNTIFS(Period_Status!$A$2:$A$8,G1162,Period_Status!$B$2:$B$8,"ActualClosed")=1,C1162&gt;EOMONTH(Settlement_Bridge!$C$2,0)),1,0)</f>
        <v>0</v>
      </c>
      <c r="P1162" s="2" t="s">
        <v>3346</v>
      </c>
    </row>
    <row r="1163" spans="1:16" x14ac:dyDescent="0.25">
      <c r="A1163" s="2" t="s">
        <v>3347</v>
      </c>
      <c r="B1163" s="2" t="s">
        <v>136</v>
      </c>
      <c r="C1163" s="8">
        <v>46283</v>
      </c>
      <c r="D1163" s="6">
        <v>46266</v>
      </c>
      <c r="E1163" s="2" t="s">
        <v>260</v>
      </c>
      <c r="F1163" s="2" t="s">
        <v>3348</v>
      </c>
      <c r="G1163" s="6">
        <v>46235</v>
      </c>
      <c r="H1163" s="2" t="s">
        <v>176</v>
      </c>
      <c r="I1163" s="2" t="s">
        <v>39</v>
      </c>
      <c r="J1163" s="9">
        <v>10767.86</v>
      </c>
      <c r="K1163" s="7">
        <v>1</v>
      </c>
      <c r="L1163" s="9">
        <v>10767.86</v>
      </c>
      <c r="M1163" s="9">
        <v>10767.86</v>
      </c>
      <c r="N1163" s="9">
        <v>5.92</v>
      </c>
      <c r="O1163" s="10">
        <f>IF(AND(OR(H1163="APPROVED",H1163="SCHEDULED"),COUNTIFS(tblSource[EventID],F1163,tblSource[ReleaseStatus],"APPROVED")=1,COUNTIFS(Period_Status!$A$2:$A$8,G1163,Period_Status!$B$2:$B$8,"ActualClosed")=1,C1163&gt;EOMONTH(Settlement_Bridge!$C$2,0)),1,0)</f>
        <v>0</v>
      </c>
      <c r="P1163" s="2" t="s">
        <v>3349</v>
      </c>
    </row>
    <row r="1164" spans="1:16" x14ac:dyDescent="0.25">
      <c r="A1164" s="2" t="s">
        <v>3350</v>
      </c>
      <c r="B1164" s="2" t="s">
        <v>136</v>
      </c>
      <c r="C1164" s="8">
        <v>46284</v>
      </c>
      <c r="D1164" s="6">
        <v>46266</v>
      </c>
      <c r="E1164" s="2" t="s">
        <v>260</v>
      </c>
      <c r="F1164" s="2" t="s">
        <v>3351</v>
      </c>
      <c r="G1164" s="6">
        <v>46235</v>
      </c>
      <c r="H1164" s="2" t="s">
        <v>176</v>
      </c>
      <c r="I1164" s="2" t="s">
        <v>76</v>
      </c>
      <c r="J1164" s="9">
        <v>177900325.20325199</v>
      </c>
      <c r="K1164" s="7">
        <v>6.1299999999999999E-5</v>
      </c>
      <c r="L1164" s="9">
        <v>10905.29</v>
      </c>
      <c r="M1164" s="9">
        <v>10940.87</v>
      </c>
      <c r="N1164" s="9">
        <v>6</v>
      </c>
      <c r="O1164" s="10">
        <f>IF(AND(OR(H1164="APPROVED",H1164="SCHEDULED"),COUNTIFS(tblSource[EventID],F1164,tblSource[ReleaseStatus],"APPROVED")=1,COUNTIFS(Period_Status!$A$2:$A$8,G1164,Period_Status!$B$2:$B$8,"ActualClosed")=1,C1164&gt;EOMONTH(Settlement_Bridge!$C$2,0)),1,0)</f>
        <v>0</v>
      </c>
      <c r="P1164" s="2" t="s">
        <v>3352</v>
      </c>
    </row>
    <row r="1165" spans="1:16" x14ac:dyDescent="0.25">
      <c r="A1165" s="2" t="s">
        <v>3353</v>
      </c>
      <c r="B1165" s="2" t="s">
        <v>136</v>
      </c>
      <c r="C1165" s="8">
        <v>46275</v>
      </c>
      <c r="D1165" s="6">
        <v>46266</v>
      </c>
      <c r="E1165" s="2" t="s">
        <v>260</v>
      </c>
      <c r="F1165" s="2" t="s">
        <v>3354</v>
      </c>
      <c r="G1165" s="6">
        <v>46235</v>
      </c>
      <c r="H1165" s="2" t="s">
        <v>176</v>
      </c>
      <c r="I1165" s="2" t="s">
        <v>70</v>
      </c>
      <c r="J1165" s="9">
        <v>6839.3107689999997</v>
      </c>
      <c r="K1165" s="7">
        <v>0.65100000000000002</v>
      </c>
      <c r="L1165" s="9">
        <v>4452.3900000000003</v>
      </c>
      <c r="M1165" s="9">
        <v>4445.55</v>
      </c>
      <c r="N1165" s="9">
        <v>2.4500000000000002</v>
      </c>
      <c r="O1165" s="10">
        <f>IF(AND(OR(H1165="APPROVED",H1165="SCHEDULED"),COUNTIFS(tblSource[EventID],F1165,tblSource[ReleaseStatus],"APPROVED")=1,COUNTIFS(Period_Status!$A$2:$A$8,G1165,Period_Status!$B$2:$B$8,"ActualClosed")=1,C1165&gt;EOMONTH(Settlement_Bridge!$C$2,0)),1,0)</f>
        <v>0</v>
      </c>
      <c r="P1165" s="2" t="s">
        <v>3355</v>
      </c>
    </row>
    <row r="1166" spans="1:16" x14ac:dyDescent="0.25">
      <c r="A1166" s="2" t="s">
        <v>3356</v>
      </c>
      <c r="B1166" s="2" t="s">
        <v>136</v>
      </c>
      <c r="C1166" s="8">
        <v>46300</v>
      </c>
      <c r="D1166" s="6">
        <v>46296</v>
      </c>
      <c r="E1166" s="2" t="s">
        <v>260</v>
      </c>
      <c r="F1166" s="2" t="s">
        <v>3354</v>
      </c>
      <c r="G1166" s="6">
        <v>46235</v>
      </c>
      <c r="H1166" s="2" t="s">
        <v>176</v>
      </c>
      <c r="I1166" s="2" t="s">
        <v>70</v>
      </c>
      <c r="J1166" s="9">
        <v>10258.966154</v>
      </c>
      <c r="K1166" s="7">
        <v>0.65500000000000003</v>
      </c>
      <c r="L1166" s="9">
        <v>6719.62</v>
      </c>
      <c r="M1166" s="9">
        <v>6668.33</v>
      </c>
      <c r="N1166" s="9">
        <v>3.7</v>
      </c>
      <c r="O1166" s="10">
        <f>IF(AND(OR(H1166="APPROVED",H1166="SCHEDULED"),COUNTIFS(tblSource[EventID],F1166,tblSource[ReleaseStatus],"APPROVED")=1,COUNTIFS(Period_Status!$A$2:$A$8,G1166,Period_Status!$B$2:$B$8,"ActualClosed")=1,C1166&gt;EOMONTH(Settlement_Bridge!$C$2,0)),1,0)</f>
        <v>0</v>
      </c>
      <c r="P1166" s="2" t="s">
        <v>3357</v>
      </c>
    </row>
    <row r="1167" spans="1:16" x14ac:dyDescent="0.25">
      <c r="A1167" s="2" t="s">
        <v>3358</v>
      </c>
      <c r="B1167" s="2" t="s">
        <v>136</v>
      </c>
      <c r="C1167" s="8">
        <v>46276</v>
      </c>
      <c r="D1167" s="6">
        <v>46266</v>
      </c>
      <c r="E1167" s="2" t="s">
        <v>260</v>
      </c>
      <c r="F1167" s="2" t="s">
        <v>3359</v>
      </c>
      <c r="G1167" s="6">
        <v>46235</v>
      </c>
      <c r="H1167" s="2" t="s">
        <v>176</v>
      </c>
      <c r="I1167" s="2" t="s">
        <v>39</v>
      </c>
      <c r="J1167" s="9">
        <v>4514.7560000000003</v>
      </c>
      <c r="K1167" s="7">
        <v>1</v>
      </c>
      <c r="L1167" s="9">
        <v>4514.76</v>
      </c>
      <c r="M1167" s="9">
        <v>4514.76</v>
      </c>
      <c r="N1167" s="9">
        <v>2.48</v>
      </c>
      <c r="O1167" s="10">
        <f>IF(AND(OR(H1167="APPROVED",H1167="SCHEDULED"),COUNTIFS(tblSource[EventID],F1167,tblSource[ReleaseStatus],"APPROVED")=1,COUNTIFS(Period_Status!$A$2:$A$8,G1167,Period_Status!$B$2:$B$8,"ActualClosed")=1,C1167&gt;EOMONTH(Settlement_Bridge!$C$2,0)),1,0)</f>
        <v>0</v>
      </c>
      <c r="P1167" s="2" t="s">
        <v>3360</v>
      </c>
    </row>
    <row r="1168" spans="1:16" x14ac:dyDescent="0.25">
      <c r="A1168" s="2" t="s">
        <v>3361</v>
      </c>
      <c r="B1168" s="2" t="s">
        <v>136</v>
      </c>
      <c r="C1168" s="8">
        <v>46301</v>
      </c>
      <c r="D1168" s="6">
        <v>46296</v>
      </c>
      <c r="E1168" s="2" t="s">
        <v>260</v>
      </c>
      <c r="F1168" s="2" t="s">
        <v>3359</v>
      </c>
      <c r="G1168" s="6">
        <v>46235</v>
      </c>
      <c r="H1168" s="2" t="s">
        <v>176</v>
      </c>
      <c r="I1168" s="2" t="s">
        <v>39</v>
      </c>
      <c r="J1168" s="9">
        <v>6772.134</v>
      </c>
      <c r="K1168" s="7">
        <v>1</v>
      </c>
      <c r="L1168" s="9">
        <v>6772.13</v>
      </c>
      <c r="M1168" s="9">
        <v>6772.13</v>
      </c>
      <c r="N1168" s="9">
        <v>3.72</v>
      </c>
      <c r="O1168" s="10">
        <f>IF(AND(OR(H1168="APPROVED",H1168="SCHEDULED"),COUNTIFS(tblSource[EventID],F1168,tblSource[ReleaseStatus],"APPROVED")=1,COUNTIFS(Period_Status!$A$2:$A$8,G1168,Period_Status!$B$2:$B$8,"ActualClosed")=1,C1168&gt;EOMONTH(Settlement_Bridge!$C$2,0)),1,0)</f>
        <v>0</v>
      </c>
      <c r="P1168" s="2" t="s">
        <v>3362</v>
      </c>
    </row>
    <row r="1169" spans="1:16" x14ac:dyDescent="0.25">
      <c r="A1169" s="2" t="s">
        <v>3363</v>
      </c>
      <c r="B1169" s="2" t="s">
        <v>136</v>
      </c>
      <c r="C1169" s="8">
        <v>46287</v>
      </c>
      <c r="D1169" s="6">
        <v>46266</v>
      </c>
      <c r="E1169" s="2" t="s">
        <v>260</v>
      </c>
      <c r="F1169" s="2" t="s">
        <v>3364</v>
      </c>
      <c r="G1169" s="6">
        <v>46235</v>
      </c>
      <c r="H1169" s="2" t="s">
        <v>176</v>
      </c>
      <c r="I1169" s="2" t="s">
        <v>76</v>
      </c>
      <c r="J1169" s="9">
        <v>186339837.39837399</v>
      </c>
      <c r="K1169" s="7">
        <v>6.1299999999999999E-5</v>
      </c>
      <c r="L1169" s="9">
        <v>11422.63</v>
      </c>
      <c r="M1169" s="9">
        <v>11459.9</v>
      </c>
      <c r="N1169" s="9">
        <v>6.28</v>
      </c>
      <c r="O1169" s="10">
        <f>IF(AND(OR(H1169="APPROVED",H1169="SCHEDULED"),COUNTIFS(tblSource[EventID],F1169,tblSource[ReleaseStatus],"APPROVED")=1,COUNTIFS(Period_Status!$A$2:$A$8,G1169,Period_Status!$B$2:$B$8,"ActualClosed")=1,C1169&gt;EOMONTH(Settlement_Bridge!$C$2,0)),1,0)</f>
        <v>0</v>
      </c>
      <c r="P1169" s="2" t="s">
        <v>3365</v>
      </c>
    </row>
    <row r="1170" spans="1:16" x14ac:dyDescent="0.25">
      <c r="A1170" s="2" t="s">
        <v>3366</v>
      </c>
      <c r="B1170" s="2" t="s">
        <v>136</v>
      </c>
      <c r="C1170" s="8">
        <v>46288</v>
      </c>
      <c r="D1170" s="6">
        <v>46266</v>
      </c>
      <c r="E1170" s="2" t="s">
        <v>260</v>
      </c>
      <c r="F1170" s="2" t="s">
        <v>3367</v>
      </c>
      <c r="G1170" s="6">
        <v>46235</v>
      </c>
      <c r="H1170" s="2" t="s">
        <v>176</v>
      </c>
      <c r="I1170" s="2" t="s">
        <v>70</v>
      </c>
      <c r="J1170" s="9">
        <v>17896.784615</v>
      </c>
      <c r="K1170" s="7">
        <v>0.65100000000000002</v>
      </c>
      <c r="L1170" s="9">
        <v>11650.81</v>
      </c>
      <c r="M1170" s="9">
        <v>11632.91</v>
      </c>
      <c r="N1170" s="9">
        <v>6.41</v>
      </c>
      <c r="O1170" s="10">
        <f>IF(AND(OR(H1170="APPROVED",H1170="SCHEDULED"),COUNTIFS(tblSource[EventID],F1170,tblSource[ReleaseStatus],"APPROVED")=1,COUNTIFS(Period_Status!$A$2:$A$8,G1170,Period_Status!$B$2:$B$8,"ActualClosed")=1,C1170&gt;EOMONTH(Settlement_Bridge!$C$2,0)),1,0)</f>
        <v>0</v>
      </c>
      <c r="P1170" s="2" t="s">
        <v>3368</v>
      </c>
    </row>
    <row r="1171" spans="1:16" x14ac:dyDescent="0.25">
      <c r="A1171" s="2" t="s">
        <v>3369</v>
      </c>
      <c r="B1171" s="2" t="s">
        <v>136</v>
      </c>
      <c r="C1171" s="8">
        <v>46279</v>
      </c>
      <c r="D1171" s="6">
        <v>46266</v>
      </c>
      <c r="E1171" s="2" t="s">
        <v>260</v>
      </c>
      <c r="F1171" s="2" t="s">
        <v>3370</v>
      </c>
      <c r="G1171" s="6">
        <v>46235</v>
      </c>
      <c r="H1171" s="2" t="s">
        <v>176</v>
      </c>
      <c r="I1171" s="2" t="s">
        <v>39</v>
      </c>
      <c r="J1171" s="9">
        <v>4722.3680000000004</v>
      </c>
      <c r="K1171" s="7">
        <v>1</v>
      </c>
      <c r="L1171" s="9">
        <v>4722.37</v>
      </c>
      <c r="M1171" s="9">
        <v>4722.37</v>
      </c>
      <c r="N1171" s="9">
        <v>2.6</v>
      </c>
      <c r="O1171" s="10">
        <f>IF(AND(OR(H1171="APPROVED",H1171="SCHEDULED"),COUNTIFS(tblSource[EventID],F1171,tblSource[ReleaseStatus],"APPROVED")=1,COUNTIFS(Period_Status!$A$2:$A$8,G1171,Period_Status!$B$2:$B$8,"ActualClosed")=1,C1171&gt;EOMONTH(Settlement_Bridge!$C$2,0)),1,0)</f>
        <v>0</v>
      </c>
      <c r="P1171" s="2" t="s">
        <v>3371</v>
      </c>
    </row>
    <row r="1172" spans="1:16" x14ac:dyDescent="0.25">
      <c r="A1172" s="2" t="s">
        <v>3372</v>
      </c>
      <c r="B1172" s="2" t="s">
        <v>136</v>
      </c>
      <c r="C1172" s="8">
        <v>46304</v>
      </c>
      <c r="D1172" s="6">
        <v>46296</v>
      </c>
      <c r="E1172" s="2" t="s">
        <v>260</v>
      </c>
      <c r="F1172" s="2" t="s">
        <v>3370</v>
      </c>
      <c r="G1172" s="6">
        <v>46235</v>
      </c>
      <c r="H1172" s="2" t="s">
        <v>176</v>
      </c>
      <c r="I1172" s="2" t="s">
        <v>39</v>
      </c>
      <c r="J1172" s="9">
        <v>7083.5519999999997</v>
      </c>
      <c r="K1172" s="7">
        <v>1</v>
      </c>
      <c r="L1172" s="9">
        <v>7083.55</v>
      </c>
      <c r="M1172" s="9">
        <v>7083.55</v>
      </c>
      <c r="N1172" s="9">
        <v>3.9</v>
      </c>
      <c r="O1172" s="10">
        <f>IF(AND(OR(H1172="APPROVED",H1172="SCHEDULED"),COUNTIFS(tblSource[EventID],F1172,tblSource[ReleaseStatus],"APPROVED")=1,COUNTIFS(Period_Status!$A$2:$A$8,G1172,Period_Status!$B$2:$B$8,"ActualClosed")=1,C1172&gt;EOMONTH(Settlement_Bridge!$C$2,0)),1,0)</f>
        <v>0</v>
      </c>
      <c r="P1172" s="2" t="s">
        <v>3373</v>
      </c>
    </row>
    <row r="1173" spans="1:16" x14ac:dyDescent="0.25">
      <c r="A1173" s="2" t="s">
        <v>3374</v>
      </c>
      <c r="B1173" s="2" t="s">
        <v>136</v>
      </c>
      <c r="C1173" s="8">
        <v>46259</v>
      </c>
      <c r="D1173" s="6">
        <v>46235</v>
      </c>
      <c r="E1173" s="2" t="s">
        <v>260</v>
      </c>
      <c r="F1173" s="2" t="s">
        <v>3375</v>
      </c>
      <c r="G1173" s="6">
        <v>46235</v>
      </c>
      <c r="H1173" s="2" t="s">
        <v>71</v>
      </c>
      <c r="I1173" s="2" t="s">
        <v>76</v>
      </c>
      <c r="J1173" s="9">
        <v>194779349.59349599</v>
      </c>
      <c r="K1173" s="7">
        <v>6.1500000000000004E-5</v>
      </c>
      <c r="L1173" s="9">
        <v>11978.93</v>
      </c>
      <c r="M1173" s="9">
        <v>11978.93</v>
      </c>
      <c r="N1173" s="9">
        <v>6.59</v>
      </c>
      <c r="O1173" s="10">
        <f>IF(AND(OR(H1173="APPROVED",H1173="SCHEDULED"),COUNTIFS(tblSource[EventID],F1173,tblSource[ReleaseStatus],"APPROVED")=1,COUNTIFS(Period_Status!$A$2:$A$8,G1173,Period_Status!$B$2:$B$8,"ActualClosed")=1,C1173&gt;EOMONTH(Settlement_Bridge!$C$2,0)),1,0)</f>
        <v>0</v>
      </c>
      <c r="P1173" s="2" t="s">
        <v>3376</v>
      </c>
    </row>
    <row r="1174" spans="1:16" x14ac:dyDescent="0.25">
      <c r="A1174" s="2" t="s">
        <v>3377</v>
      </c>
      <c r="B1174" s="2" t="s">
        <v>136</v>
      </c>
      <c r="C1174" s="8">
        <v>46260</v>
      </c>
      <c r="D1174" s="6">
        <v>46235</v>
      </c>
      <c r="E1174" s="2" t="s">
        <v>260</v>
      </c>
      <c r="F1174" s="2" t="s">
        <v>3378</v>
      </c>
      <c r="G1174" s="6">
        <v>46235</v>
      </c>
      <c r="H1174" s="2" t="s">
        <v>71</v>
      </c>
      <c r="I1174" s="2" t="s">
        <v>70</v>
      </c>
      <c r="J1174" s="9">
        <v>18695.292308</v>
      </c>
      <c r="K1174" s="7">
        <v>0.65</v>
      </c>
      <c r="L1174" s="9">
        <v>12151.94</v>
      </c>
      <c r="M1174" s="9">
        <v>12151.94</v>
      </c>
      <c r="N1174" s="9">
        <v>6.68</v>
      </c>
      <c r="O1174" s="10">
        <f>IF(AND(OR(H1174="APPROVED",H1174="SCHEDULED"),COUNTIFS(tblSource[EventID],F1174,tblSource[ReleaseStatus],"APPROVED")=1,COUNTIFS(Period_Status!$A$2:$A$8,G1174,Period_Status!$B$2:$B$8,"ActualClosed")=1,C1174&gt;EOMONTH(Settlement_Bridge!$C$2,0)),1,0)</f>
        <v>0</v>
      </c>
      <c r="P1174" s="2" t="s">
        <v>3379</v>
      </c>
    </row>
    <row r="1175" spans="1:16" x14ac:dyDescent="0.25">
      <c r="A1175" s="2" t="s">
        <v>3380</v>
      </c>
      <c r="B1175" s="2" t="s">
        <v>136</v>
      </c>
      <c r="C1175" s="8">
        <v>46261</v>
      </c>
      <c r="D1175" s="6">
        <v>46235</v>
      </c>
      <c r="E1175" s="2" t="s">
        <v>260</v>
      </c>
      <c r="F1175" s="2" t="s">
        <v>3381</v>
      </c>
      <c r="G1175" s="6">
        <v>46235</v>
      </c>
      <c r="H1175" s="2" t="s">
        <v>71</v>
      </c>
      <c r="I1175" s="2" t="s">
        <v>39</v>
      </c>
      <c r="J1175" s="9">
        <v>12324.95</v>
      </c>
      <c r="K1175" s="7">
        <v>1</v>
      </c>
      <c r="L1175" s="9">
        <v>12324.95</v>
      </c>
      <c r="M1175" s="9">
        <v>12324.95</v>
      </c>
      <c r="N1175" s="9">
        <v>6.78</v>
      </c>
      <c r="O1175" s="10">
        <f>IF(AND(OR(H1175="APPROVED",H1175="SCHEDULED"),COUNTIFS(tblSource[EventID],F1175,tblSource[ReleaseStatus],"APPROVED")=1,COUNTIFS(Period_Status!$A$2:$A$8,G1175,Period_Status!$B$2:$B$8,"ActualClosed")=1,C1175&gt;EOMONTH(Settlement_Bridge!$C$2,0)),1,0)</f>
        <v>0</v>
      </c>
      <c r="P1175" s="2" t="s">
        <v>3382</v>
      </c>
    </row>
    <row r="1176" spans="1:16" x14ac:dyDescent="0.25">
      <c r="A1176" s="2" t="s">
        <v>3383</v>
      </c>
      <c r="B1176" s="2" t="s">
        <v>136</v>
      </c>
      <c r="C1176" s="8">
        <v>46262</v>
      </c>
      <c r="D1176" s="6">
        <v>46235</v>
      </c>
      <c r="E1176" s="2" t="s">
        <v>260</v>
      </c>
      <c r="F1176" s="2" t="s">
        <v>3384</v>
      </c>
      <c r="G1176" s="6">
        <v>46235</v>
      </c>
      <c r="H1176" s="2" t="s">
        <v>71</v>
      </c>
      <c r="I1176" s="2" t="s">
        <v>76</v>
      </c>
      <c r="J1176" s="9">
        <v>203218861.788618</v>
      </c>
      <c r="K1176" s="7">
        <v>6.1500000000000004E-5</v>
      </c>
      <c r="L1176" s="9">
        <v>12497.96</v>
      </c>
      <c r="M1176" s="9">
        <v>12497.96</v>
      </c>
      <c r="N1176" s="9">
        <v>6.87</v>
      </c>
      <c r="O1176" s="10">
        <f>IF(AND(OR(H1176="APPROVED",H1176="SCHEDULED"),COUNTIFS(tblSource[EventID],F1176,tblSource[ReleaseStatus],"APPROVED")=1,COUNTIFS(Period_Status!$A$2:$A$8,G1176,Period_Status!$B$2:$B$8,"ActualClosed")=1,C1176&gt;EOMONTH(Settlement_Bridge!$C$2,0)),1,0)</f>
        <v>0</v>
      </c>
      <c r="P1176" s="2" t="s">
        <v>3385</v>
      </c>
    </row>
    <row r="1177" spans="1:16" x14ac:dyDescent="0.25">
      <c r="A1177" s="2" t="s">
        <v>3386</v>
      </c>
      <c r="B1177" s="2" t="s">
        <v>136</v>
      </c>
      <c r="C1177" s="8">
        <v>46263</v>
      </c>
      <c r="D1177" s="6">
        <v>46235</v>
      </c>
      <c r="E1177" s="2" t="s">
        <v>260</v>
      </c>
      <c r="F1177" s="2" t="s">
        <v>3387</v>
      </c>
      <c r="G1177" s="6">
        <v>46235</v>
      </c>
      <c r="H1177" s="2" t="s">
        <v>71</v>
      </c>
      <c r="I1177" s="2" t="s">
        <v>70</v>
      </c>
      <c r="J1177" s="9">
        <v>19492.307691999998</v>
      </c>
      <c r="K1177" s="7">
        <v>0.65</v>
      </c>
      <c r="L1177" s="9">
        <v>12670</v>
      </c>
      <c r="M1177" s="9">
        <v>12670</v>
      </c>
      <c r="N1177" s="9">
        <v>6.97</v>
      </c>
      <c r="O1177" s="10">
        <f>IF(AND(OR(H1177="APPROVED",H1177="SCHEDULED"),COUNTIFS(tblSource[EventID],F1177,tblSource[ReleaseStatus],"APPROVED")=1,COUNTIFS(Period_Status!$A$2:$A$8,G1177,Period_Status!$B$2:$B$8,"ActualClosed")=1,C1177&gt;EOMONTH(Settlement_Bridge!$C$2,0)),1,0)</f>
        <v>0</v>
      </c>
      <c r="P1177" s="2" t="s">
        <v>3388</v>
      </c>
    </row>
    <row r="1178" spans="1:16" x14ac:dyDescent="0.25">
      <c r="A1178" s="2" t="s">
        <v>3389</v>
      </c>
      <c r="B1178" s="2" t="s">
        <v>136</v>
      </c>
      <c r="C1178" s="8">
        <v>46254</v>
      </c>
      <c r="D1178" s="6">
        <v>46235</v>
      </c>
      <c r="E1178" s="2" t="s">
        <v>260</v>
      </c>
      <c r="F1178" s="2" t="s">
        <v>3390</v>
      </c>
      <c r="G1178" s="6">
        <v>46235</v>
      </c>
      <c r="H1178" s="2" t="s">
        <v>71</v>
      </c>
      <c r="I1178" s="2" t="s">
        <v>39</v>
      </c>
      <c r="J1178" s="9">
        <v>5137.2039999999997</v>
      </c>
      <c r="K1178" s="7">
        <v>1</v>
      </c>
      <c r="L1178" s="9">
        <v>5137.2</v>
      </c>
      <c r="M1178" s="9">
        <v>5137.2</v>
      </c>
      <c r="N1178" s="9">
        <v>2.83</v>
      </c>
      <c r="O1178" s="10">
        <f>IF(AND(OR(H1178="APPROVED",H1178="SCHEDULED"),COUNTIFS(tblSource[EventID],F1178,tblSource[ReleaseStatus],"APPROVED")=1,COUNTIFS(Period_Status!$A$2:$A$8,G1178,Period_Status!$B$2:$B$8,"ActualClosed")=1,C1178&gt;EOMONTH(Settlement_Bridge!$C$2,0)),1,0)</f>
        <v>0</v>
      </c>
      <c r="P1178" s="2" t="s">
        <v>3391</v>
      </c>
    </row>
    <row r="1179" spans="1:16" x14ac:dyDescent="0.25">
      <c r="A1179" s="2" t="s">
        <v>3392</v>
      </c>
      <c r="B1179" s="2" t="s">
        <v>136</v>
      </c>
      <c r="C1179" s="8">
        <v>46279</v>
      </c>
      <c r="D1179" s="6">
        <v>46266</v>
      </c>
      <c r="E1179" s="2" t="s">
        <v>260</v>
      </c>
      <c r="F1179" s="2" t="s">
        <v>3390</v>
      </c>
      <c r="G1179" s="6">
        <v>46235</v>
      </c>
      <c r="H1179" s="2" t="s">
        <v>176</v>
      </c>
      <c r="I1179" s="2" t="s">
        <v>39</v>
      </c>
      <c r="J1179" s="9">
        <v>7705.8059999999996</v>
      </c>
      <c r="K1179" s="7">
        <v>1</v>
      </c>
      <c r="L1179" s="9">
        <v>7705.81</v>
      </c>
      <c r="M1179" s="9">
        <v>7705.81</v>
      </c>
      <c r="N1179" s="9">
        <v>4.24</v>
      </c>
      <c r="O1179" s="10">
        <f>IF(AND(OR(H1179="APPROVED",H1179="SCHEDULED"),COUNTIFS(tblSource[EventID],F1179,tblSource[ReleaseStatus],"APPROVED")=1,COUNTIFS(Period_Status!$A$2:$A$8,G1179,Period_Status!$B$2:$B$8,"ActualClosed")=1,C1179&gt;EOMONTH(Settlement_Bridge!$C$2,0)),1,0)</f>
        <v>0</v>
      </c>
      <c r="P1179" s="2" t="s">
        <v>3393</v>
      </c>
    </row>
    <row r="1180" spans="1:16" x14ac:dyDescent="0.25">
      <c r="A1180" s="2" t="s">
        <v>3394</v>
      </c>
      <c r="B1180" s="2" t="s">
        <v>136</v>
      </c>
      <c r="C1180" s="8">
        <v>46255</v>
      </c>
      <c r="D1180" s="6">
        <v>46235</v>
      </c>
      <c r="E1180" s="2" t="s">
        <v>260</v>
      </c>
      <c r="F1180" s="2" t="s">
        <v>3395</v>
      </c>
      <c r="G1180" s="6">
        <v>46235</v>
      </c>
      <c r="H1180" s="2" t="s">
        <v>71</v>
      </c>
      <c r="I1180" s="2" t="s">
        <v>76</v>
      </c>
      <c r="J1180" s="9">
        <v>84657040.650406003</v>
      </c>
      <c r="K1180" s="7">
        <v>6.1500000000000004E-5</v>
      </c>
      <c r="L1180" s="9">
        <v>5206.41</v>
      </c>
      <c r="M1180" s="9">
        <v>5206.41</v>
      </c>
      <c r="N1180" s="9">
        <v>2.86</v>
      </c>
      <c r="O1180" s="10">
        <f>IF(AND(OR(H1180="APPROVED",H1180="SCHEDULED"),COUNTIFS(tblSource[EventID],F1180,tblSource[ReleaseStatus],"APPROVED")=1,COUNTIFS(Period_Status!$A$2:$A$8,G1180,Period_Status!$B$2:$B$8,"ActualClosed")=1,C1180&gt;EOMONTH(Settlement_Bridge!$C$2,0)),1,0)</f>
        <v>0</v>
      </c>
      <c r="P1180" s="2" t="s">
        <v>3396</v>
      </c>
    </row>
    <row r="1181" spans="1:16" x14ac:dyDescent="0.25">
      <c r="A1181" s="2" t="s">
        <v>3397</v>
      </c>
      <c r="B1181" s="2" t="s">
        <v>136</v>
      </c>
      <c r="C1181" s="8">
        <v>46280</v>
      </c>
      <c r="D1181" s="6">
        <v>46266</v>
      </c>
      <c r="E1181" s="2" t="s">
        <v>260</v>
      </c>
      <c r="F1181" s="2" t="s">
        <v>3395</v>
      </c>
      <c r="G1181" s="6">
        <v>46235</v>
      </c>
      <c r="H1181" s="2" t="s">
        <v>176</v>
      </c>
      <c r="I1181" s="2" t="s">
        <v>76</v>
      </c>
      <c r="J1181" s="9">
        <v>126985560.97561</v>
      </c>
      <c r="K1181" s="7">
        <v>6.1299999999999999E-5</v>
      </c>
      <c r="L1181" s="9">
        <v>7784.21</v>
      </c>
      <c r="M1181" s="9">
        <v>7809.61</v>
      </c>
      <c r="N1181" s="9">
        <v>4.28</v>
      </c>
      <c r="O1181" s="10">
        <f>IF(AND(OR(H1181="APPROVED",H1181="SCHEDULED"),COUNTIFS(tblSource[EventID],F1181,tblSource[ReleaseStatus],"APPROVED")=1,COUNTIFS(Period_Status!$A$2:$A$8,G1181,Period_Status!$B$2:$B$8,"ActualClosed")=1,C1181&gt;EOMONTH(Settlement_Bridge!$C$2,0)),1,0)</f>
        <v>0</v>
      </c>
      <c r="P1181" s="2" t="s">
        <v>3398</v>
      </c>
    </row>
    <row r="1182" spans="1:16" x14ac:dyDescent="0.25">
      <c r="A1182" s="2" t="s">
        <v>3399</v>
      </c>
      <c r="B1182" s="2" t="s">
        <v>136</v>
      </c>
      <c r="C1182" s="8">
        <v>46266</v>
      </c>
      <c r="D1182" s="6">
        <v>46266</v>
      </c>
      <c r="E1182" s="2" t="s">
        <v>260</v>
      </c>
      <c r="F1182" s="2" t="s">
        <v>3400</v>
      </c>
      <c r="G1182" s="6">
        <v>46235</v>
      </c>
      <c r="H1182" s="2" t="s">
        <v>176</v>
      </c>
      <c r="I1182" s="2" t="s">
        <v>70</v>
      </c>
      <c r="J1182" s="9">
        <v>20290.815385000002</v>
      </c>
      <c r="K1182" s="7">
        <v>0.65100000000000002</v>
      </c>
      <c r="L1182" s="9">
        <v>13209.32</v>
      </c>
      <c r="M1182" s="9">
        <v>13189.03</v>
      </c>
      <c r="N1182" s="9">
        <v>7.27</v>
      </c>
      <c r="O1182" s="10">
        <f>IF(AND(OR(H1182="APPROVED",H1182="SCHEDULED"),COUNTIFS(tblSource[EventID],F1182,tblSource[ReleaseStatus],"APPROVED")=1,COUNTIFS(Period_Status!$A$2:$A$8,G1182,Period_Status!$B$2:$B$8,"ActualClosed")=1,C1182&gt;EOMONTH(Settlement_Bridge!$C$2,0)),1,0)</f>
        <v>0</v>
      </c>
      <c r="P1182" s="2" t="s">
        <v>3401</v>
      </c>
    </row>
    <row r="1183" spans="1:16" x14ac:dyDescent="0.25">
      <c r="A1183" s="2" t="s">
        <v>3402</v>
      </c>
      <c r="B1183" s="2" t="s">
        <v>136</v>
      </c>
      <c r="C1183" s="8">
        <v>46267</v>
      </c>
      <c r="D1183" s="6">
        <v>46266</v>
      </c>
      <c r="E1183" s="2" t="s">
        <v>260</v>
      </c>
      <c r="F1183" s="2" t="s">
        <v>3403</v>
      </c>
      <c r="G1183" s="6">
        <v>46235</v>
      </c>
      <c r="H1183" s="2" t="s">
        <v>176</v>
      </c>
      <c r="I1183" s="2" t="s">
        <v>39</v>
      </c>
      <c r="J1183" s="9">
        <v>13362.04</v>
      </c>
      <c r="K1183" s="7">
        <v>1</v>
      </c>
      <c r="L1183" s="9">
        <v>13362.04</v>
      </c>
      <c r="M1183" s="9">
        <v>13362.04</v>
      </c>
      <c r="N1183" s="9">
        <v>7.35</v>
      </c>
      <c r="O1183" s="10">
        <f>IF(AND(OR(H1183="APPROVED",H1183="SCHEDULED"),COUNTIFS(tblSource[EventID],F1183,tblSource[ReleaseStatus],"APPROVED")=1,COUNTIFS(Period_Status!$A$2:$A$8,G1183,Period_Status!$B$2:$B$8,"ActualClosed")=1,C1183&gt;EOMONTH(Settlement_Bridge!$C$2,0)),1,0)</f>
        <v>0</v>
      </c>
      <c r="P1183" s="2" t="s">
        <v>3404</v>
      </c>
    </row>
    <row r="1184" spans="1:16" x14ac:dyDescent="0.25">
      <c r="A1184" s="2" t="s">
        <v>3405</v>
      </c>
      <c r="B1184" s="2" t="s">
        <v>136</v>
      </c>
      <c r="C1184" s="8">
        <v>46258</v>
      </c>
      <c r="D1184" s="6">
        <v>46235</v>
      </c>
      <c r="E1184" s="2" t="s">
        <v>260</v>
      </c>
      <c r="F1184" s="2" t="s">
        <v>3406</v>
      </c>
      <c r="G1184" s="6">
        <v>46235</v>
      </c>
      <c r="H1184" s="2" t="s">
        <v>71</v>
      </c>
      <c r="I1184" s="2" t="s">
        <v>76</v>
      </c>
      <c r="J1184" s="9">
        <v>88032845.528455004</v>
      </c>
      <c r="K1184" s="7">
        <v>6.1500000000000004E-5</v>
      </c>
      <c r="L1184" s="9">
        <v>5414.02</v>
      </c>
      <c r="M1184" s="9">
        <v>5414.02</v>
      </c>
      <c r="N1184" s="9">
        <v>2.98</v>
      </c>
      <c r="O1184" s="10">
        <f>IF(AND(OR(H1184="APPROVED",H1184="SCHEDULED"),COUNTIFS(tblSource[EventID],F1184,tblSource[ReleaseStatus],"APPROVED")=1,COUNTIFS(Period_Status!$A$2:$A$8,G1184,Period_Status!$B$2:$B$8,"ActualClosed")=1,C1184&gt;EOMONTH(Settlement_Bridge!$C$2,0)),1,0)</f>
        <v>0</v>
      </c>
      <c r="P1184" s="2" t="s">
        <v>3407</v>
      </c>
    </row>
    <row r="1185" spans="1:16" x14ac:dyDescent="0.25">
      <c r="A1185" s="2" t="s">
        <v>3408</v>
      </c>
      <c r="B1185" s="2" t="s">
        <v>136</v>
      </c>
      <c r="C1185" s="8">
        <v>46283</v>
      </c>
      <c r="D1185" s="6">
        <v>46266</v>
      </c>
      <c r="E1185" s="2" t="s">
        <v>260</v>
      </c>
      <c r="F1185" s="2" t="s">
        <v>3406</v>
      </c>
      <c r="G1185" s="6">
        <v>46235</v>
      </c>
      <c r="H1185" s="2" t="s">
        <v>176</v>
      </c>
      <c r="I1185" s="2" t="s">
        <v>76</v>
      </c>
      <c r="J1185" s="9">
        <v>132049268.29268301</v>
      </c>
      <c r="K1185" s="7">
        <v>6.1299999999999999E-5</v>
      </c>
      <c r="L1185" s="9">
        <v>8094.62</v>
      </c>
      <c r="M1185" s="9">
        <v>8121.03</v>
      </c>
      <c r="N1185" s="9">
        <v>4.45</v>
      </c>
      <c r="O1185" s="10">
        <f>IF(AND(OR(H1185="APPROVED",H1185="SCHEDULED"),COUNTIFS(tblSource[EventID],F1185,tblSource[ReleaseStatus],"APPROVED")=1,COUNTIFS(Period_Status!$A$2:$A$8,G1185,Period_Status!$B$2:$B$8,"ActualClosed")=1,C1185&gt;EOMONTH(Settlement_Bridge!$C$2,0)),1,0)</f>
        <v>0</v>
      </c>
      <c r="P1185" s="2" t="s">
        <v>3409</v>
      </c>
    </row>
    <row r="1186" spans="1:16" x14ac:dyDescent="0.25">
      <c r="A1186" s="2" t="s">
        <v>3410</v>
      </c>
      <c r="B1186" s="2" t="s">
        <v>136</v>
      </c>
      <c r="C1186" s="8">
        <v>46269</v>
      </c>
      <c r="D1186" s="6">
        <v>46266</v>
      </c>
      <c r="E1186" s="2" t="s">
        <v>260</v>
      </c>
      <c r="F1186" s="2" t="s">
        <v>3411</v>
      </c>
      <c r="G1186" s="6">
        <v>46235</v>
      </c>
      <c r="H1186" s="2" t="s">
        <v>176</v>
      </c>
      <c r="I1186" s="2" t="s">
        <v>70</v>
      </c>
      <c r="J1186" s="9">
        <v>21089.323077000001</v>
      </c>
      <c r="K1186" s="7">
        <v>0.65100000000000002</v>
      </c>
      <c r="L1186" s="9">
        <v>13729.15</v>
      </c>
      <c r="M1186" s="9">
        <v>13708.06</v>
      </c>
      <c r="N1186" s="9">
        <v>7.55</v>
      </c>
      <c r="O1186" s="10">
        <f>IF(AND(OR(H1186="APPROVED",H1186="SCHEDULED"),COUNTIFS(tblSource[EventID],F1186,tblSource[ReleaseStatus],"APPROVED")=1,COUNTIFS(Period_Status!$A$2:$A$8,G1186,Period_Status!$B$2:$B$8,"ActualClosed")=1,C1186&gt;EOMONTH(Settlement_Bridge!$C$2,0)),1,0)</f>
        <v>0</v>
      </c>
      <c r="P1186" s="2" t="s">
        <v>3412</v>
      </c>
    </row>
    <row r="1187" spans="1:16" x14ac:dyDescent="0.25">
      <c r="A1187" s="2" t="s">
        <v>3413</v>
      </c>
      <c r="B1187" s="2" t="s">
        <v>136</v>
      </c>
      <c r="C1187" s="8">
        <v>46270</v>
      </c>
      <c r="D1187" s="6">
        <v>46266</v>
      </c>
      <c r="E1187" s="2" t="s">
        <v>260</v>
      </c>
      <c r="F1187" s="2" t="s">
        <v>3414</v>
      </c>
      <c r="G1187" s="6">
        <v>46235</v>
      </c>
      <c r="H1187" s="2" t="s">
        <v>176</v>
      </c>
      <c r="I1187" s="2" t="s">
        <v>39</v>
      </c>
      <c r="J1187" s="9">
        <v>13881.07</v>
      </c>
      <c r="K1187" s="7">
        <v>1</v>
      </c>
      <c r="L1187" s="9">
        <v>13881.07</v>
      </c>
      <c r="M1187" s="9">
        <v>13881.07</v>
      </c>
      <c r="N1187" s="9">
        <v>7.63</v>
      </c>
      <c r="O1187" s="10">
        <f>IF(AND(OR(H1187="APPROVED",H1187="SCHEDULED"),COUNTIFS(tblSource[EventID],F1187,tblSource[ReleaseStatus],"APPROVED")=1,COUNTIFS(Period_Status!$A$2:$A$8,G1187,Period_Status!$B$2:$B$8,"ActualClosed")=1,C1187&gt;EOMONTH(Settlement_Bridge!$C$2,0)),1,0)</f>
        <v>0</v>
      </c>
      <c r="P1187" s="2" t="s">
        <v>3415</v>
      </c>
    </row>
    <row r="1188" spans="1:16" x14ac:dyDescent="0.25">
      <c r="A1188" s="2" t="s">
        <v>3416</v>
      </c>
      <c r="B1188" s="2" t="s">
        <v>136</v>
      </c>
      <c r="C1188" s="8">
        <v>46271</v>
      </c>
      <c r="D1188" s="6">
        <v>46266</v>
      </c>
      <c r="E1188" s="2" t="s">
        <v>260</v>
      </c>
      <c r="F1188" s="2" t="s">
        <v>3417</v>
      </c>
      <c r="G1188" s="6">
        <v>46235</v>
      </c>
      <c r="H1188" s="2" t="s">
        <v>176</v>
      </c>
      <c r="I1188" s="2" t="s">
        <v>76</v>
      </c>
      <c r="J1188" s="9">
        <v>228521626.01626</v>
      </c>
      <c r="K1188" s="7">
        <v>6.1299999999999999E-5</v>
      </c>
      <c r="L1188" s="9">
        <v>14008.38</v>
      </c>
      <c r="M1188" s="9">
        <v>14054.08</v>
      </c>
      <c r="N1188" s="9">
        <v>7.7</v>
      </c>
      <c r="O1188" s="10">
        <f>IF(AND(OR(H1188="APPROVED",H1188="SCHEDULED"),COUNTIFS(tblSource[EventID],F1188,tblSource[ReleaseStatus],"APPROVED")=1,COUNTIFS(Period_Status!$A$2:$A$8,G1188,Period_Status!$B$2:$B$8,"ActualClosed")=1,C1188&gt;EOMONTH(Settlement_Bridge!$C$2,0)),1,0)</f>
        <v>0</v>
      </c>
      <c r="P1188" s="2" t="s">
        <v>3418</v>
      </c>
    </row>
    <row r="1189" spans="1:16" x14ac:dyDescent="0.25">
      <c r="A1189" s="2" t="s">
        <v>3419</v>
      </c>
      <c r="B1189" s="2" t="s">
        <v>136</v>
      </c>
      <c r="C1189" s="8">
        <v>46272</v>
      </c>
      <c r="D1189" s="6">
        <v>46266</v>
      </c>
      <c r="E1189" s="2" t="s">
        <v>260</v>
      </c>
      <c r="F1189" s="2" t="s">
        <v>3420</v>
      </c>
      <c r="G1189" s="6">
        <v>46235</v>
      </c>
      <c r="H1189" s="2" t="s">
        <v>176</v>
      </c>
      <c r="I1189" s="2" t="s">
        <v>70</v>
      </c>
      <c r="J1189" s="9">
        <v>21887.830769</v>
      </c>
      <c r="K1189" s="7">
        <v>0.65100000000000002</v>
      </c>
      <c r="L1189" s="9">
        <v>14248.98</v>
      </c>
      <c r="M1189" s="9">
        <v>14227.09</v>
      </c>
      <c r="N1189" s="9">
        <v>7.84</v>
      </c>
      <c r="O1189" s="10">
        <f>IF(AND(OR(H1189="APPROVED",H1189="SCHEDULED"),COUNTIFS(tblSource[EventID],F1189,tblSource[ReleaseStatus],"APPROVED")=1,COUNTIFS(Period_Status!$A$2:$A$8,G1189,Period_Status!$B$2:$B$8,"ActualClosed")=1,C1189&gt;EOMONTH(Settlement_Bridge!$C$2,0)),1,0)</f>
        <v>0</v>
      </c>
      <c r="P1189" s="2" t="s">
        <v>3421</v>
      </c>
    </row>
    <row r="1190" spans="1:16" x14ac:dyDescent="0.25">
      <c r="A1190" s="2" t="s">
        <v>3422</v>
      </c>
      <c r="B1190" s="2" t="s">
        <v>136</v>
      </c>
      <c r="C1190" s="8">
        <v>46273</v>
      </c>
      <c r="D1190" s="6">
        <v>46266</v>
      </c>
      <c r="E1190" s="2" t="s">
        <v>260</v>
      </c>
      <c r="F1190" s="2" t="s">
        <v>3423</v>
      </c>
      <c r="G1190" s="6">
        <v>46235</v>
      </c>
      <c r="H1190" s="2" t="s">
        <v>176</v>
      </c>
      <c r="I1190" s="2" t="s">
        <v>39</v>
      </c>
      <c r="J1190" s="9">
        <v>14400.1</v>
      </c>
      <c r="K1190" s="7">
        <v>1</v>
      </c>
      <c r="L1190" s="9">
        <v>14400.1</v>
      </c>
      <c r="M1190" s="9">
        <v>14400.1</v>
      </c>
      <c r="N1190" s="9">
        <v>7.92</v>
      </c>
      <c r="O1190" s="10">
        <f>IF(AND(OR(H1190="APPROVED",H1190="SCHEDULED"),COUNTIFS(tblSource[EventID],F1190,tblSource[ReleaseStatus],"APPROVED")=1,COUNTIFS(Period_Status!$A$2:$A$8,G1190,Period_Status!$B$2:$B$8,"ActualClosed")=1,C1190&gt;EOMONTH(Settlement_Bridge!$C$2,0)),1,0)</f>
        <v>0</v>
      </c>
      <c r="P1190" s="2" t="s">
        <v>3424</v>
      </c>
    </row>
    <row r="1191" spans="1:16" x14ac:dyDescent="0.25">
      <c r="A1191" s="2" t="s">
        <v>3425</v>
      </c>
      <c r="B1191" s="2" t="s">
        <v>136</v>
      </c>
      <c r="C1191" s="8">
        <v>46264</v>
      </c>
      <c r="D1191" s="6">
        <v>46235</v>
      </c>
      <c r="E1191" s="2" t="s">
        <v>260</v>
      </c>
      <c r="F1191" s="2" t="s">
        <v>3426</v>
      </c>
      <c r="G1191" s="6">
        <v>46235</v>
      </c>
      <c r="H1191" s="2" t="s">
        <v>71</v>
      </c>
      <c r="I1191" s="2" t="s">
        <v>76</v>
      </c>
      <c r="J1191" s="9">
        <v>94784455.284553006</v>
      </c>
      <c r="K1191" s="7">
        <v>6.1500000000000004E-5</v>
      </c>
      <c r="L1191" s="9">
        <v>5829.24</v>
      </c>
      <c r="M1191" s="9">
        <v>5829.24</v>
      </c>
      <c r="N1191" s="9">
        <v>3.21</v>
      </c>
      <c r="O1191" s="10">
        <f>IF(AND(OR(H1191="APPROVED",H1191="SCHEDULED"),COUNTIFS(tblSource[EventID],F1191,tblSource[ReleaseStatus],"APPROVED")=1,COUNTIFS(Period_Status!$A$2:$A$8,G1191,Period_Status!$B$2:$B$8,"ActualClosed")=1,C1191&gt;EOMONTH(Settlement_Bridge!$C$2,0)),1,0)</f>
        <v>0</v>
      </c>
      <c r="P1191" s="2" t="s">
        <v>3427</v>
      </c>
    </row>
    <row r="1192" spans="1:16" x14ac:dyDescent="0.25">
      <c r="A1192" s="2" t="s">
        <v>3428</v>
      </c>
      <c r="B1192" s="2" t="s">
        <v>136</v>
      </c>
      <c r="C1192" s="8">
        <v>46289</v>
      </c>
      <c r="D1192" s="6">
        <v>46266</v>
      </c>
      <c r="E1192" s="2" t="s">
        <v>260</v>
      </c>
      <c r="F1192" s="2" t="s">
        <v>3426</v>
      </c>
      <c r="G1192" s="6">
        <v>46235</v>
      </c>
      <c r="H1192" s="2" t="s">
        <v>176</v>
      </c>
      <c r="I1192" s="2" t="s">
        <v>76</v>
      </c>
      <c r="J1192" s="9">
        <v>142176682.92682901</v>
      </c>
      <c r="K1192" s="7">
        <v>6.1299999999999999E-5</v>
      </c>
      <c r="L1192" s="9">
        <v>8715.43</v>
      </c>
      <c r="M1192" s="9">
        <v>8743.8700000000008</v>
      </c>
      <c r="N1192" s="9">
        <v>4.79</v>
      </c>
      <c r="O1192" s="10">
        <f>IF(AND(OR(H1192="APPROVED",H1192="SCHEDULED"),COUNTIFS(tblSource[EventID],F1192,tblSource[ReleaseStatus],"APPROVED")=1,COUNTIFS(Period_Status!$A$2:$A$8,G1192,Period_Status!$B$2:$B$8,"ActualClosed")=1,C1192&gt;EOMONTH(Settlement_Bridge!$C$2,0)),1,0)</f>
        <v>0</v>
      </c>
      <c r="P1192" s="2" t="s">
        <v>3429</v>
      </c>
    </row>
    <row r="1193" spans="1:16" x14ac:dyDescent="0.25">
      <c r="A1193" s="2" t="s">
        <v>3430</v>
      </c>
      <c r="B1193" s="2" t="s">
        <v>136</v>
      </c>
      <c r="C1193" s="8">
        <v>46265</v>
      </c>
      <c r="D1193" s="6">
        <v>46235</v>
      </c>
      <c r="E1193" s="2" t="s">
        <v>260</v>
      </c>
      <c r="F1193" s="2" t="s">
        <v>3431</v>
      </c>
      <c r="G1193" s="6">
        <v>46235</v>
      </c>
      <c r="H1193" s="2" t="s">
        <v>71</v>
      </c>
      <c r="I1193" s="2" t="s">
        <v>70</v>
      </c>
      <c r="J1193" s="9">
        <v>9074.5353849999992</v>
      </c>
      <c r="K1193" s="7">
        <v>0.65</v>
      </c>
      <c r="L1193" s="9">
        <v>5898.45</v>
      </c>
      <c r="M1193" s="9">
        <v>5898.45</v>
      </c>
      <c r="N1193" s="9">
        <v>3.24</v>
      </c>
      <c r="O1193" s="10">
        <f>IF(AND(OR(H1193="APPROVED",H1193="SCHEDULED"),COUNTIFS(tblSource[EventID],F1193,tblSource[ReleaseStatus],"APPROVED")=1,COUNTIFS(Period_Status!$A$2:$A$8,G1193,Period_Status!$B$2:$B$8,"ActualClosed")=1,C1193&gt;EOMONTH(Settlement_Bridge!$C$2,0)),1,0)</f>
        <v>0</v>
      </c>
      <c r="P1193" s="2" t="s">
        <v>3432</v>
      </c>
    </row>
    <row r="1194" spans="1:16" x14ac:dyDescent="0.25">
      <c r="A1194" s="2" t="s">
        <v>3433</v>
      </c>
      <c r="B1194" s="2" t="s">
        <v>136</v>
      </c>
      <c r="C1194" s="8">
        <v>46290</v>
      </c>
      <c r="D1194" s="6">
        <v>46266</v>
      </c>
      <c r="E1194" s="2" t="s">
        <v>260</v>
      </c>
      <c r="F1194" s="2" t="s">
        <v>3431</v>
      </c>
      <c r="G1194" s="6">
        <v>46235</v>
      </c>
      <c r="H1194" s="2" t="s">
        <v>176</v>
      </c>
      <c r="I1194" s="2" t="s">
        <v>70</v>
      </c>
      <c r="J1194" s="9">
        <v>13611.803077</v>
      </c>
      <c r="K1194" s="7">
        <v>0.65100000000000002</v>
      </c>
      <c r="L1194" s="9">
        <v>8861.2800000000007</v>
      </c>
      <c r="M1194" s="9">
        <v>8847.67</v>
      </c>
      <c r="N1194" s="9">
        <v>4.87</v>
      </c>
      <c r="O1194" s="10">
        <f>IF(AND(OR(H1194="APPROVED",H1194="SCHEDULED"),COUNTIFS(tblSource[EventID],F1194,tblSource[ReleaseStatus],"APPROVED")=1,COUNTIFS(Period_Status!$A$2:$A$8,G1194,Period_Status!$B$2:$B$8,"ActualClosed")=1,C1194&gt;EOMONTH(Settlement_Bridge!$C$2,0)),1,0)</f>
        <v>0</v>
      </c>
      <c r="P1194" s="2" t="s">
        <v>3434</v>
      </c>
    </row>
    <row r="1195" spans="1:16" x14ac:dyDescent="0.25">
      <c r="A1195" s="2" t="s">
        <v>3435</v>
      </c>
      <c r="B1195" s="2" t="s">
        <v>136</v>
      </c>
      <c r="C1195" s="8">
        <v>46276</v>
      </c>
      <c r="D1195" s="6">
        <v>46266</v>
      </c>
      <c r="E1195" s="2" t="s">
        <v>260</v>
      </c>
      <c r="F1195" s="2" t="s">
        <v>3436</v>
      </c>
      <c r="G1195" s="6">
        <v>46235</v>
      </c>
      <c r="H1195" s="2" t="s">
        <v>176</v>
      </c>
      <c r="I1195" s="2" t="s">
        <v>39</v>
      </c>
      <c r="J1195" s="9">
        <v>919.13</v>
      </c>
      <c r="K1195" s="7">
        <v>1</v>
      </c>
      <c r="L1195" s="9">
        <v>919.13</v>
      </c>
      <c r="M1195" s="9">
        <v>919.13</v>
      </c>
      <c r="N1195" s="9">
        <v>1.8</v>
      </c>
      <c r="O1195" s="10">
        <f>IF(AND(OR(H1195="APPROVED",H1195="SCHEDULED"),COUNTIFS(tblSource[EventID],F1195,tblSource[ReleaseStatus],"APPROVED")=1,COUNTIFS(Period_Status!$A$2:$A$8,G1195,Period_Status!$B$2:$B$8,"ActualClosed")=1,C1195&gt;EOMONTH(Settlement_Bridge!$C$2,0)),1,0)</f>
        <v>0</v>
      </c>
      <c r="P1195" s="2" t="s">
        <v>3437</v>
      </c>
    </row>
    <row r="1196" spans="1:16" x14ac:dyDescent="0.25">
      <c r="A1196" s="2" t="s">
        <v>3438</v>
      </c>
      <c r="B1196" s="2" t="s">
        <v>136</v>
      </c>
      <c r="C1196" s="8">
        <v>46277</v>
      </c>
      <c r="D1196" s="6">
        <v>46266</v>
      </c>
      <c r="E1196" s="2" t="s">
        <v>260</v>
      </c>
      <c r="F1196" s="2" t="s">
        <v>3439</v>
      </c>
      <c r="G1196" s="6">
        <v>46235</v>
      </c>
      <c r="H1196" s="2" t="s">
        <v>176</v>
      </c>
      <c r="I1196" s="2" t="s">
        <v>76</v>
      </c>
      <c r="J1196" s="9">
        <v>17758373.983739998</v>
      </c>
      <c r="K1196" s="7">
        <v>6.1299999999999999E-5</v>
      </c>
      <c r="L1196" s="9">
        <v>1088.5899999999999</v>
      </c>
      <c r="M1196" s="9">
        <v>1092.1400000000001</v>
      </c>
      <c r="N1196" s="9">
        <v>1.8</v>
      </c>
      <c r="O1196" s="10">
        <f>IF(AND(OR(H1196="APPROVED",H1196="SCHEDULED"),COUNTIFS(tblSource[EventID],F1196,tblSource[ReleaseStatus],"APPROVED")=1,COUNTIFS(Period_Status!$A$2:$A$8,G1196,Period_Status!$B$2:$B$8,"ActualClosed")=1,C1196&gt;EOMONTH(Settlement_Bridge!$C$2,0)),1,0)</f>
        <v>0</v>
      </c>
      <c r="P1196" s="2" t="s">
        <v>3440</v>
      </c>
    </row>
    <row r="1197" spans="1:16" x14ac:dyDescent="0.25">
      <c r="A1197" s="2" t="s">
        <v>3441</v>
      </c>
      <c r="B1197" s="2" t="s">
        <v>136</v>
      </c>
      <c r="C1197" s="8">
        <v>46268</v>
      </c>
      <c r="D1197" s="6">
        <v>46266</v>
      </c>
      <c r="E1197" s="2" t="s">
        <v>260</v>
      </c>
      <c r="F1197" s="2" t="s">
        <v>3442</v>
      </c>
      <c r="G1197" s="6">
        <v>46235</v>
      </c>
      <c r="H1197" s="2" t="s">
        <v>176</v>
      </c>
      <c r="I1197" s="2" t="s">
        <v>70</v>
      </c>
      <c r="J1197" s="9">
        <v>778.55384600000002</v>
      </c>
      <c r="K1197" s="7">
        <v>0.65100000000000002</v>
      </c>
      <c r="L1197" s="9">
        <v>506.84</v>
      </c>
      <c r="M1197" s="9">
        <v>506.06</v>
      </c>
      <c r="N1197" s="9">
        <v>1.8</v>
      </c>
      <c r="O1197" s="10">
        <f>IF(AND(OR(H1197="APPROVED",H1197="SCHEDULED"),COUNTIFS(tblSource[EventID],F1197,tblSource[ReleaseStatus],"APPROVED")=1,COUNTIFS(Period_Status!$A$2:$A$8,G1197,Period_Status!$B$2:$B$8,"ActualClosed")=1,C1197&gt;EOMONTH(Settlement_Bridge!$C$2,0)),1,0)</f>
        <v>0</v>
      </c>
      <c r="P1197" s="2" t="s">
        <v>3443</v>
      </c>
    </row>
    <row r="1198" spans="1:16" x14ac:dyDescent="0.25">
      <c r="A1198" s="2" t="s">
        <v>3444</v>
      </c>
      <c r="B1198" s="2" t="s">
        <v>136</v>
      </c>
      <c r="C1198" s="8">
        <v>46293</v>
      </c>
      <c r="D1198" s="6">
        <v>46266</v>
      </c>
      <c r="E1198" s="2" t="s">
        <v>260</v>
      </c>
      <c r="F1198" s="2" t="s">
        <v>3442</v>
      </c>
      <c r="G1198" s="6">
        <v>46235</v>
      </c>
      <c r="H1198" s="2" t="s">
        <v>176</v>
      </c>
      <c r="I1198" s="2" t="s">
        <v>70</v>
      </c>
      <c r="J1198" s="9">
        <v>1167.8307689999999</v>
      </c>
      <c r="K1198" s="7">
        <v>0.65100000000000002</v>
      </c>
      <c r="L1198" s="9">
        <v>760.26</v>
      </c>
      <c r="M1198" s="9">
        <v>759.09</v>
      </c>
      <c r="N1198" s="9">
        <v>1.8</v>
      </c>
      <c r="O1198" s="10">
        <f>IF(AND(OR(H1198="APPROVED",H1198="SCHEDULED"),COUNTIFS(tblSource[EventID],F1198,tblSource[ReleaseStatus],"APPROVED")=1,COUNTIFS(Period_Status!$A$2:$A$8,G1198,Period_Status!$B$2:$B$8,"ActualClosed")=1,C1198&gt;EOMONTH(Settlement_Bridge!$C$2,0)),1,0)</f>
        <v>0</v>
      </c>
      <c r="P1198" s="2" t="s">
        <v>3445</v>
      </c>
    </row>
    <row r="1199" spans="1:16" x14ac:dyDescent="0.25">
      <c r="A1199" s="2" t="s">
        <v>3446</v>
      </c>
      <c r="B1199" s="2" t="s">
        <v>136</v>
      </c>
      <c r="C1199" s="8">
        <v>46279</v>
      </c>
      <c r="D1199" s="6">
        <v>46266</v>
      </c>
      <c r="E1199" s="2" t="s">
        <v>260</v>
      </c>
      <c r="F1199" s="2" t="s">
        <v>3447</v>
      </c>
      <c r="G1199" s="6">
        <v>46235</v>
      </c>
      <c r="H1199" s="2" t="s">
        <v>176</v>
      </c>
      <c r="I1199" s="2" t="s">
        <v>39</v>
      </c>
      <c r="J1199" s="9">
        <v>1438.16</v>
      </c>
      <c r="K1199" s="7">
        <v>1</v>
      </c>
      <c r="L1199" s="9">
        <v>1438.16</v>
      </c>
      <c r="M1199" s="9">
        <v>1438.16</v>
      </c>
      <c r="N1199" s="9">
        <v>1.8</v>
      </c>
      <c r="O1199" s="10">
        <f>IF(AND(OR(H1199="APPROVED",H1199="SCHEDULED"),COUNTIFS(tblSource[EventID],F1199,tblSource[ReleaseStatus],"APPROVED")=1,COUNTIFS(Period_Status!$A$2:$A$8,G1199,Period_Status!$B$2:$B$8,"ActualClosed")=1,C1199&gt;EOMONTH(Settlement_Bridge!$C$2,0)),1,0)</f>
        <v>0</v>
      </c>
      <c r="P1199" s="2" t="s">
        <v>3448</v>
      </c>
    </row>
    <row r="1200" spans="1:16" x14ac:dyDescent="0.25">
      <c r="A1200" s="2" t="s">
        <v>3449</v>
      </c>
      <c r="B1200" s="2" t="s">
        <v>136</v>
      </c>
      <c r="C1200" s="8">
        <v>46280</v>
      </c>
      <c r="D1200" s="6">
        <v>46266</v>
      </c>
      <c r="E1200" s="2" t="s">
        <v>260</v>
      </c>
      <c r="F1200" s="2" t="s">
        <v>3450</v>
      </c>
      <c r="G1200" s="6">
        <v>46235</v>
      </c>
      <c r="H1200" s="2" t="s">
        <v>176</v>
      </c>
      <c r="I1200" s="2" t="s">
        <v>76</v>
      </c>
      <c r="J1200" s="9">
        <v>26197886.178862002</v>
      </c>
      <c r="K1200" s="7">
        <v>6.1299999999999999E-5</v>
      </c>
      <c r="L1200" s="9">
        <v>1605.93</v>
      </c>
      <c r="M1200" s="9">
        <v>1611.17</v>
      </c>
      <c r="N1200" s="9">
        <v>1.8</v>
      </c>
      <c r="O1200" s="10">
        <f>IF(AND(OR(H1200="APPROVED",H1200="SCHEDULED"),COUNTIFS(tblSource[EventID],F1200,tblSource[ReleaseStatus],"APPROVED")=1,COUNTIFS(Period_Status!$A$2:$A$8,G1200,Period_Status!$B$2:$B$8,"ActualClosed")=1,C1200&gt;EOMONTH(Settlement_Bridge!$C$2,0)),1,0)</f>
        <v>0</v>
      </c>
      <c r="P1200" s="2" t="s">
        <v>3451</v>
      </c>
    </row>
    <row r="1201" spans="1:16" x14ac:dyDescent="0.25">
      <c r="A1201" s="2" t="s">
        <v>3452</v>
      </c>
      <c r="B1201" s="2" t="s">
        <v>136</v>
      </c>
      <c r="C1201" s="8">
        <v>46281</v>
      </c>
      <c r="D1201" s="6">
        <v>46266</v>
      </c>
      <c r="E1201" s="2" t="s">
        <v>260</v>
      </c>
      <c r="F1201" s="2" t="s">
        <v>3453</v>
      </c>
      <c r="G1201" s="6">
        <v>46235</v>
      </c>
      <c r="H1201" s="2" t="s">
        <v>176</v>
      </c>
      <c r="I1201" s="2" t="s">
        <v>70</v>
      </c>
      <c r="J1201" s="9">
        <v>2744.892308</v>
      </c>
      <c r="K1201" s="7">
        <v>0.65100000000000002</v>
      </c>
      <c r="L1201" s="9">
        <v>1786.92</v>
      </c>
      <c r="M1201" s="9">
        <v>1784.18</v>
      </c>
      <c r="N1201" s="9">
        <v>1.8</v>
      </c>
      <c r="O1201" s="10">
        <f>IF(AND(OR(H1201="APPROVED",H1201="SCHEDULED"),COUNTIFS(tblSource[EventID],F1201,tblSource[ReleaseStatus],"APPROVED")=1,COUNTIFS(Period_Status!$A$2:$A$8,G1201,Period_Status!$B$2:$B$8,"ActualClosed")=1,C1201&gt;EOMONTH(Settlement_Bridge!$C$2,0)),1,0)</f>
        <v>0</v>
      </c>
      <c r="P1201" s="2" t="s">
        <v>3454</v>
      </c>
    </row>
    <row r="1202" spans="1:16" x14ac:dyDescent="0.25">
      <c r="A1202" s="2" t="s">
        <v>3455</v>
      </c>
      <c r="B1202" s="2" t="s">
        <v>136</v>
      </c>
      <c r="C1202" s="8">
        <v>46282</v>
      </c>
      <c r="D1202" s="6">
        <v>46266</v>
      </c>
      <c r="E1202" s="2" t="s">
        <v>260</v>
      </c>
      <c r="F1202" s="2" t="s">
        <v>3456</v>
      </c>
      <c r="G1202" s="6">
        <v>46235</v>
      </c>
      <c r="H1202" s="2" t="s">
        <v>176</v>
      </c>
      <c r="I1202" s="2" t="s">
        <v>39</v>
      </c>
      <c r="J1202" s="9">
        <v>1957.19</v>
      </c>
      <c r="K1202" s="7">
        <v>1</v>
      </c>
      <c r="L1202" s="9">
        <v>1957.19</v>
      </c>
      <c r="M1202" s="9">
        <v>1957.19</v>
      </c>
      <c r="N1202" s="9">
        <v>1.8</v>
      </c>
      <c r="O1202" s="10">
        <f>IF(AND(OR(H1202="APPROVED",H1202="SCHEDULED"),COUNTIFS(tblSource[EventID],F1202,tblSource[ReleaseStatus],"APPROVED")=1,COUNTIFS(Period_Status!$A$2:$A$8,G1202,Period_Status!$B$2:$B$8,"ActualClosed")=1,C1202&gt;EOMONTH(Settlement_Bridge!$C$2,0)),1,0)</f>
        <v>0</v>
      </c>
      <c r="P1202" s="2" t="s">
        <v>3457</v>
      </c>
    </row>
    <row r="1203" spans="1:16" x14ac:dyDescent="0.25">
      <c r="A1203" s="2" t="s">
        <v>3458</v>
      </c>
      <c r="B1203" s="2" t="s">
        <v>136</v>
      </c>
      <c r="C1203" s="8">
        <v>46283</v>
      </c>
      <c r="D1203" s="6">
        <v>46266</v>
      </c>
      <c r="E1203" s="2" t="s">
        <v>260</v>
      </c>
      <c r="F1203" s="2" t="s">
        <v>3459</v>
      </c>
      <c r="G1203" s="6">
        <v>46235</v>
      </c>
      <c r="H1203" s="2" t="s">
        <v>176</v>
      </c>
      <c r="I1203" s="2" t="s">
        <v>76</v>
      </c>
      <c r="J1203" s="9">
        <v>34637398.373984002</v>
      </c>
      <c r="K1203" s="7">
        <v>6.1299999999999999E-5</v>
      </c>
      <c r="L1203" s="9">
        <v>2123.27</v>
      </c>
      <c r="M1203" s="9">
        <v>2130.1999999999998</v>
      </c>
      <c r="N1203" s="9">
        <v>1.8</v>
      </c>
      <c r="O1203" s="10">
        <f>IF(AND(OR(H1203="APPROVED",H1203="SCHEDULED"),COUNTIFS(tblSource[EventID],F1203,tblSource[ReleaseStatus],"APPROVED")=1,COUNTIFS(Period_Status!$A$2:$A$8,G1203,Period_Status!$B$2:$B$8,"ActualClosed")=1,C1203&gt;EOMONTH(Settlement_Bridge!$C$2,0)),1,0)</f>
        <v>0</v>
      </c>
      <c r="P1203" s="2" t="s">
        <v>3460</v>
      </c>
    </row>
    <row r="1204" spans="1:16" x14ac:dyDescent="0.25">
      <c r="A1204" s="2" t="s">
        <v>3461</v>
      </c>
      <c r="B1204" s="2" t="s">
        <v>136</v>
      </c>
      <c r="C1204" s="8">
        <v>46274</v>
      </c>
      <c r="D1204" s="6">
        <v>46266</v>
      </c>
      <c r="E1204" s="2" t="s">
        <v>260</v>
      </c>
      <c r="F1204" s="2" t="s">
        <v>3462</v>
      </c>
      <c r="G1204" s="6">
        <v>46235</v>
      </c>
      <c r="H1204" s="2" t="s">
        <v>176</v>
      </c>
      <c r="I1204" s="2" t="s">
        <v>70</v>
      </c>
      <c r="J1204" s="9">
        <v>1417.36</v>
      </c>
      <c r="K1204" s="7">
        <v>0.65100000000000002</v>
      </c>
      <c r="L1204" s="9">
        <v>922.7</v>
      </c>
      <c r="M1204" s="9">
        <v>921.28</v>
      </c>
      <c r="N1204" s="9">
        <v>1.8</v>
      </c>
      <c r="O1204" s="10">
        <f>IF(AND(OR(H1204="APPROVED",H1204="SCHEDULED"),COUNTIFS(tblSource[EventID],F1204,tblSource[ReleaseStatus],"APPROVED")=1,COUNTIFS(Period_Status!$A$2:$A$8,G1204,Period_Status!$B$2:$B$8,"ActualClosed")=1,C1204&gt;EOMONTH(Settlement_Bridge!$C$2,0)),1,0)</f>
        <v>0</v>
      </c>
      <c r="P1204" s="2" t="s">
        <v>3463</v>
      </c>
    </row>
    <row r="1205" spans="1:16" x14ac:dyDescent="0.25">
      <c r="A1205" s="2" t="s">
        <v>3464</v>
      </c>
      <c r="B1205" s="2" t="s">
        <v>136</v>
      </c>
      <c r="C1205" s="8">
        <v>46299</v>
      </c>
      <c r="D1205" s="6">
        <v>46296</v>
      </c>
      <c r="E1205" s="2" t="s">
        <v>260</v>
      </c>
      <c r="F1205" s="2" t="s">
        <v>3462</v>
      </c>
      <c r="G1205" s="6">
        <v>46235</v>
      </c>
      <c r="H1205" s="2" t="s">
        <v>176</v>
      </c>
      <c r="I1205" s="2" t="s">
        <v>70</v>
      </c>
      <c r="J1205" s="9">
        <v>2126.04</v>
      </c>
      <c r="K1205" s="7">
        <v>0.65500000000000003</v>
      </c>
      <c r="L1205" s="9">
        <v>1392.56</v>
      </c>
      <c r="M1205" s="9">
        <v>1381.93</v>
      </c>
      <c r="N1205" s="9">
        <v>1.8</v>
      </c>
      <c r="O1205" s="10">
        <f>IF(AND(OR(H1205="APPROVED",H1205="SCHEDULED"),COUNTIFS(tblSource[EventID],F1205,tblSource[ReleaseStatus],"APPROVED")=1,COUNTIFS(Period_Status!$A$2:$A$8,G1205,Period_Status!$B$2:$B$8,"ActualClosed")=1,C1205&gt;EOMONTH(Settlement_Bridge!$C$2,0)),1,0)</f>
        <v>0</v>
      </c>
      <c r="P1205" s="2" t="s">
        <v>3465</v>
      </c>
    </row>
    <row r="1206" spans="1:16" x14ac:dyDescent="0.25">
      <c r="A1206" s="2" t="s">
        <v>3466</v>
      </c>
      <c r="B1206" s="2" t="s">
        <v>136</v>
      </c>
      <c r="C1206" s="8">
        <v>46275</v>
      </c>
      <c r="D1206" s="6">
        <v>46266</v>
      </c>
      <c r="E1206" s="2" t="s">
        <v>260</v>
      </c>
      <c r="F1206" s="2" t="s">
        <v>3467</v>
      </c>
      <c r="G1206" s="6">
        <v>46235</v>
      </c>
      <c r="H1206" s="2" t="s">
        <v>176</v>
      </c>
      <c r="I1206" s="2" t="s">
        <v>39</v>
      </c>
      <c r="J1206" s="9">
        <v>990.48800000000006</v>
      </c>
      <c r="K1206" s="7">
        <v>1</v>
      </c>
      <c r="L1206" s="9">
        <v>990.49</v>
      </c>
      <c r="M1206" s="9">
        <v>990.49</v>
      </c>
      <c r="N1206" s="9">
        <v>1.8</v>
      </c>
      <c r="O1206" s="10">
        <f>IF(AND(OR(H1206="APPROVED",H1206="SCHEDULED"),COUNTIFS(tblSource[EventID],F1206,tblSource[ReleaseStatus],"APPROVED")=1,COUNTIFS(Period_Status!$A$2:$A$8,G1206,Period_Status!$B$2:$B$8,"ActualClosed")=1,C1206&gt;EOMONTH(Settlement_Bridge!$C$2,0)),1,0)</f>
        <v>0</v>
      </c>
      <c r="P1206" s="2" t="s">
        <v>3468</v>
      </c>
    </row>
    <row r="1207" spans="1:16" x14ac:dyDescent="0.25">
      <c r="A1207" s="2" t="s">
        <v>3469</v>
      </c>
      <c r="B1207" s="2" t="s">
        <v>136</v>
      </c>
      <c r="C1207" s="8">
        <v>46300</v>
      </c>
      <c r="D1207" s="6">
        <v>46296</v>
      </c>
      <c r="E1207" s="2" t="s">
        <v>260</v>
      </c>
      <c r="F1207" s="2" t="s">
        <v>3467</v>
      </c>
      <c r="G1207" s="6">
        <v>46235</v>
      </c>
      <c r="H1207" s="2" t="s">
        <v>176</v>
      </c>
      <c r="I1207" s="2" t="s">
        <v>39</v>
      </c>
      <c r="J1207" s="9">
        <v>1485.732</v>
      </c>
      <c r="K1207" s="7">
        <v>1</v>
      </c>
      <c r="L1207" s="9">
        <v>1485.73</v>
      </c>
      <c r="M1207" s="9">
        <v>1485.73</v>
      </c>
      <c r="N1207" s="9">
        <v>1.8</v>
      </c>
      <c r="O1207" s="10">
        <f>IF(AND(OR(H1207="APPROVED",H1207="SCHEDULED"),COUNTIFS(tblSource[EventID],F1207,tblSource[ReleaseStatus],"APPROVED")=1,COUNTIFS(Period_Status!$A$2:$A$8,G1207,Period_Status!$B$2:$B$8,"ActualClosed")=1,C1207&gt;EOMONTH(Settlement_Bridge!$C$2,0)),1,0)</f>
        <v>0</v>
      </c>
      <c r="P1207" s="2" t="s">
        <v>3470</v>
      </c>
    </row>
    <row r="1208" spans="1:16" x14ac:dyDescent="0.25">
      <c r="A1208" s="2" t="s">
        <v>3471</v>
      </c>
      <c r="B1208" s="2" t="s">
        <v>136</v>
      </c>
      <c r="C1208" s="8">
        <v>46286</v>
      </c>
      <c r="D1208" s="6">
        <v>46266</v>
      </c>
      <c r="E1208" s="2" t="s">
        <v>260</v>
      </c>
      <c r="F1208" s="2" t="s">
        <v>3472</v>
      </c>
      <c r="G1208" s="6">
        <v>46235</v>
      </c>
      <c r="H1208" s="2" t="s">
        <v>176</v>
      </c>
      <c r="I1208" s="2" t="s">
        <v>76</v>
      </c>
      <c r="J1208" s="9">
        <v>43076910.569105998</v>
      </c>
      <c r="K1208" s="7">
        <v>6.1299999999999999E-5</v>
      </c>
      <c r="L1208" s="9">
        <v>2640.61</v>
      </c>
      <c r="M1208" s="9">
        <v>2649.23</v>
      </c>
      <c r="N1208" s="9">
        <v>1.8</v>
      </c>
      <c r="O1208" s="10">
        <f>IF(AND(OR(H1208="APPROVED",H1208="SCHEDULED"),COUNTIFS(tblSource[EventID],F1208,tblSource[ReleaseStatus],"APPROVED")=1,COUNTIFS(Period_Status!$A$2:$A$8,G1208,Period_Status!$B$2:$B$8,"ActualClosed")=1,C1208&gt;EOMONTH(Settlement_Bridge!$C$2,0)),1,0)</f>
        <v>0</v>
      </c>
      <c r="P1208" s="2" t="s">
        <v>3473</v>
      </c>
    </row>
    <row r="1209" spans="1:16" x14ac:dyDescent="0.25">
      <c r="A1209" s="2" t="s">
        <v>3474</v>
      </c>
      <c r="B1209" s="2" t="s">
        <v>136</v>
      </c>
      <c r="C1209" s="8">
        <v>46287</v>
      </c>
      <c r="D1209" s="6">
        <v>46266</v>
      </c>
      <c r="E1209" s="2" t="s">
        <v>260</v>
      </c>
      <c r="F1209" s="2" t="s">
        <v>3475</v>
      </c>
      <c r="G1209" s="6">
        <v>46235</v>
      </c>
      <c r="H1209" s="2" t="s">
        <v>176</v>
      </c>
      <c r="I1209" s="2" t="s">
        <v>70</v>
      </c>
      <c r="J1209" s="9">
        <v>4341.9076919999998</v>
      </c>
      <c r="K1209" s="7">
        <v>0.65100000000000002</v>
      </c>
      <c r="L1209" s="9">
        <v>2826.58</v>
      </c>
      <c r="M1209" s="9">
        <v>2822.24</v>
      </c>
      <c r="N1209" s="9">
        <v>1.8</v>
      </c>
      <c r="O1209" s="10">
        <f>IF(AND(OR(H1209="APPROVED",H1209="SCHEDULED"),COUNTIFS(tblSource[EventID],F1209,tblSource[ReleaseStatus],"APPROVED")=1,COUNTIFS(Period_Status!$A$2:$A$8,G1209,Period_Status!$B$2:$B$8,"ActualClosed")=1,C1209&gt;EOMONTH(Settlement_Bridge!$C$2,0)),1,0)</f>
        <v>0</v>
      </c>
      <c r="P1209" s="2" t="s">
        <v>3476</v>
      </c>
    </row>
    <row r="1210" spans="1:16" x14ac:dyDescent="0.25">
      <c r="A1210" s="2" t="s">
        <v>3477</v>
      </c>
      <c r="B1210" s="2" t="s">
        <v>136</v>
      </c>
      <c r="C1210" s="8">
        <v>46278</v>
      </c>
      <c r="D1210" s="6">
        <v>46266</v>
      </c>
      <c r="E1210" s="2" t="s">
        <v>260</v>
      </c>
      <c r="F1210" s="2" t="s">
        <v>3478</v>
      </c>
      <c r="G1210" s="6">
        <v>46235</v>
      </c>
      <c r="H1210" s="2" t="s">
        <v>176</v>
      </c>
      <c r="I1210" s="2" t="s">
        <v>39</v>
      </c>
      <c r="J1210" s="9">
        <v>1198.0999999999999</v>
      </c>
      <c r="K1210" s="7">
        <v>1</v>
      </c>
      <c r="L1210" s="9">
        <v>1198.0999999999999</v>
      </c>
      <c r="M1210" s="9">
        <v>1198.0999999999999</v>
      </c>
      <c r="N1210" s="9">
        <v>1.8</v>
      </c>
      <c r="O1210" s="10">
        <f>IF(AND(OR(H1210="APPROVED",H1210="SCHEDULED"),COUNTIFS(tblSource[EventID],F1210,tblSource[ReleaseStatus],"APPROVED")=1,COUNTIFS(Period_Status!$A$2:$A$8,G1210,Period_Status!$B$2:$B$8,"ActualClosed")=1,C1210&gt;EOMONTH(Settlement_Bridge!$C$2,0)),1,0)</f>
        <v>0</v>
      </c>
      <c r="P1210" s="2" t="s">
        <v>3479</v>
      </c>
    </row>
    <row r="1211" spans="1:16" x14ac:dyDescent="0.25">
      <c r="A1211" s="2" t="s">
        <v>3480</v>
      </c>
      <c r="B1211" s="2" t="s">
        <v>136</v>
      </c>
      <c r="C1211" s="8">
        <v>46303</v>
      </c>
      <c r="D1211" s="6">
        <v>46296</v>
      </c>
      <c r="E1211" s="2" t="s">
        <v>260</v>
      </c>
      <c r="F1211" s="2" t="s">
        <v>3478</v>
      </c>
      <c r="G1211" s="6">
        <v>46235</v>
      </c>
      <c r="H1211" s="2" t="s">
        <v>176</v>
      </c>
      <c r="I1211" s="2" t="s">
        <v>39</v>
      </c>
      <c r="J1211" s="9">
        <v>1797.15</v>
      </c>
      <c r="K1211" s="7">
        <v>1</v>
      </c>
      <c r="L1211" s="9">
        <v>1797.15</v>
      </c>
      <c r="M1211" s="9">
        <v>1797.15</v>
      </c>
      <c r="N1211" s="9">
        <v>1.8</v>
      </c>
      <c r="O1211" s="10">
        <f>IF(AND(OR(H1211="APPROVED",H1211="SCHEDULED"),COUNTIFS(tblSource[EventID],F1211,tblSource[ReleaseStatus],"APPROVED")=1,COUNTIFS(Period_Status!$A$2:$A$8,G1211,Period_Status!$B$2:$B$8,"ActualClosed")=1,C1211&gt;EOMONTH(Settlement_Bridge!$C$2,0)),1,0)</f>
        <v>0</v>
      </c>
      <c r="P1211" s="2" t="s">
        <v>3481</v>
      </c>
    </row>
    <row r="1212" spans="1:16" x14ac:dyDescent="0.25">
      <c r="A1212" s="2" t="s">
        <v>3482</v>
      </c>
      <c r="B1212" s="2" t="s">
        <v>136</v>
      </c>
      <c r="C1212" s="8">
        <v>46289</v>
      </c>
      <c r="D1212" s="6">
        <v>46266</v>
      </c>
      <c r="E1212" s="2" t="s">
        <v>260</v>
      </c>
      <c r="F1212" s="2" t="s">
        <v>3483</v>
      </c>
      <c r="G1212" s="6">
        <v>46235</v>
      </c>
      <c r="H1212" s="2" t="s">
        <v>176</v>
      </c>
      <c r="I1212" s="2" t="s">
        <v>76</v>
      </c>
      <c r="J1212" s="9">
        <v>51516422.764228001</v>
      </c>
      <c r="K1212" s="7">
        <v>6.1299999999999999E-5</v>
      </c>
      <c r="L1212" s="9">
        <v>3157.96</v>
      </c>
      <c r="M1212" s="9">
        <v>3168.26</v>
      </c>
      <c r="N1212" s="9">
        <v>1.8</v>
      </c>
      <c r="O1212" s="10">
        <f>IF(AND(OR(H1212="APPROVED",H1212="SCHEDULED"),COUNTIFS(tblSource[EventID],F1212,tblSource[ReleaseStatus],"APPROVED")=1,COUNTIFS(Period_Status!$A$2:$A$8,G1212,Period_Status!$B$2:$B$8,"ActualClosed")=1,C1212&gt;EOMONTH(Settlement_Bridge!$C$2,0)),1,0)</f>
        <v>0</v>
      </c>
      <c r="P1212" s="2" t="s">
        <v>3484</v>
      </c>
    </row>
    <row r="1213" spans="1:16" x14ac:dyDescent="0.25">
      <c r="A1213" s="2" t="s">
        <v>3485</v>
      </c>
      <c r="B1213" s="2" t="s">
        <v>136</v>
      </c>
      <c r="C1213" s="8">
        <v>46259</v>
      </c>
      <c r="D1213" s="6">
        <v>46235</v>
      </c>
      <c r="E1213" s="2" t="s">
        <v>260</v>
      </c>
      <c r="F1213" s="2" t="s">
        <v>3486</v>
      </c>
      <c r="G1213" s="6">
        <v>46235</v>
      </c>
      <c r="H1213" s="2" t="s">
        <v>71</v>
      </c>
      <c r="I1213" s="2" t="s">
        <v>70</v>
      </c>
      <c r="J1213" s="9">
        <v>5140.4153850000002</v>
      </c>
      <c r="K1213" s="7">
        <v>0.65</v>
      </c>
      <c r="L1213" s="9">
        <v>3341.27</v>
      </c>
      <c r="M1213" s="9">
        <v>3341.27</v>
      </c>
      <c r="N1213" s="9">
        <v>1.84</v>
      </c>
      <c r="O1213" s="10">
        <f>IF(AND(OR(H1213="APPROVED",H1213="SCHEDULED"),COUNTIFS(tblSource[EventID],F1213,tblSource[ReleaseStatus],"APPROVED")=1,COUNTIFS(Period_Status!$A$2:$A$8,G1213,Period_Status!$B$2:$B$8,"ActualClosed")=1,C1213&gt;EOMONTH(Settlement_Bridge!$C$2,0)),1,0)</f>
        <v>0</v>
      </c>
      <c r="P1213" s="2" t="s">
        <v>3487</v>
      </c>
    </row>
    <row r="1214" spans="1:16" x14ac:dyDescent="0.25">
      <c r="A1214" s="2" t="s">
        <v>3488</v>
      </c>
      <c r="B1214" s="2" t="s">
        <v>136</v>
      </c>
      <c r="C1214" s="8">
        <v>46260</v>
      </c>
      <c r="D1214" s="6">
        <v>46235</v>
      </c>
      <c r="E1214" s="2" t="s">
        <v>260</v>
      </c>
      <c r="F1214" s="2" t="s">
        <v>3489</v>
      </c>
      <c r="G1214" s="6">
        <v>46235</v>
      </c>
      <c r="H1214" s="2" t="s">
        <v>71</v>
      </c>
      <c r="I1214" s="2" t="s">
        <v>39</v>
      </c>
      <c r="J1214" s="9">
        <v>3514.28</v>
      </c>
      <c r="K1214" s="7">
        <v>1</v>
      </c>
      <c r="L1214" s="9">
        <v>3514.28</v>
      </c>
      <c r="M1214" s="9">
        <v>3514.28</v>
      </c>
      <c r="N1214" s="9">
        <v>1.93</v>
      </c>
      <c r="O1214" s="10">
        <f>IF(AND(OR(H1214="APPROVED",H1214="SCHEDULED"),COUNTIFS(tblSource[EventID],F1214,tblSource[ReleaseStatus],"APPROVED")=1,COUNTIFS(Period_Status!$A$2:$A$8,G1214,Period_Status!$B$2:$B$8,"ActualClosed")=1,C1214&gt;EOMONTH(Settlement_Bridge!$C$2,0)),1,0)</f>
        <v>0</v>
      </c>
      <c r="P1214" s="2" t="s">
        <v>3490</v>
      </c>
    </row>
    <row r="1215" spans="1:16" x14ac:dyDescent="0.25">
      <c r="A1215" s="2" t="s">
        <v>3491</v>
      </c>
      <c r="B1215" s="2" t="s">
        <v>136</v>
      </c>
      <c r="C1215" s="8">
        <v>46261</v>
      </c>
      <c r="D1215" s="6">
        <v>46235</v>
      </c>
      <c r="E1215" s="2" t="s">
        <v>260</v>
      </c>
      <c r="F1215" s="2" t="s">
        <v>3492</v>
      </c>
      <c r="G1215" s="6">
        <v>46235</v>
      </c>
      <c r="H1215" s="2" t="s">
        <v>71</v>
      </c>
      <c r="I1215" s="2" t="s">
        <v>76</v>
      </c>
      <c r="J1215" s="9">
        <v>-59955934.959349997</v>
      </c>
      <c r="K1215" s="7">
        <v>6.1500000000000004E-5</v>
      </c>
      <c r="L1215" s="9">
        <v>-3687.29</v>
      </c>
      <c r="M1215" s="9">
        <v>-3687.29</v>
      </c>
      <c r="N1215" s="9">
        <v>0</v>
      </c>
      <c r="O1215" s="10">
        <f>IF(AND(OR(H1215="APPROVED",H1215="SCHEDULED"),COUNTIFS(tblSource[EventID],F1215,tblSource[ReleaseStatus],"APPROVED")=1,COUNTIFS(Period_Status!$A$2:$A$8,G1215,Period_Status!$B$2:$B$8,"ActualClosed")=1,C1215&gt;EOMONTH(Settlement_Bridge!$C$2,0)),1,0)</f>
        <v>0</v>
      </c>
      <c r="P1215" s="2" t="s">
        <v>3493</v>
      </c>
    </row>
    <row r="1216" spans="1:16" x14ac:dyDescent="0.25">
      <c r="A1216" s="2" t="s">
        <v>3494</v>
      </c>
      <c r="B1216" s="2" t="s">
        <v>136</v>
      </c>
      <c r="C1216" s="8">
        <v>46262</v>
      </c>
      <c r="D1216" s="6">
        <v>46235</v>
      </c>
      <c r="E1216" s="2" t="s">
        <v>260</v>
      </c>
      <c r="F1216" s="2" t="s">
        <v>3495</v>
      </c>
      <c r="G1216" s="6">
        <v>46235</v>
      </c>
      <c r="H1216" s="2" t="s">
        <v>71</v>
      </c>
      <c r="I1216" s="2" t="s">
        <v>70</v>
      </c>
      <c r="J1216" s="9">
        <v>5938.9230770000004</v>
      </c>
      <c r="K1216" s="7">
        <v>0.65</v>
      </c>
      <c r="L1216" s="9">
        <v>3860.3</v>
      </c>
      <c r="M1216" s="9">
        <v>3860.3</v>
      </c>
      <c r="N1216" s="9">
        <v>2.12</v>
      </c>
      <c r="O1216" s="10">
        <f>IF(AND(OR(H1216="APPROVED",H1216="SCHEDULED"),COUNTIFS(tblSource[EventID],F1216,tblSource[ReleaseStatus],"APPROVED")=1,COUNTIFS(Period_Status!$A$2:$A$8,G1216,Period_Status!$B$2:$B$8,"ActualClosed")=1,C1216&gt;EOMONTH(Settlement_Bridge!$C$2,0)),1,0)</f>
        <v>0</v>
      </c>
      <c r="P1216" s="2" t="s">
        <v>3496</v>
      </c>
    </row>
    <row r="1217" spans="1:16" x14ac:dyDescent="0.25">
      <c r="A1217" s="2" t="s">
        <v>3497</v>
      </c>
      <c r="B1217" s="2" t="s">
        <v>136</v>
      </c>
      <c r="C1217" s="8">
        <v>46253</v>
      </c>
      <c r="D1217" s="6">
        <v>46235</v>
      </c>
      <c r="E1217" s="2" t="s">
        <v>260</v>
      </c>
      <c r="F1217" s="2" t="s">
        <v>3498</v>
      </c>
      <c r="G1217" s="6">
        <v>46235</v>
      </c>
      <c r="H1217" s="2" t="s">
        <v>71</v>
      </c>
      <c r="I1217" s="2" t="s">
        <v>39</v>
      </c>
      <c r="J1217" s="9">
        <v>1613.3240000000001</v>
      </c>
      <c r="K1217" s="7">
        <v>1</v>
      </c>
      <c r="L1217" s="9">
        <v>1613.32</v>
      </c>
      <c r="M1217" s="9">
        <v>1613.32</v>
      </c>
      <c r="N1217" s="9">
        <v>1.8</v>
      </c>
      <c r="O1217" s="10">
        <f>IF(AND(OR(H1217="APPROVED",H1217="SCHEDULED"),COUNTIFS(tblSource[EventID],F1217,tblSource[ReleaseStatus],"APPROVED")=1,COUNTIFS(Period_Status!$A$2:$A$8,G1217,Period_Status!$B$2:$B$8,"ActualClosed")=1,C1217&gt;EOMONTH(Settlement_Bridge!$C$2,0)),1,0)</f>
        <v>0</v>
      </c>
      <c r="P1217" s="2" t="s">
        <v>3499</v>
      </c>
    </row>
    <row r="1218" spans="1:16" x14ac:dyDescent="0.25">
      <c r="A1218" s="2" t="s">
        <v>3500</v>
      </c>
      <c r="B1218" s="2" t="s">
        <v>136</v>
      </c>
      <c r="C1218" s="8">
        <v>46278</v>
      </c>
      <c r="D1218" s="6">
        <v>46266</v>
      </c>
      <c r="E1218" s="2" t="s">
        <v>260</v>
      </c>
      <c r="F1218" s="2" t="s">
        <v>3498</v>
      </c>
      <c r="G1218" s="6">
        <v>46235</v>
      </c>
      <c r="H1218" s="2" t="s">
        <v>176</v>
      </c>
      <c r="I1218" s="2" t="s">
        <v>39</v>
      </c>
      <c r="J1218" s="9">
        <v>2419.9859999999999</v>
      </c>
      <c r="K1218" s="7">
        <v>1</v>
      </c>
      <c r="L1218" s="9">
        <v>2419.9899999999998</v>
      </c>
      <c r="M1218" s="9">
        <v>2419.9899999999998</v>
      </c>
      <c r="N1218" s="9">
        <v>1.8</v>
      </c>
      <c r="O1218" s="10">
        <f>IF(AND(OR(H1218="APPROVED",H1218="SCHEDULED"),COUNTIFS(tblSource[EventID],F1218,tblSource[ReleaseStatus],"APPROVED")=1,COUNTIFS(Period_Status!$A$2:$A$8,G1218,Period_Status!$B$2:$B$8,"ActualClosed")=1,C1218&gt;EOMONTH(Settlement_Bridge!$C$2,0)),1,0)</f>
        <v>0</v>
      </c>
      <c r="P1218" s="2" t="s">
        <v>3501</v>
      </c>
    </row>
    <row r="1219" spans="1:16" x14ac:dyDescent="0.25">
      <c r="A1219" s="2" t="s">
        <v>3502</v>
      </c>
      <c r="B1219" s="2" t="s">
        <v>136</v>
      </c>
      <c r="C1219" s="8">
        <v>46254</v>
      </c>
      <c r="D1219" s="6">
        <v>46235</v>
      </c>
      <c r="E1219" s="2" t="s">
        <v>260</v>
      </c>
      <c r="F1219" s="2" t="s">
        <v>3503</v>
      </c>
      <c r="G1219" s="6">
        <v>46235</v>
      </c>
      <c r="H1219" s="2" t="s">
        <v>71</v>
      </c>
      <c r="I1219" s="2" t="s">
        <v>76</v>
      </c>
      <c r="J1219" s="9">
        <v>27358178.861788999</v>
      </c>
      <c r="K1219" s="7">
        <v>6.1500000000000004E-5</v>
      </c>
      <c r="L1219" s="9">
        <v>1682.53</v>
      </c>
      <c r="M1219" s="9">
        <v>1682.53</v>
      </c>
      <c r="N1219" s="9">
        <v>1.8</v>
      </c>
      <c r="O1219" s="10">
        <f>IF(AND(OR(H1219="APPROVED",H1219="SCHEDULED"),COUNTIFS(tblSource[EventID],F1219,tblSource[ReleaseStatus],"APPROVED")=1,COUNTIFS(Period_Status!$A$2:$A$8,G1219,Period_Status!$B$2:$B$8,"ActualClosed")=1,C1219&gt;EOMONTH(Settlement_Bridge!$C$2,0)),1,0)</f>
        <v>0</v>
      </c>
      <c r="P1219" s="2" t="s">
        <v>3504</v>
      </c>
    </row>
    <row r="1220" spans="1:16" x14ac:dyDescent="0.25">
      <c r="A1220" s="2" t="s">
        <v>3505</v>
      </c>
      <c r="B1220" s="2" t="s">
        <v>136</v>
      </c>
      <c r="C1220" s="8">
        <v>46279</v>
      </c>
      <c r="D1220" s="6">
        <v>46266</v>
      </c>
      <c r="E1220" s="2" t="s">
        <v>260</v>
      </c>
      <c r="F1220" s="2" t="s">
        <v>3503</v>
      </c>
      <c r="G1220" s="6">
        <v>46235</v>
      </c>
      <c r="H1220" s="2" t="s">
        <v>176</v>
      </c>
      <c r="I1220" s="2" t="s">
        <v>76</v>
      </c>
      <c r="J1220" s="9">
        <v>41037268.292682998</v>
      </c>
      <c r="K1220" s="7">
        <v>6.1299999999999999E-5</v>
      </c>
      <c r="L1220" s="9">
        <v>2515.58</v>
      </c>
      <c r="M1220" s="9">
        <v>2523.79</v>
      </c>
      <c r="N1220" s="9">
        <v>1.8</v>
      </c>
      <c r="O1220" s="10">
        <f>IF(AND(OR(H1220="APPROVED",H1220="SCHEDULED"),COUNTIFS(tblSource[EventID],F1220,tblSource[ReleaseStatus],"APPROVED")=1,COUNTIFS(Period_Status!$A$2:$A$8,G1220,Period_Status!$B$2:$B$8,"ActualClosed")=1,C1220&gt;EOMONTH(Settlement_Bridge!$C$2,0)),1,0)</f>
        <v>0</v>
      </c>
      <c r="P1220" s="2" t="s">
        <v>3506</v>
      </c>
    </row>
    <row r="1221" spans="1:16" x14ac:dyDescent="0.25">
      <c r="A1221" s="2" t="s">
        <v>3507</v>
      </c>
      <c r="B1221" s="2" t="s">
        <v>136</v>
      </c>
      <c r="C1221" s="8">
        <v>46265</v>
      </c>
      <c r="D1221" s="6">
        <v>46235</v>
      </c>
      <c r="E1221" s="2" t="s">
        <v>260</v>
      </c>
      <c r="F1221" s="2" t="s">
        <v>3508</v>
      </c>
      <c r="G1221" s="6">
        <v>46235</v>
      </c>
      <c r="H1221" s="2" t="s">
        <v>71</v>
      </c>
      <c r="I1221" s="2" t="s">
        <v>70</v>
      </c>
      <c r="J1221" s="9">
        <v>6737.4307689999996</v>
      </c>
      <c r="K1221" s="7">
        <v>0.65</v>
      </c>
      <c r="L1221" s="9">
        <v>4379.33</v>
      </c>
      <c r="M1221" s="9">
        <v>4379.33</v>
      </c>
      <c r="N1221" s="9">
        <v>2.41</v>
      </c>
      <c r="O1221" s="10">
        <f>IF(AND(OR(H1221="APPROVED",H1221="SCHEDULED"),COUNTIFS(tblSource[EventID],F1221,tblSource[ReleaseStatus],"APPROVED")=1,COUNTIFS(Period_Status!$A$2:$A$8,G1221,Period_Status!$B$2:$B$8,"ActualClosed")=1,C1221&gt;EOMONTH(Settlement_Bridge!$C$2,0)),1,0)</f>
        <v>0</v>
      </c>
      <c r="P1221" s="2" t="s">
        <v>3509</v>
      </c>
    </row>
    <row r="1222" spans="1:16" x14ac:dyDescent="0.25">
      <c r="A1222" s="2" t="s">
        <v>3510</v>
      </c>
      <c r="B1222" s="2" t="s">
        <v>136</v>
      </c>
      <c r="C1222" s="8">
        <v>46266</v>
      </c>
      <c r="D1222" s="6">
        <v>46266</v>
      </c>
      <c r="E1222" s="2" t="s">
        <v>260</v>
      </c>
      <c r="F1222" s="2" t="s">
        <v>3511</v>
      </c>
      <c r="G1222" s="6">
        <v>46235</v>
      </c>
      <c r="H1222" s="2" t="s">
        <v>176</v>
      </c>
      <c r="I1222" s="2" t="s">
        <v>39</v>
      </c>
      <c r="J1222" s="9">
        <v>4552.34</v>
      </c>
      <c r="K1222" s="7">
        <v>1</v>
      </c>
      <c r="L1222" s="9">
        <v>4552.34</v>
      </c>
      <c r="M1222" s="9">
        <v>4552.34</v>
      </c>
      <c r="N1222" s="9">
        <v>2.5</v>
      </c>
      <c r="O1222" s="10">
        <f>IF(AND(OR(H1222="APPROVED",H1222="SCHEDULED"),COUNTIFS(tblSource[EventID],F1222,tblSource[ReleaseStatus],"APPROVED")=1,COUNTIFS(Period_Status!$A$2:$A$8,G1222,Period_Status!$B$2:$B$8,"ActualClosed")=1,C1222&gt;EOMONTH(Settlement_Bridge!$C$2,0)),1,0)</f>
        <v>0</v>
      </c>
      <c r="P1222" s="2" t="s">
        <v>3512</v>
      </c>
    </row>
    <row r="1223" spans="1:16" x14ac:dyDescent="0.25">
      <c r="A1223" s="2" t="s">
        <v>3513</v>
      </c>
      <c r="B1223" s="2" t="s">
        <v>136</v>
      </c>
      <c r="C1223" s="8">
        <v>46257</v>
      </c>
      <c r="D1223" s="6">
        <v>46235</v>
      </c>
      <c r="E1223" s="2" t="s">
        <v>260</v>
      </c>
      <c r="F1223" s="2" t="s">
        <v>3514</v>
      </c>
      <c r="G1223" s="6">
        <v>46235</v>
      </c>
      <c r="H1223" s="2" t="s">
        <v>71</v>
      </c>
      <c r="I1223" s="2" t="s">
        <v>76</v>
      </c>
      <c r="J1223" s="9">
        <v>30733983.739836998</v>
      </c>
      <c r="K1223" s="7">
        <v>6.1500000000000004E-5</v>
      </c>
      <c r="L1223" s="9">
        <v>1890.14</v>
      </c>
      <c r="M1223" s="9">
        <v>1890.14</v>
      </c>
      <c r="N1223" s="9">
        <v>1.8</v>
      </c>
      <c r="O1223" s="10">
        <f>IF(AND(OR(H1223="APPROVED",H1223="SCHEDULED"),COUNTIFS(tblSource[EventID],F1223,tblSource[ReleaseStatus],"APPROVED")=1,COUNTIFS(Period_Status!$A$2:$A$8,G1223,Period_Status!$B$2:$B$8,"ActualClosed")=1,C1223&gt;EOMONTH(Settlement_Bridge!$C$2,0)),1,0)</f>
        <v>0</v>
      </c>
      <c r="P1223" s="2" t="s">
        <v>3515</v>
      </c>
    </row>
    <row r="1224" spans="1:16" x14ac:dyDescent="0.25">
      <c r="A1224" s="2" t="s">
        <v>3516</v>
      </c>
      <c r="B1224" s="2" t="s">
        <v>136</v>
      </c>
      <c r="C1224" s="8">
        <v>46282</v>
      </c>
      <c r="D1224" s="6">
        <v>46266</v>
      </c>
      <c r="E1224" s="2" t="s">
        <v>260</v>
      </c>
      <c r="F1224" s="2" t="s">
        <v>3514</v>
      </c>
      <c r="G1224" s="6">
        <v>46235</v>
      </c>
      <c r="H1224" s="2" t="s">
        <v>176</v>
      </c>
      <c r="I1224" s="2" t="s">
        <v>76</v>
      </c>
      <c r="J1224" s="9">
        <v>46100975.609756</v>
      </c>
      <c r="K1224" s="7">
        <v>6.1299999999999999E-5</v>
      </c>
      <c r="L1224" s="9">
        <v>2825.99</v>
      </c>
      <c r="M1224" s="9">
        <v>2835.21</v>
      </c>
      <c r="N1224" s="9">
        <v>1.8</v>
      </c>
      <c r="O1224" s="10">
        <f>IF(AND(OR(H1224="APPROVED",H1224="SCHEDULED"),COUNTIFS(tblSource[EventID],F1224,tblSource[ReleaseStatus],"APPROVED")=1,COUNTIFS(Period_Status!$A$2:$A$8,G1224,Period_Status!$B$2:$B$8,"ActualClosed")=1,C1224&gt;EOMONTH(Settlement_Bridge!$C$2,0)),1,0)</f>
        <v>0</v>
      </c>
      <c r="P1224" s="2" t="s">
        <v>3517</v>
      </c>
    </row>
    <row r="1225" spans="1:16" x14ac:dyDescent="0.25">
      <c r="A1225" s="2" t="s">
        <v>3518</v>
      </c>
      <c r="B1225" s="2" t="s">
        <v>136</v>
      </c>
      <c r="C1225" s="8">
        <v>46268</v>
      </c>
      <c r="D1225" s="6">
        <v>46266</v>
      </c>
      <c r="E1225" s="2" t="s">
        <v>260</v>
      </c>
      <c r="F1225" s="2" t="s">
        <v>3519</v>
      </c>
      <c r="G1225" s="6">
        <v>46235</v>
      </c>
      <c r="H1225" s="2" t="s">
        <v>176</v>
      </c>
      <c r="I1225" s="2" t="s">
        <v>70</v>
      </c>
      <c r="J1225" s="9">
        <v>7535.9384620000001</v>
      </c>
      <c r="K1225" s="7">
        <v>0.65100000000000002</v>
      </c>
      <c r="L1225" s="9">
        <v>4905.8999999999996</v>
      </c>
      <c r="M1225" s="9">
        <v>4898.3599999999997</v>
      </c>
      <c r="N1225" s="9">
        <v>2.7</v>
      </c>
      <c r="O1225" s="10">
        <f>IF(AND(OR(H1225="APPROVED",H1225="SCHEDULED"),COUNTIFS(tblSource[EventID],F1225,tblSource[ReleaseStatus],"APPROVED")=1,COUNTIFS(Period_Status!$A$2:$A$8,G1225,Period_Status!$B$2:$B$8,"ActualClosed")=1,C1225&gt;EOMONTH(Settlement_Bridge!$C$2,0)),1,0)</f>
        <v>0</v>
      </c>
      <c r="P1225" s="2" t="s">
        <v>3520</v>
      </c>
    </row>
    <row r="1226" spans="1:16" x14ac:dyDescent="0.25">
      <c r="A1226" s="2" t="s">
        <v>3521</v>
      </c>
      <c r="B1226" s="2" t="s">
        <v>136</v>
      </c>
      <c r="C1226" s="8">
        <v>46269</v>
      </c>
      <c r="D1226" s="6">
        <v>46266</v>
      </c>
      <c r="E1226" s="2" t="s">
        <v>260</v>
      </c>
      <c r="F1226" s="2" t="s">
        <v>3522</v>
      </c>
      <c r="G1226" s="6">
        <v>46235</v>
      </c>
      <c r="H1226" s="2" t="s">
        <v>176</v>
      </c>
      <c r="I1226" s="2" t="s">
        <v>39</v>
      </c>
      <c r="J1226" s="9">
        <v>5071.37</v>
      </c>
      <c r="K1226" s="7">
        <v>1</v>
      </c>
      <c r="L1226" s="9">
        <v>5071.37</v>
      </c>
      <c r="M1226" s="9">
        <v>5071.37</v>
      </c>
      <c r="N1226" s="9">
        <v>2.79</v>
      </c>
      <c r="O1226" s="10">
        <f>IF(AND(OR(H1226="APPROVED",H1226="SCHEDULED"),COUNTIFS(tblSource[EventID],F1226,tblSource[ReleaseStatus],"APPROVED")=1,COUNTIFS(Period_Status!$A$2:$A$8,G1226,Period_Status!$B$2:$B$8,"ActualClosed")=1,C1226&gt;EOMONTH(Settlement_Bridge!$C$2,0)),1,0)</f>
        <v>0</v>
      </c>
      <c r="P1226" s="2" t="s">
        <v>3523</v>
      </c>
    </row>
    <row r="1227" spans="1:16" x14ac:dyDescent="0.25">
      <c r="A1227" s="2" t="s">
        <v>3524</v>
      </c>
      <c r="B1227" s="2" t="s">
        <v>136</v>
      </c>
      <c r="C1227" s="8">
        <v>46270</v>
      </c>
      <c r="D1227" s="6">
        <v>46266</v>
      </c>
      <c r="E1227" s="2" t="s">
        <v>260</v>
      </c>
      <c r="F1227" s="2" t="s">
        <v>3525</v>
      </c>
      <c r="G1227" s="6">
        <v>46235</v>
      </c>
      <c r="H1227" s="2" t="s">
        <v>176</v>
      </c>
      <c r="I1227" s="2" t="s">
        <v>76</v>
      </c>
      <c r="J1227" s="9">
        <v>85274471.544715002</v>
      </c>
      <c r="K1227" s="7">
        <v>6.1299999999999999E-5</v>
      </c>
      <c r="L1227" s="9">
        <v>5227.33</v>
      </c>
      <c r="M1227" s="9">
        <v>5244.38</v>
      </c>
      <c r="N1227" s="9">
        <v>2.88</v>
      </c>
      <c r="O1227" s="10">
        <f>IF(AND(OR(H1227="APPROVED",H1227="SCHEDULED"),COUNTIFS(tblSource[EventID],F1227,tblSource[ReleaseStatus],"APPROVED")=1,COUNTIFS(Period_Status!$A$2:$A$8,G1227,Period_Status!$B$2:$B$8,"ActualClosed")=1,C1227&gt;EOMONTH(Settlement_Bridge!$C$2,0)),1,0)</f>
        <v>0</v>
      </c>
      <c r="P1227" s="2" t="s">
        <v>3526</v>
      </c>
    </row>
    <row r="1228" spans="1:16" x14ac:dyDescent="0.25">
      <c r="A1228" s="2" t="s">
        <v>3527</v>
      </c>
      <c r="B1228" s="2" t="s">
        <v>136</v>
      </c>
      <c r="C1228" s="8">
        <v>46271</v>
      </c>
      <c r="D1228" s="6">
        <v>46266</v>
      </c>
      <c r="E1228" s="2" t="s">
        <v>260</v>
      </c>
      <c r="F1228" s="2" t="s">
        <v>3528</v>
      </c>
      <c r="G1228" s="6">
        <v>46235</v>
      </c>
      <c r="H1228" s="2" t="s">
        <v>176</v>
      </c>
      <c r="I1228" s="2" t="s">
        <v>70</v>
      </c>
      <c r="J1228" s="9">
        <v>8334.4461539999993</v>
      </c>
      <c r="K1228" s="7">
        <v>0.65100000000000002</v>
      </c>
      <c r="L1228" s="9">
        <v>5425.72</v>
      </c>
      <c r="M1228" s="9">
        <v>5417.39</v>
      </c>
      <c r="N1228" s="9">
        <v>2.98</v>
      </c>
      <c r="O1228" s="10">
        <f>IF(AND(OR(H1228="APPROVED",H1228="SCHEDULED"),COUNTIFS(tblSource[EventID],F1228,tblSource[ReleaseStatus],"APPROVED")=1,COUNTIFS(Period_Status!$A$2:$A$8,G1228,Period_Status!$B$2:$B$8,"ActualClosed")=1,C1228&gt;EOMONTH(Settlement_Bridge!$C$2,0)),1,0)</f>
        <v>0</v>
      </c>
      <c r="P1228" s="2" t="s">
        <v>3529</v>
      </c>
    </row>
    <row r="1229" spans="1:16" x14ac:dyDescent="0.25">
      <c r="A1229" s="2" t="s">
        <v>3530</v>
      </c>
      <c r="B1229" s="2" t="s">
        <v>136</v>
      </c>
      <c r="C1229" s="8">
        <v>46272</v>
      </c>
      <c r="D1229" s="6">
        <v>46266</v>
      </c>
      <c r="E1229" s="2" t="s">
        <v>260</v>
      </c>
      <c r="F1229" s="2" t="s">
        <v>3531</v>
      </c>
      <c r="G1229" s="6">
        <v>46235</v>
      </c>
      <c r="H1229" s="2" t="s">
        <v>176</v>
      </c>
      <c r="I1229" s="2" t="s">
        <v>39</v>
      </c>
      <c r="J1229" s="9">
        <v>5590.4</v>
      </c>
      <c r="K1229" s="7">
        <v>1</v>
      </c>
      <c r="L1229" s="9">
        <v>5590.4</v>
      </c>
      <c r="M1229" s="9">
        <v>5590.4</v>
      </c>
      <c r="N1229" s="9">
        <v>3.07</v>
      </c>
      <c r="O1229" s="10">
        <f>IF(AND(OR(H1229="APPROVED",H1229="SCHEDULED"),COUNTIFS(tblSource[EventID],F1229,tblSource[ReleaseStatus],"APPROVED")=1,COUNTIFS(Period_Status!$A$2:$A$8,G1229,Period_Status!$B$2:$B$8,"ActualClosed")=1,C1229&gt;EOMONTH(Settlement_Bridge!$C$2,0)),1,0)</f>
        <v>0</v>
      </c>
      <c r="P1229" s="2" t="s">
        <v>3532</v>
      </c>
    </row>
    <row r="1230" spans="1:16" x14ac:dyDescent="0.25">
      <c r="A1230" s="2" t="s">
        <v>3533</v>
      </c>
      <c r="B1230" s="2" t="s">
        <v>136</v>
      </c>
      <c r="C1230" s="8">
        <v>46263</v>
      </c>
      <c r="D1230" s="6">
        <v>46235</v>
      </c>
      <c r="E1230" s="2" t="s">
        <v>260</v>
      </c>
      <c r="F1230" s="2" t="s">
        <v>3534</v>
      </c>
      <c r="G1230" s="6">
        <v>46235</v>
      </c>
      <c r="H1230" s="2" t="s">
        <v>71</v>
      </c>
      <c r="I1230" s="2" t="s">
        <v>76</v>
      </c>
      <c r="J1230" s="9">
        <v>37485593.495935</v>
      </c>
      <c r="K1230" s="7">
        <v>6.1500000000000004E-5</v>
      </c>
      <c r="L1230" s="9">
        <v>2305.36</v>
      </c>
      <c r="M1230" s="9">
        <v>2305.36</v>
      </c>
      <c r="N1230" s="9">
        <v>1.8</v>
      </c>
      <c r="O1230" s="10">
        <f>IF(AND(OR(H1230="APPROVED",H1230="SCHEDULED"),COUNTIFS(tblSource[EventID],F1230,tblSource[ReleaseStatus],"APPROVED")=1,COUNTIFS(Period_Status!$A$2:$A$8,G1230,Period_Status!$B$2:$B$8,"ActualClosed")=1,C1230&gt;EOMONTH(Settlement_Bridge!$C$2,0)),1,0)</f>
        <v>0</v>
      </c>
      <c r="P1230" s="2" t="s">
        <v>3535</v>
      </c>
    </row>
    <row r="1231" spans="1:16" x14ac:dyDescent="0.25">
      <c r="A1231" s="2" t="s">
        <v>3536</v>
      </c>
      <c r="B1231" s="2" t="s">
        <v>136</v>
      </c>
      <c r="C1231" s="8">
        <v>46288</v>
      </c>
      <c r="D1231" s="6">
        <v>46266</v>
      </c>
      <c r="E1231" s="2" t="s">
        <v>260</v>
      </c>
      <c r="F1231" s="2" t="s">
        <v>3534</v>
      </c>
      <c r="G1231" s="6">
        <v>46235</v>
      </c>
      <c r="H1231" s="2" t="s">
        <v>176</v>
      </c>
      <c r="I1231" s="2" t="s">
        <v>76</v>
      </c>
      <c r="J1231" s="9">
        <v>56228390.243901998</v>
      </c>
      <c r="K1231" s="7">
        <v>6.1299999999999999E-5</v>
      </c>
      <c r="L1231" s="9">
        <v>3446.8</v>
      </c>
      <c r="M1231" s="9">
        <v>3458.05</v>
      </c>
      <c r="N1231" s="9">
        <v>1.9</v>
      </c>
      <c r="O1231" s="10">
        <f>IF(AND(OR(H1231="APPROVED",H1231="SCHEDULED"),COUNTIFS(tblSource[EventID],F1231,tblSource[ReleaseStatus],"APPROVED")=1,COUNTIFS(Period_Status!$A$2:$A$8,G1231,Period_Status!$B$2:$B$8,"ActualClosed")=1,C1231&gt;EOMONTH(Settlement_Bridge!$C$2,0)),1,0)</f>
        <v>0</v>
      </c>
      <c r="P1231" s="2" t="s">
        <v>3537</v>
      </c>
    </row>
    <row r="1232" spans="1:16" x14ac:dyDescent="0.25">
      <c r="A1232" s="2" t="s">
        <v>3538</v>
      </c>
      <c r="B1232" s="2" t="s">
        <v>136</v>
      </c>
      <c r="C1232" s="8">
        <v>46264</v>
      </c>
      <c r="D1232" s="6">
        <v>46235</v>
      </c>
      <c r="E1232" s="2" t="s">
        <v>260</v>
      </c>
      <c r="F1232" s="2" t="s">
        <v>3539</v>
      </c>
      <c r="G1232" s="6">
        <v>46235</v>
      </c>
      <c r="H1232" s="2" t="s">
        <v>71</v>
      </c>
      <c r="I1232" s="2" t="s">
        <v>70</v>
      </c>
      <c r="J1232" s="9">
        <v>3653.1815379999998</v>
      </c>
      <c r="K1232" s="7">
        <v>0.65</v>
      </c>
      <c r="L1232" s="9">
        <v>2374.5700000000002</v>
      </c>
      <c r="M1232" s="9">
        <v>2374.5700000000002</v>
      </c>
      <c r="N1232" s="9">
        <v>1.8</v>
      </c>
      <c r="O1232" s="10">
        <f>IF(AND(OR(H1232="APPROVED",H1232="SCHEDULED"),COUNTIFS(tblSource[EventID],F1232,tblSource[ReleaseStatus],"APPROVED")=1,COUNTIFS(Period_Status!$A$2:$A$8,G1232,Period_Status!$B$2:$B$8,"ActualClosed")=1,C1232&gt;EOMONTH(Settlement_Bridge!$C$2,0)),1,0)</f>
        <v>0</v>
      </c>
      <c r="P1232" s="2" t="s">
        <v>3540</v>
      </c>
    </row>
    <row r="1233" spans="1:16" x14ac:dyDescent="0.25">
      <c r="A1233" s="2" t="s">
        <v>3541</v>
      </c>
      <c r="B1233" s="2" t="s">
        <v>136</v>
      </c>
      <c r="C1233" s="8">
        <v>46289</v>
      </c>
      <c r="D1233" s="6">
        <v>46266</v>
      </c>
      <c r="E1233" s="2" t="s">
        <v>260</v>
      </c>
      <c r="F1233" s="2" t="s">
        <v>3539</v>
      </c>
      <c r="G1233" s="6">
        <v>46235</v>
      </c>
      <c r="H1233" s="2" t="s">
        <v>176</v>
      </c>
      <c r="I1233" s="2" t="s">
        <v>70</v>
      </c>
      <c r="J1233" s="9">
        <v>5479.7723079999996</v>
      </c>
      <c r="K1233" s="7">
        <v>0.65100000000000002</v>
      </c>
      <c r="L1233" s="9">
        <v>3567.33</v>
      </c>
      <c r="M1233" s="9">
        <v>3561.85</v>
      </c>
      <c r="N1233" s="9">
        <v>1.96</v>
      </c>
      <c r="O1233" s="10">
        <f>IF(AND(OR(H1233="APPROVED",H1233="SCHEDULED"),COUNTIFS(tblSource[EventID],F1233,tblSource[ReleaseStatus],"APPROVED")=1,COUNTIFS(Period_Status!$A$2:$A$8,G1233,Period_Status!$B$2:$B$8,"ActualClosed")=1,C1233&gt;EOMONTH(Settlement_Bridge!$C$2,0)),1,0)</f>
        <v>0</v>
      </c>
      <c r="P1233" s="2" t="s">
        <v>3542</v>
      </c>
    </row>
    <row r="1234" spans="1:16" x14ac:dyDescent="0.25">
      <c r="A1234" s="2" t="s">
        <v>3543</v>
      </c>
      <c r="B1234" s="2" t="s">
        <v>136</v>
      </c>
      <c r="C1234" s="8">
        <v>46275</v>
      </c>
      <c r="D1234" s="6">
        <v>46266</v>
      </c>
      <c r="E1234" s="2" t="s">
        <v>260</v>
      </c>
      <c r="F1234" s="2" t="s">
        <v>3544</v>
      </c>
      <c r="G1234" s="6">
        <v>46235</v>
      </c>
      <c r="H1234" s="2" t="s">
        <v>176</v>
      </c>
      <c r="I1234" s="2" t="s">
        <v>39</v>
      </c>
      <c r="J1234" s="9">
        <v>6109.43</v>
      </c>
      <c r="K1234" s="7">
        <v>1</v>
      </c>
      <c r="L1234" s="9">
        <v>6109.43</v>
      </c>
      <c r="M1234" s="9">
        <v>6109.43</v>
      </c>
      <c r="N1234" s="9">
        <v>3.36</v>
      </c>
      <c r="O1234" s="10">
        <f>IF(AND(OR(H1234="APPROVED",H1234="SCHEDULED"),COUNTIFS(tblSource[EventID],F1234,tblSource[ReleaseStatus],"APPROVED")=1,COUNTIFS(Period_Status!$A$2:$A$8,G1234,Period_Status!$B$2:$B$8,"ActualClosed")=1,C1234&gt;EOMONTH(Settlement_Bridge!$C$2,0)),1,0)</f>
        <v>0</v>
      </c>
      <c r="P1234" s="2" t="s">
        <v>3545</v>
      </c>
    </row>
    <row r="1235" spans="1:16" x14ac:dyDescent="0.25">
      <c r="A1235" s="2" t="s">
        <v>3546</v>
      </c>
      <c r="B1235" s="2" t="s">
        <v>136</v>
      </c>
      <c r="C1235" s="8">
        <v>46276</v>
      </c>
      <c r="D1235" s="6">
        <v>46266</v>
      </c>
      <c r="E1235" s="2" t="s">
        <v>260</v>
      </c>
      <c r="F1235" s="2" t="s">
        <v>3547</v>
      </c>
      <c r="G1235" s="6">
        <v>46235</v>
      </c>
      <c r="H1235" s="2" t="s">
        <v>176</v>
      </c>
      <c r="I1235" s="2" t="s">
        <v>76</v>
      </c>
      <c r="J1235" s="9">
        <v>102153495.93495899</v>
      </c>
      <c r="K1235" s="7">
        <v>6.1299999999999999E-5</v>
      </c>
      <c r="L1235" s="9">
        <v>6262.01</v>
      </c>
      <c r="M1235" s="9">
        <v>6282.44</v>
      </c>
      <c r="N1235" s="9">
        <v>3.44</v>
      </c>
      <c r="O1235" s="10">
        <f>IF(AND(OR(H1235="APPROVED",H1235="SCHEDULED"),COUNTIFS(tblSource[EventID],F1235,tblSource[ReleaseStatus],"APPROVED")=1,COUNTIFS(Period_Status!$A$2:$A$8,G1235,Period_Status!$B$2:$B$8,"ActualClosed")=1,C1235&gt;EOMONTH(Settlement_Bridge!$C$2,0)),1,0)</f>
        <v>0</v>
      </c>
      <c r="P1235" s="2" t="s">
        <v>3548</v>
      </c>
    </row>
    <row r="1236" spans="1:16" x14ac:dyDescent="0.25">
      <c r="A1236" s="2" t="s">
        <v>3549</v>
      </c>
      <c r="B1236" s="2" t="s">
        <v>136</v>
      </c>
      <c r="C1236" s="8">
        <v>46267</v>
      </c>
      <c r="D1236" s="6">
        <v>46266</v>
      </c>
      <c r="E1236" s="2" t="s">
        <v>260</v>
      </c>
      <c r="F1236" s="2" t="s">
        <v>3550</v>
      </c>
      <c r="G1236" s="6">
        <v>46235</v>
      </c>
      <c r="H1236" s="2" t="s">
        <v>176</v>
      </c>
      <c r="I1236" s="2" t="s">
        <v>70</v>
      </c>
      <c r="J1236" s="9">
        <v>3972.5846150000002</v>
      </c>
      <c r="K1236" s="7">
        <v>0.65100000000000002</v>
      </c>
      <c r="L1236" s="9">
        <v>2586.15</v>
      </c>
      <c r="M1236" s="9">
        <v>2582.1799999999998</v>
      </c>
      <c r="N1236" s="9">
        <v>1.8</v>
      </c>
      <c r="O1236" s="10">
        <f>IF(AND(OR(H1236="APPROVED",H1236="SCHEDULED"),COUNTIFS(tblSource[EventID],F1236,tblSource[ReleaseStatus],"APPROVED")=1,COUNTIFS(Period_Status!$A$2:$A$8,G1236,Period_Status!$B$2:$B$8,"ActualClosed")=1,C1236&gt;EOMONTH(Settlement_Bridge!$C$2,0)),1,0)</f>
        <v>0</v>
      </c>
      <c r="P1236" s="2" t="s">
        <v>3551</v>
      </c>
    </row>
    <row r="1237" spans="1:16" x14ac:dyDescent="0.25">
      <c r="A1237" s="2" t="s">
        <v>3552</v>
      </c>
      <c r="B1237" s="2" t="s">
        <v>136</v>
      </c>
      <c r="C1237" s="8">
        <v>46292</v>
      </c>
      <c r="D1237" s="6">
        <v>46266</v>
      </c>
      <c r="E1237" s="2" t="s">
        <v>260</v>
      </c>
      <c r="F1237" s="2" t="s">
        <v>3550</v>
      </c>
      <c r="G1237" s="6">
        <v>46235</v>
      </c>
      <c r="H1237" s="2" t="s">
        <v>176</v>
      </c>
      <c r="I1237" s="2" t="s">
        <v>70</v>
      </c>
      <c r="J1237" s="9">
        <v>5958.8769229999998</v>
      </c>
      <c r="K1237" s="7">
        <v>0.65100000000000002</v>
      </c>
      <c r="L1237" s="9">
        <v>3879.23</v>
      </c>
      <c r="M1237" s="9">
        <v>3873.27</v>
      </c>
      <c r="N1237" s="9">
        <v>2.13</v>
      </c>
      <c r="O1237" s="10">
        <f>IF(AND(OR(H1237="APPROVED",H1237="SCHEDULED"),COUNTIFS(tblSource[EventID],F1237,tblSource[ReleaseStatus],"APPROVED")=1,COUNTIFS(Period_Status!$A$2:$A$8,G1237,Period_Status!$B$2:$B$8,"ActualClosed")=1,C1237&gt;EOMONTH(Settlement_Bridge!$C$2,0)),1,0)</f>
        <v>0</v>
      </c>
      <c r="P1237" s="2" t="s">
        <v>3553</v>
      </c>
    </row>
    <row r="1238" spans="1:16" x14ac:dyDescent="0.25">
      <c r="A1238" s="2" t="s">
        <v>3554</v>
      </c>
      <c r="B1238" s="2" t="s">
        <v>136</v>
      </c>
      <c r="C1238" s="8">
        <v>46278</v>
      </c>
      <c r="D1238" s="6">
        <v>46266</v>
      </c>
      <c r="E1238" s="2" t="s">
        <v>260</v>
      </c>
      <c r="F1238" s="2" t="s">
        <v>3555</v>
      </c>
      <c r="G1238" s="6">
        <v>46235</v>
      </c>
      <c r="H1238" s="2" t="s">
        <v>176</v>
      </c>
      <c r="I1238" s="2" t="s">
        <v>39</v>
      </c>
      <c r="J1238" s="9">
        <v>6628.46</v>
      </c>
      <c r="K1238" s="7">
        <v>1</v>
      </c>
      <c r="L1238" s="9">
        <v>6628.46</v>
      </c>
      <c r="M1238" s="9">
        <v>6628.46</v>
      </c>
      <c r="N1238" s="9">
        <v>3.65</v>
      </c>
      <c r="O1238" s="10">
        <f>IF(AND(OR(H1238="APPROVED",H1238="SCHEDULED"),COUNTIFS(tblSource[EventID],F1238,tblSource[ReleaseStatus],"APPROVED")=1,COUNTIFS(Period_Status!$A$2:$A$8,G1238,Period_Status!$B$2:$B$8,"ActualClosed")=1,C1238&gt;EOMONTH(Settlement_Bridge!$C$2,0)),1,0)</f>
        <v>0</v>
      </c>
      <c r="P1238" s="2" t="s">
        <v>3556</v>
      </c>
    </row>
    <row r="1239" spans="1:16" x14ac:dyDescent="0.25">
      <c r="A1239" s="2" t="s">
        <v>3557</v>
      </c>
      <c r="B1239" s="2" t="s">
        <v>136</v>
      </c>
      <c r="C1239" s="8">
        <v>46279</v>
      </c>
      <c r="D1239" s="6">
        <v>46266</v>
      </c>
      <c r="E1239" s="2" t="s">
        <v>260</v>
      </c>
      <c r="F1239" s="2" t="s">
        <v>3558</v>
      </c>
      <c r="G1239" s="6">
        <v>46235</v>
      </c>
      <c r="H1239" s="2" t="s">
        <v>176</v>
      </c>
      <c r="I1239" s="2" t="s">
        <v>76</v>
      </c>
      <c r="J1239" s="9">
        <v>110593008.130081</v>
      </c>
      <c r="K1239" s="7">
        <v>6.1299999999999999E-5</v>
      </c>
      <c r="L1239" s="9">
        <v>6779.35</v>
      </c>
      <c r="M1239" s="9">
        <v>6801.47</v>
      </c>
      <c r="N1239" s="9">
        <v>3.73</v>
      </c>
      <c r="O1239" s="10">
        <f>IF(AND(OR(H1239="APPROVED",H1239="SCHEDULED"),COUNTIFS(tblSource[EventID],F1239,tblSource[ReleaseStatus],"APPROVED")=1,COUNTIFS(Period_Status!$A$2:$A$8,G1239,Period_Status!$B$2:$B$8,"ActualClosed")=1,C1239&gt;EOMONTH(Settlement_Bridge!$C$2,0)),1,0)</f>
        <v>0</v>
      </c>
      <c r="P1239" s="2" t="s">
        <v>3559</v>
      </c>
    </row>
    <row r="1240" spans="1:16" x14ac:dyDescent="0.25">
      <c r="A1240" s="2" t="s">
        <v>3560</v>
      </c>
      <c r="B1240" s="2" t="s">
        <v>136</v>
      </c>
      <c r="C1240" s="8">
        <v>46280</v>
      </c>
      <c r="D1240" s="6">
        <v>46266</v>
      </c>
      <c r="E1240" s="2" t="s">
        <v>260</v>
      </c>
      <c r="F1240" s="2" t="s">
        <v>3561</v>
      </c>
      <c r="G1240" s="6">
        <v>46235</v>
      </c>
      <c r="H1240" s="2" t="s">
        <v>176</v>
      </c>
      <c r="I1240" s="2" t="s">
        <v>70</v>
      </c>
      <c r="J1240" s="9">
        <v>10729.969230999999</v>
      </c>
      <c r="K1240" s="7">
        <v>0.65100000000000002</v>
      </c>
      <c r="L1240" s="9">
        <v>6985.21</v>
      </c>
      <c r="M1240" s="9">
        <v>6974.48</v>
      </c>
      <c r="N1240" s="9">
        <v>3.84</v>
      </c>
      <c r="O1240" s="10">
        <f>IF(AND(OR(H1240="APPROVED",H1240="SCHEDULED"),COUNTIFS(tblSource[EventID],F1240,tblSource[ReleaseStatus],"APPROVED")=1,COUNTIFS(Period_Status!$A$2:$A$8,G1240,Period_Status!$B$2:$B$8,"ActualClosed")=1,C1240&gt;EOMONTH(Settlement_Bridge!$C$2,0)),1,0)</f>
        <v>0</v>
      </c>
      <c r="P1240" s="2" t="s">
        <v>3562</v>
      </c>
    </row>
    <row r="1241" spans="1:16" x14ac:dyDescent="0.25">
      <c r="A1241" s="2" t="s">
        <v>3563</v>
      </c>
      <c r="B1241" s="2" t="s">
        <v>136</v>
      </c>
      <c r="C1241" s="8">
        <v>46281</v>
      </c>
      <c r="D1241" s="6">
        <v>46266</v>
      </c>
      <c r="E1241" s="2" t="s">
        <v>260</v>
      </c>
      <c r="F1241" s="2" t="s">
        <v>3564</v>
      </c>
      <c r="G1241" s="6">
        <v>46235</v>
      </c>
      <c r="H1241" s="2" t="s">
        <v>176</v>
      </c>
      <c r="I1241" s="2" t="s">
        <v>39</v>
      </c>
      <c r="J1241" s="9">
        <v>7147.49</v>
      </c>
      <c r="K1241" s="7">
        <v>1</v>
      </c>
      <c r="L1241" s="9">
        <v>7147.49</v>
      </c>
      <c r="M1241" s="9">
        <v>7147.49</v>
      </c>
      <c r="N1241" s="9">
        <v>3.93</v>
      </c>
      <c r="O1241" s="10">
        <f>IF(AND(OR(H1241="APPROVED",H1241="SCHEDULED"),COUNTIFS(tblSource[EventID],F1241,tblSource[ReleaseStatus],"APPROVED")=1,COUNTIFS(Period_Status!$A$2:$A$8,G1241,Period_Status!$B$2:$B$8,"ActualClosed")=1,C1241&gt;EOMONTH(Settlement_Bridge!$C$2,0)),1,0)</f>
        <v>0</v>
      </c>
      <c r="P1241" s="2" t="s">
        <v>3565</v>
      </c>
    </row>
    <row r="1242" spans="1:16" x14ac:dyDescent="0.25">
      <c r="A1242" s="2" t="s">
        <v>3566</v>
      </c>
      <c r="B1242" s="2" t="s">
        <v>136</v>
      </c>
      <c r="C1242" s="8">
        <v>46282</v>
      </c>
      <c r="D1242" s="6">
        <v>46266</v>
      </c>
      <c r="E1242" s="2" t="s">
        <v>260</v>
      </c>
      <c r="F1242" s="2" t="s">
        <v>3567</v>
      </c>
      <c r="G1242" s="6">
        <v>46235</v>
      </c>
      <c r="H1242" s="2" t="s">
        <v>176</v>
      </c>
      <c r="I1242" s="2" t="s">
        <v>76</v>
      </c>
      <c r="J1242" s="9">
        <v>119032520.325203</v>
      </c>
      <c r="K1242" s="7">
        <v>6.1299999999999999E-5</v>
      </c>
      <c r="L1242" s="9">
        <v>7296.69</v>
      </c>
      <c r="M1242" s="9">
        <v>7320.5</v>
      </c>
      <c r="N1242" s="9">
        <v>4.01</v>
      </c>
      <c r="O1242" s="10">
        <f>IF(AND(OR(H1242="APPROVED",H1242="SCHEDULED"),COUNTIFS(tblSource[EventID],F1242,tblSource[ReleaseStatus],"APPROVED")=1,COUNTIFS(Period_Status!$A$2:$A$8,G1242,Period_Status!$B$2:$B$8,"ActualClosed")=1,C1242&gt;EOMONTH(Settlement_Bridge!$C$2,0)),1,0)</f>
        <v>0</v>
      </c>
      <c r="P1242" s="2" t="s">
        <v>3568</v>
      </c>
    </row>
    <row r="1243" spans="1:16" x14ac:dyDescent="0.25">
      <c r="A1243" s="2" t="s">
        <v>3569</v>
      </c>
      <c r="B1243" s="2" t="s">
        <v>136</v>
      </c>
      <c r="C1243" s="8">
        <v>46273</v>
      </c>
      <c r="D1243" s="6">
        <v>46266</v>
      </c>
      <c r="E1243" s="2" t="s">
        <v>260</v>
      </c>
      <c r="F1243" s="2" t="s">
        <v>3570</v>
      </c>
      <c r="G1243" s="6">
        <v>46235</v>
      </c>
      <c r="H1243" s="2" t="s">
        <v>176</v>
      </c>
      <c r="I1243" s="2" t="s">
        <v>70</v>
      </c>
      <c r="J1243" s="9">
        <v>4611.3907689999996</v>
      </c>
      <c r="K1243" s="7">
        <v>0.65100000000000002</v>
      </c>
      <c r="L1243" s="9">
        <v>3002.02</v>
      </c>
      <c r="M1243" s="9">
        <v>2997.4</v>
      </c>
      <c r="N1243" s="9">
        <v>1.8</v>
      </c>
      <c r="O1243" s="10">
        <f>IF(AND(OR(H1243="APPROVED",H1243="SCHEDULED"),COUNTIFS(tblSource[EventID],F1243,tblSource[ReleaseStatus],"APPROVED")=1,COUNTIFS(Period_Status!$A$2:$A$8,G1243,Period_Status!$B$2:$B$8,"ActualClosed")=1,C1243&gt;EOMONTH(Settlement_Bridge!$C$2,0)),1,0)</f>
        <v>0</v>
      </c>
      <c r="P1243" s="2" t="s">
        <v>3571</v>
      </c>
    </row>
    <row r="1244" spans="1:16" x14ac:dyDescent="0.25">
      <c r="A1244" s="2" t="s">
        <v>3572</v>
      </c>
      <c r="B1244" s="2" t="s">
        <v>136</v>
      </c>
      <c r="C1244" s="8">
        <v>46298</v>
      </c>
      <c r="D1244" s="6">
        <v>46296</v>
      </c>
      <c r="E1244" s="2" t="s">
        <v>260</v>
      </c>
      <c r="F1244" s="2" t="s">
        <v>3570</v>
      </c>
      <c r="G1244" s="6">
        <v>46235</v>
      </c>
      <c r="H1244" s="2" t="s">
        <v>176</v>
      </c>
      <c r="I1244" s="2" t="s">
        <v>70</v>
      </c>
      <c r="J1244" s="9">
        <v>6917.0861539999996</v>
      </c>
      <c r="K1244" s="7">
        <v>0.65500000000000003</v>
      </c>
      <c r="L1244" s="9">
        <v>4530.6899999999996</v>
      </c>
      <c r="M1244" s="9">
        <v>4496.1099999999997</v>
      </c>
      <c r="N1244" s="9">
        <v>2.4900000000000002</v>
      </c>
      <c r="O1244" s="10">
        <f>IF(AND(OR(H1244="APPROVED",H1244="SCHEDULED"),COUNTIFS(tblSource[EventID],F1244,tblSource[ReleaseStatus],"APPROVED")=1,COUNTIFS(Period_Status!$A$2:$A$8,G1244,Period_Status!$B$2:$B$8,"ActualClosed")=1,C1244&gt;EOMONTH(Settlement_Bridge!$C$2,0)),1,0)</f>
        <v>0</v>
      </c>
      <c r="P1244" s="2" t="s">
        <v>3573</v>
      </c>
    </row>
    <row r="1245" spans="1:16" x14ac:dyDescent="0.25">
      <c r="A1245" s="2" t="s">
        <v>3574</v>
      </c>
      <c r="B1245" s="2" t="s">
        <v>136</v>
      </c>
      <c r="C1245" s="8">
        <v>46274</v>
      </c>
      <c r="D1245" s="6">
        <v>46266</v>
      </c>
      <c r="E1245" s="2" t="s">
        <v>260</v>
      </c>
      <c r="F1245" s="2" t="s">
        <v>3575</v>
      </c>
      <c r="G1245" s="6">
        <v>46235</v>
      </c>
      <c r="H1245" s="2" t="s">
        <v>176</v>
      </c>
      <c r="I1245" s="2" t="s">
        <v>39</v>
      </c>
      <c r="J1245" s="9">
        <v>3066.6080000000002</v>
      </c>
      <c r="K1245" s="7">
        <v>1</v>
      </c>
      <c r="L1245" s="9">
        <v>3066.61</v>
      </c>
      <c r="M1245" s="9">
        <v>3066.61</v>
      </c>
      <c r="N1245" s="9">
        <v>1.8</v>
      </c>
      <c r="O1245" s="10">
        <f>IF(AND(OR(H1245="APPROVED",H1245="SCHEDULED"),COUNTIFS(tblSource[EventID],F1245,tblSource[ReleaseStatus],"APPROVED")=1,COUNTIFS(Period_Status!$A$2:$A$8,G1245,Period_Status!$B$2:$B$8,"ActualClosed")=1,C1245&gt;EOMONTH(Settlement_Bridge!$C$2,0)),1,0)</f>
        <v>0</v>
      </c>
      <c r="P1245" s="2" t="s">
        <v>3576</v>
      </c>
    </row>
    <row r="1246" spans="1:16" x14ac:dyDescent="0.25">
      <c r="A1246" s="2" t="s">
        <v>3577</v>
      </c>
      <c r="B1246" s="2" t="s">
        <v>136</v>
      </c>
      <c r="C1246" s="8">
        <v>46299</v>
      </c>
      <c r="D1246" s="6">
        <v>46296</v>
      </c>
      <c r="E1246" s="2" t="s">
        <v>260</v>
      </c>
      <c r="F1246" s="2" t="s">
        <v>3575</v>
      </c>
      <c r="G1246" s="6">
        <v>46235</v>
      </c>
      <c r="H1246" s="2" t="s">
        <v>176</v>
      </c>
      <c r="I1246" s="2" t="s">
        <v>39</v>
      </c>
      <c r="J1246" s="9">
        <v>4599.9120000000003</v>
      </c>
      <c r="K1246" s="7">
        <v>1</v>
      </c>
      <c r="L1246" s="9">
        <v>4599.91</v>
      </c>
      <c r="M1246" s="9">
        <v>4599.91</v>
      </c>
      <c r="N1246" s="9">
        <v>2.5299999999999998</v>
      </c>
      <c r="O1246" s="10">
        <f>IF(AND(OR(H1246="APPROVED",H1246="SCHEDULED"),COUNTIFS(tblSource[EventID],F1246,tblSource[ReleaseStatus],"APPROVED")=1,COUNTIFS(Period_Status!$A$2:$A$8,G1246,Period_Status!$B$2:$B$8,"ActualClosed")=1,C1246&gt;EOMONTH(Settlement_Bridge!$C$2,0)),1,0)</f>
        <v>0</v>
      </c>
      <c r="P1246" s="2" t="s">
        <v>3578</v>
      </c>
    </row>
    <row r="1247" spans="1:16" x14ac:dyDescent="0.25">
      <c r="A1247" s="2" t="s">
        <v>3579</v>
      </c>
      <c r="B1247" s="2" t="s">
        <v>136</v>
      </c>
      <c r="C1247" s="8">
        <v>46285</v>
      </c>
      <c r="D1247" s="6">
        <v>46266</v>
      </c>
      <c r="E1247" s="2" t="s">
        <v>260</v>
      </c>
      <c r="F1247" s="2" t="s">
        <v>3580</v>
      </c>
      <c r="G1247" s="6">
        <v>46235</v>
      </c>
      <c r="H1247" s="2" t="s">
        <v>176</v>
      </c>
      <c r="I1247" s="2" t="s">
        <v>76</v>
      </c>
      <c r="J1247" s="9">
        <v>127472032.52032501</v>
      </c>
      <c r="K1247" s="7">
        <v>6.1299999999999999E-5</v>
      </c>
      <c r="L1247" s="9">
        <v>7814.04</v>
      </c>
      <c r="M1247" s="9">
        <v>7839.53</v>
      </c>
      <c r="N1247" s="9">
        <v>4.3</v>
      </c>
      <c r="O1247" s="10">
        <f>IF(AND(OR(H1247="APPROVED",H1247="SCHEDULED"),COUNTIFS(tblSource[EventID],F1247,tblSource[ReleaseStatus],"APPROVED")=1,COUNTIFS(Period_Status!$A$2:$A$8,G1247,Period_Status!$B$2:$B$8,"ActualClosed")=1,C1247&gt;EOMONTH(Settlement_Bridge!$C$2,0)),1,0)</f>
        <v>0</v>
      </c>
      <c r="P1247" s="2" t="s">
        <v>3581</v>
      </c>
    </row>
    <row r="1248" spans="1:16" x14ac:dyDescent="0.25">
      <c r="A1248" s="2" t="s">
        <v>3582</v>
      </c>
      <c r="B1248" s="2" t="s">
        <v>136</v>
      </c>
      <c r="C1248" s="8">
        <v>46286</v>
      </c>
      <c r="D1248" s="6">
        <v>46266</v>
      </c>
      <c r="E1248" s="2" t="s">
        <v>260</v>
      </c>
      <c r="F1248" s="2" t="s">
        <v>3583</v>
      </c>
      <c r="G1248" s="6">
        <v>46235</v>
      </c>
      <c r="H1248" s="2" t="s">
        <v>176</v>
      </c>
      <c r="I1248" s="2" t="s">
        <v>70</v>
      </c>
      <c r="J1248" s="9">
        <v>12326.984614999999</v>
      </c>
      <c r="K1248" s="7">
        <v>0.65100000000000002</v>
      </c>
      <c r="L1248" s="9">
        <v>8024.87</v>
      </c>
      <c r="M1248" s="9">
        <v>8012.54</v>
      </c>
      <c r="N1248" s="9">
        <v>4.41</v>
      </c>
      <c r="O1248" s="10">
        <f>IF(AND(OR(H1248="APPROVED",H1248="SCHEDULED"),COUNTIFS(tblSource[EventID],F1248,tblSource[ReleaseStatus],"APPROVED")=1,COUNTIFS(Period_Status!$A$2:$A$8,G1248,Period_Status!$B$2:$B$8,"ActualClosed")=1,C1248&gt;EOMONTH(Settlement_Bridge!$C$2,0)),1,0)</f>
        <v>0</v>
      </c>
      <c r="P1248" s="2" t="s">
        <v>3584</v>
      </c>
    </row>
    <row r="1249" spans="1:16" x14ac:dyDescent="0.25">
      <c r="A1249" s="2" t="s">
        <v>3585</v>
      </c>
      <c r="B1249" s="2" t="s">
        <v>136</v>
      </c>
      <c r="C1249" s="8">
        <v>46277</v>
      </c>
      <c r="D1249" s="6">
        <v>46266</v>
      </c>
      <c r="E1249" s="2" t="s">
        <v>260</v>
      </c>
      <c r="F1249" s="2" t="s">
        <v>3586</v>
      </c>
      <c r="G1249" s="6">
        <v>46235</v>
      </c>
      <c r="H1249" s="2" t="s">
        <v>176</v>
      </c>
      <c r="I1249" s="2" t="s">
        <v>39</v>
      </c>
      <c r="J1249" s="9">
        <v>3274.22</v>
      </c>
      <c r="K1249" s="7">
        <v>1</v>
      </c>
      <c r="L1249" s="9">
        <v>3274.22</v>
      </c>
      <c r="M1249" s="9">
        <v>3274.22</v>
      </c>
      <c r="N1249" s="9">
        <v>1.8</v>
      </c>
      <c r="O1249" s="10">
        <f>IF(AND(OR(H1249="APPROVED",H1249="SCHEDULED"),COUNTIFS(tblSource[EventID],F1249,tblSource[ReleaseStatus],"APPROVED")=1,COUNTIFS(Period_Status!$A$2:$A$8,G1249,Period_Status!$B$2:$B$8,"ActualClosed")=1,C1249&gt;EOMONTH(Settlement_Bridge!$C$2,0)),1,0)</f>
        <v>0</v>
      </c>
      <c r="P1249" s="2" t="s">
        <v>3587</v>
      </c>
    </row>
    <row r="1250" spans="1:16" x14ac:dyDescent="0.25">
      <c r="A1250" s="2" t="s">
        <v>3588</v>
      </c>
      <c r="B1250" s="2" t="s">
        <v>136</v>
      </c>
      <c r="C1250" s="8">
        <v>46302</v>
      </c>
      <c r="D1250" s="6">
        <v>46296</v>
      </c>
      <c r="E1250" s="2" t="s">
        <v>260</v>
      </c>
      <c r="F1250" s="2" t="s">
        <v>3586</v>
      </c>
      <c r="G1250" s="6">
        <v>46235</v>
      </c>
      <c r="H1250" s="2" t="s">
        <v>176</v>
      </c>
      <c r="I1250" s="2" t="s">
        <v>39</v>
      </c>
      <c r="J1250" s="9">
        <v>4911.33</v>
      </c>
      <c r="K1250" s="7">
        <v>1</v>
      </c>
      <c r="L1250" s="9">
        <v>4911.33</v>
      </c>
      <c r="M1250" s="9">
        <v>4911.33</v>
      </c>
      <c r="N1250" s="9">
        <v>2.7</v>
      </c>
      <c r="O1250" s="10">
        <f>IF(AND(OR(H1250="APPROVED",H1250="SCHEDULED"),COUNTIFS(tblSource[EventID],F1250,tblSource[ReleaseStatus],"APPROVED")=1,COUNTIFS(Period_Status!$A$2:$A$8,G1250,Period_Status!$B$2:$B$8,"ActualClosed")=1,C1250&gt;EOMONTH(Settlement_Bridge!$C$2,0)),1,0)</f>
        <v>0</v>
      </c>
      <c r="P1250" s="2" t="s">
        <v>3589</v>
      </c>
    </row>
    <row r="1251" spans="1:16" x14ac:dyDescent="0.25">
      <c r="A1251" s="2" t="s">
        <v>3590</v>
      </c>
      <c r="B1251" s="2" t="s">
        <v>136</v>
      </c>
      <c r="C1251" s="8">
        <v>46288</v>
      </c>
      <c r="D1251" s="6">
        <v>46266</v>
      </c>
      <c r="E1251" s="2" t="s">
        <v>260</v>
      </c>
      <c r="F1251" s="2" t="s">
        <v>3591</v>
      </c>
      <c r="G1251" s="6">
        <v>46235</v>
      </c>
      <c r="H1251" s="2" t="s">
        <v>176</v>
      </c>
      <c r="I1251" s="2" t="s">
        <v>76</v>
      </c>
      <c r="J1251" s="9">
        <v>135911544.71544701</v>
      </c>
      <c r="K1251" s="7">
        <v>6.1299999999999999E-5</v>
      </c>
      <c r="L1251" s="9">
        <v>8331.3799999999992</v>
      </c>
      <c r="M1251" s="9">
        <v>8358.56</v>
      </c>
      <c r="N1251" s="9">
        <v>4.58</v>
      </c>
      <c r="O1251" s="10">
        <f>IF(AND(OR(H1251="APPROVED",H1251="SCHEDULED"),COUNTIFS(tblSource[EventID],F1251,tblSource[ReleaseStatus],"APPROVED")=1,COUNTIFS(Period_Status!$A$2:$A$8,G1251,Period_Status!$B$2:$B$8,"ActualClosed")=1,C1251&gt;EOMONTH(Settlement_Bridge!$C$2,0)),1,0)</f>
        <v>0</v>
      </c>
      <c r="P1251" s="2" t="s">
        <v>3592</v>
      </c>
    </row>
    <row r="1252" spans="1:16" x14ac:dyDescent="0.25">
      <c r="A1252" s="2" t="s">
        <v>3593</v>
      </c>
      <c r="B1252" s="2" t="s">
        <v>136</v>
      </c>
      <c r="C1252" s="8">
        <v>46289</v>
      </c>
      <c r="D1252" s="6">
        <v>46266</v>
      </c>
      <c r="E1252" s="2" t="s">
        <v>260</v>
      </c>
      <c r="F1252" s="2" t="s">
        <v>3594</v>
      </c>
      <c r="G1252" s="6">
        <v>46235</v>
      </c>
      <c r="H1252" s="2" t="s">
        <v>176</v>
      </c>
      <c r="I1252" s="2" t="s">
        <v>70</v>
      </c>
      <c r="J1252" s="9">
        <v>13125.492308000001</v>
      </c>
      <c r="K1252" s="7">
        <v>0.65100000000000002</v>
      </c>
      <c r="L1252" s="9">
        <v>8544.7000000000007</v>
      </c>
      <c r="M1252" s="9">
        <v>8531.57</v>
      </c>
      <c r="N1252" s="9">
        <v>4.7</v>
      </c>
      <c r="O1252" s="10">
        <f>IF(AND(OR(H1252="APPROVED",H1252="SCHEDULED"),COUNTIFS(tblSource[EventID],F1252,tblSource[ReleaseStatus],"APPROVED")=1,COUNTIFS(Period_Status!$A$2:$A$8,G1252,Period_Status!$B$2:$B$8,"ActualClosed")=1,C1252&gt;EOMONTH(Settlement_Bridge!$C$2,0)),1,0)</f>
        <v>0</v>
      </c>
      <c r="P1252" s="2" t="s">
        <v>3595</v>
      </c>
    </row>
    <row r="1253" spans="1:16" x14ac:dyDescent="0.25">
      <c r="A1253" s="2" t="s">
        <v>3596</v>
      </c>
      <c r="B1253" s="2" t="s">
        <v>136</v>
      </c>
      <c r="C1253" s="8">
        <v>46259</v>
      </c>
      <c r="D1253" s="6">
        <v>46235</v>
      </c>
      <c r="E1253" s="2" t="s">
        <v>260</v>
      </c>
      <c r="F1253" s="2" t="s">
        <v>3597</v>
      </c>
      <c r="G1253" s="6">
        <v>46235</v>
      </c>
      <c r="H1253" s="2" t="s">
        <v>71</v>
      </c>
      <c r="I1253" s="2" t="s">
        <v>39</v>
      </c>
      <c r="J1253" s="9">
        <v>8704.58</v>
      </c>
      <c r="K1253" s="7">
        <v>1</v>
      </c>
      <c r="L1253" s="9">
        <v>8704.58</v>
      </c>
      <c r="M1253" s="9">
        <v>8704.58</v>
      </c>
      <c r="N1253" s="9">
        <v>4.79</v>
      </c>
      <c r="O1253" s="10">
        <f>IF(AND(OR(H1253="APPROVED",H1253="SCHEDULED"),COUNTIFS(tblSource[EventID],F1253,tblSource[ReleaseStatus],"APPROVED")=1,COUNTIFS(Period_Status!$A$2:$A$8,G1253,Period_Status!$B$2:$B$8,"ActualClosed")=1,C1253&gt;EOMONTH(Settlement_Bridge!$C$2,0)),1,0)</f>
        <v>0</v>
      </c>
      <c r="P1253" s="2" t="s">
        <v>3598</v>
      </c>
    </row>
    <row r="1254" spans="1:16" x14ac:dyDescent="0.25">
      <c r="A1254" s="2" t="s">
        <v>3599</v>
      </c>
      <c r="B1254" s="2" t="s">
        <v>136</v>
      </c>
      <c r="C1254" s="8">
        <v>46260</v>
      </c>
      <c r="D1254" s="6">
        <v>46235</v>
      </c>
      <c r="E1254" s="2" t="s">
        <v>260</v>
      </c>
      <c r="F1254" s="2" t="s">
        <v>3600</v>
      </c>
      <c r="G1254" s="6">
        <v>46235</v>
      </c>
      <c r="H1254" s="2" t="s">
        <v>71</v>
      </c>
      <c r="I1254" s="2" t="s">
        <v>76</v>
      </c>
      <c r="J1254" s="9">
        <v>144351056.91056901</v>
      </c>
      <c r="K1254" s="7">
        <v>6.1500000000000004E-5</v>
      </c>
      <c r="L1254" s="9">
        <v>8877.59</v>
      </c>
      <c r="M1254" s="9">
        <v>8877.59</v>
      </c>
      <c r="N1254" s="9">
        <v>4.88</v>
      </c>
      <c r="O1254" s="10">
        <f>IF(AND(OR(H1254="APPROVED",H1254="SCHEDULED"),COUNTIFS(tblSource[EventID],F1254,tblSource[ReleaseStatus],"APPROVED")=1,COUNTIFS(Period_Status!$A$2:$A$8,G1254,Period_Status!$B$2:$B$8,"ActualClosed")=1,C1254&gt;EOMONTH(Settlement_Bridge!$C$2,0)),1,0)</f>
        <v>0</v>
      </c>
      <c r="P1254" s="2" t="s">
        <v>3601</v>
      </c>
    </row>
    <row r="1255" spans="1:16" x14ac:dyDescent="0.25">
      <c r="A1255" s="2" t="s">
        <v>3602</v>
      </c>
      <c r="B1255" s="2" t="s">
        <v>136</v>
      </c>
      <c r="C1255" s="8">
        <v>46261</v>
      </c>
      <c r="D1255" s="6">
        <v>46235</v>
      </c>
      <c r="E1255" s="2" t="s">
        <v>260</v>
      </c>
      <c r="F1255" s="2" t="s">
        <v>3603</v>
      </c>
      <c r="G1255" s="6">
        <v>46235</v>
      </c>
      <c r="H1255" s="2" t="s">
        <v>71</v>
      </c>
      <c r="I1255" s="2" t="s">
        <v>70</v>
      </c>
      <c r="J1255" s="9">
        <v>13924</v>
      </c>
      <c r="K1255" s="7">
        <v>0.65</v>
      </c>
      <c r="L1255" s="9">
        <v>9050.6</v>
      </c>
      <c r="M1255" s="9">
        <v>9050.6</v>
      </c>
      <c r="N1255" s="9">
        <v>4.9800000000000004</v>
      </c>
      <c r="O1255" s="10">
        <f>IF(AND(OR(H1255="APPROVED",H1255="SCHEDULED"),COUNTIFS(tblSource[EventID],F1255,tblSource[ReleaseStatus],"APPROVED")=1,COUNTIFS(Period_Status!$A$2:$A$8,G1255,Period_Status!$B$2:$B$8,"ActualClosed")=1,C1255&gt;EOMONTH(Settlement_Bridge!$C$2,0)),1,0)</f>
        <v>0</v>
      </c>
      <c r="P1255" s="2" t="s">
        <v>3604</v>
      </c>
    </row>
    <row r="1256" spans="1:16" x14ac:dyDescent="0.25">
      <c r="A1256" s="2" t="s">
        <v>3605</v>
      </c>
      <c r="B1256" s="2" t="s">
        <v>136</v>
      </c>
      <c r="C1256" s="8">
        <v>46252</v>
      </c>
      <c r="D1256" s="6">
        <v>46235</v>
      </c>
      <c r="E1256" s="2" t="s">
        <v>260</v>
      </c>
      <c r="F1256" s="2" t="s">
        <v>3606</v>
      </c>
      <c r="G1256" s="6">
        <v>46235</v>
      </c>
      <c r="H1256" s="2" t="s">
        <v>71</v>
      </c>
      <c r="I1256" s="2" t="s">
        <v>39</v>
      </c>
      <c r="J1256" s="9">
        <v>3689.444</v>
      </c>
      <c r="K1256" s="7">
        <v>1</v>
      </c>
      <c r="L1256" s="9">
        <v>3689.44</v>
      </c>
      <c r="M1256" s="9">
        <v>3689.44</v>
      </c>
      <c r="N1256" s="9">
        <v>2.0299999999999998</v>
      </c>
      <c r="O1256" s="10">
        <f>IF(AND(OR(H1256="APPROVED",H1256="SCHEDULED"),COUNTIFS(tblSource[EventID],F1256,tblSource[ReleaseStatus],"APPROVED")=1,COUNTIFS(Period_Status!$A$2:$A$8,G1256,Period_Status!$B$2:$B$8,"ActualClosed")=1,C1256&gt;EOMONTH(Settlement_Bridge!$C$2,0)),1,0)</f>
        <v>0</v>
      </c>
      <c r="P1256" s="2" t="s">
        <v>3607</v>
      </c>
    </row>
    <row r="1257" spans="1:16" x14ac:dyDescent="0.25">
      <c r="A1257" s="2" t="s">
        <v>3608</v>
      </c>
      <c r="B1257" s="2" t="s">
        <v>136</v>
      </c>
      <c r="C1257" s="8">
        <v>46277</v>
      </c>
      <c r="D1257" s="6">
        <v>46266</v>
      </c>
      <c r="E1257" s="2" t="s">
        <v>260</v>
      </c>
      <c r="F1257" s="2" t="s">
        <v>3606</v>
      </c>
      <c r="G1257" s="6">
        <v>46235</v>
      </c>
      <c r="H1257" s="2" t="s">
        <v>176</v>
      </c>
      <c r="I1257" s="2" t="s">
        <v>39</v>
      </c>
      <c r="J1257" s="9">
        <v>5534.1660000000002</v>
      </c>
      <c r="K1257" s="7">
        <v>1</v>
      </c>
      <c r="L1257" s="9">
        <v>5534.17</v>
      </c>
      <c r="M1257" s="9">
        <v>5534.17</v>
      </c>
      <c r="N1257" s="9">
        <v>3.04</v>
      </c>
      <c r="O1257" s="10">
        <f>IF(AND(OR(H1257="APPROVED",H1257="SCHEDULED"),COUNTIFS(tblSource[EventID],F1257,tblSource[ReleaseStatus],"APPROVED")=1,COUNTIFS(Period_Status!$A$2:$A$8,G1257,Period_Status!$B$2:$B$8,"ActualClosed")=1,C1257&gt;EOMONTH(Settlement_Bridge!$C$2,0)),1,0)</f>
        <v>0</v>
      </c>
      <c r="P1257" s="2" t="s">
        <v>3609</v>
      </c>
    </row>
    <row r="1258" spans="1:16" x14ac:dyDescent="0.25">
      <c r="A1258" s="2" t="s">
        <v>3610</v>
      </c>
      <c r="B1258" s="2" t="s">
        <v>136</v>
      </c>
      <c r="C1258" s="8">
        <v>46253</v>
      </c>
      <c r="D1258" s="6">
        <v>46235</v>
      </c>
      <c r="E1258" s="2" t="s">
        <v>260</v>
      </c>
      <c r="F1258" s="2" t="s">
        <v>3611</v>
      </c>
      <c r="G1258" s="6">
        <v>46235</v>
      </c>
      <c r="H1258" s="2" t="s">
        <v>71</v>
      </c>
      <c r="I1258" s="2" t="s">
        <v>76</v>
      </c>
      <c r="J1258" s="9">
        <v>61116227.642275997</v>
      </c>
      <c r="K1258" s="7">
        <v>6.1500000000000004E-5</v>
      </c>
      <c r="L1258" s="9">
        <v>3758.65</v>
      </c>
      <c r="M1258" s="9">
        <v>3758.65</v>
      </c>
      <c r="N1258" s="9">
        <v>2.0699999999999998</v>
      </c>
      <c r="O1258" s="10">
        <f>IF(AND(OR(H1258="APPROVED",H1258="SCHEDULED"),COUNTIFS(tblSource[EventID],F1258,tblSource[ReleaseStatus],"APPROVED")=1,COUNTIFS(Period_Status!$A$2:$A$8,G1258,Period_Status!$B$2:$B$8,"ActualClosed")=1,C1258&gt;EOMONTH(Settlement_Bridge!$C$2,0)),1,0)</f>
        <v>0</v>
      </c>
      <c r="P1258" s="2" t="s">
        <v>3612</v>
      </c>
    </row>
    <row r="1259" spans="1:16" x14ac:dyDescent="0.25">
      <c r="A1259" s="2" t="s">
        <v>3613</v>
      </c>
      <c r="B1259" s="2" t="s">
        <v>136</v>
      </c>
      <c r="C1259" s="8">
        <v>46278</v>
      </c>
      <c r="D1259" s="6">
        <v>46266</v>
      </c>
      <c r="E1259" s="2" t="s">
        <v>260</v>
      </c>
      <c r="F1259" s="2" t="s">
        <v>3611</v>
      </c>
      <c r="G1259" s="6">
        <v>46235</v>
      </c>
      <c r="H1259" s="2" t="s">
        <v>176</v>
      </c>
      <c r="I1259" s="2" t="s">
        <v>76</v>
      </c>
      <c r="J1259" s="9">
        <v>91674341.463414997</v>
      </c>
      <c r="K1259" s="7">
        <v>6.1299999999999999E-5</v>
      </c>
      <c r="L1259" s="9">
        <v>5619.64</v>
      </c>
      <c r="M1259" s="9">
        <v>5637.97</v>
      </c>
      <c r="N1259" s="9">
        <v>3.09</v>
      </c>
      <c r="O1259" s="10">
        <f>IF(AND(OR(H1259="APPROVED",H1259="SCHEDULED"),COUNTIFS(tblSource[EventID],F1259,tblSource[ReleaseStatus],"APPROVED")=1,COUNTIFS(Period_Status!$A$2:$A$8,G1259,Period_Status!$B$2:$B$8,"ActualClosed")=1,C1259&gt;EOMONTH(Settlement_Bridge!$C$2,0)),1,0)</f>
        <v>0</v>
      </c>
      <c r="P1259" s="2" t="s">
        <v>3614</v>
      </c>
    </row>
    <row r="1260" spans="1:16" x14ac:dyDescent="0.25">
      <c r="A1260" s="2" t="s">
        <v>3615</v>
      </c>
      <c r="B1260" s="2" t="s">
        <v>136</v>
      </c>
      <c r="C1260" s="8">
        <v>46264</v>
      </c>
      <c r="D1260" s="6">
        <v>46235</v>
      </c>
      <c r="E1260" s="2" t="s">
        <v>260</v>
      </c>
      <c r="F1260" s="2" t="s">
        <v>3616</v>
      </c>
      <c r="G1260" s="6">
        <v>46235</v>
      </c>
      <c r="H1260" s="2" t="s">
        <v>71</v>
      </c>
      <c r="I1260" s="2" t="s">
        <v>70</v>
      </c>
      <c r="J1260" s="9">
        <v>14722.507691999999</v>
      </c>
      <c r="K1260" s="7">
        <v>0.65</v>
      </c>
      <c r="L1260" s="9">
        <v>9569.6299999999992</v>
      </c>
      <c r="M1260" s="9">
        <v>9569.6299999999992</v>
      </c>
      <c r="N1260" s="9">
        <v>5.26</v>
      </c>
      <c r="O1260" s="10">
        <f>IF(AND(OR(H1260="APPROVED",H1260="SCHEDULED"),COUNTIFS(tblSource[EventID],F1260,tblSource[ReleaseStatus],"APPROVED")=1,COUNTIFS(Period_Status!$A$2:$A$8,G1260,Period_Status!$B$2:$B$8,"ActualClosed")=1,C1260&gt;EOMONTH(Settlement_Bridge!$C$2,0)),1,0)</f>
        <v>0</v>
      </c>
      <c r="P1260" s="2" t="s">
        <v>3617</v>
      </c>
    </row>
    <row r="1261" spans="1:16" x14ac:dyDescent="0.25">
      <c r="A1261" s="2" t="s">
        <v>3618</v>
      </c>
      <c r="B1261" s="2" t="s">
        <v>136</v>
      </c>
      <c r="C1261" s="8">
        <v>46265</v>
      </c>
      <c r="D1261" s="6">
        <v>46235</v>
      </c>
      <c r="E1261" s="2" t="s">
        <v>260</v>
      </c>
      <c r="F1261" s="2" t="s">
        <v>3619</v>
      </c>
      <c r="G1261" s="6">
        <v>46235</v>
      </c>
      <c r="H1261" s="2" t="s">
        <v>71</v>
      </c>
      <c r="I1261" s="2" t="s">
        <v>39</v>
      </c>
      <c r="J1261" s="9">
        <v>9742.64</v>
      </c>
      <c r="K1261" s="7">
        <v>1</v>
      </c>
      <c r="L1261" s="9">
        <v>9742.64</v>
      </c>
      <c r="M1261" s="9">
        <v>9742.64</v>
      </c>
      <c r="N1261" s="9">
        <v>5.36</v>
      </c>
      <c r="O1261" s="10">
        <f>IF(AND(OR(H1261="APPROVED",H1261="SCHEDULED"),COUNTIFS(tblSource[EventID],F1261,tblSource[ReleaseStatus],"APPROVED")=1,COUNTIFS(Period_Status!$A$2:$A$8,G1261,Period_Status!$B$2:$B$8,"ActualClosed")=1,C1261&gt;EOMONTH(Settlement_Bridge!$C$2,0)),1,0)</f>
        <v>0</v>
      </c>
      <c r="P1261" s="2" t="s">
        <v>3620</v>
      </c>
    </row>
    <row r="1262" spans="1:16" x14ac:dyDescent="0.25">
      <c r="A1262" s="2" t="s">
        <v>3621</v>
      </c>
      <c r="B1262" s="2" t="s">
        <v>136</v>
      </c>
      <c r="C1262" s="8">
        <v>46256</v>
      </c>
      <c r="D1262" s="6">
        <v>46235</v>
      </c>
      <c r="E1262" s="2" t="s">
        <v>260</v>
      </c>
      <c r="F1262" s="2" t="s">
        <v>3622</v>
      </c>
      <c r="G1262" s="6">
        <v>46235</v>
      </c>
      <c r="H1262" s="2" t="s">
        <v>71</v>
      </c>
      <c r="I1262" s="2" t="s">
        <v>76</v>
      </c>
      <c r="J1262" s="9">
        <v>64492032.520324998</v>
      </c>
      <c r="K1262" s="7">
        <v>6.1500000000000004E-5</v>
      </c>
      <c r="L1262" s="9">
        <v>3966.26</v>
      </c>
      <c r="M1262" s="9">
        <v>3966.26</v>
      </c>
      <c r="N1262" s="9">
        <v>2.1800000000000002</v>
      </c>
      <c r="O1262" s="10">
        <f>IF(AND(OR(H1262="APPROVED",H1262="SCHEDULED"),COUNTIFS(tblSource[EventID],F1262,tblSource[ReleaseStatus],"APPROVED")=1,COUNTIFS(Period_Status!$A$2:$A$8,G1262,Period_Status!$B$2:$B$8,"ActualClosed")=1,C1262&gt;EOMONTH(Settlement_Bridge!$C$2,0)),1,0)</f>
        <v>0</v>
      </c>
      <c r="P1262" s="2" t="s">
        <v>3623</v>
      </c>
    </row>
    <row r="1263" spans="1:16" x14ac:dyDescent="0.25">
      <c r="A1263" s="2" t="s">
        <v>3624</v>
      </c>
      <c r="B1263" s="2" t="s">
        <v>136</v>
      </c>
      <c r="C1263" s="8">
        <v>46281</v>
      </c>
      <c r="D1263" s="6">
        <v>46266</v>
      </c>
      <c r="E1263" s="2" t="s">
        <v>260</v>
      </c>
      <c r="F1263" s="2" t="s">
        <v>3622</v>
      </c>
      <c r="G1263" s="6">
        <v>46235</v>
      </c>
      <c r="H1263" s="2" t="s">
        <v>176</v>
      </c>
      <c r="I1263" s="2" t="s">
        <v>76</v>
      </c>
      <c r="J1263" s="9">
        <v>96738048.780487999</v>
      </c>
      <c r="K1263" s="7">
        <v>6.1299999999999999E-5</v>
      </c>
      <c r="L1263" s="9">
        <v>5930.04</v>
      </c>
      <c r="M1263" s="9">
        <v>5949.39</v>
      </c>
      <c r="N1263" s="9">
        <v>3.26</v>
      </c>
      <c r="O1263" s="10">
        <f>IF(AND(OR(H1263="APPROVED",H1263="SCHEDULED"),COUNTIFS(tblSource[EventID],F1263,tblSource[ReleaseStatus],"APPROVED")=1,COUNTIFS(Period_Status!$A$2:$A$8,G1263,Period_Status!$B$2:$B$8,"ActualClosed")=1,C1263&gt;EOMONTH(Settlement_Bridge!$C$2,0)),1,0)</f>
        <v>0</v>
      </c>
      <c r="P1263" s="2" t="s">
        <v>3625</v>
      </c>
    </row>
    <row r="1264" spans="1:16" x14ac:dyDescent="0.25">
      <c r="A1264" s="2" t="s">
        <v>3626</v>
      </c>
      <c r="B1264" s="2" t="s">
        <v>136</v>
      </c>
      <c r="C1264" s="8">
        <v>46267</v>
      </c>
      <c r="D1264" s="6">
        <v>46266</v>
      </c>
      <c r="E1264" s="2" t="s">
        <v>260</v>
      </c>
      <c r="F1264" s="2" t="s">
        <v>3627</v>
      </c>
      <c r="G1264" s="6">
        <v>46235</v>
      </c>
      <c r="H1264" s="2" t="s">
        <v>176</v>
      </c>
      <c r="I1264" s="2" t="s">
        <v>70</v>
      </c>
      <c r="J1264" s="9">
        <v>15521.015385000001</v>
      </c>
      <c r="K1264" s="7">
        <v>0.65100000000000002</v>
      </c>
      <c r="L1264" s="9">
        <v>10104.18</v>
      </c>
      <c r="M1264" s="9">
        <v>10088.66</v>
      </c>
      <c r="N1264" s="9">
        <v>5.56</v>
      </c>
      <c r="O1264" s="10">
        <f>IF(AND(OR(H1264="APPROVED",H1264="SCHEDULED"),COUNTIFS(tblSource[EventID],F1264,tblSource[ReleaseStatus],"APPROVED")=1,COUNTIFS(Period_Status!$A$2:$A$8,G1264,Period_Status!$B$2:$B$8,"ActualClosed")=1,C1264&gt;EOMONTH(Settlement_Bridge!$C$2,0)),1,0)</f>
        <v>0</v>
      </c>
      <c r="P1264" s="2" t="s">
        <v>3628</v>
      </c>
    </row>
    <row r="1265" spans="1:16" x14ac:dyDescent="0.25">
      <c r="A1265" s="2" t="s">
        <v>3629</v>
      </c>
      <c r="B1265" s="2" t="s">
        <v>136</v>
      </c>
      <c r="C1265" s="8">
        <v>46268</v>
      </c>
      <c r="D1265" s="6">
        <v>46266</v>
      </c>
      <c r="E1265" s="2" t="s">
        <v>260</v>
      </c>
      <c r="F1265" s="2" t="s">
        <v>3630</v>
      </c>
      <c r="G1265" s="6">
        <v>46235</v>
      </c>
      <c r="H1265" s="2" t="s">
        <v>176</v>
      </c>
      <c r="I1265" s="2" t="s">
        <v>39</v>
      </c>
      <c r="J1265" s="9">
        <v>10261.67</v>
      </c>
      <c r="K1265" s="7">
        <v>1</v>
      </c>
      <c r="L1265" s="9">
        <v>10261.67</v>
      </c>
      <c r="M1265" s="9">
        <v>10261.67</v>
      </c>
      <c r="N1265" s="9">
        <v>5.64</v>
      </c>
      <c r="O1265" s="10">
        <f>IF(AND(OR(H1265="APPROVED",H1265="SCHEDULED"),COUNTIFS(tblSource[EventID],F1265,tblSource[ReleaseStatus],"APPROVED")=1,COUNTIFS(Period_Status!$A$2:$A$8,G1265,Period_Status!$B$2:$B$8,"ActualClosed")=1,C1265&gt;EOMONTH(Settlement_Bridge!$C$2,0)),1,0)</f>
        <v>0</v>
      </c>
      <c r="P1265" s="2" t="s">
        <v>3631</v>
      </c>
    </row>
    <row r="1266" spans="1:16" x14ac:dyDescent="0.25">
      <c r="A1266" s="2" t="s">
        <v>3632</v>
      </c>
      <c r="B1266" s="2" t="s">
        <v>136</v>
      </c>
      <c r="C1266" s="8">
        <v>46269</v>
      </c>
      <c r="D1266" s="6">
        <v>46266</v>
      </c>
      <c r="E1266" s="2" t="s">
        <v>260</v>
      </c>
      <c r="F1266" s="2" t="s">
        <v>3633</v>
      </c>
      <c r="G1266" s="6">
        <v>46235</v>
      </c>
      <c r="H1266" s="2" t="s">
        <v>176</v>
      </c>
      <c r="I1266" s="2" t="s">
        <v>76</v>
      </c>
      <c r="J1266" s="9">
        <v>169669593.49593499</v>
      </c>
      <c r="K1266" s="7">
        <v>6.1299999999999999E-5</v>
      </c>
      <c r="L1266" s="9">
        <v>10400.75</v>
      </c>
      <c r="M1266" s="9">
        <v>10434.68</v>
      </c>
      <c r="N1266" s="9">
        <v>5.72</v>
      </c>
      <c r="O1266" s="10">
        <f>IF(AND(OR(H1266="APPROVED",H1266="SCHEDULED"),COUNTIFS(tblSource[EventID],F1266,tblSource[ReleaseStatus],"APPROVED")=1,COUNTIFS(Period_Status!$A$2:$A$8,G1266,Period_Status!$B$2:$B$8,"ActualClosed")=1,C1266&gt;EOMONTH(Settlement_Bridge!$C$2,0)),1,0)</f>
        <v>0</v>
      </c>
      <c r="P1266" s="2" t="s">
        <v>3634</v>
      </c>
    </row>
    <row r="1267" spans="1:16" x14ac:dyDescent="0.25">
      <c r="A1267" s="2" t="s">
        <v>3635</v>
      </c>
      <c r="B1267" s="2" t="s">
        <v>136</v>
      </c>
      <c r="C1267" s="8">
        <v>46270</v>
      </c>
      <c r="D1267" s="6">
        <v>46266</v>
      </c>
      <c r="E1267" s="2" t="s">
        <v>260</v>
      </c>
      <c r="F1267" s="2" t="s">
        <v>3636</v>
      </c>
      <c r="G1267" s="6">
        <v>46235</v>
      </c>
      <c r="H1267" s="2" t="s">
        <v>176</v>
      </c>
      <c r="I1267" s="2" t="s">
        <v>70</v>
      </c>
      <c r="J1267" s="9">
        <v>16319.523077</v>
      </c>
      <c r="K1267" s="7">
        <v>0.65100000000000002</v>
      </c>
      <c r="L1267" s="9">
        <v>10624.01</v>
      </c>
      <c r="M1267" s="9">
        <v>10607.69</v>
      </c>
      <c r="N1267" s="9">
        <v>5.84</v>
      </c>
      <c r="O1267" s="10">
        <f>IF(AND(OR(H1267="APPROVED",H1267="SCHEDULED"),COUNTIFS(tblSource[EventID],F1267,tblSource[ReleaseStatus],"APPROVED")=1,COUNTIFS(Period_Status!$A$2:$A$8,G1267,Period_Status!$B$2:$B$8,"ActualClosed")=1,C1267&gt;EOMONTH(Settlement_Bridge!$C$2,0)),1,0)</f>
        <v>0</v>
      </c>
      <c r="P1267" s="2" t="s">
        <v>3637</v>
      </c>
    </row>
    <row r="1268" spans="1:16" x14ac:dyDescent="0.25">
      <c r="A1268" s="2" t="s">
        <v>3638</v>
      </c>
      <c r="B1268" s="2" t="s">
        <v>136</v>
      </c>
      <c r="C1268" s="8">
        <v>46271</v>
      </c>
      <c r="D1268" s="6">
        <v>46266</v>
      </c>
      <c r="E1268" s="2" t="s">
        <v>260</v>
      </c>
      <c r="F1268" s="2" t="s">
        <v>3639</v>
      </c>
      <c r="G1268" s="6">
        <v>46235</v>
      </c>
      <c r="H1268" s="2" t="s">
        <v>176</v>
      </c>
      <c r="I1268" s="2" t="s">
        <v>39</v>
      </c>
      <c r="J1268" s="9">
        <v>-10780.7</v>
      </c>
      <c r="K1268" s="7">
        <v>1</v>
      </c>
      <c r="L1268" s="9">
        <v>-10780.7</v>
      </c>
      <c r="M1268" s="9">
        <v>-10780.7</v>
      </c>
      <c r="N1268" s="9">
        <v>0</v>
      </c>
      <c r="O1268" s="10">
        <f>IF(AND(OR(H1268="APPROVED",H1268="SCHEDULED"),COUNTIFS(tblSource[EventID],F1268,tblSource[ReleaseStatus],"APPROVED")=1,COUNTIFS(Period_Status!$A$2:$A$8,G1268,Period_Status!$B$2:$B$8,"ActualClosed")=1,C1268&gt;EOMONTH(Settlement_Bridge!$C$2,0)),1,0)</f>
        <v>0</v>
      </c>
      <c r="P1268" s="2" t="s">
        <v>3640</v>
      </c>
    </row>
    <row r="1269" spans="1:16" x14ac:dyDescent="0.25">
      <c r="A1269" s="2" t="s">
        <v>3641</v>
      </c>
      <c r="B1269" s="2" t="s">
        <v>136</v>
      </c>
      <c r="C1269" s="8">
        <v>46262</v>
      </c>
      <c r="D1269" s="6">
        <v>46235</v>
      </c>
      <c r="E1269" s="2" t="s">
        <v>260</v>
      </c>
      <c r="F1269" s="2" t="s">
        <v>3642</v>
      </c>
      <c r="G1269" s="6">
        <v>46235</v>
      </c>
      <c r="H1269" s="2" t="s">
        <v>71</v>
      </c>
      <c r="I1269" s="2" t="s">
        <v>76</v>
      </c>
      <c r="J1269" s="9">
        <v>71243642.276423007</v>
      </c>
      <c r="K1269" s="7">
        <v>6.1500000000000004E-5</v>
      </c>
      <c r="L1269" s="9">
        <v>4381.4799999999996</v>
      </c>
      <c r="M1269" s="9">
        <v>4381.4799999999996</v>
      </c>
      <c r="N1269" s="9">
        <v>2.41</v>
      </c>
      <c r="O1269" s="10">
        <f>IF(AND(OR(H1269="APPROVED",H1269="SCHEDULED"),COUNTIFS(tblSource[EventID],F1269,tblSource[ReleaseStatus],"APPROVED")=1,COUNTIFS(Period_Status!$A$2:$A$8,G1269,Period_Status!$B$2:$B$8,"ActualClosed")=1,C1269&gt;EOMONTH(Settlement_Bridge!$C$2,0)),1,0)</f>
        <v>0</v>
      </c>
      <c r="P1269" s="2" t="s">
        <v>3643</v>
      </c>
    </row>
    <row r="1270" spans="1:16" x14ac:dyDescent="0.25">
      <c r="A1270" s="2" t="s">
        <v>3644</v>
      </c>
      <c r="B1270" s="2" t="s">
        <v>136</v>
      </c>
      <c r="C1270" s="8">
        <v>46287</v>
      </c>
      <c r="D1270" s="6">
        <v>46266</v>
      </c>
      <c r="E1270" s="2" t="s">
        <v>260</v>
      </c>
      <c r="F1270" s="2" t="s">
        <v>3642</v>
      </c>
      <c r="G1270" s="6">
        <v>46235</v>
      </c>
      <c r="H1270" s="2" t="s">
        <v>176</v>
      </c>
      <c r="I1270" s="2" t="s">
        <v>76</v>
      </c>
      <c r="J1270" s="9">
        <v>106865463.414634</v>
      </c>
      <c r="K1270" s="7">
        <v>6.1299999999999999E-5</v>
      </c>
      <c r="L1270" s="9">
        <v>6550.85</v>
      </c>
      <c r="M1270" s="9">
        <v>6572.23</v>
      </c>
      <c r="N1270" s="9">
        <v>3.6</v>
      </c>
      <c r="O1270" s="10">
        <f>IF(AND(OR(H1270="APPROVED",H1270="SCHEDULED"),COUNTIFS(tblSource[EventID],F1270,tblSource[ReleaseStatus],"APPROVED")=1,COUNTIFS(Period_Status!$A$2:$A$8,G1270,Period_Status!$B$2:$B$8,"ActualClosed")=1,C1270&gt;EOMONTH(Settlement_Bridge!$C$2,0)),1,0)</f>
        <v>0</v>
      </c>
      <c r="P1270" s="2" t="s">
        <v>3645</v>
      </c>
    </row>
    <row r="1271" spans="1:16" x14ac:dyDescent="0.25">
      <c r="A1271" s="2" t="s">
        <v>3646</v>
      </c>
      <c r="B1271" s="2" t="s">
        <v>136</v>
      </c>
      <c r="C1271" s="8">
        <v>46263</v>
      </c>
      <c r="D1271" s="6">
        <v>46235</v>
      </c>
      <c r="E1271" s="2" t="s">
        <v>260</v>
      </c>
      <c r="F1271" s="2" t="s">
        <v>3647</v>
      </c>
      <c r="G1271" s="6">
        <v>46235</v>
      </c>
      <c r="H1271" s="2" t="s">
        <v>71</v>
      </c>
      <c r="I1271" s="2" t="s">
        <v>70</v>
      </c>
      <c r="J1271" s="9">
        <v>6847.2123080000001</v>
      </c>
      <c r="K1271" s="7">
        <v>0.65</v>
      </c>
      <c r="L1271" s="9">
        <v>4450.6899999999996</v>
      </c>
      <c r="M1271" s="9">
        <v>4450.6899999999996</v>
      </c>
      <c r="N1271" s="9">
        <v>2.4500000000000002</v>
      </c>
      <c r="O1271" s="10">
        <f>IF(AND(OR(H1271="APPROVED",H1271="SCHEDULED"),COUNTIFS(tblSource[EventID],F1271,tblSource[ReleaseStatus],"APPROVED")=1,COUNTIFS(Period_Status!$A$2:$A$8,G1271,Period_Status!$B$2:$B$8,"ActualClosed")=1,C1271&gt;EOMONTH(Settlement_Bridge!$C$2,0)),1,0)</f>
        <v>0</v>
      </c>
      <c r="P1271" s="2" t="s">
        <v>3648</v>
      </c>
    </row>
    <row r="1272" spans="1:16" x14ac:dyDescent="0.25">
      <c r="A1272" s="2" t="s">
        <v>3649</v>
      </c>
      <c r="B1272" s="2" t="s">
        <v>136</v>
      </c>
      <c r="C1272" s="8">
        <v>46288</v>
      </c>
      <c r="D1272" s="6">
        <v>46266</v>
      </c>
      <c r="E1272" s="2" t="s">
        <v>260</v>
      </c>
      <c r="F1272" s="2" t="s">
        <v>3647</v>
      </c>
      <c r="G1272" s="6">
        <v>46235</v>
      </c>
      <c r="H1272" s="2" t="s">
        <v>176</v>
      </c>
      <c r="I1272" s="2" t="s">
        <v>70</v>
      </c>
      <c r="J1272" s="9">
        <v>10270.818461000001</v>
      </c>
      <c r="K1272" s="7">
        <v>0.65100000000000002</v>
      </c>
      <c r="L1272" s="9">
        <v>6686.3</v>
      </c>
      <c r="M1272" s="9">
        <v>6676.03</v>
      </c>
      <c r="N1272" s="9">
        <v>3.68</v>
      </c>
      <c r="O1272" s="10">
        <f>IF(AND(OR(H1272="APPROVED",H1272="SCHEDULED"),COUNTIFS(tblSource[EventID],F1272,tblSource[ReleaseStatus],"APPROVED")=1,COUNTIFS(Period_Status!$A$2:$A$8,G1272,Period_Status!$B$2:$B$8,"ActualClosed")=1,C1272&gt;EOMONTH(Settlement_Bridge!$C$2,0)),1,0)</f>
        <v>0</v>
      </c>
      <c r="P1272" s="2" t="s">
        <v>3650</v>
      </c>
    </row>
    <row r="1273" spans="1:16" x14ac:dyDescent="0.25">
      <c r="A1273" s="2" t="s">
        <v>3651</v>
      </c>
      <c r="B1273" s="2" t="s">
        <v>136</v>
      </c>
      <c r="C1273" s="8">
        <v>46274</v>
      </c>
      <c r="D1273" s="6">
        <v>46266</v>
      </c>
      <c r="E1273" s="2" t="s">
        <v>260</v>
      </c>
      <c r="F1273" s="2" t="s">
        <v>3652</v>
      </c>
      <c r="G1273" s="6">
        <v>46235</v>
      </c>
      <c r="H1273" s="2" t="s">
        <v>176</v>
      </c>
      <c r="I1273" s="2" t="s">
        <v>39</v>
      </c>
      <c r="J1273" s="9">
        <v>11299.73</v>
      </c>
      <c r="K1273" s="7">
        <v>1</v>
      </c>
      <c r="L1273" s="9">
        <v>11299.73</v>
      </c>
      <c r="M1273" s="9">
        <v>11299.73</v>
      </c>
      <c r="N1273" s="9">
        <v>6.21</v>
      </c>
      <c r="O1273" s="10">
        <f>IF(AND(OR(H1273="APPROVED",H1273="SCHEDULED"),COUNTIFS(tblSource[EventID],F1273,tblSource[ReleaseStatus],"APPROVED")=1,COUNTIFS(Period_Status!$A$2:$A$8,G1273,Period_Status!$B$2:$B$8,"ActualClosed")=1,C1273&gt;EOMONTH(Settlement_Bridge!$C$2,0)),1,0)</f>
        <v>0</v>
      </c>
      <c r="P1273" s="2" t="s">
        <v>3653</v>
      </c>
    </row>
    <row r="1274" spans="1:16" x14ac:dyDescent="0.25">
      <c r="A1274" s="2" t="s">
        <v>3654</v>
      </c>
      <c r="B1274" s="2" t="s">
        <v>136</v>
      </c>
      <c r="C1274" s="8">
        <v>46275</v>
      </c>
      <c r="D1274" s="6">
        <v>46266</v>
      </c>
      <c r="E1274" s="2" t="s">
        <v>260</v>
      </c>
      <c r="F1274" s="2" t="s">
        <v>3655</v>
      </c>
      <c r="G1274" s="6">
        <v>46235</v>
      </c>
      <c r="H1274" s="2" t="s">
        <v>176</v>
      </c>
      <c r="I1274" s="2" t="s">
        <v>76</v>
      </c>
      <c r="J1274" s="9">
        <v>186548617.886179</v>
      </c>
      <c r="K1274" s="7">
        <v>6.1299999999999999E-5</v>
      </c>
      <c r="L1274" s="9">
        <v>11435.43</v>
      </c>
      <c r="M1274" s="9">
        <v>11472.74</v>
      </c>
      <c r="N1274" s="9">
        <v>6.29</v>
      </c>
      <c r="O1274" s="10">
        <f>IF(AND(OR(H1274="APPROVED",H1274="SCHEDULED"),COUNTIFS(tblSource[EventID],F1274,tblSource[ReleaseStatus],"APPROVED")=1,COUNTIFS(Period_Status!$A$2:$A$8,G1274,Period_Status!$B$2:$B$8,"ActualClosed")=1,C1274&gt;EOMONTH(Settlement_Bridge!$C$2,0)),1,0)</f>
        <v>0</v>
      </c>
      <c r="P1274" s="2" t="s">
        <v>3656</v>
      </c>
    </row>
    <row r="1275" spans="1:16" x14ac:dyDescent="0.25">
      <c r="A1275" s="2" t="s">
        <v>3657</v>
      </c>
      <c r="B1275" s="2" t="s">
        <v>136</v>
      </c>
      <c r="C1275" s="8">
        <v>46266</v>
      </c>
      <c r="D1275" s="6">
        <v>46266</v>
      </c>
      <c r="E1275" s="2" t="s">
        <v>260</v>
      </c>
      <c r="F1275" s="2" t="s">
        <v>3658</v>
      </c>
      <c r="G1275" s="6">
        <v>46235</v>
      </c>
      <c r="H1275" s="2" t="s">
        <v>176</v>
      </c>
      <c r="I1275" s="2" t="s">
        <v>70</v>
      </c>
      <c r="J1275" s="9">
        <v>7166.6153850000001</v>
      </c>
      <c r="K1275" s="7">
        <v>0.65100000000000002</v>
      </c>
      <c r="L1275" s="9">
        <v>4665.47</v>
      </c>
      <c r="M1275" s="9">
        <v>4658.3</v>
      </c>
      <c r="N1275" s="9">
        <v>2.57</v>
      </c>
      <c r="O1275" s="10">
        <f>IF(AND(OR(H1275="APPROVED",H1275="SCHEDULED"),COUNTIFS(tblSource[EventID],F1275,tblSource[ReleaseStatus],"APPROVED")=1,COUNTIFS(Period_Status!$A$2:$A$8,G1275,Period_Status!$B$2:$B$8,"ActualClosed")=1,C1275&gt;EOMONTH(Settlement_Bridge!$C$2,0)),1,0)</f>
        <v>0</v>
      </c>
      <c r="P1275" s="2" t="s">
        <v>3659</v>
      </c>
    </row>
    <row r="1276" spans="1:16" x14ac:dyDescent="0.25">
      <c r="A1276" s="2" t="s">
        <v>3660</v>
      </c>
      <c r="B1276" s="2" t="s">
        <v>136</v>
      </c>
      <c r="C1276" s="8">
        <v>46291</v>
      </c>
      <c r="D1276" s="6">
        <v>46266</v>
      </c>
      <c r="E1276" s="2" t="s">
        <v>260</v>
      </c>
      <c r="F1276" s="2" t="s">
        <v>3658</v>
      </c>
      <c r="G1276" s="6">
        <v>46235</v>
      </c>
      <c r="H1276" s="2" t="s">
        <v>176</v>
      </c>
      <c r="I1276" s="2" t="s">
        <v>70</v>
      </c>
      <c r="J1276" s="9">
        <v>10749.923076999999</v>
      </c>
      <c r="K1276" s="7">
        <v>0.65100000000000002</v>
      </c>
      <c r="L1276" s="9">
        <v>6998.2</v>
      </c>
      <c r="M1276" s="9">
        <v>6987.45</v>
      </c>
      <c r="N1276" s="9">
        <v>3.85</v>
      </c>
      <c r="O1276" s="10">
        <f>IF(AND(OR(H1276="APPROVED",H1276="SCHEDULED"),COUNTIFS(tblSource[EventID],F1276,tblSource[ReleaseStatus],"APPROVED")=1,COUNTIFS(Period_Status!$A$2:$A$8,G1276,Period_Status!$B$2:$B$8,"ActualClosed")=1,C1276&gt;EOMONTH(Settlement_Bridge!$C$2,0)),1,0)</f>
        <v>0</v>
      </c>
      <c r="P1276" s="2" t="s">
        <v>3661</v>
      </c>
    </row>
    <row r="1277" spans="1:16" x14ac:dyDescent="0.25">
      <c r="A1277" s="2" t="s">
        <v>3662</v>
      </c>
      <c r="B1277" s="2" t="s">
        <v>136</v>
      </c>
      <c r="C1277" s="8">
        <v>46277</v>
      </c>
      <c r="D1277" s="6">
        <v>46266</v>
      </c>
      <c r="E1277" s="2" t="s">
        <v>260</v>
      </c>
      <c r="F1277" s="2" t="s">
        <v>3663</v>
      </c>
      <c r="G1277" s="6">
        <v>46235</v>
      </c>
      <c r="H1277" s="2" t="s">
        <v>176</v>
      </c>
      <c r="I1277" s="2" t="s">
        <v>39</v>
      </c>
      <c r="J1277" s="9">
        <v>11818.76</v>
      </c>
      <c r="K1277" s="7">
        <v>1</v>
      </c>
      <c r="L1277" s="9">
        <v>11818.76</v>
      </c>
      <c r="M1277" s="9">
        <v>11818.76</v>
      </c>
      <c r="N1277" s="9">
        <v>6.5</v>
      </c>
      <c r="O1277" s="10">
        <f>IF(AND(OR(H1277="APPROVED",H1277="SCHEDULED"),COUNTIFS(tblSource[EventID],F1277,tblSource[ReleaseStatus],"APPROVED")=1,COUNTIFS(Period_Status!$A$2:$A$8,G1277,Period_Status!$B$2:$B$8,"ActualClosed")=1,C1277&gt;EOMONTH(Settlement_Bridge!$C$2,0)),1,0)</f>
        <v>0</v>
      </c>
      <c r="P1277" s="2" t="s">
        <v>3664</v>
      </c>
    </row>
    <row r="1278" spans="1:16" x14ac:dyDescent="0.25">
      <c r="A1278" s="2" t="s">
        <v>3665</v>
      </c>
      <c r="B1278" s="2" t="s">
        <v>136</v>
      </c>
      <c r="C1278" s="8">
        <v>46278</v>
      </c>
      <c r="D1278" s="6">
        <v>46266</v>
      </c>
      <c r="E1278" s="2" t="s">
        <v>260</v>
      </c>
      <c r="F1278" s="2" t="s">
        <v>3666</v>
      </c>
      <c r="G1278" s="6">
        <v>46235</v>
      </c>
      <c r="H1278" s="2" t="s">
        <v>176</v>
      </c>
      <c r="I1278" s="2" t="s">
        <v>76</v>
      </c>
      <c r="J1278" s="9">
        <v>194988130.081301</v>
      </c>
      <c r="K1278" s="7">
        <v>6.1299999999999999E-5</v>
      </c>
      <c r="L1278" s="9">
        <v>11952.77</v>
      </c>
      <c r="M1278" s="9">
        <v>11991.77</v>
      </c>
      <c r="N1278" s="9">
        <v>6.57</v>
      </c>
      <c r="O1278" s="10">
        <f>IF(AND(OR(H1278="APPROVED",H1278="SCHEDULED"),COUNTIFS(tblSource[EventID],F1278,tblSource[ReleaseStatus],"APPROVED")=1,COUNTIFS(Period_Status!$A$2:$A$8,G1278,Period_Status!$B$2:$B$8,"ActualClosed")=1,C1278&gt;EOMONTH(Settlement_Bridge!$C$2,0)),1,0)</f>
        <v>0</v>
      </c>
      <c r="P1278" s="2" t="s">
        <v>3667</v>
      </c>
    </row>
    <row r="1279" spans="1:16" x14ac:dyDescent="0.25">
      <c r="A1279" s="2" t="s">
        <v>3668</v>
      </c>
      <c r="B1279" s="2" t="s">
        <v>136</v>
      </c>
      <c r="C1279" s="8">
        <v>46279</v>
      </c>
      <c r="D1279" s="6">
        <v>46266</v>
      </c>
      <c r="E1279" s="2" t="s">
        <v>260</v>
      </c>
      <c r="F1279" s="2" t="s">
        <v>3669</v>
      </c>
      <c r="G1279" s="6">
        <v>46235</v>
      </c>
      <c r="H1279" s="2" t="s">
        <v>176</v>
      </c>
      <c r="I1279" s="2" t="s">
        <v>70</v>
      </c>
      <c r="J1279" s="9">
        <v>18715.046154</v>
      </c>
      <c r="K1279" s="7">
        <v>0.65100000000000002</v>
      </c>
      <c r="L1279" s="9">
        <v>12183.5</v>
      </c>
      <c r="M1279" s="9">
        <v>12164.78</v>
      </c>
      <c r="N1279" s="9">
        <v>6.7</v>
      </c>
      <c r="O1279" s="10">
        <f>IF(AND(OR(H1279="APPROVED",H1279="SCHEDULED"),COUNTIFS(tblSource[EventID],F1279,tblSource[ReleaseStatus],"APPROVED")=1,COUNTIFS(Period_Status!$A$2:$A$8,G1279,Period_Status!$B$2:$B$8,"ActualClosed")=1,C1279&gt;EOMONTH(Settlement_Bridge!$C$2,0)),1,0)</f>
        <v>0</v>
      </c>
      <c r="P1279" s="2" t="s">
        <v>3670</v>
      </c>
    </row>
    <row r="1280" spans="1:16" x14ac:dyDescent="0.25">
      <c r="A1280" s="2" t="s">
        <v>3671</v>
      </c>
      <c r="B1280" s="2" t="s">
        <v>136</v>
      </c>
      <c r="C1280" s="8">
        <v>46280</v>
      </c>
      <c r="D1280" s="6">
        <v>46266</v>
      </c>
      <c r="E1280" s="2" t="s">
        <v>260</v>
      </c>
      <c r="F1280" s="2" t="s">
        <v>3672</v>
      </c>
      <c r="G1280" s="6">
        <v>46235</v>
      </c>
      <c r="H1280" s="2" t="s">
        <v>176</v>
      </c>
      <c r="I1280" s="2" t="s">
        <v>39</v>
      </c>
      <c r="J1280" s="9">
        <v>12337.79</v>
      </c>
      <c r="K1280" s="7">
        <v>1</v>
      </c>
      <c r="L1280" s="9">
        <v>12337.79</v>
      </c>
      <c r="M1280" s="9">
        <v>12337.79</v>
      </c>
      <c r="N1280" s="9">
        <v>6.79</v>
      </c>
      <c r="O1280" s="10">
        <f>IF(AND(OR(H1280="APPROVED",H1280="SCHEDULED"),COUNTIFS(tblSource[EventID],F1280,tblSource[ReleaseStatus],"APPROVED")=1,COUNTIFS(Period_Status!$A$2:$A$8,G1280,Period_Status!$B$2:$B$8,"ActualClosed")=1,C1280&gt;EOMONTH(Settlement_Bridge!$C$2,0)),1,0)</f>
        <v>0</v>
      </c>
      <c r="P1280" s="2" t="s">
        <v>3673</v>
      </c>
    </row>
    <row r="1281" spans="1:16" x14ac:dyDescent="0.25">
      <c r="A1281" s="2" t="s">
        <v>3674</v>
      </c>
      <c r="B1281" s="2" t="s">
        <v>136</v>
      </c>
      <c r="C1281" s="8">
        <v>46281</v>
      </c>
      <c r="D1281" s="6">
        <v>46266</v>
      </c>
      <c r="E1281" s="2" t="s">
        <v>260</v>
      </c>
      <c r="F1281" s="2" t="s">
        <v>3675</v>
      </c>
      <c r="G1281" s="6">
        <v>46235</v>
      </c>
      <c r="H1281" s="2" t="s">
        <v>176</v>
      </c>
      <c r="I1281" s="2" t="s">
        <v>76</v>
      </c>
      <c r="J1281" s="9">
        <v>203427642.27642301</v>
      </c>
      <c r="K1281" s="7">
        <v>6.1299999999999999E-5</v>
      </c>
      <c r="L1281" s="9">
        <v>12470.11</v>
      </c>
      <c r="M1281" s="9">
        <v>12510.8</v>
      </c>
      <c r="N1281" s="9">
        <v>6.86</v>
      </c>
      <c r="O1281" s="10">
        <f>IF(AND(OR(H1281="APPROVED",H1281="SCHEDULED"),COUNTIFS(tblSource[EventID],F1281,tblSource[ReleaseStatus],"APPROVED")=1,COUNTIFS(Period_Status!$A$2:$A$8,G1281,Period_Status!$B$2:$B$8,"ActualClosed")=1,C1281&gt;EOMONTH(Settlement_Bridge!$C$2,0)),1,0)</f>
        <v>0</v>
      </c>
      <c r="P1281" s="2" t="s">
        <v>3676</v>
      </c>
    </row>
    <row r="1282" spans="1:16" x14ac:dyDescent="0.25">
      <c r="A1282" s="2" t="s">
        <v>3677</v>
      </c>
      <c r="B1282" s="2" t="s">
        <v>136</v>
      </c>
      <c r="C1282" s="8">
        <v>46272</v>
      </c>
      <c r="D1282" s="6">
        <v>46266</v>
      </c>
      <c r="E1282" s="2" t="s">
        <v>260</v>
      </c>
      <c r="F1282" s="2" t="s">
        <v>3678</v>
      </c>
      <c r="G1282" s="6">
        <v>46235</v>
      </c>
      <c r="H1282" s="2" t="s">
        <v>176</v>
      </c>
      <c r="I1282" s="2" t="s">
        <v>70</v>
      </c>
      <c r="J1282" s="9">
        <v>7805.4215379999996</v>
      </c>
      <c r="K1282" s="7">
        <v>0.65100000000000002</v>
      </c>
      <c r="L1282" s="9">
        <v>5081.33</v>
      </c>
      <c r="M1282" s="9">
        <v>5073.5200000000004</v>
      </c>
      <c r="N1282" s="9">
        <v>2.79</v>
      </c>
      <c r="O1282" s="10">
        <f>IF(AND(OR(H1282="APPROVED",H1282="SCHEDULED"),COUNTIFS(tblSource[EventID],F1282,tblSource[ReleaseStatus],"APPROVED")=1,COUNTIFS(Period_Status!$A$2:$A$8,G1282,Period_Status!$B$2:$B$8,"ActualClosed")=1,C1282&gt;EOMONTH(Settlement_Bridge!$C$2,0)),1,0)</f>
        <v>0</v>
      </c>
      <c r="P1282" s="2" t="s">
        <v>3679</v>
      </c>
    </row>
    <row r="1283" spans="1:16" x14ac:dyDescent="0.25">
      <c r="A1283" s="2" t="s">
        <v>3680</v>
      </c>
      <c r="B1283" s="2" t="s">
        <v>136</v>
      </c>
      <c r="C1283" s="8">
        <v>46297</v>
      </c>
      <c r="D1283" s="6">
        <v>46296</v>
      </c>
      <c r="E1283" s="2" t="s">
        <v>260</v>
      </c>
      <c r="F1283" s="2" t="s">
        <v>3678</v>
      </c>
      <c r="G1283" s="6">
        <v>46235</v>
      </c>
      <c r="H1283" s="2" t="s">
        <v>176</v>
      </c>
      <c r="I1283" s="2" t="s">
        <v>70</v>
      </c>
      <c r="J1283" s="9">
        <v>11708.132308</v>
      </c>
      <c r="K1283" s="7">
        <v>0.65500000000000003</v>
      </c>
      <c r="L1283" s="9">
        <v>7668.83</v>
      </c>
      <c r="M1283" s="9">
        <v>7610.29</v>
      </c>
      <c r="N1283" s="9">
        <v>4.22</v>
      </c>
      <c r="O1283" s="10">
        <f>IF(AND(OR(H1283="APPROVED",H1283="SCHEDULED"),COUNTIFS(tblSource[EventID],F1283,tblSource[ReleaseStatus],"APPROVED")=1,COUNTIFS(Period_Status!$A$2:$A$8,G1283,Period_Status!$B$2:$B$8,"ActualClosed")=1,C1283&gt;EOMONTH(Settlement_Bridge!$C$2,0)),1,0)</f>
        <v>0</v>
      </c>
      <c r="P1283" s="2" t="s">
        <v>3681</v>
      </c>
    </row>
    <row r="1284" spans="1:16" x14ac:dyDescent="0.25">
      <c r="A1284" s="2" t="s">
        <v>3682</v>
      </c>
      <c r="B1284" s="2" t="s">
        <v>136</v>
      </c>
      <c r="C1284" s="8">
        <v>46273</v>
      </c>
      <c r="D1284" s="6">
        <v>46266</v>
      </c>
      <c r="E1284" s="2" t="s">
        <v>260</v>
      </c>
      <c r="F1284" s="2" t="s">
        <v>3683</v>
      </c>
      <c r="G1284" s="6">
        <v>46235</v>
      </c>
      <c r="H1284" s="2" t="s">
        <v>176</v>
      </c>
      <c r="I1284" s="2" t="s">
        <v>39</v>
      </c>
      <c r="J1284" s="9">
        <v>5142.7280000000001</v>
      </c>
      <c r="K1284" s="7">
        <v>1</v>
      </c>
      <c r="L1284" s="9">
        <v>5142.7299999999996</v>
      </c>
      <c r="M1284" s="9">
        <v>5142.7299999999996</v>
      </c>
      <c r="N1284" s="9">
        <v>2.83</v>
      </c>
      <c r="O1284" s="10">
        <f>IF(AND(OR(H1284="APPROVED",H1284="SCHEDULED"),COUNTIFS(tblSource[EventID],F1284,tblSource[ReleaseStatus],"APPROVED")=1,COUNTIFS(Period_Status!$A$2:$A$8,G1284,Period_Status!$B$2:$B$8,"ActualClosed")=1,C1284&gt;EOMONTH(Settlement_Bridge!$C$2,0)),1,0)</f>
        <v>0</v>
      </c>
      <c r="P1284" s="2" t="s">
        <v>3684</v>
      </c>
    </row>
    <row r="1285" spans="1:16" x14ac:dyDescent="0.25">
      <c r="A1285" s="2" t="s">
        <v>3685</v>
      </c>
      <c r="B1285" s="2" t="s">
        <v>136</v>
      </c>
      <c r="C1285" s="8">
        <v>46298</v>
      </c>
      <c r="D1285" s="6">
        <v>46296</v>
      </c>
      <c r="E1285" s="2" t="s">
        <v>260</v>
      </c>
      <c r="F1285" s="2" t="s">
        <v>3683</v>
      </c>
      <c r="G1285" s="6">
        <v>46235</v>
      </c>
      <c r="H1285" s="2" t="s">
        <v>176</v>
      </c>
      <c r="I1285" s="2" t="s">
        <v>39</v>
      </c>
      <c r="J1285" s="9">
        <v>7714.0919999999996</v>
      </c>
      <c r="K1285" s="7">
        <v>1</v>
      </c>
      <c r="L1285" s="9">
        <v>7714.09</v>
      </c>
      <c r="M1285" s="9">
        <v>7714.09</v>
      </c>
      <c r="N1285" s="9">
        <v>4.24</v>
      </c>
      <c r="O1285" s="10">
        <f>IF(AND(OR(H1285="APPROVED",H1285="SCHEDULED"),COUNTIFS(tblSource[EventID],F1285,tblSource[ReleaseStatus],"APPROVED")=1,COUNTIFS(Period_Status!$A$2:$A$8,G1285,Period_Status!$B$2:$B$8,"ActualClosed")=1,C1285&gt;EOMONTH(Settlement_Bridge!$C$2,0)),1,0)</f>
        <v>0</v>
      </c>
      <c r="P1285" s="2" t="s">
        <v>3686</v>
      </c>
    </row>
    <row r="1286" spans="1:16" x14ac:dyDescent="0.25">
      <c r="A1286" s="2" t="s">
        <v>3687</v>
      </c>
      <c r="B1286" s="2" t="s">
        <v>136</v>
      </c>
      <c r="C1286" s="8">
        <v>46284</v>
      </c>
      <c r="D1286" s="6">
        <v>46266</v>
      </c>
      <c r="E1286" s="2" t="s">
        <v>260</v>
      </c>
      <c r="F1286" s="2" t="s">
        <v>3688</v>
      </c>
      <c r="G1286" s="6">
        <v>46235</v>
      </c>
      <c r="H1286" s="2" t="s">
        <v>176</v>
      </c>
      <c r="I1286" s="2" t="s">
        <v>76</v>
      </c>
      <c r="J1286" s="9">
        <v>211867154.47154501</v>
      </c>
      <c r="K1286" s="7">
        <v>6.1299999999999999E-5</v>
      </c>
      <c r="L1286" s="9">
        <v>12987.46</v>
      </c>
      <c r="M1286" s="9">
        <v>13029.83</v>
      </c>
      <c r="N1286" s="9">
        <v>7.14</v>
      </c>
      <c r="O1286" s="10">
        <f>IF(AND(OR(H1286="APPROVED",H1286="SCHEDULED"),COUNTIFS(tblSource[EventID],F1286,tblSource[ReleaseStatus],"APPROVED")=1,COUNTIFS(Period_Status!$A$2:$A$8,G1286,Period_Status!$B$2:$B$8,"ActualClosed")=1,C1286&gt;EOMONTH(Settlement_Bridge!$C$2,0)),1,0)</f>
        <v>0</v>
      </c>
      <c r="P1286" s="2" t="s">
        <v>3689</v>
      </c>
    </row>
    <row r="1287" spans="1:16" x14ac:dyDescent="0.25">
      <c r="A1287" s="2" t="s">
        <v>3690</v>
      </c>
      <c r="B1287" s="2" t="s">
        <v>136</v>
      </c>
      <c r="C1287" s="8">
        <v>46285</v>
      </c>
      <c r="D1287" s="6">
        <v>46266</v>
      </c>
      <c r="E1287" s="2" t="s">
        <v>260</v>
      </c>
      <c r="F1287" s="2" t="s">
        <v>3691</v>
      </c>
      <c r="G1287" s="6">
        <v>46235</v>
      </c>
      <c r="H1287" s="2" t="s">
        <v>176</v>
      </c>
      <c r="I1287" s="2" t="s">
        <v>70</v>
      </c>
      <c r="J1287" s="9">
        <v>20312.061538000002</v>
      </c>
      <c r="K1287" s="7">
        <v>0.65100000000000002</v>
      </c>
      <c r="L1287" s="9">
        <v>13223.15</v>
      </c>
      <c r="M1287" s="9">
        <v>13202.84</v>
      </c>
      <c r="N1287" s="9">
        <v>7.27</v>
      </c>
      <c r="O1287" s="10">
        <f>IF(AND(OR(H1287="APPROVED",H1287="SCHEDULED"),COUNTIFS(tblSource[EventID],F1287,tblSource[ReleaseStatus],"APPROVED")=1,COUNTIFS(Period_Status!$A$2:$A$8,G1287,Period_Status!$B$2:$B$8,"ActualClosed")=1,C1287&gt;EOMONTH(Settlement_Bridge!$C$2,0)),1,0)</f>
        <v>0</v>
      </c>
      <c r="P1287" s="2" t="s">
        <v>3692</v>
      </c>
    </row>
    <row r="1288" spans="1:16" x14ac:dyDescent="0.25">
      <c r="A1288" s="2" t="s">
        <v>3693</v>
      </c>
      <c r="B1288" s="2" t="s">
        <v>136</v>
      </c>
      <c r="C1288" s="8">
        <v>46276</v>
      </c>
      <c r="D1288" s="6">
        <v>46266</v>
      </c>
      <c r="E1288" s="2" t="s">
        <v>260</v>
      </c>
      <c r="F1288" s="2" t="s">
        <v>3694</v>
      </c>
      <c r="G1288" s="6">
        <v>46235</v>
      </c>
      <c r="H1288" s="2" t="s">
        <v>176</v>
      </c>
      <c r="I1288" s="2" t="s">
        <v>39</v>
      </c>
      <c r="J1288" s="9">
        <v>5350.34</v>
      </c>
      <c r="K1288" s="7">
        <v>1</v>
      </c>
      <c r="L1288" s="9">
        <v>5350.34</v>
      </c>
      <c r="M1288" s="9">
        <v>5350.34</v>
      </c>
      <c r="N1288" s="9">
        <v>2.94</v>
      </c>
      <c r="O1288" s="10">
        <f>IF(AND(OR(H1288="APPROVED",H1288="SCHEDULED"),COUNTIFS(tblSource[EventID],F1288,tblSource[ReleaseStatus],"APPROVED")=1,COUNTIFS(Period_Status!$A$2:$A$8,G1288,Period_Status!$B$2:$B$8,"ActualClosed")=1,C1288&gt;EOMONTH(Settlement_Bridge!$C$2,0)),1,0)</f>
        <v>0</v>
      </c>
      <c r="P1288" s="2" t="s">
        <v>3695</v>
      </c>
    </row>
    <row r="1289" spans="1:16" x14ac:dyDescent="0.25">
      <c r="A1289" s="2" t="s">
        <v>3696</v>
      </c>
      <c r="B1289" s="2" t="s">
        <v>136</v>
      </c>
      <c r="C1289" s="8">
        <v>46301</v>
      </c>
      <c r="D1289" s="6">
        <v>46296</v>
      </c>
      <c r="E1289" s="2" t="s">
        <v>260</v>
      </c>
      <c r="F1289" s="2" t="s">
        <v>3694</v>
      </c>
      <c r="G1289" s="6">
        <v>46235</v>
      </c>
      <c r="H1289" s="2" t="s">
        <v>176</v>
      </c>
      <c r="I1289" s="2" t="s">
        <v>39</v>
      </c>
      <c r="J1289" s="9">
        <v>8025.51</v>
      </c>
      <c r="K1289" s="7">
        <v>1</v>
      </c>
      <c r="L1289" s="9">
        <v>8025.51</v>
      </c>
      <c r="M1289" s="9">
        <v>8025.51</v>
      </c>
      <c r="N1289" s="9">
        <v>4.41</v>
      </c>
      <c r="O1289" s="10">
        <f>IF(AND(OR(H1289="APPROVED",H1289="SCHEDULED"),COUNTIFS(tblSource[EventID],F1289,tblSource[ReleaseStatus],"APPROVED")=1,COUNTIFS(Period_Status!$A$2:$A$8,G1289,Period_Status!$B$2:$B$8,"ActualClosed")=1,C1289&gt;EOMONTH(Settlement_Bridge!$C$2,0)),1,0)</f>
        <v>0</v>
      </c>
      <c r="P1289" s="2" t="s">
        <v>3697</v>
      </c>
    </row>
    <row r="1290" spans="1:16" x14ac:dyDescent="0.25">
      <c r="A1290" s="2" t="s">
        <v>3698</v>
      </c>
      <c r="B1290" s="2" t="s">
        <v>136</v>
      </c>
      <c r="C1290" s="8">
        <v>46287</v>
      </c>
      <c r="D1290" s="6">
        <v>46266</v>
      </c>
      <c r="E1290" s="2" t="s">
        <v>260</v>
      </c>
      <c r="F1290" s="2" t="s">
        <v>3699</v>
      </c>
      <c r="G1290" s="6">
        <v>46235</v>
      </c>
      <c r="H1290" s="2" t="s">
        <v>176</v>
      </c>
      <c r="I1290" s="2" t="s">
        <v>76</v>
      </c>
      <c r="J1290" s="9">
        <v>220306666.66666701</v>
      </c>
      <c r="K1290" s="7">
        <v>6.1299999999999999E-5</v>
      </c>
      <c r="L1290" s="9">
        <v>13504.8</v>
      </c>
      <c r="M1290" s="9">
        <v>13548.86</v>
      </c>
      <c r="N1290" s="9">
        <v>7.43</v>
      </c>
      <c r="O1290" s="10">
        <f>IF(AND(OR(H1290="APPROVED",H1290="SCHEDULED"),COUNTIFS(tblSource[EventID],F1290,tblSource[ReleaseStatus],"APPROVED")=1,COUNTIFS(Period_Status!$A$2:$A$8,G1290,Period_Status!$B$2:$B$8,"ActualClosed")=1,C1290&gt;EOMONTH(Settlement_Bridge!$C$2,0)),1,0)</f>
        <v>0</v>
      </c>
      <c r="P1290" s="2" t="s">
        <v>3700</v>
      </c>
    </row>
    <row r="1291" spans="1:16" x14ac:dyDescent="0.25">
      <c r="A1291" s="2" t="s">
        <v>3701</v>
      </c>
      <c r="B1291" s="2" t="s">
        <v>136</v>
      </c>
      <c r="C1291" s="8">
        <v>46288</v>
      </c>
      <c r="D1291" s="6">
        <v>46266</v>
      </c>
      <c r="E1291" s="2" t="s">
        <v>260</v>
      </c>
      <c r="F1291" s="2" t="s">
        <v>3702</v>
      </c>
      <c r="G1291" s="6">
        <v>46235</v>
      </c>
      <c r="H1291" s="2" t="s">
        <v>176</v>
      </c>
      <c r="I1291" s="2" t="s">
        <v>70</v>
      </c>
      <c r="J1291" s="9">
        <v>21110.569231000001</v>
      </c>
      <c r="K1291" s="7">
        <v>0.65100000000000002</v>
      </c>
      <c r="L1291" s="9">
        <v>13742.98</v>
      </c>
      <c r="M1291" s="9">
        <v>13721.87</v>
      </c>
      <c r="N1291" s="9">
        <v>7.56</v>
      </c>
      <c r="O1291" s="10">
        <f>IF(AND(OR(H1291="APPROVED",H1291="SCHEDULED"),COUNTIFS(tblSource[EventID],F1291,tblSource[ReleaseStatus],"APPROVED")=1,COUNTIFS(Period_Status!$A$2:$A$8,G1291,Period_Status!$B$2:$B$8,"ActualClosed")=1,C1291&gt;EOMONTH(Settlement_Bridge!$C$2,0)),1,0)</f>
        <v>0</v>
      </c>
      <c r="P1291" s="2" t="s">
        <v>3703</v>
      </c>
    </row>
    <row r="1292" spans="1:16" x14ac:dyDescent="0.25">
      <c r="A1292" s="2" t="s">
        <v>3704</v>
      </c>
      <c r="B1292" s="2" t="s">
        <v>136</v>
      </c>
      <c r="C1292" s="8">
        <v>46289</v>
      </c>
      <c r="D1292" s="6">
        <v>46266</v>
      </c>
      <c r="E1292" s="2" t="s">
        <v>260</v>
      </c>
      <c r="F1292" s="2" t="s">
        <v>3705</v>
      </c>
      <c r="G1292" s="6">
        <v>46235</v>
      </c>
      <c r="H1292" s="2" t="s">
        <v>176</v>
      </c>
      <c r="I1292" s="2" t="s">
        <v>39</v>
      </c>
      <c r="J1292" s="9">
        <v>13894.88</v>
      </c>
      <c r="K1292" s="7">
        <v>1</v>
      </c>
      <c r="L1292" s="9">
        <v>13894.88</v>
      </c>
      <c r="M1292" s="9">
        <v>13894.88</v>
      </c>
      <c r="N1292" s="9">
        <v>7.64</v>
      </c>
      <c r="O1292" s="10">
        <f>IF(AND(OR(H1292="APPROVED",H1292="SCHEDULED"),COUNTIFS(tblSource[EventID],F1292,tblSource[ReleaseStatus],"APPROVED")=1,COUNTIFS(Period_Status!$A$2:$A$8,G1292,Period_Status!$B$2:$B$8,"ActualClosed")=1,C1292&gt;EOMONTH(Settlement_Bridge!$C$2,0)),1,0)</f>
        <v>0</v>
      </c>
      <c r="P1292" s="2" t="s">
        <v>3706</v>
      </c>
    </row>
    <row r="1293" spans="1:16" x14ac:dyDescent="0.25">
      <c r="A1293" s="2" t="s">
        <v>3707</v>
      </c>
      <c r="B1293" s="2" t="s">
        <v>136</v>
      </c>
      <c r="C1293" s="8">
        <v>46259</v>
      </c>
      <c r="D1293" s="6">
        <v>46235</v>
      </c>
      <c r="E1293" s="2" t="s">
        <v>260</v>
      </c>
      <c r="F1293" s="2" t="s">
        <v>3708</v>
      </c>
      <c r="G1293" s="6">
        <v>46235</v>
      </c>
      <c r="H1293" s="2" t="s">
        <v>71</v>
      </c>
      <c r="I1293" s="2" t="s">
        <v>76</v>
      </c>
      <c r="J1293" s="9">
        <v>228746178.86178899</v>
      </c>
      <c r="K1293" s="7">
        <v>6.1500000000000004E-5</v>
      </c>
      <c r="L1293" s="9">
        <v>14067.89</v>
      </c>
      <c r="M1293" s="9">
        <v>14067.89</v>
      </c>
      <c r="N1293" s="9">
        <v>7.74</v>
      </c>
      <c r="O1293" s="10">
        <f>IF(AND(OR(H1293="APPROVED",H1293="SCHEDULED"),COUNTIFS(tblSource[EventID],F1293,tblSource[ReleaseStatus],"APPROVED")=1,COUNTIFS(Period_Status!$A$2:$A$8,G1293,Period_Status!$B$2:$B$8,"ActualClosed")=1,C1293&gt;EOMONTH(Settlement_Bridge!$C$2,0)),1,0)</f>
        <v>0</v>
      </c>
      <c r="P1293" s="2" t="s">
        <v>3709</v>
      </c>
    </row>
    <row r="1294" spans="1:16" x14ac:dyDescent="0.25">
      <c r="A1294" s="2" t="s">
        <v>3710</v>
      </c>
      <c r="B1294" s="2" t="s">
        <v>136</v>
      </c>
      <c r="C1294" s="8">
        <v>46260</v>
      </c>
      <c r="D1294" s="6">
        <v>46235</v>
      </c>
      <c r="E1294" s="2" t="s">
        <v>260</v>
      </c>
      <c r="F1294" s="2" t="s">
        <v>3711</v>
      </c>
      <c r="G1294" s="6">
        <v>46235</v>
      </c>
      <c r="H1294" s="2" t="s">
        <v>71</v>
      </c>
      <c r="I1294" s="2" t="s">
        <v>70</v>
      </c>
      <c r="J1294" s="9">
        <v>21909.076923000001</v>
      </c>
      <c r="K1294" s="7">
        <v>0.65</v>
      </c>
      <c r="L1294" s="9">
        <v>14240.9</v>
      </c>
      <c r="M1294" s="9">
        <v>14240.9</v>
      </c>
      <c r="N1294" s="9">
        <v>7.83</v>
      </c>
      <c r="O1294" s="10">
        <f>IF(AND(OR(H1294="APPROVED",H1294="SCHEDULED"),COUNTIFS(tblSource[EventID],F1294,tblSource[ReleaseStatus],"APPROVED")=1,COUNTIFS(Period_Status!$A$2:$A$8,G1294,Period_Status!$B$2:$B$8,"ActualClosed")=1,C1294&gt;EOMONTH(Settlement_Bridge!$C$2,0)),1,0)</f>
        <v>0</v>
      </c>
      <c r="P1294" s="2" t="s">
        <v>3712</v>
      </c>
    </row>
    <row r="1295" spans="1:16" x14ac:dyDescent="0.25">
      <c r="A1295" s="2" t="s">
        <v>3713</v>
      </c>
      <c r="B1295" s="2" t="s">
        <v>136</v>
      </c>
      <c r="C1295" s="8">
        <v>46251</v>
      </c>
      <c r="D1295" s="6">
        <v>46235</v>
      </c>
      <c r="E1295" s="2" t="s">
        <v>260</v>
      </c>
      <c r="F1295" s="2" t="s">
        <v>3714</v>
      </c>
      <c r="G1295" s="6">
        <v>46235</v>
      </c>
      <c r="H1295" s="2" t="s">
        <v>71</v>
      </c>
      <c r="I1295" s="2" t="s">
        <v>39</v>
      </c>
      <c r="J1295" s="9">
        <v>5765.5640000000003</v>
      </c>
      <c r="K1295" s="7">
        <v>1</v>
      </c>
      <c r="L1295" s="9">
        <v>5765.56</v>
      </c>
      <c r="M1295" s="9">
        <v>5765.56</v>
      </c>
      <c r="N1295" s="9">
        <v>3.17</v>
      </c>
      <c r="O1295" s="10">
        <f>IF(AND(OR(H1295="APPROVED",H1295="SCHEDULED"),COUNTIFS(tblSource[EventID],F1295,tblSource[ReleaseStatus],"APPROVED")=1,COUNTIFS(Period_Status!$A$2:$A$8,G1295,Period_Status!$B$2:$B$8,"ActualClosed")=1,C1295&gt;EOMONTH(Settlement_Bridge!$C$2,0)),1,0)</f>
        <v>0</v>
      </c>
      <c r="P1295" s="2" t="s">
        <v>3715</v>
      </c>
    </row>
    <row r="1296" spans="1:16" x14ac:dyDescent="0.25">
      <c r="A1296" s="2" t="s">
        <v>3716</v>
      </c>
      <c r="B1296" s="2" t="s">
        <v>136</v>
      </c>
      <c r="C1296" s="8">
        <v>46276</v>
      </c>
      <c r="D1296" s="6">
        <v>46266</v>
      </c>
      <c r="E1296" s="2" t="s">
        <v>260</v>
      </c>
      <c r="F1296" s="2" t="s">
        <v>3714</v>
      </c>
      <c r="G1296" s="6">
        <v>46235</v>
      </c>
      <c r="H1296" s="2" t="s">
        <v>176</v>
      </c>
      <c r="I1296" s="2" t="s">
        <v>39</v>
      </c>
      <c r="J1296" s="9">
        <v>8648.3459999999995</v>
      </c>
      <c r="K1296" s="7">
        <v>1</v>
      </c>
      <c r="L1296" s="9">
        <v>8648.35</v>
      </c>
      <c r="M1296" s="9">
        <v>8648.35</v>
      </c>
      <c r="N1296" s="9">
        <v>4.76</v>
      </c>
      <c r="O1296" s="10">
        <f>IF(AND(OR(H1296="APPROVED",H1296="SCHEDULED"),COUNTIFS(tblSource[EventID],F1296,tblSource[ReleaseStatus],"APPROVED")=1,COUNTIFS(Period_Status!$A$2:$A$8,G1296,Period_Status!$B$2:$B$8,"ActualClosed")=1,C1296&gt;EOMONTH(Settlement_Bridge!$C$2,0)),1,0)</f>
        <v>0</v>
      </c>
      <c r="P1296" s="2" t="s">
        <v>3717</v>
      </c>
    </row>
    <row r="1297" spans="1:16" x14ac:dyDescent="0.25">
      <c r="A1297" s="2" t="s">
        <v>3718</v>
      </c>
      <c r="B1297" s="2" t="s">
        <v>136</v>
      </c>
      <c r="C1297" s="8">
        <v>46252</v>
      </c>
      <c r="D1297" s="6">
        <v>46235</v>
      </c>
      <c r="E1297" s="2" t="s">
        <v>260</v>
      </c>
      <c r="F1297" s="2" t="s">
        <v>3719</v>
      </c>
      <c r="G1297" s="6">
        <v>46235</v>
      </c>
      <c r="H1297" s="2" t="s">
        <v>71</v>
      </c>
      <c r="I1297" s="2" t="s">
        <v>76</v>
      </c>
      <c r="J1297" s="9">
        <v>94874276.422764003</v>
      </c>
      <c r="K1297" s="7">
        <v>6.1500000000000004E-5</v>
      </c>
      <c r="L1297" s="9">
        <v>5834.77</v>
      </c>
      <c r="M1297" s="9">
        <v>5834.77</v>
      </c>
      <c r="N1297" s="9">
        <v>3.21</v>
      </c>
      <c r="O1297" s="10">
        <f>IF(AND(OR(H1297="APPROVED",H1297="SCHEDULED"),COUNTIFS(tblSource[EventID],F1297,tblSource[ReleaseStatus],"APPROVED")=1,COUNTIFS(Period_Status!$A$2:$A$8,G1297,Period_Status!$B$2:$B$8,"ActualClosed")=1,C1297&gt;EOMONTH(Settlement_Bridge!$C$2,0)),1,0)</f>
        <v>0</v>
      </c>
      <c r="P1297" s="2" t="s">
        <v>3720</v>
      </c>
    </row>
    <row r="1298" spans="1:16" x14ac:dyDescent="0.25">
      <c r="A1298" s="2" t="s">
        <v>3721</v>
      </c>
      <c r="B1298" s="2" t="s">
        <v>136</v>
      </c>
      <c r="C1298" s="8">
        <v>46277</v>
      </c>
      <c r="D1298" s="6">
        <v>46266</v>
      </c>
      <c r="E1298" s="2" t="s">
        <v>260</v>
      </c>
      <c r="F1298" s="2" t="s">
        <v>3719</v>
      </c>
      <c r="G1298" s="6">
        <v>46235</v>
      </c>
      <c r="H1298" s="2" t="s">
        <v>176</v>
      </c>
      <c r="I1298" s="2" t="s">
        <v>76</v>
      </c>
      <c r="J1298" s="9">
        <v>142311414.63414699</v>
      </c>
      <c r="K1298" s="7">
        <v>6.1299999999999999E-5</v>
      </c>
      <c r="L1298" s="9">
        <v>8723.69</v>
      </c>
      <c r="M1298" s="9">
        <v>8752.15</v>
      </c>
      <c r="N1298" s="9">
        <v>4.8</v>
      </c>
      <c r="O1298" s="10">
        <f>IF(AND(OR(H1298="APPROVED",H1298="SCHEDULED"),COUNTIFS(tblSource[EventID],F1298,tblSource[ReleaseStatus],"APPROVED")=1,COUNTIFS(Period_Status!$A$2:$A$8,G1298,Period_Status!$B$2:$B$8,"ActualClosed")=1,C1298&gt;EOMONTH(Settlement_Bridge!$C$2,0)),1,0)</f>
        <v>0</v>
      </c>
      <c r="P1298" s="2" t="s">
        <v>3722</v>
      </c>
    </row>
    <row r="1299" spans="1:16" x14ac:dyDescent="0.25">
      <c r="A1299" s="2" t="s">
        <v>3723</v>
      </c>
      <c r="B1299" s="2" t="s">
        <v>136</v>
      </c>
      <c r="C1299" s="8">
        <v>46263</v>
      </c>
      <c r="D1299" s="6">
        <v>46235</v>
      </c>
      <c r="E1299" s="2" t="s">
        <v>260</v>
      </c>
      <c r="F1299" s="2" t="s">
        <v>3724</v>
      </c>
      <c r="G1299" s="6">
        <v>46235</v>
      </c>
      <c r="H1299" s="2" t="s">
        <v>71</v>
      </c>
      <c r="I1299" s="2" t="s">
        <v>70</v>
      </c>
      <c r="J1299" s="9">
        <v>22707.584615</v>
      </c>
      <c r="K1299" s="7">
        <v>0.65</v>
      </c>
      <c r="L1299" s="9">
        <v>14759.93</v>
      </c>
      <c r="M1299" s="9">
        <v>14759.93</v>
      </c>
      <c r="N1299" s="9">
        <v>8.1199999999999992</v>
      </c>
      <c r="O1299" s="10">
        <f>IF(AND(OR(H1299="APPROVED",H1299="SCHEDULED"),COUNTIFS(tblSource[EventID],F1299,tblSource[ReleaseStatus],"APPROVED")=1,COUNTIFS(Period_Status!$A$2:$A$8,G1299,Period_Status!$B$2:$B$8,"ActualClosed")=1,C1299&gt;EOMONTH(Settlement_Bridge!$C$2,0)),1,0)</f>
        <v>0</v>
      </c>
      <c r="P1299" s="2" t="s">
        <v>3725</v>
      </c>
    </row>
    <row r="1300" spans="1:16" x14ac:dyDescent="0.25">
      <c r="A1300" s="2" t="s">
        <v>3726</v>
      </c>
      <c r="B1300" s="2" t="s">
        <v>136</v>
      </c>
      <c r="C1300" s="8">
        <v>46264</v>
      </c>
      <c r="D1300" s="6">
        <v>46235</v>
      </c>
      <c r="E1300" s="2" t="s">
        <v>260</v>
      </c>
      <c r="F1300" s="2" t="s">
        <v>3727</v>
      </c>
      <c r="G1300" s="6">
        <v>46235</v>
      </c>
      <c r="H1300" s="2" t="s">
        <v>71</v>
      </c>
      <c r="I1300" s="2" t="s">
        <v>39</v>
      </c>
      <c r="J1300" s="9">
        <v>932.94</v>
      </c>
      <c r="K1300" s="7">
        <v>1</v>
      </c>
      <c r="L1300" s="9">
        <v>932.94</v>
      </c>
      <c r="M1300" s="9">
        <v>932.94</v>
      </c>
      <c r="N1300" s="9">
        <v>1.8</v>
      </c>
      <c r="O1300" s="10">
        <f>IF(AND(OR(H1300="APPROVED",H1300="SCHEDULED"),COUNTIFS(tblSource[EventID],F1300,tblSource[ReleaseStatus],"APPROVED")=1,COUNTIFS(Period_Status!$A$2:$A$8,G1300,Period_Status!$B$2:$B$8,"ActualClosed")=1,C1300&gt;EOMONTH(Settlement_Bridge!$C$2,0)),1,0)</f>
        <v>0</v>
      </c>
      <c r="P1300" s="2" t="s">
        <v>3728</v>
      </c>
    </row>
    <row r="1301" spans="1:16" x14ac:dyDescent="0.25">
      <c r="A1301" s="2" t="s">
        <v>3729</v>
      </c>
      <c r="B1301" s="2" t="s">
        <v>136</v>
      </c>
      <c r="C1301" s="8">
        <v>46255</v>
      </c>
      <c r="D1301" s="6">
        <v>46235</v>
      </c>
      <c r="E1301" s="2" t="s">
        <v>260</v>
      </c>
      <c r="F1301" s="2" t="s">
        <v>3730</v>
      </c>
      <c r="G1301" s="6">
        <v>46235</v>
      </c>
      <c r="H1301" s="2" t="s">
        <v>71</v>
      </c>
      <c r="I1301" s="2" t="s">
        <v>76</v>
      </c>
      <c r="J1301" s="9">
        <v>7193170.7317070002</v>
      </c>
      <c r="K1301" s="7">
        <v>6.1500000000000004E-5</v>
      </c>
      <c r="L1301" s="9">
        <v>442.38</v>
      </c>
      <c r="M1301" s="9">
        <v>442.38</v>
      </c>
      <c r="N1301" s="9">
        <v>1.8</v>
      </c>
      <c r="O1301" s="10">
        <f>IF(AND(OR(H1301="APPROVED",H1301="SCHEDULED"),COUNTIFS(tblSource[EventID],F1301,tblSource[ReleaseStatus],"APPROVED")=1,COUNTIFS(Period_Status!$A$2:$A$8,G1301,Period_Status!$B$2:$B$8,"ActualClosed")=1,C1301&gt;EOMONTH(Settlement_Bridge!$C$2,0)),1,0)</f>
        <v>0</v>
      </c>
      <c r="P1301" s="2" t="s">
        <v>3731</v>
      </c>
    </row>
    <row r="1302" spans="1:16" x14ac:dyDescent="0.25">
      <c r="A1302" s="2" t="s">
        <v>3732</v>
      </c>
      <c r="B1302" s="2" t="s">
        <v>136</v>
      </c>
      <c r="C1302" s="8">
        <v>46280</v>
      </c>
      <c r="D1302" s="6">
        <v>46266</v>
      </c>
      <c r="E1302" s="2" t="s">
        <v>260</v>
      </c>
      <c r="F1302" s="2" t="s">
        <v>3730</v>
      </c>
      <c r="G1302" s="6">
        <v>46235</v>
      </c>
      <c r="H1302" s="2" t="s">
        <v>176</v>
      </c>
      <c r="I1302" s="2" t="s">
        <v>76</v>
      </c>
      <c r="J1302" s="9">
        <v>10789756.097561</v>
      </c>
      <c r="K1302" s="7">
        <v>6.1299999999999999E-5</v>
      </c>
      <c r="L1302" s="9">
        <v>661.41</v>
      </c>
      <c r="M1302" s="9">
        <v>663.57</v>
      </c>
      <c r="N1302" s="9">
        <v>1.8</v>
      </c>
      <c r="O1302" s="10">
        <f>IF(AND(OR(H1302="APPROVED",H1302="SCHEDULED"),COUNTIFS(tblSource[EventID],F1302,tblSource[ReleaseStatus],"APPROVED")=1,COUNTIFS(Period_Status!$A$2:$A$8,G1302,Period_Status!$B$2:$B$8,"ActualClosed")=1,C1302&gt;EOMONTH(Settlement_Bridge!$C$2,0)),1,0)</f>
        <v>0</v>
      </c>
      <c r="P1302" s="2" t="s">
        <v>3733</v>
      </c>
    </row>
    <row r="1303" spans="1:16" x14ac:dyDescent="0.25">
      <c r="A1303" s="2" t="s">
        <v>3734</v>
      </c>
      <c r="B1303" s="2" t="s">
        <v>136</v>
      </c>
      <c r="C1303" s="8">
        <v>46266</v>
      </c>
      <c r="D1303" s="6">
        <v>46266</v>
      </c>
      <c r="E1303" s="2" t="s">
        <v>260</v>
      </c>
      <c r="F1303" s="2" t="s">
        <v>3735</v>
      </c>
      <c r="G1303" s="6">
        <v>46235</v>
      </c>
      <c r="H1303" s="2" t="s">
        <v>176</v>
      </c>
      <c r="I1303" s="2" t="s">
        <v>70</v>
      </c>
      <c r="J1303" s="9">
        <v>1967.6307690000001</v>
      </c>
      <c r="K1303" s="7">
        <v>0.65100000000000002</v>
      </c>
      <c r="L1303" s="9">
        <v>1280.93</v>
      </c>
      <c r="M1303" s="9">
        <v>1278.96</v>
      </c>
      <c r="N1303" s="9">
        <v>1.8</v>
      </c>
      <c r="O1303" s="10">
        <f>IF(AND(OR(H1303="APPROVED",H1303="SCHEDULED"),COUNTIFS(tblSource[EventID],F1303,tblSource[ReleaseStatus],"APPROVED")=1,COUNTIFS(Period_Status!$A$2:$A$8,G1303,Period_Status!$B$2:$B$8,"ActualClosed")=1,C1303&gt;EOMONTH(Settlement_Bridge!$C$2,0)),1,0)</f>
        <v>0</v>
      </c>
      <c r="P1303" s="2" t="s">
        <v>3736</v>
      </c>
    </row>
    <row r="1304" spans="1:16" x14ac:dyDescent="0.25">
      <c r="A1304" s="2" t="s">
        <v>3737</v>
      </c>
      <c r="B1304" s="2" t="s">
        <v>136</v>
      </c>
      <c r="C1304" s="8">
        <v>46267</v>
      </c>
      <c r="D1304" s="6">
        <v>46266</v>
      </c>
      <c r="E1304" s="2" t="s">
        <v>260</v>
      </c>
      <c r="F1304" s="2" t="s">
        <v>3738</v>
      </c>
      <c r="G1304" s="6">
        <v>46235</v>
      </c>
      <c r="H1304" s="2" t="s">
        <v>176</v>
      </c>
      <c r="I1304" s="2" t="s">
        <v>39</v>
      </c>
      <c r="J1304" s="9">
        <v>1451</v>
      </c>
      <c r="K1304" s="7">
        <v>1</v>
      </c>
      <c r="L1304" s="9">
        <v>1451</v>
      </c>
      <c r="M1304" s="9">
        <v>1451</v>
      </c>
      <c r="N1304" s="9">
        <v>1.8</v>
      </c>
      <c r="O1304" s="10">
        <f>IF(AND(OR(H1304="APPROVED",H1304="SCHEDULED"),COUNTIFS(tblSource[EventID],F1304,tblSource[ReleaseStatus],"APPROVED")=1,COUNTIFS(Period_Status!$A$2:$A$8,G1304,Period_Status!$B$2:$B$8,"ActualClosed")=1,C1304&gt;EOMONTH(Settlement_Bridge!$C$2,0)),1,0)</f>
        <v>0</v>
      </c>
      <c r="P1304" s="2" t="s">
        <v>3739</v>
      </c>
    </row>
    <row r="1305" spans="1:16" x14ac:dyDescent="0.25">
      <c r="A1305" s="2" t="s">
        <v>3740</v>
      </c>
      <c r="B1305" s="2" t="s">
        <v>136</v>
      </c>
      <c r="C1305" s="8">
        <v>46268</v>
      </c>
      <c r="D1305" s="6">
        <v>46266</v>
      </c>
      <c r="E1305" s="2" t="s">
        <v>260</v>
      </c>
      <c r="F1305" s="2" t="s">
        <v>3741</v>
      </c>
      <c r="G1305" s="6">
        <v>46235</v>
      </c>
      <c r="H1305" s="2" t="s">
        <v>176</v>
      </c>
      <c r="I1305" s="2" t="s">
        <v>76</v>
      </c>
      <c r="J1305" s="9">
        <v>26406666.666666999</v>
      </c>
      <c r="K1305" s="7">
        <v>6.1299999999999999E-5</v>
      </c>
      <c r="L1305" s="9">
        <v>1618.73</v>
      </c>
      <c r="M1305" s="9">
        <v>1624.01</v>
      </c>
      <c r="N1305" s="9">
        <v>1.8</v>
      </c>
      <c r="O1305" s="10">
        <f>IF(AND(OR(H1305="APPROVED",H1305="SCHEDULED"),COUNTIFS(tblSource[EventID],F1305,tblSource[ReleaseStatus],"APPROVED")=1,COUNTIFS(Period_Status!$A$2:$A$8,G1305,Period_Status!$B$2:$B$8,"ActualClosed")=1,C1305&gt;EOMONTH(Settlement_Bridge!$C$2,0)),1,0)</f>
        <v>0</v>
      </c>
      <c r="P1305" s="2" t="s">
        <v>3742</v>
      </c>
    </row>
    <row r="1306" spans="1:16" x14ac:dyDescent="0.25">
      <c r="A1306" s="2" t="s">
        <v>3743</v>
      </c>
      <c r="B1306" s="2" t="s">
        <v>136</v>
      </c>
      <c r="C1306" s="8">
        <v>46269</v>
      </c>
      <c r="D1306" s="6">
        <v>46266</v>
      </c>
      <c r="E1306" s="2" t="s">
        <v>260</v>
      </c>
      <c r="F1306" s="2" t="s">
        <v>3744</v>
      </c>
      <c r="G1306" s="6">
        <v>46235</v>
      </c>
      <c r="H1306" s="2" t="s">
        <v>176</v>
      </c>
      <c r="I1306" s="2" t="s">
        <v>70</v>
      </c>
      <c r="J1306" s="9">
        <v>2764.646154</v>
      </c>
      <c r="K1306" s="7">
        <v>0.65100000000000002</v>
      </c>
      <c r="L1306" s="9">
        <v>1799.78</v>
      </c>
      <c r="M1306" s="9">
        <v>1797.02</v>
      </c>
      <c r="N1306" s="9">
        <v>1.8</v>
      </c>
      <c r="O1306" s="10">
        <f>IF(AND(OR(H1306="APPROVED",H1306="SCHEDULED"),COUNTIFS(tblSource[EventID],F1306,tblSource[ReleaseStatus],"APPROVED")=1,COUNTIFS(Period_Status!$A$2:$A$8,G1306,Period_Status!$B$2:$B$8,"ActualClosed")=1,C1306&gt;EOMONTH(Settlement_Bridge!$C$2,0)),1,0)</f>
        <v>0</v>
      </c>
      <c r="P1306" s="2" t="s">
        <v>3745</v>
      </c>
    </row>
    <row r="1307" spans="1:16" x14ac:dyDescent="0.25">
      <c r="A1307" s="2" t="s">
        <v>3746</v>
      </c>
      <c r="B1307" s="2" t="s">
        <v>136</v>
      </c>
      <c r="C1307" s="8">
        <v>46270</v>
      </c>
      <c r="D1307" s="6">
        <v>46266</v>
      </c>
      <c r="E1307" s="2" t="s">
        <v>260</v>
      </c>
      <c r="F1307" s="2" t="s">
        <v>3747</v>
      </c>
      <c r="G1307" s="6">
        <v>46235</v>
      </c>
      <c r="H1307" s="2" t="s">
        <v>176</v>
      </c>
      <c r="I1307" s="2" t="s">
        <v>39</v>
      </c>
      <c r="J1307" s="9">
        <v>1970.03</v>
      </c>
      <c r="K1307" s="7">
        <v>1</v>
      </c>
      <c r="L1307" s="9">
        <v>1970.03</v>
      </c>
      <c r="M1307" s="9">
        <v>1970.03</v>
      </c>
      <c r="N1307" s="9">
        <v>1.8</v>
      </c>
      <c r="O1307" s="10">
        <f>IF(AND(OR(H1307="APPROVED",H1307="SCHEDULED"),COUNTIFS(tblSource[EventID],F1307,tblSource[ReleaseStatus],"APPROVED")=1,COUNTIFS(Period_Status!$A$2:$A$8,G1307,Period_Status!$B$2:$B$8,"ActualClosed")=1,C1307&gt;EOMONTH(Settlement_Bridge!$C$2,0)),1,0)</f>
        <v>0</v>
      </c>
      <c r="P1307" s="2" t="s">
        <v>3748</v>
      </c>
    </row>
    <row r="1308" spans="1:16" x14ac:dyDescent="0.25">
      <c r="A1308" s="2" t="s">
        <v>3749</v>
      </c>
      <c r="B1308" s="2" t="s">
        <v>136</v>
      </c>
      <c r="C1308" s="8">
        <v>46261</v>
      </c>
      <c r="D1308" s="6">
        <v>46235</v>
      </c>
      <c r="E1308" s="2" t="s">
        <v>260</v>
      </c>
      <c r="F1308" s="2" t="s">
        <v>3750</v>
      </c>
      <c r="G1308" s="6">
        <v>46235</v>
      </c>
      <c r="H1308" s="2" t="s">
        <v>71</v>
      </c>
      <c r="I1308" s="2" t="s">
        <v>76</v>
      </c>
      <c r="J1308" s="9">
        <v>13938471.544716001</v>
      </c>
      <c r="K1308" s="7">
        <v>6.1500000000000004E-5</v>
      </c>
      <c r="L1308" s="9">
        <v>857.22</v>
      </c>
      <c r="M1308" s="9">
        <v>857.22</v>
      </c>
      <c r="N1308" s="9">
        <v>1.8</v>
      </c>
      <c r="O1308" s="10">
        <f>IF(AND(OR(H1308="APPROVED",H1308="SCHEDULED"),COUNTIFS(tblSource[EventID],F1308,tblSource[ReleaseStatus],"APPROVED")=1,COUNTIFS(Period_Status!$A$2:$A$8,G1308,Period_Status!$B$2:$B$8,"ActualClosed")=1,C1308&gt;EOMONTH(Settlement_Bridge!$C$2,0)),1,0)</f>
        <v>0</v>
      </c>
      <c r="P1308" s="2" t="s">
        <v>3751</v>
      </c>
    </row>
    <row r="1309" spans="1:16" x14ac:dyDescent="0.25">
      <c r="A1309" s="2" t="s">
        <v>3752</v>
      </c>
      <c r="B1309" s="2" t="s">
        <v>136</v>
      </c>
      <c r="C1309" s="8">
        <v>46286</v>
      </c>
      <c r="D1309" s="6">
        <v>46266</v>
      </c>
      <c r="E1309" s="2" t="s">
        <v>260</v>
      </c>
      <c r="F1309" s="2" t="s">
        <v>3750</v>
      </c>
      <c r="G1309" s="6">
        <v>46235</v>
      </c>
      <c r="H1309" s="2" t="s">
        <v>176</v>
      </c>
      <c r="I1309" s="2" t="s">
        <v>76</v>
      </c>
      <c r="J1309" s="9">
        <v>20907707.317072999</v>
      </c>
      <c r="K1309" s="7">
        <v>6.1299999999999999E-5</v>
      </c>
      <c r="L1309" s="9">
        <v>1281.6400000000001</v>
      </c>
      <c r="M1309" s="9">
        <v>1285.82</v>
      </c>
      <c r="N1309" s="9">
        <v>1.8</v>
      </c>
      <c r="O1309" s="10">
        <f>IF(AND(OR(H1309="APPROVED",H1309="SCHEDULED"),COUNTIFS(tblSource[EventID],F1309,tblSource[ReleaseStatus],"APPROVED")=1,COUNTIFS(Period_Status!$A$2:$A$8,G1309,Period_Status!$B$2:$B$8,"ActualClosed")=1,C1309&gt;EOMONTH(Settlement_Bridge!$C$2,0)),1,0)</f>
        <v>0</v>
      </c>
      <c r="P1309" s="2" t="s">
        <v>3753</v>
      </c>
    </row>
    <row r="1310" spans="1:16" x14ac:dyDescent="0.25">
      <c r="A1310" s="2" t="s">
        <v>3754</v>
      </c>
      <c r="B1310" s="2" t="s">
        <v>136</v>
      </c>
      <c r="C1310" s="8">
        <v>46262</v>
      </c>
      <c r="D1310" s="6">
        <v>46235</v>
      </c>
      <c r="E1310" s="2" t="s">
        <v>260</v>
      </c>
      <c r="F1310" s="2" t="s">
        <v>3755</v>
      </c>
      <c r="G1310" s="6">
        <v>46235</v>
      </c>
      <c r="H1310" s="2" t="s">
        <v>71</v>
      </c>
      <c r="I1310" s="2" t="s">
        <v>70</v>
      </c>
      <c r="J1310" s="9">
        <v>1425.261538</v>
      </c>
      <c r="K1310" s="7">
        <v>0.65</v>
      </c>
      <c r="L1310" s="9">
        <v>926.42</v>
      </c>
      <c r="M1310" s="9">
        <v>926.42</v>
      </c>
      <c r="N1310" s="9">
        <v>1.8</v>
      </c>
      <c r="O1310" s="10">
        <f>IF(AND(OR(H1310="APPROVED",H1310="SCHEDULED"),COUNTIFS(tblSource[EventID],F1310,tblSource[ReleaseStatus],"APPROVED")=1,COUNTIFS(Period_Status!$A$2:$A$8,G1310,Period_Status!$B$2:$B$8,"ActualClosed")=1,C1310&gt;EOMONTH(Settlement_Bridge!$C$2,0)),1,0)</f>
        <v>0</v>
      </c>
      <c r="P1310" s="2" t="s">
        <v>3756</v>
      </c>
    </row>
    <row r="1311" spans="1:16" x14ac:dyDescent="0.25">
      <c r="A1311" s="2" t="s">
        <v>3757</v>
      </c>
      <c r="B1311" s="2" t="s">
        <v>136</v>
      </c>
      <c r="C1311" s="8">
        <v>46287</v>
      </c>
      <c r="D1311" s="6">
        <v>46266</v>
      </c>
      <c r="E1311" s="2" t="s">
        <v>260</v>
      </c>
      <c r="F1311" s="2" t="s">
        <v>3755</v>
      </c>
      <c r="G1311" s="6">
        <v>46235</v>
      </c>
      <c r="H1311" s="2" t="s">
        <v>176</v>
      </c>
      <c r="I1311" s="2" t="s">
        <v>70</v>
      </c>
      <c r="J1311" s="9">
        <v>2137.892308</v>
      </c>
      <c r="K1311" s="7">
        <v>0.65100000000000002</v>
      </c>
      <c r="L1311" s="9">
        <v>1391.77</v>
      </c>
      <c r="M1311" s="9">
        <v>1389.63</v>
      </c>
      <c r="N1311" s="9">
        <v>1.8</v>
      </c>
      <c r="O1311" s="10">
        <f>IF(AND(OR(H1311="APPROVED",H1311="SCHEDULED"),COUNTIFS(tblSource[EventID],F1311,tblSource[ReleaseStatus],"APPROVED")=1,COUNTIFS(Period_Status!$A$2:$A$8,G1311,Period_Status!$B$2:$B$8,"ActualClosed")=1,C1311&gt;EOMONTH(Settlement_Bridge!$C$2,0)),1,0)</f>
        <v>0</v>
      </c>
      <c r="P1311" s="2" t="s">
        <v>3758</v>
      </c>
    </row>
    <row r="1312" spans="1:16" x14ac:dyDescent="0.25">
      <c r="A1312" s="2" t="s">
        <v>3759</v>
      </c>
      <c r="B1312" s="2" t="s">
        <v>136</v>
      </c>
      <c r="C1312" s="8">
        <v>46273</v>
      </c>
      <c r="D1312" s="6">
        <v>46266</v>
      </c>
      <c r="E1312" s="2" t="s">
        <v>260</v>
      </c>
      <c r="F1312" s="2" t="s">
        <v>3760</v>
      </c>
      <c r="G1312" s="6">
        <v>46235</v>
      </c>
      <c r="H1312" s="2" t="s">
        <v>176</v>
      </c>
      <c r="I1312" s="2" t="s">
        <v>39</v>
      </c>
      <c r="J1312" s="9">
        <v>2489.06</v>
      </c>
      <c r="K1312" s="7">
        <v>1</v>
      </c>
      <c r="L1312" s="9">
        <v>2489.06</v>
      </c>
      <c r="M1312" s="9">
        <v>2489.06</v>
      </c>
      <c r="N1312" s="9">
        <v>1.8</v>
      </c>
      <c r="O1312" s="10">
        <f>IF(AND(OR(H1312="APPROVED",H1312="SCHEDULED"),COUNTIFS(tblSource[EventID],F1312,tblSource[ReleaseStatus],"APPROVED")=1,COUNTIFS(Period_Status!$A$2:$A$8,G1312,Period_Status!$B$2:$B$8,"ActualClosed")=1,C1312&gt;EOMONTH(Settlement_Bridge!$C$2,0)),1,0)</f>
        <v>0</v>
      </c>
      <c r="P1312" s="2" t="s">
        <v>3761</v>
      </c>
    </row>
    <row r="1313" spans="1:16" x14ac:dyDescent="0.25">
      <c r="A1313" s="2" t="s">
        <v>3762</v>
      </c>
      <c r="B1313" s="2" t="s">
        <v>136</v>
      </c>
      <c r="C1313" s="8">
        <v>46274</v>
      </c>
      <c r="D1313" s="6">
        <v>46266</v>
      </c>
      <c r="E1313" s="2" t="s">
        <v>260</v>
      </c>
      <c r="F1313" s="2" t="s">
        <v>3763</v>
      </c>
      <c r="G1313" s="6">
        <v>46235</v>
      </c>
      <c r="H1313" s="2" t="s">
        <v>176</v>
      </c>
      <c r="I1313" s="2" t="s">
        <v>76</v>
      </c>
      <c r="J1313" s="9">
        <v>43285691.056910999</v>
      </c>
      <c r="K1313" s="7">
        <v>6.1299999999999999E-5</v>
      </c>
      <c r="L1313" s="9">
        <v>2653.41</v>
      </c>
      <c r="M1313" s="9">
        <v>2662.07</v>
      </c>
      <c r="N1313" s="9">
        <v>1.8</v>
      </c>
      <c r="O1313" s="10">
        <f>IF(AND(OR(H1313="APPROVED",H1313="SCHEDULED"),COUNTIFS(tblSource[EventID],F1313,tblSource[ReleaseStatus],"APPROVED")=1,COUNTIFS(Period_Status!$A$2:$A$8,G1313,Period_Status!$B$2:$B$8,"ActualClosed")=1,C1313&gt;EOMONTH(Settlement_Bridge!$C$2,0)),1,0)</f>
        <v>0</v>
      </c>
      <c r="P1313" s="2" t="s">
        <v>3764</v>
      </c>
    </row>
    <row r="1314" spans="1:16" x14ac:dyDescent="0.25">
      <c r="A1314" s="2" t="s">
        <v>3765</v>
      </c>
      <c r="B1314" s="2" t="s">
        <v>136</v>
      </c>
      <c r="C1314" s="8">
        <v>46265</v>
      </c>
      <c r="D1314" s="6">
        <v>46235</v>
      </c>
      <c r="E1314" s="2" t="s">
        <v>260</v>
      </c>
      <c r="F1314" s="2" t="s">
        <v>3766</v>
      </c>
      <c r="G1314" s="6">
        <v>46235</v>
      </c>
      <c r="H1314" s="2" t="s">
        <v>71</v>
      </c>
      <c r="I1314" s="2" t="s">
        <v>70</v>
      </c>
      <c r="J1314" s="9">
        <v>1744.6646149999999</v>
      </c>
      <c r="K1314" s="7">
        <v>0.65</v>
      </c>
      <c r="L1314" s="9">
        <v>1134.03</v>
      </c>
      <c r="M1314" s="9">
        <v>1134.03</v>
      </c>
      <c r="N1314" s="9">
        <v>1.8</v>
      </c>
      <c r="O1314" s="10">
        <f>IF(AND(OR(H1314="APPROVED",H1314="SCHEDULED"),COUNTIFS(tblSource[EventID],F1314,tblSource[ReleaseStatus],"APPROVED")=1,COUNTIFS(Period_Status!$A$2:$A$8,G1314,Period_Status!$B$2:$B$8,"ActualClosed")=1,C1314&gt;EOMONTH(Settlement_Bridge!$C$2,0)),1,0)</f>
        <v>0</v>
      </c>
      <c r="P1314" s="2" t="s">
        <v>3767</v>
      </c>
    </row>
    <row r="1315" spans="1:16" x14ac:dyDescent="0.25">
      <c r="A1315" s="2" t="s">
        <v>3768</v>
      </c>
      <c r="B1315" s="2" t="s">
        <v>136</v>
      </c>
      <c r="C1315" s="8">
        <v>46290</v>
      </c>
      <c r="D1315" s="6">
        <v>46266</v>
      </c>
      <c r="E1315" s="2" t="s">
        <v>260</v>
      </c>
      <c r="F1315" s="2" t="s">
        <v>3766</v>
      </c>
      <c r="G1315" s="6">
        <v>46235</v>
      </c>
      <c r="H1315" s="2" t="s">
        <v>176</v>
      </c>
      <c r="I1315" s="2" t="s">
        <v>70</v>
      </c>
      <c r="J1315" s="9">
        <v>2616.9969230000002</v>
      </c>
      <c r="K1315" s="7">
        <v>0.65100000000000002</v>
      </c>
      <c r="L1315" s="9">
        <v>1703.66</v>
      </c>
      <c r="M1315" s="9">
        <v>1701.05</v>
      </c>
      <c r="N1315" s="9">
        <v>1.8</v>
      </c>
      <c r="O1315" s="10">
        <f>IF(AND(OR(H1315="APPROVED",H1315="SCHEDULED"),COUNTIFS(tblSource[EventID],F1315,tblSource[ReleaseStatus],"APPROVED")=1,COUNTIFS(Period_Status!$A$2:$A$8,G1315,Period_Status!$B$2:$B$8,"ActualClosed")=1,C1315&gt;EOMONTH(Settlement_Bridge!$C$2,0)),1,0)</f>
        <v>0</v>
      </c>
      <c r="P1315" s="2" t="s">
        <v>3769</v>
      </c>
    </row>
    <row r="1316" spans="1:16" x14ac:dyDescent="0.25">
      <c r="A1316" s="2" t="s">
        <v>3770</v>
      </c>
      <c r="B1316" s="2" t="s">
        <v>136</v>
      </c>
      <c r="C1316" s="8">
        <v>46276</v>
      </c>
      <c r="D1316" s="6">
        <v>46266</v>
      </c>
      <c r="E1316" s="2" t="s">
        <v>260</v>
      </c>
      <c r="F1316" s="2" t="s">
        <v>3771</v>
      </c>
      <c r="G1316" s="6">
        <v>46235</v>
      </c>
      <c r="H1316" s="2" t="s">
        <v>176</v>
      </c>
      <c r="I1316" s="2" t="s">
        <v>39</v>
      </c>
      <c r="J1316" s="9">
        <v>3008.09</v>
      </c>
      <c r="K1316" s="7">
        <v>1</v>
      </c>
      <c r="L1316" s="9">
        <v>3008.09</v>
      </c>
      <c r="M1316" s="9">
        <v>3008.09</v>
      </c>
      <c r="N1316" s="9">
        <v>1.8</v>
      </c>
      <c r="O1316" s="10">
        <f>IF(AND(OR(H1316="APPROVED",H1316="SCHEDULED"),COUNTIFS(tblSource[EventID],F1316,tblSource[ReleaseStatus],"APPROVED")=1,COUNTIFS(Period_Status!$A$2:$A$8,G1316,Period_Status!$B$2:$B$8,"ActualClosed")=1,C1316&gt;EOMONTH(Settlement_Bridge!$C$2,0)),1,0)</f>
        <v>0</v>
      </c>
      <c r="P1316" s="2" t="s">
        <v>3772</v>
      </c>
    </row>
    <row r="1317" spans="1:16" x14ac:dyDescent="0.25">
      <c r="A1317" s="2" t="s">
        <v>3773</v>
      </c>
      <c r="B1317" s="2" t="s">
        <v>136</v>
      </c>
      <c r="C1317" s="8">
        <v>46277</v>
      </c>
      <c r="D1317" s="6">
        <v>46266</v>
      </c>
      <c r="E1317" s="2" t="s">
        <v>260</v>
      </c>
      <c r="F1317" s="2" t="s">
        <v>3774</v>
      </c>
      <c r="G1317" s="6">
        <v>46235</v>
      </c>
      <c r="H1317" s="2" t="s">
        <v>176</v>
      </c>
      <c r="I1317" s="2" t="s">
        <v>76</v>
      </c>
      <c r="J1317" s="9">
        <v>51725203.252033003</v>
      </c>
      <c r="K1317" s="7">
        <v>6.1299999999999999E-5</v>
      </c>
      <c r="L1317" s="9">
        <v>3170.75</v>
      </c>
      <c r="M1317" s="9">
        <v>3181.1</v>
      </c>
      <c r="N1317" s="9">
        <v>1.8</v>
      </c>
      <c r="O1317" s="10">
        <f>IF(AND(OR(H1317="APPROVED",H1317="SCHEDULED"),COUNTIFS(tblSource[EventID],F1317,tblSource[ReleaseStatus],"APPROVED")=1,COUNTIFS(Period_Status!$A$2:$A$8,G1317,Period_Status!$B$2:$B$8,"ActualClosed")=1,C1317&gt;EOMONTH(Settlement_Bridge!$C$2,0)),1,0)</f>
        <v>0</v>
      </c>
      <c r="P1317" s="2" t="s">
        <v>3775</v>
      </c>
    </row>
    <row r="1318" spans="1:16" x14ac:dyDescent="0.25">
      <c r="A1318" s="2" t="s">
        <v>3776</v>
      </c>
      <c r="B1318" s="2" t="s">
        <v>136</v>
      </c>
      <c r="C1318" s="8">
        <v>46278</v>
      </c>
      <c r="D1318" s="6">
        <v>46266</v>
      </c>
      <c r="E1318" s="2" t="s">
        <v>260</v>
      </c>
      <c r="F1318" s="2" t="s">
        <v>3777</v>
      </c>
      <c r="G1318" s="6">
        <v>46235</v>
      </c>
      <c r="H1318" s="2" t="s">
        <v>176</v>
      </c>
      <c r="I1318" s="2" t="s">
        <v>70</v>
      </c>
      <c r="J1318" s="9">
        <v>5160.1692309999999</v>
      </c>
      <c r="K1318" s="7">
        <v>0.65100000000000002</v>
      </c>
      <c r="L1318" s="9">
        <v>3359.27</v>
      </c>
      <c r="M1318" s="9">
        <v>3354.11</v>
      </c>
      <c r="N1318" s="9">
        <v>1.85</v>
      </c>
      <c r="O1318" s="10">
        <f>IF(AND(OR(H1318="APPROVED",H1318="SCHEDULED"),COUNTIFS(tblSource[EventID],F1318,tblSource[ReleaseStatus],"APPROVED")=1,COUNTIFS(Period_Status!$A$2:$A$8,G1318,Period_Status!$B$2:$B$8,"ActualClosed")=1,C1318&gt;EOMONTH(Settlement_Bridge!$C$2,0)),1,0)</f>
        <v>0</v>
      </c>
      <c r="P1318" s="2" t="s">
        <v>3778</v>
      </c>
    </row>
    <row r="1319" spans="1:16" x14ac:dyDescent="0.25">
      <c r="A1319" s="2" t="s">
        <v>3779</v>
      </c>
      <c r="B1319" s="2" t="s">
        <v>136</v>
      </c>
      <c r="C1319" s="8">
        <v>46279</v>
      </c>
      <c r="D1319" s="6">
        <v>46266</v>
      </c>
      <c r="E1319" s="2" t="s">
        <v>260</v>
      </c>
      <c r="F1319" s="2" t="s">
        <v>3780</v>
      </c>
      <c r="G1319" s="6">
        <v>46235</v>
      </c>
      <c r="H1319" s="2" t="s">
        <v>176</v>
      </c>
      <c r="I1319" s="2" t="s">
        <v>39</v>
      </c>
      <c r="J1319" s="9">
        <v>3527.12</v>
      </c>
      <c r="K1319" s="7">
        <v>1</v>
      </c>
      <c r="L1319" s="9">
        <v>3527.12</v>
      </c>
      <c r="M1319" s="9">
        <v>3527.12</v>
      </c>
      <c r="N1319" s="9">
        <v>1.94</v>
      </c>
      <c r="O1319" s="10">
        <f>IF(AND(OR(H1319="APPROVED",H1319="SCHEDULED"),COUNTIFS(tblSource[EventID],F1319,tblSource[ReleaseStatus],"APPROVED")=1,COUNTIFS(Period_Status!$A$2:$A$8,G1319,Period_Status!$B$2:$B$8,"ActualClosed")=1,C1319&gt;EOMONTH(Settlement_Bridge!$C$2,0)),1,0)</f>
        <v>0</v>
      </c>
      <c r="P1319" s="2" t="s">
        <v>3781</v>
      </c>
    </row>
    <row r="1320" spans="1:16" x14ac:dyDescent="0.25">
      <c r="A1320" s="2" t="s">
        <v>3782</v>
      </c>
      <c r="B1320" s="2" t="s">
        <v>136</v>
      </c>
      <c r="C1320" s="8">
        <v>46280</v>
      </c>
      <c r="D1320" s="6">
        <v>46266</v>
      </c>
      <c r="E1320" s="2" t="s">
        <v>260</v>
      </c>
      <c r="F1320" s="2" t="s">
        <v>3783</v>
      </c>
      <c r="G1320" s="6">
        <v>46235</v>
      </c>
      <c r="H1320" s="2" t="s">
        <v>176</v>
      </c>
      <c r="I1320" s="2" t="s">
        <v>76</v>
      </c>
      <c r="J1320" s="9">
        <v>60164715.447154</v>
      </c>
      <c r="K1320" s="7">
        <v>6.1299999999999999E-5</v>
      </c>
      <c r="L1320" s="9">
        <v>3688.1</v>
      </c>
      <c r="M1320" s="9">
        <v>3700.13</v>
      </c>
      <c r="N1320" s="9">
        <v>2.0299999999999998</v>
      </c>
      <c r="O1320" s="10">
        <f>IF(AND(OR(H1320="APPROVED",H1320="SCHEDULED"),COUNTIFS(tblSource[EventID],F1320,tblSource[ReleaseStatus],"APPROVED")=1,COUNTIFS(Period_Status!$A$2:$A$8,G1320,Period_Status!$B$2:$B$8,"ActualClosed")=1,C1320&gt;EOMONTH(Settlement_Bridge!$C$2,0)),1,0)</f>
        <v>0</v>
      </c>
      <c r="P1320" s="2" t="s">
        <v>3784</v>
      </c>
    </row>
    <row r="1321" spans="1:16" x14ac:dyDescent="0.25">
      <c r="A1321" s="2" t="s">
        <v>3785</v>
      </c>
      <c r="B1321" s="2" t="s">
        <v>136</v>
      </c>
      <c r="C1321" s="8">
        <v>46271</v>
      </c>
      <c r="D1321" s="6">
        <v>46266</v>
      </c>
      <c r="E1321" s="2" t="s">
        <v>260</v>
      </c>
      <c r="F1321" s="2" t="s">
        <v>3786</v>
      </c>
      <c r="G1321" s="6">
        <v>46235</v>
      </c>
      <c r="H1321" s="2" t="s">
        <v>176</v>
      </c>
      <c r="I1321" s="2" t="s">
        <v>70</v>
      </c>
      <c r="J1321" s="9">
        <v>-5958.676923</v>
      </c>
      <c r="K1321" s="7">
        <v>0.65100000000000002</v>
      </c>
      <c r="L1321" s="9">
        <v>-3879.1</v>
      </c>
      <c r="M1321" s="9">
        <v>-3873.14</v>
      </c>
      <c r="N1321" s="9">
        <v>0</v>
      </c>
      <c r="O1321" s="10">
        <f>IF(AND(OR(H1321="APPROVED",H1321="SCHEDULED"),COUNTIFS(tblSource[EventID],F1321,tblSource[ReleaseStatus],"APPROVED")=1,COUNTIFS(Period_Status!$A$2:$A$8,G1321,Period_Status!$B$2:$B$8,"ActualClosed")=1,C1321&gt;EOMONTH(Settlement_Bridge!$C$2,0)),1,0)</f>
        <v>0</v>
      </c>
      <c r="P1321" s="2" t="s">
        <v>3787</v>
      </c>
    </row>
    <row r="1322" spans="1:16" x14ac:dyDescent="0.25">
      <c r="A1322" s="2" t="s">
        <v>3788</v>
      </c>
      <c r="B1322" s="2" t="s">
        <v>136</v>
      </c>
      <c r="C1322" s="8">
        <v>46272</v>
      </c>
      <c r="D1322" s="6">
        <v>46266</v>
      </c>
      <c r="E1322" s="2" t="s">
        <v>260</v>
      </c>
      <c r="F1322" s="2" t="s">
        <v>3789</v>
      </c>
      <c r="G1322" s="6">
        <v>46235</v>
      </c>
      <c r="H1322" s="2" t="s">
        <v>176</v>
      </c>
      <c r="I1322" s="2" t="s">
        <v>39</v>
      </c>
      <c r="J1322" s="9">
        <v>1618.46</v>
      </c>
      <c r="K1322" s="7">
        <v>1</v>
      </c>
      <c r="L1322" s="9">
        <v>1618.46</v>
      </c>
      <c r="M1322" s="9">
        <v>1618.46</v>
      </c>
      <c r="N1322" s="9">
        <v>1.8</v>
      </c>
      <c r="O1322" s="10">
        <f>IF(AND(OR(H1322="APPROVED",H1322="SCHEDULED"),COUNTIFS(tblSource[EventID],F1322,tblSource[ReleaseStatus],"APPROVED")=1,COUNTIFS(Period_Status!$A$2:$A$8,G1322,Period_Status!$B$2:$B$8,"ActualClosed")=1,C1322&gt;EOMONTH(Settlement_Bridge!$C$2,0)),1,0)</f>
        <v>0</v>
      </c>
      <c r="P1322" s="2" t="s">
        <v>3790</v>
      </c>
    </row>
    <row r="1323" spans="1:16" x14ac:dyDescent="0.25">
      <c r="A1323" s="2" t="s">
        <v>3791</v>
      </c>
      <c r="B1323" s="2" t="s">
        <v>136</v>
      </c>
      <c r="C1323" s="8">
        <v>46297</v>
      </c>
      <c r="D1323" s="6">
        <v>46296</v>
      </c>
      <c r="E1323" s="2" t="s">
        <v>260</v>
      </c>
      <c r="F1323" s="2" t="s">
        <v>3789</v>
      </c>
      <c r="G1323" s="6">
        <v>46235</v>
      </c>
      <c r="H1323" s="2" t="s">
        <v>176</v>
      </c>
      <c r="I1323" s="2" t="s">
        <v>39</v>
      </c>
      <c r="J1323" s="9">
        <v>2427.69</v>
      </c>
      <c r="K1323" s="7">
        <v>1</v>
      </c>
      <c r="L1323" s="9">
        <v>2427.69</v>
      </c>
      <c r="M1323" s="9">
        <v>2427.69</v>
      </c>
      <c r="N1323" s="9">
        <v>1.8</v>
      </c>
      <c r="O1323" s="10">
        <f>IF(AND(OR(H1323="APPROVED",H1323="SCHEDULED"),COUNTIFS(tblSource[EventID],F1323,tblSource[ReleaseStatus],"APPROVED")=1,COUNTIFS(Period_Status!$A$2:$A$8,G1323,Period_Status!$B$2:$B$8,"ActualClosed")=1,C1323&gt;EOMONTH(Settlement_Bridge!$C$2,0)),1,0)</f>
        <v>0</v>
      </c>
      <c r="P1323" s="2" t="s">
        <v>3792</v>
      </c>
    </row>
    <row r="1324" spans="1:16" x14ac:dyDescent="0.25">
      <c r="A1324" s="2" t="s">
        <v>3793</v>
      </c>
      <c r="B1324" s="2" t="s">
        <v>136</v>
      </c>
      <c r="C1324" s="8">
        <v>46283</v>
      </c>
      <c r="D1324" s="6">
        <v>46266</v>
      </c>
      <c r="E1324" s="2" t="s">
        <v>260</v>
      </c>
      <c r="F1324" s="2" t="s">
        <v>3794</v>
      </c>
      <c r="G1324" s="6">
        <v>46235</v>
      </c>
      <c r="H1324" s="2" t="s">
        <v>176</v>
      </c>
      <c r="I1324" s="2" t="s">
        <v>76</v>
      </c>
      <c r="J1324" s="9">
        <v>68604227.642276004</v>
      </c>
      <c r="K1324" s="7">
        <v>6.1299999999999999E-5</v>
      </c>
      <c r="L1324" s="9">
        <v>4205.4399999999996</v>
      </c>
      <c r="M1324" s="9">
        <v>4219.16</v>
      </c>
      <c r="N1324" s="9">
        <v>2.31</v>
      </c>
      <c r="O1324" s="10">
        <f>IF(AND(OR(H1324="APPROVED",H1324="SCHEDULED"),COUNTIFS(tblSource[EventID],F1324,tblSource[ReleaseStatus],"APPROVED")=1,COUNTIFS(Period_Status!$A$2:$A$8,G1324,Period_Status!$B$2:$B$8,"ActualClosed")=1,C1324&gt;EOMONTH(Settlement_Bridge!$C$2,0)),1,0)</f>
        <v>0</v>
      </c>
      <c r="P1324" s="2" t="s">
        <v>3795</v>
      </c>
    </row>
    <row r="1325" spans="1:16" x14ac:dyDescent="0.25">
      <c r="A1325" s="2" t="s">
        <v>3796</v>
      </c>
      <c r="B1325" s="2" t="s">
        <v>136</v>
      </c>
      <c r="C1325" s="8">
        <v>46284</v>
      </c>
      <c r="D1325" s="6">
        <v>46266</v>
      </c>
      <c r="E1325" s="2" t="s">
        <v>260</v>
      </c>
      <c r="F1325" s="2" t="s">
        <v>3797</v>
      </c>
      <c r="G1325" s="6">
        <v>46235</v>
      </c>
      <c r="H1325" s="2" t="s">
        <v>176</v>
      </c>
      <c r="I1325" s="2" t="s">
        <v>70</v>
      </c>
      <c r="J1325" s="9">
        <v>6757.1846150000001</v>
      </c>
      <c r="K1325" s="7">
        <v>0.65100000000000002</v>
      </c>
      <c r="L1325" s="9">
        <v>4398.93</v>
      </c>
      <c r="M1325" s="9">
        <v>4392.17</v>
      </c>
      <c r="N1325" s="9">
        <v>2.42</v>
      </c>
      <c r="O1325" s="10">
        <f>IF(AND(OR(H1325="APPROVED",H1325="SCHEDULED"),COUNTIFS(tblSource[EventID],F1325,tblSource[ReleaseStatus],"APPROVED")=1,COUNTIFS(Period_Status!$A$2:$A$8,G1325,Period_Status!$B$2:$B$8,"ActualClosed")=1,C1325&gt;EOMONTH(Settlement_Bridge!$C$2,0)),1,0)</f>
        <v>0</v>
      </c>
      <c r="P1325" s="2" t="s">
        <v>3798</v>
      </c>
    </row>
    <row r="1326" spans="1:16" x14ac:dyDescent="0.25">
      <c r="A1326" s="2" t="s">
        <v>3799</v>
      </c>
      <c r="B1326" s="2" t="s">
        <v>136</v>
      </c>
      <c r="C1326" s="8">
        <v>46275</v>
      </c>
      <c r="D1326" s="6">
        <v>46266</v>
      </c>
      <c r="E1326" s="2" t="s">
        <v>260</v>
      </c>
      <c r="F1326" s="2" t="s">
        <v>3800</v>
      </c>
      <c r="G1326" s="6">
        <v>46235</v>
      </c>
      <c r="H1326" s="2" t="s">
        <v>176</v>
      </c>
      <c r="I1326" s="2" t="s">
        <v>39</v>
      </c>
      <c r="J1326" s="9">
        <v>1826.0719999999999</v>
      </c>
      <c r="K1326" s="7">
        <v>1</v>
      </c>
      <c r="L1326" s="9">
        <v>1826.07</v>
      </c>
      <c r="M1326" s="9">
        <v>1826.07</v>
      </c>
      <c r="N1326" s="9">
        <v>1.8</v>
      </c>
      <c r="O1326" s="10">
        <f>IF(AND(OR(H1326="APPROVED",H1326="SCHEDULED"),COUNTIFS(tblSource[EventID],F1326,tblSource[ReleaseStatus],"APPROVED")=1,COUNTIFS(Period_Status!$A$2:$A$8,G1326,Period_Status!$B$2:$B$8,"ActualClosed")=1,C1326&gt;EOMONTH(Settlement_Bridge!$C$2,0)),1,0)</f>
        <v>0</v>
      </c>
      <c r="P1326" s="2" t="s">
        <v>3801</v>
      </c>
    </row>
    <row r="1327" spans="1:16" x14ac:dyDescent="0.25">
      <c r="A1327" s="2" t="s">
        <v>3802</v>
      </c>
      <c r="B1327" s="2" t="s">
        <v>136</v>
      </c>
      <c r="C1327" s="8">
        <v>46300</v>
      </c>
      <c r="D1327" s="6">
        <v>46296</v>
      </c>
      <c r="E1327" s="2" t="s">
        <v>260</v>
      </c>
      <c r="F1327" s="2" t="s">
        <v>3800</v>
      </c>
      <c r="G1327" s="6">
        <v>46235</v>
      </c>
      <c r="H1327" s="2" t="s">
        <v>176</v>
      </c>
      <c r="I1327" s="2" t="s">
        <v>39</v>
      </c>
      <c r="J1327" s="9">
        <v>2739.1080000000002</v>
      </c>
      <c r="K1327" s="7">
        <v>1</v>
      </c>
      <c r="L1327" s="9">
        <v>2739.11</v>
      </c>
      <c r="M1327" s="9">
        <v>2739.11</v>
      </c>
      <c r="N1327" s="9">
        <v>1.8</v>
      </c>
      <c r="O1327" s="10">
        <f>IF(AND(OR(H1327="APPROVED",H1327="SCHEDULED"),COUNTIFS(tblSource[EventID],F1327,tblSource[ReleaseStatus],"APPROVED")=1,COUNTIFS(Period_Status!$A$2:$A$8,G1327,Period_Status!$B$2:$B$8,"ActualClosed")=1,C1327&gt;EOMONTH(Settlement_Bridge!$C$2,0)),1,0)</f>
        <v>0</v>
      </c>
      <c r="P1327" s="2" t="s">
        <v>3803</v>
      </c>
    </row>
    <row r="1328" spans="1:16" x14ac:dyDescent="0.25">
      <c r="A1328" s="2" t="s">
        <v>3804</v>
      </c>
      <c r="B1328" s="2" t="s">
        <v>136</v>
      </c>
      <c r="C1328" s="8">
        <v>46286</v>
      </c>
      <c r="D1328" s="6">
        <v>46266</v>
      </c>
      <c r="E1328" s="2" t="s">
        <v>260</v>
      </c>
      <c r="F1328" s="2" t="s">
        <v>3805</v>
      </c>
      <c r="G1328" s="6">
        <v>46235</v>
      </c>
      <c r="H1328" s="2" t="s">
        <v>176</v>
      </c>
      <c r="I1328" s="2" t="s">
        <v>76</v>
      </c>
      <c r="J1328" s="9">
        <v>77043739.837397993</v>
      </c>
      <c r="K1328" s="7">
        <v>6.1299999999999999E-5</v>
      </c>
      <c r="L1328" s="9">
        <v>4722.78</v>
      </c>
      <c r="M1328" s="9">
        <v>4738.1899999999996</v>
      </c>
      <c r="N1328" s="9">
        <v>2.6</v>
      </c>
      <c r="O1328" s="10">
        <f>IF(AND(OR(H1328="APPROVED",H1328="SCHEDULED"),COUNTIFS(tblSource[EventID],F1328,tblSource[ReleaseStatus],"APPROVED")=1,COUNTIFS(Period_Status!$A$2:$A$8,G1328,Period_Status!$B$2:$B$8,"ActualClosed")=1,C1328&gt;EOMONTH(Settlement_Bridge!$C$2,0)),1,0)</f>
        <v>0</v>
      </c>
      <c r="P1328" s="2" t="s">
        <v>3806</v>
      </c>
    </row>
    <row r="1329" spans="1:16" x14ac:dyDescent="0.25">
      <c r="A1329" s="2" t="s">
        <v>3807</v>
      </c>
      <c r="B1329" s="2" t="s">
        <v>136</v>
      </c>
      <c r="C1329" s="8">
        <v>46287</v>
      </c>
      <c r="D1329" s="6">
        <v>46266</v>
      </c>
      <c r="E1329" s="2" t="s">
        <v>260</v>
      </c>
      <c r="F1329" s="2" t="s">
        <v>3808</v>
      </c>
      <c r="G1329" s="6">
        <v>46235</v>
      </c>
      <c r="H1329" s="2" t="s">
        <v>176</v>
      </c>
      <c r="I1329" s="2" t="s">
        <v>70</v>
      </c>
      <c r="J1329" s="9">
        <v>7555.6923079999997</v>
      </c>
      <c r="K1329" s="7">
        <v>0.65100000000000002</v>
      </c>
      <c r="L1329" s="9">
        <v>4918.76</v>
      </c>
      <c r="M1329" s="9">
        <v>4911.2</v>
      </c>
      <c r="N1329" s="9">
        <v>2.71</v>
      </c>
      <c r="O1329" s="10">
        <f>IF(AND(OR(H1329="APPROVED",H1329="SCHEDULED"),COUNTIFS(tblSource[EventID],F1329,tblSource[ReleaseStatus],"APPROVED")=1,COUNTIFS(Period_Status!$A$2:$A$8,G1329,Period_Status!$B$2:$B$8,"ActualClosed")=1,C1329&gt;EOMONTH(Settlement_Bridge!$C$2,0)),1,0)</f>
        <v>0</v>
      </c>
      <c r="P1329" s="2" t="s">
        <v>3809</v>
      </c>
    </row>
    <row r="1330" spans="1:16" x14ac:dyDescent="0.25">
      <c r="A1330" s="2" t="s">
        <v>3810</v>
      </c>
      <c r="B1330" s="2" t="s">
        <v>136</v>
      </c>
      <c r="C1330" s="8">
        <v>46288</v>
      </c>
      <c r="D1330" s="6">
        <v>46266</v>
      </c>
      <c r="E1330" s="2" t="s">
        <v>260</v>
      </c>
      <c r="F1330" s="2" t="s">
        <v>3811</v>
      </c>
      <c r="G1330" s="6">
        <v>46235</v>
      </c>
      <c r="H1330" s="2" t="s">
        <v>176</v>
      </c>
      <c r="I1330" s="2" t="s">
        <v>39</v>
      </c>
      <c r="J1330" s="9">
        <v>5084.21</v>
      </c>
      <c r="K1330" s="7">
        <v>1</v>
      </c>
      <c r="L1330" s="9">
        <v>5084.21</v>
      </c>
      <c r="M1330" s="9">
        <v>5084.21</v>
      </c>
      <c r="N1330" s="9">
        <v>2.8</v>
      </c>
      <c r="O1330" s="10">
        <f>IF(AND(OR(H1330="APPROVED",H1330="SCHEDULED"),COUNTIFS(tblSource[EventID],F1330,tblSource[ReleaseStatus],"APPROVED")=1,COUNTIFS(Period_Status!$A$2:$A$8,G1330,Period_Status!$B$2:$B$8,"ActualClosed")=1,C1330&gt;EOMONTH(Settlement_Bridge!$C$2,0)),1,0)</f>
        <v>0</v>
      </c>
      <c r="P1330" s="2" t="s">
        <v>3812</v>
      </c>
    </row>
    <row r="1331" spans="1:16" x14ac:dyDescent="0.25">
      <c r="A1331" s="2" t="s">
        <v>3813</v>
      </c>
      <c r="B1331" s="2" t="s">
        <v>136</v>
      </c>
      <c r="C1331" s="8">
        <v>46289</v>
      </c>
      <c r="D1331" s="6">
        <v>46266</v>
      </c>
      <c r="E1331" s="2" t="s">
        <v>260</v>
      </c>
      <c r="F1331" s="2" t="s">
        <v>3814</v>
      </c>
      <c r="G1331" s="6">
        <v>46235</v>
      </c>
      <c r="H1331" s="2" t="s">
        <v>176</v>
      </c>
      <c r="I1331" s="2" t="s">
        <v>76</v>
      </c>
      <c r="J1331" s="9">
        <v>85483252.032519996</v>
      </c>
      <c r="K1331" s="7">
        <v>6.1299999999999999E-5</v>
      </c>
      <c r="L1331" s="9">
        <v>5240.12</v>
      </c>
      <c r="M1331" s="9">
        <v>5257.22</v>
      </c>
      <c r="N1331" s="9">
        <v>2.88</v>
      </c>
      <c r="O1331" s="10">
        <f>IF(AND(OR(H1331="APPROVED",H1331="SCHEDULED"),COUNTIFS(tblSource[EventID],F1331,tblSource[ReleaseStatus],"APPROVED")=1,COUNTIFS(Period_Status!$A$2:$A$8,G1331,Period_Status!$B$2:$B$8,"ActualClosed")=1,C1331&gt;EOMONTH(Settlement_Bridge!$C$2,0)),1,0)</f>
        <v>0</v>
      </c>
      <c r="P1331" s="2" t="s">
        <v>3815</v>
      </c>
    </row>
    <row r="1332" spans="1:16" x14ac:dyDescent="0.25">
      <c r="A1332" s="2" t="s">
        <v>3816</v>
      </c>
      <c r="B1332" s="2" t="s">
        <v>136</v>
      </c>
      <c r="C1332" s="8">
        <v>46259</v>
      </c>
      <c r="D1332" s="6">
        <v>46235</v>
      </c>
      <c r="E1332" s="2" t="s">
        <v>260</v>
      </c>
      <c r="F1332" s="2" t="s">
        <v>3817</v>
      </c>
      <c r="G1332" s="6">
        <v>46235</v>
      </c>
      <c r="H1332" s="2" t="s">
        <v>71</v>
      </c>
      <c r="I1332" s="2" t="s">
        <v>70</v>
      </c>
      <c r="J1332" s="9">
        <v>8354.2000000000007</v>
      </c>
      <c r="K1332" s="7">
        <v>0.65</v>
      </c>
      <c r="L1332" s="9">
        <v>5430.23</v>
      </c>
      <c r="M1332" s="9">
        <v>5430.23</v>
      </c>
      <c r="N1332" s="9">
        <v>2.99</v>
      </c>
      <c r="O1332" s="10">
        <f>IF(AND(OR(H1332="APPROVED",H1332="SCHEDULED"),COUNTIFS(tblSource[EventID],F1332,tblSource[ReleaseStatus],"APPROVED")=1,COUNTIFS(Period_Status!$A$2:$A$8,G1332,Period_Status!$B$2:$B$8,"ActualClosed")=1,C1332&gt;EOMONTH(Settlement_Bridge!$C$2,0)),1,0)</f>
        <v>0</v>
      </c>
      <c r="P1332" s="2" t="s">
        <v>3818</v>
      </c>
    </row>
    <row r="1333" spans="1:16" x14ac:dyDescent="0.25">
      <c r="A1333" s="2" t="s">
        <v>3819</v>
      </c>
      <c r="B1333" s="2" t="s">
        <v>136</v>
      </c>
      <c r="C1333" s="8">
        <v>46250</v>
      </c>
      <c r="D1333" s="6">
        <v>46235</v>
      </c>
      <c r="E1333" s="2" t="s">
        <v>260</v>
      </c>
      <c r="F1333" s="2" t="s">
        <v>3820</v>
      </c>
      <c r="G1333" s="6">
        <v>46235</v>
      </c>
      <c r="H1333" s="2" t="s">
        <v>71</v>
      </c>
      <c r="I1333" s="2" t="s">
        <v>39</v>
      </c>
      <c r="J1333" s="9">
        <v>2241.2959999999998</v>
      </c>
      <c r="K1333" s="7">
        <v>1</v>
      </c>
      <c r="L1333" s="9">
        <v>2241.3000000000002</v>
      </c>
      <c r="M1333" s="9">
        <v>2241.3000000000002</v>
      </c>
      <c r="N1333" s="9">
        <v>1.8</v>
      </c>
      <c r="O1333" s="10">
        <f>IF(AND(OR(H1333="APPROVED",H1333="SCHEDULED"),COUNTIFS(tblSource[EventID],F1333,tblSource[ReleaseStatus],"APPROVED")=1,COUNTIFS(Period_Status!$A$2:$A$8,G1333,Period_Status!$B$2:$B$8,"ActualClosed")=1,C1333&gt;EOMONTH(Settlement_Bridge!$C$2,0)),1,0)</f>
        <v>0</v>
      </c>
      <c r="P1333" s="2" t="s">
        <v>3821</v>
      </c>
    </row>
    <row r="1334" spans="1:16" x14ac:dyDescent="0.25">
      <c r="A1334" s="2" t="s">
        <v>3822</v>
      </c>
      <c r="B1334" s="2" t="s">
        <v>136</v>
      </c>
      <c r="C1334" s="8">
        <v>46275</v>
      </c>
      <c r="D1334" s="6">
        <v>46266</v>
      </c>
      <c r="E1334" s="2" t="s">
        <v>260</v>
      </c>
      <c r="F1334" s="2" t="s">
        <v>3820</v>
      </c>
      <c r="G1334" s="6">
        <v>46235</v>
      </c>
      <c r="H1334" s="2" t="s">
        <v>176</v>
      </c>
      <c r="I1334" s="2" t="s">
        <v>39</v>
      </c>
      <c r="J1334" s="9">
        <v>3361.944</v>
      </c>
      <c r="K1334" s="7">
        <v>1</v>
      </c>
      <c r="L1334" s="9">
        <v>3361.94</v>
      </c>
      <c r="M1334" s="9">
        <v>3361.94</v>
      </c>
      <c r="N1334" s="9">
        <v>1.85</v>
      </c>
      <c r="O1334" s="10">
        <f>IF(AND(OR(H1334="APPROVED",H1334="SCHEDULED"),COUNTIFS(tblSource[EventID],F1334,tblSource[ReleaseStatus],"APPROVED")=1,COUNTIFS(Period_Status!$A$2:$A$8,G1334,Period_Status!$B$2:$B$8,"ActualClosed")=1,C1334&gt;EOMONTH(Settlement_Bridge!$C$2,0)),1,0)</f>
        <v>0</v>
      </c>
      <c r="P1334" s="2" t="s">
        <v>3823</v>
      </c>
    </row>
    <row r="1335" spans="1:16" x14ac:dyDescent="0.25">
      <c r="A1335" s="2" t="s">
        <v>3824</v>
      </c>
      <c r="B1335" s="2" t="s">
        <v>136</v>
      </c>
      <c r="C1335" s="8">
        <v>46251</v>
      </c>
      <c r="D1335" s="6">
        <v>46235</v>
      </c>
      <c r="E1335" s="2" t="s">
        <v>260</v>
      </c>
      <c r="F1335" s="2" t="s">
        <v>3825</v>
      </c>
      <c r="G1335" s="6">
        <v>46235</v>
      </c>
      <c r="H1335" s="2" t="s">
        <v>71</v>
      </c>
      <c r="I1335" s="2" t="s">
        <v>76</v>
      </c>
      <c r="J1335" s="9">
        <v>37569105.691056997</v>
      </c>
      <c r="K1335" s="7">
        <v>6.1500000000000004E-5</v>
      </c>
      <c r="L1335" s="9">
        <v>2310.5</v>
      </c>
      <c r="M1335" s="9">
        <v>2310.5</v>
      </c>
      <c r="N1335" s="9">
        <v>1.8</v>
      </c>
      <c r="O1335" s="10">
        <f>IF(AND(OR(H1335="APPROVED",H1335="SCHEDULED"),COUNTIFS(tblSource[EventID],F1335,tblSource[ReleaseStatus],"APPROVED")=1,COUNTIFS(Period_Status!$A$2:$A$8,G1335,Period_Status!$B$2:$B$8,"ActualClosed")=1,C1335&gt;EOMONTH(Settlement_Bridge!$C$2,0)),1,0)</f>
        <v>0</v>
      </c>
      <c r="P1335" s="2" t="s">
        <v>3826</v>
      </c>
    </row>
    <row r="1336" spans="1:16" x14ac:dyDescent="0.25">
      <c r="A1336" s="2" t="s">
        <v>3827</v>
      </c>
      <c r="B1336" s="2" t="s">
        <v>136</v>
      </c>
      <c r="C1336" s="8">
        <v>46276</v>
      </c>
      <c r="D1336" s="6">
        <v>46266</v>
      </c>
      <c r="E1336" s="2" t="s">
        <v>260</v>
      </c>
      <c r="F1336" s="2" t="s">
        <v>3825</v>
      </c>
      <c r="G1336" s="6">
        <v>46235</v>
      </c>
      <c r="H1336" s="2" t="s">
        <v>176</v>
      </c>
      <c r="I1336" s="2" t="s">
        <v>76</v>
      </c>
      <c r="J1336" s="9">
        <v>56353658.536585003</v>
      </c>
      <c r="K1336" s="7">
        <v>6.1299999999999999E-5</v>
      </c>
      <c r="L1336" s="9">
        <v>3454.48</v>
      </c>
      <c r="M1336" s="9">
        <v>3465.75</v>
      </c>
      <c r="N1336" s="9">
        <v>1.9</v>
      </c>
      <c r="O1336" s="10">
        <f>IF(AND(OR(H1336="APPROVED",H1336="SCHEDULED"),COUNTIFS(tblSource[EventID],F1336,tblSource[ReleaseStatus],"APPROVED")=1,COUNTIFS(Period_Status!$A$2:$A$8,G1336,Period_Status!$B$2:$B$8,"ActualClosed")=1,C1336&gt;EOMONTH(Settlement_Bridge!$C$2,0)),1,0)</f>
        <v>0</v>
      </c>
      <c r="P1336" s="2" t="s">
        <v>3828</v>
      </c>
    </row>
    <row r="1337" spans="1:16" x14ac:dyDescent="0.25">
      <c r="A1337" s="2" t="s">
        <v>3829</v>
      </c>
      <c r="B1337" s="2" t="s">
        <v>136</v>
      </c>
      <c r="C1337" s="8">
        <v>46262</v>
      </c>
      <c r="D1337" s="6">
        <v>46235</v>
      </c>
      <c r="E1337" s="2" t="s">
        <v>260</v>
      </c>
      <c r="F1337" s="2" t="s">
        <v>3830</v>
      </c>
      <c r="G1337" s="6">
        <v>46235</v>
      </c>
      <c r="H1337" s="2" t="s">
        <v>71</v>
      </c>
      <c r="I1337" s="2" t="s">
        <v>70</v>
      </c>
      <c r="J1337" s="9">
        <v>9152.707692</v>
      </c>
      <c r="K1337" s="7">
        <v>0.65</v>
      </c>
      <c r="L1337" s="9">
        <v>5949.26</v>
      </c>
      <c r="M1337" s="9">
        <v>5949.26</v>
      </c>
      <c r="N1337" s="9">
        <v>3.27</v>
      </c>
      <c r="O1337" s="10">
        <f>IF(AND(OR(H1337="APPROVED",H1337="SCHEDULED"),COUNTIFS(tblSource[EventID],F1337,tblSource[ReleaseStatus],"APPROVED")=1,COUNTIFS(Period_Status!$A$2:$A$8,G1337,Period_Status!$B$2:$B$8,"ActualClosed")=1,C1337&gt;EOMONTH(Settlement_Bridge!$C$2,0)),1,0)</f>
        <v>0</v>
      </c>
      <c r="P1337" s="2" t="s">
        <v>3831</v>
      </c>
    </row>
    <row r="1338" spans="1:16" x14ac:dyDescent="0.25">
      <c r="A1338" s="2" t="s">
        <v>3832</v>
      </c>
      <c r="B1338" s="2" t="s">
        <v>136</v>
      </c>
      <c r="C1338" s="8">
        <v>46263</v>
      </c>
      <c r="D1338" s="6">
        <v>46235</v>
      </c>
      <c r="E1338" s="2" t="s">
        <v>260</v>
      </c>
      <c r="F1338" s="2" t="s">
        <v>3833</v>
      </c>
      <c r="G1338" s="6">
        <v>46235</v>
      </c>
      <c r="H1338" s="2" t="s">
        <v>71</v>
      </c>
      <c r="I1338" s="2" t="s">
        <v>39</v>
      </c>
      <c r="J1338" s="9">
        <v>6122.27</v>
      </c>
      <c r="K1338" s="7">
        <v>1</v>
      </c>
      <c r="L1338" s="9">
        <v>6122.27</v>
      </c>
      <c r="M1338" s="9">
        <v>6122.27</v>
      </c>
      <c r="N1338" s="9">
        <v>3.37</v>
      </c>
      <c r="O1338" s="10">
        <f>IF(AND(OR(H1338="APPROVED",H1338="SCHEDULED"),COUNTIFS(tblSource[EventID],F1338,tblSource[ReleaseStatus],"APPROVED")=1,COUNTIFS(Period_Status!$A$2:$A$8,G1338,Period_Status!$B$2:$B$8,"ActualClosed")=1,C1338&gt;EOMONTH(Settlement_Bridge!$C$2,0)),1,0)</f>
        <v>0</v>
      </c>
      <c r="P1338" s="2" t="s">
        <v>3834</v>
      </c>
    </row>
    <row r="1339" spans="1:16" x14ac:dyDescent="0.25">
      <c r="A1339" s="2" t="s">
        <v>3835</v>
      </c>
      <c r="B1339" s="2" t="s">
        <v>136</v>
      </c>
      <c r="C1339" s="8">
        <v>46254</v>
      </c>
      <c r="D1339" s="6">
        <v>46235</v>
      </c>
      <c r="E1339" s="2" t="s">
        <v>260</v>
      </c>
      <c r="F1339" s="2" t="s">
        <v>3836</v>
      </c>
      <c r="G1339" s="6">
        <v>46235</v>
      </c>
      <c r="H1339" s="2" t="s">
        <v>71</v>
      </c>
      <c r="I1339" s="2" t="s">
        <v>76</v>
      </c>
      <c r="J1339" s="9">
        <v>40944910.569105998</v>
      </c>
      <c r="K1339" s="7">
        <v>6.1500000000000004E-5</v>
      </c>
      <c r="L1339" s="9">
        <v>2518.11</v>
      </c>
      <c r="M1339" s="9">
        <v>2518.11</v>
      </c>
      <c r="N1339" s="9">
        <v>1.8</v>
      </c>
      <c r="O1339" s="10">
        <f>IF(AND(OR(H1339="APPROVED",H1339="SCHEDULED"),COUNTIFS(tblSource[EventID],F1339,tblSource[ReleaseStatus],"APPROVED")=1,COUNTIFS(Period_Status!$A$2:$A$8,G1339,Period_Status!$B$2:$B$8,"ActualClosed")=1,C1339&gt;EOMONTH(Settlement_Bridge!$C$2,0)),1,0)</f>
        <v>0</v>
      </c>
      <c r="P1339" s="2" t="s">
        <v>3837</v>
      </c>
    </row>
    <row r="1340" spans="1:16" x14ac:dyDescent="0.25">
      <c r="A1340" s="2" t="s">
        <v>3838</v>
      </c>
      <c r="B1340" s="2" t="s">
        <v>136</v>
      </c>
      <c r="C1340" s="8">
        <v>46279</v>
      </c>
      <c r="D1340" s="6">
        <v>46266</v>
      </c>
      <c r="E1340" s="2" t="s">
        <v>260</v>
      </c>
      <c r="F1340" s="2" t="s">
        <v>3836</v>
      </c>
      <c r="G1340" s="6">
        <v>46235</v>
      </c>
      <c r="H1340" s="2" t="s">
        <v>176</v>
      </c>
      <c r="I1340" s="2" t="s">
        <v>76</v>
      </c>
      <c r="J1340" s="9">
        <v>61417365.853657998</v>
      </c>
      <c r="K1340" s="7">
        <v>6.1299999999999999E-5</v>
      </c>
      <c r="L1340" s="9">
        <v>3764.88</v>
      </c>
      <c r="M1340" s="9">
        <v>3777.17</v>
      </c>
      <c r="N1340" s="9">
        <v>2.0699999999999998</v>
      </c>
      <c r="O1340" s="10">
        <f>IF(AND(OR(H1340="APPROVED",H1340="SCHEDULED"),COUNTIFS(tblSource[EventID],F1340,tblSource[ReleaseStatus],"APPROVED")=1,COUNTIFS(Period_Status!$A$2:$A$8,G1340,Period_Status!$B$2:$B$8,"ActualClosed")=1,C1340&gt;EOMONTH(Settlement_Bridge!$C$2,0)),1,0)</f>
        <v>0</v>
      </c>
      <c r="P1340" s="2" t="s">
        <v>3839</v>
      </c>
    </row>
    <row r="1341" spans="1:16" x14ac:dyDescent="0.25">
      <c r="A1341" s="2" t="s">
        <v>3840</v>
      </c>
      <c r="B1341" s="2" t="s">
        <v>136</v>
      </c>
      <c r="C1341" s="8">
        <v>46265</v>
      </c>
      <c r="D1341" s="6">
        <v>46235</v>
      </c>
      <c r="E1341" s="2" t="s">
        <v>260</v>
      </c>
      <c r="F1341" s="2" t="s">
        <v>3841</v>
      </c>
      <c r="G1341" s="6">
        <v>46235</v>
      </c>
      <c r="H1341" s="2" t="s">
        <v>71</v>
      </c>
      <c r="I1341" s="2" t="s">
        <v>70</v>
      </c>
      <c r="J1341" s="9">
        <v>9951.2153849999995</v>
      </c>
      <c r="K1341" s="7">
        <v>0.65</v>
      </c>
      <c r="L1341" s="9">
        <v>6468.29</v>
      </c>
      <c r="M1341" s="9">
        <v>6468.29</v>
      </c>
      <c r="N1341" s="9">
        <v>3.56</v>
      </c>
      <c r="O1341" s="10">
        <f>IF(AND(OR(H1341="APPROVED",H1341="SCHEDULED"),COUNTIFS(tblSource[EventID],F1341,tblSource[ReleaseStatus],"APPROVED")=1,COUNTIFS(Period_Status!$A$2:$A$8,G1341,Period_Status!$B$2:$B$8,"ActualClosed")=1,C1341&gt;EOMONTH(Settlement_Bridge!$C$2,0)),1,0)</f>
        <v>0</v>
      </c>
      <c r="P1341" s="2" t="s">
        <v>3842</v>
      </c>
    </row>
    <row r="1342" spans="1:16" x14ac:dyDescent="0.25">
      <c r="A1342" s="2" t="s">
        <v>3843</v>
      </c>
      <c r="B1342" s="2" t="s">
        <v>136</v>
      </c>
      <c r="C1342" s="8">
        <v>46266</v>
      </c>
      <c r="D1342" s="6">
        <v>46266</v>
      </c>
      <c r="E1342" s="2" t="s">
        <v>260</v>
      </c>
      <c r="F1342" s="2" t="s">
        <v>3844</v>
      </c>
      <c r="G1342" s="6">
        <v>46235</v>
      </c>
      <c r="H1342" s="2" t="s">
        <v>176</v>
      </c>
      <c r="I1342" s="2" t="s">
        <v>39</v>
      </c>
      <c r="J1342" s="9">
        <v>6641.3</v>
      </c>
      <c r="K1342" s="7">
        <v>1</v>
      </c>
      <c r="L1342" s="9">
        <v>6641.3</v>
      </c>
      <c r="M1342" s="9">
        <v>6641.3</v>
      </c>
      <c r="N1342" s="9">
        <v>3.65</v>
      </c>
      <c r="O1342" s="10">
        <f>IF(AND(OR(H1342="APPROVED",H1342="SCHEDULED"),COUNTIFS(tblSource[EventID],F1342,tblSource[ReleaseStatus],"APPROVED")=1,COUNTIFS(Period_Status!$A$2:$A$8,G1342,Period_Status!$B$2:$B$8,"ActualClosed")=1,C1342&gt;EOMONTH(Settlement_Bridge!$C$2,0)),1,0)</f>
        <v>0</v>
      </c>
      <c r="P1342" s="2" t="s">
        <v>3845</v>
      </c>
    </row>
    <row r="1343" spans="1:16" x14ac:dyDescent="0.25">
      <c r="A1343" s="2" t="s">
        <v>3846</v>
      </c>
      <c r="B1343" s="2" t="s">
        <v>199</v>
      </c>
      <c r="C1343" s="8">
        <v>46198</v>
      </c>
      <c r="D1343" s="6">
        <v>46174</v>
      </c>
      <c r="E1343" s="2" t="s">
        <v>260</v>
      </c>
      <c r="F1343" s="2" t="s">
        <v>3847</v>
      </c>
      <c r="G1343" s="6">
        <v>46174</v>
      </c>
      <c r="H1343" s="2" t="s">
        <v>71</v>
      </c>
      <c r="I1343" s="2" t="s">
        <v>39</v>
      </c>
      <c r="J1343" s="9">
        <v>2605.0100000000002</v>
      </c>
      <c r="K1343" s="7">
        <v>1</v>
      </c>
      <c r="L1343" s="9">
        <v>2605.0100000000002</v>
      </c>
      <c r="M1343" s="9">
        <v>2605.0100000000002</v>
      </c>
      <c r="N1343" s="9">
        <v>1.8</v>
      </c>
      <c r="O1343" s="10">
        <f>IF(AND(OR(H1343="APPROVED",H1343="SCHEDULED"),COUNTIFS(tblSource[EventID],F1343,tblSource[ReleaseStatus],"APPROVED")=1,COUNTIFS(Period_Status!$A$2:$A$8,G1343,Period_Status!$B$2:$B$8,"ActualClosed")=1,C1343&gt;EOMONTH(Settlement_Bridge!$C$2,0)),1,0)</f>
        <v>0</v>
      </c>
      <c r="P1343" s="2" t="s">
        <v>3848</v>
      </c>
    </row>
    <row r="1344" spans="1:16" x14ac:dyDescent="0.25">
      <c r="A1344" s="2" t="s">
        <v>3849</v>
      </c>
      <c r="B1344" s="2" t="s">
        <v>199</v>
      </c>
      <c r="C1344" s="8">
        <v>46199</v>
      </c>
      <c r="D1344" s="6">
        <v>46174</v>
      </c>
      <c r="E1344" s="2" t="s">
        <v>260</v>
      </c>
      <c r="F1344" s="2" t="s">
        <v>3850</v>
      </c>
      <c r="G1344" s="6">
        <v>46174</v>
      </c>
      <c r="H1344" s="2" t="s">
        <v>71</v>
      </c>
      <c r="I1344" s="2" t="s">
        <v>76</v>
      </c>
      <c r="J1344" s="9">
        <v>44448320</v>
      </c>
      <c r="K1344" s="7">
        <v>6.2500000000000001E-5</v>
      </c>
      <c r="L1344" s="9">
        <v>2778.02</v>
      </c>
      <c r="M1344" s="9">
        <v>2778.02</v>
      </c>
      <c r="N1344" s="9">
        <v>1.8</v>
      </c>
      <c r="O1344" s="10">
        <f>IF(AND(OR(H1344="APPROVED",H1344="SCHEDULED"),COUNTIFS(tblSource[EventID],F1344,tblSource[ReleaseStatus],"APPROVED")=1,COUNTIFS(Period_Status!$A$2:$A$8,G1344,Period_Status!$B$2:$B$8,"ActualClosed")=1,C1344&gt;EOMONTH(Settlement_Bridge!$C$2,0)),1,0)</f>
        <v>0</v>
      </c>
      <c r="P1344" s="2" t="s">
        <v>3851</v>
      </c>
    </row>
    <row r="1345" spans="1:16" x14ac:dyDescent="0.25">
      <c r="A1345" s="2" t="s">
        <v>3852</v>
      </c>
      <c r="B1345" s="2" t="s">
        <v>199</v>
      </c>
      <c r="C1345" s="8">
        <v>46200</v>
      </c>
      <c r="D1345" s="6">
        <v>46174</v>
      </c>
      <c r="E1345" s="2" t="s">
        <v>260</v>
      </c>
      <c r="F1345" s="2" t="s">
        <v>3853</v>
      </c>
      <c r="G1345" s="6">
        <v>46174</v>
      </c>
      <c r="H1345" s="2" t="s">
        <v>71</v>
      </c>
      <c r="I1345" s="2" t="s">
        <v>70</v>
      </c>
      <c r="J1345" s="9">
        <v>4437.6390979999996</v>
      </c>
      <c r="K1345" s="7">
        <v>0.66500000000000004</v>
      </c>
      <c r="L1345" s="9">
        <v>2951.03</v>
      </c>
      <c r="M1345" s="9">
        <v>2951.03</v>
      </c>
      <c r="N1345" s="9">
        <v>1.8</v>
      </c>
      <c r="O1345" s="10">
        <f>IF(AND(OR(H1345="APPROVED",H1345="SCHEDULED"),COUNTIFS(tblSource[EventID],F1345,tblSource[ReleaseStatus],"APPROVED")=1,COUNTIFS(Period_Status!$A$2:$A$8,G1345,Period_Status!$B$2:$B$8,"ActualClosed")=1,C1345&gt;EOMONTH(Settlement_Bridge!$C$2,0)),1,0)</f>
        <v>0</v>
      </c>
      <c r="P1345" s="2" t="s">
        <v>3854</v>
      </c>
    </row>
    <row r="1346" spans="1:16" x14ac:dyDescent="0.25">
      <c r="A1346" s="2" t="s">
        <v>3855</v>
      </c>
      <c r="B1346" s="2" t="s">
        <v>199</v>
      </c>
      <c r="C1346" s="8">
        <v>46191</v>
      </c>
      <c r="D1346" s="6">
        <v>46174</v>
      </c>
      <c r="E1346" s="2" t="s">
        <v>260</v>
      </c>
      <c r="F1346" s="2" t="s">
        <v>3856</v>
      </c>
      <c r="G1346" s="6">
        <v>46174</v>
      </c>
      <c r="H1346" s="2" t="s">
        <v>71</v>
      </c>
      <c r="I1346" s="2" t="s">
        <v>39</v>
      </c>
      <c r="J1346" s="9">
        <v>1249.616</v>
      </c>
      <c r="K1346" s="7">
        <v>1</v>
      </c>
      <c r="L1346" s="9">
        <v>1249.6199999999999</v>
      </c>
      <c r="M1346" s="9">
        <v>1249.6199999999999</v>
      </c>
      <c r="N1346" s="9">
        <v>1.8</v>
      </c>
      <c r="O1346" s="10">
        <f>IF(AND(OR(H1346="APPROVED",H1346="SCHEDULED"),COUNTIFS(tblSource[EventID],F1346,tblSource[ReleaseStatus],"APPROVED")=1,COUNTIFS(Period_Status!$A$2:$A$8,G1346,Period_Status!$B$2:$B$8,"ActualClosed")=1,C1346&gt;EOMONTH(Settlement_Bridge!$C$2,0)),1,0)</f>
        <v>0</v>
      </c>
      <c r="P1346" s="2" t="s">
        <v>3857</v>
      </c>
    </row>
    <row r="1347" spans="1:16" x14ac:dyDescent="0.25">
      <c r="A1347" s="2" t="s">
        <v>3858</v>
      </c>
      <c r="B1347" s="2" t="s">
        <v>199</v>
      </c>
      <c r="C1347" s="8">
        <v>46216</v>
      </c>
      <c r="D1347" s="6">
        <v>46204</v>
      </c>
      <c r="E1347" s="2" t="s">
        <v>260</v>
      </c>
      <c r="F1347" s="2" t="s">
        <v>3856</v>
      </c>
      <c r="G1347" s="6">
        <v>46174</v>
      </c>
      <c r="H1347" s="2" t="s">
        <v>71</v>
      </c>
      <c r="I1347" s="2" t="s">
        <v>39</v>
      </c>
      <c r="J1347" s="9">
        <v>1874.424</v>
      </c>
      <c r="K1347" s="7">
        <v>1</v>
      </c>
      <c r="L1347" s="9">
        <v>1874.42</v>
      </c>
      <c r="M1347" s="9">
        <v>1874.42</v>
      </c>
      <c r="N1347" s="9">
        <v>1.8</v>
      </c>
      <c r="O1347" s="10">
        <f>IF(AND(OR(H1347="APPROVED",H1347="SCHEDULED"),COUNTIFS(tblSource[EventID],F1347,tblSource[ReleaseStatus],"APPROVED")=1,COUNTIFS(Period_Status!$A$2:$A$8,G1347,Period_Status!$B$2:$B$8,"ActualClosed")=1,C1347&gt;EOMONTH(Settlement_Bridge!$C$2,0)),1,0)</f>
        <v>0</v>
      </c>
      <c r="P1347" s="2" t="s">
        <v>3859</v>
      </c>
    </row>
    <row r="1348" spans="1:16" x14ac:dyDescent="0.25">
      <c r="A1348" s="2" t="s">
        <v>3860</v>
      </c>
      <c r="B1348" s="2" t="s">
        <v>199</v>
      </c>
      <c r="C1348" s="8">
        <v>46192</v>
      </c>
      <c r="D1348" s="6">
        <v>46174</v>
      </c>
      <c r="E1348" s="2" t="s">
        <v>260</v>
      </c>
      <c r="F1348" s="2" t="s">
        <v>3861</v>
      </c>
      <c r="G1348" s="6">
        <v>46174</v>
      </c>
      <c r="H1348" s="2" t="s">
        <v>71</v>
      </c>
      <c r="I1348" s="2" t="s">
        <v>76</v>
      </c>
      <c r="J1348" s="9">
        <v>21101120</v>
      </c>
      <c r="K1348" s="7">
        <v>6.2500000000000001E-5</v>
      </c>
      <c r="L1348" s="9">
        <v>1318.82</v>
      </c>
      <c r="M1348" s="9">
        <v>1318.82</v>
      </c>
      <c r="N1348" s="9">
        <v>1.8</v>
      </c>
      <c r="O1348" s="10">
        <f>IF(AND(OR(H1348="APPROVED",H1348="SCHEDULED"),COUNTIFS(tblSource[EventID],F1348,tblSource[ReleaseStatus],"APPROVED")=1,COUNTIFS(Period_Status!$A$2:$A$8,G1348,Period_Status!$B$2:$B$8,"ActualClosed")=1,C1348&gt;EOMONTH(Settlement_Bridge!$C$2,0)),1,0)</f>
        <v>0</v>
      </c>
      <c r="P1348" s="2" t="s">
        <v>3862</v>
      </c>
    </row>
    <row r="1349" spans="1:16" x14ac:dyDescent="0.25">
      <c r="A1349" s="2" t="s">
        <v>3863</v>
      </c>
      <c r="B1349" s="2" t="s">
        <v>199</v>
      </c>
      <c r="C1349" s="8">
        <v>46217</v>
      </c>
      <c r="D1349" s="6">
        <v>46204</v>
      </c>
      <c r="E1349" s="2" t="s">
        <v>260</v>
      </c>
      <c r="F1349" s="2" t="s">
        <v>3861</v>
      </c>
      <c r="G1349" s="6">
        <v>46174</v>
      </c>
      <c r="H1349" s="2" t="s">
        <v>71</v>
      </c>
      <c r="I1349" s="2" t="s">
        <v>76</v>
      </c>
      <c r="J1349" s="9">
        <v>31651680</v>
      </c>
      <c r="K1349" s="7">
        <v>6.2000000000000003E-5</v>
      </c>
      <c r="L1349" s="9">
        <v>1962.4</v>
      </c>
      <c r="M1349" s="9">
        <v>1978.23</v>
      </c>
      <c r="N1349" s="9">
        <v>1.8</v>
      </c>
      <c r="O1349" s="10">
        <f>IF(AND(OR(H1349="APPROVED",H1349="SCHEDULED"),COUNTIFS(tblSource[EventID],F1349,tblSource[ReleaseStatus],"APPROVED")=1,COUNTIFS(Period_Status!$A$2:$A$8,G1349,Period_Status!$B$2:$B$8,"ActualClosed")=1,C1349&gt;EOMONTH(Settlement_Bridge!$C$2,0)),1,0)</f>
        <v>0</v>
      </c>
      <c r="P1349" s="2" t="s">
        <v>3864</v>
      </c>
    </row>
    <row r="1350" spans="1:16" x14ac:dyDescent="0.25">
      <c r="A1350" s="2" t="s">
        <v>3865</v>
      </c>
      <c r="B1350" s="2" t="s">
        <v>199</v>
      </c>
      <c r="C1350" s="8">
        <v>46203</v>
      </c>
      <c r="D1350" s="6">
        <v>46174</v>
      </c>
      <c r="E1350" s="2" t="s">
        <v>260</v>
      </c>
      <c r="F1350" s="2" t="s">
        <v>3866</v>
      </c>
      <c r="G1350" s="6">
        <v>46174</v>
      </c>
      <c r="H1350" s="2" t="s">
        <v>71</v>
      </c>
      <c r="I1350" s="2" t="s">
        <v>70</v>
      </c>
      <c r="J1350" s="9">
        <v>5218.135338</v>
      </c>
      <c r="K1350" s="7">
        <v>0.66500000000000004</v>
      </c>
      <c r="L1350" s="9">
        <v>3470.06</v>
      </c>
      <c r="M1350" s="9">
        <v>3470.06</v>
      </c>
      <c r="N1350" s="9">
        <v>1.91</v>
      </c>
      <c r="O1350" s="10">
        <f>IF(AND(OR(H1350="APPROVED",H1350="SCHEDULED"),COUNTIFS(tblSource[EventID],F1350,tblSource[ReleaseStatus],"APPROVED")=1,COUNTIFS(Period_Status!$A$2:$A$8,G1350,Period_Status!$B$2:$B$8,"ActualClosed")=1,C1350&gt;EOMONTH(Settlement_Bridge!$C$2,0)),1,0)</f>
        <v>0</v>
      </c>
      <c r="P1350" s="2" t="s">
        <v>3867</v>
      </c>
    </row>
    <row r="1351" spans="1:16" x14ac:dyDescent="0.25">
      <c r="A1351" s="2" t="s">
        <v>3868</v>
      </c>
      <c r="B1351" s="2" t="s">
        <v>199</v>
      </c>
      <c r="C1351" s="8">
        <v>46204</v>
      </c>
      <c r="D1351" s="6">
        <v>46204</v>
      </c>
      <c r="E1351" s="2" t="s">
        <v>260</v>
      </c>
      <c r="F1351" s="2" t="s">
        <v>3869</v>
      </c>
      <c r="G1351" s="6">
        <v>46174</v>
      </c>
      <c r="H1351" s="2" t="s">
        <v>71</v>
      </c>
      <c r="I1351" s="2" t="s">
        <v>39</v>
      </c>
      <c r="J1351" s="9">
        <v>3643.07</v>
      </c>
      <c r="K1351" s="7">
        <v>1</v>
      </c>
      <c r="L1351" s="9">
        <v>3643.07</v>
      </c>
      <c r="M1351" s="9">
        <v>3643.07</v>
      </c>
      <c r="N1351" s="9">
        <v>2</v>
      </c>
      <c r="O1351" s="10">
        <f>IF(AND(OR(H1351="APPROVED",H1351="SCHEDULED"),COUNTIFS(tblSource[EventID],F1351,tblSource[ReleaseStatus],"APPROVED")=1,COUNTIFS(Period_Status!$A$2:$A$8,G1351,Period_Status!$B$2:$B$8,"ActualClosed")=1,C1351&gt;EOMONTH(Settlement_Bridge!$C$2,0)),1,0)</f>
        <v>0</v>
      </c>
      <c r="P1351" s="2" t="s">
        <v>3870</v>
      </c>
    </row>
    <row r="1352" spans="1:16" x14ac:dyDescent="0.25">
      <c r="A1352" s="2" t="s">
        <v>3871</v>
      </c>
      <c r="B1352" s="2" t="s">
        <v>199</v>
      </c>
      <c r="C1352" s="8">
        <v>46195</v>
      </c>
      <c r="D1352" s="6">
        <v>46174</v>
      </c>
      <c r="E1352" s="2" t="s">
        <v>260</v>
      </c>
      <c r="F1352" s="2" t="s">
        <v>3872</v>
      </c>
      <c r="G1352" s="6">
        <v>46174</v>
      </c>
      <c r="H1352" s="2" t="s">
        <v>71</v>
      </c>
      <c r="I1352" s="2" t="s">
        <v>76</v>
      </c>
      <c r="J1352" s="9">
        <v>24422912</v>
      </c>
      <c r="K1352" s="7">
        <v>6.2500000000000001E-5</v>
      </c>
      <c r="L1352" s="9">
        <v>1526.43</v>
      </c>
      <c r="M1352" s="9">
        <v>1526.43</v>
      </c>
      <c r="N1352" s="9">
        <v>1.8</v>
      </c>
      <c r="O1352" s="10">
        <f>IF(AND(OR(H1352="APPROVED",H1352="SCHEDULED"),COUNTIFS(tblSource[EventID],F1352,tblSource[ReleaseStatus],"APPROVED")=1,COUNTIFS(Period_Status!$A$2:$A$8,G1352,Period_Status!$B$2:$B$8,"ActualClosed")=1,C1352&gt;EOMONTH(Settlement_Bridge!$C$2,0)),1,0)</f>
        <v>0</v>
      </c>
      <c r="P1352" s="2" t="s">
        <v>3873</v>
      </c>
    </row>
    <row r="1353" spans="1:16" x14ac:dyDescent="0.25">
      <c r="A1353" s="2" t="s">
        <v>3874</v>
      </c>
      <c r="B1353" s="2" t="s">
        <v>199</v>
      </c>
      <c r="C1353" s="8">
        <v>46220</v>
      </c>
      <c r="D1353" s="6">
        <v>46204</v>
      </c>
      <c r="E1353" s="2" t="s">
        <v>260</v>
      </c>
      <c r="F1353" s="2" t="s">
        <v>3872</v>
      </c>
      <c r="G1353" s="6">
        <v>46174</v>
      </c>
      <c r="H1353" s="2" t="s">
        <v>71</v>
      </c>
      <c r="I1353" s="2" t="s">
        <v>76</v>
      </c>
      <c r="J1353" s="9">
        <v>36634368</v>
      </c>
      <c r="K1353" s="7">
        <v>6.2000000000000003E-5</v>
      </c>
      <c r="L1353" s="9">
        <v>2271.33</v>
      </c>
      <c r="M1353" s="9">
        <v>2289.65</v>
      </c>
      <c r="N1353" s="9">
        <v>1.8</v>
      </c>
      <c r="O1353" s="10">
        <f>IF(AND(OR(H1353="APPROVED",H1353="SCHEDULED"),COUNTIFS(tblSource[EventID],F1353,tblSource[ReleaseStatus],"APPROVED")=1,COUNTIFS(Period_Status!$A$2:$A$8,G1353,Period_Status!$B$2:$B$8,"ActualClosed")=1,C1353&gt;EOMONTH(Settlement_Bridge!$C$2,0)),1,0)</f>
        <v>0</v>
      </c>
      <c r="P1353" s="2" t="s">
        <v>3875</v>
      </c>
    </row>
    <row r="1354" spans="1:16" x14ac:dyDescent="0.25">
      <c r="A1354" s="2" t="s">
        <v>3876</v>
      </c>
      <c r="B1354" s="2" t="s">
        <v>199</v>
      </c>
      <c r="C1354" s="8">
        <v>46206</v>
      </c>
      <c r="D1354" s="6">
        <v>46204</v>
      </c>
      <c r="E1354" s="2" t="s">
        <v>260</v>
      </c>
      <c r="F1354" s="2" t="s">
        <v>3877</v>
      </c>
      <c r="G1354" s="6">
        <v>46174</v>
      </c>
      <c r="H1354" s="2" t="s">
        <v>71</v>
      </c>
      <c r="I1354" s="2" t="s">
        <v>70</v>
      </c>
      <c r="J1354" s="9">
        <v>5998.6315789999999</v>
      </c>
      <c r="K1354" s="7">
        <v>0.65800000000000003</v>
      </c>
      <c r="L1354" s="9">
        <v>3947.1</v>
      </c>
      <c r="M1354" s="9">
        <v>3989.09</v>
      </c>
      <c r="N1354" s="9">
        <v>2.17</v>
      </c>
      <c r="O1354" s="10">
        <f>IF(AND(OR(H1354="APPROVED",H1354="SCHEDULED"),COUNTIFS(tblSource[EventID],F1354,tblSource[ReleaseStatus],"APPROVED")=1,COUNTIFS(Period_Status!$A$2:$A$8,G1354,Period_Status!$B$2:$B$8,"ActualClosed")=1,C1354&gt;EOMONTH(Settlement_Bridge!$C$2,0)),1,0)</f>
        <v>0</v>
      </c>
      <c r="P1354" s="2" t="s">
        <v>3878</v>
      </c>
    </row>
    <row r="1355" spans="1:16" x14ac:dyDescent="0.25">
      <c r="A1355" s="2" t="s">
        <v>3879</v>
      </c>
      <c r="B1355" s="2" t="s">
        <v>199</v>
      </c>
      <c r="C1355" s="8">
        <v>46207</v>
      </c>
      <c r="D1355" s="6">
        <v>46204</v>
      </c>
      <c r="E1355" s="2" t="s">
        <v>260</v>
      </c>
      <c r="F1355" s="2" t="s">
        <v>3880</v>
      </c>
      <c r="G1355" s="6">
        <v>46174</v>
      </c>
      <c r="H1355" s="2" t="s">
        <v>71</v>
      </c>
      <c r="I1355" s="2" t="s">
        <v>39</v>
      </c>
      <c r="J1355" s="9">
        <v>4162.1000000000004</v>
      </c>
      <c r="K1355" s="7">
        <v>1</v>
      </c>
      <c r="L1355" s="9">
        <v>4162.1000000000004</v>
      </c>
      <c r="M1355" s="9">
        <v>4162.1000000000004</v>
      </c>
      <c r="N1355" s="9">
        <v>2.29</v>
      </c>
      <c r="O1355" s="10">
        <f>IF(AND(OR(H1355="APPROVED",H1355="SCHEDULED"),COUNTIFS(tblSource[EventID],F1355,tblSource[ReleaseStatus],"APPROVED")=1,COUNTIFS(Period_Status!$A$2:$A$8,G1355,Period_Status!$B$2:$B$8,"ActualClosed")=1,C1355&gt;EOMONTH(Settlement_Bridge!$C$2,0)),1,0)</f>
        <v>0</v>
      </c>
      <c r="P1355" s="2" t="s">
        <v>3881</v>
      </c>
    </row>
    <row r="1356" spans="1:16" x14ac:dyDescent="0.25">
      <c r="A1356" s="2" t="s">
        <v>3882</v>
      </c>
      <c r="B1356" s="2" t="s">
        <v>199</v>
      </c>
      <c r="C1356" s="8">
        <v>46208</v>
      </c>
      <c r="D1356" s="6">
        <v>46204</v>
      </c>
      <c r="E1356" s="2" t="s">
        <v>260</v>
      </c>
      <c r="F1356" s="2" t="s">
        <v>3883</v>
      </c>
      <c r="G1356" s="6">
        <v>46174</v>
      </c>
      <c r="H1356" s="2" t="s">
        <v>71</v>
      </c>
      <c r="I1356" s="2" t="s">
        <v>76</v>
      </c>
      <c r="J1356" s="9">
        <v>69361760</v>
      </c>
      <c r="K1356" s="7">
        <v>6.2000000000000003E-5</v>
      </c>
      <c r="L1356" s="9">
        <v>4300.43</v>
      </c>
      <c r="M1356" s="9">
        <v>4335.1099999999997</v>
      </c>
      <c r="N1356" s="9">
        <v>2.37</v>
      </c>
      <c r="O1356" s="10">
        <f>IF(AND(OR(H1356="APPROVED",H1356="SCHEDULED"),COUNTIFS(tblSource[EventID],F1356,tblSource[ReleaseStatus],"APPROVED")=1,COUNTIFS(Period_Status!$A$2:$A$8,G1356,Period_Status!$B$2:$B$8,"ActualClosed")=1,C1356&gt;EOMONTH(Settlement_Bridge!$C$2,0)),1,0)</f>
        <v>0</v>
      </c>
      <c r="P1356" s="2" t="s">
        <v>3884</v>
      </c>
    </row>
    <row r="1357" spans="1:16" x14ac:dyDescent="0.25">
      <c r="A1357" s="2" t="s">
        <v>3885</v>
      </c>
      <c r="B1357" s="2" t="s">
        <v>199</v>
      </c>
      <c r="C1357" s="8">
        <v>46209</v>
      </c>
      <c r="D1357" s="6">
        <v>46204</v>
      </c>
      <c r="E1357" s="2" t="s">
        <v>260</v>
      </c>
      <c r="F1357" s="2" t="s">
        <v>3886</v>
      </c>
      <c r="G1357" s="6">
        <v>46174</v>
      </c>
      <c r="H1357" s="2" t="s">
        <v>71</v>
      </c>
      <c r="I1357" s="2" t="s">
        <v>70</v>
      </c>
      <c r="J1357" s="9">
        <v>6779.1278199999997</v>
      </c>
      <c r="K1357" s="7">
        <v>0.65800000000000003</v>
      </c>
      <c r="L1357" s="9">
        <v>4460.67</v>
      </c>
      <c r="M1357" s="9">
        <v>4508.12</v>
      </c>
      <c r="N1357" s="9">
        <v>2.4500000000000002</v>
      </c>
      <c r="O1357" s="10">
        <f>IF(AND(OR(H1357="APPROVED",H1357="SCHEDULED"),COUNTIFS(tblSource[EventID],F1357,tblSource[ReleaseStatus],"APPROVED")=1,COUNTIFS(Period_Status!$A$2:$A$8,G1357,Period_Status!$B$2:$B$8,"ActualClosed")=1,C1357&gt;EOMONTH(Settlement_Bridge!$C$2,0)),1,0)</f>
        <v>0</v>
      </c>
      <c r="P1357" s="2" t="s">
        <v>3887</v>
      </c>
    </row>
    <row r="1358" spans="1:16" x14ac:dyDescent="0.25">
      <c r="A1358" s="2" t="s">
        <v>3888</v>
      </c>
      <c r="B1358" s="2" t="s">
        <v>199</v>
      </c>
      <c r="C1358" s="8">
        <v>46210</v>
      </c>
      <c r="D1358" s="6">
        <v>46204</v>
      </c>
      <c r="E1358" s="2" t="s">
        <v>260</v>
      </c>
      <c r="F1358" s="2" t="s">
        <v>3889</v>
      </c>
      <c r="G1358" s="6">
        <v>46174</v>
      </c>
      <c r="H1358" s="2" t="s">
        <v>71</v>
      </c>
      <c r="I1358" s="2" t="s">
        <v>39</v>
      </c>
      <c r="J1358" s="9">
        <v>4681.13</v>
      </c>
      <c r="K1358" s="7">
        <v>1</v>
      </c>
      <c r="L1358" s="9">
        <v>4681.13</v>
      </c>
      <c r="M1358" s="9">
        <v>4681.13</v>
      </c>
      <c r="N1358" s="9">
        <v>2.57</v>
      </c>
      <c r="O1358" s="10">
        <f>IF(AND(OR(H1358="APPROVED",H1358="SCHEDULED"),COUNTIFS(tblSource[EventID],F1358,tblSource[ReleaseStatus],"APPROVED")=1,COUNTIFS(Period_Status!$A$2:$A$8,G1358,Period_Status!$B$2:$B$8,"ActualClosed")=1,C1358&gt;EOMONTH(Settlement_Bridge!$C$2,0)),1,0)</f>
        <v>0</v>
      </c>
      <c r="P1358" s="2" t="s">
        <v>3890</v>
      </c>
    </row>
    <row r="1359" spans="1:16" x14ac:dyDescent="0.25">
      <c r="A1359" s="2" t="s">
        <v>3891</v>
      </c>
      <c r="B1359" s="2" t="s">
        <v>199</v>
      </c>
      <c r="C1359" s="8">
        <v>46201</v>
      </c>
      <c r="D1359" s="6">
        <v>46174</v>
      </c>
      <c r="E1359" s="2" t="s">
        <v>260</v>
      </c>
      <c r="F1359" s="2" t="s">
        <v>3892</v>
      </c>
      <c r="G1359" s="6">
        <v>46174</v>
      </c>
      <c r="H1359" s="2" t="s">
        <v>71</v>
      </c>
      <c r="I1359" s="2" t="s">
        <v>76</v>
      </c>
      <c r="J1359" s="9">
        <v>31066496</v>
      </c>
      <c r="K1359" s="7">
        <v>6.2500000000000001E-5</v>
      </c>
      <c r="L1359" s="9">
        <v>1941.66</v>
      </c>
      <c r="M1359" s="9">
        <v>1941.66</v>
      </c>
      <c r="N1359" s="9">
        <v>1.8</v>
      </c>
      <c r="O1359" s="10">
        <f>IF(AND(OR(H1359="APPROVED",H1359="SCHEDULED"),COUNTIFS(tblSource[EventID],F1359,tblSource[ReleaseStatus],"APPROVED")=1,COUNTIFS(Period_Status!$A$2:$A$8,G1359,Period_Status!$B$2:$B$8,"ActualClosed")=1,C1359&gt;EOMONTH(Settlement_Bridge!$C$2,0)),1,0)</f>
        <v>0</v>
      </c>
      <c r="P1359" s="2" t="s">
        <v>3893</v>
      </c>
    </row>
    <row r="1360" spans="1:16" x14ac:dyDescent="0.25">
      <c r="A1360" s="2" t="s">
        <v>3894</v>
      </c>
      <c r="B1360" s="2" t="s">
        <v>199</v>
      </c>
      <c r="C1360" s="8">
        <v>46226</v>
      </c>
      <c r="D1360" s="6">
        <v>46204</v>
      </c>
      <c r="E1360" s="2" t="s">
        <v>260</v>
      </c>
      <c r="F1360" s="2" t="s">
        <v>3892</v>
      </c>
      <c r="G1360" s="6">
        <v>46174</v>
      </c>
      <c r="H1360" s="2" t="s">
        <v>71</v>
      </c>
      <c r="I1360" s="2" t="s">
        <v>76</v>
      </c>
      <c r="J1360" s="9">
        <v>46599744</v>
      </c>
      <c r="K1360" s="7">
        <v>6.2000000000000003E-5</v>
      </c>
      <c r="L1360" s="9">
        <v>2889.18</v>
      </c>
      <c r="M1360" s="9">
        <v>2912.48</v>
      </c>
      <c r="N1360" s="9">
        <v>1.8</v>
      </c>
      <c r="O1360" s="10">
        <f>IF(AND(OR(H1360="APPROVED",H1360="SCHEDULED"),COUNTIFS(tblSource[EventID],F1360,tblSource[ReleaseStatus],"APPROVED")=1,COUNTIFS(Period_Status!$A$2:$A$8,G1360,Period_Status!$B$2:$B$8,"ActualClosed")=1,C1360&gt;EOMONTH(Settlement_Bridge!$C$2,0)),1,0)</f>
        <v>0</v>
      </c>
      <c r="P1360" s="2" t="s">
        <v>3895</v>
      </c>
    </row>
    <row r="1361" spans="1:16" x14ac:dyDescent="0.25">
      <c r="A1361" s="2" t="s">
        <v>3896</v>
      </c>
      <c r="B1361" s="2" t="s">
        <v>199</v>
      </c>
      <c r="C1361" s="8">
        <v>46202</v>
      </c>
      <c r="D1361" s="6">
        <v>46174</v>
      </c>
      <c r="E1361" s="2" t="s">
        <v>260</v>
      </c>
      <c r="F1361" s="2" t="s">
        <v>3897</v>
      </c>
      <c r="G1361" s="6">
        <v>46174</v>
      </c>
      <c r="H1361" s="2" t="s">
        <v>71</v>
      </c>
      <c r="I1361" s="2" t="s">
        <v>70</v>
      </c>
      <c r="J1361" s="9">
        <v>3023.8496239999999</v>
      </c>
      <c r="K1361" s="7">
        <v>0.66500000000000004</v>
      </c>
      <c r="L1361" s="9">
        <v>2010.86</v>
      </c>
      <c r="M1361" s="9">
        <v>2010.86</v>
      </c>
      <c r="N1361" s="9">
        <v>1.8</v>
      </c>
      <c r="O1361" s="10">
        <f>IF(AND(OR(H1361="APPROVED",H1361="SCHEDULED"),COUNTIFS(tblSource[EventID],F1361,tblSource[ReleaseStatus],"APPROVED")=1,COUNTIFS(Period_Status!$A$2:$A$8,G1361,Period_Status!$B$2:$B$8,"ActualClosed")=1,C1361&gt;EOMONTH(Settlement_Bridge!$C$2,0)),1,0)</f>
        <v>0</v>
      </c>
      <c r="P1361" s="2" t="s">
        <v>3898</v>
      </c>
    </row>
    <row r="1362" spans="1:16" x14ac:dyDescent="0.25">
      <c r="A1362" s="2" t="s">
        <v>3899</v>
      </c>
      <c r="B1362" s="2" t="s">
        <v>199</v>
      </c>
      <c r="C1362" s="8">
        <v>46227</v>
      </c>
      <c r="D1362" s="6">
        <v>46204</v>
      </c>
      <c r="E1362" s="2" t="s">
        <v>260</v>
      </c>
      <c r="F1362" s="2" t="s">
        <v>3897</v>
      </c>
      <c r="G1362" s="6">
        <v>46174</v>
      </c>
      <c r="H1362" s="2" t="s">
        <v>71</v>
      </c>
      <c r="I1362" s="2" t="s">
        <v>70</v>
      </c>
      <c r="J1362" s="9">
        <v>4535.7744359999997</v>
      </c>
      <c r="K1362" s="7">
        <v>0.65800000000000003</v>
      </c>
      <c r="L1362" s="9">
        <v>2984.54</v>
      </c>
      <c r="M1362" s="9">
        <v>3016.29</v>
      </c>
      <c r="N1362" s="9">
        <v>1.8</v>
      </c>
      <c r="O1362" s="10">
        <f>IF(AND(OR(H1362="APPROVED",H1362="SCHEDULED"),COUNTIFS(tblSource[EventID],F1362,tblSource[ReleaseStatus],"APPROVED")=1,COUNTIFS(Period_Status!$A$2:$A$8,G1362,Period_Status!$B$2:$B$8,"ActualClosed")=1,C1362&gt;EOMONTH(Settlement_Bridge!$C$2,0)),1,0)</f>
        <v>0</v>
      </c>
      <c r="P1362" s="2" t="s">
        <v>3900</v>
      </c>
    </row>
    <row r="1363" spans="1:16" x14ac:dyDescent="0.25">
      <c r="A1363" s="2" t="s">
        <v>3901</v>
      </c>
      <c r="B1363" s="2" t="s">
        <v>199</v>
      </c>
      <c r="C1363" s="8">
        <v>46213</v>
      </c>
      <c r="D1363" s="6">
        <v>46204</v>
      </c>
      <c r="E1363" s="2" t="s">
        <v>260</v>
      </c>
      <c r="F1363" s="2" t="s">
        <v>3902</v>
      </c>
      <c r="G1363" s="6">
        <v>46174</v>
      </c>
      <c r="H1363" s="2" t="s">
        <v>71</v>
      </c>
      <c r="I1363" s="2" t="s">
        <v>39</v>
      </c>
      <c r="J1363" s="9">
        <v>5200.16</v>
      </c>
      <c r="K1363" s="7">
        <v>1</v>
      </c>
      <c r="L1363" s="9">
        <v>5200.16</v>
      </c>
      <c r="M1363" s="9">
        <v>5200.16</v>
      </c>
      <c r="N1363" s="9">
        <v>2.86</v>
      </c>
      <c r="O1363" s="10">
        <f>IF(AND(OR(H1363="APPROVED",H1363="SCHEDULED"),COUNTIFS(tblSource[EventID],F1363,tblSource[ReleaseStatus],"APPROVED")=1,COUNTIFS(Period_Status!$A$2:$A$8,G1363,Period_Status!$B$2:$B$8,"ActualClosed")=1,C1363&gt;EOMONTH(Settlement_Bridge!$C$2,0)),1,0)</f>
        <v>0</v>
      </c>
      <c r="P1363" s="2" t="s">
        <v>3903</v>
      </c>
    </row>
    <row r="1364" spans="1:16" x14ac:dyDescent="0.25">
      <c r="A1364" s="2" t="s">
        <v>3904</v>
      </c>
      <c r="B1364" s="2" t="s">
        <v>199</v>
      </c>
      <c r="C1364" s="8">
        <v>46214</v>
      </c>
      <c r="D1364" s="6">
        <v>46204</v>
      </c>
      <c r="E1364" s="2" t="s">
        <v>260</v>
      </c>
      <c r="F1364" s="2" t="s">
        <v>3905</v>
      </c>
      <c r="G1364" s="6">
        <v>46174</v>
      </c>
      <c r="H1364" s="2" t="s">
        <v>71</v>
      </c>
      <c r="I1364" s="2" t="s">
        <v>76</v>
      </c>
      <c r="J1364" s="9">
        <v>85970720</v>
      </c>
      <c r="K1364" s="7">
        <v>6.2000000000000003E-5</v>
      </c>
      <c r="L1364" s="9">
        <v>5330.18</v>
      </c>
      <c r="M1364" s="9">
        <v>5373.17</v>
      </c>
      <c r="N1364" s="9">
        <v>2.93</v>
      </c>
      <c r="O1364" s="10">
        <f>IF(AND(OR(H1364="APPROVED",H1364="SCHEDULED"),COUNTIFS(tblSource[EventID],F1364,tblSource[ReleaseStatus],"APPROVED")=1,COUNTIFS(Period_Status!$A$2:$A$8,G1364,Period_Status!$B$2:$B$8,"ActualClosed")=1,C1364&gt;EOMONTH(Settlement_Bridge!$C$2,0)),1,0)</f>
        <v>0</v>
      </c>
      <c r="P1364" s="2" t="s">
        <v>3906</v>
      </c>
    </row>
    <row r="1365" spans="1:16" x14ac:dyDescent="0.25">
      <c r="A1365" s="2" t="s">
        <v>3907</v>
      </c>
      <c r="B1365" s="2" t="s">
        <v>199</v>
      </c>
      <c r="C1365" s="8">
        <v>46205</v>
      </c>
      <c r="D1365" s="6">
        <v>46204</v>
      </c>
      <c r="E1365" s="2" t="s">
        <v>260</v>
      </c>
      <c r="F1365" s="2" t="s">
        <v>3908</v>
      </c>
      <c r="G1365" s="6">
        <v>46174</v>
      </c>
      <c r="H1365" s="2" t="s">
        <v>71</v>
      </c>
      <c r="I1365" s="2" t="s">
        <v>70</v>
      </c>
      <c r="J1365" s="9">
        <v>3336.0481199999999</v>
      </c>
      <c r="K1365" s="7">
        <v>0.65800000000000003</v>
      </c>
      <c r="L1365" s="9">
        <v>2195.12</v>
      </c>
      <c r="M1365" s="9">
        <v>2218.4699999999998</v>
      </c>
      <c r="N1365" s="9">
        <v>1.8</v>
      </c>
      <c r="O1365" s="10">
        <f>IF(AND(OR(H1365="APPROVED",H1365="SCHEDULED"),COUNTIFS(tblSource[EventID],F1365,tblSource[ReleaseStatus],"APPROVED")=1,COUNTIFS(Period_Status!$A$2:$A$8,G1365,Period_Status!$B$2:$B$8,"ActualClosed")=1,C1365&gt;EOMONTH(Settlement_Bridge!$C$2,0)),1,0)</f>
        <v>0</v>
      </c>
      <c r="P1365" s="2" t="s">
        <v>3909</v>
      </c>
    </row>
    <row r="1366" spans="1:16" x14ac:dyDescent="0.25">
      <c r="A1366" s="2" t="s">
        <v>3910</v>
      </c>
      <c r="B1366" s="2" t="s">
        <v>199</v>
      </c>
      <c r="C1366" s="8">
        <v>46230</v>
      </c>
      <c r="D1366" s="6">
        <v>46204</v>
      </c>
      <c r="E1366" s="2" t="s">
        <v>260</v>
      </c>
      <c r="F1366" s="2" t="s">
        <v>3908</v>
      </c>
      <c r="G1366" s="6">
        <v>46174</v>
      </c>
      <c r="H1366" s="2" t="s">
        <v>71</v>
      </c>
      <c r="I1366" s="2" t="s">
        <v>70</v>
      </c>
      <c r="J1366" s="9">
        <v>5004.0721809999995</v>
      </c>
      <c r="K1366" s="7">
        <v>0.65800000000000003</v>
      </c>
      <c r="L1366" s="9">
        <v>3292.68</v>
      </c>
      <c r="M1366" s="9">
        <v>3327.71</v>
      </c>
      <c r="N1366" s="9">
        <v>1.81</v>
      </c>
      <c r="O1366" s="10">
        <f>IF(AND(OR(H1366="APPROVED",H1366="SCHEDULED"),COUNTIFS(tblSource[EventID],F1366,tblSource[ReleaseStatus],"APPROVED")=1,COUNTIFS(Period_Status!$A$2:$A$8,G1366,Period_Status!$B$2:$B$8,"ActualClosed")=1,C1366&gt;EOMONTH(Settlement_Bridge!$C$2,0)),1,0)</f>
        <v>0</v>
      </c>
      <c r="P1366" s="2" t="s">
        <v>3911</v>
      </c>
    </row>
    <row r="1367" spans="1:16" x14ac:dyDescent="0.25">
      <c r="A1367" s="2" t="s">
        <v>3912</v>
      </c>
      <c r="B1367" s="2" t="s">
        <v>199</v>
      </c>
      <c r="C1367" s="8">
        <v>46216</v>
      </c>
      <c r="D1367" s="6">
        <v>46204</v>
      </c>
      <c r="E1367" s="2" t="s">
        <v>260</v>
      </c>
      <c r="F1367" s="2" t="s">
        <v>3913</v>
      </c>
      <c r="G1367" s="6">
        <v>46174</v>
      </c>
      <c r="H1367" s="2" t="s">
        <v>71</v>
      </c>
      <c r="I1367" s="2" t="s">
        <v>39</v>
      </c>
      <c r="J1367" s="9">
        <v>5719.19</v>
      </c>
      <c r="K1367" s="7">
        <v>1</v>
      </c>
      <c r="L1367" s="9">
        <v>5719.19</v>
      </c>
      <c r="M1367" s="9">
        <v>5719.19</v>
      </c>
      <c r="N1367" s="9">
        <v>3.15</v>
      </c>
      <c r="O1367" s="10">
        <f>IF(AND(OR(H1367="APPROVED",H1367="SCHEDULED"),COUNTIFS(tblSource[EventID],F1367,tblSource[ReleaseStatus],"APPROVED")=1,COUNTIFS(Period_Status!$A$2:$A$8,G1367,Period_Status!$B$2:$B$8,"ActualClosed")=1,C1367&gt;EOMONTH(Settlement_Bridge!$C$2,0)),1,0)</f>
        <v>0</v>
      </c>
      <c r="P1367" s="2" t="s">
        <v>3914</v>
      </c>
    </row>
    <row r="1368" spans="1:16" x14ac:dyDescent="0.25">
      <c r="A1368" s="2" t="s">
        <v>3915</v>
      </c>
      <c r="B1368" s="2" t="s">
        <v>199</v>
      </c>
      <c r="C1368" s="8">
        <v>46217</v>
      </c>
      <c r="D1368" s="6">
        <v>46204</v>
      </c>
      <c r="E1368" s="2" t="s">
        <v>260</v>
      </c>
      <c r="F1368" s="2" t="s">
        <v>3916</v>
      </c>
      <c r="G1368" s="6">
        <v>46174</v>
      </c>
      <c r="H1368" s="2" t="s">
        <v>71</v>
      </c>
      <c r="I1368" s="2" t="s">
        <v>76</v>
      </c>
      <c r="J1368" s="9">
        <v>94275200</v>
      </c>
      <c r="K1368" s="7">
        <v>6.2000000000000003E-5</v>
      </c>
      <c r="L1368" s="9">
        <v>5845.06</v>
      </c>
      <c r="M1368" s="9">
        <v>5892.2</v>
      </c>
      <c r="N1368" s="9">
        <v>3.21</v>
      </c>
      <c r="O1368" s="10">
        <f>IF(AND(OR(H1368="APPROVED",H1368="SCHEDULED"),COUNTIFS(tblSource[EventID],F1368,tblSource[ReleaseStatus],"APPROVED")=1,COUNTIFS(Period_Status!$A$2:$A$8,G1368,Period_Status!$B$2:$B$8,"ActualClosed")=1,C1368&gt;EOMONTH(Settlement_Bridge!$C$2,0)),1,0)</f>
        <v>0</v>
      </c>
      <c r="P1368" s="2" t="s">
        <v>3917</v>
      </c>
    </row>
    <row r="1369" spans="1:16" x14ac:dyDescent="0.25">
      <c r="A1369" s="2" t="s">
        <v>3918</v>
      </c>
      <c r="B1369" s="2" t="s">
        <v>199</v>
      </c>
      <c r="C1369" s="8">
        <v>46218</v>
      </c>
      <c r="D1369" s="6">
        <v>46204</v>
      </c>
      <c r="E1369" s="2" t="s">
        <v>260</v>
      </c>
      <c r="F1369" s="2" t="s">
        <v>3919</v>
      </c>
      <c r="G1369" s="6">
        <v>46174</v>
      </c>
      <c r="H1369" s="2" t="s">
        <v>71</v>
      </c>
      <c r="I1369" s="2" t="s">
        <v>70</v>
      </c>
      <c r="J1369" s="9">
        <v>9120.6165409999994</v>
      </c>
      <c r="K1369" s="7">
        <v>0.65800000000000003</v>
      </c>
      <c r="L1369" s="9">
        <v>6001.37</v>
      </c>
      <c r="M1369" s="9">
        <v>6065.21</v>
      </c>
      <c r="N1369" s="9">
        <v>3.3</v>
      </c>
      <c r="O1369" s="10">
        <f>IF(AND(OR(H1369="APPROVED",H1369="SCHEDULED"),COUNTIFS(tblSource[EventID],F1369,tblSource[ReleaseStatus],"APPROVED")=1,COUNTIFS(Period_Status!$A$2:$A$8,G1369,Period_Status!$B$2:$B$8,"ActualClosed")=1,C1369&gt;EOMONTH(Settlement_Bridge!$C$2,0)),1,0)</f>
        <v>0</v>
      </c>
      <c r="P1369" s="2" t="s">
        <v>3920</v>
      </c>
    </row>
    <row r="1370" spans="1:16" x14ac:dyDescent="0.25">
      <c r="A1370" s="2" t="s">
        <v>3921</v>
      </c>
      <c r="B1370" s="2" t="s">
        <v>199</v>
      </c>
      <c r="C1370" s="8">
        <v>46219</v>
      </c>
      <c r="D1370" s="6">
        <v>46204</v>
      </c>
      <c r="E1370" s="2" t="s">
        <v>260</v>
      </c>
      <c r="F1370" s="2" t="s">
        <v>3922</v>
      </c>
      <c r="G1370" s="6">
        <v>46174</v>
      </c>
      <c r="H1370" s="2" t="s">
        <v>71</v>
      </c>
      <c r="I1370" s="2" t="s">
        <v>39</v>
      </c>
      <c r="J1370" s="9">
        <v>6238.22</v>
      </c>
      <c r="K1370" s="7">
        <v>1</v>
      </c>
      <c r="L1370" s="9">
        <v>6238.22</v>
      </c>
      <c r="M1370" s="9">
        <v>6238.22</v>
      </c>
      <c r="N1370" s="9">
        <v>3.43</v>
      </c>
      <c r="O1370" s="10">
        <f>IF(AND(OR(H1370="APPROVED",H1370="SCHEDULED"),COUNTIFS(tblSource[EventID],F1370,tblSource[ReleaseStatus],"APPROVED")=1,COUNTIFS(Period_Status!$A$2:$A$8,G1370,Period_Status!$B$2:$B$8,"ActualClosed")=1,C1370&gt;EOMONTH(Settlement_Bridge!$C$2,0)),1,0)</f>
        <v>0</v>
      </c>
      <c r="P1370" s="2" t="s">
        <v>3923</v>
      </c>
    </row>
    <row r="1371" spans="1:16" x14ac:dyDescent="0.25">
      <c r="A1371" s="2" t="s">
        <v>3924</v>
      </c>
      <c r="B1371" s="2" t="s">
        <v>199</v>
      </c>
      <c r="C1371" s="8">
        <v>46220</v>
      </c>
      <c r="D1371" s="6">
        <v>46204</v>
      </c>
      <c r="E1371" s="2" t="s">
        <v>260</v>
      </c>
      <c r="F1371" s="2" t="s">
        <v>3925</v>
      </c>
      <c r="G1371" s="6">
        <v>46174</v>
      </c>
      <c r="H1371" s="2" t="s">
        <v>71</v>
      </c>
      <c r="I1371" s="2" t="s">
        <v>76</v>
      </c>
      <c r="J1371" s="9">
        <v>102579680</v>
      </c>
      <c r="K1371" s="7">
        <v>6.2000000000000003E-5</v>
      </c>
      <c r="L1371" s="9">
        <v>6359.94</v>
      </c>
      <c r="M1371" s="9">
        <v>6411.23</v>
      </c>
      <c r="N1371" s="9">
        <v>3.5</v>
      </c>
      <c r="O1371" s="10">
        <f>IF(AND(OR(H1371="APPROVED",H1371="SCHEDULED"),COUNTIFS(tblSource[EventID],F1371,tblSource[ReleaseStatus],"APPROVED")=1,COUNTIFS(Period_Status!$A$2:$A$8,G1371,Period_Status!$B$2:$B$8,"ActualClosed")=1,C1371&gt;EOMONTH(Settlement_Bridge!$C$2,0)),1,0)</f>
        <v>0</v>
      </c>
      <c r="P1371" s="2" t="s">
        <v>3926</v>
      </c>
    </row>
    <row r="1372" spans="1:16" x14ac:dyDescent="0.25">
      <c r="A1372" s="2" t="s">
        <v>3927</v>
      </c>
      <c r="B1372" s="2" t="s">
        <v>199</v>
      </c>
      <c r="C1372" s="8">
        <v>46211</v>
      </c>
      <c r="D1372" s="6">
        <v>46204</v>
      </c>
      <c r="E1372" s="2" t="s">
        <v>260</v>
      </c>
      <c r="F1372" s="2" t="s">
        <v>3928</v>
      </c>
      <c r="G1372" s="6">
        <v>46174</v>
      </c>
      <c r="H1372" s="2" t="s">
        <v>71</v>
      </c>
      <c r="I1372" s="2" t="s">
        <v>70</v>
      </c>
      <c r="J1372" s="9">
        <v>3960.4451130000002</v>
      </c>
      <c r="K1372" s="7">
        <v>0.65800000000000003</v>
      </c>
      <c r="L1372" s="9">
        <v>2605.9699999999998</v>
      </c>
      <c r="M1372" s="9">
        <v>2633.7</v>
      </c>
      <c r="N1372" s="9">
        <v>1.8</v>
      </c>
      <c r="O1372" s="10">
        <f>IF(AND(OR(H1372="APPROVED",H1372="SCHEDULED"),COUNTIFS(tblSource[EventID],F1372,tblSource[ReleaseStatus],"APPROVED")=1,COUNTIFS(Period_Status!$A$2:$A$8,G1372,Period_Status!$B$2:$B$8,"ActualClosed")=1,C1372&gt;EOMONTH(Settlement_Bridge!$C$2,0)),1,0)</f>
        <v>0</v>
      </c>
      <c r="P1372" s="2" t="s">
        <v>3929</v>
      </c>
    </row>
    <row r="1373" spans="1:16" x14ac:dyDescent="0.25">
      <c r="A1373" s="2" t="s">
        <v>3930</v>
      </c>
      <c r="B1373" s="2" t="s">
        <v>199</v>
      </c>
      <c r="C1373" s="8">
        <v>46236</v>
      </c>
      <c r="D1373" s="6">
        <v>46235</v>
      </c>
      <c r="E1373" s="2" t="s">
        <v>260</v>
      </c>
      <c r="F1373" s="2" t="s">
        <v>3928</v>
      </c>
      <c r="G1373" s="6">
        <v>46174</v>
      </c>
      <c r="H1373" s="2" t="s">
        <v>71</v>
      </c>
      <c r="I1373" s="2" t="s">
        <v>70</v>
      </c>
      <c r="J1373" s="9">
        <v>5940.6676690000004</v>
      </c>
      <c r="K1373" s="7">
        <v>0.65</v>
      </c>
      <c r="L1373" s="9">
        <v>3861.43</v>
      </c>
      <c r="M1373" s="9">
        <v>3950.54</v>
      </c>
      <c r="N1373" s="9">
        <v>2.12</v>
      </c>
      <c r="O1373" s="10">
        <f>IF(AND(OR(H1373="APPROVED",H1373="SCHEDULED"),COUNTIFS(tblSource[EventID],F1373,tblSource[ReleaseStatus],"APPROVED")=1,COUNTIFS(Period_Status!$A$2:$A$8,G1373,Period_Status!$B$2:$B$8,"ActualClosed")=1,C1373&gt;EOMONTH(Settlement_Bridge!$C$2,0)),1,0)</f>
        <v>1</v>
      </c>
      <c r="P1373" s="2" t="s">
        <v>3931</v>
      </c>
    </row>
    <row r="1374" spans="1:16" x14ac:dyDescent="0.25">
      <c r="A1374" s="2" t="s">
        <v>3932</v>
      </c>
      <c r="B1374" s="2" t="s">
        <v>199</v>
      </c>
      <c r="C1374" s="8">
        <v>46212</v>
      </c>
      <c r="D1374" s="6">
        <v>46204</v>
      </c>
      <c r="E1374" s="2" t="s">
        <v>260</v>
      </c>
      <c r="F1374" s="2" t="s">
        <v>3933</v>
      </c>
      <c r="G1374" s="6">
        <v>46174</v>
      </c>
      <c r="H1374" s="2" t="s">
        <v>71</v>
      </c>
      <c r="I1374" s="2" t="s">
        <v>39</v>
      </c>
      <c r="J1374" s="9">
        <v>2702.9</v>
      </c>
      <c r="K1374" s="7">
        <v>1</v>
      </c>
      <c r="L1374" s="9">
        <v>2702.9</v>
      </c>
      <c r="M1374" s="9">
        <v>2702.9</v>
      </c>
      <c r="N1374" s="9">
        <v>1.8</v>
      </c>
      <c r="O1374" s="10">
        <f>IF(AND(OR(H1374="APPROVED",H1374="SCHEDULED"),COUNTIFS(tblSource[EventID],F1374,tblSource[ReleaseStatus],"APPROVED")=1,COUNTIFS(Period_Status!$A$2:$A$8,G1374,Period_Status!$B$2:$B$8,"ActualClosed")=1,C1374&gt;EOMONTH(Settlement_Bridge!$C$2,0)),1,0)</f>
        <v>0</v>
      </c>
      <c r="P1374" s="2" t="s">
        <v>3934</v>
      </c>
    </row>
    <row r="1375" spans="1:16" x14ac:dyDescent="0.25">
      <c r="A1375" s="2" t="s">
        <v>3935</v>
      </c>
      <c r="B1375" s="2" t="s">
        <v>199</v>
      </c>
      <c r="C1375" s="8">
        <v>46237</v>
      </c>
      <c r="D1375" s="6">
        <v>46235</v>
      </c>
      <c r="E1375" s="2" t="s">
        <v>260</v>
      </c>
      <c r="F1375" s="2" t="s">
        <v>3933</v>
      </c>
      <c r="G1375" s="6">
        <v>46174</v>
      </c>
      <c r="H1375" s="2" t="s">
        <v>71</v>
      </c>
      <c r="I1375" s="2" t="s">
        <v>39</v>
      </c>
      <c r="J1375" s="9">
        <v>4054.35</v>
      </c>
      <c r="K1375" s="7">
        <v>1</v>
      </c>
      <c r="L1375" s="9">
        <v>4054.35</v>
      </c>
      <c r="M1375" s="9">
        <v>4054.35</v>
      </c>
      <c r="N1375" s="9">
        <v>2.23</v>
      </c>
      <c r="O1375" s="10">
        <f>IF(AND(OR(H1375="APPROVED",H1375="SCHEDULED"),COUNTIFS(tblSource[EventID],F1375,tblSource[ReleaseStatus],"APPROVED")=1,COUNTIFS(Period_Status!$A$2:$A$8,G1375,Period_Status!$B$2:$B$8,"ActualClosed")=1,C1375&gt;EOMONTH(Settlement_Bridge!$C$2,0)),1,0)</f>
        <v>1</v>
      </c>
      <c r="P1375" s="2" t="s">
        <v>3936</v>
      </c>
    </row>
    <row r="1376" spans="1:16" x14ac:dyDescent="0.25">
      <c r="A1376" s="2" t="s">
        <v>3937</v>
      </c>
      <c r="B1376" s="2" t="s">
        <v>199</v>
      </c>
      <c r="C1376" s="8">
        <v>46223</v>
      </c>
      <c r="D1376" s="6">
        <v>46204</v>
      </c>
      <c r="E1376" s="2" t="s">
        <v>260</v>
      </c>
      <c r="F1376" s="2" t="s">
        <v>3938</v>
      </c>
      <c r="G1376" s="6">
        <v>46174</v>
      </c>
      <c r="H1376" s="2" t="s">
        <v>71</v>
      </c>
      <c r="I1376" s="2" t="s">
        <v>76</v>
      </c>
      <c r="J1376" s="9">
        <v>110884160</v>
      </c>
      <c r="K1376" s="7">
        <v>6.2000000000000003E-5</v>
      </c>
      <c r="L1376" s="9">
        <v>6874.82</v>
      </c>
      <c r="M1376" s="9">
        <v>6930.26</v>
      </c>
      <c r="N1376" s="9">
        <v>3.78</v>
      </c>
      <c r="O1376" s="10">
        <f>IF(AND(OR(H1376="APPROVED",H1376="SCHEDULED"),COUNTIFS(tblSource[EventID],F1376,tblSource[ReleaseStatus],"APPROVED")=1,COUNTIFS(Period_Status!$A$2:$A$8,G1376,Period_Status!$B$2:$B$8,"ActualClosed")=1,C1376&gt;EOMONTH(Settlement_Bridge!$C$2,0)),1,0)</f>
        <v>0</v>
      </c>
      <c r="P1376" s="2" t="s">
        <v>3939</v>
      </c>
    </row>
    <row r="1377" spans="1:16" x14ac:dyDescent="0.25">
      <c r="A1377" s="2" t="s">
        <v>3940</v>
      </c>
      <c r="B1377" s="2" t="s">
        <v>199</v>
      </c>
      <c r="C1377" s="8">
        <v>46224</v>
      </c>
      <c r="D1377" s="6">
        <v>46204</v>
      </c>
      <c r="E1377" s="2" t="s">
        <v>260</v>
      </c>
      <c r="F1377" s="2" t="s">
        <v>3941</v>
      </c>
      <c r="G1377" s="6">
        <v>46174</v>
      </c>
      <c r="H1377" s="2" t="s">
        <v>71</v>
      </c>
      <c r="I1377" s="2" t="s">
        <v>70</v>
      </c>
      <c r="J1377" s="9">
        <v>10681.609023000001</v>
      </c>
      <c r="K1377" s="7">
        <v>0.65800000000000003</v>
      </c>
      <c r="L1377" s="9">
        <v>7028.5</v>
      </c>
      <c r="M1377" s="9">
        <v>7103.27</v>
      </c>
      <c r="N1377" s="9">
        <v>3.87</v>
      </c>
      <c r="O1377" s="10">
        <f>IF(AND(OR(H1377="APPROVED",H1377="SCHEDULED"),COUNTIFS(tblSource[EventID],F1377,tblSource[ReleaseStatus],"APPROVED")=1,COUNTIFS(Period_Status!$A$2:$A$8,G1377,Period_Status!$B$2:$B$8,"ActualClosed")=1,C1377&gt;EOMONTH(Settlement_Bridge!$C$2,0)),1,0)</f>
        <v>0</v>
      </c>
      <c r="P1377" s="2" t="s">
        <v>3942</v>
      </c>
    </row>
    <row r="1378" spans="1:16" x14ac:dyDescent="0.25">
      <c r="A1378" s="2" t="s">
        <v>3943</v>
      </c>
      <c r="B1378" s="2" t="s">
        <v>199</v>
      </c>
      <c r="C1378" s="8">
        <v>46215</v>
      </c>
      <c r="D1378" s="6">
        <v>46204</v>
      </c>
      <c r="E1378" s="2" t="s">
        <v>260</v>
      </c>
      <c r="F1378" s="2" t="s">
        <v>3944</v>
      </c>
      <c r="G1378" s="6">
        <v>46174</v>
      </c>
      <c r="H1378" s="2" t="s">
        <v>71</v>
      </c>
      <c r="I1378" s="2" t="s">
        <v>39</v>
      </c>
      <c r="J1378" s="9">
        <v>2910.5120000000002</v>
      </c>
      <c r="K1378" s="7">
        <v>1</v>
      </c>
      <c r="L1378" s="9">
        <v>2910.51</v>
      </c>
      <c r="M1378" s="9">
        <v>2910.51</v>
      </c>
      <c r="N1378" s="9">
        <v>1.8</v>
      </c>
      <c r="O1378" s="10">
        <f>IF(AND(OR(H1378="APPROVED",H1378="SCHEDULED"),COUNTIFS(tblSource[EventID],F1378,tblSource[ReleaseStatus],"APPROVED")=1,COUNTIFS(Period_Status!$A$2:$A$8,G1378,Period_Status!$B$2:$B$8,"ActualClosed")=1,C1378&gt;EOMONTH(Settlement_Bridge!$C$2,0)),1,0)</f>
        <v>0</v>
      </c>
      <c r="P1378" s="2" t="s">
        <v>3945</v>
      </c>
    </row>
    <row r="1379" spans="1:16" x14ac:dyDescent="0.25">
      <c r="A1379" s="2" t="s">
        <v>3946</v>
      </c>
      <c r="B1379" s="2" t="s">
        <v>199</v>
      </c>
      <c r="C1379" s="8">
        <v>46240</v>
      </c>
      <c r="D1379" s="6">
        <v>46235</v>
      </c>
      <c r="E1379" s="2" t="s">
        <v>260</v>
      </c>
      <c r="F1379" s="2" t="s">
        <v>3944</v>
      </c>
      <c r="G1379" s="6">
        <v>46174</v>
      </c>
      <c r="H1379" s="2" t="s">
        <v>71</v>
      </c>
      <c r="I1379" s="2" t="s">
        <v>39</v>
      </c>
      <c r="J1379" s="9">
        <v>4365.768</v>
      </c>
      <c r="K1379" s="7">
        <v>1</v>
      </c>
      <c r="L1379" s="9">
        <v>4365.7700000000004</v>
      </c>
      <c r="M1379" s="9">
        <v>4365.7700000000004</v>
      </c>
      <c r="N1379" s="9">
        <v>2.4</v>
      </c>
      <c r="O1379" s="10">
        <f>IF(AND(OR(H1379="APPROVED",H1379="SCHEDULED"),COUNTIFS(tblSource[EventID],F1379,tblSource[ReleaseStatus],"APPROVED")=1,COUNTIFS(Period_Status!$A$2:$A$8,G1379,Period_Status!$B$2:$B$8,"ActualClosed")=1,C1379&gt;EOMONTH(Settlement_Bridge!$C$2,0)),1,0)</f>
        <v>1</v>
      </c>
      <c r="P1379" s="2" t="s">
        <v>3947</v>
      </c>
    </row>
    <row r="1380" spans="1:16" x14ac:dyDescent="0.25">
      <c r="A1380" s="2" t="s">
        <v>3948</v>
      </c>
      <c r="B1380" s="2" t="s">
        <v>199</v>
      </c>
      <c r="C1380" s="8">
        <v>46226</v>
      </c>
      <c r="D1380" s="6">
        <v>46204</v>
      </c>
      <c r="E1380" s="2" t="s">
        <v>260</v>
      </c>
      <c r="F1380" s="2" t="s">
        <v>3949</v>
      </c>
      <c r="G1380" s="6">
        <v>46174</v>
      </c>
      <c r="H1380" s="2" t="s">
        <v>71</v>
      </c>
      <c r="I1380" s="2" t="s">
        <v>76</v>
      </c>
      <c r="J1380" s="9">
        <v>119188640</v>
      </c>
      <c r="K1380" s="7">
        <v>6.2000000000000003E-5</v>
      </c>
      <c r="L1380" s="9">
        <v>7389.7</v>
      </c>
      <c r="M1380" s="9">
        <v>7449.29</v>
      </c>
      <c r="N1380" s="9">
        <v>4.0599999999999996</v>
      </c>
      <c r="O1380" s="10">
        <f>IF(AND(OR(H1380="APPROVED",H1380="SCHEDULED"),COUNTIFS(tblSource[EventID],F1380,tblSource[ReleaseStatus],"APPROVED")=1,COUNTIFS(Period_Status!$A$2:$A$8,G1380,Period_Status!$B$2:$B$8,"ActualClosed")=1,C1380&gt;EOMONTH(Settlement_Bridge!$C$2,0)),1,0)</f>
        <v>0</v>
      </c>
      <c r="P1380" s="2" t="s">
        <v>3950</v>
      </c>
    </row>
    <row r="1381" spans="1:16" x14ac:dyDescent="0.25">
      <c r="A1381" s="2" t="s">
        <v>3951</v>
      </c>
      <c r="B1381" s="2" t="s">
        <v>199</v>
      </c>
      <c r="C1381" s="8">
        <v>46227</v>
      </c>
      <c r="D1381" s="6">
        <v>46204</v>
      </c>
      <c r="E1381" s="2" t="s">
        <v>260</v>
      </c>
      <c r="F1381" s="2" t="s">
        <v>3952</v>
      </c>
      <c r="G1381" s="6">
        <v>46174</v>
      </c>
      <c r="H1381" s="2" t="s">
        <v>71</v>
      </c>
      <c r="I1381" s="2" t="s">
        <v>70</v>
      </c>
      <c r="J1381" s="9">
        <v>11462.105262999999</v>
      </c>
      <c r="K1381" s="7">
        <v>0.65800000000000003</v>
      </c>
      <c r="L1381" s="9">
        <v>7542.07</v>
      </c>
      <c r="M1381" s="9">
        <v>7622.3</v>
      </c>
      <c r="N1381" s="9">
        <v>4.1500000000000004</v>
      </c>
      <c r="O1381" s="10">
        <f>IF(AND(OR(H1381="APPROVED",H1381="SCHEDULED"),COUNTIFS(tblSource[EventID],F1381,tblSource[ReleaseStatus],"APPROVED")=1,COUNTIFS(Period_Status!$A$2:$A$8,G1381,Period_Status!$B$2:$B$8,"ActualClosed")=1,C1381&gt;EOMONTH(Settlement_Bridge!$C$2,0)),1,0)</f>
        <v>0</v>
      </c>
      <c r="P1381" s="2" t="s">
        <v>3953</v>
      </c>
    </row>
    <row r="1382" spans="1:16" x14ac:dyDescent="0.25">
      <c r="A1382" s="2" t="s">
        <v>3954</v>
      </c>
      <c r="B1382" s="2" t="s">
        <v>199</v>
      </c>
      <c r="C1382" s="8">
        <v>46198</v>
      </c>
      <c r="D1382" s="6">
        <v>46174</v>
      </c>
      <c r="E1382" s="2" t="s">
        <v>260</v>
      </c>
      <c r="F1382" s="2" t="s">
        <v>3955</v>
      </c>
      <c r="G1382" s="6">
        <v>46174</v>
      </c>
      <c r="H1382" s="2" t="s">
        <v>71</v>
      </c>
      <c r="I1382" s="2" t="s">
        <v>39</v>
      </c>
      <c r="J1382" s="9">
        <v>7795.31</v>
      </c>
      <c r="K1382" s="7">
        <v>1</v>
      </c>
      <c r="L1382" s="9">
        <v>7795.31</v>
      </c>
      <c r="M1382" s="9">
        <v>7795.31</v>
      </c>
      <c r="N1382" s="9">
        <v>4.29</v>
      </c>
      <c r="O1382" s="10">
        <f>IF(AND(OR(H1382="APPROVED",H1382="SCHEDULED"),COUNTIFS(tblSource[EventID],F1382,tblSource[ReleaseStatus],"APPROVED")=1,COUNTIFS(Period_Status!$A$2:$A$8,G1382,Period_Status!$B$2:$B$8,"ActualClosed")=1,C1382&gt;EOMONTH(Settlement_Bridge!$C$2,0)),1,0)</f>
        <v>0</v>
      </c>
      <c r="P1382" s="2" t="s">
        <v>3956</v>
      </c>
    </row>
    <row r="1383" spans="1:16" x14ac:dyDescent="0.25">
      <c r="A1383" s="2" t="s">
        <v>3957</v>
      </c>
      <c r="B1383" s="2" t="s">
        <v>199</v>
      </c>
      <c r="C1383" s="8">
        <v>46199</v>
      </c>
      <c r="D1383" s="6">
        <v>46174</v>
      </c>
      <c r="E1383" s="2" t="s">
        <v>260</v>
      </c>
      <c r="F1383" s="2" t="s">
        <v>3958</v>
      </c>
      <c r="G1383" s="6">
        <v>46174</v>
      </c>
      <c r="H1383" s="2" t="s">
        <v>71</v>
      </c>
      <c r="I1383" s="2" t="s">
        <v>76</v>
      </c>
      <c r="J1383" s="9">
        <v>127493120</v>
      </c>
      <c r="K1383" s="7">
        <v>6.2500000000000001E-5</v>
      </c>
      <c r="L1383" s="9">
        <v>7968.32</v>
      </c>
      <c r="M1383" s="9">
        <v>7968.32</v>
      </c>
      <c r="N1383" s="9">
        <v>4.38</v>
      </c>
      <c r="O1383" s="10">
        <f>IF(AND(OR(H1383="APPROVED",H1383="SCHEDULED"),COUNTIFS(tblSource[EventID],F1383,tblSource[ReleaseStatus],"APPROVED")=1,COUNTIFS(Period_Status!$A$2:$A$8,G1383,Period_Status!$B$2:$B$8,"ActualClosed")=1,C1383&gt;EOMONTH(Settlement_Bridge!$C$2,0)),1,0)</f>
        <v>0</v>
      </c>
      <c r="P1383" s="2" t="s">
        <v>3959</v>
      </c>
    </row>
    <row r="1384" spans="1:16" x14ac:dyDescent="0.25">
      <c r="A1384" s="2" t="s">
        <v>3960</v>
      </c>
      <c r="B1384" s="2" t="s">
        <v>199</v>
      </c>
      <c r="C1384" s="8">
        <v>46200</v>
      </c>
      <c r="D1384" s="6">
        <v>46174</v>
      </c>
      <c r="E1384" s="2" t="s">
        <v>260</v>
      </c>
      <c r="F1384" s="2" t="s">
        <v>3961</v>
      </c>
      <c r="G1384" s="6">
        <v>46174</v>
      </c>
      <c r="H1384" s="2" t="s">
        <v>71</v>
      </c>
      <c r="I1384" s="2" t="s">
        <v>70</v>
      </c>
      <c r="J1384" s="9">
        <v>12242.601504</v>
      </c>
      <c r="K1384" s="7">
        <v>0.66500000000000004</v>
      </c>
      <c r="L1384" s="9">
        <v>8141.33</v>
      </c>
      <c r="M1384" s="9">
        <v>8141.33</v>
      </c>
      <c r="N1384" s="9">
        <v>4.4800000000000004</v>
      </c>
      <c r="O1384" s="10">
        <f>IF(AND(OR(H1384="APPROVED",H1384="SCHEDULED"),COUNTIFS(tblSource[EventID],F1384,tblSource[ReleaseStatus],"APPROVED")=1,COUNTIFS(Period_Status!$A$2:$A$8,G1384,Period_Status!$B$2:$B$8,"ActualClosed")=1,C1384&gt;EOMONTH(Settlement_Bridge!$C$2,0)),1,0)</f>
        <v>0</v>
      </c>
      <c r="P1384" s="2" t="s">
        <v>3962</v>
      </c>
    </row>
    <row r="1385" spans="1:16" x14ac:dyDescent="0.25">
      <c r="A1385" s="2" t="s">
        <v>3963</v>
      </c>
      <c r="B1385" s="2" t="s">
        <v>199</v>
      </c>
      <c r="C1385" s="8">
        <v>46191</v>
      </c>
      <c r="D1385" s="6">
        <v>46174</v>
      </c>
      <c r="E1385" s="2" t="s">
        <v>260</v>
      </c>
      <c r="F1385" s="2" t="s">
        <v>3964</v>
      </c>
      <c r="G1385" s="6">
        <v>46174</v>
      </c>
      <c r="H1385" s="2" t="s">
        <v>71</v>
      </c>
      <c r="I1385" s="2" t="s">
        <v>39</v>
      </c>
      <c r="J1385" s="9">
        <v>3325.7359999999999</v>
      </c>
      <c r="K1385" s="7">
        <v>1</v>
      </c>
      <c r="L1385" s="9">
        <v>3325.74</v>
      </c>
      <c r="M1385" s="9">
        <v>3325.74</v>
      </c>
      <c r="N1385" s="9">
        <v>1.83</v>
      </c>
      <c r="O1385" s="10">
        <f>IF(AND(OR(H1385="APPROVED",H1385="SCHEDULED"),COUNTIFS(tblSource[EventID],F1385,tblSource[ReleaseStatus],"APPROVED")=1,COUNTIFS(Period_Status!$A$2:$A$8,G1385,Period_Status!$B$2:$B$8,"ActualClosed")=1,C1385&gt;EOMONTH(Settlement_Bridge!$C$2,0)),1,0)</f>
        <v>0</v>
      </c>
      <c r="P1385" s="2" t="s">
        <v>3965</v>
      </c>
    </row>
    <row r="1386" spans="1:16" x14ac:dyDescent="0.25">
      <c r="A1386" s="2" t="s">
        <v>3966</v>
      </c>
      <c r="B1386" s="2" t="s">
        <v>199</v>
      </c>
      <c r="C1386" s="8">
        <v>46216</v>
      </c>
      <c r="D1386" s="6">
        <v>46204</v>
      </c>
      <c r="E1386" s="2" t="s">
        <v>260</v>
      </c>
      <c r="F1386" s="2" t="s">
        <v>3964</v>
      </c>
      <c r="G1386" s="6">
        <v>46174</v>
      </c>
      <c r="H1386" s="2" t="s">
        <v>71</v>
      </c>
      <c r="I1386" s="2" t="s">
        <v>39</v>
      </c>
      <c r="J1386" s="9">
        <v>4988.6040000000003</v>
      </c>
      <c r="K1386" s="7">
        <v>1</v>
      </c>
      <c r="L1386" s="9">
        <v>4988.6000000000004</v>
      </c>
      <c r="M1386" s="9">
        <v>4988.6000000000004</v>
      </c>
      <c r="N1386" s="9">
        <v>2.74</v>
      </c>
      <c r="O1386" s="10">
        <f>IF(AND(OR(H1386="APPROVED",H1386="SCHEDULED"),COUNTIFS(tblSource[EventID],F1386,tblSource[ReleaseStatus],"APPROVED")=1,COUNTIFS(Period_Status!$A$2:$A$8,G1386,Period_Status!$B$2:$B$8,"ActualClosed")=1,C1386&gt;EOMONTH(Settlement_Bridge!$C$2,0)),1,0)</f>
        <v>0</v>
      </c>
      <c r="P1386" s="2" t="s">
        <v>3967</v>
      </c>
    </row>
    <row r="1387" spans="1:16" x14ac:dyDescent="0.25">
      <c r="A1387" s="2" t="s">
        <v>3968</v>
      </c>
      <c r="B1387" s="2" t="s">
        <v>199</v>
      </c>
      <c r="C1387" s="8">
        <v>46192</v>
      </c>
      <c r="D1387" s="6">
        <v>46174</v>
      </c>
      <c r="E1387" s="2" t="s">
        <v>260</v>
      </c>
      <c r="F1387" s="2" t="s">
        <v>3969</v>
      </c>
      <c r="G1387" s="6">
        <v>46174</v>
      </c>
      <c r="H1387" s="2" t="s">
        <v>71</v>
      </c>
      <c r="I1387" s="2" t="s">
        <v>76</v>
      </c>
      <c r="J1387" s="9">
        <v>54319040</v>
      </c>
      <c r="K1387" s="7">
        <v>6.2500000000000001E-5</v>
      </c>
      <c r="L1387" s="9">
        <v>3394.94</v>
      </c>
      <c r="M1387" s="9">
        <v>3394.94</v>
      </c>
      <c r="N1387" s="9">
        <v>1.87</v>
      </c>
      <c r="O1387" s="10">
        <f>IF(AND(OR(H1387="APPROVED",H1387="SCHEDULED"),COUNTIFS(tblSource[EventID],F1387,tblSource[ReleaseStatus],"APPROVED")=1,COUNTIFS(Period_Status!$A$2:$A$8,G1387,Period_Status!$B$2:$B$8,"ActualClosed")=1,C1387&gt;EOMONTH(Settlement_Bridge!$C$2,0)),1,0)</f>
        <v>0</v>
      </c>
      <c r="P1387" s="2" t="s">
        <v>3970</v>
      </c>
    </row>
    <row r="1388" spans="1:16" x14ac:dyDescent="0.25">
      <c r="A1388" s="2" t="s">
        <v>3971</v>
      </c>
      <c r="B1388" s="2" t="s">
        <v>199</v>
      </c>
      <c r="C1388" s="8">
        <v>46217</v>
      </c>
      <c r="D1388" s="6">
        <v>46204</v>
      </c>
      <c r="E1388" s="2" t="s">
        <v>260</v>
      </c>
      <c r="F1388" s="2" t="s">
        <v>3969</v>
      </c>
      <c r="G1388" s="6">
        <v>46174</v>
      </c>
      <c r="H1388" s="2" t="s">
        <v>71</v>
      </c>
      <c r="I1388" s="2" t="s">
        <v>76</v>
      </c>
      <c r="J1388" s="9">
        <v>81478560</v>
      </c>
      <c r="K1388" s="7">
        <v>6.2000000000000003E-5</v>
      </c>
      <c r="L1388" s="9">
        <v>5051.67</v>
      </c>
      <c r="M1388" s="9">
        <v>5092.41</v>
      </c>
      <c r="N1388" s="9">
        <v>2.78</v>
      </c>
      <c r="O1388" s="10">
        <f>IF(AND(OR(H1388="APPROVED",H1388="SCHEDULED"),COUNTIFS(tblSource[EventID],F1388,tblSource[ReleaseStatus],"APPROVED")=1,COUNTIFS(Period_Status!$A$2:$A$8,G1388,Period_Status!$B$2:$B$8,"ActualClosed")=1,C1388&gt;EOMONTH(Settlement_Bridge!$C$2,0)),1,0)</f>
        <v>0</v>
      </c>
      <c r="P1388" s="2" t="s">
        <v>3972</v>
      </c>
    </row>
    <row r="1389" spans="1:16" x14ac:dyDescent="0.25">
      <c r="A1389" s="2" t="s">
        <v>3973</v>
      </c>
      <c r="B1389" s="2" t="s">
        <v>199</v>
      </c>
      <c r="C1389" s="8">
        <v>46203</v>
      </c>
      <c r="D1389" s="6">
        <v>46174</v>
      </c>
      <c r="E1389" s="2" t="s">
        <v>260</v>
      </c>
      <c r="F1389" s="2" t="s">
        <v>3974</v>
      </c>
      <c r="G1389" s="6">
        <v>46174</v>
      </c>
      <c r="H1389" s="2" t="s">
        <v>71</v>
      </c>
      <c r="I1389" s="2" t="s">
        <v>70</v>
      </c>
      <c r="J1389" s="9">
        <v>13023.097744000001</v>
      </c>
      <c r="K1389" s="7">
        <v>0.66500000000000004</v>
      </c>
      <c r="L1389" s="9">
        <v>8660.36</v>
      </c>
      <c r="M1389" s="9">
        <v>8660.36</v>
      </c>
      <c r="N1389" s="9">
        <v>4.76</v>
      </c>
      <c r="O1389" s="10">
        <f>IF(AND(OR(H1389="APPROVED",H1389="SCHEDULED"),COUNTIFS(tblSource[EventID],F1389,tblSource[ReleaseStatus],"APPROVED")=1,COUNTIFS(Period_Status!$A$2:$A$8,G1389,Period_Status!$B$2:$B$8,"ActualClosed")=1,C1389&gt;EOMONTH(Settlement_Bridge!$C$2,0)),1,0)</f>
        <v>0</v>
      </c>
      <c r="P1389" s="2" t="s">
        <v>3975</v>
      </c>
    </row>
    <row r="1390" spans="1:16" x14ac:dyDescent="0.25">
      <c r="A1390" s="2" t="s">
        <v>3976</v>
      </c>
      <c r="B1390" s="2" t="s">
        <v>199</v>
      </c>
      <c r="C1390" s="8">
        <v>46204</v>
      </c>
      <c r="D1390" s="6">
        <v>46204</v>
      </c>
      <c r="E1390" s="2" t="s">
        <v>260</v>
      </c>
      <c r="F1390" s="2" t="s">
        <v>3977</v>
      </c>
      <c r="G1390" s="6">
        <v>46174</v>
      </c>
      <c r="H1390" s="2" t="s">
        <v>71</v>
      </c>
      <c r="I1390" s="2" t="s">
        <v>39</v>
      </c>
      <c r="J1390" s="9">
        <v>8833.3700000000008</v>
      </c>
      <c r="K1390" s="7">
        <v>1</v>
      </c>
      <c r="L1390" s="9">
        <v>8833.3700000000008</v>
      </c>
      <c r="M1390" s="9">
        <v>8833.3700000000008</v>
      </c>
      <c r="N1390" s="9">
        <v>4.8600000000000003</v>
      </c>
      <c r="O1390" s="10">
        <f>IF(AND(OR(H1390="APPROVED",H1390="SCHEDULED"),COUNTIFS(tblSource[EventID],F1390,tblSource[ReleaseStatus],"APPROVED")=1,COUNTIFS(Period_Status!$A$2:$A$8,G1390,Period_Status!$B$2:$B$8,"ActualClosed")=1,C1390&gt;EOMONTH(Settlement_Bridge!$C$2,0)),1,0)</f>
        <v>0</v>
      </c>
      <c r="P1390" s="2" t="s">
        <v>3978</v>
      </c>
    </row>
    <row r="1391" spans="1:16" x14ac:dyDescent="0.25">
      <c r="A1391" s="2" t="s">
        <v>3979</v>
      </c>
      <c r="B1391" s="2" t="s">
        <v>199</v>
      </c>
      <c r="C1391" s="8">
        <v>46195</v>
      </c>
      <c r="D1391" s="6">
        <v>46174</v>
      </c>
      <c r="E1391" s="2" t="s">
        <v>260</v>
      </c>
      <c r="F1391" s="2" t="s">
        <v>3980</v>
      </c>
      <c r="G1391" s="6">
        <v>46174</v>
      </c>
      <c r="H1391" s="2" t="s">
        <v>71</v>
      </c>
      <c r="I1391" s="2" t="s">
        <v>76</v>
      </c>
      <c r="J1391" s="9">
        <v>57640832</v>
      </c>
      <c r="K1391" s="7">
        <v>6.2500000000000001E-5</v>
      </c>
      <c r="L1391" s="9">
        <v>3602.55</v>
      </c>
      <c r="M1391" s="9">
        <v>3602.55</v>
      </c>
      <c r="N1391" s="9">
        <v>1.98</v>
      </c>
      <c r="O1391" s="10">
        <f>IF(AND(OR(H1391="APPROVED",H1391="SCHEDULED"),COUNTIFS(tblSource[EventID],F1391,tblSource[ReleaseStatus],"APPROVED")=1,COUNTIFS(Period_Status!$A$2:$A$8,G1391,Period_Status!$B$2:$B$8,"ActualClosed")=1,C1391&gt;EOMONTH(Settlement_Bridge!$C$2,0)),1,0)</f>
        <v>0</v>
      </c>
      <c r="P1391" s="2" t="s">
        <v>3981</v>
      </c>
    </row>
    <row r="1392" spans="1:16" x14ac:dyDescent="0.25">
      <c r="A1392" s="2" t="s">
        <v>3982</v>
      </c>
      <c r="B1392" s="2" t="s">
        <v>199</v>
      </c>
      <c r="C1392" s="8">
        <v>46220</v>
      </c>
      <c r="D1392" s="6">
        <v>46204</v>
      </c>
      <c r="E1392" s="2" t="s">
        <v>260</v>
      </c>
      <c r="F1392" s="2" t="s">
        <v>3980</v>
      </c>
      <c r="G1392" s="6">
        <v>46174</v>
      </c>
      <c r="H1392" s="2" t="s">
        <v>71</v>
      </c>
      <c r="I1392" s="2" t="s">
        <v>76</v>
      </c>
      <c r="J1392" s="9">
        <v>86461248</v>
      </c>
      <c r="K1392" s="7">
        <v>6.2000000000000003E-5</v>
      </c>
      <c r="L1392" s="9">
        <v>5360.6</v>
      </c>
      <c r="M1392" s="9">
        <v>5403.83</v>
      </c>
      <c r="N1392" s="9">
        <v>2.95</v>
      </c>
      <c r="O1392" s="10">
        <f>IF(AND(OR(H1392="APPROVED",H1392="SCHEDULED"),COUNTIFS(tblSource[EventID],F1392,tblSource[ReleaseStatus],"APPROVED")=1,COUNTIFS(Period_Status!$A$2:$A$8,G1392,Period_Status!$B$2:$B$8,"ActualClosed")=1,C1392&gt;EOMONTH(Settlement_Bridge!$C$2,0)),1,0)</f>
        <v>0</v>
      </c>
      <c r="P1392" s="2" t="s">
        <v>3983</v>
      </c>
    </row>
    <row r="1393" spans="1:16" x14ac:dyDescent="0.25">
      <c r="A1393" s="2" t="s">
        <v>3984</v>
      </c>
      <c r="B1393" s="2" t="s">
        <v>199</v>
      </c>
      <c r="C1393" s="8">
        <v>46206</v>
      </c>
      <c r="D1393" s="6">
        <v>46204</v>
      </c>
      <c r="E1393" s="2" t="s">
        <v>260</v>
      </c>
      <c r="F1393" s="2" t="s">
        <v>3985</v>
      </c>
      <c r="G1393" s="6">
        <v>46174</v>
      </c>
      <c r="H1393" s="2" t="s">
        <v>71</v>
      </c>
      <c r="I1393" s="2" t="s">
        <v>70</v>
      </c>
      <c r="J1393" s="9">
        <v>13803.593985</v>
      </c>
      <c r="K1393" s="7">
        <v>0.65800000000000003</v>
      </c>
      <c r="L1393" s="9">
        <v>9082.76</v>
      </c>
      <c r="M1393" s="9">
        <v>9179.39</v>
      </c>
      <c r="N1393" s="9">
        <v>5</v>
      </c>
      <c r="O1393" s="10">
        <f>IF(AND(OR(H1393="APPROVED",H1393="SCHEDULED"),COUNTIFS(tblSource[EventID],F1393,tblSource[ReleaseStatus],"APPROVED")=1,COUNTIFS(Period_Status!$A$2:$A$8,G1393,Period_Status!$B$2:$B$8,"ActualClosed")=1,C1393&gt;EOMONTH(Settlement_Bridge!$C$2,0)),1,0)</f>
        <v>0</v>
      </c>
      <c r="P1393" s="2" t="s">
        <v>3986</v>
      </c>
    </row>
    <row r="1394" spans="1:16" x14ac:dyDescent="0.25">
      <c r="A1394" s="2" t="s">
        <v>3987</v>
      </c>
      <c r="B1394" s="2" t="s">
        <v>199</v>
      </c>
      <c r="C1394" s="8">
        <v>46207</v>
      </c>
      <c r="D1394" s="6">
        <v>46204</v>
      </c>
      <c r="E1394" s="2" t="s">
        <v>260</v>
      </c>
      <c r="F1394" s="2" t="s">
        <v>3988</v>
      </c>
      <c r="G1394" s="6">
        <v>46174</v>
      </c>
      <c r="H1394" s="2" t="s">
        <v>71</v>
      </c>
      <c r="I1394" s="2" t="s">
        <v>39</v>
      </c>
      <c r="J1394" s="9">
        <v>9352.4</v>
      </c>
      <c r="K1394" s="7">
        <v>1</v>
      </c>
      <c r="L1394" s="9">
        <v>9352.4</v>
      </c>
      <c r="M1394" s="9">
        <v>9352.4</v>
      </c>
      <c r="N1394" s="9">
        <v>5.14</v>
      </c>
      <c r="O1394" s="10">
        <f>IF(AND(OR(H1394="APPROVED",H1394="SCHEDULED"),COUNTIFS(tblSource[EventID],F1394,tblSource[ReleaseStatus],"APPROVED")=1,COUNTIFS(Period_Status!$A$2:$A$8,G1394,Period_Status!$B$2:$B$8,"ActualClosed")=1,C1394&gt;EOMONTH(Settlement_Bridge!$C$2,0)),1,0)</f>
        <v>0</v>
      </c>
      <c r="P1394" s="2" t="s">
        <v>3989</v>
      </c>
    </row>
    <row r="1395" spans="1:16" x14ac:dyDescent="0.25">
      <c r="A1395" s="2" t="s">
        <v>3990</v>
      </c>
      <c r="B1395" s="2" t="s">
        <v>199</v>
      </c>
      <c r="C1395" s="8">
        <v>46208</v>
      </c>
      <c r="D1395" s="6">
        <v>46204</v>
      </c>
      <c r="E1395" s="2" t="s">
        <v>260</v>
      </c>
      <c r="F1395" s="2" t="s">
        <v>3991</v>
      </c>
      <c r="G1395" s="6">
        <v>46174</v>
      </c>
      <c r="H1395" s="2" t="s">
        <v>71</v>
      </c>
      <c r="I1395" s="2" t="s">
        <v>76</v>
      </c>
      <c r="J1395" s="9">
        <v>-152406560</v>
      </c>
      <c r="K1395" s="7">
        <v>6.2000000000000003E-5</v>
      </c>
      <c r="L1395" s="9">
        <v>-9449.2099999999991</v>
      </c>
      <c r="M1395" s="9">
        <v>-9525.41</v>
      </c>
      <c r="N1395" s="9">
        <v>0</v>
      </c>
      <c r="O1395" s="10">
        <f>IF(AND(OR(H1395="APPROVED",H1395="SCHEDULED"),COUNTIFS(tblSource[EventID],F1395,tblSource[ReleaseStatus],"APPROVED")=1,COUNTIFS(Period_Status!$A$2:$A$8,G1395,Period_Status!$B$2:$B$8,"ActualClosed")=1,C1395&gt;EOMONTH(Settlement_Bridge!$C$2,0)),1,0)</f>
        <v>0</v>
      </c>
      <c r="P1395" s="2" t="s">
        <v>3992</v>
      </c>
    </row>
    <row r="1396" spans="1:16" x14ac:dyDescent="0.25">
      <c r="A1396" s="2" t="s">
        <v>3993</v>
      </c>
      <c r="B1396" s="2" t="s">
        <v>199</v>
      </c>
      <c r="C1396" s="8">
        <v>46209</v>
      </c>
      <c r="D1396" s="6">
        <v>46204</v>
      </c>
      <c r="E1396" s="2" t="s">
        <v>260</v>
      </c>
      <c r="F1396" s="2" t="s">
        <v>3994</v>
      </c>
      <c r="G1396" s="6">
        <v>46174</v>
      </c>
      <c r="H1396" s="2" t="s">
        <v>71</v>
      </c>
      <c r="I1396" s="2" t="s">
        <v>70</v>
      </c>
      <c r="J1396" s="9">
        <v>14584.090226</v>
      </c>
      <c r="K1396" s="7">
        <v>0.65800000000000003</v>
      </c>
      <c r="L1396" s="9">
        <v>9596.33</v>
      </c>
      <c r="M1396" s="9">
        <v>9698.42</v>
      </c>
      <c r="N1396" s="9">
        <v>5.28</v>
      </c>
      <c r="O1396" s="10">
        <f>IF(AND(OR(H1396="APPROVED",H1396="SCHEDULED"),COUNTIFS(tblSource[EventID],F1396,tblSource[ReleaseStatus],"APPROVED")=1,COUNTIFS(Period_Status!$A$2:$A$8,G1396,Period_Status!$B$2:$B$8,"ActualClosed")=1,C1396&gt;EOMONTH(Settlement_Bridge!$C$2,0)),1,0)</f>
        <v>0</v>
      </c>
      <c r="P1396" s="2" t="s">
        <v>3995</v>
      </c>
    </row>
    <row r="1397" spans="1:16" x14ac:dyDescent="0.25">
      <c r="A1397" s="2" t="s">
        <v>3996</v>
      </c>
      <c r="B1397" s="2" t="s">
        <v>199</v>
      </c>
      <c r="C1397" s="8">
        <v>46210</v>
      </c>
      <c r="D1397" s="6">
        <v>46204</v>
      </c>
      <c r="E1397" s="2" t="s">
        <v>260</v>
      </c>
      <c r="F1397" s="2" t="s">
        <v>3997</v>
      </c>
      <c r="G1397" s="6">
        <v>46174</v>
      </c>
      <c r="H1397" s="2" t="s">
        <v>71</v>
      </c>
      <c r="I1397" s="2" t="s">
        <v>39</v>
      </c>
      <c r="J1397" s="9">
        <v>9871.43</v>
      </c>
      <c r="K1397" s="7">
        <v>1</v>
      </c>
      <c r="L1397" s="9">
        <v>9871.43</v>
      </c>
      <c r="M1397" s="9">
        <v>9871.43</v>
      </c>
      <c r="N1397" s="9">
        <v>5.43</v>
      </c>
      <c r="O1397" s="10">
        <f>IF(AND(OR(H1397="APPROVED",H1397="SCHEDULED"),COUNTIFS(tblSource[EventID],F1397,tblSource[ReleaseStatus],"APPROVED")=1,COUNTIFS(Period_Status!$A$2:$A$8,G1397,Period_Status!$B$2:$B$8,"ActualClosed")=1,C1397&gt;EOMONTH(Settlement_Bridge!$C$2,0)),1,0)</f>
        <v>0</v>
      </c>
      <c r="P1397" s="2" t="s">
        <v>3998</v>
      </c>
    </row>
    <row r="1398" spans="1:16" x14ac:dyDescent="0.25">
      <c r="A1398" s="2" t="s">
        <v>3999</v>
      </c>
      <c r="B1398" s="2" t="s">
        <v>199</v>
      </c>
      <c r="C1398" s="8">
        <v>46201</v>
      </c>
      <c r="D1398" s="6">
        <v>46174</v>
      </c>
      <c r="E1398" s="2" t="s">
        <v>260</v>
      </c>
      <c r="F1398" s="2" t="s">
        <v>4000</v>
      </c>
      <c r="G1398" s="6">
        <v>46174</v>
      </c>
      <c r="H1398" s="2" t="s">
        <v>71</v>
      </c>
      <c r="I1398" s="2" t="s">
        <v>76</v>
      </c>
      <c r="J1398" s="9">
        <v>64284416</v>
      </c>
      <c r="K1398" s="7">
        <v>6.2500000000000001E-5</v>
      </c>
      <c r="L1398" s="9">
        <v>4017.78</v>
      </c>
      <c r="M1398" s="9">
        <v>4017.78</v>
      </c>
      <c r="N1398" s="9">
        <v>2.21</v>
      </c>
      <c r="O1398" s="10">
        <f>IF(AND(OR(H1398="APPROVED",H1398="SCHEDULED"),COUNTIFS(tblSource[EventID],F1398,tblSource[ReleaseStatus],"APPROVED")=1,COUNTIFS(Period_Status!$A$2:$A$8,G1398,Period_Status!$B$2:$B$8,"ActualClosed")=1,C1398&gt;EOMONTH(Settlement_Bridge!$C$2,0)),1,0)</f>
        <v>0</v>
      </c>
      <c r="P1398" s="2" t="s">
        <v>4001</v>
      </c>
    </row>
    <row r="1399" spans="1:16" x14ac:dyDescent="0.25">
      <c r="A1399" s="2" t="s">
        <v>4002</v>
      </c>
      <c r="B1399" s="2" t="s">
        <v>199</v>
      </c>
      <c r="C1399" s="8">
        <v>46226</v>
      </c>
      <c r="D1399" s="6">
        <v>46204</v>
      </c>
      <c r="E1399" s="2" t="s">
        <v>260</v>
      </c>
      <c r="F1399" s="2" t="s">
        <v>4000</v>
      </c>
      <c r="G1399" s="6">
        <v>46174</v>
      </c>
      <c r="H1399" s="2" t="s">
        <v>71</v>
      </c>
      <c r="I1399" s="2" t="s">
        <v>76</v>
      </c>
      <c r="J1399" s="9">
        <v>96426624</v>
      </c>
      <c r="K1399" s="7">
        <v>6.2000000000000003E-5</v>
      </c>
      <c r="L1399" s="9">
        <v>5978.45</v>
      </c>
      <c r="M1399" s="9">
        <v>6026.66</v>
      </c>
      <c r="N1399" s="9">
        <v>3.29</v>
      </c>
      <c r="O1399" s="10">
        <f>IF(AND(OR(H1399="APPROVED",H1399="SCHEDULED"),COUNTIFS(tblSource[EventID],F1399,tblSource[ReleaseStatus],"APPROVED")=1,COUNTIFS(Period_Status!$A$2:$A$8,G1399,Period_Status!$B$2:$B$8,"ActualClosed")=1,C1399&gt;EOMONTH(Settlement_Bridge!$C$2,0)),1,0)</f>
        <v>0</v>
      </c>
      <c r="P1399" s="2" t="s">
        <v>4003</v>
      </c>
    </row>
    <row r="1400" spans="1:16" x14ac:dyDescent="0.25">
      <c r="A1400" s="2" t="s">
        <v>4004</v>
      </c>
      <c r="B1400" s="2" t="s">
        <v>199</v>
      </c>
      <c r="C1400" s="8">
        <v>46202</v>
      </c>
      <c r="D1400" s="6">
        <v>46174</v>
      </c>
      <c r="E1400" s="2" t="s">
        <v>260</v>
      </c>
      <c r="F1400" s="2" t="s">
        <v>4005</v>
      </c>
      <c r="G1400" s="6">
        <v>46174</v>
      </c>
      <c r="H1400" s="2" t="s">
        <v>71</v>
      </c>
      <c r="I1400" s="2" t="s">
        <v>70</v>
      </c>
      <c r="J1400" s="9">
        <v>6145.8345859999999</v>
      </c>
      <c r="K1400" s="7">
        <v>0.66500000000000004</v>
      </c>
      <c r="L1400" s="9">
        <v>4086.98</v>
      </c>
      <c r="M1400" s="9">
        <v>4086.98</v>
      </c>
      <c r="N1400" s="9">
        <v>2.25</v>
      </c>
      <c r="O1400" s="10">
        <f>IF(AND(OR(H1400="APPROVED",H1400="SCHEDULED"),COUNTIFS(tblSource[EventID],F1400,tblSource[ReleaseStatus],"APPROVED")=1,COUNTIFS(Period_Status!$A$2:$A$8,G1400,Period_Status!$B$2:$B$8,"ActualClosed")=1,C1400&gt;EOMONTH(Settlement_Bridge!$C$2,0)),1,0)</f>
        <v>0</v>
      </c>
      <c r="P1400" s="2" t="s">
        <v>4006</v>
      </c>
    </row>
    <row r="1401" spans="1:16" x14ac:dyDescent="0.25">
      <c r="A1401" s="2" t="s">
        <v>4007</v>
      </c>
      <c r="B1401" s="2" t="s">
        <v>199</v>
      </c>
      <c r="C1401" s="8">
        <v>46227</v>
      </c>
      <c r="D1401" s="6">
        <v>46204</v>
      </c>
      <c r="E1401" s="2" t="s">
        <v>260</v>
      </c>
      <c r="F1401" s="2" t="s">
        <v>4005</v>
      </c>
      <c r="G1401" s="6">
        <v>46174</v>
      </c>
      <c r="H1401" s="2" t="s">
        <v>71</v>
      </c>
      <c r="I1401" s="2" t="s">
        <v>70</v>
      </c>
      <c r="J1401" s="9">
        <v>9218.7518799999998</v>
      </c>
      <c r="K1401" s="7">
        <v>0.65800000000000003</v>
      </c>
      <c r="L1401" s="9">
        <v>6065.94</v>
      </c>
      <c r="M1401" s="9">
        <v>6130.47</v>
      </c>
      <c r="N1401" s="9">
        <v>3.34</v>
      </c>
      <c r="O1401" s="10">
        <f>IF(AND(OR(H1401="APPROVED",H1401="SCHEDULED"),COUNTIFS(tblSource[EventID],F1401,tblSource[ReleaseStatus],"APPROVED")=1,COUNTIFS(Period_Status!$A$2:$A$8,G1401,Period_Status!$B$2:$B$8,"ActualClosed")=1,C1401&gt;EOMONTH(Settlement_Bridge!$C$2,0)),1,0)</f>
        <v>0</v>
      </c>
      <c r="P1401" s="2" t="s">
        <v>4008</v>
      </c>
    </row>
    <row r="1402" spans="1:16" x14ac:dyDescent="0.25">
      <c r="A1402" s="2" t="s">
        <v>4009</v>
      </c>
      <c r="B1402" s="2" t="s">
        <v>199</v>
      </c>
      <c r="C1402" s="8">
        <v>46213</v>
      </c>
      <c r="D1402" s="6">
        <v>46204</v>
      </c>
      <c r="E1402" s="2" t="s">
        <v>260</v>
      </c>
      <c r="F1402" s="2" t="s">
        <v>4010</v>
      </c>
      <c r="G1402" s="6">
        <v>46174</v>
      </c>
      <c r="H1402" s="2" t="s">
        <v>71</v>
      </c>
      <c r="I1402" s="2" t="s">
        <v>39</v>
      </c>
      <c r="J1402" s="9">
        <v>10390.459999999999</v>
      </c>
      <c r="K1402" s="7">
        <v>1</v>
      </c>
      <c r="L1402" s="9">
        <v>10390.459999999999</v>
      </c>
      <c r="M1402" s="9">
        <v>10390.459999999999</v>
      </c>
      <c r="N1402" s="9">
        <v>5.71</v>
      </c>
      <c r="O1402" s="10">
        <f>IF(AND(OR(H1402="APPROVED",H1402="SCHEDULED"),COUNTIFS(tblSource[EventID],F1402,tblSource[ReleaseStatus],"APPROVED")=1,COUNTIFS(Period_Status!$A$2:$A$8,G1402,Period_Status!$B$2:$B$8,"ActualClosed")=1,C1402&gt;EOMONTH(Settlement_Bridge!$C$2,0)),1,0)</f>
        <v>0</v>
      </c>
      <c r="P1402" s="2" t="s">
        <v>4011</v>
      </c>
    </row>
    <row r="1403" spans="1:16" x14ac:dyDescent="0.25">
      <c r="A1403" s="2" t="s">
        <v>4012</v>
      </c>
      <c r="B1403" s="2" t="s">
        <v>199</v>
      </c>
      <c r="C1403" s="8">
        <v>46214</v>
      </c>
      <c r="D1403" s="6">
        <v>46204</v>
      </c>
      <c r="E1403" s="2" t="s">
        <v>260</v>
      </c>
      <c r="F1403" s="2" t="s">
        <v>4013</v>
      </c>
      <c r="G1403" s="6">
        <v>46174</v>
      </c>
      <c r="H1403" s="2" t="s">
        <v>71</v>
      </c>
      <c r="I1403" s="2" t="s">
        <v>76</v>
      </c>
      <c r="J1403" s="9">
        <v>169015520</v>
      </c>
      <c r="K1403" s="7">
        <v>6.2000000000000003E-5</v>
      </c>
      <c r="L1403" s="9">
        <v>10478.959999999999</v>
      </c>
      <c r="M1403" s="9">
        <v>10563.47</v>
      </c>
      <c r="N1403" s="9">
        <v>5.76</v>
      </c>
      <c r="O1403" s="10">
        <f>IF(AND(OR(H1403="APPROVED",H1403="SCHEDULED"),COUNTIFS(tblSource[EventID],F1403,tblSource[ReleaseStatus],"APPROVED")=1,COUNTIFS(Period_Status!$A$2:$A$8,G1403,Period_Status!$B$2:$B$8,"ActualClosed")=1,C1403&gt;EOMONTH(Settlement_Bridge!$C$2,0)),1,0)</f>
        <v>0</v>
      </c>
      <c r="P1403" s="2" t="s">
        <v>4014</v>
      </c>
    </row>
    <row r="1404" spans="1:16" x14ac:dyDescent="0.25">
      <c r="A1404" s="2" t="s">
        <v>4015</v>
      </c>
      <c r="B1404" s="2" t="s">
        <v>199</v>
      </c>
      <c r="C1404" s="8">
        <v>46205</v>
      </c>
      <c r="D1404" s="6">
        <v>46204</v>
      </c>
      <c r="E1404" s="2" t="s">
        <v>260</v>
      </c>
      <c r="F1404" s="2" t="s">
        <v>4016</v>
      </c>
      <c r="G1404" s="6">
        <v>46174</v>
      </c>
      <c r="H1404" s="2" t="s">
        <v>71</v>
      </c>
      <c r="I1404" s="2" t="s">
        <v>70</v>
      </c>
      <c r="J1404" s="9">
        <v>6458.0330830000003</v>
      </c>
      <c r="K1404" s="7">
        <v>0.65800000000000003</v>
      </c>
      <c r="L1404" s="9">
        <v>4249.3900000000003</v>
      </c>
      <c r="M1404" s="9">
        <v>4294.59</v>
      </c>
      <c r="N1404" s="9">
        <v>2.34</v>
      </c>
      <c r="O1404" s="10">
        <f>IF(AND(OR(H1404="APPROVED",H1404="SCHEDULED"),COUNTIFS(tblSource[EventID],F1404,tblSource[ReleaseStatus],"APPROVED")=1,COUNTIFS(Period_Status!$A$2:$A$8,G1404,Period_Status!$B$2:$B$8,"ActualClosed")=1,C1404&gt;EOMONTH(Settlement_Bridge!$C$2,0)),1,0)</f>
        <v>0</v>
      </c>
      <c r="P1404" s="2" t="s">
        <v>4017</v>
      </c>
    </row>
    <row r="1405" spans="1:16" x14ac:dyDescent="0.25">
      <c r="A1405" s="2" t="s">
        <v>4018</v>
      </c>
      <c r="B1405" s="2" t="s">
        <v>199</v>
      </c>
      <c r="C1405" s="8">
        <v>46230</v>
      </c>
      <c r="D1405" s="6">
        <v>46204</v>
      </c>
      <c r="E1405" s="2" t="s">
        <v>260</v>
      </c>
      <c r="F1405" s="2" t="s">
        <v>4016</v>
      </c>
      <c r="G1405" s="6">
        <v>46174</v>
      </c>
      <c r="H1405" s="2" t="s">
        <v>71</v>
      </c>
      <c r="I1405" s="2" t="s">
        <v>70</v>
      </c>
      <c r="J1405" s="9">
        <v>9687.0496239999993</v>
      </c>
      <c r="K1405" s="7">
        <v>0.65800000000000003</v>
      </c>
      <c r="L1405" s="9">
        <v>6374.08</v>
      </c>
      <c r="M1405" s="9">
        <v>6441.89</v>
      </c>
      <c r="N1405" s="9">
        <v>3.51</v>
      </c>
      <c r="O1405" s="10">
        <f>IF(AND(OR(H1405="APPROVED",H1405="SCHEDULED"),COUNTIFS(tblSource[EventID],F1405,tblSource[ReleaseStatus],"APPROVED")=1,COUNTIFS(Period_Status!$A$2:$A$8,G1405,Period_Status!$B$2:$B$8,"ActualClosed")=1,C1405&gt;EOMONTH(Settlement_Bridge!$C$2,0)),1,0)</f>
        <v>0</v>
      </c>
      <c r="P1405" s="2" t="s">
        <v>4019</v>
      </c>
    </row>
    <row r="1406" spans="1:16" x14ac:dyDescent="0.25">
      <c r="A1406" s="2" t="s">
        <v>4020</v>
      </c>
      <c r="B1406" s="2" t="s">
        <v>199</v>
      </c>
      <c r="C1406" s="8">
        <v>46216</v>
      </c>
      <c r="D1406" s="6">
        <v>46204</v>
      </c>
      <c r="E1406" s="2" t="s">
        <v>260</v>
      </c>
      <c r="F1406" s="2" t="s">
        <v>4021</v>
      </c>
      <c r="G1406" s="6">
        <v>46174</v>
      </c>
      <c r="H1406" s="2" t="s">
        <v>71</v>
      </c>
      <c r="I1406" s="2" t="s">
        <v>39</v>
      </c>
      <c r="J1406" s="9">
        <v>10909.49</v>
      </c>
      <c r="K1406" s="7">
        <v>1</v>
      </c>
      <c r="L1406" s="9">
        <v>10909.49</v>
      </c>
      <c r="M1406" s="9">
        <v>10909.49</v>
      </c>
      <c r="N1406" s="9">
        <v>6</v>
      </c>
      <c r="O1406" s="10">
        <f>IF(AND(OR(H1406="APPROVED",H1406="SCHEDULED"),COUNTIFS(tblSource[EventID],F1406,tblSource[ReleaseStatus],"APPROVED")=1,COUNTIFS(Period_Status!$A$2:$A$8,G1406,Period_Status!$B$2:$B$8,"ActualClosed")=1,C1406&gt;EOMONTH(Settlement_Bridge!$C$2,0)),1,0)</f>
        <v>0</v>
      </c>
      <c r="P1406" s="2" t="s">
        <v>4022</v>
      </c>
    </row>
    <row r="1407" spans="1:16" x14ac:dyDescent="0.25">
      <c r="A1407" s="2" t="s">
        <v>4023</v>
      </c>
      <c r="B1407" s="2" t="s">
        <v>199</v>
      </c>
      <c r="C1407" s="8">
        <v>46217</v>
      </c>
      <c r="D1407" s="6">
        <v>46204</v>
      </c>
      <c r="E1407" s="2" t="s">
        <v>260</v>
      </c>
      <c r="F1407" s="2" t="s">
        <v>4024</v>
      </c>
      <c r="G1407" s="6">
        <v>46174</v>
      </c>
      <c r="H1407" s="2" t="s">
        <v>71</v>
      </c>
      <c r="I1407" s="2" t="s">
        <v>76</v>
      </c>
      <c r="J1407" s="9">
        <v>177320000</v>
      </c>
      <c r="K1407" s="7">
        <v>6.2000000000000003E-5</v>
      </c>
      <c r="L1407" s="9">
        <v>10993.84</v>
      </c>
      <c r="M1407" s="9">
        <v>11082.5</v>
      </c>
      <c r="N1407" s="9">
        <v>6.05</v>
      </c>
      <c r="O1407" s="10">
        <f>IF(AND(OR(H1407="APPROVED",H1407="SCHEDULED"),COUNTIFS(tblSource[EventID],F1407,tblSource[ReleaseStatus],"APPROVED")=1,COUNTIFS(Period_Status!$A$2:$A$8,G1407,Period_Status!$B$2:$B$8,"ActualClosed")=1,C1407&gt;EOMONTH(Settlement_Bridge!$C$2,0)),1,0)</f>
        <v>0</v>
      </c>
      <c r="P1407" s="2" t="s">
        <v>4025</v>
      </c>
    </row>
    <row r="1408" spans="1:16" x14ac:dyDescent="0.25">
      <c r="A1408" s="2" t="s">
        <v>4026</v>
      </c>
      <c r="B1408" s="2" t="s">
        <v>199</v>
      </c>
      <c r="C1408" s="8">
        <v>46218</v>
      </c>
      <c r="D1408" s="6">
        <v>46204</v>
      </c>
      <c r="E1408" s="2" t="s">
        <v>260</v>
      </c>
      <c r="F1408" s="2" t="s">
        <v>4027</v>
      </c>
      <c r="G1408" s="6">
        <v>46174</v>
      </c>
      <c r="H1408" s="2" t="s">
        <v>71</v>
      </c>
      <c r="I1408" s="2" t="s">
        <v>70</v>
      </c>
      <c r="J1408" s="9">
        <v>16925.578947000002</v>
      </c>
      <c r="K1408" s="7">
        <v>0.65800000000000003</v>
      </c>
      <c r="L1408" s="9">
        <v>11137.03</v>
      </c>
      <c r="M1408" s="9">
        <v>11255.51</v>
      </c>
      <c r="N1408" s="9">
        <v>6.13</v>
      </c>
      <c r="O1408" s="10">
        <f>IF(AND(OR(H1408="APPROVED",H1408="SCHEDULED"),COUNTIFS(tblSource[EventID],F1408,tblSource[ReleaseStatus],"APPROVED")=1,COUNTIFS(Period_Status!$A$2:$A$8,G1408,Period_Status!$B$2:$B$8,"ActualClosed")=1,C1408&gt;EOMONTH(Settlement_Bridge!$C$2,0)),1,0)</f>
        <v>0</v>
      </c>
      <c r="P1408" s="2" t="s">
        <v>4028</v>
      </c>
    </row>
    <row r="1409" spans="1:16" x14ac:dyDescent="0.25">
      <c r="A1409" s="2" t="s">
        <v>4029</v>
      </c>
      <c r="B1409" s="2" t="s">
        <v>199</v>
      </c>
      <c r="C1409" s="8">
        <v>46219</v>
      </c>
      <c r="D1409" s="6">
        <v>46204</v>
      </c>
      <c r="E1409" s="2" t="s">
        <v>260</v>
      </c>
      <c r="F1409" s="2" t="s">
        <v>4030</v>
      </c>
      <c r="G1409" s="6">
        <v>46174</v>
      </c>
      <c r="H1409" s="2" t="s">
        <v>71</v>
      </c>
      <c r="I1409" s="2" t="s">
        <v>39</v>
      </c>
      <c r="J1409" s="9">
        <v>11428.52</v>
      </c>
      <c r="K1409" s="7">
        <v>1</v>
      </c>
      <c r="L1409" s="9">
        <v>11428.52</v>
      </c>
      <c r="M1409" s="9">
        <v>11428.52</v>
      </c>
      <c r="N1409" s="9">
        <v>6.29</v>
      </c>
      <c r="O1409" s="10">
        <f>IF(AND(OR(H1409="APPROVED",H1409="SCHEDULED"),COUNTIFS(tblSource[EventID],F1409,tblSource[ReleaseStatus],"APPROVED")=1,COUNTIFS(Period_Status!$A$2:$A$8,G1409,Period_Status!$B$2:$B$8,"ActualClosed")=1,C1409&gt;EOMONTH(Settlement_Bridge!$C$2,0)),1,0)</f>
        <v>0</v>
      </c>
      <c r="P1409" s="2" t="s">
        <v>4031</v>
      </c>
    </row>
    <row r="1410" spans="1:16" x14ac:dyDescent="0.25">
      <c r="A1410" s="2" t="s">
        <v>4032</v>
      </c>
      <c r="B1410" s="2" t="s">
        <v>199</v>
      </c>
      <c r="C1410" s="8">
        <v>46220</v>
      </c>
      <c r="D1410" s="6">
        <v>46204</v>
      </c>
      <c r="E1410" s="2" t="s">
        <v>260</v>
      </c>
      <c r="F1410" s="2" t="s">
        <v>4033</v>
      </c>
      <c r="G1410" s="6">
        <v>46174</v>
      </c>
      <c r="H1410" s="2" t="s">
        <v>71</v>
      </c>
      <c r="I1410" s="2" t="s">
        <v>76</v>
      </c>
      <c r="J1410" s="9">
        <v>185624480</v>
      </c>
      <c r="K1410" s="7">
        <v>6.2000000000000003E-5</v>
      </c>
      <c r="L1410" s="9">
        <v>11508.72</v>
      </c>
      <c r="M1410" s="9">
        <v>11601.53</v>
      </c>
      <c r="N1410" s="9">
        <v>6.33</v>
      </c>
      <c r="O1410" s="10">
        <f>IF(AND(OR(H1410="APPROVED",H1410="SCHEDULED"),COUNTIFS(tblSource[EventID],F1410,tblSource[ReleaseStatus],"APPROVED")=1,COUNTIFS(Period_Status!$A$2:$A$8,G1410,Period_Status!$B$2:$B$8,"ActualClosed")=1,C1410&gt;EOMONTH(Settlement_Bridge!$C$2,0)),1,0)</f>
        <v>0</v>
      </c>
      <c r="P1410" s="2" t="s">
        <v>4034</v>
      </c>
    </row>
    <row r="1411" spans="1:16" x14ac:dyDescent="0.25">
      <c r="A1411" s="2" t="s">
        <v>4035</v>
      </c>
      <c r="B1411" s="2" t="s">
        <v>199</v>
      </c>
      <c r="C1411" s="8">
        <v>46211</v>
      </c>
      <c r="D1411" s="6">
        <v>46204</v>
      </c>
      <c r="E1411" s="2" t="s">
        <v>260</v>
      </c>
      <c r="F1411" s="2" t="s">
        <v>4036</v>
      </c>
      <c r="G1411" s="6">
        <v>46174</v>
      </c>
      <c r="H1411" s="2" t="s">
        <v>71</v>
      </c>
      <c r="I1411" s="2" t="s">
        <v>70</v>
      </c>
      <c r="J1411" s="9">
        <v>7082.4300750000002</v>
      </c>
      <c r="K1411" s="7">
        <v>0.65800000000000003</v>
      </c>
      <c r="L1411" s="9">
        <v>4660.24</v>
      </c>
      <c r="M1411" s="9">
        <v>4709.82</v>
      </c>
      <c r="N1411" s="9">
        <v>2.56</v>
      </c>
      <c r="O1411" s="10">
        <f>IF(AND(OR(H1411="APPROVED",H1411="SCHEDULED"),COUNTIFS(tblSource[EventID],F1411,tblSource[ReleaseStatus],"APPROVED")=1,COUNTIFS(Period_Status!$A$2:$A$8,G1411,Period_Status!$B$2:$B$8,"ActualClosed")=1,C1411&gt;EOMONTH(Settlement_Bridge!$C$2,0)),1,0)</f>
        <v>0</v>
      </c>
      <c r="P1411" s="2" t="s">
        <v>4037</v>
      </c>
    </row>
    <row r="1412" spans="1:16" x14ac:dyDescent="0.25">
      <c r="A1412" s="2" t="s">
        <v>4038</v>
      </c>
      <c r="B1412" s="2" t="s">
        <v>199</v>
      </c>
      <c r="C1412" s="8">
        <v>46236</v>
      </c>
      <c r="D1412" s="6">
        <v>46235</v>
      </c>
      <c r="E1412" s="2" t="s">
        <v>260</v>
      </c>
      <c r="F1412" s="2" t="s">
        <v>4036</v>
      </c>
      <c r="G1412" s="6">
        <v>46174</v>
      </c>
      <c r="H1412" s="2" t="s">
        <v>71</v>
      </c>
      <c r="I1412" s="2" t="s">
        <v>70</v>
      </c>
      <c r="J1412" s="9">
        <v>10623.645113</v>
      </c>
      <c r="K1412" s="7">
        <v>0.65</v>
      </c>
      <c r="L1412" s="9">
        <v>6905.37</v>
      </c>
      <c r="M1412" s="9">
        <v>7064.72</v>
      </c>
      <c r="N1412" s="9">
        <v>3.8</v>
      </c>
      <c r="O1412" s="10">
        <f>IF(AND(OR(H1412="APPROVED",H1412="SCHEDULED"),COUNTIFS(tblSource[EventID],F1412,tblSource[ReleaseStatus],"APPROVED")=1,COUNTIFS(Period_Status!$A$2:$A$8,G1412,Period_Status!$B$2:$B$8,"ActualClosed")=1,C1412&gt;EOMONTH(Settlement_Bridge!$C$2,0)),1,0)</f>
        <v>1</v>
      </c>
      <c r="P1412" s="2" t="s">
        <v>4039</v>
      </c>
    </row>
    <row r="1413" spans="1:16" x14ac:dyDescent="0.25">
      <c r="A1413" s="2" t="s">
        <v>4040</v>
      </c>
      <c r="B1413" s="2" t="s">
        <v>199</v>
      </c>
      <c r="C1413" s="8">
        <v>46212</v>
      </c>
      <c r="D1413" s="6">
        <v>46204</v>
      </c>
      <c r="E1413" s="2" t="s">
        <v>260</v>
      </c>
      <c r="F1413" s="2" t="s">
        <v>4041</v>
      </c>
      <c r="G1413" s="6">
        <v>46174</v>
      </c>
      <c r="H1413" s="2" t="s">
        <v>71</v>
      </c>
      <c r="I1413" s="2" t="s">
        <v>39</v>
      </c>
      <c r="J1413" s="9">
        <v>4779.0200000000004</v>
      </c>
      <c r="K1413" s="7">
        <v>1</v>
      </c>
      <c r="L1413" s="9">
        <v>4779.0200000000004</v>
      </c>
      <c r="M1413" s="9">
        <v>4779.0200000000004</v>
      </c>
      <c r="N1413" s="9">
        <v>2.63</v>
      </c>
      <c r="O1413" s="10">
        <f>IF(AND(OR(H1413="APPROVED",H1413="SCHEDULED"),COUNTIFS(tblSource[EventID],F1413,tblSource[ReleaseStatus],"APPROVED")=1,COUNTIFS(Period_Status!$A$2:$A$8,G1413,Period_Status!$B$2:$B$8,"ActualClosed")=1,C1413&gt;EOMONTH(Settlement_Bridge!$C$2,0)),1,0)</f>
        <v>0</v>
      </c>
      <c r="P1413" s="2" t="s">
        <v>4042</v>
      </c>
    </row>
    <row r="1414" spans="1:16" x14ac:dyDescent="0.25">
      <c r="A1414" s="2" t="s">
        <v>4043</v>
      </c>
      <c r="B1414" s="2" t="s">
        <v>199</v>
      </c>
      <c r="C1414" s="8">
        <v>46237</v>
      </c>
      <c r="D1414" s="6">
        <v>46235</v>
      </c>
      <c r="E1414" s="2" t="s">
        <v>260</v>
      </c>
      <c r="F1414" s="2" t="s">
        <v>4041</v>
      </c>
      <c r="G1414" s="6">
        <v>46174</v>
      </c>
      <c r="H1414" s="2" t="s">
        <v>71</v>
      </c>
      <c r="I1414" s="2" t="s">
        <v>39</v>
      </c>
      <c r="J1414" s="9">
        <v>7168.53</v>
      </c>
      <c r="K1414" s="7">
        <v>1</v>
      </c>
      <c r="L1414" s="9">
        <v>7168.53</v>
      </c>
      <c r="M1414" s="9">
        <v>7168.53</v>
      </c>
      <c r="N1414" s="9">
        <v>3.94</v>
      </c>
      <c r="O1414" s="10">
        <f>IF(AND(OR(H1414="APPROVED",H1414="SCHEDULED"),COUNTIFS(tblSource[EventID],F1414,tblSource[ReleaseStatus],"APPROVED")=1,COUNTIFS(Period_Status!$A$2:$A$8,G1414,Period_Status!$B$2:$B$8,"ActualClosed")=1,C1414&gt;EOMONTH(Settlement_Bridge!$C$2,0)),1,0)</f>
        <v>1</v>
      </c>
      <c r="P1414" s="2" t="s">
        <v>4044</v>
      </c>
    </row>
    <row r="1415" spans="1:16" x14ac:dyDescent="0.25">
      <c r="A1415" s="2" t="s">
        <v>4045</v>
      </c>
      <c r="B1415" s="2" t="s">
        <v>199</v>
      </c>
      <c r="C1415" s="8">
        <v>46223</v>
      </c>
      <c r="D1415" s="6">
        <v>46204</v>
      </c>
      <c r="E1415" s="2" t="s">
        <v>260</v>
      </c>
      <c r="F1415" s="2" t="s">
        <v>4046</v>
      </c>
      <c r="G1415" s="6">
        <v>46174</v>
      </c>
      <c r="H1415" s="2" t="s">
        <v>71</v>
      </c>
      <c r="I1415" s="2" t="s">
        <v>76</v>
      </c>
      <c r="J1415" s="9">
        <v>193928960</v>
      </c>
      <c r="K1415" s="7">
        <v>6.2000000000000003E-5</v>
      </c>
      <c r="L1415" s="9">
        <v>12023.6</v>
      </c>
      <c r="M1415" s="9">
        <v>12120.56</v>
      </c>
      <c r="N1415" s="9">
        <v>6.61</v>
      </c>
      <c r="O1415" s="10">
        <f>IF(AND(OR(H1415="APPROVED",H1415="SCHEDULED"),COUNTIFS(tblSource[EventID],F1415,tblSource[ReleaseStatus],"APPROVED")=1,COUNTIFS(Period_Status!$A$2:$A$8,G1415,Period_Status!$B$2:$B$8,"ActualClosed")=1,C1415&gt;EOMONTH(Settlement_Bridge!$C$2,0)),1,0)</f>
        <v>0</v>
      </c>
      <c r="P1415" s="2" t="s">
        <v>4047</v>
      </c>
    </row>
    <row r="1416" spans="1:16" x14ac:dyDescent="0.25">
      <c r="A1416" s="2" t="s">
        <v>4048</v>
      </c>
      <c r="B1416" s="2" t="s">
        <v>199</v>
      </c>
      <c r="C1416" s="8">
        <v>46224</v>
      </c>
      <c r="D1416" s="6">
        <v>46204</v>
      </c>
      <c r="E1416" s="2" t="s">
        <v>260</v>
      </c>
      <c r="F1416" s="2" t="s">
        <v>4049</v>
      </c>
      <c r="G1416" s="6">
        <v>46174</v>
      </c>
      <c r="H1416" s="2" t="s">
        <v>71</v>
      </c>
      <c r="I1416" s="2" t="s">
        <v>70</v>
      </c>
      <c r="J1416" s="9">
        <v>18486.571429</v>
      </c>
      <c r="K1416" s="7">
        <v>0.65800000000000003</v>
      </c>
      <c r="L1416" s="9">
        <v>12164.16</v>
      </c>
      <c r="M1416" s="9">
        <v>12293.57</v>
      </c>
      <c r="N1416" s="9">
        <v>6.69</v>
      </c>
      <c r="O1416" s="10">
        <f>IF(AND(OR(H1416="APPROVED",H1416="SCHEDULED"),COUNTIFS(tblSource[EventID],F1416,tblSource[ReleaseStatus],"APPROVED")=1,COUNTIFS(Period_Status!$A$2:$A$8,G1416,Period_Status!$B$2:$B$8,"ActualClosed")=1,C1416&gt;EOMONTH(Settlement_Bridge!$C$2,0)),1,0)</f>
        <v>0</v>
      </c>
      <c r="P1416" s="2" t="s">
        <v>4050</v>
      </c>
    </row>
    <row r="1417" spans="1:16" x14ac:dyDescent="0.25">
      <c r="A1417" s="2" t="s">
        <v>4051</v>
      </c>
      <c r="B1417" s="2" t="s">
        <v>199</v>
      </c>
      <c r="C1417" s="8">
        <v>46215</v>
      </c>
      <c r="D1417" s="6">
        <v>46204</v>
      </c>
      <c r="E1417" s="2" t="s">
        <v>260</v>
      </c>
      <c r="F1417" s="2" t="s">
        <v>4052</v>
      </c>
      <c r="G1417" s="6">
        <v>46174</v>
      </c>
      <c r="H1417" s="2" t="s">
        <v>71</v>
      </c>
      <c r="I1417" s="2" t="s">
        <v>39</v>
      </c>
      <c r="J1417" s="9">
        <v>4986.6319999999996</v>
      </c>
      <c r="K1417" s="7">
        <v>1</v>
      </c>
      <c r="L1417" s="9">
        <v>4986.63</v>
      </c>
      <c r="M1417" s="9">
        <v>4986.63</v>
      </c>
      <c r="N1417" s="9">
        <v>2.74</v>
      </c>
      <c r="O1417" s="10">
        <f>IF(AND(OR(H1417="APPROVED",H1417="SCHEDULED"),COUNTIFS(tblSource[EventID],F1417,tblSource[ReleaseStatus],"APPROVED")=1,COUNTIFS(Period_Status!$A$2:$A$8,G1417,Period_Status!$B$2:$B$8,"ActualClosed")=1,C1417&gt;EOMONTH(Settlement_Bridge!$C$2,0)),1,0)</f>
        <v>0</v>
      </c>
      <c r="P1417" s="2" t="s">
        <v>4053</v>
      </c>
    </row>
    <row r="1418" spans="1:16" x14ac:dyDescent="0.25">
      <c r="A1418" s="2" t="s">
        <v>4054</v>
      </c>
      <c r="B1418" s="2" t="s">
        <v>199</v>
      </c>
      <c r="C1418" s="8">
        <v>46240</v>
      </c>
      <c r="D1418" s="6">
        <v>46235</v>
      </c>
      <c r="E1418" s="2" t="s">
        <v>260</v>
      </c>
      <c r="F1418" s="2" t="s">
        <v>4052</v>
      </c>
      <c r="G1418" s="6">
        <v>46174</v>
      </c>
      <c r="H1418" s="2" t="s">
        <v>71</v>
      </c>
      <c r="I1418" s="2" t="s">
        <v>39</v>
      </c>
      <c r="J1418" s="9">
        <v>7479.9480000000003</v>
      </c>
      <c r="K1418" s="7">
        <v>1</v>
      </c>
      <c r="L1418" s="9">
        <v>7479.95</v>
      </c>
      <c r="M1418" s="9">
        <v>7479.95</v>
      </c>
      <c r="N1418" s="9">
        <v>4.1100000000000003</v>
      </c>
      <c r="O1418" s="10">
        <f>IF(AND(OR(H1418="APPROVED",H1418="SCHEDULED"),COUNTIFS(tblSource[EventID],F1418,tblSource[ReleaseStatus],"APPROVED")=1,COUNTIFS(Period_Status!$A$2:$A$8,G1418,Period_Status!$B$2:$B$8,"ActualClosed")=1,C1418&gt;EOMONTH(Settlement_Bridge!$C$2,0)),1,0)</f>
        <v>1</v>
      </c>
      <c r="P1418" s="2" t="s">
        <v>4055</v>
      </c>
    </row>
    <row r="1419" spans="1:16" x14ac:dyDescent="0.25">
      <c r="A1419" s="2" t="s">
        <v>4056</v>
      </c>
      <c r="B1419" s="2" t="s">
        <v>199</v>
      </c>
      <c r="C1419" s="8">
        <v>46226</v>
      </c>
      <c r="D1419" s="6">
        <v>46204</v>
      </c>
      <c r="E1419" s="2" t="s">
        <v>260</v>
      </c>
      <c r="F1419" s="2" t="s">
        <v>4057</v>
      </c>
      <c r="G1419" s="6">
        <v>46174</v>
      </c>
      <c r="H1419" s="2" t="s">
        <v>71</v>
      </c>
      <c r="I1419" s="2" t="s">
        <v>76</v>
      </c>
      <c r="J1419" s="9">
        <v>202233440</v>
      </c>
      <c r="K1419" s="7">
        <v>6.2000000000000003E-5</v>
      </c>
      <c r="L1419" s="9">
        <v>12538.47</v>
      </c>
      <c r="M1419" s="9">
        <v>12639.59</v>
      </c>
      <c r="N1419" s="9">
        <v>6.9</v>
      </c>
      <c r="O1419" s="10">
        <f>IF(AND(OR(H1419="APPROVED",H1419="SCHEDULED"),COUNTIFS(tblSource[EventID],F1419,tblSource[ReleaseStatus],"APPROVED")=1,COUNTIFS(Period_Status!$A$2:$A$8,G1419,Period_Status!$B$2:$B$8,"ActualClosed")=1,C1419&gt;EOMONTH(Settlement_Bridge!$C$2,0)),1,0)</f>
        <v>0</v>
      </c>
      <c r="P1419" s="2" t="s">
        <v>4058</v>
      </c>
    </row>
    <row r="1420" spans="1:16" x14ac:dyDescent="0.25">
      <c r="A1420" s="2" t="s">
        <v>4059</v>
      </c>
      <c r="B1420" s="2" t="s">
        <v>199</v>
      </c>
      <c r="C1420" s="8">
        <v>46227</v>
      </c>
      <c r="D1420" s="6">
        <v>46204</v>
      </c>
      <c r="E1420" s="2" t="s">
        <v>260</v>
      </c>
      <c r="F1420" s="2" t="s">
        <v>4060</v>
      </c>
      <c r="G1420" s="6">
        <v>46174</v>
      </c>
      <c r="H1420" s="2" t="s">
        <v>71</v>
      </c>
      <c r="I1420" s="2" t="s">
        <v>70</v>
      </c>
      <c r="J1420" s="9">
        <v>19267.067669</v>
      </c>
      <c r="K1420" s="7">
        <v>0.65800000000000003</v>
      </c>
      <c r="L1420" s="9">
        <v>12677.73</v>
      </c>
      <c r="M1420" s="9">
        <v>12812.6</v>
      </c>
      <c r="N1420" s="9">
        <v>6.97</v>
      </c>
      <c r="O1420" s="10">
        <f>IF(AND(OR(H1420="APPROVED",H1420="SCHEDULED"),COUNTIFS(tblSource[EventID],F1420,tblSource[ReleaseStatus],"APPROVED")=1,COUNTIFS(Period_Status!$A$2:$A$8,G1420,Period_Status!$B$2:$B$8,"ActualClosed")=1,C1420&gt;EOMONTH(Settlement_Bridge!$C$2,0)),1,0)</f>
        <v>0</v>
      </c>
      <c r="P1420" s="2" t="s">
        <v>4061</v>
      </c>
    </row>
    <row r="1421" spans="1:16" x14ac:dyDescent="0.25">
      <c r="A1421" s="2" t="s">
        <v>4062</v>
      </c>
      <c r="B1421" s="2" t="s">
        <v>199</v>
      </c>
      <c r="C1421" s="8">
        <v>46198</v>
      </c>
      <c r="D1421" s="6">
        <v>46174</v>
      </c>
      <c r="E1421" s="2" t="s">
        <v>260</v>
      </c>
      <c r="F1421" s="2" t="s">
        <v>4063</v>
      </c>
      <c r="G1421" s="6">
        <v>46174</v>
      </c>
      <c r="H1421" s="2" t="s">
        <v>71</v>
      </c>
      <c r="I1421" s="2" t="s">
        <v>39</v>
      </c>
      <c r="J1421" s="9">
        <v>12985.61</v>
      </c>
      <c r="K1421" s="7">
        <v>1</v>
      </c>
      <c r="L1421" s="9">
        <v>12985.61</v>
      </c>
      <c r="M1421" s="9">
        <v>12985.61</v>
      </c>
      <c r="N1421" s="9">
        <v>7.14</v>
      </c>
      <c r="O1421" s="10">
        <f>IF(AND(OR(H1421="APPROVED",H1421="SCHEDULED"),COUNTIFS(tblSource[EventID],F1421,tblSource[ReleaseStatus],"APPROVED")=1,COUNTIFS(Period_Status!$A$2:$A$8,G1421,Period_Status!$B$2:$B$8,"ActualClosed")=1,C1421&gt;EOMONTH(Settlement_Bridge!$C$2,0)),1,0)</f>
        <v>0</v>
      </c>
      <c r="P1421" s="2" t="s">
        <v>4064</v>
      </c>
    </row>
    <row r="1422" spans="1:16" x14ac:dyDescent="0.25">
      <c r="A1422" s="2" t="s">
        <v>4065</v>
      </c>
      <c r="B1422" s="2" t="s">
        <v>199</v>
      </c>
      <c r="C1422" s="8">
        <v>46199</v>
      </c>
      <c r="D1422" s="6">
        <v>46174</v>
      </c>
      <c r="E1422" s="2" t="s">
        <v>260</v>
      </c>
      <c r="F1422" s="2" t="s">
        <v>4066</v>
      </c>
      <c r="G1422" s="6">
        <v>46174</v>
      </c>
      <c r="H1422" s="2" t="s">
        <v>71</v>
      </c>
      <c r="I1422" s="2" t="s">
        <v>76</v>
      </c>
      <c r="J1422" s="9">
        <v>210537920</v>
      </c>
      <c r="K1422" s="7">
        <v>6.2500000000000001E-5</v>
      </c>
      <c r="L1422" s="9">
        <v>13158.62</v>
      </c>
      <c r="M1422" s="9">
        <v>13158.62</v>
      </c>
      <c r="N1422" s="9">
        <v>7.24</v>
      </c>
      <c r="O1422" s="10">
        <f>IF(AND(OR(H1422="APPROVED",H1422="SCHEDULED"),COUNTIFS(tblSource[EventID],F1422,tblSource[ReleaseStatus],"APPROVED")=1,COUNTIFS(Period_Status!$A$2:$A$8,G1422,Period_Status!$B$2:$B$8,"ActualClosed")=1,C1422&gt;EOMONTH(Settlement_Bridge!$C$2,0)),1,0)</f>
        <v>0</v>
      </c>
      <c r="P1422" s="2" t="s">
        <v>4067</v>
      </c>
    </row>
    <row r="1423" spans="1:16" x14ac:dyDescent="0.25">
      <c r="A1423" s="2" t="s">
        <v>4068</v>
      </c>
      <c r="B1423" s="2" t="s">
        <v>199</v>
      </c>
      <c r="C1423" s="8">
        <v>46200</v>
      </c>
      <c r="D1423" s="6">
        <v>46174</v>
      </c>
      <c r="E1423" s="2" t="s">
        <v>260</v>
      </c>
      <c r="F1423" s="2" t="s">
        <v>4069</v>
      </c>
      <c r="G1423" s="6">
        <v>46174</v>
      </c>
      <c r="H1423" s="2" t="s">
        <v>71</v>
      </c>
      <c r="I1423" s="2" t="s">
        <v>70</v>
      </c>
      <c r="J1423" s="9">
        <v>20047.563910000001</v>
      </c>
      <c r="K1423" s="7">
        <v>0.66500000000000004</v>
      </c>
      <c r="L1423" s="9">
        <v>13331.63</v>
      </c>
      <c r="M1423" s="9">
        <v>13331.63</v>
      </c>
      <c r="N1423" s="9">
        <v>7.33</v>
      </c>
      <c r="O1423" s="10">
        <f>IF(AND(OR(H1423="APPROVED",H1423="SCHEDULED"),COUNTIFS(tblSource[EventID],F1423,tblSource[ReleaseStatus],"APPROVED")=1,COUNTIFS(Period_Status!$A$2:$A$8,G1423,Period_Status!$B$2:$B$8,"ActualClosed")=1,C1423&gt;EOMONTH(Settlement_Bridge!$C$2,0)),1,0)</f>
        <v>0</v>
      </c>
      <c r="P1423" s="2" t="s">
        <v>4070</v>
      </c>
    </row>
    <row r="1424" spans="1:16" x14ac:dyDescent="0.25">
      <c r="A1424" s="2" t="s">
        <v>4071</v>
      </c>
      <c r="B1424" s="2" t="s">
        <v>199</v>
      </c>
      <c r="C1424" s="8">
        <v>46191</v>
      </c>
      <c r="D1424" s="6">
        <v>46174</v>
      </c>
      <c r="E1424" s="2" t="s">
        <v>260</v>
      </c>
      <c r="F1424" s="2" t="s">
        <v>4072</v>
      </c>
      <c r="G1424" s="6">
        <v>46174</v>
      </c>
      <c r="H1424" s="2" t="s">
        <v>71</v>
      </c>
      <c r="I1424" s="2" t="s">
        <v>39</v>
      </c>
      <c r="J1424" s="9">
        <v>5401.8559999999998</v>
      </c>
      <c r="K1424" s="7">
        <v>1</v>
      </c>
      <c r="L1424" s="9">
        <v>5401.86</v>
      </c>
      <c r="M1424" s="9">
        <v>5401.86</v>
      </c>
      <c r="N1424" s="9">
        <v>2.97</v>
      </c>
      <c r="O1424" s="10">
        <f>IF(AND(OR(H1424="APPROVED",H1424="SCHEDULED"),COUNTIFS(tblSource[EventID],F1424,tblSource[ReleaseStatus],"APPROVED")=1,COUNTIFS(Period_Status!$A$2:$A$8,G1424,Period_Status!$B$2:$B$8,"ActualClosed")=1,C1424&gt;EOMONTH(Settlement_Bridge!$C$2,0)),1,0)</f>
        <v>0</v>
      </c>
      <c r="P1424" s="2" t="s">
        <v>4073</v>
      </c>
    </row>
    <row r="1425" spans="1:16" x14ac:dyDescent="0.25">
      <c r="A1425" s="2" t="s">
        <v>4074</v>
      </c>
      <c r="B1425" s="2" t="s">
        <v>199</v>
      </c>
      <c r="C1425" s="8">
        <v>46216</v>
      </c>
      <c r="D1425" s="6">
        <v>46204</v>
      </c>
      <c r="E1425" s="2" t="s">
        <v>260</v>
      </c>
      <c r="F1425" s="2" t="s">
        <v>4072</v>
      </c>
      <c r="G1425" s="6">
        <v>46174</v>
      </c>
      <c r="H1425" s="2" t="s">
        <v>71</v>
      </c>
      <c r="I1425" s="2" t="s">
        <v>39</v>
      </c>
      <c r="J1425" s="9">
        <v>8102.7839999999997</v>
      </c>
      <c r="K1425" s="7">
        <v>1</v>
      </c>
      <c r="L1425" s="9">
        <v>8102.78</v>
      </c>
      <c r="M1425" s="9">
        <v>8102.78</v>
      </c>
      <c r="N1425" s="9">
        <v>4.46</v>
      </c>
      <c r="O1425" s="10">
        <f>IF(AND(OR(H1425="APPROVED",H1425="SCHEDULED"),COUNTIFS(tblSource[EventID],F1425,tblSource[ReleaseStatus],"APPROVED")=1,COUNTIFS(Period_Status!$A$2:$A$8,G1425,Period_Status!$B$2:$B$8,"ActualClosed")=1,C1425&gt;EOMONTH(Settlement_Bridge!$C$2,0)),1,0)</f>
        <v>0</v>
      </c>
      <c r="P1425" s="2" t="s">
        <v>4075</v>
      </c>
    </row>
    <row r="1426" spans="1:16" x14ac:dyDescent="0.25">
      <c r="A1426" s="2" t="s">
        <v>4076</v>
      </c>
      <c r="B1426" s="2" t="s">
        <v>199</v>
      </c>
      <c r="C1426" s="8">
        <v>46192</v>
      </c>
      <c r="D1426" s="6">
        <v>46174</v>
      </c>
      <c r="E1426" s="2" t="s">
        <v>260</v>
      </c>
      <c r="F1426" s="2" t="s">
        <v>4077</v>
      </c>
      <c r="G1426" s="6">
        <v>46174</v>
      </c>
      <c r="H1426" s="2" t="s">
        <v>71</v>
      </c>
      <c r="I1426" s="2" t="s">
        <v>76</v>
      </c>
      <c r="J1426" s="9">
        <v>87536960</v>
      </c>
      <c r="K1426" s="7">
        <v>6.2500000000000001E-5</v>
      </c>
      <c r="L1426" s="9">
        <v>5471.06</v>
      </c>
      <c r="M1426" s="9">
        <v>5471.06</v>
      </c>
      <c r="N1426" s="9">
        <v>3.01</v>
      </c>
      <c r="O1426" s="10">
        <f>IF(AND(OR(H1426="APPROVED",H1426="SCHEDULED"),COUNTIFS(tblSource[EventID],F1426,tblSource[ReleaseStatus],"APPROVED")=1,COUNTIFS(Period_Status!$A$2:$A$8,G1426,Period_Status!$B$2:$B$8,"ActualClosed")=1,C1426&gt;EOMONTH(Settlement_Bridge!$C$2,0)),1,0)</f>
        <v>0</v>
      </c>
      <c r="P1426" s="2" t="s">
        <v>4078</v>
      </c>
    </row>
    <row r="1427" spans="1:16" x14ac:dyDescent="0.25">
      <c r="A1427" s="2" t="s">
        <v>4079</v>
      </c>
      <c r="B1427" s="2" t="s">
        <v>199</v>
      </c>
      <c r="C1427" s="8">
        <v>46217</v>
      </c>
      <c r="D1427" s="6">
        <v>46204</v>
      </c>
      <c r="E1427" s="2" t="s">
        <v>260</v>
      </c>
      <c r="F1427" s="2" t="s">
        <v>4077</v>
      </c>
      <c r="G1427" s="6">
        <v>46174</v>
      </c>
      <c r="H1427" s="2" t="s">
        <v>71</v>
      </c>
      <c r="I1427" s="2" t="s">
        <v>76</v>
      </c>
      <c r="J1427" s="9">
        <v>131305440</v>
      </c>
      <c r="K1427" s="7">
        <v>6.2000000000000003E-5</v>
      </c>
      <c r="L1427" s="9">
        <v>8140.94</v>
      </c>
      <c r="M1427" s="9">
        <v>8206.59</v>
      </c>
      <c r="N1427" s="9">
        <v>4.4800000000000004</v>
      </c>
      <c r="O1427" s="10">
        <f>IF(AND(OR(H1427="APPROVED",H1427="SCHEDULED"),COUNTIFS(tblSource[EventID],F1427,tblSource[ReleaseStatus],"APPROVED")=1,COUNTIFS(Period_Status!$A$2:$A$8,G1427,Period_Status!$B$2:$B$8,"ActualClosed")=1,C1427&gt;EOMONTH(Settlement_Bridge!$C$2,0)),1,0)</f>
        <v>0</v>
      </c>
      <c r="P1427" s="2" t="s">
        <v>4080</v>
      </c>
    </row>
    <row r="1428" spans="1:16" x14ac:dyDescent="0.25">
      <c r="A1428" s="2" t="s">
        <v>4081</v>
      </c>
      <c r="B1428" s="2" t="s">
        <v>199</v>
      </c>
      <c r="C1428" s="8">
        <v>46203</v>
      </c>
      <c r="D1428" s="6">
        <v>46174</v>
      </c>
      <c r="E1428" s="2" t="s">
        <v>260</v>
      </c>
      <c r="F1428" s="2" t="s">
        <v>4082</v>
      </c>
      <c r="G1428" s="6">
        <v>46174</v>
      </c>
      <c r="H1428" s="2" t="s">
        <v>71</v>
      </c>
      <c r="I1428" s="2" t="s">
        <v>70</v>
      </c>
      <c r="J1428" s="9">
        <v>20828.060150000001</v>
      </c>
      <c r="K1428" s="7">
        <v>0.66500000000000004</v>
      </c>
      <c r="L1428" s="9">
        <v>13850.66</v>
      </c>
      <c r="M1428" s="9">
        <v>13850.66</v>
      </c>
      <c r="N1428" s="9">
        <v>7.62</v>
      </c>
      <c r="O1428" s="10">
        <f>IF(AND(OR(H1428="APPROVED",H1428="SCHEDULED"),COUNTIFS(tblSource[EventID],F1428,tblSource[ReleaseStatus],"APPROVED")=1,COUNTIFS(Period_Status!$A$2:$A$8,G1428,Period_Status!$B$2:$B$8,"ActualClosed")=1,C1428&gt;EOMONTH(Settlement_Bridge!$C$2,0)),1,0)</f>
        <v>0</v>
      </c>
      <c r="P1428" s="2" t="s">
        <v>4083</v>
      </c>
    </row>
    <row r="1429" spans="1:16" x14ac:dyDescent="0.25">
      <c r="A1429" s="2" t="s">
        <v>4084</v>
      </c>
      <c r="B1429" s="2" t="s">
        <v>199</v>
      </c>
      <c r="C1429" s="8">
        <v>46204</v>
      </c>
      <c r="D1429" s="6">
        <v>46204</v>
      </c>
      <c r="E1429" s="2" t="s">
        <v>260</v>
      </c>
      <c r="F1429" s="2" t="s">
        <v>4085</v>
      </c>
      <c r="G1429" s="6">
        <v>46174</v>
      </c>
      <c r="H1429" s="2" t="s">
        <v>71</v>
      </c>
      <c r="I1429" s="2" t="s">
        <v>39</v>
      </c>
      <c r="J1429" s="9">
        <v>14023.67</v>
      </c>
      <c r="K1429" s="7">
        <v>1</v>
      </c>
      <c r="L1429" s="9">
        <v>14023.67</v>
      </c>
      <c r="M1429" s="9">
        <v>14023.67</v>
      </c>
      <c r="N1429" s="9">
        <v>7.71</v>
      </c>
      <c r="O1429" s="10">
        <f>IF(AND(OR(H1429="APPROVED",H1429="SCHEDULED"),COUNTIFS(tblSource[EventID],F1429,tblSource[ReleaseStatus],"APPROVED")=1,COUNTIFS(Period_Status!$A$2:$A$8,G1429,Period_Status!$B$2:$B$8,"ActualClosed")=1,C1429&gt;EOMONTH(Settlement_Bridge!$C$2,0)),1,0)</f>
        <v>0</v>
      </c>
      <c r="P1429" s="2" t="s">
        <v>4086</v>
      </c>
    </row>
    <row r="1430" spans="1:16" x14ac:dyDescent="0.25">
      <c r="A1430" s="2" t="s">
        <v>4087</v>
      </c>
      <c r="B1430" s="2" t="s">
        <v>199</v>
      </c>
      <c r="C1430" s="8">
        <v>46195</v>
      </c>
      <c r="D1430" s="6">
        <v>46174</v>
      </c>
      <c r="E1430" s="2" t="s">
        <v>260</v>
      </c>
      <c r="F1430" s="2" t="s">
        <v>4088</v>
      </c>
      <c r="G1430" s="6">
        <v>46174</v>
      </c>
      <c r="H1430" s="2" t="s">
        <v>71</v>
      </c>
      <c r="I1430" s="2" t="s">
        <v>76</v>
      </c>
      <c r="J1430" s="9">
        <v>90858752</v>
      </c>
      <c r="K1430" s="7">
        <v>6.2500000000000001E-5</v>
      </c>
      <c r="L1430" s="9">
        <v>5678.67</v>
      </c>
      <c r="M1430" s="9">
        <v>5678.67</v>
      </c>
      <c r="N1430" s="9">
        <v>3.12</v>
      </c>
      <c r="O1430" s="10">
        <f>IF(AND(OR(H1430="APPROVED",H1430="SCHEDULED"),COUNTIFS(tblSource[EventID],F1430,tblSource[ReleaseStatus],"APPROVED")=1,COUNTIFS(Period_Status!$A$2:$A$8,G1430,Period_Status!$B$2:$B$8,"ActualClosed")=1,C1430&gt;EOMONTH(Settlement_Bridge!$C$2,0)),1,0)</f>
        <v>0</v>
      </c>
      <c r="P1430" s="2" t="s">
        <v>4089</v>
      </c>
    </row>
    <row r="1431" spans="1:16" x14ac:dyDescent="0.25">
      <c r="A1431" s="2" t="s">
        <v>4090</v>
      </c>
      <c r="B1431" s="2" t="s">
        <v>199</v>
      </c>
      <c r="C1431" s="8">
        <v>46220</v>
      </c>
      <c r="D1431" s="6">
        <v>46204</v>
      </c>
      <c r="E1431" s="2" t="s">
        <v>260</v>
      </c>
      <c r="F1431" s="2" t="s">
        <v>4088</v>
      </c>
      <c r="G1431" s="6">
        <v>46174</v>
      </c>
      <c r="H1431" s="2" t="s">
        <v>71</v>
      </c>
      <c r="I1431" s="2" t="s">
        <v>76</v>
      </c>
      <c r="J1431" s="9">
        <v>136288128</v>
      </c>
      <c r="K1431" s="7">
        <v>6.2000000000000003E-5</v>
      </c>
      <c r="L1431" s="9">
        <v>8449.86</v>
      </c>
      <c r="M1431" s="9">
        <v>8518.01</v>
      </c>
      <c r="N1431" s="9">
        <v>4.6500000000000004</v>
      </c>
      <c r="O1431" s="10">
        <f>IF(AND(OR(H1431="APPROVED",H1431="SCHEDULED"),COUNTIFS(tblSource[EventID],F1431,tblSource[ReleaseStatus],"APPROVED")=1,COUNTIFS(Period_Status!$A$2:$A$8,G1431,Period_Status!$B$2:$B$8,"ActualClosed")=1,C1431&gt;EOMONTH(Settlement_Bridge!$C$2,0)),1,0)</f>
        <v>0</v>
      </c>
      <c r="P1431" s="2" t="s">
        <v>4091</v>
      </c>
    </row>
    <row r="1432" spans="1:16" x14ac:dyDescent="0.25">
      <c r="A1432" s="2" t="s">
        <v>4092</v>
      </c>
      <c r="B1432" s="2" t="s">
        <v>199</v>
      </c>
      <c r="C1432" s="8">
        <v>46206</v>
      </c>
      <c r="D1432" s="6">
        <v>46204</v>
      </c>
      <c r="E1432" s="2" t="s">
        <v>260</v>
      </c>
      <c r="F1432" s="2" t="s">
        <v>4093</v>
      </c>
      <c r="G1432" s="6">
        <v>46174</v>
      </c>
      <c r="H1432" s="2" t="s">
        <v>71</v>
      </c>
      <c r="I1432" s="2" t="s">
        <v>70</v>
      </c>
      <c r="J1432" s="9">
        <v>21608.556390999998</v>
      </c>
      <c r="K1432" s="7">
        <v>0.65800000000000003</v>
      </c>
      <c r="L1432" s="9">
        <v>14218.43</v>
      </c>
      <c r="M1432" s="9">
        <v>14369.69</v>
      </c>
      <c r="N1432" s="9">
        <v>7.82</v>
      </c>
      <c r="O1432" s="10">
        <f>IF(AND(OR(H1432="APPROVED",H1432="SCHEDULED"),COUNTIFS(tblSource[EventID],F1432,tblSource[ReleaseStatus],"APPROVED")=1,COUNTIFS(Period_Status!$A$2:$A$8,G1432,Period_Status!$B$2:$B$8,"ActualClosed")=1,C1432&gt;EOMONTH(Settlement_Bridge!$C$2,0)),1,0)</f>
        <v>0</v>
      </c>
      <c r="P1432" s="2" t="s">
        <v>4094</v>
      </c>
    </row>
    <row r="1433" spans="1:16" x14ac:dyDescent="0.25">
      <c r="A1433" s="2" t="s">
        <v>4095</v>
      </c>
      <c r="B1433" s="2" t="s">
        <v>199</v>
      </c>
      <c r="C1433" s="8">
        <v>46207</v>
      </c>
      <c r="D1433" s="6">
        <v>46204</v>
      </c>
      <c r="E1433" s="2" t="s">
        <v>260</v>
      </c>
      <c r="F1433" s="2" t="s">
        <v>4096</v>
      </c>
      <c r="G1433" s="6">
        <v>46174</v>
      </c>
      <c r="H1433" s="2" t="s">
        <v>71</v>
      </c>
      <c r="I1433" s="2" t="s">
        <v>39</v>
      </c>
      <c r="J1433" s="9">
        <v>14542.7</v>
      </c>
      <c r="K1433" s="7">
        <v>1</v>
      </c>
      <c r="L1433" s="9">
        <v>14542.7</v>
      </c>
      <c r="M1433" s="9">
        <v>14542.7</v>
      </c>
      <c r="N1433" s="9">
        <v>8</v>
      </c>
      <c r="O1433" s="10">
        <f>IF(AND(OR(H1433="APPROVED",H1433="SCHEDULED"),COUNTIFS(tblSource[EventID],F1433,tblSource[ReleaseStatus],"APPROVED")=1,COUNTIFS(Period_Status!$A$2:$A$8,G1433,Period_Status!$B$2:$B$8,"ActualClosed")=1,C1433&gt;EOMONTH(Settlement_Bridge!$C$2,0)),1,0)</f>
        <v>0</v>
      </c>
      <c r="P1433" s="2" t="s">
        <v>4097</v>
      </c>
    </row>
    <row r="1434" spans="1:16" x14ac:dyDescent="0.25">
      <c r="A1434" s="2" t="s">
        <v>4098</v>
      </c>
      <c r="B1434" s="2" t="s">
        <v>199</v>
      </c>
      <c r="C1434" s="8">
        <v>46208</v>
      </c>
      <c r="D1434" s="6">
        <v>46204</v>
      </c>
      <c r="E1434" s="2" t="s">
        <v>260</v>
      </c>
      <c r="F1434" s="2" t="s">
        <v>4099</v>
      </c>
      <c r="G1434" s="6">
        <v>46174</v>
      </c>
      <c r="H1434" s="2" t="s">
        <v>71</v>
      </c>
      <c r="I1434" s="2" t="s">
        <v>76</v>
      </c>
      <c r="J1434" s="9">
        <v>235451360</v>
      </c>
      <c r="K1434" s="7">
        <v>6.2000000000000003E-5</v>
      </c>
      <c r="L1434" s="9">
        <v>14597.98</v>
      </c>
      <c r="M1434" s="9">
        <v>14715.71</v>
      </c>
      <c r="N1434" s="9">
        <v>8.0299999999999994</v>
      </c>
      <c r="O1434" s="10">
        <f>IF(AND(OR(H1434="APPROVED",H1434="SCHEDULED"),COUNTIFS(tblSource[EventID],F1434,tblSource[ReleaseStatus],"APPROVED")=1,COUNTIFS(Period_Status!$A$2:$A$8,G1434,Period_Status!$B$2:$B$8,"ActualClosed")=1,C1434&gt;EOMONTH(Settlement_Bridge!$C$2,0)),1,0)</f>
        <v>0</v>
      </c>
      <c r="P1434" s="2" t="s">
        <v>4100</v>
      </c>
    </row>
    <row r="1435" spans="1:16" x14ac:dyDescent="0.25">
      <c r="A1435" s="2" t="s">
        <v>4101</v>
      </c>
      <c r="B1435" s="2" t="s">
        <v>199</v>
      </c>
      <c r="C1435" s="8">
        <v>46209</v>
      </c>
      <c r="D1435" s="6">
        <v>46204</v>
      </c>
      <c r="E1435" s="2" t="s">
        <v>260</v>
      </c>
      <c r="F1435" s="2" t="s">
        <v>4102</v>
      </c>
      <c r="G1435" s="6">
        <v>46174</v>
      </c>
      <c r="H1435" s="2" t="s">
        <v>71</v>
      </c>
      <c r="I1435" s="2" t="s">
        <v>70</v>
      </c>
      <c r="J1435" s="9">
        <v>1336.421053</v>
      </c>
      <c r="K1435" s="7">
        <v>0.65800000000000003</v>
      </c>
      <c r="L1435" s="9">
        <v>879.37</v>
      </c>
      <c r="M1435" s="9">
        <v>888.72</v>
      </c>
      <c r="N1435" s="9">
        <v>1.8</v>
      </c>
      <c r="O1435" s="10">
        <f>IF(AND(OR(H1435="APPROVED",H1435="SCHEDULED"),COUNTIFS(tblSource[EventID],F1435,tblSource[ReleaseStatus],"APPROVED")=1,COUNTIFS(Period_Status!$A$2:$A$8,G1435,Period_Status!$B$2:$B$8,"ActualClosed")=1,C1435&gt;EOMONTH(Settlement_Bridge!$C$2,0)),1,0)</f>
        <v>0</v>
      </c>
      <c r="P1435" s="2" t="s">
        <v>4103</v>
      </c>
    </row>
    <row r="1436" spans="1:16" x14ac:dyDescent="0.25">
      <c r="A1436" s="2" t="s">
        <v>4104</v>
      </c>
      <c r="B1436" s="2" t="s">
        <v>199</v>
      </c>
      <c r="C1436" s="8">
        <v>46210</v>
      </c>
      <c r="D1436" s="6">
        <v>46204</v>
      </c>
      <c r="E1436" s="2" t="s">
        <v>260</v>
      </c>
      <c r="F1436" s="2" t="s">
        <v>4105</v>
      </c>
      <c r="G1436" s="6">
        <v>46174</v>
      </c>
      <c r="H1436" s="2" t="s">
        <v>71</v>
      </c>
      <c r="I1436" s="2" t="s">
        <v>39</v>
      </c>
      <c r="J1436" s="9">
        <v>1061.73</v>
      </c>
      <c r="K1436" s="7">
        <v>1</v>
      </c>
      <c r="L1436" s="9">
        <v>1061.73</v>
      </c>
      <c r="M1436" s="9">
        <v>1061.73</v>
      </c>
      <c r="N1436" s="9">
        <v>1.8</v>
      </c>
      <c r="O1436" s="10">
        <f>IF(AND(OR(H1436="APPROVED",H1436="SCHEDULED"),COUNTIFS(tblSource[EventID],F1436,tblSource[ReleaseStatus],"APPROVED")=1,COUNTIFS(Period_Status!$A$2:$A$8,G1436,Period_Status!$B$2:$B$8,"ActualClosed")=1,C1436&gt;EOMONTH(Settlement_Bridge!$C$2,0)),1,0)</f>
        <v>0</v>
      </c>
      <c r="P1436" s="2" t="s">
        <v>4106</v>
      </c>
    </row>
    <row r="1437" spans="1:16" x14ac:dyDescent="0.25">
      <c r="A1437" s="2" t="s">
        <v>4107</v>
      </c>
      <c r="B1437" s="2" t="s">
        <v>199</v>
      </c>
      <c r="C1437" s="8">
        <v>46201</v>
      </c>
      <c r="D1437" s="6">
        <v>46174</v>
      </c>
      <c r="E1437" s="2" t="s">
        <v>260</v>
      </c>
      <c r="F1437" s="2" t="s">
        <v>4108</v>
      </c>
      <c r="G1437" s="6">
        <v>46174</v>
      </c>
      <c r="H1437" s="2" t="s">
        <v>71</v>
      </c>
      <c r="I1437" s="2" t="s">
        <v>76</v>
      </c>
      <c r="J1437" s="9">
        <v>7902336</v>
      </c>
      <c r="K1437" s="7">
        <v>6.2500000000000001E-5</v>
      </c>
      <c r="L1437" s="9">
        <v>493.9</v>
      </c>
      <c r="M1437" s="9">
        <v>493.9</v>
      </c>
      <c r="N1437" s="9">
        <v>1.8</v>
      </c>
      <c r="O1437" s="10">
        <f>IF(AND(OR(H1437="APPROVED",H1437="SCHEDULED"),COUNTIFS(tblSource[EventID],F1437,tblSource[ReleaseStatus],"APPROVED")=1,COUNTIFS(Period_Status!$A$2:$A$8,G1437,Period_Status!$B$2:$B$8,"ActualClosed")=1,C1437&gt;EOMONTH(Settlement_Bridge!$C$2,0)),1,0)</f>
        <v>0</v>
      </c>
      <c r="P1437" s="2" t="s">
        <v>4109</v>
      </c>
    </row>
    <row r="1438" spans="1:16" x14ac:dyDescent="0.25">
      <c r="A1438" s="2" t="s">
        <v>4110</v>
      </c>
      <c r="B1438" s="2" t="s">
        <v>199</v>
      </c>
      <c r="C1438" s="8">
        <v>46226</v>
      </c>
      <c r="D1438" s="6">
        <v>46204</v>
      </c>
      <c r="E1438" s="2" t="s">
        <v>260</v>
      </c>
      <c r="F1438" s="2" t="s">
        <v>4108</v>
      </c>
      <c r="G1438" s="6">
        <v>46174</v>
      </c>
      <c r="H1438" s="2" t="s">
        <v>71</v>
      </c>
      <c r="I1438" s="2" t="s">
        <v>76</v>
      </c>
      <c r="J1438" s="9">
        <v>11853504</v>
      </c>
      <c r="K1438" s="7">
        <v>6.2000000000000003E-5</v>
      </c>
      <c r="L1438" s="9">
        <v>734.92</v>
      </c>
      <c r="M1438" s="9">
        <v>740.84</v>
      </c>
      <c r="N1438" s="9">
        <v>1.8</v>
      </c>
      <c r="O1438" s="10">
        <f>IF(AND(OR(H1438="APPROVED",H1438="SCHEDULED"),COUNTIFS(tblSource[EventID],F1438,tblSource[ReleaseStatus],"APPROVED")=1,COUNTIFS(Period_Status!$A$2:$A$8,G1438,Period_Status!$B$2:$B$8,"ActualClosed")=1,C1438&gt;EOMONTH(Settlement_Bridge!$C$2,0)),1,0)</f>
        <v>0</v>
      </c>
      <c r="P1438" s="2" t="s">
        <v>4111</v>
      </c>
    </row>
    <row r="1439" spans="1:16" x14ac:dyDescent="0.25">
      <c r="A1439" s="2" t="s">
        <v>4112</v>
      </c>
      <c r="B1439" s="2" t="s">
        <v>199</v>
      </c>
      <c r="C1439" s="8">
        <v>46202</v>
      </c>
      <c r="D1439" s="6">
        <v>46174</v>
      </c>
      <c r="E1439" s="2" t="s">
        <v>260</v>
      </c>
      <c r="F1439" s="2" t="s">
        <v>4113</v>
      </c>
      <c r="G1439" s="6">
        <v>46174</v>
      </c>
      <c r="H1439" s="2" t="s">
        <v>71</v>
      </c>
      <c r="I1439" s="2" t="s">
        <v>70</v>
      </c>
      <c r="J1439" s="9">
        <v>846.76691700000003</v>
      </c>
      <c r="K1439" s="7">
        <v>0.66500000000000004</v>
      </c>
      <c r="L1439" s="9">
        <v>563.1</v>
      </c>
      <c r="M1439" s="9">
        <v>563.1</v>
      </c>
      <c r="N1439" s="9">
        <v>1.8</v>
      </c>
      <c r="O1439" s="10">
        <f>IF(AND(OR(H1439="APPROVED",H1439="SCHEDULED"),COUNTIFS(tblSource[EventID],F1439,tblSource[ReleaseStatus],"APPROVED")=1,COUNTIFS(Period_Status!$A$2:$A$8,G1439,Period_Status!$B$2:$B$8,"ActualClosed")=1,C1439&gt;EOMONTH(Settlement_Bridge!$C$2,0)),1,0)</f>
        <v>0</v>
      </c>
      <c r="P1439" s="2" t="s">
        <v>4114</v>
      </c>
    </row>
    <row r="1440" spans="1:16" x14ac:dyDescent="0.25">
      <c r="A1440" s="2" t="s">
        <v>4115</v>
      </c>
      <c r="B1440" s="2" t="s">
        <v>199</v>
      </c>
      <c r="C1440" s="8">
        <v>46227</v>
      </c>
      <c r="D1440" s="6">
        <v>46204</v>
      </c>
      <c r="E1440" s="2" t="s">
        <v>260</v>
      </c>
      <c r="F1440" s="2" t="s">
        <v>4113</v>
      </c>
      <c r="G1440" s="6">
        <v>46174</v>
      </c>
      <c r="H1440" s="2" t="s">
        <v>71</v>
      </c>
      <c r="I1440" s="2" t="s">
        <v>70</v>
      </c>
      <c r="J1440" s="9">
        <v>1270.1503760000001</v>
      </c>
      <c r="K1440" s="7">
        <v>0.65800000000000003</v>
      </c>
      <c r="L1440" s="9">
        <v>835.76</v>
      </c>
      <c r="M1440" s="9">
        <v>844.65</v>
      </c>
      <c r="N1440" s="9">
        <v>1.8</v>
      </c>
      <c r="O1440" s="10">
        <f>IF(AND(OR(H1440="APPROVED",H1440="SCHEDULED"),COUNTIFS(tblSource[EventID],F1440,tblSource[ReleaseStatus],"APPROVED")=1,COUNTIFS(Period_Status!$A$2:$A$8,G1440,Period_Status!$B$2:$B$8,"ActualClosed")=1,C1440&gt;EOMONTH(Settlement_Bridge!$C$2,0)),1,0)</f>
        <v>0</v>
      </c>
      <c r="P1440" s="2" t="s">
        <v>4116</v>
      </c>
    </row>
    <row r="1441" spans="1:16" x14ac:dyDescent="0.25">
      <c r="A1441" s="2" t="s">
        <v>4117</v>
      </c>
      <c r="B1441" s="2" t="s">
        <v>199</v>
      </c>
      <c r="C1441" s="8">
        <v>46213</v>
      </c>
      <c r="D1441" s="6">
        <v>46204</v>
      </c>
      <c r="E1441" s="2" t="s">
        <v>260</v>
      </c>
      <c r="F1441" s="2" t="s">
        <v>4118</v>
      </c>
      <c r="G1441" s="6">
        <v>46174</v>
      </c>
      <c r="H1441" s="2" t="s">
        <v>71</v>
      </c>
      <c r="I1441" s="2" t="s">
        <v>39</v>
      </c>
      <c r="J1441" s="9">
        <v>1580.76</v>
      </c>
      <c r="K1441" s="7">
        <v>1</v>
      </c>
      <c r="L1441" s="9">
        <v>1580.76</v>
      </c>
      <c r="M1441" s="9">
        <v>1580.76</v>
      </c>
      <c r="N1441" s="9">
        <v>1.8</v>
      </c>
      <c r="O1441" s="10">
        <f>IF(AND(OR(H1441="APPROVED",H1441="SCHEDULED"),COUNTIFS(tblSource[EventID],F1441,tblSource[ReleaseStatus],"APPROVED")=1,COUNTIFS(Period_Status!$A$2:$A$8,G1441,Period_Status!$B$2:$B$8,"ActualClosed")=1,C1441&gt;EOMONTH(Settlement_Bridge!$C$2,0)),1,0)</f>
        <v>0</v>
      </c>
      <c r="P1441" s="2" t="s">
        <v>4119</v>
      </c>
    </row>
    <row r="1442" spans="1:16" x14ac:dyDescent="0.25">
      <c r="A1442" s="2" t="s">
        <v>4120</v>
      </c>
      <c r="B1442" s="2" t="s">
        <v>199</v>
      </c>
      <c r="C1442" s="8">
        <v>46214</v>
      </c>
      <c r="D1442" s="6">
        <v>46204</v>
      </c>
      <c r="E1442" s="2" t="s">
        <v>260</v>
      </c>
      <c r="F1442" s="2" t="s">
        <v>4121</v>
      </c>
      <c r="G1442" s="6">
        <v>46174</v>
      </c>
      <c r="H1442" s="2" t="s">
        <v>71</v>
      </c>
      <c r="I1442" s="2" t="s">
        <v>76</v>
      </c>
      <c r="J1442" s="9">
        <v>28060320</v>
      </c>
      <c r="K1442" s="7">
        <v>6.2000000000000003E-5</v>
      </c>
      <c r="L1442" s="9">
        <v>1739.74</v>
      </c>
      <c r="M1442" s="9">
        <v>1753.77</v>
      </c>
      <c r="N1442" s="9">
        <v>1.8</v>
      </c>
      <c r="O1442" s="10">
        <f>IF(AND(OR(H1442="APPROVED",H1442="SCHEDULED"),COUNTIFS(tblSource[EventID],F1442,tblSource[ReleaseStatus],"APPROVED")=1,COUNTIFS(Period_Status!$A$2:$A$8,G1442,Period_Status!$B$2:$B$8,"ActualClosed")=1,C1442&gt;EOMONTH(Settlement_Bridge!$C$2,0)),1,0)</f>
        <v>0</v>
      </c>
      <c r="P1442" s="2" t="s">
        <v>4122</v>
      </c>
    </row>
    <row r="1443" spans="1:16" x14ac:dyDescent="0.25">
      <c r="A1443" s="2" t="s">
        <v>4123</v>
      </c>
      <c r="B1443" s="2" t="s">
        <v>199</v>
      </c>
      <c r="C1443" s="8">
        <v>46205</v>
      </c>
      <c r="D1443" s="6">
        <v>46204</v>
      </c>
      <c r="E1443" s="2" t="s">
        <v>260</v>
      </c>
      <c r="F1443" s="2" t="s">
        <v>4124</v>
      </c>
      <c r="G1443" s="6">
        <v>46174</v>
      </c>
      <c r="H1443" s="2" t="s">
        <v>71</v>
      </c>
      <c r="I1443" s="2" t="s">
        <v>70</v>
      </c>
      <c r="J1443" s="9">
        <v>1158.965414</v>
      </c>
      <c r="K1443" s="7">
        <v>0.65800000000000003</v>
      </c>
      <c r="L1443" s="9">
        <v>762.6</v>
      </c>
      <c r="M1443" s="9">
        <v>770.71</v>
      </c>
      <c r="N1443" s="9">
        <v>1.8</v>
      </c>
      <c r="O1443" s="10">
        <f>IF(AND(OR(H1443="APPROVED",H1443="SCHEDULED"),COUNTIFS(tblSource[EventID],F1443,tblSource[ReleaseStatus],"APPROVED")=1,COUNTIFS(Period_Status!$A$2:$A$8,G1443,Period_Status!$B$2:$B$8,"ActualClosed")=1,C1443&gt;EOMONTH(Settlement_Bridge!$C$2,0)),1,0)</f>
        <v>0</v>
      </c>
      <c r="P1443" s="2" t="s">
        <v>4125</v>
      </c>
    </row>
    <row r="1444" spans="1:16" x14ac:dyDescent="0.25">
      <c r="A1444" s="2" t="s">
        <v>4126</v>
      </c>
      <c r="B1444" s="2" t="s">
        <v>199</v>
      </c>
      <c r="C1444" s="8">
        <v>46230</v>
      </c>
      <c r="D1444" s="6">
        <v>46204</v>
      </c>
      <c r="E1444" s="2" t="s">
        <v>260</v>
      </c>
      <c r="F1444" s="2" t="s">
        <v>4124</v>
      </c>
      <c r="G1444" s="6">
        <v>46174</v>
      </c>
      <c r="H1444" s="2" t="s">
        <v>71</v>
      </c>
      <c r="I1444" s="2" t="s">
        <v>70</v>
      </c>
      <c r="J1444" s="9">
        <v>1738.44812</v>
      </c>
      <c r="K1444" s="7">
        <v>0.65800000000000003</v>
      </c>
      <c r="L1444" s="9">
        <v>1143.9000000000001</v>
      </c>
      <c r="M1444" s="9">
        <v>1156.07</v>
      </c>
      <c r="N1444" s="9">
        <v>1.8</v>
      </c>
      <c r="O1444" s="10">
        <f>IF(AND(OR(H1444="APPROVED",H1444="SCHEDULED"),COUNTIFS(tblSource[EventID],F1444,tblSource[ReleaseStatus],"APPROVED")=1,COUNTIFS(Period_Status!$A$2:$A$8,G1444,Period_Status!$B$2:$B$8,"ActualClosed")=1,C1444&gt;EOMONTH(Settlement_Bridge!$C$2,0)),1,0)</f>
        <v>0</v>
      </c>
      <c r="P1444" s="2" t="s">
        <v>4127</v>
      </c>
    </row>
    <row r="1445" spans="1:16" x14ac:dyDescent="0.25">
      <c r="A1445" s="2" t="s">
        <v>4128</v>
      </c>
      <c r="B1445" s="2" t="s">
        <v>199</v>
      </c>
      <c r="C1445" s="8">
        <v>46216</v>
      </c>
      <c r="D1445" s="6">
        <v>46204</v>
      </c>
      <c r="E1445" s="2" t="s">
        <v>260</v>
      </c>
      <c r="F1445" s="2" t="s">
        <v>4129</v>
      </c>
      <c r="G1445" s="6">
        <v>46174</v>
      </c>
      <c r="H1445" s="2" t="s">
        <v>71</v>
      </c>
      <c r="I1445" s="2" t="s">
        <v>39</v>
      </c>
      <c r="J1445" s="9">
        <v>2099.79</v>
      </c>
      <c r="K1445" s="7">
        <v>1</v>
      </c>
      <c r="L1445" s="9">
        <v>2099.79</v>
      </c>
      <c r="M1445" s="9">
        <v>2099.79</v>
      </c>
      <c r="N1445" s="9">
        <v>1.8</v>
      </c>
      <c r="O1445" s="10">
        <f>IF(AND(OR(H1445="APPROVED",H1445="SCHEDULED"),COUNTIFS(tblSource[EventID],F1445,tblSource[ReleaseStatus],"APPROVED")=1,COUNTIFS(Period_Status!$A$2:$A$8,G1445,Period_Status!$B$2:$B$8,"ActualClosed")=1,C1445&gt;EOMONTH(Settlement_Bridge!$C$2,0)),1,0)</f>
        <v>0</v>
      </c>
      <c r="P1445" s="2" t="s">
        <v>4130</v>
      </c>
    </row>
    <row r="1446" spans="1:16" x14ac:dyDescent="0.25">
      <c r="A1446" s="2" t="s">
        <v>4131</v>
      </c>
      <c r="B1446" s="2" t="s">
        <v>199</v>
      </c>
      <c r="C1446" s="8">
        <v>46217</v>
      </c>
      <c r="D1446" s="6">
        <v>46204</v>
      </c>
      <c r="E1446" s="2" t="s">
        <v>260</v>
      </c>
      <c r="F1446" s="2" t="s">
        <v>4132</v>
      </c>
      <c r="G1446" s="6">
        <v>46174</v>
      </c>
      <c r="H1446" s="2" t="s">
        <v>71</v>
      </c>
      <c r="I1446" s="2" t="s">
        <v>76</v>
      </c>
      <c r="J1446" s="9">
        <v>36364800</v>
      </c>
      <c r="K1446" s="7">
        <v>6.2000000000000003E-5</v>
      </c>
      <c r="L1446" s="9">
        <v>2254.62</v>
      </c>
      <c r="M1446" s="9">
        <v>2272.8000000000002</v>
      </c>
      <c r="N1446" s="9">
        <v>1.8</v>
      </c>
      <c r="O1446" s="10">
        <f>IF(AND(OR(H1446="APPROVED",H1446="SCHEDULED"),COUNTIFS(tblSource[EventID],F1446,tblSource[ReleaseStatus],"APPROVED")=1,COUNTIFS(Period_Status!$A$2:$A$8,G1446,Period_Status!$B$2:$B$8,"ActualClosed")=1,C1446&gt;EOMONTH(Settlement_Bridge!$C$2,0)),1,0)</f>
        <v>0</v>
      </c>
      <c r="P1446" s="2" t="s">
        <v>4133</v>
      </c>
    </row>
    <row r="1447" spans="1:16" x14ac:dyDescent="0.25">
      <c r="A1447" s="2" t="s">
        <v>4134</v>
      </c>
      <c r="B1447" s="2" t="s">
        <v>199</v>
      </c>
      <c r="C1447" s="8">
        <v>46218</v>
      </c>
      <c r="D1447" s="6">
        <v>46204</v>
      </c>
      <c r="E1447" s="2" t="s">
        <v>260</v>
      </c>
      <c r="F1447" s="2" t="s">
        <v>4135</v>
      </c>
      <c r="G1447" s="6">
        <v>46174</v>
      </c>
      <c r="H1447" s="2" t="s">
        <v>71</v>
      </c>
      <c r="I1447" s="2" t="s">
        <v>70</v>
      </c>
      <c r="J1447" s="9">
        <v>3677.9097740000002</v>
      </c>
      <c r="K1447" s="7">
        <v>0.65800000000000003</v>
      </c>
      <c r="L1447" s="9">
        <v>2420.06</v>
      </c>
      <c r="M1447" s="9">
        <v>2445.81</v>
      </c>
      <c r="N1447" s="9">
        <v>1.8</v>
      </c>
      <c r="O1447" s="10">
        <f>IF(AND(OR(H1447="APPROVED",H1447="SCHEDULED"),COUNTIFS(tblSource[EventID],F1447,tblSource[ReleaseStatus],"APPROVED")=1,COUNTIFS(Period_Status!$A$2:$A$8,G1447,Period_Status!$B$2:$B$8,"ActualClosed")=1,C1447&gt;EOMONTH(Settlement_Bridge!$C$2,0)),1,0)</f>
        <v>0</v>
      </c>
      <c r="P1447" s="2" t="s">
        <v>4136</v>
      </c>
    </row>
    <row r="1448" spans="1:16" x14ac:dyDescent="0.25">
      <c r="A1448" s="2" t="s">
        <v>4137</v>
      </c>
      <c r="B1448" s="2" t="s">
        <v>199</v>
      </c>
      <c r="C1448" s="8">
        <v>46219</v>
      </c>
      <c r="D1448" s="6">
        <v>46204</v>
      </c>
      <c r="E1448" s="2" t="s">
        <v>260</v>
      </c>
      <c r="F1448" s="2" t="s">
        <v>4138</v>
      </c>
      <c r="G1448" s="6">
        <v>46174</v>
      </c>
      <c r="H1448" s="2" t="s">
        <v>71</v>
      </c>
      <c r="I1448" s="2" t="s">
        <v>39</v>
      </c>
      <c r="J1448" s="9">
        <v>-2618.8200000000002</v>
      </c>
      <c r="K1448" s="7">
        <v>1</v>
      </c>
      <c r="L1448" s="9">
        <v>-2618.8200000000002</v>
      </c>
      <c r="M1448" s="9">
        <v>-2618.8200000000002</v>
      </c>
      <c r="N1448" s="9">
        <v>0</v>
      </c>
      <c r="O1448" s="10">
        <f>IF(AND(OR(H1448="APPROVED",H1448="SCHEDULED"),COUNTIFS(tblSource[EventID],F1448,tblSource[ReleaseStatus],"APPROVED")=1,COUNTIFS(Period_Status!$A$2:$A$8,G1448,Period_Status!$B$2:$B$8,"ActualClosed")=1,C1448&gt;EOMONTH(Settlement_Bridge!$C$2,0)),1,0)</f>
        <v>0</v>
      </c>
      <c r="P1448" s="2" t="s">
        <v>4139</v>
      </c>
    </row>
    <row r="1449" spans="1:16" x14ac:dyDescent="0.25">
      <c r="A1449" s="2" t="s">
        <v>4140</v>
      </c>
      <c r="B1449" s="2" t="s">
        <v>199</v>
      </c>
      <c r="C1449" s="8">
        <v>46220</v>
      </c>
      <c r="D1449" s="6">
        <v>46204</v>
      </c>
      <c r="E1449" s="2" t="s">
        <v>260</v>
      </c>
      <c r="F1449" s="2" t="s">
        <v>4141</v>
      </c>
      <c r="G1449" s="6">
        <v>46174</v>
      </c>
      <c r="H1449" s="2" t="s">
        <v>71</v>
      </c>
      <c r="I1449" s="2" t="s">
        <v>76</v>
      </c>
      <c r="J1449" s="9">
        <v>44669280</v>
      </c>
      <c r="K1449" s="7">
        <v>6.2000000000000003E-5</v>
      </c>
      <c r="L1449" s="9">
        <v>2769.5</v>
      </c>
      <c r="M1449" s="9">
        <v>2791.83</v>
      </c>
      <c r="N1449" s="9">
        <v>1.8</v>
      </c>
      <c r="O1449" s="10">
        <f>IF(AND(OR(H1449="APPROVED",H1449="SCHEDULED"),COUNTIFS(tblSource[EventID],F1449,tblSource[ReleaseStatus],"APPROVED")=1,COUNTIFS(Period_Status!$A$2:$A$8,G1449,Period_Status!$B$2:$B$8,"ActualClosed")=1,C1449&gt;EOMONTH(Settlement_Bridge!$C$2,0)),1,0)</f>
        <v>0</v>
      </c>
      <c r="P1449" s="2" t="s">
        <v>4142</v>
      </c>
    </row>
    <row r="1450" spans="1:16" x14ac:dyDescent="0.25">
      <c r="A1450" s="2" t="s">
        <v>4143</v>
      </c>
      <c r="B1450" s="2" t="s">
        <v>199</v>
      </c>
      <c r="C1450" s="8">
        <v>46211</v>
      </c>
      <c r="D1450" s="6">
        <v>46204</v>
      </c>
      <c r="E1450" s="2" t="s">
        <v>260</v>
      </c>
      <c r="F1450" s="2" t="s">
        <v>4144</v>
      </c>
      <c r="G1450" s="6">
        <v>46174</v>
      </c>
      <c r="H1450" s="2" t="s">
        <v>71</v>
      </c>
      <c r="I1450" s="2" t="s">
        <v>70</v>
      </c>
      <c r="J1450" s="9">
        <v>1783.362406</v>
      </c>
      <c r="K1450" s="7">
        <v>0.65800000000000003</v>
      </c>
      <c r="L1450" s="9">
        <v>1173.45</v>
      </c>
      <c r="M1450" s="9">
        <v>1185.94</v>
      </c>
      <c r="N1450" s="9">
        <v>1.8</v>
      </c>
      <c r="O1450" s="10">
        <f>IF(AND(OR(H1450="APPROVED",H1450="SCHEDULED"),COUNTIFS(tblSource[EventID],F1450,tblSource[ReleaseStatus],"APPROVED")=1,COUNTIFS(Period_Status!$A$2:$A$8,G1450,Period_Status!$B$2:$B$8,"ActualClosed")=1,C1450&gt;EOMONTH(Settlement_Bridge!$C$2,0)),1,0)</f>
        <v>0</v>
      </c>
      <c r="P1450" s="2" t="s">
        <v>4145</v>
      </c>
    </row>
    <row r="1451" spans="1:16" x14ac:dyDescent="0.25">
      <c r="A1451" s="2" t="s">
        <v>4146</v>
      </c>
      <c r="B1451" s="2" t="s">
        <v>199</v>
      </c>
      <c r="C1451" s="8">
        <v>46236</v>
      </c>
      <c r="D1451" s="6">
        <v>46235</v>
      </c>
      <c r="E1451" s="2" t="s">
        <v>260</v>
      </c>
      <c r="F1451" s="2" t="s">
        <v>4144</v>
      </c>
      <c r="G1451" s="6">
        <v>46174</v>
      </c>
      <c r="H1451" s="2" t="s">
        <v>71</v>
      </c>
      <c r="I1451" s="2" t="s">
        <v>70</v>
      </c>
      <c r="J1451" s="9">
        <v>2675.0436089999998</v>
      </c>
      <c r="K1451" s="7">
        <v>0.65</v>
      </c>
      <c r="L1451" s="9">
        <v>1738.78</v>
      </c>
      <c r="M1451" s="9">
        <v>1778.9</v>
      </c>
      <c r="N1451" s="9">
        <v>1.8</v>
      </c>
      <c r="O1451" s="10">
        <f>IF(AND(OR(H1451="APPROVED",H1451="SCHEDULED"),COUNTIFS(tblSource[EventID],F1451,tblSource[ReleaseStatus],"APPROVED")=1,COUNTIFS(Period_Status!$A$2:$A$8,G1451,Period_Status!$B$2:$B$8,"ActualClosed")=1,C1451&gt;EOMONTH(Settlement_Bridge!$C$2,0)),1,0)</f>
        <v>1</v>
      </c>
      <c r="P1451" s="2" t="s">
        <v>4147</v>
      </c>
    </row>
    <row r="1452" spans="1:16" x14ac:dyDescent="0.25">
      <c r="A1452" s="2" t="s">
        <v>4148</v>
      </c>
      <c r="B1452" s="2" t="s">
        <v>199</v>
      </c>
      <c r="C1452" s="8">
        <v>46212</v>
      </c>
      <c r="D1452" s="6">
        <v>46204</v>
      </c>
      <c r="E1452" s="2" t="s">
        <v>260</v>
      </c>
      <c r="F1452" s="2" t="s">
        <v>4149</v>
      </c>
      <c r="G1452" s="6">
        <v>46174</v>
      </c>
      <c r="H1452" s="2" t="s">
        <v>71</v>
      </c>
      <c r="I1452" s="2" t="s">
        <v>39</v>
      </c>
      <c r="J1452" s="9">
        <v>1255.1400000000001</v>
      </c>
      <c r="K1452" s="7">
        <v>1</v>
      </c>
      <c r="L1452" s="9">
        <v>1255.1400000000001</v>
      </c>
      <c r="M1452" s="9">
        <v>1255.1400000000001</v>
      </c>
      <c r="N1452" s="9">
        <v>1.8</v>
      </c>
      <c r="O1452" s="10">
        <f>IF(AND(OR(H1452="APPROVED",H1452="SCHEDULED"),COUNTIFS(tblSource[EventID],F1452,tblSource[ReleaseStatus],"APPROVED")=1,COUNTIFS(Period_Status!$A$2:$A$8,G1452,Period_Status!$B$2:$B$8,"ActualClosed")=1,C1452&gt;EOMONTH(Settlement_Bridge!$C$2,0)),1,0)</f>
        <v>0</v>
      </c>
      <c r="P1452" s="2" t="s">
        <v>4150</v>
      </c>
    </row>
    <row r="1453" spans="1:16" x14ac:dyDescent="0.25">
      <c r="A1453" s="2" t="s">
        <v>4151</v>
      </c>
      <c r="B1453" s="2" t="s">
        <v>199</v>
      </c>
      <c r="C1453" s="8">
        <v>46237</v>
      </c>
      <c r="D1453" s="6">
        <v>46235</v>
      </c>
      <c r="E1453" s="2" t="s">
        <v>260</v>
      </c>
      <c r="F1453" s="2" t="s">
        <v>4149</v>
      </c>
      <c r="G1453" s="6">
        <v>46174</v>
      </c>
      <c r="H1453" s="2" t="s">
        <v>71</v>
      </c>
      <c r="I1453" s="2" t="s">
        <v>39</v>
      </c>
      <c r="J1453" s="9">
        <v>1882.71</v>
      </c>
      <c r="K1453" s="7">
        <v>1</v>
      </c>
      <c r="L1453" s="9">
        <v>1882.71</v>
      </c>
      <c r="M1453" s="9">
        <v>1882.71</v>
      </c>
      <c r="N1453" s="9">
        <v>1.8</v>
      </c>
      <c r="O1453" s="10">
        <f>IF(AND(OR(H1453="APPROVED",H1453="SCHEDULED"),COUNTIFS(tblSource[EventID],F1453,tblSource[ReleaseStatus],"APPROVED")=1,COUNTIFS(Period_Status!$A$2:$A$8,G1453,Period_Status!$B$2:$B$8,"ActualClosed")=1,C1453&gt;EOMONTH(Settlement_Bridge!$C$2,0)),1,0)</f>
        <v>1</v>
      </c>
      <c r="P1453" s="2" t="s">
        <v>4152</v>
      </c>
    </row>
    <row r="1454" spans="1:16" x14ac:dyDescent="0.25">
      <c r="A1454" s="2" t="s">
        <v>4153</v>
      </c>
      <c r="B1454" s="2" t="s">
        <v>199</v>
      </c>
      <c r="C1454" s="8">
        <v>46223</v>
      </c>
      <c r="D1454" s="6">
        <v>46204</v>
      </c>
      <c r="E1454" s="2" t="s">
        <v>260</v>
      </c>
      <c r="F1454" s="2" t="s">
        <v>4154</v>
      </c>
      <c r="G1454" s="6">
        <v>46174</v>
      </c>
      <c r="H1454" s="2" t="s">
        <v>71</v>
      </c>
      <c r="I1454" s="2" t="s">
        <v>76</v>
      </c>
      <c r="J1454" s="9">
        <v>52973760</v>
      </c>
      <c r="K1454" s="7">
        <v>6.2000000000000003E-5</v>
      </c>
      <c r="L1454" s="9">
        <v>3284.37</v>
      </c>
      <c r="M1454" s="9">
        <v>3310.86</v>
      </c>
      <c r="N1454" s="9">
        <v>1.81</v>
      </c>
      <c r="O1454" s="10">
        <f>IF(AND(OR(H1454="APPROVED",H1454="SCHEDULED"),COUNTIFS(tblSource[EventID],F1454,tblSource[ReleaseStatus],"APPROVED")=1,COUNTIFS(Period_Status!$A$2:$A$8,G1454,Period_Status!$B$2:$B$8,"ActualClosed")=1,C1454&gt;EOMONTH(Settlement_Bridge!$C$2,0)),1,0)</f>
        <v>0</v>
      </c>
      <c r="P1454" s="2" t="s">
        <v>4155</v>
      </c>
    </row>
    <row r="1455" spans="1:16" x14ac:dyDescent="0.25">
      <c r="A1455" s="2" t="s">
        <v>4156</v>
      </c>
      <c r="B1455" s="2" t="s">
        <v>199</v>
      </c>
      <c r="C1455" s="8">
        <v>46224</v>
      </c>
      <c r="D1455" s="6">
        <v>46204</v>
      </c>
      <c r="E1455" s="2" t="s">
        <v>260</v>
      </c>
      <c r="F1455" s="2" t="s">
        <v>4157</v>
      </c>
      <c r="G1455" s="6">
        <v>46174</v>
      </c>
      <c r="H1455" s="2" t="s">
        <v>71</v>
      </c>
      <c r="I1455" s="2" t="s">
        <v>70</v>
      </c>
      <c r="J1455" s="9">
        <v>5238.9022560000003</v>
      </c>
      <c r="K1455" s="7">
        <v>0.65800000000000003</v>
      </c>
      <c r="L1455" s="9">
        <v>3447.2</v>
      </c>
      <c r="M1455" s="9">
        <v>3483.87</v>
      </c>
      <c r="N1455" s="9">
        <v>1.9</v>
      </c>
      <c r="O1455" s="10">
        <f>IF(AND(OR(H1455="APPROVED",H1455="SCHEDULED"),COUNTIFS(tblSource[EventID],F1455,tblSource[ReleaseStatus],"APPROVED")=1,COUNTIFS(Period_Status!$A$2:$A$8,G1455,Period_Status!$B$2:$B$8,"ActualClosed")=1,C1455&gt;EOMONTH(Settlement_Bridge!$C$2,0)),1,0)</f>
        <v>0</v>
      </c>
      <c r="P1455" s="2" t="s">
        <v>4158</v>
      </c>
    </row>
    <row r="1456" spans="1:16" x14ac:dyDescent="0.25">
      <c r="A1456" s="2" t="s">
        <v>4159</v>
      </c>
      <c r="B1456" s="2" t="s">
        <v>199</v>
      </c>
      <c r="C1456" s="8">
        <v>46215</v>
      </c>
      <c r="D1456" s="6">
        <v>46204</v>
      </c>
      <c r="E1456" s="2" t="s">
        <v>260</v>
      </c>
      <c r="F1456" s="2" t="s">
        <v>4160</v>
      </c>
      <c r="G1456" s="6">
        <v>46174</v>
      </c>
      <c r="H1456" s="2" t="s">
        <v>71</v>
      </c>
      <c r="I1456" s="2" t="s">
        <v>39</v>
      </c>
      <c r="J1456" s="9">
        <v>1462.752</v>
      </c>
      <c r="K1456" s="7">
        <v>1</v>
      </c>
      <c r="L1456" s="9">
        <v>1462.75</v>
      </c>
      <c r="M1456" s="9">
        <v>1462.75</v>
      </c>
      <c r="N1456" s="9">
        <v>1.8</v>
      </c>
      <c r="O1456" s="10">
        <f>IF(AND(OR(H1456="APPROVED",H1456="SCHEDULED"),COUNTIFS(tblSource[EventID],F1456,tblSource[ReleaseStatus],"APPROVED")=1,COUNTIFS(Period_Status!$A$2:$A$8,G1456,Period_Status!$B$2:$B$8,"ActualClosed")=1,C1456&gt;EOMONTH(Settlement_Bridge!$C$2,0)),1,0)</f>
        <v>0</v>
      </c>
      <c r="P1456" s="2" t="s">
        <v>4161</v>
      </c>
    </row>
    <row r="1457" spans="1:16" x14ac:dyDescent="0.25">
      <c r="A1457" s="2" t="s">
        <v>4162</v>
      </c>
      <c r="B1457" s="2" t="s">
        <v>199</v>
      </c>
      <c r="C1457" s="8">
        <v>46240</v>
      </c>
      <c r="D1457" s="6">
        <v>46235</v>
      </c>
      <c r="E1457" s="2" t="s">
        <v>260</v>
      </c>
      <c r="F1457" s="2" t="s">
        <v>4160</v>
      </c>
      <c r="G1457" s="6">
        <v>46174</v>
      </c>
      <c r="H1457" s="2" t="s">
        <v>71</v>
      </c>
      <c r="I1457" s="2" t="s">
        <v>39</v>
      </c>
      <c r="J1457" s="9">
        <v>2194.1280000000002</v>
      </c>
      <c r="K1457" s="7">
        <v>1</v>
      </c>
      <c r="L1457" s="9">
        <v>2194.13</v>
      </c>
      <c r="M1457" s="9">
        <v>2194.13</v>
      </c>
      <c r="N1457" s="9">
        <v>1.8</v>
      </c>
      <c r="O1457" s="10">
        <f>IF(AND(OR(H1457="APPROVED",H1457="SCHEDULED"),COUNTIFS(tblSource[EventID],F1457,tblSource[ReleaseStatus],"APPROVED")=1,COUNTIFS(Period_Status!$A$2:$A$8,G1457,Period_Status!$B$2:$B$8,"ActualClosed")=1,C1457&gt;EOMONTH(Settlement_Bridge!$C$2,0)),1,0)</f>
        <v>1</v>
      </c>
      <c r="P1457" s="2" t="s">
        <v>4163</v>
      </c>
    </row>
    <row r="1458" spans="1:16" x14ac:dyDescent="0.25">
      <c r="A1458" s="2" t="s">
        <v>4164</v>
      </c>
      <c r="B1458" s="2" t="s">
        <v>199</v>
      </c>
      <c r="C1458" s="8">
        <v>46226</v>
      </c>
      <c r="D1458" s="6">
        <v>46204</v>
      </c>
      <c r="E1458" s="2" t="s">
        <v>260</v>
      </c>
      <c r="F1458" s="2" t="s">
        <v>4165</v>
      </c>
      <c r="G1458" s="6">
        <v>46174</v>
      </c>
      <c r="H1458" s="2" t="s">
        <v>71</v>
      </c>
      <c r="I1458" s="2" t="s">
        <v>76</v>
      </c>
      <c r="J1458" s="9">
        <v>61278240</v>
      </c>
      <c r="K1458" s="7">
        <v>6.2000000000000003E-5</v>
      </c>
      <c r="L1458" s="9">
        <v>3799.25</v>
      </c>
      <c r="M1458" s="9">
        <v>3829.89</v>
      </c>
      <c r="N1458" s="9">
        <v>2.09</v>
      </c>
      <c r="O1458" s="10">
        <f>IF(AND(OR(H1458="APPROVED",H1458="SCHEDULED"),COUNTIFS(tblSource[EventID],F1458,tblSource[ReleaseStatus],"APPROVED")=1,COUNTIFS(Period_Status!$A$2:$A$8,G1458,Period_Status!$B$2:$B$8,"ActualClosed")=1,C1458&gt;EOMONTH(Settlement_Bridge!$C$2,0)),1,0)</f>
        <v>0</v>
      </c>
      <c r="P1458" s="2" t="s">
        <v>4166</v>
      </c>
    </row>
    <row r="1459" spans="1:16" x14ac:dyDescent="0.25">
      <c r="A1459" s="2" t="s">
        <v>4167</v>
      </c>
      <c r="B1459" s="2" t="s">
        <v>199</v>
      </c>
      <c r="C1459" s="8">
        <v>46227</v>
      </c>
      <c r="D1459" s="6">
        <v>46204</v>
      </c>
      <c r="E1459" s="2" t="s">
        <v>260</v>
      </c>
      <c r="F1459" s="2" t="s">
        <v>4168</v>
      </c>
      <c r="G1459" s="6">
        <v>46174</v>
      </c>
      <c r="H1459" s="2" t="s">
        <v>71</v>
      </c>
      <c r="I1459" s="2" t="s">
        <v>70</v>
      </c>
      <c r="J1459" s="9">
        <v>6019.3984959999998</v>
      </c>
      <c r="K1459" s="7">
        <v>0.65800000000000003</v>
      </c>
      <c r="L1459" s="9">
        <v>3960.76</v>
      </c>
      <c r="M1459" s="9">
        <v>4002.9</v>
      </c>
      <c r="N1459" s="9">
        <v>2.1800000000000002</v>
      </c>
      <c r="O1459" s="10">
        <f>IF(AND(OR(H1459="APPROVED",H1459="SCHEDULED"),COUNTIFS(tblSource[EventID],F1459,tblSource[ReleaseStatus],"APPROVED")=1,COUNTIFS(Period_Status!$A$2:$A$8,G1459,Period_Status!$B$2:$B$8,"ActualClosed")=1,C1459&gt;EOMONTH(Settlement_Bridge!$C$2,0)),1,0)</f>
        <v>0</v>
      </c>
      <c r="P1459" s="2" t="s">
        <v>4169</v>
      </c>
    </row>
    <row r="1460" spans="1:16" x14ac:dyDescent="0.25">
      <c r="A1460" s="2" t="s">
        <v>4170</v>
      </c>
      <c r="B1460" s="2" t="s">
        <v>199</v>
      </c>
      <c r="C1460" s="8">
        <v>46198</v>
      </c>
      <c r="D1460" s="6">
        <v>46174</v>
      </c>
      <c r="E1460" s="2" t="s">
        <v>260</v>
      </c>
      <c r="F1460" s="2" t="s">
        <v>4171</v>
      </c>
      <c r="G1460" s="6">
        <v>46174</v>
      </c>
      <c r="H1460" s="2" t="s">
        <v>71</v>
      </c>
      <c r="I1460" s="2" t="s">
        <v>39</v>
      </c>
      <c r="J1460" s="9">
        <v>4175.91</v>
      </c>
      <c r="K1460" s="7">
        <v>1</v>
      </c>
      <c r="L1460" s="9">
        <v>4175.91</v>
      </c>
      <c r="M1460" s="9">
        <v>4175.91</v>
      </c>
      <c r="N1460" s="9">
        <v>2.2999999999999998</v>
      </c>
      <c r="O1460" s="10">
        <f>IF(AND(OR(H1460="APPROVED",H1460="SCHEDULED"),COUNTIFS(tblSource[EventID],F1460,tblSource[ReleaseStatus],"APPROVED")=1,COUNTIFS(Period_Status!$A$2:$A$8,G1460,Period_Status!$B$2:$B$8,"ActualClosed")=1,C1460&gt;EOMONTH(Settlement_Bridge!$C$2,0)),1,0)</f>
        <v>0</v>
      </c>
      <c r="P1460" s="2" t="s">
        <v>4172</v>
      </c>
    </row>
    <row r="1461" spans="1:16" x14ac:dyDescent="0.25">
      <c r="A1461" s="2" t="s">
        <v>4173</v>
      </c>
      <c r="B1461" s="2" t="s">
        <v>199</v>
      </c>
      <c r="C1461" s="8">
        <v>46199</v>
      </c>
      <c r="D1461" s="6">
        <v>46174</v>
      </c>
      <c r="E1461" s="2" t="s">
        <v>260</v>
      </c>
      <c r="F1461" s="2" t="s">
        <v>4174</v>
      </c>
      <c r="G1461" s="6">
        <v>46174</v>
      </c>
      <c r="H1461" s="2" t="s">
        <v>71</v>
      </c>
      <c r="I1461" s="2" t="s">
        <v>76</v>
      </c>
      <c r="J1461" s="9">
        <v>69582720</v>
      </c>
      <c r="K1461" s="7">
        <v>6.2500000000000001E-5</v>
      </c>
      <c r="L1461" s="9">
        <v>4348.92</v>
      </c>
      <c r="M1461" s="9">
        <v>4348.92</v>
      </c>
      <c r="N1461" s="9">
        <v>2.39</v>
      </c>
      <c r="O1461" s="10">
        <f>IF(AND(OR(H1461="APPROVED",H1461="SCHEDULED"),COUNTIFS(tblSource[EventID],F1461,tblSource[ReleaseStatus],"APPROVED")=1,COUNTIFS(Period_Status!$A$2:$A$8,G1461,Period_Status!$B$2:$B$8,"ActualClosed")=1,C1461&gt;EOMONTH(Settlement_Bridge!$C$2,0)),1,0)</f>
        <v>0</v>
      </c>
      <c r="P1461" s="2" t="s">
        <v>4175</v>
      </c>
    </row>
    <row r="1462" spans="1:16" x14ac:dyDescent="0.25">
      <c r="A1462" s="2" t="s">
        <v>4176</v>
      </c>
      <c r="B1462" s="2" t="s">
        <v>199</v>
      </c>
      <c r="C1462" s="8">
        <v>46200</v>
      </c>
      <c r="D1462" s="6">
        <v>46174</v>
      </c>
      <c r="E1462" s="2" t="s">
        <v>260</v>
      </c>
      <c r="F1462" s="2" t="s">
        <v>4177</v>
      </c>
      <c r="G1462" s="6">
        <v>46174</v>
      </c>
      <c r="H1462" s="2" t="s">
        <v>71</v>
      </c>
      <c r="I1462" s="2" t="s">
        <v>70</v>
      </c>
      <c r="J1462" s="9">
        <v>6799.8947369999996</v>
      </c>
      <c r="K1462" s="7">
        <v>0.66500000000000004</v>
      </c>
      <c r="L1462" s="9">
        <v>4521.93</v>
      </c>
      <c r="M1462" s="9">
        <v>4521.93</v>
      </c>
      <c r="N1462" s="9">
        <v>2.4900000000000002</v>
      </c>
      <c r="O1462" s="10">
        <f>IF(AND(OR(H1462="APPROVED",H1462="SCHEDULED"),COUNTIFS(tblSource[EventID],F1462,tblSource[ReleaseStatus],"APPROVED")=1,COUNTIFS(Period_Status!$A$2:$A$8,G1462,Period_Status!$B$2:$B$8,"ActualClosed")=1,C1462&gt;EOMONTH(Settlement_Bridge!$C$2,0)),1,0)</f>
        <v>0</v>
      </c>
      <c r="P1462" s="2" t="s">
        <v>4178</v>
      </c>
    </row>
    <row r="1463" spans="1:16" x14ac:dyDescent="0.25">
      <c r="A1463" s="2" t="s">
        <v>4179</v>
      </c>
      <c r="B1463" s="2" t="s">
        <v>199</v>
      </c>
      <c r="C1463" s="8">
        <v>46191</v>
      </c>
      <c r="D1463" s="6">
        <v>46174</v>
      </c>
      <c r="E1463" s="2" t="s">
        <v>260</v>
      </c>
      <c r="F1463" s="2" t="s">
        <v>4180</v>
      </c>
      <c r="G1463" s="6">
        <v>46174</v>
      </c>
      <c r="H1463" s="2" t="s">
        <v>71</v>
      </c>
      <c r="I1463" s="2" t="s">
        <v>39</v>
      </c>
      <c r="J1463" s="9">
        <v>1877.9760000000001</v>
      </c>
      <c r="K1463" s="7">
        <v>1</v>
      </c>
      <c r="L1463" s="9">
        <v>1877.98</v>
      </c>
      <c r="M1463" s="9">
        <v>1877.98</v>
      </c>
      <c r="N1463" s="9">
        <v>1.8</v>
      </c>
      <c r="O1463" s="10">
        <f>IF(AND(OR(H1463="APPROVED",H1463="SCHEDULED"),COUNTIFS(tblSource[EventID],F1463,tblSource[ReleaseStatus],"APPROVED")=1,COUNTIFS(Period_Status!$A$2:$A$8,G1463,Period_Status!$B$2:$B$8,"ActualClosed")=1,C1463&gt;EOMONTH(Settlement_Bridge!$C$2,0)),1,0)</f>
        <v>0</v>
      </c>
      <c r="P1463" s="2" t="s">
        <v>4181</v>
      </c>
    </row>
    <row r="1464" spans="1:16" x14ac:dyDescent="0.25">
      <c r="A1464" s="2" t="s">
        <v>4182</v>
      </c>
      <c r="B1464" s="2" t="s">
        <v>199</v>
      </c>
      <c r="C1464" s="8">
        <v>46216</v>
      </c>
      <c r="D1464" s="6">
        <v>46204</v>
      </c>
      <c r="E1464" s="2" t="s">
        <v>260</v>
      </c>
      <c r="F1464" s="2" t="s">
        <v>4180</v>
      </c>
      <c r="G1464" s="6">
        <v>46174</v>
      </c>
      <c r="H1464" s="2" t="s">
        <v>71</v>
      </c>
      <c r="I1464" s="2" t="s">
        <v>39</v>
      </c>
      <c r="J1464" s="9">
        <v>2816.9639999999999</v>
      </c>
      <c r="K1464" s="7">
        <v>1</v>
      </c>
      <c r="L1464" s="9">
        <v>2816.96</v>
      </c>
      <c r="M1464" s="9">
        <v>2816.96</v>
      </c>
      <c r="N1464" s="9">
        <v>1.8</v>
      </c>
      <c r="O1464" s="10">
        <f>IF(AND(OR(H1464="APPROVED",H1464="SCHEDULED"),COUNTIFS(tblSource[EventID],F1464,tblSource[ReleaseStatus],"APPROVED")=1,COUNTIFS(Period_Status!$A$2:$A$8,G1464,Period_Status!$B$2:$B$8,"ActualClosed")=1,C1464&gt;EOMONTH(Settlement_Bridge!$C$2,0)),1,0)</f>
        <v>0</v>
      </c>
      <c r="P1464" s="2" t="s">
        <v>4183</v>
      </c>
    </row>
    <row r="1465" spans="1:16" x14ac:dyDescent="0.25">
      <c r="A1465" s="2" t="s">
        <v>4184</v>
      </c>
      <c r="B1465" s="2" t="s">
        <v>199</v>
      </c>
      <c r="C1465" s="8">
        <v>46192</v>
      </c>
      <c r="D1465" s="6">
        <v>46174</v>
      </c>
      <c r="E1465" s="2" t="s">
        <v>260</v>
      </c>
      <c r="F1465" s="2" t="s">
        <v>4185</v>
      </c>
      <c r="G1465" s="6">
        <v>46174</v>
      </c>
      <c r="H1465" s="2" t="s">
        <v>71</v>
      </c>
      <c r="I1465" s="2" t="s">
        <v>76</v>
      </c>
      <c r="J1465" s="9">
        <v>31154880</v>
      </c>
      <c r="K1465" s="7">
        <v>6.2500000000000001E-5</v>
      </c>
      <c r="L1465" s="9">
        <v>1947.18</v>
      </c>
      <c r="M1465" s="9">
        <v>1947.18</v>
      </c>
      <c r="N1465" s="9">
        <v>1.8</v>
      </c>
      <c r="O1465" s="10">
        <f>IF(AND(OR(H1465="APPROVED",H1465="SCHEDULED"),COUNTIFS(tblSource[EventID],F1465,tblSource[ReleaseStatus],"APPROVED")=1,COUNTIFS(Period_Status!$A$2:$A$8,G1465,Period_Status!$B$2:$B$8,"ActualClosed")=1,C1465&gt;EOMONTH(Settlement_Bridge!$C$2,0)),1,0)</f>
        <v>0</v>
      </c>
      <c r="P1465" s="2" t="s">
        <v>4186</v>
      </c>
    </row>
    <row r="1466" spans="1:16" x14ac:dyDescent="0.25">
      <c r="A1466" s="2" t="s">
        <v>4187</v>
      </c>
      <c r="B1466" s="2" t="s">
        <v>199</v>
      </c>
      <c r="C1466" s="8">
        <v>46217</v>
      </c>
      <c r="D1466" s="6">
        <v>46204</v>
      </c>
      <c r="E1466" s="2" t="s">
        <v>260</v>
      </c>
      <c r="F1466" s="2" t="s">
        <v>4185</v>
      </c>
      <c r="G1466" s="6">
        <v>46174</v>
      </c>
      <c r="H1466" s="2" t="s">
        <v>71</v>
      </c>
      <c r="I1466" s="2" t="s">
        <v>76</v>
      </c>
      <c r="J1466" s="9">
        <v>46732320</v>
      </c>
      <c r="K1466" s="7">
        <v>6.2000000000000003E-5</v>
      </c>
      <c r="L1466" s="9">
        <v>2897.4</v>
      </c>
      <c r="M1466" s="9">
        <v>2920.77</v>
      </c>
      <c r="N1466" s="9">
        <v>1.8</v>
      </c>
      <c r="O1466" s="10">
        <f>IF(AND(OR(H1466="APPROVED",H1466="SCHEDULED"),COUNTIFS(tblSource[EventID],F1466,tblSource[ReleaseStatus],"APPROVED")=1,COUNTIFS(Period_Status!$A$2:$A$8,G1466,Period_Status!$B$2:$B$8,"ActualClosed")=1,C1466&gt;EOMONTH(Settlement_Bridge!$C$2,0)),1,0)</f>
        <v>0</v>
      </c>
      <c r="P1466" s="2" t="s">
        <v>4188</v>
      </c>
    </row>
    <row r="1467" spans="1:16" x14ac:dyDescent="0.25">
      <c r="A1467" s="2" t="s">
        <v>4189</v>
      </c>
      <c r="B1467" s="2" t="s">
        <v>199</v>
      </c>
      <c r="C1467" s="8">
        <v>46203</v>
      </c>
      <c r="D1467" s="6">
        <v>46174</v>
      </c>
      <c r="E1467" s="2" t="s">
        <v>260</v>
      </c>
      <c r="F1467" s="2" t="s">
        <v>4190</v>
      </c>
      <c r="G1467" s="6">
        <v>46174</v>
      </c>
      <c r="H1467" s="2" t="s">
        <v>71</v>
      </c>
      <c r="I1467" s="2" t="s">
        <v>70</v>
      </c>
      <c r="J1467" s="9">
        <v>7580.390977</v>
      </c>
      <c r="K1467" s="7">
        <v>0.66500000000000004</v>
      </c>
      <c r="L1467" s="9">
        <v>5040.96</v>
      </c>
      <c r="M1467" s="9">
        <v>5040.96</v>
      </c>
      <c r="N1467" s="9">
        <v>2.77</v>
      </c>
      <c r="O1467" s="10">
        <f>IF(AND(OR(H1467="APPROVED",H1467="SCHEDULED"),COUNTIFS(tblSource[EventID],F1467,tblSource[ReleaseStatus],"APPROVED")=1,COUNTIFS(Period_Status!$A$2:$A$8,G1467,Period_Status!$B$2:$B$8,"ActualClosed")=1,C1467&gt;EOMONTH(Settlement_Bridge!$C$2,0)),1,0)</f>
        <v>0</v>
      </c>
      <c r="P1467" s="2" t="s">
        <v>4191</v>
      </c>
    </row>
    <row r="1468" spans="1:16" x14ac:dyDescent="0.25">
      <c r="A1468" s="2" t="s">
        <v>4192</v>
      </c>
      <c r="B1468" s="2" t="s">
        <v>199</v>
      </c>
      <c r="C1468" s="8">
        <v>46204</v>
      </c>
      <c r="D1468" s="6">
        <v>46204</v>
      </c>
      <c r="E1468" s="2" t="s">
        <v>260</v>
      </c>
      <c r="F1468" s="2" t="s">
        <v>4193</v>
      </c>
      <c r="G1468" s="6">
        <v>46174</v>
      </c>
      <c r="H1468" s="2" t="s">
        <v>71</v>
      </c>
      <c r="I1468" s="2" t="s">
        <v>39</v>
      </c>
      <c r="J1468" s="9">
        <v>5213</v>
      </c>
      <c r="K1468" s="7">
        <v>1</v>
      </c>
      <c r="L1468" s="9">
        <v>5213</v>
      </c>
      <c r="M1468" s="9">
        <v>5213</v>
      </c>
      <c r="N1468" s="9">
        <v>2.87</v>
      </c>
      <c r="O1468" s="10">
        <f>IF(AND(OR(H1468="APPROVED",H1468="SCHEDULED"),COUNTIFS(tblSource[EventID],F1468,tblSource[ReleaseStatus],"APPROVED")=1,COUNTIFS(Period_Status!$A$2:$A$8,G1468,Period_Status!$B$2:$B$8,"ActualClosed")=1,C1468&gt;EOMONTH(Settlement_Bridge!$C$2,0)),1,0)</f>
        <v>0</v>
      </c>
      <c r="P1468" s="2" t="s">
        <v>4194</v>
      </c>
    </row>
    <row r="1469" spans="1:16" x14ac:dyDescent="0.25">
      <c r="A1469" s="2" t="s">
        <v>4195</v>
      </c>
      <c r="B1469" s="2" t="s">
        <v>199</v>
      </c>
      <c r="C1469" s="8">
        <v>46195</v>
      </c>
      <c r="D1469" s="6">
        <v>46174</v>
      </c>
      <c r="E1469" s="2" t="s">
        <v>260</v>
      </c>
      <c r="F1469" s="2" t="s">
        <v>4196</v>
      </c>
      <c r="G1469" s="6">
        <v>46174</v>
      </c>
      <c r="H1469" s="2" t="s">
        <v>71</v>
      </c>
      <c r="I1469" s="2" t="s">
        <v>76</v>
      </c>
      <c r="J1469" s="9">
        <v>34470464</v>
      </c>
      <c r="K1469" s="7">
        <v>6.2500000000000001E-5</v>
      </c>
      <c r="L1469" s="9">
        <v>2154.4</v>
      </c>
      <c r="M1469" s="9">
        <v>2154.4</v>
      </c>
      <c r="N1469" s="9">
        <v>1.8</v>
      </c>
      <c r="O1469" s="10">
        <f>IF(AND(OR(H1469="APPROVED",H1469="SCHEDULED"),COUNTIFS(tblSource[EventID],F1469,tblSource[ReleaseStatus],"APPROVED")=1,COUNTIFS(Period_Status!$A$2:$A$8,G1469,Period_Status!$B$2:$B$8,"ActualClosed")=1,C1469&gt;EOMONTH(Settlement_Bridge!$C$2,0)),1,0)</f>
        <v>0</v>
      </c>
      <c r="P1469" s="2" t="s">
        <v>4197</v>
      </c>
    </row>
    <row r="1470" spans="1:16" x14ac:dyDescent="0.25">
      <c r="A1470" s="2" t="s">
        <v>4198</v>
      </c>
      <c r="B1470" s="2" t="s">
        <v>199</v>
      </c>
      <c r="C1470" s="8">
        <v>46220</v>
      </c>
      <c r="D1470" s="6">
        <v>46204</v>
      </c>
      <c r="E1470" s="2" t="s">
        <v>260</v>
      </c>
      <c r="F1470" s="2" t="s">
        <v>4196</v>
      </c>
      <c r="G1470" s="6">
        <v>46174</v>
      </c>
      <c r="H1470" s="2" t="s">
        <v>71</v>
      </c>
      <c r="I1470" s="2" t="s">
        <v>76</v>
      </c>
      <c r="J1470" s="9">
        <v>51705696</v>
      </c>
      <c r="K1470" s="7">
        <v>6.2000000000000003E-5</v>
      </c>
      <c r="L1470" s="9">
        <v>3205.75</v>
      </c>
      <c r="M1470" s="9">
        <v>3231.61</v>
      </c>
      <c r="N1470" s="9">
        <v>1.8</v>
      </c>
      <c r="O1470" s="10">
        <f>IF(AND(OR(H1470="APPROVED",H1470="SCHEDULED"),COUNTIFS(tblSource[EventID],F1470,tblSource[ReleaseStatus],"APPROVED")=1,COUNTIFS(Period_Status!$A$2:$A$8,G1470,Period_Status!$B$2:$B$8,"ActualClosed")=1,C1470&gt;EOMONTH(Settlement_Bridge!$C$2,0)),1,0)</f>
        <v>0</v>
      </c>
      <c r="P1470" s="2" t="s">
        <v>4199</v>
      </c>
    </row>
    <row r="1471" spans="1:16" x14ac:dyDescent="0.25">
      <c r="A1471" s="2" t="s">
        <v>4200</v>
      </c>
      <c r="B1471" s="2" t="s">
        <v>199</v>
      </c>
      <c r="C1471" s="8">
        <v>46206</v>
      </c>
      <c r="D1471" s="6">
        <v>46204</v>
      </c>
      <c r="E1471" s="2" t="s">
        <v>260</v>
      </c>
      <c r="F1471" s="2" t="s">
        <v>4201</v>
      </c>
      <c r="G1471" s="6">
        <v>46174</v>
      </c>
      <c r="H1471" s="2" t="s">
        <v>71</v>
      </c>
      <c r="I1471" s="2" t="s">
        <v>70</v>
      </c>
      <c r="J1471" s="9">
        <v>8359.4285710000004</v>
      </c>
      <c r="K1471" s="7">
        <v>0.65800000000000003</v>
      </c>
      <c r="L1471" s="9">
        <v>5500.5</v>
      </c>
      <c r="M1471" s="9">
        <v>5559.02</v>
      </c>
      <c r="N1471" s="9">
        <v>3.03</v>
      </c>
      <c r="O1471" s="10">
        <f>IF(AND(OR(H1471="APPROVED",H1471="SCHEDULED"),COUNTIFS(tblSource[EventID],F1471,tblSource[ReleaseStatus],"APPROVED")=1,COUNTIFS(Period_Status!$A$2:$A$8,G1471,Period_Status!$B$2:$B$8,"ActualClosed")=1,C1471&gt;EOMONTH(Settlement_Bridge!$C$2,0)),1,0)</f>
        <v>0</v>
      </c>
      <c r="P1471" s="2" t="s">
        <v>4202</v>
      </c>
    </row>
    <row r="1472" spans="1:16" x14ac:dyDescent="0.25">
      <c r="A1472" s="2" t="s">
        <v>4203</v>
      </c>
      <c r="B1472" s="2" t="s">
        <v>199</v>
      </c>
      <c r="C1472" s="8">
        <v>46207</v>
      </c>
      <c r="D1472" s="6">
        <v>46204</v>
      </c>
      <c r="E1472" s="2" t="s">
        <v>260</v>
      </c>
      <c r="F1472" s="2" t="s">
        <v>4204</v>
      </c>
      <c r="G1472" s="6">
        <v>46174</v>
      </c>
      <c r="H1472" s="2" t="s">
        <v>71</v>
      </c>
      <c r="I1472" s="2" t="s">
        <v>39</v>
      </c>
      <c r="J1472" s="9">
        <v>5732.03</v>
      </c>
      <c r="K1472" s="7">
        <v>1</v>
      </c>
      <c r="L1472" s="9">
        <v>5732.03</v>
      </c>
      <c r="M1472" s="9">
        <v>5732.03</v>
      </c>
      <c r="N1472" s="9">
        <v>3.15</v>
      </c>
      <c r="O1472" s="10">
        <f>IF(AND(OR(H1472="APPROVED",H1472="SCHEDULED"),COUNTIFS(tblSource[EventID],F1472,tblSource[ReleaseStatus],"APPROVED")=1,COUNTIFS(Period_Status!$A$2:$A$8,G1472,Period_Status!$B$2:$B$8,"ActualClosed")=1,C1472&gt;EOMONTH(Settlement_Bridge!$C$2,0)),1,0)</f>
        <v>0</v>
      </c>
      <c r="P1472" s="2" t="s">
        <v>4205</v>
      </c>
    </row>
    <row r="1473" spans="1:16" x14ac:dyDescent="0.25">
      <c r="A1473" s="2" t="s">
        <v>4206</v>
      </c>
      <c r="B1473" s="2" t="s">
        <v>199</v>
      </c>
      <c r="C1473" s="8">
        <v>46208</v>
      </c>
      <c r="D1473" s="6">
        <v>46204</v>
      </c>
      <c r="E1473" s="2" t="s">
        <v>260</v>
      </c>
      <c r="F1473" s="2" t="s">
        <v>4207</v>
      </c>
      <c r="G1473" s="6">
        <v>46174</v>
      </c>
      <c r="H1473" s="2" t="s">
        <v>71</v>
      </c>
      <c r="I1473" s="2" t="s">
        <v>76</v>
      </c>
      <c r="J1473" s="9">
        <v>94480640</v>
      </c>
      <c r="K1473" s="7">
        <v>6.2000000000000003E-5</v>
      </c>
      <c r="L1473" s="9">
        <v>5857.8</v>
      </c>
      <c r="M1473" s="9">
        <v>5905.04</v>
      </c>
      <c r="N1473" s="9">
        <v>3.22</v>
      </c>
      <c r="O1473" s="10">
        <f>IF(AND(OR(H1473="APPROVED",H1473="SCHEDULED"),COUNTIFS(tblSource[EventID],F1473,tblSource[ReleaseStatus],"APPROVED")=1,COUNTIFS(Period_Status!$A$2:$A$8,G1473,Period_Status!$B$2:$B$8,"ActualClosed")=1,C1473&gt;EOMONTH(Settlement_Bridge!$C$2,0)),1,0)</f>
        <v>0</v>
      </c>
      <c r="P1473" s="2" t="s">
        <v>4208</v>
      </c>
    </row>
    <row r="1474" spans="1:16" x14ac:dyDescent="0.25">
      <c r="A1474" s="2" t="s">
        <v>4209</v>
      </c>
      <c r="B1474" s="2" t="s">
        <v>199</v>
      </c>
      <c r="C1474" s="8">
        <v>46209</v>
      </c>
      <c r="D1474" s="6">
        <v>46204</v>
      </c>
      <c r="E1474" s="2" t="s">
        <v>260</v>
      </c>
      <c r="F1474" s="2" t="s">
        <v>4210</v>
      </c>
      <c r="G1474" s="6">
        <v>46174</v>
      </c>
      <c r="H1474" s="2" t="s">
        <v>71</v>
      </c>
      <c r="I1474" s="2" t="s">
        <v>70</v>
      </c>
      <c r="J1474" s="9">
        <v>9139.9248119999993</v>
      </c>
      <c r="K1474" s="7">
        <v>0.65800000000000003</v>
      </c>
      <c r="L1474" s="9">
        <v>6014.07</v>
      </c>
      <c r="M1474" s="9">
        <v>6078.05</v>
      </c>
      <c r="N1474" s="9">
        <v>3.31</v>
      </c>
      <c r="O1474" s="10">
        <f>IF(AND(OR(H1474="APPROVED",H1474="SCHEDULED"),COUNTIFS(tblSource[EventID],F1474,tblSource[ReleaseStatus],"APPROVED")=1,COUNTIFS(Period_Status!$A$2:$A$8,G1474,Period_Status!$B$2:$B$8,"ActualClosed")=1,C1474&gt;EOMONTH(Settlement_Bridge!$C$2,0)),1,0)</f>
        <v>0</v>
      </c>
      <c r="P1474" s="2" t="s">
        <v>4211</v>
      </c>
    </row>
    <row r="1475" spans="1:16" x14ac:dyDescent="0.25">
      <c r="A1475" s="2" t="s">
        <v>4212</v>
      </c>
      <c r="B1475" s="2" t="s">
        <v>199</v>
      </c>
      <c r="C1475" s="8">
        <v>46210</v>
      </c>
      <c r="D1475" s="6">
        <v>46204</v>
      </c>
      <c r="E1475" s="2" t="s">
        <v>260</v>
      </c>
      <c r="F1475" s="2" t="s">
        <v>4213</v>
      </c>
      <c r="G1475" s="6">
        <v>46174</v>
      </c>
      <c r="H1475" s="2" t="s">
        <v>71</v>
      </c>
      <c r="I1475" s="2" t="s">
        <v>39</v>
      </c>
      <c r="J1475" s="9">
        <v>6251.06</v>
      </c>
      <c r="K1475" s="7">
        <v>1</v>
      </c>
      <c r="L1475" s="9">
        <v>6251.06</v>
      </c>
      <c r="M1475" s="9">
        <v>6251.06</v>
      </c>
      <c r="N1475" s="9">
        <v>3.44</v>
      </c>
      <c r="O1475" s="10">
        <f>IF(AND(OR(H1475="APPROVED",H1475="SCHEDULED"),COUNTIFS(tblSource[EventID],F1475,tblSource[ReleaseStatus],"APPROVED")=1,COUNTIFS(Period_Status!$A$2:$A$8,G1475,Period_Status!$B$2:$B$8,"ActualClosed")=1,C1475&gt;EOMONTH(Settlement_Bridge!$C$2,0)),1,0)</f>
        <v>0</v>
      </c>
      <c r="P1475" s="2" t="s">
        <v>4214</v>
      </c>
    </row>
    <row r="1476" spans="1:16" x14ac:dyDescent="0.25">
      <c r="A1476" s="2" t="s">
        <v>4215</v>
      </c>
      <c r="B1476" s="2" t="s">
        <v>199</v>
      </c>
      <c r="C1476" s="8">
        <v>46201</v>
      </c>
      <c r="D1476" s="6">
        <v>46174</v>
      </c>
      <c r="E1476" s="2" t="s">
        <v>260</v>
      </c>
      <c r="F1476" s="2" t="s">
        <v>4216</v>
      </c>
      <c r="G1476" s="6">
        <v>46174</v>
      </c>
      <c r="H1476" s="2" t="s">
        <v>71</v>
      </c>
      <c r="I1476" s="2" t="s">
        <v>76</v>
      </c>
      <c r="J1476" s="9">
        <v>41114048</v>
      </c>
      <c r="K1476" s="7">
        <v>6.2500000000000001E-5</v>
      </c>
      <c r="L1476" s="9">
        <v>2569.63</v>
      </c>
      <c r="M1476" s="9">
        <v>2569.63</v>
      </c>
      <c r="N1476" s="9">
        <v>1.8</v>
      </c>
      <c r="O1476" s="10">
        <f>IF(AND(OR(H1476="APPROVED",H1476="SCHEDULED"),COUNTIFS(tblSource[EventID],F1476,tblSource[ReleaseStatus],"APPROVED")=1,COUNTIFS(Period_Status!$A$2:$A$8,G1476,Period_Status!$B$2:$B$8,"ActualClosed")=1,C1476&gt;EOMONTH(Settlement_Bridge!$C$2,0)),1,0)</f>
        <v>0</v>
      </c>
      <c r="P1476" s="2" t="s">
        <v>4217</v>
      </c>
    </row>
    <row r="1477" spans="1:16" x14ac:dyDescent="0.25">
      <c r="A1477" s="2" t="s">
        <v>4218</v>
      </c>
      <c r="B1477" s="2" t="s">
        <v>199</v>
      </c>
      <c r="C1477" s="8">
        <v>46226</v>
      </c>
      <c r="D1477" s="6">
        <v>46204</v>
      </c>
      <c r="E1477" s="2" t="s">
        <v>260</v>
      </c>
      <c r="F1477" s="2" t="s">
        <v>4216</v>
      </c>
      <c r="G1477" s="6">
        <v>46174</v>
      </c>
      <c r="H1477" s="2" t="s">
        <v>71</v>
      </c>
      <c r="I1477" s="2" t="s">
        <v>76</v>
      </c>
      <c r="J1477" s="9">
        <v>61671072</v>
      </c>
      <c r="K1477" s="7">
        <v>6.2000000000000003E-5</v>
      </c>
      <c r="L1477" s="9">
        <v>3823.61</v>
      </c>
      <c r="M1477" s="9">
        <v>3854.44</v>
      </c>
      <c r="N1477" s="9">
        <v>2.1</v>
      </c>
      <c r="O1477" s="10">
        <f>IF(AND(OR(H1477="APPROVED",H1477="SCHEDULED"),COUNTIFS(tblSource[EventID],F1477,tblSource[ReleaseStatus],"APPROVED")=1,COUNTIFS(Period_Status!$A$2:$A$8,G1477,Period_Status!$B$2:$B$8,"ActualClosed")=1,C1477&gt;EOMONTH(Settlement_Bridge!$C$2,0)),1,0)</f>
        <v>0</v>
      </c>
      <c r="P1477" s="2" t="s">
        <v>4219</v>
      </c>
    </row>
    <row r="1478" spans="1:16" x14ac:dyDescent="0.25">
      <c r="A1478" s="2" t="s">
        <v>4220</v>
      </c>
      <c r="B1478" s="2" t="s">
        <v>199</v>
      </c>
      <c r="C1478" s="8">
        <v>46202</v>
      </c>
      <c r="D1478" s="6">
        <v>46174</v>
      </c>
      <c r="E1478" s="2" t="s">
        <v>260</v>
      </c>
      <c r="F1478" s="2" t="s">
        <v>4221</v>
      </c>
      <c r="G1478" s="6">
        <v>46174</v>
      </c>
      <c r="H1478" s="2" t="s">
        <v>71</v>
      </c>
      <c r="I1478" s="2" t="s">
        <v>70</v>
      </c>
      <c r="J1478" s="9">
        <v>3968.1684209999999</v>
      </c>
      <c r="K1478" s="7">
        <v>0.66500000000000004</v>
      </c>
      <c r="L1478" s="9">
        <v>2638.83</v>
      </c>
      <c r="M1478" s="9">
        <v>2638.83</v>
      </c>
      <c r="N1478" s="9">
        <v>1.8</v>
      </c>
      <c r="O1478" s="10">
        <f>IF(AND(OR(H1478="APPROVED",H1478="SCHEDULED"),COUNTIFS(tblSource[EventID],F1478,tblSource[ReleaseStatus],"APPROVED")=1,COUNTIFS(Period_Status!$A$2:$A$8,G1478,Period_Status!$B$2:$B$8,"ActualClosed")=1,C1478&gt;EOMONTH(Settlement_Bridge!$C$2,0)),1,0)</f>
        <v>0</v>
      </c>
      <c r="P1478" s="2" t="s">
        <v>4222</v>
      </c>
    </row>
    <row r="1479" spans="1:16" x14ac:dyDescent="0.25">
      <c r="A1479" s="2" t="s">
        <v>4223</v>
      </c>
      <c r="B1479" s="2" t="s">
        <v>199</v>
      </c>
      <c r="C1479" s="8">
        <v>46227</v>
      </c>
      <c r="D1479" s="6">
        <v>46204</v>
      </c>
      <c r="E1479" s="2" t="s">
        <v>260</v>
      </c>
      <c r="F1479" s="2" t="s">
        <v>4221</v>
      </c>
      <c r="G1479" s="6">
        <v>46174</v>
      </c>
      <c r="H1479" s="2" t="s">
        <v>71</v>
      </c>
      <c r="I1479" s="2" t="s">
        <v>70</v>
      </c>
      <c r="J1479" s="9">
        <v>5952.2526319999997</v>
      </c>
      <c r="K1479" s="7">
        <v>0.65800000000000003</v>
      </c>
      <c r="L1479" s="9">
        <v>3916.58</v>
      </c>
      <c r="M1479" s="9">
        <v>3958.25</v>
      </c>
      <c r="N1479" s="9">
        <v>2.15</v>
      </c>
      <c r="O1479" s="10">
        <f>IF(AND(OR(H1479="APPROVED",H1479="SCHEDULED"),COUNTIFS(tblSource[EventID],F1479,tblSource[ReleaseStatus],"APPROVED")=1,COUNTIFS(Period_Status!$A$2:$A$8,G1479,Period_Status!$B$2:$B$8,"ActualClosed")=1,C1479&gt;EOMONTH(Settlement_Bridge!$C$2,0)),1,0)</f>
        <v>0</v>
      </c>
      <c r="P1479" s="2" t="s">
        <v>4224</v>
      </c>
    </row>
    <row r="1480" spans="1:16" x14ac:dyDescent="0.25">
      <c r="A1480" s="2" t="s">
        <v>4225</v>
      </c>
      <c r="B1480" s="2" t="s">
        <v>199</v>
      </c>
      <c r="C1480" s="8">
        <v>46213</v>
      </c>
      <c r="D1480" s="6">
        <v>46204</v>
      </c>
      <c r="E1480" s="2" t="s">
        <v>260</v>
      </c>
      <c r="F1480" s="2" t="s">
        <v>4226</v>
      </c>
      <c r="G1480" s="6">
        <v>46174</v>
      </c>
      <c r="H1480" s="2" t="s">
        <v>71</v>
      </c>
      <c r="I1480" s="2" t="s">
        <v>39</v>
      </c>
      <c r="J1480" s="9">
        <v>6770.09</v>
      </c>
      <c r="K1480" s="7">
        <v>1</v>
      </c>
      <c r="L1480" s="9">
        <v>6770.09</v>
      </c>
      <c r="M1480" s="9">
        <v>6770.09</v>
      </c>
      <c r="N1480" s="9">
        <v>3.72</v>
      </c>
      <c r="O1480" s="10">
        <f>IF(AND(OR(H1480="APPROVED",H1480="SCHEDULED"),COUNTIFS(tblSource[EventID],F1480,tblSource[ReleaseStatus],"APPROVED")=1,COUNTIFS(Period_Status!$A$2:$A$8,G1480,Period_Status!$B$2:$B$8,"ActualClosed")=1,C1480&gt;EOMONTH(Settlement_Bridge!$C$2,0)),1,0)</f>
        <v>0</v>
      </c>
      <c r="P1480" s="2" t="s">
        <v>4227</v>
      </c>
    </row>
    <row r="1481" spans="1:16" x14ac:dyDescent="0.25">
      <c r="A1481" s="2" t="s">
        <v>4228</v>
      </c>
      <c r="B1481" s="2" t="s">
        <v>199</v>
      </c>
      <c r="C1481" s="8">
        <v>46214</v>
      </c>
      <c r="D1481" s="6">
        <v>46204</v>
      </c>
      <c r="E1481" s="2" t="s">
        <v>260</v>
      </c>
      <c r="F1481" s="2" t="s">
        <v>4229</v>
      </c>
      <c r="G1481" s="6">
        <v>46174</v>
      </c>
      <c r="H1481" s="2" t="s">
        <v>71</v>
      </c>
      <c r="I1481" s="2" t="s">
        <v>76</v>
      </c>
      <c r="J1481" s="9">
        <v>111089600</v>
      </c>
      <c r="K1481" s="7">
        <v>6.2000000000000003E-5</v>
      </c>
      <c r="L1481" s="9">
        <v>6887.56</v>
      </c>
      <c r="M1481" s="9">
        <v>6943.1</v>
      </c>
      <c r="N1481" s="9">
        <v>3.79</v>
      </c>
      <c r="O1481" s="10">
        <f>IF(AND(OR(H1481="APPROVED",H1481="SCHEDULED"),COUNTIFS(tblSource[EventID],F1481,tblSource[ReleaseStatus],"APPROVED")=1,COUNTIFS(Period_Status!$A$2:$A$8,G1481,Period_Status!$B$2:$B$8,"ActualClosed")=1,C1481&gt;EOMONTH(Settlement_Bridge!$C$2,0)),1,0)</f>
        <v>0</v>
      </c>
      <c r="P1481" s="2" t="s">
        <v>4230</v>
      </c>
    </row>
    <row r="1482" spans="1:16" x14ac:dyDescent="0.25">
      <c r="A1482" s="2" t="s">
        <v>4231</v>
      </c>
      <c r="B1482" s="2" t="s">
        <v>199</v>
      </c>
      <c r="C1482" s="8">
        <v>46205</v>
      </c>
      <c r="D1482" s="6">
        <v>46204</v>
      </c>
      <c r="E1482" s="2" t="s">
        <v>260</v>
      </c>
      <c r="F1482" s="2" t="s">
        <v>4232</v>
      </c>
      <c r="G1482" s="6">
        <v>46174</v>
      </c>
      <c r="H1482" s="2" t="s">
        <v>71</v>
      </c>
      <c r="I1482" s="2" t="s">
        <v>70</v>
      </c>
      <c r="J1482" s="9">
        <v>4280.3669170000003</v>
      </c>
      <c r="K1482" s="7">
        <v>0.65800000000000003</v>
      </c>
      <c r="L1482" s="9">
        <v>2816.48</v>
      </c>
      <c r="M1482" s="9">
        <v>2846.44</v>
      </c>
      <c r="N1482" s="9">
        <v>1.8</v>
      </c>
      <c r="O1482" s="10">
        <f>IF(AND(OR(H1482="APPROVED",H1482="SCHEDULED"),COUNTIFS(tblSource[EventID],F1482,tblSource[ReleaseStatus],"APPROVED")=1,COUNTIFS(Period_Status!$A$2:$A$8,G1482,Period_Status!$B$2:$B$8,"ActualClosed")=1,C1482&gt;EOMONTH(Settlement_Bridge!$C$2,0)),1,0)</f>
        <v>0</v>
      </c>
      <c r="P1482" s="2" t="s">
        <v>4233</v>
      </c>
    </row>
    <row r="1483" spans="1:16" x14ac:dyDescent="0.25">
      <c r="A1483" s="2" t="s">
        <v>4234</v>
      </c>
      <c r="B1483" s="2" t="s">
        <v>199</v>
      </c>
      <c r="C1483" s="8">
        <v>46230</v>
      </c>
      <c r="D1483" s="6">
        <v>46204</v>
      </c>
      <c r="E1483" s="2" t="s">
        <v>260</v>
      </c>
      <c r="F1483" s="2" t="s">
        <v>4232</v>
      </c>
      <c r="G1483" s="6">
        <v>46174</v>
      </c>
      <c r="H1483" s="2" t="s">
        <v>71</v>
      </c>
      <c r="I1483" s="2" t="s">
        <v>70</v>
      </c>
      <c r="J1483" s="9">
        <v>6420.5503760000001</v>
      </c>
      <c r="K1483" s="7">
        <v>0.65800000000000003</v>
      </c>
      <c r="L1483" s="9">
        <v>4224.72</v>
      </c>
      <c r="M1483" s="9">
        <v>4269.67</v>
      </c>
      <c r="N1483" s="9">
        <v>2.3199999999999998</v>
      </c>
      <c r="O1483" s="10">
        <f>IF(AND(OR(H1483="APPROVED",H1483="SCHEDULED"),COUNTIFS(tblSource[EventID],F1483,tblSource[ReleaseStatus],"APPROVED")=1,COUNTIFS(Period_Status!$A$2:$A$8,G1483,Period_Status!$B$2:$B$8,"ActualClosed")=1,C1483&gt;EOMONTH(Settlement_Bridge!$C$2,0)),1,0)</f>
        <v>0</v>
      </c>
      <c r="P1483" s="2" t="s">
        <v>4235</v>
      </c>
    </row>
    <row r="1484" spans="1:16" x14ac:dyDescent="0.25">
      <c r="A1484" s="2" t="s">
        <v>4236</v>
      </c>
      <c r="B1484" s="2" t="s">
        <v>199</v>
      </c>
      <c r="C1484" s="8">
        <v>46216</v>
      </c>
      <c r="D1484" s="6">
        <v>46204</v>
      </c>
      <c r="E1484" s="2" t="s">
        <v>260</v>
      </c>
      <c r="F1484" s="2" t="s">
        <v>4237</v>
      </c>
      <c r="G1484" s="6">
        <v>46174</v>
      </c>
      <c r="H1484" s="2" t="s">
        <v>71</v>
      </c>
      <c r="I1484" s="2" t="s">
        <v>39</v>
      </c>
      <c r="J1484" s="9">
        <v>7289.12</v>
      </c>
      <c r="K1484" s="7">
        <v>1</v>
      </c>
      <c r="L1484" s="9">
        <v>7289.12</v>
      </c>
      <c r="M1484" s="9">
        <v>7289.12</v>
      </c>
      <c r="N1484" s="9">
        <v>4.01</v>
      </c>
      <c r="O1484" s="10">
        <f>IF(AND(OR(H1484="APPROVED",H1484="SCHEDULED"),COUNTIFS(tblSource[EventID],F1484,tblSource[ReleaseStatus],"APPROVED")=1,COUNTIFS(Period_Status!$A$2:$A$8,G1484,Period_Status!$B$2:$B$8,"ActualClosed")=1,C1484&gt;EOMONTH(Settlement_Bridge!$C$2,0)),1,0)</f>
        <v>0</v>
      </c>
      <c r="P1484" s="2" t="s">
        <v>4238</v>
      </c>
    </row>
    <row r="1485" spans="1:16" x14ac:dyDescent="0.25">
      <c r="A1485" s="2" t="s">
        <v>4239</v>
      </c>
      <c r="B1485" s="2" t="s">
        <v>199</v>
      </c>
      <c r="C1485" s="8">
        <v>46217</v>
      </c>
      <c r="D1485" s="6">
        <v>46204</v>
      </c>
      <c r="E1485" s="2" t="s">
        <v>260</v>
      </c>
      <c r="F1485" s="2" t="s">
        <v>4240</v>
      </c>
      <c r="G1485" s="6">
        <v>46174</v>
      </c>
      <c r="H1485" s="2" t="s">
        <v>71</v>
      </c>
      <c r="I1485" s="2" t="s">
        <v>76</v>
      </c>
      <c r="J1485" s="9">
        <v>119394080</v>
      </c>
      <c r="K1485" s="7">
        <v>6.2000000000000003E-5</v>
      </c>
      <c r="L1485" s="9">
        <v>7402.43</v>
      </c>
      <c r="M1485" s="9">
        <v>7462.13</v>
      </c>
      <c r="N1485" s="9">
        <v>4.07</v>
      </c>
      <c r="O1485" s="10">
        <f>IF(AND(OR(H1485="APPROVED",H1485="SCHEDULED"),COUNTIFS(tblSource[EventID],F1485,tblSource[ReleaseStatus],"APPROVED")=1,COUNTIFS(Period_Status!$A$2:$A$8,G1485,Period_Status!$B$2:$B$8,"ActualClosed")=1,C1485&gt;EOMONTH(Settlement_Bridge!$C$2,0)),1,0)</f>
        <v>0</v>
      </c>
      <c r="P1485" s="2" t="s">
        <v>4241</v>
      </c>
    </row>
    <row r="1486" spans="1:16" x14ac:dyDescent="0.25">
      <c r="A1486" s="2" t="s">
        <v>4242</v>
      </c>
      <c r="B1486" s="2" t="s">
        <v>199</v>
      </c>
      <c r="C1486" s="8">
        <v>46218</v>
      </c>
      <c r="D1486" s="6">
        <v>46204</v>
      </c>
      <c r="E1486" s="2" t="s">
        <v>260</v>
      </c>
      <c r="F1486" s="2" t="s">
        <v>4243</v>
      </c>
      <c r="G1486" s="6">
        <v>46174</v>
      </c>
      <c r="H1486" s="2" t="s">
        <v>71</v>
      </c>
      <c r="I1486" s="2" t="s">
        <v>70</v>
      </c>
      <c r="J1486" s="9">
        <v>11481.413533999999</v>
      </c>
      <c r="K1486" s="7">
        <v>0.65800000000000003</v>
      </c>
      <c r="L1486" s="9">
        <v>7554.77</v>
      </c>
      <c r="M1486" s="9">
        <v>7635.14</v>
      </c>
      <c r="N1486" s="9">
        <v>4.16</v>
      </c>
      <c r="O1486" s="10">
        <f>IF(AND(OR(H1486="APPROVED",H1486="SCHEDULED"),COUNTIFS(tblSource[EventID],F1486,tblSource[ReleaseStatus],"APPROVED")=1,COUNTIFS(Period_Status!$A$2:$A$8,G1486,Period_Status!$B$2:$B$8,"ActualClosed")=1,C1486&gt;EOMONTH(Settlement_Bridge!$C$2,0)),1,0)</f>
        <v>0</v>
      </c>
      <c r="P1486" s="2" t="s">
        <v>4244</v>
      </c>
    </row>
    <row r="1487" spans="1:16" x14ac:dyDescent="0.25">
      <c r="A1487" s="2" t="s">
        <v>4245</v>
      </c>
      <c r="B1487" s="2" t="s">
        <v>199</v>
      </c>
      <c r="C1487" s="8">
        <v>46219</v>
      </c>
      <c r="D1487" s="6">
        <v>46204</v>
      </c>
      <c r="E1487" s="2" t="s">
        <v>260</v>
      </c>
      <c r="F1487" s="2" t="s">
        <v>4246</v>
      </c>
      <c r="G1487" s="6">
        <v>46174</v>
      </c>
      <c r="H1487" s="2" t="s">
        <v>71</v>
      </c>
      <c r="I1487" s="2" t="s">
        <v>39</v>
      </c>
      <c r="J1487" s="9">
        <v>7808.15</v>
      </c>
      <c r="K1487" s="7">
        <v>1</v>
      </c>
      <c r="L1487" s="9">
        <v>7808.15</v>
      </c>
      <c r="M1487" s="9">
        <v>7808.15</v>
      </c>
      <c r="N1487" s="9">
        <v>4.29</v>
      </c>
      <c r="O1487" s="10">
        <f>IF(AND(OR(H1487="APPROVED",H1487="SCHEDULED"),COUNTIFS(tblSource[EventID],F1487,tblSource[ReleaseStatus],"APPROVED")=1,COUNTIFS(Period_Status!$A$2:$A$8,G1487,Period_Status!$B$2:$B$8,"ActualClosed")=1,C1487&gt;EOMONTH(Settlement_Bridge!$C$2,0)),1,0)</f>
        <v>0</v>
      </c>
      <c r="P1487" s="2" t="s">
        <v>4247</v>
      </c>
    </row>
    <row r="1488" spans="1:16" x14ac:dyDescent="0.25">
      <c r="A1488" s="2" t="s">
        <v>4248</v>
      </c>
      <c r="B1488" s="2" t="s">
        <v>199</v>
      </c>
      <c r="C1488" s="8">
        <v>46220</v>
      </c>
      <c r="D1488" s="6">
        <v>46204</v>
      </c>
      <c r="E1488" s="2" t="s">
        <v>260</v>
      </c>
      <c r="F1488" s="2" t="s">
        <v>4249</v>
      </c>
      <c r="G1488" s="6">
        <v>46174</v>
      </c>
      <c r="H1488" s="2" t="s">
        <v>71</v>
      </c>
      <c r="I1488" s="2" t="s">
        <v>76</v>
      </c>
      <c r="J1488" s="9">
        <v>127698560</v>
      </c>
      <c r="K1488" s="7">
        <v>6.2000000000000003E-5</v>
      </c>
      <c r="L1488" s="9">
        <v>7917.31</v>
      </c>
      <c r="M1488" s="9">
        <v>7981.16</v>
      </c>
      <c r="N1488" s="9">
        <v>4.3499999999999996</v>
      </c>
      <c r="O1488" s="10">
        <f>IF(AND(OR(H1488="APPROVED",H1488="SCHEDULED"),COUNTIFS(tblSource[EventID],F1488,tblSource[ReleaseStatus],"APPROVED")=1,COUNTIFS(Period_Status!$A$2:$A$8,G1488,Period_Status!$B$2:$B$8,"ActualClosed")=1,C1488&gt;EOMONTH(Settlement_Bridge!$C$2,0)),1,0)</f>
        <v>0</v>
      </c>
      <c r="P1488" s="2" t="s">
        <v>4250</v>
      </c>
    </row>
    <row r="1489" spans="1:16" x14ac:dyDescent="0.25">
      <c r="A1489" s="2" t="s">
        <v>4251</v>
      </c>
      <c r="B1489" s="2" t="s">
        <v>199</v>
      </c>
      <c r="C1489" s="8">
        <v>46211</v>
      </c>
      <c r="D1489" s="6">
        <v>46204</v>
      </c>
      <c r="E1489" s="2" t="s">
        <v>260</v>
      </c>
      <c r="F1489" s="2" t="s">
        <v>4252</v>
      </c>
      <c r="G1489" s="6">
        <v>46174</v>
      </c>
      <c r="H1489" s="2" t="s">
        <v>71</v>
      </c>
      <c r="I1489" s="2" t="s">
        <v>70</v>
      </c>
      <c r="J1489" s="9">
        <v>4904.7639099999997</v>
      </c>
      <c r="K1489" s="7">
        <v>0.65800000000000003</v>
      </c>
      <c r="L1489" s="9">
        <v>3227.33</v>
      </c>
      <c r="M1489" s="9">
        <v>3261.67</v>
      </c>
      <c r="N1489" s="9">
        <v>1.8</v>
      </c>
      <c r="O1489" s="10">
        <f>IF(AND(OR(H1489="APPROVED",H1489="SCHEDULED"),COUNTIFS(tblSource[EventID],F1489,tblSource[ReleaseStatus],"APPROVED")=1,COUNTIFS(Period_Status!$A$2:$A$8,G1489,Period_Status!$B$2:$B$8,"ActualClosed")=1,C1489&gt;EOMONTH(Settlement_Bridge!$C$2,0)),1,0)</f>
        <v>0</v>
      </c>
      <c r="P1489" s="2" t="s">
        <v>4253</v>
      </c>
    </row>
    <row r="1490" spans="1:16" x14ac:dyDescent="0.25">
      <c r="A1490" s="2" t="s">
        <v>4254</v>
      </c>
      <c r="B1490" s="2" t="s">
        <v>199</v>
      </c>
      <c r="C1490" s="8">
        <v>46236</v>
      </c>
      <c r="D1490" s="6">
        <v>46235</v>
      </c>
      <c r="E1490" s="2" t="s">
        <v>260</v>
      </c>
      <c r="F1490" s="2" t="s">
        <v>4252</v>
      </c>
      <c r="G1490" s="6">
        <v>46174</v>
      </c>
      <c r="H1490" s="2" t="s">
        <v>71</v>
      </c>
      <c r="I1490" s="2" t="s">
        <v>70</v>
      </c>
      <c r="J1490" s="9">
        <v>7357.1458640000001</v>
      </c>
      <c r="K1490" s="7">
        <v>0.65</v>
      </c>
      <c r="L1490" s="9">
        <v>4782.1400000000003</v>
      </c>
      <c r="M1490" s="9">
        <v>4892.5</v>
      </c>
      <c r="N1490" s="9">
        <v>2.63</v>
      </c>
      <c r="O1490" s="10">
        <f>IF(AND(OR(H1490="APPROVED",H1490="SCHEDULED"),COUNTIFS(tblSource[EventID],F1490,tblSource[ReleaseStatus],"APPROVED")=1,COUNTIFS(Period_Status!$A$2:$A$8,G1490,Period_Status!$B$2:$B$8,"ActualClosed")=1,C1490&gt;EOMONTH(Settlement_Bridge!$C$2,0)),1,0)</f>
        <v>1</v>
      </c>
      <c r="P1490" s="2" t="s">
        <v>4255</v>
      </c>
    </row>
    <row r="1491" spans="1:16" x14ac:dyDescent="0.25">
      <c r="A1491" s="2" t="s">
        <v>4256</v>
      </c>
      <c r="B1491" s="2" t="s">
        <v>199</v>
      </c>
      <c r="C1491" s="8">
        <v>46212</v>
      </c>
      <c r="D1491" s="6">
        <v>46204</v>
      </c>
      <c r="E1491" s="2" t="s">
        <v>260</v>
      </c>
      <c r="F1491" s="2" t="s">
        <v>4257</v>
      </c>
      <c r="G1491" s="6">
        <v>46174</v>
      </c>
      <c r="H1491" s="2" t="s">
        <v>71</v>
      </c>
      <c r="I1491" s="2" t="s">
        <v>39</v>
      </c>
      <c r="J1491" s="9">
        <v>3330.8719999999998</v>
      </c>
      <c r="K1491" s="7">
        <v>1</v>
      </c>
      <c r="L1491" s="9">
        <v>3330.87</v>
      </c>
      <c r="M1491" s="9">
        <v>3330.87</v>
      </c>
      <c r="N1491" s="9">
        <v>1.83</v>
      </c>
      <c r="O1491" s="10">
        <f>IF(AND(OR(H1491="APPROVED",H1491="SCHEDULED"),COUNTIFS(tblSource[EventID],F1491,tblSource[ReleaseStatus],"APPROVED")=1,COUNTIFS(Period_Status!$A$2:$A$8,G1491,Period_Status!$B$2:$B$8,"ActualClosed")=1,C1491&gt;EOMONTH(Settlement_Bridge!$C$2,0)),1,0)</f>
        <v>0</v>
      </c>
      <c r="P1491" s="2" t="s">
        <v>4258</v>
      </c>
    </row>
    <row r="1492" spans="1:16" x14ac:dyDescent="0.25">
      <c r="A1492" s="2" t="s">
        <v>4259</v>
      </c>
      <c r="B1492" s="2" t="s">
        <v>199</v>
      </c>
      <c r="C1492" s="8">
        <v>46237</v>
      </c>
      <c r="D1492" s="6">
        <v>46235</v>
      </c>
      <c r="E1492" s="2" t="s">
        <v>260</v>
      </c>
      <c r="F1492" s="2" t="s">
        <v>4257</v>
      </c>
      <c r="G1492" s="6">
        <v>46174</v>
      </c>
      <c r="H1492" s="2" t="s">
        <v>71</v>
      </c>
      <c r="I1492" s="2" t="s">
        <v>39</v>
      </c>
      <c r="J1492" s="9">
        <v>4996.308</v>
      </c>
      <c r="K1492" s="7">
        <v>1</v>
      </c>
      <c r="L1492" s="9">
        <v>4996.3100000000004</v>
      </c>
      <c r="M1492" s="9">
        <v>4996.3100000000004</v>
      </c>
      <c r="N1492" s="9">
        <v>2.75</v>
      </c>
      <c r="O1492" s="10">
        <f>IF(AND(OR(H1492="APPROVED",H1492="SCHEDULED"),COUNTIFS(tblSource[EventID],F1492,tblSource[ReleaseStatus],"APPROVED")=1,COUNTIFS(Period_Status!$A$2:$A$8,G1492,Period_Status!$B$2:$B$8,"ActualClosed")=1,C1492&gt;EOMONTH(Settlement_Bridge!$C$2,0)),1,0)</f>
        <v>1</v>
      </c>
      <c r="P1492" s="2" t="s">
        <v>4260</v>
      </c>
    </row>
    <row r="1493" spans="1:16" x14ac:dyDescent="0.25">
      <c r="A1493" s="2" t="s">
        <v>4261</v>
      </c>
      <c r="B1493" s="2" t="s">
        <v>199</v>
      </c>
      <c r="C1493" s="8">
        <v>46223</v>
      </c>
      <c r="D1493" s="6">
        <v>46204</v>
      </c>
      <c r="E1493" s="2" t="s">
        <v>260</v>
      </c>
      <c r="F1493" s="2" t="s">
        <v>4262</v>
      </c>
      <c r="G1493" s="6">
        <v>46174</v>
      </c>
      <c r="H1493" s="2" t="s">
        <v>71</v>
      </c>
      <c r="I1493" s="2" t="s">
        <v>76</v>
      </c>
      <c r="J1493" s="9">
        <v>136003040</v>
      </c>
      <c r="K1493" s="7">
        <v>6.2000000000000003E-5</v>
      </c>
      <c r="L1493" s="9">
        <v>8432.19</v>
      </c>
      <c r="M1493" s="9">
        <v>8500.19</v>
      </c>
      <c r="N1493" s="9">
        <v>4.6399999999999997</v>
      </c>
      <c r="O1493" s="10">
        <f>IF(AND(OR(H1493="APPROVED",H1493="SCHEDULED"),COUNTIFS(tblSource[EventID],F1493,tblSource[ReleaseStatus],"APPROVED")=1,COUNTIFS(Period_Status!$A$2:$A$8,G1493,Period_Status!$B$2:$B$8,"ActualClosed")=1,C1493&gt;EOMONTH(Settlement_Bridge!$C$2,0)),1,0)</f>
        <v>0</v>
      </c>
      <c r="P1493" s="2" t="s">
        <v>4263</v>
      </c>
    </row>
    <row r="1494" spans="1:16" x14ac:dyDescent="0.25">
      <c r="A1494" s="2" t="s">
        <v>4264</v>
      </c>
      <c r="B1494" s="2" t="s">
        <v>199</v>
      </c>
      <c r="C1494" s="8">
        <v>46224</v>
      </c>
      <c r="D1494" s="6">
        <v>46204</v>
      </c>
      <c r="E1494" s="2" t="s">
        <v>260</v>
      </c>
      <c r="F1494" s="2" t="s">
        <v>4265</v>
      </c>
      <c r="G1494" s="6">
        <v>46174</v>
      </c>
      <c r="H1494" s="2" t="s">
        <v>71</v>
      </c>
      <c r="I1494" s="2" t="s">
        <v>70</v>
      </c>
      <c r="J1494" s="9">
        <v>13042.406015</v>
      </c>
      <c r="K1494" s="7">
        <v>0.65800000000000003</v>
      </c>
      <c r="L1494" s="9">
        <v>8581.9</v>
      </c>
      <c r="M1494" s="9">
        <v>8673.2000000000007</v>
      </c>
      <c r="N1494" s="9">
        <v>4.72</v>
      </c>
      <c r="O1494" s="10">
        <f>IF(AND(OR(H1494="APPROVED",H1494="SCHEDULED"),COUNTIFS(tblSource[EventID],F1494,tblSource[ReleaseStatus],"APPROVED")=1,COUNTIFS(Period_Status!$A$2:$A$8,G1494,Period_Status!$B$2:$B$8,"ActualClosed")=1,C1494&gt;EOMONTH(Settlement_Bridge!$C$2,0)),1,0)</f>
        <v>0</v>
      </c>
      <c r="P1494" s="2" t="s">
        <v>4266</v>
      </c>
    </row>
    <row r="1495" spans="1:16" x14ac:dyDescent="0.25">
      <c r="A1495" s="2" t="s">
        <v>4267</v>
      </c>
      <c r="B1495" s="2" t="s">
        <v>199</v>
      </c>
      <c r="C1495" s="8">
        <v>46215</v>
      </c>
      <c r="D1495" s="6">
        <v>46204</v>
      </c>
      <c r="E1495" s="2" t="s">
        <v>260</v>
      </c>
      <c r="F1495" s="2" t="s">
        <v>4268</v>
      </c>
      <c r="G1495" s="6">
        <v>46174</v>
      </c>
      <c r="H1495" s="2" t="s">
        <v>71</v>
      </c>
      <c r="I1495" s="2" t="s">
        <v>39</v>
      </c>
      <c r="J1495" s="9">
        <v>3538.4839999999999</v>
      </c>
      <c r="K1495" s="7">
        <v>1</v>
      </c>
      <c r="L1495" s="9">
        <v>3538.48</v>
      </c>
      <c r="M1495" s="9">
        <v>3538.48</v>
      </c>
      <c r="N1495" s="9">
        <v>1.95</v>
      </c>
      <c r="O1495" s="10">
        <f>IF(AND(OR(H1495="APPROVED",H1495="SCHEDULED"),COUNTIFS(tblSource[EventID],F1495,tblSource[ReleaseStatus],"APPROVED")=1,COUNTIFS(Period_Status!$A$2:$A$8,G1495,Period_Status!$B$2:$B$8,"ActualClosed")=1,C1495&gt;EOMONTH(Settlement_Bridge!$C$2,0)),1,0)</f>
        <v>0</v>
      </c>
      <c r="P1495" s="2" t="s">
        <v>4269</v>
      </c>
    </row>
    <row r="1496" spans="1:16" x14ac:dyDescent="0.25">
      <c r="A1496" s="2" t="s">
        <v>4270</v>
      </c>
      <c r="B1496" s="2" t="s">
        <v>199</v>
      </c>
      <c r="C1496" s="8">
        <v>46240</v>
      </c>
      <c r="D1496" s="6">
        <v>46235</v>
      </c>
      <c r="E1496" s="2" t="s">
        <v>260</v>
      </c>
      <c r="F1496" s="2" t="s">
        <v>4268</v>
      </c>
      <c r="G1496" s="6">
        <v>46174</v>
      </c>
      <c r="H1496" s="2" t="s">
        <v>71</v>
      </c>
      <c r="I1496" s="2" t="s">
        <v>39</v>
      </c>
      <c r="J1496" s="9">
        <v>5307.7259999999997</v>
      </c>
      <c r="K1496" s="7">
        <v>1</v>
      </c>
      <c r="L1496" s="9">
        <v>5307.73</v>
      </c>
      <c r="M1496" s="9">
        <v>5307.73</v>
      </c>
      <c r="N1496" s="9">
        <v>2.92</v>
      </c>
      <c r="O1496" s="10">
        <f>IF(AND(OR(H1496="APPROVED",H1496="SCHEDULED"),COUNTIFS(tblSource[EventID],F1496,tblSource[ReleaseStatus],"APPROVED")=1,COUNTIFS(Period_Status!$A$2:$A$8,G1496,Period_Status!$B$2:$B$8,"ActualClosed")=1,C1496&gt;EOMONTH(Settlement_Bridge!$C$2,0)),1,0)</f>
        <v>1</v>
      </c>
      <c r="P1496" s="2" t="s">
        <v>4271</v>
      </c>
    </row>
    <row r="1497" spans="1:16" x14ac:dyDescent="0.25">
      <c r="A1497" s="2" t="s">
        <v>4272</v>
      </c>
      <c r="B1497" s="2" t="s">
        <v>199</v>
      </c>
      <c r="C1497" s="8">
        <v>46226</v>
      </c>
      <c r="D1497" s="6">
        <v>46204</v>
      </c>
      <c r="E1497" s="2" t="s">
        <v>260</v>
      </c>
      <c r="F1497" s="2" t="s">
        <v>4273</v>
      </c>
      <c r="G1497" s="6">
        <v>46174</v>
      </c>
      <c r="H1497" s="2" t="s">
        <v>71</v>
      </c>
      <c r="I1497" s="2" t="s">
        <v>76</v>
      </c>
      <c r="J1497" s="9">
        <v>144307520</v>
      </c>
      <c r="K1497" s="7">
        <v>6.2000000000000003E-5</v>
      </c>
      <c r="L1497" s="9">
        <v>8947.07</v>
      </c>
      <c r="M1497" s="9">
        <v>9019.2199999999993</v>
      </c>
      <c r="N1497" s="9">
        <v>4.92</v>
      </c>
      <c r="O1497" s="10">
        <f>IF(AND(OR(H1497="APPROVED",H1497="SCHEDULED"),COUNTIFS(tblSource[EventID],F1497,tblSource[ReleaseStatus],"APPROVED")=1,COUNTIFS(Period_Status!$A$2:$A$8,G1497,Period_Status!$B$2:$B$8,"ActualClosed")=1,C1497&gt;EOMONTH(Settlement_Bridge!$C$2,0)),1,0)</f>
        <v>0</v>
      </c>
      <c r="P1497" s="2" t="s">
        <v>4274</v>
      </c>
    </row>
    <row r="1498" spans="1:16" x14ac:dyDescent="0.25">
      <c r="A1498" s="2" t="s">
        <v>4275</v>
      </c>
      <c r="B1498" s="2" t="s">
        <v>199</v>
      </c>
      <c r="C1498" s="8">
        <v>46227</v>
      </c>
      <c r="D1498" s="6">
        <v>46204</v>
      </c>
      <c r="E1498" s="2" t="s">
        <v>260</v>
      </c>
      <c r="F1498" s="2" t="s">
        <v>4276</v>
      </c>
      <c r="G1498" s="6">
        <v>46174</v>
      </c>
      <c r="H1498" s="2" t="s">
        <v>71</v>
      </c>
      <c r="I1498" s="2" t="s">
        <v>70</v>
      </c>
      <c r="J1498" s="9">
        <v>13822.902255999999</v>
      </c>
      <c r="K1498" s="7">
        <v>0.65800000000000003</v>
      </c>
      <c r="L1498" s="9">
        <v>9095.4699999999993</v>
      </c>
      <c r="M1498" s="9">
        <v>9192.23</v>
      </c>
      <c r="N1498" s="9">
        <v>5</v>
      </c>
      <c r="O1498" s="10">
        <f>IF(AND(OR(H1498="APPROVED",H1498="SCHEDULED"),COUNTIFS(tblSource[EventID],F1498,tblSource[ReleaseStatus],"APPROVED")=1,COUNTIFS(Period_Status!$A$2:$A$8,G1498,Period_Status!$B$2:$B$8,"ActualClosed")=1,C1498&gt;EOMONTH(Settlement_Bridge!$C$2,0)),1,0)</f>
        <v>0</v>
      </c>
      <c r="P1498" s="2" t="s">
        <v>4277</v>
      </c>
    </row>
    <row r="1499" spans="1:16" x14ac:dyDescent="0.25">
      <c r="A1499" s="2" t="s">
        <v>4278</v>
      </c>
      <c r="B1499" s="2" t="s">
        <v>199</v>
      </c>
      <c r="C1499" s="8">
        <v>46198</v>
      </c>
      <c r="D1499" s="6">
        <v>46174</v>
      </c>
      <c r="E1499" s="2" t="s">
        <v>260</v>
      </c>
      <c r="F1499" s="2" t="s">
        <v>4279</v>
      </c>
      <c r="G1499" s="6">
        <v>46174</v>
      </c>
      <c r="H1499" s="2" t="s">
        <v>71</v>
      </c>
      <c r="I1499" s="2" t="s">
        <v>39</v>
      </c>
      <c r="J1499" s="9">
        <v>9365.24</v>
      </c>
      <c r="K1499" s="7">
        <v>1</v>
      </c>
      <c r="L1499" s="9">
        <v>9365.24</v>
      </c>
      <c r="M1499" s="9">
        <v>9365.24</v>
      </c>
      <c r="N1499" s="9">
        <v>5.15</v>
      </c>
      <c r="O1499" s="10">
        <f>IF(AND(OR(H1499="APPROVED",H1499="SCHEDULED"),COUNTIFS(tblSource[EventID],F1499,tblSource[ReleaseStatus],"APPROVED")=1,COUNTIFS(Period_Status!$A$2:$A$8,G1499,Period_Status!$B$2:$B$8,"ActualClosed")=1,C1499&gt;EOMONTH(Settlement_Bridge!$C$2,0)),1,0)</f>
        <v>0</v>
      </c>
      <c r="P1499" s="2" t="s">
        <v>4280</v>
      </c>
    </row>
    <row r="1500" spans="1:16" x14ac:dyDescent="0.25">
      <c r="A1500" s="2" t="s">
        <v>4281</v>
      </c>
      <c r="B1500" s="2" t="s">
        <v>199</v>
      </c>
      <c r="C1500" s="8">
        <v>46199</v>
      </c>
      <c r="D1500" s="6">
        <v>46174</v>
      </c>
      <c r="E1500" s="2" t="s">
        <v>260</v>
      </c>
      <c r="F1500" s="2" t="s">
        <v>4282</v>
      </c>
      <c r="G1500" s="6">
        <v>46174</v>
      </c>
      <c r="H1500" s="2" t="s">
        <v>71</v>
      </c>
      <c r="I1500" s="2" t="s">
        <v>76</v>
      </c>
      <c r="J1500" s="9">
        <v>152612000</v>
      </c>
      <c r="K1500" s="7">
        <v>6.2500000000000001E-5</v>
      </c>
      <c r="L1500" s="9">
        <v>9538.25</v>
      </c>
      <c r="M1500" s="9">
        <v>9538.25</v>
      </c>
      <c r="N1500" s="9">
        <v>5.25</v>
      </c>
      <c r="O1500" s="10">
        <f>IF(AND(OR(H1500="APPROVED",H1500="SCHEDULED"),COUNTIFS(tblSource[EventID],F1500,tblSource[ReleaseStatus],"APPROVED")=1,COUNTIFS(Period_Status!$A$2:$A$8,G1500,Period_Status!$B$2:$B$8,"ActualClosed")=1,C1500&gt;EOMONTH(Settlement_Bridge!$C$2,0)),1,0)</f>
        <v>0</v>
      </c>
      <c r="P1500" s="2" t="s">
        <v>4283</v>
      </c>
    </row>
    <row r="1501" spans="1:16" x14ac:dyDescent="0.25">
      <c r="A1501" s="2" t="s">
        <v>4284</v>
      </c>
      <c r="B1501" s="2" t="s">
        <v>199</v>
      </c>
      <c r="C1501" s="8">
        <v>46200</v>
      </c>
      <c r="D1501" s="6">
        <v>46174</v>
      </c>
      <c r="E1501" s="2" t="s">
        <v>260</v>
      </c>
      <c r="F1501" s="2" t="s">
        <v>4285</v>
      </c>
      <c r="G1501" s="6">
        <v>46174</v>
      </c>
      <c r="H1501" s="2" t="s">
        <v>71</v>
      </c>
      <c r="I1501" s="2" t="s">
        <v>70</v>
      </c>
      <c r="J1501" s="9">
        <v>-14603.398496</v>
      </c>
      <c r="K1501" s="7">
        <v>0.66500000000000004</v>
      </c>
      <c r="L1501" s="9">
        <v>-9711.26</v>
      </c>
      <c r="M1501" s="9">
        <v>-9711.26</v>
      </c>
      <c r="N1501" s="9">
        <v>0</v>
      </c>
      <c r="O1501" s="10">
        <f>IF(AND(OR(H1501="APPROVED",H1501="SCHEDULED"),COUNTIFS(tblSource[EventID],F1501,tblSource[ReleaseStatus],"APPROVED")=1,COUNTIFS(Period_Status!$A$2:$A$8,G1501,Period_Status!$B$2:$B$8,"ActualClosed")=1,C1501&gt;EOMONTH(Settlement_Bridge!$C$2,0)),1,0)</f>
        <v>0</v>
      </c>
      <c r="P1501" s="2" t="s">
        <v>4286</v>
      </c>
    </row>
    <row r="1502" spans="1:16" x14ac:dyDescent="0.25">
      <c r="A1502" s="2" t="s">
        <v>4287</v>
      </c>
      <c r="B1502" s="2" t="s">
        <v>199</v>
      </c>
      <c r="C1502" s="8">
        <v>46191</v>
      </c>
      <c r="D1502" s="6">
        <v>46174</v>
      </c>
      <c r="E1502" s="2" t="s">
        <v>260</v>
      </c>
      <c r="F1502" s="2" t="s">
        <v>4288</v>
      </c>
      <c r="G1502" s="6">
        <v>46174</v>
      </c>
      <c r="H1502" s="2" t="s">
        <v>71</v>
      </c>
      <c r="I1502" s="2" t="s">
        <v>39</v>
      </c>
      <c r="J1502" s="9">
        <v>3953.7080000000001</v>
      </c>
      <c r="K1502" s="7">
        <v>1</v>
      </c>
      <c r="L1502" s="9">
        <v>3953.71</v>
      </c>
      <c r="M1502" s="9">
        <v>3953.71</v>
      </c>
      <c r="N1502" s="9">
        <v>2.17</v>
      </c>
      <c r="O1502" s="10">
        <f>IF(AND(OR(H1502="APPROVED",H1502="SCHEDULED"),COUNTIFS(tblSource[EventID],F1502,tblSource[ReleaseStatus],"APPROVED")=1,COUNTIFS(Period_Status!$A$2:$A$8,G1502,Period_Status!$B$2:$B$8,"ActualClosed")=1,C1502&gt;EOMONTH(Settlement_Bridge!$C$2,0)),1,0)</f>
        <v>0</v>
      </c>
      <c r="P1502" s="2" t="s">
        <v>4289</v>
      </c>
    </row>
    <row r="1503" spans="1:16" x14ac:dyDescent="0.25">
      <c r="A1503" s="2" t="s">
        <v>4290</v>
      </c>
      <c r="B1503" s="2" t="s">
        <v>199</v>
      </c>
      <c r="C1503" s="8">
        <v>46216</v>
      </c>
      <c r="D1503" s="6">
        <v>46204</v>
      </c>
      <c r="E1503" s="2" t="s">
        <v>260</v>
      </c>
      <c r="F1503" s="2" t="s">
        <v>4288</v>
      </c>
      <c r="G1503" s="6">
        <v>46174</v>
      </c>
      <c r="H1503" s="2" t="s">
        <v>71</v>
      </c>
      <c r="I1503" s="2" t="s">
        <v>39</v>
      </c>
      <c r="J1503" s="9">
        <v>5930.5619999999999</v>
      </c>
      <c r="K1503" s="7">
        <v>1</v>
      </c>
      <c r="L1503" s="9">
        <v>5930.56</v>
      </c>
      <c r="M1503" s="9">
        <v>5930.56</v>
      </c>
      <c r="N1503" s="9">
        <v>3.26</v>
      </c>
      <c r="O1503" s="10">
        <f>IF(AND(OR(H1503="APPROVED",H1503="SCHEDULED"),COUNTIFS(tblSource[EventID],F1503,tblSource[ReleaseStatus],"APPROVED")=1,COUNTIFS(Period_Status!$A$2:$A$8,G1503,Period_Status!$B$2:$B$8,"ActualClosed")=1,C1503&gt;EOMONTH(Settlement_Bridge!$C$2,0)),1,0)</f>
        <v>0</v>
      </c>
      <c r="P1503" s="2" t="s">
        <v>4291</v>
      </c>
    </row>
    <row r="1504" spans="1:16" x14ac:dyDescent="0.25">
      <c r="A1504" s="2" t="s">
        <v>4292</v>
      </c>
      <c r="B1504" s="2" t="s">
        <v>199</v>
      </c>
      <c r="C1504" s="8">
        <v>46192</v>
      </c>
      <c r="D1504" s="6">
        <v>46174</v>
      </c>
      <c r="E1504" s="2" t="s">
        <v>260</v>
      </c>
      <c r="F1504" s="2" t="s">
        <v>4293</v>
      </c>
      <c r="G1504" s="6">
        <v>46174</v>
      </c>
      <c r="H1504" s="2" t="s">
        <v>71</v>
      </c>
      <c r="I1504" s="2" t="s">
        <v>76</v>
      </c>
      <c r="J1504" s="9">
        <v>64366592</v>
      </c>
      <c r="K1504" s="7">
        <v>6.2500000000000001E-5</v>
      </c>
      <c r="L1504" s="9">
        <v>4022.91</v>
      </c>
      <c r="M1504" s="9">
        <v>4022.91</v>
      </c>
      <c r="N1504" s="9">
        <v>2.21</v>
      </c>
      <c r="O1504" s="10">
        <f>IF(AND(OR(H1504="APPROVED",H1504="SCHEDULED"),COUNTIFS(tblSource[EventID],F1504,tblSource[ReleaseStatus],"APPROVED")=1,COUNTIFS(Period_Status!$A$2:$A$8,G1504,Period_Status!$B$2:$B$8,"ActualClosed")=1,C1504&gt;EOMONTH(Settlement_Bridge!$C$2,0)),1,0)</f>
        <v>0</v>
      </c>
      <c r="P1504" s="2" t="s">
        <v>4294</v>
      </c>
    </row>
    <row r="1505" spans="1:16" x14ac:dyDescent="0.25">
      <c r="A1505" s="2" t="s">
        <v>4295</v>
      </c>
      <c r="B1505" s="2" t="s">
        <v>199</v>
      </c>
      <c r="C1505" s="8">
        <v>46217</v>
      </c>
      <c r="D1505" s="6">
        <v>46204</v>
      </c>
      <c r="E1505" s="2" t="s">
        <v>260</v>
      </c>
      <c r="F1505" s="2" t="s">
        <v>4293</v>
      </c>
      <c r="G1505" s="6">
        <v>46174</v>
      </c>
      <c r="H1505" s="2" t="s">
        <v>71</v>
      </c>
      <c r="I1505" s="2" t="s">
        <v>76</v>
      </c>
      <c r="J1505" s="9">
        <v>96549888</v>
      </c>
      <c r="K1505" s="7">
        <v>6.2000000000000003E-5</v>
      </c>
      <c r="L1505" s="9">
        <v>5986.09</v>
      </c>
      <c r="M1505" s="9">
        <v>6034.37</v>
      </c>
      <c r="N1505" s="9">
        <v>3.29</v>
      </c>
      <c r="O1505" s="10">
        <f>IF(AND(OR(H1505="APPROVED",H1505="SCHEDULED"),COUNTIFS(tblSource[EventID],F1505,tblSource[ReleaseStatus],"APPROVED")=1,COUNTIFS(Period_Status!$A$2:$A$8,G1505,Period_Status!$B$2:$B$8,"ActualClosed")=1,C1505&gt;EOMONTH(Settlement_Bridge!$C$2,0)),1,0)</f>
        <v>0</v>
      </c>
      <c r="P1505" s="2" t="s">
        <v>4296</v>
      </c>
    </row>
    <row r="1506" spans="1:16" x14ac:dyDescent="0.25">
      <c r="A1506" s="2" t="s">
        <v>4297</v>
      </c>
      <c r="B1506" s="2" t="s">
        <v>199</v>
      </c>
      <c r="C1506" s="8">
        <v>46203</v>
      </c>
      <c r="D1506" s="6">
        <v>46174</v>
      </c>
      <c r="E1506" s="2" t="s">
        <v>260</v>
      </c>
      <c r="F1506" s="2" t="s">
        <v>4298</v>
      </c>
      <c r="G1506" s="6">
        <v>46174</v>
      </c>
      <c r="H1506" s="2" t="s">
        <v>71</v>
      </c>
      <c r="I1506" s="2" t="s">
        <v>70</v>
      </c>
      <c r="J1506" s="9">
        <v>15383.894737000001</v>
      </c>
      <c r="K1506" s="7">
        <v>0.66500000000000004</v>
      </c>
      <c r="L1506" s="9">
        <v>10230.290000000001</v>
      </c>
      <c r="M1506" s="9">
        <v>10230.290000000001</v>
      </c>
      <c r="N1506" s="9">
        <v>5.63</v>
      </c>
      <c r="O1506" s="10">
        <f>IF(AND(OR(H1506="APPROVED",H1506="SCHEDULED"),COUNTIFS(tblSource[EventID],F1506,tblSource[ReleaseStatus],"APPROVED")=1,COUNTIFS(Period_Status!$A$2:$A$8,G1506,Period_Status!$B$2:$B$8,"ActualClosed")=1,C1506&gt;EOMONTH(Settlement_Bridge!$C$2,0)),1,0)</f>
        <v>0</v>
      </c>
      <c r="P1506" s="2" t="s">
        <v>4299</v>
      </c>
    </row>
    <row r="1507" spans="1:16" x14ac:dyDescent="0.25">
      <c r="A1507" s="2" t="s">
        <v>4300</v>
      </c>
      <c r="B1507" s="2" t="s">
        <v>199</v>
      </c>
      <c r="C1507" s="8">
        <v>46204</v>
      </c>
      <c r="D1507" s="6">
        <v>46204</v>
      </c>
      <c r="E1507" s="2" t="s">
        <v>260</v>
      </c>
      <c r="F1507" s="2" t="s">
        <v>4301</v>
      </c>
      <c r="G1507" s="6">
        <v>46174</v>
      </c>
      <c r="H1507" s="2" t="s">
        <v>71</v>
      </c>
      <c r="I1507" s="2" t="s">
        <v>39</v>
      </c>
      <c r="J1507" s="9">
        <v>10403.299999999999</v>
      </c>
      <c r="K1507" s="7">
        <v>1</v>
      </c>
      <c r="L1507" s="9">
        <v>10403.299999999999</v>
      </c>
      <c r="M1507" s="9">
        <v>10403.299999999999</v>
      </c>
      <c r="N1507" s="9">
        <v>5.72</v>
      </c>
      <c r="O1507" s="10">
        <f>IF(AND(OR(H1507="APPROVED",H1507="SCHEDULED"),COUNTIFS(tblSource[EventID],F1507,tblSource[ReleaseStatus],"APPROVED")=1,COUNTIFS(Period_Status!$A$2:$A$8,G1507,Period_Status!$B$2:$B$8,"ActualClosed")=1,C1507&gt;EOMONTH(Settlement_Bridge!$C$2,0)),1,0)</f>
        <v>0</v>
      </c>
      <c r="P1507" s="2" t="s">
        <v>4302</v>
      </c>
    </row>
    <row r="1508" spans="1:16" x14ac:dyDescent="0.25">
      <c r="A1508" s="2" t="s">
        <v>4303</v>
      </c>
      <c r="B1508" s="2" t="s">
        <v>199</v>
      </c>
      <c r="C1508" s="8">
        <v>46195</v>
      </c>
      <c r="D1508" s="6">
        <v>46174</v>
      </c>
      <c r="E1508" s="2" t="s">
        <v>260</v>
      </c>
      <c r="F1508" s="2" t="s">
        <v>4304</v>
      </c>
      <c r="G1508" s="6">
        <v>46174</v>
      </c>
      <c r="H1508" s="2" t="s">
        <v>71</v>
      </c>
      <c r="I1508" s="2" t="s">
        <v>76</v>
      </c>
      <c r="J1508" s="9">
        <v>67688384</v>
      </c>
      <c r="K1508" s="7">
        <v>6.2500000000000001E-5</v>
      </c>
      <c r="L1508" s="9">
        <v>4230.5200000000004</v>
      </c>
      <c r="M1508" s="9">
        <v>4230.5200000000004</v>
      </c>
      <c r="N1508" s="9">
        <v>2.33</v>
      </c>
      <c r="O1508" s="10">
        <f>IF(AND(OR(H1508="APPROVED",H1508="SCHEDULED"),COUNTIFS(tblSource[EventID],F1508,tblSource[ReleaseStatus],"APPROVED")=1,COUNTIFS(Period_Status!$A$2:$A$8,G1508,Period_Status!$B$2:$B$8,"ActualClosed")=1,C1508&gt;EOMONTH(Settlement_Bridge!$C$2,0)),1,0)</f>
        <v>0</v>
      </c>
      <c r="P1508" s="2" t="s">
        <v>4305</v>
      </c>
    </row>
    <row r="1509" spans="1:16" x14ac:dyDescent="0.25">
      <c r="A1509" s="2" t="s">
        <v>4306</v>
      </c>
      <c r="B1509" s="2" t="s">
        <v>199</v>
      </c>
      <c r="C1509" s="8">
        <v>46220</v>
      </c>
      <c r="D1509" s="6">
        <v>46204</v>
      </c>
      <c r="E1509" s="2" t="s">
        <v>260</v>
      </c>
      <c r="F1509" s="2" t="s">
        <v>4304</v>
      </c>
      <c r="G1509" s="6">
        <v>46174</v>
      </c>
      <c r="H1509" s="2" t="s">
        <v>71</v>
      </c>
      <c r="I1509" s="2" t="s">
        <v>76</v>
      </c>
      <c r="J1509" s="9">
        <v>101532576</v>
      </c>
      <c r="K1509" s="7">
        <v>6.2000000000000003E-5</v>
      </c>
      <c r="L1509" s="9">
        <v>6295.02</v>
      </c>
      <c r="M1509" s="9">
        <v>6345.79</v>
      </c>
      <c r="N1509" s="9">
        <v>3.46</v>
      </c>
      <c r="O1509" s="10">
        <f>IF(AND(OR(H1509="APPROVED",H1509="SCHEDULED"),COUNTIFS(tblSource[EventID],F1509,tblSource[ReleaseStatus],"APPROVED")=1,COUNTIFS(Period_Status!$A$2:$A$8,G1509,Period_Status!$B$2:$B$8,"ActualClosed")=1,C1509&gt;EOMONTH(Settlement_Bridge!$C$2,0)),1,0)</f>
        <v>0</v>
      </c>
      <c r="P1509" s="2" t="s">
        <v>4307</v>
      </c>
    </row>
    <row r="1510" spans="1:16" x14ac:dyDescent="0.25">
      <c r="A1510" s="2" t="s">
        <v>4308</v>
      </c>
      <c r="B1510" s="2" t="s">
        <v>199</v>
      </c>
      <c r="C1510" s="8">
        <v>46206</v>
      </c>
      <c r="D1510" s="6">
        <v>46204</v>
      </c>
      <c r="E1510" s="2" t="s">
        <v>260</v>
      </c>
      <c r="F1510" s="2" t="s">
        <v>4309</v>
      </c>
      <c r="G1510" s="6">
        <v>46174</v>
      </c>
      <c r="H1510" s="2" t="s">
        <v>71</v>
      </c>
      <c r="I1510" s="2" t="s">
        <v>70</v>
      </c>
      <c r="J1510" s="9">
        <v>16164.390976999999</v>
      </c>
      <c r="K1510" s="7">
        <v>0.65800000000000003</v>
      </c>
      <c r="L1510" s="9">
        <v>10636.17</v>
      </c>
      <c r="M1510" s="9">
        <v>10749.32</v>
      </c>
      <c r="N1510" s="9">
        <v>5.85</v>
      </c>
      <c r="O1510" s="10">
        <f>IF(AND(OR(H1510="APPROVED",H1510="SCHEDULED"),COUNTIFS(tblSource[EventID],F1510,tblSource[ReleaseStatus],"APPROVED")=1,COUNTIFS(Period_Status!$A$2:$A$8,G1510,Period_Status!$B$2:$B$8,"ActualClosed")=1,C1510&gt;EOMONTH(Settlement_Bridge!$C$2,0)),1,0)</f>
        <v>0</v>
      </c>
      <c r="P1510" s="2" t="s">
        <v>4310</v>
      </c>
    </row>
    <row r="1511" spans="1:16" x14ac:dyDescent="0.25">
      <c r="A1511" s="2" t="s">
        <v>4311</v>
      </c>
      <c r="B1511" s="2" t="s">
        <v>199</v>
      </c>
      <c r="C1511" s="8">
        <v>46207</v>
      </c>
      <c r="D1511" s="6">
        <v>46204</v>
      </c>
      <c r="E1511" s="2" t="s">
        <v>260</v>
      </c>
      <c r="F1511" s="2" t="s">
        <v>4312</v>
      </c>
      <c r="G1511" s="6">
        <v>46174</v>
      </c>
      <c r="H1511" s="2" t="s">
        <v>71</v>
      </c>
      <c r="I1511" s="2" t="s">
        <v>39</v>
      </c>
      <c r="J1511" s="9">
        <v>10922.33</v>
      </c>
      <c r="K1511" s="7">
        <v>1</v>
      </c>
      <c r="L1511" s="9">
        <v>10922.33</v>
      </c>
      <c r="M1511" s="9">
        <v>10922.33</v>
      </c>
      <c r="N1511" s="9">
        <v>6.01</v>
      </c>
      <c r="O1511" s="10">
        <f>IF(AND(OR(H1511="APPROVED",H1511="SCHEDULED"),COUNTIFS(tblSource[EventID],F1511,tblSource[ReleaseStatus],"APPROVED")=1,COUNTIFS(Period_Status!$A$2:$A$8,G1511,Period_Status!$B$2:$B$8,"ActualClosed")=1,C1511&gt;EOMONTH(Settlement_Bridge!$C$2,0)),1,0)</f>
        <v>0</v>
      </c>
      <c r="P1511" s="2" t="s">
        <v>4313</v>
      </c>
    </row>
    <row r="1512" spans="1:16" x14ac:dyDescent="0.25">
      <c r="A1512" s="2" t="s">
        <v>4314</v>
      </c>
      <c r="B1512" s="2" t="s">
        <v>199</v>
      </c>
      <c r="C1512" s="8">
        <v>46208</v>
      </c>
      <c r="D1512" s="6">
        <v>46204</v>
      </c>
      <c r="E1512" s="2" t="s">
        <v>260</v>
      </c>
      <c r="F1512" s="2" t="s">
        <v>4315</v>
      </c>
      <c r="G1512" s="6">
        <v>46174</v>
      </c>
      <c r="H1512" s="2" t="s">
        <v>71</v>
      </c>
      <c r="I1512" s="2" t="s">
        <v>76</v>
      </c>
      <c r="J1512" s="9">
        <v>177525440</v>
      </c>
      <c r="K1512" s="7">
        <v>6.2000000000000003E-5</v>
      </c>
      <c r="L1512" s="9">
        <v>11006.58</v>
      </c>
      <c r="M1512" s="9">
        <v>11095.34</v>
      </c>
      <c r="N1512" s="9">
        <v>6.05</v>
      </c>
      <c r="O1512" s="10">
        <f>IF(AND(OR(H1512="APPROVED",H1512="SCHEDULED"),COUNTIFS(tblSource[EventID],F1512,tblSource[ReleaseStatus],"APPROVED")=1,COUNTIFS(Period_Status!$A$2:$A$8,G1512,Period_Status!$B$2:$B$8,"ActualClosed")=1,C1512&gt;EOMONTH(Settlement_Bridge!$C$2,0)),1,0)</f>
        <v>0</v>
      </c>
      <c r="P1512" s="2" t="s">
        <v>4316</v>
      </c>
    </row>
    <row r="1513" spans="1:16" x14ac:dyDescent="0.25">
      <c r="A1513" s="2" t="s">
        <v>4317</v>
      </c>
      <c r="B1513" s="2" t="s">
        <v>199</v>
      </c>
      <c r="C1513" s="8">
        <v>46209</v>
      </c>
      <c r="D1513" s="6">
        <v>46204</v>
      </c>
      <c r="E1513" s="2" t="s">
        <v>260</v>
      </c>
      <c r="F1513" s="2" t="s">
        <v>4318</v>
      </c>
      <c r="G1513" s="6">
        <v>46174</v>
      </c>
      <c r="H1513" s="2" t="s">
        <v>71</v>
      </c>
      <c r="I1513" s="2" t="s">
        <v>70</v>
      </c>
      <c r="J1513" s="9">
        <v>16944.887218</v>
      </c>
      <c r="K1513" s="7">
        <v>0.65800000000000003</v>
      </c>
      <c r="L1513" s="9">
        <v>11149.74</v>
      </c>
      <c r="M1513" s="9">
        <v>11268.35</v>
      </c>
      <c r="N1513" s="9">
        <v>6.13</v>
      </c>
      <c r="O1513" s="10">
        <f>IF(AND(OR(H1513="APPROVED",H1513="SCHEDULED"),COUNTIFS(tblSource[EventID],F1513,tblSource[ReleaseStatus],"APPROVED")=1,COUNTIFS(Period_Status!$A$2:$A$8,G1513,Period_Status!$B$2:$B$8,"ActualClosed")=1,C1513&gt;EOMONTH(Settlement_Bridge!$C$2,0)),1,0)</f>
        <v>0</v>
      </c>
      <c r="P1513" s="2" t="s">
        <v>4319</v>
      </c>
    </row>
    <row r="1514" spans="1:16" x14ac:dyDescent="0.25">
      <c r="A1514" s="2" t="s">
        <v>4320</v>
      </c>
      <c r="B1514" s="2" t="s">
        <v>199</v>
      </c>
      <c r="C1514" s="8">
        <v>46210</v>
      </c>
      <c r="D1514" s="6">
        <v>46204</v>
      </c>
      <c r="E1514" s="2" t="s">
        <v>260</v>
      </c>
      <c r="F1514" s="2" t="s">
        <v>4321</v>
      </c>
      <c r="G1514" s="6">
        <v>46174</v>
      </c>
      <c r="H1514" s="2" t="s">
        <v>71</v>
      </c>
      <c r="I1514" s="2" t="s">
        <v>39</v>
      </c>
      <c r="J1514" s="9">
        <v>11441.36</v>
      </c>
      <c r="K1514" s="7">
        <v>1</v>
      </c>
      <c r="L1514" s="9">
        <v>11441.36</v>
      </c>
      <c r="M1514" s="9">
        <v>11441.36</v>
      </c>
      <c r="N1514" s="9">
        <v>6.29</v>
      </c>
      <c r="O1514" s="10">
        <f>IF(AND(OR(H1514="APPROVED",H1514="SCHEDULED"),COUNTIFS(tblSource[EventID],F1514,tblSource[ReleaseStatus],"APPROVED")=1,COUNTIFS(Period_Status!$A$2:$A$8,G1514,Period_Status!$B$2:$B$8,"ActualClosed")=1,C1514&gt;EOMONTH(Settlement_Bridge!$C$2,0)),1,0)</f>
        <v>0</v>
      </c>
      <c r="P1514" s="2" t="s">
        <v>4322</v>
      </c>
    </row>
    <row r="1515" spans="1:16" x14ac:dyDescent="0.25">
      <c r="A1515" s="2" t="s">
        <v>4323</v>
      </c>
      <c r="B1515" s="2" t="s">
        <v>199</v>
      </c>
      <c r="C1515" s="8">
        <v>46201</v>
      </c>
      <c r="D1515" s="6">
        <v>46174</v>
      </c>
      <c r="E1515" s="2" t="s">
        <v>260</v>
      </c>
      <c r="F1515" s="2" t="s">
        <v>4324</v>
      </c>
      <c r="G1515" s="6">
        <v>46174</v>
      </c>
      <c r="H1515" s="2" t="s">
        <v>71</v>
      </c>
      <c r="I1515" s="2" t="s">
        <v>76</v>
      </c>
      <c r="J1515" s="9">
        <v>74331968</v>
      </c>
      <c r="K1515" s="7">
        <v>6.2500000000000001E-5</v>
      </c>
      <c r="L1515" s="9">
        <v>4645.75</v>
      </c>
      <c r="M1515" s="9">
        <v>4645.75</v>
      </c>
      <c r="N1515" s="9">
        <v>2.56</v>
      </c>
      <c r="O1515" s="10">
        <f>IF(AND(OR(H1515="APPROVED",H1515="SCHEDULED"),COUNTIFS(tblSource[EventID],F1515,tblSource[ReleaseStatus],"APPROVED")=1,COUNTIFS(Period_Status!$A$2:$A$8,G1515,Period_Status!$B$2:$B$8,"ActualClosed")=1,C1515&gt;EOMONTH(Settlement_Bridge!$C$2,0)),1,0)</f>
        <v>0</v>
      </c>
      <c r="P1515" s="2" t="s">
        <v>4325</v>
      </c>
    </row>
    <row r="1516" spans="1:16" x14ac:dyDescent="0.25">
      <c r="A1516" s="2" t="s">
        <v>4326</v>
      </c>
      <c r="B1516" s="2" t="s">
        <v>199</v>
      </c>
      <c r="C1516" s="8">
        <v>46226</v>
      </c>
      <c r="D1516" s="6">
        <v>46204</v>
      </c>
      <c r="E1516" s="2" t="s">
        <v>260</v>
      </c>
      <c r="F1516" s="2" t="s">
        <v>4324</v>
      </c>
      <c r="G1516" s="6">
        <v>46174</v>
      </c>
      <c r="H1516" s="2" t="s">
        <v>71</v>
      </c>
      <c r="I1516" s="2" t="s">
        <v>76</v>
      </c>
      <c r="J1516" s="9">
        <v>111497952</v>
      </c>
      <c r="K1516" s="7">
        <v>6.2000000000000003E-5</v>
      </c>
      <c r="L1516" s="9">
        <v>6912.87</v>
      </c>
      <c r="M1516" s="9">
        <v>6968.62</v>
      </c>
      <c r="N1516" s="9">
        <v>3.8</v>
      </c>
      <c r="O1516" s="10">
        <f>IF(AND(OR(H1516="APPROVED",H1516="SCHEDULED"),COUNTIFS(tblSource[EventID],F1516,tblSource[ReleaseStatus],"APPROVED")=1,COUNTIFS(Period_Status!$A$2:$A$8,G1516,Period_Status!$B$2:$B$8,"ActualClosed")=1,C1516&gt;EOMONTH(Settlement_Bridge!$C$2,0)),1,0)</f>
        <v>0</v>
      </c>
      <c r="P1516" s="2" t="s">
        <v>4327</v>
      </c>
    </row>
    <row r="1517" spans="1:16" x14ac:dyDescent="0.25">
      <c r="A1517" s="2" t="s">
        <v>4328</v>
      </c>
      <c r="B1517" s="2" t="s">
        <v>199</v>
      </c>
      <c r="C1517" s="8">
        <v>46202</v>
      </c>
      <c r="D1517" s="6">
        <v>46174</v>
      </c>
      <c r="E1517" s="2" t="s">
        <v>260</v>
      </c>
      <c r="F1517" s="2" t="s">
        <v>4329</v>
      </c>
      <c r="G1517" s="6">
        <v>46174</v>
      </c>
      <c r="H1517" s="2" t="s">
        <v>71</v>
      </c>
      <c r="I1517" s="2" t="s">
        <v>70</v>
      </c>
      <c r="J1517" s="9">
        <v>7090.1533840000002</v>
      </c>
      <c r="K1517" s="7">
        <v>0.66500000000000004</v>
      </c>
      <c r="L1517" s="9">
        <v>4714.95</v>
      </c>
      <c r="M1517" s="9">
        <v>4714.95</v>
      </c>
      <c r="N1517" s="9">
        <v>2.59</v>
      </c>
      <c r="O1517" s="10">
        <f>IF(AND(OR(H1517="APPROVED",H1517="SCHEDULED"),COUNTIFS(tblSource[EventID],F1517,tblSource[ReleaseStatus],"APPROVED")=1,COUNTIFS(Period_Status!$A$2:$A$8,G1517,Period_Status!$B$2:$B$8,"ActualClosed")=1,C1517&gt;EOMONTH(Settlement_Bridge!$C$2,0)),1,0)</f>
        <v>0</v>
      </c>
      <c r="P1517" s="2" t="s">
        <v>4330</v>
      </c>
    </row>
    <row r="1518" spans="1:16" x14ac:dyDescent="0.25">
      <c r="A1518" s="2" t="s">
        <v>4331</v>
      </c>
      <c r="B1518" s="2" t="s">
        <v>199</v>
      </c>
      <c r="C1518" s="8">
        <v>46227</v>
      </c>
      <c r="D1518" s="6">
        <v>46204</v>
      </c>
      <c r="E1518" s="2" t="s">
        <v>260</v>
      </c>
      <c r="F1518" s="2" t="s">
        <v>4329</v>
      </c>
      <c r="G1518" s="6">
        <v>46174</v>
      </c>
      <c r="H1518" s="2" t="s">
        <v>71</v>
      </c>
      <c r="I1518" s="2" t="s">
        <v>70</v>
      </c>
      <c r="J1518" s="9">
        <v>10635.230074999999</v>
      </c>
      <c r="K1518" s="7">
        <v>0.65800000000000003</v>
      </c>
      <c r="L1518" s="9">
        <v>6997.98</v>
      </c>
      <c r="M1518" s="9">
        <v>7072.43</v>
      </c>
      <c r="N1518" s="9">
        <v>3.85</v>
      </c>
      <c r="O1518" s="10">
        <f>IF(AND(OR(H1518="APPROVED",H1518="SCHEDULED"),COUNTIFS(tblSource[EventID],F1518,tblSource[ReleaseStatus],"APPROVED")=1,COUNTIFS(Period_Status!$A$2:$A$8,G1518,Period_Status!$B$2:$B$8,"ActualClosed")=1,C1518&gt;EOMONTH(Settlement_Bridge!$C$2,0)),1,0)</f>
        <v>0</v>
      </c>
      <c r="P1518" s="2" t="s">
        <v>4332</v>
      </c>
    </row>
    <row r="1519" spans="1:16" x14ac:dyDescent="0.25">
      <c r="A1519" s="2" t="s">
        <v>4333</v>
      </c>
      <c r="B1519" s="2" t="s">
        <v>199</v>
      </c>
      <c r="C1519" s="8">
        <v>46213</v>
      </c>
      <c r="D1519" s="6">
        <v>46204</v>
      </c>
      <c r="E1519" s="2" t="s">
        <v>260</v>
      </c>
      <c r="F1519" s="2" t="s">
        <v>4334</v>
      </c>
      <c r="G1519" s="6">
        <v>46174</v>
      </c>
      <c r="H1519" s="2" t="s">
        <v>71</v>
      </c>
      <c r="I1519" s="2" t="s">
        <v>39</v>
      </c>
      <c r="J1519" s="9">
        <v>11960.39</v>
      </c>
      <c r="K1519" s="7">
        <v>1</v>
      </c>
      <c r="L1519" s="9">
        <v>11960.39</v>
      </c>
      <c r="M1519" s="9">
        <v>11960.39</v>
      </c>
      <c r="N1519" s="9">
        <v>6.58</v>
      </c>
      <c r="O1519" s="10">
        <f>IF(AND(OR(H1519="APPROVED",H1519="SCHEDULED"),COUNTIFS(tblSource[EventID],F1519,tblSource[ReleaseStatus],"APPROVED")=1,COUNTIFS(Period_Status!$A$2:$A$8,G1519,Period_Status!$B$2:$B$8,"ActualClosed")=1,C1519&gt;EOMONTH(Settlement_Bridge!$C$2,0)),1,0)</f>
        <v>0</v>
      </c>
      <c r="P1519" s="2" t="s">
        <v>4335</v>
      </c>
    </row>
    <row r="1520" spans="1:16" x14ac:dyDescent="0.25">
      <c r="A1520" s="2" t="s">
        <v>4336</v>
      </c>
      <c r="B1520" s="2" t="s">
        <v>199</v>
      </c>
      <c r="C1520" s="8">
        <v>46214</v>
      </c>
      <c r="D1520" s="6">
        <v>46204</v>
      </c>
      <c r="E1520" s="2" t="s">
        <v>260</v>
      </c>
      <c r="F1520" s="2" t="s">
        <v>4337</v>
      </c>
      <c r="G1520" s="6">
        <v>46174</v>
      </c>
      <c r="H1520" s="2" t="s">
        <v>71</v>
      </c>
      <c r="I1520" s="2" t="s">
        <v>76</v>
      </c>
      <c r="J1520" s="9">
        <v>194134400</v>
      </c>
      <c r="K1520" s="7">
        <v>6.2000000000000003E-5</v>
      </c>
      <c r="L1520" s="9">
        <v>12036.33</v>
      </c>
      <c r="M1520" s="9">
        <v>12133.4</v>
      </c>
      <c r="N1520" s="9">
        <v>6.62</v>
      </c>
      <c r="O1520" s="10">
        <f>IF(AND(OR(H1520="APPROVED",H1520="SCHEDULED"),COUNTIFS(tblSource[EventID],F1520,tblSource[ReleaseStatus],"APPROVED")=1,COUNTIFS(Period_Status!$A$2:$A$8,G1520,Period_Status!$B$2:$B$8,"ActualClosed")=1,C1520&gt;EOMONTH(Settlement_Bridge!$C$2,0)),1,0)</f>
        <v>0</v>
      </c>
      <c r="P1520" s="2" t="s">
        <v>4338</v>
      </c>
    </row>
    <row r="1521" spans="1:16" x14ac:dyDescent="0.25">
      <c r="A1521" s="2" t="s">
        <v>4339</v>
      </c>
      <c r="B1521" s="2" t="s">
        <v>199</v>
      </c>
      <c r="C1521" s="8">
        <v>46205</v>
      </c>
      <c r="D1521" s="6">
        <v>46204</v>
      </c>
      <c r="E1521" s="2" t="s">
        <v>260</v>
      </c>
      <c r="F1521" s="2" t="s">
        <v>4340</v>
      </c>
      <c r="G1521" s="6">
        <v>46174</v>
      </c>
      <c r="H1521" s="2" t="s">
        <v>71</v>
      </c>
      <c r="I1521" s="2" t="s">
        <v>70</v>
      </c>
      <c r="J1521" s="9">
        <v>7402.3518800000002</v>
      </c>
      <c r="K1521" s="7">
        <v>0.65800000000000003</v>
      </c>
      <c r="L1521" s="9">
        <v>4870.75</v>
      </c>
      <c r="M1521" s="9">
        <v>4922.5600000000004</v>
      </c>
      <c r="N1521" s="9">
        <v>2.68</v>
      </c>
      <c r="O1521" s="10">
        <f>IF(AND(OR(H1521="APPROVED",H1521="SCHEDULED"),COUNTIFS(tblSource[EventID],F1521,tblSource[ReleaseStatus],"APPROVED")=1,COUNTIFS(Period_Status!$A$2:$A$8,G1521,Period_Status!$B$2:$B$8,"ActualClosed")=1,C1521&gt;EOMONTH(Settlement_Bridge!$C$2,0)),1,0)</f>
        <v>0</v>
      </c>
      <c r="P1521" s="2" t="s">
        <v>4341</v>
      </c>
    </row>
    <row r="1522" spans="1:16" x14ac:dyDescent="0.25">
      <c r="A1522" s="2" t="s">
        <v>4342</v>
      </c>
      <c r="B1522" s="2" t="s">
        <v>199</v>
      </c>
      <c r="C1522" s="8">
        <v>46230</v>
      </c>
      <c r="D1522" s="6">
        <v>46204</v>
      </c>
      <c r="E1522" s="2" t="s">
        <v>260</v>
      </c>
      <c r="F1522" s="2" t="s">
        <v>4340</v>
      </c>
      <c r="G1522" s="6">
        <v>46174</v>
      </c>
      <c r="H1522" s="2" t="s">
        <v>71</v>
      </c>
      <c r="I1522" s="2" t="s">
        <v>70</v>
      </c>
      <c r="J1522" s="9">
        <v>11103.527819000001</v>
      </c>
      <c r="K1522" s="7">
        <v>0.65800000000000003</v>
      </c>
      <c r="L1522" s="9">
        <v>7306.12</v>
      </c>
      <c r="M1522" s="9">
        <v>7383.85</v>
      </c>
      <c r="N1522" s="9">
        <v>4.0199999999999996</v>
      </c>
      <c r="O1522" s="10">
        <f>IF(AND(OR(H1522="APPROVED",H1522="SCHEDULED"),COUNTIFS(tblSource[EventID],F1522,tblSource[ReleaseStatus],"APPROVED")=1,COUNTIFS(Period_Status!$A$2:$A$8,G1522,Period_Status!$B$2:$B$8,"ActualClosed")=1,C1522&gt;EOMONTH(Settlement_Bridge!$C$2,0)),1,0)</f>
        <v>0</v>
      </c>
      <c r="P1522" s="2" t="s">
        <v>4343</v>
      </c>
    </row>
    <row r="1523" spans="1:16" x14ac:dyDescent="0.25">
      <c r="A1523" s="2" t="s">
        <v>4344</v>
      </c>
      <c r="B1523" s="2" t="s">
        <v>199</v>
      </c>
      <c r="C1523" s="8">
        <v>46216</v>
      </c>
      <c r="D1523" s="6">
        <v>46204</v>
      </c>
      <c r="E1523" s="2" t="s">
        <v>260</v>
      </c>
      <c r="F1523" s="2" t="s">
        <v>4345</v>
      </c>
      <c r="G1523" s="6">
        <v>46174</v>
      </c>
      <c r="H1523" s="2" t="s">
        <v>71</v>
      </c>
      <c r="I1523" s="2" t="s">
        <v>39</v>
      </c>
      <c r="J1523" s="9">
        <v>12479.42</v>
      </c>
      <c r="K1523" s="7">
        <v>1</v>
      </c>
      <c r="L1523" s="9">
        <v>12479.42</v>
      </c>
      <c r="M1523" s="9">
        <v>12479.42</v>
      </c>
      <c r="N1523" s="9">
        <v>6.86</v>
      </c>
      <c r="O1523" s="10">
        <f>IF(AND(OR(H1523="APPROVED",H1523="SCHEDULED"),COUNTIFS(tblSource[EventID],F1523,tblSource[ReleaseStatus],"APPROVED")=1,COUNTIFS(Period_Status!$A$2:$A$8,G1523,Period_Status!$B$2:$B$8,"ActualClosed")=1,C1523&gt;EOMONTH(Settlement_Bridge!$C$2,0)),1,0)</f>
        <v>0</v>
      </c>
      <c r="P1523" s="2" t="s">
        <v>4346</v>
      </c>
    </row>
    <row r="1524" spans="1:16" x14ac:dyDescent="0.25">
      <c r="A1524" s="2" t="s">
        <v>4347</v>
      </c>
      <c r="B1524" s="2" t="s">
        <v>199</v>
      </c>
      <c r="C1524" s="8">
        <v>46217</v>
      </c>
      <c r="D1524" s="6">
        <v>46204</v>
      </c>
      <c r="E1524" s="2" t="s">
        <v>260</v>
      </c>
      <c r="F1524" s="2" t="s">
        <v>4348</v>
      </c>
      <c r="G1524" s="6">
        <v>46174</v>
      </c>
      <c r="H1524" s="2" t="s">
        <v>71</v>
      </c>
      <c r="I1524" s="2" t="s">
        <v>76</v>
      </c>
      <c r="J1524" s="9">
        <v>202438880</v>
      </c>
      <c r="K1524" s="7">
        <v>6.2000000000000003E-5</v>
      </c>
      <c r="L1524" s="9">
        <v>12551.21</v>
      </c>
      <c r="M1524" s="9">
        <v>12652.43</v>
      </c>
      <c r="N1524" s="9">
        <v>6.9</v>
      </c>
      <c r="O1524" s="10">
        <f>IF(AND(OR(H1524="APPROVED",H1524="SCHEDULED"),COUNTIFS(tblSource[EventID],F1524,tblSource[ReleaseStatus],"APPROVED")=1,COUNTIFS(Period_Status!$A$2:$A$8,G1524,Period_Status!$B$2:$B$8,"ActualClosed")=1,C1524&gt;EOMONTH(Settlement_Bridge!$C$2,0)),1,0)</f>
        <v>0</v>
      </c>
      <c r="P1524" s="2" t="s">
        <v>4349</v>
      </c>
    </row>
    <row r="1525" spans="1:16" x14ac:dyDescent="0.25">
      <c r="A1525" s="2" t="s">
        <v>4350</v>
      </c>
      <c r="B1525" s="2" t="s">
        <v>199</v>
      </c>
      <c r="C1525" s="8">
        <v>46218</v>
      </c>
      <c r="D1525" s="6">
        <v>46204</v>
      </c>
      <c r="E1525" s="2" t="s">
        <v>260</v>
      </c>
      <c r="F1525" s="2" t="s">
        <v>4351</v>
      </c>
      <c r="G1525" s="6">
        <v>46174</v>
      </c>
      <c r="H1525" s="2" t="s">
        <v>71</v>
      </c>
      <c r="I1525" s="2" t="s">
        <v>70</v>
      </c>
      <c r="J1525" s="9">
        <v>19286.375940000002</v>
      </c>
      <c r="K1525" s="7">
        <v>0.65800000000000003</v>
      </c>
      <c r="L1525" s="9">
        <v>12690.44</v>
      </c>
      <c r="M1525" s="9">
        <v>12825.44</v>
      </c>
      <c r="N1525" s="9">
        <v>6.98</v>
      </c>
      <c r="O1525" s="10">
        <f>IF(AND(OR(H1525="APPROVED",H1525="SCHEDULED"),COUNTIFS(tblSource[EventID],F1525,tblSource[ReleaseStatus],"APPROVED")=1,COUNTIFS(Period_Status!$A$2:$A$8,G1525,Period_Status!$B$2:$B$8,"ActualClosed")=1,C1525&gt;EOMONTH(Settlement_Bridge!$C$2,0)),1,0)</f>
        <v>0</v>
      </c>
      <c r="P1525" s="2" t="s">
        <v>4352</v>
      </c>
    </row>
    <row r="1526" spans="1:16" x14ac:dyDescent="0.25">
      <c r="A1526" s="2" t="s">
        <v>4353</v>
      </c>
      <c r="B1526" s="2" t="s">
        <v>199</v>
      </c>
      <c r="C1526" s="8">
        <v>46219</v>
      </c>
      <c r="D1526" s="6">
        <v>46204</v>
      </c>
      <c r="E1526" s="2" t="s">
        <v>260</v>
      </c>
      <c r="F1526" s="2" t="s">
        <v>4354</v>
      </c>
      <c r="G1526" s="6">
        <v>46174</v>
      </c>
      <c r="H1526" s="2" t="s">
        <v>71</v>
      </c>
      <c r="I1526" s="2" t="s">
        <v>39</v>
      </c>
      <c r="J1526" s="9">
        <v>12998.45</v>
      </c>
      <c r="K1526" s="7">
        <v>1</v>
      </c>
      <c r="L1526" s="9">
        <v>12998.45</v>
      </c>
      <c r="M1526" s="9">
        <v>12998.45</v>
      </c>
      <c r="N1526" s="9">
        <v>7.15</v>
      </c>
      <c r="O1526" s="10">
        <f>IF(AND(OR(H1526="APPROVED",H1526="SCHEDULED"),COUNTIFS(tblSource[EventID],F1526,tblSource[ReleaseStatus],"APPROVED")=1,COUNTIFS(Period_Status!$A$2:$A$8,G1526,Period_Status!$B$2:$B$8,"ActualClosed")=1,C1526&gt;EOMONTH(Settlement_Bridge!$C$2,0)),1,0)</f>
        <v>0</v>
      </c>
      <c r="P1526" s="2" t="s">
        <v>4355</v>
      </c>
    </row>
    <row r="1527" spans="1:16" x14ac:dyDescent="0.25">
      <c r="A1527" s="2" t="s">
        <v>4356</v>
      </c>
      <c r="B1527" s="2" t="s">
        <v>199</v>
      </c>
      <c r="C1527" s="8">
        <v>46220</v>
      </c>
      <c r="D1527" s="6">
        <v>46204</v>
      </c>
      <c r="E1527" s="2" t="s">
        <v>260</v>
      </c>
      <c r="F1527" s="2" t="s">
        <v>4357</v>
      </c>
      <c r="G1527" s="6">
        <v>46174</v>
      </c>
      <c r="H1527" s="2" t="s">
        <v>71</v>
      </c>
      <c r="I1527" s="2" t="s">
        <v>76</v>
      </c>
      <c r="J1527" s="9">
        <v>210743360</v>
      </c>
      <c r="K1527" s="7">
        <v>6.2000000000000003E-5</v>
      </c>
      <c r="L1527" s="9">
        <v>13066.09</v>
      </c>
      <c r="M1527" s="9">
        <v>13171.46</v>
      </c>
      <c r="N1527" s="9">
        <v>7.19</v>
      </c>
      <c r="O1527" s="10">
        <f>IF(AND(OR(H1527="APPROVED",H1527="SCHEDULED"),COUNTIFS(tblSource[EventID],F1527,tblSource[ReleaseStatus],"APPROVED")=1,COUNTIFS(Period_Status!$A$2:$A$8,G1527,Period_Status!$B$2:$B$8,"ActualClosed")=1,C1527&gt;EOMONTH(Settlement_Bridge!$C$2,0)),1,0)</f>
        <v>0</v>
      </c>
      <c r="P1527" s="2" t="s">
        <v>4358</v>
      </c>
    </row>
    <row r="1528" spans="1:16" x14ac:dyDescent="0.25">
      <c r="A1528" s="2" t="s">
        <v>4359</v>
      </c>
      <c r="B1528" s="2" t="s">
        <v>199</v>
      </c>
      <c r="C1528" s="8">
        <v>46211</v>
      </c>
      <c r="D1528" s="6">
        <v>46204</v>
      </c>
      <c r="E1528" s="2" t="s">
        <v>260</v>
      </c>
      <c r="F1528" s="2" t="s">
        <v>4360</v>
      </c>
      <c r="G1528" s="6">
        <v>46174</v>
      </c>
      <c r="H1528" s="2" t="s">
        <v>71</v>
      </c>
      <c r="I1528" s="2" t="s">
        <v>70</v>
      </c>
      <c r="J1528" s="9">
        <v>8026.7488720000001</v>
      </c>
      <c r="K1528" s="7">
        <v>0.65800000000000003</v>
      </c>
      <c r="L1528" s="9">
        <v>5281.6</v>
      </c>
      <c r="M1528" s="9">
        <v>5337.79</v>
      </c>
      <c r="N1528" s="9">
        <v>2.9</v>
      </c>
      <c r="O1528" s="10">
        <f>IF(AND(OR(H1528="APPROVED",H1528="SCHEDULED"),COUNTIFS(tblSource[EventID],F1528,tblSource[ReleaseStatus],"APPROVED")=1,COUNTIFS(Period_Status!$A$2:$A$8,G1528,Period_Status!$B$2:$B$8,"ActualClosed")=1,C1528&gt;EOMONTH(Settlement_Bridge!$C$2,0)),1,0)</f>
        <v>0</v>
      </c>
      <c r="P1528" s="2" t="s">
        <v>4361</v>
      </c>
    </row>
    <row r="1529" spans="1:16" x14ac:dyDescent="0.25">
      <c r="A1529" s="2" t="s">
        <v>4362</v>
      </c>
      <c r="B1529" s="2" t="s">
        <v>199</v>
      </c>
      <c r="C1529" s="8">
        <v>46236</v>
      </c>
      <c r="D1529" s="6">
        <v>46235</v>
      </c>
      <c r="E1529" s="2" t="s">
        <v>260</v>
      </c>
      <c r="F1529" s="2" t="s">
        <v>4360</v>
      </c>
      <c r="G1529" s="6">
        <v>46174</v>
      </c>
      <c r="H1529" s="2" t="s">
        <v>71</v>
      </c>
      <c r="I1529" s="2" t="s">
        <v>70</v>
      </c>
      <c r="J1529" s="9">
        <v>12040.123308</v>
      </c>
      <c r="K1529" s="7">
        <v>0.65</v>
      </c>
      <c r="L1529" s="9">
        <v>7826.08</v>
      </c>
      <c r="M1529" s="9">
        <v>8006.68</v>
      </c>
      <c r="N1529" s="9">
        <v>4.3</v>
      </c>
      <c r="O1529" s="10">
        <f>IF(AND(OR(H1529="APPROVED",H1529="SCHEDULED"),COUNTIFS(tblSource[EventID],F1529,tblSource[ReleaseStatus],"APPROVED")=1,COUNTIFS(Period_Status!$A$2:$A$8,G1529,Period_Status!$B$2:$B$8,"ActualClosed")=1,C1529&gt;EOMONTH(Settlement_Bridge!$C$2,0)),1,0)</f>
        <v>1</v>
      </c>
      <c r="P1529" s="2" t="s">
        <v>4363</v>
      </c>
    </row>
    <row r="1530" spans="1:16" x14ac:dyDescent="0.25">
      <c r="A1530" s="2" t="s">
        <v>4364</v>
      </c>
      <c r="B1530" s="2" t="s">
        <v>199</v>
      </c>
      <c r="C1530" s="8">
        <v>46212</v>
      </c>
      <c r="D1530" s="6">
        <v>46204</v>
      </c>
      <c r="E1530" s="2" t="s">
        <v>260</v>
      </c>
      <c r="F1530" s="2" t="s">
        <v>4365</v>
      </c>
      <c r="G1530" s="6">
        <v>46174</v>
      </c>
      <c r="H1530" s="2" t="s">
        <v>71</v>
      </c>
      <c r="I1530" s="2" t="s">
        <v>39</v>
      </c>
      <c r="J1530" s="9">
        <v>5406.9920000000002</v>
      </c>
      <c r="K1530" s="7">
        <v>1</v>
      </c>
      <c r="L1530" s="9">
        <v>5406.99</v>
      </c>
      <c r="M1530" s="9">
        <v>5406.99</v>
      </c>
      <c r="N1530" s="9">
        <v>2.97</v>
      </c>
      <c r="O1530" s="10">
        <f>IF(AND(OR(H1530="APPROVED",H1530="SCHEDULED"),COUNTIFS(tblSource[EventID],F1530,tblSource[ReleaseStatus],"APPROVED")=1,COUNTIFS(Period_Status!$A$2:$A$8,G1530,Period_Status!$B$2:$B$8,"ActualClosed")=1,C1530&gt;EOMONTH(Settlement_Bridge!$C$2,0)),1,0)</f>
        <v>0</v>
      </c>
      <c r="P1530" s="2" t="s">
        <v>4366</v>
      </c>
    </row>
    <row r="1531" spans="1:16" x14ac:dyDescent="0.25">
      <c r="A1531" s="2" t="s">
        <v>4367</v>
      </c>
      <c r="B1531" s="2" t="s">
        <v>199</v>
      </c>
      <c r="C1531" s="8">
        <v>46237</v>
      </c>
      <c r="D1531" s="6">
        <v>46235</v>
      </c>
      <c r="E1531" s="2" t="s">
        <v>260</v>
      </c>
      <c r="F1531" s="2" t="s">
        <v>4365</v>
      </c>
      <c r="G1531" s="6">
        <v>46174</v>
      </c>
      <c r="H1531" s="2" t="s">
        <v>71</v>
      </c>
      <c r="I1531" s="2" t="s">
        <v>39</v>
      </c>
      <c r="J1531" s="9">
        <v>8110.4880000000003</v>
      </c>
      <c r="K1531" s="7">
        <v>1</v>
      </c>
      <c r="L1531" s="9">
        <v>8110.49</v>
      </c>
      <c r="M1531" s="9">
        <v>8110.49</v>
      </c>
      <c r="N1531" s="9">
        <v>4.46</v>
      </c>
      <c r="O1531" s="10">
        <f>IF(AND(OR(H1531="APPROVED",H1531="SCHEDULED"),COUNTIFS(tblSource[EventID],F1531,tblSource[ReleaseStatus],"APPROVED")=1,COUNTIFS(Period_Status!$A$2:$A$8,G1531,Period_Status!$B$2:$B$8,"ActualClosed")=1,C1531&gt;EOMONTH(Settlement_Bridge!$C$2,0)),1,0)</f>
        <v>1</v>
      </c>
      <c r="P1531" s="2" t="s">
        <v>4368</v>
      </c>
    </row>
    <row r="1532" spans="1:16" x14ac:dyDescent="0.25">
      <c r="A1532" s="2" t="s">
        <v>4369</v>
      </c>
      <c r="B1532" s="2" t="s">
        <v>199</v>
      </c>
      <c r="C1532" s="8">
        <v>46223</v>
      </c>
      <c r="D1532" s="6">
        <v>46204</v>
      </c>
      <c r="E1532" s="2" t="s">
        <v>260</v>
      </c>
      <c r="F1532" s="2" t="s">
        <v>4370</v>
      </c>
      <c r="G1532" s="6">
        <v>46174</v>
      </c>
      <c r="H1532" s="2" t="s">
        <v>71</v>
      </c>
      <c r="I1532" s="2" t="s">
        <v>76</v>
      </c>
      <c r="J1532" s="9">
        <v>219047840</v>
      </c>
      <c r="K1532" s="7">
        <v>6.2000000000000003E-5</v>
      </c>
      <c r="L1532" s="9">
        <v>13580.97</v>
      </c>
      <c r="M1532" s="9">
        <v>13690.49</v>
      </c>
      <c r="N1532" s="9">
        <v>7.47</v>
      </c>
      <c r="O1532" s="10">
        <f>IF(AND(OR(H1532="APPROVED",H1532="SCHEDULED"),COUNTIFS(tblSource[EventID],F1532,tblSource[ReleaseStatus],"APPROVED")=1,COUNTIFS(Period_Status!$A$2:$A$8,G1532,Period_Status!$B$2:$B$8,"ActualClosed")=1,C1532&gt;EOMONTH(Settlement_Bridge!$C$2,0)),1,0)</f>
        <v>0</v>
      </c>
      <c r="P1532" s="2" t="s">
        <v>4371</v>
      </c>
    </row>
    <row r="1533" spans="1:16" x14ac:dyDescent="0.25">
      <c r="A1533" s="2" t="s">
        <v>4372</v>
      </c>
      <c r="B1533" s="2" t="s">
        <v>199</v>
      </c>
      <c r="C1533" s="8">
        <v>46224</v>
      </c>
      <c r="D1533" s="6">
        <v>46204</v>
      </c>
      <c r="E1533" s="2" t="s">
        <v>260</v>
      </c>
      <c r="F1533" s="2" t="s">
        <v>4373</v>
      </c>
      <c r="G1533" s="6">
        <v>46174</v>
      </c>
      <c r="H1533" s="2" t="s">
        <v>71</v>
      </c>
      <c r="I1533" s="2" t="s">
        <v>70</v>
      </c>
      <c r="J1533" s="9">
        <v>20847.368420999999</v>
      </c>
      <c r="K1533" s="7">
        <v>0.65800000000000003</v>
      </c>
      <c r="L1533" s="9">
        <v>13717.57</v>
      </c>
      <c r="M1533" s="9">
        <v>13863.5</v>
      </c>
      <c r="N1533" s="9">
        <v>7.54</v>
      </c>
      <c r="O1533" s="10">
        <f>IF(AND(OR(H1533="APPROVED",H1533="SCHEDULED"),COUNTIFS(tblSource[EventID],F1533,tblSource[ReleaseStatus],"APPROVED")=1,COUNTIFS(Period_Status!$A$2:$A$8,G1533,Period_Status!$B$2:$B$8,"ActualClosed")=1,C1533&gt;EOMONTH(Settlement_Bridge!$C$2,0)),1,0)</f>
        <v>0</v>
      </c>
      <c r="P1533" s="2" t="s">
        <v>4374</v>
      </c>
    </row>
    <row r="1534" spans="1:16" x14ac:dyDescent="0.25">
      <c r="A1534" s="2" t="s">
        <v>4375</v>
      </c>
      <c r="B1534" s="2" t="s">
        <v>199</v>
      </c>
      <c r="C1534" s="8">
        <v>46215</v>
      </c>
      <c r="D1534" s="6">
        <v>46204</v>
      </c>
      <c r="E1534" s="2" t="s">
        <v>260</v>
      </c>
      <c r="F1534" s="2" t="s">
        <v>4376</v>
      </c>
      <c r="G1534" s="6">
        <v>46174</v>
      </c>
      <c r="H1534" s="2" t="s">
        <v>71</v>
      </c>
      <c r="I1534" s="2" t="s">
        <v>39</v>
      </c>
      <c r="J1534" s="9">
        <v>5614.6040000000003</v>
      </c>
      <c r="K1534" s="7">
        <v>1</v>
      </c>
      <c r="L1534" s="9">
        <v>5614.6</v>
      </c>
      <c r="M1534" s="9">
        <v>5614.6</v>
      </c>
      <c r="N1534" s="9">
        <v>3.09</v>
      </c>
      <c r="O1534" s="10">
        <f>IF(AND(OR(H1534="APPROVED",H1534="SCHEDULED"),COUNTIFS(tblSource[EventID],F1534,tblSource[ReleaseStatus],"APPROVED")=1,COUNTIFS(Period_Status!$A$2:$A$8,G1534,Period_Status!$B$2:$B$8,"ActualClosed")=1,C1534&gt;EOMONTH(Settlement_Bridge!$C$2,0)),1,0)</f>
        <v>0</v>
      </c>
      <c r="P1534" s="2" t="s">
        <v>4377</v>
      </c>
    </row>
    <row r="1535" spans="1:16" x14ac:dyDescent="0.25">
      <c r="A1535" s="2" t="s">
        <v>4378</v>
      </c>
      <c r="B1535" s="2" t="s">
        <v>199</v>
      </c>
      <c r="C1535" s="8">
        <v>46240</v>
      </c>
      <c r="D1535" s="6">
        <v>46235</v>
      </c>
      <c r="E1535" s="2" t="s">
        <v>260</v>
      </c>
      <c r="F1535" s="2" t="s">
        <v>4376</v>
      </c>
      <c r="G1535" s="6">
        <v>46174</v>
      </c>
      <c r="H1535" s="2" t="s">
        <v>71</v>
      </c>
      <c r="I1535" s="2" t="s">
        <v>39</v>
      </c>
      <c r="J1535" s="9">
        <v>8421.9060000000009</v>
      </c>
      <c r="K1535" s="7">
        <v>1</v>
      </c>
      <c r="L1535" s="9">
        <v>8421.91</v>
      </c>
      <c r="M1535" s="9">
        <v>8421.91</v>
      </c>
      <c r="N1535" s="9">
        <v>4.63</v>
      </c>
      <c r="O1535" s="10">
        <f>IF(AND(OR(H1535="APPROVED",H1535="SCHEDULED"),COUNTIFS(tblSource[EventID],F1535,tblSource[ReleaseStatus],"APPROVED")=1,COUNTIFS(Period_Status!$A$2:$A$8,G1535,Period_Status!$B$2:$B$8,"ActualClosed")=1,C1535&gt;EOMONTH(Settlement_Bridge!$C$2,0)),1,0)</f>
        <v>1</v>
      </c>
      <c r="P1535" s="2" t="s">
        <v>4379</v>
      </c>
    </row>
    <row r="1536" spans="1:16" x14ac:dyDescent="0.25">
      <c r="A1536" s="2" t="s">
        <v>4380</v>
      </c>
      <c r="B1536" s="2" t="s">
        <v>199</v>
      </c>
      <c r="C1536" s="8">
        <v>46226</v>
      </c>
      <c r="D1536" s="6">
        <v>46204</v>
      </c>
      <c r="E1536" s="2" t="s">
        <v>260</v>
      </c>
      <c r="F1536" s="2" t="s">
        <v>4381</v>
      </c>
      <c r="G1536" s="6">
        <v>46174</v>
      </c>
      <c r="H1536" s="2" t="s">
        <v>71</v>
      </c>
      <c r="I1536" s="2" t="s">
        <v>76</v>
      </c>
      <c r="J1536" s="9">
        <v>227352320</v>
      </c>
      <c r="K1536" s="7">
        <v>6.2000000000000003E-5</v>
      </c>
      <c r="L1536" s="9">
        <v>14095.84</v>
      </c>
      <c r="M1536" s="9">
        <v>14209.52</v>
      </c>
      <c r="N1536" s="9">
        <v>7.75</v>
      </c>
      <c r="O1536" s="10">
        <f>IF(AND(OR(H1536="APPROVED",H1536="SCHEDULED"),COUNTIFS(tblSource[EventID],F1536,tblSource[ReleaseStatus],"APPROVED")=1,COUNTIFS(Period_Status!$A$2:$A$8,G1536,Period_Status!$B$2:$B$8,"ActualClosed")=1,C1536&gt;EOMONTH(Settlement_Bridge!$C$2,0)),1,0)</f>
        <v>0</v>
      </c>
      <c r="P1536" s="2" t="s">
        <v>4382</v>
      </c>
    </row>
    <row r="1537" spans="1:16" x14ac:dyDescent="0.25">
      <c r="A1537" s="2" t="s">
        <v>4383</v>
      </c>
      <c r="B1537" s="2" t="s">
        <v>199</v>
      </c>
      <c r="C1537" s="8">
        <v>46227</v>
      </c>
      <c r="D1537" s="6">
        <v>46204</v>
      </c>
      <c r="E1537" s="2" t="s">
        <v>260</v>
      </c>
      <c r="F1537" s="2" t="s">
        <v>4384</v>
      </c>
      <c r="G1537" s="6">
        <v>46174</v>
      </c>
      <c r="H1537" s="2" t="s">
        <v>71</v>
      </c>
      <c r="I1537" s="2" t="s">
        <v>70</v>
      </c>
      <c r="J1537" s="9">
        <v>21627.864662</v>
      </c>
      <c r="K1537" s="7">
        <v>0.65800000000000003</v>
      </c>
      <c r="L1537" s="9">
        <v>14231.13</v>
      </c>
      <c r="M1537" s="9">
        <v>14382.53</v>
      </c>
      <c r="N1537" s="9">
        <v>7.83</v>
      </c>
      <c r="O1537" s="10">
        <f>IF(AND(OR(H1537="APPROVED",H1537="SCHEDULED"),COUNTIFS(tblSource[EventID],F1537,tblSource[ReleaseStatus],"APPROVED")=1,COUNTIFS(Period_Status!$A$2:$A$8,G1537,Period_Status!$B$2:$B$8,"ActualClosed")=1,C1537&gt;EOMONTH(Settlement_Bridge!$C$2,0)),1,0)</f>
        <v>0</v>
      </c>
      <c r="P1537" s="2" t="s">
        <v>4385</v>
      </c>
    </row>
    <row r="1538" spans="1:16" x14ac:dyDescent="0.25">
      <c r="A1538" s="2" t="s">
        <v>4386</v>
      </c>
      <c r="B1538" s="2" t="s">
        <v>199</v>
      </c>
      <c r="C1538" s="8">
        <v>46198</v>
      </c>
      <c r="D1538" s="6">
        <v>46174</v>
      </c>
      <c r="E1538" s="2" t="s">
        <v>260</v>
      </c>
      <c r="F1538" s="2" t="s">
        <v>4387</v>
      </c>
      <c r="G1538" s="6">
        <v>46174</v>
      </c>
      <c r="H1538" s="2" t="s">
        <v>71</v>
      </c>
      <c r="I1538" s="2" t="s">
        <v>39</v>
      </c>
      <c r="J1538" s="9">
        <v>14555.54</v>
      </c>
      <c r="K1538" s="7">
        <v>1</v>
      </c>
      <c r="L1538" s="9">
        <v>14555.54</v>
      </c>
      <c r="M1538" s="9">
        <v>14555.54</v>
      </c>
      <c r="N1538" s="9">
        <v>8.01</v>
      </c>
      <c r="O1538" s="10">
        <f>IF(AND(OR(H1538="APPROVED",H1538="SCHEDULED"),COUNTIFS(tblSource[EventID],F1538,tblSource[ReleaseStatus],"APPROVED")=1,COUNTIFS(Period_Status!$A$2:$A$8,G1538,Period_Status!$B$2:$B$8,"ActualClosed")=1,C1538&gt;EOMONTH(Settlement_Bridge!$C$2,0)),1,0)</f>
        <v>0</v>
      </c>
      <c r="P1538" s="2" t="s">
        <v>4388</v>
      </c>
    </row>
    <row r="1539" spans="1:16" x14ac:dyDescent="0.25">
      <c r="A1539" s="2" t="s">
        <v>4389</v>
      </c>
      <c r="B1539" s="2" t="s">
        <v>199</v>
      </c>
      <c r="C1539" s="8">
        <v>46199</v>
      </c>
      <c r="D1539" s="6">
        <v>46174</v>
      </c>
      <c r="E1539" s="2" t="s">
        <v>260</v>
      </c>
      <c r="F1539" s="2" t="s">
        <v>4390</v>
      </c>
      <c r="G1539" s="6">
        <v>46174</v>
      </c>
      <c r="H1539" s="2" t="s">
        <v>71</v>
      </c>
      <c r="I1539" s="2" t="s">
        <v>76</v>
      </c>
      <c r="J1539" s="9">
        <v>235656800</v>
      </c>
      <c r="K1539" s="7">
        <v>6.2500000000000001E-5</v>
      </c>
      <c r="L1539" s="9">
        <v>14728.55</v>
      </c>
      <c r="M1539" s="9">
        <v>14728.55</v>
      </c>
      <c r="N1539" s="9">
        <v>8.1</v>
      </c>
      <c r="O1539" s="10">
        <f>IF(AND(OR(H1539="APPROVED",H1539="SCHEDULED"),COUNTIFS(tblSource[EventID],F1539,tblSource[ReleaseStatus],"APPROVED")=1,COUNTIFS(Period_Status!$A$2:$A$8,G1539,Period_Status!$B$2:$B$8,"ActualClosed")=1,C1539&gt;EOMONTH(Settlement_Bridge!$C$2,0)),1,0)</f>
        <v>0</v>
      </c>
      <c r="P1539" s="2" t="s">
        <v>4391</v>
      </c>
    </row>
    <row r="1540" spans="1:16" x14ac:dyDescent="0.25">
      <c r="A1540" s="2" t="s">
        <v>4392</v>
      </c>
      <c r="B1540" s="2" t="s">
        <v>199</v>
      </c>
      <c r="C1540" s="8">
        <v>46200</v>
      </c>
      <c r="D1540" s="6">
        <v>46174</v>
      </c>
      <c r="E1540" s="2" t="s">
        <v>260</v>
      </c>
      <c r="F1540" s="2" t="s">
        <v>4393</v>
      </c>
      <c r="G1540" s="6">
        <v>46174</v>
      </c>
      <c r="H1540" s="2" t="s">
        <v>71</v>
      </c>
      <c r="I1540" s="2" t="s">
        <v>70</v>
      </c>
      <c r="J1540" s="9">
        <v>1355.729323</v>
      </c>
      <c r="K1540" s="7">
        <v>0.66500000000000004</v>
      </c>
      <c r="L1540" s="9">
        <v>901.56</v>
      </c>
      <c r="M1540" s="9">
        <v>901.56</v>
      </c>
      <c r="N1540" s="9">
        <v>1.8</v>
      </c>
      <c r="O1540" s="10">
        <f>IF(AND(OR(H1540="APPROVED",H1540="SCHEDULED"),COUNTIFS(tblSource[EventID],F1540,tblSource[ReleaseStatus],"APPROVED")=1,COUNTIFS(Period_Status!$A$2:$A$8,G1540,Period_Status!$B$2:$B$8,"ActualClosed")=1,C1540&gt;EOMONTH(Settlement_Bridge!$C$2,0)),1,0)</f>
        <v>0</v>
      </c>
      <c r="P1540" s="2" t="s">
        <v>4394</v>
      </c>
    </row>
    <row r="1541" spans="1:16" x14ac:dyDescent="0.25">
      <c r="A1541" s="2" t="s">
        <v>4395</v>
      </c>
      <c r="B1541" s="2" t="s">
        <v>199</v>
      </c>
      <c r="C1541" s="8">
        <v>46191</v>
      </c>
      <c r="D1541" s="6">
        <v>46174</v>
      </c>
      <c r="E1541" s="2" t="s">
        <v>260</v>
      </c>
      <c r="F1541" s="2" t="s">
        <v>4396</v>
      </c>
      <c r="G1541" s="6">
        <v>46174</v>
      </c>
      <c r="H1541" s="2" t="s">
        <v>71</v>
      </c>
      <c r="I1541" s="2" t="s">
        <v>39</v>
      </c>
      <c r="J1541" s="9">
        <v>429.82799999999997</v>
      </c>
      <c r="K1541" s="7">
        <v>1</v>
      </c>
      <c r="L1541" s="9">
        <v>429.83</v>
      </c>
      <c r="M1541" s="9">
        <v>429.83</v>
      </c>
      <c r="N1541" s="9">
        <v>1.8</v>
      </c>
      <c r="O1541" s="10">
        <f>IF(AND(OR(H1541="APPROVED",H1541="SCHEDULED"),COUNTIFS(tblSource[EventID],F1541,tblSource[ReleaseStatus],"APPROVED")=1,COUNTIFS(Period_Status!$A$2:$A$8,G1541,Period_Status!$B$2:$B$8,"ActualClosed")=1,C1541&gt;EOMONTH(Settlement_Bridge!$C$2,0)),1,0)</f>
        <v>0</v>
      </c>
      <c r="P1541" s="2" t="s">
        <v>4397</v>
      </c>
    </row>
    <row r="1542" spans="1:16" x14ac:dyDescent="0.25">
      <c r="A1542" s="2" t="s">
        <v>4398</v>
      </c>
      <c r="B1542" s="2" t="s">
        <v>199</v>
      </c>
      <c r="C1542" s="8">
        <v>46216</v>
      </c>
      <c r="D1542" s="6">
        <v>46204</v>
      </c>
      <c r="E1542" s="2" t="s">
        <v>260</v>
      </c>
      <c r="F1542" s="2" t="s">
        <v>4396</v>
      </c>
      <c r="G1542" s="6">
        <v>46174</v>
      </c>
      <c r="H1542" s="2" t="s">
        <v>71</v>
      </c>
      <c r="I1542" s="2" t="s">
        <v>39</v>
      </c>
      <c r="J1542" s="9">
        <v>644.74199999999996</v>
      </c>
      <c r="K1542" s="7">
        <v>1</v>
      </c>
      <c r="L1542" s="9">
        <v>644.74</v>
      </c>
      <c r="M1542" s="9">
        <v>644.74</v>
      </c>
      <c r="N1542" s="9">
        <v>1.8</v>
      </c>
      <c r="O1542" s="10">
        <f>IF(AND(OR(H1542="APPROVED",H1542="SCHEDULED"),COUNTIFS(tblSource[EventID],F1542,tblSource[ReleaseStatus],"APPROVED")=1,COUNTIFS(Period_Status!$A$2:$A$8,G1542,Period_Status!$B$2:$B$8,"ActualClosed")=1,C1542&gt;EOMONTH(Settlement_Bridge!$C$2,0)),1,0)</f>
        <v>0</v>
      </c>
      <c r="P1542" s="2" t="s">
        <v>4399</v>
      </c>
    </row>
    <row r="1543" spans="1:16" x14ac:dyDescent="0.25">
      <c r="A1543" s="2" t="s">
        <v>4400</v>
      </c>
      <c r="B1543" s="2" t="s">
        <v>199</v>
      </c>
      <c r="C1543" s="8">
        <v>46192</v>
      </c>
      <c r="D1543" s="6">
        <v>46174</v>
      </c>
      <c r="E1543" s="2" t="s">
        <v>260</v>
      </c>
      <c r="F1543" s="2" t="s">
        <v>4401</v>
      </c>
      <c r="G1543" s="6">
        <v>46174</v>
      </c>
      <c r="H1543" s="2" t="s">
        <v>71</v>
      </c>
      <c r="I1543" s="2" t="s">
        <v>76</v>
      </c>
      <c r="J1543" s="9">
        <v>7984512</v>
      </c>
      <c r="K1543" s="7">
        <v>6.2500000000000001E-5</v>
      </c>
      <c r="L1543" s="9">
        <v>499.03</v>
      </c>
      <c r="M1543" s="9">
        <v>499.03</v>
      </c>
      <c r="N1543" s="9">
        <v>1.8</v>
      </c>
      <c r="O1543" s="10">
        <f>IF(AND(OR(H1543="APPROVED",H1543="SCHEDULED"),COUNTIFS(tblSource[EventID],F1543,tblSource[ReleaseStatus],"APPROVED")=1,COUNTIFS(Period_Status!$A$2:$A$8,G1543,Period_Status!$B$2:$B$8,"ActualClosed")=1,C1543&gt;EOMONTH(Settlement_Bridge!$C$2,0)),1,0)</f>
        <v>0</v>
      </c>
      <c r="P1543" s="2" t="s">
        <v>4402</v>
      </c>
    </row>
    <row r="1544" spans="1:16" x14ac:dyDescent="0.25">
      <c r="A1544" s="2" t="s">
        <v>4403</v>
      </c>
      <c r="B1544" s="2" t="s">
        <v>199</v>
      </c>
      <c r="C1544" s="8">
        <v>46217</v>
      </c>
      <c r="D1544" s="6">
        <v>46204</v>
      </c>
      <c r="E1544" s="2" t="s">
        <v>260</v>
      </c>
      <c r="F1544" s="2" t="s">
        <v>4401</v>
      </c>
      <c r="G1544" s="6">
        <v>46174</v>
      </c>
      <c r="H1544" s="2" t="s">
        <v>71</v>
      </c>
      <c r="I1544" s="2" t="s">
        <v>76</v>
      </c>
      <c r="J1544" s="9">
        <v>11976768</v>
      </c>
      <c r="K1544" s="7">
        <v>6.2000000000000003E-5</v>
      </c>
      <c r="L1544" s="9">
        <v>742.56</v>
      </c>
      <c r="M1544" s="9">
        <v>748.55</v>
      </c>
      <c r="N1544" s="9">
        <v>1.8</v>
      </c>
      <c r="O1544" s="10">
        <f>IF(AND(OR(H1544="APPROVED",H1544="SCHEDULED"),COUNTIFS(tblSource[EventID],F1544,tblSource[ReleaseStatus],"APPROVED")=1,COUNTIFS(Period_Status!$A$2:$A$8,G1544,Period_Status!$B$2:$B$8,"ActualClosed")=1,C1544&gt;EOMONTH(Settlement_Bridge!$C$2,0)),1,0)</f>
        <v>0</v>
      </c>
      <c r="P1544" s="2" t="s">
        <v>4404</v>
      </c>
    </row>
    <row r="1545" spans="1:16" x14ac:dyDescent="0.25">
      <c r="A1545" s="2" t="s">
        <v>4405</v>
      </c>
      <c r="B1545" s="2" t="s">
        <v>199</v>
      </c>
      <c r="C1545" s="8">
        <v>46203</v>
      </c>
      <c r="D1545" s="6">
        <v>46174</v>
      </c>
      <c r="E1545" s="2" t="s">
        <v>260</v>
      </c>
      <c r="F1545" s="2" t="s">
        <v>4406</v>
      </c>
      <c r="G1545" s="6">
        <v>46174</v>
      </c>
      <c r="H1545" s="2" t="s">
        <v>71</v>
      </c>
      <c r="I1545" s="2" t="s">
        <v>70</v>
      </c>
      <c r="J1545" s="9">
        <v>2136.2255639999998</v>
      </c>
      <c r="K1545" s="7">
        <v>0.66500000000000004</v>
      </c>
      <c r="L1545" s="9">
        <v>1420.59</v>
      </c>
      <c r="M1545" s="9">
        <v>1420.59</v>
      </c>
      <c r="N1545" s="9">
        <v>1.8</v>
      </c>
      <c r="O1545" s="10">
        <f>IF(AND(OR(H1545="APPROVED",H1545="SCHEDULED"),COUNTIFS(tblSource[EventID],F1545,tblSource[ReleaseStatus],"APPROVED")=1,COUNTIFS(Period_Status!$A$2:$A$8,G1545,Period_Status!$B$2:$B$8,"ActualClosed")=1,C1545&gt;EOMONTH(Settlement_Bridge!$C$2,0)),1,0)</f>
        <v>0</v>
      </c>
      <c r="P1545" s="2" t="s">
        <v>4407</v>
      </c>
    </row>
    <row r="1546" spans="1:16" x14ac:dyDescent="0.25">
      <c r="A1546" s="2" t="s">
        <v>4408</v>
      </c>
      <c r="B1546" s="2" t="s">
        <v>199</v>
      </c>
      <c r="C1546" s="8">
        <v>46204</v>
      </c>
      <c r="D1546" s="6">
        <v>46204</v>
      </c>
      <c r="E1546" s="2" t="s">
        <v>260</v>
      </c>
      <c r="F1546" s="2" t="s">
        <v>4409</v>
      </c>
      <c r="G1546" s="6">
        <v>46174</v>
      </c>
      <c r="H1546" s="2" t="s">
        <v>71</v>
      </c>
      <c r="I1546" s="2" t="s">
        <v>39</v>
      </c>
      <c r="J1546" s="9">
        <v>1593.6</v>
      </c>
      <c r="K1546" s="7">
        <v>1</v>
      </c>
      <c r="L1546" s="9">
        <v>1593.6</v>
      </c>
      <c r="M1546" s="9">
        <v>1593.6</v>
      </c>
      <c r="N1546" s="9">
        <v>1.8</v>
      </c>
      <c r="O1546" s="10">
        <f>IF(AND(OR(H1546="APPROVED",H1546="SCHEDULED"),COUNTIFS(tblSource[EventID],F1546,tblSource[ReleaseStatus],"APPROVED")=1,COUNTIFS(Period_Status!$A$2:$A$8,G1546,Period_Status!$B$2:$B$8,"ActualClosed")=1,C1546&gt;EOMONTH(Settlement_Bridge!$C$2,0)),1,0)</f>
        <v>0</v>
      </c>
      <c r="P1546" s="2" t="s">
        <v>4410</v>
      </c>
    </row>
    <row r="1547" spans="1:16" x14ac:dyDescent="0.25">
      <c r="A1547" s="2" t="s">
        <v>4411</v>
      </c>
      <c r="B1547" s="2" t="s">
        <v>199</v>
      </c>
      <c r="C1547" s="8">
        <v>46195</v>
      </c>
      <c r="D1547" s="6">
        <v>46174</v>
      </c>
      <c r="E1547" s="2" t="s">
        <v>260</v>
      </c>
      <c r="F1547" s="2" t="s">
        <v>4412</v>
      </c>
      <c r="G1547" s="6">
        <v>46174</v>
      </c>
      <c r="H1547" s="2" t="s">
        <v>71</v>
      </c>
      <c r="I1547" s="2" t="s">
        <v>76</v>
      </c>
      <c r="J1547" s="9">
        <v>11306304</v>
      </c>
      <c r="K1547" s="7">
        <v>6.2500000000000001E-5</v>
      </c>
      <c r="L1547" s="9">
        <v>706.64</v>
      </c>
      <c r="M1547" s="9">
        <v>706.64</v>
      </c>
      <c r="N1547" s="9">
        <v>1.8</v>
      </c>
      <c r="O1547" s="10">
        <f>IF(AND(OR(H1547="APPROVED",H1547="SCHEDULED"),COUNTIFS(tblSource[EventID],F1547,tblSource[ReleaseStatus],"APPROVED")=1,COUNTIFS(Period_Status!$A$2:$A$8,G1547,Period_Status!$B$2:$B$8,"ActualClosed")=1,C1547&gt;EOMONTH(Settlement_Bridge!$C$2,0)),1,0)</f>
        <v>0</v>
      </c>
      <c r="P1547" s="2" t="s">
        <v>4413</v>
      </c>
    </row>
    <row r="1548" spans="1:16" x14ac:dyDescent="0.25">
      <c r="A1548" s="2" t="s">
        <v>4414</v>
      </c>
      <c r="B1548" s="2" t="s">
        <v>199</v>
      </c>
      <c r="C1548" s="8">
        <v>46220</v>
      </c>
      <c r="D1548" s="6">
        <v>46204</v>
      </c>
      <c r="E1548" s="2" t="s">
        <v>260</v>
      </c>
      <c r="F1548" s="2" t="s">
        <v>4412</v>
      </c>
      <c r="G1548" s="6">
        <v>46174</v>
      </c>
      <c r="H1548" s="2" t="s">
        <v>71</v>
      </c>
      <c r="I1548" s="2" t="s">
        <v>76</v>
      </c>
      <c r="J1548" s="9">
        <v>16959456</v>
      </c>
      <c r="K1548" s="7">
        <v>6.2000000000000003E-5</v>
      </c>
      <c r="L1548" s="9">
        <v>1051.49</v>
      </c>
      <c r="M1548" s="9">
        <v>1059.97</v>
      </c>
      <c r="N1548" s="9">
        <v>1.8</v>
      </c>
      <c r="O1548" s="10">
        <f>IF(AND(OR(H1548="APPROVED",H1548="SCHEDULED"),COUNTIFS(tblSource[EventID],F1548,tblSource[ReleaseStatus],"APPROVED")=1,COUNTIFS(Period_Status!$A$2:$A$8,G1548,Period_Status!$B$2:$B$8,"ActualClosed")=1,C1548&gt;EOMONTH(Settlement_Bridge!$C$2,0)),1,0)</f>
        <v>0</v>
      </c>
      <c r="P1548" s="2" t="s">
        <v>4415</v>
      </c>
    </row>
    <row r="1549" spans="1:16" x14ac:dyDescent="0.25">
      <c r="A1549" s="2" t="s">
        <v>4416</v>
      </c>
      <c r="B1549" s="2" t="s">
        <v>199</v>
      </c>
      <c r="C1549" s="8">
        <v>46206</v>
      </c>
      <c r="D1549" s="6">
        <v>46204</v>
      </c>
      <c r="E1549" s="2" t="s">
        <v>260</v>
      </c>
      <c r="F1549" s="2" t="s">
        <v>4417</v>
      </c>
      <c r="G1549" s="6">
        <v>46174</v>
      </c>
      <c r="H1549" s="2" t="s">
        <v>71</v>
      </c>
      <c r="I1549" s="2" t="s">
        <v>70</v>
      </c>
      <c r="J1549" s="9">
        <v>2916.7218050000001</v>
      </c>
      <c r="K1549" s="7">
        <v>0.65800000000000003</v>
      </c>
      <c r="L1549" s="9">
        <v>1919.2</v>
      </c>
      <c r="M1549" s="9">
        <v>1939.62</v>
      </c>
      <c r="N1549" s="9">
        <v>1.8</v>
      </c>
      <c r="O1549" s="10">
        <f>IF(AND(OR(H1549="APPROVED",H1549="SCHEDULED"),COUNTIFS(tblSource[EventID],F1549,tblSource[ReleaseStatus],"APPROVED")=1,COUNTIFS(Period_Status!$A$2:$A$8,G1549,Period_Status!$B$2:$B$8,"ActualClosed")=1,C1549&gt;EOMONTH(Settlement_Bridge!$C$2,0)),1,0)</f>
        <v>0</v>
      </c>
      <c r="P1549" s="2" t="s">
        <v>4418</v>
      </c>
    </row>
    <row r="1550" spans="1:16" x14ac:dyDescent="0.25">
      <c r="A1550" s="2" t="s">
        <v>4419</v>
      </c>
      <c r="B1550" s="2" t="s">
        <v>199</v>
      </c>
      <c r="C1550" s="8">
        <v>46207</v>
      </c>
      <c r="D1550" s="6">
        <v>46204</v>
      </c>
      <c r="E1550" s="2" t="s">
        <v>260</v>
      </c>
      <c r="F1550" s="2" t="s">
        <v>4420</v>
      </c>
      <c r="G1550" s="6">
        <v>46174</v>
      </c>
      <c r="H1550" s="2" t="s">
        <v>71</v>
      </c>
      <c r="I1550" s="2" t="s">
        <v>39</v>
      </c>
      <c r="J1550" s="9">
        <v>2112.63</v>
      </c>
      <c r="K1550" s="7">
        <v>1</v>
      </c>
      <c r="L1550" s="9">
        <v>2112.63</v>
      </c>
      <c r="M1550" s="9">
        <v>2112.63</v>
      </c>
      <c r="N1550" s="9">
        <v>1.8</v>
      </c>
      <c r="O1550" s="10">
        <f>IF(AND(OR(H1550="APPROVED",H1550="SCHEDULED"),COUNTIFS(tblSource[EventID],F1550,tblSource[ReleaseStatus],"APPROVED")=1,COUNTIFS(Period_Status!$A$2:$A$8,G1550,Period_Status!$B$2:$B$8,"ActualClosed")=1,C1550&gt;EOMONTH(Settlement_Bridge!$C$2,0)),1,0)</f>
        <v>0</v>
      </c>
      <c r="P1550" s="2" t="s">
        <v>4421</v>
      </c>
    </row>
    <row r="1551" spans="1:16" x14ac:dyDescent="0.25">
      <c r="A1551" s="2" t="s">
        <v>4422</v>
      </c>
      <c r="B1551" s="2" t="s">
        <v>199</v>
      </c>
      <c r="C1551" s="8">
        <v>46208</v>
      </c>
      <c r="D1551" s="6">
        <v>46204</v>
      </c>
      <c r="E1551" s="2" t="s">
        <v>260</v>
      </c>
      <c r="F1551" s="2" t="s">
        <v>4423</v>
      </c>
      <c r="G1551" s="6">
        <v>46174</v>
      </c>
      <c r="H1551" s="2" t="s">
        <v>71</v>
      </c>
      <c r="I1551" s="2" t="s">
        <v>76</v>
      </c>
      <c r="J1551" s="9">
        <v>36570240</v>
      </c>
      <c r="K1551" s="7">
        <v>6.2000000000000003E-5</v>
      </c>
      <c r="L1551" s="9">
        <v>2267.35</v>
      </c>
      <c r="M1551" s="9">
        <v>2285.64</v>
      </c>
      <c r="N1551" s="9">
        <v>1.8</v>
      </c>
      <c r="O1551" s="10">
        <f>IF(AND(OR(H1551="APPROVED",H1551="SCHEDULED"),COUNTIFS(tblSource[EventID],F1551,tblSource[ReleaseStatus],"APPROVED")=1,COUNTIFS(Period_Status!$A$2:$A$8,G1551,Period_Status!$B$2:$B$8,"ActualClosed")=1,C1551&gt;EOMONTH(Settlement_Bridge!$C$2,0)),1,0)</f>
        <v>0</v>
      </c>
      <c r="P1551" s="2" t="s">
        <v>4424</v>
      </c>
    </row>
    <row r="1552" spans="1:16" x14ac:dyDescent="0.25">
      <c r="A1552" s="2" t="s">
        <v>4425</v>
      </c>
      <c r="B1552" s="2" t="s">
        <v>199</v>
      </c>
      <c r="C1552" s="8">
        <v>46209</v>
      </c>
      <c r="D1552" s="6">
        <v>46204</v>
      </c>
      <c r="E1552" s="2" t="s">
        <v>260</v>
      </c>
      <c r="F1552" s="2" t="s">
        <v>4426</v>
      </c>
      <c r="G1552" s="6">
        <v>46174</v>
      </c>
      <c r="H1552" s="2" t="s">
        <v>71</v>
      </c>
      <c r="I1552" s="2" t="s">
        <v>70</v>
      </c>
      <c r="J1552" s="9">
        <v>3697.2180450000001</v>
      </c>
      <c r="K1552" s="7">
        <v>0.65800000000000003</v>
      </c>
      <c r="L1552" s="9">
        <v>2432.77</v>
      </c>
      <c r="M1552" s="9">
        <v>2458.65</v>
      </c>
      <c r="N1552" s="9">
        <v>1.8</v>
      </c>
      <c r="O1552" s="10">
        <f>IF(AND(OR(H1552="APPROVED",H1552="SCHEDULED"),COUNTIFS(tblSource[EventID],F1552,tblSource[ReleaseStatus],"APPROVED")=1,COUNTIFS(Period_Status!$A$2:$A$8,G1552,Period_Status!$B$2:$B$8,"ActualClosed")=1,C1552&gt;EOMONTH(Settlement_Bridge!$C$2,0)),1,0)</f>
        <v>0</v>
      </c>
      <c r="P1552" s="2" t="s">
        <v>4427</v>
      </c>
    </row>
    <row r="1553" spans="1:16" x14ac:dyDescent="0.25">
      <c r="A1553" s="2" t="s">
        <v>4428</v>
      </c>
      <c r="B1553" s="2" t="s">
        <v>199</v>
      </c>
      <c r="C1553" s="8">
        <v>46210</v>
      </c>
      <c r="D1553" s="6">
        <v>46204</v>
      </c>
      <c r="E1553" s="2" t="s">
        <v>260</v>
      </c>
      <c r="F1553" s="2" t="s">
        <v>4429</v>
      </c>
      <c r="G1553" s="6">
        <v>46174</v>
      </c>
      <c r="H1553" s="2" t="s">
        <v>71</v>
      </c>
      <c r="I1553" s="2" t="s">
        <v>39</v>
      </c>
      <c r="J1553" s="9">
        <v>2631.66</v>
      </c>
      <c r="K1553" s="7">
        <v>1</v>
      </c>
      <c r="L1553" s="9">
        <v>2631.66</v>
      </c>
      <c r="M1553" s="9">
        <v>2631.66</v>
      </c>
      <c r="N1553" s="9">
        <v>1.8</v>
      </c>
      <c r="O1553" s="10">
        <f>IF(AND(OR(H1553="APPROVED",H1553="SCHEDULED"),COUNTIFS(tblSource[EventID],F1553,tblSource[ReleaseStatus],"APPROVED")=1,COUNTIFS(Period_Status!$A$2:$A$8,G1553,Period_Status!$B$2:$B$8,"ActualClosed")=1,C1553&gt;EOMONTH(Settlement_Bridge!$C$2,0)),1,0)</f>
        <v>0</v>
      </c>
      <c r="P1553" s="2" t="s">
        <v>4430</v>
      </c>
    </row>
    <row r="1554" spans="1:16" x14ac:dyDescent="0.25">
      <c r="A1554" s="2" t="s">
        <v>4431</v>
      </c>
      <c r="B1554" s="2" t="s">
        <v>199</v>
      </c>
      <c r="C1554" s="8">
        <v>46201</v>
      </c>
      <c r="D1554" s="6">
        <v>46174</v>
      </c>
      <c r="E1554" s="2" t="s">
        <v>260</v>
      </c>
      <c r="F1554" s="2" t="s">
        <v>4432</v>
      </c>
      <c r="G1554" s="6">
        <v>46174</v>
      </c>
      <c r="H1554" s="2" t="s">
        <v>71</v>
      </c>
      <c r="I1554" s="2" t="s">
        <v>76</v>
      </c>
      <c r="J1554" s="9">
        <v>-44874720</v>
      </c>
      <c r="K1554" s="7">
        <v>6.2500000000000001E-5</v>
      </c>
      <c r="L1554" s="9">
        <v>-2804.67</v>
      </c>
      <c r="M1554" s="9">
        <v>-2804.67</v>
      </c>
      <c r="N1554" s="9">
        <v>0</v>
      </c>
      <c r="O1554" s="10">
        <f>IF(AND(OR(H1554="APPROVED",H1554="SCHEDULED"),COUNTIFS(tblSource[EventID],F1554,tblSource[ReleaseStatus],"APPROVED")=1,COUNTIFS(Period_Status!$A$2:$A$8,G1554,Period_Status!$B$2:$B$8,"ActualClosed")=1,C1554&gt;EOMONTH(Settlement_Bridge!$C$2,0)),1,0)</f>
        <v>0</v>
      </c>
      <c r="P1554" s="2" t="s">
        <v>4433</v>
      </c>
    </row>
    <row r="1555" spans="1:16" x14ac:dyDescent="0.25">
      <c r="A1555" s="2" t="s">
        <v>4434</v>
      </c>
      <c r="B1555" s="2" t="s">
        <v>199</v>
      </c>
      <c r="C1555" s="8">
        <v>46202</v>
      </c>
      <c r="D1555" s="6">
        <v>46174</v>
      </c>
      <c r="E1555" s="2" t="s">
        <v>260</v>
      </c>
      <c r="F1555" s="2" t="s">
        <v>4435</v>
      </c>
      <c r="G1555" s="6">
        <v>46174</v>
      </c>
      <c r="H1555" s="2" t="s">
        <v>71</v>
      </c>
      <c r="I1555" s="2" t="s">
        <v>70</v>
      </c>
      <c r="J1555" s="9">
        <v>1791.0857140000001</v>
      </c>
      <c r="K1555" s="7">
        <v>0.66500000000000004</v>
      </c>
      <c r="L1555" s="9">
        <v>1191.07</v>
      </c>
      <c r="M1555" s="9">
        <v>1191.07</v>
      </c>
      <c r="N1555" s="9">
        <v>1.8</v>
      </c>
      <c r="O1555" s="10">
        <f>IF(AND(OR(H1555="APPROVED",H1555="SCHEDULED"),COUNTIFS(tblSource[EventID],F1555,tblSource[ReleaseStatus],"APPROVED")=1,COUNTIFS(Period_Status!$A$2:$A$8,G1555,Period_Status!$B$2:$B$8,"ActualClosed")=1,C1555&gt;EOMONTH(Settlement_Bridge!$C$2,0)),1,0)</f>
        <v>0</v>
      </c>
      <c r="P1555" s="2" t="s">
        <v>4436</v>
      </c>
    </row>
    <row r="1556" spans="1:16" x14ac:dyDescent="0.25">
      <c r="A1556" s="2" t="s">
        <v>4437</v>
      </c>
      <c r="B1556" s="2" t="s">
        <v>199</v>
      </c>
      <c r="C1556" s="8">
        <v>46227</v>
      </c>
      <c r="D1556" s="6">
        <v>46204</v>
      </c>
      <c r="E1556" s="2" t="s">
        <v>260</v>
      </c>
      <c r="F1556" s="2" t="s">
        <v>4435</v>
      </c>
      <c r="G1556" s="6">
        <v>46174</v>
      </c>
      <c r="H1556" s="2" t="s">
        <v>71</v>
      </c>
      <c r="I1556" s="2" t="s">
        <v>70</v>
      </c>
      <c r="J1556" s="9">
        <v>2686.6285720000001</v>
      </c>
      <c r="K1556" s="7">
        <v>0.65800000000000003</v>
      </c>
      <c r="L1556" s="9">
        <v>1767.8</v>
      </c>
      <c r="M1556" s="9">
        <v>1786.61</v>
      </c>
      <c r="N1556" s="9">
        <v>1.8</v>
      </c>
      <c r="O1556" s="10">
        <f>IF(AND(OR(H1556="APPROVED",H1556="SCHEDULED"),COUNTIFS(tblSource[EventID],F1556,tblSource[ReleaseStatus],"APPROVED")=1,COUNTIFS(Period_Status!$A$2:$A$8,G1556,Period_Status!$B$2:$B$8,"ActualClosed")=1,C1556&gt;EOMONTH(Settlement_Bridge!$C$2,0)),1,0)</f>
        <v>0</v>
      </c>
      <c r="P1556" s="2" t="s">
        <v>4438</v>
      </c>
    </row>
    <row r="1557" spans="1:16" x14ac:dyDescent="0.25">
      <c r="A1557" s="2" t="s">
        <v>4439</v>
      </c>
      <c r="B1557" s="2" t="s">
        <v>199</v>
      </c>
      <c r="C1557" s="8">
        <v>46213</v>
      </c>
      <c r="D1557" s="6">
        <v>46204</v>
      </c>
      <c r="E1557" s="2" t="s">
        <v>260</v>
      </c>
      <c r="F1557" s="2" t="s">
        <v>4440</v>
      </c>
      <c r="G1557" s="6">
        <v>46174</v>
      </c>
      <c r="H1557" s="2" t="s">
        <v>71</v>
      </c>
      <c r="I1557" s="2" t="s">
        <v>39</v>
      </c>
      <c r="J1557" s="9">
        <v>3150.69</v>
      </c>
      <c r="K1557" s="7">
        <v>1</v>
      </c>
      <c r="L1557" s="9">
        <v>3150.69</v>
      </c>
      <c r="M1557" s="9">
        <v>3150.69</v>
      </c>
      <c r="N1557" s="9">
        <v>1.8</v>
      </c>
      <c r="O1557" s="10">
        <f>IF(AND(OR(H1557="APPROVED",H1557="SCHEDULED"),COUNTIFS(tblSource[EventID],F1557,tblSource[ReleaseStatus],"APPROVED")=1,COUNTIFS(Period_Status!$A$2:$A$8,G1557,Period_Status!$B$2:$B$8,"ActualClosed")=1,C1557&gt;EOMONTH(Settlement_Bridge!$C$2,0)),1,0)</f>
        <v>0</v>
      </c>
      <c r="P1557" s="2" t="s">
        <v>4441</v>
      </c>
    </row>
    <row r="1558" spans="1:16" x14ac:dyDescent="0.25">
      <c r="A1558" s="2" t="s">
        <v>4442</v>
      </c>
      <c r="B1558" s="2" t="s">
        <v>199</v>
      </c>
      <c r="C1558" s="8">
        <v>46214</v>
      </c>
      <c r="D1558" s="6">
        <v>46204</v>
      </c>
      <c r="E1558" s="2" t="s">
        <v>260</v>
      </c>
      <c r="F1558" s="2" t="s">
        <v>4443</v>
      </c>
      <c r="G1558" s="6">
        <v>46174</v>
      </c>
      <c r="H1558" s="2" t="s">
        <v>71</v>
      </c>
      <c r="I1558" s="2" t="s">
        <v>76</v>
      </c>
      <c r="J1558" s="9">
        <v>53179200</v>
      </c>
      <c r="K1558" s="7">
        <v>6.2000000000000003E-5</v>
      </c>
      <c r="L1558" s="9">
        <v>3297.11</v>
      </c>
      <c r="M1558" s="9">
        <v>3323.7</v>
      </c>
      <c r="N1558" s="9">
        <v>1.81</v>
      </c>
      <c r="O1558" s="10">
        <f>IF(AND(OR(H1558="APPROVED",H1558="SCHEDULED"),COUNTIFS(tblSource[EventID],F1558,tblSource[ReleaseStatus],"APPROVED")=1,COUNTIFS(Period_Status!$A$2:$A$8,G1558,Period_Status!$B$2:$B$8,"ActualClosed")=1,C1558&gt;EOMONTH(Settlement_Bridge!$C$2,0)),1,0)</f>
        <v>0</v>
      </c>
      <c r="P1558" s="2" t="s">
        <v>4444</v>
      </c>
    </row>
    <row r="1559" spans="1:16" x14ac:dyDescent="0.25">
      <c r="A1559" s="2" t="s">
        <v>4445</v>
      </c>
      <c r="B1559" s="2" t="s">
        <v>199</v>
      </c>
      <c r="C1559" s="8">
        <v>46205</v>
      </c>
      <c r="D1559" s="6">
        <v>46204</v>
      </c>
      <c r="E1559" s="2" t="s">
        <v>260</v>
      </c>
      <c r="F1559" s="2" t="s">
        <v>4446</v>
      </c>
      <c r="G1559" s="6">
        <v>46174</v>
      </c>
      <c r="H1559" s="2" t="s">
        <v>71</v>
      </c>
      <c r="I1559" s="2" t="s">
        <v>70</v>
      </c>
      <c r="J1559" s="9">
        <v>2103.2842099999998</v>
      </c>
      <c r="K1559" s="7">
        <v>0.65800000000000003</v>
      </c>
      <c r="L1559" s="9">
        <v>1383.96</v>
      </c>
      <c r="M1559" s="9">
        <v>1398.68</v>
      </c>
      <c r="N1559" s="9">
        <v>1.8</v>
      </c>
      <c r="O1559" s="10">
        <f>IF(AND(OR(H1559="APPROVED",H1559="SCHEDULED"),COUNTIFS(tblSource[EventID],F1559,tblSource[ReleaseStatus],"APPROVED")=1,COUNTIFS(Period_Status!$A$2:$A$8,G1559,Period_Status!$B$2:$B$8,"ActualClosed")=1,C1559&gt;EOMONTH(Settlement_Bridge!$C$2,0)),1,0)</f>
        <v>0</v>
      </c>
      <c r="P1559" s="2" t="s">
        <v>4447</v>
      </c>
    </row>
    <row r="1560" spans="1:16" x14ac:dyDescent="0.25">
      <c r="A1560" s="2" t="s">
        <v>4448</v>
      </c>
      <c r="B1560" s="2" t="s">
        <v>199</v>
      </c>
      <c r="C1560" s="8">
        <v>46230</v>
      </c>
      <c r="D1560" s="6">
        <v>46204</v>
      </c>
      <c r="E1560" s="2" t="s">
        <v>260</v>
      </c>
      <c r="F1560" s="2" t="s">
        <v>4446</v>
      </c>
      <c r="G1560" s="6">
        <v>46174</v>
      </c>
      <c r="H1560" s="2" t="s">
        <v>71</v>
      </c>
      <c r="I1560" s="2" t="s">
        <v>70</v>
      </c>
      <c r="J1560" s="9">
        <v>3154.926316</v>
      </c>
      <c r="K1560" s="7">
        <v>0.65800000000000003</v>
      </c>
      <c r="L1560" s="9">
        <v>2075.94</v>
      </c>
      <c r="M1560" s="9">
        <v>2098.0300000000002</v>
      </c>
      <c r="N1560" s="9">
        <v>1.8</v>
      </c>
      <c r="O1560" s="10">
        <f>IF(AND(OR(H1560="APPROVED",H1560="SCHEDULED"),COUNTIFS(tblSource[EventID],F1560,tblSource[ReleaseStatus],"APPROVED")=1,COUNTIFS(Period_Status!$A$2:$A$8,G1560,Period_Status!$B$2:$B$8,"ActualClosed")=1,C1560&gt;EOMONTH(Settlement_Bridge!$C$2,0)),1,0)</f>
        <v>0</v>
      </c>
      <c r="P1560" s="2" t="s">
        <v>4449</v>
      </c>
    </row>
    <row r="1561" spans="1:16" x14ac:dyDescent="0.25">
      <c r="A1561" s="2" t="s">
        <v>4450</v>
      </c>
      <c r="B1561" s="2" t="s">
        <v>199</v>
      </c>
      <c r="C1561" s="8">
        <v>46216</v>
      </c>
      <c r="D1561" s="6">
        <v>46204</v>
      </c>
      <c r="E1561" s="2" t="s">
        <v>260</v>
      </c>
      <c r="F1561" s="2" t="s">
        <v>4451</v>
      </c>
      <c r="G1561" s="6">
        <v>46174</v>
      </c>
      <c r="H1561" s="2" t="s">
        <v>71</v>
      </c>
      <c r="I1561" s="2" t="s">
        <v>39</v>
      </c>
      <c r="J1561" s="9">
        <v>3669.72</v>
      </c>
      <c r="K1561" s="7">
        <v>1</v>
      </c>
      <c r="L1561" s="9">
        <v>3669.72</v>
      </c>
      <c r="M1561" s="9">
        <v>3669.72</v>
      </c>
      <c r="N1561" s="9">
        <v>2.02</v>
      </c>
      <c r="O1561" s="10">
        <f>IF(AND(OR(H1561="APPROVED",H1561="SCHEDULED"),COUNTIFS(tblSource[EventID],F1561,tblSource[ReleaseStatus],"APPROVED")=1,COUNTIFS(Period_Status!$A$2:$A$8,G1561,Period_Status!$B$2:$B$8,"ActualClosed")=1,C1561&gt;EOMONTH(Settlement_Bridge!$C$2,0)),1,0)</f>
        <v>0</v>
      </c>
      <c r="P1561" s="2" t="s">
        <v>4452</v>
      </c>
    </row>
    <row r="1562" spans="1:16" x14ac:dyDescent="0.25">
      <c r="A1562" s="2" t="s">
        <v>4453</v>
      </c>
      <c r="B1562" s="2" t="s">
        <v>199</v>
      </c>
      <c r="C1562" s="8">
        <v>46217</v>
      </c>
      <c r="D1562" s="6">
        <v>46204</v>
      </c>
      <c r="E1562" s="2" t="s">
        <v>260</v>
      </c>
      <c r="F1562" s="2" t="s">
        <v>4454</v>
      </c>
      <c r="G1562" s="6">
        <v>46174</v>
      </c>
      <c r="H1562" s="2" t="s">
        <v>71</v>
      </c>
      <c r="I1562" s="2" t="s">
        <v>76</v>
      </c>
      <c r="J1562" s="9">
        <v>61483680</v>
      </c>
      <c r="K1562" s="7">
        <v>6.2000000000000003E-5</v>
      </c>
      <c r="L1562" s="9">
        <v>3811.99</v>
      </c>
      <c r="M1562" s="9">
        <v>3842.73</v>
      </c>
      <c r="N1562" s="9">
        <v>2.1</v>
      </c>
      <c r="O1562" s="10">
        <f>IF(AND(OR(H1562="APPROVED",H1562="SCHEDULED"),COUNTIFS(tblSource[EventID],F1562,tblSource[ReleaseStatus],"APPROVED")=1,COUNTIFS(Period_Status!$A$2:$A$8,G1562,Period_Status!$B$2:$B$8,"ActualClosed")=1,C1562&gt;EOMONTH(Settlement_Bridge!$C$2,0)),1,0)</f>
        <v>0</v>
      </c>
      <c r="P1562" s="2" t="s">
        <v>4455</v>
      </c>
    </row>
    <row r="1563" spans="1:16" x14ac:dyDescent="0.25">
      <c r="A1563" s="2" t="s">
        <v>4456</v>
      </c>
      <c r="B1563" s="2" t="s">
        <v>199</v>
      </c>
      <c r="C1563" s="8">
        <v>46218</v>
      </c>
      <c r="D1563" s="6">
        <v>46204</v>
      </c>
      <c r="E1563" s="2" t="s">
        <v>260</v>
      </c>
      <c r="F1563" s="2" t="s">
        <v>4457</v>
      </c>
      <c r="G1563" s="6">
        <v>46174</v>
      </c>
      <c r="H1563" s="2" t="s">
        <v>71</v>
      </c>
      <c r="I1563" s="2" t="s">
        <v>70</v>
      </c>
      <c r="J1563" s="9">
        <v>6038.7067669999997</v>
      </c>
      <c r="K1563" s="7">
        <v>0.65800000000000003</v>
      </c>
      <c r="L1563" s="9">
        <v>3973.47</v>
      </c>
      <c r="M1563" s="9">
        <v>4015.74</v>
      </c>
      <c r="N1563" s="9">
        <v>2.19</v>
      </c>
      <c r="O1563" s="10">
        <f>IF(AND(OR(H1563="APPROVED",H1563="SCHEDULED"),COUNTIFS(tblSource[EventID],F1563,tblSource[ReleaseStatus],"APPROVED")=1,COUNTIFS(Period_Status!$A$2:$A$8,G1563,Period_Status!$B$2:$B$8,"ActualClosed")=1,C1563&gt;EOMONTH(Settlement_Bridge!$C$2,0)),1,0)</f>
        <v>0</v>
      </c>
      <c r="P1563" s="2" t="s">
        <v>4458</v>
      </c>
    </row>
    <row r="1564" spans="1:16" x14ac:dyDescent="0.25">
      <c r="A1564" s="2" t="s">
        <v>4459</v>
      </c>
      <c r="B1564" s="2" t="s">
        <v>199</v>
      </c>
      <c r="C1564" s="8">
        <v>46219</v>
      </c>
      <c r="D1564" s="6">
        <v>46204</v>
      </c>
      <c r="E1564" s="2" t="s">
        <v>260</v>
      </c>
      <c r="F1564" s="2" t="s">
        <v>4460</v>
      </c>
      <c r="G1564" s="6">
        <v>46174</v>
      </c>
      <c r="H1564" s="2" t="s">
        <v>71</v>
      </c>
      <c r="I1564" s="2" t="s">
        <v>39</v>
      </c>
      <c r="J1564" s="9">
        <v>4188.75</v>
      </c>
      <c r="K1564" s="7">
        <v>1</v>
      </c>
      <c r="L1564" s="9">
        <v>4188.75</v>
      </c>
      <c r="M1564" s="9">
        <v>4188.75</v>
      </c>
      <c r="N1564" s="9">
        <v>2.2999999999999998</v>
      </c>
      <c r="O1564" s="10">
        <f>IF(AND(OR(H1564="APPROVED",H1564="SCHEDULED"),COUNTIFS(tblSource[EventID],F1564,tblSource[ReleaseStatus],"APPROVED")=1,COUNTIFS(Period_Status!$A$2:$A$8,G1564,Period_Status!$B$2:$B$8,"ActualClosed")=1,C1564&gt;EOMONTH(Settlement_Bridge!$C$2,0)),1,0)</f>
        <v>0</v>
      </c>
      <c r="P1564" s="2" t="s">
        <v>4461</v>
      </c>
    </row>
    <row r="1565" spans="1:16" x14ac:dyDescent="0.25">
      <c r="A1565" s="2" t="s">
        <v>4462</v>
      </c>
      <c r="B1565" s="2" t="s">
        <v>199</v>
      </c>
      <c r="C1565" s="8">
        <v>46220</v>
      </c>
      <c r="D1565" s="6">
        <v>46204</v>
      </c>
      <c r="E1565" s="2" t="s">
        <v>260</v>
      </c>
      <c r="F1565" s="2" t="s">
        <v>4463</v>
      </c>
      <c r="G1565" s="6">
        <v>46174</v>
      </c>
      <c r="H1565" s="2" t="s">
        <v>71</v>
      </c>
      <c r="I1565" s="2" t="s">
        <v>76</v>
      </c>
      <c r="J1565" s="9">
        <v>69788160</v>
      </c>
      <c r="K1565" s="7">
        <v>6.2000000000000003E-5</v>
      </c>
      <c r="L1565" s="9">
        <v>4326.87</v>
      </c>
      <c r="M1565" s="9">
        <v>4361.76</v>
      </c>
      <c r="N1565" s="9">
        <v>2.38</v>
      </c>
      <c r="O1565" s="10">
        <f>IF(AND(OR(H1565="APPROVED",H1565="SCHEDULED"),COUNTIFS(tblSource[EventID],F1565,tblSource[ReleaseStatus],"APPROVED")=1,COUNTIFS(Period_Status!$A$2:$A$8,G1565,Period_Status!$B$2:$B$8,"ActualClosed")=1,C1565&gt;EOMONTH(Settlement_Bridge!$C$2,0)),1,0)</f>
        <v>0</v>
      </c>
      <c r="P1565" s="2" t="s">
        <v>4464</v>
      </c>
    </row>
    <row r="1566" spans="1:16" x14ac:dyDescent="0.25">
      <c r="A1566" s="2" t="s">
        <v>4465</v>
      </c>
      <c r="B1566" s="2" t="s">
        <v>199</v>
      </c>
      <c r="C1566" s="8">
        <v>46211</v>
      </c>
      <c r="D1566" s="6">
        <v>46204</v>
      </c>
      <c r="E1566" s="2" t="s">
        <v>260</v>
      </c>
      <c r="F1566" s="2" t="s">
        <v>4466</v>
      </c>
      <c r="G1566" s="6">
        <v>46174</v>
      </c>
      <c r="H1566" s="2" t="s">
        <v>71</v>
      </c>
      <c r="I1566" s="2" t="s">
        <v>70</v>
      </c>
      <c r="J1566" s="9">
        <v>2727.6812030000001</v>
      </c>
      <c r="K1566" s="7">
        <v>0.65800000000000003</v>
      </c>
      <c r="L1566" s="9">
        <v>1794.81</v>
      </c>
      <c r="M1566" s="9">
        <v>1813.91</v>
      </c>
      <c r="N1566" s="9">
        <v>1.8</v>
      </c>
      <c r="O1566" s="10">
        <f>IF(AND(OR(H1566="APPROVED",H1566="SCHEDULED"),COUNTIFS(tblSource[EventID],F1566,tblSource[ReleaseStatus],"APPROVED")=1,COUNTIFS(Period_Status!$A$2:$A$8,G1566,Period_Status!$B$2:$B$8,"ActualClosed")=1,C1566&gt;EOMONTH(Settlement_Bridge!$C$2,0)),1,0)</f>
        <v>0</v>
      </c>
      <c r="P1566" s="2" t="s">
        <v>4467</v>
      </c>
    </row>
    <row r="1567" spans="1:16" x14ac:dyDescent="0.25">
      <c r="A1567" s="2" t="s">
        <v>4468</v>
      </c>
      <c r="B1567" s="2" t="s">
        <v>199</v>
      </c>
      <c r="C1567" s="8">
        <v>46236</v>
      </c>
      <c r="D1567" s="6">
        <v>46235</v>
      </c>
      <c r="E1567" s="2" t="s">
        <v>260</v>
      </c>
      <c r="F1567" s="2" t="s">
        <v>4466</v>
      </c>
      <c r="G1567" s="6">
        <v>46174</v>
      </c>
      <c r="H1567" s="2" t="s">
        <v>71</v>
      </c>
      <c r="I1567" s="2" t="s">
        <v>70</v>
      </c>
      <c r="J1567" s="9">
        <v>4091.5218049999999</v>
      </c>
      <c r="K1567" s="7">
        <v>0.65</v>
      </c>
      <c r="L1567" s="9">
        <v>2659.49</v>
      </c>
      <c r="M1567" s="9">
        <v>2720.86</v>
      </c>
      <c r="N1567" s="9">
        <v>1.8</v>
      </c>
      <c r="O1567" s="10">
        <f>IF(AND(OR(H1567="APPROVED",H1567="SCHEDULED"),COUNTIFS(tblSource[EventID],F1567,tblSource[ReleaseStatus],"APPROVED")=1,COUNTIFS(Period_Status!$A$2:$A$8,G1567,Period_Status!$B$2:$B$8,"ActualClosed")=1,C1567&gt;EOMONTH(Settlement_Bridge!$C$2,0)),1,0)</f>
        <v>1</v>
      </c>
      <c r="P1567" s="2" t="s">
        <v>4469</v>
      </c>
    </row>
    <row r="1568" spans="1:16" x14ac:dyDescent="0.25">
      <c r="A1568" s="2" t="s">
        <v>4470</v>
      </c>
      <c r="B1568" s="2" t="s">
        <v>199</v>
      </c>
      <c r="C1568" s="8">
        <v>46212</v>
      </c>
      <c r="D1568" s="6">
        <v>46204</v>
      </c>
      <c r="E1568" s="2" t="s">
        <v>260</v>
      </c>
      <c r="F1568" s="2" t="s">
        <v>4471</v>
      </c>
      <c r="G1568" s="6">
        <v>46174</v>
      </c>
      <c r="H1568" s="2" t="s">
        <v>71</v>
      </c>
      <c r="I1568" s="2" t="s">
        <v>39</v>
      </c>
      <c r="J1568" s="9">
        <v>1883.1120000000001</v>
      </c>
      <c r="K1568" s="7">
        <v>1</v>
      </c>
      <c r="L1568" s="9">
        <v>1883.11</v>
      </c>
      <c r="M1568" s="9">
        <v>1883.11</v>
      </c>
      <c r="N1568" s="9">
        <v>1.8</v>
      </c>
      <c r="O1568" s="10">
        <f>IF(AND(OR(H1568="APPROVED",H1568="SCHEDULED"),COUNTIFS(tblSource[EventID],F1568,tblSource[ReleaseStatus],"APPROVED")=1,COUNTIFS(Period_Status!$A$2:$A$8,G1568,Period_Status!$B$2:$B$8,"ActualClosed")=1,C1568&gt;EOMONTH(Settlement_Bridge!$C$2,0)),1,0)</f>
        <v>0</v>
      </c>
      <c r="P1568" s="2" t="s">
        <v>4472</v>
      </c>
    </row>
    <row r="1569" spans="1:16" x14ac:dyDescent="0.25">
      <c r="A1569" s="2" t="s">
        <v>4473</v>
      </c>
      <c r="B1569" s="2" t="s">
        <v>199</v>
      </c>
      <c r="C1569" s="8">
        <v>46237</v>
      </c>
      <c r="D1569" s="6">
        <v>46235</v>
      </c>
      <c r="E1569" s="2" t="s">
        <v>260</v>
      </c>
      <c r="F1569" s="2" t="s">
        <v>4471</v>
      </c>
      <c r="G1569" s="6">
        <v>46174</v>
      </c>
      <c r="H1569" s="2" t="s">
        <v>71</v>
      </c>
      <c r="I1569" s="2" t="s">
        <v>39</v>
      </c>
      <c r="J1569" s="9">
        <v>2824.6680000000001</v>
      </c>
      <c r="K1569" s="7">
        <v>1</v>
      </c>
      <c r="L1569" s="9">
        <v>2824.67</v>
      </c>
      <c r="M1569" s="9">
        <v>2824.67</v>
      </c>
      <c r="N1569" s="9">
        <v>1.8</v>
      </c>
      <c r="O1569" s="10">
        <f>IF(AND(OR(H1569="APPROVED",H1569="SCHEDULED"),COUNTIFS(tblSource[EventID],F1569,tblSource[ReleaseStatus],"APPROVED")=1,COUNTIFS(Period_Status!$A$2:$A$8,G1569,Period_Status!$B$2:$B$8,"ActualClosed")=1,C1569&gt;EOMONTH(Settlement_Bridge!$C$2,0)),1,0)</f>
        <v>1</v>
      </c>
      <c r="P1569" s="2" t="s">
        <v>4474</v>
      </c>
    </row>
    <row r="1570" spans="1:16" x14ac:dyDescent="0.25">
      <c r="A1570" s="2" t="s">
        <v>4475</v>
      </c>
      <c r="B1570" s="2" t="s">
        <v>199</v>
      </c>
      <c r="C1570" s="8">
        <v>46223</v>
      </c>
      <c r="D1570" s="6">
        <v>46204</v>
      </c>
      <c r="E1570" s="2" t="s">
        <v>260</v>
      </c>
      <c r="F1570" s="2" t="s">
        <v>4476</v>
      </c>
      <c r="G1570" s="6">
        <v>46174</v>
      </c>
      <c r="H1570" s="2" t="s">
        <v>71</v>
      </c>
      <c r="I1570" s="2" t="s">
        <v>76</v>
      </c>
      <c r="J1570" s="9">
        <v>78092640</v>
      </c>
      <c r="K1570" s="7">
        <v>6.2000000000000003E-5</v>
      </c>
      <c r="L1570" s="9">
        <v>4841.74</v>
      </c>
      <c r="M1570" s="9">
        <v>4880.79</v>
      </c>
      <c r="N1570" s="9">
        <v>2.66</v>
      </c>
      <c r="O1570" s="10">
        <f>IF(AND(OR(H1570="APPROVED",H1570="SCHEDULED"),COUNTIFS(tblSource[EventID],F1570,tblSource[ReleaseStatus],"APPROVED")=1,COUNTIFS(Period_Status!$A$2:$A$8,G1570,Period_Status!$B$2:$B$8,"ActualClosed")=1,C1570&gt;EOMONTH(Settlement_Bridge!$C$2,0)),1,0)</f>
        <v>0</v>
      </c>
      <c r="P1570" s="2" t="s">
        <v>4477</v>
      </c>
    </row>
    <row r="1571" spans="1:16" x14ac:dyDescent="0.25">
      <c r="A1571" s="2" t="s">
        <v>4478</v>
      </c>
      <c r="B1571" s="2" t="s">
        <v>199</v>
      </c>
      <c r="C1571" s="8">
        <v>46224</v>
      </c>
      <c r="D1571" s="6">
        <v>46204</v>
      </c>
      <c r="E1571" s="2" t="s">
        <v>260</v>
      </c>
      <c r="F1571" s="2" t="s">
        <v>4479</v>
      </c>
      <c r="G1571" s="6">
        <v>46174</v>
      </c>
      <c r="H1571" s="2" t="s">
        <v>71</v>
      </c>
      <c r="I1571" s="2" t="s">
        <v>70</v>
      </c>
      <c r="J1571" s="9">
        <v>7599.6992479999999</v>
      </c>
      <c r="K1571" s="7">
        <v>0.65800000000000003</v>
      </c>
      <c r="L1571" s="9">
        <v>5000.6000000000004</v>
      </c>
      <c r="M1571" s="9">
        <v>5053.8</v>
      </c>
      <c r="N1571" s="9">
        <v>2.75</v>
      </c>
      <c r="O1571" s="10">
        <f>IF(AND(OR(H1571="APPROVED",H1571="SCHEDULED"),COUNTIFS(tblSource[EventID],F1571,tblSource[ReleaseStatus],"APPROVED")=1,COUNTIFS(Period_Status!$A$2:$A$8,G1571,Period_Status!$B$2:$B$8,"ActualClosed")=1,C1571&gt;EOMONTH(Settlement_Bridge!$C$2,0)),1,0)</f>
        <v>0</v>
      </c>
      <c r="P1571" s="2" t="s">
        <v>4480</v>
      </c>
    </row>
    <row r="1572" spans="1:16" x14ac:dyDescent="0.25">
      <c r="A1572" s="2" t="s">
        <v>4481</v>
      </c>
      <c r="B1572" s="2" t="s">
        <v>199</v>
      </c>
      <c r="C1572" s="8">
        <v>46215</v>
      </c>
      <c r="D1572" s="6">
        <v>46204</v>
      </c>
      <c r="E1572" s="2" t="s">
        <v>260</v>
      </c>
      <c r="F1572" s="2" t="s">
        <v>4482</v>
      </c>
      <c r="G1572" s="6">
        <v>46174</v>
      </c>
      <c r="H1572" s="2" t="s">
        <v>71</v>
      </c>
      <c r="I1572" s="2" t="s">
        <v>39</v>
      </c>
      <c r="J1572" s="9">
        <v>2090.7240000000002</v>
      </c>
      <c r="K1572" s="7">
        <v>1</v>
      </c>
      <c r="L1572" s="9">
        <v>2090.7199999999998</v>
      </c>
      <c r="M1572" s="9">
        <v>2090.7199999999998</v>
      </c>
      <c r="N1572" s="9">
        <v>1.8</v>
      </c>
      <c r="O1572" s="10">
        <f>IF(AND(OR(H1572="APPROVED",H1572="SCHEDULED"),COUNTIFS(tblSource[EventID],F1572,tblSource[ReleaseStatus],"APPROVED")=1,COUNTIFS(Period_Status!$A$2:$A$8,G1572,Period_Status!$B$2:$B$8,"ActualClosed")=1,C1572&gt;EOMONTH(Settlement_Bridge!$C$2,0)),1,0)</f>
        <v>0</v>
      </c>
      <c r="P1572" s="2" t="s">
        <v>4483</v>
      </c>
    </row>
    <row r="1573" spans="1:16" x14ac:dyDescent="0.25">
      <c r="A1573" s="2" t="s">
        <v>4484</v>
      </c>
      <c r="B1573" s="2" t="s">
        <v>199</v>
      </c>
      <c r="C1573" s="8">
        <v>46240</v>
      </c>
      <c r="D1573" s="6">
        <v>46235</v>
      </c>
      <c r="E1573" s="2" t="s">
        <v>260</v>
      </c>
      <c r="F1573" s="2" t="s">
        <v>4482</v>
      </c>
      <c r="G1573" s="6">
        <v>46174</v>
      </c>
      <c r="H1573" s="2" t="s">
        <v>71</v>
      </c>
      <c r="I1573" s="2" t="s">
        <v>39</v>
      </c>
      <c r="J1573" s="9">
        <v>3136.0859999999998</v>
      </c>
      <c r="K1573" s="7">
        <v>1</v>
      </c>
      <c r="L1573" s="9">
        <v>3136.09</v>
      </c>
      <c r="M1573" s="9">
        <v>3136.09</v>
      </c>
      <c r="N1573" s="9">
        <v>1.8</v>
      </c>
      <c r="O1573" s="10">
        <f>IF(AND(OR(H1573="APPROVED",H1573="SCHEDULED"),COUNTIFS(tblSource[EventID],F1573,tblSource[ReleaseStatus],"APPROVED")=1,COUNTIFS(Period_Status!$A$2:$A$8,G1573,Period_Status!$B$2:$B$8,"ActualClosed")=1,C1573&gt;EOMONTH(Settlement_Bridge!$C$2,0)),1,0)</f>
        <v>1</v>
      </c>
      <c r="P1573" s="2" t="s">
        <v>4485</v>
      </c>
    </row>
    <row r="1574" spans="1:16" x14ac:dyDescent="0.25">
      <c r="A1574" s="2" t="s">
        <v>4486</v>
      </c>
      <c r="B1574" s="2" t="s">
        <v>199</v>
      </c>
      <c r="C1574" s="8">
        <v>46226</v>
      </c>
      <c r="D1574" s="6">
        <v>46204</v>
      </c>
      <c r="E1574" s="2" t="s">
        <v>260</v>
      </c>
      <c r="F1574" s="2" t="s">
        <v>4487</v>
      </c>
      <c r="G1574" s="6">
        <v>46174</v>
      </c>
      <c r="H1574" s="2" t="s">
        <v>71</v>
      </c>
      <c r="I1574" s="2" t="s">
        <v>76</v>
      </c>
      <c r="J1574" s="9">
        <v>86397120</v>
      </c>
      <c r="K1574" s="7">
        <v>6.2000000000000003E-5</v>
      </c>
      <c r="L1574" s="9">
        <v>5356.62</v>
      </c>
      <c r="M1574" s="9">
        <v>5399.82</v>
      </c>
      <c r="N1574" s="9">
        <v>2.95</v>
      </c>
      <c r="O1574" s="10">
        <f>IF(AND(OR(H1574="APPROVED",H1574="SCHEDULED"),COUNTIFS(tblSource[EventID],F1574,tblSource[ReleaseStatus],"APPROVED")=1,COUNTIFS(Period_Status!$A$2:$A$8,G1574,Period_Status!$B$2:$B$8,"ActualClosed")=1,C1574&gt;EOMONTH(Settlement_Bridge!$C$2,0)),1,0)</f>
        <v>0</v>
      </c>
      <c r="P1574" s="2" t="s">
        <v>4488</v>
      </c>
    </row>
    <row r="1575" spans="1:16" x14ac:dyDescent="0.25">
      <c r="A1575" s="2" t="s">
        <v>4489</v>
      </c>
      <c r="B1575" s="2" t="s">
        <v>199</v>
      </c>
      <c r="C1575" s="8">
        <v>46227</v>
      </c>
      <c r="D1575" s="6">
        <v>46204</v>
      </c>
      <c r="E1575" s="2" t="s">
        <v>260</v>
      </c>
      <c r="F1575" s="2" t="s">
        <v>4490</v>
      </c>
      <c r="G1575" s="6">
        <v>46174</v>
      </c>
      <c r="H1575" s="2" t="s">
        <v>71</v>
      </c>
      <c r="I1575" s="2" t="s">
        <v>70</v>
      </c>
      <c r="J1575" s="9">
        <v>8380.1954889999997</v>
      </c>
      <c r="K1575" s="7">
        <v>0.65800000000000003</v>
      </c>
      <c r="L1575" s="9">
        <v>5514.17</v>
      </c>
      <c r="M1575" s="9">
        <v>5572.83</v>
      </c>
      <c r="N1575" s="9">
        <v>3.03</v>
      </c>
      <c r="O1575" s="10">
        <f>IF(AND(OR(H1575="APPROVED",H1575="SCHEDULED"),COUNTIFS(tblSource[EventID],F1575,tblSource[ReleaseStatus],"APPROVED")=1,COUNTIFS(Period_Status!$A$2:$A$8,G1575,Period_Status!$B$2:$B$8,"ActualClosed")=1,C1575&gt;EOMONTH(Settlement_Bridge!$C$2,0)),1,0)</f>
        <v>0</v>
      </c>
      <c r="P1575" s="2" t="s">
        <v>4491</v>
      </c>
    </row>
    <row r="1576" spans="1:16" x14ac:dyDescent="0.25">
      <c r="A1576" s="2" t="s">
        <v>4492</v>
      </c>
      <c r="B1576" s="2" t="s">
        <v>199</v>
      </c>
      <c r="C1576" s="8">
        <v>46198</v>
      </c>
      <c r="D1576" s="6">
        <v>46174</v>
      </c>
      <c r="E1576" s="2" t="s">
        <v>260</v>
      </c>
      <c r="F1576" s="2" t="s">
        <v>4493</v>
      </c>
      <c r="G1576" s="6">
        <v>46174</v>
      </c>
      <c r="H1576" s="2" t="s">
        <v>71</v>
      </c>
      <c r="I1576" s="2" t="s">
        <v>39</v>
      </c>
      <c r="J1576" s="9">
        <v>5745.84</v>
      </c>
      <c r="K1576" s="7">
        <v>1</v>
      </c>
      <c r="L1576" s="9">
        <v>5745.84</v>
      </c>
      <c r="M1576" s="9">
        <v>5745.84</v>
      </c>
      <c r="N1576" s="9">
        <v>3.16</v>
      </c>
      <c r="O1576" s="10">
        <f>IF(AND(OR(H1576="APPROVED",H1576="SCHEDULED"),COUNTIFS(tblSource[EventID],F1576,tblSource[ReleaseStatus],"APPROVED")=1,COUNTIFS(Period_Status!$A$2:$A$8,G1576,Period_Status!$B$2:$B$8,"ActualClosed")=1,C1576&gt;EOMONTH(Settlement_Bridge!$C$2,0)),1,0)</f>
        <v>0</v>
      </c>
      <c r="P1576" s="2" t="s">
        <v>4494</v>
      </c>
    </row>
    <row r="1577" spans="1:16" x14ac:dyDescent="0.25">
      <c r="A1577" s="2" t="s">
        <v>4495</v>
      </c>
      <c r="B1577" s="2" t="s">
        <v>199</v>
      </c>
      <c r="C1577" s="8">
        <v>46199</v>
      </c>
      <c r="D1577" s="6">
        <v>46174</v>
      </c>
      <c r="E1577" s="2" t="s">
        <v>260</v>
      </c>
      <c r="F1577" s="2" t="s">
        <v>4496</v>
      </c>
      <c r="G1577" s="6">
        <v>46174</v>
      </c>
      <c r="H1577" s="2" t="s">
        <v>71</v>
      </c>
      <c r="I1577" s="2" t="s">
        <v>76</v>
      </c>
      <c r="J1577" s="9">
        <v>94701600</v>
      </c>
      <c r="K1577" s="7">
        <v>6.2500000000000001E-5</v>
      </c>
      <c r="L1577" s="9">
        <v>5918.85</v>
      </c>
      <c r="M1577" s="9">
        <v>5918.85</v>
      </c>
      <c r="N1577" s="9">
        <v>3.26</v>
      </c>
      <c r="O1577" s="10">
        <f>IF(AND(OR(H1577="APPROVED",H1577="SCHEDULED"),COUNTIFS(tblSource[EventID],F1577,tblSource[ReleaseStatus],"APPROVED")=1,COUNTIFS(Period_Status!$A$2:$A$8,G1577,Period_Status!$B$2:$B$8,"ActualClosed")=1,C1577&gt;EOMONTH(Settlement_Bridge!$C$2,0)),1,0)</f>
        <v>0</v>
      </c>
      <c r="P1577" s="2" t="s">
        <v>4497</v>
      </c>
    </row>
    <row r="1578" spans="1:16" x14ac:dyDescent="0.25">
      <c r="A1578" s="2" t="s">
        <v>4498</v>
      </c>
      <c r="B1578" s="2" t="s">
        <v>199</v>
      </c>
      <c r="C1578" s="8">
        <v>46200</v>
      </c>
      <c r="D1578" s="6">
        <v>46174</v>
      </c>
      <c r="E1578" s="2" t="s">
        <v>260</v>
      </c>
      <c r="F1578" s="2" t="s">
        <v>4499</v>
      </c>
      <c r="G1578" s="6">
        <v>46174</v>
      </c>
      <c r="H1578" s="2" t="s">
        <v>71</v>
      </c>
      <c r="I1578" s="2" t="s">
        <v>70</v>
      </c>
      <c r="J1578" s="9">
        <v>9160.6917290000001</v>
      </c>
      <c r="K1578" s="7">
        <v>0.66500000000000004</v>
      </c>
      <c r="L1578" s="9">
        <v>6091.86</v>
      </c>
      <c r="M1578" s="9">
        <v>6091.86</v>
      </c>
      <c r="N1578" s="9">
        <v>3.35</v>
      </c>
      <c r="O1578" s="10">
        <f>IF(AND(OR(H1578="APPROVED",H1578="SCHEDULED"),COUNTIFS(tblSource[EventID],F1578,tblSource[ReleaseStatus],"APPROVED")=1,COUNTIFS(Period_Status!$A$2:$A$8,G1578,Period_Status!$B$2:$B$8,"ActualClosed")=1,C1578&gt;EOMONTH(Settlement_Bridge!$C$2,0)),1,0)</f>
        <v>0</v>
      </c>
      <c r="P1578" s="2" t="s">
        <v>4500</v>
      </c>
    </row>
    <row r="1579" spans="1:16" x14ac:dyDescent="0.25">
      <c r="A1579" s="2" t="s">
        <v>4501</v>
      </c>
      <c r="B1579" s="2" t="s">
        <v>199</v>
      </c>
      <c r="C1579" s="8">
        <v>46191</v>
      </c>
      <c r="D1579" s="6">
        <v>46174</v>
      </c>
      <c r="E1579" s="2" t="s">
        <v>260</v>
      </c>
      <c r="F1579" s="2" t="s">
        <v>4502</v>
      </c>
      <c r="G1579" s="6">
        <v>46174</v>
      </c>
      <c r="H1579" s="2" t="s">
        <v>71</v>
      </c>
      <c r="I1579" s="2" t="s">
        <v>39</v>
      </c>
      <c r="J1579" s="9">
        <v>2505.9479999999999</v>
      </c>
      <c r="K1579" s="7">
        <v>1</v>
      </c>
      <c r="L1579" s="9">
        <v>2505.9499999999998</v>
      </c>
      <c r="M1579" s="9">
        <v>2505.9499999999998</v>
      </c>
      <c r="N1579" s="9">
        <v>1.8</v>
      </c>
      <c r="O1579" s="10">
        <f>IF(AND(OR(H1579="APPROVED",H1579="SCHEDULED"),COUNTIFS(tblSource[EventID],F1579,tblSource[ReleaseStatus],"APPROVED")=1,COUNTIFS(Period_Status!$A$2:$A$8,G1579,Period_Status!$B$2:$B$8,"ActualClosed")=1,C1579&gt;EOMONTH(Settlement_Bridge!$C$2,0)),1,0)</f>
        <v>0</v>
      </c>
      <c r="P1579" s="2" t="s">
        <v>4503</v>
      </c>
    </row>
    <row r="1580" spans="1:16" x14ac:dyDescent="0.25">
      <c r="A1580" s="2" t="s">
        <v>4504</v>
      </c>
      <c r="B1580" s="2" t="s">
        <v>199</v>
      </c>
      <c r="C1580" s="8">
        <v>46216</v>
      </c>
      <c r="D1580" s="6">
        <v>46204</v>
      </c>
      <c r="E1580" s="2" t="s">
        <v>260</v>
      </c>
      <c r="F1580" s="2" t="s">
        <v>4502</v>
      </c>
      <c r="G1580" s="6">
        <v>46174</v>
      </c>
      <c r="H1580" s="2" t="s">
        <v>71</v>
      </c>
      <c r="I1580" s="2" t="s">
        <v>39</v>
      </c>
      <c r="J1580" s="9">
        <v>3758.922</v>
      </c>
      <c r="K1580" s="7">
        <v>1</v>
      </c>
      <c r="L1580" s="9">
        <v>3758.92</v>
      </c>
      <c r="M1580" s="9">
        <v>3758.92</v>
      </c>
      <c r="N1580" s="9">
        <v>2.0699999999999998</v>
      </c>
      <c r="O1580" s="10">
        <f>IF(AND(OR(H1580="APPROVED",H1580="SCHEDULED"),COUNTIFS(tblSource[EventID],F1580,tblSource[ReleaseStatus],"APPROVED")=1,COUNTIFS(Period_Status!$A$2:$A$8,G1580,Period_Status!$B$2:$B$8,"ActualClosed")=1,C1580&gt;EOMONTH(Settlement_Bridge!$C$2,0)),1,0)</f>
        <v>0</v>
      </c>
      <c r="P1580" s="2" t="s">
        <v>4505</v>
      </c>
    </row>
    <row r="1581" spans="1:16" x14ac:dyDescent="0.25">
      <c r="A1581" s="2" t="s">
        <v>4506</v>
      </c>
      <c r="B1581" s="2" t="s">
        <v>199</v>
      </c>
      <c r="C1581" s="8">
        <v>46192</v>
      </c>
      <c r="D1581" s="6">
        <v>46174</v>
      </c>
      <c r="E1581" s="2" t="s">
        <v>260</v>
      </c>
      <c r="F1581" s="2" t="s">
        <v>4507</v>
      </c>
      <c r="G1581" s="6">
        <v>46174</v>
      </c>
      <c r="H1581" s="2" t="s">
        <v>71</v>
      </c>
      <c r="I1581" s="2" t="s">
        <v>76</v>
      </c>
      <c r="J1581" s="9">
        <v>41202432</v>
      </c>
      <c r="K1581" s="7">
        <v>6.2500000000000001E-5</v>
      </c>
      <c r="L1581" s="9">
        <v>2575.15</v>
      </c>
      <c r="M1581" s="9">
        <v>2575.15</v>
      </c>
      <c r="N1581" s="9">
        <v>1.8</v>
      </c>
      <c r="O1581" s="10">
        <f>IF(AND(OR(H1581="APPROVED",H1581="SCHEDULED"),COUNTIFS(tblSource[EventID],F1581,tblSource[ReleaseStatus],"APPROVED")=1,COUNTIFS(Period_Status!$A$2:$A$8,G1581,Period_Status!$B$2:$B$8,"ActualClosed")=1,C1581&gt;EOMONTH(Settlement_Bridge!$C$2,0)),1,0)</f>
        <v>0</v>
      </c>
      <c r="P1581" s="2" t="s">
        <v>4508</v>
      </c>
    </row>
    <row r="1582" spans="1:16" x14ac:dyDescent="0.25">
      <c r="A1582" s="2" t="s">
        <v>4509</v>
      </c>
      <c r="B1582" s="2" t="s">
        <v>199</v>
      </c>
      <c r="C1582" s="8">
        <v>46217</v>
      </c>
      <c r="D1582" s="6">
        <v>46204</v>
      </c>
      <c r="E1582" s="2" t="s">
        <v>260</v>
      </c>
      <c r="F1582" s="2" t="s">
        <v>4507</v>
      </c>
      <c r="G1582" s="6">
        <v>46174</v>
      </c>
      <c r="H1582" s="2" t="s">
        <v>71</v>
      </c>
      <c r="I1582" s="2" t="s">
        <v>76</v>
      </c>
      <c r="J1582" s="9">
        <v>61803648</v>
      </c>
      <c r="K1582" s="7">
        <v>6.2000000000000003E-5</v>
      </c>
      <c r="L1582" s="9">
        <v>3831.83</v>
      </c>
      <c r="M1582" s="9">
        <v>3862.73</v>
      </c>
      <c r="N1582" s="9">
        <v>2.11</v>
      </c>
      <c r="O1582" s="10">
        <f>IF(AND(OR(H1582="APPROVED",H1582="SCHEDULED"),COUNTIFS(tblSource[EventID],F1582,tblSource[ReleaseStatus],"APPROVED")=1,COUNTIFS(Period_Status!$A$2:$A$8,G1582,Period_Status!$B$2:$B$8,"ActualClosed")=1,C1582&gt;EOMONTH(Settlement_Bridge!$C$2,0)),1,0)</f>
        <v>0</v>
      </c>
      <c r="P1582" s="2" t="s">
        <v>4510</v>
      </c>
    </row>
    <row r="1583" spans="1:16" x14ac:dyDescent="0.25">
      <c r="A1583" s="2" t="s">
        <v>4511</v>
      </c>
      <c r="B1583" s="2" t="s">
        <v>199</v>
      </c>
      <c r="C1583" s="8">
        <v>46203</v>
      </c>
      <c r="D1583" s="6">
        <v>46174</v>
      </c>
      <c r="E1583" s="2" t="s">
        <v>260</v>
      </c>
      <c r="F1583" s="2" t="s">
        <v>4512</v>
      </c>
      <c r="G1583" s="6">
        <v>46174</v>
      </c>
      <c r="H1583" s="2" t="s">
        <v>71</v>
      </c>
      <c r="I1583" s="2" t="s">
        <v>70</v>
      </c>
      <c r="J1583" s="9">
        <v>9941.1879700000009</v>
      </c>
      <c r="K1583" s="7">
        <v>0.66500000000000004</v>
      </c>
      <c r="L1583" s="9">
        <v>6610.89</v>
      </c>
      <c r="M1583" s="9">
        <v>6610.89</v>
      </c>
      <c r="N1583" s="9">
        <v>3.64</v>
      </c>
      <c r="O1583" s="10">
        <f>IF(AND(OR(H1583="APPROVED",H1583="SCHEDULED"),COUNTIFS(tblSource[EventID],F1583,tblSource[ReleaseStatus],"APPROVED")=1,COUNTIFS(Period_Status!$A$2:$A$8,G1583,Period_Status!$B$2:$B$8,"ActualClosed")=1,C1583&gt;EOMONTH(Settlement_Bridge!$C$2,0)),1,0)</f>
        <v>0</v>
      </c>
      <c r="P1583" s="2" t="s">
        <v>4513</v>
      </c>
    </row>
    <row r="1584" spans="1:16" x14ac:dyDescent="0.25">
      <c r="A1584" s="2" t="s">
        <v>4514</v>
      </c>
      <c r="B1584" s="2" t="s">
        <v>199</v>
      </c>
      <c r="C1584" s="8">
        <v>46204</v>
      </c>
      <c r="D1584" s="6">
        <v>46204</v>
      </c>
      <c r="E1584" s="2" t="s">
        <v>260</v>
      </c>
      <c r="F1584" s="2" t="s">
        <v>4515</v>
      </c>
      <c r="G1584" s="6">
        <v>46174</v>
      </c>
      <c r="H1584" s="2" t="s">
        <v>71</v>
      </c>
      <c r="I1584" s="2" t="s">
        <v>39</v>
      </c>
      <c r="J1584" s="9">
        <v>6783.9</v>
      </c>
      <c r="K1584" s="7">
        <v>1</v>
      </c>
      <c r="L1584" s="9">
        <v>6783.9</v>
      </c>
      <c r="M1584" s="9">
        <v>6783.9</v>
      </c>
      <c r="N1584" s="9">
        <v>3.73</v>
      </c>
      <c r="O1584" s="10">
        <f>IF(AND(OR(H1584="APPROVED",H1584="SCHEDULED"),COUNTIFS(tblSource[EventID],F1584,tblSource[ReleaseStatus],"APPROVED")=1,COUNTIFS(Period_Status!$A$2:$A$8,G1584,Period_Status!$B$2:$B$8,"ActualClosed")=1,C1584&gt;EOMONTH(Settlement_Bridge!$C$2,0)),1,0)</f>
        <v>0</v>
      </c>
      <c r="P1584" s="2" t="s">
        <v>4516</v>
      </c>
    </row>
    <row r="1585" spans="1:16" x14ac:dyDescent="0.25">
      <c r="A1585" s="2" t="s">
        <v>4517</v>
      </c>
      <c r="B1585" s="2" t="s">
        <v>199</v>
      </c>
      <c r="C1585" s="8">
        <v>46195</v>
      </c>
      <c r="D1585" s="6">
        <v>46174</v>
      </c>
      <c r="E1585" s="2" t="s">
        <v>260</v>
      </c>
      <c r="F1585" s="2" t="s">
        <v>4518</v>
      </c>
      <c r="G1585" s="6">
        <v>46174</v>
      </c>
      <c r="H1585" s="2" t="s">
        <v>71</v>
      </c>
      <c r="I1585" s="2" t="s">
        <v>76</v>
      </c>
      <c r="J1585" s="9">
        <v>44524224</v>
      </c>
      <c r="K1585" s="7">
        <v>6.2500000000000001E-5</v>
      </c>
      <c r="L1585" s="9">
        <v>2782.76</v>
      </c>
      <c r="M1585" s="9">
        <v>2782.76</v>
      </c>
      <c r="N1585" s="9">
        <v>1.8</v>
      </c>
      <c r="O1585" s="10">
        <f>IF(AND(OR(H1585="APPROVED",H1585="SCHEDULED"),COUNTIFS(tblSource[EventID],F1585,tblSource[ReleaseStatus],"APPROVED")=1,COUNTIFS(Period_Status!$A$2:$A$8,G1585,Period_Status!$B$2:$B$8,"ActualClosed")=1,C1585&gt;EOMONTH(Settlement_Bridge!$C$2,0)),1,0)</f>
        <v>0</v>
      </c>
      <c r="P1585" s="2" t="s">
        <v>4519</v>
      </c>
    </row>
    <row r="1586" spans="1:16" x14ac:dyDescent="0.25">
      <c r="A1586" s="2" t="s">
        <v>4520</v>
      </c>
      <c r="B1586" s="2" t="s">
        <v>199</v>
      </c>
      <c r="C1586" s="8">
        <v>46220</v>
      </c>
      <c r="D1586" s="6">
        <v>46204</v>
      </c>
      <c r="E1586" s="2" t="s">
        <v>260</v>
      </c>
      <c r="F1586" s="2" t="s">
        <v>4518</v>
      </c>
      <c r="G1586" s="6">
        <v>46174</v>
      </c>
      <c r="H1586" s="2" t="s">
        <v>71</v>
      </c>
      <c r="I1586" s="2" t="s">
        <v>76</v>
      </c>
      <c r="J1586" s="9">
        <v>66786336</v>
      </c>
      <c r="K1586" s="7">
        <v>6.2000000000000003E-5</v>
      </c>
      <c r="L1586" s="9">
        <v>4140.75</v>
      </c>
      <c r="M1586" s="9">
        <v>4174.1499999999996</v>
      </c>
      <c r="N1586" s="9">
        <v>2.2799999999999998</v>
      </c>
      <c r="O1586" s="10">
        <f>IF(AND(OR(H1586="APPROVED",H1586="SCHEDULED"),COUNTIFS(tblSource[EventID],F1586,tblSource[ReleaseStatus],"APPROVED")=1,COUNTIFS(Period_Status!$A$2:$A$8,G1586,Period_Status!$B$2:$B$8,"ActualClosed")=1,C1586&gt;EOMONTH(Settlement_Bridge!$C$2,0)),1,0)</f>
        <v>0</v>
      </c>
      <c r="P1586" s="2" t="s">
        <v>4521</v>
      </c>
    </row>
    <row r="1587" spans="1:16" x14ac:dyDescent="0.25">
      <c r="A1587" s="2" t="s">
        <v>4522</v>
      </c>
      <c r="B1587" s="2" t="s">
        <v>199</v>
      </c>
      <c r="C1587" s="8">
        <v>46206</v>
      </c>
      <c r="D1587" s="6">
        <v>46204</v>
      </c>
      <c r="E1587" s="2" t="s">
        <v>260</v>
      </c>
      <c r="F1587" s="2" t="s">
        <v>4523</v>
      </c>
      <c r="G1587" s="6">
        <v>46174</v>
      </c>
      <c r="H1587" s="2" t="s">
        <v>71</v>
      </c>
      <c r="I1587" s="2" t="s">
        <v>70</v>
      </c>
      <c r="J1587" s="9">
        <v>10721.684211</v>
      </c>
      <c r="K1587" s="7">
        <v>0.65800000000000003</v>
      </c>
      <c r="L1587" s="9">
        <v>7054.87</v>
      </c>
      <c r="M1587" s="9">
        <v>7129.92</v>
      </c>
      <c r="N1587" s="9">
        <v>3.88</v>
      </c>
      <c r="O1587" s="10">
        <f>IF(AND(OR(H1587="APPROVED",H1587="SCHEDULED"),COUNTIFS(tblSource[EventID],F1587,tblSource[ReleaseStatus],"APPROVED")=1,COUNTIFS(Period_Status!$A$2:$A$8,G1587,Period_Status!$B$2:$B$8,"ActualClosed")=1,C1587&gt;EOMONTH(Settlement_Bridge!$C$2,0)),1,0)</f>
        <v>0</v>
      </c>
      <c r="P1587" s="2" t="s">
        <v>4524</v>
      </c>
    </row>
    <row r="1588" spans="1:16" x14ac:dyDescent="0.25">
      <c r="A1588" s="2" t="s">
        <v>4525</v>
      </c>
      <c r="B1588" s="2" t="s">
        <v>199</v>
      </c>
      <c r="C1588" s="8">
        <v>46207</v>
      </c>
      <c r="D1588" s="6">
        <v>46204</v>
      </c>
      <c r="E1588" s="2" t="s">
        <v>260</v>
      </c>
      <c r="F1588" s="2" t="s">
        <v>4526</v>
      </c>
      <c r="G1588" s="6">
        <v>46174</v>
      </c>
      <c r="H1588" s="2" t="s">
        <v>71</v>
      </c>
      <c r="I1588" s="2" t="s">
        <v>39</v>
      </c>
      <c r="J1588" s="9">
        <v>7302.93</v>
      </c>
      <c r="K1588" s="7">
        <v>1</v>
      </c>
      <c r="L1588" s="9">
        <v>7302.93</v>
      </c>
      <c r="M1588" s="9">
        <v>7302.93</v>
      </c>
      <c r="N1588" s="9">
        <v>4.0199999999999996</v>
      </c>
      <c r="O1588" s="10">
        <f>IF(AND(OR(H1588="APPROVED",H1588="SCHEDULED"),COUNTIFS(tblSource[EventID],F1588,tblSource[ReleaseStatus],"APPROVED")=1,COUNTIFS(Period_Status!$A$2:$A$8,G1588,Period_Status!$B$2:$B$8,"ActualClosed")=1,C1588&gt;EOMONTH(Settlement_Bridge!$C$2,0)),1,0)</f>
        <v>0</v>
      </c>
      <c r="P1588" s="2" t="s">
        <v>4527</v>
      </c>
    </row>
    <row r="1589" spans="1:16" x14ac:dyDescent="0.25">
      <c r="A1589" s="2" t="s">
        <v>4528</v>
      </c>
      <c r="B1589" s="2" t="s">
        <v>199</v>
      </c>
      <c r="C1589" s="8">
        <v>46208</v>
      </c>
      <c r="D1589" s="6">
        <v>46204</v>
      </c>
      <c r="E1589" s="2" t="s">
        <v>260</v>
      </c>
      <c r="F1589" s="2" t="s">
        <v>4529</v>
      </c>
      <c r="G1589" s="6">
        <v>46174</v>
      </c>
      <c r="H1589" s="2" t="s">
        <v>71</v>
      </c>
      <c r="I1589" s="2" t="s">
        <v>76</v>
      </c>
      <c r="J1589" s="9">
        <v>119615040</v>
      </c>
      <c r="K1589" s="7">
        <v>6.2000000000000003E-5</v>
      </c>
      <c r="L1589" s="9">
        <v>7416.13</v>
      </c>
      <c r="M1589" s="9">
        <v>7475.94</v>
      </c>
      <c r="N1589" s="9">
        <v>4.08</v>
      </c>
      <c r="O1589" s="10">
        <f>IF(AND(OR(H1589="APPROVED",H1589="SCHEDULED"),COUNTIFS(tblSource[EventID],F1589,tblSource[ReleaseStatus],"APPROVED")=1,COUNTIFS(Period_Status!$A$2:$A$8,G1589,Period_Status!$B$2:$B$8,"ActualClosed")=1,C1589&gt;EOMONTH(Settlement_Bridge!$C$2,0)),1,0)</f>
        <v>0</v>
      </c>
      <c r="P1589" s="2" t="s">
        <v>4530</v>
      </c>
    </row>
    <row r="1590" spans="1:16" x14ac:dyDescent="0.25">
      <c r="A1590" s="2" t="s">
        <v>4531</v>
      </c>
      <c r="B1590" s="2" t="s">
        <v>199</v>
      </c>
      <c r="C1590" s="8">
        <v>46209</v>
      </c>
      <c r="D1590" s="6">
        <v>46204</v>
      </c>
      <c r="E1590" s="2" t="s">
        <v>260</v>
      </c>
      <c r="F1590" s="2" t="s">
        <v>4532</v>
      </c>
      <c r="G1590" s="6">
        <v>46174</v>
      </c>
      <c r="H1590" s="2" t="s">
        <v>71</v>
      </c>
      <c r="I1590" s="2" t="s">
        <v>70</v>
      </c>
      <c r="J1590" s="9">
        <v>11502.180451</v>
      </c>
      <c r="K1590" s="7">
        <v>0.65800000000000003</v>
      </c>
      <c r="L1590" s="9">
        <v>7568.43</v>
      </c>
      <c r="M1590" s="9">
        <v>7648.95</v>
      </c>
      <c r="N1590" s="9">
        <v>4.16</v>
      </c>
      <c r="O1590" s="10">
        <f>IF(AND(OR(H1590="APPROVED",H1590="SCHEDULED"),COUNTIFS(tblSource[EventID],F1590,tblSource[ReleaseStatus],"APPROVED")=1,COUNTIFS(Period_Status!$A$2:$A$8,G1590,Period_Status!$B$2:$B$8,"ActualClosed")=1,C1590&gt;EOMONTH(Settlement_Bridge!$C$2,0)),1,0)</f>
        <v>0</v>
      </c>
      <c r="P1590" s="2" t="s">
        <v>4533</v>
      </c>
    </row>
    <row r="1591" spans="1:16" x14ac:dyDescent="0.25">
      <c r="A1591" s="2" t="s">
        <v>4534</v>
      </c>
      <c r="B1591" s="2" t="s">
        <v>199</v>
      </c>
      <c r="C1591" s="8">
        <v>46210</v>
      </c>
      <c r="D1591" s="6">
        <v>46204</v>
      </c>
      <c r="E1591" s="2" t="s">
        <v>260</v>
      </c>
      <c r="F1591" s="2" t="s">
        <v>4535</v>
      </c>
      <c r="G1591" s="6">
        <v>46174</v>
      </c>
      <c r="H1591" s="2" t="s">
        <v>71</v>
      </c>
      <c r="I1591" s="2" t="s">
        <v>39</v>
      </c>
      <c r="J1591" s="9">
        <v>7821.96</v>
      </c>
      <c r="K1591" s="7">
        <v>1</v>
      </c>
      <c r="L1591" s="9">
        <v>7821.96</v>
      </c>
      <c r="M1591" s="9">
        <v>7821.96</v>
      </c>
      <c r="N1591" s="9">
        <v>4.3</v>
      </c>
      <c r="O1591" s="10">
        <f>IF(AND(OR(H1591="APPROVED",H1591="SCHEDULED"),COUNTIFS(tblSource[EventID],F1591,tblSource[ReleaseStatus],"APPROVED")=1,COUNTIFS(Period_Status!$A$2:$A$8,G1591,Period_Status!$B$2:$B$8,"ActualClosed")=1,C1591&gt;EOMONTH(Settlement_Bridge!$C$2,0)),1,0)</f>
        <v>0</v>
      </c>
      <c r="P1591" s="2" t="s">
        <v>4536</v>
      </c>
    </row>
    <row r="1592" spans="1:16" x14ac:dyDescent="0.25">
      <c r="A1592" s="2" t="s">
        <v>4537</v>
      </c>
      <c r="B1592" s="2" t="s">
        <v>199</v>
      </c>
      <c r="C1592" s="8">
        <v>46201</v>
      </c>
      <c r="D1592" s="6">
        <v>46174</v>
      </c>
      <c r="E1592" s="2" t="s">
        <v>260</v>
      </c>
      <c r="F1592" s="2" t="s">
        <v>4538</v>
      </c>
      <c r="G1592" s="6">
        <v>46174</v>
      </c>
      <c r="H1592" s="2" t="s">
        <v>71</v>
      </c>
      <c r="I1592" s="2" t="s">
        <v>76</v>
      </c>
      <c r="J1592" s="9">
        <v>51161600</v>
      </c>
      <c r="K1592" s="7">
        <v>6.2500000000000001E-5</v>
      </c>
      <c r="L1592" s="9">
        <v>3197.6</v>
      </c>
      <c r="M1592" s="9">
        <v>3197.6</v>
      </c>
      <c r="N1592" s="9">
        <v>1.8</v>
      </c>
      <c r="O1592" s="10">
        <f>IF(AND(OR(H1592="APPROVED",H1592="SCHEDULED"),COUNTIFS(tblSource[EventID],F1592,tblSource[ReleaseStatus],"APPROVED")=1,COUNTIFS(Period_Status!$A$2:$A$8,G1592,Period_Status!$B$2:$B$8,"ActualClosed")=1,C1592&gt;EOMONTH(Settlement_Bridge!$C$2,0)),1,0)</f>
        <v>0</v>
      </c>
      <c r="P1592" s="2" t="s">
        <v>4539</v>
      </c>
    </row>
    <row r="1593" spans="1:16" x14ac:dyDescent="0.25">
      <c r="A1593" s="2" t="s">
        <v>4540</v>
      </c>
      <c r="B1593" s="2" t="s">
        <v>199</v>
      </c>
      <c r="C1593" s="8">
        <v>46226</v>
      </c>
      <c r="D1593" s="6">
        <v>46204</v>
      </c>
      <c r="E1593" s="2" t="s">
        <v>260</v>
      </c>
      <c r="F1593" s="2" t="s">
        <v>4538</v>
      </c>
      <c r="G1593" s="6">
        <v>46174</v>
      </c>
      <c r="H1593" s="2" t="s">
        <v>71</v>
      </c>
      <c r="I1593" s="2" t="s">
        <v>76</v>
      </c>
      <c r="J1593" s="9">
        <v>76742400</v>
      </c>
      <c r="K1593" s="7">
        <v>6.2000000000000003E-5</v>
      </c>
      <c r="L1593" s="9">
        <v>4758.03</v>
      </c>
      <c r="M1593" s="9">
        <v>4796.3999999999996</v>
      </c>
      <c r="N1593" s="9">
        <v>2.62</v>
      </c>
      <c r="O1593" s="10">
        <f>IF(AND(OR(H1593="APPROVED",H1593="SCHEDULED"),COUNTIFS(tblSource[EventID],F1593,tblSource[ReleaseStatus],"APPROVED")=1,COUNTIFS(Period_Status!$A$2:$A$8,G1593,Period_Status!$B$2:$B$8,"ActualClosed")=1,C1593&gt;EOMONTH(Settlement_Bridge!$C$2,0)),1,0)</f>
        <v>0</v>
      </c>
      <c r="P1593" s="2" t="s">
        <v>4541</v>
      </c>
    </row>
    <row r="1594" spans="1:16" x14ac:dyDescent="0.25">
      <c r="A1594" s="2" t="s">
        <v>4542</v>
      </c>
      <c r="B1594" s="2" t="s">
        <v>199</v>
      </c>
      <c r="C1594" s="8">
        <v>46202</v>
      </c>
      <c r="D1594" s="6">
        <v>46174</v>
      </c>
      <c r="E1594" s="2" t="s">
        <v>260</v>
      </c>
      <c r="F1594" s="2" t="s">
        <v>4543</v>
      </c>
      <c r="G1594" s="6">
        <v>46174</v>
      </c>
      <c r="H1594" s="2" t="s">
        <v>71</v>
      </c>
      <c r="I1594" s="2" t="s">
        <v>70</v>
      </c>
      <c r="J1594" s="9">
        <v>4912.4872180000002</v>
      </c>
      <c r="K1594" s="7">
        <v>0.66500000000000004</v>
      </c>
      <c r="L1594" s="9">
        <v>3266.8</v>
      </c>
      <c r="M1594" s="9">
        <v>3266.8</v>
      </c>
      <c r="N1594" s="9">
        <v>1.8</v>
      </c>
      <c r="O1594" s="10">
        <f>IF(AND(OR(H1594="APPROVED",H1594="SCHEDULED"),COUNTIFS(tblSource[EventID],F1594,tblSource[ReleaseStatus],"APPROVED")=1,COUNTIFS(Period_Status!$A$2:$A$8,G1594,Period_Status!$B$2:$B$8,"ActualClosed")=1,C1594&gt;EOMONTH(Settlement_Bridge!$C$2,0)),1,0)</f>
        <v>0</v>
      </c>
      <c r="P1594" s="2" t="s">
        <v>4544</v>
      </c>
    </row>
    <row r="1595" spans="1:16" x14ac:dyDescent="0.25">
      <c r="A1595" s="2" t="s">
        <v>4545</v>
      </c>
      <c r="B1595" s="2" t="s">
        <v>199</v>
      </c>
      <c r="C1595" s="8">
        <v>46227</v>
      </c>
      <c r="D1595" s="6">
        <v>46204</v>
      </c>
      <c r="E1595" s="2" t="s">
        <v>260</v>
      </c>
      <c r="F1595" s="2" t="s">
        <v>4543</v>
      </c>
      <c r="G1595" s="6">
        <v>46174</v>
      </c>
      <c r="H1595" s="2" t="s">
        <v>71</v>
      </c>
      <c r="I1595" s="2" t="s">
        <v>70</v>
      </c>
      <c r="J1595" s="9">
        <v>7368.7308270000003</v>
      </c>
      <c r="K1595" s="7">
        <v>0.65800000000000003</v>
      </c>
      <c r="L1595" s="9">
        <v>4848.62</v>
      </c>
      <c r="M1595" s="9">
        <v>4900.21</v>
      </c>
      <c r="N1595" s="9">
        <v>2.67</v>
      </c>
      <c r="O1595" s="10">
        <f>IF(AND(OR(H1595="APPROVED",H1595="SCHEDULED"),COUNTIFS(tblSource[EventID],F1595,tblSource[ReleaseStatus],"APPROVED")=1,COUNTIFS(Period_Status!$A$2:$A$8,G1595,Period_Status!$B$2:$B$8,"ActualClosed")=1,C1595&gt;EOMONTH(Settlement_Bridge!$C$2,0)),1,0)</f>
        <v>0</v>
      </c>
      <c r="P1595" s="2" t="s">
        <v>4546</v>
      </c>
    </row>
    <row r="1596" spans="1:16" x14ac:dyDescent="0.25">
      <c r="A1596" s="2" t="s">
        <v>4547</v>
      </c>
      <c r="B1596" s="2" t="s">
        <v>199</v>
      </c>
      <c r="C1596" s="8">
        <v>46213</v>
      </c>
      <c r="D1596" s="6">
        <v>46204</v>
      </c>
      <c r="E1596" s="2" t="s">
        <v>260</v>
      </c>
      <c r="F1596" s="2" t="s">
        <v>4548</v>
      </c>
      <c r="G1596" s="6">
        <v>46174</v>
      </c>
      <c r="H1596" s="2" t="s">
        <v>71</v>
      </c>
      <c r="I1596" s="2" t="s">
        <v>39</v>
      </c>
      <c r="J1596" s="9">
        <v>8340.02</v>
      </c>
      <c r="K1596" s="7">
        <v>1</v>
      </c>
      <c r="L1596" s="9">
        <v>8340.02</v>
      </c>
      <c r="M1596" s="9">
        <v>8340.02</v>
      </c>
      <c r="N1596" s="9">
        <v>4.59</v>
      </c>
      <c r="O1596" s="10">
        <f>IF(AND(OR(H1596="APPROVED",H1596="SCHEDULED"),COUNTIFS(tblSource[EventID],F1596,tblSource[ReleaseStatus],"APPROVED")=1,COUNTIFS(Period_Status!$A$2:$A$8,G1596,Period_Status!$B$2:$B$8,"ActualClosed")=1,C1596&gt;EOMONTH(Settlement_Bridge!$C$2,0)),1,0)</f>
        <v>0</v>
      </c>
      <c r="P1596" s="2" t="s">
        <v>4549</v>
      </c>
    </row>
    <row r="1597" spans="1:16" x14ac:dyDescent="0.25">
      <c r="A1597" s="2" t="s">
        <v>4550</v>
      </c>
      <c r="B1597" s="2" t="s">
        <v>199</v>
      </c>
      <c r="C1597" s="8">
        <v>46214</v>
      </c>
      <c r="D1597" s="6">
        <v>46204</v>
      </c>
      <c r="E1597" s="2" t="s">
        <v>260</v>
      </c>
      <c r="F1597" s="2" t="s">
        <v>4551</v>
      </c>
      <c r="G1597" s="6">
        <v>46174</v>
      </c>
      <c r="H1597" s="2" t="s">
        <v>71</v>
      </c>
      <c r="I1597" s="2" t="s">
        <v>76</v>
      </c>
      <c r="J1597" s="9">
        <v>136208480</v>
      </c>
      <c r="K1597" s="7">
        <v>6.2000000000000003E-5</v>
      </c>
      <c r="L1597" s="9">
        <v>8444.93</v>
      </c>
      <c r="M1597" s="9">
        <v>8513.0300000000007</v>
      </c>
      <c r="N1597" s="9">
        <v>4.6399999999999997</v>
      </c>
      <c r="O1597" s="10">
        <f>IF(AND(OR(H1597="APPROVED",H1597="SCHEDULED"),COUNTIFS(tblSource[EventID],F1597,tblSource[ReleaseStatus],"APPROVED")=1,COUNTIFS(Period_Status!$A$2:$A$8,G1597,Period_Status!$B$2:$B$8,"ActualClosed")=1,C1597&gt;EOMONTH(Settlement_Bridge!$C$2,0)),1,0)</f>
        <v>0</v>
      </c>
      <c r="P1597" s="2" t="s">
        <v>4552</v>
      </c>
    </row>
    <row r="1598" spans="1:16" x14ac:dyDescent="0.25">
      <c r="A1598" s="2" t="s">
        <v>4553</v>
      </c>
      <c r="B1598" s="2" t="s">
        <v>199</v>
      </c>
      <c r="C1598" s="8">
        <v>46205</v>
      </c>
      <c r="D1598" s="6">
        <v>46204</v>
      </c>
      <c r="E1598" s="2" t="s">
        <v>260</v>
      </c>
      <c r="F1598" s="2" t="s">
        <v>4554</v>
      </c>
      <c r="G1598" s="6">
        <v>46174</v>
      </c>
      <c r="H1598" s="2" t="s">
        <v>71</v>
      </c>
      <c r="I1598" s="2" t="s">
        <v>70</v>
      </c>
      <c r="J1598" s="9">
        <v>5224.6857140000002</v>
      </c>
      <c r="K1598" s="7">
        <v>0.65800000000000003</v>
      </c>
      <c r="L1598" s="9">
        <v>3437.84</v>
      </c>
      <c r="M1598" s="9">
        <v>3474.42</v>
      </c>
      <c r="N1598" s="9">
        <v>1.89</v>
      </c>
      <c r="O1598" s="10">
        <f>IF(AND(OR(H1598="APPROVED",H1598="SCHEDULED"),COUNTIFS(tblSource[EventID],F1598,tblSource[ReleaseStatus],"APPROVED")=1,COUNTIFS(Period_Status!$A$2:$A$8,G1598,Period_Status!$B$2:$B$8,"ActualClosed")=1,C1598&gt;EOMONTH(Settlement_Bridge!$C$2,0)),1,0)</f>
        <v>0</v>
      </c>
      <c r="P1598" s="2" t="s">
        <v>4555</v>
      </c>
    </row>
    <row r="1599" spans="1:16" x14ac:dyDescent="0.25">
      <c r="A1599" s="2" t="s">
        <v>4556</v>
      </c>
      <c r="B1599" s="2" t="s">
        <v>199</v>
      </c>
      <c r="C1599" s="8">
        <v>46230</v>
      </c>
      <c r="D1599" s="6">
        <v>46204</v>
      </c>
      <c r="E1599" s="2" t="s">
        <v>260</v>
      </c>
      <c r="F1599" s="2" t="s">
        <v>4554</v>
      </c>
      <c r="G1599" s="6">
        <v>46174</v>
      </c>
      <c r="H1599" s="2" t="s">
        <v>71</v>
      </c>
      <c r="I1599" s="2" t="s">
        <v>70</v>
      </c>
      <c r="J1599" s="9">
        <v>7837.0285720000002</v>
      </c>
      <c r="K1599" s="7">
        <v>0.65800000000000003</v>
      </c>
      <c r="L1599" s="9">
        <v>5156.76</v>
      </c>
      <c r="M1599" s="9">
        <v>5211.62</v>
      </c>
      <c r="N1599" s="9">
        <v>2.84</v>
      </c>
      <c r="O1599" s="10">
        <f>IF(AND(OR(H1599="APPROVED",H1599="SCHEDULED"),COUNTIFS(tblSource[EventID],F1599,tblSource[ReleaseStatus],"APPROVED")=1,COUNTIFS(Period_Status!$A$2:$A$8,G1599,Period_Status!$B$2:$B$8,"ActualClosed")=1,C1599&gt;EOMONTH(Settlement_Bridge!$C$2,0)),1,0)</f>
        <v>0</v>
      </c>
      <c r="P1599" s="2" t="s">
        <v>4557</v>
      </c>
    </row>
    <row r="1600" spans="1:16" x14ac:dyDescent="0.25">
      <c r="A1600" s="2" t="s">
        <v>4558</v>
      </c>
      <c r="B1600" s="2" t="s">
        <v>199</v>
      </c>
      <c r="C1600" s="8">
        <v>46216</v>
      </c>
      <c r="D1600" s="6">
        <v>46204</v>
      </c>
      <c r="E1600" s="2" t="s">
        <v>260</v>
      </c>
      <c r="F1600" s="2" t="s">
        <v>4559</v>
      </c>
      <c r="G1600" s="6">
        <v>46174</v>
      </c>
      <c r="H1600" s="2" t="s">
        <v>71</v>
      </c>
      <c r="I1600" s="2" t="s">
        <v>39</v>
      </c>
      <c r="J1600" s="9">
        <v>8859.0499999999993</v>
      </c>
      <c r="K1600" s="7">
        <v>1</v>
      </c>
      <c r="L1600" s="9">
        <v>8859.0499999999993</v>
      </c>
      <c r="M1600" s="9">
        <v>8859.0499999999993</v>
      </c>
      <c r="N1600" s="9">
        <v>4.87</v>
      </c>
      <c r="O1600" s="10">
        <f>IF(AND(OR(H1600="APPROVED",H1600="SCHEDULED"),COUNTIFS(tblSource[EventID],F1600,tblSource[ReleaseStatus],"APPROVED")=1,COUNTIFS(Period_Status!$A$2:$A$8,G1600,Period_Status!$B$2:$B$8,"ActualClosed")=1,C1600&gt;EOMONTH(Settlement_Bridge!$C$2,0)),1,0)</f>
        <v>0</v>
      </c>
      <c r="P1600" s="2" t="s">
        <v>4560</v>
      </c>
    </row>
    <row r="1601" spans="1:16" x14ac:dyDescent="0.25">
      <c r="A1601" s="2" t="s">
        <v>4561</v>
      </c>
      <c r="B1601" s="2" t="s">
        <v>199</v>
      </c>
      <c r="C1601" s="8">
        <v>46217</v>
      </c>
      <c r="D1601" s="6">
        <v>46204</v>
      </c>
      <c r="E1601" s="2" t="s">
        <v>260</v>
      </c>
      <c r="F1601" s="2" t="s">
        <v>4562</v>
      </c>
      <c r="G1601" s="6">
        <v>46174</v>
      </c>
      <c r="H1601" s="2" t="s">
        <v>71</v>
      </c>
      <c r="I1601" s="2" t="s">
        <v>76</v>
      </c>
      <c r="J1601" s="9">
        <v>144512960</v>
      </c>
      <c r="K1601" s="7">
        <v>6.2000000000000003E-5</v>
      </c>
      <c r="L1601" s="9">
        <v>8959.7999999999993</v>
      </c>
      <c r="M1601" s="9">
        <v>9032.06</v>
      </c>
      <c r="N1601" s="9">
        <v>4.93</v>
      </c>
      <c r="O1601" s="10">
        <f>IF(AND(OR(H1601="APPROVED",H1601="SCHEDULED"),COUNTIFS(tblSource[EventID],F1601,tblSource[ReleaseStatus],"APPROVED")=1,COUNTIFS(Period_Status!$A$2:$A$8,G1601,Period_Status!$B$2:$B$8,"ActualClosed")=1,C1601&gt;EOMONTH(Settlement_Bridge!$C$2,0)),1,0)</f>
        <v>0</v>
      </c>
      <c r="P1601" s="2" t="s">
        <v>4563</v>
      </c>
    </row>
    <row r="1602" spans="1:16" x14ac:dyDescent="0.25">
      <c r="A1602" s="2" t="s">
        <v>4564</v>
      </c>
      <c r="B1602" s="2" t="s">
        <v>199</v>
      </c>
      <c r="C1602" s="8">
        <v>46218</v>
      </c>
      <c r="D1602" s="6">
        <v>46204</v>
      </c>
      <c r="E1602" s="2" t="s">
        <v>260</v>
      </c>
      <c r="F1602" s="2" t="s">
        <v>4565</v>
      </c>
      <c r="G1602" s="6">
        <v>46174</v>
      </c>
      <c r="H1602" s="2" t="s">
        <v>71</v>
      </c>
      <c r="I1602" s="2" t="s">
        <v>70</v>
      </c>
      <c r="J1602" s="9">
        <v>13842.210526000001</v>
      </c>
      <c r="K1602" s="7">
        <v>0.65800000000000003</v>
      </c>
      <c r="L1602" s="9">
        <v>9108.17</v>
      </c>
      <c r="M1602" s="9">
        <v>9205.07</v>
      </c>
      <c r="N1602" s="9">
        <v>5.01</v>
      </c>
      <c r="O1602" s="10">
        <f>IF(AND(OR(H1602="APPROVED",H1602="SCHEDULED"),COUNTIFS(tblSource[EventID],F1602,tblSource[ReleaseStatus],"APPROVED")=1,COUNTIFS(Period_Status!$A$2:$A$8,G1602,Period_Status!$B$2:$B$8,"ActualClosed")=1,C1602&gt;EOMONTH(Settlement_Bridge!$C$2,0)),1,0)</f>
        <v>0</v>
      </c>
      <c r="P1602" s="2" t="s">
        <v>4566</v>
      </c>
    </row>
    <row r="1603" spans="1:16" x14ac:dyDescent="0.25">
      <c r="A1603" s="2" t="s">
        <v>4567</v>
      </c>
      <c r="B1603" s="2" t="s">
        <v>199</v>
      </c>
      <c r="C1603" s="8">
        <v>46219</v>
      </c>
      <c r="D1603" s="6">
        <v>46204</v>
      </c>
      <c r="E1603" s="2" t="s">
        <v>260</v>
      </c>
      <c r="F1603" s="2" t="s">
        <v>4568</v>
      </c>
      <c r="G1603" s="6">
        <v>46174</v>
      </c>
      <c r="H1603" s="2" t="s">
        <v>71</v>
      </c>
      <c r="I1603" s="2" t="s">
        <v>39</v>
      </c>
      <c r="J1603" s="9">
        <v>9378.08</v>
      </c>
      <c r="K1603" s="7">
        <v>1</v>
      </c>
      <c r="L1603" s="9">
        <v>9378.08</v>
      </c>
      <c r="M1603" s="9">
        <v>9378.08</v>
      </c>
      <c r="N1603" s="9">
        <v>5.16</v>
      </c>
      <c r="O1603" s="10">
        <f>IF(AND(OR(H1603="APPROVED",H1603="SCHEDULED"),COUNTIFS(tblSource[EventID],F1603,tblSource[ReleaseStatus],"APPROVED")=1,COUNTIFS(Period_Status!$A$2:$A$8,G1603,Period_Status!$B$2:$B$8,"ActualClosed")=1,C1603&gt;EOMONTH(Settlement_Bridge!$C$2,0)),1,0)</f>
        <v>0</v>
      </c>
      <c r="P1603" s="2" t="s">
        <v>4569</v>
      </c>
    </row>
    <row r="1604" spans="1:16" x14ac:dyDescent="0.25">
      <c r="A1604" s="2" t="s">
        <v>4570</v>
      </c>
      <c r="B1604" s="2" t="s">
        <v>199</v>
      </c>
      <c r="C1604" s="8">
        <v>46220</v>
      </c>
      <c r="D1604" s="6">
        <v>46204</v>
      </c>
      <c r="E1604" s="2" t="s">
        <v>260</v>
      </c>
      <c r="F1604" s="2" t="s">
        <v>4571</v>
      </c>
      <c r="G1604" s="6">
        <v>46174</v>
      </c>
      <c r="H1604" s="2" t="s">
        <v>71</v>
      </c>
      <c r="I1604" s="2" t="s">
        <v>76</v>
      </c>
      <c r="J1604" s="9">
        <v>152817440</v>
      </c>
      <c r="K1604" s="7">
        <v>6.2000000000000003E-5</v>
      </c>
      <c r="L1604" s="9">
        <v>9474.68</v>
      </c>
      <c r="M1604" s="9">
        <v>9551.09</v>
      </c>
      <c r="N1604" s="9">
        <v>5.21</v>
      </c>
      <c r="O1604" s="10">
        <f>IF(AND(OR(H1604="APPROVED",H1604="SCHEDULED"),COUNTIFS(tblSource[EventID],F1604,tblSource[ReleaseStatus],"APPROVED")=1,COUNTIFS(Period_Status!$A$2:$A$8,G1604,Period_Status!$B$2:$B$8,"ActualClosed")=1,C1604&gt;EOMONTH(Settlement_Bridge!$C$2,0)),1,0)</f>
        <v>0</v>
      </c>
      <c r="P1604" s="2" t="s">
        <v>4572</v>
      </c>
    </row>
    <row r="1605" spans="1:16" x14ac:dyDescent="0.25">
      <c r="A1605" s="2" t="s">
        <v>4573</v>
      </c>
      <c r="B1605" s="2" t="s">
        <v>199</v>
      </c>
      <c r="C1605" s="8">
        <v>46211</v>
      </c>
      <c r="D1605" s="6">
        <v>46204</v>
      </c>
      <c r="E1605" s="2" t="s">
        <v>260</v>
      </c>
      <c r="F1605" s="2" t="s">
        <v>4574</v>
      </c>
      <c r="G1605" s="6">
        <v>46174</v>
      </c>
      <c r="H1605" s="2" t="s">
        <v>71</v>
      </c>
      <c r="I1605" s="2" t="s">
        <v>70</v>
      </c>
      <c r="J1605" s="9">
        <v>5849.0827069999996</v>
      </c>
      <c r="K1605" s="7">
        <v>0.65800000000000003</v>
      </c>
      <c r="L1605" s="9">
        <v>3848.7</v>
      </c>
      <c r="M1605" s="9">
        <v>3889.64</v>
      </c>
      <c r="N1605" s="9">
        <v>2.12</v>
      </c>
      <c r="O1605" s="10">
        <f>IF(AND(OR(H1605="APPROVED",H1605="SCHEDULED"),COUNTIFS(tblSource[EventID],F1605,tblSource[ReleaseStatus],"APPROVED")=1,COUNTIFS(Period_Status!$A$2:$A$8,G1605,Period_Status!$B$2:$B$8,"ActualClosed")=1,C1605&gt;EOMONTH(Settlement_Bridge!$C$2,0)),1,0)</f>
        <v>0</v>
      </c>
      <c r="P1605" s="2" t="s">
        <v>4575</v>
      </c>
    </row>
    <row r="1606" spans="1:16" x14ac:dyDescent="0.25">
      <c r="A1606" s="2" t="s">
        <v>4576</v>
      </c>
      <c r="B1606" s="2" t="s">
        <v>199</v>
      </c>
      <c r="C1606" s="8">
        <v>46236</v>
      </c>
      <c r="D1606" s="6">
        <v>46235</v>
      </c>
      <c r="E1606" s="2" t="s">
        <v>260</v>
      </c>
      <c r="F1606" s="2" t="s">
        <v>4574</v>
      </c>
      <c r="G1606" s="6">
        <v>46174</v>
      </c>
      <c r="H1606" s="2" t="s">
        <v>71</v>
      </c>
      <c r="I1606" s="2" t="s">
        <v>70</v>
      </c>
      <c r="J1606" s="9">
        <v>8773.6240600000001</v>
      </c>
      <c r="K1606" s="7">
        <v>0.65</v>
      </c>
      <c r="L1606" s="9">
        <v>5702.86</v>
      </c>
      <c r="M1606" s="9">
        <v>5834.46</v>
      </c>
      <c r="N1606" s="9">
        <v>3.14</v>
      </c>
      <c r="O1606" s="10">
        <f>IF(AND(OR(H1606="APPROVED",H1606="SCHEDULED"),COUNTIFS(tblSource[EventID],F1606,tblSource[ReleaseStatus],"APPROVED")=1,COUNTIFS(Period_Status!$A$2:$A$8,G1606,Period_Status!$B$2:$B$8,"ActualClosed")=1,C1606&gt;EOMONTH(Settlement_Bridge!$C$2,0)),1,0)</f>
        <v>1</v>
      </c>
      <c r="P1606" s="2" t="s">
        <v>4577</v>
      </c>
    </row>
    <row r="1607" spans="1:16" x14ac:dyDescent="0.25">
      <c r="A1607" s="2" t="s">
        <v>4578</v>
      </c>
      <c r="B1607" s="2" t="s">
        <v>199</v>
      </c>
      <c r="C1607" s="8">
        <v>46212</v>
      </c>
      <c r="D1607" s="6">
        <v>46204</v>
      </c>
      <c r="E1607" s="2" t="s">
        <v>260</v>
      </c>
      <c r="F1607" s="2" t="s">
        <v>4579</v>
      </c>
      <c r="G1607" s="6">
        <v>46174</v>
      </c>
      <c r="H1607" s="2" t="s">
        <v>71</v>
      </c>
      <c r="I1607" s="2" t="s">
        <v>39</v>
      </c>
      <c r="J1607" s="9">
        <v>-9897.11</v>
      </c>
      <c r="K1607" s="7">
        <v>1</v>
      </c>
      <c r="L1607" s="9">
        <v>-9897.11</v>
      </c>
      <c r="M1607" s="9">
        <v>-9897.11</v>
      </c>
      <c r="N1607" s="9">
        <v>0</v>
      </c>
      <c r="O1607" s="10">
        <f>IF(AND(OR(H1607="APPROVED",H1607="SCHEDULED"),COUNTIFS(tblSource[EventID],F1607,tblSource[ReleaseStatus],"APPROVED")=1,COUNTIFS(Period_Status!$A$2:$A$8,G1607,Period_Status!$B$2:$B$8,"ActualClosed")=1,C1607&gt;EOMONTH(Settlement_Bridge!$C$2,0)),1,0)</f>
        <v>0</v>
      </c>
      <c r="P1607" s="2" t="s">
        <v>4580</v>
      </c>
    </row>
    <row r="1608" spans="1:16" x14ac:dyDescent="0.25">
      <c r="A1608" s="2" t="s">
        <v>4581</v>
      </c>
      <c r="B1608" s="2" t="s">
        <v>199</v>
      </c>
      <c r="C1608" s="8">
        <v>46223</v>
      </c>
      <c r="D1608" s="6">
        <v>46204</v>
      </c>
      <c r="E1608" s="2" t="s">
        <v>260</v>
      </c>
      <c r="F1608" s="2" t="s">
        <v>4582</v>
      </c>
      <c r="G1608" s="6">
        <v>46174</v>
      </c>
      <c r="H1608" s="2" t="s">
        <v>71</v>
      </c>
      <c r="I1608" s="2" t="s">
        <v>76</v>
      </c>
      <c r="J1608" s="9">
        <v>161121920</v>
      </c>
      <c r="K1608" s="7">
        <v>6.2000000000000003E-5</v>
      </c>
      <c r="L1608" s="9">
        <v>9989.56</v>
      </c>
      <c r="M1608" s="9">
        <v>10070.120000000001</v>
      </c>
      <c r="N1608" s="9">
        <v>5.49</v>
      </c>
      <c r="O1608" s="10">
        <f>IF(AND(OR(H1608="APPROVED",H1608="SCHEDULED"),COUNTIFS(tblSource[EventID],F1608,tblSource[ReleaseStatus],"APPROVED")=1,COUNTIFS(Period_Status!$A$2:$A$8,G1608,Period_Status!$B$2:$B$8,"ActualClosed")=1,C1608&gt;EOMONTH(Settlement_Bridge!$C$2,0)),1,0)</f>
        <v>0</v>
      </c>
      <c r="P1608" s="2" t="s">
        <v>4583</v>
      </c>
    </row>
    <row r="1609" spans="1:16" x14ac:dyDescent="0.25">
      <c r="A1609" s="2" t="s">
        <v>4584</v>
      </c>
      <c r="B1609" s="2" t="s">
        <v>199</v>
      </c>
      <c r="C1609" s="8">
        <v>46224</v>
      </c>
      <c r="D1609" s="6">
        <v>46204</v>
      </c>
      <c r="E1609" s="2" t="s">
        <v>260</v>
      </c>
      <c r="F1609" s="2" t="s">
        <v>4585</v>
      </c>
      <c r="G1609" s="6">
        <v>46174</v>
      </c>
      <c r="H1609" s="2" t="s">
        <v>71</v>
      </c>
      <c r="I1609" s="2" t="s">
        <v>70</v>
      </c>
      <c r="J1609" s="9">
        <v>15403.203008</v>
      </c>
      <c r="K1609" s="7">
        <v>0.65800000000000003</v>
      </c>
      <c r="L1609" s="9">
        <v>10135.31</v>
      </c>
      <c r="M1609" s="9">
        <v>10243.129999999999</v>
      </c>
      <c r="N1609" s="9">
        <v>5.57</v>
      </c>
      <c r="O1609" s="10">
        <f>IF(AND(OR(H1609="APPROVED",H1609="SCHEDULED"),COUNTIFS(tblSource[EventID],F1609,tblSource[ReleaseStatus],"APPROVED")=1,COUNTIFS(Period_Status!$A$2:$A$8,G1609,Period_Status!$B$2:$B$8,"ActualClosed")=1,C1609&gt;EOMONTH(Settlement_Bridge!$C$2,0)),1,0)</f>
        <v>0</v>
      </c>
      <c r="P1609" s="2" t="s">
        <v>4586</v>
      </c>
    </row>
    <row r="1610" spans="1:16" x14ac:dyDescent="0.25">
      <c r="A1610" s="2" t="s">
        <v>4587</v>
      </c>
      <c r="B1610" s="2" t="s">
        <v>199</v>
      </c>
      <c r="C1610" s="8">
        <v>46215</v>
      </c>
      <c r="D1610" s="6">
        <v>46204</v>
      </c>
      <c r="E1610" s="2" t="s">
        <v>260</v>
      </c>
      <c r="F1610" s="2" t="s">
        <v>4588</v>
      </c>
      <c r="G1610" s="6">
        <v>46174</v>
      </c>
      <c r="H1610" s="2" t="s">
        <v>71</v>
      </c>
      <c r="I1610" s="2" t="s">
        <v>39</v>
      </c>
      <c r="J1610" s="9">
        <v>4166.4560000000001</v>
      </c>
      <c r="K1610" s="7">
        <v>1</v>
      </c>
      <c r="L1610" s="9">
        <v>4166.46</v>
      </c>
      <c r="M1610" s="9">
        <v>4166.46</v>
      </c>
      <c r="N1610" s="9">
        <v>2.29</v>
      </c>
      <c r="O1610" s="10">
        <f>IF(AND(OR(H1610="APPROVED",H1610="SCHEDULED"),COUNTIFS(tblSource[EventID],F1610,tblSource[ReleaseStatus],"APPROVED")=1,COUNTIFS(Period_Status!$A$2:$A$8,G1610,Period_Status!$B$2:$B$8,"ActualClosed")=1,C1610&gt;EOMONTH(Settlement_Bridge!$C$2,0)),1,0)</f>
        <v>0</v>
      </c>
      <c r="P1610" s="2" t="s">
        <v>4589</v>
      </c>
    </row>
    <row r="1611" spans="1:16" x14ac:dyDescent="0.25">
      <c r="A1611" s="2" t="s">
        <v>4590</v>
      </c>
      <c r="B1611" s="2" t="s">
        <v>199</v>
      </c>
      <c r="C1611" s="8">
        <v>46240</v>
      </c>
      <c r="D1611" s="6">
        <v>46235</v>
      </c>
      <c r="E1611" s="2" t="s">
        <v>260</v>
      </c>
      <c r="F1611" s="2" t="s">
        <v>4588</v>
      </c>
      <c r="G1611" s="6">
        <v>46174</v>
      </c>
      <c r="H1611" s="2" t="s">
        <v>71</v>
      </c>
      <c r="I1611" s="2" t="s">
        <v>39</v>
      </c>
      <c r="J1611" s="9">
        <v>6249.6840000000002</v>
      </c>
      <c r="K1611" s="7">
        <v>1</v>
      </c>
      <c r="L1611" s="9">
        <v>6249.68</v>
      </c>
      <c r="M1611" s="9">
        <v>6249.68</v>
      </c>
      <c r="N1611" s="9">
        <v>3.44</v>
      </c>
      <c r="O1611" s="10">
        <f>IF(AND(OR(H1611="APPROVED",H1611="SCHEDULED"),COUNTIFS(tblSource[EventID],F1611,tblSource[ReleaseStatus],"APPROVED")=1,COUNTIFS(Period_Status!$A$2:$A$8,G1611,Period_Status!$B$2:$B$8,"ActualClosed")=1,C1611&gt;EOMONTH(Settlement_Bridge!$C$2,0)),1,0)</f>
        <v>1</v>
      </c>
      <c r="P1611" s="2" t="s">
        <v>4591</v>
      </c>
    </row>
    <row r="1612" spans="1:16" x14ac:dyDescent="0.25">
      <c r="A1612" s="2" t="s">
        <v>4592</v>
      </c>
      <c r="B1612" s="2" t="s">
        <v>199</v>
      </c>
      <c r="C1612" s="8">
        <v>46226</v>
      </c>
      <c r="D1612" s="6">
        <v>46204</v>
      </c>
      <c r="E1612" s="2" t="s">
        <v>260</v>
      </c>
      <c r="F1612" s="2" t="s">
        <v>4593</v>
      </c>
      <c r="G1612" s="6">
        <v>46174</v>
      </c>
      <c r="H1612" s="2" t="s">
        <v>71</v>
      </c>
      <c r="I1612" s="2" t="s">
        <v>76</v>
      </c>
      <c r="J1612" s="9">
        <v>169426400</v>
      </c>
      <c r="K1612" s="7">
        <v>6.2000000000000003E-5</v>
      </c>
      <c r="L1612" s="9">
        <v>10504.44</v>
      </c>
      <c r="M1612" s="9">
        <v>10589.15</v>
      </c>
      <c r="N1612" s="9">
        <v>5.78</v>
      </c>
      <c r="O1612" s="10">
        <f>IF(AND(OR(H1612="APPROVED",H1612="SCHEDULED"),COUNTIFS(tblSource[EventID],F1612,tblSource[ReleaseStatus],"APPROVED")=1,COUNTIFS(Period_Status!$A$2:$A$8,G1612,Period_Status!$B$2:$B$8,"ActualClosed")=1,C1612&gt;EOMONTH(Settlement_Bridge!$C$2,0)),1,0)</f>
        <v>0</v>
      </c>
      <c r="P1612" s="2" t="s">
        <v>4594</v>
      </c>
    </row>
    <row r="1613" spans="1:16" x14ac:dyDescent="0.25">
      <c r="A1613" s="2" t="s">
        <v>4595</v>
      </c>
      <c r="B1613" s="2" t="s">
        <v>199</v>
      </c>
      <c r="C1613" s="8">
        <v>46227</v>
      </c>
      <c r="D1613" s="6">
        <v>46204</v>
      </c>
      <c r="E1613" s="2" t="s">
        <v>260</v>
      </c>
      <c r="F1613" s="2" t="s">
        <v>4596</v>
      </c>
      <c r="G1613" s="6">
        <v>46174</v>
      </c>
      <c r="H1613" s="2" t="s">
        <v>71</v>
      </c>
      <c r="I1613" s="2" t="s">
        <v>70</v>
      </c>
      <c r="J1613" s="9">
        <v>16183.699248000001</v>
      </c>
      <c r="K1613" s="7">
        <v>0.65800000000000003</v>
      </c>
      <c r="L1613" s="9">
        <v>10648.87</v>
      </c>
      <c r="M1613" s="9">
        <v>10762.16</v>
      </c>
      <c r="N1613" s="9">
        <v>5.86</v>
      </c>
      <c r="O1613" s="10">
        <f>IF(AND(OR(H1613="APPROVED",H1613="SCHEDULED"),COUNTIFS(tblSource[EventID],F1613,tblSource[ReleaseStatus],"APPROVED")=1,COUNTIFS(Period_Status!$A$2:$A$8,G1613,Period_Status!$B$2:$B$8,"ActualClosed")=1,C1613&gt;EOMONTH(Settlement_Bridge!$C$2,0)),1,0)</f>
        <v>0</v>
      </c>
      <c r="P1613" s="2" t="s">
        <v>4597</v>
      </c>
    </row>
    <row r="1614" spans="1:16" x14ac:dyDescent="0.25">
      <c r="A1614" s="2" t="s">
        <v>4598</v>
      </c>
      <c r="B1614" s="2" t="s">
        <v>199</v>
      </c>
      <c r="C1614" s="8">
        <v>46198</v>
      </c>
      <c r="D1614" s="6">
        <v>46174</v>
      </c>
      <c r="E1614" s="2" t="s">
        <v>260</v>
      </c>
      <c r="F1614" s="2" t="s">
        <v>4599</v>
      </c>
      <c r="G1614" s="6">
        <v>46174</v>
      </c>
      <c r="H1614" s="2" t="s">
        <v>71</v>
      </c>
      <c r="I1614" s="2" t="s">
        <v>39</v>
      </c>
      <c r="J1614" s="9">
        <v>10935.17</v>
      </c>
      <c r="K1614" s="7">
        <v>1</v>
      </c>
      <c r="L1614" s="9">
        <v>10935.17</v>
      </c>
      <c r="M1614" s="9">
        <v>10935.17</v>
      </c>
      <c r="N1614" s="9">
        <v>6.01</v>
      </c>
      <c r="O1614" s="10">
        <f>IF(AND(OR(H1614="APPROVED",H1614="SCHEDULED"),COUNTIFS(tblSource[EventID],F1614,tblSource[ReleaseStatus],"APPROVED")=1,COUNTIFS(Period_Status!$A$2:$A$8,G1614,Period_Status!$B$2:$B$8,"ActualClosed")=1,C1614&gt;EOMONTH(Settlement_Bridge!$C$2,0)),1,0)</f>
        <v>0</v>
      </c>
      <c r="P1614" s="2" t="s">
        <v>4600</v>
      </c>
    </row>
    <row r="1615" spans="1:16" x14ac:dyDescent="0.25">
      <c r="A1615" s="2" t="s">
        <v>4601</v>
      </c>
      <c r="B1615" s="2" t="s">
        <v>199</v>
      </c>
      <c r="C1615" s="8">
        <v>46199</v>
      </c>
      <c r="D1615" s="6">
        <v>46174</v>
      </c>
      <c r="E1615" s="2" t="s">
        <v>260</v>
      </c>
      <c r="F1615" s="2" t="s">
        <v>4602</v>
      </c>
      <c r="G1615" s="6">
        <v>46174</v>
      </c>
      <c r="H1615" s="2" t="s">
        <v>71</v>
      </c>
      <c r="I1615" s="2" t="s">
        <v>76</v>
      </c>
      <c r="J1615" s="9">
        <v>177730880</v>
      </c>
      <c r="K1615" s="7">
        <v>6.2500000000000001E-5</v>
      </c>
      <c r="L1615" s="9">
        <v>11108.18</v>
      </c>
      <c r="M1615" s="9">
        <v>11108.18</v>
      </c>
      <c r="N1615" s="9">
        <v>6.11</v>
      </c>
      <c r="O1615" s="10">
        <f>IF(AND(OR(H1615="APPROVED",H1615="SCHEDULED"),COUNTIFS(tblSource[EventID],F1615,tblSource[ReleaseStatus],"APPROVED")=1,COUNTIFS(Period_Status!$A$2:$A$8,G1615,Period_Status!$B$2:$B$8,"ActualClosed")=1,C1615&gt;EOMONTH(Settlement_Bridge!$C$2,0)),1,0)</f>
        <v>0</v>
      </c>
      <c r="P1615" s="2" t="s">
        <v>4603</v>
      </c>
    </row>
    <row r="1616" spans="1:16" x14ac:dyDescent="0.25">
      <c r="A1616" s="2" t="s">
        <v>4604</v>
      </c>
      <c r="B1616" s="2" t="s">
        <v>199</v>
      </c>
      <c r="C1616" s="8">
        <v>46200</v>
      </c>
      <c r="D1616" s="6">
        <v>46174</v>
      </c>
      <c r="E1616" s="2" t="s">
        <v>260</v>
      </c>
      <c r="F1616" s="2" t="s">
        <v>4605</v>
      </c>
      <c r="G1616" s="6">
        <v>46174</v>
      </c>
      <c r="H1616" s="2" t="s">
        <v>71</v>
      </c>
      <c r="I1616" s="2" t="s">
        <v>70</v>
      </c>
      <c r="J1616" s="9">
        <v>16964.195489000002</v>
      </c>
      <c r="K1616" s="7">
        <v>0.66500000000000004</v>
      </c>
      <c r="L1616" s="9">
        <v>11281.19</v>
      </c>
      <c r="M1616" s="9">
        <v>11281.19</v>
      </c>
      <c r="N1616" s="9">
        <v>6.2</v>
      </c>
      <c r="O1616" s="10">
        <f>IF(AND(OR(H1616="APPROVED",H1616="SCHEDULED"),COUNTIFS(tblSource[EventID],F1616,tblSource[ReleaseStatus],"APPROVED")=1,COUNTIFS(Period_Status!$A$2:$A$8,G1616,Period_Status!$B$2:$B$8,"ActualClosed")=1,C1616&gt;EOMONTH(Settlement_Bridge!$C$2,0)),1,0)</f>
        <v>0</v>
      </c>
      <c r="P1616" s="2" t="s">
        <v>4606</v>
      </c>
    </row>
    <row r="1617" spans="1:16" x14ac:dyDescent="0.25">
      <c r="A1617" s="2" t="s">
        <v>4607</v>
      </c>
      <c r="B1617" s="2" t="s">
        <v>199</v>
      </c>
      <c r="C1617" s="8">
        <v>46191</v>
      </c>
      <c r="D1617" s="6">
        <v>46174</v>
      </c>
      <c r="E1617" s="2" t="s">
        <v>260</v>
      </c>
      <c r="F1617" s="2" t="s">
        <v>4608</v>
      </c>
      <c r="G1617" s="6">
        <v>46174</v>
      </c>
      <c r="H1617" s="2" t="s">
        <v>71</v>
      </c>
      <c r="I1617" s="2" t="s">
        <v>39</v>
      </c>
      <c r="J1617" s="9">
        <v>4581.68</v>
      </c>
      <c r="K1617" s="7">
        <v>1</v>
      </c>
      <c r="L1617" s="9">
        <v>4581.68</v>
      </c>
      <c r="M1617" s="9">
        <v>4581.68</v>
      </c>
      <c r="N1617" s="9">
        <v>2.52</v>
      </c>
      <c r="O1617" s="10">
        <f>IF(AND(OR(H1617="APPROVED",H1617="SCHEDULED"),COUNTIFS(tblSource[EventID],F1617,tblSource[ReleaseStatus],"APPROVED")=1,COUNTIFS(Period_Status!$A$2:$A$8,G1617,Period_Status!$B$2:$B$8,"ActualClosed")=1,C1617&gt;EOMONTH(Settlement_Bridge!$C$2,0)),1,0)</f>
        <v>0</v>
      </c>
      <c r="P1617" s="2" t="s">
        <v>4609</v>
      </c>
    </row>
    <row r="1618" spans="1:16" x14ac:dyDescent="0.25">
      <c r="A1618" s="2" t="s">
        <v>4610</v>
      </c>
      <c r="B1618" s="2" t="s">
        <v>199</v>
      </c>
      <c r="C1618" s="8">
        <v>46216</v>
      </c>
      <c r="D1618" s="6">
        <v>46204</v>
      </c>
      <c r="E1618" s="2" t="s">
        <v>260</v>
      </c>
      <c r="F1618" s="2" t="s">
        <v>4608</v>
      </c>
      <c r="G1618" s="6">
        <v>46174</v>
      </c>
      <c r="H1618" s="2" t="s">
        <v>71</v>
      </c>
      <c r="I1618" s="2" t="s">
        <v>39</v>
      </c>
      <c r="J1618" s="9">
        <v>6872.52</v>
      </c>
      <c r="K1618" s="7">
        <v>1</v>
      </c>
      <c r="L1618" s="9">
        <v>6872.52</v>
      </c>
      <c r="M1618" s="9">
        <v>6872.52</v>
      </c>
      <c r="N1618" s="9">
        <v>3.78</v>
      </c>
      <c r="O1618" s="10">
        <f>IF(AND(OR(H1618="APPROVED",H1618="SCHEDULED"),COUNTIFS(tblSource[EventID],F1618,tblSource[ReleaseStatus],"APPROVED")=1,COUNTIFS(Period_Status!$A$2:$A$8,G1618,Period_Status!$B$2:$B$8,"ActualClosed")=1,C1618&gt;EOMONTH(Settlement_Bridge!$C$2,0)),1,0)</f>
        <v>0</v>
      </c>
      <c r="P1618" s="2" t="s">
        <v>4611</v>
      </c>
    </row>
    <row r="1619" spans="1:16" x14ac:dyDescent="0.25">
      <c r="A1619" s="2" t="s">
        <v>4612</v>
      </c>
      <c r="B1619" s="2" t="s">
        <v>199</v>
      </c>
      <c r="C1619" s="8">
        <v>46192</v>
      </c>
      <c r="D1619" s="6">
        <v>46174</v>
      </c>
      <c r="E1619" s="2" t="s">
        <v>260</v>
      </c>
      <c r="F1619" s="2" t="s">
        <v>4613</v>
      </c>
      <c r="G1619" s="6">
        <v>46174</v>
      </c>
      <c r="H1619" s="2" t="s">
        <v>71</v>
      </c>
      <c r="I1619" s="2" t="s">
        <v>76</v>
      </c>
      <c r="J1619" s="9">
        <v>74414144</v>
      </c>
      <c r="K1619" s="7">
        <v>6.2500000000000001E-5</v>
      </c>
      <c r="L1619" s="9">
        <v>4650.88</v>
      </c>
      <c r="M1619" s="9">
        <v>4650.88</v>
      </c>
      <c r="N1619" s="9">
        <v>2.56</v>
      </c>
      <c r="O1619" s="10">
        <f>IF(AND(OR(H1619="APPROVED",H1619="SCHEDULED"),COUNTIFS(tblSource[EventID],F1619,tblSource[ReleaseStatus],"APPROVED")=1,COUNTIFS(Period_Status!$A$2:$A$8,G1619,Period_Status!$B$2:$B$8,"ActualClosed")=1,C1619&gt;EOMONTH(Settlement_Bridge!$C$2,0)),1,0)</f>
        <v>0</v>
      </c>
      <c r="P1619" s="2" t="s">
        <v>4614</v>
      </c>
    </row>
    <row r="1620" spans="1:16" x14ac:dyDescent="0.25">
      <c r="A1620" s="2" t="s">
        <v>4615</v>
      </c>
      <c r="B1620" s="2" t="s">
        <v>199</v>
      </c>
      <c r="C1620" s="8">
        <v>46217</v>
      </c>
      <c r="D1620" s="6">
        <v>46204</v>
      </c>
      <c r="E1620" s="2" t="s">
        <v>260</v>
      </c>
      <c r="F1620" s="2" t="s">
        <v>4613</v>
      </c>
      <c r="G1620" s="6">
        <v>46174</v>
      </c>
      <c r="H1620" s="2" t="s">
        <v>71</v>
      </c>
      <c r="I1620" s="2" t="s">
        <v>76</v>
      </c>
      <c r="J1620" s="9">
        <v>111621216</v>
      </c>
      <c r="K1620" s="7">
        <v>6.2000000000000003E-5</v>
      </c>
      <c r="L1620" s="9">
        <v>6920.52</v>
      </c>
      <c r="M1620" s="9">
        <v>6976.33</v>
      </c>
      <c r="N1620" s="9">
        <v>3.81</v>
      </c>
      <c r="O1620" s="10">
        <f>IF(AND(OR(H1620="APPROVED",H1620="SCHEDULED"),COUNTIFS(tblSource[EventID],F1620,tblSource[ReleaseStatus],"APPROVED")=1,COUNTIFS(Period_Status!$A$2:$A$8,G1620,Period_Status!$B$2:$B$8,"ActualClosed")=1,C1620&gt;EOMONTH(Settlement_Bridge!$C$2,0)),1,0)</f>
        <v>0</v>
      </c>
      <c r="P1620" s="2" t="s">
        <v>4616</v>
      </c>
    </row>
    <row r="1621" spans="1:16" x14ac:dyDescent="0.25">
      <c r="A1621" s="2" t="s">
        <v>4617</v>
      </c>
      <c r="B1621" s="2" t="s">
        <v>199</v>
      </c>
      <c r="C1621" s="8">
        <v>46203</v>
      </c>
      <c r="D1621" s="6">
        <v>46174</v>
      </c>
      <c r="E1621" s="2" t="s">
        <v>260</v>
      </c>
      <c r="F1621" s="2" t="s">
        <v>4618</v>
      </c>
      <c r="G1621" s="6">
        <v>46174</v>
      </c>
      <c r="H1621" s="2" t="s">
        <v>71</v>
      </c>
      <c r="I1621" s="2" t="s">
        <v>70</v>
      </c>
      <c r="J1621" s="9">
        <v>17744.691728999998</v>
      </c>
      <c r="K1621" s="7">
        <v>0.66500000000000004</v>
      </c>
      <c r="L1621" s="9">
        <v>11800.22</v>
      </c>
      <c r="M1621" s="9">
        <v>11800.22</v>
      </c>
      <c r="N1621" s="9">
        <v>6.49</v>
      </c>
      <c r="O1621" s="10">
        <f>IF(AND(OR(H1621="APPROVED",H1621="SCHEDULED"),COUNTIFS(tblSource[EventID],F1621,tblSource[ReleaseStatus],"APPROVED")=1,COUNTIFS(Period_Status!$A$2:$A$8,G1621,Period_Status!$B$2:$B$8,"ActualClosed")=1,C1621&gt;EOMONTH(Settlement_Bridge!$C$2,0)),1,0)</f>
        <v>0</v>
      </c>
      <c r="P1621" s="2" t="s">
        <v>4619</v>
      </c>
    </row>
    <row r="1622" spans="1:16" x14ac:dyDescent="0.25">
      <c r="A1622" s="2" t="s">
        <v>4620</v>
      </c>
      <c r="B1622" s="2" t="s">
        <v>199</v>
      </c>
      <c r="C1622" s="8">
        <v>46204</v>
      </c>
      <c r="D1622" s="6">
        <v>46204</v>
      </c>
      <c r="E1622" s="2" t="s">
        <v>260</v>
      </c>
      <c r="F1622" s="2" t="s">
        <v>4621</v>
      </c>
      <c r="G1622" s="6">
        <v>46174</v>
      </c>
      <c r="H1622" s="2" t="s">
        <v>71</v>
      </c>
      <c r="I1622" s="2" t="s">
        <v>39</v>
      </c>
      <c r="J1622" s="9">
        <v>11973.23</v>
      </c>
      <c r="K1622" s="7">
        <v>1</v>
      </c>
      <c r="L1622" s="9">
        <v>11973.23</v>
      </c>
      <c r="M1622" s="9">
        <v>11973.23</v>
      </c>
      <c r="N1622" s="9">
        <v>6.59</v>
      </c>
      <c r="O1622" s="10">
        <f>IF(AND(OR(H1622="APPROVED",H1622="SCHEDULED"),COUNTIFS(tblSource[EventID],F1622,tblSource[ReleaseStatus],"APPROVED")=1,COUNTIFS(Period_Status!$A$2:$A$8,G1622,Period_Status!$B$2:$B$8,"ActualClosed")=1,C1622&gt;EOMONTH(Settlement_Bridge!$C$2,0)),1,0)</f>
        <v>0</v>
      </c>
      <c r="P1622" s="2" t="s">
        <v>4622</v>
      </c>
    </row>
    <row r="1623" spans="1:16" x14ac:dyDescent="0.25">
      <c r="A1623" s="2" t="s">
        <v>4623</v>
      </c>
      <c r="B1623" s="2" t="s">
        <v>199</v>
      </c>
      <c r="C1623" s="8">
        <v>46195</v>
      </c>
      <c r="D1623" s="6">
        <v>46174</v>
      </c>
      <c r="E1623" s="2" t="s">
        <v>260</v>
      </c>
      <c r="F1623" s="2" t="s">
        <v>4624</v>
      </c>
      <c r="G1623" s="6">
        <v>46174</v>
      </c>
      <c r="H1623" s="2" t="s">
        <v>71</v>
      </c>
      <c r="I1623" s="2" t="s">
        <v>76</v>
      </c>
      <c r="J1623" s="9">
        <v>77735936</v>
      </c>
      <c r="K1623" s="7">
        <v>6.2500000000000001E-5</v>
      </c>
      <c r="L1623" s="9">
        <v>4858.5</v>
      </c>
      <c r="M1623" s="9">
        <v>4858.5</v>
      </c>
      <c r="N1623" s="9">
        <v>2.67</v>
      </c>
      <c r="O1623" s="10">
        <f>IF(AND(OR(H1623="APPROVED",H1623="SCHEDULED"),COUNTIFS(tblSource[EventID],F1623,tblSource[ReleaseStatus],"APPROVED")=1,COUNTIFS(Period_Status!$A$2:$A$8,G1623,Period_Status!$B$2:$B$8,"ActualClosed")=1,C1623&gt;EOMONTH(Settlement_Bridge!$C$2,0)),1,0)</f>
        <v>0</v>
      </c>
      <c r="P1623" s="2" t="s">
        <v>4625</v>
      </c>
    </row>
    <row r="1624" spans="1:16" x14ac:dyDescent="0.25">
      <c r="A1624" s="2" t="s">
        <v>4626</v>
      </c>
      <c r="B1624" s="2" t="s">
        <v>199</v>
      </c>
      <c r="C1624" s="8">
        <v>46220</v>
      </c>
      <c r="D1624" s="6">
        <v>46204</v>
      </c>
      <c r="E1624" s="2" t="s">
        <v>260</v>
      </c>
      <c r="F1624" s="2" t="s">
        <v>4624</v>
      </c>
      <c r="G1624" s="6">
        <v>46174</v>
      </c>
      <c r="H1624" s="2" t="s">
        <v>71</v>
      </c>
      <c r="I1624" s="2" t="s">
        <v>76</v>
      </c>
      <c r="J1624" s="9">
        <v>116603904</v>
      </c>
      <c r="K1624" s="7">
        <v>6.2000000000000003E-5</v>
      </c>
      <c r="L1624" s="9">
        <v>7229.44</v>
      </c>
      <c r="M1624" s="9">
        <v>7287.74</v>
      </c>
      <c r="N1624" s="9">
        <v>3.98</v>
      </c>
      <c r="O1624" s="10">
        <f>IF(AND(OR(H1624="APPROVED",H1624="SCHEDULED"),COUNTIFS(tblSource[EventID],F1624,tblSource[ReleaseStatus],"APPROVED")=1,COUNTIFS(Period_Status!$A$2:$A$8,G1624,Period_Status!$B$2:$B$8,"ActualClosed")=1,C1624&gt;EOMONTH(Settlement_Bridge!$C$2,0)),1,0)</f>
        <v>0</v>
      </c>
      <c r="P1624" s="2" t="s">
        <v>4627</v>
      </c>
    </row>
    <row r="1625" spans="1:16" x14ac:dyDescent="0.25">
      <c r="A1625" s="2" t="s">
        <v>4628</v>
      </c>
      <c r="B1625" s="2" t="s">
        <v>199</v>
      </c>
      <c r="C1625" s="8">
        <v>46206</v>
      </c>
      <c r="D1625" s="6">
        <v>46204</v>
      </c>
      <c r="E1625" s="2" t="s">
        <v>260</v>
      </c>
      <c r="F1625" s="2" t="s">
        <v>4629</v>
      </c>
      <c r="G1625" s="6">
        <v>46174</v>
      </c>
      <c r="H1625" s="2" t="s">
        <v>71</v>
      </c>
      <c r="I1625" s="2" t="s">
        <v>70</v>
      </c>
      <c r="J1625" s="9">
        <v>18525.187969999999</v>
      </c>
      <c r="K1625" s="7">
        <v>0.65800000000000003</v>
      </c>
      <c r="L1625" s="9">
        <v>12189.57</v>
      </c>
      <c r="M1625" s="9">
        <v>12319.25</v>
      </c>
      <c r="N1625" s="9">
        <v>6.7</v>
      </c>
      <c r="O1625" s="10">
        <f>IF(AND(OR(H1625="APPROVED",H1625="SCHEDULED"),COUNTIFS(tblSource[EventID],F1625,tblSource[ReleaseStatus],"APPROVED")=1,COUNTIFS(Period_Status!$A$2:$A$8,G1625,Period_Status!$B$2:$B$8,"ActualClosed")=1,C1625&gt;EOMONTH(Settlement_Bridge!$C$2,0)),1,0)</f>
        <v>0</v>
      </c>
      <c r="P1625" s="2" t="s">
        <v>4630</v>
      </c>
    </row>
    <row r="1626" spans="1:16" x14ac:dyDescent="0.25">
      <c r="A1626" s="2" t="s">
        <v>4631</v>
      </c>
      <c r="B1626" s="2" t="s">
        <v>199</v>
      </c>
      <c r="C1626" s="8">
        <v>46207</v>
      </c>
      <c r="D1626" s="6">
        <v>46204</v>
      </c>
      <c r="E1626" s="2" t="s">
        <v>260</v>
      </c>
      <c r="F1626" s="2" t="s">
        <v>4632</v>
      </c>
      <c r="G1626" s="6">
        <v>46174</v>
      </c>
      <c r="H1626" s="2" t="s">
        <v>71</v>
      </c>
      <c r="I1626" s="2" t="s">
        <v>39</v>
      </c>
      <c r="J1626" s="9">
        <v>12492.26</v>
      </c>
      <c r="K1626" s="7">
        <v>1</v>
      </c>
      <c r="L1626" s="9">
        <v>12492.26</v>
      </c>
      <c r="M1626" s="9">
        <v>12492.26</v>
      </c>
      <c r="N1626" s="9">
        <v>6.87</v>
      </c>
      <c r="O1626" s="10">
        <f>IF(AND(OR(H1626="APPROVED",H1626="SCHEDULED"),COUNTIFS(tblSource[EventID],F1626,tblSource[ReleaseStatus],"APPROVED")=1,COUNTIFS(Period_Status!$A$2:$A$8,G1626,Period_Status!$B$2:$B$8,"ActualClosed")=1,C1626&gt;EOMONTH(Settlement_Bridge!$C$2,0)),1,0)</f>
        <v>0</v>
      </c>
      <c r="P1626" s="2" t="s">
        <v>4633</v>
      </c>
    </row>
    <row r="1627" spans="1:16" x14ac:dyDescent="0.25">
      <c r="A1627" s="2" t="s">
        <v>4634</v>
      </c>
      <c r="B1627" s="2" t="s">
        <v>199</v>
      </c>
      <c r="C1627" s="8">
        <v>46208</v>
      </c>
      <c r="D1627" s="6">
        <v>46204</v>
      </c>
      <c r="E1627" s="2" t="s">
        <v>260</v>
      </c>
      <c r="F1627" s="2" t="s">
        <v>4635</v>
      </c>
      <c r="G1627" s="6">
        <v>46174</v>
      </c>
      <c r="H1627" s="2" t="s">
        <v>71</v>
      </c>
      <c r="I1627" s="2" t="s">
        <v>76</v>
      </c>
      <c r="J1627" s="9">
        <v>202644320</v>
      </c>
      <c r="K1627" s="7">
        <v>6.2000000000000003E-5</v>
      </c>
      <c r="L1627" s="9">
        <v>12563.95</v>
      </c>
      <c r="M1627" s="9">
        <v>12665.27</v>
      </c>
      <c r="N1627" s="9">
        <v>6.91</v>
      </c>
      <c r="O1627" s="10">
        <f>IF(AND(OR(H1627="APPROVED",H1627="SCHEDULED"),COUNTIFS(tblSource[EventID],F1627,tblSource[ReleaseStatus],"APPROVED")=1,COUNTIFS(Period_Status!$A$2:$A$8,G1627,Period_Status!$B$2:$B$8,"ActualClosed")=1,C1627&gt;EOMONTH(Settlement_Bridge!$C$2,0)),1,0)</f>
        <v>0</v>
      </c>
      <c r="P1627" s="2" t="s">
        <v>4636</v>
      </c>
    </row>
    <row r="1628" spans="1:16" x14ac:dyDescent="0.25">
      <c r="A1628" s="2" t="s">
        <v>4637</v>
      </c>
      <c r="B1628" s="2" t="s">
        <v>199</v>
      </c>
      <c r="C1628" s="8">
        <v>46209</v>
      </c>
      <c r="D1628" s="6">
        <v>46204</v>
      </c>
      <c r="E1628" s="2" t="s">
        <v>260</v>
      </c>
      <c r="F1628" s="2" t="s">
        <v>4638</v>
      </c>
      <c r="G1628" s="6">
        <v>46174</v>
      </c>
      <c r="H1628" s="2" t="s">
        <v>71</v>
      </c>
      <c r="I1628" s="2" t="s">
        <v>70</v>
      </c>
      <c r="J1628" s="9">
        <v>19305.684211</v>
      </c>
      <c r="K1628" s="7">
        <v>0.65800000000000003</v>
      </c>
      <c r="L1628" s="9">
        <v>12703.14</v>
      </c>
      <c r="M1628" s="9">
        <v>12838.28</v>
      </c>
      <c r="N1628" s="9">
        <v>6.99</v>
      </c>
      <c r="O1628" s="10">
        <f>IF(AND(OR(H1628="APPROVED",H1628="SCHEDULED"),COUNTIFS(tblSource[EventID],F1628,tblSource[ReleaseStatus],"APPROVED")=1,COUNTIFS(Period_Status!$A$2:$A$8,G1628,Period_Status!$B$2:$B$8,"ActualClosed")=1,C1628&gt;EOMONTH(Settlement_Bridge!$C$2,0)),1,0)</f>
        <v>0</v>
      </c>
      <c r="P1628" s="2" t="s">
        <v>4639</v>
      </c>
    </row>
    <row r="1629" spans="1:16" x14ac:dyDescent="0.25">
      <c r="A1629" s="2" t="s">
        <v>4640</v>
      </c>
      <c r="B1629" s="2" t="s">
        <v>199</v>
      </c>
      <c r="C1629" s="8">
        <v>46210</v>
      </c>
      <c r="D1629" s="6">
        <v>46204</v>
      </c>
      <c r="E1629" s="2" t="s">
        <v>260</v>
      </c>
      <c r="F1629" s="2" t="s">
        <v>4641</v>
      </c>
      <c r="G1629" s="6">
        <v>46174</v>
      </c>
      <c r="H1629" s="2" t="s">
        <v>71</v>
      </c>
      <c r="I1629" s="2" t="s">
        <v>39</v>
      </c>
      <c r="J1629" s="9">
        <v>13011.29</v>
      </c>
      <c r="K1629" s="7">
        <v>1</v>
      </c>
      <c r="L1629" s="9">
        <v>13011.29</v>
      </c>
      <c r="M1629" s="9">
        <v>13011.29</v>
      </c>
      <c r="N1629" s="9">
        <v>7.16</v>
      </c>
      <c r="O1629" s="10">
        <f>IF(AND(OR(H1629="APPROVED",H1629="SCHEDULED"),COUNTIFS(tblSource[EventID],F1629,tblSource[ReleaseStatus],"APPROVED")=1,COUNTIFS(Period_Status!$A$2:$A$8,G1629,Period_Status!$B$2:$B$8,"ActualClosed")=1,C1629&gt;EOMONTH(Settlement_Bridge!$C$2,0)),1,0)</f>
        <v>0</v>
      </c>
      <c r="P1629" s="2" t="s">
        <v>4642</v>
      </c>
    </row>
    <row r="1630" spans="1:16" x14ac:dyDescent="0.25">
      <c r="A1630" s="2" t="s">
        <v>4643</v>
      </c>
      <c r="B1630" s="2" t="s">
        <v>199</v>
      </c>
      <c r="C1630" s="8">
        <v>46201</v>
      </c>
      <c r="D1630" s="6">
        <v>46174</v>
      </c>
      <c r="E1630" s="2" t="s">
        <v>260</v>
      </c>
      <c r="F1630" s="2" t="s">
        <v>4644</v>
      </c>
      <c r="G1630" s="6">
        <v>46174</v>
      </c>
      <c r="H1630" s="2" t="s">
        <v>71</v>
      </c>
      <c r="I1630" s="2" t="s">
        <v>76</v>
      </c>
      <c r="J1630" s="9">
        <v>84379520</v>
      </c>
      <c r="K1630" s="7">
        <v>6.2500000000000001E-5</v>
      </c>
      <c r="L1630" s="9">
        <v>5273.72</v>
      </c>
      <c r="M1630" s="9">
        <v>5273.72</v>
      </c>
      <c r="N1630" s="9">
        <v>2.9</v>
      </c>
      <c r="O1630" s="10">
        <f>IF(AND(OR(H1630="APPROVED",H1630="SCHEDULED"),COUNTIFS(tblSource[EventID],F1630,tblSource[ReleaseStatus],"APPROVED")=1,COUNTIFS(Period_Status!$A$2:$A$8,G1630,Period_Status!$B$2:$B$8,"ActualClosed")=1,C1630&gt;EOMONTH(Settlement_Bridge!$C$2,0)),1,0)</f>
        <v>0</v>
      </c>
      <c r="P1630" s="2" t="s">
        <v>4645</v>
      </c>
    </row>
    <row r="1631" spans="1:16" x14ac:dyDescent="0.25">
      <c r="A1631" s="2" t="s">
        <v>4646</v>
      </c>
      <c r="B1631" s="2" t="s">
        <v>199</v>
      </c>
      <c r="C1631" s="8">
        <v>46226</v>
      </c>
      <c r="D1631" s="6">
        <v>46204</v>
      </c>
      <c r="E1631" s="2" t="s">
        <v>260</v>
      </c>
      <c r="F1631" s="2" t="s">
        <v>4644</v>
      </c>
      <c r="G1631" s="6">
        <v>46174</v>
      </c>
      <c r="H1631" s="2" t="s">
        <v>71</v>
      </c>
      <c r="I1631" s="2" t="s">
        <v>76</v>
      </c>
      <c r="J1631" s="9">
        <v>126569280</v>
      </c>
      <c r="K1631" s="7">
        <v>6.2000000000000003E-5</v>
      </c>
      <c r="L1631" s="9">
        <v>7847.3</v>
      </c>
      <c r="M1631" s="9">
        <v>7910.58</v>
      </c>
      <c r="N1631" s="9">
        <v>4.32</v>
      </c>
      <c r="O1631" s="10">
        <f>IF(AND(OR(H1631="APPROVED",H1631="SCHEDULED"),COUNTIFS(tblSource[EventID],F1631,tblSource[ReleaseStatus],"APPROVED")=1,COUNTIFS(Period_Status!$A$2:$A$8,G1631,Period_Status!$B$2:$B$8,"ActualClosed")=1,C1631&gt;EOMONTH(Settlement_Bridge!$C$2,0)),1,0)</f>
        <v>0</v>
      </c>
      <c r="P1631" s="2" t="s">
        <v>4647</v>
      </c>
    </row>
    <row r="1632" spans="1:16" x14ac:dyDescent="0.25">
      <c r="A1632" s="2" t="s">
        <v>4648</v>
      </c>
      <c r="B1632" s="2" t="s">
        <v>199</v>
      </c>
      <c r="C1632" s="8">
        <v>46202</v>
      </c>
      <c r="D1632" s="6">
        <v>46174</v>
      </c>
      <c r="E1632" s="2" t="s">
        <v>260</v>
      </c>
      <c r="F1632" s="2" t="s">
        <v>4649</v>
      </c>
      <c r="G1632" s="6">
        <v>46174</v>
      </c>
      <c r="H1632" s="2" t="s">
        <v>71</v>
      </c>
      <c r="I1632" s="2" t="s">
        <v>70</v>
      </c>
      <c r="J1632" s="9">
        <v>8034.4721799999998</v>
      </c>
      <c r="K1632" s="7">
        <v>0.66500000000000004</v>
      </c>
      <c r="L1632" s="9">
        <v>5342.92</v>
      </c>
      <c r="M1632" s="9">
        <v>5342.92</v>
      </c>
      <c r="N1632" s="9">
        <v>2.94</v>
      </c>
      <c r="O1632" s="10">
        <f>IF(AND(OR(H1632="APPROVED",H1632="SCHEDULED"),COUNTIFS(tblSource[EventID],F1632,tblSource[ReleaseStatus],"APPROVED")=1,COUNTIFS(Period_Status!$A$2:$A$8,G1632,Period_Status!$B$2:$B$8,"ActualClosed")=1,C1632&gt;EOMONTH(Settlement_Bridge!$C$2,0)),1,0)</f>
        <v>0</v>
      </c>
      <c r="P1632" s="2" t="s">
        <v>4650</v>
      </c>
    </row>
    <row r="1633" spans="1:16" x14ac:dyDescent="0.25">
      <c r="A1633" s="2" t="s">
        <v>4651</v>
      </c>
      <c r="B1633" s="2" t="s">
        <v>199</v>
      </c>
      <c r="C1633" s="8">
        <v>46227</v>
      </c>
      <c r="D1633" s="6">
        <v>46204</v>
      </c>
      <c r="E1633" s="2" t="s">
        <v>260</v>
      </c>
      <c r="F1633" s="2" t="s">
        <v>4649</v>
      </c>
      <c r="G1633" s="6">
        <v>46174</v>
      </c>
      <c r="H1633" s="2" t="s">
        <v>71</v>
      </c>
      <c r="I1633" s="2" t="s">
        <v>70</v>
      </c>
      <c r="J1633" s="9">
        <v>12051.708271</v>
      </c>
      <c r="K1633" s="7">
        <v>0.65800000000000003</v>
      </c>
      <c r="L1633" s="9">
        <v>7930.02</v>
      </c>
      <c r="M1633" s="9">
        <v>8014.39</v>
      </c>
      <c r="N1633" s="9">
        <v>4.3600000000000003</v>
      </c>
      <c r="O1633" s="10">
        <f>IF(AND(OR(H1633="APPROVED",H1633="SCHEDULED"),COUNTIFS(tblSource[EventID],F1633,tblSource[ReleaseStatus],"APPROVED")=1,COUNTIFS(Period_Status!$A$2:$A$8,G1633,Period_Status!$B$2:$B$8,"ActualClosed")=1,C1633&gt;EOMONTH(Settlement_Bridge!$C$2,0)),1,0)</f>
        <v>0</v>
      </c>
      <c r="P1633" s="2" t="s">
        <v>4652</v>
      </c>
    </row>
    <row r="1634" spans="1:16" x14ac:dyDescent="0.25">
      <c r="A1634" s="2" t="s">
        <v>4653</v>
      </c>
      <c r="B1634" s="2" t="s">
        <v>199</v>
      </c>
      <c r="C1634" s="8">
        <v>46213</v>
      </c>
      <c r="D1634" s="6">
        <v>46204</v>
      </c>
      <c r="E1634" s="2" t="s">
        <v>260</v>
      </c>
      <c r="F1634" s="2" t="s">
        <v>4654</v>
      </c>
      <c r="G1634" s="6">
        <v>46174</v>
      </c>
      <c r="H1634" s="2" t="s">
        <v>71</v>
      </c>
      <c r="I1634" s="2" t="s">
        <v>39</v>
      </c>
      <c r="J1634" s="9">
        <v>13530.32</v>
      </c>
      <c r="K1634" s="7">
        <v>1</v>
      </c>
      <c r="L1634" s="9">
        <v>13530.32</v>
      </c>
      <c r="M1634" s="9">
        <v>13530.32</v>
      </c>
      <c r="N1634" s="9">
        <v>7.44</v>
      </c>
      <c r="O1634" s="10">
        <f>IF(AND(OR(H1634="APPROVED",H1634="SCHEDULED"),COUNTIFS(tblSource[EventID],F1634,tblSource[ReleaseStatus],"APPROVED")=1,COUNTIFS(Period_Status!$A$2:$A$8,G1634,Period_Status!$B$2:$B$8,"ActualClosed")=1,C1634&gt;EOMONTH(Settlement_Bridge!$C$2,0)),1,0)</f>
        <v>0</v>
      </c>
      <c r="P1634" s="2" t="s">
        <v>4655</v>
      </c>
    </row>
    <row r="1635" spans="1:16" x14ac:dyDescent="0.25">
      <c r="A1635" s="2" t="s">
        <v>4656</v>
      </c>
      <c r="B1635" s="2" t="s">
        <v>199</v>
      </c>
      <c r="C1635" s="8">
        <v>46214</v>
      </c>
      <c r="D1635" s="6">
        <v>46204</v>
      </c>
      <c r="E1635" s="2" t="s">
        <v>260</v>
      </c>
      <c r="F1635" s="2" t="s">
        <v>4657</v>
      </c>
      <c r="G1635" s="6">
        <v>46174</v>
      </c>
      <c r="H1635" s="2" t="s">
        <v>71</v>
      </c>
      <c r="I1635" s="2" t="s">
        <v>76</v>
      </c>
      <c r="J1635" s="9">
        <v>219253280</v>
      </c>
      <c r="K1635" s="7">
        <v>6.2000000000000003E-5</v>
      </c>
      <c r="L1635" s="9">
        <v>13593.7</v>
      </c>
      <c r="M1635" s="9">
        <v>13703.33</v>
      </c>
      <c r="N1635" s="9">
        <v>7.48</v>
      </c>
      <c r="O1635" s="10">
        <f>IF(AND(OR(H1635="APPROVED",H1635="SCHEDULED"),COUNTIFS(tblSource[EventID],F1635,tblSource[ReleaseStatus],"APPROVED")=1,COUNTIFS(Period_Status!$A$2:$A$8,G1635,Period_Status!$B$2:$B$8,"ActualClosed")=1,C1635&gt;EOMONTH(Settlement_Bridge!$C$2,0)),1,0)</f>
        <v>0</v>
      </c>
      <c r="P1635" s="2" t="s">
        <v>4658</v>
      </c>
    </row>
    <row r="1636" spans="1:16" x14ac:dyDescent="0.25">
      <c r="A1636" s="2" t="s">
        <v>4659</v>
      </c>
      <c r="B1636" s="2" t="s">
        <v>199</v>
      </c>
      <c r="C1636" s="8">
        <v>46205</v>
      </c>
      <c r="D1636" s="6">
        <v>46204</v>
      </c>
      <c r="E1636" s="2" t="s">
        <v>260</v>
      </c>
      <c r="F1636" s="2" t="s">
        <v>4660</v>
      </c>
      <c r="G1636" s="6">
        <v>46174</v>
      </c>
      <c r="H1636" s="2" t="s">
        <v>71</v>
      </c>
      <c r="I1636" s="2" t="s">
        <v>70</v>
      </c>
      <c r="J1636" s="9">
        <v>8346.6706770000001</v>
      </c>
      <c r="K1636" s="7">
        <v>0.65800000000000003</v>
      </c>
      <c r="L1636" s="9">
        <v>5492.11</v>
      </c>
      <c r="M1636" s="9">
        <v>5550.54</v>
      </c>
      <c r="N1636" s="9">
        <v>3.02</v>
      </c>
      <c r="O1636" s="10">
        <f>IF(AND(OR(H1636="APPROVED",H1636="SCHEDULED"),COUNTIFS(tblSource[EventID],F1636,tblSource[ReleaseStatus],"APPROVED")=1,COUNTIFS(Period_Status!$A$2:$A$8,G1636,Period_Status!$B$2:$B$8,"ActualClosed")=1,C1636&gt;EOMONTH(Settlement_Bridge!$C$2,0)),1,0)</f>
        <v>0</v>
      </c>
      <c r="P1636" s="2" t="s">
        <v>4661</v>
      </c>
    </row>
    <row r="1637" spans="1:16" x14ac:dyDescent="0.25">
      <c r="A1637" s="2" t="s">
        <v>4662</v>
      </c>
      <c r="B1637" s="2" t="s">
        <v>199</v>
      </c>
      <c r="C1637" s="8">
        <v>46230</v>
      </c>
      <c r="D1637" s="6">
        <v>46204</v>
      </c>
      <c r="E1637" s="2" t="s">
        <v>260</v>
      </c>
      <c r="F1637" s="2" t="s">
        <v>4660</v>
      </c>
      <c r="G1637" s="6">
        <v>46174</v>
      </c>
      <c r="H1637" s="2" t="s">
        <v>71</v>
      </c>
      <c r="I1637" s="2" t="s">
        <v>70</v>
      </c>
      <c r="J1637" s="9">
        <v>12520.006015000001</v>
      </c>
      <c r="K1637" s="7">
        <v>0.65800000000000003</v>
      </c>
      <c r="L1637" s="9">
        <v>8238.16</v>
      </c>
      <c r="M1637" s="9">
        <v>8325.7999999999993</v>
      </c>
      <c r="N1637" s="9">
        <v>4.53</v>
      </c>
      <c r="O1637" s="10">
        <f>IF(AND(OR(H1637="APPROVED",H1637="SCHEDULED"),COUNTIFS(tblSource[EventID],F1637,tblSource[ReleaseStatus],"APPROVED")=1,COUNTIFS(Period_Status!$A$2:$A$8,G1637,Period_Status!$B$2:$B$8,"ActualClosed")=1,C1637&gt;EOMONTH(Settlement_Bridge!$C$2,0)),1,0)</f>
        <v>0</v>
      </c>
      <c r="P1637" s="2" t="s">
        <v>4663</v>
      </c>
    </row>
    <row r="1638" spans="1:16" x14ac:dyDescent="0.25">
      <c r="A1638" s="2" t="s">
        <v>4664</v>
      </c>
      <c r="B1638" s="2" t="s">
        <v>199</v>
      </c>
      <c r="C1638" s="8">
        <v>46216</v>
      </c>
      <c r="D1638" s="6">
        <v>46204</v>
      </c>
      <c r="E1638" s="2" t="s">
        <v>260</v>
      </c>
      <c r="F1638" s="2" t="s">
        <v>4665</v>
      </c>
      <c r="G1638" s="6">
        <v>46174</v>
      </c>
      <c r="H1638" s="2" t="s">
        <v>71</v>
      </c>
      <c r="I1638" s="2" t="s">
        <v>39</v>
      </c>
      <c r="J1638" s="9">
        <v>14049.35</v>
      </c>
      <c r="K1638" s="7">
        <v>1</v>
      </c>
      <c r="L1638" s="9">
        <v>14049.35</v>
      </c>
      <c r="M1638" s="9">
        <v>14049.35</v>
      </c>
      <c r="N1638" s="9">
        <v>7.73</v>
      </c>
      <c r="O1638" s="10">
        <f>IF(AND(OR(H1638="APPROVED",H1638="SCHEDULED"),COUNTIFS(tblSource[EventID],F1638,tblSource[ReleaseStatus],"APPROVED")=1,COUNTIFS(Period_Status!$A$2:$A$8,G1638,Period_Status!$B$2:$B$8,"ActualClosed")=1,C1638&gt;EOMONTH(Settlement_Bridge!$C$2,0)),1,0)</f>
        <v>0</v>
      </c>
      <c r="P1638" s="2" t="s">
        <v>4666</v>
      </c>
    </row>
    <row r="1639" spans="1:16" x14ac:dyDescent="0.25">
      <c r="A1639" s="2" t="s">
        <v>4667</v>
      </c>
      <c r="B1639" s="2" t="s">
        <v>199</v>
      </c>
      <c r="C1639" s="8">
        <v>46217</v>
      </c>
      <c r="D1639" s="6">
        <v>46204</v>
      </c>
      <c r="E1639" s="2" t="s">
        <v>260</v>
      </c>
      <c r="F1639" s="2" t="s">
        <v>4668</v>
      </c>
      <c r="G1639" s="6">
        <v>46174</v>
      </c>
      <c r="H1639" s="2" t="s">
        <v>71</v>
      </c>
      <c r="I1639" s="2" t="s">
        <v>76</v>
      </c>
      <c r="J1639" s="9">
        <v>227557760</v>
      </c>
      <c r="K1639" s="7">
        <v>6.2000000000000003E-5</v>
      </c>
      <c r="L1639" s="9">
        <v>14108.58</v>
      </c>
      <c r="M1639" s="9">
        <v>14222.36</v>
      </c>
      <c r="N1639" s="9">
        <v>7.76</v>
      </c>
      <c r="O1639" s="10">
        <f>IF(AND(OR(H1639="APPROVED",H1639="SCHEDULED"),COUNTIFS(tblSource[EventID],F1639,tblSource[ReleaseStatus],"APPROVED")=1,COUNTIFS(Period_Status!$A$2:$A$8,G1639,Period_Status!$B$2:$B$8,"ActualClosed")=1,C1639&gt;EOMONTH(Settlement_Bridge!$C$2,0)),1,0)</f>
        <v>0</v>
      </c>
      <c r="P1639" s="2" t="s">
        <v>4669</v>
      </c>
    </row>
    <row r="1640" spans="1:16" x14ac:dyDescent="0.25">
      <c r="A1640" s="2" t="s">
        <v>4670</v>
      </c>
      <c r="B1640" s="2" t="s">
        <v>199</v>
      </c>
      <c r="C1640" s="8">
        <v>46218</v>
      </c>
      <c r="D1640" s="6">
        <v>46204</v>
      </c>
      <c r="E1640" s="2" t="s">
        <v>260</v>
      </c>
      <c r="F1640" s="2" t="s">
        <v>4671</v>
      </c>
      <c r="G1640" s="6">
        <v>46174</v>
      </c>
      <c r="H1640" s="2" t="s">
        <v>71</v>
      </c>
      <c r="I1640" s="2" t="s">
        <v>70</v>
      </c>
      <c r="J1640" s="9">
        <v>21647.172932000001</v>
      </c>
      <c r="K1640" s="7">
        <v>0.65800000000000003</v>
      </c>
      <c r="L1640" s="9">
        <v>14243.84</v>
      </c>
      <c r="M1640" s="9">
        <v>14395.37</v>
      </c>
      <c r="N1640" s="9">
        <v>7.83</v>
      </c>
      <c r="O1640" s="10">
        <f>IF(AND(OR(H1640="APPROVED",H1640="SCHEDULED"),COUNTIFS(tblSource[EventID],F1640,tblSource[ReleaseStatus],"APPROVED")=1,COUNTIFS(Period_Status!$A$2:$A$8,G1640,Period_Status!$B$2:$B$8,"ActualClosed")=1,C1640&gt;EOMONTH(Settlement_Bridge!$C$2,0)),1,0)</f>
        <v>0</v>
      </c>
      <c r="P1640" s="2" t="s">
        <v>4672</v>
      </c>
    </row>
    <row r="1641" spans="1:16" x14ac:dyDescent="0.25">
      <c r="A1641" s="2" t="s">
        <v>4673</v>
      </c>
      <c r="B1641" s="2" t="s">
        <v>199</v>
      </c>
      <c r="C1641" s="8">
        <v>46219</v>
      </c>
      <c r="D1641" s="6">
        <v>46204</v>
      </c>
      <c r="E1641" s="2" t="s">
        <v>260</v>
      </c>
      <c r="F1641" s="2" t="s">
        <v>4674</v>
      </c>
      <c r="G1641" s="6">
        <v>46174</v>
      </c>
      <c r="H1641" s="2" t="s">
        <v>71</v>
      </c>
      <c r="I1641" s="2" t="s">
        <v>39</v>
      </c>
      <c r="J1641" s="9">
        <v>14568.38</v>
      </c>
      <c r="K1641" s="7">
        <v>1</v>
      </c>
      <c r="L1641" s="9">
        <v>14568.38</v>
      </c>
      <c r="M1641" s="9">
        <v>14568.38</v>
      </c>
      <c r="N1641" s="9">
        <v>8.01</v>
      </c>
      <c r="O1641" s="10">
        <f>IF(AND(OR(H1641="APPROVED",H1641="SCHEDULED"),COUNTIFS(tblSource[EventID],F1641,tblSource[ReleaseStatus],"APPROVED")=1,COUNTIFS(Period_Status!$A$2:$A$8,G1641,Period_Status!$B$2:$B$8,"ActualClosed")=1,C1641&gt;EOMONTH(Settlement_Bridge!$C$2,0)),1,0)</f>
        <v>0</v>
      </c>
      <c r="P1641" s="2" t="s">
        <v>4675</v>
      </c>
    </row>
    <row r="1642" spans="1:16" x14ac:dyDescent="0.25">
      <c r="A1642" s="2" t="s">
        <v>4676</v>
      </c>
      <c r="B1642" s="2" t="s">
        <v>199</v>
      </c>
      <c r="C1642" s="8">
        <v>46220</v>
      </c>
      <c r="D1642" s="6">
        <v>46204</v>
      </c>
      <c r="E1642" s="2" t="s">
        <v>260</v>
      </c>
      <c r="F1642" s="2" t="s">
        <v>4677</v>
      </c>
      <c r="G1642" s="6">
        <v>46174</v>
      </c>
      <c r="H1642" s="2" t="s">
        <v>71</v>
      </c>
      <c r="I1642" s="2" t="s">
        <v>76</v>
      </c>
      <c r="J1642" s="9">
        <v>235862240</v>
      </c>
      <c r="K1642" s="7">
        <v>6.2000000000000003E-5</v>
      </c>
      <c r="L1642" s="9">
        <v>14623.46</v>
      </c>
      <c r="M1642" s="9">
        <v>14741.39</v>
      </c>
      <c r="N1642" s="9">
        <v>8.0399999999999991</v>
      </c>
      <c r="O1642" s="10">
        <f>IF(AND(OR(H1642="APPROVED",H1642="SCHEDULED"),COUNTIFS(tblSource[EventID],F1642,tblSource[ReleaseStatus],"APPROVED")=1,COUNTIFS(Period_Status!$A$2:$A$8,G1642,Period_Status!$B$2:$B$8,"ActualClosed")=1,C1642&gt;EOMONTH(Settlement_Bridge!$C$2,0)),1,0)</f>
        <v>0</v>
      </c>
      <c r="P1642" s="2" t="s">
        <v>4678</v>
      </c>
    </row>
    <row r="1643" spans="1:16" x14ac:dyDescent="0.25">
      <c r="A1643" s="2" t="s">
        <v>4679</v>
      </c>
      <c r="B1643" s="2" t="s">
        <v>199</v>
      </c>
      <c r="C1643" s="8">
        <v>46211</v>
      </c>
      <c r="D1643" s="6">
        <v>46204</v>
      </c>
      <c r="E1643" s="2" t="s">
        <v>260</v>
      </c>
      <c r="F1643" s="2" t="s">
        <v>4680</v>
      </c>
      <c r="G1643" s="6">
        <v>46174</v>
      </c>
      <c r="H1643" s="2" t="s">
        <v>71</v>
      </c>
      <c r="I1643" s="2" t="s">
        <v>70</v>
      </c>
      <c r="J1643" s="9">
        <v>550.015038</v>
      </c>
      <c r="K1643" s="7">
        <v>0.65800000000000003</v>
      </c>
      <c r="L1643" s="9">
        <v>361.91</v>
      </c>
      <c r="M1643" s="9">
        <v>365.76</v>
      </c>
      <c r="N1643" s="9">
        <v>1.8</v>
      </c>
      <c r="O1643" s="10">
        <f>IF(AND(OR(H1643="APPROVED",H1643="SCHEDULED"),COUNTIFS(tblSource[EventID],F1643,tblSource[ReleaseStatus],"APPROVED")=1,COUNTIFS(Period_Status!$A$2:$A$8,G1643,Period_Status!$B$2:$B$8,"ActualClosed")=1,C1643&gt;EOMONTH(Settlement_Bridge!$C$2,0)),1,0)</f>
        <v>0</v>
      </c>
      <c r="P1643" s="2" t="s">
        <v>4681</v>
      </c>
    </row>
    <row r="1644" spans="1:16" x14ac:dyDescent="0.25">
      <c r="A1644" s="2" t="s">
        <v>4682</v>
      </c>
      <c r="B1644" s="2" t="s">
        <v>199</v>
      </c>
      <c r="C1644" s="8">
        <v>46236</v>
      </c>
      <c r="D1644" s="6">
        <v>46235</v>
      </c>
      <c r="E1644" s="2" t="s">
        <v>260</v>
      </c>
      <c r="F1644" s="2" t="s">
        <v>4680</v>
      </c>
      <c r="G1644" s="6">
        <v>46174</v>
      </c>
      <c r="H1644" s="2" t="s">
        <v>71</v>
      </c>
      <c r="I1644" s="2" t="s">
        <v>70</v>
      </c>
      <c r="J1644" s="9">
        <v>825.02255600000001</v>
      </c>
      <c r="K1644" s="7">
        <v>0.65</v>
      </c>
      <c r="L1644" s="9">
        <v>536.26</v>
      </c>
      <c r="M1644" s="9">
        <v>548.64</v>
      </c>
      <c r="N1644" s="9">
        <v>1.8</v>
      </c>
      <c r="O1644" s="10">
        <f>IF(AND(OR(H1644="APPROVED",H1644="SCHEDULED"),COUNTIFS(tblSource[EventID],F1644,tblSource[ReleaseStatus],"APPROVED")=1,COUNTIFS(Period_Status!$A$2:$A$8,G1644,Period_Status!$B$2:$B$8,"ActualClosed")=1,C1644&gt;EOMONTH(Settlement_Bridge!$C$2,0)),1,0)</f>
        <v>1</v>
      </c>
      <c r="P1644" s="2" t="s">
        <v>4683</v>
      </c>
    </row>
    <row r="1645" spans="1:16" x14ac:dyDescent="0.25">
      <c r="A1645" s="2" t="s">
        <v>4684</v>
      </c>
      <c r="B1645" s="2" t="s">
        <v>199</v>
      </c>
      <c r="C1645" s="8">
        <v>46212</v>
      </c>
      <c r="D1645" s="6">
        <v>46204</v>
      </c>
      <c r="E1645" s="2" t="s">
        <v>260</v>
      </c>
      <c r="F1645" s="2" t="s">
        <v>4685</v>
      </c>
      <c r="G1645" s="6">
        <v>46174</v>
      </c>
      <c r="H1645" s="2" t="s">
        <v>71</v>
      </c>
      <c r="I1645" s="2" t="s">
        <v>39</v>
      </c>
      <c r="J1645" s="9">
        <v>434.964</v>
      </c>
      <c r="K1645" s="7">
        <v>1</v>
      </c>
      <c r="L1645" s="9">
        <v>434.96</v>
      </c>
      <c r="M1645" s="9">
        <v>434.96</v>
      </c>
      <c r="N1645" s="9">
        <v>1.8</v>
      </c>
      <c r="O1645" s="10">
        <f>IF(AND(OR(H1645="APPROVED",H1645="SCHEDULED"),COUNTIFS(tblSource[EventID],F1645,tblSource[ReleaseStatus],"APPROVED")=1,COUNTIFS(Period_Status!$A$2:$A$8,G1645,Period_Status!$B$2:$B$8,"ActualClosed")=1,C1645&gt;EOMONTH(Settlement_Bridge!$C$2,0)),1,0)</f>
        <v>0</v>
      </c>
      <c r="P1645" s="2" t="s">
        <v>4686</v>
      </c>
    </row>
    <row r="1646" spans="1:16" x14ac:dyDescent="0.25">
      <c r="A1646" s="2" t="s">
        <v>4687</v>
      </c>
      <c r="B1646" s="2" t="s">
        <v>199</v>
      </c>
      <c r="C1646" s="8">
        <v>46237</v>
      </c>
      <c r="D1646" s="6">
        <v>46235</v>
      </c>
      <c r="E1646" s="2" t="s">
        <v>260</v>
      </c>
      <c r="F1646" s="2" t="s">
        <v>4685</v>
      </c>
      <c r="G1646" s="6">
        <v>46174</v>
      </c>
      <c r="H1646" s="2" t="s">
        <v>71</v>
      </c>
      <c r="I1646" s="2" t="s">
        <v>39</v>
      </c>
      <c r="J1646" s="9">
        <v>652.44600000000003</v>
      </c>
      <c r="K1646" s="7">
        <v>1</v>
      </c>
      <c r="L1646" s="9">
        <v>652.45000000000005</v>
      </c>
      <c r="M1646" s="9">
        <v>652.45000000000005</v>
      </c>
      <c r="N1646" s="9">
        <v>1.8</v>
      </c>
      <c r="O1646" s="10">
        <f>IF(AND(OR(H1646="APPROVED",H1646="SCHEDULED"),COUNTIFS(tblSource[EventID],F1646,tblSource[ReleaseStatus],"APPROVED")=1,COUNTIFS(Period_Status!$A$2:$A$8,G1646,Period_Status!$B$2:$B$8,"ActualClosed")=1,C1646&gt;EOMONTH(Settlement_Bridge!$C$2,0)),1,0)</f>
        <v>1</v>
      </c>
      <c r="P1646" s="2" t="s">
        <v>4688</v>
      </c>
    </row>
    <row r="1647" spans="1:16" x14ac:dyDescent="0.25">
      <c r="A1647" s="2" t="s">
        <v>4689</v>
      </c>
      <c r="B1647" s="2" t="s">
        <v>199</v>
      </c>
      <c r="C1647" s="8">
        <v>46223</v>
      </c>
      <c r="D1647" s="6">
        <v>46204</v>
      </c>
      <c r="E1647" s="2" t="s">
        <v>260</v>
      </c>
      <c r="F1647" s="2" t="s">
        <v>4690</v>
      </c>
      <c r="G1647" s="6">
        <v>46174</v>
      </c>
      <c r="H1647" s="2" t="s">
        <v>71</v>
      </c>
      <c r="I1647" s="2" t="s">
        <v>76</v>
      </c>
      <c r="J1647" s="9">
        <v>20166720</v>
      </c>
      <c r="K1647" s="7">
        <v>6.2000000000000003E-5</v>
      </c>
      <c r="L1647" s="9">
        <v>1250.3399999999999</v>
      </c>
      <c r="M1647" s="9">
        <v>1260.42</v>
      </c>
      <c r="N1647" s="9">
        <v>1.8</v>
      </c>
      <c r="O1647" s="10">
        <f>IF(AND(OR(H1647="APPROVED",H1647="SCHEDULED"),COUNTIFS(tblSource[EventID],F1647,tblSource[ReleaseStatus],"APPROVED")=1,COUNTIFS(Period_Status!$A$2:$A$8,G1647,Period_Status!$B$2:$B$8,"ActualClosed")=1,C1647&gt;EOMONTH(Settlement_Bridge!$C$2,0)),1,0)</f>
        <v>0</v>
      </c>
      <c r="P1647" s="2" t="s">
        <v>4691</v>
      </c>
    </row>
    <row r="1648" spans="1:16" x14ac:dyDescent="0.25">
      <c r="A1648" s="2" t="s">
        <v>4692</v>
      </c>
      <c r="B1648" s="2" t="s">
        <v>199</v>
      </c>
      <c r="C1648" s="8">
        <v>46224</v>
      </c>
      <c r="D1648" s="6">
        <v>46204</v>
      </c>
      <c r="E1648" s="2" t="s">
        <v>260</v>
      </c>
      <c r="F1648" s="2" t="s">
        <v>4693</v>
      </c>
      <c r="G1648" s="6">
        <v>46174</v>
      </c>
      <c r="H1648" s="2" t="s">
        <v>71</v>
      </c>
      <c r="I1648" s="2" t="s">
        <v>70</v>
      </c>
      <c r="J1648" s="9">
        <v>2155.5338350000002</v>
      </c>
      <c r="K1648" s="7">
        <v>0.65800000000000003</v>
      </c>
      <c r="L1648" s="9">
        <v>1418.34</v>
      </c>
      <c r="M1648" s="9">
        <v>1433.43</v>
      </c>
      <c r="N1648" s="9">
        <v>1.8</v>
      </c>
      <c r="O1648" s="10">
        <f>IF(AND(OR(H1648="APPROVED",H1648="SCHEDULED"),COUNTIFS(tblSource[EventID],F1648,tblSource[ReleaseStatus],"APPROVED")=1,COUNTIFS(Period_Status!$A$2:$A$8,G1648,Period_Status!$B$2:$B$8,"ActualClosed")=1,C1648&gt;EOMONTH(Settlement_Bridge!$C$2,0)),1,0)</f>
        <v>0</v>
      </c>
      <c r="P1648" s="2" t="s">
        <v>4694</v>
      </c>
    </row>
    <row r="1649" spans="1:16" x14ac:dyDescent="0.25">
      <c r="A1649" s="2" t="s">
        <v>4695</v>
      </c>
      <c r="B1649" s="2" t="s">
        <v>199</v>
      </c>
      <c r="C1649" s="8">
        <v>46215</v>
      </c>
      <c r="D1649" s="6">
        <v>46204</v>
      </c>
      <c r="E1649" s="2" t="s">
        <v>260</v>
      </c>
      <c r="F1649" s="2" t="s">
        <v>4696</v>
      </c>
      <c r="G1649" s="6">
        <v>46174</v>
      </c>
      <c r="H1649" s="2" t="s">
        <v>71</v>
      </c>
      <c r="I1649" s="2" t="s">
        <v>39</v>
      </c>
      <c r="J1649" s="9">
        <v>642.57600000000002</v>
      </c>
      <c r="K1649" s="7">
        <v>1</v>
      </c>
      <c r="L1649" s="9">
        <v>642.58000000000004</v>
      </c>
      <c r="M1649" s="9">
        <v>642.58000000000004</v>
      </c>
      <c r="N1649" s="9">
        <v>1.8</v>
      </c>
      <c r="O1649" s="10">
        <f>IF(AND(OR(H1649="APPROVED",H1649="SCHEDULED"),COUNTIFS(tblSource[EventID],F1649,tblSource[ReleaseStatus],"APPROVED")=1,COUNTIFS(Period_Status!$A$2:$A$8,G1649,Period_Status!$B$2:$B$8,"ActualClosed")=1,C1649&gt;EOMONTH(Settlement_Bridge!$C$2,0)),1,0)</f>
        <v>0</v>
      </c>
      <c r="P1649" s="2" t="s">
        <v>4697</v>
      </c>
    </row>
    <row r="1650" spans="1:16" x14ac:dyDescent="0.25">
      <c r="A1650" s="2" t="s">
        <v>4698</v>
      </c>
      <c r="B1650" s="2" t="s">
        <v>199</v>
      </c>
      <c r="C1650" s="8">
        <v>46240</v>
      </c>
      <c r="D1650" s="6">
        <v>46235</v>
      </c>
      <c r="E1650" s="2" t="s">
        <v>260</v>
      </c>
      <c r="F1650" s="2" t="s">
        <v>4696</v>
      </c>
      <c r="G1650" s="6">
        <v>46174</v>
      </c>
      <c r="H1650" s="2" t="s">
        <v>71</v>
      </c>
      <c r="I1650" s="2" t="s">
        <v>39</v>
      </c>
      <c r="J1650" s="9">
        <v>963.86400000000003</v>
      </c>
      <c r="K1650" s="7">
        <v>1</v>
      </c>
      <c r="L1650" s="9">
        <v>963.86</v>
      </c>
      <c r="M1650" s="9">
        <v>963.86</v>
      </c>
      <c r="N1650" s="9">
        <v>1.8</v>
      </c>
      <c r="O1650" s="10">
        <f>IF(AND(OR(H1650="APPROVED",H1650="SCHEDULED"),COUNTIFS(tblSource[EventID],F1650,tblSource[ReleaseStatus],"APPROVED")=1,COUNTIFS(Period_Status!$A$2:$A$8,G1650,Period_Status!$B$2:$B$8,"ActualClosed")=1,C1650&gt;EOMONTH(Settlement_Bridge!$C$2,0)),1,0)</f>
        <v>1</v>
      </c>
      <c r="P1650" s="2" t="s">
        <v>4699</v>
      </c>
    </row>
    <row r="1651" spans="1:16" x14ac:dyDescent="0.25">
      <c r="A1651" s="2" t="s">
        <v>4700</v>
      </c>
      <c r="B1651" s="2" t="s">
        <v>199</v>
      </c>
      <c r="C1651" s="8">
        <v>46226</v>
      </c>
      <c r="D1651" s="6">
        <v>46204</v>
      </c>
      <c r="E1651" s="2" t="s">
        <v>260</v>
      </c>
      <c r="F1651" s="2" t="s">
        <v>4701</v>
      </c>
      <c r="G1651" s="6">
        <v>46174</v>
      </c>
      <c r="H1651" s="2" t="s">
        <v>71</v>
      </c>
      <c r="I1651" s="2" t="s">
        <v>76</v>
      </c>
      <c r="J1651" s="9">
        <v>28471200</v>
      </c>
      <c r="K1651" s="7">
        <v>6.2000000000000003E-5</v>
      </c>
      <c r="L1651" s="9">
        <v>1765.21</v>
      </c>
      <c r="M1651" s="9">
        <v>1779.45</v>
      </c>
      <c r="N1651" s="9">
        <v>1.8</v>
      </c>
      <c r="O1651" s="10">
        <f>IF(AND(OR(H1651="APPROVED",H1651="SCHEDULED"),COUNTIFS(tblSource[EventID],F1651,tblSource[ReleaseStatus],"APPROVED")=1,COUNTIFS(Period_Status!$A$2:$A$8,G1651,Period_Status!$B$2:$B$8,"ActualClosed")=1,C1651&gt;EOMONTH(Settlement_Bridge!$C$2,0)),1,0)</f>
        <v>0</v>
      </c>
      <c r="P1651" s="2" t="s">
        <v>4702</v>
      </c>
    </row>
    <row r="1652" spans="1:16" x14ac:dyDescent="0.25">
      <c r="A1652" s="2" t="s">
        <v>4703</v>
      </c>
      <c r="B1652" s="2" t="s">
        <v>199</v>
      </c>
      <c r="C1652" s="8">
        <v>46227</v>
      </c>
      <c r="D1652" s="6">
        <v>46204</v>
      </c>
      <c r="E1652" s="2" t="s">
        <v>260</v>
      </c>
      <c r="F1652" s="2" t="s">
        <v>4704</v>
      </c>
      <c r="G1652" s="6">
        <v>46174</v>
      </c>
      <c r="H1652" s="2" t="s">
        <v>71</v>
      </c>
      <c r="I1652" s="2" t="s">
        <v>70</v>
      </c>
      <c r="J1652" s="9">
        <v>2936.0300750000001</v>
      </c>
      <c r="K1652" s="7">
        <v>0.65800000000000003</v>
      </c>
      <c r="L1652" s="9">
        <v>1931.91</v>
      </c>
      <c r="M1652" s="9">
        <v>1952.46</v>
      </c>
      <c r="N1652" s="9">
        <v>1.8</v>
      </c>
      <c r="O1652" s="10">
        <f>IF(AND(OR(H1652="APPROVED",H1652="SCHEDULED"),COUNTIFS(tblSource[EventID],F1652,tblSource[ReleaseStatus],"APPROVED")=1,COUNTIFS(Period_Status!$A$2:$A$8,G1652,Period_Status!$B$2:$B$8,"ActualClosed")=1,C1652&gt;EOMONTH(Settlement_Bridge!$C$2,0)),1,0)</f>
        <v>0</v>
      </c>
      <c r="P1652" s="2" t="s">
        <v>4705</v>
      </c>
    </row>
    <row r="1653" spans="1:16" x14ac:dyDescent="0.25">
      <c r="A1653" s="2" t="s">
        <v>4706</v>
      </c>
      <c r="B1653" s="2" t="s">
        <v>199</v>
      </c>
      <c r="C1653" s="8">
        <v>46198</v>
      </c>
      <c r="D1653" s="6">
        <v>46174</v>
      </c>
      <c r="E1653" s="2" t="s">
        <v>260</v>
      </c>
      <c r="F1653" s="2" t="s">
        <v>4707</v>
      </c>
      <c r="G1653" s="6">
        <v>46174</v>
      </c>
      <c r="H1653" s="2" t="s">
        <v>71</v>
      </c>
      <c r="I1653" s="2" t="s">
        <v>39</v>
      </c>
      <c r="J1653" s="9">
        <v>2125.4699999999998</v>
      </c>
      <c r="K1653" s="7">
        <v>1</v>
      </c>
      <c r="L1653" s="9">
        <v>2125.4699999999998</v>
      </c>
      <c r="M1653" s="9">
        <v>2125.4699999999998</v>
      </c>
      <c r="N1653" s="9">
        <v>1.8</v>
      </c>
      <c r="O1653" s="10">
        <f>IF(AND(OR(H1653="APPROVED",H1653="SCHEDULED"),COUNTIFS(tblSource[EventID],F1653,tblSource[ReleaseStatus],"APPROVED")=1,COUNTIFS(Period_Status!$A$2:$A$8,G1653,Period_Status!$B$2:$B$8,"ActualClosed")=1,C1653&gt;EOMONTH(Settlement_Bridge!$C$2,0)),1,0)</f>
        <v>0</v>
      </c>
      <c r="P1653" s="2" t="s">
        <v>4708</v>
      </c>
    </row>
    <row r="1654" spans="1:16" x14ac:dyDescent="0.25">
      <c r="A1654" s="2" t="s">
        <v>4709</v>
      </c>
      <c r="B1654" s="2" t="s">
        <v>199</v>
      </c>
      <c r="C1654" s="8">
        <v>46199</v>
      </c>
      <c r="D1654" s="6">
        <v>46174</v>
      </c>
      <c r="E1654" s="2" t="s">
        <v>260</v>
      </c>
      <c r="F1654" s="2" t="s">
        <v>4710</v>
      </c>
      <c r="G1654" s="6">
        <v>46174</v>
      </c>
      <c r="H1654" s="2" t="s">
        <v>71</v>
      </c>
      <c r="I1654" s="2" t="s">
        <v>76</v>
      </c>
      <c r="J1654" s="9">
        <v>36775680</v>
      </c>
      <c r="K1654" s="7">
        <v>6.2500000000000001E-5</v>
      </c>
      <c r="L1654" s="9">
        <v>2298.48</v>
      </c>
      <c r="M1654" s="9">
        <v>2298.48</v>
      </c>
      <c r="N1654" s="9">
        <v>1.8</v>
      </c>
      <c r="O1654" s="10">
        <f>IF(AND(OR(H1654="APPROVED",H1654="SCHEDULED"),COUNTIFS(tblSource[EventID],F1654,tblSource[ReleaseStatus],"APPROVED")=1,COUNTIFS(Period_Status!$A$2:$A$8,G1654,Period_Status!$B$2:$B$8,"ActualClosed")=1,C1654&gt;EOMONTH(Settlement_Bridge!$C$2,0)),1,0)</f>
        <v>0</v>
      </c>
      <c r="P1654" s="2" t="s">
        <v>4711</v>
      </c>
    </row>
    <row r="1655" spans="1:16" x14ac:dyDescent="0.25">
      <c r="A1655" s="2" t="s">
        <v>4712</v>
      </c>
      <c r="B1655" s="2" t="s">
        <v>199</v>
      </c>
      <c r="C1655" s="8">
        <v>46200</v>
      </c>
      <c r="D1655" s="6">
        <v>46174</v>
      </c>
      <c r="E1655" s="2" t="s">
        <v>260</v>
      </c>
      <c r="F1655" s="2" t="s">
        <v>4713</v>
      </c>
      <c r="G1655" s="6">
        <v>46174</v>
      </c>
      <c r="H1655" s="2" t="s">
        <v>71</v>
      </c>
      <c r="I1655" s="2" t="s">
        <v>70</v>
      </c>
      <c r="J1655" s="9">
        <v>3716.526316</v>
      </c>
      <c r="K1655" s="7">
        <v>0.66500000000000004</v>
      </c>
      <c r="L1655" s="9">
        <v>2471.4899999999998</v>
      </c>
      <c r="M1655" s="9">
        <v>2471.4899999999998</v>
      </c>
      <c r="N1655" s="9">
        <v>1.8</v>
      </c>
      <c r="O1655" s="10">
        <f>IF(AND(OR(H1655="APPROVED",H1655="SCHEDULED"),COUNTIFS(tblSource[EventID],F1655,tblSource[ReleaseStatus],"APPROVED")=1,COUNTIFS(Period_Status!$A$2:$A$8,G1655,Period_Status!$B$2:$B$8,"ActualClosed")=1,C1655&gt;EOMONTH(Settlement_Bridge!$C$2,0)),1,0)</f>
        <v>0</v>
      </c>
      <c r="P1655" s="2" t="s">
        <v>4714</v>
      </c>
    </row>
    <row r="1656" spans="1:16" x14ac:dyDescent="0.25">
      <c r="A1656" s="2" t="s">
        <v>4715</v>
      </c>
      <c r="B1656" s="2" t="s">
        <v>199</v>
      </c>
      <c r="C1656" s="8">
        <v>46191</v>
      </c>
      <c r="D1656" s="6">
        <v>46174</v>
      </c>
      <c r="E1656" s="2" t="s">
        <v>260</v>
      </c>
      <c r="F1656" s="2" t="s">
        <v>4716</v>
      </c>
      <c r="G1656" s="6">
        <v>46174</v>
      </c>
      <c r="H1656" s="2" t="s">
        <v>71</v>
      </c>
      <c r="I1656" s="2" t="s">
        <v>39</v>
      </c>
      <c r="J1656" s="9">
        <v>1057.8</v>
      </c>
      <c r="K1656" s="7">
        <v>1</v>
      </c>
      <c r="L1656" s="9">
        <v>1057.8</v>
      </c>
      <c r="M1656" s="9">
        <v>1057.8</v>
      </c>
      <c r="N1656" s="9">
        <v>1.8</v>
      </c>
      <c r="O1656" s="10">
        <f>IF(AND(OR(H1656="APPROVED",H1656="SCHEDULED"),COUNTIFS(tblSource[EventID],F1656,tblSource[ReleaseStatus],"APPROVED")=1,COUNTIFS(Period_Status!$A$2:$A$8,G1656,Period_Status!$B$2:$B$8,"ActualClosed")=1,C1656&gt;EOMONTH(Settlement_Bridge!$C$2,0)),1,0)</f>
        <v>0</v>
      </c>
      <c r="P1656" s="2" t="s">
        <v>4717</v>
      </c>
    </row>
    <row r="1657" spans="1:16" x14ac:dyDescent="0.25">
      <c r="A1657" s="2" t="s">
        <v>4718</v>
      </c>
      <c r="B1657" s="2" t="s">
        <v>199</v>
      </c>
      <c r="C1657" s="8">
        <v>46216</v>
      </c>
      <c r="D1657" s="6">
        <v>46204</v>
      </c>
      <c r="E1657" s="2" t="s">
        <v>260</v>
      </c>
      <c r="F1657" s="2" t="s">
        <v>4716</v>
      </c>
      <c r="G1657" s="6">
        <v>46174</v>
      </c>
      <c r="H1657" s="2" t="s">
        <v>71</v>
      </c>
      <c r="I1657" s="2" t="s">
        <v>39</v>
      </c>
      <c r="J1657" s="9">
        <v>1586.7</v>
      </c>
      <c r="K1657" s="7">
        <v>1</v>
      </c>
      <c r="L1657" s="9">
        <v>1586.7</v>
      </c>
      <c r="M1657" s="9">
        <v>1586.7</v>
      </c>
      <c r="N1657" s="9">
        <v>1.8</v>
      </c>
      <c r="O1657" s="10">
        <f>IF(AND(OR(H1657="APPROVED",H1657="SCHEDULED"),COUNTIFS(tblSource[EventID],F1657,tblSource[ReleaseStatus],"APPROVED")=1,COUNTIFS(Period_Status!$A$2:$A$8,G1657,Period_Status!$B$2:$B$8,"ActualClosed")=1,C1657&gt;EOMONTH(Settlement_Bridge!$C$2,0)),1,0)</f>
        <v>0</v>
      </c>
      <c r="P1657" s="2" t="s">
        <v>4719</v>
      </c>
    </row>
    <row r="1658" spans="1:16" x14ac:dyDescent="0.25">
      <c r="A1658" s="2" t="s">
        <v>4720</v>
      </c>
      <c r="B1658" s="2" t="s">
        <v>199</v>
      </c>
      <c r="C1658" s="8">
        <v>46192</v>
      </c>
      <c r="D1658" s="6">
        <v>46174</v>
      </c>
      <c r="E1658" s="2" t="s">
        <v>260</v>
      </c>
      <c r="F1658" s="2" t="s">
        <v>4721</v>
      </c>
      <c r="G1658" s="6">
        <v>46174</v>
      </c>
      <c r="H1658" s="2" t="s">
        <v>71</v>
      </c>
      <c r="I1658" s="2" t="s">
        <v>76</v>
      </c>
      <c r="J1658" s="9">
        <v>18032064</v>
      </c>
      <c r="K1658" s="7">
        <v>6.2500000000000001E-5</v>
      </c>
      <c r="L1658" s="9">
        <v>1127</v>
      </c>
      <c r="M1658" s="9">
        <v>1127</v>
      </c>
      <c r="N1658" s="9">
        <v>1.8</v>
      </c>
      <c r="O1658" s="10">
        <f>IF(AND(OR(H1658="APPROVED",H1658="SCHEDULED"),COUNTIFS(tblSource[EventID],F1658,tblSource[ReleaseStatus],"APPROVED")=1,COUNTIFS(Period_Status!$A$2:$A$8,G1658,Period_Status!$B$2:$B$8,"ActualClosed")=1,C1658&gt;EOMONTH(Settlement_Bridge!$C$2,0)),1,0)</f>
        <v>0</v>
      </c>
      <c r="P1658" s="2" t="s">
        <v>4722</v>
      </c>
    </row>
    <row r="1659" spans="1:16" x14ac:dyDescent="0.25">
      <c r="A1659" s="2" t="s">
        <v>4723</v>
      </c>
      <c r="B1659" s="2" t="s">
        <v>199</v>
      </c>
      <c r="C1659" s="8">
        <v>46217</v>
      </c>
      <c r="D1659" s="6">
        <v>46204</v>
      </c>
      <c r="E1659" s="2" t="s">
        <v>260</v>
      </c>
      <c r="F1659" s="2" t="s">
        <v>4721</v>
      </c>
      <c r="G1659" s="6">
        <v>46174</v>
      </c>
      <c r="H1659" s="2" t="s">
        <v>71</v>
      </c>
      <c r="I1659" s="2" t="s">
        <v>76</v>
      </c>
      <c r="J1659" s="9">
        <v>27048096</v>
      </c>
      <c r="K1659" s="7">
        <v>6.2000000000000003E-5</v>
      </c>
      <c r="L1659" s="9">
        <v>1676.98</v>
      </c>
      <c r="M1659" s="9">
        <v>1690.51</v>
      </c>
      <c r="N1659" s="9">
        <v>1.8</v>
      </c>
      <c r="O1659" s="10">
        <f>IF(AND(OR(H1659="APPROVED",H1659="SCHEDULED"),COUNTIFS(tblSource[EventID],F1659,tblSource[ReleaseStatus],"APPROVED")=1,COUNTIFS(Period_Status!$A$2:$A$8,G1659,Period_Status!$B$2:$B$8,"ActualClosed")=1,C1659&gt;EOMONTH(Settlement_Bridge!$C$2,0)),1,0)</f>
        <v>0</v>
      </c>
      <c r="P1659" s="2" t="s">
        <v>4724</v>
      </c>
    </row>
    <row r="1660" spans="1:16" x14ac:dyDescent="0.25">
      <c r="A1660" s="2" t="s">
        <v>4725</v>
      </c>
      <c r="B1660" s="2" t="s">
        <v>199</v>
      </c>
      <c r="C1660" s="8">
        <v>46203</v>
      </c>
      <c r="D1660" s="6">
        <v>46174</v>
      </c>
      <c r="E1660" s="2" t="s">
        <v>260</v>
      </c>
      <c r="F1660" s="2" t="s">
        <v>4726</v>
      </c>
      <c r="G1660" s="6">
        <v>46174</v>
      </c>
      <c r="H1660" s="2" t="s">
        <v>71</v>
      </c>
      <c r="I1660" s="2" t="s">
        <v>70</v>
      </c>
      <c r="J1660" s="9">
        <v>-4497.0225559999999</v>
      </c>
      <c r="K1660" s="7">
        <v>0.66500000000000004</v>
      </c>
      <c r="L1660" s="9">
        <v>-2990.52</v>
      </c>
      <c r="M1660" s="9">
        <v>-2990.52</v>
      </c>
      <c r="N1660" s="9">
        <v>0</v>
      </c>
      <c r="O1660" s="10">
        <f>IF(AND(OR(H1660="APPROVED",H1660="SCHEDULED"),COUNTIFS(tblSource[EventID],F1660,tblSource[ReleaseStatus],"APPROVED")=1,COUNTIFS(Period_Status!$A$2:$A$8,G1660,Period_Status!$B$2:$B$8,"ActualClosed")=1,C1660&gt;EOMONTH(Settlement_Bridge!$C$2,0)),1,0)</f>
        <v>0</v>
      </c>
      <c r="P1660" s="2" t="s">
        <v>4727</v>
      </c>
    </row>
    <row r="1661" spans="1:16" x14ac:dyDescent="0.25">
      <c r="A1661" s="2" t="s">
        <v>4728</v>
      </c>
      <c r="B1661" s="2" t="s">
        <v>199</v>
      </c>
      <c r="C1661" s="8">
        <v>46204</v>
      </c>
      <c r="D1661" s="6">
        <v>46204</v>
      </c>
      <c r="E1661" s="2" t="s">
        <v>260</v>
      </c>
      <c r="F1661" s="2" t="s">
        <v>4729</v>
      </c>
      <c r="G1661" s="6">
        <v>46174</v>
      </c>
      <c r="H1661" s="2" t="s">
        <v>71</v>
      </c>
      <c r="I1661" s="2" t="s">
        <v>39</v>
      </c>
      <c r="J1661" s="9">
        <v>3163.53</v>
      </c>
      <c r="K1661" s="7">
        <v>1</v>
      </c>
      <c r="L1661" s="9">
        <v>3163.53</v>
      </c>
      <c r="M1661" s="9">
        <v>3163.53</v>
      </c>
      <c r="N1661" s="9">
        <v>1.8</v>
      </c>
      <c r="O1661" s="10">
        <f>IF(AND(OR(H1661="APPROVED",H1661="SCHEDULED"),COUNTIFS(tblSource[EventID],F1661,tblSource[ReleaseStatus],"APPROVED")=1,COUNTIFS(Period_Status!$A$2:$A$8,G1661,Period_Status!$B$2:$B$8,"ActualClosed")=1,C1661&gt;EOMONTH(Settlement_Bridge!$C$2,0)),1,0)</f>
        <v>0</v>
      </c>
      <c r="P1661" s="2" t="s">
        <v>4730</v>
      </c>
    </row>
    <row r="1662" spans="1:16" x14ac:dyDescent="0.25">
      <c r="A1662" s="2" t="s">
        <v>4731</v>
      </c>
      <c r="B1662" s="2" t="s">
        <v>199</v>
      </c>
      <c r="C1662" s="8">
        <v>46195</v>
      </c>
      <c r="D1662" s="6">
        <v>46174</v>
      </c>
      <c r="E1662" s="2" t="s">
        <v>260</v>
      </c>
      <c r="F1662" s="2" t="s">
        <v>4732</v>
      </c>
      <c r="G1662" s="6">
        <v>46174</v>
      </c>
      <c r="H1662" s="2" t="s">
        <v>71</v>
      </c>
      <c r="I1662" s="2" t="s">
        <v>76</v>
      </c>
      <c r="J1662" s="9">
        <v>21353856</v>
      </c>
      <c r="K1662" s="7">
        <v>6.2500000000000001E-5</v>
      </c>
      <c r="L1662" s="9">
        <v>1334.62</v>
      </c>
      <c r="M1662" s="9">
        <v>1334.62</v>
      </c>
      <c r="N1662" s="9">
        <v>1.8</v>
      </c>
      <c r="O1662" s="10">
        <f>IF(AND(OR(H1662="APPROVED",H1662="SCHEDULED"),COUNTIFS(tblSource[EventID],F1662,tblSource[ReleaseStatus],"APPROVED")=1,COUNTIFS(Period_Status!$A$2:$A$8,G1662,Period_Status!$B$2:$B$8,"ActualClosed")=1,C1662&gt;EOMONTH(Settlement_Bridge!$C$2,0)),1,0)</f>
        <v>0</v>
      </c>
      <c r="P1662" s="2" t="s">
        <v>4733</v>
      </c>
    </row>
    <row r="1663" spans="1:16" x14ac:dyDescent="0.25">
      <c r="A1663" s="2" t="s">
        <v>4734</v>
      </c>
      <c r="B1663" s="2" t="s">
        <v>199</v>
      </c>
      <c r="C1663" s="8">
        <v>46220</v>
      </c>
      <c r="D1663" s="6">
        <v>46204</v>
      </c>
      <c r="E1663" s="2" t="s">
        <v>260</v>
      </c>
      <c r="F1663" s="2" t="s">
        <v>4732</v>
      </c>
      <c r="G1663" s="6">
        <v>46174</v>
      </c>
      <c r="H1663" s="2" t="s">
        <v>71</v>
      </c>
      <c r="I1663" s="2" t="s">
        <v>76</v>
      </c>
      <c r="J1663" s="9">
        <v>32030784</v>
      </c>
      <c r="K1663" s="7">
        <v>6.2000000000000003E-5</v>
      </c>
      <c r="L1663" s="9">
        <v>1985.91</v>
      </c>
      <c r="M1663" s="9">
        <v>2001.92</v>
      </c>
      <c r="N1663" s="9">
        <v>1.8</v>
      </c>
      <c r="O1663" s="10">
        <f>IF(AND(OR(H1663="APPROVED",H1663="SCHEDULED"),COUNTIFS(tblSource[EventID],F1663,tblSource[ReleaseStatus],"APPROVED")=1,COUNTIFS(Period_Status!$A$2:$A$8,G1663,Period_Status!$B$2:$B$8,"ActualClosed")=1,C1663&gt;EOMONTH(Settlement_Bridge!$C$2,0)),1,0)</f>
        <v>0</v>
      </c>
      <c r="P1663" s="2" t="s">
        <v>4735</v>
      </c>
    </row>
    <row r="1664" spans="1:16" x14ac:dyDescent="0.25">
      <c r="A1664" s="2" t="s">
        <v>4736</v>
      </c>
      <c r="B1664" s="2" t="s">
        <v>199</v>
      </c>
      <c r="C1664" s="8">
        <v>46206</v>
      </c>
      <c r="D1664" s="6">
        <v>46204</v>
      </c>
      <c r="E1664" s="2" t="s">
        <v>260</v>
      </c>
      <c r="F1664" s="2" t="s">
        <v>4737</v>
      </c>
      <c r="G1664" s="6">
        <v>46174</v>
      </c>
      <c r="H1664" s="2" t="s">
        <v>71</v>
      </c>
      <c r="I1664" s="2" t="s">
        <v>70</v>
      </c>
      <c r="J1664" s="9">
        <v>5277.5187969999997</v>
      </c>
      <c r="K1664" s="7">
        <v>0.65800000000000003</v>
      </c>
      <c r="L1664" s="9">
        <v>3472.61</v>
      </c>
      <c r="M1664" s="9">
        <v>3509.55</v>
      </c>
      <c r="N1664" s="9">
        <v>1.91</v>
      </c>
      <c r="O1664" s="10">
        <f>IF(AND(OR(H1664="APPROVED",H1664="SCHEDULED"),COUNTIFS(tblSource[EventID],F1664,tblSource[ReleaseStatus],"APPROVED")=1,COUNTIFS(Period_Status!$A$2:$A$8,G1664,Period_Status!$B$2:$B$8,"ActualClosed")=1,C1664&gt;EOMONTH(Settlement_Bridge!$C$2,0)),1,0)</f>
        <v>0</v>
      </c>
      <c r="P1664" s="2" t="s">
        <v>4738</v>
      </c>
    </row>
    <row r="1665" spans="1:16" x14ac:dyDescent="0.25">
      <c r="A1665" s="2" t="s">
        <v>4739</v>
      </c>
      <c r="B1665" s="2" t="s">
        <v>199</v>
      </c>
      <c r="C1665" s="8">
        <v>46207</v>
      </c>
      <c r="D1665" s="6">
        <v>46204</v>
      </c>
      <c r="E1665" s="2" t="s">
        <v>260</v>
      </c>
      <c r="F1665" s="2" t="s">
        <v>4740</v>
      </c>
      <c r="G1665" s="6">
        <v>46174</v>
      </c>
      <c r="H1665" s="2" t="s">
        <v>71</v>
      </c>
      <c r="I1665" s="2" t="s">
        <v>39</v>
      </c>
      <c r="J1665" s="9">
        <v>3682.56</v>
      </c>
      <c r="K1665" s="7">
        <v>1</v>
      </c>
      <c r="L1665" s="9">
        <v>3682.56</v>
      </c>
      <c r="M1665" s="9">
        <v>3682.56</v>
      </c>
      <c r="N1665" s="9">
        <v>2.0299999999999998</v>
      </c>
      <c r="O1665" s="10">
        <f>IF(AND(OR(H1665="APPROVED",H1665="SCHEDULED"),COUNTIFS(tblSource[EventID],F1665,tblSource[ReleaseStatus],"APPROVED")=1,COUNTIFS(Period_Status!$A$2:$A$8,G1665,Period_Status!$B$2:$B$8,"ActualClosed")=1,C1665&gt;EOMONTH(Settlement_Bridge!$C$2,0)),1,0)</f>
        <v>0</v>
      </c>
      <c r="P1665" s="2" t="s">
        <v>4741</v>
      </c>
    </row>
    <row r="1666" spans="1:16" x14ac:dyDescent="0.25">
      <c r="A1666" s="2" t="s">
        <v>4742</v>
      </c>
      <c r="B1666" s="2" t="s">
        <v>199</v>
      </c>
      <c r="C1666" s="8">
        <v>46208</v>
      </c>
      <c r="D1666" s="6">
        <v>46204</v>
      </c>
      <c r="E1666" s="2" t="s">
        <v>260</v>
      </c>
      <c r="F1666" s="2" t="s">
        <v>4743</v>
      </c>
      <c r="G1666" s="6">
        <v>46174</v>
      </c>
      <c r="H1666" s="2" t="s">
        <v>71</v>
      </c>
      <c r="I1666" s="2" t="s">
        <v>76</v>
      </c>
      <c r="J1666" s="9">
        <v>61689120</v>
      </c>
      <c r="K1666" s="7">
        <v>6.2000000000000003E-5</v>
      </c>
      <c r="L1666" s="9">
        <v>3824.73</v>
      </c>
      <c r="M1666" s="9">
        <v>3855.57</v>
      </c>
      <c r="N1666" s="9">
        <v>2.1</v>
      </c>
      <c r="O1666" s="10">
        <f>IF(AND(OR(H1666="APPROVED",H1666="SCHEDULED"),COUNTIFS(tblSource[EventID],F1666,tblSource[ReleaseStatus],"APPROVED")=1,COUNTIFS(Period_Status!$A$2:$A$8,G1666,Period_Status!$B$2:$B$8,"ActualClosed")=1,C1666&gt;EOMONTH(Settlement_Bridge!$C$2,0)),1,0)</f>
        <v>0</v>
      </c>
      <c r="P1666" s="2" t="s">
        <v>4744</v>
      </c>
    </row>
    <row r="1667" spans="1:16" x14ac:dyDescent="0.25">
      <c r="A1667" s="2" t="s">
        <v>4745</v>
      </c>
      <c r="B1667" s="2" t="s">
        <v>199</v>
      </c>
      <c r="C1667" s="8">
        <v>46209</v>
      </c>
      <c r="D1667" s="6">
        <v>46204</v>
      </c>
      <c r="E1667" s="2" t="s">
        <v>260</v>
      </c>
      <c r="F1667" s="2" t="s">
        <v>4746</v>
      </c>
      <c r="G1667" s="6">
        <v>46174</v>
      </c>
      <c r="H1667" s="2" t="s">
        <v>71</v>
      </c>
      <c r="I1667" s="2" t="s">
        <v>70</v>
      </c>
      <c r="J1667" s="9">
        <v>6058.0150379999995</v>
      </c>
      <c r="K1667" s="7">
        <v>0.65800000000000003</v>
      </c>
      <c r="L1667" s="9">
        <v>3986.17</v>
      </c>
      <c r="M1667" s="9">
        <v>4028.58</v>
      </c>
      <c r="N1667" s="9">
        <v>2.19</v>
      </c>
      <c r="O1667" s="10">
        <f>IF(AND(OR(H1667="APPROVED",H1667="SCHEDULED"),COUNTIFS(tblSource[EventID],F1667,tblSource[ReleaseStatus],"APPROVED")=1,COUNTIFS(Period_Status!$A$2:$A$8,G1667,Period_Status!$B$2:$B$8,"ActualClosed")=1,C1667&gt;EOMONTH(Settlement_Bridge!$C$2,0)),1,0)</f>
        <v>0</v>
      </c>
      <c r="P1667" s="2" t="s">
        <v>4747</v>
      </c>
    </row>
    <row r="1668" spans="1:16" x14ac:dyDescent="0.25">
      <c r="A1668" s="2" t="s">
        <v>4748</v>
      </c>
      <c r="B1668" s="2" t="s">
        <v>199</v>
      </c>
      <c r="C1668" s="8">
        <v>46210</v>
      </c>
      <c r="D1668" s="6">
        <v>46204</v>
      </c>
      <c r="E1668" s="2" t="s">
        <v>260</v>
      </c>
      <c r="F1668" s="2" t="s">
        <v>4749</v>
      </c>
      <c r="G1668" s="6">
        <v>46174</v>
      </c>
      <c r="H1668" s="2" t="s">
        <v>71</v>
      </c>
      <c r="I1668" s="2" t="s">
        <v>39</v>
      </c>
      <c r="J1668" s="9">
        <v>4201.59</v>
      </c>
      <c r="K1668" s="7">
        <v>1</v>
      </c>
      <c r="L1668" s="9">
        <v>4201.59</v>
      </c>
      <c r="M1668" s="9">
        <v>4201.59</v>
      </c>
      <c r="N1668" s="9">
        <v>2.31</v>
      </c>
      <c r="O1668" s="10">
        <f>IF(AND(OR(H1668="APPROVED",H1668="SCHEDULED"),COUNTIFS(tblSource[EventID],F1668,tblSource[ReleaseStatus],"APPROVED")=1,COUNTIFS(Period_Status!$A$2:$A$8,G1668,Period_Status!$B$2:$B$8,"ActualClosed")=1,C1668&gt;EOMONTH(Settlement_Bridge!$C$2,0)),1,0)</f>
        <v>0</v>
      </c>
      <c r="P1668" s="2" t="s">
        <v>4750</v>
      </c>
    </row>
    <row r="1669" spans="1:16" x14ac:dyDescent="0.25">
      <c r="A1669" s="2" t="s">
        <v>4751</v>
      </c>
      <c r="B1669" s="2" t="s">
        <v>199</v>
      </c>
      <c r="C1669" s="8">
        <v>46201</v>
      </c>
      <c r="D1669" s="6">
        <v>46174</v>
      </c>
      <c r="E1669" s="2" t="s">
        <v>260</v>
      </c>
      <c r="F1669" s="2" t="s">
        <v>4752</v>
      </c>
      <c r="G1669" s="6">
        <v>46174</v>
      </c>
      <c r="H1669" s="2" t="s">
        <v>71</v>
      </c>
      <c r="I1669" s="2" t="s">
        <v>76</v>
      </c>
      <c r="J1669" s="9">
        <v>27997440</v>
      </c>
      <c r="K1669" s="7">
        <v>6.2500000000000001E-5</v>
      </c>
      <c r="L1669" s="9">
        <v>1749.84</v>
      </c>
      <c r="M1669" s="9">
        <v>1749.84</v>
      </c>
      <c r="N1669" s="9">
        <v>1.8</v>
      </c>
      <c r="O1669" s="10">
        <f>IF(AND(OR(H1669="APPROVED",H1669="SCHEDULED"),COUNTIFS(tblSource[EventID],F1669,tblSource[ReleaseStatus],"APPROVED")=1,COUNTIFS(Period_Status!$A$2:$A$8,G1669,Period_Status!$B$2:$B$8,"ActualClosed")=1,C1669&gt;EOMONTH(Settlement_Bridge!$C$2,0)),1,0)</f>
        <v>0</v>
      </c>
      <c r="P1669" s="2" t="s">
        <v>4753</v>
      </c>
    </row>
    <row r="1670" spans="1:16" x14ac:dyDescent="0.25">
      <c r="A1670" s="2" t="s">
        <v>4754</v>
      </c>
      <c r="B1670" s="2" t="s">
        <v>199</v>
      </c>
      <c r="C1670" s="8">
        <v>46226</v>
      </c>
      <c r="D1670" s="6">
        <v>46204</v>
      </c>
      <c r="E1670" s="2" t="s">
        <v>260</v>
      </c>
      <c r="F1670" s="2" t="s">
        <v>4752</v>
      </c>
      <c r="G1670" s="6">
        <v>46174</v>
      </c>
      <c r="H1670" s="2" t="s">
        <v>71</v>
      </c>
      <c r="I1670" s="2" t="s">
        <v>76</v>
      </c>
      <c r="J1670" s="9">
        <v>41996160</v>
      </c>
      <c r="K1670" s="7">
        <v>6.2000000000000003E-5</v>
      </c>
      <c r="L1670" s="9">
        <v>2603.7600000000002</v>
      </c>
      <c r="M1670" s="9">
        <v>2624.76</v>
      </c>
      <c r="N1670" s="9">
        <v>1.8</v>
      </c>
      <c r="O1670" s="10">
        <f>IF(AND(OR(H1670="APPROVED",H1670="SCHEDULED"),COUNTIFS(tblSource[EventID],F1670,tblSource[ReleaseStatus],"APPROVED")=1,COUNTIFS(Period_Status!$A$2:$A$8,G1670,Period_Status!$B$2:$B$8,"ActualClosed")=1,C1670&gt;EOMONTH(Settlement_Bridge!$C$2,0)),1,0)</f>
        <v>0</v>
      </c>
      <c r="P1670" s="2" t="s">
        <v>4755</v>
      </c>
    </row>
    <row r="1671" spans="1:16" x14ac:dyDescent="0.25">
      <c r="A1671" s="2" t="s">
        <v>4756</v>
      </c>
      <c r="B1671" s="2" t="s">
        <v>199</v>
      </c>
      <c r="C1671" s="8">
        <v>46202</v>
      </c>
      <c r="D1671" s="6">
        <v>46174</v>
      </c>
      <c r="E1671" s="2" t="s">
        <v>260</v>
      </c>
      <c r="F1671" s="2" t="s">
        <v>4757</v>
      </c>
      <c r="G1671" s="6">
        <v>46174</v>
      </c>
      <c r="H1671" s="2" t="s">
        <v>71</v>
      </c>
      <c r="I1671" s="2" t="s">
        <v>70</v>
      </c>
      <c r="J1671" s="9">
        <v>2735.4045110000002</v>
      </c>
      <c r="K1671" s="7">
        <v>0.66500000000000004</v>
      </c>
      <c r="L1671" s="9">
        <v>1819.04</v>
      </c>
      <c r="M1671" s="9">
        <v>1819.04</v>
      </c>
      <c r="N1671" s="9">
        <v>1.8</v>
      </c>
      <c r="O1671" s="10">
        <f>IF(AND(OR(H1671="APPROVED",H1671="SCHEDULED"),COUNTIFS(tblSource[EventID],F1671,tblSource[ReleaseStatus],"APPROVED")=1,COUNTIFS(Period_Status!$A$2:$A$8,G1671,Period_Status!$B$2:$B$8,"ActualClosed")=1,C1671&gt;EOMONTH(Settlement_Bridge!$C$2,0)),1,0)</f>
        <v>0</v>
      </c>
      <c r="P1671" s="2" t="s">
        <v>4758</v>
      </c>
    </row>
    <row r="1672" spans="1:16" x14ac:dyDescent="0.25">
      <c r="A1672" s="2" t="s">
        <v>4759</v>
      </c>
      <c r="B1672" s="2" t="s">
        <v>199</v>
      </c>
      <c r="C1672" s="8">
        <v>46227</v>
      </c>
      <c r="D1672" s="6">
        <v>46204</v>
      </c>
      <c r="E1672" s="2" t="s">
        <v>260</v>
      </c>
      <c r="F1672" s="2" t="s">
        <v>4757</v>
      </c>
      <c r="G1672" s="6">
        <v>46174</v>
      </c>
      <c r="H1672" s="2" t="s">
        <v>71</v>
      </c>
      <c r="I1672" s="2" t="s">
        <v>70</v>
      </c>
      <c r="J1672" s="9">
        <v>4103.1067670000002</v>
      </c>
      <c r="K1672" s="7">
        <v>0.65800000000000003</v>
      </c>
      <c r="L1672" s="9">
        <v>2699.84</v>
      </c>
      <c r="M1672" s="9">
        <v>2728.57</v>
      </c>
      <c r="N1672" s="9">
        <v>1.8</v>
      </c>
      <c r="O1672" s="10">
        <f>IF(AND(OR(H1672="APPROVED",H1672="SCHEDULED"),COUNTIFS(tblSource[EventID],F1672,tblSource[ReleaseStatus],"APPROVED")=1,COUNTIFS(Period_Status!$A$2:$A$8,G1672,Period_Status!$B$2:$B$8,"ActualClosed")=1,C1672&gt;EOMONTH(Settlement_Bridge!$C$2,0)),1,0)</f>
        <v>0</v>
      </c>
      <c r="P1672" s="2" t="s">
        <v>4760</v>
      </c>
    </row>
    <row r="1673" spans="1:16" x14ac:dyDescent="0.25">
      <c r="A1673" s="2" t="s">
        <v>4761</v>
      </c>
      <c r="B1673" s="2" t="s">
        <v>199</v>
      </c>
      <c r="C1673" s="8">
        <v>46213</v>
      </c>
      <c r="D1673" s="6">
        <v>46204</v>
      </c>
      <c r="E1673" s="2" t="s">
        <v>260</v>
      </c>
      <c r="F1673" s="2" t="s">
        <v>4762</v>
      </c>
      <c r="G1673" s="6">
        <v>46174</v>
      </c>
      <c r="H1673" s="2" t="s">
        <v>71</v>
      </c>
      <c r="I1673" s="2" t="s">
        <v>39</v>
      </c>
      <c r="J1673" s="9">
        <v>4720.62</v>
      </c>
      <c r="K1673" s="7">
        <v>1</v>
      </c>
      <c r="L1673" s="9">
        <v>4720.62</v>
      </c>
      <c r="M1673" s="9">
        <v>4720.62</v>
      </c>
      <c r="N1673" s="9">
        <v>2.6</v>
      </c>
      <c r="O1673" s="10">
        <f>IF(AND(OR(H1673="APPROVED",H1673="SCHEDULED"),COUNTIFS(tblSource[EventID],F1673,tblSource[ReleaseStatus],"APPROVED")=1,COUNTIFS(Period_Status!$A$2:$A$8,G1673,Period_Status!$B$2:$B$8,"ActualClosed")=1,C1673&gt;EOMONTH(Settlement_Bridge!$C$2,0)),1,0)</f>
        <v>0</v>
      </c>
      <c r="P1673" s="2" t="s">
        <v>4763</v>
      </c>
    </row>
    <row r="1674" spans="1:16" x14ac:dyDescent="0.25">
      <c r="A1674" s="2" t="s">
        <v>4764</v>
      </c>
      <c r="B1674" s="2" t="s">
        <v>199</v>
      </c>
      <c r="C1674" s="8">
        <v>46214</v>
      </c>
      <c r="D1674" s="6">
        <v>46204</v>
      </c>
      <c r="E1674" s="2" t="s">
        <v>260</v>
      </c>
      <c r="F1674" s="2" t="s">
        <v>4765</v>
      </c>
      <c r="G1674" s="6">
        <v>46174</v>
      </c>
      <c r="H1674" s="2" t="s">
        <v>71</v>
      </c>
      <c r="I1674" s="2" t="s">
        <v>76</v>
      </c>
      <c r="J1674" s="9">
        <v>78298080</v>
      </c>
      <c r="K1674" s="7">
        <v>6.2000000000000003E-5</v>
      </c>
      <c r="L1674" s="9">
        <v>4854.4799999999996</v>
      </c>
      <c r="M1674" s="9">
        <v>4893.63</v>
      </c>
      <c r="N1674" s="9">
        <v>2.67</v>
      </c>
      <c r="O1674" s="10">
        <f>IF(AND(OR(H1674="APPROVED",H1674="SCHEDULED"),COUNTIFS(tblSource[EventID],F1674,tblSource[ReleaseStatus],"APPROVED")=1,COUNTIFS(Period_Status!$A$2:$A$8,G1674,Period_Status!$B$2:$B$8,"ActualClosed")=1,C1674&gt;EOMONTH(Settlement_Bridge!$C$2,0)),1,0)</f>
        <v>0</v>
      </c>
      <c r="P1674" s="2" t="s">
        <v>4766</v>
      </c>
    </row>
    <row r="1675" spans="1:16" x14ac:dyDescent="0.25">
      <c r="A1675" s="2" t="s">
        <v>4767</v>
      </c>
      <c r="B1675" s="2" t="s">
        <v>199</v>
      </c>
      <c r="C1675" s="8">
        <v>46205</v>
      </c>
      <c r="D1675" s="6">
        <v>46204</v>
      </c>
      <c r="E1675" s="2" t="s">
        <v>260</v>
      </c>
      <c r="F1675" s="2" t="s">
        <v>4768</v>
      </c>
      <c r="G1675" s="6">
        <v>46174</v>
      </c>
      <c r="H1675" s="2" t="s">
        <v>71</v>
      </c>
      <c r="I1675" s="2" t="s">
        <v>70</v>
      </c>
      <c r="J1675" s="9">
        <v>3047.603008</v>
      </c>
      <c r="K1675" s="7">
        <v>0.65800000000000003</v>
      </c>
      <c r="L1675" s="9">
        <v>2005.32</v>
      </c>
      <c r="M1675" s="9">
        <v>2026.66</v>
      </c>
      <c r="N1675" s="9">
        <v>1.8</v>
      </c>
      <c r="O1675" s="10">
        <f>IF(AND(OR(H1675="APPROVED",H1675="SCHEDULED"),COUNTIFS(tblSource[EventID],F1675,tblSource[ReleaseStatus],"APPROVED")=1,COUNTIFS(Period_Status!$A$2:$A$8,G1675,Period_Status!$B$2:$B$8,"ActualClosed")=1,C1675&gt;EOMONTH(Settlement_Bridge!$C$2,0)),1,0)</f>
        <v>0</v>
      </c>
      <c r="P1675" s="2" t="s">
        <v>4769</v>
      </c>
    </row>
    <row r="1676" spans="1:16" x14ac:dyDescent="0.25">
      <c r="A1676" s="2" t="s">
        <v>4770</v>
      </c>
      <c r="B1676" s="2" t="s">
        <v>199</v>
      </c>
      <c r="C1676" s="8">
        <v>46230</v>
      </c>
      <c r="D1676" s="6">
        <v>46204</v>
      </c>
      <c r="E1676" s="2" t="s">
        <v>260</v>
      </c>
      <c r="F1676" s="2" t="s">
        <v>4768</v>
      </c>
      <c r="G1676" s="6">
        <v>46174</v>
      </c>
      <c r="H1676" s="2" t="s">
        <v>71</v>
      </c>
      <c r="I1676" s="2" t="s">
        <v>70</v>
      </c>
      <c r="J1676" s="9">
        <v>4571.4045109999997</v>
      </c>
      <c r="K1676" s="7">
        <v>0.65800000000000003</v>
      </c>
      <c r="L1676" s="9">
        <v>3007.98</v>
      </c>
      <c r="M1676" s="9">
        <v>3039.98</v>
      </c>
      <c r="N1676" s="9">
        <v>1.8</v>
      </c>
      <c r="O1676" s="10">
        <f>IF(AND(OR(H1676="APPROVED",H1676="SCHEDULED"),COUNTIFS(tblSource[EventID],F1676,tblSource[ReleaseStatus],"APPROVED")=1,COUNTIFS(Period_Status!$A$2:$A$8,G1676,Period_Status!$B$2:$B$8,"ActualClosed")=1,C1676&gt;EOMONTH(Settlement_Bridge!$C$2,0)),1,0)</f>
        <v>0</v>
      </c>
      <c r="P1676" s="2" t="s">
        <v>4771</v>
      </c>
    </row>
    <row r="1677" spans="1:16" x14ac:dyDescent="0.25">
      <c r="A1677" s="2" t="s">
        <v>4772</v>
      </c>
      <c r="B1677" s="2" t="s">
        <v>199</v>
      </c>
      <c r="C1677" s="8">
        <v>46216</v>
      </c>
      <c r="D1677" s="6">
        <v>46204</v>
      </c>
      <c r="E1677" s="2" t="s">
        <v>260</v>
      </c>
      <c r="F1677" s="2" t="s">
        <v>4773</v>
      </c>
      <c r="G1677" s="6">
        <v>46174</v>
      </c>
      <c r="H1677" s="2" t="s">
        <v>71</v>
      </c>
      <c r="I1677" s="2" t="s">
        <v>39</v>
      </c>
      <c r="J1677" s="9">
        <v>5239.6499999999996</v>
      </c>
      <c r="K1677" s="7">
        <v>1</v>
      </c>
      <c r="L1677" s="9">
        <v>5239.6499999999996</v>
      </c>
      <c r="M1677" s="9">
        <v>5239.6499999999996</v>
      </c>
      <c r="N1677" s="9">
        <v>2.88</v>
      </c>
      <c r="O1677" s="10">
        <f>IF(AND(OR(H1677="APPROVED",H1677="SCHEDULED"),COUNTIFS(tblSource[EventID],F1677,tblSource[ReleaseStatus],"APPROVED")=1,COUNTIFS(Period_Status!$A$2:$A$8,G1677,Period_Status!$B$2:$B$8,"ActualClosed")=1,C1677&gt;EOMONTH(Settlement_Bridge!$C$2,0)),1,0)</f>
        <v>0</v>
      </c>
      <c r="P1677" s="2" t="s">
        <v>4774</v>
      </c>
    </row>
    <row r="1678" spans="1:16" x14ac:dyDescent="0.25">
      <c r="A1678" s="2" t="s">
        <v>4775</v>
      </c>
      <c r="B1678" s="2" t="s">
        <v>199</v>
      </c>
      <c r="C1678" s="8">
        <v>46217</v>
      </c>
      <c r="D1678" s="6">
        <v>46204</v>
      </c>
      <c r="E1678" s="2" t="s">
        <v>260</v>
      </c>
      <c r="F1678" s="2" t="s">
        <v>4776</v>
      </c>
      <c r="G1678" s="6">
        <v>46174</v>
      </c>
      <c r="H1678" s="2" t="s">
        <v>71</v>
      </c>
      <c r="I1678" s="2" t="s">
        <v>76</v>
      </c>
      <c r="J1678" s="9">
        <v>86602560</v>
      </c>
      <c r="K1678" s="7">
        <v>6.2000000000000003E-5</v>
      </c>
      <c r="L1678" s="9">
        <v>5369.36</v>
      </c>
      <c r="M1678" s="9">
        <v>5412.66</v>
      </c>
      <c r="N1678" s="9">
        <v>2.95</v>
      </c>
      <c r="O1678" s="10">
        <f>IF(AND(OR(H1678="APPROVED",H1678="SCHEDULED"),COUNTIFS(tblSource[EventID],F1678,tblSource[ReleaseStatus],"APPROVED")=1,COUNTIFS(Period_Status!$A$2:$A$8,G1678,Period_Status!$B$2:$B$8,"ActualClosed")=1,C1678&gt;EOMONTH(Settlement_Bridge!$C$2,0)),1,0)</f>
        <v>0</v>
      </c>
      <c r="P1678" s="2" t="s">
        <v>4777</v>
      </c>
    </row>
    <row r="1679" spans="1:16" x14ac:dyDescent="0.25">
      <c r="A1679" s="2" t="s">
        <v>4778</v>
      </c>
      <c r="B1679" s="2" t="s">
        <v>199</v>
      </c>
      <c r="C1679" s="8">
        <v>46218</v>
      </c>
      <c r="D1679" s="6">
        <v>46204</v>
      </c>
      <c r="E1679" s="2" t="s">
        <v>260</v>
      </c>
      <c r="F1679" s="2" t="s">
        <v>4779</v>
      </c>
      <c r="G1679" s="6">
        <v>46174</v>
      </c>
      <c r="H1679" s="2" t="s">
        <v>71</v>
      </c>
      <c r="I1679" s="2" t="s">
        <v>70</v>
      </c>
      <c r="J1679" s="9">
        <v>8399.5037589999993</v>
      </c>
      <c r="K1679" s="7">
        <v>0.65800000000000003</v>
      </c>
      <c r="L1679" s="9">
        <v>5526.87</v>
      </c>
      <c r="M1679" s="9">
        <v>5585.67</v>
      </c>
      <c r="N1679" s="9">
        <v>3.04</v>
      </c>
      <c r="O1679" s="10">
        <f>IF(AND(OR(H1679="APPROVED",H1679="SCHEDULED"),COUNTIFS(tblSource[EventID],F1679,tblSource[ReleaseStatus],"APPROVED")=1,COUNTIFS(Period_Status!$A$2:$A$8,G1679,Period_Status!$B$2:$B$8,"ActualClosed")=1,C1679&gt;EOMONTH(Settlement_Bridge!$C$2,0)),1,0)</f>
        <v>0</v>
      </c>
      <c r="P1679" s="2" t="s">
        <v>4780</v>
      </c>
    </row>
    <row r="1680" spans="1:16" x14ac:dyDescent="0.25">
      <c r="A1680" s="2" t="s">
        <v>4781</v>
      </c>
      <c r="B1680" s="2" t="s">
        <v>199</v>
      </c>
      <c r="C1680" s="8">
        <v>46219</v>
      </c>
      <c r="D1680" s="6">
        <v>46204</v>
      </c>
      <c r="E1680" s="2" t="s">
        <v>260</v>
      </c>
      <c r="F1680" s="2" t="s">
        <v>4782</v>
      </c>
      <c r="G1680" s="6">
        <v>46174</v>
      </c>
      <c r="H1680" s="2" t="s">
        <v>71</v>
      </c>
      <c r="I1680" s="2" t="s">
        <v>39</v>
      </c>
      <c r="J1680" s="9">
        <v>5758.68</v>
      </c>
      <c r="K1680" s="7">
        <v>1</v>
      </c>
      <c r="L1680" s="9">
        <v>5758.68</v>
      </c>
      <c r="M1680" s="9">
        <v>5758.68</v>
      </c>
      <c r="N1680" s="9">
        <v>3.17</v>
      </c>
      <c r="O1680" s="10">
        <f>IF(AND(OR(H1680="APPROVED",H1680="SCHEDULED"),COUNTIFS(tblSource[EventID],F1680,tblSource[ReleaseStatus],"APPROVED")=1,COUNTIFS(Period_Status!$A$2:$A$8,G1680,Period_Status!$B$2:$B$8,"ActualClosed")=1,C1680&gt;EOMONTH(Settlement_Bridge!$C$2,0)),1,0)</f>
        <v>0</v>
      </c>
      <c r="P1680" s="2" t="s">
        <v>4783</v>
      </c>
    </row>
    <row r="1681" spans="1:16" x14ac:dyDescent="0.25">
      <c r="A1681" s="2" t="s">
        <v>4784</v>
      </c>
      <c r="B1681" s="2" t="s">
        <v>199</v>
      </c>
      <c r="C1681" s="8">
        <v>46220</v>
      </c>
      <c r="D1681" s="6">
        <v>46204</v>
      </c>
      <c r="E1681" s="2" t="s">
        <v>260</v>
      </c>
      <c r="F1681" s="2" t="s">
        <v>4785</v>
      </c>
      <c r="G1681" s="6">
        <v>46174</v>
      </c>
      <c r="H1681" s="2" t="s">
        <v>71</v>
      </c>
      <c r="I1681" s="2" t="s">
        <v>76</v>
      </c>
      <c r="J1681" s="9">
        <v>94907040</v>
      </c>
      <c r="K1681" s="7">
        <v>6.2000000000000003E-5</v>
      </c>
      <c r="L1681" s="9">
        <v>5884.24</v>
      </c>
      <c r="M1681" s="9">
        <v>5931.69</v>
      </c>
      <c r="N1681" s="9">
        <v>3.24</v>
      </c>
      <c r="O1681" s="10">
        <f>IF(AND(OR(H1681="APPROVED",H1681="SCHEDULED"),COUNTIFS(tblSource[EventID],F1681,tblSource[ReleaseStatus],"APPROVED")=1,COUNTIFS(Period_Status!$A$2:$A$8,G1681,Period_Status!$B$2:$B$8,"ActualClosed")=1,C1681&gt;EOMONTH(Settlement_Bridge!$C$2,0)),1,0)</f>
        <v>0</v>
      </c>
      <c r="P1681" s="2" t="s">
        <v>4786</v>
      </c>
    </row>
    <row r="1682" spans="1:16" x14ac:dyDescent="0.25">
      <c r="A1682" s="2" t="s">
        <v>4787</v>
      </c>
      <c r="B1682" s="2" t="s">
        <v>199</v>
      </c>
      <c r="C1682" s="8">
        <v>46211</v>
      </c>
      <c r="D1682" s="6">
        <v>46204</v>
      </c>
      <c r="E1682" s="2" t="s">
        <v>260</v>
      </c>
      <c r="F1682" s="2" t="s">
        <v>4788</v>
      </c>
      <c r="G1682" s="6">
        <v>46174</v>
      </c>
      <c r="H1682" s="2" t="s">
        <v>71</v>
      </c>
      <c r="I1682" s="2" t="s">
        <v>70</v>
      </c>
      <c r="J1682" s="9">
        <v>3672</v>
      </c>
      <c r="K1682" s="7">
        <v>0.65800000000000003</v>
      </c>
      <c r="L1682" s="9">
        <v>2416.1799999999998</v>
      </c>
      <c r="M1682" s="9">
        <v>2441.88</v>
      </c>
      <c r="N1682" s="9">
        <v>1.8</v>
      </c>
      <c r="O1682" s="10">
        <f>IF(AND(OR(H1682="APPROVED",H1682="SCHEDULED"),COUNTIFS(tblSource[EventID],F1682,tblSource[ReleaseStatus],"APPROVED")=1,COUNTIFS(Period_Status!$A$2:$A$8,G1682,Period_Status!$B$2:$B$8,"ActualClosed")=1,C1682&gt;EOMONTH(Settlement_Bridge!$C$2,0)),1,0)</f>
        <v>0</v>
      </c>
      <c r="P1682" s="2" t="s">
        <v>4789</v>
      </c>
    </row>
    <row r="1683" spans="1:16" x14ac:dyDescent="0.25">
      <c r="A1683" s="2" t="s">
        <v>4790</v>
      </c>
      <c r="B1683" s="2" t="s">
        <v>199</v>
      </c>
      <c r="C1683" s="8">
        <v>46236</v>
      </c>
      <c r="D1683" s="6">
        <v>46235</v>
      </c>
      <c r="E1683" s="2" t="s">
        <v>260</v>
      </c>
      <c r="F1683" s="2" t="s">
        <v>4788</v>
      </c>
      <c r="G1683" s="6">
        <v>46174</v>
      </c>
      <c r="H1683" s="2" t="s">
        <v>71</v>
      </c>
      <c r="I1683" s="2" t="s">
        <v>70</v>
      </c>
      <c r="J1683" s="9">
        <v>5508</v>
      </c>
      <c r="K1683" s="7">
        <v>0.65</v>
      </c>
      <c r="L1683" s="9">
        <v>3580.2</v>
      </c>
      <c r="M1683" s="9">
        <v>3662.82</v>
      </c>
      <c r="N1683" s="9">
        <v>1.97</v>
      </c>
      <c r="O1683" s="10">
        <f>IF(AND(OR(H1683="APPROVED",H1683="SCHEDULED"),COUNTIFS(tblSource[EventID],F1683,tblSource[ReleaseStatus],"APPROVED")=1,COUNTIFS(Period_Status!$A$2:$A$8,G1683,Period_Status!$B$2:$B$8,"ActualClosed")=1,C1683&gt;EOMONTH(Settlement_Bridge!$C$2,0)),1,0)</f>
        <v>1</v>
      </c>
      <c r="P1683" s="2" t="s">
        <v>4791</v>
      </c>
    </row>
    <row r="1684" spans="1:16" x14ac:dyDescent="0.25">
      <c r="A1684" s="2" t="s">
        <v>4792</v>
      </c>
      <c r="B1684" s="2" t="s">
        <v>199</v>
      </c>
      <c r="C1684" s="8">
        <v>46212</v>
      </c>
      <c r="D1684" s="6">
        <v>46204</v>
      </c>
      <c r="E1684" s="2" t="s">
        <v>260</v>
      </c>
      <c r="F1684" s="2" t="s">
        <v>4793</v>
      </c>
      <c r="G1684" s="6">
        <v>46174</v>
      </c>
      <c r="H1684" s="2" t="s">
        <v>71</v>
      </c>
      <c r="I1684" s="2" t="s">
        <v>39</v>
      </c>
      <c r="J1684" s="9">
        <v>2511.0839999999998</v>
      </c>
      <c r="K1684" s="7">
        <v>1</v>
      </c>
      <c r="L1684" s="9">
        <v>2511.08</v>
      </c>
      <c r="M1684" s="9">
        <v>2511.08</v>
      </c>
      <c r="N1684" s="9">
        <v>1.8</v>
      </c>
      <c r="O1684" s="10">
        <f>IF(AND(OR(H1684="APPROVED",H1684="SCHEDULED"),COUNTIFS(tblSource[EventID],F1684,tblSource[ReleaseStatus],"APPROVED")=1,COUNTIFS(Period_Status!$A$2:$A$8,G1684,Period_Status!$B$2:$B$8,"ActualClosed")=1,C1684&gt;EOMONTH(Settlement_Bridge!$C$2,0)),1,0)</f>
        <v>0</v>
      </c>
      <c r="P1684" s="2" t="s">
        <v>4794</v>
      </c>
    </row>
    <row r="1685" spans="1:16" x14ac:dyDescent="0.25">
      <c r="A1685" s="2" t="s">
        <v>4795</v>
      </c>
      <c r="B1685" s="2" t="s">
        <v>199</v>
      </c>
      <c r="C1685" s="8">
        <v>46237</v>
      </c>
      <c r="D1685" s="6">
        <v>46235</v>
      </c>
      <c r="E1685" s="2" t="s">
        <v>260</v>
      </c>
      <c r="F1685" s="2" t="s">
        <v>4793</v>
      </c>
      <c r="G1685" s="6">
        <v>46174</v>
      </c>
      <c r="H1685" s="2" t="s">
        <v>71</v>
      </c>
      <c r="I1685" s="2" t="s">
        <v>39</v>
      </c>
      <c r="J1685" s="9">
        <v>3766.6260000000002</v>
      </c>
      <c r="K1685" s="7">
        <v>1</v>
      </c>
      <c r="L1685" s="9">
        <v>3766.63</v>
      </c>
      <c r="M1685" s="9">
        <v>3766.63</v>
      </c>
      <c r="N1685" s="9">
        <v>2.0699999999999998</v>
      </c>
      <c r="O1685" s="10">
        <f>IF(AND(OR(H1685="APPROVED",H1685="SCHEDULED"),COUNTIFS(tblSource[EventID],F1685,tblSource[ReleaseStatus],"APPROVED")=1,COUNTIFS(Period_Status!$A$2:$A$8,G1685,Period_Status!$B$2:$B$8,"ActualClosed")=1,C1685&gt;EOMONTH(Settlement_Bridge!$C$2,0)),1,0)</f>
        <v>1</v>
      </c>
      <c r="P1685" s="2" t="s">
        <v>4796</v>
      </c>
    </row>
    <row r="1686" spans="1:16" x14ac:dyDescent="0.25">
      <c r="A1686" s="2" t="s">
        <v>4797</v>
      </c>
      <c r="B1686" s="2" t="s">
        <v>199</v>
      </c>
      <c r="C1686" s="8">
        <v>46223</v>
      </c>
      <c r="D1686" s="6">
        <v>46204</v>
      </c>
      <c r="E1686" s="2" t="s">
        <v>260</v>
      </c>
      <c r="F1686" s="2" t="s">
        <v>4798</v>
      </c>
      <c r="G1686" s="6">
        <v>46174</v>
      </c>
      <c r="H1686" s="2" t="s">
        <v>71</v>
      </c>
      <c r="I1686" s="2" t="s">
        <v>76</v>
      </c>
      <c r="J1686" s="9">
        <v>103211520</v>
      </c>
      <c r="K1686" s="7">
        <v>6.2000000000000003E-5</v>
      </c>
      <c r="L1686" s="9">
        <v>6399.11</v>
      </c>
      <c r="M1686" s="9">
        <v>6450.72</v>
      </c>
      <c r="N1686" s="9">
        <v>3.52</v>
      </c>
      <c r="O1686" s="10">
        <f>IF(AND(OR(H1686="APPROVED",H1686="SCHEDULED"),COUNTIFS(tblSource[EventID],F1686,tblSource[ReleaseStatus],"APPROVED")=1,COUNTIFS(Period_Status!$A$2:$A$8,G1686,Period_Status!$B$2:$B$8,"ActualClosed")=1,C1686&gt;EOMONTH(Settlement_Bridge!$C$2,0)),1,0)</f>
        <v>0</v>
      </c>
      <c r="P1686" s="2" t="s">
        <v>4799</v>
      </c>
    </row>
    <row r="1687" spans="1:16" x14ac:dyDescent="0.25">
      <c r="A1687" s="2" t="s">
        <v>4800</v>
      </c>
      <c r="B1687" s="2" t="s">
        <v>199</v>
      </c>
      <c r="C1687" s="8">
        <v>46224</v>
      </c>
      <c r="D1687" s="6">
        <v>46204</v>
      </c>
      <c r="E1687" s="2" t="s">
        <v>260</v>
      </c>
      <c r="F1687" s="2" t="s">
        <v>4801</v>
      </c>
      <c r="G1687" s="6">
        <v>46174</v>
      </c>
      <c r="H1687" s="2" t="s">
        <v>71</v>
      </c>
      <c r="I1687" s="2" t="s">
        <v>70</v>
      </c>
      <c r="J1687" s="9">
        <v>9960.4962410000007</v>
      </c>
      <c r="K1687" s="7">
        <v>0.65800000000000003</v>
      </c>
      <c r="L1687" s="9">
        <v>6554.01</v>
      </c>
      <c r="M1687" s="9">
        <v>6623.73</v>
      </c>
      <c r="N1687" s="9">
        <v>3.6</v>
      </c>
      <c r="O1687" s="10">
        <f>IF(AND(OR(H1687="APPROVED",H1687="SCHEDULED"),COUNTIFS(tblSource[EventID],F1687,tblSource[ReleaseStatus],"APPROVED")=1,COUNTIFS(Period_Status!$A$2:$A$8,G1687,Period_Status!$B$2:$B$8,"ActualClosed")=1,C1687&gt;EOMONTH(Settlement_Bridge!$C$2,0)),1,0)</f>
        <v>0</v>
      </c>
      <c r="P1687" s="2" t="s">
        <v>4802</v>
      </c>
    </row>
    <row r="1688" spans="1:16" x14ac:dyDescent="0.25">
      <c r="A1688" s="2" t="s">
        <v>4803</v>
      </c>
      <c r="B1688" s="2" t="s">
        <v>199</v>
      </c>
      <c r="C1688" s="8">
        <v>46215</v>
      </c>
      <c r="D1688" s="6">
        <v>46204</v>
      </c>
      <c r="E1688" s="2" t="s">
        <v>260</v>
      </c>
      <c r="F1688" s="2" t="s">
        <v>4804</v>
      </c>
      <c r="G1688" s="6">
        <v>46174</v>
      </c>
      <c r="H1688" s="2" t="s">
        <v>71</v>
      </c>
      <c r="I1688" s="2" t="s">
        <v>39</v>
      </c>
      <c r="J1688" s="9">
        <v>2718.6959999999999</v>
      </c>
      <c r="K1688" s="7">
        <v>1</v>
      </c>
      <c r="L1688" s="9">
        <v>2718.7</v>
      </c>
      <c r="M1688" s="9">
        <v>2718.7</v>
      </c>
      <c r="N1688" s="9">
        <v>1.8</v>
      </c>
      <c r="O1688" s="10">
        <f>IF(AND(OR(H1688="APPROVED",H1688="SCHEDULED"),COUNTIFS(tblSource[EventID],F1688,tblSource[ReleaseStatus],"APPROVED")=1,COUNTIFS(Period_Status!$A$2:$A$8,G1688,Period_Status!$B$2:$B$8,"ActualClosed")=1,C1688&gt;EOMONTH(Settlement_Bridge!$C$2,0)),1,0)</f>
        <v>0</v>
      </c>
      <c r="P1688" s="2" t="s">
        <v>4805</v>
      </c>
    </row>
    <row r="1689" spans="1:16" x14ac:dyDescent="0.25">
      <c r="A1689" s="2" t="s">
        <v>4806</v>
      </c>
      <c r="B1689" s="2" t="s">
        <v>199</v>
      </c>
      <c r="C1689" s="8">
        <v>46240</v>
      </c>
      <c r="D1689" s="6">
        <v>46235</v>
      </c>
      <c r="E1689" s="2" t="s">
        <v>260</v>
      </c>
      <c r="F1689" s="2" t="s">
        <v>4804</v>
      </c>
      <c r="G1689" s="6">
        <v>46174</v>
      </c>
      <c r="H1689" s="2" t="s">
        <v>71</v>
      </c>
      <c r="I1689" s="2" t="s">
        <v>39</v>
      </c>
      <c r="J1689" s="9">
        <v>4078.0439999999999</v>
      </c>
      <c r="K1689" s="7">
        <v>1</v>
      </c>
      <c r="L1689" s="9">
        <v>4078.04</v>
      </c>
      <c r="M1689" s="9">
        <v>4078.04</v>
      </c>
      <c r="N1689" s="9">
        <v>2.2400000000000002</v>
      </c>
      <c r="O1689" s="10">
        <f>IF(AND(OR(H1689="APPROVED",H1689="SCHEDULED"),COUNTIFS(tblSource[EventID],F1689,tblSource[ReleaseStatus],"APPROVED")=1,COUNTIFS(Period_Status!$A$2:$A$8,G1689,Period_Status!$B$2:$B$8,"ActualClosed")=1,C1689&gt;EOMONTH(Settlement_Bridge!$C$2,0)),1,0)</f>
        <v>1</v>
      </c>
      <c r="P1689" s="2" t="s">
        <v>4807</v>
      </c>
    </row>
    <row r="1690" spans="1:16" x14ac:dyDescent="0.25">
      <c r="A1690" s="2" t="s">
        <v>4808</v>
      </c>
      <c r="B1690" s="2" t="s">
        <v>199</v>
      </c>
      <c r="C1690" s="8">
        <v>46226</v>
      </c>
      <c r="D1690" s="6">
        <v>46204</v>
      </c>
      <c r="E1690" s="2" t="s">
        <v>260</v>
      </c>
      <c r="F1690" s="2" t="s">
        <v>4809</v>
      </c>
      <c r="G1690" s="6">
        <v>46174</v>
      </c>
      <c r="H1690" s="2" t="s">
        <v>71</v>
      </c>
      <c r="I1690" s="2" t="s">
        <v>76</v>
      </c>
      <c r="J1690" s="9">
        <v>111516000</v>
      </c>
      <c r="K1690" s="7">
        <v>6.2000000000000003E-5</v>
      </c>
      <c r="L1690" s="9">
        <v>6913.99</v>
      </c>
      <c r="M1690" s="9">
        <v>6969.75</v>
      </c>
      <c r="N1690" s="9">
        <v>3.8</v>
      </c>
      <c r="O1690" s="10">
        <f>IF(AND(OR(H1690="APPROVED",H1690="SCHEDULED"),COUNTIFS(tblSource[EventID],F1690,tblSource[ReleaseStatus],"APPROVED")=1,COUNTIFS(Period_Status!$A$2:$A$8,G1690,Period_Status!$B$2:$B$8,"ActualClosed")=1,C1690&gt;EOMONTH(Settlement_Bridge!$C$2,0)),1,0)</f>
        <v>0</v>
      </c>
      <c r="P1690" s="2" t="s">
        <v>4810</v>
      </c>
    </row>
    <row r="1691" spans="1:16" x14ac:dyDescent="0.25">
      <c r="A1691" s="2" t="s">
        <v>4811</v>
      </c>
      <c r="B1691" s="2" t="s">
        <v>199</v>
      </c>
      <c r="C1691" s="8">
        <v>46227</v>
      </c>
      <c r="D1691" s="6">
        <v>46204</v>
      </c>
      <c r="E1691" s="2" t="s">
        <v>260</v>
      </c>
      <c r="F1691" s="2" t="s">
        <v>4812</v>
      </c>
      <c r="G1691" s="6">
        <v>46174</v>
      </c>
      <c r="H1691" s="2" t="s">
        <v>71</v>
      </c>
      <c r="I1691" s="2" t="s">
        <v>70</v>
      </c>
      <c r="J1691" s="9">
        <v>10740.992480999999</v>
      </c>
      <c r="K1691" s="7">
        <v>0.65800000000000003</v>
      </c>
      <c r="L1691" s="9">
        <v>7067.57</v>
      </c>
      <c r="M1691" s="9">
        <v>7142.76</v>
      </c>
      <c r="N1691" s="9">
        <v>3.89</v>
      </c>
      <c r="O1691" s="10">
        <f>IF(AND(OR(H1691="APPROVED",H1691="SCHEDULED"),COUNTIFS(tblSource[EventID],F1691,tblSource[ReleaseStatus],"APPROVED")=1,COUNTIFS(Period_Status!$A$2:$A$8,G1691,Period_Status!$B$2:$B$8,"ActualClosed")=1,C1691&gt;EOMONTH(Settlement_Bridge!$C$2,0)),1,0)</f>
        <v>0</v>
      </c>
      <c r="P1691" s="2" t="s">
        <v>4813</v>
      </c>
    </row>
    <row r="1692" spans="1:16" x14ac:dyDescent="0.25">
      <c r="A1692" s="2" t="s">
        <v>4814</v>
      </c>
      <c r="B1692" s="2" t="s">
        <v>199</v>
      </c>
      <c r="C1692" s="8">
        <v>46198</v>
      </c>
      <c r="D1692" s="6">
        <v>46174</v>
      </c>
      <c r="E1692" s="2" t="s">
        <v>260</v>
      </c>
      <c r="F1692" s="2" t="s">
        <v>4815</v>
      </c>
      <c r="G1692" s="6">
        <v>46174</v>
      </c>
      <c r="H1692" s="2" t="s">
        <v>71</v>
      </c>
      <c r="I1692" s="2" t="s">
        <v>39</v>
      </c>
      <c r="J1692" s="9">
        <v>7315.77</v>
      </c>
      <c r="K1692" s="7">
        <v>1</v>
      </c>
      <c r="L1692" s="9">
        <v>7315.77</v>
      </c>
      <c r="M1692" s="9">
        <v>7315.77</v>
      </c>
      <c r="N1692" s="9">
        <v>4.0199999999999996</v>
      </c>
      <c r="O1692" s="10">
        <f>IF(AND(OR(H1692="APPROVED",H1692="SCHEDULED"),COUNTIFS(tblSource[EventID],F1692,tblSource[ReleaseStatus],"APPROVED")=1,COUNTIFS(Period_Status!$A$2:$A$8,G1692,Period_Status!$B$2:$B$8,"ActualClosed")=1,C1692&gt;EOMONTH(Settlement_Bridge!$C$2,0)),1,0)</f>
        <v>0</v>
      </c>
      <c r="P1692" s="2" t="s">
        <v>4816</v>
      </c>
    </row>
    <row r="1693" spans="1:16" x14ac:dyDescent="0.25">
      <c r="A1693" s="2" t="s">
        <v>4817</v>
      </c>
      <c r="B1693" s="2" t="s">
        <v>199</v>
      </c>
      <c r="C1693" s="8">
        <v>46199</v>
      </c>
      <c r="D1693" s="6">
        <v>46174</v>
      </c>
      <c r="E1693" s="2" t="s">
        <v>260</v>
      </c>
      <c r="F1693" s="2" t="s">
        <v>4818</v>
      </c>
      <c r="G1693" s="6">
        <v>46174</v>
      </c>
      <c r="H1693" s="2" t="s">
        <v>71</v>
      </c>
      <c r="I1693" s="2" t="s">
        <v>76</v>
      </c>
      <c r="J1693" s="9">
        <v>119820480</v>
      </c>
      <c r="K1693" s="7">
        <v>6.2500000000000001E-5</v>
      </c>
      <c r="L1693" s="9">
        <v>7488.78</v>
      </c>
      <c r="M1693" s="9">
        <v>7488.78</v>
      </c>
      <c r="N1693" s="9">
        <v>4.12</v>
      </c>
      <c r="O1693" s="10">
        <f>IF(AND(OR(H1693="APPROVED",H1693="SCHEDULED"),COUNTIFS(tblSource[EventID],F1693,tblSource[ReleaseStatus],"APPROVED")=1,COUNTIFS(Period_Status!$A$2:$A$8,G1693,Period_Status!$B$2:$B$8,"ActualClosed")=1,C1693&gt;EOMONTH(Settlement_Bridge!$C$2,0)),1,0)</f>
        <v>0</v>
      </c>
      <c r="P1693" s="2" t="s">
        <v>4819</v>
      </c>
    </row>
    <row r="1694" spans="1:16" x14ac:dyDescent="0.25">
      <c r="A1694" s="2" t="s">
        <v>4820</v>
      </c>
      <c r="B1694" s="2" t="s">
        <v>199</v>
      </c>
      <c r="C1694" s="8">
        <v>46200</v>
      </c>
      <c r="D1694" s="6">
        <v>46174</v>
      </c>
      <c r="E1694" s="2" t="s">
        <v>260</v>
      </c>
      <c r="F1694" s="2" t="s">
        <v>4821</v>
      </c>
      <c r="G1694" s="6">
        <v>46174</v>
      </c>
      <c r="H1694" s="2" t="s">
        <v>71</v>
      </c>
      <c r="I1694" s="2" t="s">
        <v>70</v>
      </c>
      <c r="J1694" s="9">
        <v>11521.488722</v>
      </c>
      <c r="K1694" s="7">
        <v>0.66500000000000004</v>
      </c>
      <c r="L1694" s="9">
        <v>7661.79</v>
      </c>
      <c r="M1694" s="9">
        <v>7661.79</v>
      </c>
      <c r="N1694" s="9">
        <v>4.21</v>
      </c>
      <c r="O1694" s="10">
        <f>IF(AND(OR(H1694="APPROVED",H1694="SCHEDULED"),COUNTIFS(tblSource[EventID],F1694,tblSource[ReleaseStatus],"APPROVED")=1,COUNTIFS(Period_Status!$A$2:$A$8,G1694,Period_Status!$B$2:$B$8,"ActualClosed")=1,C1694&gt;EOMONTH(Settlement_Bridge!$C$2,0)),1,0)</f>
        <v>0</v>
      </c>
      <c r="P1694" s="2" t="s">
        <v>4822</v>
      </c>
    </row>
    <row r="1695" spans="1:16" x14ac:dyDescent="0.25">
      <c r="A1695" s="2" t="s">
        <v>4823</v>
      </c>
      <c r="B1695" s="2" t="s">
        <v>199</v>
      </c>
      <c r="C1695" s="8">
        <v>46191</v>
      </c>
      <c r="D1695" s="6">
        <v>46174</v>
      </c>
      <c r="E1695" s="2" t="s">
        <v>260</v>
      </c>
      <c r="F1695" s="2" t="s">
        <v>4824</v>
      </c>
      <c r="G1695" s="6">
        <v>46174</v>
      </c>
      <c r="H1695" s="2" t="s">
        <v>71</v>
      </c>
      <c r="I1695" s="2" t="s">
        <v>39</v>
      </c>
      <c r="J1695" s="9">
        <v>3133.92</v>
      </c>
      <c r="K1695" s="7">
        <v>1</v>
      </c>
      <c r="L1695" s="9">
        <v>3133.92</v>
      </c>
      <c r="M1695" s="9">
        <v>3133.92</v>
      </c>
      <c r="N1695" s="9">
        <v>1.8</v>
      </c>
      <c r="O1695" s="10">
        <f>IF(AND(OR(H1695="APPROVED",H1695="SCHEDULED"),COUNTIFS(tblSource[EventID],F1695,tblSource[ReleaseStatus],"APPROVED")=1,COUNTIFS(Period_Status!$A$2:$A$8,G1695,Period_Status!$B$2:$B$8,"ActualClosed")=1,C1695&gt;EOMONTH(Settlement_Bridge!$C$2,0)),1,0)</f>
        <v>0</v>
      </c>
      <c r="P1695" s="2" t="s">
        <v>4825</v>
      </c>
    </row>
    <row r="1696" spans="1:16" x14ac:dyDescent="0.25">
      <c r="A1696" s="2" t="s">
        <v>4826</v>
      </c>
      <c r="B1696" s="2" t="s">
        <v>199</v>
      </c>
      <c r="C1696" s="8">
        <v>46216</v>
      </c>
      <c r="D1696" s="6">
        <v>46204</v>
      </c>
      <c r="E1696" s="2" t="s">
        <v>260</v>
      </c>
      <c r="F1696" s="2" t="s">
        <v>4824</v>
      </c>
      <c r="G1696" s="6">
        <v>46174</v>
      </c>
      <c r="H1696" s="2" t="s">
        <v>71</v>
      </c>
      <c r="I1696" s="2" t="s">
        <v>39</v>
      </c>
      <c r="J1696" s="9">
        <v>4700.88</v>
      </c>
      <c r="K1696" s="7">
        <v>1</v>
      </c>
      <c r="L1696" s="9">
        <v>4700.88</v>
      </c>
      <c r="M1696" s="9">
        <v>4700.88</v>
      </c>
      <c r="N1696" s="9">
        <v>2.59</v>
      </c>
      <c r="O1696" s="10">
        <f>IF(AND(OR(H1696="APPROVED",H1696="SCHEDULED"),COUNTIFS(tblSource[EventID],F1696,tblSource[ReleaseStatus],"APPROVED")=1,COUNTIFS(Period_Status!$A$2:$A$8,G1696,Period_Status!$B$2:$B$8,"ActualClosed")=1,C1696&gt;EOMONTH(Settlement_Bridge!$C$2,0)),1,0)</f>
        <v>0</v>
      </c>
      <c r="P1696" s="2" t="s">
        <v>4827</v>
      </c>
    </row>
    <row r="1697" spans="1:16" x14ac:dyDescent="0.25">
      <c r="A1697" s="2" t="s">
        <v>4828</v>
      </c>
      <c r="B1697" s="2" t="s">
        <v>199</v>
      </c>
      <c r="C1697" s="8">
        <v>46192</v>
      </c>
      <c r="D1697" s="6">
        <v>46174</v>
      </c>
      <c r="E1697" s="2" t="s">
        <v>260</v>
      </c>
      <c r="F1697" s="2" t="s">
        <v>4829</v>
      </c>
      <c r="G1697" s="6">
        <v>46174</v>
      </c>
      <c r="H1697" s="2" t="s">
        <v>71</v>
      </c>
      <c r="I1697" s="2" t="s">
        <v>76</v>
      </c>
      <c r="J1697" s="9">
        <v>51249984</v>
      </c>
      <c r="K1697" s="7">
        <v>6.2500000000000001E-5</v>
      </c>
      <c r="L1697" s="9">
        <v>3203.12</v>
      </c>
      <c r="M1697" s="9">
        <v>3203.12</v>
      </c>
      <c r="N1697" s="9">
        <v>1.8</v>
      </c>
      <c r="O1697" s="10">
        <f>IF(AND(OR(H1697="APPROVED",H1697="SCHEDULED"),COUNTIFS(tblSource[EventID],F1697,tblSource[ReleaseStatus],"APPROVED")=1,COUNTIFS(Period_Status!$A$2:$A$8,G1697,Period_Status!$B$2:$B$8,"ActualClosed")=1,C1697&gt;EOMONTH(Settlement_Bridge!$C$2,0)),1,0)</f>
        <v>0</v>
      </c>
      <c r="P1697" s="2" t="s">
        <v>4830</v>
      </c>
    </row>
    <row r="1698" spans="1:16" x14ac:dyDescent="0.25">
      <c r="A1698" s="2" t="s">
        <v>4831</v>
      </c>
      <c r="B1698" s="2" t="s">
        <v>199</v>
      </c>
      <c r="C1698" s="8">
        <v>46217</v>
      </c>
      <c r="D1698" s="6">
        <v>46204</v>
      </c>
      <c r="E1698" s="2" t="s">
        <v>260</v>
      </c>
      <c r="F1698" s="2" t="s">
        <v>4829</v>
      </c>
      <c r="G1698" s="6">
        <v>46174</v>
      </c>
      <c r="H1698" s="2" t="s">
        <v>71</v>
      </c>
      <c r="I1698" s="2" t="s">
        <v>76</v>
      </c>
      <c r="J1698" s="9">
        <v>76874976</v>
      </c>
      <c r="K1698" s="7">
        <v>6.2000000000000003E-5</v>
      </c>
      <c r="L1698" s="9">
        <v>4766.25</v>
      </c>
      <c r="M1698" s="9">
        <v>4804.6899999999996</v>
      </c>
      <c r="N1698" s="9">
        <v>2.62</v>
      </c>
      <c r="O1698" s="10">
        <f>IF(AND(OR(H1698="APPROVED",H1698="SCHEDULED"),COUNTIFS(tblSource[EventID],F1698,tblSource[ReleaseStatus],"APPROVED")=1,COUNTIFS(Period_Status!$A$2:$A$8,G1698,Period_Status!$B$2:$B$8,"ActualClosed")=1,C1698&gt;EOMONTH(Settlement_Bridge!$C$2,0)),1,0)</f>
        <v>0</v>
      </c>
      <c r="P1698" s="2" t="s">
        <v>4832</v>
      </c>
    </row>
    <row r="1699" spans="1:16" x14ac:dyDescent="0.25">
      <c r="A1699" s="2" t="s">
        <v>4833</v>
      </c>
      <c r="B1699" s="2" t="s">
        <v>199</v>
      </c>
      <c r="C1699" s="8">
        <v>46203</v>
      </c>
      <c r="D1699" s="6">
        <v>46174</v>
      </c>
      <c r="E1699" s="2" t="s">
        <v>260</v>
      </c>
      <c r="F1699" s="2" t="s">
        <v>4834</v>
      </c>
      <c r="G1699" s="6">
        <v>46174</v>
      </c>
      <c r="H1699" s="2" t="s">
        <v>71</v>
      </c>
      <c r="I1699" s="2" t="s">
        <v>70</v>
      </c>
      <c r="J1699" s="9">
        <v>12301.984962</v>
      </c>
      <c r="K1699" s="7">
        <v>0.66500000000000004</v>
      </c>
      <c r="L1699" s="9">
        <v>8180.82</v>
      </c>
      <c r="M1699" s="9">
        <v>8180.82</v>
      </c>
      <c r="N1699" s="9">
        <v>4.5</v>
      </c>
      <c r="O1699" s="10">
        <f>IF(AND(OR(H1699="APPROVED",H1699="SCHEDULED"),COUNTIFS(tblSource[EventID],F1699,tblSource[ReleaseStatus],"APPROVED")=1,COUNTIFS(Period_Status!$A$2:$A$8,G1699,Period_Status!$B$2:$B$8,"ActualClosed")=1,C1699&gt;EOMONTH(Settlement_Bridge!$C$2,0)),1,0)</f>
        <v>0</v>
      </c>
      <c r="P1699" s="2" t="s">
        <v>4835</v>
      </c>
    </row>
    <row r="1700" spans="1:16" x14ac:dyDescent="0.25">
      <c r="A1700" s="2" t="s">
        <v>4836</v>
      </c>
      <c r="B1700" s="2" t="s">
        <v>199</v>
      </c>
      <c r="C1700" s="8">
        <v>46204</v>
      </c>
      <c r="D1700" s="6">
        <v>46204</v>
      </c>
      <c r="E1700" s="2" t="s">
        <v>260</v>
      </c>
      <c r="F1700" s="2" t="s">
        <v>4837</v>
      </c>
      <c r="G1700" s="6">
        <v>46174</v>
      </c>
      <c r="H1700" s="2" t="s">
        <v>71</v>
      </c>
      <c r="I1700" s="2" t="s">
        <v>39</v>
      </c>
      <c r="J1700" s="9">
        <v>8353.83</v>
      </c>
      <c r="K1700" s="7">
        <v>1</v>
      </c>
      <c r="L1700" s="9">
        <v>8353.83</v>
      </c>
      <c r="M1700" s="9">
        <v>8353.83</v>
      </c>
      <c r="N1700" s="9">
        <v>4.59</v>
      </c>
      <c r="O1700" s="10">
        <f>IF(AND(OR(H1700="APPROVED",H1700="SCHEDULED"),COUNTIFS(tblSource[EventID],F1700,tblSource[ReleaseStatus],"APPROVED")=1,COUNTIFS(Period_Status!$A$2:$A$8,G1700,Period_Status!$B$2:$B$8,"ActualClosed")=1,C1700&gt;EOMONTH(Settlement_Bridge!$C$2,0)),1,0)</f>
        <v>0</v>
      </c>
      <c r="P1700" s="2" t="s">
        <v>4838</v>
      </c>
    </row>
    <row r="1701" spans="1:16" x14ac:dyDescent="0.25">
      <c r="A1701" s="2" t="s">
        <v>4839</v>
      </c>
      <c r="B1701" s="2" t="s">
        <v>199</v>
      </c>
      <c r="C1701" s="8">
        <v>46195</v>
      </c>
      <c r="D1701" s="6">
        <v>46174</v>
      </c>
      <c r="E1701" s="2" t="s">
        <v>260</v>
      </c>
      <c r="F1701" s="2" t="s">
        <v>4840</v>
      </c>
      <c r="G1701" s="6">
        <v>46174</v>
      </c>
      <c r="H1701" s="2" t="s">
        <v>71</v>
      </c>
      <c r="I1701" s="2" t="s">
        <v>76</v>
      </c>
      <c r="J1701" s="9">
        <v>54571776</v>
      </c>
      <c r="K1701" s="7">
        <v>6.2500000000000001E-5</v>
      </c>
      <c r="L1701" s="9">
        <v>3410.74</v>
      </c>
      <c r="M1701" s="9">
        <v>3410.74</v>
      </c>
      <c r="N1701" s="9">
        <v>1.88</v>
      </c>
      <c r="O1701" s="10">
        <f>IF(AND(OR(H1701="APPROVED",H1701="SCHEDULED"),COUNTIFS(tblSource[EventID],F1701,tblSource[ReleaseStatus],"APPROVED")=1,COUNTIFS(Period_Status!$A$2:$A$8,G1701,Period_Status!$B$2:$B$8,"ActualClosed")=1,C1701&gt;EOMONTH(Settlement_Bridge!$C$2,0)),1,0)</f>
        <v>0</v>
      </c>
      <c r="P1701" s="2" t="s">
        <v>4841</v>
      </c>
    </row>
    <row r="1702" spans="1:16" x14ac:dyDescent="0.25">
      <c r="A1702" s="2" t="s">
        <v>4842</v>
      </c>
      <c r="B1702" s="2" t="s">
        <v>199</v>
      </c>
      <c r="C1702" s="8">
        <v>46220</v>
      </c>
      <c r="D1702" s="6">
        <v>46204</v>
      </c>
      <c r="E1702" s="2" t="s">
        <v>260</v>
      </c>
      <c r="F1702" s="2" t="s">
        <v>4840</v>
      </c>
      <c r="G1702" s="6">
        <v>46174</v>
      </c>
      <c r="H1702" s="2" t="s">
        <v>71</v>
      </c>
      <c r="I1702" s="2" t="s">
        <v>76</v>
      </c>
      <c r="J1702" s="9">
        <v>81857664</v>
      </c>
      <c r="K1702" s="7">
        <v>6.2000000000000003E-5</v>
      </c>
      <c r="L1702" s="9">
        <v>5075.18</v>
      </c>
      <c r="M1702" s="9">
        <v>5116.1000000000004</v>
      </c>
      <c r="N1702" s="9">
        <v>2.79</v>
      </c>
      <c r="O1702" s="10">
        <f>IF(AND(OR(H1702="APPROVED",H1702="SCHEDULED"),COUNTIFS(tblSource[EventID],F1702,tblSource[ReleaseStatus],"APPROVED")=1,COUNTIFS(Period_Status!$A$2:$A$8,G1702,Period_Status!$B$2:$B$8,"ActualClosed")=1,C1702&gt;EOMONTH(Settlement_Bridge!$C$2,0)),1,0)</f>
        <v>0</v>
      </c>
      <c r="P1702" s="2" t="s">
        <v>4843</v>
      </c>
    </row>
    <row r="1703" spans="1:16" x14ac:dyDescent="0.25">
      <c r="A1703" s="2" t="s">
        <v>4844</v>
      </c>
      <c r="B1703" s="2" t="s">
        <v>199</v>
      </c>
      <c r="C1703" s="8">
        <v>46206</v>
      </c>
      <c r="D1703" s="6">
        <v>46204</v>
      </c>
      <c r="E1703" s="2" t="s">
        <v>260</v>
      </c>
      <c r="F1703" s="2" t="s">
        <v>4845</v>
      </c>
      <c r="G1703" s="6">
        <v>46174</v>
      </c>
      <c r="H1703" s="2" t="s">
        <v>71</v>
      </c>
      <c r="I1703" s="2" t="s">
        <v>70</v>
      </c>
      <c r="J1703" s="9">
        <v>13082.481202999999</v>
      </c>
      <c r="K1703" s="7">
        <v>0.65800000000000003</v>
      </c>
      <c r="L1703" s="9">
        <v>8608.27</v>
      </c>
      <c r="M1703" s="9">
        <v>8699.85</v>
      </c>
      <c r="N1703" s="9">
        <v>4.7300000000000004</v>
      </c>
      <c r="O1703" s="10">
        <f>IF(AND(OR(H1703="APPROVED",H1703="SCHEDULED"),COUNTIFS(tblSource[EventID],F1703,tblSource[ReleaseStatus],"APPROVED")=1,COUNTIFS(Period_Status!$A$2:$A$8,G1703,Period_Status!$B$2:$B$8,"ActualClosed")=1,C1703&gt;EOMONTH(Settlement_Bridge!$C$2,0)),1,0)</f>
        <v>0</v>
      </c>
      <c r="P1703" s="2" t="s">
        <v>4846</v>
      </c>
    </row>
    <row r="1704" spans="1:16" x14ac:dyDescent="0.25">
      <c r="A1704" s="2" t="s">
        <v>4847</v>
      </c>
      <c r="B1704" s="2" t="s">
        <v>199</v>
      </c>
      <c r="C1704" s="8">
        <v>46207</v>
      </c>
      <c r="D1704" s="6">
        <v>46204</v>
      </c>
      <c r="E1704" s="2" t="s">
        <v>260</v>
      </c>
      <c r="F1704" s="2" t="s">
        <v>4848</v>
      </c>
      <c r="G1704" s="6">
        <v>46174</v>
      </c>
      <c r="H1704" s="2" t="s">
        <v>71</v>
      </c>
      <c r="I1704" s="2" t="s">
        <v>39</v>
      </c>
      <c r="J1704" s="9">
        <v>8872.86</v>
      </c>
      <c r="K1704" s="7">
        <v>1</v>
      </c>
      <c r="L1704" s="9">
        <v>8872.86</v>
      </c>
      <c r="M1704" s="9">
        <v>8872.86</v>
      </c>
      <c r="N1704" s="9">
        <v>4.88</v>
      </c>
      <c r="O1704" s="10">
        <f>IF(AND(OR(H1704="APPROVED",H1704="SCHEDULED"),COUNTIFS(tblSource[EventID],F1704,tblSource[ReleaseStatus],"APPROVED")=1,COUNTIFS(Period_Status!$A$2:$A$8,G1704,Period_Status!$B$2:$B$8,"ActualClosed")=1,C1704&gt;EOMONTH(Settlement_Bridge!$C$2,0)),1,0)</f>
        <v>0</v>
      </c>
      <c r="P1704" s="2" t="s">
        <v>4849</v>
      </c>
    </row>
    <row r="1705" spans="1:16" x14ac:dyDescent="0.25">
      <c r="A1705" s="2" t="s">
        <v>4850</v>
      </c>
      <c r="B1705" s="2" t="s">
        <v>199</v>
      </c>
      <c r="C1705" s="8">
        <v>46208</v>
      </c>
      <c r="D1705" s="6">
        <v>46204</v>
      </c>
      <c r="E1705" s="2" t="s">
        <v>260</v>
      </c>
      <c r="F1705" s="2" t="s">
        <v>4851</v>
      </c>
      <c r="G1705" s="6">
        <v>46174</v>
      </c>
      <c r="H1705" s="2" t="s">
        <v>71</v>
      </c>
      <c r="I1705" s="2" t="s">
        <v>76</v>
      </c>
      <c r="J1705" s="9">
        <v>144733920</v>
      </c>
      <c r="K1705" s="7">
        <v>6.2000000000000003E-5</v>
      </c>
      <c r="L1705" s="9">
        <v>8973.5</v>
      </c>
      <c r="M1705" s="9">
        <v>9045.8700000000008</v>
      </c>
      <c r="N1705" s="9">
        <v>4.9400000000000004</v>
      </c>
      <c r="O1705" s="10">
        <f>IF(AND(OR(H1705="APPROVED",H1705="SCHEDULED"),COUNTIFS(tblSource[EventID],F1705,tblSource[ReleaseStatus],"APPROVED")=1,COUNTIFS(Period_Status!$A$2:$A$8,G1705,Period_Status!$B$2:$B$8,"ActualClosed")=1,C1705&gt;EOMONTH(Settlement_Bridge!$C$2,0)),1,0)</f>
        <v>0</v>
      </c>
      <c r="P1705" s="2" t="s">
        <v>4852</v>
      </c>
    </row>
    <row r="1706" spans="1:16" x14ac:dyDescent="0.25">
      <c r="A1706" s="2" t="s">
        <v>4853</v>
      </c>
      <c r="B1706" s="2" t="s">
        <v>199</v>
      </c>
      <c r="C1706" s="8">
        <v>46209</v>
      </c>
      <c r="D1706" s="6">
        <v>46204</v>
      </c>
      <c r="E1706" s="2" t="s">
        <v>260</v>
      </c>
      <c r="F1706" s="2" t="s">
        <v>4854</v>
      </c>
      <c r="G1706" s="6">
        <v>46174</v>
      </c>
      <c r="H1706" s="2" t="s">
        <v>71</v>
      </c>
      <c r="I1706" s="2" t="s">
        <v>70</v>
      </c>
      <c r="J1706" s="9">
        <v>13862.977444</v>
      </c>
      <c r="K1706" s="7">
        <v>0.65800000000000003</v>
      </c>
      <c r="L1706" s="9">
        <v>9121.84</v>
      </c>
      <c r="M1706" s="9">
        <v>9218.8799999999992</v>
      </c>
      <c r="N1706" s="9">
        <v>5.0199999999999996</v>
      </c>
      <c r="O1706" s="10">
        <f>IF(AND(OR(H1706="APPROVED",H1706="SCHEDULED"),COUNTIFS(tblSource[EventID],F1706,tblSource[ReleaseStatus],"APPROVED")=1,COUNTIFS(Period_Status!$A$2:$A$8,G1706,Period_Status!$B$2:$B$8,"ActualClosed")=1,C1706&gt;EOMONTH(Settlement_Bridge!$C$2,0)),1,0)</f>
        <v>0</v>
      </c>
      <c r="P1706" s="2" t="s">
        <v>4855</v>
      </c>
    </row>
    <row r="1707" spans="1:16" x14ac:dyDescent="0.25">
      <c r="A1707" s="2" t="s">
        <v>4856</v>
      </c>
      <c r="B1707" s="2" t="s">
        <v>199</v>
      </c>
      <c r="C1707" s="8">
        <v>46210</v>
      </c>
      <c r="D1707" s="6">
        <v>46204</v>
      </c>
      <c r="E1707" s="2" t="s">
        <v>260</v>
      </c>
      <c r="F1707" s="2" t="s">
        <v>4857</v>
      </c>
      <c r="G1707" s="6">
        <v>46174</v>
      </c>
      <c r="H1707" s="2" t="s">
        <v>71</v>
      </c>
      <c r="I1707" s="2" t="s">
        <v>39</v>
      </c>
      <c r="J1707" s="9">
        <v>9391.89</v>
      </c>
      <c r="K1707" s="7">
        <v>1</v>
      </c>
      <c r="L1707" s="9">
        <v>9391.89</v>
      </c>
      <c r="M1707" s="9">
        <v>9391.89</v>
      </c>
      <c r="N1707" s="9">
        <v>5.17</v>
      </c>
      <c r="O1707" s="10">
        <f>IF(AND(OR(H1707="APPROVED",H1707="SCHEDULED"),COUNTIFS(tblSource[EventID],F1707,tblSource[ReleaseStatus],"APPROVED")=1,COUNTIFS(Period_Status!$A$2:$A$8,G1707,Period_Status!$B$2:$B$8,"ActualClosed")=1,C1707&gt;EOMONTH(Settlement_Bridge!$C$2,0)),1,0)</f>
        <v>0</v>
      </c>
      <c r="P1707" s="2" t="s">
        <v>4858</v>
      </c>
    </row>
    <row r="1708" spans="1:16" x14ac:dyDescent="0.25">
      <c r="A1708" s="2" t="s">
        <v>4859</v>
      </c>
      <c r="B1708" s="2" t="s">
        <v>199</v>
      </c>
      <c r="C1708" s="8">
        <v>46201</v>
      </c>
      <c r="D1708" s="6">
        <v>46174</v>
      </c>
      <c r="E1708" s="2" t="s">
        <v>260</v>
      </c>
      <c r="F1708" s="2" t="s">
        <v>4860</v>
      </c>
      <c r="G1708" s="6">
        <v>46174</v>
      </c>
      <c r="H1708" s="2" t="s">
        <v>71</v>
      </c>
      <c r="I1708" s="2" t="s">
        <v>76</v>
      </c>
      <c r="J1708" s="9">
        <v>61215360</v>
      </c>
      <c r="K1708" s="7">
        <v>6.2500000000000001E-5</v>
      </c>
      <c r="L1708" s="9">
        <v>3825.96</v>
      </c>
      <c r="M1708" s="9">
        <v>3825.96</v>
      </c>
      <c r="N1708" s="9">
        <v>2.1</v>
      </c>
      <c r="O1708" s="10">
        <f>IF(AND(OR(H1708="APPROVED",H1708="SCHEDULED"),COUNTIFS(tblSource[EventID],F1708,tblSource[ReleaseStatus],"APPROVED")=1,COUNTIFS(Period_Status!$A$2:$A$8,G1708,Period_Status!$B$2:$B$8,"ActualClosed")=1,C1708&gt;EOMONTH(Settlement_Bridge!$C$2,0)),1,0)</f>
        <v>0</v>
      </c>
      <c r="P1708" s="2" t="s">
        <v>4861</v>
      </c>
    </row>
    <row r="1709" spans="1:16" x14ac:dyDescent="0.25">
      <c r="A1709" s="2" t="s">
        <v>4862</v>
      </c>
      <c r="B1709" s="2" t="s">
        <v>199</v>
      </c>
      <c r="C1709" s="8">
        <v>46226</v>
      </c>
      <c r="D1709" s="6">
        <v>46204</v>
      </c>
      <c r="E1709" s="2" t="s">
        <v>260</v>
      </c>
      <c r="F1709" s="2" t="s">
        <v>4860</v>
      </c>
      <c r="G1709" s="6">
        <v>46174</v>
      </c>
      <c r="H1709" s="2" t="s">
        <v>71</v>
      </c>
      <c r="I1709" s="2" t="s">
        <v>76</v>
      </c>
      <c r="J1709" s="9">
        <v>91823040</v>
      </c>
      <c r="K1709" s="7">
        <v>6.2000000000000003E-5</v>
      </c>
      <c r="L1709" s="9">
        <v>5693.03</v>
      </c>
      <c r="M1709" s="9">
        <v>5738.94</v>
      </c>
      <c r="N1709" s="9">
        <v>3.13</v>
      </c>
      <c r="O1709" s="10">
        <f>IF(AND(OR(H1709="APPROVED",H1709="SCHEDULED"),COUNTIFS(tblSource[EventID],F1709,tblSource[ReleaseStatus],"APPROVED")=1,COUNTIFS(Period_Status!$A$2:$A$8,G1709,Period_Status!$B$2:$B$8,"ActualClosed")=1,C1709&gt;EOMONTH(Settlement_Bridge!$C$2,0)),1,0)</f>
        <v>0</v>
      </c>
      <c r="P1709" s="2" t="s">
        <v>4863</v>
      </c>
    </row>
    <row r="1710" spans="1:16" x14ac:dyDescent="0.25">
      <c r="A1710" s="2" t="s">
        <v>4864</v>
      </c>
      <c r="B1710" s="2" t="s">
        <v>199</v>
      </c>
      <c r="C1710" s="8">
        <v>46202</v>
      </c>
      <c r="D1710" s="6">
        <v>46174</v>
      </c>
      <c r="E1710" s="2" t="s">
        <v>260</v>
      </c>
      <c r="F1710" s="2" t="s">
        <v>4865</v>
      </c>
      <c r="G1710" s="6">
        <v>46174</v>
      </c>
      <c r="H1710" s="2" t="s">
        <v>71</v>
      </c>
      <c r="I1710" s="2" t="s">
        <v>70</v>
      </c>
      <c r="J1710" s="9">
        <v>5857.3894739999996</v>
      </c>
      <c r="K1710" s="7">
        <v>0.66500000000000004</v>
      </c>
      <c r="L1710" s="9">
        <v>3895.16</v>
      </c>
      <c r="M1710" s="9">
        <v>3895.16</v>
      </c>
      <c r="N1710" s="9">
        <v>2.14</v>
      </c>
      <c r="O1710" s="10">
        <f>IF(AND(OR(H1710="APPROVED",H1710="SCHEDULED"),COUNTIFS(tblSource[EventID],F1710,tblSource[ReleaseStatus],"APPROVED")=1,COUNTIFS(Period_Status!$A$2:$A$8,G1710,Period_Status!$B$2:$B$8,"ActualClosed")=1,C1710&gt;EOMONTH(Settlement_Bridge!$C$2,0)),1,0)</f>
        <v>0</v>
      </c>
      <c r="P1710" s="2" t="s">
        <v>4866</v>
      </c>
    </row>
    <row r="1711" spans="1:16" x14ac:dyDescent="0.25">
      <c r="A1711" s="2" t="s">
        <v>4867</v>
      </c>
      <c r="B1711" s="2" t="s">
        <v>199</v>
      </c>
      <c r="C1711" s="8">
        <v>46227</v>
      </c>
      <c r="D1711" s="6">
        <v>46204</v>
      </c>
      <c r="E1711" s="2" t="s">
        <v>260</v>
      </c>
      <c r="F1711" s="2" t="s">
        <v>4865</v>
      </c>
      <c r="G1711" s="6">
        <v>46174</v>
      </c>
      <c r="H1711" s="2" t="s">
        <v>71</v>
      </c>
      <c r="I1711" s="2" t="s">
        <v>70</v>
      </c>
      <c r="J1711" s="9">
        <v>8786.0842100000009</v>
      </c>
      <c r="K1711" s="7">
        <v>0.65800000000000003</v>
      </c>
      <c r="L1711" s="9">
        <v>5781.24</v>
      </c>
      <c r="M1711" s="9">
        <v>5842.75</v>
      </c>
      <c r="N1711" s="9">
        <v>3.18</v>
      </c>
      <c r="O1711" s="10">
        <f>IF(AND(OR(H1711="APPROVED",H1711="SCHEDULED"),COUNTIFS(tblSource[EventID],F1711,tblSource[ReleaseStatus],"APPROVED")=1,COUNTIFS(Period_Status!$A$2:$A$8,G1711,Period_Status!$B$2:$B$8,"ActualClosed")=1,C1711&gt;EOMONTH(Settlement_Bridge!$C$2,0)),1,0)</f>
        <v>0</v>
      </c>
      <c r="P1711" s="2" t="s">
        <v>4868</v>
      </c>
    </row>
    <row r="1712" spans="1:16" x14ac:dyDescent="0.25">
      <c r="A1712" s="2" t="s">
        <v>4869</v>
      </c>
      <c r="B1712" s="2" t="s">
        <v>199</v>
      </c>
      <c r="C1712" s="8">
        <v>46213</v>
      </c>
      <c r="D1712" s="6">
        <v>46204</v>
      </c>
      <c r="E1712" s="2" t="s">
        <v>260</v>
      </c>
      <c r="F1712" s="2" t="s">
        <v>4870</v>
      </c>
      <c r="G1712" s="6">
        <v>46174</v>
      </c>
      <c r="H1712" s="2" t="s">
        <v>71</v>
      </c>
      <c r="I1712" s="2" t="s">
        <v>39</v>
      </c>
      <c r="J1712" s="9">
        <v>9910.92</v>
      </c>
      <c r="K1712" s="7">
        <v>1</v>
      </c>
      <c r="L1712" s="9">
        <v>9910.92</v>
      </c>
      <c r="M1712" s="9">
        <v>9910.92</v>
      </c>
      <c r="N1712" s="9">
        <v>5.45</v>
      </c>
      <c r="O1712" s="10">
        <f>IF(AND(OR(H1712="APPROVED",H1712="SCHEDULED"),COUNTIFS(tblSource[EventID],F1712,tblSource[ReleaseStatus],"APPROVED")=1,COUNTIFS(Period_Status!$A$2:$A$8,G1712,Period_Status!$B$2:$B$8,"ActualClosed")=1,C1712&gt;EOMONTH(Settlement_Bridge!$C$2,0)),1,0)</f>
        <v>0</v>
      </c>
      <c r="P1712" s="2" t="s">
        <v>4871</v>
      </c>
    </row>
    <row r="1713" spans="1:16" x14ac:dyDescent="0.25">
      <c r="A1713" s="2" t="s">
        <v>4872</v>
      </c>
      <c r="B1713" s="2" t="s">
        <v>199</v>
      </c>
      <c r="C1713" s="8">
        <v>46214</v>
      </c>
      <c r="D1713" s="6">
        <v>46204</v>
      </c>
      <c r="E1713" s="2" t="s">
        <v>260</v>
      </c>
      <c r="F1713" s="2" t="s">
        <v>4873</v>
      </c>
      <c r="G1713" s="6">
        <v>46174</v>
      </c>
      <c r="H1713" s="2" t="s">
        <v>71</v>
      </c>
      <c r="I1713" s="2" t="s">
        <v>76</v>
      </c>
      <c r="J1713" s="9">
        <v>-161342880</v>
      </c>
      <c r="K1713" s="7">
        <v>6.2000000000000003E-5</v>
      </c>
      <c r="L1713" s="9">
        <v>-10003.26</v>
      </c>
      <c r="M1713" s="9">
        <v>-10083.93</v>
      </c>
      <c r="N1713" s="9">
        <v>0</v>
      </c>
      <c r="O1713" s="10">
        <f>IF(AND(OR(H1713="APPROVED",H1713="SCHEDULED"),COUNTIFS(tblSource[EventID],F1713,tblSource[ReleaseStatus],"APPROVED")=1,COUNTIFS(Period_Status!$A$2:$A$8,G1713,Period_Status!$B$2:$B$8,"ActualClosed")=1,C1713&gt;EOMONTH(Settlement_Bridge!$C$2,0)),1,0)</f>
        <v>0</v>
      </c>
      <c r="P1713" s="2" t="s">
        <v>4874</v>
      </c>
    </row>
    <row r="1714" spans="1:16" x14ac:dyDescent="0.25">
      <c r="A1714" s="2" t="s">
        <v>4875</v>
      </c>
      <c r="B1714" s="2" t="s">
        <v>199</v>
      </c>
      <c r="C1714" s="8">
        <v>46205</v>
      </c>
      <c r="D1714" s="6">
        <v>46204</v>
      </c>
      <c r="E1714" s="2" t="s">
        <v>260</v>
      </c>
      <c r="F1714" s="2" t="s">
        <v>4876</v>
      </c>
      <c r="G1714" s="6">
        <v>46174</v>
      </c>
      <c r="H1714" s="2" t="s">
        <v>71</v>
      </c>
      <c r="I1714" s="2" t="s">
        <v>70</v>
      </c>
      <c r="J1714" s="9">
        <v>6169.5879699999996</v>
      </c>
      <c r="K1714" s="7">
        <v>0.65800000000000003</v>
      </c>
      <c r="L1714" s="9">
        <v>4059.59</v>
      </c>
      <c r="M1714" s="9">
        <v>4102.78</v>
      </c>
      <c r="N1714" s="9">
        <v>2.23</v>
      </c>
      <c r="O1714" s="10">
        <f>IF(AND(OR(H1714="APPROVED",H1714="SCHEDULED"),COUNTIFS(tblSource[EventID],F1714,tblSource[ReleaseStatus],"APPROVED")=1,COUNTIFS(Period_Status!$A$2:$A$8,G1714,Period_Status!$B$2:$B$8,"ActualClosed")=1,C1714&gt;EOMONTH(Settlement_Bridge!$C$2,0)),1,0)</f>
        <v>0</v>
      </c>
      <c r="P1714" s="2" t="s">
        <v>4877</v>
      </c>
    </row>
    <row r="1715" spans="1:16" x14ac:dyDescent="0.25">
      <c r="A1715" s="2" t="s">
        <v>4878</v>
      </c>
      <c r="B1715" s="2" t="s">
        <v>199</v>
      </c>
      <c r="C1715" s="8">
        <v>46230</v>
      </c>
      <c r="D1715" s="6">
        <v>46204</v>
      </c>
      <c r="E1715" s="2" t="s">
        <v>260</v>
      </c>
      <c r="F1715" s="2" t="s">
        <v>4876</v>
      </c>
      <c r="G1715" s="6">
        <v>46174</v>
      </c>
      <c r="H1715" s="2" t="s">
        <v>71</v>
      </c>
      <c r="I1715" s="2" t="s">
        <v>70</v>
      </c>
      <c r="J1715" s="9">
        <v>9254.3819550000007</v>
      </c>
      <c r="K1715" s="7">
        <v>0.65800000000000003</v>
      </c>
      <c r="L1715" s="9">
        <v>6089.38</v>
      </c>
      <c r="M1715" s="9">
        <v>6154.16</v>
      </c>
      <c r="N1715" s="9">
        <v>3.35</v>
      </c>
      <c r="O1715" s="10">
        <f>IF(AND(OR(H1715="APPROVED",H1715="SCHEDULED"),COUNTIFS(tblSource[EventID],F1715,tblSource[ReleaseStatus],"APPROVED")=1,COUNTIFS(Period_Status!$A$2:$A$8,G1715,Period_Status!$B$2:$B$8,"ActualClosed")=1,C1715&gt;EOMONTH(Settlement_Bridge!$C$2,0)),1,0)</f>
        <v>0</v>
      </c>
      <c r="P1715" s="2" t="s">
        <v>4879</v>
      </c>
    </row>
    <row r="1716" spans="1:16" x14ac:dyDescent="0.25">
      <c r="A1716" s="2" t="s">
        <v>4880</v>
      </c>
      <c r="B1716" s="2" t="s">
        <v>199</v>
      </c>
      <c r="C1716" s="8">
        <v>46216</v>
      </c>
      <c r="D1716" s="6">
        <v>46204</v>
      </c>
      <c r="E1716" s="2" t="s">
        <v>260</v>
      </c>
      <c r="F1716" s="2" t="s">
        <v>4881</v>
      </c>
      <c r="G1716" s="6">
        <v>46174</v>
      </c>
      <c r="H1716" s="2" t="s">
        <v>71</v>
      </c>
      <c r="I1716" s="2" t="s">
        <v>39</v>
      </c>
      <c r="J1716" s="9">
        <v>10429.950000000001</v>
      </c>
      <c r="K1716" s="7">
        <v>1</v>
      </c>
      <c r="L1716" s="9">
        <v>10429.950000000001</v>
      </c>
      <c r="M1716" s="9">
        <v>10429.950000000001</v>
      </c>
      <c r="N1716" s="9">
        <v>5.74</v>
      </c>
      <c r="O1716" s="10">
        <f>IF(AND(OR(H1716="APPROVED",H1716="SCHEDULED"),COUNTIFS(tblSource[EventID],F1716,tblSource[ReleaseStatus],"APPROVED")=1,COUNTIFS(Period_Status!$A$2:$A$8,G1716,Period_Status!$B$2:$B$8,"ActualClosed")=1,C1716&gt;EOMONTH(Settlement_Bridge!$C$2,0)),1,0)</f>
        <v>0</v>
      </c>
      <c r="P1716" s="2" t="s">
        <v>4882</v>
      </c>
    </row>
    <row r="1717" spans="1:16" x14ac:dyDescent="0.25">
      <c r="A1717" s="2" t="s">
        <v>4883</v>
      </c>
      <c r="B1717" s="2" t="s">
        <v>199</v>
      </c>
      <c r="C1717" s="8">
        <v>46217</v>
      </c>
      <c r="D1717" s="6">
        <v>46204</v>
      </c>
      <c r="E1717" s="2" t="s">
        <v>260</v>
      </c>
      <c r="F1717" s="2" t="s">
        <v>4884</v>
      </c>
      <c r="G1717" s="6">
        <v>46174</v>
      </c>
      <c r="H1717" s="2" t="s">
        <v>71</v>
      </c>
      <c r="I1717" s="2" t="s">
        <v>76</v>
      </c>
      <c r="J1717" s="9">
        <v>169647360</v>
      </c>
      <c r="K1717" s="7">
        <v>6.2000000000000003E-5</v>
      </c>
      <c r="L1717" s="9">
        <v>10518.14</v>
      </c>
      <c r="M1717" s="9">
        <v>10602.96</v>
      </c>
      <c r="N1717" s="9">
        <v>5.78</v>
      </c>
      <c r="O1717" s="10">
        <f>IF(AND(OR(H1717="APPROVED",H1717="SCHEDULED"),COUNTIFS(tblSource[EventID],F1717,tblSource[ReleaseStatus],"APPROVED")=1,COUNTIFS(Period_Status!$A$2:$A$8,G1717,Period_Status!$B$2:$B$8,"ActualClosed")=1,C1717&gt;EOMONTH(Settlement_Bridge!$C$2,0)),1,0)</f>
        <v>0</v>
      </c>
      <c r="P1717" s="2" t="s">
        <v>4885</v>
      </c>
    </row>
    <row r="1718" spans="1:16" x14ac:dyDescent="0.25">
      <c r="A1718" s="2" t="s">
        <v>4886</v>
      </c>
      <c r="B1718" s="2" t="s">
        <v>199</v>
      </c>
      <c r="C1718" s="8">
        <v>46218</v>
      </c>
      <c r="D1718" s="6">
        <v>46204</v>
      </c>
      <c r="E1718" s="2" t="s">
        <v>260</v>
      </c>
      <c r="F1718" s="2" t="s">
        <v>4887</v>
      </c>
      <c r="G1718" s="6">
        <v>46174</v>
      </c>
      <c r="H1718" s="2" t="s">
        <v>71</v>
      </c>
      <c r="I1718" s="2" t="s">
        <v>70</v>
      </c>
      <c r="J1718" s="9">
        <v>16203.007519000001</v>
      </c>
      <c r="K1718" s="7">
        <v>0.65800000000000003</v>
      </c>
      <c r="L1718" s="9">
        <v>10661.58</v>
      </c>
      <c r="M1718" s="9">
        <v>10775</v>
      </c>
      <c r="N1718" s="9">
        <v>5.86</v>
      </c>
      <c r="O1718" s="10">
        <f>IF(AND(OR(H1718="APPROVED",H1718="SCHEDULED"),COUNTIFS(tblSource[EventID],F1718,tblSource[ReleaseStatus],"APPROVED")=1,COUNTIFS(Period_Status!$A$2:$A$8,G1718,Period_Status!$B$2:$B$8,"ActualClosed")=1,C1718&gt;EOMONTH(Settlement_Bridge!$C$2,0)),1,0)</f>
        <v>0</v>
      </c>
      <c r="P1718" s="2" t="s">
        <v>4888</v>
      </c>
    </row>
    <row r="1719" spans="1:16" x14ac:dyDescent="0.25">
      <c r="A1719" s="2" t="s">
        <v>4889</v>
      </c>
      <c r="B1719" s="2" t="s">
        <v>199</v>
      </c>
      <c r="C1719" s="8">
        <v>46219</v>
      </c>
      <c r="D1719" s="6">
        <v>46204</v>
      </c>
      <c r="E1719" s="2" t="s">
        <v>260</v>
      </c>
      <c r="F1719" s="2" t="s">
        <v>4890</v>
      </c>
      <c r="G1719" s="6">
        <v>46174</v>
      </c>
      <c r="H1719" s="2" t="s">
        <v>71</v>
      </c>
      <c r="I1719" s="2" t="s">
        <v>39</v>
      </c>
      <c r="J1719" s="9">
        <v>10948.01</v>
      </c>
      <c r="K1719" s="7">
        <v>1</v>
      </c>
      <c r="L1719" s="9">
        <v>10948.01</v>
      </c>
      <c r="M1719" s="9">
        <v>10948.01</v>
      </c>
      <c r="N1719" s="9">
        <v>6.02</v>
      </c>
      <c r="O1719" s="10">
        <f>IF(AND(OR(H1719="APPROVED",H1719="SCHEDULED"),COUNTIFS(tblSource[EventID],F1719,tblSource[ReleaseStatus],"APPROVED")=1,COUNTIFS(Period_Status!$A$2:$A$8,G1719,Period_Status!$B$2:$B$8,"ActualClosed")=1,C1719&gt;EOMONTH(Settlement_Bridge!$C$2,0)),1,0)</f>
        <v>0</v>
      </c>
      <c r="P1719" s="2" t="s">
        <v>4891</v>
      </c>
    </row>
    <row r="1720" spans="1:16" x14ac:dyDescent="0.25">
      <c r="A1720" s="2" t="s">
        <v>4892</v>
      </c>
      <c r="B1720" s="2" t="s">
        <v>199</v>
      </c>
      <c r="C1720" s="8">
        <v>46220</v>
      </c>
      <c r="D1720" s="6">
        <v>46204</v>
      </c>
      <c r="E1720" s="2" t="s">
        <v>260</v>
      </c>
      <c r="F1720" s="2" t="s">
        <v>4893</v>
      </c>
      <c r="G1720" s="6">
        <v>46174</v>
      </c>
      <c r="H1720" s="2" t="s">
        <v>71</v>
      </c>
      <c r="I1720" s="2" t="s">
        <v>76</v>
      </c>
      <c r="J1720" s="9">
        <v>177936320</v>
      </c>
      <c r="K1720" s="7">
        <v>6.2000000000000003E-5</v>
      </c>
      <c r="L1720" s="9">
        <v>11032.05</v>
      </c>
      <c r="M1720" s="9">
        <v>11121.02</v>
      </c>
      <c r="N1720" s="9">
        <v>6.07</v>
      </c>
      <c r="O1720" s="10">
        <f>IF(AND(OR(H1720="APPROVED",H1720="SCHEDULED"),COUNTIFS(tblSource[EventID],F1720,tblSource[ReleaseStatus],"APPROVED")=1,COUNTIFS(Period_Status!$A$2:$A$8,G1720,Period_Status!$B$2:$B$8,"ActualClosed")=1,C1720&gt;EOMONTH(Settlement_Bridge!$C$2,0)),1,0)</f>
        <v>0</v>
      </c>
      <c r="P1720" s="2" t="s">
        <v>4894</v>
      </c>
    </row>
    <row r="1721" spans="1:16" x14ac:dyDescent="0.25">
      <c r="A1721" s="2" t="s">
        <v>4895</v>
      </c>
      <c r="B1721" s="2" t="s">
        <v>199</v>
      </c>
      <c r="C1721" s="8">
        <v>46211</v>
      </c>
      <c r="D1721" s="6">
        <v>46204</v>
      </c>
      <c r="E1721" s="2" t="s">
        <v>260</v>
      </c>
      <c r="F1721" s="2" t="s">
        <v>4896</v>
      </c>
      <c r="G1721" s="6">
        <v>46174</v>
      </c>
      <c r="H1721" s="2" t="s">
        <v>71</v>
      </c>
      <c r="I1721" s="2" t="s">
        <v>70</v>
      </c>
      <c r="J1721" s="9">
        <v>6793.4015040000004</v>
      </c>
      <c r="K1721" s="7">
        <v>0.65800000000000003</v>
      </c>
      <c r="L1721" s="9">
        <v>4470.0600000000004</v>
      </c>
      <c r="M1721" s="9">
        <v>4517.6099999999997</v>
      </c>
      <c r="N1721" s="9">
        <v>2.46</v>
      </c>
      <c r="O1721" s="10">
        <f>IF(AND(OR(H1721="APPROVED",H1721="SCHEDULED"),COUNTIFS(tblSource[EventID],F1721,tblSource[ReleaseStatus],"APPROVED")=1,COUNTIFS(Period_Status!$A$2:$A$8,G1721,Period_Status!$B$2:$B$8,"ActualClosed")=1,C1721&gt;EOMONTH(Settlement_Bridge!$C$2,0)),1,0)</f>
        <v>0</v>
      </c>
      <c r="P1721" s="2" t="s">
        <v>4897</v>
      </c>
    </row>
    <row r="1722" spans="1:16" x14ac:dyDescent="0.25">
      <c r="A1722" s="2" t="s">
        <v>4898</v>
      </c>
      <c r="B1722" s="2" t="s">
        <v>199</v>
      </c>
      <c r="C1722" s="8">
        <v>46236</v>
      </c>
      <c r="D1722" s="6">
        <v>46235</v>
      </c>
      <c r="E1722" s="2" t="s">
        <v>260</v>
      </c>
      <c r="F1722" s="2" t="s">
        <v>4896</v>
      </c>
      <c r="G1722" s="6">
        <v>46174</v>
      </c>
      <c r="H1722" s="2" t="s">
        <v>71</v>
      </c>
      <c r="I1722" s="2" t="s">
        <v>70</v>
      </c>
      <c r="J1722" s="9">
        <v>10190.102255</v>
      </c>
      <c r="K1722" s="7">
        <v>0.65</v>
      </c>
      <c r="L1722" s="9">
        <v>6623.57</v>
      </c>
      <c r="M1722" s="9">
        <v>6776.42</v>
      </c>
      <c r="N1722" s="9">
        <v>3.64</v>
      </c>
      <c r="O1722" s="10">
        <f>IF(AND(OR(H1722="APPROVED",H1722="SCHEDULED"),COUNTIFS(tblSource[EventID],F1722,tblSource[ReleaseStatus],"APPROVED")=1,COUNTIFS(Period_Status!$A$2:$A$8,G1722,Period_Status!$B$2:$B$8,"ActualClosed")=1,C1722&gt;EOMONTH(Settlement_Bridge!$C$2,0)),1,0)</f>
        <v>1</v>
      </c>
      <c r="P1722" s="2" t="s">
        <v>4899</v>
      </c>
    </row>
    <row r="1723" spans="1:16" x14ac:dyDescent="0.25">
      <c r="A1723" s="2" t="s">
        <v>4900</v>
      </c>
      <c r="B1723" s="2" t="s">
        <v>199</v>
      </c>
      <c r="C1723" s="8">
        <v>46212</v>
      </c>
      <c r="D1723" s="6">
        <v>46204</v>
      </c>
      <c r="E1723" s="2" t="s">
        <v>260</v>
      </c>
      <c r="F1723" s="2" t="s">
        <v>4901</v>
      </c>
      <c r="G1723" s="6">
        <v>46174</v>
      </c>
      <c r="H1723" s="2" t="s">
        <v>71</v>
      </c>
      <c r="I1723" s="2" t="s">
        <v>39</v>
      </c>
      <c r="J1723" s="9">
        <v>4586.8159999999998</v>
      </c>
      <c r="K1723" s="7">
        <v>1</v>
      </c>
      <c r="L1723" s="9">
        <v>4586.82</v>
      </c>
      <c r="M1723" s="9">
        <v>4586.82</v>
      </c>
      <c r="N1723" s="9">
        <v>2.52</v>
      </c>
      <c r="O1723" s="10">
        <f>IF(AND(OR(H1723="APPROVED",H1723="SCHEDULED"),COUNTIFS(tblSource[EventID],F1723,tblSource[ReleaseStatus],"APPROVED")=1,COUNTIFS(Period_Status!$A$2:$A$8,G1723,Period_Status!$B$2:$B$8,"ActualClosed")=1,C1723&gt;EOMONTH(Settlement_Bridge!$C$2,0)),1,0)</f>
        <v>0</v>
      </c>
      <c r="P1723" s="2" t="s">
        <v>4902</v>
      </c>
    </row>
    <row r="1724" spans="1:16" x14ac:dyDescent="0.25">
      <c r="A1724" s="2" t="s">
        <v>4903</v>
      </c>
      <c r="B1724" s="2" t="s">
        <v>199</v>
      </c>
      <c r="C1724" s="8">
        <v>46237</v>
      </c>
      <c r="D1724" s="6">
        <v>46235</v>
      </c>
      <c r="E1724" s="2" t="s">
        <v>260</v>
      </c>
      <c r="F1724" s="2" t="s">
        <v>4901</v>
      </c>
      <c r="G1724" s="6">
        <v>46174</v>
      </c>
      <c r="H1724" s="2" t="s">
        <v>71</v>
      </c>
      <c r="I1724" s="2" t="s">
        <v>39</v>
      </c>
      <c r="J1724" s="9">
        <v>6880.2240000000002</v>
      </c>
      <c r="K1724" s="7">
        <v>1</v>
      </c>
      <c r="L1724" s="9">
        <v>6880.22</v>
      </c>
      <c r="M1724" s="9">
        <v>6880.22</v>
      </c>
      <c r="N1724" s="9">
        <v>3.78</v>
      </c>
      <c r="O1724" s="10">
        <f>IF(AND(OR(H1724="APPROVED",H1724="SCHEDULED"),COUNTIFS(tblSource[EventID],F1724,tblSource[ReleaseStatus],"APPROVED")=1,COUNTIFS(Period_Status!$A$2:$A$8,G1724,Period_Status!$B$2:$B$8,"ActualClosed")=1,C1724&gt;EOMONTH(Settlement_Bridge!$C$2,0)),1,0)</f>
        <v>1</v>
      </c>
      <c r="P1724" s="2" t="s">
        <v>4904</v>
      </c>
    </row>
    <row r="1725" spans="1:16" x14ac:dyDescent="0.25">
      <c r="A1725" s="2" t="s">
        <v>4905</v>
      </c>
      <c r="B1725" s="2" t="s">
        <v>199</v>
      </c>
      <c r="C1725" s="8">
        <v>46223</v>
      </c>
      <c r="D1725" s="6">
        <v>46204</v>
      </c>
      <c r="E1725" s="2" t="s">
        <v>260</v>
      </c>
      <c r="F1725" s="2" t="s">
        <v>4906</v>
      </c>
      <c r="G1725" s="6">
        <v>46174</v>
      </c>
      <c r="H1725" s="2" t="s">
        <v>71</v>
      </c>
      <c r="I1725" s="2" t="s">
        <v>76</v>
      </c>
      <c r="J1725" s="9">
        <v>186240800</v>
      </c>
      <c r="K1725" s="7">
        <v>6.2000000000000003E-5</v>
      </c>
      <c r="L1725" s="9">
        <v>11546.93</v>
      </c>
      <c r="M1725" s="9">
        <v>11640.05</v>
      </c>
      <c r="N1725" s="9">
        <v>6.35</v>
      </c>
      <c r="O1725" s="10">
        <f>IF(AND(OR(H1725="APPROVED",H1725="SCHEDULED"),COUNTIFS(tblSource[EventID],F1725,tblSource[ReleaseStatus],"APPROVED")=1,COUNTIFS(Period_Status!$A$2:$A$8,G1725,Period_Status!$B$2:$B$8,"ActualClosed")=1,C1725&gt;EOMONTH(Settlement_Bridge!$C$2,0)),1,0)</f>
        <v>0</v>
      </c>
      <c r="P1725" s="2" t="s">
        <v>4907</v>
      </c>
    </row>
    <row r="1726" spans="1:16" x14ac:dyDescent="0.25">
      <c r="A1726" s="2" t="s">
        <v>4908</v>
      </c>
      <c r="B1726" s="2" t="s">
        <v>199</v>
      </c>
      <c r="C1726" s="8">
        <v>46224</v>
      </c>
      <c r="D1726" s="6">
        <v>46204</v>
      </c>
      <c r="E1726" s="2" t="s">
        <v>260</v>
      </c>
      <c r="F1726" s="2" t="s">
        <v>4909</v>
      </c>
      <c r="G1726" s="6">
        <v>46174</v>
      </c>
      <c r="H1726" s="2" t="s">
        <v>71</v>
      </c>
      <c r="I1726" s="2" t="s">
        <v>70</v>
      </c>
      <c r="J1726" s="9">
        <v>17764</v>
      </c>
      <c r="K1726" s="7">
        <v>0.65800000000000003</v>
      </c>
      <c r="L1726" s="9">
        <v>11688.71</v>
      </c>
      <c r="M1726" s="9">
        <v>11813.06</v>
      </c>
      <c r="N1726" s="9">
        <v>6.43</v>
      </c>
      <c r="O1726" s="10">
        <f>IF(AND(OR(H1726="APPROVED",H1726="SCHEDULED"),COUNTIFS(tblSource[EventID],F1726,tblSource[ReleaseStatus],"APPROVED")=1,COUNTIFS(Period_Status!$A$2:$A$8,G1726,Period_Status!$B$2:$B$8,"ActualClosed")=1,C1726&gt;EOMONTH(Settlement_Bridge!$C$2,0)),1,0)</f>
        <v>0</v>
      </c>
      <c r="P1726" s="2" t="s">
        <v>4910</v>
      </c>
    </row>
    <row r="1727" spans="1:16" x14ac:dyDescent="0.25">
      <c r="A1727" s="2" t="s">
        <v>4911</v>
      </c>
      <c r="B1727" s="2" t="s">
        <v>199</v>
      </c>
      <c r="C1727" s="8">
        <v>46215</v>
      </c>
      <c r="D1727" s="6">
        <v>46204</v>
      </c>
      <c r="E1727" s="2" t="s">
        <v>260</v>
      </c>
      <c r="F1727" s="2" t="s">
        <v>4912</v>
      </c>
      <c r="G1727" s="6">
        <v>46174</v>
      </c>
      <c r="H1727" s="2" t="s">
        <v>71</v>
      </c>
      <c r="I1727" s="2" t="s">
        <v>39</v>
      </c>
      <c r="J1727" s="9">
        <v>4794.4279999999999</v>
      </c>
      <c r="K1727" s="7">
        <v>1</v>
      </c>
      <c r="L1727" s="9">
        <v>4794.43</v>
      </c>
      <c r="M1727" s="9">
        <v>4794.43</v>
      </c>
      <c r="N1727" s="9">
        <v>2.64</v>
      </c>
      <c r="O1727" s="10">
        <f>IF(AND(OR(H1727="APPROVED",H1727="SCHEDULED"),COUNTIFS(tblSource[EventID],F1727,tblSource[ReleaseStatus],"APPROVED")=1,COUNTIFS(Period_Status!$A$2:$A$8,G1727,Period_Status!$B$2:$B$8,"ActualClosed")=1,C1727&gt;EOMONTH(Settlement_Bridge!$C$2,0)),1,0)</f>
        <v>0</v>
      </c>
      <c r="P1727" s="2" t="s">
        <v>4913</v>
      </c>
    </row>
    <row r="1728" spans="1:16" x14ac:dyDescent="0.25">
      <c r="A1728" s="2" t="s">
        <v>4914</v>
      </c>
      <c r="B1728" s="2" t="s">
        <v>199</v>
      </c>
      <c r="C1728" s="8">
        <v>46240</v>
      </c>
      <c r="D1728" s="6">
        <v>46235</v>
      </c>
      <c r="E1728" s="2" t="s">
        <v>260</v>
      </c>
      <c r="F1728" s="2" t="s">
        <v>4912</v>
      </c>
      <c r="G1728" s="6">
        <v>46174</v>
      </c>
      <c r="H1728" s="2" t="s">
        <v>71</v>
      </c>
      <c r="I1728" s="2" t="s">
        <v>39</v>
      </c>
      <c r="J1728" s="9">
        <v>7191.6419999999998</v>
      </c>
      <c r="K1728" s="7">
        <v>1</v>
      </c>
      <c r="L1728" s="9">
        <v>7191.64</v>
      </c>
      <c r="M1728" s="9">
        <v>7191.64</v>
      </c>
      <c r="N1728" s="9">
        <v>3.96</v>
      </c>
      <c r="O1728" s="10">
        <f>IF(AND(OR(H1728="APPROVED",H1728="SCHEDULED"),COUNTIFS(tblSource[EventID],F1728,tblSource[ReleaseStatus],"APPROVED")=1,COUNTIFS(Period_Status!$A$2:$A$8,G1728,Period_Status!$B$2:$B$8,"ActualClosed")=1,C1728&gt;EOMONTH(Settlement_Bridge!$C$2,0)),1,0)</f>
        <v>1</v>
      </c>
      <c r="P1728" s="2" t="s">
        <v>4915</v>
      </c>
    </row>
    <row r="1729" spans="1:16" x14ac:dyDescent="0.25">
      <c r="A1729" s="2" t="s">
        <v>4916</v>
      </c>
      <c r="B1729" s="2" t="s">
        <v>199</v>
      </c>
      <c r="C1729" s="8">
        <v>46226</v>
      </c>
      <c r="D1729" s="6">
        <v>46204</v>
      </c>
      <c r="E1729" s="2" t="s">
        <v>260</v>
      </c>
      <c r="F1729" s="2" t="s">
        <v>4917</v>
      </c>
      <c r="G1729" s="6">
        <v>46174</v>
      </c>
      <c r="H1729" s="2" t="s">
        <v>71</v>
      </c>
      <c r="I1729" s="2" t="s">
        <v>76</v>
      </c>
      <c r="J1729" s="9">
        <v>194545280</v>
      </c>
      <c r="K1729" s="7">
        <v>6.2000000000000003E-5</v>
      </c>
      <c r="L1729" s="9">
        <v>12061.81</v>
      </c>
      <c r="M1729" s="9">
        <v>12159.08</v>
      </c>
      <c r="N1729" s="9">
        <v>6.63</v>
      </c>
      <c r="O1729" s="10">
        <f>IF(AND(OR(H1729="APPROVED",H1729="SCHEDULED"),COUNTIFS(tblSource[EventID],F1729,tblSource[ReleaseStatus],"APPROVED")=1,COUNTIFS(Period_Status!$A$2:$A$8,G1729,Period_Status!$B$2:$B$8,"ActualClosed")=1,C1729&gt;EOMONTH(Settlement_Bridge!$C$2,0)),1,0)</f>
        <v>0</v>
      </c>
      <c r="P1729" s="2" t="s">
        <v>4918</v>
      </c>
    </row>
    <row r="1730" spans="1:16" x14ac:dyDescent="0.25">
      <c r="A1730" s="2" t="s">
        <v>4919</v>
      </c>
      <c r="B1730" s="2" t="s">
        <v>199</v>
      </c>
      <c r="C1730" s="8">
        <v>46227</v>
      </c>
      <c r="D1730" s="6">
        <v>46204</v>
      </c>
      <c r="E1730" s="2" t="s">
        <v>260</v>
      </c>
      <c r="F1730" s="2" t="s">
        <v>4920</v>
      </c>
      <c r="G1730" s="6">
        <v>46174</v>
      </c>
      <c r="H1730" s="2" t="s">
        <v>71</v>
      </c>
      <c r="I1730" s="2" t="s">
        <v>70</v>
      </c>
      <c r="J1730" s="9">
        <v>18544.496241000001</v>
      </c>
      <c r="K1730" s="7">
        <v>0.65800000000000003</v>
      </c>
      <c r="L1730" s="9">
        <v>12202.28</v>
      </c>
      <c r="M1730" s="9">
        <v>12332.09</v>
      </c>
      <c r="N1730" s="9">
        <v>6.71</v>
      </c>
      <c r="O1730" s="10">
        <f>IF(AND(OR(H1730="APPROVED",H1730="SCHEDULED"),COUNTIFS(tblSource[EventID],F1730,tblSource[ReleaseStatus],"APPROVED")=1,COUNTIFS(Period_Status!$A$2:$A$8,G1730,Period_Status!$B$2:$B$8,"ActualClosed")=1,C1730&gt;EOMONTH(Settlement_Bridge!$C$2,0)),1,0)</f>
        <v>0</v>
      </c>
      <c r="P1730" s="2" t="s">
        <v>4921</v>
      </c>
    </row>
    <row r="1731" spans="1:16" x14ac:dyDescent="0.25">
      <c r="A1731" s="2" t="s">
        <v>4922</v>
      </c>
      <c r="B1731" s="2" t="s">
        <v>199</v>
      </c>
      <c r="C1731" s="8">
        <v>46198</v>
      </c>
      <c r="D1731" s="6">
        <v>46174</v>
      </c>
      <c r="E1731" s="2" t="s">
        <v>260</v>
      </c>
      <c r="F1731" s="2" t="s">
        <v>4923</v>
      </c>
      <c r="G1731" s="6">
        <v>46174</v>
      </c>
      <c r="H1731" s="2" t="s">
        <v>71</v>
      </c>
      <c r="I1731" s="2" t="s">
        <v>39</v>
      </c>
      <c r="J1731" s="9">
        <v>12505.1</v>
      </c>
      <c r="K1731" s="7">
        <v>1</v>
      </c>
      <c r="L1731" s="9">
        <v>12505.1</v>
      </c>
      <c r="M1731" s="9">
        <v>12505.1</v>
      </c>
      <c r="N1731" s="9">
        <v>6.88</v>
      </c>
      <c r="O1731" s="10">
        <f>IF(AND(OR(H1731="APPROVED",H1731="SCHEDULED"),COUNTIFS(tblSource[EventID],F1731,tblSource[ReleaseStatus],"APPROVED")=1,COUNTIFS(Period_Status!$A$2:$A$8,G1731,Period_Status!$B$2:$B$8,"ActualClosed")=1,C1731&gt;EOMONTH(Settlement_Bridge!$C$2,0)),1,0)</f>
        <v>0</v>
      </c>
      <c r="P1731" s="2" t="s">
        <v>4924</v>
      </c>
    </row>
    <row r="1732" spans="1:16" x14ac:dyDescent="0.25">
      <c r="A1732" s="2" t="s">
        <v>4925</v>
      </c>
      <c r="B1732" s="2" t="s">
        <v>199</v>
      </c>
      <c r="C1732" s="8">
        <v>46199</v>
      </c>
      <c r="D1732" s="6">
        <v>46174</v>
      </c>
      <c r="E1732" s="2" t="s">
        <v>260</v>
      </c>
      <c r="F1732" s="2" t="s">
        <v>4926</v>
      </c>
      <c r="G1732" s="6">
        <v>46174</v>
      </c>
      <c r="H1732" s="2" t="s">
        <v>71</v>
      </c>
      <c r="I1732" s="2" t="s">
        <v>76</v>
      </c>
      <c r="J1732" s="9">
        <v>202849760</v>
      </c>
      <c r="K1732" s="7">
        <v>6.2500000000000001E-5</v>
      </c>
      <c r="L1732" s="9">
        <v>12678.11</v>
      </c>
      <c r="M1732" s="9">
        <v>12678.11</v>
      </c>
      <c r="N1732" s="9">
        <v>6.97</v>
      </c>
      <c r="O1732" s="10">
        <f>IF(AND(OR(H1732="APPROVED",H1732="SCHEDULED"),COUNTIFS(tblSource[EventID],F1732,tblSource[ReleaseStatus],"APPROVED")=1,COUNTIFS(Period_Status!$A$2:$A$8,G1732,Period_Status!$B$2:$B$8,"ActualClosed")=1,C1732&gt;EOMONTH(Settlement_Bridge!$C$2,0)),1,0)</f>
        <v>0</v>
      </c>
      <c r="P1732" s="2" t="s">
        <v>4927</v>
      </c>
    </row>
    <row r="1733" spans="1:16" x14ac:dyDescent="0.25">
      <c r="A1733" s="2" t="s">
        <v>4928</v>
      </c>
      <c r="B1733" s="2" t="s">
        <v>199</v>
      </c>
      <c r="C1733" s="8">
        <v>46200</v>
      </c>
      <c r="D1733" s="6">
        <v>46174</v>
      </c>
      <c r="E1733" s="2" t="s">
        <v>260</v>
      </c>
      <c r="F1733" s="2" t="s">
        <v>4929</v>
      </c>
      <c r="G1733" s="6">
        <v>46174</v>
      </c>
      <c r="H1733" s="2" t="s">
        <v>71</v>
      </c>
      <c r="I1733" s="2" t="s">
        <v>70</v>
      </c>
      <c r="J1733" s="9">
        <v>19324.992481000001</v>
      </c>
      <c r="K1733" s="7">
        <v>0.66500000000000004</v>
      </c>
      <c r="L1733" s="9">
        <v>12851.12</v>
      </c>
      <c r="M1733" s="9">
        <v>12851.12</v>
      </c>
      <c r="N1733" s="9">
        <v>7.07</v>
      </c>
      <c r="O1733" s="10">
        <f>IF(AND(OR(H1733="APPROVED",H1733="SCHEDULED"),COUNTIFS(tblSource[EventID],F1733,tblSource[ReleaseStatus],"APPROVED")=1,COUNTIFS(Period_Status!$A$2:$A$8,G1733,Period_Status!$B$2:$B$8,"ActualClosed")=1,C1733&gt;EOMONTH(Settlement_Bridge!$C$2,0)),1,0)</f>
        <v>0</v>
      </c>
      <c r="P1733" s="2" t="s">
        <v>4930</v>
      </c>
    </row>
    <row r="1734" spans="1:16" x14ac:dyDescent="0.25">
      <c r="A1734" s="2" t="s">
        <v>4931</v>
      </c>
      <c r="B1734" s="2" t="s">
        <v>199</v>
      </c>
      <c r="C1734" s="8">
        <v>46191</v>
      </c>
      <c r="D1734" s="6">
        <v>46174</v>
      </c>
      <c r="E1734" s="2" t="s">
        <v>260</v>
      </c>
      <c r="F1734" s="2" t="s">
        <v>4932</v>
      </c>
      <c r="G1734" s="6">
        <v>46174</v>
      </c>
      <c r="H1734" s="2" t="s">
        <v>71</v>
      </c>
      <c r="I1734" s="2" t="s">
        <v>39</v>
      </c>
      <c r="J1734" s="9">
        <v>5209.652</v>
      </c>
      <c r="K1734" s="7">
        <v>1</v>
      </c>
      <c r="L1734" s="9">
        <v>5209.6499999999996</v>
      </c>
      <c r="M1734" s="9">
        <v>5209.6499999999996</v>
      </c>
      <c r="N1734" s="9">
        <v>2.87</v>
      </c>
      <c r="O1734" s="10">
        <f>IF(AND(OR(H1734="APPROVED",H1734="SCHEDULED"),COUNTIFS(tblSource[EventID],F1734,tblSource[ReleaseStatus],"APPROVED")=1,COUNTIFS(Period_Status!$A$2:$A$8,G1734,Period_Status!$B$2:$B$8,"ActualClosed")=1,C1734&gt;EOMONTH(Settlement_Bridge!$C$2,0)),1,0)</f>
        <v>0</v>
      </c>
      <c r="P1734" s="2" t="s">
        <v>4933</v>
      </c>
    </row>
    <row r="1735" spans="1:16" x14ac:dyDescent="0.25">
      <c r="A1735" s="2" t="s">
        <v>4934</v>
      </c>
      <c r="B1735" s="2" t="s">
        <v>199</v>
      </c>
      <c r="C1735" s="8">
        <v>46216</v>
      </c>
      <c r="D1735" s="6">
        <v>46204</v>
      </c>
      <c r="E1735" s="2" t="s">
        <v>260</v>
      </c>
      <c r="F1735" s="2" t="s">
        <v>4932</v>
      </c>
      <c r="G1735" s="6">
        <v>46174</v>
      </c>
      <c r="H1735" s="2" t="s">
        <v>71</v>
      </c>
      <c r="I1735" s="2" t="s">
        <v>39</v>
      </c>
      <c r="J1735" s="9">
        <v>7814.4780000000001</v>
      </c>
      <c r="K1735" s="7">
        <v>1</v>
      </c>
      <c r="L1735" s="9">
        <v>7814.48</v>
      </c>
      <c r="M1735" s="9">
        <v>7814.48</v>
      </c>
      <c r="N1735" s="9">
        <v>4.3</v>
      </c>
      <c r="O1735" s="10">
        <f>IF(AND(OR(H1735="APPROVED",H1735="SCHEDULED"),COUNTIFS(tblSource[EventID],F1735,tblSource[ReleaseStatus],"APPROVED")=1,COUNTIFS(Period_Status!$A$2:$A$8,G1735,Period_Status!$B$2:$B$8,"ActualClosed")=1,C1735&gt;EOMONTH(Settlement_Bridge!$C$2,0)),1,0)</f>
        <v>0</v>
      </c>
      <c r="P1735" s="2" t="s">
        <v>4935</v>
      </c>
    </row>
    <row r="1736" spans="1:16" x14ac:dyDescent="0.25">
      <c r="A1736" s="2" t="s">
        <v>4936</v>
      </c>
      <c r="B1736" s="2" t="s">
        <v>199</v>
      </c>
      <c r="C1736" s="8">
        <v>46192</v>
      </c>
      <c r="D1736" s="6">
        <v>46174</v>
      </c>
      <c r="E1736" s="2" t="s">
        <v>260</v>
      </c>
      <c r="F1736" s="2" t="s">
        <v>4937</v>
      </c>
      <c r="G1736" s="6">
        <v>46174</v>
      </c>
      <c r="H1736" s="2" t="s">
        <v>71</v>
      </c>
      <c r="I1736" s="2" t="s">
        <v>76</v>
      </c>
      <c r="J1736" s="9">
        <v>84461696</v>
      </c>
      <c r="K1736" s="7">
        <v>6.2500000000000001E-5</v>
      </c>
      <c r="L1736" s="9">
        <v>5278.86</v>
      </c>
      <c r="M1736" s="9">
        <v>5278.86</v>
      </c>
      <c r="N1736" s="9">
        <v>2.9</v>
      </c>
      <c r="O1736" s="10">
        <f>IF(AND(OR(H1736="APPROVED",H1736="SCHEDULED"),COUNTIFS(tblSource[EventID],F1736,tblSource[ReleaseStatus],"APPROVED")=1,COUNTIFS(Period_Status!$A$2:$A$8,G1736,Period_Status!$B$2:$B$8,"ActualClosed")=1,C1736&gt;EOMONTH(Settlement_Bridge!$C$2,0)),1,0)</f>
        <v>0</v>
      </c>
      <c r="P1736" s="2" t="s">
        <v>4938</v>
      </c>
    </row>
    <row r="1737" spans="1:16" x14ac:dyDescent="0.25">
      <c r="A1737" s="2" t="s">
        <v>4939</v>
      </c>
      <c r="B1737" s="2" t="s">
        <v>199</v>
      </c>
      <c r="C1737" s="8">
        <v>46217</v>
      </c>
      <c r="D1737" s="6">
        <v>46204</v>
      </c>
      <c r="E1737" s="2" t="s">
        <v>260</v>
      </c>
      <c r="F1737" s="2" t="s">
        <v>4937</v>
      </c>
      <c r="G1737" s="6">
        <v>46174</v>
      </c>
      <c r="H1737" s="2" t="s">
        <v>71</v>
      </c>
      <c r="I1737" s="2" t="s">
        <v>76</v>
      </c>
      <c r="J1737" s="9">
        <v>126692544</v>
      </c>
      <c r="K1737" s="7">
        <v>6.2000000000000003E-5</v>
      </c>
      <c r="L1737" s="9">
        <v>7854.94</v>
      </c>
      <c r="M1737" s="9">
        <v>7918.28</v>
      </c>
      <c r="N1737" s="9">
        <v>4.32</v>
      </c>
      <c r="O1737" s="10">
        <f>IF(AND(OR(H1737="APPROVED",H1737="SCHEDULED"),COUNTIFS(tblSource[EventID],F1737,tblSource[ReleaseStatus],"APPROVED")=1,COUNTIFS(Period_Status!$A$2:$A$8,G1737,Period_Status!$B$2:$B$8,"ActualClosed")=1,C1737&gt;EOMONTH(Settlement_Bridge!$C$2,0)),1,0)</f>
        <v>0</v>
      </c>
      <c r="P1737" s="2" t="s">
        <v>4940</v>
      </c>
    </row>
    <row r="1738" spans="1:16" x14ac:dyDescent="0.25">
      <c r="A1738" s="2" t="s">
        <v>4941</v>
      </c>
      <c r="B1738" s="2" t="s">
        <v>199</v>
      </c>
      <c r="C1738" s="8">
        <v>46203</v>
      </c>
      <c r="D1738" s="6">
        <v>46174</v>
      </c>
      <c r="E1738" s="2" t="s">
        <v>260</v>
      </c>
      <c r="F1738" s="2" t="s">
        <v>4942</v>
      </c>
      <c r="G1738" s="6">
        <v>46174</v>
      </c>
      <c r="H1738" s="2" t="s">
        <v>71</v>
      </c>
      <c r="I1738" s="2" t="s">
        <v>70</v>
      </c>
      <c r="J1738" s="9">
        <v>20105.488721999998</v>
      </c>
      <c r="K1738" s="7">
        <v>0.66500000000000004</v>
      </c>
      <c r="L1738" s="9">
        <v>13370.15</v>
      </c>
      <c r="M1738" s="9">
        <v>13370.15</v>
      </c>
      <c r="N1738" s="9">
        <v>7.35</v>
      </c>
      <c r="O1738" s="10">
        <f>IF(AND(OR(H1738="APPROVED",H1738="SCHEDULED"),COUNTIFS(tblSource[EventID],F1738,tblSource[ReleaseStatus],"APPROVED")=1,COUNTIFS(Period_Status!$A$2:$A$8,G1738,Period_Status!$B$2:$B$8,"ActualClosed")=1,C1738&gt;EOMONTH(Settlement_Bridge!$C$2,0)),1,0)</f>
        <v>0</v>
      </c>
      <c r="P1738" s="2" t="s">
        <v>4943</v>
      </c>
    </row>
    <row r="1739" spans="1:16" x14ac:dyDescent="0.25">
      <c r="A1739" s="2" t="s">
        <v>4944</v>
      </c>
      <c r="B1739" s="2" t="s">
        <v>199</v>
      </c>
      <c r="C1739" s="8">
        <v>46204</v>
      </c>
      <c r="D1739" s="6">
        <v>46204</v>
      </c>
      <c r="E1739" s="2" t="s">
        <v>260</v>
      </c>
      <c r="F1739" s="2" t="s">
        <v>4945</v>
      </c>
      <c r="G1739" s="6">
        <v>46174</v>
      </c>
      <c r="H1739" s="2" t="s">
        <v>71</v>
      </c>
      <c r="I1739" s="2" t="s">
        <v>39</v>
      </c>
      <c r="J1739" s="9">
        <v>13543.16</v>
      </c>
      <c r="K1739" s="7">
        <v>1</v>
      </c>
      <c r="L1739" s="9">
        <v>13543.16</v>
      </c>
      <c r="M1739" s="9">
        <v>13543.16</v>
      </c>
      <c r="N1739" s="9">
        <v>7.45</v>
      </c>
      <c r="O1739" s="10">
        <f>IF(AND(OR(H1739="APPROVED",H1739="SCHEDULED"),COUNTIFS(tblSource[EventID],F1739,tblSource[ReleaseStatus],"APPROVED")=1,COUNTIFS(Period_Status!$A$2:$A$8,G1739,Period_Status!$B$2:$B$8,"ActualClosed")=1,C1739&gt;EOMONTH(Settlement_Bridge!$C$2,0)),1,0)</f>
        <v>0</v>
      </c>
      <c r="P1739" s="2" t="s">
        <v>4946</v>
      </c>
    </row>
    <row r="1740" spans="1:16" x14ac:dyDescent="0.25">
      <c r="A1740" s="2" t="s">
        <v>4947</v>
      </c>
      <c r="B1740" s="2" t="s">
        <v>199</v>
      </c>
      <c r="C1740" s="8">
        <v>46195</v>
      </c>
      <c r="D1740" s="6">
        <v>46174</v>
      </c>
      <c r="E1740" s="2" t="s">
        <v>260</v>
      </c>
      <c r="F1740" s="2" t="s">
        <v>4948</v>
      </c>
      <c r="G1740" s="6">
        <v>46174</v>
      </c>
      <c r="H1740" s="2" t="s">
        <v>71</v>
      </c>
      <c r="I1740" s="2" t="s">
        <v>76</v>
      </c>
      <c r="J1740" s="9">
        <v>87783488</v>
      </c>
      <c r="K1740" s="7">
        <v>6.2500000000000001E-5</v>
      </c>
      <c r="L1740" s="9">
        <v>5486.47</v>
      </c>
      <c r="M1740" s="9">
        <v>5486.47</v>
      </c>
      <c r="N1740" s="9">
        <v>3.02</v>
      </c>
      <c r="O1740" s="10">
        <f>IF(AND(OR(H1740="APPROVED",H1740="SCHEDULED"),COUNTIFS(tblSource[EventID],F1740,tblSource[ReleaseStatus],"APPROVED")=1,COUNTIFS(Period_Status!$A$2:$A$8,G1740,Period_Status!$B$2:$B$8,"ActualClosed")=1,C1740&gt;EOMONTH(Settlement_Bridge!$C$2,0)),1,0)</f>
        <v>0</v>
      </c>
      <c r="P1740" s="2" t="s">
        <v>4949</v>
      </c>
    </row>
    <row r="1741" spans="1:16" x14ac:dyDescent="0.25">
      <c r="A1741" s="2" t="s">
        <v>4950</v>
      </c>
      <c r="B1741" s="2" t="s">
        <v>199</v>
      </c>
      <c r="C1741" s="8">
        <v>46220</v>
      </c>
      <c r="D1741" s="6">
        <v>46204</v>
      </c>
      <c r="E1741" s="2" t="s">
        <v>260</v>
      </c>
      <c r="F1741" s="2" t="s">
        <v>4948</v>
      </c>
      <c r="G1741" s="6">
        <v>46174</v>
      </c>
      <c r="H1741" s="2" t="s">
        <v>71</v>
      </c>
      <c r="I1741" s="2" t="s">
        <v>76</v>
      </c>
      <c r="J1741" s="9">
        <v>131675232</v>
      </c>
      <c r="K1741" s="7">
        <v>6.2000000000000003E-5</v>
      </c>
      <c r="L1741" s="9">
        <v>8163.86</v>
      </c>
      <c r="M1741" s="9">
        <v>8229.7000000000007</v>
      </c>
      <c r="N1741" s="9">
        <v>4.49</v>
      </c>
      <c r="O1741" s="10">
        <f>IF(AND(OR(H1741="APPROVED",H1741="SCHEDULED"),COUNTIFS(tblSource[EventID],F1741,tblSource[ReleaseStatus],"APPROVED")=1,COUNTIFS(Period_Status!$A$2:$A$8,G1741,Period_Status!$B$2:$B$8,"ActualClosed")=1,C1741&gt;EOMONTH(Settlement_Bridge!$C$2,0)),1,0)</f>
        <v>0</v>
      </c>
      <c r="P1741" s="2" t="s">
        <v>4951</v>
      </c>
    </row>
    <row r="1742" spans="1:16" x14ac:dyDescent="0.25">
      <c r="A1742" s="2" t="s">
        <v>4952</v>
      </c>
      <c r="B1742" s="2" t="s">
        <v>199</v>
      </c>
      <c r="C1742" s="8">
        <v>46206</v>
      </c>
      <c r="D1742" s="6">
        <v>46204</v>
      </c>
      <c r="E1742" s="2" t="s">
        <v>260</v>
      </c>
      <c r="F1742" s="2" t="s">
        <v>4953</v>
      </c>
      <c r="G1742" s="6">
        <v>46174</v>
      </c>
      <c r="H1742" s="2" t="s">
        <v>71</v>
      </c>
      <c r="I1742" s="2" t="s">
        <v>70</v>
      </c>
      <c r="J1742" s="9">
        <v>20885.984961999999</v>
      </c>
      <c r="K1742" s="7">
        <v>0.65800000000000003</v>
      </c>
      <c r="L1742" s="9">
        <v>13742.98</v>
      </c>
      <c r="M1742" s="9">
        <v>13889.18</v>
      </c>
      <c r="N1742" s="9">
        <v>7.56</v>
      </c>
      <c r="O1742" s="10">
        <f>IF(AND(OR(H1742="APPROVED",H1742="SCHEDULED"),COUNTIFS(tblSource[EventID],F1742,tblSource[ReleaseStatus],"APPROVED")=1,COUNTIFS(Period_Status!$A$2:$A$8,G1742,Period_Status!$B$2:$B$8,"ActualClosed")=1,C1742&gt;EOMONTH(Settlement_Bridge!$C$2,0)),1,0)</f>
        <v>0</v>
      </c>
      <c r="P1742" s="2" t="s">
        <v>4954</v>
      </c>
    </row>
    <row r="1743" spans="1:16" x14ac:dyDescent="0.25">
      <c r="A1743" s="2" t="s">
        <v>4955</v>
      </c>
      <c r="B1743" s="2" t="s">
        <v>199</v>
      </c>
      <c r="C1743" s="8">
        <v>46207</v>
      </c>
      <c r="D1743" s="6">
        <v>46204</v>
      </c>
      <c r="E1743" s="2" t="s">
        <v>260</v>
      </c>
      <c r="F1743" s="2" t="s">
        <v>4956</v>
      </c>
      <c r="G1743" s="6">
        <v>46174</v>
      </c>
      <c r="H1743" s="2" t="s">
        <v>71</v>
      </c>
      <c r="I1743" s="2" t="s">
        <v>39</v>
      </c>
      <c r="J1743" s="9">
        <v>14062.19</v>
      </c>
      <c r="K1743" s="7">
        <v>1</v>
      </c>
      <c r="L1743" s="9">
        <v>14062.19</v>
      </c>
      <c r="M1743" s="9">
        <v>14062.19</v>
      </c>
      <c r="N1743" s="9">
        <v>7.73</v>
      </c>
      <c r="O1743" s="10">
        <f>IF(AND(OR(H1743="APPROVED",H1743="SCHEDULED"),COUNTIFS(tblSource[EventID],F1743,tblSource[ReleaseStatus],"APPROVED")=1,COUNTIFS(Period_Status!$A$2:$A$8,G1743,Period_Status!$B$2:$B$8,"ActualClosed")=1,C1743&gt;EOMONTH(Settlement_Bridge!$C$2,0)),1,0)</f>
        <v>0</v>
      </c>
      <c r="P1743" s="2" t="s">
        <v>4957</v>
      </c>
    </row>
    <row r="1744" spans="1:16" x14ac:dyDescent="0.25">
      <c r="A1744" s="2" t="s">
        <v>4958</v>
      </c>
      <c r="B1744" s="2" t="s">
        <v>199</v>
      </c>
      <c r="C1744" s="8">
        <v>46208</v>
      </c>
      <c r="D1744" s="6">
        <v>46204</v>
      </c>
      <c r="E1744" s="2" t="s">
        <v>260</v>
      </c>
      <c r="F1744" s="2" t="s">
        <v>4959</v>
      </c>
      <c r="G1744" s="6">
        <v>46174</v>
      </c>
      <c r="H1744" s="2" t="s">
        <v>71</v>
      </c>
      <c r="I1744" s="2" t="s">
        <v>76</v>
      </c>
      <c r="J1744" s="9">
        <v>227763200</v>
      </c>
      <c r="K1744" s="7">
        <v>6.2000000000000003E-5</v>
      </c>
      <c r="L1744" s="9">
        <v>14121.32</v>
      </c>
      <c r="M1744" s="9">
        <v>14235.2</v>
      </c>
      <c r="N1744" s="9">
        <v>7.77</v>
      </c>
      <c r="O1744" s="10">
        <f>IF(AND(OR(H1744="APPROVED",H1744="SCHEDULED"),COUNTIFS(tblSource[EventID],F1744,tblSource[ReleaseStatus],"APPROVED")=1,COUNTIFS(Period_Status!$A$2:$A$8,G1744,Period_Status!$B$2:$B$8,"ActualClosed")=1,C1744&gt;EOMONTH(Settlement_Bridge!$C$2,0)),1,0)</f>
        <v>0</v>
      </c>
      <c r="P1744" s="2" t="s">
        <v>4960</v>
      </c>
    </row>
    <row r="1745" spans="1:16" x14ac:dyDescent="0.25">
      <c r="A1745" s="2" t="s">
        <v>4961</v>
      </c>
      <c r="B1745" s="2" t="s">
        <v>199</v>
      </c>
      <c r="C1745" s="8">
        <v>46209</v>
      </c>
      <c r="D1745" s="6">
        <v>46204</v>
      </c>
      <c r="E1745" s="2" t="s">
        <v>260</v>
      </c>
      <c r="F1745" s="2" t="s">
        <v>4962</v>
      </c>
      <c r="G1745" s="6">
        <v>46174</v>
      </c>
      <c r="H1745" s="2" t="s">
        <v>71</v>
      </c>
      <c r="I1745" s="2" t="s">
        <v>70</v>
      </c>
      <c r="J1745" s="9">
        <v>21666.481202999999</v>
      </c>
      <c r="K1745" s="7">
        <v>0.65800000000000003</v>
      </c>
      <c r="L1745" s="9">
        <v>14256.54</v>
      </c>
      <c r="M1745" s="9">
        <v>14408.21</v>
      </c>
      <c r="N1745" s="9">
        <v>7.84</v>
      </c>
      <c r="O1745" s="10">
        <f>IF(AND(OR(H1745="APPROVED",H1745="SCHEDULED"),COUNTIFS(tblSource[EventID],F1745,tblSource[ReleaseStatus],"APPROVED")=1,COUNTIFS(Period_Status!$A$2:$A$8,G1745,Period_Status!$B$2:$B$8,"ActualClosed")=1,C1745&gt;EOMONTH(Settlement_Bridge!$C$2,0)),1,0)</f>
        <v>0</v>
      </c>
      <c r="P1745" s="2" t="s">
        <v>4963</v>
      </c>
    </row>
    <row r="1746" spans="1:16" x14ac:dyDescent="0.25">
      <c r="A1746" s="2" t="s">
        <v>4964</v>
      </c>
      <c r="B1746" s="2" t="s">
        <v>199</v>
      </c>
      <c r="C1746" s="8">
        <v>46210</v>
      </c>
      <c r="D1746" s="6">
        <v>46204</v>
      </c>
      <c r="E1746" s="2" t="s">
        <v>260</v>
      </c>
      <c r="F1746" s="2" t="s">
        <v>4965</v>
      </c>
      <c r="G1746" s="6">
        <v>46174</v>
      </c>
      <c r="H1746" s="2" t="s">
        <v>71</v>
      </c>
      <c r="I1746" s="2" t="s">
        <v>39</v>
      </c>
      <c r="J1746" s="9">
        <v>14581.22</v>
      </c>
      <c r="K1746" s="7">
        <v>1</v>
      </c>
      <c r="L1746" s="9">
        <v>14581.22</v>
      </c>
      <c r="M1746" s="9">
        <v>14581.22</v>
      </c>
      <c r="N1746" s="9">
        <v>8.02</v>
      </c>
      <c r="O1746" s="10">
        <f>IF(AND(OR(H1746="APPROVED",H1746="SCHEDULED"),COUNTIFS(tblSource[EventID],F1746,tblSource[ReleaseStatus],"APPROVED")=1,COUNTIFS(Period_Status!$A$2:$A$8,G1746,Period_Status!$B$2:$B$8,"ActualClosed")=1,C1746&gt;EOMONTH(Settlement_Bridge!$C$2,0)),1,0)</f>
        <v>0</v>
      </c>
      <c r="P1746" s="2" t="s">
        <v>4966</v>
      </c>
    </row>
    <row r="1747" spans="1:16" x14ac:dyDescent="0.25">
      <c r="A1747" s="2" t="s">
        <v>4967</v>
      </c>
      <c r="B1747" s="2" t="s">
        <v>199</v>
      </c>
      <c r="C1747" s="8">
        <v>46201</v>
      </c>
      <c r="D1747" s="6">
        <v>46174</v>
      </c>
      <c r="E1747" s="2" t="s">
        <v>260</v>
      </c>
      <c r="F1747" s="2" t="s">
        <v>4968</v>
      </c>
      <c r="G1747" s="6">
        <v>46174</v>
      </c>
      <c r="H1747" s="2" t="s">
        <v>71</v>
      </c>
      <c r="I1747" s="2" t="s">
        <v>76</v>
      </c>
      <c r="J1747" s="9">
        <v>94427072</v>
      </c>
      <c r="K1747" s="7">
        <v>6.2500000000000001E-5</v>
      </c>
      <c r="L1747" s="9">
        <v>5901.69</v>
      </c>
      <c r="M1747" s="9">
        <v>5901.69</v>
      </c>
      <c r="N1747" s="9">
        <v>3.25</v>
      </c>
      <c r="O1747" s="10">
        <f>IF(AND(OR(H1747="APPROVED",H1747="SCHEDULED"),COUNTIFS(tblSource[EventID],F1747,tblSource[ReleaseStatus],"APPROVED")=1,COUNTIFS(Period_Status!$A$2:$A$8,G1747,Period_Status!$B$2:$B$8,"ActualClosed")=1,C1747&gt;EOMONTH(Settlement_Bridge!$C$2,0)),1,0)</f>
        <v>0</v>
      </c>
      <c r="P1747" s="2" t="s">
        <v>4969</v>
      </c>
    </row>
    <row r="1748" spans="1:16" x14ac:dyDescent="0.25">
      <c r="A1748" s="2" t="s">
        <v>4970</v>
      </c>
      <c r="B1748" s="2" t="s">
        <v>199</v>
      </c>
      <c r="C1748" s="8">
        <v>46226</v>
      </c>
      <c r="D1748" s="6">
        <v>46204</v>
      </c>
      <c r="E1748" s="2" t="s">
        <v>260</v>
      </c>
      <c r="F1748" s="2" t="s">
        <v>4968</v>
      </c>
      <c r="G1748" s="6">
        <v>46174</v>
      </c>
      <c r="H1748" s="2" t="s">
        <v>71</v>
      </c>
      <c r="I1748" s="2" t="s">
        <v>76</v>
      </c>
      <c r="J1748" s="9">
        <v>141640608</v>
      </c>
      <c r="K1748" s="7">
        <v>6.2000000000000003E-5</v>
      </c>
      <c r="L1748" s="9">
        <v>8781.7199999999993</v>
      </c>
      <c r="M1748" s="9">
        <v>8852.5400000000009</v>
      </c>
      <c r="N1748" s="9">
        <v>4.83</v>
      </c>
      <c r="O1748" s="10">
        <f>IF(AND(OR(H1748="APPROVED",H1748="SCHEDULED"),COUNTIFS(tblSource[EventID],F1748,tblSource[ReleaseStatus],"APPROVED")=1,COUNTIFS(Period_Status!$A$2:$A$8,G1748,Period_Status!$B$2:$B$8,"ActualClosed")=1,C1748&gt;EOMONTH(Settlement_Bridge!$C$2,0)),1,0)</f>
        <v>0</v>
      </c>
      <c r="P1748" s="2" t="s">
        <v>4971</v>
      </c>
    </row>
    <row r="1749" spans="1:16" x14ac:dyDescent="0.25">
      <c r="A1749" s="2" t="s">
        <v>4972</v>
      </c>
      <c r="B1749" s="2" t="s">
        <v>199</v>
      </c>
      <c r="C1749" s="8">
        <v>46202</v>
      </c>
      <c r="D1749" s="6">
        <v>46174</v>
      </c>
      <c r="E1749" s="2" t="s">
        <v>260</v>
      </c>
      <c r="F1749" s="2" t="s">
        <v>4973</v>
      </c>
      <c r="G1749" s="6">
        <v>46174</v>
      </c>
      <c r="H1749" s="2" t="s">
        <v>71</v>
      </c>
      <c r="I1749" s="2" t="s">
        <v>70</v>
      </c>
      <c r="J1749" s="9">
        <v>557.73834599999998</v>
      </c>
      <c r="K1749" s="7">
        <v>0.66500000000000004</v>
      </c>
      <c r="L1749" s="9">
        <v>370.9</v>
      </c>
      <c r="M1749" s="9">
        <v>370.9</v>
      </c>
      <c r="N1749" s="9">
        <v>1.8</v>
      </c>
      <c r="O1749" s="10">
        <f>IF(AND(OR(H1749="APPROVED",H1749="SCHEDULED"),COUNTIFS(tblSource[EventID],F1749,tblSource[ReleaseStatus],"APPROVED")=1,COUNTIFS(Period_Status!$A$2:$A$8,G1749,Period_Status!$B$2:$B$8,"ActualClosed")=1,C1749&gt;EOMONTH(Settlement_Bridge!$C$2,0)),1,0)</f>
        <v>0</v>
      </c>
      <c r="P1749" s="2" t="s">
        <v>4974</v>
      </c>
    </row>
    <row r="1750" spans="1:16" x14ac:dyDescent="0.25">
      <c r="A1750" s="2" t="s">
        <v>4975</v>
      </c>
      <c r="B1750" s="2" t="s">
        <v>199</v>
      </c>
      <c r="C1750" s="8">
        <v>46227</v>
      </c>
      <c r="D1750" s="6">
        <v>46204</v>
      </c>
      <c r="E1750" s="2" t="s">
        <v>260</v>
      </c>
      <c r="F1750" s="2" t="s">
        <v>4973</v>
      </c>
      <c r="G1750" s="6">
        <v>46174</v>
      </c>
      <c r="H1750" s="2" t="s">
        <v>71</v>
      </c>
      <c r="I1750" s="2" t="s">
        <v>70</v>
      </c>
      <c r="J1750" s="9">
        <v>836.60751900000002</v>
      </c>
      <c r="K1750" s="7">
        <v>0.65800000000000003</v>
      </c>
      <c r="L1750" s="9">
        <v>550.49</v>
      </c>
      <c r="M1750" s="9">
        <v>556.34</v>
      </c>
      <c r="N1750" s="9">
        <v>1.8</v>
      </c>
      <c r="O1750" s="10">
        <f>IF(AND(OR(H1750="APPROVED",H1750="SCHEDULED"),COUNTIFS(tblSource[EventID],F1750,tblSource[ReleaseStatus],"APPROVED")=1,COUNTIFS(Period_Status!$A$2:$A$8,G1750,Period_Status!$B$2:$B$8,"ActualClosed")=1,C1750&gt;EOMONTH(Settlement_Bridge!$C$2,0)),1,0)</f>
        <v>0</v>
      </c>
      <c r="P1750" s="2" t="s">
        <v>4976</v>
      </c>
    </row>
    <row r="1751" spans="1:16" x14ac:dyDescent="0.25">
      <c r="A1751" s="2" t="s">
        <v>4977</v>
      </c>
      <c r="B1751" s="2" t="s">
        <v>199</v>
      </c>
      <c r="C1751" s="8">
        <v>46213</v>
      </c>
      <c r="D1751" s="6">
        <v>46204</v>
      </c>
      <c r="E1751" s="2" t="s">
        <v>260</v>
      </c>
      <c r="F1751" s="2" t="s">
        <v>4978</v>
      </c>
      <c r="G1751" s="6">
        <v>46174</v>
      </c>
      <c r="H1751" s="2" t="s">
        <v>71</v>
      </c>
      <c r="I1751" s="2" t="s">
        <v>39</v>
      </c>
      <c r="J1751" s="9">
        <v>1100.25</v>
      </c>
      <c r="K1751" s="7">
        <v>1</v>
      </c>
      <c r="L1751" s="9">
        <v>1100.25</v>
      </c>
      <c r="M1751" s="9">
        <v>1100.25</v>
      </c>
      <c r="N1751" s="9">
        <v>1.8</v>
      </c>
      <c r="O1751" s="10">
        <f>IF(AND(OR(H1751="APPROVED",H1751="SCHEDULED"),COUNTIFS(tblSource[EventID],F1751,tblSource[ReleaseStatus],"APPROVED")=1,COUNTIFS(Period_Status!$A$2:$A$8,G1751,Period_Status!$B$2:$B$8,"ActualClosed")=1,C1751&gt;EOMONTH(Settlement_Bridge!$C$2,0)),1,0)</f>
        <v>0</v>
      </c>
      <c r="P1751" s="2" t="s">
        <v>4979</v>
      </c>
    </row>
    <row r="1752" spans="1:16" x14ac:dyDescent="0.25">
      <c r="A1752" s="2" t="s">
        <v>4980</v>
      </c>
      <c r="B1752" s="2" t="s">
        <v>199</v>
      </c>
      <c r="C1752" s="8">
        <v>46214</v>
      </c>
      <c r="D1752" s="6">
        <v>46204</v>
      </c>
      <c r="E1752" s="2" t="s">
        <v>260</v>
      </c>
      <c r="F1752" s="2" t="s">
        <v>4981</v>
      </c>
      <c r="G1752" s="6">
        <v>46174</v>
      </c>
      <c r="H1752" s="2" t="s">
        <v>71</v>
      </c>
      <c r="I1752" s="2" t="s">
        <v>76</v>
      </c>
      <c r="J1752" s="9">
        <v>20372160</v>
      </c>
      <c r="K1752" s="7">
        <v>6.2000000000000003E-5</v>
      </c>
      <c r="L1752" s="9">
        <v>1263.07</v>
      </c>
      <c r="M1752" s="9">
        <v>1273.26</v>
      </c>
      <c r="N1752" s="9">
        <v>1.8</v>
      </c>
      <c r="O1752" s="10">
        <f>IF(AND(OR(H1752="APPROVED",H1752="SCHEDULED"),COUNTIFS(tblSource[EventID],F1752,tblSource[ReleaseStatus],"APPROVED")=1,COUNTIFS(Period_Status!$A$2:$A$8,G1752,Period_Status!$B$2:$B$8,"ActualClosed")=1,C1752&gt;EOMONTH(Settlement_Bridge!$C$2,0)),1,0)</f>
        <v>0</v>
      </c>
      <c r="P1752" s="2" t="s">
        <v>4982</v>
      </c>
    </row>
    <row r="1753" spans="1:16" x14ac:dyDescent="0.25">
      <c r="A1753" s="2" t="s">
        <v>4983</v>
      </c>
      <c r="B1753" s="2" t="s">
        <v>199</v>
      </c>
      <c r="C1753" s="8">
        <v>46205</v>
      </c>
      <c r="D1753" s="6">
        <v>46204</v>
      </c>
      <c r="E1753" s="2" t="s">
        <v>260</v>
      </c>
      <c r="F1753" s="2" t="s">
        <v>4984</v>
      </c>
      <c r="G1753" s="6">
        <v>46174</v>
      </c>
      <c r="H1753" s="2" t="s">
        <v>71</v>
      </c>
      <c r="I1753" s="2" t="s">
        <v>70</v>
      </c>
      <c r="J1753" s="9">
        <v>869.93684199999996</v>
      </c>
      <c r="K1753" s="7">
        <v>0.65800000000000003</v>
      </c>
      <c r="L1753" s="9">
        <v>572.41999999999996</v>
      </c>
      <c r="M1753" s="9">
        <v>578.51</v>
      </c>
      <c r="N1753" s="9">
        <v>1.8</v>
      </c>
      <c r="O1753" s="10">
        <f>IF(AND(OR(H1753="APPROVED",H1753="SCHEDULED"),COUNTIFS(tblSource[EventID],F1753,tblSource[ReleaseStatus],"APPROVED")=1,COUNTIFS(Period_Status!$A$2:$A$8,G1753,Period_Status!$B$2:$B$8,"ActualClosed")=1,C1753&gt;EOMONTH(Settlement_Bridge!$C$2,0)),1,0)</f>
        <v>0</v>
      </c>
      <c r="P1753" s="2" t="s">
        <v>4985</v>
      </c>
    </row>
    <row r="1754" spans="1:16" x14ac:dyDescent="0.25">
      <c r="A1754" s="2" t="s">
        <v>4986</v>
      </c>
      <c r="B1754" s="2" t="s">
        <v>199</v>
      </c>
      <c r="C1754" s="8">
        <v>46230</v>
      </c>
      <c r="D1754" s="6">
        <v>46204</v>
      </c>
      <c r="E1754" s="2" t="s">
        <v>260</v>
      </c>
      <c r="F1754" s="2" t="s">
        <v>4984</v>
      </c>
      <c r="G1754" s="6">
        <v>46174</v>
      </c>
      <c r="H1754" s="2" t="s">
        <v>71</v>
      </c>
      <c r="I1754" s="2" t="s">
        <v>70</v>
      </c>
      <c r="J1754" s="9">
        <v>1304.9052630000001</v>
      </c>
      <c r="K1754" s="7">
        <v>0.65800000000000003</v>
      </c>
      <c r="L1754" s="9">
        <v>858.63</v>
      </c>
      <c r="M1754" s="9">
        <v>867.76</v>
      </c>
      <c r="N1754" s="9">
        <v>1.8</v>
      </c>
      <c r="O1754" s="10">
        <f>IF(AND(OR(H1754="APPROVED",H1754="SCHEDULED"),COUNTIFS(tblSource[EventID],F1754,tblSource[ReleaseStatus],"APPROVED")=1,COUNTIFS(Period_Status!$A$2:$A$8,G1754,Period_Status!$B$2:$B$8,"ActualClosed")=1,C1754&gt;EOMONTH(Settlement_Bridge!$C$2,0)),1,0)</f>
        <v>0</v>
      </c>
      <c r="P1754" s="2" t="s">
        <v>4987</v>
      </c>
    </row>
    <row r="1755" spans="1:16" x14ac:dyDescent="0.25">
      <c r="A1755" s="2" t="s">
        <v>4988</v>
      </c>
      <c r="B1755" s="2" t="s">
        <v>199</v>
      </c>
      <c r="C1755" s="8">
        <v>46216</v>
      </c>
      <c r="D1755" s="6">
        <v>46204</v>
      </c>
      <c r="E1755" s="2" t="s">
        <v>260</v>
      </c>
      <c r="F1755" s="2" t="s">
        <v>4989</v>
      </c>
      <c r="G1755" s="6">
        <v>46174</v>
      </c>
      <c r="H1755" s="2" t="s">
        <v>71</v>
      </c>
      <c r="I1755" s="2" t="s">
        <v>39</v>
      </c>
      <c r="J1755" s="9">
        <v>1619.28</v>
      </c>
      <c r="K1755" s="7">
        <v>1</v>
      </c>
      <c r="L1755" s="9">
        <v>1619.28</v>
      </c>
      <c r="M1755" s="9">
        <v>1619.28</v>
      </c>
      <c r="N1755" s="9">
        <v>1.8</v>
      </c>
      <c r="O1755" s="10">
        <f>IF(AND(OR(H1755="APPROVED",H1755="SCHEDULED"),COUNTIFS(tblSource[EventID],F1755,tblSource[ReleaseStatus],"APPROVED")=1,COUNTIFS(Period_Status!$A$2:$A$8,G1755,Period_Status!$B$2:$B$8,"ActualClosed")=1,C1755&gt;EOMONTH(Settlement_Bridge!$C$2,0)),1,0)</f>
        <v>0</v>
      </c>
      <c r="P1755" s="2" t="s">
        <v>4990</v>
      </c>
    </row>
    <row r="1756" spans="1:16" x14ac:dyDescent="0.25">
      <c r="A1756" s="2" t="s">
        <v>4991</v>
      </c>
      <c r="B1756" s="2" t="s">
        <v>199</v>
      </c>
      <c r="C1756" s="8">
        <v>46217</v>
      </c>
      <c r="D1756" s="6">
        <v>46204</v>
      </c>
      <c r="E1756" s="2" t="s">
        <v>260</v>
      </c>
      <c r="F1756" s="2" t="s">
        <v>4992</v>
      </c>
      <c r="G1756" s="6">
        <v>46174</v>
      </c>
      <c r="H1756" s="2" t="s">
        <v>71</v>
      </c>
      <c r="I1756" s="2" t="s">
        <v>76</v>
      </c>
      <c r="J1756" s="9">
        <v>28676640</v>
      </c>
      <c r="K1756" s="7">
        <v>6.2000000000000003E-5</v>
      </c>
      <c r="L1756" s="9">
        <v>1777.95</v>
      </c>
      <c r="M1756" s="9">
        <v>1792.29</v>
      </c>
      <c r="N1756" s="9">
        <v>1.8</v>
      </c>
      <c r="O1756" s="10">
        <f>IF(AND(OR(H1756="APPROVED",H1756="SCHEDULED"),COUNTIFS(tblSource[EventID],F1756,tblSource[ReleaseStatus],"APPROVED")=1,COUNTIFS(Period_Status!$A$2:$A$8,G1756,Period_Status!$B$2:$B$8,"ActualClosed")=1,C1756&gt;EOMONTH(Settlement_Bridge!$C$2,0)),1,0)</f>
        <v>0</v>
      </c>
      <c r="P1756" s="2" t="s">
        <v>4993</v>
      </c>
    </row>
    <row r="1757" spans="1:16" x14ac:dyDescent="0.25">
      <c r="A1757" s="2" t="s">
        <v>4994</v>
      </c>
      <c r="B1757" s="2" t="s">
        <v>199</v>
      </c>
      <c r="C1757" s="8">
        <v>46218</v>
      </c>
      <c r="D1757" s="6">
        <v>46204</v>
      </c>
      <c r="E1757" s="2" t="s">
        <v>260</v>
      </c>
      <c r="F1757" s="2" t="s">
        <v>4995</v>
      </c>
      <c r="G1757" s="6">
        <v>46174</v>
      </c>
      <c r="H1757" s="2" t="s">
        <v>71</v>
      </c>
      <c r="I1757" s="2" t="s">
        <v>70</v>
      </c>
      <c r="J1757" s="9">
        <v>2955.338346</v>
      </c>
      <c r="K1757" s="7">
        <v>0.65800000000000003</v>
      </c>
      <c r="L1757" s="9">
        <v>1944.61</v>
      </c>
      <c r="M1757" s="9">
        <v>1965.3</v>
      </c>
      <c r="N1757" s="9">
        <v>1.8</v>
      </c>
      <c r="O1757" s="10">
        <f>IF(AND(OR(H1757="APPROVED",H1757="SCHEDULED"),COUNTIFS(tblSource[EventID],F1757,tblSource[ReleaseStatus],"APPROVED")=1,COUNTIFS(Period_Status!$A$2:$A$8,G1757,Period_Status!$B$2:$B$8,"ActualClosed")=1,C1757&gt;EOMONTH(Settlement_Bridge!$C$2,0)),1,0)</f>
        <v>0</v>
      </c>
      <c r="P1757" s="2" t="s">
        <v>4996</v>
      </c>
    </row>
    <row r="1758" spans="1:16" x14ac:dyDescent="0.25">
      <c r="A1758" s="2" t="s">
        <v>4997</v>
      </c>
      <c r="B1758" s="2" t="s">
        <v>199</v>
      </c>
      <c r="C1758" s="8">
        <v>46219</v>
      </c>
      <c r="D1758" s="6">
        <v>46204</v>
      </c>
      <c r="E1758" s="2" t="s">
        <v>260</v>
      </c>
      <c r="F1758" s="2" t="s">
        <v>4998</v>
      </c>
      <c r="G1758" s="6">
        <v>46174</v>
      </c>
      <c r="H1758" s="2" t="s">
        <v>71</v>
      </c>
      <c r="I1758" s="2" t="s">
        <v>39</v>
      </c>
      <c r="J1758" s="9">
        <v>2138.31</v>
      </c>
      <c r="K1758" s="7">
        <v>1</v>
      </c>
      <c r="L1758" s="9">
        <v>2138.31</v>
      </c>
      <c r="M1758" s="9">
        <v>2138.31</v>
      </c>
      <c r="N1758" s="9">
        <v>1.8</v>
      </c>
      <c r="O1758" s="10">
        <f>IF(AND(OR(H1758="APPROVED",H1758="SCHEDULED"),COUNTIFS(tblSource[EventID],F1758,tblSource[ReleaseStatus],"APPROVED")=1,COUNTIFS(Period_Status!$A$2:$A$8,G1758,Period_Status!$B$2:$B$8,"ActualClosed")=1,C1758&gt;EOMONTH(Settlement_Bridge!$C$2,0)),1,0)</f>
        <v>0</v>
      </c>
      <c r="P1758" s="2" t="s">
        <v>4999</v>
      </c>
    </row>
    <row r="1759" spans="1:16" x14ac:dyDescent="0.25">
      <c r="A1759" s="2" t="s">
        <v>5000</v>
      </c>
      <c r="B1759" s="2" t="s">
        <v>199</v>
      </c>
      <c r="C1759" s="8">
        <v>46220</v>
      </c>
      <c r="D1759" s="6">
        <v>46204</v>
      </c>
      <c r="E1759" s="2" t="s">
        <v>260</v>
      </c>
      <c r="F1759" s="2" t="s">
        <v>5001</v>
      </c>
      <c r="G1759" s="6">
        <v>46174</v>
      </c>
      <c r="H1759" s="2" t="s">
        <v>71</v>
      </c>
      <c r="I1759" s="2" t="s">
        <v>76</v>
      </c>
      <c r="J1759" s="9">
        <v>36981120</v>
      </c>
      <c r="K1759" s="7">
        <v>6.2000000000000003E-5</v>
      </c>
      <c r="L1759" s="9">
        <v>2292.83</v>
      </c>
      <c r="M1759" s="9">
        <v>2311.3200000000002</v>
      </c>
      <c r="N1759" s="9">
        <v>1.8</v>
      </c>
      <c r="O1759" s="10">
        <f>IF(AND(OR(H1759="APPROVED",H1759="SCHEDULED"),COUNTIFS(tblSource[EventID],F1759,tblSource[ReleaseStatus],"APPROVED")=1,COUNTIFS(Period_Status!$A$2:$A$8,G1759,Period_Status!$B$2:$B$8,"ActualClosed")=1,C1759&gt;EOMONTH(Settlement_Bridge!$C$2,0)),1,0)</f>
        <v>0</v>
      </c>
      <c r="P1759" s="2" t="s">
        <v>5002</v>
      </c>
    </row>
    <row r="1760" spans="1:16" x14ac:dyDescent="0.25">
      <c r="A1760" s="2" t="s">
        <v>5003</v>
      </c>
      <c r="B1760" s="2" t="s">
        <v>199</v>
      </c>
      <c r="C1760" s="8">
        <v>46211</v>
      </c>
      <c r="D1760" s="6">
        <v>46204</v>
      </c>
      <c r="E1760" s="2" t="s">
        <v>260</v>
      </c>
      <c r="F1760" s="2" t="s">
        <v>5004</v>
      </c>
      <c r="G1760" s="6">
        <v>46174</v>
      </c>
      <c r="H1760" s="2" t="s">
        <v>71</v>
      </c>
      <c r="I1760" s="2" t="s">
        <v>70</v>
      </c>
      <c r="J1760" s="9">
        <v>1494.333834</v>
      </c>
      <c r="K1760" s="7">
        <v>0.65800000000000003</v>
      </c>
      <c r="L1760" s="9">
        <v>983.27</v>
      </c>
      <c r="M1760" s="9">
        <v>993.73</v>
      </c>
      <c r="N1760" s="9">
        <v>1.8</v>
      </c>
      <c r="O1760" s="10">
        <f>IF(AND(OR(H1760="APPROVED",H1760="SCHEDULED"),COUNTIFS(tblSource[EventID],F1760,tblSource[ReleaseStatus],"APPROVED")=1,COUNTIFS(Period_Status!$A$2:$A$8,G1760,Period_Status!$B$2:$B$8,"ActualClosed")=1,C1760&gt;EOMONTH(Settlement_Bridge!$C$2,0)),1,0)</f>
        <v>0</v>
      </c>
      <c r="P1760" s="2" t="s">
        <v>5005</v>
      </c>
    </row>
    <row r="1761" spans="1:16" x14ac:dyDescent="0.25">
      <c r="A1761" s="2" t="s">
        <v>5006</v>
      </c>
      <c r="B1761" s="2" t="s">
        <v>199</v>
      </c>
      <c r="C1761" s="8">
        <v>46236</v>
      </c>
      <c r="D1761" s="6">
        <v>46235</v>
      </c>
      <c r="E1761" s="2" t="s">
        <v>260</v>
      </c>
      <c r="F1761" s="2" t="s">
        <v>5004</v>
      </c>
      <c r="G1761" s="6">
        <v>46174</v>
      </c>
      <c r="H1761" s="2" t="s">
        <v>71</v>
      </c>
      <c r="I1761" s="2" t="s">
        <v>70</v>
      </c>
      <c r="J1761" s="9">
        <v>2241.5007519999999</v>
      </c>
      <c r="K1761" s="7">
        <v>0.65</v>
      </c>
      <c r="L1761" s="9">
        <v>1456.98</v>
      </c>
      <c r="M1761" s="9">
        <v>1490.6</v>
      </c>
      <c r="N1761" s="9">
        <v>1.8</v>
      </c>
      <c r="O1761" s="10">
        <f>IF(AND(OR(H1761="APPROVED",H1761="SCHEDULED"),COUNTIFS(tblSource[EventID],F1761,tblSource[ReleaseStatus],"APPROVED")=1,COUNTIFS(Period_Status!$A$2:$A$8,G1761,Period_Status!$B$2:$B$8,"ActualClosed")=1,C1761&gt;EOMONTH(Settlement_Bridge!$C$2,0)),1,0)</f>
        <v>1</v>
      </c>
      <c r="P1761" s="2" t="s">
        <v>5007</v>
      </c>
    </row>
    <row r="1762" spans="1:16" x14ac:dyDescent="0.25">
      <c r="A1762" s="2" t="s">
        <v>5008</v>
      </c>
      <c r="B1762" s="2" t="s">
        <v>199</v>
      </c>
      <c r="C1762" s="8">
        <v>46212</v>
      </c>
      <c r="D1762" s="6">
        <v>46204</v>
      </c>
      <c r="E1762" s="2" t="s">
        <v>260</v>
      </c>
      <c r="F1762" s="2" t="s">
        <v>5009</v>
      </c>
      <c r="G1762" s="6">
        <v>46174</v>
      </c>
      <c r="H1762" s="2" t="s">
        <v>71</v>
      </c>
      <c r="I1762" s="2" t="s">
        <v>39</v>
      </c>
      <c r="J1762" s="9">
        <v>1062.9359999999999</v>
      </c>
      <c r="K1762" s="7">
        <v>1</v>
      </c>
      <c r="L1762" s="9">
        <v>1062.94</v>
      </c>
      <c r="M1762" s="9">
        <v>1062.94</v>
      </c>
      <c r="N1762" s="9">
        <v>1.8</v>
      </c>
      <c r="O1762" s="10">
        <f>IF(AND(OR(H1762="APPROVED",H1762="SCHEDULED"),COUNTIFS(tblSource[EventID],F1762,tblSource[ReleaseStatus],"APPROVED")=1,COUNTIFS(Period_Status!$A$2:$A$8,G1762,Period_Status!$B$2:$B$8,"ActualClosed")=1,C1762&gt;EOMONTH(Settlement_Bridge!$C$2,0)),1,0)</f>
        <v>0</v>
      </c>
      <c r="P1762" s="2" t="s">
        <v>5010</v>
      </c>
    </row>
    <row r="1763" spans="1:16" x14ac:dyDescent="0.25">
      <c r="A1763" s="2" t="s">
        <v>5011</v>
      </c>
      <c r="B1763" s="2" t="s">
        <v>199</v>
      </c>
      <c r="C1763" s="8">
        <v>46237</v>
      </c>
      <c r="D1763" s="6">
        <v>46235</v>
      </c>
      <c r="E1763" s="2" t="s">
        <v>260</v>
      </c>
      <c r="F1763" s="2" t="s">
        <v>5009</v>
      </c>
      <c r="G1763" s="6">
        <v>46174</v>
      </c>
      <c r="H1763" s="2" t="s">
        <v>71</v>
      </c>
      <c r="I1763" s="2" t="s">
        <v>39</v>
      </c>
      <c r="J1763" s="9">
        <v>1594.404</v>
      </c>
      <c r="K1763" s="7">
        <v>1</v>
      </c>
      <c r="L1763" s="9">
        <v>1594.4</v>
      </c>
      <c r="M1763" s="9">
        <v>1594.4</v>
      </c>
      <c r="N1763" s="9">
        <v>1.8</v>
      </c>
      <c r="O1763" s="10">
        <f>IF(AND(OR(H1763="APPROVED",H1763="SCHEDULED"),COUNTIFS(tblSource[EventID],F1763,tblSource[ReleaseStatus],"APPROVED")=1,COUNTIFS(Period_Status!$A$2:$A$8,G1763,Period_Status!$B$2:$B$8,"ActualClosed")=1,C1763&gt;EOMONTH(Settlement_Bridge!$C$2,0)),1,0)</f>
        <v>1</v>
      </c>
      <c r="P1763" s="2" t="s">
        <v>5012</v>
      </c>
    </row>
    <row r="1764" spans="1:16" x14ac:dyDescent="0.25">
      <c r="A1764" s="2" t="s">
        <v>5013</v>
      </c>
      <c r="B1764" s="2" t="s">
        <v>199</v>
      </c>
      <c r="C1764" s="8">
        <v>46223</v>
      </c>
      <c r="D1764" s="6">
        <v>46204</v>
      </c>
      <c r="E1764" s="2" t="s">
        <v>260</v>
      </c>
      <c r="F1764" s="2" t="s">
        <v>5014</v>
      </c>
      <c r="G1764" s="6">
        <v>46174</v>
      </c>
      <c r="H1764" s="2" t="s">
        <v>71</v>
      </c>
      <c r="I1764" s="2" t="s">
        <v>76</v>
      </c>
      <c r="J1764" s="9">
        <v>45285600</v>
      </c>
      <c r="K1764" s="7">
        <v>6.2000000000000003E-5</v>
      </c>
      <c r="L1764" s="9">
        <v>2807.71</v>
      </c>
      <c r="M1764" s="9">
        <v>2830.35</v>
      </c>
      <c r="N1764" s="9">
        <v>1.8</v>
      </c>
      <c r="O1764" s="10">
        <f>IF(AND(OR(H1764="APPROVED",H1764="SCHEDULED"),COUNTIFS(tblSource[EventID],F1764,tblSource[ReleaseStatus],"APPROVED")=1,COUNTIFS(Period_Status!$A$2:$A$8,G1764,Period_Status!$B$2:$B$8,"ActualClosed")=1,C1764&gt;EOMONTH(Settlement_Bridge!$C$2,0)),1,0)</f>
        <v>0</v>
      </c>
      <c r="P1764" s="2" t="s">
        <v>5015</v>
      </c>
    </row>
    <row r="1765" spans="1:16" x14ac:dyDescent="0.25">
      <c r="A1765" s="2" t="s">
        <v>5016</v>
      </c>
      <c r="B1765" s="2" t="s">
        <v>199</v>
      </c>
      <c r="C1765" s="8">
        <v>46224</v>
      </c>
      <c r="D1765" s="6">
        <v>46204</v>
      </c>
      <c r="E1765" s="2" t="s">
        <v>260</v>
      </c>
      <c r="F1765" s="2" t="s">
        <v>5017</v>
      </c>
      <c r="G1765" s="6">
        <v>46174</v>
      </c>
      <c r="H1765" s="2" t="s">
        <v>71</v>
      </c>
      <c r="I1765" s="2" t="s">
        <v>70</v>
      </c>
      <c r="J1765" s="9">
        <v>4516.3308269999998</v>
      </c>
      <c r="K1765" s="7">
        <v>0.65800000000000003</v>
      </c>
      <c r="L1765" s="9">
        <v>2971.75</v>
      </c>
      <c r="M1765" s="9">
        <v>3003.36</v>
      </c>
      <c r="N1765" s="9">
        <v>1.8</v>
      </c>
      <c r="O1765" s="10">
        <f>IF(AND(OR(H1765="APPROVED",H1765="SCHEDULED"),COUNTIFS(tblSource[EventID],F1765,tblSource[ReleaseStatus],"APPROVED")=1,COUNTIFS(Period_Status!$A$2:$A$8,G1765,Period_Status!$B$2:$B$8,"ActualClosed")=1,C1765&gt;EOMONTH(Settlement_Bridge!$C$2,0)),1,0)</f>
        <v>0</v>
      </c>
      <c r="P1765" s="2" t="s">
        <v>5018</v>
      </c>
    </row>
    <row r="1766" spans="1:16" x14ac:dyDescent="0.25">
      <c r="A1766" s="2" t="s">
        <v>5019</v>
      </c>
      <c r="B1766" s="2" t="s">
        <v>199</v>
      </c>
      <c r="C1766" s="8">
        <v>46215</v>
      </c>
      <c r="D1766" s="6">
        <v>46204</v>
      </c>
      <c r="E1766" s="2" t="s">
        <v>260</v>
      </c>
      <c r="F1766" s="2" t="s">
        <v>5020</v>
      </c>
      <c r="G1766" s="6">
        <v>46174</v>
      </c>
      <c r="H1766" s="2" t="s">
        <v>71</v>
      </c>
      <c r="I1766" s="2" t="s">
        <v>39</v>
      </c>
      <c r="J1766" s="9">
        <v>-3176.37</v>
      </c>
      <c r="K1766" s="7">
        <v>1</v>
      </c>
      <c r="L1766" s="9">
        <v>-3176.37</v>
      </c>
      <c r="M1766" s="9">
        <v>-3176.37</v>
      </c>
      <c r="N1766" s="9">
        <v>0</v>
      </c>
      <c r="O1766" s="10">
        <f>IF(AND(OR(H1766="APPROVED",H1766="SCHEDULED"),COUNTIFS(tblSource[EventID],F1766,tblSource[ReleaseStatus],"APPROVED")=1,COUNTIFS(Period_Status!$A$2:$A$8,G1766,Period_Status!$B$2:$B$8,"ActualClosed")=1,C1766&gt;EOMONTH(Settlement_Bridge!$C$2,0)),1,0)</f>
        <v>0</v>
      </c>
      <c r="P1766" s="2" t="s">
        <v>5021</v>
      </c>
    </row>
    <row r="1767" spans="1:16" x14ac:dyDescent="0.25">
      <c r="A1767" s="2" t="s">
        <v>5022</v>
      </c>
      <c r="B1767" s="2" t="s">
        <v>199</v>
      </c>
      <c r="C1767" s="8">
        <v>46226</v>
      </c>
      <c r="D1767" s="6">
        <v>46204</v>
      </c>
      <c r="E1767" s="2" t="s">
        <v>260</v>
      </c>
      <c r="F1767" s="2" t="s">
        <v>5023</v>
      </c>
      <c r="G1767" s="6">
        <v>46174</v>
      </c>
      <c r="H1767" s="2" t="s">
        <v>71</v>
      </c>
      <c r="I1767" s="2" t="s">
        <v>76</v>
      </c>
      <c r="J1767" s="9">
        <v>53590080</v>
      </c>
      <c r="K1767" s="7">
        <v>6.2000000000000003E-5</v>
      </c>
      <c r="L1767" s="9">
        <v>3322.58</v>
      </c>
      <c r="M1767" s="9">
        <v>3349.38</v>
      </c>
      <c r="N1767" s="9">
        <v>1.83</v>
      </c>
      <c r="O1767" s="10">
        <f>IF(AND(OR(H1767="APPROVED",H1767="SCHEDULED"),COUNTIFS(tblSource[EventID],F1767,tblSource[ReleaseStatus],"APPROVED")=1,COUNTIFS(Period_Status!$A$2:$A$8,G1767,Period_Status!$B$2:$B$8,"ActualClosed")=1,C1767&gt;EOMONTH(Settlement_Bridge!$C$2,0)),1,0)</f>
        <v>0</v>
      </c>
      <c r="P1767" s="2" t="s">
        <v>5024</v>
      </c>
    </row>
    <row r="1768" spans="1:16" x14ac:dyDescent="0.25">
      <c r="A1768" s="2" t="s">
        <v>5025</v>
      </c>
      <c r="B1768" s="2" t="s">
        <v>199</v>
      </c>
      <c r="C1768" s="8">
        <v>46227</v>
      </c>
      <c r="D1768" s="6">
        <v>46204</v>
      </c>
      <c r="E1768" s="2" t="s">
        <v>260</v>
      </c>
      <c r="F1768" s="2" t="s">
        <v>5026</v>
      </c>
      <c r="G1768" s="6">
        <v>46174</v>
      </c>
      <c r="H1768" s="2" t="s">
        <v>71</v>
      </c>
      <c r="I1768" s="2" t="s">
        <v>70</v>
      </c>
      <c r="J1768" s="9">
        <v>5296.8270679999996</v>
      </c>
      <c r="K1768" s="7">
        <v>0.65800000000000003</v>
      </c>
      <c r="L1768" s="9">
        <v>3485.31</v>
      </c>
      <c r="M1768" s="9">
        <v>3522.39</v>
      </c>
      <c r="N1768" s="9">
        <v>1.92</v>
      </c>
      <c r="O1768" s="10">
        <f>IF(AND(OR(H1768="APPROVED",H1768="SCHEDULED"),COUNTIFS(tblSource[EventID],F1768,tblSource[ReleaseStatus],"APPROVED")=1,COUNTIFS(Period_Status!$A$2:$A$8,G1768,Period_Status!$B$2:$B$8,"ActualClosed")=1,C1768&gt;EOMONTH(Settlement_Bridge!$C$2,0)),1,0)</f>
        <v>0</v>
      </c>
      <c r="P1768" s="2" t="s">
        <v>5027</v>
      </c>
    </row>
    <row r="1769" spans="1:16" x14ac:dyDescent="0.25">
      <c r="A1769" s="2" t="s">
        <v>5028</v>
      </c>
      <c r="B1769" s="2" t="s">
        <v>199</v>
      </c>
      <c r="C1769" s="8">
        <v>46198</v>
      </c>
      <c r="D1769" s="6">
        <v>46174</v>
      </c>
      <c r="E1769" s="2" t="s">
        <v>260</v>
      </c>
      <c r="F1769" s="2" t="s">
        <v>5029</v>
      </c>
      <c r="G1769" s="6">
        <v>46174</v>
      </c>
      <c r="H1769" s="2" t="s">
        <v>71</v>
      </c>
      <c r="I1769" s="2" t="s">
        <v>39</v>
      </c>
      <c r="J1769" s="9">
        <v>3695.4</v>
      </c>
      <c r="K1769" s="7">
        <v>1</v>
      </c>
      <c r="L1769" s="9">
        <v>3695.4</v>
      </c>
      <c r="M1769" s="9">
        <v>3695.4</v>
      </c>
      <c r="N1769" s="9">
        <v>2.0299999999999998</v>
      </c>
      <c r="O1769" s="10">
        <f>IF(AND(OR(H1769="APPROVED",H1769="SCHEDULED"),COUNTIFS(tblSource[EventID],F1769,tblSource[ReleaseStatus],"APPROVED")=1,COUNTIFS(Period_Status!$A$2:$A$8,G1769,Period_Status!$B$2:$B$8,"ActualClosed")=1,C1769&gt;EOMONTH(Settlement_Bridge!$C$2,0)),1,0)</f>
        <v>0</v>
      </c>
      <c r="P1769" s="2" t="s">
        <v>5030</v>
      </c>
    </row>
    <row r="1770" spans="1:16" x14ac:dyDescent="0.25">
      <c r="A1770" s="2" t="s">
        <v>5031</v>
      </c>
      <c r="B1770" s="2" t="s">
        <v>199</v>
      </c>
      <c r="C1770" s="8">
        <v>46199</v>
      </c>
      <c r="D1770" s="6">
        <v>46174</v>
      </c>
      <c r="E1770" s="2" t="s">
        <v>260</v>
      </c>
      <c r="F1770" s="2" t="s">
        <v>5032</v>
      </c>
      <c r="G1770" s="6">
        <v>46174</v>
      </c>
      <c r="H1770" s="2" t="s">
        <v>71</v>
      </c>
      <c r="I1770" s="2" t="s">
        <v>76</v>
      </c>
      <c r="J1770" s="9">
        <v>61894560</v>
      </c>
      <c r="K1770" s="7">
        <v>6.2500000000000001E-5</v>
      </c>
      <c r="L1770" s="9">
        <v>3868.41</v>
      </c>
      <c r="M1770" s="9">
        <v>3868.41</v>
      </c>
      <c r="N1770" s="9">
        <v>2.13</v>
      </c>
      <c r="O1770" s="10">
        <f>IF(AND(OR(H1770="APPROVED",H1770="SCHEDULED"),COUNTIFS(tblSource[EventID],F1770,tblSource[ReleaseStatus],"APPROVED")=1,COUNTIFS(Period_Status!$A$2:$A$8,G1770,Period_Status!$B$2:$B$8,"ActualClosed")=1,C1770&gt;EOMONTH(Settlement_Bridge!$C$2,0)),1,0)</f>
        <v>0</v>
      </c>
      <c r="P1770" s="2" t="s">
        <v>5033</v>
      </c>
    </row>
    <row r="1771" spans="1:16" x14ac:dyDescent="0.25">
      <c r="A1771" s="2" t="s">
        <v>5034</v>
      </c>
      <c r="B1771" s="2" t="s">
        <v>199</v>
      </c>
      <c r="C1771" s="8">
        <v>46200</v>
      </c>
      <c r="D1771" s="6">
        <v>46174</v>
      </c>
      <c r="E1771" s="2" t="s">
        <v>260</v>
      </c>
      <c r="F1771" s="2" t="s">
        <v>5035</v>
      </c>
      <c r="G1771" s="6">
        <v>46174</v>
      </c>
      <c r="H1771" s="2" t="s">
        <v>71</v>
      </c>
      <c r="I1771" s="2" t="s">
        <v>70</v>
      </c>
      <c r="J1771" s="9">
        <v>6077.323308</v>
      </c>
      <c r="K1771" s="7">
        <v>0.66500000000000004</v>
      </c>
      <c r="L1771" s="9">
        <v>4041.42</v>
      </c>
      <c r="M1771" s="9">
        <v>4041.42</v>
      </c>
      <c r="N1771" s="9">
        <v>2.2200000000000002</v>
      </c>
      <c r="O1771" s="10">
        <f>IF(AND(OR(H1771="APPROVED",H1771="SCHEDULED"),COUNTIFS(tblSource[EventID],F1771,tblSource[ReleaseStatus],"APPROVED")=1,COUNTIFS(Period_Status!$A$2:$A$8,G1771,Period_Status!$B$2:$B$8,"ActualClosed")=1,C1771&gt;EOMONTH(Settlement_Bridge!$C$2,0)),1,0)</f>
        <v>0</v>
      </c>
      <c r="P1771" s="2" t="s">
        <v>5036</v>
      </c>
    </row>
    <row r="1772" spans="1:16" x14ac:dyDescent="0.25">
      <c r="A1772" s="2" t="s">
        <v>5037</v>
      </c>
      <c r="B1772" s="2" t="s">
        <v>199</v>
      </c>
      <c r="C1772" s="8">
        <v>46241</v>
      </c>
      <c r="D1772" s="6">
        <v>46235</v>
      </c>
      <c r="E1772" s="2" t="s">
        <v>260</v>
      </c>
      <c r="F1772" s="2" t="s">
        <v>5038</v>
      </c>
      <c r="G1772" s="6">
        <v>46204</v>
      </c>
      <c r="H1772" s="2" t="s">
        <v>71</v>
      </c>
      <c r="I1772" s="2" t="s">
        <v>39</v>
      </c>
      <c r="J1772" s="9">
        <v>1685.7719999999999</v>
      </c>
      <c r="K1772" s="7">
        <v>1</v>
      </c>
      <c r="L1772" s="9">
        <v>1685.77</v>
      </c>
      <c r="M1772" s="9">
        <v>1685.77</v>
      </c>
      <c r="N1772" s="9">
        <v>1.8</v>
      </c>
      <c r="O1772" s="10">
        <f>IF(AND(OR(H1772="APPROVED",H1772="SCHEDULED"),COUNTIFS(tblSource[EventID],F1772,tblSource[ReleaseStatus],"APPROVED")=1,COUNTIFS(Period_Status!$A$2:$A$8,G1772,Period_Status!$B$2:$B$8,"ActualClosed")=1,C1772&gt;EOMONTH(Settlement_Bridge!$C$2,0)),1,0)</f>
        <v>1</v>
      </c>
      <c r="P1772" s="2" t="s">
        <v>5039</v>
      </c>
    </row>
    <row r="1773" spans="1:16" x14ac:dyDescent="0.25">
      <c r="A1773" s="2" t="s">
        <v>5040</v>
      </c>
      <c r="B1773" s="2" t="s">
        <v>199</v>
      </c>
      <c r="C1773" s="8">
        <v>46266</v>
      </c>
      <c r="D1773" s="6">
        <v>46266</v>
      </c>
      <c r="E1773" s="2" t="s">
        <v>260</v>
      </c>
      <c r="F1773" s="2" t="s">
        <v>5038</v>
      </c>
      <c r="G1773" s="6">
        <v>46204</v>
      </c>
      <c r="H1773" s="2" t="s">
        <v>176</v>
      </c>
      <c r="I1773" s="2" t="s">
        <v>39</v>
      </c>
      <c r="J1773" s="9">
        <v>2528.6579999999999</v>
      </c>
      <c r="K1773" s="7">
        <v>1</v>
      </c>
      <c r="L1773" s="9">
        <v>2528.66</v>
      </c>
      <c r="M1773" s="9">
        <v>2528.66</v>
      </c>
      <c r="N1773" s="9">
        <v>1.8</v>
      </c>
      <c r="O1773" s="10">
        <f>IF(AND(OR(H1773="APPROVED",H1773="SCHEDULED"),COUNTIFS(tblSource[EventID],F1773,tblSource[ReleaseStatus],"APPROVED")=1,COUNTIFS(Period_Status!$A$2:$A$8,G1773,Period_Status!$B$2:$B$8,"ActualClosed")=1,C1773&gt;EOMONTH(Settlement_Bridge!$C$2,0)),1,0)</f>
        <v>1</v>
      </c>
      <c r="P1773" s="2" t="s">
        <v>5041</v>
      </c>
    </row>
    <row r="1774" spans="1:16" x14ac:dyDescent="0.25">
      <c r="A1774" s="2" t="s">
        <v>5042</v>
      </c>
      <c r="B1774" s="2" t="s">
        <v>199</v>
      </c>
      <c r="C1774" s="8">
        <v>46242</v>
      </c>
      <c r="D1774" s="6">
        <v>46235</v>
      </c>
      <c r="E1774" s="2" t="s">
        <v>260</v>
      </c>
      <c r="F1774" s="2" t="s">
        <v>5043</v>
      </c>
      <c r="G1774" s="6">
        <v>46204</v>
      </c>
      <c r="H1774" s="2" t="s">
        <v>71</v>
      </c>
      <c r="I1774" s="2" t="s">
        <v>76</v>
      </c>
      <c r="J1774" s="9">
        <v>28306064.516128998</v>
      </c>
      <c r="K1774" s="7">
        <v>6.1500000000000004E-5</v>
      </c>
      <c r="L1774" s="9">
        <v>1740.82</v>
      </c>
      <c r="M1774" s="9">
        <v>1754.98</v>
      </c>
      <c r="N1774" s="9">
        <v>1.8</v>
      </c>
      <c r="O1774" s="10">
        <f>IF(AND(OR(H1774="APPROVED",H1774="SCHEDULED"),COUNTIFS(tblSource[EventID],F1774,tblSource[ReleaseStatus],"APPROVED")=1,COUNTIFS(Period_Status!$A$2:$A$8,G1774,Period_Status!$B$2:$B$8,"ActualClosed")=1,C1774&gt;EOMONTH(Settlement_Bridge!$C$2,0)),1,0)</f>
        <v>1</v>
      </c>
      <c r="P1774" s="2" t="s">
        <v>5044</v>
      </c>
    </row>
    <row r="1775" spans="1:16" x14ac:dyDescent="0.25">
      <c r="A1775" s="2" t="s">
        <v>5045</v>
      </c>
      <c r="B1775" s="2" t="s">
        <v>199</v>
      </c>
      <c r="C1775" s="8">
        <v>46267</v>
      </c>
      <c r="D1775" s="6">
        <v>46266</v>
      </c>
      <c r="E1775" s="2" t="s">
        <v>260</v>
      </c>
      <c r="F1775" s="2" t="s">
        <v>5043</v>
      </c>
      <c r="G1775" s="6">
        <v>46204</v>
      </c>
      <c r="H1775" s="2" t="s">
        <v>176</v>
      </c>
      <c r="I1775" s="2" t="s">
        <v>76</v>
      </c>
      <c r="J1775" s="9">
        <v>42459096.774194002</v>
      </c>
      <c r="K1775" s="7">
        <v>6.1299999999999999E-5</v>
      </c>
      <c r="L1775" s="9">
        <v>2602.7399999999998</v>
      </c>
      <c r="M1775" s="9">
        <v>2632.46</v>
      </c>
      <c r="N1775" s="9">
        <v>1.8</v>
      </c>
      <c r="O1775" s="10">
        <f>IF(AND(OR(H1775="APPROVED",H1775="SCHEDULED"),COUNTIFS(tblSource[EventID],F1775,tblSource[ReleaseStatus],"APPROVED")=1,COUNTIFS(Period_Status!$A$2:$A$8,G1775,Period_Status!$B$2:$B$8,"ActualClosed")=1,C1775&gt;EOMONTH(Settlement_Bridge!$C$2,0)),1,0)</f>
        <v>1</v>
      </c>
      <c r="P1775" s="2" t="s">
        <v>5046</v>
      </c>
    </row>
    <row r="1776" spans="1:16" x14ac:dyDescent="0.25">
      <c r="A1776" s="2" t="s">
        <v>5047</v>
      </c>
      <c r="B1776" s="2" t="s">
        <v>199</v>
      </c>
      <c r="C1776" s="8">
        <v>46253</v>
      </c>
      <c r="D1776" s="6">
        <v>46235</v>
      </c>
      <c r="E1776" s="2" t="s">
        <v>260</v>
      </c>
      <c r="F1776" s="2" t="s">
        <v>5048</v>
      </c>
      <c r="G1776" s="6">
        <v>46204</v>
      </c>
      <c r="H1776" s="2" t="s">
        <v>71</v>
      </c>
      <c r="I1776" s="2" t="s">
        <v>70</v>
      </c>
      <c r="J1776" s="9">
        <v>6930.7750759999999</v>
      </c>
      <c r="K1776" s="7">
        <v>0.65</v>
      </c>
      <c r="L1776" s="9">
        <v>4505</v>
      </c>
      <c r="M1776" s="9">
        <v>4560.45</v>
      </c>
      <c r="N1776" s="9">
        <v>2.48</v>
      </c>
      <c r="O1776" s="10">
        <f>IF(AND(OR(H1776="APPROVED",H1776="SCHEDULED"),COUNTIFS(tblSource[EventID],F1776,tblSource[ReleaseStatus],"APPROVED")=1,COUNTIFS(Period_Status!$A$2:$A$8,G1776,Period_Status!$B$2:$B$8,"ActualClosed")=1,C1776&gt;EOMONTH(Settlement_Bridge!$C$2,0)),1,0)</f>
        <v>1</v>
      </c>
      <c r="P1776" s="2" t="s">
        <v>5049</v>
      </c>
    </row>
    <row r="1777" spans="1:16" x14ac:dyDescent="0.25">
      <c r="A1777" s="2" t="s">
        <v>5050</v>
      </c>
      <c r="B1777" s="2" t="s">
        <v>199</v>
      </c>
      <c r="C1777" s="8">
        <v>46254</v>
      </c>
      <c r="D1777" s="6">
        <v>46235</v>
      </c>
      <c r="E1777" s="2" t="s">
        <v>260</v>
      </c>
      <c r="F1777" s="2" t="s">
        <v>5051</v>
      </c>
      <c r="G1777" s="6">
        <v>46204</v>
      </c>
      <c r="H1777" s="2" t="s">
        <v>71</v>
      </c>
      <c r="I1777" s="2" t="s">
        <v>39</v>
      </c>
      <c r="J1777" s="9">
        <v>4733.46</v>
      </c>
      <c r="K1777" s="7">
        <v>1</v>
      </c>
      <c r="L1777" s="9">
        <v>4733.46</v>
      </c>
      <c r="M1777" s="9">
        <v>4733.46</v>
      </c>
      <c r="N1777" s="9">
        <v>2.6</v>
      </c>
      <c r="O1777" s="10">
        <f>IF(AND(OR(H1777="APPROVED",H1777="SCHEDULED"),COUNTIFS(tblSource[EventID],F1777,tblSource[ReleaseStatus],"APPROVED")=1,COUNTIFS(Period_Status!$A$2:$A$8,G1777,Period_Status!$B$2:$B$8,"ActualClosed")=1,C1777&gt;EOMONTH(Settlement_Bridge!$C$2,0)),1,0)</f>
        <v>1</v>
      </c>
      <c r="P1777" s="2" t="s">
        <v>5052</v>
      </c>
    </row>
    <row r="1778" spans="1:16" x14ac:dyDescent="0.25">
      <c r="A1778" s="2" t="s">
        <v>5053</v>
      </c>
      <c r="B1778" s="2" t="s">
        <v>199</v>
      </c>
      <c r="C1778" s="8">
        <v>46245</v>
      </c>
      <c r="D1778" s="6">
        <v>46235</v>
      </c>
      <c r="E1778" s="2" t="s">
        <v>260</v>
      </c>
      <c r="F1778" s="2" t="s">
        <v>5054</v>
      </c>
      <c r="G1778" s="6">
        <v>46204</v>
      </c>
      <c r="H1778" s="2" t="s">
        <v>71</v>
      </c>
      <c r="I1778" s="2" t="s">
        <v>76</v>
      </c>
      <c r="J1778" s="9">
        <v>31654645.161290001</v>
      </c>
      <c r="K1778" s="7">
        <v>6.1500000000000004E-5</v>
      </c>
      <c r="L1778" s="9">
        <v>1946.76</v>
      </c>
      <c r="M1778" s="9">
        <v>1962.59</v>
      </c>
      <c r="N1778" s="9">
        <v>1.8</v>
      </c>
      <c r="O1778" s="10">
        <f>IF(AND(OR(H1778="APPROVED",H1778="SCHEDULED"),COUNTIFS(tblSource[EventID],F1778,tblSource[ReleaseStatus],"APPROVED")=1,COUNTIFS(Period_Status!$A$2:$A$8,G1778,Period_Status!$B$2:$B$8,"ActualClosed")=1,C1778&gt;EOMONTH(Settlement_Bridge!$C$2,0)),1,0)</f>
        <v>1</v>
      </c>
      <c r="P1778" s="2" t="s">
        <v>5055</v>
      </c>
    </row>
    <row r="1779" spans="1:16" x14ac:dyDescent="0.25">
      <c r="A1779" s="2" t="s">
        <v>5056</v>
      </c>
      <c r="B1779" s="2" t="s">
        <v>199</v>
      </c>
      <c r="C1779" s="8">
        <v>46270</v>
      </c>
      <c r="D1779" s="6">
        <v>46266</v>
      </c>
      <c r="E1779" s="2" t="s">
        <v>260</v>
      </c>
      <c r="F1779" s="2" t="s">
        <v>5054</v>
      </c>
      <c r="G1779" s="6">
        <v>46204</v>
      </c>
      <c r="H1779" s="2" t="s">
        <v>176</v>
      </c>
      <c r="I1779" s="2" t="s">
        <v>76</v>
      </c>
      <c r="J1779" s="9">
        <v>47481967.741935998</v>
      </c>
      <c r="K1779" s="7">
        <v>6.1299999999999999E-5</v>
      </c>
      <c r="L1779" s="9">
        <v>2910.64</v>
      </c>
      <c r="M1779" s="9">
        <v>2943.88</v>
      </c>
      <c r="N1779" s="9">
        <v>1.8</v>
      </c>
      <c r="O1779" s="10">
        <f>IF(AND(OR(H1779="APPROVED",H1779="SCHEDULED"),COUNTIFS(tblSource[EventID],F1779,tblSource[ReleaseStatus],"APPROVED")=1,COUNTIFS(Period_Status!$A$2:$A$8,G1779,Period_Status!$B$2:$B$8,"ActualClosed")=1,C1779&gt;EOMONTH(Settlement_Bridge!$C$2,0)),1,0)</f>
        <v>1</v>
      </c>
      <c r="P1779" s="2" t="s">
        <v>5057</v>
      </c>
    </row>
    <row r="1780" spans="1:16" x14ac:dyDescent="0.25">
      <c r="A1780" s="2" t="s">
        <v>5058</v>
      </c>
      <c r="B1780" s="2" t="s">
        <v>199</v>
      </c>
      <c r="C1780" s="8">
        <v>46256</v>
      </c>
      <c r="D1780" s="6">
        <v>46235</v>
      </c>
      <c r="E1780" s="2" t="s">
        <v>260</v>
      </c>
      <c r="F1780" s="2" t="s">
        <v>5059</v>
      </c>
      <c r="G1780" s="6">
        <v>46204</v>
      </c>
      <c r="H1780" s="2" t="s">
        <v>71</v>
      </c>
      <c r="I1780" s="2" t="s">
        <v>70</v>
      </c>
      <c r="J1780" s="9">
        <v>7719.5744679999998</v>
      </c>
      <c r="K1780" s="7">
        <v>0.65</v>
      </c>
      <c r="L1780" s="9">
        <v>5017.72</v>
      </c>
      <c r="M1780" s="9">
        <v>5079.4799999999996</v>
      </c>
      <c r="N1780" s="9">
        <v>2.76</v>
      </c>
      <c r="O1780" s="10">
        <f>IF(AND(OR(H1780="APPROVED",H1780="SCHEDULED"),COUNTIFS(tblSource[EventID],F1780,tblSource[ReleaseStatus],"APPROVED")=1,COUNTIFS(Period_Status!$A$2:$A$8,G1780,Period_Status!$B$2:$B$8,"ActualClosed")=1,C1780&gt;EOMONTH(Settlement_Bridge!$C$2,0)),1,0)</f>
        <v>1</v>
      </c>
      <c r="P1780" s="2" t="s">
        <v>5060</v>
      </c>
    </row>
    <row r="1781" spans="1:16" x14ac:dyDescent="0.25">
      <c r="A1781" s="2" t="s">
        <v>5061</v>
      </c>
      <c r="B1781" s="2" t="s">
        <v>199</v>
      </c>
      <c r="C1781" s="8">
        <v>46257</v>
      </c>
      <c r="D1781" s="6">
        <v>46235</v>
      </c>
      <c r="E1781" s="2" t="s">
        <v>260</v>
      </c>
      <c r="F1781" s="2" t="s">
        <v>5062</v>
      </c>
      <c r="G1781" s="6">
        <v>46204</v>
      </c>
      <c r="H1781" s="2" t="s">
        <v>71</v>
      </c>
      <c r="I1781" s="2" t="s">
        <v>39</v>
      </c>
      <c r="J1781" s="9">
        <v>5252.49</v>
      </c>
      <c r="K1781" s="7">
        <v>1</v>
      </c>
      <c r="L1781" s="9">
        <v>5252.49</v>
      </c>
      <c r="M1781" s="9">
        <v>5252.49</v>
      </c>
      <c r="N1781" s="9">
        <v>2.89</v>
      </c>
      <c r="O1781" s="10">
        <f>IF(AND(OR(H1781="APPROVED",H1781="SCHEDULED"),COUNTIFS(tblSource[EventID],F1781,tblSource[ReleaseStatus],"APPROVED")=1,COUNTIFS(Period_Status!$A$2:$A$8,G1781,Period_Status!$B$2:$B$8,"ActualClosed")=1,C1781&gt;EOMONTH(Settlement_Bridge!$C$2,0)),1,0)</f>
        <v>1</v>
      </c>
      <c r="P1781" s="2" t="s">
        <v>5063</v>
      </c>
    </row>
    <row r="1782" spans="1:16" x14ac:dyDescent="0.25">
      <c r="A1782" s="2" t="s">
        <v>5064</v>
      </c>
      <c r="B1782" s="2" t="s">
        <v>199</v>
      </c>
      <c r="C1782" s="8">
        <v>46258</v>
      </c>
      <c r="D1782" s="6">
        <v>46235</v>
      </c>
      <c r="E1782" s="2" t="s">
        <v>260</v>
      </c>
      <c r="F1782" s="2" t="s">
        <v>5065</v>
      </c>
      <c r="G1782" s="6">
        <v>46204</v>
      </c>
      <c r="H1782" s="2" t="s">
        <v>71</v>
      </c>
      <c r="I1782" s="2" t="s">
        <v>76</v>
      </c>
      <c r="J1782" s="9">
        <v>87508064.516129002</v>
      </c>
      <c r="K1782" s="7">
        <v>6.1500000000000004E-5</v>
      </c>
      <c r="L1782" s="9">
        <v>5381.75</v>
      </c>
      <c r="M1782" s="9">
        <v>5425.5</v>
      </c>
      <c r="N1782" s="9">
        <v>2.96</v>
      </c>
      <c r="O1782" s="10">
        <f>IF(AND(OR(H1782="APPROVED",H1782="SCHEDULED"),COUNTIFS(tblSource[EventID],F1782,tblSource[ReleaseStatus],"APPROVED")=1,COUNTIFS(Period_Status!$A$2:$A$8,G1782,Period_Status!$B$2:$B$8,"ActualClosed")=1,C1782&gt;EOMONTH(Settlement_Bridge!$C$2,0)),1,0)</f>
        <v>1</v>
      </c>
      <c r="P1782" s="2" t="s">
        <v>5066</v>
      </c>
    </row>
    <row r="1783" spans="1:16" x14ac:dyDescent="0.25">
      <c r="A1783" s="2" t="s">
        <v>5067</v>
      </c>
      <c r="B1783" s="2" t="s">
        <v>199</v>
      </c>
      <c r="C1783" s="8">
        <v>46228</v>
      </c>
      <c r="D1783" s="6">
        <v>46204</v>
      </c>
      <c r="E1783" s="2" t="s">
        <v>260</v>
      </c>
      <c r="F1783" s="2" t="s">
        <v>5068</v>
      </c>
      <c r="G1783" s="6">
        <v>46204</v>
      </c>
      <c r="H1783" s="2" t="s">
        <v>71</v>
      </c>
      <c r="I1783" s="2" t="s">
        <v>70</v>
      </c>
      <c r="J1783" s="9">
        <v>8508.3738599999997</v>
      </c>
      <c r="K1783" s="7">
        <v>0.65800000000000003</v>
      </c>
      <c r="L1783" s="9">
        <v>5598.51</v>
      </c>
      <c r="M1783" s="9">
        <v>5598.51</v>
      </c>
      <c r="N1783" s="9">
        <v>3.08</v>
      </c>
      <c r="O1783" s="10">
        <f>IF(AND(OR(H1783="APPROVED",H1783="SCHEDULED"),COUNTIFS(tblSource[EventID],F1783,tblSource[ReleaseStatus],"APPROVED")=1,COUNTIFS(Period_Status!$A$2:$A$8,G1783,Period_Status!$B$2:$B$8,"ActualClosed")=1,C1783&gt;EOMONTH(Settlement_Bridge!$C$2,0)),1,0)</f>
        <v>0</v>
      </c>
      <c r="P1783" s="2" t="s">
        <v>5069</v>
      </c>
    </row>
    <row r="1784" spans="1:16" x14ac:dyDescent="0.25">
      <c r="A1784" s="2" t="s">
        <v>5070</v>
      </c>
      <c r="B1784" s="2" t="s">
        <v>199</v>
      </c>
      <c r="C1784" s="8">
        <v>46229</v>
      </c>
      <c r="D1784" s="6">
        <v>46204</v>
      </c>
      <c r="E1784" s="2" t="s">
        <v>260</v>
      </c>
      <c r="F1784" s="2" t="s">
        <v>5071</v>
      </c>
      <c r="G1784" s="6">
        <v>46204</v>
      </c>
      <c r="H1784" s="2" t="s">
        <v>71</v>
      </c>
      <c r="I1784" s="2" t="s">
        <v>39</v>
      </c>
      <c r="J1784" s="9">
        <v>5771.52</v>
      </c>
      <c r="K1784" s="7">
        <v>1</v>
      </c>
      <c r="L1784" s="9">
        <v>5771.52</v>
      </c>
      <c r="M1784" s="9">
        <v>5771.52</v>
      </c>
      <c r="N1784" s="9">
        <v>3.17</v>
      </c>
      <c r="O1784" s="10">
        <f>IF(AND(OR(H1784="APPROVED",H1784="SCHEDULED"),COUNTIFS(tblSource[EventID],F1784,tblSource[ReleaseStatus],"APPROVED")=1,COUNTIFS(Period_Status!$A$2:$A$8,G1784,Period_Status!$B$2:$B$8,"ActualClosed")=1,C1784&gt;EOMONTH(Settlement_Bridge!$C$2,0)),1,0)</f>
        <v>0</v>
      </c>
      <c r="P1784" s="2" t="s">
        <v>5072</v>
      </c>
    </row>
    <row r="1785" spans="1:16" x14ac:dyDescent="0.25">
      <c r="A1785" s="2" t="s">
        <v>5073</v>
      </c>
      <c r="B1785" s="2" t="s">
        <v>199</v>
      </c>
      <c r="C1785" s="8">
        <v>46220</v>
      </c>
      <c r="D1785" s="6">
        <v>46204</v>
      </c>
      <c r="E1785" s="2" t="s">
        <v>260</v>
      </c>
      <c r="F1785" s="2" t="s">
        <v>5074</v>
      </c>
      <c r="G1785" s="6">
        <v>46204</v>
      </c>
      <c r="H1785" s="2" t="s">
        <v>71</v>
      </c>
      <c r="I1785" s="2" t="s">
        <v>76</v>
      </c>
      <c r="J1785" s="9">
        <v>38351806.451613002</v>
      </c>
      <c r="K1785" s="7">
        <v>6.2000000000000003E-5</v>
      </c>
      <c r="L1785" s="9">
        <v>2377.81</v>
      </c>
      <c r="M1785" s="9">
        <v>2377.81</v>
      </c>
      <c r="N1785" s="9">
        <v>1.8</v>
      </c>
      <c r="O1785" s="10">
        <f>IF(AND(OR(H1785="APPROVED",H1785="SCHEDULED"),COUNTIFS(tblSource[EventID],F1785,tblSource[ReleaseStatus],"APPROVED")=1,COUNTIFS(Period_Status!$A$2:$A$8,G1785,Period_Status!$B$2:$B$8,"ActualClosed")=1,C1785&gt;EOMONTH(Settlement_Bridge!$C$2,0)),1,0)</f>
        <v>0</v>
      </c>
      <c r="P1785" s="2" t="s">
        <v>5075</v>
      </c>
    </row>
    <row r="1786" spans="1:16" x14ac:dyDescent="0.25">
      <c r="A1786" s="2" t="s">
        <v>5076</v>
      </c>
      <c r="B1786" s="2" t="s">
        <v>199</v>
      </c>
      <c r="C1786" s="8">
        <v>46245</v>
      </c>
      <c r="D1786" s="6">
        <v>46235</v>
      </c>
      <c r="E1786" s="2" t="s">
        <v>260</v>
      </c>
      <c r="F1786" s="2" t="s">
        <v>5074</v>
      </c>
      <c r="G1786" s="6">
        <v>46204</v>
      </c>
      <c r="H1786" s="2" t="s">
        <v>71</v>
      </c>
      <c r="I1786" s="2" t="s">
        <v>76</v>
      </c>
      <c r="J1786" s="9">
        <v>57527709.677418999</v>
      </c>
      <c r="K1786" s="7">
        <v>6.1500000000000004E-5</v>
      </c>
      <c r="L1786" s="9">
        <v>3537.95</v>
      </c>
      <c r="M1786" s="9">
        <v>3566.72</v>
      </c>
      <c r="N1786" s="9">
        <v>1.95</v>
      </c>
      <c r="O1786" s="10">
        <f>IF(AND(OR(H1786="APPROVED",H1786="SCHEDULED"),COUNTIFS(tblSource[EventID],F1786,tblSource[ReleaseStatus],"APPROVED")=1,COUNTIFS(Period_Status!$A$2:$A$8,G1786,Period_Status!$B$2:$B$8,"ActualClosed")=1,C1786&gt;EOMONTH(Settlement_Bridge!$C$2,0)),1,0)</f>
        <v>1</v>
      </c>
      <c r="P1786" s="2" t="s">
        <v>5077</v>
      </c>
    </row>
    <row r="1787" spans="1:16" x14ac:dyDescent="0.25">
      <c r="A1787" s="2" t="s">
        <v>5078</v>
      </c>
      <c r="B1787" s="2" t="s">
        <v>199</v>
      </c>
      <c r="C1787" s="8">
        <v>46221</v>
      </c>
      <c r="D1787" s="6">
        <v>46204</v>
      </c>
      <c r="E1787" s="2" t="s">
        <v>260</v>
      </c>
      <c r="F1787" s="2" t="s">
        <v>5079</v>
      </c>
      <c r="G1787" s="6">
        <v>46204</v>
      </c>
      <c r="H1787" s="2" t="s">
        <v>71</v>
      </c>
      <c r="I1787" s="2" t="s">
        <v>70</v>
      </c>
      <c r="J1787" s="9">
        <v>3718.8693010000002</v>
      </c>
      <c r="K1787" s="7">
        <v>0.65800000000000003</v>
      </c>
      <c r="L1787" s="9">
        <v>2447.02</v>
      </c>
      <c r="M1787" s="9">
        <v>2447.02</v>
      </c>
      <c r="N1787" s="9">
        <v>1.8</v>
      </c>
      <c r="O1787" s="10">
        <f>IF(AND(OR(H1787="APPROVED",H1787="SCHEDULED"),COUNTIFS(tblSource[EventID],F1787,tblSource[ReleaseStatus],"APPROVED")=1,COUNTIFS(Period_Status!$A$2:$A$8,G1787,Period_Status!$B$2:$B$8,"ActualClosed")=1,C1787&gt;EOMONTH(Settlement_Bridge!$C$2,0)),1,0)</f>
        <v>0</v>
      </c>
      <c r="P1787" s="2" t="s">
        <v>5080</v>
      </c>
    </row>
    <row r="1788" spans="1:16" x14ac:dyDescent="0.25">
      <c r="A1788" s="2" t="s">
        <v>5081</v>
      </c>
      <c r="B1788" s="2" t="s">
        <v>199</v>
      </c>
      <c r="C1788" s="8">
        <v>46246</v>
      </c>
      <c r="D1788" s="6">
        <v>46235</v>
      </c>
      <c r="E1788" s="2" t="s">
        <v>260</v>
      </c>
      <c r="F1788" s="2" t="s">
        <v>5079</v>
      </c>
      <c r="G1788" s="6">
        <v>46204</v>
      </c>
      <c r="H1788" s="2" t="s">
        <v>71</v>
      </c>
      <c r="I1788" s="2" t="s">
        <v>70</v>
      </c>
      <c r="J1788" s="9">
        <v>5578.3039509999999</v>
      </c>
      <c r="K1788" s="7">
        <v>0.65</v>
      </c>
      <c r="L1788" s="9">
        <v>3625.9</v>
      </c>
      <c r="M1788" s="9">
        <v>3670.52</v>
      </c>
      <c r="N1788" s="9">
        <v>1.99</v>
      </c>
      <c r="O1788" s="10">
        <f>IF(AND(OR(H1788="APPROVED",H1788="SCHEDULED"),COUNTIFS(tblSource[EventID],F1788,tblSource[ReleaseStatus],"APPROVED")=1,COUNTIFS(Period_Status!$A$2:$A$8,G1788,Period_Status!$B$2:$B$8,"ActualClosed")=1,C1788&gt;EOMONTH(Settlement_Bridge!$C$2,0)),1,0)</f>
        <v>1</v>
      </c>
      <c r="P1788" s="2" t="s">
        <v>5082</v>
      </c>
    </row>
    <row r="1789" spans="1:16" x14ac:dyDescent="0.25">
      <c r="A1789" s="2" t="s">
        <v>5083</v>
      </c>
      <c r="B1789" s="2" t="s">
        <v>199</v>
      </c>
      <c r="C1789" s="8">
        <v>46232</v>
      </c>
      <c r="D1789" s="6">
        <v>46204</v>
      </c>
      <c r="E1789" s="2" t="s">
        <v>260</v>
      </c>
      <c r="F1789" s="2" t="s">
        <v>5084</v>
      </c>
      <c r="G1789" s="6">
        <v>46204</v>
      </c>
      <c r="H1789" s="2" t="s">
        <v>71</v>
      </c>
      <c r="I1789" s="2" t="s">
        <v>39</v>
      </c>
      <c r="J1789" s="9">
        <v>6290.55</v>
      </c>
      <c r="K1789" s="7">
        <v>1</v>
      </c>
      <c r="L1789" s="9">
        <v>6290.55</v>
      </c>
      <c r="M1789" s="9">
        <v>6290.55</v>
      </c>
      <c r="N1789" s="9">
        <v>3.46</v>
      </c>
      <c r="O1789" s="10">
        <f>IF(AND(OR(H1789="APPROVED",H1789="SCHEDULED"),COUNTIFS(tblSource[EventID],F1789,tblSource[ReleaseStatus],"APPROVED")=1,COUNTIFS(Period_Status!$A$2:$A$8,G1789,Period_Status!$B$2:$B$8,"ActualClosed")=1,C1789&gt;EOMONTH(Settlement_Bridge!$C$2,0)),1,0)</f>
        <v>0</v>
      </c>
      <c r="P1789" s="2" t="s">
        <v>5085</v>
      </c>
    </row>
    <row r="1790" spans="1:16" x14ac:dyDescent="0.25">
      <c r="A1790" s="2" t="s">
        <v>5086</v>
      </c>
      <c r="B1790" s="2" t="s">
        <v>199</v>
      </c>
      <c r="C1790" s="8">
        <v>46233</v>
      </c>
      <c r="D1790" s="6">
        <v>46204</v>
      </c>
      <c r="E1790" s="2" t="s">
        <v>260</v>
      </c>
      <c r="F1790" s="2" t="s">
        <v>5087</v>
      </c>
      <c r="G1790" s="6">
        <v>46204</v>
      </c>
      <c r="H1790" s="2" t="s">
        <v>71</v>
      </c>
      <c r="I1790" s="2" t="s">
        <v>76</v>
      </c>
      <c r="J1790" s="9">
        <v>104250967.741935</v>
      </c>
      <c r="K1790" s="7">
        <v>6.2000000000000003E-5</v>
      </c>
      <c r="L1790" s="9">
        <v>6463.56</v>
      </c>
      <c r="M1790" s="9">
        <v>6463.56</v>
      </c>
      <c r="N1790" s="9">
        <v>3.55</v>
      </c>
      <c r="O1790" s="10">
        <f>IF(AND(OR(H1790="APPROVED",H1790="SCHEDULED"),COUNTIFS(tblSource[EventID],F1790,tblSource[ReleaseStatus],"APPROVED")=1,COUNTIFS(Period_Status!$A$2:$A$8,G1790,Period_Status!$B$2:$B$8,"ActualClosed")=1,C1790&gt;EOMONTH(Settlement_Bridge!$C$2,0)),1,0)</f>
        <v>0</v>
      </c>
      <c r="P1790" s="2" t="s">
        <v>5088</v>
      </c>
    </row>
    <row r="1791" spans="1:16" x14ac:dyDescent="0.25">
      <c r="A1791" s="2" t="s">
        <v>5089</v>
      </c>
      <c r="B1791" s="2" t="s">
        <v>199</v>
      </c>
      <c r="C1791" s="8">
        <v>46224</v>
      </c>
      <c r="D1791" s="6">
        <v>46204</v>
      </c>
      <c r="E1791" s="2" t="s">
        <v>260</v>
      </c>
      <c r="F1791" s="2" t="s">
        <v>5090</v>
      </c>
      <c r="G1791" s="6">
        <v>46204</v>
      </c>
      <c r="H1791" s="2" t="s">
        <v>71</v>
      </c>
      <c r="I1791" s="2" t="s">
        <v>70</v>
      </c>
      <c r="J1791" s="9">
        <v>4034.3890580000002</v>
      </c>
      <c r="K1791" s="7">
        <v>0.65800000000000003</v>
      </c>
      <c r="L1791" s="9">
        <v>2654.63</v>
      </c>
      <c r="M1791" s="9">
        <v>2654.63</v>
      </c>
      <c r="N1791" s="9">
        <v>1.8</v>
      </c>
      <c r="O1791" s="10">
        <f>IF(AND(OR(H1791="APPROVED",H1791="SCHEDULED"),COUNTIFS(tblSource[EventID],F1791,tblSource[ReleaseStatus],"APPROVED")=1,COUNTIFS(Period_Status!$A$2:$A$8,G1791,Period_Status!$B$2:$B$8,"ActualClosed")=1,C1791&gt;EOMONTH(Settlement_Bridge!$C$2,0)),1,0)</f>
        <v>0</v>
      </c>
      <c r="P1791" s="2" t="s">
        <v>5091</v>
      </c>
    </row>
    <row r="1792" spans="1:16" x14ac:dyDescent="0.25">
      <c r="A1792" s="2" t="s">
        <v>5092</v>
      </c>
      <c r="B1792" s="2" t="s">
        <v>199</v>
      </c>
      <c r="C1792" s="8">
        <v>46249</v>
      </c>
      <c r="D1792" s="6">
        <v>46235</v>
      </c>
      <c r="E1792" s="2" t="s">
        <v>260</v>
      </c>
      <c r="F1792" s="2" t="s">
        <v>5090</v>
      </c>
      <c r="G1792" s="6">
        <v>46204</v>
      </c>
      <c r="H1792" s="2" t="s">
        <v>71</v>
      </c>
      <c r="I1792" s="2" t="s">
        <v>70</v>
      </c>
      <c r="J1792" s="9">
        <v>6051.5835859999997</v>
      </c>
      <c r="K1792" s="7">
        <v>0.65</v>
      </c>
      <c r="L1792" s="9">
        <v>3933.53</v>
      </c>
      <c r="M1792" s="9">
        <v>3981.94</v>
      </c>
      <c r="N1792" s="9">
        <v>2.16</v>
      </c>
      <c r="O1792" s="10">
        <f>IF(AND(OR(H1792="APPROVED",H1792="SCHEDULED"),COUNTIFS(tblSource[EventID],F1792,tblSource[ReleaseStatus],"APPROVED")=1,COUNTIFS(Period_Status!$A$2:$A$8,G1792,Period_Status!$B$2:$B$8,"ActualClosed")=1,C1792&gt;EOMONTH(Settlement_Bridge!$C$2,0)),1,0)</f>
        <v>1</v>
      </c>
      <c r="P1792" s="2" t="s">
        <v>5093</v>
      </c>
    </row>
    <row r="1793" spans="1:16" x14ac:dyDescent="0.25">
      <c r="A1793" s="2" t="s">
        <v>5094</v>
      </c>
      <c r="B1793" s="2" t="s">
        <v>199</v>
      </c>
      <c r="C1793" s="8">
        <v>46235</v>
      </c>
      <c r="D1793" s="6">
        <v>46235</v>
      </c>
      <c r="E1793" s="2" t="s">
        <v>260</v>
      </c>
      <c r="F1793" s="2" t="s">
        <v>5095</v>
      </c>
      <c r="G1793" s="6">
        <v>46204</v>
      </c>
      <c r="H1793" s="2" t="s">
        <v>71</v>
      </c>
      <c r="I1793" s="2" t="s">
        <v>39</v>
      </c>
      <c r="J1793" s="9">
        <v>6809.58</v>
      </c>
      <c r="K1793" s="7">
        <v>1</v>
      </c>
      <c r="L1793" s="9">
        <v>6809.58</v>
      </c>
      <c r="M1793" s="9">
        <v>6809.58</v>
      </c>
      <c r="N1793" s="9">
        <v>3.75</v>
      </c>
      <c r="O1793" s="10">
        <f>IF(AND(OR(H1793="APPROVED",H1793="SCHEDULED"),COUNTIFS(tblSource[EventID],F1793,tblSource[ReleaseStatus],"APPROVED")=1,COUNTIFS(Period_Status!$A$2:$A$8,G1793,Period_Status!$B$2:$B$8,"ActualClosed")=1,C1793&gt;EOMONTH(Settlement_Bridge!$C$2,0)),1,0)</f>
        <v>1</v>
      </c>
      <c r="P1793" s="2" t="s">
        <v>5096</v>
      </c>
    </row>
    <row r="1794" spans="1:16" x14ac:dyDescent="0.25">
      <c r="A1794" s="2" t="s">
        <v>5097</v>
      </c>
      <c r="B1794" s="2" t="s">
        <v>199</v>
      </c>
      <c r="C1794" s="8">
        <v>46236</v>
      </c>
      <c r="D1794" s="6">
        <v>46235</v>
      </c>
      <c r="E1794" s="2" t="s">
        <v>260</v>
      </c>
      <c r="F1794" s="2" t="s">
        <v>5098</v>
      </c>
      <c r="G1794" s="6">
        <v>46204</v>
      </c>
      <c r="H1794" s="2" t="s">
        <v>71</v>
      </c>
      <c r="I1794" s="2" t="s">
        <v>76</v>
      </c>
      <c r="J1794" s="9">
        <v>112622419.354839</v>
      </c>
      <c r="K1794" s="7">
        <v>6.1500000000000004E-5</v>
      </c>
      <c r="L1794" s="9">
        <v>6926.28</v>
      </c>
      <c r="M1794" s="9">
        <v>6982.59</v>
      </c>
      <c r="N1794" s="9">
        <v>3.81</v>
      </c>
      <c r="O1794" s="10">
        <f>IF(AND(OR(H1794="APPROVED",H1794="SCHEDULED"),COUNTIFS(tblSource[EventID],F1794,tblSource[ReleaseStatus],"APPROVED")=1,COUNTIFS(Period_Status!$A$2:$A$8,G1794,Period_Status!$B$2:$B$8,"ActualClosed")=1,C1794&gt;EOMONTH(Settlement_Bridge!$C$2,0)),1,0)</f>
        <v>1</v>
      </c>
      <c r="P1794" s="2" t="s">
        <v>5099</v>
      </c>
    </row>
    <row r="1795" spans="1:16" x14ac:dyDescent="0.25">
      <c r="A1795" s="2" t="s">
        <v>5100</v>
      </c>
      <c r="B1795" s="2" t="s">
        <v>199</v>
      </c>
      <c r="C1795" s="8">
        <v>46237</v>
      </c>
      <c r="D1795" s="6">
        <v>46235</v>
      </c>
      <c r="E1795" s="2" t="s">
        <v>260</v>
      </c>
      <c r="F1795" s="2" t="s">
        <v>5101</v>
      </c>
      <c r="G1795" s="6">
        <v>46204</v>
      </c>
      <c r="H1795" s="2" t="s">
        <v>71</v>
      </c>
      <c r="I1795" s="2" t="s">
        <v>70</v>
      </c>
      <c r="J1795" s="9">
        <v>10874.772036</v>
      </c>
      <c r="K1795" s="7">
        <v>0.65</v>
      </c>
      <c r="L1795" s="9">
        <v>7068.6</v>
      </c>
      <c r="M1795" s="9">
        <v>7155.6</v>
      </c>
      <c r="N1795" s="9">
        <v>3.89</v>
      </c>
      <c r="O1795" s="10">
        <f>IF(AND(OR(H1795="APPROVED",H1795="SCHEDULED"),COUNTIFS(tblSource[EventID],F1795,tblSource[ReleaseStatus],"APPROVED")=1,COUNTIFS(Period_Status!$A$2:$A$8,G1795,Period_Status!$B$2:$B$8,"ActualClosed")=1,C1795&gt;EOMONTH(Settlement_Bridge!$C$2,0)),1,0)</f>
        <v>1</v>
      </c>
      <c r="P1795" s="2" t="s">
        <v>5102</v>
      </c>
    </row>
    <row r="1796" spans="1:16" x14ac:dyDescent="0.25">
      <c r="A1796" s="2" t="s">
        <v>5103</v>
      </c>
      <c r="B1796" s="2" t="s">
        <v>199</v>
      </c>
      <c r="C1796" s="8">
        <v>46238</v>
      </c>
      <c r="D1796" s="6">
        <v>46235</v>
      </c>
      <c r="E1796" s="2" t="s">
        <v>260</v>
      </c>
      <c r="F1796" s="2" t="s">
        <v>5104</v>
      </c>
      <c r="G1796" s="6">
        <v>46204</v>
      </c>
      <c r="H1796" s="2" t="s">
        <v>71</v>
      </c>
      <c r="I1796" s="2" t="s">
        <v>39</v>
      </c>
      <c r="J1796" s="9">
        <v>7328.61</v>
      </c>
      <c r="K1796" s="7">
        <v>1</v>
      </c>
      <c r="L1796" s="9">
        <v>7328.61</v>
      </c>
      <c r="M1796" s="9">
        <v>7328.61</v>
      </c>
      <c r="N1796" s="9">
        <v>4.03</v>
      </c>
      <c r="O1796" s="10">
        <f>IF(AND(OR(H1796="APPROVED",H1796="SCHEDULED"),COUNTIFS(tblSource[EventID],F1796,tblSource[ReleaseStatus],"APPROVED")=1,COUNTIFS(Period_Status!$A$2:$A$8,G1796,Period_Status!$B$2:$B$8,"ActualClosed")=1,C1796&gt;EOMONTH(Settlement_Bridge!$C$2,0)),1,0)</f>
        <v>1</v>
      </c>
      <c r="P1796" s="2" t="s">
        <v>5105</v>
      </c>
    </row>
    <row r="1797" spans="1:16" x14ac:dyDescent="0.25">
      <c r="A1797" s="2" t="s">
        <v>5106</v>
      </c>
      <c r="B1797" s="2" t="s">
        <v>199</v>
      </c>
      <c r="C1797" s="8">
        <v>46239</v>
      </c>
      <c r="D1797" s="6">
        <v>46235</v>
      </c>
      <c r="E1797" s="2" t="s">
        <v>260</v>
      </c>
      <c r="F1797" s="2" t="s">
        <v>5107</v>
      </c>
      <c r="G1797" s="6">
        <v>46204</v>
      </c>
      <c r="H1797" s="2" t="s">
        <v>71</v>
      </c>
      <c r="I1797" s="2" t="s">
        <v>76</v>
      </c>
      <c r="J1797" s="9">
        <v>120993870.967742</v>
      </c>
      <c r="K1797" s="7">
        <v>6.1500000000000004E-5</v>
      </c>
      <c r="L1797" s="9">
        <v>7441.12</v>
      </c>
      <c r="M1797" s="9">
        <v>7501.62</v>
      </c>
      <c r="N1797" s="9">
        <v>4.09</v>
      </c>
      <c r="O1797" s="10">
        <f>IF(AND(OR(H1797="APPROVED",H1797="SCHEDULED"),COUNTIFS(tblSource[EventID],F1797,tblSource[ReleaseStatus],"APPROVED")=1,COUNTIFS(Period_Status!$A$2:$A$8,G1797,Period_Status!$B$2:$B$8,"ActualClosed")=1,C1797&gt;EOMONTH(Settlement_Bridge!$C$2,0)),1,0)</f>
        <v>1</v>
      </c>
      <c r="P1797" s="2" t="s">
        <v>5108</v>
      </c>
    </row>
    <row r="1798" spans="1:16" x14ac:dyDescent="0.25">
      <c r="A1798" s="2" t="s">
        <v>5109</v>
      </c>
      <c r="B1798" s="2" t="s">
        <v>199</v>
      </c>
      <c r="C1798" s="8">
        <v>46230</v>
      </c>
      <c r="D1798" s="6">
        <v>46204</v>
      </c>
      <c r="E1798" s="2" t="s">
        <v>260</v>
      </c>
      <c r="F1798" s="2" t="s">
        <v>5110</v>
      </c>
      <c r="G1798" s="6">
        <v>46204</v>
      </c>
      <c r="H1798" s="2" t="s">
        <v>71</v>
      </c>
      <c r="I1798" s="2" t="s">
        <v>70</v>
      </c>
      <c r="J1798" s="9">
        <v>4665.4285719999998</v>
      </c>
      <c r="K1798" s="7">
        <v>0.65800000000000003</v>
      </c>
      <c r="L1798" s="9">
        <v>3069.85</v>
      </c>
      <c r="M1798" s="9">
        <v>3069.85</v>
      </c>
      <c r="N1798" s="9">
        <v>1.8</v>
      </c>
      <c r="O1798" s="10">
        <f>IF(AND(OR(H1798="APPROVED",H1798="SCHEDULED"),COUNTIFS(tblSource[EventID],F1798,tblSource[ReleaseStatus],"APPROVED")=1,COUNTIFS(Period_Status!$A$2:$A$8,G1798,Period_Status!$B$2:$B$8,"ActualClosed")=1,C1798&gt;EOMONTH(Settlement_Bridge!$C$2,0)),1,0)</f>
        <v>0</v>
      </c>
      <c r="P1798" s="2" t="s">
        <v>5111</v>
      </c>
    </row>
    <row r="1799" spans="1:16" x14ac:dyDescent="0.25">
      <c r="A1799" s="2" t="s">
        <v>5112</v>
      </c>
      <c r="B1799" s="2" t="s">
        <v>199</v>
      </c>
      <c r="C1799" s="8">
        <v>46255</v>
      </c>
      <c r="D1799" s="6">
        <v>46235</v>
      </c>
      <c r="E1799" s="2" t="s">
        <v>260</v>
      </c>
      <c r="F1799" s="2" t="s">
        <v>5110</v>
      </c>
      <c r="G1799" s="6">
        <v>46204</v>
      </c>
      <c r="H1799" s="2" t="s">
        <v>71</v>
      </c>
      <c r="I1799" s="2" t="s">
        <v>70</v>
      </c>
      <c r="J1799" s="9">
        <v>6998.1428569999998</v>
      </c>
      <c r="K1799" s="7">
        <v>0.65</v>
      </c>
      <c r="L1799" s="9">
        <v>4548.79</v>
      </c>
      <c r="M1799" s="9">
        <v>4604.78</v>
      </c>
      <c r="N1799" s="9">
        <v>2.5</v>
      </c>
      <c r="O1799" s="10">
        <f>IF(AND(OR(H1799="APPROVED",H1799="SCHEDULED"),COUNTIFS(tblSource[EventID],F1799,tblSource[ReleaseStatus],"APPROVED")=1,COUNTIFS(Period_Status!$A$2:$A$8,G1799,Period_Status!$B$2:$B$8,"ActualClosed")=1,C1799&gt;EOMONTH(Settlement_Bridge!$C$2,0)),1,0)</f>
        <v>1</v>
      </c>
      <c r="P1799" s="2" t="s">
        <v>5113</v>
      </c>
    </row>
    <row r="1800" spans="1:16" x14ac:dyDescent="0.25">
      <c r="A1800" s="2" t="s">
        <v>5114</v>
      </c>
      <c r="B1800" s="2" t="s">
        <v>199</v>
      </c>
      <c r="C1800" s="8">
        <v>46231</v>
      </c>
      <c r="D1800" s="6">
        <v>46204</v>
      </c>
      <c r="E1800" s="2" t="s">
        <v>260</v>
      </c>
      <c r="F1800" s="2" t="s">
        <v>5115</v>
      </c>
      <c r="G1800" s="6">
        <v>46204</v>
      </c>
      <c r="H1800" s="2" t="s">
        <v>71</v>
      </c>
      <c r="I1800" s="2" t="s">
        <v>39</v>
      </c>
      <c r="J1800" s="9">
        <v>3139.056</v>
      </c>
      <c r="K1800" s="7">
        <v>1</v>
      </c>
      <c r="L1800" s="9">
        <v>3139.06</v>
      </c>
      <c r="M1800" s="9">
        <v>3139.06</v>
      </c>
      <c r="N1800" s="9">
        <v>1.8</v>
      </c>
      <c r="O1800" s="10">
        <f>IF(AND(OR(H1800="APPROVED",H1800="SCHEDULED"),COUNTIFS(tblSource[EventID],F1800,tblSource[ReleaseStatus],"APPROVED")=1,COUNTIFS(Period_Status!$A$2:$A$8,G1800,Period_Status!$B$2:$B$8,"ActualClosed")=1,C1800&gt;EOMONTH(Settlement_Bridge!$C$2,0)),1,0)</f>
        <v>0</v>
      </c>
      <c r="P1800" s="2" t="s">
        <v>5116</v>
      </c>
    </row>
    <row r="1801" spans="1:16" x14ac:dyDescent="0.25">
      <c r="A1801" s="2" t="s">
        <v>5117</v>
      </c>
      <c r="B1801" s="2" t="s">
        <v>199</v>
      </c>
      <c r="C1801" s="8">
        <v>46256</v>
      </c>
      <c r="D1801" s="6">
        <v>46235</v>
      </c>
      <c r="E1801" s="2" t="s">
        <v>260</v>
      </c>
      <c r="F1801" s="2" t="s">
        <v>5115</v>
      </c>
      <c r="G1801" s="6">
        <v>46204</v>
      </c>
      <c r="H1801" s="2" t="s">
        <v>71</v>
      </c>
      <c r="I1801" s="2" t="s">
        <v>39</v>
      </c>
      <c r="J1801" s="9">
        <v>4708.5839999999998</v>
      </c>
      <c r="K1801" s="7">
        <v>1</v>
      </c>
      <c r="L1801" s="9">
        <v>4708.58</v>
      </c>
      <c r="M1801" s="9">
        <v>4708.58</v>
      </c>
      <c r="N1801" s="9">
        <v>2.59</v>
      </c>
      <c r="O1801" s="10">
        <f>IF(AND(OR(H1801="APPROVED",H1801="SCHEDULED"),COUNTIFS(tblSource[EventID],F1801,tblSource[ReleaseStatus],"APPROVED")=1,COUNTIFS(Period_Status!$A$2:$A$8,G1801,Period_Status!$B$2:$B$8,"ActualClosed")=1,C1801&gt;EOMONTH(Settlement_Bridge!$C$2,0)),1,0)</f>
        <v>1</v>
      </c>
      <c r="P1801" s="2" t="s">
        <v>5118</v>
      </c>
    </row>
    <row r="1802" spans="1:16" x14ac:dyDescent="0.25">
      <c r="A1802" s="2" t="s">
        <v>5119</v>
      </c>
      <c r="B1802" s="2" t="s">
        <v>199</v>
      </c>
      <c r="C1802" s="8">
        <v>46242</v>
      </c>
      <c r="D1802" s="6">
        <v>46235</v>
      </c>
      <c r="E1802" s="2" t="s">
        <v>260</v>
      </c>
      <c r="F1802" s="2" t="s">
        <v>5120</v>
      </c>
      <c r="G1802" s="6">
        <v>46204</v>
      </c>
      <c r="H1802" s="2" t="s">
        <v>71</v>
      </c>
      <c r="I1802" s="2" t="s">
        <v>76</v>
      </c>
      <c r="J1802" s="9">
        <v>129365322.58064499</v>
      </c>
      <c r="K1802" s="7">
        <v>6.1500000000000004E-5</v>
      </c>
      <c r="L1802" s="9">
        <v>7955.97</v>
      </c>
      <c r="M1802" s="9">
        <v>8020.65</v>
      </c>
      <c r="N1802" s="9">
        <v>4.38</v>
      </c>
      <c r="O1802" s="10">
        <f>IF(AND(OR(H1802="APPROVED",H1802="SCHEDULED"),COUNTIFS(tblSource[EventID],F1802,tblSource[ReleaseStatus],"APPROVED")=1,COUNTIFS(Period_Status!$A$2:$A$8,G1802,Period_Status!$B$2:$B$8,"ActualClosed")=1,C1802&gt;EOMONTH(Settlement_Bridge!$C$2,0)),1,0)</f>
        <v>1</v>
      </c>
      <c r="P1802" s="2" t="s">
        <v>5121</v>
      </c>
    </row>
    <row r="1803" spans="1:16" x14ac:dyDescent="0.25">
      <c r="A1803" s="2" t="s">
        <v>5122</v>
      </c>
      <c r="B1803" s="2" t="s">
        <v>199</v>
      </c>
      <c r="C1803" s="8">
        <v>46243</v>
      </c>
      <c r="D1803" s="6">
        <v>46235</v>
      </c>
      <c r="E1803" s="2" t="s">
        <v>260</v>
      </c>
      <c r="F1803" s="2" t="s">
        <v>5123</v>
      </c>
      <c r="G1803" s="6">
        <v>46204</v>
      </c>
      <c r="H1803" s="2" t="s">
        <v>71</v>
      </c>
      <c r="I1803" s="2" t="s">
        <v>70</v>
      </c>
      <c r="J1803" s="9">
        <v>12452.370821</v>
      </c>
      <c r="K1803" s="7">
        <v>0.65</v>
      </c>
      <c r="L1803" s="9">
        <v>8094.04</v>
      </c>
      <c r="M1803" s="9">
        <v>8193.66</v>
      </c>
      <c r="N1803" s="9">
        <v>4.45</v>
      </c>
      <c r="O1803" s="10">
        <f>IF(AND(OR(H1803="APPROVED",H1803="SCHEDULED"),COUNTIFS(tblSource[EventID],F1803,tblSource[ReleaseStatus],"APPROVED")=1,COUNTIFS(Period_Status!$A$2:$A$8,G1803,Period_Status!$B$2:$B$8,"ActualClosed")=1,C1803&gt;EOMONTH(Settlement_Bridge!$C$2,0)),1,0)</f>
        <v>1</v>
      </c>
      <c r="P1803" s="2" t="s">
        <v>5124</v>
      </c>
    </row>
    <row r="1804" spans="1:16" x14ac:dyDescent="0.25">
      <c r="A1804" s="2" t="s">
        <v>5125</v>
      </c>
      <c r="B1804" s="2" t="s">
        <v>199</v>
      </c>
      <c r="C1804" s="8">
        <v>46234</v>
      </c>
      <c r="D1804" s="6">
        <v>46204</v>
      </c>
      <c r="E1804" s="2" t="s">
        <v>260</v>
      </c>
      <c r="F1804" s="2" t="s">
        <v>5126</v>
      </c>
      <c r="G1804" s="6">
        <v>46204</v>
      </c>
      <c r="H1804" s="2" t="s">
        <v>71</v>
      </c>
      <c r="I1804" s="2" t="s">
        <v>39</v>
      </c>
      <c r="J1804" s="9">
        <v>3346.6680000000001</v>
      </c>
      <c r="K1804" s="7">
        <v>1</v>
      </c>
      <c r="L1804" s="9">
        <v>3346.67</v>
      </c>
      <c r="M1804" s="9">
        <v>3346.67</v>
      </c>
      <c r="N1804" s="9">
        <v>1.84</v>
      </c>
      <c r="O1804" s="10">
        <f>IF(AND(OR(H1804="APPROVED",H1804="SCHEDULED"),COUNTIFS(tblSource[EventID],F1804,tblSource[ReleaseStatus],"APPROVED")=1,COUNTIFS(Period_Status!$A$2:$A$8,G1804,Period_Status!$B$2:$B$8,"ActualClosed")=1,C1804&gt;EOMONTH(Settlement_Bridge!$C$2,0)),1,0)</f>
        <v>0</v>
      </c>
      <c r="P1804" s="2" t="s">
        <v>5127</v>
      </c>
    </row>
    <row r="1805" spans="1:16" x14ac:dyDescent="0.25">
      <c r="A1805" s="2" t="s">
        <v>5128</v>
      </c>
      <c r="B1805" s="2" t="s">
        <v>199</v>
      </c>
      <c r="C1805" s="8">
        <v>46259</v>
      </c>
      <c r="D1805" s="6">
        <v>46235</v>
      </c>
      <c r="E1805" s="2" t="s">
        <v>260</v>
      </c>
      <c r="F1805" s="2" t="s">
        <v>5126</v>
      </c>
      <c r="G1805" s="6">
        <v>46204</v>
      </c>
      <c r="H1805" s="2" t="s">
        <v>71</v>
      </c>
      <c r="I1805" s="2" t="s">
        <v>39</v>
      </c>
      <c r="J1805" s="9">
        <v>5020.0020000000004</v>
      </c>
      <c r="K1805" s="7">
        <v>1</v>
      </c>
      <c r="L1805" s="9">
        <v>5020</v>
      </c>
      <c r="M1805" s="9">
        <v>5020</v>
      </c>
      <c r="N1805" s="9">
        <v>2.76</v>
      </c>
      <c r="O1805" s="10">
        <f>IF(AND(OR(H1805="APPROVED",H1805="SCHEDULED"),COUNTIFS(tblSource[EventID],F1805,tblSource[ReleaseStatus],"APPROVED")=1,COUNTIFS(Period_Status!$A$2:$A$8,G1805,Period_Status!$B$2:$B$8,"ActualClosed")=1,C1805&gt;EOMONTH(Settlement_Bridge!$C$2,0)),1,0)</f>
        <v>1</v>
      </c>
      <c r="P1805" s="2" t="s">
        <v>5129</v>
      </c>
    </row>
    <row r="1806" spans="1:16" x14ac:dyDescent="0.25">
      <c r="A1806" s="2" t="s">
        <v>5130</v>
      </c>
      <c r="B1806" s="2" t="s">
        <v>199</v>
      </c>
      <c r="C1806" s="8">
        <v>46245</v>
      </c>
      <c r="D1806" s="6">
        <v>46235</v>
      </c>
      <c r="E1806" s="2" t="s">
        <v>260</v>
      </c>
      <c r="F1806" s="2" t="s">
        <v>5131</v>
      </c>
      <c r="G1806" s="6">
        <v>46204</v>
      </c>
      <c r="H1806" s="2" t="s">
        <v>71</v>
      </c>
      <c r="I1806" s="2" t="s">
        <v>76</v>
      </c>
      <c r="J1806" s="9">
        <v>137736774.19354799</v>
      </c>
      <c r="K1806" s="7">
        <v>6.1500000000000004E-5</v>
      </c>
      <c r="L1806" s="9">
        <v>8470.81</v>
      </c>
      <c r="M1806" s="9">
        <v>8539.68</v>
      </c>
      <c r="N1806" s="9">
        <v>4.66</v>
      </c>
      <c r="O1806" s="10">
        <f>IF(AND(OR(H1806="APPROVED",H1806="SCHEDULED"),COUNTIFS(tblSource[EventID],F1806,tblSource[ReleaseStatus],"APPROVED")=1,COUNTIFS(Period_Status!$A$2:$A$8,G1806,Period_Status!$B$2:$B$8,"ActualClosed")=1,C1806&gt;EOMONTH(Settlement_Bridge!$C$2,0)),1,0)</f>
        <v>1</v>
      </c>
      <c r="P1806" s="2" t="s">
        <v>5132</v>
      </c>
    </row>
    <row r="1807" spans="1:16" x14ac:dyDescent="0.25">
      <c r="A1807" s="2" t="s">
        <v>5133</v>
      </c>
      <c r="B1807" s="2" t="s">
        <v>199</v>
      </c>
      <c r="C1807" s="8">
        <v>46246</v>
      </c>
      <c r="D1807" s="6">
        <v>46235</v>
      </c>
      <c r="E1807" s="2" t="s">
        <v>260</v>
      </c>
      <c r="F1807" s="2" t="s">
        <v>5134</v>
      </c>
      <c r="G1807" s="6">
        <v>46204</v>
      </c>
      <c r="H1807" s="2" t="s">
        <v>71</v>
      </c>
      <c r="I1807" s="2" t="s">
        <v>70</v>
      </c>
      <c r="J1807" s="9">
        <v>13241.170212999999</v>
      </c>
      <c r="K1807" s="7">
        <v>0.65</v>
      </c>
      <c r="L1807" s="9">
        <v>8606.76</v>
      </c>
      <c r="M1807" s="9">
        <v>8712.69</v>
      </c>
      <c r="N1807" s="9">
        <v>4.7300000000000004</v>
      </c>
      <c r="O1807" s="10">
        <f>IF(AND(OR(H1807="APPROVED",H1807="SCHEDULED"),COUNTIFS(tblSource[EventID],F1807,tblSource[ReleaseStatus],"APPROVED")=1,COUNTIFS(Period_Status!$A$2:$A$8,G1807,Period_Status!$B$2:$B$8,"ActualClosed")=1,C1807&gt;EOMONTH(Settlement_Bridge!$C$2,0)),1,0)</f>
        <v>1</v>
      </c>
      <c r="P1807" s="2" t="s">
        <v>5135</v>
      </c>
    </row>
    <row r="1808" spans="1:16" x14ac:dyDescent="0.25">
      <c r="A1808" s="2" t="s">
        <v>5136</v>
      </c>
      <c r="B1808" s="2" t="s">
        <v>199</v>
      </c>
      <c r="C1808" s="8">
        <v>46247</v>
      </c>
      <c r="D1808" s="6">
        <v>46235</v>
      </c>
      <c r="E1808" s="2" t="s">
        <v>260</v>
      </c>
      <c r="F1808" s="2" t="s">
        <v>5137</v>
      </c>
      <c r="G1808" s="6">
        <v>46204</v>
      </c>
      <c r="H1808" s="2" t="s">
        <v>71</v>
      </c>
      <c r="I1808" s="2" t="s">
        <v>39</v>
      </c>
      <c r="J1808" s="9">
        <v>8885.7000000000007</v>
      </c>
      <c r="K1808" s="7">
        <v>1</v>
      </c>
      <c r="L1808" s="9">
        <v>8885.7000000000007</v>
      </c>
      <c r="M1808" s="9">
        <v>8885.7000000000007</v>
      </c>
      <c r="N1808" s="9">
        <v>4.8899999999999997</v>
      </c>
      <c r="O1808" s="10">
        <f>IF(AND(OR(H1808="APPROVED",H1808="SCHEDULED"),COUNTIFS(tblSource[EventID],F1808,tblSource[ReleaseStatus],"APPROVED")=1,COUNTIFS(Period_Status!$A$2:$A$8,G1808,Period_Status!$B$2:$B$8,"ActualClosed")=1,C1808&gt;EOMONTH(Settlement_Bridge!$C$2,0)),1,0)</f>
        <v>1</v>
      </c>
      <c r="P1808" s="2" t="s">
        <v>5138</v>
      </c>
    </row>
    <row r="1809" spans="1:16" x14ac:dyDescent="0.25">
      <c r="A1809" s="2" t="s">
        <v>5139</v>
      </c>
      <c r="B1809" s="2" t="s">
        <v>199</v>
      </c>
      <c r="C1809" s="8">
        <v>46248</v>
      </c>
      <c r="D1809" s="6">
        <v>46235</v>
      </c>
      <c r="E1809" s="2" t="s">
        <v>260</v>
      </c>
      <c r="F1809" s="2" t="s">
        <v>5140</v>
      </c>
      <c r="G1809" s="6">
        <v>46204</v>
      </c>
      <c r="H1809" s="2" t="s">
        <v>71</v>
      </c>
      <c r="I1809" s="2" t="s">
        <v>76</v>
      </c>
      <c r="J1809" s="9">
        <v>146108225.80645201</v>
      </c>
      <c r="K1809" s="7">
        <v>6.1500000000000004E-5</v>
      </c>
      <c r="L1809" s="9">
        <v>8985.66</v>
      </c>
      <c r="M1809" s="9">
        <v>9058.7099999999991</v>
      </c>
      <c r="N1809" s="9">
        <v>4.9400000000000004</v>
      </c>
      <c r="O1809" s="10">
        <f>IF(AND(OR(H1809="APPROVED",H1809="SCHEDULED"),COUNTIFS(tblSource[EventID],F1809,tblSource[ReleaseStatus],"APPROVED")=1,COUNTIFS(Period_Status!$A$2:$A$8,G1809,Period_Status!$B$2:$B$8,"ActualClosed")=1,C1809&gt;EOMONTH(Settlement_Bridge!$C$2,0)),1,0)</f>
        <v>1</v>
      </c>
      <c r="P1809" s="2" t="s">
        <v>5141</v>
      </c>
    </row>
    <row r="1810" spans="1:16" x14ac:dyDescent="0.25">
      <c r="A1810" s="2" t="s">
        <v>5142</v>
      </c>
      <c r="B1810" s="2" t="s">
        <v>199</v>
      </c>
      <c r="C1810" s="8">
        <v>46249</v>
      </c>
      <c r="D1810" s="6">
        <v>46235</v>
      </c>
      <c r="E1810" s="2" t="s">
        <v>260</v>
      </c>
      <c r="F1810" s="2" t="s">
        <v>5143</v>
      </c>
      <c r="G1810" s="6">
        <v>46204</v>
      </c>
      <c r="H1810" s="2" t="s">
        <v>71</v>
      </c>
      <c r="I1810" s="2" t="s">
        <v>70</v>
      </c>
      <c r="J1810" s="9">
        <v>14029.969605</v>
      </c>
      <c r="K1810" s="7">
        <v>0.65</v>
      </c>
      <c r="L1810" s="9">
        <v>9119.48</v>
      </c>
      <c r="M1810" s="9">
        <v>9231.7199999999993</v>
      </c>
      <c r="N1810" s="9">
        <v>5.0199999999999996</v>
      </c>
      <c r="O1810" s="10">
        <f>IF(AND(OR(H1810="APPROVED",H1810="SCHEDULED"),COUNTIFS(tblSource[EventID],F1810,tblSource[ReleaseStatus],"APPROVED")=1,COUNTIFS(Period_Status!$A$2:$A$8,G1810,Period_Status!$B$2:$B$8,"ActualClosed")=1,C1810&gt;EOMONTH(Settlement_Bridge!$C$2,0)),1,0)</f>
        <v>1</v>
      </c>
      <c r="P1810" s="2" t="s">
        <v>5144</v>
      </c>
    </row>
    <row r="1811" spans="1:16" x14ac:dyDescent="0.25">
      <c r="A1811" s="2" t="s">
        <v>5145</v>
      </c>
      <c r="B1811" s="2" t="s">
        <v>199</v>
      </c>
      <c r="C1811" s="8">
        <v>46240</v>
      </c>
      <c r="D1811" s="6">
        <v>46235</v>
      </c>
      <c r="E1811" s="2" t="s">
        <v>260</v>
      </c>
      <c r="F1811" s="2" t="s">
        <v>5146</v>
      </c>
      <c r="G1811" s="6">
        <v>46204</v>
      </c>
      <c r="H1811" s="2" t="s">
        <v>71</v>
      </c>
      <c r="I1811" s="2" t="s">
        <v>39</v>
      </c>
      <c r="J1811" s="9">
        <v>3761.8919999999998</v>
      </c>
      <c r="K1811" s="7">
        <v>1</v>
      </c>
      <c r="L1811" s="9">
        <v>3761.89</v>
      </c>
      <c r="M1811" s="9">
        <v>3761.89</v>
      </c>
      <c r="N1811" s="9">
        <v>2.0699999999999998</v>
      </c>
      <c r="O1811" s="10">
        <f>IF(AND(OR(H1811="APPROVED",H1811="SCHEDULED"),COUNTIFS(tblSource[EventID],F1811,tblSource[ReleaseStatus],"APPROVED")=1,COUNTIFS(Period_Status!$A$2:$A$8,G1811,Period_Status!$B$2:$B$8,"ActualClosed")=1,C1811&gt;EOMONTH(Settlement_Bridge!$C$2,0)),1,0)</f>
        <v>1</v>
      </c>
      <c r="P1811" s="2" t="s">
        <v>5147</v>
      </c>
    </row>
    <row r="1812" spans="1:16" x14ac:dyDescent="0.25">
      <c r="A1812" s="2" t="s">
        <v>5148</v>
      </c>
      <c r="B1812" s="2" t="s">
        <v>199</v>
      </c>
      <c r="C1812" s="8">
        <v>46265</v>
      </c>
      <c r="D1812" s="6">
        <v>46235</v>
      </c>
      <c r="E1812" s="2" t="s">
        <v>260</v>
      </c>
      <c r="F1812" s="2" t="s">
        <v>5146</v>
      </c>
      <c r="G1812" s="6">
        <v>46204</v>
      </c>
      <c r="H1812" s="2" t="s">
        <v>71</v>
      </c>
      <c r="I1812" s="2" t="s">
        <v>39</v>
      </c>
      <c r="J1812" s="9">
        <v>5642.8379999999997</v>
      </c>
      <c r="K1812" s="7">
        <v>1</v>
      </c>
      <c r="L1812" s="9">
        <v>5642.84</v>
      </c>
      <c r="M1812" s="9">
        <v>5642.84</v>
      </c>
      <c r="N1812" s="9">
        <v>3.1</v>
      </c>
      <c r="O1812" s="10">
        <f>IF(AND(OR(H1812="APPROVED",H1812="SCHEDULED"),COUNTIFS(tblSource[EventID],F1812,tblSource[ReleaseStatus],"APPROVED")=1,COUNTIFS(Period_Status!$A$2:$A$8,G1812,Period_Status!$B$2:$B$8,"ActualClosed")=1,C1812&gt;EOMONTH(Settlement_Bridge!$C$2,0)),1,0)</f>
        <v>1</v>
      </c>
      <c r="P1812" s="2" t="s">
        <v>5149</v>
      </c>
    </row>
    <row r="1813" spans="1:16" x14ac:dyDescent="0.25">
      <c r="A1813" s="2" t="s">
        <v>5150</v>
      </c>
      <c r="B1813" s="2" t="s">
        <v>199</v>
      </c>
      <c r="C1813" s="8">
        <v>46241</v>
      </c>
      <c r="D1813" s="6">
        <v>46235</v>
      </c>
      <c r="E1813" s="2" t="s">
        <v>260</v>
      </c>
      <c r="F1813" s="2" t="s">
        <v>5151</v>
      </c>
      <c r="G1813" s="6">
        <v>46204</v>
      </c>
      <c r="H1813" s="2" t="s">
        <v>71</v>
      </c>
      <c r="I1813" s="2" t="s">
        <v>76</v>
      </c>
      <c r="J1813" s="9">
        <v>61791870.967742004</v>
      </c>
      <c r="K1813" s="7">
        <v>6.1500000000000004E-5</v>
      </c>
      <c r="L1813" s="9">
        <v>3800.2</v>
      </c>
      <c r="M1813" s="9">
        <v>3831.1</v>
      </c>
      <c r="N1813" s="9">
        <v>2.09</v>
      </c>
      <c r="O1813" s="10">
        <f>IF(AND(OR(H1813="APPROVED",H1813="SCHEDULED"),COUNTIFS(tblSource[EventID],F1813,tblSource[ReleaseStatus],"APPROVED")=1,COUNTIFS(Period_Status!$A$2:$A$8,G1813,Period_Status!$B$2:$B$8,"ActualClosed")=1,C1813&gt;EOMONTH(Settlement_Bridge!$C$2,0)),1,0)</f>
        <v>1</v>
      </c>
      <c r="P1813" s="2" t="s">
        <v>5152</v>
      </c>
    </row>
    <row r="1814" spans="1:16" x14ac:dyDescent="0.25">
      <c r="A1814" s="2" t="s">
        <v>5153</v>
      </c>
      <c r="B1814" s="2" t="s">
        <v>199</v>
      </c>
      <c r="C1814" s="8">
        <v>46266</v>
      </c>
      <c r="D1814" s="6">
        <v>46266</v>
      </c>
      <c r="E1814" s="2" t="s">
        <v>260</v>
      </c>
      <c r="F1814" s="2" t="s">
        <v>5151</v>
      </c>
      <c r="G1814" s="6">
        <v>46204</v>
      </c>
      <c r="H1814" s="2" t="s">
        <v>176</v>
      </c>
      <c r="I1814" s="2" t="s">
        <v>76</v>
      </c>
      <c r="J1814" s="9">
        <v>92687806.451612994</v>
      </c>
      <c r="K1814" s="7">
        <v>6.1299999999999999E-5</v>
      </c>
      <c r="L1814" s="9">
        <v>5681.76</v>
      </c>
      <c r="M1814" s="9">
        <v>5746.64</v>
      </c>
      <c r="N1814" s="9">
        <v>3.12</v>
      </c>
      <c r="O1814" s="10">
        <f>IF(AND(OR(H1814="APPROVED",H1814="SCHEDULED"),COUNTIFS(tblSource[EventID],F1814,tblSource[ReleaseStatus],"APPROVED")=1,COUNTIFS(Period_Status!$A$2:$A$8,G1814,Period_Status!$B$2:$B$8,"ActualClosed")=1,C1814&gt;EOMONTH(Settlement_Bridge!$C$2,0)),1,0)</f>
        <v>1</v>
      </c>
      <c r="P1814" s="2" t="s">
        <v>5154</v>
      </c>
    </row>
    <row r="1815" spans="1:16" x14ac:dyDescent="0.25">
      <c r="A1815" s="2" t="s">
        <v>5155</v>
      </c>
      <c r="B1815" s="2" t="s">
        <v>199</v>
      </c>
      <c r="C1815" s="8">
        <v>46252</v>
      </c>
      <c r="D1815" s="6">
        <v>46235</v>
      </c>
      <c r="E1815" s="2" t="s">
        <v>260</v>
      </c>
      <c r="F1815" s="2" t="s">
        <v>5156</v>
      </c>
      <c r="G1815" s="6">
        <v>46204</v>
      </c>
      <c r="H1815" s="2" t="s">
        <v>71</v>
      </c>
      <c r="I1815" s="2" t="s">
        <v>70</v>
      </c>
      <c r="J1815" s="9">
        <v>14818.768996999999</v>
      </c>
      <c r="K1815" s="7">
        <v>0.65</v>
      </c>
      <c r="L1815" s="9">
        <v>9632.2000000000007</v>
      </c>
      <c r="M1815" s="9">
        <v>9750.75</v>
      </c>
      <c r="N1815" s="9">
        <v>5.3</v>
      </c>
      <c r="O1815" s="10">
        <f>IF(AND(OR(H1815="APPROVED",H1815="SCHEDULED"),COUNTIFS(tblSource[EventID],F1815,tblSource[ReleaseStatus],"APPROVED")=1,COUNTIFS(Period_Status!$A$2:$A$8,G1815,Period_Status!$B$2:$B$8,"ActualClosed")=1,C1815&gt;EOMONTH(Settlement_Bridge!$C$2,0)),1,0)</f>
        <v>1</v>
      </c>
      <c r="P1815" s="2" t="s">
        <v>5157</v>
      </c>
    </row>
    <row r="1816" spans="1:16" x14ac:dyDescent="0.25">
      <c r="A1816" s="2" t="s">
        <v>5158</v>
      </c>
      <c r="B1816" s="2" t="s">
        <v>199</v>
      </c>
      <c r="C1816" s="8">
        <v>46253</v>
      </c>
      <c r="D1816" s="6">
        <v>46235</v>
      </c>
      <c r="E1816" s="2" t="s">
        <v>260</v>
      </c>
      <c r="F1816" s="2" t="s">
        <v>5159</v>
      </c>
      <c r="G1816" s="6">
        <v>46204</v>
      </c>
      <c r="H1816" s="2" t="s">
        <v>71</v>
      </c>
      <c r="I1816" s="2" t="s">
        <v>39</v>
      </c>
      <c r="J1816" s="9">
        <v>9923.76</v>
      </c>
      <c r="K1816" s="7">
        <v>1</v>
      </c>
      <c r="L1816" s="9">
        <v>9923.76</v>
      </c>
      <c r="M1816" s="9">
        <v>9923.76</v>
      </c>
      <c r="N1816" s="9">
        <v>5.46</v>
      </c>
      <c r="O1816" s="10">
        <f>IF(AND(OR(H1816="APPROVED",H1816="SCHEDULED"),COUNTIFS(tblSource[EventID],F1816,tblSource[ReleaseStatus],"APPROVED")=1,COUNTIFS(Period_Status!$A$2:$A$8,G1816,Period_Status!$B$2:$B$8,"ActualClosed")=1,C1816&gt;EOMONTH(Settlement_Bridge!$C$2,0)),1,0)</f>
        <v>1</v>
      </c>
      <c r="P1816" s="2" t="s">
        <v>5160</v>
      </c>
    </row>
    <row r="1817" spans="1:16" x14ac:dyDescent="0.25">
      <c r="A1817" s="2" t="s">
        <v>5161</v>
      </c>
      <c r="B1817" s="2" t="s">
        <v>199</v>
      </c>
      <c r="C1817" s="8">
        <v>46244</v>
      </c>
      <c r="D1817" s="6">
        <v>46235</v>
      </c>
      <c r="E1817" s="2" t="s">
        <v>260</v>
      </c>
      <c r="F1817" s="2" t="s">
        <v>5162</v>
      </c>
      <c r="G1817" s="6">
        <v>46204</v>
      </c>
      <c r="H1817" s="2" t="s">
        <v>71</v>
      </c>
      <c r="I1817" s="2" t="s">
        <v>76</v>
      </c>
      <c r="J1817" s="9">
        <v>65140451.612902999</v>
      </c>
      <c r="K1817" s="7">
        <v>6.1500000000000004E-5</v>
      </c>
      <c r="L1817" s="9">
        <v>4006.14</v>
      </c>
      <c r="M1817" s="9">
        <v>4038.71</v>
      </c>
      <c r="N1817" s="9">
        <v>2.2000000000000002</v>
      </c>
      <c r="O1817" s="10">
        <f>IF(AND(OR(H1817="APPROVED",H1817="SCHEDULED"),COUNTIFS(tblSource[EventID],F1817,tblSource[ReleaseStatus],"APPROVED")=1,COUNTIFS(Period_Status!$A$2:$A$8,G1817,Period_Status!$B$2:$B$8,"ActualClosed")=1,C1817&gt;EOMONTH(Settlement_Bridge!$C$2,0)),1,0)</f>
        <v>1</v>
      </c>
      <c r="P1817" s="2" t="s">
        <v>5163</v>
      </c>
    </row>
    <row r="1818" spans="1:16" x14ac:dyDescent="0.25">
      <c r="A1818" s="2" t="s">
        <v>5164</v>
      </c>
      <c r="B1818" s="2" t="s">
        <v>199</v>
      </c>
      <c r="C1818" s="8">
        <v>46269</v>
      </c>
      <c r="D1818" s="6">
        <v>46266</v>
      </c>
      <c r="E1818" s="2" t="s">
        <v>260</v>
      </c>
      <c r="F1818" s="2" t="s">
        <v>5162</v>
      </c>
      <c r="G1818" s="6">
        <v>46204</v>
      </c>
      <c r="H1818" s="2" t="s">
        <v>176</v>
      </c>
      <c r="I1818" s="2" t="s">
        <v>76</v>
      </c>
      <c r="J1818" s="9">
        <v>97710677.419355005</v>
      </c>
      <c r="K1818" s="7">
        <v>6.1299999999999999E-5</v>
      </c>
      <c r="L1818" s="9">
        <v>5989.66</v>
      </c>
      <c r="M1818" s="9">
        <v>6058.06</v>
      </c>
      <c r="N1818" s="9">
        <v>3.29</v>
      </c>
      <c r="O1818" s="10">
        <f>IF(AND(OR(H1818="APPROVED",H1818="SCHEDULED"),COUNTIFS(tblSource[EventID],F1818,tblSource[ReleaseStatus],"APPROVED")=1,COUNTIFS(Period_Status!$A$2:$A$8,G1818,Period_Status!$B$2:$B$8,"ActualClosed")=1,C1818&gt;EOMONTH(Settlement_Bridge!$C$2,0)),1,0)</f>
        <v>1</v>
      </c>
      <c r="P1818" s="2" t="s">
        <v>5165</v>
      </c>
    </row>
    <row r="1819" spans="1:16" x14ac:dyDescent="0.25">
      <c r="A1819" s="2" t="s">
        <v>5166</v>
      </c>
      <c r="B1819" s="2" t="s">
        <v>199</v>
      </c>
      <c r="C1819" s="8">
        <v>46255</v>
      </c>
      <c r="D1819" s="6">
        <v>46235</v>
      </c>
      <c r="E1819" s="2" t="s">
        <v>260</v>
      </c>
      <c r="F1819" s="2" t="s">
        <v>5167</v>
      </c>
      <c r="G1819" s="6">
        <v>46204</v>
      </c>
      <c r="H1819" s="2" t="s">
        <v>71</v>
      </c>
      <c r="I1819" s="2" t="s">
        <v>70</v>
      </c>
      <c r="J1819" s="9">
        <v>-15607.568389</v>
      </c>
      <c r="K1819" s="7">
        <v>0.65</v>
      </c>
      <c r="L1819" s="9">
        <v>-10144.92</v>
      </c>
      <c r="M1819" s="9">
        <v>-10269.780000000001</v>
      </c>
      <c r="N1819" s="9">
        <v>0</v>
      </c>
      <c r="O1819" s="10">
        <f>IF(AND(OR(H1819="APPROVED",H1819="SCHEDULED"),COUNTIFS(tblSource[EventID],F1819,tblSource[ReleaseStatus],"APPROVED")=1,COUNTIFS(Period_Status!$A$2:$A$8,G1819,Period_Status!$B$2:$B$8,"ActualClosed")=1,C1819&gt;EOMONTH(Settlement_Bridge!$C$2,0)),1,0)</f>
        <v>1</v>
      </c>
      <c r="P1819" s="2" t="s">
        <v>5168</v>
      </c>
    </row>
    <row r="1820" spans="1:16" x14ac:dyDescent="0.25">
      <c r="A1820" s="2" t="s">
        <v>5169</v>
      </c>
      <c r="B1820" s="2" t="s">
        <v>199</v>
      </c>
      <c r="C1820" s="8">
        <v>46256</v>
      </c>
      <c r="D1820" s="6">
        <v>46235</v>
      </c>
      <c r="E1820" s="2" t="s">
        <v>260</v>
      </c>
      <c r="F1820" s="2" t="s">
        <v>5170</v>
      </c>
      <c r="G1820" s="6">
        <v>46204</v>
      </c>
      <c r="H1820" s="2" t="s">
        <v>71</v>
      </c>
      <c r="I1820" s="2" t="s">
        <v>39</v>
      </c>
      <c r="J1820" s="9">
        <v>10442.790000000001</v>
      </c>
      <c r="K1820" s="7">
        <v>1</v>
      </c>
      <c r="L1820" s="9">
        <v>10442.790000000001</v>
      </c>
      <c r="M1820" s="9">
        <v>10442.790000000001</v>
      </c>
      <c r="N1820" s="9">
        <v>5.74</v>
      </c>
      <c r="O1820" s="10">
        <f>IF(AND(OR(H1820="APPROVED",H1820="SCHEDULED"),COUNTIFS(tblSource[EventID],F1820,tblSource[ReleaseStatus],"APPROVED")=1,COUNTIFS(Period_Status!$A$2:$A$8,G1820,Period_Status!$B$2:$B$8,"ActualClosed")=1,C1820&gt;EOMONTH(Settlement_Bridge!$C$2,0)),1,0)</f>
        <v>1</v>
      </c>
      <c r="P1820" s="2" t="s">
        <v>5171</v>
      </c>
    </row>
    <row r="1821" spans="1:16" x14ac:dyDescent="0.25">
      <c r="A1821" s="2" t="s">
        <v>5172</v>
      </c>
      <c r="B1821" s="2" t="s">
        <v>199</v>
      </c>
      <c r="C1821" s="8">
        <v>46257</v>
      </c>
      <c r="D1821" s="6">
        <v>46235</v>
      </c>
      <c r="E1821" s="2" t="s">
        <v>260</v>
      </c>
      <c r="F1821" s="2" t="s">
        <v>5173</v>
      </c>
      <c r="G1821" s="6">
        <v>46204</v>
      </c>
      <c r="H1821" s="2" t="s">
        <v>71</v>
      </c>
      <c r="I1821" s="2" t="s">
        <v>76</v>
      </c>
      <c r="J1821" s="9">
        <v>171222580.645161</v>
      </c>
      <c r="K1821" s="7">
        <v>6.1500000000000004E-5</v>
      </c>
      <c r="L1821" s="9">
        <v>10530.19</v>
      </c>
      <c r="M1821" s="9">
        <v>10615.8</v>
      </c>
      <c r="N1821" s="9">
        <v>5.79</v>
      </c>
      <c r="O1821" s="10">
        <f>IF(AND(OR(H1821="APPROVED",H1821="SCHEDULED"),COUNTIFS(tblSource[EventID],F1821,tblSource[ReleaseStatus],"APPROVED")=1,COUNTIFS(Period_Status!$A$2:$A$8,G1821,Period_Status!$B$2:$B$8,"ActualClosed")=1,C1821&gt;EOMONTH(Settlement_Bridge!$C$2,0)),1,0)</f>
        <v>1</v>
      </c>
      <c r="P1821" s="2" t="s">
        <v>5174</v>
      </c>
    </row>
    <row r="1822" spans="1:16" x14ac:dyDescent="0.25">
      <c r="A1822" s="2" t="s">
        <v>5175</v>
      </c>
      <c r="B1822" s="2" t="s">
        <v>199</v>
      </c>
      <c r="C1822" s="8">
        <v>46258</v>
      </c>
      <c r="D1822" s="6">
        <v>46235</v>
      </c>
      <c r="E1822" s="2" t="s">
        <v>260</v>
      </c>
      <c r="F1822" s="2" t="s">
        <v>5176</v>
      </c>
      <c r="G1822" s="6">
        <v>46204</v>
      </c>
      <c r="H1822" s="2" t="s">
        <v>71</v>
      </c>
      <c r="I1822" s="2" t="s">
        <v>70</v>
      </c>
      <c r="J1822" s="9">
        <v>16396.367781000001</v>
      </c>
      <c r="K1822" s="7">
        <v>0.65</v>
      </c>
      <c r="L1822" s="9">
        <v>10657.64</v>
      </c>
      <c r="M1822" s="9">
        <v>10788.81</v>
      </c>
      <c r="N1822" s="9">
        <v>5.86</v>
      </c>
      <c r="O1822" s="10">
        <f>IF(AND(OR(H1822="APPROVED",H1822="SCHEDULED"),COUNTIFS(tblSource[EventID],F1822,tblSource[ReleaseStatus],"APPROVED")=1,COUNTIFS(Period_Status!$A$2:$A$8,G1822,Period_Status!$B$2:$B$8,"ActualClosed")=1,C1822&gt;EOMONTH(Settlement_Bridge!$C$2,0)),1,0)</f>
        <v>1</v>
      </c>
      <c r="P1822" s="2" t="s">
        <v>5177</v>
      </c>
    </row>
    <row r="1823" spans="1:16" x14ac:dyDescent="0.25">
      <c r="A1823" s="2" t="s">
        <v>5178</v>
      </c>
      <c r="B1823" s="2" t="s">
        <v>199</v>
      </c>
      <c r="C1823" s="8">
        <v>46228</v>
      </c>
      <c r="D1823" s="6">
        <v>46204</v>
      </c>
      <c r="E1823" s="2" t="s">
        <v>260</v>
      </c>
      <c r="F1823" s="2" t="s">
        <v>5179</v>
      </c>
      <c r="G1823" s="6">
        <v>46204</v>
      </c>
      <c r="H1823" s="2" t="s">
        <v>71</v>
      </c>
      <c r="I1823" s="2" t="s">
        <v>39</v>
      </c>
      <c r="J1823" s="9">
        <v>10961.82</v>
      </c>
      <c r="K1823" s="7">
        <v>1</v>
      </c>
      <c r="L1823" s="9">
        <v>10961.82</v>
      </c>
      <c r="M1823" s="9">
        <v>10961.82</v>
      </c>
      <c r="N1823" s="9">
        <v>6.03</v>
      </c>
      <c r="O1823" s="10">
        <f>IF(AND(OR(H1823="APPROVED",H1823="SCHEDULED"),COUNTIFS(tblSource[EventID],F1823,tblSource[ReleaseStatus],"APPROVED")=1,COUNTIFS(Period_Status!$A$2:$A$8,G1823,Period_Status!$B$2:$B$8,"ActualClosed")=1,C1823&gt;EOMONTH(Settlement_Bridge!$C$2,0)),1,0)</f>
        <v>0</v>
      </c>
      <c r="P1823" s="2" t="s">
        <v>5180</v>
      </c>
    </row>
    <row r="1824" spans="1:16" x14ac:dyDescent="0.25">
      <c r="A1824" s="2" t="s">
        <v>5181</v>
      </c>
      <c r="B1824" s="2" t="s">
        <v>199</v>
      </c>
      <c r="C1824" s="8">
        <v>46219</v>
      </c>
      <c r="D1824" s="6">
        <v>46204</v>
      </c>
      <c r="E1824" s="2" t="s">
        <v>260</v>
      </c>
      <c r="F1824" s="2" t="s">
        <v>5182</v>
      </c>
      <c r="G1824" s="6">
        <v>46204</v>
      </c>
      <c r="H1824" s="2" t="s">
        <v>71</v>
      </c>
      <c r="I1824" s="2" t="s">
        <v>76</v>
      </c>
      <c r="J1824" s="9">
        <v>71837612.903226003</v>
      </c>
      <c r="K1824" s="7">
        <v>6.2000000000000003E-5</v>
      </c>
      <c r="L1824" s="9">
        <v>4453.93</v>
      </c>
      <c r="M1824" s="9">
        <v>4453.93</v>
      </c>
      <c r="N1824" s="9">
        <v>2.4500000000000002</v>
      </c>
      <c r="O1824" s="10">
        <f>IF(AND(OR(H1824="APPROVED",H1824="SCHEDULED"),COUNTIFS(tblSource[EventID],F1824,tblSource[ReleaseStatus],"APPROVED")=1,COUNTIFS(Period_Status!$A$2:$A$8,G1824,Period_Status!$B$2:$B$8,"ActualClosed")=1,C1824&gt;EOMONTH(Settlement_Bridge!$C$2,0)),1,0)</f>
        <v>0</v>
      </c>
      <c r="P1824" s="2" t="s">
        <v>5183</v>
      </c>
    </row>
    <row r="1825" spans="1:16" x14ac:dyDescent="0.25">
      <c r="A1825" s="2" t="s">
        <v>5184</v>
      </c>
      <c r="B1825" s="2" t="s">
        <v>199</v>
      </c>
      <c r="C1825" s="8">
        <v>46244</v>
      </c>
      <c r="D1825" s="6">
        <v>46235</v>
      </c>
      <c r="E1825" s="2" t="s">
        <v>260</v>
      </c>
      <c r="F1825" s="2" t="s">
        <v>5182</v>
      </c>
      <c r="G1825" s="6">
        <v>46204</v>
      </c>
      <c r="H1825" s="2" t="s">
        <v>71</v>
      </c>
      <c r="I1825" s="2" t="s">
        <v>76</v>
      </c>
      <c r="J1825" s="9">
        <v>107756419.354839</v>
      </c>
      <c r="K1825" s="7">
        <v>6.1500000000000004E-5</v>
      </c>
      <c r="L1825" s="9">
        <v>6627.02</v>
      </c>
      <c r="M1825" s="9">
        <v>6680.9</v>
      </c>
      <c r="N1825" s="9">
        <v>3.64</v>
      </c>
      <c r="O1825" s="10">
        <f>IF(AND(OR(H1825="APPROVED",H1825="SCHEDULED"),COUNTIFS(tblSource[EventID],F1825,tblSource[ReleaseStatus],"APPROVED")=1,COUNTIFS(Period_Status!$A$2:$A$8,G1825,Period_Status!$B$2:$B$8,"ActualClosed")=1,C1825&gt;EOMONTH(Settlement_Bridge!$C$2,0)),1,0)</f>
        <v>1</v>
      </c>
      <c r="P1825" s="2" t="s">
        <v>5185</v>
      </c>
    </row>
    <row r="1826" spans="1:16" x14ac:dyDescent="0.25">
      <c r="A1826" s="2" t="s">
        <v>5186</v>
      </c>
      <c r="B1826" s="2" t="s">
        <v>199</v>
      </c>
      <c r="C1826" s="8">
        <v>46220</v>
      </c>
      <c r="D1826" s="6">
        <v>46204</v>
      </c>
      <c r="E1826" s="2" t="s">
        <v>260</v>
      </c>
      <c r="F1826" s="2" t="s">
        <v>5187</v>
      </c>
      <c r="G1826" s="6">
        <v>46204</v>
      </c>
      <c r="H1826" s="2" t="s">
        <v>71</v>
      </c>
      <c r="I1826" s="2" t="s">
        <v>70</v>
      </c>
      <c r="J1826" s="9">
        <v>6874.0668690000002</v>
      </c>
      <c r="K1826" s="7">
        <v>0.65800000000000003</v>
      </c>
      <c r="L1826" s="9">
        <v>4523.1400000000003</v>
      </c>
      <c r="M1826" s="9">
        <v>4523.1400000000003</v>
      </c>
      <c r="N1826" s="9">
        <v>2.4900000000000002</v>
      </c>
      <c r="O1826" s="10">
        <f>IF(AND(OR(H1826="APPROVED",H1826="SCHEDULED"),COUNTIFS(tblSource[EventID],F1826,tblSource[ReleaseStatus],"APPROVED")=1,COUNTIFS(Period_Status!$A$2:$A$8,G1826,Period_Status!$B$2:$B$8,"ActualClosed")=1,C1826&gt;EOMONTH(Settlement_Bridge!$C$2,0)),1,0)</f>
        <v>0</v>
      </c>
      <c r="P1826" s="2" t="s">
        <v>5188</v>
      </c>
    </row>
    <row r="1827" spans="1:16" x14ac:dyDescent="0.25">
      <c r="A1827" s="2" t="s">
        <v>5189</v>
      </c>
      <c r="B1827" s="2" t="s">
        <v>199</v>
      </c>
      <c r="C1827" s="8">
        <v>46245</v>
      </c>
      <c r="D1827" s="6">
        <v>46235</v>
      </c>
      <c r="E1827" s="2" t="s">
        <v>260</v>
      </c>
      <c r="F1827" s="2" t="s">
        <v>5187</v>
      </c>
      <c r="G1827" s="6">
        <v>46204</v>
      </c>
      <c r="H1827" s="2" t="s">
        <v>71</v>
      </c>
      <c r="I1827" s="2" t="s">
        <v>70</v>
      </c>
      <c r="J1827" s="9">
        <v>10311.100304</v>
      </c>
      <c r="K1827" s="7">
        <v>0.65</v>
      </c>
      <c r="L1827" s="9">
        <v>6702.22</v>
      </c>
      <c r="M1827" s="9">
        <v>6784.7</v>
      </c>
      <c r="N1827" s="9">
        <v>3.69</v>
      </c>
      <c r="O1827" s="10">
        <f>IF(AND(OR(H1827="APPROVED",H1827="SCHEDULED"),COUNTIFS(tblSource[EventID],F1827,tblSource[ReleaseStatus],"APPROVED")=1,COUNTIFS(Period_Status!$A$2:$A$8,G1827,Period_Status!$B$2:$B$8,"ActualClosed")=1,C1827&gt;EOMONTH(Settlement_Bridge!$C$2,0)),1,0)</f>
        <v>1</v>
      </c>
      <c r="P1827" s="2" t="s">
        <v>5190</v>
      </c>
    </row>
    <row r="1828" spans="1:16" x14ac:dyDescent="0.25">
      <c r="A1828" s="2" t="s">
        <v>5191</v>
      </c>
      <c r="B1828" s="2" t="s">
        <v>199</v>
      </c>
      <c r="C1828" s="8">
        <v>46231</v>
      </c>
      <c r="D1828" s="6">
        <v>46204</v>
      </c>
      <c r="E1828" s="2" t="s">
        <v>260</v>
      </c>
      <c r="F1828" s="2" t="s">
        <v>5192</v>
      </c>
      <c r="G1828" s="6">
        <v>46204</v>
      </c>
      <c r="H1828" s="2" t="s">
        <v>71</v>
      </c>
      <c r="I1828" s="2" t="s">
        <v>39</v>
      </c>
      <c r="J1828" s="9">
        <v>11480.85</v>
      </c>
      <c r="K1828" s="7">
        <v>1</v>
      </c>
      <c r="L1828" s="9">
        <v>11480.85</v>
      </c>
      <c r="M1828" s="9">
        <v>11480.85</v>
      </c>
      <c r="N1828" s="9">
        <v>6.31</v>
      </c>
      <c r="O1828" s="10">
        <f>IF(AND(OR(H1828="APPROVED",H1828="SCHEDULED"),COUNTIFS(tblSource[EventID],F1828,tblSource[ReleaseStatus],"APPROVED")=1,COUNTIFS(Period_Status!$A$2:$A$8,G1828,Period_Status!$B$2:$B$8,"ActualClosed")=1,C1828&gt;EOMONTH(Settlement_Bridge!$C$2,0)),1,0)</f>
        <v>0</v>
      </c>
      <c r="P1828" s="2" t="s">
        <v>5193</v>
      </c>
    </row>
    <row r="1829" spans="1:16" x14ac:dyDescent="0.25">
      <c r="A1829" s="2" t="s">
        <v>5194</v>
      </c>
      <c r="B1829" s="2" t="s">
        <v>199</v>
      </c>
      <c r="C1829" s="8">
        <v>46232</v>
      </c>
      <c r="D1829" s="6">
        <v>46204</v>
      </c>
      <c r="E1829" s="2" t="s">
        <v>260</v>
      </c>
      <c r="F1829" s="2" t="s">
        <v>5195</v>
      </c>
      <c r="G1829" s="6">
        <v>46204</v>
      </c>
      <c r="H1829" s="2" t="s">
        <v>71</v>
      </c>
      <c r="I1829" s="2" t="s">
        <v>76</v>
      </c>
      <c r="J1829" s="9">
        <v>187965483.87096801</v>
      </c>
      <c r="K1829" s="7">
        <v>6.2000000000000003E-5</v>
      </c>
      <c r="L1829" s="9">
        <v>11653.86</v>
      </c>
      <c r="M1829" s="9">
        <v>11653.86</v>
      </c>
      <c r="N1829" s="9">
        <v>6.41</v>
      </c>
      <c r="O1829" s="10">
        <f>IF(AND(OR(H1829="APPROVED",H1829="SCHEDULED"),COUNTIFS(tblSource[EventID],F1829,tblSource[ReleaseStatus],"APPROVED")=1,COUNTIFS(Period_Status!$A$2:$A$8,G1829,Period_Status!$B$2:$B$8,"ActualClosed")=1,C1829&gt;EOMONTH(Settlement_Bridge!$C$2,0)),1,0)</f>
        <v>0</v>
      </c>
      <c r="P1829" s="2" t="s">
        <v>5196</v>
      </c>
    </row>
    <row r="1830" spans="1:16" x14ac:dyDescent="0.25">
      <c r="A1830" s="2" t="s">
        <v>5197</v>
      </c>
      <c r="B1830" s="2" t="s">
        <v>199</v>
      </c>
      <c r="C1830" s="8">
        <v>46223</v>
      </c>
      <c r="D1830" s="6">
        <v>46204</v>
      </c>
      <c r="E1830" s="2" t="s">
        <v>260</v>
      </c>
      <c r="F1830" s="2" t="s">
        <v>5198</v>
      </c>
      <c r="G1830" s="6">
        <v>46204</v>
      </c>
      <c r="H1830" s="2" t="s">
        <v>71</v>
      </c>
      <c r="I1830" s="2" t="s">
        <v>70</v>
      </c>
      <c r="J1830" s="9">
        <v>7189.5866260000003</v>
      </c>
      <c r="K1830" s="7">
        <v>0.65800000000000003</v>
      </c>
      <c r="L1830" s="9">
        <v>4730.75</v>
      </c>
      <c r="M1830" s="9">
        <v>4730.75</v>
      </c>
      <c r="N1830" s="9">
        <v>2.6</v>
      </c>
      <c r="O1830" s="10">
        <f>IF(AND(OR(H1830="APPROVED",H1830="SCHEDULED"),COUNTIFS(tblSource[EventID],F1830,tblSource[ReleaseStatus],"APPROVED")=1,COUNTIFS(Period_Status!$A$2:$A$8,G1830,Period_Status!$B$2:$B$8,"ActualClosed")=1,C1830&gt;EOMONTH(Settlement_Bridge!$C$2,0)),1,0)</f>
        <v>0</v>
      </c>
      <c r="P1830" s="2" t="s">
        <v>5199</v>
      </c>
    </row>
    <row r="1831" spans="1:16" x14ac:dyDescent="0.25">
      <c r="A1831" s="2" t="s">
        <v>5200</v>
      </c>
      <c r="B1831" s="2" t="s">
        <v>199</v>
      </c>
      <c r="C1831" s="8">
        <v>46248</v>
      </c>
      <c r="D1831" s="6">
        <v>46235</v>
      </c>
      <c r="E1831" s="2" t="s">
        <v>260</v>
      </c>
      <c r="F1831" s="2" t="s">
        <v>5198</v>
      </c>
      <c r="G1831" s="6">
        <v>46204</v>
      </c>
      <c r="H1831" s="2" t="s">
        <v>71</v>
      </c>
      <c r="I1831" s="2" t="s">
        <v>70</v>
      </c>
      <c r="J1831" s="9">
        <v>10784.379939</v>
      </c>
      <c r="K1831" s="7">
        <v>0.65</v>
      </c>
      <c r="L1831" s="9">
        <v>7009.85</v>
      </c>
      <c r="M1831" s="9">
        <v>7096.12</v>
      </c>
      <c r="N1831" s="9">
        <v>3.86</v>
      </c>
      <c r="O1831" s="10">
        <f>IF(AND(OR(H1831="APPROVED",H1831="SCHEDULED"),COUNTIFS(tblSource[EventID],F1831,tblSource[ReleaseStatus],"APPROVED")=1,COUNTIFS(Period_Status!$A$2:$A$8,G1831,Period_Status!$B$2:$B$8,"ActualClosed")=1,C1831&gt;EOMONTH(Settlement_Bridge!$C$2,0)),1,0)</f>
        <v>1</v>
      </c>
      <c r="P1831" s="2" t="s">
        <v>5201</v>
      </c>
    </row>
    <row r="1832" spans="1:16" x14ac:dyDescent="0.25">
      <c r="A1832" s="2" t="s">
        <v>5202</v>
      </c>
      <c r="B1832" s="2" t="s">
        <v>199</v>
      </c>
      <c r="C1832" s="8">
        <v>46234</v>
      </c>
      <c r="D1832" s="6">
        <v>46204</v>
      </c>
      <c r="E1832" s="2" t="s">
        <v>260</v>
      </c>
      <c r="F1832" s="2" t="s">
        <v>5203</v>
      </c>
      <c r="G1832" s="6">
        <v>46204</v>
      </c>
      <c r="H1832" s="2" t="s">
        <v>71</v>
      </c>
      <c r="I1832" s="2" t="s">
        <v>39</v>
      </c>
      <c r="J1832" s="9">
        <v>11999.88</v>
      </c>
      <c r="K1832" s="7">
        <v>1</v>
      </c>
      <c r="L1832" s="9">
        <v>11999.88</v>
      </c>
      <c r="M1832" s="9">
        <v>11999.88</v>
      </c>
      <c r="N1832" s="9">
        <v>6.6</v>
      </c>
      <c r="O1832" s="10">
        <f>IF(AND(OR(H1832="APPROVED",H1832="SCHEDULED"),COUNTIFS(tblSource[EventID],F1832,tblSource[ReleaseStatus],"APPROVED")=1,COUNTIFS(Period_Status!$A$2:$A$8,G1832,Period_Status!$B$2:$B$8,"ActualClosed")=1,C1832&gt;EOMONTH(Settlement_Bridge!$C$2,0)),1,0)</f>
        <v>0</v>
      </c>
      <c r="P1832" s="2" t="s">
        <v>5204</v>
      </c>
    </row>
    <row r="1833" spans="1:16" x14ac:dyDescent="0.25">
      <c r="A1833" s="2" t="s">
        <v>5205</v>
      </c>
      <c r="B1833" s="2" t="s">
        <v>199</v>
      </c>
      <c r="C1833" s="8">
        <v>46235</v>
      </c>
      <c r="D1833" s="6">
        <v>46235</v>
      </c>
      <c r="E1833" s="2" t="s">
        <v>260</v>
      </c>
      <c r="F1833" s="2" t="s">
        <v>5206</v>
      </c>
      <c r="G1833" s="6">
        <v>46204</v>
      </c>
      <c r="H1833" s="2" t="s">
        <v>71</v>
      </c>
      <c r="I1833" s="2" t="s">
        <v>76</v>
      </c>
      <c r="J1833" s="9">
        <v>196336935.48387101</v>
      </c>
      <c r="K1833" s="7">
        <v>6.1500000000000004E-5</v>
      </c>
      <c r="L1833" s="9">
        <v>12074.72</v>
      </c>
      <c r="M1833" s="9">
        <v>12172.89</v>
      </c>
      <c r="N1833" s="9">
        <v>6.64</v>
      </c>
      <c r="O1833" s="10">
        <f>IF(AND(OR(H1833="APPROVED",H1833="SCHEDULED"),COUNTIFS(tblSource[EventID],F1833,tblSource[ReleaseStatus],"APPROVED")=1,COUNTIFS(Period_Status!$A$2:$A$8,G1833,Period_Status!$B$2:$B$8,"ActualClosed")=1,C1833&gt;EOMONTH(Settlement_Bridge!$C$2,0)),1,0)</f>
        <v>1</v>
      </c>
      <c r="P1833" s="2" t="s">
        <v>5207</v>
      </c>
    </row>
    <row r="1834" spans="1:16" x14ac:dyDescent="0.25">
      <c r="A1834" s="2" t="s">
        <v>5208</v>
      </c>
      <c r="B1834" s="2" t="s">
        <v>199</v>
      </c>
      <c r="C1834" s="8">
        <v>46236</v>
      </c>
      <c r="D1834" s="6">
        <v>46235</v>
      </c>
      <c r="E1834" s="2" t="s">
        <v>260</v>
      </c>
      <c r="F1834" s="2" t="s">
        <v>5209</v>
      </c>
      <c r="G1834" s="6">
        <v>46204</v>
      </c>
      <c r="H1834" s="2" t="s">
        <v>71</v>
      </c>
      <c r="I1834" s="2" t="s">
        <v>70</v>
      </c>
      <c r="J1834" s="9">
        <v>18762.765957</v>
      </c>
      <c r="K1834" s="7">
        <v>0.65</v>
      </c>
      <c r="L1834" s="9">
        <v>12195.8</v>
      </c>
      <c r="M1834" s="9">
        <v>12345.9</v>
      </c>
      <c r="N1834" s="9">
        <v>6.71</v>
      </c>
      <c r="O1834" s="10">
        <f>IF(AND(OR(H1834="APPROVED",H1834="SCHEDULED"),COUNTIFS(tblSource[EventID],F1834,tblSource[ReleaseStatus],"APPROVED")=1,COUNTIFS(Period_Status!$A$2:$A$8,G1834,Period_Status!$B$2:$B$8,"ActualClosed")=1,C1834&gt;EOMONTH(Settlement_Bridge!$C$2,0)),1,0)</f>
        <v>1</v>
      </c>
      <c r="P1834" s="2" t="s">
        <v>5210</v>
      </c>
    </row>
    <row r="1835" spans="1:16" x14ac:dyDescent="0.25">
      <c r="A1835" s="2" t="s">
        <v>5211</v>
      </c>
      <c r="B1835" s="2" t="s">
        <v>199</v>
      </c>
      <c r="C1835" s="8">
        <v>46237</v>
      </c>
      <c r="D1835" s="6">
        <v>46235</v>
      </c>
      <c r="E1835" s="2" t="s">
        <v>260</v>
      </c>
      <c r="F1835" s="2" t="s">
        <v>5212</v>
      </c>
      <c r="G1835" s="6">
        <v>46204</v>
      </c>
      <c r="H1835" s="2" t="s">
        <v>71</v>
      </c>
      <c r="I1835" s="2" t="s">
        <v>39</v>
      </c>
      <c r="J1835" s="9">
        <v>12518.91</v>
      </c>
      <c r="K1835" s="7">
        <v>1</v>
      </c>
      <c r="L1835" s="9">
        <v>12518.91</v>
      </c>
      <c r="M1835" s="9">
        <v>12518.91</v>
      </c>
      <c r="N1835" s="9">
        <v>6.89</v>
      </c>
      <c r="O1835" s="10">
        <f>IF(AND(OR(H1835="APPROVED",H1835="SCHEDULED"),COUNTIFS(tblSource[EventID],F1835,tblSource[ReleaseStatus],"APPROVED")=1,COUNTIFS(Period_Status!$A$2:$A$8,G1835,Period_Status!$B$2:$B$8,"ActualClosed")=1,C1835&gt;EOMONTH(Settlement_Bridge!$C$2,0)),1,0)</f>
        <v>1</v>
      </c>
      <c r="P1835" s="2" t="s">
        <v>5213</v>
      </c>
    </row>
    <row r="1836" spans="1:16" x14ac:dyDescent="0.25">
      <c r="A1836" s="2" t="s">
        <v>5214</v>
      </c>
      <c r="B1836" s="2" t="s">
        <v>199</v>
      </c>
      <c r="C1836" s="8">
        <v>46238</v>
      </c>
      <c r="D1836" s="6">
        <v>46235</v>
      </c>
      <c r="E1836" s="2" t="s">
        <v>260</v>
      </c>
      <c r="F1836" s="2" t="s">
        <v>5215</v>
      </c>
      <c r="G1836" s="6">
        <v>46204</v>
      </c>
      <c r="H1836" s="2" t="s">
        <v>71</v>
      </c>
      <c r="I1836" s="2" t="s">
        <v>76</v>
      </c>
      <c r="J1836" s="9">
        <v>204708387.09677401</v>
      </c>
      <c r="K1836" s="7">
        <v>6.1500000000000004E-5</v>
      </c>
      <c r="L1836" s="9">
        <v>12589.57</v>
      </c>
      <c r="M1836" s="9">
        <v>12691.92</v>
      </c>
      <c r="N1836" s="9">
        <v>6.92</v>
      </c>
      <c r="O1836" s="10">
        <f>IF(AND(OR(H1836="APPROVED",H1836="SCHEDULED"),COUNTIFS(tblSource[EventID],F1836,tblSource[ReleaseStatus],"APPROVED")=1,COUNTIFS(Period_Status!$A$2:$A$8,G1836,Period_Status!$B$2:$B$8,"ActualClosed")=1,C1836&gt;EOMONTH(Settlement_Bridge!$C$2,0)),1,0)</f>
        <v>1</v>
      </c>
      <c r="P1836" s="2" t="s">
        <v>5216</v>
      </c>
    </row>
    <row r="1837" spans="1:16" x14ac:dyDescent="0.25">
      <c r="A1837" s="2" t="s">
        <v>5217</v>
      </c>
      <c r="B1837" s="2" t="s">
        <v>199</v>
      </c>
      <c r="C1837" s="8">
        <v>46229</v>
      </c>
      <c r="D1837" s="6">
        <v>46204</v>
      </c>
      <c r="E1837" s="2" t="s">
        <v>260</v>
      </c>
      <c r="F1837" s="2" t="s">
        <v>5218</v>
      </c>
      <c r="G1837" s="6">
        <v>46204</v>
      </c>
      <c r="H1837" s="2" t="s">
        <v>71</v>
      </c>
      <c r="I1837" s="2" t="s">
        <v>70</v>
      </c>
      <c r="J1837" s="9">
        <v>7820.6261400000003</v>
      </c>
      <c r="K1837" s="7">
        <v>0.65800000000000003</v>
      </c>
      <c r="L1837" s="9">
        <v>5145.97</v>
      </c>
      <c r="M1837" s="9">
        <v>5145.97</v>
      </c>
      <c r="N1837" s="9">
        <v>2.83</v>
      </c>
      <c r="O1837" s="10">
        <f>IF(AND(OR(H1837="APPROVED",H1837="SCHEDULED"),COUNTIFS(tblSource[EventID],F1837,tblSource[ReleaseStatus],"APPROVED")=1,COUNTIFS(Period_Status!$A$2:$A$8,G1837,Period_Status!$B$2:$B$8,"ActualClosed")=1,C1837&gt;EOMONTH(Settlement_Bridge!$C$2,0)),1,0)</f>
        <v>0</v>
      </c>
      <c r="P1837" s="2" t="s">
        <v>5219</v>
      </c>
    </row>
    <row r="1838" spans="1:16" x14ac:dyDescent="0.25">
      <c r="A1838" s="2" t="s">
        <v>5220</v>
      </c>
      <c r="B1838" s="2" t="s">
        <v>199</v>
      </c>
      <c r="C1838" s="8">
        <v>46254</v>
      </c>
      <c r="D1838" s="6">
        <v>46235</v>
      </c>
      <c r="E1838" s="2" t="s">
        <v>260</v>
      </c>
      <c r="F1838" s="2" t="s">
        <v>5218</v>
      </c>
      <c r="G1838" s="6">
        <v>46204</v>
      </c>
      <c r="H1838" s="2" t="s">
        <v>71</v>
      </c>
      <c r="I1838" s="2" t="s">
        <v>70</v>
      </c>
      <c r="J1838" s="9">
        <v>11730.93921</v>
      </c>
      <c r="K1838" s="7">
        <v>0.65</v>
      </c>
      <c r="L1838" s="9">
        <v>7625.11</v>
      </c>
      <c r="M1838" s="9">
        <v>7718.96</v>
      </c>
      <c r="N1838" s="9">
        <v>4.1900000000000004</v>
      </c>
      <c r="O1838" s="10">
        <f>IF(AND(OR(H1838="APPROVED",H1838="SCHEDULED"),COUNTIFS(tblSource[EventID],F1838,tblSource[ReleaseStatus],"APPROVED")=1,COUNTIFS(Period_Status!$A$2:$A$8,G1838,Period_Status!$B$2:$B$8,"ActualClosed")=1,C1838&gt;EOMONTH(Settlement_Bridge!$C$2,0)),1,0)</f>
        <v>1</v>
      </c>
      <c r="P1838" s="2" t="s">
        <v>5221</v>
      </c>
    </row>
    <row r="1839" spans="1:16" x14ac:dyDescent="0.25">
      <c r="A1839" s="2" t="s">
        <v>5222</v>
      </c>
      <c r="B1839" s="2" t="s">
        <v>199</v>
      </c>
      <c r="C1839" s="8">
        <v>46230</v>
      </c>
      <c r="D1839" s="6">
        <v>46204</v>
      </c>
      <c r="E1839" s="2" t="s">
        <v>260</v>
      </c>
      <c r="F1839" s="2" t="s">
        <v>5223</v>
      </c>
      <c r="G1839" s="6">
        <v>46204</v>
      </c>
      <c r="H1839" s="2" t="s">
        <v>71</v>
      </c>
      <c r="I1839" s="2" t="s">
        <v>39</v>
      </c>
      <c r="J1839" s="9">
        <v>5215.1760000000004</v>
      </c>
      <c r="K1839" s="7">
        <v>1</v>
      </c>
      <c r="L1839" s="9">
        <v>5215.18</v>
      </c>
      <c r="M1839" s="9">
        <v>5215.18</v>
      </c>
      <c r="N1839" s="9">
        <v>2.87</v>
      </c>
      <c r="O1839" s="10">
        <f>IF(AND(OR(H1839="APPROVED",H1839="SCHEDULED"),COUNTIFS(tblSource[EventID],F1839,tblSource[ReleaseStatus],"APPROVED")=1,COUNTIFS(Period_Status!$A$2:$A$8,G1839,Period_Status!$B$2:$B$8,"ActualClosed")=1,C1839&gt;EOMONTH(Settlement_Bridge!$C$2,0)),1,0)</f>
        <v>0</v>
      </c>
      <c r="P1839" s="2" t="s">
        <v>5224</v>
      </c>
    </row>
    <row r="1840" spans="1:16" x14ac:dyDescent="0.25">
      <c r="A1840" s="2" t="s">
        <v>5225</v>
      </c>
      <c r="B1840" s="2" t="s">
        <v>199</v>
      </c>
      <c r="C1840" s="8">
        <v>46255</v>
      </c>
      <c r="D1840" s="6">
        <v>46235</v>
      </c>
      <c r="E1840" s="2" t="s">
        <v>260</v>
      </c>
      <c r="F1840" s="2" t="s">
        <v>5223</v>
      </c>
      <c r="G1840" s="6">
        <v>46204</v>
      </c>
      <c r="H1840" s="2" t="s">
        <v>71</v>
      </c>
      <c r="I1840" s="2" t="s">
        <v>39</v>
      </c>
      <c r="J1840" s="9">
        <v>7822.7640000000001</v>
      </c>
      <c r="K1840" s="7">
        <v>1</v>
      </c>
      <c r="L1840" s="9">
        <v>7822.76</v>
      </c>
      <c r="M1840" s="9">
        <v>7822.76</v>
      </c>
      <c r="N1840" s="9">
        <v>4.3</v>
      </c>
      <c r="O1840" s="10">
        <f>IF(AND(OR(H1840="APPROVED",H1840="SCHEDULED"),COUNTIFS(tblSource[EventID],F1840,tblSource[ReleaseStatus],"APPROVED")=1,COUNTIFS(Period_Status!$A$2:$A$8,G1840,Period_Status!$B$2:$B$8,"ActualClosed")=1,C1840&gt;EOMONTH(Settlement_Bridge!$C$2,0)),1,0)</f>
        <v>1</v>
      </c>
      <c r="P1840" s="2" t="s">
        <v>5226</v>
      </c>
    </row>
    <row r="1841" spans="1:16" x14ac:dyDescent="0.25">
      <c r="A1841" s="2" t="s">
        <v>5227</v>
      </c>
      <c r="B1841" s="2" t="s">
        <v>199</v>
      </c>
      <c r="C1841" s="8">
        <v>46241</v>
      </c>
      <c r="D1841" s="6">
        <v>46235</v>
      </c>
      <c r="E1841" s="2" t="s">
        <v>260</v>
      </c>
      <c r="F1841" s="2" t="s">
        <v>5228</v>
      </c>
      <c r="G1841" s="6">
        <v>46204</v>
      </c>
      <c r="H1841" s="2" t="s">
        <v>71</v>
      </c>
      <c r="I1841" s="2" t="s">
        <v>76</v>
      </c>
      <c r="J1841" s="9">
        <v>213079838.70967701</v>
      </c>
      <c r="K1841" s="7">
        <v>6.1500000000000004E-5</v>
      </c>
      <c r="L1841" s="9">
        <v>13104.41</v>
      </c>
      <c r="M1841" s="9">
        <v>13210.95</v>
      </c>
      <c r="N1841" s="9">
        <v>7.21</v>
      </c>
      <c r="O1841" s="10">
        <f>IF(AND(OR(H1841="APPROVED",H1841="SCHEDULED"),COUNTIFS(tblSource[EventID],F1841,tblSource[ReleaseStatus],"APPROVED")=1,COUNTIFS(Period_Status!$A$2:$A$8,G1841,Period_Status!$B$2:$B$8,"ActualClosed")=1,C1841&gt;EOMONTH(Settlement_Bridge!$C$2,0)),1,0)</f>
        <v>1</v>
      </c>
      <c r="P1841" s="2" t="s">
        <v>5229</v>
      </c>
    </row>
    <row r="1842" spans="1:16" x14ac:dyDescent="0.25">
      <c r="A1842" s="2" t="s">
        <v>5230</v>
      </c>
      <c r="B1842" s="2" t="s">
        <v>199</v>
      </c>
      <c r="C1842" s="8">
        <v>46242</v>
      </c>
      <c r="D1842" s="6">
        <v>46235</v>
      </c>
      <c r="E1842" s="2" t="s">
        <v>260</v>
      </c>
      <c r="F1842" s="2" t="s">
        <v>5231</v>
      </c>
      <c r="G1842" s="6">
        <v>46204</v>
      </c>
      <c r="H1842" s="2" t="s">
        <v>71</v>
      </c>
      <c r="I1842" s="2" t="s">
        <v>70</v>
      </c>
      <c r="J1842" s="9">
        <v>20340.364742000002</v>
      </c>
      <c r="K1842" s="7">
        <v>0.65</v>
      </c>
      <c r="L1842" s="9">
        <v>13221.24</v>
      </c>
      <c r="M1842" s="9">
        <v>13383.96</v>
      </c>
      <c r="N1842" s="9">
        <v>7.27</v>
      </c>
      <c r="O1842" s="10">
        <f>IF(AND(OR(H1842="APPROVED",H1842="SCHEDULED"),COUNTIFS(tblSource[EventID],F1842,tblSource[ReleaseStatus],"APPROVED")=1,COUNTIFS(Period_Status!$A$2:$A$8,G1842,Period_Status!$B$2:$B$8,"ActualClosed")=1,C1842&gt;EOMONTH(Settlement_Bridge!$C$2,0)),1,0)</f>
        <v>1</v>
      </c>
      <c r="P1842" s="2" t="s">
        <v>5232</v>
      </c>
    </row>
    <row r="1843" spans="1:16" x14ac:dyDescent="0.25">
      <c r="A1843" s="2" t="s">
        <v>5233</v>
      </c>
      <c r="B1843" s="2" t="s">
        <v>199</v>
      </c>
      <c r="C1843" s="8">
        <v>46233</v>
      </c>
      <c r="D1843" s="6">
        <v>46204</v>
      </c>
      <c r="E1843" s="2" t="s">
        <v>260</v>
      </c>
      <c r="F1843" s="2" t="s">
        <v>5234</v>
      </c>
      <c r="G1843" s="6">
        <v>46204</v>
      </c>
      <c r="H1843" s="2" t="s">
        <v>71</v>
      </c>
      <c r="I1843" s="2" t="s">
        <v>39</v>
      </c>
      <c r="J1843" s="9">
        <v>5422.4</v>
      </c>
      <c r="K1843" s="7">
        <v>1</v>
      </c>
      <c r="L1843" s="9">
        <v>5422.4</v>
      </c>
      <c r="M1843" s="9">
        <v>5422.4</v>
      </c>
      <c r="N1843" s="9">
        <v>2.98</v>
      </c>
      <c r="O1843" s="10">
        <f>IF(AND(OR(H1843="APPROVED",H1843="SCHEDULED"),COUNTIFS(tblSource[EventID],F1843,tblSource[ReleaseStatus],"APPROVED")=1,COUNTIFS(Period_Status!$A$2:$A$8,G1843,Period_Status!$B$2:$B$8,"ActualClosed")=1,C1843&gt;EOMONTH(Settlement_Bridge!$C$2,0)),1,0)</f>
        <v>0</v>
      </c>
      <c r="P1843" s="2" t="s">
        <v>5235</v>
      </c>
    </row>
    <row r="1844" spans="1:16" x14ac:dyDescent="0.25">
      <c r="A1844" s="2" t="s">
        <v>5236</v>
      </c>
      <c r="B1844" s="2" t="s">
        <v>199</v>
      </c>
      <c r="C1844" s="8">
        <v>46258</v>
      </c>
      <c r="D1844" s="6">
        <v>46235</v>
      </c>
      <c r="E1844" s="2" t="s">
        <v>260</v>
      </c>
      <c r="F1844" s="2" t="s">
        <v>5234</v>
      </c>
      <c r="G1844" s="6">
        <v>46204</v>
      </c>
      <c r="H1844" s="2" t="s">
        <v>71</v>
      </c>
      <c r="I1844" s="2" t="s">
        <v>39</v>
      </c>
      <c r="J1844" s="9">
        <v>8133.6</v>
      </c>
      <c r="K1844" s="7">
        <v>1</v>
      </c>
      <c r="L1844" s="9">
        <v>8133.6</v>
      </c>
      <c r="M1844" s="9">
        <v>8133.6</v>
      </c>
      <c r="N1844" s="9">
        <v>4.47</v>
      </c>
      <c r="O1844" s="10">
        <f>IF(AND(OR(H1844="APPROVED",H1844="SCHEDULED"),COUNTIFS(tblSource[EventID],F1844,tblSource[ReleaseStatus],"APPROVED")=1,COUNTIFS(Period_Status!$A$2:$A$8,G1844,Period_Status!$B$2:$B$8,"ActualClosed")=1,C1844&gt;EOMONTH(Settlement_Bridge!$C$2,0)),1,0)</f>
        <v>1</v>
      </c>
      <c r="P1844" s="2" t="s">
        <v>5237</v>
      </c>
    </row>
    <row r="1845" spans="1:16" x14ac:dyDescent="0.25">
      <c r="A1845" s="2" t="s">
        <v>5238</v>
      </c>
      <c r="B1845" s="2" t="s">
        <v>199</v>
      </c>
      <c r="C1845" s="8">
        <v>46244</v>
      </c>
      <c r="D1845" s="6">
        <v>46235</v>
      </c>
      <c r="E1845" s="2" t="s">
        <v>260</v>
      </c>
      <c r="F1845" s="2" t="s">
        <v>5239</v>
      </c>
      <c r="G1845" s="6">
        <v>46204</v>
      </c>
      <c r="H1845" s="2" t="s">
        <v>71</v>
      </c>
      <c r="I1845" s="2" t="s">
        <v>76</v>
      </c>
      <c r="J1845" s="9">
        <v>221435645.16128999</v>
      </c>
      <c r="K1845" s="7">
        <v>6.1500000000000004E-5</v>
      </c>
      <c r="L1845" s="9">
        <v>13618.29</v>
      </c>
      <c r="M1845" s="9">
        <v>13729.01</v>
      </c>
      <c r="N1845" s="9">
        <v>7.49</v>
      </c>
      <c r="O1845" s="10">
        <f>IF(AND(OR(H1845="APPROVED",H1845="SCHEDULED"),COUNTIFS(tblSource[EventID],F1845,tblSource[ReleaseStatus],"APPROVED")=1,COUNTIFS(Period_Status!$A$2:$A$8,G1845,Period_Status!$B$2:$B$8,"ActualClosed")=1,C1845&gt;EOMONTH(Settlement_Bridge!$C$2,0)),1,0)</f>
        <v>1</v>
      </c>
      <c r="P1845" s="2" t="s">
        <v>5240</v>
      </c>
    </row>
    <row r="1846" spans="1:16" x14ac:dyDescent="0.25">
      <c r="A1846" s="2" t="s">
        <v>5241</v>
      </c>
      <c r="B1846" s="2" t="s">
        <v>199</v>
      </c>
      <c r="C1846" s="8">
        <v>46245</v>
      </c>
      <c r="D1846" s="6">
        <v>46235</v>
      </c>
      <c r="E1846" s="2" t="s">
        <v>260</v>
      </c>
      <c r="F1846" s="2" t="s">
        <v>5242</v>
      </c>
      <c r="G1846" s="6">
        <v>46204</v>
      </c>
      <c r="H1846" s="2" t="s">
        <v>71</v>
      </c>
      <c r="I1846" s="2" t="s">
        <v>70</v>
      </c>
      <c r="J1846" s="9">
        <v>21127.689969999999</v>
      </c>
      <c r="K1846" s="7">
        <v>0.65</v>
      </c>
      <c r="L1846" s="9">
        <v>13733</v>
      </c>
      <c r="M1846" s="9">
        <v>13902.02</v>
      </c>
      <c r="N1846" s="9">
        <v>7.55</v>
      </c>
      <c r="O1846" s="10">
        <f>IF(AND(OR(H1846="APPROVED",H1846="SCHEDULED"),COUNTIFS(tblSource[EventID],F1846,tblSource[ReleaseStatus],"APPROVED")=1,COUNTIFS(Period_Status!$A$2:$A$8,G1846,Period_Status!$B$2:$B$8,"ActualClosed")=1,C1846&gt;EOMONTH(Settlement_Bridge!$C$2,0)),1,0)</f>
        <v>1</v>
      </c>
      <c r="P1846" s="2" t="s">
        <v>5243</v>
      </c>
    </row>
    <row r="1847" spans="1:16" x14ac:dyDescent="0.25">
      <c r="A1847" s="2" t="s">
        <v>5244</v>
      </c>
      <c r="B1847" s="2" t="s">
        <v>199</v>
      </c>
      <c r="C1847" s="8">
        <v>46246</v>
      </c>
      <c r="D1847" s="6">
        <v>46235</v>
      </c>
      <c r="E1847" s="2" t="s">
        <v>260</v>
      </c>
      <c r="F1847" s="2" t="s">
        <v>5245</v>
      </c>
      <c r="G1847" s="6">
        <v>46204</v>
      </c>
      <c r="H1847" s="2" t="s">
        <v>71</v>
      </c>
      <c r="I1847" s="2" t="s">
        <v>39</v>
      </c>
      <c r="J1847" s="9">
        <v>14075.03</v>
      </c>
      <c r="K1847" s="7">
        <v>1</v>
      </c>
      <c r="L1847" s="9">
        <v>14075.03</v>
      </c>
      <c r="M1847" s="9">
        <v>14075.03</v>
      </c>
      <c r="N1847" s="9">
        <v>7.74</v>
      </c>
      <c r="O1847" s="10">
        <f>IF(AND(OR(H1847="APPROVED",H1847="SCHEDULED"),COUNTIFS(tblSource[EventID],F1847,tblSource[ReleaseStatus],"APPROVED")=1,COUNTIFS(Period_Status!$A$2:$A$8,G1847,Period_Status!$B$2:$B$8,"ActualClosed")=1,C1847&gt;EOMONTH(Settlement_Bridge!$C$2,0)),1,0)</f>
        <v>1</v>
      </c>
      <c r="P1847" s="2" t="s">
        <v>5246</v>
      </c>
    </row>
    <row r="1848" spans="1:16" x14ac:dyDescent="0.25">
      <c r="A1848" s="2" t="s">
        <v>5247</v>
      </c>
      <c r="B1848" s="2" t="s">
        <v>199</v>
      </c>
      <c r="C1848" s="8">
        <v>46247</v>
      </c>
      <c r="D1848" s="6">
        <v>46235</v>
      </c>
      <c r="E1848" s="2" t="s">
        <v>260</v>
      </c>
      <c r="F1848" s="2" t="s">
        <v>5248</v>
      </c>
      <c r="G1848" s="6">
        <v>46204</v>
      </c>
      <c r="H1848" s="2" t="s">
        <v>71</v>
      </c>
      <c r="I1848" s="2" t="s">
        <v>76</v>
      </c>
      <c r="J1848" s="9">
        <v>229807096.774194</v>
      </c>
      <c r="K1848" s="7">
        <v>6.1500000000000004E-5</v>
      </c>
      <c r="L1848" s="9">
        <v>14133.14</v>
      </c>
      <c r="M1848" s="9">
        <v>14248.04</v>
      </c>
      <c r="N1848" s="9">
        <v>7.77</v>
      </c>
      <c r="O1848" s="10">
        <f>IF(AND(OR(H1848="APPROVED",H1848="SCHEDULED"),COUNTIFS(tblSource[EventID],F1848,tblSource[ReleaseStatus],"APPROVED")=1,COUNTIFS(Period_Status!$A$2:$A$8,G1848,Period_Status!$B$2:$B$8,"ActualClosed")=1,C1848&gt;EOMONTH(Settlement_Bridge!$C$2,0)),1,0)</f>
        <v>1</v>
      </c>
      <c r="P1848" s="2" t="s">
        <v>5249</v>
      </c>
    </row>
    <row r="1849" spans="1:16" x14ac:dyDescent="0.25">
      <c r="A1849" s="2" t="s">
        <v>5250</v>
      </c>
      <c r="B1849" s="2" t="s">
        <v>199</v>
      </c>
      <c r="C1849" s="8">
        <v>46248</v>
      </c>
      <c r="D1849" s="6">
        <v>46235</v>
      </c>
      <c r="E1849" s="2" t="s">
        <v>260</v>
      </c>
      <c r="F1849" s="2" t="s">
        <v>5251</v>
      </c>
      <c r="G1849" s="6">
        <v>46204</v>
      </c>
      <c r="H1849" s="2" t="s">
        <v>71</v>
      </c>
      <c r="I1849" s="2" t="s">
        <v>70</v>
      </c>
      <c r="J1849" s="9">
        <v>21916.489362</v>
      </c>
      <c r="K1849" s="7">
        <v>0.65</v>
      </c>
      <c r="L1849" s="9">
        <v>14245.72</v>
      </c>
      <c r="M1849" s="9">
        <v>14421.05</v>
      </c>
      <c r="N1849" s="9">
        <v>7.84</v>
      </c>
      <c r="O1849" s="10">
        <f>IF(AND(OR(H1849="APPROVED",H1849="SCHEDULED"),COUNTIFS(tblSource[EventID],F1849,tblSource[ReleaseStatus],"APPROVED")=1,COUNTIFS(Period_Status!$A$2:$A$8,G1849,Period_Status!$B$2:$B$8,"ActualClosed")=1,C1849&gt;EOMONTH(Settlement_Bridge!$C$2,0)),1,0)</f>
        <v>1</v>
      </c>
      <c r="P1849" s="2" t="s">
        <v>5252</v>
      </c>
    </row>
    <row r="1850" spans="1:16" x14ac:dyDescent="0.25">
      <c r="A1850" s="2" t="s">
        <v>5253</v>
      </c>
      <c r="B1850" s="2" t="s">
        <v>199</v>
      </c>
      <c r="C1850" s="8">
        <v>46239</v>
      </c>
      <c r="D1850" s="6">
        <v>46235</v>
      </c>
      <c r="E1850" s="2" t="s">
        <v>260</v>
      </c>
      <c r="F1850" s="2" t="s">
        <v>5254</v>
      </c>
      <c r="G1850" s="6">
        <v>46204</v>
      </c>
      <c r="H1850" s="2" t="s">
        <v>71</v>
      </c>
      <c r="I1850" s="2" t="s">
        <v>39</v>
      </c>
      <c r="J1850" s="9">
        <v>5837.6239999999998</v>
      </c>
      <c r="K1850" s="7">
        <v>1</v>
      </c>
      <c r="L1850" s="9">
        <v>5837.62</v>
      </c>
      <c r="M1850" s="9">
        <v>5837.62</v>
      </c>
      <c r="N1850" s="9">
        <v>3.21</v>
      </c>
      <c r="O1850" s="10">
        <f>IF(AND(OR(H1850="APPROVED",H1850="SCHEDULED"),COUNTIFS(tblSource[EventID],F1850,tblSource[ReleaseStatus],"APPROVED")=1,COUNTIFS(Period_Status!$A$2:$A$8,G1850,Period_Status!$B$2:$B$8,"ActualClosed")=1,C1850&gt;EOMONTH(Settlement_Bridge!$C$2,0)),1,0)</f>
        <v>1</v>
      </c>
      <c r="P1850" s="2" t="s">
        <v>5255</v>
      </c>
    </row>
    <row r="1851" spans="1:16" x14ac:dyDescent="0.25">
      <c r="A1851" s="2" t="s">
        <v>5256</v>
      </c>
      <c r="B1851" s="2" t="s">
        <v>199</v>
      </c>
      <c r="C1851" s="8">
        <v>46264</v>
      </c>
      <c r="D1851" s="6">
        <v>46235</v>
      </c>
      <c r="E1851" s="2" t="s">
        <v>260</v>
      </c>
      <c r="F1851" s="2" t="s">
        <v>5254</v>
      </c>
      <c r="G1851" s="6">
        <v>46204</v>
      </c>
      <c r="H1851" s="2" t="s">
        <v>71</v>
      </c>
      <c r="I1851" s="2" t="s">
        <v>39</v>
      </c>
      <c r="J1851" s="9">
        <v>8756.4359999999997</v>
      </c>
      <c r="K1851" s="7">
        <v>1</v>
      </c>
      <c r="L1851" s="9">
        <v>8756.44</v>
      </c>
      <c r="M1851" s="9">
        <v>8756.44</v>
      </c>
      <c r="N1851" s="9">
        <v>4.82</v>
      </c>
      <c r="O1851" s="10">
        <f>IF(AND(OR(H1851="APPROVED",H1851="SCHEDULED"),COUNTIFS(tblSource[EventID],F1851,tblSource[ReleaseStatus],"APPROVED")=1,COUNTIFS(Period_Status!$A$2:$A$8,G1851,Period_Status!$B$2:$B$8,"ActualClosed")=1,C1851&gt;EOMONTH(Settlement_Bridge!$C$2,0)),1,0)</f>
        <v>1</v>
      </c>
      <c r="P1851" s="2" t="s">
        <v>5257</v>
      </c>
    </row>
    <row r="1852" spans="1:16" x14ac:dyDescent="0.25">
      <c r="A1852" s="2" t="s">
        <v>5258</v>
      </c>
      <c r="B1852" s="2" t="s">
        <v>199</v>
      </c>
      <c r="C1852" s="8">
        <v>46240</v>
      </c>
      <c r="D1852" s="6">
        <v>46235</v>
      </c>
      <c r="E1852" s="2" t="s">
        <v>260</v>
      </c>
      <c r="F1852" s="2" t="s">
        <v>5259</v>
      </c>
      <c r="G1852" s="6">
        <v>46204</v>
      </c>
      <c r="H1852" s="2" t="s">
        <v>71</v>
      </c>
      <c r="I1852" s="2" t="s">
        <v>76</v>
      </c>
      <c r="J1852" s="9">
        <v>95271419.354838997</v>
      </c>
      <c r="K1852" s="7">
        <v>6.1500000000000004E-5</v>
      </c>
      <c r="L1852" s="9">
        <v>5859.19</v>
      </c>
      <c r="M1852" s="9">
        <v>5906.83</v>
      </c>
      <c r="N1852" s="9">
        <v>3.22</v>
      </c>
      <c r="O1852" s="10">
        <f>IF(AND(OR(H1852="APPROVED",H1852="SCHEDULED"),COUNTIFS(tblSource[EventID],F1852,tblSource[ReleaseStatus],"APPROVED")=1,COUNTIFS(Period_Status!$A$2:$A$8,G1852,Period_Status!$B$2:$B$8,"ActualClosed")=1,C1852&gt;EOMONTH(Settlement_Bridge!$C$2,0)),1,0)</f>
        <v>1</v>
      </c>
      <c r="P1852" s="2" t="s">
        <v>5260</v>
      </c>
    </row>
    <row r="1853" spans="1:16" x14ac:dyDescent="0.25">
      <c r="A1853" s="2" t="s">
        <v>5261</v>
      </c>
      <c r="B1853" s="2" t="s">
        <v>199</v>
      </c>
      <c r="C1853" s="8">
        <v>46265</v>
      </c>
      <c r="D1853" s="6">
        <v>46235</v>
      </c>
      <c r="E1853" s="2" t="s">
        <v>260</v>
      </c>
      <c r="F1853" s="2" t="s">
        <v>5259</v>
      </c>
      <c r="G1853" s="6">
        <v>46204</v>
      </c>
      <c r="H1853" s="2" t="s">
        <v>71</v>
      </c>
      <c r="I1853" s="2" t="s">
        <v>76</v>
      </c>
      <c r="J1853" s="9">
        <v>142907129.032258</v>
      </c>
      <c r="K1853" s="7">
        <v>6.1500000000000004E-5</v>
      </c>
      <c r="L1853" s="9">
        <v>8788.7900000000009</v>
      </c>
      <c r="M1853" s="9">
        <v>8860.24</v>
      </c>
      <c r="N1853" s="9">
        <v>4.83</v>
      </c>
      <c r="O1853" s="10">
        <f>IF(AND(OR(H1853="APPROVED",H1853="SCHEDULED"),COUNTIFS(tblSource[EventID],F1853,tblSource[ReleaseStatus],"APPROVED")=1,COUNTIFS(Period_Status!$A$2:$A$8,G1853,Period_Status!$B$2:$B$8,"ActualClosed")=1,C1853&gt;EOMONTH(Settlement_Bridge!$C$2,0)),1,0)</f>
        <v>1</v>
      </c>
      <c r="P1853" s="2" t="s">
        <v>5262</v>
      </c>
    </row>
    <row r="1854" spans="1:16" x14ac:dyDescent="0.25">
      <c r="A1854" s="2" t="s">
        <v>5263</v>
      </c>
      <c r="B1854" s="2" t="s">
        <v>199</v>
      </c>
      <c r="C1854" s="8">
        <v>46251</v>
      </c>
      <c r="D1854" s="6">
        <v>46235</v>
      </c>
      <c r="E1854" s="2" t="s">
        <v>260</v>
      </c>
      <c r="F1854" s="2" t="s">
        <v>5264</v>
      </c>
      <c r="G1854" s="6">
        <v>46204</v>
      </c>
      <c r="H1854" s="2" t="s">
        <v>71</v>
      </c>
      <c r="I1854" s="2" t="s">
        <v>70</v>
      </c>
      <c r="J1854" s="9">
        <v>1428.6930090000001</v>
      </c>
      <c r="K1854" s="7">
        <v>0.65</v>
      </c>
      <c r="L1854" s="9">
        <v>928.65</v>
      </c>
      <c r="M1854" s="9">
        <v>940.08</v>
      </c>
      <c r="N1854" s="9">
        <v>1.8</v>
      </c>
      <c r="O1854" s="10">
        <f>IF(AND(OR(H1854="APPROVED",H1854="SCHEDULED"),COUNTIFS(tblSource[EventID],F1854,tblSource[ReleaseStatus],"APPROVED")=1,COUNTIFS(Period_Status!$A$2:$A$8,G1854,Period_Status!$B$2:$B$8,"ActualClosed")=1,C1854&gt;EOMONTH(Settlement_Bridge!$C$2,0)),1,0)</f>
        <v>1</v>
      </c>
      <c r="P1854" s="2" t="s">
        <v>5265</v>
      </c>
    </row>
    <row r="1855" spans="1:16" x14ac:dyDescent="0.25">
      <c r="A1855" s="2" t="s">
        <v>5266</v>
      </c>
      <c r="B1855" s="2" t="s">
        <v>199</v>
      </c>
      <c r="C1855" s="8">
        <v>46252</v>
      </c>
      <c r="D1855" s="6">
        <v>46235</v>
      </c>
      <c r="E1855" s="2" t="s">
        <v>260</v>
      </c>
      <c r="F1855" s="2" t="s">
        <v>5267</v>
      </c>
      <c r="G1855" s="6">
        <v>46204</v>
      </c>
      <c r="H1855" s="2" t="s">
        <v>71</v>
      </c>
      <c r="I1855" s="2" t="s">
        <v>39</v>
      </c>
      <c r="J1855" s="9">
        <v>1113.0899999999999</v>
      </c>
      <c r="K1855" s="7">
        <v>1</v>
      </c>
      <c r="L1855" s="9">
        <v>1113.0899999999999</v>
      </c>
      <c r="M1855" s="9">
        <v>1113.0899999999999</v>
      </c>
      <c r="N1855" s="9">
        <v>1.8</v>
      </c>
      <c r="O1855" s="10">
        <f>IF(AND(OR(H1855="APPROVED",H1855="SCHEDULED"),COUNTIFS(tblSource[EventID],F1855,tblSource[ReleaseStatus],"APPROVED")=1,COUNTIFS(Period_Status!$A$2:$A$8,G1855,Period_Status!$B$2:$B$8,"ActualClosed")=1,C1855&gt;EOMONTH(Settlement_Bridge!$C$2,0)),1,0)</f>
        <v>1</v>
      </c>
      <c r="P1855" s="2" t="s">
        <v>5268</v>
      </c>
    </row>
    <row r="1856" spans="1:16" x14ac:dyDescent="0.25">
      <c r="A1856" s="2" t="s">
        <v>5269</v>
      </c>
      <c r="B1856" s="2" t="s">
        <v>199</v>
      </c>
      <c r="C1856" s="8">
        <v>46243</v>
      </c>
      <c r="D1856" s="6">
        <v>46235</v>
      </c>
      <c r="E1856" s="2" t="s">
        <v>260</v>
      </c>
      <c r="F1856" s="2" t="s">
        <v>5270</v>
      </c>
      <c r="G1856" s="6">
        <v>46204</v>
      </c>
      <c r="H1856" s="2" t="s">
        <v>71</v>
      </c>
      <c r="I1856" s="2" t="s">
        <v>76</v>
      </c>
      <c r="J1856" s="9">
        <v>8297419.3548389999</v>
      </c>
      <c r="K1856" s="7">
        <v>6.1500000000000004E-5</v>
      </c>
      <c r="L1856" s="9">
        <v>510.29</v>
      </c>
      <c r="M1856" s="9">
        <v>514.44000000000005</v>
      </c>
      <c r="N1856" s="9">
        <v>1.8</v>
      </c>
      <c r="O1856" s="10">
        <f>IF(AND(OR(H1856="APPROVED",H1856="SCHEDULED"),COUNTIFS(tblSource[EventID],F1856,tblSource[ReleaseStatus],"APPROVED")=1,COUNTIFS(Period_Status!$A$2:$A$8,G1856,Period_Status!$B$2:$B$8,"ActualClosed")=1,C1856&gt;EOMONTH(Settlement_Bridge!$C$2,0)),1,0)</f>
        <v>1</v>
      </c>
      <c r="P1856" s="2" t="s">
        <v>5271</v>
      </c>
    </row>
    <row r="1857" spans="1:16" x14ac:dyDescent="0.25">
      <c r="A1857" s="2" t="s">
        <v>5272</v>
      </c>
      <c r="B1857" s="2" t="s">
        <v>199</v>
      </c>
      <c r="C1857" s="8">
        <v>46268</v>
      </c>
      <c r="D1857" s="6">
        <v>46266</v>
      </c>
      <c r="E1857" s="2" t="s">
        <v>260</v>
      </c>
      <c r="F1857" s="2" t="s">
        <v>5270</v>
      </c>
      <c r="G1857" s="6">
        <v>46204</v>
      </c>
      <c r="H1857" s="2" t="s">
        <v>176</v>
      </c>
      <c r="I1857" s="2" t="s">
        <v>76</v>
      </c>
      <c r="J1857" s="9">
        <v>12446129.032258</v>
      </c>
      <c r="K1857" s="7">
        <v>6.1299999999999999E-5</v>
      </c>
      <c r="L1857" s="9">
        <v>762.95</v>
      </c>
      <c r="M1857" s="9">
        <v>771.66</v>
      </c>
      <c r="N1857" s="9">
        <v>1.8</v>
      </c>
      <c r="O1857" s="10">
        <f>IF(AND(OR(H1857="APPROVED",H1857="SCHEDULED"),COUNTIFS(tblSource[EventID],F1857,tblSource[ReleaseStatus],"APPROVED")=1,COUNTIFS(Period_Status!$A$2:$A$8,G1857,Period_Status!$B$2:$B$8,"ActualClosed")=1,C1857&gt;EOMONTH(Settlement_Bridge!$C$2,0)),1,0)</f>
        <v>1</v>
      </c>
      <c r="P1857" s="2" t="s">
        <v>5273</v>
      </c>
    </row>
    <row r="1858" spans="1:16" x14ac:dyDescent="0.25">
      <c r="A1858" s="2" t="s">
        <v>5274</v>
      </c>
      <c r="B1858" s="2" t="s">
        <v>199</v>
      </c>
      <c r="C1858" s="8">
        <v>46254</v>
      </c>
      <c r="D1858" s="6">
        <v>46235</v>
      </c>
      <c r="E1858" s="2" t="s">
        <v>260</v>
      </c>
      <c r="F1858" s="2" t="s">
        <v>5275</v>
      </c>
      <c r="G1858" s="6">
        <v>46204</v>
      </c>
      <c r="H1858" s="2" t="s">
        <v>71</v>
      </c>
      <c r="I1858" s="2" t="s">
        <v>70</v>
      </c>
      <c r="J1858" s="9">
        <v>2217.492401</v>
      </c>
      <c r="K1858" s="7">
        <v>0.65</v>
      </c>
      <c r="L1858" s="9">
        <v>1441.37</v>
      </c>
      <c r="M1858" s="9">
        <v>1459.11</v>
      </c>
      <c r="N1858" s="9">
        <v>1.8</v>
      </c>
      <c r="O1858" s="10">
        <f>IF(AND(OR(H1858="APPROVED",H1858="SCHEDULED"),COUNTIFS(tblSource[EventID],F1858,tblSource[ReleaseStatus],"APPROVED")=1,COUNTIFS(Period_Status!$A$2:$A$8,G1858,Period_Status!$B$2:$B$8,"ActualClosed")=1,C1858&gt;EOMONTH(Settlement_Bridge!$C$2,0)),1,0)</f>
        <v>1</v>
      </c>
      <c r="P1858" s="2" t="s">
        <v>5276</v>
      </c>
    </row>
    <row r="1859" spans="1:16" x14ac:dyDescent="0.25">
      <c r="A1859" s="2" t="s">
        <v>5277</v>
      </c>
      <c r="B1859" s="2" t="s">
        <v>199</v>
      </c>
      <c r="C1859" s="8">
        <v>46255</v>
      </c>
      <c r="D1859" s="6">
        <v>46235</v>
      </c>
      <c r="E1859" s="2" t="s">
        <v>260</v>
      </c>
      <c r="F1859" s="2" t="s">
        <v>5278</v>
      </c>
      <c r="G1859" s="6">
        <v>46204</v>
      </c>
      <c r="H1859" s="2" t="s">
        <v>71</v>
      </c>
      <c r="I1859" s="2" t="s">
        <v>39</v>
      </c>
      <c r="J1859" s="9">
        <v>1632.12</v>
      </c>
      <c r="K1859" s="7">
        <v>1</v>
      </c>
      <c r="L1859" s="9">
        <v>1632.12</v>
      </c>
      <c r="M1859" s="9">
        <v>1632.12</v>
      </c>
      <c r="N1859" s="9">
        <v>1.8</v>
      </c>
      <c r="O1859" s="10">
        <f>IF(AND(OR(H1859="APPROVED",H1859="SCHEDULED"),COUNTIFS(tblSource[EventID],F1859,tblSource[ReleaseStatus],"APPROVED")=1,COUNTIFS(Period_Status!$A$2:$A$8,G1859,Period_Status!$B$2:$B$8,"ActualClosed")=1,C1859&gt;EOMONTH(Settlement_Bridge!$C$2,0)),1,0)</f>
        <v>1</v>
      </c>
      <c r="P1859" s="2" t="s">
        <v>5279</v>
      </c>
    </row>
    <row r="1860" spans="1:16" x14ac:dyDescent="0.25">
      <c r="A1860" s="2" t="s">
        <v>5280</v>
      </c>
      <c r="B1860" s="2" t="s">
        <v>199</v>
      </c>
      <c r="C1860" s="8">
        <v>46256</v>
      </c>
      <c r="D1860" s="6">
        <v>46235</v>
      </c>
      <c r="E1860" s="2" t="s">
        <v>260</v>
      </c>
      <c r="F1860" s="2" t="s">
        <v>5281</v>
      </c>
      <c r="G1860" s="6">
        <v>46204</v>
      </c>
      <c r="H1860" s="2" t="s">
        <v>71</v>
      </c>
      <c r="I1860" s="2" t="s">
        <v>76</v>
      </c>
      <c r="J1860" s="9">
        <v>29115000</v>
      </c>
      <c r="K1860" s="7">
        <v>6.1500000000000004E-5</v>
      </c>
      <c r="L1860" s="9">
        <v>1790.57</v>
      </c>
      <c r="M1860" s="9">
        <v>1805.13</v>
      </c>
      <c r="N1860" s="9">
        <v>1.8</v>
      </c>
      <c r="O1860" s="10">
        <f>IF(AND(OR(H1860="APPROVED",H1860="SCHEDULED"),COUNTIFS(tblSource[EventID],F1860,tblSource[ReleaseStatus],"APPROVED")=1,COUNTIFS(Period_Status!$A$2:$A$8,G1860,Period_Status!$B$2:$B$8,"ActualClosed")=1,C1860&gt;EOMONTH(Settlement_Bridge!$C$2,0)),1,0)</f>
        <v>1</v>
      </c>
      <c r="P1860" s="2" t="s">
        <v>5282</v>
      </c>
    </row>
    <row r="1861" spans="1:16" x14ac:dyDescent="0.25">
      <c r="A1861" s="2" t="s">
        <v>5283</v>
      </c>
      <c r="B1861" s="2" t="s">
        <v>199</v>
      </c>
      <c r="C1861" s="8">
        <v>46257</v>
      </c>
      <c r="D1861" s="6">
        <v>46235</v>
      </c>
      <c r="E1861" s="2" t="s">
        <v>260</v>
      </c>
      <c r="F1861" s="2" t="s">
        <v>5284</v>
      </c>
      <c r="G1861" s="6">
        <v>46204</v>
      </c>
      <c r="H1861" s="2" t="s">
        <v>71</v>
      </c>
      <c r="I1861" s="2" t="s">
        <v>70</v>
      </c>
      <c r="J1861" s="9">
        <v>3006.2917929999999</v>
      </c>
      <c r="K1861" s="7">
        <v>0.65</v>
      </c>
      <c r="L1861" s="9">
        <v>1954.09</v>
      </c>
      <c r="M1861" s="9">
        <v>1978.14</v>
      </c>
      <c r="N1861" s="9">
        <v>1.8</v>
      </c>
      <c r="O1861" s="10">
        <f>IF(AND(OR(H1861="APPROVED",H1861="SCHEDULED"),COUNTIFS(tblSource[EventID],F1861,tblSource[ReleaseStatus],"APPROVED")=1,COUNTIFS(Period_Status!$A$2:$A$8,G1861,Period_Status!$B$2:$B$8,"ActualClosed")=1,C1861&gt;EOMONTH(Settlement_Bridge!$C$2,0)),1,0)</f>
        <v>1</v>
      </c>
      <c r="P1861" s="2" t="s">
        <v>5285</v>
      </c>
    </row>
    <row r="1862" spans="1:16" x14ac:dyDescent="0.25">
      <c r="A1862" s="2" t="s">
        <v>5286</v>
      </c>
      <c r="B1862" s="2" t="s">
        <v>199</v>
      </c>
      <c r="C1862" s="8">
        <v>46258</v>
      </c>
      <c r="D1862" s="6">
        <v>46235</v>
      </c>
      <c r="E1862" s="2" t="s">
        <v>260</v>
      </c>
      <c r="F1862" s="2" t="s">
        <v>5287</v>
      </c>
      <c r="G1862" s="6">
        <v>46204</v>
      </c>
      <c r="H1862" s="2" t="s">
        <v>71</v>
      </c>
      <c r="I1862" s="2" t="s">
        <v>39</v>
      </c>
      <c r="J1862" s="9">
        <v>2151.15</v>
      </c>
      <c r="K1862" s="7">
        <v>1</v>
      </c>
      <c r="L1862" s="9">
        <v>2151.15</v>
      </c>
      <c r="M1862" s="9">
        <v>2151.15</v>
      </c>
      <c r="N1862" s="9">
        <v>1.8</v>
      </c>
      <c r="O1862" s="10">
        <f>IF(AND(OR(H1862="APPROVED",H1862="SCHEDULED"),COUNTIFS(tblSource[EventID],F1862,tblSource[ReleaseStatus],"APPROVED")=1,COUNTIFS(Period_Status!$A$2:$A$8,G1862,Period_Status!$B$2:$B$8,"ActualClosed")=1,C1862&gt;EOMONTH(Settlement_Bridge!$C$2,0)),1,0)</f>
        <v>1</v>
      </c>
      <c r="P1862" s="2" t="s">
        <v>5288</v>
      </c>
    </row>
    <row r="1863" spans="1:16" x14ac:dyDescent="0.25">
      <c r="A1863" s="2" t="s">
        <v>5289</v>
      </c>
      <c r="B1863" s="2" t="s">
        <v>199</v>
      </c>
      <c r="C1863" s="8">
        <v>46218</v>
      </c>
      <c r="D1863" s="6">
        <v>46204</v>
      </c>
      <c r="E1863" s="2" t="s">
        <v>260</v>
      </c>
      <c r="F1863" s="2" t="s">
        <v>5290</v>
      </c>
      <c r="G1863" s="6">
        <v>46204</v>
      </c>
      <c r="H1863" s="2" t="s">
        <v>71</v>
      </c>
      <c r="I1863" s="2" t="s">
        <v>76</v>
      </c>
      <c r="J1863" s="9">
        <v>14994580.645160999</v>
      </c>
      <c r="K1863" s="7">
        <v>6.2000000000000003E-5</v>
      </c>
      <c r="L1863" s="9">
        <v>929.66</v>
      </c>
      <c r="M1863" s="9">
        <v>929.66</v>
      </c>
      <c r="N1863" s="9">
        <v>1.8</v>
      </c>
      <c r="O1863" s="10">
        <f>IF(AND(OR(H1863="APPROVED",H1863="SCHEDULED"),COUNTIFS(tblSource[EventID],F1863,tblSource[ReleaseStatus],"APPROVED")=1,COUNTIFS(Period_Status!$A$2:$A$8,G1863,Period_Status!$B$2:$B$8,"ActualClosed")=1,C1863&gt;EOMONTH(Settlement_Bridge!$C$2,0)),1,0)</f>
        <v>0</v>
      </c>
      <c r="P1863" s="2" t="s">
        <v>5291</v>
      </c>
    </row>
    <row r="1864" spans="1:16" x14ac:dyDescent="0.25">
      <c r="A1864" s="2" t="s">
        <v>5292</v>
      </c>
      <c r="B1864" s="2" t="s">
        <v>199</v>
      </c>
      <c r="C1864" s="8">
        <v>46243</v>
      </c>
      <c r="D1864" s="6">
        <v>46235</v>
      </c>
      <c r="E1864" s="2" t="s">
        <v>260</v>
      </c>
      <c r="F1864" s="2" t="s">
        <v>5290</v>
      </c>
      <c r="G1864" s="6">
        <v>46204</v>
      </c>
      <c r="H1864" s="2" t="s">
        <v>71</v>
      </c>
      <c r="I1864" s="2" t="s">
        <v>76</v>
      </c>
      <c r="J1864" s="9">
        <v>22491870.967742</v>
      </c>
      <c r="K1864" s="7">
        <v>6.1500000000000004E-5</v>
      </c>
      <c r="L1864" s="9">
        <v>1383.25</v>
      </c>
      <c r="M1864" s="9">
        <v>1394.5</v>
      </c>
      <c r="N1864" s="9">
        <v>1.8</v>
      </c>
      <c r="O1864" s="10">
        <f>IF(AND(OR(H1864="APPROVED",H1864="SCHEDULED"),COUNTIFS(tblSource[EventID],F1864,tblSource[ReleaseStatus],"APPROVED")=1,COUNTIFS(Period_Status!$A$2:$A$8,G1864,Period_Status!$B$2:$B$8,"ActualClosed")=1,C1864&gt;EOMONTH(Settlement_Bridge!$C$2,0)),1,0)</f>
        <v>1</v>
      </c>
      <c r="P1864" s="2" t="s">
        <v>5293</v>
      </c>
    </row>
    <row r="1865" spans="1:16" x14ac:dyDescent="0.25">
      <c r="A1865" s="2" t="s">
        <v>5294</v>
      </c>
      <c r="B1865" s="2" t="s">
        <v>199</v>
      </c>
      <c r="C1865" s="8">
        <v>46219</v>
      </c>
      <c r="D1865" s="6">
        <v>46204</v>
      </c>
      <c r="E1865" s="2" t="s">
        <v>260</v>
      </c>
      <c r="F1865" s="2" t="s">
        <v>5295</v>
      </c>
      <c r="G1865" s="6">
        <v>46204</v>
      </c>
      <c r="H1865" s="2" t="s">
        <v>71</v>
      </c>
      <c r="I1865" s="2" t="s">
        <v>70</v>
      </c>
      <c r="J1865" s="9">
        <v>1518.036474</v>
      </c>
      <c r="K1865" s="7">
        <v>0.65800000000000003</v>
      </c>
      <c r="L1865" s="9">
        <v>998.87</v>
      </c>
      <c r="M1865" s="9">
        <v>998.87</v>
      </c>
      <c r="N1865" s="9">
        <v>1.8</v>
      </c>
      <c r="O1865" s="10">
        <f>IF(AND(OR(H1865="APPROVED",H1865="SCHEDULED"),COUNTIFS(tblSource[EventID],F1865,tblSource[ReleaseStatus],"APPROVED")=1,COUNTIFS(Period_Status!$A$2:$A$8,G1865,Period_Status!$B$2:$B$8,"ActualClosed")=1,C1865&gt;EOMONTH(Settlement_Bridge!$C$2,0)),1,0)</f>
        <v>0</v>
      </c>
      <c r="P1865" s="2" t="s">
        <v>5296</v>
      </c>
    </row>
    <row r="1866" spans="1:16" x14ac:dyDescent="0.25">
      <c r="A1866" s="2" t="s">
        <v>5297</v>
      </c>
      <c r="B1866" s="2" t="s">
        <v>199</v>
      </c>
      <c r="C1866" s="8">
        <v>46244</v>
      </c>
      <c r="D1866" s="6">
        <v>46235</v>
      </c>
      <c r="E1866" s="2" t="s">
        <v>260</v>
      </c>
      <c r="F1866" s="2" t="s">
        <v>5295</v>
      </c>
      <c r="G1866" s="6">
        <v>46204</v>
      </c>
      <c r="H1866" s="2" t="s">
        <v>71</v>
      </c>
      <c r="I1866" s="2" t="s">
        <v>70</v>
      </c>
      <c r="J1866" s="9">
        <v>2277.0547110000002</v>
      </c>
      <c r="K1866" s="7">
        <v>0.65</v>
      </c>
      <c r="L1866" s="9">
        <v>1480.09</v>
      </c>
      <c r="M1866" s="9">
        <v>1498.3</v>
      </c>
      <c r="N1866" s="9">
        <v>1.8</v>
      </c>
      <c r="O1866" s="10">
        <f>IF(AND(OR(H1866="APPROVED",H1866="SCHEDULED"),COUNTIFS(tblSource[EventID],F1866,tblSource[ReleaseStatus],"APPROVED")=1,COUNTIFS(Period_Status!$A$2:$A$8,G1866,Period_Status!$B$2:$B$8,"ActualClosed")=1,C1866&gt;EOMONTH(Settlement_Bridge!$C$2,0)),1,0)</f>
        <v>1</v>
      </c>
      <c r="P1866" s="2" t="s">
        <v>5298</v>
      </c>
    </row>
    <row r="1867" spans="1:16" x14ac:dyDescent="0.25">
      <c r="A1867" s="2" t="s">
        <v>5299</v>
      </c>
      <c r="B1867" s="2" t="s">
        <v>199</v>
      </c>
      <c r="C1867" s="8">
        <v>46230</v>
      </c>
      <c r="D1867" s="6">
        <v>46204</v>
      </c>
      <c r="E1867" s="2" t="s">
        <v>260</v>
      </c>
      <c r="F1867" s="2" t="s">
        <v>5300</v>
      </c>
      <c r="G1867" s="6">
        <v>46204</v>
      </c>
      <c r="H1867" s="2" t="s">
        <v>71</v>
      </c>
      <c r="I1867" s="2" t="s">
        <v>39</v>
      </c>
      <c r="J1867" s="9">
        <v>2670.18</v>
      </c>
      <c r="K1867" s="7">
        <v>1</v>
      </c>
      <c r="L1867" s="9">
        <v>2670.18</v>
      </c>
      <c r="M1867" s="9">
        <v>2670.18</v>
      </c>
      <c r="N1867" s="9">
        <v>1.8</v>
      </c>
      <c r="O1867" s="10">
        <f>IF(AND(OR(H1867="APPROVED",H1867="SCHEDULED"),COUNTIFS(tblSource[EventID],F1867,tblSource[ReleaseStatus],"APPROVED")=1,COUNTIFS(Period_Status!$A$2:$A$8,G1867,Period_Status!$B$2:$B$8,"ActualClosed")=1,C1867&gt;EOMONTH(Settlement_Bridge!$C$2,0)),1,0)</f>
        <v>0</v>
      </c>
      <c r="P1867" s="2" t="s">
        <v>5301</v>
      </c>
    </row>
    <row r="1868" spans="1:16" x14ac:dyDescent="0.25">
      <c r="A1868" s="2" t="s">
        <v>5302</v>
      </c>
      <c r="B1868" s="2" t="s">
        <v>199</v>
      </c>
      <c r="C1868" s="8">
        <v>46231</v>
      </c>
      <c r="D1868" s="6">
        <v>46204</v>
      </c>
      <c r="E1868" s="2" t="s">
        <v>260</v>
      </c>
      <c r="F1868" s="2" t="s">
        <v>5303</v>
      </c>
      <c r="G1868" s="6">
        <v>46204</v>
      </c>
      <c r="H1868" s="2" t="s">
        <v>71</v>
      </c>
      <c r="I1868" s="2" t="s">
        <v>76</v>
      </c>
      <c r="J1868" s="9">
        <v>45857903.225805998</v>
      </c>
      <c r="K1868" s="7">
        <v>6.2000000000000003E-5</v>
      </c>
      <c r="L1868" s="9">
        <v>2843.19</v>
      </c>
      <c r="M1868" s="9">
        <v>2843.19</v>
      </c>
      <c r="N1868" s="9">
        <v>1.8</v>
      </c>
      <c r="O1868" s="10">
        <f>IF(AND(OR(H1868="APPROVED",H1868="SCHEDULED"),COUNTIFS(tblSource[EventID],F1868,tblSource[ReleaseStatus],"APPROVED")=1,COUNTIFS(Period_Status!$A$2:$A$8,G1868,Period_Status!$B$2:$B$8,"ActualClosed")=1,C1868&gt;EOMONTH(Settlement_Bridge!$C$2,0)),1,0)</f>
        <v>0</v>
      </c>
      <c r="P1868" s="2" t="s">
        <v>5304</v>
      </c>
    </row>
    <row r="1869" spans="1:16" x14ac:dyDescent="0.25">
      <c r="A1869" s="2" t="s">
        <v>5305</v>
      </c>
      <c r="B1869" s="2" t="s">
        <v>199</v>
      </c>
      <c r="C1869" s="8">
        <v>46222</v>
      </c>
      <c r="D1869" s="6">
        <v>46204</v>
      </c>
      <c r="E1869" s="2" t="s">
        <v>260</v>
      </c>
      <c r="F1869" s="2" t="s">
        <v>5306</v>
      </c>
      <c r="G1869" s="6">
        <v>46204</v>
      </c>
      <c r="H1869" s="2" t="s">
        <v>71</v>
      </c>
      <c r="I1869" s="2" t="s">
        <v>70</v>
      </c>
      <c r="J1869" s="9">
        <v>1833.556231</v>
      </c>
      <c r="K1869" s="7">
        <v>0.65800000000000003</v>
      </c>
      <c r="L1869" s="9">
        <v>1206.48</v>
      </c>
      <c r="M1869" s="9">
        <v>1206.48</v>
      </c>
      <c r="N1869" s="9">
        <v>1.8</v>
      </c>
      <c r="O1869" s="10">
        <f>IF(AND(OR(H1869="APPROVED",H1869="SCHEDULED"),COUNTIFS(tblSource[EventID],F1869,tblSource[ReleaseStatus],"APPROVED")=1,COUNTIFS(Period_Status!$A$2:$A$8,G1869,Period_Status!$B$2:$B$8,"ActualClosed")=1,C1869&gt;EOMONTH(Settlement_Bridge!$C$2,0)),1,0)</f>
        <v>0</v>
      </c>
      <c r="P1869" s="2" t="s">
        <v>5307</v>
      </c>
    </row>
    <row r="1870" spans="1:16" x14ac:dyDescent="0.25">
      <c r="A1870" s="2" t="s">
        <v>5308</v>
      </c>
      <c r="B1870" s="2" t="s">
        <v>199</v>
      </c>
      <c r="C1870" s="8">
        <v>46247</v>
      </c>
      <c r="D1870" s="6">
        <v>46235</v>
      </c>
      <c r="E1870" s="2" t="s">
        <v>260</v>
      </c>
      <c r="F1870" s="2" t="s">
        <v>5306</v>
      </c>
      <c r="G1870" s="6">
        <v>46204</v>
      </c>
      <c r="H1870" s="2" t="s">
        <v>71</v>
      </c>
      <c r="I1870" s="2" t="s">
        <v>70</v>
      </c>
      <c r="J1870" s="9">
        <v>2750.334347</v>
      </c>
      <c r="K1870" s="7">
        <v>0.65</v>
      </c>
      <c r="L1870" s="9">
        <v>1787.72</v>
      </c>
      <c r="M1870" s="9">
        <v>1809.72</v>
      </c>
      <c r="N1870" s="9">
        <v>1.8</v>
      </c>
      <c r="O1870" s="10">
        <f>IF(AND(OR(H1870="APPROVED",H1870="SCHEDULED"),COUNTIFS(tblSource[EventID],F1870,tblSource[ReleaseStatus],"APPROVED")=1,COUNTIFS(Period_Status!$A$2:$A$8,G1870,Period_Status!$B$2:$B$8,"ActualClosed")=1,C1870&gt;EOMONTH(Settlement_Bridge!$C$2,0)),1,0)</f>
        <v>1</v>
      </c>
      <c r="P1870" s="2" t="s">
        <v>5309</v>
      </c>
    </row>
    <row r="1871" spans="1:16" x14ac:dyDescent="0.25">
      <c r="A1871" s="2" t="s">
        <v>5310</v>
      </c>
      <c r="B1871" s="2" t="s">
        <v>199</v>
      </c>
      <c r="C1871" s="8">
        <v>46233</v>
      </c>
      <c r="D1871" s="6">
        <v>46204</v>
      </c>
      <c r="E1871" s="2" t="s">
        <v>260</v>
      </c>
      <c r="F1871" s="2" t="s">
        <v>5311</v>
      </c>
      <c r="G1871" s="6">
        <v>46204</v>
      </c>
      <c r="H1871" s="2" t="s">
        <v>71</v>
      </c>
      <c r="I1871" s="2" t="s">
        <v>39</v>
      </c>
      <c r="J1871" s="9">
        <v>3189.21</v>
      </c>
      <c r="K1871" s="7">
        <v>1</v>
      </c>
      <c r="L1871" s="9">
        <v>3189.21</v>
      </c>
      <c r="M1871" s="9">
        <v>3189.21</v>
      </c>
      <c r="N1871" s="9">
        <v>1.8</v>
      </c>
      <c r="O1871" s="10">
        <f>IF(AND(OR(H1871="APPROVED",H1871="SCHEDULED"),COUNTIFS(tblSource[EventID],F1871,tblSource[ReleaseStatus],"APPROVED")=1,COUNTIFS(Period_Status!$A$2:$A$8,G1871,Period_Status!$B$2:$B$8,"ActualClosed")=1,C1871&gt;EOMONTH(Settlement_Bridge!$C$2,0)),1,0)</f>
        <v>0</v>
      </c>
      <c r="P1871" s="2" t="s">
        <v>5312</v>
      </c>
    </row>
    <row r="1872" spans="1:16" x14ac:dyDescent="0.25">
      <c r="A1872" s="2" t="s">
        <v>5313</v>
      </c>
      <c r="B1872" s="2" t="s">
        <v>199</v>
      </c>
      <c r="C1872" s="8">
        <v>46234</v>
      </c>
      <c r="D1872" s="6">
        <v>46204</v>
      </c>
      <c r="E1872" s="2" t="s">
        <v>260</v>
      </c>
      <c r="F1872" s="2" t="s">
        <v>5314</v>
      </c>
      <c r="G1872" s="6">
        <v>46204</v>
      </c>
      <c r="H1872" s="2" t="s">
        <v>71</v>
      </c>
      <c r="I1872" s="2" t="s">
        <v>76</v>
      </c>
      <c r="J1872" s="9">
        <v>-54229354.838710003</v>
      </c>
      <c r="K1872" s="7">
        <v>6.2000000000000003E-5</v>
      </c>
      <c r="L1872" s="9">
        <v>-3362.22</v>
      </c>
      <c r="M1872" s="9">
        <v>-3362.22</v>
      </c>
      <c r="N1872" s="9">
        <v>0</v>
      </c>
      <c r="O1872" s="10">
        <f>IF(AND(OR(H1872="APPROVED",H1872="SCHEDULED"),COUNTIFS(tblSource[EventID],F1872,tblSource[ReleaseStatus],"APPROVED")=1,COUNTIFS(Period_Status!$A$2:$A$8,G1872,Period_Status!$B$2:$B$8,"ActualClosed")=1,C1872&gt;EOMONTH(Settlement_Bridge!$C$2,0)),1,0)</f>
        <v>0</v>
      </c>
      <c r="P1872" s="2" t="s">
        <v>5315</v>
      </c>
    </row>
    <row r="1873" spans="1:16" x14ac:dyDescent="0.25">
      <c r="A1873" s="2" t="s">
        <v>5316</v>
      </c>
      <c r="B1873" s="2" t="s">
        <v>199</v>
      </c>
      <c r="C1873" s="8">
        <v>46235</v>
      </c>
      <c r="D1873" s="6">
        <v>46235</v>
      </c>
      <c r="E1873" s="2" t="s">
        <v>260</v>
      </c>
      <c r="F1873" s="2" t="s">
        <v>5317</v>
      </c>
      <c r="G1873" s="6">
        <v>46204</v>
      </c>
      <c r="H1873" s="2" t="s">
        <v>71</v>
      </c>
      <c r="I1873" s="2" t="s">
        <v>70</v>
      </c>
      <c r="J1873" s="9">
        <v>5372.6899700000004</v>
      </c>
      <c r="K1873" s="7">
        <v>0.65</v>
      </c>
      <c r="L1873" s="9">
        <v>3492.25</v>
      </c>
      <c r="M1873" s="9">
        <v>3535.23</v>
      </c>
      <c r="N1873" s="9">
        <v>1.92</v>
      </c>
      <c r="O1873" s="10">
        <f>IF(AND(OR(H1873="APPROVED",H1873="SCHEDULED"),COUNTIFS(tblSource[EventID],F1873,tblSource[ReleaseStatus],"APPROVED")=1,COUNTIFS(Period_Status!$A$2:$A$8,G1873,Period_Status!$B$2:$B$8,"ActualClosed")=1,C1873&gt;EOMONTH(Settlement_Bridge!$C$2,0)),1,0)</f>
        <v>1</v>
      </c>
      <c r="P1873" s="2" t="s">
        <v>5318</v>
      </c>
    </row>
    <row r="1874" spans="1:16" x14ac:dyDescent="0.25">
      <c r="A1874" s="2" t="s">
        <v>5319</v>
      </c>
      <c r="B1874" s="2" t="s">
        <v>199</v>
      </c>
      <c r="C1874" s="8">
        <v>46236</v>
      </c>
      <c r="D1874" s="6">
        <v>46235</v>
      </c>
      <c r="E1874" s="2" t="s">
        <v>260</v>
      </c>
      <c r="F1874" s="2" t="s">
        <v>5320</v>
      </c>
      <c r="G1874" s="6">
        <v>46204</v>
      </c>
      <c r="H1874" s="2" t="s">
        <v>71</v>
      </c>
      <c r="I1874" s="2" t="s">
        <v>39</v>
      </c>
      <c r="J1874" s="9">
        <v>3708.24</v>
      </c>
      <c r="K1874" s="7">
        <v>1</v>
      </c>
      <c r="L1874" s="9">
        <v>3708.24</v>
      </c>
      <c r="M1874" s="9">
        <v>3708.24</v>
      </c>
      <c r="N1874" s="9">
        <v>2.04</v>
      </c>
      <c r="O1874" s="10">
        <f>IF(AND(OR(H1874="APPROVED",H1874="SCHEDULED"),COUNTIFS(tblSource[EventID],F1874,tblSource[ReleaseStatus],"APPROVED")=1,COUNTIFS(Period_Status!$A$2:$A$8,G1874,Period_Status!$B$2:$B$8,"ActualClosed")=1,C1874&gt;EOMONTH(Settlement_Bridge!$C$2,0)),1,0)</f>
        <v>1</v>
      </c>
      <c r="P1874" s="2" t="s">
        <v>5321</v>
      </c>
    </row>
    <row r="1875" spans="1:16" x14ac:dyDescent="0.25">
      <c r="A1875" s="2" t="s">
        <v>5322</v>
      </c>
      <c r="B1875" s="2" t="s">
        <v>199</v>
      </c>
      <c r="C1875" s="8">
        <v>46237</v>
      </c>
      <c r="D1875" s="6">
        <v>46235</v>
      </c>
      <c r="E1875" s="2" t="s">
        <v>260</v>
      </c>
      <c r="F1875" s="2" t="s">
        <v>5323</v>
      </c>
      <c r="G1875" s="6">
        <v>46204</v>
      </c>
      <c r="H1875" s="2" t="s">
        <v>71</v>
      </c>
      <c r="I1875" s="2" t="s">
        <v>76</v>
      </c>
      <c r="J1875" s="9">
        <v>62600806.451613002</v>
      </c>
      <c r="K1875" s="7">
        <v>6.1500000000000004E-5</v>
      </c>
      <c r="L1875" s="9">
        <v>3849.95</v>
      </c>
      <c r="M1875" s="9">
        <v>3881.25</v>
      </c>
      <c r="N1875" s="9">
        <v>2.12</v>
      </c>
      <c r="O1875" s="10">
        <f>IF(AND(OR(H1875="APPROVED",H1875="SCHEDULED"),COUNTIFS(tblSource[EventID],F1875,tblSource[ReleaseStatus],"APPROVED")=1,COUNTIFS(Period_Status!$A$2:$A$8,G1875,Period_Status!$B$2:$B$8,"ActualClosed")=1,C1875&gt;EOMONTH(Settlement_Bridge!$C$2,0)),1,0)</f>
        <v>1</v>
      </c>
      <c r="P1875" s="2" t="s">
        <v>5324</v>
      </c>
    </row>
    <row r="1876" spans="1:16" x14ac:dyDescent="0.25">
      <c r="A1876" s="2" t="s">
        <v>5325</v>
      </c>
      <c r="B1876" s="2" t="s">
        <v>199</v>
      </c>
      <c r="C1876" s="8">
        <v>46228</v>
      </c>
      <c r="D1876" s="6">
        <v>46204</v>
      </c>
      <c r="E1876" s="2" t="s">
        <v>260</v>
      </c>
      <c r="F1876" s="2" t="s">
        <v>5326</v>
      </c>
      <c r="G1876" s="6">
        <v>46204</v>
      </c>
      <c r="H1876" s="2" t="s">
        <v>71</v>
      </c>
      <c r="I1876" s="2" t="s">
        <v>70</v>
      </c>
      <c r="J1876" s="9">
        <v>2464.5957450000001</v>
      </c>
      <c r="K1876" s="7">
        <v>0.65800000000000003</v>
      </c>
      <c r="L1876" s="9">
        <v>1621.7</v>
      </c>
      <c r="M1876" s="9">
        <v>1621.7</v>
      </c>
      <c r="N1876" s="9">
        <v>1.8</v>
      </c>
      <c r="O1876" s="10">
        <f>IF(AND(OR(H1876="APPROVED",H1876="SCHEDULED"),COUNTIFS(tblSource[EventID],F1876,tblSource[ReleaseStatus],"APPROVED")=1,COUNTIFS(Period_Status!$A$2:$A$8,G1876,Period_Status!$B$2:$B$8,"ActualClosed")=1,C1876&gt;EOMONTH(Settlement_Bridge!$C$2,0)),1,0)</f>
        <v>0</v>
      </c>
      <c r="P1876" s="2" t="s">
        <v>5327</v>
      </c>
    </row>
    <row r="1877" spans="1:16" x14ac:dyDescent="0.25">
      <c r="A1877" s="2" t="s">
        <v>5328</v>
      </c>
      <c r="B1877" s="2" t="s">
        <v>199</v>
      </c>
      <c r="C1877" s="8">
        <v>46253</v>
      </c>
      <c r="D1877" s="6">
        <v>46235</v>
      </c>
      <c r="E1877" s="2" t="s">
        <v>260</v>
      </c>
      <c r="F1877" s="2" t="s">
        <v>5326</v>
      </c>
      <c r="G1877" s="6">
        <v>46204</v>
      </c>
      <c r="H1877" s="2" t="s">
        <v>71</v>
      </c>
      <c r="I1877" s="2" t="s">
        <v>70</v>
      </c>
      <c r="J1877" s="9">
        <v>3696.8936170000002</v>
      </c>
      <c r="K1877" s="7">
        <v>0.65</v>
      </c>
      <c r="L1877" s="9">
        <v>2402.98</v>
      </c>
      <c r="M1877" s="9">
        <v>2432.56</v>
      </c>
      <c r="N1877" s="9">
        <v>1.8</v>
      </c>
      <c r="O1877" s="10">
        <f>IF(AND(OR(H1877="APPROVED",H1877="SCHEDULED"),COUNTIFS(tblSource[EventID],F1877,tblSource[ReleaseStatus],"APPROVED")=1,COUNTIFS(Period_Status!$A$2:$A$8,G1877,Period_Status!$B$2:$B$8,"ActualClosed")=1,C1877&gt;EOMONTH(Settlement_Bridge!$C$2,0)),1,0)</f>
        <v>1</v>
      </c>
      <c r="P1877" s="2" t="s">
        <v>5329</v>
      </c>
    </row>
    <row r="1878" spans="1:16" x14ac:dyDescent="0.25">
      <c r="A1878" s="2" t="s">
        <v>5330</v>
      </c>
      <c r="B1878" s="2" t="s">
        <v>199</v>
      </c>
      <c r="C1878" s="8">
        <v>46229</v>
      </c>
      <c r="D1878" s="6">
        <v>46204</v>
      </c>
      <c r="E1878" s="2" t="s">
        <v>260</v>
      </c>
      <c r="F1878" s="2" t="s">
        <v>5331</v>
      </c>
      <c r="G1878" s="6">
        <v>46204</v>
      </c>
      <c r="H1878" s="2" t="s">
        <v>71</v>
      </c>
      <c r="I1878" s="2" t="s">
        <v>39</v>
      </c>
      <c r="J1878" s="9">
        <v>1690.9079999999999</v>
      </c>
      <c r="K1878" s="7">
        <v>1</v>
      </c>
      <c r="L1878" s="9">
        <v>1690.91</v>
      </c>
      <c r="M1878" s="9">
        <v>1690.91</v>
      </c>
      <c r="N1878" s="9">
        <v>1.8</v>
      </c>
      <c r="O1878" s="10">
        <f>IF(AND(OR(H1878="APPROVED",H1878="SCHEDULED"),COUNTIFS(tblSource[EventID],F1878,tblSource[ReleaseStatus],"APPROVED")=1,COUNTIFS(Period_Status!$A$2:$A$8,G1878,Period_Status!$B$2:$B$8,"ActualClosed")=1,C1878&gt;EOMONTH(Settlement_Bridge!$C$2,0)),1,0)</f>
        <v>0</v>
      </c>
      <c r="P1878" s="2" t="s">
        <v>5332</v>
      </c>
    </row>
    <row r="1879" spans="1:16" x14ac:dyDescent="0.25">
      <c r="A1879" s="2" t="s">
        <v>5333</v>
      </c>
      <c r="B1879" s="2" t="s">
        <v>199</v>
      </c>
      <c r="C1879" s="8">
        <v>46254</v>
      </c>
      <c r="D1879" s="6">
        <v>46235</v>
      </c>
      <c r="E1879" s="2" t="s">
        <v>260</v>
      </c>
      <c r="F1879" s="2" t="s">
        <v>5331</v>
      </c>
      <c r="G1879" s="6">
        <v>46204</v>
      </c>
      <c r="H1879" s="2" t="s">
        <v>71</v>
      </c>
      <c r="I1879" s="2" t="s">
        <v>39</v>
      </c>
      <c r="J1879" s="9">
        <v>2536.3620000000001</v>
      </c>
      <c r="K1879" s="7">
        <v>1</v>
      </c>
      <c r="L1879" s="9">
        <v>2536.36</v>
      </c>
      <c r="M1879" s="9">
        <v>2536.36</v>
      </c>
      <c r="N1879" s="9">
        <v>1.8</v>
      </c>
      <c r="O1879" s="10">
        <f>IF(AND(OR(H1879="APPROVED",H1879="SCHEDULED"),COUNTIFS(tblSource[EventID],F1879,tblSource[ReleaseStatus],"APPROVED")=1,COUNTIFS(Period_Status!$A$2:$A$8,G1879,Period_Status!$B$2:$B$8,"ActualClosed")=1,C1879&gt;EOMONTH(Settlement_Bridge!$C$2,0)),1,0)</f>
        <v>1</v>
      </c>
      <c r="P1879" s="2" t="s">
        <v>5334</v>
      </c>
    </row>
    <row r="1880" spans="1:16" x14ac:dyDescent="0.25">
      <c r="A1880" s="2" t="s">
        <v>5335</v>
      </c>
      <c r="B1880" s="2" t="s">
        <v>199</v>
      </c>
      <c r="C1880" s="8">
        <v>46240</v>
      </c>
      <c r="D1880" s="6">
        <v>46235</v>
      </c>
      <c r="E1880" s="2" t="s">
        <v>260</v>
      </c>
      <c r="F1880" s="2" t="s">
        <v>5336</v>
      </c>
      <c r="G1880" s="6">
        <v>46204</v>
      </c>
      <c r="H1880" s="2" t="s">
        <v>71</v>
      </c>
      <c r="I1880" s="2" t="s">
        <v>76</v>
      </c>
      <c r="J1880" s="9">
        <v>70972258.064515993</v>
      </c>
      <c r="K1880" s="7">
        <v>6.1500000000000004E-5</v>
      </c>
      <c r="L1880" s="9">
        <v>4364.79</v>
      </c>
      <c r="M1880" s="9">
        <v>4400.28</v>
      </c>
      <c r="N1880" s="9">
        <v>2.4</v>
      </c>
      <c r="O1880" s="10">
        <f>IF(AND(OR(H1880="APPROVED",H1880="SCHEDULED"),COUNTIFS(tblSource[EventID],F1880,tblSource[ReleaseStatus],"APPROVED")=1,COUNTIFS(Period_Status!$A$2:$A$8,G1880,Period_Status!$B$2:$B$8,"ActualClosed")=1,C1880&gt;EOMONTH(Settlement_Bridge!$C$2,0)),1,0)</f>
        <v>1</v>
      </c>
      <c r="P1880" s="2" t="s">
        <v>5337</v>
      </c>
    </row>
    <row r="1881" spans="1:16" x14ac:dyDescent="0.25">
      <c r="A1881" s="2" t="s">
        <v>5338</v>
      </c>
      <c r="B1881" s="2" t="s">
        <v>199</v>
      </c>
      <c r="C1881" s="8">
        <v>46241</v>
      </c>
      <c r="D1881" s="6">
        <v>46235</v>
      </c>
      <c r="E1881" s="2" t="s">
        <v>260</v>
      </c>
      <c r="F1881" s="2" t="s">
        <v>5339</v>
      </c>
      <c r="G1881" s="6">
        <v>46204</v>
      </c>
      <c r="H1881" s="2" t="s">
        <v>71</v>
      </c>
      <c r="I1881" s="2" t="s">
        <v>70</v>
      </c>
      <c r="J1881" s="9">
        <v>6950.2887540000002</v>
      </c>
      <c r="K1881" s="7">
        <v>0.65</v>
      </c>
      <c r="L1881" s="9">
        <v>4517.6899999999996</v>
      </c>
      <c r="M1881" s="9">
        <v>4573.29</v>
      </c>
      <c r="N1881" s="9">
        <v>2.48</v>
      </c>
      <c r="O1881" s="10">
        <f>IF(AND(OR(H1881="APPROVED",H1881="SCHEDULED"),COUNTIFS(tblSource[EventID],F1881,tblSource[ReleaseStatus],"APPROVED")=1,COUNTIFS(Period_Status!$A$2:$A$8,G1881,Period_Status!$B$2:$B$8,"ActualClosed")=1,C1881&gt;EOMONTH(Settlement_Bridge!$C$2,0)),1,0)</f>
        <v>1</v>
      </c>
      <c r="P1881" s="2" t="s">
        <v>5340</v>
      </c>
    </row>
    <row r="1882" spans="1:16" x14ac:dyDescent="0.25">
      <c r="A1882" s="2" t="s">
        <v>5341</v>
      </c>
      <c r="B1882" s="2" t="s">
        <v>199</v>
      </c>
      <c r="C1882" s="8">
        <v>46232</v>
      </c>
      <c r="D1882" s="6">
        <v>46204</v>
      </c>
      <c r="E1882" s="2" t="s">
        <v>260</v>
      </c>
      <c r="F1882" s="2" t="s">
        <v>5342</v>
      </c>
      <c r="G1882" s="6">
        <v>46204</v>
      </c>
      <c r="H1882" s="2" t="s">
        <v>71</v>
      </c>
      <c r="I1882" s="2" t="s">
        <v>39</v>
      </c>
      <c r="J1882" s="9">
        <v>1898.52</v>
      </c>
      <c r="K1882" s="7">
        <v>1</v>
      </c>
      <c r="L1882" s="9">
        <v>1898.52</v>
      </c>
      <c r="M1882" s="9">
        <v>1898.52</v>
      </c>
      <c r="N1882" s="9">
        <v>1.8</v>
      </c>
      <c r="O1882" s="10">
        <f>IF(AND(OR(H1882="APPROVED",H1882="SCHEDULED"),COUNTIFS(tblSource[EventID],F1882,tblSource[ReleaseStatus],"APPROVED")=1,COUNTIFS(Period_Status!$A$2:$A$8,G1882,Period_Status!$B$2:$B$8,"ActualClosed")=1,C1882&gt;EOMONTH(Settlement_Bridge!$C$2,0)),1,0)</f>
        <v>0</v>
      </c>
      <c r="P1882" s="2" t="s">
        <v>5343</v>
      </c>
    </row>
    <row r="1883" spans="1:16" x14ac:dyDescent="0.25">
      <c r="A1883" s="2" t="s">
        <v>5344</v>
      </c>
      <c r="B1883" s="2" t="s">
        <v>199</v>
      </c>
      <c r="C1883" s="8">
        <v>46257</v>
      </c>
      <c r="D1883" s="6">
        <v>46235</v>
      </c>
      <c r="E1883" s="2" t="s">
        <v>260</v>
      </c>
      <c r="F1883" s="2" t="s">
        <v>5342</v>
      </c>
      <c r="G1883" s="6">
        <v>46204</v>
      </c>
      <c r="H1883" s="2" t="s">
        <v>71</v>
      </c>
      <c r="I1883" s="2" t="s">
        <v>39</v>
      </c>
      <c r="J1883" s="9">
        <v>2847.78</v>
      </c>
      <c r="K1883" s="7">
        <v>1</v>
      </c>
      <c r="L1883" s="9">
        <v>2847.78</v>
      </c>
      <c r="M1883" s="9">
        <v>2847.78</v>
      </c>
      <c r="N1883" s="9">
        <v>1.8</v>
      </c>
      <c r="O1883" s="10">
        <f>IF(AND(OR(H1883="APPROVED",H1883="SCHEDULED"),COUNTIFS(tblSource[EventID],F1883,tblSource[ReleaseStatus],"APPROVED")=1,COUNTIFS(Period_Status!$A$2:$A$8,G1883,Period_Status!$B$2:$B$8,"ActualClosed")=1,C1883&gt;EOMONTH(Settlement_Bridge!$C$2,0)),1,0)</f>
        <v>1</v>
      </c>
      <c r="P1883" s="2" t="s">
        <v>5345</v>
      </c>
    </row>
    <row r="1884" spans="1:16" x14ac:dyDescent="0.25">
      <c r="A1884" s="2" t="s">
        <v>5346</v>
      </c>
      <c r="B1884" s="2" t="s">
        <v>199</v>
      </c>
      <c r="C1884" s="8">
        <v>46243</v>
      </c>
      <c r="D1884" s="6">
        <v>46235</v>
      </c>
      <c r="E1884" s="2" t="s">
        <v>260</v>
      </c>
      <c r="F1884" s="2" t="s">
        <v>5347</v>
      </c>
      <c r="G1884" s="6">
        <v>46204</v>
      </c>
      <c r="H1884" s="2" t="s">
        <v>71</v>
      </c>
      <c r="I1884" s="2" t="s">
        <v>76</v>
      </c>
      <c r="J1884" s="9">
        <v>79343709.677419007</v>
      </c>
      <c r="K1884" s="7">
        <v>6.1500000000000004E-5</v>
      </c>
      <c r="L1884" s="9">
        <v>4879.6400000000003</v>
      </c>
      <c r="M1884" s="9">
        <v>4919.3100000000004</v>
      </c>
      <c r="N1884" s="9">
        <v>2.68</v>
      </c>
      <c r="O1884" s="10">
        <f>IF(AND(OR(H1884="APPROVED",H1884="SCHEDULED"),COUNTIFS(tblSource[EventID],F1884,tblSource[ReleaseStatus],"APPROVED")=1,COUNTIFS(Period_Status!$A$2:$A$8,G1884,Period_Status!$B$2:$B$8,"ActualClosed")=1,C1884&gt;EOMONTH(Settlement_Bridge!$C$2,0)),1,0)</f>
        <v>1</v>
      </c>
      <c r="P1884" s="2" t="s">
        <v>5348</v>
      </c>
    </row>
    <row r="1885" spans="1:16" x14ac:dyDescent="0.25">
      <c r="A1885" s="2" t="s">
        <v>5349</v>
      </c>
      <c r="B1885" s="2" t="s">
        <v>199</v>
      </c>
      <c r="C1885" s="8">
        <v>46244</v>
      </c>
      <c r="D1885" s="6">
        <v>46235</v>
      </c>
      <c r="E1885" s="2" t="s">
        <v>260</v>
      </c>
      <c r="F1885" s="2" t="s">
        <v>5350</v>
      </c>
      <c r="G1885" s="6">
        <v>46204</v>
      </c>
      <c r="H1885" s="2" t="s">
        <v>71</v>
      </c>
      <c r="I1885" s="2" t="s">
        <v>70</v>
      </c>
      <c r="J1885" s="9">
        <v>7739.0881460000001</v>
      </c>
      <c r="K1885" s="7">
        <v>0.65</v>
      </c>
      <c r="L1885" s="9">
        <v>5030.41</v>
      </c>
      <c r="M1885" s="9">
        <v>5092.32</v>
      </c>
      <c r="N1885" s="9">
        <v>2.77</v>
      </c>
      <c r="O1885" s="10">
        <f>IF(AND(OR(H1885="APPROVED",H1885="SCHEDULED"),COUNTIFS(tblSource[EventID],F1885,tblSource[ReleaseStatus],"APPROVED")=1,COUNTIFS(Period_Status!$A$2:$A$8,G1885,Period_Status!$B$2:$B$8,"ActualClosed")=1,C1885&gt;EOMONTH(Settlement_Bridge!$C$2,0)),1,0)</f>
        <v>1</v>
      </c>
      <c r="P1885" s="2" t="s">
        <v>5351</v>
      </c>
    </row>
    <row r="1886" spans="1:16" x14ac:dyDescent="0.25">
      <c r="A1886" s="2" t="s">
        <v>5352</v>
      </c>
      <c r="B1886" s="2" t="s">
        <v>199</v>
      </c>
      <c r="C1886" s="8">
        <v>46245</v>
      </c>
      <c r="D1886" s="6">
        <v>46235</v>
      </c>
      <c r="E1886" s="2" t="s">
        <v>260</v>
      </c>
      <c r="F1886" s="2" t="s">
        <v>5353</v>
      </c>
      <c r="G1886" s="6">
        <v>46204</v>
      </c>
      <c r="H1886" s="2" t="s">
        <v>71</v>
      </c>
      <c r="I1886" s="2" t="s">
        <v>39</v>
      </c>
      <c r="J1886" s="9">
        <v>5265.33</v>
      </c>
      <c r="K1886" s="7">
        <v>1</v>
      </c>
      <c r="L1886" s="9">
        <v>5265.33</v>
      </c>
      <c r="M1886" s="9">
        <v>5265.33</v>
      </c>
      <c r="N1886" s="9">
        <v>2.9</v>
      </c>
      <c r="O1886" s="10">
        <f>IF(AND(OR(H1886="APPROVED",H1886="SCHEDULED"),COUNTIFS(tblSource[EventID],F1886,tblSource[ReleaseStatus],"APPROVED")=1,COUNTIFS(Period_Status!$A$2:$A$8,G1886,Period_Status!$B$2:$B$8,"ActualClosed")=1,C1886&gt;EOMONTH(Settlement_Bridge!$C$2,0)),1,0)</f>
        <v>1</v>
      </c>
      <c r="P1886" s="2" t="s">
        <v>5354</v>
      </c>
    </row>
    <row r="1887" spans="1:16" x14ac:dyDescent="0.25">
      <c r="A1887" s="2" t="s">
        <v>5355</v>
      </c>
      <c r="B1887" s="2" t="s">
        <v>199</v>
      </c>
      <c r="C1887" s="8">
        <v>46246</v>
      </c>
      <c r="D1887" s="6">
        <v>46235</v>
      </c>
      <c r="E1887" s="2" t="s">
        <v>260</v>
      </c>
      <c r="F1887" s="2" t="s">
        <v>5356</v>
      </c>
      <c r="G1887" s="6">
        <v>46204</v>
      </c>
      <c r="H1887" s="2" t="s">
        <v>71</v>
      </c>
      <c r="I1887" s="2" t="s">
        <v>76</v>
      </c>
      <c r="J1887" s="9">
        <v>87715161.290323004</v>
      </c>
      <c r="K1887" s="7">
        <v>6.1500000000000004E-5</v>
      </c>
      <c r="L1887" s="9">
        <v>5394.48</v>
      </c>
      <c r="M1887" s="9">
        <v>5438.34</v>
      </c>
      <c r="N1887" s="9">
        <v>2.97</v>
      </c>
      <c r="O1887" s="10">
        <f>IF(AND(OR(H1887="APPROVED",H1887="SCHEDULED"),COUNTIFS(tblSource[EventID],F1887,tblSource[ReleaseStatus],"APPROVED")=1,COUNTIFS(Period_Status!$A$2:$A$8,G1887,Period_Status!$B$2:$B$8,"ActualClosed")=1,C1887&gt;EOMONTH(Settlement_Bridge!$C$2,0)),1,0)</f>
        <v>1</v>
      </c>
      <c r="P1887" s="2" t="s">
        <v>5357</v>
      </c>
    </row>
    <row r="1888" spans="1:16" x14ac:dyDescent="0.25">
      <c r="A1888" s="2" t="s">
        <v>5358</v>
      </c>
      <c r="B1888" s="2" t="s">
        <v>199</v>
      </c>
      <c r="C1888" s="8">
        <v>46247</v>
      </c>
      <c r="D1888" s="6">
        <v>46235</v>
      </c>
      <c r="E1888" s="2" t="s">
        <v>260</v>
      </c>
      <c r="F1888" s="2" t="s">
        <v>5359</v>
      </c>
      <c r="G1888" s="6">
        <v>46204</v>
      </c>
      <c r="H1888" s="2" t="s">
        <v>71</v>
      </c>
      <c r="I1888" s="2" t="s">
        <v>70</v>
      </c>
      <c r="J1888" s="9">
        <v>8527.8875380000009</v>
      </c>
      <c r="K1888" s="7">
        <v>0.65</v>
      </c>
      <c r="L1888" s="9">
        <v>5543.13</v>
      </c>
      <c r="M1888" s="9">
        <v>5611.35</v>
      </c>
      <c r="N1888" s="9">
        <v>3.05</v>
      </c>
      <c r="O1888" s="10">
        <f>IF(AND(OR(H1888="APPROVED",H1888="SCHEDULED"),COUNTIFS(tblSource[EventID],F1888,tblSource[ReleaseStatus],"APPROVED")=1,COUNTIFS(Period_Status!$A$2:$A$8,G1888,Period_Status!$B$2:$B$8,"ActualClosed")=1,C1888&gt;EOMONTH(Settlement_Bridge!$C$2,0)),1,0)</f>
        <v>1</v>
      </c>
      <c r="P1888" s="2" t="s">
        <v>5360</v>
      </c>
    </row>
    <row r="1889" spans="1:16" x14ac:dyDescent="0.25">
      <c r="A1889" s="2" t="s">
        <v>5361</v>
      </c>
      <c r="B1889" s="2" t="s">
        <v>199</v>
      </c>
      <c r="C1889" s="8">
        <v>46238</v>
      </c>
      <c r="D1889" s="6">
        <v>46235</v>
      </c>
      <c r="E1889" s="2" t="s">
        <v>260</v>
      </c>
      <c r="F1889" s="2" t="s">
        <v>5362</v>
      </c>
      <c r="G1889" s="6">
        <v>46204</v>
      </c>
      <c r="H1889" s="2" t="s">
        <v>71</v>
      </c>
      <c r="I1889" s="2" t="s">
        <v>39</v>
      </c>
      <c r="J1889" s="9">
        <v>2313.7440000000001</v>
      </c>
      <c r="K1889" s="7">
        <v>1</v>
      </c>
      <c r="L1889" s="9">
        <v>2313.7399999999998</v>
      </c>
      <c r="M1889" s="9">
        <v>2313.7399999999998</v>
      </c>
      <c r="N1889" s="9">
        <v>1.8</v>
      </c>
      <c r="O1889" s="10">
        <f>IF(AND(OR(H1889="APPROVED",H1889="SCHEDULED"),COUNTIFS(tblSource[EventID],F1889,tblSource[ReleaseStatus],"APPROVED")=1,COUNTIFS(Period_Status!$A$2:$A$8,G1889,Period_Status!$B$2:$B$8,"ActualClosed")=1,C1889&gt;EOMONTH(Settlement_Bridge!$C$2,0)),1,0)</f>
        <v>1</v>
      </c>
      <c r="P1889" s="2" t="s">
        <v>5363</v>
      </c>
    </row>
    <row r="1890" spans="1:16" x14ac:dyDescent="0.25">
      <c r="A1890" s="2" t="s">
        <v>5364</v>
      </c>
      <c r="B1890" s="2" t="s">
        <v>199</v>
      </c>
      <c r="C1890" s="8">
        <v>46263</v>
      </c>
      <c r="D1890" s="6">
        <v>46235</v>
      </c>
      <c r="E1890" s="2" t="s">
        <v>260</v>
      </c>
      <c r="F1890" s="2" t="s">
        <v>5362</v>
      </c>
      <c r="G1890" s="6">
        <v>46204</v>
      </c>
      <c r="H1890" s="2" t="s">
        <v>71</v>
      </c>
      <c r="I1890" s="2" t="s">
        <v>39</v>
      </c>
      <c r="J1890" s="9">
        <v>3470.616</v>
      </c>
      <c r="K1890" s="7">
        <v>1</v>
      </c>
      <c r="L1890" s="9">
        <v>3470.62</v>
      </c>
      <c r="M1890" s="9">
        <v>3470.62</v>
      </c>
      <c r="N1890" s="9">
        <v>1.91</v>
      </c>
      <c r="O1890" s="10">
        <f>IF(AND(OR(H1890="APPROVED",H1890="SCHEDULED"),COUNTIFS(tblSource[EventID],F1890,tblSource[ReleaseStatus],"APPROVED")=1,COUNTIFS(Period_Status!$A$2:$A$8,G1890,Period_Status!$B$2:$B$8,"ActualClosed")=1,C1890&gt;EOMONTH(Settlement_Bridge!$C$2,0)),1,0)</f>
        <v>1</v>
      </c>
      <c r="P1890" s="2" t="s">
        <v>5365</v>
      </c>
    </row>
    <row r="1891" spans="1:16" x14ac:dyDescent="0.25">
      <c r="A1891" s="2" t="s">
        <v>5366</v>
      </c>
      <c r="B1891" s="2" t="s">
        <v>199</v>
      </c>
      <c r="C1891" s="8">
        <v>46239</v>
      </c>
      <c r="D1891" s="6">
        <v>46235</v>
      </c>
      <c r="E1891" s="2" t="s">
        <v>260</v>
      </c>
      <c r="F1891" s="2" t="s">
        <v>5367</v>
      </c>
      <c r="G1891" s="6">
        <v>46204</v>
      </c>
      <c r="H1891" s="2" t="s">
        <v>71</v>
      </c>
      <c r="I1891" s="2" t="s">
        <v>76</v>
      </c>
      <c r="J1891" s="9">
        <v>38434645.161289997</v>
      </c>
      <c r="K1891" s="7">
        <v>6.1500000000000004E-5</v>
      </c>
      <c r="L1891" s="9">
        <v>2363.73</v>
      </c>
      <c r="M1891" s="9">
        <v>2382.9499999999998</v>
      </c>
      <c r="N1891" s="9">
        <v>1.8</v>
      </c>
      <c r="O1891" s="10">
        <f>IF(AND(OR(H1891="APPROVED",H1891="SCHEDULED"),COUNTIFS(tblSource[EventID],F1891,tblSource[ReleaseStatus],"APPROVED")=1,COUNTIFS(Period_Status!$A$2:$A$8,G1891,Period_Status!$B$2:$B$8,"ActualClosed")=1,C1891&gt;EOMONTH(Settlement_Bridge!$C$2,0)),1,0)</f>
        <v>1</v>
      </c>
      <c r="P1891" s="2" t="s">
        <v>5368</v>
      </c>
    </row>
    <row r="1892" spans="1:16" x14ac:dyDescent="0.25">
      <c r="A1892" s="2" t="s">
        <v>5369</v>
      </c>
      <c r="B1892" s="2" t="s">
        <v>199</v>
      </c>
      <c r="C1892" s="8">
        <v>46264</v>
      </c>
      <c r="D1892" s="6">
        <v>46235</v>
      </c>
      <c r="E1892" s="2" t="s">
        <v>260</v>
      </c>
      <c r="F1892" s="2" t="s">
        <v>5367</v>
      </c>
      <c r="G1892" s="6">
        <v>46204</v>
      </c>
      <c r="H1892" s="2" t="s">
        <v>71</v>
      </c>
      <c r="I1892" s="2" t="s">
        <v>76</v>
      </c>
      <c r="J1892" s="9">
        <v>57651967.741935998</v>
      </c>
      <c r="K1892" s="7">
        <v>6.1500000000000004E-5</v>
      </c>
      <c r="L1892" s="9">
        <v>3545.6</v>
      </c>
      <c r="M1892" s="9">
        <v>3574.42</v>
      </c>
      <c r="N1892" s="9">
        <v>1.95</v>
      </c>
      <c r="O1892" s="10">
        <f>IF(AND(OR(H1892="APPROVED",H1892="SCHEDULED"),COUNTIFS(tblSource[EventID],F1892,tblSource[ReleaseStatus],"APPROVED")=1,COUNTIFS(Period_Status!$A$2:$A$8,G1892,Period_Status!$B$2:$B$8,"ActualClosed")=1,C1892&gt;EOMONTH(Settlement_Bridge!$C$2,0)),1,0)</f>
        <v>1</v>
      </c>
      <c r="P1892" s="2" t="s">
        <v>5370</v>
      </c>
    </row>
    <row r="1893" spans="1:16" x14ac:dyDescent="0.25">
      <c r="A1893" s="2" t="s">
        <v>5371</v>
      </c>
      <c r="B1893" s="2" t="s">
        <v>199</v>
      </c>
      <c r="C1893" s="8">
        <v>46250</v>
      </c>
      <c r="D1893" s="6">
        <v>46235</v>
      </c>
      <c r="E1893" s="2" t="s">
        <v>260</v>
      </c>
      <c r="F1893" s="2" t="s">
        <v>5372</v>
      </c>
      <c r="G1893" s="6">
        <v>46204</v>
      </c>
      <c r="H1893" s="2" t="s">
        <v>71</v>
      </c>
      <c r="I1893" s="2" t="s">
        <v>70</v>
      </c>
      <c r="J1893" s="9">
        <v>9316.6869299999998</v>
      </c>
      <c r="K1893" s="7">
        <v>0.65</v>
      </c>
      <c r="L1893" s="9">
        <v>6055.85</v>
      </c>
      <c r="M1893" s="9">
        <v>6130.38</v>
      </c>
      <c r="N1893" s="9">
        <v>3.33</v>
      </c>
      <c r="O1893" s="10">
        <f>IF(AND(OR(H1893="APPROVED",H1893="SCHEDULED"),COUNTIFS(tblSource[EventID],F1893,tblSource[ReleaseStatus],"APPROVED")=1,COUNTIFS(Period_Status!$A$2:$A$8,G1893,Period_Status!$B$2:$B$8,"ActualClosed")=1,C1893&gt;EOMONTH(Settlement_Bridge!$C$2,0)),1,0)</f>
        <v>1</v>
      </c>
      <c r="P1893" s="2" t="s">
        <v>5373</v>
      </c>
    </row>
    <row r="1894" spans="1:16" x14ac:dyDescent="0.25">
      <c r="A1894" s="2" t="s">
        <v>5374</v>
      </c>
      <c r="B1894" s="2" t="s">
        <v>199</v>
      </c>
      <c r="C1894" s="8">
        <v>46251</v>
      </c>
      <c r="D1894" s="6">
        <v>46235</v>
      </c>
      <c r="E1894" s="2" t="s">
        <v>260</v>
      </c>
      <c r="F1894" s="2" t="s">
        <v>5375</v>
      </c>
      <c r="G1894" s="6">
        <v>46204</v>
      </c>
      <c r="H1894" s="2" t="s">
        <v>71</v>
      </c>
      <c r="I1894" s="2" t="s">
        <v>39</v>
      </c>
      <c r="J1894" s="9">
        <v>6303.39</v>
      </c>
      <c r="K1894" s="7">
        <v>1</v>
      </c>
      <c r="L1894" s="9">
        <v>6303.39</v>
      </c>
      <c r="M1894" s="9">
        <v>6303.39</v>
      </c>
      <c r="N1894" s="9">
        <v>3.47</v>
      </c>
      <c r="O1894" s="10">
        <f>IF(AND(OR(H1894="APPROVED",H1894="SCHEDULED"),COUNTIFS(tblSource[EventID],F1894,tblSource[ReleaseStatus],"APPROVED")=1,COUNTIFS(Period_Status!$A$2:$A$8,G1894,Period_Status!$B$2:$B$8,"ActualClosed")=1,C1894&gt;EOMONTH(Settlement_Bridge!$C$2,0)),1,0)</f>
        <v>1</v>
      </c>
      <c r="P1894" s="2" t="s">
        <v>5376</v>
      </c>
    </row>
    <row r="1895" spans="1:16" x14ac:dyDescent="0.25">
      <c r="A1895" s="2" t="s">
        <v>5377</v>
      </c>
      <c r="B1895" s="2" t="s">
        <v>199</v>
      </c>
      <c r="C1895" s="8">
        <v>46242</v>
      </c>
      <c r="D1895" s="6">
        <v>46235</v>
      </c>
      <c r="E1895" s="2" t="s">
        <v>260</v>
      </c>
      <c r="F1895" s="2" t="s">
        <v>5378</v>
      </c>
      <c r="G1895" s="6">
        <v>46204</v>
      </c>
      <c r="H1895" s="2" t="s">
        <v>71</v>
      </c>
      <c r="I1895" s="2" t="s">
        <v>76</v>
      </c>
      <c r="J1895" s="9">
        <v>41783225.806451999</v>
      </c>
      <c r="K1895" s="7">
        <v>6.1500000000000004E-5</v>
      </c>
      <c r="L1895" s="9">
        <v>2569.67</v>
      </c>
      <c r="M1895" s="9">
        <v>2590.56</v>
      </c>
      <c r="N1895" s="9">
        <v>1.8</v>
      </c>
      <c r="O1895" s="10">
        <f>IF(AND(OR(H1895="APPROVED",H1895="SCHEDULED"),COUNTIFS(tblSource[EventID],F1895,tblSource[ReleaseStatus],"APPROVED")=1,COUNTIFS(Period_Status!$A$2:$A$8,G1895,Period_Status!$B$2:$B$8,"ActualClosed")=1,C1895&gt;EOMONTH(Settlement_Bridge!$C$2,0)),1,0)</f>
        <v>1</v>
      </c>
      <c r="P1895" s="2" t="s">
        <v>5379</v>
      </c>
    </row>
    <row r="1896" spans="1:16" x14ac:dyDescent="0.25">
      <c r="A1896" s="2" t="s">
        <v>5380</v>
      </c>
      <c r="B1896" s="2" t="s">
        <v>199</v>
      </c>
      <c r="C1896" s="8">
        <v>46267</v>
      </c>
      <c r="D1896" s="6">
        <v>46266</v>
      </c>
      <c r="E1896" s="2" t="s">
        <v>260</v>
      </c>
      <c r="F1896" s="2" t="s">
        <v>5378</v>
      </c>
      <c r="G1896" s="6">
        <v>46204</v>
      </c>
      <c r="H1896" s="2" t="s">
        <v>176</v>
      </c>
      <c r="I1896" s="2" t="s">
        <v>76</v>
      </c>
      <c r="J1896" s="9">
        <v>62674838.709677003</v>
      </c>
      <c r="K1896" s="7">
        <v>6.1299999999999999E-5</v>
      </c>
      <c r="L1896" s="9">
        <v>3841.97</v>
      </c>
      <c r="M1896" s="9">
        <v>3885.84</v>
      </c>
      <c r="N1896" s="9">
        <v>2.11</v>
      </c>
      <c r="O1896" s="10">
        <f>IF(AND(OR(H1896="APPROVED",H1896="SCHEDULED"),COUNTIFS(tblSource[EventID],F1896,tblSource[ReleaseStatus],"APPROVED")=1,COUNTIFS(Period_Status!$A$2:$A$8,G1896,Period_Status!$B$2:$B$8,"ActualClosed")=1,C1896&gt;EOMONTH(Settlement_Bridge!$C$2,0)),1,0)</f>
        <v>1</v>
      </c>
      <c r="P1896" s="2" t="s">
        <v>5381</v>
      </c>
    </row>
    <row r="1897" spans="1:16" x14ac:dyDescent="0.25">
      <c r="A1897" s="2" t="s">
        <v>5382</v>
      </c>
      <c r="B1897" s="2" t="s">
        <v>199</v>
      </c>
      <c r="C1897" s="8">
        <v>46253</v>
      </c>
      <c r="D1897" s="6">
        <v>46235</v>
      </c>
      <c r="E1897" s="2" t="s">
        <v>260</v>
      </c>
      <c r="F1897" s="2" t="s">
        <v>5383</v>
      </c>
      <c r="G1897" s="6">
        <v>46204</v>
      </c>
      <c r="H1897" s="2" t="s">
        <v>71</v>
      </c>
      <c r="I1897" s="2" t="s">
        <v>70</v>
      </c>
      <c r="J1897" s="9">
        <v>10105.486322000001</v>
      </c>
      <c r="K1897" s="7">
        <v>0.65</v>
      </c>
      <c r="L1897" s="9">
        <v>6568.57</v>
      </c>
      <c r="M1897" s="9">
        <v>6649.41</v>
      </c>
      <c r="N1897" s="9">
        <v>3.61</v>
      </c>
      <c r="O1897" s="10">
        <f>IF(AND(OR(H1897="APPROVED",H1897="SCHEDULED"),COUNTIFS(tblSource[EventID],F1897,tblSource[ReleaseStatus],"APPROVED")=1,COUNTIFS(Period_Status!$A$2:$A$8,G1897,Period_Status!$B$2:$B$8,"ActualClosed")=1,C1897&gt;EOMONTH(Settlement_Bridge!$C$2,0)),1,0)</f>
        <v>1</v>
      </c>
      <c r="P1897" s="2" t="s">
        <v>5384</v>
      </c>
    </row>
    <row r="1898" spans="1:16" x14ac:dyDescent="0.25">
      <c r="A1898" s="2" t="s">
        <v>5385</v>
      </c>
      <c r="B1898" s="2" t="s">
        <v>199</v>
      </c>
      <c r="C1898" s="8">
        <v>46254</v>
      </c>
      <c r="D1898" s="6">
        <v>46235</v>
      </c>
      <c r="E1898" s="2" t="s">
        <v>260</v>
      </c>
      <c r="F1898" s="2" t="s">
        <v>5386</v>
      </c>
      <c r="G1898" s="6">
        <v>46204</v>
      </c>
      <c r="H1898" s="2" t="s">
        <v>71</v>
      </c>
      <c r="I1898" s="2" t="s">
        <v>39</v>
      </c>
      <c r="J1898" s="9">
        <v>6822.42</v>
      </c>
      <c r="K1898" s="7">
        <v>1</v>
      </c>
      <c r="L1898" s="9">
        <v>6822.42</v>
      </c>
      <c r="M1898" s="9">
        <v>6822.42</v>
      </c>
      <c r="N1898" s="9">
        <v>3.75</v>
      </c>
      <c r="O1898" s="10">
        <f>IF(AND(OR(H1898="APPROVED",H1898="SCHEDULED"),COUNTIFS(tblSource[EventID],F1898,tblSource[ReleaseStatus],"APPROVED")=1,COUNTIFS(Period_Status!$A$2:$A$8,G1898,Period_Status!$B$2:$B$8,"ActualClosed")=1,C1898&gt;EOMONTH(Settlement_Bridge!$C$2,0)),1,0)</f>
        <v>1</v>
      </c>
      <c r="P1898" s="2" t="s">
        <v>5387</v>
      </c>
    </row>
    <row r="1899" spans="1:16" x14ac:dyDescent="0.25">
      <c r="A1899" s="2" t="s">
        <v>5388</v>
      </c>
      <c r="B1899" s="2" t="s">
        <v>199</v>
      </c>
      <c r="C1899" s="8">
        <v>46255</v>
      </c>
      <c r="D1899" s="6">
        <v>46235</v>
      </c>
      <c r="E1899" s="2" t="s">
        <v>260</v>
      </c>
      <c r="F1899" s="2" t="s">
        <v>5389</v>
      </c>
      <c r="G1899" s="6">
        <v>46204</v>
      </c>
      <c r="H1899" s="2" t="s">
        <v>71</v>
      </c>
      <c r="I1899" s="2" t="s">
        <v>76</v>
      </c>
      <c r="J1899" s="9">
        <v>112829516.129032</v>
      </c>
      <c r="K1899" s="7">
        <v>6.1500000000000004E-5</v>
      </c>
      <c r="L1899" s="9">
        <v>6939.02</v>
      </c>
      <c r="M1899" s="9">
        <v>6995.43</v>
      </c>
      <c r="N1899" s="9">
        <v>3.82</v>
      </c>
      <c r="O1899" s="10">
        <f>IF(AND(OR(H1899="APPROVED",H1899="SCHEDULED"),COUNTIFS(tblSource[EventID],F1899,tblSource[ReleaseStatus],"APPROVED")=1,COUNTIFS(Period_Status!$A$2:$A$8,G1899,Period_Status!$B$2:$B$8,"ActualClosed")=1,C1899&gt;EOMONTH(Settlement_Bridge!$C$2,0)),1,0)</f>
        <v>1</v>
      </c>
      <c r="P1899" s="2" t="s">
        <v>5390</v>
      </c>
    </row>
    <row r="1900" spans="1:16" x14ac:dyDescent="0.25">
      <c r="A1900" s="2" t="s">
        <v>5391</v>
      </c>
      <c r="B1900" s="2" t="s">
        <v>199</v>
      </c>
      <c r="C1900" s="8">
        <v>46256</v>
      </c>
      <c r="D1900" s="6">
        <v>46235</v>
      </c>
      <c r="E1900" s="2" t="s">
        <v>260</v>
      </c>
      <c r="F1900" s="2" t="s">
        <v>5392</v>
      </c>
      <c r="G1900" s="6">
        <v>46204</v>
      </c>
      <c r="H1900" s="2" t="s">
        <v>71</v>
      </c>
      <c r="I1900" s="2" t="s">
        <v>70</v>
      </c>
      <c r="J1900" s="9">
        <v>10894.285714</v>
      </c>
      <c r="K1900" s="7">
        <v>0.65</v>
      </c>
      <c r="L1900" s="9">
        <v>7081.29</v>
      </c>
      <c r="M1900" s="9">
        <v>7168.44</v>
      </c>
      <c r="N1900" s="9">
        <v>3.89</v>
      </c>
      <c r="O1900" s="10">
        <f>IF(AND(OR(H1900="APPROVED",H1900="SCHEDULED"),COUNTIFS(tblSource[EventID],F1900,tblSource[ReleaseStatus],"APPROVED")=1,COUNTIFS(Period_Status!$A$2:$A$8,G1900,Period_Status!$B$2:$B$8,"ActualClosed")=1,C1900&gt;EOMONTH(Settlement_Bridge!$C$2,0)),1,0)</f>
        <v>1</v>
      </c>
      <c r="P1900" s="2" t="s">
        <v>5393</v>
      </c>
    </row>
    <row r="1901" spans="1:16" x14ac:dyDescent="0.25">
      <c r="A1901" s="2" t="s">
        <v>5394</v>
      </c>
      <c r="B1901" s="2" t="s">
        <v>199</v>
      </c>
      <c r="C1901" s="8">
        <v>46257</v>
      </c>
      <c r="D1901" s="6">
        <v>46235</v>
      </c>
      <c r="E1901" s="2" t="s">
        <v>260</v>
      </c>
      <c r="F1901" s="2" t="s">
        <v>5395</v>
      </c>
      <c r="G1901" s="6">
        <v>46204</v>
      </c>
      <c r="H1901" s="2" t="s">
        <v>71</v>
      </c>
      <c r="I1901" s="2" t="s">
        <v>39</v>
      </c>
      <c r="J1901" s="9">
        <v>7341.45</v>
      </c>
      <c r="K1901" s="7">
        <v>1</v>
      </c>
      <c r="L1901" s="9">
        <v>7341.45</v>
      </c>
      <c r="M1901" s="9">
        <v>7341.45</v>
      </c>
      <c r="N1901" s="9">
        <v>4.04</v>
      </c>
      <c r="O1901" s="10">
        <f>IF(AND(OR(H1901="APPROVED",H1901="SCHEDULED"),COUNTIFS(tblSource[EventID],F1901,tblSource[ReleaseStatus],"APPROVED")=1,COUNTIFS(Period_Status!$A$2:$A$8,G1901,Period_Status!$B$2:$B$8,"ActualClosed")=1,C1901&gt;EOMONTH(Settlement_Bridge!$C$2,0)),1,0)</f>
        <v>1</v>
      </c>
      <c r="P1901" s="2" t="s">
        <v>5396</v>
      </c>
    </row>
    <row r="1902" spans="1:16" x14ac:dyDescent="0.25">
      <c r="A1902" s="2" t="s">
        <v>5397</v>
      </c>
      <c r="B1902" s="2" t="s">
        <v>199</v>
      </c>
      <c r="C1902" s="8">
        <v>46248</v>
      </c>
      <c r="D1902" s="6">
        <v>46235</v>
      </c>
      <c r="E1902" s="2" t="s">
        <v>260</v>
      </c>
      <c r="F1902" s="2" t="s">
        <v>5398</v>
      </c>
      <c r="G1902" s="6">
        <v>46204</v>
      </c>
      <c r="H1902" s="2" t="s">
        <v>71</v>
      </c>
      <c r="I1902" s="2" t="s">
        <v>76</v>
      </c>
      <c r="J1902" s="9">
        <v>48480387.096773997</v>
      </c>
      <c r="K1902" s="7">
        <v>6.1500000000000004E-5</v>
      </c>
      <c r="L1902" s="9">
        <v>2981.54</v>
      </c>
      <c r="M1902" s="9">
        <v>3005.78</v>
      </c>
      <c r="N1902" s="9">
        <v>1.8</v>
      </c>
      <c r="O1902" s="10">
        <f>IF(AND(OR(H1902="APPROVED",H1902="SCHEDULED"),COUNTIFS(tblSource[EventID],F1902,tblSource[ReleaseStatus],"APPROVED")=1,COUNTIFS(Period_Status!$A$2:$A$8,G1902,Period_Status!$B$2:$B$8,"ActualClosed")=1,C1902&gt;EOMONTH(Settlement_Bridge!$C$2,0)),1,0)</f>
        <v>1</v>
      </c>
      <c r="P1902" s="2" t="s">
        <v>5399</v>
      </c>
    </row>
    <row r="1903" spans="1:16" x14ac:dyDescent="0.25">
      <c r="A1903" s="2" t="s">
        <v>5400</v>
      </c>
      <c r="B1903" s="2" t="s">
        <v>199</v>
      </c>
      <c r="C1903" s="8">
        <v>46273</v>
      </c>
      <c r="D1903" s="6">
        <v>46266</v>
      </c>
      <c r="E1903" s="2" t="s">
        <v>260</v>
      </c>
      <c r="F1903" s="2" t="s">
        <v>5398</v>
      </c>
      <c r="G1903" s="6">
        <v>46204</v>
      </c>
      <c r="H1903" s="2" t="s">
        <v>176</v>
      </c>
      <c r="I1903" s="2" t="s">
        <v>76</v>
      </c>
      <c r="J1903" s="9">
        <v>72720580.645161003</v>
      </c>
      <c r="K1903" s="7">
        <v>6.1299999999999999E-5</v>
      </c>
      <c r="L1903" s="9">
        <v>4457.7700000000004</v>
      </c>
      <c r="M1903" s="9">
        <v>4508.68</v>
      </c>
      <c r="N1903" s="9">
        <v>2.4500000000000002</v>
      </c>
      <c r="O1903" s="10">
        <f>IF(AND(OR(H1903="APPROVED",H1903="SCHEDULED"),COUNTIFS(tblSource[EventID],F1903,tblSource[ReleaseStatus],"APPROVED")=1,COUNTIFS(Period_Status!$A$2:$A$8,G1903,Period_Status!$B$2:$B$8,"ActualClosed")=1,C1903&gt;EOMONTH(Settlement_Bridge!$C$2,0)),1,0)</f>
        <v>1</v>
      </c>
      <c r="P1903" s="2" t="s">
        <v>5401</v>
      </c>
    </row>
    <row r="1904" spans="1:16" x14ac:dyDescent="0.25">
      <c r="A1904" s="2" t="s">
        <v>5402</v>
      </c>
      <c r="B1904" s="2" t="s">
        <v>199</v>
      </c>
      <c r="C1904" s="8">
        <v>46218</v>
      </c>
      <c r="D1904" s="6">
        <v>46204</v>
      </c>
      <c r="E1904" s="2" t="s">
        <v>260</v>
      </c>
      <c r="F1904" s="2" t="s">
        <v>5403</v>
      </c>
      <c r="G1904" s="6">
        <v>46204</v>
      </c>
      <c r="H1904" s="2" t="s">
        <v>71</v>
      </c>
      <c r="I1904" s="2" t="s">
        <v>70</v>
      </c>
      <c r="J1904" s="9">
        <v>4673.234042</v>
      </c>
      <c r="K1904" s="7">
        <v>0.65800000000000003</v>
      </c>
      <c r="L1904" s="9">
        <v>3074.99</v>
      </c>
      <c r="M1904" s="9">
        <v>3074.99</v>
      </c>
      <c r="N1904" s="9">
        <v>1.8</v>
      </c>
      <c r="O1904" s="10">
        <f>IF(AND(OR(H1904="APPROVED",H1904="SCHEDULED"),COUNTIFS(tblSource[EventID],F1904,tblSource[ReleaseStatus],"APPROVED")=1,COUNTIFS(Period_Status!$A$2:$A$8,G1904,Period_Status!$B$2:$B$8,"ActualClosed")=1,C1904&gt;EOMONTH(Settlement_Bridge!$C$2,0)),1,0)</f>
        <v>0</v>
      </c>
      <c r="P1904" s="2" t="s">
        <v>5404</v>
      </c>
    </row>
    <row r="1905" spans="1:16" x14ac:dyDescent="0.25">
      <c r="A1905" s="2" t="s">
        <v>5405</v>
      </c>
      <c r="B1905" s="2" t="s">
        <v>199</v>
      </c>
      <c r="C1905" s="8">
        <v>46243</v>
      </c>
      <c r="D1905" s="6">
        <v>46235</v>
      </c>
      <c r="E1905" s="2" t="s">
        <v>260</v>
      </c>
      <c r="F1905" s="2" t="s">
        <v>5403</v>
      </c>
      <c r="G1905" s="6">
        <v>46204</v>
      </c>
      <c r="H1905" s="2" t="s">
        <v>71</v>
      </c>
      <c r="I1905" s="2" t="s">
        <v>70</v>
      </c>
      <c r="J1905" s="9">
        <v>7009.8510640000004</v>
      </c>
      <c r="K1905" s="7">
        <v>0.65</v>
      </c>
      <c r="L1905" s="9">
        <v>4556.3999999999996</v>
      </c>
      <c r="M1905" s="9">
        <v>4612.4799999999996</v>
      </c>
      <c r="N1905" s="9">
        <v>2.5099999999999998</v>
      </c>
      <c r="O1905" s="10">
        <f>IF(AND(OR(H1905="APPROVED",H1905="SCHEDULED"),COUNTIFS(tblSource[EventID],F1905,tblSource[ReleaseStatus],"APPROVED")=1,COUNTIFS(Period_Status!$A$2:$A$8,G1905,Period_Status!$B$2:$B$8,"ActualClosed")=1,C1905&gt;EOMONTH(Settlement_Bridge!$C$2,0)),1,0)</f>
        <v>1</v>
      </c>
      <c r="P1905" s="2" t="s">
        <v>5406</v>
      </c>
    </row>
    <row r="1906" spans="1:16" x14ac:dyDescent="0.25">
      <c r="A1906" s="2" t="s">
        <v>5407</v>
      </c>
      <c r="B1906" s="2" t="s">
        <v>199</v>
      </c>
      <c r="C1906" s="8">
        <v>46229</v>
      </c>
      <c r="D1906" s="6">
        <v>46204</v>
      </c>
      <c r="E1906" s="2" t="s">
        <v>260</v>
      </c>
      <c r="F1906" s="2" t="s">
        <v>5408</v>
      </c>
      <c r="G1906" s="6">
        <v>46204</v>
      </c>
      <c r="H1906" s="2" t="s">
        <v>71</v>
      </c>
      <c r="I1906" s="2" t="s">
        <v>39</v>
      </c>
      <c r="J1906" s="9">
        <v>7860.48</v>
      </c>
      <c r="K1906" s="7">
        <v>1</v>
      </c>
      <c r="L1906" s="9">
        <v>7860.48</v>
      </c>
      <c r="M1906" s="9">
        <v>7860.48</v>
      </c>
      <c r="N1906" s="9">
        <v>4.32</v>
      </c>
      <c r="O1906" s="10">
        <f>IF(AND(OR(H1906="APPROVED",H1906="SCHEDULED"),COUNTIFS(tblSource[EventID],F1906,tblSource[ReleaseStatus],"APPROVED")=1,COUNTIFS(Period_Status!$A$2:$A$8,G1906,Period_Status!$B$2:$B$8,"ActualClosed")=1,C1906&gt;EOMONTH(Settlement_Bridge!$C$2,0)),1,0)</f>
        <v>0</v>
      </c>
      <c r="P1906" s="2" t="s">
        <v>5409</v>
      </c>
    </row>
    <row r="1907" spans="1:16" x14ac:dyDescent="0.25">
      <c r="A1907" s="2" t="s">
        <v>5410</v>
      </c>
      <c r="B1907" s="2" t="s">
        <v>199</v>
      </c>
      <c r="C1907" s="8">
        <v>46230</v>
      </c>
      <c r="D1907" s="6">
        <v>46204</v>
      </c>
      <c r="E1907" s="2" t="s">
        <v>260</v>
      </c>
      <c r="F1907" s="2" t="s">
        <v>5411</v>
      </c>
      <c r="G1907" s="6">
        <v>46204</v>
      </c>
      <c r="H1907" s="2" t="s">
        <v>71</v>
      </c>
      <c r="I1907" s="2" t="s">
        <v>76</v>
      </c>
      <c r="J1907" s="9">
        <v>129572419.354839</v>
      </c>
      <c r="K1907" s="7">
        <v>6.2000000000000003E-5</v>
      </c>
      <c r="L1907" s="9">
        <v>8033.49</v>
      </c>
      <c r="M1907" s="9">
        <v>8033.49</v>
      </c>
      <c r="N1907" s="9">
        <v>4.42</v>
      </c>
      <c r="O1907" s="10">
        <f>IF(AND(OR(H1907="APPROVED",H1907="SCHEDULED"),COUNTIFS(tblSource[EventID],F1907,tblSource[ReleaseStatus],"APPROVED")=1,COUNTIFS(Period_Status!$A$2:$A$8,G1907,Period_Status!$B$2:$B$8,"ActualClosed")=1,C1907&gt;EOMONTH(Settlement_Bridge!$C$2,0)),1,0)</f>
        <v>0</v>
      </c>
      <c r="P1907" s="2" t="s">
        <v>5412</v>
      </c>
    </row>
    <row r="1908" spans="1:16" x14ac:dyDescent="0.25">
      <c r="A1908" s="2" t="s">
        <v>5413</v>
      </c>
      <c r="B1908" s="2" t="s">
        <v>199</v>
      </c>
      <c r="C1908" s="8">
        <v>46221</v>
      </c>
      <c r="D1908" s="6">
        <v>46204</v>
      </c>
      <c r="E1908" s="2" t="s">
        <v>260</v>
      </c>
      <c r="F1908" s="2" t="s">
        <v>5414</v>
      </c>
      <c r="G1908" s="6">
        <v>46204</v>
      </c>
      <c r="H1908" s="2" t="s">
        <v>71</v>
      </c>
      <c r="I1908" s="2" t="s">
        <v>70</v>
      </c>
      <c r="J1908" s="9">
        <v>4988.7537990000001</v>
      </c>
      <c r="K1908" s="7">
        <v>0.65800000000000003</v>
      </c>
      <c r="L1908" s="9">
        <v>3282.6</v>
      </c>
      <c r="M1908" s="9">
        <v>3282.6</v>
      </c>
      <c r="N1908" s="9">
        <v>1.81</v>
      </c>
      <c r="O1908" s="10">
        <f>IF(AND(OR(H1908="APPROVED",H1908="SCHEDULED"),COUNTIFS(tblSource[EventID],F1908,tblSource[ReleaseStatus],"APPROVED")=1,COUNTIFS(Period_Status!$A$2:$A$8,G1908,Period_Status!$B$2:$B$8,"ActualClosed")=1,C1908&gt;EOMONTH(Settlement_Bridge!$C$2,0)),1,0)</f>
        <v>0</v>
      </c>
      <c r="P1908" s="2" t="s">
        <v>5415</v>
      </c>
    </row>
    <row r="1909" spans="1:16" x14ac:dyDescent="0.25">
      <c r="A1909" s="2" t="s">
        <v>5416</v>
      </c>
      <c r="B1909" s="2" t="s">
        <v>199</v>
      </c>
      <c r="C1909" s="8">
        <v>46246</v>
      </c>
      <c r="D1909" s="6">
        <v>46235</v>
      </c>
      <c r="E1909" s="2" t="s">
        <v>260</v>
      </c>
      <c r="F1909" s="2" t="s">
        <v>5414</v>
      </c>
      <c r="G1909" s="6">
        <v>46204</v>
      </c>
      <c r="H1909" s="2" t="s">
        <v>71</v>
      </c>
      <c r="I1909" s="2" t="s">
        <v>70</v>
      </c>
      <c r="J1909" s="9">
        <v>7483.1306990000003</v>
      </c>
      <c r="K1909" s="7">
        <v>0.65</v>
      </c>
      <c r="L1909" s="9">
        <v>4864.03</v>
      </c>
      <c r="M1909" s="9">
        <v>4923.8999999999996</v>
      </c>
      <c r="N1909" s="9">
        <v>2.68</v>
      </c>
      <c r="O1909" s="10">
        <f>IF(AND(OR(H1909="APPROVED",H1909="SCHEDULED"),COUNTIFS(tblSource[EventID],F1909,tblSource[ReleaseStatus],"APPROVED")=1,COUNTIFS(Period_Status!$A$2:$A$8,G1909,Period_Status!$B$2:$B$8,"ActualClosed")=1,C1909&gt;EOMONTH(Settlement_Bridge!$C$2,0)),1,0)</f>
        <v>1</v>
      </c>
      <c r="P1909" s="2" t="s">
        <v>5417</v>
      </c>
    </row>
    <row r="1910" spans="1:16" x14ac:dyDescent="0.25">
      <c r="A1910" s="2" t="s">
        <v>5418</v>
      </c>
      <c r="B1910" s="2" t="s">
        <v>199</v>
      </c>
      <c r="C1910" s="8">
        <v>46232</v>
      </c>
      <c r="D1910" s="6">
        <v>46204</v>
      </c>
      <c r="E1910" s="2" t="s">
        <v>260</v>
      </c>
      <c r="F1910" s="2" t="s">
        <v>5419</v>
      </c>
      <c r="G1910" s="6">
        <v>46204</v>
      </c>
      <c r="H1910" s="2" t="s">
        <v>71</v>
      </c>
      <c r="I1910" s="2" t="s">
        <v>39</v>
      </c>
      <c r="J1910" s="9">
        <v>8379.51</v>
      </c>
      <c r="K1910" s="7">
        <v>1</v>
      </c>
      <c r="L1910" s="9">
        <v>8379.51</v>
      </c>
      <c r="M1910" s="9">
        <v>8379.51</v>
      </c>
      <c r="N1910" s="9">
        <v>4.6100000000000003</v>
      </c>
      <c r="O1910" s="10">
        <f>IF(AND(OR(H1910="APPROVED",H1910="SCHEDULED"),COUNTIFS(tblSource[EventID],F1910,tblSource[ReleaseStatus],"APPROVED")=1,COUNTIFS(Period_Status!$A$2:$A$8,G1910,Period_Status!$B$2:$B$8,"ActualClosed")=1,C1910&gt;EOMONTH(Settlement_Bridge!$C$2,0)),1,0)</f>
        <v>0</v>
      </c>
      <c r="P1910" s="2" t="s">
        <v>5420</v>
      </c>
    </row>
    <row r="1911" spans="1:16" x14ac:dyDescent="0.25">
      <c r="A1911" s="2" t="s">
        <v>5421</v>
      </c>
      <c r="B1911" s="2" t="s">
        <v>199</v>
      </c>
      <c r="C1911" s="8">
        <v>46233</v>
      </c>
      <c r="D1911" s="6">
        <v>46204</v>
      </c>
      <c r="E1911" s="2" t="s">
        <v>260</v>
      </c>
      <c r="F1911" s="2" t="s">
        <v>5422</v>
      </c>
      <c r="G1911" s="6">
        <v>46204</v>
      </c>
      <c r="H1911" s="2" t="s">
        <v>71</v>
      </c>
      <c r="I1911" s="2" t="s">
        <v>76</v>
      </c>
      <c r="J1911" s="9">
        <v>137943870.967742</v>
      </c>
      <c r="K1911" s="7">
        <v>6.2000000000000003E-5</v>
      </c>
      <c r="L1911" s="9">
        <v>8552.52</v>
      </c>
      <c r="M1911" s="9">
        <v>8552.52</v>
      </c>
      <c r="N1911" s="9">
        <v>4.7</v>
      </c>
      <c r="O1911" s="10">
        <f>IF(AND(OR(H1911="APPROVED",H1911="SCHEDULED"),COUNTIFS(tblSource[EventID],F1911,tblSource[ReleaseStatus],"APPROVED")=1,COUNTIFS(Period_Status!$A$2:$A$8,G1911,Period_Status!$B$2:$B$8,"ActualClosed")=1,C1911&gt;EOMONTH(Settlement_Bridge!$C$2,0)),1,0)</f>
        <v>0</v>
      </c>
      <c r="P1911" s="2" t="s">
        <v>5423</v>
      </c>
    </row>
    <row r="1912" spans="1:16" x14ac:dyDescent="0.25">
      <c r="A1912" s="2" t="s">
        <v>5424</v>
      </c>
      <c r="B1912" s="2" t="s">
        <v>199</v>
      </c>
      <c r="C1912" s="8">
        <v>46234</v>
      </c>
      <c r="D1912" s="6">
        <v>46204</v>
      </c>
      <c r="E1912" s="2" t="s">
        <v>260</v>
      </c>
      <c r="F1912" s="2" t="s">
        <v>5425</v>
      </c>
      <c r="G1912" s="6">
        <v>46204</v>
      </c>
      <c r="H1912" s="2" t="s">
        <v>71</v>
      </c>
      <c r="I1912" s="2" t="s">
        <v>70</v>
      </c>
      <c r="J1912" s="9">
        <v>13260.683891000001</v>
      </c>
      <c r="K1912" s="7">
        <v>0.65800000000000003</v>
      </c>
      <c r="L1912" s="9">
        <v>8725.5300000000007</v>
      </c>
      <c r="M1912" s="9">
        <v>8725.5300000000007</v>
      </c>
      <c r="N1912" s="9">
        <v>4.8</v>
      </c>
      <c r="O1912" s="10">
        <f>IF(AND(OR(H1912="APPROVED",H1912="SCHEDULED"),COUNTIFS(tblSource[EventID],F1912,tblSource[ReleaseStatus],"APPROVED")=1,COUNTIFS(Period_Status!$A$2:$A$8,G1912,Period_Status!$B$2:$B$8,"ActualClosed")=1,C1912&gt;EOMONTH(Settlement_Bridge!$C$2,0)),1,0)</f>
        <v>0</v>
      </c>
      <c r="P1912" s="2" t="s">
        <v>5426</v>
      </c>
    </row>
    <row r="1913" spans="1:16" x14ac:dyDescent="0.25">
      <c r="A1913" s="2" t="s">
        <v>5427</v>
      </c>
      <c r="B1913" s="2" t="s">
        <v>199</v>
      </c>
      <c r="C1913" s="8">
        <v>46235</v>
      </c>
      <c r="D1913" s="6">
        <v>46235</v>
      </c>
      <c r="E1913" s="2" t="s">
        <v>260</v>
      </c>
      <c r="F1913" s="2" t="s">
        <v>5428</v>
      </c>
      <c r="G1913" s="6">
        <v>46204</v>
      </c>
      <c r="H1913" s="2" t="s">
        <v>71</v>
      </c>
      <c r="I1913" s="2" t="s">
        <v>39</v>
      </c>
      <c r="J1913" s="9">
        <v>8898.5400000000009</v>
      </c>
      <c r="K1913" s="7">
        <v>1</v>
      </c>
      <c r="L1913" s="9">
        <v>8898.5400000000009</v>
      </c>
      <c r="M1913" s="9">
        <v>8898.5400000000009</v>
      </c>
      <c r="N1913" s="9">
        <v>4.8899999999999997</v>
      </c>
      <c r="O1913" s="10">
        <f>IF(AND(OR(H1913="APPROVED",H1913="SCHEDULED"),COUNTIFS(tblSource[EventID],F1913,tblSource[ReleaseStatus],"APPROVED")=1,COUNTIFS(Period_Status!$A$2:$A$8,G1913,Period_Status!$B$2:$B$8,"ActualClosed")=1,C1913&gt;EOMONTH(Settlement_Bridge!$C$2,0)),1,0)</f>
        <v>1</v>
      </c>
      <c r="P1913" s="2" t="s">
        <v>5429</v>
      </c>
    </row>
    <row r="1914" spans="1:16" x14ac:dyDescent="0.25">
      <c r="A1914" s="2" t="s">
        <v>5430</v>
      </c>
      <c r="B1914" s="2" t="s">
        <v>199</v>
      </c>
      <c r="C1914" s="8">
        <v>46236</v>
      </c>
      <c r="D1914" s="6">
        <v>46235</v>
      </c>
      <c r="E1914" s="2" t="s">
        <v>260</v>
      </c>
      <c r="F1914" s="2" t="s">
        <v>5431</v>
      </c>
      <c r="G1914" s="6">
        <v>46204</v>
      </c>
      <c r="H1914" s="2" t="s">
        <v>71</v>
      </c>
      <c r="I1914" s="2" t="s">
        <v>76</v>
      </c>
      <c r="J1914" s="9">
        <v>146315322.58064499</v>
      </c>
      <c r="K1914" s="7">
        <v>6.1500000000000004E-5</v>
      </c>
      <c r="L1914" s="9">
        <v>8998.39</v>
      </c>
      <c r="M1914" s="9">
        <v>9071.5499999999993</v>
      </c>
      <c r="N1914" s="9">
        <v>4.95</v>
      </c>
      <c r="O1914" s="10">
        <f>IF(AND(OR(H1914="APPROVED",H1914="SCHEDULED"),COUNTIFS(tblSource[EventID],F1914,tblSource[ReleaseStatus],"APPROVED")=1,COUNTIFS(Period_Status!$A$2:$A$8,G1914,Period_Status!$B$2:$B$8,"ActualClosed")=1,C1914&gt;EOMONTH(Settlement_Bridge!$C$2,0)),1,0)</f>
        <v>1</v>
      </c>
      <c r="P1914" s="2" t="s">
        <v>5432</v>
      </c>
    </row>
    <row r="1915" spans="1:16" x14ac:dyDescent="0.25">
      <c r="A1915" s="2" t="s">
        <v>5433</v>
      </c>
      <c r="B1915" s="2" t="s">
        <v>199</v>
      </c>
      <c r="C1915" s="8">
        <v>46227</v>
      </c>
      <c r="D1915" s="6">
        <v>46204</v>
      </c>
      <c r="E1915" s="2" t="s">
        <v>260</v>
      </c>
      <c r="F1915" s="2" t="s">
        <v>5434</v>
      </c>
      <c r="G1915" s="6">
        <v>46204</v>
      </c>
      <c r="H1915" s="2" t="s">
        <v>71</v>
      </c>
      <c r="I1915" s="2" t="s">
        <v>70</v>
      </c>
      <c r="J1915" s="9">
        <v>5619.7933130000001</v>
      </c>
      <c r="K1915" s="7">
        <v>0.65800000000000003</v>
      </c>
      <c r="L1915" s="9">
        <v>3697.82</v>
      </c>
      <c r="M1915" s="9">
        <v>3697.82</v>
      </c>
      <c r="N1915" s="9">
        <v>2.0299999999999998</v>
      </c>
      <c r="O1915" s="10">
        <f>IF(AND(OR(H1915="APPROVED",H1915="SCHEDULED"),COUNTIFS(tblSource[EventID],F1915,tblSource[ReleaseStatus],"APPROVED")=1,COUNTIFS(Period_Status!$A$2:$A$8,G1915,Period_Status!$B$2:$B$8,"ActualClosed")=1,C1915&gt;EOMONTH(Settlement_Bridge!$C$2,0)),1,0)</f>
        <v>0</v>
      </c>
      <c r="P1915" s="2" t="s">
        <v>5435</v>
      </c>
    </row>
    <row r="1916" spans="1:16" x14ac:dyDescent="0.25">
      <c r="A1916" s="2" t="s">
        <v>5436</v>
      </c>
      <c r="B1916" s="2" t="s">
        <v>199</v>
      </c>
      <c r="C1916" s="8">
        <v>46252</v>
      </c>
      <c r="D1916" s="6">
        <v>46235</v>
      </c>
      <c r="E1916" s="2" t="s">
        <v>260</v>
      </c>
      <c r="F1916" s="2" t="s">
        <v>5434</v>
      </c>
      <c r="G1916" s="6">
        <v>46204</v>
      </c>
      <c r="H1916" s="2" t="s">
        <v>71</v>
      </c>
      <c r="I1916" s="2" t="s">
        <v>70</v>
      </c>
      <c r="J1916" s="9">
        <v>8429.6899699999994</v>
      </c>
      <c r="K1916" s="7">
        <v>0.65</v>
      </c>
      <c r="L1916" s="9">
        <v>5479.3</v>
      </c>
      <c r="M1916" s="9">
        <v>5546.74</v>
      </c>
      <c r="N1916" s="9">
        <v>3.01</v>
      </c>
      <c r="O1916" s="10">
        <f>IF(AND(OR(H1916="APPROVED",H1916="SCHEDULED"),COUNTIFS(tblSource[EventID],F1916,tblSource[ReleaseStatus],"APPROVED")=1,COUNTIFS(Period_Status!$A$2:$A$8,G1916,Period_Status!$B$2:$B$8,"ActualClosed")=1,C1916&gt;EOMONTH(Settlement_Bridge!$C$2,0)),1,0)</f>
        <v>1</v>
      </c>
      <c r="P1916" s="2" t="s">
        <v>5437</v>
      </c>
    </row>
    <row r="1917" spans="1:16" x14ac:dyDescent="0.25">
      <c r="A1917" s="2" t="s">
        <v>5438</v>
      </c>
      <c r="B1917" s="2" t="s">
        <v>199</v>
      </c>
      <c r="C1917" s="8">
        <v>46228</v>
      </c>
      <c r="D1917" s="6">
        <v>46204</v>
      </c>
      <c r="E1917" s="2" t="s">
        <v>260</v>
      </c>
      <c r="F1917" s="2" t="s">
        <v>5439</v>
      </c>
      <c r="G1917" s="6">
        <v>46204</v>
      </c>
      <c r="H1917" s="2" t="s">
        <v>71</v>
      </c>
      <c r="I1917" s="2" t="s">
        <v>39</v>
      </c>
      <c r="J1917" s="9">
        <v>3767.0279999999998</v>
      </c>
      <c r="K1917" s="7">
        <v>1</v>
      </c>
      <c r="L1917" s="9">
        <v>3767.03</v>
      </c>
      <c r="M1917" s="9">
        <v>3767.03</v>
      </c>
      <c r="N1917" s="9">
        <v>2.0699999999999998</v>
      </c>
      <c r="O1917" s="10">
        <f>IF(AND(OR(H1917="APPROVED",H1917="SCHEDULED"),COUNTIFS(tblSource[EventID],F1917,tblSource[ReleaseStatus],"APPROVED")=1,COUNTIFS(Period_Status!$A$2:$A$8,G1917,Period_Status!$B$2:$B$8,"ActualClosed")=1,C1917&gt;EOMONTH(Settlement_Bridge!$C$2,0)),1,0)</f>
        <v>0</v>
      </c>
      <c r="P1917" s="2" t="s">
        <v>5440</v>
      </c>
    </row>
    <row r="1918" spans="1:16" x14ac:dyDescent="0.25">
      <c r="A1918" s="2" t="s">
        <v>5441</v>
      </c>
      <c r="B1918" s="2" t="s">
        <v>199</v>
      </c>
      <c r="C1918" s="8">
        <v>46253</v>
      </c>
      <c r="D1918" s="6">
        <v>46235</v>
      </c>
      <c r="E1918" s="2" t="s">
        <v>260</v>
      </c>
      <c r="F1918" s="2" t="s">
        <v>5439</v>
      </c>
      <c r="G1918" s="6">
        <v>46204</v>
      </c>
      <c r="H1918" s="2" t="s">
        <v>71</v>
      </c>
      <c r="I1918" s="2" t="s">
        <v>39</v>
      </c>
      <c r="J1918" s="9">
        <v>5650.5420000000004</v>
      </c>
      <c r="K1918" s="7">
        <v>1</v>
      </c>
      <c r="L1918" s="9">
        <v>5650.54</v>
      </c>
      <c r="M1918" s="9">
        <v>5650.54</v>
      </c>
      <c r="N1918" s="9">
        <v>3.11</v>
      </c>
      <c r="O1918" s="10">
        <f>IF(AND(OR(H1918="APPROVED",H1918="SCHEDULED"),COUNTIFS(tblSource[EventID],F1918,tblSource[ReleaseStatus],"APPROVED")=1,COUNTIFS(Period_Status!$A$2:$A$8,G1918,Period_Status!$B$2:$B$8,"ActualClosed")=1,C1918&gt;EOMONTH(Settlement_Bridge!$C$2,0)),1,0)</f>
        <v>1</v>
      </c>
      <c r="P1918" s="2" t="s">
        <v>5442</v>
      </c>
    </row>
    <row r="1919" spans="1:16" x14ac:dyDescent="0.25">
      <c r="A1919" s="2" t="s">
        <v>5443</v>
      </c>
      <c r="B1919" s="2" t="s">
        <v>199</v>
      </c>
      <c r="C1919" s="8">
        <v>46239</v>
      </c>
      <c r="D1919" s="6">
        <v>46235</v>
      </c>
      <c r="E1919" s="2" t="s">
        <v>260</v>
      </c>
      <c r="F1919" s="2" t="s">
        <v>5444</v>
      </c>
      <c r="G1919" s="6">
        <v>46204</v>
      </c>
      <c r="H1919" s="2" t="s">
        <v>71</v>
      </c>
      <c r="I1919" s="2" t="s">
        <v>76</v>
      </c>
      <c r="J1919" s="9">
        <v>154686774.19354799</v>
      </c>
      <c r="K1919" s="7">
        <v>6.1500000000000004E-5</v>
      </c>
      <c r="L1919" s="9">
        <v>9513.24</v>
      </c>
      <c r="M1919" s="9">
        <v>9590.58</v>
      </c>
      <c r="N1919" s="9">
        <v>5.23</v>
      </c>
      <c r="O1919" s="10">
        <f>IF(AND(OR(H1919="APPROVED",H1919="SCHEDULED"),COUNTIFS(tblSource[EventID],F1919,tblSource[ReleaseStatus],"APPROVED")=1,COUNTIFS(Period_Status!$A$2:$A$8,G1919,Period_Status!$B$2:$B$8,"ActualClosed")=1,C1919&gt;EOMONTH(Settlement_Bridge!$C$2,0)),1,0)</f>
        <v>1</v>
      </c>
      <c r="P1919" s="2" t="s">
        <v>5445</v>
      </c>
    </row>
    <row r="1920" spans="1:16" x14ac:dyDescent="0.25">
      <c r="A1920" s="2" t="s">
        <v>5446</v>
      </c>
      <c r="B1920" s="2" t="s">
        <v>199</v>
      </c>
      <c r="C1920" s="8">
        <v>46240</v>
      </c>
      <c r="D1920" s="6">
        <v>46235</v>
      </c>
      <c r="E1920" s="2" t="s">
        <v>260</v>
      </c>
      <c r="F1920" s="2" t="s">
        <v>5447</v>
      </c>
      <c r="G1920" s="6">
        <v>46204</v>
      </c>
      <c r="H1920" s="2" t="s">
        <v>71</v>
      </c>
      <c r="I1920" s="2" t="s">
        <v>70</v>
      </c>
      <c r="J1920" s="9">
        <v>14838.282675</v>
      </c>
      <c r="K1920" s="7">
        <v>0.65</v>
      </c>
      <c r="L1920" s="9">
        <v>9644.8799999999992</v>
      </c>
      <c r="M1920" s="9">
        <v>9763.59</v>
      </c>
      <c r="N1920" s="9">
        <v>5.3</v>
      </c>
      <c r="O1920" s="10">
        <f>IF(AND(OR(H1920="APPROVED",H1920="SCHEDULED"),COUNTIFS(tblSource[EventID],F1920,tblSource[ReleaseStatus],"APPROVED")=1,COUNTIFS(Period_Status!$A$2:$A$8,G1920,Period_Status!$B$2:$B$8,"ActualClosed")=1,C1920&gt;EOMONTH(Settlement_Bridge!$C$2,0)),1,0)</f>
        <v>1</v>
      </c>
      <c r="P1920" s="2" t="s">
        <v>5448</v>
      </c>
    </row>
    <row r="1921" spans="1:16" x14ac:dyDescent="0.25">
      <c r="A1921" s="2" t="s">
        <v>5449</v>
      </c>
      <c r="B1921" s="2" t="s">
        <v>199</v>
      </c>
      <c r="C1921" s="8">
        <v>46231</v>
      </c>
      <c r="D1921" s="6">
        <v>46204</v>
      </c>
      <c r="E1921" s="2" t="s">
        <v>260</v>
      </c>
      <c r="F1921" s="2" t="s">
        <v>5450</v>
      </c>
      <c r="G1921" s="6">
        <v>46204</v>
      </c>
      <c r="H1921" s="2" t="s">
        <v>71</v>
      </c>
      <c r="I1921" s="2" t="s">
        <v>39</v>
      </c>
      <c r="J1921" s="9">
        <v>3974.64</v>
      </c>
      <c r="K1921" s="7">
        <v>1</v>
      </c>
      <c r="L1921" s="9">
        <v>3974.64</v>
      </c>
      <c r="M1921" s="9">
        <v>3974.64</v>
      </c>
      <c r="N1921" s="9">
        <v>2.19</v>
      </c>
      <c r="O1921" s="10">
        <f>IF(AND(OR(H1921="APPROVED",H1921="SCHEDULED"),COUNTIFS(tblSource[EventID],F1921,tblSource[ReleaseStatus],"APPROVED")=1,COUNTIFS(Period_Status!$A$2:$A$8,G1921,Period_Status!$B$2:$B$8,"ActualClosed")=1,C1921&gt;EOMONTH(Settlement_Bridge!$C$2,0)),1,0)</f>
        <v>0</v>
      </c>
      <c r="P1921" s="2" t="s">
        <v>5451</v>
      </c>
    </row>
    <row r="1922" spans="1:16" x14ac:dyDescent="0.25">
      <c r="A1922" s="2" t="s">
        <v>5452</v>
      </c>
      <c r="B1922" s="2" t="s">
        <v>199</v>
      </c>
      <c r="C1922" s="8">
        <v>46256</v>
      </c>
      <c r="D1922" s="6">
        <v>46235</v>
      </c>
      <c r="E1922" s="2" t="s">
        <v>260</v>
      </c>
      <c r="F1922" s="2" t="s">
        <v>5450</v>
      </c>
      <c r="G1922" s="6">
        <v>46204</v>
      </c>
      <c r="H1922" s="2" t="s">
        <v>71</v>
      </c>
      <c r="I1922" s="2" t="s">
        <v>39</v>
      </c>
      <c r="J1922" s="9">
        <v>5961.96</v>
      </c>
      <c r="K1922" s="7">
        <v>1</v>
      </c>
      <c r="L1922" s="9">
        <v>5961.96</v>
      </c>
      <c r="M1922" s="9">
        <v>5961.96</v>
      </c>
      <c r="N1922" s="9">
        <v>3.28</v>
      </c>
      <c r="O1922" s="10">
        <f>IF(AND(OR(H1922="APPROVED",H1922="SCHEDULED"),COUNTIFS(tblSource[EventID],F1922,tblSource[ReleaseStatus],"APPROVED")=1,COUNTIFS(Period_Status!$A$2:$A$8,G1922,Period_Status!$B$2:$B$8,"ActualClosed")=1,C1922&gt;EOMONTH(Settlement_Bridge!$C$2,0)),1,0)</f>
        <v>1</v>
      </c>
      <c r="P1922" s="2" t="s">
        <v>5453</v>
      </c>
    </row>
    <row r="1923" spans="1:16" x14ac:dyDescent="0.25">
      <c r="A1923" s="2" t="s">
        <v>5454</v>
      </c>
      <c r="B1923" s="2" t="s">
        <v>199</v>
      </c>
      <c r="C1923" s="8">
        <v>46242</v>
      </c>
      <c r="D1923" s="6">
        <v>46235</v>
      </c>
      <c r="E1923" s="2" t="s">
        <v>260</v>
      </c>
      <c r="F1923" s="2" t="s">
        <v>5455</v>
      </c>
      <c r="G1923" s="6">
        <v>46204</v>
      </c>
      <c r="H1923" s="2" t="s">
        <v>71</v>
      </c>
      <c r="I1923" s="2" t="s">
        <v>76</v>
      </c>
      <c r="J1923" s="9">
        <v>163058225.80645201</v>
      </c>
      <c r="K1923" s="7">
        <v>6.1500000000000004E-5</v>
      </c>
      <c r="L1923" s="9">
        <v>10028.08</v>
      </c>
      <c r="M1923" s="9">
        <v>10109.61</v>
      </c>
      <c r="N1923" s="9">
        <v>5.52</v>
      </c>
      <c r="O1923" s="10">
        <f>IF(AND(OR(H1923="APPROVED",H1923="SCHEDULED"),COUNTIFS(tblSource[EventID],F1923,tblSource[ReleaseStatus],"APPROVED")=1,COUNTIFS(Period_Status!$A$2:$A$8,G1923,Period_Status!$B$2:$B$8,"ActualClosed")=1,C1923&gt;EOMONTH(Settlement_Bridge!$C$2,0)),1,0)</f>
        <v>1</v>
      </c>
      <c r="P1923" s="2" t="s">
        <v>5456</v>
      </c>
    </row>
    <row r="1924" spans="1:16" x14ac:dyDescent="0.25">
      <c r="A1924" s="2" t="s">
        <v>5457</v>
      </c>
      <c r="B1924" s="2" t="s">
        <v>199</v>
      </c>
      <c r="C1924" s="8">
        <v>46243</v>
      </c>
      <c r="D1924" s="6">
        <v>46235</v>
      </c>
      <c r="E1924" s="2" t="s">
        <v>260</v>
      </c>
      <c r="F1924" s="2" t="s">
        <v>5458</v>
      </c>
      <c r="G1924" s="6">
        <v>46204</v>
      </c>
      <c r="H1924" s="2" t="s">
        <v>71</v>
      </c>
      <c r="I1924" s="2" t="s">
        <v>70</v>
      </c>
      <c r="J1924" s="9">
        <v>15627.082066999999</v>
      </c>
      <c r="K1924" s="7">
        <v>0.65</v>
      </c>
      <c r="L1924" s="9">
        <v>10157.6</v>
      </c>
      <c r="M1924" s="9">
        <v>10282.620000000001</v>
      </c>
      <c r="N1924" s="9">
        <v>5.59</v>
      </c>
      <c r="O1924" s="10">
        <f>IF(AND(OR(H1924="APPROVED",H1924="SCHEDULED"),COUNTIFS(tblSource[EventID],F1924,tblSource[ReleaseStatus],"APPROVED")=1,COUNTIFS(Period_Status!$A$2:$A$8,G1924,Period_Status!$B$2:$B$8,"ActualClosed")=1,C1924&gt;EOMONTH(Settlement_Bridge!$C$2,0)),1,0)</f>
        <v>1</v>
      </c>
      <c r="P1924" s="2" t="s">
        <v>5459</v>
      </c>
    </row>
    <row r="1925" spans="1:16" x14ac:dyDescent="0.25">
      <c r="A1925" s="2" t="s">
        <v>5460</v>
      </c>
      <c r="B1925" s="2" t="s">
        <v>199</v>
      </c>
      <c r="C1925" s="8">
        <v>46244</v>
      </c>
      <c r="D1925" s="6">
        <v>46235</v>
      </c>
      <c r="E1925" s="2" t="s">
        <v>260</v>
      </c>
      <c r="F1925" s="2" t="s">
        <v>5461</v>
      </c>
      <c r="G1925" s="6">
        <v>46204</v>
      </c>
      <c r="H1925" s="2" t="s">
        <v>71</v>
      </c>
      <c r="I1925" s="2" t="s">
        <v>39</v>
      </c>
      <c r="J1925" s="9">
        <v>-10455.629999999999</v>
      </c>
      <c r="K1925" s="7">
        <v>1</v>
      </c>
      <c r="L1925" s="9">
        <v>-10455.629999999999</v>
      </c>
      <c r="M1925" s="9">
        <v>-10455.629999999999</v>
      </c>
      <c r="N1925" s="9">
        <v>0</v>
      </c>
      <c r="O1925" s="10">
        <f>IF(AND(OR(H1925="APPROVED",H1925="SCHEDULED"),COUNTIFS(tblSource[EventID],F1925,tblSource[ReleaseStatus],"APPROVED")=1,COUNTIFS(Period_Status!$A$2:$A$8,G1925,Period_Status!$B$2:$B$8,"ActualClosed")=1,C1925&gt;EOMONTH(Settlement_Bridge!$C$2,0)),1,0)</f>
        <v>1</v>
      </c>
      <c r="P1925" s="2" t="s">
        <v>5462</v>
      </c>
    </row>
    <row r="1926" spans="1:16" x14ac:dyDescent="0.25">
      <c r="A1926" s="2" t="s">
        <v>5463</v>
      </c>
      <c r="B1926" s="2" t="s">
        <v>199</v>
      </c>
      <c r="C1926" s="8">
        <v>46245</v>
      </c>
      <c r="D1926" s="6">
        <v>46235</v>
      </c>
      <c r="E1926" s="2" t="s">
        <v>260</v>
      </c>
      <c r="F1926" s="2" t="s">
        <v>5464</v>
      </c>
      <c r="G1926" s="6">
        <v>46204</v>
      </c>
      <c r="H1926" s="2" t="s">
        <v>71</v>
      </c>
      <c r="I1926" s="2" t="s">
        <v>76</v>
      </c>
      <c r="J1926" s="9">
        <v>171429677.41935501</v>
      </c>
      <c r="K1926" s="7">
        <v>6.1500000000000004E-5</v>
      </c>
      <c r="L1926" s="9">
        <v>10542.93</v>
      </c>
      <c r="M1926" s="9">
        <v>10628.64</v>
      </c>
      <c r="N1926" s="9">
        <v>5.8</v>
      </c>
      <c r="O1926" s="10">
        <f>IF(AND(OR(H1926="APPROVED",H1926="SCHEDULED"),COUNTIFS(tblSource[EventID],F1926,tblSource[ReleaseStatus],"APPROVED")=1,COUNTIFS(Period_Status!$A$2:$A$8,G1926,Period_Status!$B$2:$B$8,"ActualClosed")=1,C1926&gt;EOMONTH(Settlement_Bridge!$C$2,0)),1,0)</f>
        <v>1</v>
      </c>
      <c r="P1926" s="2" t="s">
        <v>5465</v>
      </c>
    </row>
    <row r="1927" spans="1:16" x14ac:dyDescent="0.25">
      <c r="A1927" s="2" t="s">
        <v>5466</v>
      </c>
      <c r="B1927" s="2" t="s">
        <v>199</v>
      </c>
      <c r="C1927" s="8">
        <v>46246</v>
      </c>
      <c r="D1927" s="6">
        <v>46235</v>
      </c>
      <c r="E1927" s="2" t="s">
        <v>260</v>
      </c>
      <c r="F1927" s="2" t="s">
        <v>5467</v>
      </c>
      <c r="G1927" s="6">
        <v>46204</v>
      </c>
      <c r="H1927" s="2" t="s">
        <v>71</v>
      </c>
      <c r="I1927" s="2" t="s">
        <v>70</v>
      </c>
      <c r="J1927" s="9">
        <v>16415.881459</v>
      </c>
      <c r="K1927" s="7">
        <v>0.65</v>
      </c>
      <c r="L1927" s="9">
        <v>10670.32</v>
      </c>
      <c r="M1927" s="9">
        <v>10801.65</v>
      </c>
      <c r="N1927" s="9">
        <v>5.87</v>
      </c>
      <c r="O1927" s="10">
        <f>IF(AND(OR(H1927="APPROVED",H1927="SCHEDULED"),COUNTIFS(tblSource[EventID],F1927,tblSource[ReleaseStatus],"APPROVED")=1,COUNTIFS(Period_Status!$A$2:$A$8,G1927,Period_Status!$B$2:$B$8,"ActualClosed")=1,C1927&gt;EOMONTH(Settlement_Bridge!$C$2,0)),1,0)</f>
        <v>1</v>
      </c>
      <c r="P1927" s="2" t="s">
        <v>5468</v>
      </c>
    </row>
    <row r="1928" spans="1:16" x14ac:dyDescent="0.25">
      <c r="A1928" s="2" t="s">
        <v>5469</v>
      </c>
      <c r="B1928" s="2" t="s">
        <v>199</v>
      </c>
      <c r="C1928" s="8">
        <v>46237</v>
      </c>
      <c r="D1928" s="6">
        <v>46235</v>
      </c>
      <c r="E1928" s="2" t="s">
        <v>260</v>
      </c>
      <c r="F1928" s="2" t="s">
        <v>5470</v>
      </c>
      <c r="G1928" s="6">
        <v>46204</v>
      </c>
      <c r="H1928" s="2" t="s">
        <v>71</v>
      </c>
      <c r="I1928" s="2" t="s">
        <v>39</v>
      </c>
      <c r="J1928" s="9">
        <v>4389.8639999999996</v>
      </c>
      <c r="K1928" s="7">
        <v>1</v>
      </c>
      <c r="L1928" s="9">
        <v>4389.8599999999997</v>
      </c>
      <c r="M1928" s="9">
        <v>4389.8599999999997</v>
      </c>
      <c r="N1928" s="9">
        <v>2.41</v>
      </c>
      <c r="O1928" s="10">
        <f>IF(AND(OR(H1928="APPROVED",H1928="SCHEDULED"),COUNTIFS(tblSource[EventID],F1928,tblSource[ReleaseStatus],"APPROVED")=1,COUNTIFS(Period_Status!$A$2:$A$8,G1928,Period_Status!$B$2:$B$8,"ActualClosed")=1,C1928&gt;EOMONTH(Settlement_Bridge!$C$2,0)),1,0)</f>
        <v>1</v>
      </c>
      <c r="P1928" s="2" t="s">
        <v>5471</v>
      </c>
    </row>
    <row r="1929" spans="1:16" x14ac:dyDescent="0.25">
      <c r="A1929" s="2" t="s">
        <v>5472</v>
      </c>
      <c r="B1929" s="2" t="s">
        <v>199</v>
      </c>
      <c r="C1929" s="8">
        <v>46262</v>
      </c>
      <c r="D1929" s="6">
        <v>46235</v>
      </c>
      <c r="E1929" s="2" t="s">
        <v>260</v>
      </c>
      <c r="F1929" s="2" t="s">
        <v>5470</v>
      </c>
      <c r="G1929" s="6">
        <v>46204</v>
      </c>
      <c r="H1929" s="2" t="s">
        <v>71</v>
      </c>
      <c r="I1929" s="2" t="s">
        <v>39</v>
      </c>
      <c r="J1929" s="9">
        <v>6584.7960000000003</v>
      </c>
      <c r="K1929" s="7">
        <v>1</v>
      </c>
      <c r="L1929" s="9">
        <v>6584.8</v>
      </c>
      <c r="M1929" s="9">
        <v>6584.8</v>
      </c>
      <c r="N1929" s="9">
        <v>3.62</v>
      </c>
      <c r="O1929" s="10">
        <f>IF(AND(OR(H1929="APPROVED",H1929="SCHEDULED"),COUNTIFS(tblSource[EventID],F1929,tblSource[ReleaseStatus],"APPROVED")=1,COUNTIFS(Period_Status!$A$2:$A$8,G1929,Period_Status!$B$2:$B$8,"ActualClosed")=1,C1929&gt;EOMONTH(Settlement_Bridge!$C$2,0)),1,0)</f>
        <v>1</v>
      </c>
      <c r="P1929" s="2" t="s">
        <v>5473</v>
      </c>
    </row>
    <row r="1930" spans="1:16" x14ac:dyDescent="0.25">
      <c r="A1930" s="2" t="s">
        <v>5474</v>
      </c>
      <c r="B1930" s="2" t="s">
        <v>199</v>
      </c>
      <c r="C1930" s="8">
        <v>46238</v>
      </c>
      <c r="D1930" s="6">
        <v>46235</v>
      </c>
      <c r="E1930" s="2" t="s">
        <v>260</v>
      </c>
      <c r="F1930" s="2" t="s">
        <v>5475</v>
      </c>
      <c r="G1930" s="6">
        <v>46204</v>
      </c>
      <c r="H1930" s="2" t="s">
        <v>71</v>
      </c>
      <c r="I1930" s="2" t="s">
        <v>76</v>
      </c>
      <c r="J1930" s="9">
        <v>71920451.612902999</v>
      </c>
      <c r="K1930" s="7">
        <v>6.1500000000000004E-5</v>
      </c>
      <c r="L1930" s="9">
        <v>4423.1099999999997</v>
      </c>
      <c r="M1930" s="9">
        <v>4459.07</v>
      </c>
      <c r="N1930" s="9">
        <v>2.4300000000000002</v>
      </c>
      <c r="O1930" s="10">
        <f>IF(AND(OR(H1930="APPROVED",H1930="SCHEDULED"),COUNTIFS(tblSource[EventID],F1930,tblSource[ReleaseStatus],"APPROVED")=1,COUNTIFS(Period_Status!$A$2:$A$8,G1930,Period_Status!$B$2:$B$8,"ActualClosed")=1,C1930&gt;EOMONTH(Settlement_Bridge!$C$2,0)),1,0)</f>
        <v>1</v>
      </c>
      <c r="P1930" s="2" t="s">
        <v>5476</v>
      </c>
    </row>
    <row r="1931" spans="1:16" x14ac:dyDescent="0.25">
      <c r="A1931" s="2" t="s">
        <v>5477</v>
      </c>
      <c r="B1931" s="2" t="s">
        <v>199</v>
      </c>
      <c r="C1931" s="8">
        <v>46263</v>
      </c>
      <c r="D1931" s="6">
        <v>46235</v>
      </c>
      <c r="E1931" s="2" t="s">
        <v>260</v>
      </c>
      <c r="F1931" s="2" t="s">
        <v>5475</v>
      </c>
      <c r="G1931" s="6">
        <v>46204</v>
      </c>
      <c r="H1931" s="2" t="s">
        <v>71</v>
      </c>
      <c r="I1931" s="2" t="s">
        <v>76</v>
      </c>
      <c r="J1931" s="9">
        <v>107880677.41935501</v>
      </c>
      <c r="K1931" s="7">
        <v>6.1500000000000004E-5</v>
      </c>
      <c r="L1931" s="9">
        <v>6634.66</v>
      </c>
      <c r="M1931" s="9">
        <v>6688.6</v>
      </c>
      <c r="N1931" s="9">
        <v>3.65</v>
      </c>
      <c r="O1931" s="10">
        <f>IF(AND(OR(H1931="APPROVED",H1931="SCHEDULED"),COUNTIFS(tblSource[EventID],F1931,tblSource[ReleaseStatus],"APPROVED")=1,COUNTIFS(Period_Status!$A$2:$A$8,G1931,Period_Status!$B$2:$B$8,"ActualClosed")=1,C1931&gt;EOMONTH(Settlement_Bridge!$C$2,0)),1,0)</f>
        <v>1</v>
      </c>
      <c r="P1931" s="2" t="s">
        <v>5478</v>
      </c>
    </row>
    <row r="1932" spans="1:16" x14ac:dyDescent="0.25">
      <c r="A1932" s="2" t="s">
        <v>5479</v>
      </c>
      <c r="B1932" s="2" t="s">
        <v>199</v>
      </c>
      <c r="C1932" s="8">
        <v>46249</v>
      </c>
      <c r="D1932" s="6">
        <v>46235</v>
      </c>
      <c r="E1932" s="2" t="s">
        <v>260</v>
      </c>
      <c r="F1932" s="2" t="s">
        <v>5480</v>
      </c>
      <c r="G1932" s="6">
        <v>46204</v>
      </c>
      <c r="H1932" s="2" t="s">
        <v>71</v>
      </c>
      <c r="I1932" s="2" t="s">
        <v>70</v>
      </c>
      <c r="J1932" s="9">
        <v>17204.680851000001</v>
      </c>
      <c r="K1932" s="7">
        <v>0.65</v>
      </c>
      <c r="L1932" s="9">
        <v>11183.04</v>
      </c>
      <c r="M1932" s="9">
        <v>11320.68</v>
      </c>
      <c r="N1932" s="9">
        <v>6.15</v>
      </c>
      <c r="O1932" s="10">
        <f>IF(AND(OR(H1932="APPROVED",H1932="SCHEDULED"),COUNTIFS(tblSource[EventID],F1932,tblSource[ReleaseStatus],"APPROVED")=1,COUNTIFS(Period_Status!$A$2:$A$8,G1932,Period_Status!$B$2:$B$8,"ActualClosed")=1,C1932&gt;EOMONTH(Settlement_Bridge!$C$2,0)),1,0)</f>
        <v>1</v>
      </c>
      <c r="P1932" s="2" t="s">
        <v>5481</v>
      </c>
    </row>
    <row r="1933" spans="1:16" x14ac:dyDescent="0.25">
      <c r="A1933" s="2" t="s">
        <v>5482</v>
      </c>
      <c r="B1933" s="2" t="s">
        <v>199</v>
      </c>
      <c r="C1933" s="8">
        <v>46250</v>
      </c>
      <c r="D1933" s="6">
        <v>46235</v>
      </c>
      <c r="E1933" s="2" t="s">
        <v>260</v>
      </c>
      <c r="F1933" s="2" t="s">
        <v>5483</v>
      </c>
      <c r="G1933" s="6">
        <v>46204</v>
      </c>
      <c r="H1933" s="2" t="s">
        <v>71</v>
      </c>
      <c r="I1933" s="2" t="s">
        <v>39</v>
      </c>
      <c r="J1933" s="9">
        <v>11493.69</v>
      </c>
      <c r="K1933" s="7">
        <v>1</v>
      </c>
      <c r="L1933" s="9">
        <v>11493.69</v>
      </c>
      <c r="M1933" s="9">
        <v>11493.69</v>
      </c>
      <c r="N1933" s="9">
        <v>6.32</v>
      </c>
      <c r="O1933" s="10">
        <f>IF(AND(OR(H1933="APPROVED",H1933="SCHEDULED"),COUNTIFS(tblSource[EventID],F1933,tblSource[ReleaseStatus],"APPROVED")=1,COUNTIFS(Period_Status!$A$2:$A$8,G1933,Period_Status!$B$2:$B$8,"ActualClosed")=1,C1933&gt;EOMONTH(Settlement_Bridge!$C$2,0)),1,0)</f>
        <v>1</v>
      </c>
      <c r="P1933" s="2" t="s">
        <v>5484</v>
      </c>
    </row>
    <row r="1934" spans="1:16" x14ac:dyDescent="0.25">
      <c r="A1934" s="2" t="s">
        <v>5485</v>
      </c>
      <c r="B1934" s="2" t="s">
        <v>199</v>
      </c>
      <c r="C1934" s="8">
        <v>46241</v>
      </c>
      <c r="D1934" s="6">
        <v>46235</v>
      </c>
      <c r="E1934" s="2" t="s">
        <v>260</v>
      </c>
      <c r="F1934" s="2" t="s">
        <v>5486</v>
      </c>
      <c r="G1934" s="6">
        <v>46204</v>
      </c>
      <c r="H1934" s="2" t="s">
        <v>71</v>
      </c>
      <c r="I1934" s="2" t="s">
        <v>76</v>
      </c>
      <c r="J1934" s="9">
        <v>75269032.258064002</v>
      </c>
      <c r="K1934" s="7">
        <v>6.1500000000000004E-5</v>
      </c>
      <c r="L1934" s="9">
        <v>4629.05</v>
      </c>
      <c r="M1934" s="9">
        <v>4666.68</v>
      </c>
      <c r="N1934" s="9">
        <v>2.5499999999999998</v>
      </c>
      <c r="O1934" s="10">
        <f>IF(AND(OR(H1934="APPROVED",H1934="SCHEDULED"),COUNTIFS(tblSource[EventID],F1934,tblSource[ReleaseStatus],"APPROVED")=1,COUNTIFS(Period_Status!$A$2:$A$8,G1934,Period_Status!$B$2:$B$8,"ActualClosed")=1,C1934&gt;EOMONTH(Settlement_Bridge!$C$2,0)),1,0)</f>
        <v>1</v>
      </c>
      <c r="P1934" s="2" t="s">
        <v>5487</v>
      </c>
    </row>
    <row r="1935" spans="1:16" x14ac:dyDescent="0.25">
      <c r="A1935" s="2" t="s">
        <v>5488</v>
      </c>
      <c r="B1935" s="2" t="s">
        <v>199</v>
      </c>
      <c r="C1935" s="8">
        <v>46266</v>
      </c>
      <c r="D1935" s="6">
        <v>46266</v>
      </c>
      <c r="E1935" s="2" t="s">
        <v>260</v>
      </c>
      <c r="F1935" s="2" t="s">
        <v>5486</v>
      </c>
      <c r="G1935" s="6">
        <v>46204</v>
      </c>
      <c r="H1935" s="2" t="s">
        <v>176</v>
      </c>
      <c r="I1935" s="2" t="s">
        <v>76</v>
      </c>
      <c r="J1935" s="9">
        <v>112903548.387097</v>
      </c>
      <c r="K1935" s="7">
        <v>6.1299999999999999E-5</v>
      </c>
      <c r="L1935" s="9">
        <v>6920.99</v>
      </c>
      <c r="M1935" s="9">
        <v>7000.02</v>
      </c>
      <c r="N1935" s="9">
        <v>3.81</v>
      </c>
      <c r="O1935" s="10">
        <f>IF(AND(OR(H1935="APPROVED",H1935="SCHEDULED"),COUNTIFS(tblSource[EventID],F1935,tblSource[ReleaseStatus],"APPROVED")=1,COUNTIFS(Period_Status!$A$2:$A$8,G1935,Period_Status!$B$2:$B$8,"ActualClosed")=1,C1935&gt;EOMONTH(Settlement_Bridge!$C$2,0)),1,0)</f>
        <v>1</v>
      </c>
      <c r="P1935" s="2" t="s">
        <v>5489</v>
      </c>
    </row>
    <row r="1936" spans="1:16" x14ac:dyDescent="0.25">
      <c r="A1936" s="2" t="s">
        <v>5490</v>
      </c>
      <c r="B1936" s="2" t="s">
        <v>199</v>
      </c>
      <c r="C1936" s="8">
        <v>46252</v>
      </c>
      <c r="D1936" s="6">
        <v>46235</v>
      </c>
      <c r="E1936" s="2" t="s">
        <v>260</v>
      </c>
      <c r="F1936" s="2" t="s">
        <v>5491</v>
      </c>
      <c r="G1936" s="6">
        <v>46204</v>
      </c>
      <c r="H1936" s="2" t="s">
        <v>71</v>
      </c>
      <c r="I1936" s="2" t="s">
        <v>70</v>
      </c>
      <c r="J1936" s="9">
        <v>17993.480243000002</v>
      </c>
      <c r="K1936" s="7">
        <v>0.65</v>
      </c>
      <c r="L1936" s="9">
        <v>11695.76</v>
      </c>
      <c r="M1936" s="9">
        <v>11839.71</v>
      </c>
      <c r="N1936" s="9">
        <v>6.43</v>
      </c>
      <c r="O1936" s="10">
        <f>IF(AND(OR(H1936="APPROVED",H1936="SCHEDULED"),COUNTIFS(tblSource[EventID],F1936,tblSource[ReleaseStatus],"APPROVED")=1,COUNTIFS(Period_Status!$A$2:$A$8,G1936,Period_Status!$B$2:$B$8,"ActualClosed")=1,C1936&gt;EOMONTH(Settlement_Bridge!$C$2,0)),1,0)</f>
        <v>1</v>
      </c>
      <c r="P1936" s="2" t="s">
        <v>5492</v>
      </c>
    </row>
    <row r="1937" spans="1:16" x14ac:dyDescent="0.25">
      <c r="A1937" s="2" t="s">
        <v>5493</v>
      </c>
      <c r="B1937" s="2" t="s">
        <v>199</v>
      </c>
      <c r="C1937" s="8">
        <v>46253</v>
      </c>
      <c r="D1937" s="6">
        <v>46235</v>
      </c>
      <c r="E1937" s="2" t="s">
        <v>260</v>
      </c>
      <c r="F1937" s="2" t="s">
        <v>5494</v>
      </c>
      <c r="G1937" s="6">
        <v>46204</v>
      </c>
      <c r="H1937" s="2" t="s">
        <v>71</v>
      </c>
      <c r="I1937" s="2" t="s">
        <v>39</v>
      </c>
      <c r="J1937" s="9">
        <v>12012.72</v>
      </c>
      <c r="K1937" s="7">
        <v>1</v>
      </c>
      <c r="L1937" s="9">
        <v>12012.72</v>
      </c>
      <c r="M1937" s="9">
        <v>12012.72</v>
      </c>
      <c r="N1937" s="9">
        <v>6.61</v>
      </c>
      <c r="O1937" s="10">
        <f>IF(AND(OR(H1937="APPROVED",H1937="SCHEDULED"),COUNTIFS(tblSource[EventID],F1937,tblSource[ReleaseStatus],"APPROVED")=1,COUNTIFS(Period_Status!$A$2:$A$8,G1937,Period_Status!$B$2:$B$8,"ActualClosed")=1,C1937&gt;EOMONTH(Settlement_Bridge!$C$2,0)),1,0)</f>
        <v>1</v>
      </c>
      <c r="P1937" s="2" t="s">
        <v>5495</v>
      </c>
    </row>
    <row r="1938" spans="1:16" x14ac:dyDescent="0.25">
      <c r="A1938" s="2" t="s">
        <v>5496</v>
      </c>
      <c r="B1938" s="2" t="s">
        <v>199</v>
      </c>
      <c r="C1938" s="8">
        <v>46254</v>
      </c>
      <c r="D1938" s="6">
        <v>46235</v>
      </c>
      <c r="E1938" s="2" t="s">
        <v>260</v>
      </c>
      <c r="F1938" s="2" t="s">
        <v>5497</v>
      </c>
      <c r="G1938" s="6">
        <v>46204</v>
      </c>
      <c r="H1938" s="2" t="s">
        <v>71</v>
      </c>
      <c r="I1938" s="2" t="s">
        <v>76</v>
      </c>
      <c r="J1938" s="9">
        <v>196544032.25806499</v>
      </c>
      <c r="K1938" s="7">
        <v>6.1500000000000004E-5</v>
      </c>
      <c r="L1938" s="9">
        <v>12087.46</v>
      </c>
      <c r="M1938" s="9">
        <v>12185.73</v>
      </c>
      <c r="N1938" s="9">
        <v>6.65</v>
      </c>
      <c r="O1938" s="10">
        <f>IF(AND(OR(H1938="APPROVED",H1938="SCHEDULED"),COUNTIFS(tblSource[EventID],F1938,tblSource[ReleaseStatus],"APPROVED")=1,COUNTIFS(Period_Status!$A$2:$A$8,G1938,Period_Status!$B$2:$B$8,"ActualClosed")=1,C1938&gt;EOMONTH(Settlement_Bridge!$C$2,0)),1,0)</f>
        <v>1</v>
      </c>
      <c r="P1938" s="2" t="s">
        <v>5498</v>
      </c>
    </row>
    <row r="1939" spans="1:16" x14ac:dyDescent="0.25">
      <c r="A1939" s="2" t="s">
        <v>5499</v>
      </c>
      <c r="B1939" s="2" t="s">
        <v>199</v>
      </c>
      <c r="C1939" s="8">
        <v>46255</v>
      </c>
      <c r="D1939" s="6">
        <v>46235</v>
      </c>
      <c r="E1939" s="2" t="s">
        <v>260</v>
      </c>
      <c r="F1939" s="2" t="s">
        <v>5500</v>
      </c>
      <c r="G1939" s="6">
        <v>46204</v>
      </c>
      <c r="H1939" s="2" t="s">
        <v>71</v>
      </c>
      <c r="I1939" s="2" t="s">
        <v>70</v>
      </c>
      <c r="J1939" s="9">
        <v>18782.279634999999</v>
      </c>
      <c r="K1939" s="7">
        <v>0.65</v>
      </c>
      <c r="L1939" s="9">
        <v>12208.48</v>
      </c>
      <c r="M1939" s="9">
        <v>12358.74</v>
      </c>
      <c r="N1939" s="9">
        <v>6.71</v>
      </c>
      <c r="O1939" s="10">
        <f>IF(AND(OR(H1939="APPROVED",H1939="SCHEDULED"),COUNTIFS(tblSource[EventID],F1939,tblSource[ReleaseStatus],"APPROVED")=1,COUNTIFS(Period_Status!$A$2:$A$8,G1939,Period_Status!$B$2:$B$8,"ActualClosed")=1,C1939&gt;EOMONTH(Settlement_Bridge!$C$2,0)),1,0)</f>
        <v>1</v>
      </c>
      <c r="P1939" s="2" t="s">
        <v>5501</v>
      </c>
    </row>
    <row r="1940" spans="1:16" x14ac:dyDescent="0.25">
      <c r="A1940" s="2" t="s">
        <v>5502</v>
      </c>
      <c r="B1940" s="2" t="s">
        <v>199</v>
      </c>
      <c r="C1940" s="8">
        <v>46256</v>
      </c>
      <c r="D1940" s="6">
        <v>46235</v>
      </c>
      <c r="E1940" s="2" t="s">
        <v>260</v>
      </c>
      <c r="F1940" s="2" t="s">
        <v>5503</v>
      </c>
      <c r="G1940" s="6">
        <v>46204</v>
      </c>
      <c r="H1940" s="2" t="s">
        <v>71</v>
      </c>
      <c r="I1940" s="2" t="s">
        <v>39</v>
      </c>
      <c r="J1940" s="9">
        <v>12531.75</v>
      </c>
      <c r="K1940" s="7">
        <v>1</v>
      </c>
      <c r="L1940" s="9">
        <v>12531.75</v>
      </c>
      <c r="M1940" s="9">
        <v>12531.75</v>
      </c>
      <c r="N1940" s="9">
        <v>6.89</v>
      </c>
      <c r="O1940" s="10">
        <f>IF(AND(OR(H1940="APPROVED",H1940="SCHEDULED"),COUNTIFS(tblSource[EventID],F1940,tblSource[ReleaseStatus],"APPROVED")=1,COUNTIFS(Period_Status!$A$2:$A$8,G1940,Period_Status!$B$2:$B$8,"ActualClosed")=1,C1940&gt;EOMONTH(Settlement_Bridge!$C$2,0)),1,0)</f>
        <v>1</v>
      </c>
      <c r="P1940" s="2" t="s">
        <v>5504</v>
      </c>
    </row>
    <row r="1941" spans="1:16" x14ac:dyDescent="0.25">
      <c r="A1941" s="2" t="s">
        <v>5505</v>
      </c>
      <c r="B1941" s="2" t="s">
        <v>199</v>
      </c>
      <c r="C1941" s="8">
        <v>46247</v>
      </c>
      <c r="D1941" s="6">
        <v>46235</v>
      </c>
      <c r="E1941" s="2" t="s">
        <v>260</v>
      </c>
      <c r="F1941" s="2" t="s">
        <v>5506</v>
      </c>
      <c r="G1941" s="6">
        <v>46204</v>
      </c>
      <c r="H1941" s="2" t="s">
        <v>71</v>
      </c>
      <c r="I1941" s="2" t="s">
        <v>76</v>
      </c>
      <c r="J1941" s="9">
        <v>81966193.548387006</v>
      </c>
      <c r="K1941" s="7">
        <v>6.1500000000000004E-5</v>
      </c>
      <c r="L1941" s="9">
        <v>5040.92</v>
      </c>
      <c r="M1941" s="9">
        <v>5081.8999999999996</v>
      </c>
      <c r="N1941" s="9">
        <v>2.77</v>
      </c>
      <c r="O1941" s="10">
        <f>IF(AND(OR(H1941="APPROVED",H1941="SCHEDULED"),COUNTIFS(tblSource[EventID],F1941,tblSource[ReleaseStatus],"APPROVED")=1,COUNTIFS(Period_Status!$A$2:$A$8,G1941,Period_Status!$B$2:$B$8,"ActualClosed")=1,C1941&gt;EOMONTH(Settlement_Bridge!$C$2,0)),1,0)</f>
        <v>1</v>
      </c>
      <c r="P1941" s="2" t="s">
        <v>5507</v>
      </c>
    </row>
    <row r="1942" spans="1:16" x14ac:dyDescent="0.25">
      <c r="A1942" s="2" t="s">
        <v>5508</v>
      </c>
      <c r="B1942" s="2" t="s">
        <v>199</v>
      </c>
      <c r="C1942" s="8">
        <v>46272</v>
      </c>
      <c r="D1942" s="6">
        <v>46266</v>
      </c>
      <c r="E1942" s="2" t="s">
        <v>260</v>
      </c>
      <c r="F1942" s="2" t="s">
        <v>5506</v>
      </c>
      <c r="G1942" s="6">
        <v>46204</v>
      </c>
      <c r="H1942" s="2" t="s">
        <v>176</v>
      </c>
      <c r="I1942" s="2" t="s">
        <v>76</v>
      </c>
      <c r="J1942" s="9">
        <v>122949290.32258099</v>
      </c>
      <c r="K1942" s="7">
        <v>6.1299999999999999E-5</v>
      </c>
      <c r="L1942" s="9">
        <v>7536.79</v>
      </c>
      <c r="M1942" s="9">
        <v>7622.86</v>
      </c>
      <c r="N1942" s="9">
        <v>4.1500000000000004</v>
      </c>
      <c r="O1942" s="10">
        <f>IF(AND(OR(H1942="APPROVED",H1942="SCHEDULED"),COUNTIFS(tblSource[EventID],F1942,tblSource[ReleaseStatus],"APPROVED")=1,COUNTIFS(Period_Status!$A$2:$A$8,G1942,Period_Status!$B$2:$B$8,"ActualClosed")=1,C1942&gt;EOMONTH(Settlement_Bridge!$C$2,0)),1,0)</f>
        <v>1</v>
      </c>
      <c r="P1942" s="2" t="s">
        <v>5509</v>
      </c>
    </row>
    <row r="1943" spans="1:16" x14ac:dyDescent="0.25">
      <c r="A1943" s="2" t="s">
        <v>5510</v>
      </c>
      <c r="B1943" s="2" t="s">
        <v>199</v>
      </c>
      <c r="C1943" s="8">
        <v>46248</v>
      </c>
      <c r="D1943" s="6">
        <v>46235</v>
      </c>
      <c r="E1943" s="2" t="s">
        <v>260</v>
      </c>
      <c r="F1943" s="2" t="s">
        <v>5511</v>
      </c>
      <c r="G1943" s="6">
        <v>46204</v>
      </c>
      <c r="H1943" s="2" t="s">
        <v>71</v>
      </c>
      <c r="I1943" s="2" t="s">
        <v>70</v>
      </c>
      <c r="J1943" s="9">
        <v>7828.431611</v>
      </c>
      <c r="K1943" s="7">
        <v>0.65</v>
      </c>
      <c r="L1943" s="9">
        <v>5088.4799999999996</v>
      </c>
      <c r="M1943" s="9">
        <v>5151.1099999999997</v>
      </c>
      <c r="N1943" s="9">
        <v>2.8</v>
      </c>
      <c r="O1943" s="10">
        <f>IF(AND(OR(H1943="APPROVED",H1943="SCHEDULED"),COUNTIFS(tblSource[EventID],F1943,tblSource[ReleaseStatus],"APPROVED")=1,COUNTIFS(Period_Status!$A$2:$A$8,G1943,Period_Status!$B$2:$B$8,"ActualClosed")=1,C1943&gt;EOMONTH(Settlement_Bridge!$C$2,0)),1,0)</f>
        <v>1</v>
      </c>
      <c r="P1943" s="2" t="s">
        <v>5512</v>
      </c>
    </row>
    <row r="1944" spans="1:16" x14ac:dyDescent="0.25">
      <c r="A1944" s="2" t="s">
        <v>5513</v>
      </c>
      <c r="B1944" s="2" t="s">
        <v>199</v>
      </c>
      <c r="C1944" s="8">
        <v>46273</v>
      </c>
      <c r="D1944" s="6">
        <v>46266</v>
      </c>
      <c r="E1944" s="2" t="s">
        <v>260</v>
      </c>
      <c r="F1944" s="2" t="s">
        <v>5511</v>
      </c>
      <c r="G1944" s="6">
        <v>46204</v>
      </c>
      <c r="H1944" s="2" t="s">
        <v>176</v>
      </c>
      <c r="I1944" s="2" t="s">
        <v>70</v>
      </c>
      <c r="J1944" s="9">
        <v>11742.647416</v>
      </c>
      <c r="K1944" s="7">
        <v>0.65100000000000002</v>
      </c>
      <c r="L1944" s="9">
        <v>7644.46</v>
      </c>
      <c r="M1944" s="9">
        <v>7726.66</v>
      </c>
      <c r="N1944" s="9">
        <v>4.2</v>
      </c>
      <c r="O1944" s="10">
        <f>IF(AND(OR(H1944="APPROVED",H1944="SCHEDULED"),COUNTIFS(tblSource[EventID],F1944,tblSource[ReleaseStatus],"APPROVED")=1,COUNTIFS(Period_Status!$A$2:$A$8,G1944,Period_Status!$B$2:$B$8,"ActualClosed")=1,C1944&gt;EOMONTH(Settlement_Bridge!$C$2,0)),1,0)</f>
        <v>1</v>
      </c>
      <c r="P1944" s="2" t="s">
        <v>5514</v>
      </c>
    </row>
    <row r="1945" spans="1:16" x14ac:dyDescent="0.25">
      <c r="A1945" s="2" t="s">
        <v>5515</v>
      </c>
      <c r="B1945" s="2" t="s">
        <v>199</v>
      </c>
      <c r="C1945" s="8">
        <v>46228</v>
      </c>
      <c r="D1945" s="6">
        <v>46204</v>
      </c>
      <c r="E1945" s="2" t="s">
        <v>260</v>
      </c>
      <c r="F1945" s="2" t="s">
        <v>5516</v>
      </c>
      <c r="G1945" s="6">
        <v>46204</v>
      </c>
      <c r="H1945" s="2" t="s">
        <v>71</v>
      </c>
      <c r="I1945" s="2" t="s">
        <v>39</v>
      </c>
      <c r="J1945" s="9">
        <v>13050.78</v>
      </c>
      <c r="K1945" s="7">
        <v>1</v>
      </c>
      <c r="L1945" s="9">
        <v>13050.78</v>
      </c>
      <c r="M1945" s="9">
        <v>13050.78</v>
      </c>
      <c r="N1945" s="9">
        <v>7.18</v>
      </c>
      <c r="O1945" s="10">
        <f>IF(AND(OR(H1945="APPROVED",H1945="SCHEDULED"),COUNTIFS(tblSource[EventID],F1945,tblSource[ReleaseStatus],"APPROVED")=1,COUNTIFS(Period_Status!$A$2:$A$8,G1945,Period_Status!$B$2:$B$8,"ActualClosed")=1,C1945&gt;EOMONTH(Settlement_Bridge!$C$2,0)),1,0)</f>
        <v>0</v>
      </c>
      <c r="P1945" s="2" t="s">
        <v>5517</v>
      </c>
    </row>
    <row r="1946" spans="1:16" x14ac:dyDescent="0.25">
      <c r="A1946" s="2" t="s">
        <v>5518</v>
      </c>
      <c r="B1946" s="2" t="s">
        <v>199</v>
      </c>
      <c r="C1946" s="8">
        <v>46229</v>
      </c>
      <c r="D1946" s="6">
        <v>46204</v>
      </c>
      <c r="E1946" s="2" t="s">
        <v>260</v>
      </c>
      <c r="F1946" s="2" t="s">
        <v>5519</v>
      </c>
      <c r="G1946" s="6">
        <v>46204</v>
      </c>
      <c r="H1946" s="2" t="s">
        <v>71</v>
      </c>
      <c r="I1946" s="2" t="s">
        <v>76</v>
      </c>
      <c r="J1946" s="9">
        <v>213286935.48387101</v>
      </c>
      <c r="K1946" s="7">
        <v>6.2000000000000003E-5</v>
      </c>
      <c r="L1946" s="9">
        <v>13223.79</v>
      </c>
      <c r="M1946" s="9">
        <v>13223.79</v>
      </c>
      <c r="N1946" s="9">
        <v>7.27</v>
      </c>
      <c r="O1946" s="10">
        <f>IF(AND(OR(H1946="APPROVED",H1946="SCHEDULED"),COUNTIFS(tblSource[EventID],F1946,tblSource[ReleaseStatus],"APPROVED")=1,COUNTIFS(Period_Status!$A$2:$A$8,G1946,Period_Status!$B$2:$B$8,"ActualClosed")=1,C1946&gt;EOMONTH(Settlement_Bridge!$C$2,0)),1,0)</f>
        <v>0</v>
      </c>
      <c r="P1946" s="2" t="s">
        <v>5520</v>
      </c>
    </row>
    <row r="1947" spans="1:16" x14ac:dyDescent="0.25">
      <c r="A1947" s="2" t="s">
        <v>5521</v>
      </c>
      <c r="B1947" s="2" t="s">
        <v>199</v>
      </c>
      <c r="C1947" s="8">
        <v>46220</v>
      </c>
      <c r="D1947" s="6">
        <v>46204</v>
      </c>
      <c r="E1947" s="2" t="s">
        <v>260</v>
      </c>
      <c r="F1947" s="2" t="s">
        <v>5522</v>
      </c>
      <c r="G1947" s="6">
        <v>46204</v>
      </c>
      <c r="H1947" s="2" t="s">
        <v>71</v>
      </c>
      <c r="I1947" s="2" t="s">
        <v>70</v>
      </c>
      <c r="J1947" s="9">
        <v>8143.951368</v>
      </c>
      <c r="K1947" s="7">
        <v>0.65800000000000003</v>
      </c>
      <c r="L1947" s="9">
        <v>5358.72</v>
      </c>
      <c r="M1947" s="9">
        <v>5358.72</v>
      </c>
      <c r="N1947" s="9">
        <v>2.95</v>
      </c>
      <c r="O1947" s="10">
        <f>IF(AND(OR(H1947="APPROVED",H1947="SCHEDULED"),COUNTIFS(tblSource[EventID],F1947,tblSource[ReleaseStatus],"APPROVED")=1,COUNTIFS(Period_Status!$A$2:$A$8,G1947,Period_Status!$B$2:$B$8,"ActualClosed")=1,C1947&gt;EOMONTH(Settlement_Bridge!$C$2,0)),1,0)</f>
        <v>0</v>
      </c>
      <c r="P1947" s="2" t="s">
        <v>5523</v>
      </c>
    </row>
    <row r="1948" spans="1:16" x14ac:dyDescent="0.25">
      <c r="A1948" s="2" t="s">
        <v>5524</v>
      </c>
      <c r="B1948" s="2" t="s">
        <v>199</v>
      </c>
      <c r="C1948" s="8">
        <v>46245</v>
      </c>
      <c r="D1948" s="6">
        <v>46235</v>
      </c>
      <c r="E1948" s="2" t="s">
        <v>260</v>
      </c>
      <c r="F1948" s="2" t="s">
        <v>5522</v>
      </c>
      <c r="G1948" s="6">
        <v>46204</v>
      </c>
      <c r="H1948" s="2" t="s">
        <v>71</v>
      </c>
      <c r="I1948" s="2" t="s">
        <v>70</v>
      </c>
      <c r="J1948" s="9">
        <v>12215.927051000001</v>
      </c>
      <c r="K1948" s="7">
        <v>0.65</v>
      </c>
      <c r="L1948" s="9">
        <v>7940.35</v>
      </c>
      <c r="M1948" s="9">
        <v>8038.08</v>
      </c>
      <c r="N1948" s="9">
        <v>4.37</v>
      </c>
      <c r="O1948" s="10">
        <f>IF(AND(OR(H1948="APPROVED",H1948="SCHEDULED"),COUNTIFS(tblSource[EventID],F1948,tblSource[ReleaseStatus],"APPROVED")=1,COUNTIFS(Period_Status!$A$2:$A$8,G1948,Period_Status!$B$2:$B$8,"ActualClosed")=1,C1948&gt;EOMONTH(Settlement_Bridge!$C$2,0)),1,0)</f>
        <v>1</v>
      </c>
      <c r="P1948" s="2" t="s">
        <v>5525</v>
      </c>
    </row>
    <row r="1949" spans="1:16" x14ac:dyDescent="0.25">
      <c r="A1949" s="2" t="s">
        <v>5526</v>
      </c>
      <c r="B1949" s="2" t="s">
        <v>199</v>
      </c>
      <c r="C1949" s="8">
        <v>46231</v>
      </c>
      <c r="D1949" s="6">
        <v>46204</v>
      </c>
      <c r="E1949" s="2" t="s">
        <v>260</v>
      </c>
      <c r="F1949" s="2" t="s">
        <v>5527</v>
      </c>
      <c r="G1949" s="6">
        <v>46204</v>
      </c>
      <c r="H1949" s="2" t="s">
        <v>71</v>
      </c>
      <c r="I1949" s="2" t="s">
        <v>39</v>
      </c>
      <c r="J1949" s="9">
        <v>13569.81</v>
      </c>
      <c r="K1949" s="7">
        <v>1</v>
      </c>
      <c r="L1949" s="9">
        <v>13569.81</v>
      </c>
      <c r="M1949" s="9">
        <v>13569.81</v>
      </c>
      <c r="N1949" s="9">
        <v>7.46</v>
      </c>
      <c r="O1949" s="10">
        <f>IF(AND(OR(H1949="APPROVED",H1949="SCHEDULED"),COUNTIFS(tblSource[EventID],F1949,tblSource[ReleaseStatus],"APPROVED")=1,COUNTIFS(Period_Status!$A$2:$A$8,G1949,Period_Status!$B$2:$B$8,"ActualClosed")=1,C1949&gt;EOMONTH(Settlement_Bridge!$C$2,0)),1,0)</f>
        <v>0</v>
      </c>
      <c r="P1949" s="2" t="s">
        <v>5528</v>
      </c>
    </row>
    <row r="1950" spans="1:16" x14ac:dyDescent="0.25">
      <c r="A1950" s="2" t="s">
        <v>5529</v>
      </c>
      <c r="B1950" s="2" t="s">
        <v>199</v>
      </c>
      <c r="C1950" s="8">
        <v>46232</v>
      </c>
      <c r="D1950" s="6">
        <v>46204</v>
      </c>
      <c r="E1950" s="2" t="s">
        <v>260</v>
      </c>
      <c r="F1950" s="2" t="s">
        <v>5530</v>
      </c>
      <c r="G1950" s="6">
        <v>46204</v>
      </c>
      <c r="H1950" s="2" t="s">
        <v>71</v>
      </c>
      <c r="I1950" s="2" t="s">
        <v>76</v>
      </c>
      <c r="J1950" s="9">
        <v>221658387.09677401</v>
      </c>
      <c r="K1950" s="7">
        <v>6.2000000000000003E-5</v>
      </c>
      <c r="L1950" s="9">
        <v>13742.82</v>
      </c>
      <c r="M1950" s="9">
        <v>13742.82</v>
      </c>
      <c r="N1950" s="9">
        <v>7.56</v>
      </c>
      <c r="O1950" s="10">
        <f>IF(AND(OR(H1950="APPROVED",H1950="SCHEDULED"),COUNTIFS(tblSource[EventID],F1950,tblSource[ReleaseStatus],"APPROVED")=1,COUNTIFS(Period_Status!$A$2:$A$8,G1950,Period_Status!$B$2:$B$8,"ActualClosed")=1,C1950&gt;EOMONTH(Settlement_Bridge!$C$2,0)),1,0)</f>
        <v>0</v>
      </c>
      <c r="P1950" s="2" t="s">
        <v>5531</v>
      </c>
    </row>
    <row r="1951" spans="1:16" x14ac:dyDescent="0.25">
      <c r="A1951" s="2" t="s">
        <v>5532</v>
      </c>
      <c r="B1951" s="2" t="s">
        <v>199</v>
      </c>
      <c r="C1951" s="8">
        <v>46233</v>
      </c>
      <c r="D1951" s="6">
        <v>46204</v>
      </c>
      <c r="E1951" s="2" t="s">
        <v>260</v>
      </c>
      <c r="F1951" s="2" t="s">
        <v>5533</v>
      </c>
      <c r="G1951" s="6">
        <v>46204</v>
      </c>
      <c r="H1951" s="2" t="s">
        <v>71</v>
      </c>
      <c r="I1951" s="2" t="s">
        <v>70</v>
      </c>
      <c r="J1951" s="9">
        <v>21148.677812000002</v>
      </c>
      <c r="K1951" s="7">
        <v>0.65800000000000003</v>
      </c>
      <c r="L1951" s="9">
        <v>13915.83</v>
      </c>
      <c r="M1951" s="9">
        <v>13915.83</v>
      </c>
      <c r="N1951" s="9">
        <v>7.65</v>
      </c>
      <c r="O1951" s="10">
        <f>IF(AND(OR(H1951="APPROVED",H1951="SCHEDULED"),COUNTIFS(tblSource[EventID],F1951,tblSource[ReleaseStatus],"APPROVED")=1,COUNTIFS(Period_Status!$A$2:$A$8,G1951,Period_Status!$B$2:$B$8,"ActualClosed")=1,C1951&gt;EOMONTH(Settlement_Bridge!$C$2,0)),1,0)</f>
        <v>0</v>
      </c>
      <c r="P1951" s="2" t="s">
        <v>5534</v>
      </c>
    </row>
    <row r="1952" spans="1:16" x14ac:dyDescent="0.25">
      <c r="A1952" s="2" t="s">
        <v>5535</v>
      </c>
      <c r="B1952" s="2" t="s">
        <v>199</v>
      </c>
      <c r="C1952" s="8">
        <v>46234</v>
      </c>
      <c r="D1952" s="6">
        <v>46204</v>
      </c>
      <c r="E1952" s="2" t="s">
        <v>260</v>
      </c>
      <c r="F1952" s="2" t="s">
        <v>5536</v>
      </c>
      <c r="G1952" s="6">
        <v>46204</v>
      </c>
      <c r="H1952" s="2" t="s">
        <v>71</v>
      </c>
      <c r="I1952" s="2" t="s">
        <v>39</v>
      </c>
      <c r="J1952" s="9">
        <v>14088.84</v>
      </c>
      <c r="K1952" s="7">
        <v>1</v>
      </c>
      <c r="L1952" s="9">
        <v>14088.84</v>
      </c>
      <c r="M1952" s="9">
        <v>14088.84</v>
      </c>
      <c r="N1952" s="9">
        <v>7.75</v>
      </c>
      <c r="O1952" s="10">
        <f>IF(AND(OR(H1952="APPROVED",H1952="SCHEDULED"),COUNTIFS(tblSource[EventID],F1952,tblSource[ReleaseStatus],"APPROVED")=1,COUNTIFS(Period_Status!$A$2:$A$8,G1952,Period_Status!$B$2:$B$8,"ActualClosed")=1,C1952&gt;EOMONTH(Settlement_Bridge!$C$2,0)),1,0)</f>
        <v>0</v>
      </c>
      <c r="P1952" s="2" t="s">
        <v>5537</v>
      </c>
    </row>
    <row r="1953" spans="1:16" x14ac:dyDescent="0.25">
      <c r="A1953" s="2" t="s">
        <v>5538</v>
      </c>
      <c r="B1953" s="2" t="s">
        <v>199</v>
      </c>
      <c r="C1953" s="8">
        <v>46235</v>
      </c>
      <c r="D1953" s="6">
        <v>46235</v>
      </c>
      <c r="E1953" s="2" t="s">
        <v>260</v>
      </c>
      <c r="F1953" s="2" t="s">
        <v>5539</v>
      </c>
      <c r="G1953" s="6">
        <v>46204</v>
      </c>
      <c r="H1953" s="2" t="s">
        <v>71</v>
      </c>
      <c r="I1953" s="2" t="s">
        <v>76</v>
      </c>
      <c r="J1953" s="9">
        <v>230029838.70967701</v>
      </c>
      <c r="K1953" s="7">
        <v>6.1500000000000004E-5</v>
      </c>
      <c r="L1953" s="9">
        <v>14146.84</v>
      </c>
      <c r="M1953" s="9">
        <v>14261.85</v>
      </c>
      <c r="N1953" s="9">
        <v>7.78</v>
      </c>
      <c r="O1953" s="10">
        <f>IF(AND(OR(H1953="APPROVED",H1953="SCHEDULED"),COUNTIFS(tblSource[EventID],F1953,tblSource[ReleaseStatus],"APPROVED")=1,COUNTIFS(Period_Status!$A$2:$A$8,G1953,Period_Status!$B$2:$B$8,"ActualClosed")=1,C1953&gt;EOMONTH(Settlement_Bridge!$C$2,0)),1,0)</f>
        <v>1</v>
      </c>
      <c r="P1953" s="2" t="s">
        <v>5540</v>
      </c>
    </row>
    <row r="1954" spans="1:16" x14ac:dyDescent="0.25">
      <c r="A1954" s="2" t="s">
        <v>5541</v>
      </c>
      <c r="B1954" s="2" t="s">
        <v>199</v>
      </c>
      <c r="C1954" s="8">
        <v>46226</v>
      </c>
      <c r="D1954" s="6">
        <v>46204</v>
      </c>
      <c r="E1954" s="2" t="s">
        <v>260</v>
      </c>
      <c r="F1954" s="2" t="s">
        <v>5542</v>
      </c>
      <c r="G1954" s="6">
        <v>46204</v>
      </c>
      <c r="H1954" s="2" t="s">
        <v>71</v>
      </c>
      <c r="I1954" s="2" t="s">
        <v>70</v>
      </c>
      <c r="J1954" s="9">
        <v>8774.9908820000001</v>
      </c>
      <c r="K1954" s="7">
        <v>0.65800000000000003</v>
      </c>
      <c r="L1954" s="9">
        <v>5773.94</v>
      </c>
      <c r="M1954" s="9">
        <v>5773.94</v>
      </c>
      <c r="N1954" s="9">
        <v>3.18</v>
      </c>
      <c r="O1954" s="10">
        <f>IF(AND(OR(H1954="APPROVED",H1954="SCHEDULED"),COUNTIFS(tblSource[EventID],F1954,tblSource[ReleaseStatus],"APPROVED")=1,COUNTIFS(Period_Status!$A$2:$A$8,G1954,Period_Status!$B$2:$B$8,"ActualClosed")=1,C1954&gt;EOMONTH(Settlement_Bridge!$C$2,0)),1,0)</f>
        <v>0</v>
      </c>
      <c r="P1954" s="2" t="s">
        <v>5543</v>
      </c>
    </row>
    <row r="1955" spans="1:16" x14ac:dyDescent="0.25">
      <c r="A1955" s="2" t="s">
        <v>5544</v>
      </c>
      <c r="B1955" s="2" t="s">
        <v>199</v>
      </c>
      <c r="C1955" s="8">
        <v>46251</v>
      </c>
      <c r="D1955" s="6">
        <v>46235</v>
      </c>
      <c r="E1955" s="2" t="s">
        <v>260</v>
      </c>
      <c r="F1955" s="2" t="s">
        <v>5542</v>
      </c>
      <c r="G1955" s="6">
        <v>46204</v>
      </c>
      <c r="H1955" s="2" t="s">
        <v>71</v>
      </c>
      <c r="I1955" s="2" t="s">
        <v>70</v>
      </c>
      <c r="J1955" s="9">
        <v>13162.486322000001</v>
      </c>
      <c r="K1955" s="7">
        <v>0.65</v>
      </c>
      <c r="L1955" s="9">
        <v>8555.6200000000008</v>
      </c>
      <c r="M1955" s="9">
        <v>8660.92</v>
      </c>
      <c r="N1955" s="9">
        <v>4.71</v>
      </c>
      <c r="O1955" s="10">
        <f>IF(AND(OR(H1955="APPROVED",H1955="SCHEDULED"),COUNTIFS(tblSource[EventID],F1955,tblSource[ReleaseStatus],"APPROVED")=1,COUNTIFS(Period_Status!$A$2:$A$8,G1955,Period_Status!$B$2:$B$8,"ActualClosed")=1,C1955&gt;EOMONTH(Settlement_Bridge!$C$2,0)),1,0)</f>
        <v>1</v>
      </c>
      <c r="P1955" s="2" t="s">
        <v>5545</v>
      </c>
    </row>
    <row r="1956" spans="1:16" x14ac:dyDescent="0.25">
      <c r="A1956" s="2" t="s">
        <v>5546</v>
      </c>
      <c r="B1956" s="2" t="s">
        <v>199</v>
      </c>
      <c r="C1956" s="8">
        <v>46227</v>
      </c>
      <c r="D1956" s="6">
        <v>46204</v>
      </c>
      <c r="E1956" s="2" t="s">
        <v>260</v>
      </c>
      <c r="F1956" s="2" t="s">
        <v>5547</v>
      </c>
      <c r="G1956" s="6">
        <v>46204</v>
      </c>
      <c r="H1956" s="2" t="s">
        <v>71</v>
      </c>
      <c r="I1956" s="2" t="s">
        <v>39</v>
      </c>
      <c r="J1956" s="9">
        <v>5843.1480000000001</v>
      </c>
      <c r="K1956" s="7">
        <v>1</v>
      </c>
      <c r="L1956" s="9">
        <v>5843.15</v>
      </c>
      <c r="M1956" s="9">
        <v>5843.15</v>
      </c>
      <c r="N1956" s="9">
        <v>3.21</v>
      </c>
      <c r="O1956" s="10">
        <f>IF(AND(OR(H1956="APPROVED",H1956="SCHEDULED"),COUNTIFS(tblSource[EventID],F1956,tblSource[ReleaseStatus],"APPROVED")=1,COUNTIFS(Period_Status!$A$2:$A$8,G1956,Period_Status!$B$2:$B$8,"ActualClosed")=1,C1956&gt;EOMONTH(Settlement_Bridge!$C$2,0)),1,0)</f>
        <v>0</v>
      </c>
      <c r="P1956" s="2" t="s">
        <v>5548</v>
      </c>
    </row>
    <row r="1957" spans="1:16" x14ac:dyDescent="0.25">
      <c r="A1957" s="2" t="s">
        <v>5549</v>
      </c>
      <c r="B1957" s="2" t="s">
        <v>199</v>
      </c>
      <c r="C1957" s="8">
        <v>46252</v>
      </c>
      <c r="D1957" s="6">
        <v>46235</v>
      </c>
      <c r="E1957" s="2" t="s">
        <v>260</v>
      </c>
      <c r="F1957" s="2" t="s">
        <v>5547</v>
      </c>
      <c r="G1957" s="6">
        <v>46204</v>
      </c>
      <c r="H1957" s="2" t="s">
        <v>71</v>
      </c>
      <c r="I1957" s="2" t="s">
        <v>39</v>
      </c>
      <c r="J1957" s="9">
        <v>8764.7219999999998</v>
      </c>
      <c r="K1957" s="7">
        <v>1</v>
      </c>
      <c r="L1957" s="9">
        <v>8764.7199999999993</v>
      </c>
      <c r="M1957" s="9">
        <v>8764.7199999999993</v>
      </c>
      <c r="N1957" s="9">
        <v>4.82</v>
      </c>
      <c r="O1957" s="10">
        <f>IF(AND(OR(H1957="APPROVED",H1957="SCHEDULED"),COUNTIFS(tblSource[EventID],F1957,tblSource[ReleaseStatus],"APPROVED")=1,COUNTIFS(Period_Status!$A$2:$A$8,G1957,Period_Status!$B$2:$B$8,"ActualClosed")=1,C1957&gt;EOMONTH(Settlement_Bridge!$C$2,0)),1,0)</f>
        <v>1</v>
      </c>
      <c r="P1957" s="2" t="s">
        <v>5550</v>
      </c>
    </row>
    <row r="1958" spans="1:16" x14ac:dyDescent="0.25">
      <c r="A1958" s="2" t="s">
        <v>5551</v>
      </c>
      <c r="B1958" s="2" t="s">
        <v>199</v>
      </c>
      <c r="C1958" s="8">
        <v>46238</v>
      </c>
      <c r="D1958" s="6">
        <v>46235</v>
      </c>
      <c r="E1958" s="2" t="s">
        <v>260</v>
      </c>
      <c r="F1958" s="2" t="s">
        <v>5552</v>
      </c>
      <c r="G1958" s="6">
        <v>46204</v>
      </c>
      <c r="H1958" s="2" t="s">
        <v>71</v>
      </c>
      <c r="I1958" s="2" t="s">
        <v>76</v>
      </c>
      <c r="J1958" s="9">
        <v>238401290.32258099</v>
      </c>
      <c r="K1958" s="7">
        <v>6.1500000000000004E-5</v>
      </c>
      <c r="L1958" s="9">
        <v>14661.68</v>
      </c>
      <c r="M1958" s="9">
        <v>14780.88</v>
      </c>
      <c r="N1958" s="9">
        <v>8.06</v>
      </c>
      <c r="O1958" s="10">
        <f>IF(AND(OR(H1958="APPROVED",H1958="SCHEDULED"),COUNTIFS(tblSource[EventID],F1958,tblSource[ReleaseStatus],"APPROVED")=1,COUNTIFS(Period_Status!$A$2:$A$8,G1958,Period_Status!$B$2:$B$8,"ActualClosed")=1,C1958&gt;EOMONTH(Settlement_Bridge!$C$2,0)),1,0)</f>
        <v>1</v>
      </c>
      <c r="P1958" s="2" t="s">
        <v>5553</v>
      </c>
    </row>
    <row r="1959" spans="1:16" x14ac:dyDescent="0.25">
      <c r="A1959" s="2" t="s">
        <v>5554</v>
      </c>
      <c r="B1959" s="2" t="s">
        <v>199</v>
      </c>
      <c r="C1959" s="8">
        <v>46239</v>
      </c>
      <c r="D1959" s="6">
        <v>46235</v>
      </c>
      <c r="E1959" s="2" t="s">
        <v>260</v>
      </c>
      <c r="F1959" s="2" t="s">
        <v>5555</v>
      </c>
      <c r="G1959" s="6">
        <v>46204</v>
      </c>
      <c r="H1959" s="2" t="s">
        <v>71</v>
      </c>
      <c r="I1959" s="2" t="s">
        <v>70</v>
      </c>
      <c r="J1959" s="9">
        <v>1449.6808510000001</v>
      </c>
      <c r="K1959" s="7">
        <v>0.65</v>
      </c>
      <c r="L1959" s="9">
        <v>942.29</v>
      </c>
      <c r="M1959" s="9">
        <v>953.89</v>
      </c>
      <c r="N1959" s="9">
        <v>1.8</v>
      </c>
      <c r="O1959" s="10">
        <f>IF(AND(OR(H1959="APPROVED",H1959="SCHEDULED"),COUNTIFS(tblSource[EventID],F1959,tblSource[ReleaseStatus],"APPROVED")=1,COUNTIFS(Period_Status!$A$2:$A$8,G1959,Period_Status!$B$2:$B$8,"ActualClosed")=1,C1959&gt;EOMONTH(Settlement_Bridge!$C$2,0)),1,0)</f>
        <v>1</v>
      </c>
      <c r="P1959" s="2" t="s">
        <v>5556</v>
      </c>
    </row>
    <row r="1960" spans="1:16" x14ac:dyDescent="0.25">
      <c r="A1960" s="2" t="s">
        <v>5557</v>
      </c>
      <c r="B1960" s="2" t="s">
        <v>199</v>
      </c>
      <c r="C1960" s="8">
        <v>46230</v>
      </c>
      <c r="D1960" s="6">
        <v>46204</v>
      </c>
      <c r="E1960" s="2" t="s">
        <v>260</v>
      </c>
      <c r="F1960" s="2" t="s">
        <v>5558</v>
      </c>
      <c r="G1960" s="6">
        <v>46204</v>
      </c>
      <c r="H1960" s="2" t="s">
        <v>71</v>
      </c>
      <c r="I1960" s="2" t="s">
        <v>39</v>
      </c>
      <c r="J1960" s="9">
        <v>450.76</v>
      </c>
      <c r="K1960" s="7">
        <v>1</v>
      </c>
      <c r="L1960" s="9">
        <v>450.76</v>
      </c>
      <c r="M1960" s="9">
        <v>450.76</v>
      </c>
      <c r="N1960" s="9">
        <v>1.8</v>
      </c>
      <c r="O1960" s="10">
        <f>IF(AND(OR(H1960="APPROVED",H1960="SCHEDULED"),COUNTIFS(tblSource[EventID],F1960,tblSource[ReleaseStatus],"APPROVED")=1,COUNTIFS(Period_Status!$A$2:$A$8,G1960,Period_Status!$B$2:$B$8,"ActualClosed")=1,C1960&gt;EOMONTH(Settlement_Bridge!$C$2,0)),1,0)</f>
        <v>0</v>
      </c>
      <c r="P1960" s="2" t="s">
        <v>5559</v>
      </c>
    </row>
    <row r="1961" spans="1:16" x14ac:dyDescent="0.25">
      <c r="A1961" s="2" t="s">
        <v>5560</v>
      </c>
      <c r="B1961" s="2" t="s">
        <v>199</v>
      </c>
      <c r="C1961" s="8">
        <v>46255</v>
      </c>
      <c r="D1961" s="6">
        <v>46235</v>
      </c>
      <c r="E1961" s="2" t="s">
        <v>260</v>
      </c>
      <c r="F1961" s="2" t="s">
        <v>5558</v>
      </c>
      <c r="G1961" s="6">
        <v>46204</v>
      </c>
      <c r="H1961" s="2" t="s">
        <v>71</v>
      </c>
      <c r="I1961" s="2" t="s">
        <v>39</v>
      </c>
      <c r="J1961" s="9">
        <v>676.14</v>
      </c>
      <c r="K1961" s="7">
        <v>1</v>
      </c>
      <c r="L1961" s="9">
        <v>676.14</v>
      </c>
      <c r="M1961" s="9">
        <v>676.14</v>
      </c>
      <c r="N1961" s="9">
        <v>1.8</v>
      </c>
      <c r="O1961" s="10">
        <f>IF(AND(OR(H1961="APPROVED",H1961="SCHEDULED"),COUNTIFS(tblSource[EventID],F1961,tblSource[ReleaseStatus],"APPROVED")=1,COUNTIFS(Period_Status!$A$2:$A$8,G1961,Period_Status!$B$2:$B$8,"ActualClosed")=1,C1961&gt;EOMONTH(Settlement_Bridge!$C$2,0)),1,0)</f>
        <v>1</v>
      </c>
      <c r="P1961" s="2" t="s">
        <v>5561</v>
      </c>
    </row>
    <row r="1962" spans="1:16" x14ac:dyDescent="0.25">
      <c r="A1962" s="2" t="s">
        <v>5562</v>
      </c>
      <c r="B1962" s="2" t="s">
        <v>199</v>
      </c>
      <c r="C1962" s="8">
        <v>46241</v>
      </c>
      <c r="D1962" s="6">
        <v>46235</v>
      </c>
      <c r="E1962" s="2" t="s">
        <v>260</v>
      </c>
      <c r="F1962" s="2" t="s">
        <v>5563</v>
      </c>
      <c r="G1962" s="6">
        <v>46204</v>
      </c>
      <c r="H1962" s="2" t="s">
        <v>71</v>
      </c>
      <c r="I1962" s="2" t="s">
        <v>76</v>
      </c>
      <c r="J1962" s="9">
        <v>20966290.322581001</v>
      </c>
      <c r="K1962" s="7">
        <v>6.1500000000000004E-5</v>
      </c>
      <c r="L1962" s="9">
        <v>1289.43</v>
      </c>
      <c r="M1962" s="9">
        <v>1299.9100000000001</v>
      </c>
      <c r="N1962" s="9">
        <v>1.8</v>
      </c>
      <c r="O1962" s="10">
        <f>IF(AND(OR(H1962="APPROVED",H1962="SCHEDULED"),COUNTIFS(tblSource[EventID],F1962,tblSource[ReleaseStatus],"APPROVED")=1,COUNTIFS(Period_Status!$A$2:$A$8,G1962,Period_Status!$B$2:$B$8,"ActualClosed")=1,C1962&gt;EOMONTH(Settlement_Bridge!$C$2,0)),1,0)</f>
        <v>1</v>
      </c>
      <c r="P1962" s="2" t="s">
        <v>5564</v>
      </c>
    </row>
    <row r="1963" spans="1:16" x14ac:dyDescent="0.25">
      <c r="A1963" s="2" t="s">
        <v>5565</v>
      </c>
      <c r="B1963" s="2" t="s">
        <v>199</v>
      </c>
      <c r="C1963" s="8">
        <v>46242</v>
      </c>
      <c r="D1963" s="6">
        <v>46235</v>
      </c>
      <c r="E1963" s="2" t="s">
        <v>260</v>
      </c>
      <c r="F1963" s="2" t="s">
        <v>5566</v>
      </c>
      <c r="G1963" s="6">
        <v>46204</v>
      </c>
      <c r="H1963" s="2" t="s">
        <v>71</v>
      </c>
      <c r="I1963" s="2" t="s">
        <v>70</v>
      </c>
      <c r="J1963" s="9">
        <v>2238.480243</v>
      </c>
      <c r="K1963" s="7">
        <v>0.65</v>
      </c>
      <c r="L1963" s="9">
        <v>1455.01</v>
      </c>
      <c r="M1963" s="9">
        <v>1472.92</v>
      </c>
      <c r="N1963" s="9">
        <v>1.8</v>
      </c>
      <c r="O1963" s="10">
        <f>IF(AND(OR(H1963="APPROVED",H1963="SCHEDULED"),COUNTIFS(tblSource[EventID],F1963,tblSource[ReleaseStatus],"APPROVED")=1,COUNTIFS(Period_Status!$A$2:$A$8,G1963,Period_Status!$B$2:$B$8,"ActualClosed")=1,C1963&gt;EOMONTH(Settlement_Bridge!$C$2,0)),1,0)</f>
        <v>1</v>
      </c>
      <c r="P1963" s="2" t="s">
        <v>5567</v>
      </c>
    </row>
    <row r="1964" spans="1:16" x14ac:dyDescent="0.25">
      <c r="A1964" s="2" t="s">
        <v>5568</v>
      </c>
      <c r="B1964" s="2" t="s">
        <v>199</v>
      </c>
      <c r="C1964" s="8">
        <v>46243</v>
      </c>
      <c r="D1964" s="6">
        <v>46235</v>
      </c>
      <c r="E1964" s="2" t="s">
        <v>260</v>
      </c>
      <c r="F1964" s="2" t="s">
        <v>5569</v>
      </c>
      <c r="G1964" s="6">
        <v>46204</v>
      </c>
      <c r="H1964" s="2" t="s">
        <v>71</v>
      </c>
      <c r="I1964" s="2" t="s">
        <v>39</v>
      </c>
      <c r="J1964" s="9">
        <v>1645.93</v>
      </c>
      <c r="K1964" s="7">
        <v>1</v>
      </c>
      <c r="L1964" s="9">
        <v>1645.93</v>
      </c>
      <c r="M1964" s="9">
        <v>1645.93</v>
      </c>
      <c r="N1964" s="9">
        <v>1.8</v>
      </c>
      <c r="O1964" s="10">
        <f>IF(AND(OR(H1964="APPROVED",H1964="SCHEDULED"),COUNTIFS(tblSource[EventID],F1964,tblSource[ReleaseStatus],"APPROVED")=1,COUNTIFS(Period_Status!$A$2:$A$8,G1964,Period_Status!$B$2:$B$8,"ActualClosed")=1,C1964&gt;EOMONTH(Settlement_Bridge!$C$2,0)),1,0)</f>
        <v>1</v>
      </c>
      <c r="P1964" s="2" t="s">
        <v>5570</v>
      </c>
    </row>
    <row r="1965" spans="1:16" x14ac:dyDescent="0.25">
      <c r="A1965" s="2" t="s">
        <v>5571</v>
      </c>
      <c r="B1965" s="2" t="s">
        <v>199</v>
      </c>
      <c r="C1965" s="8">
        <v>46244</v>
      </c>
      <c r="D1965" s="6">
        <v>46235</v>
      </c>
      <c r="E1965" s="2" t="s">
        <v>260</v>
      </c>
      <c r="F1965" s="2" t="s">
        <v>5572</v>
      </c>
      <c r="G1965" s="6">
        <v>46204</v>
      </c>
      <c r="H1965" s="2" t="s">
        <v>71</v>
      </c>
      <c r="I1965" s="2" t="s">
        <v>76</v>
      </c>
      <c r="J1965" s="9">
        <v>29337741.935484</v>
      </c>
      <c r="K1965" s="7">
        <v>6.1500000000000004E-5</v>
      </c>
      <c r="L1965" s="9">
        <v>1804.27</v>
      </c>
      <c r="M1965" s="9">
        <v>1818.94</v>
      </c>
      <c r="N1965" s="9">
        <v>1.8</v>
      </c>
      <c r="O1965" s="10">
        <f>IF(AND(OR(H1965="APPROVED",H1965="SCHEDULED"),COUNTIFS(tblSource[EventID],F1965,tblSource[ReleaseStatus],"APPROVED")=1,COUNTIFS(Period_Status!$A$2:$A$8,G1965,Period_Status!$B$2:$B$8,"ActualClosed")=1,C1965&gt;EOMONTH(Settlement_Bridge!$C$2,0)),1,0)</f>
        <v>1</v>
      </c>
      <c r="P1965" s="2" t="s">
        <v>5573</v>
      </c>
    </row>
    <row r="1966" spans="1:16" x14ac:dyDescent="0.25">
      <c r="A1966" s="2" t="s">
        <v>5574</v>
      </c>
      <c r="B1966" s="2" t="s">
        <v>199</v>
      </c>
      <c r="C1966" s="8">
        <v>46245</v>
      </c>
      <c r="D1966" s="6">
        <v>46235</v>
      </c>
      <c r="E1966" s="2" t="s">
        <v>260</v>
      </c>
      <c r="F1966" s="2" t="s">
        <v>5575</v>
      </c>
      <c r="G1966" s="6">
        <v>46204</v>
      </c>
      <c r="H1966" s="2" t="s">
        <v>71</v>
      </c>
      <c r="I1966" s="2" t="s">
        <v>70</v>
      </c>
      <c r="J1966" s="9">
        <v>3027.2796349999999</v>
      </c>
      <c r="K1966" s="7">
        <v>0.65</v>
      </c>
      <c r="L1966" s="9">
        <v>1967.73</v>
      </c>
      <c r="M1966" s="9">
        <v>1991.95</v>
      </c>
      <c r="N1966" s="9">
        <v>1.8</v>
      </c>
      <c r="O1966" s="10">
        <f>IF(AND(OR(H1966="APPROVED",H1966="SCHEDULED"),COUNTIFS(tblSource[EventID],F1966,tblSource[ReleaseStatus],"APPROVED")=1,COUNTIFS(Period_Status!$A$2:$A$8,G1966,Period_Status!$B$2:$B$8,"ActualClosed")=1,C1966&gt;EOMONTH(Settlement_Bridge!$C$2,0)),1,0)</f>
        <v>1</v>
      </c>
      <c r="P1966" s="2" t="s">
        <v>5576</v>
      </c>
    </row>
    <row r="1967" spans="1:16" x14ac:dyDescent="0.25">
      <c r="A1967" s="2" t="s">
        <v>5577</v>
      </c>
      <c r="B1967" s="2" t="s">
        <v>199</v>
      </c>
      <c r="C1967" s="8">
        <v>46236</v>
      </c>
      <c r="D1967" s="6">
        <v>46235</v>
      </c>
      <c r="E1967" s="2" t="s">
        <v>260</v>
      </c>
      <c r="F1967" s="2" t="s">
        <v>5578</v>
      </c>
      <c r="G1967" s="6">
        <v>46204</v>
      </c>
      <c r="H1967" s="2" t="s">
        <v>71</v>
      </c>
      <c r="I1967" s="2" t="s">
        <v>39</v>
      </c>
      <c r="J1967" s="9">
        <v>865.98400000000004</v>
      </c>
      <c r="K1967" s="7">
        <v>1</v>
      </c>
      <c r="L1967" s="9">
        <v>865.98</v>
      </c>
      <c r="M1967" s="9">
        <v>865.98</v>
      </c>
      <c r="N1967" s="9">
        <v>1.8</v>
      </c>
      <c r="O1967" s="10">
        <f>IF(AND(OR(H1967="APPROVED",H1967="SCHEDULED"),COUNTIFS(tblSource[EventID],F1967,tblSource[ReleaseStatus],"APPROVED")=1,COUNTIFS(Period_Status!$A$2:$A$8,G1967,Period_Status!$B$2:$B$8,"ActualClosed")=1,C1967&gt;EOMONTH(Settlement_Bridge!$C$2,0)),1,0)</f>
        <v>1</v>
      </c>
      <c r="P1967" s="2" t="s">
        <v>5579</v>
      </c>
    </row>
    <row r="1968" spans="1:16" x14ac:dyDescent="0.25">
      <c r="A1968" s="2" t="s">
        <v>5580</v>
      </c>
      <c r="B1968" s="2" t="s">
        <v>199</v>
      </c>
      <c r="C1968" s="8">
        <v>46261</v>
      </c>
      <c r="D1968" s="6">
        <v>46235</v>
      </c>
      <c r="E1968" s="2" t="s">
        <v>260</v>
      </c>
      <c r="F1968" s="2" t="s">
        <v>5578</v>
      </c>
      <c r="G1968" s="6">
        <v>46204</v>
      </c>
      <c r="H1968" s="2" t="s">
        <v>71</v>
      </c>
      <c r="I1968" s="2" t="s">
        <v>39</v>
      </c>
      <c r="J1968" s="9">
        <v>1298.9760000000001</v>
      </c>
      <c r="K1968" s="7">
        <v>1</v>
      </c>
      <c r="L1968" s="9">
        <v>1298.98</v>
      </c>
      <c r="M1968" s="9">
        <v>1298.98</v>
      </c>
      <c r="N1968" s="9">
        <v>1.8</v>
      </c>
      <c r="O1968" s="10">
        <f>IF(AND(OR(H1968="APPROVED",H1968="SCHEDULED"),COUNTIFS(tblSource[EventID],F1968,tblSource[ReleaseStatus],"APPROVED")=1,COUNTIFS(Period_Status!$A$2:$A$8,G1968,Period_Status!$B$2:$B$8,"ActualClosed")=1,C1968&gt;EOMONTH(Settlement_Bridge!$C$2,0)),1,0)</f>
        <v>1</v>
      </c>
      <c r="P1968" s="2" t="s">
        <v>5581</v>
      </c>
    </row>
    <row r="1969" spans="1:16" x14ac:dyDescent="0.25">
      <c r="A1969" s="2" t="s">
        <v>5582</v>
      </c>
      <c r="B1969" s="2" t="s">
        <v>199</v>
      </c>
      <c r="C1969" s="8">
        <v>46237</v>
      </c>
      <c r="D1969" s="6">
        <v>46235</v>
      </c>
      <c r="E1969" s="2" t="s">
        <v>260</v>
      </c>
      <c r="F1969" s="2" t="s">
        <v>5583</v>
      </c>
      <c r="G1969" s="6">
        <v>46204</v>
      </c>
      <c r="H1969" s="2" t="s">
        <v>71</v>
      </c>
      <c r="I1969" s="2" t="s">
        <v>76</v>
      </c>
      <c r="J1969" s="9">
        <v>15077419.354839001</v>
      </c>
      <c r="K1969" s="7">
        <v>6.1500000000000004E-5</v>
      </c>
      <c r="L1969" s="9">
        <v>927.26</v>
      </c>
      <c r="M1969" s="9">
        <v>934.8</v>
      </c>
      <c r="N1969" s="9">
        <v>1.8</v>
      </c>
      <c r="O1969" s="10">
        <f>IF(AND(OR(H1969="APPROVED",H1969="SCHEDULED"),COUNTIFS(tblSource[EventID],F1969,tblSource[ReleaseStatus],"APPROVED")=1,COUNTIFS(Period_Status!$A$2:$A$8,G1969,Period_Status!$B$2:$B$8,"ActualClosed")=1,C1969&gt;EOMONTH(Settlement_Bridge!$C$2,0)),1,0)</f>
        <v>1</v>
      </c>
      <c r="P1969" s="2" t="s">
        <v>5584</v>
      </c>
    </row>
    <row r="1970" spans="1:16" x14ac:dyDescent="0.25">
      <c r="A1970" s="2" t="s">
        <v>5585</v>
      </c>
      <c r="B1970" s="2" t="s">
        <v>199</v>
      </c>
      <c r="C1970" s="8">
        <v>46262</v>
      </c>
      <c r="D1970" s="6">
        <v>46235</v>
      </c>
      <c r="E1970" s="2" t="s">
        <v>260</v>
      </c>
      <c r="F1970" s="2" t="s">
        <v>5583</v>
      </c>
      <c r="G1970" s="6">
        <v>46204</v>
      </c>
      <c r="H1970" s="2" t="s">
        <v>71</v>
      </c>
      <c r="I1970" s="2" t="s">
        <v>76</v>
      </c>
      <c r="J1970" s="9">
        <v>22616129.032258</v>
      </c>
      <c r="K1970" s="7">
        <v>6.1500000000000004E-5</v>
      </c>
      <c r="L1970" s="9">
        <v>1390.89</v>
      </c>
      <c r="M1970" s="9">
        <v>1402.2</v>
      </c>
      <c r="N1970" s="9">
        <v>1.8</v>
      </c>
      <c r="O1970" s="10">
        <f>IF(AND(OR(H1970="APPROVED",H1970="SCHEDULED"),COUNTIFS(tblSource[EventID],F1970,tblSource[ReleaseStatus],"APPROVED")=1,COUNTIFS(Period_Status!$A$2:$A$8,G1970,Period_Status!$B$2:$B$8,"ActualClosed")=1,C1970&gt;EOMONTH(Settlement_Bridge!$C$2,0)),1,0)</f>
        <v>1</v>
      </c>
      <c r="P1970" s="2" t="s">
        <v>5586</v>
      </c>
    </row>
    <row r="1971" spans="1:16" x14ac:dyDescent="0.25">
      <c r="A1971" s="2" t="s">
        <v>5587</v>
      </c>
      <c r="B1971" s="2" t="s">
        <v>199</v>
      </c>
      <c r="C1971" s="8">
        <v>46248</v>
      </c>
      <c r="D1971" s="6">
        <v>46235</v>
      </c>
      <c r="E1971" s="2" t="s">
        <v>260</v>
      </c>
      <c r="F1971" s="2" t="s">
        <v>5588</v>
      </c>
      <c r="G1971" s="6">
        <v>46204</v>
      </c>
      <c r="H1971" s="2" t="s">
        <v>71</v>
      </c>
      <c r="I1971" s="2" t="s">
        <v>70</v>
      </c>
      <c r="J1971" s="9">
        <v>3814.604863</v>
      </c>
      <c r="K1971" s="7">
        <v>0.65</v>
      </c>
      <c r="L1971" s="9">
        <v>2479.4899999999998</v>
      </c>
      <c r="M1971" s="9">
        <v>2510.0100000000002</v>
      </c>
      <c r="N1971" s="9">
        <v>1.8</v>
      </c>
      <c r="O1971" s="10">
        <f>IF(AND(OR(H1971="APPROVED",H1971="SCHEDULED"),COUNTIFS(tblSource[EventID],F1971,tblSource[ReleaseStatus],"APPROVED")=1,COUNTIFS(Period_Status!$A$2:$A$8,G1971,Period_Status!$B$2:$B$8,"ActualClosed")=1,C1971&gt;EOMONTH(Settlement_Bridge!$C$2,0)),1,0)</f>
        <v>1</v>
      </c>
      <c r="P1971" s="2" t="s">
        <v>5589</v>
      </c>
    </row>
    <row r="1972" spans="1:16" x14ac:dyDescent="0.25">
      <c r="A1972" s="2" t="s">
        <v>5590</v>
      </c>
      <c r="B1972" s="2" t="s">
        <v>199</v>
      </c>
      <c r="C1972" s="8">
        <v>46249</v>
      </c>
      <c r="D1972" s="6">
        <v>46235</v>
      </c>
      <c r="E1972" s="2" t="s">
        <v>260</v>
      </c>
      <c r="F1972" s="2" t="s">
        <v>5591</v>
      </c>
      <c r="G1972" s="6">
        <v>46204</v>
      </c>
      <c r="H1972" s="2" t="s">
        <v>71</v>
      </c>
      <c r="I1972" s="2" t="s">
        <v>39</v>
      </c>
      <c r="J1972" s="9">
        <v>2683.02</v>
      </c>
      <c r="K1972" s="7">
        <v>1</v>
      </c>
      <c r="L1972" s="9">
        <v>2683.02</v>
      </c>
      <c r="M1972" s="9">
        <v>2683.02</v>
      </c>
      <c r="N1972" s="9">
        <v>1.8</v>
      </c>
      <c r="O1972" s="10">
        <f>IF(AND(OR(H1972="APPROVED",H1972="SCHEDULED"),COUNTIFS(tblSource[EventID],F1972,tblSource[ReleaseStatus],"APPROVED")=1,COUNTIFS(Period_Status!$A$2:$A$8,G1972,Period_Status!$B$2:$B$8,"ActualClosed")=1,C1972&gt;EOMONTH(Settlement_Bridge!$C$2,0)),1,0)</f>
        <v>1</v>
      </c>
      <c r="P1972" s="2" t="s">
        <v>5592</v>
      </c>
    </row>
    <row r="1973" spans="1:16" x14ac:dyDescent="0.25">
      <c r="A1973" s="2" t="s">
        <v>5593</v>
      </c>
      <c r="B1973" s="2" t="s">
        <v>199</v>
      </c>
      <c r="C1973" s="8">
        <v>46240</v>
      </c>
      <c r="D1973" s="6">
        <v>46235</v>
      </c>
      <c r="E1973" s="2" t="s">
        <v>260</v>
      </c>
      <c r="F1973" s="2" t="s">
        <v>5594</v>
      </c>
      <c r="G1973" s="6">
        <v>46204</v>
      </c>
      <c r="H1973" s="2" t="s">
        <v>71</v>
      </c>
      <c r="I1973" s="2" t="s">
        <v>76</v>
      </c>
      <c r="J1973" s="9">
        <v>18426000</v>
      </c>
      <c r="K1973" s="7">
        <v>6.1500000000000004E-5</v>
      </c>
      <c r="L1973" s="9">
        <v>1133.2</v>
      </c>
      <c r="M1973" s="9">
        <v>1142.4100000000001</v>
      </c>
      <c r="N1973" s="9">
        <v>1.8</v>
      </c>
      <c r="O1973" s="10">
        <f>IF(AND(OR(H1973="APPROVED",H1973="SCHEDULED"),COUNTIFS(tblSource[EventID],F1973,tblSource[ReleaseStatus],"APPROVED")=1,COUNTIFS(Period_Status!$A$2:$A$8,G1973,Period_Status!$B$2:$B$8,"ActualClosed")=1,C1973&gt;EOMONTH(Settlement_Bridge!$C$2,0)),1,0)</f>
        <v>1</v>
      </c>
      <c r="P1973" s="2" t="s">
        <v>5595</v>
      </c>
    </row>
    <row r="1974" spans="1:16" x14ac:dyDescent="0.25">
      <c r="A1974" s="2" t="s">
        <v>5596</v>
      </c>
      <c r="B1974" s="2" t="s">
        <v>199</v>
      </c>
      <c r="C1974" s="8">
        <v>46265</v>
      </c>
      <c r="D1974" s="6">
        <v>46235</v>
      </c>
      <c r="E1974" s="2" t="s">
        <v>260</v>
      </c>
      <c r="F1974" s="2" t="s">
        <v>5594</v>
      </c>
      <c r="G1974" s="6">
        <v>46204</v>
      </c>
      <c r="H1974" s="2" t="s">
        <v>71</v>
      </c>
      <c r="I1974" s="2" t="s">
        <v>76</v>
      </c>
      <c r="J1974" s="9">
        <v>27639000</v>
      </c>
      <c r="K1974" s="7">
        <v>6.1500000000000004E-5</v>
      </c>
      <c r="L1974" s="9">
        <v>1699.8</v>
      </c>
      <c r="M1974" s="9">
        <v>1713.62</v>
      </c>
      <c r="N1974" s="9">
        <v>1.8</v>
      </c>
      <c r="O1974" s="10">
        <f>IF(AND(OR(H1974="APPROVED",H1974="SCHEDULED"),COUNTIFS(tblSource[EventID],F1974,tblSource[ReleaseStatus],"APPROVED")=1,COUNTIFS(Period_Status!$A$2:$A$8,G1974,Period_Status!$B$2:$B$8,"ActualClosed")=1,C1974&gt;EOMONTH(Settlement_Bridge!$C$2,0)),1,0)</f>
        <v>1</v>
      </c>
      <c r="P1974" s="2" t="s">
        <v>5597</v>
      </c>
    </row>
    <row r="1975" spans="1:16" x14ac:dyDescent="0.25">
      <c r="A1975" s="2" t="s">
        <v>5598</v>
      </c>
      <c r="B1975" s="2" t="s">
        <v>199</v>
      </c>
      <c r="C1975" s="8">
        <v>46251</v>
      </c>
      <c r="D1975" s="6">
        <v>46235</v>
      </c>
      <c r="E1975" s="2" t="s">
        <v>260</v>
      </c>
      <c r="F1975" s="2" t="s">
        <v>5599</v>
      </c>
      <c r="G1975" s="6">
        <v>46204</v>
      </c>
      <c r="H1975" s="2" t="s">
        <v>71</v>
      </c>
      <c r="I1975" s="2" t="s">
        <v>70</v>
      </c>
      <c r="J1975" s="9">
        <v>4603.4042550000004</v>
      </c>
      <c r="K1975" s="7">
        <v>0.65</v>
      </c>
      <c r="L1975" s="9">
        <v>2992.21</v>
      </c>
      <c r="M1975" s="9">
        <v>3029.04</v>
      </c>
      <c r="N1975" s="9">
        <v>1.8</v>
      </c>
      <c r="O1975" s="10">
        <f>IF(AND(OR(H1975="APPROVED",H1975="SCHEDULED"),COUNTIFS(tblSource[EventID],F1975,tblSource[ReleaseStatus],"APPROVED")=1,COUNTIFS(Period_Status!$A$2:$A$8,G1975,Period_Status!$B$2:$B$8,"ActualClosed")=1,C1975&gt;EOMONTH(Settlement_Bridge!$C$2,0)),1,0)</f>
        <v>1</v>
      </c>
      <c r="P1975" s="2" t="s">
        <v>5600</v>
      </c>
    </row>
    <row r="1976" spans="1:16" x14ac:dyDescent="0.25">
      <c r="A1976" s="2" t="s">
        <v>5601</v>
      </c>
      <c r="B1976" s="2" t="s">
        <v>199</v>
      </c>
      <c r="C1976" s="8">
        <v>46252</v>
      </c>
      <c r="D1976" s="6">
        <v>46235</v>
      </c>
      <c r="E1976" s="2" t="s">
        <v>260</v>
      </c>
      <c r="F1976" s="2" t="s">
        <v>5602</v>
      </c>
      <c r="G1976" s="6">
        <v>46204</v>
      </c>
      <c r="H1976" s="2" t="s">
        <v>71</v>
      </c>
      <c r="I1976" s="2" t="s">
        <v>39</v>
      </c>
      <c r="J1976" s="9">
        <v>3202.05</v>
      </c>
      <c r="K1976" s="7">
        <v>1</v>
      </c>
      <c r="L1976" s="9">
        <v>3202.05</v>
      </c>
      <c r="M1976" s="9">
        <v>3202.05</v>
      </c>
      <c r="N1976" s="9">
        <v>1.8</v>
      </c>
      <c r="O1976" s="10">
        <f>IF(AND(OR(H1976="APPROVED",H1976="SCHEDULED"),COUNTIFS(tblSource[EventID],F1976,tblSource[ReleaseStatus],"APPROVED")=1,COUNTIFS(Period_Status!$A$2:$A$8,G1976,Period_Status!$B$2:$B$8,"ActualClosed")=1,C1976&gt;EOMONTH(Settlement_Bridge!$C$2,0)),1,0)</f>
        <v>1</v>
      </c>
      <c r="P1976" s="2" t="s">
        <v>5603</v>
      </c>
    </row>
    <row r="1977" spans="1:16" x14ac:dyDescent="0.25">
      <c r="A1977" s="2" t="s">
        <v>5604</v>
      </c>
      <c r="B1977" s="2" t="s">
        <v>199</v>
      </c>
      <c r="C1977" s="8">
        <v>46253</v>
      </c>
      <c r="D1977" s="6">
        <v>46235</v>
      </c>
      <c r="E1977" s="2" t="s">
        <v>260</v>
      </c>
      <c r="F1977" s="2" t="s">
        <v>5605</v>
      </c>
      <c r="G1977" s="6">
        <v>46204</v>
      </c>
      <c r="H1977" s="2" t="s">
        <v>71</v>
      </c>
      <c r="I1977" s="2" t="s">
        <v>76</v>
      </c>
      <c r="J1977" s="9">
        <v>54436451.612902999</v>
      </c>
      <c r="K1977" s="7">
        <v>6.1500000000000004E-5</v>
      </c>
      <c r="L1977" s="9">
        <v>3347.84</v>
      </c>
      <c r="M1977" s="9">
        <v>3375.06</v>
      </c>
      <c r="N1977" s="9">
        <v>1.84</v>
      </c>
      <c r="O1977" s="10">
        <f>IF(AND(OR(H1977="APPROVED",H1977="SCHEDULED"),COUNTIFS(tblSource[EventID],F1977,tblSource[ReleaseStatus],"APPROVED")=1,COUNTIFS(Period_Status!$A$2:$A$8,G1977,Period_Status!$B$2:$B$8,"ActualClosed")=1,C1977&gt;EOMONTH(Settlement_Bridge!$C$2,0)),1,0)</f>
        <v>1</v>
      </c>
      <c r="P1977" s="2" t="s">
        <v>5606</v>
      </c>
    </row>
    <row r="1978" spans="1:16" x14ac:dyDescent="0.25">
      <c r="A1978" s="2" t="s">
        <v>5607</v>
      </c>
      <c r="B1978" s="2" t="s">
        <v>199</v>
      </c>
      <c r="C1978" s="8">
        <v>46254</v>
      </c>
      <c r="D1978" s="6">
        <v>46235</v>
      </c>
      <c r="E1978" s="2" t="s">
        <v>260</v>
      </c>
      <c r="F1978" s="2" t="s">
        <v>5608</v>
      </c>
      <c r="G1978" s="6">
        <v>46204</v>
      </c>
      <c r="H1978" s="2" t="s">
        <v>71</v>
      </c>
      <c r="I1978" s="2" t="s">
        <v>70</v>
      </c>
      <c r="J1978" s="9">
        <v>-5392.2036470000003</v>
      </c>
      <c r="K1978" s="7">
        <v>0.65</v>
      </c>
      <c r="L1978" s="9">
        <v>-3504.93</v>
      </c>
      <c r="M1978" s="9">
        <v>-3548.07</v>
      </c>
      <c r="N1978" s="9">
        <v>0</v>
      </c>
      <c r="O1978" s="10">
        <f>IF(AND(OR(H1978="APPROVED",H1978="SCHEDULED"),COUNTIFS(tblSource[EventID],F1978,tblSource[ReleaseStatus],"APPROVED")=1,COUNTIFS(Period_Status!$A$2:$A$8,G1978,Period_Status!$B$2:$B$8,"ActualClosed")=1,C1978&gt;EOMONTH(Settlement_Bridge!$C$2,0)),1,0)</f>
        <v>1</v>
      </c>
      <c r="P1978" s="2" t="s">
        <v>5609</v>
      </c>
    </row>
    <row r="1979" spans="1:16" x14ac:dyDescent="0.25">
      <c r="A1979" s="2" t="s">
        <v>5610</v>
      </c>
      <c r="B1979" s="2" t="s">
        <v>199</v>
      </c>
      <c r="C1979" s="8">
        <v>46255</v>
      </c>
      <c r="D1979" s="6">
        <v>46235</v>
      </c>
      <c r="E1979" s="2" t="s">
        <v>260</v>
      </c>
      <c r="F1979" s="2" t="s">
        <v>5611</v>
      </c>
      <c r="G1979" s="6">
        <v>46204</v>
      </c>
      <c r="H1979" s="2" t="s">
        <v>71</v>
      </c>
      <c r="I1979" s="2" t="s">
        <v>39</v>
      </c>
      <c r="J1979" s="9">
        <v>3721.08</v>
      </c>
      <c r="K1979" s="7">
        <v>1</v>
      </c>
      <c r="L1979" s="9">
        <v>3721.08</v>
      </c>
      <c r="M1979" s="9">
        <v>3721.08</v>
      </c>
      <c r="N1979" s="9">
        <v>2.0499999999999998</v>
      </c>
      <c r="O1979" s="10">
        <f>IF(AND(OR(H1979="APPROVED",H1979="SCHEDULED"),COUNTIFS(tblSource[EventID],F1979,tblSource[ReleaseStatus],"APPROVED")=1,COUNTIFS(Period_Status!$A$2:$A$8,G1979,Period_Status!$B$2:$B$8,"ActualClosed")=1,C1979&gt;EOMONTH(Settlement_Bridge!$C$2,0)),1,0)</f>
        <v>1</v>
      </c>
      <c r="P1979" s="2" t="s">
        <v>5612</v>
      </c>
    </row>
    <row r="1980" spans="1:16" x14ac:dyDescent="0.25">
      <c r="A1980" s="2" t="s">
        <v>5613</v>
      </c>
      <c r="B1980" s="2" t="s">
        <v>199</v>
      </c>
      <c r="C1980" s="8">
        <v>46246</v>
      </c>
      <c r="D1980" s="6">
        <v>46235</v>
      </c>
      <c r="E1980" s="2" t="s">
        <v>260</v>
      </c>
      <c r="F1980" s="2" t="s">
        <v>5614</v>
      </c>
      <c r="G1980" s="6">
        <v>46204</v>
      </c>
      <c r="H1980" s="2" t="s">
        <v>71</v>
      </c>
      <c r="I1980" s="2" t="s">
        <v>76</v>
      </c>
      <c r="J1980" s="9">
        <v>25123161.290321998</v>
      </c>
      <c r="K1980" s="7">
        <v>6.1500000000000004E-5</v>
      </c>
      <c r="L1980" s="9">
        <v>1545.07</v>
      </c>
      <c r="M1980" s="9">
        <v>1557.64</v>
      </c>
      <c r="N1980" s="9">
        <v>1.8</v>
      </c>
      <c r="O1980" s="10">
        <f>IF(AND(OR(H1980="APPROVED",H1980="SCHEDULED"),COUNTIFS(tblSource[EventID],F1980,tblSource[ReleaseStatus],"APPROVED")=1,COUNTIFS(Period_Status!$A$2:$A$8,G1980,Period_Status!$B$2:$B$8,"ActualClosed")=1,C1980&gt;EOMONTH(Settlement_Bridge!$C$2,0)),1,0)</f>
        <v>1</v>
      </c>
      <c r="P1980" s="2" t="s">
        <v>5615</v>
      </c>
    </row>
    <row r="1981" spans="1:16" x14ac:dyDescent="0.25">
      <c r="A1981" s="2" t="s">
        <v>5616</v>
      </c>
      <c r="B1981" s="2" t="s">
        <v>199</v>
      </c>
      <c r="C1981" s="8">
        <v>46271</v>
      </c>
      <c r="D1981" s="6">
        <v>46266</v>
      </c>
      <c r="E1981" s="2" t="s">
        <v>260</v>
      </c>
      <c r="F1981" s="2" t="s">
        <v>5614</v>
      </c>
      <c r="G1981" s="6">
        <v>46204</v>
      </c>
      <c r="H1981" s="2" t="s">
        <v>176</v>
      </c>
      <c r="I1981" s="2" t="s">
        <v>76</v>
      </c>
      <c r="J1981" s="9">
        <v>37684741.935484</v>
      </c>
      <c r="K1981" s="7">
        <v>6.1299999999999999E-5</v>
      </c>
      <c r="L1981" s="9">
        <v>2310.0700000000002</v>
      </c>
      <c r="M1981" s="9">
        <v>2336.4499999999998</v>
      </c>
      <c r="N1981" s="9">
        <v>1.8</v>
      </c>
      <c r="O1981" s="10">
        <f>IF(AND(OR(H1981="APPROVED",H1981="SCHEDULED"),COUNTIFS(tblSource[EventID],F1981,tblSource[ReleaseStatus],"APPROVED")=1,COUNTIFS(Period_Status!$A$2:$A$8,G1981,Period_Status!$B$2:$B$8,"ActualClosed")=1,C1981&gt;EOMONTH(Settlement_Bridge!$C$2,0)),1,0)</f>
        <v>1</v>
      </c>
      <c r="P1981" s="2" t="s">
        <v>5617</v>
      </c>
    </row>
    <row r="1982" spans="1:16" x14ac:dyDescent="0.25">
      <c r="A1982" s="2" t="s">
        <v>5618</v>
      </c>
      <c r="B1982" s="2" t="s">
        <v>199</v>
      </c>
      <c r="C1982" s="8">
        <v>46247</v>
      </c>
      <c r="D1982" s="6">
        <v>46235</v>
      </c>
      <c r="E1982" s="2" t="s">
        <v>260</v>
      </c>
      <c r="F1982" s="2" t="s">
        <v>5619</v>
      </c>
      <c r="G1982" s="6">
        <v>46204</v>
      </c>
      <c r="H1982" s="2" t="s">
        <v>71</v>
      </c>
      <c r="I1982" s="2" t="s">
        <v>70</v>
      </c>
      <c r="J1982" s="9">
        <v>2472.4012160000002</v>
      </c>
      <c r="K1982" s="7">
        <v>0.65</v>
      </c>
      <c r="L1982" s="9">
        <v>1607.06</v>
      </c>
      <c r="M1982" s="9">
        <v>1626.84</v>
      </c>
      <c r="N1982" s="9">
        <v>1.8</v>
      </c>
      <c r="O1982" s="10">
        <f>IF(AND(OR(H1982="APPROVED",H1982="SCHEDULED"),COUNTIFS(tblSource[EventID],F1982,tblSource[ReleaseStatus],"APPROVED")=1,COUNTIFS(Period_Status!$A$2:$A$8,G1982,Period_Status!$B$2:$B$8,"ActualClosed")=1,C1982&gt;EOMONTH(Settlement_Bridge!$C$2,0)),1,0)</f>
        <v>1</v>
      </c>
      <c r="P1982" s="2" t="s">
        <v>5620</v>
      </c>
    </row>
    <row r="1983" spans="1:16" x14ac:dyDescent="0.25">
      <c r="A1983" s="2" t="s">
        <v>5621</v>
      </c>
      <c r="B1983" s="2" t="s">
        <v>199</v>
      </c>
      <c r="C1983" s="8">
        <v>46272</v>
      </c>
      <c r="D1983" s="6">
        <v>46266</v>
      </c>
      <c r="E1983" s="2" t="s">
        <v>260</v>
      </c>
      <c r="F1983" s="2" t="s">
        <v>5619</v>
      </c>
      <c r="G1983" s="6">
        <v>46204</v>
      </c>
      <c r="H1983" s="2" t="s">
        <v>176</v>
      </c>
      <c r="I1983" s="2" t="s">
        <v>70</v>
      </c>
      <c r="J1983" s="9">
        <v>3708.6018239999999</v>
      </c>
      <c r="K1983" s="7">
        <v>0.65100000000000002</v>
      </c>
      <c r="L1983" s="9">
        <v>2414.3000000000002</v>
      </c>
      <c r="M1983" s="9">
        <v>2440.2600000000002</v>
      </c>
      <c r="N1983" s="9">
        <v>1.8</v>
      </c>
      <c r="O1983" s="10">
        <f>IF(AND(OR(H1983="APPROVED",H1983="SCHEDULED"),COUNTIFS(tblSource[EventID],F1983,tblSource[ReleaseStatus],"APPROVED")=1,COUNTIFS(Period_Status!$A$2:$A$8,G1983,Period_Status!$B$2:$B$8,"ActualClosed")=1,C1983&gt;EOMONTH(Settlement_Bridge!$C$2,0)),1,0)</f>
        <v>1</v>
      </c>
      <c r="P1983" s="2" t="s">
        <v>5622</v>
      </c>
    </row>
    <row r="1984" spans="1:16" x14ac:dyDescent="0.25">
      <c r="A1984" s="2" t="s">
        <v>5623</v>
      </c>
      <c r="B1984" s="2" t="s">
        <v>199</v>
      </c>
      <c r="C1984" s="8">
        <v>46258</v>
      </c>
      <c r="D1984" s="6">
        <v>46235</v>
      </c>
      <c r="E1984" s="2" t="s">
        <v>260</v>
      </c>
      <c r="F1984" s="2" t="s">
        <v>5624</v>
      </c>
      <c r="G1984" s="6">
        <v>46204</v>
      </c>
      <c r="H1984" s="2" t="s">
        <v>71</v>
      </c>
      <c r="I1984" s="2" t="s">
        <v>39</v>
      </c>
      <c r="J1984" s="9">
        <v>4240.1099999999997</v>
      </c>
      <c r="K1984" s="7">
        <v>1</v>
      </c>
      <c r="L1984" s="9">
        <v>4240.1099999999997</v>
      </c>
      <c r="M1984" s="9">
        <v>4240.1099999999997</v>
      </c>
      <c r="N1984" s="9">
        <v>2.33</v>
      </c>
      <c r="O1984" s="10">
        <f>IF(AND(OR(H1984="APPROVED",H1984="SCHEDULED"),COUNTIFS(tblSource[EventID],F1984,tblSource[ReleaseStatus],"APPROVED")=1,COUNTIFS(Period_Status!$A$2:$A$8,G1984,Period_Status!$B$2:$B$8,"ActualClosed")=1,C1984&gt;EOMONTH(Settlement_Bridge!$C$2,0)),1,0)</f>
        <v>1</v>
      </c>
      <c r="P1984" s="2" t="s">
        <v>5625</v>
      </c>
    </row>
    <row r="1985" spans="1:16" x14ac:dyDescent="0.25">
      <c r="A1985" s="2" t="s">
        <v>5626</v>
      </c>
      <c r="B1985" s="2" t="s">
        <v>199</v>
      </c>
      <c r="C1985" s="8">
        <v>46228</v>
      </c>
      <c r="D1985" s="6">
        <v>46204</v>
      </c>
      <c r="E1985" s="2" t="s">
        <v>260</v>
      </c>
      <c r="F1985" s="2" t="s">
        <v>5627</v>
      </c>
      <c r="G1985" s="6">
        <v>46204</v>
      </c>
      <c r="H1985" s="2" t="s">
        <v>71</v>
      </c>
      <c r="I1985" s="2" t="s">
        <v>76</v>
      </c>
      <c r="J1985" s="9">
        <v>71179354.838709995</v>
      </c>
      <c r="K1985" s="7">
        <v>6.2000000000000003E-5</v>
      </c>
      <c r="L1985" s="9">
        <v>4413.12</v>
      </c>
      <c r="M1985" s="9">
        <v>4413.12</v>
      </c>
      <c r="N1985" s="9">
        <v>2.4300000000000002</v>
      </c>
      <c r="O1985" s="10">
        <f>IF(AND(OR(H1985="APPROVED",H1985="SCHEDULED"),COUNTIFS(tblSource[EventID],F1985,tblSource[ReleaseStatus],"APPROVED")=1,COUNTIFS(Period_Status!$A$2:$A$8,G1985,Period_Status!$B$2:$B$8,"ActualClosed")=1,C1985&gt;EOMONTH(Settlement_Bridge!$C$2,0)),1,0)</f>
        <v>0</v>
      </c>
      <c r="P1985" s="2" t="s">
        <v>5628</v>
      </c>
    </row>
    <row r="1986" spans="1:16" x14ac:dyDescent="0.25">
      <c r="A1986" s="2" t="s">
        <v>5629</v>
      </c>
      <c r="B1986" s="2" t="s">
        <v>199</v>
      </c>
      <c r="C1986" s="8">
        <v>46219</v>
      </c>
      <c r="D1986" s="6">
        <v>46204</v>
      </c>
      <c r="E1986" s="2" t="s">
        <v>260</v>
      </c>
      <c r="F1986" s="2" t="s">
        <v>5630</v>
      </c>
      <c r="G1986" s="6">
        <v>46204</v>
      </c>
      <c r="H1986" s="2" t="s">
        <v>71</v>
      </c>
      <c r="I1986" s="2" t="s">
        <v>70</v>
      </c>
      <c r="J1986" s="9">
        <v>2787.9209729999998</v>
      </c>
      <c r="K1986" s="7">
        <v>0.65800000000000003</v>
      </c>
      <c r="L1986" s="9">
        <v>1834.45</v>
      </c>
      <c r="M1986" s="9">
        <v>1834.45</v>
      </c>
      <c r="N1986" s="9">
        <v>1.8</v>
      </c>
      <c r="O1986" s="10">
        <f>IF(AND(OR(H1986="APPROVED",H1986="SCHEDULED"),COUNTIFS(tblSource[EventID],F1986,tblSource[ReleaseStatus],"APPROVED")=1,COUNTIFS(Period_Status!$A$2:$A$8,G1986,Period_Status!$B$2:$B$8,"ActualClosed")=1,C1986&gt;EOMONTH(Settlement_Bridge!$C$2,0)),1,0)</f>
        <v>0</v>
      </c>
      <c r="P1986" s="2" t="s">
        <v>5631</v>
      </c>
    </row>
    <row r="1987" spans="1:16" x14ac:dyDescent="0.25">
      <c r="A1987" s="2" t="s">
        <v>5632</v>
      </c>
      <c r="B1987" s="2" t="s">
        <v>199</v>
      </c>
      <c r="C1987" s="8">
        <v>46244</v>
      </c>
      <c r="D1987" s="6">
        <v>46235</v>
      </c>
      <c r="E1987" s="2" t="s">
        <v>260</v>
      </c>
      <c r="F1987" s="2" t="s">
        <v>5630</v>
      </c>
      <c r="G1987" s="6">
        <v>46204</v>
      </c>
      <c r="H1987" s="2" t="s">
        <v>71</v>
      </c>
      <c r="I1987" s="2" t="s">
        <v>70</v>
      </c>
      <c r="J1987" s="9">
        <v>4181.8814590000002</v>
      </c>
      <c r="K1987" s="7">
        <v>0.65</v>
      </c>
      <c r="L1987" s="9">
        <v>2718.22</v>
      </c>
      <c r="M1987" s="9">
        <v>2751.68</v>
      </c>
      <c r="N1987" s="9">
        <v>1.8</v>
      </c>
      <c r="O1987" s="10">
        <f>IF(AND(OR(H1987="APPROVED",H1987="SCHEDULED"),COUNTIFS(tblSource[EventID],F1987,tblSource[ReleaseStatus],"APPROVED")=1,COUNTIFS(Period_Status!$A$2:$A$8,G1987,Period_Status!$B$2:$B$8,"ActualClosed")=1,C1987&gt;EOMONTH(Settlement_Bridge!$C$2,0)),1,0)</f>
        <v>1</v>
      </c>
      <c r="P1987" s="2" t="s">
        <v>5633</v>
      </c>
    </row>
    <row r="1988" spans="1:16" x14ac:dyDescent="0.25">
      <c r="A1988" s="2" t="s">
        <v>5634</v>
      </c>
      <c r="B1988" s="2" t="s">
        <v>199</v>
      </c>
      <c r="C1988" s="8">
        <v>46230</v>
      </c>
      <c r="D1988" s="6">
        <v>46204</v>
      </c>
      <c r="E1988" s="2" t="s">
        <v>260</v>
      </c>
      <c r="F1988" s="2" t="s">
        <v>5635</v>
      </c>
      <c r="G1988" s="6">
        <v>46204</v>
      </c>
      <c r="H1988" s="2" t="s">
        <v>71</v>
      </c>
      <c r="I1988" s="2" t="s">
        <v>39</v>
      </c>
      <c r="J1988" s="9">
        <v>4759.1400000000003</v>
      </c>
      <c r="K1988" s="7">
        <v>1</v>
      </c>
      <c r="L1988" s="9">
        <v>4759.1400000000003</v>
      </c>
      <c r="M1988" s="9">
        <v>4759.1400000000003</v>
      </c>
      <c r="N1988" s="9">
        <v>2.62</v>
      </c>
      <c r="O1988" s="10">
        <f>IF(AND(OR(H1988="APPROVED",H1988="SCHEDULED"),COUNTIFS(tblSource[EventID],F1988,tblSource[ReleaseStatus],"APPROVED")=1,COUNTIFS(Period_Status!$A$2:$A$8,G1988,Period_Status!$B$2:$B$8,"ActualClosed")=1,C1988&gt;EOMONTH(Settlement_Bridge!$C$2,0)),1,0)</f>
        <v>0</v>
      </c>
      <c r="P1988" s="2" t="s">
        <v>5636</v>
      </c>
    </row>
    <row r="1989" spans="1:16" x14ac:dyDescent="0.25">
      <c r="A1989" s="2" t="s">
        <v>5637</v>
      </c>
      <c r="B1989" s="2" t="s">
        <v>199</v>
      </c>
      <c r="C1989" s="8">
        <v>46231</v>
      </c>
      <c r="D1989" s="6">
        <v>46204</v>
      </c>
      <c r="E1989" s="2" t="s">
        <v>260</v>
      </c>
      <c r="F1989" s="2" t="s">
        <v>5638</v>
      </c>
      <c r="G1989" s="6">
        <v>46204</v>
      </c>
      <c r="H1989" s="2" t="s">
        <v>71</v>
      </c>
      <c r="I1989" s="2" t="s">
        <v>76</v>
      </c>
      <c r="J1989" s="9">
        <v>79550806.451612994</v>
      </c>
      <c r="K1989" s="7">
        <v>6.2000000000000003E-5</v>
      </c>
      <c r="L1989" s="9">
        <v>4932.1499999999996</v>
      </c>
      <c r="M1989" s="9">
        <v>4932.1499999999996</v>
      </c>
      <c r="N1989" s="9">
        <v>2.71</v>
      </c>
      <c r="O1989" s="10">
        <f>IF(AND(OR(H1989="APPROVED",H1989="SCHEDULED"),COUNTIFS(tblSource[EventID],F1989,tblSource[ReleaseStatus],"APPROVED")=1,COUNTIFS(Period_Status!$A$2:$A$8,G1989,Period_Status!$B$2:$B$8,"ActualClosed")=1,C1989&gt;EOMONTH(Settlement_Bridge!$C$2,0)),1,0)</f>
        <v>0</v>
      </c>
      <c r="P1989" s="2" t="s">
        <v>5639</v>
      </c>
    </row>
    <row r="1990" spans="1:16" x14ac:dyDescent="0.25">
      <c r="A1990" s="2" t="s">
        <v>5640</v>
      </c>
      <c r="B1990" s="2" t="s">
        <v>199</v>
      </c>
      <c r="C1990" s="8">
        <v>46232</v>
      </c>
      <c r="D1990" s="6">
        <v>46204</v>
      </c>
      <c r="E1990" s="2" t="s">
        <v>260</v>
      </c>
      <c r="F1990" s="2" t="s">
        <v>5641</v>
      </c>
      <c r="G1990" s="6">
        <v>46204</v>
      </c>
      <c r="H1990" s="2" t="s">
        <v>71</v>
      </c>
      <c r="I1990" s="2" t="s">
        <v>70</v>
      </c>
      <c r="J1990" s="9">
        <v>7758.6018240000003</v>
      </c>
      <c r="K1990" s="7">
        <v>0.65800000000000003</v>
      </c>
      <c r="L1990" s="9">
        <v>5105.16</v>
      </c>
      <c r="M1990" s="9">
        <v>5105.16</v>
      </c>
      <c r="N1990" s="9">
        <v>2.81</v>
      </c>
      <c r="O1990" s="10">
        <f>IF(AND(OR(H1990="APPROVED",H1990="SCHEDULED"),COUNTIFS(tblSource[EventID],F1990,tblSource[ReleaseStatus],"APPROVED")=1,COUNTIFS(Period_Status!$A$2:$A$8,G1990,Period_Status!$B$2:$B$8,"ActualClosed")=1,C1990&gt;EOMONTH(Settlement_Bridge!$C$2,0)),1,0)</f>
        <v>0</v>
      </c>
      <c r="P1990" s="2" t="s">
        <v>5642</v>
      </c>
    </row>
    <row r="1991" spans="1:16" x14ac:dyDescent="0.25">
      <c r="A1991" s="2" t="s">
        <v>5643</v>
      </c>
      <c r="B1991" s="2" t="s">
        <v>199</v>
      </c>
      <c r="C1991" s="8">
        <v>46233</v>
      </c>
      <c r="D1991" s="6">
        <v>46204</v>
      </c>
      <c r="E1991" s="2" t="s">
        <v>260</v>
      </c>
      <c r="F1991" s="2" t="s">
        <v>5644</v>
      </c>
      <c r="G1991" s="6">
        <v>46204</v>
      </c>
      <c r="H1991" s="2" t="s">
        <v>71</v>
      </c>
      <c r="I1991" s="2" t="s">
        <v>39</v>
      </c>
      <c r="J1991" s="9">
        <v>5278.17</v>
      </c>
      <c r="K1991" s="7">
        <v>1</v>
      </c>
      <c r="L1991" s="9">
        <v>5278.17</v>
      </c>
      <c r="M1991" s="9">
        <v>5278.17</v>
      </c>
      <c r="N1991" s="9">
        <v>2.9</v>
      </c>
      <c r="O1991" s="10">
        <f>IF(AND(OR(H1991="APPROVED",H1991="SCHEDULED"),COUNTIFS(tblSource[EventID],F1991,tblSource[ReleaseStatus],"APPROVED")=1,COUNTIFS(Period_Status!$A$2:$A$8,G1991,Period_Status!$B$2:$B$8,"ActualClosed")=1,C1991&gt;EOMONTH(Settlement_Bridge!$C$2,0)),1,0)</f>
        <v>0</v>
      </c>
      <c r="P1991" s="2" t="s">
        <v>5645</v>
      </c>
    </row>
    <row r="1992" spans="1:16" x14ac:dyDescent="0.25">
      <c r="A1992" s="2" t="s">
        <v>5646</v>
      </c>
      <c r="B1992" s="2" t="s">
        <v>199</v>
      </c>
      <c r="C1992" s="8">
        <v>46234</v>
      </c>
      <c r="D1992" s="6">
        <v>46204</v>
      </c>
      <c r="E1992" s="2" t="s">
        <v>260</v>
      </c>
      <c r="F1992" s="2" t="s">
        <v>5647</v>
      </c>
      <c r="G1992" s="6">
        <v>46204</v>
      </c>
      <c r="H1992" s="2" t="s">
        <v>71</v>
      </c>
      <c r="I1992" s="2" t="s">
        <v>76</v>
      </c>
      <c r="J1992" s="9">
        <v>87922258.064515993</v>
      </c>
      <c r="K1992" s="7">
        <v>6.2000000000000003E-5</v>
      </c>
      <c r="L1992" s="9">
        <v>5451.18</v>
      </c>
      <c r="M1992" s="9">
        <v>5451.18</v>
      </c>
      <c r="N1992" s="9">
        <v>3</v>
      </c>
      <c r="O1992" s="10">
        <f>IF(AND(OR(H1992="APPROVED",H1992="SCHEDULED"),COUNTIFS(tblSource[EventID],F1992,tblSource[ReleaseStatus],"APPROVED")=1,COUNTIFS(Period_Status!$A$2:$A$8,G1992,Period_Status!$B$2:$B$8,"ActualClosed")=1,C1992&gt;EOMONTH(Settlement_Bridge!$C$2,0)),1,0)</f>
        <v>0</v>
      </c>
      <c r="P1992" s="2" t="s">
        <v>5648</v>
      </c>
    </row>
    <row r="1993" spans="1:16" x14ac:dyDescent="0.25">
      <c r="A1993" s="2" t="s">
        <v>5649</v>
      </c>
      <c r="B1993" s="2" t="s">
        <v>199</v>
      </c>
      <c r="C1993" s="8">
        <v>46225</v>
      </c>
      <c r="D1993" s="6">
        <v>46204</v>
      </c>
      <c r="E1993" s="2" t="s">
        <v>260</v>
      </c>
      <c r="F1993" s="2" t="s">
        <v>5650</v>
      </c>
      <c r="G1993" s="6">
        <v>46204</v>
      </c>
      <c r="H1993" s="2" t="s">
        <v>71</v>
      </c>
      <c r="I1993" s="2" t="s">
        <v>70</v>
      </c>
      <c r="J1993" s="9">
        <v>3418.9604859999999</v>
      </c>
      <c r="K1993" s="7">
        <v>0.65800000000000003</v>
      </c>
      <c r="L1993" s="9">
        <v>2249.6799999999998</v>
      </c>
      <c r="M1993" s="9">
        <v>2249.6799999999998</v>
      </c>
      <c r="N1993" s="9">
        <v>1.8</v>
      </c>
      <c r="O1993" s="10">
        <f>IF(AND(OR(H1993="APPROVED",H1993="SCHEDULED"),COUNTIFS(tblSource[EventID],F1993,tblSource[ReleaseStatus],"APPROVED")=1,COUNTIFS(Period_Status!$A$2:$A$8,G1993,Period_Status!$B$2:$B$8,"ActualClosed")=1,C1993&gt;EOMONTH(Settlement_Bridge!$C$2,0)),1,0)</f>
        <v>0</v>
      </c>
      <c r="P1993" s="2" t="s">
        <v>5651</v>
      </c>
    </row>
    <row r="1994" spans="1:16" x14ac:dyDescent="0.25">
      <c r="A1994" s="2" t="s">
        <v>5652</v>
      </c>
      <c r="B1994" s="2" t="s">
        <v>199</v>
      </c>
      <c r="C1994" s="8">
        <v>46250</v>
      </c>
      <c r="D1994" s="6">
        <v>46235</v>
      </c>
      <c r="E1994" s="2" t="s">
        <v>260</v>
      </c>
      <c r="F1994" s="2" t="s">
        <v>5650</v>
      </c>
      <c r="G1994" s="6">
        <v>46204</v>
      </c>
      <c r="H1994" s="2" t="s">
        <v>71</v>
      </c>
      <c r="I1994" s="2" t="s">
        <v>70</v>
      </c>
      <c r="J1994" s="9">
        <v>5128.4407300000003</v>
      </c>
      <c r="K1994" s="7">
        <v>0.65</v>
      </c>
      <c r="L1994" s="9">
        <v>3333.49</v>
      </c>
      <c r="M1994" s="9">
        <v>3374.51</v>
      </c>
      <c r="N1994" s="9">
        <v>1.83</v>
      </c>
      <c r="O1994" s="10">
        <f>IF(AND(OR(H1994="APPROVED",H1994="SCHEDULED"),COUNTIFS(tblSource[EventID],F1994,tblSource[ReleaseStatus],"APPROVED")=1,COUNTIFS(Period_Status!$A$2:$A$8,G1994,Period_Status!$B$2:$B$8,"ActualClosed")=1,C1994&gt;EOMONTH(Settlement_Bridge!$C$2,0)),1,0)</f>
        <v>1</v>
      </c>
      <c r="P1994" s="2" t="s">
        <v>5653</v>
      </c>
    </row>
    <row r="1995" spans="1:16" x14ac:dyDescent="0.25">
      <c r="A1995" s="2" t="s">
        <v>5654</v>
      </c>
      <c r="B1995" s="2" t="s">
        <v>199</v>
      </c>
      <c r="C1995" s="8">
        <v>46226</v>
      </c>
      <c r="D1995" s="6">
        <v>46204</v>
      </c>
      <c r="E1995" s="2" t="s">
        <v>260</v>
      </c>
      <c r="F1995" s="2" t="s">
        <v>5655</v>
      </c>
      <c r="G1995" s="6">
        <v>46204</v>
      </c>
      <c r="H1995" s="2" t="s">
        <v>71</v>
      </c>
      <c r="I1995" s="2" t="s">
        <v>39</v>
      </c>
      <c r="J1995" s="9">
        <v>2318.88</v>
      </c>
      <c r="K1995" s="7">
        <v>1</v>
      </c>
      <c r="L1995" s="9">
        <v>2318.88</v>
      </c>
      <c r="M1995" s="9">
        <v>2318.88</v>
      </c>
      <c r="N1995" s="9">
        <v>1.8</v>
      </c>
      <c r="O1995" s="10">
        <f>IF(AND(OR(H1995="APPROVED",H1995="SCHEDULED"),COUNTIFS(tblSource[EventID],F1995,tblSource[ReleaseStatus],"APPROVED")=1,COUNTIFS(Period_Status!$A$2:$A$8,G1995,Period_Status!$B$2:$B$8,"ActualClosed")=1,C1995&gt;EOMONTH(Settlement_Bridge!$C$2,0)),1,0)</f>
        <v>0</v>
      </c>
      <c r="P1995" s="2" t="s">
        <v>5656</v>
      </c>
    </row>
    <row r="1996" spans="1:16" x14ac:dyDescent="0.25">
      <c r="A1996" s="2" t="s">
        <v>5657</v>
      </c>
      <c r="B1996" s="2" t="s">
        <v>199</v>
      </c>
      <c r="C1996" s="8">
        <v>46251</v>
      </c>
      <c r="D1996" s="6">
        <v>46235</v>
      </c>
      <c r="E1996" s="2" t="s">
        <v>260</v>
      </c>
      <c r="F1996" s="2" t="s">
        <v>5655</v>
      </c>
      <c r="G1996" s="6">
        <v>46204</v>
      </c>
      <c r="H1996" s="2" t="s">
        <v>71</v>
      </c>
      <c r="I1996" s="2" t="s">
        <v>39</v>
      </c>
      <c r="J1996" s="9">
        <v>3478.32</v>
      </c>
      <c r="K1996" s="7">
        <v>1</v>
      </c>
      <c r="L1996" s="9">
        <v>3478.32</v>
      </c>
      <c r="M1996" s="9">
        <v>3478.32</v>
      </c>
      <c r="N1996" s="9">
        <v>1.91</v>
      </c>
      <c r="O1996" s="10">
        <f>IF(AND(OR(H1996="APPROVED",H1996="SCHEDULED"),COUNTIFS(tblSource[EventID],F1996,tblSource[ReleaseStatus],"APPROVED")=1,COUNTIFS(Period_Status!$A$2:$A$8,G1996,Period_Status!$B$2:$B$8,"ActualClosed")=1,C1996&gt;EOMONTH(Settlement_Bridge!$C$2,0)),1,0)</f>
        <v>1</v>
      </c>
      <c r="P1996" s="2" t="s">
        <v>5658</v>
      </c>
    </row>
    <row r="1997" spans="1:16" x14ac:dyDescent="0.25">
      <c r="A1997" s="2" t="s">
        <v>5659</v>
      </c>
      <c r="B1997" s="2" t="s">
        <v>199</v>
      </c>
      <c r="C1997" s="8">
        <v>46237</v>
      </c>
      <c r="D1997" s="6">
        <v>46235</v>
      </c>
      <c r="E1997" s="2" t="s">
        <v>260</v>
      </c>
      <c r="F1997" s="2" t="s">
        <v>5660</v>
      </c>
      <c r="G1997" s="6">
        <v>46204</v>
      </c>
      <c r="H1997" s="2" t="s">
        <v>71</v>
      </c>
      <c r="I1997" s="2" t="s">
        <v>76</v>
      </c>
      <c r="J1997" s="9">
        <v>96293709.677419007</v>
      </c>
      <c r="K1997" s="7">
        <v>6.1500000000000004E-5</v>
      </c>
      <c r="L1997" s="9">
        <v>5922.06</v>
      </c>
      <c r="M1997" s="9">
        <v>5970.21</v>
      </c>
      <c r="N1997" s="9">
        <v>3.26</v>
      </c>
      <c r="O1997" s="10">
        <f>IF(AND(OR(H1997="APPROVED",H1997="SCHEDULED"),COUNTIFS(tblSource[EventID],F1997,tblSource[ReleaseStatus],"APPROVED")=1,COUNTIFS(Period_Status!$A$2:$A$8,G1997,Period_Status!$B$2:$B$8,"ActualClosed")=1,C1997&gt;EOMONTH(Settlement_Bridge!$C$2,0)),1,0)</f>
        <v>1</v>
      </c>
      <c r="P1997" s="2" t="s">
        <v>5661</v>
      </c>
    </row>
    <row r="1998" spans="1:16" x14ac:dyDescent="0.25">
      <c r="A1998" s="2" t="s">
        <v>5662</v>
      </c>
      <c r="B1998" s="2" t="s">
        <v>199</v>
      </c>
      <c r="C1998" s="8">
        <v>46238</v>
      </c>
      <c r="D1998" s="6">
        <v>46235</v>
      </c>
      <c r="E1998" s="2" t="s">
        <v>260</v>
      </c>
      <c r="F1998" s="2" t="s">
        <v>5663</v>
      </c>
      <c r="G1998" s="6">
        <v>46204</v>
      </c>
      <c r="H1998" s="2" t="s">
        <v>71</v>
      </c>
      <c r="I1998" s="2" t="s">
        <v>70</v>
      </c>
      <c r="J1998" s="9">
        <v>9336.2006079999992</v>
      </c>
      <c r="K1998" s="7">
        <v>0.65</v>
      </c>
      <c r="L1998" s="9">
        <v>6068.53</v>
      </c>
      <c r="M1998" s="9">
        <v>6143.22</v>
      </c>
      <c r="N1998" s="9">
        <v>3.34</v>
      </c>
      <c r="O1998" s="10">
        <f>IF(AND(OR(H1998="APPROVED",H1998="SCHEDULED"),COUNTIFS(tblSource[EventID],F1998,tblSource[ReleaseStatus],"APPROVED")=1,COUNTIFS(Period_Status!$A$2:$A$8,G1998,Period_Status!$B$2:$B$8,"ActualClosed")=1,C1998&gt;EOMONTH(Settlement_Bridge!$C$2,0)),1,0)</f>
        <v>1</v>
      </c>
      <c r="P1998" s="2" t="s">
        <v>5664</v>
      </c>
    </row>
    <row r="1999" spans="1:16" x14ac:dyDescent="0.25">
      <c r="A1999" s="2" t="s">
        <v>5665</v>
      </c>
      <c r="B1999" s="2" t="s">
        <v>199</v>
      </c>
      <c r="C1999" s="8">
        <v>46229</v>
      </c>
      <c r="D1999" s="6">
        <v>46204</v>
      </c>
      <c r="E1999" s="2" t="s">
        <v>260</v>
      </c>
      <c r="F1999" s="2" t="s">
        <v>5666</v>
      </c>
      <c r="G1999" s="6">
        <v>46204</v>
      </c>
      <c r="H1999" s="2" t="s">
        <v>71</v>
      </c>
      <c r="I1999" s="2" t="s">
        <v>39</v>
      </c>
      <c r="J1999" s="9">
        <v>2526.4920000000002</v>
      </c>
      <c r="K1999" s="7">
        <v>1</v>
      </c>
      <c r="L1999" s="9">
        <v>2526.4899999999998</v>
      </c>
      <c r="M1999" s="9">
        <v>2526.4899999999998</v>
      </c>
      <c r="N1999" s="9">
        <v>1.8</v>
      </c>
      <c r="O1999" s="10">
        <f>IF(AND(OR(H1999="APPROVED",H1999="SCHEDULED"),COUNTIFS(tblSource[EventID],F1999,tblSource[ReleaseStatus],"APPROVED")=1,COUNTIFS(Period_Status!$A$2:$A$8,G1999,Period_Status!$B$2:$B$8,"ActualClosed")=1,C1999&gt;EOMONTH(Settlement_Bridge!$C$2,0)),1,0)</f>
        <v>0</v>
      </c>
      <c r="P1999" s="2" t="s">
        <v>5667</v>
      </c>
    </row>
    <row r="2000" spans="1:16" x14ac:dyDescent="0.25">
      <c r="A2000" s="2" t="s">
        <v>5668</v>
      </c>
      <c r="B2000" s="2" t="s">
        <v>199</v>
      </c>
      <c r="C2000" s="8">
        <v>46254</v>
      </c>
      <c r="D2000" s="6">
        <v>46235</v>
      </c>
      <c r="E2000" s="2" t="s">
        <v>260</v>
      </c>
      <c r="F2000" s="2" t="s">
        <v>5666</v>
      </c>
      <c r="G2000" s="6">
        <v>46204</v>
      </c>
      <c r="H2000" s="2" t="s">
        <v>71</v>
      </c>
      <c r="I2000" s="2" t="s">
        <v>39</v>
      </c>
      <c r="J2000" s="9">
        <v>3789.7379999999998</v>
      </c>
      <c r="K2000" s="7">
        <v>1</v>
      </c>
      <c r="L2000" s="9">
        <v>3789.74</v>
      </c>
      <c r="M2000" s="9">
        <v>3789.74</v>
      </c>
      <c r="N2000" s="9">
        <v>2.08</v>
      </c>
      <c r="O2000" s="10">
        <f>IF(AND(OR(H2000="APPROVED",H2000="SCHEDULED"),COUNTIFS(tblSource[EventID],F2000,tblSource[ReleaseStatus],"APPROVED")=1,COUNTIFS(Period_Status!$A$2:$A$8,G2000,Period_Status!$B$2:$B$8,"ActualClosed")=1,C2000&gt;EOMONTH(Settlement_Bridge!$C$2,0)),1,0)</f>
        <v>1</v>
      </c>
      <c r="P2000" s="2" t="s">
        <v>5669</v>
      </c>
    </row>
    <row r="2001" spans="1:16" x14ac:dyDescent="0.25">
      <c r="A2001" s="2" t="s">
        <v>5670</v>
      </c>
      <c r="B2001" s="2" t="s">
        <v>199</v>
      </c>
      <c r="C2001" s="8">
        <v>46240</v>
      </c>
      <c r="D2001" s="6">
        <v>46235</v>
      </c>
      <c r="E2001" s="2" t="s">
        <v>260</v>
      </c>
      <c r="F2001" s="2" t="s">
        <v>5671</v>
      </c>
      <c r="G2001" s="6">
        <v>46204</v>
      </c>
      <c r="H2001" s="2" t="s">
        <v>71</v>
      </c>
      <c r="I2001" s="2" t="s">
        <v>76</v>
      </c>
      <c r="J2001" s="9">
        <v>104665161.290323</v>
      </c>
      <c r="K2001" s="7">
        <v>6.1500000000000004E-5</v>
      </c>
      <c r="L2001" s="9">
        <v>6436.91</v>
      </c>
      <c r="M2001" s="9">
        <v>6489.24</v>
      </c>
      <c r="N2001" s="9">
        <v>3.54</v>
      </c>
      <c r="O2001" s="10">
        <f>IF(AND(OR(H2001="APPROVED",H2001="SCHEDULED"),COUNTIFS(tblSource[EventID],F2001,tblSource[ReleaseStatus],"APPROVED")=1,COUNTIFS(Period_Status!$A$2:$A$8,G2001,Period_Status!$B$2:$B$8,"ActualClosed")=1,C2001&gt;EOMONTH(Settlement_Bridge!$C$2,0)),1,0)</f>
        <v>1</v>
      </c>
      <c r="P2001" s="2" t="s">
        <v>5672</v>
      </c>
    </row>
    <row r="2002" spans="1:16" x14ac:dyDescent="0.25">
      <c r="A2002" s="2" t="s">
        <v>5673</v>
      </c>
      <c r="B2002" s="2" t="s">
        <v>199</v>
      </c>
      <c r="C2002" s="8">
        <v>46241</v>
      </c>
      <c r="D2002" s="6">
        <v>46235</v>
      </c>
      <c r="E2002" s="2" t="s">
        <v>260</v>
      </c>
      <c r="F2002" s="2" t="s">
        <v>5674</v>
      </c>
      <c r="G2002" s="6">
        <v>46204</v>
      </c>
      <c r="H2002" s="2" t="s">
        <v>71</v>
      </c>
      <c r="I2002" s="2" t="s">
        <v>70</v>
      </c>
      <c r="J2002" s="9">
        <v>10125</v>
      </c>
      <c r="K2002" s="7">
        <v>0.65</v>
      </c>
      <c r="L2002" s="9">
        <v>6581.25</v>
      </c>
      <c r="M2002" s="9">
        <v>6662.25</v>
      </c>
      <c r="N2002" s="9">
        <v>3.62</v>
      </c>
      <c r="O2002" s="10">
        <f>IF(AND(OR(H2002="APPROVED",H2002="SCHEDULED"),COUNTIFS(tblSource[EventID],F2002,tblSource[ReleaseStatus],"APPROVED")=1,COUNTIFS(Period_Status!$A$2:$A$8,G2002,Period_Status!$B$2:$B$8,"ActualClosed")=1,C2002&gt;EOMONTH(Settlement_Bridge!$C$2,0)),1,0)</f>
        <v>1</v>
      </c>
      <c r="P2002" s="2" t="s">
        <v>5675</v>
      </c>
    </row>
    <row r="2003" spans="1:16" x14ac:dyDescent="0.25">
      <c r="A2003" s="2" t="s">
        <v>5676</v>
      </c>
      <c r="B2003" s="2" t="s">
        <v>199</v>
      </c>
      <c r="C2003" s="8">
        <v>46242</v>
      </c>
      <c r="D2003" s="6">
        <v>46235</v>
      </c>
      <c r="E2003" s="2" t="s">
        <v>260</v>
      </c>
      <c r="F2003" s="2" t="s">
        <v>5677</v>
      </c>
      <c r="G2003" s="6">
        <v>46204</v>
      </c>
      <c r="H2003" s="2" t="s">
        <v>71</v>
      </c>
      <c r="I2003" s="2" t="s">
        <v>39</v>
      </c>
      <c r="J2003" s="9">
        <v>6835.26</v>
      </c>
      <c r="K2003" s="7">
        <v>1</v>
      </c>
      <c r="L2003" s="9">
        <v>6835.26</v>
      </c>
      <c r="M2003" s="9">
        <v>6835.26</v>
      </c>
      <c r="N2003" s="9">
        <v>3.76</v>
      </c>
      <c r="O2003" s="10">
        <f>IF(AND(OR(H2003="APPROVED",H2003="SCHEDULED"),COUNTIFS(tblSource[EventID],F2003,tblSource[ReleaseStatus],"APPROVED")=1,COUNTIFS(Period_Status!$A$2:$A$8,G2003,Period_Status!$B$2:$B$8,"ActualClosed")=1,C2003&gt;EOMONTH(Settlement_Bridge!$C$2,0)),1,0)</f>
        <v>1</v>
      </c>
      <c r="P2003" s="2" t="s">
        <v>5678</v>
      </c>
    </row>
    <row r="2004" spans="1:16" x14ac:dyDescent="0.25">
      <c r="A2004" s="2" t="s">
        <v>5679</v>
      </c>
      <c r="B2004" s="2" t="s">
        <v>199</v>
      </c>
      <c r="C2004" s="8">
        <v>46243</v>
      </c>
      <c r="D2004" s="6">
        <v>46235</v>
      </c>
      <c r="E2004" s="2" t="s">
        <v>260</v>
      </c>
      <c r="F2004" s="2" t="s">
        <v>5680</v>
      </c>
      <c r="G2004" s="6">
        <v>46204</v>
      </c>
      <c r="H2004" s="2" t="s">
        <v>71</v>
      </c>
      <c r="I2004" s="2" t="s">
        <v>76</v>
      </c>
      <c r="J2004" s="9">
        <v>113036612.903226</v>
      </c>
      <c r="K2004" s="7">
        <v>6.1500000000000004E-5</v>
      </c>
      <c r="L2004" s="9">
        <v>6951.75</v>
      </c>
      <c r="M2004" s="9">
        <v>7008.27</v>
      </c>
      <c r="N2004" s="9">
        <v>3.82</v>
      </c>
      <c r="O2004" s="10">
        <f>IF(AND(OR(H2004="APPROVED",H2004="SCHEDULED"),COUNTIFS(tblSource[EventID],F2004,tblSource[ReleaseStatus],"APPROVED")=1,COUNTIFS(Period_Status!$A$2:$A$8,G2004,Period_Status!$B$2:$B$8,"ActualClosed")=1,C2004&gt;EOMONTH(Settlement_Bridge!$C$2,0)),1,0)</f>
        <v>1</v>
      </c>
      <c r="P2004" s="2" t="s">
        <v>5681</v>
      </c>
    </row>
    <row r="2005" spans="1:16" x14ac:dyDescent="0.25">
      <c r="A2005" s="2" t="s">
        <v>5682</v>
      </c>
      <c r="B2005" s="2" t="s">
        <v>199</v>
      </c>
      <c r="C2005" s="8">
        <v>46244</v>
      </c>
      <c r="D2005" s="6">
        <v>46235</v>
      </c>
      <c r="E2005" s="2" t="s">
        <v>260</v>
      </c>
      <c r="F2005" s="2" t="s">
        <v>5683</v>
      </c>
      <c r="G2005" s="6">
        <v>46204</v>
      </c>
      <c r="H2005" s="2" t="s">
        <v>71</v>
      </c>
      <c r="I2005" s="2" t="s">
        <v>70</v>
      </c>
      <c r="J2005" s="9">
        <v>10913.799392000001</v>
      </c>
      <c r="K2005" s="7">
        <v>0.65</v>
      </c>
      <c r="L2005" s="9">
        <v>7093.97</v>
      </c>
      <c r="M2005" s="9">
        <v>7181.28</v>
      </c>
      <c r="N2005" s="9">
        <v>3.9</v>
      </c>
      <c r="O2005" s="10">
        <f>IF(AND(OR(H2005="APPROVED",H2005="SCHEDULED"),COUNTIFS(tblSource[EventID],F2005,tblSource[ReleaseStatus],"APPROVED")=1,COUNTIFS(Period_Status!$A$2:$A$8,G2005,Period_Status!$B$2:$B$8,"ActualClosed")=1,C2005&gt;EOMONTH(Settlement_Bridge!$C$2,0)),1,0)</f>
        <v>1</v>
      </c>
      <c r="P2005" s="2" t="s">
        <v>5684</v>
      </c>
    </row>
    <row r="2006" spans="1:16" x14ac:dyDescent="0.25">
      <c r="A2006" s="2" t="s">
        <v>5685</v>
      </c>
      <c r="B2006" s="2" t="s">
        <v>199</v>
      </c>
      <c r="C2006" s="8">
        <v>46235</v>
      </c>
      <c r="D2006" s="6">
        <v>46235</v>
      </c>
      <c r="E2006" s="2" t="s">
        <v>260</v>
      </c>
      <c r="F2006" s="2" t="s">
        <v>5686</v>
      </c>
      <c r="G2006" s="6">
        <v>46204</v>
      </c>
      <c r="H2006" s="2" t="s">
        <v>71</v>
      </c>
      <c r="I2006" s="2" t="s">
        <v>39</v>
      </c>
      <c r="J2006" s="9">
        <v>2941.7159999999999</v>
      </c>
      <c r="K2006" s="7">
        <v>1</v>
      </c>
      <c r="L2006" s="9">
        <v>2941.72</v>
      </c>
      <c r="M2006" s="9">
        <v>2941.72</v>
      </c>
      <c r="N2006" s="9">
        <v>1.8</v>
      </c>
      <c r="O2006" s="10">
        <f>IF(AND(OR(H2006="APPROVED",H2006="SCHEDULED"),COUNTIFS(tblSource[EventID],F2006,tblSource[ReleaseStatus],"APPROVED")=1,COUNTIFS(Period_Status!$A$2:$A$8,G2006,Period_Status!$B$2:$B$8,"ActualClosed")=1,C2006&gt;EOMONTH(Settlement_Bridge!$C$2,0)),1,0)</f>
        <v>1</v>
      </c>
      <c r="P2006" s="2" t="s">
        <v>5687</v>
      </c>
    </row>
    <row r="2007" spans="1:16" x14ac:dyDescent="0.25">
      <c r="A2007" s="2" t="s">
        <v>5688</v>
      </c>
      <c r="B2007" s="2" t="s">
        <v>199</v>
      </c>
      <c r="C2007" s="8">
        <v>46260</v>
      </c>
      <c r="D2007" s="6">
        <v>46235</v>
      </c>
      <c r="E2007" s="2" t="s">
        <v>260</v>
      </c>
      <c r="F2007" s="2" t="s">
        <v>5686</v>
      </c>
      <c r="G2007" s="6">
        <v>46204</v>
      </c>
      <c r="H2007" s="2" t="s">
        <v>71</v>
      </c>
      <c r="I2007" s="2" t="s">
        <v>39</v>
      </c>
      <c r="J2007" s="9">
        <v>4412.5739999999996</v>
      </c>
      <c r="K2007" s="7">
        <v>1</v>
      </c>
      <c r="L2007" s="9">
        <v>4412.57</v>
      </c>
      <c r="M2007" s="9">
        <v>4412.57</v>
      </c>
      <c r="N2007" s="9">
        <v>2.4300000000000002</v>
      </c>
      <c r="O2007" s="10">
        <f>IF(AND(OR(H2007="APPROVED",H2007="SCHEDULED"),COUNTIFS(tblSource[EventID],F2007,tblSource[ReleaseStatus],"APPROVED")=1,COUNTIFS(Period_Status!$A$2:$A$8,G2007,Period_Status!$B$2:$B$8,"ActualClosed")=1,C2007&gt;EOMONTH(Settlement_Bridge!$C$2,0)),1,0)</f>
        <v>1</v>
      </c>
      <c r="P2007" s="2" t="s">
        <v>5689</v>
      </c>
    </row>
    <row r="2008" spans="1:16" x14ac:dyDescent="0.25">
      <c r="A2008" s="2" t="s">
        <v>5690</v>
      </c>
      <c r="B2008" s="2" t="s">
        <v>199</v>
      </c>
      <c r="C2008" s="8">
        <v>46236</v>
      </c>
      <c r="D2008" s="6">
        <v>46235</v>
      </c>
      <c r="E2008" s="2" t="s">
        <v>260</v>
      </c>
      <c r="F2008" s="2" t="s">
        <v>5691</v>
      </c>
      <c r="G2008" s="6">
        <v>46204</v>
      </c>
      <c r="H2008" s="2" t="s">
        <v>71</v>
      </c>
      <c r="I2008" s="2" t="s">
        <v>76</v>
      </c>
      <c r="J2008" s="9">
        <v>48563225.806451999</v>
      </c>
      <c r="K2008" s="7">
        <v>6.1500000000000004E-5</v>
      </c>
      <c r="L2008" s="9">
        <v>2986.64</v>
      </c>
      <c r="M2008" s="9">
        <v>3010.92</v>
      </c>
      <c r="N2008" s="9">
        <v>1.8</v>
      </c>
      <c r="O2008" s="10">
        <f>IF(AND(OR(H2008="APPROVED",H2008="SCHEDULED"),COUNTIFS(tblSource[EventID],F2008,tblSource[ReleaseStatus],"APPROVED")=1,COUNTIFS(Period_Status!$A$2:$A$8,G2008,Period_Status!$B$2:$B$8,"ActualClosed")=1,C2008&gt;EOMONTH(Settlement_Bridge!$C$2,0)),1,0)</f>
        <v>1</v>
      </c>
      <c r="P2008" s="2" t="s">
        <v>5692</v>
      </c>
    </row>
    <row r="2009" spans="1:16" x14ac:dyDescent="0.25">
      <c r="A2009" s="2" t="s">
        <v>5693</v>
      </c>
      <c r="B2009" s="2" t="s">
        <v>199</v>
      </c>
      <c r="C2009" s="8">
        <v>46261</v>
      </c>
      <c r="D2009" s="6">
        <v>46235</v>
      </c>
      <c r="E2009" s="2" t="s">
        <v>260</v>
      </c>
      <c r="F2009" s="2" t="s">
        <v>5691</v>
      </c>
      <c r="G2009" s="6">
        <v>46204</v>
      </c>
      <c r="H2009" s="2" t="s">
        <v>71</v>
      </c>
      <c r="I2009" s="2" t="s">
        <v>76</v>
      </c>
      <c r="J2009" s="9">
        <v>72844838.709676996</v>
      </c>
      <c r="K2009" s="7">
        <v>6.1500000000000004E-5</v>
      </c>
      <c r="L2009" s="9">
        <v>4479.96</v>
      </c>
      <c r="M2009" s="9">
        <v>4516.38</v>
      </c>
      <c r="N2009" s="9">
        <v>2.46</v>
      </c>
      <c r="O2009" s="10">
        <f>IF(AND(OR(H2009="APPROVED",H2009="SCHEDULED"),COUNTIFS(tblSource[EventID],F2009,tblSource[ReleaseStatus],"APPROVED")=1,COUNTIFS(Period_Status!$A$2:$A$8,G2009,Period_Status!$B$2:$B$8,"ActualClosed")=1,C2009&gt;EOMONTH(Settlement_Bridge!$C$2,0)),1,0)</f>
        <v>1</v>
      </c>
      <c r="P2009" s="2" t="s">
        <v>5694</v>
      </c>
    </row>
    <row r="2010" spans="1:16" x14ac:dyDescent="0.25">
      <c r="A2010" s="2" t="s">
        <v>5695</v>
      </c>
      <c r="B2010" s="2" t="s">
        <v>199</v>
      </c>
      <c r="C2010" s="8">
        <v>46247</v>
      </c>
      <c r="D2010" s="6">
        <v>46235</v>
      </c>
      <c r="E2010" s="2" t="s">
        <v>260</v>
      </c>
      <c r="F2010" s="2" t="s">
        <v>5696</v>
      </c>
      <c r="G2010" s="6">
        <v>46204</v>
      </c>
      <c r="H2010" s="2" t="s">
        <v>71</v>
      </c>
      <c r="I2010" s="2" t="s">
        <v>70</v>
      </c>
      <c r="J2010" s="9">
        <v>11702.598784</v>
      </c>
      <c r="K2010" s="7">
        <v>0.65</v>
      </c>
      <c r="L2010" s="9">
        <v>7606.69</v>
      </c>
      <c r="M2010" s="9">
        <v>7700.31</v>
      </c>
      <c r="N2010" s="9">
        <v>4.18</v>
      </c>
      <c r="O2010" s="10">
        <f>IF(AND(OR(H2010="APPROVED",H2010="SCHEDULED"),COUNTIFS(tblSource[EventID],F2010,tblSource[ReleaseStatus],"APPROVED")=1,COUNTIFS(Period_Status!$A$2:$A$8,G2010,Period_Status!$B$2:$B$8,"ActualClosed")=1,C2010&gt;EOMONTH(Settlement_Bridge!$C$2,0)),1,0)</f>
        <v>1</v>
      </c>
      <c r="P2010" s="2" t="s">
        <v>5697</v>
      </c>
    </row>
    <row r="2011" spans="1:16" x14ac:dyDescent="0.25">
      <c r="A2011" s="2" t="s">
        <v>5698</v>
      </c>
      <c r="B2011" s="2" t="s">
        <v>199</v>
      </c>
      <c r="C2011" s="8">
        <v>46248</v>
      </c>
      <c r="D2011" s="6">
        <v>46235</v>
      </c>
      <c r="E2011" s="2" t="s">
        <v>260</v>
      </c>
      <c r="F2011" s="2" t="s">
        <v>5699</v>
      </c>
      <c r="G2011" s="6">
        <v>46204</v>
      </c>
      <c r="H2011" s="2" t="s">
        <v>71</v>
      </c>
      <c r="I2011" s="2" t="s">
        <v>39</v>
      </c>
      <c r="J2011" s="9">
        <v>7873.32</v>
      </c>
      <c r="K2011" s="7">
        <v>1</v>
      </c>
      <c r="L2011" s="9">
        <v>7873.32</v>
      </c>
      <c r="M2011" s="9">
        <v>7873.32</v>
      </c>
      <c r="N2011" s="9">
        <v>4.33</v>
      </c>
      <c r="O2011" s="10">
        <f>IF(AND(OR(H2011="APPROVED",H2011="SCHEDULED"),COUNTIFS(tblSource[EventID],F2011,tblSource[ReleaseStatus],"APPROVED")=1,COUNTIFS(Period_Status!$A$2:$A$8,G2011,Period_Status!$B$2:$B$8,"ActualClosed")=1,C2011&gt;EOMONTH(Settlement_Bridge!$C$2,0)),1,0)</f>
        <v>1</v>
      </c>
      <c r="P2011" s="2" t="s">
        <v>5700</v>
      </c>
    </row>
    <row r="2012" spans="1:16" x14ac:dyDescent="0.25">
      <c r="A2012" s="2" t="s">
        <v>5701</v>
      </c>
      <c r="B2012" s="2" t="s">
        <v>199</v>
      </c>
      <c r="C2012" s="8">
        <v>46239</v>
      </c>
      <c r="D2012" s="6">
        <v>46235</v>
      </c>
      <c r="E2012" s="2" t="s">
        <v>260</v>
      </c>
      <c r="F2012" s="2" t="s">
        <v>5702</v>
      </c>
      <c r="G2012" s="6">
        <v>46204</v>
      </c>
      <c r="H2012" s="2" t="s">
        <v>71</v>
      </c>
      <c r="I2012" s="2" t="s">
        <v>76</v>
      </c>
      <c r="J2012" s="9">
        <v>51911806.451613002</v>
      </c>
      <c r="K2012" s="7">
        <v>6.1500000000000004E-5</v>
      </c>
      <c r="L2012" s="9">
        <v>3192.58</v>
      </c>
      <c r="M2012" s="9">
        <v>3218.53</v>
      </c>
      <c r="N2012" s="9">
        <v>1.8</v>
      </c>
      <c r="O2012" s="10">
        <f>IF(AND(OR(H2012="APPROVED",H2012="SCHEDULED"),COUNTIFS(tblSource[EventID],F2012,tblSource[ReleaseStatus],"APPROVED")=1,COUNTIFS(Period_Status!$A$2:$A$8,G2012,Period_Status!$B$2:$B$8,"ActualClosed")=1,C2012&gt;EOMONTH(Settlement_Bridge!$C$2,0)),1,0)</f>
        <v>1</v>
      </c>
      <c r="P2012" s="2" t="s">
        <v>5703</v>
      </c>
    </row>
    <row r="2013" spans="1:16" x14ac:dyDescent="0.25">
      <c r="A2013" s="2" t="s">
        <v>5704</v>
      </c>
      <c r="B2013" s="2" t="s">
        <v>199</v>
      </c>
      <c r="C2013" s="8">
        <v>46264</v>
      </c>
      <c r="D2013" s="6">
        <v>46235</v>
      </c>
      <c r="E2013" s="2" t="s">
        <v>260</v>
      </c>
      <c r="F2013" s="2" t="s">
        <v>5702</v>
      </c>
      <c r="G2013" s="6">
        <v>46204</v>
      </c>
      <c r="H2013" s="2" t="s">
        <v>71</v>
      </c>
      <c r="I2013" s="2" t="s">
        <v>76</v>
      </c>
      <c r="J2013" s="9">
        <v>77867709.677419007</v>
      </c>
      <c r="K2013" s="7">
        <v>6.1500000000000004E-5</v>
      </c>
      <c r="L2013" s="9">
        <v>4788.8599999999997</v>
      </c>
      <c r="M2013" s="9">
        <v>4827.8</v>
      </c>
      <c r="N2013" s="9">
        <v>2.63</v>
      </c>
      <c r="O2013" s="10">
        <f>IF(AND(OR(H2013="APPROVED",H2013="SCHEDULED"),COUNTIFS(tblSource[EventID],F2013,tblSource[ReleaseStatus],"APPROVED")=1,COUNTIFS(Period_Status!$A$2:$A$8,G2013,Period_Status!$B$2:$B$8,"ActualClosed")=1,C2013&gt;EOMONTH(Settlement_Bridge!$C$2,0)),1,0)</f>
        <v>1</v>
      </c>
      <c r="P2013" s="2" t="s">
        <v>5705</v>
      </c>
    </row>
    <row r="2014" spans="1:16" x14ac:dyDescent="0.25">
      <c r="A2014" s="2" t="s">
        <v>5706</v>
      </c>
      <c r="B2014" s="2" t="s">
        <v>199</v>
      </c>
      <c r="C2014" s="8">
        <v>46250</v>
      </c>
      <c r="D2014" s="6">
        <v>46235</v>
      </c>
      <c r="E2014" s="2" t="s">
        <v>260</v>
      </c>
      <c r="F2014" s="2" t="s">
        <v>5707</v>
      </c>
      <c r="G2014" s="6">
        <v>46204</v>
      </c>
      <c r="H2014" s="2" t="s">
        <v>71</v>
      </c>
      <c r="I2014" s="2" t="s">
        <v>70</v>
      </c>
      <c r="J2014" s="9">
        <v>12491.398176000001</v>
      </c>
      <c r="K2014" s="7">
        <v>0.65</v>
      </c>
      <c r="L2014" s="9">
        <v>8119.41</v>
      </c>
      <c r="M2014" s="9">
        <v>8219.34</v>
      </c>
      <c r="N2014" s="9">
        <v>4.47</v>
      </c>
      <c r="O2014" s="10">
        <f>IF(AND(OR(H2014="APPROVED",H2014="SCHEDULED"),COUNTIFS(tblSource[EventID],F2014,tblSource[ReleaseStatus],"APPROVED")=1,COUNTIFS(Period_Status!$A$2:$A$8,G2014,Period_Status!$B$2:$B$8,"ActualClosed")=1,C2014&gt;EOMONTH(Settlement_Bridge!$C$2,0)),1,0)</f>
        <v>1</v>
      </c>
      <c r="P2014" s="2" t="s">
        <v>5708</v>
      </c>
    </row>
    <row r="2015" spans="1:16" x14ac:dyDescent="0.25">
      <c r="A2015" s="2" t="s">
        <v>5709</v>
      </c>
      <c r="B2015" s="2" t="s">
        <v>199</v>
      </c>
      <c r="C2015" s="8">
        <v>46251</v>
      </c>
      <c r="D2015" s="6">
        <v>46235</v>
      </c>
      <c r="E2015" s="2" t="s">
        <v>260</v>
      </c>
      <c r="F2015" s="2" t="s">
        <v>5710</v>
      </c>
      <c r="G2015" s="6">
        <v>46204</v>
      </c>
      <c r="H2015" s="2" t="s">
        <v>71</v>
      </c>
      <c r="I2015" s="2" t="s">
        <v>39</v>
      </c>
      <c r="J2015" s="9">
        <v>8392.35</v>
      </c>
      <c r="K2015" s="7">
        <v>1</v>
      </c>
      <c r="L2015" s="9">
        <v>8392.35</v>
      </c>
      <c r="M2015" s="9">
        <v>8392.35</v>
      </c>
      <c r="N2015" s="9">
        <v>4.62</v>
      </c>
      <c r="O2015" s="10">
        <f>IF(AND(OR(H2015="APPROVED",H2015="SCHEDULED"),COUNTIFS(tblSource[EventID],F2015,tblSource[ReleaseStatus],"APPROVED")=1,COUNTIFS(Period_Status!$A$2:$A$8,G2015,Period_Status!$B$2:$B$8,"ActualClosed")=1,C2015&gt;EOMONTH(Settlement_Bridge!$C$2,0)),1,0)</f>
        <v>1</v>
      </c>
      <c r="P2015" s="2" t="s">
        <v>5711</v>
      </c>
    </row>
    <row r="2016" spans="1:16" x14ac:dyDescent="0.25">
      <c r="A2016" s="2" t="s">
        <v>5712</v>
      </c>
      <c r="B2016" s="2" t="s">
        <v>199</v>
      </c>
      <c r="C2016" s="8">
        <v>46252</v>
      </c>
      <c r="D2016" s="6">
        <v>46235</v>
      </c>
      <c r="E2016" s="2" t="s">
        <v>260</v>
      </c>
      <c r="F2016" s="2" t="s">
        <v>5713</v>
      </c>
      <c r="G2016" s="6">
        <v>46204</v>
      </c>
      <c r="H2016" s="2" t="s">
        <v>71</v>
      </c>
      <c r="I2016" s="2" t="s">
        <v>76</v>
      </c>
      <c r="J2016" s="9">
        <v>138150967.74193501</v>
      </c>
      <c r="K2016" s="7">
        <v>6.1500000000000004E-5</v>
      </c>
      <c r="L2016" s="9">
        <v>8496.2800000000007</v>
      </c>
      <c r="M2016" s="9">
        <v>8565.36</v>
      </c>
      <c r="N2016" s="9">
        <v>4.67</v>
      </c>
      <c r="O2016" s="10">
        <f>IF(AND(OR(H2016="APPROVED",H2016="SCHEDULED"),COUNTIFS(tblSource[EventID],F2016,tblSource[ReleaseStatus],"APPROVED")=1,COUNTIFS(Period_Status!$A$2:$A$8,G2016,Period_Status!$B$2:$B$8,"ActualClosed")=1,C2016&gt;EOMONTH(Settlement_Bridge!$C$2,0)),1,0)</f>
        <v>1</v>
      </c>
      <c r="P2016" s="2" t="s">
        <v>5714</v>
      </c>
    </row>
    <row r="2017" spans="1:16" x14ac:dyDescent="0.25">
      <c r="A2017" s="2" t="s">
        <v>5715</v>
      </c>
      <c r="B2017" s="2" t="s">
        <v>199</v>
      </c>
      <c r="C2017" s="8">
        <v>46253</v>
      </c>
      <c r="D2017" s="6">
        <v>46235</v>
      </c>
      <c r="E2017" s="2" t="s">
        <v>260</v>
      </c>
      <c r="F2017" s="2" t="s">
        <v>5716</v>
      </c>
      <c r="G2017" s="6">
        <v>46204</v>
      </c>
      <c r="H2017" s="2" t="s">
        <v>71</v>
      </c>
      <c r="I2017" s="2" t="s">
        <v>70</v>
      </c>
      <c r="J2017" s="9">
        <v>13280.197568</v>
      </c>
      <c r="K2017" s="7">
        <v>0.65</v>
      </c>
      <c r="L2017" s="9">
        <v>8632.1299999999992</v>
      </c>
      <c r="M2017" s="9">
        <v>8738.3700000000008</v>
      </c>
      <c r="N2017" s="9">
        <v>4.75</v>
      </c>
      <c r="O2017" s="10">
        <f>IF(AND(OR(H2017="APPROVED",H2017="SCHEDULED"),COUNTIFS(tblSource[EventID],F2017,tblSource[ReleaseStatus],"APPROVED")=1,COUNTIFS(Period_Status!$A$2:$A$8,G2017,Period_Status!$B$2:$B$8,"ActualClosed")=1,C2017&gt;EOMONTH(Settlement_Bridge!$C$2,0)),1,0)</f>
        <v>1</v>
      </c>
      <c r="P2017" s="2" t="s">
        <v>5717</v>
      </c>
    </row>
    <row r="2018" spans="1:16" x14ac:dyDescent="0.25">
      <c r="A2018" s="2" t="s">
        <v>5718</v>
      </c>
      <c r="B2018" s="2" t="s">
        <v>199</v>
      </c>
      <c r="C2018" s="8">
        <v>46254</v>
      </c>
      <c r="D2018" s="6">
        <v>46235</v>
      </c>
      <c r="E2018" s="2" t="s">
        <v>260</v>
      </c>
      <c r="F2018" s="2" t="s">
        <v>5719</v>
      </c>
      <c r="G2018" s="6">
        <v>46204</v>
      </c>
      <c r="H2018" s="2" t="s">
        <v>71</v>
      </c>
      <c r="I2018" s="2" t="s">
        <v>39</v>
      </c>
      <c r="J2018" s="9">
        <v>8911.3799999999992</v>
      </c>
      <c r="K2018" s="7">
        <v>1</v>
      </c>
      <c r="L2018" s="9">
        <v>8911.3799999999992</v>
      </c>
      <c r="M2018" s="9">
        <v>8911.3799999999992</v>
      </c>
      <c r="N2018" s="9">
        <v>4.9000000000000004</v>
      </c>
      <c r="O2018" s="10">
        <f>IF(AND(OR(H2018="APPROVED",H2018="SCHEDULED"),COUNTIFS(tblSource[EventID],F2018,tblSource[ReleaseStatus],"APPROVED")=1,COUNTIFS(Period_Status!$A$2:$A$8,G2018,Period_Status!$B$2:$B$8,"ActualClosed")=1,C2018&gt;EOMONTH(Settlement_Bridge!$C$2,0)),1,0)</f>
        <v>1</v>
      </c>
      <c r="P2018" s="2" t="s">
        <v>5720</v>
      </c>
    </row>
    <row r="2019" spans="1:16" x14ac:dyDescent="0.25">
      <c r="A2019" s="2" t="s">
        <v>5721</v>
      </c>
      <c r="B2019" s="2" t="s">
        <v>199</v>
      </c>
      <c r="C2019" s="8">
        <v>46245</v>
      </c>
      <c r="D2019" s="6">
        <v>46235</v>
      </c>
      <c r="E2019" s="2" t="s">
        <v>260</v>
      </c>
      <c r="F2019" s="2" t="s">
        <v>5722</v>
      </c>
      <c r="G2019" s="6">
        <v>46204</v>
      </c>
      <c r="H2019" s="2" t="s">
        <v>71</v>
      </c>
      <c r="I2019" s="2" t="s">
        <v>76</v>
      </c>
      <c r="J2019" s="9">
        <v>58608967.741935998</v>
      </c>
      <c r="K2019" s="7">
        <v>6.1500000000000004E-5</v>
      </c>
      <c r="L2019" s="9">
        <v>3604.45</v>
      </c>
      <c r="M2019" s="9">
        <v>3633.76</v>
      </c>
      <c r="N2019" s="9">
        <v>1.98</v>
      </c>
      <c r="O2019" s="10">
        <f>IF(AND(OR(H2019="APPROVED",H2019="SCHEDULED"),COUNTIFS(tblSource[EventID],F2019,tblSource[ReleaseStatus],"APPROVED")=1,COUNTIFS(Period_Status!$A$2:$A$8,G2019,Period_Status!$B$2:$B$8,"ActualClosed")=1,C2019&gt;EOMONTH(Settlement_Bridge!$C$2,0)),1,0)</f>
        <v>1</v>
      </c>
      <c r="P2019" s="2" t="s">
        <v>5723</v>
      </c>
    </row>
    <row r="2020" spans="1:16" x14ac:dyDescent="0.25">
      <c r="A2020" s="2" t="s">
        <v>5724</v>
      </c>
      <c r="B2020" s="2" t="s">
        <v>199</v>
      </c>
      <c r="C2020" s="8">
        <v>46270</v>
      </c>
      <c r="D2020" s="6">
        <v>46266</v>
      </c>
      <c r="E2020" s="2" t="s">
        <v>260</v>
      </c>
      <c r="F2020" s="2" t="s">
        <v>5722</v>
      </c>
      <c r="G2020" s="6">
        <v>46204</v>
      </c>
      <c r="H2020" s="2" t="s">
        <v>176</v>
      </c>
      <c r="I2020" s="2" t="s">
        <v>76</v>
      </c>
      <c r="J2020" s="9">
        <v>87913451.612902999</v>
      </c>
      <c r="K2020" s="7">
        <v>6.1299999999999999E-5</v>
      </c>
      <c r="L2020" s="9">
        <v>5389.09</v>
      </c>
      <c r="M2020" s="9">
        <v>5450.63</v>
      </c>
      <c r="N2020" s="9">
        <v>2.96</v>
      </c>
      <c r="O2020" s="10">
        <f>IF(AND(OR(H2020="APPROVED",H2020="SCHEDULED"),COUNTIFS(tblSource[EventID],F2020,tblSource[ReleaseStatus],"APPROVED")=1,COUNTIFS(Period_Status!$A$2:$A$8,G2020,Period_Status!$B$2:$B$8,"ActualClosed")=1,C2020&gt;EOMONTH(Settlement_Bridge!$C$2,0)),1,0)</f>
        <v>1</v>
      </c>
      <c r="P2020" s="2" t="s">
        <v>5725</v>
      </c>
    </row>
    <row r="2021" spans="1:16" x14ac:dyDescent="0.25">
      <c r="A2021" s="2" t="s">
        <v>5726</v>
      </c>
      <c r="B2021" s="2" t="s">
        <v>199</v>
      </c>
      <c r="C2021" s="8">
        <v>46246</v>
      </c>
      <c r="D2021" s="6">
        <v>46235</v>
      </c>
      <c r="E2021" s="2" t="s">
        <v>260</v>
      </c>
      <c r="F2021" s="2" t="s">
        <v>5727</v>
      </c>
      <c r="G2021" s="6">
        <v>46204</v>
      </c>
      <c r="H2021" s="2" t="s">
        <v>71</v>
      </c>
      <c r="I2021" s="2" t="s">
        <v>70</v>
      </c>
      <c r="J2021" s="9">
        <v>5627.5987839999998</v>
      </c>
      <c r="K2021" s="7">
        <v>0.65</v>
      </c>
      <c r="L2021" s="9">
        <v>3657.94</v>
      </c>
      <c r="M2021" s="9">
        <v>3702.96</v>
      </c>
      <c r="N2021" s="9">
        <v>2.0099999999999998</v>
      </c>
      <c r="O2021" s="10">
        <f>IF(AND(OR(H2021="APPROVED",H2021="SCHEDULED"),COUNTIFS(tblSource[EventID],F2021,tblSource[ReleaseStatus],"APPROVED")=1,COUNTIFS(Period_Status!$A$2:$A$8,G2021,Period_Status!$B$2:$B$8,"ActualClosed")=1,C2021&gt;EOMONTH(Settlement_Bridge!$C$2,0)),1,0)</f>
        <v>1</v>
      </c>
      <c r="P2021" s="2" t="s">
        <v>5728</v>
      </c>
    </row>
    <row r="2022" spans="1:16" x14ac:dyDescent="0.25">
      <c r="A2022" s="2" t="s">
        <v>5729</v>
      </c>
      <c r="B2022" s="2" t="s">
        <v>199</v>
      </c>
      <c r="C2022" s="8">
        <v>46271</v>
      </c>
      <c r="D2022" s="6">
        <v>46266</v>
      </c>
      <c r="E2022" s="2" t="s">
        <v>260</v>
      </c>
      <c r="F2022" s="2" t="s">
        <v>5727</v>
      </c>
      <c r="G2022" s="6">
        <v>46204</v>
      </c>
      <c r="H2022" s="2" t="s">
        <v>176</v>
      </c>
      <c r="I2022" s="2" t="s">
        <v>70</v>
      </c>
      <c r="J2022" s="9">
        <v>8441.3981760000006</v>
      </c>
      <c r="K2022" s="7">
        <v>0.65100000000000002</v>
      </c>
      <c r="L2022" s="9">
        <v>5495.35</v>
      </c>
      <c r="M2022" s="9">
        <v>5554.44</v>
      </c>
      <c r="N2022" s="9">
        <v>3.02</v>
      </c>
      <c r="O2022" s="10">
        <f>IF(AND(OR(H2022="APPROVED",H2022="SCHEDULED"),COUNTIFS(tblSource[EventID],F2022,tblSource[ReleaseStatus],"APPROVED")=1,COUNTIFS(Period_Status!$A$2:$A$8,G2022,Period_Status!$B$2:$B$8,"ActualClosed")=1,C2022&gt;EOMONTH(Settlement_Bridge!$C$2,0)),1,0)</f>
        <v>1</v>
      </c>
      <c r="P2022" s="2" t="s">
        <v>5730</v>
      </c>
    </row>
    <row r="2023" spans="1:16" x14ac:dyDescent="0.25">
      <c r="A2023" s="2" t="s">
        <v>5731</v>
      </c>
      <c r="B2023" s="2" t="s">
        <v>199</v>
      </c>
      <c r="C2023" s="8">
        <v>46257</v>
      </c>
      <c r="D2023" s="6">
        <v>46235</v>
      </c>
      <c r="E2023" s="2" t="s">
        <v>260</v>
      </c>
      <c r="F2023" s="2" t="s">
        <v>5732</v>
      </c>
      <c r="G2023" s="6">
        <v>46204</v>
      </c>
      <c r="H2023" s="2" t="s">
        <v>71</v>
      </c>
      <c r="I2023" s="2" t="s">
        <v>39</v>
      </c>
      <c r="J2023" s="9">
        <v>9430.41</v>
      </c>
      <c r="K2023" s="7">
        <v>1</v>
      </c>
      <c r="L2023" s="9">
        <v>9430.41</v>
      </c>
      <c r="M2023" s="9">
        <v>9430.41</v>
      </c>
      <c r="N2023" s="9">
        <v>5.19</v>
      </c>
      <c r="O2023" s="10">
        <f>IF(AND(OR(H2023="APPROVED",H2023="SCHEDULED"),COUNTIFS(tblSource[EventID],F2023,tblSource[ReleaseStatus],"APPROVED")=1,COUNTIFS(Period_Status!$A$2:$A$8,G2023,Period_Status!$B$2:$B$8,"ActualClosed")=1,C2023&gt;EOMONTH(Settlement_Bridge!$C$2,0)),1,0)</f>
        <v>1</v>
      </c>
      <c r="P2023" s="2" t="s">
        <v>5733</v>
      </c>
    </row>
    <row r="2024" spans="1:16" x14ac:dyDescent="0.25">
      <c r="A2024" s="2" t="s">
        <v>5734</v>
      </c>
      <c r="B2024" s="2" t="s">
        <v>199</v>
      </c>
      <c r="C2024" s="8">
        <v>46258</v>
      </c>
      <c r="D2024" s="6">
        <v>46235</v>
      </c>
      <c r="E2024" s="2" t="s">
        <v>260</v>
      </c>
      <c r="F2024" s="2" t="s">
        <v>5735</v>
      </c>
      <c r="G2024" s="6">
        <v>46204</v>
      </c>
      <c r="H2024" s="2" t="s">
        <v>71</v>
      </c>
      <c r="I2024" s="2" t="s">
        <v>76</v>
      </c>
      <c r="J2024" s="9">
        <v>154893870.967742</v>
      </c>
      <c r="K2024" s="7">
        <v>6.1500000000000004E-5</v>
      </c>
      <c r="L2024" s="9">
        <v>9525.9699999999993</v>
      </c>
      <c r="M2024" s="9">
        <v>9603.42</v>
      </c>
      <c r="N2024" s="9">
        <v>5.24</v>
      </c>
      <c r="O2024" s="10">
        <f>IF(AND(OR(H2024="APPROVED",H2024="SCHEDULED"),COUNTIFS(tblSource[EventID],F2024,tblSource[ReleaseStatus],"APPROVED")=1,COUNTIFS(Period_Status!$A$2:$A$8,G2024,Period_Status!$B$2:$B$8,"ActualClosed")=1,C2024&gt;EOMONTH(Settlement_Bridge!$C$2,0)),1,0)</f>
        <v>1</v>
      </c>
      <c r="P2024" s="2" t="s">
        <v>5736</v>
      </c>
    </row>
    <row r="2025" spans="1:16" x14ac:dyDescent="0.25">
      <c r="A2025" s="2" t="s">
        <v>5737</v>
      </c>
      <c r="B2025" s="2" t="s">
        <v>199</v>
      </c>
      <c r="C2025" s="8">
        <v>46218</v>
      </c>
      <c r="D2025" s="6">
        <v>46204</v>
      </c>
      <c r="E2025" s="2" t="s">
        <v>260</v>
      </c>
      <c r="F2025" s="2" t="s">
        <v>5738</v>
      </c>
      <c r="G2025" s="6">
        <v>46204</v>
      </c>
      <c r="H2025" s="2" t="s">
        <v>71</v>
      </c>
      <c r="I2025" s="2" t="s">
        <v>70</v>
      </c>
      <c r="J2025" s="9">
        <v>5943.1185409999998</v>
      </c>
      <c r="K2025" s="7">
        <v>0.65800000000000003</v>
      </c>
      <c r="L2025" s="9">
        <v>3910.57</v>
      </c>
      <c r="M2025" s="9">
        <v>3910.57</v>
      </c>
      <c r="N2025" s="9">
        <v>2.15</v>
      </c>
      <c r="O2025" s="10">
        <f>IF(AND(OR(H2025="APPROVED",H2025="SCHEDULED"),COUNTIFS(tblSource[EventID],F2025,tblSource[ReleaseStatus],"APPROVED")=1,COUNTIFS(Period_Status!$A$2:$A$8,G2025,Period_Status!$B$2:$B$8,"ActualClosed")=1,C2025&gt;EOMONTH(Settlement_Bridge!$C$2,0)),1,0)</f>
        <v>0</v>
      </c>
      <c r="P2025" s="2" t="s">
        <v>5739</v>
      </c>
    </row>
    <row r="2026" spans="1:16" x14ac:dyDescent="0.25">
      <c r="A2026" s="2" t="s">
        <v>5740</v>
      </c>
      <c r="B2026" s="2" t="s">
        <v>199</v>
      </c>
      <c r="C2026" s="8">
        <v>46243</v>
      </c>
      <c r="D2026" s="6">
        <v>46235</v>
      </c>
      <c r="E2026" s="2" t="s">
        <v>260</v>
      </c>
      <c r="F2026" s="2" t="s">
        <v>5738</v>
      </c>
      <c r="G2026" s="6">
        <v>46204</v>
      </c>
      <c r="H2026" s="2" t="s">
        <v>71</v>
      </c>
      <c r="I2026" s="2" t="s">
        <v>70</v>
      </c>
      <c r="J2026" s="9">
        <v>8914.6778119999999</v>
      </c>
      <c r="K2026" s="7">
        <v>0.65</v>
      </c>
      <c r="L2026" s="9">
        <v>5794.54</v>
      </c>
      <c r="M2026" s="9">
        <v>5865.86</v>
      </c>
      <c r="N2026" s="9">
        <v>3.19</v>
      </c>
      <c r="O2026" s="10">
        <f>IF(AND(OR(H2026="APPROVED",H2026="SCHEDULED"),COUNTIFS(tblSource[EventID],F2026,tblSource[ReleaseStatus],"APPROVED")=1,COUNTIFS(Period_Status!$A$2:$A$8,G2026,Period_Status!$B$2:$B$8,"ActualClosed")=1,C2026&gt;EOMONTH(Settlement_Bridge!$C$2,0)),1,0)</f>
        <v>1</v>
      </c>
      <c r="P2026" s="2" t="s">
        <v>5741</v>
      </c>
    </row>
    <row r="2027" spans="1:16" x14ac:dyDescent="0.25">
      <c r="A2027" s="2" t="s">
        <v>5742</v>
      </c>
      <c r="B2027" s="2" t="s">
        <v>199</v>
      </c>
      <c r="C2027" s="8">
        <v>46229</v>
      </c>
      <c r="D2027" s="6">
        <v>46204</v>
      </c>
      <c r="E2027" s="2" t="s">
        <v>260</v>
      </c>
      <c r="F2027" s="2" t="s">
        <v>5743</v>
      </c>
      <c r="G2027" s="6">
        <v>46204</v>
      </c>
      <c r="H2027" s="2" t="s">
        <v>71</v>
      </c>
      <c r="I2027" s="2" t="s">
        <v>39</v>
      </c>
      <c r="J2027" s="9">
        <v>9949.44</v>
      </c>
      <c r="K2027" s="7">
        <v>1</v>
      </c>
      <c r="L2027" s="9">
        <v>9949.44</v>
      </c>
      <c r="M2027" s="9">
        <v>9949.44</v>
      </c>
      <c r="N2027" s="9">
        <v>5.47</v>
      </c>
      <c r="O2027" s="10">
        <f>IF(AND(OR(H2027="APPROVED",H2027="SCHEDULED"),COUNTIFS(tblSource[EventID],F2027,tblSource[ReleaseStatus],"APPROVED")=1,COUNTIFS(Period_Status!$A$2:$A$8,G2027,Period_Status!$B$2:$B$8,"ActualClosed")=1,C2027&gt;EOMONTH(Settlement_Bridge!$C$2,0)),1,0)</f>
        <v>0</v>
      </c>
      <c r="P2027" s="2" t="s">
        <v>5744</v>
      </c>
    </row>
    <row r="2028" spans="1:16" x14ac:dyDescent="0.25">
      <c r="A2028" s="2" t="s">
        <v>5745</v>
      </c>
      <c r="B2028" s="2" t="s">
        <v>199</v>
      </c>
      <c r="C2028" s="8">
        <v>46230</v>
      </c>
      <c r="D2028" s="6">
        <v>46204</v>
      </c>
      <c r="E2028" s="2" t="s">
        <v>260</v>
      </c>
      <c r="F2028" s="2" t="s">
        <v>5746</v>
      </c>
      <c r="G2028" s="6">
        <v>46204</v>
      </c>
      <c r="H2028" s="2" t="s">
        <v>71</v>
      </c>
      <c r="I2028" s="2" t="s">
        <v>76</v>
      </c>
      <c r="J2028" s="9">
        <v>163265322.58064499</v>
      </c>
      <c r="K2028" s="7">
        <v>6.2000000000000003E-5</v>
      </c>
      <c r="L2028" s="9">
        <v>10122.450000000001</v>
      </c>
      <c r="M2028" s="9">
        <v>10122.450000000001</v>
      </c>
      <c r="N2028" s="9">
        <v>5.57</v>
      </c>
      <c r="O2028" s="10">
        <f>IF(AND(OR(H2028="APPROVED",H2028="SCHEDULED"),COUNTIFS(tblSource[EventID],F2028,tblSource[ReleaseStatus],"APPROVED")=1,COUNTIFS(Period_Status!$A$2:$A$8,G2028,Period_Status!$B$2:$B$8,"ActualClosed")=1,C2028&gt;EOMONTH(Settlement_Bridge!$C$2,0)),1,0)</f>
        <v>0</v>
      </c>
      <c r="P2028" s="2" t="s">
        <v>5747</v>
      </c>
    </row>
    <row r="2029" spans="1:16" x14ac:dyDescent="0.25">
      <c r="A2029" s="2" t="s">
        <v>5748</v>
      </c>
      <c r="B2029" s="2" t="s">
        <v>199</v>
      </c>
      <c r="C2029" s="8">
        <v>46231</v>
      </c>
      <c r="D2029" s="6">
        <v>46204</v>
      </c>
      <c r="E2029" s="2" t="s">
        <v>260</v>
      </c>
      <c r="F2029" s="2" t="s">
        <v>5749</v>
      </c>
      <c r="G2029" s="6">
        <v>46204</v>
      </c>
      <c r="H2029" s="2" t="s">
        <v>71</v>
      </c>
      <c r="I2029" s="2" t="s">
        <v>70</v>
      </c>
      <c r="J2029" s="9">
        <v>15646.595745000001</v>
      </c>
      <c r="K2029" s="7">
        <v>0.65800000000000003</v>
      </c>
      <c r="L2029" s="9">
        <v>10295.459999999999</v>
      </c>
      <c r="M2029" s="9">
        <v>10295.459999999999</v>
      </c>
      <c r="N2029" s="9">
        <v>5.66</v>
      </c>
      <c r="O2029" s="10">
        <f>IF(AND(OR(H2029="APPROVED",H2029="SCHEDULED"),COUNTIFS(tblSource[EventID],F2029,tblSource[ReleaseStatus],"APPROVED")=1,COUNTIFS(Period_Status!$A$2:$A$8,G2029,Period_Status!$B$2:$B$8,"ActualClosed")=1,C2029&gt;EOMONTH(Settlement_Bridge!$C$2,0)),1,0)</f>
        <v>0</v>
      </c>
      <c r="P2029" s="2" t="s">
        <v>5750</v>
      </c>
    </row>
    <row r="2030" spans="1:16" x14ac:dyDescent="0.25">
      <c r="A2030" s="2" t="s">
        <v>5751</v>
      </c>
      <c r="B2030" s="2" t="s">
        <v>199</v>
      </c>
      <c r="C2030" s="8">
        <v>46232</v>
      </c>
      <c r="D2030" s="6">
        <v>46204</v>
      </c>
      <c r="E2030" s="2" t="s">
        <v>260</v>
      </c>
      <c r="F2030" s="2" t="s">
        <v>5752</v>
      </c>
      <c r="G2030" s="6">
        <v>46204</v>
      </c>
      <c r="H2030" s="2" t="s">
        <v>71</v>
      </c>
      <c r="I2030" s="2" t="s">
        <v>39</v>
      </c>
      <c r="J2030" s="9">
        <v>10468.469999999999</v>
      </c>
      <c r="K2030" s="7">
        <v>1</v>
      </c>
      <c r="L2030" s="9">
        <v>10468.469999999999</v>
      </c>
      <c r="M2030" s="9">
        <v>10468.469999999999</v>
      </c>
      <c r="N2030" s="9">
        <v>5.76</v>
      </c>
      <c r="O2030" s="10">
        <f>IF(AND(OR(H2030="APPROVED",H2030="SCHEDULED"),COUNTIFS(tblSource[EventID],F2030,tblSource[ReleaseStatus],"APPROVED")=1,COUNTIFS(Period_Status!$A$2:$A$8,G2030,Period_Status!$B$2:$B$8,"ActualClosed")=1,C2030&gt;EOMONTH(Settlement_Bridge!$C$2,0)),1,0)</f>
        <v>0</v>
      </c>
      <c r="P2030" s="2" t="s">
        <v>5753</v>
      </c>
    </row>
    <row r="2031" spans="1:16" x14ac:dyDescent="0.25">
      <c r="A2031" s="2" t="s">
        <v>5754</v>
      </c>
      <c r="B2031" s="2" t="s">
        <v>199</v>
      </c>
      <c r="C2031" s="8">
        <v>46233</v>
      </c>
      <c r="D2031" s="6">
        <v>46204</v>
      </c>
      <c r="E2031" s="2" t="s">
        <v>260</v>
      </c>
      <c r="F2031" s="2" t="s">
        <v>5755</v>
      </c>
      <c r="G2031" s="6">
        <v>46204</v>
      </c>
      <c r="H2031" s="2" t="s">
        <v>71</v>
      </c>
      <c r="I2031" s="2" t="s">
        <v>76</v>
      </c>
      <c r="J2031" s="9">
        <v>-171636774.19354799</v>
      </c>
      <c r="K2031" s="7">
        <v>6.2000000000000003E-5</v>
      </c>
      <c r="L2031" s="9">
        <v>-10641.48</v>
      </c>
      <c r="M2031" s="9">
        <v>-10641.48</v>
      </c>
      <c r="N2031" s="9">
        <v>0</v>
      </c>
      <c r="O2031" s="10">
        <f>IF(AND(OR(H2031="APPROVED",H2031="SCHEDULED"),COUNTIFS(tblSource[EventID],F2031,tblSource[ReleaseStatus],"APPROVED")=1,COUNTIFS(Period_Status!$A$2:$A$8,G2031,Period_Status!$B$2:$B$8,"ActualClosed")=1,C2031&gt;EOMONTH(Settlement_Bridge!$C$2,0)),1,0)</f>
        <v>0</v>
      </c>
      <c r="P2031" s="2" t="s">
        <v>5756</v>
      </c>
    </row>
    <row r="2032" spans="1:16" x14ac:dyDescent="0.25">
      <c r="A2032" s="2" t="s">
        <v>5757</v>
      </c>
      <c r="B2032" s="2" t="s">
        <v>199</v>
      </c>
      <c r="C2032" s="8">
        <v>46224</v>
      </c>
      <c r="D2032" s="6">
        <v>46204</v>
      </c>
      <c r="E2032" s="2" t="s">
        <v>260</v>
      </c>
      <c r="F2032" s="2" t="s">
        <v>5758</v>
      </c>
      <c r="G2032" s="6">
        <v>46204</v>
      </c>
      <c r="H2032" s="2" t="s">
        <v>71</v>
      </c>
      <c r="I2032" s="2" t="s">
        <v>70</v>
      </c>
      <c r="J2032" s="9">
        <v>6574.1580549999999</v>
      </c>
      <c r="K2032" s="7">
        <v>0.65800000000000003</v>
      </c>
      <c r="L2032" s="9">
        <v>4325.8</v>
      </c>
      <c r="M2032" s="9">
        <v>4325.8</v>
      </c>
      <c r="N2032" s="9">
        <v>2.38</v>
      </c>
      <c r="O2032" s="10">
        <f>IF(AND(OR(H2032="APPROVED",H2032="SCHEDULED"),COUNTIFS(tblSource[EventID],F2032,tblSource[ReleaseStatus],"APPROVED")=1,COUNTIFS(Period_Status!$A$2:$A$8,G2032,Period_Status!$B$2:$B$8,"ActualClosed")=1,C2032&gt;EOMONTH(Settlement_Bridge!$C$2,0)),1,0)</f>
        <v>0</v>
      </c>
      <c r="P2032" s="2" t="s">
        <v>5759</v>
      </c>
    </row>
    <row r="2033" spans="1:16" x14ac:dyDescent="0.25">
      <c r="A2033" s="2" t="s">
        <v>5760</v>
      </c>
      <c r="B2033" s="2" t="s">
        <v>199</v>
      </c>
      <c r="C2033" s="8">
        <v>46249</v>
      </c>
      <c r="D2033" s="6">
        <v>46235</v>
      </c>
      <c r="E2033" s="2" t="s">
        <v>260</v>
      </c>
      <c r="F2033" s="2" t="s">
        <v>5758</v>
      </c>
      <c r="G2033" s="6">
        <v>46204</v>
      </c>
      <c r="H2033" s="2" t="s">
        <v>71</v>
      </c>
      <c r="I2033" s="2" t="s">
        <v>70</v>
      </c>
      <c r="J2033" s="9">
        <v>9861.2370819999996</v>
      </c>
      <c r="K2033" s="7">
        <v>0.65</v>
      </c>
      <c r="L2033" s="9">
        <v>6409.8</v>
      </c>
      <c r="M2033" s="9">
        <v>6488.69</v>
      </c>
      <c r="N2033" s="9">
        <v>3.53</v>
      </c>
      <c r="O2033" s="10">
        <f>IF(AND(OR(H2033="APPROVED",H2033="SCHEDULED"),COUNTIFS(tblSource[EventID],F2033,tblSource[ReleaseStatus],"APPROVED")=1,COUNTIFS(Period_Status!$A$2:$A$8,G2033,Period_Status!$B$2:$B$8,"ActualClosed")=1,C2033&gt;EOMONTH(Settlement_Bridge!$C$2,0)),1,0)</f>
        <v>1</v>
      </c>
      <c r="P2033" s="2" t="s">
        <v>5761</v>
      </c>
    </row>
    <row r="2034" spans="1:16" x14ac:dyDescent="0.25">
      <c r="A2034" s="2" t="s">
        <v>5762</v>
      </c>
      <c r="B2034" s="2" t="s">
        <v>199</v>
      </c>
      <c r="C2034" s="8">
        <v>46225</v>
      </c>
      <c r="D2034" s="6">
        <v>46204</v>
      </c>
      <c r="E2034" s="2" t="s">
        <v>260</v>
      </c>
      <c r="F2034" s="2" t="s">
        <v>5763</v>
      </c>
      <c r="G2034" s="6">
        <v>46204</v>
      </c>
      <c r="H2034" s="2" t="s">
        <v>71</v>
      </c>
      <c r="I2034" s="2" t="s">
        <v>39</v>
      </c>
      <c r="J2034" s="9">
        <v>4395</v>
      </c>
      <c r="K2034" s="7">
        <v>1</v>
      </c>
      <c r="L2034" s="9">
        <v>4395</v>
      </c>
      <c r="M2034" s="9">
        <v>4395</v>
      </c>
      <c r="N2034" s="9">
        <v>2.42</v>
      </c>
      <c r="O2034" s="10">
        <f>IF(AND(OR(H2034="APPROVED",H2034="SCHEDULED"),COUNTIFS(tblSource[EventID],F2034,tblSource[ReleaseStatus],"APPROVED")=1,COUNTIFS(Period_Status!$A$2:$A$8,G2034,Period_Status!$B$2:$B$8,"ActualClosed")=1,C2034&gt;EOMONTH(Settlement_Bridge!$C$2,0)),1,0)</f>
        <v>0</v>
      </c>
      <c r="P2034" s="2" t="s">
        <v>5764</v>
      </c>
    </row>
    <row r="2035" spans="1:16" x14ac:dyDescent="0.25">
      <c r="A2035" s="2" t="s">
        <v>5765</v>
      </c>
      <c r="B2035" s="2" t="s">
        <v>199</v>
      </c>
      <c r="C2035" s="8">
        <v>46250</v>
      </c>
      <c r="D2035" s="6">
        <v>46235</v>
      </c>
      <c r="E2035" s="2" t="s">
        <v>260</v>
      </c>
      <c r="F2035" s="2" t="s">
        <v>5763</v>
      </c>
      <c r="G2035" s="6">
        <v>46204</v>
      </c>
      <c r="H2035" s="2" t="s">
        <v>71</v>
      </c>
      <c r="I2035" s="2" t="s">
        <v>39</v>
      </c>
      <c r="J2035" s="9">
        <v>6592.5</v>
      </c>
      <c r="K2035" s="7">
        <v>1</v>
      </c>
      <c r="L2035" s="9">
        <v>6592.5</v>
      </c>
      <c r="M2035" s="9">
        <v>6592.5</v>
      </c>
      <c r="N2035" s="9">
        <v>3.63</v>
      </c>
      <c r="O2035" s="10">
        <f>IF(AND(OR(H2035="APPROVED",H2035="SCHEDULED"),COUNTIFS(tblSource[EventID],F2035,tblSource[ReleaseStatus],"APPROVED")=1,COUNTIFS(Period_Status!$A$2:$A$8,G2035,Period_Status!$B$2:$B$8,"ActualClosed")=1,C2035&gt;EOMONTH(Settlement_Bridge!$C$2,0)),1,0)</f>
        <v>1</v>
      </c>
      <c r="P2035" s="2" t="s">
        <v>5766</v>
      </c>
    </row>
    <row r="2036" spans="1:16" x14ac:dyDescent="0.25">
      <c r="A2036" s="2" t="s">
        <v>5767</v>
      </c>
      <c r="B2036" s="2" t="s">
        <v>199</v>
      </c>
      <c r="C2036" s="8">
        <v>46236</v>
      </c>
      <c r="D2036" s="6">
        <v>46235</v>
      </c>
      <c r="E2036" s="2" t="s">
        <v>260</v>
      </c>
      <c r="F2036" s="2" t="s">
        <v>5768</v>
      </c>
      <c r="G2036" s="6">
        <v>46204</v>
      </c>
      <c r="H2036" s="2" t="s">
        <v>71</v>
      </c>
      <c r="I2036" s="2" t="s">
        <v>76</v>
      </c>
      <c r="J2036" s="9">
        <v>180008225.80645201</v>
      </c>
      <c r="K2036" s="7">
        <v>6.1500000000000004E-5</v>
      </c>
      <c r="L2036" s="9">
        <v>11070.51</v>
      </c>
      <c r="M2036" s="9">
        <v>11160.51</v>
      </c>
      <c r="N2036" s="9">
        <v>6.09</v>
      </c>
      <c r="O2036" s="10">
        <f>IF(AND(OR(H2036="APPROVED",H2036="SCHEDULED"),COUNTIFS(tblSource[EventID],F2036,tblSource[ReleaseStatus],"APPROVED")=1,COUNTIFS(Period_Status!$A$2:$A$8,G2036,Period_Status!$B$2:$B$8,"ActualClosed")=1,C2036&gt;EOMONTH(Settlement_Bridge!$C$2,0)),1,0)</f>
        <v>1</v>
      </c>
      <c r="P2036" s="2" t="s">
        <v>5769</v>
      </c>
    </row>
    <row r="2037" spans="1:16" x14ac:dyDescent="0.25">
      <c r="A2037" s="2" t="s">
        <v>5770</v>
      </c>
      <c r="B2037" s="2" t="s">
        <v>199</v>
      </c>
      <c r="C2037" s="8">
        <v>46237</v>
      </c>
      <c r="D2037" s="6">
        <v>46235</v>
      </c>
      <c r="E2037" s="2" t="s">
        <v>260</v>
      </c>
      <c r="F2037" s="2" t="s">
        <v>5771</v>
      </c>
      <c r="G2037" s="6">
        <v>46204</v>
      </c>
      <c r="H2037" s="2" t="s">
        <v>71</v>
      </c>
      <c r="I2037" s="2" t="s">
        <v>70</v>
      </c>
      <c r="J2037" s="9">
        <v>17224.194529</v>
      </c>
      <c r="K2037" s="7">
        <v>0.65</v>
      </c>
      <c r="L2037" s="9">
        <v>11195.73</v>
      </c>
      <c r="M2037" s="9">
        <v>11333.52</v>
      </c>
      <c r="N2037" s="9">
        <v>6.16</v>
      </c>
      <c r="O2037" s="10">
        <f>IF(AND(OR(H2037="APPROVED",H2037="SCHEDULED"),COUNTIFS(tblSource[EventID],F2037,tblSource[ReleaseStatus],"APPROVED")=1,COUNTIFS(Period_Status!$A$2:$A$8,G2037,Period_Status!$B$2:$B$8,"ActualClosed")=1,C2037&gt;EOMONTH(Settlement_Bridge!$C$2,0)),1,0)</f>
        <v>1</v>
      </c>
      <c r="P2037" s="2" t="s">
        <v>5772</v>
      </c>
    </row>
    <row r="2038" spans="1:16" x14ac:dyDescent="0.25">
      <c r="A2038" s="2" t="s">
        <v>5773</v>
      </c>
      <c r="B2038" s="2" t="s">
        <v>199</v>
      </c>
      <c r="C2038" s="8">
        <v>46228</v>
      </c>
      <c r="D2038" s="6">
        <v>46204</v>
      </c>
      <c r="E2038" s="2" t="s">
        <v>260</v>
      </c>
      <c r="F2038" s="2" t="s">
        <v>5774</v>
      </c>
      <c r="G2038" s="6">
        <v>46204</v>
      </c>
      <c r="H2038" s="2" t="s">
        <v>71</v>
      </c>
      <c r="I2038" s="2" t="s">
        <v>39</v>
      </c>
      <c r="J2038" s="9">
        <v>4602.6120000000001</v>
      </c>
      <c r="K2038" s="7">
        <v>1</v>
      </c>
      <c r="L2038" s="9">
        <v>4602.6099999999997</v>
      </c>
      <c r="M2038" s="9">
        <v>4602.6099999999997</v>
      </c>
      <c r="N2038" s="9">
        <v>2.5299999999999998</v>
      </c>
      <c r="O2038" s="10">
        <f>IF(AND(OR(H2038="APPROVED",H2038="SCHEDULED"),COUNTIFS(tblSource[EventID],F2038,tblSource[ReleaseStatus],"APPROVED")=1,COUNTIFS(Period_Status!$A$2:$A$8,G2038,Period_Status!$B$2:$B$8,"ActualClosed")=1,C2038&gt;EOMONTH(Settlement_Bridge!$C$2,0)),1,0)</f>
        <v>0</v>
      </c>
      <c r="P2038" s="2" t="s">
        <v>5775</v>
      </c>
    </row>
    <row r="2039" spans="1:16" x14ac:dyDescent="0.25">
      <c r="A2039" s="2" t="s">
        <v>5776</v>
      </c>
      <c r="B2039" s="2" t="s">
        <v>199</v>
      </c>
      <c r="C2039" s="8">
        <v>46253</v>
      </c>
      <c r="D2039" s="6">
        <v>46235</v>
      </c>
      <c r="E2039" s="2" t="s">
        <v>260</v>
      </c>
      <c r="F2039" s="2" t="s">
        <v>5774</v>
      </c>
      <c r="G2039" s="6">
        <v>46204</v>
      </c>
      <c r="H2039" s="2" t="s">
        <v>71</v>
      </c>
      <c r="I2039" s="2" t="s">
        <v>39</v>
      </c>
      <c r="J2039" s="9">
        <v>6903.9179999999997</v>
      </c>
      <c r="K2039" s="7">
        <v>1</v>
      </c>
      <c r="L2039" s="9">
        <v>6903.92</v>
      </c>
      <c r="M2039" s="9">
        <v>6903.92</v>
      </c>
      <c r="N2039" s="9">
        <v>3.8</v>
      </c>
      <c r="O2039" s="10">
        <f>IF(AND(OR(H2039="APPROVED",H2039="SCHEDULED"),COUNTIFS(tblSource[EventID],F2039,tblSource[ReleaseStatus],"APPROVED")=1,COUNTIFS(Period_Status!$A$2:$A$8,G2039,Period_Status!$B$2:$B$8,"ActualClosed")=1,C2039&gt;EOMONTH(Settlement_Bridge!$C$2,0)),1,0)</f>
        <v>1</v>
      </c>
      <c r="P2039" s="2" t="s">
        <v>5777</v>
      </c>
    </row>
    <row r="2040" spans="1:16" x14ac:dyDescent="0.25">
      <c r="A2040" s="2" t="s">
        <v>5778</v>
      </c>
      <c r="B2040" s="2" t="s">
        <v>199</v>
      </c>
      <c r="C2040" s="8">
        <v>46239</v>
      </c>
      <c r="D2040" s="6">
        <v>46235</v>
      </c>
      <c r="E2040" s="2" t="s">
        <v>260</v>
      </c>
      <c r="F2040" s="2" t="s">
        <v>5779</v>
      </c>
      <c r="G2040" s="6">
        <v>46204</v>
      </c>
      <c r="H2040" s="2" t="s">
        <v>71</v>
      </c>
      <c r="I2040" s="2" t="s">
        <v>76</v>
      </c>
      <c r="J2040" s="9">
        <v>188379677.41935501</v>
      </c>
      <c r="K2040" s="7">
        <v>6.1500000000000004E-5</v>
      </c>
      <c r="L2040" s="9">
        <v>11585.35</v>
      </c>
      <c r="M2040" s="9">
        <v>11679.54</v>
      </c>
      <c r="N2040" s="9">
        <v>6.37</v>
      </c>
      <c r="O2040" s="10">
        <f>IF(AND(OR(H2040="APPROVED",H2040="SCHEDULED"),COUNTIFS(tblSource[EventID],F2040,tblSource[ReleaseStatus],"APPROVED")=1,COUNTIFS(Period_Status!$A$2:$A$8,G2040,Period_Status!$B$2:$B$8,"ActualClosed")=1,C2040&gt;EOMONTH(Settlement_Bridge!$C$2,0)),1,0)</f>
        <v>1</v>
      </c>
      <c r="P2040" s="2" t="s">
        <v>5780</v>
      </c>
    </row>
    <row r="2041" spans="1:16" x14ac:dyDescent="0.25">
      <c r="A2041" s="2" t="s">
        <v>5781</v>
      </c>
      <c r="B2041" s="2" t="s">
        <v>199</v>
      </c>
      <c r="C2041" s="8">
        <v>46240</v>
      </c>
      <c r="D2041" s="6">
        <v>46235</v>
      </c>
      <c r="E2041" s="2" t="s">
        <v>260</v>
      </c>
      <c r="F2041" s="2" t="s">
        <v>5782</v>
      </c>
      <c r="G2041" s="6">
        <v>46204</v>
      </c>
      <c r="H2041" s="2" t="s">
        <v>71</v>
      </c>
      <c r="I2041" s="2" t="s">
        <v>70</v>
      </c>
      <c r="J2041" s="9">
        <v>18012.993921000001</v>
      </c>
      <c r="K2041" s="7">
        <v>0.65</v>
      </c>
      <c r="L2041" s="9">
        <v>11708.45</v>
      </c>
      <c r="M2041" s="9">
        <v>11852.55</v>
      </c>
      <c r="N2041" s="9">
        <v>6.44</v>
      </c>
      <c r="O2041" s="10">
        <f>IF(AND(OR(H2041="APPROVED",H2041="SCHEDULED"),COUNTIFS(tblSource[EventID],F2041,tblSource[ReleaseStatus],"APPROVED")=1,COUNTIFS(Period_Status!$A$2:$A$8,G2041,Period_Status!$B$2:$B$8,"ActualClosed")=1,C2041&gt;EOMONTH(Settlement_Bridge!$C$2,0)),1,0)</f>
        <v>1</v>
      </c>
      <c r="P2041" s="2" t="s">
        <v>5783</v>
      </c>
    </row>
    <row r="2042" spans="1:16" x14ac:dyDescent="0.25">
      <c r="A2042" s="2" t="s">
        <v>5784</v>
      </c>
      <c r="B2042" s="2" t="s">
        <v>199</v>
      </c>
      <c r="C2042" s="8">
        <v>46241</v>
      </c>
      <c r="D2042" s="6">
        <v>46235</v>
      </c>
      <c r="E2042" s="2" t="s">
        <v>260</v>
      </c>
      <c r="F2042" s="2" t="s">
        <v>5785</v>
      </c>
      <c r="G2042" s="6">
        <v>46204</v>
      </c>
      <c r="H2042" s="2" t="s">
        <v>71</v>
      </c>
      <c r="I2042" s="2" t="s">
        <v>39</v>
      </c>
      <c r="J2042" s="9">
        <v>12025.56</v>
      </c>
      <c r="K2042" s="7">
        <v>1</v>
      </c>
      <c r="L2042" s="9">
        <v>12025.56</v>
      </c>
      <c r="M2042" s="9">
        <v>12025.56</v>
      </c>
      <c r="N2042" s="9">
        <v>6.61</v>
      </c>
      <c r="O2042" s="10">
        <f>IF(AND(OR(H2042="APPROVED",H2042="SCHEDULED"),COUNTIFS(tblSource[EventID],F2042,tblSource[ReleaseStatus],"APPROVED")=1,COUNTIFS(Period_Status!$A$2:$A$8,G2042,Period_Status!$B$2:$B$8,"ActualClosed")=1,C2042&gt;EOMONTH(Settlement_Bridge!$C$2,0)),1,0)</f>
        <v>1</v>
      </c>
      <c r="P2042" s="2" t="s">
        <v>5786</v>
      </c>
    </row>
    <row r="2043" spans="1:16" x14ac:dyDescent="0.25">
      <c r="A2043" s="2" t="s">
        <v>5787</v>
      </c>
      <c r="B2043" s="2" t="s">
        <v>199</v>
      </c>
      <c r="C2043" s="8">
        <v>46242</v>
      </c>
      <c r="D2043" s="6">
        <v>46235</v>
      </c>
      <c r="E2043" s="2" t="s">
        <v>260</v>
      </c>
      <c r="F2043" s="2" t="s">
        <v>5788</v>
      </c>
      <c r="G2043" s="6">
        <v>46204</v>
      </c>
      <c r="H2043" s="2" t="s">
        <v>71</v>
      </c>
      <c r="I2043" s="2" t="s">
        <v>76</v>
      </c>
      <c r="J2043" s="9">
        <v>196751129.032258</v>
      </c>
      <c r="K2043" s="7">
        <v>6.1500000000000004E-5</v>
      </c>
      <c r="L2043" s="9">
        <v>12100.19</v>
      </c>
      <c r="M2043" s="9">
        <v>12198.57</v>
      </c>
      <c r="N2043" s="9">
        <v>6.66</v>
      </c>
      <c r="O2043" s="10">
        <f>IF(AND(OR(H2043="APPROVED",H2043="SCHEDULED"),COUNTIFS(tblSource[EventID],F2043,tblSource[ReleaseStatus],"APPROVED")=1,COUNTIFS(Period_Status!$A$2:$A$8,G2043,Period_Status!$B$2:$B$8,"ActualClosed")=1,C2043&gt;EOMONTH(Settlement_Bridge!$C$2,0)),1,0)</f>
        <v>1</v>
      </c>
      <c r="P2043" s="2" t="s">
        <v>5789</v>
      </c>
    </row>
    <row r="2044" spans="1:16" x14ac:dyDescent="0.25">
      <c r="A2044" s="2" t="s">
        <v>5790</v>
      </c>
      <c r="B2044" s="2" t="s">
        <v>199</v>
      </c>
      <c r="C2044" s="8">
        <v>46243</v>
      </c>
      <c r="D2044" s="6">
        <v>46235</v>
      </c>
      <c r="E2044" s="2" t="s">
        <v>260</v>
      </c>
      <c r="F2044" s="2" t="s">
        <v>5791</v>
      </c>
      <c r="G2044" s="6">
        <v>46204</v>
      </c>
      <c r="H2044" s="2" t="s">
        <v>71</v>
      </c>
      <c r="I2044" s="2" t="s">
        <v>70</v>
      </c>
      <c r="J2044" s="9">
        <v>18801.793312999998</v>
      </c>
      <c r="K2044" s="7">
        <v>0.65</v>
      </c>
      <c r="L2044" s="9">
        <v>12221.17</v>
      </c>
      <c r="M2044" s="9">
        <v>12371.58</v>
      </c>
      <c r="N2044" s="9">
        <v>6.72</v>
      </c>
      <c r="O2044" s="10">
        <f>IF(AND(OR(H2044="APPROVED",H2044="SCHEDULED"),COUNTIFS(tblSource[EventID],F2044,tblSource[ReleaseStatus],"APPROVED")=1,COUNTIFS(Period_Status!$A$2:$A$8,G2044,Period_Status!$B$2:$B$8,"ActualClosed")=1,C2044&gt;EOMONTH(Settlement_Bridge!$C$2,0)),1,0)</f>
        <v>1</v>
      </c>
      <c r="P2044" s="2" t="s">
        <v>5792</v>
      </c>
    </row>
    <row r="2045" spans="1:16" x14ac:dyDescent="0.25">
      <c r="A2045" s="2" t="s">
        <v>5793</v>
      </c>
      <c r="B2045" s="2" t="s">
        <v>199</v>
      </c>
      <c r="C2045" s="8">
        <v>46234</v>
      </c>
      <c r="D2045" s="6">
        <v>46204</v>
      </c>
      <c r="E2045" s="2" t="s">
        <v>260</v>
      </c>
      <c r="F2045" s="2" t="s">
        <v>5794</v>
      </c>
      <c r="G2045" s="6">
        <v>46204</v>
      </c>
      <c r="H2045" s="2" t="s">
        <v>71</v>
      </c>
      <c r="I2045" s="2" t="s">
        <v>39</v>
      </c>
      <c r="J2045" s="9">
        <v>5017.8360000000002</v>
      </c>
      <c r="K2045" s="7">
        <v>1</v>
      </c>
      <c r="L2045" s="9">
        <v>5017.84</v>
      </c>
      <c r="M2045" s="9">
        <v>5017.84</v>
      </c>
      <c r="N2045" s="9">
        <v>2.76</v>
      </c>
      <c r="O2045" s="10">
        <f>IF(AND(OR(H2045="APPROVED",H2045="SCHEDULED"),COUNTIFS(tblSource[EventID],F2045,tblSource[ReleaseStatus],"APPROVED")=1,COUNTIFS(Period_Status!$A$2:$A$8,G2045,Period_Status!$B$2:$B$8,"ActualClosed")=1,C2045&gt;EOMONTH(Settlement_Bridge!$C$2,0)),1,0)</f>
        <v>0</v>
      </c>
      <c r="P2045" s="2" t="s">
        <v>5795</v>
      </c>
    </row>
    <row r="2046" spans="1:16" x14ac:dyDescent="0.25">
      <c r="A2046" s="2" t="s">
        <v>5796</v>
      </c>
      <c r="B2046" s="2" t="s">
        <v>199</v>
      </c>
      <c r="C2046" s="8">
        <v>46259</v>
      </c>
      <c r="D2046" s="6">
        <v>46235</v>
      </c>
      <c r="E2046" s="2" t="s">
        <v>260</v>
      </c>
      <c r="F2046" s="2" t="s">
        <v>5794</v>
      </c>
      <c r="G2046" s="6">
        <v>46204</v>
      </c>
      <c r="H2046" s="2" t="s">
        <v>71</v>
      </c>
      <c r="I2046" s="2" t="s">
        <v>39</v>
      </c>
      <c r="J2046" s="9">
        <v>7526.7539999999999</v>
      </c>
      <c r="K2046" s="7">
        <v>1</v>
      </c>
      <c r="L2046" s="9">
        <v>7526.75</v>
      </c>
      <c r="M2046" s="9">
        <v>7526.75</v>
      </c>
      <c r="N2046" s="9">
        <v>4.1399999999999997</v>
      </c>
      <c r="O2046" s="10">
        <f>IF(AND(OR(H2046="APPROVED",H2046="SCHEDULED"),COUNTIFS(tblSource[EventID],F2046,tblSource[ReleaseStatus],"APPROVED")=1,COUNTIFS(Period_Status!$A$2:$A$8,G2046,Period_Status!$B$2:$B$8,"ActualClosed")=1,C2046&gt;EOMONTH(Settlement_Bridge!$C$2,0)),1,0)</f>
        <v>1</v>
      </c>
      <c r="P2046" s="2" t="s">
        <v>5797</v>
      </c>
    </row>
    <row r="2047" spans="1:16" x14ac:dyDescent="0.25">
      <c r="A2047" s="2" t="s">
        <v>5798</v>
      </c>
      <c r="B2047" s="2" t="s">
        <v>199</v>
      </c>
      <c r="C2047" s="8">
        <v>46235</v>
      </c>
      <c r="D2047" s="6">
        <v>46235</v>
      </c>
      <c r="E2047" s="2" t="s">
        <v>260</v>
      </c>
      <c r="F2047" s="2" t="s">
        <v>5799</v>
      </c>
      <c r="G2047" s="6">
        <v>46204</v>
      </c>
      <c r="H2047" s="2" t="s">
        <v>71</v>
      </c>
      <c r="I2047" s="2" t="s">
        <v>76</v>
      </c>
      <c r="J2047" s="9">
        <v>82049032.258064002</v>
      </c>
      <c r="K2047" s="7">
        <v>6.1500000000000004E-5</v>
      </c>
      <c r="L2047" s="9">
        <v>5046.0200000000004</v>
      </c>
      <c r="M2047" s="9">
        <v>5087.04</v>
      </c>
      <c r="N2047" s="9">
        <v>2.78</v>
      </c>
      <c r="O2047" s="10">
        <f>IF(AND(OR(H2047="APPROVED",H2047="SCHEDULED"),COUNTIFS(tblSource[EventID],F2047,tblSource[ReleaseStatus],"APPROVED")=1,COUNTIFS(Period_Status!$A$2:$A$8,G2047,Period_Status!$B$2:$B$8,"ActualClosed")=1,C2047&gt;EOMONTH(Settlement_Bridge!$C$2,0)),1,0)</f>
        <v>1</v>
      </c>
      <c r="P2047" s="2" t="s">
        <v>5800</v>
      </c>
    </row>
    <row r="2048" spans="1:16" x14ac:dyDescent="0.25">
      <c r="A2048" s="2" t="s">
        <v>5801</v>
      </c>
      <c r="B2048" s="2" t="s">
        <v>199</v>
      </c>
      <c r="C2048" s="8">
        <v>46260</v>
      </c>
      <c r="D2048" s="6">
        <v>46235</v>
      </c>
      <c r="E2048" s="2" t="s">
        <v>260</v>
      </c>
      <c r="F2048" s="2" t="s">
        <v>5799</v>
      </c>
      <c r="G2048" s="6">
        <v>46204</v>
      </c>
      <c r="H2048" s="2" t="s">
        <v>71</v>
      </c>
      <c r="I2048" s="2" t="s">
        <v>76</v>
      </c>
      <c r="J2048" s="9">
        <v>123073548.387097</v>
      </c>
      <c r="K2048" s="7">
        <v>6.1500000000000004E-5</v>
      </c>
      <c r="L2048" s="9">
        <v>7569.02</v>
      </c>
      <c r="M2048" s="9">
        <v>7630.56</v>
      </c>
      <c r="N2048" s="9">
        <v>4.16</v>
      </c>
      <c r="O2048" s="10">
        <f>IF(AND(OR(H2048="APPROVED",H2048="SCHEDULED"),COUNTIFS(tblSource[EventID],F2048,tblSource[ReleaseStatus],"APPROVED")=1,COUNTIFS(Period_Status!$A$2:$A$8,G2048,Period_Status!$B$2:$B$8,"ActualClosed")=1,C2048&gt;EOMONTH(Settlement_Bridge!$C$2,0)),1,0)</f>
        <v>1</v>
      </c>
      <c r="P2048" s="2" t="s">
        <v>5802</v>
      </c>
    </row>
    <row r="2049" spans="1:16" x14ac:dyDescent="0.25">
      <c r="A2049" s="2" t="s">
        <v>5803</v>
      </c>
      <c r="B2049" s="2" t="s">
        <v>199</v>
      </c>
      <c r="C2049" s="8">
        <v>46246</v>
      </c>
      <c r="D2049" s="6">
        <v>46235</v>
      </c>
      <c r="E2049" s="2" t="s">
        <v>260</v>
      </c>
      <c r="F2049" s="2" t="s">
        <v>5804</v>
      </c>
      <c r="G2049" s="6">
        <v>46204</v>
      </c>
      <c r="H2049" s="2" t="s">
        <v>71</v>
      </c>
      <c r="I2049" s="2" t="s">
        <v>70</v>
      </c>
      <c r="J2049" s="9">
        <v>19590.592704999999</v>
      </c>
      <c r="K2049" s="7">
        <v>0.65</v>
      </c>
      <c r="L2049" s="9">
        <v>12733.89</v>
      </c>
      <c r="M2049" s="9">
        <v>12890.61</v>
      </c>
      <c r="N2049" s="9">
        <v>7</v>
      </c>
      <c r="O2049" s="10">
        <f>IF(AND(OR(H2049="APPROVED",H2049="SCHEDULED"),COUNTIFS(tblSource[EventID],F2049,tblSource[ReleaseStatus],"APPROVED")=1,COUNTIFS(Period_Status!$A$2:$A$8,G2049,Period_Status!$B$2:$B$8,"ActualClosed")=1,C2049&gt;EOMONTH(Settlement_Bridge!$C$2,0)),1,0)</f>
        <v>1</v>
      </c>
      <c r="P2049" s="2" t="s">
        <v>5805</v>
      </c>
    </row>
    <row r="2050" spans="1:16" x14ac:dyDescent="0.25">
      <c r="A2050" s="2" t="s">
        <v>5806</v>
      </c>
      <c r="B2050" s="2" t="s">
        <v>199</v>
      </c>
      <c r="C2050" s="8">
        <v>46247</v>
      </c>
      <c r="D2050" s="6">
        <v>46235</v>
      </c>
      <c r="E2050" s="2" t="s">
        <v>260</v>
      </c>
      <c r="F2050" s="2" t="s">
        <v>5807</v>
      </c>
      <c r="G2050" s="6">
        <v>46204</v>
      </c>
      <c r="H2050" s="2" t="s">
        <v>71</v>
      </c>
      <c r="I2050" s="2" t="s">
        <v>39</v>
      </c>
      <c r="J2050" s="9">
        <v>13063.62</v>
      </c>
      <c r="K2050" s="7">
        <v>1</v>
      </c>
      <c r="L2050" s="9">
        <v>13063.62</v>
      </c>
      <c r="M2050" s="9">
        <v>13063.62</v>
      </c>
      <c r="N2050" s="9">
        <v>7.18</v>
      </c>
      <c r="O2050" s="10">
        <f>IF(AND(OR(H2050="APPROVED",H2050="SCHEDULED"),COUNTIFS(tblSource[EventID],F2050,tblSource[ReleaseStatus],"APPROVED")=1,COUNTIFS(Period_Status!$A$2:$A$8,G2050,Period_Status!$B$2:$B$8,"ActualClosed")=1,C2050&gt;EOMONTH(Settlement_Bridge!$C$2,0)),1,0)</f>
        <v>1</v>
      </c>
      <c r="P2050" s="2" t="s">
        <v>5808</v>
      </c>
    </row>
    <row r="2051" spans="1:16" x14ac:dyDescent="0.25">
      <c r="A2051" s="2" t="s">
        <v>5809</v>
      </c>
      <c r="B2051" s="2" t="s">
        <v>199</v>
      </c>
      <c r="C2051" s="8">
        <v>46238</v>
      </c>
      <c r="D2051" s="6">
        <v>46235</v>
      </c>
      <c r="E2051" s="2" t="s">
        <v>260</v>
      </c>
      <c r="F2051" s="2" t="s">
        <v>5810</v>
      </c>
      <c r="G2051" s="6">
        <v>46204</v>
      </c>
      <c r="H2051" s="2" t="s">
        <v>71</v>
      </c>
      <c r="I2051" s="2" t="s">
        <v>76</v>
      </c>
      <c r="J2051" s="9">
        <v>85397612.903226003</v>
      </c>
      <c r="K2051" s="7">
        <v>6.1500000000000004E-5</v>
      </c>
      <c r="L2051" s="9">
        <v>5251.95</v>
      </c>
      <c r="M2051" s="9">
        <v>5294.65</v>
      </c>
      <c r="N2051" s="9">
        <v>2.89</v>
      </c>
      <c r="O2051" s="10">
        <f>IF(AND(OR(H2051="APPROVED",H2051="SCHEDULED"),COUNTIFS(tblSource[EventID],F2051,tblSource[ReleaseStatus],"APPROVED")=1,COUNTIFS(Period_Status!$A$2:$A$8,G2051,Period_Status!$B$2:$B$8,"ActualClosed")=1,C2051&gt;EOMONTH(Settlement_Bridge!$C$2,0)),1,0)</f>
        <v>1</v>
      </c>
      <c r="P2051" s="2" t="s">
        <v>5811</v>
      </c>
    </row>
    <row r="2052" spans="1:16" x14ac:dyDescent="0.25">
      <c r="A2052" s="2" t="s">
        <v>5812</v>
      </c>
      <c r="B2052" s="2" t="s">
        <v>199</v>
      </c>
      <c r="C2052" s="8">
        <v>46263</v>
      </c>
      <c r="D2052" s="6">
        <v>46235</v>
      </c>
      <c r="E2052" s="2" t="s">
        <v>260</v>
      </c>
      <c r="F2052" s="2" t="s">
        <v>5810</v>
      </c>
      <c r="G2052" s="6">
        <v>46204</v>
      </c>
      <c r="H2052" s="2" t="s">
        <v>71</v>
      </c>
      <c r="I2052" s="2" t="s">
        <v>76</v>
      </c>
      <c r="J2052" s="9">
        <v>128096419.354839</v>
      </c>
      <c r="K2052" s="7">
        <v>6.1500000000000004E-5</v>
      </c>
      <c r="L2052" s="9">
        <v>7877.93</v>
      </c>
      <c r="M2052" s="9">
        <v>7941.98</v>
      </c>
      <c r="N2052" s="9">
        <v>4.33</v>
      </c>
      <c r="O2052" s="10">
        <f>IF(AND(OR(H2052="APPROVED",H2052="SCHEDULED"),COUNTIFS(tblSource[EventID],F2052,tblSource[ReleaseStatus],"APPROVED")=1,COUNTIFS(Period_Status!$A$2:$A$8,G2052,Period_Status!$B$2:$B$8,"ActualClosed")=1,C2052&gt;EOMONTH(Settlement_Bridge!$C$2,0)),1,0)</f>
        <v>1</v>
      </c>
      <c r="P2052" s="2" t="s">
        <v>5813</v>
      </c>
    </row>
    <row r="2053" spans="1:16" x14ac:dyDescent="0.25">
      <c r="A2053" s="2" t="s">
        <v>5814</v>
      </c>
      <c r="B2053" s="2" t="s">
        <v>199</v>
      </c>
      <c r="C2053" s="8">
        <v>46249</v>
      </c>
      <c r="D2053" s="6">
        <v>46235</v>
      </c>
      <c r="E2053" s="2" t="s">
        <v>260</v>
      </c>
      <c r="F2053" s="2" t="s">
        <v>5815</v>
      </c>
      <c r="G2053" s="6">
        <v>46204</v>
      </c>
      <c r="H2053" s="2" t="s">
        <v>71</v>
      </c>
      <c r="I2053" s="2" t="s">
        <v>70</v>
      </c>
      <c r="J2053" s="9">
        <v>20379.392097</v>
      </c>
      <c r="K2053" s="7">
        <v>0.65</v>
      </c>
      <c r="L2053" s="9">
        <v>13246.6</v>
      </c>
      <c r="M2053" s="9">
        <v>13409.64</v>
      </c>
      <c r="N2053" s="9">
        <v>7.29</v>
      </c>
      <c r="O2053" s="10">
        <f>IF(AND(OR(H2053="APPROVED",H2053="SCHEDULED"),COUNTIFS(tblSource[EventID],F2053,tblSource[ReleaseStatus],"APPROVED")=1,COUNTIFS(Period_Status!$A$2:$A$8,G2053,Period_Status!$B$2:$B$8,"ActualClosed")=1,C2053&gt;EOMONTH(Settlement_Bridge!$C$2,0)),1,0)</f>
        <v>1</v>
      </c>
      <c r="P2053" s="2" t="s">
        <v>5816</v>
      </c>
    </row>
    <row r="2054" spans="1:16" x14ac:dyDescent="0.25">
      <c r="A2054" s="2" t="s">
        <v>5817</v>
      </c>
      <c r="B2054" s="2" t="s">
        <v>199</v>
      </c>
      <c r="C2054" s="8">
        <v>46250</v>
      </c>
      <c r="D2054" s="6">
        <v>46235</v>
      </c>
      <c r="E2054" s="2" t="s">
        <v>260</v>
      </c>
      <c r="F2054" s="2" t="s">
        <v>5818</v>
      </c>
      <c r="G2054" s="6">
        <v>46204</v>
      </c>
      <c r="H2054" s="2" t="s">
        <v>71</v>
      </c>
      <c r="I2054" s="2" t="s">
        <v>39</v>
      </c>
      <c r="J2054" s="9">
        <v>13582.65</v>
      </c>
      <c r="K2054" s="7">
        <v>1</v>
      </c>
      <c r="L2054" s="9">
        <v>13582.65</v>
      </c>
      <c r="M2054" s="9">
        <v>13582.65</v>
      </c>
      <c r="N2054" s="9">
        <v>7.47</v>
      </c>
      <c r="O2054" s="10">
        <f>IF(AND(OR(H2054="APPROVED",H2054="SCHEDULED"),COUNTIFS(tblSource[EventID],F2054,tblSource[ReleaseStatus],"APPROVED")=1,COUNTIFS(Period_Status!$A$2:$A$8,G2054,Period_Status!$B$2:$B$8,"ActualClosed")=1,C2054&gt;EOMONTH(Settlement_Bridge!$C$2,0)),1,0)</f>
        <v>1</v>
      </c>
      <c r="P2054" s="2" t="s">
        <v>5819</v>
      </c>
    </row>
    <row r="2055" spans="1:16" x14ac:dyDescent="0.25">
      <c r="A2055" s="2" t="s">
        <v>5820</v>
      </c>
      <c r="B2055" s="2" t="s">
        <v>199</v>
      </c>
      <c r="C2055" s="8">
        <v>46251</v>
      </c>
      <c r="D2055" s="6">
        <v>46235</v>
      </c>
      <c r="E2055" s="2" t="s">
        <v>260</v>
      </c>
      <c r="F2055" s="2" t="s">
        <v>5821</v>
      </c>
      <c r="G2055" s="6">
        <v>46204</v>
      </c>
      <c r="H2055" s="2" t="s">
        <v>71</v>
      </c>
      <c r="I2055" s="2" t="s">
        <v>76</v>
      </c>
      <c r="J2055" s="9">
        <v>221865483.87096801</v>
      </c>
      <c r="K2055" s="7">
        <v>6.1500000000000004E-5</v>
      </c>
      <c r="L2055" s="9">
        <v>13644.73</v>
      </c>
      <c r="M2055" s="9">
        <v>13755.66</v>
      </c>
      <c r="N2055" s="9">
        <v>7.5</v>
      </c>
      <c r="O2055" s="10">
        <f>IF(AND(OR(H2055="APPROVED",H2055="SCHEDULED"),COUNTIFS(tblSource[EventID],F2055,tblSource[ReleaseStatus],"APPROVED")=1,COUNTIFS(Period_Status!$A$2:$A$8,G2055,Period_Status!$B$2:$B$8,"ActualClosed")=1,C2055&gt;EOMONTH(Settlement_Bridge!$C$2,0)),1,0)</f>
        <v>1</v>
      </c>
      <c r="P2055" s="2" t="s">
        <v>5822</v>
      </c>
    </row>
    <row r="2056" spans="1:16" x14ac:dyDescent="0.25">
      <c r="A2056" s="2" t="s">
        <v>5823</v>
      </c>
      <c r="B2056" s="2" t="s">
        <v>199</v>
      </c>
      <c r="C2056" s="8">
        <v>46252</v>
      </c>
      <c r="D2056" s="6">
        <v>46235</v>
      </c>
      <c r="E2056" s="2" t="s">
        <v>260</v>
      </c>
      <c r="F2056" s="2" t="s">
        <v>5824</v>
      </c>
      <c r="G2056" s="6">
        <v>46204</v>
      </c>
      <c r="H2056" s="2" t="s">
        <v>71</v>
      </c>
      <c r="I2056" s="2" t="s">
        <v>70</v>
      </c>
      <c r="J2056" s="9">
        <v>21168.191489000001</v>
      </c>
      <c r="K2056" s="7">
        <v>0.65</v>
      </c>
      <c r="L2056" s="9">
        <v>13759.32</v>
      </c>
      <c r="M2056" s="9">
        <v>13928.67</v>
      </c>
      <c r="N2056" s="9">
        <v>7.57</v>
      </c>
      <c r="O2056" s="10">
        <f>IF(AND(OR(H2056="APPROVED",H2056="SCHEDULED"),COUNTIFS(tblSource[EventID],F2056,tblSource[ReleaseStatus],"APPROVED")=1,COUNTIFS(Period_Status!$A$2:$A$8,G2056,Period_Status!$B$2:$B$8,"ActualClosed")=1,C2056&gt;EOMONTH(Settlement_Bridge!$C$2,0)),1,0)</f>
        <v>1</v>
      </c>
      <c r="P2056" s="2" t="s">
        <v>5825</v>
      </c>
    </row>
    <row r="2057" spans="1:16" x14ac:dyDescent="0.25">
      <c r="A2057" s="2" t="s">
        <v>5826</v>
      </c>
      <c r="B2057" s="2" t="s">
        <v>199</v>
      </c>
      <c r="C2057" s="8">
        <v>46253</v>
      </c>
      <c r="D2057" s="6">
        <v>46235</v>
      </c>
      <c r="E2057" s="2" t="s">
        <v>260</v>
      </c>
      <c r="F2057" s="2" t="s">
        <v>5827</v>
      </c>
      <c r="G2057" s="6">
        <v>46204</v>
      </c>
      <c r="H2057" s="2" t="s">
        <v>71</v>
      </c>
      <c r="I2057" s="2" t="s">
        <v>39</v>
      </c>
      <c r="J2057" s="9">
        <v>14101.68</v>
      </c>
      <c r="K2057" s="7">
        <v>1</v>
      </c>
      <c r="L2057" s="9">
        <v>14101.68</v>
      </c>
      <c r="M2057" s="9">
        <v>14101.68</v>
      </c>
      <c r="N2057" s="9">
        <v>7.76</v>
      </c>
      <c r="O2057" s="10">
        <f>IF(AND(OR(H2057="APPROVED",H2057="SCHEDULED"),COUNTIFS(tblSource[EventID],F2057,tblSource[ReleaseStatus],"APPROVED")=1,COUNTIFS(Period_Status!$A$2:$A$8,G2057,Period_Status!$B$2:$B$8,"ActualClosed")=1,C2057&gt;EOMONTH(Settlement_Bridge!$C$2,0)),1,0)</f>
        <v>1</v>
      </c>
      <c r="P2057" s="2" t="s">
        <v>5828</v>
      </c>
    </row>
    <row r="2058" spans="1:16" x14ac:dyDescent="0.25">
      <c r="A2058" s="2" t="s">
        <v>5829</v>
      </c>
      <c r="B2058" s="2" t="s">
        <v>199</v>
      </c>
      <c r="C2058" s="8">
        <v>46244</v>
      </c>
      <c r="D2058" s="6">
        <v>46235</v>
      </c>
      <c r="E2058" s="2" t="s">
        <v>260</v>
      </c>
      <c r="F2058" s="2" t="s">
        <v>5830</v>
      </c>
      <c r="G2058" s="6">
        <v>46204</v>
      </c>
      <c r="H2058" s="2" t="s">
        <v>71</v>
      </c>
      <c r="I2058" s="2" t="s">
        <v>76</v>
      </c>
      <c r="J2058" s="9">
        <v>92094774.193547994</v>
      </c>
      <c r="K2058" s="7">
        <v>6.1500000000000004E-5</v>
      </c>
      <c r="L2058" s="9">
        <v>5663.83</v>
      </c>
      <c r="M2058" s="9">
        <v>5709.88</v>
      </c>
      <c r="N2058" s="9">
        <v>3.12</v>
      </c>
      <c r="O2058" s="10">
        <f>IF(AND(OR(H2058="APPROVED",H2058="SCHEDULED"),COUNTIFS(tblSource[EventID],F2058,tblSource[ReleaseStatus],"APPROVED")=1,COUNTIFS(Period_Status!$A$2:$A$8,G2058,Period_Status!$B$2:$B$8,"ActualClosed")=1,C2058&gt;EOMONTH(Settlement_Bridge!$C$2,0)),1,0)</f>
        <v>1</v>
      </c>
      <c r="P2058" s="2" t="s">
        <v>5831</v>
      </c>
    </row>
    <row r="2059" spans="1:16" x14ac:dyDescent="0.25">
      <c r="A2059" s="2" t="s">
        <v>5832</v>
      </c>
      <c r="B2059" s="2" t="s">
        <v>199</v>
      </c>
      <c r="C2059" s="8">
        <v>46269</v>
      </c>
      <c r="D2059" s="6">
        <v>46266</v>
      </c>
      <c r="E2059" s="2" t="s">
        <v>260</v>
      </c>
      <c r="F2059" s="2" t="s">
        <v>5830</v>
      </c>
      <c r="G2059" s="6">
        <v>46204</v>
      </c>
      <c r="H2059" s="2" t="s">
        <v>176</v>
      </c>
      <c r="I2059" s="2" t="s">
        <v>76</v>
      </c>
      <c r="J2059" s="9">
        <v>138142161.29032299</v>
      </c>
      <c r="K2059" s="7">
        <v>6.1299999999999999E-5</v>
      </c>
      <c r="L2059" s="9">
        <v>8468.11</v>
      </c>
      <c r="M2059" s="9">
        <v>8564.81</v>
      </c>
      <c r="N2059" s="9">
        <v>4.66</v>
      </c>
      <c r="O2059" s="10">
        <f>IF(AND(OR(H2059="APPROVED",H2059="SCHEDULED"),COUNTIFS(tblSource[EventID],F2059,tblSource[ReleaseStatus],"APPROVED")=1,COUNTIFS(Period_Status!$A$2:$A$8,G2059,Period_Status!$B$2:$B$8,"ActualClosed")=1,C2059&gt;EOMONTH(Settlement_Bridge!$C$2,0)),1,0)</f>
        <v>1</v>
      </c>
      <c r="P2059" s="2" t="s">
        <v>5833</v>
      </c>
    </row>
    <row r="2060" spans="1:16" x14ac:dyDescent="0.25">
      <c r="A2060" s="2" t="s">
        <v>5834</v>
      </c>
      <c r="B2060" s="2" t="s">
        <v>199</v>
      </c>
      <c r="C2060" s="8">
        <v>46245</v>
      </c>
      <c r="D2060" s="6">
        <v>46235</v>
      </c>
      <c r="E2060" s="2" t="s">
        <v>260</v>
      </c>
      <c r="F2060" s="2" t="s">
        <v>5835</v>
      </c>
      <c r="G2060" s="6">
        <v>46204</v>
      </c>
      <c r="H2060" s="2" t="s">
        <v>71</v>
      </c>
      <c r="I2060" s="2" t="s">
        <v>70</v>
      </c>
      <c r="J2060" s="9">
        <v>8782.7963519999994</v>
      </c>
      <c r="K2060" s="7">
        <v>0.65</v>
      </c>
      <c r="L2060" s="9">
        <v>5708.82</v>
      </c>
      <c r="M2060" s="9">
        <v>5779.08</v>
      </c>
      <c r="N2060" s="9">
        <v>3.14</v>
      </c>
      <c r="O2060" s="10">
        <f>IF(AND(OR(H2060="APPROVED",H2060="SCHEDULED"),COUNTIFS(tblSource[EventID],F2060,tblSource[ReleaseStatus],"APPROVED")=1,COUNTIFS(Period_Status!$A$2:$A$8,G2060,Period_Status!$B$2:$B$8,"ActualClosed")=1,C2060&gt;EOMONTH(Settlement_Bridge!$C$2,0)),1,0)</f>
        <v>1</v>
      </c>
      <c r="P2060" s="2" t="s">
        <v>5836</v>
      </c>
    </row>
    <row r="2061" spans="1:16" x14ac:dyDescent="0.25">
      <c r="A2061" s="2" t="s">
        <v>5837</v>
      </c>
      <c r="B2061" s="2" t="s">
        <v>199</v>
      </c>
      <c r="C2061" s="8">
        <v>46270</v>
      </c>
      <c r="D2061" s="6">
        <v>46266</v>
      </c>
      <c r="E2061" s="2" t="s">
        <v>260</v>
      </c>
      <c r="F2061" s="2" t="s">
        <v>5835</v>
      </c>
      <c r="G2061" s="6">
        <v>46204</v>
      </c>
      <c r="H2061" s="2" t="s">
        <v>176</v>
      </c>
      <c r="I2061" s="2" t="s">
        <v>70</v>
      </c>
      <c r="J2061" s="9">
        <v>13174.194529</v>
      </c>
      <c r="K2061" s="7">
        <v>0.65100000000000002</v>
      </c>
      <c r="L2061" s="9">
        <v>8576.4</v>
      </c>
      <c r="M2061" s="9">
        <v>8668.6200000000008</v>
      </c>
      <c r="N2061" s="9">
        <v>4.72</v>
      </c>
      <c r="O2061" s="10">
        <f>IF(AND(OR(H2061="APPROVED",H2061="SCHEDULED"),COUNTIFS(tblSource[EventID],F2061,tblSource[ReleaseStatus],"APPROVED")=1,COUNTIFS(Period_Status!$A$2:$A$8,G2061,Period_Status!$B$2:$B$8,"ActualClosed")=1,C2061&gt;EOMONTH(Settlement_Bridge!$C$2,0)),1,0)</f>
        <v>1</v>
      </c>
      <c r="P2061" s="2" t="s">
        <v>5838</v>
      </c>
    </row>
    <row r="2062" spans="1:16" x14ac:dyDescent="0.25">
      <c r="A2062" s="2" t="s">
        <v>5839</v>
      </c>
      <c r="B2062" s="2" t="s">
        <v>199</v>
      </c>
      <c r="C2062" s="8">
        <v>46256</v>
      </c>
      <c r="D2062" s="6">
        <v>46235</v>
      </c>
      <c r="E2062" s="2" t="s">
        <v>260</v>
      </c>
      <c r="F2062" s="2" t="s">
        <v>5840</v>
      </c>
      <c r="G2062" s="6">
        <v>46204</v>
      </c>
      <c r="H2062" s="2" t="s">
        <v>71</v>
      </c>
      <c r="I2062" s="2" t="s">
        <v>39</v>
      </c>
      <c r="J2062" s="9">
        <v>14620.71</v>
      </c>
      <c r="K2062" s="7">
        <v>1</v>
      </c>
      <c r="L2062" s="9">
        <v>14620.71</v>
      </c>
      <c r="M2062" s="9">
        <v>14620.71</v>
      </c>
      <c r="N2062" s="9">
        <v>8.0399999999999991</v>
      </c>
      <c r="O2062" s="10">
        <f>IF(AND(OR(H2062="APPROVED",H2062="SCHEDULED"),COUNTIFS(tblSource[EventID],F2062,tblSource[ReleaseStatus],"APPROVED")=1,COUNTIFS(Period_Status!$A$2:$A$8,G2062,Period_Status!$B$2:$B$8,"ActualClosed")=1,C2062&gt;EOMONTH(Settlement_Bridge!$C$2,0)),1,0)</f>
        <v>1</v>
      </c>
      <c r="P2062" s="2" t="s">
        <v>5841</v>
      </c>
    </row>
    <row r="2063" spans="1:16" x14ac:dyDescent="0.25">
      <c r="A2063" s="2" t="s">
        <v>5842</v>
      </c>
      <c r="B2063" s="2" t="s">
        <v>199</v>
      </c>
      <c r="C2063" s="8">
        <v>46257</v>
      </c>
      <c r="D2063" s="6">
        <v>46235</v>
      </c>
      <c r="E2063" s="2" t="s">
        <v>260</v>
      </c>
      <c r="F2063" s="2" t="s">
        <v>5843</v>
      </c>
      <c r="G2063" s="6">
        <v>46204</v>
      </c>
      <c r="H2063" s="2" t="s">
        <v>71</v>
      </c>
      <c r="I2063" s="2" t="s">
        <v>76</v>
      </c>
      <c r="J2063" s="9">
        <v>238608387.09677401</v>
      </c>
      <c r="K2063" s="7">
        <v>6.1500000000000004E-5</v>
      </c>
      <c r="L2063" s="9">
        <v>14674.42</v>
      </c>
      <c r="M2063" s="9">
        <v>14793.72</v>
      </c>
      <c r="N2063" s="9">
        <v>8.07</v>
      </c>
      <c r="O2063" s="10">
        <f>IF(AND(OR(H2063="APPROVED",H2063="SCHEDULED"),COUNTIFS(tblSource[EventID],F2063,tblSource[ReleaseStatus],"APPROVED")=1,COUNTIFS(Period_Status!$A$2:$A$8,G2063,Period_Status!$B$2:$B$8,"ActualClosed")=1,C2063&gt;EOMONTH(Settlement_Bridge!$C$2,0)),1,0)</f>
        <v>1</v>
      </c>
      <c r="P2063" s="2" t="s">
        <v>5844</v>
      </c>
    </row>
    <row r="2064" spans="1:16" x14ac:dyDescent="0.25">
      <c r="A2064" s="2" t="s">
        <v>5845</v>
      </c>
      <c r="B2064" s="2" t="s">
        <v>199</v>
      </c>
      <c r="C2064" s="8">
        <v>46248</v>
      </c>
      <c r="D2064" s="6">
        <v>46235</v>
      </c>
      <c r="E2064" s="2" t="s">
        <v>260</v>
      </c>
      <c r="F2064" s="2" t="s">
        <v>5846</v>
      </c>
      <c r="G2064" s="6">
        <v>46204</v>
      </c>
      <c r="H2064" s="2" t="s">
        <v>71</v>
      </c>
      <c r="I2064" s="2" t="s">
        <v>70</v>
      </c>
      <c r="J2064" s="9">
        <v>587.67781200000002</v>
      </c>
      <c r="K2064" s="7">
        <v>0.65</v>
      </c>
      <c r="L2064" s="9">
        <v>381.99</v>
      </c>
      <c r="M2064" s="9">
        <v>386.69</v>
      </c>
      <c r="N2064" s="9">
        <v>1.8</v>
      </c>
      <c r="O2064" s="10">
        <f>IF(AND(OR(H2064="APPROVED",H2064="SCHEDULED"),COUNTIFS(tblSource[EventID],F2064,tblSource[ReleaseStatus],"APPROVED")=1,COUNTIFS(Period_Status!$A$2:$A$8,G2064,Period_Status!$B$2:$B$8,"ActualClosed")=1,C2064&gt;EOMONTH(Settlement_Bridge!$C$2,0)),1,0)</f>
        <v>1</v>
      </c>
      <c r="P2064" s="2" t="s">
        <v>5847</v>
      </c>
    </row>
    <row r="2065" spans="1:16" x14ac:dyDescent="0.25">
      <c r="A2065" s="2" t="s">
        <v>5848</v>
      </c>
      <c r="B2065" s="2" t="s">
        <v>199</v>
      </c>
      <c r="C2065" s="8">
        <v>46273</v>
      </c>
      <c r="D2065" s="6">
        <v>46266</v>
      </c>
      <c r="E2065" s="2" t="s">
        <v>260</v>
      </c>
      <c r="F2065" s="2" t="s">
        <v>5846</v>
      </c>
      <c r="G2065" s="6">
        <v>46204</v>
      </c>
      <c r="H2065" s="2" t="s">
        <v>176</v>
      </c>
      <c r="I2065" s="2" t="s">
        <v>70</v>
      </c>
      <c r="J2065" s="9">
        <v>881.51671699999997</v>
      </c>
      <c r="K2065" s="7">
        <v>0.65100000000000002</v>
      </c>
      <c r="L2065" s="9">
        <v>573.87</v>
      </c>
      <c r="M2065" s="9">
        <v>580.04</v>
      </c>
      <c r="N2065" s="9">
        <v>1.8</v>
      </c>
      <c r="O2065" s="10">
        <f>IF(AND(OR(H2065="APPROVED",H2065="SCHEDULED"),COUNTIFS(tblSource[EventID],F2065,tblSource[ReleaseStatus],"APPROVED")=1,COUNTIFS(Period_Status!$A$2:$A$8,G2065,Period_Status!$B$2:$B$8,"ActualClosed")=1,C2065&gt;EOMONTH(Settlement_Bridge!$C$2,0)),1,0)</f>
        <v>1</v>
      </c>
      <c r="P2065" s="2" t="s">
        <v>5849</v>
      </c>
    </row>
    <row r="2066" spans="1:16" x14ac:dyDescent="0.25">
      <c r="A2066" s="2" t="s">
        <v>5850</v>
      </c>
      <c r="B2066" s="2" t="s">
        <v>199</v>
      </c>
      <c r="C2066" s="8">
        <v>46228</v>
      </c>
      <c r="D2066" s="6">
        <v>46204</v>
      </c>
      <c r="E2066" s="2" t="s">
        <v>260</v>
      </c>
      <c r="F2066" s="2" t="s">
        <v>5851</v>
      </c>
      <c r="G2066" s="6">
        <v>46204</v>
      </c>
      <c r="H2066" s="2" t="s">
        <v>71</v>
      </c>
      <c r="I2066" s="2" t="s">
        <v>39</v>
      </c>
      <c r="J2066" s="9">
        <v>1139.74</v>
      </c>
      <c r="K2066" s="7">
        <v>1</v>
      </c>
      <c r="L2066" s="9">
        <v>1139.74</v>
      </c>
      <c r="M2066" s="9">
        <v>1139.74</v>
      </c>
      <c r="N2066" s="9">
        <v>1.8</v>
      </c>
      <c r="O2066" s="10">
        <f>IF(AND(OR(H2066="APPROVED",H2066="SCHEDULED"),COUNTIFS(tblSource[EventID],F2066,tblSource[ReleaseStatus],"APPROVED")=1,COUNTIFS(Period_Status!$A$2:$A$8,G2066,Period_Status!$B$2:$B$8,"ActualClosed")=1,C2066&gt;EOMONTH(Settlement_Bridge!$C$2,0)),1,0)</f>
        <v>0</v>
      </c>
      <c r="P2066" s="2" t="s">
        <v>5852</v>
      </c>
    </row>
    <row r="2067" spans="1:16" x14ac:dyDescent="0.25">
      <c r="A2067" s="2" t="s">
        <v>5853</v>
      </c>
      <c r="B2067" s="2" t="s">
        <v>199</v>
      </c>
      <c r="C2067" s="8">
        <v>46229</v>
      </c>
      <c r="D2067" s="6">
        <v>46204</v>
      </c>
      <c r="E2067" s="2" t="s">
        <v>260</v>
      </c>
      <c r="F2067" s="2" t="s">
        <v>5854</v>
      </c>
      <c r="G2067" s="6">
        <v>46204</v>
      </c>
      <c r="H2067" s="2" t="s">
        <v>71</v>
      </c>
      <c r="I2067" s="2" t="s">
        <v>76</v>
      </c>
      <c r="J2067" s="9">
        <v>21173387.096774001</v>
      </c>
      <c r="K2067" s="7">
        <v>6.2000000000000003E-5</v>
      </c>
      <c r="L2067" s="9">
        <v>1312.75</v>
      </c>
      <c r="M2067" s="9">
        <v>1312.75</v>
      </c>
      <c r="N2067" s="9">
        <v>1.8</v>
      </c>
      <c r="O2067" s="10">
        <f>IF(AND(OR(H2067="APPROVED",H2067="SCHEDULED"),COUNTIFS(tblSource[EventID],F2067,tblSource[ReleaseStatus],"APPROVED")=1,COUNTIFS(Period_Status!$A$2:$A$8,G2067,Period_Status!$B$2:$B$8,"ActualClosed")=1,C2067&gt;EOMONTH(Settlement_Bridge!$C$2,0)),1,0)</f>
        <v>0</v>
      </c>
      <c r="P2067" s="2" t="s">
        <v>5855</v>
      </c>
    </row>
    <row r="2068" spans="1:16" x14ac:dyDescent="0.25">
      <c r="A2068" s="2" t="s">
        <v>5856</v>
      </c>
      <c r="B2068" s="2" t="s">
        <v>199</v>
      </c>
      <c r="C2068" s="8">
        <v>46230</v>
      </c>
      <c r="D2068" s="6">
        <v>46204</v>
      </c>
      <c r="E2068" s="2" t="s">
        <v>260</v>
      </c>
      <c r="F2068" s="2" t="s">
        <v>5857</v>
      </c>
      <c r="G2068" s="6">
        <v>46204</v>
      </c>
      <c r="H2068" s="2" t="s">
        <v>71</v>
      </c>
      <c r="I2068" s="2" t="s">
        <v>70</v>
      </c>
      <c r="J2068" s="9">
        <v>2257.9939209999998</v>
      </c>
      <c r="K2068" s="7">
        <v>0.65800000000000003</v>
      </c>
      <c r="L2068" s="9">
        <v>1485.76</v>
      </c>
      <c r="M2068" s="9">
        <v>1485.76</v>
      </c>
      <c r="N2068" s="9">
        <v>1.8</v>
      </c>
      <c r="O2068" s="10">
        <f>IF(AND(OR(H2068="APPROVED",H2068="SCHEDULED"),COUNTIFS(tblSource[EventID],F2068,tblSource[ReleaseStatus],"APPROVED")=1,COUNTIFS(Period_Status!$A$2:$A$8,G2068,Period_Status!$B$2:$B$8,"ActualClosed")=1,C2068&gt;EOMONTH(Settlement_Bridge!$C$2,0)),1,0)</f>
        <v>0</v>
      </c>
      <c r="P2068" s="2" t="s">
        <v>5858</v>
      </c>
    </row>
    <row r="2069" spans="1:16" x14ac:dyDescent="0.25">
      <c r="A2069" s="2" t="s">
        <v>5859</v>
      </c>
      <c r="B2069" s="2" t="s">
        <v>199</v>
      </c>
      <c r="C2069" s="8">
        <v>46231</v>
      </c>
      <c r="D2069" s="6">
        <v>46204</v>
      </c>
      <c r="E2069" s="2" t="s">
        <v>260</v>
      </c>
      <c r="F2069" s="2" t="s">
        <v>5860</v>
      </c>
      <c r="G2069" s="6">
        <v>46204</v>
      </c>
      <c r="H2069" s="2" t="s">
        <v>71</v>
      </c>
      <c r="I2069" s="2" t="s">
        <v>39</v>
      </c>
      <c r="J2069" s="9">
        <v>1658.77</v>
      </c>
      <c r="K2069" s="7">
        <v>1</v>
      </c>
      <c r="L2069" s="9">
        <v>1658.77</v>
      </c>
      <c r="M2069" s="9">
        <v>1658.77</v>
      </c>
      <c r="N2069" s="9">
        <v>1.8</v>
      </c>
      <c r="O2069" s="10">
        <f>IF(AND(OR(H2069="APPROVED",H2069="SCHEDULED"),COUNTIFS(tblSource[EventID],F2069,tblSource[ReleaseStatus],"APPROVED")=1,COUNTIFS(Period_Status!$A$2:$A$8,G2069,Period_Status!$B$2:$B$8,"ActualClosed")=1,C2069&gt;EOMONTH(Settlement_Bridge!$C$2,0)),1,0)</f>
        <v>0</v>
      </c>
      <c r="P2069" s="2" t="s">
        <v>5861</v>
      </c>
    </row>
    <row r="2070" spans="1:16" x14ac:dyDescent="0.25">
      <c r="A2070" s="2" t="s">
        <v>5862</v>
      </c>
      <c r="B2070" s="2" t="s">
        <v>199</v>
      </c>
      <c r="C2070" s="8">
        <v>46232</v>
      </c>
      <c r="D2070" s="6">
        <v>46204</v>
      </c>
      <c r="E2070" s="2" t="s">
        <v>260</v>
      </c>
      <c r="F2070" s="2" t="s">
        <v>5863</v>
      </c>
      <c r="G2070" s="6">
        <v>46204</v>
      </c>
      <c r="H2070" s="2" t="s">
        <v>71</v>
      </c>
      <c r="I2070" s="2" t="s">
        <v>76</v>
      </c>
      <c r="J2070" s="9">
        <v>29544838.709677</v>
      </c>
      <c r="K2070" s="7">
        <v>6.2000000000000003E-5</v>
      </c>
      <c r="L2070" s="9">
        <v>1831.78</v>
      </c>
      <c r="M2070" s="9">
        <v>1831.78</v>
      </c>
      <c r="N2070" s="9">
        <v>1.8</v>
      </c>
      <c r="O2070" s="10">
        <f>IF(AND(OR(H2070="APPROVED",H2070="SCHEDULED"),COUNTIFS(tblSource[EventID],F2070,tblSource[ReleaseStatus],"APPROVED")=1,COUNTIFS(Period_Status!$A$2:$A$8,G2070,Period_Status!$B$2:$B$8,"ActualClosed")=1,C2070&gt;EOMONTH(Settlement_Bridge!$C$2,0)),1,0)</f>
        <v>0</v>
      </c>
      <c r="P2070" s="2" t="s">
        <v>5864</v>
      </c>
    </row>
    <row r="2071" spans="1:16" x14ac:dyDescent="0.25">
      <c r="A2071" s="2" t="s">
        <v>5865</v>
      </c>
      <c r="B2071" s="2" t="s">
        <v>199</v>
      </c>
      <c r="C2071" s="8">
        <v>46223</v>
      </c>
      <c r="D2071" s="6">
        <v>46204</v>
      </c>
      <c r="E2071" s="2" t="s">
        <v>260</v>
      </c>
      <c r="F2071" s="2" t="s">
        <v>5866</v>
      </c>
      <c r="G2071" s="6">
        <v>46204</v>
      </c>
      <c r="H2071" s="2" t="s">
        <v>71</v>
      </c>
      <c r="I2071" s="2" t="s">
        <v>70</v>
      </c>
      <c r="J2071" s="9">
        <v>1218.7173250000001</v>
      </c>
      <c r="K2071" s="7">
        <v>0.65800000000000003</v>
      </c>
      <c r="L2071" s="9">
        <v>801.92</v>
      </c>
      <c r="M2071" s="9">
        <v>801.92</v>
      </c>
      <c r="N2071" s="9">
        <v>1.8</v>
      </c>
      <c r="O2071" s="10">
        <f>IF(AND(OR(H2071="APPROVED",H2071="SCHEDULED"),COUNTIFS(tblSource[EventID],F2071,tblSource[ReleaseStatus],"APPROVED")=1,COUNTIFS(Period_Status!$A$2:$A$8,G2071,Period_Status!$B$2:$B$8,"ActualClosed")=1,C2071&gt;EOMONTH(Settlement_Bridge!$C$2,0)),1,0)</f>
        <v>0</v>
      </c>
      <c r="P2071" s="2" t="s">
        <v>5867</v>
      </c>
    </row>
    <row r="2072" spans="1:16" x14ac:dyDescent="0.25">
      <c r="A2072" s="2" t="s">
        <v>5868</v>
      </c>
      <c r="B2072" s="2" t="s">
        <v>199</v>
      </c>
      <c r="C2072" s="8">
        <v>46248</v>
      </c>
      <c r="D2072" s="6">
        <v>46235</v>
      </c>
      <c r="E2072" s="2" t="s">
        <v>260</v>
      </c>
      <c r="F2072" s="2" t="s">
        <v>5866</v>
      </c>
      <c r="G2072" s="6">
        <v>46204</v>
      </c>
      <c r="H2072" s="2" t="s">
        <v>71</v>
      </c>
      <c r="I2072" s="2" t="s">
        <v>70</v>
      </c>
      <c r="J2072" s="9">
        <v>1828.0759880000001</v>
      </c>
      <c r="K2072" s="7">
        <v>0.65</v>
      </c>
      <c r="L2072" s="9">
        <v>1188.25</v>
      </c>
      <c r="M2072" s="9">
        <v>1202.8699999999999</v>
      </c>
      <c r="N2072" s="9">
        <v>1.8</v>
      </c>
      <c r="O2072" s="10">
        <f>IF(AND(OR(H2072="APPROVED",H2072="SCHEDULED"),COUNTIFS(tblSource[EventID],F2072,tblSource[ReleaseStatus],"APPROVED")=1,COUNTIFS(Period_Status!$A$2:$A$8,G2072,Period_Status!$B$2:$B$8,"ActualClosed")=1,C2072&gt;EOMONTH(Settlement_Bridge!$C$2,0)),1,0)</f>
        <v>1</v>
      </c>
      <c r="P2072" s="2" t="s">
        <v>5869</v>
      </c>
    </row>
    <row r="2073" spans="1:16" x14ac:dyDescent="0.25">
      <c r="A2073" s="2" t="s">
        <v>5870</v>
      </c>
      <c r="B2073" s="2" t="s">
        <v>199</v>
      </c>
      <c r="C2073" s="8">
        <v>46224</v>
      </c>
      <c r="D2073" s="6">
        <v>46204</v>
      </c>
      <c r="E2073" s="2" t="s">
        <v>260</v>
      </c>
      <c r="F2073" s="2" t="s">
        <v>5871</v>
      </c>
      <c r="G2073" s="6">
        <v>46204</v>
      </c>
      <c r="H2073" s="2" t="s">
        <v>71</v>
      </c>
      <c r="I2073" s="2" t="s">
        <v>39</v>
      </c>
      <c r="J2073" s="9">
        <v>871.12</v>
      </c>
      <c r="K2073" s="7">
        <v>1</v>
      </c>
      <c r="L2073" s="9">
        <v>871.12</v>
      </c>
      <c r="M2073" s="9">
        <v>871.12</v>
      </c>
      <c r="N2073" s="9">
        <v>1.8</v>
      </c>
      <c r="O2073" s="10">
        <f>IF(AND(OR(H2073="APPROVED",H2073="SCHEDULED"),COUNTIFS(tblSource[EventID],F2073,tblSource[ReleaseStatus],"APPROVED")=1,COUNTIFS(Period_Status!$A$2:$A$8,G2073,Period_Status!$B$2:$B$8,"ActualClosed")=1,C2073&gt;EOMONTH(Settlement_Bridge!$C$2,0)),1,0)</f>
        <v>0</v>
      </c>
      <c r="P2073" s="2" t="s">
        <v>5872</v>
      </c>
    </row>
    <row r="2074" spans="1:16" x14ac:dyDescent="0.25">
      <c r="A2074" s="2" t="s">
        <v>5873</v>
      </c>
      <c r="B2074" s="2" t="s">
        <v>199</v>
      </c>
      <c r="C2074" s="8">
        <v>46249</v>
      </c>
      <c r="D2074" s="6">
        <v>46235</v>
      </c>
      <c r="E2074" s="2" t="s">
        <v>260</v>
      </c>
      <c r="F2074" s="2" t="s">
        <v>5871</v>
      </c>
      <c r="G2074" s="6">
        <v>46204</v>
      </c>
      <c r="H2074" s="2" t="s">
        <v>71</v>
      </c>
      <c r="I2074" s="2" t="s">
        <v>39</v>
      </c>
      <c r="J2074" s="9">
        <v>1306.68</v>
      </c>
      <c r="K2074" s="7">
        <v>1</v>
      </c>
      <c r="L2074" s="9">
        <v>1306.68</v>
      </c>
      <c r="M2074" s="9">
        <v>1306.68</v>
      </c>
      <c r="N2074" s="9">
        <v>1.8</v>
      </c>
      <c r="O2074" s="10">
        <f>IF(AND(OR(H2074="APPROVED",H2074="SCHEDULED"),COUNTIFS(tblSource[EventID],F2074,tblSource[ReleaseStatus],"APPROVED")=1,COUNTIFS(Period_Status!$A$2:$A$8,G2074,Period_Status!$B$2:$B$8,"ActualClosed")=1,C2074&gt;EOMONTH(Settlement_Bridge!$C$2,0)),1,0)</f>
        <v>1</v>
      </c>
      <c r="P2074" s="2" t="s">
        <v>5874</v>
      </c>
    </row>
    <row r="2075" spans="1:16" x14ac:dyDescent="0.25">
      <c r="A2075" s="2" t="s">
        <v>5875</v>
      </c>
      <c r="B2075" s="2" t="s">
        <v>199</v>
      </c>
      <c r="C2075" s="8">
        <v>46235</v>
      </c>
      <c r="D2075" s="6">
        <v>46235</v>
      </c>
      <c r="E2075" s="2" t="s">
        <v>260</v>
      </c>
      <c r="F2075" s="2" t="s">
        <v>5876</v>
      </c>
      <c r="G2075" s="6">
        <v>46204</v>
      </c>
      <c r="H2075" s="2" t="s">
        <v>71</v>
      </c>
      <c r="I2075" s="2" t="s">
        <v>76</v>
      </c>
      <c r="J2075" s="9">
        <v>37916290.322581001</v>
      </c>
      <c r="K2075" s="7">
        <v>6.1500000000000004E-5</v>
      </c>
      <c r="L2075" s="9">
        <v>2331.85</v>
      </c>
      <c r="M2075" s="9">
        <v>2350.81</v>
      </c>
      <c r="N2075" s="9">
        <v>1.8</v>
      </c>
      <c r="O2075" s="10">
        <f>IF(AND(OR(H2075="APPROVED",H2075="SCHEDULED"),COUNTIFS(tblSource[EventID],F2075,tblSource[ReleaseStatus],"APPROVED")=1,COUNTIFS(Period_Status!$A$2:$A$8,G2075,Period_Status!$B$2:$B$8,"ActualClosed")=1,C2075&gt;EOMONTH(Settlement_Bridge!$C$2,0)),1,0)</f>
        <v>1</v>
      </c>
      <c r="P2075" s="2" t="s">
        <v>5877</v>
      </c>
    </row>
    <row r="2076" spans="1:16" x14ac:dyDescent="0.25">
      <c r="A2076" s="2" t="s">
        <v>5878</v>
      </c>
      <c r="B2076" s="2" t="s">
        <v>199</v>
      </c>
      <c r="C2076" s="8">
        <v>46236</v>
      </c>
      <c r="D2076" s="6">
        <v>46235</v>
      </c>
      <c r="E2076" s="2" t="s">
        <v>260</v>
      </c>
      <c r="F2076" s="2" t="s">
        <v>5879</v>
      </c>
      <c r="G2076" s="6">
        <v>46204</v>
      </c>
      <c r="H2076" s="2" t="s">
        <v>71</v>
      </c>
      <c r="I2076" s="2" t="s">
        <v>70</v>
      </c>
      <c r="J2076" s="9">
        <v>3835.592705</v>
      </c>
      <c r="K2076" s="7">
        <v>0.65</v>
      </c>
      <c r="L2076" s="9">
        <v>2493.14</v>
      </c>
      <c r="M2076" s="9">
        <v>2523.8200000000002</v>
      </c>
      <c r="N2076" s="9">
        <v>1.8</v>
      </c>
      <c r="O2076" s="10">
        <f>IF(AND(OR(H2076="APPROVED",H2076="SCHEDULED"),COUNTIFS(tblSource[EventID],F2076,tblSource[ReleaseStatus],"APPROVED")=1,COUNTIFS(Period_Status!$A$2:$A$8,G2076,Period_Status!$B$2:$B$8,"ActualClosed")=1,C2076&gt;EOMONTH(Settlement_Bridge!$C$2,0)),1,0)</f>
        <v>1</v>
      </c>
      <c r="P2076" s="2" t="s">
        <v>5880</v>
      </c>
    </row>
    <row r="2077" spans="1:16" x14ac:dyDescent="0.25">
      <c r="A2077" s="2" t="s">
        <v>5881</v>
      </c>
      <c r="B2077" s="2" t="s">
        <v>199</v>
      </c>
      <c r="C2077" s="8">
        <v>46227</v>
      </c>
      <c r="D2077" s="6">
        <v>46204</v>
      </c>
      <c r="E2077" s="2" t="s">
        <v>260</v>
      </c>
      <c r="F2077" s="2" t="s">
        <v>5882</v>
      </c>
      <c r="G2077" s="6">
        <v>46204</v>
      </c>
      <c r="H2077" s="2" t="s">
        <v>71</v>
      </c>
      <c r="I2077" s="2" t="s">
        <v>39</v>
      </c>
      <c r="J2077" s="9">
        <v>1078.732</v>
      </c>
      <c r="K2077" s="7">
        <v>1</v>
      </c>
      <c r="L2077" s="9">
        <v>1078.73</v>
      </c>
      <c r="M2077" s="9">
        <v>1078.73</v>
      </c>
      <c r="N2077" s="9">
        <v>1.8</v>
      </c>
      <c r="O2077" s="10">
        <f>IF(AND(OR(H2077="APPROVED",H2077="SCHEDULED"),COUNTIFS(tblSource[EventID],F2077,tblSource[ReleaseStatus],"APPROVED")=1,COUNTIFS(Period_Status!$A$2:$A$8,G2077,Period_Status!$B$2:$B$8,"ActualClosed")=1,C2077&gt;EOMONTH(Settlement_Bridge!$C$2,0)),1,0)</f>
        <v>0</v>
      </c>
      <c r="P2077" s="2" t="s">
        <v>5883</v>
      </c>
    </row>
    <row r="2078" spans="1:16" x14ac:dyDescent="0.25">
      <c r="A2078" s="2" t="s">
        <v>5884</v>
      </c>
      <c r="B2078" s="2" t="s">
        <v>199</v>
      </c>
      <c r="C2078" s="8">
        <v>46252</v>
      </c>
      <c r="D2078" s="6">
        <v>46235</v>
      </c>
      <c r="E2078" s="2" t="s">
        <v>260</v>
      </c>
      <c r="F2078" s="2" t="s">
        <v>5882</v>
      </c>
      <c r="G2078" s="6">
        <v>46204</v>
      </c>
      <c r="H2078" s="2" t="s">
        <v>71</v>
      </c>
      <c r="I2078" s="2" t="s">
        <v>39</v>
      </c>
      <c r="J2078" s="9">
        <v>1618.098</v>
      </c>
      <c r="K2078" s="7">
        <v>1</v>
      </c>
      <c r="L2078" s="9">
        <v>1618.1</v>
      </c>
      <c r="M2078" s="9">
        <v>1618.1</v>
      </c>
      <c r="N2078" s="9">
        <v>1.8</v>
      </c>
      <c r="O2078" s="10">
        <f>IF(AND(OR(H2078="APPROVED",H2078="SCHEDULED"),COUNTIFS(tblSource[EventID],F2078,tblSource[ReleaseStatus],"APPROVED")=1,COUNTIFS(Period_Status!$A$2:$A$8,G2078,Period_Status!$B$2:$B$8,"ActualClosed")=1,C2078&gt;EOMONTH(Settlement_Bridge!$C$2,0)),1,0)</f>
        <v>1</v>
      </c>
      <c r="P2078" s="2" t="s">
        <v>5885</v>
      </c>
    </row>
    <row r="2079" spans="1:16" x14ac:dyDescent="0.25">
      <c r="A2079" s="2" t="s">
        <v>5886</v>
      </c>
      <c r="B2079" s="2" t="s">
        <v>199</v>
      </c>
      <c r="C2079" s="8">
        <v>46238</v>
      </c>
      <c r="D2079" s="6">
        <v>46235</v>
      </c>
      <c r="E2079" s="2" t="s">
        <v>260</v>
      </c>
      <c r="F2079" s="2" t="s">
        <v>5887</v>
      </c>
      <c r="G2079" s="6">
        <v>46204</v>
      </c>
      <c r="H2079" s="2" t="s">
        <v>71</v>
      </c>
      <c r="I2079" s="2" t="s">
        <v>76</v>
      </c>
      <c r="J2079" s="9">
        <v>46287741.935484</v>
      </c>
      <c r="K2079" s="7">
        <v>6.1500000000000004E-5</v>
      </c>
      <c r="L2079" s="9">
        <v>2846.7</v>
      </c>
      <c r="M2079" s="9">
        <v>2869.84</v>
      </c>
      <c r="N2079" s="9">
        <v>1.8</v>
      </c>
      <c r="O2079" s="10">
        <f>IF(AND(OR(H2079="APPROVED",H2079="SCHEDULED"),COUNTIFS(tblSource[EventID],F2079,tblSource[ReleaseStatus],"APPROVED")=1,COUNTIFS(Period_Status!$A$2:$A$8,G2079,Period_Status!$B$2:$B$8,"ActualClosed")=1,C2079&gt;EOMONTH(Settlement_Bridge!$C$2,0)),1,0)</f>
        <v>1</v>
      </c>
      <c r="P2079" s="2" t="s">
        <v>5888</v>
      </c>
    </row>
    <row r="2080" spans="1:16" x14ac:dyDescent="0.25">
      <c r="A2080" s="2" t="s">
        <v>5889</v>
      </c>
      <c r="B2080" s="2" t="s">
        <v>199</v>
      </c>
      <c r="C2080" s="8">
        <v>46239</v>
      </c>
      <c r="D2080" s="6">
        <v>46235</v>
      </c>
      <c r="E2080" s="2" t="s">
        <v>260</v>
      </c>
      <c r="F2080" s="2" t="s">
        <v>5890</v>
      </c>
      <c r="G2080" s="6">
        <v>46204</v>
      </c>
      <c r="H2080" s="2" t="s">
        <v>71</v>
      </c>
      <c r="I2080" s="2" t="s">
        <v>70</v>
      </c>
      <c r="J2080" s="9">
        <v>4624.3920969999999</v>
      </c>
      <c r="K2080" s="7">
        <v>0.65</v>
      </c>
      <c r="L2080" s="9">
        <v>3005.85</v>
      </c>
      <c r="M2080" s="9">
        <v>3042.85</v>
      </c>
      <c r="N2080" s="9">
        <v>1.8</v>
      </c>
      <c r="O2080" s="10">
        <f>IF(AND(OR(H2080="APPROVED",H2080="SCHEDULED"),COUNTIFS(tblSource[EventID],F2080,tblSource[ReleaseStatus],"APPROVED")=1,COUNTIFS(Period_Status!$A$2:$A$8,G2080,Period_Status!$B$2:$B$8,"ActualClosed")=1,C2080&gt;EOMONTH(Settlement_Bridge!$C$2,0)),1,0)</f>
        <v>1</v>
      </c>
      <c r="P2080" s="2" t="s">
        <v>5891</v>
      </c>
    </row>
    <row r="2081" spans="1:16" x14ac:dyDescent="0.25">
      <c r="A2081" s="2" t="s">
        <v>5892</v>
      </c>
      <c r="B2081" s="2" t="s">
        <v>199</v>
      </c>
      <c r="C2081" s="8">
        <v>46240</v>
      </c>
      <c r="D2081" s="6">
        <v>46235</v>
      </c>
      <c r="E2081" s="2" t="s">
        <v>260</v>
      </c>
      <c r="F2081" s="2" t="s">
        <v>5893</v>
      </c>
      <c r="G2081" s="6">
        <v>46204</v>
      </c>
      <c r="H2081" s="2" t="s">
        <v>71</v>
      </c>
      <c r="I2081" s="2" t="s">
        <v>39</v>
      </c>
      <c r="J2081" s="9">
        <v>3215.86</v>
      </c>
      <c r="K2081" s="7">
        <v>1</v>
      </c>
      <c r="L2081" s="9">
        <v>3215.86</v>
      </c>
      <c r="M2081" s="9">
        <v>3215.86</v>
      </c>
      <c r="N2081" s="9">
        <v>1.8</v>
      </c>
      <c r="O2081" s="10">
        <f>IF(AND(OR(H2081="APPROVED",H2081="SCHEDULED"),COUNTIFS(tblSource[EventID],F2081,tblSource[ReleaseStatus],"APPROVED")=1,COUNTIFS(Period_Status!$A$2:$A$8,G2081,Period_Status!$B$2:$B$8,"ActualClosed")=1,C2081&gt;EOMONTH(Settlement_Bridge!$C$2,0)),1,0)</f>
        <v>1</v>
      </c>
      <c r="P2081" s="2" t="s">
        <v>5894</v>
      </c>
    </row>
    <row r="2082" spans="1:16" x14ac:dyDescent="0.25">
      <c r="A2082" s="2" t="s">
        <v>5895</v>
      </c>
      <c r="B2082" s="2" t="s">
        <v>199</v>
      </c>
      <c r="C2082" s="8">
        <v>46241</v>
      </c>
      <c r="D2082" s="6">
        <v>46235</v>
      </c>
      <c r="E2082" s="2" t="s">
        <v>260</v>
      </c>
      <c r="F2082" s="2" t="s">
        <v>5896</v>
      </c>
      <c r="G2082" s="6">
        <v>46204</v>
      </c>
      <c r="H2082" s="2" t="s">
        <v>71</v>
      </c>
      <c r="I2082" s="2" t="s">
        <v>76</v>
      </c>
      <c r="J2082" s="9">
        <v>54659193.548386998</v>
      </c>
      <c r="K2082" s="7">
        <v>6.1500000000000004E-5</v>
      </c>
      <c r="L2082" s="9">
        <v>3361.54</v>
      </c>
      <c r="M2082" s="9">
        <v>3388.87</v>
      </c>
      <c r="N2082" s="9">
        <v>1.85</v>
      </c>
      <c r="O2082" s="10">
        <f>IF(AND(OR(H2082="APPROVED",H2082="SCHEDULED"),COUNTIFS(tblSource[EventID],F2082,tblSource[ReleaseStatus],"APPROVED")=1,COUNTIFS(Period_Status!$A$2:$A$8,G2082,Period_Status!$B$2:$B$8,"ActualClosed")=1,C2082&gt;EOMONTH(Settlement_Bridge!$C$2,0)),1,0)</f>
        <v>1</v>
      </c>
      <c r="P2082" s="2" t="s">
        <v>5897</v>
      </c>
    </row>
    <row r="2083" spans="1:16" x14ac:dyDescent="0.25">
      <c r="A2083" s="2" t="s">
        <v>5898</v>
      </c>
      <c r="B2083" s="2" t="s">
        <v>199</v>
      </c>
      <c r="C2083" s="8">
        <v>46242</v>
      </c>
      <c r="D2083" s="6">
        <v>46235</v>
      </c>
      <c r="E2083" s="2" t="s">
        <v>260</v>
      </c>
      <c r="F2083" s="2" t="s">
        <v>5899</v>
      </c>
      <c r="G2083" s="6">
        <v>46204</v>
      </c>
      <c r="H2083" s="2" t="s">
        <v>71</v>
      </c>
      <c r="I2083" s="2" t="s">
        <v>70</v>
      </c>
      <c r="J2083" s="9">
        <v>5413.1914889999998</v>
      </c>
      <c r="K2083" s="7">
        <v>0.65</v>
      </c>
      <c r="L2083" s="9">
        <v>3518.57</v>
      </c>
      <c r="M2083" s="9">
        <v>3561.88</v>
      </c>
      <c r="N2083" s="9">
        <v>1.94</v>
      </c>
      <c r="O2083" s="10">
        <f>IF(AND(OR(H2083="APPROVED",H2083="SCHEDULED"),COUNTIFS(tblSource[EventID],F2083,tblSource[ReleaseStatus],"APPROVED")=1,COUNTIFS(Period_Status!$A$2:$A$8,G2083,Period_Status!$B$2:$B$8,"ActualClosed")=1,C2083&gt;EOMONTH(Settlement_Bridge!$C$2,0)),1,0)</f>
        <v>1</v>
      </c>
      <c r="P2083" s="2" t="s">
        <v>5900</v>
      </c>
    </row>
    <row r="2084" spans="1:16" x14ac:dyDescent="0.25">
      <c r="A2084" s="2" t="s">
        <v>5901</v>
      </c>
      <c r="B2084" s="2" t="s">
        <v>199</v>
      </c>
      <c r="C2084" s="8">
        <v>46233</v>
      </c>
      <c r="D2084" s="6">
        <v>46204</v>
      </c>
      <c r="E2084" s="2" t="s">
        <v>260</v>
      </c>
      <c r="F2084" s="2" t="s">
        <v>5902</v>
      </c>
      <c r="G2084" s="6">
        <v>46204</v>
      </c>
      <c r="H2084" s="2" t="s">
        <v>71</v>
      </c>
      <c r="I2084" s="2" t="s">
        <v>39</v>
      </c>
      <c r="J2084" s="9">
        <v>-3734.89</v>
      </c>
      <c r="K2084" s="7">
        <v>1</v>
      </c>
      <c r="L2084" s="9">
        <v>-3734.89</v>
      </c>
      <c r="M2084" s="9">
        <v>-3734.89</v>
      </c>
      <c r="N2084" s="9">
        <v>0</v>
      </c>
      <c r="O2084" s="10">
        <f>IF(AND(OR(H2084="APPROVED",H2084="SCHEDULED"),COUNTIFS(tblSource[EventID],F2084,tblSource[ReleaseStatus],"APPROVED")=1,COUNTIFS(Period_Status!$A$2:$A$8,G2084,Period_Status!$B$2:$B$8,"ActualClosed")=1,C2084&gt;EOMONTH(Settlement_Bridge!$C$2,0)),1,0)</f>
        <v>0</v>
      </c>
      <c r="P2084" s="2" t="s">
        <v>5903</v>
      </c>
    </row>
    <row r="2085" spans="1:16" x14ac:dyDescent="0.25">
      <c r="A2085" s="2" t="s">
        <v>5904</v>
      </c>
      <c r="B2085" s="2" t="s">
        <v>199</v>
      </c>
      <c r="C2085" s="8">
        <v>46234</v>
      </c>
      <c r="D2085" s="6">
        <v>46204</v>
      </c>
      <c r="E2085" s="2" t="s">
        <v>260</v>
      </c>
      <c r="F2085" s="2" t="s">
        <v>5905</v>
      </c>
      <c r="G2085" s="6">
        <v>46204</v>
      </c>
      <c r="H2085" s="2" t="s">
        <v>71</v>
      </c>
      <c r="I2085" s="2" t="s">
        <v>76</v>
      </c>
      <c r="J2085" s="9">
        <v>25212258.064516</v>
      </c>
      <c r="K2085" s="7">
        <v>6.2000000000000003E-5</v>
      </c>
      <c r="L2085" s="9">
        <v>1563.16</v>
      </c>
      <c r="M2085" s="9">
        <v>1563.16</v>
      </c>
      <c r="N2085" s="9">
        <v>1.8</v>
      </c>
      <c r="O2085" s="10">
        <f>IF(AND(OR(H2085="APPROVED",H2085="SCHEDULED"),COUNTIFS(tblSource[EventID],F2085,tblSource[ReleaseStatus],"APPROVED")=1,COUNTIFS(Period_Status!$A$2:$A$8,G2085,Period_Status!$B$2:$B$8,"ActualClosed")=1,C2085&gt;EOMONTH(Settlement_Bridge!$C$2,0)),1,0)</f>
        <v>0</v>
      </c>
      <c r="P2085" s="2" t="s">
        <v>5906</v>
      </c>
    </row>
    <row r="2086" spans="1:16" x14ac:dyDescent="0.25">
      <c r="A2086" s="2" t="s">
        <v>5907</v>
      </c>
      <c r="B2086" s="2" t="s">
        <v>199</v>
      </c>
      <c r="C2086" s="8">
        <v>46259</v>
      </c>
      <c r="D2086" s="6">
        <v>46235</v>
      </c>
      <c r="E2086" s="2" t="s">
        <v>260</v>
      </c>
      <c r="F2086" s="2" t="s">
        <v>5905</v>
      </c>
      <c r="G2086" s="6">
        <v>46204</v>
      </c>
      <c r="H2086" s="2" t="s">
        <v>71</v>
      </c>
      <c r="I2086" s="2" t="s">
        <v>76</v>
      </c>
      <c r="J2086" s="9">
        <v>37818387.096773997</v>
      </c>
      <c r="K2086" s="7">
        <v>6.1500000000000004E-5</v>
      </c>
      <c r="L2086" s="9">
        <v>2325.83</v>
      </c>
      <c r="M2086" s="9">
        <v>2344.7399999999998</v>
      </c>
      <c r="N2086" s="9">
        <v>1.8</v>
      </c>
      <c r="O2086" s="10">
        <f>IF(AND(OR(H2086="APPROVED",H2086="SCHEDULED"),COUNTIFS(tblSource[EventID],F2086,tblSource[ReleaseStatus],"APPROVED")=1,COUNTIFS(Period_Status!$A$2:$A$8,G2086,Period_Status!$B$2:$B$8,"ActualClosed")=1,C2086&gt;EOMONTH(Settlement_Bridge!$C$2,0)),1,0)</f>
        <v>1</v>
      </c>
      <c r="P2086" s="2" t="s">
        <v>5908</v>
      </c>
    </row>
    <row r="2087" spans="1:16" x14ac:dyDescent="0.25">
      <c r="A2087" s="2" t="s">
        <v>5909</v>
      </c>
      <c r="B2087" s="2" t="s">
        <v>199</v>
      </c>
      <c r="C2087" s="8">
        <v>46245</v>
      </c>
      <c r="D2087" s="6">
        <v>46235</v>
      </c>
      <c r="E2087" s="2" t="s">
        <v>260</v>
      </c>
      <c r="F2087" s="2" t="s">
        <v>5910</v>
      </c>
      <c r="G2087" s="6">
        <v>46204</v>
      </c>
      <c r="H2087" s="2" t="s">
        <v>71</v>
      </c>
      <c r="I2087" s="2" t="s">
        <v>70</v>
      </c>
      <c r="J2087" s="9">
        <v>6201.9908809999997</v>
      </c>
      <c r="K2087" s="7">
        <v>0.65</v>
      </c>
      <c r="L2087" s="9">
        <v>4031.29</v>
      </c>
      <c r="M2087" s="9">
        <v>4080.91</v>
      </c>
      <c r="N2087" s="9">
        <v>2.2200000000000002</v>
      </c>
      <c r="O2087" s="10">
        <f>IF(AND(OR(H2087="APPROVED",H2087="SCHEDULED"),COUNTIFS(tblSource[EventID],F2087,tblSource[ReleaseStatus],"APPROVED")=1,COUNTIFS(Period_Status!$A$2:$A$8,G2087,Period_Status!$B$2:$B$8,"ActualClosed")=1,C2087&gt;EOMONTH(Settlement_Bridge!$C$2,0)),1,0)</f>
        <v>1</v>
      </c>
      <c r="P2087" s="2" t="s">
        <v>5911</v>
      </c>
    </row>
    <row r="2088" spans="1:16" x14ac:dyDescent="0.25">
      <c r="A2088" s="2" t="s">
        <v>5912</v>
      </c>
      <c r="B2088" s="2" t="s">
        <v>199</v>
      </c>
      <c r="C2088" s="8">
        <v>46246</v>
      </c>
      <c r="D2088" s="6">
        <v>46235</v>
      </c>
      <c r="E2088" s="2" t="s">
        <v>260</v>
      </c>
      <c r="F2088" s="2" t="s">
        <v>5913</v>
      </c>
      <c r="G2088" s="6">
        <v>46204</v>
      </c>
      <c r="H2088" s="2" t="s">
        <v>71</v>
      </c>
      <c r="I2088" s="2" t="s">
        <v>39</v>
      </c>
      <c r="J2088" s="9">
        <v>4253.92</v>
      </c>
      <c r="K2088" s="7">
        <v>1</v>
      </c>
      <c r="L2088" s="9">
        <v>4253.92</v>
      </c>
      <c r="M2088" s="9">
        <v>4253.92</v>
      </c>
      <c r="N2088" s="9">
        <v>2.34</v>
      </c>
      <c r="O2088" s="10">
        <f>IF(AND(OR(H2088="APPROVED",H2088="SCHEDULED"),COUNTIFS(tblSource[EventID],F2088,tblSource[ReleaseStatus],"APPROVED")=1,COUNTIFS(Period_Status!$A$2:$A$8,G2088,Period_Status!$B$2:$B$8,"ActualClosed")=1,C2088&gt;EOMONTH(Settlement_Bridge!$C$2,0)),1,0)</f>
        <v>1</v>
      </c>
      <c r="P2088" s="2" t="s">
        <v>5914</v>
      </c>
    </row>
    <row r="2089" spans="1:16" x14ac:dyDescent="0.25">
      <c r="A2089" s="2" t="s">
        <v>5915</v>
      </c>
      <c r="B2089" s="2" t="s">
        <v>199</v>
      </c>
      <c r="C2089" s="8">
        <v>46237</v>
      </c>
      <c r="D2089" s="6">
        <v>46235</v>
      </c>
      <c r="E2089" s="2" t="s">
        <v>260</v>
      </c>
      <c r="F2089" s="2" t="s">
        <v>5916</v>
      </c>
      <c r="G2089" s="6">
        <v>46204</v>
      </c>
      <c r="H2089" s="2" t="s">
        <v>71</v>
      </c>
      <c r="I2089" s="2" t="s">
        <v>76</v>
      </c>
      <c r="J2089" s="9">
        <v>28560838.709678002</v>
      </c>
      <c r="K2089" s="7">
        <v>6.1500000000000004E-5</v>
      </c>
      <c r="L2089" s="9">
        <v>1756.49</v>
      </c>
      <c r="M2089" s="9">
        <v>1770.77</v>
      </c>
      <c r="N2089" s="9">
        <v>1.8</v>
      </c>
      <c r="O2089" s="10">
        <f>IF(AND(OR(H2089="APPROVED",H2089="SCHEDULED"),COUNTIFS(tblSource[EventID],F2089,tblSource[ReleaseStatus],"APPROVED")=1,COUNTIFS(Period_Status!$A$2:$A$8,G2089,Period_Status!$B$2:$B$8,"ActualClosed")=1,C2089&gt;EOMONTH(Settlement_Bridge!$C$2,0)),1,0)</f>
        <v>1</v>
      </c>
      <c r="P2089" s="2" t="s">
        <v>5917</v>
      </c>
    </row>
    <row r="2090" spans="1:16" x14ac:dyDescent="0.25">
      <c r="A2090" s="2" t="s">
        <v>5918</v>
      </c>
      <c r="B2090" s="2" t="s">
        <v>199</v>
      </c>
      <c r="C2090" s="8">
        <v>46262</v>
      </c>
      <c r="D2090" s="6">
        <v>46235</v>
      </c>
      <c r="E2090" s="2" t="s">
        <v>260</v>
      </c>
      <c r="F2090" s="2" t="s">
        <v>5916</v>
      </c>
      <c r="G2090" s="6">
        <v>46204</v>
      </c>
      <c r="H2090" s="2" t="s">
        <v>71</v>
      </c>
      <c r="I2090" s="2" t="s">
        <v>76</v>
      </c>
      <c r="J2090" s="9">
        <v>42841258.064516</v>
      </c>
      <c r="K2090" s="7">
        <v>6.1500000000000004E-5</v>
      </c>
      <c r="L2090" s="9">
        <v>2634.74</v>
      </c>
      <c r="M2090" s="9">
        <v>2656.16</v>
      </c>
      <c r="N2090" s="9">
        <v>1.8</v>
      </c>
      <c r="O2090" s="10">
        <f>IF(AND(OR(H2090="APPROVED",H2090="SCHEDULED"),COUNTIFS(tblSource[EventID],F2090,tblSource[ReleaseStatus],"APPROVED")=1,COUNTIFS(Period_Status!$A$2:$A$8,G2090,Period_Status!$B$2:$B$8,"ActualClosed")=1,C2090&gt;EOMONTH(Settlement_Bridge!$C$2,0)),1,0)</f>
        <v>1</v>
      </c>
      <c r="P2090" s="2" t="s">
        <v>5919</v>
      </c>
    </row>
    <row r="2091" spans="1:16" x14ac:dyDescent="0.25">
      <c r="A2091" s="2" t="s">
        <v>5920</v>
      </c>
      <c r="B2091" s="2" t="s">
        <v>199</v>
      </c>
      <c r="C2091" s="8">
        <v>46248</v>
      </c>
      <c r="D2091" s="6">
        <v>46235</v>
      </c>
      <c r="E2091" s="2" t="s">
        <v>260</v>
      </c>
      <c r="F2091" s="2" t="s">
        <v>5921</v>
      </c>
      <c r="G2091" s="6">
        <v>46204</v>
      </c>
      <c r="H2091" s="2" t="s">
        <v>71</v>
      </c>
      <c r="I2091" s="2" t="s">
        <v>70</v>
      </c>
      <c r="J2091" s="9">
        <v>6990.790274</v>
      </c>
      <c r="K2091" s="7">
        <v>0.65</v>
      </c>
      <c r="L2091" s="9">
        <v>4544.01</v>
      </c>
      <c r="M2091" s="9">
        <v>4599.9399999999996</v>
      </c>
      <c r="N2091" s="9">
        <v>2.5</v>
      </c>
      <c r="O2091" s="10">
        <f>IF(AND(OR(H2091="APPROVED",H2091="SCHEDULED"),COUNTIFS(tblSource[EventID],F2091,tblSource[ReleaseStatus],"APPROVED")=1,COUNTIFS(Period_Status!$A$2:$A$8,G2091,Period_Status!$B$2:$B$8,"ActualClosed")=1,C2091&gt;EOMONTH(Settlement_Bridge!$C$2,0)),1,0)</f>
        <v>1</v>
      </c>
      <c r="P2091" s="2" t="s">
        <v>5922</v>
      </c>
    </row>
    <row r="2092" spans="1:16" x14ac:dyDescent="0.25">
      <c r="A2092" s="2" t="s">
        <v>5923</v>
      </c>
      <c r="B2092" s="2" t="s">
        <v>199</v>
      </c>
      <c r="C2092" s="8">
        <v>46249</v>
      </c>
      <c r="D2092" s="6">
        <v>46235</v>
      </c>
      <c r="E2092" s="2" t="s">
        <v>260</v>
      </c>
      <c r="F2092" s="2" t="s">
        <v>5924</v>
      </c>
      <c r="G2092" s="6">
        <v>46204</v>
      </c>
      <c r="H2092" s="2" t="s">
        <v>71</v>
      </c>
      <c r="I2092" s="2" t="s">
        <v>39</v>
      </c>
      <c r="J2092" s="9">
        <v>4772.95</v>
      </c>
      <c r="K2092" s="7">
        <v>1</v>
      </c>
      <c r="L2092" s="9">
        <v>4772.95</v>
      </c>
      <c r="M2092" s="9">
        <v>4772.95</v>
      </c>
      <c r="N2092" s="9">
        <v>2.63</v>
      </c>
      <c r="O2092" s="10">
        <f>IF(AND(OR(H2092="APPROVED",H2092="SCHEDULED"),COUNTIFS(tblSource[EventID],F2092,tblSource[ReleaseStatus],"APPROVED")=1,COUNTIFS(Period_Status!$A$2:$A$8,G2092,Period_Status!$B$2:$B$8,"ActualClosed")=1,C2092&gt;EOMONTH(Settlement_Bridge!$C$2,0)),1,0)</f>
        <v>1</v>
      </c>
      <c r="P2092" s="2" t="s">
        <v>5925</v>
      </c>
    </row>
    <row r="2093" spans="1:16" x14ac:dyDescent="0.25">
      <c r="A2093" s="2" t="s">
        <v>5926</v>
      </c>
      <c r="B2093" s="2" t="s">
        <v>199</v>
      </c>
      <c r="C2093" s="8">
        <v>46250</v>
      </c>
      <c r="D2093" s="6">
        <v>46235</v>
      </c>
      <c r="E2093" s="2" t="s">
        <v>260</v>
      </c>
      <c r="F2093" s="2" t="s">
        <v>5927</v>
      </c>
      <c r="G2093" s="6">
        <v>46204</v>
      </c>
      <c r="H2093" s="2" t="s">
        <v>71</v>
      </c>
      <c r="I2093" s="2" t="s">
        <v>76</v>
      </c>
      <c r="J2093" s="9">
        <v>79773548.387097001</v>
      </c>
      <c r="K2093" s="7">
        <v>6.1500000000000004E-5</v>
      </c>
      <c r="L2093" s="9">
        <v>4906.07</v>
      </c>
      <c r="M2093" s="9">
        <v>4945.96</v>
      </c>
      <c r="N2093" s="9">
        <v>2.7</v>
      </c>
      <c r="O2093" s="10">
        <f>IF(AND(OR(H2093="APPROVED",H2093="SCHEDULED"),COUNTIFS(tblSource[EventID],F2093,tblSource[ReleaseStatus],"APPROVED")=1,COUNTIFS(Period_Status!$A$2:$A$8,G2093,Period_Status!$B$2:$B$8,"ActualClosed")=1,C2093&gt;EOMONTH(Settlement_Bridge!$C$2,0)),1,0)</f>
        <v>1</v>
      </c>
      <c r="P2093" s="2" t="s">
        <v>5928</v>
      </c>
    </row>
    <row r="2094" spans="1:16" x14ac:dyDescent="0.25">
      <c r="A2094" s="2" t="s">
        <v>5929</v>
      </c>
      <c r="B2094" s="2" t="s">
        <v>199</v>
      </c>
      <c r="C2094" s="8">
        <v>46251</v>
      </c>
      <c r="D2094" s="6">
        <v>46235</v>
      </c>
      <c r="E2094" s="2" t="s">
        <v>260</v>
      </c>
      <c r="F2094" s="2" t="s">
        <v>5930</v>
      </c>
      <c r="G2094" s="6">
        <v>46204</v>
      </c>
      <c r="H2094" s="2" t="s">
        <v>71</v>
      </c>
      <c r="I2094" s="2" t="s">
        <v>70</v>
      </c>
      <c r="J2094" s="9">
        <v>7778.1155019999997</v>
      </c>
      <c r="K2094" s="7">
        <v>0.65</v>
      </c>
      <c r="L2094" s="9">
        <v>5055.78</v>
      </c>
      <c r="M2094" s="9">
        <v>5118</v>
      </c>
      <c r="N2094" s="9">
        <v>2.78</v>
      </c>
      <c r="O2094" s="10">
        <f>IF(AND(OR(H2094="APPROVED",H2094="SCHEDULED"),COUNTIFS(tblSource[EventID],F2094,tblSource[ReleaseStatus],"APPROVED")=1,COUNTIFS(Period_Status!$A$2:$A$8,G2094,Period_Status!$B$2:$B$8,"ActualClosed")=1,C2094&gt;EOMONTH(Settlement_Bridge!$C$2,0)),1,0)</f>
        <v>1</v>
      </c>
      <c r="P2094" s="2" t="s">
        <v>5931</v>
      </c>
    </row>
    <row r="2095" spans="1:16" x14ac:dyDescent="0.25">
      <c r="A2095" s="2" t="s">
        <v>5932</v>
      </c>
      <c r="B2095" s="2" t="s">
        <v>199</v>
      </c>
      <c r="C2095" s="8">
        <v>46252</v>
      </c>
      <c r="D2095" s="6">
        <v>46235</v>
      </c>
      <c r="E2095" s="2" t="s">
        <v>260</v>
      </c>
      <c r="F2095" s="2" t="s">
        <v>5933</v>
      </c>
      <c r="G2095" s="6">
        <v>46204</v>
      </c>
      <c r="H2095" s="2" t="s">
        <v>71</v>
      </c>
      <c r="I2095" s="2" t="s">
        <v>39</v>
      </c>
      <c r="J2095" s="9">
        <v>5291.01</v>
      </c>
      <c r="K2095" s="7">
        <v>1</v>
      </c>
      <c r="L2095" s="9">
        <v>5291.01</v>
      </c>
      <c r="M2095" s="9">
        <v>5291.01</v>
      </c>
      <c r="N2095" s="9">
        <v>2.91</v>
      </c>
      <c r="O2095" s="10">
        <f>IF(AND(OR(H2095="APPROVED",H2095="SCHEDULED"),COUNTIFS(tblSource[EventID],F2095,tblSource[ReleaseStatus],"APPROVED")=1,COUNTIFS(Period_Status!$A$2:$A$8,G2095,Period_Status!$B$2:$B$8,"ActualClosed")=1,C2095&gt;EOMONTH(Settlement_Bridge!$C$2,0)),1,0)</f>
        <v>1</v>
      </c>
      <c r="P2095" s="2" t="s">
        <v>5934</v>
      </c>
    </row>
    <row r="2096" spans="1:16" x14ac:dyDescent="0.25">
      <c r="A2096" s="2" t="s">
        <v>5935</v>
      </c>
      <c r="B2096" s="2" t="s">
        <v>199</v>
      </c>
      <c r="C2096" s="8">
        <v>46243</v>
      </c>
      <c r="D2096" s="6">
        <v>46235</v>
      </c>
      <c r="E2096" s="2" t="s">
        <v>260</v>
      </c>
      <c r="F2096" s="2" t="s">
        <v>5936</v>
      </c>
      <c r="G2096" s="6">
        <v>46204</v>
      </c>
      <c r="H2096" s="2" t="s">
        <v>71</v>
      </c>
      <c r="I2096" s="2" t="s">
        <v>76</v>
      </c>
      <c r="J2096" s="9">
        <v>35251741.935484</v>
      </c>
      <c r="K2096" s="7">
        <v>6.1500000000000004E-5</v>
      </c>
      <c r="L2096" s="9">
        <v>2167.98</v>
      </c>
      <c r="M2096" s="9">
        <v>2185.61</v>
      </c>
      <c r="N2096" s="9">
        <v>1.8</v>
      </c>
      <c r="O2096" s="10">
        <f>IF(AND(OR(H2096="APPROVED",H2096="SCHEDULED"),COUNTIFS(tblSource[EventID],F2096,tblSource[ReleaseStatus],"APPROVED")=1,COUNTIFS(Period_Status!$A$2:$A$8,G2096,Period_Status!$B$2:$B$8,"ActualClosed")=1,C2096&gt;EOMONTH(Settlement_Bridge!$C$2,0)),1,0)</f>
        <v>1</v>
      </c>
      <c r="P2096" s="2" t="s">
        <v>5937</v>
      </c>
    </row>
    <row r="2097" spans="1:16" x14ac:dyDescent="0.25">
      <c r="A2097" s="2" t="s">
        <v>5938</v>
      </c>
      <c r="B2097" s="2" t="s">
        <v>199</v>
      </c>
      <c r="C2097" s="8">
        <v>46268</v>
      </c>
      <c r="D2097" s="6">
        <v>46266</v>
      </c>
      <c r="E2097" s="2" t="s">
        <v>260</v>
      </c>
      <c r="F2097" s="2" t="s">
        <v>5936</v>
      </c>
      <c r="G2097" s="6">
        <v>46204</v>
      </c>
      <c r="H2097" s="2" t="s">
        <v>176</v>
      </c>
      <c r="I2097" s="2" t="s">
        <v>76</v>
      </c>
      <c r="J2097" s="9">
        <v>52877612.903226003</v>
      </c>
      <c r="K2097" s="7">
        <v>6.1299999999999999E-5</v>
      </c>
      <c r="L2097" s="9">
        <v>3241.4</v>
      </c>
      <c r="M2097" s="9">
        <v>3278.41</v>
      </c>
      <c r="N2097" s="9">
        <v>1.8</v>
      </c>
      <c r="O2097" s="10">
        <f>IF(AND(OR(H2097="APPROVED",H2097="SCHEDULED"),COUNTIFS(tblSource[EventID],F2097,tblSource[ReleaseStatus],"APPROVED")=1,COUNTIFS(Period_Status!$A$2:$A$8,G2097,Period_Status!$B$2:$B$8,"ActualClosed")=1,C2097&gt;EOMONTH(Settlement_Bridge!$C$2,0)),1,0)</f>
        <v>1</v>
      </c>
      <c r="P2097" s="2" t="s">
        <v>5939</v>
      </c>
    </row>
    <row r="2098" spans="1:16" x14ac:dyDescent="0.25">
      <c r="A2098" s="2" t="s">
        <v>5940</v>
      </c>
      <c r="B2098" s="2" t="s">
        <v>199</v>
      </c>
      <c r="C2098" s="8">
        <v>46244</v>
      </c>
      <c r="D2098" s="6">
        <v>46235</v>
      </c>
      <c r="E2098" s="2" t="s">
        <v>260</v>
      </c>
      <c r="F2098" s="2" t="s">
        <v>5941</v>
      </c>
      <c r="G2098" s="6">
        <v>46204</v>
      </c>
      <c r="H2098" s="2" t="s">
        <v>71</v>
      </c>
      <c r="I2098" s="2" t="s">
        <v>70</v>
      </c>
      <c r="J2098" s="9">
        <v>3426.765958</v>
      </c>
      <c r="K2098" s="7">
        <v>0.65</v>
      </c>
      <c r="L2098" s="9">
        <v>2227.4</v>
      </c>
      <c r="M2098" s="9">
        <v>2254.81</v>
      </c>
      <c r="N2098" s="9">
        <v>1.8</v>
      </c>
      <c r="O2098" s="10">
        <f>IF(AND(OR(H2098="APPROVED",H2098="SCHEDULED"),COUNTIFS(tblSource[EventID],F2098,tblSource[ReleaseStatus],"APPROVED")=1,COUNTIFS(Period_Status!$A$2:$A$8,G2098,Period_Status!$B$2:$B$8,"ActualClosed")=1,C2098&gt;EOMONTH(Settlement_Bridge!$C$2,0)),1,0)</f>
        <v>1</v>
      </c>
      <c r="P2098" s="2" t="s">
        <v>5942</v>
      </c>
    </row>
    <row r="2099" spans="1:16" x14ac:dyDescent="0.25">
      <c r="A2099" s="2" t="s">
        <v>5943</v>
      </c>
      <c r="B2099" s="2" t="s">
        <v>199</v>
      </c>
      <c r="C2099" s="8">
        <v>46269</v>
      </c>
      <c r="D2099" s="6">
        <v>46266</v>
      </c>
      <c r="E2099" s="2" t="s">
        <v>260</v>
      </c>
      <c r="F2099" s="2" t="s">
        <v>5941</v>
      </c>
      <c r="G2099" s="6">
        <v>46204</v>
      </c>
      <c r="H2099" s="2" t="s">
        <v>176</v>
      </c>
      <c r="I2099" s="2" t="s">
        <v>70</v>
      </c>
      <c r="J2099" s="9">
        <v>5140.1489359999996</v>
      </c>
      <c r="K2099" s="7">
        <v>0.65100000000000002</v>
      </c>
      <c r="L2099" s="9">
        <v>3346.24</v>
      </c>
      <c r="M2099" s="9">
        <v>3382.22</v>
      </c>
      <c r="N2099" s="9">
        <v>1.84</v>
      </c>
      <c r="O2099" s="10">
        <f>IF(AND(OR(H2099="APPROVED",H2099="SCHEDULED"),COUNTIFS(tblSource[EventID],F2099,tblSource[ReleaseStatus],"APPROVED")=1,COUNTIFS(Period_Status!$A$2:$A$8,G2099,Period_Status!$B$2:$B$8,"ActualClosed")=1,C2099&gt;EOMONTH(Settlement_Bridge!$C$2,0)),1,0)</f>
        <v>1</v>
      </c>
      <c r="P2099" s="2" t="s">
        <v>5944</v>
      </c>
    </row>
    <row r="2100" spans="1:16" x14ac:dyDescent="0.25">
      <c r="A2100" s="2" t="s">
        <v>5945</v>
      </c>
      <c r="B2100" s="2" t="s">
        <v>199</v>
      </c>
      <c r="C2100" s="8">
        <v>46255</v>
      </c>
      <c r="D2100" s="6">
        <v>46235</v>
      </c>
      <c r="E2100" s="2" t="s">
        <v>260</v>
      </c>
      <c r="F2100" s="2" t="s">
        <v>5946</v>
      </c>
      <c r="G2100" s="6">
        <v>46204</v>
      </c>
      <c r="H2100" s="2" t="s">
        <v>71</v>
      </c>
      <c r="I2100" s="2" t="s">
        <v>39</v>
      </c>
      <c r="J2100" s="9">
        <v>5810.04</v>
      </c>
      <c r="K2100" s="7">
        <v>1</v>
      </c>
      <c r="L2100" s="9">
        <v>5810.04</v>
      </c>
      <c r="M2100" s="9">
        <v>5810.04</v>
      </c>
      <c r="N2100" s="9">
        <v>3.2</v>
      </c>
      <c r="O2100" s="10">
        <f>IF(AND(OR(H2100="APPROVED",H2100="SCHEDULED"),COUNTIFS(tblSource[EventID],F2100,tblSource[ReleaseStatus],"APPROVED")=1,COUNTIFS(Period_Status!$A$2:$A$8,G2100,Period_Status!$B$2:$B$8,"ActualClosed")=1,C2100&gt;EOMONTH(Settlement_Bridge!$C$2,0)),1,0)</f>
        <v>1</v>
      </c>
      <c r="P2100" s="2" t="s">
        <v>5947</v>
      </c>
    </row>
    <row r="2101" spans="1:16" x14ac:dyDescent="0.25">
      <c r="A2101" s="2" t="s">
        <v>5948</v>
      </c>
      <c r="B2101" s="2" t="s">
        <v>199</v>
      </c>
      <c r="C2101" s="8">
        <v>46256</v>
      </c>
      <c r="D2101" s="6">
        <v>46235</v>
      </c>
      <c r="E2101" s="2" t="s">
        <v>260</v>
      </c>
      <c r="F2101" s="2" t="s">
        <v>5949</v>
      </c>
      <c r="G2101" s="6">
        <v>46204</v>
      </c>
      <c r="H2101" s="2" t="s">
        <v>71</v>
      </c>
      <c r="I2101" s="2" t="s">
        <v>76</v>
      </c>
      <c r="J2101" s="9">
        <v>96500806.451612994</v>
      </c>
      <c r="K2101" s="7">
        <v>6.1500000000000004E-5</v>
      </c>
      <c r="L2101" s="9">
        <v>5934.8</v>
      </c>
      <c r="M2101" s="9">
        <v>5983.05</v>
      </c>
      <c r="N2101" s="9">
        <v>3.26</v>
      </c>
      <c r="O2101" s="10">
        <f>IF(AND(OR(H2101="APPROVED",H2101="SCHEDULED"),COUNTIFS(tblSource[EventID],F2101,tblSource[ReleaseStatus],"APPROVED")=1,COUNTIFS(Period_Status!$A$2:$A$8,G2101,Period_Status!$B$2:$B$8,"ActualClosed")=1,C2101&gt;EOMONTH(Settlement_Bridge!$C$2,0)),1,0)</f>
        <v>1</v>
      </c>
      <c r="P2101" s="2" t="s">
        <v>5950</v>
      </c>
    </row>
    <row r="2102" spans="1:16" x14ac:dyDescent="0.25">
      <c r="A2102" s="2" t="s">
        <v>5951</v>
      </c>
      <c r="B2102" s="2" t="s">
        <v>199</v>
      </c>
      <c r="C2102" s="8">
        <v>46247</v>
      </c>
      <c r="D2102" s="6">
        <v>46235</v>
      </c>
      <c r="E2102" s="2" t="s">
        <v>260</v>
      </c>
      <c r="F2102" s="2" t="s">
        <v>5952</v>
      </c>
      <c r="G2102" s="6">
        <v>46204</v>
      </c>
      <c r="H2102" s="2" t="s">
        <v>71</v>
      </c>
      <c r="I2102" s="2" t="s">
        <v>70</v>
      </c>
      <c r="J2102" s="9">
        <v>3742.2857140000001</v>
      </c>
      <c r="K2102" s="7">
        <v>0.65</v>
      </c>
      <c r="L2102" s="9">
        <v>2432.4899999999998</v>
      </c>
      <c r="M2102" s="9">
        <v>2462.42</v>
      </c>
      <c r="N2102" s="9">
        <v>1.8</v>
      </c>
      <c r="O2102" s="10">
        <f>IF(AND(OR(H2102="APPROVED",H2102="SCHEDULED"),COUNTIFS(tblSource[EventID],F2102,tblSource[ReleaseStatus],"APPROVED")=1,COUNTIFS(Period_Status!$A$2:$A$8,G2102,Period_Status!$B$2:$B$8,"ActualClosed")=1,C2102&gt;EOMONTH(Settlement_Bridge!$C$2,0)),1,0)</f>
        <v>1</v>
      </c>
      <c r="P2102" s="2" t="s">
        <v>5953</v>
      </c>
    </row>
    <row r="2103" spans="1:16" x14ac:dyDescent="0.25">
      <c r="A2103" s="2" t="s">
        <v>5954</v>
      </c>
      <c r="B2103" s="2" t="s">
        <v>199</v>
      </c>
      <c r="C2103" s="8">
        <v>46272</v>
      </c>
      <c r="D2103" s="6">
        <v>46266</v>
      </c>
      <c r="E2103" s="2" t="s">
        <v>260</v>
      </c>
      <c r="F2103" s="2" t="s">
        <v>5952</v>
      </c>
      <c r="G2103" s="6">
        <v>46204</v>
      </c>
      <c r="H2103" s="2" t="s">
        <v>176</v>
      </c>
      <c r="I2103" s="2" t="s">
        <v>70</v>
      </c>
      <c r="J2103" s="9">
        <v>5613.4285719999998</v>
      </c>
      <c r="K2103" s="7">
        <v>0.65100000000000002</v>
      </c>
      <c r="L2103" s="9">
        <v>3654.34</v>
      </c>
      <c r="M2103" s="9">
        <v>3693.64</v>
      </c>
      <c r="N2103" s="9">
        <v>2.0099999999999998</v>
      </c>
      <c r="O2103" s="10">
        <f>IF(AND(OR(H2103="APPROVED",H2103="SCHEDULED"),COUNTIFS(tblSource[EventID],F2103,tblSource[ReleaseStatus],"APPROVED")=1,COUNTIFS(Period_Status!$A$2:$A$8,G2103,Period_Status!$B$2:$B$8,"ActualClosed")=1,C2103&gt;EOMONTH(Settlement_Bridge!$C$2,0)),1,0)</f>
        <v>1</v>
      </c>
      <c r="P2103" s="2" t="s">
        <v>5955</v>
      </c>
    </row>
    <row r="2104" spans="1:16" x14ac:dyDescent="0.25">
      <c r="A2104" s="2" t="s">
        <v>5956</v>
      </c>
      <c r="B2104" s="2" t="s">
        <v>199</v>
      </c>
      <c r="C2104" s="8">
        <v>46258</v>
      </c>
      <c r="D2104" s="6">
        <v>46235</v>
      </c>
      <c r="E2104" s="2" t="s">
        <v>260</v>
      </c>
      <c r="F2104" s="2" t="s">
        <v>5957</v>
      </c>
      <c r="G2104" s="6">
        <v>46204</v>
      </c>
      <c r="H2104" s="2" t="s">
        <v>71</v>
      </c>
      <c r="I2104" s="2" t="s">
        <v>39</v>
      </c>
      <c r="J2104" s="9">
        <v>6329.07</v>
      </c>
      <c r="K2104" s="7">
        <v>1</v>
      </c>
      <c r="L2104" s="9">
        <v>6329.07</v>
      </c>
      <c r="M2104" s="9">
        <v>6329.07</v>
      </c>
      <c r="N2104" s="9">
        <v>3.48</v>
      </c>
      <c r="O2104" s="10">
        <f>IF(AND(OR(H2104="APPROVED",H2104="SCHEDULED"),COUNTIFS(tblSource[EventID],F2104,tblSource[ReleaseStatus],"APPROVED")=1,COUNTIFS(Period_Status!$A$2:$A$8,G2104,Period_Status!$B$2:$B$8,"ActualClosed")=1,C2104&gt;EOMONTH(Settlement_Bridge!$C$2,0)),1,0)</f>
        <v>1</v>
      </c>
      <c r="P2104" s="2" t="s">
        <v>5958</v>
      </c>
    </row>
    <row r="2105" spans="1:16" x14ac:dyDescent="0.25">
      <c r="A2105" s="2" t="s">
        <v>5959</v>
      </c>
      <c r="B2105" s="2" t="s">
        <v>199</v>
      </c>
      <c r="C2105" s="8">
        <v>46228</v>
      </c>
      <c r="D2105" s="6">
        <v>46204</v>
      </c>
      <c r="E2105" s="2" t="s">
        <v>260</v>
      </c>
      <c r="F2105" s="2" t="s">
        <v>5960</v>
      </c>
      <c r="G2105" s="6">
        <v>46204</v>
      </c>
      <c r="H2105" s="2" t="s">
        <v>71</v>
      </c>
      <c r="I2105" s="2" t="s">
        <v>76</v>
      </c>
      <c r="J2105" s="9">
        <v>104872258.06451599</v>
      </c>
      <c r="K2105" s="7">
        <v>6.2000000000000003E-5</v>
      </c>
      <c r="L2105" s="9">
        <v>6502.08</v>
      </c>
      <c r="M2105" s="9">
        <v>6502.08</v>
      </c>
      <c r="N2105" s="9">
        <v>3.58</v>
      </c>
      <c r="O2105" s="10">
        <f>IF(AND(OR(H2105="APPROVED",H2105="SCHEDULED"),COUNTIFS(tblSource[EventID],F2105,tblSource[ReleaseStatus],"APPROVED")=1,COUNTIFS(Period_Status!$A$2:$A$8,G2105,Period_Status!$B$2:$B$8,"ActualClosed")=1,C2105&gt;EOMONTH(Settlement_Bridge!$C$2,0)),1,0)</f>
        <v>0</v>
      </c>
      <c r="P2105" s="2" t="s">
        <v>5961</v>
      </c>
    </row>
    <row r="2106" spans="1:16" x14ac:dyDescent="0.25">
      <c r="A2106" s="2" t="s">
        <v>5962</v>
      </c>
      <c r="B2106" s="2" t="s">
        <v>199</v>
      </c>
      <c r="C2106" s="8">
        <v>46229</v>
      </c>
      <c r="D2106" s="6">
        <v>46204</v>
      </c>
      <c r="E2106" s="2" t="s">
        <v>260</v>
      </c>
      <c r="F2106" s="2" t="s">
        <v>5963</v>
      </c>
      <c r="G2106" s="6">
        <v>46204</v>
      </c>
      <c r="H2106" s="2" t="s">
        <v>71</v>
      </c>
      <c r="I2106" s="2" t="s">
        <v>70</v>
      </c>
      <c r="J2106" s="9">
        <v>10144.513677999999</v>
      </c>
      <c r="K2106" s="7">
        <v>0.65800000000000003</v>
      </c>
      <c r="L2106" s="9">
        <v>6675.09</v>
      </c>
      <c r="M2106" s="9">
        <v>6675.09</v>
      </c>
      <c r="N2106" s="9">
        <v>3.67</v>
      </c>
      <c r="O2106" s="10">
        <f>IF(AND(OR(H2106="APPROVED",H2106="SCHEDULED"),COUNTIFS(tblSource[EventID],F2106,tblSource[ReleaseStatus],"APPROVED")=1,COUNTIFS(Period_Status!$A$2:$A$8,G2106,Period_Status!$B$2:$B$8,"ActualClosed")=1,C2106&gt;EOMONTH(Settlement_Bridge!$C$2,0)),1,0)</f>
        <v>0</v>
      </c>
      <c r="P2106" s="2" t="s">
        <v>5964</v>
      </c>
    </row>
    <row r="2107" spans="1:16" x14ac:dyDescent="0.25">
      <c r="A2107" s="2" t="s">
        <v>5965</v>
      </c>
      <c r="B2107" s="2" t="s">
        <v>199</v>
      </c>
      <c r="C2107" s="8">
        <v>46230</v>
      </c>
      <c r="D2107" s="6">
        <v>46204</v>
      </c>
      <c r="E2107" s="2" t="s">
        <v>260</v>
      </c>
      <c r="F2107" s="2" t="s">
        <v>5966</v>
      </c>
      <c r="G2107" s="6">
        <v>46204</v>
      </c>
      <c r="H2107" s="2" t="s">
        <v>71</v>
      </c>
      <c r="I2107" s="2" t="s">
        <v>39</v>
      </c>
      <c r="J2107" s="9">
        <v>6848.1</v>
      </c>
      <c r="K2107" s="7">
        <v>1</v>
      </c>
      <c r="L2107" s="9">
        <v>6848.1</v>
      </c>
      <c r="M2107" s="9">
        <v>6848.1</v>
      </c>
      <c r="N2107" s="9">
        <v>3.77</v>
      </c>
      <c r="O2107" s="10">
        <f>IF(AND(OR(H2107="APPROVED",H2107="SCHEDULED"),COUNTIFS(tblSource[EventID],F2107,tblSource[ReleaseStatus],"APPROVED")=1,COUNTIFS(Period_Status!$A$2:$A$8,G2107,Period_Status!$B$2:$B$8,"ActualClosed")=1,C2107&gt;EOMONTH(Settlement_Bridge!$C$2,0)),1,0)</f>
        <v>0</v>
      </c>
      <c r="P2107" s="2" t="s">
        <v>5967</v>
      </c>
    </row>
    <row r="2108" spans="1:16" x14ac:dyDescent="0.25">
      <c r="A2108" s="2" t="s">
        <v>5968</v>
      </c>
      <c r="B2108" s="2" t="s">
        <v>199</v>
      </c>
      <c r="C2108" s="8">
        <v>46231</v>
      </c>
      <c r="D2108" s="6">
        <v>46204</v>
      </c>
      <c r="E2108" s="2" t="s">
        <v>260</v>
      </c>
      <c r="F2108" s="2" t="s">
        <v>5969</v>
      </c>
      <c r="G2108" s="6">
        <v>46204</v>
      </c>
      <c r="H2108" s="2" t="s">
        <v>71</v>
      </c>
      <c r="I2108" s="2" t="s">
        <v>76</v>
      </c>
      <c r="J2108" s="9">
        <v>113243709.67741901</v>
      </c>
      <c r="K2108" s="7">
        <v>6.2000000000000003E-5</v>
      </c>
      <c r="L2108" s="9">
        <v>7021.11</v>
      </c>
      <c r="M2108" s="9">
        <v>7021.11</v>
      </c>
      <c r="N2108" s="9">
        <v>3.86</v>
      </c>
      <c r="O2108" s="10">
        <f>IF(AND(OR(H2108="APPROVED",H2108="SCHEDULED"),COUNTIFS(tblSource[EventID],F2108,tblSource[ReleaseStatus],"APPROVED")=1,COUNTIFS(Period_Status!$A$2:$A$8,G2108,Period_Status!$B$2:$B$8,"ActualClosed")=1,C2108&gt;EOMONTH(Settlement_Bridge!$C$2,0)),1,0)</f>
        <v>0</v>
      </c>
      <c r="P2108" s="2" t="s">
        <v>5970</v>
      </c>
    </row>
    <row r="2109" spans="1:16" x14ac:dyDescent="0.25">
      <c r="A2109" s="2" t="s">
        <v>5971</v>
      </c>
      <c r="B2109" s="2" t="s">
        <v>199</v>
      </c>
      <c r="C2109" s="8">
        <v>46222</v>
      </c>
      <c r="D2109" s="6">
        <v>46204</v>
      </c>
      <c r="E2109" s="2" t="s">
        <v>260</v>
      </c>
      <c r="F2109" s="2" t="s">
        <v>5972</v>
      </c>
      <c r="G2109" s="6">
        <v>46204</v>
      </c>
      <c r="H2109" s="2" t="s">
        <v>71</v>
      </c>
      <c r="I2109" s="2" t="s">
        <v>70</v>
      </c>
      <c r="J2109" s="9">
        <v>4373.3252279999997</v>
      </c>
      <c r="K2109" s="7">
        <v>0.65800000000000003</v>
      </c>
      <c r="L2109" s="9">
        <v>2877.65</v>
      </c>
      <c r="M2109" s="9">
        <v>2877.65</v>
      </c>
      <c r="N2109" s="9">
        <v>1.8</v>
      </c>
      <c r="O2109" s="10">
        <f>IF(AND(OR(H2109="APPROVED",H2109="SCHEDULED"),COUNTIFS(tblSource[EventID],F2109,tblSource[ReleaseStatus],"APPROVED")=1,COUNTIFS(Period_Status!$A$2:$A$8,G2109,Period_Status!$B$2:$B$8,"ActualClosed")=1,C2109&gt;EOMONTH(Settlement_Bridge!$C$2,0)),1,0)</f>
        <v>0</v>
      </c>
      <c r="P2109" s="2" t="s">
        <v>5973</v>
      </c>
    </row>
    <row r="2110" spans="1:16" x14ac:dyDescent="0.25">
      <c r="A2110" s="2" t="s">
        <v>5974</v>
      </c>
      <c r="B2110" s="2" t="s">
        <v>199</v>
      </c>
      <c r="C2110" s="8">
        <v>46247</v>
      </c>
      <c r="D2110" s="6">
        <v>46235</v>
      </c>
      <c r="E2110" s="2" t="s">
        <v>260</v>
      </c>
      <c r="F2110" s="2" t="s">
        <v>5972</v>
      </c>
      <c r="G2110" s="6">
        <v>46204</v>
      </c>
      <c r="H2110" s="2" t="s">
        <v>71</v>
      </c>
      <c r="I2110" s="2" t="s">
        <v>70</v>
      </c>
      <c r="J2110" s="9">
        <v>6559.9878419999995</v>
      </c>
      <c r="K2110" s="7">
        <v>0.65</v>
      </c>
      <c r="L2110" s="9">
        <v>4263.99</v>
      </c>
      <c r="M2110" s="9">
        <v>4316.47</v>
      </c>
      <c r="N2110" s="9">
        <v>2.35</v>
      </c>
      <c r="O2110" s="10">
        <f>IF(AND(OR(H2110="APPROVED",H2110="SCHEDULED"),COUNTIFS(tblSource[EventID],F2110,tblSource[ReleaseStatus],"APPROVED")=1,COUNTIFS(Period_Status!$A$2:$A$8,G2110,Period_Status!$B$2:$B$8,"ActualClosed")=1,C2110&gt;EOMONTH(Settlement_Bridge!$C$2,0)),1,0)</f>
        <v>1</v>
      </c>
      <c r="P2110" s="2" t="s">
        <v>5975</v>
      </c>
    </row>
    <row r="2111" spans="1:16" x14ac:dyDescent="0.25">
      <c r="A2111" s="2" t="s">
        <v>5976</v>
      </c>
      <c r="B2111" s="2" t="s">
        <v>199</v>
      </c>
      <c r="C2111" s="8">
        <v>46223</v>
      </c>
      <c r="D2111" s="6">
        <v>46204</v>
      </c>
      <c r="E2111" s="2" t="s">
        <v>260</v>
      </c>
      <c r="F2111" s="2" t="s">
        <v>5977</v>
      </c>
      <c r="G2111" s="6">
        <v>46204</v>
      </c>
      <c r="H2111" s="2" t="s">
        <v>71</v>
      </c>
      <c r="I2111" s="2" t="s">
        <v>39</v>
      </c>
      <c r="J2111" s="9">
        <v>2946.8519999999999</v>
      </c>
      <c r="K2111" s="7">
        <v>1</v>
      </c>
      <c r="L2111" s="9">
        <v>2946.85</v>
      </c>
      <c r="M2111" s="9">
        <v>2946.85</v>
      </c>
      <c r="N2111" s="9">
        <v>1.8</v>
      </c>
      <c r="O2111" s="10">
        <f>IF(AND(OR(H2111="APPROVED",H2111="SCHEDULED"),COUNTIFS(tblSource[EventID],F2111,tblSource[ReleaseStatus],"APPROVED")=1,COUNTIFS(Period_Status!$A$2:$A$8,G2111,Period_Status!$B$2:$B$8,"ActualClosed")=1,C2111&gt;EOMONTH(Settlement_Bridge!$C$2,0)),1,0)</f>
        <v>0</v>
      </c>
      <c r="P2111" s="2" t="s">
        <v>5978</v>
      </c>
    </row>
    <row r="2112" spans="1:16" x14ac:dyDescent="0.25">
      <c r="A2112" s="2" t="s">
        <v>5979</v>
      </c>
      <c r="B2112" s="2" t="s">
        <v>199</v>
      </c>
      <c r="C2112" s="8">
        <v>46248</v>
      </c>
      <c r="D2112" s="6">
        <v>46235</v>
      </c>
      <c r="E2112" s="2" t="s">
        <v>260</v>
      </c>
      <c r="F2112" s="2" t="s">
        <v>5977</v>
      </c>
      <c r="G2112" s="6">
        <v>46204</v>
      </c>
      <c r="H2112" s="2" t="s">
        <v>71</v>
      </c>
      <c r="I2112" s="2" t="s">
        <v>39</v>
      </c>
      <c r="J2112" s="9">
        <v>4420.2780000000002</v>
      </c>
      <c r="K2112" s="7">
        <v>1</v>
      </c>
      <c r="L2112" s="9">
        <v>4420.28</v>
      </c>
      <c r="M2112" s="9">
        <v>4420.28</v>
      </c>
      <c r="N2112" s="9">
        <v>2.4300000000000002</v>
      </c>
      <c r="O2112" s="10">
        <f>IF(AND(OR(H2112="APPROVED",H2112="SCHEDULED"),COUNTIFS(tblSource[EventID],F2112,tblSource[ReleaseStatus],"APPROVED")=1,COUNTIFS(Period_Status!$A$2:$A$8,G2112,Period_Status!$B$2:$B$8,"ActualClosed")=1,C2112&gt;EOMONTH(Settlement_Bridge!$C$2,0)),1,0)</f>
        <v>1</v>
      </c>
      <c r="P2112" s="2" t="s">
        <v>5980</v>
      </c>
    </row>
    <row r="2113" spans="1:16" x14ac:dyDescent="0.25">
      <c r="A2113" s="2" t="s">
        <v>5981</v>
      </c>
      <c r="B2113" s="2" t="s">
        <v>199</v>
      </c>
      <c r="C2113" s="8">
        <v>46234</v>
      </c>
      <c r="D2113" s="6">
        <v>46204</v>
      </c>
      <c r="E2113" s="2" t="s">
        <v>260</v>
      </c>
      <c r="F2113" s="2" t="s">
        <v>5982</v>
      </c>
      <c r="G2113" s="6">
        <v>46204</v>
      </c>
      <c r="H2113" s="2" t="s">
        <v>71</v>
      </c>
      <c r="I2113" s="2" t="s">
        <v>76</v>
      </c>
      <c r="J2113" s="9">
        <v>121615161.290323</v>
      </c>
      <c r="K2113" s="7">
        <v>6.2000000000000003E-5</v>
      </c>
      <c r="L2113" s="9">
        <v>7540.14</v>
      </c>
      <c r="M2113" s="9">
        <v>7540.14</v>
      </c>
      <c r="N2113" s="9">
        <v>4.1500000000000004</v>
      </c>
      <c r="O2113" s="10">
        <f>IF(AND(OR(H2113="APPROVED",H2113="SCHEDULED"),COUNTIFS(tblSource[EventID],F2113,tblSource[ReleaseStatus],"APPROVED")=1,COUNTIFS(Period_Status!$A$2:$A$8,G2113,Period_Status!$B$2:$B$8,"ActualClosed")=1,C2113&gt;EOMONTH(Settlement_Bridge!$C$2,0)),1,0)</f>
        <v>0</v>
      </c>
      <c r="P2113" s="2" t="s">
        <v>5983</v>
      </c>
    </row>
    <row r="2114" spans="1:16" x14ac:dyDescent="0.25">
      <c r="A2114" s="2" t="s">
        <v>5984</v>
      </c>
      <c r="B2114" s="2" t="s">
        <v>199</v>
      </c>
      <c r="C2114" s="8">
        <v>46235</v>
      </c>
      <c r="D2114" s="6">
        <v>46235</v>
      </c>
      <c r="E2114" s="2" t="s">
        <v>260</v>
      </c>
      <c r="F2114" s="2" t="s">
        <v>5985</v>
      </c>
      <c r="G2114" s="6">
        <v>46204</v>
      </c>
      <c r="H2114" s="2" t="s">
        <v>71</v>
      </c>
      <c r="I2114" s="2" t="s">
        <v>70</v>
      </c>
      <c r="J2114" s="9">
        <v>11722.112461999999</v>
      </c>
      <c r="K2114" s="7">
        <v>0.65</v>
      </c>
      <c r="L2114" s="9">
        <v>7619.37</v>
      </c>
      <c r="M2114" s="9">
        <v>7713.15</v>
      </c>
      <c r="N2114" s="9">
        <v>4.1900000000000004</v>
      </c>
      <c r="O2114" s="10">
        <f>IF(AND(OR(H2114="APPROVED",H2114="SCHEDULED"),COUNTIFS(tblSource[EventID],F2114,tblSource[ReleaseStatus],"APPROVED")=1,COUNTIFS(Period_Status!$A$2:$A$8,G2114,Period_Status!$B$2:$B$8,"ActualClosed")=1,C2114&gt;EOMONTH(Settlement_Bridge!$C$2,0)),1,0)</f>
        <v>1</v>
      </c>
      <c r="P2114" s="2" t="s">
        <v>5986</v>
      </c>
    </row>
    <row r="2115" spans="1:16" x14ac:dyDescent="0.25">
      <c r="A2115" s="2" t="s">
        <v>5987</v>
      </c>
      <c r="B2115" s="2" t="s">
        <v>199</v>
      </c>
      <c r="C2115" s="8">
        <v>46226</v>
      </c>
      <c r="D2115" s="6">
        <v>46204</v>
      </c>
      <c r="E2115" s="2" t="s">
        <v>260</v>
      </c>
      <c r="F2115" s="2" t="s">
        <v>5988</v>
      </c>
      <c r="G2115" s="6">
        <v>46204</v>
      </c>
      <c r="H2115" s="2" t="s">
        <v>71</v>
      </c>
      <c r="I2115" s="2" t="s">
        <v>39</v>
      </c>
      <c r="J2115" s="9">
        <v>3154.4639999999999</v>
      </c>
      <c r="K2115" s="7">
        <v>1</v>
      </c>
      <c r="L2115" s="9">
        <v>3154.46</v>
      </c>
      <c r="M2115" s="9">
        <v>3154.46</v>
      </c>
      <c r="N2115" s="9">
        <v>1.8</v>
      </c>
      <c r="O2115" s="10">
        <f>IF(AND(OR(H2115="APPROVED",H2115="SCHEDULED"),COUNTIFS(tblSource[EventID],F2115,tblSource[ReleaseStatus],"APPROVED")=1,COUNTIFS(Period_Status!$A$2:$A$8,G2115,Period_Status!$B$2:$B$8,"ActualClosed")=1,C2115&gt;EOMONTH(Settlement_Bridge!$C$2,0)),1,0)</f>
        <v>0</v>
      </c>
      <c r="P2115" s="2" t="s">
        <v>5989</v>
      </c>
    </row>
    <row r="2116" spans="1:16" x14ac:dyDescent="0.25">
      <c r="A2116" s="2" t="s">
        <v>5990</v>
      </c>
      <c r="B2116" s="2" t="s">
        <v>199</v>
      </c>
      <c r="C2116" s="8">
        <v>46251</v>
      </c>
      <c r="D2116" s="6">
        <v>46235</v>
      </c>
      <c r="E2116" s="2" t="s">
        <v>260</v>
      </c>
      <c r="F2116" s="2" t="s">
        <v>5988</v>
      </c>
      <c r="G2116" s="6">
        <v>46204</v>
      </c>
      <c r="H2116" s="2" t="s">
        <v>71</v>
      </c>
      <c r="I2116" s="2" t="s">
        <v>39</v>
      </c>
      <c r="J2116" s="9">
        <v>4731.6959999999999</v>
      </c>
      <c r="K2116" s="7">
        <v>1</v>
      </c>
      <c r="L2116" s="9">
        <v>4731.7</v>
      </c>
      <c r="M2116" s="9">
        <v>4731.7</v>
      </c>
      <c r="N2116" s="9">
        <v>2.6</v>
      </c>
      <c r="O2116" s="10">
        <f>IF(AND(OR(H2116="APPROVED",H2116="SCHEDULED"),COUNTIFS(tblSource[EventID],F2116,tblSource[ReleaseStatus],"APPROVED")=1,COUNTIFS(Period_Status!$A$2:$A$8,G2116,Period_Status!$B$2:$B$8,"ActualClosed")=1,C2116&gt;EOMONTH(Settlement_Bridge!$C$2,0)),1,0)</f>
        <v>1</v>
      </c>
      <c r="P2116" s="2" t="s">
        <v>5991</v>
      </c>
    </row>
    <row r="2117" spans="1:16" x14ac:dyDescent="0.25">
      <c r="A2117" s="2" t="s">
        <v>5992</v>
      </c>
      <c r="B2117" s="2" t="s">
        <v>199</v>
      </c>
      <c r="C2117" s="8">
        <v>46237</v>
      </c>
      <c r="D2117" s="6">
        <v>46235</v>
      </c>
      <c r="E2117" s="2" t="s">
        <v>260</v>
      </c>
      <c r="F2117" s="2" t="s">
        <v>5993</v>
      </c>
      <c r="G2117" s="6">
        <v>46204</v>
      </c>
      <c r="H2117" s="2" t="s">
        <v>71</v>
      </c>
      <c r="I2117" s="2" t="s">
        <v>76</v>
      </c>
      <c r="J2117" s="9">
        <v>129986612.903226</v>
      </c>
      <c r="K2117" s="7">
        <v>6.1500000000000004E-5</v>
      </c>
      <c r="L2117" s="9">
        <v>7994.18</v>
      </c>
      <c r="M2117" s="9">
        <v>8059.17</v>
      </c>
      <c r="N2117" s="9">
        <v>4.4000000000000004</v>
      </c>
      <c r="O2117" s="10">
        <f>IF(AND(OR(H2117="APPROVED",H2117="SCHEDULED"),COUNTIFS(tblSource[EventID],F2117,tblSource[ReleaseStatus],"APPROVED")=1,COUNTIFS(Period_Status!$A$2:$A$8,G2117,Period_Status!$B$2:$B$8,"ActualClosed")=1,C2117&gt;EOMONTH(Settlement_Bridge!$C$2,0)),1,0)</f>
        <v>1</v>
      </c>
      <c r="P2117" s="2" t="s">
        <v>5994</v>
      </c>
    </row>
    <row r="2118" spans="1:16" x14ac:dyDescent="0.25">
      <c r="A2118" s="2" t="s">
        <v>5995</v>
      </c>
      <c r="B2118" s="2" t="s">
        <v>199</v>
      </c>
      <c r="C2118" s="8">
        <v>46238</v>
      </c>
      <c r="D2118" s="6">
        <v>46235</v>
      </c>
      <c r="E2118" s="2" t="s">
        <v>260</v>
      </c>
      <c r="F2118" s="2" t="s">
        <v>5996</v>
      </c>
      <c r="G2118" s="6">
        <v>46204</v>
      </c>
      <c r="H2118" s="2" t="s">
        <v>71</v>
      </c>
      <c r="I2118" s="2" t="s">
        <v>70</v>
      </c>
      <c r="J2118" s="9">
        <v>12510.911854</v>
      </c>
      <c r="K2118" s="7">
        <v>0.65</v>
      </c>
      <c r="L2118" s="9">
        <v>8132.09</v>
      </c>
      <c r="M2118" s="9">
        <v>8232.18</v>
      </c>
      <c r="N2118" s="9">
        <v>4.47</v>
      </c>
      <c r="O2118" s="10">
        <f>IF(AND(OR(H2118="APPROVED",H2118="SCHEDULED"),COUNTIFS(tblSource[EventID],F2118,tblSource[ReleaseStatus],"APPROVED")=1,COUNTIFS(Period_Status!$A$2:$A$8,G2118,Period_Status!$B$2:$B$8,"ActualClosed")=1,C2118&gt;EOMONTH(Settlement_Bridge!$C$2,0)),1,0)</f>
        <v>1</v>
      </c>
      <c r="P2118" s="2" t="s">
        <v>5997</v>
      </c>
    </row>
    <row r="2119" spans="1:16" x14ac:dyDescent="0.25">
      <c r="A2119" s="2" t="s">
        <v>5998</v>
      </c>
      <c r="B2119" s="2" t="s">
        <v>199</v>
      </c>
      <c r="C2119" s="8">
        <v>46239</v>
      </c>
      <c r="D2119" s="6">
        <v>46235</v>
      </c>
      <c r="E2119" s="2" t="s">
        <v>260</v>
      </c>
      <c r="F2119" s="2" t="s">
        <v>5999</v>
      </c>
      <c r="G2119" s="6">
        <v>46204</v>
      </c>
      <c r="H2119" s="2" t="s">
        <v>71</v>
      </c>
      <c r="I2119" s="2" t="s">
        <v>39</v>
      </c>
      <c r="J2119" s="9">
        <v>8405.19</v>
      </c>
      <c r="K2119" s="7">
        <v>1</v>
      </c>
      <c r="L2119" s="9">
        <v>8405.19</v>
      </c>
      <c r="M2119" s="9">
        <v>8405.19</v>
      </c>
      <c r="N2119" s="9">
        <v>4.62</v>
      </c>
      <c r="O2119" s="10">
        <f>IF(AND(OR(H2119="APPROVED",H2119="SCHEDULED"),COUNTIFS(tblSource[EventID],F2119,tblSource[ReleaseStatus],"APPROVED")=1,COUNTIFS(Period_Status!$A$2:$A$8,G2119,Period_Status!$B$2:$B$8,"ActualClosed")=1,C2119&gt;EOMONTH(Settlement_Bridge!$C$2,0)),1,0)</f>
        <v>1</v>
      </c>
      <c r="P2119" s="2" t="s">
        <v>6000</v>
      </c>
    </row>
    <row r="2120" spans="1:16" x14ac:dyDescent="0.25">
      <c r="A2120" s="2" t="s">
        <v>6001</v>
      </c>
      <c r="B2120" s="2" t="s">
        <v>199</v>
      </c>
      <c r="C2120" s="8">
        <v>46240</v>
      </c>
      <c r="D2120" s="6">
        <v>46235</v>
      </c>
      <c r="E2120" s="2" t="s">
        <v>260</v>
      </c>
      <c r="F2120" s="2" t="s">
        <v>6002</v>
      </c>
      <c r="G2120" s="6">
        <v>46204</v>
      </c>
      <c r="H2120" s="2" t="s">
        <v>71</v>
      </c>
      <c r="I2120" s="2" t="s">
        <v>76</v>
      </c>
      <c r="J2120" s="9">
        <v>138358064.51612899</v>
      </c>
      <c r="K2120" s="7">
        <v>6.1500000000000004E-5</v>
      </c>
      <c r="L2120" s="9">
        <v>8509.02</v>
      </c>
      <c r="M2120" s="9">
        <v>8578.2000000000007</v>
      </c>
      <c r="N2120" s="9">
        <v>4.68</v>
      </c>
      <c r="O2120" s="10">
        <f>IF(AND(OR(H2120="APPROVED",H2120="SCHEDULED"),COUNTIFS(tblSource[EventID],F2120,tblSource[ReleaseStatus],"APPROVED")=1,COUNTIFS(Period_Status!$A$2:$A$8,G2120,Period_Status!$B$2:$B$8,"ActualClosed")=1,C2120&gt;EOMONTH(Settlement_Bridge!$C$2,0)),1,0)</f>
        <v>1</v>
      </c>
      <c r="P2120" s="2" t="s">
        <v>6003</v>
      </c>
    </row>
    <row r="2121" spans="1:16" x14ac:dyDescent="0.25">
      <c r="A2121" s="2" t="s">
        <v>6004</v>
      </c>
      <c r="B2121" s="2" t="s">
        <v>199</v>
      </c>
      <c r="C2121" s="8">
        <v>46241</v>
      </c>
      <c r="D2121" s="6">
        <v>46235</v>
      </c>
      <c r="E2121" s="2" t="s">
        <v>260</v>
      </c>
      <c r="F2121" s="2" t="s">
        <v>6005</v>
      </c>
      <c r="G2121" s="6">
        <v>46204</v>
      </c>
      <c r="H2121" s="2" t="s">
        <v>71</v>
      </c>
      <c r="I2121" s="2" t="s">
        <v>70</v>
      </c>
      <c r="J2121" s="9">
        <v>13299.711246000001</v>
      </c>
      <c r="K2121" s="7">
        <v>0.65</v>
      </c>
      <c r="L2121" s="9">
        <v>8644.81</v>
      </c>
      <c r="M2121" s="9">
        <v>8751.2099999999991</v>
      </c>
      <c r="N2121" s="9">
        <v>4.75</v>
      </c>
      <c r="O2121" s="10">
        <f>IF(AND(OR(H2121="APPROVED",H2121="SCHEDULED"),COUNTIFS(tblSource[EventID],F2121,tblSource[ReleaseStatus],"APPROVED")=1,COUNTIFS(Period_Status!$A$2:$A$8,G2121,Period_Status!$B$2:$B$8,"ActualClosed")=1,C2121&gt;EOMONTH(Settlement_Bridge!$C$2,0)),1,0)</f>
        <v>1</v>
      </c>
      <c r="P2121" s="2" t="s">
        <v>6006</v>
      </c>
    </row>
    <row r="2122" spans="1:16" x14ac:dyDescent="0.25">
      <c r="A2122" s="2" t="s">
        <v>6007</v>
      </c>
      <c r="B2122" s="2" t="s">
        <v>199</v>
      </c>
      <c r="C2122" s="8">
        <v>46232</v>
      </c>
      <c r="D2122" s="6">
        <v>46204</v>
      </c>
      <c r="E2122" s="2" t="s">
        <v>260</v>
      </c>
      <c r="F2122" s="2" t="s">
        <v>6008</v>
      </c>
      <c r="G2122" s="6">
        <v>46204</v>
      </c>
      <c r="H2122" s="2" t="s">
        <v>71</v>
      </c>
      <c r="I2122" s="2" t="s">
        <v>39</v>
      </c>
      <c r="J2122" s="9">
        <v>3569.6880000000001</v>
      </c>
      <c r="K2122" s="7">
        <v>1</v>
      </c>
      <c r="L2122" s="9">
        <v>3569.69</v>
      </c>
      <c r="M2122" s="9">
        <v>3569.69</v>
      </c>
      <c r="N2122" s="9">
        <v>1.96</v>
      </c>
      <c r="O2122" s="10">
        <f>IF(AND(OR(H2122="APPROVED",H2122="SCHEDULED"),COUNTIFS(tblSource[EventID],F2122,tblSource[ReleaseStatus],"APPROVED")=1,COUNTIFS(Period_Status!$A$2:$A$8,G2122,Period_Status!$B$2:$B$8,"ActualClosed")=1,C2122&gt;EOMONTH(Settlement_Bridge!$C$2,0)),1,0)</f>
        <v>0</v>
      </c>
      <c r="P2122" s="2" t="s">
        <v>6009</v>
      </c>
    </row>
    <row r="2123" spans="1:16" x14ac:dyDescent="0.25">
      <c r="A2123" s="2" t="s">
        <v>6010</v>
      </c>
      <c r="B2123" s="2" t="s">
        <v>199</v>
      </c>
      <c r="C2123" s="8">
        <v>46257</v>
      </c>
      <c r="D2123" s="6">
        <v>46235</v>
      </c>
      <c r="E2123" s="2" t="s">
        <v>260</v>
      </c>
      <c r="F2123" s="2" t="s">
        <v>6008</v>
      </c>
      <c r="G2123" s="6">
        <v>46204</v>
      </c>
      <c r="H2123" s="2" t="s">
        <v>71</v>
      </c>
      <c r="I2123" s="2" t="s">
        <v>39</v>
      </c>
      <c r="J2123" s="9">
        <v>5354.5320000000002</v>
      </c>
      <c r="K2123" s="7">
        <v>1</v>
      </c>
      <c r="L2123" s="9">
        <v>5354.53</v>
      </c>
      <c r="M2123" s="9">
        <v>5354.53</v>
      </c>
      <c r="N2123" s="9">
        <v>2.94</v>
      </c>
      <c r="O2123" s="10">
        <f>IF(AND(OR(H2123="APPROVED",H2123="SCHEDULED"),COUNTIFS(tblSource[EventID],F2123,tblSource[ReleaseStatus],"APPROVED")=1,COUNTIFS(Period_Status!$A$2:$A$8,G2123,Period_Status!$B$2:$B$8,"ActualClosed")=1,C2123&gt;EOMONTH(Settlement_Bridge!$C$2,0)),1,0)</f>
        <v>1</v>
      </c>
      <c r="P2123" s="2" t="s">
        <v>6011</v>
      </c>
    </row>
    <row r="2124" spans="1:16" x14ac:dyDescent="0.25">
      <c r="A2124" s="2" t="s">
        <v>6012</v>
      </c>
      <c r="B2124" s="2" t="s">
        <v>199</v>
      </c>
      <c r="C2124" s="8">
        <v>46233</v>
      </c>
      <c r="D2124" s="6">
        <v>46204</v>
      </c>
      <c r="E2124" s="2" t="s">
        <v>260</v>
      </c>
      <c r="F2124" s="2" t="s">
        <v>6013</v>
      </c>
      <c r="G2124" s="6">
        <v>46204</v>
      </c>
      <c r="H2124" s="2" t="s">
        <v>71</v>
      </c>
      <c r="I2124" s="2" t="s">
        <v>76</v>
      </c>
      <c r="J2124" s="9">
        <v>58691806.451613002</v>
      </c>
      <c r="K2124" s="7">
        <v>6.2000000000000003E-5</v>
      </c>
      <c r="L2124" s="9">
        <v>3638.89</v>
      </c>
      <c r="M2124" s="9">
        <v>3638.89</v>
      </c>
      <c r="N2124" s="9">
        <v>2</v>
      </c>
      <c r="O2124" s="10">
        <f>IF(AND(OR(H2124="APPROVED",H2124="SCHEDULED"),COUNTIFS(tblSource[EventID],F2124,tblSource[ReleaseStatus],"APPROVED")=1,COUNTIFS(Period_Status!$A$2:$A$8,G2124,Period_Status!$B$2:$B$8,"ActualClosed")=1,C2124&gt;EOMONTH(Settlement_Bridge!$C$2,0)),1,0)</f>
        <v>0</v>
      </c>
      <c r="P2124" s="2" t="s">
        <v>6014</v>
      </c>
    </row>
    <row r="2125" spans="1:16" x14ac:dyDescent="0.25">
      <c r="A2125" s="2" t="s">
        <v>6015</v>
      </c>
      <c r="B2125" s="2" t="s">
        <v>199</v>
      </c>
      <c r="C2125" s="8">
        <v>46258</v>
      </c>
      <c r="D2125" s="6">
        <v>46235</v>
      </c>
      <c r="E2125" s="2" t="s">
        <v>260</v>
      </c>
      <c r="F2125" s="2" t="s">
        <v>6013</v>
      </c>
      <c r="G2125" s="6">
        <v>46204</v>
      </c>
      <c r="H2125" s="2" t="s">
        <v>71</v>
      </c>
      <c r="I2125" s="2" t="s">
        <v>76</v>
      </c>
      <c r="J2125" s="9">
        <v>88037709.677419007</v>
      </c>
      <c r="K2125" s="7">
        <v>6.1500000000000004E-5</v>
      </c>
      <c r="L2125" s="9">
        <v>5414.32</v>
      </c>
      <c r="M2125" s="9">
        <v>5458.34</v>
      </c>
      <c r="N2125" s="9">
        <v>2.98</v>
      </c>
      <c r="O2125" s="10">
        <f>IF(AND(OR(H2125="APPROVED",H2125="SCHEDULED"),COUNTIFS(tblSource[EventID],F2125,tblSource[ReleaseStatus],"APPROVED")=1,COUNTIFS(Period_Status!$A$2:$A$8,G2125,Period_Status!$B$2:$B$8,"ActualClosed")=1,C2125&gt;EOMONTH(Settlement_Bridge!$C$2,0)),1,0)</f>
        <v>1</v>
      </c>
      <c r="P2125" s="2" t="s">
        <v>6016</v>
      </c>
    </row>
    <row r="2126" spans="1:16" x14ac:dyDescent="0.25">
      <c r="A2126" s="2" t="s">
        <v>6017</v>
      </c>
      <c r="B2126" s="2" t="s">
        <v>199</v>
      </c>
      <c r="C2126" s="8">
        <v>46244</v>
      </c>
      <c r="D2126" s="6">
        <v>46235</v>
      </c>
      <c r="E2126" s="2" t="s">
        <v>260</v>
      </c>
      <c r="F2126" s="2" t="s">
        <v>6018</v>
      </c>
      <c r="G2126" s="6">
        <v>46204</v>
      </c>
      <c r="H2126" s="2" t="s">
        <v>71</v>
      </c>
      <c r="I2126" s="2" t="s">
        <v>70</v>
      </c>
      <c r="J2126" s="9">
        <v>14088.510638</v>
      </c>
      <c r="K2126" s="7">
        <v>0.65</v>
      </c>
      <c r="L2126" s="9">
        <v>9157.5300000000007</v>
      </c>
      <c r="M2126" s="9">
        <v>9270.24</v>
      </c>
      <c r="N2126" s="9">
        <v>5.04</v>
      </c>
      <c r="O2126" s="10">
        <f>IF(AND(OR(H2126="APPROVED",H2126="SCHEDULED"),COUNTIFS(tblSource[EventID],F2126,tblSource[ReleaseStatus],"APPROVED")=1,COUNTIFS(Period_Status!$A$2:$A$8,G2126,Period_Status!$B$2:$B$8,"ActualClosed")=1,C2126&gt;EOMONTH(Settlement_Bridge!$C$2,0)),1,0)</f>
        <v>1</v>
      </c>
      <c r="P2126" s="2" t="s">
        <v>6019</v>
      </c>
    </row>
    <row r="2127" spans="1:16" x14ac:dyDescent="0.25">
      <c r="A2127" s="2" t="s">
        <v>6020</v>
      </c>
      <c r="B2127" s="2" t="s">
        <v>199</v>
      </c>
      <c r="C2127" s="8">
        <v>46245</v>
      </c>
      <c r="D2127" s="6">
        <v>46235</v>
      </c>
      <c r="E2127" s="2" t="s">
        <v>260</v>
      </c>
      <c r="F2127" s="2" t="s">
        <v>6021</v>
      </c>
      <c r="G2127" s="6">
        <v>46204</v>
      </c>
      <c r="H2127" s="2" t="s">
        <v>71</v>
      </c>
      <c r="I2127" s="2" t="s">
        <v>39</v>
      </c>
      <c r="J2127" s="9">
        <v>9443.25</v>
      </c>
      <c r="K2127" s="7">
        <v>1</v>
      </c>
      <c r="L2127" s="9">
        <v>9443.25</v>
      </c>
      <c r="M2127" s="9">
        <v>9443.25</v>
      </c>
      <c r="N2127" s="9">
        <v>5.19</v>
      </c>
      <c r="O2127" s="10">
        <f>IF(AND(OR(H2127="APPROVED",H2127="SCHEDULED"),COUNTIFS(tblSource[EventID],F2127,tblSource[ReleaseStatus],"APPROVED")=1,COUNTIFS(Period_Status!$A$2:$A$8,G2127,Period_Status!$B$2:$B$8,"ActualClosed")=1,C2127&gt;EOMONTH(Settlement_Bridge!$C$2,0)),1,0)</f>
        <v>1</v>
      </c>
      <c r="P2127" s="2" t="s">
        <v>6022</v>
      </c>
    </row>
    <row r="2128" spans="1:16" x14ac:dyDescent="0.25">
      <c r="A2128" s="2" t="s">
        <v>6023</v>
      </c>
      <c r="B2128" s="2" t="s">
        <v>199</v>
      </c>
      <c r="C2128" s="8">
        <v>46236</v>
      </c>
      <c r="D2128" s="6">
        <v>46235</v>
      </c>
      <c r="E2128" s="2" t="s">
        <v>260</v>
      </c>
      <c r="F2128" s="2" t="s">
        <v>6024</v>
      </c>
      <c r="G2128" s="6">
        <v>46204</v>
      </c>
      <c r="H2128" s="2" t="s">
        <v>71</v>
      </c>
      <c r="I2128" s="2" t="s">
        <v>76</v>
      </c>
      <c r="J2128" s="9">
        <v>62040387.096773997</v>
      </c>
      <c r="K2128" s="7">
        <v>6.1500000000000004E-5</v>
      </c>
      <c r="L2128" s="9">
        <v>3815.48</v>
      </c>
      <c r="M2128" s="9">
        <v>3846.5</v>
      </c>
      <c r="N2128" s="9">
        <v>2.1</v>
      </c>
      <c r="O2128" s="10">
        <f>IF(AND(OR(H2128="APPROVED",H2128="SCHEDULED"),COUNTIFS(tblSource[EventID],F2128,tblSource[ReleaseStatus],"APPROVED")=1,COUNTIFS(Period_Status!$A$2:$A$8,G2128,Period_Status!$B$2:$B$8,"ActualClosed")=1,C2128&gt;EOMONTH(Settlement_Bridge!$C$2,0)),1,0)</f>
        <v>1</v>
      </c>
      <c r="P2128" s="2" t="s">
        <v>6025</v>
      </c>
    </row>
    <row r="2129" spans="1:16" x14ac:dyDescent="0.25">
      <c r="A2129" s="2" t="s">
        <v>6026</v>
      </c>
      <c r="B2129" s="2" t="s">
        <v>199</v>
      </c>
      <c r="C2129" s="8">
        <v>46261</v>
      </c>
      <c r="D2129" s="6">
        <v>46235</v>
      </c>
      <c r="E2129" s="2" t="s">
        <v>260</v>
      </c>
      <c r="F2129" s="2" t="s">
        <v>6024</v>
      </c>
      <c r="G2129" s="6">
        <v>46204</v>
      </c>
      <c r="H2129" s="2" t="s">
        <v>71</v>
      </c>
      <c r="I2129" s="2" t="s">
        <v>76</v>
      </c>
      <c r="J2129" s="9">
        <v>93060580.645161003</v>
      </c>
      <c r="K2129" s="7">
        <v>6.1500000000000004E-5</v>
      </c>
      <c r="L2129" s="9">
        <v>5723.23</v>
      </c>
      <c r="M2129" s="9">
        <v>5769.76</v>
      </c>
      <c r="N2129" s="9">
        <v>3.15</v>
      </c>
      <c r="O2129" s="10">
        <f>IF(AND(OR(H2129="APPROVED",H2129="SCHEDULED"),COUNTIFS(tblSource[EventID],F2129,tblSource[ReleaseStatus],"APPROVED")=1,COUNTIFS(Period_Status!$A$2:$A$8,G2129,Period_Status!$B$2:$B$8,"ActualClosed")=1,C2129&gt;EOMONTH(Settlement_Bridge!$C$2,0)),1,0)</f>
        <v>1</v>
      </c>
      <c r="P2129" s="2" t="s">
        <v>6027</v>
      </c>
    </row>
    <row r="2130" spans="1:16" x14ac:dyDescent="0.25">
      <c r="A2130" s="2" t="s">
        <v>6028</v>
      </c>
      <c r="B2130" s="2" t="s">
        <v>199</v>
      </c>
      <c r="C2130" s="8">
        <v>46247</v>
      </c>
      <c r="D2130" s="6">
        <v>46235</v>
      </c>
      <c r="E2130" s="2" t="s">
        <v>260</v>
      </c>
      <c r="F2130" s="2" t="s">
        <v>6029</v>
      </c>
      <c r="G2130" s="6">
        <v>46204</v>
      </c>
      <c r="H2130" s="2" t="s">
        <v>71</v>
      </c>
      <c r="I2130" s="2" t="s">
        <v>70</v>
      </c>
      <c r="J2130" s="9">
        <v>14877.310030000001</v>
      </c>
      <c r="K2130" s="7">
        <v>0.65</v>
      </c>
      <c r="L2130" s="9">
        <v>9670.25</v>
      </c>
      <c r="M2130" s="9">
        <v>9789.27</v>
      </c>
      <c r="N2130" s="9">
        <v>5.32</v>
      </c>
      <c r="O2130" s="10">
        <f>IF(AND(OR(H2130="APPROVED",H2130="SCHEDULED"),COUNTIFS(tblSource[EventID],F2130,tblSource[ReleaseStatus],"APPROVED")=1,COUNTIFS(Period_Status!$A$2:$A$8,G2130,Period_Status!$B$2:$B$8,"ActualClosed")=1,C2130&gt;EOMONTH(Settlement_Bridge!$C$2,0)),1,0)</f>
        <v>1</v>
      </c>
      <c r="P2130" s="2" t="s">
        <v>6030</v>
      </c>
    </row>
    <row r="2131" spans="1:16" x14ac:dyDescent="0.25">
      <c r="A2131" s="2" t="s">
        <v>6031</v>
      </c>
      <c r="B2131" s="2" t="s">
        <v>199</v>
      </c>
      <c r="C2131" s="8">
        <v>46248</v>
      </c>
      <c r="D2131" s="6">
        <v>46235</v>
      </c>
      <c r="E2131" s="2" t="s">
        <v>260</v>
      </c>
      <c r="F2131" s="2" t="s">
        <v>6032</v>
      </c>
      <c r="G2131" s="6">
        <v>46204</v>
      </c>
      <c r="H2131" s="2" t="s">
        <v>71</v>
      </c>
      <c r="I2131" s="2" t="s">
        <v>39</v>
      </c>
      <c r="J2131" s="9">
        <v>9962.2800000000007</v>
      </c>
      <c r="K2131" s="7">
        <v>1</v>
      </c>
      <c r="L2131" s="9">
        <v>9962.2800000000007</v>
      </c>
      <c r="M2131" s="9">
        <v>9962.2800000000007</v>
      </c>
      <c r="N2131" s="9">
        <v>5.48</v>
      </c>
      <c r="O2131" s="10">
        <f>IF(AND(OR(H2131="APPROVED",H2131="SCHEDULED"),COUNTIFS(tblSource[EventID],F2131,tblSource[ReleaseStatus],"APPROVED")=1,COUNTIFS(Period_Status!$A$2:$A$8,G2131,Period_Status!$B$2:$B$8,"ActualClosed")=1,C2131&gt;EOMONTH(Settlement_Bridge!$C$2,0)),1,0)</f>
        <v>1</v>
      </c>
      <c r="P2131" s="2" t="s">
        <v>6033</v>
      </c>
    </row>
    <row r="2132" spans="1:16" x14ac:dyDescent="0.25">
      <c r="A2132" s="2" t="s">
        <v>6034</v>
      </c>
      <c r="B2132" s="2" t="s">
        <v>199</v>
      </c>
      <c r="C2132" s="8">
        <v>46249</v>
      </c>
      <c r="D2132" s="6">
        <v>46235</v>
      </c>
      <c r="E2132" s="2" t="s">
        <v>260</v>
      </c>
      <c r="F2132" s="2" t="s">
        <v>6035</v>
      </c>
      <c r="G2132" s="6">
        <v>46204</v>
      </c>
      <c r="H2132" s="2" t="s">
        <v>71</v>
      </c>
      <c r="I2132" s="2" t="s">
        <v>76</v>
      </c>
      <c r="J2132" s="9">
        <v>163472419.354839</v>
      </c>
      <c r="K2132" s="7">
        <v>6.1500000000000004E-5</v>
      </c>
      <c r="L2132" s="9">
        <v>10053.549999999999</v>
      </c>
      <c r="M2132" s="9">
        <v>10135.290000000001</v>
      </c>
      <c r="N2132" s="9">
        <v>5.53</v>
      </c>
      <c r="O2132" s="10">
        <f>IF(AND(OR(H2132="APPROVED",H2132="SCHEDULED"),COUNTIFS(tblSource[EventID],F2132,tblSource[ReleaseStatus],"APPROVED")=1,COUNTIFS(Period_Status!$A$2:$A$8,G2132,Period_Status!$B$2:$B$8,"ActualClosed")=1,C2132&gt;EOMONTH(Settlement_Bridge!$C$2,0)),1,0)</f>
        <v>1</v>
      </c>
      <c r="P2132" s="2" t="s">
        <v>6036</v>
      </c>
    </row>
    <row r="2133" spans="1:16" x14ac:dyDescent="0.25">
      <c r="A2133" s="2" t="s">
        <v>6037</v>
      </c>
      <c r="B2133" s="2" t="s">
        <v>199</v>
      </c>
      <c r="C2133" s="8">
        <v>46250</v>
      </c>
      <c r="D2133" s="6">
        <v>46235</v>
      </c>
      <c r="E2133" s="2" t="s">
        <v>260</v>
      </c>
      <c r="F2133" s="2" t="s">
        <v>6038</v>
      </c>
      <c r="G2133" s="6">
        <v>46204</v>
      </c>
      <c r="H2133" s="2" t="s">
        <v>71</v>
      </c>
      <c r="I2133" s="2" t="s">
        <v>70</v>
      </c>
      <c r="J2133" s="9">
        <v>15666.109422</v>
      </c>
      <c r="K2133" s="7">
        <v>0.65</v>
      </c>
      <c r="L2133" s="9">
        <v>10182.969999999999</v>
      </c>
      <c r="M2133" s="9">
        <v>10308.299999999999</v>
      </c>
      <c r="N2133" s="9">
        <v>5.6</v>
      </c>
      <c r="O2133" s="10">
        <f>IF(AND(OR(H2133="APPROVED",H2133="SCHEDULED"),COUNTIFS(tblSource[EventID],F2133,tblSource[ReleaseStatus],"APPROVED")=1,COUNTIFS(Period_Status!$A$2:$A$8,G2133,Period_Status!$B$2:$B$8,"ActualClosed")=1,C2133&gt;EOMONTH(Settlement_Bridge!$C$2,0)),1,0)</f>
        <v>1</v>
      </c>
      <c r="P2133" s="2" t="s">
        <v>6039</v>
      </c>
    </row>
    <row r="2134" spans="1:16" x14ac:dyDescent="0.25">
      <c r="A2134" s="2" t="s">
        <v>6040</v>
      </c>
      <c r="B2134" s="2" t="s">
        <v>199</v>
      </c>
      <c r="C2134" s="8">
        <v>46251</v>
      </c>
      <c r="D2134" s="6">
        <v>46235</v>
      </c>
      <c r="E2134" s="2" t="s">
        <v>260</v>
      </c>
      <c r="F2134" s="2" t="s">
        <v>6041</v>
      </c>
      <c r="G2134" s="6">
        <v>46204</v>
      </c>
      <c r="H2134" s="2" t="s">
        <v>71</v>
      </c>
      <c r="I2134" s="2" t="s">
        <v>39</v>
      </c>
      <c r="J2134" s="9">
        <v>10481.31</v>
      </c>
      <c r="K2134" s="7">
        <v>1</v>
      </c>
      <c r="L2134" s="9">
        <v>10481.31</v>
      </c>
      <c r="M2134" s="9">
        <v>10481.31</v>
      </c>
      <c r="N2134" s="9">
        <v>5.76</v>
      </c>
      <c r="O2134" s="10">
        <f>IF(AND(OR(H2134="APPROVED",H2134="SCHEDULED"),COUNTIFS(tblSource[EventID],F2134,tblSource[ReleaseStatus],"APPROVED")=1,COUNTIFS(Period_Status!$A$2:$A$8,G2134,Period_Status!$B$2:$B$8,"ActualClosed")=1,C2134&gt;EOMONTH(Settlement_Bridge!$C$2,0)),1,0)</f>
        <v>1</v>
      </c>
      <c r="P2134" s="2" t="s">
        <v>6042</v>
      </c>
    </row>
    <row r="2135" spans="1:16" x14ac:dyDescent="0.25">
      <c r="A2135" s="2" t="s">
        <v>6043</v>
      </c>
      <c r="B2135" s="2" t="s">
        <v>199</v>
      </c>
      <c r="C2135" s="8">
        <v>46242</v>
      </c>
      <c r="D2135" s="6">
        <v>46235</v>
      </c>
      <c r="E2135" s="2" t="s">
        <v>260</v>
      </c>
      <c r="F2135" s="2" t="s">
        <v>6044</v>
      </c>
      <c r="G2135" s="6">
        <v>46204</v>
      </c>
      <c r="H2135" s="2" t="s">
        <v>71</v>
      </c>
      <c r="I2135" s="2" t="s">
        <v>76</v>
      </c>
      <c r="J2135" s="9">
        <v>68737548.387097001</v>
      </c>
      <c r="K2135" s="7">
        <v>6.1500000000000004E-5</v>
      </c>
      <c r="L2135" s="9">
        <v>4227.3599999999997</v>
      </c>
      <c r="M2135" s="9">
        <v>4261.7299999999996</v>
      </c>
      <c r="N2135" s="9">
        <v>2.33</v>
      </c>
      <c r="O2135" s="10">
        <f>IF(AND(OR(H2135="APPROVED",H2135="SCHEDULED"),COUNTIFS(tblSource[EventID],F2135,tblSource[ReleaseStatus],"APPROVED")=1,COUNTIFS(Period_Status!$A$2:$A$8,G2135,Period_Status!$B$2:$B$8,"ActualClosed")=1,C2135&gt;EOMONTH(Settlement_Bridge!$C$2,0)),1,0)</f>
        <v>1</v>
      </c>
      <c r="P2135" s="2" t="s">
        <v>6045</v>
      </c>
    </row>
    <row r="2136" spans="1:16" x14ac:dyDescent="0.25">
      <c r="A2136" s="2" t="s">
        <v>6046</v>
      </c>
      <c r="B2136" s="2" t="s">
        <v>199</v>
      </c>
      <c r="C2136" s="8">
        <v>46267</v>
      </c>
      <c r="D2136" s="6">
        <v>46266</v>
      </c>
      <c r="E2136" s="2" t="s">
        <v>260</v>
      </c>
      <c r="F2136" s="2" t="s">
        <v>6044</v>
      </c>
      <c r="G2136" s="6">
        <v>46204</v>
      </c>
      <c r="H2136" s="2" t="s">
        <v>176</v>
      </c>
      <c r="I2136" s="2" t="s">
        <v>76</v>
      </c>
      <c r="J2136" s="9">
        <v>103106322.58064499</v>
      </c>
      <c r="K2136" s="7">
        <v>6.1299999999999999E-5</v>
      </c>
      <c r="L2136" s="9">
        <v>6320.42</v>
      </c>
      <c r="M2136" s="9">
        <v>6392.59</v>
      </c>
      <c r="N2136" s="9">
        <v>3.48</v>
      </c>
      <c r="O2136" s="10">
        <f>IF(AND(OR(H2136="APPROVED",H2136="SCHEDULED"),COUNTIFS(tblSource[EventID],F2136,tblSource[ReleaseStatus],"APPROVED")=1,COUNTIFS(Period_Status!$A$2:$A$8,G2136,Period_Status!$B$2:$B$8,"ActualClosed")=1,C2136&gt;EOMONTH(Settlement_Bridge!$C$2,0)),1,0)</f>
        <v>1</v>
      </c>
      <c r="P2136" s="2" t="s">
        <v>6047</v>
      </c>
    </row>
    <row r="2137" spans="1:16" x14ac:dyDescent="0.25">
      <c r="A2137" s="2" t="s">
        <v>6048</v>
      </c>
      <c r="B2137" s="2" t="s">
        <v>199</v>
      </c>
      <c r="C2137" s="8">
        <v>46243</v>
      </c>
      <c r="D2137" s="6">
        <v>46235</v>
      </c>
      <c r="E2137" s="2" t="s">
        <v>260</v>
      </c>
      <c r="F2137" s="2" t="s">
        <v>6049</v>
      </c>
      <c r="G2137" s="6">
        <v>46204</v>
      </c>
      <c r="H2137" s="2" t="s">
        <v>71</v>
      </c>
      <c r="I2137" s="2" t="s">
        <v>70</v>
      </c>
      <c r="J2137" s="9">
        <v>-16454.908814999999</v>
      </c>
      <c r="K2137" s="7">
        <v>0.65</v>
      </c>
      <c r="L2137" s="9">
        <v>-10695.69</v>
      </c>
      <c r="M2137" s="9">
        <v>-10827.33</v>
      </c>
      <c r="N2137" s="9">
        <v>0</v>
      </c>
      <c r="O2137" s="10">
        <f>IF(AND(OR(H2137="APPROVED",H2137="SCHEDULED"),COUNTIFS(tblSource[EventID],F2137,tblSource[ReleaseStatus],"APPROVED")=1,COUNTIFS(Period_Status!$A$2:$A$8,G2137,Period_Status!$B$2:$B$8,"ActualClosed")=1,C2137&gt;EOMONTH(Settlement_Bridge!$C$2,0)),1,0)</f>
        <v>1</v>
      </c>
      <c r="P2137" s="2" t="s">
        <v>6050</v>
      </c>
    </row>
    <row r="2138" spans="1:16" x14ac:dyDescent="0.25">
      <c r="A2138" s="2" t="s">
        <v>6051</v>
      </c>
      <c r="B2138" s="2" t="s">
        <v>199</v>
      </c>
      <c r="C2138" s="8">
        <v>46254</v>
      </c>
      <c r="D2138" s="6">
        <v>46235</v>
      </c>
      <c r="E2138" s="2" t="s">
        <v>260</v>
      </c>
      <c r="F2138" s="2" t="s">
        <v>6052</v>
      </c>
      <c r="G2138" s="6">
        <v>46204</v>
      </c>
      <c r="H2138" s="2" t="s">
        <v>71</v>
      </c>
      <c r="I2138" s="2" t="s">
        <v>39</v>
      </c>
      <c r="J2138" s="9">
        <v>11000.34</v>
      </c>
      <c r="K2138" s="7">
        <v>1</v>
      </c>
      <c r="L2138" s="9">
        <v>11000.34</v>
      </c>
      <c r="M2138" s="9">
        <v>11000.34</v>
      </c>
      <c r="N2138" s="9">
        <v>6.05</v>
      </c>
      <c r="O2138" s="10">
        <f>IF(AND(OR(H2138="APPROVED",H2138="SCHEDULED"),COUNTIFS(tblSource[EventID],F2138,tblSource[ReleaseStatus],"APPROVED")=1,COUNTIFS(Period_Status!$A$2:$A$8,G2138,Period_Status!$B$2:$B$8,"ActualClosed")=1,C2138&gt;EOMONTH(Settlement_Bridge!$C$2,0)),1,0)</f>
        <v>1</v>
      </c>
      <c r="P2138" s="2" t="s">
        <v>6053</v>
      </c>
    </row>
    <row r="2139" spans="1:16" x14ac:dyDescent="0.25">
      <c r="A2139" s="2" t="s">
        <v>6054</v>
      </c>
      <c r="B2139" s="2" t="s">
        <v>199</v>
      </c>
      <c r="C2139" s="8">
        <v>46255</v>
      </c>
      <c r="D2139" s="6">
        <v>46235</v>
      </c>
      <c r="E2139" s="2" t="s">
        <v>260</v>
      </c>
      <c r="F2139" s="2" t="s">
        <v>6055</v>
      </c>
      <c r="G2139" s="6">
        <v>46204</v>
      </c>
      <c r="H2139" s="2" t="s">
        <v>71</v>
      </c>
      <c r="I2139" s="2" t="s">
        <v>76</v>
      </c>
      <c r="J2139" s="9">
        <v>180215322.58064499</v>
      </c>
      <c r="K2139" s="7">
        <v>6.1500000000000004E-5</v>
      </c>
      <c r="L2139" s="9">
        <v>11083.24</v>
      </c>
      <c r="M2139" s="9">
        <v>11173.35</v>
      </c>
      <c r="N2139" s="9">
        <v>6.1</v>
      </c>
      <c r="O2139" s="10">
        <f>IF(AND(OR(H2139="APPROVED",H2139="SCHEDULED"),COUNTIFS(tblSource[EventID],F2139,tblSource[ReleaseStatus],"APPROVED")=1,COUNTIFS(Period_Status!$A$2:$A$8,G2139,Period_Status!$B$2:$B$8,"ActualClosed")=1,C2139&gt;EOMONTH(Settlement_Bridge!$C$2,0)),1,0)</f>
        <v>1</v>
      </c>
      <c r="P2139" s="2" t="s">
        <v>6056</v>
      </c>
    </row>
    <row r="2140" spans="1:16" x14ac:dyDescent="0.25">
      <c r="A2140" s="2" t="s">
        <v>6057</v>
      </c>
      <c r="B2140" s="2" t="s">
        <v>199</v>
      </c>
      <c r="C2140" s="8">
        <v>46246</v>
      </c>
      <c r="D2140" s="6">
        <v>46235</v>
      </c>
      <c r="E2140" s="2" t="s">
        <v>260</v>
      </c>
      <c r="F2140" s="2" t="s">
        <v>6058</v>
      </c>
      <c r="G2140" s="6">
        <v>46204</v>
      </c>
      <c r="H2140" s="2" t="s">
        <v>71</v>
      </c>
      <c r="I2140" s="2" t="s">
        <v>70</v>
      </c>
      <c r="J2140" s="9">
        <v>6897.4832829999996</v>
      </c>
      <c r="K2140" s="7">
        <v>0.65</v>
      </c>
      <c r="L2140" s="9">
        <v>4483.3599999999997</v>
      </c>
      <c r="M2140" s="9">
        <v>4538.54</v>
      </c>
      <c r="N2140" s="9">
        <v>2.4700000000000002</v>
      </c>
      <c r="O2140" s="10">
        <f>IF(AND(OR(H2140="APPROVED",H2140="SCHEDULED"),COUNTIFS(tblSource[EventID],F2140,tblSource[ReleaseStatus],"APPROVED")=1,COUNTIFS(Period_Status!$A$2:$A$8,G2140,Period_Status!$B$2:$B$8,"ActualClosed")=1,C2140&gt;EOMONTH(Settlement_Bridge!$C$2,0)),1,0)</f>
        <v>1</v>
      </c>
      <c r="P2140" s="2" t="s">
        <v>6059</v>
      </c>
    </row>
    <row r="2141" spans="1:16" x14ac:dyDescent="0.25">
      <c r="A2141" s="2" t="s">
        <v>6060</v>
      </c>
      <c r="B2141" s="2" t="s">
        <v>199</v>
      </c>
      <c r="C2141" s="8">
        <v>46271</v>
      </c>
      <c r="D2141" s="6">
        <v>46266</v>
      </c>
      <c r="E2141" s="2" t="s">
        <v>260</v>
      </c>
      <c r="F2141" s="2" t="s">
        <v>6058</v>
      </c>
      <c r="G2141" s="6">
        <v>46204</v>
      </c>
      <c r="H2141" s="2" t="s">
        <v>176</v>
      </c>
      <c r="I2141" s="2" t="s">
        <v>70</v>
      </c>
      <c r="J2141" s="9">
        <v>10346.224924</v>
      </c>
      <c r="K2141" s="7">
        <v>0.65100000000000002</v>
      </c>
      <c r="L2141" s="9">
        <v>6735.39</v>
      </c>
      <c r="M2141" s="9">
        <v>6807.82</v>
      </c>
      <c r="N2141" s="9">
        <v>3.7</v>
      </c>
      <c r="O2141" s="10">
        <f>IF(AND(OR(H2141="APPROVED",H2141="SCHEDULED"),COUNTIFS(tblSource[EventID],F2141,tblSource[ReleaseStatus],"APPROVED")=1,COUNTIFS(Period_Status!$A$2:$A$8,G2141,Period_Status!$B$2:$B$8,"ActualClosed")=1,C2141&gt;EOMONTH(Settlement_Bridge!$C$2,0)),1,0)</f>
        <v>1</v>
      </c>
      <c r="P2141" s="2" t="s">
        <v>6061</v>
      </c>
    </row>
    <row r="2142" spans="1:16" x14ac:dyDescent="0.25">
      <c r="A2142" s="2" t="s">
        <v>6062</v>
      </c>
      <c r="B2142" s="2" t="s">
        <v>199</v>
      </c>
      <c r="C2142" s="8">
        <v>46257</v>
      </c>
      <c r="D2142" s="6">
        <v>46235</v>
      </c>
      <c r="E2142" s="2" t="s">
        <v>260</v>
      </c>
      <c r="F2142" s="2" t="s">
        <v>6063</v>
      </c>
      <c r="G2142" s="6">
        <v>46204</v>
      </c>
      <c r="H2142" s="2" t="s">
        <v>71</v>
      </c>
      <c r="I2142" s="2" t="s">
        <v>39</v>
      </c>
      <c r="J2142" s="9">
        <v>11519.37</v>
      </c>
      <c r="K2142" s="7">
        <v>1</v>
      </c>
      <c r="L2142" s="9">
        <v>11519.37</v>
      </c>
      <c r="M2142" s="9">
        <v>11519.37</v>
      </c>
      <c r="N2142" s="9">
        <v>6.34</v>
      </c>
      <c r="O2142" s="10">
        <f>IF(AND(OR(H2142="APPROVED",H2142="SCHEDULED"),COUNTIFS(tblSource[EventID],F2142,tblSource[ReleaseStatus],"APPROVED")=1,COUNTIFS(Period_Status!$A$2:$A$8,G2142,Period_Status!$B$2:$B$8,"ActualClosed")=1,C2142&gt;EOMONTH(Settlement_Bridge!$C$2,0)),1,0)</f>
        <v>1</v>
      </c>
      <c r="P2142" s="2" t="s">
        <v>6064</v>
      </c>
    </row>
    <row r="2143" spans="1:16" x14ac:dyDescent="0.25">
      <c r="A2143" s="2" t="s">
        <v>6065</v>
      </c>
      <c r="B2143" s="2" t="s">
        <v>199</v>
      </c>
      <c r="C2143" s="8">
        <v>46258</v>
      </c>
      <c r="D2143" s="6">
        <v>46235</v>
      </c>
      <c r="E2143" s="2" t="s">
        <v>260</v>
      </c>
      <c r="F2143" s="2" t="s">
        <v>6066</v>
      </c>
      <c r="G2143" s="6">
        <v>46204</v>
      </c>
      <c r="H2143" s="2" t="s">
        <v>71</v>
      </c>
      <c r="I2143" s="2" t="s">
        <v>76</v>
      </c>
      <c r="J2143" s="9">
        <v>188586774.19354799</v>
      </c>
      <c r="K2143" s="7">
        <v>6.1500000000000004E-5</v>
      </c>
      <c r="L2143" s="9">
        <v>11598.09</v>
      </c>
      <c r="M2143" s="9">
        <v>11692.38</v>
      </c>
      <c r="N2143" s="9">
        <v>6.38</v>
      </c>
      <c r="O2143" s="10">
        <f>IF(AND(OR(H2143="APPROVED",H2143="SCHEDULED"),COUNTIFS(tblSource[EventID],F2143,tblSource[ReleaseStatus],"APPROVED")=1,COUNTIFS(Period_Status!$A$2:$A$8,G2143,Period_Status!$B$2:$B$8,"ActualClosed")=1,C2143&gt;EOMONTH(Settlement_Bridge!$C$2,0)),1,0)</f>
        <v>1</v>
      </c>
      <c r="P2143" s="2" t="s">
        <v>6067</v>
      </c>
    </row>
    <row r="2144" spans="1:16" x14ac:dyDescent="0.25">
      <c r="A2144" s="2" t="s">
        <v>6068</v>
      </c>
      <c r="B2144" s="2" t="s">
        <v>199</v>
      </c>
      <c r="C2144" s="8">
        <v>46228</v>
      </c>
      <c r="D2144" s="6">
        <v>46204</v>
      </c>
      <c r="E2144" s="2" t="s">
        <v>260</v>
      </c>
      <c r="F2144" s="2" t="s">
        <v>6069</v>
      </c>
      <c r="G2144" s="6">
        <v>46204</v>
      </c>
      <c r="H2144" s="2" t="s">
        <v>71</v>
      </c>
      <c r="I2144" s="2" t="s">
        <v>70</v>
      </c>
      <c r="J2144" s="9">
        <v>18032.507599</v>
      </c>
      <c r="K2144" s="7">
        <v>0.65800000000000003</v>
      </c>
      <c r="L2144" s="9">
        <v>11865.39</v>
      </c>
      <c r="M2144" s="9">
        <v>11865.39</v>
      </c>
      <c r="N2144" s="9">
        <v>6.53</v>
      </c>
      <c r="O2144" s="10">
        <f>IF(AND(OR(H2144="APPROVED",H2144="SCHEDULED"),COUNTIFS(tblSource[EventID],F2144,tblSource[ReleaseStatus],"APPROVED")=1,COUNTIFS(Period_Status!$A$2:$A$8,G2144,Period_Status!$B$2:$B$8,"ActualClosed")=1,C2144&gt;EOMONTH(Settlement_Bridge!$C$2,0)),1,0)</f>
        <v>0</v>
      </c>
      <c r="P2144" s="2" t="s">
        <v>6070</v>
      </c>
    </row>
    <row r="2145" spans="1:16" x14ac:dyDescent="0.25">
      <c r="A2145" s="2" t="s">
        <v>6071</v>
      </c>
      <c r="B2145" s="2" t="s">
        <v>199</v>
      </c>
      <c r="C2145" s="8">
        <v>46229</v>
      </c>
      <c r="D2145" s="6">
        <v>46204</v>
      </c>
      <c r="E2145" s="2" t="s">
        <v>260</v>
      </c>
      <c r="F2145" s="2" t="s">
        <v>6072</v>
      </c>
      <c r="G2145" s="6">
        <v>46204</v>
      </c>
      <c r="H2145" s="2" t="s">
        <v>71</v>
      </c>
      <c r="I2145" s="2" t="s">
        <v>39</v>
      </c>
      <c r="J2145" s="9">
        <v>12038.4</v>
      </c>
      <c r="K2145" s="7">
        <v>1</v>
      </c>
      <c r="L2145" s="9">
        <v>12038.4</v>
      </c>
      <c r="M2145" s="9">
        <v>12038.4</v>
      </c>
      <c r="N2145" s="9">
        <v>6.62</v>
      </c>
      <c r="O2145" s="10">
        <f>IF(AND(OR(H2145="APPROVED",H2145="SCHEDULED"),COUNTIFS(tblSource[EventID],F2145,tblSource[ReleaseStatus],"APPROVED")=1,COUNTIFS(Period_Status!$A$2:$A$8,G2145,Period_Status!$B$2:$B$8,"ActualClosed")=1,C2145&gt;EOMONTH(Settlement_Bridge!$C$2,0)),1,0)</f>
        <v>0</v>
      </c>
      <c r="P2145" s="2" t="s">
        <v>6073</v>
      </c>
    </row>
    <row r="2146" spans="1:16" x14ac:dyDescent="0.25">
      <c r="A2146" s="2" t="s">
        <v>6074</v>
      </c>
      <c r="B2146" s="2" t="s">
        <v>199</v>
      </c>
      <c r="C2146" s="8">
        <v>46230</v>
      </c>
      <c r="D2146" s="6">
        <v>46204</v>
      </c>
      <c r="E2146" s="2" t="s">
        <v>260</v>
      </c>
      <c r="F2146" s="2" t="s">
        <v>6075</v>
      </c>
      <c r="G2146" s="6">
        <v>46204</v>
      </c>
      <c r="H2146" s="2" t="s">
        <v>71</v>
      </c>
      <c r="I2146" s="2" t="s">
        <v>76</v>
      </c>
      <c r="J2146" s="9">
        <v>196958225.80645201</v>
      </c>
      <c r="K2146" s="7">
        <v>6.2000000000000003E-5</v>
      </c>
      <c r="L2146" s="9">
        <v>12211.41</v>
      </c>
      <c r="M2146" s="9">
        <v>12211.41</v>
      </c>
      <c r="N2146" s="9">
        <v>6.72</v>
      </c>
      <c r="O2146" s="10">
        <f>IF(AND(OR(H2146="APPROVED",H2146="SCHEDULED"),COUNTIFS(tblSource[EventID],F2146,tblSource[ReleaseStatus],"APPROVED")=1,COUNTIFS(Period_Status!$A$2:$A$8,G2146,Period_Status!$B$2:$B$8,"ActualClosed")=1,C2146&gt;EOMONTH(Settlement_Bridge!$C$2,0)),1,0)</f>
        <v>0</v>
      </c>
      <c r="P2146" s="2" t="s">
        <v>6076</v>
      </c>
    </row>
    <row r="2147" spans="1:16" x14ac:dyDescent="0.25">
      <c r="A2147" s="2" t="s">
        <v>6077</v>
      </c>
      <c r="B2147" s="2" t="s">
        <v>199</v>
      </c>
      <c r="C2147" s="8">
        <v>46221</v>
      </c>
      <c r="D2147" s="6">
        <v>46204</v>
      </c>
      <c r="E2147" s="2" t="s">
        <v>260</v>
      </c>
      <c r="F2147" s="2" t="s">
        <v>6078</v>
      </c>
      <c r="G2147" s="6">
        <v>46204</v>
      </c>
      <c r="H2147" s="2" t="s">
        <v>71</v>
      </c>
      <c r="I2147" s="2" t="s">
        <v>70</v>
      </c>
      <c r="J2147" s="9">
        <v>7528.5227960000002</v>
      </c>
      <c r="K2147" s="7">
        <v>0.65800000000000003</v>
      </c>
      <c r="L2147" s="9">
        <v>4953.7700000000004</v>
      </c>
      <c r="M2147" s="9">
        <v>4953.7700000000004</v>
      </c>
      <c r="N2147" s="9">
        <v>2.72</v>
      </c>
      <c r="O2147" s="10">
        <f>IF(AND(OR(H2147="APPROVED",H2147="SCHEDULED"),COUNTIFS(tblSource[EventID],F2147,tblSource[ReleaseStatus],"APPROVED")=1,COUNTIFS(Period_Status!$A$2:$A$8,G2147,Period_Status!$B$2:$B$8,"ActualClosed")=1,C2147&gt;EOMONTH(Settlement_Bridge!$C$2,0)),1,0)</f>
        <v>0</v>
      </c>
      <c r="P2147" s="2" t="s">
        <v>6079</v>
      </c>
    </row>
    <row r="2148" spans="1:16" x14ac:dyDescent="0.25">
      <c r="A2148" s="2" t="s">
        <v>6080</v>
      </c>
      <c r="B2148" s="2" t="s">
        <v>199</v>
      </c>
      <c r="C2148" s="8">
        <v>46246</v>
      </c>
      <c r="D2148" s="6">
        <v>46235</v>
      </c>
      <c r="E2148" s="2" t="s">
        <v>260</v>
      </c>
      <c r="F2148" s="2" t="s">
        <v>6078</v>
      </c>
      <c r="G2148" s="6">
        <v>46204</v>
      </c>
      <c r="H2148" s="2" t="s">
        <v>71</v>
      </c>
      <c r="I2148" s="2" t="s">
        <v>70</v>
      </c>
      <c r="J2148" s="9">
        <v>11292.784195</v>
      </c>
      <c r="K2148" s="7">
        <v>0.65</v>
      </c>
      <c r="L2148" s="9">
        <v>7340.31</v>
      </c>
      <c r="M2148" s="9">
        <v>7430.65</v>
      </c>
      <c r="N2148" s="9">
        <v>4.04</v>
      </c>
      <c r="O2148" s="10">
        <f>IF(AND(OR(H2148="APPROVED",H2148="SCHEDULED"),COUNTIFS(tblSource[EventID],F2148,tblSource[ReleaseStatus],"APPROVED")=1,COUNTIFS(Period_Status!$A$2:$A$8,G2148,Period_Status!$B$2:$B$8,"ActualClosed")=1,C2148&gt;EOMONTH(Settlement_Bridge!$C$2,0)),1,0)</f>
        <v>1</v>
      </c>
      <c r="P2148" s="2" t="s">
        <v>6081</v>
      </c>
    </row>
    <row r="2149" spans="1:16" x14ac:dyDescent="0.25">
      <c r="A2149" s="2" t="s">
        <v>6082</v>
      </c>
      <c r="B2149" s="2" t="s">
        <v>199</v>
      </c>
      <c r="C2149" s="8">
        <v>46222</v>
      </c>
      <c r="D2149" s="6">
        <v>46204</v>
      </c>
      <c r="E2149" s="2" t="s">
        <v>260</v>
      </c>
      <c r="F2149" s="2" t="s">
        <v>6083</v>
      </c>
      <c r="G2149" s="6">
        <v>46204</v>
      </c>
      <c r="H2149" s="2" t="s">
        <v>71</v>
      </c>
      <c r="I2149" s="2" t="s">
        <v>39</v>
      </c>
      <c r="J2149" s="9">
        <v>5022.9719999999998</v>
      </c>
      <c r="K2149" s="7">
        <v>1</v>
      </c>
      <c r="L2149" s="9">
        <v>5022.97</v>
      </c>
      <c r="M2149" s="9">
        <v>5022.97</v>
      </c>
      <c r="N2149" s="9">
        <v>2.76</v>
      </c>
      <c r="O2149" s="10">
        <f>IF(AND(OR(H2149="APPROVED",H2149="SCHEDULED"),COUNTIFS(tblSource[EventID],F2149,tblSource[ReleaseStatus],"APPROVED")=1,COUNTIFS(Period_Status!$A$2:$A$8,G2149,Period_Status!$B$2:$B$8,"ActualClosed")=1,C2149&gt;EOMONTH(Settlement_Bridge!$C$2,0)),1,0)</f>
        <v>0</v>
      </c>
      <c r="P2149" s="2" t="s">
        <v>6084</v>
      </c>
    </row>
    <row r="2150" spans="1:16" x14ac:dyDescent="0.25">
      <c r="A2150" s="2" t="s">
        <v>6085</v>
      </c>
      <c r="B2150" s="2" t="s">
        <v>199</v>
      </c>
      <c r="C2150" s="8">
        <v>46247</v>
      </c>
      <c r="D2150" s="6">
        <v>46235</v>
      </c>
      <c r="E2150" s="2" t="s">
        <v>260</v>
      </c>
      <c r="F2150" s="2" t="s">
        <v>6083</v>
      </c>
      <c r="G2150" s="6">
        <v>46204</v>
      </c>
      <c r="H2150" s="2" t="s">
        <v>71</v>
      </c>
      <c r="I2150" s="2" t="s">
        <v>39</v>
      </c>
      <c r="J2150" s="9">
        <v>7534.4579999999996</v>
      </c>
      <c r="K2150" s="7">
        <v>1</v>
      </c>
      <c r="L2150" s="9">
        <v>7534.46</v>
      </c>
      <c r="M2150" s="9">
        <v>7534.46</v>
      </c>
      <c r="N2150" s="9">
        <v>4.1399999999999997</v>
      </c>
      <c r="O2150" s="10">
        <f>IF(AND(OR(H2150="APPROVED",H2150="SCHEDULED"),COUNTIFS(tblSource[EventID],F2150,tblSource[ReleaseStatus],"APPROVED")=1,COUNTIFS(Period_Status!$A$2:$A$8,G2150,Period_Status!$B$2:$B$8,"ActualClosed")=1,C2150&gt;EOMONTH(Settlement_Bridge!$C$2,0)),1,0)</f>
        <v>1</v>
      </c>
      <c r="P2150" s="2" t="s">
        <v>6086</v>
      </c>
    </row>
    <row r="2151" spans="1:16" x14ac:dyDescent="0.25">
      <c r="A2151" s="2" t="s">
        <v>6087</v>
      </c>
      <c r="B2151" s="2" t="s">
        <v>199</v>
      </c>
      <c r="C2151" s="8">
        <v>46233</v>
      </c>
      <c r="D2151" s="6">
        <v>46204</v>
      </c>
      <c r="E2151" s="2" t="s">
        <v>260</v>
      </c>
      <c r="F2151" s="2" t="s">
        <v>6088</v>
      </c>
      <c r="G2151" s="6">
        <v>46204</v>
      </c>
      <c r="H2151" s="2" t="s">
        <v>71</v>
      </c>
      <c r="I2151" s="2" t="s">
        <v>76</v>
      </c>
      <c r="J2151" s="9">
        <v>205329677.41935501</v>
      </c>
      <c r="K2151" s="7">
        <v>6.2000000000000003E-5</v>
      </c>
      <c r="L2151" s="9">
        <v>12730.44</v>
      </c>
      <c r="M2151" s="9">
        <v>12730.44</v>
      </c>
      <c r="N2151" s="9">
        <v>7</v>
      </c>
      <c r="O2151" s="10">
        <f>IF(AND(OR(H2151="APPROVED",H2151="SCHEDULED"),COUNTIFS(tblSource[EventID],F2151,tblSource[ReleaseStatus],"APPROVED")=1,COUNTIFS(Period_Status!$A$2:$A$8,G2151,Period_Status!$B$2:$B$8,"ActualClosed")=1,C2151&gt;EOMONTH(Settlement_Bridge!$C$2,0)),1,0)</f>
        <v>0</v>
      </c>
      <c r="P2151" s="2" t="s">
        <v>6089</v>
      </c>
    </row>
    <row r="2152" spans="1:16" x14ac:dyDescent="0.25">
      <c r="A2152" s="2" t="s">
        <v>6090</v>
      </c>
      <c r="B2152" s="2" t="s">
        <v>199</v>
      </c>
      <c r="C2152" s="8">
        <v>46234</v>
      </c>
      <c r="D2152" s="6">
        <v>46204</v>
      </c>
      <c r="E2152" s="2" t="s">
        <v>260</v>
      </c>
      <c r="F2152" s="2" t="s">
        <v>6091</v>
      </c>
      <c r="G2152" s="6">
        <v>46204</v>
      </c>
      <c r="H2152" s="2" t="s">
        <v>71</v>
      </c>
      <c r="I2152" s="2" t="s">
        <v>70</v>
      </c>
      <c r="J2152" s="9">
        <v>19610.106382999998</v>
      </c>
      <c r="K2152" s="7">
        <v>0.65800000000000003</v>
      </c>
      <c r="L2152" s="9">
        <v>12903.45</v>
      </c>
      <c r="M2152" s="9">
        <v>12903.45</v>
      </c>
      <c r="N2152" s="9">
        <v>7.1</v>
      </c>
      <c r="O2152" s="10">
        <f>IF(AND(OR(H2152="APPROVED",H2152="SCHEDULED"),COUNTIFS(tblSource[EventID],F2152,tblSource[ReleaseStatus],"APPROVED")=1,COUNTIFS(Period_Status!$A$2:$A$8,G2152,Period_Status!$B$2:$B$8,"ActualClosed")=1,C2152&gt;EOMONTH(Settlement_Bridge!$C$2,0)),1,0)</f>
        <v>0</v>
      </c>
      <c r="P2152" s="2" t="s">
        <v>6092</v>
      </c>
    </row>
    <row r="2153" spans="1:16" x14ac:dyDescent="0.25">
      <c r="A2153" s="2" t="s">
        <v>6093</v>
      </c>
      <c r="B2153" s="2" t="s">
        <v>199</v>
      </c>
      <c r="C2153" s="8">
        <v>46225</v>
      </c>
      <c r="D2153" s="6">
        <v>46204</v>
      </c>
      <c r="E2153" s="2" t="s">
        <v>260</v>
      </c>
      <c r="F2153" s="2" t="s">
        <v>6094</v>
      </c>
      <c r="G2153" s="6">
        <v>46204</v>
      </c>
      <c r="H2153" s="2" t="s">
        <v>71</v>
      </c>
      <c r="I2153" s="2" t="s">
        <v>39</v>
      </c>
      <c r="J2153" s="9">
        <v>5230.5839999999998</v>
      </c>
      <c r="K2153" s="7">
        <v>1</v>
      </c>
      <c r="L2153" s="9">
        <v>5230.58</v>
      </c>
      <c r="M2153" s="9">
        <v>5230.58</v>
      </c>
      <c r="N2153" s="9">
        <v>2.88</v>
      </c>
      <c r="O2153" s="10">
        <f>IF(AND(OR(H2153="APPROVED",H2153="SCHEDULED"),COUNTIFS(tblSource[EventID],F2153,tblSource[ReleaseStatus],"APPROVED")=1,COUNTIFS(Period_Status!$A$2:$A$8,G2153,Period_Status!$B$2:$B$8,"ActualClosed")=1,C2153&gt;EOMONTH(Settlement_Bridge!$C$2,0)),1,0)</f>
        <v>0</v>
      </c>
      <c r="P2153" s="2" t="s">
        <v>6095</v>
      </c>
    </row>
    <row r="2154" spans="1:16" x14ac:dyDescent="0.25">
      <c r="A2154" s="2" t="s">
        <v>6096</v>
      </c>
      <c r="B2154" s="2" t="s">
        <v>199</v>
      </c>
      <c r="C2154" s="8">
        <v>46250</v>
      </c>
      <c r="D2154" s="6">
        <v>46235</v>
      </c>
      <c r="E2154" s="2" t="s">
        <v>260</v>
      </c>
      <c r="F2154" s="2" t="s">
        <v>6094</v>
      </c>
      <c r="G2154" s="6">
        <v>46204</v>
      </c>
      <c r="H2154" s="2" t="s">
        <v>71</v>
      </c>
      <c r="I2154" s="2" t="s">
        <v>39</v>
      </c>
      <c r="J2154" s="9">
        <v>7845.8760000000002</v>
      </c>
      <c r="K2154" s="7">
        <v>1</v>
      </c>
      <c r="L2154" s="9">
        <v>7845.88</v>
      </c>
      <c r="M2154" s="9">
        <v>7845.88</v>
      </c>
      <c r="N2154" s="9">
        <v>4.32</v>
      </c>
      <c r="O2154" s="10">
        <f>IF(AND(OR(H2154="APPROVED",H2154="SCHEDULED"),COUNTIFS(tblSource[EventID],F2154,tblSource[ReleaseStatus],"APPROVED")=1,COUNTIFS(Period_Status!$A$2:$A$8,G2154,Period_Status!$B$2:$B$8,"ActualClosed")=1,C2154&gt;EOMONTH(Settlement_Bridge!$C$2,0)),1,0)</f>
        <v>1</v>
      </c>
      <c r="P2154" s="2" t="s">
        <v>6097</v>
      </c>
    </row>
    <row r="2155" spans="1:16" x14ac:dyDescent="0.25">
      <c r="A2155" s="2" t="s">
        <v>6098</v>
      </c>
      <c r="B2155" s="2" t="s">
        <v>199</v>
      </c>
      <c r="C2155" s="8">
        <v>46236</v>
      </c>
      <c r="D2155" s="6">
        <v>46235</v>
      </c>
      <c r="E2155" s="2" t="s">
        <v>260</v>
      </c>
      <c r="F2155" s="2" t="s">
        <v>6099</v>
      </c>
      <c r="G2155" s="6">
        <v>46204</v>
      </c>
      <c r="H2155" s="2" t="s">
        <v>71</v>
      </c>
      <c r="I2155" s="2" t="s">
        <v>76</v>
      </c>
      <c r="J2155" s="9">
        <v>213701129.032258</v>
      </c>
      <c r="K2155" s="7">
        <v>6.1500000000000004E-5</v>
      </c>
      <c r="L2155" s="9">
        <v>13142.62</v>
      </c>
      <c r="M2155" s="9">
        <v>13249.47</v>
      </c>
      <c r="N2155" s="9">
        <v>7.23</v>
      </c>
      <c r="O2155" s="10">
        <f>IF(AND(OR(H2155="APPROVED",H2155="SCHEDULED"),COUNTIFS(tblSource[EventID],F2155,tblSource[ReleaseStatus],"APPROVED")=1,COUNTIFS(Period_Status!$A$2:$A$8,G2155,Period_Status!$B$2:$B$8,"ActualClosed")=1,C2155&gt;EOMONTH(Settlement_Bridge!$C$2,0)),1,0)</f>
        <v>1</v>
      </c>
      <c r="P2155" s="2" t="s">
        <v>6100</v>
      </c>
    </row>
    <row r="2156" spans="1:16" x14ac:dyDescent="0.25">
      <c r="A2156" s="2" t="s">
        <v>6101</v>
      </c>
      <c r="B2156" s="2" t="s">
        <v>199</v>
      </c>
      <c r="C2156" s="8">
        <v>46237</v>
      </c>
      <c r="D2156" s="6">
        <v>46235</v>
      </c>
      <c r="E2156" s="2" t="s">
        <v>260</v>
      </c>
      <c r="F2156" s="2" t="s">
        <v>6102</v>
      </c>
      <c r="G2156" s="6">
        <v>46204</v>
      </c>
      <c r="H2156" s="2" t="s">
        <v>71</v>
      </c>
      <c r="I2156" s="2" t="s">
        <v>70</v>
      </c>
      <c r="J2156" s="9">
        <v>20398.905774999999</v>
      </c>
      <c r="K2156" s="7">
        <v>0.65</v>
      </c>
      <c r="L2156" s="9">
        <v>13259.29</v>
      </c>
      <c r="M2156" s="9">
        <v>13422.48</v>
      </c>
      <c r="N2156" s="9">
        <v>7.29</v>
      </c>
      <c r="O2156" s="10">
        <f>IF(AND(OR(H2156="APPROVED",H2156="SCHEDULED"),COUNTIFS(tblSource[EventID],F2156,tblSource[ReleaseStatus],"APPROVED")=1,COUNTIFS(Period_Status!$A$2:$A$8,G2156,Period_Status!$B$2:$B$8,"ActualClosed")=1,C2156&gt;EOMONTH(Settlement_Bridge!$C$2,0)),1,0)</f>
        <v>1</v>
      </c>
      <c r="P2156" s="2" t="s">
        <v>6103</v>
      </c>
    </row>
    <row r="2157" spans="1:16" x14ac:dyDescent="0.25">
      <c r="A2157" s="2" t="s">
        <v>6104</v>
      </c>
      <c r="B2157" s="2" t="s">
        <v>199</v>
      </c>
      <c r="C2157" s="8">
        <v>46238</v>
      </c>
      <c r="D2157" s="6">
        <v>46235</v>
      </c>
      <c r="E2157" s="2" t="s">
        <v>260</v>
      </c>
      <c r="F2157" s="2" t="s">
        <v>6105</v>
      </c>
      <c r="G2157" s="6">
        <v>46204</v>
      </c>
      <c r="H2157" s="2" t="s">
        <v>71</v>
      </c>
      <c r="I2157" s="2" t="s">
        <v>39</v>
      </c>
      <c r="J2157" s="9">
        <v>13595.49</v>
      </c>
      <c r="K2157" s="7">
        <v>1</v>
      </c>
      <c r="L2157" s="9">
        <v>13595.49</v>
      </c>
      <c r="M2157" s="9">
        <v>13595.49</v>
      </c>
      <c r="N2157" s="9">
        <v>7.48</v>
      </c>
      <c r="O2157" s="10">
        <f>IF(AND(OR(H2157="APPROVED",H2157="SCHEDULED"),COUNTIFS(tblSource[EventID],F2157,tblSource[ReleaseStatus],"APPROVED")=1,COUNTIFS(Period_Status!$A$2:$A$8,G2157,Period_Status!$B$2:$B$8,"ActualClosed")=1,C2157&gt;EOMONTH(Settlement_Bridge!$C$2,0)),1,0)</f>
        <v>1</v>
      </c>
      <c r="P2157" s="2" t="s">
        <v>6106</v>
      </c>
    </row>
    <row r="2158" spans="1:16" x14ac:dyDescent="0.25">
      <c r="A2158" s="2" t="s">
        <v>6107</v>
      </c>
      <c r="B2158" s="2" t="s">
        <v>199</v>
      </c>
      <c r="C2158" s="8">
        <v>46239</v>
      </c>
      <c r="D2158" s="6">
        <v>46235</v>
      </c>
      <c r="E2158" s="2" t="s">
        <v>260</v>
      </c>
      <c r="F2158" s="2" t="s">
        <v>6108</v>
      </c>
      <c r="G2158" s="6">
        <v>46204</v>
      </c>
      <c r="H2158" s="2" t="s">
        <v>71</v>
      </c>
      <c r="I2158" s="2" t="s">
        <v>76</v>
      </c>
      <c r="J2158" s="9">
        <v>222072580.645161</v>
      </c>
      <c r="K2158" s="7">
        <v>6.1500000000000004E-5</v>
      </c>
      <c r="L2158" s="9">
        <v>13657.46</v>
      </c>
      <c r="M2158" s="9">
        <v>13768.5</v>
      </c>
      <c r="N2158" s="9">
        <v>7.51</v>
      </c>
      <c r="O2158" s="10">
        <f>IF(AND(OR(H2158="APPROVED",H2158="SCHEDULED"),COUNTIFS(tblSource[EventID],F2158,tblSource[ReleaseStatus],"APPROVED")=1,COUNTIFS(Period_Status!$A$2:$A$8,G2158,Period_Status!$B$2:$B$8,"ActualClosed")=1,C2158&gt;EOMONTH(Settlement_Bridge!$C$2,0)),1,0)</f>
        <v>1</v>
      </c>
      <c r="P2158" s="2" t="s">
        <v>6109</v>
      </c>
    </row>
    <row r="2159" spans="1:16" x14ac:dyDescent="0.25">
      <c r="A2159" s="2" t="s">
        <v>6110</v>
      </c>
      <c r="B2159" s="2" t="s">
        <v>199</v>
      </c>
      <c r="C2159" s="8">
        <v>46240</v>
      </c>
      <c r="D2159" s="6">
        <v>46235</v>
      </c>
      <c r="E2159" s="2" t="s">
        <v>260</v>
      </c>
      <c r="F2159" s="2" t="s">
        <v>6111</v>
      </c>
      <c r="G2159" s="6">
        <v>46204</v>
      </c>
      <c r="H2159" s="2" t="s">
        <v>71</v>
      </c>
      <c r="I2159" s="2" t="s">
        <v>70</v>
      </c>
      <c r="J2159" s="9">
        <v>21187.705167</v>
      </c>
      <c r="K2159" s="7">
        <v>0.65</v>
      </c>
      <c r="L2159" s="9">
        <v>13772.01</v>
      </c>
      <c r="M2159" s="9">
        <v>13941.51</v>
      </c>
      <c r="N2159" s="9">
        <v>7.57</v>
      </c>
      <c r="O2159" s="10">
        <f>IF(AND(OR(H2159="APPROVED",H2159="SCHEDULED"),COUNTIFS(tblSource[EventID],F2159,tblSource[ReleaseStatus],"APPROVED")=1,COUNTIFS(Period_Status!$A$2:$A$8,G2159,Period_Status!$B$2:$B$8,"ActualClosed")=1,C2159&gt;EOMONTH(Settlement_Bridge!$C$2,0)),1,0)</f>
        <v>1</v>
      </c>
      <c r="P2159" s="2" t="s">
        <v>6112</v>
      </c>
    </row>
    <row r="2160" spans="1:16" x14ac:dyDescent="0.25">
      <c r="A2160" s="2" t="s">
        <v>6113</v>
      </c>
      <c r="B2160" s="2" t="s">
        <v>199</v>
      </c>
      <c r="C2160" s="8">
        <v>46231</v>
      </c>
      <c r="D2160" s="6">
        <v>46204</v>
      </c>
      <c r="E2160" s="2" t="s">
        <v>260</v>
      </c>
      <c r="F2160" s="2" t="s">
        <v>6114</v>
      </c>
      <c r="G2160" s="6">
        <v>46204</v>
      </c>
      <c r="H2160" s="2" t="s">
        <v>71</v>
      </c>
      <c r="I2160" s="2" t="s">
        <v>39</v>
      </c>
      <c r="J2160" s="9">
        <v>5645.808</v>
      </c>
      <c r="K2160" s="7">
        <v>1</v>
      </c>
      <c r="L2160" s="9">
        <v>5645.81</v>
      </c>
      <c r="M2160" s="9">
        <v>5645.81</v>
      </c>
      <c r="N2160" s="9">
        <v>3.11</v>
      </c>
      <c r="O2160" s="10">
        <f>IF(AND(OR(H2160="APPROVED",H2160="SCHEDULED"),COUNTIFS(tblSource[EventID],F2160,tblSource[ReleaseStatus],"APPROVED")=1,COUNTIFS(Period_Status!$A$2:$A$8,G2160,Period_Status!$B$2:$B$8,"ActualClosed")=1,C2160&gt;EOMONTH(Settlement_Bridge!$C$2,0)),1,0)</f>
        <v>0</v>
      </c>
      <c r="P2160" s="2" t="s">
        <v>6115</v>
      </c>
    </row>
    <row r="2161" spans="1:16" x14ac:dyDescent="0.25">
      <c r="A2161" s="2" t="s">
        <v>6116</v>
      </c>
      <c r="B2161" s="2" t="s">
        <v>199</v>
      </c>
      <c r="C2161" s="8">
        <v>46256</v>
      </c>
      <c r="D2161" s="6">
        <v>46235</v>
      </c>
      <c r="E2161" s="2" t="s">
        <v>260</v>
      </c>
      <c r="F2161" s="2" t="s">
        <v>6114</v>
      </c>
      <c r="G2161" s="6">
        <v>46204</v>
      </c>
      <c r="H2161" s="2" t="s">
        <v>71</v>
      </c>
      <c r="I2161" s="2" t="s">
        <v>39</v>
      </c>
      <c r="J2161" s="9">
        <v>8468.7119999999995</v>
      </c>
      <c r="K2161" s="7">
        <v>1</v>
      </c>
      <c r="L2161" s="9">
        <v>8468.7099999999991</v>
      </c>
      <c r="M2161" s="9">
        <v>8468.7099999999991</v>
      </c>
      <c r="N2161" s="9">
        <v>4.66</v>
      </c>
      <c r="O2161" s="10">
        <f>IF(AND(OR(H2161="APPROVED",H2161="SCHEDULED"),COUNTIFS(tblSource[EventID],F2161,tblSource[ReleaseStatus],"APPROVED")=1,COUNTIFS(Period_Status!$A$2:$A$8,G2161,Period_Status!$B$2:$B$8,"ActualClosed")=1,C2161&gt;EOMONTH(Settlement_Bridge!$C$2,0)),1,0)</f>
        <v>1</v>
      </c>
      <c r="P2161" s="2" t="s">
        <v>6117</v>
      </c>
    </row>
    <row r="2162" spans="1:16" x14ac:dyDescent="0.25">
      <c r="A2162" s="2" t="s">
        <v>6118</v>
      </c>
      <c r="B2162" s="2" t="s">
        <v>199</v>
      </c>
      <c r="C2162" s="8">
        <v>46232</v>
      </c>
      <c r="D2162" s="6">
        <v>46204</v>
      </c>
      <c r="E2162" s="2" t="s">
        <v>260</v>
      </c>
      <c r="F2162" s="2" t="s">
        <v>6119</v>
      </c>
      <c r="G2162" s="6">
        <v>46204</v>
      </c>
      <c r="H2162" s="2" t="s">
        <v>71</v>
      </c>
      <c r="I2162" s="2" t="s">
        <v>76</v>
      </c>
      <c r="J2162" s="9">
        <v>92177612.903226003</v>
      </c>
      <c r="K2162" s="7">
        <v>6.2000000000000003E-5</v>
      </c>
      <c r="L2162" s="9">
        <v>5715.01</v>
      </c>
      <c r="M2162" s="9">
        <v>5715.01</v>
      </c>
      <c r="N2162" s="9">
        <v>3.14</v>
      </c>
      <c r="O2162" s="10">
        <f>IF(AND(OR(H2162="APPROVED",H2162="SCHEDULED"),COUNTIFS(tblSource[EventID],F2162,tblSource[ReleaseStatus],"APPROVED")=1,COUNTIFS(Period_Status!$A$2:$A$8,G2162,Period_Status!$B$2:$B$8,"ActualClosed")=1,C2162&gt;EOMONTH(Settlement_Bridge!$C$2,0)),1,0)</f>
        <v>0</v>
      </c>
      <c r="P2162" s="2" t="s">
        <v>6120</v>
      </c>
    </row>
    <row r="2163" spans="1:16" x14ac:dyDescent="0.25">
      <c r="A2163" s="2" t="s">
        <v>6121</v>
      </c>
      <c r="B2163" s="2" t="s">
        <v>199</v>
      </c>
      <c r="C2163" s="8">
        <v>46257</v>
      </c>
      <c r="D2163" s="6">
        <v>46235</v>
      </c>
      <c r="E2163" s="2" t="s">
        <v>260</v>
      </c>
      <c r="F2163" s="2" t="s">
        <v>6119</v>
      </c>
      <c r="G2163" s="6">
        <v>46204</v>
      </c>
      <c r="H2163" s="2" t="s">
        <v>71</v>
      </c>
      <c r="I2163" s="2" t="s">
        <v>76</v>
      </c>
      <c r="J2163" s="9">
        <v>138266419.354839</v>
      </c>
      <c r="K2163" s="7">
        <v>6.1500000000000004E-5</v>
      </c>
      <c r="L2163" s="9">
        <v>8503.3799999999992</v>
      </c>
      <c r="M2163" s="9">
        <v>8572.52</v>
      </c>
      <c r="N2163" s="9">
        <v>4.68</v>
      </c>
      <c r="O2163" s="10">
        <f>IF(AND(OR(H2163="APPROVED",H2163="SCHEDULED"),COUNTIFS(tblSource[EventID],F2163,tblSource[ReleaseStatus],"APPROVED")=1,COUNTIFS(Period_Status!$A$2:$A$8,G2163,Period_Status!$B$2:$B$8,"ActualClosed")=1,C2163&gt;EOMONTH(Settlement_Bridge!$C$2,0)),1,0)</f>
        <v>1</v>
      </c>
      <c r="P2163" s="2" t="s">
        <v>6122</v>
      </c>
    </row>
    <row r="2164" spans="1:16" x14ac:dyDescent="0.25">
      <c r="A2164" s="2" t="s">
        <v>6123</v>
      </c>
      <c r="B2164" s="2" t="s">
        <v>199</v>
      </c>
      <c r="C2164" s="8">
        <v>46243</v>
      </c>
      <c r="D2164" s="6">
        <v>46235</v>
      </c>
      <c r="E2164" s="2" t="s">
        <v>260</v>
      </c>
      <c r="F2164" s="2" t="s">
        <v>6124</v>
      </c>
      <c r="G2164" s="6">
        <v>46204</v>
      </c>
      <c r="H2164" s="2" t="s">
        <v>71</v>
      </c>
      <c r="I2164" s="2" t="s">
        <v>70</v>
      </c>
      <c r="J2164" s="9">
        <v>21976.504559000001</v>
      </c>
      <c r="K2164" s="7">
        <v>0.65</v>
      </c>
      <c r="L2164" s="9">
        <v>14284.73</v>
      </c>
      <c r="M2164" s="9">
        <v>14460.54</v>
      </c>
      <c r="N2164" s="9">
        <v>7.86</v>
      </c>
      <c r="O2164" s="10">
        <f>IF(AND(OR(H2164="APPROVED",H2164="SCHEDULED"),COUNTIFS(tblSource[EventID],F2164,tblSource[ReleaseStatus],"APPROVED")=1,COUNTIFS(Period_Status!$A$2:$A$8,G2164,Period_Status!$B$2:$B$8,"ActualClosed")=1,C2164&gt;EOMONTH(Settlement_Bridge!$C$2,0)),1,0)</f>
        <v>1</v>
      </c>
      <c r="P2164" s="2" t="s">
        <v>6125</v>
      </c>
    </row>
    <row r="2165" spans="1:16" x14ac:dyDescent="0.25">
      <c r="A2165" s="2" t="s">
        <v>6126</v>
      </c>
      <c r="B2165" s="2" t="s">
        <v>199</v>
      </c>
      <c r="C2165" s="8">
        <v>46244</v>
      </c>
      <c r="D2165" s="6">
        <v>46235</v>
      </c>
      <c r="E2165" s="2" t="s">
        <v>260</v>
      </c>
      <c r="F2165" s="2" t="s">
        <v>6127</v>
      </c>
      <c r="G2165" s="6">
        <v>46204</v>
      </c>
      <c r="H2165" s="2" t="s">
        <v>71</v>
      </c>
      <c r="I2165" s="2" t="s">
        <v>39</v>
      </c>
      <c r="J2165" s="9">
        <v>14633.55</v>
      </c>
      <c r="K2165" s="7">
        <v>1</v>
      </c>
      <c r="L2165" s="9">
        <v>14633.55</v>
      </c>
      <c r="M2165" s="9">
        <v>14633.55</v>
      </c>
      <c r="N2165" s="9">
        <v>8.0500000000000007</v>
      </c>
      <c r="O2165" s="10">
        <f>IF(AND(OR(H2165="APPROVED",H2165="SCHEDULED"),COUNTIFS(tblSource[EventID],F2165,tblSource[ReleaseStatus],"APPROVED")=1,COUNTIFS(Period_Status!$A$2:$A$8,G2165,Period_Status!$B$2:$B$8,"ActualClosed")=1,C2165&gt;EOMONTH(Settlement_Bridge!$C$2,0)),1,0)</f>
        <v>1</v>
      </c>
      <c r="P2165" s="2" t="s">
        <v>6128</v>
      </c>
    </row>
    <row r="2166" spans="1:16" x14ac:dyDescent="0.25">
      <c r="A2166" s="2" t="s">
        <v>6129</v>
      </c>
      <c r="B2166" s="2" t="s">
        <v>199</v>
      </c>
      <c r="C2166" s="8">
        <v>46235</v>
      </c>
      <c r="D2166" s="6">
        <v>46235</v>
      </c>
      <c r="E2166" s="2" t="s">
        <v>260</v>
      </c>
      <c r="F2166" s="2" t="s">
        <v>6130</v>
      </c>
      <c r="G2166" s="6">
        <v>46204</v>
      </c>
      <c r="H2166" s="2" t="s">
        <v>71</v>
      </c>
      <c r="I2166" s="2" t="s">
        <v>76</v>
      </c>
      <c r="J2166" s="9">
        <v>95526193.548387006</v>
      </c>
      <c r="K2166" s="7">
        <v>6.1500000000000004E-5</v>
      </c>
      <c r="L2166" s="9">
        <v>5874.86</v>
      </c>
      <c r="M2166" s="9">
        <v>5922.62</v>
      </c>
      <c r="N2166" s="9">
        <v>3.23</v>
      </c>
      <c r="O2166" s="10">
        <f>IF(AND(OR(H2166="APPROVED",H2166="SCHEDULED"),COUNTIFS(tblSource[EventID],F2166,tblSource[ReleaseStatus],"APPROVED")=1,COUNTIFS(Period_Status!$A$2:$A$8,G2166,Period_Status!$B$2:$B$8,"ActualClosed")=1,C2166&gt;EOMONTH(Settlement_Bridge!$C$2,0)),1,0)</f>
        <v>1</v>
      </c>
      <c r="P2166" s="2" t="s">
        <v>6131</v>
      </c>
    </row>
    <row r="2167" spans="1:16" x14ac:dyDescent="0.25">
      <c r="A2167" s="2" t="s">
        <v>6132</v>
      </c>
      <c r="B2167" s="2" t="s">
        <v>199</v>
      </c>
      <c r="C2167" s="8">
        <v>46260</v>
      </c>
      <c r="D2167" s="6">
        <v>46235</v>
      </c>
      <c r="E2167" s="2" t="s">
        <v>260</v>
      </c>
      <c r="F2167" s="2" t="s">
        <v>6130</v>
      </c>
      <c r="G2167" s="6">
        <v>46204</v>
      </c>
      <c r="H2167" s="2" t="s">
        <v>71</v>
      </c>
      <c r="I2167" s="2" t="s">
        <v>76</v>
      </c>
      <c r="J2167" s="9">
        <v>143289290.32258099</v>
      </c>
      <c r="K2167" s="7">
        <v>6.1500000000000004E-5</v>
      </c>
      <c r="L2167" s="9">
        <v>8812.2900000000009</v>
      </c>
      <c r="M2167" s="9">
        <v>8883.94</v>
      </c>
      <c r="N2167" s="9">
        <v>4.8499999999999996</v>
      </c>
      <c r="O2167" s="10">
        <f>IF(AND(OR(H2167="APPROVED",H2167="SCHEDULED"),COUNTIFS(tblSource[EventID],F2167,tblSource[ReleaseStatus],"APPROVED")=1,COUNTIFS(Period_Status!$A$2:$A$8,G2167,Period_Status!$B$2:$B$8,"ActualClosed")=1,C2167&gt;EOMONTH(Settlement_Bridge!$C$2,0)),1,0)</f>
        <v>1</v>
      </c>
      <c r="P2167" s="2" t="s">
        <v>6133</v>
      </c>
    </row>
    <row r="2168" spans="1:16" x14ac:dyDescent="0.25">
      <c r="A2168" s="2" t="s">
        <v>6134</v>
      </c>
      <c r="B2168" s="2" t="s">
        <v>199</v>
      </c>
      <c r="C2168" s="8">
        <v>46246</v>
      </c>
      <c r="D2168" s="6">
        <v>46235</v>
      </c>
      <c r="E2168" s="2" t="s">
        <v>260</v>
      </c>
      <c r="F2168" s="2" t="s">
        <v>6135</v>
      </c>
      <c r="G2168" s="6">
        <v>46204</v>
      </c>
      <c r="H2168" s="2" t="s">
        <v>71</v>
      </c>
      <c r="I2168" s="2" t="s">
        <v>70</v>
      </c>
      <c r="J2168" s="9">
        <v>1488.7082069999999</v>
      </c>
      <c r="K2168" s="7">
        <v>0.65</v>
      </c>
      <c r="L2168" s="9">
        <v>967.66</v>
      </c>
      <c r="M2168" s="9">
        <v>979.57</v>
      </c>
      <c r="N2168" s="9">
        <v>1.8</v>
      </c>
      <c r="O2168" s="10">
        <f>IF(AND(OR(H2168="APPROVED",H2168="SCHEDULED"),COUNTIFS(tblSource[EventID],F2168,tblSource[ReleaseStatus],"APPROVED")=1,COUNTIFS(Period_Status!$A$2:$A$8,G2168,Period_Status!$B$2:$B$8,"ActualClosed")=1,C2168&gt;EOMONTH(Settlement_Bridge!$C$2,0)),1,0)</f>
        <v>1</v>
      </c>
      <c r="P2168" s="2" t="s">
        <v>6136</v>
      </c>
    </row>
    <row r="2169" spans="1:16" x14ac:dyDescent="0.25">
      <c r="A2169" s="2" t="s">
        <v>6137</v>
      </c>
      <c r="B2169" s="2" t="s">
        <v>199</v>
      </c>
      <c r="C2169" s="8">
        <v>46247</v>
      </c>
      <c r="D2169" s="6">
        <v>46235</v>
      </c>
      <c r="E2169" s="2" t="s">
        <v>260</v>
      </c>
      <c r="F2169" s="2" t="s">
        <v>6138</v>
      </c>
      <c r="G2169" s="6">
        <v>46204</v>
      </c>
      <c r="H2169" s="2" t="s">
        <v>71</v>
      </c>
      <c r="I2169" s="2" t="s">
        <v>39</v>
      </c>
      <c r="J2169" s="9">
        <v>1152.58</v>
      </c>
      <c r="K2169" s="7">
        <v>1</v>
      </c>
      <c r="L2169" s="9">
        <v>1152.58</v>
      </c>
      <c r="M2169" s="9">
        <v>1152.58</v>
      </c>
      <c r="N2169" s="9">
        <v>1.8</v>
      </c>
      <c r="O2169" s="10">
        <f>IF(AND(OR(H2169="APPROVED",H2169="SCHEDULED"),COUNTIFS(tblSource[EventID],F2169,tblSource[ReleaseStatus],"APPROVED")=1,COUNTIFS(Period_Status!$A$2:$A$8,G2169,Period_Status!$B$2:$B$8,"ActualClosed")=1,C2169&gt;EOMONTH(Settlement_Bridge!$C$2,0)),1,0)</f>
        <v>1</v>
      </c>
      <c r="P2169" s="2" t="s">
        <v>6139</v>
      </c>
    </row>
    <row r="2170" spans="1:16" x14ac:dyDescent="0.25">
      <c r="A2170" s="2" t="s">
        <v>6140</v>
      </c>
      <c r="B2170" s="2" t="s">
        <v>199</v>
      </c>
      <c r="C2170" s="8">
        <v>46248</v>
      </c>
      <c r="D2170" s="6">
        <v>46235</v>
      </c>
      <c r="E2170" s="2" t="s">
        <v>260</v>
      </c>
      <c r="F2170" s="2" t="s">
        <v>6141</v>
      </c>
      <c r="G2170" s="6">
        <v>46204</v>
      </c>
      <c r="H2170" s="2" t="s">
        <v>71</v>
      </c>
      <c r="I2170" s="2" t="s">
        <v>76</v>
      </c>
      <c r="J2170" s="9">
        <v>21380483.870967999</v>
      </c>
      <c r="K2170" s="7">
        <v>6.1500000000000004E-5</v>
      </c>
      <c r="L2170" s="9">
        <v>1314.9</v>
      </c>
      <c r="M2170" s="9">
        <v>1325.59</v>
      </c>
      <c r="N2170" s="9">
        <v>1.8</v>
      </c>
      <c r="O2170" s="10">
        <f>IF(AND(OR(H2170="APPROVED",H2170="SCHEDULED"),COUNTIFS(tblSource[EventID],F2170,tblSource[ReleaseStatus],"APPROVED")=1,COUNTIFS(Period_Status!$A$2:$A$8,G2170,Period_Status!$B$2:$B$8,"ActualClosed")=1,C2170&gt;EOMONTH(Settlement_Bridge!$C$2,0)),1,0)</f>
        <v>1</v>
      </c>
      <c r="P2170" s="2" t="s">
        <v>6142</v>
      </c>
    </row>
    <row r="2171" spans="1:16" x14ac:dyDescent="0.25">
      <c r="A2171" s="2" t="s">
        <v>6143</v>
      </c>
      <c r="B2171" s="2" t="s">
        <v>199</v>
      </c>
      <c r="C2171" s="8">
        <v>46249</v>
      </c>
      <c r="D2171" s="6">
        <v>46235</v>
      </c>
      <c r="E2171" s="2" t="s">
        <v>260</v>
      </c>
      <c r="F2171" s="2" t="s">
        <v>6144</v>
      </c>
      <c r="G2171" s="6">
        <v>46204</v>
      </c>
      <c r="H2171" s="2" t="s">
        <v>71</v>
      </c>
      <c r="I2171" s="2" t="s">
        <v>70</v>
      </c>
      <c r="J2171" s="9">
        <v>2277.507599</v>
      </c>
      <c r="K2171" s="7">
        <v>0.65</v>
      </c>
      <c r="L2171" s="9">
        <v>1480.38</v>
      </c>
      <c r="M2171" s="9">
        <v>1498.6</v>
      </c>
      <c r="N2171" s="9">
        <v>1.8</v>
      </c>
      <c r="O2171" s="10">
        <f>IF(AND(OR(H2171="APPROVED",H2171="SCHEDULED"),COUNTIFS(tblSource[EventID],F2171,tblSource[ReleaseStatus],"APPROVED")=1,COUNTIFS(Period_Status!$A$2:$A$8,G2171,Period_Status!$B$2:$B$8,"ActualClosed")=1,C2171&gt;EOMONTH(Settlement_Bridge!$C$2,0)),1,0)</f>
        <v>1</v>
      </c>
      <c r="P2171" s="2" t="s">
        <v>6145</v>
      </c>
    </row>
    <row r="2172" spans="1:16" x14ac:dyDescent="0.25">
      <c r="A2172" s="2" t="s">
        <v>6146</v>
      </c>
      <c r="B2172" s="2" t="s">
        <v>199</v>
      </c>
      <c r="C2172" s="8">
        <v>46250</v>
      </c>
      <c r="D2172" s="6">
        <v>46235</v>
      </c>
      <c r="E2172" s="2" t="s">
        <v>260</v>
      </c>
      <c r="F2172" s="2" t="s">
        <v>6147</v>
      </c>
      <c r="G2172" s="6">
        <v>46204</v>
      </c>
      <c r="H2172" s="2" t="s">
        <v>71</v>
      </c>
      <c r="I2172" s="2" t="s">
        <v>39</v>
      </c>
      <c r="J2172" s="9">
        <v>1671.61</v>
      </c>
      <c r="K2172" s="7">
        <v>1</v>
      </c>
      <c r="L2172" s="9">
        <v>1671.61</v>
      </c>
      <c r="M2172" s="9">
        <v>1671.61</v>
      </c>
      <c r="N2172" s="9">
        <v>1.8</v>
      </c>
      <c r="O2172" s="10">
        <f>IF(AND(OR(H2172="APPROVED",H2172="SCHEDULED"),COUNTIFS(tblSource[EventID],F2172,tblSource[ReleaseStatus],"APPROVED")=1,COUNTIFS(Period_Status!$A$2:$A$8,G2172,Period_Status!$B$2:$B$8,"ActualClosed")=1,C2172&gt;EOMONTH(Settlement_Bridge!$C$2,0)),1,0)</f>
        <v>1</v>
      </c>
      <c r="P2172" s="2" t="s">
        <v>6148</v>
      </c>
    </row>
    <row r="2173" spans="1:16" x14ac:dyDescent="0.25">
      <c r="A2173" s="2" t="s">
        <v>6149</v>
      </c>
      <c r="B2173" s="2" t="s">
        <v>199</v>
      </c>
      <c r="C2173" s="8">
        <v>46241</v>
      </c>
      <c r="D2173" s="6">
        <v>46235</v>
      </c>
      <c r="E2173" s="2" t="s">
        <v>260</v>
      </c>
      <c r="F2173" s="2" t="s">
        <v>6150</v>
      </c>
      <c r="G2173" s="6">
        <v>46204</v>
      </c>
      <c r="H2173" s="2" t="s">
        <v>71</v>
      </c>
      <c r="I2173" s="2" t="s">
        <v>76</v>
      </c>
      <c r="J2173" s="9">
        <v>11900774.193547999</v>
      </c>
      <c r="K2173" s="7">
        <v>6.1500000000000004E-5</v>
      </c>
      <c r="L2173" s="9">
        <v>731.9</v>
      </c>
      <c r="M2173" s="9">
        <v>737.85</v>
      </c>
      <c r="N2173" s="9">
        <v>1.8</v>
      </c>
      <c r="O2173" s="10">
        <f>IF(AND(OR(H2173="APPROVED",H2173="SCHEDULED"),COUNTIFS(tblSource[EventID],F2173,tblSource[ReleaseStatus],"APPROVED")=1,COUNTIFS(Period_Status!$A$2:$A$8,G2173,Period_Status!$B$2:$B$8,"ActualClosed")=1,C2173&gt;EOMONTH(Settlement_Bridge!$C$2,0)),1,0)</f>
        <v>1</v>
      </c>
      <c r="P2173" s="2" t="s">
        <v>6151</v>
      </c>
    </row>
    <row r="2174" spans="1:16" x14ac:dyDescent="0.25">
      <c r="A2174" s="2" t="s">
        <v>6152</v>
      </c>
      <c r="B2174" s="2" t="s">
        <v>199</v>
      </c>
      <c r="C2174" s="8">
        <v>46266</v>
      </c>
      <c r="D2174" s="6">
        <v>46266</v>
      </c>
      <c r="E2174" s="2" t="s">
        <v>260</v>
      </c>
      <c r="F2174" s="2" t="s">
        <v>6150</v>
      </c>
      <c r="G2174" s="6">
        <v>46204</v>
      </c>
      <c r="H2174" s="2" t="s">
        <v>176</v>
      </c>
      <c r="I2174" s="2" t="s">
        <v>76</v>
      </c>
      <c r="J2174" s="9">
        <v>17851161.290323</v>
      </c>
      <c r="K2174" s="7">
        <v>6.1299999999999999E-5</v>
      </c>
      <c r="L2174" s="9">
        <v>1094.28</v>
      </c>
      <c r="M2174" s="9">
        <v>1106.77</v>
      </c>
      <c r="N2174" s="9">
        <v>1.8</v>
      </c>
      <c r="O2174" s="10">
        <f>IF(AND(OR(H2174="APPROVED",H2174="SCHEDULED"),COUNTIFS(tblSource[EventID],F2174,tblSource[ReleaseStatus],"APPROVED")=1,COUNTIFS(Period_Status!$A$2:$A$8,G2174,Period_Status!$B$2:$B$8,"ActualClosed")=1,C2174&gt;EOMONTH(Settlement_Bridge!$C$2,0)),1,0)</f>
        <v>1</v>
      </c>
      <c r="P2174" s="2" t="s">
        <v>6153</v>
      </c>
    </row>
    <row r="2175" spans="1:16" x14ac:dyDescent="0.25">
      <c r="A2175" s="2" t="s">
        <v>6154</v>
      </c>
      <c r="B2175" s="2" t="s">
        <v>199</v>
      </c>
      <c r="C2175" s="8">
        <v>46242</v>
      </c>
      <c r="D2175" s="6">
        <v>46235</v>
      </c>
      <c r="E2175" s="2" t="s">
        <v>260</v>
      </c>
      <c r="F2175" s="2" t="s">
        <v>6155</v>
      </c>
      <c r="G2175" s="6">
        <v>46204</v>
      </c>
      <c r="H2175" s="2" t="s">
        <v>71</v>
      </c>
      <c r="I2175" s="2" t="s">
        <v>70</v>
      </c>
      <c r="J2175" s="9">
        <v>1226.522796</v>
      </c>
      <c r="K2175" s="7">
        <v>0.65</v>
      </c>
      <c r="L2175" s="9">
        <v>797.24</v>
      </c>
      <c r="M2175" s="9">
        <v>807.05</v>
      </c>
      <c r="N2175" s="9">
        <v>1.8</v>
      </c>
      <c r="O2175" s="10">
        <f>IF(AND(OR(H2175="APPROVED",H2175="SCHEDULED"),COUNTIFS(tblSource[EventID],F2175,tblSource[ReleaseStatus],"APPROVED")=1,COUNTIFS(Period_Status!$A$2:$A$8,G2175,Period_Status!$B$2:$B$8,"ActualClosed")=1,C2175&gt;EOMONTH(Settlement_Bridge!$C$2,0)),1,0)</f>
        <v>1</v>
      </c>
      <c r="P2175" s="2" t="s">
        <v>6156</v>
      </c>
    </row>
    <row r="2176" spans="1:16" x14ac:dyDescent="0.25">
      <c r="A2176" s="2" t="s">
        <v>6157</v>
      </c>
      <c r="B2176" s="2" t="s">
        <v>199</v>
      </c>
      <c r="C2176" s="8">
        <v>46267</v>
      </c>
      <c r="D2176" s="6">
        <v>46266</v>
      </c>
      <c r="E2176" s="2" t="s">
        <v>260</v>
      </c>
      <c r="F2176" s="2" t="s">
        <v>6155</v>
      </c>
      <c r="G2176" s="6">
        <v>46204</v>
      </c>
      <c r="H2176" s="2" t="s">
        <v>176</v>
      </c>
      <c r="I2176" s="2" t="s">
        <v>70</v>
      </c>
      <c r="J2176" s="9">
        <v>1839.784195</v>
      </c>
      <c r="K2176" s="7">
        <v>0.65100000000000002</v>
      </c>
      <c r="L2176" s="9">
        <v>1197.7</v>
      </c>
      <c r="M2176" s="9">
        <v>1210.58</v>
      </c>
      <c r="N2176" s="9">
        <v>1.8</v>
      </c>
      <c r="O2176" s="10">
        <f>IF(AND(OR(H2176="APPROVED",H2176="SCHEDULED"),COUNTIFS(tblSource[EventID],F2176,tblSource[ReleaseStatus],"APPROVED")=1,COUNTIFS(Period_Status!$A$2:$A$8,G2176,Period_Status!$B$2:$B$8,"ActualClosed")=1,C2176&gt;EOMONTH(Settlement_Bridge!$C$2,0)),1,0)</f>
        <v>1</v>
      </c>
      <c r="P2176" s="2" t="s">
        <v>6158</v>
      </c>
    </row>
    <row r="2177" spans="1:16" x14ac:dyDescent="0.25">
      <c r="A2177" s="2" t="s">
        <v>6159</v>
      </c>
      <c r="B2177" s="2" t="s">
        <v>199</v>
      </c>
      <c r="C2177" s="8">
        <v>46253</v>
      </c>
      <c r="D2177" s="6">
        <v>46235</v>
      </c>
      <c r="E2177" s="2" t="s">
        <v>260</v>
      </c>
      <c r="F2177" s="2" t="s">
        <v>6160</v>
      </c>
      <c r="G2177" s="6">
        <v>46204</v>
      </c>
      <c r="H2177" s="2" t="s">
        <v>71</v>
      </c>
      <c r="I2177" s="2" t="s">
        <v>39</v>
      </c>
      <c r="J2177" s="9">
        <v>2190.64</v>
      </c>
      <c r="K2177" s="7">
        <v>1</v>
      </c>
      <c r="L2177" s="9">
        <v>2190.64</v>
      </c>
      <c r="M2177" s="9">
        <v>2190.64</v>
      </c>
      <c r="N2177" s="9">
        <v>1.8</v>
      </c>
      <c r="O2177" s="10">
        <f>IF(AND(OR(H2177="APPROVED",H2177="SCHEDULED"),COUNTIFS(tblSource[EventID],F2177,tblSource[ReleaseStatus],"APPROVED")=1,COUNTIFS(Period_Status!$A$2:$A$8,G2177,Period_Status!$B$2:$B$8,"ActualClosed")=1,C2177&gt;EOMONTH(Settlement_Bridge!$C$2,0)),1,0)</f>
        <v>1</v>
      </c>
      <c r="P2177" s="2" t="s">
        <v>6161</v>
      </c>
    </row>
    <row r="2178" spans="1:16" x14ac:dyDescent="0.25">
      <c r="A2178" s="2" t="s">
        <v>6162</v>
      </c>
      <c r="B2178" s="2" t="s">
        <v>199</v>
      </c>
      <c r="C2178" s="8">
        <v>46254</v>
      </c>
      <c r="D2178" s="6">
        <v>46235</v>
      </c>
      <c r="E2178" s="2" t="s">
        <v>260</v>
      </c>
      <c r="F2178" s="2" t="s">
        <v>6163</v>
      </c>
      <c r="G2178" s="6">
        <v>46204</v>
      </c>
      <c r="H2178" s="2" t="s">
        <v>71</v>
      </c>
      <c r="I2178" s="2" t="s">
        <v>76</v>
      </c>
      <c r="J2178" s="9">
        <v>38123387.096773997</v>
      </c>
      <c r="K2178" s="7">
        <v>6.1500000000000004E-5</v>
      </c>
      <c r="L2178" s="9">
        <v>2344.59</v>
      </c>
      <c r="M2178" s="9">
        <v>2363.65</v>
      </c>
      <c r="N2178" s="9">
        <v>1.8</v>
      </c>
      <c r="O2178" s="10">
        <f>IF(AND(OR(H2178="APPROVED",H2178="SCHEDULED"),COUNTIFS(tblSource[EventID],F2178,tblSource[ReleaseStatus],"APPROVED")=1,COUNTIFS(Period_Status!$A$2:$A$8,G2178,Period_Status!$B$2:$B$8,"ActualClosed")=1,C2178&gt;EOMONTH(Settlement_Bridge!$C$2,0)),1,0)</f>
        <v>1</v>
      </c>
      <c r="P2178" s="2" t="s">
        <v>6164</v>
      </c>
    </row>
    <row r="2179" spans="1:16" x14ac:dyDescent="0.25">
      <c r="A2179" s="2" t="s">
        <v>6165</v>
      </c>
      <c r="B2179" s="2" t="s">
        <v>199</v>
      </c>
      <c r="C2179" s="8">
        <v>46245</v>
      </c>
      <c r="D2179" s="6">
        <v>46235</v>
      </c>
      <c r="E2179" s="2" t="s">
        <v>260</v>
      </c>
      <c r="F2179" s="2" t="s">
        <v>6166</v>
      </c>
      <c r="G2179" s="6">
        <v>46204</v>
      </c>
      <c r="H2179" s="2" t="s">
        <v>71</v>
      </c>
      <c r="I2179" s="2" t="s">
        <v>70</v>
      </c>
      <c r="J2179" s="9">
        <v>1542.042553</v>
      </c>
      <c r="K2179" s="7">
        <v>0.65</v>
      </c>
      <c r="L2179" s="9">
        <v>1002.33</v>
      </c>
      <c r="M2179" s="9">
        <v>1014.66</v>
      </c>
      <c r="N2179" s="9">
        <v>1.8</v>
      </c>
      <c r="O2179" s="10">
        <f>IF(AND(OR(H2179="APPROVED",H2179="SCHEDULED"),COUNTIFS(tblSource[EventID],F2179,tblSource[ReleaseStatus],"APPROVED")=1,COUNTIFS(Period_Status!$A$2:$A$8,G2179,Period_Status!$B$2:$B$8,"ActualClosed")=1,C2179&gt;EOMONTH(Settlement_Bridge!$C$2,0)),1,0)</f>
        <v>1</v>
      </c>
      <c r="P2179" s="2" t="s">
        <v>6167</v>
      </c>
    </row>
    <row r="2180" spans="1:16" x14ac:dyDescent="0.25">
      <c r="A2180" s="2" t="s">
        <v>6168</v>
      </c>
      <c r="B2180" s="2" t="s">
        <v>199</v>
      </c>
      <c r="C2180" s="8">
        <v>46270</v>
      </c>
      <c r="D2180" s="6">
        <v>46266</v>
      </c>
      <c r="E2180" s="2" t="s">
        <v>260</v>
      </c>
      <c r="F2180" s="2" t="s">
        <v>6166</v>
      </c>
      <c r="G2180" s="6">
        <v>46204</v>
      </c>
      <c r="H2180" s="2" t="s">
        <v>176</v>
      </c>
      <c r="I2180" s="2" t="s">
        <v>70</v>
      </c>
      <c r="J2180" s="9">
        <v>2313.0638300000001</v>
      </c>
      <c r="K2180" s="7">
        <v>0.65100000000000002</v>
      </c>
      <c r="L2180" s="9">
        <v>1505.8</v>
      </c>
      <c r="M2180" s="9">
        <v>1522</v>
      </c>
      <c r="N2180" s="9">
        <v>1.8</v>
      </c>
      <c r="O2180" s="10">
        <f>IF(AND(OR(H2180="APPROVED",H2180="SCHEDULED"),COUNTIFS(tblSource[EventID],F2180,tblSource[ReleaseStatus],"APPROVED")=1,COUNTIFS(Period_Status!$A$2:$A$8,G2180,Period_Status!$B$2:$B$8,"ActualClosed")=1,C2180&gt;EOMONTH(Settlement_Bridge!$C$2,0)),1,0)</f>
        <v>1</v>
      </c>
      <c r="P2180" s="2" t="s">
        <v>6169</v>
      </c>
    </row>
    <row r="2181" spans="1:16" x14ac:dyDescent="0.25">
      <c r="A2181" s="2" t="s">
        <v>6170</v>
      </c>
      <c r="B2181" s="2" t="s">
        <v>199</v>
      </c>
      <c r="C2181" s="8">
        <v>46256</v>
      </c>
      <c r="D2181" s="6">
        <v>46235</v>
      </c>
      <c r="E2181" s="2" t="s">
        <v>260</v>
      </c>
      <c r="F2181" s="2" t="s">
        <v>6171</v>
      </c>
      <c r="G2181" s="6">
        <v>46204</v>
      </c>
      <c r="H2181" s="2" t="s">
        <v>71</v>
      </c>
      <c r="I2181" s="2" t="s">
        <v>39</v>
      </c>
      <c r="J2181" s="9">
        <v>2709.67</v>
      </c>
      <c r="K2181" s="7">
        <v>1</v>
      </c>
      <c r="L2181" s="9">
        <v>2709.67</v>
      </c>
      <c r="M2181" s="9">
        <v>2709.67</v>
      </c>
      <c r="N2181" s="9">
        <v>1.8</v>
      </c>
      <c r="O2181" s="10">
        <f>IF(AND(OR(H2181="APPROVED",H2181="SCHEDULED"),COUNTIFS(tblSource[EventID],F2181,tblSource[ReleaseStatus],"APPROVED")=1,COUNTIFS(Period_Status!$A$2:$A$8,G2181,Period_Status!$B$2:$B$8,"ActualClosed")=1,C2181&gt;EOMONTH(Settlement_Bridge!$C$2,0)),1,0)</f>
        <v>1</v>
      </c>
      <c r="P2181" s="2" t="s">
        <v>6172</v>
      </c>
    </row>
    <row r="2182" spans="1:16" x14ac:dyDescent="0.25">
      <c r="A2182" s="2" t="s">
        <v>6173</v>
      </c>
      <c r="B2182" s="2" t="s">
        <v>199</v>
      </c>
      <c r="C2182" s="8">
        <v>46257</v>
      </c>
      <c r="D2182" s="6">
        <v>46235</v>
      </c>
      <c r="E2182" s="2" t="s">
        <v>260</v>
      </c>
      <c r="F2182" s="2" t="s">
        <v>6174</v>
      </c>
      <c r="G2182" s="6">
        <v>46204</v>
      </c>
      <c r="H2182" s="2" t="s">
        <v>71</v>
      </c>
      <c r="I2182" s="2" t="s">
        <v>76</v>
      </c>
      <c r="J2182" s="9">
        <v>46494838.709677003</v>
      </c>
      <c r="K2182" s="7">
        <v>6.1500000000000004E-5</v>
      </c>
      <c r="L2182" s="9">
        <v>2859.43</v>
      </c>
      <c r="M2182" s="9">
        <v>2882.68</v>
      </c>
      <c r="N2182" s="9">
        <v>1.8</v>
      </c>
      <c r="O2182" s="10">
        <f>IF(AND(OR(H2182="APPROVED",H2182="SCHEDULED"),COUNTIFS(tblSource[EventID],F2182,tblSource[ReleaseStatus],"APPROVED")=1,COUNTIFS(Period_Status!$A$2:$A$8,G2182,Period_Status!$B$2:$B$8,"ActualClosed")=1,C2182&gt;EOMONTH(Settlement_Bridge!$C$2,0)),1,0)</f>
        <v>1</v>
      </c>
      <c r="P2182" s="2" t="s">
        <v>6175</v>
      </c>
    </row>
    <row r="2183" spans="1:16" x14ac:dyDescent="0.25">
      <c r="A2183" s="2" t="s">
        <v>6176</v>
      </c>
      <c r="B2183" s="2" t="s">
        <v>199</v>
      </c>
      <c r="C2183" s="8">
        <v>46258</v>
      </c>
      <c r="D2183" s="6">
        <v>46235</v>
      </c>
      <c r="E2183" s="2" t="s">
        <v>260</v>
      </c>
      <c r="F2183" s="2" t="s">
        <v>6177</v>
      </c>
      <c r="G2183" s="6">
        <v>46204</v>
      </c>
      <c r="H2183" s="2" t="s">
        <v>71</v>
      </c>
      <c r="I2183" s="2" t="s">
        <v>70</v>
      </c>
      <c r="J2183" s="9">
        <v>4643.9057750000002</v>
      </c>
      <c r="K2183" s="7">
        <v>0.65</v>
      </c>
      <c r="L2183" s="9">
        <v>3018.54</v>
      </c>
      <c r="M2183" s="9">
        <v>3055.69</v>
      </c>
      <c r="N2183" s="9">
        <v>1.8</v>
      </c>
      <c r="O2183" s="10">
        <f>IF(AND(OR(H2183="APPROVED",H2183="SCHEDULED"),COUNTIFS(tblSource[EventID],F2183,tblSource[ReleaseStatus],"APPROVED")=1,COUNTIFS(Period_Status!$A$2:$A$8,G2183,Period_Status!$B$2:$B$8,"ActualClosed")=1,C2183&gt;EOMONTH(Settlement_Bridge!$C$2,0)),1,0)</f>
        <v>1</v>
      </c>
      <c r="P2183" s="2" t="s">
        <v>6178</v>
      </c>
    </row>
    <row r="2184" spans="1:16" x14ac:dyDescent="0.25">
      <c r="A2184" s="2" t="s">
        <v>6179</v>
      </c>
      <c r="B2184" s="2" t="s">
        <v>199</v>
      </c>
      <c r="C2184" s="8">
        <v>46228</v>
      </c>
      <c r="D2184" s="6">
        <v>46204</v>
      </c>
      <c r="E2184" s="2" t="s">
        <v>260</v>
      </c>
      <c r="F2184" s="2" t="s">
        <v>6180</v>
      </c>
      <c r="G2184" s="6">
        <v>46204</v>
      </c>
      <c r="H2184" s="2" t="s">
        <v>71</v>
      </c>
      <c r="I2184" s="2" t="s">
        <v>39</v>
      </c>
      <c r="J2184" s="9">
        <v>3228.7</v>
      </c>
      <c r="K2184" s="7">
        <v>1</v>
      </c>
      <c r="L2184" s="9">
        <v>3228.7</v>
      </c>
      <c r="M2184" s="9">
        <v>3228.7</v>
      </c>
      <c r="N2184" s="9">
        <v>1.8</v>
      </c>
      <c r="O2184" s="10">
        <f>IF(AND(OR(H2184="APPROVED",H2184="SCHEDULED"),COUNTIFS(tblSource[EventID],F2184,tblSource[ReleaseStatus],"APPROVED")=1,COUNTIFS(Period_Status!$A$2:$A$8,G2184,Period_Status!$B$2:$B$8,"ActualClosed")=1,C2184&gt;EOMONTH(Settlement_Bridge!$C$2,0)),1,0)</f>
        <v>0</v>
      </c>
      <c r="P2184" s="2" t="s">
        <v>6181</v>
      </c>
    </row>
    <row r="2185" spans="1:16" x14ac:dyDescent="0.25">
      <c r="A2185" s="2" t="s">
        <v>6182</v>
      </c>
      <c r="B2185" s="2" t="s">
        <v>199</v>
      </c>
      <c r="C2185" s="8">
        <v>46229</v>
      </c>
      <c r="D2185" s="6">
        <v>46204</v>
      </c>
      <c r="E2185" s="2" t="s">
        <v>260</v>
      </c>
      <c r="F2185" s="2" t="s">
        <v>6183</v>
      </c>
      <c r="G2185" s="6">
        <v>46204</v>
      </c>
      <c r="H2185" s="2" t="s">
        <v>71</v>
      </c>
      <c r="I2185" s="2" t="s">
        <v>76</v>
      </c>
      <c r="J2185" s="9">
        <v>54866290.322581001</v>
      </c>
      <c r="K2185" s="7">
        <v>6.2000000000000003E-5</v>
      </c>
      <c r="L2185" s="9">
        <v>3401.71</v>
      </c>
      <c r="M2185" s="9">
        <v>3401.71</v>
      </c>
      <c r="N2185" s="9">
        <v>1.87</v>
      </c>
      <c r="O2185" s="10">
        <f>IF(AND(OR(H2185="APPROVED",H2185="SCHEDULED"),COUNTIFS(tblSource[EventID],F2185,tblSource[ReleaseStatus],"APPROVED")=1,COUNTIFS(Period_Status!$A$2:$A$8,G2185,Period_Status!$B$2:$B$8,"ActualClosed")=1,C2185&gt;EOMONTH(Settlement_Bridge!$C$2,0)),1,0)</f>
        <v>0</v>
      </c>
      <c r="P2185" s="2" t="s">
        <v>6184</v>
      </c>
    </row>
    <row r="2186" spans="1:16" x14ac:dyDescent="0.25">
      <c r="A2186" s="2" t="s">
        <v>6185</v>
      </c>
      <c r="B2186" s="2" t="s">
        <v>199</v>
      </c>
      <c r="C2186" s="8">
        <v>46220</v>
      </c>
      <c r="D2186" s="6">
        <v>46204</v>
      </c>
      <c r="E2186" s="2" t="s">
        <v>260</v>
      </c>
      <c r="F2186" s="2" t="s">
        <v>6186</v>
      </c>
      <c r="G2186" s="6">
        <v>46204</v>
      </c>
      <c r="H2186" s="2" t="s">
        <v>71</v>
      </c>
      <c r="I2186" s="2" t="s">
        <v>70</v>
      </c>
      <c r="J2186" s="9">
        <v>2173.0820669999998</v>
      </c>
      <c r="K2186" s="7">
        <v>0.65800000000000003</v>
      </c>
      <c r="L2186" s="9">
        <v>1429.89</v>
      </c>
      <c r="M2186" s="9">
        <v>1429.89</v>
      </c>
      <c r="N2186" s="9">
        <v>1.8</v>
      </c>
      <c r="O2186" s="10">
        <f>IF(AND(OR(H2186="APPROVED",H2186="SCHEDULED"),COUNTIFS(tblSource[EventID],F2186,tblSource[ReleaseStatus],"APPROVED")=1,COUNTIFS(Period_Status!$A$2:$A$8,G2186,Period_Status!$B$2:$B$8,"ActualClosed")=1,C2186&gt;EOMONTH(Settlement_Bridge!$C$2,0)),1,0)</f>
        <v>0</v>
      </c>
      <c r="P2186" s="2" t="s">
        <v>6187</v>
      </c>
    </row>
    <row r="2187" spans="1:16" x14ac:dyDescent="0.25">
      <c r="A2187" s="2" t="s">
        <v>6188</v>
      </c>
      <c r="B2187" s="2" t="s">
        <v>199</v>
      </c>
      <c r="C2187" s="8">
        <v>46245</v>
      </c>
      <c r="D2187" s="6">
        <v>46235</v>
      </c>
      <c r="E2187" s="2" t="s">
        <v>260</v>
      </c>
      <c r="F2187" s="2" t="s">
        <v>6186</v>
      </c>
      <c r="G2187" s="6">
        <v>46204</v>
      </c>
      <c r="H2187" s="2" t="s">
        <v>71</v>
      </c>
      <c r="I2187" s="2" t="s">
        <v>70</v>
      </c>
      <c r="J2187" s="9">
        <v>3259.6230999999998</v>
      </c>
      <c r="K2187" s="7">
        <v>0.65</v>
      </c>
      <c r="L2187" s="9">
        <v>2118.7600000000002</v>
      </c>
      <c r="M2187" s="9">
        <v>2144.83</v>
      </c>
      <c r="N2187" s="9">
        <v>1.8</v>
      </c>
      <c r="O2187" s="10">
        <f>IF(AND(OR(H2187="APPROVED",H2187="SCHEDULED"),COUNTIFS(tblSource[EventID],F2187,tblSource[ReleaseStatus],"APPROVED")=1,COUNTIFS(Period_Status!$A$2:$A$8,G2187,Period_Status!$B$2:$B$8,"ActualClosed")=1,C2187&gt;EOMONTH(Settlement_Bridge!$C$2,0)),1,0)</f>
        <v>1</v>
      </c>
      <c r="P2187" s="2" t="s">
        <v>6189</v>
      </c>
    </row>
    <row r="2188" spans="1:16" x14ac:dyDescent="0.25">
      <c r="A2188" s="2" t="s">
        <v>6190</v>
      </c>
      <c r="B2188" s="2" t="s">
        <v>199</v>
      </c>
      <c r="C2188" s="8">
        <v>46221</v>
      </c>
      <c r="D2188" s="6">
        <v>46204</v>
      </c>
      <c r="E2188" s="2" t="s">
        <v>260</v>
      </c>
      <c r="F2188" s="2" t="s">
        <v>6191</v>
      </c>
      <c r="G2188" s="6">
        <v>46204</v>
      </c>
      <c r="H2188" s="2" t="s">
        <v>71</v>
      </c>
      <c r="I2188" s="2" t="s">
        <v>39</v>
      </c>
      <c r="J2188" s="9">
        <v>1499.0920000000001</v>
      </c>
      <c r="K2188" s="7">
        <v>1</v>
      </c>
      <c r="L2188" s="9">
        <v>1499.09</v>
      </c>
      <c r="M2188" s="9">
        <v>1499.09</v>
      </c>
      <c r="N2188" s="9">
        <v>1.8</v>
      </c>
      <c r="O2188" s="10">
        <f>IF(AND(OR(H2188="APPROVED",H2188="SCHEDULED"),COUNTIFS(tblSource[EventID],F2188,tblSource[ReleaseStatus],"APPROVED")=1,COUNTIFS(Period_Status!$A$2:$A$8,G2188,Period_Status!$B$2:$B$8,"ActualClosed")=1,C2188&gt;EOMONTH(Settlement_Bridge!$C$2,0)),1,0)</f>
        <v>0</v>
      </c>
      <c r="P2188" s="2" t="s">
        <v>6192</v>
      </c>
    </row>
    <row r="2189" spans="1:16" x14ac:dyDescent="0.25">
      <c r="A2189" s="2" t="s">
        <v>6193</v>
      </c>
      <c r="B2189" s="2" t="s">
        <v>199</v>
      </c>
      <c r="C2189" s="8">
        <v>46246</v>
      </c>
      <c r="D2189" s="6">
        <v>46235</v>
      </c>
      <c r="E2189" s="2" t="s">
        <v>260</v>
      </c>
      <c r="F2189" s="2" t="s">
        <v>6191</v>
      </c>
      <c r="G2189" s="6">
        <v>46204</v>
      </c>
      <c r="H2189" s="2" t="s">
        <v>71</v>
      </c>
      <c r="I2189" s="2" t="s">
        <v>39</v>
      </c>
      <c r="J2189" s="9">
        <v>2248.6379999999999</v>
      </c>
      <c r="K2189" s="7">
        <v>1</v>
      </c>
      <c r="L2189" s="9">
        <v>2248.64</v>
      </c>
      <c r="M2189" s="9">
        <v>2248.64</v>
      </c>
      <c r="N2189" s="9">
        <v>1.8</v>
      </c>
      <c r="O2189" s="10">
        <f>IF(AND(OR(H2189="APPROVED",H2189="SCHEDULED"),COUNTIFS(tblSource[EventID],F2189,tblSource[ReleaseStatus],"APPROVED")=1,COUNTIFS(Period_Status!$A$2:$A$8,G2189,Period_Status!$B$2:$B$8,"ActualClosed")=1,C2189&gt;EOMONTH(Settlement_Bridge!$C$2,0)),1,0)</f>
        <v>1</v>
      </c>
      <c r="P2189" s="2" t="s">
        <v>6194</v>
      </c>
    </row>
    <row r="2190" spans="1:16" x14ac:dyDescent="0.25">
      <c r="A2190" s="2" t="s">
        <v>6195</v>
      </c>
      <c r="B2190" s="2" t="s">
        <v>199</v>
      </c>
      <c r="C2190" s="8">
        <v>46232</v>
      </c>
      <c r="D2190" s="6">
        <v>46204</v>
      </c>
      <c r="E2190" s="2" t="s">
        <v>260</v>
      </c>
      <c r="F2190" s="2" t="s">
        <v>6196</v>
      </c>
      <c r="G2190" s="6">
        <v>46204</v>
      </c>
      <c r="H2190" s="2" t="s">
        <v>71</v>
      </c>
      <c r="I2190" s="2" t="s">
        <v>76</v>
      </c>
      <c r="J2190" s="9">
        <v>-63237741.935484</v>
      </c>
      <c r="K2190" s="7">
        <v>6.2000000000000003E-5</v>
      </c>
      <c r="L2190" s="9">
        <v>-3920.74</v>
      </c>
      <c r="M2190" s="9">
        <v>-3920.74</v>
      </c>
      <c r="N2190" s="9">
        <v>0</v>
      </c>
      <c r="O2190" s="10">
        <f>IF(AND(OR(H2190="APPROVED",H2190="SCHEDULED"),COUNTIFS(tblSource[EventID],F2190,tblSource[ReleaseStatus],"APPROVED")=1,COUNTIFS(Period_Status!$A$2:$A$8,G2190,Period_Status!$B$2:$B$8,"ActualClosed")=1,C2190&gt;EOMONTH(Settlement_Bridge!$C$2,0)),1,0)</f>
        <v>0</v>
      </c>
      <c r="P2190" s="2" t="s">
        <v>6197</v>
      </c>
    </row>
    <row r="2191" spans="1:16" x14ac:dyDescent="0.25">
      <c r="A2191" s="2" t="s">
        <v>6198</v>
      </c>
      <c r="B2191" s="2" t="s">
        <v>199</v>
      </c>
      <c r="C2191" s="8">
        <v>46233</v>
      </c>
      <c r="D2191" s="6">
        <v>46204</v>
      </c>
      <c r="E2191" s="2" t="s">
        <v>260</v>
      </c>
      <c r="F2191" s="2" t="s">
        <v>6199</v>
      </c>
      <c r="G2191" s="6">
        <v>46204</v>
      </c>
      <c r="H2191" s="2" t="s">
        <v>71</v>
      </c>
      <c r="I2191" s="2" t="s">
        <v>70</v>
      </c>
      <c r="J2191" s="9">
        <v>6221.504559</v>
      </c>
      <c r="K2191" s="7">
        <v>0.65800000000000003</v>
      </c>
      <c r="L2191" s="9">
        <v>4093.75</v>
      </c>
      <c r="M2191" s="9">
        <v>4093.75</v>
      </c>
      <c r="N2191" s="9">
        <v>2.25</v>
      </c>
      <c r="O2191" s="10">
        <f>IF(AND(OR(H2191="APPROVED",H2191="SCHEDULED"),COUNTIFS(tblSource[EventID],F2191,tblSource[ReleaseStatus],"APPROVED")=1,COUNTIFS(Period_Status!$A$2:$A$8,G2191,Period_Status!$B$2:$B$8,"ActualClosed")=1,C2191&gt;EOMONTH(Settlement_Bridge!$C$2,0)),1,0)</f>
        <v>0</v>
      </c>
      <c r="P2191" s="2" t="s">
        <v>6200</v>
      </c>
    </row>
    <row r="2192" spans="1:16" x14ac:dyDescent="0.25">
      <c r="A2192" s="2" t="s">
        <v>6201</v>
      </c>
      <c r="B2192" s="2" t="s">
        <v>199</v>
      </c>
      <c r="C2192" s="8">
        <v>46224</v>
      </c>
      <c r="D2192" s="6">
        <v>46204</v>
      </c>
      <c r="E2192" s="2" t="s">
        <v>260</v>
      </c>
      <c r="F2192" s="2" t="s">
        <v>6202</v>
      </c>
      <c r="G2192" s="6">
        <v>46204</v>
      </c>
      <c r="H2192" s="2" t="s">
        <v>71</v>
      </c>
      <c r="I2192" s="2" t="s">
        <v>39</v>
      </c>
      <c r="J2192" s="9">
        <v>1706.704</v>
      </c>
      <c r="K2192" s="7">
        <v>1</v>
      </c>
      <c r="L2192" s="9">
        <v>1706.7</v>
      </c>
      <c r="M2192" s="9">
        <v>1706.7</v>
      </c>
      <c r="N2192" s="9">
        <v>1.8</v>
      </c>
      <c r="O2192" s="10">
        <f>IF(AND(OR(H2192="APPROVED",H2192="SCHEDULED"),COUNTIFS(tblSource[EventID],F2192,tblSource[ReleaseStatus],"APPROVED")=1,COUNTIFS(Period_Status!$A$2:$A$8,G2192,Period_Status!$B$2:$B$8,"ActualClosed")=1,C2192&gt;EOMONTH(Settlement_Bridge!$C$2,0)),1,0)</f>
        <v>0</v>
      </c>
      <c r="P2192" s="2" t="s">
        <v>6203</v>
      </c>
    </row>
    <row r="2193" spans="1:16" x14ac:dyDescent="0.25">
      <c r="A2193" s="2" t="s">
        <v>6204</v>
      </c>
      <c r="B2193" s="2" t="s">
        <v>199</v>
      </c>
      <c r="C2193" s="8">
        <v>46249</v>
      </c>
      <c r="D2193" s="6">
        <v>46235</v>
      </c>
      <c r="E2193" s="2" t="s">
        <v>260</v>
      </c>
      <c r="F2193" s="2" t="s">
        <v>6202</v>
      </c>
      <c r="G2193" s="6">
        <v>46204</v>
      </c>
      <c r="H2193" s="2" t="s">
        <v>71</v>
      </c>
      <c r="I2193" s="2" t="s">
        <v>39</v>
      </c>
      <c r="J2193" s="9">
        <v>2560.056</v>
      </c>
      <c r="K2193" s="7">
        <v>1</v>
      </c>
      <c r="L2193" s="9">
        <v>2560.06</v>
      </c>
      <c r="M2193" s="9">
        <v>2560.06</v>
      </c>
      <c r="N2193" s="9">
        <v>1.8</v>
      </c>
      <c r="O2193" s="10">
        <f>IF(AND(OR(H2193="APPROVED",H2193="SCHEDULED"),COUNTIFS(tblSource[EventID],F2193,tblSource[ReleaseStatus],"APPROVED")=1,COUNTIFS(Period_Status!$A$2:$A$8,G2193,Period_Status!$B$2:$B$8,"ActualClosed")=1,C2193&gt;EOMONTH(Settlement_Bridge!$C$2,0)),1,0)</f>
        <v>1</v>
      </c>
      <c r="P2193" s="2" t="s">
        <v>6205</v>
      </c>
    </row>
    <row r="2194" spans="1:16" x14ac:dyDescent="0.25">
      <c r="A2194" s="2" t="s">
        <v>6206</v>
      </c>
      <c r="B2194" s="2" t="s">
        <v>199</v>
      </c>
      <c r="C2194" s="8">
        <v>46235</v>
      </c>
      <c r="D2194" s="6">
        <v>46235</v>
      </c>
      <c r="E2194" s="2" t="s">
        <v>260</v>
      </c>
      <c r="F2194" s="2" t="s">
        <v>6207</v>
      </c>
      <c r="G2194" s="6">
        <v>46204</v>
      </c>
      <c r="H2194" s="2" t="s">
        <v>71</v>
      </c>
      <c r="I2194" s="2" t="s">
        <v>76</v>
      </c>
      <c r="J2194" s="9">
        <v>71609193.548387006</v>
      </c>
      <c r="K2194" s="7">
        <v>6.1500000000000004E-5</v>
      </c>
      <c r="L2194" s="9">
        <v>4403.97</v>
      </c>
      <c r="M2194" s="9">
        <v>4439.7700000000004</v>
      </c>
      <c r="N2194" s="9">
        <v>2.42</v>
      </c>
      <c r="O2194" s="10">
        <f>IF(AND(OR(H2194="APPROVED",H2194="SCHEDULED"),COUNTIFS(tblSource[EventID],F2194,tblSource[ReleaseStatus],"APPROVED")=1,COUNTIFS(Period_Status!$A$2:$A$8,G2194,Period_Status!$B$2:$B$8,"ActualClosed")=1,C2194&gt;EOMONTH(Settlement_Bridge!$C$2,0)),1,0)</f>
        <v>1</v>
      </c>
      <c r="P2194" s="2" t="s">
        <v>6208</v>
      </c>
    </row>
    <row r="2195" spans="1:16" x14ac:dyDescent="0.25">
      <c r="A2195" s="2" t="s">
        <v>6209</v>
      </c>
      <c r="B2195" s="2" t="s">
        <v>199</v>
      </c>
      <c r="C2195" s="8">
        <v>46236</v>
      </c>
      <c r="D2195" s="6">
        <v>46235</v>
      </c>
      <c r="E2195" s="2" t="s">
        <v>260</v>
      </c>
      <c r="F2195" s="2" t="s">
        <v>6210</v>
      </c>
      <c r="G2195" s="6">
        <v>46204</v>
      </c>
      <c r="H2195" s="2" t="s">
        <v>71</v>
      </c>
      <c r="I2195" s="2" t="s">
        <v>70</v>
      </c>
      <c r="J2195" s="9">
        <v>7010.3039509999999</v>
      </c>
      <c r="K2195" s="7">
        <v>0.65</v>
      </c>
      <c r="L2195" s="9">
        <v>4556.7</v>
      </c>
      <c r="M2195" s="9">
        <v>4612.78</v>
      </c>
      <c r="N2195" s="9">
        <v>2.5099999999999998</v>
      </c>
      <c r="O2195" s="10">
        <f>IF(AND(OR(H2195="APPROVED",H2195="SCHEDULED"),COUNTIFS(tblSource[EventID],F2195,tblSource[ReleaseStatus],"APPROVED")=1,COUNTIFS(Period_Status!$A$2:$A$8,G2195,Period_Status!$B$2:$B$8,"ActualClosed")=1,C2195&gt;EOMONTH(Settlement_Bridge!$C$2,0)),1,0)</f>
        <v>1</v>
      </c>
      <c r="P2195" s="2" t="s">
        <v>6211</v>
      </c>
    </row>
    <row r="2196" spans="1:16" x14ac:dyDescent="0.25">
      <c r="A2196" s="2" t="s">
        <v>6212</v>
      </c>
      <c r="B2196" s="2" t="s">
        <v>199</v>
      </c>
      <c r="C2196" s="8">
        <v>46237</v>
      </c>
      <c r="D2196" s="6">
        <v>46235</v>
      </c>
      <c r="E2196" s="2" t="s">
        <v>260</v>
      </c>
      <c r="F2196" s="2" t="s">
        <v>6213</v>
      </c>
      <c r="G2196" s="6">
        <v>46204</v>
      </c>
      <c r="H2196" s="2" t="s">
        <v>71</v>
      </c>
      <c r="I2196" s="2" t="s">
        <v>39</v>
      </c>
      <c r="J2196" s="9">
        <v>4785.79</v>
      </c>
      <c r="K2196" s="7">
        <v>1</v>
      </c>
      <c r="L2196" s="9">
        <v>4785.79</v>
      </c>
      <c r="M2196" s="9">
        <v>4785.79</v>
      </c>
      <c r="N2196" s="9">
        <v>2.63</v>
      </c>
      <c r="O2196" s="10">
        <f>IF(AND(OR(H2196="APPROVED",H2196="SCHEDULED"),COUNTIFS(tblSource[EventID],F2196,tblSource[ReleaseStatus],"APPROVED")=1,COUNTIFS(Period_Status!$A$2:$A$8,G2196,Period_Status!$B$2:$B$8,"ActualClosed")=1,C2196&gt;EOMONTH(Settlement_Bridge!$C$2,0)),1,0)</f>
        <v>1</v>
      </c>
      <c r="P2196" s="2" t="s">
        <v>6214</v>
      </c>
    </row>
    <row r="2197" spans="1:16" x14ac:dyDescent="0.25">
      <c r="A2197" s="2" t="s">
        <v>6215</v>
      </c>
      <c r="B2197" s="2" t="s">
        <v>199</v>
      </c>
      <c r="C2197" s="8">
        <v>46238</v>
      </c>
      <c r="D2197" s="6">
        <v>46235</v>
      </c>
      <c r="E2197" s="2" t="s">
        <v>260</v>
      </c>
      <c r="F2197" s="2" t="s">
        <v>6216</v>
      </c>
      <c r="G2197" s="6">
        <v>46204</v>
      </c>
      <c r="H2197" s="2" t="s">
        <v>71</v>
      </c>
      <c r="I2197" s="2" t="s">
        <v>76</v>
      </c>
      <c r="J2197" s="9">
        <v>79980645.161290005</v>
      </c>
      <c r="K2197" s="7">
        <v>6.1500000000000004E-5</v>
      </c>
      <c r="L2197" s="9">
        <v>4918.8100000000004</v>
      </c>
      <c r="M2197" s="9">
        <v>4958.8</v>
      </c>
      <c r="N2197" s="9">
        <v>2.71</v>
      </c>
      <c r="O2197" s="10">
        <f>IF(AND(OR(H2197="APPROVED",H2197="SCHEDULED"),COUNTIFS(tblSource[EventID],F2197,tblSource[ReleaseStatus],"APPROVED")=1,COUNTIFS(Period_Status!$A$2:$A$8,G2197,Period_Status!$B$2:$B$8,"ActualClosed")=1,C2197&gt;EOMONTH(Settlement_Bridge!$C$2,0)),1,0)</f>
        <v>1</v>
      </c>
      <c r="P2197" s="2" t="s">
        <v>6217</v>
      </c>
    </row>
    <row r="2198" spans="1:16" x14ac:dyDescent="0.25">
      <c r="A2198" s="2" t="s">
        <v>6218</v>
      </c>
      <c r="B2198" s="2" t="s">
        <v>199</v>
      </c>
      <c r="C2198" s="8">
        <v>46239</v>
      </c>
      <c r="D2198" s="6">
        <v>46235</v>
      </c>
      <c r="E2198" s="2" t="s">
        <v>260</v>
      </c>
      <c r="F2198" s="2" t="s">
        <v>6219</v>
      </c>
      <c r="G2198" s="6">
        <v>46204</v>
      </c>
      <c r="H2198" s="2" t="s">
        <v>71</v>
      </c>
      <c r="I2198" s="2" t="s">
        <v>70</v>
      </c>
      <c r="J2198" s="9">
        <v>7799.1033429999998</v>
      </c>
      <c r="K2198" s="7">
        <v>0.65</v>
      </c>
      <c r="L2198" s="9">
        <v>5069.42</v>
      </c>
      <c r="M2198" s="9">
        <v>5131.8100000000004</v>
      </c>
      <c r="N2198" s="9">
        <v>2.79</v>
      </c>
      <c r="O2198" s="10">
        <f>IF(AND(OR(H2198="APPROVED",H2198="SCHEDULED"),COUNTIFS(tblSource[EventID],F2198,tblSource[ReleaseStatus],"APPROVED")=1,COUNTIFS(Period_Status!$A$2:$A$8,G2198,Period_Status!$B$2:$B$8,"ActualClosed")=1,C2198&gt;EOMONTH(Settlement_Bridge!$C$2,0)),1,0)</f>
        <v>1</v>
      </c>
      <c r="P2198" s="2" t="s">
        <v>6220</v>
      </c>
    </row>
    <row r="2199" spans="1:16" x14ac:dyDescent="0.25">
      <c r="A2199" s="2" t="s">
        <v>6221</v>
      </c>
      <c r="B2199" s="2" t="s">
        <v>199</v>
      </c>
      <c r="C2199" s="8">
        <v>46230</v>
      </c>
      <c r="D2199" s="6">
        <v>46204</v>
      </c>
      <c r="E2199" s="2" t="s">
        <v>260</v>
      </c>
      <c r="F2199" s="2" t="s">
        <v>6222</v>
      </c>
      <c r="G2199" s="6">
        <v>46204</v>
      </c>
      <c r="H2199" s="2" t="s">
        <v>71</v>
      </c>
      <c r="I2199" s="2" t="s">
        <v>39</v>
      </c>
      <c r="J2199" s="9">
        <v>2121.9279999999999</v>
      </c>
      <c r="K2199" s="7">
        <v>1</v>
      </c>
      <c r="L2199" s="9">
        <v>2121.9299999999998</v>
      </c>
      <c r="M2199" s="9">
        <v>2121.9299999999998</v>
      </c>
      <c r="N2199" s="9">
        <v>1.8</v>
      </c>
      <c r="O2199" s="10">
        <f>IF(AND(OR(H2199="APPROVED",H2199="SCHEDULED"),COUNTIFS(tblSource[EventID],F2199,tblSource[ReleaseStatus],"APPROVED")=1,COUNTIFS(Period_Status!$A$2:$A$8,G2199,Period_Status!$B$2:$B$8,"ActualClosed")=1,C2199&gt;EOMONTH(Settlement_Bridge!$C$2,0)),1,0)</f>
        <v>0</v>
      </c>
      <c r="P2199" s="2" t="s">
        <v>6223</v>
      </c>
    </row>
    <row r="2200" spans="1:16" x14ac:dyDescent="0.25">
      <c r="A2200" s="2" t="s">
        <v>6224</v>
      </c>
      <c r="B2200" s="2" t="s">
        <v>199</v>
      </c>
      <c r="C2200" s="8">
        <v>46255</v>
      </c>
      <c r="D2200" s="6">
        <v>46235</v>
      </c>
      <c r="E2200" s="2" t="s">
        <v>260</v>
      </c>
      <c r="F2200" s="2" t="s">
        <v>6222</v>
      </c>
      <c r="G2200" s="6">
        <v>46204</v>
      </c>
      <c r="H2200" s="2" t="s">
        <v>71</v>
      </c>
      <c r="I2200" s="2" t="s">
        <v>39</v>
      </c>
      <c r="J2200" s="9">
        <v>3182.8919999999998</v>
      </c>
      <c r="K2200" s="7">
        <v>1</v>
      </c>
      <c r="L2200" s="9">
        <v>3182.89</v>
      </c>
      <c r="M2200" s="9">
        <v>3182.89</v>
      </c>
      <c r="N2200" s="9">
        <v>1.8</v>
      </c>
      <c r="O2200" s="10">
        <f>IF(AND(OR(H2200="APPROVED",H2200="SCHEDULED"),COUNTIFS(tblSource[EventID],F2200,tblSource[ReleaseStatus],"APPROVED")=1,COUNTIFS(Period_Status!$A$2:$A$8,G2200,Period_Status!$B$2:$B$8,"ActualClosed")=1,C2200&gt;EOMONTH(Settlement_Bridge!$C$2,0)),1,0)</f>
        <v>1</v>
      </c>
      <c r="P2200" s="2" t="s">
        <v>6225</v>
      </c>
    </row>
    <row r="2201" spans="1:16" x14ac:dyDescent="0.25">
      <c r="A2201" s="2" t="s">
        <v>6226</v>
      </c>
      <c r="B2201" s="2" t="s">
        <v>199</v>
      </c>
      <c r="C2201" s="8">
        <v>46231</v>
      </c>
      <c r="D2201" s="6">
        <v>46204</v>
      </c>
      <c r="E2201" s="2" t="s">
        <v>260</v>
      </c>
      <c r="F2201" s="2" t="s">
        <v>6227</v>
      </c>
      <c r="G2201" s="6">
        <v>46204</v>
      </c>
      <c r="H2201" s="2" t="s">
        <v>71</v>
      </c>
      <c r="I2201" s="2" t="s">
        <v>76</v>
      </c>
      <c r="J2201" s="9">
        <v>35340838.709678002</v>
      </c>
      <c r="K2201" s="7">
        <v>6.2000000000000003E-5</v>
      </c>
      <c r="L2201" s="9">
        <v>2191.13</v>
      </c>
      <c r="M2201" s="9">
        <v>2191.13</v>
      </c>
      <c r="N2201" s="9">
        <v>1.8</v>
      </c>
      <c r="O2201" s="10">
        <f>IF(AND(OR(H2201="APPROVED",H2201="SCHEDULED"),COUNTIFS(tblSource[EventID],F2201,tblSource[ReleaseStatus],"APPROVED")=1,COUNTIFS(Period_Status!$A$2:$A$8,G2201,Period_Status!$B$2:$B$8,"ActualClosed")=1,C2201&gt;EOMONTH(Settlement_Bridge!$C$2,0)),1,0)</f>
        <v>0</v>
      </c>
      <c r="P2201" s="2" t="s">
        <v>6228</v>
      </c>
    </row>
    <row r="2202" spans="1:16" x14ac:dyDescent="0.25">
      <c r="A2202" s="2" t="s">
        <v>6229</v>
      </c>
      <c r="B2202" s="2" t="s">
        <v>199</v>
      </c>
      <c r="C2202" s="8">
        <v>46256</v>
      </c>
      <c r="D2202" s="6">
        <v>46235</v>
      </c>
      <c r="E2202" s="2" t="s">
        <v>260</v>
      </c>
      <c r="F2202" s="2" t="s">
        <v>6227</v>
      </c>
      <c r="G2202" s="6">
        <v>46204</v>
      </c>
      <c r="H2202" s="2" t="s">
        <v>71</v>
      </c>
      <c r="I2202" s="2" t="s">
        <v>76</v>
      </c>
      <c r="J2202" s="9">
        <v>53011258.064516</v>
      </c>
      <c r="K2202" s="7">
        <v>6.1500000000000004E-5</v>
      </c>
      <c r="L2202" s="9">
        <v>3260.19</v>
      </c>
      <c r="M2202" s="9">
        <v>3286.7</v>
      </c>
      <c r="N2202" s="9">
        <v>1.8</v>
      </c>
      <c r="O2202" s="10">
        <f>IF(AND(OR(H2202="APPROVED",H2202="SCHEDULED"),COUNTIFS(tblSource[EventID],F2202,tblSource[ReleaseStatus],"APPROVED")=1,COUNTIFS(Period_Status!$A$2:$A$8,G2202,Period_Status!$B$2:$B$8,"ActualClosed")=1,C2202&gt;EOMONTH(Settlement_Bridge!$C$2,0)),1,0)</f>
        <v>1</v>
      </c>
      <c r="P2202" s="2" t="s">
        <v>6230</v>
      </c>
    </row>
    <row r="2203" spans="1:16" x14ac:dyDescent="0.25">
      <c r="A2203" s="2" t="s">
        <v>6231</v>
      </c>
      <c r="B2203" s="2" t="s">
        <v>199</v>
      </c>
      <c r="C2203" s="8">
        <v>46242</v>
      </c>
      <c r="D2203" s="6">
        <v>46235</v>
      </c>
      <c r="E2203" s="2" t="s">
        <v>260</v>
      </c>
      <c r="F2203" s="2" t="s">
        <v>6232</v>
      </c>
      <c r="G2203" s="6">
        <v>46204</v>
      </c>
      <c r="H2203" s="2" t="s">
        <v>71</v>
      </c>
      <c r="I2203" s="2" t="s">
        <v>70</v>
      </c>
      <c r="J2203" s="9">
        <v>8587.902736</v>
      </c>
      <c r="K2203" s="7">
        <v>0.65</v>
      </c>
      <c r="L2203" s="9">
        <v>5582.14</v>
      </c>
      <c r="M2203" s="9">
        <v>5650.84</v>
      </c>
      <c r="N2203" s="9">
        <v>3.07</v>
      </c>
      <c r="O2203" s="10">
        <f>IF(AND(OR(H2203="APPROVED",H2203="SCHEDULED"),COUNTIFS(tblSource[EventID],F2203,tblSource[ReleaseStatus],"APPROVED")=1,COUNTIFS(Period_Status!$A$2:$A$8,G2203,Period_Status!$B$2:$B$8,"ActualClosed")=1,C2203&gt;EOMONTH(Settlement_Bridge!$C$2,0)),1,0)</f>
        <v>1</v>
      </c>
      <c r="P2203" s="2" t="s">
        <v>6233</v>
      </c>
    </row>
    <row r="2204" spans="1:16" x14ac:dyDescent="0.25">
      <c r="A2204" s="2" t="s">
        <v>6234</v>
      </c>
      <c r="B2204" s="2" t="s">
        <v>199</v>
      </c>
      <c r="C2204" s="8">
        <v>46274</v>
      </c>
      <c r="D2204" s="6">
        <v>46266</v>
      </c>
      <c r="E2204" s="2" t="s">
        <v>260</v>
      </c>
      <c r="F2204" s="2" t="s">
        <v>6235</v>
      </c>
      <c r="G2204" s="6">
        <v>46235</v>
      </c>
      <c r="H2204" s="2" t="s">
        <v>176</v>
      </c>
      <c r="I2204" s="2" t="s">
        <v>39</v>
      </c>
      <c r="J2204" s="9">
        <v>5823.85</v>
      </c>
      <c r="K2204" s="7">
        <v>1</v>
      </c>
      <c r="L2204" s="9">
        <v>5823.85</v>
      </c>
      <c r="M2204" s="9">
        <v>5823.85</v>
      </c>
      <c r="N2204" s="9">
        <v>3.2</v>
      </c>
      <c r="O2204" s="10">
        <f>IF(AND(OR(H2204="APPROVED",H2204="SCHEDULED"),COUNTIFS(tblSource[EventID],F2204,tblSource[ReleaseStatus],"APPROVED")=1,COUNTIFS(Period_Status!$A$2:$A$8,G2204,Period_Status!$B$2:$B$8,"ActualClosed")=1,C2204&gt;EOMONTH(Settlement_Bridge!$C$2,0)),1,0)</f>
        <v>0</v>
      </c>
      <c r="P2204" s="2" t="s">
        <v>6236</v>
      </c>
    </row>
    <row r="2205" spans="1:16" x14ac:dyDescent="0.25">
      <c r="A2205" s="2" t="s">
        <v>6237</v>
      </c>
      <c r="B2205" s="2" t="s">
        <v>199</v>
      </c>
      <c r="C2205" s="8">
        <v>46265</v>
      </c>
      <c r="D2205" s="6">
        <v>46235</v>
      </c>
      <c r="E2205" s="2" t="s">
        <v>260</v>
      </c>
      <c r="F2205" s="2" t="s">
        <v>6238</v>
      </c>
      <c r="G2205" s="6">
        <v>46235</v>
      </c>
      <c r="H2205" s="2" t="s">
        <v>71</v>
      </c>
      <c r="I2205" s="2" t="s">
        <v>76</v>
      </c>
      <c r="J2205" s="9">
        <v>39003967.479675002</v>
      </c>
      <c r="K2205" s="7">
        <v>6.1500000000000004E-5</v>
      </c>
      <c r="L2205" s="9">
        <v>2398.7399999999998</v>
      </c>
      <c r="M2205" s="9">
        <v>2398.7399999999998</v>
      </c>
      <c r="N2205" s="9">
        <v>1.8</v>
      </c>
      <c r="O2205" s="10">
        <f>IF(AND(OR(H2205="APPROVED",H2205="SCHEDULED"),COUNTIFS(tblSource[EventID],F2205,tblSource[ReleaseStatus],"APPROVED")=1,COUNTIFS(Period_Status!$A$2:$A$8,G2205,Period_Status!$B$2:$B$8,"ActualClosed")=1,C2205&gt;EOMONTH(Settlement_Bridge!$C$2,0)),1,0)</f>
        <v>0</v>
      </c>
      <c r="P2205" s="2" t="s">
        <v>6239</v>
      </c>
    </row>
    <row r="2206" spans="1:16" x14ac:dyDescent="0.25">
      <c r="A2206" s="2" t="s">
        <v>6240</v>
      </c>
      <c r="B2206" s="2" t="s">
        <v>199</v>
      </c>
      <c r="C2206" s="8">
        <v>46290</v>
      </c>
      <c r="D2206" s="6">
        <v>46266</v>
      </c>
      <c r="E2206" s="2" t="s">
        <v>260</v>
      </c>
      <c r="F2206" s="2" t="s">
        <v>6238</v>
      </c>
      <c r="G2206" s="6">
        <v>46235</v>
      </c>
      <c r="H2206" s="2" t="s">
        <v>176</v>
      </c>
      <c r="I2206" s="2" t="s">
        <v>76</v>
      </c>
      <c r="J2206" s="9">
        <v>58505951.219512001</v>
      </c>
      <c r="K2206" s="7">
        <v>6.1299999999999999E-5</v>
      </c>
      <c r="L2206" s="9">
        <v>3586.41</v>
      </c>
      <c r="M2206" s="9">
        <v>3598.12</v>
      </c>
      <c r="N2206" s="9">
        <v>1.97</v>
      </c>
      <c r="O2206" s="10">
        <f>IF(AND(OR(H2206="APPROVED",H2206="SCHEDULED"),COUNTIFS(tblSource[EventID],F2206,tblSource[ReleaseStatus],"APPROVED")=1,COUNTIFS(Period_Status!$A$2:$A$8,G2206,Period_Status!$B$2:$B$8,"ActualClosed")=1,C2206&gt;EOMONTH(Settlement_Bridge!$C$2,0)),1,0)</f>
        <v>0</v>
      </c>
      <c r="P2206" s="2" t="s">
        <v>6241</v>
      </c>
    </row>
    <row r="2207" spans="1:16" x14ac:dyDescent="0.25">
      <c r="A2207" s="2" t="s">
        <v>6242</v>
      </c>
      <c r="B2207" s="2" t="s">
        <v>199</v>
      </c>
      <c r="C2207" s="8">
        <v>46276</v>
      </c>
      <c r="D2207" s="6">
        <v>46266</v>
      </c>
      <c r="E2207" s="2" t="s">
        <v>260</v>
      </c>
      <c r="F2207" s="2" t="s">
        <v>6243</v>
      </c>
      <c r="G2207" s="6">
        <v>46235</v>
      </c>
      <c r="H2207" s="2" t="s">
        <v>176</v>
      </c>
      <c r="I2207" s="2" t="s">
        <v>70</v>
      </c>
      <c r="J2207" s="9">
        <v>9492.1076919999996</v>
      </c>
      <c r="K2207" s="7">
        <v>0.65100000000000002</v>
      </c>
      <c r="L2207" s="9">
        <v>6179.36</v>
      </c>
      <c r="M2207" s="9">
        <v>6169.87</v>
      </c>
      <c r="N2207" s="9">
        <v>3.4</v>
      </c>
      <c r="O2207" s="10">
        <f>IF(AND(OR(H2207="APPROVED",H2207="SCHEDULED"),COUNTIFS(tblSource[EventID],F2207,tblSource[ReleaseStatus],"APPROVED")=1,COUNTIFS(Period_Status!$A$2:$A$8,G2207,Period_Status!$B$2:$B$8,"ActualClosed")=1,C2207&gt;EOMONTH(Settlement_Bridge!$C$2,0)),1,0)</f>
        <v>0</v>
      </c>
      <c r="P2207" s="2" t="s">
        <v>6244</v>
      </c>
    </row>
    <row r="2208" spans="1:16" x14ac:dyDescent="0.25">
      <c r="A2208" s="2" t="s">
        <v>6245</v>
      </c>
      <c r="B2208" s="2" t="s">
        <v>199</v>
      </c>
      <c r="C2208" s="8">
        <v>46277</v>
      </c>
      <c r="D2208" s="6">
        <v>46266</v>
      </c>
      <c r="E2208" s="2" t="s">
        <v>260</v>
      </c>
      <c r="F2208" s="2" t="s">
        <v>6246</v>
      </c>
      <c r="G2208" s="6">
        <v>46235</v>
      </c>
      <c r="H2208" s="2" t="s">
        <v>176</v>
      </c>
      <c r="I2208" s="2" t="s">
        <v>39</v>
      </c>
      <c r="J2208" s="9">
        <v>6342.88</v>
      </c>
      <c r="K2208" s="7">
        <v>1</v>
      </c>
      <c r="L2208" s="9">
        <v>6342.88</v>
      </c>
      <c r="M2208" s="9">
        <v>6342.88</v>
      </c>
      <c r="N2208" s="9">
        <v>3.49</v>
      </c>
      <c r="O2208" s="10">
        <f>IF(AND(OR(H2208="APPROVED",H2208="SCHEDULED"),COUNTIFS(tblSource[EventID],F2208,tblSource[ReleaseStatus],"APPROVED")=1,COUNTIFS(Period_Status!$A$2:$A$8,G2208,Period_Status!$B$2:$B$8,"ActualClosed")=1,C2208&gt;EOMONTH(Settlement_Bridge!$C$2,0)),1,0)</f>
        <v>0</v>
      </c>
      <c r="P2208" s="2" t="s">
        <v>6247</v>
      </c>
    </row>
    <row r="2209" spans="1:16" x14ac:dyDescent="0.25">
      <c r="A2209" s="2" t="s">
        <v>6248</v>
      </c>
      <c r="B2209" s="2" t="s">
        <v>199</v>
      </c>
      <c r="C2209" s="8">
        <v>46278</v>
      </c>
      <c r="D2209" s="6">
        <v>46266</v>
      </c>
      <c r="E2209" s="2" t="s">
        <v>260</v>
      </c>
      <c r="F2209" s="2" t="s">
        <v>6249</v>
      </c>
      <c r="G2209" s="6">
        <v>46235</v>
      </c>
      <c r="H2209" s="2" t="s">
        <v>176</v>
      </c>
      <c r="I2209" s="2" t="s">
        <v>76</v>
      </c>
      <c r="J2209" s="9">
        <v>105949430.894309</v>
      </c>
      <c r="K2209" s="7">
        <v>6.1299999999999999E-5</v>
      </c>
      <c r="L2209" s="9">
        <v>6494.7</v>
      </c>
      <c r="M2209" s="9">
        <v>6515.89</v>
      </c>
      <c r="N2209" s="9">
        <v>3.57</v>
      </c>
      <c r="O2209" s="10">
        <f>IF(AND(OR(H2209="APPROVED",H2209="SCHEDULED"),COUNTIFS(tblSource[EventID],F2209,tblSource[ReleaseStatus],"APPROVED")=1,COUNTIFS(Period_Status!$A$2:$A$8,G2209,Period_Status!$B$2:$B$8,"ActualClosed")=1,C2209&gt;EOMONTH(Settlement_Bridge!$C$2,0)),1,0)</f>
        <v>0</v>
      </c>
      <c r="P2209" s="2" t="s">
        <v>6250</v>
      </c>
    </row>
    <row r="2210" spans="1:16" x14ac:dyDescent="0.25">
      <c r="A2210" s="2" t="s">
        <v>6251</v>
      </c>
      <c r="B2210" s="2" t="s">
        <v>199</v>
      </c>
      <c r="C2210" s="8">
        <v>46279</v>
      </c>
      <c r="D2210" s="6">
        <v>46266</v>
      </c>
      <c r="E2210" s="2" t="s">
        <v>260</v>
      </c>
      <c r="F2210" s="2" t="s">
        <v>6252</v>
      </c>
      <c r="G2210" s="6">
        <v>46235</v>
      </c>
      <c r="H2210" s="2" t="s">
        <v>176</v>
      </c>
      <c r="I2210" s="2" t="s">
        <v>70</v>
      </c>
      <c r="J2210" s="9">
        <v>10290.615384999999</v>
      </c>
      <c r="K2210" s="7">
        <v>0.65100000000000002</v>
      </c>
      <c r="L2210" s="9">
        <v>6699.19</v>
      </c>
      <c r="M2210" s="9">
        <v>6688.9</v>
      </c>
      <c r="N2210" s="9">
        <v>3.68</v>
      </c>
      <c r="O2210" s="10">
        <f>IF(AND(OR(H2210="APPROVED",H2210="SCHEDULED"),COUNTIFS(tblSource[EventID],F2210,tblSource[ReleaseStatus],"APPROVED")=1,COUNTIFS(Period_Status!$A$2:$A$8,G2210,Period_Status!$B$2:$B$8,"ActualClosed")=1,C2210&gt;EOMONTH(Settlement_Bridge!$C$2,0)),1,0)</f>
        <v>0</v>
      </c>
      <c r="P2210" s="2" t="s">
        <v>6253</v>
      </c>
    </row>
    <row r="2211" spans="1:16" x14ac:dyDescent="0.25">
      <c r="A2211" s="2" t="s">
        <v>6254</v>
      </c>
      <c r="B2211" s="2" t="s">
        <v>199</v>
      </c>
      <c r="C2211" s="8">
        <v>46280</v>
      </c>
      <c r="D2211" s="6">
        <v>46266</v>
      </c>
      <c r="E2211" s="2" t="s">
        <v>260</v>
      </c>
      <c r="F2211" s="2" t="s">
        <v>6255</v>
      </c>
      <c r="G2211" s="6">
        <v>46235</v>
      </c>
      <c r="H2211" s="2" t="s">
        <v>176</v>
      </c>
      <c r="I2211" s="2" t="s">
        <v>39</v>
      </c>
      <c r="J2211" s="9">
        <v>6861.91</v>
      </c>
      <c r="K2211" s="7">
        <v>1</v>
      </c>
      <c r="L2211" s="9">
        <v>6861.91</v>
      </c>
      <c r="M2211" s="9">
        <v>6861.91</v>
      </c>
      <c r="N2211" s="9">
        <v>3.77</v>
      </c>
      <c r="O2211" s="10">
        <f>IF(AND(OR(H2211="APPROVED",H2211="SCHEDULED"),COUNTIFS(tblSource[EventID],F2211,tblSource[ReleaseStatus],"APPROVED")=1,COUNTIFS(Period_Status!$A$2:$A$8,G2211,Period_Status!$B$2:$B$8,"ActualClosed")=1,C2211&gt;EOMONTH(Settlement_Bridge!$C$2,0)),1,0)</f>
        <v>0</v>
      </c>
      <c r="P2211" s="2" t="s">
        <v>6256</v>
      </c>
    </row>
    <row r="2212" spans="1:16" x14ac:dyDescent="0.25">
      <c r="A2212" s="2" t="s">
        <v>6257</v>
      </c>
      <c r="B2212" s="2" t="s">
        <v>199</v>
      </c>
      <c r="C2212" s="8">
        <v>46271</v>
      </c>
      <c r="D2212" s="6">
        <v>46266</v>
      </c>
      <c r="E2212" s="2" t="s">
        <v>260</v>
      </c>
      <c r="F2212" s="2" t="s">
        <v>6258</v>
      </c>
      <c r="G2212" s="6">
        <v>46235</v>
      </c>
      <c r="H2212" s="2" t="s">
        <v>176</v>
      </c>
      <c r="I2212" s="2" t="s">
        <v>76</v>
      </c>
      <c r="J2212" s="9">
        <v>45755577.235771999</v>
      </c>
      <c r="K2212" s="7">
        <v>6.1299999999999999E-5</v>
      </c>
      <c r="L2212" s="9">
        <v>2804.82</v>
      </c>
      <c r="M2212" s="9">
        <v>2813.97</v>
      </c>
      <c r="N2212" s="9">
        <v>1.8</v>
      </c>
      <c r="O2212" s="10">
        <f>IF(AND(OR(H2212="APPROVED",H2212="SCHEDULED"),COUNTIFS(tblSource[EventID],F2212,tblSource[ReleaseStatus],"APPROVED")=1,COUNTIFS(Period_Status!$A$2:$A$8,G2212,Period_Status!$B$2:$B$8,"ActualClosed")=1,C2212&gt;EOMONTH(Settlement_Bridge!$C$2,0)),1,0)</f>
        <v>0</v>
      </c>
      <c r="P2212" s="2" t="s">
        <v>6259</v>
      </c>
    </row>
    <row r="2213" spans="1:16" x14ac:dyDescent="0.25">
      <c r="A2213" s="2" t="s">
        <v>6260</v>
      </c>
      <c r="B2213" s="2" t="s">
        <v>199</v>
      </c>
      <c r="C2213" s="8">
        <v>46296</v>
      </c>
      <c r="D2213" s="6">
        <v>46296</v>
      </c>
      <c r="E2213" s="2" t="s">
        <v>260</v>
      </c>
      <c r="F2213" s="2" t="s">
        <v>6258</v>
      </c>
      <c r="G2213" s="6">
        <v>46235</v>
      </c>
      <c r="H2213" s="2" t="s">
        <v>176</v>
      </c>
      <c r="I2213" s="2" t="s">
        <v>76</v>
      </c>
      <c r="J2213" s="9">
        <v>68633365.853659004</v>
      </c>
      <c r="K2213" s="7">
        <v>6.1099999999999994E-5</v>
      </c>
      <c r="L2213" s="9">
        <v>4193.5</v>
      </c>
      <c r="M2213" s="9">
        <v>4220.95</v>
      </c>
      <c r="N2213" s="9">
        <v>2.31</v>
      </c>
      <c r="O2213" s="10">
        <f>IF(AND(OR(H2213="APPROVED",H2213="SCHEDULED"),COUNTIFS(tblSource[EventID],F2213,tblSource[ReleaseStatus],"APPROVED")=1,COUNTIFS(Period_Status!$A$2:$A$8,G2213,Period_Status!$B$2:$B$8,"ActualClosed")=1,C2213&gt;EOMONTH(Settlement_Bridge!$C$2,0)),1,0)</f>
        <v>0</v>
      </c>
      <c r="P2213" s="2" t="s">
        <v>6261</v>
      </c>
    </row>
    <row r="2214" spans="1:16" x14ac:dyDescent="0.25">
      <c r="A2214" s="2" t="s">
        <v>6262</v>
      </c>
      <c r="B2214" s="2" t="s">
        <v>199</v>
      </c>
      <c r="C2214" s="8">
        <v>46272</v>
      </c>
      <c r="D2214" s="6">
        <v>46266</v>
      </c>
      <c r="E2214" s="2" t="s">
        <v>260</v>
      </c>
      <c r="F2214" s="2" t="s">
        <v>6263</v>
      </c>
      <c r="G2214" s="6">
        <v>46235</v>
      </c>
      <c r="H2214" s="2" t="s">
        <v>176</v>
      </c>
      <c r="I2214" s="2" t="s">
        <v>70</v>
      </c>
      <c r="J2214" s="9">
        <v>4435.6492310000003</v>
      </c>
      <c r="K2214" s="7">
        <v>0.65100000000000002</v>
      </c>
      <c r="L2214" s="9">
        <v>2887.61</v>
      </c>
      <c r="M2214" s="9">
        <v>2883.17</v>
      </c>
      <c r="N2214" s="9">
        <v>1.8</v>
      </c>
      <c r="O2214" s="10">
        <f>IF(AND(OR(H2214="APPROVED",H2214="SCHEDULED"),COUNTIFS(tblSource[EventID],F2214,tblSource[ReleaseStatus],"APPROVED")=1,COUNTIFS(Period_Status!$A$2:$A$8,G2214,Period_Status!$B$2:$B$8,"ActualClosed")=1,C2214&gt;EOMONTH(Settlement_Bridge!$C$2,0)),1,0)</f>
        <v>0</v>
      </c>
      <c r="P2214" s="2" t="s">
        <v>6264</v>
      </c>
    </row>
    <row r="2215" spans="1:16" x14ac:dyDescent="0.25">
      <c r="A2215" s="2" t="s">
        <v>6265</v>
      </c>
      <c r="B2215" s="2" t="s">
        <v>199</v>
      </c>
      <c r="C2215" s="8">
        <v>46297</v>
      </c>
      <c r="D2215" s="6">
        <v>46296</v>
      </c>
      <c r="E2215" s="2" t="s">
        <v>260</v>
      </c>
      <c r="F2215" s="2" t="s">
        <v>6263</v>
      </c>
      <c r="G2215" s="6">
        <v>46235</v>
      </c>
      <c r="H2215" s="2" t="s">
        <v>176</v>
      </c>
      <c r="I2215" s="2" t="s">
        <v>70</v>
      </c>
      <c r="J2215" s="9">
        <v>6653.4738459999999</v>
      </c>
      <c r="K2215" s="7">
        <v>0.65500000000000003</v>
      </c>
      <c r="L2215" s="9">
        <v>4358.03</v>
      </c>
      <c r="M2215" s="9">
        <v>4324.76</v>
      </c>
      <c r="N2215" s="9">
        <v>2.4</v>
      </c>
      <c r="O2215" s="10">
        <f>IF(AND(OR(H2215="APPROVED",H2215="SCHEDULED"),COUNTIFS(tblSource[EventID],F2215,tblSource[ReleaseStatus],"APPROVED")=1,COUNTIFS(Period_Status!$A$2:$A$8,G2215,Period_Status!$B$2:$B$8,"ActualClosed")=1,C2215&gt;EOMONTH(Settlement_Bridge!$C$2,0)),1,0)</f>
        <v>0</v>
      </c>
      <c r="P2215" s="2" t="s">
        <v>6266</v>
      </c>
    </row>
    <row r="2216" spans="1:16" x14ac:dyDescent="0.25">
      <c r="A2216" s="2" t="s">
        <v>6267</v>
      </c>
      <c r="B2216" s="2" t="s">
        <v>199</v>
      </c>
      <c r="C2216" s="8">
        <v>46283</v>
      </c>
      <c r="D2216" s="6">
        <v>46266</v>
      </c>
      <c r="E2216" s="2" t="s">
        <v>260</v>
      </c>
      <c r="F2216" s="2" t="s">
        <v>6268</v>
      </c>
      <c r="G2216" s="6">
        <v>46235</v>
      </c>
      <c r="H2216" s="2" t="s">
        <v>176</v>
      </c>
      <c r="I2216" s="2" t="s">
        <v>39</v>
      </c>
      <c r="J2216" s="9">
        <v>7380.94</v>
      </c>
      <c r="K2216" s="7">
        <v>1</v>
      </c>
      <c r="L2216" s="9">
        <v>7380.94</v>
      </c>
      <c r="M2216" s="9">
        <v>7380.94</v>
      </c>
      <c r="N2216" s="9">
        <v>4.0599999999999996</v>
      </c>
      <c r="O2216" s="10">
        <f>IF(AND(OR(H2216="APPROVED",H2216="SCHEDULED"),COUNTIFS(tblSource[EventID],F2216,tblSource[ReleaseStatus],"APPROVED")=1,COUNTIFS(Period_Status!$A$2:$A$8,G2216,Period_Status!$B$2:$B$8,"ActualClosed")=1,C2216&gt;EOMONTH(Settlement_Bridge!$C$2,0)),1,0)</f>
        <v>0</v>
      </c>
      <c r="P2216" s="2" t="s">
        <v>6269</v>
      </c>
    </row>
    <row r="2217" spans="1:16" x14ac:dyDescent="0.25">
      <c r="A2217" s="2" t="s">
        <v>6270</v>
      </c>
      <c r="B2217" s="2" t="s">
        <v>199</v>
      </c>
      <c r="C2217" s="8">
        <v>46284</v>
      </c>
      <c r="D2217" s="6">
        <v>46266</v>
      </c>
      <c r="E2217" s="2" t="s">
        <v>260</v>
      </c>
      <c r="F2217" s="2" t="s">
        <v>6271</v>
      </c>
      <c r="G2217" s="6">
        <v>46235</v>
      </c>
      <c r="H2217" s="2" t="s">
        <v>176</v>
      </c>
      <c r="I2217" s="2" t="s">
        <v>76</v>
      </c>
      <c r="J2217" s="9">
        <v>122828455.28455301</v>
      </c>
      <c r="K2217" s="7">
        <v>6.1299999999999999E-5</v>
      </c>
      <c r="L2217" s="9">
        <v>7529.38</v>
      </c>
      <c r="M2217" s="9">
        <v>7553.95</v>
      </c>
      <c r="N2217" s="9">
        <v>4.1399999999999997</v>
      </c>
      <c r="O2217" s="10">
        <f>IF(AND(OR(H2217="APPROVED",H2217="SCHEDULED"),COUNTIFS(tblSource[EventID],F2217,tblSource[ReleaseStatus],"APPROVED")=1,COUNTIFS(Period_Status!$A$2:$A$8,G2217,Period_Status!$B$2:$B$8,"ActualClosed")=1,C2217&gt;EOMONTH(Settlement_Bridge!$C$2,0)),1,0)</f>
        <v>0</v>
      </c>
      <c r="P2217" s="2" t="s">
        <v>6272</v>
      </c>
    </row>
    <row r="2218" spans="1:16" x14ac:dyDescent="0.25">
      <c r="A2218" s="2" t="s">
        <v>6273</v>
      </c>
      <c r="B2218" s="2" t="s">
        <v>199</v>
      </c>
      <c r="C2218" s="8">
        <v>46275</v>
      </c>
      <c r="D2218" s="6">
        <v>46266</v>
      </c>
      <c r="E2218" s="2" t="s">
        <v>260</v>
      </c>
      <c r="F2218" s="2" t="s">
        <v>6274</v>
      </c>
      <c r="G2218" s="6">
        <v>46235</v>
      </c>
      <c r="H2218" s="2" t="s">
        <v>176</v>
      </c>
      <c r="I2218" s="2" t="s">
        <v>70</v>
      </c>
      <c r="J2218" s="9">
        <v>4755.0523080000003</v>
      </c>
      <c r="K2218" s="7">
        <v>0.65100000000000002</v>
      </c>
      <c r="L2218" s="9">
        <v>3095.54</v>
      </c>
      <c r="M2218" s="9">
        <v>3090.78</v>
      </c>
      <c r="N2218" s="9">
        <v>1.8</v>
      </c>
      <c r="O2218" s="10">
        <f>IF(AND(OR(H2218="APPROVED",H2218="SCHEDULED"),COUNTIFS(tblSource[EventID],F2218,tblSource[ReleaseStatus],"APPROVED")=1,COUNTIFS(Period_Status!$A$2:$A$8,G2218,Period_Status!$B$2:$B$8,"ActualClosed")=1,C2218&gt;EOMONTH(Settlement_Bridge!$C$2,0)),1,0)</f>
        <v>0</v>
      </c>
      <c r="P2218" s="2" t="s">
        <v>6275</v>
      </c>
    </row>
    <row r="2219" spans="1:16" x14ac:dyDescent="0.25">
      <c r="A2219" s="2" t="s">
        <v>6276</v>
      </c>
      <c r="B2219" s="2" t="s">
        <v>199</v>
      </c>
      <c r="C2219" s="8">
        <v>46300</v>
      </c>
      <c r="D2219" s="6">
        <v>46296</v>
      </c>
      <c r="E2219" s="2" t="s">
        <v>260</v>
      </c>
      <c r="F2219" s="2" t="s">
        <v>6274</v>
      </c>
      <c r="G2219" s="6">
        <v>46235</v>
      </c>
      <c r="H2219" s="2" t="s">
        <v>176</v>
      </c>
      <c r="I2219" s="2" t="s">
        <v>70</v>
      </c>
      <c r="J2219" s="9">
        <v>7132.5784610000001</v>
      </c>
      <c r="K2219" s="7">
        <v>0.65500000000000003</v>
      </c>
      <c r="L2219" s="9">
        <v>4671.84</v>
      </c>
      <c r="M2219" s="9">
        <v>4636.18</v>
      </c>
      <c r="N2219" s="9">
        <v>2.57</v>
      </c>
      <c r="O2219" s="10">
        <f>IF(AND(OR(H2219="APPROVED",H2219="SCHEDULED"),COUNTIFS(tblSource[EventID],F2219,tblSource[ReleaseStatus],"APPROVED")=1,COUNTIFS(Period_Status!$A$2:$A$8,G2219,Period_Status!$B$2:$B$8,"ActualClosed")=1,C2219&gt;EOMONTH(Settlement_Bridge!$C$2,0)),1,0)</f>
        <v>0</v>
      </c>
      <c r="P2219" s="2" t="s">
        <v>6277</v>
      </c>
    </row>
    <row r="2220" spans="1:16" x14ac:dyDescent="0.25">
      <c r="A2220" s="2" t="s">
        <v>6278</v>
      </c>
      <c r="B2220" s="2" t="s">
        <v>199</v>
      </c>
      <c r="C2220" s="8">
        <v>46286</v>
      </c>
      <c r="D2220" s="6">
        <v>46266</v>
      </c>
      <c r="E2220" s="2" t="s">
        <v>260</v>
      </c>
      <c r="F2220" s="2" t="s">
        <v>6279</v>
      </c>
      <c r="G2220" s="6">
        <v>46235</v>
      </c>
      <c r="H2220" s="2" t="s">
        <v>176</v>
      </c>
      <c r="I2220" s="2" t="s">
        <v>39</v>
      </c>
      <c r="J2220" s="9">
        <v>7899</v>
      </c>
      <c r="K2220" s="7">
        <v>1</v>
      </c>
      <c r="L2220" s="9">
        <v>7899</v>
      </c>
      <c r="M2220" s="9">
        <v>7899</v>
      </c>
      <c r="N2220" s="9">
        <v>4.34</v>
      </c>
      <c r="O2220" s="10">
        <f>IF(AND(OR(H2220="APPROVED",H2220="SCHEDULED"),COUNTIFS(tblSource[EventID],F2220,tblSource[ReleaseStatus],"APPROVED")=1,COUNTIFS(Period_Status!$A$2:$A$8,G2220,Period_Status!$B$2:$B$8,"ActualClosed")=1,C2220&gt;EOMONTH(Settlement_Bridge!$C$2,0)),1,0)</f>
        <v>0</v>
      </c>
      <c r="P2220" s="2" t="s">
        <v>6280</v>
      </c>
    </row>
    <row r="2221" spans="1:16" x14ac:dyDescent="0.25">
      <c r="A2221" s="2" t="s">
        <v>6281</v>
      </c>
      <c r="B2221" s="2" t="s">
        <v>199</v>
      </c>
      <c r="C2221" s="8">
        <v>46287</v>
      </c>
      <c r="D2221" s="6">
        <v>46266</v>
      </c>
      <c r="E2221" s="2" t="s">
        <v>260</v>
      </c>
      <c r="F2221" s="2" t="s">
        <v>6282</v>
      </c>
      <c r="G2221" s="6">
        <v>46235</v>
      </c>
      <c r="H2221" s="2" t="s">
        <v>176</v>
      </c>
      <c r="I2221" s="2" t="s">
        <v>76</v>
      </c>
      <c r="J2221" s="9">
        <v>131252195.121951</v>
      </c>
      <c r="K2221" s="7">
        <v>6.1299999999999999E-5</v>
      </c>
      <c r="L2221" s="9">
        <v>8045.76</v>
      </c>
      <c r="M2221" s="9">
        <v>8072.01</v>
      </c>
      <c r="N2221" s="9">
        <v>4.43</v>
      </c>
      <c r="O2221" s="10">
        <f>IF(AND(OR(H2221="APPROVED",H2221="SCHEDULED"),COUNTIFS(tblSource[EventID],F2221,tblSource[ReleaseStatus],"APPROVED")=1,COUNTIFS(Period_Status!$A$2:$A$8,G2221,Period_Status!$B$2:$B$8,"ActualClosed")=1,C2221&gt;EOMONTH(Settlement_Bridge!$C$2,0)),1,0)</f>
        <v>0</v>
      </c>
      <c r="P2221" s="2" t="s">
        <v>6283</v>
      </c>
    </row>
    <row r="2222" spans="1:16" x14ac:dyDescent="0.25">
      <c r="A2222" s="2" t="s">
        <v>6284</v>
      </c>
      <c r="B2222" s="2" t="s">
        <v>199</v>
      </c>
      <c r="C2222" s="8">
        <v>46288</v>
      </c>
      <c r="D2222" s="6">
        <v>46266</v>
      </c>
      <c r="E2222" s="2" t="s">
        <v>260</v>
      </c>
      <c r="F2222" s="2" t="s">
        <v>6285</v>
      </c>
      <c r="G2222" s="6">
        <v>46235</v>
      </c>
      <c r="H2222" s="2" t="s">
        <v>176</v>
      </c>
      <c r="I2222" s="2" t="s">
        <v>70</v>
      </c>
      <c r="J2222" s="9">
        <v>12684.646154</v>
      </c>
      <c r="K2222" s="7">
        <v>0.65100000000000002</v>
      </c>
      <c r="L2222" s="9">
        <v>8257.7000000000007</v>
      </c>
      <c r="M2222" s="9">
        <v>8245.02</v>
      </c>
      <c r="N2222" s="9">
        <v>4.54</v>
      </c>
      <c r="O2222" s="10">
        <f>IF(AND(OR(H2222="APPROVED",H2222="SCHEDULED"),COUNTIFS(tblSource[EventID],F2222,tblSource[ReleaseStatus],"APPROVED")=1,COUNTIFS(Period_Status!$A$2:$A$8,G2222,Period_Status!$B$2:$B$8,"ActualClosed")=1,C2222&gt;EOMONTH(Settlement_Bridge!$C$2,0)),1,0)</f>
        <v>0</v>
      </c>
      <c r="P2222" s="2" t="s">
        <v>6286</v>
      </c>
    </row>
    <row r="2223" spans="1:16" x14ac:dyDescent="0.25">
      <c r="A2223" s="2" t="s">
        <v>6287</v>
      </c>
      <c r="B2223" s="2" t="s">
        <v>199</v>
      </c>
      <c r="C2223" s="8">
        <v>46289</v>
      </c>
      <c r="D2223" s="6">
        <v>46266</v>
      </c>
      <c r="E2223" s="2" t="s">
        <v>260</v>
      </c>
      <c r="F2223" s="2" t="s">
        <v>6288</v>
      </c>
      <c r="G2223" s="6">
        <v>46235</v>
      </c>
      <c r="H2223" s="2" t="s">
        <v>176</v>
      </c>
      <c r="I2223" s="2" t="s">
        <v>39</v>
      </c>
      <c r="J2223" s="9">
        <v>8418.0300000000007</v>
      </c>
      <c r="K2223" s="7">
        <v>1</v>
      </c>
      <c r="L2223" s="9">
        <v>8418.0300000000007</v>
      </c>
      <c r="M2223" s="9">
        <v>8418.0300000000007</v>
      </c>
      <c r="N2223" s="9">
        <v>4.63</v>
      </c>
      <c r="O2223" s="10">
        <f>IF(AND(OR(H2223="APPROVED",H2223="SCHEDULED"),COUNTIFS(tblSource[EventID],F2223,tblSource[ReleaseStatus],"APPROVED")=1,COUNTIFS(Period_Status!$A$2:$A$8,G2223,Period_Status!$B$2:$B$8,"ActualClosed")=1,C2223&gt;EOMONTH(Settlement_Bridge!$C$2,0)),1,0)</f>
        <v>0</v>
      </c>
      <c r="P2223" s="2" t="s">
        <v>6289</v>
      </c>
    </row>
    <row r="2224" spans="1:16" x14ac:dyDescent="0.25">
      <c r="A2224" s="2" t="s">
        <v>6290</v>
      </c>
      <c r="B2224" s="2" t="s">
        <v>199</v>
      </c>
      <c r="C2224" s="8">
        <v>46259</v>
      </c>
      <c r="D2224" s="6">
        <v>46235</v>
      </c>
      <c r="E2224" s="2" t="s">
        <v>260</v>
      </c>
      <c r="F2224" s="2" t="s">
        <v>6291</v>
      </c>
      <c r="G2224" s="6">
        <v>46235</v>
      </c>
      <c r="H2224" s="2" t="s">
        <v>71</v>
      </c>
      <c r="I2224" s="2" t="s">
        <v>76</v>
      </c>
      <c r="J2224" s="9">
        <v>139691707.31707299</v>
      </c>
      <c r="K2224" s="7">
        <v>6.1500000000000004E-5</v>
      </c>
      <c r="L2224" s="9">
        <v>8591.0400000000009</v>
      </c>
      <c r="M2224" s="9">
        <v>8591.0400000000009</v>
      </c>
      <c r="N2224" s="9">
        <v>4.7300000000000004</v>
      </c>
      <c r="O2224" s="10">
        <f>IF(AND(OR(H2224="APPROVED",H2224="SCHEDULED"),COUNTIFS(tblSource[EventID],F2224,tblSource[ReleaseStatus],"APPROVED")=1,COUNTIFS(Period_Status!$A$2:$A$8,G2224,Period_Status!$B$2:$B$8,"ActualClosed")=1,C2224&gt;EOMONTH(Settlement_Bridge!$C$2,0)),1,0)</f>
        <v>0</v>
      </c>
      <c r="P2224" s="2" t="s">
        <v>6292</v>
      </c>
    </row>
    <row r="2225" spans="1:16" x14ac:dyDescent="0.25">
      <c r="A2225" s="2" t="s">
        <v>6293</v>
      </c>
      <c r="B2225" s="2" t="s">
        <v>199</v>
      </c>
      <c r="C2225" s="8">
        <v>46250</v>
      </c>
      <c r="D2225" s="6">
        <v>46235</v>
      </c>
      <c r="E2225" s="2" t="s">
        <v>260</v>
      </c>
      <c r="F2225" s="2" t="s">
        <v>6294</v>
      </c>
      <c r="G2225" s="6">
        <v>46235</v>
      </c>
      <c r="H2225" s="2" t="s">
        <v>71</v>
      </c>
      <c r="I2225" s="2" t="s">
        <v>70</v>
      </c>
      <c r="J2225" s="9">
        <v>5393.2615379999997</v>
      </c>
      <c r="K2225" s="7">
        <v>0.65</v>
      </c>
      <c r="L2225" s="9">
        <v>3505.62</v>
      </c>
      <c r="M2225" s="9">
        <v>3505.62</v>
      </c>
      <c r="N2225" s="9">
        <v>1.93</v>
      </c>
      <c r="O2225" s="10">
        <f>IF(AND(OR(H2225="APPROVED",H2225="SCHEDULED"),COUNTIFS(tblSource[EventID],F2225,tblSource[ReleaseStatus],"APPROVED")=1,COUNTIFS(Period_Status!$A$2:$A$8,G2225,Period_Status!$B$2:$B$8,"ActualClosed")=1,C2225&gt;EOMONTH(Settlement_Bridge!$C$2,0)),1,0)</f>
        <v>0</v>
      </c>
      <c r="P2225" s="2" t="s">
        <v>6295</v>
      </c>
    </row>
    <row r="2226" spans="1:16" x14ac:dyDescent="0.25">
      <c r="A2226" s="2" t="s">
        <v>6296</v>
      </c>
      <c r="B2226" s="2" t="s">
        <v>199</v>
      </c>
      <c r="C2226" s="8">
        <v>46275</v>
      </c>
      <c r="D2226" s="6">
        <v>46266</v>
      </c>
      <c r="E2226" s="2" t="s">
        <v>260</v>
      </c>
      <c r="F2226" s="2" t="s">
        <v>6294</v>
      </c>
      <c r="G2226" s="6">
        <v>46235</v>
      </c>
      <c r="H2226" s="2" t="s">
        <v>176</v>
      </c>
      <c r="I2226" s="2" t="s">
        <v>70</v>
      </c>
      <c r="J2226" s="9">
        <v>8089.8923080000004</v>
      </c>
      <c r="K2226" s="7">
        <v>0.65100000000000002</v>
      </c>
      <c r="L2226" s="9">
        <v>5266.52</v>
      </c>
      <c r="M2226" s="9">
        <v>5258.43</v>
      </c>
      <c r="N2226" s="9">
        <v>2.9</v>
      </c>
      <c r="O2226" s="10">
        <f>IF(AND(OR(H2226="APPROVED",H2226="SCHEDULED"),COUNTIFS(tblSource[EventID],F2226,tblSource[ReleaseStatus],"APPROVED")=1,COUNTIFS(Period_Status!$A$2:$A$8,G2226,Period_Status!$B$2:$B$8,"ActualClosed")=1,C2226&gt;EOMONTH(Settlement_Bridge!$C$2,0)),1,0)</f>
        <v>0</v>
      </c>
      <c r="P2226" s="2" t="s">
        <v>6297</v>
      </c>
    </row>
    <row r="2227" spans="1:16" x14ac:dyDescent="0.25">
      <c r="A2227" s="2" t="s">
        <v>6298</v>
      </c>
      <c r="B2227" s="2" t="s">
        <v>199</v>
      </c>
      <c r="C2227" s="8">
        <v>46251</v>
      </c>
      <c r="D2227" s="6">
        <v>46235</v>
      </c>
      <c r="E2227" s="2" t="s">
        <v>260</v>
      </c>
      <c r="F2227" s="2" t="s">
        <v>6299</v>
      </c>
      <c r="G2227" s="6">
        <v>46235</v>
      </c>
      <c r="H2227" s="2" t="s">
        <v>71</v>
      </c>
      <c r="I2227" s="2" t="s">
        <v>39</v>
      </c>
      <c r="J2227" s="9">
        <v>3574.8240000000001</v>
      </c>
      <c r="K2227" s="7">
        <v>1</v>
      </c>
      <c r="L2227" s="9">
        <v>3574.82</v>
      </c>
      <c r="M2227" s="9">
        <v>3574.82</v>
      </c>
      <c r="N2227" s="9">
        <v>1.97</v>
      </c>
      <c r="O2227" s="10">
        <f>IF(AND(OR(H2227="APPROVED",H2227="SCHEDULED"),COUNTIFS(tblSource[EventID],F2227,tblSource[ReleaseStatus],"APPROVED")=1,COUNTIFS(Period_Status!$A$2:$A$8,G2227,Period_Status!$B$2:$B$8,"ActualClosed")=1,C2227&gt;EOMONTH(Settlement_Bridge!$C$2,0)),1,0)</f>
        <v>0</v>
      </c>
      <c r="P2227" s="2" t="s">
        <v>6300</v>
      </c>
    </row>
    <row r="2228" spans="1:16" x14ac:dyDescent="0.25">
      <c r="A2228" s="2" t="s">
        <v>6301</v>
      </c>
      <c r="B2228" s="2" t="s">
        <v>199</v>
      </c>
      <c r="C2228" s="8">
        <v>46276</v>
      </c>
      <c r="D2228" s="6">
        <v>46266</v>
      </c>
      <c r="E2228" s="2" t="s">
        <v>260</v>
      </c>
      <c r="F2228" s="2" t="s">
        <v>6299</v>
      </c>
      <c r="G2228" s="6">
        <v>46235</v>
      </c>
      <c r="H2228" s="2" t="s">
        <v>176</v>
      </c>
      <c r="I2228" s="2" t="s">
        <v>39</v>
      </c>
      <c r="J2228" s="9">
        <v>5362.2359999999999</v>
      </c>
      <c r="K2228" s="7">
        <v>1</v>
      </c>
      <c r="L2228" s="9">
        <v>5362.24</v>
      </c>
      <c r="M2228" s="9">
        <v>5362.24</v>
      </c>
      <c r="N2228" s="9">
        <v>2.95</v>
      </c>
      <c r="O2228" s="10">
        <f>IF(AND(OR(H2228="APPROVED",H2228="SCHEDULED"),COUNTIFS(tblSource[EventID],F2228,tblSource[ReleaseStatus],"APPROVED")=1,COUNTIFS(Period_Status!$A$2:$A$8,G2228,Period_Status!$B$2:$B$8,"ActualClosed")=1,C2228&gt;EOMONTH(Settlement_Bridge!$C$2,0)),1,0)</f>
        <v>0</v>
      </c>
      <c r="P2228" s="2" t="s">
        <v>6302</v>
      </c>
    </row>
    <row r="2229" spans="1:16" x14ac:dyDescent="0.25">
      <c r="A2229" s="2" t="s">
        <v>6303</v>
      </c>
      <c r="B2229" s="2" t="s">
        <v>199</v>
      </c>
      <c r="C2229" s="8">
        <v>46262</v>
      </c>
      <c r="D2229" s="6">
        <v>46235</v>
      </c>
      <c r="E2229" s="2" t="s">
        <v>260</v>
      </c>
      <c r="F2229" s="2" t="s">
        <v>6304</v>
      </c>
      <c r="G2229" s="6">
        <v>46235</v>
      </c>
      <c r="H2229" s="2" t="s">
        <v>71</v>
      </c>
      <c r="I2229" s="2" t="s">
        <v>76</v>
      </c>
      <c r="J2229" s="9">
        <v>148131219.51219499</v>
      </c>
      <c r="K2229" s="7">
        <v>6.1500000000000004E-5</v>
      </c>
      <c r="L2229" s="9">
        <v>9110.07</v>
      </c>
      <c r="M2229" s="9">
        <v>9110.07</v>
      </c>
      <c r="N2229" s="9">
        <v>5.01</v>
      </c>
      <c r="O2229" s="10">
        <f>IF(AND(OR(H2229="APPROVED",H2229="SCHEDULED"),COUNTIFS(tblSource[EventID],F2229,tblSource[ReleaseStatus],"APPROVED")=1,COUNTIFS(Period_Status!$A$2:$A$8,G2229,Period_Status!$B$2:$B$8,"ActualClosed")=1,C2229&gt;EOMONTH(Settlement_Bridge!$C$2,0)),1,0)</f>
        <v>0</v>
      </c>
      <c r="P2229" s="2" t="s">
        <v>6305</v>
      </c>
    </row>
    <row r="2230" spans="1:16" x14ac:dyDescent="0.25">
      <c r="A2230" s="2" t="s">
        <v>6306</v>
      </c>
      <c r="B2230" s="2" t="s">
        <v>199</v>
      </c>
      <c r="C2230" s="8">
        <v>46263</v>
      </c>
      <c r="D2230" s="6">
        <v>46235</v>
      </c>
      <c r="E2230" s="2" t="s">
        <v>260</v>
      </c>
      <c r="F2230" s="2" t="s">
        <v>6307</v>
      </c>
      <c r="G2230" s="6">
        <v>46235</v>
      </c>
      <c r="H2230" s="2" t="s">
        <v>71</v>
      </c>
      <c r="I2230" s="2" t="s">
        <v>70</v>
      </c>
      <c r="J2230" s="9">
        <v>14281.661538</v>
      </c>
      <c r="K2230" s="7">
        <v>0.65</v>
      </c>
      <c r="L2230" s="9">
        <v>9283.08</v>
      </c>
      <c r="M2230" s="9">
        <v>9283.08</v>
      </c>
      <c r="N2230" s="9">
        <v>5.1100000000000003</v>
      </c>
      <c r="O2230" s="10">
        <f>IF(AND(OR(H2230="APPROVED",H2230="SCHEDULED"),COUNTIFS(tblSource[EventID],F2230,tblSource[ReleaseStatus],"APPROVED")=1,COUNTIFS(Period_Status!$A$2:$A$8,G2230,Period_Status!$B$2:$B$8,"ActualClosed")=1,C2230&gt;EOMONTH(Settlement_Bridge!$C$2,0)),1,0)</f>
        <v>0</v>
      </c>
      <c r="P2230" s="2" t="s">
        <v>6308</v>
      </c>
    </row>
    <row r="2231" spans="1:16" x14ac:dyDescent="0.25">
      <c r="A2231" s="2" t="s">
        <v>6309</v>
      </c>
      <c r="B2231" s="2" t="s">
        <v>199</v>
      </c>
      <c r="C2231" s="8">
        <v>46254</v>
      </c>
      <c r="D2231" s="6">
        <v>46235</v>
      </c>
      <c r="E2231" s="2" t="s">
        <v>260</v>
      </c>
      <c r="F2231" s="2" t="s">
        <v>6310</v>
      </c>
      <c r="G2231" s="6">
        <v>46235</v>
      </c>
      <c r="H2231" s="2" t="s">
        <v>71</v>
      </c>
      <c r="I2231" s="2" t="s">
        <v>39</v>
      </c>
      <c r="J2231" s="9">
        <v>3782.4360000000001</v>
      </c>
      <c r="K2231" s="7">
        <v>1</v>
      </c>
      <c r="L2231" s="9">
        <v>3782.44</v>
      </c>
      <c r="M2231" s="9">
        <v>3782.44</v>
      </c>
      <c r="N2231" s="9">
        <v>2.08</v>
      </c>
      <c r="O2231" s="10">
        <f>IF(AND(OR(H2231="APPROVED",H2231="SCHEDULED"),COUNTIFS(tblSource[EventID],F2231,tblSource[ReleaseStatus],"APPROVED")=1,COUNTIFS(Period_Status!$A$2:$A$8,G2231,Period_Status!$B$2:$B$8,"ActualClosed")=1,C2231&gt;EOMONTH(Settlement_Bridge!$C$2,0)),1,0)</f>
        <v>0</v>
      </c>
      <c r="P2231" s="2" t="s">
        <v>6311</v>
      </c>
    </row>
    <row r="2232" spans="1:16" x14ac:dyDescent="0.25">
      <c r="A2232" s="2" t="s">
        <v>6312</v>
      </c>
      <c r="B2232" s="2" t="s">
        <v>199</v>
      </c>
      <c r="C2232" s="8">
        <v>46279</v>
      </c>
      <c r="D2232" s="6">
        <v>46266</v>
      </c>
      <c r="E2232" s="2" t="s">
        <v>260</v>
      </c>
      <c r="F2232" s="2" t="s">
        <v>6310</v>
      </c>
      <c r="G2232" s="6">
        <v>46235</v>
      </c>
      <c r="H2232" s="2" t="s">
        <v>176</v>
      </c>
      <c r="I2232" s="2" t="s">
        <v>39</v>
      </c>
      <c r="J2232" s="9">
        <v>5673.6540000000005</v>
      </c>
      <c r="K2232" s="7">
        <v>1</v>
      </c>
      <c r="L2232" s="9">
        <v>5673.65</v>
      </c>
      <c r="M2232" s="9">
        <v>5673.65</v>
      </c>
      <c r="N2232" s="9">
        <v>3.12</v>
      </c>
      <c r="O2232" s="10">
        <f>IF(AND(OR(H2232="APPROVED",H2232="SCHEDULED"),COUNTIFS(tblSource[EventID],F2232,tblSource[ReleaseStatus],"APPROVED")=1,COUNTIFS(Period_Status!$A$2:$A$8,G2232,Period_Status!$B$2:$B$8,"ActualClosed")=1,C2232&gt;EOMONTH(Settlement_Bridge!$C$2,0)),1,0)</f>
        <v>0</v>
      </c>
      <c r="P2232" s="2" t="s">
        <v>6313</v>
      </c>
    </row>
    <row r="2233" spans="1:16" x14ac:dyDescent="0.25">
      <c r="A2233" s="2" t="s">
        <v>6314</v>
      </c>
      <c r="B2233" s="2" t="s">
        <v>199</v>
      </c>
      <c r="C2233" s="8">
        <v>46265</v>
      </c>
      <c r="D2233" s="6">
        <v>46235</v>
      </c>
      <c r="E2233" s="2" t="s">
        <v>260</v>
      </c>
      <c r="F2233" s="2" t="s">
        <v>6315</v>
      </c>
      <c r="G2233" s="6">
        <v>46235</v>
      </c>
      <c r="H2233" s="2" t="s">
        <v>71</v>
      </c>
      <c r="I2233" s="2" t="s">
        <v>76</v>
      </c>
      <c r="J2233" s="9">
        <v>156570731.70731699</v>
      </c>
      <c r="K2233" s="7">
        <v>6.1500000000000004E-5</v>
      </c>
      <c r="L2233" s="9">
        <v>9629.1</v>
      </c>
      <c r="M2233" s="9">
        <v>9629.1</v>
      </c>
      <c r="N2233" s="9">
        <v>5.3</v>
      </c>
      <c r="O2233" s="10">
        <f>IF(AND(OR(H2233="APPROVED",H2233="SCHEDULED"),COUNTIFS(tblSource[EventID],F2233,tblSource[ReleaseStatus],"APPROVED")=1,COUNTIFS(Period_Status!$A$2:$A$8,G2233,Period_Status!$B$2:$B$8,"ActualClosed")=1,C2233&gt;EOMONTH(Settlement_Bridge!$C$2,0)),1,0)</f>
        <v>0</v>
      </c>
      <c r="P2233" s="2" t="s">
        <v>6316</v>
      </c>
    </row>
    <row r="2234" spans="1:16" x14ac:dyDescent="0.25">
      <c r="A2234" s="2" t="s">
        <v>6317</v>
      </c>
      <c r="B2234" s="2" t="s">
        <v>199</v>
      </c>
      <c r="C2234" s="8">
        <v>46266</v>
      </c>
      <c r="D2234" s="6">
        <v>46266</v>
      </c>
      <c r="E2234" s="2" t="s">
        <v>260</v>
      </c>
      <c r="F2234" s="2" t="s">
        <v>6318</v>
      </c>
      <c r="G2234" s="6">
        <v>46235</v>
      </c>
      <c r="H2234" s="2" t="s">
        <v>176</v>
      </c>
      <c r="I2234" s="2" t="s">
        <v>70</v>
      </c>
      <c r="J2234" s="9">
        <v>15080.169231</v>
      </c>
      <c r="K2234" s="7">
        <v>0.65100000000000002</v>
      </c>
      <c r="L2234" s="9">
        <v>9817.19</v>
      </c>
      <c r="M2234" s="9">
        <v>9802.11</v>
      </c>
      <c r="N2234" s="9">
        <v>5.4</v>
      </c>
      <c r="O2234" s="10">
        <f>IF(AND(OR(H2234="APPROVED",H2234="SCHEDULED"),COUNTIFS(tblSource[EventID],F2234,tblSource[ReleaseStatus],"APPROVED")=1,COUNTIFS(Period_Status!$A$2:$A$8,G2234,Period_Status!$B$2:$B$8,"ActualClosed")=1,C2234&gt;EOMONTH(Settlement_Bridge!$C$2,0)),1,0)</f>
        <v>0</v>
      </c>
      <c r="P2234" s="2" t="s">
        <v>6319</v>
      </c>
    </row>
    <row r="2235" spans="1:16" x14ac:dyDescent="0.25">
      <c r="A2235" s="2" t="s">
        <v>6320</v>
      </c>
      <c r="B2235" s="2" t="s">
        <v>199</v>
      </c>
      <c r="C2235" s="8">
        <v>46267</v>
      </c>
      <c r="D2235" s="6">
        <v>46266</v>
      </c>
      <c r="E2235" s="2" t="s">
        <v>260</v>
      </c>
      <c r="F2235" s="2" t="s">
        <v>6321</v>
      </c>
      <c r="G2235" s="6">
        <v>46235</v>
      </c>
      <c r="H2235" s="2" t="s">
        <v>176</v>
      </c>
      <c r="I2235" s="2" t="s">
        <v>39</v>
      </c>
      <c r="J2235" s="9">
        <v>9975.1200000000008</v>
      </c>
      <c r="K2235" s="7">
        <v>1</v>
      </c>
      <c r="L2235" s="9">
        <v>9975.1200000000008</v>
      </c>
      <c r="M2235" s="9">
        <v>9975.1200000000008</v>
      </c>
      <c r="N2235" s="9">
        <v>5.49</v>
      </c>
      <c r="O2235" s="10">
        <f>IF(AND(OR(H2235="APPROVED",H2235="SCHEDULED"),COUNTIFS(tblSource[EventID],F2235,tblSource[ReleaseStatus],"APPROVED")=1,COUNTIFS(Period_Status!$A$2:$A$8,G2235,Period_Status!$B$2:$B$8,"ActualClosed")=1,C2235&gt;EOMONTH(Settlement_Bridge!$C$2,0)),1,0)</f>
        <v>0</v>
      </c>
      <c r="P2235" s="2" t="s">
        <v>6322</v>
      </c>
    </row>
    <row r="2236" spans="1:16" x14ac:dyDescent="0.25">
      <c r="A2236" s="2" t="s">
        <v>6323</v>
      </c>
      <c r="B2236" s="2" t="s">
        <v>199</v>
      </c>
      <c r="C2236" s="8">
        <v>46268</v>
      </c>
      <c r="D2236" s="6">
        <v>46266</v>
      </c>
      <c r="E2236" s="2" t="s">
        <v>260</v>
      </c>
      <c r="F2236" s="2" t="s">
        <v>6324</v>
      </c>
      <c r="G2236" s="6">
        <v>46235</v>
      </c>
      <c r="H2236" s="2" t="s">
        <v>176</v>
      </c>
      <c r="I2236" s="2" t="s">
        <v>76</v>
      </c>
      <c r="J2236" s="9">
        <v>165010243.902439</v>
      </c>
      <c r="K2236" s="7">
        <v>6.1299999999999999E-5</v>
      </c>
      <c r="L2236" s="9">
        <v>10115.129999999999</v>
      </c>
      <c r="M2236" s="9">
        <v>10148.129999999999</v>
      </c>
      <c r="N2236" s="9">
        <v>5.56</v>
      </c>
      <c r="O2236" s="10">
        <f>IF(AND(OR(H2236="APPROVED",H2236="SCHEDULED"),COUNTIFS(tblSource[EventID],F2236,tblSource[ReleaseStatus],"APPROVED")=1,COUNTIFS(Period_Status!$A$2:$A$8,G2236,Period_Status!$B$2:$B$8,"ActualClosed")=1,C2236&gt;EOMONTH(Settlement_Bridge!$C$2,0)),1,0)</f>
        <v>0</v>
      </c>
      <c r="P2236" s="2" t="s">
        <v>6325</v>
      </c>
    </row>
    <row r="2237" spans="1:16" x14ac:dyDescent="0.25">
      <c r="A2237" s="2" t="s">
        <v>6326</v>
      </c>
      <c r="B2237" s="2" t="s">
        <v>199</v>
      </c>
      <c r="C2237" s="8">
        <v>46269</v>
      </c>
      <c r="D2237" s="6">
        <v>46266</v>
      </c>
      <c r="E2237" s="2" t="s">
        <v>260</v>
      </c>
      <c r="F2237" s="2" t="s">
        <v>6327</v>
      </c>
      <c r="G2237" s="6">
        <v>46235</v>
      </c>
      <c r="H2237" s="2" t="s">
        <v>176</v>
      </c>
      <c r="I2237" s="2" t="s">
        <v>70</v>
      </c>
      <c r="J2237" s="9">
        <v>15878.676923000001</v>
      </c>
      <c r="K2237" s="7">
        <v>0.65100000000000002</v>
      </c>
      <c r="L2237" s="9">
        <v>10337.02</v>
      </c>
      <c r="M2237" s="9">
        <v>10321.14</v>
      </c>
      <c r="N2237" s="9">
        <v>5.69</v>
      </c>
      <c r="O2237" s="10">
        <f>IF(AND(OR(H2237="APPROVED",H2237="SCHEDULED"),COUNTIFS(tblSource[EventID],F2237,tblSource[ReleaseStatus],"APPROVED")=1,COUNTIFS(Period_Status!$A$2:$A$8,G2237,Period_Status!$B$2:$B$8,"ActualClosed")=1,C2237&gt;EOMONTH(Settlement_Bridge!$C$2,0)),1,0)</f>
        <v>0</v>
      </c>
      <c r="P2237" s="2" t="s">
        <v>6328</v>
      </c>
    </row>
    <row r="2238" spans="1:16" x14ac:dyDescent="0.25">
      <c r="A2238" s="2" t="s">
        <v>6329</v>
      </c>
      <c r="B2238" s="2" t="s">
        <v>199</v>
      </c>
      <c r="C2238" s="8">
        <v>46260</v>
      </c>
      <c r="D2238" s="6">
        <v>46235</v>
      </c>
      <c r="E2238" s="2" t="s">
        <v>260</v>
      </c>
      <c r="F2238" s="2" t="s">
        <v>6330</v>
      </c>
      <c r="G2238" s="6">
        <v>46235</v>
      </c>
      <c r="H2238" s="2" t="s">
        <v>71</v>
      </c>
      <c r="I2238" s="2" t="s">
        <v>39</v>
      </c>
      <c r="J2238" s="9">
        <v>4197.66</v>
      </c>
      <c r="K2238" s="7">
        <v>1</v>
      </c>
      <c r="L2238" s="9">
        <v>4197.66</v>
      </c>
      <c r="M2238" s="9">
        <v>4197.66</v>
      </c>
      <c r="N2238" s="9">
        <v>2.31</v>
      </c>
      <c r="O2238" s="10">
        <f>IF(AND(OR(H2238="APPROVED",H2238="SCHEDULED"),COUNTIFS(tblSource[EventID],F2238,tblSource[ReleaseStatus],"APPROVED")=1,COUNTIFS(Period_Status!$A$2:$A$8,G2238,Period_Status!$B$2:$B$8,"ActualClosed")=1,C2238&gt;EOMONTH(Settlement_Bridge!$C$2,0)),1,0)</f>
        <v>0</v>
      </c>
      <c r="P2238" s="2" t="s">
        <v>6331</v>
      </c>
    </row>
    <row r="2239" spans="1:16" x14ac:dyDescent="0.25">
      <c r="A2239" s="2" t="s">
        <v>6332</v>
      </c>
      <c r="B2239" s="2" t="s">
        <v>199</v>
      </c>
      <c r="C2239" s="8">
        <v>46285</v>
      </c>
      <c r="D2239" s="6">
        <v>46266</v>
      </c>
      <c r="E2239" s="2" t="s">
        <v>260</v>
      </c>
      <c r="F2239" s="2" t="s">
        <v>6330</v>
      </c>
      <c r="G2239" s="6">
        <v>46235</v>
      </c>
      <c r="H2239" s="2" t="s">
        <v>176</v>
      </c>
      <c r="I2239" s="2" t="s">
        <v>39</v>
      </c>
      <c r="J2239" s="9">
        <v>6296.49</v>
      </c>
      <c r="K2239" s="7">
        <v>1</v>
      </c>
      <c r="L2239" s="9">
        <v>6296.49</v>
      </c>
      <c r="M2239" s="9">
        <v>6296.49</v>
      </c>
      <c r="N2239" s="9">
        <v>3.46</v>
      </c>
      <c r="O2239" s="10">
        <f>IF(AND(OR(H2239="APPROVED",H2239="SCHEDULED"),COUNTIFS(tblSource[EventID],F2239,tblSource[ReleaseStatus],"APPROVED")=1,COUNTIFS(Period_Status!$A$2:$A$8,G2239,Period_Status!$B$2:$B$8,"ActualClosed")=1,C2239&gt;EOMONTH(Settlement_Bridge!$C$2,0)),1,0)</f>
        <v>0</v>
      </c>
      <c r="P2239" s="2" t="s">
        <v>6333</v>
      </c>
    </row>
    <row r="2240" spans="1:16" x14ac:dyDescent="0.25">
      <c r="A2240" s="2" t="s">
        <v>6334</v>
      </c>
      <c r="B2240" s="2" t="s">
        <v>199</v>
      </c>
      <c r="C2240" s="8">
        <v>46261</v>
      </c>
      <c r="D2240" s="6">
        <v>46235</v>
      </c>
      <c r="E2240" s="2" t="s">
        <v>260</v>
      </c>
      <c r="F2240" s="2" t="s">
        <v>6335</v>
      </c>
      <c r="G2240" s="6">
        <v>46235</v>
      </c>
      <c r="H2240" s="2" t="s">
        <v>71</v>
      </c>
      <c r="I2240" s="2" t="s">
        <v>76</v>
      </c>
      <c r="J2240" s="9">
        <v>69379902.439024001</v>
      </c>
      <c r="K2240" s="7">
        <v>6.1500000000000004E-5</v>
      </c>
      <c r="L2240" s="9">
        <v>4266.8599999999997</v>
      </c>
      <c r="M2240" s="9">
        <v>4266.8599999999997</v>
      </c>
      <c r="N2240" s="9">
        <v>2.35</v>
      </c>
      <c r="O2240" s="10">
        <f>IF(AND(OR(H2240="APPROVED",H2240="SCHEDULED"),COUNTIFS(tblSource[EventID],F2240,tblSource[ReleaseStatus],"APPROVED")=1,COUNTIFS(Period_Status!$A$2:$A$8,G2240,Period_Status!$B$2:$B$8,"ActualClosed")=1,C2240&gt;EOMONTH(Settlement_Bridge!$C$2,0)),1,0)</f>
        <v>0</v>
      </c>
      <c r="P2240" s="2" t="s">
        <v>6336</v>
      </c>
    </row>
    <row r="2241" spans="1:16" x14ac:dyDescent="0.25">
      <c r="A2241" s="2" t="s">
        <v>6337</v>
      </c>
      <c r="B2241" s="2" t="s">
        <v>199</v>
      </c>
      <c r="C2241" s="8">
        <v>46286</v>
      </c>
      <c r="D2241" s="6">
        <v>46266</v>
      </c>
      <c r="E2241" s="2" t="s">
        <v>260</v>
      </c>
      <c r="F2241" s="2" t="s">
        <v>6335</v>
      </c>
      <c r="G2241" s="6">
        <v>46235</v>
      </c>
      <c r="H2241" s="2" t="s">
        <v>176</v>
      </c>
      <c r="I2241" s="2" t="s">
        <v>76</v>
      </c>
      <c r="J2241" s="9">
        <v>104069853.658537</v>
      </c>
      <c r="K2241" s="7">
        <v>6.1299999999999999E-5</v>
      </c>
      <c r="L2241" s="9">
        <v>6379.48</v>
      </c>
      <c r="M2241" s="9">
        <v>6400.3</v>
      </c>
      <c r="N2241" s="9">
        <v>3.51</v>
      </c>
      <c r="O2241" s="10">
        <f>IF(AND(OR(H2241="APPROVED",H2241="SCHEDULED"),COUNTIFS(tblSource[EventID],F2241,tblSource[ReleaseStatus],"APPROVED")=1,COUNTIFS(Period_Status!$A$2:$A$8,G2241,Period_Status!$B$2:$B$8,"ActualClosed")=1,C2241&gt;EOMONTH(Settlement_Bridge!$C$2,0)),1,0)</f>
        <v>0</v>
      </c>
      <c r="P2241" s="2" t="s">
        <v>6338</v>
      </c>
    </row>
    <row r="2242" spans="1:16" x14ac:dyDescent="0.25">
      <c r="A2242" s="2" t="s">
        <v>6339</v>
      </c>
      <c r="B2242" s="2" t="s">
        <v>199</v>
      </c>
      <c r="C2242" s="8">
        <v>46272</v>
      </c>
      <c r="D2242" s="6">
        <v>46266</v>
      </c>
      <c r="E2242" s="2" t="s">
        <v>260</v>
      </c>
      <c r="F2242" s="2" t="s">
        <v>6340</v>
      </c>
      <c r="G2242" s="6">
        <v>46235</v>
      </c>
      <c r="H2242" s="2" t="s">
        <v>176</v>
      </c>
      <c r="I2242" s="2" t="s">
        <v>70</v>
      </c>
      <c r="J2242" s="9">
        <v>16677.184614999998</v>
      </c>
      <c r="K2242" s="7">
        <v>0.65100000000000002</v>
      </c>
      <c r="L2242" s="9">
        <v>10856.85</v>
      </c>
      <c r="M2242" s="9">
        <v>10840.17</v>
      </c>
      <c r="N2242" s="9">
        <v>5.97</v>
      </c>
      <c r="O2242" s="10">
        <f>IF(AND(OR(H2242="APPROVED",H2242="SCHEDULED"),COUNTIFS(tblSource[EventID],F2242,tblSource[ReleaseStatus],"APPROVED")=1,COUNTIFS(Period_Status!$A$2:$A$8,G2242,Period_Status!$B$2:$B$8,"ActualClosed")=1,C2242&gt;EOMONTH(Settlement_Bridge!$C$2,0)),1,0)</f>
        <v>0</v>
      </c>
      <c r="P2242" s="2" t="s">
        <v>6341</v>
      </c>
    </row>
    <row r="2243" spans="1:16" x14ac:dyDescent="0.25">
      <c r="A2243" s="2" t="s">
        <v>6342</v>
      </c>
      <c r="B2243" s="2" t="s">
        <v>199</v>
      </c>
      <c r="C2243" s="8">
        <v>46273</v>
      </c>
      <c r="D2243" s="6">
        <v>46266</v>
      </c>
      <c r="E2243" s="2" t="s">
        <v>260</v>
      </c>
      <c r="F2243" s="2" t="s">
        <v>6343</v>
      </c>
      <c r="G2243" s="6">
        <v>46235</v>
      </c>
      <c r="H2243" s="2" t="s">
        <v>176</v>
      </c>
      <c r="I2243" s="2" t="s">
        <v>39</v>
      </c>
      <c r="J2243" s="9">
        <v>-11013.18</v>
      </c>
      <c r="K2243" s="7">
        <v>1</v>
      </c>
      <c r="L2243" s="9">
        <v>-11013.18</v>
      </c>
      <c r="M2243" s="9">
        <v>-11013.18</v>
      </c>
      <c r="N2243" s="9">
        <v>0</v>
      </c>
      <c r="O2243" s="10">
        <f>IF(AND(OR(H2243="APPROVED",H2243="SCHEDULED"),COUNTIFS(tblSource[EventID],F2243,tblSource[ReleaseStatus],"APPROVED")=1,COUNTIFS(Period_Status!$A$2:$A$8,G2243,Period_Status!$B$2:$B$8,"ActualClosed")=1,C2243&gt;EOMONTH(Settlement_Bridge!$C$2,0)),1,0)</f>
        <v>0</v>
      </c>
      <c r="P2243" s="2" t="s">
        <v>6344</v>
      </c>
    </row>
    <row r="2244" spans="1:16" x14ac:dyDescent="0.25">
      <c r="A2244" s="2" t="s">
        <v>6345</v>
      </c>
      <c r="B2244" s="2" t="s">
        <v>199</v>
      </c>
      <c r="C2244" s="8">
        <v>46264</v>
      </c>
      <c r="D2244" s="6">
        <v>46235</v>
      </c>
      <c r="E2244" s="2" t="s">
        <v>260</v>
      </c>
      <c r="F2244" s="2" t="s">
        <v>6346</v>
      </c>
      <c r="G2244" s="6">
        <v>46235</v>
      </c>
      <c r="H2244" s="2" t="s">
        <v>71</v>
      </c>
      <c r="I2244" s="2" t="s">
        <v>76</v>
      </c>
      <c r="J2244" s="9">
        <v>72755707.317073002</v>
      </c>
      <c r="K2244" s="7">
        <v>6.1500000000000004E-5</v>
      </c>
      <c r="L2244" s="9">
        <v>4474.4799999999996</v>
      </c>
      <c r="M2244" s="9">
        <v>4474.4799999999996</v>
      </c>
      <c r="N2244" s="9">
        <v>2.46</v>
      </c>
      <c r="O2244" s="10">
        <f>IF(AND(OR(H2244="APPROVED",H2244="SCHEDULED"),COUNTIFS(tblSource[EventID],F2244,tblSource[ReleaseStatus],"APPROVED")=1,COUNTIFS(Period_Status!$A$2:$A$8,G2244,Period_Status!$B$2:$B$8,"ActualClosed")=1,C2244&gt;EOMONTH(Settlement_Bridge!$C$2,0)),1,0)</f>
        <v>0</v>
      </c>
      <c r="P2244" s="2" t="s">
        <v>6347</v>
      </c>
    </row>
    <row r="2245" spans="1:16" x14ac:dyDescent="0.25">
      <c r="A2245" s="2" t="s">
        <v>6348</v>
      </c>
      <c r="B2245" s="2" t="s">
        <v>199</v>
      </c>
      <c r="C2245" s="8">
        <v>46289</v>
      </c>
      <c r="D2245" s="6">
        <v>46266</v>
      </c>
      <c r="E2245" s="2" t="s">
        <v>260</v>
      </c>
      <c r="F2245" s="2" t="s">
        <v>6346</v>
      </c>
      <c r="G2245" s="6">
        <v>46235</v>
      </c>
      <c r="H2245" s="2" t="s">
        <v>176</v>
      </c>
      <c r="I2245" s="2" t="s">
        <v>76</v>
      </c>
      <c r="J2245" s="9">
        <v>109133560.97561</v>
      </c>
      <c r="K2245" s="7">
        <v>6.1299999999999999E-5</v>
      </c>
      <c r="L2245" s="9">
        <v>6689.89</v>
      </c>
      <c r="M2245" s="9">
        <v>6711.71</v>
      </c>
      <c r="N2245" s="9">
        <v>3.68</v>
      </c>
      <c r="O2245" s="10">
        <f>IF(AND(OR(H2245="APPROVED",H2245="SCHEDULED"),COUNTIFS(tblSource[EventID],F2245,tblSource[ReleaseStatus],"APPROVED")=1,COUNTIFS(Period_Status!$A$2:$A$8,G2245,Period_Status!$B$2:$B$8,"ActualClosed")=1,C2245&gt;EOMONTH(Settlement_Bridge!$C$2,0)),1,0)</f>
        <v>0</v>
      </c>
      <c r="P2245" s="2" t="s">
        <v>6349</v>
      </c>
    </row>
    <row r="2246" spans="1:16" x14ac:dyDescent="0.25">
      <c r="A2246" s="2" t="s">
        <v>6350</v>
      </c>
      <c r="B2246" s="2" t="s">
        <v>199</v>
      </c>
      <c r="C2246" s="8">
        <v>46275</v>
      </c>
      <c r="D2246" s="6">
        <v>46266</v>
      </c>
      <c r="E2246" s="2" t="s">
        <v>260</v>
      </c>
      <c r="F2246" s="2" t="s">
        <v>6351</v>
      </c>
      <c r="G2246" s="6">
        <v>46235</v>
      </c>
      <c r="H2246" s="2" t="s">
        <v>176</v>
      </c>
      <c r="I2246" s="2" t="s">
        <v>70</v>
      </c>
      <c r="J2246" s="9">
        <v>17475.692308000002</v>
      </c>
      <c r="K2246" s="7">
        <v>0.65100000000000002</v>
      </c>
      <c r="L2246" s="9">
        <v>11376.68</v>
      </c>
      <c r="M2246" s="9">
        <v>11359.2</v>
      </c>
      <c r="N2246" s="9">
        <v>6.26</v>
      </c>
      <c r="O2246" s="10">
        <f>IF(AND(OR(H2246="APPROVED",H2246="SCHEDULED"),COUNTIFS(tblSource[EventID],F2246,tblSource[ReleaseStatus],"APPROVED")=1,COUNTIFS(Period_Status!$A$2:$A$8,G2246,Period_Status!$B$2:$B$8,"ActualClosed")=1,C2246&gt;EOMONTH(Settlement_Bridge!$C$2,0)),1,0)</f>
        <v>0</v>
      </c>
      <c r="P2246" s="2" t="s">
        <v>6352</v>
      </c>
    </row>
    <row r="2247" spans="1:16" x14ac:dyDescent="0.25">
      <c r="A2247" s="2" t="s">
        <v>6353</v>
      </c>
      <c r="B2247" s="2" t="s">
        <v>199</v>
      </c>
      <c r="C2247" s="8">
        <v>46276</v>
      </c>
      <c r="D2247" s="6">
        <v>46266</v>
      </c>
      <c r="E2247" s="2" t="s">
        <v>260</v>
      </c>
      <c r="F2247" s="2" t="s">
        <v>6354</v>
      </c>
      <c r="G2247" s="6">
        <v>46235</v>
      </c>
      <c r="H2247" s="2" t="s">
        <v>176</v>
      </c>
      <c r="I2247" s="2" t="s">
        <v>39</v>
      </c>
      <c r="J2247" s="9">
        <v>11532.21</v>
      </c>
      <c r="K2247" s="7">
        <v>1</v>
      </c>
      <c r="L2247" s="9">
        <v>11532.21</v>
      </c>
      <c r="M2247" s="9">
        <v>11532.21</v>
      </c>
      <c r="N2247" s="9">
        <v>6.34</v>
      </c>
      <c r="O2247" s="10">
        <f>IF(AND(OR(H2247="APPROVED",H2247="SCHEDULED"),COUNTIFS(tblSource[EventID],F2247,tblSource[ReleaseStatus],"APPROVED")=1,COUNTIFS(Period_Status!$A$2:$A$8,G2247,Period_Status!$B$2:$B$8,"ActualClosed")=1,C2247&gt;EOMONTH(Settlement_Bridge!$C$2,0)),1,0)</f>
        <v>0</v>
      </c>
      <c r="P2247" s="2" t="s">
        <v>6355</v>
      </c>
    </row>
    <row r="2248" spans="1:16" x14ac:dyDescent="0.25">
      <c r="A2248" s="2" t="s">
        <v>6356</v>
      </c>
      <c r="B2248" s="2" t="s">
        <v>199</v>
      </c>
      <c r="C2248" s="8">
        <v>46277</v>
      </c>
      <c r="D2248" s="6">
        <v>46266</v>
      </c>
      <c r="E2248" s="2" t="s">
        <v>260</v>
      </c>
      <c r="F2248" s="2" t="s">
        <v>6357</v>
      </c>
      <c r="G2248" s="6">
        <v>46235</v>
      </c>
      <c r="H2248" s="2" t="s">
        <v>176</v>
      </c>
      <c r="I2248" s="2" t="s">
        <v>76</v>
      </c>
      <c r="J2248" s="9">
        <v>190328780.48780501</v>
      </c>
      <c r="K2248" s="7">
        <v>6.1299999999999999E-5</v>
      </c>
      <c r="L2248" s="9">
        <v>11667.15</v>
      </c>
      <c r="M2248" s="9">
        <v>11705.22</v>
      </c>
      <c r="N2248" s="9">
        <v>6.42</v>
      </c>
      <c r="O2248" s="10">
        <f>IF(AND(OR(H2248="APPROVED",H2248="SCHEDULED"),COUNTIFS(tblSource[EventID],F2248,tblSource[ReleaseStatus],"APPROVED")=1,COUNTIFS(Period_Status!$A$2:$A$8,G2248,Period_Status!$B$2:$B$8,"ActualClosed")=1,C2248&gt;EOMONTH(Settlement_Bridge!$C$2,0)),1,0)</f>
        <v>0</v>
      </c>
      <c r="P2248" s="2" t="s">
        <v>6358</v>
      </c>
    </row>
    <row r="2249" spans="1:16" x14ac:dyDescent="0.25">
      <c r="A2249" s="2" t="s">
        <v>6359</v>
      </c>
      <c r="B2249" s="2" t="s">
        <v>199</v>
      </c>
      <c r="C2249" s="8">
        <v>46278</v>
      </c>
      <c r="D2249" s="6">
        <v>46266</v>
      </c>
      <c r="E2249" s="2" t="s">
        <v>260</v>
      </c>
      <c r="F2249" s="2" t="s">
        <v>6360</v>
      </c>
      <c r="G2249" s="6">
        <v>46235</v>
      </c>
      <c r="H2249" s="2" t="s">
        <v>176</v>
      </c>
      <c r="I2249" s="2" t="s">
        <v>70</v>
      </c>
      <c r="J2249" s="9">
        <v>18274.2</v>
      </c>
      <c r="K2249" s="7">
        <v>0.65100000000000002</v>
      </c>
      <c r="L2249" s="9">
        <v>11896.5</v>
      </c>
      <c r="M2249" s="9">
        <v>11878.23</v>
      </c>
      <c r="N2249" s="9">
        <v>6.54</v>
      </c>
      <c r="O2249" s="10">
        <f>IF(AND(OR(H2249="APPROVED",H2249="SCHEDULED"),COUNTIFS(tblSource[EventID],F2249,tblSource[ReleaseStatus],"APPROVED")=1,COUNTIFS(Period_Status!$A$2:$A$8,G2249,Period_Status!$B$2:$B$8,"ActualClosed")=1,C2249&gt;EOMONTH(Settlement_Bridge!$C$2,0)),1,0)</f>
        <v>0</v>
      </c>
      <c r="P2249" s="2" t="s">
        <v>6361</v>
      </c>
    </row>
    <row r="2250" spans="1:16" x14ac:dyDescent="0.25">
      <c r="A2250" s="2" t="s">
        <v>6362</v>
      </c>
      <c r="B2250" s="2" t="s">
        <v>199</v>
      </c>
      <c r="C2250" s="8">
        <v>46279</v>
      </c>
      <c r="D2250" s="6">
        <v>46266</v>
      </c>
      <c r="E2250" s="2" t="s">
        <v>260</v>
      </c>
      <c r="F2250" s="2" t="s">
        <v>6363</v>
      </c>
      <c r="G2250" s="6">
        <v>46235</v>
      </c>
      <c r="H2250" s="2" t="s">
        <v>176</v>
      </c>
      <c r="I2250" s="2" t="s">
        <v>39</v>
      </c>
      <c r="J2250" s="9">
        <v>12051.24</v>
      </c>
      <c r="K2250" s="7">
        <v>1</v>
      </c>
      <c r="L2250" s="9">
        <v>12051.24</v>
      </c>
      <c r="M2250" s="9">
        <v>12051.24</v>
      </c>
      <c r="N2250" s="9">
        <v>6.63</v>
      </c>
      <c r="O2250" s="10">
        <f>IF(AND(OR(H2250="APPROVED",H2250="SCHEDULED"),COUNTIFS(tblSource[EventID],F2250,tblSource[ReleaseStatus],"APPROVED")=1,COUNTIFS(Period_Status!$A$2:$A$8,G2250,Period_Status!$B$2:$B$8,"ActualClosed")=1,C2250&gt;EOMONTH(Settlement_Bridge!$C$2,0)),1,0)</f>
        <v>0</v>
      </c>
      <c r="P2250" s="2" t="s">
        <v>6364</v>
      </c>
    </row>
    <row r="2251" spans="1:16" x14ac:dyDescent="0.25">
      <c r="A2251" s="2" t="s">
        <v>6365</v>
      </c>
      <c r="B2251" s="2" t="s">
        <v>199</v>
      </c>
      <c r="C2251" s="8">
        <v>46270</v>
      </c>
      <c r="D2251" s="6">
        <v>46266</v>
      </c>
      <c r="E2251" s="2" t="s">
        <v>260</v>
      </c>
      <c r="F2251" s="2" t="s">
        <v>6366</v>
      </c>
      <c r="G2251" s="6">
        <v>46235</v>
      </c>
      <c r="H2251" s="2" t="s">
        <v>176</v>
      </c>
      <c r="I2251" s="2" t="s">
        <v>76</v>
      </c>
      <c r="J2251" s="9">
        <v>79507317.073171005</v>
      </c>
      <c r="K2251" s="7">
        <v>6.1299999999999999E-5</v>
      </c>
      <c r="L2251" s="9">
        <v>4873.8</v>
      </c>
      <c r="M2251" s="9">
        <v>4889.7</v>
      </c>
      <c r="N2251" s="9">
        <v>2.68</v>
      </c>
      <c r="O2251" s="10">
        <f>IF(AND(OR(H2251="APPROVED",H2251="SCHEDULED"),COUNTIFS(tblSource[EventID],F2251,tblSource[ReleaseStatus],"APPROVED")=1,COUNTIFS(Period_Status!$A$2:$A$8,G2251,Period_Status!$B$2:$B$8,"ActualClosed")=1,C2251&gt;EOMONTH(Settlement_Bridge!$C$2,0)),1,0)</f>
        <v>0</v>
      </c>
      <c r="P2251" s="2" t="s">
        <v>6367</v>
      </c>
    </row>
    <row r="2252" spans="1:16" x14ac:dyDescent="0.25">
      <c r="A2252" s="2" t="s">
        <v>6368</v>
      </c>
      <c r="B2252" s="2" t="s">
        <v>199</v>
      </c>
      <c r="C2252" s="8">
        <v>46295</v>
      </c>
      <c r="D2252" s="6">
        <v>46266</v>
      </c>
      <c r="E2252" s="2" t="s">
        <v>260</v>
      </c>
      <c r="F2252" s="2" t="s">
        <v>6366</v>
      </c>
      <c r="G2252" s="6">
        <v>46235</v>
      </c>
      <c r="H2252" s="2" t="s">
        <v>176</v>
      </c>
      <c r="I2252" s="2" t="s">
        <v>76</v>
      </c>
      <c r="J2252" s="9">
        <v>119260975.60975599</v>
      </c>
      <c r="K2252" s="7">
        <v>6.1299999999999999E-5</v>
      </c>
      <c r="L2252" s="9">
        <v>7310.7</v>
      </c>
      <c r="M2252" s="9">
        <v>7334.55</v>
      </c>
      <c r="N2252" s="9">
        <v>4.0199999999999996</v>
      </c>
      <c r="O2252" s="10">
        <f>IF(AND(OR(H2252="APPROVED",H2252="SCHEDULED"),COUNTIFS(tblSource[EventID],F2252,tblSource[ReleaseStatus],"APPROVED")=1,COUNTIFS(Period_Status!$A$2:$A$8,G2252,Period_Status!$B$2:$B$8,"ActualClosed")=1,C2252&gt;EOMONTH(Settlement_Bridge!$C$2,0)),1,0)</f>
        <v>0</v>
      </c>
      <c r="P2252" s="2" t="s">
        <v>6369</v>
      </c>
    </row>
    <row r="2253" spans="1:16" x14ac:dyDescent="0.25">
      <c r="A2253" s="2" t="s">
        <v>6370</v>
      </c>
      <c r="B2253" s="2" t="s">
        <v>199</v>
      </c>
      <c r="C2253" s="8">
        <v>46271</v>
      </c>
      <c r="D2253" s="6">
        <v>46266</v>
      </c>
      <c r="E2253" s="2" t="s">
        <v>260</v>
      </c>
      <c r="F2253" s="2" t="s">
        <v>6371</v>
      </c>
      <c r="G2253" s="6">
        <v>46235</v>
      </c>
      <c r="H2253" s="2" t="s">
        <v>176</v>
      </c>
      <c r="I2253" s="2" t="s">
        <v>70</v>
      </c>
      <c r="J2253" s="9">
        <v>7629.0830770000002</v>
      </c>
      <c r="K2253" s="7">
        <v>0.65100000000000002</v>
      </c>
      <c r="L2253" s="9">
        <v>4966.53</v>
      </c>
      <c r="M2253" s="9">
        <v>4958.8999999999996</v>
      </c>
      <c r="N2253" s="9">
        <v>2.73</v>
      </c>
      <c r="O2253" s="10">
        <f>IF(AND(OR(H2253="APPROVED",H2253="SCHEDULED"),COUNTIFS(tblSource[EventID],F2253,tblSource[ReleaseStatus],"APPROVED")=1,COUNTIFS(Period_Status!$A$2:$A$8,G2253,Period_Status!$B$2:$B$8,"ActualClosed")=1,C2253&gt;EOMONTH(Settlement_Bridge!$C$2,0)),1,0)</f>
        <v>0</v>
      </c>
      <c r="P2253" s="2" t="s">
        <v>6372</v>
      </c>
    </row>
    <row r="2254" spans="1:16" x14ac:dyDescent="0.25">
      <c r="A2254" s="2" t="s">
        <v>6373</v>
      </c>
      <c r="B2254" s="2" t="s">
        <v>199</v>
      </c>
      <c r="C2254" s="8">
        <v>46296</v>
      </c>
      <c r="D2254" s="6">
        <v>46296</v>
      </c>
      <c r="E2254" s="2" t="s">
        <v>260</v>
      </c>
      <c r="F2254" s="2" t="s">
        <v>6371</v>
      </c>
      <c r="G2254" s="6">
        <v>46235</v>
      </c>
      <c r="H2254" s="2" t="s">
        <v>176</v>
      </c>
      <c r="I2254" s="2" t="s">
        <v>70</v>
      </c>
      <c r="J2254" s="9">
        <v>11443.624615000001</v>
      </c>
      <c r="K2254" s="7">
        <v>0.65500000000000003</v>
      </c>
      <c r="L2254" s="9">
        <v>7495.57</v>
      </c>
      <c r="M2254" s="9">
        <v>7438.36</v>
      </c>
      <c r="N2254" s="9">
        <v>4.12</v>
      </c>
      <c r="O2254" s="10">
        <f>IF(AND(OR(H2254="APPROVED",H2254="SCHEDULED"),COUNTIFS(tblSource[EventID],F2254,tblSource[ReleaseStatus],"APPROVED")=1,COUNTIFS(Period_Status!$A$2:$A$8,G2254,Period_Status!$B$2:$B$8,"ActualClosed")=1,C2254&gt;EOMONTH(Settlement_Bridge!$C$2,0)),1,0)</f>
        <v>0</v>
      </c>
      <c r="P2254" s="2" t="s">
        <v>6374</v>
      </c>
    </row>
    <row r="2255" spans="1:16" x14ac:dyDescent="0.25">
      <c r="A2255" s="2" t="s">
        <v>6375</v>
      </c>
      <c r="B2255" s="2" t="s">
        <v>199</v>
      </c>
      <c r="C2255" s="8">
        <v>46282</v>
      </c>
      <c r="D2255" s="6">
        <v>46266</v>
      </c>
      <c r="E2255" s="2" t="s">
        <v>260</v>
      </c>
      <c r="F2255" s="2" t="s">
        <v>6376</v>
      </c>
      <c r="G2255" s="6">
        <v>46235</v>
      </c>
      <c r="H2255" s="2" t="s">
        <v>176</v>
      </c>
      <c r="I2255" s="2" t="s">
        <v>39</v>
      </c>
      <c r="J2255" s="9">
        <v>12570.27</v>
      </c>
      <c r="K2255" s="7">
        <v>1</v>
      </c>
      <c r="L2255" s="9">
        <v>12570.27</v>
      </c>
      <c r="M2255" s="9">
        <v>12570.27</v>
      </c>
      <c r="N2255" s="9">
        <v>6.91</v>
      </c>
      <c r="O2255" s="10">
        <f>IF(AND(OR(H2255="APPROVED",H2255="SCHEDULED"),COUNTIFS(tblSource[EventID],F2255,tblSource[ReleaseStatus],"APPROVED")=1,COUNTIFS(Period_Status!$A$2:$A$8,G2255,Period_Status!$B$2:$B$8,"ActualClosed")=1,C2255&gt;EOMONTH(Settlement_Bridge!$C$2,0)),1,0)</f>
        <v>0</v>
      </c>
      <c r="P2255" s="2" t="s">
        <v>6377</v>
      </c>
    </row>
    <row r="2256" spans="1:16" x14ac:dyDescent="0.25">
      <c r="A2256" s="2" t="s">
        <v>6378</v>
      </c>
      <c r="B2256" s="2" t="s">
        <v>199</v>
      </c>
      <c r="C2256" s="8">
        <v>46283</v>
      </c>
      <c r="D2256" s="6">
        <v>46266</v>
      </c>
      <c r="E2256" s="2" t="s">
        <v>260</v>
      </c>
      <c r="F2256" s="2" t="s">
        <v>6379</v>
      </c>
      <c r="G2256" s="6">
        <v>46235</v>
      </c>
      <c r="H2256" s="2" t="s">
        <v>176</v>
      </c>
      <c r="I2256" s="2" t="s">
        <v>76</v>
      </c>
      <c r="J2256" s="9">
        <v>207207804.87804899</v>
      </c>
      <c r="K2256" s="7">
        <v>6.1299999999999999E-5</v>
      </c>
      <c r="L2256" s="9">
        <v>12701.84</v>
      </c>
      <c r="M2256" s="9">
        <v>12743.28</v>
      </c>
      <c r="N2256" s="9">
        <v>6.99</v>
      </c>
      <c r="O2256" s="10">
        <f>IF(AND(OR(H2256="APPROVED",H2256="SCHEDULED"),COUNTIFS(tblSource[EventID],F2256,tblSource[ReleaseStatus],"APPROVED")=1,COUNTIFS(Period_Status!$A$2:$A$8,G2256,Period_Status!$B$2:$B$8,"ActualClosed")=1,C2256&gt;EOMONTH(Settlement_Bridge!$C$2,0)),1,0)</f>
        <v>0</v>
      </c>
      <c r="P2256" s="2" t="s">
        <v>6380</v>
      </c>
    </row>
    <row r="2257" spans="1:16" x14ac:dyDescent="0.25">
      <c r="A2257" s="2" t="s">
        <v>6381</v>
      </c>
      <c r="B2257" s="2" t="s">
        <v>199</v>
      </c>
      <c r="C2257" s="8">
        <v>46274</v>
      </c>
      <c r="D2257" s="6">
        <v>46266</v>
      </c>
      <c r="E2257" s="2" t="s">
        <v>260</v>
      </c>
      <c r="F2257" s="2" t="s">
        <v>6382</v>
      </c>
      <c r="G2257" s="6">
        <v>46235</v>
      </c>
      <c r="H2257" s="2" t="s">
        <v>176</v>
      </c>
      <c r="I2257" s="2" t="s">
        <v>70</v>
      </c>
      <c r="J2257" s="9">
        <v>7948.4861540000002</v>
      </c>
      <c r="K2257" s="7">
        <v>0.65100000000000002</v>
      </c>
      <c r="L2257" s="9">
        <v>5174.46</v>
      </c>
      <c r="M2257" s="9">
        <v>5166.5200000000004</v>
      </c>
      <c r="N2257" s="9">
        <v>2.85</v>
      </c>
      <c r="O2257" s="10">
        <f>IF(AND(OR(H2257="APPROVED",H2257="SCHEDULED"),COUNTIFS(tblSource[EventID],F2257,tblSource[ReleaseStatus],"APPROVED")=1,COUNTIFS(Period_Status!$A$2:$A$8,G2257,Period_Status!$B$2:$B$8,"ActualClosed")=1,C2257&gt;EOMONTH(Settlement_Bridge!$C$2,0)),1,0)</f>
        <v>0</v>
      </c>
      <c r="P2257" s="2" t="s">
        <v>6383</v>
      </c>
    </row>
    <row r="2258" spans="1:16" x14ac:dyDescent="0.25">
      <c r="A2258" s="2" t="s">
        <v>6384</v>
      </c>
      <c r="B2258" s="2" t="s">
        <v>199</v>
      </c>
      <c r="C2258" s="8">
        <v>46299</v>
      </c>
      <c r="D2258" s="6">
        <v>46296</v>
      </c>
      <c r="E2258" s="2" t="s">
        <v>260</v>
      </c>
      <c r="F2258" s="2" t="s">
        <v>6382</v>
      </c>
      <c r="G2258" s="6">
        <v>46235</v>
      </c>
      <c r="H2258" s="2" t="s">
        <v>176</v>
      </c>
      <c r="I2258" s="2" t="s">
        <v>70</v>
      </c>
      <c r="J2258" s="9">
        <v>11922.729230999999</v>
      </c>
      <c r="K2258" s="7">
        <v>0.65500000000000003</v>
      </c>
      <c r="L2258" s="9">
        <v>7809.39</v>
      </c>
      <c r="M2258" s="9">
        <v>7749.77</v>
      </c>
      <c r="N2258" s="9">
        <v>4.3</v>
      </c>
      <c r="O2258" s="10">
        <f>IF(AND(OR(H2258="APPROVED",H2258="SCHEDULED"),COUNTIFS(tblSource[EventID],F2258,tblSource[ReleaseStatus],"APPROVED")=1,COUNTIFS(Period_Status!$A$2:$A$8,G2258,Period_Status!$B$2:$B$8,"ActualClosed")=1,C2258&gt;EOMONTH(Settlement_Bridge!$C$2,0)),1,0)</f>
        <v>0</v>
      </c>
      <c r="P2258" s="2" t="s">
        <v>6385</v>
      </c>
    </row>
    <row r="2259" spans="1:16" x14ac:dyDescent="0.25">
      <c r="A2259" s="2" t="s">
        <v>6386</v>
      </c>
      <c r="B2259" s="2" t="s">
        <v>199</v>
      </c>
      <c r="C2259" s="8">
        <v>46285</v>
      </c>
      <c r="D2259" s="6">
        <v>46266</v>
      </c>
      <c r="E2259" s="2" t="s">
        <v>260</v>
      </c>
      <c r="F2259" s="2" t="s">
        <v>6387</v>
      </c>
      <c r="G2259" s="6">
        <v>46235</v>
      </c>
      <c r="H2259" s="2" t="s">
        <v>176</v>
      </c>
      <c r="I2259" s="2" t="s">
        <v>39</v>
      </c>
      <c r="J2259" s="9">
        <v>13089.3</v>
      </c>
      <c r="K2259" s="7">
        <v>1</v>
      </c>
      <c r="L2259" s="9">
        <v>13089.3</v>
      </c>
      <c r="M2259" s="9">
        <v>13089.3</v>
      </c>
      <c r="N2259" s="9">
        <v>7.2</v>
      </c>
      <c r="O2259" s="10">
        <f>IF(AND(OR(H2259="APPROVED",H2259="SCHEDULED"),COUNTIFS(tblSource[EventID],F2259,tblSource[ReleaseStatus],"APPROVED")=1,COUNTIFS(Period_Status!$A$2:$A$8,G2259,Period_Status!$B$2:$B$8,"ActualClosed")=1,C2259&gt;EOMONTH(Settlement_Bridge!$C$2,0)),1,0)</f>
        <v>0</v>
      </c>
      <c r="P2259" s="2" t="s">
        <v>6388</v>
      </c>
    </row>
    <row r="2260" spans="1:16" x14ac:dyDescent="0.25">
      <c r="A2260" s="2" t="s">
        <v>6389</v>
      </c>
      <c r="B2260" s="2" t="s">
        <v>199</v>
      </c>
      <c r="C2260" s="8">
        <v>46286</v>
      </c>
      <c r="D2260" s="6">
        <v>46266</v>
      </c>
      <c r="E2260" s="2" t="s">
        <v>260</v>
      </c>
      <c r="F2260" s="2" t="s">
        <v>6390</v>
      </c>
      <c r="G2260" s="6">
        <v>46235</v>
      </c>
      <c r="H2260" s="2" t="s">
        <v>176</v>
      </c>
      <c r="I2260" s="2" t="s">
        <v>76</v>
      </c>
      <c r="J2260" s="9">
        <v>215647317.07317099</v>
      </c>
      <c r="K2260" s="7">
        <v>6.1299999999999999E-5</v>
      </c>
      <c r="L2260" s="9">
        <v>13219.18</v>
      </c>
      <c r="M2260" s="9">
        <v>13262.31</v>
      </c>
      <c r="N2260" s="9">
        <v>7.27</v>
      </c>
      <c r="O2260" s="10">
        <f>IF(AND(OR(H2260="APPROVED",H2260="SCHEDULED"),COUNTIFS(tblSource[EventID],F2260,tblSource[ReleaseStatus],"APPROVED")=1,COUNTIFS(Period_Status!$A$2:$A$8,G2260,Period_Status!$B$2:$B$8,"ActualClosed")=1,C2260&gt;EOMONTH(Settlement_Bridge!$C$2,0)),1,0)</f>
        <v>0</v>
      </c>
      <c r="P2260" s="2" t="s">
        <v>6391</v>
      </c>
    </row>
    <row r="2261" spans="1:16" x14ac:dyDescent="0.25">
      <c r="A2261" s="2" t="s">
        <v>6392</v>
      </c>
      <c r="B2261" s="2" t="s">
        <v>199</v>
      </c>
      <c r="C2261" s="8">
        <v>46287</v>
      </c>
      <c r="D2261" s="6">
        <v>46266</v>
      </c>
      <c r="E2261" s="2" t="s">
        <v>260</v>
      </c>
      <c r="F2261" s="2" t="s">
        <v>6393</v>
      </c>
      <c r="G2261" s="6">
        <v>46235</v>
      </c>
      <c r="H2261" s="2" t="s">
        <v>176</v>
      </c>
      <c r="I2261" s="2" t="s">
        <v>70</v>
      </c>
      <c r="J2261" s="9">
        <v>20669.723076999999</v>
      </c>
      <c r="K2261" s="7">
        <v>0.65100000000000002</v>
      </c>
      <c r="L2261" s="9">
        <v>13455.99</v>
      </c>
      <c r="M2261" s="9">
        <v>13435.32</v>
      </c>
      <c r="N2261" s="9">
        <v>7.4</v>
      </c>
      <c r="O2261" s="10">
        <f>IF(AND(OR(H2261="APPROVED",H2261="SCHEDULED"),COUNTIFS(tblSource[EventID],F2261,tblSource[ReleaseStatus],"APPROVED")=1,COUNTIFS(Period_Status!$A$2:$A$8,G2261,Period_Status!$B$2:$B$8,"ActualClosed")=1,C2261&gt;EOMONTH(Settlement_Bridge!$C$2,0)),1,0)</f>
        <v>0</v>
      </c>
      <c r="P2261" s="2" t="s">
        <v>6394</v>
      </c>
    </row>
    <row r="2262" spans="1:16" x14ac:dyDescent="0.25">
      <c r="A2262" s="2" t="s">
        <v>6395</v>
      </c>
      <c r="B2262" s="2" t="s">
        <v>199</v>
      </c>
      <c r="C2262" s="8">
        <v>46288</v>
      </c>
      <c r="D2262" s="6">
        <v>46266</v>
      </c>
      <c r="E2262" s="2" t="s">
        <v>260</v>
      </c>
      <c r="F2262" s="2" t="s">
        <v>6396</v>
      </c>
      <c r="G2262" s="6">
        <v>46235</v>
      </c>
      <c r="H2262" s="2" t="s">
        <v>176</v>
      </c>
      <c r="I2262" s="2" t="s">
        <v>39</v>
      </c>
      <c r="J2262" s="9">
        <v>13608.33</v>
      </c>
      <c r="K2262" s="7">
        <v>1</v>
      </c>
      <c r="L2262" s="9">
        <v>13608.33</v>
      </c>
      <c r="M2262" s="9">
        <v>13608.33</v>
      </c>
      <c r="N2262" s="9">
        <v>7.48</v>
      </c>
      <c r="O2262" s="10">
        <f>IF(AND(OR(H2262="APPROVED",H2262="SCHEDULED"),COUNTIFS(tblSource[EventID],F2262,tblSource[ReleaseStatus],"APPROVED")=1,COUNTIFS(Period_Status!$A$2:$A$8,G2262,Period_Status!$B$2:$B$8,"ActualClosed")=1,C2262&gt;EOMONTH(Settlement_Bridge!$C$2,0)),1,0)</f>
        <v>0</v>
      </c>
      <c r="P2262" s="2" t="s">
        <v>6397</v>
      </c>
    </row>
    <row r="2263" spans="1:16" x14ac:dyDescent="0.25">
      <c r="A2263" s="2" t="s">
        <v>6398</v>
      </c>
      <c r="B2263" s="2" t="s">
        <v>199</v>
      </c>
      <c r="C2263" s="8">
        <v>46289</v>
      </c>
      <c r="D2263" s="6">
        <v>46266</v>
      </c>
      <c r="E2263" s="2" t="s">
        <v>260</v>
      </c>
      <c r="F2263" s="2" t="s">
        <v>6399</v>
      </c>
      <c r="G2263" s="6">
        <v>46235</v>
      </c>
      <c r="H2263" s="2" t="s">
        <v>176</v>
      </c>
      <c r="I2263" s="2" t="s">
        <v>76</v>
      </c>
      <c r="J2263" s="9">
        <v>224086829.26829299</v>
      </c>
      <c r="K2263" s="7">
        <v>6.1299999999999999E-5</v>
      </c>
      <c r="L2263" s="9">
        <v>13736.52</v>
      </c>
      <c r="M2263" s="9">
        <v>13781.34</v>
      </c>
      <c r="N2263" s="9">
        <v>7.56</v>
      </c>
      <c r="O2263" s="10">
        <f>IF(AND(OR(H2263="APPROVED",H2263="SCHEDULED"),COUNTIFS(tblSource[EventID],F2263,tblSource[ReleaseStatus],"APPROVED")=1,COUNTIFS(Period_Status!$A$2:$A$8,G2263,Period_Status!$B$2:$B$8,"ActualClosed")=1,C2263&gt;EOMONTH(Settlement_Bridge!$C$2,0)),1,0)</f>
        <v>0</v>
      </c>
      <c r="P2263" s="2" t="s">
        <v>6400</v>
      </c>
    </row>
    <row r="2264" spans="1:16" x14ac:dyDescent="0.25">
      <c r="A2264" s="2" t="s">
        <v>6401</v>
      </c>
      <c r="B2264" s="2" t="s">
        <v>199</v>
      </c>
      <c r="C2264" s="8">
        <v>46249</v>
      </c>
      <c r="D2264" s="6">
        <v>46235</v>
      </c>
      <c r="E2264" s="2" t="s">
        <v>260</v>
      </c>
      <c r="F2264" s="2" t="s">
        <v>6402</v>
      </c>
      <c r="G2264" s="6">
        <v>46235</v>
      </c>
      <c r="H2264" s="2" t="s">
        <v>71</v>
      </c>
      <c r="I2264" s="2" t="s">
        <v>70</v>
      </c>
      <c r="J2264" s="9">
        <v>8587.292308</v>
      </c>
      <c r="K2264" s="7">
        <v>0.65</v>
      </c>
      <c r="L2264" s="9">
        <v>5581.74</v>
      </c>
      <c r="M2264" s="9">
        <v>5581.74</v>
      </c>
      <c r="N2264" s="9">
        <v>3.07</v>
      </c>
      <c r="O2264" s="10">
        <f>IF(AND(OR(H2264="APPROVED",H2264="SCHEDULED"),COUNTIFS(tblSource[EventID],F2264,tblSource[ReleaseStatus],"APPROVED")=1,COUNTIFS(Period_Status!$A$2:$A$8,G2264,Period_Status!$B$2:$B$8,"ActualClosed")=1,C2264&gt;EOMONTH(Settlement_Bridge!$C$2,0)),1,0)</f>
        <v>0</v>
      </c>
      <c r="P2264" s="2" t="s">
        <v>6403</v>
      </c>
    </row>
    <row r="2265" spans="1:16" x14ac:dyDescent="0.25">
      <c r="A2265" s="2" t="s">
        <v>6404</v>
      </c>
      <c r="B2265" s="2" t="s">
        <v>199</v>
      </c>
      <c r="C2265" s="8">
        <v>46274</v>
      </c>
      <c r="D2265" s="6">
        <v>46266</v>
      </c>
      <c r="E2265" s="2" t="s">
        <v>260</v>
      </c>
      <c r="F2265" s="2" t="s">
        <v>6402</v>
      </c>
      <c r="G2265" s="6">
        <v>46235</v>
      </c>
      <c r="H2265" s="2" t="s">
        <v>176</v>
      </c>
      <c r="I2265" s="2" t="s">
        <v>70</v>
      </c>
      <c r="J2265" s="9">
        <v>12880.938461</v>
      </c>
      <c r="K2265" s="7">
        <v>0.65100000000000002</v>
      </c>
      <c r="L2265" s="9">
        <v>8385.49</v>
      </c>
      <c r="M2265" s="9">
        <v>8372.61</v>
      </c>
      <c r="N2265" s="9">
        <v>4.6100000000000003</v>
      </c>
      <c r="O2265" s="10">
        <f>IF(AND(OR(H2265="APPROVED",H2265="SCHEDULED"),COUNTIFS(tblSource[EventID],F2265,tblSource[ReleaseStatus],"APPROVED")=1,COUNTIFS(Period_Status!$A$2:$A$8,G2265,Period_Status!$B$2:$B$8,"ActualClosed")=1,C2265&gt;EOMONTH(Settlement_Bridge!$C$2,0)),1,0)</f>
        <v>0</v>
      </c>
      <c r="P2265" s="2" t="s">
        <v>6405</v>
      </c>
    </row>
    <row r="2266" spans="1:16" x14ac:dyDescent="0.25">
      <c r="A2266" s="2" t="s">
        <v>6406</v>
      </c>
      <c r="B2266" s="2" t="s">
        <v>199</v>
      </c>
      <c r="C2266" s="8">
        <v>46250</v>
      </c>
      <c r="D2266" s="6">
        <v>46235</v>
      </c>
      <c r="E2266" s="2" t="s">
        <v>260</v>
      </c>
      <c r="F2266" s="2" t="s">
        <v>6407</v>
      </c>
      <c r="G2266" s="6">
        <v>46235</v>
      </c>
      <c r="H2266" s="2" t="s">
        <v>71</v>
      </c>
      <c r="I2266" s="2" t="s">
        <v>39</v>
      </c>
      <c r="J2266" s="9">
        <v>5650.9440000000004</v>
      </c>
      <c r="K2266" s="7">
        <v>1</v>
      </c>
      <c r="L2266" s="9">
        <v>5650.94</v>
      </c>
      <c r="M2266" s="9">
        <v>5650.94</v>
      </c>
      <c r="N2266" s="9">
        <v>3.11</v>
      </c>
      <c r="O2266" s="10">
        <f>IF(AND(OR(H2266="APPROVED",H2266="SCHEDULED"),COUNTIFS(tblSource[EventID],F2266,tblSource[ReleaseStatus],"APPROVED")=1,COUNTIFS(Period_Status!$A$2:$A$8,G2266,Period_Status!$B$2:$B$8,"ActualClosed")=1,C2266&gt;EOMONTH(Settlement_Bridge!$C$2,0)),1,0)</f>
        <v>0</v>
      </c>
      <c r="P2266" s="2" t="s">
        <v>6408</v>
      </c>
    </row>
    <row r="2267" spans="1:16" x14ac:dyDescent="0.25">
      <c r="A2267" s="2" t="s">
        <v>6409</v>
      </c>
      <c r="B2267" s="2" t="s">
        <v>199</v>
      </c>
      <c r="C2267" s="8">
        <v>46275</v>
      </c>
      <c r="D2267" s="6">
        <v>46266</v>
      </c>
      <c r="E2267" s="2" t="s">
        <v>260</v>
      </c>
      <c r="F2267" s="2" t="s">
        <v>6407</v>
      </c>
      <c r="G2267" s="6">
        <v>46235</v>
      </c>
      <c r="H2267" s="2" t="s">
        <v>176</v>
      </c>
      <c r="I2267" s="2" t="s">
        <v>39</v>
      </c>
      <c r="J2267" s="9">
        <v>8476.4159999999993</v>
      </c>
      <c r="K2267" s="7">
        <v>1</v>
      </c>
      <c r="L2267" s="9">
        <v>8476.42</v>
      </c>
      <c r="M2267" s="9">
        <v>8476.42</v>
      </c>
      <c r="N2267" s="9">
        <v>4.66</v>
      </c>
      <c r="O2267" s="10">
        <f>IF(AND(OR(H2267="APPROVED",H2267="SCHEDULED"),COUNTIFS(tblSource[EventID],F2267,tblSource[ReleaseStatus],"APPROVED")=1,COUNTIFS(Period_Status!$A$2:$A$8,G2267,Period_Status!$B$2:$B$8,"ActualClosed")=1,C2267&gt;EOMONTH(Settlement_Bridge!$C$2,0)),1,0)</f>
        <v>0</v>
      </c>
      <c r="P2267" s="2" t="s">
        <v>6410</v>
      </c>
    </row>
    <row r="2268" spans="1:16" x14ac:dyDescent="0.25">
      <c r="A2268" s="2" t="s">
        <v>6411</v>
      </c>
      <c r="B2268" s="2" t="s">
        <v>199</v>
      </c>
      <c r="C2268" s="8">
        <v>46261</v>
      </c>
      <c r="D2268" s="6">
        <v>46235</v>
      </c>
      <c r="E2268" s="2" t="s">
        <v>260</v>
      </c>
      <c r="F2268" s="2" t="s">
        <v>6412</v>
      </c>
      <c r="G2268" s="6">
        <v>46235</v>
      </c>
      <c r="H2268" s="2" t="s">
        <v>71</v>
      </c>
      <c r="I2268" s="2" t="s">
        <v>76</v>
      </c>
      <c r="J2268" s="9">
        <v>232526341.463415</v>
      </c>
      <c r="K2268" s="7">
        <v>6.1500000000000004E-5</v>
      </c>
      <c r="L2268" s="9">
        <v>14300.37</v>
      </c>
      <c r="M2268" s="9">
        <v>14300.37</v>
      </c>
      <c r="N2268" s="9">
        <v>7.87</v>
      </c>
      <c r="O2268" s="10">
        <f>IF(AND(OR(H2268="APPROVED",H2268="SCHEDULED"),COUNTIFS(tblSource[EventID],F2268,tblSource[ReleaseStatus],"APPROVED")=1,COUNTIFS(Period_Status!$A$2:$A$8,G2268,Period_Status!$B$2:$B$8,"ActualClosed")=1,C2268&gt;EOMONTH(Settlement_Bridge!$C$2,0)),1,0)</f>
        <v>0</v>
      </c>
      <c r="P2268" s="2" t="s">
        <v>6413</v>
      </c>
    </row>
    <row r="2269" spans="1:16" x14ac:dyDescent="0.25">
      <c r="A2269" s="2" t="s">
        <v>6414</v>
      </c>
      <c r="B2269" s="2" t="s">
        <v>199</v>
      </c>
      <c r="C2269" s="8">
        <v>46262</v>
      </c>
      <c r="D2269" s="6">
        <v>46235</v>
      </c>
      <c r="E2269" s="2" t="s">
        <v>260</v>
      </c>
      <c r="F2269" s="2" t="s">
        <v>6415</v>
      </c>
      <c r="G2269" s="6">
        <v>46235</v>
      </c>
      <c r="H2269" s="2" t="s">
        <v>71</v>
      </c>
      <c r="I2269" s="2" t="s">
        <v>70</v>
      </c>
      <c r="J2269" s="9">
        <v>22266.738462000001</v>
      </c>
      <c r="K2269" s="7">
        <v>0.65</v>
      </c>
      <c r="L2269" s="9">
        <v>14473.38</v>
      </c>
      <c r="M2269" s="9">
        <v>14473.38</v>
      </c>
      <c r="N2269" s="9">
        <v>7.96</v>
      </c>
      <c r="O2269" s="10">
        <f>IF(AND(OR(H2269="APPROVED",H2269="SCHEDULED"),COUNTIFS(tblSource[EventID],F2269,tblSource[ReleaseStatus],"APPROVED")=1,COUNTIFS(Period_Status!$A$2:$A$8,G2269,Period_Status!$B$2:$B$8,"ActualClosed")=1,C2269&gt;EOMONTH(Settlement_Bridge!$C$2,0)),1,0)</f>
        <v>0</v>
      </c>
      <c r="P2269" s="2" t="s">
        <v>6416</v>
      </c>
    </row>
    <row r="2270" spans="1:16" x14ac:dyDescent="0.25">
      <c r="A2270" s="2" t="s">
        <v>6417</v>
      </c>
      <c r="B2270" s="2" t="s">
        <v>199</v>
      </c>
      <c r="C2270" s="8">
        <v>46253</v>
      </c>
      <c r="D2270" s="6">
        <v>46235</v>
      </c>
      <c r="E2270" s="2" t="s">
        <v>260</v>
      </c>
      <c r="F2270" s="2" t="s">
        <v>6418</v>
      </c>
      <c r="G2270" s="6">
        <v>46235</v>
      </c>
      <c r="H2270" s="2" t="s">
        <v>71</v>
      </c>
      <c r="I2270" s="2" t="s">
        <v>39</v>
      </c>
      <c r="J2270" s="9">
        <v>5858.5559999999996</v>
      </c>
      <c r="K2270" s="7">
        <v>1</v>
      </c>
      <c r="L2270" s="9">
        <v>5858.56</v>
      </c>
      <c r="M2270" s="9">
        <v>5858.56</v>
      </c>
      <c r="N2270" s="9">
        <v>3.22</v>
      </c>
      <c r="O2270" s="10">
        <f>IF(AND(OR(H2270="APPROVED",H2270="SCHEDULED"),COUNTIFS(tblSource[EventID],F2270,tblSource[ReleaseStatus],"APPROVED")=1,COUNTIFS(Period_Status!$A$2:$A$8,G2270,Period_Status!$B$2:$B$8,"ActualClosed")=1,C2270&gt;EOMONTH(Settlement_Bridge!$C$2,0)),1,0)</f>
        <v>0</v>
      </c>
      <c r="P2270" s="2" t="s">
        <v>6419</v>
      </c>
    </row>
    <row r="2271" spans="1:16" x14ac:dyDescent="0.25">
      <c r="A2271" s="2" t="s">
        <v>6420</v>
      </c>
      <c r="B2271" s="2" t="s">
        <v>199</v>
      </c>
      <c r="C2271" s="8">
        <v>46278</v>
      </c>
      <c r="D2271" s="6">
        <v>46266</v>
      </c>
      <c r="E2271" s="2" t="s">
        <v>260</v>
      </c>
      <c r="F2271" s="2" t="s">
        <v>6418</v>
      </c>
      <c r="G2271" s="6">
        <v>46235</v>
      </c>
      <c r="H2271" s="2" t="s">
        <v>176</v>
      </c>
      <c r="I2271" s="2" t="s">
        <v>39</v>
      </c>
      <c r="J2271" s="9">
        <v>8787.8340000000007</v>
      </c>
      <c r="K2271" s="7">
        <v>1</v>
      </c>
      <c r="L2271" s="9">
        <v>8787.83</v>
      </c>
      <c r="M2271" s="9">
        <v>8787.83</v>
      </c>
      <c r="N2271" s="9">
        <v>4.83</v>
      </c>
      <c r="O2271" s="10">
        <f>IF(AND(OR(H2271="APPROVED",H2271="SCHEDULED"),COUNTIFS(tblSource[EventID],F2271,tblSource[ReleaseStatus],"APPROVED")=1,COUNTIFS(Period_Status!$A$2:$A$8,G2271,Period_Status!$B$2:$B$8,"ActualClosed")=1,C2271&gt;EOMONTH(Settlement_Bridge!$C$2,0)),1,0)</f>
        <v>0</v>
      </c>
      <c r="P2271" s="2" t="s">
        <v>6421</v>
      </c>
    </row>
    <row r="2272" spans="1:16" x14ac:dyDescent="0.25">
      <c r="A2272" s="2" t="s">
        <v>6422</v>
      </c>
      <c r="B2272" s="2" t="s">
        <v>199</v>
      </c>
      <c r="C2272" s="8">
        <v>46264</v>
      </c>
      <c r="D2272" s="6">
        <v>46235</v>
      </c>
      <c r="E2272" s="2" t="s">
        <v>260</v>
      </c>
      <c r="F2272" s="2" t="s">
        <v>6423</v>
      </c>
      <c r="G2272" s="6">
        <v>46235</v>
      </c>
      <c r="H2272" s="2" t="s">
        <v>71</v>
      </c>
      <c r="I2272" s="2" t="s">
        <v>76</v>
      </c>
      <c r="J2272" s="9">
        <v>240965853.658537</v>
      </c>
      <c r="K2272" s="7">
        <v>6.1500000000000004E-5</v>
      </c>
      <c r="L2272" s="9">
        <v>14819.4</v>
      </c>
      <c r="M2272" s="9">
        <v>14819.4</v>
      </c>
      <c r="N2272" s="9">
        <v>8.15</v>
      </c>
      <c r="O2272" s="10">
        <f>IF(AND(OR(H2272="APPROVED",H2272="SCHEDULED"),COUNTIFS(tblSource[EventID],F2272,tblSource[ReleaseStatus],"APPROVED")=1,COUNTIFS(Period_Status!$A$2:$A$8,G2272,Period_Status!$B$2:$B$8,"ActualClosed")=1,C2272&gt;EOMONTH(Settlement_Bridge!$C$2,0)),1,0)</f>
        <v>0</v>
      </c>
      <c r="P2272" s="2" t="s">
        <v>6424</v>
      </c>
    </row>
    <row r="2273" spans="1:16" x14ac:dyDescent="0.25">
      <c r="A2273" s="2" t="s">
        <v>6425</v>
      </c>
      <c r="B2273" s="2" t="s">
        <v>199</v>
      </c>
      <c r="C2273" s="8">
        <v>46265</v>
      </c>
      <c r="D2273" s="6">
        <v>46235</v>
      </c>
      <c r="E2273" s="2" t="s">
        <v>260</v>
      </c>
      <c r="F2273" s="2" t="s">
        <v>6426</v>
      </c>
      <c r="G2273" s="6">
        <v>46235</v>
      </c>
      <c r="H2273" s="2" t="s">
        <v>71</v>
      </c>
      <c r="I2273" s="2" t="s">
        <v>70</v>
      </c>
      <c r="J2273" s="9">
        <v>1526.784615</v>
      </c>
      <c r="K2273" s="7">
        <v>0.65</v>
      </c>
      <c r="L2273" s="9">
        <v>992.41</v>
      </c>
      <c r="M2273" s="9">
        <v>992.41</v>
      </c>
      <c r="N2273" s="9">
        <v>1.8</v>
      </c>
      <c r="O2273" s="10">
        <f>IF(AND(OR(H2273="APPROVED",H2273="SCHEDULED"),COUNTIFS(tblSource[EventID],F2273,tblSource[ReleaseStatus],"APPROVED")=1,COUNTIFS(Period_Status!$A$2:$A$8,G2273,Period_Status!$B$2:$B$8,"ActualClosed")=1,C2273&gt;EOMONTH(Settlement_Bridge!$C$2,0)),1,0)</f>
        <v>0</v>
      </c>
      <c r="P2273" s="2" t="s">
        <v>6427</v>
      </c>
    </row>
    <row r="2274" spans="1:16" x14ac:dyDescent="0.25">
      <c r="A2274" s="2" t="s">
        <v>6428</v>
      </c>
      <c r="B2274" s="2" t="s">
        <v>199</v>
      </c>
      <c r="C2274" s="8">
        <v>46266</v>
      </c>
      <c r="D2274" s="6">
        <v>46266</v>
      </c>
      <c r="E2274" s="2" t="s">
        <v>260</v>
      </c>
      <c r="F2274" s="2" t="s">
        <v>6429</v>
      </c>
      <c r="G2274" s="6">
        <v>46235</v>
      </c>
      <c r="H2274" s="2" t="s">
        <v>176</v>
      </c>
      <c r="I2274" s="2" t="s">
        <v>39</v>
      </c>
      <c r="J2274" s="9">
        <v>1165.42</v>
      </c>
      <c r="K2274" s="7">
        <v>1</v>
      </c>
      <c r="L2274" s="9">
        <v>1165.42</v>
      </c>
      <c r="M2274" s="9">
        <v>1165.42</v>
      </c>
      <c r="N2274" s="9">
        <v>1.8</v>
      </c>
      <c r="O2274" s="10">
        <f>IF(AND(OR(H2274="APPROVED",H2274="SCHEDULED"),COUNTIFS(tblSource[EventID],F2274,tblSource[ReleaseStatus],"APPROVED")=1,COUNTIFS(Period_Status!$A$2:$A$8,G2274,Period_Status!$B$2:$B$8,"ActualClosed")=1,C2274&gt;EOMONTH(Settlement_Bridge!$C$2,0)),1,0)</f>
        <v>0</v>
      </c>
      <c r="P2274" s="2" t="s">
        <v>6430</v>
      </c>
    </row>
    <row r="2275" spans="1:16" x14ac:dyDescent="0.25">
      <c r="A2275" s="2" t="s">
        <v>6431</v>
      </c>
      <c r="B2275" s="2" t="s">
        <v>199</v>
      </c>
      <c r="C2275" s="8">
        <v>46267</v>
      </c>
      <c r="D2275" s="6">
        <v>46266</v>
      </c>
      <c r="E2275" s="2" t="s">
        <v>260</v>
      </c>
      <c r="F2275" s="2" t="s">
        <v>6432</v>
      </c>
      <c r="G2275" s="6">
        <v>46235</v>
      </c>
      <c r="H2275" s="2" t="s">
        <v>176</v>
      </c>
      <c r="I2275" s="2" t="s">
        <v>76</v>
      </c>
      <c r="J2275" s="9">
        <v>21763089.430893999</v>
      </c>
      <c r="K2275" s="7">
        <v>6.1299999999999999E-5</v>
      </c>
      <c r="L2275" s="9">
        <v>1334.08</v>
      </c>
      <c r="M2275" s="9">
        <v>1338.43</v>
      </c>
      <c r="N2275" s="9">
        <v>1.8</v>
      </c>
      <c r="O2275" s="10">
        <f>IF(AND(OR(H2275="APPROVED",H2275="SCHEDULED"),COUNTIFS(tblSource[EventID],F2275,tblSource[ReleaseStatus],"APPROVED")=1,COUNTIFS(Period_Status!$A$2:$A$8,G2275,Period_Status!$B$2:$B$8,"ActualClosed")=1,C2275&gt;EOMONTH(Settlement_Bridge!$C$2,0)),1,0)</f>
        <v>0</v>
      </c>
      <c r="P2275" s="2" t="s">
        <v>6433</v>
      </c>
    </row>
    <row r="2276" spans="1:16" x14ac:dyDescent="0.25">
      <c r="A2276" s="2" t="s">
        <v>6434</v>
      </c>
      <c r="B2276" s="2" t="s">
        <v>199</v>
      </c>
      <c r="C2276" s="8">
        <v>46268</v>
      </c>
      <c r="D2276" s="6">
        <v>46266</v>
      </c>
      <c r="E2276" s="2" t="s">
        <v>260</v>
      </c>
      <c r="F2276" s="2" t="s">
        <v>6435</v>
      </c>
      <c r="G2276" s="6">
        <v>46235</v>
      </c>
      <c r="H2276" s="2" t="s">
        <v>176</v>
      </c>
      <c r="I2276" s="2" t="s">
        <v>70</v>
      </c>
      <c r="J2276" s="9">
        <v>2325.292308</v>
      </c>
      <c r="K2276" s="7">
        <v>0.65100000000000002</v>
      </c>
      <c r="L2276" s="9">
        <v>1513.77</v>
      </c>
      <c r="M2276" s="9">
        <v>1511.44</v>
      </c>
      <c r="N2276" s="9">
        <v>1.8</v>
      </c>
      <c r="O2276" s="10">
        <f>IF(AND(OR(H2276="APPROVED",H2276="SCHEDULED"),COUNTIFS(tblSource[EventID],F2276,tblSource[ReleaseStatus],"APPROVED")=1,COUNTIFS(Period_Status!$A$2:$A$8,G2276,Period_Status!$B$2:$B$8,"ActualClosed")=1,C2276&gt;EOMONTH(Settlement_Bridge!$C$2,0)),1,0)</f>
        <v>0</v>
      </c>
      <c r="P2276" s="2" t="s">
        <v>6436</v>
      </c>
    </row>
    <row r="2277" spans="1:16" x14ac:dyDescent="0.25">
      <c r="A2277" s="2" t="s">
        <v>6437</v>
      </c>
      <c r="B2277" s="2" t="s">
        <v>199</v>
      </c>
      <c r="C2277" s="8">
        <v>46259</v>
      </c>
      <c r="D2277" s="6">
        <v>46235</v>
      </c>
      <c r="E2277" s="2" t="s">
        <v>260</v>
      </c>
      <c r="F2277" s="2" t="s">
        <v>6438</v>
      </c>
      <c r="G2277" s="6">
        <v>46235</v>
      </c>
      <c r="H2277" s="2" t="s">
        <v>71</v>
      </c>
      <c r="I2277" s="2" t="s">
        <v>39</v>
      </c>
      <c r="J2277" s="9">
        <v>673.78</v>
      </c>
      <c r="K2277" s="7">
        <v>1</v>
      </c>
      <c r="L2277" s="9">
        <v>673.78</v>
      </c>
      <c r="M2277" s="9">
        <v>673.78</v>
      </c>
      <c r="N2277" s="9">
        <v>1.8</v>
      </c>
      <c r="O2277" s="10">
        <f>IF(AND(OR(H2277="APPROVED",H2277="SCHEDULED"),COUNTIFS(tblSource[EventID],F2277,tblSource[ReleaseStatus],"APPROVED")=1,COUNTIFS(Period_Status!$A$2:$A$8,G2277,Period_Status!$B$2:$B$8,"ActualClosed")=1,C2277&gt;EOMONTH(Settlement_Bridge!$C$2,0)),1,0)</f>
        <v>0</v>
      </c>
      <c r="P2277" s="2" t="s">
        <v>6439</v>
      </c>
    </row>
    <row r="2278" spans="1:16" x14ac:dyDescent="0.25">
      <c r="A2278" s="2" t="s">
        <v>6440</v>
      </c>
      <c r="B2278" s="2" t="s">
        <v>199</v>
      </c>
      <c r="C2278" s="8">
        <v>46284</v>
      </c>
      <c r="D2278" s="6">
        <v>46266</v>
      </c>
      <c r="E2278" s="2" t="s">
        <v>260</v>
      </c>
      <c r="F2278" s="2" t="s">
        <v>6438</v>
      </c>
      <c r="G2278" s="6">
        <v>46235</v>
      </c>
      <c r="H2278" s="2" t="s">
        <v>176</v>
      </c>
      <c r="I2278" s="2" t="s">
        <v>39</v>
      </c>
      <c r="J2278" s="9">
        <v>1010.67</v>
      </c>
      <c r="K2278" s="7">
        <v>1</v>
      </c>
      <c r="L2278" s="9">
        <v>1010.67</v>
      </c>
      <c r="M2278" s="9">
        <v>1010.67</v>
      </c>
      <c r="N2278" s="9">
        <v>1.8</v>
      </c>
      <c r="O2278" s="10">
        <f>IF(AND(OR(H2278="APPROVED",H2278="SCHEDULED"),COUNTIFS(tblSource[EventID],F2278,tblSource[ReleaseStatus],"APPROVED")=1,COUNTIFS(Period_Status!$A$2:$A$8,G2278,Period_Status!$B$2:$B$8,"ActualClosed")=1,C2278&gt;EOMONTH(Settlement_Bridge!$C$2,0)),1,0)</f>
        <v>0</v>
      </c>
      <c r="P2278" s="2" t="s">
        <v>6441</v>
      </c>
    </row>
    <row r="2279" spans="1:16" x14ac:dyDescent="0.25">
      <c r="A2279" s="2" t="s">
        <v>6442</v>
      </c>
      <c r="B2279" s="2" t="s">
        <v>199</v>
      </c>
      <c r="C2279" s="8">
        <v>46260</v>
      </c>
      <c r="D2279" s="6">
        <v>46235</v>
      </c>
      <c r="E2279" s="2" t="s">
        <v>260</v>
      </c>
      <c r="F2279" s="2" t="s">
        <v>6443</v>
      </c>
      <c r="G2279" s="6">
        <v>46235</v>
      </c>
      <c r="H2279" s="2" t="s">
        <v>71</v>
      </c>
      <c r="I2279" s="2" t="s">
        <v>76</v>
      </c>
      <c r="J2279" s="9">
        <v>12081040.650405999</v>
      </c>
      <c r="K2279" s="7">
        <v>6.1500000000000004E-5</v>
      </c>
      <c r="L2279" s="9">
        <v>742.98</v>
      </c>
      <c r="M2279" s="9">
        <v>742.98</v>
      </c>
      <c r="N2279" s="9">
        <v>1.8</v>
      </c>
      <c r="O2279" s="10">
        <f>IF(AND(OR(H2279="APPROVED",H2279="SCHEDULED"),COUNTIFS(tblSource[EventID],F2279,tblSource[ReleaseStatus],"APPROVED")=1,COUNTIFS(Period_Status!$A$2:$A$8,G2279,Period_Status!$B$2:$B$8,"ActualClosed")=1,C2279&gt;EOMONTH(Settlement_Bridge!$C$2,0)),1,0)</f>
        <v>0</v>
      </c>
      <c r="P2279" s="2" t="s">
        <v>6444</v>
      </c>
    </row>
    <row r="2280" spans="1:16" x14ac:dyDescent="0.25">
      <c r="A2280" s="2" t="s">
        <v>6445</v>
      </c>
      <c r="B2280" s="2" t="s">
        <v>199</v>
      </c>
      <c r="C2280" s="8">
        <v>46285</v>
      </c>
      <c r="D2280" s="6">
        <v>46266</v>
      </c>
      <c r="E2280" s="2" t="s">
        <v>260</v>
      </c>
      <c r="F2280" s="2" t="s">
        <v>6443</v>
      </c>
      <c r="G2280" s="6">
        <v>46235</v>
      </c>
      <c r="H2280" s="2" t="s">
        <v>176</v>
      </c>
      <c r="I2280" s="2" t="s">
        <v>76</v>
      </c>
      <c r="J2280" s="9">
        <v>18121560.975609999</v>
      </c>
      <c r="K2280" s="7">
        <v>6.1299999999999999E-5</v>
      </c>
      <c r="L2280" s="9">
        <v>1110.8499999999999</v>
      </c>
      <c r="M2280" s="9">
        <v>1114.48</v>
      </c>
      <c r="N2280" s="9">
        <v>1.8</v>
      </c>
      <c r="O2280" s="10">
        <f>IF(AND(OR(H2280="APPROVED",H2280="SCHEDULED"),COUNTIFS(tblSource[EventID],F2280,tblSource[ReleaseStatus],"APPROVED")=1,COUNTIFS(Period_Status!$A$2:$A$8,G2280,Period_Status!$B$2:$B$8,"ActualClosed")=1,C2280&gt;EOMONTH(Settlement_Bridge!$C$2,0)),1,0)</f>
        <v>0</v>
      </c>
      <c r="P2280" s="2" t="s">
        <v>6446</v>
      </c>
    </row>
    <row r="2281" spans="1:16" x14ac:dyDescent="0.25">
      <c r="A2281" s="2" t="s">
        <v>6447</v>
      </c>
      <c r="B2281" s="2" t="s">
        <v>199</v>
      </c>
      <c r="C2281" s="8">
        <v>46271</v>
      </c>
      <c r="D2281" s="6">
        <v>46266</v>
      </c>
      <c r="E2281" s="2" t="s">
        <v>260</v>
      </c>
      <c r="F2281" s="2" t="s">
        <v>6448</v>
      </c>
      <c r="G2281" s="6">
        <v>46235</v>
      </c>
      <c r="H2281" s="2" t="s">
        <v>176</v>
      </c>
      <c r="I2281" s="2" t="s">
        <v>70</v>
      </c>
      <c r="J2281" s="9">
        <v>3123.8</v>
      </c>
      <c r="K2281" s="7">
        <v>0.65100000000000002</v>
      </c>
      <c r="L2281" s="9">
        <v>2033.59</v>
      </c>
      <c r="M2281" s="9">
        <v>2030.47</v>
      </c>
      <c r="N2281" s="9">
        <v>1.8</v>
      </c>
      <c r="O2281" s="10">
        <f>IF(AND(OR(H2281="APPROVED",H2281="SCHEDULED"),COUNTIFS(tblSource[EventID],F2281,tblSource[ReleaseStatus],"APPROVED")=1,COUNTIFS(Period_Status!$A$2:$A$8,G2281,Period_Status!$B$2:$B$8,"ActualClosed")=1,C2281&gt;EOMONTH(Settlement_Bridge!$C$2,0)),1,0)</f>
        <v>0</v>
      </c>
      <c r="P2281" s="2" t="s">
        <v>6449</v>
      </c>
    </row>
    <row r="2282" spans="1:16" x14ac:dyDescent="0.25">
      <c r="A2282" s="2" t="s">
        <v>6450</v>
      </c>
      <c r="B2282" s="2" t="s">
        <v>199</v>
      </c>
      <c r="C2282" s="8">
        <v>46272</v>
      </c>
      <c r="D2282" s="6">
        <v>46266</v>
      </c>
      <c r="E2282" s="2" t="s">
        <v>260</v>
      </c>
      <c r="F2282" s="2" t="s">
        <v>6451</v>
      </c>
      <c r="G2282" s="6">
        <v>46235</v>
      </c>
      <c r="H2282" s="2" t="s">
        <v>176</v>
      </c>
      <c r="I2282" s="2" t="s">
        <v>39</v>
      </c>
      <c r="J2282" s="9">
        <v>2203.48</v>
      </c>
      <c r="K2282" s="7">
        <v>1</v>
      </c>
      <c r="L2282" s="9">
        <v>2203.48</v>
      </c>
      <c r="M2282" s="9">
        <v>2203.48</v>
      </c>
      <c r="N2282" s="9">
        <v>1.8</v>
      </c>
      <c r="O2282" s="10">
        <f>IF(AND(OR(H2282="APPROVED",H2282="SCHEDULED"),COUNTIFS(tblSource[EventID],F2282,tblSource[ReleaseStatus],"APPROVED")=1,COUNTIFS(Period_Status!$A$2:$A$8,G2282,Period_Status!$B$2:$B$8,"ActualClosed")=1,C2282&gt;EOMONTH(Settlement_Bridge!$C$2,0)),1,0)</f>
        <v>0</v>
      </c>
      <c r="P2282" s="2" t="s">
        <v>6452</v>
      </c>
    </row>
    <row r="2283" spans="1:16" x14ac:dyDescent="0.25">
      <c r="A2283" s="2" t="s">
        <v>6453</v>
      </c>
      <c r="B2283" s="2" t="s">
        <v>199</v>
      </c>
      <c r="C2283" s="8">
        <v>46263</v>
      </c>
      <c r="D2283" s="6">
        <v>46235</v>
      </c>
      <c r="E2283" s="2" t="s">
        <v>260</v>
      </c>
      <c r="F2283" s="2" t="s">
        <v>6454</v>
      </c>
      <c r="G2283" s="6">
        <v>46235</v>
      </c>
      <c r="H2283" s="2" t="s">
        <v>71</v>
      </c>
      <c r="I2283" s="2" t="s">
        <v>76</v>
      </c>
      <c r="J2283" s="9">
        <v>15456845.528455</v>
      </c>
      <c r="K2283" s="7">
        <v>6.1500000000000004E-5</v>
      </c>
      <c r="L2283" s="9">
        <v>950.6</v>
      </c>
      <c r="M2283" s="9">
        <v>950.6</v>
      </c>
      <c r="N2283" s="9">
        <v>1.8</v>
      </c>
      <c r="O2283" s="10">
        <f>IF(AND(OR(H2283="APPROVED",H2283="SCHEDULED"),COUNTIFS(tblSource[EventID],F2283,tblSource[ReleaseStatus],"APPROVED")=1,COUNTIFS(Period_Status!$A$2:$A$8,G2283,Period_Status!$B$2:$B$8,"ActualClosed")=1,C2283&gt;EOMONTH(Settlement_Bridge!$C$2,0)),1,0)</f>
        <v>0</v>
      </c>
      <c r="P2283" s="2" t="s">
        <v>6455</v>
      </c>
    </row>
    <row r="2284" spans="1:16" x14ac:dyDescent="0.25">
      <c r="A2284" s="2" t="s">
        <v>6456</v>
      </c>
      <c r="B2284" s="2" t="s">
        <v>199</v>
      </c>
      <c r="C2284" s="8">
        <v>46288</v>
      </c>
      <c r="D2284" s="6">
        <v>46266</v>
      </c>
      <c r="E2284" s="2" t="s">
        <v>260</v>
      </c>
      <c r="F2284" s="2" t="s">
        <v>6454</v>
      </c>
      <c r="G2284" s="6">
        <v>46235</v>
      </c>
      <c r="H2284" s="2" t="s">
        <v>176</v>
      </c>
      <c r="I2284" s="2" t="s">
        <v>76</v>
      </c>
      <c r="J2284" s="9">
        <v>23185268.292683002</v>
      </c>
      <c r="K2284" s="7">
        <v>6.1299999999999999E-5</v>
      </c>
      <c r="L2284" s="9">
        <v>1421.26</v>
      </c>
      <c r="M2284" s="9">
        <v>1425.89</v>
      </c>
      <c r="N2284" s="9">
        <v>1.8</v>
      </c>
      <c r="O2284" s="10">
        <f>IF(AND(OR(H2284="APPROVED",H2284="SCHEDULED"),COUNTIFS(tblSource[EventID],F2284,tblSource[ReleaseStatus],"APPROVED")=1,COUNTIFS(Period_Status!$A$2:$A$8,G2284,Period_Status!$B$2:$B$8,"ActualClosed")=1,C2284&gt;EOMONTH(Settlement_Bridge!$C$2,0)),1,0)</f>
        <v>0</v>
      </c>
      <c r="P2284" s="2" t="s">
        <v>6457</v>
      </c>
    </row>
    <row r="2285" spans="1:16" x14ac:dyDescent="0.25">
      <c r="A2285" s="2" t="s">
        <v>6458</v>
      </c>
      <c r="B2285" s="2" t="s">
        <v>199</v>
      </c>
      <c r="C2285" s="8">
        <v>46274</v>
      </c>
      <c r="D2285" s="6">
        <v>46266</v>
      </c>
      <c r="E2285" s="2" t="s">
        <v>260</v>
      </c>
      <c r="F2285" s="2" t="s">
        <v>6459</v>
      </c>
      <c r="G2285" s="6">
        <v>46235</v>
      </c>
      <c r="H2285" s="2" t="s">
        <v>176</v>
      </c>
      <c r="I2285" s="2" t="s">
        <v>70</v>
      </c>
      <c r="J2285" s="9">
        <v>3922.3076919999999</v>
      </c>
      <c r="K2285" s="7">
        <v>0.65100000000000002</v>
      </c>
      <c r="L2285" s="9">
        <v>2553.42</v>
      </c>
      <c r="M2285" s="9">
        <v>2549.5</v>
      </c>
      <c r="N2285" s="9">
        <v>1.8</v>
      </c>
      <c r="O2285" s="10">
        <f>IF(AND(OR(H2285="APPROVED",H2285="SCHEDULED"),COUNTIFS(tblSource[EventID],F2285,tblSource[ReleaseStatus],"APPROVED")=1,COUNTIFS(Period_Status!$A$2:$A$8,G2285,Period_Status!$B$2:$B$8,"ActualClosed")=1,C2285&gt;EOMONTH(Settlement_Bridge!$C$2,0)),1,0)</f>
        <v>0</v>
      </c>
      <c r="P2285" s="2" t="s">
        <v>6460</v>
      </c>
    </row>
    <row r="2286" spans="1:16" x14ac:dyDescent="0.25">
      <c r="A2286" s="2" t="s">
        <v>6461</v>
      </c>
      <c r="B2286" s="2" t="s">
        <v>199</v>
      </c>
      <c r="C2286" s="8">
        <v>46275</v>
      </c>
      <c r="D2286" s="6">
        <v>46266</v>
      </c>
      <c r="E2286" s="2" t="s">
        <v>260</v>
      </c>
      <c r="F2286" s="2" t="s">
        <v>6462</v>
      </c>
      <c r="G2286" s="6">
        <v>46235</v>
      </c>
      <c r="H2286" s="2" t="s">
        <v>176</v>
      </c>
      <c r="I2286" s="2" t="s">
        <v>39</v>
      </c>
      <c r="J2286" s="9">
        <v>2722.51</v>
      </c>
      <c r="K2286" s="7">
        <v>1</v>
      </c>
      <c r="L2286" s="9">
        <v>2722.51</v>
      </c>
      <c r="M2286" s="9">
        <v>2722.51</v>
      </c>
      <c r="N2286" s="9">
        <v>1.8</v>
      </c>
      <c r="O2286" s="10">
        <f>IF(AND(OR(H2286="APPROVED",H2286="SCHEDULED"),COUNTIFS(tblSource[EventID],F2286,tblSource[ReleaseStatus],"APPROVED")=1,COUNTIFS(Period_Status!$A$2:$A$8,G2286,Period_Status!$B$2:$B$8,"ActualClosed")=1,C2286&gt;EOMONTH(Settlement_Bridge!$C$2,0)),1,0)</f>
        <v>0</v>
      </c>
      <c r="P2286" s="2" t="s">
        <v>6463</v>
      </c>
    </row>
    <row r="2287" spans="1:16" x14ac:dyDescent="0.25">
      <c r="A2287" s="2" t="s">
        <v>6464</v>
      </c>
      <c r="B2287" s="2" t="s">
        <v>199</v>
      </c>
      <c r="C2287" s="8">
        <v>46276</v>
      </c>
      <c r="D2287" s="6">
        <v>46266</v>
      </c>
      <c r="E2287" s="2" t="s">
        <v>260</v>
      </c>
      <c r="F2287" s="2" t="s">
        <v>6465</v>
      </c>
      <c r="G2287" s="6">
        <v>46235</v>
      </c>
      <c r="H2287" s="2" t="s">
        <v>176</v>
      </c>
      <c r="I2287" s="2" t="s">
        <v>76</v>
      </c>
      <c r="J2287" s="9">
        <v>47081626.016259998</v>
      </c>
      <c r="K2287" s="7">
        <v>6.1299999999999999E-5</v>
      </c>
      <c r="L2287" s="9">
        <v>2886.1</v>
      </c>
      <c r="M2287" s="9">
        <v>2895.52</v>
      </c>
      <c r="N2287" s="9">
        <v>1.8</v>
      </c>
      <c r="O2287" s="10">
        <f>IF(AND(OR(H2287="APPROVED",H2287="SCHEDULED"),COUNTIFS(tblSource[EventID],F2287,tblSource[ReleaseStatus],"APPROVED")=1,COUNTIFS(Period_Status!$A$2:$A$8,G2287,Period_Status!$B$2:$B$8,"ActualClosed")=1,C2287&gt;EOMONTH(Settlement_Bridge!$C$2,0)),1,0)</f>
        <v>0</v>
      </c>
      <c r="P2287" s="2" t="s">
        <v>6466</v>
      </c>
    </row>
    <row r="2288" spans="1:16" x14ac:dyDescent="0.25">
      <c r="A2288" s="2" t="s">
        <v>6467</v>
      </c>
      <c r="B2288" s="2" t="s">
        <v>199</v>
      </c>
      <c r="C2288" s="8">
        <v>46277</v>
      </c>
      <c r="D2288" s="6">
        <v>46266</v>
      </c>
      <c r="E2288" s="2" t="s">
        <v>260</v>
      </c>
      <c r="F2288" s="2" t="s">
        <v>6468</v>
      </c>
      <c r="G2288" s="6">
        <v>46235</v>
      </c>
      <c r="H2288" s="2" t="s">
        <v>176</v>
      </c>
      <c r="I2288" s="2" t="s">
        <v>70</v>
      </c>
      <c r="J2288" s="9">
        <v>4720.8153849999999</v>
      </c>
      <c r="K2288" s="7">
        <v>0.65100000000000002</v>
      </c>
      <c r="L2288" s="9">
        <v>3073.25</v>
      </c>
      <c r="M2288" s="9">
        <v>3068.53</v>
      </c>
      <c r="N2288" s="9">
        <v>1.8</v>
      </c>
      <c r="O2288" s="10">
        <f>IF(AND(OR(H2288="APPROVED",H2288="SCHEDULED"),COUNTIFS(tblSource[EventID],F2288,tblSource[ReleaseStatus],"APPROVED")=1,COUNTIFS(Period_Status!$A$2:$A$8,G2288,Period_Status!$B$2:$B$8,"ActualClosed")=1,C2288&gt;EOMONTH(Settlement_Bridge!$C$2,0)),1,0)</f>
        <v>0</v>
      </c>
      <c r="P2288" s="2" t="s">
        <v>6469</v>
      </c>
    </row>
    <row r="2289" spans="1:16" x14ac:dyDescent="0.25">
      <c r="A2289" s="2" t="s">
        <v>6470</v>
      </c>
      <c r="B2289" s="2" t="s">
        <v>199</v>
      </c>
      <c r="C2289" s="8">
        <v>46278</v>
      </c>
      <c r="D2289" s="6">
        <v>46266</v>
      </c>
      <c r="E2289" s="2" t="s">
        <v>260</v>
      </c>
      <c r="F2289" s="2" t="s">
        <v>6471</v>
      </c>
      <c r="G2289" s="6">
        <v>46235</v>
      </c>
      <c r="H2289" s="2" t="s">
        <v>176</v>
      </c>
      <c r="I2289" s="2" t="s">
        <v>39</v>
      </c>
      <c r="J2289" s="9">
        <v>3241.54</v>
      </c>
      <c r="K2289" s="7">
        <v>1</v>
      </c>
      <c r="L2289" s="9">
        <v>3241.54</v>
      </c>
      <c r="M2289" s="9">
        <v>3241.54</v>
      </c>
      <c r="N2289" s="9">
        <v>1.8</v>
      </c>
      <c r="O2289" s="10">
        <f>IF(AND(OR(H2289="APPROVED",H2289="SCHEDULED"),COUNTIFS(tblSource[EventID],F2289,tblSource[ReleaseStatus],"APPROVED")=1,COUNTIFS(Period_Status!$A$2:$A$8,G2289,Period_Status!$B$2:$B$8,"ActualClosed")=1,C2289&gt;EOMONTH(Settlement_Bridge!$C$2,0)),1,0)</f>
        <v>0</v>
      </c>
      <c r="P2289" s="2" t="s">
        <v>6472</v>
      </c>
    </row>
    <row r="2290" spans="1:16" x14ac:dyDescent="0.25">
      <c r="A2290" s="2" t="s">
        <v>6473</v>
      </c>
      <c r="B2290" s="2" t="s">
        <v>199</v>
      </c>
      <c r="C2290" s="8">
        <v>46269</v>
      </c>
      <c r="D2290" s="6">
        <v>46266</v>
      </c>
      <c r="E2290" s="2" t="s">
        <v>260</v>
      </c>
      <c r="F2290" s="2" t="s">
        <v>6474</v>
      </c>
      <c r="G2290" s="6">
        <v>46235</v>
      </c>
      <c r="H2290" s="2" t="s">
        <v>176</v>
      </c>
      <c r="I2290" s="2" t="s">
        <v>76</v>
      </c>
      <c r="J2290" s="9">
        <v>22208455.284552999</v>
      </c>
      <c r="K2290" s="7">
        <v>6.1299999999999999E-5</v>
      </c>
      <c r="L2290" s="9">
        <v>1361.38</v>
      </c>
      <c r="M2290" s="9">
        <v>1365.82</v>
      </c>
      <c r="N2290" s="9">
        <v>1.8</v>
      </c>
      <c r="O2290" s="10">
        <f>IF(AND(OR(H2290="APPROVED",H2290="SCHEDULED"),COUNTIFS(tblSource[EventID],F2290,tblSource[ReleaseStatus],"APPROVED")=1,COUNTIFS(Period_Status!$A$2:$A$8,G2290,Period_Status!$B$2:$B$8,"ActualClosed")=1,C2290&gt;EOMONTH(Settlement_Bridge!$C$2,0)),1,0)</f>
        <v>0</v>
      </c>
      <c r="P2290" s="2" t="s">
        <v>6475</v>
      </c>
    </row>
    <row r="2291" spans="1:16" x14ac:dyDescent="0.25">
      <c r="A2291" s="2" t="s">
        <v>6476</v>
      </c>
      <c r="B2291" s="2" t="s">
        <v>199</v>
      </c>
      <c r="C2291" s="8">
        <v>46294</v>
      </c>
      <c r="D2291" s="6">
        <v>46266</v>
      </c>
      <c r="E2291" s="2" t="s">
        <v>260</v>
      </c>
      <c r="F2291" s="2" t="s">
        <v>6474</v>
      </c>
      <c r="G2291" s="6">
        <v>46235</v>
      </c>
      <c r="H2291" s="2" t="s">
        <v>176</v>
      </c>
      <c r="I2291" s="2" t="s">
        <v>76</v>
      </c>
      <c r="J2291" s="9">
        <v>33312682.926828999</v>
      </c>
      <c r="K2291" s="7">
        <v>6.1299999999999999E-5</v>
      </c>
      <c r="L2291" s="9">
        <v>2042.07</v>
      </c>
      <c r="M2291" s="9">
        <v>2048.73</v>
      </c>
      <c r="N2291" s="9">
        <v>1.8</v>
      </c>
      <c r="O2291" s="10">
        <f>IF(AND(OR(H2291="APPROVED",H2291="SCHEDULED"),COUNTIFS(tblSource[EventID],F2291,tblSource[ReleaseStatus],"APPROVED")=1,COUNTIFS(Period_Status!$A$2:$A$8,G2291,Period_Status!$B$2:$B$8,"ActualClosed")=1,C2291&gt;EOMONTH(Settlement_Bridge!$C$2,0)),1,0)</f>
        <v>0</v>
      </c>
      <c r="P2291" s="2" t="s">
        <v>6477</v>
      </c>
    </row>
    <row r="2292" spans="1:16" x14ac:dyDescent="0.25">
      <c r="A2292" s="2" t="s">
        <v>6478</v>
      </c>
      <c r="B2292" s="2" t="s">
        <v>199</v>
      </c>
      <c r="C2292" s="8">
        <v>46270</v>
      </c>
      <c r="D2292" s="6">
        <v>46266</v>
      </c>
      <c r="E2292" s="2" t="s">
        <v>260</v>
      </c>
      <c r="F2292" s="2" t="s">
        <v>6479</v>
      </c>
      <c r="G2292" s="6">
        <v>46235</v>
      </c>
      <c r="H2292" s="2" t="s">
        <v>176</v>
      </c>
      <c r="I2292" s="2" t="s">
        <v>70</v>
      </c>
      <c r="J2292" s="9">
        <v>2207.7292309999998</v>
      </c>
      <c r="K2292" s="7">
        <v>0.65100000000000002</v>
      </c>
      <c r="L2292" s="9">
        <v>1437.23</v>
      </c>
      <c r="M2292" s="9">
        <v>1435.02</v>
      </c>
      <c r="N2292" s="9">
        <v>1.8</v>
      </c>
      <c r="O2292" s="10">
        <f>IF(AND(OR(H2292="APPROVED",H2292="SCHEDULED"),COUNTIFS(tblSource[EventID],F2292,tblSource[ReleaseStatus],"APPROVED")=1,COUNTIFS(Period_Status!$A$2:$A$8,G2292,Period_Status!$B$2:$B$8,"ActualClosed")=1,C2292&gt;EOMONTH(Settlement_Bridge!$C$2,0)),1,0)</f>
        <v>0</v>
      </c>
      <c r="P2292" s="2" t="s">
        <v>6480</v>
      </c>
    </row>
    <row r="2293" spans="1:16" x14ac:dyDescent="0.25">
      <c r="A2293" s="2" t="s">
        <v>6481</v>
      </c>
      <c r="B2293" s="2" t="s">
        <v>199</v>
      </c>
      <c r="C2293" s="8">
        <v>46295</v>
      </c>
      <c r="D2293" s="6">
        <v>46266</v>
      </c>
      <c r="E2293" s="2" t="s">
        <v>260</v>
      </c>
      <c r="F2293" s="2" t="s">
        <v>6479</v>
      </c>
      <c r="G2293" s="6">
        <v>46235</v>
      </c>
      <c r="H2293" s="2" t="s">
        <v>176</v>
      </c>
      <c r="I2293" s="2" t="s">
        <v>70</v>
      </c>
      <c r="J2293" s="9">
        <v>3311.5938460000002</v>
      </c>
      <c r="K2293" s="7">
        <v>0.65100000000000002</v>
      </c>
      <c r="L2293" s="9">
        <v>2155.85</v>
      </c>
      <c r="M2293" s="9">
        <v>2152.54</v>
      </c>
      <c r="N2293" s="9">
        <v>1.8</v>
      </c>
      <c r="O2293" s="10">
        <f>IF(AND(OR(H2293="APPROVED",H2293="SCHEDULED"),COUNTIFS(tblSource[EventID],F2293,tblSource[ReleaseStatus],"APPROVED")=1,COUNTIFS(Period_Status!$A$2:$A$8,G2293,Period_Status!$B$2:$B$8,"ActualClosed")=1,C2293&gt;EOMONTH(Settlement_Bridge!$C$2,0)),1,0)</f>
        <v>0</v>
      </c>
      <c r="P2293" s="2" t="s">
        <v>6482</v>
      </c>
    </row>
    <row r="2294" spans="1:16" x14ac:dyDescent="0.25">
      <c r="A2294" s="2" t="s">
        <v>6483</v>
      </c>
      <c r="B2294" s="2" t="s">
        <v>199</v>
      </c>
      <c r="C2294" s="8">
        <v>46281</v>
      </c>
      <c r="D2294" s="6">
        <v>46266</v>
      </c>
      <c r="E2294" s="2" t="s">
        <v>260</v>
      </c>
      <c r="F2294" s="2" t="s">
        <v>6484</v>
      </c>
      <c r="G2294" s="6">
        <v>46235</v>
      </c>
      <c r="H2294" s="2" t="s">
        <v>176</v>
      </c>
      <c r="I2294" s="2" t="s">
        <v>39</v>
      </c>
      <c r="J2294" s="9">
        <v>3760.57</v>
      </c>
      <c r="K2294" s="7">
        <v>1</v>
      </c>
      <c r="L2294" s="9">
        <v>3760.57</v>
      </c>
      <c r="M2294" s="9">
        <v>3760.57</v>
      </c>
      <c r="N2294" s="9">
        <v>2.0699999999999998</v>
      </c>
      <c r="O2294" s="10">
        <f>IF(AND(OR(H2294="APPROVED",H2294="SCHEDULED"),COUNTIFS(tblSource[EventID],F2294,tblSource[ReleaseStatus],"APPROVED")=1,COUNTIFS(Period_Status!$A$2:$A$8,G2294,Period_Status!$B$2:$B$8,"ActualClosed")=1,C2294&gt;EOMONTH(Settlement_Bridge!$C$2,0)),1,0)</f>
        <v>0</v>
      </c>
      <c r="P2294" s="2" t="s">
        <v>6485</v>
      </c>
    </row>
    <row r="2295" spans="1:16" x14ac:dyDescent="0.25">
      <c r="A2295" s="2" t="s">
        <v>6486</v>
      </c>
      <c r="B2295" s="2" t="s">
        <v>199</v>
      </c>
      <c r="C2295" s="8">
        <v>46282</v>
      </c>
      <c r="D2295" s="6">
        <v>46266</v>
      </c>
      <c r="E2295" s="2" t="s">
        <v>260</v>
      </c>
      <c r="F2295" s="2" t="s">
        <v>6487</v>
      </c>
      <c r="G2295" s="6">
        <v>46235</v>
      </c>
      <c r="H2295" s="2" t="s">
        <v>176</v>
      </c>
      <c r="I2295" s="2" t="s">
        <v>76</v>
      </c>
      <c r="J2295" s="9">
        <v>63960650.406503998</v>
      </c>
      <c r="K2295" s="7">
        <v>6.1299999999999999E-5</v>
      </c>
      <c r="L2295" s="9">
        <v>3920.79</v>
      </c>
      <c r="M2295" s="9">
        <v>3933.58</v>
      </c>
      <c r="N2295" s="9">
        <v>2.16</v>
      </c>
      <c r="O2295" s="10">
        <f>IF(AND(OR(H2295="APPROVED",H2295="SCHEDULED"),COUNTIFS(tblSource[EventID],F2295,tblSource[ReleaseStatus],"APPROVED")=1,COUNTIFS(Period_Status!$A$2:$A$8,G2295,Period_Status!$B$2:$B$8,"ActualClosed")=1,C2295&gt;EOMONTH(Settlement_Bridge!$C$2,0)),1,0)</f>
        <v>0</v>
      </c>
      <c r="P2295" s="2" t="s">
        <v>6488</v>
      </c>
    </row>
    <row r="2296" spans="1:16" x14ac:dyDescent="0.25">
      <c r="A2296" s="2" t="s">
        <v>6489</v>
      </c>
      <c r="B2296" s="2" t="s">
        <v>199</v>
      </c>
      <c r="C2296" s="8">
        <v>46273</v>
      </c>
      <c r="D2296" s="6">
        <v>46266</v>
      </c>
      <c r="E2296" s="2" t="s">
        <v>260</v>
      </c>
      <c r="F2296" s="2" t="s">
        <v>6490</v>
      </c>
      <c r="G2296" s="6">
        <v>46235</v>
      </c>
      <c r="H2296" s="2" t="s">
        <v>176</v>
      </c>
      <c r="I2296" s="2" t="s">
        <v>70</v>
      </c>
      <c r="J2296" s="9">
        <v>-6317.8307690000001</v>
      </c>
      <c r="K2296" s="7">
        <v>0.65100000000000002</v>
      </c>
      <c r="L2296" s="9">
        <v>-4112.91</v>
      </c>
      <c r="M2296" s="9">
        <v>-4106.59</v>
      </c>
      <c r="N2296" s="9">
        <v>0</v>
      </c>
      <c r="O2296" s="10">
        <f>IF(AND(OR(H2296="APPROVED",H2296="SCHEDULED"),COUNTIFS(tblSource[EventID],F2296,tblSource[ReleaseStatus],"APPROVED")=1,COUNTIFS(Period_Status!$A$2:$A$8,G2296,Period_Status!$B$2:$B$8,"ActualClosed")=1,C2296&gt;EOMONTH(Settlement_Bridge!$C$2,0)),1,0)</f>
        <v>0</v>
      </c>
      <c r="P2296" s="2" t="s">
        <v>6491</v>
      </c>
    </row>
    <row r="2297" spans="1:16" x14ac:dyDescent="0.25">
      <c r="A2297" s="2" t="s">
        <v>6492</v>
      </c>
      <c r="B2297" s="2" t="s">
        <v>199</v>
      </c>
      <c r="C2297" s="8">
        <v>46284</v>
      </c>
      <c r="D2297" s="6">
        <v>46266</v>
      </c>
      <c r="E2297" s="2" t="s">
        <v>260</v>
      </c>
      <c r="F2297" s="2" t="s">
        <v>6493</v>
      </c>
      <c r="G2297" s="6">
        <v>46235</v>
      </c>
      <c r="H2297" s="2" t="s">
        <v>176</v>
      </c>
      <c r="I2297" s="2" t="s">
        <v>39</v>
      </c>
      <c r="J2297" s="9">
        <v>4279.6000000000004</v>
      </c>
      <c r="K2297" s="7">
        <v>1</v>
      </c>
      <c r="L2297" s="9">
        <v>4279.6000000000004</v>
      </c>
      <c r="M2297" s="9">
        <v>4279.6000000000004</v>
      </c>
      <c r="N2297" s="9">
        <v>2.35</v>
      </c>
      <c r="O2297" s="10">
        <f>IF(AND(OR(H2297="APPROVED",H2297="SCHEDULED"),COUNTIFS(tblSource[EventID],F2297,tblSource[ReleaseStatus],"APPROVED")=1,COUNTIFS(Period_Status!$A$2:$A$8,G2297,Period_Status!$B$2:$B$8,"ActualClosed")=1,C2297&gt;EOMONTH(Settlement_Bridge!$C$2,0)),1,0)</f>
        <v>0</v>
      </c>
      <c r="P2297" s="2" t="s">
        <v>6494</v>
      </c>
    </row>
    <row r="2298" spans="1:16" x14ac:dyDescent="0.25">
      <c r="A2298" s="2" t="s">
        <v>6495</v>
      </c>
      <c r="B2298" s="2" t="s">
        <v>199</v>
      </c>
      <c r="C2298" s="8">
        <v>46285</v>
      </c>
      <c r="D2298" s="6">
        <v>46266</v>
      </c>
      <c r="E2298" s="2" t="s">
        <v>260</v>
      </c>
      <c r="F2298" s="2" t="s">
        <v>6496</v>
      </c>
      <c r="G2298" s="6">
        <v>46235</v>
      </c>
      <c r="H2298" s="2" t="s">
        <v>176</v>
      </c>
      <c r="I2298" s="2" t="s">
        <v>76</v>
      </c>
      <c r="J2298" s="9">
        <v>72400162.601625994</v>
      </c>
      <c r="K2298" s="7">
        <v>6.1299999999999999E-5</v>
      </c>
      <c r="L2298" s="9">
        <v>4438.13</v>
      </c>
      <c r="M2298" s="9">
        <v>4452.6099999999997</v>
      </c>
      <c r="N2298" s="9">
        <v>2.44</v>
      </c>
      <c r="O2298" s="10">
        <f>IF(AND(OR(H2298="APPROVED",H2298="SCHEDULED"),COUNTIFS(tblSource[EventID],F2298,tblSource[ReleaseStatus],"APPROVED")=1,COUNTIFS(Period_Status!$A$2:$A$8,G2298,Period_Status!$B$2:$B$8,"ActualClosed")=1,C2298&gt;EOMONTH(Settlement_Bridge!$C$2,0)),1,0)</f>
        <v>0</v>
      </c>
      <c r="P2298" s="2" t="s">
        <v>6497</v>
      </c>
    </row>
    <row r="2299" spans="1:16" x14ac:dyDescent="0.25">
      <c r="A2299" s="2" t="s">
        <v>6498</v>
      </c>
      <c r="B2299" s="2" t="s">
        <v>199</v>
      </c>
      <c r="C2299" s="8">
        <v>46286</v>
      </c>
      <c r="D2299" s="6">
        <v>46266</v>
      </c>
      <c r="E2299" s="2" t="s">
        <v>260</v>
      </c>
      <c r="F2299" s="2" t="s">
        <v>6499</v>
      </c>
      <c r="G2299" s="6">
        <v>46235</v>
      </c>
      <c r="H2299" s="2" t="s">
        <v>176</v>
      </c>
      <c r="I2299" s="2" t="s">
        <v>70</v>
      </c>
      <c r="J2299" s="9">
        <v>7116.3384619999997</v>
      </c>
      <c r="K2299" s="7">
        <v>0.65100000000000002</v>
      </c>
      <c r="L2299" s="9">
        <v>4632.74</v>
      </c>
      <c r="M2299" s="9">
        <v>4625.62</v>
      </c>
      <c r="N2299" s="9">
        <v>2.5499999999999998</v>
      </c>
      <c r="O2299" s="10">
        <f>IF(AND(OR(H2299="APPROVED",H2299="SCHEDULED"),COUNTIFS(tblSource[EventID],F2299,tblSource[ReleaseStatus],"APPROVED")=1,COUNTIFS(Period_Status!$A$2:$A$8,G2299,Period_Status!$B$2:$B$8,"ActualClosed")=1,C2299&gt;EOMONTH(Settlement_Bridge!$C$2,0)),1,0)</f>
        <v>0</v>
      </c>
      <c r="P2299" s="2" t="s">
        <v>6500</v>
      </c>
    </row>
    <row r="2300" spans="1:16" x14ac:dyDescent="0.25">
      <c r="A2300" s="2" t="s">
        <v>6501</v>
      </c>
      <c r="B2300" s="2" t="s">
        <v>199</v>
      </c>
      <c r="C2300" s="8">
        <v>46287</v>
      </c>
      <c r="D2300" s="6">
        <v>46266</v>
      </c>
      <c r="E2300" s="2" t="s">
        <v>260</v>
      </c>
      <c r="F2300" s="2" t="s">
        <v>6502</v>
      </c>
      <c r="G2300" s="6">
        <v>46235</v>
      </c>
      <c r="H2300" s="2" t="s">
        <v>176</v>
      </c>
      <c r="I2300" s="2" t="s">
        <v>39</v>
      </c>
      <c r="J2300" s="9">
        <v>4798.63</v>
      </c>
      <c r="K2300" s="7">
        <v>1</v>
      </c>
      <c r="L2300" s="9">
        <v>4798.63</v>
      </c>
      <c r="M2300" s="9">
        <v>4798.63</v>
      </c>
      <c r="N2300" s="9">
        <v>2.64</v>
      </c>
      <c r="O2300" s="10">
        <f>IF(AND(OR(H2300="APPROVED",H2300="SCHEDULED"),COUNTIFS(tblSource[EventID],F2300,tblSource[ReleaseStatus],"APPROVED")=1,COUNTIFS(Period_Status!$A$2:$A$8,G2300,Period_Status!$B$2:$B$8,"ActualClosed")=1,C2300&gt;EOMONTH(Settlement_Bridge!$C$2,0)),1,0)</f>
        <v>0</v>
      </c>
      <c r="P2300" s="2" t="s">
        <v>6503</v>
      </c>
    </row>
    <row r="2301" spans="1:16" x14ac:dyDescent="0.25">
      <c r="A2301" s="2" t="s">
        <v>6504</v>
      </c>
      <c r="B2301" s="2" t="s">
        <v>199</v>
      </c>
      <c r="C2301" s="8">
        <v>46288</v>
      </c>
      <c r="D2301" s="6">
        <v>46266</v>
      </c>
      <c r="E2301" s="2" t="s">
        <v>260</v>
      </c>
      <c r="F2301" s="2" t="s">
        <v>6505</v>
      </c>
      <c r="G2301" s="6">
        <v>46235</v>
      </c>
      <c r="H2301" s="2" t="s">
        <v>176</v>
      </c>
      <c r="I2301" s="2" t="s">
        <v>76</v>
      </c>
      <c r="J2301" s="9">
        <v>80839674.796747997</v>
      </c>
      <c r="K2301" s="7">
        <v>6.1299999999999999E-5</v>
      </c>
      <c r="L2301" s="9">
        <v>4955.47</v>
      </c>
      <c r="M2301" s="9">
        <v>4971.6400000000003</v>
      </c>
      <c r="N2301" s="9">
        <v>2.73</v>
      </c>
      <c r="O2301" s="10">
        <f>IF(AND(OR(H2301="APPROVED",H2301="SCHEDULED"),COUNTIFS(tblSource[EventID],F2301,tblSource[ReleaseStatus],"APPROVED")=1,COUNTIFS(Period_Status!$A$2:$A$8,G2301,Period_Status!$B$2:$B$8,"ActualClosed")=1,C2301&gt;EOMONTH(Settlement_Bridge!$C$2,0)),1,0)</f>
        <v>0</v>
      </c>
      <c r="P2301" s="2" t="s">
        <v>6506</v>
      </c>
    </row>
    <row r="2302" spans="1:16" x14ac:dyDescent="0.25">
      <c r="A2302" s="2" t="s">
        <v>6507</v>
      </c>
      <c r="B2302" s="2" t="s">
        <v>199</v>
      </c>
      <c r="C2302" s="8">
        <v>46279</v>
      </c>
      <c r="D2302" s="6">
        <v>46266</v>
      </c>
      <c r="E2302" s="2" t="s">
        <v>260</v>
      </c>
      <c r="F2302" s="2" t="s">
        <v>6508</v>
      </c>
      <c r="G2302" s="6">
        <v>46235</v>
      </c>
      <c r="H2302" s="2" t="s">
        <v>176</v>
      </c>
      <c r="I2302" s="2" t="s">
        <v>70</v>
      </c>
      <c r="J2302" s="9">
        <v>3165.9384620000001</v>
      </c>
      <c r="K2302" s="7">
        <v>0.65100000000000002</v>
      </c>
      <c r="L2302" s="9">
        <v>2061.0300000000002</v>
      </c>
      <c r="M2302" s="9">
        <v>2057.86</v>
      </c>
      <c r="N2302" s="9">
        <v>1.8</v>
      </c>
      <c r="O2302" s="10">
        <f>IF(AND(OR(H2302="APPROVED",H2302="SCHEDULED"),COUNTIFS(tblSource[EventID],F2302,tblSource[ReleaseStatus],"APPROVED")=1,COUNTIFS(Period_Status!$A$2:$A$8,G2302,Period_Status!$B$2:$B$8,"ActualClosed")=1,C2302&gt;EOMONTH(Settlement_Bridge!$C$2,0)),1,0)</f>
        <v>0</v>
      </c>
      <c r="P2302" s="2" t="s">
        <v>6509</v>
      </c>
    </row>
    <row r="2303" spans="1:16" x14ac:dyDescent="0.25">
      <c r="A2303" s="2" t="s">
        <v>6510</v>
      </c>
      <c r="B2303" s="2" t="s">
        <v>199</v>
      </c>
      <c r="C2303" s="8">
        <v>46304</v>
      </c>
      <c r="D2303" s="6">
        <v>46296</v>
      </c>
      <c r="E2303" s="2" t="s">
        <v>260</v>
      </c>
      <c r="F2303" s="2" t="s">
        <v>6508</v>
      </c>
      <c r="G2303" s="6">
        <v>46235</v>
      </c>
      <c r="H2303" s="2" t="s">
        <v>176</v>
      </c>
      <c r="I2303" s="2" t="s">
        <v>70</v>
      </c>
      <c r="J2303" s="9">
        <v>4748.9076919999998</v>
      </c>
      <c r="K2303" s="7">
        <v>0.65500000000000003</v>
      </c>
      <c r="L2303" s="9">
        <v>3110.53</v>
      </c>
      <c r="M2303" s="9">
        <v>3086.79</v>
      </c>
      <c r="N2303" s="9">
        <v>1.8</v>
      </c>
      <c r="O2303" s="10">
        <f>IF(AND(OR(H2303="APPROVED",H2303="SCHEDULED"),COUNTIFS(tblSource[EventID],F2303,tblSource[ReleaseStatus],"APPROVED")=1,COUNTIFS(Period_Status!$A$2:$A$8,G2303,Period_Status!$B$2:$B$8,"ActualClosed")=1,C2303&gt;EOMONTH(Settlement_Bridge!$C$2,0)),1,0)</f>
        <v>0</v>
      </c>
      <c r="P2303" s="2" t="s">
        <v>6511</v>
      </c>
    </row>
    <row r="2304" spans="1:16" x14ac:dyDescent="0.25">
      <c r="A2304" s="2" t="s">
        <v>6512</v>
      </c>
      <c r="B2304" s="2" t="s">
        <v>199</v>
      </c>
      <c r="C2304" s="8">
        <v>46249</v>
      </c>
      <c r="D2304" s="6">
        <v>46235</v>
      </c>
      <c r="E2304" s="2" t="s">
        <v>260</v>
      </c>
      <c r="F2304" s="2" t="s">
        <v>6513</v>
      </c>
      <c r="G2304" s="6">
        <v>46235</v>
      </c>
      <c r="H2304" s="2" t="s">
        <v>71</v>
      </c>
      <c r="I2304" s="2" t="s">
        <v>39</v>
      </c>
      <c r="J2304" s="9">
        <v>2127.0639999999999</v>
      </c>
      <c r="K2304" s="7">
        <v>1</v>
      </c>
      <c r="L2304" s="9">
        <v>2127.06</v>
      </c>
      <c r="M2304" s="9">
        <v>2127.06</v>
      </c>
      <c r="N2304" s="9">
        <v>1.8</v>
      </c>
      <c r="O2304" s="10">
        <f>IF(AND(OR(H2304="APPROVED",H2304="SCHEDULED"),COUNTIFS(tblSource[EventID],F2304,tblSource[ReleaseStatus],"APPROVED")=1,COUNTIFS(Period_Status!$A$2:$A$8,G2304,Period_Status!$B$2:$B$8,"ActualClosed")=1,C2304&gt;EOMONTH(Settlement_Bridge!$C$2,0)),1,0)</f>
        <v>0</v>
      </c>
      <c r="P2304" s="2" t="s">
        <v>6514</v>
      </c>
    </row>
    <row r="2305" spans="1:16" x14ac:dyDescent="0.25">
      <c r="A2305" s="2" t="s">
        <v>6515</v>
      </c>
      <c r="B2305" s="2" t="s">
        <v>199</v>
      </c>
      <c r="C2305" s="8">
        <v>46274</v>
      </c>
      <c r="D2305" s="6">
        <v>46266</v>
      </c>
      <c r="E2305" s="2" t="s">
        <v>260</v>
      </c>
      <c r="F2305" s="2" t="s">
        <v>6513</v>
      </c>
      <c r="G2305" s="6">
        <v>46235</v>
      </c>
      <c r="H2305" s="2" t="s">
        <v>176</v>
      </c>
      <c r="I2305" s="2" t="s">
        <v>39</v>
      </c>
      <c r="J2305" s="9">
        <v>3190.596</v>
      </c>
      <c r="K2305" s="7">
        <v>1</v>
      </c>
      <c r="L2305" s="9">
        <v>3190.6</v>
      </c>
      <c r="M2305" s="9">
        <v>3190.6</v>
      </c>
      <c r="N2305" s="9">
        <v>1.8</v>
      </c>
      <c r="O2305" s="10">
        <f>IF(AND(OR(H2305="APPROVED",H2305="SCHEDULED"),COUNTIFS(tblSource[EventID],F2305,tblSource[ReleaseStatus],"APPROVED")=1,COUNTIFS(Period_Status!$A$2:$A$8,G2305,Period_Status!$B$2:$B$8,"ActualClosed")=1,C2305&gt;EOMONTH(Settlement_Bridge!$C$2,0)),1,0)</f>
        <v>0</v>
      </c>
      <c r="P2305" s="2" t="s">
        <v>6516</v>
      </c>
    </row>
    <row r="2306" spans="1:16" x14ac:dyDescent="0.25">
      <c r="A2306" s="2" t="s">
        <v>6517</v>
      </c>
      <c r="B2306" s="2" t="s">
        <v>199</v>
      </c>
      <c r="C2306" s="8">
        <v>46260</v>
      </c>
      <c r="D2306" s="6">
        <v>46235</v>
      </c>
      <c r="E2306" s="2" t="s">
        <v>260</v>
      </c>
      <c r="F2306" s="2" t="s">
        <v>6518</v>
      </c>
      <c r="G2306" s="6">
        <v>46235</v>
      </c>
      <c r="H2306" s="2" t="s">
        <v>71</v>
      </c>
      <c r="I2306" s="2" t="s">
        <v>76</v>
      </c>
      <c r="J2306" s="9">
        <v>89279186.991870001</v>
      </c>
      <c r="K2306" s="7">
        <v>6.1500000000000004E-5</v>
      </c>
      <c r="L2306" s="9">
        <v>5490.67</v>
      </c>
      <c r="M2306" s="9">
        <v>5490.67</v>
      </c>
      <c r="N2306" s="9">
        <v>3.02</v>
      </c>
      <c r="O2306" s="10">
        <f>IF(AND(OR(H2306="APPROVED",H2306="SCHEDULED"),COUNTIFS(tblSource[EventID],F2306,tblSource[ReleaseStatus],"APPROVED")=1,COUNTIFS(Period_Status!$A$2:$A$8,G2306,Period_Status!$B$2:$B$8,"ActualClosed")=1,C2306&gt;EOMONTH(Settlement_Bridge!$C$2,0)),1,0)</f>
        <v>0</v>
      </c>
      <c r="P2306" s="2" t="s">
        <v>6519</v>
      </c>
    </row>
    <row r="2307" spans="1:16" x14ac:dyDescent="0.25">
      <c r="A2307" s="2" t="s">
        <v>6520</v>
      </c>
      <c r="B2307" s="2" t="s">
        <v>199</v>
      </c>
      <c r="C2307" s="8">
        <v>46261</v>
      </c>
      <c r="D2307" s="6">
        <v>46235</v>
      </c>
      <c r="E2307" s="2" t="s">
        <v>260</v>
      </c>
      <c r="F2307" s="2" t="s">
        <v>6521</v>
      </c>
      <c r="G2307" s="6">
        <v>46235</v>
      </c>
      <c r="H2307" s="2" t="s">
        <v>71</v>
      </c>
      <c r="I2307" s="2" t="s">
        <v>70</v>
      </c>
      <c r="J2307" s="9">
        <v>8713.353846</v>
      </c>
      <c r="K2307" s="7">
        <v>0.65</v>
      </c>
      <c r="L2307" s="9">
        <v>5663.68</v>
      </c>
      <c r="M2307" s="9">
        <v>5663.68</v>
      </c>
      <c r="N2307" s="9">
        <v>3.12</v>
      </c>
      <c r="O2307" s="10">
        <f>IF(AND(OR(H2307="APPROVED",H2307="SCHEDULED"),COUNTIFS(tblSource[EventID],F2307,tblSource[ReleaseStatus],"APPROVED")=1,COUNTIFS(Period_Status!$A$2:$A$8,G2307,Period_Status!$B$2:$B$8,"ActualClosed")=1,C2307&gt;EOMONTH(Settlement_Bridge!$C$2,0)),1,0)</f>
        <v>0</v>
      </c>
      <c r="P2307" s="2" t="s">
        <v>6522</v>
      </c>
    </row>
    <row r="2308" spans="1:16" x14ac:dyDescent="0.25">
      <c r="A2308" s="2" t="s">
        <v>6523</v>
      </c>
      <c r="B2308" s="2" t="s">
        <v>199</v>
      </c>
      <c r="C2308" s="8">
        <v>46252</v>
      </c>
      <c r="D2308" s="6">
        <v>46235</v>
      </c>
      <c r="E2308" s="2" t="s">
        <v>260</v>
      </c>
      <c r="F2308" s="2" t="s">
        <v>6524</v>
      </c>
      <c r="G2308" s="6">
        <v>46235</v>
      </c>
      <c r="H2308" s="2" t="s">
        <v>71</v>
      </c>
      <c r="I2308" s="2" t="s">
        <v>39</v>
      </c>
      <c r="J2308" s="9">
        <v>2334.6759999999999</v>
      </c>
      <c r="K2308" s="7">
        <v>1</v>
      </c>
      <c r="L2308" s="9">
        <v>2334.6799999999998</v>
      </c>
      <c r="M2308" s="9">
        <v>2334.6799999999998</v>
      </c>
      <c r="N2308" s="9">
        <v>1.8</v>
      </c>
      <c r="O2308" s="10">
        <f>IF(AND(OR(H2308="APPROVED",H2308="SCHEDULED"),COUNTIFS(tblSource[EventID],F2308,tblSource[ReleaseStatus],"APPROVED")=1,COUNTIFS(Period_Status!$A$2:$A$8,G2308,Period_Status!$B$2:$B$8,"ActualClosed")=1,C2308&gt;EOMONTH(Settlement_Bridge!$C$2,0)),1,0)</f>
        <v>0</v>
      </c>
      <c r="P2308" s="2" t="s">
        <v>6525</v>
      </c>
    </row>
    <row r="2309" spans="1:16" x14ac:dyDescent="0.25">
      <c r="A2309" s="2" t="s">
        <v>6526</v>
      </c>
      <c r="B2309" s="2" t="s">
        <v>199</v>
      </c>
      <c r="C2309" s="8">
        <v>46277</v>
      </c>
      <c r="D2309" s="6">
        <v>46266</v>
      </c>
      <c r="E2309" s="2" t="s">
        <v>260</v>
      </c>
      <c r="F2309" s="2" t="s">
        <v>6524</v>
      </c>
      <c r="G2309" s="6">
        <v>46235</v>
      </c>
      <c r="H2309" s="2" t="s">
        <v>176</v>
      </c>
      <c r="I2309" s="2" t="s">
        <v>39</v>
      </c>
      <c r="J2309" s="9">
        <v>3502.0140000000001</v>
      </c>
      <c r="K2309" s="7">
        <v>1</v>
      </c>
      <c r="L2309" s="9">
        <v>3502.01</v>
      </c>
      <c r="M2309" s="9">
        <v>3502.01</v>
      </c>
      <c r="N2309" s="9">
        <v>1.93</v>
      </c>
      <c r="O2309" s="10">
        <f>IF(AND(OR(H2309="APPROVED",H2309="SCHEDULED"),COUNTIFS(tblSource[EventID],F2309,tblSource[ReleaseStatus],"APPROVED")=1,COUNTIFS(Period_Status!$A$2:$A$8,G2309,Period_Status!$B$2:$B$8,"ActualClosed")=1,C2309&gt;EOMONTH(Settlement_Bridge!$C$2,0)),1,0)</f>
        <v>0</v>
      </c>
      <c r="P2309" s="2" t="s">
        <v>6527</v>
      </c>
    </row>
    <row r="2310" spans="1:16" x14ac:dyDescent="0.25">
      <c r="A2310" s="2" t="s">
        <v>6528</v>
      </c>
      <c r="B2310" s="2" t="s">
        <v>199</v>
      </c>
      <c r="C2310" s="8">
        <v>46263</v>
      </c>
      <c r="D2310" s="6">
        <v>46235</v>
      </c>
      <c r="E2310" s="2" t="s">
        <v>260</v>
      </c>
      <c r="F2310" s="2" t="s">
        <v>6529</v>
      </c>
      <c r="G2310" s="6">
        <v>46235</v>
      </c>
      <c r="H2310" s="2" t="s">
        <v>71</v>
      </c>
      <c r="I2310" s="2" t="s">
        <v>76</v>
      </c>
      <c r="J2310" s="9">
        <v>97718699.186992005</v>
      </c>
      <c r="K2310" s="7">
        <v>6.1500000000000004E-5</v>
      </c>
      <c r="L2310" s="9">
        <v>6009.7</v>
      </c>
      <c r="M2310" s="9">
        <v>6009.7</v>
      </c>
      <c r="N2310" s="9">
        <v>3.31</v>
      </c>
      <c r="O2310" s="10">
        <f>IF(AND(OR(H2310="APPROVED",H2310="SCHEDULED"),COUNTIFS(tblSource[EventID],F2310,tblSource[ReleaseStatus],"APPROVED")=1,COUNTIFS(Period_Status!$A$2:$A$8,G2310,Period_Status!$B$2:$B$8,"ActualClosed")=1,C2310&gt;EOMONTH(Settlement_Bridge!$C$2,0)),1,0)</f>
        <v>0</v>
      </c>
      <c r="P2310" s="2" t="s">
        <v>6530</v>
      </c>
    </row>
    <row r="2311" spans="1:16" x14ac:dyDescent="0.25">
      <c r="A2311" s="2" t="s">
        <v>6531</v>
      </c>
      <c r="B2311" s="2" t="s">
        <v>199</v>
      </c>
      <c r="C2311" s="8">
        <v>46264</v>
      </c>
      <c r="D2311" s="6">
        <v>46235</v>
      </c>
      <c r="E2311" s="2" t="s">
        <v>260</v>
      </c>
      <c r="F2311" s="2" t="s">
        <v>6532</v>
      </c>
      <c r="G2311" s="6">
        <v>46235</v>
      </c>
      <c r="H2311" s="2" t="s">
        <v>71</v>
      </c>
      <c r="I2311" s="2" t="s">
        <v>70</v>
      </c>
      <c r="J2311" s="9">
        <v>9511.8615379999992</v>
      </c>
      <c r="K2311" s="7">
        <v>0.65</v>
      </c>
      <c r="L2311" s="9">
        <v>6182.71</v>
      </c>
      <c r="M2311" s="9">
        <v>6182.71</v>
      </c>
      <c r="N2311" s="9">
        <v>3.4</v>
      </c>
      <c r="O2311" s="10">
        <f>IF(AND(OR(H2311="APPROVED",H2311="SCHEDULED"),COUNTIFS(tblSource[EventID],F2311,tblSource[ReleaseStatus],"APPROVED")=1,COUNTIFS(Period_Status!$A$2:$A$8,G2311,Period_Status!$B$2:$B$8,"ActualClosed")=1,C2311&gt;EOMONTH(Settlement_Bridge!$C$2,0)),1,0)</f>
        <v>0</v>
      </c>
      <c r="P2311" s="2" t="s">
        <v>6533</v>
      </c>
    </row>
    <row r="2312" spans="1:16" x14ac:dyDescent="0.25">
      <c r="A2312" s="2" t="s">
        <v>6534</v>
      </c>
      <c r="B2312" s="2" t="s">
        <v>199</v>
      </c>
      <c r="C2312" s="8">
        <v>46265</v>
      </c>
      <c r="D2312" s="6">
        <v>46235</v>
      </c>
      <c r="E2312" s="2" t="s">
        <v>260</v>
      </c>
      <c r="F2312" s="2" t="s">
        <v>6535</v>
      </c>
      <c r="G2312" s="6">
        <v>46235</v>
      </c>
      <c r="H2312" s="2" t="s">
        <v>71</v>
      </c>
      <c r="I2312" s="2" t="s">
        <v>39</v>
      </c>
      <c r="J2312" s="9">
        <v>6355.72</v>
      </c>
      <c r="K2312" s="7">
        <v>1</v>
      </c>
      <c r="L2312" s="9">
        <v>6355.72</v>
      </c>
      <c r="M2312" s="9">
        <v>6355.72</v>
      </c>
      <c r="N2312" s="9">
        <v>3.5</v>
      </c>
      <c r="O2312" s="10">
        <f>IF(AND(OR(H2312="APPROVED",H2312="SCHEDULED"),COUNTIFS(tblSource[EventID],F2312,tblSource[ReleaseStatus],"APPROVED")=1,COUNTIFS(Period_Status!$A$2:$A$8,G2312,Period_Status!$B$2:$B$8,"ActualClosed")=1,C2312&gt;EOMONTH(Settlement_Bridge!$C$2,0)),1,0)</f>
        <v>0</v>
      </c>
      <c r="P2312" s="2" t="s">
        <v>6536</v>
      </c>
    </row>
    <row r="2313" spans="1:16" x14ac:dyDescent="0.25">
      <c r="A2313" s="2" t="s">
        <v>6537</v>
      </c>
      <c r="B2313" s="2" t="s">
        <v>199</v>
      </c>
      <c r="C2313" s="8">
        <v>46266</v>
      </c>
      <c r="D2313" s="6">
        <v>46266</v>
      </c>
      <c r="E2313" s="2" t="s">
        <v>260</v>
      </c>
      <c r="F2313" s="2" t="s">
        <v>6538</v>
      </c>
      <c r="G2313" s="6">
        <v>46235</v>
      </c>
      <c r="H2313" s="2" t="s">
        <v>176</v>
      </c>
      <c r="I2313" s="2" t="s">
        <v>76</v>
      </c>
      <c r="J2313" s="9">
        <v>106158211.38211399</v>
      </c>
      <c r="K2313" s="7">
        <v>6.1299999999999999E-5</v>
      </c>
      <c r="L2313" s="9">
        <v>6507.5</v>
      </c>
      <c r="M2313" s="9">
        <v>6528.73</v>
      </c>
      <c r="N2313" s="9">
        <v>3.58</v>
      </c>
      <c r="O2313" s="10">
        <f>IF(AND(OR(H2313="APPROVED",H2313="SCHEDULED"),COUNTIFS(tblSource[EventID],F2313,tblSource[ReleaseStatus],"APPROVED")=1,COUNTIFS(Period_Status!$A$2:$A$8,G2313,Period_Status!$B$2:$B$8,"ActualClosed")=1,C2313&gt;EOMONTH(Settlement_Bridge!$C$2,0)),1,0)</f>
        <v>0</v>
      </c>
      <c r="P2313" s="2" t="s">
        <v>6539</v>
      </c>
    </row>
    <row r="2314" spans="1:16" x14ac:dyDescent="0.25">
      <c r="A2314" s="2" t="s">
        <v>6540</v>
      </c>
      <c r="B2314" s="2" t="s">
        <v>199</v>
      </c>
      <c r="C2314" s="8">
        <v>46267</v>
      </c>
      <c r="D2314" s="6">
        <v>46266</v>
      </c>
      <c r="E2314" s="2" t="s">
        <v>260</v>
      </c>
      <c r="F2314" s="2" t="s">
        <v>6541</v>
      </c>
      <c r="G2314" s="6">
        <v>46235</v>
      </c>
      <c r="H2314" s="2" t="s">
        <v>176</v>
      </c>
      <c r="I2314" s="2" t="s">
        <v>70</v>
      </c>
      <c r="J2314" s="9">
        <v>10310.369231000001</v>
      </c>
      <c r="K2314" s="7">
        <v>0.65100000000000002</v>
      </c>
      <c r="L2314" s="9">
        <v>6712.05</v>
      </c>
      <c r="M2314" s="9">
        <v>6701.74</v>
      </c>
      <c r="N2314" s="9">
        <v>3.69</v>
      </c>
      <c r="O2314" s="10">
        <f>IF(AND(OR(H2314="APPROVED",H2314="SCHEDULED"),COUNTIFS(tblSource[EventID],F2314,tblSource[ReleaseStatus],"APPROVED")=1,COUNTIFS(Period_Status!$A$2:$A$8,G2314,Period_Status!$B$2:$B$8,"ActualClosed")=1,C2314&gt;EOMONTH(Settlement_Bridge!$C$2,0)),1,0)</f>
        <v>0</v>
      </c>
      <c r="P2314" s="2" t="s">
        <v>6542</v>
      </c>
    </row>
    <row r="2315" spans="1:16" x14ac:dyDescent="0.25">
      <c r="A2315" s="2" t="s">
        <v>6543</v>
      </c>
      <c r="B2315" s="2" t="s">
        <v>199</v>
      </c>
      <c r="C2315" s="8">
        <v>46258</v>
      </c>
      <c r="D2315" s="6">
        <v>46235</v>
      </c>
      <c r="E2315" s="2" t="s">
        <v>260</v>
      </c>
      <c r="F2315" s="2" t="s">
        <v>6544</v>
      </c>
      <c r="G2315" s="6">
        <v>46235</v>
      </c>
      <c r="H2315" s="2" t="s">
        <v>71</v>
      </c>
      <c r="I2315" s="2" t="s">
        <v>39</v>
      </c>
      <c r="J2315" s="9">
        <v>2749.9</v>
      </c>
      <c r="K2315" s="7">
        <v>1</v>
      </c>
      <c r="L2315" s="9">
        <v>2749.9</v>
      </c>
      <c r="M2315" s="9">
        <v>2749.9</v>
      </c>
      <c r="N2315" s="9">
        <v>1.8</v>
      </c>
      <c r="O2315" s="10">
        <f>IF(AND(OR(H2315="APPROVED",H2315="SCHEDULED"),COUNTIFS(tblSource[EventID],F2315,tblSource[ReleaseStatus],"APPROVED")=1,COUNTIFS(Period_Status!$A$2:$A$8,G2315,Period_Status!$B$2:$B$8,"ActualClosed")=1,C2315&gt;EOMONTH(Settlement_Bridge!$C$2,0)),1,0)</f>
        <v>0</v>
      </c>
      <c r="P2315" s="2" t="s">
        <v>6545</v>
      </c>
    </row>
    <row r="2316" spans="1:16" x14ac:dyDescent="0.25">
      <c r="A2316" s="2" t="s">
        <v>6546</v>
      </c>
      <c r="B2316" s="2" t="s">
        <v>199</v>
      </c>
      <c r="C2316" s="8">
        <v>46283</v>
      </c>
      <c r="D2316" s="6">
        <v>46266</v>
      </c>
      <c r="E2316" s="2" t="s">
        <v>260</v>
      </c>
      <c r="F2316" s="2" t="s">
        <v>6544</v>
      </c>
      <c r="G2316" s="6">
        <v>46235</v>
      </c>
      <c r="H2316" s="2" t="s">
        <v>176</v>
      </c>
      <c r="I2316" s="2" t="s">
        <v>39</v>
      </c>
      <c r="J2316" s="9">
        <v>4124.8500000000004</v>
      </c>
      <c r="K2316" s="7">
        <v>1</v>
      </c>
      <c r="L2316" s="9">
        <v>4124.8500000000004</v>
      </c>
      <c r="M2316" s="9">
        <v>4124.8500000000004</v>
      </c>
      <c r="N2316" s="9">
        <v>2.27</v>
      </c>
      <c r="O2316" s="10">
        <f>IF(AND(OR(H2316="APPROVED",H2316="SCHEDULED"),COUNTIFS(tblSource[EventID],F2316,tblSource[ReleaseStatus],"APPROVED")=1,COUNTIFS(Period_Status!$A$2:$A$8,G2316,Period_Status!$B$2:$B$8,"ActualClosed")=1,C2316&gt;EOMONTH(Settlement_Bridge!$C$2,0)),1,0)</f>
        <v>0</v>
      </c>
      <c r="P2316" s="2" t="s">
        <v>6547</v>
      </c>
    </row>
    <row r="2317" spans="1:16" x14ac:dyDescent="0.25">
      <c r="A2317" s="2" t="s">
        <v>6548</v>
      </c>
      <c r="B2317" s="2" t="s">
        <v>199</v>
      </c>
      <c r="C2317" s="8">
        <v>46259</v>
      </c>
      <c r="D2317" s="6">
        <v>46235</v>
      </c>
      <c r="E2317" s="2" t="s">
        <v>260</v>
      </c>
      <c r="F2317" s="2" t="s">
        <v>6549</v>
      </c>
      <c r="G2317" s="6">
        <v>46235</v>
      </c>
      <c r="H2317" s="2" t="s">
        <v>71</v>
      </c>
      <c r="I2317" s="2" t="s">
        <v>76</v>
      </c>
      <c r="J2317" s="9">
        <v>45839089.430894002</v>
      </c>
      <c r="K2317" s="7">
        <v>6.1500000000000004E-5</v>
      </c>
      <c r="L2317" s="9">
        <v>2819.1</v>
      </c>
      <c r="M2317" s="9">
        <v>2819.1</v>
      </c>
      <c r="N2317" s="9">
        <v>1.8</v>
      </c>
      <c r="O2317" s="10">
        <f>IF(AND(OR(H2317="APPROVED",H2317="SCHEDULED"),COUNTIFS(tblSource[EventID],F2317,tblSource[ReleaseStatus],"APPROVED")=1,COUNTIFS(Period_Status!$A$2:$A$8,G2317,Period_Status!$B$2:$B$8,"ActualClosed")=1,C2317&gt;EOMONTH(Settlement_Bridge!$C$2,0)),1,0)</f>
        <v>0</v>
      </c>
      <c r="P2317" s="2" t="s">
        <v>6550</v>
      </c>
    </row>
    <row r="2318" spans="1:16" x14ac:dyDescent="0.25">
      <c r="A2318" s="2" t="s">
        <v>6551</v>
      </c>
      <c r="B2318" s="2" t="s">
        <v>199</v>
      </c>
      <c r="C2318" s="8">
        <v>46284</v>
      </c>
      <c r="D2318" s="6">
        <v>46266</v>
      </c>
      <c r="E2318" s="2" t="s">
        <v>260</v>
      </c>
      <c r="F2318" s="2" t="s">
        <v>6549</v>
      </c>
      <c r="G2318" s="6">
        <v>46235</v>
      </c>
      <c r="H2318" s="2" t="s">
        <v>176</v>
      </c>
      <c r="I2318" s="2" t="s">
        <v>76</v>
      </c>
      <c r="J2318" s="9">
        <v>68758634.146341994</v>
      </c>
      <c r="K2318" s="7">
        <v>6.1299999999999999E-5</v>
      </c>
      <c r="L2318" s="9">
        <v>4214.8999999999996</v>
      </c>
      <c r="M2318" s="9">
        <v>4228.66</v>
      </c>
      <c r="N2318" s="9">
        <v>2.3199999999999998</v>
      </c>
      <c r="O2318" s="10">
        <f>IF(AND(OR(H2318="APPROVED",H2318="SCHEDULED"),COUNTIFS(tblSource[EventID],F2318,tblSource[ReleaseStatus],"APPROVED")=1,COUNTIFS(Period_Status!$A$2:$A$8,G2318,Period_Status!$B$2:$B$8,"ActualClosed")=1,C2318&gt;EOMONTH(Settlement_Bridge!$C$2,0)),1,0)</f>
        <v>0</v>
      </c>
      <c r="P2318" s="2" t="s">
        <v>6552</v>
      </c>
    </row>
    <row r="2319" spans="1:16" x14ac:dyDescent="0.25">
      <c r="A2319" s="2" t="s">
        <v>6553</v>
      </c>
      <c r="B2319" s="2" t="s">
        <v>199</v>
      </c>
      <c r="C2319" s="8">
        <v>46270</v>
      </c>
      <c r="D2319" s="6">
        <v>46266</v>
      </c>
      <c r="E2319" s="2" t="s">
        <v>260</v>
      </c>
      <c r="F2319" s="2" t="s">
        <v>6554</v>
      </c>
      <c r="G2319" s="6">
        <v>46235</v>
      </c>
      <c r="H2319" s="2" t="s">
        <v>176</v>
      </c>
      <c r="I2319" s="2" t="s">
        <v>70</v>
      </c>
      <c r="J2319" s="9">
        <v>11108.876923</v>
      </c>
      <c r="K2319" s="7">
        <v>0.65100000000000002</v>
      </c>
      <c r="L2319" s="9">
        <v>7231.88</v>
      </c>
      <c r="M2319" s="9">
        <v>7220.77</v>
      </c>
      <c r="N2319" s="9">
        <v>3.98</v>
      </c>
      <c r="O2319" s="10">
        <f>IF(AND(OR(H2319="APPROVED",H2319="SCHEDULED"),COUNTIFS(tblSource[EventID],F2319,tblSource[ReleaseStatus],"APPROVED")=1,COUNTIFS(Period_Status!$A$2:$A$8,G2319,Period_Status!$B$2:$B$8,"ActualClosed")=1,C2319&gt;EOMONTH(Settlement_Bridge!$C$2,0)),1,0)</f>
        <v>0</v>
      </c>
      <c r="P2319" s="2" t="s">
        <v>6555</v>
      </c>
    </row>
    <row r="2320" spans="1:16" x14ac:dyDescent="0.25">
      <c r="A2320" s="2" t="s">
        <v>6556</v>
      </c>
      <c r="B2320" s="2" t="s">
        <v>199</v>
      </c>
      <c r="C2320" s="8">
        <v>46271</v>
      </c>
      <c r="D2320" s="6">
        <v>46266</v>
      </c>
      <c r="E2320" s="2" t="s">
        <v>260</v>
      </c>
      <c r="F2320" s="2" t="s">
        <v>6557</v>
      </c>
      <c r="G2320" s="6">
        <v>46235</v>
      </c>
      <c r="H2320" s="2" t="s">
        <v>176</v>
      </c>
      <c r="I2320" s="2" t="s">
        <v>39</v>
      </c>
      <c r="J2320" s="9">
        <v>7393.78</v>
      </c>
      <c r="K2320" s="7">
        <v>1</v>
      </c>
      <c r="L2320" s="9">
        <v>7393.78</v>
      </c>
      <c r="M2320" s="9">
        <v>7393.78</v>
      </c>
      <c r="N2320" s="9">
        <v>4.07</v>
      </c>
      <c r="O2320" s="10">
        <f>IF(AND(OR(H2320="APPROVED",H2320="SCHEDULED"),COUNTIFS(tblSource[EventID],F2320,tblSource[ReleaseStatus],"APPROVED")=1,COUNTIFS(Period_Status!$A$2:$A$8,G2320,Period_Status!$B$2:$B$8,"ActualClosed")=1,C2320&gt;EOMONTH(Settlement_Bridge!$C$2,0)),1,0)</f>
        <v>0</v>
      </c>
      <c r="P2320" s="2" t="s">
        <v>6558</v>
      </c>
    </row>
    <row r="2321" spans="1:16" x14ac:dyDescent="0.25">
      <c r="A2321" s="2" t="s">
        <v>6559</v>
      </c>
      <c r="B2321" s="2" t="s">
        <v>199</v>
      </c>
      <c r="C2321" s="8">
        <v>46262</v>
      </c>
      <c r="D2321" s="6">
        <v>46235</v>
      </c>
      <c r="E2321" s="2" t="s">
        <v>260</v>
      </c>
      <c r="F2321" s="2" t="s">
        <v>6560</v>
      </c>
      <c r="G2321" s="6">
        <v>46235</v>
      </c>
      <c r="H2321" s="2" t="s">
        <v>71</v>
      </c>
      <c r="I2321" s="2" t="s">
        <v>76</v>
      </c>
      <c r="J2321" s="9">
        <v>49214894.308943003</v>
      </c>
      <c r="K2321" s="7">
        <v>6.1500000000000004E-5</v>
      </c>
      <c r="L2321" s="9">
        <v>3026.72</v>
      </c>
      <c r="M2321" s="9">
        <v>3026.72</v>
      </c>
      <c r="N2321" s="9">
        <v>1.8</v>
      </c>
      <c r="O2321" s="10">
        <f>IF(AND(OR(H2321="APPROVED",H2321="SCHEDULED"),COUNTIFS(tblSource[EventID],F2321,tblSource[ReleaseStatus],"APPROVED")=1,COUNTIFS(Period_Status!$A$2:$A$8,G2321,Period_Status!$B$2:$B$8,"ActualClosed")=1,C2321&gt;EOMONTH(Settlement_Bridge!$C$2,0)),1,0)</f>
        <v>0</v>
      </c>
      <c r="P2321" s="2" t="s">
        <v>6561</v>
      </c>
    </row>
    <row r="2322" spans="1:16" x14ac:dyDescent="0.25">
      <c r="A2322" s="2" t="s">
        <v>6562</v>
      </c>
      <c r="B2322" s="2" t="s">
        <v>199</v>
      </c>
      <c r="C2322" s="8">
        <v>46287</v>
      </c>
      <c r="D2322" s="6">
        <v>46266</v>
      </c>
      <c r="E2322" s="2" t="s">
        <v>260</v>
      </c>
      <c r="F2322" s="2" t="s">
        <v>6560</v>
      </c>
      <c r="G2322" s="6">
        <v>46235</v>
      </c>
      <c r="H2322" s="2" t="s">
        <v>176</v>
      </c>
      <c r="I2322" s="2" t="s">
        <v>76</v>
      </c>
      <c r="J2322" s="9">
        <v>73822341.463414997</v>
      </c>
      <c r="K2322" s="7">
        <v>6.1299999999999999E-5</v>
      </c>
      <c r="L2322" s="9">
        <v>4525.3100000000004</v>
      </c>
      <c r="M2322" s="9">
        <v>4540.07</v>
      </c>
      <c r="N2322" s="9">
        <v>2.4900000000000002</v>
      </c>
      <c r="O2322" s="10">
        <f>IF(AND(OR(H2322="APPROVED",H2322="SCHEDULED"),COUNTIFS(tblSource[EventID],F2322,tblSource[ReleaseStatus],"APPROVED")=1,COUNTIFS(Period_Status!$A$2:$A$8,G2322,Period_Status!$B$2:$B$8,"ActualClosed")=1,C2322&gt;EOMONTH(Settlement_Bridge!$C$2,0)),1,0)</f>
        <v>0</v>
      </c>
      <c r="P2322" s="2" t="s">
        <v>6563</v>
      </c>
    </row>
    <row r="2323" spans="1:16" x14ac:dyDescent="0.25">
      <c r="A2323" s="2" t="s">
        <v>6564</v>
      </c>
      <c r="B2323" s="2" t="s">
        <v>199</v>
      </c>
      <c r="C2323" s="8">
        <v>46273</v>
      </c>
      <c r="D2323" s="6">
        <v>46266</v>
      </c>
      <c r="E2323" s="2" t="s">
        <v>260</v>
      </c>
      <c r="F2323" s="2" t="s">
        <v>6565</v>
      </c>
      <c r="G2323" s="6">
        <v>46235</v>
      </c>
      <c r="H2323" s="2" t="s">
        <v>176</v>
      </c>
      <c r="I2323" s="2" t="s">
        <v>70</v>
      </c>
      <c r="J2323" s="9">
        <v>11907.384615000001</v>
      </c>
      <c r="K2323" s="7">
        <v>0.65100000000000002</v>
      </c>
      <c r="L2323" s="9">
        <v>7751.71</v>
      </c>
      <c r="M2323" s="9">
        <v>7739.8</v>
      </c>
      <c r="N2323" s="9">
        <v>4.26</v>
      </c>
      <c r="O2323" s="10">
        <f>IF(AND(OR(H2323="APPROVED",H2323="SCHEDULED"),COUNTIFS(tblSource[EventID],F2323,tblSource[ReleaseStatus],"APPROVED")=1,COUNTIFS(Period_Status!$A$2:$A$8,G2323,Period_Status!$B$2:$B$8,"ActualClosed")=1,C2323&gt;EOMONTH(Settlement_Bridge!$C$2,0)),1,0)</f>
        <v>0</v>
      </c>
      <c r="P2323" s="2" t="s">
        <v>6566</v>
      </c>
    </row>
    <row r="2324" spans="1:16" x14ac:dyDescent="0.25">
      <c r="A2324" s="2" t="s">
        <v>6567</v>
      </c>
      <c r="B2324" s="2" t="s">
        <v>199</v>
      </c>
      <c r="C2324" s="8">
        <v>46274</v>
      </c>
      <c r="D2324" s="6">
        <v>46266</v>
      </c>
      <c r="E2324" s="2" t="s">
        <v>260</v>
      </c>
      <c r="F2324" s="2" t="s">
        <v>6568</v>
      </c>
      <c r="G2324" s="6">
        <v>46235</v>
      </c>
      <c r="H2324" s="2" t="s">
        <v>176</v>
      </c>
      <c r="I2324" s="2" t="s">
        <v>39</v>
      </c>
      <c r="J2324" s="9">
        <v>7912.81</v>
      </c>
      <c r="K2324" s="7">
        <v>1</v>
      </c>
      <c r="L2324" s="9">
        <v>7912.81</v>
      </c>
      <c r="M2324" s="9">
        <v>7912.81</v>
      </c>
      <c r="N2324" s="9">
        <v>4.3499999999999996</v>
      </c>
      <c r="O2324" s="10">
        <f>IF(AND(OR(H2324="APPROVED",H2324="SCHEDULED"),COUNTIFS(tblSource[EventID],F2324,tblSource[ReleaseStatus],"APPROVED")=1,COUNTIFS(Period_Status!$A$2:$A$8,G2324,Period_Status!$B$2:$B$8,"ActualClosed")=1,C2324&gt;EOMONTH(Settlement_Bridge!$C$2,0)),1,0)</f>
        <v>0</v>
      </c>
      <c r="P2324" s="2" t="s">
        <v>6569</v>
      </c>
    </row>
    <row r="2325" spans="1:16" x14ac:dyDescent="0.25">
      <c r="A2325" s="2" t="s">
        <v>6570</v>
      </c>
      <c r="B2325" s="2" t="s">
        <v>199</v>
      </c>
      <c r="C2325" s="8">
        <v>46275</v>
      </c>
      <c r="D2325" s="6">
        <v>46266</v>
      </c>
      <c r="E2325" s="2" t="s">
        <v>260</v>
      </c>
      <c r="F2325" s="2" t="s">
        <v>6571</v>
      </c>
      <c r="G2325" s="6">
        <v>46235</v>
      </c>
      <c r="H2325" s="2" t="s">
        <v>176</v>
      </c>
      <c r="I2325" s="2" t="s">
        <v>76</v>
      </c>
      <c r="J2325" s="9">
        <v>131476747.96748</v>
      </c>
      <c r="K2325" s="7">
        <v>6.1299999999999999E-5</v>
      </c>
      <c r="L2325" s="9">
        <v>8059.52</v>
      </c>
      <c r="M2325" s="9">
        <v>8085.82</v>
      </c>
      <c r="N2325" s="9">
        <v>4.43</v>
      </c>
      <c r="O2325" s="10">
        <f>IF(AND(OR(H2325="APPROVED",H2325="SCHEDULED"),COUNTIFS(tblSource[EventID],F2325,tblSource[ReleaseStatus],"APPROVED")=1,COUNTIFS(Period_Status!$A$2:$A$8,G2325,Period_Status!$B$2:$B$8,"ActualClosed")=1,C2325&gt;EOMONTH(Settlement_Bridge!$C$2,0)),1,0)</f>
        <v>0</v>
      </c>
      <c r="P2325" s="2" t="s">
        <v>6572</v>
      </c>
    </row>
    <row r="2326" spans="1:16" x14ac:dyDescent="0.25">
      <c r="A2326" s="2" t="s">
        <v>6573</v>
      </c>
      <c r="B2326" s="2" t="s">
        <v>199</v>
      </c>
      <c r="C2326" s="8">
        <v>46276</v>
      </c>
      <c r="D2326" s="6">
        <v>46266</v>
      </c>
      <c r="E2326" s="2" t="s">
        <v>260</v>
      </c>
      <c r="F2326" s="2" t="s">
        <v>6574</v>
      </c>
      <c r="G2326" s="6">
        <v>46235</v>
      </c>
      <c r="H2326" s="2" t="s">
        <v>176</v>
      </c>
      <c r="I2326" s="2" t="s">
        <v>70</v>
      </c>
      <c r="J2326" s="9">
        <v>12705.892308</v>
      </c>
      <c r="K2326" s="7">
        <v>0.65100000000000002</v>
      </c>
      <c r="L2326" s="9">
        <v>8271.5400000000009</v>
      </c>
      <c r="M2326" s="9">
        <v>8258.83</v>
      </c>
      <c r="N2326" s="9">
        <v>4.55</v>
      </c>
      <c r="O2326" s="10">
        <f>IF(AND(OR(H2326="APPROVED",H2326="SCHEDULED"),COUNTIFS(tblSource[EventID],F2326,tblSource[ReleaseStatus],"APPROVED")=1,COUNTIFS(Period_Status!$A$2:$A$8,G2326,Period_Status!$B$2:$B$8,"ActualClosed")=1,C2326&gt;EOMONTH(Settlement_Bridge!$C$2,0)),1,0)</f>
        <v>0</v>
      </c>
      <c r="P2326" s="2" t="s">
        <v>6575</v>
      </c>
    </row>
    <row r="2327" spans="1:16" x14ac:dyDescent="0.25">
      <c r="A2327" s="2" t="s">
        <v>6576</v>
      </c>
      <c r="B2327" s="2" t="s">
        <v>199</v>
      </c>
      <c r="C2327" s="8">
        <v>46277</v>
      </c>
      <c r="D2327" s="6">
        <v>46266</v>
      </c>
      <c r="E2327" s="2" t="s">
        <v>260</v>
      </c>
      <c r="F2327" s="2" t="s">
        <v>6577</v>
      </c>
      <c r="G2327" s="6">
        <v>46235</v>
      </c>
      <c r="H2327" s="2" t="s">
        <v>176</v>
      </c>
      <c r="I2327" s="2" t="s">
        <v>39</v>
      </c>
      <c r="J2327" s="9">
        <v>8431.84</v>
      </c>
      <c r="K2327" s="7">
        <v>1</v>
      </c>
      <c r="L2327" s="9">
        <v>8431.84</v>
      </c>
      <c r="M2327" s="9">
        <v>8431.84</v>
      </c>
      <c r="N2327" s="9">
        <v>4.6399999999999997</v>
      </c>
      <c r="O2327" s="10">
        <f>IF(AND(OR(H2327="APPROVED",H2327="SCHEDULED"),COUNTIFS(tblSource[EventID],F2327,tblSource[ReleaseStatus],"APPROVED")=1,COUNTIFS(Period_Status!$A$2:$A$8,G2327,Period_Status!$B$2:$B$8,"ActualClosed")=1,C2327&gt;EOMONTH(Settlement_Bridge!$C$2,0)),1,0)</f>
        <v>0</v>
      </c>
      <c r="P2327" s="2" t="s">
        <v>6578</v>
      </c>
    </row>
    <row r="2328" spans="1:16" x14ac:dyDescent="0.25">
      <c r="A2328" s="2" t="s">
        <v>6579</v>
      </c>
      <c r="B2328" s="2" t="s">
        <v>199</v>
      </c>
      <c r="C2328" s="8">
        <v>46268</v>
      </c>
      <c r="D2328" s="6">
        <v>46266</v>
      </c>
      <c r="E2328" s="2" t="s">
        <v>260</v>
      </c>
      <c r="F2328" s="2" t="s">
        <v>6580</v>
      </c>
      <c r="G2328" s="6">
        <v>46235</v>
      </c>
      <c r="H2328" s="2" t="s">
        <v>176</v>
      </c>
      <c r="I2328" s="2" t="s">
        <v>76</v>
      </c>
      <c r="J2328" s="9">
        <v>55966504.065040998</v>
      </c>
      <c r="K2328" s="7">
        <v>6.1299999999999999E-5</v>
      </c>
      <c r="L2328" s="9">
        <v>3430.75</v>
      </c>
      <c r="M2328" s="9">
        <v>3441.94</v>
      </c>
      <c r="N2328" s="9">
        <v>1.89</v>
      </c>
      <c r="O2328" s="10">
        <f>IF(AND(OR(H2328="APPROVED",H2328="SCHEDULED"),COUNTIFS(tblSource[EventID],F2328,tblSource[ReleaseStatus],"APPROVED")=1,COUNTIFS(Period_Status!$A$2:$A$8,G2328,Period_Status!$B$2:$B$8,"ActualClosed")=1,C2328&gt;EOMONTH(Settlement_Bridge!$C$2,0)),1,0)</f>
        <v>0</v>
      </c>
      <c r="P2328" s="2" t="s">
        <v>6581</v>
      </c>
    </row>
    <row r="2329" spans="1:16" x14ac:dyDescent="0.25">
      <c r="A2329" s="2" t="s">
        <v>6582</v>
      </c>
      <c r="B2329" s="2" t="s">
        <v>199</v>
      </c>
      <c r="C2329" s="8">
        <v>46293</v>
      </c>
      <c r="D2329" s="6">
        <v>46266</v>
      </c>
      <c r="E2329" s="2" t="s">
        <v>260</v>
      </c>
      <c r="F2329" s="2" t="s">
        <v>6580</v>
      </c>
      <c r="G2329" s="6">
        <v>46235</v>
      </c>
      <c r="H2329" s="2" t="s">
        <v>176</v>
      </c>
      <c r="I2329" s="2" t="s">
        <v>76</v>
      </c>
      <c r="J2329" s="9">
        <v>83949756.097561002</v>
      </c>
      <c r="K2329" s="7">
        <v>6.1299999999999999E-5</v>
      </c>
      <c r="L2329" s="9">
        <v>5146.12</v>
      </c>
      <c r="M2329" s="9">
        <v>5162.91</v>
      </c>
      <c r="N2329" s="9">
        <v>2.83</v>
      </c>
      <c r="O2329" s="10">
        <f>IF(AND(OR(H2329="APPROVED",H2329="SCHEDULED"),COUNTIFS(tblSource[EventID],F2329,tblSource[ReleaseStatus],"APPROVED")=1,COUNTIFS(Period_Status!$A$2:$A$8,G2329,Period_Status!$B$2:$B$8,"ActualClosed")=1,C2329&gt;EOMONTH(Settlement_Bridge!$C$2,0)),1,0)</f>
        <v>0</v>
      </c>
      <c r="P2329" s="2" t="s">
        <v>6583</v>
      </c>
    </row>
    <row r="2330" spans="1:16" x14ac:dyDescent="0.25">
      <c r="A2330" s="2" t="s">
        <v>6584</v>
      </c>
      <c r="B2330" s="2" t="s">
        <v>199</v>
      </c>
      <c r="C2330" s="8">
        <v>46269</v>
      </c>
      <c r="D2330" s="6">
        <v>46266</v>
      </c>
      <c r="E2330" s="2" t="s">
        <v>260</v>
      </c>
      <c r="F2330" s="2" t="s">
        <v>6585</v>
      </c>
      <c r="G2330" s="6">
        <v>46235</v>
      </c>
      <c r="H2330" s="2" t="s">
        <v>176</v>
      </c>
      <c r="I2330" s="2" t="s">
        <v>70</v>
      </c>
      <c r="J2330" s="9">
        <v>5401.76</v>
      </c>
      <c r="K2330" s="7">
        <v>0.65100000000000002</v>
      </c>
      <c r="L2330" s="9">
        <v>3516.55</v>
      </c>
      <c r="M2330" s="9">
        <v>3511.14</v>
      </c>
      <c r="N2330" s="9">
        <v>1.93</v>
      </c>
      <c r="O2330" s="10">
        <f>IF(AND(OR(H2330="APPROVED",H2330="SCHEDULED"),COUNTIFS(tblSource[EventID],F2330,tblSource[ReleaseStatus],"APPROVED")=1,COUNTIFS(Period_Status!$A$2:$A$8,G2330,Period_Status!$B$2:$B$8,"ActualClosed")=1,C2330&gt;EOMONTH(Settlement_Bridge!$C$2,0)),1,0)</f>
        <v>0</v>
      </c>
      <c r="P2330" s="2" t="s">
        <v>6586</v>
      </c>
    </row>
    <row r="2331" spans="1:16" x14ac:dyDescent="0.25">
      <c r="A2331" s="2" t="s">
        <v>6587</v>
      </c>
      <c r="B2331" s="2" t="s">
        <v>199</v>
      </c>
      <c r="C2331" s="8">
        <v>46294</v>
      </c>
      <c r="D2331" s="6">
        <v>46266</v>
      </c>
      <c r="E2331" s="2" t="s">
        <v>260</v>
      </c>
      <c r="F2331" s="2" t="s">
        <v>6585</v>
      </c>
      <c r="G2331" s="6">
        <v>46235</v>
      </c>
      <c r="H2331" s="2" t="s">
        <v>176</v>
      </c>
      <c r="I2331" s="2" t="s">
        <v>70</v>
      </c>
      <c r="J2331" s="9">
        <v>8102.64</v>
      </c>
      <c r="K2331" s="7">
        <v>0.65100000000000002</v>
      </c>
      <c r="L2331" s="9">
        <v>5274.82</v>
      </c>
      <c r="M2331" s="9">
        <v>5266.72</v>
      </c>
      <c r="N2331" s="9">
        <v>2.9</v>
      </c>
      <c r="O2331" s="10">
        <f>IF(AND(OR(H2331="APPROVED",H2331="SCHEDULED"),COUNTIFS(tblSource[EventID],F2331,tblSource[ReleaseStatus],"APPROVED")=1,COUNTIFS(Period_Status!$A$2:$A$8,G2331,Period_Status!$B$2:$B$8,"ActualClosed")=1,C2331&gt;EOMONTH(Settlement_Bridge!$C$2,0)),1,0)</f>
        <v>0</v>
      </c>
      <c r="P2331" s="2" t="s">
        <v>6588</v>
      </c>
    </row>
    <row r="2332" spans="1:16" x14ac:dyDescent="0.25">
      <c r="A2332" s="2" t="s">
        <v>6589</v>
      </c>
      <c r="B2332" s="2" t="s">
        <v>199</v>
      </c>
      <c r="C2332" s="8">
        <v>46280</v>
      </c>
      <c r="D2332" s="6">
        <v>46266</v>
      </c>
      <c r="E2332" s="2" t="s">
        <v>260</v>
      </c>
      <c r="F2332" s="2" t="s">
        <v>6590</v>
      </c>
      <c r="G2332" s="6">
        <v>46235</v>
      </c>
      <c r="H2332" s="2" t="s">
        <v>176</v>
      </c>
      <c r="I2332" s="2" t="s">
        <v>39</v>
      </c>
      <c r="J2332" s="9">
        <v>8950.8700000000008</v>
      </c>
      <c r="K2332" s="7">
        <v>1</v>
      </c>
      <c r="L2332" s="9">
        <v>8950.8700000000008</v>
      </c>
      <c r="M2332" s="9">
        <v>8950.8700000000008</v>
      </c>
      <c r="N2332" s="9">
        <v>4.92</v>
      </c>
      <c r="O2332" s="10">
        <f>IF(AND(OR(H2332="APPROVED",H2332="SCHEDULED"),COUNTIFS(tblSource[EventID],F2332,tblSource[ReleaseStatus],"APPROVED")=1,COUNTIFS(Period_Status!$A$2:$A$8,G2332,Period_Status!$B$2:$B$8,"ActualClosed")=1,C2332&gt;EOMONTH(Settlement_Bridge!$C$2,0)),1,0)</f>
        <v>0</v>
      </c>
      <c r="P2332" s="2" t="s">
        <v>6591</v>
      </c>
    </row>
    <row r="2333" spans="1:16" x14ac:dyDescent="0.25">
      <c r="A2333" s="2" t="s">
        <v>6592</v>
      </c>
      <c r="B2333" s="2" t="s">
        <v>199</v>
      </c>
      <c r="C2333" s="8">
        <v>46281</v>
      </c>
      <c r="D2333" s="6">
        <v>46266</v>
      </c>
      <c r="E2333" s="2" t="s">
        <v>260</v>
      </c>
      <c r="F2333" s="2" t="s">
        <v>6593</v>
      </c>
      <c r="G2333" s="6">
        <v>46235</v>
      </c>
      <c r="H2333" s="2" t="s">
        <v>176</v>
      </c>
      <c r="I2333" s="2" t="s">
        <v>76</v>
      </c>
      <c r="J2333" s="9">
        <v>148355772.35772401</v>
      </c>
      <c r="K2333" s="7">
        <v>6.1299999999999999E-5</v>
      </c>
      <c r="L2333" s="9">
        <v>9094.2099999999991</v>
      </c>
      <c r="M2333" s="9">
        <v>9123.8799999999992</v>
      </c>
      <c r="N2333" s="9">
        <v>5</v>
      </c>
      <c r="O2333" s="10">
        <f>IF(AND(OR(H2333="APPROVED",H2333="SCHEDULED"),COUNTIFS(tblSource[EventID],F2333,tblSource[ReleaseStatus],"APPROVED")=1,COUNTIFS(Period_Status!$A$2:$A$8,G2333,Period_Status!$B$2:$B$8,"ActualClosed")=1,C2333&gt;EOMONTH(Settlement_Bridge!$C$2,0)),1,0)</f>
        <v>0</v>
      </c>
      <c r="P2333" s="2" t="s">
        <v>6594</v>
      </c>
    </row>
    <row r="2334" spans="1:16" x14ac:dyDescent="0.25">
      <c r="A2334" s="2" t="s">
        <v>6595</v>
      </c>
      <c r="B2334" s="2" t="s">
        <v>199</v>
      </c>
      <c r="C2334" s="8">
        <v>46272</v>
      </c>
      <c r="D2334" s="6">
        <v>46266</v>
      </c>
      <c r="E2334" s="2" t="s">
        <v>260</v>
      </c>
      <c r="F2334" s="2" t="s">
        <v>6596</v>
      </c>
      <c r="G2334" s="6">
        <v>46235</v>
      </c>
      <c r="H2334" s="2" t="s">
        <v>176</v>
      </c>
      <c r="I2334" s="2" t="s">
        <v>70</v>
      </c>
      <c r="J2334" s="9">
        <v>5721.1630770000002</v>
      </c>
      <c r="K2334" s="7">
        <v>0.65100000000000002</v>
      </c>
      <c r="L2334" s="9">
        <v>3724.48</v>
      </c>
      <c r="M2334" s="9">
        <v>3718.76</v>
      </c>
      <c r="N2334" s="9">
        <v>2.0499999999999998</v>
      </c>
      <c r="O2334" s="10">
        <f>IF(AND(OR(H2334="APPROVED",H2334="SCHEDULED"),COUNTIFS(tblSource[EventID],F2334,tblSource[ReleaseStatus],"APPROVED")=1,COUNTIFS(Period_Status!$A$2:$A$8,G2334,Period_Status!$B$2:$B$8,"ActualClosed")=1,C2334&gt;EOMONTH(Settlement_Bridge!$C$2,0)),1,0)</f>
        <v>0</v>
      </c>
      <c r="P2334" s="2" t="s">
        <v>6597</v>
      </c>
    </row>
    <row r="2335" spans="1:16" x14ac:dyDescent="0.25">
      <c r="A2335" s="2" t="s">
        <v>6598</v>
      </c>
      <c r="B2335" s="2" t="s">
        <v>199</v>
      </c>
      <c r="C2335" s="8">
        <v>46297</v>
      </c>
      <c r="D2335" s="6">
        <v>46296</v>
      </c>
      <c r="E2335" s="2" t="s">
        <v>260</v>
      </c>
      <c r="F2335" s="2" t="s">
        <v>6596</v>
      </c>
      <c r="G2335" s="6">
        <v>46235</v>
      </c>
      <c r="H2335" s="2" t="s">
        <v>176</v>
      </c>
      <c r="I2335" s="2" t="s">
        <v>70</v>
      </c>
      <c r="J2335" s="9">
        <v>8581.7446149999996</v>
      </c>
      <c r="K2335" s="7">
        <v>0.65500000000000003</v>
      </c>
      <c r="L2335" s="9">
        <v>5621.04</v>
      </c>
      <c r="M2335" s="9">
        <v>5578.13</v>
      </c>
      <c r="N2335" s="9">
        <v>3.09</v>
      </c>
      <c r="O2335" s="10">
        <f>IF(AND(OR(H2335="APPROVED",H2335="SCHEDULED"),COUNTIFS(tblSource[EventID],F2335,tblSource[ReleaseStatus],"APPROVED")=1,COUNTIFS(Period_Status!$A$2:$A$8,G2335,Period_Status!$B$2:$B$8,"ActualClosed")=1,C2335&gt;EOMONTH(Settlement_Bridge!$C$2,0)),1,0)</f>
        <v>0</v>
      </c>
      <c r="P2335" s="2" t="s">
        <v>6599</v>
      </c>
    </row>
    <row r="2336" spans="1:16" x14ac:dyDescent="0.25">
      <c r="A2336" s="2" t="s">
        <v>6600</v>
      </c>
      <c r="B2336" s="2" t="s">
        <v>199</v>
      </c>
      <c r="C2336" s="8">
        <v>46283</v>
      </c>
      <c r="D2336" s="6">
        <v>46266</v>
      </c>
      <c r="E2336" s="2" t="s">
        <v>260</v>
      </c>
      <c r="F2336" s="2" t="s">
        <v>6601</v>
      </c>
      <c r="G2336" s="6">
        <v>46235</v>
      </c>
      <c r="H2336" s="2" t="s">
        <v>176</v>
      </c>
      <c r="I2336" s="2" t="s">
        <v>39</v>
      </c>
      <c r="J2336" s="9">
        <v>9469.9</v>
      </c>
      <c r="K2336" s="7">
        <v>1</v>
      </c>
      <c r="L2336" s="9">
        <v>9469.9</v>
      </c>
      <c r="M2336" s="9">
        <v>9469.9</v>
      </c>
      <c r="N2336" s="9">
        <v>5.21</v>
      </c>
      <c r="O2336" s="10">
        <f>IF(AND(OR(H2336="APPROVED",H2336="SCHEDULED"),COUNTIFS(tblSource[EventID],F2336,tblSource[ReleaseStatus],"APPROVED")=1,COUNTIFS(Period_Status!$A$2:$A$8,G2336,Period_Status!$B$2:$B$8,"ActualClosed")=1,C2336&gt;EOMONTH(Settlement_Bridge!$C$2,0)),1,0)</f>
        <v>0</v>
      </c>
      <c r="P2336" s="2" t="s">
        <v>6602</v>
      </c>
    </row>
    <row r="2337" spans="1:16" x14ac:dyDescent="0.25">
      <c r="A2337" s="2" t="s">
        <v>6603</v>
      </c>
      <c r="B2337" s="2" t="s">
        <v>199</v>
      </c>
      <c r="C2337" s="8">
        <v>46284</v>
      </c>
      <c r="D2337" s="6">
        <v>46266</v>
      </c>
      <c r="E2337" s="2" t="s">
        <v>260</v>
      </c>
      <c r="F2337" s="2" t="s">
        <v>6604</v>
      </c>
      <c r="G2337" s="6">
        <v>46235</v>
      </c>
      <c r="H2337" s="2" t="s">
        <v>176</v>
      </c>
      <c r="I2337" s="2" t="s">
        <v>76</v>
      </c>
      <c r="J2337" s="9">
        <v>156795284.55284601</v>
      </c>
      <c r="K2337" s="7">
        <v>6.1299999999999999E-5</v>
      </c>
      <c r="L2337" s="9">
        <v>9611.5499999999993</v>
      </c>
      <c r="M2337" s="9">
        <v>9642.91</v>
      </c>
      <c r="N2337" s="9">
        <v>5.29</v>
      </c>
      <c r="O2337" s="10">
        <f>IF(AND(OR(H2337="APPROVED",H2337="SCHEDULED"),COUNTIFS(tblSource[EventID],F2337,tblSource[ReleaseStatus],"APPROVED")=1,COUNTIFS(Period_Status!$A$2:$A$8,G2337,Period_Status!$B$2:$B$8,"ActualClosed")=1,C2337&gt;EOMONTH(Settlement_Bridge!$C$2,0)),1,0)</f>
        <v>0</v>
      </c>
      <c r="P2337" s="2" t="s">
        <v>6605</v>
      </c>
    </row>
    <row r="2338" spans="1:16" x14ac:dyDescent="0.25">
      <c r="A2338" s="2" t="s">
        <v>6606</v>
      </c>
      <c r="B2338" s="2" t="s">
        <v>199</v>
      </c>
      <c r="C2338" s="8">
        <v>46285</v>
      </c>
      <c r="D2338" s="6">
        <v>46266</v>
      </c>
      <c r="E2338" s="2" t="s">
        <v>260</v>
      </c>
      <c r="F2338" s="2" t="s">
        <v>6607</v>
      </c>
      <c r="G2338" s="6">
        <v>46235</v>
      </c>
      <c r="H2338" s="2" t="s">
        <v>176</v>
      </c>
      <c r="I2338" s="2" t="s">
        <v>70</v>
      </c>
      <c r="J2338" s="9">
        <v>15101.415385</v>
      </c>
      <c r="K2338" s="7">
        <v>0.65100000000000002</v>
      </c>
      <c r="L2338" s="9">
        <v>9831.02</v>
      </c>
      <c r="M2338" s="9">
        <v>9815.92</v>
      </c>
      <c r="N2338" s="9">
        <v>5.41</v>
      </c>
      <c r="O2338" s="10">
        <f>IF(AND(OR(H2338="APPROVED",H2338="SCHEDULED"),COUNTIFS(tblSource[EventID],F2338,tblSource[ReleaseStatus],"APPROVED")=1,COUNTIFS(Period_Status!$A$2:$A$8,G2338,Period_Status!$B$2:$B$8,"ActualClosed")=1,C2338&gt;EOMONTH(Settlement_Bridge!$C$2,0)),1,0)</f>
        <v>0</v>
      </c>
      <c r="P2338" s="2" t="s">
        <v>6608</v>
      </c>
    </row>
    <row r="2339" spans="1:16" x14ac:dyDescent="0.25">
      <c r="A2339" s="2" t="s">
        <v>6609</v>
      </c>
      <c r="B2339" s="2" t="s">
        <v>199</v>
      </c>
      <c r="C2339" s="8">
        <v>46286</v>
      </c>
      <c r="D2339" s="6">
        <v>46266</v>
      </c>
      <c r="E2339" s="2" t="s">
        <v>260</v>
      </c>
      <c r="F2339" s="2" t="s">
        <v>6610</v>
      </c>
      <c r="G2339" s="6">
        <v>46235</v>
      </c>
      <c r="H2339" s="2" t="s">
        <v>176</v>
      </c>
      <c r="I2339" s="2" t="s">
        <v>39</v>
      </c>
      <c r="J2339" s="9">
        <v>9988.93</v>
      </c>
      <c r="K2339" s="7">
        <v>1</v>
      </c>
      <c r="L2339" s="9">
        <v>9988.93</v>
      </c>
      <c r="M2339" s="9">
        <v>9988.93</v>
      </c>
      <c r="N2339" s="9">
        <v>5.49</v>
      </c>
      <c r="O2339" s="10">
        <f>IF(AND(OR(H2339="APPROVED",H2339="SCHEDULED"),COUNTIFS(tblSource[EventID],F2339,tblSource[ReleaseStatus],"APPROVED")=1,COUNTIFS(Period_Status!$A$2:$A$8,G2339,Period_Status!$B$2:$B$8,"ActualClosed")=1,C2339&gt;EOMONTH(Settlement_Bridge!$C$2,0)),1,0)</f>
        <v>0</v>
      </c>
      <c r="P2339" s="2" t="s">
        <v>6611</v>
      </c>
    </row>
    <row r="2340" spans="1:16" x14ac:dyDescent="0.25">
      <c r="A2340" s="2" t="s">
        <v>6612</v>
      </c>
      <c r="B2340" s="2" t="s">
        <v>199</v>
      </c>
      <c r="C2340" s="8">
        <v>46287</v>
      </c>
      <c r="D2340" s="6">
        <v>46266</v>
      </c>
      <c r="E2340" s="2" t="s">
        <v>260</v>
      </c>
      <c r="F2340" s="2" t="s">
        <v>6613</v>
      </c>
      <c r="G2340" s="6">
        <v>46235</v>
      </c>
      <c r="H2340" s="2" t="s">
        <v>176</v>
      </c>
      <c r="I2340" s="2" t="s">
        <v>76</v>
      </c>
      <c r="J2340" s="9">
        <v>165234796.747967</v>
      </c>
      <c r="K2340" s="7">
        <v>6.1299999999999999E-5</v>
      </c>
      <c r="L2340" s="9">
        <v>10128.89</v>
      </c>
      <c r="M2340" s="9">
        <v>10161.94</v>
      </c>
      <c r="N2340" s="9">
        <v>5.57</v>
      </c>
      <c r="O2340" s="10">
        <f>IF(AND(OR(H2340="APPROVED",H2340="SCHEDULED"),COUNTIFS(tblSource[EventID],F2340,tblSource[ReleaseStatus],"APPROVED")=1,COUNTIFS(Period_Status!$A$2:$A$8,G2340,Period_Status!$B$2:$B$8,"ActualClosed")=1,C2340&gt;EOMONTH(Settlement_Bridge!$C$2,0)),1,0)</f>
        <v>0</v>
      </c>
      <c r="P2340" s="2" t="s">
        <v>6614</v>
      </c>
    </row>
    <row r="2341" spans="1:16" x14ac:dyDescent="0.25">
      <c r="A2341" s="2" t="s">
        <v>6615</v>
      </c>
      <c r="B2341" s="2" t="s">
        <v>199</v>
      </c>
      <c r="C2341" s="8">
        <v>46278</v>
      </c>
      <c r="D2341" s="6">
        <v>46266</v>
      </c>
      <c r="E2341" s="2" t="s">
        <v>260</v>
      </c>
      <c r="F2341" s="2" t="s">
        <v>6616</v>
      </c>
      <c r="G2341" s="6">
        <v>46235</v>
      </c>
      <c r="H2341" s="2" t="s">
        <v>176</v>
      </c>
      <c r="I2341" s="2" t="s">
        <v>70</v>
      </c>
      <c r="J2341" s="9">
        <v>6359.969231</v>
      </c>
      <c r="K2341" s="7">
        <v>0.65100000000000002</v>
      </c>
      <c r="L2341" s="9">
        <v>4140.34</v>
      </c>
      <c r="M2341" s="9">
        <v>4133.9799999999996</v>
      </c>
      <c r="N2341" s="9">
        <v>2.2799999999999998</v>
      </c>
      <c r="O2341" s="10">
        <f>IF(AND(OR(H2341="APPROVED",H2341="SCHEDULED"),COUNTIFS(tblSource[EventID],F2341,tblSource[ReleaseStatus],"APPROVED")=1,COUNTIFS(Period_Status!$A$2:$A$8,G2341,Period_Status!$B$2:$B$8,"ActualClosed")=1,C2341&gt;EOMONTH(Settlement_Bridge!$C$2,0)),1,0)</f>
        <v>0</v>
      </c>
      <c r="P2341" s="2" t="s">
        <v>6617</v>
      </c>
    </row>
    <row r="2342" spans="1:16" x14ac:dyDescent="0.25">
      <c r="A2342" s="2" t="s">
        <v>6618</v>
      </c>
      <c r="B2342" s="2" t="s">
        <v>199</v>
      </c>
      <c r="C2342" s="8">
        <v>46303</v>
      </c>
      <c r="D2342" s="6">
        <v>46296</v>
      </c>
      <c r="E2342" s="2" t="s">
        <v>260</v>
      </c>
      <c r="F2342" s="2" t="s">
        <v>6616</v>
      </c>
      <c r="G2342" s="6">
        <v>46235</v>
      </c>
      <c r="H2342" s="2" t="s">
        <v>176</v>
      </c>
      <c r="I2342" s="2" t="s">
        <v>70</v>
      </c>
      <c r="J2342" s="9">
        <v>9539.9538460000003</v>
      </c>
      <c r="K2342" s="7">
        <v>0.65500000000000003</v>
      </c>
      <c r="L2342" s="9">
        <v>6248.67</v>
      </c>
      <c r="M2342" s="9">
        <v>6200.97</v>
      </c>
      <c r="N2342" s="9">
        <v>3.44</v>
      </c>
      <c r="O2342" s="10">
        <f>IF(AND(OR(H2342="APPROVED",H2342="SCHEDULED"),COUNTIFS(tblSource[EventID],F2342,tblSource[ReleaseStatus],"APPROVED")=1,COUNTIFS(Period_Status!$A$2:$A$8,G2342,Period_Status!$B$2:$B$8,"ActualClosed")=1,C2342&gt;EOMONTH(Settlement_Bridge!$C$2,0)),1,0)</f>
        <v>0</v>
      </c>
      <c r="P2342" s="2" t="s">
        <v>6619</v>
      </c>
    </row>
    <row r="2343" spans="1:16" x14ac:dyDescent="0.25">
      <c r="A2343" s="2" t="s">
        <v>6620</v>
      </c>
      <c r="B2343" s="2" t="s">
        <v>199</v>
      </c>
      <c r="C2343" s="8">
        <v>46279</v>
      </c>
      <c r="D2343" s="6">
        <v>46266</v>
      </c>
      <c r="E2343" s="2" t="s">
        <v>260</v>
      </c>
      <c r="F2343" s="2" t="s">
        <v>6621</v>
      </c>
      <c r="G2343" s="6">
        <v>46235</v>
      </c>
      <c r="H2343" s="2" t="s">
        <v>176</v>
      </c>
      <c r="I2343" s="2" t="s">
        <v>39</v>
      </c>
      <c r="J2343" s="9">
        <v>4203.1840000000002</v>
      </c>
      <c r="K2343" s="7">
        <v>1</v>
      </c>
      <c r="L2343" s="9">
        <v>4203.18</v>
      </c>
      <c r="M2343" s="9">
        <v>4203.18</v>
      </c>
      <c r="N2343" s="9">
        <v>2.31</v>
      </c>
      <c r="O2343" s="10">
        <f>IF(AND(OR(H2343="APPROVED",H2343="SCHEDULED"),COUNTIFS(tblSource[EventID],F2343,tblSource[ReleaseStatus],"APPROVED")=1,COUNTIFS(Period_Status!$A$2:$A$8,G2343,Period_Status!$B$2:$B$8,"ActualClosed")=1,C2343&gt;EOMONTH(Settlement_Bridge!$C$2,0)),1,0)</f>
        <v>0</v>
      </c>
      <c r="P2343" s="2" t="s">
        <v>6622</v>
      </c>
    </row>
    <row r="2344" spans="1:16" x14ac:dyDescent="0.25">
      <c r="A2344" s="2" t="s">
        <v>6623</v>
      </c>
      <c r="B2344" s="2" t="s">
        <v>199</v>
      </c>
      <c r="C2344" s="8">
        <v>46304</v>
      </c>
      <c r="D2344" s="6">
        <v>46296</v>
      </c>
      <c r="E2344" s="2" t="s">
        <v>260</v>
      </c>
      <c r="F2344" s="2" t="s">
        <v>6621</v>
      </c>
      <c r="G2344" s="6">
        <v>46235</v>
      </c>
      <c r="H2344" s="2" t="s">
        <v>176</v>
      </c>
      <c r="I2344" s="2" t="s">
        <v>39</v>
      </c>
      <c r="J2344" s="9">
        <v>6304.7759999999998</v>
      </c>
      <c r="K2344" s="7">
        <v>1</v>
      </c>
      <c r="L2344" s="9">
        <v>6304.78</v>
      </c>
      <c r="M2344" s="9">
        <v>6304.78</v>
      </c>
      <c r="N2344" s="9">
        <v>3.47</v>
      </c>
      <c r="O2344" s="10">
        <f>IF(AND(OR(H2344="APPROVED",H2344="SCHEDULED"),COUNTIFS(tblSource[EventID],F2344,tblSource[ReleaseStatus],"APPROVED")=1,COUNTIFS(Period_Status!$A$2:$A$8,G2344,Period_Status!$B$2:$B$8,"ActualClosed")=1,C2344&gt;EOMONTH(Settlement_Bridge!$C$2,0)),1,0)</f>
        <v>0</v>
      </c>
      <c r="P2344" s="2" t="s">
        <v>6624</v>
      </c>
    </row>
    <row r="2345" spans="1:16" x14ac:dyDescent="0.25">
      <c r="A2345" s="2" t="s">
        <v>6625</v>
      </c>
      <c r="B2345" s="2" t="s">
        <v>199</v>
      </c>
      <c r="C2345" s="8">
        <v>46259</v>
      </c>
      <c r="D2345" s="6">
        <v>46235</v>
      </c>
      <c r="E2345" s="2" t="s">
        <v>260</v>
      </c>
      <c r="F2345" s="2" t="s">
        <v>6626</v>
      </c>
      <c r="G2345" s="6">
        <v>46235</v>
      </c>
      <c r="H2345" s="2" t="s">
        <v>71</v>
      </c>
      <c r="I2345" s="2" t="s">
        <v>76</v>
      </c>
      <c r="J2345" s="9">
        <v>173658536.58536601</v>
      </c>
      <c r="K2345" s="7">
        <v>6.1500000000000004E-5</v>
      </c>
      <c r="L2345" s="9">
        <v>10680</v>
      </c>
      <c r="M2345" s="9">
        <v>10680</v>
      </c>
      <c r="N2345" s="9">
        <v>5.87</v>
      </c>
      <c r="O2345" s="10">
        <f>IF(AND(OR(H2345="APPROVED",H2345="SCHEDULED"),COUNTIFS(tblSource[EventID],F2345,tblSource[ReleaseStatus],"APPROVED")=1,COUNTIFS(Period_Status!$A$2:$A$8,G2345,Period_Status!$B$2:$B$8,"ActualClosed")=1,C2345&gt;EOMONTH(Settlement_Bridge!$C$2,0)),1,0)</f>
        <v>0</v>
      </c>
      <c r="P2345" s="2" t="s">
        <v>6627</v>
      </c>
    </row>
    <row r="2346" spans="1:16" x14ac:dyDescent="0.25">
      <c r="A2346" s="2" t="s">
        <v>6628</v>
      </c>
      <c r="B2346" s="2" t="s">
        <v>199</v>
      </c>
      <c r="C2346" s="8">
        <v>46260</v>
      </c>
      <c r="D2346" s="6">
        <v>46235</v>
      </c>
      <c r="E2346" s="2" t="s">
        <v>260</v>
      </c>
      <c r="F2346" s="2" t="s">
        <v>6629</v>
      </c>
      <c r="G2346" s="6">
        <v>46235</v>
      </c>
      <c r="H2346" s="2" t="s">
        <v>71</v>
      </c>
      <c r="I2346" s="2" t="s">
        <v>70</v>
      </c>
      <c r="J2346" s="9">
        <v>16696.938461999998</v>
      </c>
      <c r="K2346" s="7">
        <v>0.65</v>
      </c>
      <c r="L2346" s="9">
        <v>10853.01</v>
      </c>
      <c r="M2346" s="9">
        <v>10853.01</v>
      </c>
      <c r="N2346" s="9">
        <v>5.97</v>
      </c>
      <c r="O2346" s="10">
        <f>IF(AND(OR(H2346="APPROVED",H2346="SCHEDULED"),COUNTIFS(tblSource[EventID],F2346,tblSource[ReleaseStatus],"APPROVED")=1,COUNTIFS(Period_Status!$A$2:$A$8,G2346,Period_Status!$B$2:$B$8,"ActualClosed")=1,C2346&gt;EOMONTH(Settlement_Bridge!$C$2,0)),1,0)</f>
        <v>0</v>
      </c>
      <c r="P2346" s="2" t="s">
        <v>6630</v>
      </c>
    </row>
    <row r="2347" spans="1:16" x14ac:dyDescent="0.25">
      <c r="A2347" s="2" t="s">
        <v>6631</v>
      </c>
      <c r="B2347" s="2" t="s">
        <v>199</v>
      </c>
      <c r="C2347" s="8">
        <v>46251</v>
      </c>
      <c r="D2347" s="6">
        <v>46235</v>
      </c>
      <c r="E2347" s="2" t="s">
        <v>260</v>
      </c>
      <c r="F2347" s="2" t="s">
        <v>6632</v>
      </c>
      <c r="G2347" s="6">
        <v>46235</v>
      </c>
      <c r="H2347" s="2" t="s">
        <v>71</v>
      </c>
      <c r="I2347" s="2" t="s">
        <v>39</v>
      </c>
      <c r="J2347" s="9">
        <v>4410.4080000000004</v>
      </c>
      <c r="K2347" s="7">
        <v>1</v>
      </c>
      <c r="L2347" s="9">
        <v>4410.41</v>
      </c>
      <c r="M2347" s="9">
        <v>4410.41</v>
      </c>
      <c r="N2347" s="9">
        <v>2.4300000000000002</v>
      </c>
      <c r="O2347" s="10">
        <f>IF(AND(OR(H2347="APPROVED",H2347="SCHEDULED"),COUNTIFS(tblSource[EventID],F2347,tblSource[ReleaseStatus],"APPROVED")=1,COUNTIFS(Period_Status!$A$2:$A$8,G2347,Period_Status!$B$2:$B$8,"ActualClosed")=1,C2347&gt;EOMONTH(Settlement_Bridge!$C$2,0)),1,0)</f>
        <v>0</v>
      </c>
      <c r="P2347" s="2" t="s">
        <v>6633</v>
      </c>
    </row>
    <row r="2348" spans="1:16" x14ac:dyDescent="0.25">
      <c r="A2348" s="2" t="s">
        <v>6634</v>
      </c>
      <c r="B2348" s="2" t="s">
        <v>199</v>
      </c>
      <c r="C2348" s="8">
        <v>46276</v>
      </c>
      <c r="D2348" s="6">
        <v>46266</v>
      </c>
      <c r="E2348" s="2" t="s">
        <v>260</v>
      </c>
      <c r="F2348" s="2" t="s">
        <v>6632</v>
      </c>
      <c r="G2348" s="6">
        <v>46235</v>
      </c>
      <c r="H2348" s="2" t="s">
        <v>176</v>
      </c>
      <c r="I2348" s="2" t="s">
        <v>39</v>
      </c>
      <c r="J2348" s="9">
        <v>6615.6120000000001</v>
      </c>
      <c r="K2348" s="7">
        <v>1</v>
      </c>
      <c r="L2348" s="9">
        <v>6615.61</v>
      </c>
      <c r="M2348" s="9">
        <v>6615.61</v>
      </c>
      <c r="N2348" s="9">
        <v>3.64</v>
      </c>
      <c r="O2348" s="10">
        <f>IF(AND(OR(H2348="APPROVED",H2348="SCHEDULED"),COUNTIFS(tblSource[EventID],F2348,tblSource[ReleaseStatus],"APPROVED")=1,COUNTIFS(Period_Status!$A$2:$A$8,G2348,Period_Status!$B$2:$B$8,"ActualClosed")=1,C2348&gt;EOMONTH(Settlement_Bridge!$C$2,0)),1,0)</f>
        <v>0</v>
      </c>
      <c r="P2348" s="2" t="s">
        <v>6635</v>
      </c>
    </row>
    <row r="2349" spans="1:16" x14ac:dyDescent="0.25">
      <c r="A2349" s="2" t="s">
        <v>6636</v>
      </c>
      <c r="B2349" s="2" t="s">
        <v>199</v>
      </c>
      <c r="C2349" s="8">
        <v>46262</v>
      </c>
      <c r="D2349" s="6">
        <v>46235</v>
      </c>
      <c r="E2349" s="2" t="s">
        <v>260</v>
      </c>
      <c r="F2349" s="2" t="s">
        <v>6637</v>
      </c>
      <c r="G2349" s="6">
        <v>46235</v>
      </c>
      <c r="H2349" s="2" t="s">
        <v>71</v>
      </c>
      <c r="I2349" s="2" t="s">
        <v>76</v>
      </c>
      <c r="J2349" s="9">
        <v>-182098048.78048801</v>
      </c>
      <c r="K2349" s="7">
        <v>6.1500000000000004E-5</v>
      </c>
      <c r="L2349" s="9">
        <v>-11199.03</v>
      </c>
      <c r="M2349" s="9">
        <v>-11199.03</v>
      </c>
      <c r="N2349" s="9">
        <v>0</v>
      </c>
      <c r="O2349" s="10">
        <f>IF(AND(OR(H2349="APPROVED",H2349="SCHEDULED"),COUNTIFS(tblSource[EventID],F2349,tblSource[ReleaseStatus],"APPROVED")=1,COUNTIFS(Period_Status!$A$2:$A$8,G2349,Period_Status!$B$2:$B$8,"ActualClosed")=1,C2349&gt;EOMONTH(Settlement_Bridge!$C$2,0)),1,0)</f>
        <v>0</v>
      </c>
      <c r="P2349" s="2" t="s">
        <v>6638</v>
      </c>
    </row>
    <row r="2350" spans="1:16" x14ac:dyDescent="0.25">
      <c r="A2350" s="2" t="s">
        <v>6639</v>
      </c>
      <c r="B2350" s="2" t="s">
        <v>199</v>
      </c>
      <c r="C2350" s="8">
        <v>46263</v>
      </c>
      <c r="D2350" s="6">
        <v>46235</v>
      </c>
      <c r="E2350" s="2" t="s">
        <v>260</v>
      </c>
      <c r="F2350" s="2" t="s">
        <v>6640</v>
      </c>
      <c r="G2350" s="6">
        <v>46235</v>
      </c>
      <c r="H2350" s="2" t="s">
        <v>71</v>
      </c>
      <c r="I2350" s="2" t="s">
        <v>70</v>
      </c>
      <c r="J2350" s="9">
        <v>17495.446154000001</v>
      </c>
      <c r="K2350" s="7">
        <v>0.65</v>
      </c>
      <c r="L2350" s="9">
        <v>11372.04</v>
      </c>
      <c r="M2350" s="9">
        <v>11372.04</v>
      </c>
      <c r="N2350" s="9">
        <v>6.25</v>
      </c>
      <c r="O2350" s="10">
        <f>IF(AND(OR(H2350="APPROVED",H2350="SCHEDULED"),COUNTIFS(tblSource[EventID],F2350,tblSource[ReleaseStatus],"APPROVED")=1,COUNTIFS(Period_Status!$A$2:$A$8,G2350,Period_Status!$B$2:$B$8,"ActualClosed")=1,C2350&gt;EOMONTH(Settlement_Bridge!$C$2,0)),1,0)</f>
        <v>0</v>
      </c>
      <c r="P2350" s="2" t="s">
        <v>6641</v>
      </c>
    </row>
    <row r="2351" spans="1:16" x14ac:dyDescent="0.25">
      <c r="A2351" s="2" t="s">
        <v>6642</v>
      </c>
      <c r="B2351" s="2" t="s">
        <v>199</v>
      </c>
      <c r="C2351" s="8">
        <v>46264</v>
      </c>
      <c r="D2351" s="6">
        <v>46235</v>
      </c>
      <c r="E2351" s="2" t="s">
        <v>260</v>
      </c>
      <c r="F2351" s="2" t="s">
        <v>6643</v>
      </c>
      <c r="G2351" s="6">
        <v>46235</v>
      </c>
      <c r="H2351" s="2" t="s">
        <v>71</v>
      </c>
      <c r="I2351" s="2" t="s">
        <v>39</v>
      </c>
      <c r="J2351" s="9">
        <v>11545.05</v>
      </c>
      <c r="K2351" s="7">
        <v>1</v>
      </c>
      <c r="L2351" s="9">
        <v>11545.05</v>
      </c>
      <c r="M2351" s="9">
        <v>11545.05</v>
      </c>
      <c r="N2351" s="9">
        <v>6.35</v>
      </c>
      <c r="O2351" s="10">
        <f>IF(AND(OR(H2351="APPROVED",H2351="SCHEDULED"),COUNTIFS(tblSource[EventID],F2351,tblSource[ReleaseStatus],"APPROVED")=1,COUNTIFS(Period_Status!$A$2:$A$8,G2351,Period_Status!$B$2:$B$8,"ActualClosed")=1,C2351&gt;EOMONTH(Settlement_Bridge!$C$2,0)),1,0)</f>
        <v>0</v>
      </c>
      <c r="P2351" s="2" t="s">
        <v>6644</v>
      </c>
    </row>
    <row r="2352" spans="1:16" x14ac:dyDescent="0.25">
      <c r="A2352" s="2" t="s">
        <v>6645</v>
      </c>
      <c r="B2352" s="2" t="s">
        <v>199</v>
      </c>
      <c r="C2352" s="8">
        <v>46265</v>
      </c>
      <c r="D2352" s="6">
        <v>46235</v>
      </c>
      <c r="E2352" s="2" t="s">
        <v>260</v>
      </c>
      <c r="F2352" s="2" t="s">
        <v>6646</v>
      </c>
      <c r="G2352" s="6">
        <v>46235</v>
      </c>
      <c r="H2352" s="2" t="s">
        <v>71</v>
      </c>
      <c r="I2352" s="2" t="s">
        <v>76</v>
      </c>
      <c r="J2352" s="9">
        <v>190537560.97560999</v>
      </c>
      <c r="K2352" s="7">
        <v>6.1500000000000004E-5</v>
      </c>
      <c r="L2352" s="9">
        <v>11718.06</v>
      </c>
      <c r="M2352" s="9">
        <v>11718.06</v>
      </c>
      <c r="N2352" s="9">
        <v>6.44</v>
      </c>
      <c r="O2352" s="10">
        <f>IF(AND(OR(H2352="APPROVED",H2352="SCHEDULED"),COUNTIFS(tblSource[EventID],F2352,tblSource[ReleaseStatus],"APPROVED")=1,COUNTIFS(Period_Status!$A$2:$A$8,G2352,Period_Status!$B$2:$B$8,"ActualClosed")=1,C2352&gt;EOMONTH(Settlement_Bridge!$C$2,0)),1,0)</f>
        <v>0</v>
      </c>
      <c r="P2352" s="2" t="s">
        <v>6647</v>
      </c>
    </row>
    <row r="2353" spans="1:16" x14ac:dyDescent="0.25">
      <c r="A2353" s="2" t="s">
        <v>6648</v>
      </c>
      <c r="B2353" s="2" t="s">
        <v>199</v>
      </c>
      <c r="C2353" s="8">
        <v>46266</v>
      </c>
      <c r="D2353" s="6">
        <v>46266</v>
      </c>
      <c r="E2353" s="2" t="s">
        <v>260</v>
      </c>
      <c r="F2353" s="2" t="s">
        <v>6649</v>
      </c>
      <c r="G2353" s="6">
        <v>46235</v>
      </c>
      <c r="H2353" s="2" t="s">
        <v>176</v>
      </c>
      <c r="I2353" s="2" t="s">
        <v>70</v>
      </c>
      <c r="J2353" s="9">
        <v>18293.953846</v>
      </c>
      <c r="K2353" s="7">
        <v>0.65100000000000002</v>
      </c>
      <c r="L2353" s="9">
        <v>11909.36</v>
      </c>
      <c r="M2353" s="9">
        <v>11891.07</v>
      </c>
      <c r="N2353" s="9">
        <v>6.55</v>
      </c>
      <c r="O2353" s="10">
        <f>IF(AND(OR(H2353="APPROVED",H2353="SCHEDULED"),COUNTIFS(tblSource[EventID],F2353,tblSource[ReleaseStatus],"APPROVED")=1,COUNTIFS(Period_Status!$A$2:$A$8,G2353,Period_Status!$B$2:$B$8,"ActualClosed")=1,C2353&gt;EOMONTH(Settlement_Bridge!$C$2,0)),1,0)</f>
        <v>0</v>
      </c>
      <c r="P2353" s="2" t="s">
        <v>6650</v>
      </c>
    </row>
    <row r="2354" spans="1:16" x14ac:dyDescent="0.25">
      <c r="A2354" s="2" t="s">
        <v>6651</v>
      </c>
      <c r="B2354" s="2" t="s">
        <v>199</v>
      </c>
      <c r="C2354" s="8">
        <v>46257</v>
      </c>
      <c r="D2354" s="6">
        <v>46235</v>
      </c>
      <c r="E2354" s="2" t="s">
        <v>260</v>
      </c>
      <c r="F2354" s="2" t="s">
        <v>6652</v>
      </c>
      <c r="G2354" s="6">
        <v>46235</v>
      </c>
      <c r="H2354" s="2" t="s">
        <v>71</v>
      </c>
      <c r="I2354" s="2" t="s">
        <v>39</v>
      </c>
      <c r="J2354" s="9">
        <v>4825.6319999999996</v>
      </c>
      <c r="K2354" s="7">
        <v>1</v>
      </c>
      <c r="L2354" s="9">
        <v>4825.63</v>
      </c>
      <c r="M2354" s="9">
        <v>4825.63</v>
      </c>
      <c r="N2354" s="9">
        <v>2.65</v>
      </c>
      <c r="O2354" s="10">
        <f>IF(AND(OR(H2354="APPROVED",H2354="SCHEDULED"),COUNTIFS(tblSource[EventID],F2354,tblSource[ReleaseStatus],"APPROVED")=1,COUNTIFS(Period_Status!$A$2:$A$8,G2354,Period_Status!$B$2:$B$8,"ActualClosed")=1,C2354&gt;EOMONTH(Settlement_Bridge!$C$2,0)),1,0)</f>
        <v>0</v>
      </c>
      <c r="P2354" s="2" t="s">
        <v>6653</v>
      </c>
    </row>
    <row r="2355" spans="1:16" x14ac:dyDescent="0.25">
      <c r="A2355" s="2" t="s">
        <v>6654</v>
      </c>
      <c r="B2355" s="2" t="s">
        <v>199</v>
      </c>
      <c r="C2355" s="8">
        <v>46282</v>
      </c>
      <c r="D2355" s="6">
        <v>46266</v>
      </c>
      <c r="E2355" s="2" t="s">
        <v>260</v>
      </c>
      <c r="F2355" s="2" t="s">
        <v>6652</v>
      </c>
      <c r="G2355" s="6">
        <v>46235</v>
      </c>
      <c r="H2355" s="2" t="s">
        <v>176</v>
      </c>
      <c r="I2355" s="2" t="s">
        <v>39</v>
      </c>
      <c r="J2355" s="9">
        <v>7238.4480000000003</v>
      </c>
      <c r="K2355" s="7">
        <v>1</v>
      </c>
      <c r="L2355" s="9">
        <v>7238.45</v>
      </c>
      <c r="M2355" s="9">
        <v>7238.45</v>
      </c>
      <c r="N2355" s="9">
        <v>3.98</v>
      </c>
      <c r="O2355" s="10">
        <f>IF(AND(OR(H2355="APPROVED",H2355="SCHEDULED"),COUNTIFS(tblSource[EventID],F2355,tblSource[ReleaseStatus],"APPROVED")=1,COUNTIFS(Period_Status!$A$2:$A$8,G2355,Period_Status!$B$2:$B$8,"ActualClosed")=1,C2355&gt;EOMONTH(Settlement_Bridge!$C$2,0)),1,0)</f>
        <v>0</v>
      </c>
      <c r="P2355" s="2" t="s">
        <v>6655</v>
      </c>
    </row>
    <row r="2356" spans="1:16" x14ac:dyDescent="0.25">
      <c r="A2356" s="2" t="s">
        <v>6656</v>
      </c>
      <c r="B2356" s="2" t="s">
        <v>199</v>
      </c>
      <c r="C2356" s="8">
        <v>46258</v>
      </c>
      <c r="D2356" s="6">
        <v>46235</v>
      </c>
      <c r="E2356" s="2" t="s">
        <v>260</v>
      </c>
      <c r="F2356" s="2" t="s">
        <v>6657</v>
      </c>
      <c r="G2356" s="6">
        <v>46235</v>
      </c>
      <c r="H2356" s="2" t="s">
        <v>71</v>
      </c>
      <c r="I2356" s="2" t="s">
        <v>76</v>
      </c>
      <c r="J2356" s="9">
        <v>79590829.268292993</v>
      </c>
      <c r="K2356" s="7">
        <v>6.1500000000000004E-5</v>
      </c>
      <c r="L2356" s="9">
        <v>4894.84</v>
      </c>
      <c r="M2356" s="9">
        <v>4894.84</v>
      </c>
      <c r="N2356" s="9">
        <v>2.69</v>
      </c>
      <c r="O2356" s="10">
        <f>IF(AND(OR(H2356="APPROVED",H2356="SCHEDULED"),COUNTIFS(tblSource[EventID],F2356,tblSource[ReleaseStatus],"APPROVED")=1,COUNTIFS(Period_Status!$A$2:$A$8,G2356,Period_Status!$B$2:$B$8,"ActualClosed")=1,C2356&gt;EOMONTH(Settlement_Bridge!$C$2,0)),1,0)</f>
        <v>0</v>
      </c>
      <c r="P2356" s="2" t="s">
        <v>6658</v>
      </c>
    </row>
    <row r="2357" spans="1:16" x14ac:dyDescent="0.25">
      <c r="A2357" s="2" t="s">
        <v>6659</v>
      </c>
      <c r="B2357" s="2" t="s">
        <v>199</v>
      </c>
      <c r="C2357" s="8">
        <v>46283</v>
      </c>
      <c r="D2357" s="6">
        <v>46266</v>
      </c>
      <c r="E2357" s="2" t="s">
        <v>260</v>
      </c>
      <c r="F2357" s="2" t="s">
        <v>6657</v>
      </c>
      <c r="G2357" s="6">
        <v>46235</v>
      </c>
      <c r="H2357" s="2" t="s">
        <v>176</v>
      </c>
      <c r="I2357" s="2" t="s">
        <v>76</v>
      </c>
      <c r="J2357" s="9">
        <v>119386243.902439</v>
      </c>
      <c r="K2357" s="7">
        <v>6.1299999999999999E-5</v>
      </c>
      <c r="L2357" s="9">
        <v>7318.38</v>
      </c>
      <c r="M2357" s="9">
        <v>7342.25</v>
      </c>
      <c r="N2357" s="9">
        <v>4.03</v>
      </c>
      <c r="O2357" s="10">
        <f>IF(AND(OR(H2357="APPROVED",H2357="SCHEDULED"),COUNTIFS(tblSource[EventID],F2357,tblSource[ReleaseStatus],"APPROVED")=1,COUNTIFS(Period_Status!$A$2:$A$8,G2357,Period_Status!$B$2:$B$8,"ActualClosed")=1,C2357&gt;EOMONTH(Settlement_Bridge!$C$2,0)),1,0)</f>
        <v>0</v>
      </c>
      <c r="P2357" s="2" t="s">
        <v>6660</v>
      </c>
    </row>
    <row r="2358" spans="1:16" x14ac:dyDescent="0.25">
      <c r="A2358" s="2" t="s">
        <v>6661</v>
      </c>
      <c r="B2358" s="2" t="s">
        <v>199</v>
      </c>
      <c r="C2358" s="8">
        <v>46269</v>
      </c>
      <c r="D2358" s="6">
        <v>46266</v>
      </c>
      <c r="E2358" s="2" t="s">
        <v>260</v>
      </c>
      <c r="F2358" s="2" t="s">
        <v>6662</v>
      </c>
      <c r="G2358" s="6">
        <v>46235</v>
      </c>
      <c r="H2358" s="2" t="s">
        <v>176</v>
      </c>
      <c r="I2358" s="2" t="s">
        <v>70</v>
      </c>
      <c r="J2358" s="9">
        <v>19092.461538</v>
      </c>
      <c r="K2358" s="7">
        <v>0.65100000000000002</v>
      </c>
      <c r="L2358" s="9">
        <v>12429.19</v>
      </c>
      <c r="M2358" s="9">
        <v>12410.1</v>
      </c>
      <c r="N2358" s="9">
        <v>6.84</v>
      </c>
      <c r="O2358" s="10">
        <f>IF(AND(OR(H2358="APPROVED",H2358="SCHEDULED"),COUNTIFS(tblSource[EventID],F2358,tblSource[ReleaseStatus],"APPROVED")=1,COUNTIFS(Period_Status!$A$2:$A$8,G2358,Period_Status!$B$2:$B$8,"ActualClosed")=1,C2358&gt;EOMONTH(Settlement_Bridge!$C$2,0)),1,0)</f>
        <v>0</v>
      </c>
      <c r="P2358" s="2" t="s">
        <v>6663</v>
      </c>
    </row>
    <row r="2359" spans="1:16" x14ac:dyDescent="0.25">
      <c r="A2359" s="2" t="s">
        <v>6664</v>
      </c>
      <c r="B2359" s="2" t="s">
        <v>199</v>
      </c>
      <c r="C2359" s="8">
        <v>46270</v>
      </c>
      <c r="D2359" s="6">
        <v>46266</v>
      </c>
      <c r="E2359" s="2" t="s">
        <v>260</v>
      </c>
      <c r="F2359" s="2" t="s">
        <v>6665</v>
      </c>
      <c r="G2359" s="6">
        <v>46235</v>
      </c>
      <c r="H2359" s="2" t="s">
        <v>176</v>
      </c>
      <c r="I2359" s="2" t="s">
        <v>39</v>
      </c>
      <c r="J2359" s="9">
        <v>12583.11</v>
      </c>
      <c r="K2359" s="7">
        <v>1</v>
      </c>
      <c r="L2359" s="9">
        <v>12583.11</v>
      </c>
      <c r="M2359" s="9">
        <v>12583.11</v>
      </c>
      <c r="N2359" s="9">
        <v>6.92</v>
      </c>
      <c r="O2359" s="10">
        <f>IF(AND(OR(H2359="APPROVED",H2359="SCHEDULED"),COUNTIFS(tblSource[EventID],F2359,tblSource[ReleaseStatus],"APPROVED")=1,COUNTIFS(Period_Status!$A$2:$A$8,G2359,Period_Status!$B$2:$B$8,"ActualClosed")=1,C2359&gt;EOMONTH(Settlement_Bridge!$C$2,0)),1,0)</f>
        <v>0</v>
      </c>
      <c r="P2359" s="2" t="s">
        <v>6666</v>
      </c>
    </row>
    <row r="2360" spans="1:16" x14ac:dyDescent="0.25">
      <c r="A2360" s="2" t="s">
        <v>6667</v>
      </c>
      <c r="B2360" s="2" t="s">
        <v>199</v>
      </c>
      <c r="C2360" s="8">
        <v>46261</v>
      </c>
      <c r="D2360" s="6">
        <v>46235</v>
      </c>
      <c r="E2360" s="2" t="s">
        <v>260</v>
      </c>
      <c r="F2360" s="2" t="s">
        <v>6668</v>
      </c>
      <c r="G2360" s="6">
        <v>46235</v>
      </c>
      <c r="H2360" s="2" t="s">
        <v>71</v>
      </c>
      <c r="I2360" s="2" t="s">
        <v>76</v>
      </c>
      <c r="J2360" s="9">
        <v>82966634.146341994</v>
      </c>
      <c r="K2360" s="7">
        <v>6.1500000000000004E-5</v>
      </c>
      <c r="L2360" s="9">
        <v>5102.45</v>
      </c>
      <c r="M2360" s="9">
        <v>5102.45</v>
      </c>
      <c r="N2360" s="9">
        <v>2.81</v>
      </c>
      <c r="O2360" s="10">
        <f>IF(AND(OR(H2360="APPROVED",H2360="SCHEDULED"),COUNTIFS(tblSource[EventID],F2360,tblSource[ReleaseStatus],"APPROVED")=1,COUNTIFS(Period_Status!$A$2:$A$8,G2360,Period_Status!$B$2:$B$8,"ActualClosed")=1,C2360&gt;EOMONTH(Settlement_Bridge!$C$2,0)),1,0)</f>
        <v>0</v>
      </c>
      <c r="P2360" s="2" t="s">
        <v>6669</v>
      </c>
    </row>
    <row r="2361" spans="1:16" x14ac:dyDescent="0.25">
      <c r="A2361" s="2" t="s">
        <v>6670</v>
      </c>
      <c r="B2361" s="2" t="s">
        <v>199</v>
      </c>
      <c r="C2361" s="8">
        <v>46286</v>
      </c>
      <c r="D2361" s="6">
        <v>46266</v>
      </c>
      <c r="E2361" s="2" t="s">
        <v>260</v>
      </c>
      <c r="F2361" s="2" t="s">
        <v>6668</v>
      </c>
      <c r="G2361" s="6">
        <v>46235</v>
      </c>
      <c r="H2361" s="2" t="s">
        <v>176</v>
      </c>
      <c r="I2361" s="2" t="s">
        <v>76</v>
      </c>
      <c r="J2361" s="9">
        <v>124449951.219512</v>
      </c>
      <c r="K2361" s="7">
        <v>6.1299999999999999E-5</v>
      </c>
      <c r="L2361" s="9">
        <v>7628.78</v>
      </c>
      <c r="M2361" s="9">
        <v>7653.67</v>
      </c>
      <c r="N2361" s="9">
        <v>4.2</v>
      </c>
      <c r="O2361" s="10">
        <f>IF(AND(OR(H2361="APPROVED",H2361="SCHEDULED"),COUNTIFS(tblSource[EventID],F2361,tblSource[ReleaseStatus],"APPROVED")=1,COUNTIFS(Period_Status!$A$2:$A$8,G2361,Period_Status!$B$2:$B$8,"ActualClosed")=1,C2361&gt;EOMONTH(Settlement_Bridge!$C$2,0)),1,0)</f>
        <v>0</v>
      </c>
      <c r="P2361" s="2" t="s">
        <v>6671</v>
      </c>
    </row>
    <row r="2362" spans="1:16" x14ac:dyDescent="0.25">
      <c r="A2362" s="2" t="s">
        <v>6672</v>
      </c>
      <c r="B2362" s="2" t="s">
        <v>199</v>
      </c>
      <c r="C2362" s="8">
        <v>46272</v>
      </c>
      <c r="D2362" s="6">
        <v>46266</v>
      </c>
      <c r="E2362" s="2" t="s">
        <v>260</v>
      </c>
      <c r="F2362" s="2" t="s">
        <v>6673</v>
      </c>
      <c r="G2362" s="6">
        <v>46235</v>
      </c>
      <c r="H2362" s="2" t="s">
        <v>176</v>
      </c>
      <c r="I2362" s="2" t="s">
        <v>70</v>
      </c>
      <c r="J2362" s="9">
        <v>19890.969230999999</v>
      </c>
      <c r="K2362" s="7">
        <v>0.65100000000000002</v>
      </c>
      <c r="L2362" s="9">
        <v>12949.02</v>
      </c>
      <c r="M2362" s="9">
        <v>12929.13</v>
      </c>
      <c r="N2362" s="9">
        <v>7.12</v>
      </c>
      <c r="O2362" s="10">
        <f>IF(AND(OR(H2362="APPROVED",H2362="SCHEDULED"),COUNTIFS(tblSource[EventID],F2362,tblSource[ReleaseStatus],"APPROVED")=1,COUNTIFS(Period_Status!$A$2:$A$8,G2362,Period_Status!$B$2:$B$8,"ActualClosed")=1,C2362&gt;EOMONTH(Settlement_Bridge!$C$2,0)),1,0)</f>
        <v>0</v>
      </c>
      <c r="P2362" s="2" t="s">
        <v>6674</v>
      </c>
    </row>
    <row r="2363" spans="1:16" x14ac:dyDescent="0.25">
      <c r="A2363" s="2" t="s">
        <v>6675</v>
      </c>
      <c r="B2363" s="2" t="s">
        <v>199</v>
      </c>
      <c r="C2363" s="8">
        <v>46273</v>
      </c>
      <c r="D2363" s="6">
        <v>46266</v>
      </c>
      <c r="E2363" s="2" t="s">
        <v>260</v>
      </c>
      <c r="F2363" s="2" t="s">
        <v>6676</v>
      </c>
      <c r="G2363" s="6">
        <v>46235</v>
      </c>
      <c r="H2363" s="2" t="s">
        <v>176</v>
      </c>
      <c r="I2363" s="2" t="s">
        <v>39</v>
      </c>
      <c r="J2363" s="9">
        <v>13102.14</v>
      </c>
      <c r="K2363" s="7">
        <v>1</v>
      </c>
      <c r="L2363" s="9">
        <v>13102.14</v>
      </c>
      <c r="M2363" s="9">
        <v>13102.14</v>
      </c>
      <c r="N2363" s="9">
        <v>7.21</v>
      </c>
      <c r="O2363" s="10">
        <f>IF(AND(OR(H2363="APPROVED",H2363="SCHEDULED"),COUNTIFS(tblSource[EventID],F2363,tblSource[ReleaseStatus],"APPROVED")=1,COUNTIFS(Period_Status!$A$2:$A$8,G2363,Period_Status!$B$2:$B$8,"ActualClosed")=1,C2363&gt;EOMONTH(Settlement_Bridge!$C$2,0)),1,0)</f>
        <v>0</v>
      </c>
      <c r="P2363" s="2" t="s">
        <v>6677</v>
      </c>
    </row>
    <row r="2364" spans="1:16" x14ac:dyDescent="0.25">
      <c r="A2364" s="2" t="s">
        <v>6678</v>
      </c>
      <c r="B2364" s="2" t="s">
        <v>199</v>
      </c>
      <c r="C2364" s="8">
        <v>46274</v>
      </c>
      <c r="D2364" s="6">
        <v>46266</v>
      </c>
      <c r="E2364" s="2" t="s">
        <v>260</v>
      </c>
      <c r="F2364" s="2" t="s">
        <v>6679</v>
      </c>
      <c r="G2364" s="6">
        <v>46235</v>
      </c>
      <c r="H2364" s="2" t="s">
        <v>176</v>
      </c>
      <c r="I2364" s="2" t="s">
        <v>76</v>
      </c>
      <c r="J2364" s="9">
        <v>215856097.560976</v>
      </c>
      <c r="K2364" s="7">
        <v>6.1299999999999999E-5</v>
      </c>
      <c r="L2364" s="9">
        <v>13231.98</v>
      </c>
      <c r="M2364" s="9">
        <v>13275.15</v>
      </c>
      <c r="N2364" s="9">
        <v>7.28</v>
      </c>
      <c r="O2364" s="10">
        <f>IF(AND(OR(H2364="APPROVED",H2364="SCHEDULED"),COUNTIFS(tblSource[EventID],F2364,tblSource[ReleaseStatus],"APPROVED")=1,COUNTIFS(Period_Status!$A$2:$A$8,G2364,Period_Status!$B$2:$B$8,"ActualClosed")=1,C2364&gt;EOMONTH(Settlement_Bridge!$C$2,0)),1,0)</f>
        <v>0</v>
      </c>
      <c r="P2364" s="2" t="s">
        <v>6680</v>
      </c>
    </row>
    <row r="2365" spans="1:16" x14ac:dyDescent="0.25">
      <c r="A2365" s="2" t="s">
        <v>6681</v>
      </c>
      <c r="B2365" s="2" t="s">
        <v>199</v>
      </c>
      <c r="C2365" s="8">
        <v>46275</v>
      </c>
      <c r="D2365" s="6">
        <v>46266</v>
      </c>
      <c r="E2365" s="2" t="s">
        <v>260</v>
      </c>
      <c r="F2365" s="2" t="s">
        <v>6682</v>
      </c>
      <c r="G2365" s="6">
        <v>46235</v>
      </c>
      <c r="H2365" s="2" t="s">
        <v>176</v>
      </c>
      <c r="I2365" s="2" t="s">
        <v>70</v>
      </c>
      <c r="J2365" s="9">
        <v>20689.476922999998</v>
      </c>
      <c r="K2365" s="7">
        <v>0.65100000000000002</v>
      </c>
      <c r="L2365" s="9">
        <v>13468.85</v>
      </c>
      <c r="M2365" s="9">
        <v>13448.16</v>
      </c>
      <c r="N2365" s="9">
        <v>7.41</v>
      </c>
      <c r="O2365" s="10">
        <f>IF(AND(OR(H2365="APPROVED",H2365="SCHEDULED"),COUNTIFS(tblSource[EventID],F2365,tblSource[ReleaseStatus],"APPROVED")=1,COUNTIFS(Period_Status!$A$2:$A$8,G2365,Period_Status!$B$2:$B$8,"ActualClosed")=1,C2365&gt;EOMONTH(Settlement_Bridge!$C$2,0)),1,0)</f>
        <v>0</v>
      </c>
      <c r="P2365" s="2" t="s">
        <v>6683</v>
      </c>
    </row>
    <row r="2366" spans="1:16" x14ac:dyDescent="0.25">
      <c r="A2366" s="2" t="s">
        <v>6684</v>
      </c>
      <c r="B2366" s="2" t="s">
        <v>199</v>
      </c>
      <c r="C2366" s="8">
        <v>46276</v>
      </c>
      <c r="D2366" s="6">
        <v>46266</v>
      </c>
      <c r="E2366" s="2" t="s">
        <v>260</v>
      </c>
      <c r="F2366" s="2" t="s">
        <v>6685</v>
      </c>
      <c r="G2366" s="6">
        <v>46235</v>
      </c>
      <c r="H2366" s="2" t="s">
        <v>176</v>
      </c>
      <c r="I2366" s="2" t="s">
        <v>39</v>
      </c>
      <c r="J2366" s="9">
        <v>13621.17</v>
      </c>
      <c r="K2366" s="7">
        <v>1</v>
      </c>
      <c r="L2366" s="9">
        <v>13621.17</v>
      </c>
      <c r="M2366" s="9">
        <v>13621.17</v>
      </c>
      <c r="N2366" s="9">
        <v>7.49</v>
      </c>
      <c r="O2366" s="10">
        <f>IF(AND(OR(H2366="APPROVED",H2366="SCHEDULED"),COUNTIFS(tblSource[EventID],F2366,tblSource[ReleaseStatus],"APPROVED")=1,COUNTIFS(Period_Status!$A$2:$A$8,G2366,Period_Status!$B$2:$B$8,"ActualClosed")=1,C2366&gt;EOMONTH(Settlement_Bridge!$C$2,0)),1,0)</f>
        <v>0</v>
      </c>
      <c r="P2366" s="2" t="s">
        <v>6686</v>
      </c>
    </row>
    <row r="2367" spans="1:16" x14ac:dyDescent="0.25">
      <c r="A2367" s="2" t="s">
        <v>6687</v>
      </c>
      <c r="B2367" s="2" t="s">
        <v>199</v>
      </c>
      <c r="C2367" s="8">
        <v>46267</v>
      </c>
      <c r="D2367" s="6">
        <v>46266</v>
      </c>
      <c r="E2367" s="2" t="s">
        <v>260</v>
      </c>
      <c r="F2367" s="2" t="s">
        <v>6688</v>
      </c>
      <c r="G2367" s="6">
        <v>46235</v>
      </c>
      <c r="H2367" s="2" t="s">
        <v>176</v>
      </c>
      <c r="I2367" s="2" t="s">
        <v>76</v>
      </c>
      <c r="J2367" s="9">
        <v>89718243.902438998</v>
      </c>
      <c r="K2367" s="7">
        <v>6.1299999999999999E-5</v>
      </c>
      <c r="L2367" s="9">
        <v>5499.73</v>
      </c>
      <c r="M2367" s="9">
        <v>5517.67</v>
      </c>
      <c r="N2367" s="9">
        <v>3.02</v>
      </c>
      <c r="O2367" s="10">
        <f>IF(AND(OR(H2367="APPROVED",H2367="SCHEDULED"),COUNTIFS(tblSource[EventID],F2367,tblSource[ReleaseStatus],"APPROVED")=1,COUNTIFS(Period_Status!$A$2:$A$8,G2367,Period_Status!$B$2:$B$8,"ActualClosed")=1,C2367&gt;EOMONTH(Settlement_Bridge!$C$2,0)),1,0)</f>
        <v>0</v>
      </c>
      <c r="P2367" s="2" t="s">
        <v>6689</v>
      </c>
    </row>
    <row r="2368" spans="1:16" x14ac:dyDescent="0.25">
      <c r="A2368" s="2" t="s">
        <v>6690</v>
      </c>
      <c r="B2368" s="2" t="s">
        <v>199</v>
      </c>
      <c r="C2368" s="8">
        <v>46292</v>
      </c>
      <c r="D2368" s="6">
        <v>46266</v>
      </c>
      <c r="E2368" s="2" t="s">
        <v>260</v>
      </c>
      <c r="F2368" s="2" t="s">
        <v>6688</v>
      </c>
      <c r="G2368" s="6">
        <v>46235</v>
      </c>
      <c r="H2368" s="2" t="s">
        <v>176</v>
      </c>
      <c r="I2368" s="2" t="s">
        <v>76</v>
      </c>
      <c r="J2368" s="9">
        <v>134577365.853659</v>
      </c>
      <c r="K2368" s="7">
        <v>6.1299999999999999E-5</v>
      </c>
      <c r="L2368" s="9">
        <v>8249.59</v>
      </c>
      <c r="M2368" s="9">
        <v>8276.51</v>
      </c>
      <c r="N2368" s="9">
        <v>4.54</v>
      </c>
      <c r="O2368" s="10">
        <f>IF(AND(OR(H2368="APPROVED",H2368="SCHEDULED"),COUNTIFS(tblSource[EventID],F2368,tblSource[ReleaseStatus],"APPROVED")=1,COUNTIFS(Period_Status!$A$2:$A$8,G2368,Period_Status!$B$2:$B$8,"ActualClosed")=1,C2368&gt;EOMONTH(Settlement_Bridge!$C$2,0)),1,0)</f>
        <v>0</v>
      </c>
      <c r="P2368" s="2" t="s">
        <v>6691</v>
      </c>
    </row>
    <row r="2369" spans="1:16" x14ac:dyDescent="0.25">
      <c r="A2369" s="2" t="s">
        <v>6692</v>
      </c>
      <c r="B2369" s="2" t="s">
        <v>199</v>
      </c>
      <c r="C2369" s="8">
        <v>46268</v>
      </c>
      <c r="D2369" s="6">
        <v>46266</v>
      </c>
      <c r="E2369" s="2" t="s">
        <v>260</v>
      </c>
      <c r="F2369" s="2" t="s">
        <v>6693</v>
      </c>
      <c r="G2369" s="6">
        <v>46235</v>
      </c>
      <c r="H2369" s="2" t="s">
        <v>176</v>
      </c>
      <c r="I2369" s="2" t="s">
        <v>70</v>
      </c>
      <c r="J2369" s="9">
        <v>8595.1938460000001</v>
      </c>
      <c r="K2369" s="7">
        <v>0.65100000000000002</v>
      </c>
      <c r="L2369" s="9">
        <v>5595.47</v>
      </c>
      <c r="M2369" s="9">
        <v>5586.88</v>
      </c>
      <c r="N2369" s="9">
        <v>3.08</v>
      </c>
      <c r="O2369" s="10">
        <f>IF(AND(OR(H2369="APPROVED",H2369="SCHEDULED"),COUNTIFS(tblSource[EventID],F2369,tblSource[ReleaseStatus],"APPROVED")=1,COUNTIFS(Period_Status!$A$2:$A$8,G2369,Period_Status!$B$2:$B$8,"ActualClosed")=1,C2369&gt;EOMONTH(Settlement_Bridge!$C$2,0)),1,0)</f>
        <v>0</v>
      </c>
      <c r="P2369" s="2" t="s">
        <v>6694</v>
      </c>
    </row>
    <row r="2370" spans="1:16" x14ac:dyDescent="0.25">
      <c r="A2370" s="2" t="s">
        <v>6695</v>
      </c>
      <c r="B2370" s="2" t="s">
        <v>199</v>
      </c>
      <c r="C2370" s="8">
        <v>46293</v>
      </c>
      <c r="D2370" s="6">
        <v>46266</v>
      </c>
      <c r="E2370" s="2" t="s">
        <v>260</v>
      </c>
      <c r="F2370" s="2" t="s">
        <v>6693</v>
      </c>
      <c r="G2370" s="6">
        <v>46235</v>
      </c>
      <c r="H2370" s="2" t="s">
        <v>176</v>
      </c>
      <c r="I2370" s="2" t="s">
        <v>70</v>
      </c>
      <c r="J2370" s="9">
        <v>12892.790768999999</v>
      </c>
      <c r="K2370" s="7">
        <v>0.65100000000000002</v>
      </c>
      <c r="L2370" s="9">
        <v>8393.2099999999991</v>
      </c>
      <c r="M2370" s="9">
        <v>8380.31</v>
      </c>
      <c r="N2370" s="9">
        <v>4.62</v>
      </c>
      <c r="O2370" s="10">
        <f>IF(AND(OR(H2370="APPROVED",H2370="SCHEDULED"),COUNTIFS(tblSource[EventID],F2370,tblSource[ReleaseStatus],"APPROVED")=1,COUNTIFS(Period_Status!$A$2:$A$8,G2370,Period_Status!$B$2:$B$8,"ActualClosed")=1,C2370&gt;EOMONTH(Settlement_Bridge!$C$2,0)),1,0)</f>
        <v>0</v>
      </c>
      <c r="P2370" s="2" t="s">
        <v>6696</v>
      </c>
    </row>
    <row r="2371" spans="1:16" x14ac:dyDescent="0.25">
      <c r="A2371" s="2" t="s">
        <v>6697</v>
      </c>
      <c r="B2371" s="2" t="s">
        <v>199</v>
      </c>
      <c r="C2371" s="8">
        <v>46279</v>
      </c>
      <c r="D2371" s="6">
        <v>46266</v>
      </c>
      <c r="E2371" s="2" t="s">
        <v>260</v>
      </c>
      <c r="F2371" s="2" t="s">
        <v>6698</v>
      </c>
      <c r="G2371" s="6">
        <v>46235</v>
      </c>
      <c r="H2371" s="2" t="s">
        <v>176</v>
      </c>
      <c r="I2371" s="2" t="s">
        <v>39</v>
      </c>
      <c r="J2371" s="9">
        <v>14140.2</v>
      </c>
      <c r="K2371" s="7">
        <v>1</v>
      </c>
      <c r="L2371" s="9">
        <v>14140.2</v>
      </c>
      <c r="M2371" s="9">
        <v>14140.2</v>
      </c>
      <c r="N2371" s="9">
        <v>7.78</v>
      </c>
      <c r="O2371" s="10">
        <f>IF(AND(OR(H2371="APPROVED",H2371="SCHEDULED"),COUNTIFS(tblSource[EventID],F2371,tblSource[ReleaseStatus],"APPROVED")=1,COUNTIFS(Period_Status!$A$2:$A$8,G2371,Period_Status!$B$2:$B$8,"ActualClosed")=1,C2371&gt;EOMONTH(Settlement_Bridge!$C$2,0)),1,0)</f>
        <v>0</v>
      </c>
      <c r="P2371" s="2" t="s">
        <v>6699</v>
      </c>
    </row>
    <row r="2372" spans="1:16" x14ac:dyDescent="0.25">
      <c r="A2372" s="2" t="s">
        <v>6700</v>
      </c>
      <c r="B2372" s="2" t="s">
        <v>199</v>
      </c>
      <c r="C2372" s="8">
        <v>46280</v>
      </c>
      <c r="D2372" s="6">
        <v>46266</v>
      </c>
      <c r="E2372" s="2" t="s">
        <v>260</v>
      </c>
      <c r="F2372" s="2" t="s">
        <v>6701</v>
      </c>
      <c r="G2372" s="6">
        <v>46235</v>
      </c>
      <c r="H2372" s="2" t="s">
        <v>176</v>
      </c>
      <c r="I2372" s="2" t="s">
        <v>76</v>
      </c>
      <c r="J2372" s="9">
        <v>232735121.95121899</v>
      </c>
      <c r="K2372" s="7">
        <v>6.1299999999999999E-5</v>
      </c>
      <c r="L2372" s="9">
        <v>14266.66</v>
      </c>
      <c r="M2372" s="9">
        <v>14313.21</v>
      </c>
      <c r="N2372" s="9">
        <v>7.85</v>
      </c>
      <c r="O2372" s="10">
        <f>IF(AND(OR(H2372="APPROVED",H2372="SCHEDULED"),COUNTIFS(tblSource[EventID],F2372,tblSource[ReleaseStatus],"APPROVED")=1,COUNTIFS(Period_Status!$A$2:$A$8,G2372,Period_Status!$B$2:$B$8,"ActualClosed")=1,C2372&gt;EOMONTH(Settlement_Bridge!$C$2,0)),1,0)</f>
        <v>0</v>
      </c>
      <c r="P2372" s="2" t="s">
        <v>6702</v>
      </c>
    </row>
    <row r="2373" spans="1:16" x14ac:dyDescent="0.25">
      <c r="A2373" s="2" t="s">
        <v>6703</v>
      </c>
      <c r="B2373" s="2" t="s">
        <v>199</v>
      </c>
      <c r="C2373" s="8">
        <v>46271</v>
      </c>
      <c r="D2373" s="6">
        <v>46266</v>
      </c>
      <c r="E2373" s="2" t="s">
        <v>260</v>
      </c>
      <c r="F2373" s="2" t="s">
        <v>6704</v>
      </c>
      <c r="G2373" s="6">
        <v>46235</v>
      </c>
      <c r="H2373" s="2" t="s">
        <v>176</v>
      </c>
      <c r="I2373" s="2" t="s">
        <v>70</v>
      </c>
      <c r="J2373" s="9">
        <v>8914.5969229999992</v>
      </c>
      <c r="K2373" s="7">
        <v>0.65100000000000002</v>
      </c>
      <c r="L2373" s="9">
        <v>5803.4</v>
      </c>
      <c r="M2373" s="9">
        <v>5794.49</v>
      </c>
      <c r="N2373" s="9">
        <v>3.19</v>
      </c>
      <c r="O2373" s="10">
        <f>IF(AND(OR(H2373="APPROVED",H2373="SCHEDULED"),COUNTIFS(tblSource[EventID],F2373,tblSource[ReleaseStatus],"APPROVED")=1,COUNTIFS(Period_Status!$A$2:$A$8,G2373,Period_Status!$B$2:$B$8,"ActualClosed")=1,C2373&gt;EOMONTH(Settlement_Bridge!$C$2,0)),1,0)</f>
        <v>0</v>
      </c>
      <c r="P2373" s="2" t="s">
        <v>6705</v>
      </c>
    </row>
    <row r="2374" spans="1:16" x14ac:dyDescent="0.25">
      <c r="A2374" s="2" t="s">
        <v>6706</v>
      </c>
      <c r="B2374" s="2" t="s">
        <v>199</v>
      </c>
      <c r="C2374" s="8">
        <v>46296</v>
      </c>
      <c r="D2374" s="6">
        <v>46296</v>
      </c>
      <c r="E2374" s="2" t="s">
        <v>260</v>
      </c>
      <c r="F2374" s="2" t="s">
        <v>6704</v>
      </c>
      <c r="G2374" s="6">
        <v>46235</v>
      </c>
      <c r="H2374" s="2" t="s">
        <v>176</v>
      </c>
      <c r="I2374" s="2" t="s">
        <v>70</v>
      </c>
      <c r="J2374" s="9">
        <v>13371.895385</v>
      </c>
      <c r="K2374" s="7">
        <v>0.65500000000000003</v>
      </c>
      <c r="L2374" s="9">
        <v>8758.59</v>
      </c>
      <c r="M2374" s="9">
        <v>8691.73</v>
      </c>
      <c r="N2374" s="9">
        <v>4.82</v>
      </c>
      <c r="O2374" s="10">
        <f>IF(AND(OR(H2374="APPROVED",H2374="SCHEDULED"),COUNTIFS(tblSource[EventID],F2374,tblSource[ReleaseStatus],"APPROVED")=1,COUNTIFS(Period_Status!$A$2:$A$8,G2374,Period_Status!$B$2:$B$8,"ActualClosed")=1,C2374&gt;EOMONTH(Settlement_Bridge!$C$2,0)),1,0)</f>
        <v>0</v>
      </c>
      <c r="P2374" s="2" t="s">
        <v>6707</v>
      </c>
    </row>
    <row r="2375" spans="1:16" x14ac:dyDescent="0.25">
      <c r="A2375" s="2" t="s">
        <v>6708</v>
      </c>
      <c r="B2375" s="2" t="s">
        <v>199</v>
      </c>
      <c r="C2375" s="8">
        <v>46282</v>
      </c>
      <c r="D2375" s="6">
        <v>46266</v>
      </c>
      <c r="E2375" s="2" t="s">
        <v>260</v>
      </c>
      <c r="F2375" s="2" t="s">
        <v>6709</v>
      </c>
      <c r="G2375" s="6">
        <v>46235</v>
      </c>
      <c r="H2375" s="2" t="s">
        <v>176</v>
      </c>
      <c r="I2375" s="2" t="s">
        <v>39</v>
      </c>
      <c r="J2375" s="9">
        <v>14659.23</v>
      </c>
      <c r="K2375" s="7">
        <v>1</v>
      </c>
      <c r="L2375" s="9">
        <v>14659.23</v>
      </c>
      <c r="M2375" s="9">
        <v>14659.23</v>
      </c>
      <c r="N2375" s="9">
        <v>8.06</v>
      </c>
      <c r="O2375" s="10">
        <f>IF(AND(OR(H2375="APPROVED",H2375="SCHEDULED"),COUNTIFS(tblSource[EventID],F2375,tblSource[ReleaseStatus],"APPROVED")=1,COUNTIFS(Period_Status!$A$2:$A$8,G2375,Period_Status!$B$2:$B$8,"ActualClosed")=1,C2375&gt;EOMONTH(Settlement_Bridge!$C$2,0)),1,0)</f>
        <v>0</v>
      </c>
      <c r="P2375" s="2" t="s">
        <v>6710</v>
      </c>
    </row>
    <row r="2376" spans="1:16" x14ac:dyDescent="0.25">
      <c r="A2376" s="2" t="s">
        <v>6711</v>
      </c>
      <c r="B2376" s="2" t="s">
        <v>199</v>
      </c>
      <c r="C2376" s="8">
        <v>46283</v>
      </c>
      <c r="D2376" s="6">
        <v>46266</v>
      </c>
      <c r="E2376" s="2" t="s">
        <v>260</v>
      </c>
      <c r="F2376" s="2" t="s">
        <v>6712</v>
      </c>
      <c r="G2376" s="6">
        <v>46235</v>
      </c>
      <c r="H2376" s="2" t="s">
        <v>176</v>
      </c>
      <c r="I2376" s="2" t="s">
        <v>76</v>
      </c>
      <c r="J2376" s="9">
        <v>241174634.146341</v>
      </c>
      <c r="K2376" s="7">
        <v>6.1299999999999999E-5</v>
      </c>
      <c r="L2376" s="9">
        <v>14784.01</v>
      </c>
      <c r="M2376" s="9">
        <v>14832.24</v>
      </c>
      <c r="N2376" s="9">
        <v>8.1300000000000008</v>
      </c>
      <c r="O2376" s="10">
        <f>IF(AND(OR(H2376="APPROVED",H2376="SCHEDULED"),COUNTIFS(tblSource[EventID],F2376,tblSource[ReleaseStatus],"APPROVED")=1,COUNTIFS(Period_Status!$A$2:$A$8,G2376,Period_Status!$B$2:$B$8,"ActualClosed")=1,C2376&gt;EOMONTH(Settlement_Bridge!$C$2,0)),1,0)</f>
        <v>0</v>
      </c>
      <c r="P2376" s="2" t="s">
        <v>6713</v>
      </c>
    </row>
    <row r="2377" spans="1:16" x14ac:dyDescent="0.25">
      <c r="A2377" s="2" t="s">
        <v>6714</v>
      </c>
      <c r="B2377" s="2" t="s">
        <v>199</v>
      </c>
      <c r="C2377" s="8">
        <v>46284</v>
      </c>
      <c r="D2377" s="6">
        <v>46266</v>
      </c>
      <c r="E2377" s="2" t="s">
        <v>260</v>
      </c>
      <c r="F2377" s="2" t="s">
        <v>6715</v>
      </c>
      <c r="G2377" s="6">
        <v>46235</v>
      </c>
      <c r="H2377" s="2" t="s">
        <v>176</v>
      </c>
      <c r="I2377" s="2" t="s">
        <v>70</v>
      </c>
      <c r="J2377" s="9">
        <v>1546.538462</v>
      </c>
      <c r="K2377" s="7">
        <v>0.65100000000000002</v>
      </c>
      <c r="L2377" s="9">
        <v>1006.8</v>
      </c>
      <c r="M2377" s="9">
        <v>1005.25</v>
      </c>
      <c r="N2377" s="9">
        <v>1.8</v>
      </c>
      <c r="O2377" s="10">
        <f>IF(AND(OR(H2377="APPROVED",H2377="SCHEDULED"),COUNTIFS(tblSource[EventID],F2377,tblSource[ReleaseStatus],"APPROVED")=1,COUNTIFS(Period_Status!$A$2:$A$8,G2377,Period_Status!$B$2:$B$8,"ActualClosed")=1,C2377&gt;EOMONTH(Settlement_Bridge!$C$2,0)),1,0)</f>
        <v>0</v>
      </c>
      <c r="P2377" s="2" t="s">
        <v>6716</v>
      </c>
    </row>
    <row r="2378" spans="1:16" x14ac:dyDescent="0.25">
      <c r="A2378" s="2" t="s">
        <v>6717</v>
      </c>
      <c r="B2378" s="2" t="s">
        <v>199</v>
      </c>
      <c r="C2378" s="8">
        <v>46285</v>
      </c>
      <c r="D2378" s="6">
        <v>46266</v>
      </c>
      <c r="E2378" s="2" t="s">
        <v>260</v>
      </c>
      <c r="F2378" s="2" t="s">
        <v>6718</v>
      </c>
      <c r="G2378" s="6">
        <v>46235</v>
      </c>
      <c r="H2378" s="2" t="s">
        <v>176</v>
      </c>
      <c r="I2378" s="2" t="s">
        <v>39</v>
      </c>
      <c r="J2378" s="9">
        <v>1178.26</v>
      </c>
      <c r="K2378" s="7">
        <v>1</v>
      </c>
      <c r="L2378" s="9">
        <v>1178.26</v>
      </c>
      <c r="M2378" s="9">
        <v>1178.26</v>
      </c>
      <c r="N2378" s="9">
        <v>1.8</v>
      </c>
      <c r="O2378" s="10">
        <f>IF(AND(OR(H2378="APPROVED",H2378="SCHEDULED"),COUNTIFS(tblSource[EventID],F2378,tblSource[ReleaseStatus],"APPROVED")=1,COUNTIFS(Period_Status!$A$2:$A$8,G2378,Period_Status!$B$2:$B$8,"ActualClosed")=1,C2378&gt;EOMONTH(Settlement_Bridge!$C$2,0)),1,0)</f>
        <v>0</v>
      </c>
      <c r="P2378" s="2" t="s">
        <v>6719</v>
      </c>
    </row>
    <row r="2379" spans="1:16" x14ac:dyDescent="0.25">
      <c r="A2379" s="2" t="s">
        <v>6720</v>
      </c>
      <c r="B2379" s="2" t="s">
        <v>199</v>
      </c>
      <c r="C2379" s="8">
        <v>46286</v>
      </c>
      <c r="D2379" s="6">
        <v>46266</v>
      </c>
      <c r="E2379" s="2" t="s">
        <v>260</v>
      </c>
      <c r="F2379" s="2" t="s">
        <v>6721</v>
      </c>
      <c r="G2379" s="6">
        <v>46235</v>
      </c>
      <c r="H2379" s="2" t="s">
        <v>176</v>
      </c>
      <c r="I2379" s="2" t="s">
        <v>76</v>
      </c>
      <c r="J2379" s="9">
        <v>21971869.918699</v>
      </c>
      <c r="K2379" s="7">
        <v>6.1299999999999999E-5</v>
      </c>
      <c r="L2379" s="9">
        <v>1346.88</v>
      </c>
      <c r="M2379" s="9">
        <v>1351.27</v>
      </c>
      <c r="N2379" s="9">
        <v>1.8</v>
      </c>
      <c r="O2379" s="10">
        <f>IF(AND(OR(H2379="APPROVED",H2379="SCHEDULED"),COUNTIFS(tblSource[EventID],F2379,tblSource[ReleaseStatus],"APPROVED")=1,COUNTIFS(Period_Status!$A$2:$A$8,G2379,Period_Status!$B$2:$B$8,"ActualClosed")=1,C2379&gt;EOMONTH(Settlement_Bridge!$C$2,0)),1,0)</f>
        <v>0</v>
      </c>
      <c r="P2379" s="2" t="s">
        <v>6722</v>
      </c>
    </row>
    <row r="2380" spans="1:16" x14ac:dyDescent="0.25">
      <c r="A2380" s="2" t="s">
        <v>6723</v>
      </c>
      <c r="B2380" s="2" t="s">
        <v>199</v>
      </c>
      <c r="C2380" s="8">
        <v>46277</v>
      </c>
      <c r="D2380" s="6">
        <v>46266</v>
      </c>
      <c r="E2380" s="2" t="s">
        <v>260</v>
      </c>
      <c r="F2380" s="2" t="s">
        <v>6724</v>
      </c>
      <c r="G2380" s="6">
        <v>46235</v>
      </c>
      <c r="H2380" s="2" t="s">
        <v>176</v>
      </c>
      <c r="I2380" s="2" t="s">
        <v>70</v>
      </c>
      <c r="J2380" s="9">
        <v>938.018462</v>
      </c>
      <c r="K2380" s="7">
        <v>0.65100000000000002</v>
      </c>
      <c r="L2380" s="9">
        <v>610.65</v>
      </c>
      <c r="M2380" s="9">
        <v>609.71</v>
      </c>
      <c r="N2380" s="9">
        <v>1.8</v>
      </c>
      <c r="O2380" s="10">
        <f>IF(AND(OR(H2380="APPROVED",H2380="SCHEDULED"),COUNTIFS(tblSource[EventID],F2380,tblSource[ReleaseStatus],"APPROVED")=1,COUNTIFS(Period_Status!$A$2:$A$8,G2380,Period_Status!$B$2:$B$8,"ActualClosed")=1,C2380&gt;EOMONTH(Settlement_Bridge!$C$2,0)),1,0)</f>
        <v>0</v>
      </c>
      <c r="P2380" s="2" t="s">
        <v>6725</v>
      </c>
    </row>
    <row r="2381" spans="1:16" x14ac:dyDescent="0.25">
      <c r="A2381" s="2" t="s">
        <v>6726</v>
      </c>
      <c r="B2381" s="2" t="s">
        <v>199</v>
      </c>
      <c r="C2381" s="8">
        <v>46302</v>
      </c>
      <c r="D2381" s="6">
        <v>46296</v>
      </c>
      <c r="E2381" s="2" t="s">
        <v>260</v>
      </c>
      <c r="F2381" s="2" t="s">
        <v>6724</v>
      </c>
      <c r="G2381" s="6">
        <v>46235</v>
      </c>
      <c r="H2381" s="2" t="s">
        <v>176</v>
      </c>
      <c r="I2381" s="2" t="s">
        <v>70</v>
      </c>
      <c r="J2381" s="9">
        <v>1407.0276919999999</v>
      </c>
      <c r="K2381" s="7">
        <v>0.65500000000000003</v>
      </c>
      <c r="L2381" s="9">
        <v>921.6</v>
      </c>
      <c r="M2381" s="9">
        <v>914.57</v>
      </c>
      <c r="N2381" s="9">
        <v>1.8</v>
      </c>
      <c r="O2381" s="10">
        <f>IF(AND(OR(H2381="APPROVED",H2381="SCHEDULED"),COUNTIFS(tblSource[EventID],F2381,tblSource[ReleaseStatus],"APPROVED")=1,COUNTIFS(Period_Status!$A$2:$A$8,G2381,Period_Status!$B$2:$B$8,"ActualClosed")=1,C2381&gt;EOMONTH(Settlement_Bridge!$C$2,0)),1,0)</f>
        <v>0</v>
      </c>
      <c r="P2381" s="2" t="s">
        <v>6727</v>
      </c>
    </row>
    <row r="2382" spans="1:16" x14ac:dyDescent="0.25">
      <c r="A2382" s="2" t="s">
        <v>6728</v>
      </c>
      <c r="B2382" s="2" t="s">
        <v>199</v>
      </c>
      <c r="C2382" s="8">
        <v>46278</v>
      </c>
      <c r="D2382" s="6">
        <v>46266</v>
      </c>
      <c r="E2382" s="2" t="s">
        <v>260</v>
      </c>
      <c r="F2382" s="2" t="s">
        <v>6729</v>
      </c>
      <c r="G2382" s="6">
        <v>46235</v>
      </c>
      <c r="H2382" s="2" t="s">
        <v>176</v>
      </c>
      <c r="I2382" s="2" t="s">
        <v>39</v>
      </c>
      <c r="J2382" s="9">
        <v>678.91600000000005</v>
      </c>
      <c r="K2382" s="7">
        <v>1</v>
      </c>
      <c r="L2382" s="9">
        <v>678.92</v>
      </c>
      <c r="M2382" s="9">
        <v>678.92</v>
      </c>
      <c r="N2382" s="9">
        <v>1.8</v>
      </c>
      <c r="O2382" s="10">
        <f>IF(AND(OR(H2382="APPROVED",H2382="SCHEDULED"),COUNTIFS(tblSource[EventID],F2382,tblSource[ReleaseStatus],"APPROVED")=1,COUNTIFS(Period_Status!$A$2:$A$8,G2382,Period_Status!$B$2:$B$8,"ActualClosed")=1,C2382&gt;EOMONTH(Settlement_Bridge!$C$2,0)),1,0)</f>
        <v>0</v>
      </c>
      <c r="P2382" s="2" t="s">
        <v>6730</v>
      </c>
    </row>
    <row r="2383" spans="1:16" x14ac:dyDescent="0.25">
      <c r="A2383" s="2" t="s">
        <v>6731</v>
      </c>
      <c r="B2383" s="2" t="s">
        <v>199</v>
      </c>
      <c r="C2383" s="8">
        <v>46303</v>
      </c>
      <c r="D2383" s="6">
        <v>46296</v>
      </c>
      <c r="E2383" s="2" t="s">
        <v>260</v>
      </c>
      <c r="F2383" s="2" t="s">
        <v>6729</v>
      </c>
      <c r="G2383" s="6">
        <v>46235</v>
      </c>
      <c r="H2383" s="2" t="s">
        <v>176</v>
      </c>
      <c r="I2383" s="2" t="s">
        <v>39</v>
      </c>
      <c r="J2383" s="9">
        <v>1018.374</v>
      </c>
      <c r="K2383" s="7">
        <v>1</v>
      </c>
      <c r="L2383" s="9">
        <v>1018.37</v>
      </c>
      <c r="M2383" s="9">
        <v>1018.37</v>
      </c>
      <c r="N2383" s="9">
        <v>1.8</v>
      </c>
      <c r="O2383" s="10">
        <f>IF(AND(OR(H2383="APPROVED",H2383="SCHEDULED"),COUNTIFS(tblSource[EventID],F2383,tblSource[ReleaseStatus],"APPROVED")=1,COUNTIFS(Period_Status!$A$2:$A$8,G2383,Period_Status!$B$2:$B$8,"ActualClosed")=1,C2383&gt;EOMONTH(Settlement_Bridge!$C$2,0)),1,0)</f>
        <v>0</v>
      </c>
      <c r="P2383" s="2" t="s">
        <v>6732</v>
      </c>
    </row>
    <row r="2384" spans="1:16" x14ac:dyDescent="0.25">
      <c r="A2384" s="2" t="s">
        <v>6733</v>
      </c>
      <c r="B2384" s="2" t="s">
        <v>199</v>
      </c>
      <c r="C2384" s="8">
        <v>46289</v>
      </c>
      <c r="D2384" s="6">
        <v>46266</v>
      </c>
      <c r="E2384" s="2" t="s">
        <v>260</v>
      </c>
      <c r="F2384" s="2" t="s">
        <v>6734</v>
      </c>
      <c r="G2384" s="6">
        <v>46235</v>
      </c>
      <c r="H2384" s="2" t="s">
        <v>176</v>
      </c>
      <c r="I2384" s="2" t="s">
        <v>76</v>
      </c>
      <c r="J2384" s="9">
        <v>30411382.113821</v>
      </c>
      <c r="K2384" s="7">
        <v>6.1299999999999999E-5</v>
      </c>
      <c r="L2384" s="9">
        <v>1864.22</v>
      </c>
      <c r="M2384" s="9">
        <v>1870.3</v>
      </c>
      <c r="N2384" s="9">
        <v>1.8</v>
      </c>
      <c r="O2384" s="10">
        <f>IF(AND(OR(H2384="APPROVED",H2384="SCHEDULED"),COUNTIFS(tblSource[EventID],F2384,tblSource[ReleaseStatus],"APPROVED")=1,COUNTIFS(Period_Status!$A$2:$A$8,G2384,Period_Status!$B$2:$B$8,"ActualClosed")=1,C2384&gt;EOMONTH(Settlement_Bridge!$C$2,0)),1,0)</f>
        <v>0</v>
      </c>
      <c r="P2384" s="2" t="s">
        <v>6735</v>
      </c>
    </row>
    <row r="2385" spans="1:16" x14ac:dyDescent="0.25">
      <c r="A2385" s="2" t="s">
        <v>6736</v>
      </c>
      <c r="B2385" s="2" t="s">
        <v>199</v>
      </c>
      <c r="C2385" s="8">
        <v>46259</v>
      </c>
      <c r="D2385" s="6">
        <v>46235</v>
      </c>
      <c r="E2385" s="2" t="s">
        <v>260</v>
      </c>
      <c r="F2385" s="2" t="s">
        <v>6737</v>
      </c>
      <c r="G2385" s="6">
        <v>46235</v>
      </c>
      <c r="H2385" s="2" t="s">
        <v>71</v>
      </c>
      <c r="I2385" s="2" t="s">
        <v>70</v>
      </c>
      <c r="J2385" s="9">
        <v>3143.5538459999998</v>
      </c>
      <c r="K2385" s="7">
        <v>0.65</v>
      </c>
      <c r="L2385" s="9">
        <v>2043.31</v>
      </c>
      <c r="M2385" s="9">
        <v>2043.31</v>
      </c>
      <c r="N2385" s="9">
        <v>1.8</v>
      </c>
      <c r="O2385" s="10">
        <f>IF(AND(OR(H2385="APPROVED",H2385="SCHEDULED"),COUNTIFS(tblSource[EventID],F2385,tblSource[ReleaseStatus],"APPROVED")=1,COUNTIFS(Period_Status!$A$2:$A$8,G2385,Period_Status!$B$2:$B$8,"ActualClosed")=1,C2385&gt;EOMONTH(Settlement_Bridge!$C$2,0)),1,0)</f>
        <v>0</v>
      </c>
      <c r="P2385" s="2" t="s">
        <v>6738</v>
      </c>
    </row>
    <row r="2386" spans="1:16" x14ac:dyDescent="0.25">
      <c r="A2386" s="2" t="s">
        <v>6739</v>
      </c>
      <c r="B2386" s="2" t="s">
        <v>199</v>
      </c>
      <c r="C2386" s="8">
        <v>46250</v>
      </c>
      <c r="D2386" s="6">
        <v>46235</v>
      </c>
      <c r="E2386" s="2" t="s">
        <v>260</v>
      </c>
      <c r="F2386" s="2" t="s">
        <v>6740</v>
      </c>
      <c r="G2386" s="6">
        <v>46235</v>
      </c>
      <c r="H2386" s="2" t="s">
        <v>71</v>
      </c>
      <c r="I2386" s="2" t="s">
        <v>39</v>
      </c>
      <c r="J2386" s="9">
        <v>886.52800000000002</v>
      </c>
      <c r="K2386" s="7">
        <v>1</v>
      </c>
      <c r="L2386" s="9">
        <v>886.53</v>
      </c>
      <c r="M2386" s="9">
        <v>886.53</v>
      </c>
      <c r="N2386" s="9">
        <v>1.8</v>
      </c>
      <c r="O2386" s="10">
        <f>IF(AND(OR(H2386="APPROVED",H2386="SCHEDULED"),COUNTIFS(tblSource[EventID],F2386,tblSource[ReleaseStatus],"APPROVED")=1,COUNTIFS(Period_Status!$A$2:$A$8,G2386,Period_Status!$B$2:$B$8,"ActualClosed")=1,C2386&gt;EOMONTH(Settlement_Bridge!$C$2,0)),1,0)</f>
        <v>0</v>
      </c>
      <c r="P2386" s="2" t="s">
        <v>6741</v>
      </c>
    </row>
    <row r="2387" spans="1:16" x14ac:dyDescent="0.25">
      <c r="A2387" s="2" t="s">
        <v>6742</v>
      </c>
      <c r="B2387" s="2" t="s">
        <v>199</v>
      </c>
      <c r="C2387" s="8">
        <v>46275</v>
      </c>
      <c r="D2387" s="6">
        <v>46266</v>
      </c>
      <c r="E2387" s="2" t="s">
        <v>260</v>
      </c>
      <c r="F2387" s="2" t="s">
        <v>6740</v>
      </c>
      <c r="G2387" s="6">
        <v>46235</v>
      </c>
      <c r="H2387" s="2" t="s">
        <v>176</v>
      </c>
      <c r="I2387" s="2" t="s">
        <v>39</v>
      </c>
      <c r="J2387" s="9">
        <v>1329.7919999999999</v>
      </c>
      <c r="K2387" s="7">
        <v>1</v>
      </c>
      <c r="L2387" s="9">
        <v>1329.79</v>
      </c>
      <c r="M2387" s="9">
        <v>1329.79</v>
      </c>
      <c r="N2387" s="9">
        <v>1.8</v>
      </c>
      <c r="O2387" s="10">
        <f>IF(AND(OR(H2387="APPROVED",H2387="SCHEDULED"),COUNTIFS(tblSource[EventID],F2387,tblSource[ReleaseStatus],"APPROVED")=1,COUNTIFS(Period_Status!$A$2:$A$8,G2387,Period_Status!$B$2:$B$8,"ActualClosed")=1,C2387&gt;EOMONTH(Settlement_Bridge!$C$2,0)),1,0)</f>
        <v>0</v>
      </c>
      <c r="P2387" s="2" t="s">
        <v>6743</v>
      </c>
    </row>
    <row r="2388" spans="1:16" x14ac:dyDescent="0.25">
      <c r="A2388" s="2" t="s">
        <v>6744</v>
      </c>
      <c r="B2388" s="2" t="s">
        <v>199</v>
      </c>
      <c r="C2388" s="8">
        <v>46261</v>
      </c>
      <c r="D2388" s="6">
        <v>46235</v>
      </c>
      <c r="E2388" s="2" t="s">
        <v>260</v>
      </c>
      <c r="F2388" s="2" t="s">
        <v>6745</v>
      </c>
      <c r="G2388" s="6">
        <v>46235</v>
      </c>
      <c r="H2388" s="2" t="s">
        <v>71</v>
      </c>
      <c r="I2388" s="2" t="s">
        <v>76</v>
      </c>
      <c r="J2388" s="9">
        <v>38850894.308943003</v>
      </c>
      <c r="K2388" s="7">
        <v>6.1500000000000004E-5</v>
      </c>
      <c r="L2388" s="9">
        <v>2389.33</v>
      </c>
      <c r="M2388" s="9">
        <v>2389.33</v>
      </c>
      <c r="N2388" s="9">
        <v>1.8</v>
      </c>
      <c r="O2388" s="10">
        <f>IF(AND(OR(H2388="APPROVED",H2388="SCHEDULED"),COUNTIFS(tblSource[EventID],F2388,tblSource[ReleaseStatus],"APPROVED")=1,COUNTIFS(Period_Status!$A$2:$A$8,G2388,Period_Status!$B$2:$B$8,"ActualClosed")=1,C2388&gt;EOMONTH(Settlement_Bridge!$C$2,0)),1,0)</f>
        <v>0</v>
      </c>
      <c r="P2388" s="2" t="s">
        <v>6746</v>
      </c>
    </row>
    <row r="2389" spans="1:16" x14ac:dyDescent="0.25">
      <c r="A2389" s="2" t="s">
        <v>6747</v>
      </c>
      <c r="B2389" s="2" t="s">
        <v>199</v>
      </c>
      <c r="C2389" s="8">
        <v>46262</v>
      </c>
      <c r="D2389" s="6">
        <v>46235</v>
      </c>
      <c r="E2389" s="2" t="s">
        <v>260</v>
      </c>
      <c r="F2389" s="2" t="s">
        <v>6748</v>
      </c>
      <c r="G2389" s="6">
        <v>46235</v>
      </c>
      <c r="H2389" s="2" t="s">
        <v>71</v>
      </c>
      <c r="I2389" s="2" t="s">
        <v>70</v>
      </c>
      <c r="J2389" s="9">
        <v>3942.0615379999999</v>
      </c>
      <c r="K2389" s="7">
        <v>0.65</v>
      </c>
      <c r="L2389" s="9">
        <v>2562.34</v>
      </c>
      <c r="M2389" s="9">
        <v>2562.34</v>
      </c>
      <c r="N2389" s="9">
        <v>1.8</v>
      </c>
      <c r="O2389" s="10">
        <f>IF(AND(OR(H2389="APPROVED",H2389="SCHEDULED"),COUNTIFS(tblSource[EventID],F2389,tblSource[ReleaseStatus],"APPROVED")=1,COUNTIFS(Period_Status!$A$2:$A$8,G2389,Period_Status!$B$2:$B$8,"ActualClosed")=1,C2389&gt;EOMONTH(Settlement_Bridge!$C$2,0)),1,0)</f>
        <v>0</v>
      </c>
      <c r="P2389" s="2" t="s">
        <v>6749</v>
      </c>
    </row>
    <row r="2390" spans="1:16" x14ac:dyDescent="0.25">
      <c r="A2390" s="2" t="s">
        <v>6750</v>
      </c>
      <c r="B2390" s="2" t="s">
        <v>199</v>
      </c>
      <c r="C2390" s="8">
        <v>46263</v>
      </c>
      <c r="D2390" s="6">
        <v>46235</v>
      </c>
      <c r="E2390" s="2" t="s">
        <v>260</v>
      </c>
      <c r="F2390" s="2" t="s">
        <v>6751</v>
      </c>
      <c r="G2390" s="6">
        <v>46235</v>
      </c>
      <c r="H2390" s="2" t="s">
        <v>71</v>
      </c>
      <c r="I2390" s="2" t="s">
        <v>39</v>
      </c>
      <c r="J2390" s="9">
        <v>2735.35</v>
      </c>
      <c r="K2390" s="7">
        <v>1</v>
      </c>
      <c r="L2390" s="9">
        <v>2735.35</v>
      </c>
      <c r="M2390" s="9">
        <v>2735.35</v>
      </c>
      <c r="N2390" s="9">
        <v>1.8</v>
      </c>
      <c r="O2390" s="10">
        <f>IF(AND(OR(H2390="APPROVED",H2390="SCHEDULED"),COUNTIFS(tblSource[EventID],F2390,tblSource[ReleaseStatus],"APPROVED")=1,COUNTIFS(Period_Status!$A$2:$A$8,G2390,Period_Status!$B$2:$B$8,"ActualClosed")=1,C2390&gt;EOMONTH(Settlement_Bridge!$C$2,0)),1,0)</f>
        <v>0</v>
      </c>
      <c r="P2390" s="2" t="s">
        <v>6752</v>
      </c>
    </row>
    <row r="2391" spans="1:16" x14ac:dyDescent="0.25">
      <c r="A2391" s="2" t="s">
        <v>6753</v>
      </c>
      <c r="B2391" s="2" t="s">
        <v>199</v>
      </c>
      <c r="C2391" s="8">
        <v>46264</v>
      </c>
      <c r="D2391" s="6">
        <v>46235</v>
      </c>
      <c r="E2391" s="2" t="s">
        <v>260</v>
      </c>
      <c r="F2391" s="2" t="s">
        <v>6754</v>
      </c>
      <c r="G2391" s="6">
        <v>46235</v>
      </c>
      <c r="H2391" s="2" t="s">
        <v>71</v>
      </c>
      <c r="I2391" s="2" t="s">
        <v>76</v>
      </c>
      <c r="J2391" s="9">
        <v>47290406.504065</v>
      </c>
      <c r="K2391" s="7">
        <v>6.1500000000000004E-5</v>
      </c>
      <c r="L2391" s="9">
        <v>2908.36</v>
      </c>
      <c r="M2391" s="9">
        <v>2908.36</v>
      </c>
      <c r="N2391" s="9">
        <v>1.8</v>
      </c>
      <c r="O2391" s="10">
        <f>IF(AND(OR(H2391="APPROVED",H2391="SCHEDULED"),COUNTIFS(tblSource[EventID],F2391,tblSource[ReleaseStatus],"APPROVED")=1,COUNTIFS(Period_Status!$A$2:$A$8,G2391,Period_Status!$B$2:$B$8,"ActualClosed")=1,C2391&gt;EOMONTH(Settlement_Bridge!$C$2,0)),1,0)</f>
        <v>0</v>
      </c>
      <c r="P2391" s="2" t="s">
        <v>6755</v>
      </c>
    </row>
    <row r="2392" spans="1:16" x14ac:dyDescent="0.25">
      <c r="A2392" s="2" t="s">
        <v>6756</v>
      </c>
      <c r="B2392" s="2" t="s">
        <v>199</v>
      </c>
      <c r="C2392" s="8">
        <v>46265</v>
      </c>
      <c r="D2392" s="6">
        <v>46235</v>
      </c>
      <c r="E2392" s="2" t="s">
        <v>260</v>
      </c>
      <c r="F2392" s="2" t="s">
        <v>6757</v>
      </c>
      <c r="G2392" s="6">
        <v>46235</v>
      </c>
      <c r="H2392" s="2" t="s">
        <v>71</v>
      </c>
      <c r="I2392" s="2" t="s">
        <v>70</v>
      </c>
      <c r="J2392" s="9">
        <v>4740.5692310000004</v>
      </c>
      <c r="K2392" s="7">
        <v>0.65</v>
      </c>
      <c r="L2392" s="9">
        <v>3081.37</v>
      </c>
      <c r="M2392" s="9">
        <v>3081.37</v>
      </c>
      <c r="N2392" s="9">
        <v>1.8</v>
      </c>
      <c r="O2392" s="10">
        <f>IF(AND(OR(H2392="APPROVED",H2392="SCHEDULED"),COUNTIFS(tblSource[EventID],F2392,tblSource[ReleaseStatus],"APPROVED")=1,COUNTIFS(Period_Status!$A$2:$A$8,G2392,Period_Status!$B$2:$B$8,"ActualClosed")=1,C2392&gt;EOMONTH(Settlement_Bridge!$C$2,0)),1,0)</f>
        <v>0</v>
      </c>
      <c r="P2392" s="2" t="s">
        <v>6758</v>
      </c>
    </row>
    <row r="2393" spans="1:16" x14ac:dyDescent="0.25">
      <c r="A2393" s="2" t="s">
        <v>6759</v>
      </c>
      <c r="B2393" s="2" t="s">
        <v>199</v>
      </c>
      <c r="C2393" s="8">
        <v>46256</v>
      </c>
      <c r="D2393" s="6">
        <v>46235</v>
      </c>
      <c r="E2393" s="2" t="s">
        <v>260</v>
      </c>
      <c r="F2393" s="2" t="s">
        <v>6760</v>
      </c>
      <c r="G2393" s="6">
        <v>46235</v>
      </c>
      <c r="H2393" s="2" t="s">
        <v>71</v>
      </c>
      <c r="I2393" s="2" t="s">
        <v>39</v>
      </c>
      <c r="J2393" s="9">
        <v>1301.752</v>
      </c>
      <c r="K2393" s="7">
        <v>1</v>
      </c>
      <c r="L2393" s="9">
        <v>1301.75</v>
      </c>
      <c r="M2393" s="9">
        <v>1301.75</v>
      </c>
      <c r="N2393" s="9">
        <v>1.8</v>
      </c>
      <c r="O2393" s="10">
        <f>IF(AND(OR(H2393="APPROVED",H2393="SCHEDULED"),COUNTIFS(tblSource[EventID],F2393,tblSource[ReleaseStatus],"APPROVED")=1,COUNTIFS(Period_Status!$A$2:$A$8,G2393,Period_Status!$B$2:$B$8,"ActualClosed")=1,C2393&gt;EOMONTH(Settlement_Bridge!$C$2,0)),1,0)</f>
        <v>0</v>
      </c>
      <c r="P2393" s="2" t="s">
        <v>6761</v>
      </c>
    </row>
    <row r="2394" spans="1:16" x14ac:dyDescent="0.25">
      <c r="A2394" s="2" t="s">
        <v>6762</v>
      </c>
      <c r="B2394" s="2" t="s">
        <v>199</v>
      </c>
      <c r="C2394" s="8">
        <v>46281</v>
      </c>
      <c r="D2394" s="6">
        <v>46266</v>
      </c>
      <c r="E2394" s="2" t="s">
        <v>260</v>
      </c>
      <c r="F2394" s="2" t="s">
        <v>6760</v>
      </c>
      <c r="G2394" s="6">
        <v>46235</v>
      </c>
      <c r="H2394" s="2" t="s">
        <v>176</v>
      </c>
      <c r="I2394" s="2" t="s">
        <v>39</v>
      </c>
      <c r="J2394" s="9">
        <v>1952.6279999999999</v>
      </c>
      <c r="K2394" s="7">
        <v>1</v>
      </c>
      <c r="L2394" s="9">
        <v>1952.63</v>
      </c>
      <c r="M2394" s="9">
        <v>1952.63</v>
      </c>
      <c r="N2394" s="9">
        <v>1.8</v>
      </c>
      <c r="O2394" s="10">
        <f>IF(AND(OR(H2394="APPROVED",H2394="SCHEDULED"),COUNTIFS(tblSource[EventID],F2394,tblSource[ReleaseStatus],"APPROVED")=1,COUNTIFS(Period_Status!$A$2:$A$8,G2394,Period_Status!$B$2:$B$8,"ActualClosed")=1,C2394&gt;EOMONTH(Settlement_Bridge!$C$2,0)),1,0)</f>
        <v>0</v>
      </c>
      <c r="P2394" s="2" t="s">
        <v>6763</v>
      </c>
    </row>
    <row r="2395" spans="1:16" x14ac:dyDescent="0.25">
      <c r="A2395" s="2" t="s">
        <v>6764</v>
      </c>
      <c r="B2395" s="2" t="s">
        <v>199</v>
      </c>
      <c r="C2395" s="8">
        <v>46257</v>
      </c>
      <c r="D2395" s="6">
        <v>46235</v>
      </c>
      <c r="E2395" s="2" t="s">
        <v>260</v>
      </c>
      <c r="F2395" s="2" t="s">
        <v>6765</v>
      </c>
      <c r="G2395" s="6">
        <v>46235</v>
      </c>
      <c r="H2395" s="2" t="s">
        <v>71</v>
      </c>
      <c r="I2395" s="2" t="s">
        <v>76</v>
      </c>
      <c r="J2395" s="9">
        <v>22291967.479674999</v>
      </c>
      <c r="K2395" s="7">
        <v>6.1500000000000004E-5</v>
      </c>
      <c r="L2395" s="9">
        <v>1370.96</v>
      </c>
      <c r="M2395" s="9">
        <v>1370.96</v>
      </c>
      <c r="N2395" s="9">
        <v>1.8</v>
      </c>
      <c r="O2395" s="10">
        <f>IF(AND(OR(H2395="APPROVED",H2395="SCHEDULED"),COUNTIFS(tblSource[EventID],F2395,tblSource[ReleaseStatus],"APPROVED")=1,COUNTIFS(Period_Status!$A$2:$A$8,G2395,Period_Status!$B$2:$B$8,"ActualClosed")=1,C2395&gt;EOMONTH(Settlement_Bridge!$C$2,0)),1,0)</f>
        <v>0</v>
      </c>
      <c r="P2395" s="2" t="s">
        <v>6766</v>
      </c>
    </row>
    <row r="2396" spans="1:16" x14ac:dyDescent="0.25">
      <c r="A2396" s="2" t="s">
        <v>6767</v>
      </c>
      <c r="B2396" s="2" t="s">
        <v>199</v>
      </c>
      <c r="C2396" s="8">
        <v>46282</v>
      </c>
      <c r="D2396" s="6">
        <v>46266</v>
      </c>
      <c r="E2396" s="2" t="s">
        <v>260</v>
      </c>
      <c r="F2396" s="2" t="s">
        <v>6765</v>
      </c>
      <c r="G2396" s="6">
        <v>46235</v>
      </c>
      <c r="H2396" s="2" t="s">
        <v>176</v>
      </c>
      <c r="I2396" s="2" t="s">
        <v>76</v>
      </c>
      <c r="J2396" s="9">
        <v>33437951.219512001</v>
      </c>
      <c r="K2396" s="7">
        <v>6.1299999999999999E-5</v>
      </c>
      <c r="L2396" s="9">
        <v>2049.75</v>
      </c>
      <c r="M2396" s="9">
        <v>2056.4299999999998</v>
      </c>
      <c r="N2396" s="9">
        <v>1.8</v>
      </c>
      <c r="O2396" s="10">
        <f>IF(AND(OR(H2396="APPROVED",H2396="SCHEDULED"),COUNTIFS(tblSource[EventID],F2396,tblSource[ReleaseStatus],"APPROVED")=1,COUNTIFS(Period_Status!$A$2:$A$8,G2396,Period_Status!$B$2:$B$8,"ActualClosed")=1,C2396&gt;EOMONTH(Settlement_Bridge!$C$2,0)),1,0)</f>
        <v>0</v>
      </c>
      <c r="P2396" s="2" t="s">
        <v>6768</v>
      </c>
    </row>
    <row r="2397" spans="1:16" x14ac:dyDescent="0.25">
      <c r="A2397" s="2" t="s">
        <v>6769</v>
      </c>
      <c r="B2397" s="2" t="s">
        <v>199</v>
      </c>
      <c r="C2397" s="8">
        <v>46268</v>
      </c>
      <c r="D2397" s="6">
        <v>46266</v>
      </c>
      <c r="E2397" s="2" t="s">
        <v>260</v>
      </c>
      <c r="F2397" s="2" t="s">
        <v>6770</v>
      </c>
      <c r="G2397" s="6">
        <v>46235</v>
      </c>
      <c r="H2397" s="2" t="s">
        <v>176</v>
      </c>
      <c r="I2397" s="2" t="s">
        <v>70</v>
      </c>
      <c r="J2397" s="9">
        <v>5539.0769229999996</v>
      </c>
      <c r="K2397" s="7">
        <v>0.65100000000000002</v>
      </c>
      <c r="L2397" s="9">
        <v>3605.94</v>
      </c>
      <c r="M2397" s="9">
        <v>3600.4</v>
      </c>
      <c r="N2397" s="9">
        <v>1.98</v>
      </c>
      <c r="O2397" s="10">
        <f>IF(AND(OR(H2397="APPROVED",H2397="SCHEDULED"),COUNTIFS(tblSource[EventID],F2397,tblSource[ReleaseStatus],"APPROVED")=1,COUNTIFS(Period_Status!$A$2:$A$8,G2397,Period_Status!$B$2:$B$8,"ActualClosed")=1,C2397&gt;EOMONTH(Settlement_Bridge!$C$2,0)),1,0)</f>
        <v>0</v>
      </c>
      <c r="P2397" s="2" t="s">
        <v>6771</v>
      </c>
    </row>
    <row r="2398" spans="1:16" x14ac:dyDescent="0.25">
      <c r="A2398" s="2" t="s">
        <v>6772</v>
      </c>
      <c r="B2398" s="2" t="s">
        <v>199</v>
      </c>
      <c r="C2398" s="8">
        <v>46269</v>
      </c>
      <c r="D2398" s="6">
        <v>46266</v>
      </c>
      <c r="E2398" s="2" t="s">
        <v>260</v>
      </c>
      <c r="F2398" s="2" t="s">
        <v>6773</v>
      </c>
      <c r="G2398" s="6">
        <v>46235</v>
      </c>
      <c r="H2398" s="2" t="s">
        <v>176</v>
      </c>
      <c r="I2398" s="2" t="s">
        <v>39</v>
      </c>
      <c r="J2398" s="9">
        <v>3773.41</v>
      </c>
      <c r="K2398" s="7">
        <v>1</v>
      </c>
      <c r="L2398" s="9">
        <v>3773.41</v>
      </c>
      <c r="M2398" s="9">
        <v>3773.41</v>
      </c>
      <c r="N2398" s="9">
        <v>2.08</v>
      </c>
      <c r="O2398" s="10">
        <f>IF(AND(OR(H2398="APPROVED",H2398="SCHEDULED"),COUNTIFS(tblSource[EventID],F2398,tblSource[ReleaseStatus],"APPROVED")=1,COUNTIFS(Period_Status!$A$2:$A$8,G2398,Period_Status!$B$2:$B$8,"ActualClosed")=1,C2398&gt;EOMONTH(Settlement_Bridge!$C$2,0)),1,0)</f>
        <v>0</v>
      </c>
      <c r="P2398" s="2" t="s">
        <v>6774</v>
      </c>
    </row>
    <row r="2399" spans="1:16" x14ac:dyDescent="0.25">
      <c r="A2399" s="2" t="s">
        <v>6775</v>
      </c>
      <c r="B2399" s="2" t="s">
        <v>199</v>
      </c>
      <c r="C2399" s="8">
        <v>46260</v>
      </c>
      <c r="D2399" s="6">
        <v>46235</v>
      </c>
      <c r="E2399" s="2" t="s">
        <v>260</v>
      </c>
      <c r="F2399" s="2" t="s">
        <v>6776</v>
      </c>
      <c r="G2399" s="6">
        <v>46235</v>
      </c>
      <c r="H2399" s="2" t="s">
        <v>71</v>
      </c>
      <c r="I2399" s="2" t="s">
        <v>76</v>
      </c>
      <c r="J2399" s="9">
        <v>25667772.357724</v>
      </c>
      <c r="K2399" s="7">
        <v>6.1500000000000004E-5</v>
      </c>
      <c r="L2399" s="9">
        <v>1578.57</v>
      </c>
      <c r="M2399" s="9">
        <v>1578.57</v>
      </c>
      <c r="N2399" s="9">
        <v>1.8</v>
      </c>
      <c r="O2399" s="10">
        <f>IF(AND(OR(H2399="APPROVED",H2399="SCHEDULED"),COUNTIFS(tblSource[EventID],F2399,tblSource[ReleaseStatus],"APPROVED")=1,COUNTIFS(Period_Status!$A$2:$A$8,G2399,Period_Status!$B$2:$B$8,"ActualClosed")=1,C2399&gt;EOMONTH(Settlement_Bridge!$C$2,0)),1,0)</f>
        <v>0</v>
      </c>
      <c r="P2399" s="2" t="s">
        <v>6777</v>
      </c>
    </row>
    <row r="2400" spans="1:16" x14ac:dyDescent="0.25">
      <c r="A2400" s="2" t="s">
        <v>6778</v>
      </c>
      <c r="B2400" s="2" t="s">
        <v>199</v>
      </c>
      <c r="C2400" s="8">
        <v>46285</v>
      </c>
      <c r="D2400" s="6">
        <v>46266</v>
      </c>
      <c r="E2400" s="2" t="s">
        <v>260</v>
      </c>
      <c r="F2400" s="2" t="s">
        <v>6776</v>
      </c>
      <c r="G2400" s="6">
        <v>46235</v>
      </c>
      <c r="H2400" s="2" t="s">
        <v>176</v>
      </c>
      <c r="I2400" s="2" t="s">
        <v>76</v>
      </c>
      <c r="J2400" s="9">
        <v>38501658.536585003</v>
      </c>
      <c r="K2400" s="7">
        <v>6.1299999999999999E-5</v>
      </c>
      <c r="L2400" s="9">
        <v>2360.15</v>
      </c>
      <c r="M2400" s="9">
        <v>2367.85</v>
      </c>
      <c r="N2400" s="9">
        <v>1.8</v>
      </c>
      <c r="O2400" s="10">
        <f>IF(AND(OR(H2400="APPROVED",H2400="SCHEDULED"),COUNTIFS(tblSource[EventID],F2400,tblSource[ReleaseStatus],"APPROVED")=1,COUNTIFS(Period_Status!$A$2:$A$8,G2400,Period_Status!$B$2:$B$8,"ActualClosed")=1,C2400&gt;EOMONTH(Settlement_Bridge!$C$2,0)),1,0)</f>
        <v>0</v>
      </c>
      <c r="P2400" s="2" t="s">
        <v>6779</v>
      </c>
    </row>
    <row r="2401" spans="1:16" x14ac:dyDescent="0.25">
      <c r="A2401" s="2" t="s">
        <v>6780</v>
      </c>
      <c r="B2401" s="2" t="s">
        <v>199</v>
      </c>
      <c r="C2401" s="8">
        <v>46271</v>
      </c>
      <c r="D2401" s="6">
        <v>46266</v>
      </c>
      <c r="E2401" s="2" t="s">
        <v>260</v>
      </c>
      <c r="F2401" s="2" t="s">
        <v>6781</v>
      </c>
      <c r="G2401" s="6">
        <v>46235</v>
      </c>
      <c r="H2401" s="2" t="s">
        <v>176</v>
      </c>
      <c r="I2401" s="2" t="s">
        <v>70</v>
      </c>
      <c r="J2401" s="9">
        <v>6337.5846149999998</v>
      </c>
      <c r="K2401" s="7">
        <v>0.65100000000000002</v>
      </c>
      <c r="L2401" s="9">
        <v>4125.7700000000004</v>
      </c>
      <c r="M2401" s="9">
        <v>4119.43</v>
      </c>
      <c r="N2401" s="9">
        <v>2.27</v>
      </c>
      <c r="O2401" s="10">
        <f>IF(AND(OR(H2401="APPROVED",H2401="SCHEDULED"),COUNTIFS(tblSource[EventID],F2401,tblSource[ReleaseStatus],"APPROVED")=1,COUNTIFS(Period_Status!$A$2:$A$8,G2401,Period_Status!$B$2:$B$8,"ActualClosed")=1,C2401&gt;EOMONTH(Settlement_Bridge!$C$2,0)),1,0)</f>
        <v>0</v>
      </c>
      <c r="P2401" s="2" t="s">
        <v>6782</v>
      </c>
    </row>
    <row r="2402" spans="1:16" x14ac:dyDescent="0.25">
      <c r="A2402" s="2" t="s">
        <v>6783</v>
      </c>
      <c r="B2402" s="2" t="s">
        <v>199</v>
      </c>
      <c r="C2402" s="8">
        <v>46272</v>
      </c>
      <c r="D2402" s="6">
        <v>46266</v>
      </c>
      <c r="E2402" s="2" t="s">
        <v>260</v>
      </c>
      <c r="F2402" s="2" t="s">
        <v>6784</v>
      </c>
      <c r="G2402" s="6">
        <v>46235</v>
      </c>
      <c r="H2402" s="2" t="s">
        <v>176</v>
      </c>
      <c r="I2402" s="2" t="s">
        <v>39</v>
      </c>
      <c r="J2402" s="9">
        <v>-4292.4399999999996</v>
      </c>
      <c r="K2402" s="7">
        <v>1</v>
      </c>
      <c r="L2402" s="9">
        <v>-4292.4399999999996</v>
      </c>
      <c r="M2402" s="9">
        <v>-4292.4399999999996</v>
      </c>
      <c r="N2402" s="9">
        <v>0</v>
      </c>
      <c r="O2402" s="10">
        <f>IF(AND(OR(H2402="APPROVED",H2402="SCHEDULED"),COUNTIFS(tblSource[EventID],F2402,tblSource[ReleaseStatus],"APPROVED")=1,COUNTIFS(Period_Status!$A$2:$A$8,G2402,Period_Status!$B$2:$B$8,"ActualClosed")=1,C2402&gt;EOMONTH(Settlement_Bridge!$C$2,0)),1,0)</f>
        <v>0</v>
      </c>
      <c r="P2402" s="2" t="s">
        <v>6785</v>
      </c>
    </row>
    <row r="2403" spans="1:16" x14ac:dyDescent="0.25">
      <c r="A2403" s="2" t="s">
        <v>6786</v>
      </c>
      <c r="B2403" s="2" t="s">
        <v>199</v>
      </c>
      <c r="C2403" s="8">
        <v>46273</v>
      </c>
      <c r="D2403" s="6">
        <v>46266</v>
      </c>
      <c r="E2403" s="2" t="s">
        <v>260</v>
      </c>
      <c r="F2403" s="2" t="s">
        <v>6787</v>
      </c>
      <c r="G2403" s="6">
        <v>46235</v>
      </c>
      <c r="H2403" s="2" t="s">
        <v>176</v>
      </c>
      <c r="I2403" s="2" t="s">
        <v>76</v>
      </c>
      <c r="J2403" s="9">
        <v>72608943.089431003</v>
      </c>
      <c r="K2403" s="7">
        <v>6.1299999999999999E-5</v>
      </c>
      <c r="L2403" s="9">
        <v>4450.93</v>
      </c>
      <c r="M2403" s="9">
        <v>4465.45</v>
      </c>
      <c r="N2403" s="9">
        <v>2.4500000000000002</v>
      </c>
      <c r="O2403" s="10">
        <f>IF(AND(OR(H2403="APPROVED",H2403="SCHEDULED"),COUNTIFS(tblSource[EventID],F2403,tblSource[ReleaseStatus],"APPROVED")=1,COUNTIFS(Period_Status!$A$2:$A$8,G2403,Period_Status!$B$2:$B$8,"ActualClosed")=1,C2403&gt;EOMONTH(Settlement_Bridge!$C$2,0)),1,0)</f>
        <v>0</v>
      </c>
      <c r="P2403" s="2" t="s">
        <v>6788</v>
      </c>
    </row>
    <row r="2404" spans="1:16" x14ac:dyDescent="0.25">
      <c r="A2404" s="2" t="s">
        <v>6789</v>
      </c>
      <c r="B2404" s="2" t="s">
        <v>199</v>
      </c>
      <c r="C2404" s="8">
        <v>46274</v>
      </c>
      <c r="D2404" s="6">
        <v>46266</v>
      </c>
      <c r="E2404" s="2" t="s">
        <v>260</v>
      </c>
      <c r="F2404" s="2" t="s">
        <v>6790</v>
      </c>
      <c r="G2404" s="6">
        <v>46235</v>
      </c>
      <c r="H2404" s="2" t="s">
        <v>176</v>
      </c>
      <c r="I2404" s="2" t="s">
        <v>70</v>
      </c>
      <c r="J2404" s="9">
        <v>7136.0923080000002</v>
      </c>
      <c r="K2404" s="7">
        <v>0.65100000000000002</v>
      </c>
      <c r="L2404" s="9">
        <v>4645.6000000000004</v>
      </c>
      <c r="M2404" s="9">
        <v>4638.46</v>
      </c>
      <c r="N2404" s="9">
        <v>2.56</v>
      </c>
      <c r="O2404" s="10">
        <f>IF(AND(OR(H2404="APPROVED",H2404="SCHEDULED"),COUNTIFS(tblSource[EventID],F2404,tblSource[ReleaseStatus],"APPROVED")=1,COUNTIFS(Period_Status!$A$2:$A$8,G2404,Period_Status!$B$2:$B$8,"ActualClosed")=1,C2404&gt;EOMONTH(Settlement_Bridge!$C$2,0)),1,0)</f>
        <v>0</v>
      </c>
      <c r="P2404" s="2" t="s">
        <v>6791</v>
      </c>
    </row>
    <row r="2405" spans="1:16" x14ac:dyDescent="0.25">
      <c r="A2405" s="2" t="s">
        <v>6792</v>
      </c>
      <c r="B2405" s="2" t="s">
        <v>199</v>
      </c>
      <c r="C2405" s="8">
        <v>46275</v>
      </c>
      <c r="D2405" s="6">
        <v>46266</v>
      </c>
      <c r="E2405" s="2" t="s">
        <v>260</v>
      </c>
      <c r="F2405" s="2" t="s">
        <v>6793</v>
      </c>
      <c r="G2405" s="6">
        <v>46235</v>
      </c>
      <c r="H2405" s="2" t="s">
        <v>176</v>
      </c>
      <c r="I2405" s="2" t="s">
        <v>39</v>
      </c>
      <c r="J2405" s="9">
        <v>4811.47</v>
      </c>
      <c r="K2405" s="7">
        <v>1</v>
      </c>
      <c r="L2405" s="9">
        <v>4811.47</v>
      </c>
      <c r="M2405" s="9">
        <v>4811.47</v>
      </c>
      <c r="N2405" s="9">
        <v>2.65</v>
      </c>
      <c r="O2405" s="10">
        <f>IF(AND(OR(H2405="APPROVED",H2405="SCHEDULED"),COUNTIFS(tblSource[EventID],F2405,tblSource[ReleaseStatus],"APPROVED")=1,COUNTIFS(Period_Status!$A$2:$A$8,G2405,Period_Status!$B$2:$B$8,"ActualClosed")=1,C2405&gt;EOMONTH(Settlement_Bridge!$C$2,0)),1,0)</f>
        <v>0</v>
      </c>
      <c r="P2405" s="2" t="s">
        <v>6794</v>
      </c>
    </row>
    <row r="2406" spans="1:16" x14ac:dyDescent="0.25">
      <c r="A2406" s="2" t="s">
        <v>6795</v>
      </c>
      <c r="B2406" s="2" t="s">
        <v>199</v>
      </c>
      <c r="C2406" s="8">
        <v>46266</v>
      </c>
      <c r="D2406" s="6">
        <v>46266</v>
      </c>
      <c r="E2406" s="2" t="s">
        <v>260</v>
      </c>
      <c r="F2406" s="2" t="s">
        <v>6796</v>
      </c>
      <c r="G2406" s="6">
        <v>46235</v>
      </c>
      <c r="H2406" s="2" t="s">
        <v>176</v>
      </c>
      <c r="I2406" s="2" t="s">
        <v>76</v>
      </c>
      <c r="J2406" s="9">
        <v>32419382.113821</v>
      </c>
      <c r="K2406" s="7">
        <v>6.1299999999999999E-5</v>
      </c>
      <c r="L2406" s="9">
        <v>1987.31</v>
      </c>
      <c r="M2406" s="9">
        <v>1993.79</v>
      </c>
      <c r="N2406" s="9">
        <v>1.8</v>
      </c>
      <c r="O2406" s="10">
        <f>IF(AND(OR(H2406="APPROVED",H2406="SCHEDULED"),COUNTIFS(tblSource[EventID],F2406,tblSource[ReleaseStatus],"APPROVED")=1,COUNTIFS(Period_Status!$A$2:$A$8,G2406,Period_Status!$B$2:$B$8,"ActualClosed")=1,C2406&gt;EOMONTH(Settlement_Bridge!$C$2,0)),1,0)</f>
        <v>0</v>
      </c>
      <c r="P2406" s="2" t="s">
        <v>6797</v>
      </c>
    </row>
    <row r="2407" spans="1:16" x14ac:dyDescent="0.25">
      <c r="A2407" s="2" t="s">
        <v>6798</v>
      </c>
      <c r="B2407" s="2" t="s">
        <v>199</v>
      </c>
      <c r="C2407" s="8">
        <v>46291</v>
      </c>
      <c r="D2407" s="6">
        <v>46266</v>
      </c>
      <c r="E2407" s="2" t="s">
        <v>260</v>
      </c>
      <c r="F2407" s="2" t="s">
        <v>6796</v>
      </c>
      <c r="G2407" s="6">
        <v>46235</v>
      </c>
      <c r="H2407" s="2" t="s">
        <v>176</v>
      </c>
      <c r="I2407" s="2" t="s">
        <v>76</v>
      </c>
      <c r="J2407" s="9">
        <v>48629073.170731999</v>
      </c>
      <c r="K2407" s="7">
        <v>6.1299999999999999E-5</v>
      </c>
      <c r="L2407" s="9">
        <v>2980.96</v>
      </c>
      <c r="M2407" s="9">
        <v>2990.69</v>
      </c>
      <c r="N2407" s="9">
        <v>1.8</v>
      </c>
      <c r="O2407" s="10">
        <f>IF(AND(OR(H2407="APPROVED",H2407="SCHEDULED"),COUNTIFS(tblSource[EventID],F2407,tblSource[ReleaseStatus],"APPROVED")=1,COUNTIFS(Period_Status!$A$2:$A$8,G2407,Period_Status!$B$2:$B$8,"ActualClosed")=1,C2407&gt;EOMONTH(Settlement_Bridge!$C$2,0)),1,0)</f>
        <v>0</v>
      </c>
      <c r="P2407" s="2" t="s">
        <v>6799</v>
      </c>
    </row>
    <row r="2408" spans="1:16" x14ac:dyDescent="0.25">
      <c r="A2408" s="2" t="s">
        <v>6800</v>
      </c>
      <c r="B2408" s="2" t="s">
        <v>199</v>
      </c>
      <c r="C2408" s="8">
        <v>46267</v>
      </c>
      <c r="D2408" s="6">
        <v>46266</v>
      </c>
      <c r="E2408" s="2" t="s">
        <v>260</v>
      </c>
      <c r="F2408" s="2" t="s">
        <v>6801</v>
      </c>
      <c r="G2408" s="6">
        <v>46235</v>
      </c>
      <c r="H2408" s="2" t="s">
        <v>176</v>
      </c>
      <c r="I2408" s="2" t="s">
        <v>70</v>
      </c>
      <c r="J2408" s="9">
        <v>3173.84</v>
      </c>
      <c r="K2408" s="7">
        <v>0.65100000000000002</v>
      </c>
      <c r="L2408" s="9">
        <v>2066.17</v>
      </c>
      <c r="M2408" s="9">
        <v>2063</v>
      </c>
      <c r="N2408" s="9">
        <v>1.8</v>
      </c>
      <c r="O2408" s="10">
        <f>IF(AND(OR(H2408="APPROVED",H2408="SCHEDULED"),COUNTIFS(tblSource[EventID],F2408,tblSource[ReleaseStatus],"APPROVED")=1,COUNTIFS(Period_Status!$A$2:$A$8,G2408,Period_Status!$B$2:$B$8,"ActualClosed")=1,C2408&gt;EOMONTH(Settlement_Bridge!$C$2,0)),1,0)</f>
        <v>0</v>
      </c>
      <c r="P2408" s="2" t="s">
        <v>6802</v>
      </c>
    </row>
    <row r="2409" spans="1:16" x14ac:dyDescent="0.25">
      <c r="A2409" s="2" t="s">
        <v>6803</v>
      </c>
      <c r="B2409" s="2" t="s">
        <v>199</v>
      </c>
      <c r="C2409" s="8">
        <v>46292</v>
      </c>
      <c r="D2409" s="6">
        <v>46266</v>
      </c>
      <c r="E2409" s="2" t="s">
        <v>260</v>
      </c>
      <c r="F2409" s="2" t="s">
        <v>6801</v>
      </c>
      <c r="G2409" s="6">
        <v>46235</v>
      </c>
      <c r="H2409" s="2" t="s">
        <v>176</v>
      </c>
      <c r="I2409" s="2" t="s">
        <v>70</v>
      </c>
      <c r="J2409" s="9">
        <v>4760.76</v>
      </c>
      <c r="K2409" s="7">
        <v>0.65100000000000002</v>
      </c>
      <c r="L2409" s="9">
        <v>3099.25</v>
      </c>
      <c r="M2409" s="9">
        <v>3094.49</v>
      </c>
      <c r="N2409" s="9">
        <v>1.8</v>
      </c>
      <c r="O2409" s="10">
        <f>IF(AND(OR(H2409="APPROVED",H2409="SCHEDULED"),COUNTIFS(tblSource[EventID],F2409,tblSource[ReleaseStatus],"APPROVED")=1,COUNTIFS(Period_Status!$A$2:$A$8,G2409,Period_Status!$B$2:$B$8,"ActualClosed")=1,C2409&gt;EOMONTH(Settlement_Bridge!$C$2,0)),1,0)</f>
        <v>0</v>
      </c>
      <c r="P2409" s="2" t="s">
        <v>6804</v>
      </c>
    </row>
    <row r="2410" spans="1:16" x14ac:dyDescent="0.25">
      <c r="A2410" s="2" t="s">
        <v>6805</v>
      </c>
      <c r="B2410" s="2" t="s">
        <v>199</v>
      </c>
      <c r="C2410" s="8">
        <v>46278</v>
      </c>
      <c r="D2410" s="6">
        <v>46266</v>
      </c>
      <c r="E2410" s="2" t="s">
        <v>260</v>
      </c>
      <c r="F2410" s="2" t="s">
        <v>6806</v>
      </c>
      <c r="G2410" s="6">
        <v>46235</v>
      </c>
      <c r="H2410" s="2" t="s">
        <v>176</v>
      </c>
      <c r="I2410" s="2" t="s">
        <v>39</v>
      </c>
      <c r="J2410" s="9">
        <v>5330.5</v>
      </c>
      <c r="K2410" s="7">
        <v>1</v>
      </c>
      <c r="L2410" s="9">
        <v>5330.5</v>
      </c>
      <c r="M2410" s="9">
        <v>5330.5</v>
      </c>
      <c r="N2410" s="9">
        <v>2.93</v>
      </c>
      <c r="O2410" s="10">
        <f>IF(AND(OR(H2410="APPROVED",H2410="SCHEDULED"),COUNTIFS(tblSource[EventID],F2410,tblSource[ReleaseStatus],"APPROVED")=1,COUNTIFS(Period_Status!$A$2:$A$8,G2410,Period_Status!$B$2:$B$8,"ActualClosed")=1,C2410&gt;EOMONTH(Settlement_Bridge!$C$2,0)),1,0)</f>
        <v>0</v>
      </c>
      <c r="P2410" s="2" t="s">
        <v>6807</v>
      </c>
    </row>
    <row r="2411" spans="1:16" x14ac:dyDescent="0.25">
      <c r="A2411" s="2" t="s">
        <v>6808</v>
      </c>
      <c r="B2411" s="2" t="s">
        <v>199</v>
      </c>
      <c r="C2411" s="8">
        <v>46279</v>
      </c>
      <c r="D2411" s="6">
        <v>46266</v>
      </c>
      <c r="E2411" s="2" t="s">
        <v>260</v>
      </c>
      <c r="F2411" s="2" t="s">
        <v>6809</v>
      </c>
      <c r="G2411" s="6">
        <v>46235</v>
      </c>
      <c r="H2411" s="2" t="s">
        <v>176</v>
      </c>
      <c r="I2411" s="2" t="s">
        <v>76</v>
      </c>
      <c r="J2411" s="9">
        <v>89487967.479674995</v>
      </c>
      <c r="K2411" s="7">
        <v>6.1299999999999999E-5</v>
      </c>
      <c r="L2411" s="9">
        <v>5485.61</v>
      </c>
      <c r="M2411" s="9">
        <v>5503.51</v>
      </c>
      <c r="N2411" s="9">
        <v>3.02</v>
      </c>
      <c r="O2411" s="10">
        <f>IF(AND(OR(H2411="APPROVED",H2411="SCHEDULED"),COUNTIFS(tblSource[EventID],F2411,tblSource[ReleaseStatus],"APPROVED")=1,COUNTIFS(Period_Status!$A$2:$A$8,G2411,Period_Status!$B$2:$B$8,"ActualClosed")=1,C2411&gt;EOMONTH(Settlement_Bridge!$C$2,0)),1,0)</f>
        <v>0</v>
      </c>
      <c r="P2411" s="2" t="s">
        <v>6810</v>
      </c>
    </row>
    <row r="2412" spans="1:16" x14ac:dyDescent="0.25">
      <c r="A2412" s="2" t="s">
        <v>6811</v>
      </c>
      <c r="B2412" s="2" t="s">
        <v>199</v>
      </c>
      <c r="C2412" s="8">
        <v>46270</v>
      </c>
      <c r="D2412" s="6">
        <v>46266</v>
      </c>
      <c r="E2412" s="2" t="s">
        <v>260</v>
      </c>
      <c r="F2412" s="2" t="s">
        <v>6812</v>
      </c>
      <c r="G2412" s="6">
        <v>46235</v>
      </c>
      <c r="H2412" s="2" t="s">
        <v>176</v>
      </c>
      <c r="I2412" s="2" t="s">
        <v>70</v>
      </c>
      <c r="J2412" s="9">
        <v>3493.2430770000001</v>
      </c>
      <c r="K2412" s="7">
        <v>0.65100000000000002</v>
      </c>
      <c r="L2412" s="9">
        <v>2274.1</v>
      </c>
      <c r="M2412" s="9">
        <v>2270.61</v>
      </c>
      <c r="N2412" s="9">
        <v>1.8</v>
      </c>
      <c r="O2412" s="10">
        <f>IF(AND(OR(H2412="APPROVED",H2412="SCHEDULED"),COUNTIFS(tblSource[EventID],F2412,tblSource[ReleaseStatus],"APPROVED")=1,COUNTIFS(Period_Status!$A$2:$A$8,G2412,Period_Status!$B$2:$B$8,"ActualClosed")=1,C2412&gt;EOMONTH(Settlement_Bridge!$C$2,0)),1,0)</f>
        <v>0</v>
      </c>
      <c r="P2412" s="2" t="s">
        <v>6813</v>
      </c>
    </row>
    <row r="2413" spans="1:16" x14ac:dyDescent="0.25">
      <c r="A2413" s="2" t="s">
        <v>6814</v>
      </c>
      <c r="B2413" s="2" t="s">
        <v>199</v>
      </c>
      <c r="C2413" s="8">
        <v>46295</v>
      </c>
      <c r="D2413" s="6">
        <v>46266</v>
      </c>
      <c r="E2413" s="2" t="s">
        <v>260</v>
      </c>
      <c r="F2413" s="2" t="s">
        <v>6812</v>
      </c>
      <c r="G2413" s="6">
        <v>46235</v>
      </c>
      <c r="H2413" s="2" t="s">
        <v>176</v>
      </c>
      <c r="I2413" s="2" t="s">
        <v>70</v>
      </c>
      <c r="J2413" s="9">
        <v>5239.8646150000004</v>
      </c>
      <c r="K2413" s="7">
        <v>0.65100000000000002</v>
      </c>
      <c r="L2413" s="9">
        <v>3411.15</v>
      </c>
      <c r="M2413" s="9">
        <v>3405.91</v>
      </c>
      <c r="N2413" s="9">
        <v>1.88</v>
      </c>
      <c r="O2413" s="10">
        <f>IF(AND(OR(H2413="APPROVED",H2413="SCHEDULED"),COUNTIFS(tblSource[EventID],F2413,tblSource[ReleaseStatus],"APPROVED")=1,COUNTIFS(Period_Status!$A$2:$A$8,G2413,Period_Status!$B$2:$B$8,"ActualClosed")=1,C2413&gt;EOMONTH(Settlement_Bridge!$C$2,0)),1,0)</f>
        <v>0</v>
      </c>
      <c r="P2413" s="2" t="s">
        <v>6815</v>
      </c>
    </row>
    <row r="2414" spans="1:16" x14ac:dyDescent="0.25">
      <c r="A2414" s="2" t="s">
        <v>6816</v>
      </c>
      <c r="B2414" s="2" t="s">
        <v>199</v>
      </c>
      <c r="C2414" s="8">
        <v>46281</v>
      </c>
      <c r="D2414" s="6">
        <v>46266</v>
      </c>
      <c r="E2414" s="2" t="s">
        <v>260</v>
      </c>
      <c r="F2414" s="2" t="s">
        <v>6817</v>
      </c>
      <c r="G2414" s="6">
        <v>46235</v>
      </c>
      <c r="H2414" s="2" t="s">
        <v>176</v>
      </c>
      <c r="I2414" s="2" t="s">
        <v>39</v>
      </c>
      <c r="J2414" s="9">
        <v>5849.53</v>
      </c>
      <c r="K2414" s="7">
        <v>1</v>
      </c>
      <c r="L2414" s="9">
        <v>5849.53</v>
      </c>
      <c r="M2414" s="9">
        <v>5849.53</v>
      </c>
      <c r="N2414" s="9">
        <v>3.22</v>
      </c>
      <c r="O2414" s="10">
        <f>IF(AND(OR(H2414="APPROVED",H2414="SCHEDULED"),COUNTIFS(tblSource[EventID],F2414,tblSource[ReleaseStatus],"APPROVED")=1,COUNTIFS(Period_Status!$A$2:$A$8,G2414,Period_Status!$B$2:$B$8,"ActualClosed")=1,C2414&gt;EOMONTH(Settlement_Bridge!$C$2,0)),1,0)</f>
        <v>0</v>
      </c>
      <c r="P2414" s="2" t="s">
        <v>6818</v>
      </c>
    </row>
    <row r="2415" spans="1:16" x14ac:dyDescent="0.25">
      <c r="A2415" s="2" t="s">
        <v>6819</v>
      </c>
      <c r="B2415" s="2" t="s">
        <v>199</v>
      </c>
      <c r="C2415" s="8">
        <v>46282</v>
      </c>
      <c r="D2415" s="6">
        <v>46266</v>
      </c>
      <c r="E2415" s="2" t="s">
        <v>260</v>
      </c>
      <c r="F2415" s="2" t="s">
        <v>6820</v>
      </c>
      <c r="G2415" s="6">
        <v>46235</v>
      </c>
      <c r="H2415" s="2" t="s">
        <v>176</v>
      </c>
      <c r="I2415" s="2" t="s">
        <v>76</v>
      </c>
      <c r="J2415" s="9">
        <v>97927479.674796999</v>
      </c>
      <c r="K2415" s="7">
        <v>6.1299999999999999E-5</v>
      </c>
      <c r="L2415" s="9">
        <v>6002.95</v>
      </c>
      <c r="M2415" s="9">
        <v>6022.54</v>
      </c>
      <c r="N2415" s="9">
        <v>3.3</v>
      </c>
      <c r="O2415" s="10">
        <f>IF(AND(OR(H2415="APPROVED",H2415="SCHEDULED"),COUNTIFS(tblSource[EventID],F2415,tblSource[ReleaseStatus],"APPROVED")=1,COUNTIFS(Period_Status!$A$2:$A$8,G2415,Period_Status!$B$2:$B$8,"ActualClosed")=1,C2415&gt;EOMONTH(Settlement_Bridge!$C$2,0)),1,0)</f>
        <v>0</v>
      </c>
      <c r="P2415" s="2" t="s">
        <v>6821</v>
      </c>
    </row>
    <row r="2416" spans="1:16" x14ac:dyDescent="0.25">
      <c r="A2416" s="2" t="s">
        <v>6822</v>
      </c>
      <c r="B2416" s="2" t="s">
        <v>199</v>
      </c>
      <c r="C2416" s="8">
        <v>46283</v>
      </c>
      <c r="D2416" s="6">
        <v>46266</v>
      </c>
      <c r="E2416" s="2" t="s">
        <v>260</v>
      </c>
      <c r="F2416" s="2" t="s">
        <v>6823</v>
      </c>
      <c r="G2416" s="6">
        <v>46235</v>
      </c>
      <c r="H2416" s="2" t="s">
        <v>176</v>
      </c>
      <c r="I2416" s="2" t="s">
        <v>70</v>
      </c>
      <c r="J2416" s="9">
        <v>9531.6153849999992</v>
      </c>
      <c r="K2416" s="7">
        <v>0.65100000000000002</v>
      </c>
      <c r="L2416" s="9">
        <v>6205.08</v>
      </c>
      <c r="M2416" s="9">
        <v>6195.55</v>
      </c>
      <c r="N2416" s="9">
        <v>3.41</v>
      </c>
      <c r="O2416" s="10">
        <f>IF(AND(OR(H2416="APPROVED",H2416="SCHEDULED"),COUNTIFS(tblSource[EventID],F2416,tblSource[ReleaseStatus],"APPROVED")=1,COUNTIFS(Period_Status!$A$2:$A$8,G2416,Period_Status!$B$2:$B$8,"ActualClosed")=1,C2416&gt;EOMONTH(Settlement_Bridge!$C$2,0)),1,0)</f>
        <v>0</v>
      </c>
      <c r="P2416" s="2" t="s">
        <v>6824</v>
      </c>
    </row>
    <row r="2417" spans="1:16" x14ac:dyDescent="0.25">
      <c r="A2417" s="2" t="s">
        <v>6825</v>
      </c>
      <c r="B2417" s="2" t="s">
        <v>199</v>
      </c>
      <c r="C2417" s="8">
        <v>46284</v>
      </c>
      <c r="D2417" s="6">
        <v>46266</v>
      </c>
      <c r="E2417" s="2" t="s">
        <v>260</v>
      </c>
      <c r="F2417" s="2" t="s">
        <v>6826</v>
      </c>
      <c r="G2417" s="6">
        <v>46235</v>
      </c>
      <c r="H2417" s="2" t="s">
        <v>176</v>
      </c>
      <c r="I2417" s="2" t="s">
        <v>39</v>
      </c>
      <c r="J2417" s="9">
        <v>6368.56</v>
      </c>
      <c r="K2417" s="7">
        <v>1</v>
      </c>
      <c r="L2417" s="9">
        <v>6368.56</v>
      </c>
      <c r="M2417" s="9">
        <v>6368.56</v>
      </c>
      <c r="N2417" s="9">
        <v>3.5</v>
      </c>
      <c r="O2417" s="10">
        <f>IF(AND(OR(H2417="APPROVED",H2417="SCHEDULED"),COUNTIFS(tblSource[EventID],F2417,tblSource[ReleaseStatus],"APPROVED")=1,COUNTIFS(Period_Status!$A$2:$A$8,G2417,Period_Status!$B$2:$B$8,"ActualClosed")=1,C2417&gt;EOMONTH(Settlement_Bridge!$C$2,0)),1,0)</f>
        <v>0</v>
      </c>
      <c r="P2417" s="2" t="s">
        <v>6827</v>
      </c>
    </row>
    <row r="2418" spans="1:16" x14ac:dyDescent="0.25">
      <c r="A2418" s="2" t="s">
        <v>6828</v>
      </c>
      <c r="B2418" s="2" t="s">
        <v>199</v>
      </c>
      <c r="C2418" s="8">
        <v>46285</v>
      </c>
      <c r="D2418" s="6">
        <v>46266</v>
      </c>
      <c r="E2418" s="2" t="s">
        <v>260</v>
      </c>
      <c r="F2418" s="2" t="s">
        <v>6829</v>
      </c>
      <c r="G2418" s="6">
        <v>46235</v>
      </c>
      <c r="H2418" s="2" t="s">
        <v>176</v>
      </c>
      <c r="I2418" s="2" t="s">
        <v>76</v>
      </c>
      <c r="J2418" s="9">
        <v>106366991.869919</v>
      </c>
      <c r="K2418" s="7">
        <v>6.1299999999999999E-5</v>
      </c>
      <c r="L2418" s="9">
        <v>6520.3</v>
      </c>
      <c r="M2418" s="9">
        <v>6541.57</v>
      </c>
      <c r="N2418" s="9">
        <v>3.59</v>
      </c>
      <c r="O2418" s="10">
        <f>IF(AND(OR(H2418="APPROVED",H2418="SCHEDULED"),COUNTIFS(tblSource[EventID],F2418,tblSource[ReleaseStatus],"APPROVED")=1,COUNTIFS(Period_Status!$A$2:$A$8,G2418,Period_Status!$B$2:$B$8,"ActualClosed")=1,C2418&gt;EOMONTH(Settlement_Bridge!$C$2,0)),1,0)</f>
        <v>0</v>
      </c>
      <c r="P2418" s="2" t="s">
        <v>6830</v>
      </c>
    </row>
    <row r="2419" spans="1:16" x14ac:dyDescent="0.25">
      <c r="A2419" s="2" t="s">
        <v>6831</v>
      </c>
      <c r="B2419" s="2" t="s">
        <v>199</v>
      </c>
      <c r="C2419" s="8">
        <v>46276</v>
      </c>
      <c r="D2419" s="6">
        <v>46266</v>
      </c>
      <c r="E2419" s="2" t="s">
        <v>260</v>
      </c>
      <c r="F2419" s="2" t="s">
        <v>6832</v>
      </c>
      <c r="G2419" s="6">
        <v>46235</v>
      </c>
      <c r="H2419" s="2" t="s">
        <v>176</v>
      </c>
      <c r="I2419" s="2" t="s">
        <v>70</v>
      </c>
      <c r="J2419" s="9">
        <v>4132.049231</v>
      </c>
      <c r="K2419" s="7">
        <v>0.65100000000000002</v>
      </c>
      <c r="L2419" s="9">
        <v>2689.96</v>
      </c>
      <c r="M2419" s="9">
        <v>2685.83</v>
      </c>
      <c r="N2419" s="9">
        <v>1.8</v>
      </c>
      <c r="O2419" s="10">
        <f>IF(AND(OR(H2419="APPROVED",H2419="SCHEDULED"),COUNTIFS(tblSource[EventID],F2419,tblSource[ReleaseStatus],"APPROVED")=1,COUNTIFS(Period_Status!$A$2:$A$8,G2419,Period_Status!$B$2:$B$8,"ActualClosed")=1,C2419&gt;EOMONTH(Settlement_Bridge!$C$2,0)),1,0)</f>
        <v>0</v>
      </c>
      <c r="P2419" s="2" t="s">
        <v>6833</v>
      </c>
    </row>
    <row r="2420" spans="1:16" x14ac:dyDescent="0.25">
      <c r="A2420" s="2" t="s">
        <v>6834</v>
      </c>
      <c r="B2420" s="2" t="s">
        <v>199</v>
      </c>
      <c r="C2420" s="8">
        <v>46301</v>
      </c>
      <c r="D2420" s="6">
        <v>46296</v>
      </c>
      <c r="E2420" s="2" t="s">
        <v>260</v>
      </c>
      <c r="F2420" s="2" t="s">
        <v>6832</v>
      </c>
      <c r="G2420" s="6">
        <v>46235</v>
      </c>
      <c r="H2420" s="2" t="s">
        <v>176</v>
      </c>
      <c r="I2420" s="2" t="s">
        <v>70</v>
      </c>
      <c r="J2420" s="9">
        <v>6198.0738460000002</v>
      </c>
      <c r="K2420" s="7">
        <v>0.65500000000000003</v>
      </c>
      <c r="L2420" s="9">
        <v>4059.74</v>
      </c>
      <c r="M2420" s="9">
        <v>4028.75</v>
      </c>
      <c r="N2420" s="9">
        <v>2.23</v>
      </c>
      <c r="O2420" s="10">
        <f>IF(AND(OR(H2420="APPROVED",H2420="SCHEDULED"),COUNTIFS(tblSource[EventID],F2420,tblSource[ReleaseStatus],"APPROVED")=1,COUNTIFS(Period_Status!$A$2:$A$8,G2420,Period_Status!$B$2:$B$8,"ActualClosed")=1,C2420&gt;EOMONTH(Settlement_Bridge!$C$2,0)),1,0)</f>
        <v>0</v>
      </c>
      <c r="P2420" s="2" t="s">
        <v>6835</v>
      </c>
    </row>
    <row r="2421" spans="1:16" x14ac:dyDescent="0.25">
      <c r="A2421" s="2" t="s">
        <v>6836</v>
      </c>
      <c r="B2421" s="2" t="s">
        <v>199</v>
      </c>
      <c r="C2421" s="8">
        <v>46277</v>
      </c>
      <c r="D2421" s="6">
        <v>46266</v>
      </c>
      <c r="E2421" s="2" t="s">
        <v>260</v>
      </c>
      <c r="F2421" s="2" t="s">
        <v>6837</v>
      </c>
      <c r="G2421" s="6">
        <v>46235</v>
      </c>
      <c r="H2421" s="2" t="s">
        <v>176</v>
      </c>
      <c r="I2421" s="2" t="s">
        <v>39</v>
      </c>
      <c r="J2421" s="9">
        <v>2755.0360000000001</v>
      </c>
      <c r="K2421" s="7">
        <v>1</v>
      </c>
      <c r="L2421" s="9">
        <v>2755.04</v>
      </c>
      <c r="M2421" s="9">
        <v>2755.04</v>
      </c>
      <c r="N2421" s="9">
        <v>1.8</v>
      </c>
      <c r="O2421" s="10">
        <f>IF(AND(OR(H2421="APPROVED",H2421="SCHEDULED"),COUNTIFS(tblSource[EventID],F2421,tblSource[ReleaseStatus],"APPROVED")=1,COUNTIFS(Period_Status!$A$2:$A$8,G2421,Period_Status!$B$2:$B$8,"ActualClosed")=1,C2421&gt;EOMONTH(Settlement_Bridge!$C$2,0)),1,0)</f>
        <v>0</v>
      </c>
      <c r="P2421" s="2" t="s">
        <v>6838</v>
      </c>
    </row>
    <row r="2422" spans="1:16" x14ac:dyDescent="0.25">
      <c r="A2422" s="2" t="s">
        <v>6839</v>
      </c>
      <c r="B2422" s="2" t="s">
        <v>199</v>
      </c>
      <c r="C2422" s="8">
        <v>46302</v>
      </c>
      <c r="D2422" s="6">
        <v>46296</v>
      </c>
      <c r="E2422" s="2" t="s">
        <v>260</v>
      </c>
      <c r="F2422" s="2" t="s">
        <v>6837</v>
      </c>
      <c r="G2422" s="6">
        <v>46235</v>
      </c>
      <c r="H2422" s="2" t="s">
        <v>176</v>
      </c>
      <c r="I2422" s="2" t="s">
        <v>39</v>
      </c>
      <c r="J2422" s="9">
        <v>4132.5540000000001</v>
      </c>
      <c r="K2422" s="7">
        <v>1</v>
      </c>
      <c r="L2422" s="9">
        <v>4132.55</v>
      </c>
      <c r="M2422" s="9">
        <v>4132.55</v>
      </c>
      <c r="N2422" s="9">
        <v>2.27</v>
      </c>
      <c r="O2422" s="10">
        <f>IF(AND(OR(H2422="APPROVED",H2422="SCHEDULED"),COUNTIFS(tblSource[EventID],F2422,tblSource[ReleaseStatus],"APPROVED")=1,COUNTIFS(Period_Status!$A$2:$A$8,G2422,Period_Status!$B$2:$B$8,"ActualClosed")=1,C2422&gt;EOMONTH(Settlement_Bridge!$C$2,0)),1,0)</f>
        <v>0</v>
      </c>
      <c r="P2422" s="2" t="s">
        <v>6840</v>
      </c>
    </row>
    <row r="2423" spans="1:16" x14ac:dyDescent="0.25">
      <c r="A2423" s="2" t="s">
        <v>6841</v>
      </c>
      <c r="B2423" s="2" t="s">
        <v>199</v>
      </c>
      <c r="C2423" s="8">
        <v>46288</v>
      </c>
      <c r="D2423" s="6">
        <v>46266</v>
      </c>
      <c r="E2423" s="2" t="s">
        <v>260</v>
      </c>
      <c r="F2423" s="2" t="s">
        <v>6842</v>
      </c>
      <c r="G2423" s="6">
        <v>46235</v>
      </c>
      <c r="H2423" s="2" t="s">
        <v>176</v>
      </c>
      <c r="I2423" s="2" t="s">
        <v>76</v>
      </c>
      <c r="J2423" s="9">
        <v>114806504.06504101</v>
      </c>
      <c r="K2423" s="7">
        <v>6.1299999999999999E-5</v>
      </c>
      <c r="L2423" s="9">
        <v>7037.64</v>
      </c>
      <c r="M2423" s="9">
        <v>7060.6</v>
      </c>
      <c r="N2423" s="9">
        <v>3.87</v>
      </c>
      <c r="O2423" s="10">
        <f>IF(AND(OR(H2423="APPROVED",H2423="SCHEDULED"),COUNTIFS(tblSource[EventID],F2423,tblSource[ReleaseStatus],"APPROVED")=1,COUNTIFS(Period_Status!$A$2:$A$8,G2423,Period_Status!$B$2:$B$8,"ActualClosed")=1,C2423&gt;EOMONTH(Settlement_Bridge!$C$2,0)),1,0)</f>
        <v>0</v>
      </c>
      <c r="P2423" s="2" t="s">
        <v>6843</v>
      </c>
    </row>
    <row r="2424" spans="1:16" x14ac:dyDescent="0.25">
      <c r="A2424" s="2" t="s">
        <v>6844</v>
      </c>
      <c r="B2424" s="2" t="s">
        <v>199</v>
      </c>
      <c r="C2424" s="8">
        <v>46289</v>
      </c>
      <c r="D2424" s="6">
        <v>46266</v>
      </c>
      <c r="E2424" s="2" t="s">
        <v>260</v>
      </c>
      <c r="F2424" s="2" t="s">
        <v>6845</v>
      </c>
      <c r="G2424" s="6">
        <v>46235</v>
      </c>
      <c r="H2424" s="2" t="s">
        <v>176</v>
      </c>
      <c r="I2424" s="2" t="s">
        <v>70</v>
      </c>
      <c r="J2424" s="9">
        <v>11128.630768999999</v>
      </c>
      <c r="K2424" s="7">
        <v>0.65100000000000002</v>
      </c>
      <c r="L2424" s="9">
        <v>7244.74</v>
      </c>
      <c r="M2424" s="9">
        <v>7233.61</v>
      </c>
      <c r="N2424" s="9">
        <v>3.98</v>
      </c>
      <c r="O2424" s="10">
        <f>IF(AND(OR(H2424="APPROVED",H2424="SCHEDULED"),COUNTIFS(tblSource[EventID],F2424,tblSource[ReleaseStatus],"APPROVED")=1,COUNTIFS(Period_Status!$A$2:$A$8,G2424,Period_Status!$B$2:$B$8,"ActualClosed")=1,C2424&gt;EOMONTH(Settlement_Bridge!$C$2,0)),1,0)</f>
        <v>0</v>
      </c>
      <c r="P2424" s="2" t="s">
        <v>6846</v>
      </c>
    </row>
    <row r="2425" spans="1:16" x14ac:dyDescent="0.25">
      <c r="A2425" s="2" t="s">
        <v>6847</v>
      </c>
      <c r="B2425" s="2" t="s">
        <v>199</v>
      </c>
      <c r="C2425" s="8">
        <v>46249</v>
      </c>
      <c r="D2425" s="6">
        <v>46235</v>
      </c>
      <c r="E2425" s="2" t="s">
        <v>260</v>
      </c>
      <c r="F2425" s="2" t="s">
        <v>6848</v>
      </c>
      <c r="G2425" s="6">
        <v>46235</v>
      </c>
      <c r="H2425" s="2" t="s">
        <v>71</v>
      </c>
      <c r="I2425" s="2" t="s">
        <v>39</v>
      </c>
      <c r="J2425" s="9">
        <v>2962.6480000000001</v>
      </c>
      <c r="K2425" s="7">
        <v>1</v>
      </c>
      <c r="L2425" s="9">
        <v>2962.65</v>
      </c>
      <c r="M2425" s="9">
        <v>2962.65</v>
      </c>
      <c r="N2425" s="9">
        <v>1.8</v>
      </c>
      <c r="O2425" s="10">
        <f>IF(AND(OR(H2425="APPROVED",H2425="SCHEDULED"),COUNTIFS(tblSource[EventID],F2425,tblSource[ReleaseStatus],"APPROVED")=1,COUNTIFS(Period_Status!$A$2:$A$8,G2425,Period_Status!$B$2:$B$8,"ActualClosed")=1,C2425&gt;EOMONTH(Settlement_Bridge!$C$2,0)),1,0)</f>
        <v>0</v>
      </c>
      <c r="P2425" s="2" t="s">
        <v>6849</v>
      </c>
    </row>
    <row r="2426" spans="1:16" x14ac:dyDescent="0.25">
      <c r="A2426" s="2" t="s">
        <v>6850</v>
      </c>
      <c r="B2426" s="2" t="s">
        <v>199</v>
      </c>
      <c r="C2426" s="8">
        <v>46274</v>
      </c>
      <c r="D2426" s="6">
        <v>46266</v>
      </c>
      <c r="E2426" s="2" t="s">
        <v>260</v>
      </c>
      <c r="F2426" s="2" t="s">
        <v>6848</v>
      </c>
      <c r="G2426" s="6">
        <v>46235</v>
      </c>
      <c r="H2426" s="2" t="s">
        <v>176</v>
      </c>
      <c r="I2426" s="2" t="s">
        <v>39</v>
      </c>
      <c r="J2426" s="9">
        <v>4443.9719999999998</v>
      </c>
      <c r="K2426" s="7">
        <v>1</v>
      </c>
      <c r="L2426" s="9">
        <v>4443.97</v>
      </c>
      <c r="M2426" s="9">
        <v>4443.97</v>
      </c>
      <c r="N2426" s="9">
        <v>2.44</v>
      </c>
      <c r="O2426" s="10">
        <f>IF(AND(OR(H2426="APPROVED",H2426="SCHEDULED"),COUNTIFS(tblSource[EventID],F2426,tblSource[ReleaseStatus],"APPROVED")=1,COUNTIFS(Period_Status!$A$2:$A$8,G2426,Period_Status!$B$2:$B$8,"ActualClosed")=1,C2426&gt;EOMONTH(Settlement_Bridge!$C$2,0)),1,0)</f>
        <v>0</v>
      </c>
      <c r="P2426" s="2" t="s">
        <v>6851</v>
      </c>
    </row>
    <row r="2427" spans="1:16" x14ac:dyDescent="0.25">
      <c r="A2427" s="2" t="s">
        <v>6852</v>
      </c>
      <c r="B2427" s="2" t="s">
        <v>199</v>
      </c>
      <c r="C2427" s="8">
        <v>46260</v>
      </c>
      <c r="D2427" s="6">
        <v>46235</v>
      </c>
      <c r="E2427" s="2" t="s">
        <v>260</v>
      </c>
      <c r="F2427" s="2" t="s">
        <v>6853</v>
      </c>
      <c r="G2427" s="6">
        <v>46235</v>
      </c>
      <c r="H2427" s="2" t="s">
        <v>71</v>
      </c>
      <c r="I2427" s="2" t="s">
        <v>76</v>
      </c>
      <c r="J2427" s="9">
        <v>123246016.26016299</v>
      </c>
      <c r="K2427" s="7">
        <v>6.1500000000000004E-5</v>
      </c>
      <c r="L2427" s="9">
        <v>7579.63</v>
      </c>
      <c r="M2427" s="9">
        <v>7579.63</v>
      </c>
      <c r="N2427" s="9">
        <v>4.17</v>
      </c>
      <c r="O2427" s="10">
        <f>IF(AND(OR(H2427="APPROVED",H2427="SCHEDULED"),COUNTIFS(tblSource[EventID],F2427,tblSource[ReleaseStatus],"APPROVED")=1,COUNTIFS(Period_Status!$A$2:$A$8,G2427,Period_Status!$B$2:$B$8,"ActualClosed")=1,C2427&gt;EOMONTH(Settlement_Bridge!$C$2,0)),1,0)</f>
        <v>0</v>
      </c>
      <c r="P2427" s="2" t="s">
        <v>6854</v>
      </c>
    </row>
    <row r="2428" spans="1:16" x14ac:dyDescent="0.25">
      <c r="A2428" s="2" t="s">
        <v>6855</v>
      </c>
      <c r="B2428" s="2" t="s">
        <v>199</v>
      </c>
      <c r="C2428" s="8">
        <v>46261</v>
      </c>
      <c r="D2428" s="6">
        <v>46235</v>
      </c>
      <c r="E2428" s="2" t="s">
        <v>260</v>
      </c>
      <c r="F2428" s="2" t="s">
        <v>6856</v>
      </c>
      <c r="G2428" s="6">
        <v>46235</v>
      </c>
      <c r="H2428" s="2" t="s">
        <v>71</v>
      </c>
      <c r="I2428" s="2" t="s">
        <v>70</v>
      </c>
      <c r="J2428" s="9">
        <v>11927.138462000001</v>
      </c>
      <c r="K2428" s="7">
        <v>0.65</v>
      </c>
      <c r="L2428" s="9">
        <v>7752.64</v>
      </c>
      <c r="M2428" s="9">
        <v>7752.64</v>
      </c>
      <c r="N2428" s="9">
        <v>4.26</v>
      </c>
      <c r="O2428" s="10">
        <f>IF(AND(OR(H2428="APPROVED",H2428="SCHEDULED"),COUNTIFS(tblSource[EventID],F2428,tblSource[ReleaseStatus],"APPROVED")=1,COUNTIFS(Period_Status!$A$2:$A$8,G2428,Period_Status!$B$2:$B$8,"ActualClosed")=1,C2428&gt;EOMONTH(Settlement_Bridge!$C$2,0)),1,0)</f>
        <v>0</v>
      </c>
      <c r="P2428" s="2" t="s">
        <v>6857</v>
      </c>
    </row>
    <row r="2429" spans="1:16" x14ac:dyDescent="0.25">
      <c r="A2429" s="2" t="s">
        <v>6858</v>
      </c>
      <c r="B2429" s="2" t="s">
        <v>199</v>
      </c>
      <c r="C2429" s="8">
        <v>46262</v>
      </c>
      <c r="D2429" s="6">
        <v>46235</v>
      </c>
      <c r="E2429" s="2" t="s">
        <v>260</v>
      </c>
      <c r="F2429" s="2" t="s">
        <v>6859</v>
      </c>
      <c r="G2429" s="6">
        <v>46235</v>
      </c>
      <c r="H2429" s="2" t="s">
        <v>71</v>
      </c>
      <c r="I2429" s="2" t="s">
        <v>39</v>
      </c>
      <c r="J2429" s="9">
        <v>7925.65</v>
      </c>
      <c r="K2429" s="7">
        <v>1</v>
      </c>
      <c r="L2429" s="9">
        <v>7925.65</v>
      </c>
      <c r="M2429" s="9">
        <v>7925.65</v>
      </c>
      <c r="N2429" s="9">
        <v>4.3600000000000003</v>
      </c>
      <c r="O2429" s="10">
        <f>IF(AND(OR(H2429="APPROVED",H2429="SCHEDULED"),COUNTIFS(tblSource[EventID],F2429,tblSource[ReleaseStatus],"APPROVED")=1,COUNTIFS(Period_Status!$A$2:$A$8,G2429,Period_Status!$B$2:$B$8,"ActualClosed")=1,C2429&gt;EOMONTH(Settlement_Bridge!$C$2,0)),1,0)</f>
        <v>0</v>
      </c>
      <c r="P2429" s="2" t="s">
        <v>6860</v>
      </c>
    </row>
    <row r="2430" spans="1:16" x14ac:dyDescent="0.25">
      <c r="A2430" s="2" t="s">
        <v>6861</v>
      </c>
      <c r="B2430" s="2" t="s">
        <v>199</v>
      </c>
      <c r="C2430" s="8">
        <v>46263</v>
      </c>
      <c r="D2430" s="6">
        <v>46235</v>
      </c>
      <c r="E2430" s="2" t="s">
        <v>260</v>
      </c>
      <c r="F2430" s="2" t="s">
        <v>6862</v>
      </c>
      <c r="G2430" s="6">
        <v>46235</v>
      </c>
      <c r="H2430" s="2" t="s">
        <v>71</v>
      </c>
      <c r="I2430" s="2" t="s">
        <v>76</v>
      </c>
      <c r="J2430" s="9">
        <v>131685528.455285</v>
      </c>
      <c r="K2430" s="7">
        <v>6.1500000000000004E-5</v>
      </c>
      <c r="L2430" s="9">
        <v>8098.66</v>
      </c>
      <c r="M2430" s="9">
        <v>8098.66</v>
      </c>
      <c r="N2430" s="9">
        <v>4.45</v>
      </c>
      <c r="O2430" s="10">
        <f>IF(AND(OR(H2430="APPROVED",H2430="SCHEDULED"),COUNTIFS(tblSource[EventID],F2430,tblSource[ReleaseStatus],"APPROVED")=1,COUNTIFS(Period_Status!$A$2:$A$8,G2430,Period_Status!$B$2:$B$8,"ActualClosed")=1,C2430&gt;EOMONTH(Settlement_Bridge!$C$2,0)),1,0)</f>
        <v>0</v>
      </c>
      <c r="P2430" s="2" t="s">
        <v>6863</v>
      </c>
    </row>
    <row r="2431" spans="1:16" x14ac:dyDescent="0.25">
      <c r="A2431" s="2" t="s">
        <v>6864</v>
      </c>
      <c r="B2431" s="2" t="s">
        <v>199</v>
      </c>
      <c r="C2431" s="8">
        <v>46264</v>
      </c>
      <c r="D2431" s="6">
        <v>46235</v>
      </c>
      <c r="E2431" s="2" t="s">
        <v>260</v>
      </c>
      <c r="F2431" s="2" t="s">
        <v>6865</v>
      </c>
      <c r="G2431" s="6">
        <v>46235</v>
      </c>
      <c r="H2431" s="2" t="s">
        <v>71</v>
      </c>
      <c r="I2431" s="2" t="s">
        <v>70</v>
      </c>
      <c r="J2431" s="9">
        <v>12725.646154</v>
      </c>
      <c r="K2431" s="7">
        <v>0.65</v>
      </c>
      <c r="L2431" s="9">
        <v>8271.67</v>
      </c>
      <c r="M2431" s="9">
        <v>8271.67</v>
      </c>
      <c r="N2431" s="9">
        <v>4.55</v>
      </c>
      <c r="O2431" s="10">
        <f>IF(AND(OR(H2431="APPROVED",H2431="SCHEDULED"),COUNTIFS(tblSource[EventID],F2431,tblSource[ReleaseStatus],"APPROVED")=1,COUNTIFS(Period_Status!$A$2:$A$8,G2431,Period_Status!$B$2:$B$8,"ActualClosed")=1,C2431&gt;EOMONTH(Settlement_Bridge!$C$2,0)),1,0)</f>
        <v>0</v>
      </c>
      <c r="P2431" s="2" t="s">
        <v>6866</v>
      </c>
    </row>
    <row r="2432" spans="1:16" x14ac:dyDescent="0.25">
      <c r="A2432" s="2" t="s">
        <v>6867</v>
      </c>
      <c r="B2432" s="2" t="s">
        <v>199</v>
      </c>
      <c r="C2432" s="8">
        <v>46255</v>
      </c>
      <c r="D2432" s="6">
        <v>46235</v>
      </c>
      <c r="E2432" s="2" t="s">
        <v>260</v>
      </c>
      <c r="F2432" s="2" t="s">
        <v>6868</v>
      </c>
      <c r="G2432" s="6">
        <v>46235</v>
      </c>
      <c r="H2432" s="2" t="s">
        <v>71</v>
      </c>
      <c r="I2432" s="2" t="s">
        <v>39</v>
      </c>
      <c r="J2432" s="9">
        <v>3377.8719999999998</v>
      </c>
      <c r="K2432" s="7">
        <v>1</v>
      </c>
      <c r="L2432" s="9">
        <v>3377.87</v>
      </c>
      <c r="M2432" s="9">
        <v>3377.87</v>
      </c>
      <c r="N2432" s="9">
        <v>1.86</v>
      </c>
      <c r="O2432" s="10">
        <f>IF(AND(OR(H2432="APPROVED",H2432="SCHEDULED"),COUNTIFS(tblSource[EventID],F2432,tblSource[ReleaseStatus],"APPROVED")=1,COUNTIFS(Period_Status!$A$2:$A$8,G2432,Period_Status!$B$2:$B$8,"ActualClosed")=1,C2432&gt;EOMONTH(Settlement_Bridge!$C$2,0)),1,0)</f>
        <v>0</v>
      </c>
      <c r="P2432" s="2" t="s">
        <v>6869</v>
      </c>
    </row>
    <row r="2433" spans="1:16" x14ac:dyDescent="0.25">
      <c r="A2433" s="2" t="s">
        <v>6870</v>
      </c>
      <c r="B2433" s="2" t="s">
        <v>199</v>
      </c>
      <c r="C2433" s="8">
        <v>46280</v>
      </c>
      <c r="D2433" s="6">
        <v>46266</v>
      </c>
      <c r="E2433" s="2" t="s">
        <v>260</v>
      </c>
      <c r="F2433" s="2" t="s">
        <v>6868</v>
      </c>
      <c r="G2433" s="6">
        <v>46235</v>
      </c>
      <c r="H2433" s="2" t="s">
        <v>176</v>
      </c>
      <c r="I2433" s="2" t="s">
        <v>39</v>
      </c>
      <c r="J2433" s="9">
        <v>5066.808</v>
      </c>
      <c r="K2433" s="7">
        <v>1</v>
      </c>
      <c r="L2433" s="9">
        <v>5066.8100000000004</v>
      </c>
      <c r="M2433" s="9">
        <v>5066.8100000000004</v>
      </c>
      <c r="N2433" s="9">
        <v>2.79</v>
      </c>
      <c r="O2433" s="10">
        <f>IF(AND(OR(H2433="APPROVED",H2433="SCHEDULED"),COUNTIFS(tblSource[EventID],F2433,tblSource[ReleaseStatus],"APPROVED")=1,COUNTIFS(Period_Status!$A$2:$A$8,G2433,Period_Status!$B$2:$B$8,"ActualClosed")=1,C2433&gt;EOMONTH(Settlement_Bridge!$C$2,0)),1,0)</f>
        <v>0</v>
      </c>
      <c r="P2433" s="2" t="s">
        <v>6871</v>
      </c>
    </row>
    <row r="2434" spans="1:16" x14ac:dyDescent="0.25">
      <c r="A2434" s="2" t="s">
        <v>6872</v>
      </c>
      <c r="B2434" s="2" t="s">
        <v>199</v>
      </c>
      <c r="C2434" s="8">
        <v>46256</v>
      </c>
      <c r="D2434" s="6">
        <v>46235</v>
      </c>
      <c r="E2434" s="2" t="s">
        <v>260</v>
      </c>
      <c r="F2434" s="2" t="s">
        <v>6873</v>
      </c>
      <c r="G2434" s="6">
        <v>46235</v>
      </c>
      <c r="H2434" s="2" t="s">
        <v>71</v>
      </c>
      <c r="I2434" s="2" t="s">
        <v>76</v>
      </c>
      <c r="J2434" s="9">
        <v>56050016.260163002</v>
      </c>
      <c r="K2434" s="7">
        <v>6.1500000000000004E-5</v>
      </c>
      <c r="L2434" s="9">
        <v>3447.08</v>
      </c>
      <c r="M2434" s="9">
        <v>3447.08</v>
      </c>
      <c r="N2434" s="9">
        <v>1.9</v>
      </c>
      <c r="O2434" s="10">
        <f>IF(AND(OR(H2434="APPROVED",H2434="SCHEDULED"),COUNTIFS(tblSource[EventID],F2434,tblSource[ReleaseStatus],"APPROVED")=1,COUNTIFS(Period_Status!$A$2:$A$8,G2434,Period_Status!$B$2:$B$8,"ActualClosed")=1,C2434&gt;EOMONTH(Settlement_Bridge!$C$2,0)),1,0)</f>
        <v>0</v>
      </c>
      <c r="P2434" s="2" t="s">
        <v>6874</v>
      </c>
    </row>
    <row r="2435" spans="1:16" x14ac:dyDescent="0.25">
      <c r="A2435" s="2" t="s">
        <v>6875</v>
      </c>
      <c r="B2435" s="2" t="s">
        <v>199</v>
      </c>
      <c r="C2435" s="8">
        <v>46281</v>
      </c>
      <c r="D2435" s="6">
        <v>46266</v>
      </c>
      <c r="E2435" s="2" t="s">
        <v>260</v>
      </c>
      <c r="F2435" s="2" t="s">
        <v>6873</v>
      </c>
      <c r="G2435" s="6">
        <v>46235</v>
      </c>
      <c r="H2435" s="2" t="s">
        <v>176</v>
      </c>
      <c r="I2435" s="2" t="s">
        <v>76</v>
      </c>
      <c r="J2435" s="9">
        <v>84075024.390244007</v>
      </c>
      <c r="K2435" s="7">
        <v>6.1299999999999999E-5</v>
      </c>
      <c r="L2435" s="9">
        <v>5153.8</v>
      </c>
      <c r="M2435" s="9">
        <v>5170.6099999999997</v>
      </c>
      <c r="N2435" s="9">
        <v>2.83</v>
      </c>
      <c r="O2435" s="10">
        <f>IF(AND(OR(H2435="APPROVED",H2435="SCHEDULED"),COUNTIFS(tblSource[EventID],F2435,tblSource[ReleaseStatus],"APPROVED")=1,COUNTIFS(Period_Status!$A$2:$A$8,G2435,Period_Status!$B$2:$B$8,"ActualClosed")=1,C2435&gt;EOMONTH(Settlement_Bridge!$C$2,0)),1,0)</f>
        <v>0</v>
      </c>
      <c r="P2435" s="2" t="s">
        <v>6876</v>
      </c>
    </row>
    <row r="2436" spans="1:16" x14ac:dyDescent="0.25">
      <c r="A2436" s="2" t="s">
        <v>6877</v>
      </c>
      <c r="B2436" s="2" t="s">
        <v>199</v>
      </c>
      <c r="C2436" s="8">
        <v>46267</v>
      </c>
      <c r="D2436" s="6">
        <v>46266</v>
      </c>
      <c r="E2436" s="2" t="s">
        <v>260</v>
      </c>
      <c r="F2436" s="2" t="s">
        <v>6878</v>
      </c>
      <c r="G2436" s="6">
        <v>46235</v>
      </c>
      <c r="H2436" s="2" t="s">
        <v>176</v>
      </c>
      <c r="I2436" s="2" t="s">
        <v>70</v>
      </c>
      <c r="J2436" s="9">
        <v>13524.153845999999</v>
      </c>
      <c r="K2436" s="7">
        <v>0.65100000000000002</v>
      </c>
      <c r="L2436" s="9">
        <v>8804.2199999999993</v>
      </c>
      <c r="M2436" s="9">
        <v>8790.7000000000007</v>
      </c>
      <c r="N2436" s="9">
        <v>4.84</v>
      </c>
      <c r="O2436" s="10">
        <f>IF(AND(OR(H2436="APPROVED",H2436="SCHEDULED"),COUNTIFS(tblSource[EventID],F2436,tblSource[ReleaseStatus],"APPROVED")=1,COUNTIFS(Period_Status!$A$2:$A$8,G2436,Period_Status!$B$2:$B$8,"ActualClosed")=1,C2436&gt;EOMONTH(Settlement_Bridge!$C$2,0)),1,0)</f>
        <v>0</v>
      </c>
      <c r="P2436" s="2" t="s">
        <v>6879</v>
      </c>
    </row>
    <row r="2437" spans="1:16" x14ac:dyDescent="0.25">
      <c r="A2437" s="2" t="s">
        <v>6880</v>
      </c>
      <c r="B2437" s="2" t="s">
        <v>199</v>
      </c>
      <c r="C2437" s="8">
        <v>46268</v>
      </c>
      <c r="D2437" s="6">
        <v>46266</v>
      </c>
      <c r="E2437" s="2" t="s">
        <v>260</v>
      </c>
      <c r="F2437" s="2" t="s">
        <v>6881</v>
      </c>
      <c r="G2437" s="6">
        <v>46235</v>
      </c>
      <c r="H2437" s="2" t="s">
        <v>176</v>
      </c>
      <c r="I2437" s="2" t="s">
        <v>39</v>
      </c>
      <c r="J2437" s="9">
        <v>8963.7099999999991</v>
      </c>
      <c r="K2437" s="7">
        <v>1</v>
      </c>
      <c r="L2437" s="9">
        <v>8963.7099999999991</v>
      </c>
      <c r="M2437" s="9">
        <v>8963.7099999999991</v>
      </c>
      <c r="N2437" s="9">
        <v>4.93</v>
      </c>
      <c r="O2437" s="10">
        <f>IF(AND(OR(H2437="APPROVED",H2437="SCHEDULED"),COUNTIFS(tblSource[EventID],F2437,tblSource[ReleaseStatus],"APPROVED")=1,COUNTIFS(Period_Status!$A$2:$A$8,G2437,Period_Status!$B$2:$B$8,"ActualClosed")=1,C2437&gt;EOMONTH(Settlement_Bridge!$C$2,0)),1,0)</f>
        <v>0</v>
      </c>
      <c r="P2437" s="2" t="s">
        <v>6882</v>
      </c>
    </row>
    <row r="2438" spans="1:16" x14ac:dyDescent="0.25">
      <c r="A2438" s="2" t="s">
        <v>6883</v>
      </c>
      <c r="B2438" s="2" t="s">
        <v>199</v>
      </c>
      <c r="C2438" s="8">
        <v>46259</v>
      </c>
      <c r="D2438" s="6">
        <v>46235</v>
      </c>
      <c r="E2438" s="2" t="s">
        <v>260</v>
      </c>
      <c r="F2438" s="2" t="s">
        <v>6884</v>
      </c>
      <c r="G2438" s="6">
        <v>46235</v>
      </c>
      <c r="H2438" s="2" t="s">
        <v>71</v>
      </c>
      <c r="I2438" s="2" t="s">
        <v>76</v>
      </c>
      <c r="J2438" s="9">
        <v>59425821.138210997</v>
      </c>
      <c r="K2438" s="7">
        <v>6.1500000000000004E-5</v>
      </c>
      <c r="L2438" s="9">
        <v>3654.69</v>
      </c>
      <c r="M2438" s="9">
        <v>3654.69</v>
      </c>
      <c r="N2438" s="9">
        <v>2.0099999999999998</v>
      </c>
      <c r="O2438" s="10">
        <f>IF(AND(OR(H2438="APPROVED",H2438="SCHEDULED"),COUNTIFS(tblSource[EventID],F2438,tblSource[ReleaseStatus],"APPROVED")=1,COUNTIFS(Period_Status!$A$2:$A$8,G2438,Period_Status!$B$2:$B$8,"ActualClosed")=1,C2438&gt;EOMONTH(Settlement_Bridge!$C$2,0)),1,0)</f>
        <v>0</v>
      </c>
      <c r="P2438" s="2" t="s">
        <v>6885</v>
      </c>
    </row>
    <row r="2439" spans="1:16" x14ac:dyDescent="0.25">
      <c r="A2439" s="2" t="s">
        <v>6886</v>
      </c>
      <c r="B2439" s="2" t="s">
        <v>199</v>
      </c>
      <c r="C2439" s="8">
        <v>46284</v>
      </c>
      <c r="D2439" s="6">
        <v>46266</v>
      </c>
      <c r="E2439" s="2" t="s">
        <v>260</v>
      </c>
      <c r="F2439" s="2" t="s">
        <v>6884</v>
      </c>
      <c r="G2439" s="6">
        <v>46235</v>
      </c>
      <c r="H2439" s="2" t="s">
        <v>176</v>
      </c>
      <c r="I2439" s="2" t="s">
        <v>76</v>
      </c>
      <c r="J2439" s="9">
        <v>89138731.707316995</v>
      </c>
      <c r="K2439" s="7">
        <v>6.1299999999999999E-5</v>
      </c>
      <c r="L2439" s="9">
        <v>5464.2</v>
      </c>
      <c r="M2439" s="9">
        <v>5482.03</v>
      </c>
      <c r="N2439" s="9">
        <v>3.01</v>
      </c>
      <c r="O2439" s="10">
        <f>IF(AND(OR(H2439="APPROVED",H2439="SCHEDULED"),COUNTIFS(tblSource[EventID],F2439,tblSource[ReleaseStatus],"APPROVED")=1,COUNTIFS(Period_Status!$A$2:$A$8,G2439,Period_Status!$B$2:$B$8,"ActualClosed")=1,C2439&gt;EOMONTH(Settlement_Bridge!$C$2,0)),1,0)</f>
        <v>0</v>
      </c>
      <c r="P2439" s="2" t="s">
        <v>6887</v>
      </c>
    </row>
    <row r="2440" spans="1:16" x14ac:dyDescent="0.25">
      <c r="A2440" s="2" t="s">
        <v>6888</v>
      </c>
      <c r="B2440" s="2" t="s">
        <v>199</v>
      </c>
      <c r="C2440" s="8">
        <v>46270</v>
      </c>
      <c r="D2440" s="6">
        <v>46266</v>
      </c>
      <c r="E2440" s="2" t="s">
        <v>260</v>
      </c>
      <c r="F2440" s="2" t="s">
        <v>6889</v>
      </c>
      <c r="G2440" s="6">
        <v>46235</v>
      </c>
      <c r="H2440" s="2" t="s">
        <v>176</v>
      </c>
      <c r="I2440" s="2" t="s">
        <v>70</v>
      </c>
      <c r="J2440" s="9">
        <v>14322.661538</v>
      </c>
      <c r="K2440" s="7">
        <v>0.65100000000000002</v>
      </c>
      <c r="L2440" s="9">
        <v>9324.0499999999993</v>
      </c>
      <c r="M2440" s="9">
        <v>9309.73</v>
      </c>
      <c r="N2440" s="9">
        <v>5.13</v>
      </c>
      <c r="O2440" s="10">
        <f>IF(AND(OR(H2440="APPROVED",H2440="SCHEDULED"),COUNTIFS(tblSource[EventID],F2440,tblSource[ReleaseStatus],"APPROVED")=1,COUNTIFS(Period_Status!$A$2:$A$8,G2440,Period_Status!$B$2:$B$8,"ActualClosed")=1,C2440&gt;EOMONTH(Settlement_Bridge!$C$2,0)),1,0)</f>
        <v>0</v>
      </c>
      <c r="P2440" s="2" t="s">
        <v>6890</v>
      </c>
    </row>
    <row r="2441" spans="1:16" x14ac:dyDescent="0.25">
      <c r="A2441" s="2" t="s">
        <v>6891</v>
      </c>
      <c r="B2441" s="2" t="s">
        <v>199</v>
      </c>
      <c r="C2441" s="8">
        <v>46271</v>
      </c>
      <c r="D2441" s="6">
        <v>46266</v>
      </c>
      <c r="E2441" s="2" t="s">
        <v>260</v>
      </c>
      <c r="F2441" s="2" t="s">
        <v>6892</v>
      </c>
      <c r="G2441" s="6">
        <v>46235</v>
      </c>
      <c r="H2441" s="2" t="s">
        <v>176</v>
      </c>
      <c r="I2441" s="2" t="s">
        <v>39</v>
      </c>
      <c r="J2441" s="9">
        <v>9482.74</v>
      </c>
      <c r="K2441" s="7">
        <v>1</v>
      </c>
      <c r="L2441" s="9">
        <v>9482.74</v>
      </c>
      <c r="M2441" s="9">
        <v>9482.74</v>
      </c>
      <c r="N2441" s="9">
        <v>5.22</v>
      </c>
      <c r="O2441" s="10">
        <f>IF(AND(OR(H2441="APPROVED",H2441="SCHEDULED"),COUNTIFS(tblSource[EventID],F2441,tblSource[ReleaseStatus],"APPROVED")=1,COUNTIFS(Period_Status!$A$2:$A$8,G2441,Period_Status!$B$2:$B$8,"ActualClosed")=1,C2441&gt;EOMONTH(Settlement_Bridge!$C$2,0)),1,0)</f>
        <v>0</v>
      </c>
      <c r="P2441" s="2" t="s">
        <v>6893</v>
      </c>
    </row>
    <row r="2442" spans="1:16" x14ac:dyDescent="0.25">
      <c r="A2442" s="2" t="s">
        <v>6894</v>
      </c>
      <c r="B2442" s="2" t="s">
        <v>199</v>
      </c>
      <c r="C2442" s="8">
        <v>46272</v>
      </c>
      <c r="D2442" s="6">
        <v>46266</v>
      </c>
      <c r="E2442" s="2" t="s">
        <v>260</v>
      </c>
      <c r="F2442" s="2" t="s">
        <v>6895</v>
      </c>
      <c r="G2442" s="6">
        <v>46235</v>
      </c>
      <c r="H2442" s="2" t="s">
        <v>176</v>
      </c>
      <c r="I2442" s="2" t="s">
        <v>76</v>
      </c>
      <c r="J2442" s="9">
        <v>157004065.04065001</v>
      </c>
      <c r="K2442" s="7">
        <v>6.1299999999999999E-5</v>
      </c>
      <c r="L2442" s="9">
        <v>9624.35</v>
      </c>
      <c r="M2442" s="9">
        <v>9655.75</v>
      </c>
      <c r="N2442" s="9">
        <v>5.29</v>
      </c>
      <c r="O2442" s="10">
        <f>IF(AND(OR(H2442="APPROVED",H2442="SCHEDULED"),COUNTIFS(tblSource[EventID],F2442,tblSource[ReleaseStatus],"APPROVED")=1,COUNTIFS(Period_Status!$A$2:$A$8,G2442,Period_Status!$B$2:$B$8,"ActualClosed")=1,C2442&gt;EOMONTH(Settlement_Bridge!$C$2,0)),1,0)</f>
        <v>0</v>
      </c>
      <c r="P2442" s="2" t="s">
        <v>6896</v>
      </c>
    </row>
    <row r="2443" spans="1:16" x14ac:dyDescent="0.25">
      <c r="A2443" s="2" t="s">
        <v>6897</v>
      </c>
      <c r="B2443" s="2" t="s">
        <v>199</v>
      </c>
      <c r="C2443" s="8">
        <v>46273</v>
      </c>
      <c r="D2443" s="6">
        <v>46266</v>
      </c>
      <c r="E2443" s="2" t="s">
        <v>260</v>
      </c>
      <c r="F2443" s="2" t="s">
        <v>6898</v>
      </c>
      <c r="G2443" s="6">
        <v>46235</v>
      </c>
      <c r="H2443" s="2" t="s">
        <v>176</v>
      </c>
      <c r="I2443" s="2" t="s">
        <v>70</v>
      </c>
      <c r="J2443" s="9">
        <v>15121.169231</v>
      </c>
      <c r="K2443" s="7">
        <v>0.65100000000000002</v>
      </c>
      <c r="L2443" s="9">
        <v>9843.8799999999992</v>
      </c>
      <c r="M2443" s="9">
        <v>9828.76</v>
      </c>
      <c r="N2443" s="9">
        <v>5.41</v>
      </c>
      <c r="O2443" s="10">
        <f>IF(AND(OR(H2443="APPROVED",H2443="SCHEDULED"),COUNTIFS(tblSource[EventID],F2443,tblSource[ReleaseStatus],"APPROVED")=1,COUNTIFS(Period_Status!$A$2:$A$8,G2443,Period_Status!$B$2:$B$8,"ActualClosed")=1,C2443&gt;EOMONTH(Settlement_Bridge!$C$2,0)),1,0)</f>
        <v>0</v>
      </c>
      <c r="P2443" s="2" t="s">
        <v>6899</v>
      </c>
    </row>
    <row r="2444" spans="1:16" x14ac:dyDescent="0.25">
      <c r="A2444" s="2" t="s">
        <v>6900</v>
      </c>
      <c r="B2444" s="2" t="s">
        <v>199</v>
      </c>
      <c r="C2444" s="8">
        <v>46274</v>
      </c>
      <c r="D2444" s="6">
        <v>46266</v>
      </c>
      <c r="E2444" s="2" t="s">
        <v>260</v>
      </c>
      <c r="F2444" s="2" t="s">
        <v>6901</v>
      </c>
      <c r="G2444" s="6">
        <v>46235</v>
      </c>
      <c r="H2444" s="2" t="s">
        <v>176</v>
      </c>
      <c r="I2444" s="2" t="s">
        <v>39</v>
      </c>
      <c r="J2444" s="9">
        <v>10001.77</v>
      </c>
      <c r="K2444" s="7">
        <v>1</v>
      </c>
      <c r="L2444" s="9">
        <v>10001.77</v>
      </c>
      <c r="M2444" s="9">
        <v>10001.77</v>
      </c>
      <c r="N2444" s="9">
        <v>5.5</v>
      </c>
      <c r="O2444" s="10">
        <f>IF(AND(OR(H2444="APPROVED",H2444="SCHEDULED"),COUNTIFS(tblSource[EventID],F2444,tblSource[ReleaseStatus],"APPROVED")=1,COUNTIFS(Period_Status!$A$2:$A$8,G2444,Period_Status!$B$2:$B$8,"ActualClosed")=1,C2444&gt;EOMONTH(Settlement_Bridge!$C$2,0)),1,0)</f>
        <v>0</v>
      </c>
      <c r="P2444" s="2" t="s">
        <v>6902</v>
      </c>
    </row>
    <row r="2445" spans="1:16" x14ac:dyDescent="0.25">
      <c r="A2445" s="2" t="s">
        <v>6903</v>
      </c>
      <c r="B2445" s="2" t="s">
        <v>199</v>
      </c>
      <c r="C2445" s="8">
        <v>46265</v>
      </c>
      <c r="D2445" s="6">
        <v>46235</v>
      </c>
      <c r="E2445" s="2" t="s">
        <v>260</v>
      </c>
      <c r="F2445" s="2" t="s">
        <v>6904</v>
      </c>
      <c r="G2445" s="6">
        <v>46235</v>
      </c>
      <c r="H2445" s="2" t="s">
        <v>71</v>
      </c>
      <c r="I2445" s="2" t="s">
        <v>76</v>
      </c>
      <c r="J2445" s="9">
        <v>66177430.894308999</v>
      </c>
      <c r="K2445" s="7">
        <v>6.1500000000000004E-5</v>
      </c>
      <c r="L2445" s="9">
        <v>4069.91</v>
      </c>
      <c r="M2445" s="9">
        <v>4069.91</v>
      </c>
      <c r="N2445" s="9">
        <v>2.2400000000000002</v>
      </c>
      <c r="O2445" s="10">
        <f>IF(AND(OR(H2445="APPROVED",H2445="SCHEDULED"),COUNTIFS(tblSource[EventID],F2445,tblSource[ReleaseStatus],"APPROVED")=1,COUNTIFS(Period_Status!$A$2:$A$8,G2445,Period_Status!$B$2:$B$8,"ActualClosed")=1,C2445&gt;EOMONTH(Settlement_Bridge!$C$2,0)),1,0)</f>
        <v>0</v>
      </c>
      <c r="P2445" s="2" t="s">
        <v>6905</v>
      </c>
    </row>
    <row r="2446" spans="1:16" x14ac:dyDescent="0.25">
      <c r="A2446" s="2" t="s">
        <v>6906</v>
      </c>
      <c r="B2446" s="2" t="s">
        <v>199</v>
      </c>
      <c r="C2446" s="8">
        <v>46290</v>
      </c>
      <c r="D2446" s="6">
        <v>46266</v>
      </c>
      <c r="E2446" s="2" t="s">
        <v>260</v>
      </c>
      <c r="F2446" s="2" t="s">
        <v>6904</v>
      </c>
      <c r="G2446" s="6">
        <v>46235</v>
      </c>
      <c r="H2446" s="2" t="s">
        <v>176</v>
      </c>
      <c r="I2446" s="2" t="s">
        <v>76</v>
      </c>
      <c r="J2446" s="9">
        <v>99266146.341463</v>
      </c>
      <c r="K2446" s="7">
        <v>6.1299999999999999E-5</v>
      </c>
      <c r="L2446" s="9">
        <v>6085.01</v>
      </c>
      <c r="M2446" s="9">
        <v>6104.87</v>
      </c>
      <c r="N2446" s="9">
        <v>3.35</v>
      </c>
      <c r="O2446" s="10">
        <f>IF(AND(OR(H2446="APPROVED",H2446="SCHEDULED"),COUNTIFS(tblSource[EventID],F2446,tblSource[ReleaseStatus],"APPROVED")=1,COUNTIFS(Period_Status!$A$2:$A$8,G2446,Period_Status!$B$2:$B$8,"ActualClosed")=1,C2446&gt;EOMONTH(Settlement_Bridge!$C$2,0)),1,0)</f>
        <v>0</v>
      </c>
      <c r="P2446" s="2" t="s">
        <v>6907</v>
      </c>
    </row>
    <row r="2447" spans="1:16" x14ac:dyDescent="0.25">
      <c r="A2447" s="2" t="s">
        <v>6908</v>
      </c>
      <c r="B2447" s="2" t="s">
        <v>199</v>
      </c>
      <c r="C2447" s="8">
        <v>46266</v>
      </c>
      <c r="D2447" s="6">
        <v>46266</v>
      </c>
      <c r="E2447" s="2" t="s">
        <v>260</v>
      </c>
      <c r="F2447" s="2" t="s">
        <v>6909</v>
      </c>
      <c r="G2447" s="6">
        <v>46235</v>
      </c>
      <c r="H2447" s="2" t="s">
        <v>176</v>
      </c>
      <c r="I2447" s="2" t="s">
        <v>70</v>
      </c>
      <c r="J2447" s="9">
        <v>6367.8707690000001</v>
      </c>
      <c r="K2447" s="7">
        <v>0.65100000000000002</v>
      </c>
      <c r="L2447" s="9">
        <v>4145.4799999999996</v>
      </c>
      <c r="M2447" s="9">
        <v>4139.12</v>
      </c>
      <c r="N2447" s="9">
        <v>2.2799999999999998</v>
      </c>
      <c r="O2447" s="10">
        <f>IF(AND(OR(H2447="APPROVED",H2447="SCHEDULED"),COUNTIFS(tblSource[EventID],F2447,tblSource[ReleaseStatus],"APPROVED")=1,COUNTIFS(Period_Status!$A$2:$A$8,G2447,Period_Status!$B$2:$B$8,"ActualClosed")=1,C2447&gt;EOMONTH(Settlement_Bridge!$C$2,0)),1,0)</f>
        <v>0</v>
      </c>
      <c r="P2447" s="2" t="s">
        <v>6910</v>
      </c>
    </row>
    <row r="2448" spans="1:16" x14ac:dyDescent="0.25">
      <c r="A2448" s="2" t="s">
        <v>6911</v>
      </c>
      <c r="B2448" s="2" t="s">
        <v>199</v>
      </c>
      <c r="C2448" s="8">
        <v>46291</v>
      </c>
      <c r="D2448" s="6">
        <v>46266</v>
      </c>
      <c r="E2448" s="2" t="s">
        <v>260</v>
      </c>
      <c r="F2448" s="2" t="s">
        <v>6909</v>
      </c>
      <c r="G2448" s="6">
        <v>46235</v>
      </c>
      <c r="H2448" s="2" t="s">
        <v>176</v>
      </c>
      <c r="I2448" s="2" t="s">
        <v>70</v>
      </c>
      <c r="J2448" s="9">
        <v>9551.8061539999999</v>
      </c>
      <c r="K2448" s="7">
        <v>0.65100000000000002</v>
      </c>
      <c r="L2448" s="9">
        <v>6218.23</v>
      </c>
      <c r="M2448" s="9">
        <v>6208.67</v>
      </c>
      <c r="N2448" s="9">
        <v>3.42</v>
      </c>
      <c r="O2448" s="10">
        <f>IF(AND(OR(H2448="APPROVED",H2448="SCHEDULED"),COUNTIFS(tblSource[EventID],F2448,tblSource[ReleaseStatus],"APPROVED")=1,COUNTIFS(Period_Status!$A$2:$A$8,G2448,Period_Status!$B$2:$B$8,"ActualClosed")=1,C2448&gt;EOMONTH(Settlement_Bridge!$C$2,0)),1,0)</f>
        <v>0</v>
      </c>
      <c r="P2448" s="2" t="s">
        <v>6912</v>
      </c>
    </row>
    <row r="2449" spans="1:16" x14ac:dyDescent="0.25">
      <c r="A2449" s="2" t="s">
        <v>6913</v>
      </c>
      <c r="B2449" s="2" t="s">
        <v>199</v>
      </c>
      <c r="C2449" s="8">
        <v>46277</v>
      </c>
      <c r="D2449" s="6">
        <v>46266</v>
      </c>
      <c r="E2449" s="2" t="s">
        <v>260</v>
      </c>
      <c r="F2449" s="2" t="s">
        <v>6914</v>
      </c>
      <c r="G2449" s="6">
        <v>46235</v>
      </c>
      <c r="H2449" s="2" t="s">
        <v>176</v>
      </c>
      <c r="I2449" s="2" t="s">
        <v>39</v>
      </c>
      <c r="J2449" s="9">
        <v>10520.8</v>
      </c>
      <c r="K2449" s="7">
        <v>1</v>
      </c>
      <c r="L2449" s="9">
        <v>10520.8</v>
      </c>
      <c r="M2449" s="9">
        <v>10520.8</v>
      </c>
      <c r="N2449" s="9">
        <v>5.79</v>
      </c>
      <c r="O2449" s="10">
        <f>IF(AND(OR(H2449="APPROVED",H2449="SCHEDULED"),COUNTIFS(tblSource[EventID],F2449,tblSource[ReleaseStatus],"APPROVED")=1,COUNTIFS(Period_Status!$A$2:$A$8,G2449,Period_Status!$B$2:$B$8,"ActualClosed")=1,C2449&gt;EOMONTH(Settlement_Bridge!$C$2,0)),1,0)</f>
        <v>0</v>
      </c>
      <c r="P2449" s="2" t="s">
        <v>6915</v>
      </c>
    </row>
    <row r="2450" spans="1:16" x14ac:dyDescent="0.25">
      <c r="A2450" s="2" t="s">
        <v>6916</v>
      </c>
      <c r="B2450" s="2" t="s">
        <v>199</v>
      </c>
      <c r="C2450" s="8">
        <v>46278</v>
      </c>
      <c r="D2450" s="6">
        <v>46266</v>
      </c>
      <c r="E2450" s="2" t="s">
        <v>260</v>
      </c>
      <c r="F2450" s="2" t="s">
        <v>6917</v>
      </c>
      <c r="G2450" s="6">
        <v>46235</v>
      </c>
      <c r="H2450" s="2" t="s">
        <v>176</v>
      </c>
      <c r="I2450" s="2" t="s">
        <v>76</v>
      </c>
      <c r="J2450" s="9">
        <v>173883089.43089399</v>
      </c>
      <c r="K2450" s="7">
        <v>6.1299999999999999E-5</v>
      </c>
      <c r="L2450" s="9">
        <v>10659.03</v>
      </c>
      <c r="M2450" s="9">
        <v>10693.81</v>
      </c>
      <c r="N2450" s="9">
        <v>5.86</v>
      </c>
      <c r="O2450" s="10">
        <f>IF(AND(OR(H2450="APPROVED",H2450="SCHEDULED"),COUNTIFS(tblSource[EventID],F2450,tblSource[ReleaseStatus],"APPROVED")=1,COUNTIFS(Period_Status!$A$2:$A$8,G2450,Period_Status!$B$2:$B$8,"ActualClosed")=1,C2450&gt;EOMONTH(Settlement_Bridge!$C$2,0)),1,0)</f>
        <v>0</v>
      </c>
      <c r="P2450" s="2" t="s">
        <v>6918</v>
      </c>
    </row>
    <row r="2451" spans="1:16" x14ac:dyDescent="0.25">
      <c r="A2451" s="2" t="s">
        <v>6919</v>
      </c>
      <c r="B2451" s="2" t="s">
        <v>199</v>
      </c>
      <c r="C2451" s="8">
        <v>46269</v>
      </c>
      <c r="D2451" s="6">
        <v>46266</v>
      </c>
      <c r="E2451" s="2" t="s">
        <v>260</v>
      </c>
      <c r="F2451" s="2" t="s">
        <v>6920</v>
      </c>
      <c r="G2451" s="6">
        <v>46235</v>
      </c>
      <c r="H2451" s="2" t="s">
        <v>176</v>
      </c>
      <c r="I2451" s="2" t="s">
        <v>70</v>
      </c>
      <c r="J2451" s="9">
        <v>6687.273846</v>
      </c>
      <c r="K2451" s="7">
        <v>0.65100000000000002</v>
      </c>
      <c r="L2451" s="9">
        <v>4353.42</v>
      </c>
      <c r="M2451" s="9">
        <v>4346.7299999999996</v>
      </c>
      <c r="N2451" s="9">
        <v>2.39</v>
      </c>
      <c r="O2451" s="10">
        <f>IF(AND(OR(H2451="APPROVED",H2451="SCHEDULED"),COUNTIFS(tblSource[EventID],F2451,tblSource[ReleaseStatus],"APPROVED")=1,COUNTIFS(Period_Status!$A$2:$A$8,G2451,Period_Status!$B$2:$B$8,"ActualClosed")=1,C2451&gt;EOMONTH(Settlement_Bridge!$C$2,0)),1,0)</f>
        <v>0</v>
      </c>
      <c r="P2451" s="2" t="s">
        <v>6921</v>
      </c>
    </row>
    <row r="2452" spans="1:16" x14ac:dyDescent="0.25">
      <c r="A2452" s="2" t="s">
        <v>6922</v>
      </c>
      <c r="B2452" s="2" t="s">
        <v>199</v>
      </c>
      <c r="C2452" s="8">
        <v>46294</v>
      </c>
      <c r="D2452" s="6">
        <v>46266</v>
      </c>
      <c r="E2452" s="2" t="s">
        <v>260</v>
      </c>
      <c r="F2452" s="2" t="s">
        <v>6920</v>
      </c>
      <c r="G2452" s="6">
        <v>46235</v>
      </c>
      <c r="H2452" s="2" t="s">
        <v>176</v>
      </c>
      <c r="I2452" s="2" t="s">
        <v>70</v>
      </c>
      <c r="J2452" s="9">
        <v>10030.910769</v>
      </c>
      <c r="K2452" s="7">
        <v>0.65100000000000002</v>
      </c>
      <c r="L2452" s="9">
        <v>6530.12</v>
      </c>
      <c r="M2452" s="9">
        <v>6520.09</v>
      </c>
      <c r="N2452" s="9">
        <v>3.59</v>
      </c>
      <c r="O2452" s="10">
        <f>IF(AND(OR(H2452="APPROVED",H2452="SCHEDULED"),COUNTIFS(tblSource[EventID],F2452,tblSource[ReleaseStatus],"APPROVED")=1,COUNTIFS(Period_Status!$A$2:$A$8,G2452,Period_Status!$B$2:$B$8,"ActualClosed")=1,C2452&gt;EOMONTH(Settlement_Bridge!$C$2,0)),1,0)</f>
        <v>0</v>
      </c>
      <c r="P2452" s="2" t="s">
        <v>6923</v>
      </c>
    </row>
    <row r="2453" spans="1:16" x14ac:dyDescent="0.25">
      <c r="A2453" s="2" t="s">
        <v>6924</v>
      </c>
      <c r="B2453" s="2" t="s">
        <v>199</v>
      </c>
      <c r="C2453" s="8">
        <v>46280</v>
      </c>
      <c r="D2453" s="6">
        <v>46266</v>
      </c>
      <c r="E2453" s="2" t="s">
        <v>260</v>
      </c>
      <c r="F2453" s="2" t="s">
        <v>6925</v>
      </c>
      <c r="G2453" s="6">
        <v>46235</v>
      </c>
      <c r="H2453" s="2" t="s">
        <v>176</v>
      </c>
      <c r="I2453" s="2" t="s">
        <v>39</v>
      </c>
      <c r="J2453" s="9">
        <v>11039.83</v>
      </c>
      <c r="K2453" s="7">
        <v>1</v>
      </c>
      <c r="L2453" s="9">
        <v>11039.83</v>
      </c>
      <c r="M2453" s="9">
        <v>11039.83</v>
      </c>
      <c r="N2453" s="9">
        <v>6.07</v>
      </c>
      <c r="O2453" s="10">
        <f>IF(AND(OR(H2453="APPROVED",H2453="SCHEDULED"),COUNTIFS(tblSource[EventID],F2453,tblSource[ReleaseStatus],"APPROVED")=1,COUNTIFS(Period_Status!$A$2:$A$8,G2453,Period_Status!$B$2:$B$8,"ActualClosed")=1,C2453&gt;EOMONTH(Settlement_Bridge!$C$2,0)),1,0)</f>
        <v>0</v>
      </c>
      <c r="P2453" s="2" t="s">
        <v>6926</v>
      </c>
    </row>
    <row r="2454" spans="1:16" x14ac:dyDescent="0.25">
      <c r="A2454" s="2" t="s">
        <v>6927</v>
      </c>
      <c r="B2454" s="2" t="s">
        <v>199</v>
      </c>
      <c r="C2454" s="8">
        <v>46281</v>
      </c>
      <c r="D2454" s="6">
        <v>46266</v>
      </c>
      <c r="E2454" s="2" t="s">
        <v>260</v>
      </c>
      <c r="F2454" s="2" t="s">
        <v>6928</v>
      </c>
      <c r="G2454" s="6">
        <v>46235</v>
      </c>
      <c r="H2454" s="2" t="s">
        <v>176</v>
      </c>
      <c r="I2454" s="2" t="s">
        <v>76</v>
      </c>
      <c r="J2454" s="9">
        <v>182322601.62601599</v>
      </c>
      <c r="K2454" s="7">
        <v>6.1299999999999999E-5</v>
      </c>
      <c r="L2454" s="9">
        <v>11176.38</v>
      </c>
      <c r="M2454" s="9">
        <v>11212.84</v>
      </c>
      <c r="N2454" s="9">
        <v>6.15</v>
      </c>
      <c r="O2454" s="10">
        <f>IF(AND(OR(H2454="APPROVED",H2454="SCHEDULED"),COUNTIFS(tblSource[EventID],F2454,tblSource[ReleaseStatus],"APPROVED")=1,COUNTIFS(Period_Status!$A$2:$A$8,G2454,Period_Status!$B$2:$B$8,"ActualClosed")=1,C2454&gt;EOMONTH(Settlement_Bridge!$C$2,0)),1,0)</f>
        <v>0</v>
      </c>
      <c r="P2454" s="2" t="s">
        <v>6929</v>
      </c>
    </row>
    <row r="2455" spans="1:16" x14ac:dyDescent="0.25">
      <c r="A2455" s="2" t="s">
        <v>6930</v>
      </c>
      <c r="B2455" s="2" t="s">
        <v>199</v>
      </c>
      <c r="C2455" s="8">
        <v>46282</v>
      </c>
      <c r="D2455" s="6">
        <v>46266</v>
      </c>
      <c r="E2455" s="2" t="s">
        <v>260</v>
      </c>
      <c r="F2455" s="2" t="s">
        <v>6931</v>
      </c>
      <c r="G2455" s="6">
        <v>46235</v>
      </c>
      <c r="H2455" s="2" t="s">
        <v>176</v>
      </c>
      <c r="I2455" s="2" t="s">
        <v>70</v>
      </c>
      <c r="J2455" s="9">
        <v>-17516.692308000002</v>
      </c>
      <c r="K2455" s="7">
        <v>0.65100000000000002</v>
      </c>
      <c r="L2455" s="9">
        <v>-11403.37</v>
      </c>
      <c r="M2455" s="9">
        <v>-11385.85</v>
      </c>
      <c r="N2455" s="9">
        <v>0</v>
      </c>
      <c r="O2455" s="10">
        <f>IF(AND(OR(H2455="APPROVED",H2455="SCHEDULED"),COUNTIFS(tblSource[EventID],F2455,tblSource[ReleaseStatus],"APPROVED")=1,COUNTIFS(Period_Status!$A$2:$A$8,G2455,Period_Status!$B$2:$B$8,"ActualClosed")=1,C2455&gt;EOMONTH(Settlement_Bridge!$C$2,0)),1,0)</f>
        <v>0</v>
      </c>
      <c r="P2455" s="2" t="s">
        <v>6932</v>
      </c>
    </row>
    <row r="2456" spans="1:16" x14ac:dyDescent="0.25">
      <c r="A2456" s="2" t="s">
        <v>6933</v>
      </c>
      <c r="B2456" s="2" t="s">
        <v>199</v>
      </c>
      <c r="C2456" s="8">
        <v>46283</v>
      </c>
      <c r="D2456" s="6">
        <v>46266</v>
      </c>
      <c r="E2456" s="2" t="s">
        <v>260</v>
      </c>
      <c r="F2456" s="2" t="s">
        <v>6934</v>
      </c>
      <c r="G2456" s="6">
        <v>46235</v>
      </c>
      <c r="H2456" s="2" t="s">
        <v>176</v>
      </c>
      <c r="I2456" s="2" t="s">
        <v>39</v>
      </c>
      <c r="J2456" s="9">
        <v>11558.86</v>
      </c>
      <c r="K2456" s="7">
        <v>1</v>
      </c>
      <c r="L2456" s="9">
        <v>11558.86</v>
      </c>
      <c r="M2456" s="9">
        <v>11558.86</v>
      </c>
      <c r="N2456" s="9">
        <v>6.36</v>
      </c>
      <c r="O2456" s="10">
        <f>IF(AND(OR(H2456="APPROVED",H2456="SCHEDULED"),COUNTIFS(tblSource[EventID],F2456,tblSource[ReleaseStatus],"APPROVED")=1,COUNTIFS(Period_Status!$A$2:$A$8,G2456,Period_Status!$B$2:$B$8,"ActualClosed")=1,C2456&gt;EOMONTH(Settlement_Bridge!$C$2,0)),1,0)</f>
        <v>0</v>
      </c>
      <c r="P2456" s="2" t="s">
        <v>6935</v>
      </c>
    </row>
    <row r="2457" spans="1:16" x14ac:dyDescent="0.25">
      <c r="A2457" s="2" t="s">
        <v>6936</v>
      </c>
      <c r="B2457" s="2" t="s">
        <v>199</v>
      </c>
      <c r="C2457" s="8">
        <v>46284</v>
      </c>
      <c r="D2457" s="6">
        <v>46266</v>
      </c>
      <c r="E2457" s="2" t="s">
        <v>260</v>
      </c>
      <c r="F2457" s="2" t="s">
        <v>6937</v>
      </c>
      <c r="G2457" s="6">
        <v>46235</v>
      </c>
      <c r="H2457" s="2" t="s">
        <v>176</v>
      </c>
      <c r="I2457" s="2" t="s">
        <v>76</v>
      </c>
      <c r="J2457" s="9">
        <v>190762113.82113799</v>
      </c>
      <c r="K2457" s="7">
        <v>6.1299999999999999E-5</v>
      </c>
      <c r="L2457" s="9">
        <v>11693.72</v>
      </c>
      <c r="M2457" s="9">
        <v>11731.87</v>
      </c>
      <c r="N2457" s="9">
        <v>6.43</v>
      </c>
      <c r="O2457" s="10">
        <f>IF(AND(OR(H2457="APPROVED",H2457="SCHEDULED"),COUNTIFS(tblSource[EventID],F2457,tblSource[ReleaseStatus],"APPROVED")=1,COUNTIFS(Period_Status!$A$2:$A$8,G2457,Period_Status!$B$2:$B$8,"ActualClosed")=1,C2457&gt;EOMONTH(Settlement_Bridge!$C$2,0)),1,0)</f>
        <v>0</v>
      </c>
      <c r="P2457" s="2" t="s">
        <v>6938</v>
      </c>
    </row>
    <row r="2458" spans="1:16" x14ac:dyDescent="0.25">
      <c r="A2458" s="2" t="s">
        <v>6939</v>
      </c>
      <c r="B2458" s="2" t="s">
        <v>199</v>
      </c>
      <c r="C2458" s="8">
        <v>46275</v>
      </c>
      <c r="D2458" s="6">
        <v>46266</v>
      </c>
      <c r="E2458" s="2" t="s">
        <v>260</v>
      </c>
      <c r="F2458" s="2" t="s">
        <v>6940</v>
      </c>
      <c r="G2458" s="6">
        <v>46235</v>
      </c>
      <c r="H2458" s="2" t="s">
        <v>176</v>
      </c>
      <c r="I2458" s="2" t="s">
        <v>70</v>
      </c>
      <c r="J2458" s="9">
        <v>7326.08</v>
      </c>
      <c r="K2458" s="7">
        <v>0.65100000000000002</v>
      </c>
      <c r="L2458" s="9">
        <v>4769.28</v>
      </c>
      <c r="M2458" s="9">
        <v>4761.95</v>
      </c>
      <c r="N2458" s="9">
        <v>2.62</v>
      </c>
      <c r="O2458" s="10">
        <f>IF(AND(OR(H2458="APPROVED",H2458="SCHEDULED"),COUNTIFS(tblSource[EventID],F2458,tblSource[ReleaseStatus],"APPROVED")=1,COUNTIFS(Period_Status!$A$2:$A$8,G2458,Period_Status!$B$2:$B$8,"ActualClosed")=1,C2458&gt;EOMONTH(Settlement_Bridge!$C$2,0)),1,0)</f>
        <v>0</v>
      </c>
      <c r="P2458" s="2" t="s">
        <v>6941</v>
      </c>
    </row>
    <row r="2459" spans="1:16" x14ac:dyDescent="0.25">
      <c r="A2459" s="2" t="s">
        <v>6942</v>
      </c>
      <c r="B2459" s="2" t="s">
        <v>199</v>
      </c>
      <c r="C2459" s="8">
        <v>46300</v>
      </c>
      <c r="D2459" s="6">
        <v>46296</v>
      </c>
      <c r="E2459" s="2" t="s">
        <v>260</v>
      </c>
      <c r="F2459" s="2" t="s">
        <v>6940</v>
      </c>
      <c r="G2459" s="6">
        <v>46235</v>
      </c>
      <c r="H2459" s="2" t="s">
        <v>176</v>
      </c>
      <c r="I2459" s="2" t="s">
        <v>70</v>
      </c>
      <c r="J2459" s="9">
        <v>10989.12</v>
      </c>
      <c r="K2459" s="7">
        <v>0.65500000000000003</v>
      </c>
      <c r="L2459" s="9">
        <v>7197.87</v>
      </c>
      <c r="M2459" s="9">
        <v>7142.93</v>
      </c>
      <c r="N2459" s="9">
        <v>3.96</v>
      </c>
      <c r="O2459" s="10">
        <f>IF(AND(OR(H2459="APPROVED",H2459="SCHEDULED"),COUNTIFS(tblSource[EventID],F2459,tblSource[ReleaseStatus],"APPROVED")=1,COUNTIFS(Period_Status!$A$2:$A$8,G2459,Period_Status!$B$2:$B$8,"ActualClosed")=1,C2459&gt;EOMONTH(Settlement_Bridge!$C$2,0)),1,0)</f>
        <v>0</v>
      </c>
      <c r="P2459" s="2" t="s">
        <v>6943</v>
      </c>
    </row>
    <row r="2460" spans="1:16" x14ac:dyDescent="0.25">
      <c r="A2460" s="2" t="s">
        <v>6944</v>
      </c>
      <c r="B2460" s="2" t="s">
        <v>199</v>
      </c>
      <c r="C2460" s="8">
        <v>46276</v>
      </c>
      <c r="D2460" s="6">
        <v>46266</v>
      </c>
      <c r="E2460" s="2" t="s">
        <v>260</v>
      </c>
      <c r="F2460" s="2" t="s">
        <v>6945</v>
      </c>
      <c r="G2460" s="6">
        <v>46235</v>
      </c>
      <c r="H2460" s="2" t="s">
        <v>176</v>
      </c>
      <c r="I2460" s="2" t="s">
        <v>39</v>
      </c>
      <c r="J2460" s="9">
        <v>4831.1559999999999</v>
      </c>
      <c r="K2460" s="7">
        <v>1</v>
      </c>
      <c r="L2460" s="9">
        <v>4831.16</v>
      </c>
      <c r="M2460" s="9">
        <v>4831.16</v>
      </c>
      <c r="N2460" s="9">
        <v>2.66</v>
      </c>
      <c r="O2460" s="10">
        <f>IF(AND(OR(H2460="APPROVED",H2460="SCHEDULED"),COUNTIFS(tblSource[EventID],F2460,tblSource[ReleaseStatus],"APPROVED")=1,COUNTIFS(Period_Status!$A$2:$A$8,G2460,Period_Status!$B$2:$B$8,"ActualClosed")=1,C2460&gt;EOMONTH(Settlement_Bridge!$C$2,0)),1,0)</f>
        <v>0</v>
      </c>
      <c r="P2460" s="2" t="s">
        <v>6946</v>
      </c>
    </row>
    <row r="2461" spans="1:16" x14ac:dyDescent="0.25">
      <c r="A2461" s="2" t="s">
        <v>6947</v>
      </c>
      <c r="B2461" s="2" t="s">
        <v>199</v>
      </c>
      <c r="C2461" s="8">
        <v>46301</v>
      </c>
      <c r="D2461" s="6">
        <v>46296</v>
      </c>
      <c r="E2461" s="2" t="s">
        <v>260</v>
      </c>
      <c r="F2461" s="2" t="s">
        <v>6945</v>
      </c>
      <c r="G2461" s="6">
        <v>46235</v>
      </c>
      <c r="H2461" s="2" t="s">
        <v>176</v>
      </c>
      <c r="I2461" s="2" t="s">
        <v>39</v>
      </c>
      <c r="J2461" s="9">
        <v>7246.7340000000004</v>
      </c>
      <c r="K2461" s="7">
        <v>1</v>
      </c>
      <c r="L2461" s="9">
        <v>7246.73</v>
      </c>
      <c r="M2461" s="9">
        <v>7246.73</v>
      </c>
      <c r="N2461" s="9">
        <v>3.99</v>
      </c>
      <c r="O2461" s="10">
        <f>IF(AND(OR(H2461="APPROVED",H2461="SCHEDULED"),COUNTIFS(tblSource[EventID],F2461,tblSource[ReleaseStatus],"APPROVED")=1,COUNTIFS(Period_Status!$A$2:$A$8,G2461,Period_Status!$B$2:$B$8,"ActualClosed")=1,C2461&gt;EOMONTH(Settlement_Bridge!$C$2,0)),1,0)</f>
        <v>0</v>
      </c>
      <c r="P2461" s="2" t="s">
        <v>6948</v>
      </c>
    </row>
    <row r="2462" spans="1:16" x14ac:dyDescent="0.25">
      <c r="A2462" s="2" t="s">
        <v>6949</v>
      </c>
      <c r="B2462" s="2" t="s">
        <v>199</v>
      </c>
      <c r="C2462" s="8">
        <v>46287</v>
      </c>
      <c r="D2462" s="6">
        <v>46266</v>
      </c>
      <c r="E2462" s="2" t="s">
        <v>260</v>
      </c>
      <c r="F2462" s="2" t="s">
        <v>6950</v>
      </c>
      <c r="G2462" s="6">
        <v>46235</v>
      </c>
      <c r="H2462" s="2" t="s">
        <v>176</v>
      </c>
      <c r="I2462" s="2" t="s">
        <v>76</v>
      </c>
      <c r="J2462" s="9">
        <v>199201626.01626</v>
      </c>
      <c r="K2462" s="7">
        <v>6.1299999999999999E-5</v>
      </c>
      <c r="L2462" s="9">
        <v>12211.06</v>
      </c>
      <c r="M2462" s="9">
        <v>12250.9</v>
      </c>
      <c r="N2462" s="9">
        <v>6.72</v>
      </c>
      <c r="O2462" s="10">
        <f>IF(AND(OR(H2462="APPROVED",H2462="SCHEDULED"),COUNTIFS(tblSource[EventID],F2462,tblSource[ReleaseStatus],"APPROVED")=1,COUNTIFS(Period_Status!$A$2:$A$8,G2462,Period_Status!$B$2:$B$8,"ActualClosed")=1,C2462&gt;EOMONTH(Settlement_Bridge!$C$2,0)),1,0)</f>
        <v>0</v>
      </c>
      <c r="P2462" s="2" t="s">
        <v>6951</v>
      </c>
    </row>
    <row r="2463" spans="1:16" x14ac:dyDescent="0.25">
      <c r="A2463" s="2" t="s">
        <v>6952</v>
      </c>
      <c r="B2463" s="2" t="s">
        <v>199</v>
      </c>
      <c r="C2463" s="8">
        <v>46288</v>
      </c>
      <c r="D2463" s="6">
        <v>46266</v>
      </c>
      <c r="E2463" s="2" t="s">
        <v>260</v>
      </c>
      <c r="F2463" s="2" t="s">
        <v>6953</v>
      </c>
      <c r="G2463" s="6">
        <v>46235</v>
      </c>
      <c r="H2463" s="2" t="s">
        <v>176</v>
      </c>
      <c r="I2463" s="2" t="s">
        <v>70</v>
      </c>
      <c r="J2463" s="9">
        <v>19113.707692</v>
      </c>
      <c r="K2463" s="7">
        <v>0.65100000000000002</v>
      </c>
      <c r="L2463" s="9">
        <v>12443.02</v>
      </c>
      <c r="M2463" s="9">
        <v>12423.91</v>
      </c>
      <c r="N2463" s="9">
        <v>6.84</v>
      </c>
      <c r="O2463" s="10">
        <f>IF(AND(OR(H2463="APPROVED",H2463="SCHEDULED"),COUNTIFS(tblSource[EventID],F2463,tblSource[ReleaseStatus],"APPROVED")=1,COUNTIFS(Period_Status!$A$2:$A$8,G2463,Period_Status!$B$2:$B$8,"ActualClosed")=1,C2463&gt;EOMONTH(Settlement_Bridge!$C$2,0)),1,0)</f>
        <v>0</v>
      </c>
      <c r="P2463" s="2" t="s">
        <v>6954</v>
      </c>
    </row>
    <row r="2464" spans="1:16" x14ac:dyDescent="0.25">
      <c r="A2464" s="2" t="s">
        <v>6955</v>
      </c>
      <c r="B2464" s="2" t="s">
        <v>199</v>
      </c>
      <c r="C2464" s="8">
        <v>46279</v>
      </c>
      <c r="D2464" s="6">
        <v>46266</v>
      </c>
      <c r="E2464" s="2" t="s">
        <v>260</v>
      </c>
      <c r="F2464" s="2" t="s">
        <v>6956</v>
      </c>
      <c r="G2464" s="6">
        <v>46235</v>
      </c>
      <c r="H2464" s="2" t="s">
        <v>176</v>
      </c>
      <c r="I2464" s="2" t="s">
        <v>39</v>
      </c>
      <c r="J2464" s="9">
        <v>5038.768</v>
      </c>
      <c r="K2464" s="7">
        <v>1</v>
      </c>
      <c r="L2464" s="9">
        <v>5038.7700000000004</v>
      </c>
      <c r="M2464" s="9">
        <v>5038.7700000000004</v>
      </c>
      <c r="N2464" s="9">
        <v>2.77</v>
      </c>
      <c r="O2464" s="10">
        <f>IF(AND(OR(H2464="APPROVED",H2464="SCHEDULED"),COUNTIFS(tblSource[EventID],F2464,tblSource[ReleaseStatus],"APPROVED")=1,COUNTIFS(Period_Status!$A$2:$A$8,G2464,Period_Status!$B$2:$B$8,"ActualClosed")=1,C2464&gt;EOMONTH(Settlement_Bridge!$C$2,0)),1,0)</f>
        <v>0</v>
      </c>
      <c r="P2464" s="2" t="s">
        <v>6957</v>
      </c>
    </row>
    <row r="2465" spans="1:16" x14ac:dyDescent="0.25">
      <c r="A2465" s="2" t="s">
        <v>6958</v>
      </c>
      <c r="B2465" s="2" t="s">
        <v>199</v>
      </c>
      <c r="C2465" s="8">
        <v>46304</v>
      </c>
      <c r="D2465" s="6">
        <v>46296</v>
      </c>
      <c r="E2465" s="2" t="s">
        <v>260</v>
      </c>
      <c r="F2465" s="2" t="s">
        <v>6956</v>
      </c>
      <c r="G2465" s="6">
        <v>46235</v>
      </c>
      <c r="H2465" s="2" t="s">
        <v>176</v>
      </c>
      <c r="I2465" s="2" t="s">
        <v>39</v>
      </c>
      <c r="J2465" s="9">
        <v>7558.152</v>
      </c>
      <c r="K2465" s="7">
        <v>1</v>
      </c>
      <c r="L2465" s="9">
        <v>7558.15</v>
      </c>
      <c r="M2465" s="9">
        <v>7558.15</v>
      </c>
      <c r="N2465" s="9">
        <v>4.16</v>
      </c>
      <c r="O2465" s="10">
        <f>IF(AND(OR(H2465="APPROVED",H2465="SCHEDULED"),COUNTIFS(tblSource[EventID],F2465,tblSource[ReleaseStatus],"APPROVED")=1,COUNTIFS(Period_Status!$A$2:$A$8,G2465,Period_Status!$B$2:$B$8,"ActualClosed")=1,C2465&gt;EOMONTH(Settlement_Bridge!$C$2,0)),1,0)</f>
        <v>0</v>
      </c>
      <c r="P2465" s="2" t="s">
        <v>6959</v>
      </c>
    </row>
    <row r="2466" spans="1:16" x14ac:dyDescent="0.25">
      <c r="A2466" s="2" t="s">
        <v>6960</v>
      </c>
      <c r="B2466" s="2" t="s">
        <v>199</v>
      </c>
      <c r="C2466" s="8">
        <v>46259</v>
      </c>
      <c r="D2466" s="6">
        <v>46235</v>
      </c>
      <c r="E2466" s="2" t="s">
        <v>260</v>
      </c>
      <c r="F2466" s="2" t="s">
        <v>6961</v>
      </c>
      <c r="G2466" s="6">
        <v>46235</v>
      </c>
      <c r="H2466" s="2" t="s">
        <v>71</v>
      </c>
      <c r="I2466" s="2" t="s">
        <v>76</v>
      </c>
      <c r="J2466" s="9">
        <v>207641138.211382</v>
      </c>
      <c r="K2466" s="7">
        <v>6.1500000000000004E-5</v>
      </c>
      <c r="L2466" s="9">
        <v>12769.93</v>
      </c>
      <c r="M2466" s="9">
        <v>12769.93</v>
      </c>
      <c r="N2466" s="9">
        <v>7.02</v>
      </c>
      <c r="O2466" s="10">
        <f>IF(AND(OR(H2466="APPROVED",H2466="SCHEDULED"),COUNTIFS(tblSource[EventID],F2466,tblSource[ReleaseStatus],"APPROVED")=1,COUNTIFS(Period_Status!$A$2:$A$8,G2466,Period_Status!$B$2:$B$8,"ActualClosed")=1,C2466&gt;EOMONTH(Settlement_Bridge!$C$2,0)),1,0)</f>
        <v>0</v>
      </c>
      <c r="P2466" s="2" t="s">
        <v>6962</v>
      </c>
    </row>
    <row r="2467" spans="1:16" x14ac:dyDescent="0.25">
      <c r="A2467" s="2" t="s">
        <v>6963</v>
      </c>
      <c r="B2467" s="2" t="s">
        <v>199</v>
      </c>
      <c r="C2467" s="8">
        <v>46260</v>
      </c>
      <c r="D2467" s="6">
        <v>46235</v>
      </c>
      <c r="E2467" s="2" t="s">
        <v>260</v>
      </c>
      <c r="F2467" s="2" t="s">
        <v>6964</v>
      </c>
      <c r="G2467" s="6">
        <v>46235</v>
      </c>
      <c r="H2467" s="2" t="s">
        <v>71</v>
      </c>
      <c r="I2467" s="2" t="s">
        <v>70</v>
      </c>
      <c r="J2467" s="9">
        <v>19912.215385</v>
      </c>
      <c r="K2467" s="7">
        <v>0.65</v>
      </c>
      <c r="L2467" s="9">
        <v>12942.94</v>
      </c>
      <c r="M2467" s="9">
        <v>12942.94</v>
      </c>
      <c r="N2467" s="9">
        <v>7.12</v>
      </c>
      <c r="O2467" s="10">
        <f>IF(AND(OR(H2467="APPROVED",H2467="SCHEDULED"),COUNTIFS(tblSource[EventID],F2467,tblSource[ReleaseStatus],"APPROVED")=1,COUNTIFS(Period_Status!$A$2:$A$8,G2467,Period_Status!$B$2:$B$8,"ActualClosed")=1,C2467&gt;EOMONTH(Settlement_Bridge!$C$2,0)),1,0)</f>
        <v>0</v>
      </c>
      <c r="P2467" s="2" t="s">
        <v>6965</v>
      </c>
    </row>
    <row r="2468" spans="1:16" x14ac:dyDescent="0.25">
      <c r="A2468" s="2" t="s">
        <v>6966</v>
      </c>
      <c r="B2468" s="2" t="s">
        <v>199</v>
      </c>
      <c r="C2468" s="8">
        <v>46261</v>
      </c>
      <c r="D2468" s="6">
        <v>46235</v>
      </c>
      <c r="E2468" s="2" t="s">
        <v>260</v>
      </c>
      <c r="F2468" s="2" t="s">
        <v>6967</v>
      </c>
      <c r="G2468" s="6">
        <v>46235</v>
      </c>
      <c r="H2468" s="2" t="s">
        <v>71</v>
      </c>
      <c r="I2468" s="2" t="s">
        <v>39</v>
      </c>
      <c r="J2468" s="9">
        <v>13115.95</v>
      </c>
      <c r="K2468" s="7">
        <v>1</v>
      </c>
      <c r="L2468" s="9">
        <v>13115.95</v>
      </c>
      <c r="M2468" s="9">
        <v>13115.95</v>
      </c>
      <c r="N2468" s="9">
        <v>7.21</v>
      </c>
      <c r="O2468" s="10">
        <f>IF(AND(OR(H2468="APPROVED",H2468="SCHEDULED"),COUNTIFS(tblSource[EventID],F2468,tblSource[ReleaseStatus],"APPROVED")=1,COUNTIFS(Period_Status!$A$2:$A$8,G2468,Period_Status!$B$2:$B$8,"ActualClosed")=1,C2468&gt;EOMONTH(Settlement_Bridge!$C$2,0)),1,0)</f>
        <v>0</v>
      </c>
      <c r="P2468" s="2" t="s">
        <v>6968</v>
      </c>
    </row>
    <row r="2469" spans="1:16" x14ac:dyDescent="0.25">
      <c r="A2469" s="2" t="s">
        <v>6969</v>
      </c>
      <c r="B2469" s="2" t="s">
        <v>199</v>
      </c>
      <c r="C2469" s="8">
        <v>46262</v>
      </c>
      <c r="D2469" s="6">
        <v>46235</v>
      </c>
      <c r="E2469" s="2" t="s">
        <v>260</v>
      </c>
      <c r="F2469" s="2" t="s">
        <v>6970</v>
      </c>
      <c r="G2469" s="6">
        <v>46235</v>
      </c>
      <c r="H2469" s="2" t="s">
        <v>71</v>
      </c>
      <c r="I2469" s="2" t="s">
        <v>76</v>
      </c>
      <c r="J2469" s="9">
        <v>216080650.40650401</v>
      </c>
      <c r="K2469" s="7">
        <v>6.1500000000000004E-5</v>
      </c>
      <c r="L2469" s="9">
        <v>13288.96</v>
      </c>
      <c r="M2469" s="9">
        <v>13288.96</v>
      </c>
      <c r="N2469" s="9">
        <v>7.31</v>
      </c>
      <c r="O2469" s="10">
        <f>IF(AND(OR(H2469="APPROVED",H2469="SCHEDULED"),COUNTIFS(tblSource[EventID],F2469,tblSource[ReleaseStatus],"APPROVED")=1,COUNTIFS(Period_Status!$A$2:$A$8,G2469,Period_Status!$B$2:$B$8,"ActualClosed")=1,C2469&gt;EOMONTH(Settlement_Bridge!$C$2,0)),1,0)</f>
        <v>0</v>
      </c>
      <c r="P2469" s="2" t="s">
        <v>6971</v>
      </c>
    </row>
    <row r="2470" spans="1:16" x14ac:dyDescent="0.25">
      <c r="A2470" s="2" t="s">
        <v>6972</v>
      </c>
      <c r="B2470" s="2" t="s">
        <v>199</v>
      </c>
      <c r="C2470" s="8">
        <v>46263</v>
      </c>
      <c r="D2470" s="6">
        <v>46235</v>
      </c>
      <c r="E2470" s="2" t="s">
        <v>260</v>
      </c>
      <c r="F2470" s="2" t="s">
        <v>6973</v>
      </c>
      <c r="G2470" s="6">
        <v>46235</v>
      </c>
      <c r="H2470" s="2" t="s">
        <v>71</v>
      </c>
      <c r="I2470" s="2" t="s">
        <v>70</v>
      </c>
      <c r="J2470" s="9">
        <v>20709.230769000002</v>
      </c>
      <c r="K2470" s="7">
        <v>0.65</v>
      </c>
      <c r="L2470" s="9">
        <v>13461</v>
      </c>
      <c r="M2470" s="9">
        <v>13461</v>
      </c>
      <c r="N2470" s="9">
        <v>7.4</v>
      </c>
      <c r="O2470" s="10">
        <f>IF(AND(OR(H2470="APPROVED",H2470="SCHEDULED"),COUNTIFS(tblSource[EventID],F2470,tblSource[ReleaseStatus],"APPROVED")=1,COUNTIFS(Period_Status!$A$2:$A$8,G2470,Period_Status!$B$2:$B$8,"ActualClosed")=1,C2470&gt;EOMONTH(Settlement_Bridge!$C$2,0)),1,0)</f>
        <v>0</v>
      </c>
      <c r="P2470" s="2" t="s">
        <v>6974</v>
      </c>
    </row>
    <row r="2471" spans="1:16" x14ac:dyDescent="0.25">
      <c r="A2471" s="2" t="s">
        <v>6975</v>
      </c>
      <c r="B2471" s="2" t="s">
        <v>199</v>
      </c>
      <c r="C2471" s="8">
        <v>46254</v>
      </c>
      <c r="D2471" s="6">
        <v>46235</v>
      </c>
      <c r="E2471" s="2" t="s">
        <v>260</v>
      </c>
      <c r="F2471" s="2" t="s">
        <v>6976</v>
      </c>
      <c r="G2471" s="6">
        <v>46235</v>
      </c>
      <c r="H2471" s="2" t="s">
        <v>71</v>
      </c>
      <c r="I2471" s="2" t="s">
        <v>39</v>
      </c>
      <c r="J2471" s="9">
        <v>5453.6040000000003</v>
      </c>
      <c r="K2471" s="7">
        <v>1</v>
      </c>
      <c r="L2471" s="9">
        <v>5453.6</v>
      </c>
      <c r="M2471" s="9">
        <v>5453.6</v>
      </c>
      <c r="N2471" s="9">
        <v>3</v>
      </c>
      <c r="O2471" s="10">
        <f>IF(AND(OR(H2471="APPROVED",H2471="SCHEDULED"),COUNTIFS(tblSource[EventID],F2471,tblSource[ReleaseStatus],"APPROVED")=1,COUNTIFS(Period_Status!$A$2:$A$8,G2471,Period_Status!$B$2:$B$8,"ActualClosed")=1,C2471&gt;EOMONTH(Settlement_Bridge!$C$2,0)),1,0)</f>
        <v>0</v>
      </c>
      <c r="P2471" s="2" t="s">
        <v>6977</v>
      </c>
    </row>
    <row r="2472" spans="1:16" x14ac:dyDescent="0.25">
      <c r="A2472" s="2" t="s">
        <v>6978</v>
      </c>
      <c r="B2472" s="2" t="s">
        <v>199</v>
      </c>
      <c r="C2472" s="8">
        <v>46279</v>
      </c>
      <c r="D2472" s="6">
        <v>46266</v>
      </c>
      <c r="E2472" s="2" t="s">
        <v>260</v>
      </c>
      <c r="F2472" s="2" t="s">
        <v>6976</v>
      </c>
      <c r="G2472" s="6">
        <v>46235</v>
      </c>
      <c r="H2472" s="2" t="s">
        <v>176</v>
      </c>
      <c r="I2472" s="2" t="s">
        <v>39</v>
      </c>
      <c r="J2472" s="9">
        <v>8180.4059999999999</v>
      </c>
      <c r="K2472" s="7">
        <v>1</v>
      </c>
      <c r="L2472" s="9">
        <v>8180.41</v>
      </c>
      <c r="M2472" s="9">
        <v>8180.41</v>
      </c>
      <c r="N2472" s="9">
        <v>4.5</v>
      </c>
      <c r="O2472" s="10">
        <f>IF(AND(OR(H2472="APPROVED",H2472="SCHEDULED"),COUNTIFS(tblSource[EventID],F2472,tblSource[ReleaseStatus],"APPROVED")=1,COUNTIFS(Period_Status!$A$2:$A$8,G2472,Period_Status!$B$2:$B$8,"ActualClosed")=1,C2472&gt;EOMONTH(Settlement_Bridge!$C$2,0)),1,0)</f>
        <v>0</v>
      </c>
      <c r="P2472" s="2" t="s">
        <v>6979</v>
      </c>
    </row>
    <row r="2473" spans="1:16" x14ac:dyDescent="0.25">
      <c r="A2473" s="2" t="s">
        <v>6980</v>
      </c>
      <c r="B2473" s="2" t="s">
        <v>199</v>
      </c>
      <c r="C2473" s="8">
        <v>46255</v>
      </c>
      <c r="D2473" s="6">
        <v>46235</v>
      </c>
      <c r="E2473" s="2" t="s">
        <v>260</v>
      </c>
      <c r="F2473" s="2" t="s">
        <v>6981</v>
      </c>
      <c r="G2473" s="6">
        <v>46235</v>
      </c>
      <c r="H2473" s="2" t="s">
        <v>71</v>
      </c>
      <c r="I2473" s="2" t="s">
        <v>76</v>
      </c>
      <c r="J2473" s="9">
        <v>89801756.097561002</v>
      </c>
      <c r="K2473" s="7">
        <v>6.1500000000000004E-5</v>
      </c>
      <c r="L2473" s="9">
        <v>5522.81</v>
      </c>
      <c r="M2473" s="9">
        <v>5522.81</v>
      </c>
      <c r="N2473" s="9">
        <v>3.04</v>
      </c>
      <c r="O2473" s="10">
        <f>IF(AND(OR(H2473="APPROVED",H2473="SCHEDULED"),COUNTIFS(tblSource[EventID],F2473,tblSource[ReleaseStatus],"APPROVED")=1,COUNTIFS(Period_Status!$A$2:$A$8,G2473,Period_Status!$B$2:$B$8,"ActualClosed")=1,C2473&gt;EOMONTH(Settlement_Bridge!$C$2,0)),1,0)</f>
        <v>0</v>
      </c>
      <c r="P2473" s="2" t="s">
        <v>6982</v>
      </c>
    </row>
    <row r="2474" spans="1:16" x14ac:dyDescent="0.25">
      <c r="A2474" s="2" t="s">
        <v>6983</v>
      </c>
      <c r="B2474" s="2" t="s">
        <v>199</v>
      </c>
      <c r="C2474" s="8">
        <v>46280</v>
      </c>
      <c r="D2474" s="6">
        <v>46266</v>
      </c>
      <c r="E2474" s="2" t="s">
        <v>260</v>
      </c>
      <c r="F2474" s="2" t="s">
        <v>6981</v>
      </c>
      <c r="G2474" s="6">
        <v>46235</v>
      </c>
      <c r="H2474" s="2" t="s">
        <v>176</v>
      </c>
      <c r="I2474" s="2" t="s">
        <v>76</v>
      </c>
      <c r="J2474" s="9">
        <v>134702634.146341</v>
      </c>
      <c r="K2474" s="7">
        <v>6.1299999999999999E-5</v>
      </c>
      <c r="L2474" s="9">
        <v>8257.27</v>
      </c>
      <c r="M2474" s="9">
        <v>8284.2099999999991</v>
      </c>
      <c r="N2474" s="9">
        <v>4.54</v>
      </c>
      <c r="O2474" s="10">
        <f>IF(AND(OR(H2474="APPROVED",H2474="SCHEDULED"),COUNTIFS(tblSource[EventID],F2474,tblSource[ReleaseStatus],"APPROVED")=1,COUNTIFS(Period_Status!$A$2:$A$8,G2474,Period_Status!$B$2:$B$8,"ActualClosed")=1,C2474&gt;EOMONTH(Settlement_Bridge!$C$2,0)),1,0)</f>
        <v>0</v>
      </c>
      <c r="P2474" s="2" t="s">
        <v>6984</v>
      </c>
    </row>
    <row r="2475" spans="1:16" x14ac:dyDescent="0.25">
      <c r="A2475" s="2" t="s">
        <v>6985</v>
      </c>
      <c r="B2475" s="2" t="s">
        <v>199</v>
      </c>
      <c r="C2475" s="8">
        <v>46266</v>
      </c>
      <c r="D2475" s="6">
        <v>46266</v>
      </c>
      <c r="E2475" s="2" t="s">
        <v>260</v>
      </c>
      <c r="F2475" s="2" t="s">
        <v>6986</v>
      </c>
      <c r="G2475" s="6">
        <v>46235</v>
      </c>
      <c r="H2475" s="2" t="s">
        <v>176</v>
      </c>
      <c r="I2475" s="2" t="s">
        <v>70</v>
      </c>
      <c r="J2475" s="9">
        <v>21507.738462000001</v>
      </c>
      <c r="K2475" s="7">
        <v>0.65100000000000002</v>
      </c>
      <c r="L2475" s="9">
        <v>14001.54</v>
      </c>
      <c r="M2475" s="9">
        <v>13980.03</v>
      </c>
      <c r="N2475" s="9">
        <v>7.7</v>
      </c>
      <c r="O2475" s="10">
        <f>IF(AND(OR(H2475="APPROVED",H2475="SCHEDULED"),COUNTIFS(tblSource[EventID],F2475,tblSource[ReleaseStatus],"APPROVED")=1,COUNTIFS(Period_Status!$A$2:$A$8,G2475,Period_Status!$B$2:$B$8,"ActualClosed")=1,C2475&gt;EOMONTH(Settlement_Bridge!$C$2,0)),1,0)</f>
        <v>0</v>
      </c>
      <c r="P2475" s="2" t="s">
        <v>6987</v>
      </c>
    </row>
    <row r="2476" spans="1:16" x14ac:dyDescent="0.25">
      <c r="A2476" s="2" t="s">
        <v>6988</v>
      </c>
      <c r="B2476" s="2" t="s">
        <v>199</v>
      </c>
      <c r="C2476" s="8">
        <v>46267</v>
      </c>
      <c r="D2476" s="6">
        <v>46266</v>
      </c>
      <c r="E2476" s="2" t="s">
        <v>260</v>
      </c>
      <c r="F2476" s="2" t="s">
        <v>6989</v>
      </c>
      <c r="G2476" s="6">
        <v>46235</v>
      </c>
      <c r="H2476" s="2" t="s">
        <v>176</v>
      </c>
      <c r="I2476" s="2" t="s">
        <v>39</v>
      </c>
      <c r="J2476" s="9">
        <v>14153.04</v>
      </c>
      <c r="K2476" s="7">
        <v>1</v>
      </c>
      <c r="L2476" s="9">
        <v>14153.04</v>
      </c>
      <c r="M2476" s="9">
        <v>14153.04</v>
      </c>
      <c r="N2476" s="9">
        <v>7.78</v>
      </c>
      <c r="O2476" s="10">
        <f>IF(AND(OR(H2476="APPROVED",H2476="SCHEDULED"),COUNTIFS(tblSource[EventID],F2476,tblSource[ReleaseStatus],"APPROVED")=1,COUNTIFS(Period_Status!$A$2:$A$8,G2476,Period_Status!$B$2:$B$8,"ActualClosed")=1,C2476&gt;EOMONTH(Settlement_Bridge!$C$2,0)),1,0)</f>
        <v>0</v>
      </c>
      <c r="P2476" s="2" t="s">
        <v>6990</v>
      </c>
    </row>
    <row r="2477" spans="1:16" x14ac:dyDescent="0.25">
      <c r="A2477" s="2" t="s">
        <v>6991</v>
      </c>
      <c r="B2477" s="2" t="s">
        <v>199</v>
      </c>
      <c r="C2477" s="8">
        <v>46258</v>
      </c>
      <c r="D2477" s="6">
        <v>46235</v>
      </c>
      <c r="E2477" s="2" t="s">
        <v>260</v>
      </c>
      <c r="F2477" s="2" t="s">
        <v>6992</v>
      </c>
      <c r="G2477" s="6">
        <v>46235</v>
      </c>
      <c r="H2477" s="2" t="s">
        <v>71</v>
      </c>
      <c r="I2477" s="2" t="s">
        <v>76</v>
      </c>
      <c r="J2477" s="9">
        <v>93177560.975610003</v>
      </c>
      <c r="K2477" s="7">
        <v>6.1500000000000004E-5</v>
      </c>
      <c r="L2477" s="9">
        <v>5730.42</v>
      </c>
      <c r="M2477" s="9">
        <v>5730.42</v>
      </c>
      <c r="N2477" s="9">
        <v>3.15</v>
      </c>
      <c r="O2477" s="10">
        <f>IF(AND(OR(H2477="APPROVED",H2477="SCHEDULED"),COUNTIFS(tblSource[EventID],F2477,tblSource[ReleaseStatus],"APPROVED")=1,COUNTIFS(Period_Status!$A$2:$A$8,G2477,Period_Status!$B$2:$B$8,"ActualClosed")=1,C2477&gt;EOMONTH(Settlement_Bridge!$C$2,0)),1,0)</f>
        <v>0</v>
      </c>
      <c r="P2477" s="2" t="s">
        <v>6993</v>
      </c>
    </row>
    <row r="2478" spans="1:16" x14ac:dyDescent="0.25">
      <c r="A2478" s="2" t="s">
        <v>6994</v>
      </c>
      <c r="B2478" s="2" t="s">
        <v>199</v>
      </c>
      <c r="C2478" s="8">
        <v>46283</v>
      </c>
      <c r="D2478" s="6">
        <v>46266</v>
      </c>
      <c r="E2478" s="2" t="s">
        <v>260</v>
      </c>
      <c r="F2478" s="2" t="s">
        <v>6992</v>
      </c>
      <c r="G2478" s="6">
        <v>46235</v>
      </c>
      <c r="H2478" s="2" t="s">
        <v>176</v>
      </c>
      <c r="I2478" s="2" t="s">
        <v>76</v>
      </c>
      <c r="J2478" s="9">
        <v>139766341.46341401</v>
      </c>
      <c r="K2478" s="7">
        <v>6.1299999999999999E-5</v>
      </c>
      <c r="L2478" s="9">
        <v>8567.68</v>
      </c>
      <c r="M2478" s="9">
        <v>8595.6299999999992</v>
      </c>
      <c r="N2478" s="9">
        <v>4.71</v>
      </c>
      <c r="O2478" s="10">
        <f>IF(AND(OR(H2478="APPROVED",H2478="SCHEDULED"),COUNTIFS(tblSource[EventID],F2478,tblSource[ReleaseStatus],"APPROVED")=1,COUNTIFS(Period_Status!$A$2:$A$8,G2478,Period_Status!$B$2:$B$8,"ActualClosed")=1,C2478&gt;EOMONTH(Settlement_Bridge!$C$2,0)),1,0)</f>
        <v>0</v>
      </c>
      <c r="P2478" s="2" t="s">
        <v>6995</v>
      </c>
    </row>
    <row r="2479" spans="1:16" x14ac:dyDescent="0.25">
      <c r="A2479" s="2" t="s">
        <v>6996</v>
      </c>
      <c r="B2479" s="2" t="s">
        <v>199</v>
      </c>
      <c r="C2479" s="8">
        <v>46269</v>
      </c>
      <c r="D2479" s="6">
        <v>46266</v>
      </c>
      <c r="E2479" s="2" t="s">
        <v>260</v>
      </c>
      <c r="F2479" s="2" t="s">
        <v>6997</v>
      </c>
      <c r="G2479" s="6">
        <v>46235</v>
      </c>
      <c r="H2479" s="2" t="s">
        <v>176</v>
      </c>
      <c r="I2479" s="2" t="s">
        <v>70</v>
      </c>
      <c r="J2479" s="9">
        <v>22306.246154</v>
      </c>
      <c r="K2479" s="7">
        <v>0.65100000000000002</v>
      </c>
      <c r="L2479" s="9">
        <v>14521.37</v>
      </c>
      <c r="M2479" s="9">
        <v>14499.06</v>
      </c>
      <c r="N2479" s="9">
        <v>7.99</v>
      </c>
      <c r="O2479" s="10">
        <f>IF(AND(OR(H2479="APPROVED",H2479="SCHEDULED"),COUNTIFS(tblSource[EventID],F2479,tblSource[ReleaseStatus],"APPROVED")=1,COUNTIFS(Period_Status!$A$2:$A$8,G2479,Period_Status!$B$2:$B$8,"ActualClosed")=1,C2479&gt;EOMONTH(Settlement_Bridge!$C$2,0)),1,0)</f>
        <v>0</v>
      </c>
      <c r="P2479" s="2" t="s">
        <v>6998</v>
      </c>
    </row>
    <row r="2480" spans="1:16" x14ac:dyDescent="0.25">
      <c r="A2480" s="2" t="s">
        <v>6999</v>
      </c>
      <c r="B2480" s="2" t="s">
        <v>199</v>
      </c>
      <c r="C2480" s="8">
        <v>46270</v>
      </c>
      <c r="D2480" s="6">
        <v>46266</v>
      </c>
      <c r="E2480" s="2" t="s">
        <v>260</v>
      </c>
      <c r="F2480" s="2" t="s">
        <v>7000</v>
      </c>
      <c r="G2480" s="6">
        <v>46235</v>
      </c>
      <c r="H2480" s="2" t="s">
        <v>176</v>
      </c>
      <c r="I2480" s="2" t="s">
        <v>39</v>
      </c>
      <c r="J2480" s="9">
        <v>14672.07</v>
      </c>
      <c r="K2480" s="7">
        <v>1</v>
      </c>
      <c r="L2480" s="9">
        <v>14672.07</v>
      </c>
      <c r="M2480" s="9">
        <v>14672.07</v>
      </c>
      <c r="N2480" s="9">
        <v>8.07</v>
      </c>
      <c r="O2480" s="10">
        <f>IF(AND(OR(H2480="APPROVED",H2480="SCHEDULED"),COUNTIFS(tblSource[EventID],F2480,tblSource[ReleaseStatus],"APPROVED")=1,COUNTIFS(Period_Status!$A$2:$A$8,G2480,Period_Status!$B$2:$B$8,"ActualClosed")=1,C2480&gt;EOMONTH(Settlement_Bridge!$C$2,0)),1,0)</f>
        <v>0</v>
      </c>
      <c r="P2480" s="2" t="s">
        <v>7001</v>
      </c>
    </row>
    <row r="2481" spans="1:16" x14ac:dyDescent="0.25">
      <c r="A2481" s="2" t="s">
        <v>7002</v>
      </c>
      <c r="B2481" s="2" t="s">
        <v>199</v>
      </c>
      <c r="C2481" s="8">
        <v>46271</v>
      </c>
      <c r="D2481" s="6">
        <v>46266</v>
      </c>
      <c r="E2481" s="2" t="s">
        <v>260</v>
      </c>
      <c r="F2481" s="2" t="s">
        <v>7003</v>
      </c>
      <c r="G2481" s="6">
        <v>46235</v>
      </c>
      <c r="H2481" s="2" t="s">
        <v>176</v>
      </c>
      <c r="I2481" s="2" t="s">
        <v>76</v>
      </c>
      <c r="J2481" s="9">
        <v>241383414.634146</v>
      </c>
      <c r="K2481" s="7">
        <v>6.1299999999999999E-5</v>
      </c>
      <c r="L2481" s="9">
        <v>14796.8</v>
      </c>
      <c r="M2481" s="9">
        <v>14845.08</v>
      </c>
      <c r="N2481" s="9">
        <v>8.14</v>
      </c>
      <c r="O2481" s="10">
        <f>IF(AND(OR(H2481="APPROVED",H2481="SCHEDULED"),COUNTIFS(tblSource[EventID],F2481,tblSource[ReleaseStatus],"APPROVED")=1,COUNTIFS(Period_Status!$A$2:$A$8,G2481,Period_Status!$B$2:$B$8,"ActualClosed")=1,C2481&gt;EOMONTH(Settlement_Bridge!$C$2,0)),1,0)</f>
        <v>0</v>
      </c>
      <c r="P2481" s="2" t="s">
        <v>7004</v>
      </c>
    </row>
    <row r="2482" spans="1:16" x14ac:dyDescent="0.25">
      <c r="A2482" s="2" t="s">
        <v>7005</v>
      </c>
      <c r="B2482" s="2" t="s">
        <v>199</v>
      </c>
      <c r="C2482" s="8">
        <v>46272</v>
      </c>
      <c r="D2482" s="6">
        <v>46266</v>
      </c>
      <c r="E2482" s="2" t="s">
        <v>260</v>
      </c>
      <c r="F2482" s="2" t="s">
        <v>7006</v>
      </c>
      <c r="G2482" s="6">
        <v>46235</v>
      </c>
      <c r="H2482" s="2" t="s">
        <v>176</v>
      </c>
      <c r="I2482" s="2" t="s">
        <v>70</v>
      </c>
      <c r="J2482" s="9">
        <v>1566.292308</v>
      </c>
      <c r="K2482" s="7">
        <v>0.65100000000000002</v>
      </c>
      <c r="L2482" s="9">
        <v>1019.66</v>
      </c>
      <c r="M2482" s="9">
        <v>1018.09</v>
      </c>
      <c r="N2482" s="9">
        <v>1.8</v>
      </c>
      <c r="O2482" s="10">
        <f>IF(AND(OR(H2482="APPROVED",H2482="SCHEDULED"),COUNTIFS(tblSource[EventID],F2482,tblSource[ReleaseStatus],"APPROVED")=1,COUNTIFS(Period_Status!$A$2:$A$8,G2482,Period_Status!$B$2:$B$8,"ActualClosed")=1,C2482&gt;EOMONTH(Settlement_Bridge!$C$2,0)),1,0)</f>
        <v>0</v>
      </c>
      <c r="P2482" s="2" t="s">
        <v>7007</v>
      </c>
    </row>
    <row r="2483" spans="1:16" x14ac:dyDescent="0.25">
      <c r="A2483" s="2" t="s">
        <v>7008</v>
      </c>
      <c r="B2483" s="2" t="s">
        <v>199</v>
      </c>
      <c r="C2483" s="8">
        <v>46273</v>
      </c>
      <c r="D2483" s="6">
        <v>46266</v>
      </c>
      <c r="E2483" s="2" t="s">
        <v>260</v>
      </c>
      <c r="F2483" s="2" t="s">
        <v>7009</v>
      </c>
      <c r="G2483" s="6">
        <v>46235</v>
      </c>
      <c r="H2483" s="2" t="s">
        <v>176</v>
      </c>
      <c r="I2483" s="2" t="s">
        <v>39</v>
      </c>
      <c r="J2483" s="9">
        <v>1191.0999999999999</v>
      </c>
      <c r="K2483" s="7">
        <v>1</v>
      </c>
      <c r="L2483" s="9">
        <v>1191.0999999999999</v>
      </c>
      <c r="M2483" s="9">
        <v>1191.0999999999999</v>
      </c>
      <c r="N2483" s="9">
        <v>1.8</v>
      </c>
      <c r="O2483" s="10">
        <f>IF(AND(OR(H2483="APPROVED",H2483="SCHEDULED"),COUNTIFS(tblSource[EventID],F2483,tblSource[ReleaseStatus],"APPROVED")=1,COUNTIFS(Period_Status!$A$2:$A$8,G2483,Period_Status!$B$2:$B$8,"ActualClosed")=1,C2483&gt;EOMONTH(Settlement_Bridge!$C$2,0)),1,0)</f>
        <v>0</v>
      </c>
      <c r="P2483" s="2" t="s">
        <v>7010</v>
      </c>
    </row>
    <row r="2484" spans="1:16" x14ac:dyDescent="0.25">
      <c r="A2484" s="2" t="s">
        <v>7011</v>
      </c>
      <c r="B2484" s="2" t="s">
        <v>199</v>
      </c>
      <c r="C2484" s="8">
        <v>46264</v>
      </c>
      <c r="D2484" s="6">
        <v>46235</v>
      </c>
      <c r="E2484" s="2" t="s">
        <v>260</v>
      </c>
      <c r="F2484" s="2" t="s">
        <v>7012</v>
      </c>
      <c r="G2484" s="6">
        <v>46235</v>
      </c>
      <c r="H2484" s="2" t="s">
        <v>71</v>
      </c>
      <c r="I2484" s="2" t="s">
        <v>76</v>
      </c>
      <c r="J2484" s="9">
        <v>8872260.1626019999</v>
      </c>
      <c r="K2484" s="7">
        <v>6.1500000000000004E-5</v>
      </c>
      <c r="L2484" s="9">
        <v>545.64</v>
      </c>
      <c r="M2484" s="9">
        <v>545.64</v>
      </c>
      <c r="N2484" s="9">
        <v>1.8</v>
      </c>
      <c r="O2484" s="10">
        <f>IF(AND(OR(H2484="APPROVED",H2484="SCHEDULED"),COUNTIFS(tblSource[EventID],F2484,tblSource[ReleaseStatus],"APPROVED")=1,COUNTIFS(Period_Status!$A$2:$A$8,G2484,Period_Status!$B$2:$B$8,"ActualClosed")=1,C2484&gt;EOMONTH(Settlement_Bridge!$C$2,0)),1,0)</f>
        <v>0</v>
      </c>
      <c r="P2484" s="2" t="s">
        <v>7013</v>
      </c>
    </row>
    <row r="2485" spans="1:16" x14ac:dyDescent="0.25">
      <c r="A2485" s="2" t="s">
        <v>7014</v>
      </c>
      <c r="B2485" s="2" t="s">
        <v>199</v>
      </c>
      <c r="C2485" s="8">
        <v>46289</v>
      </c>
      <c r="D2485" s="6">
        <v>46266</v>
      </c>
      <c r="E2485" s="2" t="s">
        <v>260</v>
      </c>
      <c r="F2485" s="2" t="s">
        <v>7012</v>
      </c>
      <c r="G2485" s="6">
        <v>46235</v>
      </c>
      <c r="H2485" s="2" t="s">
        <v>176</v>
      </c>
      <c r="I2485" s="2" t="s">
        <v>76</v>
      </c>
      <c r="J2485" s="9">
        <v>13308390.243902</v>
      </c>
      <c r="K2485" s="7">
        <v>6.1299999999999999E-5</v>
      </c>
      <c r="L2485" s="9">
        <v>815.8</v>
      </c>
      <c r="M2485" s="9">
        <v>818.47</v>
      </c>
      <c r="N2485" s="9">
        <v>1.8</v>
      </c>
      <c r="O2485" s="10">
        <f>IF(AND(OR(H2485="APPROVED",H2485="SCHEDULED"),COUNTIFS(tblSource[EventID],F2485,tblSource[ReleaseStatus],"APPROVED")=1,COUNTIFS(Period_Status!$A$2:$A$8,G2485,Period_Status!$B$2:$B$8,"ActualClosed")=1,C2485&gt;EOMONTH(Settlement_Bridge!$C$2,0)),1,0)</f>
        <v>0</v>
      </c>
      <c r="P2485" s="2" t="s">
        <v>7015</v>
      </c>
    </row>
    <row r="2486" spans="1:16" x14ac:dyDescent="0.25">
      <c r="A2486" s="2" t="s">
        <v>7016</v>
      </c>
      <c r="B2486" s="2" t="s">
        <v>199</v>
      </c>
      <c r="C2486" s="8">
        <v>46265</v>
      </c>
      <c r="D2486" s="6">
        <v>46235</v>
      </c>
      <c r="E2486" s="2" t="s">
        <v>260</v>
      </c>
      <c r="F2486" s="2" t="s">
        <v>7017</v>
      </c>
      <c r="G2486" s="6">
        <v>46235</v>
      </c>
      <c r="H2486" s="2" t="s">
        <v>71</v>
      </c>
      <c r="I2486" s="2" t="s">
        <v>70</v>
      </c>
      <c r="J2486" s="9">
        <v>945.92</v>
      </c>
      <c r="K2486" s="7">
        <v>0.65</v>
      </c>
      <c r="L2486" s="9">
        <v>614.85</v>
      </c>
      <c r="M2486" s="9">
        <v>614.85</v>
      </c>
      <c r="N2486" s="9">
        <v>1.8</v>
      </c>
      <c r="O2486" s="10">
        <f>IF(AND(OR(H2486="APPROVED",H2486="SCHEDULED"),COUNTIFS(tblSource[EventID],F2486,tblSource[ReleaseStatus],"APPROVED")=1,COUNTIFS(Period_Status!$A$2:$A$8,G2486,Period_Status!$B$2:$B$8,"ActualClosed")=1,C2486&gt;EOMONTH(Settlement_Bridge!$C$2,0)),1,0)</f>
        <v>0</v>
      </c>
      <c r="P2486" s="2" t="s">
        <v>7018</v>
      </c>
    </row>
    <row r="2487" spans="1:16" x14ac:dyDescent="0.25">
      <c r="A2487" s="2" t="s">
        <v>7019</v>
      </c>
      <c r="B2487" s="2" t="s">
        <v>199</v>
      </c>
      <c r="C2487" s="8">
        <v>46290</v>
      </c>
      <c r="D2487" s="6">
        <v>46266</v>
      </c>
      <c r="E2487" s="2" t="s">
        <v>260</v>
      </c>
      <c r="F2487" s="2" t="s">
        <v>7017</v>
      </c>
      <c r="G2487" s="6">
        <v>46235</v>
      </c>
      <c r="H2487" s="2" t="s">
        <v>176</v>
      </c>
      <c r="I2487" s="2" t="s">
        <v>70</v>
      </c>
      <c r="J2487" s="9">
        <v>1418.88</v>
      </c>
      <c r="K2487" s="7">
        <v>0.65100000000000002</v>
      </c>
      <c r="L2487" s="9">
        <v>923.69</v>
      </c>
      <c r="M2487" s="9">
        <v>922.27</v>
      </c>
      <c r="N2487" s="9">
        <v>1.8</v>
      </c>
      <c r="O2487" s="10">
        <f>IF(AND(OR(H2487="APPROVED",H2487="SCHEDULED"),COUNTIFS(tblSource[EventID],F2487,tblSource[ReleaseStatus],"APPROVED")=1,COUNTIFS(Period_Status!$A$2:$A$8,G2487,Period_Status!$B$2:$B$8,"ActualClosed")=1,C2487&gt;EOMONTH(Settlement_Bridge!$C$2,0)),1,0)</f>
        <v>0</v>
      </c>
      <c r="P2487" s="2" t="s">
        <v>7020</v>
      </c>
    </row>
    <row r="2488" spans="1:16" x14ac:dyDescent="0.25">
      <c r="A2488" s="2" t="s">
        <v>7021</v>
      </c>
      <c r="B2488" s="2" t="s">
        <v>199</v>
      </c>
      <c r="C2488" s="8">
        <v>46276</v>
      </c>
      <c r="D2488" s="6">
        <v>46266</v>
      </c>
      <c r="E2488" s="2" t="s">
        <v>260</v>
      </c>
      <c r="F2488" s="2" t="s">
        <v>7022</v>
      </c>
      <c r="G2488" s="6">
        <v>46235</v>
      </c>
      <c r="H2488" s="2" t="s">
        <v>176</v>
      </c>
      <c r="I2488" s="2" t="s">
        <v>39</v>
      </c>
      <c r="J2488" s="9">
        <v>1710.13</v>
      </c>
      <c r="K2488" s="7">
        <v>1</v>
      </c>
      <c r="L2488" s="9">
        <v>1710.13</v>
      </c>
      <c r="M2488" s="9">
        <v>1710.13</v>
      </c>
      <c r="N2488" s="9">
        <v>1.8</v>
      </c>
      <c r="O2488" s="10">
        <f>IF(AND(OR(H2488="APPROVED",H2488="SCHEDULED"),COUNTIFS(tblSource[EventID],F2488,tblSource[ReleaseStatus],"APPROVED")=1,COUNTIFS(Period_Status!$A$2:$A$8,G2488,Period_Status!$B$2:$B$8,"ActualClosed")=1,C2488&gt;EOMONTH(Settlement_Bridge!$C$2,0)),1,0)</f>
        <v>0</v>
      </c>
      <c r="P2488" s="2" t="s">
        <v>7023</v>
      </c>
    </row>
    <row r="2489" spans="1:16" x14ac:dyDescent="0.25">
      <c r="A2489" s="2" t="s">
        <v>7024</v>
      </c>
      <c r="B2489" s="2" t="s">
        <v>199</v>
      </c>
      <c r="C2489" s="8">
        <v>46277</v>
      </c>
      <c r="D2489" s="6">
        <v>46266</v>
      </c>
      <c r="E2489" s="2" t="s">
        <v>260</v>
      </c>
      <c r="F2489" s="2" t="s">
        <v>7025</v>
      </c>
      <c r="G2489" s="6">
        <v>46235</v>
      </c>
      <c r="H2489" s="2" t="s">
        <v>176</v>
      </c>
      <c r="I2489" s="2" t="s">
        <v>76</v>
      </c>
      <c r="J2489" s="9">
        <v>30620162.601626001</v>
      </c>
      <c r="K2489" s="7">
        <v>6.1299999999999999E-5</v>
      </c>
      <c r="L2489" s="9">
        <v>1877.02</v>
      </c>
      <c r="M2489" s="9">
        <v>1883.14</v>
      </c>
      <c r="N2489" s="9">
        <v>1.8</v>
      </c>
      <c r="O2489" s="10">
        <f>IF(AND(OR(H2489="APPROVED",H2489="SCHEDULED"),COUNTIFS(tblSource[EventID],F2489,tblSource[ReleaseStatus],"APPROVED")=1,COUNTIFS(Period_Status!$A$2:$A$8,G2489,Period_Status!$B$2:$B$8,"ActualClosed")=1,C2489&gt;EOMONTH(Settlement_Bridge!$C$2,0)),1,0)</f>
        <v>0</v>
      </c>
      <c r="P2489" s="2" t="s">
        <v>7026</v>
      </c>
    </row>
    <row r="2490" spans="1:16" x14ac:dyDescent="0.25">
      <c r="A2490" s="2" t="s">
        <v>7027</v>
      </c>
      <c r="B2490" s="2" t="s">
        <v>199</v>
      </c>
      <c r="C2490" s="8">
        <v>46268</v>
      </c>
      <c r="D2490" s="6">
        <v>46266</v>
      </c>
      <c r="E2490" s="2" t="s">
        <v>260</v>
      </c>
      <c r="F2490" s="2" t="s">
        <v>7028</v>
      </c>
      <c r="G2490" s="6">
        <v>46235</v>
      </c>
      <c r="H2490" s="2" t="s">
        <v>176</v>
      </c>
      <c r="I2490" s="2" t="s">
        <v>70</v>
      </c>
      <c r="J2490" s="9">
        <v>1265.323077</v>
      </c>
      <c r="K2490" s="7">
        <v>0.65100000000000002</v>
      </c>
      <c r="L2490" s="9">
        <v>823.73</v>
      </c>
      <c r="M2490" s="9">
        <v>822.46</v>
      </c>
      <c r="N2490" s="9">
        <v>1.8</v>
      </c>
      <c r="O2490" s="10">
        <f>IF(AND(OR(H2490="APPROVED",H2490="SCHEDULED"),COUNTIFS(tblSource[EventID],F2490,tblSource[ReleaseStatus],"APPROVED")=1,COUNTIFS(Period_Status!$A$2:$A$8,G2490,Period_Status!$B$2:$B$8,"ActualClosed")=1,C2490&gt;EOMONTH(Settlement_Bridge!$C$2,0)),1,0)</f>
        <v>0</v>
      </c>
      <c r="P2490" s="2" t="s">
        <v>7029</v>
      </c>
    </row>
    <row r="2491" spans="1:16" x14ac:dyDescent="0.25">
      <c r="A2491" s="2" t="s">
        <v>7030</v>
      </c>
      <c r="B2491" s="2" t="s">
        <v>199</v>
      </c>
      <c r="C2491" s="8">
        <v>46293</v>
      </c>
      <c r="D2491" s="6">
        <v>46266</v>
      </c>
      <c r="E2491" s="2" t="s">
        <v>260</v>
      </c>
      <c r="F2491" s="2" t="s">
        <v>7028</v>
      </c>
      <c r="G2491" s="6">
        <v>46235</v>
      </c>
      <c r="H2491" s="2" t="s">
        <v>176</v>
      </c>
      <c r="I2491" s="2" t="s">
        <v>70</v>
      </c>
      <c r="J2491" s="9">
        <v>1897.9846150000001</v>
      </c>
      <c r="K2491" s="7">
        <v>0.65100000000000002</v>
      </c>
      <c r="L2491" s="9">
        <v>1235.5899999999999</v>
      </c>
      <c r="M2491" s="9">
        <v>1233.69</v>
      </c>
      <c r="N2491" s="9">
        <v>1.8</v>
      </c>
      <c r="O2491" s="10">
        <f>IF(AND(OR(H2491="APPROVED",H2491="SCHEDULED"),COUNTIFS(tblSource[EventID],F2491,tblSource[ReleaseStatus],"APPROVED")=1,COUNTIFS(Period_Status!$A$2:$A$8,G2491,Period_Status!$B$2:$B$8,"ActualClosed")=1,C2491&gt;EOMONTH(Settlement_Bridge!$C$2,0)),1,0)</f>
        <v>0</v>
      </c>
      <c r="P2491" s="2" t="s">
        <v>7031</v>
      </c>
    </row>
    <row r="2492" spans="1:16" x14ac:dyDescent="0.25">
      <c r="A2492" s="2" t="s">
        <v>7032</v>
      </c>
      <c r="B2492" s="2" t="s">
        <v>199</v>
      </c>
      <c r="C2492" s="8">
        <v>46279</v>
      </c>
      <c r="D2492" s="6">
        <v>46266</v>
      </c>
      <c r="E2492" s="2" t="s">
        <v>260</v>
      </c>
      <c r="F2492" s="2" t="s">
        <v>7033</v>
      </c>
      <c r="G2492" s="6">
        <v>46235</v>
      </c>
      <c r="H2492" s="2" t="s">
        <v>176</v>
      </c>
      <c r="I2492" s="2" t="s">
        <v>39</v>
      </c>
      <c r="J2492" s="9">
        <v>2229.16</v>
      </c>
      <c r="K2492" s="7">
        <v>1</v>
      </c>
      <c r="L2492" s="9">
        <v>2229.16</v>
      </c>
      <c r="M2492" s="9">
        <v>2229.16</v>
      </c>
      <c r="N2492" s="9">
        <v>1.8</v>
      </c>
      <c r="O2492" s="10">
        <f>IF(AND(OR(H2492="APPROVED",H2492="SCHEDULED"),COUNTIFS(tblSource[EventID],F2492,tblSource[ReleaseStatus],"APPROVED")=1,COUNTIFS(Period_Status!$A$2:$A$8,G2492,Period_Status!$B$2:$B$8,"ActualClosed")=1,C2492&gt;EOMONTH(Settlement_Bridge!$C$2,0)),1,0)</f>
        <v>0</v>
      </c>
      <c r="P2492" s="2" t="s">
        <v>7034</v>
      </c>
    </row>
    <row r="2493" spans="1:16" x14ac:dyDescent="0.25">
      <c r="A2493" s="2" t="s">
        <v>7035</v>
      </c>
      <c r="B2493" s="2" t="s">
        <v>199</v>
      </c>
      <c r="C2493" s="8">
        <v>46280</v>
      </c>
      <c r="D2493" s="6">
        <v>46266</v>
      </c>
      <c r="E2493" s="2" t="s">
        <v>260</v>
      </c>
      <c r="F2493" s="2" t="s">
        <v>7036</v>
      </c>
      <c r="G2493" s="6">
        <v>46235</v>
      </c>
      <c r="H2493" s="2" t="s">
        <v>176</v>
      </c>
      <c r="I2493" s="2" t="s">
        <v>76</v>
      </c>
      <c r="J2493" s="9">
        <v>39059674.796747997</v>
      </c>
      <c r="K2493" s="7">
        <v>6.1299999999999999E-5</v>
      </c>
      <c r="L2493" s="9">
        <v>2394.36</v>
      </c>
      <c r="M2493" s="9">
        <v>2402.17</v>
      </c>
      <c r="N2493" s="9">
        <v>1.8</v>
      </c>
      <c r="O2493" s="10">
        <f>IF(AND(OR(H2493="APPROVED",H2493="SCHEDULED"),COUNTIFS(tblSource[EventID],F2493,tblSource[ReleaseStatus],"APPROVED")=1,COUNTIFS(Period_Status!$A$2:$A$8,G2493,Period_Status!$B$2:$B$8,"ActualClosed")=1,C2493&gt;EOMONTH(Settlement_Bridge!$C$2,0)),1,0)</f>
        <v>0</v>
      </c>
      <c r="P2493" s="2" t="s">
        <v>7037</v>
      </c>
    </row>
    <row r="2494" spans="1:16" x14ac:dyDescent="0.25">
      <c r="A2494" s="2" t="s">
        <v>7038</v>
      </c>
      <c r="B2494" s="2" t="s">
        <v>199</v>
      </c>
      <c r="C2494" s="8">
        <v>46281</v>
      </c>
      <c r="D2494" s="6">
        <v>46266</v>
      </c>
      <c r="E2494" s="2" t="s">
        <v>260</v>
      </c>
      <c r="F2494" s="2" t="s">
        <v>7039</v>
      </c>
      <c r="G2494" s="6">
        <v>46235</v>
      </c>
      <c r="H2494" s="2" t="s">
        <v>176</v>
      </c>
      <c r="I2494" s="2" t="s">
        <v>70</v>
      </c>
      <c r="J2494" s="9">
        <v>3961.8153849999999</v>
      </c>
      <c r="K2494" s="7">
        <v>0.65100000000000002</v>
      </c>
      <c r="L2494" s="9">
        <v>2579.14</v>
      </c>
      <c r="M2494" s="9">
        <v>2575.1799999999998</v>
      </c>
      <c r="N2494" s="9">
        <v>1.8</v>
      </c>
      <c r="O2494" s="10">
        <f>IF(AND(OR(H2494="APPROVED",H2494="SCHEDULED"),COUNTIFS(tblSource[EventID],F2494,tblSource[ReleaseStatus],"APPROVED")=1,COUNTIFS(Period_Status!$A$2:$A$8,G2494,Period_Status!$B$2:$B$8,"ActualClosed")=1,C2494&gt;EOMONTH(Settlement_Bridge!$C$2,0)),1,0)</f>
        <v>0</v>
      </c>
      <c r="P2494" s="2" t="s">
        <v>7040</v>
      </c>
    </row>
    <row r="2495" spans="1:16" x14ac:dyDescent="0.25">
      <c r="A2495" s="2" t="s">
        <v>7041</v>
      </c>
      <c r="B2495" s="2" t="s">
        <v>199</v>
      </c>
      <c r="C2495" s="8">
        <v>46282</v>
      </c>
      <c r="D2495" s="6">
        <v>46266</v>
      </c>
      <c r="E2495" s="2" t="s">
        <v>260</v>
      </c>
      <c r="F2495" s="2" t="s">
        <v>7042</v>
      </c>
      <c r="G2495" s="6">
        <v>46235</v>
      </c>
      <c r="H2495" s="2" t="s">
        <v>176</v>
      </c>
      <c r="I2495" s="2" t="s">
        <v>39</v>
      </c>
      <c r="J2495" s="9">
        <v>2748.19</v>
      </c>
      <c r="K2495" s="7">
        <v>1</v>
      </c>
      <c r="L2495" s="9">
        <v>2748.19</v>
      </c>
      <c r="M2495" s="9">
        <v>2748.19</v>
      </c>
      <c r="N2495" s="9">
        <v>1.8</v>
      </c>
      <c r="O2495" s="10">
        <f>IF(AND(OR(H2495="APPROVED",H2495="SCHEDULED"),COUNTIFS(tblSource[EventID],F2495,tblSource[ReleaseStatus],"APPROVED")=1,COUNTIFS(Period_Status!$A$2:$A$8,G2495,Period_Status!$B$2:$B$8,"ActualClosed")=1,C2495&gt;EOMONTH(Settlement_Bridge!$C$2,0)),1,0)</f>
        <v>0</v>
      </c>
      <c r="P2495" s="2" t="s">
        <v>7043</v>
      </c>
    </row>
    <row r="2496" spans="1:16" x14ac:dyDescent="0.25">
      <c r="A2496" s="2" t="s">
        <v>7044</v>
      </c>
      <c r="B2496" s="2" t="s">
        <v>199</v>
      </c>
      <c r="C2496" s="8">
        <v>46283</v>
      </c>
      <c r="D2496" s="6">
        <v>46266</v>
      </c>
      <c r="E2496" s="2" t="s">
        <v>260</v>
      </c>
      <c r="F2496" s="2" t="s">
        <v>7045</v>
      </c>
      <c r="G2496" s="6">
        <v>46235</v>
      </c>
      <c r="H2496" s="2" t="s">
        <v>176</v>
      </c>
      <c r="I2496" s="2" t="s">
        <v>76</v>
      </c>
      <c r="J2496" s="9">
        <v>47499186.991870001</v>
      </c>
      <c r="K2496" s="7">
        <v>6.1299999999999999E-5</v>
      </c>
      <c r="L2496" s="9">
        <v>2911.7</v>
      </c>
      <c r="M2496" s="9">
        <v>2921.2</v>
      </c>
      <c r="N2496" s="9">
        <v>1.8</v>
      </c>
      <c r="O2496" s="10">
        <f>IF(AND(OR(H2496="APPROVED",H2496="SCHEDULED"),COUNTIFS(tblSource[EventID],F2496,tblSource[ReleaseStatus],"APPROVED")=1,COUNTIFS(Period_Status!$A$2:$A$8,G2496,Period_Status!$B$2:$B$8,"ActualClosed")=1,C2496&gt;EOMONTH(Settlement_Bridge!$C$2,0)),1,0)</f>
        <v>0</v>
      </c>
      <c r="P2496" s="2" t="s">
        <v>7046</v>
      </c>
    </row>
    <row r="2497" spans="1:16" x14ac:dyDescent="0.25">
      <c r="A2497" s="2" t="s">
        <v>7047</v>
      </c>
      <c r="B2497" s="2" t="s">
        <v>199</v>
      </c>
      <c r="C2497" s="8">
        <v>46274</v>
      </c>
      <c r="D2497" s="6">
        <v>46266</v>
      </c>
      <c r="E2497" s="2" t="s">
        <v>260</v>
      </c>
      <c r="F2497" s="2" t="s">
        <v>7048</v>
      </c>
      <c r="G2497" s="6">
        <v>46235</v>
      </c>
      <c r="H2497" s="2" t="s">
        <v>176</v>
      </c>
      <c r="I2497" s="2" t="s">
        <v>70</v>
      </c>
      <c r="J2497" s="9">
        <v>1904.1292309999999</v>
      </c>
      <c r="K2497" s="7">
        <v>0.65100000000000002</v>
      </c>
      <c r="L2497" s="9">
        <v>1239.5899999999999</v>
      </c>
      <c r="M2497" s="9">
        <v>1237.68</v>
      </c>
      <c r="N2497" s="9">
        <v>1.8</v>
      </c>
      <c r="O2497" s="10">
        <f>IF(AND(OR(H2497="APPROVED",H2497="SCHEDULED"),COUNTIFS(tblSource[EventID],F2497,tblSource[ReleaseStatus],"APPROVED")=1,COUNTIFS(Period_Status!$A$2:$A$8,G2497,Period_Status!$B$2:$B$8,"ActualClosed")=1,C2497&gt;EOMONTH(Settlement_Bridge!$C$2,0)),1,0)</f>
        <v>0</v>
      </c>
      <c r="P2497" s="2" t="s">
        <v>7049</v>
      </c>
    </row>
    <row r="2498" spans="1:16" x14ac:dyDescent="0.25">
      <c r="A2498" s="2" t="s">
        <v>7050</v>
      </c>
      <c r="B2498" s="2" t="s">
        <v>199</v>
      </c>
      <c r="C2498" s="8">
        <v>46299</v>
      </c>
      <c r="D2498" s="6">
        <v>46296</v>
      </c>
      <c r="E2498" s="2" t="s">
        <v>260</v>
      </c>
      <c r="F2498" s="2" t="s">
        <v>7048</v>
      </c>
      <c r="G2498" s="6">
        <v>46235</v>
      </c>
      <c r="H2498" s="2" t="s">
        <v>176</v>
      </c>
      <c r="I2498" s="2" t="s">
        <v>70</v>
      </c>
      <c r="J2498" s="9">
        <v>2856.1938460000001</v>
      </c>
      <c r="K2498" s="7">
        <v>0.65500000000000003</v>
      </c>
      <c r="L2498" s="9">
        <v>1870.81</v>
      </c>
      <c r="M2498" s="9">
        <v>1856.53</v>
      </c>
      <c r="N2498" s="9">
        <v>1.8</v>
      </c>
      <c r="O2498" s="10">
        <f>IF(AND(OR(H2498="APPROVED",H2498="SCHEDULED"),COUNTIFS(tblSource[EventID],F2498,tblSource[ReleaseStatus],"APPROVED")=1,COUNTIFS(Period_Status!$A$2:$A$8,G2498,Period_Status!$B$2:$B$8,"ActualClosed")=1,C2498&gt;EOMONTH(Settlement_Bridge!$C$2,0)),1,0)</f>
        <v>0</v>
      </c>
      <c r="P2498" s="2" t="s">
        <v>7051</v>
      </c>
    </row>
    <row r="2499" spans="1:16" x14ac:dyDescent="0.25">
      <c r="A2499" s="2" t="s">
        <v>7052</v>
      </c>
      <c r="B2499" s="2" t="s">
        <v>199</v>
      </c>
      <c r="C2499" s="8">
        <v>46275</v>
      </c>
      <c r="D2499" s="6">
        <v>46266</v>
      </c>
      <c r="E2499" s="2" t="s">
        <v>260</v>
      </c>
      <c r="F2499" s="2" t="s">
        <v>7053</v>
      </c>
      <c r="G2499" s="6">
        <v>46235</v>
      </c>
      <c r="H2499" s="2" t="s">
        <v>176</v>
      </c>
      <c r="I2499" s="2" t="s">
        <v>39</v>
      </c>
      <c r="J2499" s="9">
        <v>1306.8879999999999</v>
      </c>
      <c r="K2499" s="7">
        <v>1</v>
      </c>
      <c r="L2499" s="9">
        <v>1306.8900000000001</v>
      </c>
      <c r="M2499" s="9">
        <v>1306.8900000000001</v>
      </c>
      <c r="N2499" s="9">
        <v>1.8</v>
      </c>
      <c r="O2499" s="10">
        <f>IF(AND(OR(H2499="APPROVED",H2499="SCHEDULED"),COUNTIFS(tblSource[EventID],F2499,tblSource[ReleaseStatus],"APPROVED")=1,COUNTIFS(Period_Status!$A$2:$A$8,G2499,Period_Status!$B$2:$B$8,"ActualClosed")=1,C2499&gt;EOMONTH(Settlement_Bridge!$C$2,0)),1,0)</f>
        <v>0</v>
      </c>
      <c r="P2499" s="2" t="s">
        <v>7054</v>
      </c>
    </row>
    <row r="2500" spans="1:16" x14ac:dyDescent="0.25">
      <c r="A2500" s="2" t="s">
        <v>7055</v>
      </c>
      <c r="B2500" s="2" t="s">
        <v>199</v>
      </c>
      <c r="C2500" s="8">
        <v>46300</v>
      </c>
      <c r="D2500" s="6">
        <v>46296</v>
      </c>
      <c r="E2500" s="2" t="s">
        <v>260</v>
      </c>
      <c r="F2500" s="2" t="s">
        <v>7053</v>
      </c>
      <c r="G2500" s="6">
        <v>46235</v>
      </c>
      <c r="H2500" s="2" t="s">
        <v>176</v>
      </c>
      <c r="I2500" s="2" t="s">
        <v>39</v>
      </c>
      <c r="J2500" s="9">
        <v>1960.3320000000001</v>
      </c>
      <c r="K2500" s="7">
        <v>1</v>
      </c>
      <c r="L2500" s="9">
        <v>1960.33</v>
      </c>
      <c r="M2500" s="9">
        <v>1960.33</v>
      </c>
      <c r="N2500" s="9">
        <v>1.8</v>
      </c>
      <c r="O2500" s="10">
        <f>IF(AND(OR(H2500="APPROVED",H2500="SCHEDULED"),COUNTIFS(tblSource[EventID],F2500,tblSource[ReleaseStatus],"APPROVED")=1,COUNTIFS(Period_Status!$A$2:$A$8,G2500,Period_Status!$B$2:$B$8,"ActualClosed")=1,C2500&gt;EOMONTH(Settlement_Bridge!$C$2,0)),1,0)</f>
        <v>0</v>
      </c>
      <c r="P2500" s="2" t="s">
        <v>7056</v>
      </c>
    </row>
    <row r="2501" spans="1:16" x14ac:dyDescent="0.25">
      <c r="A2501" s="2" t="s">
        <v>7057</v>
      </c>
      <c r="B2501" s="2" t="s">
        <v>199</v>
      </c>
      <c r="C2501" s="8">
        <v>46286</v>
      </c>
      <c r="D2501" s="6">
        <v>46266</v>
      </c>
      <c r="E2501" s="2" t="s">
        <v>260</v>
      </c>
      <c r="F2501" s="2" t="s">
        <v>7058</v>
      </c>
      <c r="G2501" s="6">
        <v>46235</v>
      </c>
      <c r="H2501" s="2" t="s">
        <v>176</v>
      </c>
      <c r="I2501" s="2" t="s">
        <v>76</v>
      </c>
      <c r="J2501" s="9">
        <v>55938699.186991997</v>
      </c>
      <c r="K2501" s="7">
        <v>6.1299999999999999E-5</v>
      </c>
      <c r="L2501" s="9">
        <v>3429.04</v>
      </c>
      <c r="M2501" s="9">
        <v>3440.23</v>
      </c>
      <c r="N2501" s="9">
        <v>1.89</v>
      </c>
      <c r="O2501" s="10">
        <f>IF(AND(OR(H2501="APPROVED",H2501="SCHEDULED"),COUNTIFS(tblSource[EventID],F2501,tblSource[ReleaseStatus],"APPROVED")=1,COUNTIFS(Period_Status!$A$2:$A$8,G2501,Period_Status!$B$2:$B$8,"ActualClosed")=1,C2501&gt;EOMONTH(Settlement_Bridge!$C$2,0)),1,0)</f>
        <v>0</v>
      </c>
      <c r="P2501" s="2" t="s">
        <v>7059</v>
      </c>
    </row>
    <row r="2502" spans="1:16" x14ac:dyDescent="0.25">
      <c r="A2502" s="2" t="s">
        <v>7060</v>
      </c>
      <c r="B2502" s="2" t="s">
        <v>199</v>
      </c>
      <c r="C2502" s="8">
        <v>46287</v>
      </c>
      <c r="D2502" s="6">
        <v>46266</v>
      </c>
      <c r="E2502" s="2" t="s">
        <v>260</v>
      </c>
      <c r="F2502" s="2" t="s">
        <v>7061</v>
      </c>
      <c r="G2502" s="6">
        <v>46235</v>
      </c>
      <c r="H2502" s="2" t="s">
        <v>176</v>
      </c>
      <c r="I2502" s="2" t="s">
        <v>70</v>
      </c>
      <c r="J2502" s="9">
        <v>5558.8307690000001</v>
      </c>
      <c r="K2502" s="7">
        <v>0.65100000000000002</v>
      </c>
      <c r="L2502" s="9">
        <v>3618.8</v>
      </c>
      <c r="M2502" s="9">
        <v>3613.24</v>
      </c>
      <c r="N2502" s="9">
        <v>1.99</v>
      </c>
      <c r="O2502" s="10">
        <f>IF(AND(OR(H2502="APPROVED",H2502="SCHEDULED"),COUNTIFS(tblSource[EventID],F2502,tblSource[ReleaseStatus],"APPROVED")=1,COUNTIFS(Period_Status!$A$2:$A$8,G2502,Period_Status!$B$2:$B$8,"ActualClosed")=1,C2502&gt;EOMONTH(Settlement_Bridge!$C$2,0)),1,0)</f>
        <v>0</v>
      </c>
      <c r="P2502" s="2" t="s">
        <v>7062</v>
      </c>
    </row>
    <row r="2503" spans="1:16" x14ac:dyDescent="0.25">
      <c r="A2503" s="2" t="s">
        <v>7063</v>
      </c>
      <c r="B2503" s="2" t="s">
        <v>199</v>
      </c>
      <c r="C2503" s="8">
        <v>46278</v>
      </c>
      <c r="D2503" s="6">
        <v>46266</v>
      </c>
      <c r="E2503" s="2" t="s">
        <v>260</v>
      </c>
      <c r="F2503" s="2" t="s">
        <v>7064</v>
      </c>
      <c r="G2503" s="6">
        <v>46235</v>
      </c>
      <c r="H2503" s="2" t="s">
        <v>176</v>
      </c>
      <c r="I2503" s="2" t="s">
        <v>39</v>
      </c>
      <c r="J2503" s="9">
        <v>1514.5</v>
      </c>
      <c r="K2503" s="7">
        <v>1</v>
      </c>
      <c r="L2503" s="9">
        <v>1514.5</v>
      </c>
      <c r="M2503" s="9">
        <v>1514.5</v>
      </c>
      <c r="N2503" s="9">
        <v>1.8</v>
      </c>
      <c r="O2503" s="10">
        <f>IF(AND(OR(H2503="APPROVED",H2503="SCHEDULED"),COUNTIFS(tblSource[EventID],F2503,tblSource[ReleaseStatus],"APPROVED")=1,COUNTIFS(Period_Status!$A$2:$A$8,G2503,Period_Status!$B$2:$B$8,"ActualClosed")=1,C2503&gt;EOMONTH(Settlement_Bridge!$C$2,0)),1,0)</f>
        <v>0</v>
      </c>
      <c r="P2503" s="2" t="s">
        <v>7065</v>
      </c>
    </row>
    <row r="2504" spans="1:16" x14ac:dyDescent="0.25">
      <c r="A2504" s="2" t="s">
        <v>7066</v>
      </c>
      <c r="B2504" s="2" t="s">
        <v>199</v>
      </c>
      <c r="C2504" s="8">
        <v>46303</v>
      </c>
      <c r="D2504" s="6">
        <v>46296</v>
      </c>
      <c r="E2504" s="2" t="s">
        <v>260</v>
      </c>
      <c r="F2504" s="2" t="s">
        <v>7064</v>
      </c>
      <c r="G2504" s="6">
        <v>46235</v>
      </c>
      <c r="H2504" s="2" t="s">
        <v>176</v>
      </c>
      <c r="I2504" s="2" t="s">
        <v>39</v>
      </c>
      <c r="J2504" s="9">
        <v>2271.75</v>
      </c>
      <c r="K2504" s="7">
        <v>1</v>
      </c>
      <c r="L2504" s="9">
        <v>2271.75</v>
      </c>
      <c r="M2504" s="9">
        <v>2271.75</v>
      </c>
      <c r="N2504" s="9">
        <v>1.8</v>
      </c>
      <c r="O2504" s="10">
        <f>IF(AND(OR(H2504="APPROVED",H2504="SCHEDULED"),COUNTIFS(tblSource[EventID],F2504,tblSource[ReleaseStatus],"APPROVED")=1,COUNTIFS(Period_Status!$A$2:$A$8,G2504,Period_Status!$B$2:$B$8,"ActualClosed")=1,C2504&gt;EOMONTH(Settlement_Bridge!$C$2,0)),1,0)</f>
        <v>0</v>
      </c>
      <c r="P2504" s="2" t="s">
        <v>7067</v>
      </c>
    </row>
    <row r="2505" spans="1:16" x14ac:dyDescent="0.25">
      <c r="A2505" s="2" t="s">
        <v>7068</v>
      </c>
      <c r="B2505" s="2" t="s">
        <v>199</v>
      </c>
      <c r="C2505" s="8">
        <v>46289</v>
      </c>
      <c r="D2505" s="6">
        <v>46266</v>
      </c>
      <c r="E2505" s="2" t="s">
        <v>260</v>
      </c>
      <c r="F2505" s="2" t="s">
        <v>7069</v>
      </c>
      <c r="G2505" s="6">
        <v>46235</v>
      </c>
      <c r="H2505" s="2" t="s">
        <v>176</v>
      </c>
      <c r="I2505" s="2" t="s">
        <v>76</v>
      </c>
      <c r="J2505" s="9">
        <v>64378211.382114001</v>
      </c>
      <c r="K2505" s="7">
        <v>6.1299999999999999E-5</v>
      </c>
      <c r="L2505" s="9">
        <v>3946.38</v>
      </c>
      <c r="M2505" s="9">
        <v>3959.26</v>
      </c>
      <c r="N2505" s="9">
        <v>2.17</v>
      </c>
      <c r="O2505" s="10">
        <f>IF(AND(OR(H2505="APPROVED",H2505="SCHEDULED"),COUNTIFS(tblSource[EventID],F2505,tblSource[ReleaseStatus],"APPROVED")=1,COUNTIFS(Period_Status!$A$2:$A$8,G2505,Period_Status!$B$2:$B$8,"ActualClosed")=1,C2505&gt;EOMONTH(Settlement_Bridge!$C$2,0)),1,0)</f>
        <v>0</v>
      </c>
      <c r="P2505" s="2" t="s">
        <v>7070</v>
      </c>
    </row>
    <row r="2506" spans="1:16" x14ac:dyDescent="0.25">
      <c r="A2506" s="2" t="s">
        <v>7071</v>
      </c>
      <c r="B2506" s="2" t="s">
        <v>199</v>
      </c>
      <c r="C2506" s="8">
        <v>46259</v>
      </c>
      <c r="D2506" s="6">
        <v>46235</v>
      </c>
      <c r="E2506" s="2" t="s">
        <v>260</v>
      </c>
      <c r="F2506" s="2" t="s">
        <v>7072</v>
      </c>
      <c r="G2506" s="6">
        <v>46235</v>
      </c>
      <c r="H2506" s="2" t="s">
        <v>71</v>
      </c>
      <c r="I2506" s="2" t="s">
        <v>70</v>
      </c>
      <c r="J2506" s="9">
        <v>6357.3384619999997</v>
      </c>
      <c r="K2506" s="7">
        <v>0.65</v>
      </c>
      <c r="L2506" s="9">
        <v>4132.2700000000004</v>
      </c>
      <c r="M2506" s="9">
        <v>4132.2700000000004</v>
      </c>
      <c r="N2506" s="9">
        <v>2.27</v>
      </c>
      <c r="O2506" s="10">
        <f>IF(AND(OR(H2506="APPROVED",H2506="SCHEDULED"),COUNTIFS(tblSource[EventID],F2506,tblSource[ReleaseStatus],"APPROVED")=1,COUNTIFS(Period_Status!$A$2:$A$8,G2506,Period_Status!$B$2:$B$8,"ActualClosed")=1,C2506&gt;EOMONTH(Settlement_Bridge!$C$2,0)),1,0)</f>
        <v>0</v>
      </c>
      <c r="P2506" s="2" t="s">
        <v>7073</v>
      </c>
    </row>
    <row r="2507" spans="1:16" x14ac:dyDescent="0.25">
      <c r="A2507" s="2" t="s">
        <v>7074</v>
      </c>
      <c r="B2507" s="2" t="s">
        <v>199</v>
      </c>
      <c r="C2507" s="8">
        <v>46260</v>
      </c>
      <c r="D2507" s="6">
        <v>46235</v>
      </c>
      <c r="E2507" s="2" t="s">
        <v>260</v>
      </c>
      <c r="F2507" s="2" t="s">
        <v>7075</v>
      </c>
      <c r="G2507" s="6">
        <v>46235</v>
      </c>
      <c r="H2507" s="2" t="s">
        <v>71</v>
      </c>
      <c r="I2507" s="2" t="s">
        <v>39</v>
      </c>
      <c r="J2507" s="9">
        <v>4305.28</v>
      </c>
      <c r="K2507" s="7">
        <v>1</v>
      </c>
      <c r="L2507" s="9">
        <v>4305.28</v>
      </c>
      <c r="M2507" s="9">
        <v>4305.28</v>
      </c>
      <c r="N2507" s="9">
        <v>2.37</v>
      </c>
      <c r="O2507" s="10">
        <f>IF(AND(OR(H2507="APPROVED",H2507="SCHEDULED"),COUNTIFS(tblSource[EventID],F2507,tblSource[ReleaseStatus],"APPROVED")=1,COUNTIFS(Period_Status!$A$2:$A$8,G2507,Period_Status!$B$2:$B$8,"ActualClosed")=1,C2507&gt;EOMONTH(Settlement_Bridge!$C$2,0)),1,0)</f>
        <v>0</v>
      </c>
      <c r="P2507" s="2" t="s">
        <v>7076</v>
      </c>
    </row>
    <row r="2508" spans="1:16" x14ac:dyDescent="0.25">
      <c r="A2508" s="2" t="s">
        <v>7077</v>
      </c>
      <c r="B2508" s="2" t="s">
        <v>199</v>
      </c>
      <c r="C2508" s="8">
        <v>46261</v>
      </c>
      <c r="D2508" s="6">
        <v>46235</v>
      </c>
      <c r="E2508" s="2" t="s">
        <v>260</v>
      </c>
      <c r="F2508" s="2" t="s">
        <v>7078</v>
      </c>
      <c r="G2508" s="6">
        <v>46235</v>
      </c>
      <c r="H2508" s="2" t="s">
        <v>71</v>
      </c>
      <c r="I2508" s="2" t="s">
        <v>76</v>
      </c>
      <c r="J2508" s="9">
        <v>-72817723.577235997</v>
      </c>
      <c r="K2508" s="7">
        <v>6.1500000000000004E-5</v>
      </c>
      <c r="L2508" s="9">
        <v>-4478.29</v>
      </c>
      <c r="M2508" s="9">
        <v>-4478.29</v>
      </c>
      <c r="N2508" s="9">
        <v>0</v>
      </c>
      <c r="O2508" s="10">
        <f>IF(AND(OR(H2508="APPROVED",H2508="SCHEDULED"),COUNTIFS(tblSource[EventID],F2508,tblSource[ReleaseStatus],"APPROVED")=1,COUNTIFS(Period_Status!$A$2:$A$8,G2508,Period_Status!$B$2:$B$8,"ActualClosed")=1,C2508&gt;EOMONTH(Settlement_Bridge!$C$2,0)),1,0)</f>
        <v>0</v>
      </c>
      <c r="P2508" s="2" t="s">
        <v>7079</v>
      </c>
    </row>
    <row r="2509" spans="1:16" x14ac:dyDescent="0.25">
      <c r="A2509" s="2" t="s">
        <v>7080</v>
      </c>
      <c r="B2509" s="2" t="s">
        <v>199</v>
      </c>
      <c r="C2509" s="8">
        <v>46262</v>
      </c>
      <c r="D2509" s="6">
        <v>46235</v>
      </c>
      <c r="E2509" s="2" t="s">
        <v>260</v>
      </c>
      <c r="F2509" s="2" t="s">
        <v>7081</v>
      </c>
      <c r="G2509" s="6">
        <v>46235</v>
      </c>
      <c r="H2509" s="2" t="s">
        <v>71</v>
      </c>
      <c r="I2509" s="2" t="s">
        <v>70</v>
      </c>
      <c r="J2509" s="9">
        <v>7155.8461539999998</v>
      </c>
      <c r="K2509" s="7">
        <v>0.65</v>
      </c>
      <c r="L2509" s="9">
        <v>4651.3</v>
      </c>
      <c r="M2509" s="9">
        <v>4651.3</v>
      </c>
      <c r="N2509" s="9">
        <v>2.56</v>
      </c>
      <c r="O2509" s="10">
        <f>IF(AND(OR(H2509="APPROVED",H2509="SCHEDULED"),COUNTIFS(tblSource[EventID],F2509,tblSource[ReleaseStatus],"APPROVED")=1,COUNTIFS(Period_Status!$A$2:$A$8,G2509,Period_Status!$B$2:$B$8,"ActualClosed")=1,C2509&gt;EOMONTH(Settlement_Bridge!$C$2,0)),1,0)</f>
        <v>0</v>
      </c>
      <c r="P2509" s="2" t="s">
        <v>7082</v>
      </c>
    </row>
    <row r="2510" spans="1:16" x14ac:dyDescent="0.25">
      <c r="A2510" s="2" t="s">
        <v>7083</v>
      </c>
      <c r="B2510" s="2" t="s">
        <v>199</v>
      </c>
      <c r="C2510" s="8">
        <v>46253</v>
      </c>
      <c r="D2510" s="6">
        <v>46235</v>
      </c>
      <c r="E2510" s="2" t="s">
        <v>260</v>
      </c>
      <c r="F2510" s="2" t="s">
        <v>7084</v>
      </c>
      <c r="G2510" s="6">
        <v>46235</v>
      </c>
      <c r="H2510" s="2" t="s">
        <v>71</v>
      </c>
      <c r="I2510" s="2" t="s">
        <v>39</v>
      </c>
      <c r="J2510" s="9">
        <v>1929.7239999999999</v>
      </c>
      <c r="K2510" s="7">
        <v>1</v>
      </c>
      <c r="L2510" s="9">
        <v>1929.72</v>
      </c>
      <c r="M2510" s="9">
        <v>1929.72</v>
      </c>
      <c r="N2510" s="9">
        <v>1.8</v>
      </c>
      <c r="O2510" s="10">
        <f>IF(AND(OR(H2510="APPROVED",H2510="SCHEDULED"),COUNTIFS(tblSource[EventID],F2510,tblSource[ReleaseStatus],"APPROVED")=1,COUNTIFS(Period_Status!$A$2:$A$8,G2510,Period_Status!$B$2:$B$8,"ActualClosed")=1,C2510&gt;EOMONTH(Settlement_Bridge!$C$2,0)),1,0)</f>
        <v>0</v>
      </c>
      <c r="P2510" s="2" t="s">
        <v>7085</v>
      </c>
    </row>
    <row r="2511" spans="1:16" x14ac:dyDescent="0.25">
      <c r="A2511" s="2" t="s">
        <v>7086</v>
      </c>
      <c r="B2511" s="2" t="s">
        <v>199</v>
      </c>
      <c r="C2511" s="8">
        <v>46278</v>
      </c>
      <c r="D2511" s="6">
        <v>46266</v>
      </c>
      <c r="E2511" s="2" t="s">
        <v>260</v>
      </c>
      <c r="F2511" s="2" t="s">
        <v>7084</v>
      </c>
      <c r="G2511" s="6">
        <v>46235</v>
      </c>
      <c r="H2511" s="2" t="s">
        <v>176</v>
      </c>
      <c r="I2511" s="2" t="s">
        <v>39</v>
      </c>
      <c r="J2511" s="9">
        <v>2894.5859999999998</v>
      </c>
      <c r="K2511" s="7">
        <v>1</v>
      </c>
      <c r="L2511" s="9">
        <v>2894.59</v>
      </c>
      <c r="M2511" s="9">
        <v>2894.59</v>
      </c>
      <c r="N2511" s="9">
        <v>1.8</v>
      </c>
      <c r="O2511" s="10">
        <f>IF(AND(OR(H2511="APPROVED",H2511="SCHEDULED"),COUNTIFS(tblSource[EventID],F2511,tblSource[ReleaseStatus],"APPROVED")=1,COUNTIFS(Period_Status!$A$2:$A$8,G2511,Period_Status!$B$2:$B$8,"ActualClosed")=1,C2511&gt;EOMONTH(Settlement_Bridge!$C$2,0)),1,0)</f>
        <v>0</v>
      </c>
      <c r="P2511" s="2" t="s">
        <v>7087</v>
      </c>
    </row>
    <row r="2512" spans="1:16" x14ac:dyDescent="0.25">
      <c r="A2512" s="2" t="s">
        <v>7088</v>
      </c>
      <c r="B2512" s="2" t="s">
        <v>199</v>
      </c>
      <c r="C2512" s="8">
        <v>46254</v>
      </c>
      <c r="D2512" s="6">
        <v>46235</v>
      </c>
      <c r="E2512" s="2" t="s">
        <v>260</v>
      </c>
      <c r="F2512" s="2" t="s">
        <v>7089</v>
      </c>
      <c r="G2512" s="6">
        <v>46235</v>
      </c>
      <c r="H2512" s="2" t="s">
        <v>71</v>
      </c>
      <c r="I2512" s="2" t="s">
        <v>76</v>
      </c>
      <c r="J2512" s="9">
        <v>32502894.308943</v>
      </c>
      <c r="K2512" s="7">
        <v>6.1500000000000004E-5</v>
      </c>
      <c r="L2512" s="9">
        <v>1998.93</v>
      </c>
      <c r="M2512" s="9">
        <v>1998.93</v>
      </c>
      <c r="N2512" s="9">
        <v>1.8</v>
      </c>
      <c r="O2512" s="10">
        <f>IF(AND(OR(H2512="APPROVED",H2512="SCHEDULED"),COUNTIFS(tblSource[EventID],F2512,tblSource[ReleaseStatus],"APPROVED")=1,COUNTIFS(Period_Status!$A$2:$A$8,G2512,Period_Status!$B$2:$B$8,"ActualClosed")=1,C2512&gt;EOMONTH(Settlement_Bridge!$C$2,0)),1,0)</f>
        <v>0</v>
      </c>
      <c r="P2512" s="2" t="s">
        <v>7090</v>
      </c>
    </row>
    <row r="2513" spans="1:16" x14ac:dyDescent="0.25">
      <c r="A2513" s="2" t="s">
        <v>7091</v>
      </c>
      <c r="B2513" s="2" t="s">
        <v>199</v>
      </c>
      <c r="C2513" s="8">
        <v>46279</v>
      </c>
      <c r="D2513" s="6">
        <v>46266</v>
      </c>
      <c r="E2513" s="2" t="s">
        <v>260</v>
      </c>
      <c r="F2513" s="2" t="s">
        <v>7089</v>
      </c>
      <c r="G2513" s="6">
        <v>46235</v>
      </c>
      <c r="H2513" s="2" t="s">
        <v>176</v>
      </c>
      <c r="I2513" s="2" t="s">
        <v>76</v>
      </c>
      <c r="J2513" s="9">
        <v>48754341.463414997</v>
      </c>
      <c r="K2513" s="7">
        <v>6.1299999999999999E-5</v>
      </c>
      <c r="L2513" s="9">
        <v>2988.64</v>
      </c>
      <c r="M2513" s="9">
        <v>2998.39</v>
      </c>
      <c r="N2513" s="9">
        <v>1.8</v>
      </c>
      <c r="O2513" s="10">
        <f>IF(AND(OR(H2513="APPROVED",H2513="SCHEDULED"),COUNTIFS(tblSource[EventID],F2513,tblSource[ReleaseStatus],"APPROVED")=1,COUNTIFS(Period_Status!$A$2:$A$8,G2513,Period_Status!$B$2:$B$8,"ActualClosed")=1,C2513&gt;EOMONTH(Settlement_Bridge!$C$2,0)),1,0)</f>
        <v>0</v>
      </c>
      <c r="P2513" s="2" t="s">
        <v>7092</v>
      </c>
    </row>
    <row r="2514" spans="1:16" x14ac:dyDescent="0.25">
      <c r="A2514" s="2" t="s">
        <v>7093</v>
      </c>
      <c r="B2514" s="2" t="s">
        <v>199</v>
      </c>
      <c r="C2514" s="8">
        <v>46265</v>
      </c>
      <c r="D2514" s="6">
        <v>46235</v>
      </c>
      <c r="E2514" s="2" t="s">
        <v>260</v>
      </c>
      <c r="F2514" s="2" t="s">
        <v>7094</v>
      </c>
      <c r="G2514" s="6">
        <v>46235</v>
      </c>
      <c r="H2514" s="2" t="s">
        <v>71</v>
      </c>
      <c r="I2514" s="2" t="s">
        <v>70</v>
      </c>
      <c r="J2514" s="9">
        <v>7954.353846</v>
      </c>
      <c r="K2514" s="7">
        <v>0.65</v>
      </c>
      <c r="L2514" s="9">
        <v>5170.33</v>
      </c>
      <c r="M2514" s="9">
        <v>5170.33</v>
      </c>
      <c r="N2514" s="9">
        <v>2.84</v>
      </c>
      <c r="O2514" s="10">
        <f>IF(AND(OR(H2514="APPROVED",H2514="SCHEDULED"),COUNTIFS(tblSource[EventID],F2514,tblSource[ReleaseStatus],"APPROVED")=1,COUNTIFS(Period_Status!$A$2:$A$8,G2514,Period_Status!$B$2:$B$8,"ActualClosed")=1,C2514&gt;EOMONTH(Settlement_Bridge!$C$2,0)),1,0)</f>
        <v>0</v>
      </c>
      <c r="P2514" s="2" t="s">
        <v>7095</v>
      </c>
    </row>
    <row r="2515" spans="1:16" x14ac:dyDescent="0.25">
      <c r="A2515" s="2" t="s">
        <v>7096</v>
      </c>
      <c r="B2515" s="2" t="s">
        <v>199</v>
      </c>
      <c r="C2515" s="8">
        <v>46266</v>
      </c>
      <c r="D2515" s="6">
        <v>46266</v>
      </c>
      <c r="E2515" s="2" t="s">
        <v>260</v>
      </c>
      <c r="F2515" s="2" t="s">
        <v>7097</v>
      </c>
      <c r="G2515" s="6">
        <v>46235</v>
      </c>
      <c r="H2515" s="2" t="s">
        <v>176</v>
      </c>
      <c r="I2515" s="2" t="s">
        <v>39</v>
      </c>
      <c r="J2515" s="9">
        <v>5343.34</v>
      </c>
      <c r="K2515" s="7">
        <v>1</v>
      </c>
      <c r="L2515" s="9">
        <v>5343.34</v>
      </c>
      <c r="M2515" s="9">
        <v>5343.34</v>
      </c>
      <c r="N2515" s="9">
        <v>2.94</v>
      </c>
      <c r="O2515" s="10">
        <f>IF(AND(OR(H2515="APPROVED",H2515="SCHEDULED"),COUNTIFS(tblSource[EventID],F2515,tblSource[ReleaseStatus],"APPROVED")=1,COUNTIFS(Period_Status!$A$2:$A$8,G2515,Period_Status!$B$2:$B$8,"ActualClosed")=1,C2515&gt;EOMONTH(Settlement_Bridge!$C$2,0)),1,0)</f>
        <v>0</v>
      </c>
      <c r="P2515" s="2" t="s">
        <v>7098</v>
      </c>
    </row>
    <row r="2516" spans="1:16" x14ac:dyDescent="0.25">
      <c r="A2516" s="2" t="s">
        <v>7099</v>
      </c>
      <c r="B2516" s="2" t="s">
        <v>199</v>
      </c>
      <c r="C2516" s="8">
        <v>46257</v>
      </c>
      <c r="D2516" s="6">
        <v>46235</v>
      </c>
      <c r="E2516" s="2" t="s">
        <v>260</v>
      </c>
      <c r="F2516" s="2" t="s">
        <v>7100</v>
      </c>
      <c r="G2516" s="6">
        <v>46235</v>
      </c>
      <c r="H2516" s="2" t="s">
        <v>71</v>
      </c>
      <c r="I2516" s="2" t="s">
        <v>76</v>
      </c>
      <c r="J2516" s="9">
        <v>35878699.186991997</v>
      </c>
      <c r="K2516" s="7">
        <v>6.1500000000000004E-5</v>
      </c>
      <c r="L2516" s="9">
        <v>2206.54</v>
      </c>
      <c r="M2516" s="9">
        <v>2206.54</v>
      </c>
      <c r="N2516" s="9">
        <v>1.8</v>
      </c>
      <c r="O2516" s="10">
        <f>IF(AND(OR(H2516="APPROVED",H2516="SCHEDULED"),COUNTIFS(tblSource[EventID],F2516,tblSource[ReleaseStatus],"APPROVED")=1,COUNTIFS(Period_Status!$A$2:$A$8,G2516,Period_Status!$B$2:$B$8,"ActualClosed")=1,C2516&gt;EOMONTH(Settlement_Bridge!$C$2,0)),1,0)</f>
        <v>0</v>
      </c>
      <c r="P2516" s="2" t="s">
        <v>7101</v>
      </c>
    </row>
    <row r="2517" spans="1:16" x14ac:dyDescent="0.25">
      <c r="A2517" s="2" t="s">
        <v>7102</v>
      </c>
      <c r="B2517" s="2" t="s">
        <v>199</v>
      </c>
      <c r="C2517" s="8">
        <v>46282</v>
      </c>
      <c r="D2517" s="6">
        <v>46266</v>
      </c>
      <c r="E2517" s="2" t="s">
        <v>260</v>
      </c>
      <c r="F2517" s="2" t="s">
        <v>7100</v>
      </c>
      <c r="G2517" s="6">
        <v>46235</v>
      </c>
      <c r="H2517" s="2" t="s">
        <v>176</v>
      </c>
      <c r="I2517" s="2" t="s">
        <v>76</v>
      </c>
      <c r="J2517" s="9">
        <v>53818048.780487999</v>
      </c>
      <c r="K2517" s="7">
        <v>6.1299999999999999E-5</v>
      </c>
      <c r="L2517" s="9">
        <v>3299.05</v>
      </c>
      <c r="M2517" s="9">
        <v>3309.81</v>
      </c>
      <c r="N2517" s="9">
        <v>1.81</v>
      </c>
      <c r="O2517" s="10">
        <f>IF(AND(OR(H2517="APPROVED",H2517="SCHEDULED"),COUNTIFS(tblSource[EventID],F2517,tblSource[ReleaseStatus],"APPROVED")=1,COUNTIFS(Period_Status!$A$2:$A$8,G2517,Period_Status!$B$2:$B$8,"ActualClosed")=1,C2517&gt;EOMONTH(Settlement_Bridge!$C$2,0)),1,0)</f>
        <v>0</v>
      </c>
      <c r="P2517" s="2" t="s">
        <v>7103</v>
      </c>
    </row>
    <row r="2518" spans="1:16" x14ac:dyDescent="0.25">
      <c r="A2518" s="2" t="s">
        <v>7104</v>
      </c>
      <c r="B2518" s="2" t="s">
        <v>199</v>
      </c>
      <c r="C2518" s="8">
        <v>46268</v>
      </c>
      <c r="D2518" s="6">
        <v>46266</v>
      </c>
      <c r="E2518" s="2" t="s">
        <v>260</v>
      </c>
      <c r="F2518" s="2" t="s">
        <v>7105</v>
      </c>
      <c r="G2518" s="6">
        <v>46235</v>
      </c>
      <c r="H2518" s="2" t="s">
        <v>176</v>
      </c>
      <c r="I2518" s="2" t="s">
        <v>70</v>
      </c>
      <c r="J2518" s="9">
        <v>8752.8615379999992</v>
      </c>
      <c r="K2518" s="7">
        <v>0.65100000000000002</v>
      </c>
      <c r="L2518" s="9">
        <v>5698.11</v>
      </c>
      <c r="M2518" s="9">
        <v>5689.36</v>
      </c>
      <c r="N2518" s="9">
        <v>3.13</v>
      </c>
      <c r="O2518" s="10">
        <f>IF(AND(OR(H2518="APPROVED",H2518="SCHEDULED"),COUNTIFS(tblSource[EventID],F2518,tblSource[ReleaseStatus],"APPROVED")=1,COUNTIFS(Period_Status!$A$2:$A$8,G2518,Period_Status!$B$2:$B$8,"ActualClosed")=1,C2518&gt;EOMONTH(Settlement_Bridge!$C$2,0)),1,0)</f>
        <v>0</v>
      </c>
      <c r="P2518" s="2" t="s">
        <v>7106</v>
      </c>
    </row>
    <row r="2519" spans="1:16" x14ac:dyDescent="0.25">
      <c r="A2519" s="2" t="s">
        <v>7107</v>
      </c>
      <c r="B2519" s="2" t="s">
        <v>199</v>
      </c>
      <c r="C2519" s="8">
        <v>46269</v>
      </c>
      <c r="D2519" s="6">
        <v>46266</v>
      </c>
      <c r="E2519" s="2" t="s">
        <v>260</v>
      </c>
      <c r="F2519" s="2" t="s">
        <v>7108</v>
      </c>
      <c r="G2519" s="6">
        <v>46235</v>
      </c>
      <c r="H2519" s="2" t="s">
        <v>176</v>
      </c>
      <c r="I2519" s="2" t="s">
        <v>39</v>
      </c>
      <c r="J2519" s="9">
        <v>5862.37</v>
      </c>
      <c r="K2519" s="7">
        <v>1</v>
      </c>
      <c r="L2519" s="9">
        <v>5862.37</v>
      </c>
      <c r="M2519" s="9">
        <v>5862.37</v>
      </c>
      <c r="N2519" s="9">
        <v>3.22</v>
      </c>
      <c r="O2519" s="10">
        <f>IF(AND(OR(H2519="APPROVED",H2519="SCHEDULED"),COUNTIFS(tblSource[EventID],F2519,tblSource[ReleaseStatus],"APPROVED")=1,COUNTIFS(Period_Status!$A$2:$A$8,G2519,Period_Status!$B$2:$B$8,"ActualClosed")=1,C2519&gt;EOMONTH(Settlement_Bridge!$C$2,0)),1,0)</f>
        <v>0</v>
      </c>
      <c r="P2519" s="2" t="s">
        <v>7109</v>
      </c>
    </row>
    <row r="2520" spans="1:16" x14ac:dyDescent="0.25">
      <c r="A2520" s="2" t="s">
        <v>7110</v>
      </c>
      <c r="B2520" s="2" t="s">
        <v>199</v>
      </c>
      <c r="C2520" s="8">
        <v>46270</v>
      </c>
      <c r="D2520" s="6">
        <v>46266</v>
      </c>
      <c r="E2520" s="2" t="s">
        <v>260</v>
      </c>
      <c r="F2520" s="2" t="s">
        <v>7111</v>
      </c>
      <c r="G2520" s="6">
        <v>46235</v>
      </c>
      <c r="H2520" s="2" t="s">
        <v>176</v>
      </c>
      <c r="I2520" s="2" t="s">
        <v>76</v>
      </c>
      <c r="J2520" s="9">
        <v>98136260.162602007</v>
      </c>
      <c r="K2520" s="7">
        <v>6.1299999999999999E-5</v>
      </c>
      <c r="L2520" s="9">
        <v>6015.75</v>
      </c>
      <c r="M2520" s="9">
        <v>6035.38</v>
      </c>
      <c r="N2520" s="9">
        <v>3.31</v>
      </c>
      <c r="O2520" s="10">
        <f>IF(AND(OR(H2520="APPROVED",H2520="SCHEDULED"),COUNTIFS(tblSource[EventID],F2520,tblSource[ReleaseStatus],"APPROVED")=1,COUNTIFS(Period_Status!$A$2:$A$8,G2520,Period_Status!$B$2:$B$8,"ActualClosed")=1,C2520&gt;EOMONTH(Settlement_Bridge!$C$2,0)),1,0)</f>
        <v>0</v>
      </c>
      <c r="P2520" s="2" t="s">
        <v>7112</v>
      </c>
    </row>
    <row r="2521" spans="1:16" x14ac:dyDescent="0.25">
      <c r="A2521" s="2" t="s">
        <v>7113</v>
      </c>
      <c r="B2521" s="2" t="s">
        <v>199</v>
      </c>
      <c r="C2521" s="8">
        <v>46271</v>
      </c>
      <c r="D2521" s="6">
        <v>46266</v>
      </c>
      <c r="E2521" s="2" t="s">
        <v>260</v>
      </c>
      <c r="F2521" s="2" t="s">
        <v>7114</v>
      </c>
      <c r="G2521" s="6">
        <v>46235</v>
      </c>
      <c r="H2521" s="2" t="s">
        <v>176</v>
      </c>
      <c r="I2521" s="2" t="s">
        <v>70</v>
      </c>
      <c r="J2521" s="9">
        <v>9551.3692310000006</v>
      </c>
      <c r="K2521" s="7">
        <v>0.65100000000000002</v>
      </c>
      <c r="L2521" s="9">
        <v>6217.94</v>
      </c>
      <c r="M2521" s="9">
        <v>6208.39</v>
      </c>
      <c r="N2521" s="9">
        <v>3.42</v>
      </c>
      <c r="O2521" s="10">
        <f>IF(AND(OR(H2521="APPROVED",H2521="SCHEDULED"),COUNTIFS(tblSource[EventID],F2521,tblSource[ReleaseStatus],"APPROVED")=1,COUNTIFS(Period_Status!$A$2:$A$8,G2521,Period_Status!$B$2:$B$8,"ActualClosed")=1,C2521&gt;EOMONTH(Settlement_Bridge!$C$2,0)),1,0)</f>
        <v>0</v>
      </c>
      <c r="P2521" s="2" t="s">
        <v>7115</v>
      </c>
    </row>
    <row r="2522" spans="1:16" x14ac:dyDescent="0.25">
      <c r="A2522" s="2" t="s">
        <v>7116</v>
      </c>
      <c r="B2522" s="2" t="s">
        <v>199</v>
      </c>
      <c r="C2522" s="8">
        <v>46272</v>
      </c>
      <c r="D2522" s="6">
        <v>46266</v>
      </c>
      <c r="E2522" s="2" t="s">
        <v>260</v>
      </c>
      <c r="F2522" s="2" t="s">
        <v>7117</v>
      </c>
      <c r="G2522" s="6">
        <v>46235</v>
      </c>
      <c r="H2522" s="2" t="s">
        <v>176</v>
      </c>
      <c r="I2522" s="2" t="s">
        <v>39</v>
      </c>
      <c r="J2522" s="9">
        <v>6381.4</v>
      </c>
      <c r="K2522" s="7">
        <v>1</v>
      </c>
      <c r="L2522" s="9">
        <v>6381.4</v>
      </c>
      <c r="M2522" s="9">
        <v>6381.4</v>
      </c>
      <c r="N2522" s="9">
        <v>3.51</v>
      </c>
      <c r="O2522" s="10">
        <f>IF(AND(OR(H2522="APPROVED",H2522="SCHEDULED"),COUNTIFS(tblSource[EventID],F2522,tblSource[ReleaseStatus],"APPROVED")=1,COUNTIFS(Period_Status!$A$2:$A$8,G2522,Period_Status!$B$2:$B$8,"ActualClosed")=1,C2522&gt;EOMONTH(Settlement_Bridge!$C$2,0)),1,0)</f>
        <v>0</v>
      </c>
      <c r="P2522" s="2" t="s">
        <v>7118</v>
      </c>
    </row>
    <row r="2523" spans="1:16" x14ac:dyDescent="0.25">
      <c r="A2523" s="2" t="s">
        <v>7119</v>
      </c>
      <c r="B2523" s="2" t="s">
        <v>199</v>
      </c>
      <c r="C2523" s="8">
        <v>46263</v>
      </c>
      <c r="D2523" s="6">
        <v>46235</v>
      </c>
      <c r="E2523" s="2" t="s">
        <v>260</v>
      </c>
      <c r="F2523" s="2" t="s">
        <v>7120</v>
      </c>
      <c r="G2523" s="6">
        <v>46235</v>
      </c>
      <c r="H2523" s="2" t="s">
        <v>71</v>
      </c>
      <c r="I2523" s="2" t="s">
        <v>76</v>
      </c>
      <c r="J2523" s="9">
        <v>42630308.943089999</v>
      </c>
      <c r="K2523" s="7">
        <v>6.1500000000000004E-5</v>
      </c>
      <c r="L2523" s="9">
        <v>2621.76</v>
      </c>
      <c r="M2523" s="9">
        <v>2621.76</v>
      </c>
      <c r="N2523" s="9">
        <v>1.8</v>
      </c>
      <c r="O2523" s="10">
        <f>IF(AND(OR(H2523="APPROVED",H2523="SCHEDULED"),COUNTIFS(tblSource[EventID],F2523,tblSource[ReleaseStatus],"APPROVED")=1,COUNTIFS(Period_Status!$A$2:$A$8,G2523,Period_Status!$B$2:$B$8,"ActualClosed")=1,C2523&gt;EOMONTH(Settlement_Bridge!$C$2,0)),1,0)</f>
        <v>0</v>
      </c>
      <c r="P2523" s="2" t="s">
        <v>7121</v>
      </c>
    </row>
    <row r="2524" spans="1:16" x14ac:dyDescent="0.25">
      <c r="A2524" s="2" t="s">
        <v>7122</v>
      </c>
      <c r="B2524" s="2" t="s">
        <v>199</v>
      </c>
      <c r="C2524" s="8">
        <v>46288</v>
      </c>
      <c r="D2524" s="6">
        <v>46266</v>
      </c>
      <c r="E2524" s="2" t="s">
        <v>260</v>
      </c>
      <c r="F2524" s="2" t="s">
        <v>7120</v>
      </c>
      <c r="G2524" s="6">
        <v>46235</v>
      </c>
      <c r="H2524" s="2" t="s">
        <v>176</v>
      </c>
      <c r="I2524" s="2" t="s">
        <v>76</v>
      </c>
      <c r="J2524" s="9">
        <v>63945463.414633997</v>
      </c>
      <c r="K2524" s="7">
        <v>6.1299999999999999E-5</v>
      </c>
      <c r="L2524" s="9">
        <v>3919.86</v>
      </c>
      <c r="M2524" s="9">
        <v>3932.65</v>
      </c>
      <c r="N2524" s="9">
        <v>2.16</v>
      </c>
      <c r="O2524" s="10">
        <f>IF(AND(OR(H2524="APPROVED",H2524="SCHEDULED"),COUNTIFS(tblSource[EventID],F2524,tblSource[ReleaseStatus],"APPROVED")=1,COUNTIFS(Period_Status!$A$2:$A$8,G2524,Period_Status!$B$2:$B$8,"ActualClosed")=1,C2524&gt;EOMONTH(Settlement_Bridge!$C$2,0)),1,0)</f>
        <v>0</v>
      </c>
      <c r="P2524" s="2" t="s">
        <v>7123</v>
      </c>
    </row>
    <row r="2525" spans="1:16" x14ac:dyDescent="0.25">
      <c r="A2525" s="2" t="s">
        <v>7124</v>
      </c>
      <c r="B2525" s="2" t="s">
        <v>199</v>
      </c>
      <c r="C2525" s="8">
        <v>46264</v>
      </c>
      <c r="D2525" s="6">
        <v>46235</v>
      </c>
      <c r="E2525" s="2" t="s">
        <v>260</v>
      </c>
      <c r="F2525" s="2" t="s">
        <v>7125</v>
      </c>
      <c r="G2525" s="6">
        <v>46235</v>
      </c>
      <c r="H2525" s="2" t="s">
        <v>71</v>
      </c>
      <c r="I2525" s="2" t="s">
        <v>70</v>
      </c>
      <c r="J2525" s="9">
        <v>4139.950769</v>
      </c>
      <c r="K2525" s="7">
        <v>0.65</v>
      </c>
      <c r="L2525" s="9">
        <v>2690.97</v>
      </c>
      <c r="M2525" s="9">
        <v>2690.97</v>
      </c>
      <c r="N2525" s="9">
        <v>1.8</v>
      </c>
      <c r="O2525" s="10">
        <f>IF(AND(OR(H2525="APPROVED",H2525="SCHEDULED"),COUNTIFS(tblSource[EventID],F2525,tblSource[ReleaseStatus],"APPROVED")=1,COUNTIFS(Period_Status!$A$2:$A$8,G2525,Period_Status!$B$2:$B$8,"ActualClosed")=1,C2525&gt;EOMONTH(Settlement_Bridge!$C$2,0)),1,0)</f>
        <v>0</v>
      </c>
      <c r="P2525" s="2" t="s">
        <v>7126</v>
      </c>
    </row>
    <row r="2526" spans="1:16" x14ac:dyDescent="0.25">
      <c r="A2526" s="2" t="s">
        <v>7127</v>
      </c>
      <c r="B2526" s="2" t="s">
        <v>199</v>
      </c>
      <c r="C2526" s="8">
        <v>46289</v>
      </c>
      <c r="D2526" s="6">
        <v>46266</v>
      </c>
      <c r="E2526" s="2" t="s">
        <v>260</v>
      </c>
      <c r="F2526" s="2" t="s">
        <v>7125</v>
      </c>
      <c r="G2526" s="6">
        <v>46235</v>
      </c>
      <c r="H2526" s="2" t="s">
        <v>176</v>
      </c>
      <c r="I2526" s="2" t="s">
        <v>70</v>
      </c>
      <c r="J2526" s="9">
        <v>6209.9261539999998</v>
      </c>
      <c r="K2526" s="7">
        <v>0.65100000000000002</v>
      </c>
      <c r="L2526" s="9">
        <v>4042.66</v>
      </c>
      <c r="M2526" s="9">
        <v>4036.45</v>
      </c>
      <c r="N2526" s="9">
        <v>2.2200000000000002</v>
      </c>
      <c r="O2526" s="10">
        <f>IF(AND(OR(H2526="APPROVED",H2526="SCHEDULED"),COUNTIFS(tblSource[EventID],F2526,tblSource[ReleaseStatus],"APPROVED")=1,COUNTIFS(Period_Status!$A$2:$A$8,G2526,Period_Status!$B$2:$B$8,"ActualClosed")=1,C2526&gt;EOMONTH(Settlement_Bridge!$C$2,0)),1,0)</f>
        <v>0</v>
      </c>
      <c r="P2526" s="2" t="s">
        <v>7128</v>
      </c>
    </row>
    <row r="2527" spans="1:16" x14ac:dyDescent="0.25">
      <c r="A2527" s="2" t="s">
        <v>7129</v>
      </c>
      <c r="B2527" s="2" t="s">
        <v>199</v>
      </c>
      <c r="C2527" s="8">
        <v>46275</v>
      </c>
      <c r="D2527" s="6">
        <v>46266</v>
      </c>
      <c r="E2527" s="2" t="s">
        <v>260</v>
      </c>
      <c r="F2527" s="2" t="s">
        <v>7130</v>
      </c>
      <c r="G2527" s="6">
        <v>46235</v>
      </c>
      <c r="H2527" s="2" t="s">
        <v>176</v>
      </c>
      <c r="I2527" s="2" t="s">
        <v>39</v>
      </c>
      <c r="J2527" s="9">
        <v>6900.43</v>
      </c>
      <c r="K2527" s="7">
        <v>1</v>
      </c>
      <c r="L2527" s="9">
        <v>6900.43</v>
      </c>
      <c r="M2527" s="9">
        <v>6900.43</v>
      </c>
      <c r="N2527" s="9">
        <v>3.8</v>
      </c>
      <c r="O2527" s="10">
        <f>IF(AND(OR(H2527="APPROVED",H2527="SCHEDULED"),COUNTIFS(tblSource[EventID],F2527,tblSource[ReleaseStatus],"APPROVED")=1,COUNTIFS(Period_Status!$A$2:$A$8,G2527,Period_Status!$B$2:$B$8,"ActualClosed")=1,C2527&gt;EOMONTH(Settlement_Bridge!$C$2,0)),1,0)</f>
        <v>0</v>
      </c>
      <c r="P2527" s="2" t="s">
        <v>7131</v>
      </c>
    </row>
    <row r="2528" spans="1:16" x14ac:dyDescent="0.25">
      <c r="A2528" s="2" t="s">
        <v>7132</v>
      </c>
      <c r="B2528" s="2" t="s">
        <v>199</v>
      </c>
      <c r="C2528" s="8">
        <v>46276</v>
      </c>
      <c r="D2528" s="6">
        <v>46266</v>
      </c>
      <c r="E2528" s="2" t="s">
        <v>260</v>
      </c>
      <c r="F2528" s="2" t="s">
        <v>7133</v>
      </c>
      <c r="G2528" s="6">
        <v>46235</v>
      </c>
      <c r="H2528" s="2" t="s">
        <v>176</v>
      </c>
      <c r="I2528" s="2" t="s">
        <v>76</v>
      </c>
      <c r="J2528" s="9">
        <v>115015284.552846</v>
      </c>
      <c r="K2528" s="7">
        <v>6.1299999999999999E-5</v>
      </c>
      <c r="L2528" s="9">
        <v>7050.44</v>
      </c>
      <c r="M2528" s="9">
        <v>7073.44</v>
      </c>
      <c r="N2528" s="9">
        <v>3.88</v>
      </c>
      <c r="O2528" s="10">
        <f>IF(AND(OR(H2528="APPROVED",H2528="SCHEDULED"),COUNTIFS(tblSource[EventID],F2528,tblSource[ReleaseStatus],"APPROVED")=1,COUNTIFS(Period_Status!$A$2:$A$8,G2528,Period_Status!$B$2:$B$8,"ActualClosed")=1,C2528&gt;EOMONTH(Settlement_Bridge!$C$2,0)),1,0)</f>
        <v>0</v>
      </c>
      <c r="P2528" s="2" t="s">
        <v>7134</v>
      </c>
    </row>
    <row r="2529" spans="1:16" x14ac:dyDescent="0.25">
      <c r="A2529" s="2" t="s">
        <v>7135</v>
      </c>
      <c r="B2529" s="2" t="s">
        <v>199</v>
      </c>
      <c r="C2529" s="8">
        <v>46267</v>
      </c>
      <c r="D2529" s="6">
        <v>46266</v>
      </c>
      <c r="E2529" s="2" t="s">
        <v>260</v>
      </c>
      <c r="F2529" s="2" t="s">
        <v>7136</v>
      </c>
      <c r="G2529" s="6">
        <v>46235</v>
      </c>
      <c r="H2529" s="2" t="s">
        <v>176</v>
      </c>
      <c r="I2529" s="2" t="s">
        <v>70</v>
      </c>
      <c r="J2529" s="9">
        <v>4459.353846</v>
      </c>
      <c r="K2529" s="7">
        <v>0.65100000000000002</v>
      </c>
      <c r="L2529" s="9">
        <v>2903.04</v>
      </c>
      <c r="M2529" s="9">
        <v>2898.58</v>
      </c>
      <c r="N2529" s="9">
        <v>1.8</v>
      </c>
      <c r="O2529" s="10">
        <f>IF(AND(OR(H2529="APPROVED",H2529="SCHEDULED"),COUNTIFS(tblSource[EventID],F2529,tblSource[ReleaseStatus],"APPROVED")=1,COUNTIFS(Period_Status!$A$2:$A$8,G2529,Period_Status!$B$2:$B$8,"ActualClosed")=1,C2529&gt;EOMONTH(Settlement_Bridge!$C$2,0)),1,0)</f>
        <v>0</v>
      </c>
      <c r="P2529" s="2" t="s">
        <v>7137</v>
      </c>
    </row>
    <row r="2530" spans="1:16" x14ac:dyDescent="0.25">
      <c r="A2530" s="2" t="s">
        <v>7138</v>
      </c>
      <c r="B2530" s="2" t="s">
        <v>199</v>
      </c>
      <c r="C2530" s="8">
        <v>46292</v>
      </c>
      <c r="D2530" s="6">
        <v>46266</v>
      </c>
      <c r="E2530" s="2" t="s">
        <v>260</v>
      </c>
      <c r="F2530" s="2" t="s">
        <v>7136</v>
      </c>
      <c r="G2530" s="6">
        <v>46235</v>
      </c>
      <c r="H2530" s="2" t="s">
        <v>176</v>
      </c>
      <c r="I2530" s="2" t="s">
        <v>70</v>
      </c>
      <c r="J2530" s="9">
        <v>6689.030769</v>
      </c>
      <c r="K2530" s="7">
        <v>0.65100000000000002</v>
      </c>
      <c r="L2530" s="9">
        <v>4354.5600000000004</v>
      </c>
      <c r="M2530" s="9">
        <v>4347.87</v>
      </c>
      <c r="N2530" s="9">
        <v>2.4</v>
      </c>
      <c r="O2530" s="10">
        <f>IF(AND(OR(H2530="APPROVED",H2530="SCHEDULED"),COUNTIFS(tblSource[EventID],F2530,tblSource[ReleaseStatus],"APPROVED")=1,COUNTIFS(Period_Status!$A$2:$A$8,G2530,Period_Status!$B$2:$B$8,"ActualClosed")=1,C2530&gt;EOMONTH(Settlement_Bridge!$C$2,0)),1,0)</f>
        <v>0</v>
      </c>
      <c r="P2530" s="2" t="s">
        <v>7139</v>
      </c>
    </row>
    <row r="2531" spans="1:16" x14ac:dyDescent="0.25">
      <c r="A2531" s="2" t="s">
        <v>7140</v>
      </c>
      <c r="B2531" s="2" t="s">
        <v>199</v>
      </c>
      <c r="C2531" s="8">
        <v>46278</v>
      </c>
      <c r="D2531" s="6">
        <v>46266</v>
      </c>
      <c r="E2531" s="2" t="s">
        <v>260</v>
      </c>
      <c r="F2531" s="2" t="s">
        <v>7141</v>
      </c>
      <c r="G2531" s="6">
        <v>46235</v>
      </c>
      <c r="H2531" s="2" t="s">
        <v>176</v>
      </c>
      <c r="I2531" s="2" t="s">
        <v>39</v>
      </c>
      <c r="J2531" s="9">
        <v>7419.46</v>
      </c>
      <c r="K2531" s="7">
        <v>1</v>
      </c>
      <c r="L2531" s="9">
        <v>7419.46</v>
      </c>
      <c r="M2531" s="9">
        <v>7419.46</v>
      </c>
      <c r="N2531" s="9">
        <v>4.08</v>
      </c>
      <c r="O2531" s="10">
        <f>IF(AND(OR(H2531="APPROVED",H2531="SCHEDULED"),COUNTIFS(tblSource[EventID],F2531,tblSource[ReleaseStatus],"APPROVED")=1,COUNTIFS(Period_Status!$A$2:$A$8,G2531,Period_Status!$B$2:$B$8,"ActualClosed")=1,C2531&gt;EOMONTH(Settlement_Bridge!$C$2,0)),1,0)</f>
        <v>0</v>
      </c>
      <c r="P2531" s="2" t="s">
        <v>7142</v>
      </c>
    </row>
    <row r="2532" spans="1:16" x14ac:dyDescent="0.25">
      <c r="A2532" s="2" t="s">
        <v>7143</v>
      </c>
      <c r="B2532" s="2" t="s">
        <v>199</v>
      </c>
      <c r="C2532" s="8">
        <v>46279</v>
      </c>
      <c r="D2532" s="6">
        <v>46266</v>
      </c>
      <c r="E2532" s="2" t="s">
        <v>260</v>
      </c>
      <c r="F2532" s="2" t="s">
        <v>7144</v>
      </c>
      <c r="G2532" s="6">
        <v>46235</v>
      </c>
      <c r="H2532" s="2" t="s">
        <v>176</v>
      </c>
      <c r="I2532" s="2" t="s">
        <v>76</v>
      </c>
      <c r="J2532" s="9">
        <v>123454796.747967</v>
      </c>
      <c r="K2532" s="7">
        <v>6.1299999999999999E-5</v>
      </c>
      <c r="L2532" s="9">
        <v>7567.78</v>
      </c>
      <c r="M2532" s="9">
        <v>7592.47</v>
      </c>
      <c r="N2532" s="9">
        <v>4.16</v>
      </c>
      <c r="O2532" s="10">
        <f>IF(AND(OR(H2532="APPROVED",H2532="SCHEDULED"),COUNTIFS(tblSource[EventID],F2532,tblSource[ReleaseStatus],"APPROVED")=1,COUNTIFS(Period_Status!$A$2:$A$8,G2532,Period_Status!$B$2:$B$8,"ActualClosed")=1,C2532&gt;EOMONTH(Settlement_Bridge!$C$2,0)),1,0)</f>
        <v>0</v>
      </c>
      <c r="P2532" s="2" t="s">
        <v>7145</v>
      </c>
    </row>
    <row r="2533" spans="1:16" x14ac:dyDescent="0.25">
      <c r="A2533" s="2" t="s">
        <v>7146</v>
      </c>
      <c r="B2533" s="2" t="s">
        <v>199</v>
      </c>
      <c r="C2533" s="8">
        <v>46280</v>
      </c>
      <c r="D2533" s="6">
        <v>46266</v>
      </c>
      <c r="E2533" s="2" t="s">
        <v>260</v>
      </c>
      <c r="F2533" s="2" t="s">
        <v>7147</v>
      </c>
      <c r="G2533" s="6">
        <v>46235</v>
      </c>
      <c r="H2533" s="2" t="s">
        <v>176</v>
      </c>
      <c r="I2533" s="2" t="s">
        <v>70</v>
      </c>
      <c r="J2533" s="9">
        <v>11946.892308</v>
      </c>
      <c r="K2533" s="7">
        <v>0.65100000000000002</v>
      </c>
      <c r="L2533" s="9">
        <v>7777.43</v>
      </c>
      <c r="M2533" s="9">
        <v>7765.48</v>
      </c>
      <c r="N2533" s="9">
        <v>4.28</v>
      </c>
      <c r="O2533" s="10">
        <f>IF(AND(OR(H2533="APPROVED",H2533="SCHEDULED"),COUNTIFS(tblSource[EventID],F2533,tblSource[ReleaseStatus],"APPROVED")=1,COUNTIFS(Period_Status!$A$2:$A$8,G2533,Period_Status!$B$2:$B$8,"ActualClosed")=1,C2533&gt;EOMONTH(Settlement_Bridge!$C$2,0)),1,0)</f>
        <v>0</v>
      </c>
      <c r="P2533" s="2" t="s">
        <v>7148</v>
      </c>
    </row>
    <row r="2534" spans="1:16" x14ac:dyDescent="0.25">
      <c r="A2534" s="2" t="s">
        <v>7149</v>
      </c>
      <c r="B2534" s="2" t="s">
        <v>199</v>
      </c>
      <c r="C2534" s="8">
        <v>46281</v>
      </c>
      <c r="D2534" s="6">
        <v>46266</v>
      </c>
      <c r="E2534" s="2" t="s">
        <v>260</v>
      </c>
      <c r="F2534" s="2" t="s">
        <v>7150</v>
      </c>
      <c r="G2534" s="6">
        <v>46235</v>
      </c>
      <c r="H2534" s="2" t="s">
        <v>176</v>
      </c>
      <c r="I2534" s="2" t="s">
        <v>39</v>
      </c>
      <c r="J2534" s="9">
        <v>7938.49</v>
      </c>
      <c r="K2534" s="7">
        <v>1</v>
      </c>
      <c r="L2534" s="9">
        <v>7938.49</v>
      </c>
      <c r="M2534" s="9">
        <v>7938.49</v>
      </c>
      <c r="N2534" s="9">
        <v>4.37</v>
      </c>
      <c r="O2534" s="10">
        <f>IF(AND(OR(H2534="APPROVED",H2534="SCHEDULED"),COUNTIFS(tblSource[EventID],F2534,tblSource[ReleaseStatus],"APPROVED")=1,COUNTIFS(Period_Status!$A$2:$A$8,G2534,Period_Status!$B$2:$B$8,"ActualClosed")=1,C2534&gt;EOMONTH(Settlement_Bridge!$C$2,0)),1,0)</f>
        <v>0</v>
      </c>
      <c r="P2534" s="2" t="s">
        <v>7151</v>
      </c>
    </row>
    <row r="2535" spans="1:16" x14ac:dyDescent="0.25">
      <c r="A2535" s="2" t="s">
        <v>7152</v>
      </c>
      <c r="B2535" s="2" t="s">
        <v>199</v>
      </c>
      <c r="C2535" s="8">
        <v>46282</v>
      </c>
      <c r="D2535" s="6">
        <v>46266</v>
      </c>
      <c r="E2535" s="2" t="s">
        <v>260</v>
      </c>
      <c r="F2535" s="2" t="s">
        <v>7153</v>
      </c>
      <c r="G2535" s="6">
        <v>46235</v>
      </c>
      <c r="H2535" s="2" t="s">
        <v>176</v>
      </c>
      <c r="I2535" s="2" t="s">
        <v>76</v>
      </c>
      <c r="J2535" s="9">
        <v>131894308.94308899</v>
      </c>
      <c r="K2535" s="7">
        <v>6.1299999999999999E-5</v>
      </c>
      <c r="L2535" s="9">
        <v>8085.12</v>
      </c>
      <c r="M2535" s="9">
        <v>8111.5</v>
      </c>
      <c r="N2535" s="9">
        <v>4.45</v>
      </c>
      <c r="O2535" s="10">
        <f>IF(AND(OR(H2535="APPROVED",H2535="SCHEDULED"),COUNTIFS(tblSource[EventID],F2535,tblSource[ReleaseStatus],"APPROVED")=1,COUNTIFS(Period_Status!$A$2:$A$8,G2535,Period_Status!$B$2:$B$8,"ActualClosed")=1,C2535&gt;EOMONTH(Settlement_Bridge!$C$2,0)),1,0)</f>
        <v>0</v>
      </c>
      <c r="P2535" s="2" t="s">
        <v>7154</v>
      </c>
    </row>
    <row r="2536" spans="1:16" x14ac:dyDescent="0.25">
      <c r="A2536" s="2" t="s">
        <v>7155</v>
      </c>
      <c r="B2536" s="2" t="s">
        <v>199</v>
      </c>
      <c r="C2536" s="8">
        <v>46273</v>
      </c>
      <c r="D2536" s="6">
        <v>46266</v>
      </c>
      <c r="E2536" s="2" t="s">
        <v>260</v>
      </c>
      <c r="F2536" s="2" t="s">
        <v>7156</v>
      </c>
      <c r="G2536" s="6">
        <v>46235</v>
      </c>
      <c r="H2536" s="2" t="s">
        <v>176</v>
      </c>
      <c r="I2536" s="2" t="s">
        <v>70</v>
      </c>
      <c r="J2536" s="9">
        <v>5098.16</v>
      </c>
      <c r="K2536" s="7">
        <v>0.65100000000000002</v>
      </c>
      <c r="L2536" s="9">
        <v>3318.9</v>
      </c>
      <c r="M2536" s="9">
        <v>3313.8</v>
      </c>
      <c r="N2536" s="9">
        <v>1.83</v>
      </c>
      <c r="O2536" s="10">
        <f>IF(AND(OR(H2536="APPROVED",H2536="SCHEDULED"),COUNTIFS(tblSource[EventID],F2536,tblSource[ReleaseStatus],"APPROVED")=1,COUNTIFS(Period_Status!$A$2:$A$8,G2536,Period_Status!$B$2:$B$8,"ActualClosed")=1,C2536&gt;EOMONTH(Settlement_Bridge!$C$2,0)),1,0)</f>
        <v>0</v>
      </c>
      <c r="P2536" s="2" t="s">
        <v>7157</v>
      </c>
    </row>
    <row r="2537" spans="1:16" x14ac:dyDescent="0.25">
      <c r="A2537" s="2" t="s">
        <v>7158</v>
      </c>
      <c r="B2537" s="2" t="s">
        <v>199</v>
      </c>
      <c r="C2537" s="8">
        <v>46298</v>
      </c>
      <c r="D2537" s="6">
        <v>46296</v>
      </c>
      <c r="E2537" s="2" t="s">
        <v>260</v>
      </c>
      <c r="F2537" s="2" t="s">
        <v>7156</v>
      </c>
      <c r="G2537" s="6">
        <v>46235</v>
      </c>
      <c r="H2537" s="2" t="s">
        <v>176</v>
      </c>
      <c r="I2537" s="2" t="s">
        <v>70</v>
      </c>
      <c r="J2537" s="9">
        <v>7647.24</v>
      </c>
      <c r="K2537" s="7">
        <v>0.65500000000000003</v>
      </c>
      <c r="L2537" s="9">
        <v>5008.9399999999996</v>
      </c>
      <c r="M2537" s="9">
        <v>4970.71</v>
      </c>
      <c r="N2537" s="9">
        <v>2.75</v>
      </c>
      <c r="O2537" s="10">
        <f>IF(AND(OR(H2537="APPROVED",H2537="SCHEDULED"),COUNTIFS(tblSource[EventID],F2537,tblSource[ReleaseStatus],"APPROVED")=1,COUNTIFS(Period_Status!$A$2:$A$8,G2537,Period_Status!$B$2:$B$8,"ActualClosed")=1,C2537&gt;EOMONTH(Settlement_Bridge!$C$2,0)),1,0)</f>
        <v>0</v>
      </c>
      <c r="P2537" s="2" t="s">
        <v>7159</v>
      </c>
    </row>
    <row r="2538" spans="1:16" x14ac:dyDescent="0.25">
      <c r="A2538" s="2" t="s">
        <v>7160</v>
      </c>
      <c r="B2538" s="2" t="s">
        <v>199</v>
      </c>
      <c r="C2538" s="8">
        <v>46274</v>
      </c>
      <c r="D2538" s="6">
        <v>46266</v>
      </c>
      <c r="E2538" s="2" t="s">
        <v>260</v>
      </c>
      <c r="F2538" s="2" t="s">
        <v>7161</v>
      </c>
      <c r="G2538" s="6">
        <v>46235</v>
      </c>
      <c r="H2538" s="2" t="s">
        <v>176</v>
      </c>
      <c r="I2538" s="2" t="s">
        <v>39</v>
      </c>
      <c r="J2538" s="9">
        <v>3383.0079999999998</v>
      </c>
      <c r="K2538" s="7">
        <v>1</v>
      </c>
      <c r="L2538" s="9">
        <v>3383.01</v>
      </c>
      <c r="M2538" s="9">
        <v>3383.01</v>
      </c>
      <c r="N2538" s="9">
        <v>1.86</v>
      </c>
      <c r="O2538" s="10">
        <f>IF(AND(OR(H2538="APPROVED",H2538="SCHEDULED"),COUNTIFS(tblSource[EventID],F2538,tblSource[ReleaseStatus],"APPROVED")=1,COUNTIFS(Period_Status!$A$2:$A$8,G2538,Period_Status!$B$2:$B$8,"ActualClosed")=1,C2538&gt;EOMONTH(Settlement_Bridge!$C$2,0)),1,0)</f>
        <v>0</v>
      </c>
      <c r="P2538" s="2" t="s">
        <v>7162</v>
      </c>
    </row>
    <row r="2539" spans="1:16" x14ac:dyDescent="0.25">
      <c r="A2539" s="2" t="s">
        <v>7163</v>
      </c>
      <c r="B2539" s="2" t="s">
        <v>199</v>
      </c>
      <c r="C2539" s="8">
        <v>46299</v>
      </c>
      <c r="D2539" s="6">
        <v>46296</v>
      </c>
      <c r="E2539" s="2" t="s">
        <v>260</v>
      </c>
      <c r="F2539" s="2" t="s">
        <v>7161</v>
      </c>
      <c r="G2539" s="6">
        <v>46235</v>
      </c>
      <c r="H2539" s="2" t="s">
        <v>176</v>
      </c>
      <c r="I2539" s="2" t="s">
        <v>39</v>
      </c>
      <c r="J2539" s="9">
        <v>5074.5119999999997</v>
      </c>
      <c r="K2539" s="7">
        <v>1</v>
      </c>
      <c r="L2539" s="9">
        <v>5074.51</v>
      </c>
      <c r="M2539" s="9">
        <v>5074.51</v>
      </c>
      <c r="N2539" s="9">
        <v>2.79</v>
      </c>
      <c r="O2539" s="10">
        <f>IF(AND(OR(H2539="APPROVED",H2539="SCHEDULED"),COUNTIFS(tblSource[EventID],F2539,tblSource[ReleaseStatus],"APPROVED")=1,COUNTIFS(Period_Status!$A$2:$A$8,G2539,Period_Status!$B$2:$B$8,"ActualClosed")=1,C2539&gt;EOMONTH(Settlement_Bridge!$C$2,0)),1,0)</f>
        <v>0</v>
      </c>
      <c r="P2539" s="2" t="s">
        <v>7164</v>
      </c>
    </row>
    <row r="2540" spans="1:16" x14ac:dyDescent="0.25">
      <c r="A2540" s="2" t="s">
        <v>7165</v>
      </c>
      <c r="B2540" s="2" t="s">
        <v>199</v>
      </c>
      <c r="C2540" s="8">
        <v>46285</v>
      </c>
      <c r="D2540" s="6">
        <v>46266</v>
      </c>
      <c r="E2540" s="2" t="s">
        <v>260</v>
      </c>
      <c r="F2540" s="2" t="s">
        <v>7166</v>
      </c>
      <c r="G2540" s="6">
        <v>46235</v>
      </c>
      <c r="H2540" s="2" t="s">
        <v>176</v>
      </c>
      <c r="I2540" s="2" t="s">
        <v>76</v>
      </c>
      <c r="J2540" s="9">
        <v>140333821.13821101</v>
      </c>
      <c r="K2540" s="7">
        <v>6.1299999999999999E-5</v>
      </c>
      <c r="L2540" s="9">
        <v>8602.4599999999991</v>
      </c>
      <c r="M2540" s="9">
        <v>8630.5300000000007</v>
      </c>
      <c r="N2540" s="9">
        <v>4.7300000000000004</v>
      </c>
      <c r="O2540" s="10">
        <f>IF(AND(OR(H2540="APPROVED",H2540="SCHEDULED"),COUNTIFS(tblSource[EventID],F2540,tblSource[ReleaseStatus],"APPROVED")=1,COUNTIFS(Period_Status!$A$2:$A$8,G2540,Period_Status!$B$2:$B$8,"ActualClosed")=1,C2540&gt;EOMONTH(Settlement_Bridge!$C$2,0)),1,0)</f>
        <v>0</v>
      </c>
      <c r="P2540" s="2" t="s">
        <v>7167</v>
      </c>
    </row>
    <row r="2541" spans="1:16" x14ac:dyDescent="0.25">
      <c r="A2541" s="2" t="s">
        <v>7168</v>
      </c>
      <c r="B2541" s="2" t="s">
        <v>199</v>
      </c>
      <c r="C2541" s="8">
        <v>46286</v>
      </c>
      <c r="D2541" s="6">
        <v>46266</v>
      </c>
      <c r="E2541" s="2" t="s">
        <v>260</v>
      </c>
      <c r="F2541" s="2" t="s">
        <v>7169</v>
      </c>
      <c r="G2541" s="6">
        <v>46235</v>
      </c>
      <c r="H2541" s="2" t="s">
        <v>176</v>
      </c>
      <c r="I2541" s="2" t="s">
        <v>70</v>
      </c>
      <c r="J2541" s="9">
        <v>13543.907692000001</v>
      </c>
      <c r="K2541" s="7">
        <v>0.65100000000000002</v>
      </c>
      <c r="L2541" s="9">
        <v>8817.08</v>
      </c>
      <c r="M2541" s="9">
        <v>8803.5400000000009</v>
      </c>
      <c r="N2541" s="9">
        <v>4.8499999999999996</v>
      </c>
      <c r="O2541" s="10">
        <f>IF(AND(OR(H2541="APPROVED",H2541="SCHEDULED"),COUNTIFS(tblSource[EventID],F2541,tblSource[ReleaseStatus],"APPROVED")=1,COUNTIFS(Period_Status!$A$2:$A$8,G2541,Period_Status!$B$2:$B$8,"ActualClosed")=1,C2541&gt;EOMONTH(Settlement_Bridge!$C$2,0)),1,0)</f>
        <v>0</v>
      </c>
      <c r="P2541" s="2" t="s">
        <v>7170</v>
      </c>
    </row>
    <row r="2542" spans="1:16" x14ac:dyDescent="0.25">
      <c r="A2542" s="2" t="s">
        <v>7171</v>
      </c>
      <c r="B2542" s="2" t="s">
        <v>199</v>
      </c>
      <c r="C2542" s="8">
        <v>46277</v>
      </c>
      <c r="D2542" s="6">
        <v>46266</v>
      </c>
      <c r="E2542" s="2" t="s">
        <v>260</v>
      </c>
      <c r="F2542" s="2" t="s">
        <v>7172</v>
      </c>
      <c r="G2542" s="6">
        <v>46235</v>
      </c>
      <c r="H2542" s="2" t="s">
        <v>176</v>
      </c>
      <c r="I2542" s="2" t="s">
        <v>39</v>
      </c>
      <c r="J2542" s="9">
        <v>3590.62</v>
      </c>
      <c r="K2542" s="7">
        <v>1</v>
      </c>
      <c r="L2542" s="9">
        <v>3590.62</v>
      </c>
      <c r="M2542" s="9">
        <v>3590.62</v>
      </c>
      <c r="N2542" s="9">
        <v>1.97</v>
      </c>
      <c r="O2542" s="10">
        <f>IF(AND(OR(H2542="APPROVED",H2542="SCHEDULED"),COUNTIFS(tblSource[EventID],F2542,tblSource[ReleaseStatus],"APPROVED")=1,COUNTIFS(Period_Status!$A$2:$A$8,G2542,Period_Status!$B$2:$B$8,"ActualClosed")=1,C2542&gt;EOMONTH(Settlement_Bridge!$C$2,0)),1,0)</f>
        <v>0</v>
      </c>
      <c r="P2542" s="2" t="s">
        <v>7173</v>
      </c>
    </row>
    <row r="2543" spans="1:16" x14ac:dyDescent="0.25">
      <c r="A2543" s="2" t="s">
        <v>7174</v>
      </c>
      <c r="B2543" s="2" t="s">
        <v>199</v>
      </c>
      <c r="C2543" s="8">
        <v>46302</v>
      </c>
      <c r="D2543" s="6">
        <v>46296</v>
      </c>
      <c r="E2543" s="2" t="s">
        <v>260</v>
      </c>
      <c r="F2543" s="2" t="s">
        <v>7172</v>
      </c>
      <c r="G2543" s="6">
        <v>46235</v>
      </c>
      <c r="H2543" s="2" t="s">
        <v>176</v>
      </c>
      <c r="I2543" s="2" t="s">
        <v>39</v>
      </c>
      <c r="J2543" s="9">
        <v>5385.93</v>
      </c>
      <c r="K2543" s="7">
        <v>1</v>
      </c>
      <c r="L2543" s="9">
        <v>5385.93</v>
      </c>
      <c r="M2543" s="9">
        <v>5385.93</v>
      </c>
      <c r="N2543" s="9">
        <v>2.96</v>
      </c>
      <c r="O2543" s="10">
        <f>IF(AND(OR(H2543="APPROVED",H2543="SCHEDULED"),COUNTIFS(tblSource[EventID],F2543,tblSource[ReleaseStatus],"APPROVED")=1,COUNTIFS(Period_Status!$A$2:$A$8,G2543,Period_Status!$B$2:$B$8,"ActualClosed")=1,C2543&gt;EOMONTH(Settlement_Bridge!$C$2,0)),1,0)</f>
        <v>0</v>
      </c>
      <c r="P2543" s="2" t="s">
        <v>7175</v>
      </c>
    </row>
    <row r="2544" spans="1:16" x14ac:dyDescent="0.25">
      <c r="A2544" s="2" t="s">
        <v>7176</v>
      </c>
      <c r="B2544" s="2" t="s">
        <v>199</v>
      </c>
      <c r="C2544" s="8">
        <v>46288</v>
      </c>
      <c r="D2544" s="6">
        <v>46266</v>
      </c>
      <c r="E2544" s="2" t="s">
        <v>260</v>
      </c>
      <c r="F2544" s="2" t="s">
        <v>7177</v>
      </c>
      <c r="G2544" s="6">
        <v>46235</v>
      </c>
      <c r="H2544" s="2" t="s">
        <v>176</v>
      </c>
      <c r="I2544" s="2" t="s">
        <v>76</v>
      </c>
      <c r="J2544" s="9">
        <v>148773333.33333299</v>
      </c>
      <c r="K2544" s="7">
        <v>6.1299999999999999E-5</v>
      </c>
      <c r="L2544" s="9">
        <v>9119.81</v>
      </c>
      <c r="M2544" s="9">
        <v>9149.56</v>
      </c>
      <c r="N2544" s="9">
        <v>5.0199999999999996</v>
      </c>
      <c r="O2544" s="10">
        <f>IF(AND(OR(H2544="APPROVED",H2544="SCHEDULED"),COUNTIFS(tblSource[EventID],F2544,tblSource[ReleaseStatus],"APPROVED")=1,COUNTIFS(Period_Status!$A$2:$A$8,G2544,Period_Status!$B$2:$B$8,"ActualClosed")=1,C2544&gt;EOMONTH(Settlement_Bridge!$C$2,0)),1,0)</f>
        <v>0</v>
      </c>
      <c r="P2544" s="2" t="s">
        <v>7178</v>
      </c>
    </row>
    <row r="2545" spans="1:16" x14ac:dyDescent="0.25">
      <c r="A2545" s="2" t="s">
        <v>7179</v>
      </c>
      <c r="B2545" s="2" t="s">
        <v>199</v>
      </c>
      <c r="C2545" s="8">
        <v>46289</v>
      </c>
      <c r="D2545" s="6">
        <v>46266</v>
      </c>
      <c r="E2545" s="2" t="s">
        <v>260</v>
      </c>
      <c r="F2545" s="2" t="s">
        <v>7180</v>
      </c>
      <c r="G2545" s="6">
        <v>46235</v>
      </c>
      <c r="H2545" s="2" t="s">
        <v>176</v>
      </c>
      <c r="I2545" s="2" t="s">
        <v>70</v>
      </c>
      <c r="J2545" s="9">
        <v>14342.415385</v>
      </c>
      <c r="K2545" s="7">
        <v>0.65100000000000002</v>
      </c>
      <c r="L2545" s="9">
        <v>9336.91</v>
      </c>
      <c r="M2545" s="9">
        <v>9322.57</v>
      </c>
      <c r="N2545" s="9">
        <v>5.14</v>
      </c>
      <c r="O2545" s="10">
        <f>IF(AND(OR(H2545="APPROVED",H2545="SCHEDULED"),COUNTIFS(tblSource[EventID],F2545,tblSource[ReleaseStatus],"APPROVED")=1,COUNTIFS(Period_Status!$A$2:$A$8,G2545,Period_Status!$B$2:$B$8,"ActualClosed")=1,C2545&gt;EOMONTH(Settlement_Bridge!$C$2,0)),1,0)</f>
        <v>0</v>
      </c>
      <c r="P2545" s="2" t="s">
        <v>7181</v>
      </c>
    </row>
    <row r="2546" spans="1:16" x14ac:dyDescent="0.25">
      <c r="A2546" s="2" t="s">
        <v>7182</v>
      </c>
      <c r="B2546" s="2" t="s">
        <v>199</v>
      </c>
      <c r="C2546" s="8">
        <v>46259</v>
      </c>
      <c r="D2546" s="6">
        <v>46235</v>
      </c>
      <c r="E2546" s="2" t="s">
        <v>260</v>
      </c>
      <c r="F2546" s="2" t="s">
        <v>7183</v>
      </c>
      <c r="G2546" s="6">
        <v>46235</v>
      </c>
      <c r="H2546" s="2" t="s">
        <v>71</v>
      </c>
      <c r="I2546" s="2" t="s">
        <v>39</v>
      </c>
      <c r="J2546" s="9">
        <v>9495.58</v>
      </c>
      <c r="K2546" s="7">
        <v>1</v>
      </c>
      <c r="L2546" s="9">
        <v>9495.58</v>
      </c>
      <c r="M2546" s="9">
        <v>9495.58</v>
      </c>
      <c r="N2546" s="9">
        <v>5.22</v>
      </c>
      <c r="O2546" s="10">
        <f>IF(AND(OR(H2546="APPROVED",H2546="SCHEDULED"),COUNTIFS(tblSource[EventID],F2546,tblSource[ReleaseStatus],"APPROVED")=1,COUNTIFS(Period_Status!$A$2:$A$8,G2546,Period_Status!$B$2:$B$8,"ActualClosed")=1,C2546&gt;EOMONTH(Settlement_Bridge!$C$2,0)),1,0)</f>
        <v>0</v>
      </c>
      <c r="P2546" s="2" t="s">
        <v>7184</v>
      </c>
    </row>
    <row r="2547" spans="1:16" x14ac:dyDescent="0.25">
      <c r="A2547" s="2" t="s">
        <v>7185</v>
      </c>
      <c r="B2547" s="2" t="s">
        <v>199</v>
      </c>
      <c r="C2547" s="8">
        <v>46260</v>
      </c>
      <c r="D2547" s="6">
        <v>46235</v>
      </c>
      <c r="E2547" s="2" t="s">
        <v>260</v>
      </c>
      <c r="F2547" s="2" t="s">
        <v>7186</v>
      </c>
      <c r="G2547" s="6">
        <v>46235</v>
      </c>
      <c r="H2547" s="2" t="s">
        <v>71</v>
      </c>
      <c r="I2547" s="2" t="s">
        <v>76</v>
      </c>
      <c r="J2547" s="9">
        <v>157212845.52845499</v>
      </c>
      <c r="K2547" s="7">
        <v>6.1500000000000004E-5</v>
      </c>
      <c r="L2547" s="9">
        <v>9668.59</v>
      </c>
      <c r="M2547" s="9">
        <v>9668.59</v>
      </c>
      <c r="N2547" s="9">
        <v>5.32</v>
      </c>
      <c r="O2547" s="10">
        <f>IF(AND(OR(H2547="APPROVED",H2547="SCHEDULED"),COUNTIFS(tblSource[EventID],F2547,tblSource[ReleaseStatus],"APPROVED")=1,COUNTIFS(Period_Status!$A$2:$A$8,G2547,Period_Status!$B$2:$B$8,"ActualClosed")=1,C2547&gt;EOMONTH(Settlement_Bridge!$C$2,0)),1,0)</f>
        <v>0</v>
      </c>
      <c r="P2547" s="2" t="s">
        <v>7187</v>
      </c>
    </row>
    <row r="2548" spans="1:16" x14ac:dyDescent="0.25">
      <c r="A2548" s="2" t="s">
        <v>7188</v>
      </c>
      <c r="B2548" s="2" t="s">
        <v>199</v>
      </c>
      <c r="C2548" s="8">
        <v>46261</v>
      </c>
      <c r="D2548" s="6">
        <v>46235</v>
      </c>
      <c r="E2548" s="2" t="s">
        <v>260</v>
      </c>
      <c r="F2548" s="2" t="s">
        <v>7189</v>
      </c>
      <c r="G2548" s="6">
        <v>46235</v>
      </c>
      <c r="H2548" s="2" t="s">
        <v>71</v>
      </c>
      <c r="I2548" s="2" t="s">
        <v>70</v>
      </c>
      <c r="J2548" s="9">
        <v>15140.923076999999</v>
      </c>
      <c r="K2548" s="7">
        <v>0.65</v>
      </c>
      <c r="L2548" s="9">
        <v>9841.6</v>
      </c>
      <c r="M2548" s="9">
        <v>9841.6</v>
      </c>
      <c r="N2548" s="9">
        <v>5.41</v>
      </c>
      <c r="O2548" s="10">
        <f>IF(AND(OR(H2548="APPROVED",H2548="SCHEDULED"),COUNTIFS(tblSource[EventID],F2548,tblSource[ReleaseStatus],"APPROVED")=1,COUNTIFS(Period_Status!$A$2:$A$8,G2548,Period_Status!$B$2:$B$8,"ActualClosed")=1,C2548&gt;EOMONTH(Settlement_Bridge!$C$2,0)),1,0)</f>
        <v>0</v>
      </c>
      <c r="P2548" s="2" t="s">
        <v>7190</v>
      </c>
    </row>
    <row r="2549" spans="1:16" x14ac:dyDescent="0.25">
      <c r="A2549" s="2" t="s">
        <v>7191</v>
      </c>
      <c r="B2549" s="2" t="s">
        <v>199</v>
      </c>
      <c r="C2549" s="8">
        <v>46252</v>
      </c>
      <c r="D2549" s="6">
        <v>46235</v>
      </c>
      <c r="E2549" s="2" t="s">
        <v>260</v>
      </c>
      <c r="F2549" s="2" t="s">
        <v>7192</v>
      </c>
      <c r="G2549" s="6">
        <v>46235</v>
      </c>
      <c r="H2549" s="2" t="s">
        <v>71</v>
      </c>
      <c r="I2549" s="2" t="s">
        <v>39</v>
      </c>
      <c r="J2549" s="9">
        <v>4005.8440000000001</v>
      </c>
      <c r="K2549" s="7">
        <v>1</v>
      </c>
      <c r="L2549" s="9">
        <v>4005.84</v>
      </c>
      <c r="M2549" s="9">
        <v>4005.84</v>
      </c>
      <c r="N2549" s="9">
        <v>2.2000000000000002</v>
      </c>
      <c r="O2549" s="10">
        <f>IF(AND(OR(H2549="APPROVED",H2549="SCHEDULED"),COUNTIFS(tblSource[EventID],F2549,tblSource[ReleaseStatus],"APPROVED")=1,COUNTIFS(Period_Status!$A$2:$A$8,G2549,Period_Status!$B$2:$B$8,"ActualClosed")=1,C2549&gt;EOMONTH(Settlement_Bridge!$C$2,0)),1,0)</f>
        <v>0</v>
      </c>
      <c r="P2549" s="2" t="s">
        <v>7193</v>
      </c>
    </row>
    <row r="2550" spans="1:16" x14ac:dyDescent="0.25">
      <c r="A2550" s="2" t="s">
        <v>7194</v>
      </c>
      <c r="B2550" s="2" t="s">
        <v>199</v>
      </c>
      <c r="C2550" s="8">
        <v>46277</v>
      </c>
      <c r="D2550" s="6">
        <v>46266</v>
      </c>
      <c r="E2550" s="2" t="s">
        <v>260</v>
      </c>
      <c r="F2550" s="2" t="s">
        <v>7192</v>
      </c>
      <c r="G2550" s="6">
        <v>46235</v>
      </c>
      <c r="H2550" s="2" t="s">
        <v>176</v>
      </c>
      <c r="I2550" s="2" t="s">
        <v>39</v>
      </c>
      <c r="J2550" s="9">
        <v>6008.7659999999996</v>
      </c>
      <c r="K2550" s="7">
        <v>1</v>
      </c>
      <c r="L2550" s="9">
        <v>6008.77</v>
      </c>
      <c r="M2550" s="9">
        <v>6008.77</v>
      </c>
      <c r="N2550" s="9">
        <v>3.3</v>
      </c>
      <c r="O2550" s="10">
        <f>IF(AND(OR(H2550="APPROVED",H2550="SCHEDULED"),COUNTIFS(tblSource[EventID],F2550,tblSource[ReleaseStatus],"APPROVED")=1,COUNTIFS(Period_Status!$A$2:$A$8,G2550,Period_Status!$B$2:$B$8,"ActualClosed")=1,C2550&gt;EOMONTH(Settlement_Bridge!$C$2,0)),1,0)</f>
        <v>0</v>
      </c>
      <c r="P2550" s="2" t="s">
        <v>7195</v>
      </c>
    </row>
    <row r="2551" spans="1:16" x14ac:dyDescent="0.25">
      <c r="A2551" s="2" t="s">
        <v>7196</v>
      </c>
      <c r="B2551" s="2" t="s">
        <v>199</v>
      </c>
      <c r="C2551" s="8">
        <v>46253</v>
      </c>
      <c r="D2551" s="6">
        <v>46235</v>
      </c>
      <c r="E2551" s="2" t="s">
        <v>260</v>
      </c>
      <c r="F2551" s="2" t="s">
        <v>7197</v>
      </c>
      <c r="G2551" s="6">
        <v>46235</v>
      </c>
      <c r="H2551" s="2" t="s">
        <v>71</v>
      </c>
      <c r="I2551" s="2" t="s">
        <v>76</v>
      </c>
      <c r="J2551" s="9">
        <v>66260943.089431003</v>
      </c>
      <c r="K2551" s="7">
        <v>6.1500000000000004E-5</v>
      </c>
      <c r="L2551" s="9">
        <v>4075.05</v>
      </c>
      <c r="M2551" s="9">
        <v>4075.05</v>
      </c>
      <c r="N2551" s="9">
        <v>2.2400000000000002</v>
      </c>
      <c r="O2551" s="10">
        <f>IF(AND(OR(H2551="APPROVED",H2551="SCHEDULED"),COUNTIFS(tblSource[EventID],F2551,tblSource[ReleaseStatus],"APPROVED")=1,COUNTIFS(Period_Status!$A$2:$A$8,G2551,Period_Status!$B$2:$B$8,"ActualClosed")=1,C2551&gt;EOMONTH(Settlement_Bridge!$C$2,0)),1,0)</f>
        <v>0</v>
      </c>
      <c r="P2551" s="2" t="s">
        <v>7198</v>
      </c>
    </row>
    <row r="2552" spans="1:16" x14ac:dyDescent="0.25">
      <c r="A2552" s="2" t="s">
        <v>7199</v>
      </c>
      <c r="B2552" s="2" t="s">
        <v>199</v>
      </c>
      <c r="C2552" s="8">
        <v>46278</v>
      </c>
      <c r="D2552" s="6">
        <v>46266</v>
      </c>
      <c r="E2552" s="2" t="s">
        <v>260</v>
      </c>
      <c r="F2552" s="2" t="s">
        <v>7197</v>
      </c>
      <c r="G2552" s="6">
        <v>46235</v>
      </c>
      <c r="H2552" s="2" t="s">
        <v>176</v>
      </c>
      <c r="I2552" s="2" t="s">
        <v>76</v>
      </c>
      <c r="J2552" s="9">
        <v>99391414.634146005</v>
      </c>
      <c r="K2552" s="7">
        <v>6.1299999999999999E-5</v>
      </c>
      <c r="L2552" s="9">
        <v>6092.69</v>
      </c>
      <c r="M2552" s="9">
        <v>6112.57</v>
      </c>
      <c r="N2552" s="9">
        <v>3.35</v>
      </c>
      <c r="O2552" s="10">
        <f>IF(AND(OR(H2552="APPROVED",H2552="SCHEDULED"),COUNTIFS(tblSource[EventID],F2552,tblSource[ReleaseStatus],"APPROVED")=1,COUNTIFS(Period_Status!$A$2:$A$8,G2552,Period_Status!$B$2:$B$8,"ActualClosed")=1,C2552&gt;EOMONTH(Settlement_Bridge!$C$2,0)),1,0)</f>
        <v>0</v>
      </c>
      <c r="P2552" s="2" t="s">
        <v>7200</v>
      </c>
    </row>
    <row r="2553" spans="1:16" x14ac:dyDescent="0.25">
      <c r="A2553" s="2" t="s">
        <v>7201</v>
      </c>
      <c r="B2553" s="2" t="s">
        <v>199</v>
      </c>
      <c r="C2553" s="8">
        <v>46264</v>
      </c>
      <c r="D2553" s="6">
        <v>46235</v>
      </c>
      <c r="E2553" s="2" t="s">
        <v>260</v>
      </c>
      <c r="F2553" s="2" t="s">
        <v>7202</v>
      </c>
      <c r="G2553" s="6">
        <v>46235</v>
      </c>
      <c r="H2553" s="2" t="s">
        <v>71</v>
      </c>
      <c r="I2553" s="2" t="s">
        <v>70</v>
      </c>
      <c r="J2553" s="9">
        <v>15939.430769000001</v>
      </c>
      <c r="K2553" s="7">
        <v>0.65</v>
      </c>
      <c r="L2553" s="9">
        <v>10360.629999999999</v>
      </c>
      <c r="M2553" s="9">
        <v>10360.629999999999</v>
      </c>
      <c r="N2553" s="9">
        <v>5.7</v>
      </c>
      <c r="O2553" s="10">
        <f>IF(AND(OR(H2553="APPROVED",H2553="SCHEDULED"),COUNTIFS(tblSource[EventID],F2553,tblSource[ReleaseStatus],"APPROVED")=1,COUNTIFS(Period_Status!$A$2:$A$8,G2553,Period_Status!$B$2:$B$8,"ActualClosed")=1,C2553&gt;EOMONTH(Settlement_Bridge!$C$2,0)),1,0)</f>
        <v>0</v>
      </c>
      <c r="P2553" s="2" t="s">
        <v>7203</v>
      </c>
    </row>
    <row r="2554" spans="1:16" x14ac:dyDescent="0.25">
      <c r="A2554" s="2" t="s">
        <v>7204</v>
      </c>
      <c r="B2554" s="2" t="s">
        <v>199</v>
      </c>
      <c r="C2554" s="8">
        <v>46265</v>
      </c>
      <c r="D2554" s="6">
        <v>46235</v>
      </c>
      <c r="E2554" s="2" t="s">
        <v>260</v>
      </c>
      <c r="F2554" s="2" t="s">
        <v>7205</v>
      </c>
      <c r="G2554" s="6">
        <v>46235</v>
      </c>
      <c r="H2554" s="2" t="s">
        <v>71</v>
      </c>
      <c r="I2554" s="2" t="s">
        <v>39</v>
      </c>
      <c r="J2554" s="9">
        <v>10533.64</v>
      </c>
      <c r="K2554" s="7">
        <v>1</v>
      </c>
      <c r="L2554" s="9">
        <v>10533.64</v>
      </c>
      <c r="M2554" s="9">
        <v>10533.64</v>
      </c>
      <c r="N2554" s="9">
        <v>5.79</v>
      </c>
      <c r="O2554" s="10">
        <f>IF(AND(OR(H2554="APPROVED",H2554="SCHEDULED"),COUNTIFS(tblSource[EventID],F2554,tblSource[ReleaseStatus],"APPROVED")=1,COUNTIFS(Period_Status!$A$2:$A$8,G2554,Period_Status!$B$2:$B$8,"ActualClosed")=1,C2554&gt;EOMONTH(Settlement_Bridge!$C$2,0)),1,0)</f>
        <v>0</v>
      </c>
      <c r="P2554" s="2" t="s">
        <v>7206</v>
      </c>
    </row>
    <row r="2555" spans="1:16" x14ac:dyDescent="0.25">
      <c r="A2555" s="2" t="s">
        <v>7207</v>
      </c>
      <c r="B2555" s="2" t="s">
        <v>199</v>
      </c>
      <c r="C2555" s="8">
        <v>46256</v>
      </c>
      <c r="D2555" s="6">
        <v>46235</v>
      </c>
      <c r="E2555" s="2" t="s">
        <v>260</v>
      </c>
      <c r="F2555" s="2" t="s">
        <v>7208</v>
      </c>
      <c r="G2555" s="6">
        <v>46235</v>
      </c>
      <c r="H2555" s="2" t="s">
        <v>71</v>
      </c>
      <c r="I2555" s="2" t="s">
        <v>76</v>
      </c>
      <c r="J2555" s="9">
        <v>69636747.967480004</v>
      </c>
      <c r="K2555" s="7">
        <v>6.1500000000000004E-5</v>
      </c>
      <c r="L2555" s="9">
        <v>4282.66</v>
      </c>
      <c r="M2555" s="9">
        <v>4282.66</v>
      </c>
      <c r="N2555" s="9">
        <v>2.36</v>
      </c>
      <c r="O2555" s="10">
        <f>IF(AND(OR(H2555="APPROVED",H2555="SCHEDULED"),COUNTIFS(tblSource[EventID],F2555,tblSource[ReleaseStatus],"APPROVED")=1,COUNTIFS(Period_Status!$A$2:$A$8,G2555,Period_Status!$B$2:$B$8,"ActualClosed")=1,C2555&gt;EOMONTH(Settlement_Bridge!$C$2,0)),1,0)</f>
        <v>0</v>
      </c>
      <c r="P2555" s="2" t="s">
        <v>7209</v>
      </c>
    </row>
    <row r="2556" spans="1:16" x14ac:dyDescent="0.25">
      <c r="A2556" s="2" t="s">
        <v>7210</v>
      </c>
      <c r="B2556" s="2" t="s">
        <v>199</v>
      </c>
      <c r="C2556" s="8">
        <v>46281</v>
      </c>
      <c r="D2556" s="6">
        <v>46266</v>
      </c>
      <c r="E2556" s="2" t="s">
        <v>260</v>
      </c>
      <c r="F2556" s="2" t="s">
        <v>7208</v>
      </c>
      <c r="G2556" s="6">
        <v>46235</v>
      </c>
      <c r="H2556" s="2" t="s">
        <v>176</v>
      </c>
      <c r="I2556" s="2" t="s">
        <v>76</v>
      </c>
      <c r="J2556" s="9">
        <v>104455121.95121901</v>
      </c>
      <c r="K2556" s="7">
        <v>6.1299999999999999E-5</v>
      </c>
      <c r="L2556" s="9">
        <v>6403.1</v>
      </c>
      <c r="M2556" s="9">
        <v>6423.99</v>
      </c>
      <c r="N2556" s="9">
        <v>3.52</v>
      </c>
      <c r="O2556" s="10">
        <f>IF(AND(OR(H2556="APPROVED",H2556="SCHEDULED"),COUNTIFS(tblSource[EventID],F2556,tblSource[ReleaseStatus],"APPROVED")=1,COUNTIFS(Period_Status!$A$2:$A$8,G2556,Period_Status!$B$2:$B$8,"ActualClosed")=1,C2556&gt;EOMONTH(Settlement_Bridge!$C$2,0)),1,0)</f>
        <v>0</v>
      </c>
      <c r="P2556" s="2" t="s">
        <v>7211</v>
      </c>
    </row>
    <row r="2557" spans="1:16" x14ac:dyDescent="0.25">
      <c r="A2557" s="2" t="s">
        <v>7212</v>
      </c>
      <c r="B2557" s="2" t="s">
        <v>199</v>
      </c>
      <c r="C2557" s="8">
        <v>46267</v>
      </c>
      <c r="D2557" s="6">
        <v>46266</v>
      </c>
      <c r="E2557" s="2" t="s">
        <v>260</v>
      </c>
      <c r="F2557" s="2" t="s">
        <v>7213</v>
      </c>
      <c r="G2557" s="6">
        <v>46235</v>
      </c>
      <c r="H2557" s="2" t="s">
        <v>176</v>
      </c>
      <c r="I2557" s="2" t="s">
        <v>70</v>
      </c>
      <c r="J2557" s="9">
        <v>16737.938461999998</v>
      </c>
      <c r="K2557" s="7">
        <v>0.65100000000000002</v>
      </c>
      <c r="L2557" s="9">
        <v>10896.4</v>
      </c>
      <c r="M2557" s="9">
        <v>10879.66</v>
      </c>
      <c r="N2557" s="9">
        <v>5.99</v>
      </c>
      <c r="O2557" s="10">
        <f>IF(AND(OR(H2557="APPROVED",H2557="SCHEDULED"),COUNTIFS(tblSource[EventID],F2557,tblSource[ReleaseStatus],"APPROVED")=1,COUNTIFS(Period_Status!$A$2:$A$8,G2557,Period_Status!$B$2:$B$8,"ActualClosed")=1,C2557&gt;EOMONTH(Settlement_Bridge!$C$2,0)),1,0)</f>
        <v>0</v>
      </c>
      <c r="P2557" s="2" t="s">
        <v>7214</v>
      </c>
    </row>
    <row r="2558" spans="1:16" x14ac:dyDescent="0.25">
      <c r="A2558" s="2" t="s">
        <v>7215</v>
      </c>
      <c r="B2558" s="2" t="s">
        <v>199</v>
      </c>
      <c r="C2558" s="8">
        <v>46268</v>
      </c>
      <c r="D2558" s="6">
        <v>46266</v>
      </c>
      <c r="E2558" s="2" t="s">
        <v>260</v>
      </c>
      <c r="F2558" s="2" t="s">
        <v>7216</v>
      </c>
      <c r="G2558" s="6">
        <v>46235</v>
      </c>
      <c r="H2558" s="2" t="s">
        <v>176</v>
      </c>
      <c r="I2558" s="2" t="s">
        <v>39</v>
      </c>
      <c r="J2558" s="9">
        <v>11052.67</v>
      </c>
      <c r="K2558" s="7">
        <v>1</v>
      </c>
      <c r="L2558" s="9">
        <v>11052.67</v>
      </c>
      <c r="M2558" s="9">
        <v>11052.67</v>
      </c>
      <c r="N2558" s="9">
        <v>6.08</v>
      </c>
      <c r="O2558" s="10">
        <f>IF(AND(OR(H2558="APPROVED",H2558="SCHEDULED"),COUNTIFS(tblSource[EventID],F2558,tblSource[ReleaseStatus],"APPROVED")=1,COUNTIFS(Period_Status!$A$2:$A$8,G2558,Period_Status!$B$2:$B$8,"ActualClosed")=1,C2558&gt;EOMONTH(Settlement_Bridge!$C$2,0)),1,0)</f>
        <v>0</v>
      </c>
      <c r="P2558" s="2" t="s">
        <v>7217</v>
      </c>
    </row>
    <row r="2559" spans="1:16" x14ac:dyDescent="0.25">
      <c r="A2559" s="2" t="s">
        <v>7218</v>
      </c>
      <c r="B2559" s="2" t="s">
        <v>199</v>
      </c>
      <c r="C2559" s="8">
        <v>46269</v>
      </c>
      <c r="D2559" s="6">
        <v>46266</v>
      </c>
      <c r="E2559" s="2" t="s">
        <v>260</v>
      </c>
      <c r="F2559" s="2" t="s">
        <v>7219</v>
      </c>
      <c r="G2559" s="6">
        <v>46235</v>
      </c>
      <c r="H2559" s="2" t="s">
        <v>176</v>
      </c>
      <c r="I2559" s="2" t="s">
        <v>76</v>
      </c>
      <c r="J2559" s="9">
        <v>182531382.113821</v>
      </c>
      <c r="K2559" s="7">
        <v>6.1299999999999999E-5</v>
      </c>
      <c r="L2559" s="9">
        <v>11189.17</v>
      </c>
      <c r="M2559" s="9">
        <v>11225.68</v>
      </c>
      <c r="N2559" s="9">
        <v>6.15</v>
      </c>
      <c r="O2559" s="10">
        <f>IF(AND(OR(H2559="APPROVED",H2559="SCHEDULED"),COUNTIFS(tblSource[EventID],F2559,tblSource[ReleaseStatus],"APPROVED")=1,COUNTIFS(Period_Status!$A$2:$A$8,G2559,Period_Status!$B$2:$B$8,"ActualClosed")=1,C2559&gt;EOMONTH(Settlement_Bridge!$C$2,0)),1,0)</f>
        <v>0</v>
      </c>
      <c r="P2559" s="2" t="s">
        <v>7220</v>
      </c>
    </row>
    <row r="2560" spans="1:16" x14ac:dyDescent="0.25">
      <c r="A2560" s="2" t="s">
        <v>7221</v>
      </c>
      <c r="B2560" s="2" t="s">
        <v>199</v>
      </c>
      <c r="C2560" s="8">
        <v>46270</v>
      </c>
      <c r="D2560" s="6">
        <v>46266</v>
      </c>
      <c r="E2560" s="2" t="s">
        <v>260</v>
      </c>
      <c r="F2560" s="2" t="s">
        <v>7222</v>
      </c>
      <c r="G2560" s="6">
        <v>46235</v>
      </c>
      <c r="H2560" s="2" t="s">
        <v>176</v>
      </c>
      <c r="I2560" s="2" t="s">
        <v>70</v>
      </c>
      <c r="J2560" s="9">
        <v>17536.446154000001</v>
      </c>
      <c r="K2560" s="7">
        <v>0.65100000000000002</v>
      </c>
      <c r="L2560" s="9">
        <v>11416.23</v>
      </c>
      <c r="M2560" s="9">
        <v>11398.69</v>
      </c>
      <c r="N2560" s="9">
        <v>6.28</v>
      </c>
      <c r="O2560" s="10">
        <f>IF(AND(OR(H2560="APPROVED",H2560="SCHEDULED"),COUNTIFS(tblSource[EventID],F2560,tblSource[ReleaseStatus],"APPROVED")=1,COUNTIFS(Period_Status!$A$2:$A$8,G2560,Period_Status!$B$2:$B$8,"ActualClosed")=1,C2560&gt;EOMONTH(Settlement_Bridge!$C$2,0)),1,0)</f>
        <v>0</v>
      </c>
      <c r="P2560" s="2" t="s">
        <v>7223</v>
      </c>
    </row>
    <row r="2561" spans="1:16" x14ac:dyDescent="0.25">
      <c r="A2561" s="2" t="s">
        <v>7224</v>
      </c>
      <c r="B2561" s="2" t="s">
        <v>199</v>
      </c>
      <c r="C2561" s="8">
        <v>46271</v>
      </c>
      <c r="D2561" s="6">
        <v>46266</v>
      </c>
      <c r="E2561" s="2" t="s">
        <v>260</v>
      </c>
      <c r="F2561" s="2" t="s">
        <v>7225</v>
      </c>
      <c r="G2561" s="6">
        <v>46235</v>
      </c>
      <c r="H2561" s="2" t="s">
        <v>176</v>
      </c>
      <c r="I2561" s="2" t="s">
        <v>39</v>
      </c>
      <c r="J2561" s="9">
        <v>-11571.7</v>
      </c>
      <c r="K2561" s="7">
        <v>1</v>
      </c>
      <c r="L2561" s="9">
        <v>-11571.7</v>
      </c>
      <c r="M2561" s="9">
        <v>-11571.7</v>
      </c>
      <c r="N2561" s="9">
        <v>0</v>
      </c>
      <c r="O2561" s="10">
        <f>IF(AND(OR(H2561="APPROVED",H2561="SCHEDULED"),COUNTIFS(tblSource[EventID],F2561,tblSource[ReleaseStatus],"APPROVED")=1,COUNTIFS(Period_Status!$A$2:$A$8,G2561,Period_Status!$B$2:$B$8,"ActualClosed")=1,C2561&gt;EOMONTH(Settlement_Bridge!$C$2,0)),1,0)</f>
        <v>0</v>
      </c>
      <c r="P2561" s="2" t="s">
        <v>7226</v>
      </c>
    </row>
    <row r="2562" spans="1:16" x14ac:dyDescent="0.25">
      <c r="A2562" s="2" t="s">
        <v>7227</v>
      </c>
      <c r="B2562" s="2" t="s">
        <v>199</v>
      </c>
      <c r="C2562" s="8">
        <v>46262</v>
      </c>
      <c r="D2562" s="6">
        <v>46235</v>
      </c>
      <c r="E2562" s="2" t="s">
        <v>260</v>
      </c>
      <c r="F2562" s="2" t="s">
        <v>7228</v>
      </c>
      <c r="G2562" s="6">
        <v>46235</v>
      </c>
      <c r="H2562" s="2" t="s">
        <v>71</v>
      </c>
      <c r="I2562" s="2" t="s">
        <v>76</v>
      </c>
      <c r="J2562" s="9">
        <v>76388357.723576993</v>
      </c>
      <c r="K2562" s="7">
        <v>6.1500000000000004E-5</v>
      </c>
      <c r="L2562" s="9">
        <v>4697.88</v>
      </c>
      <c r="M2562" s="9">
        <v>4697.88</v>
      </c>
      <c r="N2562" s="9">
        <v>2.58</v>
      </c>
      <c r="O2562" s="10">
        <f>IF(AND(OR(H2562="APPROVED",H2562="SCHEDULED"),COUNTIFS(tblSource[EventID],F2562,tblSource[ReleaseStatus],"APPROVED")=1,COUNTIFS(Period_Status!$A$2:$A$8,G2562,Period_Status!$B$2:$B$8,"ActualClosed")=1,C2562&gt;EOMONTH(Settlement_Bridge!$C$2,0)),1,0)</f>
        <v>0</v>
      </c>
      <c r="P2562" s="2" t="s">
        <v>7229</v>
      </c>
    </row>
    <row r="2563" spans="1:16" x14ac:dyDescent="0.25">
      <c r="A2563" s="2" t="s">
        <v>7230</v>
      </c>
      <c r="B2563" s="2" t="s">
        <v>199</v>
      </c>
      <c r="C2563" s="8">
        <v>46287</v>
      </c>
      <c r="D2563" s="6">
        <v>46266</v>
      </c>
      <c r="E2563" s="2" t="s">
        <v>260</v>
      </c>
      <c r="F2563" s="2" t="s">
        <v>7228</v>
      </c>
      <c r="G2563" s="6">
        <v>46235</v>
      </c>
      <c r="H2563" s="2" t="s">
        <v>176</v>
      </c>
      <c r="I2563" s="2" t="s">
        <v>76</v>
      </c>
      <c r="J2563" s="9">
        <v>114582536.585366</v>
      </c>
      <c r="K2563" s="7">
        <v>6.1299999999999999E-5</v>
      </c>
      <c r="L2563" s="9">
        <v>7023.91</v>
      </c>
      <c r="M2563" s="9">
        <v>7046.83</v>
      </c>
      <c r="N2563" s="9">
        <v>3.86</v>
      </c>
      <c r="O2563" s="10">
        <f>IF(AND(OR(H2563="APPROVED",H2563="SCHEDULED"),COUNTIFS(tblSource[EventID],F2563,tblSource[ReleaseStatus],"APPROVED")=1,COUNTIFS(Period_Status!$A$2:$A$8,G2563,Period_Status!$B$2:$B$8,"ActualClosed")=1,C2563&gt;EOMONTH(Settlement_Bridge!$C$2,0)),1,0)</f>
        <v>0</v>
      </c>
      <c r="P2563" s="2" t="s">
        <v>7231</v>
      </c>
    </row>
    <row r="2564" spans="1:16" x14ac:dyDescent="0.25">
      <c r="A2564" s="2" t="s">
        <v>7232</v>
      </c>
      <c r="B2564" s="2" t="s">
        <v>199</v>
      </c>
      <c r="C2564" s="8">
        <v>46263</v>
      </c>
      <c r="D2564" s="6">
        <v>46235</v>
      </c>
      <c r="E2564" s="2" t="s">
        <v>260</v>
      </c>
      <c r="F2564" s="2" t="s">
        <v>7233</v>
      </c>
      <c r="G2564" s="6">
        <v>46235</v>
      </c>
      <c r="H2564" s="2" t="s">
        <v>71</v>
      </c>
      <c r="I2564" s="2" t="s">
        <v>70</v>
      </c>
      <c r="J2564" s="9">
        <v>7333.981538</v>
      </c>
      <c r="K2564" s="7">
        <v>0.65</v>
      </c>
      <c r="L2564" s="9">
        <v>4767.09</v>
      </c>
      <c r="M2564" s="9">
        <v>4767.09</v>
      </c>
      <c r="N2564" s="9">
        <v>2.62</v>
      </c>
      <c r="O2564" s="10">
        <f>IF(AND(OR(H2564="APPROVED",H2564="SCHEDULED"),COUNTIFS(tblSource[EventID],F2564,tblSource[ReleaseStatus],"APPROVED")=1,COUNTIFS(Period_Status!$A$2:$A$8,G2564,Period_Status!$B$2:$B$8,"ActualClosed")=1,C2564&gt;EOMONTH(Settlement_Bridge!$C$2,0)),1,0)</f>
        <v>0</v>
      </c>
      <c r="P2564" s="2" t="s">
        <v>7234</v>
      </c>
    </row>
    <row r="2565" spans="1:16" x14ac:dyDescent="0.25">
      <c r="A2565" s="2" t="s">
        <v>7235</v>
      </c>
      <c r="B2565" s="2" t="s">
        <v>199</v>
      </c>
      <c r="C2565" s="8">
        <v>46288</v>
      </c>
      <c r="D2565" s="6">
        <v>46266</v>
      </c>
      <c r="E2565" s="2" t="s">
        <v>260</v>
      </c>
      <c r="F2565" s="2" t="s">
        <v>7233</v>
      </c>
      <c r="G2565" s="6">
        <v>46235</v>
      </c>
      <c r="H2565" s="2" t="s">
        <v>176</v>
      </c>
      <c r="I2565" s="2" t="s">
        <v>70</v>
      </c>
      <c r="J2565" s="9">
        <v>11000.972308</v>
      </c>
      <c r="K2565" s="7">
        <v>0.65100000000000002</v>
      </c>
      <c r="L2565" s="9">
        <v>7161.63</v>
      </c>
      <c r="M2565" s="9">
        <v>7150.63</v>
      </c>
      <c r="N2565" s="9">
        <v>3.94</v>
      </c>
      <c r="O2565" s="10">
        <f>IF(AND(OR(H2565="APPROVED",H2565="SCHEDULED"),COUNTIFS(tblSource[EventID],F2565,tblSource[ReleaseStatus],"APPROVED")=1,COUNTIFS(Period_Status!$A$2:$A$8,G2565,Period_Status!$B$2:$B$8,"ActualClosed")=1,C2565&gt;EOMONTH(Settlement_Bridge!$C$2,0)),1,0)</f>
        <v>0</v>
      </c>
      <c r="P2565" s="2" t="s">
        <v>7236</v>
      </c>
    </row>
    <row r="2566" spans="1:16" x14ac:dyDescent="0.25">
      <c r="A2566" s="2" t="s">
        <v>7237</v>
      </c>
      <c r="B2566" s="2" t="s">
        <v>199</v>
      </c>
      <c r="C2566" s="8">
        <v>46274</v>
      </c>
      <c r="D2566" s="6">
        <v>46266</v>
      </c>
      <c r="E2566" s="2" t="s">
        <v>260</v>
      </c>
      <c r="F2566" s="2" t="s">
        <v>7238</v>
      </c>
      <c r="G2566" s="6">
        <v>46235</v>
      </c>
      <c r="H2566" s="2" t="s">
        <v>176</v>
      </c>
      <c r="I2566" s="2" t="s">
        <v>39</v>
      </c>
      <c r="J2566" s="9">
        <v>12090.73</v>
      </c>
      <c r="K2566" s="7">
        <v>1</v>
      </c>
      <c r="L2566" s="9">
        <v>12090.73</v>
      </c>
      <c r="M2566" s="9">
        <v>12090.73</v>
      </c>
      <c r="N2566" s="9">
        <v>6.65</v>
      </c>
      <c r="O2566" s="10">
        <f>IF(AND(OR(H2566="APPROVED",H2566="SCHEDULED"),COUNTIFS(tblSource[EventID],F2566,tblSource[ReleaseStatus],"APPROVED")=1,COUNTIFS(Period_Status!$A$2:$A$8,G2566,Period_Status!$B$2:$B$8,"ActualClosed")=1,C2566&gt;EOMONTH(Settlement_Bridge!$C$2,0)),1,0)</f>
        <v>0</v>
      </c>
      <c r="P2566" s="2" t="s">
        <v>7239</v>
      </c>
    </row>
    <row r="2567" spans="1:16" x14ac:dyDescent="0.25">
      <c r="A2567" s="2" t="s">
        <v>7240</v>
      </c>
      <c r="B2567" s="2" t="s">
        <v>199</v>
      </c>
      <c r="C2567" s="8">
        <v>46275</v>
      </c>
      <c r="D2567" s="6">
        <v>46266</v>
      </c>
      <c r="E2567" s="2" t="s">
        <v>260</v>
      </c>
      <c r="F2567" s="2" t="s">
        <v>7241</v>
      </c>
      <c r="G2567" s="6">
        <v>46235</v>
      </c>
      <c r="H2567" s="2" t="s">
        <v>176</v>
      </c>
      <c r="I2567" s="2" t="s">
        <v>76</v>
      </c>
      <c r="J2567" s="9">
        <v>199410406.50406501</v>
      </c>
      <c r="K2567" s="7">
        <v>6.1299999999999999E-5</v>
      </c>
      <c r="L2567" s="9">
        <v>12223.86</v>
      </c>
      <c r="M2567" s="9">
        <v>12263.74</v>
      </c>
      <c r="N2567" s="9">
        <v>6.72</v>
      </c>
      <c r="O2567" s="10">
        <f>IF(AND(OR(H2567="APPROVED",H2567="SCHEDULED"),COUNTIFS(tblSource[EventID],F2567,tblSource[ReleaseStatus],"APPROVED")=1,COUNTIFS(Period_Status!$A$2:$A$8,G2567,Period_Status!$B$2:$B$8,"ActualClosed")=1,C2567&gt;EOMONTH(Settlement_Bridge!$C$2,0)),1,0)</f>
        <v>0</v>
      </c>
      <c r="P2567" s="2" t="s">
        <v>7242</v>
      </c>
    </row>
    <row r="2568" spans="1:16" x14ac:dyDescent="0.25">
      <c r="A2568" s="2" t="s">
        <v>7243</v>
      </c>
      <c r="B2568" s="2" t="s">
        <v>199</v>
      </c>
      <c r="C2568" s="8">
        <v>46266</v>
      </c>
      <c r="D2568" s="6">
        <v>46266</v>
      </c>
      <c r="E2568" s="2" t="s">
        <v>260</v>
      </c>
      <c r="F2568" s="2" t="s">
        <v>7244</v>
      </c>
      <c r="G2568" s="6">
        <v>46235</v>
      </c>
      <c r="H2568" s="2" t="s">
        <v>176</v>
      </c>
      <c r="I2568" s="2" t="s">
        <v>70</v>
      </c>
      <c r="J2568" s="9">
        <v>7653.3846149999999</v>
      </c>
      <c r="K2568" s="7">
        <v>0.65100000000000002</v>
      </c>
      <c r="L2568" s="9">
        <v>4982.3500000000004</v>
      </c>
      <c r="M2568" s="9">
        <v>4974.7</v>
      </c>
      <c r="N2568" s="9">
        <v>2.74</v>
      </c>
      <c r="O2568" s="10">
        <f>IF(AND(OR(H2568="APPROVED",H2568="SCHEDULED"),COUNTIFS(tblSource[EventID],F2568,tblSource[ReleaseStatus],"APPROVED")=1,COUNTIFS(Period_Status!$A$2:$A$8,G2568,Period_Status!$B$2:$B$8,"ActualClosed")=1,C2568&gt;EOMONTH(Settlement_Bridge!$C$2,0)),1,0)</f>
        <v>0</v>
      </c>
      <c r="P2568" s="2" t="s">
        <v>7245</v>
      </c>
    </row>
    <row r="2569" spans="1:16" x14ac:dyDescent="0.25">
      <c r="A2569" s="2" t="s">
        <v>7246</v>
      </c>
      <c r="B2569" s="2" t="s">
        <v>199</v>
      </c>
      <c r="C2569" s="8">
        <v>46291</v>
      </c>
      <c r="D2569" s="6">
        <v>46266</v>
      </c>
      <c r="E2569" s="2" t="s">
        <v>260</v>
      </c>
      <c r="F2569" s="2" t="s">
        <v>7244</v>
      </c>
      <c r="G2569" s="6">
        <v>46235</v>
      </c>
      <c r="H2569" s="2" t="s">
        <v>176</v>
      </c>
      <c r="I2569" s="2" t="s">
        <v>70</v>
      </c>
      <c r="J2569" s="9">
        <v>11480.076923000001</v>
      </c>
      <c r="K2569" s="7">
        <v>0.65100000000000002</v>
      </c>
      <c r="L2569" s="9">
        <v>7473.53</v>
      </c>
      <c r="M2569" s="9">
        <v>7462.05</v>
      </c>
      <c r="N2569" s="9">
        <v>4.1100000000000003</v>
      </c>
      <c r="O2569" s="10">
        <f>IF(AND(OR(H2569="APPROVED",H2569="SCHEDULED"),COUNTIFS(tblSource[EventID],F2569,tblSource[ReleaseStatus],"APPROVED")=1,COUNTIFS(Period_Status!$A$2:$A$8,G2569,Period_Status!$B$2:$B$8,"ActualClosed")=1,C2569&gt;EOMONTH(Settlement_Bridge!$C$2,0)),1,0)</f>
        <v>0</v>
      </c>
      <c r="P2569" s="2" t="s">
        <v>7247</v>
      </c>
    </row>
    <row r="2570" spans="1:16" x14ac:dyDescent="0.25">
      <c r="A2570" s="2" t="s">
        <v>7248</v>
      </c>
      <c r="B2570" s="2" t="s">
        <v>199</v>
      </c>
      <c r="C2570" s="8">
        <v>46277</v>
      </c>
      <c r="D2570" s="6">
        <v>46266</v>
      </c>
      <c r="E2570" s="2" t="s">
        <v>260</v>
      </c>
      <c r="F2570" s="2" t="s">
        <v>7249</v>
      </c>
      <c r="G2570" s="6">
        <v>46235</v>
      </c>
      <c r="H2570" s="2" t="s">
        <v>176</v>
      </c>
      <c r="I2570" s="2" t="s">
        <v>39</v>
      </c>
      <c r="J2570" s="9">
        <v>12609.76</v>
      </c>
      <c r="K2570" s="7">
        <v>1</v>
      </c>
      <c r="L2570" s="9">
        <v>12609.76</v>
      </c>
      <c r="M2570" s="9">
        <v>12609.76</v>
      </c>
      <c r="N2570" s="9">
        <v>6.94</v>
      </c>
      <c r="O2570" s="10">
        <f>IF(AND(OR(H2570="APPROVED",H2570="SCHEDULED"),COUNTIFS(tblSource[EventID],F2570,tblSource[ReleaseStatus],"APPROVED")=1,COUNTIFS(Period_Status!$A$2:$A$8,G2570,Period_Status!$B$2:$B$8,"ActualClosed")=1,C2570&gt;EOMONTH(Settlement_Bridge!$C$2,0)),1,0)</f>
        <v>0</v>
      </c>
      <c r="P2570" s="2" t="s">
        <v>7250</v>
      </c>
    </row>
    <row r="2571" spans="1:16" x14ac:dyDescent="0.25">
      <c r="A2571" s="2" t="s">
        <v>7251</v>
      </c>
      <c r="B2571" s="2" t="s">
        <v>199</v>
      </c>
      <c r="C2571" s="8">
        <v>46278</v>
      </c>
      <c r="D2571" s="6">
        <v>46266</v>
      </c>
      <c r="E2571" s="2" t="s">
        <v>260</v>
      </c>
      <c r="F2571" s="2" t="s">
        <v>7252</v>
      </c>
      <c r="G2571" s="6">
        <v>46235</v>
      </c>
      <c r="H2571" s="2" t="s">
        <v>176</v>
      </c>
      <c r="I2571" s="2" t="s">
        <v>76</v>
      </c>
      <c r="J2571" s="9">
        <v>207849918.69918701</v>
      </c>
      <c r="K2571" s="7">
        <v>6.1299999999999999E-5</v>
      </c>
      <c r="L2571" s="9">
        <v>12741.2</v>
      </c>
      <c r="M2571" s="9">
        <v>12782.77</v>
      </c>
      <c r="N2571" s="9">
        <v>7.01</v>
      </c>
      <c r="O2571" s="10">
        <f>IF(AND(OR(H2571="APPROVED",H2571="SCHEDULED"),COUNTIFS(tblSource[EventID],F2571,tblSource[ReleaseStatus],"APPROVED")=1,COUNTIFS(Period_Status!$A$2:$A$8,G2571,Period_Status!$B$2:$B$8,"ActualClosed")=1,C2571&gt;EOMONTH(Settlement_Bridge!$C$2,0)),1,0)</f>
        <v>0</v>
      </c>
      <c r="P2571" s="2" t="s">
        <v>7253</v>
      </c>
    </row>
    <row r="2572" spans="1:16" x14ac:dyDescent="0.25">
      <c r="A2572" s="2" t="s">
        <v>7254</v>
      </c>
      <c r="B2572" s="2" t="s">
        <v>199</v>
      </c>
      <c r="C2572" s="8">
        <v>46279</v>
      </c>
      <c r="D2572" s="6">
        <v>46266</v>
      </c>
      <c r="E2572" s="2" t="s">
        <v>260</v>
      </c>
      <c r="F2572" s="2" t="s">
        <v>7255</v>
      </c>
      <c r="G2572" s="6">
        <v>46235</v>
      </c>
      <c r="H2572" s="2" t="s">
        <v>176</v>
      </c>
      <c r="I2572" s="2" t="s">
        <v>70</v>
      </c>
      <c r="J2572" s="9">
        <v>19931.969230999999</v>
      </c>
      <c r="K2572" s="7">
        <v>0.65100000000000002</v>
      </c>
      <c r="L2572" s="9">
        <v>12975.71</v>
      </c>
      <c r="M2572" s="9">
        <v>12955.78</v>
      </c>
      <c r="N2572" s="9">
        <v>7.14</v>
      </c>
      <c r="O2572" s="10">
        <f>IF(AND(OR(H2572="APPROVED",H2572="SCHEDULED"),COUNTIFS(tblSource[EventID],F2572,tblSource[ReleaseStatus],"APPROVED")=1,COUNTIFS(Period_Status!$A$2:$A$8,G2572,Period_Status!$B$2:$B$8,"ActualClosed")=1,C2572&gt;EOMONTH(Settlement_Bridge!$C$2,0)),1,0)</f>
        <v>0</v>
      </c>
      <c r="P2572" s="2" t="s">
        <v>7256</v>
      </c>
    </row>
    <row r="2573" spans="1:16" x14ac:dyDescent="0.25">
      <c r="A2573" s="2" t="s">
        <v>7257</v>
      </c>
      <c r="B2573" s="2" t="s">
        <v>199</v>
      </c>
      <c r="C2573" s="8">
        <v>46280</v>
      </c>
      <c r="D2573" s="6">
        <v>46266</v>
      </c>
      <c r="E2573" s="2" t="s">
        <v>260</v>
      </c>
      <c r="F2573" s="2" t="s">
        <v>7258</v>
      </c>
      <c r="G2573" s="6">
        <v>46235</v>
      </c>
      <c r="H2573" s="2" t="s">
        <v>176</v>
      </c>
      <c r="I2573" s="2" t="s">
        <v>39</v>
      </c>
      <c r="J2573" s="9">
        <v>13128.79</v>
      </c>
      <c r="K2573" s="7">
        <v>1</v>
      </c>
      <c r="L2573" s="9">
        <v>13128.79</v>
      </c>
      <c r="M2573" s="9">
        <v>13128.79</v>
      </c>
      <c r="N2573" s="9">
        <v>7.22</v>
      </c>
      <c r="O2573" s="10">
        <f>IF(AND(OR(H2573="APPROVED",H2573="SCHEDULED"),COUNTIFS(tblSource[EventID],F2573,tblSource[ReleaseStatus],"APPROVED")=1,COUNTIFS(Period_Status!$A$2:$A$8,G2573,Period_Status!$B$2:$B$8,"ActualClosed")=1,C2573&gt;EOMONTH(Settlement_Bridge!$C$2,0)),1,0)</f>
        <v>0</v>
      </c>
      <c r="P2573" s="2" t="s">
        <v>7259</v>
      </c>
    </row>
    <row r="2574" spans="1:16" x14ac:dyDescent="0.25">
      <c r="A2574" s="2" t="s">
        <v>7260</v>
      </c>
      <c r="B2574" s="2" t="s">
        <v>199</v>
      </c>
      <c r="C2574" s="8">
        <v>46281</v>
      </c>
      <c r="D2574" s="6">
        <v>46266</v>
      </c>
      <c r="E2574" s="2" t="s">
        <v>260</v>
      </c>
      <c r="F2574" s="2" t="s">
        <v>7261</v>
      </c>
      <c r="G2574" s="6">
        <v>46235</v>
      </c>
      <c r="H2574" s="2" t="s">
        <v>176</v>
      </c>
      <c r="I2574" s="2" t="s">
        <v>76</v>
      </c>
      <c r="J2574" s="9">
        <v>216289430.89430901</v>
      </c>
      <c r="K2574" s="7">
        <v>6.1299999999999999E-5</v>
      </c>
      <c r="L2574" s="9">
        <v>13258.54</v>
      </c>
      <c r="M2574" s="9">
        <v>13301.8</v>
      </c>
      <c r="N2574" s="9">
        <v>7.29</v>
      </c>
      <c r="O2574" s="10">
        <f>IF(AND(OR(H2574="APPROVED",H2574="SCHEDULED"),COUNTIFS(tblSource[EventID],F2574,tblSource[ReleaseStatus],"APPROVED")=1,COUNTIFS(Period_Status!$A$2:$A$8,G2574,Period_Status!$B$2:$B$8,"ActualClosed")=1,C2574&gt;EOMONTH(Settlement_Bridge!$C$2,0)),1,0)</f>
        <v>0</v>
      </c>
      <c r="P2574" s="2" t="s">
        <v>7262</v>
      </c>
    </row>
    <row r="2575" spans="1:16" x14ac:dyDescent="0.25">
      <c r="A2575" s="2" t="s">
        <v>7263</v>
      </c>
      <c r="B2575" s="2" t="s">
        <v>199</v>
      </c>
      <c r="C2575" s="8">
        <v>46272</v>
      </c>
      <c r="D2575" s="6">
        <v>46266</v>
      </c>
      <c r="E2575" s="2" t="s">
        <v>260</v>
      </c>
      <c r="F2575" s="2" t="s">
        <v>7264</v>
      </c>
      <c r="G2575" s="6">
        <v>46235</v>
      </c>
      <c r="H2575" s="2" t="s">
        <v>176</v>
      </c>
      <c r="I2575" s="2" t="s">
        <v>70</v>
      </c>
      <c r="J2575" s="9">
        <v>8292.1907690000007</v>
      </c>
      <c r="K2575" s="7">
        <v>0.65100000000000002</v>
      </c>
      <c r="L2575" s="9">
        <v>5398.22</v>
      </c>
      <c r="M2575" s="9">
        <v>5389.92</v>
      </c>
      <c r="N2575" s="9">
        <v>2.97</v>
      </c>
      <c r="O2575" s="10">
        <f>IF(AND(OR(H2575="APPROVED",H2575="SCHEDULED"),COUNTIFS(tblSource[EventID],F2575,tblSource[ReleaseStatus],"APPROVED")=1,COUNTIFS(Period_Status!$A$2:$A$8,G2575,Period_Status!$B$2:$B$8,"ActualClosed")=1,C2575&gt;EOMONTH(Settlement_Bridge!$C$2,0)),1,0)</f>
        <v>0</v>
      </c>
      <c r="P2575" s="2" t="s">
        <v>7265</v>
      </c>
    </row>
    <row r="2576" spans="1:16" x14ac:dyDescent="0.25">
      <c r="A2576" s="2" t="s">
        <v>7266</v>
      </c>
      <c r="B2576" s="2" t="s">
        <v>199</v>
      </c>
      <c r="C2576" s="8">
        <v>46297</v>
      </c>
      <c r="D2576" s="6">
        <v>46296</v>
      </c>
      <c r="E2576" s="2" t="s">
        <v>260</v>
      </c>
      <c r="F2576" s="2" t="s">
        <v>7264</v>
      </c>
      <c r="G2576" s="6">
        <v>46235</v>
      </c>
      <c r="H2576" s="2" t="s">
        <v>176</v>
      </c>
      <c r="I2576" s="2" t="s">
        <v>70</v>
      </c>
      <c r="J2576" s="9">
        <v>12438.286153999999</v>
      </c>
      <c r="K2576" s="7">
        <v>0.65500000000000003</v>
      </c>
      <c r="L2576" s="9">
        <v>8147.08</v>
      </c>
      <c r="M2576" s="9">
        <v>8084.89</v>
      </c>
      <c r="N2576" s="9">
        <v>4.4800000000000004</v>
      </c>
      <c r="O2576" s="10">
        <f>IF(AND(OR(H2576="APPROVED",H2576="SCHEDULED"),COUNTIFS(tblSource[EventID],F2576,tblSource[ReleaseStatus],"APPROVED")=1,COUNTIFS(Period_Status!$A$2:$A$8,G2576,Period_Status!$B$2:$B$8,"ActualClosed")=1,C2576&gt;EOMONTH(Settlement_Bridge!$C$2,0)),1,0)</f>
        <v>0</v>
      </c>
      <c r="P2576" s="2" t="s">
        <v>7267</v>
      </c>
    </row>
    <row r="2577" spans="1:16" x14ac:dyDescent="0.25">
      <c r="A2577" s="2" t="s">
        <v>7268</v>
      </c>
      <c r="B2577" s="2" t="s">
        <v>199</v>
      </c>
      <c r="C2577" s="8">
        <v>46273</v>
      </c>
      <c r="D2577" s="6">
        <v>46266</v>
      </c>
      <c r="E2577" s="2" t="s">
        <v>260</v>
      </c>
      <c r="F2577" s="2" t="s">
        <v>7269</v>
      </c>
      <c r="G2577" s="6">
        <v>46235</v>
      </c>
      <c r="H2577" s="2" t="s">
        <v>176</v>
      </c>
      <c r="I2577" s="2" t="s">
        <v>39</v>
      </c>
      <c r="J2577" s="9">
        <v>5459.1279999999997</v>
      </c>
      <c r="K2577" s="7">
        <v>1</v>
      </c>
      <c r="L2577" s="9">
        <v>5459.13</v>
      </c>
      <c r="M2577" s="9">
        <v>5459.13</v>
      </c>
      <c r="N2577" s="9">
        <v>3</v>
      </c>
      <c r="O2577" s="10">
        <f>IF(AND(OR(H2577="APPROVED",H2577="SCHEDULED"),COUNTIFS(tblSource[EventID],F2577,tblSource[ReleaseStatus],"APPROVED")=1,COUNTIFS(Period_Status!$A$2:$A$8,G2577,Period_Status!$B$2:$B$8,"ActualClosed")=1,C2577&gt;EOMONTH(Settlement_Bridge!$C$2,0)),1,0)</f>
        <v>0</v>
      </c>
      <c r="P2577" s="2" t="s">
        <v>7270</v>
      </c>
    </row>
    <row r="2578" spans="1:16" x14ac:dyDescent="0.25">
      <c r="A2578" s="2" t="s">
        <v>7271</v>
      </c>
      <c r="B2578" s="2" t="s">
        <v>199</v>
      </c>
      <c r="C2578" s="8">
        <v>46298</v>
      </c>
      <c r="D2578" s="6">
        <v>46296</v>
      </c>
      <c r="E2578" s="2" t="s">
        <v>260</v>
      </c>
      <c r="F2578" s="2" t="s">
        <v>7269</v>
      </c>
      <c r="G2578" s="6">
        <v>46235</v>
      </c>
      <c r="H2578" s="2" t="s">
        <v>176</v>
      </c>
      <c r="I2578" s="2" t="s">
        <v>39</v>
      </c>
      <c r="J2578" s="9">
        <v>8188.692</v>
      </c>
      <c r="K2578" s="7">
        <v>1</v>
      </c>
      <c r="L2578" s="9">
        <v>8188.69</v>
      </c>
      <c r="M2578" s="9">
        <v>8188.69</v>
      </c>
      <c r="N2578" s="9">
        <v>4.5</v>
      </c>
      <c r="O2578" s="10">
        <f>IF(AND(OR(H2578="APPROVED",H2578="SCHEDULED"),COUNTIFS(tblSource[EventID],F2578,tblSource[ReleaseStatus],"APPROVED")=1,COUNTIFS(Period_Status!$A$2:$A$8,G2578,Period_Status!$B$2:$B$8,"ActualClosed")=1,C2578&gt;EOMONTH(Settlement_Bridge!$C$2,0)),1,0)</f>
        <v>0</v>
      </c>
      <c r="P2578" s="2" t="s">
        <v>7272</v>
      </c>
    </row>
    <row r="2579" spans="1:16" x14ac:dyDescent="0.25">
      <c r="A2579" s="2" t="s">
        <v>7273</v>
      </c>
      <c r="B2579" s="2" t="s">
        <v>199</v>
      </c>
      <c r="C2579" s="8">
        <v>46284</v>
      </c>
      <c r="D2579" s="6">
        <v>46266</v>
      </c>
      <c r="E2579" s="2" t="s">
        <v>260</v>
      </c>
      <c r="F2579" s="2" t="s">
        <v>7274</v>
      </c>
      <c r="G2579" s="6">
        <v>46235</v>
      </c>
      <c r="H2579" s="2" t="s">
        <v>176</v>
      </c>
      <c r="I2579" s="2" t="s">
        <v>76</v>
      </c>
      <c r="J2579" s="9">
        <v>224728943.08943099</v>
      </c>
      <c r="K2579" s="7">
        <v>6.1299999999999999E-5</v>
      </c>
      <c r="L2579" s="9">
        <v>13775.88</v>
      </c>
      <c r="M2579" s="9">
        <v>13820.83</v>
      </c>
      <c r="N2579" s="9">
        <v>7.58</v>
      </c>
      <c r="O2579" s="10">
        <f>IF(AND(OR(H2579="APPROVED",H2579="SCHEDULED"),COUNTIFS(tblSource[EventID],F2579,tblSource[ReleaseStatus],"APPROVED")=1,COUNTIFS(Period_Status!$A$2:$A$8,G2579,Period_Status!$B$2:$B$8,"ActualClosed")=1,C2579&gt;EOMONTH(Settlement_Bridge!$C$2,0)),1,0)</f>
        <v>0</v>
      </c>
      <c r="P2579" s="2" t="s">
        <v>7275</v>
      </c>
    </row>
    <row r="2580" spans="1:16" x14ac:dyDescent="0.25">
      <c r="A2580" s="2" t="s">
        <v>7276</v>
      </c>
      <c r="B2580" s="2" t="s">
        <v>199</v>
      </c>
      <c r="C2580" s="8">
        <v>46285</v>
      </c>
      <c r="D2580" s="6">
        <v>46266</v>
      </c>
      <c r="E2580" s="2" t="s">
        <v>260</v>
      </c>
      <c r="F2580" s="2" t="s">
        <v>7277</v>
      </c>
      <c r="G2580" s="6">
        <v>46235</v>
      </c>
      <c r="H2580" s="2" t="s">
        <v>176</v>
      </c>
      <c r="I2580" s="2" t="s">
        <v>70</v>
      </c>
      <c r="J2580" s="9">
        <v>21528.984615000001</v>
      </c>
      <c r="K2580" s="7">
        <v>0.65100000000000002</v>
      </c>
      <c r="L2580" s="9">
        <v>14015.37</v>
      </c>
      <c r="M2580" s="9">
        <v>13993.84</v>
      </c>
      <c r="N2580" s="9">
        <v>7.71</v>
      </c>
      <c r="O2580" s="10">
        <f>IF(AND(OR(H2580="APPROVED",H2580="SCHEDULED"),COUNTIFS(tblSource[EventID],F2580,tblSource[ReleaseStatus],"APPROVED")=1,COUNTIFS(Period_Status!$A$2:$A$8,G2580,Period_Status!$B$2:$B$8,"ActualClosed")=1,C2580&gt;EOMONTH(Settlement_Bridge!$C$2,0)),1,0)</f>
        <v>0</v>
      </c>
      <c r="P2580" s="2" t="s">
        <v>7278</v>
      </c>
    </row>
    <row r="2581" spans="1:16" x14ac:dyDescent="0.25">
      <c r="A2581" s="2" t="s">
        <v>7279</v>
      </c>
      <c r="B2581" s="2" t="s">
        <v>199</v>
      </c>
      <c r="C2581" s="8">
        <v>46276</v>
      </c>
      <c r="D2581" s="6">
        <v>46266</v>
      </c>
      <c r="E2581" s="2" t="s">
        <v>260</v>
      </c>
      <c r="F2581" s="2" t="s">
        <v>7280</v>
      </c>
      <c r="G2581" s="6">
        <v>46235</v>
      </c>
      <c r="H2581" s="2" t="s">
        <v>176</v>
      </c>
      <c r="I2581" s="2" t="s">
        <v>39</v>
      </c>
      <c r="J2581" s="9">
        <v>5666.74</v>
      </c>
      <c r="K2581" s="7">
        <v>1</v>
      </c>
      <c r="L2581" s="9">
        <v>5666.74</v>
      </c>
      <c r="M2581" s="9">
        <v>5666.74</v>
      </c>
      <c r="N2581" s="9">
        <v>3.12</v>
      </c>
      <c r="O2581" s="10">
        <f>IF(AND(OR(H2581="APPROVED",H2581="SCHEDULED"),COUNTIFS(tblSource[EventID],F2581,tblSource[ReleaseStatus],"APPROVED")=1,COUNTIFS(Period_Status!$A$2:$A$8,G2581,Period_Status!$B$2:$B$8,"ActualClosed")=1,C2581&gt;EOMONTH(Settlement_Bridge!$C$2,0)),1,0)</f>
        <v>0</v>
      </c>
      <c r="P2581" s="2" t="s">
        <v>7281</v>
      </c>
    </row>
    <row r="2582" spans="1:16" x14ac:dyDescent="0.25">
      <c r="A2582" s="2" t="s">
        <v>7282</v>
      </c>
      <c r="B2582" s="2" t="s">
        <v>199</v>
      </c>
      <c r="C2582" s="8">
        <v>46301</v>
      </c>
      <c r="D2582" s="6">
        <v>46296</v>
      </c>
      <c r="E2582" s="2" t="s">
        <v>260</v>
      </c>
      <c r="F2582" s="2" t="s">
        <v>7280</v>
      </c>
      <c r="G2582" s="6">
        <v>46235</v>
      </c>
      <c r="H2582" s="2" t="s">
        <v>176</v>
      </c>
      <c r="I2582" s="2" t="s">
        <v>39</v>
      </c>
      <c r="J2582" s="9">
        <v>8500.11</v>
      </c>
      <c r="K2582" s="7">
        <v>1</v>
      </c>
      <c r="L2582" s="9">
        <v>8500.11</v>
      </c>
      <c r="M2582" s="9">
        <v>8500.11</v>
      </c>
      <c r="N2582" s="9">
        <v>4.68</v>
      </c>
      <c r="O2582" s="10">
        <f>IF(AND(OR(H2582="APPROVED",H2582="SCHEDULED"),COUNTIFS(tblSource[EventID],F2582,tblSource[ReleaseStatus],"APPROVED")=1,COUNTIFS(Period_Status!$A$2:$A$8,G2582,Period_Status!$B$2:$B$8,"ActualClosed")=1,C2582&gt;EOMONTH(Settlement_Bridge!$C$2,0)),1,0)</f>
        <v>0</v>
      </c>
      <c r="P2582" s="2" t="s">
        <v>7283</v>
      </c>
    </row>
    <row r="2583" spans="1:16" x14ac:dyDescent="0.25">
      <c r="A2583" s="2" t="s">
        <v>7284</v>
      </c>
      <c r="B2583" s="2" t="s">
        <v>199</v>
      </c>
      <c r="C2583" s="8">
        <v>46287</v>
      </c>
      <c r="D2583" s="6">
        <v>46266</v>
      </c>
      <c r="E2583" s="2" t="s">
        <v>260</v>
      </c>
      <c r="F2583" s="2" t="s">
        <v>7285</v>
      </c>
      <c r="G2583" s="6">
        <v>46235</v>
      </c>
      <c r="H2583" s="2" t="s">
        <v>176</v>
      </c>
      <c r="I2583" s="2" t="s">
        <v>76</v>
      </c>
      <c r="J2583" s="9">
        <v>233168455.28455299</v>
      </c>
      <c r="K2583" s="7">
        <v>6.1299999999999999E-5</v>
      </c>
      <c r="L2583" s="9">
        <v>14293.23</v>
      </c>
      <c r="M2583" s="9">
        <v>14339.86</v>
      </c>
      <c r="N2583" s="9">
        <v>7.86</v>
      </c>
      <c r="O2583" s="10">
        <f>IF(AND(OR(H2583="APPROVED",H2583="SCHEDULED"),COUNTIFS(tblSource[EventID],F2583,tblSource[ReleaseStatus],"APPROVED")=1,COUNTIFS(Period_Status!$A$2:$A$8,G2583,Period_Status!$B$2:$B$8,"ActualClosed")=1,C2583&gt;EOMONTH(Settlement_Bridge!$C$2,0)),1,0)</f>
        <v>0</v>
      </c>
      <c r="P2583" s="2" t="s">
        <v>7286</v>
      </c>
    </row>
    <row r="2584" spans="1:16" x14ac:dyDescent="0.25">
      <c r="A2584" s="2" t="s">
        <v>7287</v>
      </c>
      <c r="B2584" s="2" t="s">
        <v>199</v>
      </c>
      <c r="C2584" s="8">
        <v>46288</v>
      </c>
      <c r="D2584" s="6">
        <v>46266</v>
      </c>
      <c r="E2584" s="2" t="s">
        <v>260</v>
      </c>
      <c r="F2584" s="2" t="s">
        <v>7288</v>
      </c>
      <c r="G2584" s="6">
        <v>46235</v>
      </c>
      <c r="H2584" s="2" t="s">
        <v>176</v>
      </c>
      <c r="I2584" s="2" t="s">
        <v>70</v>
      </c>
      <c r="J2584" s="9">
        <v>22327.492308000001</v>
      </c>
      <c r="K2584" s="7">
        <v>0.65100000000000002</v>
      </c>
      <c r="L2584" s="9">
        <v>14535.2</v>
      </c>
      <c r="M2584" s="9">
        <v>14512.87</v>
      </c>
      <c r="N2584" s="9">
        <v>7.99</v>
      </c>
      <c r="O2584" s="10">
        <f>IF(AND(OR(H2584="APPROVED",H2584="SCHEDULED"),COUNTIFS(tblSource[EventID],F2584,tblSource[ReleaseStatus],"APPROVED")=1,COUNTIFS(Period_Status!$A$2:$A$8,G2584,Period_Status!$B$2:$B$8,"ActualClosed")=1,C2584&gt;EOMONTH(Settlement_Bridge!$C$2,0)),1,0)</f>
        <v>0</v>
      </c>
      <c r="P2584" s="2" t="s">
        <v>7289</v>
      </c>
    </row>
    <row r="2585" spans="1:16" x14ac:dyDescent="0.25">
      <c r="A2585" s="2" t="s">
        <v>7290</v>
      </c>
      <c r="B2585" s="2" t="s">
        <v>199</v>
      </c>
      <c r="C2585" s="8">
        <v>46289</v>
      </c>
      <c r="D2585" s="6">
        <v>46266</v>
      </c>
      <c r="E2585" s="2" t="s">
        <v>260</v>
      </c>
      <c r="F2585" s="2" t="s">
        <v>7291</v>
      </c>
      <c r="G2585" s="6">
        <v>46235</v>
      </c>
      <c r="H2585" s="2" t="s">
        <v>176</v>
      </c>
      <c r="I2585" s="2" t="s">
        <v>39</v>
      </c>
      <c r="J2585" s="9">
        <v>14685.88</v>
      </c>
      <c r="K2585" s="7">
        <v>1</v>
      </c>
      <c r="L2585" s="9">
        <v>14685.88</v>
      </c>
      <c r="M2585" s="9">
        <v>14685.88</v>
      </c>
      <c r="N2585" s="9">
        <v>8.08</v>
      </c>
      <c r="O2585" s="10">
        <f>IF(AND(OR(H2585="APPROVED",H2585="SCHEDULED"),COUNTIFS(tblSource[EventID],F2585,tblSource[ReleaseStatus],"APPROVED")=1,COUNTIFS(Period_Status!$A$2:$A$8,G2585,Period_Status!$B$2:$B$8,"ActualClosed")=1,C2585&gt;EOMONTH(Settlement_Bridge!$C$2,0)),1,0)</f>
        <v>0</v>
      </c>
      <c r="P2585" s="2" t="s">
        <v>7292</v>
      </c>
    </row>
    <row r="2586" spans="1:16" x14ac:dyDescent="0.25">
      <c r="A2586" s="2" t="s">
        <v>7293</v>
      </c>
      <c r="B2586" s="2" t="s">
        <v>199</v>
      </c>
      <c r="C2586" s="8">
        <v>46259</v>
      </c>
      <c r="D2586" s="6">
        <v>46235</v>
      </c>
      <c r="E2586" s="2" t="s">
        <v>260</v>
      </c>
      <c r="F2586" s="2" t="s">
        <v>7294</v>
      </c>
      <c r="G2586" s="6">
        <v>46235</v>
      </c>
      <c r="H2586" s="2" t="s">
        <v>71</v>
      </c>
      <c r="I2586" s="2" t="s">
        <v>76</v>
      </c>
      <c r="J2586" s="9">
        <v>13965691.056910999</v>
      </c>
      <c r="K2586" s="7">
        <v>6.1500000000000004E-5</v>
      </c>
      <c r="L2586" s="9">
        <v>858.89</v>
      </c>
      <c r="M2586" s="9">
        <v>858.89</v>
      </c>
      <c r="N2586" s="9">
        <v>1.8</v>
      </c>
      <c r="O2586" s="10">
        <f>IF(AND(OR(H2586="APPROVED",H2586="SCHEDULED"),COUNTIFS(tblSource[EventID],F2586,tblSource[ReleaseStatus],"APPROVED")=1,COUNTIFS(Period_Status!$A$2:$A$8,G2586,Period_Status!$B$2:$B$8,"ActualClosed")=1,C2586&gt;EOMONTH(Settlement_Bridge!$C$2,0)),1,0)</f>
        <v>0</v>
      </c>
      <c r="P2586" s="2" t="s">
        <v>7295</v>
      </c>
    </row>
    <row r="2587" spans="1:16" x14ac:dyDescent="0.25">
      <c r="A2587" s="2" t="s">
        <v>7296</v>
      </c>
      <c r="B2587" s="2" t="s">
        <v>199</v>
      </c>
      <c r="C2587" s="8">
        <v>46260</v>
      </c>
      <c r="D2587" s="6">
        <v>46235</v>
      </c>
      <c r="E2587" s="2" t="s">
        <v>260</v>
      </c>
      <c r="F2587" s="2" t="s">
        <v>7297</v>
      </c>
      <c r="G2587" s="6">
        <v>46235</v>
      </c>
      <c r="H2587" s="2" t="s">
        <v>71</v>
      </c>
      <c r="I2587" s="2" t="s">
        <v>70</v>
      </c>
      <c r="J2587" s="9">
        <v>1587.538462</v>
      </c>
      <c r="K2587" s="7">
        <v>0.65</v>
      </c>
      <c r="L2587" s="9">
        <v>1031.9000000000001</v>
      </c>
      <c r="M2587" s="9">
        <v>1031.9000000000001</v>
      </c>
      <c r="N2587" s="9">
        <v>1.8</v>
      </c>
      <c r="O2587" s="10">
        <f>IF(AND(OR(H2587="APPROVED",H2587="SCHEDULED"),COUNTIFS(tblSource[EventID],F2587,tblSource[ReleaseStatus],"APPROVED")=1,COUNTIFS(Period_Status!$A$2:$A$8,G2587,Period_Status!$B$2:$B$8,"ActualClosed")=1,C2587&gt;EOMONTH(Settlement_Bridge!$C$2,0)),1,0)</f>
        <v>0</v>
      </c>
      <c r="P2587" s="2" t="s">
        <v>7298</v>
      </c>
    </row>
    <row r="2588" spans="1:16" x14ac:dyDescent="0.25">
      <c r="A2588" s="2" t="s">
        <v>7299</v>
      </c>
      <c r="B2588" s="2" t="s">
        <v>199</v>
      </c>
      <c r="C2588" s="8">
        <v>46251</v>
      </c>
      <c r="D2588" s="6">
        <v>46235</v>
      </c>
      <c r="E2588" s="2" t="s">
        <v>260</v>
      </c>
      <c r="F2588" s="2" t="s">
        <v>7300</v>
      </c>
      <c r="G2588" s="6">
        <v>46235</v>
      </c>
      <c r="H2588" s="2" t="s">
        <v>71</v>
      </c>
      <c r="I2588" s="2" t="s">
        <v>39</v>
      </c>
      <c r="J2588" s="9">
        <v>481.964</v>
      </c>
      <c r="K2588" s="7">
        <v>1</v>
      </c>
      <c r="L2588" s="9">
        <v>481.96</v>
      </c>
      <c r="M2588" s="9">
        <v>481.96</v>
      </c>
      <c r="N2588" s="9">
        <v>1.8</v>
      </c>
      <c r="O2588" s="10">
        <f>IF(AND(OR(H2588="APPROVED",H2588="SCHEDULED"),COUNTIFS(tblSource[EventID],F2588,tblSource[ReleaseStatus],"APPROVED")=1,COUNTIFS(Period_Status!$A$2:$A$8,G2588,Period_Status!$B$2:$B$8,"ActualClosed")=1,C2588&gt;EOMONTH(Settlement_Bridge!$C$2,0)),1,0)</f>
        <v>0</v>
      </c>
      <c r="P2588" s="2" t="s">
        <v>7301</v>
      </c>
    </row>
    <row r="2589" spans="1:16" x14ac:dyDescent="0.25">
      <c r="A2589" s="2" t="s">
        <v>7302</v>
      </c>
      <c r="B2589" s="2" t="s">
        <v>199</v>
      </c>
      <c r="C2589" s="8">
        <v>46276</v>
      </c>
      <c r="D2589" s="6">
        <v>46266</v>
      </c>
      <c r="E2589" s="2" t="s">
        <v>260</v>
      </c>
      <c r="F2589" s="2" t="s">
        <v>7300</v>
      </c>
      <c r="G2589" s="6">
        <v>46235</v>
      </c>
      <c r="H2589" s="2" t="s">
        <v>176</v>
      </c>
      <c r="I2589" s="2" t="s">
        <v>39</v>
      </c>
      <c r="J2589" s="9">
        <v>722.94600000000003</v>
      </c>
      <c r="K2589" s="7">
        <v>1</v>
      </c>
      <c r="L2589" s="9">
        <v>722.95</v>
      </c>
      <c r="M2589" s="9">
        <v>722.95</v>
      </c>
      <c r="N2589" s="9">
        <v>1.8</v>
      </c>
      <c r="O2589" s="10">
        <f>IF(AND(OR(H2589="APPROVED",H2589="SCHEDULED"),COUNTIFS(tblSource[EventID],F2589,tblSource[ReleaseStatus],"APPROVED")=1,COUNTIFS(Period_Status!$A$2:$A$8,G2589,Period_Status!$B$2:$B$8,"ActualClosed")=1,C2589&gt;EOMONTH(Settlement_Bridge!$C$2,0)),1,0)</f>
        <v>0</v>
      </c>
      <c r="P2589" s="2" t="s">
        <v>7303</v>
      </c>
    </row>
    <row r="2590" spans="1:16" x14ac:dyDescent="0.25">
      <c r="A2590" s="2" t="s">
        <v>7304</v>
      </c>
      <c r="B2590" s="2" t="s">
        <v>199</v>
      </c>
      <c r="C2590" s="8">
        <v>46252</v>
      </c>
      <c r="D2590" s="6">
        <v>46235</v>
      </c>
      <c r="E2590" s="2" t="s">
        <v>260</v>
      </c>
      <c r="F2590" s="2" t="s">
        <v>7305</v>
      </c>
      <c r="G2590" s="6">
        <v>46235</v>
      </c>
      <c r="H2590" s="2" t="s">
        <v>71</v>
      </c>
      <c r="I2590" s="2" t="s">
        <v>76</v>
      </c>
      <c r="J2590" s="9">
        <v>8962081.3008130006</v>
      </c>
      <c r="K2590" s="7">
        <v>6.1500000000000004E-5</v>
      </c>
      <c r="L2590" s="9">
        <v>551.16999999999996</v>
      </c>
      <c r="M2590" s="9">
        <v>551.16999999999996</v>
      </c>
      <c r="N2590" s="9">
        <v>1.8</v>
      </c>
      <c r="O2590" s="10">
        <f>IF(AND(OR(H2590="APPROVED",H2590="SCHEDULED"),COUNTIFS(tblSource[EventID],F2590,tblSource[ReleaseStatus],"APPROVED")=1,COUNTIFS(Period_Status!$A$2:$A$8,G2590,Period_Status!$B$2:$B$8,"ActualClosed")=1,C2590&gt;EOMONTH(Settlement_Bridge!$C$2,0)),1,0)</f>
        <v>0</v>
      </c>
      <c r="P2590" s="2" t="s">
        <v>7306</v>
      </c>
    </row>
    <row r="2591" spans="1:16" x14ac:dyDescent="0.25">
      <c r="A2591" s="2" t="s">
        <v>7307</v>
      </c>
      <c r="B2591" s="2" t="s">
        <v>199</v>
      </c>
      <c r="C2591" s="8">
        <v>46277</v>
      </c>
      <c r="D2591" s="6">
        <v>46266</v>
      </c>
      <c r="E2591" s="2" t="s">
        <v>260</v>
      </c>
      <c r="F2591" s="2" t="s">
        <v>7305</v>
      </c>
      <c r="G2591" s="6">
        <v>46235</v>
      </c>
      <c r="H2591" s="2" t="s">
        <v>176</v>
      </c>
      <c r="I2591" s="2" t="s">
        <v>76</v>
      </c>
      <c r="J2591" s="9">
        <v>13443121.95122</v>
      </c>
      <c r="K2591" s="7">
        <v>6.1299999999999999E-5</v>
      </c>
      <c r="L2591" s="9">
        <v>824.06</v>
      </c>
      <c r="M2591" s="9">
        <v>826.75</v>
      </c>
      <c r="N2591" s="9">
        <v>1.8</v>
      </c>
      <c r="O2591" s="10">
        <f>IF(AND(OR(H2591="APPROVED",H2591="SCHEDULED"),COUNTIFS(tblSource[EventID],F2591,tblSource[ReleaseStatus],"APPROVED")=1,COUNTIFS(Period_Status!$A$2:$A$8,G2591,Period_Status!$B$2:$B$8,"ActualClosed")=1,C2591&gt;EOMONTH(Settlement_Bridge!$C$2,0)),1,0)</f>
        <v>0</v>
      </c>
      <c r="P2591" s="2" t="s">
        <v>7308</v>
      </c>
    </row>
    <row r="2592" spans="1:16" x14ac:dyDescent="0.25">
      <c r="A2592" s="2" t="s">
        <v>7309</v>
      </c>
      <c r="B2592" s="2" t="s">
        <v>199</v>
      </c>
      <c r="C2592" s="8">
        <v>46263</v>
      </c>
      <c r="D2592" s="6">
        <v>46235</v>
      </c>
      <c r="E2592" s="2" t="s">
        <v>260</v>
      </c>
      <c r="F2592" s="2" t="s">
        <v>7310</v>
      </c>
      <c r="G2592" s="6">
        <v>46235</v>
      </c>
      <c r="H2592" s="2" t="s">
        <v>71</v>
      </c>
      <c r="I2592" s="2" t="s">
        <v>70</v>
      </c>
      <c r="J2592" s="9">
        <v>2386.0461540000001</v>
      </c>
      <c r="K2592" s="7">
        <v>0.65</v>
      </c>
      <c r="L2592" s="9">
        <v>1550.93</v>
      </c>
      <c r="M2592" s="9">
        <v>1550.93</v>
      </c>
      <c r="N2592" s="9">
        <v>1.8</v>
      </c>
      <c r="O2592" s="10">
        <f>IF(AND(OR(H2592="APPROVED",H2592="SCHEDULED"),COUNTIFS(tblSource[EventID],F2592,tblSource[ReleaseStatus],"APPROVED")=1,COUNTIFS(Period_Status!$A$2:$A$8,G2592,Period_Status!$B$2:$B$8,"ActualClosed")=1,C2592&gt;EOMONTH(Settlement_Bridge!$C$2,0)),1,0)</f>
        <v>0</v>
      </c>
      <c r="P2592" s="2" t="s">
        <v>7311</v>
      </c>
    </row>
    <row r="2593" spans="1:16" x14ac:dyDescent="0.25">
      <c r="A2593" s="2" t="s">
        <v>7312</v>
      </c>
      <c r="B2593" s="2" t="s">
        <v>199</v>
      </c>
      <c r="C2593" s="8">
        <v>46264</v>
      </c>
      <c r="D2593" s="6">
        <v>46235</v>
      </c>
      <c r="E2593" s="2" t="s">
        <v>260</v>
      </c>
      <c r="F2593" s="2" t="s">
        <v>7313</v>
      </c>
      <c r="G2593" s="6">
        <v>46235</v>
      </c>
      <c r="H2593" s="2" t="s">
        <v>71</v>
      </c>
      <c r="I2593" s="2" t="s">
        <v>39</v>
      </c>
      <c r="J2593" s="9">
        <v>1723.94</v>
      </c>
      <c r="K2593" s="7">
        <v>1</v>
      </c>
      <c r="L2593" s="9">
        <v>1723.94</v>
      </c>
      <c r="M2593" s="9">
        <v>1723.94</v>
      </c>
      <c r="N2593" s="9">
        <v>1.8</v>
      </c>
      <c r="O2593" s="10">
        <f>IF(AND(OR(H2593="APPROVED",H2593="SCHEDULED"),COUNTIFS(tblSource[EventID],F2593,tblSource[ReleaseStatus],"APPROVED")=1,COUNTIFS(Period_Status!$A$2:$A$8,G2593,Period_Status!$B$2:$B$8,"ActualClosed")=1,C2593&gt;EOMONTH(Settlement_Bridge!$C$2,0)),1,0)</f>
        <v>0</v>
      </c>
      <c r="P2593" s="2" t="s">
        <v>7314</v>
      </c>
    </row>
    <row r="2594" spans="1:16" x14ac:dyDescent="0.25">
      <c r="A2594" s="2" t="s">
        <v>7315</v>
      </c>
      <c r="B2594" s="2" t="s">
        <v>199</v>
      </c>
      <c r="C2594" s="8">
        <v>46255</v>
      </c>
      <c r="D2594" s="6">
        <v>46235</v>
      </c>
      <c r="E2594" s="2" t="s">
        <v>260</v>
      </c>
      <c r="F2594" s="2" t="s">
        <v>7316</v>
      </c>
      <c r="G2594" s="6">
        <v>46235</v>
      </c>
      <c r="H2594" s="2" t="s">
        <v>71</v>
      </c>
      <c r="I2594" s="2" t="s">
        <v>76</v>
      </c>
      <c r="J2594" s="9">
        <v>12337886.178862</v>
      </c>
      <c r="K2594" s="7">
        <v>6.1500000000000004E-5</v>
      </c>
      <c r="L2594" s="9">
        <v>758.78</v>
      </c>
      <c r="M2594" s="9">
        <v>758.78</v>
      </c>
      <c r="N2594" s="9">
        <v>1.8</v>
      </c>
      <c r="O2594" s="10">
        <f>IF(AND(OR(H2594="APPROVED",H2594="SCHEDULED"),COUNTIFS(tblSource[EventID],F2594,tblSource[ReleaseStatus],"APPROVED")=1,COUNTIFS(Period_Status!$A$2:$A$8,G2594,Period_Status!$B$2:$B$8,"ActualClosed")=1,C2594&gt;EOMONTH(Settlement_Bridge!$C$2,0)),1,0)</f>
        <v>0</v>
      </c>
      <c r="P2594" s="2" t="s">
        <v>7317</v>
      </c>
    </row>
    <row r="2595" spans="1:16" x14ac:dyDescent="0.25">
      <c r="A2595" s="2" t="s">
        <v>7318</v>
      </c>
      <c r="B2595" s="2" t="s">
        <v>199</v>
      </c>
      <c r="C2595" s="8">
        <v>46280</v>
      </c>
      <c r="D2595" s="6">
        <v>46266</v>
      </c>
      <c r="E2595" s="2" t="s">
        <v>260</v>
      </c>
      <c r="F2595" s="2" t="s">
        <v>7316</v>
      </c>
      <c r="G2595" s="6">
        <v>46235</v>
      </c>
      <c r="H2595" s="2" t="s">
        <v>176</v>
      </c>
      <c r="I2595" s="2" t="s">
        <v>76</v>
      </c>
      <c r="J2595" s="9">
        <v>18506829.268291999</v>
      </c>
      <c r="K2595" s="7">
        <v>6.1299999999999999E-5</v>
      </c>
      <c r="L2595" s="9">
        <v>1134.47</v>
      </c>
      <c r="M2595" s="9">
        <v>1138.17</v>
      </c>
      <c r="N2595" s="9">
        <v>1.8</v>
      </c>
      <c r="O2595" s="10">
        <f>IF(AND(OR(H2595="APPROVED",H2595="SCHEDULED"),COUNTIFS(tblSource[EventID],F2595,tblSource[ReleaseStatus],"APPROVED")=1,COUNTIFS(Period_Status!$A$2:$A$8,G2595,Period_Status!$B$2:$B$8,"ActualClosed")=1,C2595&gt;EOMONTH(Settlement_Bridge!$C$2,0)),1,0)</f>
        <v>0</v>
      </c>
      <c r="P2595" s="2" t="s">
        <v>7319</v>
      </c>
    </row>
    <row r="2596" spans="1:16" x14ac:dyDescent="0.25">
      <c r="A2596" s="2" t="s">
        <v>7320</v>
      </c>
      <c r="B2596" s="2" t="s">
        <v>199</v>
      </c>
      <c r="C2596" s="8">
        <v>46266</v>
      </c>
      <c r="D2596" s="6">
        <v>46266</v>
      </c>
      <c r="E2596" s="2" t="s">
        <v>260</v>
      </c>
      <c r="F2596" s="2" t="s">
        <v>7321</v>
      </c>
      <c r="G2596" s="6">
        <v>46235</v>
      </c>
      <c r="H2596" s="2" t="s">
        <v>176</v>
      </c>
      <c r="I2596" s="2" t="s">
        <v>70</v>
      </c>
      <c r="J2596" s="9">
        <v>3184.5538459999998</v>
      </c>
      <c r="K2596" s="7">
        <v>0.65100000000000002</v>
      </c>
      <c r="L2596" s="9">
        <v>2073.14</v>
      </c>
      <c r="M2596" s="9">
        <v>2069.96</v>
      </c>
      <c r="N2596" s="9">
        <v>1.8</v>
      </c>
      <c r="O2596" s="10">
        <f>IF(AND(OR(H2596="APPROVED",H2596="SCHEDULED"),COUNTIFS(tblSource[EventID],F2596,tblSource[ReleaseStatus],"APPROVED")=1,COUNTIFS(Period_Status!$A$2:$A$8,G2596,Period_Status!$B$2:$B$8,"ActualClosed")=1,C2596&gt;EOMONTH(Settlement_Bridge!$C$2,0)),1,0)</f>
        <v>0</v>
      </c>
      <c r="P2596" s="2" t="s">
        <v>7322</v>
      </c>
    </row>
    <row r="2597" spans="1:16" x14ac:dyDescent="0.25">
      <c r="A2597" s="2" t="s">
        <v>7323</v>
      </c>
      <c r="B2597" s="2" t="s">
        <v>199</v>
      </c>
      <c r="C2597" s="8">
        <v>46267</v>
      </c>
      <c r="D2597" s="6">
        <v>46266</v>
      </c>
      <c r="E2597" s="2" t="s">
        <v>260</v>
      </c>
      <c r="F2597" s="2" t="s">
        <v>7324</v>
      </c>
      <c r="G2597" s="6">
        <v>46235</v>
      </c>
      <c r="H2597" s="2" t="s">
        <v>176</v>
      </c>
      <c r="I2597" s="2" t="s">
        <v>39</v>
      </c>
      <c r="J2597" s="9">
        <v>2242</v>
      </c>
      <c r="K2597" s="7">
        <v>1</v>
      </c>
      <c r="L2597" s="9">
        <v>2242</v>
      </c>
      <c r="M2597" s="9">
        <v>2242</v>
      </c>
      <c r="N2597" s="9">
        <v>1.8</v>
      </c>
      <c r="O2597" s="10">
        <f>IF(AND(OR(H2597="APPROVED",H2597="SCHEDULED"),COUNTIFS(tblSource[EventID],F2597,tblSource[ReleaseStatus],"APPROVED")=1,COUNTIFS(Period_Status!$A$2:$A$8,G2597,Period_Status!$B$2:$B$8,"ActualClosed")=1,C2597&gt;EOMONTH(Settlement_Bridge!$C$2,0)),1,0)</f>
        <v>0</v>
      </c>
      <c r="P2597" s="2" t="s">
        <v>7325</v>
      </c>
    </row>
    <row r="2598" spans="1:16" x14ac:dyDescent="0.25">
      <c r="A2598" s="2" t="s">
        <v>7326</v>
      </c>
      <c r="B2598" s="2" t="s">
        <v>199</v>
      </c>
      <c r="C2598" s="8">
        <v>46268</v>
      </c>
      <c r="D2598" s="6">
        <v>46266</v>
      </c>
      <c r="E2598" s="2" t="s">
        <v>260</v>
      </c>
      <c r="F2598" s="2" t="s">
        <v>7327</v>
      </c>
      <c r="G2598" s="6">
        <v>46235</v>
      </c>
      <c r="H2598" s="2" t="s">
        <v>176</v>
      </c>
      <c r="I2598" s="2" t="s">
        <v>76</v>
      </c>
      <c r="J2598" s="9">
        <v>39268455.284552999</v>
      </c>
      <c r="K2598" s="7">
        <v>6.1299999999999999E-5</v>
      </c>
      <c r="L2598" s="9">
        <v>2407.16</v>
      </c>
      <c r="M2598" s="9">
        <v>2415.0100000000002</v>
      </c>
      <c r="N2598" s="9">
        <v>1.8</v>
      </c>
      <c r="O2598" s="10">
        <f>IF(AND(OR(H2598="APPROVED",H2598="SCHEDULED"),COUNTIFS(tblSource[EventID],F2598,tblSource[ReleaseStatus],"APPROVED")=1,COUNTIFS(Period_Status!$A$2:$A$8,G2598,Period_Status!$B$2:$B$8,"ActualClosed")=1,C2598&gt;EOMONTH(Settlement_Bridge!$C$2,0)),1,0)</f>
        <v>0</v>
      </c>
      <c r="P2598" s="2" t="s">
        <v>7328</v>
      </c>
    </row>
    <row r="2599" spans="1:16" x14ac:dyDescent="0.25">
      <c r="A2599" s="2" t="s">
        <v>7329</v>
      </c>
      <c r="B2599" s="2" t="s">
        <v>199</v>
      </c>
      <c r="C2599" s="8">
        <v>46269</v>
      </c>
      <c r="D2599" s="6">
        <v>46266</v>
      </c>
      <c r="E2599" s="2" t="s">
        <v>260</v>
      </c>
      <c r="F2599" s="2" t="s">
        <v>7330</v>
      </c>
      <c r="G2599" s="6">
        <v>46235</v>
      </c>
      <c r="H2599" s="2" t="s">
        <v>176</v>
      </c>
      <c r="I2599" s="2" t="s">
        <v>70</v>
      </c>
      <c r="J2599" s="9">
        <v>3981.5692309999999</v>
      </c>
      <c r="K2599" s="7">
        <v>0.65100000000000002</v>
      </c>
      <c r="L2599" s="9">
        <v>2592</v>
      </c>
      <c r="M2599" s="9">
        <v>2588.02</v>
      </c>
      <c r="N2599" s="9">
        <v>1.8</v>
      </c>
      <c r="O2599" s="10">
        <f>IF(AND(OR(H2599="APPROVED",H2599="SCHEDULED"),COUNTIFS(tblSource[EventID],F2599,tblSource[ReleaseStatus],"APPROVED")=1,COUNTIFS(Period_Status!$A$2:$A$8,G2599,Period_Status!$B$2:$B$8,"ActualClosed")=1,C2599&gt;EOMONTH(Settlement_Bridge!$C$2,0)),1,0)</f>
        <v>0</v>
      </c>
      <c r="P2599" s="2" t="s">
        <v>7331</v>
      </c>
    </row>
    <row r="2600" spans="1:16" x14ac:dyDescent="0.25">
      <c r="A2600" s="2" t="s">
        <v>7332</v>
      </c>
      <c r="B2600" s="2" t="s">
        <v>199</v>
      </c>
      <c r="C2600" s="8">
        <v>46270</v>
      </c>
      <c r="D2600" s="6">
        <v>46266</v>
      </c>
      <c r="E2600" s="2" t="s">
        <v>260</v>
      </c>
      <c r="F2600" s="2" t="s">
        <v>7333</v>
      </c>
      <c r="G2600" s="6">
        <v>46235</v>
      </c>
      <c r="H2600" s="2" t="s">
        <v>176</v>
      </c>
      <c r="I2600" s="2" t="s">
        <v>39</v>
      </c>
      <c r="J2600" s="9">
        <v>2761.03</v>
      </c>
      <c r="K2600" s="7">
        <v>1</v>
      </c>
      <c r="L2600" s="9">
        <v>2761.03</v>
      </c>
      <c r="M2600" s="9">
        <v>2761.03</v>
      </c>
      <c r="N2600" s="9">
        <v>1.8</v>
      </c>
      <c r="O2600" s="10">
        <f>IF(AND(OR(H2600="APPROVED",H2600="SCHEDULED"),COUNTIFS(tblSource[EventID],F2600,tblSource[ReleaseStatus],"APPROVED")=1,COUNTIFS(Period_Status!$A$2:$A$8,G2600,Period_Status!$B$2:$B$8,"ActualClosed")=1,C2600&gt;EOMONTH(Settlement_Bridge!$C$2,0)),1,0)</f>
        <v>0</v>
      </c>
      <c r="P2600" s="2" t="s">
        <v>7334</v>
      </c>
    </row>
    <row r="2601" spans="1:16" x14ac:dyDescent="0.25">
      <c r="A2601" s="2" t="s">
        <v>7335</v>
      </c>
      <c r="B2601" s="2" t="s">
        <v>199</v>
      </c>
      <c r="C2601" s="8">
        <v>46261</v>
      </c>
      <c r="D2601" s="6">
        <v>46235</v>
      </c>
      <c r="E2601" s="2" t="s">
        <v>260</v>
      </c>
      <c r="F2601" s="2" t="s">
        <v>7336</v>
      </c>
      <c r="G2601" s="6">
        <v>46235</v>
      </c>
      <c r="H2601" s="2" t="s">
        <v>71</v>
      </c>
      <c r="I2601" s="2" t="s">
        <v>76</v>
      </c>
      <c r="J2601" s="9">
        <v>19083186.991870001</v>
      </c>
      <c r="K2601" s="7">
        <v>6.1500000000000004E-5</v>
      </c>
      <c r="L2601" s="9">
        <v>1173.6199999999999</v>
      </c>
      <c r="M2601" s="9">
        <v>1173.6199999999999</v>
      </c>
      <c r="N2601" s="9">
        <v>1.8</v>
      </c>
      <c r="O2601" s="10">
        <f>IF(AND(OR(H2601="APPROVED",H2601="SCHEDULED"),COUNTIFS(tblSource[EventID],F2601,tblSource[ReleaseStatus],"APPROVED")=1,COUNTIFS(Period_Status!$A$2:$A$8,G2601,Period_Status!$B$2:$B$8,"ActualClosed")=1,C2601&gt;EOMONTH(Settlement_Bridge!$C$2,0)),1,0)</f>
        <v>0</v>
      </c>
      <c r="P2601" s="2" t="s">
        <v>7337</v>
      </c>
    </row>
    <row r="2602" spans="1:16" x14ac:dyDescent="0.25">
      <c r="A2602" s="2" t="s">
        <v>7338</v>
      </c>
      <c r="B2602" s="2" t="s">
        <v>199</v>
      </c>
      <c r="C2602" s="8">
        <v>46286</v>
      </c>
      <c r="D2602" s="6">
        <v>46266</v>
      </c>
      <c r="E2602" s="2" t="s">
        <v>260</v>
      </c>
      <c r="F2602" s="2" t="s">
        <v>7336</v>
      </c>
      <c r="G2602" s="6">
        <v>46235</v>
      </c>
      <c r="H2602" s="2" t="s">
        <v>176</v>
      </c>
      <c r="I2602" s="2" t="s">
        <v>76</v>
      </c>
      <c r="J2602" s="9">
        <v>28624780.487805001</v>
      </c>
      <c r="K2602" s="7">
        <v>6.1299999999999999E-5</v>
      </c>
      <c r="L2602" s="9">
        <v>1754.7</v>
      </c>
      <c r="M2602" s="9">
        <v>1760.42</v>
      </c>
      <c r="N2602" s="9">
        <v>1.8</v>
      </c>
      <c r="O2602" s="10">
        <f>IF(AND(OR(H2602="APPROVED",H2602="SCHEDULED"),COUNTIFS(tblSource[EventID],F2602,tblSource[ReleaseStatus],"APPROVED")=1,COUNTIFS(Period_Status!$A$2:$A$8,G2602,Period_Status!$B$2:$B$8,"ActualClosed")=1,C2602&gt;EOMONTH(Settlement_Bridge!$C$2,0)),1,0)</f>
        <v>0</v>
      </c>
      <c r="P2602" s="2" t="s">
        <v>7339</v>
      </c>
    </row>
    <row r="2603" spans="1:16" x14ac:dyDescent="0.25">
      <c r="A2603" s="2" t="s">
        <v>7340</v>
      </c>
      <c r="B2603" s="2" t="s">
        <v>199</v>
      </c>
      <c r="C2603" s="8">
        <v>46262</v>
      </c>
      <c r="D2603" s="6">
        <v>46235</v>
      </c>
      <c r="E2603" s="2" t="s">
        <v>260</v>
      </c>
      <c r="F2603" s="2" t="s">
        <v>7341</v>
      </c>
      <c r="G2603" s="6">
        <v>46235</v>
      </c>
      <c r="H2603" s="2" t="s">
        <v>71</v>
      </c>
      <c r="I2603" s="2" t="s">
        <v>70</v>
      </c>
      <c r="J2603" s="9">
        <v>1912.030769</v>
      </c>
      <c r="K2603" s="7">
        <v>0.65</v>
      </c>
      <c r="L2603" s="9">
        <v>1242.82</v>
      </c>
      <c r="M2603" s="9">
        <v>1242.82</v>
      </c>
      <c r="N2603" s="9">
        <v>1.8</v>
      </c>
      <c r="O2603" s="10">
        <f>IF(AND(OR(H2603="APPROVED",H2603="SCHEDULED"),COUNTIFS(tblSource[EventID],F2603,tblSource[ReleaseStatus],"APPROVED")=1,COUNTIFS(Period_Status!$A$2:$A$8,G2603,Period_Status!$B$2:$B$8,"ActualClosed")=1,C2603&gt;EOMONTH(Settlement_Bridge!$C$2,0)),1,0)</f>
        <v>0</v>
      </c>
      <c r="P2603" s="2" t="s">
        <v>7342</v>
      </c>
    </row>
    <row r="2604" spans="1:16" x14ac:dyDescent="0.25">
      <c r="A2604" s="2" t="s">
        <v>7343</v>
      </c>
      <c r="B2604" s="2" t="s">
        <v>199</v>
      </c>
      <c r="C2604" s="8">
        <v>46287</v>
      </c>
      <c r="D2604" s="6">
        <v>46266</v>
      </c>
      <c r="E2604" s="2" t="s">
        <v>260</v>
      </c>
      <c r="F2604" s="2" t="s">
        <v>7341</v>
      </c>
      <c r="G2604" s="6">
        <v>46235</v>
      </c>
      <c r="H2604" s="2" t="s">
        <v>176</v>
      </c>
      <c r="I2604" s="2" t="s">
        <v>70</v>
      </c>
      <c r="J2604" s="9">
        <v>2868.0461540000001</v>
      </c>
      <c r="K2604" s="7">
        <v>0.65100000000000002</v>
      </c>
      <c r="L2604" s="9">
        <v>1867.1</v>
      </c>
      <c r="M2604" s="9">
        <v>1864.23</v>
      </c>
      <c r="N2604" s="9">
        <v>1.8</v>
      </c>
      <c r="O2604" s="10">
        <f>IF(AND(OR(H2604="APPROVED",H2604="SCHEDULED"),COUNTIFS(tblSource[EventID],F2604,tblSource[ReleaseStatus],"APPROVED")=1,COUNTIFS(Period_Status!$A$2:$A$8,G2604,Period_Status!$B$2:$B$8,"ActualClosed")=1,C2604&gt;EOMONTH(Settlement_Bridge!$C$2,0)),1,0)</f>
        <v>0</v>
      </c>
      <c r="P2604" s="2" t="s">
        <v>7344</v>
      </c>
    </row>
    <row r="2605" spans="1:16" x14ac:dyDescent="0.25">
      <c r="A2605" s="2" t="s">
        <v>7345</v>
      </c>
      <c r="B2605" s="2" t="s">
        <v>199</v>
      </c>
      <c r="C2605" s="8">
        <v>46273</v>
      </c>
      <c r="D2605" s="6">
        <v>46266</v>
      </c>
      <c r="E2605" s="2" t="s">
        <v>260</v>
      </c>
      <c r="F2605" s="2" t="s">
        <v>7346</v>
      </c>
      <c r="G2605" s="6">
        <v>46235</v>
      </c>
      <c r="H2605" s="2" t="s">
        <v>176</v>
      </c>
      <c r="I2605" s="2" t="s">
        <v>39</v>
      </c>
      <c r="J2605" s="9">
        <v>3280.06</v>
      </c>
      <c r="K2605" s="7">
        <v>1</v>
      </c>
      <c r="L2605" s="9">
        <v>3280.06</v>
      </c>
      <c r="M2605" s="9">
        <v>3280.06</v>
      </c>
      <c r="N2605" s="9">
        <v>1.8</v>
      </c>
      <c r="O2605" s="10">
        <f>IF(AND(OR(H2605="APPROVED",H2605="SCHEDULED"),COUNTIFS(tblSource[EventID],F2605,tblSource[ReleaseStatus],"APPROVED")=1,COUNTIFS(Period_Status!$A$2:$A$8,G2605,Period_Status!$B$2:$B$8,"ActualClosed")=1,C2605&gt;EOMONTH(Settlement_Bridge!$C$2,0)),1,0)</f>
        <v>0</v>
      </c>
      <c r="P2605" s="2" t="s">
        <v>7347</v>
      </c>
    </row>
    <row r="2606" spans="1:16" x14ac:dyDescent="0.25">
      <c r="A2606" s="2" t="s">
        <v>7348</v>
      </c>
      <c r="B2606" s="2" t="s">
        <v>199</v>
      </c>
      <c r="C2606" s="8">
        <v>46274</v>
      </c>
      <c r="D2606" s="6">
        <v>46266</v>
      </c>
      <c r="E2606" s="2" t="s">
        <v>260</v>
      </c>
      <c r="F2606" s="2" t="s">
        <v>7349</v>
      </c>
      <c r="G2606" s="6">
        <v>46235</v>
      </c>
      <c r="H2606" s="2" t="s">
        <v>176</v>
      </c>
      <c r="I2606" s="2" t="s">
        <v>76</v>
      </c>
      <c r="J2606" s="9">
        <v>56147479.674796999</v>
      </c>
      <c r="K2606" s="7">
        <v>6.1299999999999999E-5</v>
      </c>
      <c r="L2606" s="9">
        <v>3441.84</v>
      </c>
      <c r="M2606" s="9">
        <v>3453.07</v>
      </c>
      <c r="N2606" s="9">
        <v>1.89</v>
      </c>
      <c r="O2606" s="10">
        <f>IF(AND(OR(H2606="APPROVED",H2606="SCHEDULED"),COUNTIFS(tblSource[EventID],F2606,tblSource[ReleaseStatus],"APPROVED")=1,COUNTIFS(Period_Status!$A$2:$A$8,G2606,Period_Status!$B$2:$B$8,"ActualClosed")=1,C2606&gt;EOMONTH(Settlement_Bridge!$C$2,0)),1,0)</f>
        <v>0</v>
      </c>
      <c r="P2606" s="2" t="s">
        <v>7350</v>
      </c>
    </row>
    <row r="2607" spans="1:16" x14ac:dyDescent="0.25">
      <c r="A2607" s="2" t="s">
        <v>7351</v>
      </c>
      <c r="B2607" s="2" t="s">
        <v>199</v>
      </c>
      <c r="C2607" s="8">
        <v>46265</v>
      </c>
      <c r="D2607" s="6">
        <v>46235</v>
      </c>
      <c r="E2607" s="2" t="s">
        <v>260</v>
      </c>
      <c r="F2607" s="2" t="s">
        <v>7352</v>
      </c>
      <c r="G2607" s="6">
        <v>46235</v>
      </c>
      <c r="H2607" s="2" t="s">
        <v>71</v>
      </c>
      <c r="I2607" s="2" t="s">
        <v>70</v>
      </c>
      <c r="J2607" s="9">
        <v>2231.4338459999999</v>
      </c>
      <c r="K2607" s="7">
        <v>0.65</v>
      </c>
      <c r="L2607" s="9">
        <v>1450.43</v>
      </c>
      <c r="M2607" s="9">
        <v>1450.43</v>
      </c>
      <c r="N2607" s="9">
        <v>1.8</v>
      </c>
      <c r="O2607" s="10">
        <f>IF(AND(OR(H2607="APPROVED",H2607="SCHEDULED"),COUNTIFS(tblSource[EventID],F2607,tblSource[ReleaseStatus],"APPROVED")=1,COUNTIFS(Period_Status!$A$2:$A$8,G2607,Period_Status!$B$2:$B$8,"ActualClosed")=1,C2607&gt;EOMONTH(Settlement_Bridge!$C$2,0)),1,0)</f>
        <v>0</v>
      </c>
      <c r="P2607" s="2" t="s">
        <v>7353</v>
      </c>
    </row>
    <row r="2608" spans="1:16" x14ac:dyDescent="0.25">
      <c r="A2608" s="2" t="s">
        <v>7354</v>
      </c>
      <c r="B2608" s="2" t="s">
        <v>199</v>
      </c>
      <c r="C2608" s="8">
        <v>46290</v>
      </c>
      <c r="D2608" s="6">
        <v>46266</v>
      </c>
      <c r="E2608" s="2" t="s">
        <v>260</v>
      </c>
      <c r="F2608" s="2" t="s">
        <v>7352</v>
      </c>
      <c r="G2608" s="6">
        <v>46235</v>
      </c>
      <c r="H2608" s="2" t="s">
        <v>176</v>
      </c>
      <c r="I2608" s="2" t="s">
        <v>70</v>
      </c>
      <c r="J2608" s="9">
        <v>3347.1507689999999</v>
      </c>
      <c r="K2608" s="7">
        <v>0.65100000000000002</v>
      </c>
      <c r="L2608" s="9">
        <v>2179</v>
      </c>
      <c r="M2608" s="9">
        <v>2175.65</v>
      </c>
      <c r="N2608" s="9">
        <v>1.8</v>
      </c>
      <c r="O2608" s="10">
        <f>IF(AND(OR(H2608="APPROVED",H2608="SCHEDULED"),COUNTIFS(tblSource[EventID],F2608,tblSource[ReleaseStatus],"APPROVED")=1,COUNTIFS(Period_Status!$A$2:$A$8,G2608,Period_Status!$B$2:$B$8,"ActualClosed")=1,C2608&gt;EOMONTH(Settlement_Bridge!$C$2,0)),1,0)</f>
        <v>0</v>
      </c>
      <c r="P2608" s="2" t="s">
        <v>7355</v>
      </c>
    </row>
    <row r="2609" spans="1:16" x14ac:dyDescent="0.25">
      <c r="A2609" s="2" t="s">
        <v>7356</v>
      </c>
      <c r="B2609" s="2" t="s">
        <v>199</v>
      </c>
      <c r="C2609" s="8">
        <v>46276</v>
      </c>
      <c r="D2609" s="6">
        <v>46266</v>
      </c>
      <c r="E2609" s="2" t="s">
        <v>260</v>
      </c>
      <c r="F2609" s="2" t="s">
        <v>7357</v>
      </c>
      <c r="G2609" s="6">
        <v>46235</v>
      </c>
      <c r="H2609" s="2" t="s">
        <v>176</v>
      </c>
      <c r="I2609" s="2" t="s">
        <v>39</v>
      </c>
      <c r="J2609" s="9">
        <v>3799.09</v>
      </c>
      <c r="K2609" s="7">
        <v>1</v>
      </c>
      <c r="L2609" s="9">
        <v>3799.09</v>
      </c>
      <c r="M2609" s="9">
        <v>3799.09</v>
      </c>
      <c r="N2609" s="9">
        <v>2.09</v>
      </c>
      <c r="O2609" s="10">
        <f>IF(AND(OR(H2609="APPROVED",H2609="SCHEDULED"),COUNTIFS(tblSource[EventID],F2609,tblSource[ReleaseStatus],"APPROVED")=1,COUNTIFS(Period_Status!$A$2:$A$8,G2609,Period_Status!$B$2:$B$8,"ActualClosed")=1,C2609&gt;EOMONTH(Settlement_Bridge!$C$2,0)),1,0)</f>
        <v>0</v>
      </c>
      <c r="P2609" s="2" t="s">
        <v>7358</v>
      </c>
    </row>
    <row r="2610" spans="1:16" x14ac:dyDescent="0.25">
      <c r="A2610" s="2" t="s">
        <v>7359</v>
      </c>
      <c r="B2610" s="2" t="s">
        <v>199</v>
      </c>
      <c r="C2610" s="8">
        <v>46277</v>
      </c>
      <c r="D2610" s="6">
        <v>46266</v>
      </c>
      <c r="E2610" s="2" t="s">
        <v>260</v>
      </c>
      <c r="F2610" s="2" t="s">
        <v>7360</v>
      </c>
      <c r="G2610" s="6">
        <v>46235</v>
      </c>
      <c r="H2610" s="2" t="s">
        <v>176</v>
      </c>
      <c r="I2610" s="2" t="s">
        <v>76</v>
      </c>
      <c r="J2610" s="9">
        <v>64586991.869919002</v>
      </c>
      <c r="K2610" s="7">
        <v>6.1299999999999999E-5</v>
      </c>
      <c r="L2610" s="9">
        <v>3959.18</v>
      </c>
      <c r="M2610" s="9">
        <v>3972.1</v>
      </c>
      <c r="N2610" s="9">
        <v>2.1800000000000002</v>
      </c>
      <c r="O2610" s="10">
        <f>IF(AND(OR(H2610="APPROVED",H2610="SCHEDULED"),COUNTIFS(tblSource[EventID],F2610,tblSource[ReleaseStatus],"APPROVED")=1,COUNTIFS(Period_Status!$A$2:$A$8,G2610,Period_Status!$B$2:$B$8,"ActualClosed")=1,C2610&gt;EOMONTH(Settlement_Bridge!$C$2,0)),1,0)</f>
        <v>0</v>
      </c>
      <c r="P2610" s="2" t="s">
        <v>7361</v>
      </c>
    </row>
    <row r="2611" spans="1:16" x14ac:dyDescent="0.25">
      <c r="A2611" s="2" t="s">
        <v>7362</v>
      </c>
      <c r="B2611" s="2" t="s">
        <v>199</v>
      </c>
      <c r="C2611" s="8">
        <v>46278</v>
      </c>
      <c r="D2611" s="6">
        <v>46266</v>
      </c>
      <c r="E2611" s="2" t="s">
        <v>260</v>
      </c>
      <c r="F2611" s="2" t="s">
        <v>7363</v>
      </c>
      <c r="G2611" s="6">
        <v>46235</v>
      </c>
      <c r="H2611" s="2" t="s">
        <v>176</v>
      </c>
      <c r="I2611" s="2" t="s">
        <v>70</v>
      </c>
      <c r="J2611" s="9">
        <v>6377.0923080000002</v>
      </c>
      <c r="K2611" s="7">
        <v>0.65100000000000002</v>
      </c>
      <c r="L2611" s="9">
        <v>4151.49</v>
      </c>
      <c r="M2611" s="9">
        <v>4145.1099999999997</v>
      </c>
      <c r="N2611" s="9">
        <v>2.2799999999999998</v>
      </c>
      <c r="O2611" s="10">
        <f>IF(AND(OR(H2611="APPROVED",H2611="SCHEDULED"),COUNTIFS(tblSource[EventID],F2611,tblSource[ReleaseStatus],"APPROVED")=1,COUNTIFS(Period_Status!$A$2:$A$8,G2611,Period_Status!$B$2:$B$8,"ActualClosed")=1,C2611&gt;EOMONTH(Settlement_Bridge!$C$2,0)),1,0)</f>
        <v>0</v>
      </c>
      <c r="P2611" s="2" t="s">
        <v>7364</v>
      </c>
    </row>
    <row r="2612" spans="1:16" x14ac:dyDescent="0.25">
      <c r="A2612" s="2" t="s">
        <v>7365</v>
      </c>
      <c r="B2612" s="2" t="s">
        <v>199</v>
      </c>
      <c r="C2612" s="8">
        <v>46279</v>
      </c>
      <c r="D2612" s="6">
        <v>46266</v>
      </c>
      <c r="E2612" s="2" t="s">
        <v>260</v>
      </c>
      <c r="F2612" s="2" t="s">
        <v>7366</v>
      </c>
      <c r="G2612" s="6">
        <v>46235</v>
      </c>
      <c r="H2612" s="2" t="s">
        <v>176</v>
      </c>
      <c r="I2612" s="2" t="s">
        <v>39</v>
      </c>
      <c r="J2612" s="9">
        <v>4318.12</v>
      </c>
      <c r="K2612" s="7">
        <v>1</v>
      </c>
      <c r="L2612" s="9">
        <v>4318.12</v>
      </c>
      <c r="M2612" s="9">
        <v>4318.12</v>
      </c>
      <c r="N2612" s="9">
        <v>2.37</v>
      </c>
      <c r="O2612" s="10">
        <f>IF(AND(OR(H2612="APPROVED",H2612="SCHEDULED"),COUNTIFS(tblSource[EventID],F2612,tblSource[ReleaseStatus],"APPROVED")=1,COUNTIFS(Period_Status!$A$2:$A$8,G2612,Period_Status!$B$2:$B$8,"ActualClosed")=1,C2612&gt;EOMONTH(Settlement_Bridge!$C$2,0)),1,0)</f>
        <v>0</v>
      </c>
      <c r="P2612" s="2" t="s">
        <v>7367</v>
      </c>
    </row>
    <row r="2613" spans="1:16" x14ac:dyDescent="0.25">
      <c r="A2613" s="2" t="s">
        <v>7368</v>
      </c>
      <c r="B2613" s="2" t="s">
        <v>199</v>
      </c>
      <c r="C2613" s="8">
        <v>46280</v>
      </c>
      <c r="D2613" s="6">
        <v>46266</v>
      </c>
      <c r="E2613" s="2" t="s">
        <v>260</v>
      </c>
      <c r="F2613" s="2" t="s">
        <v>7369</v>
      </c>
      <c r="G2613" s="6">
        <v>46235</v>
      </c>
      <c r="H2613" s="2" t="s">
        <v>176</v>
      </c>
      <c r="I2613" s="2" t="s">
        <v>76</v>
      </c>
      <c r="J2613" s="9">
        <v>73026504.065041006</v>
      </c>
      <c r="K2613" s="7">
        <v>6.1299999999999999E-5</v>
      </c>
      <c r="L2613" s="9">
        <v>4476.5200000000004</v>
      </c>
      <c r="M2613" s="9">
        <v>4491.13</v>
      </c>
      <c r="N2613" s="9">
        <v>2.46</v>
      </c>
      <c r="O2613" s="10">
        <f>IF(AND(OR(H2613="APPROVED",H2613="SCHEDULED"),COUNTIFS(tblSource[EventID],F2613,tblSource[ReleaseStatus],"APPROVED")=1,COUNTIFS(Period_Status!$A$2:$A$8,G2613,Period_Status!$B$2:$B$8,"ActualClosed")=1,C2613&gt;EOMONTH(Settlement_Bridge!$C$2,0)),1,0)</f>
        <v>0</v>
      </c>
      <c r="P2613" s="2" t="s">
        <v>7370</v>
      </c>
    </row>
    <row r="2614" spans="1:16" x14ac:dyDescent="0.25">
      <c r="A2614" s="2" t="s">
        <v>7371</v>
      </c>
      <c r="B2614" s="2" t="s">
        <v>199</v>
      </c>
      <c r="C2614" s="8">
        <v>46271</v>
      </c>
      <c r="D2614" s="6">
        <v>46266</v>
      </c>
      <c r="E2614" s="2" t="s">
        <v>260</v>
      </c>
      <c r="F2614" s="2" t="s">
        <v>7372</v>
      </c>
      <c r="G2614" s="6">
        <v>46235</v>
      </c>
      <c r="H2614" s="2" t="s">
        <v>176</v>
      </c>
      <c r="I2614" s="2" t="s">
        <v>70</v>
      </c>
      <c r="J2614" s="9">
        <v>-7175.6</v>
      </c>
      <c r="K2614" s="7">
        <v>0.65100000000000002</v>
      </c>
      <c r="L2614" s="9">
        <v>-4671.32</v>
      </c>
      <c r="M2614" s="9">
        <v>-4664.1400000000003</v>
      </c>
      <c r="N2614" s="9">
        <v>0</v>
      </c>
      <c r="O2614" s="10">
        <f>IF(AND(OR(H2614="APPROVED",H2614="SCHEDULED"),COUNTIFS(tblSource[EventID],F2614,tblSource[ReleaseStatus],"APPROVED")=1,COUNTIFS(Period_Status!$A$2:$A$8,G2614,Period_Status!$B$2:$B$8,"ActualClosed")=1,C2614&gt;EOMONTH(Settlement_Bridge!$C$2,0)),1,0)</f>
        <v>0</v>
      </c>
      <c r="P2614" s="2" t="s">
        <v>7373</v>
      </c>
    </row>
    <row r="2615" spans="1:16" x14ac:dyDescent="0.25">
      <c r="A2615" s="2" t="s">
        <v>7374</v>
      </c>
      <c r="B2615" s="2" t="s">
        <v>199</v>
      </c>
      <c r="C2615" s="8">
        <v>46272</v>
      </c>
      <c r="D2615" s="6">
        <v>46266</v>
      </c>
      <c r="E2615" s="2" t="s">
        <v>260</v>
      </c>
      <c r="F2615" s="2" t="s">
        <v>7375</v>
      </c>
      <c r="G2615" s="6">
        <v>46235</v>
      </c>
      <c r="H2615" s="2" t="s">
        <v>176</v>
      </c>
      <c r="I2615" s="2" t="s">
        <v>39</v>
      </c>
      <c r="J2615" s="9">
        <v>1934.86</v>
      </c>
      <c r="K2615" s="7">
        <v>1</v>
      </c>
      <c r="L2615" s="9">
        <v>1934.86</v>
      </c>
      <c r="M2615" s="9">
        <v>1934.86</v>
      </c>
      <c r="N2615" s="9">
        <v>1.8</v>
      </c>
      <c r="O2615" s="10">
        <f>IF(AND(OR(H2615="APPROVED",H2615="SCHEDULED"),COUNTIFS(tblSource[EventID],F2615,tblSource[ReleaseStatus],"APPROVED")=1,COUNTIFS(Period_Status!$A$2:$A$8,G2615,Period_Status!$B$2:$B$8,"ActualClosed")=1,C2615&gt;EOMONTH(Settlement_Bridge!$C$2,0)),1,0)</f>
        <v>0</v>
      </c>
      <c r="P2615" s="2" t="s">
        <v>7376</v>
      </c>
    </row>
    <row r="2616" spans="1:16" x14ac:dyDescent="0.25">
      <c r="A2616" s="2" t="s">
        <v>7377</v>
      </c>
      <c r="B2616" s="2" t="s">
        <v>199</v>
      </c>
      <c r="C2616" s="8">
        <v>46297</v>
      </c>
      <c r="D2616" s="6">
        <v>46296</v>
      </c>
      <c r="E2616" s="2" t="s">
        <v>260</v>
      </c>
      <c r="F2616" s="2" t="s">
        <v>7375</v>
      </c>
      <c r="G2616" s="6">
        <v>46235</v>
      </c>
      <c r="H2616" s="2" t="s">
        <v>176</v>
      </c>
      <c r="I2616" s="2" t="s">
        <v>39</v>
      </c>
      <c r="J2616" s="9">
        <v>2902.29</v>
      </c>
      <c r="K2616" s="7">
        <v>1</v>
      </c>
      <c r="L2616" s="9">
        <v>2902.29</v>
      </c>
      <c r="M2616" s="9">
        <v>2902.29</v>
      </c>
      <c r="N2616" s="9">
        <v>1.8</v>
      </c>
      <c r="O2616" s="10">
        <f>IF(AND(OR(H2616="APPROVED",H2616="SCHEDULED"),COUNTIFS(tblSource[EventID],F2616,tblSource[ReleaseStatus],"APPROVED")=1,COUNTIFS(Period_Status!$A$2:$A$8,G2616,Period_Status!$B$2:$B$8,"ActualClosed")=1,C2616&gt;EOMONTH(Settlement_Bridge!$C$2,0)),1,0)</f>
        <v>0</v>
      </c>
      <c r="P2616" s="2" t="s">
        <v>7378</v>
      </c>
    </row>
    <row r="2617" spans="1:16" x14ac:dyDescent="0.25">
      <c r="A2617" s="2" t="s">
        <v>7379</v>
      </c>
      <c r="B2617" s="2" t="s">
        <v>199</v>
      </c>
      <c r="C2617" s="8">
        <v>46283</v>
      </c>
      <c r="D2617" s="6">
        <v>46266</v>
      </c>
      <c r="E2617" s="2" t="s">
        <v>260</v>
      </c>
      <c r="F2617" s="2" t="s">
        <v>7380</v>
      </c>
      <c r="G2617" s="6">
        <v>46235</v>
      </c>
      <c r="H2617" s="2" t="s">
        <v>176</v>
      </c>
      <c r="I2617" s="2" t="s">
        <v>76</v>
      </c>
      <c r="J2617" s="9">
        <v>81466016.260162994</v>
      </c>
      <c r="K2617" s="7">
        <v>6.1299999999999999E-5</v>
      </c>
      <c r="L2617" s="9">
        <v>4993.87</v>
      </c>
      <c r="M2617" s="9">
        <v>5010.16</v>
      </c>
      <c r="N2617" s="9">
        <v>2.75</v>
      </c>
      <c r="O2617" s="10">
        <f>IF(AND(OR(H2617="APPROVED",H2617="SCHEDULED"),COUNTIFS(tblSource[EventID],F2617,tblSource[ReleaseStatus],"APPROVED")=1,COUNTIFS(Period_Status!$A$2:$A$8,G2617,Period_Status!$B$2:$B$8,"ActualClosed")=1,C2617&gt;EOMONTH(Settlement_Bridge!$C$2,0)),1,0)</f>
        <v>0</v>
      </c>
      <c r="P2617" s="2" t="s">
        <v>7381</v>
      </c>
    </row>
    <row r="2618" spans="1:16" x14ac:dyDescent="0.25">
      <c r="A2618" s="2" t="s">
        <v>7382</v>
      </c>
      <c r="B2618" s="2" t="s">
        <v>199</v>
      </c>
      <c r="C2618" s="8">
        <v>46284</v>
      </c>
      <c r="D2618" s="6">
        <v>46266</v>
      </c>
      <c r="E2618" s="2" t="s">
        <v>260</v>
      </c>
      <c r="F2618" s="2" t="s">
        <v>7383</v>
      </c>
      <c r="G2618" s="6">
        <v>46235</v>
      </c>
      <c r="H2618" s="2" t="s">
        <v>176</v>
      </c>
      <c r="I2618" s="2" t="s">
        <v>70</v>
      </c>
      <c r="J2618" s="9">
        <v>7974.1076919999996</v>
      </c>
      <c r="K2618" s="7">
        <v>0.65100000000000002</v>
      </c>
      <c r="L2618" s="9">
        <v>5191.1400000000003</v>
      </c>
      <c r="M2618" s="9">
        <v>5183.17</v>
      </c>
      <c r="N2618" s="9">
        <v>2.86</v>
      </c>
      <c r="O2618" s="10">
        <f>IF(AND(OR(H2618="APPROVED",H2618="SCHEDULED"),COUNTIFS(tblSource[EventID],F2618,tblSource[ReleaseStatus],"APPROVED")=1,COUNTIFS(Period_Status!$A$2:$A$8,G2618,Period_Status!$B$2:$B$8,"ActualClosed")=1,C2618&gt;EOMONTH(Settlement_Bridge!$C$2,0)),1,0)</f>
        <v>0</v>
      </c>
      <c r="P2618" s="2" t="s">
        <v>7384</v>
      </c>
    </row>
    <row r="2619" spans="1:16" x14ac:dyDescent="0.25">
      <c r="A2619" s="2" t="s">
        <v>7385</v>
      </c>
      <c r="B2619" s="2" t="s">
        <v>199</v>
      </c>
      <c r="C2619" s="8">
        <v>46275</v>
      </c>
      <c r="D2619" s="6">
        <v>46266</v>
      </c>
      <c r="E2619" s="2" t="s">
        <v>260</v>
      </c>
      <c r="F2619" s="2" t="s">
        <v>7386</v>
      </c>
      <c r="G2619" s="6">
        <v>46235</v>
      </c>
      <c r="H2619" s="2" t="s">
        <v>176</v>
      </c>
      <c r="I2619" s="2" t="s">
        <v>39</v>
      </c>
      <c r="J2619" s="9">
        <v>2142.4720000000002</v>
      </c>
      <c r="K2619" s="7">
        <v>1</v>
      </c>
      <c r="L2619" s="9">
        <v>2142.4699999999998</v>
      </c>
      <c r="M2619" s="9">
        <v>2142.4699999999998</v>
      </c>
      <c r="N2619" s="9">
        <v>1.8</v>
      </c>
      <c r="O2619" s="10">
        <f>IF(AND(OR(H2619="APPROVED",H2619="SCHEDULED"),COUNTIFS(tblSource[EventID],F2619,tblSource[ReleaseStatus],"APPROVED")=1,COUNTIFS(Period_Status!$A$2:$A$8,G2619,Period_Status!$B$2:$B$8,"ActualClosed")=1,C2619&gt;EOMONTH(Settlement_Bridge!$C$2,0)),1,0)</f>
        <v>0</v>
      </c>
      <c r="P2619" s="2" t="s">
        <v>7387</v>
      </c>
    </row>
    <row r="2620" spans="1:16" x14ac:dyDescent="0.25">
      <c r="A2620" s="2" t="s">
        <v>7388</v>
      </c>
      <c r="B2620" s="2" t="s">
        <v>199</v>
      </c>
      <c r="C2620" s="8">
        <v>46300</v>
      </c>
      <c r="D2620" s="6">
        <v>46296</v>
      </c>
      <c r="E2620" s="2" t="s">
        <v>260</v>
      </c>
      <c r="F2620" s="2" t="s">
        <v>7386</v>
      </c>
      <c r="G2620" s="6">
        <v>46235</v>
      </c>
      <c r="H2620" s="2" t="s">
        <v>176</v>
      </c>
      <c r="I2620" s="2" t="s">
        <v>39</v>
      </c>
      <c r="J2620" s="9">
        <v>3213.7080000000001</v>
      </c>
      <c r="K2620" s="7">
        <v>1</v>
      </c>
      <c r="L2620" s="9">
        <v>3213.71</v>
      </c>
      <c r="M2620" s="9">
        <v>3213.71</v>
      </c>
      <c r="N2620" s="9">
        <v>1.8</v>
      </c>
      <c r="O2620" s="10">
        <f>IF(AND(OR(H2620="APPROVED",H2620="SCHEDULED"),COUNTIFS(tblSource[EventID],F2620,tblSource[ReleaseStatus],"APPROVED")=1,COUNTIFS(Period_Status!$A$2:$A$8,G2620,Period_Status!$B$2:$B$8,"ActualClosed")=1,C2620&gt;EOMONTH(Settlement_Bridge!$C$2,0)),1,0)</f>
        <v>0</v>
      </c>
      <c r="P2620" s="2" t="s">
        <v>7389</v>
      </c>
    </row>
    <row r="2621" spans="1:16" x14ac:dyDescent="0.25">
      <c r="A2621" s="2" t="s">
        <v>7390</v>
      </c>
      <c r="B2621" s="2" t="s">
        <v>199</v>
      </c>
      <c r="C2621" s="8">
        <v>46286</v>
      </c>
      <c r="D2621" s="6">
        <v>46266</v>
      </c>
      <c r="E2621" s="2" t="s">
        <v>260</v>
      </c>
      <c r="F2621" s="2" t="s">
        <v>7391</v>
      </c>
      <c r="G2621" s="6">
        <v>46235</v>
      </c>
      <c r="H2621" s="2" t="s">
        <v>176</v>
      </c>
      <c r="I2621" s="2" t="s">
        <v>76</v>
      </c>
      <c r="J2621" s="9">
        <v>89905528.455284998</v>
      </c>
      <c r="K2621" s="7">
        <v>6.1299999999999999E-5</v>
      </c>
      <c r="L2621" s="9">
        <v>5511.21</v>
      </c>
      <c r="M2621" s="9">
        <v>5529.19</v>
      </c>
      <c r="N2621" s="9">
        <v>3.03</v>
      </c>
      <c r="O2621" s="10">
        <f>IF(AND(OR(H2621="APPROVED",H2621="SCHEDULED"),COUNTIFS(tblSource[EventID],F2621,tblSource[ReleaseStatus],"APPROVED")=1,COUNTIFS(Period_Status!$A$2:$A$8,G2621,Period_Status!$B$2:$B$8,"ActualClosed")=1,C2621&gt;EOMONTH(Settlement_Bridge!$C$2,0)),1,0)</f>
        <v>0</v>
      </c>
      <c r="P2621" s="2" t="s">
        <v>7392</v>
      </c>
    </row>
    <row r="2622" spans="1:16" x14ac:dyDescent="0.25">
      <c r="A2622" s="2" t="s">
        <v>7393</v>
      </c>
      <c r="B2622" s="2" t="s">
        <v>199</v>
      </c>
      <c r="C2622" s="8">
        <v>46287</v>
      </c>
      <c r="D2622" s="6">
        <v>46266</v>
      </c>
      <c r="E2622" s="2" t="s">
        <v>260</v>
      </c>
      <c r="F2622" s="2" t="s">
        <v>7394</v>
      </c>
      <c r="G2622" s="6">
        <v>46235</v>
      </c>
      <c r="H2622" s="2" t="s">
        <v>176</v>
      </c>
      <c r="I2622" s="2" t="s">
        <v>70</v>
      </c>
      <c r="J2622" s="9">
        <v>8772.6153849999992</v>
      </c>
      <c r="K2622" s="7">
        <v>0.65100000000000002</v>
      </c>
      <c r="L2622" s="9">
        <v>5710.97</v>
      </c>
      <c r="M2622" s="9">
        <v>5702.2</v>
      </c>
      <c r="N2622" s="9">
        <v>3.14</v>
      </c>
      <c r="O2622" s="10">
        <f>IF(AND(OR(H2622="APPROVED",H2622="SCHEDULED"),COUNTIFS(tblSource[EventID],F2622,tblSource[ReleaseStatus],"APPROVED")=1,COUNTIFS(Period_Status!$A$2:$A$8,G2622,Period_Status!$B$2:$B$8,"ActualClosed")=1,C2622&gt;EOMONTH(Settlement_Bridge!$C$2,0)),1,0)</f>
        <v>0</v>
      </c>
      <c r="P2622" s="2" t="s">
        <v>7395</v>
      </c>
    </row>
    <row r="2623" spans="1:16" x14ac:dyDescent="0.25">
      <c r="A2623" s="2" t="s">
        <v>7396</v>
      </c>
      <c r="B2623" s="2" t="s">
        <v>199</v>
      </c>
      <c r="C2623" s="8">
        <v>46288</v>
      </c>
      <c r="D2623" s="6">
        <v>46266</v>
      </c>
      <c r="E2623" s="2" t="s">
        <v>260</v>
      </c>
      <c r="F2623" s="2" t="s">
        <v>7397</v>
      </c>
      <c r="G2623" s="6">
        <v>46235</v>
      </c>
      <c r="H2623" s="2" t="s">
        <v>176</v>
      </c>
      <c r="I2623" s="2" t="s">
        <v>39</v>
      </c>
      <c r="J2623" s="9">
        <v>5875.21</v>
      </c>
      <c r="K2623" s="7">
        <v>1</v>
      </c>
      <c r="L2623" s="9">
        <v>5875.21</v>
      </c>
      <c r="M2623" s="9">
        <v>5875.21</v>
      </c>
      <c r="N2623" s="9">
        <v>3.23</v>
      </c>
      <c r="O2623" s="10">
        <f>IF(AND(OR(H2623="APPROVED",H2623="SCHEDULED"),COUNTIFS(tblSource[EventID],F2623,tblSource[ReleaseStatus],"APPROVED")=1,COUNTIFS(Period_Status!$A$2:$A$8,G2623,Period_Status!$B$2:$B$8,"ActualClosed")=1,C2623&gt;EOMONTH(Settlement_Bridge!$C$2,0)),1,0)</f>
        <v>0</v>
      </c>
      <c r="P2623" s="2" t="s">
        <v>7398</v>
      </c>
    </row>
    <row r="2624" spans="1:16" x14ac:dyDescent="0.25">
      <c r="A2624" s="2" t="s">
        <v>7399</v>
      </c>
      <c r="B2624" s="2" t="s">
        <v>199</v>
      </c>
      <c r="C2624" s="8">
        <v>46289</v>
      </c>
      <c r="D2624" s="6">
        <v>46266</v>
      </c>
      <c r="E2624" s="2" t="s">
        <v>260</v>
      </c>
      <c r="F2624" s="2" t="s">
        <v>7400</v>
      </c>
      <c r="G2624" s="6">
        <v>46235</v>
      </c>
      <c r="H2624" s="2" t="s">
        <v>176</v>
      </c>
      <c r="I2624" s="2" t="s">
        <v>76</v>
      </c>
      <c r="J2624" s="9">
        <v>98345040.650406003</v>
      </c>
      <c r="K2624" s="7">
        <v>6.1299999999999999E-5</v>
      </c>
      <c r="L2624" s="9">
        <v>6028.55</v>
      </c>
      <c r="M2624" s="9">
        <v>6048.22</v>
      </c>
      <c r="N2624" s="9">
        <v>3.32</v>
      </c>
      <c r="O2624" s="10">
        <f>IF(AND(OR(H2624="APPROVED",H2624="SCHEDULED"),COUNTIFS(tblSource[EventID],F2624,tblSource[ReleaseStatus],"APPROVED")=1,COUNTIFS(Period_Status!$A$2:$A$8,G2624,Period_Status!$B$2:$B$8,"ActualClosed")=1,C2624&gt;EOMONTH(Settlement_Bridge!$C$2,0)),1,0)</f>
        <v>0</v>
      </c>
      <c r="P2624" s="2" t="s">
        <v>7401</v>
      </c>
    </row>
    <row r="2625" spans="1:16" x14ac:dyDescent="0.25">
      <c r="A2625" s="2" t="s">
        <v>7402</v>
      </c>
      <c r="B2625" s="2" t="s">
        <v>199</v>
      </c>
      <c r="C2625" s="8">
        <v>46259</v>
      </c>
      <c r="D2625" s="6">
        <v>46235</v>
      </c>
      <c r="E2625" s="2" t="s">
        <v>260</v>
      </c>
      <c r="F2625" s="2" t="s">
        <v>7403</v>
      </c>
      <c r="G2625" s="6">
        <v>46235</v>
      </c>
      <c r="H2625" s="2" t="s">
        <v>71</v>
      </c>
      <c r="I2625" s="2" t="s">
        <v>70</v>
      </c>
      <c r="J2625" s="9">
        <v>9571.1230770000002</v>
      </c>
      <c r="K2625" s="7">
        <v>0.65</v>
      </c>
      <c r="L2625" s="9">
        <v>6221.23</v>
      </c>
      <c r="M2625" s="9">
        <v>6221.23</v>
      </c>
      <c r="N2625" s="9">
        <v>3.42</v>
      </c>
      <c r="O2625" s="10">
        <f>IF(AND(OR(H2625="APPROVED",H2625="SCHEDULED"),COUNTIFS(tblSource[EventID],F2625,tblSource[ReleaseStatus],"APPROVED")=1,COUNTIFS(Period_Status!$A$2:$A$8,G2625,Period_Status!$B$2:$B$8,"ActualClosed")=1,C2625&gt;EOMONTH(Settlement_Bridge!$C$2,0)),1,0)</f>
        <v>0</v>
      </c>
      <c r="P2625" s="2" t="s">
        <v>7404</v>
      </c>
    </row>
    <row r="2626" spans="1:16" x14ac:dyDescent="0.25">
      <c r="A2626" s="2" t="s">
        <v>7405</v>
      </c>
      <c r="B2626" s="2" t="s">
        <v>199</v>
      </c>
      <c r="C2626" s="8">
        <v>46250</v>
      </c>
      <c r="D2626" s="6">
        <v>46235</v>
      </c>
      <c r="E2626" s="2" t="s">
        <v>260</v>
      </c>
      <c r="F2626" s="2" t="s">
        <v>7406</v>
      </c>
      <c r="G2626" s="6">
        <v>46235</v>
      </c>
      <c r="H2626" s="2" t="s">
        <v>71</v>
      </c>
      <c r="I2626" s="2" t="s">
        <v>39</v>
      </c>
      <c r="J2626" s="9">
        <v>2557.6959999999999</v>
      </c>
      <c r="K2626" s="7">
        <v>1</v>
      </c>
      <c r="L2626" s="9">
        <v>2557.6999999999998</v>
      </c>
      <c r="M2626" s="9">
        <v>2557.6999999999998</v>
      </c>
      <c r="N2626" s="9">
        <v>1.8</v>
      </c>
      <c r="O2626" s="10">
        <f>IF(AND(OR(H2626="APPROVED",H2626="SCHEDULED"),COUNTIFS(tblSource[EventID],F2626,tblSource[ReleaseStatus],"APPROVED")=1,COUNTIFS(Period_Status!$A$2:$A$8,G2626,Period_Status!$B$2:$B$8,"ActualClosed")=1,C2626&gt;EOMONTH(Settlement_Bridge!$C$2,0)),1,0)</f>
        <v>0</v>
      </c>
      <c r="P2626" s="2" t="s">
        <v>7407</v>
      </c>
    </row>
    <row r="2627" spans="1:16" x14ac:dyDescent="0.25">
      <c r="A2627" s="2" t="s">
        <v>7408</v>
      </c>
      <c r="B2627" s="2" t="s">
        <v>199</v>
      </c>
      <c r="C2627" s="8">
        <v>46275</v>
      </c>
      <c r="D2627" s="6">
        <v>46266</v>
      </c>
      <c r="E2627" s="2" t="s">
        <v>260</v>
      </c>
      <c r="F2627" s="2" t="s">
        <v>7406</v>
      </c>
      <c r="G2627" s="6">
        <v>46235</v>
      </c>
      <c r="H2627" s="2" t="s">
        <v>176</v>
      </c>
      <c r="I2627" s="2" t="s">
        <v>39</v>
      </c>
      <c r="J2627" s="9">
        <v>3836.5439999999999</v>
      </c>
      <c r="K2627" s="7">
        <v>1</v>
      </c>
      <c r="L2627" s="9">
        <v>3836.54</v>
      </c>
      <c r="M2627" s="9">
        <v>3836.54</v>
      </c>
      <c r="N2627" s="9">
        <v>2.11</v>
      </c>
      <c r="O2627" s="10">
        <f>IF(AND(OR(H2627="APPROVED",H2627="SCHEDULED"),COUNTIFS(tblSource[EventID],F2627,tblSource[ReleaseStatus],"APPROVED")=1,COUNTIFS(Period_Status!$A$2:$A$8,G2627,Period_Status!$B$2:$B$8,"ActualClosed")=1,C2627&gt;EOMONTH(Settlement_Bridge!$C$2,0)),1,0)</f>
        <v>0</v>
      </c>
      <c r="P2627" s="2" t="s">
        <v>7409</v>
      </c>
    </row>
    <row r="2628" spans="1:16" x14ac:dyDescent="0.25">
      <c r="A2628" s="2" t="s">
        <v>7410</v>
      </c>
      <c r="B2628" s="2" t="s">
        <v>199</v>
      </c>
      <c r="C2628" s="8">
        <v>46251</v>
      </c>
      <c r="D2628" s="6">
        <v>46235</v>
      </c>
      <c r="E2628" s="2" t="s">
        <v>260</v>
      </c>
      <c r="F2628" s="2" t="s">
        <v>7411</v>
      </c>
      <c r="G2628" s="6">
        <v>46235</v>
      </c>
      <c r="H2628" s="2" t="s">
        <v>71</v>
      </c>
      <c r="I2628" s="2" t="s">
        <v>76</v>
      </c>
      <c r="J2628" s="9">
        <v>42713821.138210997</v>
      </c>
      <c r="K2628" s="7">
        <v>6.1500000000000004E-5</v>
      </c>
      <c r="L2628" s="9">
        <v>2626.9</v>
      </c>
      <c r="M2628" s="9">
        <v>2626.9</v>
      </c>
      <c r="N2628" s="9">
        <v>1.8</v>
      </c>
      <c r="O2628" s="10">
        <f>IF(AND(OR(H2628="APPROVED",H2628="SCHEDULED"),COUNTIFS(tblSource[EventID],F2628,tblSource[ReleaseStatus],"APPROVED")=1,COUNTIFS(Period_Status!$A$2:$A$8,G2628,Period_Status!$B$2:$B$8,"ActualClosed")=1,C2628&gt;EOMONTH(Settlement_Bridge!$C$2,0)),1,0)</f>
        <v>0</v>
      </c>
      <c r="P2628" s="2" t="s">
        <v>7412</v>
      </c>
    </row>
    <row r="2629" spans="1:16" x14ac:dyDescent="0.25">
      <c r="A2629" s="2" t="s">
        <v>7413</v>
      </c>
      <c r="B2629" s="2" t="s">
        <v>199</v>
      </c>
      <c r="C2629" s="8">
        <v>46276</v>
      </c>
      <c r="D2629" s="6">
        <v>46266</v>
      </c>
      <c r="E2629" s="2" t="s">
        <v>260</v>
      </c>
      <c r="F2629" s="2" t="s">
        <v>7411</v>
      </c>
      <c r="G2629" s="6">
        <v>46235</v>
      </c>
      <c r="H2629" s="2" t="s">
        <v>176</v>
      </c>
      <c r="I2629" s="2" t="s">
        <v>76</v>
      </c>
      <c r="J2629" s="9">
        <v>64070731.707317002</v>
      </c>
      <c r="K2629" s="7">
        <v>6.1299999999999999E-5</v>
      </c>
      <c r="L2629" s="9">
        <v>3927.54</v>
      </c>
      <c r="M2629" s="9">
        <v>3940.35</v>
      </c>
      <c r="N2629" s="9">
        <v>2.16</v>
      </c>
      <c r="O2629" s="10">
        <f>IF(AND(OR(H2629="APPROVED",H2629="SCHEDULED"),COUNTIFS(tblSource[EventID],F2629,tblSource[ReleaseStatus],"APPROVED")=1,COUNTIFS(Period_Status!$A$2:$A$8,G2629,Period_Status!$B$2:$B$8,"ActualClosed")=1,C2629&gt;EOMONTH(Settlement_Bridge!$C$2,0)),1,0)</f>
        <v>0</v>
      </c>
      <c r="P2629" s="2" t="s">
        <v>7414</v>
      </c>
    </row>
    <row r="2630" spans="1:16" x14ac:dyDescent="0.25">
      <c r="A2630" s="2" t="s">
        <v>7415</v>
      </c>
      <c r="B2630" s="2" t="s">
        <v>199</v>
      </c>
      <c r="C2630" s="8">
        <v>46262</v>
      </c>
      <c r="D2630" s="6">
        <v>46235</v>
      </c>
      <c r="E2630" s="2" t="s">
        <v>260</v>
      </c>
      <c r="F2630" s="2" t="s">
        <v>7416</v>
      </c>
      <c r="G2630" s="6">
        <v>46235</v>
      </c>
      <c r="H2630" s="2" t="s">
        <v>71</v>
      </c>
      <c r="I2630" s="2" t="s">
        <v>70</v>
      </c>
      <c r="J2630" s="9">
        <v>10369.630768999999</v>
      </c>
      <c r="K2630" s="7">
        <v>0.65</v>
      </c>
      <c r="L2630" s="9">
        <v>6740.26</v>
      </c>
      <c r="M2630" s="9">
        <v>6740.26</v>
      </c>
      <c r="N2630" s="9">
        <v>3.71</v>
      </c>
      <c r="O2630" s="10">
        <f>IF(AND(OR(H2630="APPROVED",H2630="SCHEDULED"),COUNTIFS(tblSource[EventID],F2630,tblSource[ReleaseStatus],"APPROVED")=1,COUNTIFS(Period_Status!$A$2:$A$8,G2630,Period_Status!$B$2:$B$8,"ActualClosed")=1,C2630&gt;EOMONTH(Settlement_Bridge!$C$2,0)),1,0)</f>
        <v>0</v>
      </c>
      <c r="P2630" s="2" t="s">
        <v>7417</v>
      </c>
    </row>
    <row r="2631" spans="1:16" x14ac:dyDescent="0.25">
      <c r="A2631" s="2" t="s">
        <v>7418</v>
      </c>
      <c r="B2631" s="2" t="s">
        <v>199</v>
      </c>
      <c r="C2631" s="8">
        <v>46263</v>
      </c>
      <c r="D2631" s="6">
        <v>46235</v>
      </c>
      <c r="E2631" s="2" t="s">
        <v>260</v>
      </c>
      <c r="F2631" s="2" t="s">
        <v>7419</v>
      </c>
      <c r="G2631" s="6">
        <v>46235</v>
      </c>
      <c r="H2631" s="2" t="s">
        <v>71</v>
      </c>
      <c r="I2631" s="2" t="s">
        <v>39</v>
      </c>
      <c r="J2631" s="9">
        <v>6913.27</v>
      </c>
      <c r="K2631" s="7">
        <v>1</v>
      </c>
      <c r="L2631" s="9">
        <v>6913.27</v>
      </c>
      <c r="M2631" s="9">
        <v>6913.27</v>
      </c>
      <c r="N2631" s="9">
        <v>3.8</v>
      </c>
      <c r="O2631" s="10">
        <f>IF(AND(OR(H2631="APPROVED",H2631="SCHEDULED"),COUNTIFS(tblSource[EventID],F2631,tblSource[ReleaseStatus],"APPROVED")=1,COUNTIFS(Period_Status!$A$2:$A$8,G2631,Period_Status!$B$2:$B$8,"ActualClosed")=1,C2631&gt;EOMONTH(Settlement_Bridge!$C$2,0)),1,0)</f>
        <v>0</v>
      </c>
      <c r="P2631" s="2" t="s">
        <v>7420</v>
      </c>
    </row>
    <row r="2632" spans="1:16" x14ac:dyDescent="0.25">
      <c r="A2632" s="2" t="s">
        <v>7421</v>
      </c>
      <c r="B2632" s="2" t="s">
        <v>199</v>
      </c>
      <c r="C2632" s="8">
        <v>46254</v>
      </c>
      <c r="D2632" s="6">
        <v>46235</v>
      </c>
      <c r="E2632" s="2" t="s">
        <v>260</v>
      </c>
      <c r="F2632" s="2" t="s">
        <v>7422</v>
      </c>
      <c r="G2632" s="6">
        <v>46235</v>
      </c>
      <c r="H2632" s="2" t="s">
        <v>71</v>
      </c>
      <c r="I2632" s="2" t="s">
        <v>76</v>
      </c>
      <c r="J2632" s="9">
        <v>46089626.016259998</v>
      </c>
      <c r="K2632" s="7">
        <v>6.1500000000000004E-5</v>
      </c>
      <c r="L2632" s="9">
        <v>2834.51</v>
      </c>
      <c r="M2632" s="9">
        <v>2834.51</v>
      </c>
      <c r="N2632" s="9">
        <v>1.8</v>
      </c>
      <c r="O2632" s="10">
        <f>IF(AND(OR(H2632="APPROVED",H2632="SCHEDULED"),COUNTIFS(tblSource[EventID],F2632,tblSource[ReleaseStatus],"APPROVED")=1,COUNTIFS(Period_Status!$A$2:$A$8,G2632,Period_Status!$B$2:$B$8,"ActualClosed")=1,C2632&gt;EOMONTH(Settlement_Bridge!$C$2,0)),1,0)</f>
        <v>0</v>
      </c>
      <c r="P2632" s="2" t="s">
        <v>7423</v>
      </c>
    </row>
    <row r="2633" spans="1:16" x14ac:dyDescent="0.25">
      <c r="A2633" s="2" t="s">
        <v>7424</v>
      </c>
      <c r="B2633" s="2" t="s">
        <v>199</v>
      </c>
      <c r="C2633" s="8">
        <v>46279</v>
      </c>
      <c r="D2633" s="6">
        <v>46266</v>
      </c>
      <c r="E2633" s="2" t="s">
        <v>260</v>
      </c>
      <c r="F2633" s="2" t="s">
        <v>7422</v>
      </c>
      <c r="G2633" s="6">
        <v>46235</v>
      </c>
      <c r="H2633" s="2" t="s">
        <v>176</v>
      </c>
      <c r="I2633" s="2" t="s">
        <v>76</v>
      </c>
      <c r="J2633" s="9">
        <v>69134439.024389997</v>
      </c>
      <c r="K2633" s="7">
        <v>6.1299999999999999E-5</v>
      </c>
      <c r="L2633" s="9">
        <v>4237.9399999999996</v>
      </c>
      <c r="M2633" s="9">
        <v>4251.7700000000004</v>
      </c>
      <c r="N2633" s="9">
        <v>2.33</v>
      </c>
      <c r="O2633" s="10">
        <f>IF(AND(OR(H2633="APPROVED",H2633="SCHEDULED"),COUNTIFS(tblSource[EventID],F2633,tblSource[ReleaseStatus],"APPROVED")=1,COUNTIFS(Period_Status!$A$2:$A$8,G2633,Period_Status!$B$2:$B$8,"ActualClosed")=1,C2633&gt;EOMONTH(Settlement_Bridge!$C$2,0)),1,0)</f>
        <v>0</v>
      </c>
      <c r="P2633" s="2" t="s">
        <v>7425</v>
      </c>
    </row>
    <row r="2634" spans="1:16" x14ac:dyDescent="0.25">
      <c r="A2634" s="2" t="s">
        <v>7426</v>
      </c>
      <c r="B2634" s="2" t="s">
        <v>199</v>
      </c>
      <c r="C2634" s="8">
        <v>46265</v>
      </c>
      <c r="D2634" s="6">
        <v>46235</v>
      </c>
      <c r="E2634" s="2" t="s">
        <v>260</v>
      </c>
      <c r="F2634" s="2" t="s">
        <v>7427</v>
      </c>
      <c r="G2634" s="6">
        <v>46235</v>
      </c>
      <c r="H2634" s="2" t="s">
        <v>71</v>
      </c>
      <c r="I2634" s="2" t="s">
        <v>70</v>
      </c>
      <c r="J2634" s="9">
        <v>11168.138462000001</v>
      </c>
      <c r="K2634" s="7">
        <v>0.65</v>
      </c>
      <c r="L2634" s="9">
        <v>7259.29</v>
      </c>
      <c r="M2634" s="9">
        <v>7259.29</v>
      </c>
      <c r="N2634" s="9">
        <v>3.99</v>
      </c>
      <c r="O2634" s="10">
        <f>IF(AND(OR(H2634="APPROVED",H2634="SCHEDULED"),COUNTIFS(tblSource[EventID],F2634,tblSource[ReleaseStatus],"APPROVED")=1,COUNTIFS(Period_Status!$A$2:$A$8,G2634,Period_Status!$B$2:$B$8,"ActualClosed")=1,C2634&gt;EOMONTH(Settlement_Bridge!$C$2,0)),1,0)</f>
        <v>0</v>
      </c>
      <c r="P2634" s="2" t="s">
        <v>7428</v>
      </c>
    </row>
    <row r="2635" spans="1:16" x14ac:dyDescent="0.25">
      <c r="A2635" s="2" t="s">
        <v>7429</v>
      </c>
      <c r="B2635" s="2" t="s">
        <v>199</v>
      </c>
      <c r="C2635" s="8">
        <v>46266</v>
      </c>
      <c r="D2635" s="6">
        <v>46266</v>
      </c>
      <c r="E2635" s="2" t="s">
        <v>260</v>
      </c>
      <c r="F2635" s="2" t="s">
        <v>7430</v>
      </c>
      <c r="G2635" s="6">
        <v>46235</v>
      </c>
      <c r="H2635" s="2" t="s">
        <v>176</v>
      </c>
      <c r="I2635" s="2" t="s">
        <v>39</v>
      </c>
      <c r="J2635" s="9">
        <v>7432.3</v>
      </c>
      <c r="K2635" s="7">
        <v>1</v>
      </c>
      <c r="L2635" s="9">
        <v>7432.3</v>
      </c>
      <c r="M2635" s="9">
        <v>7432.3</v>
      </c>
      <c r="N2635" s="9">
        <v>4.09</v>
      </c>
      <c r="O2635" s="10">
        <f>IF(AND(OR(H2635="APPROVED",H2635="SCHEDULED"),COUNTIFS(tblSource[EventID],F2635,tblSource[ReleaseStatus],"APPROVED")=1,COUNTIFS(Period_Status!$A$2:$A$8,G2635,Period_Status!$B$2:$B$8,"ActualClosed")=1,C2635&gt;EOMONTH(Settlement_Bridge!$C$2,0)),1,0)</f>
        <v>0</v>
      </c>
      <c r="P2635" s="2" t="s">
        <v>7431</v>
      </c>
    </row>
    <row r="2636" spans="1:16" x14ac:dyDescent="0.25">
      <c r="A2636" s="2" t="s">
        <v>7432</v>
      </c>
      <c r="B2636" s="2" t="s">
        <v>7433</v>
      </c>
      <c r="C2636" s="8">
        <v>46188</v>
      </c>
      <c r="D2636" s="6">
        <v>46174</v>
      </c>
      <c r="E2636" s="2" t="s">
        <v>260</v>
      </c>
      <c r="F2636" s="2" t="s">
        <v>7434</v>
      </c>
      <c r="G2636" s="6">
        <v>46174</v>
      </c>
      <c r="H2636" s="2" t="s">
        <v>71</v>
      </c>
      <c r="I2636" s="2" t="s">
        <v>39</v>
      </c>
      <c r="J2636" s="9">
        <v>2173.4479999999999</v>
      </c>
      <c r="K2636" s="7">
        <v>1</v>
      </c>
      <c r="L2636" s="9">
        <v>2173.4499999999998</v>
      </c>
      <c r="M2636" s="9">
        <v>2173.4499999999998</v>
      </c>
      <c r="N2636" s="9">
        <v>1.8</v>
      </c>
      <c r="O2636" s="10">
        <f>IF(AND(OR(H2636="APPROVED",H2636="SCHEDULED"),COUNTIFS(tblSource[EventID],F2636,tblSource[ReleaseStatus],"APPROVED")=1,COUNTIFS(Period_Status!$A$2:$A$8,G2636,Period_Status!$B$2:$B$8,"ActualClosed")=1,C2636&gt;EOMONTH(Settlement_Bridge!$C$2,0)),1,0)</f>
        <v>0</v>
      </c>
      <c r="P2636" s="2" t="s">
        <v>7435</v>
      </c>
    </row>
    <row r="2637" spans="1:16" x14ac:dyDescent="0.25">
      <c r="A2637" s="2" t="s">
        <v>7436</v>
      </c>
      <c r="B2637" s="2" t="s">
        <v>7433</v>
      </c>
      <c r="C2637" s="8">
        <v>46213</v>
      </c>
      <c r="D2637" s="6">
        <v>46204</v>
      </c>
      <c r="E2637" s="2" t="s">
        <v>260</v>
      </c>
      <c r="F2637" s="2" t="s">
        <v>7434</v>
      </c>
      <c r="G2637" s="6">
        <v>46174</v>
      </c>
      <c r="H2637" s="2" t="s">
        <v>71</v>
      </c>
      <c r="I2637" s="2" t="s">
        <v>39</v>
      </c>
      <c r="J2637" s="9">
        <v>3260.172</v>
      </c>
      <c r="K2637" s="7">
        <v>1</v>
      </c>
      <c r="L2637" s="9">
        <v>3260.17</v>
      </c>
      <c r="M2637" s="9">
        <v>3260.17</v>
      </c>
      <c r="N2637" s="9">
        <v>1.8</v>
      </c>
      <c r="O2637" s="10">
        <f>IF(AND(OR(H2637="APPROVED",H2637="SCHEDULED"),COUNTIFS(tblSource[EventID],F2637,tblSource[ReleaseStatus],"APPROVED")=1,COUNTIFS(Period_Status!$A$2:$A$8,G2637,Period_Status!$B$2:$B$8,"ActualClosed")=1,C2637&gt;EOMONTH(Settlement_Bridge!$C$2,0)),1,0)</f>
        <v>0</v>
      </c>
      <c r="P2637" s="2" t="s">
        <v>7437</v>
      </c>
    </row>
    <row r="2638" spans="1:16" x14ac:dyDescent="0.25">
      <c r="A2638" s="2" t="s">
        <v>7438</v>
      </c>
      <c r="B2638" s="2" t="s">
        <v>7433</v>
      </c>
      <c r="C2638" s="8">
        <v>46189</v>
      </c>
      <c r="D2638" s="6">
        <v>46174</v>
      </c>
      <c r="E2638" s="2" t="s">
        <v>260</v>
      </c>
      <c r="F2638" s="2" t="s">
        <v>7439</v>
      </c>
      <c r="G2638" s="6">
        <v>46174</v>
      </c>
      <c r="H2638" s="2" t="s">
        <v>71</v>
      </c>
      <c r="I2638" s="2" t="s">
        <v>76</v>
      </c>
      <c r="J2638" s="9">
        <v>36546752</v>
      </c>
      <c r="K2638" s="7">
        <v>6.2500000000000001E-5</v>
      </c>
      <c r="L2638" s="9">
        <v>2284.17</v>
      </c>
      <c r="M2638" s="9">
        <v>2284.17</v>
      </c>
      <c r="N2638" s="9">
        <v>1.8</v>
      </c>
      <c r="O2638" s="10">
        <f>IF(AND(OR(H2638="APPROVED",H2638="SCHEDULED"),COUNTIFS(tblSource[EventID],F2638,tblSource[ReleaseStatus],"APPROVED")=1,COUNTIFS(Period_Status!$A$2:$A$8,G2638,Period_Status!$B$2:$B$8,"ActualClosed")=1,C2638&gt;EOMONTH(Settlement_Bridge!$C$2,0)),1,0)</f>
        <v>0</v>
      </c>
      <c r="P2638" s="2" t="s">
        <v>7440</v>
      </c>
    </row>
    <row r="2639" spans="1:16" x14ac:dyDescent="0.25">
      <c r="A2639" s="2" t="s">
        <v>7441</v>
      </c>
      <c r="B2639" s="2" t="s">
        <v>7433</v>
      </c>
      <c r="C2639" s="8">
        <v>46214</v>
      </c>
      <c r="D2639" s="6">
        <v>46204</v>
      </c>
      <c r="E2639" s="2" t="s">
        <v>260</v>
      </c>
      <c r="F2639" s="2" t="s">
        <v>7439</v>
      </c>
      <c r="G2639" s="6">
        <v>46174</v>
      </c>
      <c r="H2639" s="2" t="s">
        <v>71</v>
      </c>
      <c r="I2639" s="2" t="s">
        <v>76</v>
      </c>
      <c r="J2639" s="9">
        <v>54820128</v>
      </c>
      <c r="K2639" s="7">
        <v>6.2000000000000003E-5</v>
      </c>
      <c r="L2639" s="9">
        <v>3398.85</v>
      </c>
      <c r="M2639" s="9">
        <v>3426.26</v>
      </c>
      <c r="N2639" s="9">
        <v>1.87</v>
      </c>
      <c r="O2639" s="10">
        <f>IF(AND(OR(H2639="APPROVED",H2639="SCHEDULED"),COUNTIFS(tblSource[EventID],F2639,tblSource[ReleaseStatus],"APPROVED")=1,COUNTIFS(Period_Status!$A$2:$A$8,G2639,Period_Status!$B$2:$B$8,"ActualClosed")=1,C2639&gt;EOMONTH(Settlement_Bridge!$C$2,0)),1,0)</f>
        <v>0</v>
      </c>
      <c r="P2639" s="2" t="s">
        <v>7442</v>
      </c>
    </row>
    <row r="2640" spans="1:16" x14ac:dyDescent="0.25">
      <c r="A2640" s="2" t="s">
        <v>7443</v>
      </c>
      <c r="B2640" s="2" t="s">
        <v>7433</v>
      </c>
      <c r="C2640" s="8">
        <v>46190</v>
      </c>
      <c r="D2640" s="6">
        <v>46174</v>
      </c>
      <c r="E2640" s="2" t="s">
        <v>260</v>
      </c>
      <c r="F2640" s="2" t="s">
        <v>7444</v>
      </c>
      <c r="G2640" s="6">
        <v>46174</v>
      </c>
      <c r="H2640" s="2" t="s">
        <v>71</v>
      </c>
      <c r="I2640" s="2" t="s">
        <v>70</v>
      </c>
      <c r="J2640" s="9">
        <v>3601.353384</v>
      </c>
      <c r="K2640" s="7">
        <v>0.66500000000000004</v>
      </c>
      <c r="L2640" s="9">
        <v>2394.9</v>
      </c>
      <c r="M2640" s="9">
        <v>2394.9</v>
      </c>
      <c r="N2640" s="9">
        <v>1.8</v>
      </c>
      <c r="O2640" s="10">
        <f>IF(AND(OR(H2640="APPROVED",H2640="SCHEDULED"),COUNTIFS(tblSource[EventID],F2640,tblSource[ReleaseStatus],"APPROVED")=1,COUNTIFS(Period_Status!$A$2:$A$8,G2640,Period_Status!$B$2:$B$8,"ActualClosed")=1,C2640&gt;EOMONTH(Settlement_Bridge!$C$2,0)),1,0)</f>
        <v>0</v>
      </c>
      <c r="P2640" s="2" t="s">
        <v>7445</v>
      </c>
    </row>
    <row r="2641" spans="1:16" x14ac:dyDescent="0.25">
      <c r="A2641" s="2" t="s">
        <v>7446</v>
      </c>
      <c r="B2641" s="2" t="s">
        <v>7433</v>
      </c>
      <c r="C2641" s="8">
        <v>46215</v>
      </c>
      <c r="D2641" s="6">
        <v>46204</v>
      </c>
      <c r="E2641" s="2" t="s">
        <v>260</v>
      </c>
      <c r="F2641" s="2" t="s">
        <v>7444</v>
      </c>
      <c r="G2641" s="6">
        <v>46174</v>
      </c>
      <c r="H2641" s="2" t="s">
        <v>71</v>
      </c>
      <c r="I2641" s="2" t="s">
        <v>70</v>
      </c>
      <c r="J2641" s="9">
        <v>5402.0300749999997</v>
      </c>
      <c r="K2641" s="7">
        <v>0.65800000000000003</v>
      </c>
      <c r="L2641" s="9">
        <v>3554.54</v>
      </c>
      <c r="M2641" s="9">
        <v>3592.35</v>
      </c>
      <c r="N2641" s="9">
        <v>1.95</v>
      </c>
      <c r="O2641" s="10">
        <f>IF(AND(OR(H2641="APPROVED",H2641="SCHEDULED"),COUNTIFS(tblSource[EventID],F2641,tblSource[ReleaseStatus],"APPROVED")=1,COUNTIFS(Period_Status!$A$2:$A$8,G2641,Period_Status!$B$2:$B$8,"ActualClosed")=1,C2641&gt;EOMONTH(Settlement_Bridge!$C$2,0)),1,0)</f>
        <v>0</v>
      </c>
      <c r="P2641" s="2" t="s">
        <v>7447</v>
      </c>
    </row>
    <row r="2642" spans="1:16" x14ac:dyDescent="0.25">
      <c r="A2642" s="2" t="s">
        <v>7448</v>
      </c>
      <c r="B2642" s="2" t="s">
        <v>7433</v>
      </c>
      <c r="C2642" s="8">
        <v>46191</v>
      </c>
      <c r="D2642" s="6">
        <v>46174</v>
      </c>
      <c r="E2642" s="2" t="s">
        <v>260</v>
      </c>
      <c r="F2642" s="2" t="s">
        <v>7449</v>
      </c>
      <c r="G2642" s="6">
        <v>46174</v>
      </c>
      <c r="H2642" s="2" t="s">
        <v>71</v>
      </c>
      <c r="I2642" s="2" t="s">
        <v>39</v>
      </c>
      <c r="J2642" s="9">
        <v>2505.6239999999998</v>
      </c>
      <c r="K2642" s="7">
        <v>1</v>
      </c>
      <c r="L2642" s="9">
        <v>2505.62</v>
      </c>
      <c r="M2642" s="9">
        <v>2505.62</v>
      </c>
      <c r="N2642" s="9">
        <v>1.8</v>
      </c>
      <c r="O2642" s="10">
        <f>IF(AND(OR(H2642="APPROVED",H2642="SCHEDULED"),COUNTIFS(tblSource[EventID],F2642,tblSource[ReleaseStatus],"APPROVED")=1,COUNTIFS(Period_Status!$A$2:$A$8,G2642,Period_Status!$B$2:$B$8,"ActualClosed")=1,C2642&gt;EOMONTH(Settlement_Bridge!$C$2,0)),1,0)</f>
        <v>0</v>
      </c>
      <c r="P2642" s="2" t="s">
        <v>7450</v>
      </c>
    </row>
    <row r="2643" spans="1:16" x14ac:dyDescent="0.25">
      <c r="A2643" s="2" t="s">
        <v>7451</v>
      </c>
      <c r="B2643" s="2" t="s">
        <v>7433</v>
      </c>
      <c r="C2643" s="8">
        <v>46216</v>
      </c>
      <c r="D2643" s="6">
        <v>46204</v>
      </c>
      <c r="E2643" s="2" t="s">
        <v>260</v>
      </c>
      <c r="F2643" s="2" t="s">
        <v>7449</v>
      </c>
      <c r="G2643" s="6">
        <v>46174</v>
      </c>
      <c r="H2643" s="2" t="s">
        <v>71</v>
      </c>
      <c r="I2643" s="2" t="s">
        <v>39</v>
      </c>
      <c r="J2643" s="9">
        <v>3758.4360000000001</v>
      </c>
      <c r="K2643" s="7">
        <v>1</v>
      </c>
      <c r="L2643" s="9">
        <v>3758.44</v>
      </c>
      <c r="M2643" s="9">
        <v>3758.44</v>
      </c>
      <c r="N2643" s="9">
        <v>2.0699999999999998</v>
      </c>
      <c r="O2643" s="10">
        <f>IF(AND(OR(H2643="APPROVED",H2643="SCHEDULED"),COUNTIFS(tblSource[EventID],F2643,tblSource[ReleaseStatus],"APPROVED")=1,COUNTIFS(Period_Status!$A$2:$A$8,G2643,Period_Status!$B$2:$B$8,"ActualClosed")=1,C2643&gt;EOMONTH(Settlement_Bridge!$C$2,0)),1,0)</f>
        <v>0</v>
      </c>
      <c r="P2643" s="2" t="s">
        <v>7452</v>
      </c>
    </row>
    <row r="2644" spans="1:16" x14ac:dyDescent="0.25">
      <c r="A2644" s="2" t="s">
        <v>7453</v>
      </c>
      <c r="B2644" s="2" t="s">
        <v>7433</v>
      </c>
      <c r="C2644" s="8">
        <v>46192</v>
      </c>
      <c r="D2644" s="6">
        <v>46174</v>
      </c>
      <c r="E2644" s="2" t="s">
        <v>260</v>
      </c>
      <c r="F2644" s="2" t="s">
        <v>7454</v>
      </c>
      <c r="G2644" s="6">
        <v>46174</v>
      </c>
      <c r="H2644" s="2" t="s">
        <v>71</v>
      </c>
      <c r="I2644" s="2" t="s">
        <v>76</v>
      </c>
      <c r="J2644" s="9">
        <v>41861632</v>
      </c>
      <c r="K2644" s="7">
        <v>6.2500000000000001E-5</v>
      </c>
      <c r="L2644" s="9">
        <v>2616.35</v>
      </c>
      <c r="M2644" s="9">
        <v>2616.35</v>
      </c>
      <c r="N2644" s="9">
        <v>1.8</v>
      </c>
      <c r="O2644" s="10">
        <f>IF(AND(OR(H2644="APPROVED",H2644="SCHEDULED"),COUNTIFS(tblSource[EventID],F2644,tblSource[ReleaseStatus],"APPROVED")=1,COUNTIFS(Period_Status!$A$2:$A$8,G2644,Period_Status!$B$2:$B$8,"ActualClosed")=1,C2644&gt;EOMONTH(Settlement_Bridge!$C$2,0)),1,0)</f>
        <v>0</v>
      </c>
      <c r="P2644" s="2" t="s">
        <v>7455</v>
      </c>
    </row>
    <row r="2645" spans="1:16" x14ac:dyDescent="0.25">
      <c r="A2645" s="2" t="s">
        <v>7456</v>
      </c>
      <c r="B2645" s="2" t="s">
        <v>7433</v>
      </c>
      <c r="C2645" s="8">
        <v>46217</v>
      </c>
      <c r="D2645" s="6">
        <v>46204</v>
      </c>
      <c r="E2645" s="2" t="s">
        <v>260</v>
      </c>
      <c r="F2645" s="2" t="s">
        <v>7454</v>
      </c>
      <c r="G2645" s="6">
        <v>46174</v>
      </c>
      <c r="H2645" s="2" t="s">
        <v>71</v>
      </c>
      <c r="I2645" s="2" t="s">
        <v>76</v>
      </c>
      <c r="J2645" s="9">
        <v>62792448</v>
      </c>
      <c r="K2645" s="7">
        <v>6.2000000000000003E-5</v>
      </c>
      <c r="L2645" s="9">
        <v>3893.13</v>
      </c>
      <c r="M2645" s="9">
        <v>3924.53</v>
      </c>
      <c r="N2645" s="9">
        <v>2.14</v>
      </c>
      <c r="O2645" s="10">
        <f>IF(AND(OR(H2645="APPROVED",H2645="SCHEDULED"),COUNTIFS(tblSource[EventID],F2645,tblSource[ReleaseStatus],"APPROVED")=1,COUNTIFS(Period_Status!$A$2:$A$8,G2645,Period_Status!$B$2:$B$8,"ActualClosed")=1,C2645&gt;EOMONTH(Settlement_Bridge!$C$2,0)),1,0)</f>
        <v>0</v>
      </c>
      <c r="P2645" s="2" t="s">
        <v>7457</v>
      </c>
    </row>
    <row r="2646" spans="1:16" x14ac:dyDescent="0.25">
      <c r="A2646" s="2" t="s">
        <v>7458</v>
      </c>
      <c r="B2646" s="2" t="s">
        <v>7433</v>
      </c>
      <c r="C2646" s="8">
        <v>46193</v>
      </c>
      <c r="D2646" s="6">
        <v>46174</v>
      </c>
      <c r="E2646" s="2" t="s">
        <v>260</v>
      </c>
      <c r="F2646" s="2" t="s">
        <v>7459</v>
      </c>
      <c r="G2646" s="6">
        <v>46174</v>
      </c>
      <c r="H2646" s="2" t="s">
        <v>71</v>
      </c>
      <c r="I2646" s="2" t="s">
        <v>70</v>
      </c>
      <c r="J2646" s="9">
        <v>4100.8661659999998</v>
      </c>
      <c r="K2646" s="7">
        <v>0.66500000000000004</v>
      </c>
      <c r="L2646" s="9">
        <v>2727.08</v>
      </c>
      <c r="M2646" s="9">
        <v>2727.08</v>
      </c>
      <c r="N2646" s="9">
        <v>1.8</v>
      </c>
      <c r="O2646" s="10">
        <f>IF(AND(OR(H2646="APPROVED",H2646="SCHEDULED"),COUNTIFS(tblSource[EventID],F2646,tblSource[ReleaseStatus],"APPROVED")=1,COUNTIFS(Period_Status!$A$2:$A$8,G2646,Period_Status!$B$2:$B$8,"ActualClosed")=1,C2646&gt;EOMONTH(Settlement_Bridge!$C$2,0)),1,0)</f>
        <v>0</v>
      </c>
      <c r="P2646" s="2" t="s">
        <v>7460</v>
      </c>
    </row>
    <row r="2647" spans="1:16" x14ac:dyDescent="0.25">
      <c r="A2647" s="2" t="s">
        <v>7461</v>
      </c>
      <c r="B2647" s="2" t="s">
        <v>7433</v>
      </c>
      <c r="C2647" s="8">
        <v>46218</v>
      </c>
      <c r="D2647" s="6">
        <v>46204</v>
      </c>
      <c r="E2647" s="2" t="s">
        <v>260</v>
      </c>
      <c r="F2647" s="2" t="s">
        <v>7459</v>
      </c>
      <c r="G2647" s="6">
        <v>46174</v>
      </c>
      <c r="H2647" s="2" t="s">
        <v>71</v>
      </c>
      <c r="I2647" s="2" t="s">
        <v>70</v>
      </c>
      <c r="J2647" s="9">
        <v>6151.2992480000003</v>
      </c>
      <c r="K2647" s="7">
        <v>0.65800000000000003</v>
      </c>
      <c r="L2647" s="9">
        <v>4047.55</v>
      </c>
      <c r="M2647" s="9">
        <v>4090.61</v>
      </c>
      <c r="N2647" s="9">
        <v>2.23</v>
      </c>
      <c r="O2647" s="10">
        <f>IF(AND(OR(H2647="APPROVED",H2647="SCHEDULED"),COUNTIFS(tblSource[EventID],F2647,tblSource[ReleaseStatus],"APPROVED")=1,COUNTIFS(Period_Status!$A$2:$A$8,G2647,Period_Status!$B$2:$B$8,"ActualClosed")=1,C2647&gt;EOMONTH(Settlement_Bridge!$C$2,0)),1,0)</f>
        <v>0</v>
      </c>
      <c r="P2647" s="2" t="s">
        <v>7462</v>
      </c>
    </row>
    <row r="2648" spans="1:16" x14ac:dyDescent="0.25">
      <c r="A2648" s="2" t="s">
        <v>7463</v>
      </c>
      <c r="B2648" s="2" t="s">
        <v>7433</v>
      </c>
      <c r="C2648" s="8">
        <v>46194</v>
      </c>
      <c r="D2648" s="6">
        <v>46174</v>
      </c>
      <c r="E2648" s="2" t="s">
        <v>260</v>
      </c>
      <c r="F2648" s="2" t="s">
        <v>7464</v>
      </c>
      <c r="G2648" s="6">
        <v>46174</v>
      </c>
      <c r="H2648" s="2" t="s">
        <v>71</v>
      </c>
      <c r="I2648" s="2" t="s">
        <v>39</v>
      </c>
      <c r="J2648" s="9">
        <v>2837.8040000000001</v>
      </c>
      <c r="K2648" s="7">
        <v>1</v>
      </c>
      <c r="L2648" s="9">
        <v>2837.8</v>
      </c>
      <c r="M2648" s="9">
        <v>2837.8</v>
      </c>
      <c r="N2648" s="9">
        <v>1.8</v>
      </c>
      <c r="O2648" s="10">
        <f>IF(AND(OR(H2648="APPROVED",H2648="SCHEDULED"),COUNTIFS(tblSource[EventID],F2648,tblSource[ReleaseStatus],"APPROVED")=1,COUNTIFS(Period_Status!$A$2:$A$8,G2648,Period_Status!$B$2:$B$8,"ActualClosed")=1,C2648&gt;EOMONTH(Settlement_Bridge!$C$2,0)),1,0)</f>
        <v>0</v>
      </c>
      <c r="P2648" s="2" t="s">
        <v>7465</v>
      </c>
    </row>
    <row r="2649" spans="1:16" x14ac:dyDescent="0.25">
      <c r="A2649" s="2" t="s">
        <v>7466</v>
      </c>
      <c r="B2649" s="2" t="s">
        <v>7433</v>
      </c>
      <c r="C2649" s="8">
        <v>46219</v>
      </c>
      <c r="D2649" s="6">
        <v>46204</v>
      </c>
      <c r="E2649" s="2" t="s">
        <v>260</v>
      </c>
      <c r="F2649" s="2" t="s">
        <v>7464</v>
      </c>
      <c r="G2649" s="6">
        <v>46174</v>
      </c>
      <c r="H2649" s="2" t="s">
        <v>71</v>
      </c>
      <c r="I2649" s="2" t="s">
        <v>39</v>
      </c>
      <c r="J2649" s="9">
        <v>4256.7060000000001</v>
      </c>
      <c r="K2649" s="7">
        <v>1</v>
      </c>
      <c r="L2649" s="9">
        <v>4256.71</v>
      </c>
      <c r="M2649" s="9">
        <v>4256.71</v>
      </c>
      <c r="N2649" s="9">
        <v>2.34</v>
      </c>
      <c r="O2649" s="10">
        <f>IF(AND(OR(H2649="APPROVED",H2649="SCHEDULED"),COUNTIFS(tblSource[EventID],F2649,tblSource[ReleaseStatus],"APPROVED")=1,COUNTIFS(Period_Status!$A$2:$A$8,G2649,Period_Status!$B$2:$B$8,"ActualClosed")=1,C2649&gt;EOMONTH(Settlement_Bridge!$C$2,0)),1,0)</f>
        <v>0</v>
      </c>
      <c r="P2649" s="2" t="s">
        <v>7467</v>
      </c>
    </row>
    <row r="2650" spans="1:16" x14ac:dyDescent="0.25">
      <c r="A2650" s="2" t="s">
        <v>7468</v>
      </c>
      <c r="B2650" s="2" t="s">
        <v>7433</v>
      </c>
      <c r="C2650" s="8">
        <v>46195</v>
      </c>
      <c r="D2650" s="6">
        <v>46174</v>
      </c>
      <c r="E2650" s="2" t="s">
        <v>260</v>
      </c>
      <c r="F2650" s="2" t="s">
        <v>7469</v>
      </c>
      <c r="G2650" s="6">
        <v>46174</v>
      </c>
      <c r="H2650" s="2" t="s">
        <v>71</v>
      </c>
      <c r="I2650" s="2" t="s">
        <v>76</v>
      </c>
      <c r="J2650" s="9">
        <v>47176512</v>
      </c>
      <c r="K2650" s="7">
        <v>6.2500000000000001E-5</v>
      </c>
      <c r="L2650" s="9">
        <v>2948.53</v>
      </c>
      <c r="M2650" s="9">
        <v>2948.53</v>
      </c>
      <c r="N2650" s="9">
        <v>1.8</v>
      </c>
      <c r="O2650" s="10">
        <f>IF(AND(OR(H2650="APPROVED",H2650="SCHEDULED"),COUNTIFS(tblSource[EventID],F2650,tblSource[ReleaseStatus],"APPROVED")=1,COUNTIFS(Period_Status!$A$2:$A$8,G2650,Period_Status!$B$2:$B$8,"ActualClosed")=1,C2650&gt;EOMONTH(Settlement_Bridge!$C$2,0)),1,0)</f>
        <v>0</v>
      </c>
      <c r="P2650" s="2" t="s">
        <v>7470</v>
      </c>
    </row>
    <row r="2651" spans="1:16" x14ac:dyDescent="0.25">
      <c r="A2651" s="2" t="s">
        <v>7471</v>
      </c>
      <c r="B2651" s="2" t="s">
        <v>7433</v>
      </c>
      <c r="C2651" s="8">
        <v>46220</v>
      </c>
      <c r="D2651" s="6">
        <v>46204</v>
      </c>
      <c r="E2651" s="2" t="s">
        <v>260</v>
      </c>
      <c r="F2651" s="2" t="s">
        <v>7469</v>
      </c>
      <c r="G2651" s="6">
        <v>46174</v>
      </c>
      <c r="H2651" s="2" t="s">
        <v>71</v>
      </c>
      <c r="I2651" s="2" t="s">
        <v>76</v>
      </c>
      <c r="J2651" s="9">
        <v>70764768</v>
      </c>
      <c r="K2651" s="7">
        <v>6.2000000000000003E-5</v>
      </c>
      <c r="L2651" s="9">
        <v>4387.42</v>
      </c>
      <c r="M2651" s="9">
        <v>4422.8</v>
      </c>
      <c r="N2651" s="9">
        <v>2.41</v>
      </c>
      <c r="O2651" s="10">
        <f>IF(AND(OR(H2651="APPROVED",H2651="SCHEDULED"),COUNTIFS(tblSource[EventID],F2651,tblSource[ReleaseStatus],"APPROVED")=1,COUNTIFS(Period_Status!$A$2:$A$8,G2651,Period_Status!$B$2:$B$8,"ActualClosed")=1,C2651&gt;EOMONTH(Settlement_Bridge!$C$2,0)),1,0)</f>
        <v>0</v>
      </c>
      <c r="P2651" s="2" t="s">
        <v>7472</v>
      </c>
    </row>
    <row r="2652" spans="1:16" x14ac:dyDescent="0.25">
      <c r="A2652" s="2" t="s">
        <v>7473</v>
      </c>
      <c r="B2652" s="2" t="s">
        <v>7433</v>
      </c>
      <c r="C2652" s="8">
        <v>46196</v>
      </c>
      <c r="D2652" s="6">
        <v>46174</v>
      </c>
      <c r="E2652" s="2" t="s">
        <v>260</v>
      </c>
      <c r="F2652" s="2" t="s">
        <v>7474</v>
      </c>
      <c r="G2652" s="6">
        <v>46174</v>
      </c>
      <c r="H2652" s="2" t="s">
        <v>71</v>
      </c>
      <c r="I2652" s="2" t="s">
        <v>70</v>
      </c>
      <c r="J2652" s="9">
        <v>4600.3909780000004</v>
      </c>
      <c r="K2652" s="7">
        <v>0.66500000000000004</v>
      </c>
      <c r="L2652" s="9">
        <v>3059.26</v>
      </c>
      <c r="M2652" s="9">
        <v>3059.26</v>
      </c>
      <c r="N2652" s="9">
        <v>1.8</v>
      </c>
      <c r="O2652" s="10">
        <f>IF(AND(OR(H2652="APPROVED",H2652="SCHEDULED"),COUNTIFS(tblSource[EventID],F2652,tblSource[ReleaseStatus],"APPROVED")=1,COUNTIFS(Period_Status!$A$2:$A$8,G2652,Period_Status!$B$2:$B$8,"ActualClosed")=1,C2652&gt;EOMONTH(Settlement_Bridge!$C$2,0)),1,0)</f>
        <v>0</v>
      </c>
      <c r="P2652" s="2" t="s">
        <v>7475</v>
      </c>
    </row>
    <row r="2653" spans="1:16" x14ac:dyDescent="0.25">
      <c r="A2653" s="2" t="s">
        <v>7476</v>
      </c>
      <c r="B2653" s="2" t="s">
        <v>7433</v>
      </c>
      <c r="C2653" s="8">
        <v>46221</v>
      </c>
      <c r="D2653" s="6">
        <v>46204</v>
      </c>
      <c r="E2653" s="2" t="s">
        <v>260</v>
      </c>
      <c r="F2653" s="2" t="s">
        <v>7474</v>
      </c>
      <c r="G2653" s="6">
        <v>46174</v>
      </c>
      <c r="H2653" s="2" t="s">
        <v>71</v>
      </c>
      <c r="I2653" s="2" t="s">
        <v>70</v>
      </c>
      <c r="J2653" s="9">
        <v>6900.5864659999997</v>
      </c>
      <c r="K2653" s="7">
        <v>0.65800000000000003</v>
      </c>
      <c r="L2653" s="9">
        <v>4540.59</v>
      </c>
      <c r="M2653" s="9">
        <v>4588.8900000000003</v>
      </c>
      <c r="N2653" s="9">
        <v>2.5</v>
      </c>
      <c r="O2653" s="10">
        <f>IF(AND(OR(H2653="APPROVED",H2653="SCHEDULED"),COUNTIFS(tblSource[EventID],F2653,tblSource[ReleaseStatus],"APPROVED")=1,COUNTIFS(Period_Status!$A$2:$A$8,G2653,Period_Status!$B$2:$B$8,"ActualClosed")=1,C2653&gt;EOMONTH(Settlement_Bridge!$C$2,0)),1,0)</f>
        <v>0</v>
      </c>
      <c r="P2653" s="2" t="s">
        <v>7477</v>
      </c>
    </row>
    <row r="2654" spans="1:16" x14ac:dyDescent="0.25">
      <c r="A2654" s="2" t="s">
        <v>7478</v>
      </c>
      <c r="B2654" s="2" t="s">
        <v>7433</v>
      </c>
      <c r="C2654" s="8">
        <v>46197</v>
      </c>
      <c r="D2654" s="6">
        <v>46174</v>
      </c>
      <c r="E2654" s="2" t="s">
        <v>260</v>
      </c>
      <c r="F2654" s="2" t="s">
        <v>7479</v>
      </c>
      <c r="G2654" s="6">
        <v>46174</v>
      </c>
      <c r="H2654" s="2" t="s">
        <v>71</v>
      </c>
      <c r="I2654" s="2" t="s">
        <v>39</v>
      </c>
      <c r="J2654" s="9">
        <v>3169.9839999999999</v>
      </c>
      <c r="K2654" s="7">
        <v>1</v>
      </c>
      <c r="L2654" s="9">
        <v>3169.98</v>
      </c>
      <c r="M2654" s="9">
        <v>3169.98</v>
      </c>
      <c r="N2654" s="9">
        <v>1.8</v>
      </c>
      <c r="O2654" s="10">
        <f>IF(AND(OR(H2654="APPROVED",H2654="SCHEDULED"),COUNTIFS(tblSource[EventID],F2654,tblSource[ReleaseStatus],"APPROVED")=1,COUNTIFS(Period_Status!$A$2:$A$8,G2654,Period_Status!$B$2:$B$8,"ActualClosed")=1,C2654&gt;EOMONTH(Settlement_Bridge!$C$2,0)),1,0)</f>
        <v>0</v>
      </c>
      <c r="P2654" s="2" t="s">
        <v>7480</v>
      </c>
    </row>
    <row r="2655" spans="1:16" x14ac:dyDescent="0.25">
      <c r="A2655" s="2" t="s">
        <v>7481</v>
      </c>
      <c r="B2655" s="2" t="s">
        <v>7433</v>
      </c>
      <c r="C2655" s="8">
        <v>46222</v>
      </c>
      <c r="D2655" s="6">
        <v>46204</v>
      </c>
      <c r="E2655" s="2" t="s">
        <v>260</v>
      </c>
      <c r="F2655" s="2" t="s">
        <v>7479</v>
      </c>
      <c r="G2655" s="6">
        <v>46174</v>
      </c>
      <c r="H2655" s="2" t="s">
        <v>71</v>
      </c>
      <c r="I2655" s="2" t="s">
        <v>39</v>
      </c>
      <c r="J2655" s="9">
        <v>4754.9759999999997</v>
      </c>
      <c r="K2655" s="7">
        <v>1</v>
      </c>
      <c r="L2655" s="9">
        <v>4754.9799999999996</v>
      </c>
      <c r="M2655" s="9">
        <v>4754.9799999999996</v>
      </c>
      <c r="N2655" s="9">
        <v>2.62</v>
      </c>
      <c r="O2655" s="10">
        <f>IF(AND(OR(H2655="APPROVED",H2655="SCHEDULED"),COUNTIFS(tblSource[EventID],F2655,tblSource[ReleaseStatus],"APPROVED")=1,COUNTIFS(Period_Status!$A$2:$A$8,G2655,Period_Status!$B$2:$B$8,"ActualClosed")=1,C2655&gt;EOMONTH(Settlement_Bridge!$C$2,0)),1,0)</f>
        <v>0</v>
      </c>
      <c r="P2655" s="2" t="s">
        <v>7482</v>
      </c>
    </row>
    <row r="2656" spans="1:16" x14ac:dyDescent="0.25">
      <c r="A2656" s="2" t="s">
        <v>7483</v>
      </c>
      <c r="B2656" s="2" t="s">
        <v>7433</v>
      </c>
      <c r="C2656" s="8">
        <v>46198</v>
      </c>
      <c r="D2656" s="6">
        <v>46174</v>
      </c>
      <c r="E2656" s="2" t="s">
        <v>260</v>
      </c>
      <c r="F2656" s="2" t="s">
        <v>7484</v>
      </c>
      <c r="G2656" s="6">
        <v>46174</v>
      </c>
      <c r="H2656" s="2" t="s">
        <v>71</v>
      </c>
      <c r="I2656" s="2" t="s">
        <v>76</v>
      </c>
      <c r="J2656" s="9">
        <v>52491392</v>
      </c>
      <c r="K2656" s="7">
        <v>6.2500000000000001E-5</v>
      </c>
      <c r="L2656" s="9">
        <v>3280.71</v>
      </c>
      <c r="M2656" s="9">
        <v>3280.71</v>
      </c>
      <c r="N2656" s="9">
        <v>1.8</v>
      </c>
      <c r="O2656" s="10">
        <f>IF(AND(OR(H2656="APPROVED",H2656="SCHEDULED"),COUNTIFS(tblSource[EventID],F2656,tblSource[ReleaseStatus],"APPROVED")=1,COUNTIFS(Period_Status!$A$2:$A$8,G2656,Period_Status!$B$2:$B$8,"ActualClosed")=1,C2656&gt;EOMONTH(Settlement_Bridge!$C$2,0)),1,0)</f>
        <v>0</v>
      </c>
      <c r="P2656" s="2" t="s">
        <v>7485</v>
      </c>
    </row>
    <row r="2657" spans="1:16" x14ac:dyDescent="0.25">
      <c r="A2657" s="2" t="s">
        <v>7486</v>
      </c>
      <c r="B2657" s="2" t="s">
        <v>7433</v>
      </c>
      <c r="C2657" s="8">
        <v>46223</v>
      </c>
      <c r="D2657" s="6">
        <v>46204</v>
      </c>
      <c r="E2657" s="2" t="s">
        <v>260</v>
      </c>
      <c r="F2657" s="2" t="s">
        <v>7484</v>
      </c>
      <c r="G2657" s="6">
        <v>46174</v>
      </c>
      <c r="H2657" s="2" t="s">
        <v>71</v>
      </c>
      <c r="I2657" s="2" t="s">
        <v>76</v>
      </c>
      <c r="J2657" s="9">
        <v>78737088</v>
      </c>
      <c r="K2657" s="7">
        <v>6.2000000000000003E-5</v>
      </c>
      <c r="L2657" s="9">
        <v>4881.7</v>
      </c>
      <c r="M2657" s="9">
        <v>4921.07</v>
      </c>
      <c r="N2657" s="9">
        <v>2.68</v>
      </c>
      <c r="O2657" s="10">
        <f>IF(AND(OR(H2657="APPROVED",H2657="SCHEDULED"),COUNTIFS(tblSource[EventID],F2657,tblSource[ReleaseStatus],"APPROVED")=1,COUNTIFS(Period_Status!$A$2:$A$8,G2657,Period_Status!$B$2:$B$8,"ActualClosed")=1,C2657&gt;EOMONTH(Settlement_Bridge!$C$2,0)),1,0)</f>
        <v>0</v>
      </c>
      <c r="P2657" s="2" t="s">
        <v>7487</v>
      </c>
    </row>
    <row r="2658" spans="1:16" x14ac:dyDescent="0.25">
      <c r="A2658" s="2" t="s">
        <v>7488</v>
      </c>
      <c r="B2658" s="2" t="s">
        <v>7433</v>
      </c>
      <c r="C2658" s="8">
        <v>46199</v>
      </c>
      <c r="D2658" s="6">
        <v>46174</v>
      </c>
      <c r="E2658" s="2" t="s">
        <v>260</v>
      </c>
      <c r="F2658" s="2" t="s">
        <v>7489</v>
      </c>
      <c r="G2658" s="6">
        <v>46174</v>
      </c>
      <c r="H2658" s="2" t="s">
        <v>71</v>
      </c>
      <c r="I2658" s="2" t="s">
        <v>70</v>
      </c>
      <c r="J2658" s="9">
        <v>5099.9037589999998</v>
      </c>
      <c r="K2658" s="7">
        <v>0.66500000000000004</v>
      </c>
      <c r="L2658" s="9">
        <v>3391.44</v>
      </c>
      <c r="M2658" s="9">
        <v>3391.44</v>
      </c>
      <c r="N2658" s="9">
        <v>1.87</v>
      </c>
      <c r="O2658" s="10">
        <f>IF(AND(OR(H2658="APPROVED",H2658="SCHEDULED"),COUNTIFS(tblSource[EventID],F2658,tblSource[ReleaseStatus],"APPROVED")=1,COUNTIFS(Period_Status!$A$2:$A$8,G2658,Period_Status!$B$2:$B$8,"ActualClosed")=1,C2658&gt;EOMONTH(Settlement_Bridge!$C$2,0)),1,0)</f>
        <v>0</v>
      </c>
      <c r="P2658" s="2" t="s">
        <v>7490</v>
      </c>
    </row>
    <row r="2659" spans="1:16" x14ac:dyDescent="0.25">
      <c r="A2659" s="2" t="s">
        <v>7491</v>
      </c>
      <c r="B2659" s="2" t="s">
        <v>7433</v>
      </c>
      <c r="C2659" s="8">
        <v>46224</v>
      </c>
      <c r="D2659" s="6">
        <v>46204</v>
      </c>
      <c r="E2659" s="2" t="s">
        <v>260</v>
      </c>
      <c r="F2659" s="2" t="s">
        <v>7489</v>
      </c>
      <c r="G2659" s="6">
        <v>46174</v>
      </c>
      <c r="H2659" s="2" t="s">
        <v>71</v>
      </c>
      <c r="I2659" s="2" t="s">
        <v>70</v>
      </c>
      <c r="J2659" s="9">
        <v>7649.8556390000003</v>
      </c>
      <c r="K2659" s="7">
        <v>0.65800000000000003</v>
      </c>
      <c r="L2659" s="9">
        <v>5033.6099999999997</v>
      </c>
      <c r="M2659" s="9">
        <v>5087.1499999999996</v>
      </c>
      <c r="N2659" s="9">
        <v>2.77</v>
      </c>
      <c r="O2659" s="10">
        <f>IF(AND(OR(H2659="APPROVED",H2659="SCHEDULED"),COUNTIFS(tblSource[EventID],F2659,tblSource[ReleaseStatus],"APPROVED")=1,COUNTIFS(Period_Status!$A$2:$A$8,G2659,Period_Status!$B$2:$B$8,"ActualClosed")=1,C2659&gt;EOMONTH(Settlement_Bridge!$C$2,0)),1,0)</f>
        <v>0</v>
      </c>
      <c r="P2659" s="2" t="s">
        <v>7492</v>
      </c>
    </row>
    <row r="2660" spans="1:16" x14ac:dyDescent="0.25">
      <c r="A2660" s="2" t="s">
        <v>7493</v>
      </c>
      <c r="B2660" s="2" t="s">
        <v>7433</v>
      </c>
      <c r="C2660" s="8">
        <v>46200</v>
      </c>
      <c r="D2660" s="6">
        <v>46174</v>
      </c>
      <c r="E2660" s="2" t="s">
        <v>260</v>
      </c>
      <c r="F2660" s="2" t="s">
        <v>7494</v>
      </c>
      <c r="G2660" s="6">
        <v>46174</v>
      </c>
      <c r="H2660" s="2" t="s">
        <v>71</v>
      </c>
      <c r="I2660" s="2" t="s">
        <v>39</v>
      </c>
      <c r="J2660" s="9">
        <v>3502.1640000000002</v>
      </c>
      <c r="K2660" s="7">
        <v>1</v>
      </c>
      <c r="L2660" s="9">
        <v>3502.16</v>
      </c>
      <c r="M2660" s="9">
        <v>3502.16</v>
      </c>
      <c r="N2660" s="9">
        <v>1.93</v>
      </c>
      <c r="O2660" s="10">
        <f>IF(AND(OR(H2660="APPROVED",H2660="SCHEDULED"),COUNTIFS(tblSource[EventID],F2660,tblSource[ReleaseStatus],"APPROVED")=1,COUNTIFS(Period_Status!$A$2:$A$8,G2660,Period_Status!$B$2:$B$8,"ActualClosed")=1,C2660&gt;EOMONTH(Settlement_Bridge!$C$2,0)),1,0)</f>
        <v>0</v>
      </c>
      <c r="P2660" s="2" t="s">
        <v>7495</v>
      </c>
    </row>
    <row r="2661" spans="1:16" x14ac:dyDescent="0.25">
      <c r="A2661" s="2" t="s">
        <v>7496</v>
      </c>
      <c r="B2661" s="2" t="s">
        <v>7433</v>
      </c>
      <c r="C2661" s="8">
        <v>46225</v>
      </c>
      <c r="D2661" s="6">
        <v>46204</v>
      </c>
      <c r="E2661" s="2" t="s">
        <v>260</v>
      </c>
      <c r="F2661" s="2" t="s">
        <v>7494</v>
      </c>
      <c r="G2661" s="6">
        <v>46174</v>
      </c>
      <c r="H2661" s="2" t="s">
        <v>71</v>
      </c>
      <c r="I2661" s="2" t="s">
        <v>39</v>
      </c>
      <c r="J2661" s="9">
        <v>5253.2460000000001</v>
      </c>
      <c r="K2661" s="7">
        <v>1</v>
      </c>
      <c r="L2661" s="9">
        <v>5253.25</v>
      </c>
      <c r="M2661" s="9">
        <v>5253.25</v>
      </c>
      <c r="N2661" s="9">
        <v>2.89</v>
      </c>
      <c r="O2661" s="10">
        <f>IF(AND(OR(H2661="APPROVED",H2661="SCHEDULED"),COUNTIFS(tblSource[EventID],F2661,tblSource[ReleaseStatus],"APPROVED")=1,COUNTIFS(Period_Status!$A$2:$A$8,G2661,Period_Status!$B$2:$B$8,"ActualClosed")=1,C2661&gt;EOMONTH(Settlement_Bridge!$C$2,0)),1,0)</f>
        <v>0</v>
      </c>
      <c r="P2661" s="2" t="s">
        <v>7497</v>
      </c>
    </row>
    <row r="2662" spans="1:16" x14ac:dyDescent="0.25">
      <c r="A2662" s="2" t="s">
        <v>7498</v>
      </c>
      <c r="B2662" s="2" t="s">
        <v>7433</v>
      </c>
      <c r="C2662" s="8">
        <v>46201</v>
      </c>
      <c r="D2662" s="6">
        <v>46174</v>
      </c>
      <c r="E2662" s="2" t="s">
        <v>260</v>
      </c>
      <c r="F2662" s="2" t="s">
        <v>7499</v>
      </c>
      <c r="G2662" s="6">
        <v>46174</v>
      </c>
      <c r="H2662" s="2" t="s">
        <v>71</v>
      </c>
      <c r="I2662" s="2" t="s">
        <v>76</v>
      </c>
      <c r="J2662" s="9">
        <v>57806208</v>
      </c>
      <c r="K2662" s="7">
        <v>6.2500000000000001E-5</v>
      </c>
      <c r="L2662" s="9">
        <v>3612.89</v>
      </c>
      <c r="M2662" s="9">
        <v>3612.89</v>
      </c>
      <c r="N2662" s="9">
        <v>1.99</v>
      </c>
      <c r="O2662" s="10">
        <f>IF(AND(OR(H2662="APPROVED",H2662="SCHEDULED"),COUNTIFS(tblSource[EventID],F2662,tblSource[ReleaseStatus],"APPROVED")=1,COUNTIFS(Period_Status!$A$2:$A$8,G2662,Period_Status!$B$2:$B$8,"ActualClosed")=1,C2662&gt;EOMONTH(Settlement_Bridge!$C$2,0)),1,0)</f>
        <v>0</v>
      </c>
      <c r="P2662" s="2" t="s">
        <v>7500</v>
      </c>
    </row>
    <row r="2663" spans="1:16" x14ac:dyDescent="0.25">
      <c r="A2663" s="2" t="s">
        <v>7501</v>
      </c>
      <c r="B2663" s="2" t="s">
        <v>7433</v>
      </c>
      <c r="C2663" s="8">
        <v>46226</v>
      </c>
      <c r="D2663" s="6">
        <v>46204</v>
      </c>
      <c r="E2663" s="2" t="s">
        <v>260</v>
      </c>
      <c r="F2663" s="2" t="s">
        <v>7499</v>
      </c>
      <c r="G2663" s="6">
        <v>46174</v>
      </c>
      <c r="H2663" s="2" t="s">
        <v>71</v>
      </c>
      <c r="I2663" s="2" t="s">
        <v>76</v>
      </c>
      <c r="J2663" s="9">
        <v>86709312</v>
      </c>
      <c r="K2663" s="7">
        <v>6.2000000000000003E-5</v>
      </c>
      <c r="L2663" s="9">
        <v>5375.98</v>
      </c>
      <c r="M2663" s="9">
        <v>5419.33</v>
      </c>
      <c r="N2663" s="9">
        <v>2.96</v>
      </c>
      <c r="O2663" s="10">
        <f>IF(AND(OR(H2663="APPROVED",H2663="SCHEDULED"),COUNTIFS(tblSource[EventID],F2663,tblSource[ReleaseStatus],"APPROVED")=1,COUNTIFS(Period_Status!$A$2:$A$8,G2663,Period_Status!$B$2:$B$8,"ActualClosed")=1,C2663&gt;EOMONTH(Settlement_Bridge!$C$2,0)),1,0)</f>
        <v>0</v>
      </c>
      <c r="P2663" s="2" t="s">
        <v>7502</v>
      </c>
    </row>
    <row r="2664" spans="1:16" x14ac:dyDescent="0.25">
      <c r="A2664" s="2" t="s">
        <v>7503</v>
      </c>
      <c r="B2664" s="2" t="s">
        <v>7433</v>
      </c>
      <c r="C2664" s="8">
        <v>46202</v>
      </c>
      <c r="D2664" s="6">
        <v>46174</v>
      </c>
      <c r="E2664" s="2" t="s">
        <v>260</v>
      </c>
      <c r="F2664" s="2" t="s">
        <v>7504</v>
      </c>
      <c r="G2664" s="6">
        <v>46174</v>
      </c>
      <c r="H2664" s="2" t="s">
        <v>71</v>
      </c>
      <c r="I2664" s="2" t="s">
        <v>70</v>
      </c>
      <c r="J2664" s="9">
        <v>5599.4225560000004</v>
      </c>
      <c r="K2664" s="7">
        <v>0.66500000000000004</v>
      </c>
      <c r="L2664" s="9">
        <v>3723.62</v>
      </c>
      <c r="M2664" s="9">
        <v>3723.62</v>
      </c>
      <c r="N2664" s="9">
        <v>2.0499999999999998</v>
      </c>
      <c r="O2664" s="10">
        <f>IF(AND(OR(H2664="APPROVED",H2664="SCHEDULED"),COUNTIFS(tblSource[EventID],F2664,tblSource[ReleaseStatus],"APPROVED")=1,COUNTIFS(Period_Status!$A$2:$A$8,G2664,Period_Status!$B$2:$B$8,"ActualClosed")=1,C2664&gt;EOMONTH(Settlement_Bridge!$C$2,0)),1,0)</f>
        <v>0</v>
      </c>
      <c r="P2664" s="2" t="s">
        <v>7505</v>
      </c>
    </row>
    <row r="2665" spans="1:16" x14ac:dyDescent="0.25">
      <c r="A2665" s="2" t="s">
        <v>7506</v>
      </c>
      <c r="B2665" s="2" t="s">
        <v>7433</v>
      </c>
      <c r="C2665" s="8">
        <v>46227</v>
      </c>
      <c r="D2665" s="6">
        <v>46204</v>
      </c>
      <c r="E2665" s="2" t="s">
        <v>260</v>
      </c>
      <c r="F2665" s="2" t="s">
        <v>7504</v>
      </c>
      <c r="G2665" s="6">
        <v>46174</v>
      </c>
      <c r="H2665" s="2" t="s">
        <v>71</v>
      </c>
      <c r="I2665" s="2" t="s">
        <v>70</v>
      </c>
      <c r="J2665" s="9">
        <v>8399.1338350000005</v>
      </c>
      <c r="K2665" s="7">
        <v>0.65800000000000003</v>
      </c>
      <c r="L2665" s="9">
        <v>5526.63</v>
      </c>
      <c r="M2665" s="9">
        <v>5585.42</v>
      </c>
      <c r="N2665" s="9">
        <v>3.04</v>
      </c>
      <c r="O2665" s="10">
        <f>IF(AND(OR(H2665="APPROVED",H2665="SCHEDULED"),COUNTIFS(tblSource[EventID],F2665,tblSource[ReleaseStatus],"APPROVED")=1,COUNTIFS(Period_Status!$A$2:$A$8,G2665,Period_Status!$B$2:$B$8,"ActualClosed")=1,C2665&gt;EOMONTH(Settlement_Bridge!$C$2,0)),1,0)</f>
        <v>0</v>
      </c>
      <c r="P2665" s="2" t="s">
        <v>7507</v>
      </c>
    </row>
    <row r="2666" spans="1:16" x14ac:dyDescent="0.25">
      <c r="A2666" s="2" t="s">
        <v>7508</v>
      </c>
      <c r="B2666" s="2" t="s">
        <v>7433</v>
      </c>
      <c r="C2666" s="8">
        <v>46203</v>
      </c>
      <c r="D2666" s="6">
        <v>46174</v>
      </c>
      <c r="E2666" s="2" t="s">
        <v>260</v>
      </c>
      <c r="F2666" s="2" t="s">
        <v>7509</v>
      </c>
      <c r="G2666" s="6">
        <v>46174</v>
      </c>
      <c r="H2666" s="2" t="s">
        <v>71</v>
      </c>
      <c r="I2666" s="2" t="s">
        <v>39</v>
      </c>
      <c r="J2666" s="9">
        <v>3834.3440000000001</v>
      </c>
      <c r="K2666" s="7">
        <v>1</v>
      </c>
      <c r="L2666" s="9">
        <v>3834.34</v>
      </c>
      <c r="M2666" s="9">
        <v>3834.34</v>
      </c>
      <c r="N2666" s="9">
        <v>2.11</v>
      </c>
      <c r="O2666" s="10">
        <f>IF(AND(OR(H2666="APPROVED",H2666="SCHEDULED"),COUNTIFS(tblSource[EventID],F2666,tblSource[ReleaseStatus],"APPROVED")=1,COUNTIFS(Period_Status!$A$2:$A$8,G2666,Period_Status!$B$2:$B$8,"ActualClosed")=1,C2666&gt;EOMONTH(Settlement_Bridge!$C$2,0)),1,0)</f>
        <v>0</v>
      </c>
      <c r="P2666" s="2" t="s">
        <v>7510</v>
      </c>
    </row>
    <row r="2667" spans="1:16" x14ac:dyDescent="0.25">
      <c r="A2667" s="2" t="s">
        <v>7511</v>
      </c>
      <c r="B2667" s="2" t="s">
        <v>7433</v>
      </c>
      <c r="C2667" s="8">
        <v>46228</v>
      </c>
      <c r="D2667" s="6">
        <v>46204</v>
      </c>
      <c r="E2667" s="2" t="s">
        <v>260</v>
      </c>
      <c r="F2667" s="2" t="s">
        <v>7509</v>
      </c>
      <c r="G2667" s="6">
        <v>46174</v>
      </c>
      <c r="H2667" s="2" t="s">
        <v>71</v>
      </c>
      <c r="I2667" s="2" t="s">
        <v>39</v>
      </c>
      <c r="J2667" s="9">
        <v>5751.5159999999996</v>
      </c>
      <c r="K2667" s="7">
        <v>1</v>
      </c>
      <c r="L2667" s="9">
        <v>5751.52</v>
      </c>
      <c r="M2667" s="9">
        <v>5751.52</v>
      </c>
      <c r="N2667" s="9">
        <v>3.16</v>
      </c>
      <c r="O2667" s="10">
        <f>IF(AND(OR(H2667="APPROVED",H2667="SCHEDULED"),COUNTIFS(tblSource[EventID],F2667,tblSource[ReleaseStatus],"APPROVED")=1,COUNTIFS(Period_Status!$A$2:$A$8,G2667,Period_Status!$B$2:$B$8,"ActualClosed")=1,C2667&gt;EOMONTH(Settlement_Bridge!$C$2,0)),1,0)</f>
        <v>0</v>
      </c>
      <c r="P2667" s="2" t="s">
        <v>7512</v>
      </c>
    </row>
    <row r="2668" spans="1:16" x14ac:dyDescent="0.25">
      <c r="A2668" s="2" t="s">
        <v>7513</v>
      </c>
      <c r="B2668" s="2" t="s">
        <v>7433</v>
      </c>
      <c r="C2668" s="8">
        <v>46204</v>
      </c>
      <c r="D2668" s="6">
        <v>46204</v>
      </c>
      <c r="E2668" s="2" t="s">
        <v>260</v>
      </c>
      <c r="F2668" s="2" t="s">
        <v>7514</v>
      </c>
      <c r="G2668" s="6">
        <v>46174</v>
      </c>
      <c r="H2668" s="2" t="s">
        <v>71</v>
      </c>
      <c r="I2668" s="2" t="s">
        <v>76</v>
      </c>
      <c r="J2668" s="9">
        <v>63121088</v>
      </c>
      <c r="K2668" s="7">
        <v>6.2000000000000003E-5</v>
      </c>
      <c r="L2668" s="9">
        <v>3913.51</v>
      </c>
      <c r="M2668" s="9">
        <v>3945.07</v>
      </c>
      <c r="N2668" s="9">
        <v>2.15</v>
      </c>
      <c r="O2668" s="10">
        <f>IF(AND(OR(H2668="APPROVED",H2668="SCHEDULED"),COUNTIFS(tblSource[EventID],F2668,tblSource[ReleaseStatus],"APPROVED")=1,COUNTIFS(Period_Status!$A$2:$A$8,G2668,Period_Status!$B$2:$B$8,"ActualClosed")=1,C2668&gt;EOMONTH(Settlement_Bridge!$C$2,0)),1,0)</f>
        <v>0</v>
      </c>
      <c r="P2668" s="2" t="s">
        <v>7515</v>
      </c>
    </row>
    <row r="2669" spans="1:16" x14ac:dyDescent="0.25">
      <c r="A2669" s="2" t="s">
        <v>7516</v>
      </c>
      <c r="B2669" s="2" t="s">
        <v>7433</v>
      </c>
      <c r="C2669" s="8">
        <v>46229</v>
      </c>
      <c r="D2669" s="6">
        <v>46204</v>
      </c>
      <c r="E2669" s="2" t="s">
        <v>260</v>
      </c>
      <c r="F2669" s="2" t="s">
        <v>7514</v>
      </c>
      <c r="G2669" s="6">
        <v>46174</v>
      </c>
      <c r="H2669" s="2" t="s">
        <v>71</v>
      </c>
      <c r="I2669" s="2" t="s">
        <v>76</v>
      </c>
      <c r="J2669" s="9">
        <v>94681632</v>
      </c>
      <c r="K2669" s="7">
        <v>6.2000000000000003E-5</v>
      </c>
      <c r="L2669" s="9">
        <v>5870.26</v>
      </c>
      <c r="M2669" s="9">
        <v>5917.6</v>
      </c>
      <c r="N2669" s="9">
        <v>3.23</v>
      </c>
      <c r="O2669" s="10">
        <f>IF(AND(OR(H2669="APPROVED",H2669="SCHEDULED"),COUNTIFS(tblSource[EventID],F2669,tblSource[ReleaseStatus],"APPROVED")=1,COUNTIFS(Period_Status!$A$2:$A$8,G2669,Period_Status!$B$2:$B$8,"ActualClosed")=1,C2669&gt;EOMONTH(Settlement_Bridge!$C$2,0)),1,0)</f>
        <v>0</v>
      </c>
      <c r="P2669" s="2" t="s">
        <v>7517</v>
      </c>
    </row>
    <row r="2670" spans="1:16" x14ac:dyDescent="0.25">
      <c r="A2670" s="2" t="s">
        <v>7518</v>
      </c>
      <c r="B2670" s="2" t="s">
        <v>7433</v>
      </c>
      <c r="C2670" s="8">
        <v>46205</v>
      </c>
      <c r="D2670" s="6">
        <v>46204</v>
      </c>
      <c r="E2670" s="2" t="s">
        <v>260</v>
      </c>
      <c r="F2670" s="2" t="s">
        <v>7519</v>
      </c>
      <c r="G2670" s="6">
        <v>46174</v>
      </c>
      <c r="H2670" s="2" t="s">
        <v>71</v>
      </c>
      <c r="I2670" s="2" t="s">
        <v>70</v>
      </c>
      <c r="J2670" s="9">
        <v>6098.9413530000002</v>
      </c>
      <c r="K2670" s="7">
        <v>0.65800000000000003</v>
      </c>
      <c r="L2670" s="9">
        <v>4013.1</v>
      </c>
      <c r="M2670" s="9">
        <v>4055.8</v>
      </c>
      <c r="N2670" s="9">
        <v>2.21</v>
      </c>
      <c r="O2670" s="10">
        <f>IF(AND(OR(H2670="APPROVED",H2670="SCHEDULED"),COUNTIFS(tblSource[EventID],F2670,tblSource[ReleaseStatus],"APPROVED")=1,COUNTIFS(Period_Status!$A$2:$A$8,G2670,Period_Status!$B$2:$B$8,"ActualClosed")=1,C2670&gt;EOMONTH(Settlement_Bridge!$C$2,0)),1,0)</f>
        <v>0</v>
      </c>
      <c r="P2670" s="2" t="s">
        <v>7520</v>
      </c>
    </row>
    <row r="2671" spans="1:16" x14ac:dyDescent="0.25">
      <c r="A2671" s="2" t="s">
        <v>7521</v>
      </c>
      <c r="B2671" s="2" t="s">
        <v>7433</v>
      </c>
      <c r="C2671" s="8">
        <v>46230</v>
      </c>
      <c r="D2671" s="6">
        <v>46204</v>
      </c>
      <c r="E2671" s="2" t="s">
        <v>260</v>
      </c>
      <c r="F2671" s="2" t="s">
        <v>7519</v>
      </c>
      <c r="G2671" s="6">
        <v>46174</v>
      </c>
      <c r="H2671" s="2" t="s">
        <v>71</v>
      </c>
      <c r="I2671" s="2" t="s">
        <v>70</v>
      </c>
      <c r="J2671" s="9">
        <v>9148.4120299999995</v>
      </c>
      <c r="K2671" s="7">
        <v>0.65800000000000003</v>
      </c>
      <c r="L2671" s="9">
        <v>6019.66</v>
      </c>
      <c r="M2671" s="9">
        <v>6083.69</v>
      </c>
      <c r="N2671" s="9">
        <v>3.31</v>
      </c>
      <c r="O2671" s="10">
        <f>IF(AND(OR(H2671="APPROVED",H2671="SCHEDULED"),COUNTIFS(tblSource[EventID],F2671,tblSource[ReleaseStatus],"APPROVED")=1,COUNTIFS(Period_Status!$A$2:$A$8,G2671,Period_Status!$B$2:$B$8,"ActualClosed")=1,C2671&gt;EOMONTH(Settlement_Bridge!$C$2,0)),1,0)</f>
        <v>0</v>
      </c>
      <c r="P2671" s="2" t="s">
        <v>7522</v>
      </c>
    </row>
    <row r="2672" spans="1:16" x14ac:dyDescent="0.25">
      <c r="A2672" s="2" t="s">
        <v>7523</v>
      </c>
      <c r="B2672" s="2" t="s">
        <v>7433</v>
      </c>
      <c r="C2672" s="8">
        <v>46206</v>
      </c>
      <c r="D2672" s="6">
        <v>46204</v>
      </c>
      <c r="E2672" s="2" t="s">
        <v>260</v>
      </c>
      <c r="F2672" s="2" t="s">
        <v>7524</v>
      </c>
      <c r="G2672" s="6">
        <v>46174</v>
      </c>
      <c r="H2672" s="2" t="s">
        <v>71</v>
      </c>
      <c r="I2672" s="2" t="s">
        <v>39</v>
      </c>
      <c r="J2672" s="9">
        <v>4166.5200000000004</v>
      </c>
      <c r="K2672" s="7">
        <v>1</v>
      </c>
      <c r="L2672" s="9">
        <v>4166.5200000000004</v>
      </c>
      <c r="M2672" s="9">
        <v>4166.5200000000004</v>
      </c>
      <c r="N2672" s="9">
        <v>2.29</v>
      </c>
      <c r="O2672" s="10">
        <f>IF(AND(OR(H2672="APPROVED",H2672="SCHEDULED"),COUNTIFS(tblSource[EventID],F2672,tblSource[ReleaseStatus],"APPROVED")=1,COUNTIFS(Period_Status!$A$2:$A$8,G2672,Period_Status!$B$2:$B$8,"ActualClosed")=1,C2672&gt;EOMONTH(Settlement_Bridge!$C$2,0)),1,0)</f>
        <v>0</v>
      </c>
      <c r="P2672" s="2" t="s">
        <v>7525</v>
      </c>
    </row>
    <row r="2673" spans="1:16" x14ac:dyDescent="0.25">
      <c r="A2673" s="2" t="s">
        <v>7526</v>
      </c>
      <c r="B2673" s="2" t="s">
        <v>7433</v>
      </c>
      <c r="C2673" s="8">
        <v>46231</v>
      </c>
      <c r="D2673" s="6">
        <v>46204</v>
      </c>
      <c r="E2673" s="2" t="s">
        <v>260</v>
      </c>
      <c r="F2673" s="2" t="s">
        <v>7524</v>
      </c>
      <c r="G2673" s="6">
        <v>46174</v>
      </c>
      <c r="H2673" s="2" t="s">
        <v>71</v>
      </c>
      <c r="I2673" s="2" t="s">
        <v>39</v>
      </c>
      <c r="J2673" s="9">
        <v>6249.78</v>
      </c>
      <c r="K2673" s="7">
        <v>1</v>
      </c>
      <c r="L2673" s="9">
        <v>6249.78</v>
      </c>
      <c r="M2673" s="9">
        <v>6249.78</v>
      </c>
      <c r="N2673" s="9">
        <v>3.44</v>
      </c>
      <c r="O2673" s="10">
        <f>IF(AND(OR(H2673="APPROVED",H2673="SCHEDULED"),COUNTIFS(tblSource[EventID],F2673,tblSource[ReleaseStatus],"APPROVED")=1,COUNTIFS(Period_Status!$A$2:$A$8,G2673,Period_Status!$B$2:$B$8,"ActualClosed")=1,C2673&gt;EOMONTH(Settlement_Bridge!$C$2,0)),1,0)</f>
        <v>0</v>
      </c>
      <c r="P2673" s="2" t="s">
        <v>7527</v>
      </c>
    </row>
    <row r="2674" spans="1:16" x14ac:dyDescent="0.25">
      <c r="A2674" s="2" t="s">
        <v>7528</v>
      </c>
      <c r="B2674" s="2" t="s">
        <v>7433</v>
      </c>
      <c r="C2674" s="8">
        <v>46207</v>
      </c>
      <c r="D2674" s="6">
        <v>46204</v>
      </c>
      <c r="E2674" s="2" t="s">
        <v>260</v>
      </c>
      <c r="F2674" s="2" t="s">
        <v>7529</v>
      </c>
      <c r="G2674" s="6">
        <v>46174</v>
      </c>
      <c r="H2674" s="2" t="s">
        <v>71</v>
      </c>
      <c r="I2674" s="2" t="s">
        <v>76</v>
      </c>
      <c r="J2674" s="9">
        <v>68435968</v>
      </c>
      <c r="K2674" s="7">
        <v>6.2000000000000003E-5</v>
      </c>
      <c r="L2674" s="9">
        <v>4243.03</v>
      </c>
      <c r="M2674" s="9">
        <v>4277.25</v>
      </c>
      <c r="N2674" s="9">
        <v>2.33</v>
      </c>
      <c r="O2674" s="10">
        <f>IF(AND(OR(H2674="APPROVED",H2674="SCHEDULED"),COUNTIFS(tblSource[EventID],F2674,tblSource[ReleaseStatus],"APPROVED")=1,COUNTIFS(Period_Status!$A$2:$A$8,G2674,Period_Status!$B$2:$B$8,"ActualClosed")=1,C2674&gt;EOMONTH(Settlement_Bridge!$C$2,0)),1,0)</f>
        <v>0</v>
      </c>
      <c r="P2674" s="2" t="s">
        <v>7530</v>
      </c>
    </row>
    <row r="2675" spans="1:16" x14ac:dyDescent="0.25">
      <c r="A2675" s="2" t="s">
        <v>7531</v>
      </c>
      <c r="B2675" s="2" t="s">
        <v>7433</v>
      </c>
      <c r="C2675" s="8">
        <v>46232</v>
      </c>
      <c r="D2675" s="6">
        <v>46204</v>
      </c>
      <c r="E2675" s="2" t="s">
        <v>260</v>
      </c>
      <c r="F2675" s="2" t="s">
        <v>7529</v>
      </c>
      <c r="G2675" s="6">
        <v>46174</v>
      </c>
      <c r="H2675" s="2" t="s">
        <v>71</v>
      </c>
      <c r="I2675" s="2" t="s">
        <v>76</v>
      </c>
      <c r="J2675" s="9">
        <v>102653952</v>
      </c>
      <c r="K2675" s="7">
        <v>6.2000000000000003E-5</v>
      </c>
      <c r="L2675" s="9">
        <v>6364.55</v>
      </c>
      <c r="M2675" s="9">
        <v>6415.87</v>
      </c>
      <c r="N2675" s="9">
        <v>3.5</v>
      </c>
      <c r="O2675" s="10">
        <f>IF(AND(OR(H2675="APPROVED",H2675="SCHEDULED"),COUNTIFS(tblSource[EventID],F2675,tblSource[ReleaseStatus],"APPROVED")=1,COUNTIFS(Period_Status!$A$2:$A$8,G2675,Period_Status!$B$2:$B$8,"ActualClosed")=1,C2675&gt;EOMONTH(Settlement_Bridge!$C$2,0)),1,0)</f>
        <v>0</v>
      </c>
      <c r="P2675" s="2" t="s">
        <v>7532</v>
      </c>
    </row>
    <row r="2676" spans="1:16" x14ac:dyDescent="0.25">
      <c r="A2676" s="2" t="s">
        <v>7533</v>
      </c>
      <c r="B2676" s="2" t="s">
        <v>7433</v>
      </c>
      <c r="C2676" s="8">
        <v>46208</v>
      </c>
      <c r="D2676" s="6">
        <v>46204</v>
      </c>
      <c r="E2676" s="2" t="s">
        <v>260</v>
      </c>
      <c r="F2676" s="2" t="s">
        <v>7534</v>
      </c>
      <c r="G2676" s="6">
        <v>46174</v>
      </c>
      <c r="H2676" s="2" t="s">
        <v>71</v>
      </c>
      <c r="I2676" s="2" t="s">
        <v>70</v>
      </c>
      <c r="J2676" s="9">
        <v>6598.454135</v>
      </c>
      <c r="K2676" s="7">
        <v>0.65800000000000003</v>
      </c>
      <c r="L2676" s="9">
        <v>4341.78</v>
      </c>
      <c r="M2676" s="9">
        <v>4387.97</v>
      </c>
      <c r="N2676" s="9">
        <v>2.39</v>
      </c>
      <c r="O2676" s="10">
        <f>IF(AND(OR(H2676="APPROVED",H2676="SCHEDULED"),COUNTIFS(tblSource[EventID],F2676,tblSource[ReleaseStatus],"APPROVED")=1,COUNTIFS(Period_Status!$A$2:$A$8,G2676,Period_Status!$B$2:$B$8,"ActualClosed")=1,C2676&gt;EOMONTH(Settlement_Bridge!$C$2,0)),1,0)</f>
        <v>0</v>
      </c>
      <c r="P2676" s="2" t="s">
        <v>7535</v>
      </c>
    </row>
    <row r="2677" spans="1:16" x14ac:dyDescent="0.25">
      <c r="A2677" s="2" t="s">
        <v>7536</v>
      </c>
      <c r="B2677" s="2" t="s">
        <v>7433</v>
      </c>
      <c r="C2677" s="8">
        <v>46233</v>
      </c>
      <c r="D2677" s="6">
        <v>46204</v>
      </c>
      <c r="E2677" s="2" t="s">
        <v>260</v>
      </c>
      <c r="F2677" s="2" t="s">
        <v>7534</v>
      </c>
      <c r="G2677" s="6">
        <v>46174</v>
      </c>
      <c r="H2677" s="2" t="s">
        <v>71</v>
      </c>
      <c r="I2677" s="2" t="s">
        <v>70</v>
      </c>
      <c r="J2677" s="9">
        <v>9897.6812030000001</v>
      </c>
      <c r="K2677" s="7">
        <v>0.65800000000000003</v>
      </c>
      <c r="L2677" s="9">
        <v>6512.67</v>
      </c>
      <c r="M2677" s="9">
        <v>6581.96</v>
      </c>
      <c r="N2677" s="9">
        <v>3.58</v>
      </c>
      <c r="O2677" s="10">
        <f>IF(AND(OR(H2677="APPROVED",H2677="SCHEDULED"),COUNTIFS(tblSource[EventID],F2677,tblSource[ReleaseStatus],"APPROVED")=1,COUNTIFS(Period_Status!$A$2:$A$8,G2677,Period_Status!$B$2:$B$8,"ActualClosed")=1,C2677&gt;EOMONTH(Settlement_Bridge!$C$2,0)),1,0)</f>
        <v>0</v>
      </c>
      <c r="P2677" s="2" t="s">
        <v>7537</v>
      </c>
    </row>
    <row r="2678" spans="1:16" x14ac:dyDescent="0.25">
      <c r="A2678" s="2" t="s">
        <v>7538</v>
      </c>
      <c r="B2678" s="2" t="s">
        <v>7433</v>
      </c>
      <c r="C2678" s="8">
        <v>46209</v>
      </c>
      <c r="D2678" s="6">
        <v>46204</v>
      </c>
      <c r="E2678" s="2" t="s">
        <v>260</v>
      </c>
      <c r="F2678" s="2" t="s">
        <v>7539</v>
      </c>
      <c r="G2678" s="6">
        <v>46174</v>
      </c>
      <c r="H2678" s="2" t="s">
        <v>71</v>
      </c>
      <c r="I2678" s="2" t="s">
        <v>39</v>
      </c>
      <c r="J2678" s="9">
        <v>4498.7</v>
      </c>
      <c r="K2678" s="7">
        <v>1</v>
      </c>
      <c r="L2678" s="9">
        <v>4498.7</v>
      </c>
      <c r="M2678" s="9">
        <v>4498.7</v>
      </c>
      <c r="N2678" s="9">
        <v>2.4700000000000002</v>
      </c>
      <c r="O2678" s="10">
        <f>IF(AND(OR(H2678="APPROVED",H2678="SCHEDULED"),COUNTIFS(tblSource[EventID],F2678,tblSource[ReleaseStatus],"APPROVED")=1,COUNTIFS(Period_Status!$A$2:$A$8,G2678,Period_Status!$B$2:$B$8,"ActualClosed")=1,C2678&gt;EOMONTH(Settlement_Bridge!$C$2,0)),1,0)</f>
        <v>0</v>
      </c>
      <c r="P2678" s="2" t="s">
        <v>7540</v>
      </c>
    </row>
    <row r="2679" spans="1:16" x14ac:dyDescent="0.25">
      <c r="A2679" s="2" t="s">
        <v>7541</v>
      </c>
      <c r="B2679" s="2" t="s">
        <v>7433</v>
      </c>
      <c r="C2679" s="8">
        <v>46234</v>
      </c>
      <c r="D2679" s="6">
        <v>46204</v>
      </c>
      <c r="E2679" s="2" t="s">
        <v>260</v>
      </c>
      <c r="F2679" s="2" t="s">
        <v>7539</v>
      </c>
      <c r="G2679" s="6">
        <v>46174</v>
      </c>
      <c r="H2679" s="2" t="s">
        <v>71</v>
      </c>
      <c r="I2679" s="2" t="s">
        <v>39</v>
      </c>
      <c r="J2679" s="9">
        <v>6748.05</v>
      </c>
      <c r="K2679" s="7">
        <v>1</v>
      </c>
      <c r="L2679" s="9">
        <v>6748.05</v>
      </c>
      <c r="M2679" s="9">
        <v>6748.05</v>
      </c>
      <c r="N2679" s="9">
        <v>3.71</v>
      </c>
      <c r="O2679" s="10">
        <f>IF(AND(OR(H2679="APPROVED",H2679="SCHEDULED"),COUNTIFS(tblSource[EventID],F2679,tblSource[ReleaseStatus],"APPROVED")=1,COUNTIFS(Period_Status!$A$2:$A$8,G2679,Period_Status!$B$2:$B$8,"ActualClosed")=1,C2679&gt;EOMONTH(Settlement_Bridge!$C$2,0)),1,0)</f>
        <v>0</v>
      </c>
      <c r="P2679" s="2" t="s">
        <v>7542</v>
      </c>
    </row>
    <row r="2680" spans="1:16" x14ac:dyDescent="0.25">
      <c r="A2680" s="2" t="s">
        <v>7543</v>
      </c>
      <c r="B2680" s="2" t="s">
        <v>7433</v>
      </c>
      <c r="C2680" s="8">
        <v>46210</v>
      </c>
      <c r="D2680" s="6">
        <v>46204</v>
      </c>
      <c r="E2680" s="2" t="s">
        <v>260</v>
      </c>
      <c r="F2680" s="2" t="s">
        <v>7544</v>
      </c>
      <c r="G2680" s="6">
        <v>46174</v>
      </c>
      <c r="H2680" s="2" t="s">
        <v>71</v>
      </c>
      <c r="I2680" s="2" t="s">
        <v>76</v>
      </c>
      <c r="J2680" s="9">
        <v>73750848</v>
      </c>
      <c r="K2680" s="7">
        <v>6.2000000000000003E-5</v>
      </c>
      <c r="L2680" s="9">
        <v>4572.55</v>
      </c>
      <c r="M2680" s="9">
        <v>4609.43</v>
      </c>
      <c r="N2680" s="9">
        <v>2.5099999999999998</v>
      </c>
      <c r="O2680" s="10">
        <f>IF(AND(OR(H2680="APPROVED",H2680="SCHEDULED"),COUNTIFS(tblSource[EventID],F2680,tblSource[ReleaseStatus],"APPROVED")=1,COUNTIFS(Period_Status!$A$2:$A$8,G2680,Period_Status!$B$2:$B$8,"ActualClosed")=1,C2680&gt;EOMONTH(Settlement_Bridge!$C$2,0)),1,0)</f>
        <v>0</v>
      </c>
      <c r="P2680" s="2" t="s">
        <v>7545</v>
      </c>
    </row>
    <row r="2681" spans="1:16" x14ac:dyDescent="0.25">
      <c r="A2681" s="2" t="s">
        <v>7546</v>
      </c>
      <c r="B2681" s="2" t="s">
        <v>7433</v>
      </c>
      <c r="C2681" s="8">
        <v>46235</v>
      </c>
      <c r="D2681" s="6">
        <v>46235</v>
      </c>
      <c r="E2681" s="2" t="s">
        <v>260</v>
      </c>
      <c r="F2681" s="2" t="s">
        <v>7544</v>
      </c>
      <c r="G2681" s="6">
        <v>46174</v>
      </c>
      <c r="H2681" s="2" t="s">
        <v>71</v>
      </c>
      <c r="I2681" s="2" t="s">
        <v>76</v>
      </c>
      <c r="J2681" s="9">
        <v>110626272</v>
      </c>
      <c r="K2681" s="7">
        <v>6.1500000000000004E-5</v>
      </c>
      <c r="L2681" s="9">
        <v>6803.52</v>
      </c>
      <c r="M2681" s="9">
        <v>6914.14</v>
      </c>
      <c r="N2681" s="9">
        <v>3.74</v>
      </c>
      <c r="O2681" s="10">
        <f>IF(AND(OR(H2681="APPROVED",H2681="SCHEDULED"),COUNTIFS(tblSource[EventID],F2681,tblSource[ReleaseStatus],"APPROVED")=1,COUNTIFS(Period_Status!$A$2:$A$8,G2681,Period_Status!$B$2:$B$8,"ActualClosed")=1,C2681&gt;EOMONTH(Settlement_Bridge!$C$2,0)),1,0)</f>
        <v>1</v>
      </c>
      <c r="P2681" s="2" t="s">
        <v>7547</v>
      </c>
    </row>
    <row r="2682" spans="1:16" x14ac:dyDescent="0.25">
      <c r="A2682" s="2" t="s">
        <v>7548</v>
      </c>
      <c r="B2682" s="2" t="s">
        <v>7433</v>
      </c>
      <c r="C2682" s="8">
        <v>46211</v>
      </c>
      <c r="D2682" s="6">
        <v>46204</v>
      </c>
      <c r="E2682" s="2" t="s">
        <v>260</v>
      </c>
      <c r="F2682" s="2" t="s">
        <v>7549</v>
      </c>
      <c r="G2682" s="6">
        <v>46174</v>
      </c>
      <c r="H2682" s="2" t="s">
        <v>71</v>
      </c>
      <c r="I2682" s="2" t="s">
        <v>70</v>
      </c>
      <c r="J2682" s="9">
        <v>7097.9789469999996</v>
      </c>
      <c r="K2682" s="7">
        <v>0.65800000000000003</v>
      </c>
      <c r="L2682" s="9">
        <v>4670.47</v>
      </c>
      <c r="M2682" s="9">
        <v>4720.16</v>
      </c>
      <c r="N2682" s="9">
        <v>2.57</v>
      </c>
      <c r="O2682" s="10">
        <f>IF(AND(OR(H2682="APPROVED",H2682="SCHEDULED"),COUNTIFS(tblSource[EventID],F2682,tblSource[ReleaseStatus],"APPROVED")=1,COUNTIFS(Period_Status!$A$2:$A$8,G2682,Period_Status!$B$2:$B$8,"ActualClosed")=1,C2682&gt;EOMONTH(Settlement_Bridge!$C$2,0)),1,0)</f>
        <v>0</v>
      </c>
      <c r="P2682" s="2" t="s">
        <v>7550</v>
      </c>
    </row>
    <row r="2683" spans="1:16" x14ac:dyDescent="0.25">
      <c r="A2683" s="2" t="s">
        <v>7551</v>
      </c>
      <c r="B2683" s="2" t="s">
        <v>7433</v>
      </c>
      <c r="C2683" s="8">
        <v>46236</v>
      </c>
      <c r="D2683" s="6">
        <v>46235</v>
      </c>
      <c r="E2683" s="2" t="s">
        <v>260</v>
      </c>
      <c r="F2683" s="2" t="s">
        <v>7549</v>
      </c>
      <c r="G2683" s="6">
        <v>46174</v>
      </c>
      <c r="H2683" s="2" t="s">
        <v>71</v>
      </c>
      <c r="I2683" s="2" t="s">
        <v>70</v>
      </c>
      <c r="J2683" s="9">
        <v>10646.968421</v>
      </c>
      <c r="K2683" s="7">
        <v>0.65</v>
      </c>
      <c r="L2683" s="9">
        <v>6920.53</v>
      </c>
      <c r="M2683" s="9">
        <v>7080.23</v>
      </c>
      <c r="N2683" s="9">
        <v>3.81</v>
      </c>
      <c r="O2683" s="10">
        <f>IF(AND(OR(H2683="APPROVED",H2683="SCHEDULED"),COUNTIFS(tblSource[EventID],F2683,tblSource[ReleaseStatus],"APPROVED")=1,COUNTIFS(Period_Status!$A$2:$A$8,G2683,Period_Status!$B$2:$B$8,"ActualClosed")=1,C2683&gt;EOMONTH(Settlement_Bridge!$C$2,0)),1,0)</f>
        <v>1</v>
      </c>
      <c r="P2683" s="2" t="s">
        <v>7552</v>
      </c>
    </row>
    <row r="2684" spans="1:16" x14ac:dyDescent="0.25">
      <c r="A2684" s="2" t="s">
        <v>7553</v>
      </c>
      <c r="B2684" s="2" t="s">
        <v>7433</v>
      </c>
      <c r="C2684" s="8">
        <v>46212</v>
      </c>
      <c r="D2684" s="6">
        <v>46204</v>
      </c>
      <c r="E2684" s="2" t="s">
        <v>260</v>
      </c>
      <c r="F2684" s="2" t="s">
        <v>7554</v>
      </c>
      <c r="G2684" s="6">
        <v>46174</v>
      </c>
      <c r="H2684" s="2" t="s">
        <v>71</v>
      </c>
      <c r="I2684" s="2" t="s">
        <v>39</v>
      </c>
      <c r="J2684" s="9">
        <v>4830.88</v>
      </c>
      <c r="K2684" s="7">
        <v>1</v>
      </c>
      <c r="L2684" s="9">
        <v>4830.88</v>
      </c>
      <c r="M2684" s="9">
        <v>4830.88</v>
      </c>
      <c r="N2684" s="9">
        <v>2.66</v>
      </c>
      <c r="O2684" s="10">
        <f>IF(AND(OR(H2684="APPROVED",H2684="SCHEDULED"),COUNTIFS(tblSource[EventID],F2684,tblSource[ReleaseStatus],"APPROVED")=1,COUNTIFS(Period_Status!$A$2:$A$8,G2684,Period_Status!$B$2:$B$8,"ActualClosed")=1,C2684&gt;EOMONTH(Settlement_Bridge!$C$2,0)),1,0)</f>
        <v>0</v>
      </c>
      <c r="P2684" s="2" t="s">
        <v>7555</v>
      </c>
    </row>
    <row r="2685" spans="1:16" x14ac:dyDescent="0.25">
      <c r="A2685" s="2" t="s">
        <v>7556</v>
      </c>
      <c r="B2685" s="2" t="s">
        <v>7433</v>
      </c>
      <c r="C2685" s="8">
        <v>46237</v>
      </c>
      <c r="D2685" s="6">
        <v>46235</v>
      </c>
      <c r="E2685" s="2" t="s">
        <v>260</v>
      </c>
      <c r="F2685" s="2" t="s">
        <v>7554</v>
      </c>
      <c r="G2685" s="6">
        <v>46174</v>
      </c>
      <c r="H2685" s="2" t="s">
        <v>71</v>
      </c>
      <c r="I2685" s="2" t="s">
        <v>39</v>
      </c>
      <c r="J2685" s="9">
        <v>7246.32</v>
      </c>
      <c r="K2685" s="7">
        <v>1</v>
      </c>
      <c r="L2685" s="9">
        <v>7246.32</v>
      </c>
      <c r="M2685" s="9">
        <v>7246.32</v>
      </c>
      <c r="N2685" s="9">
        <v>3.99</v>
      </c>
      <c r="O2685" s="10">
        <f>IF(AND(OR(H2685="APPROVED",H2685="SCHEDULED"),COUNTIFS(tblSource[EventID],F2685,tblSource[ReleaseStatus],"APPROVED")=1,COUNTIFS(Period_Status!$A$2:$A$8,G2685,Period_Status!$B$2:$B$8,"ActualClosed")=1,C2685&gt;EOMONTH(Settlement_Bridge!$C$2,0)),1,0)</f>
        <v>1</v>
      </c>
      <c r="P2685" s="2" t="s">
        <v>7557</v>
      </c>
    </row>
    <row r="2686" spans="1:16" x14ac:dyDescent="0.25">
      <c r="A2686" s="2" t="s">
        <v>7558</v>
      </c>
      <c r="B2686" s="2" t="s">
        <v>7433</v>
      </c>
      <c r="C2686" s="8">
        <v>46213</v>
      </c>
      <c r="D2686" s="6">
        <v>46204</v>
      </c>
      <c r="E2686" s="2" t="s">
        <v>260</v>
      </c>
      <c r="F2686" s="2" t="s">
        <v>7559</v>
      </c>
      <c r="G2686" s="6">
        <v>46174</v>
      </c>
      <c r="H2686" s="2" t="s">
        <v>71</v>
      </c>
      <c r="I2686" s="2" t="s">
        <v>76</v>
      </c>
      <c r="J2686" s="9">
        <v>79065728</v>
      </c>
      <c r="K2686" s="7">
        <v>6.2000000000000003E-5</v>
      </c>
      <c r="L2686" s="9">
        <v>4902.08</v>
      </c>
      <c r="M2686" s="9">
        <v>4941.6099999999997</v>
      </c>
      <c r="N2686" s="9">
        <v>2.7</v>
      </c>
      <c r="O2686" s="10">
        <f>IF(AND(OR(H2686="APPROVED",H2686="SCHEDULED"),COUNTIFS(tblSource[EventID],F2686,tblSource[ReleaseStatus],"APPROVED")=1,COUNTIFS(Period_Status!$A$2:$A$8,G2686,Period_Status!$B$2:$B$8,"ActualClosed")=1,C2686&gt;EOMONTH(Settlement_Bridge!$C$2,0)),1,0)</f>
        <v>0</v>
      </c>
      <c r="P2686" s="2" t="s">
        <v>7560</v>
      </c>
    </row>
    <row r="2687" spans="1:16" x14ac:dyDescent="0.25">
      <c r="A2687" s="2" t="s">
        <v>7561</v>
      </c>
      <c r="B2687" s="2" t="s">
        <v>7433</v>
      </c>
      <c r="C2687" s="8">
        <v>46238</v>
      </c>
      <c r="D2687" s="6">
        <v>46235</v>
      </c>
      <c r="E2687" s="2" t="s">
        <v>260</v>
      </c>
      <c r="F2687" s="2" t="s">
        <v>7559</v>
      </c>
      <c r="G2687" s="6">
        <v>46174</v>
      </c>
      <c r="H2687" s="2" t="s">
        <v>71</v>
      </c>
      <c r="I2687" s="2" t="s">
        <v>76</v>
      </c>
      <c r="J2687" s="9">
        <v>118598592</v>
      </c>
      <c r="K2687" s="7">
        <v>6.1500000000000004E-5</v>
      </c>
      <c r="L2687" s="9">
        <v>7293.81</v>
      </c>
      <c r="M2687" s="9">
        <v>7412.41</v>
      </c>
      <c r="N2687" s="9">
        <v>4.01</v>
      </c>
      <c r="O2687" s="10">
        <f>IF(AND(OR(H2687="APPROVED",H2687="SCHEDULED"),COUNTIFS(tblSource[EventID],F2687,tblSource[ReleaseStatus],"APPROVED")=1,COUNTIFS(Period_Status!$A$2:$A$8,G2687,Period_Status!$B$2:$B$8,"ActualClosed")=1,C2687&gt;EOMONTH(Settlement_Bridge!$C$2,0)),1,0)</f>
        <v>1</v>
      </c>
      <c r="P2687" s="2" t="s">
        <v>7562</v>
      </c>
    </row>
    <row r="2688" spans="1:16" x14ac:dyDescent="0.25">
      <c r="A2688" s="2" t="s">
        <v>7563</v>
      </c>
      <c r="B2688" s="2" t="s">
        <v>7433</v>
      </c>
      <c r="C2688" s="8">
        <v>46214</v>
      </c>
      <c r="D2688" s="6">
        <v>46204</v>
      </c>
      <c r="E2688" s="2" t="s">
        <v>260</v>
      </c>
      <c r="F2688" s="2" t="s">
        <v>7564</v>
      </c>
      <c r="G2688" s="6">
        <v>46174</v>
      </c>
      <c r="H2688" s="2" t="s">
        <v>71</v>
      </c>
      <c r="I2688" s="2" t="s">
        <v>70</v>
      </c>
      <c r="J2688" s="9">
        <v>7597.4917290000003</v>
      </c>
      <c r="K2688" s="7">
        <v>0.65800000000000003</v>
      </c>
      <c r="L2688" s="9">
        <v>4999.1499999999996</v>
      </c>
      <c r="M2688" s="9">
        <v>5052.33</v>
      </c>
      <c r="N2688" s="9">
        <v>2.75</v>
      </c>
      <c r="O2688" s="10">
        <f>IF(AND(OR(H2688="APPROVED",H2688="SCHEDULED"),COUNTIFS(tblSource[EventID],F2688,tblSource[ReleaseStatus],"APPROVED")=1,COUNTIFS(Period_Status!$A$2:$A$8,G2688,Period_Status!$B$2:$B$8,"ActualClosed")=1,C2688&gt;EOMONTH(Settlement_Bridge!$C$2,0)),1,0)</f>
        <v>0</v>
      </c>
      <c r="P2688" s="2" t="s">
        <v>7565</v>
      </c>
    </row>
    <row r="2689" spans="1:16" x14ac:dyDescent="0.25">
      <c r="A2689" s="2" t="s">
        <v>7566</v>
      </c>
      <c r="B2689" s="2" t="s">
        <v>7433</v>
      </c>
      <c r="C2689" s="8">
        <v>46239</v>
      </c>
      <c r="D2689" s="6">
        <v>46235</v>
      </c>
      <c r="E2689" s="2" t="s">
        <v>260</v>
      </c>
      <c r="F2689" s="2" t="s">
        <v>7564</v>
      </c>
      <c r="G2689" s="6">
        <v>46174</v>
      </c>
      <c r="H2689" s="2" t="s">
        <v>71</v>
      </c>
      <c r="I2689" s="2" t="s">
        <v>70</v>
      </c>
      <c r="J2689" s="9">
        <v>11396.237594</v>
      </c>
      <c r="K2689" s="7">
        <v>0.65</v>
      </c>
      <c r="L2689" s="9">
        <v>7407.55</v>
      </c>
      <c r="M2689" s="9">
        <v>7578.5</v>
      </c>
      <c r="N2689" s="9">
        <v>4.07</v>
      </c>
      <c r="O2689" s="10">
        <f>IF(AND(OR(H2689="APPROVED",H2689="SCHEDULED"),COUNTIFS(tblSource[EventID],F2689,tblSource[ReleaseStatus],"APPROVED")=1,COUNTIFS(Period_Status!$A$2:$A$8,G2689,Period_Status!$B$2:$B$8,"ActualClosed")=1,C2689&gt;EOMONTH(Settlement_Bridge!$C$2,0)),1,0)</f>
        <v>1</v>
      </c>
      <c r="P2689" s="2" t="s">
        <v>7567</v>
      </c>
    </row>
    <row r="2690" spans="1:16" x14ac:dyDescent="0.25">
      <c r="A2690" s="2" t="s">
        <v>7568</v>
      </c>
      <c r="B2690" s="2" t="s">
        <v>7433</v>
      </c>
      <c r="C2690" s="8">
        <v>46215</v>
      </c>
      <c r="D2690" s="6">
        <v>46204</v>
      </c>
      <c r="E2690" s="2" t="s">
        <v>260</v>
      </c>
      <c r="F2690" s="2" t="s">
        <v>7569</v>
      </c>
      <c r="G2690" s="6">
        <v>46174</v>
      </c>
      <c r="H2690" s="2" t="s">
        <v>71</v>
      </c>
      <c r="I2690" s="2" t="s">
        <v>39</v>
      </c>
      <c r="J2690" s="9">
        <v>5163.0600000000004</v>
      </c>
      <c r="K2690" s="7">
        <v>1</v>
      </c>
      <c r="L2690" s="9">
        <v>5163.0600000000004</v>
      </c>
      <c r="M2690" s="9">
        <v>5163.0600000000004</v>
      </c>
      <c r="N2690" s="9">
        <v>2.84</v>
      </c>
      <c r="O2690" s="10">
        <f>IF(AND(OR(H2690="APPROVED",H2690="SCHEDULED"),COUNTIFS(tblSource[EventID],F2690,tblSource[ReleaseStatus],"APPROVED")=1,COUNTIFS(Period_Status!$A$2:$A$8,G2690,Period_Status!$B$2:$B$8,"ActualClosed")=1,C2690&gt;EOMONTH(Settlement_Bridge!$C$2,0)),1,0)</f>
        <v>0</v>
      </c>
      <c r="P2690" s="2" t="s">
        <v>7570</v>
      </c>
    </row>
    <row r="2691" spans="1:16" x14ac:dyDescent="0.25">
      <c r="A2691" s="2" t="s">
        <v>7571</v>
      </c>
      <c r="B2691" s="2" t="s">
        <v>7433</v>
      </c>
      <c r="C2691" s="8">
        <v>46240</v>
      </c>
      <c r="D2691" s="6">
        <v>46235</v>
      </c>
      <c r="E2691" s="2" t="s">
        <v>260</v>
      </c>
      <c r="F2691" s="2" t="s">
        <v>7569</v>
      </c>
      <c r="G2691" s="6">
        <v>46174</v>
      </c>
      <c r="H2691" s="2" t="s">
        <v>71</v>
      </c>
      <c r="I2691" s="2" t="s">
        <v>39</v>
      </c>
      <c r="J2691" s="9">
        <v>7744.59</v>
      </c>
      <c r="K2691" s="7">
        <v>1</v>
      </c>
      <c r="L2691" s="9">
        <v>7744.59</v>
      </c>
      <c r="M2691" s="9">
        <v>7744.59</v>
      </c>
      <c r="N2691" s="9">
        <v>4.26</v>
      </c>
      <c r="O2691" s="10">
        <f>IF(AND(OR(H2691="APPROVED",H2691="SCHEDULED"),COUNTIFS(tblSource[EventID],F2691,tblSource[ReleaseStatus],"APPROVED")=1,COUNTIFS(Period_Status!$A$2:$A$8,G2691,Period_Status!$B$2:$B$8,"ActualClosed")=1,C2691&gt;EOMONTH(Settlement_Bridge!$C$2,0)),1,0)</f>
        <v>1</v>
      </c>
      <c r="P2691" s="2" t="s">
        <v>7572</v>
      </c>
    </row>
    <row r="2692" spans="1:16" x14ac:dyDescent="0.25">
      <c r="A2692" s="2" t="s">
        <v>7573</v>
      </c>
      <c r="B2692" s="2" t="s">
        <v>7433</v>
      </c>
      <c r="C2692" s="8">
        <v>46216</v>
      </c>
      <c r="D2692" s="6">
        <v>46204</v>
      </c>
      <c r="E2692" s="2" t="s">
        <v>260</v>
      </c>
      <c r="F2692" s="2" t="s">
        <v>7574</v>
      </c>
      <c r="G2692" s="6">
        <v>46174</v>
      </c>
      <c r="H2692" s="2" t="s">
        <v>71</v>
      </c>
      <c r="I2692" s="2" t="s">
        <v>76</v>
      </c>
      <c r="J2692" s="9">
        <v>84380544</v>
      </c>
      <c r="K2692" s="7">
        <v>6.2000000000000003E-5</v>
      </c>
      <c r="L2692" s="9">
        <v>5231.59</v>
      </c>
      <c r="M2692" s="9">
        <v>5273.78</v>
      </c>
      <c r="N2692" s="9">
        <v>2.88</v>
      </c>
      <c r="O2692" s="10">
        <f>IF(AND(OR(H2692="APPROVED",H2692="SCHEDULED"),COUNTIFS(tblSource[EventID],F2692,tblSource[ReleaseStatus],"APPROVED")=1,COUNTIFS(Period_Status!$A$2:$A$8,G2692,Period_Status!$B$2:$B$8,"ActualClosed")=1,C2692&gt;EOMONTH(Settlement_Bridge!$C$2,0)),1,0)</f>
        <v>0</v>
      </c>
      <c r="P2692" s="2" t="s">
        <v>7575</v>
      </c>
    </row>
    <row r="2693" spans="1:16" x14ac:dyDescent="0.25">
      <c r="A2693" s="2" t="s">
        <v>7576</v>
      </c>
      <c r="B2693" s="2" t="s">
        <v>7433</v>
      </c>
      <c r="C2693" s="8">
        <v>46241</v>
      </c>
      <c r="D2693" s="6">
        <v>46235</v>
      </c>
      <c r="E2693" s="2" t="s">
        <v>260</v>
      </c>
      <c r="F2693" s="2" t="s">
        <v>7574</v>
      </c>
      <c r="G2693" s="6">
        <v>46174</v>
      </c>
      <c r="H2693" s="2" t="s">
        <v>71</v>
      </c>
      <c r="I2693" s="2" t="s">
        <v>76</v>
      </c>
      <c r="J2693" s="9">
        <v>126570816</v>
      </c>
      <c r="K2693" s="7">
        <v>6.1500000000000004E-5</v>
      </c>
      <c r="L2693" s="9">
        <v>7784.11</v>
      </c>
      <c r="M2693" s="9">
        <v>7910.68</v>
      </c>
      <c r="N2693" s="9">
        <v>4.28</v>
      </c>
      <c r="O2693" s="10">
        <f>IF(AND(OR(H2693="APPROVED",H2693="SCHEDULED"),COUNTIFS(tblSource[EventID],F2693,tblSource[ReleaseStatus],"APPROVED")=1,COUNTIFS(Period_Status!$A$2:$A$8,G2693,Period_Status!$B$2:$B$8,"ActualClosed")=1,C2693&gt;EOMONTH(Settlement_Bridge!$C$2,0)),1,0)</f>
        <v>1</v>
      </c>
      <c r="P2693" s="2" t="s">
        <v>7577</v>
      </c>
    </row>
    <row r="2694" spans="1:16" x14ac:dyDescent="0.25">
      <c r="A2694" s="2" t="s">
        <v>7578</v>
      </c>
      <c r="B2694" s="2" t="s">
        <v>7433</v>
      </c>
      <c r="C2694" s="8">
        <v>46217</v>
      </c>
      <c r="D2694" s="6">
        <v>46204</v>
      </c>
      <c r="E2694" s="2" t="s">
        <v>260</v>
      </c>
      <c r="F2694" s="2" t="s">
        <v>7579</v>
      </c>
      <c r="G2694" s="6">
        <v>46174</v>
      </c>
      <c r="H2694" s="2" t="s">
        <v>71</v>
      </c>
      <c r="I2694" s="2" t="s">
        <v>70</v>
      </c>
      <c r="J2694" s="9">
        <v>8097.010526</v>
      </c>
      <c r="K2694" s="7">
        <v>0.65800000000000003</v>
      </c>
      <c r="L2694" s="9">
        <v>5327.83</v>
      </c>
      <c r="M2694" s="9">
        <v>5384.51</v>
      </c>
      <c r="N2694" s="9">
        <v>2.93</v>
      </c>
      <c r="O2694" s="10">
        <f>IF(AND(OR(H2694="APPROVED",H2694="SCHEDULED"),COUNTIFS(tblSource[EventID],F2694,tblSource[ReleaseStatus],"APPROVED")=1,COUNTIFS(Period_Status!$A$2:$A$8,G2694,Period_Status!$B$2:$B$8,"ActualClosed")=1,C2694&gt;EOMONTH(Settlement_Bridge!$C$2,0)),1,0)</f>
        <v>0</v>
      </c>
      <c r="P2694" s="2" t="s">
        <v>7580</v>
      </c>
    </row>
    <row r="2695" spans="1:16" x14ac:dyDescent="0.25">
      <c r="A2695" s="2" t="s">
        <v>7581</v>
      </c>
      <c r="B2695" s="2" t="s">
        <v>7433</v>
      </c>
      <c r="C2695" s="8">
        <v>46242</v>
      </c>
      <c r="D2695" s="6">
        <v>46235</v>
      </c>
      <c r="E2695" s="2" t="s">
        <v>260</v>
      </c>
      <c r="F2695" s="2" t="s">
        <v>7579</v>
      </c>
      <c r="G2695" s="6">
        <v>46174</v>
      </c>
      <c r="H2695" s="2" t="s">
        <v>71</v>
      </c>
      <c r="I2695" s="2" t="s">
        <v>70</v>
      </c>
      <c r="J2695" s="9">
        <v>12145.515789999999</v>
      </c>
      <c r="K2695" s="7">
        <v>0.65</v>
      </c>
      <c r="L2695" s="9">
        <v>7894.59</v>
      </c>
      <c r="M2695" s="9">
        <v>8076.77</v>
      </c>
      <c r="N2695" s="9">
        <v>4.34</v>
      </c>
      <c r="O2695" s="10">
        <f>IF(AND(OR(H2695="APPROVED",H2695="SCHEDULED"),COUNTIFS(tblSource[EventID],F2695,tblSource[ReleaseStatus],"APPROVED")=1,COUNTIFS(Period_Status!$A$2:$A$8,G2695,Period_Status!$B$2:$B$8,"ActualClosed")=1,C2695&gt;EOMONTH(Settlement_Bridge!$C$2,0)),1,0)</f>
        <v>1</v>
      </c>
      <c r="P2695" s="2" t="s">
        <v>7582</v>
      </c>
    </row>
    <row r="2696" spans="1:16" x14ac:dyDescent="0.25">
      <c r="A2696" s="2" t="s">
        <v>7583</v>
      </c>
      <c r="B2696" s="2" t="s">
        <v>7433</v>
      </c>
      <c r="C2696" s="8">
        <v>46188</v>
      </c>
      <c r="D2696" s="6">
        <v>46174</v>
      </c>
      <c r="E2696" s="2" t="s">
        <v>260</v>
      </c>
      <c r="F2696" s="2" t="s">
        <v>7584</v>
      </c>
      <c r="G2696" s="6">
        <v>46174</v>
      </c>
      <c r="H2696" s="2" t="s">
        <v>71</v>
      </c>
      <c r="I2696" s="2" t="s">
        <v>39</v>
      </c>
      <c r="J2696" s="9">
        <v>5495.24</v>
      </c>
      <c r="K2696" s="7">
        <v>1</v>
      </c>
      <c r="L2696" s="9">
        <v>5495.24</v>
      </c>
      <c r="M2696" s="9">
        <v>5495.24</v>
      </c>
      <c r="N2696" s="9">
        <v>3.02</v>
      </c>
      <c r="O2696" s="10">
        <f>IF(AND(OR(H2696="APPROVED",H2696="SCHEDULED"),COUNTIFS(tblSource[EventID],F2696,tblSource[ReleaseStatus],"APPROVED")=1,COUNTIFS(Period_Status!$A$2:$A$8,G2696,Period_Status!$B$2:$B$8,"ActualClosed")=1,C2696&gt;EOMONTH(Settlement_Bridge!$C$2,0)),1,0)</f>
        <v>0</v>
      </c>
      <c r="P2696" s="2" t="s">
        <v>7585</v>
      </c>
    </row>
    <row r="2697" spans="1:16" x14ac:dyDescent="0.25">
      <c r="A2697" s="2" t="s">
        <v>7586</v>
      </c>
      <c r="B2697" s="2" t="s">
        <v>7433</v>
      </c>
      <c r="C2697" s="8">
        <v>46213</v>
      </c>
      <c r="D2697" s="6">
        <v>46204</v>
      </c>
      <c r="E2697" s="2" t="s">
        <v>260</v>
      </c>
      <c r="F2697" s="2" t="s">
        <v>7584</v>
      </c>
      <c r="G2697" s="6">
        <v>46174</v>
      </c>
      <c r="H2697" s="2" t="s">
        <v>71</v>
      </c>
      <c r="I2697" s="2" t="s">
        <v>39</v>
      </c>
      <c r="J2697" s="9">
        <v>8242.86</v>
      </c>
      <c r="K2697" s="7">
        <v>1</v>
      </c>
      <c r="L2697" s="9">
        <v>8242.86</v>
      </c>
      <c r="M2697" s="9">
        <v>8242.86</v>
      </c>
      <c r="N2697" s="9">
        <v>4.53</v>
      </c>
      <c r="O2697" s="10">
        <f>IF(AND(OR(H2697="APPROVED",H2697="SCHEDULED"),COUNTIFS(tblSource[EventID],F2697,tblSource[ReleaseStatus],"APPROVED")=1,COUNTIFS(Period_Status!$A$2:$A$8,G2697,Period_Status!$B$2:$B$8,"ActualClosed")=1,C2697&gt;EOMONTH(Settlement_Bridge!$C$2,0)),1,0)</f>
        <v>0</v>
      </c>
      <c r="P2697" s="2" t="s">
        <v>7587</v>
      </c>
    </row>
    <row r="2698" spans="1:16" x14ac:dyDescent="0.25">
      <c r="A2698" s="2" t="s">
        <v>7588</v>
      </c>
      <c r="B2698" s="2" t="s">
        <v>7433</v>
      </c>
      <c r="C2698" s="8">
        <v>46189</v>
      </c>
      <c r="D2698" s="6">
        <v>46174</v>
      </c>
      <c r="E2698" s="2" t="s">
        <v>260</v>
      </c>
      <c r="F2698" s="2" t="s">
        <v>7589</v>
      </c>
      <c r="G2698" s="6">
        <v>46174</v>
      </c>
      <c r="H2698" s="2" t="s">
        <v>71</v>
      </c>
      <c r="I2698" s="2" t="s">
        <v>76</v>
      </c>
      <c r="J2698" s="9">
        <v>89695424</v>
      </c>
      <c r="K2698" s="7">
        <v>6.2500000000000001E-5</v>
      </c>
      <c r="L2698" s="9">
        <v>5605.96</v>
      </c>
      <c r="M2698" s="9">
        <v>5605.96</v>
      </c>
      <c r="N2698" s="9">
        <v>3.08</v>
      </c>
      <c r="O2698" s="10">
        <f>IF(AND(OR(H2698="APPROVED",H2698="SCHEDULED"),COUNTIFS(tblSource[EventID],F2698,tblSource[ReleaseStatus],"APPROVED")=1,COUNTIFS(Period_Status!$A$2:$A$8,G2698,Period_Status!$B$2:$B$8,"ActualClosed")=1,C2698&gt;EOMONTH(Settlement_Bridge!$C$2,0)),1,0)</f>
        <v>0</v>
      </c>
      <c r="P2698" s="2" t="s">
        <v>7590</v>
      </c>
    </row>
    <row r="2699" spans="1:16" x14ac:dyDescent="0.25">
      <c r="A2699" s="2" t="s">
        <v>7591</v>
      </c>
      <c r="B2699" s="2" t="s">
        <v>7433</v>
      </c>
      <c r="C2699" s="8">
        <v>46214</v>
      </c>
      <c r="D2699" s="6">
        <v>46204</v>
      </c>
      <c r="E2699" s="2" t="s">
        <v>260</v>
      </c>
      <c r="F2699" s="2" t="s">
        <v>7589</v>
      </c>
      <c r="G2699" s="6">
        <v>46174</v>
      </c>
      <c r="H2699" s="2" t="s">
        <v>71</v>
      </c>
      <c r="I2699" s="2" t="s">
        <v>76</v>
      </c>
      <c r="J2699" s="9">
        <v>134543136</v>
      </c>
      <c r="K2699" s="7">
        <v>6.2000000000000003E-5</v>
      </c>
      <c r="L2699" s="9">
        <v>8341.67</v>
      </c>
      <c r="M2699" s="9">
        <v>8408.9500000000007</v>
      </c>
      <c r="N2699" s="9">
        <v>4.59</v>
      </c>
      <c r="O2699" s="10">
        <f>IF(AND(OR(H2699="APPROVED",H2699="SCHEDULED"),COUNTIFS(tblSource[EventID],F2699,tblSource[ReleaseStatus],"APPROVED")=1,COUNTIFS(Period_Status!$A$2:$A$8,G2699,Period_Status!$B$2:$B$8,"ActualClosed")=1,C2699&gt;EOMONTH(Settlement_Bridge!$C$2,0)),1,0)</f>
        <v>0</v>
      </c>
      <c r="P2699" s="2" t="s">
        <v>7592</v>
      </c>
    </row>
    <row r="2700" spans="1:16" x14ac:dyDescent="0.25">
      <c r="A2700" s="2" t="s">
        <v>7593</v>
      </c>
      <c r="B2700" s="2" t="s">
        <v>7433</v>
      </c>
      <c r="C2700" s="8">
        <v>46190</v>
      </c>
      <c r="D2700" s="6">
        <v>46174</v>
      </c>
      <c r="E2700" s="2" t="s">
        <v>260</v>
      </c>
      <c r="F2700" s="2" t="s">
        <v>7594</v>
      </c>
      <c r="G2700" s="6">
        <v>46174</v>
      </c>
      <c r="H2700" s="2" t="s">
        <v>71</v>
      </c>
      <c r="I2700" s="2" t="s">
        <v>70</v>
      </c>
      <c r="J2700" s="9">
        <v>8596.5293230000007</v>
      </c>
      <c r="K2700" s="7">
        <v>0.66500000000000004</v>
      </c>
      <c r="L2700" s="9">
        <v>5716.69</v>
      </c>
      <c r="M2700" s="9">
        <v>5716.69</v>
      </c>
      <c r="N2700" s="9">
        <v>3.14</v>
      </c>
      <c r="O2700" s="10">
        <f>IF(AND(OR(H2700="APPROVED",H2700="SCHEDULED"),COUNTIFS(tblSource[EventID],F2700,tblSource[ReleaseStatus],"APPROVED")=1,COUNTIFS(Period_Status!$A$2:$A$8,G2700,Period_Status!$B$2:$B$8,"ActualClosed")=1,C2700&gt;EOMONTH(Settlement_Bridge!$C$2,0)),1,0)</f>
        <v>0</v>
      </c>
      <c r="P2700" s="2" t="s">
        <v>7595</v>
      </c>
    </row>
    <row r="2701" spans="1:16" x14ac:dyDescent="0.25">
      <c r="A2701" s="2" t="s">
        <v>7596</v>
      </c>
      <c r="B2701" s="2" t="s">
        <v>7433</v>
      </c>
      <c r="C2701" s="8">
        <v>46215</v>
      </c>
      <c r="D2701" s="6">
        <v>46204</v>
      </c>
      <c r="E2701" s="2" t="s">
        <v>260</v>
      </c>
      <c r="F2701" s="2" t="s">
        <v>7594</v>
      </c>
      <c r="G2701" s="6">
        <v>46174</v>
      </c>
      <c r="H2701" s="2" t="s">
        <v>71</v>
      </c>
      <c r="I2701" s="2" t="s">
        <v>70</v>
      </c>
      <c r="J2701" s="9">
        <v>12894.793985</v>
      </c>
      <c r="K2701" s="7">
        <v>0.65800000000000003</v>
      </c>
      <c r="L2701" s="9">
        <v>8484.77</v>
      </c>
      <c r="M2701" s="9">
        <v>8575.0400000000009</v>
      </c>
      <c r="N2701" s="9">
        <v>4.67</v>
      </c>
      <c r="O2701" s="10">
        <f>IF(AND(OR(H2701="APPROVED",H2701="SCHEDULED"),COUNTIFS(tblSource[EventID],F2701,tblSource[ReleaseStatus],"APPROVED")=1,COUNTIFS(Period_Status!$A$2:$A$8,G2701,Period_Status!$B$2:$B$8,"ActualClosed")=1,C2701&gt;EOMONTH(Settlement_Bridge!$C$2,0)),1,0)</f>
        <v>0</v>
      </c>
      <c r="P2701" s="2" t="s">
        <v>7597</v>
      </c>
    </row>
    <row r="2702" spans="1:16" x14ac:dyDescent="0.25">
      <c r="A2702" s="2" t="s">
        <v>7598</v>
      </c>
      <c r="B2702" s="2" t="s">
        <v>7433</v>
      </c>
      <c r="C2702" s="8">
        <v>46191</v>
      </c>
      <c r="D2702" s="6">
        <v>46174</v>
      </c>
      <c r="E2702" s="2" t="s">
        <v>260</v>
      </c>
      <c r="F2702" s="2" t="s">
        <v>7599</v>
      </c>
      <c r="G2702" s="6">
        <v>46174</v>
      </c>
      <c r="H2702" s="2" t="s">
        <v>71</v>
      </c>
      <c r="I2702" s="2" t="s">
        <v>39</v>
      </c>
      <c r="J2702" s="9">
        <v>5827.4160000000002</v>
      </c>
      <c r="K2702" s="7">
        <v>1</v>
      </c>
      <c r="L2702" s="9">
        <v>5827.42</v>
      </c>
      <c r="M2702" s="9">
        <v>5827.42</v>
      </c>
      <c r="N2702" s="9">
        <v>3.21</v>
      </c>
      <c r="O2702" s="10">
        <f>IF(AND(OR(H2702="APPROVED",H2702="SCHEDULED"),COUNTIFS(tblSource[EventID],F2702,tblSource[ReleaseStatus],"APPROVED")=1,COUNTIFS(Period_Status!$A$2:$A$8,G2702,Period_Status!$B$2:$B$8,"ActualClosed")=1,C2702&gt;EOMONTH(Settlement_Bridge!$C$2,0)),1,0)</f>
        <v>0</v>
      </c>
      <c r="P2702" s="2" t="s">
        <v>7600</v>
      </c>
    </row>
    <row r="2703" spans="1:16" x14ac:dyDescent="0.25">
      <c r="A2703" s="2" t="s">
        <v>7601</v>
      </c>
      <c r="B2703" s="2" t="s">
        <v>7433</v>
      </c>
      <c r="C2703" s="8">
        <v>46216</v>
      </c>
      <c r="D2703" s="6">
        <v>46204</v>
      </c>
      <c r="E2703" s="2" t="s">
        <v>260</v>
      </c>
      <c r="F2703" s="2" t="s">
        <v>7599</v>
      </c>
      <c r="G2703" s="6">
        <v>46174</v>
      </c>
      <c r="H2703" s="2" t="s">
        <v>71</v>
      </c>
      <c r="I2703" s="2" t="s">
        <v>39</v>
      </c>
      <c r="J2703" s="9">
        <v>8741.1239999999998</v>
      </c>
      <c r="K2703" s="7">
        <v>1</v>
      </c>
      <c r="L2703" s="9">
        <v>8741.1200000000008</v>
      </c>
      <c r="M2703" s="9">
        <v>8741.1200000000008</v>
      </c>
      <c r="N2703" s="9">
        <v>4.8099999999999996</v>
      </c>
      <c r="O2703" s="10">
        <f>IF(AND(OR(H2703="APPROVED",H2703="SCHEDULED"),COUNTIFS(tblSource[EventID],F2703,tblSource[ReleaseStatus],"APPROVED")=1,COUNTIFS(Period_Status!$A$2:$A$8,G2703,Period_Status!$B$2:$B$8,"ActualClosed")=1,C2703&gt;EOMONTH(Settlement_Bridge!$C$2,0)),1,0)</f>
        <v>0</v>
      </c>
      <c r="P2703" s="2" t="s">
        <v>7602</v>
      </c>
    </row>
    <row r="2704" spans="1:16" x14ac:dyDescent="0.25">
      <c r="A2704" s="2" t="s">
        <v>7603</v>
      </c>
      <c r="B2704" s="2" t="s">
        <v>7433</v>
      </c>
      <c r="C2704" s="8">
        <v>46192</v>
      </c>
      <c r="D2704" s="6">
        <v>46174</v>
      </c>
      <c r="E2704" s="2" t="s">
        <v>260</v>
      </c>
      <c r="F2704" s="2" t="s">
        <v>7604</v>
      </c>
      <c r="G2704" s="6">
        <v>46174</v>
      </c>
      <c r="H2704" s="2" t="s">
        <v>71</v>
      </c>
      <c r="I2704" s="2" t="s">
        <v>76</v>
      </c>
      <c r="J2704" s="9">
        <v>95010304</v>
      </c>
      <c r="K2704" s="7">
        <v>6.2500000000000001E-5</v>
      </c>
      <c r="L2704" s="9">
        <v>5938.14</v>
      </c>
      <c r="M2704" s="9">
        <v>5938.14</v>
      </c>
      <c r="N2704" s="9">
        <v>3.27</v>
      </c>
      <c r="O2704" s="10">
        <f>IF(AND(OR(H2704="APPROVED",H2704="SCHEDULED"),COUNTIFS(tblSource[EventID],F2704,tblSource[ReleaseStatus],"APPROVED")=1,COUNTIFS(Period_Status!$A$2:$A$8,G2704,Period_Status!$B$2:$B$8,"ActualClosed")=1,C2704&gt;EOMONTH(Settlement_Bridge!$C$2,0)),1,0)</f>
        <v>0</v>
      </c>
      <c r="P2704" s="2" t="s">
        <v>7605</v>
      </c>
    </row>
    <row r="2705" spans="1:16" x14ac:dyDescent="0.25">
      <c r="A2705" s="2" t="s">
        <v>7606</v>
      </c>
      <c r="B2705" s="2" t="s">
        <v>7433</v>
      </c>
      <c r="C2705" s="8">
        <v>46217</v>
      </c>
      <c r="D2705" s="6">
        <v>46204</v>
      </c>
      <c r="E2705" s="2" t="s">
        <v>260</v>
      </c>
      <c r="F2705" s="2" t="s">
        <v>7604</v>
      </c>
      <c r="G2705" s="6">
        <v>46174</v>
      </c>
      <c r="H2705" s="2" t="s">
        <v>71</v>
      </c>
      <c r="I2705" s="2" t="s">
        <v>76</v>
      </c>
      <c r="J2705" s="9">
        <v>142515456</v>
      </c>
      <c r="K2705" s="7">
        <v>6.2000000000000003E-5</v>
      </c>
      <c r="L2705" s="9">
        <v>8835.9599999999991</v>
      </c>
      <c r="M2705" s="9">
        <v>8907.2199999999993</v>
      </c>
      <c r="N2705" s="9">
        <v>4.8600000000000003</v>
      </c>
      <c r="O2705" s="10">
        <f>IF(AND(OR(H2705="APPROVED",H2705="SCHEDULED"),COUNTIFS(tblSource[EventID],F2705,tblSource[ReleaseStatus],"APPROVED")=1,COUNTIFS(Period_Status!$A$2:$A$8,G2705,Period_Status!$B$2:$B$8,"ActualClosed")=1,C2705&gt;EOMONTH(Settlement_Bridge!$C$2,0)),1,0)</f>
        <v>0</v>
      </c>
      <c r="P2705" s="2" t="s">
        <v>7607</v>
      </c>
    </row>
    <row r="2706" spans="1:16" x14ac:dyDescent="0.25">
      <c r="A2706" s="2" t="s">
        <v>7608</v>
      </c>
      <c r="B2706" s="2" t="s">
        <v>7433</v>
      </c>
      <c r="C2706" s="8">
        <v>46193</v>
      </c>
      <c r="D2706" s="6">
        <v>46174</v>
      </c>
      <c r="E2706" s="2" t="s">
        <v>260</v>
      </c>
      <c r="F2706" s="2" t="s">
        <v>7609</v>
      </c>
      <c r="G2706" s="6">
        <v>46174</v>
      </c>
      <c r="H2706" s="2" t="s">
        <v>71</v>
      </c>
      <c r="I2706" s="2" t="s">
        <v>70</v>
      </c>
      <c r="J2706" s="9">
        <v>9096.0421050000004</v>
      </c>
      <c r="K2706" s="7">
        <v>0.66500000000000004</v>
      </c>
      <c r="L2706" s="9">
        <v>6048.87</v>
      </c>
      <c r="M2706" s="9">
        <v>6048.87</v>
      </c>
      <c r="N2706" s="9">
        <v>3.33</v>
      </c>
      <c r="O2706" s="10">
        <f>IF(AND(OR(H2706="APPROVED",H2706="SCHEDULED"),COUNTIFS(tblSource[EventID],F2706,tblSource[ReleaseStatus],"APPROVED")=1,COUNTIFS(Period_Status!$A$2:$A$8,G2706,Period_Status!$B$2:$B$8,"ActualClosed")=1,C2706&gt;EOMONTH(Settlement_Bridge!$C$2,0)),1,0)</f>
        <v>0</v>
      </c>
      <c r="P2706" s="2" t="s">
        <v>7610</v>
      </c>
    </row>
    <row r="2707" spans="1:16" x14ac:dyDescent="0.25">
      <c r="A2707" s="2" t="s">
        <v>7611</v>
      </c>
      <c r="B2707" s="2" t="s">
        <v>7433</v>
      </c>
      <c r="C2707" s="8">
        <v>46218</v>
      </c>
      <c r="D2707" s="6">
        <v>46204</v>
      </c>
      <c r="E2707" s="2" t="s">
        <v>260</v>
      </c>
      <c r="F2707" s="2" t="s">
        <v>7609</v>
      </c>
      <c r="G2707" s="6">
        <v>46174</v>
      </c>
      <c r="H2707" s="2" t="s">
        <v>71</v>
      </c>
      <c r="I2707" s="2" t="s">
        <v>70</v>
      </c>
      <c r="J2707" s="9">
        <v>13644.063158000001</v>
      </c>
      <c r="K2707" s="7">
        <v>0.65800000000000003</v>
      </c>
      <c r="L2707" s="9">
        <v>8977.7900000000009</v>
      </c>
      <c r="M2707" s="9">
        <v>9073.2999999999993</v>
      </c>
      <c r="N2707" s="9">
        <v>4.9400000000000004</v>
      </c>
      <c r="O2707" s="10">
        <f>IF(AND(OR(H2707="APPROVED",H2707="SCHEDULED"),COUNTIFS(tblSource[EventID],F2707,tblSource[ReleaseStatus],"APPROVED")=1,COUNTIFS(Period_Status!$A$2:$A$8,G2707,Period_Status!$B$2:$B$8,"ActualClosed")=1,C2707&gt;EOMONTH(Settlement_Bridge!$C$2,0)),1,0)</f>
        <v>0</v>
      </c>
      <c r="P2707" s="2" t="s">
        <v>7612</v>
      </c>
    </row>
    <row r="2708" spans="1:16" x14ac:dyDescent="0.25">
      <c r="A2708" s="2" t="s">
        <v>7613</v>
      </c>
      <c r="B2708" s="2" t="s">
        <v>7433</v>
      </c>
      <c r="C2708" s="8">
        <v>46194</v>
      </c>
      <c r="D2708" s="6">
        <v>46174</v>
      </c>
      <c r="E2708" s="2" t="s">
        <v>260</v>
      </c>
      <c r="F2708" s="2" t="s">
        <v>7614</v>
      </c>
      <c r="G2708" s="6">
        <v>46174</v>
      </c>
      <c r="H2708" s="2" t="s">
        <v>71</v>
      </c>
      <c r="I2708" s="2" t="s">
        <v>39</v>
      </c>
      <c r="J2708" s="9">
        <v>6159.5959999999995</v>
      </c>
      <c r="K2708" s="7">
        <v>1</v>
      </c>
      <c r="L2708" s="9">
        <v>6159.6</v>
      </c>
      <c r="M2708" s="9">
        <v>6159.6</v>
      </c>
      <c r="N2708" s="9">
        <v>3.39</v>
      </c>
      <c r="O2708" s="10">
        <f>IF(AND(OR(H2708="APPROVED",H2708="SCHEDULED"),COUNTIFS(tblSource[EventID],F2708,tblSource[ReleaseStatus],"APPROVED")=1,COUNTIFS(Period_Status!$A$2:$A$8,G2708,Period_Status!$B$2:$B$8,"ActualClosed")=1,C2708&gt;EOMONTH(Settlement_Bridge!$C$2,0)),1,0)</f>
        <v>0</v>
      </c>
      <c r="P2708" s="2" t="s">
        <v>7615</v>
      </c>
    </row>
    <row r="2709" spans="1:16" x14ac:dyDescent="0.25">
      <c r="A2709" s="2" t="s">
        <v>7616</v>
      </c>
      <c r="B2709" s="2" t="s">
        <v>7433</v>
      </c>
      <c r="C2709" s="8">
        <v>46219</v>
      </c>
      <c r="D2709" s="6">
        <v>46204</v>
      </c>
      <c r="E2709" s="2" t="s">
        <v>260</v>
      </c>
      <c r="F2709" s="2" t="s">
        <v>7614</v>
      </c>
      <c r="G2709" s="6">
        <v>46174</v>
      </c>
      <c r="H2709" s="2" t="s">
        <v>71</v>
      </c>
      <c r="I2709" s="2" t="s">
        <v>39</v>
      </c>
      <c r="J2709" s="9">
        <v>9239.3940000000002</v>
      </c>
      <c r="K2709" s="7">
        <v>1</v>
      </c>
      <c r="L2709" s="9">
        <v>9239.39</v>
      </c>
      <c r="M2709" s="9">
        <v>9239.39</v>
      </c>
      <c r="N2709" s="9">
        <v>5.08</v>
      </c>
      <c r="O2709" s="10">
        <f>IF(AND(OR(H2709="APPROVED",H2709="SCHEDULED"),COUNTIFS(tblSource[EventID],F2709,tblSource[ReleaseStatus],"APPROVED")=1,COUNTIFS(Period_Status!$A$2:$A$8,G2709,Period_Status!$B$2:$B$8,"ActualClosed")=1,C2709&gt;EOMONTH(Settlement_Bridge!$C$2,0)),1,0)</f>
        <v>0</v>
      </c>
      <c r="P2709" s="2" t="s">
        <v>7617</v>
      </c>
    </row>
    <row r="2710" spans="1:16" x14ac:dyDescent="0.25">
      <c r="A2710" s="2" t="s">
        <v>7618</v>
      </c>
      <c r="B2710" s="2" t="s">
        <v>7433</v>
      </c>
      <c r="C2710" s="8">
        <v>46195</v>
      </c>
      <c r="D2710" s="6">
        <v>46174</v>
      </c>
      <c r="E2710" s="2" t="s">
        <v>260</v>
      </c>
      <c r="F2710" s="2" t="s">
        <v>7619</v>
      </c>
      <c r="G2710" s="6">
        <v>46174</v>
      </c>
      <c r="H2710" s="2" t="s">
        <v>71</v>
      </c>
      <c r="I2710" s="2" t="s">
        <v>76</v>
      </c>
      <c r="J2710" s="9">
        <v>100325184</v>
      </c>
      <c r="K2710" s="7">
        <v>6.2500000000000001E-5</v>
      </c>
      <c r="L2710" s="9">
        <v>6270.32</v>
      </c>
      <c r="M2710" s="9">
        <v>6270.32</v>
      </c>
      <c r="N2710" s="9">
        <v>3.45</v>
      </c>
      <c r="O2710" s="10">
        <f>IF(AND(OR(H2710="APPROVED",H2710="SCHEDULED"),COUNTIFS(tblSource[EventID],F2710,tblSource[ReleaseStatus],"APPROVED")=1,COUNTIFS(Period_Status!$A$2:$A$8,G2710,Period_Status!$B$2:$B$8,"ActualClosed")=1,C2710&gt;EOMONTH(Settlement_Bridge!$C$2,0)),1,0)</f>
        <v>0</v>
      </c>
      <c r="P2710" s="2" t="s">
        <v>7620</v>
      </c>
    </row>
    <row r="2711" spans="1:16" x14ac:dyDescent="0.25">
      <c r="A2711" s="2" t="s">
        <v>7621</v>
      </c>
      <c r="B2711" s="2" t="s">
        <v>7433</v>
      </c>
      <c r="C2711" s="8">
        <v>46220</v>
      </c>
      <c r="D2711" s="6">
        <v>46204</v>
      </c>
      <c r="E2711" s="2" t="s">
        <v>260</v>
      </c>
      <c r="F2711" s="2" t="s">
        <v>7619</v>
      </c>
      <c r="G2711" s="6">
        <v>46174</v>
      </c>
      <c r="H2711" s="2" t="s">
        <v>71</v>
      </c>
      <c r="I2711" s="2" t="s">
        <v>76</v>
      </c>
      <c r="J2711" s="9">
        <v>150487776</v>
      </c>
      <c r="K2711" s="7">
        <v>6.2000000000000003E-5</v>
      </c>
      <c r="L2711" s="9">
        <v>9330.24</v>
      </c>
      <c r="M2711" s="9">
        <v>9405.49</v>
      </c>
      <c r="N2711" s="9">
        <v>5.13</v>
      </c>
      <c r="O2711" s="10">
        <f>IF(AND(OR(H2711="APPROVED",H2711="SCHEDULED"),COUNTIFS(tblSource[EventID],F2711,tblSource[ReleaseStatus],"APPROVED")=1,COUNTIFS(Period_Status!$A$2:$A$8,G2711,Period_Status!$B$2:$B$8,"ActualClosed")=1,C2711&gt;EOMONTH(Settlement_Bridge!$C$2,0)),1,0)</f>
        <v>0</v>
      </c>
      <c r="P2711" s="2" t="s">
        <v>7622</v>
      </c>
    </row>
    <row r="2712" spans="1:16" x14ac:dyDescent="0.25">
      <c r="A2712" s="2" t="s">
        <v>7623</v>
      </c>
      <c r="B2712" s="2" t="s">
        <v>7433</v>
      </c>
      <c r="C2712" s="8">
        <v>46196</v>
      </c>
      <c r="D2712" s="6">
        <v>46174</v>
      </c>
      <c r="E2712" s="2" t="s">
        <v>260</v>
      </c>
      <c r="F2712" s="2" t="s">
        <v>7624</v>
      </c>
      <c r="G2712" s="6">
        <v>46174</v>
      </c>
      <c r="H2712" s="2" t="s">
        <v>71</v>
      </c>
      <c r="I2712" s="2" t="s">
        <v>70</v>
      </c>
      <c r="J2712" s="9">
        <v>9595.5669170000001</v>
      </c>
      <c r="K2712" s="7">
        <v>0.66500000000000004</v>
      </c>
      <c r="L2712" s="9">
        <v>6381.05</v>
      </c>
      <c r="M2712" s="9">
        <v>6381.05</v>
      </c>
      <c r="N2712" s="9">
        <v>3.51</v>
      </c>
      <c r="O2712" s="10">
        <f>IF(AND(OR(H2712="APPROVED",H2712="SCHEDULED"),COUNTIFS(tblSource[EventID],F2712,tblSource[ReleaseStatus],"APPROVED")=1,COUNTIFS(Period_Status!$A$2:$A$8,G2712,Period_Status!$B$2:$B$8,"ActualClosed")=1,C2712&gt;EOMONTH(Settlement_Bridge!$C$2,0)),1,0)</f>
        <v>0</v>
      </c>
      <c r="P2712" s="2" t="s">
        <v>7625</v>
      </c>
    </row>
    <row r="2713" spans="1:16" x14ac:dyDescent="0.25">
      <c r="A2713" s="2" t="s">
        <v>7626</v>
      </c>
      <c r="B2713" s="2" t="s">
        <v>7433</v>
      </c>
      <c r="C2713" s="8">
        <v>46221</v>
      </c>
      <c r="D2713" s="6">
        <v>46204</v>
      </c>
      <c r="E2713" s="2" t="s">
        <v>260</v>
      </c>
      <c r="F2713" s="2" t="s">
        <v>7624</v>
      </c>
      <c r="G2713" s="6">
        <v>46174</v>
      </c>
      <c r="H2713" s="2" t="s">
        <v>71</v>
      </c>
      <c r="I2713" s="2" t="s">
        <v>70</v>
      </c>
      <c r="J2713" s="9">
        <v>14393.350376</v>
      </c>
      <c r="K2713" s="7">
        <v>0.65800000000000003</v>
      </c>
      <c r="L2713" s="9">
        <v>9470.82</v>
      </c>
      <c r="M2713" s="9">
        <v>9571.58</v>
      </c>
      <c r="N2713" s="9">
        <v>5.21</v>
      </c>
      <c r="O2713" s="10">
        <f>IF(AND(OR(H2713="APPROVED",H2713="SCHEDULED"),COUNTIFS(tblSource[EventID],F2713,tblSource[ReleaseStatus],"APPROVED")=1,COUNTIFS(Period_Status!$A$2:$A$8,G2713,Period_Status!$B$2:$B$8,"ActualClosed")=1,C2713&gt;EOMONTH(Settlement_Bridge!$C$2,0)),1,0)</f>
        <v>0</v>
      </c>
      <c r="P2713" s="2" t="s">
        <v>7627</v>
      </c>
    </row>
    <row r="2714" spans="1:16" x14ac:dyDescent="0.25">
      <c r="A2714" s="2" t="s">
        <v>7628</v>
      </c>
      <c r="B2714" s="2" t="s">
        <v>7433</v>
      </c>
      <c r="C2714" s="8">
        <v>46197</v>
      </c>
      <c r="D2714" s="6">
        <v>46174</v>
      </c>
      <c r="E2714" s="2" t="s">
        <v>260</v>
      </c>
      <c r="F2714" s="2" t="s">
        <v>7629</v>
      </c>
      <c r="G2714" s="6">
        <v>46174</v>
      </c>
      <c r="H2714" s="2" t="s">
        <v>71</v>
      </c>
      <c r="I2714" s="2" t="s">
        <v>39</v>
      </c>
      <c r="J2714" s="9">
        <v>6491.7759999999998</v>
      </c>
      <c r="K2714" s="7">
        <v>1</v>
      </c>
      <c r="L2714" s="9">
        <v>6491.78</v>
      </c>
      <c r="M2714" s="9">
        <v>6491.78</v>
      </c>
      <c r="N2714" s="9">
        <v>3.57</v>
      </c>
      <c r="O2714" s="10">
        <f>IF(AND(OR(H2714="APPROVED",H2714="SCHEDULED"),COUNTIFS(tblSource[EventID],F2714,tblSource[ReleaseStatus],"APPROVED")=1,COUNTIFS(Period_Status!$A$2:$A$8,G2714,Period_Status!$B$2:$B$8,"ActualClosed")=1,C2714&gt;EOMONTH(Settlement_Bridge!$C$2,0)),1,0)</f>
        <v>0</v>
      </c>
      <c r="P2714" s="2" t="s">
        <v>7630</v>
      </c>
    </row>
    <row r="2715" spans="1:16" x14ac:dyDescent="0.25">
      <c r="A2715" s="2" t="s">
        <v>7631</v>
      </c>
      <c r="B2715" s="2" t="s">
        <v>7433</v>
      </c>
      <c r="C2715" s="8">
        <v>46222</v>
      </c>
      <c r="D2715" s="6">
        <v>46204</v>
      </c>
      <c r="E2715" s="2" t="s">
        <v>260</v>
      </c>
      <c r="F2715" s="2" t="s">
        <v>7629</v>
      </c>
      <c r="G2715" s="6">
        <v>46174</v>
      </c>
      <c r="H2715" s="2" t="s">
        <v>71</v>
      </c>
      <c r="I2715" s="2" t="s">
        <v>39</v>
      </c>
      <c r="J2715" s="9">
        <v>9737.6640000000007</v>
      </c>
      <c r="K2715" s="7">
        <v>1</v>
      </c>
      <c r="L2715" s="9">
        <v>9737.66</v>
      </c>
      <c r="M2715" s="9">
        <v>9737.66</v>
      </c>
      <c r="N2715" s="9">
        <v>5.36</v>
      </c>
      <c r="O2715" s="10">
        <f>IF(AND(OR(H2715="APPROVED",H2715="SCHEDULED"),COUNTIFS(tblSource[EventID],F2715,tblSource[ReleaseStatus],"APPROVED")=1,COUNTIFS(Period_Status!$A$2:$A$8,G2715,Period_Status!$B$2:$B$8,"ActualClosed")=1,C2715&gt;EOMONTH(Settlement_Bridge!$C$2,0)),1,0)</f>
        <v>0</v>
      </c>
      <c r="P2715" s="2" t="s">
        <v>7632</v>
      </c>
    </row>
    <row r="2716" spans="1:16" x14ac:dyDescent="0.25">
      <c r="A2716" s="2" t="s">
        <v>7633</v>
      </c>
      <c r="B2716" s="2" t="s">
        <v>7433</v>
      </c>
      <c r="C2716" s="8">
        <v>46198</v>
      </c>
      <c r="D2716" s="6">
        <v>46174</v>
      </c>
      <c r="E2716" s="2" t="s">
        <v>260</v>
      </c>
      <c r="F2716" s="2" t="s">
        <v>7634</v>
      </c>
      <c r="G2716" s="6">
        <v>46174</v>
      </c>
      <c r="H2716" s="2" t="s">
        <v>71</v>
      </c>
      <c r="I2716" s="2" t="s">
        <v>76</v>
      </c>
      <c r="J2716" s="9">
        <v>-264100160</v>
      </c>
      <c r="K2716" s="7">
        <v>6.2500000000000001E-5</v>
      </c>
      <c r="L2716" s="9">
        <v>-16506.259999999998</v>
      </c>
      <c r="M2716" s="9">
        <v>-16506.259999999998</v>
      </c>
      <c r="N2716" s="9">
        <v>0</v>
      </c>
      <c r="O2716" s="10">
        <f>IF(AND(OR(H2716="APPROVED",H2716="SCHEDULED"),COUNTIFS(tblSource[EventID],F2716,tblSource[ReleaseStatus],"APPROVED")=1,COUNTIFS(Period_Status!$A$2:$A$8,G2716,Period_Status!$B$2:$B$8,"ActualClosed")=1,C2716&gt;EOMONTH(Settlement_Bridge!$C$2,0)),1,0)</f>
        <v>0</v>
      </c>
      <c r="P2716" s="2" t="s">
        <v>7635</v>
      </c>
    </row>
    <row r="2717" spans="1:16" x14ac:dyDescent="0.25">
      <c r="A2717" s="2" t="s">
        <v>7636</v>
      </c>
      <c r="B2717" s="2" t="s">
        <v>7433</v>
      </c>
      <c r="C2717" s="8">
        <v>46199</v>
      </c>
      <c r="D2717" s="6">
        <v>46174</v>
      </c>
      <c r="E2717" s="2" t="s">
        <v>260</v>
      </c>
      <c r="F2717" s="2" t="s">
        <v>7637</v>
      </c>
      <c r="G2717" s="6">
        <v>46174</v>
      </c>
      <c r="H2717" s="2" t="s">
        <v>71</v>
      </c>
      <c r="I2717" s="2" t="s">
        <v>70</v>
      </c>
      <c r="J2717" s="9">
        <v>10095.079699</v>
      </c>
      <c r="K2717" s="7">
        <v>0.66500000000000004</v>
      </c>
      <c r="L2717" s="9">
        <v>6713.23</v>
      </c>
      <c r="M2717" s="9">
        <v>6713.23</v>
      </c>
      <c r="N2717" s="9">
        <v>3.69</v>
      </c>
      <c r="O2717" s="10">
        <f>IF(AND(OR(H2717="APPROVED",H2717="SCHEDULED"),COUNTIFS(tblSource[EventID],F2717,tblSource[ReleaseStatus],"APPROVED")=1,COUNTIFS(Period_Status!$A$2:$A$8,G2717,Period_Status!$B$2:$B$8,"ActualClosed")=1,C2717&gt;EOMONTH(Settlement_Bridge!$C$2,0)),1,0)</f>
        <v>0</v>
      </c>
      <c r="P2717" s="2" t="s">
        <v>7638</v>
      </c>
    </row>
    <row r="2718" spans="1:16" x14ac:dyDescent="0.25">
      <c r="A2718" s="2" t="s">
        <v>7639</v>
      </c>
      <c r="B2718" s="2" t="s">
        <v>7433</v>
      </c>
      <c r="C2718" s="8">
        <v>46224</v>
      </c>
      <c r="D2718" s="6">
        <v>46204</v>
      </c>
      <c r="E2718" s="2" t="s">
        <v>260</v>
      </c>
      <c r="F2718" s="2" t="s">
        <v>7637</v>
      </c>
      <c r="G2718" s="6">
        <v>46174</v>
      </c>
      <c r="H2718" s="2" t="s">
        <v>71</v>
      </c>
      <c r="I2718" s="2" t="s">
        <v>70</v>
      </c>
      <c r="J2718" s="9">
        <v>15142.619548999999</v>
      </c>
      <c r="K2718" s="7">
        <v>0.65800000000000003</v>
      </c>
      <c r="L2718" s="9">
        <v>9963.84</v>
      </c>
      <c r="M2718" s="9">
        <v>10069.84</v>
      </c>
      <c r="N2718" s="9">
        <v>5.48</v>
      </c>
      <c r="O2718" s="10">
        <f>IF(AND(OR(H2718="APPROVED",H2718="SCHEDULED"),COUNTIFS(tblSource[EventID],F2718,tblSource[ReleaseStatus],"APPROVED")=1,COUNTIFS(Period_Status!$A$2:$A$8,G2718,Period_Status!$B$2:$B$8,"ActualClosed")=1,C2718&gt;EOMONTH(Settlement_Bridge!$C$2,0)),1,0)</f>
        <v>0</v>
      </c>
      <c r="P2718" s="2" t="s">
        <v>7640</v>
      </c>
    </row>
    <row r="2719" spans="1:16" x14ac:dyDescent="0.25">
      <c r="A2719" s="2" t="s">
        <v>7641</v>
      </c>
      <c r="B2719" s="2" t="s">
        <v>7433</v>
      </c>
      <c r="C2719" s="8">
        <v>46200</v>
      </c>
      <c r="D2719" s="6">
        <v>46174</v>
      </c>
      <c r="E2719" s="2" t="s">
        <v>260</v>
      </c>
      <c r="F2719" s="2" t="s">
        <v>7642</v>
      </c>
      <c r="G2719" s="6">
        <v>46174</v>
      </c>
      <c r="H2719" s="2" t="s">
        <v>71</v>
      </c>
      <c r="I2719" s="2" t="s">
        <v>39</v>
      </c>
      <c r="J2719" s="9">
        <v>6823.9560000000001</v>
      </c>
      <c r="K2719" s="7">
        <v>1</v>
      </c>
      <c r="L2719" s="9">
        <v>6823.96</v>
      </c>
      <c r="M2719" s="9">
        <v>6823.96</v>
      </c>
      <c r="N2719" s="9">
        <v>3.75</v>
      </c>
      <c r="O2719" s="10">
        <f>IF(AND(OR(H2719="APPROVED",H2719="SCHEDULED"),COUNTIFS(tblSource[EventID],F2719,tblSource[ReleaseStatus],"APPROVED")=1,COUNTIFS(Period_Status!$A$2:$A$8,G2719,Period_Status!$B$2:$B$8,"ActualClosed")=1,C2719&gt;EOMONTH(Settlement_Bridge!$C$2,0)),1,0)</f>
        <v>0</v>
      </c>
      <c r="P2719" s="2" t="s">
        <v>7643</v>
      </c>
    </row>
    <row r="2720" spans="1:16" x14ac:dyDescent="0.25">
      <c r="A2720" s="2" t="s">
        <v>7644</v>
      </c>
      <c r="B2720" s="2" t="s">
        <v>7433</v>
      </c>
      <c r="C2720" s="8">
        <v>46225</v>
      </c>
      <c r="D2720" s="6">
        <v>46204</v>
      </c>
      <c r="E2720" s="2" t="s">
        <v>260</v>
      </c>
      <c r="F2720" s="2" t="s">
        <v>7642</v>
      </c>
      <c r="G2720" s="6">
        <v>46174</v>
      </c>
      <c r="H2720" s="2" t="s">
        <v>71</v>
      </c>
      <c r="I2720" s="2" t="s">
        <v>39</v>
      </c>
      <c r="J2720" s="9">
        <v>10235.933999999999</v>
      </c>
      <c r="K2720" s="7">
        <v>1</v>
      </c>
      <c r="L2720" s="9">
        <v>10235.93</v>
      </c>
      <c r="M2720" s="9">
        <v>10235.93</v>
      </c>
      <c r="N2720" s="9">
        <v>5.63</v>
      </c>
      <c r="O2720" s="10">
        <f>IF(AND(OR(H2720="APPROVED",H2720="SCHEDULED"),COUNTIFS(tblSource[EventID],F2720,tblSource[ReleaseStatus],"APPROVED")=1,COUNTIFS(Period_Status!$A$2:$A$8,G2720,Period_Status!$B$2:$B$8,"ActualClosed")=1,C2720&gt;EOMONTH(Settlement_Bridge!$C$2,0)),1,0)</f>
        <v>0</v>
      </c>
      <c r="P2720" s="2" t="s">
        <v>7645</v>
      </c>
    </row>
    <row r="2721" spans="1:16" x14ac:dyDescent="0.25">
      <c r="A2721" s="2" t="s">
        <v>7646</v>
      </c>
      <c r="B2721" s="2" t="s">
        <v>7433</v>
      </c>
      <c r="C2721" s="8">
        <v>46201</v>
      </c>
      <c r="D2721" s="6">
        <v>46174</v>
      </c>
      <c r="E2721" s="2" t="s">
        <v>260</v>
      </c>
      <c r="F2721" s="2" t="s">
        <v>7647</v>
      </c>
      <c r="G2721" s="6">
        <v>46174</v>
      </c>
      <c r="H2721" s="2" t="s">
        <v>71</v>
      </c>
      <c r="I2721" s="2" t="s">
        <v>76</v>
      </c>
      <c r="J2721" s="9">
        <v>110954880</v>
      </c>
      <c r="K2721" s="7">
        <v>6.2500000000000001E-5</v>
      </c>
      <c r="L2721" s="9">
        <v>6934.68</v>
      </c>
      <c r="M2721" s="9">
        <v>6934.68</v>
      </c>
      <c r="N2721" s="9">
        <v>3.81</v>
      </c>
      <c r="O2721" s="10">
        <f>IF(AND(OR(H2721="APPROVED",H2721="SCHEDULED"),COUNTIFS(tblSource[EventID],F2721,tblSource[ReleaseStatus],"APPROVED")=1,COUNTIFS(Period_Status!$A$2:$A$8,G2721,Period_Status!$B$2:$B$8,"ActualClosed")=1,C2721&gt;EOMONTH(Settlement_Bridge!$C$2,0)),1,0)</f>
        <v>0</v>
      </c>
      <c r="P2721" s="2" t="s">
        <v>7648</v>
      </c>
    </row>
    <row r="2722" spans="1:16" x14ac:dyDescent="0.25">
      <c r="A2722" s="2" t="s">
        <v>7649</v>
      </c>
      <c r="B2722" s="2" t="s">
        <v>7433</v>
      </c>
      <c r="C2722" s="8">
        <v>46226</v>
      </c>
      <c r="D2722" s="6">
        <v>46204</v>
      </c>
      <c r="E2722" s="2" t="s">
        <v>260</v>
      </c>
      <c r="F2722" s="2" t="s">
        <v>7647</v>
      </c>
      <c r="G2722" s="6">
        <v>46174</v>
      </c>
      <c r="H2722" s="2" t="s">
        <v>71</v>
      </c>
      <c r="I2722" s="2" t="s">
        <v>76</v>
      </c>
      <c r="J2722" s="9">
        <v>166432320</v>
      </c>
      <c r="K2722" s="7">
        <v>6.2000000000000003E-5</v>
      </c>
      <c r="L2722" s="9">
        <v>10318.799999999999</v>
      </c>
      <c r="M2722" s="9">
        <v>10402.02</v>
      </c>
      <c r="N2722" s="9">
        <v>5.68</v>
      </c>
      <c r="O2722" s="10">
        <f>IF(AND(OR(H2722="APPROVED",H2722="SCHEDULED"),COUNTIFS(tblSource[EventID],F2722,tblSource[ReleaseStatus],"APPROVED")=1,COUNTIFS(Period_Status!$A$2:$A$8,G2722,Period_Status!$B$2:$B$8,"ActualClosed")=1,C2722&gt;EOMONTH(Settlement_Bridge!$C$2,0)),1,0)</f>
        <v>0</v>
      </c>
      <c r="P2722" s="2" t="s">
        <v>7650</v>
      </c>
    </row>
    <row r="2723" spans="1:16" x14ac:dyDescent="0.25">
      <c r="A2723" s="2" t="s">
        <v>7651</v>
      </c>
      <c r="B2723" s="2" t="s">
        <v>7433</v>
      </c>
      <c r="C2723" s="8">
        <v>46202</v>
      </c>
      <c r="D2723" s="6">
        <v>46174</v>
      </c>
      <c r="E2723" s="2" t="s">
        <v>260</v>
      </c>
      <c r="F2723" s="2" t="s">
        <v>7652</v>
      </c>
      <c r="G2723" s="6">
        <v>46174</v>
      </c>
      <c r="H2723" s="2" t="s">
        <v>71</v>
      </c>
      <c r="I2723" s="2" t="s">
        <v>70</v>
      </c>
      <c r="J2723" s="9">
        <v>10594.598496000001</v>
      </c>
      <c r="K2723" s="7">
        <v>0.66500000000000004</v>
      </c>
      <c r="L2723" s="9">
        <v>7045.41</v>
      </c>
      <c r="M2723" s="9">
        <v>7045.41</v>
      </c>
      <c r="N2723" s="9">
        <v>3.87</v>
      </c>
      <c r="O2723" s="10">
        <f>IF(AND(OR(H2723="APPROVED",H2723="SCHEDULED"),COUNTIFS(tblSource[EventID],F2723,tblSource[ReleaseStatus],"APPROVED")=1,COUNTIFS(Period_Status!$A$2:$A$8,G2723,Period_Status!$B$2:$B$8,"ActualClosed")=1,C2723&gt;EOMONTH(Settlement_Bridge!$C$2,0)),1,0)</f>
        <v>0</v>
      </c>
      <c r="P2723" s="2" t="s">
        <v>7653</v>
      </c>
    </row>
    <row r="2724" spans="1:16" x14ac:dyDescent="0.25">
      <c r="A2724" s="2" t="s">
        <v>7654</v>
      </c>
      <c r="B2724" s="2" t="s">
        <v>7433</v>
      </c>
      <c r="C2724" s="8">
        <v>46227</v>
      </c>
      <c r="D2724" s="6">
        <v>46204</v>
      </c>
      <c r="E2724" s="2" t="s">
        <v>260</v>
      </c>
      <c r="F2724" s="2" t="s">
        <v>7652</v>
      </c>
      <c r="G2724" s="6">
        <v>46174</v>
      </c>
      <c r="H2724" s="2" t="s">
        <v>71</v>
      </c>
      <c r="I2724" s="2" t="s">
        <v>70</v>
      </c>
      <c r="J2724" s="9">
        <v>15891.897745</v>
      </c>
      <c r="K2724" s="7">
        <v>0.65800000000000003</v>
      </c>
      <c r="L2724" s="9">
        <v>10456.870000000001</v>
      </c>
      <c r="M2724" s="9">
        <v>10568.11</v>
      </c>
      <c r="N2724" s="9">
        <v>5.75</v>
      </c>
      <c r="O2724" s="10">
        <f>IF(AND(OR(H2724="APPROVED",H2724="SCHEDULED"),COUNTIFS(tblSource[EventID],F2724,tblSource[ReleaseStatus],"APPROVED")=1,COUNTIFS(Period_Status!$A$2:$A$8,G2724,Period_Status!$B$2:$B$8,"ActualClosed")=1,C2724&gt;EOMONTH(Settlement_Bridge!$C$2,0)),1,0)</f>
        <v>0</v>
      </c>
      <c r="P2724" s="2" t="s">
        <v>7655</v>
      </c>
    </row>
    <row r="2725" spans="1:16" x14ac:dyDescent="0.25">
      <c r="A2725" s="2" t="s">
        <v>7656</v>
      </c>
      <c r="B2725" s="2" t="s">
        <v>7433</v>
      </c>
      <c r="C2725" s="8">
        <v>46203</v>
      </c>
      <c r="D2725" s="6">
        <v>46174</v>
      </c>
      <c r="E2725" s="2" t="s">
        <v>260</v>
      </c>
      <c r="F2725" s="2" t="s">
        <v>7657</v>
      </c>
      <c r="G2725" s="6">
        <v>46174</v>
      </c>
      <c r="H2725" s="2" t="s">
        <v>71</v>
      </c>
      <c r="I2725" s="2" t="s">
        <v>39</v>
      </c>
      <c r="J2725" s="9">
        <v>7156.1360000000004</v>
      </c>
      <c r="K2725" s="7">
        <v>1</v>
      </c>
      <c r="L2725" s="9">
        <v>7156.14</v>
      </c>
      <c r="M2725" s="9">
        <v>7156.14</v>
      </c>
      <c r="N2725" s="9">
        <v>3.94</v>
      </c>
      <c r="O2725" s="10">
        <f>IF(AND(OR(H2725="APPROVED",H2725="SCHEDULED"),COUNTIFS(tblSource[EventID],F2725,tblSource[ReleaseStatus],"APPROVED")=1,COUNTIFS(Period_Status!$A$2:$A$8,G2725,Period_Status!$B$2:$B$8,"ActualClosed")=1,C2725&gt;EOMONTH(Settlement_Bridge!$C$2,0)),1,0)</f>
        <v>0</v>
      </c>
      <c r="P2725" s="2" t="s">
        <v>7658</v>
      </c>
    </row>
    <row r="2726" spans="1:16" x14ac:dyDescent="0.25">
      <c r="A2726" s="2" t="s">
        <v>7659</v>
      </c>
      <c r="B2726" s="2" t="s">
        <v>7433</v>
      </c>
      <c r="C2726" s="8">
        <v>46228</v>
      </c>
      <c r="D2726" s="6">
        <v>46204</v>
      </c>
      <c r="E2726" s="2" t="s">
        <v>260</v>
      </c>
      <c r="F2726" s="2" t="s">
        <v>7657</v>
      </c>
      <c r="G2726" s="6">
        <v>46174</v>
      </c>
      <c r="H2726" s="2" t="s">
        <v>71</v>
      </c>
      <c r="I2726" s="2" t="s">
        <v>39</v>
      </c>
      <c r="J2726" s="9">
        <v>10734.204</v>
      </c>
      <c r="K2726" s="7">
        <v>1</v>
      </c>
      <c r="L2726" s="9">
        <v>10734.2</v>
      </c>
      <c r="M2726" s="9">
        <v>10734.2</v>
      </c>
      <c r="N2726" s="9">
        <v>5.9</v>
      </c>
      <c r="O2726" s="10">
        <f>IF(AND(OR(H2726="APPROVED",H2726="SCHEDULED"),COUNTIFS(tblSource[EventID],F2726,tblSource[ReleaseStatus],"APPROVED")=1,COUNTIFS(Period_Status!$A$2:$A$8,G2726,Period_Status!$B$2:$B$8,"ActualClosed")=1,C2726&gt;EOMONTH(Settlement_Bridge!$C$2,0)),1,0)</f>
        <v>0</v>
      </c>
      <c r="P2726" s="2" t="s">
        <v>7660</v>
      </c>
    </row>
    <row r="2727" spans="1:16" x14ac:dyDescent="0.25">
      <c r="A2727" s="2" t="s">
        <v>7661</v>
      </c>
      <c r="B2727" s="2" t="s">
        <v>7433</v>
      </c>
      <c r="C2727" s="8">
        <v>46204</v>
      </c>
      <c r="D2727" s="6">
        <v>46204</v>
      </c>
      <c r="E2727" s="2" t="s">
        <v>260</v>
      </c>
      <c r="F2727" s="2" t="s">
        <v>7662</v>
      </c>
      <c r="G2727" s="6">
        <v>46174</v>
      </c>
      <c r="H2727" s="2" t="s">
        <v>71</v>
      </c>
      <c r="I2727" s="2" t="s">
        <v>76</v>
      </c>
      <c r="J2727" s="9">
        <v>116269760</v>
      </c>
      <c r="K2727" s="7">
        <v>6.2000000000000003E-5</v>
      </c>
      <c r="L2727" s="9">
        <v>7208.73</v>
      </c>
      <c r="M2727" s="9">
        <v>7266.86</v>
      </c>
      <c r="N2727" s="9">
        <v>3.96</v>
      </c>
      <c r="O2727" s="10">
        <f>IF(AND(OR(H2727="APPROVED",H2727="SCHEDULED"),COUNTIFS(tblSource[EventID],F2727,tblSource[ReleaseStatus],"APPROVED")=1,COUNTIFS(Period_Status!$A$2:$A$8,G2727,Period_Status!$B$2:$B$8,"ActualClosed")=1,C2727&gt;EOMONTH(Settlement_Bridge!$C$2,0)),1,0)</f>
        <v>0</v>
      </c>
      <c r="P2727" s="2" t="s">
        <v>7663</v>
      </c>
    </row>
    <row r="2728" spans="1:16" x14ac:dyDescent="0.25">
      <c r="A2728" s="2" t="s">
        <v>7664</v>
      </c>
      <c r="B2728" s="2" t="s">
        <v>7433</v>
      </c>
      <c r="C2728" s="8">
        <v>46229</v>
      </c>
      <c r="D2728" s="6">
        <v>46204</v>
      </c>
      <c r="E2728" s="2" t="s">
        <v>260</v>
      </c>
      <c r="F2728" s="2" t="s">
        <v>7662</v>
      </c>
      <c r="G2728" s="6">
        <v>46174</v>
      </c>
      <c r="H2728" s="2" t="s">
        <v>71</v>
      </c>
      <c r="I2728" s="2" t="s">
        <v>76</v>
      </c>
      <c r="J2728" s="9">
        <v>174404640</v>
      </c>
      <c r="K2728" s="7">
        <v>6.2000000000000003E-5</v>
      </c>
      <c r="L2728" s="9">
        <v>10813.09</v>
      </c>
      <c r="M2728" s="9">
        <v>10900.29</v>
      </c>
      <c r="N2728" s="9">
        <v>5.95</v>
      </c>
      <c r="O2728" s="10">
        <f>IF(AND(OR(H2728="APPROVED",H2728="SCHEDULED"),COUNTIFS(tblSource[EventID],F2728,tblSource[ReleaseStatus],"APPROVED")=1,COUNTIFS(Period_Status!$A$2:$A$8,G2728,Period_Status!$B$2:$B$8,"ActualClosed")=1,C2728&gt;EOMONTH(Settlement_Bridge!$C$2,0)),1,0)</f>
        <v>0</v>
      </c>
      <c r="P2728" s="2" t="s">
        <v>7665</v>
      </c>
    </row>
    <row r="2729" spans="1:16" x14ac:dyDescent="0.25">
      <c r="A2729" s="2" t="s">
        <v>7666</v>
      </c>
      <c r="B2729" s="2" t="s">
        <v>7433</v>
      </c>
      <c r="C2729" s="8">
        <v>46205</v>
      </c>
      <c r="D2729" s="6">
        <v>46204</v>
      </c>
      <c r="E2729" s="2" t="s">
        <v>260</v>
      </c>
      <c r="F2729" s="2" t="s">
        <v>7667</v>
      </c>
      <c r="G2729" s="6">
        <v>46174</v>
      </c>
      <c r="H2729" s="2" t="s">
        <v>71</v>
      </c>
      <c r="I2729" s="2" t="s">
        <v>70</v>
      </c>
      <c r="J2729" s="9">
        <v>11094.117292999999</v>
      </c>
      <c r="K2729" s="7">
        <v>0.65800000000000003</v>
      </c>
      <c r="L2729" s="9">
        <v>7299.93</v>
      </c>
      <c r="M2729" s="9">
        <v>7377.59</v>
      </c>
      <c r="N2729" s="9">
        <v>4.01</v>
      </c>
      <c r="O2729" s="10">
        <f>IF(AND(OR(H2729="APPROVED",H2729="SCHEDULED"),COUNTIFS(tblSource[EventID],F2729,tblSource[ReleaseStatus],"APPROVED")=1,COUNTIFS(Period_Status!$A$2:$A$8,G2729,Period_Status!$B$2:$B$8,"ActualClosed")=1,C2729&gt;EOMONTH(Settlement_Bridge!$C$2,0)),1,0)</f>
        <v>0</v>
      </c>
      <c r="P2729" s="2" t="s">
        <v>7668</v>
      </c>
    </row>
    <row r="2730" spans="1:16" x14ac:dyDescent="0.25">
      <c r="A2730" s="2" t="s">
        <v>7669</v>
      </c>
      <c r="B2730" s="2" t="s">
        <v>7433</v>
      </c>
      <c r="C2730" s="8">
        <v>46230</v>
      </c>
      <c r="D2730" s="6">
        <v>46204</v>
      </c>
      <c r="E2730" s="2" t="s">
        <v>260</v>
      </c>
      <c r="F2730" s="2" t="s">
        <v>7667</v>
      </c>
      <c r="G2730" s="6">
        <v>46174</v>
      </c>
      <c r="H2730" s="2" t="s">
        <v>71</v>
      </c>
      <c r="I2730" s="2" t="s">
        <v>70</v>
      </c>
      <c r="J2730" s="9">
        <v>16641.175940000001</v>
      </c>
      <c r="K2730" s="7">
        <v>0.65800000000000003</v>
      </c>
      <c r="L2730" s="9">
        <v>10949.89</v>
      </c>
      <c r="M2730" s="9">
        <v>11066.38</v>
      </c>
      <c r="N2730" s="9">
        <v>6.02</v>
      </c>
      <c r="O2730" s="10">
        <f>IF(AND(OR(H2730="APPROVED",H2730="SCHEDULED"),COUNTIFS(tblSource[EventID],F2730,tblSource[ReleaseStatus],"APPROVED")=1,COUNTIFS(Period_Status!$A$2:$A$8,G2730,Period_Status!$B$2:$B$8,"ActualClosed")=1,C2730&gt;EOMONTH(Settlement_Bridge!$C$2,0)),1,0)</f>
        <v>0</v>
      </c>
      <c r="P2730" s="2" t="s">
        <v>7670</v>
      </c>
    </row>
    <row r="2731" spans="1:16" x14ac:dyDescent="0.25">
      <c r="A2731" s="2" t="s">
        <v>7671</v>
      </c>
      <c r="B2731" s="2" t="s">
        <v>7433</v>
      </c>
      <c r="C2731" s="8">
        <v>46206</v>
      </c>
      <c r="D2731" s="6">
        <v>46204</v>
      </c>
      <c r="E2731" s="2" t="s">
        <v>260</v>
      </c>
      <c r="F2731" s="2" t="s">
        <v>7672</v>
      </c>
      <c r="G2731" s="6">
        <v>46174</v>
      </c>
      <c r="H2731" s="2" t="s">
        <v>71</v>
      </c>
      <c r="I2731" s="2" t="s">
        <v>39</v>
      </c>
      <c r="J2731" s="9">
        <v>7488.3119999999999</v>
      </c>
      <c r="K2731" s="7">
        <v>1</v>
      </c>
      <c r="L2731" s="9">
        <v>7488.31</v>
      </c>
      <c r="M2731" s="9">
        <v>7488.31</v>
      </c>
      <c r="N2731" s="9">
        <v>4.12</v>
      </c>
      <c r="O2731" s="10">
        <f>IF(AND(OR(H2731="APPROVED",H2731="SCHEDULED"),COUNTIFS(tblSource[EventID],F2731,tblSource[ReleaseStatus],"APPROVED")=1,COUNTIFS(Period_Status!$A$2:$A$8,G2731,Period_Status!$B$2:$B$8,"ActualClosed")=1,C2731&gt;EOMONTH(Settlement_Bridge!$C$2,0)),1,0)</f>
        <v>0</v>
      </c>
      <c r="P2731" s="2" t="s">
        <v>7673</v>
      </c>
    </row>
    <row r="2732" spans="1:16" x14ac:dyDescent="0.25">
      <c r="A2732" s="2" t="s">
        <v>7674</v>
      </c>
      <c r="B2732" s="2" t="s">
        <v>7433</v>
      </c>
      <c r="C2732" s="8">
        <v>46231</v>
      </c>
      <c r="D2732" s="6">
        <v>46204</v>
      </c>
      <c r="E2732" s="2" t="s">
        <v>260</v>
      </c>
      <c r="F2732" s="2" t="s">
        <v>7672</v>
      </c>
      <c r="G2732" s="6">
        <v>46174</v>
      </c>
      <c r="H2732" s="2" t="s">
        <v>71</v>
      </c>
      <c r="I2732" s="2" t="s">
        <v>39</v>
      </c>
      <c r="J2732" s="9">
        <v>11232.468000000001</v>
      </c>
      <c r="K2732" s="7">
        <v>1</v>
      </c>
      <c r="L2732" s="9">
        <v>11232.47</v>
      </c>
      <c r="M2732" s="9">
        <v>11232.47</v>
      </c>
      <c r="N2732" s="9">
        <v>6.18</v>
      </c>
      <c r="O2732" s="10">
        <f>IF(AND(OR(H2732="APPROVED",H2732="SCHEDULED"),COUNTIFS(tblSource[EventID],F2732,tblSource[ReleaseStatus],"APPROVED")=1,COUNTIFS(Period_Status!$A$2:$A$8,G2732,Period_Status!$B$2:$B$8,"ActualClosed")=1,C2732&gt;EOMONTH(Settlement_Bridge!$C$2,0)),1,0)</f>
        <v>0</v>
      </c>
      <c r="P2732" s="2" t="s">
        <v>7675</v>
      </c>
    </row>
    <row r="2733" spans="1:16" x14ac:dyDescent="0.25">
      <c r="A2733" s="2" t="s">
        <v>7676</v>
      </c>
      <c r="B2733" s="2" t="s">
        <v>7433</v>
      </c>
      <c r="C2733" s="8">
        <v>46207</v>
      </c>
      <c r="D2733" s="6">
        <v>46204</v>
      </c>
      <c r="E2733" s="2" t="s">
        <v>260</v>
      </c>
      <c r="F2733" s="2" t="s">
        <v>7677</v>
      </c>
      <c r="G2733" s="6">
        <v>46174</v>
      </c>
      <c r="H2733" s="2" t="s">
        <v>71</v>
      </c>
      <c r="I2733" s="2" t="s">
        <v>76</v>
      </c>
      <c r="J2733" s="9">
        <v>121584640</v>
      </c>
      <c r="K2733" s="7">
        <v>6.2000000000000003E-5</v>
      </c>
      <c r="L2733" s="9">
        <v>7538.25</v>
      </c>
      <c r="M2733" s="9">
        <v>7599.04</v>
      </c>
      <c r="N2733" s="9">
        <v>4.1500000000000004</v>
      </c>
      <c r="O2733" s="10">
        <f>IF(AND(OR(H2733="APPROVED",H2733="SCHEDULED"),COUNTIFS(tblSource[EventID],F2733,tblSource[ReleaseStatus],"APPROVED")=1,COUNTIFS(Period_Status!$A$2:$A$8,G2733,Period_Status!$B$2:$B$8,"ActualClosed")=1,C2733&gt;EOMONTH(Settlement_Bridge!$C$2,0)),1,0)</f>
        <v>0</v>
      </c>
      <c r="P2733" s="2" t="s">
        <v>7678</v>
      </c>
    </row>
    <row r="2734" spans="1:16" x14ac:dyDescent="0.25">
      <c r="A2734" s="2" t="s">
        <v>7679</v>
      </c>
      <c r="B2734" s="2" t="s">
        <v>7433</v>
      </c>
      <c r="C2734" s="8">
        <v>46232</v>
      </c>
      <c r="D2734" s="6">
        <v>46204</v>
      </c>
      <c r="E2734" s="2" t="s">
        <v>260</v>
      </c>
      <c r="F2734" s="2" t="s">
        <v>7677</v>
      </c>
      <c r="G2734" s="6">
        <v>46174</v>
      </c>
      <c r="H2734" s="2" t="s">
        <v>71</v>
      </c>
      <c r="I2734" s="2" t="s">
        <v>76</v>
      </c>
      <c r="J2734" s="9">
        <v>182376960</v>
      </c>
      <c r="K2734" s="7">
        <v>6.2000000000000003E-5</v>
      </c>
      <c r="L2734" s="9">
        <v>11307.37</v>
      </c>
      <c r="M2734" s="9">
        <v>11398.56</v>
      </c>
      <c r="N2734" s="9">
        <v>6.22</v>
      </c>
      <c r="O2734" s="10">
        <f>IF(AND(OR(H2734="APPROVED",H2734="SCHEDULED"),COUNTIFS(tblSource[EventID],F2734,tblSource[ReleaseStatus],"APPROVED")=1,COUNTIFS(Period_Status!$A$2:$A$8,G2734,Period_Status!$B$2:$B$8,"ActualClosed")=1,C2734&gt;EOMONTH(Settlement_Bridge!$C$2,0)),1,0)</f>
        <v>0</v>
      </c>
      <c r="P2734" s="2" t="s">
        <v>7680</v>
      </c>
    </row>
    <row r="2735" spans="1:16" x14ac:dyDescent="0.25">
      <c r="A2735" s="2" t="s">
        <v>7681</v>
      </c>
      <c r="B2735" s="2" t="s">
        <v>7433</v>
      </c>
      <c r="C2735" s="8">
        <v>46208</v>
      </c>
      <c r="D2735" s="6">
        <v>46204</v>
      </c>
      <c r="E2735" s="2" t="s">
        <v>260</v>
      </c>
      <c r="F2735" s="2" t="s">
        <v>7682</v>
      </c>
      <c r="G2735" s="6">
        <v>46174</v>
      </c>
      <c r="H2735" s="2" t="s">
        <v>71</v>
      </c>
      <c r="I2735" s="2" t="s">
        <v>70</v>
      </c>
      <c r="J2735" s="9">
        <v>11593.630074999999</v>
      </c>
      <c r="K2735" s="7">
        <v>0.65800000000000003</v>
      </c>
      <c r="L2735" s="9">
        <v>7628.61</v>
      </c>
      <c r="M2735" s="9">
        <v>7709.76</v>
      </c>
      <c r="N2735" s="9">
        <v>4.2</v>
      </c>
      <c r="O2735" s="10">
        <f>IF(AND(OR(H2735="APPROVED",H2735="SCHEDULED"),COUNTIFS(tblSource[EventID],F2735,tblSource[ReleaseStatus],"APPROVED")=1,COUNTIFS(Period_Status!$A$2:$A$8,G2735,Period_Status!$B$2:$B$8,"ActualClosed")=1,C2735&gt;EOMONTH(Settlement_Bridge!$C$2,0)),1,0)</f>
        <v>0</v>
      </c>
      <c r="P2735" s="2" t="s">
        <v>7683</v>
      </c>
    </row>
    <row r="2736" spans="1:16" x14ac:dyDescent="0.25">
      <c r="A2736" s="2" t="s">
        <v>7684</v>
      </c>
      <c r="B2736" s="2" t="s">
        <v>7433</v>
      </c>
      <c r="C2736" s="8">
        <v>46233</v>
      </c>
      <c r="D2736" s="6">
        <v>46204</v>
      </c>
      <c r="E2736" s="2" t="s">
        <v>260</v>
      </c>
      <c r="F2736" s="2" t="s">
        <v>7682</v>
      </c>
      <c r="G2736" s="6">
        <v>46174</v>
      </c>
      <c r="H2736" s="2" t="s">
        <v>71</v>
      </c>
      <c r="I2736" s="2" t="s">
        <v>70</v>
      </c>
      <c r="J2736" s="9">
        <v>17390.445113000002</v>
      </c>
      <c r="K2736" s="7">
        <v>0.65800000000000003</v>
      </c>
      <c r="L2736" s="9">
        <v>11442.91</v>
      </c>
      <c r="M2736" s="9">
        <v>11564.65</v>
      </c>
      <c r="N2736" s="9">
        <v>6.29</v>
      </c>
      <c r="O2736" s="10">
        <f>IF(AND(OR(H2736="APPROVED",H2736="SCHEDULED"),COUNTIFS(tblSource[EventID],F2736,tblSource[ReleaseStatus],"APPROVED")=1,COUNTIFS(Period_Status!$A$2:$A$8,G2736,Period_Status!$B$2:$B$8,"ActualClosed")=1,C2736&gt;EOMONTH(Settlement_Bridge!$C$2,0)),1,0)</f>
        <v>0</v>
      </c>
      <c r="P2736" s="2" t="s">
        <v>7685</v>
      </c>
    </row>
    <row r="2737" spans="1:16" x14ac:dyDescent="0.25">
      <c r="A2737" s="2" t="s">
        <v>7686</v>
      </c>
      <c r="B2737" s="2" t="s">
        <v>7433</v>
      </c>
      <c r="C2737" s="8">
        <v>46209</v>
      </c>
      <c r="D2737" s="6">
        <v>46204</v>
      </c>
      <c r="E2737" s="2" t="s">
        <v>260</v>
      </c>
      <c r="F2737" s="2" t="s">
        <v>7687</v>
      </c>
      <c r="G2737" s="6">
        <v>46174</v>
      </c>
      <c r="H2737" s="2" t="s">
        <v>71</v>
      </c>
      <c r="I2737" s="2" t="s">
        <v>39</v>
      </c>
      <c r="J2737" s="9">
        <v>7820.4920000000002</v>
      </c>
      <c r="K2737" s="7">
        <v>1</v>
      </c>
      <c r="L2737" s="9">
        <v>7820.49</v>
      </c>
      <c r="M2737" s="9">
        <v>7820.49</v>
      </c>
      <c r="N2737" s="9">
        <v>4.3</v>
      </c>
      <c r="O2737" s="10">
        <f>IF(AND(OR(H2737="APPROVED",H2737="SCHEDULED"),COUNTIFS(tblSource[EventID],F2737,tblSource[ReleaseStatus],"APPROVED")=1,COUNTIFS(Period_Status!$A$2:$A$8,G2737,Period_Status!$B$2:$B$8,"ActualClosed")=1,C2737&gt;EOMONTH(Settlement_Bridge!$C$2,0)),1,0)</f>
        <v>0</v>
      </c>
      <c r="P2737" s="2" t="s">
        <v>7688</v>
      </c>
    </row>
    <row r="2738" spans="1:16" x14ac:dyDescent="0.25">
      <c r="A2738" s="2" t="s">
        <v>7689</v>
      </c>
      <c r="B2738" s="2" t="s">
        <v>7433</v>
      </c>
      <c r="C2738" s="8">
        <v>46234</v>
      </c>
      <c r="D2738" s="6">
        <v>46204</v>
      </c>
      <c r="E2738" s="2" t="s">
        <v>260</v>
      </c>
      <c r="F2738" s="2" t="s">
        <v>7687</v>
      </c>
      <c r="G2738" s="6">
        <v>46174</v>
      </c>
      <c r="H2738" s="2" t="s">
        <v>71</v>
      </c>
      <c r="I2738" s="2" t="s">
        <v>39</v>
      </c>
      <c r="J2738" s="9">
        <v>11730.737999999999</v>
      </c>
      <c r="K2738" s="7">
        <v>1</v>
      </c>
      <c r="L2738" s="9">
        <v>11730.74</v>
      </c>
      <c r="M2738" s="9">
        <v>11730.74</v>
      </c>
      <c r="N2738" s="9">
        <v>6.45</v>
      </c>
      <c r="O2738" s="10">
        <f>IF(AND(OR(H2738="APPROVED",H2738="SCHEDULED"),COUNTIFS(tblSource[EventID],F2738,tblSource[ReleaseStatus],"APPROVED")=1,COUNTIFS(Period_Status!$A$2:$A$8,G2738,Period_Status!$B$2:$B$8,"ActualClosed")=1,C2738&gt;EOMONTH(Settlement_Bridge!$C$2,0)),1,0)</f>
        <v>0</v>
      </c>
      <c r="P2738" s="2" t="s">
        <v>7690</v>
      </c>
    </row>
    <row r="2739" spans="1:16" x14ac:dyDescent="0.25">
      <c r="A2739" s="2" t="s">
        <v>7691</v>
      </c>
      <c r="B2739" s="2" t="s">
        <v>7433</v>
      </c>
      <c r="C2739" s="8">
        <v>46210</v>
      </c>
      <c r="D2739" s="6">
        <v>46204</v>
      </c>
      <c r="E2739" s="2" t="s">
        <v>260</v>
      </c>
      <c r="F2739" s="2" t="s">
        <v>7692</v>
      </c>
      <c r="G2739" s="6">
        <v>46174</v>
      </c>
      <c r="H2739" s="2" t="s">
        <v>71</v>
      </c>
      <c r="I2739" s="2" t="s">
        <v>76</v>
      </c>
      <c r="J2739" s="9">
        <v>126899520</v>
      </c>
      <c r="K2739" s="7">
        <v>6.2000000000000003E-5</v>
      </c>
      <c r="L2739" s="9">
        <v>7867.77</v>
      </c>
      <c r="M2739" s="9">
        <v>7931.22</v>
      </c>
      <c r="N2739" s="9">
        <v>4.33</v>
      </c>
      <c r="O2739" s="10">
        <f>IF(AND(OR(H2739="APPROVED",H2739="SCHEDULED"),COUNTIFS(tblSource[EventID],F2739,tblSource[ReleaseStatus],"APPROVED")=1,COUNTIFS(Period_Status!$A$2:$A$8,G2739,Period_Status!$B$2:$B$8,"ActualClosed")=1,C2739&gt;EOMONTH(Settlement_Bridge!$C$2,0)),1,0)</f>
        <v>0</v>
      </c>
      <c r="P2739" s="2" t="s">
        <v>7693</v>
      </c>
    </row>
    <row r="2740" spans="1:16" x14ac:dyDescent="0.25">
      <c r="A2740" s="2" t="s">
        <v>7694</v>
      </c>
      <c r="B2740" s="2" t="s">
        <v>7433</v>
      </c>
      <c r="C2740" s="8">
        <v>46235</v>
      </c>
      <c r="D2740" s="6">
        <v>46235</v>
      </c>
      <c r="E2740" s="2" t="s">
        <v>260</v>
      </c>
      <c r="F2740" s="2" t="s">
        <v>7692</v>
      </c>
      <c r="G2740" s="6">
        <v>46174</v>
      </c>
      <c r="H2740" s="2" t="s">
        <v>71</v>
      </c>
      <c r="I2740" s="2" t="s">
        <v>76</v>
      </c>
      <c r="J2740" s="9">
        <v>190349280</v>
      </c>
      <c r="K2740" s="7">
        <v>6.1500000000000004E-5</v>
      </c>
      <c r="L2740" s="9">
        <v>11706.48</v>
      </c>
      <c r="M2740" s="9">
        <v>11896.83</v>
      </c>
      <c r="N2740" s="9">
        <v>6.44</v>
      </c>
      <c r="O2740" s="10">
        <f>IF(AND(OR(H2740="APPROVED",H2740="SCHEDULED"),COUNTIFS(tblSource[EventID],F2740,tblSource[ReleaseStatus],"APPROVED")=1,COUNTIFS(Period_Status!$A$2:$A$8,G2740,Period_Status!$B$2:$B$8,"ActualClosed")=1,C2740&gt;EOMONTH(Settlement_Bridge!$C$2,0)),1,0)</f>
        <v>1</v>
      </c>
      <c r="P2740" s="2" t="s">
        <v>7695</v>
      </c>
    </row>
    <row r="2741" spans="1:16" x14ac:dyDescent="0.25">
      <c r="A2741" s="2" t="s">
        <v>7696</v>
      </c>
      <c r="B2741" s="2" t="s">
        <v>7433</v>
      </c>
      <c r="C2741" s="8">
        <v>46211</v>
      </c>
      <c r="D2741" s="6">
        <v>46204</v>
      </c>
      <c r="E2741" s="2" t="s">
        <v>260</v>
      </c>
      <c r="F2741" s="2" t="s">
        <v>7697</v>
      </c>
      <c r="G2741" s="6">
        <v>46174</v>
      </c>
      <c r="H2741" s="2" t="s">
        <v>71</v>
      </c>
      <c r="I2741" s="2" t="s">
        <v>70</v>
      </c>
      <c r="J2741" s="9">
        <v>12093.154887000001</v>
      </c>
      <c r="K2741" s="7">
        <v>0.65800000000000003</v>
      </c>
      <c r="L2741" s="9">
        <v>7957.3</v>
      </c>
      <c r="M2741" s="9">
        <v>8041.95</v>
      </c>
      <c r="N2741" s="9">
        <v>4.38</v>
      </c>
      <c r="O2741" s="10">
        <f>IF(AND(OR(H2741="APPROVED",H2741="SCHEDULED"),COUNTIFS(tblSource[EventID],F2741,tblSource[ReleaseStatus],"APPROVED")=1,COUNTIFS(Period_Status!$A$2:$A$8,G2741,Period_Status!$B$2:$B$8,"ActualClosed")=1,C2741&gt;EOMONTH(Settlement_Bridge!$C$2,0)),1,0)</f>
        <v>0</v>
      </c>
      <c r="P2741" s="2" t="s">
        <v>7698</v>
      </c>
    </row>
    <row r="2742" spans="1:16" x14ac:dyDescent="0.25">
      <c r="A2742" s="2" t="s">
        <v>7699</v>
      </c>
      <c r="B2742" s="2" t="s">
        <v>7433</v>
      </c>
      <c r="C2742" s="8">
        <v>46236</v>
      </c>
      <c r="D2742" s="6">
        <v>46235</v>
      </c>
      <c r="E2742" s="2" t="s">
        <v>260</v>
      </c>
      <c r="F2742" s="2" t="s">
        <v>7697</v>
      </c>
      <c r="G2742" s="6">
        <v>46174</v>
      </c>
      <c r="H2742" s="2" t="s">
        <v>71</v>
      </c>
      <c r="I2742" s="2" t="s">
        <v>70</v>
      </c>
      <c r="J2742" s="9">
        <v>18139.732330999999</v>
      </c>
      <c r="K2742" s="7">
        <v>0.65</v>
      </c>
      <c r="L2742" s="9">
        <v>11790.83</v>
      </c>
      <c r="M2742" s="9">
        <v>12062.92</v>
      </c>
      <c r="N2742" s="9">
        <v>6.48</v>
      </c>
      <c r="O2742" s="10">
        <f>IF(AND(OR(H2742="APPROVED",H2742="SCHEDULED"),COUNTIFS(tblSource[EventID],F2742,tblSource[ReleaseStatus],"APPROVED")=1,COUNTIFS(Period_Status!$A$2:$A$8,G2742,Period_Status!$B$2:$B$8,"ActualClosed")=1,C2742&gt;EOMONTH(Settlement_Bridge!$C$2,0)),1,0)</f>
        <v>1</v>
      </c>
      <c r="P2742" s="2" t="s">
        <v>7700</v>
      </c>
    </row>
    <row r="2743" spans="1:16" x14ac:dyDescent="0.25">
      <c r="A2743" s="2" t="s">
        <v>7701</v>
      </c>
      <c r="B2743" s="2" t="s">
        <v>7433</v>
      </c>
      <c r="C2743" s="8">
        <v>46212</v>
      </c>
      <c r="D2743" s="6">
        <v>46204</v>
      </c>
      <c r="E2743" s="2" t="s">
        <v>260</v>
      </c>
      <c r="F2743" s="2" t="s">
        <v>7702</v>
      </c>
      <c r="G2743" s="6">
        <v>46174</v>
      </c>
      <c r="H2743" s="2" t="s">
        <v>71</v>
      </c>
      <c r="I2743" s="2" t="s">
        <v>39</v>
      </c>
      <c r="J2743" s="9">
        <v>8152.6719999999996</v>
      </c>
      <c r="K2743" s="7">
        <v>1</v>
      </c>
      <c r="L2743" s="9">
        <v>8152.67</v>
      </c>
      <c r="M2743" s="9">
        <v>8152.67</v>
      </c>
      <c r="N2743" s="9">
        <v>4.4800000000000004</v>
      </c>
      <c r="O2743" s="10">
        <f>IF(AND(OR(H2743="APPROVED",H2743="SCHEDULED"),COUNTIFS(tblSource[EventID],F2743,tblSource[ReleaseStatus],"APPROVED")=1,COUNTIFS(Period_Status!$A$2:$A$8,G2743,Period_Status!$B$2:$B$8,"ActualClosed")=1,C2743&gt;EOMONTH(Settlement_Bridge!$C$2,0)),1,0)</f>
        <v>0</v>
      </c>
      <c r="P2743" s="2" t="s">
        <v>7703</v>
      </c>
    </row>
    <row r="2744" spans="1:16" x14ac:dyDescent="0.25">
      <c r="A2744" s="2" t="s">
        <v>7704</v>
      </c>
      <c r="B2744" s="2" t="s">
        <v>7433</v>
      </c>
      <c r="C2744" s="8">
        <v>46237</v>
      </c>
      <c r="D2744" s="6">
        <v>46235</v>
      </c>
      <c r="E2744" s="2" t="s">
        <v>260</v>
      </c>
      <c r="F2744" s="2" t="s">
        <v>7702</v>
      </c>
      <c r="G2744" s="6">
        <v>46174</v>
      </c>
      <c r="H2744" s="2" t="s">
        <v>71</v>
      </c>
      <c r="I2744" s="2" t="s">
        <v>39</v>
      </c>
      <c r="J2744" s="9">
        <v>12229.008</v>
      </c>
      <c r="K2744" s="7">
        <v>1</v>
      </c>
      <c r="L2744" s="9">
        <v>12229.01</v>
      </c>
      <c r="M2744" s="9">
        <v>12229.01</v>
      </c>
      <c r="N2744" s="9">
        <v>6.73</v>
      </c>
      <c r="O2744" s="10">
        <f>IF(AND(OR(H2744="APPROVED",H2744="SCHEDULED"),COUNTIFS(tblSource[EventID],F2744,tblSource[ReleaseStatus],"APPROVED")=1,COUNTIFS(Period_Status!$A$2:$A$8,G2744,Period_Status!$B$2:$B$8,"ActualClosed")=1,C2744&gt;EOMONTH(Settlement_Bridge!$C$2,0)),1,0)</f>
        <v>1</v>
      </c>
      <c r="P2744" s="2" t="s">
        <v>7705</v>
      </c>
    </row>
    <row r="2745" spans="1:16" x14ac:dyDescent="0.25">
      <c r="A2745" s="2" t="s">
        <v>7706</v>
      </c>
      <c r="B2745" s="2" t="s">
        <v>7433</v>
      </c>
      <c r="C2745" s="8">
        <v>46213</v>
      </c>
      <c r="D2745" s="6">
        <v>46204</v>
      </c>
      <c r="E2745" s="2" t="s">
        <v>260</v>
      </c>
      <c r="F2745" s="2" t="s">
        <v>7707</v>
      </c>
      <c r="G2745" s="6">
        <v>46174</v>
      </c>
      <c r="H2745" s="2" t="s">
        <v>71</v>
      </c>
      <c r="I2745" s="2" t="s">
        <v>76</v>
      </c>
      <c r="J2745" s="9">
        <v>132214400</v>
      </c>
      <c r="K2745" s="7">
        <v>6.2000000000000003E-5</v>
      </c>
      <c r="L2745" s="9">
        <v>8197.2900000000009</v>
      </c>
      <c r="M2745" s="9">
        <v>8263.4</v>
      </c>
      <c r="N2745" s="9">
        <v>4.51</v>
      </c>
      <c r="O2745" s="10">
        <f>IF(AND(OR(H2745="APPROVED",H2745="SCHEDULED"),COUNTIFS(tblSource[EventID],F2745,tblSource[ReleaseStatus],"APPROVED")=1,COUNTIFS(Period_Status!$A$2:$A$8,G2745,Period_Status!$B$2:$B$8,"ActualClosed")=1,C2745&gt;EOMONTH(Settlement_Bridge!$C$2,0)),1,0)</f>
        <v>0</v>
      </c>
      <c r="P2745" s="2" t="s">
        <v>7708</v>
      </c>
    </row>
    <row r="2746" spans="1:16" x14ac:dyDescent="0.25">
      <c r="A2746" s="2" t="s">
        <v>7709</v>
      </c>
      <c r="B2746" s="2" t="s">
        <v>7433</v>
      </c>
      <c r="C2746" s="8">
        <v>46238</v>
      </c>
      <c r="D2746" s="6">
        <v>46235</v>
      </c>
      <c r="E2746" s="2" t="s">
        <v>260</v>
      </c>
      <c r="F2746" s="2" t="s">
        <v>7707</v>
      </c>
      <c r="G2746" s="6">
        <v>46174</v>
      </c>
      <c r="H2746" s="2" t="s">
        <v>71</v>
      </c>
      <c r="I2746" s="2" t="s">
        <v>76</v>
      </c>
      <c r="J2746" s="9">
        <v>198321600</v>
      </c>
      <c r="K2746" s="7">
        <v>6.1500000000000004E-5</v>
      </c>
      <c r="L2746" s="9">
        <v>12196.78</v>
      </c>
      <c r="M2746" s="9">
        <v>12395.1</v>
      </c>
      <c r="N2746" s="9">
        <v>6.71</v>
      </c>
      <c r="O2746" s="10">
        <f>IF(AND(OR(H2746="APPROVED",H2746="SCHEDULED"),COUNTIFS(tblSource[EventID],F2746,tblSource[ReleaseStatus],"APPROVED")=1,COUNTIFS(Period_Status!$A$2:$A$8,G2746,Period_Status!$B$2:$B$8,"ActualClosed")=1,C2746&gt;EOMONTH(Settlement_Bridge!$C$2,0)),1,0)</f>
        <v>1</v>
      </c>
      <c r="P2746" s="2" t="s">
        <v>7710</v>
      </c>
    </row>
    <row r="2747" spans="1:16" x14ac:dyDescent="0.25">
      <c r="A2747" s="2" t="s">
        <v>7711</v>
      </c>
      <c r="B2747" s="2" t="s">
        <v>7433</v>
      </c>
      <c r="C2747" s="8">
        <v>46214</v>
      </c>
      <c r="D2747" s="6">
        <v>46204</v>
      </c>
      <c r="E2747" s="2" t="s">
        <v>260</v>
      </c>
      <c r="F2747" s="2" t="s">
        <v>7712</v>
      </c>
      <c r="G2747" s="6">
        <v>46174</v>
      </c>
      <c r="H2747" s="2" t="s">
        <v>71</v>
      </c>
      <c r="I2747" s="2" t="s">
        <v>70</v>
      </c>
      <c r="J2747" s="9">
        <v>12592.667669</v>
      </c>
      <c r="K2747" s="7">
        <v>0.65800000000000003</v>
      </c>
      <c r="L2747" s="9">
        <v>8285.98</v>
      </c>
      <c r="M2747" s="9">
        <v>8374.1200000000008</v>
      </c>
      <c r="N2747" s="9">
        <v>4.5599999999999996</v>
      </c>
      <c r="O2747" s="10">
        <f>IF(AND(OR(H2747="APPROVED",H2747="SCHEDULED"),COUNTIFS(tblSource[EventID],F2747,tblSource[ReleaseStatus],"APPROVED")=1,COUNTIFS(Period_Status!$A$2:$A$8,G2747,Period_Status!$B$2:$B$8,"ActualClosed")=1,C2747&gt;EOMONTH(Settlement_Bridge!$C$2,0)),1,0)</f>
        <v>0</v>
      </c>
      <c r="P2747" s="2" t="s">
        <v>7713</v>
      </c>
    </row>
    <row r="2748" spans="1:16" x14ac:dyDescent="0.25">
      <c r="A2748" s="2" t="s">
        <v>7714</v>
      </c>
      <c r="B2748" s="2" t="s">
        <v>7433</v>
      </c>
      <c r="C2748" s="8">
        <v>46239</v>
      </c>
      <c r="D2748" s="6">
        <v>46235</v>
      </c>
      <c r="E2748" s="2" t="s">
        <v>260</v>
      </c>
      <c r="F2748" s="2" t="s">
        <v>7712</v>
      </c>
      <c r="G2748" s="6">
        <v>46174</v>
      </c>
      <c r="H2748" s="2" t="s">
        <v>71</v>
      </c>
      <c r="I2748" s="2" t="s">
        <v>70</v>
      </c>
      <c r="J2748" s="9">
        <v>18889.001504</v>
      </c>
      <c r="K2748" s="7">
        <v>0.65</v>
      </c>
      <c r="L2748" s="9">
        <v>12277.85</v>
      </c>
      <c r="M2748" s="9">
        <v>12561.19</v>
      </c>
      <c r="N2748" s="9">
        <v>6.75</v>
      </c>
      <c r="O2748" s="10">
        <f>IF(AND(OR(H2748="APPROVED",H2748="SCHEDULED"),COUNTIFS(tblSource[EventID],F2748,tblSource[ReleaseStatus],"APPROVED")=1,COUNTIFS(Period_Status!$A$2:$A$8,G2748,Period_Status!$B$2:$B$8,"ActualClosed")=1,C2748&gt;EOMONTH(Settlement_Bridge!$C$2,0)),1,0)</f>
        <v>1</v>
      </c>
      <c r="P2748" s="2" t="s">
        <v>7715</v>
      </c>
    </row>
    <row r="2749" spans="1:16" x14ac:dyDescent="0.25">
      <c r="A2749" s="2" t="s">
        <v>7716</v>
      </c>
      <c r="B2749" s="2" t="s">
        <v>7433</v>
      </c>
      <c r="C2749" s="8">
        <v>46215</v>
      </c>
      <c r="D2749" s="6">
        <v>46204</v>
      </c>
      <c r="E2749" s="2" t="s">
        <v>260</v>
      </c>
      <c r="F2749" s="2" t="s">
        <v>7717</v>
      </c>
      <c r="G2749" s="6">
        <v>46174</v>
      </c>
      <c r="H2749" s="2" t="s">
        <v>71</v>
      </c>
      <c r="I2749" s="2" t="s">
        <v>39</v>
      </c>
      <c r="J2749" s="9">
        <v>8484.8520000000008</v>
      </c>
      <c r="K2749" s="7">
        <v>1</v>
      </c>
      <c r="L2749" s="9">
        <v>8484.85</v>
      </c>
      <c r="M2749" s="9">
        <v>8484.85</v>
      </c>
      <c r="N2749" s="9">
        <v>4.67</v>
      </c>
      <c r="O2749" s="10">
        <f>IF(AND(OR(H2749="APPROVED",H2749="SCHEDULED"),COUNTIFS(tblSource[EventID],F2749,tblSource[ReleaseStatus],"APPROVED")=1,COUNTIFS(Period_Status!$A$2:$A$8,G2749,Period_Status!$B$2:$B$8,"ActualClosed")=1,C2749&gt;EOMONTH(Settlement_Bridge!$C$2,0)),1,0)</f>
        <v>0</v>
      </c>
      <c r="P2749" s="2" t="s">
        <v>7718</v>
      </c>
    </row>
    <row r="2750" spans="1:16" x14ac:dyDescent="0.25">
      <c r="A2750" s="2" t="s">
        <v>7719</v>
      </c>
      <c r="B2750" s="2" t="s">
        <v>7433</v>
      </c>
      <c r="C2750" s="8">
        <v>46240</v>
      </c>
      <c r="D2750" s="6">
        <v>46235</v>
      </c>
      <c r="E2750" s="2" t="s">
        <v>260</v>
      </c>
      <c r="F2750" s="2" t="s">
        <v>7717</v>
      </c>
      <c r="G2750" s="6">
        <v>46174</v>
      </c>
      <c r="H2750" s="2" t="s">
        <v>71</v>
      </c>
      <c r="I2750" s="2" t="s">
        <v>39</v>
      </c>
      <c r="J2750" s="9">
        <v>12727.278</v>
      </c>
      <c r="K2750" s="7">
        <v>1</v>
      </c>
      <c r="L2750" s="9">
        <v>12727.28</v>
      </c>
      <c r="M2750" s="9">
        <v>12727.28</v>
      </c>
      <c r="N2750" s="9">
        <v>7</v>
      </c>
      <c r="O2750" s="10">
        <f>IF(AND(OR(H2750="APPROVED",H2750="SCHEDULED"),COUNTIFS(tblSource[EventID],F2750,tblSource[ReleaseStatus],"APPROVED")=1,COUNTIFS(Period_Status!$A$2:$A$8,G2750,Period_Status!$B$2:$B$8,"ActualClosed")=1,C2750&gt;EOMONTH(Settlement_Bridge!$C$2,0)),1,0)</f>
        <v>1</v>
      </c>
      <c r="P2750" s="2" t="s">
        <v>7720</v>
      </c>
    </row>
    <row r="2751" spans="1:16" x14ac:dyDescent="0.25">
      <c r="A2751" s="2" t="s">
        <v>7721</v>
      </c>
      <c r="B2751" s="2" t="s">
        <v>7433</v>
      </c>
      <c r="C2751" s="8">
        <v>46216</v>
      </c>
      <c r="D2751" s="6">
        <v>46204</v>
      </c>
      <c r="E2751" s="2" t="s">
        <v>260</v>
      </c>
      <c r="F2751" s="2" t="s">
        <v>7722</v>
      </c>
      <c r="G2751" s="6">
        <v>46174</v>
      </c>
      <c r="H2751" s="2" t="s">
        <v>71</v>
      </c>
      <c r="I2751" s="2" t="s">
        <v>76</v>
      </c>
      <c r="J2751" s="9">
        <v>137529216</v>
      </c>
      <c r="K2751" s="7">
        <v>6.2000000000000003E-5</v>
      </c>
      <c r="L2751" s="9">
        <v>8526.81</v>
      </c>
      <c r="M2751" s="9">
        <v>8595.58</v>
      </c>
      <c r="N2751" s="9">
        <v>4.6900000000000004</v>
      </c>
      <c r="O2751" s="10">
        <f>IF(AND(OR(H2751="APPROVED",H2751="SCHEDULED"),COUNTIFS(tblSource[EventID],F2751,tblSource[ReleaseStatus],"APPROVED")=1,COUNTIFS(Period_Status!$A$2:$A$8,G2751,Period_Status!$B$2:$B$8,"ActualClosed")=1,C2751&gt;EOMONTH(Settlement_Bridge!$C$2,0)),1,0)</f>
        <v>0</v>
      </c>
      <c r="P2751" s="2" t="s">
        <v>7723</v>
      </c>
    </row>
    <row r="2752" spans="1:16" x14ac:dyDescent="0.25">
      <c r="A2752" s="2" t="s">
        <v>7724</v>
      </c>
      <c r="B2752" s="2" t="s">
        <v>7433</v>
      </c>
      <c r="C2752" s="8">
        <v>46241</v>
      </c>
      <c r="D2752" s="6">
        <v>46235</v>
      </c>
      <c r="E2752" s="2" t="s">
        <v>260</v>
      </c>
      <c r="F2752" s="2" t="s">
        <v>7722</v>
      </c>
      <c r="G2752" s="6">
        <v>46174</v>
      </c>
      <c r="H2752" s="2" t="s">
        <v>71</v>
      </c>
      <c r="I2752" s="2" t="s">
        <v>76</v>
      </c>
      <c r="J2752" s="9">
        <v>206293824</v>
      </c>
      <c r="K2752" s="7">
        <v>6.1500000000000004E-5</v>
      </c>
      <c r="L2752" s="9">
        <v>12687.07</v>
      </c>
      <c r="M2752" s="9">
        <v>12893.36</v>
      </c>
      <c r="N2752" s="9">
        <v>6.98</v>
      </c>
      <c r="O2752" s="10">
        <f>IF(AND(OR(H2752="APPROVED",H2752="SCHEDULED"),COUNTIFS(tblSource[EventID],F2752,tblSource[ReleaseStatus],"APPROVED")=1,COUNTIFS(Period_Status!$A$2:$A$8,G2752,Period_Status!$B$2:$B$8,"ActualClosed")=1,C2752&gt;EOMONTH(Settlement_Bridge!$C$2,0)),1,0)</f>
        <v>1</v>
      </c>
      <c r="P2752" s="2" t="s">
        <v>7725</v>
      </c>
    </row>
    <row r="2753" spans="1:16" x14ac:dyDescent="0.25">
      <c r="A2753" s="2" t="s">
        <v>7726</v>
      </c>
      <c r="B2753" s="2" t="s">
        <v>7433</v>
      </c>
      <c r="C2753" s="8">
        <v>46217</v>
      </c>
      <c r="D2753" s="6">
        <v>46204</v>
      </c>
      <c r="E2753" s="2" t="s">
        <v>260</v>
      </c>
      <c r="F2753" s="2" t="s">
        <v>7727</v>
      </c>
      <c r="G2753" s="6">
        <v>46174</v>
      </c>
      <c r="H2753" s="2" t="s">
        <v>71</v>
      </c>
      <c r="I2753" s="2" t="s">
        <v>70</v>
      </c>
      <c r="J2753" s="9">
        <v>13092.186465999999</v>
      </c>
      <c r="K2753" s="7">
        <v>0.65800000000000003</v>
      </c>
      <c r="L2753" s="9">
        <v>8614.66</v>
      </c>
      <c r="M2753" s="9">
        <v>8706.2999999999993</v>
      </c>
      <c r="N2753" s="9">
        <v>4.74</v>
      </c>
      <c r="O2753" s="10">
        <f>IF(AND(OR(H2753="APPROVED",H2753="SCHEDULED"),COUNTIFS(tblSource[EventID],F2753,tblSource[ReleaseStatus],"APPROVED")=1,COUNTIFS(Period_Status!$A$2:$A$8,G2753,Period_Status!$B$2:$B$8,"ActualClosed")=1,C2753&gt;EOMONTH(Settlement_Bridge!$C$2,0)),1,0)</f>
        <v>0</v>
      </c>
      <c r="P2753" s="2" t="s">
        <v>7728</v>
      </c>
    </row>
    <row r="2754" spans="1:16" x14ac:dyDescent="0.25">
      <c r="A2754" s="2" t="s">
        <v>7729</v>
      </c>
      <c r="B2754" s="2" t="s">
        <v>7433</v>
      </c>
      <c r="C2754" s="8">
        <v>46242</v>
      </c>
      <c r="D2754" s="6">
        <v>46235</v>
      </c>
      <c r="E2754" s="2" t="s">
        <v>260</v>
      </c>
      <c r="F2754" s="2" t="s">
        <v>7727</v>
      </c>
      <c r="G2754" s="6">
        <v>46174</v>
      </c>
      <c r="H2754" s="2" t="s">
        <v>71</v>
      </c>
      <c r="I2754" s="2" t="s">
        <v>70</v>
      </c>
      <c r="J2754" s="9">
        <v>19638.279698999999</v>
      </c>
      <c r="K2754" s="7">
        <v>0.65</v>
      </c>
      <c r="L2754" s="9">
        <v>12764.88</v>
      </c>
      <c r="M2754" s="9">
        <v>13059.46</v>
      </c>
      <c r="N2754" s="9">
        <v>7.02</v>
      </c>
      <c r="O2754" s="10">
        <f>IF(AND(OR(H2754="APPROVED",H2754="SCHEDULED"),COUNTIFS(tblSource[EventID],F2754,tblSource[ReleaseStatus],"APPROVED")=1,COUNTIFS(Period_Status!$A$2:$A$8,G2754,Period_Status!$B$2:$B$8,"ActualClosed")=1,C2754&gt;EOMONTH(Settlement_Bridge!$C$2,0)),1,0)</f>
        <v>1</v>
      </c>
      <c r="P2754" s="2" t="s">
        <v>7730</v>
      </c>
    </row>
    <row r="2755" spans="1:16" x14ac:dyDescent="0.25">
      <c r="A2755" s="2" t="s">
        <v>7731</v>
      </c>
      <c r="B2755" s="2" t="s">
        <v>7433</v>
      </c>
      <c r="C2755" s="8">
        <v>46188</v>
      </c>
      <c r="D2755" s="6">
        <v>46174</v>
      </c>
      <c r="E2755" s="2" t="s">
        <v>260</v>
      </c>
      <c r="F2755" s="2" t="s">
        <v>7732</v>
      </c>
      <c r="G2755" s="6">
        <v>46174</v>
      </c>
      <c r="H2755" s="2" t="s">
        <v>71</v>
      </c>
      <c r="I2755" s="2" t="s">
        <v>39</v>
      </c>
      <c r="J2755" s="9">
        <v>8817.0319999999992</v>
      </c>
      <c r="K2755" s="7">
        <v>1</v>
      </c>
      <c r="L2755" s="9">
        <v>8817.0300000000007</v>
      </c>
      <c r="M2755" s="9">
        <v>8817.0300000000007</v>
      </c>
      <c r="N2755" s="9">
        <v>4.8499999999999996</v>
      </c>
      <c r="O2755" s="10">
        <f>IF(AND(OR(H2755="APPROVED",H2755="SCHEDULED"),COUNTIFS(tblSource[EventID],F2755,tblSource[ReleaseStatus],"APPROVED")=1,COUNTIFS(Period_Status!$A$2:$A$8,G2755,Period_Status!$B$2:$B$8,"ActualClosed")=1,C2755&gt;EOMONTH(Settlement_Bridge!$C$2,0)),1,0)</f>
        <v>0</v>
      </c>
      <c r="P2755" s="2" t="s">
        <v>7733</v>
      </c>
    </row>
    <row r="2756" spans="1:16" x14ac:dyDescent="0.25">
      <c r="A2756" s="2" t="s">
        <v>7734</v>
      </c>
      <c r="B2756" s="2" t="s">
        <v>7433</v>
      </c>
      <c r="C2756" s="8">
        <v>46213</v>
      </c>
      <c r="D2756" s="6">
        <v>46204</v>
      </c>
      <c r="E2756" s="2" t="s">
        <v>260</v>
      </c>
      <c r="F2756" s="2" t="s">
        <v>7732</v>
      </c>
      <c r="G2756" s="6">
        <v>46174</v>
      </c>
      <c r="H2756" s="2" t="s">
        <v>71</v>
      </c>
      <c r="I2756" s="2" t="s">
        <v>39</v>
      </c>
      <c r="J2756" s="9">
        <v>13225.548000000001</v>
      </c>
      <c r="K2756" s="7">
        <v>1</v>
      </c>
      <c r="L2756" s="9">
        <v>13225.55</v>
      </c>
      <c r="M2756" s="9">
        <v>13225.55</v>
      </c>
      <c r="N2756" s="9">
        <v>7.27</v>
      </c>
      <c r="O2756" s="10">
        <f>IF(AND(OR(H2756="APPROVED",H2756="SCHEDULED"),COUNTIFS(tblSource[EventID],F2756,tblSource[ReleaseStatus],"APPROVED")=1,COUNTIFS(Period_Status!$A$2:$A$8,G2756,Period_Status!$B$2:$B$8,"ActualClosed")=1,C2756&gt;EOMONTH(Settlement_Bridge!$C$2,0)),1,0)</f>
        <v>0</v>
      </c>
      <c r="P2756" s="2" t="s">
        <v>7735</v>
      </c>
    </row>
    <row r="2757" spans="1:16" x14ac:dyDescent="0.25">
      <c r="A2757" s="2" t="s">
        <v>7736</v>
      </c>
      <c r="B2757" s="2" t="s">
        <v>7433</v>
      </c>
      <c r="C2757" s="8">
        <v>46189</v>
      </c>
      <c r="D2757" s="6">
        <v>46174</v>
      </c>
      <c r="E2757" s="2" t="s">
        <v>260</v>
      </c>
      <c r="F2757" s="2" t="s">
        <v>7737</v>
      </c>
      <c r="G2757" s="6">
        <v>46174</v>
      </c>
      <c r="H2757" s="2" t="s">
        <v>71</v>
      </c>
      <c r="I2757" s="2" t="s">
        <v>76</v>
      </c>
      <c r="J2757" s="9">
        <v>142844096</v>
      </c>
      <c r="K2757" s="7">
        <v>6.2500000000000001E-5</v>
      </c>
      <c r="L2757" s="9">
        <v>8927.76</v>
      </c>
      <c r="M2757" s="9">
        <v>8927.76</v>
      </c>
      <c r="N2757" s="9">
        <v>4.91</v>
      </c>
      <c r="O2757" s="10">
        <f>IF(AND(OR(H2757="APPROVED",H2757="SCHEDULED"),COUNTIFS(tblSource[EventID],F2757,tblSource[ReleaseStatus],"APPROVED")=1,COUNTIFS(Period_Status!$A$2:$A$8,G2757,Period_Status!$B$2:$B$8,"ActualClosed")=1,C2757&gt;EOMONTH(Settlement_Bridge!$C$2,0)),1,0)</f>
        <v>0</v>
      </c>
      <c r="P2757" s="2" t="s">
        <v>7738</v>
      </c>
    </row>
    <row r="2758" spans="1:16" x14ac:dyDescent="0.25">
      <c r="A2758" s="2" t="s">
        <v>7739</v>
      </c>
      <c r="B2758" s="2" t="s">
        <v>7433</v>
      </c>
      <c r="C2758" s="8">
        <v>46214</v>
      </c>
      <c r="D2758" s="6">
        <v>46204</v>
      </c>
      <c r="E2758" s="2" t="s">
        <v>260</v>
      </c>
      <c r="F2758" s="2" t="s">
        <v>7737</v>
      </c>
      <c r="G2758" s="6">
        <v>46174</v>
      </c>
      <c r="H2758" s="2" t="s">
        <v>71</v>
      </c>
      <c r="I2758" s="2" t="s">
        <v>76</v>
      </c>
      <c r="J2758" s="9">
        <v>214266144</v>
      </c>
      <c r="K2758" s="7">
        <v>6.2000000000000003E-5</v>
      </c>
      <c r="L2758" s="9">
        <v>13284.5</v>
      </c>
      <c r="M2758" s="9">
        <v>13391.63</v>
      </c>
      <c r="N2758" s="9">
        <v>7.31</v>
      </c>
      <c r="O2758" s="10">
        <f>IF(AND(OR(H2758="APPROVED",H2758="SCHEDULED"),COUNTIFS(tblSource[EventID],F2758,tblSource[ReleaseStatus],"APPROVED")=1,COUNTIFS(Period_Status!$A$2:$A$8,G2758,Period_Status!$B$2:$B$8,"ActualClosed")=1,C2758&gt;EOMONTH(Settlement_Bridge!$C$2,0)),1,0)</f>
        <v>0</v>
      </c>
      <c r="P2758" s="2" t="s">
        <v>7740</v>
      </c>
    </row>
    <row r="2759" spans="1:16" x14ac:dyDescent="0.25">
      <c r="A2759" s="2" t="s">
        <v>7741</v>
      </c>
      <c r="B2759" s="2" t="s">
        <v>7433</v>
      </c>
      <c r="C2759" s="8">
        <v>46190</v>
      </c>
      <c r="D2759" s="6">
        <v>46174</v>
      </c>
      <c r="E2759" s="2" t="s">
        <v>260</v>
      </c>
      <c r="F2759" s="2" t="s">
        <v>7742</v>
      </c>
      <c r="G2759" s="6">
        <v>46174</v>
      </c>
      <c r="H2759" s="2" t="s">
        <v>71</v>
      </c>
      <c r="I2759" s="2" t="s">
        <v>70</v>
      </c>
      <c r="J2759" s="9">
        <v>13591.705263</v>
      </c>
      <c r="K2759" s="7">
        <v>0.66500000000000004</v>
      </c>
      <c r="L2759" s="9">
        <v>9038.48</v>
      </c>
      <c r="M2759" s="9">
        <v>9038.48</v>
      </c>
      <c r="N2759" s="9">
        <v>4.97</v>
      </c>
      <c r="O2759" s="10">
        <f>IF(AND(OR(H2759="APPROVED",H2759="SCHEDULED"),COUNTIFS(tblSource[EventID],F2759,tblSource[ReleaseStatus],"APPROVED")=1,COUNTIFS(Period_Status!$A$2:$A$8,G2759,Period_Status!$B$2:$B$8,"ActualClosed")=1,C2759&gt;EOMONTH(Settlement_Bridge!$C$2,0)),1,0)</f>
        <v>0</v>
      </c>
      <c r="P2759" s="2" t="s">
        <v>7743</v>
      </c>
    </row>
    <row r="2760" spans="1:16" x14ac:dyDescent="0.25">
      <c r="A2760" s="2" t="s">
        <v>7744</v>
      </c>
      <c r="B2760" s="2" t="s">
        <v>7433</v>
      </c>
      <c r="C2760" s="8">
        <v>46215</v>
      </c>
      <c r="D2760" s="6">
        <v>46204</v>
      </c>
      <c r="E2760" s="2" t="s">
        <v>260</v>
      </c>
      <c r="F2760" s="2" t="s">
        <v>7742</v>
      </c>
      <c r="G2760" s="6">
        <v>46174</v>
      </c>
      <c r="H2760" s="2" t="s">
        <v>71</v>
      </c>
      <c r="I2760" s="2" t="s">
        <v>70</v>
      </c>
      <c r="J2760" s="9">
        <v>20387.557895000002</v>
      </c>
      <c r="K2760" s="7">
        <v>0.65800000000000003</v>
      </c>
      <c r="L2760" s="9">
        <v>13415.01</v>
      </c>
      <c r="M2760" s="9">
        <v>13557.73</v>
      </c>
      <c r="N2760" s="9">
        <v>7.38</v>
      </c>
      <c r="O2760" s="10">
        <f>IF(AND(OR(H2760="APPROVED",H2760="SCHEDULED"),COUNTIFS(tblSource[EventID],F2760,tblSource[ReleaseStatus],"APPROVED")=1,COUNTIFS(Period_Status!$A$2:$A$8,G2760,Period_Status!$B$2:$B$8,"ActualClosed")=1,C2760&gt;EOMONTH(Settlement_Bridge!$C$2,0)),1,0)</f>
        <v>0</v>
      </c>
      <c r="P2760" s="2" t="s">
        <v>7745</v>
      </c>
    </row>
    <row r="2761" spans="1:16" x14ac:dyDescent="0.25">
      <c r="A2761" s="2" t="s">
        <v>7746</v>
      </c>
      <c r="B2761" s="2" t="s">
        <v>7433</v>
      </c>
      <c r="C2761" s="8">
        <v>46191</v>
      </c>
      <c r="D2761" s="6">
        <v>46174</v>
      </c>
      <c r="E2761" s="2" t="s">
        <v>260</v>
      </c>
      <c r="F2761" s="2" t="s">
        <v>7747</v>
      </c>
      <c r="G2761" s="6">
        <v>46174</v>
      </c>
      <c r="H2761" s="2" t="s">
        <v>71</v>
      </c>
      <c r="I2761" s="2" t="s">
        <v>39</v>
      </c>
      <c r="J2761" s="9">
        <v>9149.2080000000005</v>
      </c>
      <c r="K2761" s="7">
        <v>1</v>
      </c>
      <c r="L2761" s="9">
        <v>9149.2099999999991</v>
      </c>
      <c r="M2761" s="9">
        <v>9149.2099999999991</v>
      </c>
      <c r="N2761" s="9">
        <v>5.03</v>
      </c>
      <c r="O2761" s="10">
        <f>IF(AND(OR(H2761="APPROVED",H2761="SCHEDULED"),COUNTIFS(tblSource[EventID],F2761,tblSource[ReleaseStatus],"APPROVED")=1,COUNTIFS(Period_Status!$A$2:$A$8,G2761,Period_Status!$B$2:$B$8,"ActualClosed")=1,C2761&gt;EOMONTH(Settlement_Bridge!$C$2,0)),1,0)</f>
        <v>0</v>
      </c>
      <c r="P2761" s="2" t="s">
        <v>7748</v>
      </c>
    </row>
    <row r="2762" spans="1:16" x14ac:dyDescent="0.25">
      <c r="A2762" s="2" t="s">
        <v>7749</v>
      </c>
      <c r="B2762" s="2" t="s">
        <v>7433</v>
      </c>
      <c r="C2762" s="8">
        <v>46216</v>
      </c>
      <c r="D2762" s="6">
        <v>46204</v>
      </c>
      <c r="E2762" s="2" t="s">
        <v>260</v>
      </c>
      <c r="F2762" s="2" t="s">
        <v>7747</v>
      </c>
      <c r="G2762" s="6">
        <v>46174</v>
      </c>
      <c r="H2762" s="2" t="s">
        <v>71</v>
      </c>
      <c r="I2762" s="2" t="s">
        <v>39</v>
      </c>
      <c r="J2762" s="9">
        <v>13723.812</v>
      </c>
      <c r="K2762" s="7">
        <v>1</v>
      </c>
      <c r="L2762" s="9">
        <v>13723.81</v>
      </c>
      <c r="M2762" s="9">
        <v>13723.81</v>
      </c>
      <c r="N2762" s="9">
        <v>7.55</v>
      </c>
      <c r="O2762" s="10">
        <f>IF(AND(OR(H2762="APPROVED",H2762="SCHEDULED"),COUNTIFS(tblSource[EventID],F2762,tblSource[ReleaseStatus],"APPROVED")=1,COUNTIFS(Period_Status!$A$2:$A$8,G2762,Period_Status!$B$2:$B$8,"ActualClosed")=1,C2762&gt;EOMONTH(Settlement_Bridge!$C$2,0)),1,0)</f>
        <v>0</v>
      </c>
      <c r="P2762" s="2" t="s">
        <v>7750</v>
      </c>
    </row>
    <row r="2763" spans="1:16" x14ac:dyDescent="0.25">
      <c r="A2763" s="2" t="s">
        <v>7751</v>
      </c>
      <c r="B2763" s="2" t="s">
        <v>7433</v>
      </c>
      <c r="C2763" s="8">
        <v>46192</v>
      </c>
      <c r="D2763" s="6">
        <v>46174</v>
      </c>
      <c r="E2763" s="2" t="s">
        <v>260</v>
      </c>
      <c r="F2763" s="2" t="s">
        <v>7752</v>
      </c>
      <c r="G2763" s="6">
        <v>46174</v>
      </c>
      <c r="H2763" s="2" t="s">
        <v>71</v>
      </c>
      <c r="I2763" s="2" t="s">
        <v>76</v>
      </c>
      <c r="J2763" s="9">
        <v>148158976</v>
      </c>
      <c r="K2763" s="7">
        <v>6.2500000000000001E-5</v>
      </c>
      <c r="L2763" s="9">
        <v>9259.94</v>
      </c>
      <c r="M2763" s="9">
        <v>9259.94</v>
      </c>
      <c r="N2763" s="9">
        <v>5.09</v>
      </c>
      <c r="O2763" s="10">
        <f>IF(AND(OR(H2763="APPROVED",H2763="SCHEDULED"),COUNTIFS(tblSource[EventID],F2763,tblSource[ReleaseStatus],"APPROVED")=1,COUNTIFS(Period_Status!$A$2:$A$8,G2763,Period_Status!$B$2:$B$8,"ActualClosed")=1,C2763&gt;EOMONTH(Settlement_Bridge!$C$2,0)),1,0)</f>
        <v>0</v>
      </c>
      <c r="P2763" s="2" t="s">
        <v>7753</v>
      </c>
    </row>
    <row r="2764" spans="1:16" x14ac:dyDescent="0.25">
      <c r="A2764" s="2" t="s">
        <v>7754</v>
      </c>
      <c r="B2764" s="2" t="s">
        <v>7433</v>
      </c>
      <c r="C2764" s="8">
        <v>46217</v>
      </c>
      <c r="D2764" s="6">
        <v>46204</v>
      </c>
      <c r="E2764" s="2" t="s">
        <v>260</v>
      </c>
      <c r="F2764" s="2" t="s">
        <v>7752</v>
      </c>
      <c r="G2764" s="6">
        <v>46174</v>
      </c>
      <c r="H2764" s="2" t="s">
        <v>71</v>
      </c>
      <c r="I2764" s="2" t="s">
        <v>76</v>
      </c>
      <c r="J2764" s="9">
        <v>222238464</v>
      </c>
      <c r="K2764" s="7">
        <v>6.2000000000000003E-5</v>
      </c>
      <c r="L2764" s="9">
        <v>13778.78</v>
      </c>
      <c r="M2764" s="9">
        <v>13889.9</v>
      </c>
      <c r="N2764" s="9">
        <v>7.58</v>
      </c>
      <c r="O2764" s="10">
        <f>IF(AND(OR(H2764="APPROVED",H2764="SCHEDULED"),COUNTIFS(tblSource[EventID],F2764,tblSource[ReleaseStatus],"APPROVED")=1,COUNTIFS(Period_Status!$A$2:$A$8,G2764,Period_Status!$B$2:$B$8,"ActualClosed")=1,C2764&gt;EOMONTH(Settlement_Bridge!$C$2,0)),1,0)</f>
        <v>0</v>
      </c>
      <c r="P2764" s="2" t="s">
        <v>7755</v>
      </c>
    </row>
    <row r="2765" spans="1:16" x14ac:dyDescent="0.25">
      <c r="A2765" s="2" t="s">
        <v>7756</v>
      </c>
      <c r="B2765" s="2" t="s">
        <v>7433</v>
      </c>
      <c r="C2765" s="8">
        <v>46193</v>
      </c>
      <c r="D2765" s="6">
        <v>46174</v>
      </c>
      <c r="E2765" s="2" t="s">
        <v>260</v>
      </c>
      <c r="F2765" s="2" t="s">
        <v>7757</v>
      </c>
      <c r="G2765" s="6">
        <v>46174</v>
      </c>
      <c r="H2765" s="2" t="s">
        <v>71</v>
      </c>
      <c r="I2765" s="2" t="s">
        <v>70</v>
      </c>
      <c r="J2765" s="9">
        <v>14091.218045</v>
      </c>
      <c r="K2765" s="7">
        <v>0.66500000000000004</v>
      </c>
      <c r="L2765" s="9">
        <v>9370.66</v>
      </c>
      <c r="M2765" s="9">
        <v>9370.66</v>
      </c>
      <c r="N2765" s="9">
        <v>5.15</v>
      </c>
      <c r="O2765" s="10">
        <f>IF(AND(OR(H2765="APPROVED",H2765="SCHEDULED"),COUNTIFS(tblSource[EventID],F2765,tblSource[ReleaseStatus],"APPROVED")=1,COUNTIFS(Period_Status!$A$2:$A$8,G2765,Period_Status!$B$2:$B$8,"ActualClosed")=1,C2765&gt;EOMONTH(Settlement_Bridge!$C$2,0)),1,0)</f>
        <v>0</v>
      </c>
      <c r="P2765" s="2" t="s">
        <v>7758</v>
      </c>
    </row>
    <row r="2766" spans="1:16" x14ac:dyDescent="0.25">
      <c r="A2766" s="2" t="s">
        <v>7759</v>
      </c>
      <c r="B2766" s="2" t="s">
        <v>7433</v>
      </c>
      <c r="C2766" s="8">
        <v>46218</v>
      </c>
      <c r="D2766" s="6">
        <v>46204</v>
      </c>
      <c r="E2766" s="2" t="s">
        <v>260</v>
      </c>
      <c r="F2766" s="2" t="s">
        <v>7757</v>
      </c>
      <c r="G2766" s="6">
        <v>46174</v>
      </c>
      <c r="H2766" s="2" t="s">
        <v>71</v>
      </c>
      <c r="I2766" s="2" t="s">
        <v>70</v>
      </c>
      <c r="J2766" s="9">
        <v>21136.827067999999</v>
      </c>
      <c r="K2766" s="7">
        <v>0.65800000000000003</v>
      </c>
      <c r="L2766" s="9">
        <v>13908.03</v>
      </c>
      <c r="M2766" s="9">
        <v>14055.99</v>
      </c>
      <c r="N2766" s="9">
        <v>7.65</v>
      </c>
      <c r="O2766" s="10">
        <f>IF(AND(OR(H2766="APPROVED",H2766="SCHEDULED"),COUNTIFS(tblSource[EventID],F2766,tblSource[ReleaseStatus],"APPROVED")=1,COUNTIFS(Period_Status!$A$2:$A$8,G2766,Period_Status!$B$2:$B$8,"ActualClosed")=1,C2766&gt;EOMONTH(Settlement_Bridge!$C$2,0)),1,0)</f>
        <v>0</v>
      </c>
      <c r="P2766" s="2" t="s">
        <v>7760</v>
      </c>
    </row>
    <row r="2767" spans="1:16" x14ac:dyDescent="0.25">
      <c r="A2767" s="2" t="s">
        <v>7761</v>
      </c>
      <c r="B2767" s="2" t="s">
        <v>7433</v>
      </c>
      <c r="C2767" s="8">
        <v>46194</v>
      </c>
      <c r="D2767" s="6">
        <v>46174</v>
      </c>
      <c r="E2767" s="2" t="s">
        <v>260</v>
      </c>
      <c r="F2767" s="2" t="s">
        <v>7762</v>
      </c>
      <c r="G2767" s="6">
        <v>46174</v>
      </c>
      <c r="H2767" s="2" t="s">
        <v>71</v>
      </c>
      <c r="I2767" s="2" t="s">
        <v>39</v>
      </c>
      <c r="J2767" s="9">
        <v>9481.3880000000008</v>
      </c>
      <c r="K2767" s="7">
        <v>1</v>
      </c>
      <c r="L2767" s="9">
        <v>9481.39</v>
      </c>
      <c r="M2767" s="9">
        <v>9481.39</v>
      </c>
      <c r="N2767" s="9">
        <v>5.21</v>
      </c>
      <c r="O2767" s="10">
        <f>IF(AND(OR(H2767="APPROVED",H2767="SCHEDULED"),COUNTIFS(tblSource[EventID],F2767,tblSource[ReleaseStatus],"APPROVED")=1,COUNTIFS(Period_Status!$A$2:$A$8,G2767,Period_Status!$B$2:$B$8,"ActualClosed")=1,C2767&gt;EOMONTH(Settlement_Bridge!$C$2,0)),1,0)</f>
        <v>0</v>
      </c>
      <c r="P2767" s="2" t="s">
        <v>7763</v>
      </c>
    </row>
    <row r="2768" spans="1:16" x14ac:dyDescent="0.25">
      <c r="A2768" s="2" t="s">
        <v>7764</v>
      </c>
      <c r="B2768" s="2" t="s">
        <v>7433</v>
      </c>
      <c r="C2768" s="8">
        <v>46219</v>
      </c>
      <c r="D2768" s="6">
        <v>46204</v>
      </c>
      <c r="E2768" s="2" t="s">
        <v>260</v>
      </c>
      <c r="F2768" s="2" t="s">
        <v>7762</v>
      </c>
      <c r="G2768" s="6">
        <v>46174</v>
      </c>
      <c r="H2768" s="2" t="s">
        <v>71</v>
      </c>
      <c r="I2768" s="2" t="s">
        <v>39</v>
      </c>
      <c r="J2768" s="9">
        <v>14222.082</v>
      </c>
      <c r="K2768" s="7">
        <v>1</v>
      </c>
      <c r="L2768" s="9">
        <v>14222.08</v>
      </c>
      <c r="M2768" s="9">
        <v>14222.08</v>
      </c>
      <c r="N2768" s="9">
        <v>7.82</v>
      </c>
      <c r="O2768" s="10">
        <f>IF(AND(OR(H2768="APPROVED",H2768="SCHEDULED"),COUNTIFS(tblSource[EventID],F2768,tblSource[ReleaseStatus],"APPROVED")=1,COUNTIFS(Period_Status!$A$2:$A$8,G2768,Period_Status!$B$2:$B$8,"ActualClosed")=1,C2768&gt;EOMONTH(Settlement_Bridge!$C$2,0)),1,0)</f>
        <v>0</v>
      </c>
      <c r="P2768" s="2" t="s">
        <v>7765</v>
      </c>
    </row>
    <row r="2769" spans="1:16" x14ac:dyDescent="0.25">
      <c r="A2769" s="2" t="s">
        <v>7766</v>
      </c>
      <c r="B2769" s="2" t="s">
        <v>7433</v>
      </c>
      <c r="C2769" s="8">
        <v>46195</v>
      </c>
      <c r="D2769" s="6">
        <v>46174</v>
      </c>
      <c r="E2769" s="2" t="s">
        <v>260</v>
      </c>
      <c r="F2769" s="2" t="s">
        <v>7767</v>
      </c>
      <c r="G2769" s="6">
        <v>46174</v>
      </c>
      <c r="H2769" s="2" t="s">
        <v>71</v>
      </c>
      <c r="I2769" s="2" t="s">
        <v>76</v>
      </c>
      <c r="J2769" s="9">
        <v>10113856</v>
      </c>
      <c r="K2769" s="7">
        <v>6.2500000000000001E-5</v>
      </c>
      <c r="L2769" s="9">
        <v>632.12</v>
      </c>
      <c r="M2769" s="9">
        <v>632.12</v>
      </c>
      <c r="N2769" s="9">
        <v>1.8</v>
      </c>
      <c r="O2769" s="10">
        <f>IF(AND(OR(H2769="APPROVED",H2769="SCHEDULED"),COUNTIFS(tblSource[EventID],F2769,tblSource[ReleaseStatus],"APPROVED")=1,COUNTIFS(Period_Status!$A$2:$A$8,G2769,Period_Status!$B$2:$B$8,"ActualClosed")=1,C2769&gt;EOMONTH(Settlement_Bridge!$C$2,0)),1,0)</f>
        <v>0</v>
      </c>
      <c r="P2769" s="2" t="s">
        <v>7768</v>
      </c>
    </row>
    <row r="2770" spans="1:16" x14ac:dyDescent="0.25">
      <c r="A2770" s="2" t="s">
        <v>7769</v>
      </c>
      <c r="B2770" s="2" t="s">
        <v>7433</v>
      </c>
      <c r="C2770" s="8">
        <v>46220</v>
      </c>
      <c r="D2770" s="6">
        <v>46204</v>
      </c>
      <c r="E2770" s="2" t="s">
        <v>260</v>
      </c>
      <c r="F2770" s="2" t="s">
        <v>7767</v>
      </c>
      <c r="G2770" s="6">
        <v>46174</v>
      </c>
      <c r="H2770" s="2" t="s">
        <v>71</v>
      </c>
      <c r="I2770" s="2" t="s">
        <v>76</v>
      </c>
      <c r="J2770" s="9">
        <v>15170784</v>
      </c>
      <c r="K2770" s="7">
        <v>6.2000000000000003E-5</v>
      </c>
      <c r="L2770" s="9">
        <v>940.59</v>
      </c>
      <c r="M2770" s="9">
        <v>948.17</v>
      </c>
      <c r="N2770" s="9">
        <v>1.8</v>
      </c>
      <c r="O2770" s="10">
        <f>IF(AND(OR(H2770="APPROVED",H2770="SCHEDULED"),COUNTIFS(tblSource[EventID],F2770,tblSource[ReleaseStatus],"APPROVED")=1,COUNTIFS(Period_Status!$A$2:$A$8,G2770,Period_Status!$B$2:$B$8,"ActualClosed")=1,C2770&gt;EOMONTH(Settlement_Bridge!$C$2,0)),1,0)</f>
        <v>0</v>
      </c>
      <c r="P2770" s="2" t="s">
        <v>7770</v>
      </c>
    </row>
    <row r="2771" spans="1:16" x14ac:dyDescent="0.25">
      <c r="A2771" s="2" t="s">
        <v>7771</v>
      </c>
      <c r="B2771" s="2" t="s">
        <v>7433</v>
      </c>
      <c r="C2771" s="8">
        <v>46196</v>
      </c>
      <c r="D2771" s="6">
        <v>46174</v>
      </c>
      <c r="E2771" s="2" t="s">
        <v>260</v>
      </c>
      <c r="F2771" s="2" t="s">
        <v>7772</v>
      </c>
      <c r="G2771" s="6">
        <v>46174</v>
      </c>
      <c r="H2771" s="2" t="s">
        <v>71</v>
      </c>
      <c r="I2771" s="2" t="s">
        <v>70</v>
      </c>
      <c r="J2771" s="9">
        <v>1117.0586470000001</v>
      </c>
      <c r="K2771" s="7">
        <v>0.66500000000000004</v>
      </c>
      <c r="L2771" s="9">
        <v>742.84</v>
      </c>
      <c r="M2771" s="9">
        <v>742.84</v>
      </c>
      <c r="N2771" s="9">
        <v>1.8</v>
      </c>
      <c r="O2771" s="10">
        <f>IF(AND(OR(H2771="APPROVED",H2771="SCHEDULED"),COUNTIFS(tblSource[EventID],F2771,tblSource[ReleaseStatus],"APPROVED")=1,COUNTIFS(Period_Status!$A$2:$A$8,G2771,Period_Status!$B$2:$B$8,"ActualClosed")=1,C2771&gt;EOMONTH(Settlement_Bridge!$C$2,0)),1,0)</f>
        <v>0</v>
      </c>
      <c r="P2771" s="2" t="s">
        <v>7773</v>
      </c>
    </row>
    <row r="2772" spans="1:16" x14ac:dyDescent="0.25">
      <c r="A2772" s="2" t="s">
        <v>7774</v>
      </c>
      <c r="B2772" s="2" t="s">
        <v>7433</v>
      </c>
      <c r="C2772" s="8">
        <v>46221</v>
      </c>
      <c r="D2772" s="6">
        <v>46204</v>
      </c>
      <c r="E2772" s="2" t="s">
        <v>260</v>
      </c>
      <c r="F2772" s="2" t="s">
        <v>7772</v>
      </c>
      <c r="G2772" s="6">
        <v>46174</v>
      </c>
      <c r="H2772" s="2" t="s">
        <v>71</v>
      </c>
      <c r="I2772" s="2" t="s">
        <v>70</v>
      </c>
      <c r="J2772" s="9">
        <v>1675.58797</v>
      </c>
      <c r="K2772" s="7">
        <v>0.65800000000000003</v>
      </c>
      <c r="L2772" s="9">
        <v>1102.54</v>
      </c>
      <c r="M2772" s="9">
        <v>1114.27</v>
      </c>
      <c r="N2772" s="9">
        <v>1.8</v>
      </c>
      <c r="O2772" s="10">
        <f>IF(AND(OR(H2772="APPROVED",H2772="SCHEDULED"),COUNTIFS(tblSource[EventID],F2772,tblSource[ReleaseStatus],"APPROVED")=1,COUNTIFS(Period_Status!$A$2:$A$8,G2772,Period_Status!$B$2:$B$8,"ActualClosed")=1,C2772&gt;EOMONTH(Settlement_Bridge!$C$2,0)),1,0)</f>
        <v>0</v>
      </c>
      <c r="P2772" s="2" t="s">
        <v>7775</v>
      </c>
    </row>
    <row r="2773" spans="1:16" x14ac:dyDescent="0.25">
      <c r="A2773" s="2" t="s">
        <v>7776</v>
      </c>
      <c r="B2773" s="2" t="s">
        <v>7433</v>
      </c>
      <c r="C2773" s="8">
        <v>46197</v>
      </c>
      <c r="D2773" s="6">
        <v>46174</v>
      </c>
      <c r="E2773" s="2" t="s">
        <v>260</v>
      </c>
      <c r="F2773" s="2" t="s">
        <v>7777</v>
      </c>
      <c r="G2773" s="6">
        <v>46174</v>
      </c>
      <c r="H2773" s="2" t="s">
        <v>71</v>
      </c>
      <c r="I2773" s="2" t="s">
        <v>39</v>
      </c>
      <c r="J2773" s="9">
        <v>853.56799999999998</v>
      </c>
      <c r="K2773" s="7">
        <v>1</v>
      </c>
      <c r="L2773" s="9">
        <v>853.57</v>
      </c>
      <c r="M2773" s="9">
        <v>853.57</v>
      </c>
      <c r="N2773" s="9">
        <v>1.8</v>
      </c>
      <c r="O2773" s="10">
        <f>IF(AND(OR(H2773="APPROVED",H2773="SCHEDULED"),COUNTIFS(tblSource[EventID],F2773,tblSource[ReleaseStatus],"APPROVED")=1,COUNTIFS(Period_Status!$A$2:$A$8,G2773,Period_Status!$B$2:$B$8,"ActualClosed")=1,C2773&gt;EOMONTH(Settlement_Bridge!$C$2,0)),1,0)</f>
        <v>0</v>
      </c>
      <c r="P2773" s="2" t="s">
        <v>7778</v>
      </c>
    </row>
    <row r="2774" spans="1:16" x14ac:dyDescent="0.25">
      <c r="A2774" s="2" t="s">
        <v>7779</v>
      </c>
      <c r="B2774" s="2" t="s">
        <v>7433</v>
      </c>
      <c r="C2774" s="8">
        <v>46222</v>
      </c>
      <c r="D2774" s="6">
        <v>46204</v>
      </c>
      <c r="E2774" s="2" t="s">
        <v>260</v>
      </c>
      <c r="F2774" s="2" t="s">
        <v>7777</v>
      </c>
      <c r="G2774" s="6">
        <v>46174</v>
      </c>
      <c r="H2774" s="2" t="s">
        <v>71</v>
      </c>
      <c r="I2774" s="2" t="s">
        <v>39</v>
      </c>
      <c r="J2774" s="9">
        <v>1280.3520000000001</v>
      </c>
      <c r="K2774" s="7">
        <v>1</v>
      </c>
      <c r="L2774" s="9">
        <v>1280.3499999999999</v>
      </c>
      <c r="M2774" s="9">
        <v>1280.3499999999999</v>
      </c>
      <c r="N2774" s="9">
        <v>1.8</v>
      </c>
      <c r="O2774" s="10">
        <f>IF(AND(OR(H2774="APPROVED",H2774="SCHEDULED"),COUNTIFS(tblSource[EventID],F2774,tblSource[ReleaseStatus],"APPROVED")=1,COUNTIFS(Period_Status!$A$2:$A$8,G2774,Period_Status!$B$2:$B$8,"ActualClosed")=1,C2774&gt;EOMONTH(Settlement_Bridge!$C$2,0)),1,0)</f>
        <v>0</v>
      </c>
      <c r="P2774" s="2" t="s">
        <v>7780</v>
      </c>
    </row>
    <row r="2775" spans="1:16" x14ac:dyDescent="0.25">
      <c r="A2775" s="2" t="s">
        <v>7781</v>
      </c>
      <c r="B2775" s="2" t="s">
        <v>7433</v>
      </c>
      <c r="C2775" s="8">
        <v>46198</v>
      </c>
      <c r="D2775" s="6">
        <v>46174</v>
      </c>
      <c r="E2775" s="2" t="s">
        <v>260</v>
      </c>
      <c r="F2775" s="2" t="s">
        <v>7782</v>
      </c>
      <c r="G2775" s="6">
        <v>46174</v>
      </c>
      <c r="H2775" s="2" t="s">
        <v>71</v>
      </c>
      <c r="I2775" s="2" t="s">
        <v>76</v>
      </c>
      <c r="J2775" s="9">
        <v>15428736</v>
      </c>
      <c r="K2775" s="7">
        <v>6.2500000000000001E-5</v>
      </c>
      <c r="L2775" s="9">
        <v>964.3</v>
      </c>
      <c r="M2775" s="9">
        <v>964.3</v>
      </c>
      <c r="N2775" s="9">
        <v>1.8</v>
      </c>
      <c r="O2775" s="10">
        <f>IF(AND(OR(H2775="APPROVED",H2775="SCHEDULED"),COUNTIFS(tblSource[EventID],F2775,tblSource[ReleaseStatus],"APPROVED")=1,COUNTIFS(Period_Status!$A$2:$A$8,G2775,Period_Status!$B$2:$B$8,"ActualClosed")=1,C2775&gt;EOMONTH(Settlement_Bridge!$C$2,0)),1,0)</f>
        <v>0</v>
      </c>
      <c r="P2775" s="2" t="s">
        <v>7783</v>
      </c>
    </row>
    <row r="2776" spans="1:16" x14ac:dyDescent="0.25">
      <c r="A2776" s="2" t="s">
        <v>7784</v>
      </c>
      <c r="B2776" s="2" t="s">
        <v>7433</v>
      </c>
      <c r="C2776" s="8">
        <v>46223</v>
      </c>
      <c r="D2776" s="6">
        <v>46204</v>
      </c>
      <c r="E2776" s="2" t="s">
        <v>260</v>
      </c>
      <c r="F2776" s="2" t="s">
        <v>7782</v>
      </c>
      <c r="G2776" s="6">
        <v>46174</v>
      </c>
      <c r="H2776" s="2" t="s">
        <v>71</v>
      </c>
      <c r="I2776" s="2" t="s">
        <v>76</v>
      </c>
      <c r="J2776" s="9">
        <v>23143104</v>
      </c>
      <c r="K2776" s="7">
        <v>6.2000000000000003E-5</v>
      </c>
      <c r="L2776" s="9">
        <v>1434.87</v>
      </c>
      <c r="M2776" s="9">
        <v>1446.44</v>
      </c>
      <c r="N2776" s="9">
        <v>1.8</v>
      </c>
      <c r="O2776" s="10">
        <f>IF(AND(OR(H2776="APPROVED",H2776="SCHEDULED"),COUNTIFS(tblSource[EventID],F2776,tblSource[ReleaseStatus],"APPROVED")=1,COUNTIFS(Period_Status!$A$2:$A$8,G2776,Period_Status!$B$2:$B$8,"ActualClosed")=1,C2776&gt;EOMONTH(Settlement_Bridge!$C$2,0)),1,0)</f>
        <v>0</v>
      </c>
      <c r="P2776" s="2" t="s">
        <v>7785</v>
      </c>
    </row>
    <row r="2777" spans="1:16" x14ac:dyDescent="0.25">
      <c r="A2777" s="2" t="s">
        <v>7786</v>
      </c>
      <c r="B2777" s="2" t="s">
        <v>7433</v>
      </c>
      <c r="C2777" s="8">
        <v>46199</v>
      </c>
      <c r="D2777" s="6">
        <v>46174</v>
      </c>
      <c r="E2777" s="2" t="s">
        <v>260</v>
      </c>
      <c r="F2777" s="2" t="s">
        <v>7787</v>
      </c>
      <c r="G2777" s="6">
        <v>46174</v>
      </c>
      <c r="H2777" s="2" t="s">
        <v>71</v>
      </c>
      <c r="I2777" s="2" t="s">
        <v>70</v>
      </c>
      <c r="J2777" s="9">
        <v>1616.571428</v>
      </c>
      <c r="K2777" s="7">
        <v>0.66500000000000004</v>
      </c>
      <c r="L2777" s="9">
        <v>1075.02</v>
      </c>
      <c r="M2777" s="9">
        <v>1075.02</v>
      </c>
      <c r="N2777" s="9">
        <v>1.8</v>
      </c>
      <c r="O2777" s="10">
        <f>IF(AND(OR(H2777="APPROVED",H2777="SCHEDULED"),COUNTIFS(tblSource[EventID],F2777,tblSource[ReleaseStatus],"APPROVED")=1,COUNTIFS(Period_Status!$A$2:$A$8,G2777,Period_Status!$B$2:$B$8,"ActualClosed")=1,C2777&gt;EOMONTH(Settlement_Bridge!$C$2,0)),1,0)</f>
        <v>0</v>
      </c>
      <c r="P2777" s="2" t="s">
        <v>7788</v>
      </c>
    </row>
    <row r="2778" spans="1:16" x14ac:dyDescent="0.25">
      <c r="A2778" s="2" t="s">
        <v>7789</v>
      </c>
      <c r="B2778" s="2" t="s">
        <v>7433</v>
      </c>
      <c r="C2778" s="8">
        <v>46224</v>
      </c>
      <c r="D2778" s="6">
        <v>46204</v>
      </c>
      <c r="E2778" s="2" t="s">
        <v>260</v>
      </c>
      <c r="F2778" s="2" t="s">
        <v>7787</v>
      </c>
      <c r="G2778" s="6">
        <v>46174</v>
      </c>
      <c r="H2778" s="2" t="s">
        <v>71</v>
      </c>
      <c r="I2778" s="2" t="s">
        <v>70</v>
      </c>
      <c r="J2778" s="9">
        <v>2424.8571430000002</v>
      </c>
      <c r="K2778" s="7">
        <v>0.65800000000000003</v>
      </c>
      <c r="L2778" s="9">
        <v>1595.56</v>
      </c>
      <c r="M2778" s="9">
        <v>1612.53</v>
      </c>
      <c r="N2778" s="9">
        <v>1.8</v>
      </c>
      <c r="O2778" s="10">
        <f>IF(AND(OR(H2778="APPROVED",H2778="SCHEDULED"),COUNTIFS(tblSource[EventID],F2778,tblSource[ReleaseStatus],"APPROVED")=1,COUNTIFS(Period_Status!$A$2:$A$8,G2778,Period_Status!$B$2:$B$8,"ActualClosed")=1,C2778&gt;EOMONTH(Settlement_Bridge!$C$2,0)),1,0)</f>
        <v>0</v>
      </c>
      <c r="P2778" s="2" t="s">
        <v>7790</v>
      </c>
    </row>
    <row r="2779" spans="1:16" x14ac:dyDescent="0.25">
      <c r="A2779" s="2" t="s">
        <v>7791</v>
      </c>
      <c r="B2779" s="2" t="s">
        <v>7433</v>
      </c>
      <c r="C2779" s="8">
        <v>46200</v>
      </c>
      <c r="D2779" s="6">
        <v>46174</v>
      </c>
      <c r="E2779" s="2" t="s">
        <v>260</v>
      </c>
      <c r="F2779" s="2" t="s">
        <v>7792</v>
      </c>
      <c r="G2779" s="6">
        <v>46174</v>
      </c>
      <c r="H2779" s="2" t="s">
        <v>71</v>
      </c>
      <c r="I2779" s="2" t="s">
        <v>39</v>
      </c>
      <c r="J2779" s="9">
        <v>1185.748</v>
      </c>
      <c r="K2779" s="7">
        <v>1</v>
      </c>
      <c r="L2779" s="9">
        <v>1185.75</v>
      </c>
      <c r="M2779" s="9">
        <v>1185.75</v>
      </c>
      <c r="N2779" s="9">
        <v>1.8</v>
      </c>
      <c r="O2779" s="10">
        <f>IF(AND(OR(H2779="APPROVED",H2779="SCHEDULED"),COUNTIFS(tblSource[EventID],F2779,tblSource[ReleaseStatus],"APPROVED")=1,COUNTIFS(Period_Status!$A$2:$A$8,G2779,Period_Status!$B$2:$B$8,"ActualClosed")=1,C2779&gt;EOMONTH(Settlement_Bridge!$C$2,0)),1,0)</f>
        <v>0</v>
      </c>
      <c r="P2779" s="2" t="s">
        <v>7793</v>
      </c>
    </row>
    <row r="2780" spans="1:16" x14ac:dyDescent="0.25">
      <c r="A2780" s="2" t="s">
        <v>7794</v>
      </c>
      <c r="B2780" s="2" t="s">
        <v>7433</v>
      </c>
      <c r="C2780" s="8">
        <v>46225</v>
      </c>
      <c r="D2780" s="6">
        <v>46204</v>
      </c>
      <c r="E2780" s="2" t="s">
        <v>260</v>
      </c>
      <c r="F2780" s="2" t="s">
        <v>7792</v>
      </c>
      <c r="G2780" s="6">
        <v>46174</v>
      </c>
      <c r="H2780" s="2" t="s">
        <v>71</v>
      </c>
      <c r="I2780" s="2" t="s">
        <v>39</v>
      </c>
      <c r="J2780" s="9">
        <v>1778.6220000000001</v>
      </c>
      <c r="K2780" s="7">
        <v>1</v>
      </c>
      <c r="L2780" s="9">
        <v>1778.62</v>
      </c>
      <c r="M2780" s="9">
        <v>1778.62</v>
      </c>
      <c r="N2780" s="9">
        <v>1.8</v>
      </c>
      <c r="O2780" s="10">
        <f>IF(AND(OR(H2780="APPROVED",H2780="SCHEDULED"),COUNTIFS(tblSource[EventID],F2780,tblSource[ReleaseStatus],"APPROVED")=1,COUNTIFS(Period_Status!$A$2:$A$8,G2780,Period_Status!$B$2:$B$8,"ActualClosed")=1,C2780&gt;EOMONTH(Settlement_Bridge!$C$2,0)),1,0)</f>
        <v>0</v>
      </c>
      <c r="P2780" s="2" t="s">
        <v>7795</v>
      </c>
    </row>
    <row r="2781" spans="1:16" x14ac:dyDescent="0.25">
      <c r="A2781" s="2" t="s">
        <v>7796</v>
      </c>
      <c r="B2781" s="2" t="s">
        <v>7433</v>
      </c>
      <c r="C2781" s="8">
        <v>46201</v>
      </c>
      <c r="D2781" s="6">
        <v>46174</v>
      </c>
      <c r="E2781" s="2" t="s">
        <v>260</v>
      </c>
      <c r="F2781" s="2" t="s">
        <v>7797</v>
      </c>
      <c r="G2781" s="6">
        <v>46174</v>
      </c>
      <c r="H2781" s="2" t="s">
        <v>71</v>
      </c>
      <c r="I2781" s="2" t="s">
        <v>76</v>
      </c>
      <c r="J2781" s="9">
        <v>20743552</v>
      </c>
      <c r="K2781" s="7">
        <v>6.2500000000000001E-5</v>
      </c>
      <c r="L2781" s="9">
        <v>1296.47</v>
      </c>
      <c r="M2781" s="9">
        <v>1296.47</v>
      </c>
      <c r="N2781" s="9">
        <v>1.8</v>
      </c>
      <c r="O2781" s="10">
        <f>IF(AND(OR(H2781="APPROVED",H2781="SCHEDULED"),COUNTIFS(tblSource[EventID],F2781,tblSource[ReleaseStatus],"APPROVED")=1,COUNTIFS(Period_Status!$A$2:$A$8,G2781,Period_Status!$B$2:$B$8,"ActualClosed")=1,C2781&gt;EOMONTH(Settlement_Bridge!$C$2,0)),1,0)</f>
        <v>0</v>
      </c>
      <c r="P2781" s="2" t="s">
        <v>7798</v>
      </c>
    </row>
    <row r="2782" spans="1:16" x14ac:dyDescent="0.25">
      <c r="A2782" s="2" t="s">
        <v>7799</v>
      </c>
      <c r="B2782" s="2" t="s">
        <v>7433</v>
      </c>
      <c r="C2782" s="8">
        <v>46226</v>
      </c>
      <c r="D2782" s="6">
        <v>46204</v>
      </c>
      <c r="E2782" s="2" t="s">
        <v>260</v>
      </c>
      <c r="F2782" s="2" t="s">
        <v>7797</v>
      </c>
      <c r="G2782" s="6">
        <v>46174</v>
      </c>
      <c r="H2782" s="2" t="s">
        <v>71</v>
      </c>
      <c r="I2782" s="2" t="s">
        <v>76</v>
      </c>
      <c r="J2782" s="9">
        <v>31115328</v>
      </c>
      <c r="K2782" s="7">
        <v>6.2000000000000003E-5</v>
      </c>
      <c r="L2782" s="9">
        <v>1929.15</v>
      </c>
      <c r="M2782" s="9">
        <v>1944.71</v>
      </c>
      <c r="N2782" s="9">
        <v>1.8</v>
      </c>
      <c r="O2782" s="10">
        <f>IF(AND(OR(H2782="APPROVED",H2782="SCHEDULED"),COUNTIFS(tblSource[EventID],F2782,tblSource[ReleaseStatus],"APPROVED")=1,COUNTIFS(Period_Status!$A$2:$A$8,G2782,Period_Status!$B$2:$B$8,"ActualClosed")=1,C2782&gt;EOMONTH(Settlement_Bridge!$C$2,0)),1,0)</f>
        <v>0</v>
      </c>
      <c r="P2782" s="2" t="s">
        <v>7800</v>
      </c>
    </row>
    <row r="2783" spans="1:16" x14ac:dyDescent="0.25">
      <c r="A2783" s="2" t="s">
        <v>7801</v>
      </c>
      <c r="B2783" s="2" t="s">
        <v>7433</v>
      </c>
      <c r="C2783" s="8">
        <v>46202</v>
      </c>
      <c r="D2783" s="6">
        <v>46174</v>
      </c>
      <c r="E2783" s="2" t="s">
        <v>260</v>
      </c>
      <c r="F2783" s="2" t="s">
        <v>7802</v>
      </c>
      <c r="G2783" s="6">
        <v>46174</v>
      </c>
      <c r="H2783" s="2" t="s">
        <v>71</v>
      </c>
      <c r="I2783" s="2" t="s">
        <v>70</v>
      </c>
      <c r="J2783" s="9">
        <v>2116.0902259999998</v>
      </c>
      <c r="K2783" s="7">
        <v>0.66500000000000004</v>
      </c>
      <c r="L2783" s="9">
        <v>1407.2</v>
      </c>
      <c r="M2783" s="9">
        <v>1407.2</v>
      </c>
      <c r="N2783" s="9">
        <v>1.8</v>
      </c>
      <c r="O2783" s="10">
        <f>IF(AND(OR(H2783="APPROVED",H2783="SCHEDULED"),COUNTIFS(tblSource[EventID],F2783,tblSource[ReleaseStatus],"APPROVED")=1,COUNTIFS(Period_Status!$A$2:$A$8,G2783,Period_Status!$B$2:$B$8,"ActualClosed")=1,C2783&gt;EOMONTH(Settlement_Bridge!$C$2,0)),1,0)</f>
        <v>0</v>
      </c>
      <c r="P2783" s="2" t="s">
        <v>7803</v>
      </c>
    </row>
    <row r="2784" spans="1:16" x14ac:dyDescent="0.25">
      <c r="A2784" s="2" t="s">
        <v>7804</v>
      </c>
      <c r="B2784" s="2" t="s">
        <v>7433</v>
      </c>
      <c r="C2784" s="8">
        <v>46227</v>
      </c>
      <c r="D2784" s="6">
        <v>46204</v>
      </c>
      <c r="E2784" s="2" t="s">
        <v>260</v>
      </c>
      <c r="F2784" s="2" t="s">
        <v>7802</v>
      </c>
      <c r="G2784" s="6">
        <v>46174</v>
      </c>
      <c r="H2784" s="2" t="s">
        <v>71</v>
      </c>
      <c r="I2784" s="2" t="s">
        <v>70</v>
      </c>
      <c r="J2784" s="9">
        <v>3174.135338</v>
      </c>
      <c r="K2784" s="7">
        <v>0.65800000000000003</v>
      </c>
      <c r="L2784" s="9">
        <v>2088.58</v>
      </c>
      <c r="M2784" s="9">
        <v>2110.8000000000002</v>
      </c>
      <c r="N2784" s="9">
        <v>1.8</v>
      </c>
      <c r="O2784" s="10">
        <f>IF(AND(OR(H2784="APPROVED",H2784="SCHEDULED"),COUNTIFS(tblSource[EventID],F2784,tblSource[ReleaseStatus],"APPROVED")=1,COUNTIFS(Period_Status!$A$2:$A$8,G2784,Period_Status!$B$2:$B$8,"ActualClosed")=1,C2784&gt;EOMONTH(Settlement_Bridge!$C$2,0)),1,0)</f>
        <v>0</v>
      </c>
      <c r="P2784" s="2" t="s">
        <v>7805</v>
      </c>
    </row>
    <row r="2785" spans="1:16" x14ac:dyDescent="0.25">
      <c r="A2785" s="2" t="s">
        <v>7806</v>
      </c>
      <c r="B2785" s="2" t="s">
        <v>7433</v>
      </c>
      <c r="C2785" s="8">
        <v>46203</v>
      </c>
      <c r="D2785" s="6">
        <v>46174</v>
      </c>
      <c r="E2785" s="2" t="s">
        <v>260</v>
      </c>
      <c r="F2785" s="2" t="s">
        <v>7807</v>
      </c>
      <c r="G2785" s="6">
        <v>46174</v>
      </c>
      <c r="H2785" s="2" t="s">
        <v>71</v>
      </c>
      <c r="I2785" s="2" t="s">
        <v>39</v>
      </c>
      <c r="J2785" s="9">
        <v>1517.9280000000001</v>
      </c>
      <c r="K2785" s="7">
        <v>1</v>
      </c>
      <c r="L2785" s="9">
        <v>1517.93</v>
      </c>
      <c r="M2785" s="9">
        <v>1517.93</v>
      </c>
      <c r="N2785" s="9">
        <v>1.8</v>
      </c>
      <c r="O2785" s="10">
        <f>IF(AND(OR(H2785="APPROVED",H2785="SCHEDULED"),COUNTIFS(tblSource[EventID],F2785,tblSource[ReleaseStatus],"APPROVED")=1,COUNTIFS(Period_Status!$A$2:$A$8,G2785,Period_Status!$B$2:$B$8,"ActualClosed")=1,C2785&gt;EOMONTH(Settlement_Bridge!$C$2,0)),1,0)</f>
        <v>0</v>
      </c>
      <c r="P2785" s="2" t="s">
        <v>7808</v>
      </c>
    </row>
    <row r="2786" spans="1:16" x14ac:dyDescent="0.25">
      <c r="A2786" s="2" t="s">
        <v>7809</v>
      </c>
      <c r="B2786" s="2" t="s">
        <v>7433</v>
      </c>
      <c r="C2786" s="8">
        <v>46228</v>
      </c>
      <c r="D2786" s="6">
        <v>46204</v>
      </c>
      <c r="E2786" s="2" t="s">
        <v>260</v>
      </c>
      <c r="F2786" s="2" t="s">
        <v>7807</v>
      </c>
      <c r="G2786" s="6">
        <v>46174</v>
      </c>
      <c r="H2786" s="2" t="s">
        <v>71</v>
      </c>
      <c r="I2786" s="2" t="s">
        <v>39</v>
      </c>
      <c r="J2786" s="9">
        <v>2276.8919999999998</v>
      </c>
      <c r="K2786" s="7">
        <v>1</v>
      </c>
      <c r="L2786" s="9">
        <v>2276.89</v>
      </c>
      <c r="M2786" s="9">
        <v>2276.89</v>
      </c>
      <c r="N2786" s="9">
        <v>1.8</v>
      </c>
      <c r="O2786" s="10">
        <f>IF(AND(OR(H2786="APPROVED",H2786="SCHEDULED"),COUNTIFS(tblSource[EventID],F2786,tblSource[ReleaseStatus],"APPROVED")=1,COUNTIFS(Period_Status!$A$2:$A$8,G2786,Period_Status!$B$2:$B$8,"ActualClosed")=1,C2786&gt;EOMONTH(Settlement_Bridge!$C$2,0)),1,0)</f>
        <v>0</v>
      </c>
      <c r="P2786" s="2" t="s">
        <v>7810</v>
      </c>
    </row>
    <row r="2787" spans="1:16" x14ac:dyDescent="0.25">
      <c r="A2787" s="2" t="s">
        <v>7811</v>
      </c>
      <c r="B2787" s="2" t="s">
        <v>7433</v>
      </c>
      <c r="C2787" s="8">
        <v>46204</v>
      </c>
      <c r="D2787" s="6">
        <v>46204</v>
      </c>
      <c r="E2787" s="2" t="s">
        <v>260</v>
      </c>
      <c r="F2787" s="2" t="s">
        <v>7812</v>
      </c>
      <c r="G2787" s="6">
        <v>46174</v>
      </c>
      <c r="H2787" s="2" t="s">
        <v>71</v>
      </c>
      <c r="I2787" s="2" t="s">
        <v>76</v>
      </c>
      <c r="J2787" s="9">
        <v>26058432</v>
      </c>
      <c r="K2787" s="7">
        <v>6.2000000000000003E-5</v>
      </c>
      <c r="L2787" s="9">
        <v>1615.62</v>
      </c>
      <c r="M2787" s="9">
        <v>1628.65</v>
      </c>
      <c r="N2787" s="9">
        <v>1.8</v>
      </c>
      <c r="O2787" s="10">
        <f>IF(AND(OR(H2787="APPROVED",H2787="SCHEDULED"),COUNTIFS(tblSource[EventID],F2787,tblSource[ReleaseStatus],"APPROVED")=1,COUNTIFS(Period_Status!$A$2:$A$8,G2787,Period_Status!$B$2:$B$8,"ActualClosed")=1,C2787&gt;EOMONTH(Settlement_Bridge!$C$2,0)),1,0)</f>
        <v>0</v>
      </c>
      <c r="P2787" s="2" t="s">
        <v>7813</v>
      </c>
    </row>
    <row r="2788" spans="1:16" x14ac:dyDescent="0.25">
      <c r="A2788" s="2" t="s">
        <v>7814</v>
      </c>
      <c r="B2788" s="2" t="s">
        <v>7433</v>
      </c>
      <c r="C2788" s="8">
        <v>46229</v>
      </c>
      <c r="D2788" s="6">
        <v>46204</v>
      </c>
      <c r="E2788" s="2" t="s">
        <v>260</v>
      </c>
      <c r="F2788" s="2" t="s">
        <v>7812</v>
      </c>
      <c r="G2788" s="6">
        <v>46174</v>
      </c>
      <c r="H2788" s="2" t="s">
        <v>71</v>
      </c>
      <c r="I2788" s="2" t="s">
        <v>76</v>
      </c>
      <c r="J2788" s="9">
        <v>39087648</v>
      </c>
      <c r="K2788" s="7">
        <v>6.2000000000000003E-5</v>
      </c>
      <c r="L2788" s="9">
        <v>2423.4299999999998</v>
      </c>
      <c r="M2788" s="9">
        <v>2442.98</v>
      </c>
      <c r="N2788" s="9">
        <v>1.8</v>
      </c>
      <c r="O2788" s="10">
        <f>IF(AND(OR(H2788="APPROVED",H2788="SCHEDULED"),COUNTIFS(tblSource[EventID],F2788,tblSource[ReleaseStatus],"APPROVED")=1,COUNTIFS(Period_Status!$A$2:$A$8,G2788,Period_Status!$B$2:$B$8,"ActualClosed")=1,C2788&gt;EOMONTH(Settlement_Bridge!$C$2,0)),1,0)</f>
        <v>0</v>
      </c>
      <c r="P2788" s="2" t="s">
        <v>7815</v>
      </c>
    </row>
    <row r="2789" spans="1:16" x14ac:dyDescent="0.25">
      <c r="A2789" s="2" t="s">
        <v>7816</v>
      </c>
      <c r="B2789" s="2" t="s">
        <v>7433</v>
      </c>
      <c r="C2789" s="8">
        <v>46205</v>
      </c>
      <c r="D2789" s="6">
        <v>46204</v>
      </c>
      <c r="E2789" s="2" t="s">
        <v>260</v>
      </c>
      <c r="F2789" s="2" t="s">
        <v>7817</v>
      </c>
      <c r="G2789" s="6">
        <v>46174</v>
      </c>
      <c r="H2789" s="2" t="s">
        <v>71</v>
      </c>
      <c r="I2789" s="2" t="s">
        <v>70</v>
      </c>
      <c r="J2789" s="9">
        <v>2615.6090220000001</v>
      </c>
      <c r="K2789" s="7">
        <v>0.65800000000000003</v>
      </c>
      <c r="L2789" s="9">
        <v>1721.07</v>
      </c>
      <c r="M2789" s="9">
        <v>1739.38</v>
      </c>
      <c r="N2789" s="9">
        <v>1.8</v>
      </c>
      <c r="O2789" s="10">
        <f>IF(AND(OR(H2789="APPROVED",H2789="SCHEDULED"),COUNTIFS(tblSource[EventID],F2789,tblSource[ReleaseStatus],"APPROVED")=1,COUNTIFS(Period_Status!$A$2:$A$8,G2789,Period_Status!$B$2:$B$8,"ActualClosed")=1,C2789&gt;EOMONTH(Settlement_Bridge!$C$2,0)),1,0)</f>
        <v>0</v>
      </c>
      <c r="P2789" s="2" t="s">
        <v>7818</v>
      </c>
    </row>
    <row r="2790" spans="1:16" x14ac:dyDescent="0.25">
      <c r="A2790" s="2" t="s">
        <v>7819</v>
      </c>
      <c r="B2790" s="2" t="s">
        <v>7433</v>
      </c>
      <c r="C2790" s="8">
        <v>46230</v>
      </c>
      <c r="D2790" s="6">
        <v>46204</v>
      </c>
      <c r="E2790" s="2" t="s">
        <v>260</v>
      </c>
      <c r="F2790" s="2" t="s">
        <v>7817</v>
      </c>
      <c r="G2790" s="6">
        <v>46174</v>
      </c>
      <c r="H2790" s="2" t="s">
        <v>71</v>
      </c>
      <c r="I2790" s="2" t="s">
        <v>70</v>
      </c>
      <c r="J2790" s="9">
        <v>3923.4135339999998</v>
      </c>
      <c r="K2790" s="7">
        <v>0.65800000000000003</v>
      </c>
      <c r="L2790" s="9">
        <v>2581.61</v>
      </c>
      <c r="M2790" s="9">
        <v>2609.0700000000002</v>
      </c>
      <c r="N2790" s="9">
        <v>1.8</v>
      </c>
      <c r="O2790" s="10">
        <f>IF(AND(OR(H2790="APPROVED",H2790="SCHEDULED"),COUNTIFS(tblSource[EventID],F2790,tblSource[ReleaseStatus],"APPROVED")=1,COUNTIFS(Period_Status!$A$2:$A$8,G2790,Period_Status!$B$2:$B$8,"ActualClosed")=1,C2790&gt;EOMONTH(Settlement_Bridge!$C$2,0)),1,0)</f>
        <v>0</v>
      </c>
      <c r="P2790" s="2" t="s">
        <v>7820</v>
      </c>
    </row>
    <row r="2791" spans="1:16" x14ac:dyDescent="0.25">
      <c r="A2791" s="2" t="s">
        <v>7821</v>
      </c>
      <c r="B2791" s="2" t="s">
        <v>7433</v>
      </c>
      <c r="C2791" s="8">
        <v>46206</v>
      </c>
      <c r="D2791" s="6">
        <v>46204</v>
      </c>
      <c r="E2791" s="2" t="s">
        <v>260</v>
      </c>
      <c r="F2791" s="2" t="s">
        <v>7822</v>
      </c>
      <c r="G2791" s="6">
        <v>46174</v>
      </c>
      <c r="H2791" s="2" t="s">
        <v>71</v>
      </c>
      <c r="I2791" s="2" t="s">
        <v>39</v>
      </c>
      <c r="J2791" s="9">
        <v>1850.104</v>
      </c>
      <c r="K2791" s="7">
        <v>1</v>
      </c>
      <c r="L2791" s="9">
        <v>1850.1</v>
      </c>
      <c r="M2791" s="9">
        <v>1850.1</v>
      </c>
      <c r="N2791" s="9">
        <v>1.8</v>
      </c>
      <c r="O2791" s="10">
        <f>IF(AND(OR(H2791="APPROVED",H2791="SCHEDULED"),COUNTIFS(tblSource[EventID],F2791,tblSource[ReleaseStatus],"APPROVED")=1,COUNTIFS(Period_Status!$A$2:$A$8,G2791,Period_Status!$B$2:$B$8,"ActualClosed")=1,C2791&gt;EOMONTH(Settlement_Bridge!$C$2,0)),1,0)</f>
        <v>0</v>
      </c>
      <c r="P2791" s="2" t="s">
        <v>7823</v>
      </c>
    </row>
    <row r="2792" spans="1:16" x14ac:dyDescent="0.25">
      <c r="A2792" s="2" t="s">
        <v>7824</v>
      </c>
      <c r="B2792" s="2" t="s">
        <v>7433</v>
      </c>
      <c r="C2792" s="8">
        <v>46231</v>
      </c>
      <c r="D2792" s="6">
        <v>46204</v>
      </c>
      <c r="E2792" s="2" t="s">
        <v>260</v>
      </c>
      <c r="F2792" s="2" t="s">
        <v>7822</v>
      </c>
      <c r="G2792" s="6">
        <v>46174</v>
      </c>
      <c r="H2792" s="2" t="s">
        <v>71</v>
      </c>
      <c r="I2792" s="2" t="s">
        <v>39</v>
      </c>
      <c r="J2792" s="9">
        <v>2775.1559999999999</v>
      </c>
      <c r="K2792" s="7">
        <v>1</v>
      </c>
      <c r="L2792" s="9">
        <v>2775.16</v>
      </c>
      <c r="M2792" s="9">
        <v>2775.16</v>
      </c>
      <c r="N2792" s="9">
        <v>1.8</v>
      </c>
      <c r="O2792" s="10">
        <f>IF(AND(OR(H2792="APPROVED",H2792="SCHEDULED"),COUNTIFS(tblSource[EventID],F2792,tblSource[ReleaseStatus],"APPROVED")=1,COUNTIFS(Period_Status!$A$2:$A$8,G2792,Period_Status!$B$2:$B$8,"ActualClosed")=1,C2792&gt;EOMONTH(Settlement_Bridge!$C$2,0)),1,0)</f>
        <v>0</v>
      </c>
      <c r="P2792" s="2" t="s">
        <v>7825</v>
      </c>
    </row>
    <row r="2793" spans="1:16" x14ac:dyDescent="0.25">
      <c r="A2793" s="2" t="s">
        <v>7826</v>
      </c>
      <c r="B2793" s="2" t="s">
        <v>7433</v>
      </c>
      <c r="C2793" s="8">
        <v>46207</v>
      </c>
      <c r="D2793" s="6">
        <v>46204</v>
      </c>
      <c r="E2793" s="2" t="s">
        <v>260</v>
      </c>
      <c r="F2793" s="2" t="s">
        <v>7827</v>
      </c>
      <c r="G2793" s="6">
        <v>46174</v>
      </c>
      <c r="H2793" s="2" t="s">
        <v>71</v>
      </c>
      <c r="I2793" s="2" t="s">
        <v>76</v>
      </c>
      <c r="J2793" s="9">
        <v>31373312</v>
      </c>
      <c r="K2793" s="7">
        <v>6.2000000000000003E-5</v>
      </c>
      <c r="L2793" s="9">
        <v>1945.15</v>
      </c>
      <c r="M2793" s="9">
        <v>1960.83</v>
      </c>
      <c r="N2793" s="9">
        <v>1.8</v>
      </c>
      <c r="O2793" s="10">
        <f>IF(AND(OR(H2793="APPROVED",H2793="SCHEDULED"),COUNTIFS(tblSource[EventID],F2793,tblSource[ReleaseStatus],"APPROVED")=1,COUNTIFS(Period_Status!$A$2:$A$8,G2793,Period_Status!$B$2:$B$8,"ActualClosed")=1,C2793&gt;EOMONTH(Settlement_Bridge!$C$2,0)),1,0)</f>
        <v>0</v>
      </c>
      <c r="P2793" s="2" t="s">
        <v>7828</v>
      </c>
    </row>
    <row r="2794" spans="1:16" x14ac:dyDescent="0.25">
      <c r="A2794" s="2" t="s">
        <v>7829</v>
      </c>
      <c r="B2794" s="2" t="s">
        <v>7433</v>
      </c>
      <c r="C2794" s="8">
        <v>46232</v>
      </c>
      <c r="D2794" s="6">
        <v>46204</v>
      </c>
      <c r="E2794" s="2" t="s">
        <v>260</v>
      </c>
      <c r="F2794" s="2" t="s">
        <v>7827</v>
      </c>
      <c r="G2794" s="6">
        <v>46174</v>
      </c>
      <c r="H2794" s="2" t="s">
        <v>71</v>
      </c>
      <c r="I2794" s="2" t="s">
        <v>76</v>
      </c>
      <c r="J2794" s="9">
        <v>47059968</v>
      </c>
      <c r="K2794" s="7">
        <v>6.2000000000000003E-5</v>
      </c>
      <c r="L2794" s="9">
        <v>2917.72</v>
      </c>
      <c r="M2794" s="9">
        <v>2941.25</v>
      </c>
      <c r="N2794" s="9">
        <v>1.8</v>
      </c>
      <c r="O2794" s="10">
        <f>IF(AND(OR(H2794="APPROVED",H2794="SCHEDULED"),COUNTIFS(tblSource[EventID],F2794,tblSource[ReleaseStatus],"APPROVED")=1,COUNTIFS(Period_Status!$A$2:$A$8,G2794,Period_Status!$B$2:$B$8,"ActualClosed")=1,C2794&gt;EOMONTH(Settlement_Bridge!$C$2,0)),1,0)</f>
        <v>0</v>
      </c>
      <c r="P2794" s="2" t="s">
        <v>7830</v>
      </c>
    </row>
    <row r="2795" spans="1:16" x14ac:dyDescent="0.25">
      <c r="A2795" s="2" t="s">
        <v>7831</v>
      </c>
      <c r="B2795" s="2" t="s">
        <v>7433</v>
      </c>
      <c r="C2795" s="8">
        <v>46208</v>
      </c>
      <c r="D2795" s="6">
        <v>46204</v>
      </c>
      <c r="E2795" s="2" t="s">
        <v>260</v>
      </c>
      <c r="F2795" s="2" t="s">
        <v>7832</v>
      </c>
      <c r="G2795" s="6">
        <v>46174</v>
      </c>
      <c r="H2795" s="2" t="s">
        <v>71</v>
      </c>
      <c r="I2795" s="2" t="s">
        <v>70</v>
      </c>
      <c r="J2795" s="9">
        <v>3115.1218039999999</v>
      </c>
      <c r="K2795" s="7">
        <v>0.65800000000000003</v>
      </c>
      <c r="L2795" s="9">
        <v>2049.75</v>
      </c>
      <c r="M2795" s="9">
        <v>2071.56</v>
      </c>
      <c r="N2795" s="9">
        <v>1.8</v>
      </c>
      <c r="O2795" s="10">
        <f>IF(AND(OR(H2795="APPROVED",H2795="SCHEDULED"),COUNTIFS(tblSource[EventID],F2795,tblSource[ReleaseStatus],"APPROVED")=1,COUNTIFS(Period_Status!$A$2:$A$8,G2795,Period_Status!$B$2:$B$8,"ActualClosed")=1,C2795&gt;EOMONTH(Settlement_Bridge!$C$2,0)),1,0)</f>
        <v>0</v>
      </c>
      <c r="P2795" s="2" t="s">
        <v>7833</v>
      </c>
    </row>
    <row r="2796" spans="1:16" x14ac:dyDescent="0.25">
      <c r="A2796" s="2" t="s">
        <v>7834</v>
      </c>
      <c r="B2796" s="2" t="s">
        <v>7433</v>
      </c>
      <c r="C2796" s="8">
        <v>46233</v>
      </c>
      <c r="D2796" s="6">
        <v>46204</v>
      </c>
      <c r="E2796" s="2" t="s">
        <v>260</v>
      </c>
      <c r="F2796" s="2" t="s">
        <v>7832</v>
      </c>
      <c r="G2796" s="6">
        <v>46174</v>
      </c>
      <c r="H2796" s="2" t="s">
        <v>71</v>
      </c>
      <c r="I2796" s="2" t="s">
        <v>70</v>
      </c>
      <c r="J2796" s="9">
        <v>4672.6827069999999</v>
      </c>
      <c r="K2796" s="7">
        <v>0.65800000000000003</v>
      </c>
      <c r="L2796" s="9">
        <v>3074.63</v>
      </c>
      <c r="M2796" s="9">
        <v>3107.33</v>
      </c>
      <c r="N2796" s="9">
        <v>1.8</v>
      </c>
      <c r="O2796" s="10">
        <f>IF(AND(OR(H2796="APPROVED",H2796="SCHEDULED"),COUNTIFS(tblSource[EventID],F2796,tblSource[ReleaseStatus],"APPROVED")=1,COUNTIFS(Period_Status!$A$2:$A$8,G2796,Period_Status!$B$2:$B$8,"ActualClosed")=1,C2796&gt;EOMONTH(Settlement_Bridge!$C$2,0)),1,0)</f>
        <v>0</v>
      </c>
      <c r="P2796" s="2" t="s">
        <v>7835</v>
      </c>
    </row>
    <row r="2797" spans="1:16" x14ac:dyDescent="0.25">
      <c r="A2797" s="2" t="s">
        <v>7836</v>
      </c>
      <c r="B2797" s="2" t="s">
        <v>7433</v>
      </c>
      <c r="C2797" s="8">
        <v>46209</v>
      </c>
      <c r="D2797" s="6">
        <v>46204</v>
      </c>
      <c r="E2797" s="2" t="s">
        <v>260</v>
      </c>
      <c r="F2797" s="2" t="s">
        <v>7837</v>
      </c>
      <c r="G2797" s="6">
        <v>46174</v>
      </c>
      <c r="H2797" s="2" t="s">
        <v>71</v>
      </c>
      <c r="I2797" s="2" t="s">
        <v>39</v>
      </c>
      <c r="J2797" s="9">
        <v>-5455.71</v>
      </c>
      <c r="K2797" s="7">
        <v>1</v>
      </c>
      <c r="L2797" s="9">
        <v>-5455.71</v>
      </c>
      <c r="M2797" s="9">
        <v>-5455.71</v>
      </c>
      <c r="N2797" s="9">
        <v>0</v>
      </c>
      <c r="O2797" s="10">
        <f>IF(AND(OR(H2797="APPROVED",H2797="SCHEDULED"),COUNTIFS(tblSource[EventID],F2797,tblSource[ReleaseStatus],"APPROVED")=1,COUNTIFS(Period_Status!$A$2:$A$8,G2797,Period_Status!$B$2:$B$8,"ActualClosed")=1,C2797&gt;EOMONTH(Settlement_Bridge!$C$2,0)),1,0)</f>
        <v>0</v>
      </c>
      <c r="P2797" s="2" t="s">
        <v>7838</v>
      </c>
    </row>
    <row r="2798" spans="1:16" x14ac:dyDescent="0.25">
      <c r="A2798" s="2" t="s">
        <v>7839</v>
      </c>
      <c r="B2798" s="2" t="s">
        <v>7433</v>
      </c>
      <c r="C2798" s="8">
        <v>46210</v>
      </c>
      <c r="D2798" s="6">
        <v>46204</v>
      </c>
      <c r="E2798" s="2" t="s">
        <v>260</v>
      </c>
      <c r="F2798" s="2" t="s">
        <v>7840</v>
      </c>
      <c r="G2798" s="6">
        <v>46174</v>
      </c>
      <c r="H2798" s="2" t="s">
        <v>71</v>
      </c>
      <c r="I2798" s="2" t="s">
        <v>76</v>
      </c>
      <c r="J2798" s="9">
        <v>36688192</v>
      </c>
      <c r="K2798" s="7">
        <v>6.2000000000000003E-5</v>
      </c>
      <c r="L2798" s="9">
        <v>2274.67</v>
      </c>
      <c r="M2798" s="9">
        <v>2293.0100000000002</v>
      </c>
      <c r="N2798" s="9">
        <v>1.8</v>
      </c>
      <c r="O2798" s="10">
        <f>IF(AND(OR(H2798="APPROVED",H2798="SCHEDULED"),COUNTIFS(tblSource[EventID],F2798,tblSource[ReleaseStatus],"APPROVED")=1,COUNTIFS(Period_Status!$A$2:$A$8,G2798,Period_Status!$B$2:$B$8,"ActualClosed")=1,C2798&gt;EOMONTH(Settlement_Bridge!$C$2,0)),1,0)</f>
        <v>0</v>
      </c>
      <c r="P2798" s="2" t="s">
        <v>7841</v>
      </c>
    </row>
    <row r="2799" spans="1:16" x14ac:dyDescent="0.25">
      <c r="A2799" s="2" t="s">
        <v>7842</v>
      </c>
      <c r="B2799" s="2" t="s">
        <v>7433</v>
      </c>
      <c r="C2799" s="8">
        <v>46235</v>
      </c>
      <c r="D2799" s="6">
        <v>46235</v>
      </c>
      <c r="E2799" s="2" t="s">
        <v>260</v>
      </c>
      <c r="F2799" s="2" t="s">
        <v>7840</v>
      </c>
      <c r="G2799" s="6">
        <v>46174</v>
      </c>
      <c r="H2799" s="2" t="s">
        <v>71</v>
      </c>
      <c r="I2799" s="2" t="s">
        <v>76</v>
      </c>
      <c r="J2799" s="9">
        <v>55032288</v>
      </c>
      <c r="K2799" s="7">
        <v>6.1500000000000004E-5</v>
      </c>
      <c r="L2799" s="9">
        <v>3384.49</v>
      </c>
      <c r="M2799" s="9">
        <v>3439.52</v>
      </c>
      <c r="N2799" s="9">
        <v>1.86</v>
      </c>
      <c r="O2799" s="10">
        <f>IF(AND(OR(H2799="APPROVED",H2799="SCHEDULED"),COUNTIFS(tblSource[EventID],F2799,tblSource[ReleaseStatus],"APPROVED")=1,COUNTIFS(Period_Status!$A$2:$A$8,G2799,Period_Status!$B$2:$B$8,"ActualClosed")=1,C2799&gt;EOMONTH(Settlement_Bridge!$C$2,0)),1,0)</f>
        <v>1</v>
      </c>
      <c r="P2799" s="2" t="s">
        <v>7843</v>
      </c>
    </row>
    <row r="2800" spans="1:16" x14ac:dyDescent="0.25">
      <c r="A2800" s="2" t="s">
        <v>7844</v>
      </c>
      <c r="B2800" s="2" t="s">
        <v>7433</v>
      </c>
      <c r="C2800" s="8">
        <v>46211</v>
      </c>
      <c r="D2800" s="6">
        <v>46204</v>
      </c>
      <c r="E2800" s="2" t="s">
        <v>260</v>
      </c>
      <c r="F2800" s="2" t="s">
        <v>7845</v>
      </c>
      <c r="G2800" s="6">
        <v>46174</v>
      </c>
      <c r="H2800" s="2" t="s">
        <v>71</v>
      </c>
      <c r="I2800" s="2" t="s">
        <v>70</v>
      </c>
      <c r="J2800" s="9">
        <v>3614.646616</v>
      </c>
      <c r="K2800" s="7">
        <v>0.65800000000000003</v>
      </c>
      <c r="L2800" s="9">
        <v>2378.44</v>
      </c>
      <c r="M2800" s="9">
        <v>2403.7399999999998</v>
      </c>
      <c r="N2800" s="9">
        <v>1.8</v>
      </c>
      <c r="O2800" s="10">
        <f>IF(AND(OR(H2800="APPROVED",H2800="SCHEDULED"),COUNTIFS(tblSource[EventID],F2800,tblSource[ReleaseStatus],"APPROVED")=1,COUNTIFS(Period_Status!$A$2:$A$8,G2800,Period_Status!$B$2:$B$8,"ActualClosed")=1,C2800&gt;EOMONTH(Settlement_Bridge!$C$2,0)),1,0)</f>
        <v>0</v>
      </c>
      <c r="P2800" s="2" t="s">
        <v>7846</v>
      </c>
    </row>
    <row r="2801" spans="1:16" x14ac:dyDescent="0.25">
      <c r="A2801" s="2" t="s">
        <v>7847</v>
      </c>
      <c r="B2801" s="2" t="s">
        <v>7433</v>
      </c>
      <c r="C2801" s="8">
        <v>46236</v>
      </c>
      <c r="D2801" s="6">
        <v>46235</v>
      </c>
      <c r="E2801" s="2" t="s">
        <v>260</v>
      </c>
      <c r="F2801" s="2" t="s">
        <v>7845</v>
      </c>
      <c r="G2801" s="6">
        <v>46174</v>
      </c>
      <c r="H2801" s="2" t="s">
        <v>71</v>
      </c>
      <c r="I2801" s="2" t="s">
        <v>70</v>
      </c>
      <c r="J2801" s="9">
        <v>5421.9699250000003</v>
      </c>
      <c r="K2801" s="7">
        <v>0.65</v>
      </c>
      <c r="L2801" s="9">
        <v>3524.28</v>
      </c>
      <c r="M2801" s="9">
        <v>3605.61</v>
      </c>
      <c r="N2801" s="9">
        <v>1.94</v>
      </c>
      <c r="O2801" s="10">
        <f>IF(AND(OR(H2801="APPROVED",H2801="SCHEDULED"),COUNTIFS(tblSource[EventID],F2801,tblSource[ReleaseStatus],"APPROVED")=1,COUNTIFS(Period_Status!$A$2:$A$8,G2801,Period_Status!$B$2:$B$8,"ActualClosed")=1,C2801&gt;EOMONTH(Settlement_Bridge!$C$2,0)),1,0)</f>
        <v>1</v>
      </c>
      <c r="P2801" s="2" t="s">
        <v>7848</v>
      </c>
    </row>
    <row r="2802" spans="1:16" x14ac:dyDescent="0.25">
      <c r="A2802" s="2" t="s">
        <v>7849</v>
      </c>
      <c r="B2802" s="2" t="s">
        <v>7433</v>
      </c>
      <c r="C2802" s="8">
        <v>46212</v>
      </c>
      <c r="D2802" s="6">
        <v>46204</v>
      </c>
      <c r="E2802" s="2" t="s">
        <v>260</v>
      </c>
      <c r="F2802" s="2" t="s">
        <v>7850</v>
      </c>
      <c r="G2802" s="6">
        <v>46174</v>
      </c>
      <c r="H2802" s="2" t="s">
        <v>71</v>
      </c>
      <c r="I2802" s="2" t="s">
        <v>39</v>
      </c>
      <c r="J2802" s="9">
        <v>2514.4639999999999</v>
      </c>
      <c r="K2802" s="7">
        <v>1</v>
      </c>
      <c r="L2802" s="9">
        <v>2514.46</v>
      </c>
      <c r="M2802" s="9">
        <v>2514.46</v>
      </c>
      <c r="N2802" s="9">
        <v>1.8</v>
      </c>
      <c r="O2802" s="10">
        <f>IF(AND(OR(H2802="APPROVED",H2802="SCHEDULED"),COUNTIFS(tblSource[EventID],F2802,tblSource[ReleaseStatus],"APPROVED")=1,COUNTIFS(Period_Status!$A$2:$A$8,G2802,Period_Status!$B$2:$B$8,"ActualClosed")=1,C2802&gt;EOMONTH(Settlement_Bridge!$C$2,0)),1,0)</f>
        <v>0</v>
      </c>
      <c r="P2802" s="2" t="s">
        <v>7851</v>
      </c>
    </row>
    <row r="2803" spans="1:16" x14ac:dyDescent="0.25">
      <c r="A2803" s="2" t="s">
        <v>7852</v>
      </c>
      <c r="B2803" s="2" t="s">
        <v>7433</v>
      </c>
      <c r="C2803" s="8">
        <v>46237</v>
      </c>
      <c r="D2803" s="6">
        <v>46235</v>
      </c>
      <c r="E2803" s="2" t="s">
        <v>260</v>
      </c>
      <c r="F2803" s="2" t="s">
        <v>7850</v>
      </c>
      <c r="G2803" s="6">
        <v>46174</v>
      </c>
      <c r="H2803" s="2" t="s">
        <v>71</v>
      </c>
      <c r="I2803" s="2" t="s">
        <v>39</v>
      </c>
      <c r="J2803" s="9">
        <v>3771.6959999999999</v>
      </c>
      <c r="K2803" s="7">
        <v>1</v>
      </c>
      <c r="L2803" s="9">
        <v>3771.7</v>
      </c>
      <c r="M2803" s="9">
        <v>3771.7</v>
      </c>
      <c r="N2803" s="9">
        <v>2.0699999999999998</v>
      </c>
      <c r="O2803" s="10">
        <f>IF(AND(OR(H2803="APPROVED",H2803="SCHEDULED"),COUNTIFS(tblSource[EventID],F2803,tblSource[ReleaseStatus],"APPROVED")=1,COUNTIFS(Period_Status!$A$2:$A$8,G2803,Period_Status!$B$2:$B$8,"ActualClosed")=1,C2803&gt;EOMONTH(Settlement_Bridge!$C$2,0)),1,0)</f>
        <v>1</v>
      </c>
      <c r="P2803" s="2" t="s">
        <v>7853</v>
      </c>
    </row>
    <row r="2804" spans="1:16" x14ac:dyDescent="0.25">
      <c r="A2804" s="2" t="s">
        <v>7854</v>
      </c>
      <c r="B2804" s="2" t="s">
        <v>7433</v>
      </c>
      <c r="C2804" s="8">
        <v>46213</v>
      </c>
      <c r="D2804" s="6">
        <v>46204</v>
      </c>
      <c r="E2804" s="2" t="s">
        <v>260</v>
      </c>
      <c r="F2804" s="2" t="s">
        <v>7855</v>
      </c>
      <c r="G2804" s="6">
        <v>46174</v>
      </c>
      <c r="H2804" s="2" t="s">
        <v>71</v>
      </c>
      <c r="I2804" s="2" t="s">
        <v>76</v>
      </c>
      <c r="J2804" s="9">
        <v>42003072</v>
      </c>
      <c r="K2804" s="7">
        <v>6.2000000000000003E-5</v>
      </c>
      <c r="L2804" s="9">
        <v>2604.19</v>
      </c>
      <c r="M2804" s="9">
        <v>2625.19</v>
      </c>
      <c r="N2804" s="9">
        <v>1.8</v>
      </c>
      <c r="O2804" s="10">
        <f>IF(AND(OR(H2804="APPROVED",H2804="SCHEDULED"),COUNTIFS(tblSource[EventID],F2804,tblSource[ReleaseStatus],"APPROVED")=1,COUNTIFS(Period_Status!$A$2:$A$8,G2804,Period_Status!$B$2:$B$8,"ActualClosed")=1,C2804&gt;EOMONTH(Settlement_Bridge!$C$2,0)),1,0)</f>
        <v>0</v>
      </c>
      <c r="P2804" s="2" t="s">
        <v>7856</v>
      </c>
    </row>
    <row r="2805" spans="1:16" x14ac:dyDescent="0.25">
      <c r="A2805" s="2" t="s">
        <v>7857</v>
      </c>
      <c r="B2805" s="2" t="s">
        <v>7433</v>
      </c>
      <c r="C2805" s="8">
        <v>46238</v>
      </c>
      <c r="D2805" s="6">
        <v>46235</v>
      </c>
      <c r="E2805" s="2" t="s">
        <v>260</v>
      </c>
      <c r="F2805" s="2" t="s">
        <v>7855</v>
      </c>
      <c r="G2805" s="6">
        <v>46174</v>
      </c>
      <c r="H2805" s="2" t="s">
        <v>71</v>
      </c>
      <c r="I2805" s="2" t="s">
        <v>76</v>
      </c>
      <c r="J2805" s="9">
        <v>63004608</v>
      </c>
      <c r="K2805" s="7">
        <v>6.1500000000000004E-5</v>
      </c>
      <c r="L2805" s="9">
        <v>3874.78</v>
      </c>
      <c r="M2805" s="9">
        <v>3937.79</v>
      </c>
      <c r="N2805" s="9">
        <v>2.13</v>
      </c>
      <c r="O2805" s="10">
        <f>IF(AND(OR(H2805="APPROVED",H2805="SCHEDULED"),COUNTIFS(tblSource[EventID],F2805,tblSource[ReleaseStatus],"APPROVED")=1,COUNTIFS(Period_Status!$A$2:$A$8,G2805,Period_Status!$B$2:$B$8,"ActualClosed")=1,C2805&gt;EOMONTH(Settlement_Bridge!$C$2,0)),1,0)</f>
        <v>1</v>
      </c>
      <c r="P2805" s="2" t="s">
        <v>7858</v>
      </c>
    </row>
    <row r="2806" spans="1:16" x14ac:dyDescent="0.25">
      <c r="A2806" s="2" t="s">
        <v>7859</v>
      </c>
      <c r="B2806" s="2" t="s">
        <v>7433</v>
      </c>
      <c r="C2806" s="8">
        <v>46214</v>
      </c>
      <c r="D2806" s="6">
        <v>46204</v>
      </c>
      <c r="E2806" s="2" t="s">
        <v>260</v>
      </c>
      <c r="F2806" s="2" t="s">
        <v>7860</v>
      </c>
      <c r="G2806" s="6">
        <v>46174</v>
      </c>
      <c r="H2806" s="2" t="s">
        <v>71</v>
      </c>
      <c r="I2806" s="2" t="s">
        <v>70</v>
      </c>
      <c r="J2806" s="9">
        <v>4114.1593979999998</v>
      </c>
      <c r="K2806" s="7">
        <v>0.65800000000000003</v>
      </c>
      <c r="L2806" s="9">
        <v>2707.12</v>
      </c>
      <c r="M2806" s="9">
        <v>2735.92</v>
      </c>
      <c r="N2806" s="9">
        <v>1.8</v>
      </c>
      <c r="O2806" s="10">
        <f>IF(AND(OR(H2806="APPROVED",H2806="SCHEDULED"),COUNTIFS(tblSource[EventID],F2806,tblSource[ReleaseStatus],"APPROVED")=1,COUNTIFS(Period_Status!$A$2:$A$8,G2806,Period_Status!$B$2:$B$8,"ActualClosed")=1,C2806&gt;EOMONTH(Settlement_Bridge!$C$2,0)),1,0)</f>
        <v>0</v>
      </c>
      <c r="P2806" s="2" t="s">
        <v>7861</v>
      </c>
    </row>
    <row r="2807" spans="1:16" x14ac:dyDescent="0.25">
      <c r="A2807" s="2" t="s">
        <v>7862</v>
      </c>
      <c r="B2807" s="2" t="s">
        <v>7433</v>
      </c>
      <c r="C2807" s="8">
        <v>46239</v>
      </c>
      <c r="D2807" s="6">
        <v>46235</v>
      </c>
      <c r="E2807" s="2" t="s">
        <v>260</v>
      </c>
      <c r="F2807" s="2" t="s">
        <v>7860</v>
      </c>
      <c r="G2807" s="6">
        <v>46174</v>
      </c>
      <c r="H2807" s="2" t="s">
        <v>71</v>
      </c>
      <c r="I2807" s="2" t="s">
        <v>70</v>
      </c>
      <c r="J2807" s="9">
        <v>6171.239098</v>
      </c>
      <c r="K2807" s="7">
        <v>0.65</v>
      </c>
      <c r="L2807" s="9">
        <v>4011.31</v>
      </c>
      <c r="M2807" s="9">
        <v>4103.87</v>
      </c>
      <c r="N2807" s="9">
        <v>2.21</v>
      </c>
      <c r="O2807" s="10">
        <f>IF(AND(OR(H2807="APPROVED",H2807="SCHEDULED"),COUNTIFS(tblSource[EventID],F2807,tblSource[ReleaseStatus],"APPROVED")=1,COUNTIFS(Period_Status!$A$2:$A$8,G2807,Period_Status!$B$2:$B$8,"ActualClosed")=1,C2807&gt;EOMONTH(Settlement_Bridge!$C$2,0)),1,0)</f>
        <v>1</v>
      </c>
      <c r="P2807" s="2" t="s">
        <v>7863</v>
      </c>
    </row>
    <row r="2808" spans="1:16" x14ac:dyDescent="0.25">
      <c r="A2808" s="2" t="s">
        <v>7864</v>
      </c>
      <c r="B2808" s="2" t="s">
        <v>7433</v>
      </c>
      <c r="C2808" s="8">
        <v>46215</v>
      </c>
      <c r="D2808" s="6">
        <v>46204</v>
      </c>
      <c r="E2808" s="2" t="s">
        <v>260</v>
      </c>
      <c r="F2808" s="2" t="s">
        <v>7865</v>
      </c>
      <c r="G2808" s="6">
        <v>46174</v>
      </c>
      <c r="H2808" s="2" t="s">
        <v>71</v>
      </c>
      <c r="I2808" s="2" t="s">
        <v>39</v>
      </c>
      <c r="J2808" s="9">
        <v>2846.6439999999998</v>
      </c>
      <c r="K2808" s="7">
        <v>1</v>
      </c>
      <c r="L2808" s="9">
        <v>2846.64</v>
      </c>
      <c r="M2808" s="9">
        <v>2846.64</v>
      </c>
      <c r="N2808" s="9">
        <v>1.8</v>
      </c>
      <c r="O2808" s="10">
        <f>IF(AND(OR(H2808="APPROVED",H2808="SCHEDULED"),COUNTIFS(tblSource[EventID],F2808,tblSource[ReleaseStatus],"APPROVED")=1,COUNTIFS(Period_Status!$A$2:$A$8,G2808,Period_Status!$B$2:$B$8,"ActualClosed")=1,C2808&gt;EOMONTH(Settlement_Bridge!$C$2,0)),1,0)</f>
        <v>0</v>
      </c>
      <c r="P2808" s="2" t="s">
        <v>7866</v>
      </c>
    </row>
    <row r="2809" spans="1:16" x14ac:dyDescent="0.25">
      <c r="A2809" s="2" t="s">
        <v>7867</v>
      </c>
      <c r="B2809" s="2" t="s">
        <v>7433</v>
      </c>
      <c r="C2809" s="8">
        <v>46240</v>
      </c>
      <c r="D2809" s="6">
        <v>46235</v>
      </c>
      <c r="E2809" s="2" t="s">
        <v>260</v>
      </c>
      <c r="F2809" s="2" t="s">
        <v>7865</v>
      </c>
      <c r="G2809" s="6">
        <v>46174</v>
      </c>
      <c r="H2809" s="2" t="s">
        <v>71</v>
      </c>
      <c r="I2809" s="2" t="s">
        <v>39</v>
      </c>
      <c r="J2809" s="9">
        <v>4269.9660000000003</v>
      </c>
      <c r="K2809" s="7">
        <v>1</v>
      </c>
      <c r="L2809" s="9">
        <v>4269.97</v>
      </c>
      <c r="M2809" s="9">
        <v>4269.97</v>
      </c>
      <c r="N2809" s="9">
        <v>2.35</v>
      </c>
      <c r="O2809" s="10">
        <f>IF(AND(OR(H2809="APPROVED",H2809="SCHEDULED"),COUNTIFS(tblSource[EventID],F2809,tblSource[ReleaseStatus],"APPROVED")=1,COUNTIFS(Period_Status!$A$2:$A$8,G2809,Period_Status!$B$2:$B$8,"ActualClosed")=1,C2809&gt;EOMONTH(Settlement_Bridge!$C$2,0)),1,0)</f>
        <v>1</v>
      </c>
      <c r="P2809" s="2" t="s">
        <v>7868</v>
      </c>
    </row>
    <row r="2810" spans="1:16" x14ac:dyDescent="0.25">
      <c r="A2810" s="2" t="s">
        <v>7869</v>
      </c>
      <c r="B2810" s="2" t="s">
        <v>7433</v>
      </c>
      <c r="C2810" s="8">
        <v>46216</v>
      </c>
      <c r="D2810" s="6">
        <v>46204</v>
      </c>
      <c r="E2810" s="2" t="s">
        <v>260</v>
      </c>
      <c r="F2810" s="2" t="s">
        <v>7870</v>
      </c>
      <c r="G2810" s="6">
        <v>46174</v>
      </c>
      <c r="H2810" s="2" t="s">
        <v>71</v>
      </c>
      <c r="I2810" s="2" t="s">
        <v>76</v>
      </c>
      <c r="J2810" s="9">
        <v>47317888</v>
      </c>
      <c r="K2810" s="7">
        <v>6.2000000000000003E-5</v>
      </c>
      <c r="L2810" s="9">
        <v>2933.71</v>
      </c>
      <c r="M2810" s="9">
        <v>2957.37</v>
      </c>
      <c r="N2810" s="9">
        <v>1.8</v>
      </c>
      <c r="O2810" s="10">
        <f>IF(AND(OR(H2810="APPROVED",H2810="SCHEDULED"),COUNTIFS(tblSource[EventID],F2810,tblSource[ReleaseStatus],"APPROVED")=1,COUNTIFS(Period_Status!$A$2:$A$8,G2810,Period_Status!$B$2:$B$8,"ActualClosed")=1,C2810&gt;EOMONTH(Settlement_Bridge!$C$2,0)),1,0)</f>
        <v>0</v>
      </c>
      <c r="P2810" s="2" t="s">
        <v>7871</v>
      </c>
    </row>
    <row r="2811" spans="1:16" x14ac:dyDescent="0.25">
      <c r="A2811" s="2" t="s">
        <v>7872</v>
      </c>
      <c r="B2811" s="2" t="s">
        <v>7433</v>
      </c>
      <c r="C2811" s="8">
        <v>46241</v>
      </c>
      <c r="D2811" s="6">
        <v>46235</v>
      </c>
      <c r="E2811" s="2" t="s">
        <v>260</v>
      </c>
      <c r="F2811" s="2" t="s">
        <v>7870</v>
      </c>
      <c r="G2811" s="6">
        <v>46174</v>
      </c>
      <c r="H2811" s="2" t="s">
        <v>71</v>
      </c>
      <c r="I2811" s="2" t="s">
        <v>76</v>
      </c>
      <c r="J2811" s="9">
        <v>70976832</v>
      </c>
      <c r="K2811" s="7">
        <v>6.1500000000000004E-5</v>
      </c>
      <c r="L2811" s="9">
        <v>4365.08</v>
      </c>
      <c r="M2811" s="9">
        <v>4436.05</v>
      </c>
      <c r="N2811" s="9">
        <v>2.4</v>
      </c>
      <c r="O2811" s="10">
        <f>IF(AND(OR(H2811="APPROVED",H2811="SCHEDULED"),COUNTIFS(tblSource[EventID],F2811,tblSource[ReleaseStatus],"APPROVED")=1,COUNTIFS(Period_Status!$A$2:$A$8,G2811,Period_Status!$B$2:$B$8,"ActualClosed")=1,C2811&gt;EOMONTH(Settlement_Bridge!$C$2,0)),1,0)</f>
        <v>1</v>
      </c>
      <c r="P2811" s="2" t="s">
        <v>7873</v>
      </c>
    </row>
    <row r="2812" spans="1:16" x14ac:dyDescent="0.25">
      <c r="A2812" s="2" t="s">
        <v>7874</v>
      </c>
      <c r="B2812" s="2" t="s">
        <v>7433</v>
      </c>
      <c r="C2812" s="8">
        <v>46217</v>
      </c>
      <c r="D2812" s="6">
        <v>46204</v>
      </c>
      <c r="E2812" s="2" t="s">
        <v>260</v>
      </c>
      <c r="F2812" s="2" t="s">
        <v>7875</v>
      </c>
      <c r="G2812" s="6">
        <v>46174</v>
      </c>
      <c r="H2812" s="2" t="s">
        <v>71</v>
      </c>
      <c r="I2812" s="2" t="s">
        <v>70</v>
      </c>
      <c r="J2812" s="9">
        <v>4613.6781959999998</v>
      </c>
      <c r="K2812" s="7">
        <v>0.65800000000000003</v>
      </c>
      <c r="L2812" s="9">
        <v>3035.8</v>
      </c>
      <c r="M2812" s="9">
        <v>3068.1</v>
      </c>
      <c r="N2812" s="9">
        <v>1.8</v>
      </c>
      <c r="O2812" s="10">
        <f>IF(AND(OR(H2812="APPROVED",H2812="SCHEDULED"),COUNTIFS(tblSource[EventID],F2812,tblSource[ReleaseStatus],"APPROVED")=1,COUNTIFS(Period_Status!$A$2:$A$8,G2812,Period_Status!$B$2:$B$8,"ActualClosed")=1,C2812&gt;EOMONTH(Settlement_Bridge!$C$2,0)),1,0)</f>
        <v>0</v>
      </c>
      <c r="P2812" s="2" t="s">
        <v>7876</v>
      </c>
    </row>
    <row r="2813" spans="1:16" x14ac:dyDescent="0.25">
      <c r="A2813" s="2" t="s">
        <v>7877</v>
      </c>
      <c r="B2813" s="2" t="s">
        <v>7433</v>
      </c>
      <c r="C2813" s="8">
        <v>46242</v>
      </c>
      <c r="D2813" s="6">
        <v>46235</v>
      </c>
      <c r="E2813" s="2" t="s">
        <v>260</v>
      </c>
      <c r="F2813" s="2" t="s">
        <v>7875</v>
      </c>
      <c r="G2813" s="6">
        <v>46174</v>
      </c>
      <c r="H2813" s="2" t="s">
        <v>71</v>
      </c>
      <c r="I2813" s="2" t="s">
        <v>70</v>
      </c>
      <c r="J2813" s="9">
        <v>6920.5172929999999</v>
      </c>
      <c r="K2813" s="7">
        <v>0.65</v>
      </c>
      <c r="L2813" s="9">
        <v>4498.34</v>
      </c>
      <c r="M2813" s="9">
        <v>4602.1400000000003</v>
      </c>
      <c r="N2813" s="9">
        <v>2.4700000000000002</v>
      </c>
      <c r="O2813" s="10">
        <f>IF(AND(OR(H2813="APPROVED",H2813="SCHEDULED"),COUNTIFS(tblSource[EventID],F2813,tblSource[ReleaseStatus],"APPROVED")=1,COUNTIFS(Period_Status!$A$2:$A$8,G2813,Period_Status!$B$2:$B$8,"ActualClosed")=1,C2813&gt;EOMONTH(Settlement_Bridge!$C$2,0)),1,0)</f>
        <v>1</v>
      </c>
      <c r="P2813" s="2" t="s">
        <v>7878</v>
      </c>
    </row>
    <row r="2814" spans="1:16" x14ac:dyDescent="0.25">
      <c r="A2814" s="2" t="s">
        <v>7879</v>
      </c>
      <c r="B2814" s="2" t="s">
        <v>7433</v>
      </c>
      <c r="C2814" s="8">
        <v>46188</v>
      </c>
      <c r="D2814" s="6">
        <v>46174</v>
      </c>
      <c r="E2814" s="2" t="s">
        <v>260</v>
      </c>
      <c r="F2814" s="2" t="s">
        <v>7880</v>
      </c>
      <c r="G2814" s="6">
        <v>46174</v>
      </c>
      <c r="H2814" s="2" t="s">
        <v>71</v>
      </c>
      <c r="I2814" s="2" t="s">
        <v>39</v>
      </c>
      <c r="J2814" s="9">
        <v>3178.8240000000001</v>
      </c>
      <c r="K2814" s="7">
        <v>1</v>
      </c>
      <c r="L2814" s="9">
        <v>3178.82</v>
      </c>
      <c r="M2814" s="9">
        <v>3178.82</v>
      </c>
      <c r="N2814" s="9">
        <v>1.8</v>
      </c>
      <c r="O2814" s="10">
        <f>IF(AND(OR(H2814="APPROVED",H2814="SCHEDULED"),COUNTIFS(tblSource[EventID],F2814,tblSource[ReleaseStatus],"APPROVED")=1,COUNTIFS(Period_Status!$A$2:$A$8,G2814,Period_Status!$B$2:$B$8,"ActualClosed")=1,C2814&gt;EOMONTH(Settlement_Bridge!$C$2,0)),1,0)</f>
        <v>0</v>
      </c>
      <c r="P2814" s="2" t="s">
        <v>7881</v>
      </c>
    </row>
    <row r="2815" spans="1:16" x14ac:dyDescent="0.25">
      <c r="A2815" s="2" t="s">
        <v>7882</v>
      </c>
      <c r="B2815" s="2" t="s">
        <v>7433</v>
      </c>
      <c r="C2815" s="8">
        <v>46213</v>
      </c>
      <c r="D2815" s="6">
        <v>46204</v>
      </c>
      <c r="E2815" s="2" t="s">
        <v>260</v>
      </c>
      <c r="F2815" s="2" t="s">
        <v>7880</v>
      </c>
      <c r="G2815" s="6">
        <v>46174</v>
      </c>
      <c r="H2815" s="2" t="s">
        <v>71</v>
      </c>
      <c r="I2815" s="2" t="s">
        <v>39</v>
      </c>
      <c r="J2815" s="9">
        <v>4768.2359999999999</v>
      </c>
      <c r="K2815" s="7">
        <v>1</v>
      </c>
      <c r="L2815" s="9">
        <v>4768.24</v>
      </c>
      <c r="M2815" s="9">
        <v>4768.24</v>
      </c>
      <c r="N2815" s="9">
        <v>2.62</v>
      </c>
      <c r="O2815" s="10">
        <f>IF(AND(OR(H2815="APPROVED",H2815="SCHEDULED"),COUNTIFS(tblSource[EventID],F2815,tblSource[ReleaseStatus],"APPROVED")=1,COUNTIFS(Period_Status!$A$2:$A$8,G2815,Period_Status!$B$2:$B$8,"ActualClosed")=1,C2815&gt;EOMONTH(Settlement_Bridge!$C$2,0)),1,0)</f>
        <v>0</v>
      </c>
      <c r="P2815" s="2" t="s">
        <v>7883</v>
      </c>
    </row>
    <row r="2816" spans="1:16" x14ac:dyDescent="0.25">
      <c r="A2816" s="2" t="s">
        <v>7884</v>
      </c>
      <c r="B2816" s="2" t="s">
        <v>7433</v>
      </c>
      <c r="C2816" s="8">
        <v>46189</v>
      </c>
      <c r="D2816" s="6">
        <v>46174</v>
      </c>
      <c r="E2816" s="2" t="s">
        <v>260</v>
      </c>
      <c r="F2816" s="2" t="s">
        <v>7885</v>
      </c>
      <c r="G2816" s="6">
        <v>46174</v>
      </c>
      <c r="H2816" s="2" t="s">
        <v>71</v>
      </c>
      <c r="I2816" s="2" t="s">
        <v>76</v>
      </c>
      <c r="J2816" s="9">
        <v>52632768</v>
      </c>
      <c r="K2816" s="7">
        <v>6.2500000000000001E-5</v>
      </c>
      <c r="L2816" s="9">
        <v>3289.55</v>
      </c>
      <c r="M2816" s="9">
        <v>3289.55</v>
      </c>
      <c r="N2816" s="9">
        <v>1.81</v>
      </c>
      <c r="O2816" s="10">
        <f>IF(AND(OR(H2816="APPROVED",H2816="SCHEDULED"),COUNTIFS(tblSource[EventID],F2816,tblSource[ReleaseStatus],"APPROVED")=1,COUNTIFS(Period_Status!$A$2:$A$8,G2816,Period_Status!$B$2:$B$8,"ActualClosed")=1,C2816&gt;EOMONTH(Settlement_Bridge!$C$2,0)),1,0)</f>
        <v>0</v>
      </c>
      <c r="P2816" s="2" t="s">
        <v>7886</v>
      </c>
    </row>
    <row r="2817" spans="1:16" x14ac:dyDescent="0.25">
      <c r="A2817" s="2" t="s">
        <v>7887</v>
      </c>
      <c r="B2817" s="2" t="s">
        <v>7433</v>
      </c>
      <c r="C2817" s="8">
        <v>46214</v>
      </c>
      <c r="D2817" s="6">
        <v>46204</v>
      </c>
      <c r="E2817" s="2" t="s">
        <v>260</v>
      </c>
      <c r="F2817" s="2" t="s">
        <v>7885</v>
      </c>
      <c r="G2817" s="6">
        <v>46174</v>
      </c>
      <c r="H2817" s="2" t="s">
        <v>71</v>
      </c>
      <c r="I2817" s="2" t="s">
        <v>76</v>
      </c>
      <c r="J2817" s="9">
        <v>78949152</v>
      </c>
      <c r="K2817" s="7">
        <v>6.2000000000000003E-5</v>
      </c>
      <c r="L2817" s="9">
        <v>4894.8500000000004</v>
      </c>
      <c r="M2817" s="9">
        <v>4934.32</v>
      </c>
      <c r="N2817" s="9">
        <v>2.69</v>
      </c>
      <c r="O2817" s="10">
        <f>IF(AND(OR(H2817="APPROVED",H2817="SCHEDULED"),COUNTIFS(tblSource[EventID],F2817,tblSource[ReleaseStatus],"APPROVED")=1,COUNTIFS(Period_Status!$A$2:$A$8,G2817,Period_Status!$B$2:$B$8,"ActualClosed")=1,C2817&gt;EOMONTH(Settlement_Bridge!$C$2,0)),1,0)</f>
        <v>0</v>
      </c>
      <c r="P2817" s="2" t="s">
        <v>7888</v>
      </c>
    </row>
    <row r="2818" spans="1:16" x14ac:dyDescent="0.25">
      <c r="A2818" s="2" t="s">
        <v>7889</v>
      </c>
      <c r="B2818" s="2" t="s">
        <v>7433</v>
      </c>
      <c r="C2818" s="8">
        <v>46190</v>
      </c>
      <c r="D2818" s="6">
        <v>46174</v>
      </c>
      <c r="E2818" s="2" t="s">
        <v>260</v>
      </c>
      <c r="F2818" s="2" t="s">
        <v>7890</v>
      </c>
      <c r="G2818" s="6">
        <v>46174</v>
      </c>
      <c r="H2818" s="2" t="s">
        <v>71</v>
      </c>
      <c r="I2818" s="2" t="s">
        <v>70</v>
      </c>
      <c r="J2818" s="9">
        <v>5113.1969920000001</v>
      </c>
      <c r="K2818" s="7">
        <v>0.66500000000000004</v>
      </c>
      <c r="L2818" s="9">
        <v>3400.28</v>
      </c>
      <c r="M2818" s="9">
        <v>3400.28</v>
      </c>
      <c r="N2818" s="9">
        <v>1.87</v>
      </c>
      <c r="O2818" s="10">
        <f>IF(AND(OR(H2818="APPROVED",H2818="SCHEDULED"),COUNTIFS(tblSource[EventID],F2818,tblSource[ReleaseStatus],"APPROVED")=1,COUNTIFS(Period_Status!$A$2:$A$8,G2818,Period_Status!$B$2:$B$8,"ActualClosed")=1,C2818&gt;EOMONTH(Settlement_Bridge!$C$2,0)),1,0)</f>
        <v>0</v>
      </c>
      <c r="P2818" s="2" t="s">
        <v>7891</v>
      </c>
    </row>
    <row r="2819" spans="1:16" x14ac:dyDescent="0.25">
      <c r="A2819" s="2" t="s">
        <v>7892</v>
      </c>
      <c r="B2819" s="2" t="s">
        <v>7433</v>
      </c>
      <c r="C2819" s="8">
        <v>46215</v>
      </c>
      <c r="D2819" s="6">
        <v>46204</v>
      </c>
      <c r="E2819" s="2" t="s">
        <v>260</v>
      </c>
      <c r="F2819" s="2" t="s">
        <v>7890</v>
      </c>
      <c r="G2819" s="6">
        <v>46174</v>
      </c>
      <c r="H2819" s="2" t="s">
        <v>71</v>
      </c>
      <c r="I2819" s="2" t="s">
        <v>70</v>
      </c>
      <c r="J2819" s="9">
        <v>7669.7954890000001</v>
      </c>
      <c r="K2819" s="7">
        <v>0.65800000000000003</v>
      </c>
      <c r="L2819" s="9">
        <v>5046.7299999999996</v>
      </c>
      <c r="M2819" s="9">
        <v>5100.41</v>
      </c>
      <c r="N2819" s="9">
        <v>2.78</v>
      </c>
      <c r="O2819" s="10">
        <f>IF(AND(OR(H2819="APPROVED",H2819="SCHEDULED"),COUNTIFS(tblSource[EventID],F2819,tblSource[ReleaseStatus],"APPROVED")=1,COUNTIFS(Period_Status!$A$2:$A$8,G2819,Period_Status!$B$2:$B$8,"ActualClosed")=1,C2819&gt;EOMONTH(Settlement_Bridge!$C$2,0)),1,0)</f>
        <v>0</v>
      </c>
      <c r="P2819" s="2" t="s">
        <v>7893</v>
      </c>
    </row>
    <row r="2820" spans="1:16" x14ac:dyDescent="0.25">
      <c r="A2820" s="2" t="s">
        <v>7894</v>
      </c>
      <c r="B2820" s="2" t="s">
        <v>7433</v>
      </c>
      <c r="C2820" s="8">
        <v>46191</v>
      </c>
      <c r="D2820" s="6">
        <v>46174</v>
      </c>
      <c r="E2820" s="2" t="s">
        <v>260</v>
      </c>
      <c r="F2820" s="2" t="s">
        <v>7895</v>
      </c>
      <c r="G2820" s="6">
        <v>46174</v>
      </c>
      <c r="H2820" s="2" t="s">
        <v>71</v>
      </c>
      <c r="I2820" s="2" t="s">
        <v>39</v>
      </c>
      <c r="J2820" s="9">
        <v>3511</v>
      </c>
      <c r="K2820" s="7">
        <v>1</v>
      </c>
      <c r="L2820" s="9">
        <v>3511</v>
      </c>
      <c r="M2820" s="9">
        <v>3511</v>
      </c>
      <c r="N2820" s="9">
        <v>1.93</v>
      </c>
      <c r="O2820" s="10">
        <f>IF(AND(OR(H2820="APPROVED",H2820="SCHEDULED"),COUNTIFS(tblSource[EventID],F2820,tblSource[ReleaseStatus],"APPROVED")=1,COUNTIFS(Period_Status!$A$2:$A$8,G2820,Period_Status!$B$2:$B$8,"ActualClosed")=1,C2820&gt;EOMONTH(Settlement_Bridge!$C$2,0)),1,0)</f>
        <v>0</v>
      </c>
      <c r="P2820" s="2" t="s">
        <v>7896</v>
      </c>
    </row>
    <row r="2821" spans="1:16" x14ac:dyDescent="0.25">
      <c r="A2821" s="2" t="s">
        <v>7897</v>
      </c>
      <c r="B2821" s="2" t="s">
        <v>7433</v>
      </c>
      <c r="C2821" s="8">
        <v>46216</v>
      </c>
      <c r="D2821" s="6">
        <v>46204</v>
      </c>
      <c r="E2821" s="2" t="s">
        <v>260</v>
      </c>
      <c r="F2821" s="2" t="s">
        <v>7895</v>
      </c>
      <c r="G2821" s="6">
        <v>46174</v>
      </c>
      <c r="H2821" s="2" t="s">
        <v>71</v>
      </c>
      <c r="I2821" s="2" t="s">
        <v>39</v>
      </c>
      <c r="J2821" s="9">
        <v>5266.5</v>
      </c>
      <c r="K2821" s="7">
        <v>1</v>
      </c>
      <c r="L2821" s="9">
        <v>5266.5</v>
      </c>
      <c r="M2821" s="9">
        <v>5266.5</v>
      </c>
      <c r="N2821" s="9">
        <v>2.9</v>
      </c>
      <c r="O2821" s="10">
        <f>IF(AND(OR(H2821="APPROVED",H2821="SCHEDULED"),COUNTIFS(tblSource[EventID],F2821,tblSource[ReleaseStatus],"APPROVED")=1,COUNTIFS(Period_Status!$A$2:$A$8,G2821,Period_Status!$B$2:$B$8,"ActualClosed")=1,C2821&gt;EOMONTH(Settlement_Bridge!$C$2,0)),1,0)</f>
        <v>0</v>
      </c>
      <c r="P2821" s="2" t="s">
        <v>7898</v>
      </c>
    </row>
    <row r="2822" spans="1:16" x14ac:dyDescent="0.25">
      <c r="A2822" s="2" t="s">
        <v>7899</v>
      </c>
      <c r="B2822" s="2" t="s">
        <v>7433</v>
      </c>
      <c r="C2822" s="8">
        <v>46192</v>
      </c>
      <c r="D2822" s="6">
        <v>46174</v>
      </c>
      <c r="E2822" s="2" t="s">
        <v>260</v>
      </c>
      <c r="F2822" s="2" t="s">
        <v>7900</v>
      </c>
      <c r="G2822" s="6">
        <v>46174</v>
      </c>
      <c r="H2822" s="2" t="s">
        <v>71</v>
      </c>
      <c r="I2822" s="2" t="s">
        <v>76</v>
      </c>
      <c r="J2822" s="9">
        <v>57947648</v>
      </c>
      <c r="K2822" s="7">
        <v>6.2500000000000001E-5</v>
      </c>
      <c r="L2822" s="9">
        <v>3621.73</v>
      </c>
      <c r="M2822" s="9">
        <v>3621.73</v>
      </c>
      <c r="N2822" s="9">
        <v>1.99</v>
      </c>
      <c r="O2822" s="10">
        <f>IF(AND(OR(H2822="APPROVED",H2822="SCHEDULED"),COUNTIFS(tblSource[EventID],F2822,tblSource[ReleaseStatus],"APPROVED")=1,COUNTIFS(Period_Status!$A$2:$A$8,G2822,Period_Status!$B$2:$B$8,"ActualClosed")=1,C2822&gt;EOMONTH(Settlement_Bridge!$C$2,0)),1,0)</f>
        <v>0</v>
      </c>
      <c r="P2822" s="2" t="s">
        <v>7901</v>
      </c>
    </row>
    <row r="2823" spans="1:16" x14ac:dyDescent="0.25">
      <c r="A2823" s="2" t="s">
        <v>7902</v>
      </c>
      <c r="B2823" s="2" t="s">
        <v>7433</v>
      </c>
      <c r="C2823" s="8">
        <v>46217</v>
      </c>
      <c r="D2823" s="6">
        <v>46204</v>
      </c>
      <c r="E2823" s="2" t="s">
        <v>260</v>
      </c>
      <c r="F2823" s="2" t="s">
        <v>7900</v>
      </c>
      <c r="G2823" s="6">
        <v>46174</v>
      </c>
      <c r="H2823" s="2" t="s">
        <v>71</v>
      </c>
      <c r="I2823" s="2" t="s">
        <v>76</v>
      </c>
      <c r="J2823" s="9">
        <v>86921472</v>
      </c>
      <c r="K2823" s="7">
        <v>6.2000000000000003E-5</v>
      </c>
      <c r="L2823" s="9">
        <v>5389.13</v>
      </c>
      <c r="M2823" s="9">
        <v>5432.59</v>
      </c>
      <c r="N2823" s="9">
        <v>2.96</v>
      </c>
      <c r="O2823" s="10">
        <f>IF(AND(OR(H2823="APPROVED",H2823="SCHEDULED"),COUNTIFS(tblSource[EventID],F2823,tblSource[ReleaseStatus],"APPROVED")=1,COUNTIFS(Period_Status!$A$2:$A$8,G2823,Period_Status!$B$2:$B$8,"ActualClosed")=1,C2823&gt;EOMONTH(Settlement_Bridge!$C$2,0)),1,0)</f>
        <v>0</v>
      </c>
      <c r="P2823" s="2" t="s">
        <v>7903</v>
      </c>
    </row>
    <row r="2824" spans="1:16" x14ac:dyDescent="0.25">
      <c r="A2824" s="2" t="s">
        <v>7904</v>
      </c>
      <c r="B2824" s="2" t="s">
        <v>7433</v>
      </c>
      <c r="C2824" s="8">
        <v>46193</v>
      </c>
      <c r="D2824" s="6">
        <v>46174</v>
      </c>
      <c r="E2824" s="2" t="s">
        <v>260</v>
      </c>
      <c r="F2824" s="2" t="s">
        <v>7905</v>
      </c>
      <c r="G2824" s="6">
        <v>46174</v>
      </c>
      <c r="H2824" s="2" t="s">
        <v>71</v>
      </c>
      <c r="I2824" s="2" t="s">
        <v>70</v>
      </c>
      <c r="J2824" s="9">
        <v>5612.7097739999999</v>
      </c>
      <c r="K2824" s="7">
        <v>0.66500000000000004</v>
      </c>
      <c r="L2824" s="9">
        <v>3732.45</v>
      </c>
      <c r="M2824" s="9">
        <v>3732.45</v>
      </c>
      <c r="N2824" s="9">
        <v>2.0499999999999998</v>
      </c>
      <c r="O2824" s="10">
        <f>IF(AND(OR(H2824="APPROVED",H2824="SCHEDULED"),COUNTIFS(tblSource[EventID],F2824,tblSource[ReleaseStatus],"APPROVED")=1,COUNTIFS(Period_Status!$A$2:$A$8,G2824,Period_Status!$B$2:$B$8,"ActualClosed")=1,C2824&gt;EOMONTH(Settlement_Bridge!$C$2,0)),1,0)</f>
        <v>0</v>
      </c>
      <c r="P2824" s="2" t="s">
        <v>7906</v>
      </c>
    </row>
    <row r="2825" spans="1:16" x14ac:dyDescent="0.25">
      <c r="A2825" s="2" t="s">
        <v>7907</v>
      </c>
      <c r="B2825" s="2" t="s">
        <v>7433</v>
      </c>
      <c r="C2825" s="8">
        <v>46218</v>
      </c>
      <c r="D2825" s="6">
        <v>46204</v>
      </c>
      <c r="E2825" s="2" t="s">
        <v>260</v>
      </c>
      <c r="F2825" s="2" t="s">
        <v>7905</v>
      </c>
      <c r="G2825" s="6">
        <v>46174</v>
      </c>
      <c r="H2825" s="2" t="s">
        <v>71</v>
      </c>
      <c r="I2825" s="2" t="s">
        <v>70</v>
      </c>
      <c r="J2825" s="9">
        <v>8419.0646620000007</v>
      </c>
      <c r="K2825" s="7">
        <v>0.65800000000000003</v>
      </c>
      <c r="L2825" s="9">
        <v>5539.74</v>
      </c>
      <c r="M2825" s="9">
        <v>5598.68</v>
      </c>
      <c r="N2825" s="9">
        <v>3.05</v>
      </c>
      <c r="O2825" s="10">
        <f>IF(AND(OR(H2825="APPROVED",H2825="SCHEDULED"),COUNTIFS(tblSource[EventID],F2825,tblSource[ReleaseStatus],"APPROVED")=1,COUNTIFS(Period_Status!$A$2:$A$8,G2825,Period_Status!$B$2:$B$8,"ActualClosed")=1,C2825&gt;EOMONTH(Settlement_Bridge!$C$2,0)),1,0)</f>
        <v>0</v>
      </c>
      <c r="P2825" s="2" t="s">
        <v>7908</v>
      </c>
    </row>
    <row r="2826" spans="1:16" x14ac:dyDescent="0.25">
      <c r="A2826" s="2" t="s">
        <v>7909</v>
      </c>
      <c r="B2826" s="2" t="s">
        <v>7433</v>
      </c>
      <c r="C2826" s="8">
        <v>46194</v>
      </c>
      <c r="D2826" s="6">
        <v>46174</v>
      </c>
      <c r="E2826" s="2" t="s">
        <v>260</v>
      </c>
      <c r="F2826" s="2" t="s">
        <v>7910</v>
      </c>
      <c r="G2826" s="6">
        <v>46174</v>
      </c>
      <c r="H2826" s="2" t="s">
        <v>71</v>
      </c>
      <c r="I2826" s="2" t="s">
        <v>39</v>
      </c>
      <c r="J2826" s="9">
        <v>3842.56</v>
      </c>
      <c r="K2826" s="7">
        <v>1</v>
      </c>
      <c r="L2826" s="9">
        <v>3842.56</v>
      </c>
      <c r="M2826" s="9">
        <v>3842.56</v>
      </c>
      <c r="N2826" s="9">
        <v>2.11</v>
      </c>
      <c r="O2826" s="10">
        <f>IF(AND(OR(H2826="APPROVED",H2826="SCHEDULED"),COUNTIFS(tblSource[EventID],F2826,tblSource[ReleaseStatus],"APPROVED")=1,COUNTIFS(Period_Status!$A$2:$A$8,G2826,Period_Status!$B$2:$B$8,"ActualClosed")=1,C2826&gt;EOMONTH(Settlement_Bridge!$C$2,0)),1,0)</f>
        <v>0</v>
      </c>
      <c r="P2826" s="2" t="s">
        <v>7911</v>
      </c>
    </row>
    <row r="2827" spans="1:16" x14ac:dyDescent="0.25">
      <c r="A2827" s="2" t="s">
        <v>7912</v>
      </c>
      <c r="B2827" s="2" t="s">
        <v>7433</v>
      </c>
      <c r="C2827" s="8">
        <v>46219</v>
      </c>
      <c r="D2827" s="6">
        <v>46204</v>
      </c>
      <c r="E2827" s="2" t="s">
        <v>260</v>
      </c>
      <c r="F2827" s="2" t="s">
        <v>7910</v>
      </c>
      <c r="G2827" s="6">
        <v>46174</v>
      </c>
      <c r="H2827" s="2" t="s">
        <v>71</v>
      </c>
      <c r="I2827" s="2" t="s">
        <v>39</v>
      </c>
      <c r="J2827" s="9">
        <v>5763.84</v>
      </c>
      <c r="K2827" s="7">
        <v>1</v>
      </c>
      <c r="L2827" s="9">
        <v>5763.84</v>
      </c>
      <c r="M2827" s="9">
        <v>5763.84</v>
      </c>
      <c r="N2827" s="9">
        <v>3.17</v>
      </c>
      <c r="O2827" s="10">
        <f>IF(AND(OR(H2827="APPROVED",H2827="SCHEDULED"),COUNTIFS(tblSource[EventID],F2827,tblSource[ReleaseStatus],"APPROVED")=1,COUNTIFS(Period_Status!$A$2:$A$8,G2827,Period_Status!$B$2:$B$8,"ActualClosed")=1,C2827&gt;EOMONTH(Settlement_Bridge!$C$2,0)),1,0)</f>
        <v>0</v>
      </c>
      <c r="P2827" s="2" t="s">
        <v>7913</v>
      </c>
    </row>
    <row r="2828" spans="1:16" x14ac:dyDescent="0.25">
      <c r="A2828" s="2" t="s">
        <v>7914</v>
      </c>
      <c r="B2828" s="2" t="s">
        <v>7433</v>
      </c>
      <c r="C2828" s="8">
        <v>46195</v>
      </c>
      <c r="D2828" s="6">
        <v>46174</v>
      </c>
      <c r="E2828" s="2" t="s">
        <v>260</v>
      </c>
      <c r="F2828" s="2" t="s">
        <v>7915</v>
      </c>
      <c r="G2828" s="6">
        <v>46174</v>
      </c>
      <c r="H2828" s="2" t="s">
        <v>71</v>
      </c>
      <c r="I2828" s="2" t="s">
        <v>76</v>
      </c>
      <c r="J2828" s="9">
        <v>63252608</v>
      </c>
      <c r="K2828" s="7">
        <v>6.2500000000000001E-5</v>
      </c>
      <c r="L2828" s="9">
        <v>3953.29</v>
      </c>
      <c r="M2828" s="9">
        <v>3953.29</v>
      </c>
      <c r="N2828" s="9">
        <v>2.17</v>
      </c>
      <c r="O2828" s="10">
        <f>IF(AND(OR(H2828="APPROVED",H2828="SCHEDULED"),COUNTIFS(tblSource[EventID],F2828,tblSource[ReleaseStatus],"APPROVED")=1,COUNTIFS(Period_Status!$A$2:$A$8,G2828,Period_Status!$B$2:$B$8,"ActualClosed")=1,C2828&gt;EOMONTH(Settlement_Bridge!$C$2,0)),1,0)</f>
        <v>0</v>
      </c>
      <c r="P2828" s="2" t="s">
        <v>7916</v>
      </c>
    </row>
    <row r="2829" spans="1:16" x14ac:dyDescent="0.25">
      <c r="A2829" s="2" t="s">
        <v>7917</v>
      </c>
      <c r="B2829" s="2" t="s">
        <v>7433</v>
      </c>
      <c r="C2829" s="8">
        <v>46220</v>
      </c>
      <c r="D2829" s="6">
        <v>46204</v>
      </c>
      <c r="E2829" s="2" t="s">
        <v>260</v>
      </c>
      <c r="F2829" s="2" t="s">
        <v>7915</v>
      </c>
      <c r="G2829" s="6">
        <v>46174</v>
      </c>
      <c r="H2829" s="2" t="s">
        <v>71</v>
      </c>
      <c r="I2829" s="2" t="s">
        <v>76</v>
      </c>
      <c r="J2829" s="9">
        <v>94878912</v>
      </c>
      <c r="K2829" s="7">
        <v>6.2000000000000003E-5</v>
      </c>
      <c r="L2829" s="9">
        <v>5882.49</v>
      </c>
      <c r="M2829" s="9">
        <v>5929.93</v>
      </c>
      <c r="N2829" s="9">
        <v>3.24</v>
      </c>
      <c r="O2829" s="10">
        <f>IF(AND(OR(H2829="APPROVED",H2829="SCHEDULED"),COUNTIFS(tblSource[EventID],F2829,tblSource[ReleaseStatus],"APPROVED")=1,COUNTIFS(Period_Status!$A$2:$A$8,G2829,Period_Status!$B$2:$B$8,"ActualClosed")=1,C2829&gt;EOMONTH(Settlement_Bridge!$C$2,0)),1,0)</f>
        <v>0</v>
      </c>
      <c r="P2829" s="2" t="s">
        <v>7918</v>
      </c>
    </row>
    <row r="2830" spans="1:16" x14ac:dyDescent="0.25">
      <c r="A2830" s="2" t="s">
        <v>7919</v>
      </c>
      <c r="B2830" s="2" t="s">
        <v>7433</v>
      </c>
      <c r="C2830" s="8">
        <v>46196</v>
      </c>
      <c r="D2830" s="6">
        <v>46174</v>
      </c>
      <c r="E2830" s="2" t="s">
        <v>260</v>
      </c>
      <c r="F2830" s="2" t="s">
        <v>7920</v>
      </c>
      <c r="G2830" s="6">
        <v>46174</v>
      </c>
      <c r="H2830" s="2" t="s">
        <v>71</v>
      </c>
      <c r="I2830" s="2" t="s">
        <v>70</v>
      </c>
      <c r="J2830" s="9">
        <v>6111.296241</v>
      </c>
      <c r="K2830" s="7">
        <v>0.66500000000000004</v>
      </c>
      <c r="L2830" s="9">
        <v>4064.01</v>
      </c>
      <c r="M2830" s="9">
        <v>4064.01</v>
      </c>
      <c r="N2830" s="9">
        <v>2.2400000000000002</v>
      </c>
      <c r="O2830" s="10">
        <f>IF(AND(OR(H2830="APPROVED",H2830="SCHEDULED"),COUNTIFS(tblSource[EventID],F2830,tblSource[ReleaseStatus],"APPROVED")=1,COUNTIFS(Period_Status!$A$2:$A$8,G2830,Period_Status!$B$2:$B$8,"ActualClosed")=1,C2830&gt;EOMONTH(Settlement_Bridge!$C$2,0)),1,0)</f>
        <v>0</v>
      </c>
      <c r="P2830" s="2" t="s">
        <v>7921</v>
      </c>
    </row>
    <row r="2831" spans="1:16" x14ac:dyDescent="0.25">
      <c r="A2831" s="2" t="s">
        <v>7922</v>
      </c>
      <c r="B2831" s="2" t="s">
        <v>7433</v>
      </c>
      <c r="C2831" s="8">
        <v>46221</v>
      </c>
      <c r="D2831" s="6">
        <v>46204</v>
      </c>
      <c r="E2831" s="2" t="s">
        <v>260</v>
      </c>
      <c r="F2831" s="2" t="s">
        <v>7920</v>
      </c>
      <c r="G2831" s="6">
        <v>46174</v>
      </c>
      <c r="H2831" s="2" t="s">
        <v>71</v>
      </c>
      <c r="I2831" s="2" t="s">
        <v>70</v>
      </c>
      <c r="J2831" s="9">
        <v>9166.9443609999998</v>
      </c>
      <c r="K2831" s="7">
        <v>0.65800000000000003</v>
      </c>
      <c r="L2831" s="9">
        <v>6031.85</v>
      </c>
      <c r="M2831" s="9">
        <v>6096.02</v>
      </c>
      <c r="N2831" s="9">
        <v>3.32</v>
      </c>
      <c r="O2831" s="10">
        <f>IF(AND(OR(H2831="APPROVED",H2831="SCHEDULED"),COUNTIFS(tblSource[EventID],F2831,tblSource[ReleaseStatus],"APPROVED")=1,COUNTIFS(Period_Status!$A$2:$A$8,G2831,Period_Status!$B$2:$B$8,"ActualClosed")=1,C2831&gt;EOMONTH(Settlement_Bridge!$C$2,0)),1,0)</f>
        <v>0</v>
      </c>
      <c r="P2831" s="2" t="s">
        <v>7923</v>
      </c>
    </row>
    <row r="2832" spans="1:16" x14ac:dyDescent="0.25">
      <c r="A2832" s="2" t="s">
        <v>7924</v>
      </c>
      <c r="B2832" s="2" t="s">
        <v>7433</v>
      </c>
      <c r="C2832" s="8">
        <v>46197</v>
      </c>
      <c r="D2832" s="6">
        <v>46174</v>
      </c>
      <c r="E2832" s="2" t="s">
        <v>260</v>
      </c>
      <c r="F2832" s="2" t="s">
        <v>7925</v>
      </c>
      <c r="G2832" s="6">
        <v>46174</v>
      </c>
      <c r="H2832" s="2" t="s">
        <v>71</v>
      </c>
      <c r="I2832" s="2" t="s">
        <v>39</v>
      </c>
      <c r="J2832" s="9">
        <v>4174.74</v>
      </c>
      <c r="K2832" s="7">
        <v>1</v>
      </c>
      <c r="L2832" s="9">
        <v>4174.74</v>
      </c>
      <c r="M2832" s="9">
        <v>4174.74</v>
      </c>
      <c r="N2832" s="9">
        <v>2.2999999999999998</v>
      </c>
      <c r="O2832" s="10">
        <f>IF(AND(OR(H2832="APPROVED",H2832="SCHEDULED"),COUNTIFS(tblSource[EventID],F2832,tblSource[ReleaseStatus],"APPROVED")=1,COUNTIFS(Period_Status!$A$2:$A$8,G2832,Period_Status!$B$2:$B$8,"ActualClosed")=1,C2832&gt;EOMONTH(Settlement_Bridge!$C$2,0)),1,0)</f>
        <v>0</v>
      </c>
      <c r="P2832" s="2" t="s">
        <v>7926</v>
      </c>
    </row>
    <row r="2833" spans="1:16" x14ac:dyDescent="0.25">
      <c r="A2833" s="2" t="s">
        <v>7927</v>
      </c>
      <c r="B2833" s="2" t="s">
        <v>7433</v>
      </c>
      <c r="C2833" s="8">
        <v>46222</v>
      </c>
      <c r="D2833" s="6">
        <v>46204</v>
      </c>
      <c r="E2833" s="2" t="s">
        <v>260</v>
      </c>
      <c r="F2833" s="2" t="s">
        <v>7925</v>
      </c>
      <c r="G2833" s="6">
        <v>46174</v>
      </c>
      <c r="H2833" s="2" t="s">
        <v>71</v>
      </c>
      <c r="I2833" s="2" t="s">
        <v>39</v>
      </c>
      <c r="J2833" s="9">
        <v>6262.11</v>
      </c>
      <c r="K2833" s="7">
        <v>1</v>
      </c>
      <c r="L2833" s="9">
        <v>6262.11</v>
      </c>
      <c r="M2833" s="9">
        <v>6262.11</v>
      </c>
      <c r="N2833" s="9">
        <v>3.44</v>
      </c>
      <c r="O2833" s="10">
        <f>IF(AND(OR(H2833="APPROVED",H2833="SCHEDULED"),COUNTIFS(tblSource[EventID],F2833,tblSource[ReleaseStatus],"APPROVED")=1,COUNTIFS(Period_Status!$A$2:$A$8,G2833,Period_Status!$B$2:$B$8,"ActualClosed")=1,C2833&gt;EOMONTH(Settlement_Bridge!$C$2,0)),1,0)</f>
        <v>0</v>
      </c>
      <c r="P2833" s="2" t="s">
        <v>7928</v>
      </c>
    </row>
    <row r="2834" spans="1:16" x14ac:dyDescent="0.25">
      <c r="A2834" s="2" t="s">
        <v>7929</v>
      </c>
      <c r="B2834" s="2" t="s">
        <v>7433</v>
      </c>
      <c r="C2834" s="8">
        <v>46198</v>
      </c>
      <c r="D2834" s="6">
        <v>46174</v>
      </c>
      <c r="E2834" s="2" t="s">
        <v>260</v>
      </c>
      <c r="F2834" s="2" t="s">
        <v>7930</v>
      </c>
      <c r="G2834" s="6">
        <v>46174</v>
      </c>
      <c r="H2834" s="2" t="s">
        <v>71</v>
      </c>
      <c r="I2834" s="2" t="s">
        <v>76</v>
      </c>
      <c r="J2834" s="9">
        <v>68567424</v>
      </c>
      <c r="K2834" s="7">
        <v>6.2500000000000001E-5</v>
      </c>
      <c r="L2834" s="9">
        <v>4285.46</v>
      </c>
      <c r="M2834" s="9">
        <v>4285.46</v>
      </c>
      <c r="N2834" s="9">
        <v>2.36</v>
      </c>
      <c r="O2834" s="10">
        <f>IF(AND(OR(H2834="APPROVED",H2834="SCHEDULED"),COUNTIFS(tblSource[EventID],F2834,tblSource[ReleaseStatus],"APPROVED")=1,COUNTIFS(Period_Status!$A$2:$A$8,G2834,Period_Status!$B$2:$B$8,"ActualClosed")=1,C2834&gt;EOMONTH(Settlement_Bridge!$C$2,0)),1,0)</f>
        <v>0</v>
      </c>
      <c r="P2834" s="2" t="s">
        <v>7931</v>
      </c>
    </row>
    <row r="2835" spans="1:16" x14ac:dyDescent="0.25">
      <c r="A2835" s="2" t="s">
        <v>7932</v>
      </c>
      <c r="B2835" s="2" t="s">
        <v>7433</v>
      </c>
      <c r="C2835" s="8">
        <v>46223</v>
      </c>
      <c r="D2835" s="6">
        <v>46204</v>
      </c>
      <c r="E2835" s="2" t="s">
        <v>260</v>
      </c>
      <c r="F2835" s="2" t="s">
        <v>7930</v>
      </c>
      <c r="G2835" s="6">
        <v>46174</v>
      </c>
      <c r="H2835" s="2" t="s">
        <v>71</v>
      </c>
      <c r="I2835" s="2" t="s">
        <v>76</v>
      </c>
      <c r="J2835" s="9">
        <v>102851136</v>
      </c>
      <c r="K2835" s="7">
        <v>6.2000000000000003E-5</v>
      </c>
      <c r="L2835" s="9">
        <v>6376.77</v>
      </c>
      <c r="M2835" s="9">
        <v>6428.2</v>
      </c>
      <c r="N2835" s="9">
        <v>3.51</v>
      </c>
      <c r="O2835" s="10">
        <f>IF(AND(OR(H2835="APPROVED",H2835="SCHEDULED"),COUNTIFS(tblSource[EventID],F2835,tblSource[ReleaseStatus],"APPROVED")=1,COUNTIFS(Period_Status!$A$2:$A$8,G2835,Period_Status!$B$2:$B$8,"ActualClosed")=1,C2835&gt;EOMONTH(Settlement_Bridge!$C$2,0)),1,0)</f>
        <v>0</v>
      </c>
      <c r="P2835" s="2" t="s">
        <v>7933</v>
      </c>
    </row>
    <row r="2836" spans="1:16" x14ac:dyDescent="0.25">
      <c r="A2836" s="2" t="s">
        <v>7934</v>
      </c>
      <c r="B2836" s="2" t="s">
        <v>7433</v>
      </c>
      <c r="C2836" s="8">
        <v>46199</v>
      </c>
      <c r="D2836" s="6">
        <v>46174</v>
      </c>
      <c r="E2836" s="2" t="s">
        <v>260</v>
      </c>
      <c r="F2836" s="2" t="s">
        <v>7935</v>
      </c>
      <c r="G2836" s="6">
        <v>46174</v>
      </c>
      <c r="H2836" s="2" t="s">
        <v>71</v>
      </c>
      <c r="I2836" s="2" t="s">
        <v>70</v>
      </c>
      <c r="J2836" s="9">
        <v>6610.8150379999997</v>
      </c>
      <c r="K2836" s="7">
        <v>0.66500000000000004</v>
      </c>
      <c r="L2836" s="9">
        <v>4396.1899999999996</v>
      </c>
      <c r="M2836" s="9">
        <v>4396.1899999999996</v>
      </c>
      <c r="N2836" s="9">
        <v>2.42</v>
      </c>
      <c r="O2836" s="10">
        <f>IF(AND(OR(H2836="APPROVED",H2836="SCHEDULED"),COUNTIFS(tblSource[EventID],F2836,tblSource[ReleaseStatus],"APPROVED")=1,COUNTIFS(Period_Status!$A$2:$A$8,G2836,Period_Status!$B$2:$B$8,"ActualClosed")=1,C2836&gt;EOMONTH(Settlement_Bridge!$C$2,0)),1,0)</f>
        <v>0</v>
      </c>
      <c r="P2836" s="2" t="s">
        <v>7936</v>
      </c>
    </row>
    <row r="2837" spans="1:16" x14ac:dyDescent="0.25">
      <c r="A2837" s="2" t="s">
        <v>7937</v>
      </c>
      <c r="B2837" s="2" t="s">
        <v>7433</v>
      </c>
      <c r="C2837" s="8">
        <v>46224</v>
      </c>
      <c r="D2837" s="6">
        <v>46204</v>
      </c>
      <c r="E2837" s="2" t="s">
        <v>260</v>
      </c>
      <c r="F2837" s="2" t="s">
        <v>7935</v>
      </c>
      <c r="G2837" s="6">
        <v>46174</v>
      </c>
      <c r="H2837" s="2" t="s">
        <v>71</v>
      </c>
      <c r="I2837" s="2" t="s">
        <v>70</v>
      </c>
      <c r="J2837" s="9">
        <v>9916.2225560000006</v>
      </c>
      <c r="K2837" s="7">
        <v>0.65800000000000003</v>
      </c>
      <c r="L2837" s="9">
        <v>6524.87</v>
      </c>
      <c r="M2837" s="9">
        <v>6594.29</v>
      </c>
      <c r="N2837" s="9">
        <v>3.59</v>
      </c>
      <c r="O2837" s="10">
        <f>IF(AND(OR(H2837="APPROVED",H2837="SCHEDULED"),COUNTIFS(tblSource[EventID],F2837,tblSource[ReleaseStatus],"APPROVED")=1,COUNTIFS(Period_Status!$A$2:$A$8,G2837,Period_Status!$B$2:$B$8,"ActualClosed")=1,C2837&gt;EOMONTH(Settlement_Bridge!$C$2,0)),1,0)</f>
        <v>0</v>
      </c>
      <c r="P2837" s="2" t="s">
        <v>7938</v>
      </c>
    </row>
    <row r="2838" spans="1:16" x14ac:dyDescent="0.25">
      <c r="A2838" s="2" t="s">
        <v>7939</v>
      </c>
      <c r="B2838" s="2" t="s">
        <v>7433</v>
      </c>
      <c r="C2838" s="8">
        <v>46200</v>
      </c>
      <c r="D2838" s="6">
        <v>46174</v>
      </c>
      <c r="E2838" s="2" t="s">
        <v>260</v>
      </c>
      <c r="F2838" s="2" t="s">
        <v>7940</v>
      </c>
      <c r="G2838" s="6">
        <v>46174</v>
      </c>
      <c r="H2838" s="2" t="s">
        <v>71</v>
      </c>
      <c r="I2838" s="2" t="s">
        <v>39</v>
      </c>
      <c r="J2838" s="9">
        <v>4506.92</v>
      </c>
      <c r="K2838" s="7">
        <v>1</v>
      </c>
      <c r="L2838" s="9">
        <v>4506.92</v>
      </c>
      <c r="M2838" s="9">
        <v>4506.92</v>
      </c>
      <c r="N2838" s="9">
        <v>2.48</v>
      </c>
      <c r="O2838" s="10">
        <f>IF(AND(OR(H2838="APPROVED",H2838="SCHEDULED"),COUNTIFS(tblSource[EventID],F2838,tblSource[ReleaseStatus],"APPROVED")=1,COUNTIFS(Period_Status!$A$2:$A$8,G2838,Period_Status!$B$2:$B$8,"ActualClosed")=1,C2838&gt;EOMONTH(Settlement_Bridge!$C$2,0)),1,0)</f>
        <v>0</v>
      </c>
      <c r="P2838" s="2" t="s">
        <v>7941</v>
      </c>
    </row>
    <row r="2839" spans="1:16" x14ac:dyDescent="0.25">
      <c r="A2839" s="2" t="s">
        <v>7942</v>
      </c>
      <c r="B2839" s="2" t="s">
        <v>7433</v>
      </c>
      <c r="C2839" s="8">
        <v>46225</v>
      </c>
      <c r="D2839" s="6">
        <v>46204</v>
      </c>
      <c r="E2839" s="2" t="s">
        <v>260</v>
      </c>
      <c r="F2839" s="2" t="s">
        <v>7940</v>
      </c>
      <c r="G2839" s="6">
        <v>46174</v>
      </c>
      <c r="H2839" s="2" t="s">
        <v>71</v>
      </c>
      <c r="I2839" s="2" t="s">
        <v>39</v>
      </c>
      <c r="J2839" s="9">
        <v>6760.38</v>
      </c>
      <c r="K2839" s="7">
        <v>1</v>
      </c>
      <c r="L2839" s="9">
        <v>6760.38</v>
      </c>
      <c r="M2839" s="9">
        <v>6760.38</v>
      </c>
      <c r="N2839" s="9">
        <v>3.72</v>
      </c>
      <c r="O2839" s="10">
        <f>IF(AND(OR(H2839="APPROVED",H2839="SCHEDULED"),COUNTIFS(tblSource[EventID],F2839,tblSource[ReleaseStatus],"APPROVED")=1,COUNTIFS(Period_Status!$A$2:$A$8,G2839,Period_Status!$B$2:$B$8,"ActualClosed")=1,C2839&gt;EOMONTH(Settlement_Bridge!$C$2,0)),1,0)</f>
        <v>0</v>
      </c>
      <c r="P2839" s="2" t="s">
        <v>7943</v>
      </c>
    </row>
    <row r="2840" spans="1:16" x14ac:dyDescent="0.25">
      <c r="A2840" s="2" t="s">
        <v>7944</v>
      </c>
      <c r="B2840" s="2" t="s">
        <v>7433</v>
      </c>
      <c r="C2840" s="8">
        <v>46201</v>
      </c>
      <c r="D2840" s="6">
        <v>46174</v>
      </c>
      <c r="E2840" s="2" t="s">
        <v>260</v>
      </c>
      <c r="F2840" s="2" t="s">
        <v>7945</v>
      </c>
      <c r="G2840" s="6">
        <v>46174</v>
      </c>
      <c r="H2840" s="2" t="s">
        <v>71</v>
      </c>
      <c r="I2840" s="2" t="s">
        <v>76</v>
      </c>
      <c r="J2840" s="9">
        <v>73882304</v>
      </c>
      <c r="K2840" s="7">
        <v>6.2500000000000001E-5</v>
      </c>
      <c r="L2840" s="9">
        <v>4617.6400000000003</v>
      </c>
      <c r="M2840" s="9">
        <v>4617.6400000000003</v>
      </c>
      <c r="N2840" s="9">
        <v>2.54</v>
      </c>
      <c r="O2840" s="10">
        <f>IF(AND(OR(H2840="APPROVED",H2840="SCHEDULED"),COUNTIFS(tblSource[EventID],F2840,tblSource[ReleaseStatus],"APPROVED")=1,COUNTIFS(Period_Status!$A$2:$A$8,G2840,Period_Status!$B$2:$B$8,"ActualClosed")=1,C2840&gt;EOMONTH(Settlement_Bridge!$C$2,0)),1,0)</f>
        <v>0</v>
      </c>
      <c r="P2840" s="2" t="s">
        <v>7946</v>
      </c>
    </row>
    <row r="2841" spans="1:16" x14ac:dyDescent="0.25">
      <c r="A2841" s="2" t="s">
        <v>7947</v>
      </c>
      <c r="B2841" s="2" t="s">
        <v>7433</v>
      </c>
      <c r="C2841" s="8">
        <v>46226</v>
      </c>
      <c r="D2841" s="6">
        <v>46204</v>
      </c>
      <c r="E2841" s="2" t="s">
        <v>260</v>
      </c>
      <c r="F2841" s="2" t="s">
        <v>7945</v>
      </c>
      <c r="G2841" s="6">
        <v>46174</v>
      </c>
      <c r="H2841" s="2" t="s">
        <v>71</v>
      </c>
      <c r="I2841" s="2" t="s">
        <v>76</v>
      </c>
      <c r="J2841" s="9">
        <v>110823456</v>
      </c>
      <c r="K2841" s="7">
        <v>6.2000000000000003E-5</v>
      </c>
      <c r="L2841" s="9">
        <v>6871.05</v>
      </c>
      <c r="M2841" s="9">
        <v>6926.47</v>
      </c>
      <c r="N2841" s="9">
        <v>3.78</v>
      </c>
      <c r="O2841" s="10">
        <f>IF(AND(OR(H2841="APPROVED",H2841="SCHEDULED"),COUNTIFS(tblSource[EventID],F2841,tblSource[ReleaseStatus],"APPROVED")=1,COUNTIFS(Period_Status!$A$2:$A$8,G2841,Period_Status!$B$2:$B$8,"ActualClosed")=1,C2841&gt;EOMONTH(Settlement_Bridge!$C$2,0)),1,0)</f>
        <v>0</v>
      </c>
      <c r="P2841" s="2" t="s">
        <v>7948</v>
      </c>
    </row>
    <row r="2842" spans="1:16" x14ac:dyDescent="0.25">
      <c r="A2842" s="2" t="s">
        <v>7949</v>
      </c>
      <c r="B2842" s="2" t="s">
        <v>7433</v>
      </c>
      <c r="C2842" s="8">
        <v>46202</v>
      </c>
      <c r="D2842" s="6">
        <v>46174</v>
      </c>
      <c r="E2842" s="2" t="s">
        <v>260</v>
      </c>
      <c r="F2842" s="2" t="s">
        <v>7950</v>
      </c>
      <c r="G2842" s="6">
        <v>46174</v>
      </c>
      <c r="H2842" s="2" t="s">
        <v>71</v>
      </c>
      <c r="I2842" s="2" t="s">
        <v>70</v>
      </c>
      <c r="J2842" s="9">
        <v>7110.333834</v>
      </c>
      <c r="K2842" s="7">
        <v>0.66500000000000004</v>
      </c>
      <c r="L2842" s="9">
        <v>4728.37</v>
      </c>
      <c r="M2842" s="9">
        <v>4728.37</v>
      </c>
      <c r="N2842" s="9">
        <v>2.6</v>
      </c>
      <c r="O2842" s="10">
        <f>IF(AND(OR(H2842="APPROVED",H2842="SCHEDULED"),COUNTIFS(tblSource[EventID],F2842,tblSource[ReleaseStatus],"APPROVED")=1,COUNTIFS(Period_Status!$A$2:$A$8,G2842,Period_Status!$B$2:$B$8,"ActualClosed")=1,C2842&gt;EOMONTH(Settlement_Bridge!$C$2,0)),1,0)</f>
        <v>0</v>
      </c>
      <c r="P2842" s="2" t="s">
        <v>7951</v>
      </c>
    </row>
    <row r="2843" spans="1:16" x14ac:dyDescent="0.25">
      <c r="A2843" s="2" t="s">
        <v>7952</v>
      </c>
      <c r="B2843" s="2" t="s">
        <v>7433</v>
      </c>
      <c r="C2843" s="8">
        <v>46227</v>
      </c>
      <c r="D2843" s="6">
        <v>46204</v>
      </c>
      <c r="E2843" s="2" t="s">
        <v>260</v>
      </c>
      <c r="F2843" s="2" t="s">
        <v>7950</v>
      </c>
      <c r="G2843" s="6">
        <v>46174</v>
      </c>
      <c r="H2843" s="2" t="s">
        <v>71</v>
      </c>
      <c r="I2843" s="2" t="s">
        <v>70</v>
      </c>
      <c r="J2843" s="9">
        <v>10665.500752</v>
      </c>
      <c r="K2843" s="7">
        <v>0.65800000000000003</v>
      </c>
      <c r="L2843" s="9">
        <v>7017.9</v>
      </c>
      <c r="M2843" s="9">
        <v>7092.56</v>
      </c>
      <c r="N2843" s="9">
        <v>3.86</v>
      </c>
      <c r="O2843" s="10">
        <f>IF(AND(OR(H2843="APPROVED",H2843="SCHEDULED"),COUNTIFS(tblSource[EventID],F2843,tblSource[ReleaseStatus],"APPROVED")=1,COUNTIFS(Period_Status!$A$2:$A$8,G2843,Period_Status!$B$2:$B$8,"ActualClosed")=1,C2843&gt;EOMONTH(Settlement_Bridge!$C$2,0)),1,0)</f>
        <v>0</v>
      </c>
      <c r="P2843" s="2" t="s">
        <v>7953</v>
      </c>
    </row>
    <row r="2844" spans="1:16" x14ac:dyDescent="0.25">
      <c r="A2844" s="2" t="s">
        <v>7954</v>
      </c>
      <c r="B2844" s="2" t="s">
        <v>7433</v>
      </c>
      <c r="C2844" s="8">
        <v>46203</v>
      </c>
      <c r="D2844" s="6">
        <v>46174</v>
      </c>
      <c r="E2844" s="2" t="s">
        <v>260</v>
      </c>
      <c r="F2844" s="2" t="s">
        <v>7955</v>
      </c>
      <c r="G2844" s="6">
        <v>46174</v>
      </c>
      <c r="H2844" s="2" t="s">
        <v>71</v>
      </c>
      <c r="I2844" s="2" t="s">
        <v>39</v>
      </c>
      <c r="J2844" s="9">
        <v>4839.0959999999995</v>
      </c>
      <c r="K2844" s="7">
        <v>1</v>
      </c>
      <c r="L2844" s="9">
        <v>4839.1000000000004</v>
      </c>
      <c r="M2844" s="9">
        <v>4839.1000000000004</v>
      </c>
      <c r="N2844" s="9">
        <v>2.66</v>
      </c>
      <c r="O2844" s="10">
        <f>IF(AND(OR(H2844="APPROVED",H2844="SCHEDULED"),COUNTIFS(tblSource[EventID],F2844,tblSource[ReleaseStatus],"APPROVED")=1,COUNTIFS(Period_Status!$A$2:$A$8,G2844,Period_Status!$B$2:$B$8,"ActualClosed")=1,C2844&gt;EOMONTH(Settlement_Bridge!$C$2,0)),1,0)</f>
        <v>0</v>
      </c>
      <c r="P2844" s="2" t="s">
        <v>7956</v>
      </c>
    </row>
    <row r="2845" spans="1:16" x14ac:dyDescent="0.25">
      <c r="A2845" s="2" t="s">
        <v>7957</v>
      </c>
      <c r="B2845" s="2" t="s">
        <v>7433</v>
      </c>
      <c r="C2845" s="8">
        <v>46228</v>
      </c>
      <c r="D2845" s="6">
        <v>46204</v>
      </c>
      <c r="E2845" s="2" t="s">
        <v>260</v>
      </c>
      <c r="F2845" s="2" t="s">
        <v>7955</v>
      </c>
      <c r="G2845" s="6">
        <v>46174</v>
      </c>
      <c r="H2845" s="2" t="s">
        <v>71</v>
      </c>
      <c r="I2845" s="2" t="s">
        <v>39</v>
      </c>
      <c r="J2845" s="9">
        <v>7258.6440000000002</v>
      </c>
      <c r="K2845" s="7">
        <v>1</v>
      </c>
      <c r="L2845" s="9">
        <v>7258.64</v>
      </c>
      <c r="M2845" s="9">
        <v>7258.64</v>
      </c>
      <c r="N2845" s="9">
        <v>3.99</v>
      </c>
      <c r="O2845" s="10">
        <f>IF(AND(OR(H2845="APPROVED",H2845="SCHEDULED"),COUNTIFS(tblSource[EventID],F2845,tblSource[ReleaseStatus],"APPROVED")=1,COUNTIFS(Period_Status!$A$2:$A$8,G2845,Period_Status!$B$2:$B$8,"ActualClosed")=1,C2845&gt;EOMONTH(Settlement_Bridge!$C$2,0)),1,0)</f>
        <v>0</v>
      </c>
      <c r="P2845" s="2" t="s">
        <v>7958</v>
      </c>
    </row>
    <row r="2846" spans="1:16" x14ac:dyDescent="0.25">
      <c r="A2846" s="2" t="s">
        <v>7959</v>
      </c>
      <c r="B2846" s="2" t="s">
        <v>7433</v>
      </c>
      <c r="C2846" s="8">
        <v>46204</v>
      </c>
      <c r="D2846" s="6">
        <v>46204</v>
      </c>
      <c r="E2846" s="2" t="s">
        <v>260</v>
      </c>
      <c r="F2846" s="2" t="s">
        <v>7960</v>
      </c>
      <c r="G2846" s="6">
        <v>46174</v>
      </c>
      <c r="H2846" s="2" t="s">
        <v>71</v>
      </c>
      <c r="I2846" s="2" t="s">
        <v>76</v>
      </c>
      <c r="J2846" s="9">
        <v>79197184</v>
      </c>
      <c r="K2846" s="7">
        <v>6.2000000000000003E-5</v>
      </c>
      <c r="L2846" s="9">
        <v>4910.2299999999996</v>
      </c>
      <c r="M2846" s="9">
        <v>4949.82</v>
      </c>
      <c r="N2846" s="9">
        <v>2.7</v>
      </c>
      <c r="O2846" s="10">
        <f>IF(AND(OR(H2846="APPROVED",H2846="SCHEDULED"),COUNTIFS(tblSource[EventID],F2846,tblSource[ReleaseStatus],"APPROVED")=1,COUNTIFS(Period_Status!$A$2:$A$8,G2846,Period_Status!$B$2:$B$8,"ActualClosed")=1,C2846&gt;EOMONTH(Settlement_Bridge!$C$2,0)),1,0)</f>
        <v>0</v>
      </c>
      <c r="P2846" s="2" t="s">
        <v>7961</v>
      </c>
    </row>
    <row r="2847" spans="1:16" x14ac:dyDescent="0.25">
      <c r="A2847" s="2" t="s">
        <v>7962</v>
      </c>
      <c r="B2847" s="2" t="s">
        <v>7433</v>
      </c>
      <c r="C2847" s="8">
        <v>46229</v>
      </c>
      <c r="D2847" s="6">
        <v>46204</v>
      </c>
      <c r="E2847" s="2" t="s">
        <v>260</v>
      </c>
      <c r="F2847" s="2" t="s">
        <v>7960</v>
      </c>
      <c r="G2847" s="6">
        <v>46174</v>
      </c>
      <c r="H2847" s="2" t="s">
        <v>71</v>
      </c>
      <c r="I2847" s="2" t="s">
        <v>76</v>
      </c>
      <c r="J2847" s="9">
        <v>118795776</v>
      </c>
      <c r="K2847" s="7">
        <v>6.2000000000000003E-5</v>
      </c>
      <c r="L2847" s="9">
        <v>7365.34</v>
      </c>
      <c r="M2847" s="9">
        <v>7424.74</v>
      </c>
      <c r="N2847" s="9">
        <v>4.05</v>
      </c>
      <c r="O2847" s="10">
        <f>IF(AND(OR(H2847="APPROVED",H2847="SCHEDULED"),COUNTIFS(tblSource[EventID],F2847,tblSource[ReleaseStatus],"APPROVED")=1,COUNTIFS(Period_Status!$A$2:$A$8,G2847,Period_Status!$B$2:$B$8,"ActualClosed")=1,C2847&gt;EOMONTH(Settlement_Bridge!$C$2,0)),1,0)</f>
        <v>0</v>
      </c>
      <c r="P2847" s="2" t="s">
        <v>7963</v>
      </c>
    </row>
    <row r="2848" spans="1:16" x14ac:dyDescent="0.25">
      <c r="A2848" s="2" t="s">
        <v>7964</v>
      </c>
      <c r="B2848" s="2" t="s">
        <v>7433</v>
      </c>
      <c r="C2848" s="8">
        <v>46205</v>
      </c>
      <c r="D2848" s="6">
        <v>46204</v>
      </c>
      <c r="E2848" s="2" t="s">
        <v>260</v>
      </c>
      <c r="F2848" s="2" t="s">
        <v>7965</v>
      </c>
      <c r="G2848" s="6">
        <v>46174</v>
      </c>
      <c r="H2848" s="2" t="s">
        <v>71</v>
      </c>
      <c r="I2848" s="2" t="s">
        <v>70</v>
      </c>
      <c r="J2848" s="9">
        <v>7609.8526320000001</v>
      </c>
      <c r="K2848" s="7">
        <v>0.65800000000000003</v>
      </c>
      <c r="L2848" s="9">
        <v>5007.28</v>
      </c>
      <c r="M2848" s="9">
        <v>5060.55</v>
      </c>
      <c r="N2848" s="9">
        <v>2.75</v>
      </c>
      <c r="O2848" s="10">
        <f>IF(AND(OR(H2848="APPROVED",H2848="SCHEDULED"),COUNTIFS(tblSource[EventID],F2848,tblSource[ReleaseStatus],"APPROVED")=1,COUNTIFS(Period_Status!$A$2:$A$8,G2848,Period_Status!$B$2:$B$8,"ActualClosed")=1,C2848&gt;EOMONTH(Settlement_Bridge!$C$2,0)),1,0)</f>
        <v>0</v>
      </c>
      <c r="P2848" s="2" t="s">
        <v>7966</v>
      </c>
    </row>
    <row r="2849" spans="1:16" x14ac:dyDescent="0.25">
      <c r="A2849" s="2" t="s">
        <v>7967</v>
      </c>
      <c r="B2849" s="2" t="s">
        <v>7433</v>
      </c>
      <c r="C2849" s="8">
        <v>46230</v>
      </c>
      <c r="D2849" s="6">
        <v>46204</v>
      </c>
      <c r="E2849" s="2" t="s">
        <v>260</v>
      </c>
      <c r="F2849" s="2" t="s">
        <v>7965</v>
      </c>
      <c r="G2849" s="6">
        <v>46174</v>
      </c>
      <c r="H2849" s="2" t="s">
        <v>71</v>
      </c>
      <c r="I2849" s="2" t="s">
        <v>70</v>
      </c>
      <c r="J2849" s="9">
        <v>11414.778947000001</v>
      </c>
      <c r="K2849" s="7">
        <v>0.65800000000000003</v>
      </c>
      <c r="L2849" s="9">
        <v>7510.92</v>
      </c>
      <c r="M2849" s="9">
        <v>7590.83</v>
      </c>
      <c r="N2849" s="9">
        <v>4.13</v>
      </c>
      <c r="O2849" s="10">
        <f>IF(AND(OR(H2849="APPROVED",H2849="SCHEDULED"),COUNTIFS(tblSource[EventID],F2849,tblSource[ReleaseStatus],"APPROVED")=1,COUNTIFS(Period_Status!$A$2:$A$8,G2849,Period_Status!$B$2:$B$8,"ActualClosed")=1,C2849&gt;EOMONTH(Settlement_Bridge!$C$2,0)),1,0)</f>
        <v>0</v>
      </c>
      <c r="P2849" s="2" t="s">
        <v>7968</v>
      </c>
    </row>
    <row r="2850" spans="1:16" x14ac:dyDescent="0.25">
      <c r="A2850" s="2" t="s">
        <v>7969</v>
      </c>
      <c r="B2850" s="2" t="s">
        <v>7433</v>
      </c>
      <c r="C2850" s="8">
        <v>46206</v>
      </c>
      <c r="D2850" s="6">
        <v>46204</v>
      </c>
      <c r="E2850" s="2" t="s">
        <v>260</v>
      </c>
      <c r="F2850" s="2" t="s">
        <v>7970</v>
      </c>
      <c r="G2850" s="6">
        <v>46174</v>
      </c>
      <c r="H2850" s="2" t="s">
        <v>71</v>
      </c>
      <c r="I2850" s="2" t="s">
        <v>39</v>
      </c>
      <c r="J2850" s="9">
        <v>5171.2759999999998</v>
      </c>
      <c r="K2850" s="7">
        <v>1</v>
      </c>
      <c r="L2850" s="9">
        <v>5171.28</v>
      </c>
      <c r="M2850" s="9">
        <v>5171.28</v>
      </c>
      <c r="N2850" s="9">
        <v>2.84</v>
      </c>
      <c r="O2850" s="10">
        <f>IF(AND(OR(H2850="APPROVED",H2850="SCHEDULED"),COUNTIFS(tblSource[EventID],F2850,tblSource[ReleaseStatus],"APPROVED")=1,COUNTIFS(Period_Status!$A$2:$A$8,G2850,Period_Status!$B$2:$B$8,"ActualClosed")=1,C2850&gt;EOMONTH(Settlement_Bridge!$C$2,0)),1,0)</f>
        <v>0</v>
      </c>
      <c r="P2850" s="2" t="s">
        <v>7971</v>
      </c>
    </row>
    <row r="2851" spans="1:16" x14ac:dyDescent="0.25">
      <c r="A2851" s="2" t="s">
        <v>7972</v>
      </c>
      <c r="B2851" s="2" t="s">
        <v>7433</v>
      </c>
      <c r="C2851" s="8">
        <v>46231</v>
      </c>
      <c r="D2851" s="6">
        <v>46204</v>
      </c>
      <c r="E2851" s="2" t="s">
        <v>260</v>
      </c>
      <c r="F2851" s="2" t="s">
        <v>7970</v>
      </c>
      <c r="G2851" s="6">
        <v>46174</v>
      </c>
      <c r="H2851" s="2" t="s">
        <v>71</v>
      </c>
      <c r="I2851" s="2" t="s">
        <v>39</v>
      </c>
      <c r="J2851" s="9">
        <v>7756.9139999999998</v>
      </c>
      <c r="K2851" s="7">
        <v>1</v>
      </c>
      <c r="L2851" s="9">
        <v>7756.91</v>
      </c>
      <c r="M2851" s="9">
        <v>7756.91</v>
      </c>
      <c r="N2851" s="9">
        <v>4.2699999999999996</v>
      </c>
      <c r="O2851" s="10">
        <f>IF(AND(OR(H2851="APPROVED",H2851="SCHEDULED"),COUNTIFS(tblSource[EventID],F2851,tblSource[ReleaseStatus],"APPROVED")=1,COUNTIFS(Period_Status!$A$2:$A$8,G2851,Period_Status!$B$2:$B$8,"ActualClosed")=1,C2851&gt;EOMONTH(Settlement_Bridge!$C$2,0)),1,0)</f>
        <v>0</v>
      </c>
      <c r="P2851" s="2" t="s">
        <v>7973</v>
      </c>
    </row>
    <row r="2852" spans="1:16" x14ac:dyDescent="0.25">
      <c r="A2852" s="2" t="s">
        <v>7974</v>
      </c>
      <c r="B2852" s="2" t="s">
        <v>7433</v>
      </c>
      <c r="C2852" s="8">
        <v>46207</v>
      </c>
      <c r="D2852" s="6">
        <v>46204</v>
      </c>
      <c r="E2852" s="2" t="s">
        <v>260</v>
      </c>
      <c r="F2852" s="2" t="s">
        <v>7975</v>
      </c>
      <c r="G2852" s="6">
        <v>46174</v>
      </c>
      <c r="H2852" s="2" t="s">
        <v>71</v>
      </c>
      <c r="I2852" s="2" t="s">
        <v>76</v>
      </c>
      <c r="J2852" s="9">
        <v>84512064</v>
      </c>
      <c r="K2852" s="7">
        <v>6.2000000000000003E-5</v>
      </c>
      <c r="L2852" s="9">
        <v>5239.75</v>
      </c>
      <c r="M2852" s="9">
        <v>5282</v>
      </c>
      <c r="N2852" s="9">
        <v>2.88</v>
      </c>
      <c r="O2852" s="10">
        <f>IF(AND(OR(H2852="APPROVED",H2852="SCHEDULED"),COUNTIFS(tblSource[EventID],F2852,tblSource[ReleaseStatus],"APPROVED")=1,COUNTIFS(Period_Status!$A$2:$A$8,G2852,Period_Status!$B$2:$B$8,"ActualClosed")=1,C2852&gt;EOMONTH(Settlement_Bridge!$C$2,0)),1,0)</f>
        <v>0</v>
      </c>
      <c r="P2852" s="2" t="s">
        <v>7976</v>
      </c>
    </row>
    <row r="2853" spans="1:16" x14ac:dyDescent="0.25">
      <c r="A2853" s="2" t="s">
        <v>7977</v>
      </c>
      <c r="B2853" s="2" t="s">
        <v>7433</v>
      </c>
      <c r="C2853" s="8">
        <v>46232</v>
      </c>
      <c r="D2853" s="6">
        <v>46204</v>
      </c>
      <c r="E2853" s="2" t="s">
        <v>260</v>
      </c>
      <c r="F2853" s="2" t="s">
        <v>7975</v>
      </c>
      <c r="G2853" s="6">
        <v>46174</v>
      </c>
      <c r="H2853" s="2" t="s">
        <v>71</v>
      </c>
      <c r="I2853" s="2" t="s">
        <v>76</v>
      </c>
      <c r="J2853" s="9">
        <v>126768096</v>
      </c>
      <c r="K2853" s="7">
        <v>6.2000000000000003E-5</v>
      </c>
      <c r="L2853" s="9">
        <v>7859.62</v>
      </c>
      <c r="M2853" s="9">
        <v>7923.01</v>
      </c>
      <c r="N2853" s="9">
        <v>4.32</v>
      </c>
      <c r="O2853" s="10">
        <f>IF(AND(OR(H2853="APPROVED",H2853="SCHEDULED"),COUNTIFS(tblSource[EventID],F2853,tblSource[ReleaseStatus],"APPROVED")=1,COUNTIFS(Period_Status!$A$2:$A$8,G2853,Period_Status!$B$2:$B$8,"ActualClosed")=1,C2853&gt;EOMONTH(Settlement_Bridge!$C$2,0)),1,0)</f>
        <v>0</v>
      </c>
      <c r="P2853" s="2" t="s">
        <v>7978</v>
      </c>
    </row>
    <row r="2854" spans="1:16" x14ac:dyDescent="0.25">
      <c r="A2854" s="2" t="s">
        <v>7979</v>
      </c>
      <c r="B2854" s="2" t="s">
        <v>7433</v>
      </c>
      <c r="C2854" s="8">
        <v>46208</v>
      </c>
      <c r="D2854" s="6">
        <v>46204</v>
      </c>
      <c r="E2854" s="2" t="s">
        <v>260</v>
      </c>
      <c r="F2854" s="2" t="s">
        <v>7980</v>
      </c>
      <c r="G2854" s="6">
        <v>46174</v>
      </c>
      <c r="H2854" s="2" t="s">
        <v>71</v>
      </c>
      <c r="I2854" s="2" t="s">
        <v>70</v>
      </c>
      <c r="J2854" s="9">
        <v>8109.3654139999999</v>
      </c>
      <c r="K2854" s="7">
        <v>0.65800000000000003</v>
      </c>
      <c r="L2854" s="9">
        <v>5335.96</v>
      </c>
      <c r="M2854" s="9">
        <v>5392.73</v>
      </c>
      <c r="N2854" s="9">
        <v>2.93</v>
      </c>
      <c r="O2854" s="10">
        <f>IF(AND(OR(H2854="APPROVED",H2854="SCHEDULED"),COUNTIFS(tblSource[EventID],F2854,tblSource[ReleaseStatus],"APPROVED")=1,COUNTIFS(Period_Status!$A$2:$A$8,G2854,Period_Status!$B$2:$B$8,"ActualClosed")=1,C2854&gt;EOMONTH(Settlement_Bridge!$C$2,0)),1,0)</f>
        <v>0</v>
      </c>
      <c r="P2854" s="2" t="s">
        <v>7981</v>
      </c>
    </row>
    <row r="2855" spans="1:16" x14ac:dyDescent="0.25">
      <c r="A2855" s="2" t="s">
        <v>7982</v>
      </c>
      <c r="B2855" s="2" t="s">
        <v>7433</v>
      </c>
      <c r="C2855" s="8">
        <v>46233</v>
      </c>
      <c r="D2855" s="6">
        <v>46204</v>
      </c>
      <c r="E2855" s="2" t="s">
        <v>260</v>
      </c>
      <c r="F2855" s="2" t="s">
        <v>7980</v>
      </c>
      <c r="G2855" s="6">
        <v>46174</v>
      </c>
      <c r="H2855" s="2" t="s">
        <v>71</v>
      </c>
      <c r="I2855" s="2" t="s">
        <v>70</v>
      </c>
      <c r="J2855" s="9">
        <v>12164.048119999999</v>
      </c>
      <c r="K2855" s="7">
        <v>0.65800000000000003</v>
      </c>
      <c r="L2855" s="9">
        <v>8003.94</v>
      </c>
      <c r="M2855" s="9">
        <v>8089.09</v>
      </c>
      <c r="N2855" s="9">
        <v>4.4000000000000004</v>
      </c>
      <c r="O2855" s="10">
        <f>IF(AND(OR(H2855="APPROVED",H2855="SCHEDULED"),COUNTIFS(tblSource[EventID],F2855,tblSource[ReleaseStatus],"APPROVED")=1,COUNTIFS(Period_Status!$A$2:$A$8,G2855,Period_Status!$B$2:$B$8,"ActualClosed")=1,C2855&gt;EOMONTH(Settlement_Bridge!$C$2,0)),1,0)</f>
        <v>0</v>
      </c>
      <c r="P2855" s="2" t="s">
        <v>7983</v>
      </c>
    </row>
    <row r="2856" spans="1:16" x14ac:dyDescent="0.25">
      <c r="A2856" s="2" t="s">
        <v>7984</v>
      </c>
      <c r="B2856" s="2" t="s">
        <v>7433</v>
      </c>
      <c r="C2856" s="8">
        <v>46209</v>
      </c>
      <c r="D2856" s="6">
        <v>46204</v>
      </c>
      <c r="E2856" s="2" t="s">
        <v>260</v>
      </c>
      <c r="F2856" s="2" t="s">
        <v>7985</v>
      </c>
      <c r="G2856" s="6">
        <v>46174</v>
      </c>
      <c r="H2856" s="2" t="s">
        <v>71</v>
      </c>
      <c r="I2856" s="2" t="s">
        <v>39</v>
      </c>
      <c r="J2856" s="9">
        <v>5503.4560000000001</v>
      </c>
      <c r="K2856" s="7">
        <v>1</v>
      </c>
      <c r="L2856" s="9">
        <v>5503.46</v>
      </c>
      <c r="M2856" s="9">
        <v>5503.46</v>
      </c>
      <c r="N2856" s="9">
        <v>3.03</v>
      </c>
      <c r="O2856" s="10">
        <f>IF(AND(OR(H2856="APPROVED",H2856="SCHEDULED"),COUNTIFS(tblSource[EventID],F2856,tblSource[ReleaseStatus],"APPROVED")=1,COUNTIFS(Period_Status!$A$2:$A$8,G2856,Period_Status!$B$2:$B$8,"ActualClosed")=1,C2856&gt;EOMONTH(Settlement_Bridge!$C$2,0)),1,0)</f>
        <v>0</v>
      </c>
      <c r="P2856" s="2" t="s">
        <v>7986</v>
      </c>
    </row>
    <row r="2857" spans="1:16" x14ac:dyDescent="0.25">
      <c r="A2857" s="2" t="s">
        <v>7987</v>
      </c>
      <c r="B2857" s="2" t="s">
        <v>7433</v>
      </c>
      <c r="C2857" s="8">
        <v>46234</v>
      </c>
      <c r="D2857" s="6">
        <v>46204</v>
      </c>
      <c r="E2857" s="2" t="s">
        <v>260</v>
      </c>
      <c r="F2857" s="2" t="s">
        <v>7985</v>
      </c>
      <c r="G2857" s="6">
        <v>46174</v>
      </c>
      <c r="H2857" s="2" t="s">
        <v>71</v>
      </c>
      <c r="I2857" s="2" t="s">
        <v>39</v>
      </c>
      <c r="J2857" s="9">
        <v>8255.1839999999993</v>
      </c>
      <c r="K2857" s="7">
        <v>1</v>
      </c>
      <c r="L2857" s="9">
        <v>8255.18</v>
      </c>
      <c r="M2857" s="9">
        <v>8255.18</v>
      </c>
      <c r="N2857" s="9">
        <v>4.54</v>
      </c>
      <c r="O2857" s="10">
        <f>IF(AND(OR(H2857="APPROVED",H2857="SCHEDULED"),COUNTIFS(tblSource[EventID],F2857,tblSource[ReleaseStatus],"APPROVED")=1,COUNTIFS(Period_Status!$A$2:$A$8,G2857,Period_Status!$B$2:$B$8,"ActualClosed")=1,C2857&gt;EOMONTH(Settlement_Bridge!$C$2,0)),1,0)</f>
        <v>0</v>
      </c>
      <c r="P2857" s="2" t="s">
        <v>7988</v>
      </c>
    </row>
    <row r="2858" spans="1:16" x14ac:dyDescent="0.25">
      <c r="A2858" s="2" t="s">
        <v>7989</v>
      </c>
      <c r="B2858" s="2" t="s">
        <v>7433</v>
      </c>
      <c r="C2858" s="8">
        <v>46210</v>
      </c>
      <c r="D2858" s="6">
        <v>46204</v>
      </c>
      <c r="E2858" s="2" t="s">
        <v>260</v>
      </c>
      <c r="F2858" s="2" t="s">
        <v>7990</v>
      </c>
      <c r="G2858" s="6">
        <v>46174</v>
      </c>
      <c r="H2858" s="2" t="s">
        <v>71</v>
      </c>
      <c r="I2858" s="2" t="s">
        <v>76</v>
      </c>
      <c r="J2858" s="9">
        <v>89826944</v>
      </c>
      <c r="K2858" s="7">
        <v>6.2000000000000003E-5</v>
      </c>
      <c r="L2858" s="9">
        <v>5569.27</v>
      </c>
      <c r="M2858" s="9">
        <v>5614.18</v>
      </c>
      <c r="N2858" s="9">
        <v>3.06</v>
      </c>
      <c r="O2858" s="10">
        <f>IF(AND(OR(H2858="APPROVED",H2858="SCHEDULED"),COUNTIFS(tblSource[EventID],F2858,tblSource[ReleaseStatus],"APPROVED")=1,COUNTIFS(Period_Status!$A$2:$A$8,G2858,Period_Status!$B$2:$B$8,"ActualClosed")=1,C2858&gt;EOMONTH(Settlement_Bridge!$C$2,0)),1,0)</f>
        <v>0</v>
      </c>
      <c r="P2858" s="2" t="s">
        <v>7991</v>
      </c>
    </row>
    <row r="2859" spans="1:16" x14ac:dyDescent="0.25">
      <c r="A2859" s="2" t="s">
        <v>7992</v>
      </c>
      <c r="B2859" s="2" t="s">
        <v>7433</v>
      </c>
      <c r="C2859" s="8">
        <v>46235</v>
      </c>
      <c r="D2859" s="6">
        <v>46235</v>
      </c>
      <c r="E2859" s="2" t="s">
        <v>260</v>
      </c>
      <c r="F2859" s="2" t="s">
        <v>7990</v>
      </c>
      <c r="G2859" s="6">
        <v>46174</v>
      </c>
      <c r="H2859" s="2" t="s">
        <v>71</v>
      </c>
      <c r="I2859" s="2" t="s">
        <v>76</v>
      </c>
      <c r="J2859" s="9">
        <v>134740416</v>
      </c>
      <c r="K2859" s="7">
        <v>6.1500000000000004E-5</v>
      </c>
      <c r="L2859" s="9">
        <v>8286.5400000000009</v>
      </c>
      <c r="M2859" s="9">
        <v>8421.2800000000007</v>
      </c>
      <c r="N2859" s="9">
        <v>4.5599999999999996</v>
      </c>
      <c r="O2859" s="10">
        <f>IF(AND(OR(H2859="APPROVED",H2859="SCHEDULED"),COUNTIFS(tblSource[EventID],F2859,tblSource[ReleaseStatus],"APPROVED")=1,COUNTIFS(Period_Status!$A$2:$A$8,G2859,Period_Status!$B$2:$B$8,"ActualClosed")=1,C2859&gt;EOMONTH(Settlement_Bridge!$C$2,0)),1,0)</f>
        <v>1</v>
      </c>
      <c r="P2859" s="2" t="s">
        <v>7993</v>
      </c>
    </row>
    <row r="2860" spans="1:16" x14ac:dyDescent="0.25">
      <c r="A2860" s="2" t="s">
        <v>7994</v>
      </c>
      <c r="B2860" s="2" t="s">
        <v>7433</v>
      </c>
      <c r="C2860" s="8">
        <v>46211</v>
      </c>
      <c r="D2860" s="6">
        <v>46204</v>
      </c>
      <c r="E2860" s="2" t="s">
        <v>260</v>
      </c>
      <c r="F2860" s="2" t="s">
        <v>7995</v>
      </c>
      <c r="G2860" s="6">
        <v>46174</v>
      </c>
      <c r="H2860" s="2" t="s">
        <v>71</v>
      </c>
      <c r="I2860" s="2" t="s">
        <v>70</v>
      </c>
      <c r="J2860" s="9">
        <v>8608.8842100000002</v>
      </c>
      <c r="K2860" s="7">
        <v>0.65800000000000003</v>
      </c>
      <c r="L2860" s="9">
        <v>5664.65</v>
      </c>
      <c r="M2860" s="9">
        <v>5724.91</v>
      </c>
      <c r="N2860" s="9">
        <v>3.12</v>
      </c>
      <c r="O2860" s="10">
        <f>IF(AND(OR(H2860="APPROVED",H2860="SCHEDULED"),COUNTIFS(tblSource[EventID],F2860,tblSource[ReleaseStatus],"APPROVED")=1,COUNTIFS(Period_Status!$A$2:$A$8,G2860,Period_Status!$B$2:$B$8,"ActualClosed")=1,C2860&gt;EOMONTH(Settlement_Bridge!$C$2,0)),1,0)</f>
        <v>0</v>
      </c>
      <c r="P2860" s="2" t="s">
        <v>7996</v>
      </c>
    </row>
    <row r="2861" spans="1:16" x14ac:dyDescent="0.25">
      <c r="A2861" s="2" t="s">
        <v>7997</v>
      </c>
      <c r="B2861" s="2" t="s">
        <v>7433</v>
      </c>
      <c r="C2861" s="8">
        <v>46236</v>
      </c>
      <c r="D2861" s="6">
        <v>46235</v>
      </c>
      <c r="E2861" s="2" t="s">
        <v>260</v>
      </c>
      <c r="F2861" s="2" t="s">
        <v>7995</v>
      </c>
      <c r="G2861" s="6">
        <v>46174</v>
      </c>
      <c r="H2861" s="2" t="s">
        <v>71</v>
      </c>
      <c r="I2861" s="2" t="s">
        <v>70</v>
      </c>
      <c r="J2861" s="9">
        <v>12913.326316000001</v>
      </c>
      <c r="K2861" s="7">
        <v>0.65</v>
      </c>
      <c r="L2861" s="9">
        <v>8393.66</v>
      </c>
      <c r="M2861" s="9">
        <v>8587.36</v>
      </c>
      <c r="N2861" s="9">
        <v>4.62</v>
      </c>
      <c r="O2861" s="10">
        <f>IF(AND(OR(H2861="APPROVED",H2861="SCHEDULED"),COUNTIFS(tblSource[EventID],F2861,tblSource[ReleaseStatus],"APPROVED")=1,COUNTIFS(Period_Status!$A$2:$A$8,G2861,Period_Status!$B$2:$B$8,"ActualClosed")=1,C2861&gt;EOMONTH(Settlement_Bridge!$C$2,0)),1,0)</f>
        <v>1</v>
      </c>
      <c r="P2861" s="2" t="s">
        <v>7998</v>
      </c>
    </row>
    <row r="2862" spans="1:16" x14ac:dyDescent="0.25">
      <c r="A2862" s="2" t="s">
        <v>7999</v>
      </c>
      <c r="B2862" s="2" t="s">
        <v>7433</v>
      </c>
      <c r="C2862" s="8">
        <v>46212</v>
      </c>
      <c r="D2862" s="6">
        <v>46204</v>
      </c>
      <c r="E2862" s="2" t="s">
        <v>260</v>
      </c>
      <c r="F2862" s="2" t="s">
        <v>8000</v>
      </c>
      <c r="G2862" s="6">
        <v>46174</v>
      </c>
      <c r="H2862" s="2" t="s">
        <v>71</v>
      </c>
      <c r="I2862" s="2" t="s">
        <v>39</v>
      </c>
      <c r="J2862" s="9">
        <v>5835.6360000000004</v>
      </c>
      <c r="K2862" s="7">
        <v>1</v>
      </c>
      <c r="L2862" s="9">
        <v>5835.64</v>
      </c>
      <c r="M2862" s="9">
        <v>5835.64</v>
      </c>
      <c r="N2862" s="9">
        <v>3.21</v>
      </c>
      <c r="O2862" s="10">
        <f>IF(AND(OR(H2862="APPROVED",H2862="SCHEDULED"),COUNTIFS(tblSource[EventID],F2862,tblSource[ReleaseStatus],"APPROVED")=1,COUNTIFS(Period_Status!$A$2:$A$8,G2862,Period_Status!$B$2:$B$8,"ActualClosed")=1,C2862&gt;EOMONTH(Settlement_Bridge!$C$2,0)),1,0)</f>
        <v>0</v>
      </c>
      <c r="P2862" s="2" t="s">
        <v>8001</v>
      </c>
    </row>
    <row r="2863" spans="1:16" x14ac:dyDescent="0.25">
      <c r="A2863" s="2" t="s">
        <v>8002</v>
      </c>
      <c r="B2863" s="2" t="s">
        <v>7433</v>
      </c>
      <c r="C2863" s="8">
        <v>46237</v>
      </c>
      <c r="D2863" s="6">
        <v>46235</v>
      </c>
      <c r="E2863" s="2" t="s">
        <v>260</v>
      </c>
      <c r="F2863" s="2" t="s">
        <v>8000</v>
      </c>
      <c r="G2863" s="6">
        <v>46174</v>
      </c>
      <c r="H2863" s="2" t="s">
        <v>71</v>
      </c>
      <c r="I2863" s="2" t="s">
        <v>39</v>
      </c>
      <c r="J2863" s="9">
        <v>8753.4539999999997</v>
      </c>
      <c r="K2863" s="7">
        <v>1</v>
      </c>
      <c r="L2863" s="9">
        <v>8753.4500000000007</v>
      </c>
      <c r="M2863" s="9">
        <v>8753.4500000000007</v>
      </c>
      <c r="N2863" s="9">
        <v>4.8099999999999996</v>
      </c>
      <c r="O2863" s="10">
        <f>IF(AND(OR(H2863="APPROVED",H2863="SCHEDULED"),COUNTIFS(tblSource[EventID],F2863,tblSource[ReleaseStatus],"APPROVED")=1,COUNTIFS(Period_Status!$A$2:$A$8,G2863,Period_Status!$B$2:$B$8,"ActualClosed")=1,C2863&gt;EOMONTH(Settlement_Bridge!$C$2,0)),1,0)</f>
        <v>1</v>
      </c>
      <c r="P2863" s="2" t="s">
        <v>8003</v>
      </c>
    </row>
    <row r="2864" spans="1:16" x14ac:dyDescent="0.25">
      <c r="A2864" s="2" t="s">
        <v>8004</v>
      </c>
      <c r="B2864" s="2" t="s">
        <v>7433</v>
      </c>
      <c r="C2864" s="8">
        <v>46213</v>
      </c>
      <c r="D2864" s="6">
        <v>46204</v>
      </c>
      <c r="E2864" s="2" t="s">
        <v>260</v>
      </c>
      <c r="F2864" s="2" t="s">
        <v>8005</v>
      </c>
      <c r="G2864" s="6">
        <v>46174</v>
      </c>
      <c r="H2864" s="2" t="s">
        <v>71</v>
      </c>
      <c r="I2864" s="2" t="s">
        <v>76</v>
      </c>
      <c r="J2864" s="9">
        <v>95141760</v>
      </c>
      <c r="K2864" s="7">
        <v>6.2000000000000003E-5</v>
      </c>
      <c r="L2864" s="9">
        <v>5898.79</v>
      </c>
      <c r="M2864" s="9">
        <v>5946.36</v>
      </c>
      <c r="N2864" s="9">
        <v>3.24</v>
      </c>
      <c r="O2864" s="10">
        <f>IF(AND(OR(H2864="APPROVED",H2864="SCHEDULED"),COUNTIFS(tblSource[EventID],F2864,tblSource[ReleaseStatus],"APPROVED")=1,COUNTIFS(Period_Status!$A$2:$A$8,G2864,Period_Status!$B$2:$B$8,"ActualClosed")=1,C2864&gt;EOMONTH(Settlement_Bridge!$C$2,0)),1,0)</f>
        <v>0</v>
      </c>
      <c r="P2864" s="2" t="s">
        <v>8006</v>
      </c>
    </row>
    <row r="2865" spans="1:16" x14ac:dyDescent="0.25">
      <c r="A2865" s="2" t="s">
        <v>8007</v>
      </c>
      <c r="B2865" s="2" t="s">
        <v>7433</v>
      </c>
      <c r="C2865" s="8">
        <v>46238</v>
      </c>
      <c r="D2865" s="6">
        <v>46235</v>
      </c>
      <c r="E2865" s="2" t="s">
        <v>260</v>
      </c>
      <c r="F2865" s="2" t="s">
        <v>8005</v>
      </c>
      <c r="G2865" s="6">
        <v>46174</v>
      </c>
      <c r="H2865" s="2" t="s">
        <v>71</v>
      </c>
      <c r="I2865" s="2" t="s">
        <v>76</v>
      </c>
      <c r="J2865" s="9">
        <v>142712640</v>
      </c>
      <c r="K2865" s="7">
        <v>6.1500000000000004E-5</v>
      </c>
      <c r="L2865" s="9">
        <v>8776.83</v>
      </c>
      <c r="M2865" s="9">
        <v>8919.5400000000009</v>
      </c>
      <c r="N2865" s="9">
        <v>4.83</v>
      </c>
      <c r="O2865" s="10">
        <f>IF(AND(OR(H2865="APPROVED",H2865="SCHEDULED"),COUNTIFS(tblSource[EventID],F2865,tblSource[ReleaseStatus],"APPROVED")=1,COUNTIFS(Period_Status!$A$2:$A$8,G2865,Period_Status!$B$2:$B$8,"ActualClosed")=1,C2865&gt;EOMONTH(Settlement_Bridge!$C$2,0)),1,0)</f>
        <v>1</v>
      </c>
      <c r="P2865" s="2" t="s">
        <v>8008</v>
      </c>
    </row>
    <row r="2866" spans="1:16" x14ac:dyDescent="0.25">
      <c r="A2866" s="2" t="s">
        <v>8009</v>
      </c>
      <c r="B2866" s="2" t="s">
        <v>7433</v>
      </c>
      <c r="C2866" s="8">
        <v>46214</v>
      </c>
      <c r="D2866" s="6">
        <v>46204</v>
      </c>
      <c r="E2866" s="2" t="s">
        <v>260</v>
      </c>
      <c r="F2866" s="2" t="s">
        <v>8010</v>
      </c>
      <c r="G2866" s="6">
        <v>46174</v>
      </c>
      <c r="H2866" s="2" t="s">
        <v>71</v>
      </c>
      <c r="I2866" s="2" t="s">
        <v>70</v>
      </c>
      <c r="J2866" s="9">
        <v>9108.4030079999993</v>
      </c>
      <c r="K2866" s="7">
        <v>0.65800000000000003</v>
      </c>
      <c r="L2866" s="9">
        <v>5993.33</v>
      </c>
      <c r="M2866" s="9">
        <v>6057.09</v>
      </c>
      <c r="N2866" s="9">
        <v>3.3</v>
      </c>
      <c r="O2866" s="10">
        <f>IF(AND(OR(H2866="APPROVED",H2866="SCHEDULED"),COUNTIFS(tblSource[EventID],F2866,tblSource[ReleaseStatus],"APPROVED")=1,COUNTIFS(Period_Status!$A$2:$A$8,G2866,Period_Status!$B$2:$B$8,"ActualClosed")=1,C2866&gt;EOMONTH(Settlement_Bridge!$C$2,0)),1,0)</f>
        <v>0</v>
      </c>
      <c r="P2866" s="2" t="s">
        <v>8011</v>
      </c>
    </row>
    <row r="2867" spans="1:16" x14ac:dyDescent="0.25">
      <c r="A2867" s="2" t="s">
        <v>8012</v>
      </c>
      <c r="B2867" s="2" t="s">
        <v>7433</v>
      </c>
      <c r="C2867" s="8">
        <v>46239</v>
      </c>
      <c r="D2867" s="6">
        <v>46235</v>
      </c>
      <c r="E2867" s="2" t="s">
        <v>260</v>
      </c>
      <c r="F2867" s="2" t="s">
        <v>8010</v>
      </c>
      <c r="G2867" s="6">
        <v>46174</v>
      </c>
      <c r="H2867" s="2" t="s">
        <v>71</v>
      </c>
      <c r="I2867" s="2" t="s">
        <v>70</v>
      </c>
      <c r="J2867" s="9">
        <v>13662.604511</v>
      </c>
      <c r="K2867" s="7">
        <v>0.65</v>
      </c>
      <c r="L2867" s="9">
        <v>8880.69</v>
      </c>
      <c r="M2867" s="9">
        <v>9085.6299999999992</v>
      </c>
      <c r="N2867" s="9">
        <v>4.88</v>
      </c>
      <c r="O2867" s="10">
        <f>IF(AND(OR(H2867="APPROVED",H2867="SCHEDULED"),COUNTIFS(tblSource[EventID],F2867,tblSource[ReleaseStatus],"APPROVED")=1,COUNTIFS(Period_Status!$A$2:$A$8,G2867,Period_Status!$B$2:$B$8,"ActualClosed")=1,C2867&gt;EOMONTH(Settlement_Bridge!$C$2,0)),1,0)</f>
        <v>1</v>
      </c>
      <c r="P2867" s="2" t="s">
        <v>8013</v>
      </c>
    </row>
    <row r="2868" spans="1:16" x14ac:dyDescent="0.25">
      <c r="A2868" s="2" t="s">
        <v>8014</v>
      </c>
      <c r="B2868" s="2" t="s">
        <v>7433</v>
      </c>
      <c r="C2868" s="8">
        <v>46215</v>
      </c>
      <c r="D2868" s="6">
        <v>46204</v>
      </c>
      <c r="E2868" s="2" t="s">
        <v>260</v>
      </c>
      <c r="F2868" s="2" t="s">
        <v>8015</v>
      </c>
      <c r="G2868" s="6">
        <v>46174</v>
      </c>
      <c r="H2868" s="2" t="s">
        <v>71</v>
      </c>
      <c r="I2868" s="2" t="s">
        <v>39</v>
      </c>
      <c r="J2868" s="9">
        <v>6167.8159999999998</v>
      </c>
      <c r="K2868" s="7">
        <v>1</v>
      </c>
      <c r="L2868" s="9">
        <v>6167.82</v>
      </c>
      <c r="M2868" s="9">
        <v>6167.82</v>
      </c>
      <c r="N2868" s="9">
        <v>3.39</v>
      </c>
      <c r="O2868" s="10">
        <f>IF(AND(OR(H2868="APPROVED",H2868="SCHEDULED"),COUNTIFS(tblSource[EventID],F2868,tblSource[ReleaseStatus],"APPROVED")=1,COUNTIFS(Period_Status!$A$2:$A$8,G2868,Period_Status!$B$2:$B$8,"ActualClosed")=1,C2868&gt;EOMONTH(Settlement_Bridge!$C$2,0)),1,0)</f>
        <v>0</v>
      </c>
      <c r="P2868" s="2" t="s">
        <v>8016</v>
      </c>
    </row>
    <row r="2869" spans="1:16" x14ac:dyDescent="0.25">
      <c r="A2869" s="2" t="s">
        <v>8017</v>
      </c>
      <c r="B2869" s="2" t="s">
        <v>7433</v>
      </c>
      <c r="C2869" s="8">
        <v>46240</v>
      </c>
      <c r="D2869" s="6">
        <v>46235</v>
      </c>
      <c r="E2869" s="2" t="s">
        <v>260</v>
      </c>
      <c r="F2869" s="2" t="s">
        <v>8015</v>
      </c>
      <c r="G2869" s="6">
        <v>46174</v>
      </c>
      <c r="H2869" s="2" t="s">
        <v>71</v>
      </c>
      <c r="I2869" s="2" t="s">
        <v>39</v>
      </c>
      <c r="J2869" s="9">
        <v>9251.7240000000002</v>
      </c>
      <c r="K2869" s="7">
        <v>1</v>
      </c>
      <c r="L2869" s="9">
        <v>9251.7199999999993</v>
      </c>
      <c r="M2869" s="9">
        <v>9251.7199999999993</v>
      </c>
      <c r="N2869" s="9">
        <v>5.09</v>
      </c>
      <c r="O2869" s="10">
        <f>IF(AND(OR(H2869="APPROVED",H2869="SCHEDULED"),COUNTIFS(tblSource[EventID],F2869,tblSource[ReleaseStatus],"APPROVED")=1,COUNTIFS(Period_Status!$A$2:$A$8,G2869,Period_Status!$B$2:$B$8,"ActualClosed")=1,C2869&gt;EOMONTH(Settlement_Bridge!$C$2,0)),1,0)</f>
        <v>1</v>
      </c>
      <c r="P2869" s="2" t="s">
        <v>8018</v>
      </c>
    </row>
    <row r="2870" spans="1:16" x14ac:dyDescent="0.25">
      <c r="A2870" s="2" t="s">
        <v>8019</v>
      </c>
      <c r="B2870" s="2" t="s">
        <v>7433</v>
      </c>
      <c r="C2870" s="8">
        <v>46216</v>
      </c>
      <c r="D2870" s="6">
        <v>46204</v>
      </c>
      <c r="E2870" s="2" t="s">
        <v>260</v>
      </c>
      <c r="F2870" s="2" t="s">
        <v>8020</v>
      </c>
      <c r="G2870" s="6">
        <v>46174</v>
      </c>
      <c r="H2870" s="2" t="s">
        <v>71</v>
      </c>
      <c r="I2870" s="2" t="s">
        <v>76</v>
      </c>
      <c r="J2870" s="9">
        <v>100456640</v>
      </c>
      <c r="K2870" s="7">
        <v>6.2000000000000003E-5</v>
      </c>
      <c r="L2870" s="9">
        <v>6228.31</v>
      </c>
      <c r="M2870" s="9">
        <v>6278.54</v>
      </c>
      <c r="N2870" s="9">
        <v>3.43</v>
      </c>
      <c r="O2870" s="10">
        <f>IF(AND(OR(H2870="APPROVED",H2870="SCHEDULED"),COUNTIFS(tblSource[EventID],F2870,tblSource[ReleaseStatus],"APPROVED")=1,COUNTIFS(Period_Status!$A$2:$A$8,G2870,Period_Status!$B$2:$B$8,"ActualClosed")=1,C2870&gt;EOMONTH(Settlement_Bridge!$C$2,0)),1,0)</f>
        <v>0</v>
      </c>
      <c r="P2870" s="2" t="s">
        <v>8021</v>
      </c>
    </row>
    <row r="2871" spans="1:16" x14ac:dyDescent="0.25">
      <c r="A2871" s="2" t="s">
        <v>8022</v>
      </c>
      <c r="B2871" s="2" t="s">
        <v>7433</v>
      </c>
      <c r="C2871" s="8">
        <v>46241</v>
      </c>
      <c r="D2871" s="6">
        <v>46235</v>
      </c>
      <c r="E2871" s="2" t="s">
        <v>260</v>
      </c>
      <c r="F2871" s="2" t="s">
        <v>8020</v>
      </c>
      <c r="G2871" s="6">
        <v>46174</v>
      </c>
      <c r="H2871" s="2" t="s">
        <v>71</v>
      </c>
      <c r="I2871" s="2" t="s">
        <v>76</v>
      </c>
      <c r="J2871" s="9">
        <v>150684960</v>
      </c>
      <c r="K2871" s="7">
        <v>6.1500000000000004E-5</v>
      </c>
      <c r="L2871" s="9">
        <v>9267.1299999999992</v>
      </c>
      <c r="M2871" s="9">
        <v>9417.81</v>
      </c>
      <c r="N2871" s="9">
        <v>5.0999999999999996</v>
      </c>
      <c r="O2871" s="10">
        <f>IF(AND(OR(H2871="APPROVED",H2871="SCHEDULED"),COUNTIFS(tblSource[EventID],F2871,tblSource[ReleaseStatus],"APPROVED")=1,COUNTIFS(Period_Status!$A$2:$A$8,G2871,Period_Status!$B$2:$B$8,"ActualClosed")=1,C2871&gt;EOMONTH(Settlement_Bridge!$C$2,0)),1,0)</f>
        <v>1</v>
      </c>
      <c r="P2871" s="2" t="s">
        <v>8023</v>
      </c>
    </row>
    <row r="2872" spans="1:16" x14ac:dyDescent="0.25">
      <c r="A2872" s="2" t="s">
        <v>8024</v>
      </c>
      <c r="B2872" s="2" t="s">
        <v>7433</v>
      </c>
      <c r="C2872" s="8">
        <v>46217</v>
      </c>
      <c r="D2872" s="6">
        <v>46204</v>
      </c>
      <c r="E2872" s="2" t="s">
        <v>260</v>
      </c>
      <c r="F2872" s="2" t="s">
        <v>8025</v>
      </c>
      <c r="G2872" s="6">
        <v>46174</v>
      </c>
      <c r="H2872" s="2" t="s">
        <v>71</v>
      </c>
      <c r="I2872" s="2" t="s">
        <v>70</v>
      </c>
      <c r="J2872" s="9">
        <v>9607.9218039999996</v>
      </c>
      <c r="K2872" s="7">
        <v>0.65800000000000003</v>
      </c>
      <c r="L2872" s="9">
        <v>6322.01</v>
      </c>
      <c r="M2872" s="9">
        <v>6389.27</v>
      </c>
      <c r="N2872" s="9">
        <v>3.48</v>
      </c>
      <c r="O2872" s="10">
        <f>IF(AND(OR(H2872="APPROVED",H2872="SCHEDULED"),COUNTIFS(tblSource[EventID],F2872,tblSource[ReleaseStatus],"APPROVED")=1,COUNTIFS(Period_Status!$A$2:$A$8,G2872,Period_Status!$B$2:$B$8,"ActualClosed")=1,C2872&gt;EOMONTH(Settlement_Bridge!$C$2,0)),1,0)</f>
        <v>0</v>
      </c>
      <c r="P2872" s="2" t="s">
        <v>8026</v>
      </c>
    </row>
    <row r="2873" spans="1:16" x14ac:dyDescent="0.25">
      <c r="A2873" s="2" t="s">
        <v>8027</v>
      </c>
      <c r="B2873" s="2" t="s">
        <v>7433</v>
      </c>
      <c r="C2873" s="8">
        <v>46242</v>
      </c>
      <c r="D2873" s="6">
        <v>46235</v>
      </c>
      <c r="E2873" s="2" t="s">
        <v>260</v>
      </c>
      <c r="F2873" s="2" t="s">
        <v>8025</v>
      </c>
      <c r="G2873" s="6">
        <v>46174</v>
      </c>
      <c r="H2873" s="2" t="s">
        <v>71</v>
      </c>
      <c r="I2873" s="2" t="s">
        <v>70</v>
      </c>
      <c r="J2873" s="9">
        <v>14411.882707000001</v>
      </c>
      <c r="K2873" s="7">
        <v>0.65</v>
      </c>
      <c r="L2873" s="9">
        <v>9367.7199999999993</v>
      </c>
      <c r="M2873" s="9">
        <v>9583.9</v>
      </c>
      <c r="N2873" s="9">
        <v>5.15</v>
      </c>
      <c r="O2873" s="10">
        <f>IF(AND(OR(H2873="APPROVED",H2873="SCHEDULED"),COUNTIFS(tblSource[EventID],F2873,tblSource[ReleaseStatus],"APPROVED")=1,COUNTIFS(Period_Status!$A$2:$A$8,G2873,Period_Status!$B$2:$B$8,"ActualClosed")=1,C2873&gt;EOMONTH(Settlement_Bridge!$C$2,0)),1,0)</f>
        <v>1</v>
      </c>
      <c r="P2873" s="2" t="s">
        <v>8028</v>
      </c>
    </row>
    <row r="2874" spans="1:16" x14ac:dyDescent="0.25">
      <c r="A2874" s="2" t="s">
        <v>8029</v>
      </c>
      <c r="B2874" s="2" t="s">
        <v>7433</v>
      </c>
      <c r="C2874" s="8">
        <v>46188</v>
      </c>
      <c r="D2874" s="6">
        <v>46174</v>
      </c>
      <c r="E2874" s="2" t="s">
        <v>260</v>
      </c>
      <c r="F2874" s="2" t="s">
        <v>8030</v>
      </c>
      <c r="G2874" s="6">
        <v>46174</v>
      </c>
      <c r="H2874" s="2" t="s">
        <v>71</v>
      </c>
      <c r="I2874" s="2" t="s">
        <v>39</v>
      </c>
      <c r="J2874" s="9">
        <v>6499.9920000000002</v>
      </c>
      <c r="K2874" s="7">
        <v>1</v>
      </c>
      <c r="L2874" s="9">
        <v>6499.99</v>
      </c>
      <c r="M2874" s="9">
        <v>6499.99</v>
      </c>
      <c r="N2874" s="9">
        <v>3.57</v>
      </c>
      <c r="O2874" s="10">
        <f>IF(AND(OR(H2874="APPROVED",H2874="SCHEDULED"),COUNTIFS(tblSource[EventID],F2874,tblSource[ReleaseStatus],"APPROVED")=1,COUNTIFS(Period_Status!$A$2:$A$8,G2874,Period_Status!$B$2:$B$8,"ActualClosed")=1,C2874&gt;EOMONTH(Settlement_Bridge!$C$2,0)),1,0)</f>
        <v>0</v>
      </c>
      <c r="P2874" s="2" t="s">
        <v>8031</v>
      </c>
    </row>
    <row r="2875" spans="1:16" x14ac:dyDescent="0.25">
      <c r="A2875" s="2" t="s">
        <v>8032</v>
      </c>
      <c r="B2875" s="2" t="s">
        <v>7433</v>
      </c>
      <c r="C2875" s="8">
        <v>46213</v>
      </c>
      <c r="D2875" s="6">
        <v>46204</v>
      </c>
      <c r="E2875" s="2" t="s">
        <v>260</v>
      </c>
      <c r="F2875" s="2" t="s">
        <v>8030</v>
      </c>
      <c r="G2875" s="6">
        <v>46174</v>
      </c>
      <c r="H2875" s="2" t="s">
        <v>71</v>
      </c>
      <c r="I2875" s="2" t="s">
        <v>39</v>
      </c>
      <c r="J2875" s="9">
        <v>9749.9879999999994</v>
      </c>
      <c r="K2875" s="7">
        <v>1</v>
      </c>
      <c r="L2875" s="9">
        <v>9749.99</v>
      </c>
      <c r="M2875" s="9">
        <v>9749.99</v>
      </c>
      <c r="N2875" s="9">
        <v>5.36</v>
      </c>
      <c r="O2875" s="10">
        <f>IF(AND(OR(H2875="APPROVED",H2875="SCHEDULED"),COUNTIFS(tblSource[EventID],F2875,tblSource[ReleaseStatus],"APPROVED")=1,COUNTIFS(Period_Status!$A$2:$A$8,G2875,Period_Status!$B$2:$B$8,"ActualClosed")=1,C2875&gt;EOMONTH(Settlement_Bridge!$C$2,0)),1,0)</f>
        <v>0</v>
      </c>
      <c r="P2875" s="2" t="s">
        <v>8033</v>
      </c>
    </row>
    <row r="2876" spans="1:16" x14ac:dyDescent="0.25">
      <c r="A2876" s="2" t="s">
        <v>8034</v>
      </c>
      <c r="B2876" s="2" t="s">
        <v>7433</v>
      </c>
      <c r="C2876" s="8">
        <v>46189</v>
      </c>
      <c r="D2876" s="6">
        <v>46174</v>
      </c>
      <c r="E2876" s="2" t="s">
        <v>260</v>
      </c>
      <c r="F2876" s="2" t="s">
        <v>8035</v>
      </c>
      <c r="G2876" s="6">
        <v>46174</v>
      </c>
      <c r="H2876" s="2" t="s">
        <v>71</v>
      </c>
      <c r="I2876" s="2" t="s">
        <v>76</v>
      </c>
      <c r="J2876" s="9">
        <v>105771520</v>
      </c>
      <c r="K2876" s="7">
        <v>6.2500000000000001E-5</v>
      </c>
      <c r="L2876" s="9">
        <v>6610.72</v>
      </c>
      <c r="M2876" s="9">
        <v>6610.72</v>
      </c>
      <c r="N2876" s="9">
        <v>3.64</v>
      </c>
      <c r="O2876" s="10">
        <f>IF(AND(OR(H2876="APPROVED",H2876="SCHEDULED"),COUNTIFS(tblSource[EventID],F2876,tblSource[ReleaseStatus],"APPROVED")=1,COUNTIFS(Period_Status!$A$2:$A$8,G2876,Period_Status!$B$2:$B$8,"ActualClosed")=1,C2876&gt;EOMONTH(Settlement_Bridge!$C$2,0)),1,0)</f>
        <v>0</v>
      </c>
      <c r="P2876" s="2" t="s">
        <v>8036</v>
      </c>
    </row>
    <row r="2877" spans="1:16" x14ac:dyDescent="0.25">
      <c r="A2877" s="2" t="s">
        <v>8037</v>
      </c>
      <c r="B2877" s="2" t="s">
        <v>7433</v>
      </c>
      <c r="C2877" s="8">
        <v>46214</v>
      </c>
      <c r="D2877" s="6">
        <v>46204</v>
      </c>
      <c r="E2877" s="2" t="s">
        <v>260</v>
      </c>
      <c r="F2877" s="2" t="s">
        <v>8035</v>
      </c>
      <c r="G2877" s="6">
        <v>46174</v>
      </c>
      <c r="H2877" s="2" t="s">
        <v>71</v>
      </c>
      <c r="I2877" s="2" t="s">
        <v>76</v>
      </c>
      <c r="J2877" s="9">
        <v>158657280</v>
      </c>
      <c r="K2877" s="7">
        <v>6.2000000000000003E-5</v>
      </c>
      <c r="L2877" s="9">
        <v>9836.75</v>
      </c>
      <c r="M2877" s="9">
        <v>9916.08</v>
      </c>
      <c r="N2877" s="9">
        <v>5.41</v>
      </c>
      <c r="O2877" s="10">
        <f>IF(AND(OR(H2877="APPROVED",H2877="SCHEDULED"),COUNTIFS(tblSource[EventID],F2877,tblSource[ReleaseStatus],"APPROVED")=1,COUNTIFS(Period_Status!$A$2:$A$8,G2877,Period_Status!$B$2:$B$8,"ActualClosed")=1,C2877&gt;EOMONTH(Settlement_Bridge!$C$2,0)),1,0)</f>
        <v>0</v>
      </c>
      <c r="P2877" s="2" t="s">
        <v>8038</v>
      </c>
    </row>
    <row r="2878" spans="1:16" x14ac:dyDescent="0.25">
      <c r="A2878" s="2" t="s">
        <v>8039</v>
      </c>
      <c r="B2878" s="2" t="s">
        <v>7433</v>
      </c>
      <c r="C2878" s="8">
        <v>46190</v>
      </c>
      <c r="D2878" s="6">
        <v>46174</v>
      </c>
      <c r="E2878" s="2" t="s">
        <v>260</v>
      </c>
      <c r="F2878" s="2" t="s">
        <v>8040</v>
      </c>
      <c r="G2878" s="6">
        <v>46174</v>
      </c>
      <c r="H2878" s="2" t="s">
        <v>71</v>
      </c>
      <c r="I2878" s="2" t="s">
        <v>70</v>
      </c>
      <c r="J2878" s="9">
        <v>-25268.601503999998</v>
      </c>
      <c r="K2878" s="7">
        <v>0.66500000000000004</v>
      </c>
      <c r="L2878" s="9">
        <v>-16803.62</v>
      </c>
      <c r="M2878" s="9">
        <v>-16803.62</v>
      </c>
      <c r="N2878" s="9">
        <v>0</v>
      </c>
      <c r="O2878" s="10">
        <f>IF(AND(OR(H2878="APPROVED",H2878="SCHEDULED"),COUNTIFS(tblSource[EventID],F2878,tblSource[ReleaseStatus],"APPROVED")=1,COUNTIFS(Period_Status!$A$2:$A$8,G2878,Period_Status!$B$2:$B$8,"ActualClosed")=1,C2878&gt;EOMONTH(Settlement_Bridge!$C$2,0)),1,0)</f>
        <v>0</v>
      </c>
      <c r="P2878" s="2" t="s">
        <v>8041</v>
      </c>
    </row>
    <row r="2879" spans="1:16" x14ac:dyDescent="0.25">
      <c r="A2879" s="2" t="s">
        <v>8042</v>
      </c>
      <c r="B2879" s="2" t="s">
        <v>7433</v>
      </c>
      <c r="C2879" s="8">
        <v>46191</v>
      </c>
      <c r="D2879" s="6">
        <v>46174</v>
      </c>
      <c r="E2879" s="2" t="s">
        <v>260</v>
      </c>
      <c r="F2879" s="2" t="s">
        <v>8043</v>
      </c>
      <c r="G2879" s="6">
        <v>46174</v>
      </c>
      <c r="H2879" s="2" t="s">
        <v>71</v>
      </c>
      <c r="I2879" s="2" t="s">
        <v>39</v>
      </c>
      <c r="J2879" s="9">
        <v>6832.1719999999996</v>
      </c>
      <c r="K2879" s="7">
        <v>1</v>
      </c>
      <c r="L2879" s="9">
        <v>6832.17</v>
      </c>
      <c r="M2879" s="9">
        <v>6832.17</v>
      </c>
      <c r="N2879" s="9">
        <v>3.76</v>
      </c>
      <c r="O2879" s="10">
        <f>IF(AND(OR(H2879="APPROVED",H2879="SCHEDULED"),COUNTIFS(tblSource[EventID],F2879,tblSource[ReleaseStatus],"APPROVED")=1,COUNTIFS(Period_Status!$A$2:$A$8,G2879,Period_Status!$B$2:$B$8,"ActualClosed")=1,C2879&gt;EOMONTH(Settlement_Bridge!$C$2,0)),1,0)</f>
        <v>0</v>
      </c>
      <c r="P2879" s="2" t="s">
        <v>8044</v>
      </c>
    </row>
    <row r="2880" spans="1:16" x14ac:dyDescent="0.25">
      <c r="A2880" s="2" t="s">
        <v>8045</v>
      </c>
      <c r="B2880" s="2" t="s">
        <v>7433</v>
      </c>
      <c r="C2880" s="8">
        <v>46216</v>
      </c>
      <c r="D2880" s="6">
        <v>46204</v>
      </c>
      <c r="E2880" s="2" t="s">
        <v>260</v>
      </c>
      <c r="F2880" s="2" t="s">
        <v>8043</v>
      </c>
      <c r="G2880" s="6">
        <v>46174</v>
      </c>
      <c r="H2880" s="2" t="s">
        <v>71</v>
      </c>
      <c r="I2880" s="2" t="s">
        <v>39</v>
      </c>
      <c r="J2880" s="9">
        <v>10248.258</v>
      </c>
      <c r="K2880" s="7">
        <v>1</v>
      </c>
      <c r="L2880" s="9">
        <v>10248.26</v>
      </c>
      <c r="M2880" s="9">
        <v>10248.26</v>
      </c>
      <c r="N2880" s="9">
        <v>5.64</v>
      </c>
      <c r="O2880" s="10">
        <f>IF(AND(OR(H2880="APPROVED",H2880="SCHEDULED"),COUNTIFS(tblSource[EventID],F2880,tblSource[ReleaseStatus],"APPROVED")=1,COUNTIFS(Period_Status!$A$2:$A$8,G2880,Period_Status!$B$2:$B$8,"ActualClosed")=1,C2880&gt;EOMONTH(Settlement_Bridge!$C$2,0)),1,0)</f>
        <v>0</v>
      </c>
      <c r="P2880" s="2" t="s">
        <v>8046</v>
      </c>
    </row>
    <row r="2881" spans="1:16" x14ac:dyDescent="0.25">
      <c r="A2881" s="2" t="s">
        <v>8047</v>
      </c>
      <c r="B2881" s="2" t="s">
        <v>7433</v>
      </c>
      <c r="C2881" s="8">
        <v>46192</v>
      </c>
      <c r="D2881" s="6">
        <v>46174</v>
      </c>
      <c r="E2881" s="2" t="s">
        <v>260</v>
      </c>
      <c r="F2881" s="2" t="s">
        <v>8048</v>
      </c>
      <c r="G2881" s="6">
        <v>46174</v>
      </c>
      <c r="H2881" s="2" t="s">
        <v>71</v>
      </c>
      <c r="I2881" s="2" t="s">
        <v>76</v>
      </c>
      <c r="J2881" s="9">
        <v>111086400</v>
      </c>
      <c r="K2881" s="7">
        <v>6.2500000000000001E-5</v>
      </c>
      <c r="L2881" s="9">
        <v>6942.9</v>
      </c>
      <c r="M2881" s="9">
        <v>6942.9</v>
      </c>
      <c r="N2881" s="9">
        <v>3.82</v>
      </c>
      <c r="O2881" s="10">
        <f>IF(AND(OR(H2881="APPROVED",H2881="SCHEDULED"),COUNTIFS(tblSource[EventID],F2881,tblSource[ReleaseStatus],"APPROVED")=1,COUNTIFS(Period_Status!$A$2:$A$8,G2881,Period_Status!$B$2:$B$8,"ActualClosed")=1,C2881&gt;EOMONTH(Settlement_Bridge!$C$2,0)),1,0)</f>
        <v>0</v>
      </c>
      <c r="P2881" s="2" t="s">
        <v>8049</v>
      </c>
    </row>
    <row r="2882" spans="1:16" x14ac:dyDescent="0.25">
      <c r="A2882" s="2" t="s">
        <v>8050</v>
      </c>
      <c r="B2882" s="2" t="s">
        <v>7433</v>
      </c>
      <c r="C2882" s="8">
        <v>46217</v>
      </c>
      <c r="D2882" s="6">
        <v>46204</v>
      </c>
      <c r="E2882" s="2" t="s">
        <v>260</v>
      </c>
      <c r="F2882" s="2" t="s">
        <v>8048</v>
      </c>
      <c r="G2882" s="6">
        <v>46174</v>
      </c>
      <c r="H2882" s="2" t="s">
        <v>71</v>
      </c>
      <c r="I2882" s="2" t="s">
        <v>76</v>
      </c>
      <c r="J2882" s="9">
        <v>166629600</v>
      </c>
      <c r="K2882" s="7">
        <v>6.2000000000000003E-5</v>
      </c>
      <c r="L2882" s="9">
        <v>10331.040000000001</v>
      </c>
      <c r="M2882" s="9">
        <v>10414.35</v>
      </c>
      <c r="N2882" s="9">
        <v>5.68</v>
      </c>
      <c r="O2882" s="10">
        <f>IF(AND(OR(H2882="APPROVED",H2882="SCHEDULED"),COUNTIFS(tblSource[EventID],F2882,tblSource[ReleaseStatus],"APPROVED")=1,COUNTIFS(Period_Status!$A$2:$A$8,G2882,Period_Status!$B$2:$B$8,"ActualClosed")=1,C2882&gt;EOMONTH(Settlement_Bridge!$C$2,0)),1,0)</f>
        <v>0</v>
      </c>
      <c r="P2882" s="2" t="s">
        <v>8051</v>
      </c>
    </row>
    <row r="2883" spans="1:16" x14ac:dyDescent="0.25">
      <c r="A2883" s="2" t="s">
        <v>8052</v>
      </c>
      <c r="B2883" s="2" t="s">
        <v>7433</v>
      </c>
      <c r="C2883" s="8">
        <v>46193</v>
      </c>
      <c r="D2883" s="6">
        <v>46174</v>
      </c>
      <c r="E2883" s="2" t="s">
        <v>260</v>
      </c>
      <c r="F2883" s="2" t="s">
        <v>8053</v>
      </c>
      <c r="G2883" s="6">
        <v>46174</v>
      </c>
      <c r="H2883" s="2" t="s">
        <v>71</v>
      </c>
      <c r="I2883" s="2" t="s">
        <v>70</v>
      </c>
      <c r="J2883" s="9">
        <v>10606.953384</v>
      </c>
      <c r="K2883" s="7">
        <v>0.66500000000000004</v>
      </c>
      <c r="L2883" s="9">
        <v>7053.62</v>
      </c>
      <c r="M2883" s="9">
        <v>7053.62</v>
      </c>
      <c r="N2883" s="9">
        <v>3.88</v>
      </c>
      <c r="O2883" s="10">
        <f>IF(AND(OR(H2883="APPROVED",H2883="SCHEDULED"),COUNTIFS(tblSource[EventID],F2883,tblSource[ReleaseStatus],"APPROVED")=1,COUNTIFS(Period_Status!$A$2:$A$8,G2883,Period_Status!$B$2:$B$8,"ActualClosed")=1,C2883&gt;EOMONTH(Settlement_Bridge!$C$2,0)),1,0)</f>
        <v>0</v>
      </c>
      <c r="P2883" s="2" t="s">
        <v>8054</v>
      </c>
    </row>
    <row r="2884" spans="1:16" x14ac:dyDescent="0.25">
      <c r="A2884" s="2" t="s">
        <v>8055</v>
      </c>
      <c r="B2884" s="2" t="s">
        <v>7433</v>
      </c>
      <c r="C2884" s="8">
        <v>46218</v>
      </c>
      <c r="D2884" s="6">
        <v>46204</v>
      </c>
      <c r="E2884" s="2" t="s">
        <v>260</v>
      </c>
      <c r="F2884" s="2" t="s">
        <v>8053</v>
      </c>
      <c r="G2884" s="6">
        <v>46174</v>
      </c>
      <c r="H2884" s="2" t="s">
        <v>71</v>
      </c>
      <c r="I2884" s="2" t="s">
        <v>70</v>
      </c>
      <c r="J2884" s="9">
        <v>15910.430075</v>
      </c>
      <c r="K2884" s="7">
        <v>0.65800000000000003</v>
      </c>
      <c r="L2884" s="9">
        <v>10469.06</v>
      </c>
      <c r="M2884" s="9">
        <v>10580.44</v>
      </c>
      <c r="N2884" s="9">
        <v>5.76</v>
      </c>
      <c r="O2884" s="10">
        <f>IF(AND(OR(H2884="APPROVED",H2884="SCHEDULED"),COUNTIFS(tblSource[EventID],F2884,tblSource[ReleaseStatus],"APPROVED")=1,COUNTIFS(Period_Status!$A$2:$A$8,G2884,Period_Status!$B$2:$B$8,"ActualClosed")=1,C2884&gt;EOMONTH(Settlement_Bridge!$C$2,0)),1,0)</f>
        <v>0</v>
      </c>
      <c r="P2884" s="2" t="s">
        <v>8056</v>
      </c>
    </row>
    <row r="2885" spans="1:16" x14ac:dyDescent="0.25">
      <c r="A2885" s="2" t="s">
        <v>8057</v>
      </c>
      <c r="B2885" s="2" t="s">
        <v>7433</v>
      </c>
      <c r="C2885" s="8">
        <v>46194</v>
      </c>
      <c r="D2885" s="6">
        <v>46174</v>
      </c>
      <c r="E2885" s="2" t="s">
        <v>260</v>
      </c>
      <c r="F2885" s="2" t="s">
        <v>8058</v>
      </c>
      <c r="G2885" s="6">
        <v>46174</v>
      </c>
      <c r="H2885" s="2" t="s">
        <v>71</v>
      </c>
      <c r="I2885" s="2" t="s">
        <v>39</v>
      </c>
      <c r="J2885" s="9">
        <v>7164.3519999999999</v>
      </c>
      <c r="K2885" s="7">
        <v>1</v>
      </c>
      <c r="L2885" s="9">
        <v>7164.35</v>
      </c>
      <c r="M2885" s="9">
        <v>7164.35</v>
      </c>
      <c r="N2885" s="9">
        <v>3.94</v>
      </c>
      <c r="O2885" s="10">
        <f>IF(AND(OR(H2885="APPROVED",H2885="SCHEDULED"),COUNTIFS(tblSource[EventID],F2885,tblSource[ReleaseStatus],"APPROVED")=1,COUNTIFS(Period_Status!$A$2:$A$8,G2885,Period_Status!$B$2:$B$8,"ActualClosed")=1,C2885&gt;EOMONTH(Settlement_Bridge!$C$2,0)),1,0)</f>
        <v>0</v>
      </c>
      <c r="P2885" s="2" t="s">
        <v>8059</v>
      </c>
    </row>
    <row r="2886" spans="1:16" x14ac:dyDescent="0.25">
      <c r="A2886" s="2" t="s">
        <v>8060</v>
      </c>
      <c r="B2886" s="2" t="s">
        <v>7433</v>
      </c>
      <c r="C2886" s="8">
        <v>46219</v>
      </c>
      <c r="D2886" s="6">
        <v>46204</v>
      </c>
      <c r="E2886" s="2" t="s">
        <v>260</v>
      </c>
      <c r="F2886" s="2" t="s">
        <v>8058</v>
      </c>
      <c r="G2886" s="6">
        <v>46174</v>
      </c>
      <c r="H2886" s="2" t="s">
        <v>71</v>
      </c>
      <c r="I2886" s="2" t="s">
        <v>39</v>
      </c>
      <c r="J2886" s="9">
        <v>10746.528</v>
      </c>
      <c r="K2886" s="7">
        <v>1</v>
      </c>
      <c r="L2886" s="9">
        <v>10746.53</v>
      </c>
      <c r="M2886" s="9">
        <v>10746.53</v>
      </c>
      <c r="N2886" s="9">
        <v>5.91</v>
      </c>
      <c r="O2886" s="10">
        <f>IF(AND(OR(H2886="APPROVED",H2886="SCHEDULED"),COUNTIFS(tblSource[EventID],F2886,tblSource[ReleaseStatus],"APPROVED")=1,COUNTIFS(Period_Status!$A$2:$A$8,G2886,Period_Status!$B$2:$B$8,"ActualClosed")=1,C2886&gt;EOMONTH(Settlement_Bridge!$C$2,0)),1,0)</f>
        <v>0</v>
      </c>
      <c r="P2886" s="2" t="s">
        <v>8061</v>
      </c>
    </row>
    <row r="2887" spans="1:16" x14ac:dyDescent="0.25">
      <c r="A2887" s="2" t="s">
        <v>8062</v>
      </c>
      <c r="B2887" s="2" t="s">
        <v>7433</v>
      </c>
      <c r="C2887" s="8">
        <v>46195</v>
      </c>
      <c r="D2887" s="6">
        <v>46174</v>
      </c>
      <c r="E2887" s="2" t="s">
        <v>260</v>
      </c>
      <c r="F2887" s="2" t="s">
        <v>8063</v>
      </c>
      <c r="G2887" s="6">
        <v>46174</v>
      </c>
      <c r="H2887" s="2" t="s">
        <v>71</v>
      </c>
      <c r="I2887" s="2" t="s">
        <v>76</v>
      </c>
      <c r="J2887" s="9">
        <v>116401280</v>
      </c>
      <c r="K2887" s="7">
        <v>6.2500000000000001E-5</v>
      </c>
      <c r="L2887" s="9">
        <v>7275.08</v>
      </c>
      <c r="M2887" s="9">
        <v>7275.08</v>
      </c>
      <c r="N2887" s="9">
        <v>4</v>
      </c>
      <c r="O2887" s="10">
        <f>IF(AND(OR(H2887="APPROVED",H2887="SCHEDULED"),COUNTIFS(tblSource[EventID],F2887,tblSource[ReleaseStatus],"APPROVED")=1,COUNTIFS(Period_Status!$A$2:$A$8,G2887,Period_Status!$B$2:$B$8,"ActualClosed")=1,C2887&gt;EOMONTH(Settlement_Bridge!$C$2,0)),1,0)</f>
        <v>0</v>
      </c>
      <c r="P2887" s="2" t="s">
        <v>8064</v>
      </c>
    </row>
    <row r="2888" spans="1:16" x14ac:dyDescent="0.25">
      <c r="A2888" s="2" t="s">
        <v>8065</v>
      </c>
      <c r="B2888" s="2" t="s">
        <v>7433</v>
      </c>
      <c r="C2888" s="8">
        <v>46220</v>
      </c>
      <c r="D2888" s="6">
        <v>46204</v>
      </c>
      <c r="E2888" s="2" t="s">
        <v>260</v>
      </c>
      <c r="F2888" s="2" t="s">
        <v>8063</v>
      </c>
      <c r="G2888" s="6">
        <v>46174</v>
      </c>
      <c r="H2888" s="2" t="s">
        <v>71</v>
      </c>
      <c r="I2888" s="2" t="s">
        <v>76</v>
      </c>
      <c r="J2888" s="9">
        <v>174601920</v>
      </c>
      <c r="K2888" s="7">
        <v>6.2000000000000003E-5</v>
      </c>
      <c r="L2888" s="9">
        <v>10825.32</v>
      </c>
      <c r="M2888" s="9">
        <v>10912.62</v>
      </c>
      <c r="N2888" s="9">
        <v>5.95</v>
      </c>
      <c r="O2888" s="10">
        <f>IF(AND(OR(H2888="APPROVED",H2888="SCHEDULED"),COUNTIFS(tblSource[EventID],F2888,tblSource[ReleaseStatus],"APPROVED")=1,COUNTIFS(Period_Status!$A$2:$A$8,G2888,Period_Status!$B$2:$B$8,"ActualClosed")=1,C2888&gt;EOMONTH(Settlement_Bridge!$C$2,0)),1,0)</f>
        <v>0</v>
      </c>
      <c r="P2888" s="2" t="s">
        <v>8066</v>
      </c>
    </row>
    <row r="2889" spans="1:16" x14ac:dyDescent="0.25">
      <c r="A2889" s="2" t="s">
        <v>8067</v>
      </c>
      <c r="B2889" s="2" t="s">
        <v>7433</v>
      </c>
      <c r="C2889" s="8">
        <v>46196</v>
      </c>
      <c r="D2889" s="6">
        <v>46174</v>
      </c>
      <c r="E2889" s="2" t="s">
        <v>260</v>
      </c>
      <c r="F2889" s="2" t="s">
        <v>8068</v>
      </c>
      <c r="G2889" s="6">
        <v>46174</v>
      </c>
      <c r="H2889" s="2" t="s">
        <v>71</v>
      </c>
      <c r="I2889" s="2" t="s">
        <v>70</v>
      </c>
      <c r="J2889" s="9">
        <v>11106.472180000001</v>
      </c>
      <c r="K2889" s="7">
        <v>0.66500000000000004</v>
      </c>
      <c r="L2889" s="9">
        <v>7385.8</v>
      </c>
      <c r="M2889" s="9">
        <v>7385.8</v>
      </c>
      <c r="N2889" s="9">
        <v>4.0599999999999996</v>
      </c>
      <c r="O2889" s="10">
        <f>IF(AND(OR(H2889="APPROVED",H2889="SCHEDULED"),COUNTIFS(tblSource[EventID],F2889,tblSource[ReleaseStatus],"APPROVED")=1,COUNTIFS(Period_Status!$A$2:$A$8,G2889,Period_Status!$B$2:$B$8,"ActualClosed")=1,C2889&gt;EOMONTH(Settlement_Bridge!$C$2,0)),1,0)</f>
        <v>0</v>
      </c>
      <c r="P2889" s="2" t="s">
        <v>8069</v>
      </c>
    </row>
    <row r="2890" spans="1:16" x14ac:dyDescent="0.25">
      <c r="A2890" s="2" t="s">
        <v>8070</v>
      </c>
      <c r="B2890" s="2" t="s">
        <v>7433</v>
      </c>
      <c r="C2890" s="8">
        <v>46221</v>
      </c>
      <c r="D2890" s="6">
        <v>46204</v>
      </c>
      <c r="E2890" s="2" t="s">
        <v>260</v>
      </c>
      <c r="F2890" s="2" t="s">
        <v>8068</v>
      </c>
      <c r="G2890" s="6">
        <v>46174</v>
      </c>
      <c r="H2890" s="2" t="s">
        <v>71</v>
      </c>
      <c r="I2890" s="2" t="s">
        <v>70</v>
      </c>
      <c r="J2890" s="9">
        <v>16659.708271</v>
      </c>
      <c r="K2890" s="7">
        <v>0.65800000000000003</v>
      </c>
      <c r="L2890" s="9">
        <v>10962.09</v>
      </c>
      <c r="M2890" s="9">
        <v>11078.71</v>
      </c>
      <c r="N2890" s="9">
        <v>6.03</v>
      </c>
      <c r="O2890" s="10">
        <f>IF(AND(OR(H2890="APPROVED",H2890="SCHEDULED"),COUNTIFS(tblSource[EventID],F2890,tblSource[ReleaseStatus],"APPROVED")=1,COUNTIFS(Period_Status!$A$2:$A$8,G2890,Period_Status!$B$2:$B$8,"ActualClosed")=1,C2890&gt;EOMONTH(Settlement_Bridge!$C$2,0)),1,0)</f>
        <v>0</v>
      </c>
      <c r="P2890" s="2" t="s">
        <v>8071</v>
      </c>
    </row>
    <row r="2891" spans="1:16" x14ac:dyDescent="0.25">
      <c r="A2891" s="2" t="s">
        <v>8072</v>
      </c>
      <c r="B2891" s="2" t="s">
        <v>7433</v>
      </c>
      <c r="C2891" s="8">
        <v>46197</v>
      </c>
      <c r="D2891" s="6">
        <v>46174</v>
      </c>
      <c r="E2891" s="2" t="s">
        <v>260</v>
      </c>
      <c r="F2891" s="2" t="s">
        <v>8073</v>
      </c>
      <c r="G2891" s="6">
        <v>46174</v>
      </c>
      <c r="H2891" s="2" t="s">
        <v>71</v>
      </c>
      <c r="I2891" s="2" t="s">
        <v>39</v>
      </c>
      <c r="J2891" s="9">
        <v>7496.5320000000002</v>
      </c>
      <c r="K2891" s="7">
        <v>1</v>
      </c>
      <c r="L2891" s="9">
        <v>7496.53</v>
      </c>
      <c r="M2891" s="9">
        <v>7496.53</v>
      </c>
      <c r="N2891" s="9">
        <v>4.12</v>
      </c>
      <c r="O2891" s="10">
        <f>IF(AND(OR(H2891="APPROVED",H2891="SCHEDULED"),COUNTIFS(tblSource[EventID],F2891,tblSource[ReleaseStatus],"APPROVED")=1,COUNTIFS(Period_Status!$A$2:$A$8,G2891,Period_Status!$B$2:$B$8,"ActualClosed")=1,C2891&gt;EOMONTH(Settlement_Bridge!$C$2,0)),1,0)</f>
        <v>0</v>
      </c>
      <c r="P2891" s="2" t="s">
        <v>8074</v>
      </c>
    </row>
    <row r="2892" spans="1:16" x14ac:dyDescent="0.25">
      <c r="A2892" s="2" t="s">
        <v>8075</v>
      </c>
      <c r="B2892" s="2" t="s">
        <v>7433</v>
      </c>
      <c r="C2892" s="8">
        <v>46222</v>
      </c>
      <c r="D2892" s="6">
        <v>46204</v>
      </c>
      <c r="E2892" s="2" t="s">
        <v>260</v>
      </c>
      <c r="F2892" s="2" t="s">
        <v>8073</v>
      </c>
      <c r="G2892" s="6">
        <v>46174</v>
      </c>
      <c r="H2892" s="2" t="s">
        <v>71</v>
      </c>
      <c r="I2892" s="2" t="s">
        <v>39</v>
      </c>
      <c r="J2892" s="9">
        <v>11244.798000000001</v>
      </c>
      <c r="K2892" s="7">
        <v>1</v>
      </c>
      <c r="L2892" s="9">
        <v>11244.8</v>
      </c>
      <c r="M2892" s="9">
        <v>11244.8</v>
      </c>
      <c r="N2892" s="9">
        <v>6.18</v>
      </c>
      <c r="O2892" s="10">
        <f>IF(AND(OR(H2892="APPROVED",H2892="SCHEDULED"),COUNTIFS(tblSource[EventID],F2892,tblSource[ReleaseStatus],"APPROVED")=1,COUNTIFS(Period_Status!$A$2:$A$8,G2892,Period_Status!$B$2:$B$8,"ActualClosed")=1,C2892&gt;EOMONTH(Settlement_Bridge!$C$2,0)),1,0)</f>
        <v>0</v>
      </c>
      <c r="P2892" s="2" t="s">
        <v>8076</v>
      </c>
    </row>
    <row r="2893" spans="1:16" x14ac:dyDescent="0.25">
      <c r="A2893" s="2" t="s">
        <v>8077</v>
      </c>
      <c r="B2893" s="2" t="s">
        <v>7433</v>
      </c>
      <c r="C2893" s="8">
        <v>46198</v>
      </c>
      <c r="D2893" s="6">
        <v>46174</v>
      </c>
      <c r="E2893" s="2" t="s">
        <v>260</v>
      </c>
      <c r="F2893" s="2" t="s">
        <v>8078</v>
      </c>
      <c r="G2893" s="6">
        <v>46174</v>
      </c>
      <c r="H2893" s="2" t="s">
        <v>71</v>
      </c>
      <c r="I2893" s="2" t="s">
        <v>76</v>
      </c>
      <c r="J2893" s="9">
        <v>121716096</v>
      </c>
      <c r="K2893" s="7">
        <v>6.2500000000000001E-5</v>
      </c>
      <c r="L2893" s="9">
        <v>7607.26</v>
      </c>
      <c r="M2893" s="9">
        <v>7607.26</v>
      </c>
      <c r="N2893" s="9">
        <v>4.18</v>
      </c>
      <c r="O2893" s="10">
        <f>IF(AND(OR(H2893="APPROVED",H2893="SCHEDULED"),COUNTIFS(tblSource[EventID],F2893,tblSource[ReleaseStatus],"APPROVED")=1,COUNTIFS(Period_Status!$A$2:$A$8,G2893,Period_Status!$B$2:$B$8,"ActualClosed")=1,C2893&gt;EOMONTH(Settlement_Bridge!$C$2,0)),1,0)</f>
        <v>0</v>
      </c>
      <c r="P2893" s="2" t="s">
        <v>8079</v>
      </c>
    </row>
    <row r="2894" spans="1:16" x14ac:dyDescent="0.25">
      <c r="A2894" s="2" t="s">
        <v>8080</v>
      </c>
      <c r="B2894" s="2" t="s">
        <v>7433</v>
      </c>
      <c r="C2894" s="8">
        <v>46223</v>
      </c>
      <c r="D2894" s="6">
        <v>46204</v>
      </c>
      <c r="E2894" s="2" t="s">
        <v>260</v>
      </c>
      <c r="F2894" s="2" t="s">
        <v>8078</v>
      </c>
      <c r="G2894" s="6">
        <v>46174</v>
      </c>
      <c r="H2894" s="2" t="s">
        <v>71</v>
      </c>
      <c r="I2894" s="2" t="s">
        <v>76</v>
      </c>
      <c r="J2894" s="9">
        <v>182574144</v>
      </c>
      <c r="K2894" s="7">
        <v>6.2000000000000003E-5</v>
      </c>
      <c r="L2894" s="9">
        <v>11319.6</v>
      </c>
      <c r="M2894" s="9">
        <v>11410.88</v>
      </c>
      <c r="N2894" s="9">
        <v>6.23</v>
      </c>
      <c r="O2894" s="10">
        <f>IF(AND(OR(H2894="APPROVED",H2894="SCHEDULED"),COUNTIFS(tblSource[EventID],F2894,tblSource[ReleaseStatus],"APPROVED")=1,COUNTIFS(Period_Status!$A$2:$A$8,G2894,Period_Status!$B$2:$B$8,"ActualClosed")=1,C2894&gt;EOMONTH(Settlement_Bridge!$C$2,0)),1,0)</f>
        <v>0</v>
      </c>
      <c r="P2894" s="2" t="s">
        <v>8081</v>
      </c>
    </row>
    <row r="2895" spans="1:16" x14ac:dyDescent="0.25">
      <c r="A2895" s="2" t="s">
        <v>8082</v>
      </c>
      <c r="B2895" s="2" t="s">
        <v>7433</v>
      </c>
      <c r="C2895" s="8">
        <v>46199</v>
      </c>
      <c r="D2895" s="6">
        <v>46174</v>
      </c>
      <c r="E2895" s="2" t="s">
        <v>260</v>
      </c>
      <c r="F2895" s="2" t="s">
        <v>8083</v>
      </c>
      <c r="G2895" s="6">
        <v>46174</v>
      </c>
      <c r="H2895" s="2" t="s">
        <v>71</v>
      </c>
      <c r="I2895" s="2" t="s">
        <v>70</v>
      </c>
      <c r="J2895" s="9">
        <v>11605.990978</v>
      </c>
      <c r="K2895" s="7">
        <v>0.66500000000000004</v>
      </c>
      <c r="L2895" s="9">
        <v>7717.98</v>
      </c>
      <c r="M2895" s="9">
        <v>7717.98</v>
      </c>
      <c r="N2895" s="9">
        <v>4.24</v>
      </c>
      <c r="O2895" s="10">
        <f>IF(AND(OR(H2895="APPROVED",H2895="SCHEDULED"),COUNTIFS(tblSource[EventID],F2895,tblSource[ReleaseStatus],"APPROVED")=1,COUNTIFS(Period_Status!$A$2:$A$8,G2895,Period_Status!$B$2:$B$8,"ActualClosed")=1,C2895&gt;EOMONTH(Settlement_Bridge!$C$2,0)),1,0)</f>
        <v>0</v>
      </c>
      <c r="P2895" s="2" t="s">
        <v>8084</v>
      </c>
    </row>
    <row r="2896" spans="1:16" x14ac:dyDescent="0.25">
      <c r="A2896" s="2" t="s">
        <v>8085</v>
      </c>
      <c r="B2896" s="2" t="s">
        <v>7433</v>
      </c>
      <c r="C2896" s="8">
        <v>46224</v>
      </c>
      <c r="D2896" s="6">
        <v>46204</v>
      </c>
      <c r="E2896" s="2" t="s">
        <v>260</v>
      </c>
      <c r="F2896" s="2" t="s">
        <v>8083</v>
      </c>
      <c r="G2896" s="6">
        <v>46174</v>
      </c>
      <c r="H2896" s="2" t="s">
        <v>71</v>
      </c>
      <c r="I2896" s="2" t="s">
        <v>70</v>
      </c>
      <c r="J2896" s="9">
        <v>17408.986465999998</v>
      </c>
      <c r="K2896" s="7">
        <v>0.65800000000000003</v>
      </c>
      <c r="L2896" s="9">
        <v>11455.11</v>
      </c>
      <c r="M2896" s="9">
        <v>11576.98</v>
      </c>
      <c r="N2896" s="9">
        <v>6.3</v>
      </c>
      <c r="O2896" s="10">
        <f>IF(AND(OR(H2896="APPROVED",H2896="SCHEDULED"),COUNTIFS(tblSource[EventID],F2896,tblSource[ReleaseStatus],"APPROVED")=1,COUNTIFS(Period_Status!$A$2:$A$8,G2896,Period_Status!$B$2:$B$8,"ActualClosed")=1,C2896&gt;EOMONTH(Settlement_Bridge!$C$2,0)),1,0)</f>
        <v>0</v>
      </c>
      <c r="P2896" s="2" t="s">
        <v>8086</v>
      </c>
    </row>
    <row r="2897" spans="1:16" x14ac:dyDescent="0.25">
      <c r="A2897" s="2" t="s">
        <v>8087</v>
      </c>
      <c r="B2897" s="2" t="s">
        <v>7433</v>
      </c>
      <c r="C2897" s="8">
        <v>46200</v>
      </c>
      <c r="D2897" s="6">
        <v>46174</v>
      </c>
      <c r="E2897" s="2" t="s">
        <v>260</v>
      </c>
      <c r="F2897" s="2" t="s">
        <v>8088</v>
      </c>
      <c r="G2897" s="6">
        <v>46174</v>
      </c>
      <c r="H2897" s="2" t="s">
        <v>71</v>
      </c>
      <c r="I2897" s="2" t="s">
        <v>39</v>
      </c>
      <c r="J2897" s="9">
        <v>7828.7120000000004</v>
      </c>
      <c r="K2897" s="7">
        <v>1</v>
      </c>
      <c r="L2897" s="9">
        <v>7828.71</v>
      </c>
      <c r="M2897" s="9">
        <v>7828.71</v>
      </c>
      <c r="N2897" s="9">
        <v>4.3099999999999996</v>
      </c>
      <c r="O2897" s="10">
        <f>IF(AND(OR(H2897="APPROVED",H2897="SCHEDULED"),COUNTIFS(tblSource[EventID],F2897,tblSource[ReleaseStatus],"APPROVED")=1,COUNTIFS(Period_Status!$A$2:$A$8,G2897,Period_Status!$B$2:$B$8,"ActualClosed")=1,C2897&gt;EOMONTH(Settlement_Bridge!$C$2,0)),1,0)</f>
        <v>0</v>
      </c>
      <c r="P2897" s="2" t="s">
        <v>8089</v>
      </c>
    </row>
    <row r="2898" spans="1:16" x14ac:dyDescent="0.25">
      <c r="A2898" s="2" t="s">
        <v>8090</v>
      </c>
      <c r="B2898" s="2" t="s">
        <v>7433</v>
      </c>
      <c r="C2898" s="8">
        <v>46225</v>
      </c>
      <c r="D2898" s="6">
        <v>46204</v>
      </c>
      <c r="E2898" s="2" t="s">
        <v>260</v>
      </c>
      <c r="F2898" s="2" t="s">
        <v>8088</v>
      </c>
      <c r="G2898" s="6">
        <v>46174</v>
      </c>
      <c r="H2898" s="2" t="s">
        <v>71</v>
      </c>
      <c r="I2898" s="2" t="s">
        <v>39</v>
      </c>
      <c r="J2898" s="9">
        <v>11743.067999999999</v>
      </c>
      <c r="K2898" s="7">
        <v>1</v>
      </c>
      <c r="L2898" s="9">
        <v>11743.07</v>
      </c>
      <c r="M2898" s="9">
        <v>11743.07</v>
      </c>
      <c r="N2898" s="9">
        <v>6.46</v>
      </c>
      <c r="O2898" s="10">
        <f>IF(AND(OR(H2898="APPROVED",H2898="SCHEDULED"),COUNTIFS(tblSource[EventID],F2898,tblSource[ReleaseStatus],"APPROVED")=1,COUNTIFS(Period_Status!$A$2:$A$8,G2898,Period_Status!$B$2:$B$8,"ActualClosed")=1,C2898&gt;EOMONTH(Settlement_Bridge!$C$2,0)),1,0)</f>
        <v>0</v>
      </c>
      <c r="P2898" s="2" t="s">
        <v>8091</v>
      </c>
    </row>
    <row r="2899" spans="1:16" x14ac:dyDescent="0.25">
      <c r="A2899" s="2" t="s">
        <v>8092</v>
      </c>
      <c r="B2899" s="2" t="s">
        <v>7433</v>
      </c>
      <c r="C2899" s="8">
        <v>46201</v>
      </c>
      <c r="D2899" s="6">
        <v>46174</v>
      </c>
      <c r="E2899" s="2" t="s">
        <v>260</v>
      </c>
      <c r="F2899" s="2" t="s">
        <v>8093</v>
      </c>
      <c r="G2899" s="6">
        <v>46174</v>
      </c>
      <c r="H2899" s="2" t="s">
        <v>71</v>
      </c>
      <c r="I2899" s="2" t="s">
        <v>76</v>
      </c>
      <c r="J2899" s="9">
        <v>127030976</v>
      </c>
      <c r="K2899" s="7">
        <v>6.2500000000000001E-5</v>
      </c>
      <c r="L2899" s="9">
        <v>7939.44</v>
      </c>
      <c r="M2899" s="9">
        <v>7939.44</v>
      </c>
      <c r="N2899" s="9">
        <v>4.37</v>
      </c>
      <c r="O2899" s="10">
        <f>IF(AND(OR(H2899="APPROVED",H2899="SCHEDULED"),COUNTIFS(tblSource[EventID],F2899,tblSource[ReleaseStatus],"APPROVED")=1,COUNTIFS(Period_Status!$A$2:$A$8,G2899,Period_Status!$B$2:$B$8,"ActualClosed")=1,C2899&gt;EOMONTH(Settlement_Bridge!$C$2,0)),1,0)</f>
        <v>0</v>
      </c>
      <c r="P2899" s="2" t="s">
        <v>8094</v>
      </c>
    </row>
    <row r="2900" spans="1:16" x14ac:dyDescent="0.25">
      <c r="A2900" s="2" t="s">
        <v>8095</v>
      </c>
      <c r="B2900" s="2" t="s">
        <v>7433</v>
      </c>
      <c r="C2900" s="8">
        <v>46226</v>
      </c>
      <c r="D2900" s="6">
        <v>46204</v>
      </c>
      <c r="E2900" s="2" t="s">
        <v>260</v>
      </c>
      <c r="F2900" s="2" t="s">
        <v>8093</v>
      </c>
      <c r="G2900" s="6">
        <v>46174</v>
      </c>
      <c r="H2900" s="2" t="s">
        <v>71</v>
      </c>
      <c r="I2900" s="2" t="s">
        <v>76</v>
      </c>
      <c r="J2900" s="9">
        <v>190546464</v>
      </c>
      <c r="K2900" s="7">
        <v>6.2000000000000003E-5</v>
      </c>
      <c r="L2900" s="9">
        <v>11813.88</v>
      </c>
      <c r="M2900" s="9">
        <v>11909.15</v>
      </c>
      <c r="N2900" s="9">
        <v>6.5</v>
      </c>
      <c r="O2900" s="10">
        <f>IF(AND(OR(H2900="APPROVED",H2900="SCHEDULED"),COUNTIFS(tblSource[EventID],F2900,tblSource[ReleaseStatus],"APPROVED")=1,COUNTIFS(Period_Status!$A$2:$A$8,G2900,Period_Status!$B$2:$B$8,"ActualClosed")=1,C2900&gt;EOMONTH(Settlement_Bridge!$C$2,0)),1,0)</f>
        <v>0</v>
      </c>
      <c r="P2900" s="2" t="s">
        <v>8096</v>
      </c>
    </row>
    <row r="2901" spans="1:16" x14ac:dyDescent="0.25">
      <c r="A2901" s="2" t="s">
        <v>8097</v>
      </c>
      <c r="B2901" s="2" t="s">
        <v>7433</v>
      </c>
      <c r="C2901" s="8">
        <v>46202</v>
      </c>
      <c r="D2901" s="6">
        <v>46174</v>
      </c>
      <c r="E2901" s="2" t="s">
        <v>260</v>
      </c>
      <c r="F2901" s="2" t="s">
        <v>8098</v>
      </c>
      <c r="G2901" s="6">
        <v>46174</v>
      </c>
      <c r="H2901" s="2" t="s">
        <v>71</v>
      </c>
      <c r="I2901" s="2" t="s">
        <v>70</v>
      </c>
      <c r="J2901" s="9">
        <v>12105.509774</v>
      </c>
      <c r="K2901" s="7">
        <v>0.66500000000000004</v>
      </c>
      <c r="L2901" s="9">
        <v>8050.16</v>
      </c>
      <c r="M2901" s="9">
        <v>8050.16</v>
      </c>
      <c r="N2901" s="9">
        <v>4.43</v>
      </c>
      <c r="O2901" s="10">
        <f>IF(AND(OR(H2901="APPROVED",H2901="SCHEDULED"),COUNTIFS(tblSource[EventID],F2901,tblSource[ReleaseStatus],"APPROVED")=1,COUNTIFS(Period_Status!$A$2:$A$8,G2901,Period_Status!$B$2:$B$8,"ActualClosed")=1,C2901&gt;EOMONTH(Settlement_Bridge!$C$2,0)),1,0)</f>
        <v>0</v>
      </c>
      <c r="P2901" s="2" t="s">
        <v>8099</v>
      </c>
    </row>
    <row r="2902" spans="1:16" x14ac:dyDescent="0.25">
      <c r="A2902" s="2" t="s">
        <v>8100</v>
      </c>
      <c r="B2902" s="2" t="s">
        <v>7433</v>
      </c>
      <c r="C2902" s="8">
        <v>46227</v>
      </c>
      <c r="D2902" s="6">
        <v>46204</v>
      </c>
      <c r="E2902" s="2" t="s">
        <v>260</v>
      </c>
      <c r="F2902" s="2" t="s">
        <v>8098</v>
      </c>
      <c r="G2902" s="6">
        <v>46174</v>
      </c>
      <c r="H2902" s="2" t="s">
        <v>71</v>
      </c>
      <c r="I2902" s="2" t="s">
        <v>70</v>
      </c>
      <c r="J2902" s="9">
        <v>18158.264662000001</v>
      </c>
      <c r="K2902" s="7">
        <v>0.65800000000000003</v>
      </c>
      <c r="L2902" s="9">
        <v>11948.14</v>
      </c>
      <c r="M2902" s="9">
        <v>12075.25</v>
      </c>
      <c r="N2902" s="9">
        <v>6.57</v>
      </c>
      <c r="O2902" s="10">
        <f>IF(AND(OR(H2902="APPROVED",H2902="SCHEDULED"),COUNTIFS(tblSource[EventID],F2902,tblSource[ReleaseStatus],"APPROVED")=1,COUNTIFS(Period_Status!$A$2:$A$8,G2902,Period_Status!$B$2:$B$8,"ActualClosed")=1,C2902&gt;EOMONTH(Settlement_Bridge!$C$2,0)),1,0)</f>
        <v>0</v>
      </c>
      <c r="P2902" s="2" t="s">
        <v>8101</v>
      </c>
    </row>
    <row r="2903" spans="1:16" x14ac:dyDescent="0.25">
      <c r="A2903" s="2" t="s">
        <v>8102</v>
      </c>
      <c r="B2903" s="2" t="s">
        <v>7433</v>
      </c>
      <c r="C2903" s="8">
        <v>46203</v>
      </c>
      <c r="D2903" s="6">
        <v>46174</v>
      </c>
      <c r="E2903" s="2" t="s">
        <v>260</v>
      </c>
      <c r="F2903" s="2" t="s">
        <v>8103</v>
      </c>
      <c r="G2903" s="6">
        <v>46174</v>
      </c>
      <c r="H2903" s="2" t="s">
        <v>71</v>
      </c>
      <c r="I2903" s="2" t="s">
        <v>39</v>
      </c>
      <c r="J2903" s="9">
        <v>8160.8879999999999</v>
      </c>
      <c r="K2903" s="7">
        <v>1</v>
      </c>
      <c r="L2903" s="9">
        <v>8160.89</v>
      </c>
      <c r="M2903" s="9">
        <v>8160.89</v>
      </c>
      <c r="N2903" s="9">
        <v>4.49</v>
      </c>
      <c r="O2903" s="10">
        <f>IF(AND(OR(H2903="APPROVED",H2903="SCHEDULED"),COUNTIFS(tblSource[EventID],F2903,tblSource[ReleaseStatus],"APPROVED")=1,COUNTIFS(Period_Status!$A$2:$A$8,G2903,Period_Status!$B$2:$B$8,"ActualClosed")=1,C2903&gt;EOMONTH(Settlement_Bridge!$C$2,0)),1,0)</f>
        <v>0</v>
      </c>
      <c r="P2903" s="2" t="s">
        <v>8104</v>
      </c>
    </row>
    <row r="2904" spans="1:16" x14ac:dyDescent="0.25">
      <c r="A2904" s="2" t="s">
        <v>8105</v>
      </c>
      <c r="B2904" s="2" t="s">
        <v>7433</v>
      </c>
      <c r="C2904" s="8">
        <v>46228</v>
      </c>
      <c r="D2904" s="6">
        <v>46204</v>
      </c>
      <c r="E2904" s="2" t="s">
        <v>260</v>
      </c>
      <c r="F2904" s="2" t="s">
        <v>8103</v>
      </c>
      <c r="G2904" s="6">
        <v>46174</v>
      </c>
      <c r="H2904" s="2" t="s">
        <v>71</v>
      </c>
      <c r="I2904" s="2" t="s">
        <v>39</v>
      </c>
      <c r="J2904" s="9">
        <v>12241.332</v>
      </c>
      <c r="K2904" s="7">
        <v>1</v>
      </c>
      <c r="L2904" s="9">
        <v>12241.33</v>
      </c>
      <c r="M2904" s="9">
        <v>12241.33</v>
      </c>
      <c r="N2904" s="9">
        <v>6.73</v>
      </c>
      <c r="O2904" s="10">
        <f>IF(AND(OR(H2904="APPROVED",H2904="SCHEDULED"),COUNTIFS(tblSource[EventID],F2904,tblSource[ReleaseStatus],"APPROVED")=1,COUNTIFS(Period_Status!$A$2:$A$8,G2904,Period_Status!$B$2:$B$8,"ActualClosed")=1,C2904&gt;EOMONTH(Settlement_Bridge!$C$2,0)),1,0)</f>
        <v>0</v>
      </c>
      <c r="P2904" s="2" t="s">
        <v>8106</v>
      </c>
    </row>
    <row r="2905" spans="1:16" x14ac:dyDescent="0.25">
      <c r="A2905" s="2" t="s">
        <v>8107</v>
      </c>
      <c r="B2905" s="2" t="s">
        <v>7433</v>
      </c>
      <c r="C2905" s="8">
        <v>46204</v>
      </c>
      <c r="D2905" s="6">
        <v>46204</v>
      </c>
      <c r="E2905" s="2" t="s">
        <v>260</v>
      </c>
      <c r="F2905" s="2" t="s">
        <v>8108</v>
      </c>
      <c r="G2905" s="6">
        <v>46174</v>
      </c>
      <c r="H2905" s="2" t="s">
        <v>71</v>
      </c>
      <c r="I2905" s="2" t="s">
        <v>76</v>
      </c>
      <c r="J2905" s="9">
        <v>132345856</v>
      </c>
      <c r="K2905" s="7">
        <v>6.2000000000000003E-5</v>
      </c>
      <c r="L2905" s="9">
        <v>8205.44</v>
      </c>
      <c r="M2905" s="9">
        <v>8271.6200000000008</v>
      </c>
      <c r="N2905" s="9">
        <v>4.51</v>
      </c>
      <c r="O2905" s="10">
        <f>IF(AND(OR(H2905="APPROVED",H2905="SCHEDULED"),COUNTIFS(tblSource[EventID],F2905,tblSource[ReleaseStatus],"APPROVED")=1,COUNTIFS(Period_Status!$A$2:$A$8,G2905,Period_Status!$B$2:$B$8,"ActualClosed")=1,C2905&gt;EOMONTH(Settlement_Bridge!$C$2,0)),1,0)</f>
        <v>0</v>
      </c>
      <c r="P2905" s="2" t="s">
        <v>8109</v>
      </c>
    </row>
    <row r="2906" spans="1:16" x14ac:dyDescent="0.25">
      <c r="A2906" s="2" t="s">
        <v>8110</v>
      </c>
      <c r="B2906" s="2" t="s">
        <v>7433</v>
      </c>
      <c r="C2906" s="8">
        <v>46229</v>
      </c>
      <c r="D2906" s="6">
        <v>46204</v>
      </c>
      <c r="E2906" s="2" t="s">
        <v>260</v>
      </c>
      <c r="F2906" s="2" t="s">
        <v>8108</v>
      </c>
      <c r="G2906" s="6">
        <v>46174</v>
      </c>
      <c r="H2906" s="2" t="s">
        <v>71</v>
      </c>
      <c r="I2906" s="2" t="s">
        <v>76</v>
      </c>
      <c r="J2906" s="9">
        <v>198518784</v>
      </c>
      <c r="K2906" s="7">
        <v>6.2000000000000003E-5</v>
      </c>
      <c r="L2906" s="9">
        <v>12308.16</v>
      </c>
      <c r="M2906" s="9">
        <v>12407.42</v>
      </c>
      <c r="N2906" s="9">
        <v>6.77</v>
      </c>
      <c r="O2906" s="10">
        <f>IF(AND(OR(H2906="APPROVED",H2906="SCHEDULED"),COUNTIFS(tblSource[EventID],F2906,tblSource[ReleaseStatus],"APPROVED")=1,COUNTIFS(Period_Status!$A$2:$A$8,G2906,Period_Status!$B$2:$B$8,"ActualClosed")=1,C2906&gt;EOMONTH(Settlement_Bridge!$C$2,0)),1,0)</f>
        <v>0</v>
      </c>
      <c r="P2906" s="2" t="s">
        <v>8111</v>
      </c>
    </row>
    <row r="2907" spans="1:16" x14ac:dyDescent="0.25">
      <c r="A2907" s="2" t="s">
        <v>8112</v>
      </c>
      <c r="B2907" s="2" t="s">
        <v>7433</v>
      </c>
      <c r="C2907" s="8">
        <v>46205</v>
      </c>
      <c r="D2907" s="6">
        <v>46204</v>
      </c>
      <c r="E2907" s="2" t="s">
        <v>260</v>
      </c>
      <c r="F2907" s="2" t="s">
        <v>8113</v>
      </c>
      <c r="G2907" s="6">
        <v>46174</v>
      </c>
      <c r="H2907" s="2" t="s">
        <v>71</v>
      </c>
      <c r="I2907" s="2" t="s">
        <v>70</v>
      </c>
      <c r="J2907" s="9">
        <v>12605.028571999999</v>
      </c>
      <c r="K2907" s="7">
        <v>0.65800000000000003</v>
      </c>
      <c r="L2907" s="9">
        <v>8294.11</v>
      </c>
      <c r="M2907" s="9">
        <v>8382.34</v>
      </c>
      <c r="N2907" s="9">
        <v>4.5599999999999996</v>
      </c>
      <c r="O2907" s="10">
        <f>IF(AND(OR(H2907="APPROVED",H2907="SCHEDULED"),COUNTIFS(tblSource[EventID],F2907,tblSource[ReleaseStatus],"APPROVED")=1,COUNTIFS(Period_Status!$A$2:$A$8,G2907,Period_Status!$B$2:$B$8,"ActualClosed")=1,C2907&gt;EOMONTH(Settlement_Bridge!$C$2,0)),1,0)</f>
        <v>0</v>
      </c>
      <c r="P2907" s="2" t="s">
        <v>8114</v>
      </c>
    </row>
    <row r="2908" spans="1:16" x14ac:dyDescent="0.25">
      <c r="A2908" s="2" t="s">
        <v>8115</v>
      </c>
      <c r="B2908" s="2" t="s">
        <v>7433</v>
      </c>
      <c r="C2908" s="8">
        <v>46230</v>
      </c>
      <c r="D2908" s="6">
        <v>46204</v>
      </c>
      <c r="E2908" s="2" t="s">
        <v>260</v>
      </c>
      <c r="F2908" s="2" t="s">
        <v>8113</v>
      </c>
      <c r="G2908" s="6">
        <v>46174</v>
      </c>
      <c r="H2908" s="2" t="s">
        <v>71</v>
      </c>
      <c r="I2908" s="2" t="s">
        <v>70</v>
      </c>
      <c r="J2908" s="9">
        <v>18907.542857</v>
      </c>
      <c r="K2908" s="7">
        <v>0.65800000000000003</v>
      </c>
      <c r="L2908" s="9">
        <v>12441.16</v>
      </c>
      <c r="M2908" s="9">
        <v>12573.52</v>
      </c>
      <c r="N2908" s="9">
        <v>6.84</v>
      </c>
      <c r="O2908" s="10">
        <f>IF(AND(OR(H2908="APPROVED",H2908="SCHEDULED"),COUNTIFS(tblSource[EventID],F2908,tblSource[ReleaseStatus],"APPROVED")=1,COUNTIFS(Period_Status!$A$2:$A$8,G2908,Period_Status!$B$2:$B$8,"ActualClosed")=1,C2908&gt;EOMONTH(Settlement_Bridge!$C$2,0)),1,0)</f>
        <v>0</v>
      </c>
      <c r="P2908" s="2" t="s">
        <v>8116</v>
      </c>
    </row>
    <row r="2909" spans="1:16" x14ac:dyDescent="0.25">
      <c r="A2909" s="2" t="s">
        <v>8117</v>
      </c>
      <c r="B2909" s="2" t="s">
        <v>7433</v>
      </c>
      <c r="C2909" s="8">
        <v>46206</v>
      </c>
      <c r="D2909" s="6">
        <v>46204</v>
      </c>
      <c r="E2909" s="2" t="s">
        <v>260</v>
      </c>
      <c r="F2909" s="2" t="s">
        <v>8118</v>
      </c>
      <c r="G2909" s="6">
        <v>46174</v>
      </c>
      <c r="H2909" s="2" t="s">
        <v>71</v>
      </c>
      <c r="I2909" s="2" t="s">
        <v>39</v>
      </c>
      <c r="J2909" s="9">
        <v>8493.0679999999993</v>
      </c>
      <c r="K2909" s="7">
        <v>1</v>
      </c>
      <c r="L2909" s="9">
        <v>8493.07</v>
      </c>
      <c r="M2909" s="9">
        <v>8493.07</v>
      </c>
      <c r="N2909" s="9">
        <v>4.67</v>
      </c>
      <c r="O2909" s="10">
        <f>IF(AND(OR(H2909="APPROVED",H2909="SCHEDULED"),COUNTIFS(tblSource[EventID],F2909,tblSource[ReleaseStatus],"APPROVED")=1,COUNTIFS(Period_Status!$A$2:$A$8,G2909,Period_Status!$B$2:$B$8,"ActualClosed")=1,C2909&gt;EOMONTH(Settlement_Bridge!$C$2,0)),1,0)</f>
        <v>0</v>
      </c>
      <c r="P2909" s="2" t="s">
        <v>8119</v>
      </c>
    </row>
    <row r="2910" spans="1:16" x14ac:dyDescent="0.25">
      <c r="A2910" s="2" t="s">
        <v>8120</v>
      </c>
      <c r="B2910" s="2" t="s">
        <v>7433</v>
      </c>
      <c r="C2910" s="8">
        <v>46231</v>
      </c>
      <c r="D2910" s="6">
        <v>46204</v>
      </c>
      <c r="E2910" s="2" t="s">
        <v>260</v>
      </c>
      <c r="F2910" s="2" t="s">
        <v>8118</v>
      </c>
      <c r="G2910" s="6">
        <v>46174</v>
      </c>
      <c r="H2910" s="2" t="s">
        <v>71</v>
      </c>
      <c r="I2910" s="2" t="s">
        <v>39</v>
      </c>
      <c r="J2910" s="9">
        <v>12739.602000000001</v>
      </c>
      <c r="K2910" s="7">
        <v>1</v>
      </c>
      <c r="L2910" s="9">
        <v>12739.6</v>
      </c>
      <c r="M2910" s="9">
        <v>12739.6</v>
      </c>
      <c r="N2910" s="9">
        <v>7.01</v>
      </c>
      <c r="O2910" s="10">
        <f>IF(AND(OR(H2910="APPROVED",H2910="SCHEDULED"),COUNTIFS(tblSource[EventID],F2910,tblSource[ReleaseStatus],"APPROVED")=1,COUNTIFS(Period_Status!$A$2:$A$8,G2910,Period_Status!$B$2:$B$8,"ActualClosed")=1,C2910&gt;EOMONTH(Settlement_Bridge!$C$2,0)),1,0)</f>
        <v>0</v>
      </c>
      <c r="P2910" s="2" t="s">
        <v>8121</v>
      </c>
    </row>
    <row r="2911" spans="1:16" x14ac:dyDescent="0.25">
      <c r="A2911" s="2" t="s">
        <v>8122</v>
      </c>
      <c r="B2911" s="2" t="s">
        <v>7433</v>
      </c>
      <c r="C2911" s="8">
        <v>46207</v>
      </c>
      <c r="D2911" s="6">
        <v>46204</v>
      </c>
      <c r="E2911" s="2" t="s">
        <v>260</v>
      </c>
      <c r="F2911" s="2" t="s">
        <v>8123</v>
      </c>
      <c r="G2911" s="6">
        <v>46174</v>
      </c>
      <c r="H2911" s="2" t="s">
        <v>71</v>
      </c>
      <c r="I2911" s="2" t="s">
        <v>76</v>
      </c>
      <c r="J2911" s="9">
        <v>137660736</v>
      </c>
      <c r="K2911" s="7">
        <v>6.2000000000000003E-5</v>
      </c>
      <c r="L2911" s="9">
        <v>8534.9699999999993</v>
      </c>
      <c r="M2911" s="9">
        <v>8603.7999999999993</v>
      </c>
      <c r="N2911" s="9">
        <v>4.6900000000000004</v>
      </c>
      <c r="O2911" s="10">
        <f>IF(AND(OR(H2911="APPROVED",H2911="SCHEDULED"),COUNTIFS(tblSource[EventID],F2911,tblSource[ReleaseStatus],"APPROVED")=1,COUNTIFS(Period_Status!$A$2:$A$8,G2911,Period_Status!$B$2:$B$8,"ActualClosed")=1,C2911&gt;EOMONTH(Settlement_Bridge!$C$2,0)),1,0)</f>
        <v>0</v>
      </c>
      <c r="P2911" s="2" t="s">
        <v>8124</v>
      </c>
    </row>
    <row r="2912" spans="1:16" x14ac:dyDescent="0.25">
      <c r="A2912" s="2" t="s">
        <v>8125</v>
      </c>
      <c r="B2912" s="2" t="s">
        <v>7433</v>
      </c>
      <c r="C2912" s="8">
        <v>46232</v>
      </c>
      <c r="D2912" s="6">
        <v>46204</v>
      </c>
      <c r="E2912" s="2" t="s">
        <v>260</v>
      </c>
      <c r="F2912" s="2" t="s">
        <v>8123</v>
      </c>
      <c r="G2912" s="6">
        <v>46174</v>
      </c>
      <c r="H2912" s="2" t="s">
        <v>71</v>
      </c>
      <c r="I2912" s="2" t="s">
        <v>76</v>
      </c>
      <c r="J2912" s="9">
        <v>206491104</v>
      </c>
      <c r="K2912" s="7">
        <v>6.2000000000000003E-5</v>
      </c>
      <c r="L2912" s="9">
        <v>12802.45</v>
      </c>
      <c r="M2912" s="9">
        <v>12905.69</v>
      </c>
      <c r="N2912" s="9">
        <v>7.04</v>
      </c>
      <c r="O2912" s="10">
        <f>IF(AND(OR(H2912="APPROVED",H2912="SCHEDULED"),COUNTIFS(tblSource[EventID],F2912,tblSource[ReleaseStatus],"APPROVED")=1,COUNTIFS(Period_Status!$A$2:$A$8,G2912,Period_Status!$B$2:$B$8,"ActualClosed")=1,C2912&gt;EOMONTH(Settlement_Bridge!$C$2,0)),1,0)</f>
        <v>0</v>
      </c>
      <c r="P2912" s="2" t="s">
        <v>8126</v>
      </c>
    </row>
    <row r="2913" spans="1:16" x14ac:dyDescent="0.25">
      <c r="A2913" s="2" t="s">
        <v>8127</v>
      </c>
      <c r="B2913" s="2" t="s">
        <v>7433</v>
      </c>
      <c r="C2913" s="8">
        <v>46208</v>
      </c>
      <c r="D2913" s="6">
        <v>46204</v>
      </c>
      <c r="E2913" s="2" t="s">
        <v>260</v>
      </c>
      <c r="F2913" s="2" t="s">
        <v>8128</v>
      </c>
      <c r="G2913" s="6">
        <v>46174</v>
      </c>
      <c r="H2913" s="2" t="s">
        <v>71</v>
      </c>
      <c r="I2913" s="2" t="s">
        <v>70</v>
      </c>
      <c r="J2913" s="9">
        <v>13104.541353000001</v>
      </c>
      <c r="K2913" s="7">
        <v>0.65800000000000003</v>
      </c>
      <c r="L2913" s="9">
        <v>8622.7900000000009</v>
      </c>
      <c r="M2913" s="9">
        <v>8714.52</v>
      </c>
      <c r="N2913" s="9">
        <v>4.74</v>
      </c>
      <c r="O2913" s="10">
        <f>IF(AND(OR(H2913="APPROVED",H2913="SCHEDULED"),COUNTIFS(tblSource[EventID],F2913,tblSource[ReleaseStatus],"APPROVED")=1,COUNTIFS(Period_Status!$A$2:$A$8,G2913,Period_Status!$B$2:$B$8,"ActualClosed")=1,C2913&gt;EOMONTH(Settlement_Bridge!$C$2,0)),1,0)</f>
        <v>0</v>
      </c>
      <c r="P2913" s="2" t="s">
        <v>8129</v>
      </c>
    </row>
    <row r="2914" spans="1:16" x14ac:dyDescent="0.25">
      <c r="A2914" s="2" t="s">
        <v>8130</v>
      </c>
      <c r="B2914" s="2" t="s">
        <v>7433</v>
      </c>
      <c r="C2914" s="8">
        <v>46233</v>
      </c>
      <c r="D2914" s="6">
        <v>46204</v>
      </c>
      <c r="E2914" s="2" t="s">
        <v>260</v>
      </c>
      <c r="F2914" s="2" t="s">
        <v>8128</v>
      </c>
      <c r="G2914" s="6">
        <v>46174</v>
      </c>
      <c r="H2914" s="2" t="s">
        <v>71</v>
      </c>
      <c r="I2914" s="2" t="s">
        <v>70</v>
      </c>
      <c r="J2914" s="9">
        <v>19656.812030000001</v>
      </c>
      <c r="K2914" s="7">
        <v>0.65800000000000003</v>
      </c>
      <c r="L2914" s="9">
        <v>12934.18</v>
      </c>
      <c r="M2914" s="9">
        <v>13071.78</v>
      </c>
      <c r="N2914" s="9">
        <v>7.11</v>
      </c>
      <c r="O2914" s="10">
        <f>IF(AND(OR(H2914="APPROVED",H2914="SCHEDULED"),COUNTIFS(tblSource[EventID],F2914,tblSource[ReleaseStatus],"APPROVED")=1,COUNTIFS(Period_Status!$A$2:$A$8,G2914,Period_Status!$B$2:$B$8,"ActualClosed")=1,C2914&gt;EOMONTH(Settlement_Bridge!$C$2,0)),1,0)</f>
        <v>0</v>
      </c>
      <c r="P2914" s="2" t="s">
        <v>8131</v>
      </c>
    </row>
    <row r="2915" spans="1:16" x14ac:dyDescent="0.25">
      <c r="A2915" s="2" t="s">
        <v>8132</v>
      </c>
      <c r="B2915" s="2" t="s">
        <v>7433</v>
      </c>
      <c r="C2915" s="8">
        <v>46209</v>
      </c>
      <c r="D2915" s="6">
        <v>46204</v>
      </c>
      <c r="E2915" s="2" t="s">
        <v>260</v>
      </c>
      <c r="F2915" s="2" t="s">
        <v>8133</v>
      </c>
      <c r="G2915" s="6">
        <v>46174</v>
      </c>
      <c r="H2915" s="2" t="s">
        <v>71</v>
      </c>
      <c r="I2915" s="2" t="s">
        <v>39</v>
      </c>
      <c r="J2915" s="9">
        <v>8825.2479999999996</v>
      </c>
      <c r="K2915" s="7">
        <v>1</v>
      </c>
      <c r="L2915" s="9">
        <v>8825.25</v>
      </c>
      <c r="M2915" s="9">
        <v>8825.25</v>
      </c>
      <c r="N2915" s="9">
        <v>4.8499999999999996</v>
      </c>
      <c r="O2915" s="10">
        <f>IF(AND(OR(H2915="APPROVED",H2915="SCHEDULED"),COUNTIFS(tblSource[EventID],F2915,tblSource[ReleaseStatus],"APPROVED")=1,COUNTIFS(Period_Status!$A$2:$A$8,G2915,Period_Status!$B$2:$B$8,"ActualClosed")=1,C2915&gt;EOMONTH(Settlement_Bridge!$C$2,0)),1,0)</f>
        <v>0</v>
      </c>
      <c r="P2915" s="2" t="s">
        <v>8134</v>
      </c>
    </row>
    <row r="2916" spans="1:16" x14ac:dyDescent="0.25">
      <c r="A2916" s="2" t="s">
        <v>8135</v>
      </c>
      <c r="B2916" s="2" t="s">
        <v>7433</v>
      </c>
      <c r="C2916" s="8">
        <v>46234</v>
      </c>
      <c r="D2916" s="6">
        <v>46204</v>
      </c>
      <c r="E2916" s="2" t="s">
        <v>260</v>
      </c>
      <c r="F2916" s="2" t="s">
        <v>8133</v>
      </c>
      <c r="G2916" s="6">
        <v>46174</v>
      </c>
      <c r="H2916" s="2" t="s">
        <v>71</v>
      </c>
      <c r="I2916" s="2" t="s">
        <v>39</v>
      </c>
      <c r="J2916" s="9">
        <v>13237.871999999999</v>
      </c>
      <c r="K2916" s="7">
        <v>1</v>
      </c>
      <c r="L2916" s="9">
        <v>13237.87</v>
      </c>
      <c r="M2916" s="9">
        <v>13237.87</v>
      </c>
      <c r="N2916" s="9">
        <v>7.28</v>
      </c>
      <c r="O2916" s="10">
        <f>IF(AND(OR(H2916="APPROVED",H2916="SCHEDULED"),COUNTIFS(tblSource[EventID],F2916,tblSource[ReleaseStatus],"APPROVED")=1,COUNTIFS(Period_Status!$A$2:$A$8,G2916,Period_Status!$B$2:$B$8,"ActualClosed")=1,C2916&gt;EOMONTH(Settlement_Bridge!$C$2,0)),1,0)</f>
        <v>0</v>
      </c>
      <c r="P2916" s="2" t="s">
        <v>8136</v>
      </c>
    </row>
    <row r="2917" spans="1:16" x14ac:dyDescent="0.25">
      <c r="A2917" s="2" t="s">
        <v>8137</v>
      </c>
      <c r="B2917" s="2" t="s">
        <v>7433</v>
      </c>
      <c r="C2917" s="8">
        <v>46210</v>
      </c>
      <c r="D2917" s="6">
        <v>46204</v>
      </c>
      <c r="E2917" s="2" t="s">
        <v>260</v>
      </c>
      <c r="F2917" s="2" t="s">
        <v>8138</v>
      </c>
      <c r="G2917" s="6">
        <v>46174</v>
      </c>
      <c r="H2917" s="2" t="s">
        <v>71</v>
      </c>
      <c r="I2917" s="2" t="s">
        <v>76</v>
      </c>
      <c r="J2917" s="9">
        <v>142975616</v>
      </c>
      <c r="K2917" s="7">
        <v>6.2000000000000003E-5</v>
      </c>
      <c r="L2917" s="9">
        <v>8864.49</v>
      </c>
      <c r="M2917" s="9">
        <v>8935.98</v>
      </c>
      <c r="N2917" s="9">
        <v>4.88</v>
      </c>
      <c r="O2917" s="10">
        <f>IF(AND(OR(H2917="APPROVED",H2917="SCHEDULED"),COUNTIFS(tblSource[EventID],F2917,tblSource[ReleaseStatus],"APPROVED")=1,COUNTIFS(Period_Status!$A$2:$A$8,G2917,Period_Status!$B$2:$B$8,"ActualClosed")=1,C2917&gt;EOMONTH(Settlement_Bridge!$C$2,0)),1,0)</f>
        <v>0</v>
      </c>
      <c r="P2917" s="2" t="s">
        <v>8139</v>
      </c>
    </row>
    <row r="2918" spans="1:16" x14ac:dyDescent="0.25">
      <c r="A2918" s="2" t="s">
        <v>8140</v>
      </c>
      <c r="B2918" s="2" t="s">
        <v>7433</v>
      </c>
      <c r="C2918" s="8">
        <v>46235</v>
      </c>
      <c r="D2918" s="6">
        <v>46235</v>
      </c>
      <c r="E2918" s="2" t="s">
        <v>260</v>
      </c>
      <c r="F2918" s="2" t="s">
        <v>8138</v>
      </c>
      <c r="G2918" s="6">
        <v>46174</v>
      </c>
      <c r="H2918" s="2" t="s">
        <v>71</v>
      </c>
      <c r="I2918" s="2" t="s">
        <v>76</v>
      </c>
      <c r="J2918" s="9">
        <v>214463424</v>
      </c>
      <c r="K2918" s="7">
        <v>6.1500000000000004E-5</v>
      </c>
      <c r="L2918" s="9">
        <v>13189.5</v>
      </c>
      <c r="M2918" s="9">
        <v>13403.96</v>
      </c>
      <c r="N2918" s="9">
        <v>7.25</v>
      </c>
      <c r="O2918" s="10">
        <f>IF(AND(OR(H2918="APPROVED",H2918="SCHEDULED"),COUNTIFS(tblSource[EventID],F2918,tblSource[ReleaseStatus],"APPROVED")=1,COUNTIFS(Period_Status!$A$2:$A$8,G2918,Period_Status!$B$2:$B$8,"ActualClosed")=1,C2918&gt;EOMONTH(Settlement_Bridge!$C$2,0)),1,0)</f>
        <v>1</v>
      </c>
      <c r="P2918" s="2" t="s">
        <v>8141</v>
      </c>
    </row>
    <row r="2919" spans="1:16" x14ac:dyDescent="0.25">
      <c r="A2919" s="2" t="s">
        <v>8142</v>
      </c>
      <c r="B2919" s="2" t="s">
        <v>7433</v>
      </c>
      <c r="C2919" s="8">
        <v>46211</v>
      </c>
      <c r="D2919" s="6">
        <v>46204</v>
      </c>
      <c r="E2919" s="2" t="s">
        <v>260</v>
      </c>
      <c r="F2919" s="2" t="s">
        <v>8143</v>
      </c>
      <c r="G2919" s="6">
        <v>46174</v>
      </c>
      <c r="H2919" s="2" t="s">
        <v>71</v>
      </c>
      <c r="I2919" s="2" t="s">
        <v>70</v>
      </c>
      <c r="J2919" s="9">
        <v>13604.060149999999</v>
      </c>
      <c r="K2919" s="7">
        <v>0.65800000000000003</v>
      </c>
      <c r="L2919" s="9">
        <v>8951.4699999999993</v>
      </c>
      <c r="M2919" s="9">
        <v>9046.7000000000007</v>
      </c>
      <c r="N2919" s="9">
        <v>4.92</v>
      </c>
      <c r="O2919" s="10">
        <f>IF(AND(OR(H2919="APPROVED",H2919="SCHEDULED"),COUNTIFS(tblSource[EventID],F2919,tblSource[ReleaseStatus],"APPROVED")=1,COUNTIFS(Period_Status!$A$2:$A$8,G2919,Period_Status!$B$2:$B$8,"ActualClosed")=1,C2919&gt;EOMONTH(Settlement_Bridge!$C$2,0)),1,0)</f>
        <v>0</v>
      </c>
      <c r="P2919" s="2" t="s">
        <v>8144</v>
      </c>
    </row>
    <row r="2920" spans="1:16" x14ac:dyDescent="0.25">
      <c r="A2920" s="2" t="s">
        <v>8145</v>
      </c>
      <c r="B2920" s="2" t="s">
        <v>7433</v>
      </c>
      <c r="C2920" s="8">
        <v>46236</v>
      </c>
      <c r="D2920" s="6">
        <v>46235</v>
      </c>
      <c r="E2920" s="2" t="s">
        <v>260</v>
      </c>
      <c r="F2920" s="2" t="s">
        <v>8143</v>
      </c>
      <c r="G2920" s="6">
        <v>46174</v>
      </c>
      <c r="H2920" s="2" t="s">
        <v>71</v>
      </c>
      <c r="I2920" s="2" t="s">
        <v>70</v>
      </c>
      <c r="J2920" s="9">
        <v>20406.090226</v>
      </c>
      <c r="K2920" s="7">
        <v>0.65</v>
      </c>
      <c r="L2920" s="9">
        <v>13263.96</v>
      </c>
      <c r="M2920" s="9">
        <v>13570.05</v>
      </c>
      <c r="N2920" s="9">
        <v>7.3</v>
      </c>
      <c r="O2920" s="10">
        <f>IF(AND(OR(H2920="APPROVED",H2920="SCHEDULED"),COUNTIFS(tblSource[EventID],F2920,tblSource[ReleaseStatus],"APPROVED")=1,COUNTIFS(Period_Status!$A$2:$A$8,G2920,Period_Status!$B$2:$B$8,"ActualClosed")=1,C2920&gt;EOMONTH(Settlement_Bridge!$C$2,0)),1,0)</f>
        <v>1</v>
      </c>
      <c r="P2920" s="2" t="s">
        <v>8146</v>
      </c>
    </row>
    <row r="2921" spans="1:16" x14ac:dyDescent="0.25">
      <c r="A2921" s="2" t="s">
        <v>8147</v>
      </c>
      <c r="B2921" s="2" t="s">
        <v>7433</v>
      </c>
      <c r="C2921" s="8">
        <v>46212</v>
      </c>
      <c r="D2921" s="6">
        <v>46204</v>
      </c>
      <c r="E2921" s="2" t="s">
        <v>260</v>
      </c>
      <c r="F2921" s="2" t="s">
        <v>8148</v>
      </c>
      <c r="G2921" s="6">
        <v>46174</v>
      </c>
      <c r="H2921" s="2" t="s">
        <v>71</v>
      </c>
      <c r="I2921" s="2" t="s">
        <v>39</v>
      </c>
      <c r="J2921" s="9">
        <v>9157.4279999999999</v>
      </c>
      <c r="K2921" s="7">
        <v>1</v>
      </c>
      <c r="L2921" s="9">
        <v>9157.43</v>
      </c>
      <c r="M2921" s="9">
        <v>9157.43</v>
      </c>
      <c r="N2921" s="9">
        <v>5.04</v>
      </c>
      <c r="O2921" s="10">
        <f>IF(AND(OR(H2921="APPROVED",H2921="SCHEDULED"),COUNTIFS(tblSource[EventID],F2921,tblSource[ReleaseStatus],"APPROVED")=1,COUNTIFS(Period_Status!$A$2:$A$8,G2921,Period_Status!$B$2:$B$8,"ActualClosed")=1,C2921&gt;EOMONTH(Settlement_Bridge!$C$2,0)),1,0)</f>
        <v>0</v>
      </c>
      <c r="P2921" s="2" t="s">
        <v>8149</v>
      </c>
    </row>
    <row r="2922" spans="1:16" x14ac:dyDescent="0.25">
      <c r="A2922" s="2" t="s">
        <v>8150</v>
      </c>
      <c r="B2922" s="2" t="s">
        <v>7433</v>
      </c>
      <c r="C2922" s="8">
        <v>46237</v>
      </c>
      <c r="D2922" s="6">
        <v>46235</v>
      </c>
      <c r="E2922" s="2" t="s">
        <v>260</v>
      </c>
      <c r="F2922" s="2" t="s">
        <v>8148</v>
      </c>
      <c r="G2922" s="6">
        <v>46174</v>
      </c>
      <c r="H2922" s="2" t="s">
        <v>71</v>
      </c>
      <c r="I2922" s="2" t="s">
        <v>39</v>
      </c>
      <c r="J2922" s="9">
        <v>13736.142</v>
      </c>
      <c r="K2922" s="7">
        <v>1</v>
      </c>
      <c r="L2922" s="9">
        <v>13736.14</v>
      </c>
      <c r="M2922" s="9">
        <v>13736.14</v>
      </c>
      <c r="N2922" s="9">
        <v>7.55</v>
      </c>
      <c r="O2922" s="10">
        <f>IF(AND(OR(H2922="APPROVED",H2922="SCHEDULED"),COUNTIFS(tblSource[EventID],F2922,tblSource[ReleaseStatus],"APPROVED")=1,COUNTIFS(Period_Status!$A$2:$A$8,G2922,Period_Status!$B$2:$B$8,"ActualClosed")=1,C2922&gt;EOMONTH(Settlement_Bridge!$C$2,0)),1,0)</f>
        <v>1</v>
      </c>
      <c r="P2922" s="2" t="s">
        <v>8151</v>
      </c>
    </row>
    <row r="2923" spans="1:16" x14ac:dyDescent="0.25">
      <c r="A2923" s="2" t="s">
        <v>8152</v>
      </c>
      <c r="B2923" s="2" t="s">
        <v>7433</v>
      </c>
      <c r="C2923" s="8">
        <v>46213</v>
      </c>
      <c r="D2923" s="6">
        <v>46204</v>
      </c>
      <c r="E2923" s="2" t="s">
        <v>260</v>
      </c>
      <c r="F2923" s="2" t="s">
        <v>8153</v>
      </c>
      <c r="G2923" s="6">
        <v>46174</v>
      </c>
      <c r="H2923" s="2" t="s">
        <v>71</v>
      </c>
      <c r="I2923" s="2" t="s">
        <v>76</v>
      </c>
      <c r="J2923" s="9">
        <v>148290432</v>
      </c>
      <c r="K2923" s="7">
        <v>6.2000000000000003E-5</v>
      </c>
      <c r="L2923" s="9">
        <v>9194.01</v>
      </c>
      <c r="M2923" s="9">
        <v>9268.15</v>
      </c>
      <c r="N2923" s="9">
        <v>5.0599999999999996</v>
      </c>
      <c r="O2923" s="10">
        <f>IF(AND(OR(H2923="APPROVED",H2923="SCHEDULED"),COUNTIFS(tblSource[EventID],F2923,tblSource[ReleaseStatus],"APPROVED")=1,COUNTIFS(Period_Status!$A$2:$A$8,G2923,Period_Status!$B$2:$B$8,"ActualClosed")=1,C2923&gt;EOMONTH(Settlement_Bridge!$C$2,0)),1,0)</f>
        <v>0</v>
      </c>
      <c r="P2923" s="2" t="s">
        <v>8154</v>
      </c>
    </row>
    <row r="2924" spans="1:16" x14ac:dyDescent="0.25">
      <c r="A2924" s="2" t="s">
        <v>8155</v>
      </c>
      <c r="B2924" s="2" t="s">
        <v>7433</v>
      </c>
      <c r="C2924" s="8">
        <v>46238</v>
      </c>
      <c r="D2924" s="6">
        <v>46235</v>
      </c>
      <c r="E2924" s="2" t="s">
        <v>260</v>
      </c>
      <c r="F2924" s="2" t="s">
        <v>8153</v>
      </c>
      <c r="G2924" s="6">
        <v>46174</v>
      </c>
      <c r="H2924" s="2" t="s">
        <v>71</v>
      </c>
      <c r="I2924" s="2" t="s">
        <v>76</v>
      </c>
      <c r="J2924" s="9">
        <v>222435648</v>
      </c>
      <c r="K2924" s="7">
        <v>6.1500000000000004E-5</v>
      </c>
      <c r="L2924" s="9">
        <v>13679.79</v>
      </c>
      <c r="M2924" s="9">
        <v>13902.23</v>
      </c>
      <c r="N2924" s="9">
        <v>7.52</v>
      </c>
      <c r="O2924" s="10">
        <f>IF(AND(OR(H2924="APPROVED",H2924="SCHEDULED"),COUNTIFS(tblSource[EventID],F2924,tblSource[ReleaseStatus],"APPROVED")=1,COUNTIFS(Period_Status!$A$2:$A$8,G2924,Period_Status!$B$2:$B$8,"ActualClosed")=1,C2924&gt;EOMONTH(Settlement_Bridge!$C$2,0)),1,0)</f>
        <v>1</v>
      </c>
      <c r="P2924" s="2" t="s">
        <v>8156</v>
      </c>
    </row>
    <row r="2925" spans="1:16" x14ac:dyDescent="0.25">
      <c r="A2925" s="2" t="s">
        <v>8157</v>
      </c>
      <c r="B2925" s="2" t="s">
        <v>7433</v>
      </c>
      <c r="C2925" s="8">
        <v>46214</v>
      </c>
      <c r="D2925" s="6">
        <v>46204</v>
      </c>
      <c r="E2925" s="2" t="s">
        <v>260</v>
      </c>
      <c r="F2925" s="2" t="s">
        <v>8158</v>
      </c>
      <c r="G2925" s="6">
        <v>46174</v>
      </c>
      <c r="H2925" s="2" t="s">
        <v>71</v>
      </c>
      <c r="I2925" s="2" t="s">
        <v>70</v>
      </c>
      <c r="J2925" s="9">
        <v>14103.578947</v>
      </c>
      <c r="K2925" s="7">
        <v>0.65800000000000003</v>
      </c>
      <c r="L2925" s="9">
        <v>9280.15</v>
      </c>
      <c r="M2925" s="9">
        <v>9378.8799999999992</v>
      </c>
      <c r="N2925" s="9">
        <v>5.0999999999999996</v>
      </c>
      <c r="O2925" s="10">
        <f>IF(AND(OR(H2925="APPROVED",H2925="SCHEDULED"),COUNTIFS(tblSource[EventID],F2925,tblSource[ReleaseStatus],"APPROVED")=1,COUNTIFS(Period_Status!$A$2:$A$8,G2925,Period_Status!$B$2:$B$8,"ActualClosed")=1,C2925&gt;EOMONTH(Settlement_Bridge!$C$2,0)),1,0)</f>
        <v>0</v>
      </c>
      <c r="P2925" s="2" t="s">
        <v>8159</v>
      </c>
    </row>
    <row r="2926" spans="1:16" x14ac:dyDescent="0.25">
      <c r="A2926" s="2" t="s">
        <v>8160</v>
      </c>
      <c r="B2926" s="2" t="s">
        <v>7433</v>
      </c>
      <c r="C2926" s="8">
        <v>46239</v>
      </c>
      <c r="D2926" s="6">
        <v>46235</v>
      </c>
      <c r="E2926" s="2" t="s">
        <v>260</v>
      </c>
      <c r="F2926" s="2" t="s">
        <v>8158</v>
      </c>
      <c r="G2926" s="6">
        <v>46174</v>
      </c>
      <c r="H2926" s="2" t="s">
        <v>71</v>
      </c>
      <c r="I2926" s="2" t="s">
        <v>70</v>
      </c>
      <c r="J2926" s="9">
        <v>21155.368420999999</v>
      </c>
      <c r="K2926" s="7">
        <v>0.65</v>
      </c>
      <c r="L2926" s="9">
        <v>13750.99</v>
      </c>
      <c r="M2926" s="9">
        <v>14068.32</v>
      </c>
      <c r="N2926" s="9">
        <v>7.56</v>
      </c>
      <c r="O2926" s="10">
        <f>IF(AND(OR(H2926="APPROVED",H2926="SCHEDULED"),COUNTIFS(tblSource[EventID],F2926,tblSource[ReleaseStatus],"APPROVED")=1,COUNTIFS(Period_Status!$A$2:$A$8,G2926,Period_Status!$B$2:$B$8,"ActualClosed")=1,C2926&gt;EOMONTH(Settlement_Bridge!$C$2,0)),1,0)</f>
        <v>1</v>
      </c>
      <c r="P2926" s="2" t="s">
        <v>8161</v>
      </c>
    </row>
    <row r="2927" spans="1:16" x14ac:dyDescent="0.25">
      <c r="A2927" s="2" t="s">
        <v>8162</v>
      </c>
      <c r="B2927" s="2" t="s">
        <v>7433</v>
      </c>
      <c r="C2927" s="8">
        <v>46215</v>
      </c>
      <c r="D2927" s="6">
        <v>46204</v>
      </c>
      <c r="E2927" s="2" t="s">
        <v>260</v>
      </c>
      <c r="F2927" s="2" t="s">
        <v>8163</v>
      </c>
      <c r="G2927" s="6">
        <v>46174</v>
      </c>
      <c r="H2927" s="2" t="s">
        <v>71</v>
      </c>
      <c r="I2927" s="2" t="s">
        <v>39</v>
      </c>
      <c r="J2927" s="9">
        <v>9489.6080000000002</v>
      </c>
      <c r="K2927" s="7">
        <v>1</v>
      </c>
      <c r="L2927" s="9">
        <v>9489.61</v>
      </c>
      <c r="M2927" s="9">
        <v>9489.61</v>
      </c>
      <c r="N2927" s="9">
        <v>5.22</v>
      </c>
      <c r="O2927" s="10">
        <f>IF(AND(OR(H2927="APPROVED",H2927="SCHEDULED"),COUNTIFS(tblSource[EventID],F2927,tblSource[ReleaseStatus],"APPROVED")=1,COUNTIFS(Period_Status!$A$2:$A$8,G2927,Period_Status!$B$2:$B$8,"ActualClosed")=1,C2927&gt;EOMONTH(Settlement_Bridge!$C$2,0)),1,0)</f>
        <v>0</v>
      </c>
      <c r="P2927" s="2" t="s">
        <v>8164</v>
      </c>
    </row>
    <row r="2928" spans="1:16" x14ac:dyDescent="0.25">
      <c r="A2928" s="2" t="s">
        <v>8165</v>
      </c>
      <c r="B2928" s="2" t="s">
        <v>7433</v>
      </c>
      <c r="C2928" s="8">
        <v>46240</v>
      </c>
      <c r="D2928" s="6">
        <v>46235</v>
      </c>
      <c r="E2928" s="2" t="s">
        <v>260</v>
      </c>
      <c r="F2928" s="2" t="s">
        <v>8163</v>
      </c>
      <c r="G2928" s="6">
        <v>46174</v>
      </c>
      <c r="H2928" s="2" t="s">
        <v>71</v>
      </c>
      <c r="I2928" s="2" t="s">
        <v>39</v>
      </c>
      <c r="J2928" s="9">
        <v>14234.412</v>
      </c>
      <c r="K2928" s="7">
        <v>1</v>
      </c>
      <c r="L2928" s="9">
        <v>14234.41</v>
      </c>
      <c r="M2928" s="9">
        <v>14234.41</v>
      </c>
      <c r="N2928" s="9">
        <v>7.83</v>
      </c>
      <c r="O2928" s="10">
        <f>IF(AND(OR(H2928="APPROVED",H2928="SCHEDULED"),COUNTIFS(tblSource[EventID],F2928,tblSource[ReleaseStatus],"APPROVED")=1,COUNTIFS(Period_Status!$A$2:$A$8,G2928,Period_Status!$B$2:$B$8,"ActualClosed")=1,C2928&gt;EOMONTH(Settlement_Bridge!$C$2,0)),1,0)</f>
        <v>1</v>
      </c>
      <c r="P2928" s="2" t="s">
        <v>8166</v>
      </c>
    </row>
    <row r="2929" spans="1:16" x14ac:dyDescent="0.25">
      <c r="A2929" s="2" t="s">
        <v>8167</v>
      </c>
      <c r="B2929" s="2" t="s">
        <v>7433</v>
      </c>
      <c r="C2929" s="8">
        <v>46216</v>
      </c>
      <c r="D2929" s="6">
        <v>46204</v>
      </c>
      <c r="E2929" s="2" t="s">
        <v>260</v>
      </c>
      <c r="F2929" s="2" t="s">
        <v>8168</v>
      </c>
      <c r="G2929" s="6">
        <v>46174</v>
      </c>
      <c r="H2929" s="2" t="s">
        <v>71</v>
      </c>
      <c r="I2929" s="2" t="s">
        <v>76</v>
      </c>
      <c r="J2929" s="9">
        <v>10245312</v>
      </c>
      <c r="K2929" s="7">
        <v>6.2000000000000003E-5</v>
      </c>
      <c r="L2929" s="9">
        <v>635.21</v>
      </c>
      <c r="M2929" s="9">
        <v>640.33000000000004</v>
      </c>
      <c r="N2929" s="9">
        <v>1.8</v>
      </c>
      <c r="O2929" s="10">
        <f>IF(AND(OR(H2929="APPROVED",H2929="SCHEDULED"),COUNTIFS(tblSource[EventID],F2929,tblSource[ReleaseStatus],"APPROVED")=1,COUNTIFS(Period_Status!$A$2:$A$8,G2929,Period_Status!$B$2:$B$8,"ActualClosed")=1,C2929&gt;EOMONTH(Settlement_Bridge!$C$2,0)),1,0)</f>
        <v>0</v>
      </c>
      <c r="P2929" s="2" t="s">
        <v>8169</v>
      </c>
    </row>
    <row r="2930" spans="1:16" x14ac:dyDescent="0.25">
      <c r="A2930" s="2" t="s">
        <v>8170</v>
      </c>
      <c r="B2930" s="2" t="s">
        <v>7433</v>
      </c>
      <c r="C2930" s="8">
        <v>46241</v>
      </c>
      <c r="D2930" s="6">
        <v>46235</v>
      </c>
      <c r="E2930" s="2" t="s">
        <v>260</v>
      </c>
      <c r="F2930" s="2" t="s">
        <v>8168</v>
      </c>
      <c r="G2930" s="6">
        <v>46174</v>
      </c>
      <c r="H2930" s="2" t="s">
        <v>71</v>
      </c>
      <c r="I2930" s="2" t="s">
        <v>76</v>
      </c>
      <c r="J2930" s="9">
        <v>15367968</v>
      </c>
      <c r="K2930" s="7">
        <v>6.1500000000000004E-5</v>
      </c>
      <c r="L2930" s="9">
        <v>945.13</v>
      </c>
      <c r="M2930" s="9">
        <v>960.5</v>
      </c>
      <c r="N2930" s="9">
        <v>1.8</v>
      </c>
      <c r="O2930" s="10">
        <f>IF(AND(OR(H2930="APPROVED",H2930="SCHEDULED"),COUNTIFS(tblSource[EventID],F2930,tblSource[ReleaseStatus],"APPROVED")=1,COUNTIFS(Period_Status!$A$2:$A$8,G2930,Period_Status!$B$2:$B$8,"ActualClosed")=1,C2930&gt;EOMONTH(Settlement_Bridge!$C$2,0)),1,0)</f>
        <v>1</v>
      </c>
      <c r="P2930" s="2" t="s">
        <v>8171</v>
      </c>
    </row>
    <row r="2931" spans="1:16" x14ac:dyDescent="0.25">
      <c r="A2931" s="2" t="s">
        <v>8172</v>
      </c>
      <c r="B2931" s="2" t="s">
        <v>7433</v>
      </c>
      <c r="C2931" s="8">
        <v>46217</v>
      </c>
      <c r="D2931" s="6">
        <v>46204</v>
      </c>
      <c r="E2931" s="2" t="s">
        <v>260</v>
      </c>
      <c r="F2931" s="2" t="s">
        <v>8173</v>
      </c>
      <c r="G2931" s="6">
        <v>46174</v>
      </c>
      <c r="H2931" s="2" t="s">
        <v>71</v>
      </c>
      <c r="I2931" s="2" t="s">
        <v>70</v>
      </c>
      <c r="J2931" s="9">
        <v>1129.413534</v>
      </c>
      <c r="K2931" s="7">
        <v>0.65800000000000003</v>
      </c>
      <c r="L2931" s="9">
        <v>743.15</v>
      </c>
      <c r="M2931" s="9">
        <v>751.06</v>
      </c>
      <c r="N2931" s="9">
        <v>1.8</v>
      </c>
      <c r="O2931" s="10">
        <f>IF(AND(OR(H2931="APPROVED",H2931="SCHEDULED"),COUNTIFS(tblSource[EventID],F2931,tblSource[ReleaseStatus],"APPROVED")=1,COUNTIFS(Period_Status!$A$2:$A$8,G2931,Period_Status!$B$2:$B$8,"ActualClosed")=1,C2931&gt;EOMONTH(Settlement_Bridge!$C$2,0)),1,0)</f>
        <v>0</v>
      </c>
      <c r="P2931" s="2" t="s">
        <v>8174</v>
      </c>
    </row>
    <row r="2932" spans="1:16" x14ac:dyDescent="0.25">
      <c r="A2932" s="2" t="s">
        <v>8175</v>
      </c>
      <c r="B2932" s="2" t="s">
        <v>7433</v>
      </c>
      <c r="C2932" s="8">
        <v>46242</v>
      </c>
      <c r="D2932" s="6">
        <v>46235</v>
      </c>
      <c r="E2932" s="2" t="s">
        <v>260</v>
      </c>
      <c r="F2932" s="2" t="s">
        <v>8173</v>
      </c>
      <c r="G2932" s="6">
        <v>46174</v>
      </c>
      <c r="H2932" s="2" t="s">
        <v>71</v>
      </c>
      <c r="I2932" s="2" t="s">
        <v>70</v>
      </c>
      <c r="J2932" s="9">
        <v>1694.1203009999999</v>
      </c>
      <c r="K2932" s="7">
        <v>0.65</v>
      </c>
      <c r="L2932" s="9">
        <v>1101.18</v>
      </c>
      <c r="M2932" s="9">
        <v>1126.5899999999999</v>
      </c>
      <c r="N2932" s="9">
        <v>1.8</v>
      </c>
      <c r="O2932" s="10">
        <f>IF(AND(OR(H2932="APPROVED",H2932="SCHEDULED"),COUNTIFS(tblSource[EventID],F2932,tblSource[ReleaseStatus],"APPROVED")=1,COUNTIFS(Period_Status!$A$2:$A$8,G2932,Period_Status!$B$2:$B$8,"ActualClosed")=1,C2932&gt;EOMONTH(Settlement_Bridge!$C$2,0)),1,0)</f>
        <v>1</v>
      </c>
      <c r="P2932" s="2" t="s">
        <v>8176</v>
      </c>
    </row>
    <row r="2933" spans="1:16" x14ac:dyDescent="0.25">
      <c r="A2933" s="2" t="s">
        <v>8177</v>
      </c>
      <c r="B2933" s="2" t="s">
        <v>7433</v>
      </c>
      <c r="C2933" s="8">
        <v>46188</v>
      </c>
      <c r="D2933" s="6">
        <v>46174</v>
      </c>
      <c r="E2933" s="2" t="s">
        <v>260</v>
      </c>
      <c r="F2933" s="2" t="s">
        <v>8178</v>
      </c>
      <c r="G2933" s="6">
        <v>46174</v>
      </c>
      <c r="H2933" s="2" t="s">
        <v>71</v>
      </c>
      <c r="I2933" s="2" t="s">
        <v>39</v>
      </c>
      <c r="J2933" s="9">
        <v>861.78399999999999</v>
      </c>
      <c r="K2933" s="7">
        <v>1</v>
      </c>
      <c r="L2933" s="9">
        <v>861.78</v>
      </c>
      <c r="M2933" s="9">
        <v>861.78</v>
      </c>
      <c r="N2933" s="9">
        <v>1.8</v>
      </c>
      <c r="O2933" s="10">
        <f>IF(AND(OR(H2933="APPROVED",H2933="SCHEDULED"),COUNTIFS(tblSource[EventID],F2933,tblSource[ReleaseStatus],"APPROVED")=1,COUNTIFS(Period_Status!$A$2:$A$8,G2933,Period_Status!$B$2:$B$8,"ActualClosed")=1,C2933&gt;EOMONTH(Settlement_Bridge!$C$2,0)),1,0)</f>
        <v>0</v>
      </c>
      <c r="P2933" s="2" t="s">
        <v>8179</v>
      </c>
    </row>
    <row r="2934" spans="1:16" x14ac:dyDescent="0.25">
      <c r="A2934" s="2" t="s">
        <v>8180</v>
      </c>
      <c r="B2934" s="2" t="s">
        <v>7433</v>
      </c>
      <c r="C2934" s="8">
        <v>46213</v>
      </c>
      <c r="D2934" s="6">
        <v>46204</v>
      </c>
      <c r="E2934" s="2" t="s">
        <v>260</v>
      </c>
      <c r="F2934" s="2" t="s">
        <v>8178</v>
      </c>
      <c r="G2934" s="6">
        <v>46174</v>
      </c>
      <c r="H2934" s="2" t="s">
        <v>71</v>
      </c>
      <c r="I2934" s="2" t="s">
        <v>39</v>
      </c>
      <c r="J2934" s="9">
        <v>1292.6759999999999</v>
      </c>
      <c r="K2934" s="7">
        <v>1</v>
      </c>
      <c r="L2934" s="9">
        <v>1292.68</v>
      </c>
      <c r="M2934" s="9">
        <v>1292.68</v>
      </c>
      <c r="N2934" s="9">
        <v>1.8</v>
      </c>
      <c r="O2934" s="10">
        <f>IF(AND(OR(H2934="APPROVED",H2934="SCHEDULED"),COUNTIFS(tblSource[EventID],F2934,tblSource[ReleaseStatus],"APPROVED")=1,COUNTIFS(Period_Status!$A$2:$A$8,G2934,Period_Status!$B$2:$B$8,"ActualClosed")=1,C2934&gt;EOMONTH(Settlement_Bridge!$C$2,0)),1,0)</f>
        <v>0</v>
      </c>
      <c r="P2934" s="2" t="s">
        <v>8181</v>
      </c>
    </row>
    <row r="2935" spans="1:16" x14ac:dyDescent="0.25">
      <c r="A2935" s="2" t="s">
        <v>8182</v>
      </c>
      <c r="B2935" s="2" t="s">
        <v>7433</v>
      </c>
      <c r="C2935" s="8">
        <v>46189</v>
      </c>
      <c r="D2935" s="6">
        <v>46174</v>
      </c>
      <c r="E2935" s="2" t="s">
        <v>260</v>
      </c>
      <c r="F2935" s="2" t="s">
        <v>8183</v>
      </c>
      <c r="G2935" s="6">
        <v>46174</v>
      </c>
      <c r="H2935" s="2" t="s">
        <v>71</v>
      </c>
      <c r="I2935" s="2" t="s">
        <v>76</v>
      </c>
      <c r="J2935" s="9">
        <v>15560192</v>
      </c>
      <c r="K2935" s="7">
        <v>6.2500000000000001E-5</v>
      </c>
      <c r="L2935" s="9">
        <v>972.51</v>
      </c>
      <c r="M2935" s="9">
        <v>972.51</v>
      </c>
      <c r="N2935" s="9">
        <v>1.8</v>
      </c>
      <c r="O2935" s="10">
        <f>IF(AND(OR(H2935="APPROVED",H2935="SCHEDULED"),COUNTIFS(tblSource[EventID],F2935,tblSource[ReleaseStatus],"APPROVED")=1,COUNTIFS(Period_Status!$A$2:$A$8,G2935,Period_Status!$B$2:$B$8,"ActualClosed")=1,C2935&gt;EOMONTH(Settlement_Bridge!$C$2,0)),1,0)</f>
        <v>0</v>
      </c>
      <c r="P2935" s="2" t="s">
        <v>8184</v>
      </c>
    </row>
    <row r="2936" spans="1:16" x14ac:dyDescent="0.25">
      <c r="A2936" s="2" t="s">
        <v>8185</v>
      </c>
      <c r="B2936" s="2" t="s">
        <v>7433</v>
      </c>
      <c r="C2936" s="8">
        <v>46214</v>
      </c>
      <c r="D2936" s="6">
        <v>46204</v>
      </c>
      <c r="E2936" s="2" t="s">
        <v>260</v>
      </c>
      <c r="F2936" s="2" t="s">
        <v>8183</v>
      </c>
      <c r="G2936" s="6">
        <v>46174</v>
      </c>
      <c r="H2936" s="2" t="s">
        <v>71</v>
      </c>
      <c r="I2936" s="2" t="s">
        <v>76</v>
      </c>
      <c r="J2936" s="9">
        <v>23340288</v>
      </c>
      <c r="K2936" s="7">
        <v>6.2000000000000003E-5</v>
      </c>
      <c r="L2936" s="9">
        <v>1447.1</v>
      </c>
      <c r="M2936" s="9">
        <v>1458.77</v>
      </c>
      <c r="N2936" s="9">
        <v>1.8</v>
      </c>
      <c r="O2936" s="10">
        <f>IF(AND(OR(H2936="APPROVED",H2936="SCHEDULED"),COUNTIFS(tblSource[EventID],F2936,tblSource[ReleaseStatus],"APPROVED")=1,COUNTIFS(Period_Status!$A$2:$A$8,G2936,Period_Status!$B$2:$B$8,"ActualClosed")=1,C2936&gt;EOMONTH(Settlement_Bridge!$C$2,0)),1,0)</f>
        <v>0</v>
      </c>
      <c r="P2936" s="2" t="s">
        <v>8186</v>
      </c>
    </row>
    <row r="2937" spans="1:16" x14ac:dyDescent="0.25">
      <c r="A2937" s="2" t="s">
        <v>8187</v>
      </c>
      <c r="B2937" s="2" t="s">
        <v>7433</v>
      </c>
      <c r="C2937" s="8">
        <v>46190</v>
      </c>
      <c r="D2937" s="6">
        <v>46174</v>
      </c>
      <c r="E2937" s="2" t="s">
        <v>260</v>
      </c>
      <c r="F2937" s="2" t="s">
        <v>8188</v>
      </c>
      <c r="G2937" s="6">
        <v>46174</v>
      </c>
      <c r="H2937" s="2" t="s">
        <v>71</v>
      </c>
      <c r="I2937" s="2" t="s">
        <v>70</v>
      </c>
      <c r="J2937" s="9">
        <v>1628.926316</v>
      </c>
      <c r="K2937" s="7">
        <v>0.66500000000000004</v>
      </c>
      <c r="L2937" s="9">
        <v>1083.24</v>
      </c>
      <c r="M2937" s="9">
        <v>1083.24</v>
      </c>
      <c r="N2937" s="9">
        <v>1.8</v>
      </c>
      <c r="O2937" s="10">
        <f>IF(AND(OR(H2937="APPROVED",H2937="SCHEDULED"),COUNTIFS(tblSource[EventID],F2937,tblSource[ReleaseStatus],"APPROVED")=1,COUNTIFS(Period_Status!$A$2:$A$8,G2937,Period_Status!$B$2:$B$8,"ActualClosed")=1,C2937&gt;EOMONTH(Settlement_Bridge!$C$2,0)),1,0)</f>
        <v>0</v>
      </c>
      <c r="P2937" s="2" t="s">
        <v>8189</v>
      </c>
    </row>
    <row r="2938" spans="1:16" x14ac:dyDescent="0.25">
      <c r="A2938" s="2" t="s">
        <v>8190</v>
      </c>
      <c r="B2938" s="2" t="s">
        <v>7433</v>
      </c>
      <c r="C2938" s="8">
        <v>46215</v>
      </c>
      <c r="D2938" s="6">
        <v>46204</v>
      </c>
      <c r="E2938" s="2" t="s">
        <v>260</v>
      </c>
      <c r="F2938" s="2" t="s">
        <v>8188</v>
      </c>
      <c r="G2938" s="6">
        <v>46174</v>
      </c>
      <c r="H2938" s="2" t="s">
        <v>71</v>
      </c>
      <c r="I2938" s="2" t="s">
        <v>70</v>
      </c>
      <c r="J2938" s="9">
        <v>2443.3894730000002</v>
      </c>
      <c r="K2938" s="7">
        <v>0.65800000000000003</v>
      </c>
      <c r="L2938" s="9">
        <v>1607.75</v>
      </c>
      <c r="M2938" s="9">
        <v>1624.85</v>
      </c>
      <c r="N2938" s="9">
        <v>1.8</v>
      </c>
      <c r="O2938" s="10">
        <f>IF(AND(OR(H2938="APPROVED",H2938="SCHEDULED"),COUNTIFS(tblSource[EventID],F2938,tblSource[ReleaseStatus],"APPROVED")=1,COUNTIFS(Period_Status!$A$2:$A$8,G2938,Period_Status!$B$2:$B$8,"ActualClosed")=1,C2938&gt;EOMONTH(Settlement_Bridge!$C$2,0)),1,0)</f>
        <v>0</v>
      </c>
      <c r="P2938" s="2" t="s">
        <v>8191</v>
      </c>
    </row>
    <row r="2939" spans="1:16" x14ac:dyDescent="0.25">
      <c r="A2939" s="2" t="s">
        <v>8192</v>
      </c>
      <c r="B2939" s="2" t="s">
        <v>7433</v>
      </c>
      <c r="C2939" s="8">
        <v>46191</v>
      </c>
      <c r="D2939" s="6">
        <v>46174</v>
      </c>
      <c r="E2939" s="2" t="s">
        <v>260</v>
      </c>
      <c r="F2939" s="2" t="s">
        <v>8193</v>
      </c>
      <c r="G2939" s="6">
        <v>46174</v>
      </c>
      <c r="H2939" s="2" t="s">
        <v>71</v>
      </c>
      <c r="I2939" s="2" t="s">
        <v>39</v>
      </c>
      <c r="J2939" s="9">
        <v>1193.9639999999999</v>
      </c>
      <c r="K2939" s="7">
        <v>1</v>
      </c>
      <c r="L2939" s="9">
        <v>1193.96</v>
      </c>
      <c r="M2939" s="9">
        <v>1193.96</v>
      </c>
      <c r="N2939" s="9">
        <v>1.8</v>
      </c>
      <c r="O2939" s="10">
        <f>IF(AND(OR(H2939="APPROVED",H2939="SCHEDULED"),COUNTIFS(tblSource[EventID],F2939,tblSource[ReleaseStatus],"APPROVED")=1,COUNTIFS(Period_Status!$A$2:$A$8,G2939,Period_Status!$B$2:$B$8,"ActualClosed")=1,C2939&gt;EOMONTH(Settlement_Bridge!$C$2,0)),1,0)</f>
        <v>0</v>
      </c>
      <c r="P2939" s="2" t="s">
        <v>8194</v>
      </c>
    </row>
    <row r="2940" spans="1:16" x14ac:dyDescent="0.25">
      <c r="A2940" s="2" t="s">
        <v>8195</v>
      </c>
      <c r="B2940" s="2" t="s">
        <v>7433</v>
      </c>
      <c r="C2940" s="8">
        <v>46216</v>
      </c>
      <c r="D2940" s="6">
        <v>46204</v>
      </c>
      <c r="E2940" s="2" t="s">
        <v>260</v>
      </c>
      <c r="F2940" s="2" t="s">
        <v>8193</v>
      </c>
      <c r="G2940" s="6">
        <v>46174</v>
      </c>
      <c r="H2940" s="2" t="s">
        <v>71</v>
      </c>
      <c r="I2940" s="2" t="s">
        <v>39</v>
      </c>
      <c r="J2940" s="9">
        <v>1790.9459999999999</v>
      </c>
      <c r="K2940" s="7">
        <v>1</v>
      </c>
      <c r="L2940" s="9">
        <v>1790.95</v>
      </c>
      <c r="M2940" s="9">
        <v>1790.95</v>
      </c>
      <c r="N2940" s="9">
        <v>1.8</v>
      </c>
      <c r="O2940" s="10">
        <f>IF(AND(OR(H2940="APPROVED",H2940="SCHEDULED"),COUNTIFS(tblSource[EventID],F2940,tblSource[ReleaseStatus],"APPROVED")=1,COUNTIFS(Period_Status!$A$2:$A$8,G2940,Period_Status!$B$2:$B$8,"ActualClosed")=1,C2940&gt;EOMONTH(Settlement_Bridge!$C$2,0)),1,0)</f>
        <v>0</v>
      </c>
      <c r="P2940" s="2" t="s">
        <v>8196</v>
      </c>
    </row>
    <row r="2941" spans="1:16" x14ac:dyDescent="0.25">
      <c r="A2941" s="2" t="s">
        <v>8197</v>
      </c>
      <c r="B2941" s="2" t="s">
        <v>7433</v>
      </c>
      <c r="C2941" s="8">
        <v>46192</v>
      </c>
      <c r="D2941" s="6">
        <v>46174</v>
      </c>
      <c r="E2941" s="2" t="s">
        <v>260</v>
      </c>
      <c r="F2941" s="2" t="s">
        <v>8198</v>
      </c>
      <c r="G2941" s="6">
        <v>46174</v>
      </c>
      <c r="H2941" s="2" t="s">
        <v>71</v>
      </c>
      <c r="I2941" s="2" t="s">
        <v>76</v>
      </c>
      <c r="J2941" s="9">
        <v>20875072</v>
      </c>
      <c r="K2941" s="7">
        <v>6.2500000000000001E-5</v>
      </c>
      <c r="L2941" s="9">
        <v>1304.69</v>
      </c>
      <c r="M2941" s="9">
        <v>1304.69</v>
      </c>
      <c r="N2941" s="9">
        <v>1.8</v>
      </c>
      <c r="O2941" s="10">
        <f>IF(AND(OR(H2941="APPROVED",H2941="SCHEDULED"),COUNTIFS(tblSource[EventID],F2941,tblSource[ReleaseStatus],"APPROVED")=1,COUNTIFS(Period_Status!$A$2:$A$8,G2941,Period_Status!$B$2:$B$8,"ActualClosed")=1,C2941&gt;EOMONTH(Settlement_Bridge!$C$2,0)),1,0)</f>
        <v>0</v>
      </c>
      <c r="P2941" s="2" t="s">
        <v>8199</v>
      </c>
    </row>
    <row r="2942" spans="1:16" x14ac:dyDescent="0.25">
      <c r="A2942" s="2" t="s">
        <v>8200</v>
      </c>
      <c r="B2942" s="2" t="s">
        <v>7433</v>
      </c>
      <c r="C2942" s="8">
        <v>46217</v>
      </c>
      <c r="D2942" s="6">
        <v>46204</v>
      </c>
      <c r="E2942" s="2" t="s">
        <v>260</v>
      </c>
      <c r="F2942" s="2" t="s">
        <v>8198</v>
      </c>
      <c r="G2942" s="6">
        <v>46174</v>
      </c>
      <c r="H2942" s="2" t="s">
        <v>71</v>
      </c>
      <c r="I2942" s="2" t="s">
        <v>76</v>
      </c>
      <c r="J2942" s="9">
        <v>31312608</v>
      </c>
      <c r="K2942" s="7">
        <v>6.2000000000000003E-5</v>
      </c>
      <c r="L2942" s="9">
        <v>1941.38</v>
      </c>
      <c r="M2942" s="9">
        <v>1957.04</v>
      </c>
      <c r="N2942" s="9">
        <v>1.8</v>
      </c>
      <c r="O2942" s="10">
        <f>IF(AND(OR(H2942="APPROVED",H2942="SCHEDULED"),COUNTIFS(tblSource[EventID],F2942,tblSource[ReleaseStatus],"APPROVED")=1,COUNTIFS(Period_Status!$A$2:$A$8,G2942,Period_Status!$B$2:$B$8,"ActualClosed")=1,C2942&gt;EOMONTH(Settlement_Bridge!$C$2,0)),1,0)</f>
        <v>0</v>
      </c>
      <c r="P2942" s="2" t="s">
        <v>8201</v>
      </c>
    </row>
    <row r="2943" spans="1:16" x14ac:dyDescent="0.25">
      <c r="A2943" s="2" t="s">
        <v>8202</v>
      </c>
      <c r="B2943" s="2" t="s">
        <v>7433</v>
      </c>
      <c r="C2943" s="8">
        <v>46193</v>
      </c>
      <c r="D2943" s="6">
        <v>46174</v>
      </c>
      <c r="E2943" s="2" t="s">
        <v>260</v>
      </c>
      <c r="F2943" s="2" t="s">
        <v>8203</v>
      </c>
      <c r="G2943" s="6">
        <v>46174</v>
      </c>
      <c r="H2943" s="2" t="s">
        <v>71</v>
      </c>
      <c r="I2943" s="2" t="s">
        <v>70</v>
      </c>
      <c r="J2943" s="9">
        <v>2128.4451130000002</v>
      </c>
      <c r="K2943" s="7">
        <v>0.66500000000000004</v>
      </c>
      <c r="L2943" s="9">
        <v>1415.42</v>
      </c>
      <c r="M2943" s="9">
        <v>1415.42</v>
      </c>
      <c r="N2943" s="9">
        <v>1.8</v>
      </c>
      <c r="O2943" s="10">
        <f>IF(AND(OR(H2943="APPROVED",H2943="SCHEDULED"),COUNTIFS(tblSource[EventID],F2943,tblSource[ReleaseStatus],"APPROVED")=1,COUNTIFS(Period_Status!$A$2:$A$8,G2943,Period_Status!$B$2:$B$8,"ActualClosed")=1,C2943&gt;EOMONTH(Settlement_Bridge!$C$2,0)),1,0)</f>
        <v>0</v>
      </c>
      <c r="P2943" s="2" t="s">
        <v>8204</v>
      </c>
    </row>
    <row r="2944" spans="1:16" x14ac:dyDescent="0.25">
      <c r="A2944" s="2" t="s">
        <v>8205</v>
      </c>
      <c r="B2944" s="2" t="s">
        <v>7433</v>
      </c>
      <c r="C2944" s="8">
        <v>46218</v>
      </c>
      <c r="D2944" s="6">
        <v>46204</v>
      </c>
      <c r="E2944" s="2" t="s">
        <v>260</v>
      </c>
      <c r="F2944" s="2" t="s">
        <v>8203</v>
      </c>
      <c r="G2944" s="6">
        <v>46174</v>
      </c>
      <c r="H2944" s="2" t="s">
        <v>71</v>
      </c>
      <c r="I2944" s="2" t="s">
        <v>70</v>
      </c>
      <c r="J2944" s="9">
        <v>3192.6676689999999</v>
      </c>
      <c r="K2944" s="7">
        <v>0.65800000000000003</v>
      </c>
      <c r="L2944" s="9">
        <v>2100.7800000000002</v>
      </c>
      <c r="M2944" s="9">
        <v>2123.12</v>
      </c>
      <c r="N2944" s="9">
        <v>1.8</v>
      </c>
      <c r="O2944" s="10">
        <f>IF(AND(OR(H2944="APPROVED",H2944="SCHEDULED"),COUNTIFS(tblSource[EventID],F2944,tblSource[ReleaseStatus],"APPROVED")=1,COUNTIFS(Period_Status!$A$2:$A$8,G2944,Period_Status!$B$2:$B$8,"ActualClosed")=1,C2944&gt;EOMONTH(Settlement_Bridge!$C$2,0)),1,0)</f>
        <v>0</v>
      </c>
      <c r="P2944" s="2" t="s">
        <v>8206</v>
      </c>
    </row>
    <row r="2945" spans="1:16" x14ac:dyDescent="0.25">
      <c r="A2945" s="2" t="s">
        <v>8207</v>
      </c>
      <c r="B2945" s="2" t="s">
        <v>7433</v>
      </c>
      <c r="C2945" s="8">
        <v>46194</v>
      </c>
      <c r="D2945" s="6">
        <v>46174</v>
      </c>
      <c r="E2945" s="2" t="s">
        <v>260</v>
      </c>
      <c r="F2945" s="2" t="s">
        <v>8208</v>
      </c>
      <c r="G2945" s="6">
        <v>46174</v>
      </c>
      <c r="H2945" s="2" t="s">
        <v>71</v>
      </c>
      <c r="I2945" s="2" t="s">
        <v>39</v>
      </c>
      <c r="J2945" s="9">
        <v>1526.144</v>
      </c>
      <c r="K2945" s="7">
        <v>1</v>
      </c>
      <c r="L2945" s="9">
        <v>1526.14</v>
      </c>
      <c r="M2945" s="9">
        <v>1526.14</v>
      </c>
      <c r="N2945" s="9">
        <v>1.8</v>
      </c>
      <c r="O2945" s="10">
        <f>IF(AND(OR(H2945="APPROVED",H2945="SCHEDULED"),COUNTIFS(tblSource[EventID],F2945,tblSource[ReleaseStatus],"APPROVED")=1,COUNTIFS(Period_Status!$A$2:$A$8,G2945,Period_Status!$B$2:$B$8,"ActualClosed")=1,C2945&gt;EOMONTH(Settlement_Bridge!$C$2,0)),1,0)</f>
        <v>0</v>
      </c>
      <c r="P2945" s="2" t="s">
        <v>8209</v>
      </c>
    </row>
    <row r="2946" spans="1:16" x14ac:dyDescent="0.25">
      <c r="A2946" s="2" t="s">
        <v>8210</v>
      </c>
      <c r="B2946" s="2" t="s">
        <v>7433</v>
      </c>
      <c r="C2946" s="8">
        <v>46219</v>
      </c>
      <c r="D2946" s="6">
        <v>46204</v>
      </c>
      <c r="E2946" s="2" t="s">
        <v>260</v>
      </c>
      <c r="F2946" s="2" t="s">
        <v>8208</v>
      </c>
      <c r="G2946" s="6">
        <v>46174</v>
      </c>
      <c r="H2946" s="2" t="s">
        <v>71</v>
      </c>
      <c r="I2946" s="2" t="s">
        <v>39</v>
      </c>
      <c r="J2946" s="9">
        <v>2289.2159999999999</v>
      </c>
      <c r="K2946" s="7">
        <v>1</v>
      </c>
      <c r="L2946" s="9">
        <v>2289.2199999999998</v>
      </c>
      <c r="M2946" s="9">
        <v>2289.2199999999998</v>
      </c>
      <c r="N2946" s="9">
        <v>1.8</v>
      </c>
      <c r="O2946" s="10">
        <f>IF(AND(OR(H2946="APPROVED",H2946="SCHEDULED"),COUNTIFS(tblSource[EventID],F2946,tblSource[ReleaseStatus],"APPROVED")=1,COUNTIFS(Period_Status!$A$2:$A$8,G2946,Period_Status!$B$2:$B$8,"ActualClosed")=1,C2946&gt;EOMONTH(Settlement_Bridge!$C$2,0)),1,0)</f>
        <v>0</v>
      </c>
      <c r="P2946" s="2" t="s">
        <v>8211</v>
      </c>
    </row>
    <row r="2947" spans="1:16" x14ac:dyDescent="0.25">
      <c r="A2947" s="2" t="s">
        <v>8212</v>
      </c>
      <c r="B2947" s="2" t="s">
        <v>7433</v>
      </c>
      <c r="C2947" s="8">
        <v>46195</v>
      </c>
      <c r="D2947" s="6">
        <v>46174</v>
      </c>
      <c r="E2947" s="2" t="s">
        <v>260</v>
      </c>
      <c r="F2947" s="2" t="s">
        <v>8213</v>
      </c>
      <c r="G2947" s="6">
        <v>46174</v>
      </c>
      <c r="H2947" s="2" t="s">
        <v>71</v>
      </c>
      <c r="I2947" s="2" t="s">
        <v>76</v>
      </c>
      <c r="J2947" s="9">
        <v>26189952</v>
      </c>
      <c r="K2947" s="7">
        <v>6.2500000000000001E-5</v>
      </c>
      <c r="L2947" s="9">
        <v>1636.87</v>
      </c>
      <c r="M2947" s="9">
        <v>1636.87</v>
      </c>
      <c r="N2947" s="9">
        <v>1.8</v>
      </c>
      <c r="O2947" s="10">
        <f>IF(AND(OR(H2947="APPROVED",H2947="SCHEDULED"),COUNTIFS(tblSource[EventID],F2947,tblSource[ReleaseStatus],"APPROVED")=1,COUNTIFS(Period_Status!$A$2:$A$8,G2947,Period_Status!$B$2:$B$8,"ActualClosed")=1,C2947&gt;EOMONTH(Settlement_Bridge!$C$2,0)),1,0)</f>
        <v>0</v>
      </c>
      <c r="P2947" s="2" t="s">
        <v>8214</v>
      </c>
    </row>
    <row r="2948" spans="1:16" x14ac:dyDescent="0.25">
      <c r="A2948" s="2" t="s">
        <v>8215</v>
      </c>
      <c r="B2948" s="2" t="s">
        <v>7433</v>
      </c>
      <c r="C2948" s="8">
        <v>46220</v>
      </c>
      <c r="D2948" s="6">
        <v>46204</v>
      </c>
      <c r="E2948" s="2" t="s">
        <v>260</v>
      </c>
      <c r="F2948" s="2" t="s">
        <v>8213</v>
      </c>
      <c r="G2948" s="6">
        <v>46174</v>
      </c>
      <c r="H2948" s="2" t="s">
        <v>71</v>
      </c>
      <c r="I2948" s="2" t="s">
        <v>76</v>
      </c>
      <c r="J2948" s="9">
        <v>39284928</v>
      </c>
      <c r="K2948" s="7">
        <v>6.2000000000000003E-5</v>
      </c>
      <c r="L2948" s="9">
        <v>2435.67</v>
      </c>
      <c r="M2948" s="9">
        <v>2455.31</v>
      </c>
      <c r="N2948" s="9">
        <v>1.8</v>
      </c>
      <c r="O2948" s="10">
        <f>IF(AND(OR(H2948="APPROVED",H2948="SCHEDULED"),COUNTIFS(tblSource[EventID],F2948,tblSource[ReleaseStatus],"APPROVED")=1,COUNTIFS(Period_Status!$A$2:$A$8,G2948,Period_Status!$B$2:$B$8,"ActualClosed")=1,C2948&gt;EOMONTH(Settlement_Bridge!$C$2,0)),1,0)</f>
        <v>0</v>
      </c>
      <c r="P2948" s="2" t="s">
        <v>8216</v>
      </c>
    </row>
    <row r="2949" spans="1:16" x14ac:dyDescent="0.25">
      <c r="A2949" s="2" t="s">
        <v>8217</v>
      </c>
      <c r="B2949" s="2" t="s">
        <v>7433</v>
      </c>
      <c r="C2949" s="8">
        <v>46196</v>
      </c>
      <c r="D2949" s="6">
        <v>46174</v>
      </c>
      <c r="E2949" s="2" t="s">
        <v>260</v>
      </c>
      <c r="F2949" s="2" t="s">
        <v>8218</v>
      </c>
      <c r="G2949" s="6">
        <v>46174</v>
      </c>
      <c r="H2949" s="2" t="s">
        <v>71</v>
      </c>
      <c r="I2949" s="2" t="s">
        <v>70</v>
      </c>
      <c r="J2949" s="9">
        <v>2627.9639099999999</v>
      </c>
      <c r="K2949" s="7">
        <v>0.66500000000000004</v>
      </c>
      <c r="L2949" s="9">
        <v>1747.6</v>
      </c>
      <c r="M2949" s="9">
        <v>1747.6</v>
      </c>
      <c r="N2949" s="9">
        <v>1.8</v>
      </c>
      <c r="O2949" s="10">
        <f>IF(AND(OR(H2949="APPROVED",H2949="SCHEDULED"),COUNTIFS(tblSource[EventID],F2949,tblSource[ReleaseStatus],"APPROVED")=1,COUNTIFS(Period_Status!$A$2:$A$8,G2949,Period_Status!$B$2:$B$8,"ActualClosed")=1,C2949&gt;EOMONTH(Settlement_Bridge!$C$2,0)),1,0)</f>
        <v>0</v>
      </c>
      <c r="P2949" s="2" t="s">
        <v>8219</v>
      </c>
    </row>
    <row r="2950" spans="1:16" x14ac:dyDescent="0.25">
      <c r="A2950" s="2" t="s">
        <v>8220</v>
      </c>
      <c r="B2950" s="2" t="s">
        <v>7433</v>
      </c>
      <c r="C2950" s="8">
        <v>46221</v>
      </c>
      <c r="D2950" s="6">
        <v>46204</v>
      </c>
      <c r="E2950" s="2" t="s">
        <v>260</v>
      </c>
      <c r="F2950" s="2" t="s">
        <v>8218</v>
      </c>
      <c r="G2950" s="6">
        <v>46174</v>
      </c>
      <c r="H2950" s="2" t="s">
        <v>71</v>
      </c>
      <c r="I2950" s="2" t="s">
        <v>70</v>
      </c>
      <c r="J2950" s="9">
        <v>3941.9458639999998</v>
      </c>
      <c r="K2950" s="7">
        <v>0.65800000000000003</v>
      </c>
      <c r="L2950" s="9">
        <v>2593.8000000000002</v>
      </c>
      <c r="M2950" s="9">
        <v>2621.39</v>
      </c>
      <c r="N2950" s="9">
        <v>1.8</v>
      </c>
      <c r="O2950" s="10">
        <f>IF(AND(OR(H2950="APPROVED",H2950="SCHEDULED"),COUNTIFS(tblSource[EventID],F2950,tblSource[ReleaseStatus],"APPROVED")=1,COUNTIFS(Period_Status!$A$2:$A$8,G2950,Period_Status!$B$2:$B$8,"ActualClosed")=1,C2950&gt;EOMONTH(Settlement_Bridge!$C$2,0)),1,0)</f>
        <v>0</v>
      </c>
      <c r="P2950" s="2" t="s">
        <v>8221</v>
      </c>
    </row>
    <row r="2951" spans="1:16" x14ac:dyDescent="0.25">
      <c r="A2951" s="2" t="s">
        <v>8222</v>
      </c>
      <c r="B2951" s="2" t="s">
        <v>7433</v>
      </c>
      <c r="C2951" s="8">
        <v>46197</v>
      </c>
      <c r="D2951" s="6">
        <v>46174</v>
      </c>
      <c r="E2951" s="2" t="s">
        <v>260</v>
      </c>
      <c r="F2951" s="2" t="s">
        <v>8223</v>
      </c>
      <c r="G2951" s="6">
        <v>46174</v>
      </c>
      <c r="H2951" s="2" t="s">
        <v>71</v>
      </c>
      <c r="I2951" s="2" t="s">
        <v>39</v>
      </c>
      <c r="J2951" s="9">
        <v>1858.3240000000001</v>
      </c>
      <c r="K2951" s="7">
        <v>1</v>
      </c>
      <c r="L2951" s="9">
        <v>1858.32</v>
      </c>
      <c r="M2951" s="9">
        <v>1858.32</v>
      </c>
      <c r="N2951" s="9">
        <v>1.8</v>
      </c>
      <c r="O2951" s="10">
        <f>IF(AND(OR(H2951="APPROVED",H2951="SCHEDULED"),COUNTIFS(tblSource[EventID],F2951,tblSource[ReleaseStatus],"APPROVED")=1,COUNTIFS(Period_Status!$A$2:$A$8,G2951,Period_Status!$B$2:$B$8,"ActualClosed")=1,C2951&gt;EOMONTH(Settlement_Bridge!$C$2,0)),1,0)</f>
        <v>0</v>
      </c>
      <c r="P2951" s="2" t="s">
        <v>8224</v>
      </c>
    </row>
    <row r="2952" spans="1:16" x14ac:dyDescent="0.25">
      <c r="A2952" s="2" t="s">
        <v>8225</v>
      </c>
      <c r="B2952" s="2" t="s">
        <v>7433</v>
      </c>
      <c r="C2952" s="8">
        <v>46222</v>
      </c>
      <c r="D2952" s="6">
        <v>46204</v>
      </c>
      <c r="E2952" s="2" t="s">
        <v>260</v>
      </c>
      <c r="F2952" s="2" t="s">
        <v>8223</v>
      </c>
      <c r="G2952" s="6">
        <v>46174</v>
      </c>
      <c r="H2952" s="2" t="s">
        <v>71</v>
      </c>
      <c r="I2952" s="2" t="s">
        <v>39</v>
      </c>
      <c r="J2952" s="9">
        <v>2787.4859999999999</v>
      </c>
      <c r="K2952" s="7">
        <v>1</v>
      </c>
      <c r="L2952" s="9">
        <v>2787.49</v>
      </c>
      <c r="M2952" s="9">
        <v>2787.49</v>
      </c>
      <c r="N2952" s="9">
        <v>1.8</v>
      </c>
      <c r="O2952" s="10">
        <f>IF(AND(OR(H2952="APPROVED",H2952="SCHEDULED"),COUNTIFS(tblSource[EventID],F2952,tblSource[ReleaseStatus],"APPROVED")=1,COUNTIFS(Period_Status!$A$2:$A$8,G2952,Period_Status!$B$2:$B$8,"ActualClosed")=1,C2952&gt;EOMONTH(Settlement_Bridge!$C$2,0)),1,0)</f>
        <v>0</v>
      </c>
      <c r="P2952" s="2" t="s">
        <v>8226</v>
      </c>
    </row>
    <row r="2953" spans="1:16" x14ac:dyDescent="0.25">
      <c r="A2953" s="2" t="s">
        <v>8227</v>
      </c>
      <c r="B2953" s="2" t="s">
        <v>7433</v>
      </c>
      <c r="C2953" s="8">
        <v>46198</v>
      </c>
      <c r="D2953" s="6">
        <v>46174</v>
      </c>
      <c r="E2953" s="2" t="s">
        <v>260</v>
      </c>
      <c r="F2953" s="2" t="s">
        <v>8228</v>
      </c>
      <c r="G2953" s="6">
        <v>46174</v>
      </c>
      <c r="H2953" s="2" t="s">
        <v>71</v>
      </c>
      <c r="I2953" s="2" t="s">
        <v>76</v>
      </c>
      <c r="J2953" s="9">
        <v>31504768</v>
      </c>
      <c r="K2953" s="7">
        <v>6.2500000000000001E-5</v>
      </c>
      <c r="L2953" s="9">
        <v>1969.05</v>
      </c>
      <c r="M2953" s="9">
        <v>1969.05</v>
      </c>
      <c r="N2953" s="9">
        <v>1.8</v>
      </c>
      <c r="O2953" s="10">
        <f>IF(AND(OR(H2953="APPROVED",H2953="SCHEDULED"),COUNTIFS(tblSource[EventID],F2953,tblSource[ReleaseStatus],"APPROVED")=1,COUNTIFS(Period_Status!$A$2:$A$8,G2953,Period_Status!$B$2:$B$8,"ActualClosed")=1,C2953&gt;EOMONTH(Settlement_Bridge!$C$2,0)),1,0)</f>
        <v>0</v>
      </c>
      <c r="P2953" s="2" t="s">
        <v>8229</v>
      </c>
    </row>
    <row r="2954" spans="1:16" x14ac:dyDescent="0.25">
      <c r="A2954" s="2" t="s">
        <v>8230</v>
      </c>
      <c r="B2954" s="2" t="s">
        <v>7433</v>
      </c>
      <c r="C2954" s="8">
        <v>46223</v>
      </c>
      <c r="D2954" s="6">
        <v>46204</v>
      </c>
      <c r="E2954" s="2" t="s">
        <v>260</v>
      </c>
      <c r="F2954" s="2" t="s">
        <v>8228</v>
      </c>
      <c r="G2954" s="6">
        <v>46174</v>
      </c>
      <c r="H2954" s="2" t="s">
        <v>71</v>
      </c>
      <c r="I2954" s="2" t="s">
        <v>76</v>
      </c>
      <c r="J2954" s="9">
        <v>47257152</v>
      </c>
      <c r="K2954" s="7">
        <v>6.2000000000000003E-5</v>
      </c>
      <c r="L2954" s="9">
        <v>2929.94</v>
      </c>
      <c r="M2954" s="9">
        <v>2953.57</v>
      </c>
      <c r="N2954" s="9">
        <v>1.8</v>
      </c>
      <c r="O2954" s="10">
        <f>IF(AND(OR(H2954="APPROVED",H2954="SCHEDULED"),COUNTIFS(tblSource[EventID],F2954,tblSource[ReleaseStatus],"APPROVED")=1,COUNTIFS(Period_Status!$A$2:$A$8,G2954,Period_Status!$B$2:$B$8,"ActualClosed")=1,C2954&gt;EOMONTH(Settlement_Bridge!$C$2,0)),1,0)</f>
        <v>0</v>
      </c>
      <c r="P2954" s="2" t="s">
        <v>8231</v>
      </c>
    </row>
    <row r="2955" spans="1:16" x14ac:dyDescent="0.25">
      <c r="A2955" s="2" t="s">
        <v>8232</v>
      </c>
      <c r="B2955" s="2" t="s">
        <v>7433</v>
      </c>
      <c r="C2955" s="8">
        <v>46199</v>
      </c>
      <c r="D2955" s="6">
        <v>46174</v>
      </c>
      <c r="E2955" s="2" t="s">
        <v>260</v>
      </c>
      <c r="F2955" s="2" t="s">
        <v>8233</v>
      </c>
      <c r="G2955" s="6">
        <v>46174</v>
      </c>
      <c r="H2955" s="2" t="s">
        <v>71</v>
      </c>
      <c r="I2955" s="2" t="s">
        <v>70</v>
      </c>
      <c r="J2955" s="9">
        <v>3127.4827070000001</v>
      </c>
      <c r="K2955" s="7">
        <v>0.66500000000000004</v>
      </c>
      <c r="L2955" s="9">
        <v>2079.7800000000002</v>
      </c>
      <c r="M2955" s="9">
        <v>2079.7800000000002</v>
      </c>
      <c r="N2955" s="9">
        <v>1.8</v>
      </c>
      <c r="O2955" s="10">
        <f>IF(AND(OR(H2955="APPROVED",H2955="SCHEDULED"),COUNTIFS(tblSource[EventID],F2955,tblSource[ReleaseStatus],"APPROVED")=1,COUNTIFS(Period_Status!$A$2:$A$8,G2955,Period_Status!$B$2:$B$8,"ActualClosed")=1,C2955&gt;EOMONTH(Settlement_Bridge!$C$2,0)),1,0)</f>
        <v>0</v>
      </c>
      <c r="P2955" s="2" t="s">
        <v>8234</v>
      </c>
    </row>
    <row r="2956" spans="1:16" x14ac:dyDescent="0.25">
      <c r="A2956" s="2" t="s">
        <v>8235</v>
      </c>
      <c r="B2956" s="2" t="s">
        <v>7433</v>
      </c>
      <c r="C2956" s="8">
        <v>46224</v>
      </c>
      <c r="D2956" s="6">
        <v>46204</v>
      </c>
      <c r="E2956" s="2" t="s">
        <v>260</v>
      </c>
      <c r="F2956" s="2" t="s">
        <v>8233</v>
      </c>
      <c r="G2956" s="6">
        <v>46174</v>
      </c>
      <c r="H2956" s="2" t="s">
        <v>71</v>
      </c>
      <c r="I2956" s="2" t="s">
        <v>70</v>
      </c>
      <c r="J2956" s="9">
        <v>4691.2240599999996</v>
      </c>
      <c r="K2956" s="7">
        <v>0.65800000000000003</v>
      </c>
      <c r="L2956" s="9">
        <v>3086.83</v>
      </c>
      <c r="M2956" s="9">
        <v>3119.66</v>
      </c>
      <c r="N2956" s="9">
        <v>1.8</v>
      </c>
      <c r="O2956" s="10">
        <f>IF(AND(OR(H2956="APPROVED",H2956="SCHEDULED"),COUNTIFS(tblSource[EventID],F2956,tblSource[ReleaseStatus],"APPROVED")=1,COUNTIFS(Period_Status!$A$2:$A$8,G2956,Period_Status!$B$2:$B$8,"ActualClosed")=1,C2956&gt;EOMONTH(Settlement_Bridge!$C$2,0)),1,0)</f>
        <v>0</v>
      </c>
      <c r="P2956" s="2" t="s">
        <v>8236</v>
      </c>
    </row>
    <row r="2957" spans="1:16" x14ac:dyDescent="0.25">
      <c r="A2957" s="2" t="s">
        <v>8237</v>
      </c>
      <c r="B2957" s="2" t="s">
        <v>7433</v>
      </c>
      <c r="C2957" s="8">
        <v>46200</v>
      </c>
      <c r="D2957" s="6">
        <v>46174</v>
      </c>
      <c r="E2957" s="2" t="s">
        <v>260</v>
      </c>
      <c r="F2957" s="2" t="s">
        <v>8238</v>
      </c>
      <c r="G2957" s="6">
        <v>46174</v>
      </c>
      <c r="H2957" s="2" t="s">
        <v>71</v>
      </c>
      <c r="I2957" s="2" t="s">
        <v>39</v>
      </c>
      <c r="J2957" s="9">
        <v>2190.5039999999999</v>
      </c>
      <c r="K2957" s="7">
        <v>1</v>
      </c>
      <c r="L2957" s="9">
        <v>2190.5</v>
      </c>
      <c r="M2957" s="9">
        <v>2190.5</v>
      </c>
      <c r="N2957" s="9">
        <v>1.8</v>
      </c>
      <c r="O2957" s="10">
        <f>IF(AND(OR(H2957="APPROVED",H2957="SCHEDULED"),COUNTIFS(tblSource[EventID],F2957,tblSource[ReleaseStatus],"APPROVED")=1,COUNTIFS(Period_Status!$A$2:$A$8,G2957,Period_Status!$B$2:$B$8,"ActualClosed")=1,C2957&gt;EOMONTH(Settlement_Bridge!$C$2,0)),1,0)</f>
        <v>0</v>
      </c>
      <c r="P2957" s="2" t="s">
        <v>8239</v>
      </c>
    </row>
    <row r="2958" spans="1:16" x14ac:dyDescent="0.25">
      <c r="A2958" s="2" t="s">
        <v>8240</v>
      </c>
      <c r="B2958" s="2" t="s">
        <v>7433</v>
      </c>
      <c r="C2958" s="8">
        <v>46225</v>
      </c>
      <c r="D2958" s="6">
        <v>46204</v>
      </c>
      <c r="E2958" s="2" t="s">
        <v>260</v>
      </c>
      <c r="F2958" s="2" t="s">
        <v>8238</v>
      </c>
      <c r="G2958" s="6">
        <v>46174</v>
      </c>
      <c r="H2958" s="2" t="s">
        <v>71</v>
      </c>
      <c r="I2958" s="2" t="s">
        <v>39</v>
      </c>
      <c r="J2958" s="9">
        <v>3285.7559999999999</v>
      </c>
      <c r="K2958" s="7">
        <v>1</v>
      </c>
      <c r="L2958" s="9">
        <v>3285.76</v>
      </c>
      <c r="M2958" s="9">
        <v>3285.76</v>
      </c>
      <c r="N2958" s="9">
        <v>1.81</v>
      </c>
      <c r="O2958" s="10">
        <f>IF(AND(OR(H2958="APPROVED",H2958="SCHEDULED"),COUNTIFS(tblSource[EventID],F2958,tblSource[ReleaseStatus],"APPROVED")=1,COUNTIFS(Period_Status!$A$2:$A$8,G2958,Period_Status!$B$2:$B$8,"ActualClosed")=1,C2958&gt;EOMONTH(Settlement_Bridge!$C$2,0)),1,0)</f>
        <v>0</v>
      </c>
      <c r="P2958" s="2" t="s">
        <v>8241</v>
      </c>
    </row>
    <row r="2959" spans="1:16" x14ac:dyDescent="0.25">
      <c r="A2959" s="2" t="s">
        <v>8242</v>
      </c>
      <c r="B2959" s="2" t="s">
        <v>7433</v>
      </c>
      <c r="C2959" s="8">
        <v>46201</v>
      </c>
      <c r="D2959" s="6">
        <v>46174</v>
      </c>
      <c r="E2959" s="2" t="s">
        <v>260</v>
      </c>
      <c r="F2959" s="2" t="s">
        <v>8243</v>
      </c>
      <c r="G2959" s="6">
        <v>46174</v>
      </c>
      <c r="H2959" s="2" t="s">
        <v>71</v>
      </c>
      <c r="I2959" s="2" t="s">
        <v>76</v>
      </c>
      <c r="J2959" s="9">
        <v>-92049120</v>
      </c>
      <c r="K2959" s="7">
        <v>6.2500000000000001E-5</v>
      </c>
      <c r="L2959" s="9">
        <v>-5753.07</v>
      </c>
      <c r="M2959" s="9">
        <v>-5753.07</v>
      </c>
      <c r="N2959" s="9">
        <v>0</v>
      </c>
      <c r="O2959" s="10">
        <f>IF(AND(OR(H2959="APPROVED",H2959="SCHEDULED"),COUNTIFS(tblSource[EventID],F2959,tblSource[ReleaseStatus],"APPROVED")=1,COUNTIFS(Period_Status!$A$2:$A$8,G2959,Period_Status!$B$2:$B$8,"ActualClosed")=1,C2959&gt;EOMONTH(Settlement_Bridge!$C$2,0)),1,0)</f>
        <v>0</v>
      </c>
      <c r="P2959" s="2" t="s">
        <v>8244</v>
      </c>
    </row>
    <row r="2960" spans="1:16" x14ac:dyDescent="0.25">
      <c r="A2960" s="2" t="s">
        <v>8245</v>
      </c>
      <c r="B2960" s="2" t="s">
        <v>7433</v>
      </c>
      <c r="C2960" s="8">
        <v>46202</v>
      </c>
      <c r="D2960" s="6">
        <v>46174</v>
      </c>
      <c r="E2960" s="2" t="s">
        <v>260</v>
      </c>
      <c r="F2960" s="2" t="s">
        <v>8246</v>
      </c>
      <c r="G2960" s="6">
        <v>46174</v>
      </c>
      <c r="H2960" s="2" t="s">
        <v>71</v>
      </c>
      <c r="I2960" s="2" t="s">
        <v>70</v>
      </c>
      <c r="J2960" s="9">
        <v>3627.0015039999998</v>
      </c>
      <c r="K2960" s="7">
        <v>0.66500000000000004</v>
      </c>
      <c r="L2960" s="9">
        <v>2411.96</v>
      </c>
      <c r="M2960" s="9">
        <v>2411.96</v>
      </c>
      <c r="N2960" s="9">
        <v>1.8</v>
      </c>
      <c r="O2960" s="10">
        <f>IF(AND(OR(H2960="APPROVED",H2960="SCHEDULED"),COUNTIFS(tblSource[EventID],F2960,tblSource[ReleaseStatus],"APPROVED")=1,COUNTIFS(Period_Status!$A$2:$A$8,G2960,Period_Status!$B$2:$B$8,"ActualClosed")=1,C2960&gt;EOMONTH(Settlement_Bridge!$C$2,0)),1,0)</f>
        <v>0</v>
      </c>
      <c r="P2960" s="2" t="s">
        <v>8247</v>
      </c>
    </row>
    <row r="2961" spans="1:16" x14ac:dyDescent="0.25">
      <c r="A2961" s="2" t="s">
        <v>8248</v>
      </c>
      <c r="B2961" s="2" t="s">
        <v>7433</v>
      </c>
      <c r="C2961" s="8">
        <v>46227</v>
      </c>
      <c r="D2961" s="6">
        <v>46204</v>
      </c>
      <c r="E2961" s="2" t="s">
        <v>260</v>
      </c>
      <c r="F2961" s="2" t="s">
        <v>8246</v>
      </c>
      <c r="G2961" s="6">
        <v>46174</v>
      </c>
      <c r="H2961" s="2" t="s">
        <v>71</v>
      </c>
      <c r="I2961" s="2" t="s">
        <v>70</v>
      </c>
      <c r="J2961" s="9">
        <v>5440.5022550000003</v>
      </c>
      <c r="K2961" s="7">
        <v>0.65800000000000003</v>
      </c>
      <c r="L2961" s="9">
        <v>3579.85</v>
      </c>
      <c r="M2961" s="9">
        <v>3617.93</v>
      </c>
      <c r="N2961" s="9">
        <v>1.97</v>
      </c>
      <c r="O2961" s="10">
        <f>IF(AND(OR(H2961="APPROVED",H2961="SCHEDULED"),COUNTIFS(tblSource[EventID],F2961,tblSource[ReleaseStatus],"APPROVED")=1,COUNTIFS(Period_Status!$A$2:$A$8,G2961,Period_Status!$B$2:$B$8,"ActualClosed")=1,C2961&gt;EOMONTH(Settlement_Bridge!$C$2,0)),1,0)</f>
        <v>0</v>
      </c>
      <c r="P2961" s="2" t="s">
        <v>8249</v>
      </c>
    </row>
    <row r="2962" spans="1:16" x14ac:dyDescent="0.25">
      <c r="A2962" s="2" t="s">
        <v>8250</v>
      </c>
      <c r="B2962" s="2" t="s">
        <v>7433</v>
      </c>
      <c r="C2962" s="8">
        <v>46203</v>
      </c>
      <c r="D2962" s="6">
        <v>46174</v>
      </c>
      <c r="E2962" s="2" t="s">
        <v>260</v>
      </c>
      <c r="F2962" s="2" t="s">
        <v>8251</v>
      </c>
      <c r="G2962" s="6">
        <v>46174</v>
      </c>
      <c r="H2962" s="2" t="s">
        <v>71</v>
      </c>
      <c r="I2962" s="2" t="s">
        <v>39</v>
      </c>
      <c r="J2962" s="9">
        <v>2522.6799999999998</v>
      </c>
      <c r="K2962" s="7">
        <v>1</v>
      </c>
      <c r="L2962" s="9">
        <v>2522.6799999999998</v>
      </c>
      <c r="M2962" s="9">
        <v>2522.6799999999998</v>
      </c>
      <c r="N2962" s="9">
        <v>1.8</v>
      </c>
      <c r="O2962" s="10">
        <f>IF(AND(OR(H2962="APPROVED",H2962="SCHEDULED"),COUNTIFS(tblSource[EventID],F2962,tblSource[ReleaseStatus],"APPROVED")=1,COUNTIFS(Period_Status!$A$2:$A$8,G2962,Period_Status!$B$2:$B$8,"ActualClosed")=1,C2962&gt;EOMONTH(Settlement_Bridge!$C$2,0)),1,0)</f>
        <v>0</v>
      </c>
      <c r="P2962" s="2" t="s">
        <v>8252</v>
      </c>
    </row>
    <row r="2963" spans="1:16" x14ac:dyDescent="0.25">
      <c r="A2963" s="2" t="s">
        <v>8253</v>
      </c>
      <c r="B2963" s="2" t="s">
        <v>7433</v>
      </c>
      <c r="C2963" s="8">
        <v>46228</v>
      </c>
      <c r="D2963" s="6">
        <v>46204</v>
      </c>
      <c r="E2963" s="2" t="s">
        <v>260</v>
      </c>
      <c r="F2963" s="2" t="s">
        <v>8251</v>
      </c>
      <c r="G2963" s="6">
        <v>46174</v>
      </c>
      <c r="H2963" s="2" t="s">
        <v>71</v>
      </c>
      <c r="I2963" s="2" t="s">
        <v>39</v>
      </c>
      <c r="J2963" s="9">
        <v>3784.02</v>
      </c>
      <c r="K2963" s="7">
        <v>1</v>
      </c>
      <c r="L2963" s="9">
        <v>3784.02</v>
      </c>
      <c r="M2963" s="9">
        <v>3784.02</v>
      </c>
      <c r="N2963" s="9">
        <v>2.08</v>
      </c>
      <c r="O2963" s="10">
        <f>IF(AND(OR(H2963="APPROVED",H2963="SCHEDULED"),COUNTIFS(tblSource[EventID],F2963,tblSource[ReleaseStatus],"APPROVED")=1,COUNTIFS(Period_Status!$A$2:$A$8,G2963,Period_Status!$B$2:$B$8,"ActualClosed")=1,C2963&gt;EOMONTH(Settlement_Bridge!$C$2,0)),1,0)</f>
        <v>0</v>
      </c>
      <c r="P2963" s="2" t="s">
        <v>8254</v>
      </c>
    </row>
    <row r="2964" spans="1:16" x14ac:dyDescent="0.25">
      <c r="A2964" s="2" t="s">
        <v>8255</v>
      </c>
      <c r="B2964" s="2" t="s">
        <v>7433</v>
      </c>
      <c r="C2964" s="8">
        <v>46204</v>
      </c>
      <c r="D2964" s="6">
        <v>46204</v>
      </c>
      <c r="E2964" s="2" t="s">
        <v>260</v>
      </c>
      <c r="F2964" s="2" t="s">
        <v>8256</v>
      </c>
      <c r="G2964" s="6">
        <v>46174</v>
      </c>
      <c r="H2964" s="2" t="s">
        <v>71</v>
      </c>
      <c r="I2964" s="2" t="s">
        <v>76</v>
      </c>
      <c r="J2964" s="9">
        <v>42134528</v>
      </c>
      <c r="K2964" s="7">
        <v>6.2000000000000003E-5</v>
      </c>
      <c r="L2964" s="9">
        <v>2612.34</v>
      </c>
      <c r="M2964" s="9">
        <v>2633.41</v>
      </c>
      <c r="N2964" s="9">
        <v>1.8</v>
      </c>
      <c r="O2964" s="10">
        <f>IF(AND(OR(H2964="APPROVED",H2964="SCHEDULED"),COUNTIFS(tblSource[EventID],F2964,tblSource[ReleaseStatus],"APPROVED")=1,COUNTIFS(Period_Status!$A$2:$A$8,G2964,Period_Status!$B$2:$B$8,"ActualClosed")=1,C2964&gt;EOMONTH(Settlement_Bridge!$C$2,0)),1,0)</f>
        <v>0</v>
      </c>
      <c r="P2964" s="2" t="s">
        <v>8257</v>
      </c>
    </row>
    <row r="2965" spans="1:16" x14ac:dyDescent="0.25">
      <c r="A2965" s="2" t="s">
        <v>8258</v>
      </c>
      <c r="B2965" s="2" t="s">
        <v>7433</v>
      </c>
      <c r="C2965" s="8">
        <v>46229</v>
      </c>
      <c r="D2965" s="6">
        <v>46204</v>
      </c>
      <c r="E2965" s="2" t="s">
        <v>260</v>
      </c>
      <c r="F2965" s="2" t="s">
        <v>8256</v>
      </c>
      <c r="G2965" s="6">
        <v>46174</v>
      </c>
      <c r="H2965" s="2" t="s">
        <v>71</v>
      </c>
      <c r="I2965" s="2" t="s">
        <v>76</v>
      </c>
      <c r="J2965" s="9">
        <v>63201792</v>
      </c>
      <c r="K2965" s="7">
        <v>6.2000000000000003E-5</v>
      </c>
      <c r="L2965" s="9">
        <v>3918.51</v>
      </c>
      <c r="M2965" s="9">
        <v>3950.11</v>
      </c>
      <c r="N2965" s="9">
        <v>2.16</v>
      </c>
      <c r="O2965" s="10">
        <f>IF(AND(OR(H2965="APPROVED",H2965="SCHEDULED"),COUNTIFS(tblSource[EventID],F2965,tblSource[ReleaseStatus],"APPROVED")=1,COUNTIFS(Period_Status!$A$2:$A$8,G2965,Period_Status!$B$2:$B$8,"ActualClosed")=1,C2965&gt;EOMONTH(Settlement_Bridge!$C$2,0)),1,0)</f>
        <v>0</v>
      </c>
      <c r="P2965" s="2" t="s">
        <v>8259</v>
      </c>
    </row>
    <row r="2966" spans="1:16" x14ac:dyDescent="0.25">
      <c r="A2966" s="2" t="s">
        <v>8260</v>
      </c>
      <c r="B2966" s="2" t="s">
        <v>7433</v>
      </c>
      <c r="C2966" s="8">
        <v>46205</v>
      </c>
      <c r="D2966" s="6">
        <v>46204</v>
      </c>
      <c r="E2966" s="2" t="s">
        <v>260</v>
      </c>
      <c r="F2966" s="2" t="s">
        <v>8261</v>
      </c>
      <c r="G2966" s="6">
        <v>46174</v>
      </c>
      <c r="H2966" s="2" t="s">
        <v>71</v>
      </c>
      <c r="I2966" s="2" t="s">
        <v>70</v>
      </c>
      <c r="J2966" s="9">
        <v>4126.5142859999996</v>
      </c>
      <c r="K2966" s="7">
        <v>0.65800000000000003</v>
      </c>
      <c r="L2966" s="9">
        <v>2715.25</v>
      </c>
      <c r="M2966" s="9">
        <v>2744.13</v>
      </c>
      <c r="N2966" s="9">
        <v>1.8</v>
      </c>
      <c r="O2966" s="10">
        <f>IF(AND(OR(H2966="APPROVED",H2966="SCHEDULED"),COUNTIFS(tblSource[EventID],F2966,tblSource[ReleaseStatus],"APPROVED")=1,COUNTIFS(Period_Status!$A$2:$A$8,G2966,Period_Status!$B$2:$B$8,"ActualClosed")=1,C2966&gt;EOMONTH(Settlement_Bridge!$C$2,0)),1,0)</f>
        <v>0</v>
      </c>
      <c r="P2966" s="2" t="s">
        <v>8262</v>
      </c>
    </row>
    <row r="2967" spans="1:16" x14ac:dyDescent="0.25">
      <c r="A2967" s="2" t="s">
        <v>8263</v>
      </c>
      <c r="B2967" s="2" t="s">
        <v>7433</v>
      </c>
      <c r="C2967" s="8">
        <v>46230</v>
      </c>
      <c r="D2967" s="6">
        <v>46204</v>
      </c>
      <c r="E2967" s="2" t="s">
        <v>260</v>
      </c>
      <c r="F2967" s="2" t="s">
        <v>8261</v>
      </c>
      <c r="G2967" s="6">
        <v>46174</v>
      </c>
      <c r="H2967" s="2" t="s">
        <v>71</v>
      </c>
      <c r="I2967" s="2" t="s">
        <v>70</v>
      </c>
      <c r="J2967" s="9">
        <v>6189.771428</v>
      </c>
      <c r="K2967" s="7">
        <v>0.65800000000000003</v>
      </c>
      <c r="L2967" s="9">
        <v>4072.87</v>
      </c>
      <c r="M2967" s="9">
        <v>4116.2</v>
      </c>
      <c r="N2967" s="9">
        <v>2.2400000000000002</v>
      </c>
      <c r="O2967" s="10">
        <f>IF(AND(OR(H2967="APPROVED",H2967="SCHEDULED"),COUNTIFS(tblSource[EventID],F2967,tblSource[ReleaseStatus],"APPROVED")=1,COUNTIFS(Period_Status!$A$2:$A$8,G2967,Period_Status!$B$2:$B$8,"ActualClosed")=1,C2967&gt;EOMONTH(Settlement_Bridge!$C$2,0)),1,0)</f>
        <v>0</v>
      </c>
      <c r="P2967" s="2" t="s">
        <v>8264</v>
      </c>
    </row>
    <row r="2968" spans="1:16" x14ac:dyDescent="0.25">
      <c r="A2968" s="2" t="s">
        <v>8265</v>
      </c>
      <c r="B2968" s="2" t="s">
        <v>7433</v>
      </c>
      <c r="C2968" s="8">
        <v>46206</v>
      </c>
      <c r="D2968" s="6">
        <v>46204</v>
      </c>
      <c r="E2968" s="2" t="s">
        <v>260</v>
      </c>
      <c r="F2968" s="2" t="s">
        <v>8266</v>
      </c>
      <c r="G2968" s="6">
        <v>46174</v>
      </c>
      <c r="H2968" s="2" t="s">
        <v>71</v>
      </c>
      <c r="I2968" s="2" t="s">
        <v>39</v>
      </c>
      <c r="J2968" s="9">
        <v>2854.86</v>
      </c>
      <c r="K2968" s="7">
        <v>1</v>
      </c>
      <c r="L2968" s="9">
        <v>2854.86</v>
      </c>
      <c r="M2968" s="9">
        <v>2854.86</v>
      </c>
      <c r="N2968" s="9">
        <v>1.8</v>
      </c>
      <c r="O2968" s="10">
        <f>IF(AND(OR(H2968="APPROVED",H2968="SCHEDULED"),COUNTIFS(tblSource[EventID],F2968,tblSource[ReleaseStatus],"APPROVED")=1,COUNTIFS(Period_Status!$A$2:$A$8,G2968,Period_Status!$B$2:$B$8,"ActualClosed")=1,C2968&gt;EOMONTH(Settlement_Bridge!$C$2,0)),1,0)</f>
        <v>0</v>
      </c>
      <c r="P2968" s="2" t="s">
        <v>8267</v>
      </c>
    </row>
    <row r="2969" spans="1:16" x14ac:dyDescent="0.25">
      <c r="A2969" s="2" t="s">
        <v>8268</v>
      </c>
      <c r="B2969" s="2" t="s">
        <v>7433</v>
      </c>
      <c r="C2969" s="8">
        <v>46231</v>
      </c>
      <c r="D2969" s="6">
        <v>46204</v>
      </c>
      <c r="E2969" s="2" t="s">
        <v>260</v>
      </c>
      <c r="F2969" s="2" t="s">
        <v>8266</v>
      </c>
      <c r="G2969" s="6">
        <v>46174</v>
      </c>
      <c r="H2969" s="2" t="s">
        <v>71</v>
      </c>
      <c r="I2969" s="2" t="s">
        <v>39</v>
      </c>
      <c r="J2969" s="9">
        <v>4282.29</v>
      </c>
      <c r="K2969" s="7">
        <v>1</v>
      </c>
      <c r="L2969" s="9">
        <v>4282.29</v>
      </c>
      <c r="M2969" s="9">
        <v>4282.29</v>
      </c>
      <c r="N2969" s="9">
        <v>2.36</v>
      </c>
      <c r="O2969" s="10">
        <f>IF(AND(OR(H2969="APPROVED",H2969="SCHEDULED"),COUNTIFS(tblSource[EventID],F2969,tblSource[ReleaseStatus],"APPROVED")=1,COUNTIFS(Period_Status!$A$2:$A$8,G2969,Period_Status!$B$2:$B$8,"ActualClosed")=1,C2969&gt;EOMONTH(Settlement_Bridge!$C$2,0)),1,0)</f>
        <v>0</v>
      </c>
      <c r="P2969" s="2" t="s">
        <v>8269</v>
      </c>
    </row>
    <row r="2970" spans="1:16" x14ac:dyDescent="0.25">
      <c r="A2970" s="2" t="s">
        <v>8270</v>
      </c>
      <c r="B2970" s="2" t="s">
        <v>7433</v>
      </c>
      <c r="C2970" s="8">
        <v>46207</v>
      </c>
      <c r="D2970" s="6">
        <v>46204</v>
      </c>
      <c r="E2970" s="2" t="s">
        <v>260</v>
      </c>
      <c r="F2970" s="2" t="s">
        <v>8271</v>
      </c>
      <c r="G2970" s="6">
        <v>46174</v>
      </c>
      <c r="H2970" s="2" t="s">
        <v>71</v>
      </c>
      <c r="I2970" s="2" t="s">
        <v>76</v>
      </c>
      <c r="J2970" s="9">
        <v>47449408</v>
      </c>
      <c r="K2970" s="7">
        <v>6.2000000000000003E-5</v>
      </c>
      <c r="L2970" s="9">
        <v>2941.86</v>
      </c>
      <c r="M2970" s="9">
        <v>2965.59</v>
      </c>
      <c r="N2970" s="9">
        <v>1.8</v>
      </c>
      <c r="O2970" s="10">
        <f>IF(AND(OR(H2970="APPROVED",H2970="SCHEDULED"),COUNTIFS(tblSource[EventID],F2970,tblSource[ReleaseStatus],"APPROVED")=1,COUNTIFS(Period_Status!$A$2:$A$8,G2970,Period_Status!$B$2:$B$8,"ActualClosed")=1,C2970&gt;EOMONTH(Settlement_Bridge!$C$2,0)),1,0)</f>
        <v>0</v>
      </c>
      <c r="P2970" s="2" t="s">
        <v>8272</v>
      </c>
    </row>
    <row r="2971" spans="1:16" x14ac:dyDescent="0.25">
      <c r="A2971" s="2" t="s">
        <v>8273</v>
      </c>
      <c r="B2971" s="2" t="s">
        <v>7433</v>
      </c>
      <c r="C2971" s="8">
        <v>46232</v>
      </c>
      <c r="D2971" s="6">
        <v>46204</v>
      </c>
      <c r="E2971" s="2" t="s">
        <v>260</v>
      </c>
      <c r="F2971" s="2" t="s">
        <v>8271</v>
      </c>
      <c r="G2971" s="6">
        <v>46174</v>
      </c>
      <c r="H2971" s="2" t="s">
        <v>71</v>
      </c>
      <c r="I2971" s="2" t="s">
        <v>76</v>
      </c>
      <c r="J2971" s="9">
        <v>71174112</v>
      </c>
      <c r="K2971" s="7">
        <v>6.2000000000000003E-5</v>
      </c>
      <c r="L2971" s="9">
        <v>4412.79</v>
      </c>
      <c r="M2971" s="9">
        <v>4448.38</v>
      </c>
      <c r="N2971" s="9">
        <v>2.4300000000000002</v>
      </c>
      <c r="O2971" s="10">
        <f>IF(AND(OR(H2971="APPROVED",H2971="SCHEDULED"),COUNTIFS(tblSource[EventID],F2971,tblSource[ReleaseStatus],"APPROVED")=1,COUNTIFS(Period_Status!$A$2:$A$8,G2971,Period_Status!$B$2:$B$8,"ActualClosed")=1,C2971&gt;EOMONTH(Settlement_Bridge!$C$2,0)),1,0)</f>
        <v>0</v>
      </c>
      <c r="P2971" s="2" t="s">
        <v>8274</v>
      </c>
    </row>
    <row r="2972" spans="1:16" x14ac:dyDescent="0.25">
      <c r="A2972" s="2" t="s">
        <v>8275</v>
      </c>
      <c r="B2972" s="2" t="s">
        <v>7433</v>
      </c>
      <c r="C2972" s="8">
        <v>46208</v>
      </c>
      <c r="D2972" s="6">
        <v>46204</v>
      </c>
      <c r="E2972" s="2" t="s">
        <v>260</v>
      </c>
      <c r="F2972" s="2" t="s">
        <v>8276</v>
      </c>
      <c r="G2972" s="6">
        <v>46174</v>
      </c>
      <c r="H2972" s="2" t="s">
        <v>71</v>
      </c>
      <c r="I2972" s="2" t="s">
        <v>70</v>
      </c>
      <c r="J2972" s="9">
        <v>4626.0330830000003</v>
      </c>
      <c r="K2972" s="7">
        <v>0.65800000000000003</v>
      </c>
      <c r="L2972" s="9">
        <v>3043.93</v>
      </c>
      <c r="M2972" s="9">
        <v>3076.31</v>
      </c>
      <c r="N2972" s="9">
        <v>1.8</v>
      </c>
      <c r="O2972" s="10">
        <f>IF(AND(OR(H2972="APPROVED",H2972="SCHEDULED"),COUNTIFS(tblSource[EventID],F2972,tblSource[ReleaseStatus],"APPROVED")=1,COUNTIFS(Period_Status!$A$2:$A$8,G2972,Period_Status!$B$2:$B$8,"ActualClosed")=1,C2972&gt;EOMONTH(Settlement_Bridge!$C$2,0)),1,0)</f>
        <v>0</v>
      </c>
      <c r="P2972" s="2" t="s">
        <v>8277</v>
      </c>
    </row>
    <row r="2973" spans="1:16" x14ac:dyDescent="0.25">
      <c r="A2973" s="2" t="s">
        <v>8278</v>
      </c>
      <c r="B2973" s="2" t="s">
        <v>7433</v>
      </c>
      <c r="C2973" s="8">
        <v>46233</v>
      </c>
      <c r="D2973" s="6">
        <v>46204</v>
      </c>
      <c r="E2973" s="2" t="s">
        <v>260</v>
      </c>
      <c r="F2973" s="2" t="s">
        <v>8276</v>
      </c>
      <c r="G2973" s="6">
        <v>46174</v>
      </c>
      <c r="H2973" s="2" t="s">
        <v>71</v>
      </c>
      <c r="I2973" s="2" t="s">
        <v>70</v>
      </c>
      <c r="J2973" s="9">
        <v>6939.0496240000002</v>
      </c>
      <c r="K2973" s="7">
        <v>0.65800000000000003</v>
      </c>
      <c r="L2973" s="9">
        <v>4565.8900000000003</v>
      </c>
      <c r="M2973" s="9">
        <v>4614.47</v>
      </c>
      <c r="N2973" s="9">
        <v>2.5099999999999998</v>
      </c>
      <c r="O2973" s="10">
        <f>IF(AND(OR(H2973="APPROVED",H2973="SCHEDULED"),COUNTIFS(tblSource[EventID],F2973,tblSource[ReleaseStatus],"APPROVED")=1,COUNTIFS(Period_Status!$A$2:$A$8,G2973,Period_Status!$B$2:$B$8,"ActualClosed")=1,C2973&gt;EOMONTH(Settlement_Bridge!$C$2,0)),1,0)</f>
        <v>0</v>
      </c>
      <c r="P2973" s="2" t="s">
        <v>8279</v>
      </c>
    </row>
    <row r="2974" spans="1:16" x14ac:dyDescent="0.25">
      <c r="A2974" s="2" t="s">
        <v>8280</v>
      </c>
      <c r="B2974" s="2" t="s">
        <v>7433</v>
      </c>
      <c r="C2974" s="8">
        <v>46209</v>
      </c>
      <c r="D2974" s="6">
        <v>46204</v>
      </c>
      <c r="E2974" s="2" t="s">
        <v>260</v>
      </c>
      <c r="F2974" s="2" t="s">
        <v>8281</v>
      </c>
      <c r="G2974" s="6">
        <v>46174</v>
      </c>
      <c r="H2974" s="2" t="s">
        <v>71</v>
      </c>
      <c r="I2974" s="2" t="s">
        <v>39</v>
      </c>
      <c r="J2974" s="9">
        <v>3187.04</v>
      </c>
      <c r="K2974" s="7">
        <v>1</v>
      </c>
      <c r="L2974" s="9">
        <v>3187.04</v>
      </c>
      <c r="M2974" s="9">
        <v>3187.04</v>
      </c>
      <c r="N2974" s="9">
        <v>1.8</v>
      </c>
      <c r="O2974" s="10">
        <f>IF(AND(OR(H2974="APPROVED",H2974="SCHEDULED"),COUNTIFS(tblSource[EventID],F2974,tblSource[ReleaseStatus],"APPROVED")=1,COUNTIFS(Period_Status!$A$2:$A$8,G2974,Period_Status!$B$2:$B$8,"ActualClosed")=1,C2974&gt;EOMONTH(Settlement_Bridge!$C$2,0)),1,0)</f>
        <v>0</v>
      </c>
      <c r="P2974" s="2" t="s">
        <v>8282</v>
      </c>
    </row>
    <row r="2975" spans="1:16" x14ac:dyDescent="0.25">
      <c r="A2975" s="2" t="s">
        <v>8283</v>
      </c>
      <c r="B2975" s="2" t="s">
        <v>7433</v>
      </c>
      <c r="C2975" s="8">
        <v>46234</v>
      </c>
      <c r="D2975" s="6">
        <v>46204</v>
      </c>
      <c r="E2975" s="2" t="s">
        <v>260</v>
      </c>
      <c r="F2975" s="2" t="s">
        <v>8281</v>
      </c>
      <c r="G2975" s="6">
        <v>46174</v>
      </c>
      <c r="H2975" s="2" t="s">
        <v>71</v>
      </c>
      <c r="I2975" s="2" t="s">
        <v>39</v>
      </c>
      <c r="J2975" s="9">
        <v>4780.5600000000004</v>
      </c>
      <c r="K2975" s="7">
        <v>1</v>
      </c>
      <c r="L2975" s="9">
        <v>4780.5600000000004</v>
      </c>
      <c r="M2975" s="9">
        <v>4780.5600000000004</v>
      </c>
      <c r="N2975" s="9">
        <v>2.63</v>
      </c>
      <c r="O2975" s="10">
        <f>IF(AND(OR(H2975="APPROVED",H2975="SCHEDULED"),COUNTIFS(tblSource[EventID],F2975,tblSource[ReleaseStatus],"APPROVED")=1,COUNTIFS(Period_Status!$A$2:$A$8,G2975,Period_Status!$B$2:$B$8,"ActualClosed")=1,C2975&gt;EOMONTH(Settlement_Bridge!$C$2,0)),1,0)</f>
        <v>0</v>
      </c>
      <c r="P2975" s="2" t="s">
        <v>8284</v>
      </c>
    </row>
    <row r="2976" spans="1:16" x14ac:dyDescent="0.25">
      <c r="A2976" s="2" t="s">
        <v>8285</v>
      </c>
      <c r="B2976" s="2" t="s">
        <v>7433</v>
      </c>
      <c r="C2976" s="8">
        <v>46210</v>
      </c>
      <c r="D2976" s="6">
        <v>46204</v>
      </c>
      <c r="E2976" s="2" t="s">
        <v>260</v>
      </c>
      <c r="F2976" s="2" t="s">
        <v>8286</v>
      </c>
      <c r="G2976" s="6">
        <v>46174</v>
      </c>
      <c r="H2976" s="2" t="s">
        <v>71</v>
      </c>
      <c r="I2976" s="2" t="s">
        <v>76</v>
      </c>
      <c r="J2976" s="9">
        <v>52764288</v>
      </c>
      <c r="K2976" s="7">
        <v>6.2000000000000003E-5</v>
      </c>
      <c r="L2976" s="9">
        <v>3271.39</v>
      </c>
      <c r="M2976" s="9">
        <v>3297.77</v>
      </c>
      <c r="N2976" s="9">
        <v>1.8</v>
      </c>
      <c r="O2976" s="10">
        <f>IF(AND(OR(H2976="APPROVED",H2976="SCHEDULED"),COUNTIFS(tblSource[EventID],F2976,tblSource[ReleaseStatus],"APPROVED")=1,COUNTIFS(Period_Status!$A$2:$A$8,G2976,Period_Status!$B$2:$B$8,"ActualClosed")=1,C2976&gt;EOMONTH(Settlement_Bridge!$C$2,0)),1,0)</f>
        <v>0</v>
      </c>
      <c r="P2976" s="2" t="s">
        <v>8287</v>
      </c>
    </row>
    <row r="2977" spans="1:16" x14ac:dyDescent="0.25">
      <c r="A2977" s="2" t="s">
        <v>8288</v>
      </c>
      <c r="B2977" s="2" t="s">
        <v>7433</v>
      </c>
      <c r="C2977" s="8">
        <v>46235</v>
      </c>
      <c r="D2977" s="6">
        <v>46235</v>
      </c>
      <c r="E2977" s="2" t="s">
        <v>260</v>
      </c>
      <c r="F2977" s="2" t="s">
        <v>8286</v>
      </c>
      <c r="G2977" s="6">
        <v>46174</v>
      </c>
      <c r="H2977" s="2" t="s">
        <v>71</v>
      </c>
      <c r="I2977" s="2" t="s">
        <v>76</v>
      </c>
      <c r="J2977" s="9">
        <v>79146432</v>
      </c>
      <c r="K2977" s="7">
        <v>6.1500000000000004E-5</v>
      </c>
      <c r="L2977" s="9">
        <v>4867.51</v>
      </c>
      <c r="M2977" s="9">
        <v>4946.6499999999996</v>
      </c>
      <c r="N2977" s="9">
        <v>2.68</v>
      </c>
      <c r="O2977" s="10">
        <f>IF(AND(OR(H2977="APPROVED",H2977="SCHEDULED"),COUNTIFS(tblSource[EventID],F2977,tblSource[ReleaseStatus],"APPROVED")=1,COUNTIFS(Period_Status!$A$2:$A$8,G2977,Period_Status!$B$2:$B$8,"ActualClosed")=1,C2977&gt;EOMONTH(Settlement_Bridge!$C$2,0)),1,0)</f>
        <v>1</v>
      </c>
      <c r="P2977" s="2" t="s">
        <v>8289</v>
      </c>
    </row>
    <row r="2978" spans="1:16" x14ac:dyDescent="0.25">
      <c r="A2978" s="2" t="s">
        <v>8290</v>
      </c>
      <c r="B2978" s="2" t="s">
        <v>7433</v>
      </c>
      <c r="C2978" s="8">
        <v>46211</v>
      </c>
      <c r="D2978" s="6">
        <v>46204</v>
      </c>
      <c r="E2978" s="2" t="s">
        <v>260</v>
      </c>
      <c r="F2978" s="2" t="s">
        <v>8291</v>
      </c>
      <c r="G2978" s="6">
        <v>46174</v>
      </c>
      <c r="H2978" s="2" t="s">
        <v>71</v>
      </c>
      <c r="I2978" s="2" t="s">
        <v>70</v>
      </c>
      <c r="J2978" s="9">
        <v>5125.55188</v>
      </c>
      <c r="K2978" s="7">
        <v>0.65800000000000003</v>
      </c>
      <c r="L2978" s="9">
        <v>3372.61</v>
      </c>
      <c r="M2978" s="9">
        <v>3408.49</v>
      </c>
      <c r="N2978" s="9">
        <v>1.85</v>
      </c>
      <c r="O2978" s="10">
        <f>IF(AND(OR(H2978="APPROVED",H2978="SCHEDULED"),COUNTIFS(tblSource[EventID],F2978,tblSource[ReleaseStatus],"APPROVED")=1,COUNTIFS(Period_Status!$A$2:$A$8,G2978,Period_Status!$B$2:$B$8,"ActualClosed")=1,C2978&gt;EOMONTH(Settlement_Bridge!$C$2,0)),1,0)</f>
        <v>0</v>
      </c>
      <c r="P2978" s="2" t="s">
        <v>8292</v>
      </c>
    </row>
    <row r="2979" spans="1:16" x14ac:dyDescent="0.25">
      <c r="A2979" s="2" t="s">
        <v>8293</v>
      </c>
      <c r="B2979" s="2" t="s">
        <v>7433</v>
      </c>
      <c r="C2979" s="8">
        <v>46236</v>
      </c>
      <c r="D2979" s="6">
        <v>46235</v>
      </c>
      <c r="E2979" s="2" t="s">
        <v>260</v>
      </c>
      <c r="F2979" s="2" t="s">
        <v>8291</v>
      </c>
      <c r="G2979" s="6">
        <v>46174</v>
      </c>
      <c r="H2979" s="2" t="s">
        <v>71</v>
      </c>
      <c r="I2979" s="2" t="s">
        <v>70</v>
      </c>
      <c r="J2979" s="9">
        <v>7688.3278190000001</v>
      </c>
      <c r="K2979" s="7">
        <v>0.65</v>
      </c>
      <c r="L2979" s="9">
        <v>4997.41</v>
      </c>
      <c r="M2979" s="9">
        <v>5112.74</v>
      </c>
      <c r="N2979" s="9">
        <v>2.75</v>
      </c>
      <c r="O2979" s="10">
        <f>IF(AND(OR(H2979="APPROVED",H2979="SCHEDULED"),COUNTIFS(tblSource[EventID],F2979,tblSource[ReleaseStatus],"APPROVED")=1,COUNTIFS(Period_Status!$A$2:$A$8,G2979,Period_Status!$B$2:$B$8,"ActualClosed")=1,C2979&gt;EOMONTH(Settlement_Bridge!$C$2,0)),1,0)</f>
        <v>1</v>
      </c>
      <c r="P2979" s="2" t="s">
        <v>8294</v>
      </c>
    </row>
    <row r="2980" spans="1:16" x14ac:dyDescent="0.25">
      <c r="A2980" s="2" t="s">
        <v>8295</v>
      </c>
      <c r="B2980" s="2" t="s">
        <v>7433</v>
      </c>
      <c r="C2980" s="8">
        <v>46212</v>
      </c>
      <c r="D2980" s="6">
        <v>46204</v>
      </c>
      <c r="E2980" s="2" t="s">
        <v>260</v>
      </c>
      <c r="F2980" s="2" t="s">
        <v>8296</v>
      </c>
      <c r="G2980" s="6">
        <v>46174</v>
      </c>
      <c r="H2980" s="2" t="s">
        <v>71</v>
      </c>
      <c r="I2980" s="2" t="s">
        <v>39</v>
      </c>
      <c r="J2980" s="9">
        <v>3519.22</v>
      </c>
      <c r="K2980" s="7">
        <v>1</v>
      </c>
      <c r="L2980" s="9">
        <v>3519.22</v>
      </c>
      <c r="M2980" s="9">
        <v>3519.22</v>
      </c>
      <c r="N2980" s="9">
        <v>1.94</v>
      </c>
      <c r="O2980" s="10">
        <f>IF(AND(OR(H2980="APPROVED",H2980="SCHEDULED"),COUNTIFS(tblSource[EventID],F2980,tblSource[ReleaseStatus],"APPROVED")=1,COUNTIFS(Period_Status!$A$2:$A$8,G2980,Period_Status!$B$2:$B$8,"ActualClosed")=1,C2980&gt;EOMONTH(Settlement_Bridge!$C$2,0)),1,0)</f>
        <v>0</v>
      </c>
      <c r="P2980" s="2" t="s">
        <v>8297</v>
      </c>
    </row>
    <row r="2981" spans="1:16" x14ac:dyDescent="0.25">
      <c r="A2981" s="2" t="s">
        <v>8298</v>
      </c>
      <c r="B2981" s="2" t="s">
        <v>7433</v>
      </c>
      <c r="C2981" s="8">
        <v>46237</v>
      </c>
      <c r="D2981" s="6">
        <v>46235</v>
      </c>
      <c r="E2981" s="2" t="s">
        <v>260</v>
      </c>
      <c r="F2981" s="2" t="s">
        <v>8296</v>
      </c>
      <c r="G2981" s="6">
        <v>46174</v>
      </c>
      <c r="H2981" s="2" t="s">
        <v>71</v>
      </c>
      <c r="I2981" s="2" t="s">
        <v>39</v>
      </c>
      <c r="J2981" s="9">
        <v>5278.83</v>
      </c>
      <c r="K2981" s="7">
        <v>1</v>
      </c>
      <c r="L2981" s="9">
        <v>5278.83</v>
      </c>
      <c r="M2981" s="9">
        <v>5278.83</v>
      </c>
      <c r="N2981" s="9">
        <v>2.9</v>
      </c>
      <c r="O2981" s="10">
        <f>IF(AND(OR(H2981="APPROVED",H2981="SCHEDULED"),COUNTIFS(tblSource[EventID],F2981,tblSource[ReleaseStatus],"APPROVED")=1,COUNTIFS(Period_Status!$A$2:$A$8,G2981,Period_Status!$B$2:$B$8,"ActualClosed")=1,C2981&gt;EOMONTH(Settlement_Bridge!$C$2,0)),1,0)</f>
        <v>1</v>
      </c>
      <c r="P2981" s="2" t="s">
        <v>8299</v>
      </c>
    </row>
    <row r="2982" spans="1:16" x14ac:dyDescent="0.25">
      <c r="A2982" s="2" t="s">
        <v>8300</v>
      </c>
      <c r="B2982" s="2" t="s">
        <v>7433</v>
      </c>
      <c r="C2982" s="8">
        <v>46213</v>
      </c>
      <c r="D2982" s="6">
        <v>46204</v>
      </c>
      <c r="E2982" s="2" t="s">
        <v>260</v>
      </c>
      <c r="F2982" s="2" t="s">
        <v>8301</v>
      </c>
      <c r="G2982" s="6">
        <v>46174</v>
      </c>
      <c r="H2982" s="2" t="s">
        <v>71</v>
      </c>
      <c r="I2982" s="2" t="s">
        <v>76</v>
      </c>
      <c r="J2982" s="9">
        <v>58079104</v>
      </c>
      <c r="K2982" s="7">
        <v>6.2000000000000003E-5</v>
      </c>
      <c r="L2982" s="9">
        <v>3600.9</v>
      </c>
      <c r="M2982" s="9">
        <v>3629.94</v>
      </c>
      <c r="N2982" s="9">
        <v>1.98</v>
      </c>
      <c r="O2982" s="10">
        <f>IF(AND(OR(H2982="APPROVED",H2982="SCHEDULED"),COUNTIFS(tblSource[EventID],F2982,tblSource[ReleaseStatus],"APPROVED")=1,COUNTIFS(Period_Status!$A$2:$A$8,G2982,Period_Status!$B$2:$B$8,"ActualClosed")=1,C2982&gt;EOMONTH(Settlement_Bridge!$C$2,0)),1,0)</f>
        <v>0</v>
      </c>
      <c r="P2982" s="2" t="s">
        <v>8302</v>
      </c>
    </row>
    <row r="2983" spans="1:16" x14ac:dyDescent="0.25">
      <c r="A2983" s="2" t="s">
        <v>8303</v>
      </c>
      <c r="B2983" s="2" t="s">
        <v>7433</v>
      </c>
      <c r="C2983" s="8">
        <v>46238</v>
      </c>
      <c r="D2983" s="6">
        <v>46235</v>
      </c>
      <c r="E2983" s="2" t="s">
        <v>260</v>
      </c>
      <c r="F2983" s="2" t="s">
        <v>8301</v>
      </c>
      <c r="G2983" s="6">
        <v>46174</v>
      </c>
      <c r="H2983" s="2" t="s">
        <v>71</v>
      </c>
      <c r="I2983" s="2" t="s">
        <v>76</v>
      </c>
      <c r="J2983" s="9">
        <v>87118656</v>
      </c>
      <c r="K2983" s="7">
        <v>6.1500000000000004E-5</v>
      </c>
      <c r="L2983" s="9">
        <v>5357.8</v>
      </c>
      <c r="M2983" s="9">
        <v>5444.92</v>
      </c>
      <c r="N2983" s="9">
        <v>2.95</v>
      </c>
      <c r="O2983" s="10">
        <f>IF(AND(OR(H2983="APPROVED",H2983="SCHEDULED"),COUNTIFS(tblSource[EventID],F2983,tblSource[ReleaseStatus],"APPROVED")=1,COUNTIFS(Period_Status!$A$2:$A$8,G2983,Period_Status!$B$2:$B$8,"ActualClosed")=1,C2983&gt;EOMONTH(Settlement_Bridge!$C$2,0)),1,0)</f>
        <v>1</v>
      </c>
      <c r="P2983" s="2" t="s">
        <v>8304</v>
      </c>
    </row>
    <row r="2984" spans="1:16" x14ac:dyDescent="0.25">
      <c r="A2984" s="2" t="s">
        <v>8305</v>
      </c>
      <c r="B2984" s="2" t="s">
        <v>7433</v>
      </c>
      <c r="C2984" s="8">
        <v>46214</v>
      </c>
      <c r="D2984" s="6">
        <v>46204</v>
      </c>
      <c r="E2984" s="2" t="s">
        <v>260</v>
      </c>
      <c r="F2984" s="2" t="s">
        <v>8306</v>
      </c>
      <c r="G2984" s="6">
        <v>46174</v>
      </c>
      <c r="H2984" s="2" t="s">
        <v>71</v>
      </c>
      <c r="I2984" s="2" t="s">
        <v>70</v>
      </c>
      <c r="J2984" s="9">
        <v>5625.0706769999997</v>
      </c>
      <c r="K2984" s="7">
        <v>0.65800000000000003</v>
      </c>
      <c r="L2984" s="9">
        <v>3701.3</v>
      </c>
      <c r="M2984" s="9">
        <v>3740.67</v>
      </c>
      <c r="N2984" s="9">
        <v>2.04</v>
      </c>
      <c r="O2984" s="10">
        <f>IF(AND(OR(H2984="APPROVED",H2984="SCHEDULED"),COUNTIFS(tblSource[EventID],F2984,tblSource[ReleaseStatus],"APPROVED")=1,COUNTIFS(Period_Status!$A$2:$A$8,G2984,Period_Status!$B$2:$B$8,"ActualClosed")=1,C2984&gt;EOMONTH(Settlement_Bridge!$C$2,0)),1,0)</f>
        <v>0</v>
      </c>
      <c r="P2984" s="2" t="s">
        <v>8307</v>
      </c>
    </row>
    <row r="2985" spans="1:16" x14ac:dyDescent="0.25">
      <c r="A2985" s="2" t="s">
        <v>8308</v>
      </c>
      <c r="B2985" s="2" t="s">
        <v>7433</v>
      </c>
      <c r="C2985" s="8">
        <v>46239</v>
      </c>
      <c r="D2985" s="6">
        <v>46235</v>
      </c>
      <c r="E2985" s="2" t="s">
        <v>260</v>
      </c>
      <c r="F2985" s="2" t="s">
        <v>8306</v>
      </c>
      <c r="G2985" s="6">
        <v>46174</v>
      </c>
      <c r="H2985" s="2" t="s">
        <v>71</v>
      </c>
      <c r="I2985" s="2" t="s">
        <v>70</v>
      </c>
      <c r="J2985" s="9">
        <v>8437.6060149999994</v>
      </c>
      <c r="K2985" s="7">
        <v>0.65</v>
      </c>
      <c r="L2985" s="9">
        <v>5484.44</v>
      </c>
      <c r="M2985" s="9">
        <v>5611.01</v>
      </c>
      <c r="N2985" s="9">
        <v>3.02</v>
      </c>
      <c r="O2985" s="10">
        <f>IF(AND(OR(H2985="APPROVED",H2985="SCHEDULED"),COUNTIFS(tblSource[EventID],F2985,tblSource[ReleaseStatus],"APPROVED")=1,COUNTIFS(Period_Status!$A$2:$A$8,G2985,Period_Status!$B$2:$B$8,"ActualClosed")=1,C2985&gt;EOMONTH(Settlement_Bridge!$C$2,0)),1,0)</f>
        <v>1</v>
      </c>
      <c r="P2985" s="2" t="s">
        <v>8309</v>
      </c>
    </row>
    <row r="2986" spans="1:16" x14ac:dyDescent="0.25">
      <c r="A2986" s="2" t="s">
        <v>8310</v>
      </c>
      <c r="B2986" s="2" t="s">
        <v>7433</v>
      </c>
      <c r="C2986" s="8">
        <v>46215</v>
      </c>
      <c r="D2986" s="6">
        <v>46204</v>
      </c>
      <c r="E2986" s="2" t="s">
        <v>260</v>
      </c>
      <c r="F2986" s="2" t="s">
        <v>8311</v>
      </c>
      <c r="G2986" s="6">
        <v>46174</v>
      </c>
      <c r="H2986" s="2" t="s">
        <v>71</v>
      </c>
      <c r="I2986" s="2" t="s">
        <v>39</v>
      </c>
      <c r="J2986" s="9">
        <v>3851.4</v>
      </c>
      <c r="K2986" s="7">
        <v>1</v>
      </c>
      <c r="L2986" s="9">
        <v>3851.4</v>
      </c>
      <c r="M2986" s="9">
        <v>3851.4</v>
      </c>
      <c r="N2986" s="9">
        <v>2.12</v>
      </c>
      <c r="O2986" s="10">
        <f>IF(AND(OR(H2986="APPROVED",H2986="SCHEDULED"),COUNTIFS(tblSource[EventID],F2986,tblSource[ReleaseStatus],"APPROVED")=1,COUNTIFS(Period_Status!$A$2:$A$8,G2986,Period_Status!$B$2:$B$8,"ActualClosed")=1,C2986&gt;EOMONTH(Settlement_Bridge!$C$2,0)),1,0)</f>
        <v>0</v>
      </c>
      <c r="P2986" s="2" t="s">
        <v>8312</v>
      </c>
    </row>
    <row r="2987" spans="1:16" x14ac:dyDescent="0.25">
      <c r="A2987" s="2" t="s">
        <v>8313</v>
      </c>
      <c r="B2987" s="2" t="s">
        <v>7433</v>
      </c>
      <c r="C2987" s="8">
        <v>46240</v>
      </c>
      <c r="D2987" s="6">
        <v>46235</v>
      </c>
      <c r="E2987" s="2" t="s">
        <v>260</v>
      </c>
      <c r="F2987" s="2" t="s">
        <v>8311</v>
      </c>
      <c r="G2987" s="6">
        <v>46174</v>
      </c>
      <c r="H2987" s="2" t="s">
        <v>71</v>
      </c>
      <c r="I2987" s="2" t="s">
        <v>39</v>
      </c>
      <c r="J2987" s="9">
        <v>5777.1</v>
      </c>
      <c r="K2987" s="7">
        <v>1</v>
      </c>
      <c r="L2987" s="9">
        <v>5777.1</v>
      </c>
      <c r="M2987" s="9">
        <v>5777.1</v>
      </c>
      <c r="N2987" s="9">
        <v>3.18</v>
      </c>
      <c r="O2987" s="10">
        <f>IF(AND(OR(H2987="APPROVED",H2987="SCHEDULED"),COUNTIFS(tblSource[EventID],F2987,tblSource[ReleaseStatus],"APPROVED")=1,COUNTIFS(Period_Status!$A$2:$A$8,G2987,Period_Status!$B$2:$B$8,"ActualClosed")=1,C2987&gt;EOMONTH(Settlement_Bridge!$C$2,0)),1,0)</f>
        <v>1</v>
      </c>
      <c r="P2987" s="2" t="s">
        <v>8314</v>
      </c>
    </row>
    <row r="2988" spans="1:16" x14ac:dyDescent="0.25">
      <c r="A2988" s="2" t="s">
        <v>8315</v>
      </c>
      <c r="B2988" s="2" t="s">
        <v>7433</v>
      </c>
      <c r="C2988" s="8">
        <v>46216</v>
      </c>
      <c r="D2988" s="6">
        <v>46204</v>
      </c>
      <c r="E2988" s="2" t="s">
        <v>260</v>
      </c>
      <c r="F2988" s="2" t="s">
        <v>8316</v>
      </c>
      <c r="G2988" s="6">
        <v>46174</v>
      </c>
      <c r="H2988" s="2" t="s">
        <v>71</v>
      </c>
      <c r="I2988" s="2" t="s">
        <v>76</v>
      </c>
      <c r="J2988" s="9">
        <v>63393984</v>
      </c>
      <c r="K2988" s="7">
        <v>6.2000000000000003E-5</v>
      </c>
      <c r="L2988" s="9">
        <v>3930.43</v>
      </c>
      <c r="M2988" s="9">
        <v>3962.12</v>
      </c>
      <c r="N2988" s="9">
        <v>2.16</v>
      </c>
      <c r="O2988" s="10">
        <f>IF(AND(OR(H2988="APPROVED",H2988="SCHEDULED"),COUNTIFS(tblSource[EventID],F2988,tblSource[ReleaseStatus],"APPROVED")=1,COUNTIFS(Period_Status!$A$2:$A$8,G2988,Period_Status!$B$2:$B$8,"ActualClosed")=1,C2988&gt;EOMONTH(Settlement_Bridge!$C$2,0)),1,0)</f>
        <v>0</v>
      </c>
      <c r="P2988" s="2" t="s">
        <v>8317</v>
      </c>
    </row>
    <row r="2989" spans="1:16" x14ac:dyDescent="0.25">
      <c r="A2989" s="2" t="s">
        <v>8318</v>
      </c>
      <c r="B2989" s="2" t="s">
        <v>7433</v>
      </c>
      <c r="C2989" s="8">
        <v>46241</v>
      </c>
      <c r="D2989" s="6">
        <v>46235</v>
      </c>
      <c r="E2989" s="2" t="s">
        <v>260</v>
      </c>
      <c r="F2989" s="2" t="s">
        <v>8316</v>
      </c>
      <c r="G2989" s="6">
        <v>46174</v>
      </c>
      <c r="H2989" s="2" t="s">
        <v>71</v>
      </c>
      <c r="I2989" s="2" t="s">
        <v>76</v>
      </c>
      <c r="J2989" s="9">
        <v>95090976</v>
      </c>
      <c r="K2989" s="7">
        <v>6.1500000000000004E-5</v>
      </c>
      <c r="L2989" s="9">
        <v>5848.1</v>
      </c>
      <c r="M2989" s="9">
        <v>5943.19</v>
      </c>
      <c r="N2989" s="9">
        <v>3.22</v>
      </c>
      <c r="O2989" s="10">
        <f>IF(AND(OR(H2989="APPROVED",H2989="SCHEDULED"),COUNTIFS(tblSource[EventID],F2989,tblSource[ReleaseStatus],"APPROVED")=1,COUNTIFS(Period_Status!$A$2:$A$8,G2989,Period_Status!$B$2:$B$8,"ActualClosed")=1,C2989&gt;EOMONTH(Settlement_Bridge!$C$2,0)),1,0)</f>
        <v>1</v>
      </c>
      <c r="P2989" s="2" t="s">
        <v>8319</v>
      </c>
    </row>
    <row r="2990" spans="1:16" x14ac:dyDescent="0.25">
      <c r="A2990" s="2" t="s">
        <v>8320</v>
      </c>
      <c r="B2990" s="2" t="s">
        <v>7433</v>
      </c>
      <c r="C2990" s="8">
        <v>46217</v>
      </c>
      <c r="D2990" s="6">
        <v>46204</v>
      </c>
      <c r="E2990" s="2" t="s">
        <v>260</v>
      </c>
      <c r="F2990" s="2" t="s">
        <v>8321</v>
      </c>
      <c r="G2990" s="6">
        <v>46174</v>
      </c>
      <c r="H2990" s="2" t="s">
        <v>71</v>
      </c>
      <c r="I2990" s="2" t="s">
        <v>70</v>
      </c>
      <c r="J2990" s="9">
        <v>6124.5894740000003</v>
      </c>
      <c r="K2990" s="7">
        <v>0.65800000000000003</v>
      </c>
      <c r="L2990" s="9">
        <v>4029.98</v>
      </c>
      <c r="M2990" s="9">
        <v>4072.85</v>
      </c>
      <c r="N2990" s="9">
        <v>2.2200000000000002</v>
      </c>
      <c r="O2990" s="10">
        <f>IF(AND(OR(H2990="APPROVED",H2990="SCHEDULED"),COUNTIFS(tblSource[EventID],F2990,tblSource[ReleaseStatus],"APPROVED")=1,COUNTIFS(Period_Status!$A$2:$A$8,G2990,Period_Status!$B$2:$B$8,"ActualClosed")=1,C2990&gt;EOMONTH(Settlement_Bridge!$C$2,0)),1,0)</f>
        <v>0</v>
      </c>
      <c r="P2990" s="2" t="s">
        <v>8322</v>
      </c>
    </row>
    <row r="2991" spans="1:16" x14ac:dyDescent="0.25">
      <c r="A2991" s="2" t="s">
        <v>8323</v>
      </c>
      <c r="B2991" s="2" t="s">
        <v>7433</v>
      </c>
      <c r="C2991" s="8">
        <v>46242</v>
      </c>
      <c r="D2991" s="6">
        <v>46235</v>
      </c>
      <c r="E2991" s="2" t="s">
        <v>260</v>
      </c>
      <c r="F2991" s="2" t="s">
        <v>8321</v>
      </c>
      <c r="G2991" s="6">
        <v>46174</v>
      </c>
      <c r="H2991" s="2" t="s">
        <v>71</v>
      </c>
      <c r="I2991" s="2" t="s">
        <v>70</v>
      </c>
      <c r="J2991" s="9">
        <v>9186.8842100000002</v>
      </c>
      <c r="K2991" s="7">
        <v>0.65</v>
      </c>
      <c r="L2991" s="9">
        <v>5971.47</v>
      </c>
      <c r="M2991" s="9">
        <v>6109.28</v>
      </c>
      <c r="N2991" s="9">
        <v>3.28</v>
      </c>
      <c r="O2991" s="10">
        <f>IF(AND(OR(H2991="APPROVED",H2991="SCHEDULED"),COUNTIFS(tblSource[EventID],F2991,tblSource[ReleaseStatus],"APPROVED")=1,COUNTIFS(Period_Status!$A$2:$A$8,G2991,Period_Status!$B$2:$B$8,"ActualClosed")=1,C2991&gt;EOMONTH(Settlement_Bridge!$C$2,0)),1,0)</f>
        <v>1</v>
      </c>
      <c r="P2991" s="2" t="s">
        <v>8324</v>
      </c>
    </row>
    <row r="2992" spans="1:16" x14ac:dyDescent="0.25">
      <c r="A2992" s="2" t="s">
        <v>8325</v>
      </c>
      <c r="B2992" s="2" t="s">
        <v>7433</v>
      </c>
      <c r="C2992" s="8">
        <v>46188</v>
      </c>
      <c r="D2992" s="6">
        <v>46174</v>
      </c>
      <c r="E2992" s="2" t="s">
        <v>260</v>
      </c>
      <c r="F2992" s="2" t="s">
        <v>8326</v>
      </c>
      <c r="G2992" s="6">
        <v>46174</v>
      </c>
      <c r="H2992" s="2" t="s">
        <v>71</v>
      </c>
      <c r="I2992" s="2" t="s">
        <v>39</v>
      </c>
      <c r="J2992" s="9">
        <v>4183.576</v>
      </c>
      <c r="K2992" s="7">
        <v>1</v>
      </c>
      <c r="L2992" s="9">
        <v>4183.58</v>
      </c>
      <c r="M2992" s="9">
        <v>4183.58</v>
      </c>
      <c r="N2992" s="9">
        <v>2.2999999999999998</v>
      </c>
      <c r="O2992" s="10">
        <f>IF(AND(OR(H2992="APPROVED",H2992="SCHEDULED"),COUNTIFS(tblSource[EventID],F2992,tblSource[ReleaseStatus],"APPROVED")=1,COUNTIFS(Period_Status!$A$2:$A$8,G2992,Period_Status!$B$2:$B$8,"ActualClosed")=1,C2992&gt;EOMONTH(Settlement_Bridge!$C$2,0)),1,0)</f>
        <v>0</v>
      </c>
      <c r="P2992" s="2" t="s">
        <v>8327</v>
      </c>
    </row>
    <row r="2993" spans="1:16" x14ac:dyDescent="0.25">
      <c r="A2993" s="2" t="s">
        <v>8328</v>
      </c>
      <c r="B2993" s="2" t="s">
        <v>7433</v>
      </c>
      <c r="C2993" s="8">
        <v>46213</v>
      </c>
      <c r="D2993" s="6">
        <v>46204</v>
      </c>
      <c r="E2993" s="2" t="s">
        <v>260</v>
      </c>
      <c r="F2993" s="2" t="s">
        <v>8326</v>
      </c>
      <c r="G2993" s="6">
        <v>46174</v>
      </c>
      <c r="H2993" s="2" t="s">
        <v>71</v>
      </c>
      <c r="I2993" s="2" t="s">
        <v>39</v>
      </c>
      <c r="J2993" s="9">
        <v>6275.3639999999996</v>
      </c>
      <c r="K2993" s="7">
        <v>1</v>
      </c>
      <c r="L2993" s="9">
        <v>6275.36</v>
      </c>
      <c r="M2993" s="9">
        <v>6275.36</v>
      </c>
      <c r="N2993" s="9">
        <v>3.45</v>
      </c>
      <c r="O2993" s="10">
        <f>IF(AND(OR(H2993="APPROVED",H2993="SCHEDULED"),COUNTIFS(tblSource[EventID],F2993,tblSource[ReleaseStatus],"APPROVED")=1,COUNTIFS(Period_Status!$A$2:$A$8,G2993,Period_Status!$B$2:$B$8,"ActualClosed")=1,C2993&gt;EOMONTH(Settlement_Bridge!$C$2,0)),1,0)</f>
        <v>0</v>
      </c>
      <c r="P2993" s="2" t="s">
        <v>8329</v>
      </c>
    </row>
    <row r="2994" spans="1:16" x14ac:dyDescent="0.25">
      <c r="A2994" s="2" t="s">
        <v>8330</v>
      </c>
      <c r="B2994" s="2" t="s">
        <v>7433</v>
      </c>
      <c r="C2994" s="8">
        <v>46189</v>
      </c>
      <c r="D2994" s="6">
        <v>46174</v>
      </c>
      <c r="E2994" s="2" t="s">
        <v>260</v>
      </c>
      <c r="F2994" s="2" t="s">
        <v>8331</v>
      </c>
      <c r="G2994" s="6">
        <v>46174</v>
      </c>
      <c r="H2994" s="2" t="s">
        <v>71</v>
      </c>
      <c r="I2994" s="2" t="s">
        <v>76</v>
      </c>
      <c r="J2994" s="9">
        <v>68708864</v>
      </c>
      <c r="K2994" s="7">
        <v>6.2500000000000001E-5</v>
      </c>
      <c r="L2994" s="9">
        <v>4294.3</v>
      </c>
      <c r="M2994" s="9">
        <v>4294.3</v>
      </c>
      <c r="N2994" s="9">
        <v>2.36</v>
      </c>
      <c r="O2994" s="10">
        <f>IF(AND(OR(H2994="APPROVED",H2994="SCHEDULED"),COUNTIFS(tblSource[EventID],F2994,tblSource[ReleaseStatus],"APPROVED")=1,COUNTIFS(Period_Status!$A$2:$A$8,G2994,Period_Status!$B$2:$B$8,"ActualClosed")=1,C2994&gt;EOMONTH(Settlement_Bridge!$C$2,0)),1,0)</f>
        <v>0</v>
      </c>
      <c r="P2994" s="2" t="s">
        <v>8332</v>
      </c>
    </row>
    <row r="2995" spans="1:16" x14ac:dyDescent="0.25">
      <c r="A2995" s="2" t="s">
        <v>8333</v>
      </c>
      <c r="B2995" s="2" t="s">
        <v>7433</v>
      </c>
      <c r="C2995" s="8">
        <v>46214</v>
      </c>
      <c r="D2995" s="6">
        <v>46204</v>
      </c>
      <c r="E2995" s="2" t="s">
        <v>260</v>
      </c>
      <c r="F2995" s="2" t="s">
        <v>8331</v>
      </c>
      <c r="G2995" s="6">
        <v>46174</v>
      </c>
      <c r="H2995" s="2" t="s">
        <v>71</v>
      </c>
      <c r="I2995" s="2" t="s">
        <v>76</v>
      </c>
      <c r="J2995" s="9">
        <v>103063296</v>
      </c>
      <c r="K2995" s="7">
        <v>6.2000000000000003E-5</v>
      </c>
      <c r="L2995" s="9">
        <v>6389.92</v>
      </c>
      <c r="M2995" s="9">
        <v>6441.46</v>
      </c>
      <c r="N2995" s="9">
        <v>3.51</v>
      </c>
      <c r="O2995" s="10">
        <f>IF(AND(OR(H2995="APPROVED",H2995="SCHEDULED"),COUNTIFS(tblSource[EventID],F2995,tblSource[ReleaseStatus],"APPROVED")=1,COUNTIFS(Period_Status!$A$2:$A$8,G2995,Period_Status!$B$2:$B$8,"ActualClosed")=1,C2995&gt;EOMONTH(Settlement_Bridge!$C$2,0)),1,0)</f>
        <v>0</v>
      </c>
      <c r="P2995" s="2" t="s">
        <v>8334</v>
      </c>
    </row>
    <row r="2996" spans="1:16" x14ac:dyDescent="0.25">
      <c r="A2996" s="2" t="s">
        <v>8335</v>
      </c>
      <c r="B2996" s="2" t="s">
        <v>7433</v>
      </c>
      <c r="C2996" s="8">
        <v>46190</v>
      </c>
      <c r="D2996" s="6">
        <v>46174</v>
      </c>
      <c r="E2996" s="2" t="s">
        <v>260</v>
      </c>
      <c r="F2996" s="2" t="s">
        <v>8336</v>
      </c>
      <c r="G2996" s="6">
        <v>46174</v>
      </c>
      <c r="H2996" s="2" t="s">
        <v>71</v>
      </c>
      <c r="I2996" s="2" t="s">
        <v>70</v>
      </c>
      <c r="J2996" s="9">
        <v>6624.1022560000001</v>
      </c>
      <c r="K2996" s="7">
        <v>0.66500000000000004</v>
      </c>
      <c r="L2996" s="9">
        <v>4405.03</v>
      </c>
      <c r="M2996" s="9">
        <v>4405.03</v>
      </c>
      <c r="N2996" s="9">
        <v>2.42</v>
      </c>
      <c r="O2996" s="10">
        <f>IF(AND(OR(H2996="APPROVED",H2996="SCHEDULED"),COUNTIFS(tblSource[EventID],F2996,tblSource[ReleaseStatus],"APPROVED")=1,COUNTIFS(Period_Status!$A$2:$A$8,G2996,Period_Status!$B$2:$B$8,"ActualClosed")=1,C2996&gt;EOMONTH(Settlement_Bridge!$C$2,0)),1,0)</f>
        <v>0</v>
      </c>
      <c r="P2996" s="2" t="s">
        <v>8337</v>
      </c>
    </row>
    <row r="2997" spans="1:16" x14ac:dyDescent="0.25">
      <c r="A2997" s="2" t="s">
        <v>8338</v>
      </c>
      <c r="B2997" s="2" t="s">
        <v>7433</v>
      </c>
      <c r="C2997" s="8">
        <v>46215</v>
      </c>
      <c r="D2997" s="6">
        <v>46204</v>
      </c>
      <c r="E2997" s="2" t="s">
        <v>260</v>
      </c>
      <c r="F2997" s="2" t="s">
        <v>8336</v>
      </c>
      <c r="G2997" s="6">
        <v>46174</v>
      </c>
      <c r="H2997" s="2" t="s">
        <v>71</v>
      </c>
      <c r="I2997" s="2" t="s">
        <v>70</v>
      </c>
      <c r="J2997" s="9">
        <v>9936.1533830000008</v>
      </c>
      <c r="K2997" s="7">
        <v>0.65800000000000003</v>
      </c>
      <c r="L2997" s="9">
        <v>6537.99</v>
      </c>
      <c r="M2997" s="9">
        <v>6607.54</v>
      </c>
      <c r="N2997" s="9">
        <v>3.6</v>
      </c>
      <c r="O2997" s="10">
        <f>IF(AND(OR(H2997="APPROVED",H2997="SCHEDULED"),COUNTIFS(tblSource[EventID],F2997,tblSource[ReleaseStatus],"APPROVED")=1,COUNTIFS(Period_Status!$A$2:$A$8,G2997,Period_Status!$B$2:$B$8,"ActualClosed")=1,C2997&gt;EOMONTH(Settlement_Bridge!$C$2,0)),1,0)</f>
        <v>0</v>
      </c>
      <c r="P2997" s="2" t="s">
        <v>8339</v>
      </c>
    </row>
    <row r="2998" spans="1:16" x14ac:dyDescent="0.25">
      <c r="A2998" s="2" t="s">
        <v>8340</v>
      </c>
      <c r="B2998" s="2" t="s">
        <v>7433</v>
      </c>
      <c r="C2998" s="8">
        <v>46191</v>
      </c>
      <c r="D2998" s="6">
        <v>46174</v>
      </c>
      <c r="E2998" s="2" t="s">
        <v>260</v>
      </c>
      <c r="F2998" s="2" t="s">
        <v>8341</v>
      </c>
      <c r="G2998" s="6">
        <v>46174</v>
      </c>
      <c r="H2998" s="2" t="s">
        <v>71</v>
      </c>
      <c r="I2998" s="2" t="s">
        <v>39</v>
      </c>
      <c r="J2998" s="9">
        <v>4515.7560000000003</v>
      </c>
      <c r="K2998" s="7">
        <v>1</v>
      </c>
      <c r="L2998" s="9">
        <v>4515.76</v>
      </c>
      <c r="M2998" s="9">
        <v>4515.76</v>
      </c>
      <c r="N2998" s="9">
        <v>2.48</v>
      </c>
      <c r="O2998" s="10">
        <f>IF(AND(OR(H2998="APPROVED",H2998="SCHEDULED"),COUNTIFS(tblSource[EventID],F2998,tblSource[ReleaseStatus],"APPROVED")=1,COUNTIFS(Period_Status!$A$2:$A$8,G2998,Period_Status!$B$2:$B$8,"ActualClosed")=1,C2998&gt;EOMONTH(Settlement_Bridge!$C$2,0)),1,0)</f>
        <v>0</v>
      </c>
      <c r="P2998" s="2" t="s">
        <v>8342</v>
      </c>
    </row>
    <row r="2999" spans="1:16" x14ac:dyDescent="0.25">
      <c r="A2999" s="2" t="s">
        <v>8343</v>
      </c>
      <c r="B2999" s="2" t="s">
        <v>7433</v>
      </c>
      <c r="C2999" s="8">
        <v>46216</v>
      </c>
      <c r="D2999" s="6">
        <v>46204</v>
      </c>
      <c r="E2999" s="2" t="s">
        <v>260</v>
      </c>
      <c r="F2999" s="2" t="s">
        <v>8341</v>
      </c>
      <c r="G2999" s="6">
        <v>46174</v>
      </c>
      <c r="H2999" s="2" t="s">
        <v>71</v>
      </c>
      <c r="I2999" s="2" t="s">
        <v>39</v>
      </c>
      <c r="J2999" s="9">
        <v>6773.634</v>
      </c>
      <c r="K2999" s="7">
        <v>1</v>
      </c>
      <c r="L2999" s="9">
        <v>6773.63</v>
      </c>
      <c r="M2999" s="9">
        <v>6773.63</v>
      </c>
      <c r="N2999" s="9">
        <v>3.73</v>
      </c>
      <c r="O2999" s="10">
        <f>IF(AND(OR(H2999="APPROVED",H2999="SCHEDULED"),COUNTIFS(tblSource[EventID],F2999,tblSource[ReleaseStatus],"APPROVED")=1,COUNTIFS(Period_Status!$A$2:$A$8,G2999,Period_Status!$B$2:$B$8,"ActualClosed")=1,C2999&gt;EOMONTH(Settlement_Bridge!$C$2,0)),1,0)</f>
        <v>0</v>
      </c>
      <c r="P2999" s="2" t="s">
        <v>8344</v>
      </c>
    </row>
    <row r="3000" spans="1:16" x14ac:dyDescent="0.25">
      <c r="A3000" s="2" t="s">
        <v>8345</v>
      </c>
      <c r="B3000" s="2" t="s">
        <v>7433</v>
      </c>
      <c r="C3000" s="8">
        <v>46192</v>
      </c>
      <c r="D3000" s="6">
        <v>46174</v>
      </c>
      <c r="E3000" s="2" t="s">
        <v>260</v>
      </c>
      <c r="F3000" s="2" t="s">
        <v>8346</v>
      </c>
      <c r="G3000" s="6">
        <v>46174</v>
      </c>
      <c r="H3000" s="2" t="s">
        <v>71</v>
      </c>
      <c r="I3000" s="2" t="s">
        <v>76</v>
      </c>
      <c r="J3000" s="9">
        <v>74023744</v>
      </c>
      <c r="K3000" s="7">
        <v>6.2500000000000001E-5</v>
      </c>
      <c r="L3000" s="9">
        <v>4626.4799999999996</v>
      </c>
      <c r="M3000" s="9">
        <v>4626.4799999999996</v>
      </c>
      <c r="N3000" s="9">
        <v>2.54</v>
      </c>
      <c r="O3000" s="10">
        <f>IF(AND(OR(H3000="APPROVED",H3000="SCHEDULED"),COUNTIFS(tblSource[EventID],F3000,tblSource[ReleaseStatus],"APPROVED")=1,COUNTIFS(Period_Status!$A$2:$A$8,G3000,Period_Status!$B$2:$B$8,"ActualClosed")=1,C3000&gt;EOMONTH(Settlement_Bridge!$C$2,0)),1,0)</f>
        <v>0</v>
      </c>
      <c r="P3000" s="2" t="s">
        <v>8347</v>
      </c>
    </row>
    <row r="3001" spans="1:16" x14ac:dyDescent="0.25">
      <c r="A3001" s="2" t="s">
        <v>8348</v>
      </c>
      <c r="B3001" s="2" t="s">
        <v>7433</v>
      </c>
      <c r="C3001" s="8">
        <v>46217</v>
      </c>
      <c r="D3001" s="6">
        <v>46204</v>
      </c>
      <c r="E3001" s="2" t="s">
        <v>260</v>
      </c>
      <c r="F3001" s="2" t="s">
        <v>8346</v>
      </c>
      <c r="G3001" s="6">
        <v>46174</v>
      </c>
      <c r="H3001" s="2" t="s">
        <v>71</v>
      </c>
      <c r="I3001" s="2" t="s">
        <v>76</v>
      </c>
      <c r="J3001" s="9">
        <v>111035616</v>
      </c>
      <c r="K3001" s="7">
        <v>6.2000000000000003E-5</v>
      </c>
      <c r="L3001" s="9">
        <v>6884.21</v>
      </c>
      <c r="M3001" s="9">
        <v>6939.73</v>
      </c>
      <c r="N3001" s="9">
        <v>3.79</v>
      </c>
      <c r="O3001" s="10">
        <f>IF(AND(OR(H3001="APPROVED",H3001="SCHEDULED"),COUNTIFS(tblSource[EventID],F3001,tblSource[ReleaseStatus],"APPROVED")=1,COUNTIFS(Period_Status!$A$2:$A$8,G3001,Period_Status!$B$2:$B$8,"ActualClosed")=1,C3001&gt;EOMONTH(Settlement_Bridge!$C$2,0)),1,0)</f>
        <v>0</v>
      </c>
      <c r="P3001" s="2" t="s">
        <v>8349</v>
      </c>
    </row>
    <row r="3002" spans="1:16" x14ac:dyDescent="0.25">
      <c r="A3002" s="2" t="s">
        <v>8350</v>
      </c>
      <c r="B3002" s="2" t="s">
        <v>7433</v>
      </c>
      <c r="C3002" s="8">
        <v>46193</v>
      </c>
      <c r="D3002" s="6">
        <v>46174</v>
      </c>
      <c r="E3002" s="2" t="s">
        <v>260</v>
      </c>
      <c r="F3002" s="2" t="s">
        <v>8351</v>
      </c>
      <c r="G3002" s="6">
        <v>46174</v>
      </c>
      <c r="H3002" s="2" t="s">
        <v>71</v>
      </c>
      <c r="I3002" s="2" t="s">
        <v>70</v>
      </c>
      <c r="J3002" s="9">
        <v>7123.6210529999998</v>
      </c>
      <c r="K3002" s="7">
        <v>0.66500000000000004</v>
      </c>
      <c r="L3002" s="9">
        <v>4737.21</v>
      </c>
      <c r="M3002" s="9">
        <v>4737.21</v>
      </c>
      <c r="N3002" s="9">
        <v>2.61</v>
      </c>
      <c r="O3002" s="10">
        <f>IF(AND(OR(H3002="APPROVED",H3002="SCHEDULED"),COUNTIFS(tblSource[EventID],F3002,tblSource[ReleaseStatus],"APPROVED")=1,COUNTIFS(Period_Status!$A$2:$A$8,G3002,Period_Status!$B$2:$B$8,"ActualClosed")=1,C3002&gt;EOMONTH(Settlement_Bridge!$C$2,0)),1,0)</f>
        <v>0</v>
      </c>
      <c r="P3002" s="2" t="s">
        <v>8352</v>
      </c>
    </row>
    <row r="3003" spans="1:16" x14ac:dyDescent="0.25">
      <c r="A3003" s="2" t="s">
        <v>8353</v>
      </c>
      <c r="B3003" s="2" t="s">
        <v>7433</v>
      </c>
      <c r="C3003" s="8">
        <v>46218</v>
      </c>
      <c r="D3003" s="6">
        <v>46204</v>
      </c>
      <c r="E3003" s="2" t="s">
        <v>260</v>
      </c>
      <c r="F3003" s="2" t="s">
        <v>8351</v>
      </c>
      <c r="G3003" s="6">
        <v>46174</v>
      </c>
      <c r="H3003" s="2" t="s">
        <v>71</v>
      </c>
      <c r="I3003" s="2" t="s">
        <v>70</v>
      </c>
      <c r="J3003" s="9">
        <v>10685.431579</v>
      </c>
      <c r="K3003" s="7">
        <v>0.65800000000000003</v>
      </c>
      <c r="L3003" s="9">
        <v>7031.01</v>
      </c>
      <c r="M3003" s="9">
        <v>7105.81</v>
      </c>
      <c r="N3003" s="9">
        <v>3.87</v>
      </c>
      <c r="O3003" s="10">
        <f>IF(AND(OR(H3003="APPROVED",H3003="SCHEDULED"),COUNTIFS(tblSource[EventID],F3003,tblSource[ReleaseStatus],"APPROVED")=1,COUNTIFS(Period_Status!$A$2:$A$8,G3003,Period_Status!$B$2:$B$8,"ActualClosed")=1,C3003&gt;EOMONTH(Settlement_Bridge!$C$2,0)),1,0)</f>
        <v>0</v>
      </c>
      <c r="P3003" s="2" t="s">
        <v>8354</v>
      </c>
    </row>
    <row r="3004" spans="1:16" x14ac:dyDescent="0.25">
      <c r="A3004" s="2" t="s">
        <v>8355</v>
      </c>
      <c r="B3004" s="2" t="s">
        <v>7433</v>
      </c>
      <c r="C3004" s="8">
        <v>46194</v>
      </c>
      <c r="D3004" s="6">
        <v>46174</v>
      </c>
      <c r="E3004" s="2" t="s">
        <v>260</v>
      </c>
      <c r="F3004" s="2" t="s">
        <v>8356</v>
      </c>
      <c r="G3004" s="6">
        <v>46174</v>
      </c>
      <c r="H3004" s="2" t="s">
        <v>71</v>
      </c>
      <c r="I3004" s="2" t="s">
        <v>39</v>
      </c>
      <c r="J3004" s="9">
        <v>4847.9359999999997</v>
      </c>
      <c r="K3004" s="7">
        <v>1</v>
      </c>
      <c r="L3004" s="9">
        <v>4847.9399999999996</v>
      </c>
      <c r="M3004" s="9">
        <v>4847.9399999999996</v>
      </c>
      <c r="N3004" s="9">
        <v>2.67</v>
      </c>
      <c r="O3004" s="10">
        <f>IF(AND(OR(H3004="APPROVED",H3004="SCHEDULED"),COUNTIFS(tblSource[EventID],F3004,tblSource[ReleaseStatus],"APPROVED")=1,COUNTIFS(Period_Status!$A$2:$A$8,G3004,Period_Status!$B$2:$B$8,"ActualClosed")=1,C3004&gt;EOMONTH(Settlement_Bridge!$C$2,0)),1,0)</f>
        <v>0</v>
      </c>
      <c r="P3004" s="2" t="s">
        <v>8357</v>
      </c>
    </row>
    <row r="3005" spans="1:16" x14ac:dyDescent="0.25">
      <c r="A3005" s="2" t="s">
        <v>8358</v>
      </c>
      <c r="B3005" s="2" t="s">
        <v>7433</v>
      </c>
      <c r="C3005" s="8">
        <v>46219</v>
      </c>
      <c r="D3005" s="6">
        <v>46204</v>
      </c>
      <c r="E3005" s="2" t="s">
        <v>260</v>
      </c>
      <c r="F3005" s="2" t="s">
        <v>8356</v>
      </c>
      <c r="G3005" s="6">
        <v>46174</v>
      </c>
      <c r="H3005" s="2" t="s">
        <v>71</v>
      </c>
      <c r="I3005" s="2" t="s">
        <v>39</v>
      </c>
      <c r="J3005" s="9">
        <v>7271.9040000000005</v>
      </c>
      <c r="K3005" s="7">
        <v>1</v>
      </c>
      <c r="L3005" s="9">
        <v>7271.9</v>
      </c>
      <c r="M3005" s="9">
        <v>7271.9</v>
      </c>
      <c r="N3005" s="9">
        <v>4</v>
      </c>
      <c r="O3005" s="10">
        <f>IF(AND(OR(H3005="APPROVED",H3005="SCHEDULED"),COUNTIFS(tblSource[EventID],F3005,tblSource[ReleaseStatus],"APPROVED")=1,COUNTIFS(Period_Status!$A$2:$A$8,G3005,Period_Status!$B$2:$B$8,"ActualClosed")=1,C3005&gt;EOMONTH(Settlement_Bridge!$C$2,0)),1,0)</f>
        <v>0</v>
      </c>
      <c r="P3005" s="2" t="s">
        <v>8359</v>
      </c>
    </row>
    <row r="3006" spans="1:16" x14ac:dyDescent="0.25">
      <c r="A3006" s="2" t="s">
        <v>8360</v>
      </c>
      <c r="B3006" s="2" t="s">
        <v>7433</v>
      </c>
      <c r="C3006" s="8">
        <v>46195</v>
      </c>
      <c r="D3006" s="6">
        <v>46174</v>
      </c>
      <c r="E3006" s="2" t="s">
        <v>260</v>
      </c>
      <c r="F3006" s="2" t="s">
        <v>8361</v>
      </c>
      <c r="G3006" s="6">
        <v>46174</v>
      </c>
      <c r="H3006" s="2" t="s">
        <v>71</v>
      </c>
      <c r="I3006" s="2" t="s">
        <v>76</v>
      </c>
      <c r="J3006" s="9">
        <v>79338624</v>
      </c>
      <c r="K3006" s="7">
        <v>6.2500000000000001E-5</v>
      </c>
      <c r="L3006" s="9">
        <v>4958.66</v>
      </c>
      <c r="M3006" s="9">
        <v>4958.66</v>
      </c>
      <c r="N3006" s="9">
        <v>2.73</v>
      </c>
      <c r="O3006" s="10">
        <f>IF(AND(OR(H3006="APPROVED",H3006="SCHEDULED"),COUNTIFS(tblSource[EventID],F3006,tblSource[ReleaseStatus],"APPROVED")=1,COUNTIFS(Period_Status!$A$2:$A$8,G3006,Period_Status!$B$2:$B$8,"ActualClosed")=1,C3006&gt;EOMONTH(Settlement_Bridge!$C$2,0)),1,0)</f>
        <v>0</v>
      </c>
      <c r="P3006" s="2" t="s">
        <v>8362</v>
      </c>
    </row>
    <row r="3007" spans="1:16" x14ac:dyDescent="0.25">
      <c r="A3007" s="2" t="s">
        <v>8363</v>
      </c>
      <c r="B3007" s="2" t="s">
        <v>7433</v>
      </c>
      <c r="C3007" s="8">
        <v>46220</v>
      </c>
      <c r="D3007" s="6">
        <v>46204</v>
      </c>
      <c r="E3007" s="2" t="s">
        <v>260</v>
      </c>
      <c r="F3007" s="2" t="s">
        <v>8361</v>
      </c>
      <c r="G3007" s="6">
        <v>46174</v>
      </c>
      <c r="H3007" s="2" t="s">
        <v>71</v>
      </c>
      <c r="I3007" s="2" t="s">
        <v>76</v>
      </c>
      <c r="J3007" s="9">
        <v>119007936</v>
      </c>
      <c r="K3007" s="7">
        <v>6.2000000000000003E-5</v>
      </c>
      <c r="L3007" s="9">
        <v>7378.49</v>
      </c>
      <c r="M3007" s="9">
        <v>7438</v>
      </c>
      <c r="N3007" s="9">
        <v>4.0599999999999996</v>
      </c>
      <c r="O3007" s="10">
        <f>IF(AND(OR(H3007="APPROVED",H3007="SCHEDULED"),COUNTIFS(tblSource[EventID],F3007,tblSource[ReleaseStatus],"APPROVED")=1,COUNTIFS(Period_Status!$A$2:$A$8,G3007,Period_Status!$B$2:$B$8,"ActualClosed")=1,C3007&gt;EOMONTH(Settlement_Bridge!$C$2,0)),1,0)</f>
        <v>0</v>
      </c>
      <c r="P3007" s="2" t="s">
        <v>8364</v>
      </c>
    </row>
    <row r="3008" spans="1:16" x14ac:dyDescent="0.25">
      <c r="A3008" s="2" t="s">
        <v>8365</v>
      </c>
      <c r="B3008" s="2" t="s">
        <v>7433</v>
      </c>
      <c r="C3008" s="8">
        <v>46196</v>
      </c>
      <c r="D3008" s="6">
        <v>46174</v>
      </c>
      <c r="E3008" s="2" t="s">
        <v>260</v>
      </c>
      <c r="F3008" s="2" t="s">
        <v>8366</v>
      </c>
      <c r="G3008" s="6">
        <v>46174</v>
      </c>
      <c r="H3008" s="2" t="s">
        <v>71</v>
      </c>
      <c r="I3008" s="2" t="s">
        <v>70</v>
      </c>
      <c r="J3008" s="9">
        <v>7623.1398499999996</v>
      </c>
      <c r="K3008" s="7">
        <v>0.66500000000000004</v>
      </c>
      <c r="L3008" s="9">
        <v>5069.3900000000003</v>
      </c>
      <c r="M3008" s="9">
        <v>5069.3900000000003</v>
      </c>
      <c r="N3008" s="9">
        <v>2.79</v>
      </c>
      <c r="O3008" s="10">
        <f>IF(AND(OR(H3008="APPROVED",H3008="SCHEDULED"),COUNTIFS(tblSource[EventID],F3008,tblSource[ReleaseStatus],"APPROVED")=1,COUNTIFS(Period_Status!$A$2:$A$8,G3008,Period_Status!$B$2:$B$8,"ActualClosed")=1,C3008&gt;EOMONTH(Settlement_Bridge!$C$2,0)),1,0)</f>
        <v>0</v>
      </c>
      <c r="P3008" s="2" t="s">
        <v>8367</v>
      </c>
    </row>
    <row r="3009" spans="1:16" x14ac:dyDescent="0.25">
      <c r="A3009" s="2" t="s">
        <v>8368</v>
      </c>
      <c r="B3009" s="2" t="s">
        <v>7433</v>
      </c>
      <c r="C3009" s="8">
        <v>46221</v>
      </c>
      <c r="D3009" s="6">
        <v>46204</v>
      </c>
      <c r="E3009" s="2" t="s">
        <v>260</v>
      </c>
      <c r="F3009" s="2" t="s">
        <v>8366</v>
      </c>
      <c r="G3009" s="6">
        <v>46174</v>
      </c>
      <c r="H3009" s="2" t="s">
        <v>71</v>
      </c>
      <c r="I3009" s="2" t="s">
        <v>70</v>
      </c>
      <c r="J3009" s="9">
        <v>11434.709774000001</v>
      </c>
      <c r="K3009" s="7">
        <v>0.65800000000000003</v>
      </c>
      <c r="L3009" s="9">
        <v>7524.04</v>
      </c>
      <c r="M3009" s="9">
        <v>7604.08</v>
      </c>
      <c r="N3009" s="9">
        <v>4.1399999999999997</v>
      </c>
      <c r="O3009" s="10">
        <f>IF(AND(OR(H3009="APPROVED",H3009="SCHEDULED"),COUNTIFS(tblSource[EventID],F3009,tblSource[ReleaseStatus],"APPROVED")=1,COUNTIFS(Period_Status!$A$2:$A$8,G3009,Period_Status!$B$2:$B$8,"ActualClosed")=1,C3009&gt;EOMONTH(Settlement_Bridge!$C$2,0)),1,0)</f>
        <v>0</v>
      </c>
      <c r="P3009" s="2" t="s">
        <v>8369</v>
      </c>
    </row>
    <row r="3010" spans="1:16" x14ac:dyDescent="0.25">
      <c r="A3010" s="2" t="s">
        <v>8370</v>
      </c>
      <c r="B3010" s="2" t="s">
        <v>7433</v>
      </c>
      <c r="C3010" s="8">
        <v>46197</v>
      </c>
      <c r="D3010" s="6">
        <v>46174</v>
      </c>
      <c r="E3010" s="2" t="s">
        <v>260</v>
      </c>
      <c r="F3010" s="2" t="s">
        <v>8371</v>
      </c>
      <c r="G3010" s="6">
        <v>46174</v>
      </c>
      <c r="H3010" s="2" t="s">
        <v>71</v>
      </c>
      <c r="I3010" s="2" t="s">
        <v>39</v>
      </c>
      <c r="J3010" s="9">
        <v>5180.116</v>
      </c>
      <c r="K3010" s="7">
        <v>1</v>
      </c>
      <c r="L3010" s="9">
        <v>5180.12</v>
      </c>
      <c r="M3010" s="9">
        <v>5180.12</v>
      </c>
      <c r="N3010" s="9">
        <v>2.85</v>
      </c>
      <c r="O3010" s="10">
        <f>IF(AND(OR(H3010="APPROVED",H3010="SCHEDULED"),COUNTIFS(tblSource[EventID],F3010,tblSource[ReleaseStatus],"APPROVED")=1,COUNTIFS(Period_Status!$A$2:$A$8,G3010,Period_Status!$B$2:$B$8,"ActualClosed")=1,C3010&gt;EOMONTH(Settlement_Bridge!$C$2,0)),1,0)</f>
        <v>0</v>
      </c>
      <c r="P3010" s="2" t="s">
        <v>8372</v>
      </c>
    </row>
    <row r="3011" spans="1:16" x14ac:dyDescent="0.25">
      <c r="A3011" s="2" t="s">
        <v>8373</v>
      </c>
      <c r="B3011" s="2" t="s">
        <v>7433</v>
      </c>
      <c r="C3011" s="8">
        <v>46222</v>
      </c>
      <c r="D3011" s="6">
        <v>46204</v>
      </c>
      <c r="E3011" s="2" t="s">
        <v>260</v>
      </c>
      <c r="F3011" s="2" t="s">
        <v>8371</v>
      </c>
      <c r="G3011" s="6">
        <v>46174</v>
      </c>
      <c r="H3011" s="2" t="s">
        <v>71</v>
      </c>
      <c r="I3011" s="2" t="s">
        <v>39</v>
      </c>
      <c r="J3011" s="9">
        <v>7770.174</v>
      </c>
      <c r="K3011" s="7">
        <v>1</v>
      </c>
      <c r="L3011" s="9">
        <v>7770.17</v>
      </c>
      <c r="M3011" s="9">
        <v>7770.17</v>
      </c>
      <c r="N3011" s="9">
        <v>4.2699999999999996</v>
      </c>
      <c r="O3011" s="10">
        <f>IF(AND(OR(H3011="APPROVED",H3011="SCHEDULED"),COUNTIFS(tblSource[EventID],F3011,tblSource[ReleaseStatus],"APPROVED")=1,COUNTIFS(Period_Status!$A$2:$A$8,G3011,Period_Status!$B$2:$B$8,"ActualClosed")=1,C3011&gt;EOMONTH(Settlement_Bridge!$C$2,0)),1,0)</f>
        <v>0</v>
      </c>
      <c r="P3011" s="2" t="s">
        <v>8374</v>
      </c>
    </row>
    <row r="3012" spans="1:16" x14ac:dyDescent="0.25">
      <c r="A3012" s="2" t="s">
        <v>8375</v>
      </c>
      <c r="B3012" s="2" t="s">
        <v>7433</v>
      </c>
      <c r="C3012" s="8">
        <v>46198</v>
      </c>
      <c r="D3012" s="6">
        <v>46174</v>
      </c>
      <c r="E3012" s="2" t="s">
        <v>260</v>
      </c>
      <c r="F3012" s="2" t="s">
        <v>8376</v>
      </c>
      <c r="G3012" s="6">
        <v>46174</v>
      </c>
      <c r="H3012" s="2" t="s">
        <v>71</v>
      </c>
      <c r="I3012" s="2" t="s">
        <v>76</v>
      </c>
      <c r="J3012" s="9">
        <v>84653440</v>
      </c>
      <c r="K3012" s="7">
        <v>6.2500000000000001E-5</v>
      </c>
      <c r="L3012" s="9">
        <v>5290.84</v>
      </c>
      <c r="M3012" s="9">
        <v>5290.84</v>
      </c>
      <c r="N3012" s="9">
        <v>2.91</v>
      </c>
      <c r="O3012" s="10">
        <f>IF(AND(OR(H3012="APPROVED",H3012="SCHEDULED"),COUNTIFS(tblSource[EventID],F3012,tblSource[ReleaseStatus],"APPROVED")=1,COUNTIFS(Period_Status!$A$2:$A$8,G3012,Period_Status!$B$2:$B$8,"ActualClosed")=1,C3012&gt;EOMONTH(Settlement_Bridge!$C$2,0)),1,0)</f>
        <v>0</v>
      </c>
      <c r="P3012" s="2" t="s">
        <v>8377</v>
      </c>
    </row>
    <row r="3013" spans="1:16" x14ac:dyDescent="0.25">
      <c r="A3013" s="2" t="s">
        <v>8378</v>
      </c>
      <c r="B3013" s="2" t="s">
        <v>7433</v>
      </c>
      <c r="C3013" s="8">
        <v>46223</v>
      </c>
      <c r="D3013" s="6">
        <v>46204</v>
      </c>
      <c r="E3013" s="2" t="s">
        <v>260</v>
      </c>
      <c r="F3013" s="2" t="s">
        <v>8376</v>
      </c>
      <c r="G3013" s="6">
        <v>46174</v>
      </c>
      <c r="H3013" s="2" t="s">
        <v>71</v>
      </c>
      <c r="I3013" s="2" t="s">
        <v>76</v>
      </c>
      <c r="J3013" s="9">
        <v>126980160</v>
      </c>
      <c r="K3013" s="7">
        <v>6.2000000000000003E-5</v>
      </c>
      <c r="L3013" s="9">
        <v>7872.77</v>
      </c>
      <c r="M3013" s="9">
        <v>7936.26</v>
      </c>
      <c r="N3013" s="9">
        <v>4.33</v>
      </c>
      <c r="O3013" s="10">
        <f>IF(AND(OR(H3013="APPROVED",H3013="SCHEDULED"),COUNTIFS(tblSource[EventID],F3013,tblSource[ReleaseStatus],"APPROVED")=1,COUNTIFS(Period_Status!$A$2:$A$8,G3013,Period_Status!$B$2:$B$8,"ActualClosed")=1,C3013&gt;EOMONTH(Settlement_Bridge!$C$2,0)),1,0)</f>
        <v>0</v>
      </c>
      <c r="P3013" s="2" t="s">
        <v>8379</v>
      </c>
    </row>
    <row r="3014" spans="1:16" x14ac:dyDescent="0.25">
      <c r="A3014" s="2" t="s">
        <v>8380</v>
      </c>
      <c r="B3014" s="2" t="s">
        <v>7433</v>
      </c>
      <c r="C3014" s="8">
        <v>46199</v>
      </c>
      <c r="D3014" s="6">
        <v>46174</v>
      </c>
      <c r="E3014" s="2" t="s">
        <v>260</v>
      </c>
      <c r="F3014" s="2" t="s">
        <v>8381</v>
      </c>
      <c r="G3014" s="6">
        <v>46174</v>
      </c>
      <c r="H3014" s="2" t="s">
        <v>71</v>
      </c>
      <c r="I3014" s="2" t="s">
        <v>70</v>
      </c>
      <c r="J3014" s="9">
        <v>8122.6586470000002</v>
      </c>
      <c r="K3014" s="7">
        <v>0.66500000000000004</v>
      </c>
      <c r="L3014" s="9">
        <v>5401.57</v>
      </c>
      <c r="M3014" s="9">
        <v>5401.57</v>
      </c>
      <c r="N3014" s="9">
        <v>2.97</v>
      </c>
      <c r="O3014" s="10">
        <f>IF(AND(OR(H3014="APPROVED",H3014="SCHEDULED"),COUNTIFS(tblSource[EventID],F3014,tblSource[ReleaseStatus],"APPROVED")=1,COUNTIFS(Period_Status!$A$2:$A$8,G3014,Period_Status!$B$2:$B$8,"ActualClosed")=1,C3014&gt;EOMONTH(Settlement_Bridge!$C$2,0)),1,0)</f>
        <v>0</v>
      </c>
      <c r="P3014" s="2" t="s">
        <v>8382</v>
      </c>
    </row>
    <row r="3015" spans="1:16" x14ac:dyDescent="0.25">
      <c r="A3015" s="2" t="s">
        <v>8383</v>
      </c>
      <c r="B3015" s="2" t="s">
        <v>7433</v>
      </c>
      <c r="C3015" s="8">
        <v>46224</v>
      </c>
      <c r="D3015" s="6">
        <v>46204</v>
      </c>
      <c r="E3015" s="2" t="s">
        <v>260</v>
      </c>
      <c r="F3015" s="2" t="s">
        <v>8381</v>
      </c>
      <c r="G3015" s="6">
        <v>46174</v>
      </c>
      <c r="H3015" s="2" t="s">
        <v>71</v>
      </c>
      <c r="I3015" s="2" t="s">
        <v>70</v>
      </c>
      <c r="J3015" s="9">
        <v>12183.98797</v>
      </c>
      <c r="K3015" s="7">
        <v>0.65800000000000003</v>
      </c>
      <c r="L3015" s="9">
        <v>8017.06</v>
      </c>
      <c r="M3015" s="9">
        <v>8102.35</v>
      </c>
      <c r="N3015" s="9">
        <v>4.41</v>
      </c>
      <c r="O3015" s="10">
        <f>IF(AND(OR(H3015="APPROVED",H3015="SCHEDULED"),COUNTIFS(tblSource[EventID],F3015,tblSource[ReleaseStatus],"APPROVED")=1,COUNTIFS(Period_Status!$A$2:$A$8,G3015,Period_Status!$B$2:$B$8,"ActualClosed")=1,C3015&gt;EOMONTH(Settlement_Bridge!$C$2,0)),1,0)</f>
        <v>0</v>
      </c>
      <c r="P3015" s="2" t="s">
        <v>8384</v>
      </c>
    </row>
    <row r="3016" spans="1:16" x14ac:dyDescent="0.25">
      <c r="A3016" s="2" t="s">
        <v>8385</v>
      </c>
      <c r="B3016" s="2" t="s">
        <v>7433</v>
      </c>
      <c r="C3016" s="8">
        <v>46200</v>
      </c>
      <c r="D3016" s="6">
        <v>46174</v>
      </c>
      <c r="E3016" s="2" t="s">
        <v>260</v>
      </c>
      <c r="F3016" s="2" t="s">
        <v>8386</v>
      </c>
      <c r="G3016" s="6">
        <v>46174</v>
      </c>
      <c r="H3016" s="2" t="s">
        <v>71</v>
      </c>
      <c r="I3016" s="2" t="s">
        <v>39</v>
      </c>
      <c r="J3016" s="9">
        <v>5512.2960000000003</v>
      </c>
      <c r="K3016" s="7">
        <v>1</v>
      </c>
      <c r="L3016" s="9">
        <v>5512.3</v>
      </c>
      <c r="M3016" s="9">
        <v>5512.3</v>
      </c>
      <c r="N3016" s="9">
        <v>3.03</v>
      </c>
      <c r="O3016" s="10">
        <f>IF(AND(OR(H3016="APPROVED",H3016="SCHEDULED"),COUNTIFS(tblSource[EventID],F3016,tblSource[ReleaseStatus],"APPROVED")=1,COUNTIFS(Period_Status!$A$2:$A$8,G3016,Period_Status!$B$2:$B$8,"ActualClosed")=1,C3016&gt;EOMONTH(Settlement_Bridge!$C$2,0)),1,0)</f>
        <v>0</v>
      </c>
      <c r="P3016" s="2" t="s">
        <v>8387</v>
      </c>
    </row>
    <row r="3017" spans="1:16" x14ac:dyDescent="0.25">
      <c r="A3017" s="2" t="s">
        <v>8388</v>
      </c>
      <c r="B3017" s="2" t="s">
        <v>7433</v>
      </c>
      <c r="C3017" s="8">
        <v>46225</v>
      </c>
      <c r="D3017" s="6">
        <v>46204</v>
      </c>
      <c r="E3017" s="2" t="s">
        <v>260</v>
      </c>
      <c r="F3017" s="2" t="s">
        <v>8386</v>
      </c>
      <c r="G3017" s="6">
        <v>46174</v>
      </c>
      <c r="H3017" s="2" t="s">
        <v>71</v>
      </c>
      <c r="I3017" s="2" t="s">
        <v>39</v>
      </c>
      <c r="J3017" s="9">
        <v>8268.4439999999995</v>
      </c>
      <c r="K3017" s="7">
        <v>1</v>
      </c>
      <c r="L3017" s="9">
        <v>8268.44</v>
      </c>
      <c r="M3017" s="9">
        <v>8268.44</v>
      </c>
      <c r="N3017" s="9">
        <v>4.55</v>
      </c>
      <c r="O3017" s="10">
        <f>IF(AND(OR(H3017="APPROVED",H3017="SCHEDULED"),COUNTIFS(tblSource[EventID],F3017,tblSource[ReleaseStatus],"APPROVED")=1,COUNTIFS(Period_Status!$A$2:$A$8,G3017,Period_Status!$B$2:$B$8,"ActualClosed")=1,C3017&gt;EOMONTH(Settlement_Bridge!$C$2,0)),1,0)</f>
        <v>0</v>
      </c>
      <c r="P3017" s="2" t="s">
        <v>8389</v>
      </c>
    </row>
    <row r="3018" spans="1:16" x14ac:dyDescent="0.25">
      <c r="A3018" s="2" t="s">
        <v>8390</v>
      </c>
      <c r="B3018" s="2" t="s">
        <v>7433</v>
      </c>
      <c r="C3018" s="8">
        <v>46201</v>
      </c>
      <c r="D3018" s="6">
        <v>46174</v>
      </c>
      <c r="E3018" s="2" t="s">
        <v>260</v>
      </c>
      <c r="F3018" s="2" t="s">
        <v>8391</v>
      </c>
      <c r="G3018" s="6">
        <v>46174</v>
      </c>
      <c r="H3018" s="2" t="s">
        <v>71</v>
      </c>
      <c r="I3018" s="2" t="s">
        <v>76</v>
      </c>
      <c r="J3018" s="9">
        <v>89958400</v>
      </c>
      <c r="K3018" s="7">
        <v>6.2500000000000001E-5</v>
      </c>
      <c r="L3018" s="9">
        <v>5622.4</v>
      </c>
      <c r="M3018" s="9">
        <v>5622.4</v>
      </c>
      <c r="N3018" s="9">
        <v>3.09</v>
      </c>
      <c r="O3018" s="10">
        <f>IF(AND(OR(H3018="APPROVED",H3018="SCHEDULED"),COUNTIFS(tblSource[EventID],F3018,tblSource[ReleaseStatus],"APPROVED")=1,COUNTIFS(Period_Status!$A$2:$A$8,G3018,Period_Status!$B$2:$B$8,"ActualClosed")=1,C3018&gt;EOMONTH(Settlement_Bridge!$C$2,0)),1,0)</f>
        <v>0</v>
      </c>
      <c r="P3018" s="2" t="s">
        <v>8392</v>
      </c>
    </row>
    <row r="3019" spans="1:16" x14ac:dyDescent="0.25">
      <c r="A3019" s="2" t="s">
        <v>8393</v>
      </c>
      <c r="B3019" s="2" t="s">
        <v>7433</v>
      </c>
      <c r="C3019" s="8">
        <v>46226</v>
      </c>
      <c r="D3019" s="6">
        <v>46204</v>
      </c>
      <c r="E3019" s="2" t="s">
        <v>260</v>
      </c>
      <c r="F3019" s="2" t="s">
        <v>8391</v>
      </c>
      <c r="G3019" s="6">
        <v>46174</v>
      </c>
      <c r="H3019" s="2" t="s">
        <v>71</v>
      </c>
      <c r="I3019" s="2" t="s">
        <v>76</v>
      </c>
      <c r="J3019" s="9">
        <v>134937600</v>
      </c>
      <c r="K3019" s="7">
        <v>6.2000000000000003E-5</v>
      </c>
      <c r="L3019" s="9">
        <v>8366.1299999999992</v>
      </c>
      <c r="M3019" s="9">
        <v>8433.6</v>
      </c>
      <c r="N3019" s="9">
        <v>4.5999999999999996</v>
      </c>
      <c r="O3019" s="10">
        <f>IF(AND(OR(H3019="APPROVED",H3019="SCHEDULED"),COUNTIFS(tblSource[EventID],F3019,tblSource[ReleaseStatus],"APPROVED")=1,COUNTIFS(Period_Status!$A$2:$A$8,G3019,Period_Status!$B$2:$B$8,"ActualClosed")=1,C3019&gt;EOMONTH(Settlement_Bridge!$C$2,0)),1,0)</f>
        <v>0</v>
      </c>
      <c r="P3019" s="2" t="s">
        <v>8394</v>
      </c>
    </row>
    <row r="3020" spans="1:16" x14ac:dyDescent="0.25">
      <c r="A3020" s="2" t="s">
        <v>8395</v>
      </c>
      <c r="B3020" s="2" t="s">
        <v>7433</v>
      </c>
      <c r="C3020" s="8">
        <v>46202</v>
      </c>
      <c r="D3020" s="6">
        <v>46174</v>
      </c>
      <c r="E3020" s="2" t="s">
        <v>260</v>
      </c>
      <c r="F3020" s="2" t="s">
        <v>8396</v>
      </c>
      <c r="G3020" s="6">
        <v>46174</v>
      </c>
      <c r="H3020" s="2" t="s">
        <v>71</v>
      </c>
      <c r="I3020" s="2" t="s">
        <v>70</v>
      </c>
      <c r="J3020" s="9">
        <v>8621.2451130000009</v>
      </c>
      <c r="K3020" s="7">
        <v>0.66500000000000004</v>
      </c>
      <c r="L3020" s="9">
        <v>5733.13</v>
      </c>
      <c r="M3020" s="9">
        <v>5733.13</v>
      </c>
      <c r="N3020" s="9">
        <v>3.15</v>
      </c>
      <c r="O3020" s="10">
        <f>IF(AND(OR(H3020="APPROVED",H3020="SCHEDULED"),COUNTIFS(tblSource[EventID],F3020,tblSource[ReleaseStatus],"APPROVED")=1,COUNTIFS(Period_Status!$A$2:$A$8,G3020,Period_Status!$B$2:$B$8,"ActualClosed")=1,C3020&gt;EOMONTH(Settlement_Bridge!$C$2,0)),1,0)</f>
        <v>0</v>
      </c>
      <c r="P3020" s="2" t="s">
        <v>8397</v>
      </c>
    </row>
    <row r="3021" spans="1:16" x14ac:dyDescent="0.25">
      <c r="A3021" s="2" t="s">
        <v>8398</v>
      </c>
      <c r="B3021" s="2" t="s">
        <v>7433</v>
      </c>
      <c r="C3021" s="8">
        <v>46227</v>
      </c>
      <c r="D3021" s="6">
        <v>46204</v>
      </c>
      <c r="E3021" s="2" t="s">
        <v>260</v>
      </c>
      <c r="F3021" s="2" t="s">
        <v>8396</v>
      </c>
      <c r="G3021" s="6">
        <v>46174</v>
      </c>
      <c r="H3021" s="2" t="s">
        <v>71</v>
      </c>
      <c r="I3021" s="2" t="s">
        <v>70</v>
      </c>
      <c r="J3021" s="9">
        <v>12931.867668999999</v>
      </c>
      <c r="K3021" s="7">
        <v>0.65800000000000003</v>
      </c>
      <c r="L3021" s="9">
        <v>8509.17</v>
      </c>
      <c r="M3021" s="9">
        <v>8599.69</v>
      </c>
      <c r="N3021" s="9">
        <v>4.68</v>
      </c>
      <c r="O3021" s="10">
        <f>IF(AND(OR(H3021="APPROVED",H3021="SCHEDULED"),COUNTIFS(tblSource[EventID],F3021,tblSource[ReleaseStatus],"APPROVED")=1,COUNTIFS(Period_Status!$A$2:$A$8,G3021,Period_Status!$B$2:$B$8,"ActualClosed")=1,C3021&gt;EOMONTH(Settlement_Bridge!$C$2,0)),1,0)</f>
        <v>0</v>
      </c>
      <c r="P3021" s="2" t="s">
        <v>8399</v>
      </c>
    </row>
    <row r="3022" spans="1:16" x14ac:dyDescent="0.25">
      <c r="A3022" s="2" t="s">
        <v>8400</v>
      </c>
      <c r="B3022" s="2" t="s">
        <v>7433</v>
      </c>
      <c r="C3022" s="8">
        <v>46203</v>
      </c>
      <c r="D3022" s="6">
        <v>46174</v>
      </c>
      <c r="E3022" s="2" t="s">
        <v>260</v>
      </c>
      <c r="F3022" s="2" t="s">
        <v>8401</v>
      </c>
      <c r="G3022" s="6">
        <v>46174</v>
      </c>
      <c r="H3022" s="2" t="s">
        <v>71</v>
      </c>
      <c r="I3022" s="2" t="s">
        <v>39</v>
      </c>
      <c r="J3022" s="9">
        <v>5843.8519999999999</v>
      </c>
      <c r="K3022" s="7">
        <v>1</v>
      </c>
      <c r="L3022" s="9">
        <v>5843.85</v>
      </c>
      <c r="M3022" s="9">
        <v>5843.85</v>
      </c>
      <c r="N3022" s="9">
        <v>3.21</v>
      </c>
      <c r="O3022" s="10">
        <f>IF(AND(OR(H3022="APPROVED",H3022="SCHEDULED"),COUNTIFS(tblSource[EventID],F3022,tblSource[ReleaseStatus],"APPROVED")=1,COUNTIFS(Period_Status!$A$2:$A$8,G3022,Period_Status!$B$2:$B$8,"ActualClosed")=1,C3022&gt;EOMONTH(Settlement_Bridge!$C$2,0)),1,0)</f>
        <v>0</v>
      </c>
      <c r="P3022" s="2" t="s">
        <v>8402</v>
      </c>
    </row>
    <row r="3023" spans="1:16" x14ac:dyDescent="0.25">
      <c r="A3023" s="2" t="s">
        <v>8403</v>
      </c>
      <c r="B3023" s="2" t="s">
        <v>7433</v>
      </c>
      <c r="C3023" s="8">
        <v>46228</v>
      </c>
      <c r="D3023" s="6">
        <v>46204</v>
      </c>
      <c r="E3023" s="2" t="s">
        <v>260</v>
      </c>
      <c r="F3023" s="2" t="s">
        <v>8401</v>
      </c>
      <c r="G3023" s="6">
        <v>46174</v>
      </c>
      <c r="H3023" s="2" t="s">
        <v>71</v>
      </c>
      <c r="I3023" s="2" t="s">
        <v>39</v>
      </c>
      <c r="J3023" s="9">
        <v>8765.7780000000002</v>
      </c>
      <c r="K3023" s="7">
        <v>1</v>
      </c>
      <c r="L3023" s="9">
        <v>8765.7800000000007</v>
      </c>
      <c r="M3023" s="9">
        <v>8765.7800000000007</v>
      </c>
      <c r="N3023" s="9">
        <v>4.82</v>
      </c>
      <c r="O3023" s="10">
        <f>IF(AND(OR(H3023="APPROVED",H3023="SCHEDULED"),COUNTIFS(tblSource[EventID],F3023,tblSource[ReleaseStatus],"APPROVED")=1,COUNTIFS(Period_Status!$A$2:$A$8,G3023,Period_Status!$B$2:$B$8,"ActualClosed")=1,C3023&gt;EOMONTH(Settlement_Bridge!$C$2,0)),1,0)</f>
        <v>0</v>
      </c>
      <c r="P3023" s="2" t="s">
        <v>8404</v>
      </c>
    </row>
    <row r="3024" spans="1:16" x14ac:dyDescent="0.25">
      <c r="A3024" s="2" t="s">
        <v>8405</v>
      </c>
      <c r="B3024" s="2" t="s">
        <v>7433</v>
      </c>
      <c r="C3024" s="8">
        <v>46204</v>
      </c>
      <c r="D3024" s="6">
        <v>46204</v>
      </c>
      <c r="E3024" s="2" t="s">
        <v>260</v>
      </c>
      <c r="F3024" s="2" t="s">
        <v>8406</v>
      </c>
      <c r="G3024" s="6">
        <v>46174</v>
      </c>
      <c r="H3024" s="2" t="s">
        <v>71</v>
      </c>
      <c r="I3024" s="2" t="s">
        <v>76</v>
      </c>
      <c r="J3024" s="9">
        <v>95273280</v>
      </c>
      <c r="K3024" s="7">
        <v>6.2000000000000003E-5</v>
      </c>
      <c r="L3024" s="9">
        <v>5906.94</v>
      </c>
      <c r="M3024" s="9">
        <v>5954.58</v>
      </c>
      <c r="N3024" s="9">
        <v>3.25</v>
      </c>
      <c r="O3024" s="10">
        <f>IF(AND(OR(H3024="APPROVED",H3024="SCHEDULED"),COUNTIFS(tblSource[EventID],F3024,tblSource[ReleaseStatus],"APPROVED")=1,COUNTIFS(Period_Status!$A$2:$A$8,G3024,Period_Status!$B$2:$B$8,"ActualClosed")=1,C3024&gt;EOMONTH(Settlement_Bridge!$C$2,0)),1,0)</f>
        <v>0</v>
      </c>
      <c r="P3024" s="2" t="s">
        <v>8407</v>
      </c>
    </row>
    <row r="3025" spans="1:16" x14ac:dyDescent="0.25">
      <c r="A3025" s="2" t="s">
        <v>8408</v>
      </c>
      <c r="B3025" s="2" t="s">
        <v>7433</v>
      </c>
      <c r="C3025" s="8">
        <v>46229</v>
      </c>
      <c r="D3025" s="6">
        <v>46204</v>
      </c>
      <c r="E3025" s="2" t="s">
        <v>260</v>
      </c>
      <c r="F3025" s="2" t="s">
        <v>8406</v>
      </c>
      <c r="G3025" s="6">
        <v>46174</v>
      </c>
      <c r="H3025" s="2" t="s">
        <v>71</v>
      </c>
      <c r="I3025" s="2" t="s">
        <v>76</v>
      </c>
      <c r="J3025" s="9">
        <v>142909920</v>
      </c>
      <c r="K3025" s="7">
        <v>6.2000000000000003E-5</v>
      </c>
      <c r="L3025" s="9">
        <v>8860.42</v>
      </c>
      <c r="M3025" s="9">
        <v>8931.8700000000008</v>
      </c>
      <c r="N3025" s="9">
        <v>4.87</v>
      </c>
      <c r="O3025" s="10">
        <f>IF(AND(OR(H3025="APPROVED",H3025="SCHEDULED"),COUNTIFS(tblSource[EventID],F3025,tblSource[ReleaseStatus],"APPROVED")=1,COUNTIFS(Period_Status!$A$2:$A$8,G3025,Period_Status!$B$2:$B$8,"ActualClosed")=1,C3025&gt;EOMONTH(Settlement_Bridge!$C$2,0)),1,0)</f>
        <v>0</v>
      </c>
      <c r="P3025" s="2" t="s">
        <v>8409</v>
      </c>
    </row>
    <row r="3026" spans="1:16" x14ac:dyDescent="0.25">
      <c r="A3026" s="2" t="s">
        <v>8410</v>
      </c>
      <c r="B3026" s="2" t="s">
        <v>7433</v>
      </c>
      <c r="C3026" s="8">
        <v>46205</v>
      </c>
      <c r="D3026" s="6">
        <v>46204</v>
      </c>
      <c r="E3026" s="2" t="s">
        <v>260</v>
      </c>
      <c r="F3026" s="2" t="s">
        <v>8411</v>
      </c>
      <c r="G3026" s="6">
        <v>46174</v>
      </c>
      <c r="H3026" s="2" t="s">
        <v>71</v>
      </c>
      <c r="I3026" s="2" t="s">
        <v>70</v>
      </c>
      <c r="J3026" s="9">
        <v>9120.7578950000006</v>
      </c>
      <c r="K3026" s="7">
        <v>0.65800000000000003</v>
      </c>
      <c r="L3026" s="9">
        <v>6001.46</v>
      </c>
      <c r="M3026" s="9">
        <v>6065.3</v>
      </c>
      <c r="N3026" s="9">
        <v>3.3</v>
      </c>
      <c r="O3026" s="10">
        <f>IF(AND(OR(H3026="APPROVED",H3026="SCHEDULED"),COUNTIFS(tblSource[EventID],F3026,tblSource[ReleaseStatus],"APPROVED")=1,COUNTIFS(Period_Status!$A$2:$A$8,G3026,Period_Status!$B$2:$B$8,"ActualClosed")=1,C3026&gt;EOMONTH(Settlement_Bridge!$C$2,0)),1,0)</f>
        <v>0</v>
      </c>
      <c r="P3026" s="2" t="s">
        <v>8412</v>
      </c>
    </row>
    <row r="3027" spans="1:16" x14ac:dyDescent="0.25">
      <c r="A3027" s="2" t="s">
        <v>8413</v>
      </c>
      <c r="B3027" s="2" t="s">
        <v>7433</v>
      </c>
      <c r="C3027" s="8">
        <v>46230</v>
      </c>
      <c r="D3027" s="6">
        <v>46204</v>
      </c>
      <c r="E3027" s="2" t="s">
        <v>260</v>
      </c>
      <c r="F3027" s="2" t="s">
        <v>8411</v>
      </c>
      <c r="G3027" s="6">
        <v>46174</v>
      </c>
      <c r="H3027" s="2" t="s">
        <v>71</v>
      </c>
      <c r="I3027" s="2" t="s">
        <v>70</v>
      </c>
      <c r="J3027" s="9">
        <v>13681.136842</v>
      </c>
      <c r="K3027" s="7">
        <v>0.65800000000000003</v>
      </c>
      <c r="L3027" s="9">
        <v>9002.19</v>
      </c>
      <c r="M3027" s="9">
        <v>9097.9599999999991</v>
      </c>
      <c r="N3027" s="9">
        <v>4.95</v>
      </c>
      <c r="O3027" s="10">
        <f>IF(AND(OR(H3027="APPROVED",H3027="SCHEDULED"),COUNTIFS(tblSource[EventID],F3027,tblSource[ReleaseStatus],"APPROVED")=1,COUNTIFS(Period_Status!$A$2:$A$8,G3027,Period_Status!$B$2:$B$8,"ActualClosed")=1,C3027&gt;EOMONTH(Settlement_Bridge!$C$2,0)),1,0)</f>
        <v>0</v>
      </c>
      <c r="P3027" s="2" t="s">
        <v>8414</v>
      </c>
    </row>
    <row r="3028" spans="1:16" x14ac:dyDescent="0.25">
      <c r="A3028" s="2" t="s">
        <v>8415</v>
      </c>
      <c r="B3028" s="2" t="s">
        <v>7433</v>
      </c>
      <c r="C3028" s="8">
        <v>46206</v>
      </c>
      <c r="D3028" s="6">
        <v>46204</v>
      </c>
      <c r="E3028" s="2" t="s">
        <v>260</v>
      </c>
      <c r="F3028" s="2" t="s">
        <v>8416</v>
      </c>
      <c r="G3028" s="6">
        <v>46174</v>
      </c>
      <c r="H3028" s="2" t="s">
        <v>71</v>
      </c>
      <c r="I3028" s="2" t="s">
        <v>39</v>
      </c>
      <c r="J3028" s="9">
        <v>6176.0320000000002</v>
      </c>
      <c r="K3028" s="7">
        <v>1</v>
      </c>
      <c r="L3028" s="9">
        <v>6176.03</v>
      </c>
      <c r="M3028" s="9">
        <v>6176.03</v>
      </c>
      <c r="N3028" s="9">
        <v>3.4</v>
      </c>
      <c r="O3028" s="10">
        <f>IF(AND(OR(H3028="APPROVED",H3028="SCHEDULED"),COUNTIFS(tblSource[EventID],F3028,tblSource[ReleaseStatus],"APPROVED")=1,COUNTIFS(Period_Status!$A$2:$A$8,G3028,Period_Status!$B$2:$B$8,"ActualClosed")=1,C3028&gt;EOMONTH(Settlement_Bridge!$C$2,0)),1,0)</f>
        <v>0</v>
      </c>
      <c r="P3028" s="2" t="s">
        <v>8417</v>
      </c>
    </row>
    <row r="3029" spans="1:16" x14ac:dyDescent="0.25">
      <c r="A3029" s="2" t="s">
        <v>8418</v>
      </c>
      <c r="B3029" s="2" t="s">
        <v>7433</v>
      </c>
      <c r="C3029" s="8">
        <v>46231</v>
      </c>
      <c r="D3029" s="6">
        <v>46204</v>
      </c>
      <c r="E3029" s="2" t="s">
        <v>260</v>
      </c>
      <c r="F3029" s="2" t="s">
        <v>8416</v>
      </c>
      <c r="G3029" s="6">
        <v>46174</v>
      </c>
      <c r="H3029" s="2" t="s">
        <v>71</v>
      </c>
      <c r="I3029" s="2" t="s">
        <v>39</v>
      </c>
      <c r="J3029" s="9">
        <v>9264.0480000000007</v>
      </c>
      <c r="K3029" s="7">
        <v>1</v>
      </c>
      <c r="L3029" s="9">
        <v>9264.0499999999993</v>
      </c>
      <c r="M3029" s="9">
        <v>9264.0499999999993</v>
      </c>
      <c r="N3029" s="9">
        <v>5.0999999999999996</v>
      </c>
      <c r="O3029" s="10">
        <f>IF(AND(OR(H3029="APPROVED",H3029="SCHEDULED"),COUNTIFS(tblSource[EventID],F3029,tblSource[ReleaseStatus],"APPROVED")=1,COUNTIFS(Period_Status!$A$2:$A$8,G3029,Period_Status!$B$2:$B$8,"ActualClosed")=1,C3029&gt;EOMONTH(Settlement_Bridge!$C$2,0)),1,0)</f>
        <v>0</v>
      </c>
      <c r="P3029" s="2" t="s">
        <v>8419</v>
      </c>
    </row>
    <row r="3030" spans="1:16" x14ac:dyDescent="0.25">
      <c r="A3030" s="2" t="s">
        <v>8420</v>
      </c>
      <c r="B3030" s="2" t="s">
        <v>7433</v>
      </c>
      <c r="C3030" s="8">
        <v>46207</v>
      </c>
      <c r="D3030" s="6">
        <v>46204</v>
      </c>
      <c r="E3030" s="2" t="s">
        <v>260</v>
      </c>
      <c r="F3030" s="2" t="s">
        <v>8421</v>
      </c>
      <c r="G3030" s="6">
        <v>46174</v>
      </c>
      <c r="H3030" s="2" t="s">
        <v>71</v>
      </c>
      <c r="I3030" s="2" t="s">
        <v>76</v>
      </c>
      <c r="J3030" s="9">
        <v>100588160</v>
      </c>
      <c r="K3030" s="7">
        <v>6.2000000000000003E-5</v>
      </c>
      <c r="L3030" s="9">
        <v>6236.47</v>
      </c>
      <c r="M3030" s="9">
        <v>6286.76</v>
      </c>
      <c r="N3030" s="9">
        <v>3.43</v>
      </c>
      <c r="O3030" s="10">
        <f>IF(AND(OR(H3030="APPROVED",H3030="SCHEDULED"),COUNTIFS(tblSource[EventID],F3030,tblSource[ReleaseStatus],"APPROVED")=1,COUNTIFS(Period_Status!$A$2:$A$8,G3030,Period_Status!$B$2:$B$8,"ActualClosed")=1,C3030&gt;EOMONTH(Settlement_Bridge!$C$2,0)),1,0)</f>
        <v>0</v>
      </c>
      <c r="P3030" s="2" t="s">
        <v>8422</v>
      </c>
    </row>
    <row r="3031" spans="1:16" x14ac:dyDescent="0.25">
      <c r="A3031" s="2" t="s">
        <v>8423</v>
      </c>
      <c r="B3031" s="2" t="s">
        <v>7433</v>
      </c>
      <c r="C3031" s="8">
        <v>46232</v>
      </c>
      <c r="D3031" s="6">
        <v>46204</v>
      </c>
      <c r="E3031" s="2" t="s">
        <v>260</v>
      </c>
      <c r="F3031" s="2" t="s">
        <v>8421</v>
      </c>
      <c r="G3031" s="6">
        <v>46174</v>
      </c>
      <c r="H3031" s="2" t="s">
        <v>71</v>
      </c>
      <c r="I3031" s="2" t="s">
        <v>76</v>
      </c>
      <c r="J3031" s="9">
        <v>150882240</v>
      </c>
      <c r="K3031" s="7">
        <v>6.2000000000000003E-5</v>
      </c>
      <c r="L3031" s="9">
        <v>9354.7000000000007</v>
      </c>
      <c r="M3031" s="9">
        <v>9430.14</v>
      </c>
      <c r="N3031" s="9">
        <v>5.15</v>
      </c>
      <c r="O3031" s="10">
        <f>IF(AND(OR(H3031="APPROVED",H3031="SCHEDULED"),COUNTIFS(tblSource[EventID],F3031,tblSource[ReleaseStatus],"APPROVED")=1,COUNTIFS(Period_Status!$A$2:$A$8,G3031,Period_Status!$B$2:$B$8,"ActualClosed")=1,C3031&gt;EOMONTH(Settlement_Bridge!$C$2,0)),1,0)</f>
        <v>0</v>
      </c>
      <c r="P3031" s="2" t="s">
        <v>8424</v>
      </c>
    </row>
    <row r="3032" spans="1:16" x14ac:dyDescent="0.25">
      <c r="A3032" s="2" t="s">
        <v>8425</v>
      </c>
      <c r="B3032" s="2" t="s">
        <v>7433</v>
      </c>
      <c r="C3032" s="8">
        <v>46208</v>
      </c>
      <c r="D3032" s="6">
        <v>46204</v>
      </c>
      <c r="E3032" s="2" t="s">
        <v>260</v>
      </c>
      <c r="F3032" s="2" t="s">
        <v>8426</v>
      </c>
      <c r="G3032" s="6">
        <v>46174</v>
      </c>
      <c r="H3032" s="2" t="s">
        <v>71</v>
      </c>
      <c r="I3032" s="2" t="s">
        <v>70</v>
      </c>
      <c r="J3032" s="9">
        <v>9620.2766919999995</v>
      </c>
      <c r="K3032" s="7">
        <v>0.65800000000000003</v>
      </c>
      <c r="L3032" s="9">
        <v>6330.14</v>
      </c>
      <c r="M3032" s="9">
        <v>6397.48</v>
      </c>
      <c r="N3032" s="9">
        <v>3.48</v>
      </c>
      <c r="O3032" s="10">
        <f>IF(AND(OR(H3032="APPROVED",H3032="SCHEDULED"),COUNTIFS(tblSource[EventID],F3032,tblSource[ReleaseStatus],"APPROVED")=1,COUNTIFS(Period_Status!$A$2:$A$8,G3032,Period_Status!$B$2:$B$8,"ActualClosed")=1,C3032&gt;EOMONTH(Settlement_Bridge!$C$2,0)),1,0)</f>
        <v>0</v>
      </c>
      <c r="P3032" s="2" t="s">
        <v>8427</v>
      </c>
    </row>
    <row r="3033" spans="1:16" x14ac:dyDescent="0.25">
      <c r="A3033" s="2" t="s">
        <v>8428</v>
      </c>
      <c r="B3033" s="2" t="s">
        <v>7433</v>
      </c>
      <c r="C3033" s="8">
        <v>46233</v>
      </c>
      <c r="D3033" s="6">
        <v>46204</v>
      </c>
      <c r="E3033" s="2" t="s">
        <v>260</v>
      </c>
      <c r="F3033" s="2" t="s">
        <v>8426</v>
      </c>
      <c r="G3033" s="6">
        <v>46174</v>
      </c>
      <c r="H3033" s="2" t="s">
        <v>71</v>
      </c>
      <c r="I3033" s="2" t="s">
        <v>70</v>
      </c>
      <c r="J3033" s="9">
        <v>14430.415037000001</v>
      </c>
      <c r="K3033" s="7">
        <v>0.65800000000000003</v>
      </c>
      <c r="L3033" s="9">
        <v>9495.2099999999991</v>
      </c>
      <c r="M3033" s="9">
        <v>9596.23</v>
      </c>
      <c r="N3033" s="9">
        <v>5.22</v>
      </c>
      <c r="O3033" s="10">
        <f>IF(AND(OR(H3033="APPROVED",H3033="SCHEDULED"),COUNTIFS(tblSource[EventID],F3033,tblSource[ReleaseStatus],"APPROVED")=1,COUNTIFS(Period_Status!$A$2:$A$8,G3033,Period_Status!$B$2:$B$8,"ActualClosed")=1,C3033&gt;EOMONTH(Settlement_Bridge!$C$2,0)),1,0)</f>
        <v>0</v>
      </c>
      <c r="P3033" s="2" t="s">
        <v>8429</v>
      </c>
    </row>
    <row r="3034" spans="1:16" x14ac:dyDescent="0.25">
      <c r="A3034" s="2" t="s">
        <v>8430</v>
      </c>
      <c r="B3034" s="2" t="s">
        <v>7433</v>
      </c>
      <c r="C3034" s="8">
        <v>46209</v>
      </c>
      <c r="D3034" s="6">
        <v>46204</v>
      </c>
      <c r="E3034" s="2" t="s">
        <v>260</v>
      </c>
      <c r="F3034" s="2" t="s">
        <v>8431</v>
      </c>
      <c r="G3034" s="6">
        <v>46174</v>
      </c>
      <c r="H3034" s="2" t="s">
        <v>71</v>
      </c>
      <c r="I3034" s="2" t="s">
        <v>39</v>
      </c>
      <c r="J3034" s="9">
        <v>6508.2120000000004</v>
      </c>
      <c r="K3034" s="7">
        <v>1</v>
      </c>
      <c r="L3034" s="9">
        <v>6508.21</v>
      </c>
      <c r="M3034" s="9">
        <v>6508.21</v>
      </c>
      <c r="N3034" s="9">
        <v>3.58</v>
      </c>
      <c r="O3034" s="10">
        <f>IF(AND(OR(H3034="APPROVED",H3034="SCHEDULED"),COUNTIFS(tblSource[EventID],F3034,tblSource[ReleaseStatus],"APPROVED")=1,COUNTIFS(Period_Status!$A$2:$A$8,G3034,Period_Status!$B$2:$B$8,"ActualClosed")=1,C3034&gt;EOMONTH(Settlement_Bridge!$C$2,0)),1,0)</f>
        <v>0</v>
      </c>
      <c r="P3034" s="2" t="s">
        <v>8432</v>
      </c>
    </row>
    <row r="3035" spans="1:16" x14ac:dyDescent="0.25">
      <c r="A3035" s="2" t="s">
        <v>8433</v>
      </c>
      <c r="B3035" s="2" t="s">
        <v>7433</v>
      </c>
      <c r="C3035" s="8">
        <v>46234</v>
      </c>
      <c r="D3035" s="6">
        <v>46204</v>
      </c>
      <c r="E3035" s="2" t="s">
        <v>260</v>
      </c>
      <c r="F3035" s="2" t="s">
        <v>8431</v>
      </c>
      <c r="G3035" s="6">
        <v>46174</v>
      </c>
      <c r="H3035" s="2" t="s">
        <v>71</v>
      </c>
      <c r="I3035" s="2" t="s">
        <v>39</v>
      </c>
      <c r="J3035" s="9">
        <v>9762.3179999999993</v>
      </c>
      <c r="K3035" s="7">
        <v>1</v>
      </c>
      <c r="L3035" s="9">
        <v>9762.32</v>
      </c>
      <c r="M3035" s="9">
        <v>9762.32</v>
      </c>
      <c r="N3035" s="9">
        <v>5.37</v>
      </c>
      <c r="O3035" s="10">
        <f>IF(AND(OR(H3035="APPROVED",H3035="SCHEDULED"),COUNTIFS(tblSource[EventID],F3035,tblSource[ReleaseStatus],"APPROVED")=1,COUNTIFS(Period_Status!$A$2:$A$8,G3035,Period_Status!$B$2:$B$8,"ActualClosed")=1,C3035&gt;EOMONTH(Settlement_Bridge!$C$2,0)),1,0)</f>
        <v>0</v>
      </c>
      <c r="P3035" s="2" t="s">
        <v>8434</v>
      </c>
    </row>
    <row r="3036" spans="1:16" x14ac:dyDescent="0.25">
      <c r="A3036" s="2" t="s">
        <v>8435</v>
      </c>
      <c r="B3036" s="2" t="s">
        <v>7433</v>
      </c>
      <c r="C3036" s="8">
        <v>46210</v>
      </c>
      <c r="D3036" s="6">
        <v>46204</v>
      </c>
      <c r="E3036" s="2" t="s">
        <v>260</v>
      </c>
      <c r="F3036" s="2" t="s">
        <v>8436</v>
      </c>
      <c r="G3036" s="6">
        <v>46174</v>
      </c>
      <c r="H3036" s="2" t="s">
        <v>71</v>
      </c>
      <c r="I3036" s="2" t="s">
        <v>76</v>
      </c>
      <c r="J3036" s="9">
        <v>105902976</v>
      </c>
      <c r="K3036" s="7">
        <v>6.2000000000000003E-5</v>
      </c>
      <c r="L3036" s="9">
        <v>6565.98</v>
      </c>
      <c r="M3036" s="9">
        <v>6618.94</v>
      </c>
      <c r="N3036" s="9">
        <v>3.61</v>
      </c>
      <c r="O3036" s="10">
        <f>IF(AND(OR(H3036="APPROVED",H3036="SCHEDULED"),COUNTIFS(tblSource[EventID],F3036,tblSource[ReleaseStatus],"APPROVED")=1,COUNTIFS(Period_Status!$A$2:$A$8,G3036,Period_Status!$B$2:$B$8,"ActualClosed")=1,C3036&gt;EOMONTH(Settlement_Bridge!$C$2,0)),1,0)</f>
        <v>0</v>
      </c>
      <c r="P3036" s="2" t="s">
        <v>8437</v>
      </c>
    </row>
    <row r="3037" spans="1:16" x14ac:dyDescent="0.25">
      <c r="A3037" s="2" t="s">
        <v>8438</v>
      </c>
      <c r="B3037" s="2" t="s">
        <v>7433</v>
      </c>
      <c r="C3037" s="8">
        <v>46235</v>
      </c>
      <c r="D3037" s="6">
        <v>46235</v>
      </c>
      <c r="E3037" s="2" t="s">
        <v>260</v>
      </c>
      <c r="F3037" s="2" t="s">
        <v>8436</v>
      </c>
      <c r="G3037" s="6">
        <v>46174</v>
      </c>
      <c r="H3037" s="2" t="s">
        <v>71</v>
      </c>
      <c r="I3037" s="2" t="s">
        <v>76</v>
      </c>
      <c r="J3037" s="9">
        <v>158854464</v>
      </c>
      <c r="K3037" s="7">
        <v>6.1500000000000004E-5</v>
      </c>
      <c r="L3037" s="9">
        <v>9769.5499999999993</v>
      </c>
      <c r="M3037" s="9">
        <v>9928.4</v>
      </c>
      <c r="N3037" s="9">
        <v>5.37</v>
      </c>
      <c r="O3037" s="10">
        <f>IF(AND(OR(H3037="APPROVED",H3037="SCHEDULED"),COUNTIFS(tblSource[EventID],F3037,tblSource[ReleaseStatus],"APPROVED")=1,COUNTIFS(Period_Status!$A$2:$A$8,G3037,Period_Status!$B$2:$B$8,"ActualClosed")=1,C3037&gt;EOMONTH(Settlement_Bridge!$C$2,0)),1,0)</f>
        <v>1</v>
      </c>
      <c r="P3037" s="2" t="s">
        <v>8439</v>
      </c>
    </row>
    <row r="3038" spans="1:16" x14ac:dyDescent="0.25">
      <c r="A3038" s="2" t="s">
        <v>8440</v>
      </c>
      <c r="B3038" s="2" t="s">
        <v>7433</v>
      </c>
      <c r="C3038" s="8">
        <v>46211</v>
      </c>
      <c r="D3038" s="6">
        <v>46204</v>
      </c>
      <c r="E3038" s="2" t="s">
        <v>260</v>
      </c>
      <c r="F3038" s="2" t="s">
        <v>8441</v>
      </c>
      <c r="G3038" s="6">
        <v>46174</v>
      </c>
      <c r="H3038" s="2" t="s">
        <v>71</v>
      </c>
      <c r="I3038" s="2" t="s">
        <v>70</v>
      </c>
      <c r="J3038" s="9">
        <v>10119.795489</v>
      </c>
      <c r="K3038" s="7">
        <v>0.65800000000000003</v>
      </c>
      <c r="L3038" s="9">
        <v>6658.83</v>
      </c>
      <c r="M3038" s="9">
        <v>6729.66</v>
      </c>
      <c r="N3038" s="9">
        <v>3.66</v>
      </c>
      <c r="O3038" s="10">
        <f>IF(AND(OR(H3038="APPROVED",H3038="SCHEDULED"),COUNTIFS(tblSource[EventID],F3038,tblSource[ReleaseStatus],"APPROVED")=1,COUNTIFS(Period_Status!$A$2:$A$8,G3038,Period_Status!$B$2:$B$8,"ActualClosed")=1,C3038&gt;EOMONTH(Settlement_Bridge!$C$2,0)),1,0)</f>
        <v>0</v>
      </c>
      <c r="P3038" s="2" t="s">
        <v>8442</v>
      </c>
    </row>
    <row r="3039" spans="1:16" x14ac:dyDescent="0.25">
      <c r="A3039" s="2" t="s">
        <v>8443</v>
      </c>
      <c r="B3039" s="2" t="s">
        <v>7433</v>
      </c>
      <c r="C3039" s="8">
        <v>46236</v>
      </c>
      <c r="D3039" s="6">
        <v>46235</v>
      </c>
      <c r="E3039" s="2" t="s">
        <v>260</v>
      </c>
      <c r="F3039" s="2" t="s">
        <v>8441</v>
      </c>
      <c r="G3039" s="6">
        <v>46174</v>
      </c>
      <c r="H3039" s="2" t="s">
        <v>71</v>
      </c>
      <c r="I3039" s="2" t="s">
        <v>70</v>
      </c>
      <c r="J3039" s="9">
        <v>15179.693233</v>
      </c>
      <c r="K3039" s="7">
        <v>0.65</v>
      </c>
      <c r="L3039" s="9">
        <v>9866.7999999999993</v>
      </c>
      <c r="M3039" s="9">
        <v>10094.5</v>
      </c>
      <c r="N3039" s="9">
        <v>5.43</v>
      </c>
      <c r="O3039" s="10">
        <f>IF(AND(OR(H3039="APPROVED",H3039="SCHEDULED"),COUNTIFS(tblSource[EventID],F3039,tblSource[ReleaseStatus],"APPROVED")=1,COUNTIFS(Period_Status!$A$2:$A$8,G3039,Period_Status!$B$2:$B$8,"ActualClosed")=1,C3039&gt;EOMONTH(Settlement_Bridge!$C$2,0)),1,0)</f>
        <v>1</v>
      </c>
      <c r="P3039" s="2" t="s">
        <v>8444</v>
      </c>
    </row>
    <row r="3040" spans="1:16" x14ac:dyDescent="0.25">
      <c r="A3040" s="2" t="s">
        <v>8445</v>
      </c>
      <c r="B3040" s="2" t="s">
        <v>7433</v>
      </c>
      <c r="C3040" s="8">
        <v>46212</v>
      </c>
      <c r="D3040" s="6">
        <v>46204</v>
      </c>
      <c r="E3040" s="2" t="s">
        <v>260</v>
      </c>
      <c r="F3040" s="2" t="s">
        <v>8446</v>
      </c>
      <c r="G3040" s="6">
        <v>46174</v>
      </c>
      <c r="H3040" s="2" t="s">
        <v>71</v>
      </c>
      <c r="I3040" s="2" t="s">
        <v>39</v>
      </c>
      <c r="J3040" s="9">
        <v>-17100.98</v>
      </c>
      <c r="K3040" s="7">
        <v>1</v>
      </c>
      <c r="L3040" s="9">
        <v>-17100.98</v>
      </c>
      <c r="M3040" s="9">
        <v>-17100.98</v>
      </c>
      <c r="N3040" s="9">
        <v>0</v>
      </c>
      <c r="O3040" s="10">
        <f>IF(AND(OR(H3040="APPROVED",H3040="SCHEDULED"),COUNTIFS(tblSource[EventID],F3040,tblSource[ReleaseStatus],"APPROVED")=1,COUNTIFS(Period_Status!$A$2:$A$8,G3040,Period_Status!$B$2:$B$8,"ActualClosed")=1,C3040&gt;EOMONTH(Settlement_Bridge!$C$2,0)),1,0)</f>
        <v>0</v>
      </c>
      <c r="P3040" s="2" t="s">
        <v>8447</v>
      </c>
    </row>
    <row r="3041" spans="1:16" x14ac:dyDescent="0.25">
      <c r="A3041" s="2" t="s">
        <v>8448</v>
      </c>
      <c r="B3041" s="2" t="s">
        <v>7433</v>
      </c>
      <c r="C3041" s="8">
        <v>46213</v>
      </c>
      <c r="D3041" s="6">
        <v>46204</v>
      </c>
      <c r="E3041" s="2" t="s">
        <v>260</v>
      </c>
      <c r="F3041" s="2" t="s">
        <v>8449</v>
      </c>
      <c r="G3041" s="6">
        <v>46174</v>
      </c>
      <c r="H3041" s="2" t="s">
        <v>71</v>
      </c>
      <c r="I3041" s="2" t="s">
        <v>76</v>
      </c>
      <c r="J3041" s="9">
        <v>111217856</v>
      </c>
      <c r="K3041" s="7">
        <v>6.2000000000000003E-5</v>
      </c>
      <c r="L3041" s="9">
        <v>6895.51</v>
      </c>
      <c r="M3041" s="9">
        <v>6951.12</v>
      </c>
      <c r="N3041" s="9">
        <v>3.79</v>
      </c>
      <c r="O3041" s="10">
        <f>IF(AND(OR(H3041="APPROVED",H3041="SCHEDULED"),COUNTIFS(tblSource[EventID],F3041,tblSource[ReleaseStatus],"APPROVED")=1,COUNTIFS(Period_Status!$A$2:$A$8,G3041,Period_Status!$B$2:$B$8,"ActualClosed")=1,C3041&gt;EOMONTH(Settlement_Bridge!$C$2,0)),1,0)</f>
        <v>0</v>
      </c>
      <c r="P3041" s="2" t="s">
        <v>8450</v>
      </c>
    </row>
    <row r="3042" spans="1:16" x14ac:dyDescent="0.25">
      <c r="A3042" s="2" t="s">
        <v>8451</v>
      </c>
      <c r="B3042" s="2" t="s">
        <v>7433</v>
      </c>
      <c r="C3042" s="8">
        <v>46238</v>
      </c>
      <c r="D3042" s="6">
        <v>46235</v>
      </c>
      <c r="E3042" s="2" t="s">
        <v>260</v>
      </c>
      <c r="F3042" s="2" t="s">
        <v>8449</v>
      </c>
      <c r="G3042" s="6">
        <v>46174</v>
      </c>
      <c r="H3042" s="2" t="s">
        <v>71</v>
      </c>
      <c r="I3042" s="2" t="s">
        <v>76</v>
      </c>
      <c r="J3042" s="9">
        <v>166826784</v>
      </c>
      <c r="K3042" s="7">
        <v>6.1500000000000004E-5</v>
      </c>
      <c r="L3042" s="9">
        <v>10259.85</v>
      </c>
      <c r="M3042" s="9">
        <v>10426.67</v>
      </c>
      <c r="N3042" s="9">
        <v>5.64</v>
      </c>
      <c r="O3042" s="10">
        <f>IF(AND(OR(H3042="APPROVED",H3042="SCHEDULED"),COUNTIFS(tblSource[EventID],F3042,tblSource[ReleaseStatus],"APPROVED")=1,COUNTIFS(Period_Status!$A$2:$A$8,G3042,Period_Status!$B$2:$B$8,"ActualClosed")=1,C3042&gt;EOMONTH(Settlement_Bridge!$C$2,0)),1,0)</f>
        <v>1</v>
      </c>
      <c r="P3042" s="2" t="s">
        <v>8452</v>
      </c>
    </row>
    <row r="3043" spans="1:16" x14ac:dyDescent="0.25">
      <c r="A3043" s="2" t="s">
        <v>8453</v>
      </c>
      <c r="B3043" s="2" t="s">
        <v>7433</v>
      </c>
      <c r="C3043" s="8">
        <v>46214</v>
      </c>
      <c r="D3043" s="6">
        <v>46204</v>
      </c>
      <c r="E3043" s="2" t="s">
        <v>260</v>
      </c>
      <c r="F3043" s="2" t="s">
        <v>8454</v>
      </c>
      <c r="G3043" s="6">
        <v>46174</v>
      </c>
      <c r="H3043" s="2" t="s">
        <v>71</v>
      </c>
      <c r="I3043" s="2" t="s">
        <v>70</v>
      </c>
      <c r="J3043" s="9">
        <v>10619.314286000001</v>
      </c>
      <c r="K3043" s="7">
        <v>0.65800000000000003</v>
      </c>
      <c r="L3043" s="9">
        <v>6987.51</v>
      </c>
      <c r="M3043" s="9">
        <v>7061.84</v>
      </c>
      <c r="N3043" s="9">
        <v>3.84</v>
      </c>
      <c r="O3043" s="10">
        <f>IF(AND(OR(H3043="APPROVED",H3043="SCHEDULED"),COUNTIFS(tblSource[EventID],F3043,tblSource[ReleaseStatus],"APPROVED")=1,COUNTIFS(Period_Status!$A$2:$A$8,G3043,Period_Status!$B$2:$B$8,"ActualClosed")=1,C3043&gt;EOMONTH(Settlement_Bridge!$C$2,0)),1,0)</f>
        <v>0</v>
      </c>
      <c r="P3043" s="2" t="s">
        <v>8455</v>
      </c>
    </row>
    <row r="3044" spans="1:16" x14ac:dyDescent="0.25">
      <c r="A3044" s="2" t="s">
        <v>8456</v>
      </c>
      <c r="B3044" s="2" t="s">
        <v>7433</v>
      </c>
      <c r="C3044" s="8">
        <v>46239</v>
      </c>
      <c r="D3044" s="6">
        <v>46235</v>
      </c>
      <c r="E3044" s="2" t="s">
        <v>260</v>
      </c>
      <c r="F3044" s="2" t="s">
        <v>8454</v>
      </c>
      <c r="G3044" s="6">
        <v>46174</v>
      </c>
      <c r="H3044" s="2" t="s">
        <v>71</v>
      </c>
      <c r="I3044" s="2" t="s">
        <v>70</v>
      </c>
      <c r="J3044" s="9">
        <v>15928.971428000001</v>
      </c>
      <c r="K3044" s="7">
        <v>0.65</v>
      </c>
      <c r="L3044" s="9">
        <v>10353.83</v>
      </c>
      <c r="M3044" s="9">
        <v>10592.77</v>
      </c>
      <c r="N3044" s="9">
        <v>5.69</v>
      </c>
      <c r="O3044" s="10">
        <f>IF(AND(OR(H3044="APPROVED",H3044="SCHEDULED"),COUNTIFS(tblSource[EventID],F3044,tblSource[ReleaseStatus],"APPROVED")=1,COUNTIFS(Period_Status!$A$2:$A$8,G3044,Period_Status!$B$2:$B$8,"ActualClosed")=1,C3044&gt;EOMONTH(Settlement_Bridge!$C$2,0)),1,0)</f>
        <v>1</v>
      </c>
      <c r="P3044" s="2" t="s">
        <v>8457</v>
      </c>
    </row>
    <row r="3045" spans="1:16" x14ac:dyDescent="0.25">
      <c r="A3045" s="2" t="s">
        <v>8458</v>
      </c>
      <c r="B3045" s="2" t="s">
        <v>7433</v>
      </c>
      <c r="C3045" s="8">
        <v>46215</v>
      </c>
      <c r="D3045" s="6">
        <v>46204</v>
      </c>
      <c r="E3045" s="2" t="s">
        <v>260</v>
      </c>
      <c r="F3045" s="2" t="s">
        <v>8459</v>
      </c>
      <c r="G3045" s="6">
        <v>46174</v>
      </c>
      <c r="H3045" s="2" t="s">
        <v>71</v>
      </c>
      <c r="I3045" s="2" t="s">
        <v>39</v>
      </c>
      <c r="J3045" s="9">
        <v>7172.5680000000002</v>
      </c>
      <c r="K3045" s="7">
        <v>1</v>
      </c>
      <c r="L3045" s="9">
        <v>7172.57</v>
      </c>
      <c r="M3045" s="9">
        <v>7172.57</v>
      </c>
      <c r="N3045" s="9">
        <v>3.94</v>
      </c>
      <c r="O3045" s="10">
        <f>IF(AND(OR(H3045="APPROVED",H3045="SCHEDULED"),COUNTIFS(tblSource[EventID],F3045,tblSource[ReleaseStatus],"APPROVED")=1,COUNTIFS(Period_Status!$A$2:$A$8,G3045,Period_Status!$B$2:$B$8,"ActualClosed")=1,C3045&gt;EOMONTH(Settlement_Bridge!$C$2,0)),1,0)</f>
        <v>0</v>
      </c>
      <c r="P3045" s="2" t="s">
        <v>8460</v>
      </c>
    </row>
    <row r="3046" spans="1:16" x14ac:dyDescent="0.25">
      <c r="A3046" s="2" t="s">
        <v>8461</v>
      </c>
      <c r="B3046" s="2" t="s">
        <v>7433</v>
      </c>
      <c r="C3046" s="8">
        <v>46240</v>
      </c>
      <c r="D3046" s="6">
        <v>46235</v>
      </c>
      <c r="E3046" s="2" t="s">
        <v>260</v>
      </c>
      <c r="F3046" s="2" t="s">
        <v>8459</v>
      </c>
      <c r="G3046" s="6">
        <v>46174</v>
      </c>
      <c r="H3046" s="2" t="s">
        <v>71</v>
      </c>
      <c r="I3046" s="2" t="s">
        <v>39</v>
      </c>
      <c r="J3046" s="9">
        <v>10758.852000000001</v>
      </c>
      <c r="K3046" s="7">
        <v>1</v>
      </c>
      <c r="L3046" s="9">
        <v>10758.85</v>
      </c>
      <c r="M3046" s="9">
        <v>10758.85</v>
      </c>
      <c r="N3046" s="9">
        <v>5.92</v>
      </c>
      <c r="O3046" s="10">
        <f>IF(AND(OR(H3046="APPROVED",H3046="SCHEDULED"),COUNTIFS(tblSource[EventID],F3046,tblSource[ReleaseStatus],"APPROVED")=1,COUNTIFS(Period_Status!$A$2:$A$8,G3046,Period_Status!$B$2:$B$8,"ActualClosed")=1,C3046&gt;EOMONTH(Settlement_Bridge!$C$2,0)),1,0)</f>
        <v>1</v>
      </c>
      <c r="P3046" s="2" t="s">
        <v>8462</v>
      </c>
    </row>
    <row r="3047" spans="1:16" x14ac:dyDescent="0.25">
      <c r="A3047" s="2" t="s">
        <v>8463</v>
      </c>
      <c r="B3047" s="2" t="s">
        <v>7433</v>
      </c>
      <c r="C3047" s="8">
        <v>46216</v>
      </c>
      <c r="D3047" s="6">
        <v>46204</v>
      </c>
      <c r="E3047" s="2" t="s">
        <v>260</v>
      </c>
      <c r="F3047" s="2" t="s">
        <v>8464</v>
      </c>
      <c r="G3047" s="6">
        <v>46174</v>
      </c>
      <c r="H3047" s="2" t="s">
        <v>71</v>
      </c>
      <c r="I3047" s="2" t="s">
        <v>76</v>
      </c>
      <c r="J3047" s="9">
        <v>116532736</v>
      </c>
      <c r="K3047" s="7">
        <v>6.2000000000000003E-5</v>
      </c>
      <c r="L3047" s="9">
        <v>7225.03</v>
      </c>
      <c r="M3047" s="9">
        <v>7283.3</v>
      </c>
      <c r="N3047" s="9">
        <v>3.97</v>
      </c>
      <c r="O3047" s="10">
        <f>IF(AND(OR(H3047="APPROVED",H3047="SCHEDULED"),COUNTIFS(tblSource[EventID],F3047,tblSource[ReleaseStatus],"APPROVED")=1,COUNTIFS(Period_Status!$A$2:$A$8,G3047,Period_Status!$B$2:$B$8,"ActualClosed")=1,C3047&gt;EOMONTH(Settlement_Bridge!$C$2,0)),1,0)</f>
        <v>0</v>
      </c>
      <c r="P3047" s="2" t="s">
        <v>8465</v>
      </c>
    </row>
    <row r="3048" spans="1:16" x14ac:dyDescent="0.25">
      <c r="A3048" s="2" t="s">
        <v>8466</v>
      </c>
      <c r="B3048" s="2" t="s">
        <v>7433</v>
      </c>
      <c r="C3048" s="8">
        <v>46241</v>
      </c>
      <c r="D3048" s="6">
        <v>46235</v>
      </c>
      <c r="E3048" s="2" t="s">
        <v>260</v>
      </c>
      <c r="F3048" s="2" t="s">
        <v>8464</v>
      </c>
      <c r="G3048" s="6">
        <v>46174</v>
      </c>
      <c r="H3048" s="2" t="s">
        <v>71</v>
      </c>
      <c r="I3048" s="2" t="s">
        <v>76</v>
      </c>
      <c r="J3048" s="9">
        <v>174799104</v>
      </c>
      <c r="K3048" s="7">
        <v>6.1500000000000004E-5</v>
      </c>
      <c r="L3048" s="9">
        <v>10750.14</v>
      </c>
      <c r="M3048" s="9">
        <v>10924.94</v>
      </c>
      <c r="N3048" s="9">
        <v>5.91</v>
      </c>
      <c r="O3048" s="10">
        <f>IF(AND(OR(H3048="APPROVED",H3048="SCHEDULED"),COUNTIFS(tblSource[EventID],F3048,tblSource[ReleaseStatus],"APPROVED")=1,COUNTIFS(Period_Status!$A$2:$A$8,G3048,Period_Status!$B$2:$B$8,"ActualClosed")=1,C3048&gt;EOMONTH(Settlement_Bridge!$C$2,0)),1,0)</f>
        <v>1</v>
      </c>
      <c r="P3048" s="2" t="s">
        <v>8467</v>
      </c>
    </row>
    <row r="3049" spans="1:16" x14ac:dyDescent="0.25">
      <c r="A3049" s="2" t="s">
        <v>8468</v>
      </c>
      <c r="B3049" s="2" t="s">
        <v>7433</v>
      </c>
      <c r="C3049" s="8">
        <v>46217</v>
      </c>
      <c r="D3049" s="6">
        <v>46204</v>
      </c>
      <c r="E3049" s="2" t="s">
        <v>260</v>
      </c>
      <c r="F3049" s="2" t="s">
        <v>8469</v>
      </c>
      <c r="G3049" s="6">
        <v>46174</v>
      </c>
      <c r="H3049" s="2" t="s">
        <v>71</v>
      </c>
      <c r="I3049" s="2" t="s">
        <v>70</v>
      </c>
      <c r="J3049" s="9">
        <v>11118.833083</v>
      </c>
      <c r="K3049" s="7">
        <v>0.65800000000000003</v>
      </c>
      <c r="L3049" s="9">
        <v>7316.19</v>
      </c>
      <c r="M3049" s="9">
        <v>7394.02</v>
      </c>
      <c r="N3049" s="9">
        <v>4.0199999999999996</v>
      </c>
      <c r="O3049" s="10">
        <f>IF(AND(OR(H3049="APPROVED",H3049="SCHEDULED"),COUNTIFS(tblSource[EventID],F3049,tblSource[ReleaseStatus],"APPROVED")=1,COUNTIFS(Period_Status!$A$2:$A$8,G3049,Period_Status!$B$2:$B$8,"ActualClosed")=1,C3049&gt;EOMONTH(Settlement_Bridge!$C$2,0)),1,0)</f>
        <v>0</v>
      </c>
      <c r="P3049" s="2" t="s">
        <v>8470</v>
      </c>
    </row>
    <row r="3050" spans="1:16" x14ac:dyDescent="0.25">
      <c r="A3050" s="2" t="s">
        <v>8471</v>
      </c>
      <c r="B3050" s="2" t="s">
        <v>7433</v>
      </c>
      <c r="C3050" s="8">
        <v>46242</v>
      </c>
      <c r="D3050" s="6">
        <v>46235</v>
      </c>
      <c r="E3050" s="2" t="s">
        <v>260</v>
      </c>
      <c r="F3050" s="2" t="s">
        <v>8469</v>
      </c>
      <c r="G3050" s="6">
        <v>46174</v>
      </c>
      <c r="H3050" s="2" t="s">
        <v>71</v>
      </c>
      <c r="I3050" s="2" t="s">
        <v>70</v>
      </c>
      <c r="J3050" s="9">
        <v>16678.249624</v>
      </c>
      <c r="K3050" s="7">
        <v>0.65</v>
      </c>
      <c r="L3050" s="9">
        <v>10840.86</v>
      </c>
      <c r="M3050" s="9">
        <v>11091.04</v>
      </c>
      <c r="N3050" s="9">
        <v>5.96</v>
      </c>
      <c r="O3050" s="10">
        <f>IF(AND(OR(H3050="APPROVED",H3050="SCHEDULED"),COUNTIFS(tblSource[EventID],F3050,tblSource[ReleaseStatus],"APPROVED")=1,COUNTIFS(Period_Status!$A$2:$A$8,G3050,Period_Status!$B$2:$B$8,"ActualClosed")=1,C3050&gt;EOMONTH(Settlement_Bridge!$C$2,0)),1,0)</f>
        <v>1</v>
      </c>
      <c r="P3050" s="2" t="s">
        <v>8472</v>
      </c>
    </row>
    <row r="3051" spans="1:16" x14ac:dyDescent="0.25">
      <c r="A3051" s="2" t="s">
        <v>8473</v>
      </c>
      <c r="B3051" s="2" t="s">
        <v>7433</v>
      </c>
      <c r="C3051" s="8">
        <v>46188</v>
      </c>
      <c r="D3051" s="6">
        <v>46174</v>
      </c>
      <c r="E3051" s="2" t="s">
        <v>260</v>
      </c>
      <c r="F3051" s="2" t="s">
        <v>8474</v>
      </c>
      <c r="G3051" s="6">
        <v>46174</v>
      </c>
      <c r="H3051" s="2" t="s">
        <v>71</v>
      </c>
      <c r="I3051" s="2" t="s">
        <v>39</v>
      </c>
      <c r="J3051" s="9">
        <v>7504.7479999999996</v>
      </c>
      <c r="K3051" s="7">
        <v>1</v>
      </c>
      <c r="L3051" s="9">
        <v>7504.75</v>
      </c>
      <c r="M3051" s="9">
        <v>7504.75</v>
      </c>
      <c r="N3051" s="9">
        <v>4.13</v>
      </c>
      <c r="O3051" s="10">
        <f>IF(AND(OR(H3051="APPROVED",H3051="SCHEDULED"),COUNTIFS(tblSource[EventID],F3051,tblSource[ReleaseStatus],"APPROVED")=1,COUNTIFS(Period_Status!$A$2:$A$8,G3051,Period_Status!$B$2:$B$8,"ActualClosed")=1,C3051&gt;EOMONTH(Settlement_Bridge!$C$2,0)),1,0)</f>
        <v>0</v>
      </c>
      <c r="P3051" s="2" t="s">
        <v>8475</v>
      </c>
    </row>
    <row r="3052" spans="1:16" x14ac:dyDescent="0.25">
      <c r="A3052" s="2" t="s">
        <v>8476</v>
      </c>
      <c r="B3052" s="2" t="s">
        <v>7433</v>
      </c>
      <c r="C3052" s="8">
        <v>46213</v>
      </c>
      <c r="D3052" s="6">
        <v>46204</v>
      </c>
      <c r="E3052" s="2" t="s">
        <v>260</v>
      </c>
      <c r="F3052" s="2" t="s">
        <v>8474</v>
      </c>
      <c r="G3052" s="6">
        <v>46174</v>
      </c>
      <c r="H3052" s="2" t="s">
        <v>71</v>
      </c>
      <c r="I3052" s="2" t="s">
        <v>39</v>
      </c>
      <c r="J3052" s="9">
        <v>11257.121999999999</v>
      </c>
      <c r="K3052" s="7">
        <v>1</v>
      </c>
      <c r="L3052" s="9">
        <v>11257.12</v>
      </c>
      <c r="M3052" s="9">
        <v>11257.12</v>
      </c>
      <c r="N3052" s="9">
        <v>6.19</v>
      </c>
      <c r="O3052" s="10">
        <f>IF(AND(OR(H3052="APPROVED",H3052="SCHEDULED"),COUNTIFS(tblSource[EventID],F3052,tblSource[ReleaseStatus],"APPROVED")=1,COUNTIFS(Period_Status!$A$2:$A$8,G3052,Period_Status!$B$2:$B$8,"ActualClosed")=1,C3052&gt;EOMONTH(Settlement_Bridge!$C$2,0)),1,0)</f>
        <v>0</v>
      </c>
      <c r="P3052" s="2" t="s">
        <v>8477</v>
      </c>
    </row>
    <row r="3053" spans="1:16" x14ac:dyDescent="0.25">
      <c r="A3053" s="2" t="s">
        <v>8478</v>
      </c>
      <c r="B3053" s="2" t="s">
        <v>7433</v>
      </c>
      <c r="C3053" s="8">
        <v>46189</v>
      </c>
      <c r="D3053" s="6">
        <v>46174</v>
      </c>
      <c r="E3053" s="2" t="s">
        <v>260</v>
      </c>
      <c r="F3053" s="2" t="s">
        <v>8479</v>
      </c>
      <c r="G3053" s="6">
        <v>46174</v>
      </c>
      <c r="H3053" s="2" t="s">
        <v>71</v>
      </c>
      <c r="I3053" s="2" t="s">
        <v>76</v>
      </c>
      <c r="J3053" s="9">
        <v>121847616</v>
      </c>
      <c r="K3053" s="7">
        <v>6.2500000000000001E-5</v>
      </c>
      <c r="L3053" s="9">
        <v>7615.48</v>
      </c>
      <c r="M3053" s="9">
        <v>7615.48</v>
      </c>
      <c r="N3053" s="9">
        <v>4.1900000000000004</v>
      </c>
      <c r="O3053" s="10">
        <f>IF(AND(OR(H3053="APPROVED",H3053="SCHEDULED"),COUNTIFS(tblSource[EventID],F3053,tblSource[ReleaseStatus],"APPROVED")=1,COUNTIFS(Period_Status!$A$2:$A$8,G3053,Period_Status!$B$2:$B$8,"ActualClosed")=1,C3053&gt;EOMONTH(Settlement_Bridge!$C$2,0)),1,0)</f>
        <v>0</v>
      </c>
      <c r="P3053" s="2" t="s">
        <v>8480</v>
      </c>
    </row>
    <row r="3054" spans="1:16" x14ac:dyDescent="0.25">
      <c r="A3054" s="2" t="s">
        <v>8481</v>
      </c>
      <c r="B3054" s="2" t="s">
        <v>7433</v>
      </c>
      <c r="C3054" s="8">
        <v>46214</v>
      </c>
      <c r="D3054" s="6">
        <v>46204</v>
      </c>
      <c r="E3054" s="2" t="s">
        <v>260</v>
      </c>
      <c r="F3054" s="2" t="s">
        <v>8479</v>
      </c>
      <c r="G3054" s="6">
        <v>46174</v>
      </c>
      <c r="H3054" s="2" t="s">
        <v>71</v>
      </c>
      <c r="I3054" s="2" t="s">
        <v>76</v>
      </c>
      <c r="J3054" s="9">
        <v>182771424</v>
      </c>
      <c r="K3054" s="7">
        <v>6.2000000000000003E-5</v>
      </c>
      <c r="L3054" s="9">
        <v>11331.83</v>
      </c>
      <c r="M3054" s="9">
        <v>11423.21</v>
      </c>
      <c r="N3054" s="9">
        <v>6.23</v>
      </c>
      <c r="O3054" s="10">
        <f>IF(AND(OR(H3054="APPROVED",H3054="SCHEDULED"),COUNTIFS(tblSource[EventID],F3054,tblSource[ReleaseStatus],"APPROVED")=1,COUNTIFS(Period_Status!$A$2:$A$8,G3054,Period_Status!$B$2:$B$8,"ActualClosed")=1,C3054&gt;EOMONTH(Settlement_Bridge!$C$2,0)),1,0)</f>
        <v>0</v>
      </c>
      <c r="P3054" s="2" t="s">
        <v>8482</v>
      </c>
    </row>
    <row r="3055" spans="1:16" x14ac:dyDescent="0.25">
      <c r="A3055" s="2" t="s">
        <v>8483</v>
      </c>
      <c r="B3055" s="2" t="s">
        <v>7433</v>
      </c>
      <c r="C3055" s="8">
        <v>46190</v>
      </c>
      <c r="D3055" s="6">
        <v>46174</v>
      </c>
      <c r="E3055" s="2" t="s">
        <v>260</v>
      </c>
      <c r="F3055" s="2" t="s">
        <v>8484</v>
      </c>
      <c r="G3055" s="6">
        <v>46174</v>
      </c>
      <c r="H3055" s="2" t="s">
        <v>71</v>
      </c>
      <c r="I3055" s="2" t="s">
        <v>70</v>
      </c>
      <c r="J3055" s="9">
        <v>11618.345864999999</v>
      </c>
      <c r="K3055" s="7">
        <v>0.66500000000000004</v>
      </c>
      <c r="L3055" s="9">
        <v>7726.2</v>
      </c>
      <c r="M3055" s="9">
        <v>7726.2</v>
      </c>
      <c r="N3055" s="9">
        <v>4.25</v>
      </c>
      <c r="O3055" s="10">
        <f>IF(AND(OR(H3055="APPROVED",H3055="SCHEDULED"),COUNTIFS(tblSource[EventID],F3055,tblSource[ReleaseStatus],"APPROVED")=1,COUNTIFS(Period_Status!$A$2:$A$8,G3055,Period_Status!$B$2:$B$8,"ActualClosed")=1,C3055&gt;EOMONTH(Settlement_Bridge!$C$2,0)),1,0)</f>
        <v>0</v>
      </c>
      <c r="P3055" s="2" t="s">
        <v>8485</v>
      </c>
    </row>
    <row r="3056" spans="1:16" x14ac:dyDescent="0.25">
      <c r="A3056" s="2" t="s">
        <v>8486</v>
      </c>
      <c r="B3056" s="2" t="s">
        <v>7433</v>
      </c>
      <c r="C3056" s="8">
        <v>46215</v>
      </c>
      <c r="D3056" s="6">
        <v>46204</v>
      </c>
      <c r="E3056" s="2" t="s">
        <v>260</v>
      </c>
      <c r="F3056" s="2" t="s">
        <v>8484</v>
      </c>
      <c r="G3056" s="6">
        <v>46174</v>
      </c>
      <c r="H3056" s="2" t="s">
        <v>71</v>
      </c>
      <c r="I3056" s="2" t="s">
        <v>70</v>
      </c>
      <c r="J3056" s="9">
        <v>17427.518797000001</v>
      </c>
      <c r="K3056" s="7">
        <v>0.65800000000000003</v>
      </c>
      <c r="L3056" s="9">
        <v>11467.31</v>
      </c>
      <c r="M3056" s="9">
        <v>11589.3</v>
      </c>
      <c r="N3056" s="9">
        <v>6.31</v>
      </c>
      <c r="O3056" s="10">
        <f>IF(AND(OR(H3056="APPROVED",H3056="SCHEDULED"),COUNTIFS(tblSource[EventID],F3056,tblSource[ReleaseStatus],"APPROVED")=1,COUNTIFS(Period_Status!$A$2:$A$8,G3056,Period_Status!$B$2:$B$8,"ActualClosed")=1,C3056&gt;EOMONTH(Settlement_Bridge!$C$2,0)),1,0)</f>
        <v>0</v>
      </c>
      <c r="P3056" s="2" t="s">
        <v>8487</v>
      </c>
    </row>
    <row r="3057" spans="1:16" x14ac:dyDescent="0.25">
      <c r="A3057" s="2" t="s">
        <v>8488</v>
      </c>
      <c r="B3057" s="2" t="s">
        <v>7433</v>
      </c>
      <c r="C3057" s="8">
        <v>46191</v>
      </c>
      <c r="D3057" s="6">
        <v>46174</v>
      </c>
      <c r="E3057" s="2" t="s">
        <v>260</v>
      </c>
      <c r="F3057" s="2" t="s">
        <v>8489</v>
      </c>
      <c r="G3057" s="6">
        <v>46174</v>
      </c>
      <c r="H3057" s="2" t="s">
        <v>71</v>
      </c>
      <c r="I3057" s="2" t="s">
        <v>39</v>
      </c>
      <c r="J3057" s="9">
        <v>7836.9279999999999</v>
      </c>
      <c r="K3057" s="7">
        <v>1</v>
      </c>
      <c r="L3057" s="9">
        <v>7836.93</v>
      </c>
      <c r="M3057" s="9">
        <v>7836.93</v>
      </c>
      <c r="N3057" s="9">
        <v>4.3099999999999996</v>
      </c>
      <c r="O3057" s="10">
        <f>IF(AND(OR(H3057="APPROVED",H3057="SCHEDULED"),COUNTIFS(tblSource[EventID],F3057,tblSource[ReleaseStatus],"APPROVED")=1,COUNTIFS(Period_Status!$A$2:$A$8,G3057,Period_Status!$B$2:$B$8,"ActualClosed")=1,C3057&gt;EOMONTH(Settlement_Bridge!$C$2,0)),1,0)</f>
        <v>0</v>
      </c>
      <c r="P3057" s="2" t="s">
        <v>8490</v>
      </c>
    </row>
    <row r="3058" spans="1:16" x14ac:dyDescent="0.25">
      <c r="A3058" s="2" t="s">
        <v>8491</v>
      </c>
      <c r="B3058" s="2" t="s">
        <v>7433</v>
      </c>
      <c r="C3058" s="8">
        <v>46216</v>
      </c>
      <c r="D3058" s="6">
        <v>46204</v>
      </c>
      <c r="E3058" s="2" t="s">
        <v>260</v>
      </c>
      <c r="F3058" s="2" t="s">
        <v>8489</v>
      </c>
      <c r="G3058" s="6">
        <v>46174</v>
      </c>
      <c r="H3058" s="2" t="s">
        <v>71</v>
      </c>
      <c r="I3058" s="2" t="s">
        <v>39</v>
      </c>
      <c r="J3058" s="9">
        <v>11755.392</v>
      </c>
      <c r="K3058" s="7">
        <v>1</v>
      </c>
      <c r="L3058" s="9">
        <v>11755.39</v>
      </c>
      <c r="M3058" s="9">
        <v>11755.39</v>
      </c>
      <c r="N3058" s="9">
        <v>6.47</v>
      </c>
      <c r="O3058" s="10">
        <f>IF(AND(OR(H3058="APPROVED",H3058="SCHEDULED"),COUNTIFS(tblSource[EventID],F3058,tblSource[ReleaseStatus],"APPROVED")=1,COUNTIFS(Period_Status!$A$2:$A$8,G3058,Period_Status!$B$2:$B$8,"ActualClosed")=1,C3058&gt;EOMONTH(Settlement_Bridge!$C$2,0)),1,0)</f>
        <v>0</v>
      </c>
      <c r="P3058" s="2" t="s">
        <v>8492</v>
      </c>
    </row>
    <row r="3059" spans="1:16" x14ac:dyDescent="0.25">
      <c r="A3059" s="2" t="s">
        <v>8493</v>
      </c>
      <c r="B3059" s="2" t="s">
        <v>7433</v>
      </c>
      <c r="C3059" s="8">
        <v>46192</v>
      </c>
      <c r="D3059" s="6">
        <v>46174</v>
      </c>
      <c r="E3059" s="2" t="s">
        <v>260</v>
      </c>
      <c r="F3059" s="2" t="s">
        <v>8494</v>
      </c>
      <c r="G3059" s="6">
        <v>46174</v>
      </c>
      <c r="H3059" s="2" t="s">
        <v>71</v>
      </c>
      <c r="I3059" s="2" t="s">
        <v>76</v>
      </c>
      <c r="J3059" s="9">
        <v>127162496</v>
      </c>
      <c r="K3059" s="7">
        <v>6.2500000000000001E-5</v>
      </c>
      <c r="L3059" s="9">
        <v>7947.66</v>
      </c>
      <c r="M3059" s="9">
        <v>7947.66</v>
      </c>
      <c r="N3059" s="9">
        <v>4.37</v>
      </c>
      <c r="O3059" s="10">
        <f>IF(AND(OR(H3059="APPROVED",H3059="SCHEDULED"),COUNTIFS(tblSource[EventID],F3059,tblSource[ReleaseStatus],"APPROVED")=1,COUNTIFS(Period_Status!$A$2:$A$8,G3059,Period_Status!$B$2:$B$8,"ActualClosed")=1,C3059&gt;EOMONTH(Settlement_Bridge!$C$2,0)),1,0)</f>
        <v>0</v>
      </c>
      <c r="P3059" s="2" t="s">
        <v>8495</v>
      </c>
    </row>
    <row r="3060" spans="1:16" x14ac:dyDescent="0.25">
      <c r="A3060" s="2" t="s">
        <v>8496</v>
      </c>
      <c r="B3060" s="2" t="s">
        <v>7433</v>
      </c>
      <c r="C3060" s="8">
        <v>46217</v>
      </c>
      <c r="D3060" s="6">
        <v>46204</v>
      </c>
      <c r="E3060" s="2" t="s">
        <v>260</v>
      </c>
      <c r="F3060" s="2" t="s">
        <v>8494</v>
      </c>
      <c r="G3060" s="6">
        <v>46174</v>
      </c>
      <c r="H3060" s="2" t="s">
        <v>71</v>
      </c>
      <c r="I3060" s="2" t="s">
        <v>76</v>
      </c>
      <c r="J3060" s="9">
        <v>190743744</v>
      </c>
      <c r="K3060" s="7">
        <v>6.2000000000000003E-5</v>
      </c>
      <c r="L3060" s="9">
        <v>11826.11</v>
      </c>
      <c r="M3060" s="9">
        <v>11921.48</v>
      </c>
      <c r="N3060" s="9">
        <v>6.5</v>
      </c>
      <c r="O3060" s="10">
        <f>IF(AND(OR(H3060="APPROVED",H3060="SCHEDULED"),COUNTIFS(tblSource[EventID],F3060,tblSource[ReleaseStatus],"APPROVED")=1,COUNTIFS(Period_Status!$A$2:$A$8,G3060,Period_Status!$B$2:$B$8,"ActualClosed")=1,C3060&gt;EOMONTH(Settlement_Bridge!$C$2,0)),1,0)</f>
        <v>0</v>
      </c>
      <c r="P3060" s="2" t="s">
        <v>8497</v>
      </c>
    </row>
    <row r="3061" spans="1:16" x14ac:dyDescent="0.25">
      <c r="A3061" s="2" t="s">
        <v>8498</v>
      </c>
      <c r="B3061" s="2" t="s">
        <v>7433</v>
      </c>
      <c r="C3061" s="8">
        <v>46193</v>
      </c>
      <c r="D3061" s="6">
        <v>46174</v>
      </c>
      <c r="E3061" s="2" t="s">
        <v>260</v>
      </c>
      <c r="F3061" s="2" t="s">
        <v>8499</v>
      </c>
      <c r="G3061" s="6">
        <v>46174</v>
      </c>
      <c r="H3061" s="2" t="s">
        <v>71</v>
      </c>
      <c r="I3061" s="2" t="s">
        <v>70</v>
      </c>
      <c r="J3061" s="9">
        <v>12117.864662</v>
      </c>
      <c r="K3061" s="7">
        <v>0.66500000000000004</v>
      </c>
      <c r="L3061" s="9">
        <v>8058.38</v>
      </c>
      <c r="M3061" s="9">
        <v>8058.38</v>
      </c>
      <c r="N3061" s="9">
        <v>4.43</v>
      </c>
      <c r="O3061" s="10">
        <f>IF(AND(OR(H3061="APPROVED",H3061="SCHEDULED"),COUNTIFS(tblSource[EventID],F3061,tblSource[ReleaseStatus],"APPROVED")=1,COUNTIFS(Period_Status!$A$2:$A$8,G3061,Period_Status!$B$2:$B$8,"ActualClosed")=1,C3061&gt;EOMONTH(Settlement_Bridge!$C$2,0)),1,0)</f>
        <v>0</v>
      </c>
      <c r="P3061" s="2" t="s">
        <v>8500</v>
      </c>
    </row>
    <row r="3062" spans="1:16" x14ac:dyDescent="0.25">
      <c r="A3062" s="2" t="s">
        <v>8501</v>
      </c>
      <c r="B3062" s="2" t="s">
        <v>7433</v>
      </c>
      <c r="C3062" s="8">
        <v>46218</v>
      </c>
      <c r="D3062" s="6">
        <v>46204</v>
      </c>
      <c r="E3062" s="2" t="s">
        <v>260</v>
      </c>
      <c r="F3062" s="2" t="s">
        <v>8499</v>
      </c>
      <c r="G3062" s="6">
        <v>46174</v>
      </c>
      <c r="H3062" s="2" t="s">
        <v>71</v>
      </c>
      <c r="I3062" s="2" t="s">
        <v>70</v>
      </c>
      <c r="J3062" s="9">
        <v>18176.796992</v>
      </c>
      <c r="K3062" s="7">
        <v>0.65800000000000003</v>
      </c>
      <c r="L3062" s="9">
        <v>11960.33</v>
      </c>
      <c r="M3062" s="9">
        <v>12087.57</v>
      </c>
      <c r="N3062" s="9">
        <v>6.58</v>
      </c>
      <c r="O3062" s="10">
        <f>IF(AND(OR(H3062="APPROVED",H3062="SCHEDULED"),COUNTIFS(tblSource[EventID],F3062,tblSource[ReleaseStatus],"APPROVED")=1,COUNTIFS(Period_Status!$A$2:$A$8,G3062,Period_Status!$B$2:$B$8,"ActualClosed")=1,C3062&gt;EOMONTH(Settlement_Bridge!$C$2,0)),1,0)</f>
        <v>0</v>
      </c>
      <c r="P3062" s="2" t="s">
        <v>8502</v>
      </c>
    </row>
    <row r="3063" spans="1:16" x14ac:dyDescent="0.25">
      <c r="A3063" s="2" t="s">
        <v>8503</v>
      </c>
      <c r="B3063" s="2" t="s">
        <v>7433</v>
      </c>
      <c r="C3063" s="8">
        <v>46194</v>
      </c>
      <c r="D3063" s="6">
        <v>46174</v>
      </c>
      <c r="E3063" s="2" t="s">
        <v>260</v>
      </c>
      <c r="F3063" s="2" t="s">
        <v>8504</v>
      </c>
      <c r="G3063" s="6">
        <v>46174</v>
      </c>
      <c r="H3063" s="2" t="s">
        <v>71</v>
      </c>
      <c r="I3063" s="2" t="s">
        <v>39</v>
      </c>
      <c r="J3063" s="9">
        <v>8169.1080000000002</v>
      </c>
      <c r="K3063" s="7">
        <v>1</v>
      </c>
      <c r="L3063" s="9">
        <v>8169.11</v>
      </c>
      <c r="M3063" s="9">
        <v>8169.11</v>
      </c>
      <c r="N3063" s="9">
        <v>4.49</v>
      </c>
      <c r="O3063" s="10">
        <f>IF(AND(OR(H3063="APPROVED",H3063="SCHEDULED"),COUNTIFS(tblSource[EventID],F3063,tblSource[ReleaseStatus],"APPROVED")=1,COUNTIFS(Period_Status!$A$2:$A$8,G3063,Period_Status!$B$2:$B$8,"ActualClosed")=1,C3063&gt;EOMONTH(Settlement_Bridge!$C$2,0)),1,0)</f>
        <v>0</v>
      </c>
      <c r="P3063" s="2" t="s">
        <v>8505</v>
      </c>
    </row>
    <row r="3064" spans="1:16" x14ac:dyDescent="0.25">
      <c r="A3064" s="2" t="s">
        <v>8506</v>
      </c>
      <c r="B3064" s="2" t="s">
        <v>7433</v>
      </c>
      <c r="C3064" s="8">
        <v>46219</v>
      </c>
      <c r="D3064" s="6">
        <v>46204</v>
      </c>
      <c r="E3064" s="2" t="s">
        <v>260</v>
      </c>
      <c r="F3064" s="2" t="s">
        <v>8504</v>
      </c>
      <c r="G3064" s="6">
        <v>46174</v>
      </c>
      <c r="H3064" s="2" t="s">
        <v>71</v>
      </c>
      <c r="I3064" s="2" t="s">
        <v>39</v>
      </c>
      <c r="J3064" s="9">
        <v>12253.662</v>
      </c>
      <c r="K3064" s="7">
        <v>1</v>
      </c>
      <c r="L3064" s="9">
        <v>12253.66</v>
      </c>
      <c r="M3064" s="9">
        <v>12253.66</v>
      </c>
      <c r="N3064" s="9">
        <v>6.74</v>
      </c>
      <c r="O3064" s="10">
        <f>IF(AND(OR(H3064="APPROVED",H3064="SCHEDULED"),COUNTIFS(tblSource[EventID],F3064,tblSource[ReleaseStatus],"APPROVED")=1,COUNTIFS(Period_Status!$A$2:$A$8,G3064,Period_Status!$B$2:$B$8,"ActualClosed")=1,C3064&gt;EOMONTH(Settlement_Bridge!$C$2,0)),1,0)</f>
        <v>0</v>
      </c>
      <c r="P3064" s="2" t="s">
        <v>8507</v>
      </c>
    </row>
    <row r="3065" spans="1:16" x14ac:dyDescent="0.25">
      <c r="A3065" s="2" t="s">
        <v>8508</v>
      </c>
      <c r="B3065" s="2" t="s">
        <v>7433</v>
      </c>
      <c r="C3065" s="8">
        <v>46195</v>
      </c>
      <c r="D3065" s="6">
        <v>46174</v>
      </c>
      <c r="E3065" s="2" t="s">
        <v>260</v>
      </c>
      <c r="F3065" s="2" t="s">
        <v>8509</v>
      </c>
      <c r="G3065" s="6">
        <v>46174</v>
      </c>
      <c r="H3065" s="2" t="s">
        <v>71</v>
      </c>
      <c r="I3065" s="2" t="s">
        <v>76</v>
      </c>
      <c r="J3065" s="9">
        <v>132477312</v>
      </c>
      <c r="K3065" s="7">
        <v>6.2500000000000001E-5</v>
      </c>
      <c r="L3065" s="9">
        <v>8279.83</v>
      </c>
      <c r="M3065" s="9">
        <v>8279.83</v>
      </c>
      <c r="N3065" s="9">
        <v>4.55</v>
      </c>
      <c r="O3065" s="10">
        <f>IF(AND(OR(H3065="APPROVED",H3065="SCHEDULED"),COUNTIFS(tblSource[EventID],F3065,tblSource[ReleaseStatus],"APPROVED")=1,COUNTIFS(Period_Status!$A$2:$A$8,G3065,Period_Status!$B$2:$B$8,"ActualClosed")=1,C3065&gt;EOMONTH(Settlement_Bridge!$C$2,0)),1,0)</f>
        <v>0</v>
      </c>
      <c r="P3065" s="2" t="s">
        <v>8510</v>
      </c>
    </row>
    <row r="3066" spans="1:16" x14ac:dyDescent="0.25">
      <c r="A3066" s="2" t="s">
        <v>8511</v>
      </c>
      <c r="B3066" s="2" t="s">
        <v>7433</v>
      </c>
      <c r="C3066" s="8">
        <v>46220</v>
      </c>
      <c r="D3066" s="6">
        <v>46204</v>
      </c>
      <c r="E3066" s="2" t="s">
        <v>260</v>
      </c>
      <c r="F3066" s="2" t="s">
        <v>8509</v>
      </c>
      <c r="G3066" s="6">
        <v>46174</v>
      </c>
      <c r="H3066" s="2" t="s">
        <v>71</v>
      </c>
      <c r="I3066" s="2" t="s">
        <v>76</v>
      </c>
      <c r="J3066" s="9">
        <v>198715968</v>
      </c>
      <c r="K3066" s="7">
        <v>6.2000000000000003E-5</v>
      </c>
      <c r="L3066" s="9">
        <v>12320.39</v>
      </c>
      <c r="M3066" s="9">
        <v>12419.75</v>
      </c>
      <c r="N3066" s="9">
        <v>6.78</v>
      </c>
      <c r="O3066" s="10">
        <f>IF(AND(OR(H3066="APPROVED",H3066="SCHEDULED"),COUNTIFS(tblSource[EventID],F3066,tblSource[ReleaseStatus],"APPROVED")=1,COUNTIFS(Period_Status!$A$2:$A$8,G3066,Period_Status!$B$2:$B$8,"ActualClosed")=1,C3066&gt;EOMONTH(Settlement_Bridge!$C$2,0)),1,0)</f>
        <v>0</v>
      </c>
      <c r="P3066" s="2" t="s">
        <v>8512</v>
      </c>
    </row>
    <row r="3067" spans="1:16" x14ac:dyDescent="0.25">
      <c r="A3067" s="2" t="s">
        <v>8513</v>
      </c>
      <c r="B3067" s="2" t="s">
        <v>7433</v>
      </c>
      <c r="C3067" s="8">
        <v>46196</v>
      </c>
      <c r="D3067" s="6">
        <v>46174</v>
      </c>
      <c r="E3067" s="2" t="s">
        <v>260</v>
      </c>
      <c r="F3067" s="2" t="s">
        <v>8514</v>
      </c>
      <c r="G3067" s="6">
        <v>46174</v>
      </c>
      <c r="H3067" s="2" t="s">
        <v>71</v>
      </c>
      <c r="I3067" s="2" t="s">
        <v>70</v>
      </c>
      <c r="J3067" s="9">
        <v>12617.383459000001</v>
      </c>
      <c r="K3067" s="7">
        <v>0.66500000000000004</v>
      </c>
      <c r="L3067" s="9">
        <v>8390.56</v>
      </c>
      <c r="M3067" s="9">
        <v>8390.56</v>
      </c>
      <c r="N3067" s="9">
        <v>4.6100000000000003</v>
      </c>
      <c r="O3067" s="10">
        <f>IF(AND(OR(H3067="APPROVED",H3067="SCHEDULED"),COUNTIFS(tblSource[EventID],F3067,tblSource[ReleaseStatus],"APPROVED")=1,COUNTIFS(Period_Status!$A$2:$A$8,G3067,Period_Status!$B$2:$B$8,"ActualClosed")=1,C3067&gt;EOMONTH(Settlement_Bridge!$C$2,0)),1,0)</f>
        <v>0</v>
      </c>
      <c r="P3067" s="2" t="s">
        <v>8515</v>
      </c>
    </row>
    <row r="3068" spans="1:16" x14ac:dyDescent="0.25">
      <c r="A3068" s="2" t="s">
        <v>8516</v>
      </c>
      <c r="B3068" s="2" t="s">
        <v>7433</v>
      </c>
      <c r="C3068" s="8">
        <v>46221</v>
      </c>
      <c r="D3068" s="6">
        <v>46204</v>
      </c>
      <c r="E3068" s="2" t="s">
        <v>260</v>
      </c>
      <c r="F3068" s="2" t="s">
        <v>8514</v>
      </c>
      <c r="G3068" s="6">
        <v>46174</v>
      </c>
      <c r="H3068" s="2" t="s">
        <v>71</v>
      </c>
      <c r="I3068" s="2" t="s">
        <v>70</v>
      </c>
      <c r="J3068" s="9">
        <v>18926.075187999999</v>
      </c>
      <c r="K3068" s="7">
        <v>0.65800000000000003</v>
      </c>
      <c r="L3068" s="9">
        <v>12453.36</v>
      </c>
      <c r="M3068" s="9">
        <v>12585.84</v>
      </c>
      <c r="N3068" s="9">
        <v>6.85</v>
      </c>
      <c r="O3068" s="10">
        <f>IF(AND(OR(H3068="APPROVED",H3068="SCHEDULED"),COUNTIFS(tblSource[EventID],F3068,tblSource[ReleaseStatus],"APPROVED")=1,COUNTIFS(Period_Status!$A$2:$A$8,G3068,Period_Status!$B$2:$B$8,"ActualClosed")=1,C3068&gt;EOMONTH(Settlement_Bridge!$C$2,0)),1,0)</f>
        <v>0</v>
      </c>
      <c r="P3068" s="2" t="s">
        <v>8517</v>
      </c>
    </row>
    <row r="3069" spans="1:16" x14ac:dyDescent="0.25">
      <c r="A3069" s="2" t="s">
        <v>8518</v>
      </c>
      <c r="B3069" s="2" t="s">
        <v>7433</v>
      </c>
      <c r="C3069" s="8">
        <v>46197</v>
      </c>
      <c r="D3069" s="6">
        <v>46174</v>
      </c>
      <c r="E3069" s="2" t="s">
        <v>260</v>
      </c>
      <c r="F3069" s="2" t="s">
        <v>8519</v>
      </c>
      <c r="G3069" s="6">
        <v>46174</v>
      </c>
      <c r="H3069" s="2" t="s">
        <v>71</v>
      </c>
      <c r="I3069" s="2" t="s">
        <v>39</v>
      </c>
      <c r="J3069" s="9">
        <v>8501.2880000000005</v>
      </c>
      <c r="K3069" s="7">
        <v>1</v>
      </c>
      <c r="L3069" s="9">
        <v>8501.2900000000009</v>
      </c>
      <c r="M3069" s="9">
        <v>8501.2900000000009</v>
      </c>
      <c r="N3069" s="9">
        <v>4.68</v>
      </c>
      <c r="O3069" s="10">
        <f>IF(AND(OR(H3069="APPROVED",H3069="SCHEDULED"),COUNTIFS(tblSource[EventID],F3069,tblSource[ReleaseStatus],"APPROVED")=1,COUNTIFS(Period_Status!$A$2:$A$8,G3069,Period_Status!$B$2:$B$8,"ActualClosed")=1,C3069&gt;EOMONTH(Settlement_Bridge!$C$2,0)),1,0)</f>
        <v>0</v>
      </c>
      <c r="P3069" s="2" t="s">
        <v>8520</v>
      </c>
    </row>
    <row r="3070" spans="1:16" x14ac:dyDescent="0.25">
      <c r="A3070" s="2" t="s">
        <v>8521</v>
      </c>
      <c r="B3070" s="2" t="s">
        <v>7433</v>
      </c>
      <c r="C3070" s="8">
        <v>46222</v>
      </c>
      <c r="D3070" s="6">
        <v>46204</v>
      </c>
      <c r="E3070" s="2" t="s">
        <v>260</v>
      </c>
      <c r="F3070" s="2" t="s">
        <v>8519</v>
      </c>
      <c r="G3070" s="6">
        <v>46174</v>
      </c>
      <c r="H3070" s="2" t="s">
        <v>71</v>
      </c>
      <c r="I3070" s="2" t="s">
        <v>39</v>
      </c>
      <c r="J3070" s="9">
        <v>12751.932000000001</v>
      </c>
      <c r="K3070" s="7">
        <v>1</v>
      </c>
      <c r="L3070" s="9">
        <v>12751.93</v>
      </c>
      <c r="M3070" s="9">
        <v>12751.93</v>
      </c>
      <c r="N3070" s="9">
        <v>7.01</v>
      </c>
      <c r="O3070" s="10">
        <f>IF(AND(OR(H3070="APPROVED",H3070="SCHEDULED"),COUNTIFS(tblSource[EventID],F3070,tblSource[ReleaseStatus],"APPROVED")=1,COUNTIFS(Period_Status!$A$2:$A$8,G3070,Period_Status!$B$2:$B$8,"ActualClosed")=1,C3070&gt;EOMONTH(Settlement_Bridge!$C$2,0)),1,0)</f>
        <v>0</v>
      </c>
      <c r="P3070" s="2" t="s">
        <v>8522</v>
      </c>
    </row>
    <row r="3071" spans="1:16" x14ac:dyDescent="0.25">
      <c r="A3071" s="2" t="s">
        <v>8523</v>
      </c>
      <c r="B3071" s="2" t="s">
        <v>7433</v>
      </c>
      <c r="C3071" s="8">
        <v>46198</v>
      </c>
      <c r="D3071" s="6">
        <v>46174</v>
      </c>
      <c r="E3071" s="2" t="s">
        <v>260</v>
      </c>
      <c r="F3071" s="2" t="s">
        <v>8524</v>
      </c>
      <c r="G3071" s="6">
        <v>46174</v>
      </c>
      <c r="H3071" s="2" t="s">
        <v>71</v>
      </c>
      <c r="I3071" s="2" t="s">
        <v>76</v>
      </c>
      <c r="J3071" s="9">
        <v>137792192</v>
      </c>
      <c r="K3071" s="7">
        <v>6.2500000000000001E-5</v>
      </c>
      <c r="L3071" s="9">
        <v>8612.01</v>
      </c>
      <c r="M3071" s="9">
        <v>8612.01</v>
      </c>
      <c r="N3071" s="9">
        <v>4.74</v>
      </c>
      <c r="O3071" s="10">
        <f>IF(AND(OR(H3071="APPROVED",H3071="SCHEDULED"),COUNTIFS(tblSource[EventID],F3071,tblSource[ReleaseStatus],"APPROVED")=1,COUNTIFS(Period_Status!$A$2:$A$8,G3071,Period_Status!$B$2:$B$8,"ActualClosed")=1,C3071&gt;EOMONTH(Settlement_Bridge!$C$2,0)),1,0)</f>
        <v>0</v>
      </c>
      <c r="P3071" s="2" t="s">
        <v>8525</v>
      </c>
    </row>
    <row r="3072" spans="1:16" x14ac:dyDescent="0.25">
      <c r="A3072" s="2" t="s">
        <v>8526</v>
      </c>
      <c r="B3072" s="2" t="s">
        <v>7433</v>
      </c>
      <c r="C3072" s="8">
        <v>46223</v>
      </c>
      <c r="D3072" s="6">
        <v>46204</v>
      </c>
      <c r="E3072" s="2" t="s">
        <v>260</v>
      </c>
      <c r="F3072" s="2" t="s">
        <v>8524</v>
      </c>
      <c r="G3072" s="6">
        <v>46174</v>
      </c>
      <c r="H3072" s="2" t="s">
        <v>71</v>
      </c>
      <c r="I3072" s="2" t="s">
        <v>76</v>
      </c>
      <c r="J3072" s="9">
        <v>206688288</v>
      </c>
      <c r="K3072" s="7">
        <v>6.2000000000000003E-5</v>
      </c>
      <c r="L3072" s="9">
        <v>12814.67</v>
      </c>
      <c r="M3072" s="9">
        <v>12918.02</v>
      </c>
      <c r="N3072" s="9">
        <v>7.05</v>
      </c>
      <c r="O3072" s="10">
        <f>IF(AND(OR(H3072="APPROVED",H3072="SCHEDULED"),COUNTIFS(tblSource[EventID],F3072,tblSource[ReleaseStatus],"APPROVED")=1,COUNTIFS(Period_Status!$A$2:$A$8,G3072,Period_Status!$B$2:$B$8,"ActualClosed")=1,C3072&gt;EOMONTH(Settlement_Bridge!$C$2,0)),1,0)</f>
        <v>0</v>
      </c>
      <c r="P3072" s="2" t="s">
        <v>8527</v>
      </c>
    </row>
    <row r="3073" spans="1:16" x14ac:dyDescent="0.25">
      <c r="A3073" s="2" t="s">
        <v>8528</v>
      </c>
      <c r="B3073" s="2" t="s">
        <v>7433</v>
      </c>
      <c r="C3073" s="8">
        <v>46199</v>
      </c>
      <c r="D3073" s="6">
        <v>46174</v>
      </c>
      <c r="E3073" s="2" t="s">
        <v>260</v>
      </c>
      <c r="F3073" s="2" t="s">
        <v>8529</v>
      </c>
      <c r="G3073" s="6">
        <v>46174</v>
      </c>
      <c r="H3073" s="2" t="s">
        <v>71</v>
      </c>
      <c r="I3073" s="2" t="s">
        <v>70</v>
      </c>
      <c r="J3073" s="9">
        <v>13116.902255999999</v>
      </c>
      <c r="K3073" s="7">
        <v>0.66500000000000004</v>
      </c>
      <c r="L3073" s="9">
        <v>8722.74</v>
      </c>
      <c r="M3073" s="9">
        <v>8722.74</v>
      </c>
      <c r="N3073" s="9">
        <v>4.8</v>
      </c>
      <c r="O3073" s="10">
        <f>IF(AND(OR(H3073="APPROVED",H3073="SCHEDULED"),COUNTIFS(tblSource[EventID],F3073,tblSource[ReleaseStatus],"APPROVED")=1,COUNTIFS(Period_Status!$A$2:$A$8,G3073,Period_Status!$B$2:$B$8,"ActualClosed")=1,C3073&gt;EOMONTH(Settlement_Bridge!$C$2,0)),1,0)</f>
        <v>0</v>
      </c>
      <c r="P3073" s="2" t="s">
        <v>8530</v>
      </c>
    </row>
    <row r="3074" spans="1:16" x14ac:dyDescent="0.25">
      <c r="A3074" s="2" t="s">
        <v>8531</v>
      </c>
      <c r="B3074" s="2" t="s">
        <v>7433</v>
      </c>
      <c r="C3074" s="8">
        <v>46224</v>
      </c>
      <c r="D3074" s="6">
        <v>46204</v>
      </c>
      <c r="E3074" s="2" t="s">
        <v>260</v>
      </c>
      <c r="F3074" s="2" t="s">
        <v>8529</v>
      </c>
      <c r="G3074" s="6">
        <v>46174</v>
      </c>
      <c r="H3074" s="2" t="s">
        <v>71</v>
      </c>
      <c r="I3074" s="2" t="s">
        <v>70</v>
      </c>
      <c r="J3074" s="9">
        <v>19675.353383000001</v>
      </c>
      <c r="K3074" s="7">
        <v>0.65800000000000003</v>
      </c>
      <c r="L3074" s="9">
        <v>12946.38</v>
      </c>
      <c r="M3074" s="9">
        <v>13084.11</v>
      </c>
      <c r="N3074" s="9">
        <v>7.12</v>
      </c>
      <c r="O3074" s="10">
        <f>IF(AND(OR(H3074="APPROVED",H3074="SCHEDULED"),COUNTIFS(tblSource[EventID],F3074,tblSource[ReleaseStatus],"APPROVED")=1,COUNTIFS(Period_Status!$A$2:$A$8,G3074,Period_Status!$B$2:$B$8,"ActualClosed")=1,C3074&gt;EOMONTH(Settlement_Bridge!$C$2,0)),1,0)</f>
        <v>0</v>
      </c>
      <c r="P3074" s="2" t="s">
        <v>8532</v>
      </c>
    </row>
    <row r="3075" spans="1:16" x14ac:dyDescent="0.25">
      <c r="A3075" s="2" t="s">
        <v>8533</v>
      </c>
      <c r="B3075" s="2" t="s">
        <v>7433</v>
      </c>
      <c r="C3075" s="8">
        <v>46200</v>
      </c>
      <c r="D3075" s="6">
        <v>46174</v>
      </c>
      <c r="E3075" s="2" t="s">
        <v>260</v>
      </c>
      <c r="F3075" s="2" t="s">
        <v>8534</v>
      </c>
      <c r="G3075" s="6">
        <v>46174</v>
      </c>
      <c r="H3075" s="2" t="s">
        <v>71</v>
      </c>
      <c r="I3075" s="2" t="s">
        <v>39</v>
      </c>
      <c r="J3075" s="9">
        <v>8833.4639999999999</v>
      </c>
      <c r="K3075" s="7">
        <v>1</v>
      </c>
      <c r="L3075" s="9">
        <v>8833.4599999999991</v>
      </c>
      <c r="M3075" s="9">
        <v>8833.4599999999991</v>
      </c>
      <c r="N3075" s="9">
        <v>4.8600000000000003</v>
      </c>
      <c r="O3075" s="10">
        <f>IF(AND(OR(H3075="APPROVED",H3075="SCHEDULED"),COUNTIFS(tblSource[EventID],F3075,tblSource[ReleaseStatus],"APPROVED")=1,COUNTIFS(Period_Status!$A$2:$A$8,G3075,Period_Status!$B$2:$B$8,"ActualClosed")=1,C3075&gt;EOMONTH(Settlement_Bridge!$C$2,0)),1,0)</f>
        <v>0</v>
      </c>
      <c r="P3075" s="2" t="s">
        <v>8535</v>
      </c>
    </row>
    <row r="3076" spans="1:16" x14ac:dyDescent="0.25">
      <c r="A3076" s="2" t="s">
        <v>8536</v>
      </c>
      <c r="B3076" s="2" t="s">
        <v>7433</v>
      </c>
      <c r="C3076" s="8">
        <v>46225</v>
      </c>
      <c r="D3076" s="6">
        <v>46204</v>
      </c>
      <c r="E3076" s="2" t="s">
        <v>260</v>
      </c>
      <c r="F3076" s="2" t="s">
        <v>8534</v>
      </c>
      <c r="G3076" s="6">
        <v>46174</v>
      </c>
      <c r="H3076" s="2" t="s">
        <v>71</v>
      </c>
      <c r="I3076" s="2" t="s">
        <v>39</v>
      </c>
      <c r="J3076" s="9">
        <v>13250.196</v>
      </c>
      <c r="K3076" s="7">
        <v>1</v>
      </c>
      <c r="L3076" s="9">
        <v>13250.2</v>
      </c>
      <c r="M3076" s="9">
        <v>13250.2</v>
      </c>
      <c r="N3076" s="9">
        <v>7.29</v>
      </c>
      <c r="O3076" s="10">
        <f>IF(AND(OR(H3076="APPROVED",H3076="SCHEDULED"),COUNTIFS(tblSource[EventID],F3076,tblSource[ReleaseStatus],"APPROVED")=1,COUNTIFS(Period_Status!$A$2:$A$8,G3076,Period_Status!$B$2:$B$8,"ActualClosed")=1,C3076&gt;EOMONTH(Settlement_Bridge!$C$2,0)),1,0)</f>
        <v>0</v>
      </c>
      <c r="P3076" s="2" t="s">
        <v>8537</v>
      </c>
    </row>
    <row r="3077" spans="1:16" x14ac:dyDescent="0.25">
      <c r="A3077" s="2" t="s">
        <v>8538</v>
      </c>
      <c r="B3077" s="2" t="s">
        <v>7433</v>
      </c>
      <c r="C3077" s="8">
        <v>46201</v>
      </c>
      <c r="D3077" s="6">
        <v>46174</v>
      </c>
      <c r="E3077" s="2" t="s">
        <v>260</v>
      </c>
      <c r="F3077" s="2" t="s">
        <v>8539</v>
      </c>
      <c r="G3077" s="6">
        <v>46174</v>
      </c>
      <c r="H3077" s="2" t="s">
        <v>71</v>
      </c>
      <c r="I3077" s="2" t="s">
        <v>76</v>
      </c>
      <c r="J3077" s="9">
        <v>143107072</v>
      </c>
      <c r="K3077" s="7">
        <v>6.2500000000000001E-5</v>
      </c>
      <c r="L3077" s="9">
        <v>8944.19</v>
      </c>
      <c r="M3077" s="9">
        <v>8944.19</v>
      </c>
      <c r="N3077" s="9">
        <v>4.92</v>
      </c>
      <c r="O3077" s="10">
        <f>IF(AND(OR(H3077="APPROVED",H3077="SCHEDULED"),COUNTIFS(tblSource[EventID],F3077,tblSource[ReleaseStatus],"APPROVED")=1,COUNTIFS(Period_Status!$A$2:$A$8,G3077,Period_Status!$B$2:$B$8,"ActualClosed")=1,C3077&gt;EOMONTH(Settlement_Bridge!$C$2,0)),1,0)</f>
        <v>0</v>
      </c>
      <c r="P3077" s="2" t="s">
        <v>8540</v>
      </c>
    </row>
    <row r="3078" spans="1:16" x14ac:dyDescent="0.25">
      <c r="A3078" s="2" t="s">
        <v>8541</v>
      </c>
      <c r="B3078" s="2" t="s">
        <v>7433</v>
      </c>
      <c r="C3078" s="8">
        <v>46226</v>
      </c>
      <c r="D3078" s="6">
        <v>46204</v>
      </c>
      <c r="E3078" s="2" t="s">
        <v>260</v>
      </c>
      <c r="F3078" s="2" t="s">
        <v>8539</v>
      </c>
      <c r="G3078" s="6">
        <v>46174</v>
      </c>
      <c r="H3078" s="2" t="s">
        <v>71</v>
      </c>
      <c r="I3078" s="2" t="s">
        <v>76</v>
      </c>
      <c r="J3078" s="9">
        <v>214660608</v>
      </c>
      <c r="K3078" s="7">
        <v>6.2000000000000003E-5</v>
      </c>
      <c r="L3078" s="9">
        <v>13308.96</v>
      </c>
      <c r="M3078" s="9">
        <v>13416.29</v>
      </c>
      <c r="N3078" s="9">
        <v>7.32</v>
      </c>
      <c r="O3078" s="10">
        <f>IF(AND(OR(H3078="APPROVED",H3078="SCHEDULED"),COUNTIFS(tblSource[EventID],F3078,tblSource[ReleaseStatus],"APPROVED")=1,COUNTIFS(Period_Status!$A$2:$A$8,G3078,Period_Status!$B$2:$B$8,"ActualClosed")=1,C3078&gt;EOMONTH(Settlement_Bridge!$C$2,0)),1,0)</f>
        <v>0</v>
      </c>
      <c r="P3078" s="2" t="s">
        <v>8542</v>
      </c>
    </row>
    <row r="3079" spans="1:16" x14ac:dyDescent="0.25">
      <c r="A3079" s="2" t="s">
        <v>8543</v>
      </c>
      <c r="B3079" s="2" t="s">
        <v>7433</v>
      </c>
      <c r="C3079" s="8">
        <v>46202</v>
      </c>
      <c r="D3079" s="6">
        <v>46174</v>
      </c>
      <c r="E3079" s="2" t="s">
        <v>260</v>
      </c>
      <c r="F3079" s="2" t="s">
        <v>8544</v>
      </c>
      <c r="G3079" s="6">
        <v>46174</v>
      </c>
      <c r="H3079" s="2" t="s">
        <v>71</v>
      </c>
      <c r="I3079" s="2" t="s">
        <v>70</v>
      </c>
      <c r="J3079" s="9">
        <v>13616.421053</v>
      </c>
      <c r="K3079" s="7">
        <v>0.66500000000000004</v>
      </c>
      <c r="L3079" s="9">
        <v>9054.92</v>
      </c>
      <c r="M3079" s="9">
        <v>9054.92</v>
      </c>
      <c r="N3079" s="9">
        <v>4.9800000000000004</v>
      </c>
      <c r="O3079" s="10">
        <f>IF(AND(OR(H3079="APPROVED",H3079="SCHEDULED"),COUNTIFS(tblSource[EventID],F3079,tblSource[ReleaseStatus],"APPROVED")=1,COUNTIFS(Period_Status!$A$2:$A$8,G3079,Period_Status!$B$2:$B$8,"ActualClosed")=1,C3079&gt;EOMONTH(Settlement_Bridge!$C$2,0)),1,0)</f>
        <v>0</v>
      </c>
      <c r="P3079" s="2" t="s">
        <v>8545</v>
      </c>
    </row>
    <row r="3080" spans="1:16" x14ac:dyDescent="0.25">
      <c r="A3080" s="2" t="s">
        <v>8546</v>
      </c>
      <c r="B3080" s="2" t="s">
        <v>7433</v>
      </c>
      <c r="C3080" s="8">
        <v>46227</v>
      </c>
      <c r="D3080" s="6">
        <v>46204</v>
      </c>
      <c r="E3080" s="2" t="s">
        <v>260</v>
      </c>
      <c r="F3080" s="2" t="s">
        <v>8544</v>
      </c>
      <c r="G3080" s="6">
        <v>46174</v>
      </c>
      <c r="H3080" s="2" t="s">
        <v>71</v>
      </c>
      <c r="I3080" s="2" t="s">
        <v>70</v>
      </c>
      <c r="J3080" s="9">
        <v>20424.631579000001</v>
      </c>
      <c r="K3080" s="7">
        <v>0.65800000000000003</v>
      </c>
      <c r="L3080" s="9">
        <v>13439.41</v>
      </c>
      <c r="M3080" s="9">
        <v>13582.38</v>
      </c>
      <c r="N3080" s="9">
        <v>7.39</v>
      </c>
      <c r="O3080" s="10">
        <f>IF(AND(OR(H3080="APPROVED",H3080="SCHEDULED"),COUNTIFS(tblSource[EventID],F3080,tblSource[ReleaseStatus],"APPROVED")=1,COUNTIFS(Period_Status!$A$2:$A$8,G3080,Period_Status!$B$2:$B$8,"ActualClosed")=1,C3080&gt;EOMONTH(Settlement_Bridge!$C$2,0)),1,0)</f>
        <v>0</v>
      </c>
      <c r="P3080" s="2" t="s">
        <v>8547</v>
      </c>
    </row>
    <row r="3081" spans="1:16" x14ac:dyDescent="0.25">
      <c r="A3081" s="2" t="s">
        <v>8548</v>
      </c>
      <c r="B3081" s="2" t="s">
        <v>7433</v>
      </c>
      <c r="C3081" s="8">
        <v>46203</v>
      </c>
      <c r="D3081" s="6">
        <v>46174</v>
      </c>
      <c r="E3081" s="2" t="s">
        <v>260</v>
      </c>
      <c r="F3081" s="2" t="s">
        <v>8549</v>
      </c>
      <c r="G3081" s="6">
        <v>46174</v>
      </c>
      <c r="H3081" s="2" t="s">
        <v>71</v>
      </c>
      <c r="I3081" s="2" t="s">
        <v>39</v>
      </c>
      <c r="J3081" s="9">
        <v>9165.6440000000002</v>
      </c>
      <c r="K3081" s="7">
        <v>1</v>
      </c>
      <c r="L3081" s="9">
        <v>9165.64</v>
      </c>
      <c r="M3081" s="9">
        <v>9165.64</v>
      </c>
      <c r="N3081" s="9">
        <v>5.04</v>
      </c>
      <c r="O3081" s="10">
        <f>IF(AND(OR(H3081="APPROVED",H3081="SCHEDULED"),COUNTIFS(tblSource[EventID],F3081,tblSource[ReleaseStatus],"APPROVED")=1,COUNTIFS(Period_Status!$A$2:$A$8,G3081,Period_Status!$B$2:$B$8,"ActualClosed")=1,C3081&gt;EOMONTH(Settlement_Bridge!$C$2,0)),1,0)</f>
        <v>0</v>
      </c>
      <c r="P3081" s="2" t="s">
        <v>8550</v>
      </c>
    </row>
    <row r="3082" spans="1:16" x14ac:dyDescent="0.25">
      <c r="A3082" s="2" t="s">
        <v>8551</v>
      </c>
      <c r="B3082" s="2" t="s">
        <v>7433</v>
      </c>
      <c r="C3082" s="8">
        <v>46228</v>
      </c>
      <c r="D3082" s="6">
        <v>46204</v>
      </c>
      <c r="E3082" s="2" t="s">
        <v>260</v>
      </c>
      <c r="F3082" s="2" t="s">
        <v>8549</v>
      </c>
      <c r="G3082" s="6">
        <v>46174</v>
      </c>
      <c r="H3082" s="2" t="s">
        <v>71</v>
      </c>
      <c r="I3082" s="2" t="s">
        <v>39</v>
      </c>
      <c r="J3082" s="9">
        <v>13748.466</v>
      </c>
      <c r="K3082" s="7">
        <v>1</v>
      </c>
      <c r="L3082" s="9">
        <v>13748.47</v>
      </c>
      <c r="M3082" s="9">
        <v>13748.47</v>
      </c>
      <c r="N3082" s="9">
        <v>7.56</v>
      </c>
      <c r="O3082" s="10">
        <f>IF(AND(OR(H3082="APPROVED",H3082="SCHEDULED"),COUNTIFS(tblSource[EventID],F3082,tblSource[ReleaseStatus],"APPROVED")=1,COUNTIFS(Period_Status!$A$2:$A$8,G3082,Period_Status!$B$2:$B$8,"ActualClosed")=1,C3082&gt;EOMONTH(Settlement_Bridge!$C$2,0)),1,0)</f>
        <v>0</v>
      </c>
      <c r="P3082" s="2" t="s">
        <v>8552</v>
      </c>
    </row>
    <row r="3083" spans="1:16" x14ac:dyDescent="0.25">
      <c r="A3083" s="2" t="s">
        <v>8553</v>
      </c>
      <c r="B3083" s="2" t="s">
        <v>7433</v>
      </c>
      <c r="C3083" s="8">
        <v>46204</v>
      </c>
      <c r="D3083" s="6">
        <v>46204</v>
      </c>
      <c r="E3083" s="2" t="s">
        <v>260</v>
      </c>
      <c r="F3083" s="2" t="s">
        <v>8554</v>
      </c>
      <c r="G3083" s="6">
        <v>46174</v>
      </c>
      <c r="H3083" s="2" t="s">
        <v>71</v>
      </c>
      <c r="I3083" s="2" t="s">
        <v>76</v>
      </c>
      <c r="J3083" s="9">
        <v>148421952</v>
      </c>
      <c r="K3083" s="7">
        <v>6.2000000000000003E-5</v>
      </c>
      <c r="L3083" s="9">
        <v>9202.16</v>
      </c>
      <c r="M3083" s="9">
        <v>9276.3700000000008</v>
      </c>
      <c r="N3083" s="9">
        <v>5.0599999999999996</v>
      </c>
      <c r="O3083" s="10">
        <f>IF(AND(OR(H3083="APPROVED",H3083="SCHEDULED"),COUNTIFS(tblSource[EventID],F3083,tblSource[ReleaseStatus],"APPROVED")=1,COUNTIFS(Period_Status!$A$2:$A$8,G3083,Period_Status!$B$2:$B$8,"ActualClosed")=1,C3083&gt;EOMONTH(Settlement_Bridge!$C$2,0)),1,0)</f>
        <v>0</v>
      </c>
      <c r="P3083" s="2" t="s">
        <v>8555</v>
      </c>
    </row>
    <row r="3084" spans="1:16" x14ac:dyDescent="0.25">
      <c r="A3084" s="2" t="s">
        <v>8556</v>
      </c>
      <c r="B3084" s="2" t="s">
        <v>7433</v>
      </c>
      <c r="C3084" s="8">
        <v>46229</v>
      </c>
      <c r="D3084" s="6">
        <v>46204</v>
      </c>
      <c r="E3084" s="2" t="s">
        <v>260</v>
      </c>
      <c r="F3084" s="2" t="s">
        <v>8554</v>
      </c>
      <c r="G3084" s="6">
        <v>46174</v>
      </c>
      <c r="H3084" s="2" t="s">
        <v>71</v>
      </c>
      <c r="I3084" s="2" t="s">
        <v>76</v>
      </c>
      <c r="J3084" s="9">
        <v>222632928</v>
      </c>
      <c r="K3084" s="7">
        <v>6.2000000000000003E-5</v>
      </c>
      <c r="L3084" s="9">
        <v>13803.24</v>
      </c>
      <c r="M3084" s="9">
        <v>13914.56</v>
      </c>
      <c r="N3084" s="9">
        <v>7.59</v>
      </c>
      <c r="O3084" s="10">
        <f>IF(AND(OR(H3084="APPROVED",H3084="SCHEDULED"),COUNTIFS(tblSource[EventID],F3084,tblSource[ReleaseStatus],"APPROVED")=1,COUNTIFS(Period_Status!$A$2:$A$8,G3084,Period_Status!$B$2:$B$8,"ActualClosed")=1,C3084&gt;EOMONTH(Settlement_Bridge!$C$2,0)),1,0)</f>
        <v>0</v>
      </c>
      <c r="P3084" s="2" t="s">
        <v>8557</v>
      </c>
    </row>
    <row r="3085" spans="1:16" x14ac:dyDescent="0.25">
      <c r="A3085" s="2" t="s">
        <v>8558</v>
      </c>
      <c r="B3085" s="2" t="s">
        <v>7433</v>
      </c>
      <c r="C3085" s="8">
        <v>46205</v>
      </c>
      <c r="D3085" s="6">
        <v>46204</v>
      </c>
      <c r="E3085" s="2" t="s">
        <v>260</v>
      </c>
      <c r="F3085" s="2" t="s">
        <v>8559</v>
      </c>
      <c r="G3085" s="6">
        <v>46174</v>
      </c>
      <c r="H3085" s="2" t="s">
        <v>71</v>
      </c>
      <c r="I3085" s="2" t="s">
        <v>70</v>
      </c>
      <c r="J3085" s="9">
        <v>14115.933833999999</v>
      </c>
      <c r="K3085" s="7">
        <v>0.65800000000000003</v>
      </c>
      <c r="L3085" s="9">
        <v>9288.2800000000007</v>
      </c>
      <c r="M3085" s="9">
        <v>9387.1</v>
      </c>
      <c r="N3085" s="9">
        <v>5.1100000000000003</v>
      </c>
      <c r="O3085" s="10">
        <f>IF(AND(OR(H3085="APPROVED",H3085="SCHEDULED"),COUNTIFS(tblSource[EventID],F3085,tblSource[ReleaseStatus],"APPROVED")=1,COUNTIFS(Period_Status!$A$2:$A$8,G3085,Period_Status!$B$2:$B$8,"ActualClosed")=1,C3085&gt;EOMONTH(Settlement_Bridge!$C$2,0)),1,0)</f>
        <v>0</v>
      </c>
      <c r="P3085" s="2" t="s">
        <v>8560</v>
      </c>
    </row>
    <row r="3086" spans="1:16" x14ac:dyDescent="0.25">
      <c r="A3086" s="2" t="s">
        <v>8561</v>
      </c>
      <c r="B3086" s="2" t="s">
        <v>7433</v>
      </c>
      <c r="C3086" s="8">
        <v>46230</v>
      </c>
      <c r="D3086" s="6">
        <v>46204</v>
      </c>
      <c r="E3086" s="2" t="s">
        <v>260</v>
      </c>
      <c r="F3086" s="2" t="s">
        <v>8559</v>
      </c>
      <c r="G3086" s="6">
        <v>46174</v>
      </c>
      <c r="H3086" s="2" t="s">
        <v>71</v>
      </c>
      <c r="I3086" s="2" t="s">
        <v>70</v>
      </c>
      <c r="J3086" s="9">
        <v>21173.900752000001</v>
      </c>
      <c r="K3086" s="7">
        <v>0.65800000000000003</v>
      </c>
      <c r="L3086" s="9">
        <v>13932.43</v>
      </c>
      <c r="M3086" s="9">
        <v>14080.64</v>
      </c>
      <c r="N3086" s="9">
        <v>7.66</v>
      </c>
      <c r="O3086" s="10">
        <f>IF(AND(OR(H3086="APPROVED",H3086="SCHEDULED"),COUNTIFS(tblSource[EventID],F3086,tblSource[ReleaseStatus],"APPROVED")=1,COUNTIFS(Period_Status!$A$2:$A$8,G3086,Period_Status!$B$2:$B$8,"ActualClosed")=1,C3086&gt;EOMONTH(Settlement_Bridge!$C$2,0)),1,0)</f>
        <v>0</v>
      </c>
      <c r="P3086" s="2" t="s">
        <v>8562</v>
      </c>
    </row>
    <row r="3087" spans="1:16" x14ac:dyDescent="0.25">
      <c r="A3087" s="2" t="s">
        <v>8563</v>
      </c>
      <c r="B3087" s="2" t="s">
        <v>7433</v>
      </c>
      <c r="C3087" s="8">
        <v>46206</v>
      </c>
      <c r="D3087" s="6">
        <v>46204</v>
      </c>
      <c r="E3087" s="2" t="s">
        <v>260</v>
      </c>
      <c r="F3087" s="2" t="s">
        <v>8564</v>
      </c>
      <c r="G3087" s="6">
        <v>46174</v>
      </c>
      <c r="H3087" s="2" t="s">
        <v>71</v>
      </c>
      <c r="I3087" s="2" t="s">
        <v>39</v>
      </c>
      <c r="J3087" s="9">
        <v>9497.8240000000005</v>
      </c>
      <c r="K3087" s="7">
        <v>1</v>
      </c>
      <c r="L3087" s="9">
        <v>9497.82</v>
      </c>
      <c r="M3087" s="9">
        <v>9497.82</v>
      </c>
      <c r="N3087" s="9">
        <v>5.22</v>
      </c>
      <c r="O3087" s="10">
        <f>IF(AND(OR(H3087="APPROVED",H3087="SCHEDULED"),COUNTIFS(tblSource[EventID],F3087,tblSource[ReleaseStatus],"APPROVED")=1,COUNTIFS(Period_Status!$A$2:$A$8,G3087,Period_Status!$B$2:$B$8,"ActualClosed")=1,C3087&gt;EOMONTH(Settlement_Bridge!$C$2,0)),1,0)</f>
        <v>0</v>
      </c>
      <c r="P3087" s="2" t="s">
        <v>8565</v>
      </c>
    </row>
    <row r="3088" spans="1:16" x14ac:dyDescent="0.25">
      <c r="A3088" s="2" t="s">
        <v>8566</v>
      </c>
      <c r="B3088" s="2" t="s">
        <v>7433</v>
      </c>
      <c r="C3088" s="8">
        <v>46231</v>
      </c>
      <c r="D3088" s="6">
        <v>46204</v>
      </c>
      <c r="E3088" s="2" t="s">
        <v>260</v>
      </c>
      <c r="F3088" s="2" t="s">
        <v>8564</v>
      </c>
      <c r="G3088" s="6">
        <v>46174</v>
      </c>
      <c r="H3088" s="2" t="s">
        <v>71</v>
      </c>
      <c r="I3088" s="2" t="s">
        <v>39</v>
      </c>
      <c r="J3088" s="9">
        <v>14246.736000000001</v>
      </c>
      <c r="K3088" s="7">
        <v>1</v>
      </c>
      <c r="L3088" s="9">
        <v>14246.74</v>
      </c>
      <c r="M3088" s="9">
        <v>14246.74</v>
      </c>
      <c r="N3088" s="9">
        <v>7.84</v>
      </c>
      <c r="O3088" s="10">
        <f>IF(AND(OR(H3088="APPROVED",H3088="SCHEDULED"),COUNTIFS(tblSource[EventID],F3088,tblSource[ReleaseStatus],"APPROVED")=1,COUNTIFS(Period_Status!$A$2:$A$8,G3088,Period_Status!$B$2:$B$8,"ActualClosed")=1,C3088&gt;EOMONTH(Settlement_Bridge!$C$2,0)),1,0)</f>
        <v>0</v>
      </c>
      <c r="P3088" s="2" t="s">
        <v>8567</v>
      </c>
    </row>
    <row r="3089" spans="1:16" x14ac:dyDescent="0.25">
      <c r="A3089" s="2" t="s">
        <v>8568</v>
      </c>
      <c r="B3089" s="2" t="s">
        <v>7433</v>
      </c>
      <c r="C3089" s="8">
        <v>46207</v>
      </c>
      <c r="D3089" s="6">
        <v>46204</v>
      </c>
      <c r="E3089" s="2" t="s">
        <v>260</v>
      </c>
      <c r="F3089" s="2" t="s">
        <v>8569</v>
      </c>
      <c r="G3089" s="6">
        <v>46174</v>
      </c>
      <c r="H3089" s="2" t="s">
        <v>71</v>
      </c>
      <c r="I3089" s="2" t="s">
        <v>76</v>
      </c>
      <c r="J3089" s="9">
        <v>10376832</v>
      </c>
      <c r="K3089" s="7">
        <v>6.2000000000000003E-5</v>
      </c>
      <c r="L3089" s="9">
        <v>643.36</v>
      </c>
      <c r="M3089" s="9">
        <v>648.54999999999995</v>
      </c>
      <c r="N3089" s="9">
        <v>1.8</v>
      </c>
      <c r="O3089" s="10">
        <f>IF(AND(OR(H3089="APPROVED",H3089="SCHEDULED"),COUNTIFS(tblSource[EventID],F3089,tblSource[ReleaseStatus],"APPROVED")=1,COUNTIFS(Period_Status!$A$2:$A$8,G3089,Period_Status!$B$2:$B$8,"ActualClosed")=1,C3089&gt;EOMONTH(Settlement_Bridge!$C$2,0)),1,0)</f>
        <v>0</v>
      </c>
      <c r="P3089" s="2" t="s">
        <v>8570</v>
      </c>
    </row>
    <row r="3090" spans="1:16" x14ac:dyDescent="0.25">
      <c r="A3090" s="2" t="s">
        <v>8571</v>
      </c>
      <c r="B3090" s="2" t="s">
        <v>7433</v>
      </c>
      <c r="C3090" s="8">
        <v>46232</v>
      </c>
      <c r="D3090" s="6">
        <v>46204</v>
      </c>
      <c r="E3090" s="2" t="s">
        <v>260</v>
      </c>
      <c r="F3090" s="2" t="s">
        <v>8569</v>
      </c>
      <c r="G3090" s="6">
        <v>46174</v>
      </c>
      <c r="H3090" s="2" t="s">
        <v>71</v>
      </c>
      <c r="I3090" s="2" t="s">
        <v>76</v>
      </c>
      <c r="J3090" s="9">
        <v>15565248</v>
      </c>
      <c r="K3090" s="7">
        <v>6.2000000000000003E-5</v>
      </c>
      <c r="L3090" s="9">
        <v>965.05</v>
      </c>
      <c r="M3090" s="9">
        <v>972.83</v>
      </c>
      <c r="N3090" s="9">
        <v>1.8</v>
      </c>
      <c r="O3090" s="10">
        <f>IF(AND(OR(H3090="APPROVED",H3090="SCHEDULED"),COUNTIFS(tblSource[EventID],F3090,tblSource[ReleaseStatus],"APPROVED")=1,COUNTIFS(Period_Status!$A$2:$A$8,G3090,Period_Status!$B$2:$B$8,"ActualClosed")=1,C3090&gt;EOMONTH(Settlement_Bridge!$C$2,0)),1,0)</f>
        <v>0</v>
      </c>
      <c r="P3090" s="2" t="s">
        <v>8572</v>
      </c>
    </row>
    <row r="3091" spans="1:16" x14ac:dyDescent="0.25">
      <c r="A3091" s="2" t="s">
        <v>8573</v>
      </c>
      <c r="B3091" s="2" t="s">
        <v>7433</v>
      </c>
      <c r="C3091" s="8">
        <v>46208</v>
      </c>
      <c r="D3091" s="6">
        <v>46204</v>
      </c>
      <c r="E3091" s="2" t="s">
        <v>260</v>
      </c>
      <c r="F3091" s="2" t="s">
        <v>8574</v>
      </c>
      <c r="G3091" s="6">
        <v>46174</v>
      </c>
      <c r="H3091" s="2" t="s">
        <v>71</v>
      </c>
      <c r="I3091" s="2" t="s">
        <v>70</v>
      </c>
      <c r="J3091" s="9">
        <v>1141.768421</v>
      </c>
      <c r="K3091" s="7">
        <v>0.65800000000000003</v>
      </c>
      <c r="L3091" s="9">
        <v>751.28</v>
      </c>
      <c r="M3091" s="9">
        <v>759.28</v>
      </c>
      <c r="N3091" s="9">
        <v>1.8</v>
      </c>
      <c r="O3091" s="10">
        <f>IF(AND(OR(H3091="APPROVED",H3091="SCHEDULED"),COUNTIFS(tblSource[EventID],F3091,tblSource[ReleaseStatus],"APPROVED")=1,COUNTIFS(Period_Status!$A$2:$A$8,G3091,Period_Status!$B$2:$B$8,"ActualClosed")=1,C3091&gt;EOMONTH(Settlement_Bridge!$C$2,0)),1,0)</f>
        <v>0</v>
      </c>
      <c r="P3091" s="2" t="s">
        <v>8575</v>
      </c>
    </row>
    <row r="3092" spans="1:16" x14ac:dyDescent="0.25">
      <c r="A3092" s="2" t="s">
        <v>8576</v>
      </c>
      <c r="B3092" s="2" t="s">
        <v>7433</v>
      </c>
      <c r="C3092" s="8">
        <v>46233</v>
      </c>
      <c r="D3092" s="6">
        <v>46204</v>
      </c>
      <c r="E3092" s="2" t="s">
        <v>260</v>
      </c>
      <c r="F3092" s="2" t="s">
        <v>8574</v>
      </c>
      <c r="G3092" s="6">
        <v>46174</v>
      </c>
      <c r="H3092" s="2" t="s">
        <v>71</v>
      </c>
      <c r="I3092" s="2" t="s">
        <v>70</v>
      </c>
      <c r="J3092" s="9">
        <v>1712.652632</v>
      </c>
      <c r="K3092" s="7">
        <v>0.65800000000000003</v>
      </c>
      <c r="L3092" s="9">
        <v>1126.93</v>
      </c>
      <c r="M3092" s="9">
        <v>1138.9100000000001</v>
      </c>
      <c r="N3092" s="9">
        <v>1.8</v>
      </c>
      <c r="O3092" s="10">
        <f>IF(AND(OR(H3092="APPROVED",H3092="SCHEDULED"),COUNTIFS(tblSource[EventID],F3092,tblSource[ReleaseStatus],"APPROVED")=1,COUNTIFS(Period_Status!$A$2:$A$8,G3092,Period_Status!$B$2:$B$8,"ActualClosed")=1,C3092&gt;EOMONTH(Settlement_Bridge!$C$2,0)),1,0)</f>
        <v>0</v>
      </c>
      <c r="P3092" s="2" t="s">
        <v>8577</v>
      </c>
    </row>
    <row r="3093" spans="1:16" x14ac:dyDescent="0.25">
      <c r="A3093" s="2" t="s">
        <v>8578</v>
      </c>
      <c r="B3093" s="2" t="s">
        <v>7433</v>
      </c>
      <c r="C3093" s="8">
        <v>46209</v>
      </c>
      <c r="D3093" s="6">
        <v>46204</v>
      </c>
      <c r="E3093" s="2" t="s">
        <v>260</v>
      </c>
      <c r="F3093" s="2" t="s">
        <v>8579</v>
      </c>
      <c r="G3093" s="6">
        <v>46174</v>
      </c>
      <c r="H3093" s="2" t="s">
        <v>71</v>
      </c>
      <c r="I3093" s="2" t="s">
        <v>39</v>
      </c>
      <c r="J3093" s="9">
        <v>870.00400000000002</v>
      </c>
      <c r="K3093" s="7">
        <v>1</v>
      </c>
      <c r="L3093" s="9">
        <v>870</v>
      </c>
      <c r="M3093" s="9">
        <v>870</v>
      </c>
      <c r="N3093" s="9">
        <v>1.8</v>
      </c>
      <c r="O3093" s="10">
        <f>IF(AND(OR(H3093="APPROVED",H3093="SCHEDULED"),COUNTIFS(tblSource[EventID],F3093,tblSource[ReleaseStatus],"APPROVED")=1,COUNTIFS(Period_Status!$A$2:$A$8,G3093,Period_Status!$B$2:$B$8,"ActualClosed")=1,C3093&gt;EOMONTH(Settlement_Bridge!$C$2,0)),1,0)</f>
        <v>0</v>
      </c>
      <c r="P3093" s="2" t="s">
        <v>8580</v>
      </c>
    </row>
    <row r="3094" spans="1:16" x14ac:dyDescent="0.25">
      <c r="A3094" s="2" t="s">
        <v>8581</v>
      </c>
      <c r="B3094" s="2" t="s">
        <v>7433</v>
      </c>
      <c r="C3094" s="8">
        <v>46234</v>
      </c>
      <c r="D3094" s="6">
        <v>46204</v>
      </c>
      <c r="E3094" s="2" t="s">
        <v>260</v>
      </c>
      <c r="F3094" s="2" t="s">
        <v>8579</v>
      </c>
      <c r="G3094" s="6">
        <v>46174</v>
      </c>
      <c r="H3094" s="2" t="s">
        <v>71</v>
      </c>
      <c r="I3094" s="2" t="s">
        <v>39</v>
      </c>
      <c r="J3094" s="9">
        <v>1305.0060000000001</v>
      </c>
      <c r="K3094" s="7">
        <v>1</v>
      </c>
      <c r="L3094" s="9">
        <v>1305.01</v>
      </c>
      <c r="M3094" s="9">
        <v>1305.01</v>
      </c>
      <c r="N3094" s="9">
        <v>1.8</v>
      </c>
      <c r="O3094" s="10">
        <f>IF(AND(OR(H3094="APPROVED",H3094="SCHEDULED"),COUNTIFS(tblSource[EventID],F3094,tblSource[ReleaseStatus],"APPROVED")=1,COUNTIFS(Period_Status!$A$2:$A$8,G3094,Period_Status!$B$2:$B$8,"ActualClosed")=1,C3094&gt;EOMONTH(Settlement_Bridge!$C$2,0)),1,0)</f>
        <v>0</v>
      </c>
      <c r="P3094" s="2" t="s">
        <v>8582</v>
      </c>
    </row>
    <row r="3095" spans="1:16" x14ac:dyDescent="0.25">
      <c r="A3095" s="2" t="s">
        <v>8583</v>
      </c>
      <c r="B3095" s="2" t="s">
        <v>7433</v>
      </c>
      <c r="C3095" s="8">
        <v>46210</v>
      </c>
      <c r="D3095" s="6">
        <v>46204</v>
      </c>
      <c r="E3095" s="2" t="s">
        <v>260</v>
      </c>
      <c r="F3095" s="2" t="s">
        <v>8584</v>
      </c>
      <c r="G3095" s="6">
        <v>46174</v>
      </c>
      <c r="H3095" s="2" t="s">
        <v>71</v>
      </c>
      <c r="I3095" s="2" t="s">
        <v>76</v>
      </c>
      <c r="J3095" s="9">
        <v>15691648</v>
      </c>
      <c r="K3095" s="7">
        <v>6.2000000000000003E-5</v>
      </c>
      <c r="L3095" s="9">
        <v>972.88</v>
      </c>
      <c r="M3095" s="9">
        <v>980.73</v>
      </c>
      <c r="N3095" s="9">
        <v>1.8</v>
      </c>
      <c r="O3095" s="10">
        <f>IF(AND(OR(H3095="APPROVED",H3095="SCHEDULED"),COUNTIFS(tblSource[EventID],F3095,tblSource[ReleaseStatus],"APPROVED")=1,COUNTIFS(Period_Status!$A$2:$A$8,G3095,Period_Status!$B$2:$B$8,"ActualClosed")=1,C3095&gt;EOMONTH(Settlement_Bridge!$C$2,0)),1,0)</f>
        <v>0</v>
      </c>
      <c r="P3095" s="2" t="s">
        <v>8585</v>
      </c>
    </row>
    <row r="3096" spans="1:16" x14ac:dyDescent="0.25">
      <c r="A3096" s="2" t="s">
        <v>8586</v>
      </c>
      <c r="B3096" s="2" t="s">
        <v>7433</v>
      </c>
      <c r="C3096" s="8">
        <v>46235</v>
      </c>
      <c r="D3096" s="6">
        <v>46235</v>
      </c>
      <c r="E3096" s="2" t="s">
        <v>260</v>
      </c>
      <c r="F3096" s="2" t="s">
        <v>8584</v>
      </c>
      <c r="G3096" s="6">
        <v>46174</v>
      </c>
      <c r="H3096" s="2" t="s">
        <v>71</v>
      </c>
      <c r="I3096" s="2" t="s">
        <v>76</v>
      </c>
      <c r="J3096" s="9">
        <v>23537472</v>
      </c>
      <c r="K3096" s="7">
        <v>6.1500000000000004E-5</v>
      </c>
      <c r="L3096" s="9">
        <v>1447.55</v>
      </c>
      <c r="M3096" s="9">
        <v>1471.09</v>
      </c>
      <c r="N3096" s="9">
        <v>1.8</v>
      </c>
      <c r="O3096" s="10">
        <f>IF(AND(OR(H3096="APPROVED",H3096="SCHEDULED"),COUNTIFS(tblSource[EventID],F3096,tblSource[ReleaseStatus],"APPROVED")=1,COUNTIFS(Period_Status!$A$2:$A$8,G3096,Period_Status!$B$2:$B$8,"ActualClosed")=1,C3096&gt;EOMONTH(Settlement_Bridge!$C$2,0)),1,0)</f>
        <v>1</v>
      </c>
      <c r="P3096" s="2" t="s">
        <v>8587</v>
      </c>
    </row>
    <row r="3097" spans="1:16" x14ac:dyDescent="0.25">
      <c r="A3097" s="2" t="s">
        <v>8588</v>
      </c>
      <c r="B3097" s="2" t="s">
        <v>7433</v>
      </c>
      <c r="C3097" s="8">
        <v>46211</v>
      </c>
      <c r="D3097" s="6">
        <v>46204</v>
      </c>
      <c r="E3097" s="2" t="s">
        <v>260</v>
      </c>
      <c r="F3097" s="2" t="s">
        <v>8589</v>
      </c>
      <c r="G3097" s="6">
        <v>46174</v>
      </c>
      <c r="H3097" s="2" t="s">
        <v>71</v>
      </c>
      <c r="I3097" s="2" t="s">
        <v>70</v>
      </c>
      <c r="J3097" s="9">
        <v>1641.2872179999999</v>
      </c>
      <c r="K3097" s="7">
        <v>0.65800000000000003</v>
      </c>
      <c r="L3097" s="9">
        <v>1079.97</v>
      </c>
      <c r="M3097" s="9">
        <v>1091.46</v>
      </c>
      <c r="N3097" s="9">
        <v>1.8</v>
      </c>
      <c r="O3097" s="10">
        <f>IF(AND(OR(H3097="APPROVED",H3097="SCHEDULED"),COUNTIFS(tblSource[EventID],F3097,tblSource[ReleaseStatus],"APPROVED")=1,COUNTIFS(Period_Status!$A$2:$A$8,G3097,Period_Status!$B$2:$B$8,"ActualClosed")=1,C3097&gt;EOMONTH(Settlement_Bridge!$C$2,0)),1,0)</f>
        <v>0</v>
      </c>
      <c r="P3097" s="2" t="s">
        <v>8590</v>
      </c>
    </row>
    <row r="3098" spans="1:16" x14ac:dyDescent="0.25">
      <c r="A3098" s="2" t="s">
        <v>8591</v>
      </c>
      <c r="B3098" s="2" t="s">
        <v>7433</v>
      </c>
      <c r="C3098" s="8">
        <v>46236</v>
      </c>
      <c r="D3098" s="6">
        <v>46235</v>
      </c>
      <c r="E3098" s="2" t="s">
        <v>260</v>
      </c>
      <c r="F3098" s="2" t="s">
        <v>8589</v>
      </c>
      <c r="G3098" s="6">
        <v>46174</v>
      </c>
      <c r="H3098" s="2" t="s">
        <v>71</v>
      </c>
      <c r="I3098" s="2" t="s">
        <v>70</v>
      </c>
      <c r="J3098" s="9">
        <v>2461.9308270000001</v>
      </c>
      <c r="K3098" s="7">
        <v>0.65</v>
      </c>
      <c r="L3098" s="9">
        <v>1600.26</v>
      </c>
      <c r="M3098" s="9">
        <v>1637.18</v>
      </c>
      <c r="N3098" s="9">
        <v>1.8</v>
      </c>
      <c r="O3098" s="10">
        <f>IF(AND(OR(H3098="APPROVED",H3098="SCHEDULED"),COUNTIFS(tblSource[EventID],F3098,tblSource[ReleaseStatus],"APPROVED")=1,COUNTIFS(Period_Status!$A$2:$A$8,G3098,Period_Status!$B$2:$B$8,"ActualClosed")=1,C3098&gt;EOMONTH(Settlement_Bridge!$C$2,0)),1,0)</f>
        <v>1</v>
      </c>
      <c r="P3098" s="2" t="s">
        <v>8592</v>
      </c>
    </row>
    <row r="3099" spans="1:16" x14ac:dyDescent="0.25">
      <c r="A3099" s="2" t="s">
        <v>8593</v>
      </c>
      <c r="B3099" s="2" t="s">
        <v>7433</v>
      </c>
      <c r="C3099" s="8">
        <v>46212</v>
      </c>
      <c r="D3099" s="6">
        <v>46204</v>
      </c>
      <c r="E3099" s="2" t="s">
        <v>260</v>
      </c>
      <c r="F3099" s="2" t="s">
        <v>8594</v>
      </c>
      <c r="G3099" s="6">
        <v>46174</v>
      </c>
      <c r="H3099" s="2" t="s">
        <v>71</v>
      </c>
      <c r="I3099" s="2" t="s">
        <v>39</v>
      </c>
      <c r="J3099" s="9">
        <v>1202.184</v>
      </c>
      <c r="K3099" s="7">
        <v>1</v>
      </c>
      <c r="L3099" s="9">
        <v>1202.18</v>
      </c>
      <c r="M3099" s="9">
        <v>1202.18</v>
      </c>
      <c r="N3099" s="9">
        <v>1.8</v>
      </c>
      <c r="O3099" s="10">
        <f>IF(AND(OR(H3099="APPROVED",H3099="SCHEDULED"),COUNTIFS(tblSource[EventID],F3099,tblSource[ReleaseStatus],"APPROVED")=1,COUNTIFS(Period_Status!$A$2:$A$8,G3099,Period_Status!$B$2:$B$8,"ActualClosed")=1,C3099&gt;EOMONTH(Settlement_Bridge!$C$2,0)),1,0)</f>
        <v>0</v>
      </c>
      <c r="P3099" s="2" t="s">
        <v>8595</v>
      </c>
    </row>
    <row r="3100" spans="1:16" x14ac:dyDescent="0.25">
      <c r="A3100" s="2" t="s">
        <v>8596</v>
      </c>
      <c r="B3100" s="2" t="s">
        <v>7433</v>
      </c>
      <c r="C3100" s="8">
        <v>46237</v>
      </c>
      <c r="D3100" s="6">
        <v>46235</v>
      </c>
      <c r="E3100" s="2" t="s">
        <v>260</v>
      </c>
      <c r="F3100" s="2" t="s">
        <v>8594</v>
      </c>
      <c r="G3100" s="6">
        <v>46174</v>
      </c>
      <c r="H3100" s="2" t="s">
        <v>71</v>
      </c>
      <c r="I3100" s="2" t="s">
        <v>39</v>
      </c>
      <c r="J3100" s="9">
        <v>1803.2760000000001</v>
      </c>
      <c r="K3100" s="7">
        <v>1</v>
      </c>
      <c r="L3100" s="9">
        <v>1803.28</v>
      </c>
      <c r="M3100" s="9">
        <v>1803.28</v>
      </c>
      <c r="N3100" s="9">
        <v>1.8</v>
      </c>
      <c r="O3100" s="10">
        <f>IF(AND(OR(H3100="APPROVED",H3100="SCHEDULED"),COUNTIFS(tblSource[EventID],F3100,tblSource[ReleaseStatus],"APPROVED")=1,COUNTIFS(Period_Status!$A$2:$A$8,G3100,Period_Status!$B$2:$B$8,"ActualClosed")=1,C3100&gt;EOMONTH(Settlement_Bridge!$C$2,0)),1,0)</f>
        <v>1</v>
      </c>
      <c r="P3100" s="2" t="s">
        <v>8597</v>
      </c>
    </row>
    <row r="3101" spans="1:16" x14ac:dyDescent="0.25">
      <c r="A3101" s="2" t="s">
        <v>8598</v>
      </c>
      <c r="B3101" s="2" t="s">
        <v>7433</v>
      </c>
      <c r="C3101" s="8">
        <v>46213</v>
      </c>
      <c r="D3101" s="6">
        <v>46204</v>
      </c>
      <c r="E3101" s="2" t="s">
        <v>260</v>
      </c>
      <c r="F3101" s="2" t="s">
        <v>8599</v>
      </c>
      <c r="G3101" s="6">
        <v>46174</v>
      </c>
      <c r="H3101" s="2" t="s">
        <v>71</v>
      </c>
      <c r="I3101" s="2" t="s">
        <v>76</v>
      </c>
      <c r="J3101" s="9">
        <v>21006528</v>
      </c>
      <c r="K3101" s="7">
        <v>6.2000000000000003E-5</v>
      </c>
      <c r="L3101" s="9">
        <v>1302.4000000000001</v>
      </c>
      <c r="M3101" s="9">
        <v>1312.91</v>
      </c>
      <c r="N3101" s="9">
        <v>1.8</v>
      </c>
      <c r="O3101" s="10">
        <f>IF(AND(OR(H3101="APPROVED",H3101="SCHEDULED"),COUNTIFS(tblSource[EventID],F3101,tblSource[ReleaseStatus],"APPROVED")=1,COUNTIFS(Period_Status!$A$2:$A$8,G3101,Period_Status!$B$2:$B$8,"ActualClosed")=1,C3101&gt;EOMONTH(Settlement_Bridge!$C$2,0)),1,0)</f>
        <v>0</v>
      </c>
      <c r="P3101" s="2" t="s">
        <v>8600</v>
      </c>
    </row>
    <row r="3102" spans="1:16" x14ac:dyDescent="0.25">
      <c r="A3102" s="2" t="s">
        <v>8601</v>
      </c>
      <c r="B3102" s="2" t="s">
        <v>7433</v>
      </c>
      <c r="C3102" s="8">
        <v>46238</v>
      </c>
      <c r="D3102" s="6">
        <v>46235</v>
      </c>
      <c r="E3102" s="2" t="s">
        <v>260</v>
      </c>
      <c r="F3102" s="2" t="s">
        <v>8599</v>
      </c>
      <c r="G3102" s="6">
        <v>46174</v>
      </c>
      <c r="H3102" s="2" t="s">
        <v>71</v>
      </c>
      <c r="I3102" s="2" t="s">
        <v>76</v>
      </c>
      <c r="J3102" s="9">
        <v>31509792</v>
      </c>
      <c r="K3102" s="7">
        <v>6.1500000000000004E-5</v>
      </c>
      <c r="L3102" s="9">
        <v>1937.85</v>
      </c>
      <c r="M3102" s="9">
        <v>1969.36</v>
      </c>
      <c r="N3102" s="9">
        <v>1.8</v>
      </c>
      <c r="O3102" s="10">
        <f>IF(AND(OR(H3102="APPROVED",H3102="SCHEDULED"),COUNTIFS(tblSource[EventID],F3102,tblSource[ReleaseStatus],"APPROVED")=1,COUNTIFS(Period_Status!$A$2:$A$8,G3102,Period_Status!$B$2:$B$8,"ActualClosed")=1,C3102&gt;EOMONTH(Settlement_Bridge!$C$2,0)),1,0)</f>
        <v>1</v>
      </c>
      <c r="P3102" s="2" t="s">
        <v>8602</v>
      </c>
    </row>
    <row r="3103" spans="1:16" x14ac:dyDescent="0.25">
      <c r="A3103" s="2" t="s">
        <v>8603</v>
      </c>
      <c r="B3103" s="2" t="s">
        <v>7433</v>
      </c>
      <c r="C3103" s="8">
        <v>46214</v>
      </c>
      <c r="D3103" s="6">
        <v>46204</v>
      </c>
      <c r="E3103" s="2" t="s">
        <v>260</v>
      </c>
      <c r="F3103" s="2" t="s">
        <v>8604</v>
      </c>
      <c r="G3103" s="6">
        <v>46174</v>
      </c>
      <c r="H3103" s="2" t="s">
        <v>71</v>
      </c>
      <c r="I3103" s="2" t="s">
        <v>70</v>
      </c>
      <c r="J3103" s="9">
        <v>2140.8060150000001</v>
      </c>
      <c r="K3103" s="7">
        <v>0.65800000000000003</v>
      </c>
      <c r="L3103" s="9">
        <v>1408.65</v>
      </c>
      <c r="M3103" s="9">
        <v>1423.64</v>
      </c>
      <c r="N3103" s="9">
        <v>1.8</v>
      </c>
      <c r="O3103" s="10">
        <f>IF(AND(OR(H3103="APPROVED",H3103="SCHEDULED"),COUNTIFS(tblSource[EventID],F3103,tblSource[ReleaseStatus],"APPROVED")=1,COUNTIFS(Period_Status!$A$2:$A$8,G3103,Period_Status!$B$2:$B$8,"ActualClosed")=1,C3103&gt;EOMONTH(Settlement_Bridge!$C$2,0)),1,0)</f>
        <v>0</v>
      </c>
      <c r="P3103" s="2" t="s">
        <v>8605</v>
      </c>
    </row>
    <row r="3104" spans="1:16" x14ac:dyDescent="0.25">
      <c r="A3104" s="2" t="s">
        <v>8606</v>
      </c>
      <c r="B3104" s="2" t="s">
        <v>7433</v>
      </c>
      <c r="C3104" s="8">
        <v>46239</v>
      </c>
      <c r="D3104" s="6">
        <v>46235</v>
      </c>
      <c r="E3104" s="2" t="s">
        <v>260</v>
      </c>
      <c r="F3104" s="2" t="s">
        <v>8604</v>
      </c>
      <c r="G3104" s="6">
        <v>46174</v>
      </c>
      <c r="H3104" s="2" t="s">
        <v>71</v>
      </c>
      <c r="I3104" s="2" t="s">
        <v>70</v>
      </c>
      <c r="J3104" s="9">
        <v>3211.2090229999999</v>
      </c>
      <c r="K3104" s="7">
        <v>0.65</v>
      </c>
      <c r="L3104" s="9">
        <v>2087.29</v>
      </c>
      <c r="M3104" s="9">
        <v>2135.4499999999998</v>
      </c>
      <c r="N3104" s="9">
        <v>1.8</v>
      </c>
      <c r="O3104" s="10">
        <f>IF(AND(OR(H3104="APPROVED",H3104="SCHEDULED"),COUNTIFS(tblSource[EventID],F3104,tblSource[ReleaseStatus],"APPROVED")=1,COUNTIFS(Period_Status!$A$2:$A$8,G3104,Period_Status!$B$2:$B$8,"ActualClosed")=1,C3104&gt;EOMONTH(Settlement_Bridge!$C$2,0)),1,0)</f>
        <v>1</v>
      </c>
      <c r="P3104" s="2" t="s">
        <v>8607</v>
      </c>
    </row>
    <row r="3105" spans="1:16" x14ac:dyDescent="0.25">
      <c r="A3105" s="2" t="s">
        <v>8608</v>
      </c>
      <c r="B3105" s="2" t="s">
        <v>7433</v>
      </c>
      <c r="C3105" s="8">
        <v>46215</v>
      </c>
      <c r="D3105" s="6">
        <v>46204</v>
      </c>
      <c r="E3105" s="2" t="s">
        <v>260</v>
      </c>
      <c r="F3105" s="2" t="s">
        <v>8609</v>
      </c>
      <c r="G3105" s="6">
        <v>46174</v>
      </c>
      <c r="H3105" s="2" t="s">
        <v>71</v>
      </c>
      <c r="I3105" s="2" t="s">
        <v>39</v>
      </c>
      <c r="J3105" s="9">
        <v>1534.36</v>
      </c>
      <c r="K3105" s="7">
        <v>1</v>
      </c>
      <c r="L3105" s="9">
        <v>1534.36</v>
      </c>
      <c r="M3105" s="9">
        <v>1534.36</v>
      </c>
      <c r="N3105" s="9">
        <v>1.8</v>
      </c>
      <c r="O3105" s="10">
        <f>IF(AND(OR(H3105="APPROVED",H3105="SCHEDULED"),COUNTIFS(tblSource[EventID],F3105,tblSource[ReleaseStatus],"APPROVED")=1,COUNTIFS(Period_Status!$A$2:$A$8,G3105,Period_Status!$B$2:$B$8,"ActualClosed")=1,C3105&gt;EOMONTH(Settlement_Bridge!$C$2,0)),1,0)</f>
        <v>0</v>
      </c>
      <c r="P3105" s="2" t="s">
        <v>8610</v>
      </c>
    </row>
    <row r="3106" spans="1:16" x14ac:dyDescent="0.25">
      <c r="A3106" s="2" t="s">
        <v>8611</v>
      </c>
      <c r="B3106" s="2" t="s">
        <v>7433</v>
      </c>
      <c r="C3106" s="8">
        <v>46240</v>
      </c>
      <c r="D3106" s="6">
        <v>46235</v>
      </c>
      <c r="E3106" s="2" t="s">
        <v>260</v>
      </c>
      <c r="F3106" s="2" t="s">
        <v>8609</v>
      </c>
      <c r="G3106" s="6">
        <v>46174</v>
      </c>
      <c r="H3106" s="2" t="s">
        <v>71</v>
      </c>
      <c r="I3106" s="2" t="s">
        <v>39</v>
      </c>
      <c r="J3106" s="9">
        <v>2301.54</v>
      </c>
      <c r="K3106" s="7">
        <v>1</v>
      </c>
      <c r="L3106" s="9">
        <v>2301.54</v>
      </c>
      <c r="M3106" s="9">
        <v>2301.54</v>
      </c>
      <c r="N3106" s="9">
        <v>1.8</v>
      </c>
      <c r="O3106" s="10">
        <f>IF(AND(OR(H3106="APPROVED",H3106="SCHEDULED"),COUNTIFS(tblSource[EventID],F3106,tblSource[ReleaseStatus],"APPROVED")=1,COUNTIFS(Period_Status!$A$2:$A$8,G3106,Period_Status!$B$2:$B$8,"ActualClosed")=1,C3106&gt;EOMONTH(Settlement_Bridge!$C$2,0)),1,0)</f>
        <v>1</v>
      </c>
      <c r="P3106" s="2" t="s">
        <v>8612</v>
      </c>
    </row>
    <row r="3107" spans="1:16" x14ac:dyDescent="0.25">
      <c r="A3107" s="2" t="s">
        <v>8613</v>
      </c>
      <c r="B3107" s="2" t="s">
        <v>7433</v>
      </c>
      <c r="C3107" s="8">
        <v>46216</v>
      </c>
      <c r="D3107" s="6">
        <v>46204</v>
      </c>
      <c r="E3107" s="2" t="s">
        <v>260</v>
      </c>
      <c r="F3107" s="2" t="s">
        <v>8614</v>
      </c>
      <c r="G3107" s="6">
        <v>46174</v>
      </c>
      <c r="H3107" s="2" t="s">
        <v>71</v>
      </c>
      <c r="I3107" s="2" t="s">
        <v>76</v>
      </c>
      <c r="J3107" s="9">
        <v>26321408</v>
      </c>
      <c r="K3107" s="7">
        <v>6.2000000000000003E-5</v>
      </c>
      <c r="L3107" s="9">
        <v>1631.93</v>
      </c>
      <c r="M3107" s="9">
        <v>1645.09</v>
      </c>
      <c r="N3107" s="9">
        <v>1.8</v>
      </c>
      <c r="O3107" s="10">
        <f>IF(AND(OR(H3107="APPROVED",H3107="SCHEDULED"),COUNTIFS(tblSource[EventID],F3107,tblSource[ReleaseStatus],"APPROVED")=1,COUNTIFS(Period_Status!$A$2:$A$8,G3107,Period_Status!$B$2:$B$8,"ActualClosed")=1,C3107&gt;EOMONTH(Settlement_Bridge!$C$2,0)),1,0)</f>
        <v>0</v>
      </c>
      <c r="P3107" s="2" t="s">
        <v>8615</v>
      </c>
    </row>
    <row r="3108" spans="1:16" x14ac:dyDescent="0.25">
      <c r="A3108" s="2" t="s">
        <v>8616</v>
      </c>
      <c r="B3108" s="2" t="s">
        <v>7433</v>
      </c>
      <c r="C3108" s="8">
        <v>46241</v>
      </c>
      <c r="D3108" s="6">
        <v>46235</v>
      </c>
      <c r="E3108" s="2" t="s">
        <v>260</v>
      </c>
      <c r="F3108" s="2" t="s">
        <v>8614</v>
      </c>
      <c r="G3108" s="6">
        <v>46174</v>
      </c>
      <c r="H3108" s="2" t="s">
        <v>71</v>
      </c>
      <c r="I3108" s="2" t="s">
        <v>76</v>
      </c>
      <c r="J3108" s="9">
        <v>39482112</v>
      </c>
      <c r="K3108" s="7">
        <v>6.1500000000000004E-5</v>
      </c>
      <c r="L3108" s="9">
        <v>2428.15</v>
      </c>
      <c r="M3108" s="9">
        <v>2467.63</v>
      </c>
      <c r="N3108" s="9">
        <v>1.8</v>
      </c>
      <c r="O3108" s="10">
        <f>IF(AND(OR(H3108="APPROVED",H3108="SCHEDULED"),COUNTIFS(tblSource[EventID],F3108,tblSource[ReleaseStatus],"APPROVED")=1,COUNTIFS(Period_Status!$A$2:$A$8,G3108,Period_Status!$B$2:$B$8,"ActualClosed")=1,C3108&gt;EOMONTH(Settlement_Bridge!$C$2,0)),1,0)</f>
        <v>1</v>
      </c>
      <c r="P3108" s="2" t="s">
        <v>8617</v>
      </c>
    </row>
    <row r="3109" spans="1:16" x14ac:dyDescent="0.25">
      <c r="A3109" s="2" t="s">
        <v>8618</v>
      </c>
      <c r="B3109" s="2" t="s">
        <v>7433</v>
      </c>
      <c r="C3109" s="8">
        <v>46217</v>
      </c>
      <c r="D3109" s="6">
        <v>46204</v>
      </c>
      <c r="E3109" s="2" t="s">
        <v>260</v>
      </c>
      <c r="F3109" s="2" t="s">
        <v>8619</v>
      </c>
      <c r="G3109" s="6">
        <v>46174</v>
      </c>
      <c r="H3109" s="2" t="s">
        <v>71</v>
      </c>
      <c r="I3109" s="2" t="s">
        <v>70</v>
      </c>
      <c r="J3109" s="9">
        <v>2640.3248119999998</v>
      </c>
      <c r="K3109" s="7">
        <v>0.65800000000000003</v>
      </c>
      <c r="L3109" s="9">
        <v>1737.33</v>
      </c>
      <c r="M3109" s="9">
        <v>1755.82</v>
      </c>
      <c r="N3109" s="9">
        <v>1.8</v>
      </c>
      <c r="O3109" s="10">
        <f>IF(AND(OR(H3109="APPROVED",H3109="SCHEDULED"),COUNTIFS(tblSource[EventID],F3109,tblSource[ReleaseStatus],"APPROVED")=1,COUNTIFS(Period_Status!$A$2:$A$8,G3109,Period_Status!$B$2:$B$8,"ActualClosed")=1,C3109&gt;EOMONTH(Settlement_Bridge!$C$2,0)),1,0)</f>
        <v>0</v>
      </c>
      <c r="P3109" s="2" t="s">
        <v>8620</v>
      </c>
    </row>
    <row r="3110" spans="1:16" x14ac:dyDescent="0.25">
      <c r="A3110" s="2" t="s">
        <v>8621</v>
      </c>
      <c r="B3110" s="2" t="s">
        <v>7433</v>
      </c>
      <c r="C3110" s="8">
        <v>46242</v>
      </c>
      <c r="D3110" s="6">
        <v>46235</v>
      </c>
      <c r="E3110" s="2" t="s">
        <v>260</v>
      </c>
      <c r="F3110" s="2" t="s">
        <v>8619</v>
      </c>
      <c r="G3110" s="6">
        <v>46174</v>
      </c>
      <c r="H3110" s="2" t="s">
        <v>71</v>
      </c>
      <c r="I3110" s="2" t="s">
        <v>70</v>
      </c>
      <c r="J3110" s="9">
        <v>3960.4872180000002</v>
      </c>
      <c r="K3110" s="7">
        <v>0.65</v>
      </c>
      <c r="L3110" s="9">
        <v>2574.3200000000002</v>
      </c>
      <c r="M3110" s="9">
        <v>2633.72</v>
      </c>
      <c r="N3110" s="9">
        <v>1.8</v>
      </c>
      <c r="O3110" s="10">
        <f>IF(AND(OR(H3110="APPROVED",H3110="SCHEDULED"),COUNTIFS(tblSource[EventID],F3110,tblSource[ReleaseStatus],"APPROVED")=1,COUNTIFS(Period_Status!$A$2:$A$8,G3110,Period_Status!$B$2:$B$8,"ActualClosed")=1,C3110&gt;EOMONTH(Settlement_Bridge!$C$2,0)),1,0)</f>
        <v>1</v>
      </c>
      <c r="P3110" s="2" t="s">
        <v>8622</v>
      </c>
    </row>
    <row r="3111" spans="1:16" x14ac:dyDescent="0.25">
      <c r="A3111" s="2" t="s">
        <v>8623</v>
      </c>
      <c r="B3111" s="2" t="s">
        <v>7433</v>
      </c>
      <c r="C3111" s="8">
        <v>46188</v>
      </c>
      <c r="D3111" s="6">
        <v>46174</v>
      </c>
      <c r="E3111" s="2" t="s">
        <v>260</v>
      </c>
      <c r="F3111" s="2" t="s">
        <v>8624</v>
      </c>
      <c r="G3111" s="6">
        <v>46174</v>
      </c>
      <c r="H3111" s="2" t="s">
        <v>71</v>
      </c>
      <c r="I3111" s="2" t="s">
        <v>39</v>
      </c>
      <c r="J3111" s="9">
        <v>1866.54</v>
      </c>
      <c r="K3111" s="7">
        <v>1</v>
      </c>
      <c r="L3111" s="9">
        <v>1866.54</v>
      </c>
      <c r="M3111" s="9">
        <v>1866.54</v>
      </c>
      <c r="N3111" s="9">
        <v>1.8</v>
      </c>
      <c r="O3111" s="10">
        <f>IF(AND(OR(H3111="APPROVED",H3111="SCHEDULED"),COUNTIFS(tblSource[EventID],F3111,tblSource[ReleaseStatus],"APPROVED")=1,COUNTIFS(Period_Status!$A$2:$A$8,G3111,Period_Status!$B$2:$B$8,"ActualClosed")=1,C3111&gt;EOMONTH(Settlement_Bridge!$C$2,0)),1,0)</f>
        <v>0</v>
      </c>
      <c r="P3111" s="2" t="s">
        <v>8625</v>
      </c>
    </row>
    <row r="3112" spans="1:16" x14ac:dyDescent="0.25">
      <c r="A3112" s="2" t="s">
        <v>8626</v>
      </c>
      <c r="B3112" s="2" t="s">
        <v>7433</v>
      </c>
      <c r="C3112" s="8">
        <v>46213</v>
      </c>
      <c r="D3112" s="6">
        <v>46204</v>
      </c>
      <c r="E3112" s="2" t="s">
        <v>260</v>
      </c>
      <c r="F3112" s="2" t="s">
        <v>8624</v>
      </c>
      <c r="G3112" s="6">
        <v>46174</v>
      </c>
      <c r="H3112" s="2" t="s">
        <v>71</v>
      </c>
      <c r="I3112" s="2" t="s">
        <v>39</v>
      </c>
      <c r="J3112" s="9">
        <v>2799.81</v>
      </c>
      <c r="K3112" s="7">
        <v>1</v>
      </c>
      <c r="L3112" s="9">
        <v>2799.81</v>
      </c>
      <c r="M3112" s="9">
        <v>2799.81</v>
      </c>
      <c r="N3112" s="9">
        <v>1.8</v>
      </c>
      <c r="O3112" s="10">
        <f>IF(AND(OR(H3112="APPROVED",H3112="SCHEDULED"),COUNTIFS(tblSource[EventID],F3112,tblSource[ReleaseStatus],"APPROVED")=1,COUNTIFS(Period_Status!$A$2:$A$8,G3112,Period_Status!$B$2:$B$8,"ActualClosed")=1,C3112&gt;EOMONTH(Settlement_Bridge!$C$2,0)),1,0)</f>
        <v>0</v>
      </c>
      <c r="P3112" s="2" t="s">
        <v>8627</v>
      </c>
    </row>
    <row r="3113" spans="1:16" x14ac:dyDescent="0.25">
      <c r="A3113" s="2" t="s">
        <v>8628</v>
      </c>
      <c r="B3113" s="2" t="s">
        <v>7433</v>
      </c>
      <c r="C3113" s="8">
        <v>46189</v>
      </c>
      <c r="D3113" s="6">
        <v>46174</v>
      </c>
      <c r="E3113" s="2" t="s">
        <v>260</v>
      </c>
      <c r="F3113" s="2" t="s">
        <v>8629</v>
      </c>
      <c r="G3113" s="6">
        <v>46174</v>
      </c>
      <c r="H3113" s="2" t="s">
        <v>71</v>
      </c>
      <c r="I3113" s="2" t="s">
        <v>76</v>
      </c>
      <c r="J3113" s="9">
        <v>31636288</v>
      </c>
      <c r="K3113" s="7">
        <v>6.2500000000000001E-5</v>
      </c>
      <c r="L3113" s="9">
        <v>1977.27</v>
      </c>
      <c r="M3113" s="9">
        <v>1977.27</v>
      </c>
      <c r="N3113" s="9">
        <v>1.8</v>
      </c>
      <c r="O3113" s="10">
        <f>IF(AND(OR(H3113="APPROVED",H3113="SCHEDULED"),COUNTIFS(tblSource[EventID],F3113,tblSource[ReleaseStatus],"APPROVED")=1,COUNTIFS(Period_Status!$A$2:$A$8,G3113,Period_Status!$B$2:$B$8,"ActualClosed")=1,C3113&gt;EOMONTH(Settlement_Bridge!$C$2,0)),1,0)</f>
        <v>0</v>
      </c>
      <c r="P3113" s="2" t="s">
        <v>8630</v>
      </c>
    </row>
    <row r="3114" spans="1:16" x14ac:dyDescent="0.25">
      <c r="A3114" s="2" t="s">
        <v>8631</v>
      </c>
      <c r="B3114" s="2" t="s">
        <v>7433</v>
      </c>
      <c r="C3114" s="8">
        <v>46214</v>
      </c>
      <c r="D3114" s="6">
        <v>46204</v>
      </c>
      <c r="E3114" s="2" t="s">
        <v>260</v>
      </c>
      <c r="F3114" s="2" t="s">
        <v>8629</v>
      </c>
      <c r="G3114" s="6">
        <v>46174</v>
      </c>
      <c r="H3114" s="2" t="s">
        <v>71</v>
      </c>
      <c r="I3114" s="2" t="s">
        <v>76</v>
      </c>
      <c r="J3114" s="9">
        <v>47454432</v>
      </c>
      <c r="K3114" s="7">
        <v>6.2000000000000003E-5</v>
      </c>
      <c r="L3114" s="9">
        <v>2942.17</v>
      </c>
      <c r="M3114" s="9">
        <v>2965.9</v>
      </c>
      <c r="N3114" s="9">
        <v>1.8</v>
      </c>
      <c r="O3114" s="10">
        <f>IF(AND(OR(H3114="APPROVED",H3114="SCHEDULED"),COUNTIFS(tblSource[EventID],F3114,tblSource[ReleaseStatus],"APPROVED")=1,COUNTIFS(Period_Status!$A$2:$A$8,G3114,Period_Status!$B$2:$B$8,"ActualClosed")=1,C3114&gt;EOMONTH(Settlement_Bridge!$C$2,0)),1,0)</f>
        <v>0</v>
      </c>
      <c r="P3114" s="2" t="s">
        <v>8632</v>
      </c>
    </row>
    <row r="3115" spans="1:16" x14ac:dyDescent="0.25">
      <c r="A3115" s="2" t="s">
        <v>8633</v>
      </c>
      <c r="B3115" s="2" t="s">
        <v>7433</v>
      </c>
      <c r="C3115" s="8">
        <v>46190</v>
      </c>
      <c r="D3115" s="6">
        <v>46174</v>
      </c>
      <c r="E3115" s="2" t="s">
        <v>260</v>
      </c>
      <c r="F3115" s="2" t="s">
        <v>8634</v>
      </c>
      <c r="G3115" s="6">
        <v>46174</v>
      </c>
      <c r="H3115" s="2" t="s">
        <v>71</v>
      </c>
      <c r="I3115" s="2" t="s">
        <v>70</v>
      </c>
      <c r="J3115" s="9">
        <v>3139.8375940000001</v>
      </c>
      <c r="K3115" s="7">
        <v>0.66500000000000004</v>
      </c>
      <c r="L3115" s="9">
        <v>2087.9899999999998</v>
      </c>
      <c r="M3115" s="9">
        <v>2087.9899999999998</v>
      </c>
      <c r="N3115" s="9">
        <v>1.8</v>
      </c>
      <c r="O3115" s="10">
        <f>IF(AND(OR(H3115="APPROVED",H3115="SCHEDULED"),COUNTIFS(tblSource[EventID],F3115,tblSource[ReleaseStatus],"APPROVED")=1,COUNTIFS(Period_Status!$A$2:$A$8,G3115,Period_Status!$B$2:$B$8,"ActualClosed")=1,C3115&gt;EOMONTH(Settlement_Bridge!$C$2,0)),1,0)</f>
        <v>0</v>
      </c>
      <c r="P3115" s="2" t="s">
        <v>8635</v>
      </c>
    </row>
    <row r="3116" spans="1:16" x14ac:dyDescent="0.25">
      <c r="A3116" s="2" t="s">
        <v>8636</v>
      </c>
      <c r="B3116" s="2" t="s">
        <v>7433</v>
      </c>
      <c r="C3116" s="8">
        <v>46215</v>
      </c>
      <c r="D3116" s="6">
        <v>46204</v>
      </c>
      <c r="E3116" s="2" t="s">
        <v>260</v>
      </c>
      <c r="F3116" s="2" t="s">
        <v>8634</v>
      </c>
      <c r="G3116" s="6">
        <v>46174</v>
      </c>
      <c r="H3116" s="2" t="s">
        <v>71</v>
      </c>
      <c r="I3116" s="2" t="s">
        <v>70</v>
      </c>
      <c r="J3116" s="9">
        <v>4709.7563909999999</v>
      </c>
      <c r="K3116" s="7">
        <v>0.65800000000000003</v>
      </c>
      <c r="L3116" s="9">
        <v>3099.02</v>
      </c>
      <c r="M3116" s="9">
        <v>3131.99</v>
      </c>
      <c r="N3116" s="9">
        <v>1.8</v>
      </c>
      <c r="O3116" s="10">
        <f>IF(AND(OR(H3116="APPROVED",H3116="SCHEDULED"),COUNTIFS(tblSource[EventID],F3116,tblSource[ReleaseStatus],"APPROVED")=1,COUNTIFS(Period_Status!$A$2:$A$8,G3116,Period_Status!$B$2:$B$8,"ActualClosed")=1,C3116&gt;EOMONTH(Settlement_Bridge!$C$2,0)),1,0)</f>
        <v>0</v>
      </c>
      <c r="P3116" s="2" t="s">
        <v>8637</v>
      </c>
    </row>
    <row r="3117" spans="1:16" x14ac:dyDescent="0.25">
      <c r="A3117" s="2" t="s">
        <v>8638</v>
      </c>
      <c r="B3117" s="2" t="s">
        <v>7433</v>
      </c>
      <c r="C3117" s="8">
        <v>46191</v>
      </c>
      <c r="D3117" s="6">
        <v>46174</v>
      </c>
      <c r="E3117" s="2" t="s">
        <v>260</v>
      </c>
      <c r="F3117" s="2" t="s">
        <v>8639</v>
      </c>
      <c r="G3117" s="6">
        <v>46174</v>
      </c>
      <c r="H3117" s="2" t="s">
        <v>71</v>
      </c>
      <c r="I3117" s="2" t="s">
        <v>39</v>
      </c>
      <c r="J3117" s="9">
        <v>2198.7199999999998</v>
      </c>
      <c r="K3117" s="7">
        <v>1</v>
      </c>
      <c r="L3117" s="9">
        <v>2198.7199999999998</v>
      </c>
      <c r="M3117" s="9">
        <v>2198.7199999999998</v>
      </c>
      <c r="N3117" s="9">
        <v>1.8</v>
      </c>
      <c r="O3117" s="10">
        <f>IF(AND(OR(H3117="APPROVED",H3117="SCHEDULED"),COUNTIFS(tblSource[EventID],F3117,tblSource[ReleaseStatus],"APPROVED")=1,COUNTIFS(Period_Status!$A$2:$A$8,G3117,Period_Status!$B$2:$B$8,"ActualClosed")=1,C3117&gt;EOMONTH(Settlement_Bridge!$C$2,0)),1,0)</f>
        <v>0</v>
      </c>
      <c r="P3117" s="2" t="s">
        <v>8640</v>
      </c>
    </row>
    <row r="3118" spans="1:16" x14ac:dyDescent="0.25">
      <c r="A3118" s="2" t="s">
        <v>8641</v>
      </c>
      <c r="B3118" s="2" t="s">
        <v>7433</v>
      </c>
      <c r="C3118" s="8">
        <v>46216</v>
      </c>
      <c r="D3118" s="6">
        <v>46204</v>
      </c>
      <c r="E3118" s="2" t="s">
        <v>260</v>
      </c>
      <c r="F3118" s="2" t="s">
        <v>8639</v>
      </c>
      <c r="G3118" s="6">
        <v>46174</v>
      </c>
      <c r="H3118" s="2" t="s">
        <v>71</v>
      </c>
      <c r="I3118" s="2" t="s">
        <v>39</v>
      </c>
      <c r="J3118" s="9">
        <v>3298.08</v>
      </c>
      <c r="K3118" s="7">
        <v>1</v>
      </c>
      <c r="L3118" s="9">
        <v>3298.08</v>
      </c>
      <c r="M3118" s="9">
        <v>3298.08</v>
      </c>
      <c r="N3118" s="9">
        <v>1.81</v>
      </c>
      <c r="O3118" s="10">
        <f>IF(AND(OR(H3118="APPROVED",H3118="SCHEDULED"),COUNTIFS(tblSource[EventID],F3118,tblSource[ReleaseStatus],"APPROVED")=1,COUNTIFS(Period_Status!$A$2:$A$8,G3118,Period_Status!$B$2:$B$8,"ActualClosed")=1,C3118&gt;EOMONTH(Settlement_Bridge!$C$2,0)),1,0)</f>
        <v>0</v>
      </c>
      <c r="P3118" s="2" t="s">
        <v>8642</v>
      </c>
    </row>
    <row r="3119" spans="1:16" x14ac:dyDescent="0.25">
      <c r="A3119" s="2" t="s">
        <v>8643</v>
      </c>
      <c r="B3119" s="2" t="s">
        <v>7433</v>
      </c>
      <c r="C3119" s="8">
        <v>46192</v>
      </c>
      <c r="D3119" s="6">
        <v>46174</v>
      </c>
      <c r="E3119" s="2" t="s">
        <v>260</v>
      </c>
      <c r="F3119" s="2" t="s">
        <v>8644</v>
      </c>
      <c r="G3119" s="6">
        <v>46174</v>
      </c>
      <c r="H3119" s="2" t="s">
        <v>71</v>
      </c>
      <c r="I3119" s="2" t="s">
        <v>76</v>
      </c>
      <c r="J3119" s="9">
        <v>36951168</v>
      </c>
      <c r="K3119" s="7">
        <v>6.2500000000000001E-5</v>
      </c>
      <c r="L3119" s="9">
        <v>2309.4499999999998</v>
      </c>
      <c r="M3119" s="9">
        <v>2309.4499999999998</v>
      </c>
      <c r="N3119" s="9">
        <v>1.8</v>
      </c>
      <c r="O3119" s="10">
        <f>IF(AND(OR(H3119="APPROVED",H3119="SCHEDULED"),COUNTIFS(tblSource[EventID],F3119,tblSource[ReleaseStatus],"APPROVED")=1,COUNTIFS(Period_Status!$A$2:$A$8,G3119,Period_Status!$B$2:$B$8,"ActualClosed")=1,C3119&gt;EOMONTH(Settlement_Bridge!$C$2,0)),1,0)</f>
        <v>0</v>
      </c>
      <c r="P3119" s="2" t="s">
        <v>8645</v>
      </c>
    </row>
    <row r="3120" spans="1:16" x14ac:dyDescent="0.25">
      <c r="A3120" s="2" t="s">
        <v>8646</v>
      </c>
      <c r="B3120" s="2" t="s">
        <v>7433</v>
      </c>
      <c r="C3120" s="8">
        <v>46217</v>
      </c>
      <c r="D3120" s="6">
        <v>46204</v>
      </c>
      <c r="E3120" s="2" t="s">
        <v>260</v>
      </c>
      <c r="F3120" s="2" t="s">
        <v>8644</v>
      </c>
      <c r="G3120" s="6">
        <v>46174</v>
      </c>
      <c r="H3120" s="2" t="s">
        <v>71</v>
      </c>
      <c r="I3120" s="2" t="s">
        <v>76</v>
      </c>
      <c r="J3120" s="9">
        <v>55426752</v>
      </c>
      <c r="K3120" s="7">
        <v>6.2000000000000003E-5</v>
      </c>
      <c r="L3120" s="9">
        <v>3436.46</v>
      </c>
      <c r="M3120" s="9">
        <v>3464.17</v>
      </c>
      <c r="N3120" s="9">
        <v>1.89</v>
      </c>
      <c r="O3120" s="10">
        <f>IF(AND(OR(H3120="APPROVED",H3120="SCHEDULED"),COUNTIFS(tblSource[EventID],F3120,tblSource[ReleaseStatus],"APPROVED")=1,COUNTIFS(Period_Status!$A$2:$A$8,G3120,Period_Status!$B$2:$B$8,"ActualClosed")=1,C3120&gt;EOMONTH(Settlement_Bridge!$C$2,0)),1,0)</f>
        <v>0</v>
      </c>
      <c r="P3120" s="2" t="s">
        <v>8647</v>
      </c>
    </row>
    <row r="3121" spans="1:16" x14ac:dyDescent="0.25">
      <c r="A3121" s="2" t="s">
        <v>8648</v>
      </c>
      <c r="B3121" s="2" t="s">
        <v>7433</v>
      </c>
      <c r="C3121" s="8">
        <v>46193</v>
      </c>
      <c r="D3121" s="6">
        <v>46174</v>
      </c>
      <c r="E3121" s="2" t="s">
        <v>260</v>
      </c>
      <c r="F3121" s="2" t="s">
        <v>8649</v>
      </c>
      <c r="G3121" s="6">
        <v>46174</v>
      </c>
      <c r="H3121" s="2" t="s">
        <v>71</v>
      </c>
      <c r="I3121" s="2" t="s">
        <v>70</v>
      </c>
      <c r="J3121" s="9">
        <v>-9098.3909769999991</v>
      </c>
      <c r="K3121" s="7">
        <v>0.66500000000000004</v>
      </c>
      <c r="L3121" s="9">
        <v>-6050.43</v>
      </c>
      <c r="M3121" s="9">
        <v>-6050.43</v>
      </c>
      <c r="N3121" s="9">
        <v>0</v>
      </c>
      <c r="O3121" s="10">
        <f>IF(AND(OR(H3121="APPROVED",H3121="SCHEDULED"),COUNTIFS(tblSource[EventID],F3121,tblSource[ReleaseStatus],"APPROVED")=1,COUNTIFS(Period_Status!$A$2:$A$8,G3121,Period_Status!$B$2:$B$8,"ActualClosed")=1,C3121&gt;EOMONTH(Settlement_Bridge!$C$2,0)),1,0)</f>
        <v>0</v>
      </c>
      <c r="P3121" s="2" t="s">
        <v>8650</v>
      </c>
    </row>
    <row r="3122" spans="1:16" x14ac:dyDescent="0.25">
      <c r="A3122" s="2" t="s">
        <v>8651</v>
      </c>
      <c r="B3122" s="2" t="s">
        <v>7433</v>
      </c>
      <c r="C3122" s="8">
        <v>46194</v>
      </c>
      <c r="D3122" s="6">
        <v>46174</v>
      </c>
      <c r="E3122" s="2" t="s">
        <v>260</v>
      </c>
      <c r="F3122" s="2" t="s">
        <v>8652</v>
      </c>
      <c r="G3122" s="6">
        <v>46174</v>
      </c>
      <c r="H3122" s="2" t="s">
        <v>71</v>
      </c>
      <c r="I3122" s="2" t="s">
        <v>39</v>
      </c>
      <c r="J3122" s="9">
        <v>2530.9</v>
      </c>
      <c r="K3122" s="7">
        <v>1</v>
      </c>
      <c r="L3122" s="9">
        <v>2530.9</v>
      </c>
      <c r="M3122" s="9">
        <v>2530.9</v>
      </c>
      <c r="N3122" s="9">
        <v>1.8</v>
      </c>
      <c r="O3122" s="10">
        <f>IF(AND(OR(H3122="APPROVED",H3122="SCHEDULED"),COUNTIFS(tblSource[EventID],F3122,tblSource[ReleaseStatus],"APPROVED")=1,COUNTIFS(Period_Status!$A$2:$A$8,G3122,Period_Status!$B$2:$B$8,"ActualClosed")=1,C3122&gt;EOMONTH(Settlement_Bridge!$C$2,0)),1,0)</f>
        <v>0</v>
      </c>
      <c r="P3122" s="2" t="s">
        <v>8653</v>
      </c>
    </row>
    <row r="3123" spans="1:16" x14ac:dyDescent="0.25">
      <c r="A3123" s="2" t="s">
        <v>8654</v>
      </c>
      <c r="B3123" s="2" t="s">
        <v>7433</v>
      </c>
      <c r="C3123" s="8">
        <v>46219</v>
      </c>
      <c r="D3123" s="6">
        <v>46204</v>
      </c>
      <c r="E3123" s="2" t="s">
        <v>260</v>
      </c>
      <c r="F3123" s="2" t="s">
        <v>8652</v>
      </c>
      <c r="G3123" s="6">
        <v>46174</v>
      </c>
      <c r="H3123" s="2" t="s">
        <v>71</v>
      </c>
      <c r="I3123" s="2" t="s">
        <v>39</v>
      </c>
      <c r="J3123" s="9">
        <v>3796.35</v>
      </c>
      <c r="K3123" s="7">
        <v>1</v>
      </c>
      <c r="L3123" s="9">
        <v>3796.35</v>
      </c>
      <c r="M3123" s="9">
        <v>3796.35</v>
      </c>
      <c r="N3123" s="9">
        <v>2.09</v>
      </c>
      <c r="O3123" s="10">
        <f>IF(AND(OR(H3123="APPROVED",H3123="SCHEDULED"),COUNTIFS(tblSource[EventID],F3123,tblSource[ReleaseStatus],"APPROVED")=1,COUNTIFS(Period_Status!$A$2:$A$8,G3123,Period_Status!$B$2:$B$8,"ActualClosed")=1,C3123&gt;EOMONTH(Settlement_Bridge!$C$2,0)),1,0)</f>
        <v>0</v>
      </c>
      <c r="P3123" s="2" t="s">
        <v>8655</v>
      </c>
    </row>
    <row r="3124" spans="1:16" x14ac:dyDescent="0.25">
      <c r="A3124" s="2" t="s">
        <v>8656</v>
      </c>
      <c r="B3124" s="2" t="s">
        <v>7433</v>
      </c>
      <c r="C3124" s="8">
        <v>46195</v>
      </c>
      <c r="D3124" s="6">
        <v>46174</v>
      </c>
      <c r="E3124" s="2" t="s">
        <v>260</v>
      </c>
      <c r="F3124" s="2" t="s">
        <v>8657</v>
      </c>
      <c r="G3124" s="6">
        <v>46174</v>
      </c>
      <c r="H3124" s="2" t="s">
        <v>71</v>
      </c>
      <c r="I3124" s="2" t="s">
        <v>76</v>
      </c>
      <c r="J3124" s="9">
        <v>42265984</v>
      </c>
      <c r="K3124" s="7">
        <v>6.2500000000000001E-5</v>
      </c>
      <c r="L3124" s="9">
        <v>2641.62</v>
      </c>
      <c r="M3124" s="9">
        <v>2641.62</v>
      </c>
      <c r="N3124" s="9">
        <v>1.8</v>
      </c>
      <c r="O3124" s="10">
        <f>IF(AND(OR(H3124="APPROVED",H3124="SCHEDULED"),COUNTIFS(tblSource[EventID],F3124,tblSource[ReleaseStatus],"APPROVED")=1,COUNTIFS(Period_Status!$A$2:$A$8,G3124,Period_Status!$B$2:$B$8,"ActualClosed")=1,C3124&gt;EOMONTH(Settlement_Bridge!$C$2,0)),1,0)</f>
        <v>0</v>
      </c>
      <c r="P3124" s="2" t="s">
        <v>8658</v>
      </c>
    </row>
    <row r="3125" spans="1:16" x14ac:dyDescent="0.25">
      <c r="A3125" s="2" t="s">
        <v>8659</v>
      </c>
      <c r="B3125" s="2" t="s">
        <v>7433</v>
      </c>
      <c r="C3125" s="8">
        <v>46220</v>
      </c>
      <c r="D3125" s="6">
        <v>46204</v>
      </c>
      <c r="E3125" s="2" t="s">
        <v>260</v>
      </c>
      <c r="F3125" s="2" t="s">
        <v>8657</v>
      </c>
      <c r="G3125" s="6">
        <v>46174</v>
      </c>
      <c r="H3125" s="2" t="s">
        <v>71</v>
      </c>
      <c r="I3125" s="2" t="s">
        <v>76</v>
      </c>
      <c r="J3125" s="9">
        <v>63398976</v>
      </c>
      <c r="K3125" s="7">
        <v>6.2000000000000003E-5</v>
      </c>
      <c r="L3125" s="9">
        <v>3930.74</v>
      </c>
      <c r="M3125" s="9">
        <v>3962.44</v>
      </c>
      <c r="N3125" s="9">
        <v>2.16</v>
      </c>
      <c r="O3125" s="10">
        <f>IF(AND(OR(H3125="APPROVED",H3125="SCHEDULED"),COUNTIFS(tblSource[EventID],F3125,tblSource[ReleaseStatus],"APPROVED")=1,COUNTIFS(Period_Status!$A$2:$A$8,G3125,Period_Status!$B$2:$B$8,"ActualClosed")=1,C3125&gt;EOMONTH(Settlement_Bridge!$C$2,0)),1,0)</f>
        <v>0</v>
      </c>
      <c r="P3125" s="2" t="s">
        <v>8660</v>
      </c>
    </row>
    <row r="3126" spans="1:16" x14ac:dyDescent="0.25">
      <c r="A3126" s="2" t="s">
        <v>8661</v>
      </c>
      <c r="B3126" s="2" t="s">
        <v>7433</v>
      </c>
      <c r="C3126" s="8">
        <v>46196</v>
      </c>
      <c r="D3126" s="6">
        <v>46174</v>
      </c>
      <c r="E3126" s="2" t="s">
        <v>260</v>
      </c>
      <c r="F3126" s="2" t="s">
        <v>8662</v>
      </c>
      <c r="G3126" s="6">
        <v>46174</v>
      </c>
      <c r="H3126" s="2" t="s">
        <v>71</v>
      </c>
      <c r="I3126" s="2" t="s">
        <v>70</v>
      </c>
      <c r="J3126" s="9">
        <v>4138.875188</v>
      </c>
      <c r="K3126" s="7">
        <v>0.66500000000000004</v>
      </c>
      <c r="L3126" s="9">
        <v>2752.35</v>
      </c>
      <c r="M3126" s="9">
        <v>2752.35</v>
      </c>
      <c r="N3126" s="9">
        <v>1.8</v>
      </c>
      <c r="O3126" s="10">
        <f>IF(AND(OR(H3126="APPROVED",H3126="SCHEDULED"),COUNTIFS(tblSource[EventID],F3126,tblSource[ReleaseStatus],"APPROVED")=1,COUNTIFS(Period_Status!$A$2:$A$8,G3126,Period_Status!$B$2:$B$8,"ActualClosed")=1,C3126&gt;EOMONTH(Settlement_Bridge!$C$2,0)),1,0)</f>
        <v>0</v>
      </c>
      <c r="P3126" s="2" t="s">
        <v>8663</v>
      </c>
    </row>
    <row r="3127" spans="1:16" x14ac:dyDescent="0.25">
      <c r="A3127" s="2" t="s">
        <v>8664</v>
      </c>
      <c r="B3127" s="2" t="s">
        <v>7433</v>
      </c>
      <c r="C3127" s="8">
        <v>46221</v>
      </c>
      <c r="D3127" s="6">
        <v>46204</v>
      </c>
      <c r="E3127" s="2" t="s">
        <v>260</v>
      </c>
      <c r="F3127" s="2" t="s">
        <v>8662</v>
      </c>
      <c r="G3127" s="6">
        <v>46174</v>
      </c>
      <c r="H3127" s="2" t="s">
        <v>71</v>
      </c>
      <c r="I3127" s="2" t="s">
        <v>70</v>
      </c>
      <c r="J3127" s="9">
        <v>6208.312782</v>
      </c>
      <c r="K3127" s="7">
        <v>0.65800000000000003</v>
      </c>
      <c r="L3127" s="9">
        <v>4085.07</v>
      </c>
      <c r="M3127" s="9">
        <v>4128.53</v>
      </c>
      <c r="N3127" s="9">
        <v>2.25</v>
      </c>
      <c r="O3127" s="10">
        <f>IF(AND(OR(H3127="APPROVED",H3127="SCHEDULED"),COUNTIFS(tblSource[EventID],F3127,tblSource[ReleaseStatus],"APPROVED")=1,COUNTIFS(Period_Status!$A$2:$A$8,G3127,Period_Status!$B$2:$B$8,"ActualClosed")=1,C3127&gt;EOMONTH(Settlement_Bridge!$C$2,0)),1,0)</f>
        <v>0</v>
      </c>
      <c r="P3127" s="2" t="s">
        <v>8665</v>
      </c>
    </row>
    <row r="3128" spans="1:16" x14ac:dyDescent="0.25">
      <c r="A3128" s="2" t="s">
        <v>8666</v>
      </c>
      <c r="B3128" s="2" t="s">
        <v>7433</v>
      </c>
      <c r="C3128" s="8">
        <v>46197</v>
      </c>
      <c r="D3128" s="6">
        <v>46174</v>
      </c>
      <c r="E3128" s="2" t="s">
        <v>260</v>
      </c>
      <c r="F3128" s="2" t="s">
        <v>8667</v>
      </c>
      <c r="G3128" s="6">
        <v>46174</v>
      </c>
      <c r="H3128" s="2" t="s">
        <v>71</v>
      </c>
      <c r="I3128" s="2" t="s">
        <v>39</v>
      </c>
      <c r="J3128" s="9">
        <v>2863.08</v>
      </c>
      <c r="K3128" s="7">
        <v>1</v>
      </c>
      <c r="L3128" s="9">
        <v>2863.08</v>
      </c>
      <c r="M3128" s="9">
        <v>2863.08</v>
      </c>
      <c r="N3128" s="9">
        <v>1.8</v>
      </c>
      <c r="O3128" s="10">
        <f>IF(AND(OR(H3128="APPROVED",H3128="SCHEDULED"),COUNTIFS(tblSource[EventID],F3128,tblSource[ReleaseStatus],"APPROVED")=1,COUNTIFS(Period_Status!$A$2:$A$8,G3128,Period_Status!$B$2:$B$8,"ActualClosed")=1,C3128&gt;EOMONTH(Settlement_Bridge!$C$2,0)),1,0)</f>
        <v>0</v>
      </c>
      <c r="P3128" s="2" t="s">
        <v>8668</v>
      </c>
    </row>
    <row r="3129" spans="1:16" x14ac:dyDescent="0.25">
      <c r="A3129" s="2" t="s">
        <v>8669</v>
      </c>
      <c r="B3129" s="2" t="s">
        <v>7433</v>
      </c>
      <c r="C3129" s="8">
        <v>46222</v>
      </c>
      <c r="D3129" s="6">
        <v>46204</v>
      </c>
      <c r="E3129" s="2" t="s">
        <v>260</v>
      </c>
      <c r="F3129" s="2" t="s">
        <v>8667</v>
      </c>
      <c r="G3129" s="6">
        <v>46174</v>
      </c>
      <c r="H3129" s="2" t="s">
        <v>71</v>
      </c>
      <c r="I3129" s="2" t="s">
        <v>39</v>
      </c>
      <c r="J3129" s="9">
        <v>4294.62</v>
      </c>
      <c r="K3129" s="7">
        <v>1</v>
      </c>
      <c r="L3129" s="9">
        <v>4294.62</v>
      </c>
      <c r="M3129" s="9">
        <v>4294.62</v>
      </c>
      <c r="N3129" s="9">
        <v>2.36</v>
      </c>
      <c r="O3129" s="10">
        <f>IF(AND(OR(H3129="APPROVED",H3129="SCHEDULED"),COUNTIFS(tblSource[EventID],F3129,tblSource[ReleaseStatus],"APPROVED")=1,COUNTIFS(Period_Status!$A$2:$A$8,G3129,Period_Status!$B$2:$B$8,"ActualClosed")=1,C3129&gt;EOMONTH(Settlement_Bridge!$C$2,0)),1,0)</f>
        <v>0</v>
      </c>
      <c r="P3129" s="2" t="s">
        <v>8670</v>
      </c>
    </row>
    <row r="3130" spans="1:16" x14ac:dyDescent="0.25">
      <c r="A3130" s="2" t="s">
        <v>8671</v>
      </c>
      <c r="B3130" s="2" t="s">
        <v>7433</v>
      </c>
      <c r="C3130" s="8">
        <v>46198</v>
      </c>
      <c r="D3130" s="6">
        <v>46174</v>
      </c>
      <c r="E3130" s="2" t="s">
        <v>260</v>
      </c>
      <c r="F3130" s="2" t="s">
        <v>8672</v>
      </c>
      <c r="G3130" s="6">
        <v>46174</v>
      </c>
      <c r="H3130" s="2" t="s">
        <v>71</v>
      </c>
      <c r="I3130" s="2" t="s">
        <v>76</v>
      </c>
      <c r="J3130" s="9">
        <v>47580864</v>
      </c>
      <c r="K3130" s="7">
        <v>6.2500000000000001E-5</v>
      </c>
      <c r="L3130" s="9">
        <v>2973.8</v>
      </c>
      <c r="M3130" s="9">
        <v>2973.8</v>
      </c>
      <c r="N3130" s="9">
        <v>1.8</v>
      </c>
      <c r="O3130" s="10">
        <f>IF(AND(OR(H3130="APPROVED",H3130="SCHEDULED"),COUNTIFS(tblSource[EventID],F3130,tblSource[ReleaseStatus],"APPROVED")=1,COUNTIFS(Period_Status!$A$2:$A$8,G3130,Period_Status!$B$2:$B$8,"ActualClosed")=1,C3130&gt;EOMONTH(Settlement_Bridge!$C$2,0)),1,0)</f>
        <v>0</v>
      </c>
      <c r="P3130" s="2" t="s">
        <v>8673</v>
      </c>
    </row>
    <row r="3131" spans="1:16" x14ac:dyDescent="0.25">
      <c r="A3131" s="2" t="s">
        <v>8674</v>
      </c>
      <c r="B3131" s="2" t="s">
        <v>7433</v>
      </c>
      <c r="C3131" s="8">
        <v>46223</v>
      </c>
      <c r="D3131" s="6">
        <v>46204</v>
      </c>
      <c r="E3131" s="2" t="s">
        <v>260</v>
      </c>
      <c r="F3131" s="2" t="s">
        <v>8672</v>
      </c>
      <c r="G3131" s="6">
        <v>46174</v>
      </c>
      <c r="H3131" s="2" t="s">
        <v>71</v>
      </c>
      <c r="I3131" s="2" t="s">
        <v>76</v>
      </c>
      <c r="J3131" s="9">
        <v>71371296</v>
      </c>
      <c r="K3131" s="7">
        <v>6.2000000000000003E-5</v>
      </c>
      <c r="L3131" s="9">
        <v>4425.0200000000004</v>
      </c>
      <c r="M3131" s="9">
        <v>4460.71</v>
      </c>
      <c r="N3131" s="9">
        <v>2.4300000000000002</v>
      </c>
      <c r="O3131" s="10">
        <f>IF(AND(OR(H3131="APPROVED",H3131="SCHEDULED"),COUNTIFS(tblSource[EventID],F3131,tblSource[ReleaseStatus],"APPROVED")=1,COUNTIFS(Period_Status!$A$2:$A$8,G3131,Period_Status!$B$2:$B$8,"ActualClosed")=1,C3131&gt;EOMONTH(Settlement_Bridge!$C$2,0)),1,0)</f>
        <v>0</v>
      </c>
      <c r="P3131" s="2" t="s">
        <v>8675</v>
      </c>
    </row>
    <row r="3132" spans="1:16" x14ac:dyDescent="0.25">
      <c r="A3132" s="2" t="s">
        <v>8676</v>
      </c>
      <c r="B3132" s="2" t="s">
        <v>7433</v>
      </c>
      <c r="C3132" s="8">
        <v>46199</v>
      </c>
      <c r="D3132" s="6">
        <v>46174</v>
      </c>
      <c r="E3132" s="2" t="s">
        <v>260</v>
      </c>
      <c r="F3132" s="2" t="s">
        <v>8677</v>
      </c>
      <c r="G3132" s="6">
        <v>46174</v>
      </c>
      <c r="H3132" s="2" t="s">
        <v>71</v>
      </c>
      <c r="I3132" s="2" t="s">
        <v>70</v>
      </c>
      <c r="J3132" s="9">
        <v>4638.3939849999997</v>
      </c>
      <c r="K3132" s="7">
        <v>0.66500000000000004</v>
      </c>
      <c r="L3132" s="9">
        <v>3084.53</v>
      </c>
      <c r="M3132" s="9">
        <v>3084.53</v>
      </c>
      <c r="N3132" s="9">
        <v>1.8</v>
      </c>
      <c r="O3132" s="10">
        <f>IF(AND(OR(H3132="APPROVED",H3132="SCHEDULED"),COUNTIFS(tblSource[EventID],F3132,tblSource[ReleaseStatus],"APPROVED")=1,COUNTIFS(Period_Status!$A$2:$A$8,G3132,Period_Status!$B$2:$B$8,"ActualClosed")=1,C3132&gt;EOMONTH(Settlement_Bridge!$C$2,0)),1,0)</f>
        <v>0</v>
      </c>
      <c r="P3132" s="2" t="s">
        <v>8678</v>
      </c>
    </row>
    <row r="3133" spans="1:16" x14ac:dyDescent="0.25">
      <c r="A3133" s="2" t="s">
        <v>8679</v>
      </c>
      <c r="B3133" s="2" t="s">
        <v>7433</v>
      </c>
      <c r="C3133" s="8">
        <v>46224</v>
      </c>
      <c r="D3133" s="6">
        <v>46204</v>
      </c>
      <c r="E3133" s="2" t="s">
        <v>260</v>
      </c>
      <c r="F3133" s="2" t="s">
        <v>8677</v>
      </c>
      <c r="G3133" s="6">
        <v>46174</v>
      </c>
      <c r="H3133" s="2" t="s">
        <v>71</v>
      </c>
      <c r="I3133" s="2" t="s">
        <v>70</v>
      </c>
      <c r="J3133" s="9">
        <v>6957.5909769999998</v>
      </c>
      <c r="K3133" s="7">
        <v>0.65800000000000003</v>
      </c>
      <c r="L3133" s="9">
        <v>4578.09</v>
      </c>
      <c r="M3133" s="9">
        <v>4626.8</v>
      </c>
      <c r="N3133" s="9">
        <v>2.52</v>
      </c>
      <c r="O3133" s="10">
        <f>IF(AND(OR(H3133="APPROVED",H3133="SCHEDULED"),COUNTIFS(tblSource[EventID],F3133,tblSource[ReleaseStatus],"APPROVED")=1,COUNTIFS(Period_Status!$A$2:$A$8,G3133,Period_Status!$B$2:$B$8,"ActualClosed")=1,C3133&gt;EOMONTH(Settlement_Bridge!$C$2,0)),1,0)</f>
        <v>0</v>
      </c>
      <c r="P3133" s="2" t="s">
        <v>8680</v>
      </c>
    </row>
    <row r="3134" spans="1:16" x14ac:dyDescent="0.25">
      <c r="A3134" s="2" t="s">
        <v>8681</v>
      </c>
      <c r="B3134" s="2" t="s">
        <v>7433</v>
      </c>
      <c r="C3134" s="8">
        <v>46200</v>
      </c>
      <c r="D3134" s="6">
        <v>46174</v>
      </c>
      <c r="E3134" s="2" t="s">
        <v>260</v>
      </c>
      <c r="F3134" s="2" t="s">
        <v>8682</v>
      </c>
      <c r="G3134" s="6">
        <v>46174</v>
      </c>
      <c r="H3134" s="2" t="s">
        <v>71</v>
      </c>
      <c r="I3134" s="2" t="s">
        <v>39</v>
      </c>
      <c r="J3134" s="9">
        <v>3195.2559999999999</v>
      </c>
      <c r="K3134" s="7">
        <v>1</v>
      </c>
      <c r="L3134" s="9">
        <v>3195.26</v>
      </c>
      <c r="M3134" s="9">
        <v>3195.26</v>
      </c>
      <c r="N3134" s="9">
        <v>1.8</v>
      </c>
      <c r="O3134" s="10">
        <f>IF(AND(OR(H3134="APPROVED",H3134="SCHEDULED"),COUNTIFS(tblSource[EventID],F3134,tblSource[ReleaseStatus],"APPROVED")=1,COUNTIFS(Period_Status!$A$2:$A$8,G3134,Period_Status!$B$2:$B$8,"ActualClosed")=1,C3134&gt;EOMONTH(Settlement_Bridge!$C$2,0)),1,0)</f>
        <v>0</v>
      </c>
      <c r="P3134" s="2" t="s">
        <v>8683</v>
      </c>
    </row>
    <row r="3135" spans="1:16" x14ac:dyDescent="0.25">
      <c r="A3135" s="2" t="s">
        <v>8684</v>
      </c>
      <c r="B3135" s="2" t="s">
        <v>7433</v>
      </c>
      <c r="C3135" s="8">
        <v>46225</v>
      </c>
      <c r="D3135" s="6">
        <v>46204</v>
      </c>
      <c r="E3135" s="2" t="s">
        <v>260</v>
      </c>
      <c r="F3135" s="2" t="s">
        <v>8682</v>
      </c>
      <c r="G3135" s="6">
        <v>46174</v>
      </c>
      <c r="H3135" s="2" t="s">
        <v>71</v>
      </c>
      <c r="I3135" s="2" t="s">
        <v>39</v>
      </c>
      <c r="J3135" s="9">
        <v>4792.884</v>
      </c>
      <c r="K3135" s="7">
        <v>1</v>
      </c>
      <c r="L3135" s="9">
        <v>4792.88</v>
      </c>
      <c r="M3135" s="9">
        <v>4792.88</v>
      </c>
      <c r="N3135" s="9">
        <v>2.64</v>
      </c>
      <c r="O3135" s="10">
        <f>IF(AND(OR(H3135="APPROVED",H3135="SCHEDULED"),COUNTIFS(tblSource[EventID],F3135,tblSource[ReleaseStatus],"APPROVED")=1,COUNTIFS(Period_Status!$A$2:$A$8,G3135,Period_Status!$B$2:$B$8,"ActualClosed")=1,C3135&gt;EOMONTH(Settlement_Bridge!$C$2,0)),1,0)</f>
        <v>0</v>
      </c>
      <c r="P3135" s="2" t="s">
        <v>8685</v>
      </c>
    </row>
    <row r="3136" spans="1:16" x14ac:dyDescent="0.25">
      <c r="A3136" s="2" t="s">
        <v>8686</v>
      </c>
      <c r="B3136" s="2" t="s">
        <v>7433</v>
      </c>
      <c r="C3136" s="8">
        <v>46201</v>
      </c>
      <c r="D3136" s="6">
        <v>46174</v>
      </c>
      <c r="E3136" s="2" t="s">
        <v>260</v>
      </c>
      <c r="F3136" s="2" t="s">
        <v>8687</v>
      </c>
      <c r="G3136" s="6">
        <v>46174</v>
      </c>
      <c r="H3136" s="2" t="s">
        <v>71</v>
      </c>
      <c r="I3136" s="2" t="s">
        <v>76</v>
      </c>
      <c r="J3136" s="9">
        <v>52895744</v>
      </c>
      <c r="K3136" s="7">
        <v>6.2500000000000001E-5</v>
      </c>
      <c r="L3136" s="9">
        <v>3305.98</v>
      </c>
      <c r="M3136" s="9">
        <v>3305.98</v>
      </c>
      <c r="N3136" s="9">
        <v>1.82</v>
      </c>
      <c r="O3136" s="10">
        <f>IF(AND(OR(H3136="APPROVED",H3136="SCHEDULED"),COUNTIFS(tblSource[EventID],F3136,tblSource[ReleaseStatus],"APPROVED")=1,COUNTIFS(Period_Status!$A$2:$A$8,G3136,Period_Status!$B$2:$B$8,"ActualClosed")=1,C3136&gt;EOMONTH(Settlement_Bridge!$C$2,0)),1,0)</f>
        <v>0</v>
      </c>
      <c r="P3136" s="2" t="s">
        <v>8688</v>
      </c>
    </row>
    <row r="3137" spans="1:16" x14ac:dyDescent="0.25">
      <c r="A3137" s="2" t="s">
        <v>8689</v>
      </c>
      <c r="B3137" s="2" t="s">
        <v>7433</v>
      </c>
      <c r="C3137" s="8">
        <v>46226</v>
      </c>
      <c r="D3137" s="6">
        <v>46204</v>
      </c>
      <c r="E3137" s="2" t="s">
        <v>260</v>
      </c>
      <c r="F3137" s="2" t="s">
        <v>8687</v>
      </c>
      <c r="G3137" s="6">
        <v>46174</v>
      </c>
      <c r="H3137" s="2" t="s">
        <v>71</v>
      </c>
      <c r="I3137" s="2" t="s">
        <v>76</v>
      </c>
      <c r="J3137" s="9">
        <v>79343616</v>
      </c>
      <c r="K3137" s="7">
        <v>6.2000000000000003E-5</v>
      </c>
      <c r="L3137" s="9">
        <v>4919.3</v>
      </c>
      <c r="M3137" s="9">
        <v>4958.9799999999996</v>
      </c>
      <c r="N3137" s="9">
        <v>2.71</v>
      </c>
      <c r="O3137" s="10">
        <f>IF(AND(OR(H3137="APPROVED",H3137="SCHEDULED"),COUNTIFS(tblSource[EventID],F3137,tblSource[ReleaseStatus],"APPROVED")=1,COUNTIFS(Period_Status!$A$2:$A$8,G3137,Period_Status!$B$2:$B$8,"ActualClosed")=1,C3137&gt;EOMONTH(Settlement_Bridge!$C$2,0)),1,0)</f>
        <v>0</v>
      </c>
      <c r="P3137" s="2" t="s">
        <v>8690</v>
      </c>
    </row>
    <row r="3138" spans="1:16" x14ac:dyDescent="0.25">
      <c r="A3138" s="2" t="s">
        <v>8691</v>
      </c>
      <c r="B3138" s="2" t="s">
        <v>7433</v>
      </c>
      <c r="C3138" s="8">
        <v>46202</v>
      </c>
      <c r="D3138" s="6">
        <v>46174</v>
      </c>
      <c r="E3138" s="2" t="s">
        <v>260</v>
      </c>
      <c r="F3138" s="2" t="s">
        <v>8692</v>
      </c>
      <c r="G3138" s="6">
        <v>46174</v>
      </c>
      <c r="H3138" s="2" t="s">
        <v>71</v>
      </c>
      <c r="I3138" s="2" t="s">
        <v>70</v>
      </c>
      <c r="J3138" s="9">
        <v>5137.9127820000003</v>
      </c>
      <c r="K3138" s="7">
        <v>0.66500000000000004</v>
      </c>
      <c r="L3138" s="9">
        <v>3416.71</v>
      </c>
      <c r="M3138" s="9">
        <v>3416.71</v>
      </c>
      <c r="N3138" s="9">
        <v>1.88</v>
      </c>
      <c r="O3138" s="10">
        <f>IF(AND(OR(H3138="APPROVED",H3138="SCHEDULED"),COUNTIFS(tblSource[EventID],F3138,tblSource[ReleaseStatus],"APPROVED")=1,COUNTIFS(Period_Status!$A$2:$A$8,G3138,Period_Status!$B$2:$B$8,"ActualClosed")=1,C3138&gt;EOMONTH(Settlement_Bridge!$C$2,0)),1,0)</f>
        <v>0</v>
      </c>
      <c r="P3138" s="2" t="s">
        <v>8693</v>
      </c>
    </row>
    <row r="3139" spans="1:16" x14ac:dyDescent="0.25">
      <c r="A3139" s="2" t="s">
        <v>8694</v>
      </c>
      <c r="B3139" s="2" t="s">
        <v>7433</v>
      </c>
      <c r="C3139" s="8">
        <v>46227</v>
      </c>
      <c r="D3139" s="6">
        <v>46204</v>
      </c>
      <c r="E3139" s="2" t="s">
        <v>260</v>
      </c>
      <c r="F3139" s="2" t="s">
        <v>8692</v>
      </c>
      <c r="G3139" s="6">
        <v>46174</v>
      </c>
      <c r="H3139" s="2" t="s">
        <v>71</v>
      </c>
      <c r="I3139" s="2" t="s">
        <v>70</v>
      </c>
      <c r="J3139" s="9">
        <v>7706.869173</v>
      </c>
      <c r="K3139" s="7">
        <v>0.65800000000000003</v>
      </c>
      <c r="L3139" s="9">
        <v>5071.12</v>
      </c>
      <c r="M3139" s="9">
        <v>5125.07</v>
      </c>
      <c r="N3139" s="9">
        <v>2.79</v>
      </c>
      <c r="O3139" s="10">
        <f>IF(AND(OR(H3139="APPROVED",H3139="SCHEDULED"),COUNTIFS(tblSource[EventID],F3139,tblSource[ReleaseStatus],"APPROVED")=1,COUNTIFS(Period_Status!$A$2:$A$8,G3139,Period_Status!$B$2:$B$8,"ActualClosed")=1,C3139&gt;EOMONTH(Settlement_Bridge!$C$2,0)),1,0)</f>
        <v>0</v>
      </c>
      <c r="P3139" s="2" t="s">
        <v>8695</v>
      </c>
    </row>
    <row r="3140" spans="1:16" x14ac:dyDescent="0.25">
      <c r="A3140" s="2" t="s">
        <v>8696</v>
      </c>
      <c r="B3140" s="2" t="s">
        <v>7433</v>
      </c>
      <c r="C3140" s="8">
        <v>46203</v>
      </c>
      <c r="D3140" s="6">
        <v>46174</v>
      </c>
      <c r="E3140" s="2" t="s">
        <v>260</v>
      </c>
      <c r="F3140" s="2" t="s">
        <v>8697</v>
      </c>
      <c r="G3140" s="6">
        <v>46174</v>
      </c>
      <c r="H3140" s="2" t="s">
        <v>71</v>
      </c>
      <c r="I3140" s="2" t="s">
        <v>39</v>
      </c>
      <c r="J3140" s="9">
        <v>3527.4360000000001</v>
      </c>
      <c r="K3140" s="7">
        <v>1</v>
      </c>
      <c r="L3140" s="9">
        <v>3527.44</v>
      </c>
      <c r="M3140" s="9">
        <v>3527.44</v>
      </c>
      <c r="N3140" s="9">
        <v>1.94</v>
      </c>
      <c r="O3140" s="10">
        <f>IF(AND(OR(H3140="APPROVED",H3140="SCHEDULED"),COUNTIFS(tblSource[EventID],F3140,tblSource[ReleaseStatus],"APPROVED")=1,COUNTIFS(Period_Status!$A$2:$A$8,G3140,Period_Status!$B$2:$B$8,"ActualClosed")=1,C3140&gt;EOMONTH(Settlement_Bridge!$C$2,0)),1,0)</f>
        <v>0</v>
      </c>
      <c r="P3140" s="2" t="s">
        <v>8698</v>
      </c>
    </row>
    <row r="3141" spans="1:16" x14ac:dyDescent="0.25">
      <c r="A3141" s="2" t="s">
        <v>8699</v>
      </c>
      <c r="B3141" s="2" t="s">
        <v>7433</v>
      </c>
      <c r="C3141" s="8">
        <v>46228</v>
      </c>
      <c r="D3141" s="6">
        <v>46204</v>
      </c>
      <c r="E3141" s="2" t="s">
        <v>260</v>
      </c>
      <c r="F3141" s="2" t="s">
        <v>8697</v>
      </c>
      <c r="G3141" s="6">
        <v>46174</v>
      </c>
      <c r="H3141" s="2" t="s">
        <v>71</v>
      </c>
      <c r="I3141" s="2" t="s">
        <v>39</v>
      </c>
      <c r="J3141" s="9">
        <v>5291.1540000000005</v>
      </c>
      <c r="K3141" s="7">
        <v>1</v>
      </c>
      <c r="L3141" s="9">
        <v>5291.15</v>
      </c>
      <c r="M3141" s="9">
        <v>5291.15</v>
      </c>
      <c r="N3141" s="9">
        <v>2.91</v>
      </c>
      <c r="O3141" s="10">
        <f>IF(AND(OR(H3141="APPROVED",H3141="SCHEDULED"),COUNTIFS(tblSource[EventID],F3141,tblSource[ReleaseStatus],"APPROVED")=1,COUNTIFS(Period_Status!$A$2:$A$8,G3141,Period_Status!$B$2:$B$8,"ActualClosed")=1,C3141&gt;EOMONTH(Settlement_Bridge!$C$2,0)),1,0)</f>
        <v>0</v>
      </c>
      <c r="P3141" s="2" t="s">
        <v>8700</v>
      </c>
    </row>
    <row r="3142" spans="1:16" x14ac:dyDescent="0.25">
      <c r="A3142" s="2" t="s">
        <v>8701</v>
      </c>
      <c r="B3142" s="2" t="s">
        <v>7433</v>
      </c>
      <c r="C3142" s="8">
        <v>46204</v>
      </c>
      <c r="D3142" s="6">
        <v>46204</v>
      </c>
      <c r="E3142" s="2" t="s">
        <v>260</v>
      </c>
      <c r="F3142" s="2" t="s">
        <v>8702</v>
      </c>
      <c r="G3142" s="6">
        <v>46174</v>
      </c>
      <c r="H3142" s="2" t="s">
        <v>71</v>
      </c>
      <c r="I3142" s="2" t="s">
        <v>76</v>
      </c>
      <c r="J3142" s="9">
        <v>58210624</v>
      </c>
      <c r="K3142" s="7">
        <v>6.2000000000000003E-5</v>
      </c>
      <c r="L3142" s="9">
        <v>3609.06</v>
      </c>
      <c r="M3142" s="9">
        <v>3638.16</v>
      </c>
      <c r="N3142" s="9">
        <v>1.98</v>
      </c>
      <c r="O3142" s="10">
        <f>IF(AND(OR(H3142="APPROVED",H3142="SCHEDULED"),COUNTIFS(tblSource[EventID],F3142,tblSource[ReleaseStatus],"APPROVED")=1,COUNTIFS(Period_Status!$A$2:$A$8,G3142,Period_Status!$B$2:$B$8,"ActualClosed")=1,C3142&gt;EOMONTH(Settlement_Bridge!$C$2,0)),1,0)</f>
        <v>0</v>
      </c>
      <c r="P3142" s="2" t="s">
        <v>8703</v>
      </c>
    </row>
    <row r="3143" spans="1:16" x14ac:dyDescent="0.25">
      <c r="A3143" s="2" t="s">
        <v>8704</v>
      </c>
      <c r="B3143" s="2" t="s">
        <v>7433</v>
      </c>
      <c r="C3143" s="8">
        <v>46229</v>
      </c>
      <c r="D3143" s="6">
        <v>46204</v>
      </c>
      <c r="E3143" s="2" t="s">
        <v>260</v>
      </c>
      <c r="F3143" s="2" t="s">
        <v>8702</v>
      </c>
      <c r="G3143" s="6">
        <v>46174</v>
      </c>
      <c r="H3143" s="2" t="s">
        <v>71</v>
      </c>
      <c r="I3143" s="2" t="s">
        <v>76</v>
      </c>
      <c r="J3143" s="9">
        <v>87315936</v>
      </c>
      <c r="K3143" s="7">
        <v>6.2000000000000003E-5</v>
      </c>
      <c r="L3143" s="9">
        <v>5413.59</v>
      </c>
      <c r="M3143" s="9">
        <v>5457.25</v>
      </c>
      <c r="N3143" s="9">
        <v>2.98</v>
      </c>
      <c r="O3143" s="10">
        <f>IF(AND(OR(H3143="APPROVED",H3143="SCHEDULED"),COUNTIFS(tblSource[EventID],F3143,tblSource[ReleaseStatus],"APPROVED")=1,COUNTIFS(Period_Status!$A$2:$A$8,G3143,Period_Status!$B$2:$B$8,"ActualClosed")=1,C3143&gt;EOMONTH(Settlement_Bridge!$C$2,0)),1,0)</f>
        <v>0</v>
      </c>
      <c r="P3143" s="2" t="s">
        <v>8705</v>
      </c>
    </row>
    <row r="3144" spans="1:16" x14ac:dyDescent="0.25">
      <c r="A3144" s="2" t="s">
        <v>8706</v>
      </c>
      <c r="B3144" s="2" t="s">
        <v>7433</v>
      </c>
      <c r="C3144" s="8">
        <v>46205</v>
      </c>
      <c r="D3144" s="6">
        <v>46204</v>
      </c>
      <c r="E3144" s="2" t="s">
        <v>260</v>
      </c>
      <c r="F3144" s="2" t="s">
        <v>8707</v>
      </c>
      <c r="G3144" s="6">
        <v>46174</v>
      </c>
      <c r="H3144" s="2" t="s">
        <v>71</v>
      </c>
      <c r="I3144" s="2" t="s">
        <v>70</v>
      </c>
      <c r="J3144" s="9">
        <v>5637.4255640000001</v>
      </c>
      <c r="K3144" s="7">
        <v>0.65800000000000003</v>
      </c>
      <c r="L3144" s="9">
        <v>3709.43</v>
      </c>
      <c r="M3144" s="9">
        <v>3748.89</v>
      </c>
      <c r="N3144" s="9">
        <v>2.04</v>
      </c>
      <c r="O3144" s="10">
        <f>IF(AND(OR(H3144="APPROVED",H3144="SCHEDULED"),COUNTIFS(tblSource[EventID],F3144,tblSource[ReleaseStatus],"APPROVED")=1,COUNTIFS(Period_Status!$A$2:$A$8,G3144,Period_Status!$B$2:$B$8,"ActualClosed")=1,C3144&gt;EOMONTH(Settlement_Bridge!$C$2,0)),1,0)</f>
        <v>0</v>
      </c>
      <c r="P3144" s="2" t="s">
        <v>8708</v>
      </c>
    </row>
    <row r="3145" spans="1:16" x14ac:dyDescent="0.25">
      <c r="A3145" s="2" t="s">
        <v>8709</v>
      </c>
      <c r="B3145" s="2" t="s">
        <v>7433</v>
      </c>
      <c r="C3145" s="8">
        <v>46230</v>
      </c>
      <c r="D3145" s="6">
        <v>46204</v>
      </c>
      <c r="E3145" s="2" t="s">
        <v>260</v>
      </c>
      <c r="F3145" s="2" t="s">
        <v>8707</v>
      </c>
      <c r="G3145" s="6">
        <v>46174</v>
      </c>
      <c r="H3145" s="2" t="s">
        <v>71</v>
      </c>
      <c r="I3145" s="2" t="s">
        <v>70</v>
      </c>
      <c r="J3145" s="9">
        <v>8456.1383459999997</v>
      </c>
      <c r="K3145" s="7">
        <v>0.65800000000000003</v>
      </c>
      <c r="L3145" s="9">
        <v>5564.14</v>
      </c>
      <c r="M3145" s="9">
        <v>5623.33</v>
      </c>
      <c r="N3145" s="9">
        <v>3.06</v>
      </c>
      <c r="O3145" s="10">
        <f>IF(AND(OR(H3145="APPROVED",H3145="SCHEDULED"),COUNTIFS(tblSource[EventID],F3145,tblSource[ReleaseStatus],"APPROVED")=1,COUNTIFS(Period_Status!$A$2:$A$8,G3145,Period_Status!$B$2:$B$8,"ActualClosed")=1,C3145&gt;EOMONTH(Settlement_Bridge!$C$2,0)),1,0)</f>
        <v>0</v>
      </c>
      <c r="P3145" s="2" t="s">
        <v>8710</v>
      </c>
    </row>
    <row r="3146" spans="1:16" x14ac:dyDescent="0.25">
      <c r="A3146" s="2" t="s">
        <v>8711</v>
      </c>
      <c r="B3146" s="2" t="s">
        <v>7433</v>
      </c>
      <c r="C3146" s="8">
        <v>46206</v>
      </c>
      <c r="D3146" s="6">
        <v>46204</v>
      </c>
      <c r="E3146" s="2" t="s">
        <v>260</v>
      </c>
      <c r="F3146" s="2" t="s">
        <v>8712</v>
      </c>
      <c r="G3146" s="6">
        <v>46174</v>
      </c>
      <c r="H3146" s="2" t="s">
        <v>71</v>
      </c>
      <c r="I3146" s="2" t="s">
        <v>39</v>
      </c>
      <c r="J3146" s="9">
        <v>3859.616</v>
      </c>
      <c r="K3146" s="7">
        <v>1</v>
      </c>
      <c r="L3146" s="9">
        <v>3859.62</v>
      </c>
      <c r="M3146" s="9">
        <v>3859.62</v>
      </c>
      <c r="N3146" s="9">
        <v>2.12</v>
      </c>
      <c r="O3146" s="10">
        <f>IF(AND(OR(H3146="APPROVED",H3146="SCHEDULED"),COUNTIFS(tblSource[EventID],F3146,tblSource[ReleaseStatus],"APPROVED")=1,COUNTIFS(Period_Status!$A$2:$A$8,G3146,Period_Status!$B$2:$B$8,"ActualClosed")=1,C3146&gt;EOMONTH(Settlement_Bridge!$C$2,0)),1,0)</f>
        <v>0</v>
      </c>
      <c r="P3146" s="2" t="s">
        <v>8713</v>
      </c>
    </row>
    <row r="3147" spans="1:16" x14ac:dyDescent="0.25">
      <c r="A3147" s="2" t="s">
        <v>8714</v>
      </c>
      <c r="B3147" s="2" t="s">
        <v>7433</v>
      </c>
      <c r="C3147" s="8">
        <v>46231</v>
      </c>
      <c r="D3147" s="6">
        <v>46204</v>
      </c>
      <c r="E3147" s="2" t="s">
        <v>260</v>
      </c>
      <c r="F3147" s="2" t="s">
        <v>8712</v>
      </c>
      <c r="G3147" s="6">
        <v>46174</v>
      </c>
      <c r="H3147" s="2" t="s">
        <v>71</v>
      </c>
      <c r="I3147" s="2" t="s">
        <v>39</v>
      </c>
      <c r="J3147" s="9">
        <v>5789.424</v>
      </c>
      <c r="K3147" s="7">
        <v>1</v>
      </c>
      <c r="L3147" s="9">
        <v>5789.42</v>
      </c>
      <c r="M3147" s="9">
        <v>5789.42</v>
      </c>
      <c r="N3147" s="9">
        <v>3.18</v>
      </c>
      <c r="O3147" s="10">
        <f>IF(AND(OR(H3147="APPROVED",H3147="SCHEDULED"),COUNTIFS(tblSource[EventID],F3147,tblSource[ReleaseStatus],"APPROVED")=1,COUNTIFS(Period_Status!$A$2:$A$8,G3147,Period_Status!$B$2:$B$8,"ActualClosed")=1,C3147&gt;EOMONTH(Settlement_Bridge!$C$2,0)),1,0)</f>
        <v>0</v>
      </c>
      <c r="P3147" s="2" t="s">
        <v>8715</v>
      </c>
    </row>
    <row r="3148" spans="1:16" x14ac:dyDescent="0.25">
      <c r="A3148" s="2" t="s">
        <v>8716</v>
      </c>
      <c r="B3148" s="2" t="s">
        <v>7433</v>
      </c>
      <c r="C3148" s="8">
        <v>46207</v>
      </c>
      <c r="D3148" s="6">
        <v>46204</v>
      </c>
      <c r="E3148" s="2" t="s">
        <v>260</v>
      </c>
      <c r="F3148" s="2" t="s">
        <v>8717</v>
      </c>
      <c r="G3148" s="6">
        <v>46174</v>
      </c>
      <c r="H3148" s="2" t="s">
        <v>71</v>
      </c>
      <c r="I3148" s="2" t="s">
        <v>76</v>
      </c>
      <c r="J3148" s="9">
        <v>63525504</v>
      </c>
      <c r="K3148" s="7">
        <v>6.2000000000000003E-5</v>
      </c>
      <c r="L3148" s="9">
        <v>3938.58</v>
      </c>
      <c r="M3148" s="9">
        <v>3970.34</v>
      </c>
      <c r="N3148" s="9">
        <v>2.17</v>
      </c>
      <c r="O3148" s="10">
        <f>IF(AND(OR(H3148="APPROVED",H3148="SCHEDULED"),COUNTIFS(tblSource[EventID],F3148,tblSource[ReleaseStatus],"APPROVED")=1,COUNTIFS(Period_Status!$A$2:$A$8,G3148,Period_Status!$B$2:$B$8,"ActualClosed")=1,C3148&gt;EOMONTH(Settlement_Bridge!$C$2,0)),1,0)</f>
        <v>0</v>
      </c>
      <c r="P3148" s="2" t="s">
        <v>8718</v>
      </c>
    </row>
    <row r="3149" spans="1:16" x14ac:dyDescent="0.25">
      <c r="A3149" s="2" t="s">
        <v>8719</v>
      </c>
      <c r="B3149" s="2" t="s">
        <v>7433</v>
      </c>
      <c r="C3149" s="8">
        <v>46232</v>
      </c>
      <c r="D3149" s="6">
        <v>46204</v>
      </c>
      <c r="E3149" s="2" t="s">
        <v>260</v>
      </c>
      <c r="F3149" s="2" t="s">
        <v>8717</v>
      </c>
      <c r="G3149" s="6">
        <v>46174</v>
      </c>
      <c r="H3149" s="2" t="s">
        <v>71</v>
      </c>
      <c r="I3149" s="2" t="s">
        <v>76</v>
      </c>
      <c r="J3149" s="9">
        <v>95288256</v>
      </c>
      <c r="K3149" s="7">
        <v>6.2000000000000003E-5</v>
      </c>
      <c r="L3149" s="9">
        <v>5907.87</v>
      </c>
      <c r="M3149" s="9">
        <v>5955.52</v>
      </c>
      <c r="N3149" s="9">
        <v>3.25</v>
      </c>
      <c r="O3149" s="10">
        <f>IF(AND(OR(H3149="APPROVED",H3149="SCHEDULED"),COUNTIFS(tblSource[EventID],F3149,tblSource[ReleaseStatus],"APPROVED")=1,COUNTIFS(Period_Status!$A$2:$A$8,G3149,Period_Status!$B$2:$B$8,"ActualClosed")=1,C3149&gt;EOMONTH(Settlement_Bridge!$C$2,0)),1,0)</f>
        <v>0</v>
      </c>
      <c r="P3149" s="2" t="s">
        <v>8720</v>
      </c>
    </row>
    <row r="3150" spans="1:16" x14ac:dyDescent="0.25">
      <c r="A3150" s="2" t="s">
        <v>8721</v>
      </c>
      <c r="B3150" s="2" t="s">
        <v>7433</v>
      </c>
      <c r="C3150" s="8">
        <v>46208</v>
      </c>
      <c r="D3150" s="6">
        <v>46204</v>
      </c>
      <c r="E3150" s="2" t="s">
        <v>260</v>
      </c>
      <c r="F3150" s="2" t="s">
        <v>8722</v>
      </c>
      <c r="G3150" s="6">
        <v>46174</v>
      </c>
      <c r="H3150" s="2" t="s">
        <v>71</v>
      </c>
      <c r="I3150" s="2" t="s">
        <v>70</v>
      </c>
      <c r="J3150" s="9">
        <v>6136.9443609999998</v>
      </c>
      <c r="K3150" s="7">
        <v>0.65800000000000003</v>
      </c>
      <c r="L3150" s="9">
        <v>4038.11</v>
      </c>
      <c r="M3150" s="9">
        <v>4081.07</v>
      </c>
      <c r="N3150" s="9">
        <v>2.2200000000000002</v>
      </c>
      <c r="O3150" s="10">
        <f>IF(AND(OR(H3150="APPROVED",H3150="SCHEDULED"),COUNTIFS(tblSource[EventID],F3150,tblSource[ReleaseStatus],"APPROVED")=1,COUNTIFS(Period_Status!$A$2:$A$8,G3150,Period_Status!$B$2:$B$8,"ActualClosed")=1,C3150&gt;EOMONTH(Settlement_Bridge!$C$2,0)),1,0)</f>
        <v>0</v>
      </c>
      <c r="P3150" s="2" t="s">
        <v>8723</v>
      </c>
    </row>
    <row r="3151" spans="1:16" x14ac:dyDescent="0.25">
      <c r="A3151" s="2" t="s">
        <v>8724</v>
      </c>
      <c r="B3151" s="2" t="s">
        <v>7433</v>
      </c>
      <c r="C3151" s="8">
        <v>46233</v>
      </c>
      <c r="D3151" s="6">
        <v>46204</v>
      </c>
      <c r="E3151" s="2" t="s">
        <v>260</v>
      </c>
      <c r="F3151" s="2" t="s">
        <v>8722</v>
      </c>
      <c r="G3151" s="6">
        <v>46174</v>
      </c>
      <c r="H3151" s="2" t="s">
        <v>71</v>
      </c>
      <c r="I3151" s="2" t="s">
        <v>70</v>
      </c>
      <c r="J3151" s="9">
        <v>9205.4165410000005</v>
      </c>
      <c r="K3151" s="7">
        <v>0.65800000000000003</v>
      </c>
      <c r="L3151" s="9">
        <v>6057.16</v>
      </c>
      <c r="M3151" s="9">
        <v>6121.6</v>
      </c>
      <c r="N3151" s="9">
        <v>3.33</v>
      </c>
      <c r="O3151" s="10">
        <f>IF(AND(OR(H3151="APPROVED",H3151="SCHEDULED"),COUNTIFS(tblSource[EventID],F3151,tblSource[ReleaseStatus],"APPROVED")=1,COUNTIFS(Period_Status!$A$2:$A$8,G3151,Period_Status!$B$2:$B$8,"ActualClosed")=1,C3151&gt;EOMONTH(Settlement_Bridge!$C$2,0)),1,0)</f>
        <v>0</v>
      </c>
      <c r="P3151" s="2" t="s">
        <v>8725</v>
      </c>
    </row>
    <row r="3152" spans="1:16" x14ac:dyDescent="0.25">
      <c r="A3152" s="2" t="s">
        <v>8726</v>
      </c>
      <c r="B3152" s="2" t="s">
        <v>7433</v>
      </c>
      <c r="C3152" s="8">
        <v>46209</v>
      </c>
      <c r="D3152" s="6">
        <v>46204</v>
      </c>
      <c r="E3152" s="2" t="s">
        <v>260</v>
      </c>
      <c r="F3152" s="2" t="s">
        <v>8727</v>
      </c>
      <c r="G3152" s="6">
        <v>46174</v>
      </c>
      <c r="H3152" s="2" t="s">
        <v>71</v>
      </c>
      <c r="I3152" s="2" t="s">
        <v>39</v>
      </c>
      <c r="J3152" s="9">
        <v>4191.7960000000003</v>
      </c>
      <c r="K3152" s="7">
        <v>1</v>
      </c>
      <c r="L3152" s="9">
        <v>4191.8</v>
      </c>
      <c r="M3152" s="9">
        <v>4191.8</v>
      </c>
      <c r="N3152" s="9">
        <v>2.31</v>
      </c>
      <c r="O3152" s="10">
        <f>IF(AND(OR(H3152="APPROVED",H3152="SCHEDULED"),COUNTIFS(tblSource[EventID],F3152,tblSource[ReleaseStatus],"APPROVED")=1,COUNTIFS(Period_Status!$A$2:$A$8,G3152,Period_Status!$B$2:$B$8,"ActualClosed")=1,C3152&gt;EOMONTH(Settlement_Bridge!$C$2,0)),1,0)</f>
        <v>0</v>
      </c>
      <c r="P3152" s="2" t="s">
        <v>8728</v>
      </c>
    </row>
    <row r="3153" spans="1:16" x14ac:dyDescent="0.25">
      <c r="A3153" s="2" t="s">
        <v>8729</v>
      </c>
      <c r="B3153" s="2" t="s">
        <v>7433</v>
      </c>
      <c r="C3153" s="8">
        <v>46234</v>
      </c>
      <c r="D3153" s="6">
        <v>46204</v>
      </c>
      <c r="E3153" s="2" t="s">
        <v>260</v>
      </c>
      <c r="F3153" s="2" t="s">
        <v>8727</v>
      </c>
      <c r="G3153" s="6">
        <v>46174</v>
      </c>
      <c r="H3153" s="2" t="s">
        <v>71</v>
      </c>
      <c r="I3153" s="2" t="s">
        <v>39</v>
      </c>
      <c r="J3153" s="9">
        <v>6287.6940000000004</v>
      </c>
      <c r="K3153" s="7">
        <v>1</v>
      </c>
      <c r="L3153" s="9">
        <v>6287.69</v>
      </c>
      <c r="M3153" s="9">
        <v>6287.69</v>
      </c>
      <c r="N3153" s="9">
        <v>3.46</v>
      </c>
      <c r="O3153" s="10">
        <f>IF(AND(OR(H3153="APPROVED",H3153="SCHEDULED"),COUNTIFS(tblSource[EventID],F3153,tblSource[ReleaseStatus],"APPROVED")=1,COUNTIFS(Period_Status!$A$2:$A$8,G3153,Period_Status!$B$2:$B$8,"ActualClosed")=1,C3153&gt;EOMONTH(Settlement_Bridge!$C$2,0)),1,0)</f>
        <v>0</v>
      </c>
      <c r="P3153" s="2" t="s">
        <v>8730</v>
      </c>
    </row>
    <row r="3154" spans="1:16" x14ac:dyDescent="0.25">
      <c r="A3154" s="2" t="s">
        <v>8731</v>
      </c>
      <c r="B3154" s="2" t="s">
        <v>7433</v>
      </c>
      <c r="C3154" s="8">
        <v>46210</v>
      </c>
      <c r="D3154" s="6">
        <v>46204</v>
      </c>
      <c r="E3154" s="2" t="s">
        <v>260</v>
      </c>
      <c r="F3154" s="2" t="s">
        <v>8732</v>
      </c>
      <c r="G3154" s="6">
        <v>46174</v>
      </c>
      <c r="H3154" s="2" t="s">
        <v>71</v>
      </c>
      <c r="I3154" s="2" t="s">
        <v>76</v>
      </c>
      <c r="J3154" s="9">
        <v>68840320</v>
      </c>
      <c r="K3154" s="7">
        <v>6.2000000000000003E-5</v>
      </c>
      <c r="L3154" s="9">
        <v>4268.1000000000004</v>
      </c>
      <c r="M3154" s="9">
        <v>4302.5200000000004</v>
      </c>
      <c r="N3154" s="9">
        <v>2.35</v>
      </c>
      <c r="O3154" s="10">
        <f>IF(AND(OR(H3154="APPROVED",H3154="SCHEDULED"),COUNTIFS(tblSource[EventID],F3154,tblSource[ReleaseStatus],"APPROVED")=1,COUNTIFS(Period_Status!$A$2:$A$8,G3154,Period_Status!$B$2:$B$8,"ActualClosed")=1,C3154&gt;EOMONTH(Settlement_Bridge!$C$2,0)),1,0)</f>
        <v>0</v>
      </c>
      <c r="P3154" s="2" t="s">
        <v>8733</v>
      </c>
    </row>
    <row r="3155" spans="1:16" x14ac:dyDescent="0.25">
      <c r="A3155" s="2" t="s">
        <v>8734</v>
      </c>
      <c r="B3155" s="2" t="s">
        <v>7433</v>
      </c>
      <c r="C3155" s="8">
        <v>46235</v>
      </c>
      <c r="D3155" s="6">
        <v>46235</v>
      </c>
      <c r="E3155" s="2" t="s">
        <v>260</v>
      </c>
      <c r="F3155" s="2" t="s">
        <v>8732</v>
      </c>
      <c r="G3155" s="6">
        <v>46174</v>
      </c>
      <c r="H3155" s="2" t="s">
        <v>71</v>
      </c>
      <c r="I3155" s="2" t="s">
        <v>76</v>
      </c>
      <c r="J3155" s="9">
        <v>103260480</v>
      </c>
      <c r="K3155" s="7">
        <v>6.1500000000000004E-5</v>
      </c>
      <c r="L3155" s="9">
        <v>6350.52</v>
      </c>
      <c r="M3155" s="9">
        <v>6453.78</v>
      </c>
      <c r="N3155" s="9">
        <v>3.49</v>
      </c>
      <c r="O3155" s="10">
        <f>IF(AND(OR(H3155="APPROVED",H3155="SCHEDULED"),COUNTIFS(tblSource[EventID],F3155,tblSource[ReleaseStatus],"APPROVED")=1,COUNTIFS(Period_Status!$A$2:$A$8,G3155,Period_Status!$B$2:$B$8,"ActualClosed")=1,C3155&gt;EOMONTH(Settlement_Bridge!$C$2,0)),1,0)</f>
        <v>1</v>
      </c>
      <c r="P3155" s="2" t="s">
        <v>8735</v>
      </c>
    </row>
    <row r="3156" spans="1:16" x14ac:dyDescent="0.25">
      <c r="A3156" s="2" t="s">
        <v>8736</v>
      </c>
      <c r="B3156" s="2" t="s">
        <v>7433</v>
      </c>
      <c r="C3156" s="8">
        <v>46211</v>
      </c>
      <c r="D3156" s="6">
        <v>46204</v>
      </c>
      <c r="E3156" s="2" t="s">
        <v>260</v>
      </c>
      <c r="F3156" s="2" t="s">
        <v>8737</v>
      </c>
      <c r="G3156" s="6">
        <v>46174</v>
      </c>
      <c r="H3156" s="2" t="s">
        <v>71</v>
      </c>
      <c r="I3156" s="2" t="s">
        <v>70</v>
      </c>
      <c r="J3156" s="9">
        <v>6636.4631579999996</v>
      </c>
      <c r="K3156" s="7">
        <v>0.65800000000000003</v>
      </c>
      <c r="L3156" s="9">
        <v>4366.79</v>
      </c>
      <c r="M3156" s="9">
        <v>4413.25</v>
      </c>
      <c r="N3156" s="9">
        <v>2.4</v>
      </c>
      <c r="O3156" s="10">
        <f>IF(AND(OR(H3156="APPROVED",H3156="SCHEDULED"),COUNTIFS(tblSource[EventID],F3156,tblSource[ReleaseStatus],"APPROVED")=1,COUNTIFS(Period_Status!$A$2:$A$8,G3156,Period_Status!$B$2:$B$8,"ActualClosed")=1,C3156&gt;EOMONTH(Settlement_Bridge!$C$2,0)),1,0)</f>
        <v>0</v>
      </c>
      <c r="P3156" s="2" t="s">
        <v>8738</v>
      </c>
    </row>
    <row r="3157" spans="1:16" x14ac:dyDescent="0.25">
      <c r="A3157" s="2" t="s">
        <v>8739</v>
      </c>
      <c r="B3157" s="2" t="s">
        <v>7433</v>
      </c>
      <c r="C3157" s="8">
        <v>46236</v>
      </c>
      <c r="D3157" s="6">
        <v>46235</v>
      </c>
      <c r="E3157" s="2" t="s">
        <v>260</v>
      </c>
      <c r="F3157" s="2" t="s">
        <v>8737</v>
      </c>
      <c r="G3157" s="6">
        <v>46174</v>
      </c>
      <c r="H3157" s="2" t="s">
        <v>71</v>
      </c>
      <c r="I3157" s="2" t="s">
        <v>70</v>
      </c>
      <c r="J3157" s="9">
        <v>9954.6947369999998</v>
      </c>
      <c r="K3157" s="7">
        <v>0.65</v>
      </c>
      <c r="L3157" s="9">
        <v>6470.55</v>
      </c>
      <c r="M3157" s="9">
        <v>6619.87</v>
      </c>
      <c r="N3157" s="9">
        <v>3.56</v>
      </c>
      <c r="O3157" s="10">
        <f>IF(AND(OR(H3157="APPROVED",H3157="SCHEDULED"),COUNTIFS(tblSource[EventID],F3157,tblSource[ReleaseStatus],"APPROVED")=1,COUNTIFS(Period_Status!$A$2:$A$8,G3157,Period_Status!$B$2:$B$8,"ActualClosed")=1,C3157&gt;EOMONTH(Settlement_Bridge!$C$2,0)),1,0)</f>
        <v>1</v>
      </c>
      <c r="P3157" s="2" t="s">
        <v>8740</v>
      </c>
    </row>
    <row r="3158" spans="1:16" x14ac:dyDescent="0.25">
      <c r="A3158" s="2" t="s">
        <v>8741</v>
      </c>
      <c r="B3158" s="2" t="s">
        <v>7433</v>
      </c>
      <c r="C3158" s="8">
        <v>46212</v>
      </c>
      <c r="D3158" s="6">
        <v>46204</v>
      </c>
      <c r="E3158" s="2" t="s">
        <v>260</v>
      </c>
      <c r="F3158" s="2" t="s">
        <v>8742</v>
      </c>
      <c r="G3158" s="6">
        <v>46174</v>
      </c>
      <c r="H3158" s="2" t="s">
        <v>71</v>
      </c>
      <c r="I3158" s="2" t="s">
        <v>39</v>
      </c>
      <c r="J3158" s="9">
        <v>4523.9759999999997</v>
      </c>
      <c r="K3158" s="7">
        <v>1</v>
      </c>
      <c r="L3158" s="9">
        <v>4523.9799999999996</v>
      </c>
      <c r="M3158" s="9">
        <v>4523.9799999999996</v>
      </c>
      <c r="N3158" s="9">
        <v>2.4900000000000002</v>
      </c>
      <c r="O3158" s="10">
        <f>IF(AND(OR(H3158="APPROVED",H3158="SCHEDULED"),COUNTIFS(tblSource[EventID],F3158,tblSource[ReleaseStatus],"APPROVED")=1,COUNTIFS(Period_Status!$A$2:$A$8,G3158,Period_Status!$B$2:$B$8,"ActualClosed")=1,C3158&gt;EOMONTH(Settlement_Bridge!$C$2,0)),1,0)</f>
        <v>0</v>
      </c>
      <c r="P3158" s="2" t="s">
        <v>8743</v>
      </c>
    </row>
    <row r="3159" spans="1:16" x14ac:dyDescent="0.25">
      <c r="A3159" s="2" t="s">
        <v>8744</v>
      </c>
      <c r="B3159" s="2" t="s">
        <v>7433</v>
      </c>
      <c r="C3159" s="8">
        <v>46237</v>
      </c>
      <c r="D3159" s="6">
        <v>46235</v>
      </c>
      <c r="E3159" s="2" t="s">
        <v>260</v>
      </c>
      <c r="F3159" s="2" t="s">
        <v>8742</v>
      </c>
      <c r="G3159" s="6">
        <v>46174</v>
      </c>
      <c r="H3159" s="2" t="s">
        <v>71</v>
      </c>
      <c r="I3159" s="2" t="s">
        <v>39</v>
      </c>
      <c r="J3159" s="9">
        <v>6785.9639999999999</v>
      </c>
      <c r="K3159" s="7">
        <v>1</v>
      </c>
      <c r="L3159" s="9">
        <v>6785.96</v>
      </c>
      <c r="M3159" s="9">
        <v>6785.96</v>
      </c>
      <c r="N3159" s="9">
        <v>3.73</v>
      </c>
      <c r="O3159" s="10">
        <f>IF(AND(OR(H3159="APPROVED",H3159="SCHEDULED"),COUNTIFS(tblSource[EventID],F3159,tblSource[ReleaseStatus],"APPROVED")=1,COUNTIFS(Period_Status!$A$2:$A$8,G3159,Period_Status!$B$2:$B$8,"ActualClosed")=1,C3159&gt;EOMONTH(Settlement_Bridge!$C$2,0)),1,0)</f>
        <v>1</v>
      </c>
      <c r="P3159" s="2" t="s">
        <v>8745</v>
      </c>
    </row>
    <row r="3160" spans="1:16" x14ac:dyDescent="0.25">
      <c r="A3160" s="2" t="s">
        <v>8746</v>
      </c>
      <c r="B3160" s="2" t="s">
        <v>7433</v>
      </c>
      <c r="C3160" s="8">
        <v>46213</v>
      </c>
      <c r="D3160" s="6">
        <v>46204</v>
      </c>
      <c r="E3160" s="2" t="s">
        <v>260</v>
      </c>
      <c r="F3160" s="2" t="s">
        <v>8747</v>
      </c>
      <c r="G3160" s="6">
        <v>46174</v>
      </c>
      <c r="H3160" s="2" t="s">
        <v>71</v>
      </c>
      <c r="I3160" s="2" t="s">
        <v>76</v>
      </c>
      <c r="J3160" s="9">
        <v>74155200</v>
      </c>
      <c r="K3160" s="7">
        <v>6.2000000000000003E-5</v>
      </c>
      <c r="L3160" s="9">
        <v>4597.62</v>
      </c>
      <c r="M3160" s="9">
        <v>4634.7</v>
      </c>
      <c r="N3160" s="9">
        <v>2.5299999999999998</v>
      </c>
      <c r="O3160" s="10">
        <f>IF(AND(OR(H3160="APPROVED",H3160="SCHEDULED"),COUNTIFS(tblSource[EventID],F3160,tblSource[ReleaseStatus],"APPROVED")=1,COUNTIFS(Period_Status!$A$2:$A$8,G3160,Period_Status!$B$2:$B$8,"ActualClosed")=1,C3160&gt;EOMONTH(Settlement_Bridge!$C$2,0)),1,0)</f>
        <v>0</v>
      </c>
      <c r="P3160" s="2" t="s">
        <v>8748</v>
      </c>
    </row>
    <row r="3161" spans="1:16" x14ac:dyDescent="0.25">
      <c r="A3161" s="2" t="s">
        <v>8749</v>
      </c>
      <c r="B3161" s="2" t="s">
        <v>7433</v>
      </c>
      <c r="C3161" s="8">
        <v>46238</v>
      </c>
      <c r="D3161" s="6">
        <v>46235</v>
      </c>
      <c r="E3161" s="2" t="s">
        <v>260</v>
      </c>
      <c r="F3161" s="2" t="s">
        <v>8747</v>
      </c>
      <c r="G3161" s="6">
        <v>46174</v>
      </c>
      <c r="H3161" s="2" t="s">
        <v>71</v>
      </c>
      <c r="I3161" s="2" t="s">
        <v>76</v>
      </c>
      <c r="J3161" s="9">
        <v>111232800</v>
      </c>
      <c r="K3161" s="7">
        <v>6.1500000000000004E-5</v>
      </c>
      <c r="L3161" s="9">
        <v>6840.82</v>
      </c>
      <c r="M3161" s="9">
        <v>6952.05</v>
      </c>
      <c r="N3161" s="9">
        <v>3.76</v>
      </c>
      <c r="O3161" s="10">
        <f>IF(AND(OR(H3161="APPROVED",H3161="SCHEDULED"),COUNTIFS(tblSource[EventID],F3161,tblSource[ReleaseStatus],"APPROVED")=1,COUNTIFS(Period_Status!$A$2:$A$8,G3161,Period_Status!$B$2:$B$8,"ActualClosed")=1,C3161&gt;EOMONTH(Settlement_Bridge!$C$2,0)),1,0)</f>
        <v>1</v>
      </c>
      <c r="P3161" s="2" t="s">
        <v>8750</v>
      </c>
    </row>
    <row r="3162" spans="1:16" x14ac:dyDescent="0.25">
      <c r="A3162" s="2" t="s">
        <v>8751</v>
      </c>
      <c r="B3162" s="2" t="s">
        <v>7433</v>
      </c>
      <c r="C3162" s="8">
        <v>46214</v>
      </c>
      <c r="D3162" s="6">
        <v>46204</v>
      </c>
      <c r="E3162" s="2" t="s">
        <v>260</v>
      </c>
      <c r="F3162" s="2" t="s">
        <v>8752</v>
      </c>
      <c r="G3162" s="6">
        <v>46174</v>
      </c>
      <c r="H3162" s="2" t="s">
        <v>71</v>
      </c>
      <c r="I3162" s="2" t="s">
        <v>70</v>
      </c>
      <c r="J3162" s="9">
        <v>7135.9819550000002</v>
      </c>
      <c r="K3162" s="7">
        <v>0.65800000000000003</v>
      </c>
      <c r="L3162" s="9">
        <v>4695.4799999999996</v>
      </c>
      <c r="M3162" s="9">
        <v>4745.43</v>
      </c>
      <c r="N3162" s="9">
        <v>2.58</v>
      </c>
      <c r="O3162" s="10">
        <f>IF(AND(OR(H3162="APPROVED",H3162="SCHEDULED"),COUNTIFS(tblSource[EventID],F3162,tblSource[ReleaseStatus],"APPROVED")=1,COUNTIFS(Period_Status!$A$2:$A$8,G3162,Period_Status!$B$2:$B$8,"ActualClosed")=1,C3162&gt;EOMONTH(Settlement_Bridge!$C$2,0)),1,0)</f>
        <v>0</v>
      </c>
      <c r="P3162" s="2" t="s">
        <v>8753</v>
      </c>
    </row>
    <row r="3163" spans="1:16" x14ac:dyDescent="0.25">
      <c r="A3163" s="2" t="s">
        <v>8754</v>
      </c>
      <c r="B3163" s="2" t="s">
        <v>7433</v>
      </c>
      <c r="C3163" s="8">
        <v>46239</v>
      </c>
      <c r="D3163" s="6">
        <v>46235</v>
      </c>
      <c r="E3163" s="2" t="s">
        <v>260</v>
      </c>
      <c r="F3163" s="2" t="s">
        <v>8752</v>
      </c>
      <c r="G3163" s="6">
        <v>46174</v>
      </c>
      <c r="H3163" s="2" t="s">
        <v>71</v>
      </c>
      <c r="I3163" s="2" t="s">
        <v>70</v>
      </c>
      <c r="J3163" s="9">
        <v>10703.972932000001</v>
      </c>
      <c r="K3163" s="7">
        <v>0.65</v>
      </c>
      <c r="L3163" s="9">
        <v>6957.58</v>
      </c>
      <c r="M3163" s="9">
        <v>7118.14</v>
      </c>
      <c r="N3163" s="9">
        <v>3.83</v>
      </c>
      <c r="O3163" s="10">
        <f>IF(AND(OR(H3163="APPROVED",H3163="SCHEDULED"),COUNTIFS(tblSource[EventID],F3163,tblSource[ReleaseStatus],"APPROVED")=1,COUNTIFS(Period_Status!$A$2:$A$8,G3163,Period_Status!$B$2:$B$8,"ActualClosed")=1,C3163&gt;EOMONTH(Settlement_Bridge!$C$2,0)),1,0)</f>
        <v>1</v>
      </c>
      <c r="P3163" s="2" t="s">
        <v>8755</v>
      </c>
    </row>
    <row r="3164" spans="1:16" x14ac:dyDescent="0.25">
      <c r="A3164" s="2" t="s">
        <v>8756</v>
      </c>
      <c r="B3164" s="2" t="s">
        <v>7433</v>
      </c>
      <c r="C3164" s="8">
        <v>46215</v>
      </c>
      <c r="D3164" s="6">
        <v>46204</v>
      </c>
      <c r="E3164" s="2" t="s">
        <v>260</v>
      </c>
      <c r="F3164" s="2" t="s">
        <v>8757</v>
      </c>
      <c r="G3164" s="6">
        <v>46174</v>
      </c>
      <c r="H3164" s="2" t="s">
        <v>71</v>
      </c>
      <c r="I3164" s="2" t="s">
        <v>39</v>
      </c>
      <c r="J3164" s="9">
        <v>4856.152</v>
      </c>
      <c r="K3164" s="7">
        <v>1</v>
      </c>
      <c r="L3164" s="9">
        <v>4856.1499999999996</v>
      </c>
      <c r="M3164" s="9">
        <v>4856.1499999999996</v>
      </c>
      <c r="N3164" s="9">
        <v>2.67</v>
      </c>
      <c r="O3164" s="10">
        <f>IF(AND(OR(H3164="APPROVED",H3164="SCHEDULED"),COUNTIFS(tblSource[EventID],F3164,tblSource[ReleaseStatus],"APPROVED")=1,COUNTIFS(Period_Status!$A$2:$A$8,G3164,Period_Status!$B$2:$B$8,"ActualClosed")=1,C3164&gt;EOMONTH(Settlement_Bridge!$C$2,0)),1,0)</f>
        <v>0</v>
      </c>
      <c r="P3164" s="2" t="s">
        <v>8758</v>
      </c>
    </row>
    <row r="3165" spans="1:16" x14ac:dyDescent="0.25">
      <c r="A3165" s="2" t="s">
        <v>8759</v>
      </c>
      <c r="B3165" s="2" t="s">
        <v>7433</v>
      </c>
      <c r="C3165" s="8">
        <v>46240</v>
      </c>
      <c r="D3165" s="6">
        <v>46235</v>
      </c>
      <c r="E3165" s="2" t="s">
        <v>260</v>
      </c>
      <c r="F3165" s="2" t="s">
        <v>8757</v>
      </c>
      <c r="G3165" s="6">
        <v>46174</v>
      </c>
      <c r="H3165" s="2" t="s">
        <v>71</v>
      </c>
      <c r="I3165" s="2" t="s">
        <v>39</v>
      </c>
      <c r="J3165" s="9">
        <v>7284.2280000000001</v>
      </c>
      <c r="K3165" s="7">
        <v>1</v>
      </c>
      <c r="L3165" s="9">
        <v>7284.23</v>
      </c>
      <c r="M3165" s="9">
        <v>7284.23</v>
      </c>
      <c r="N3165" s="9">
        <v>4.01</v>
      </c>
      <c r="O3165" s="10">
        <f>IF(AND(OR(H3165="APPROVED",H3165="SCHEDULED"),COUNTIFS(tblSource[EventID],F3165,tblSource[ReleaseStatus],"APPROVED")=1,COUNTIFS(Period_Status!$A$2:$A$8,G3165,Period_Status!$B$2:$B$8,"ActualClosed")=1,C3165&gt;EOMONTH(Settlement_Bridge!$C$2,0)),1,0)</f>
        <v>1</v>
      </c>
      <c r="P3165" s="2" t="s">
        <v>8760</v>
      </c>
    </row>
    <row r="3166" spans="1:16" x14ac:dyDescent="0.25">
      <c r="A3166" s="2" t="s">
        <v>8761</v>
      </c>
      <c r="B3166" s="2" t="s">
        <v>7433</v>
      </c>
      <c r="C3166" s="8">
        <v>46216</v>
      </c>
      <c r="D3166" s="6">
        <v>46204</v>
      </c>
      <c r="E3166" s="2" t="s">
        <v>260</v>
      </c>
      <c r="F3166" s="2" t="s">
        <v>8762</v>
      </c>
      <c r="G3166" s="6">
        <v>46174</v>
      </c>
      <c r="H3166" s="2" t="s">
        <v>71</v>
      </c>
      <c r="I3166" s="2" t="s">
        <v>76</v>
      </c>
      <c r="J3166" s="9">
        <v>79470080</v>
      </c>
      <c r="K3166" s="7">
        <v>6.2000000000000003E-5</v>
      </c>
      <c r="L3166" s="9">
        <v>4927.1400000000003</v>
      </c>
      <c r="M3166" s="9">
        <v>4966.88</v>
      </c>
      <c r="N3166" s="9">
        <v>2.71</v>
      </c>
      <c r="O3166" s="10">
        <f>IF(AND(OR(H3166="APPROVED",H3166="SCHEDULED"),COUNTIFS(tblSource[EventID],F3166,tblSource[ReleaseStatus],"APPROVED")=1,COUNTIFS(Period_Status!$A$2:$A$8,G3166,Period_Status!$B$2:$B$8,"ActualClosed")=1,C3166&gt;EOMONTH(Settlement_Bridge!$C$2,0)),1,0)</f>
        <v>0</v>
      </c>
      <c r="P3166" s="2" t="s">
        <v>8763</v>
      </c>
    </row>
    <row r="3167" spans="1:16" x14ac:dyDescent="0.25">
      <c r="A3167" s="2" t="s">
        <v>8764</v>
      </c>
      <c r="B3167" s="2" t="s">
        <v>7433</v>
      </c>
      <c r="C3167" s="8">
        <v>46241</v>
      </c>
      <c r="D3167" s="6">
        <v>46235</v>
      </c>
      <c r="E3167" s="2" t="s">
        <v>260</v>
      </c>
      <c r="F3167" s="2" t="s">
        <v>8762</v>
      </c>
      <c r="G3167" s="6">
        <v>46174</v>
      </c>
      <c r="H3167" s="2" t="s">
        <v>71</v>
      </c>
      <c r="I3167" s="2" t="s">
        <v>76</v>
      </c>
      <c r="J3167" s="9">
        <v>119205120</v>
      </c>
      <c r="K3167" s="7">
        <v>6.1500000000000004E-5</v>
      </c>
      <c r="L3167" s="9">
        <v>7331.11</v>
      </c>
      <c r="M3167" s="9">
        <v>7450.32</v>
      </c>
      <c r="N3167" s="9">
        <v>4.03</v>
      </c>
      <c r="O3167" s="10">
        <f>IF(AND(OR(H3167="APPROVED",H3167="SCHEDULED"),COUNTIFS(tblSource[EventID],F3167,tblSource[ReleaseStatus],"APPROVED")=1,COUNTIFS(Period_Status!$A$2:$A$8,G3167,Period_Status!$B$2:$B$8,"ActualClosed")=1,C3167&gt;EOMONTH(Settlement_Bridge!$C$2,0)),1,0)</f>
        <v>1</v>
      </c>
      <c r="P3167" s="2" t="s">
        <v>8765</v>
      </c>
    </row>
    <row r="3168" spans="1:16" x14ac:dyDescent="0.25">
      <c r="A3168" s="2" t="s">
        <v>8766</v>
      </c>
      <c r="B3168" s="2" t="s">
        <v>7433</v>
      </c>
      <c r="C3168" s="8">
        <v>46217</v>
      </c>
      <c r="D3168" s="6">
        <v>46204</v>
      </c>
      <c r="E3168" s="2" t="s">
        <v>260</v>
      </c>
      <c r="F3168" s="2" t="s">
        <v>8767</v>
      </c>
      <c r="G3168" s="6">
        <v>46174</v>
      </c>
      <c r="H3168" s="2" t="s">
        <v>71</v>
      </c>
      <c r="I3168" s="2" t="s">
        <v>70</v>
      </c>
      <c r="J3168" s="9">
        <v>7635.5007519999999</v>
      </c>
      <c r="K3168" s="7">
        <v>0.65800000000000003</v>
      </c>
      <c r="L3168" s="9">
        <v>5024.16</v>
      </c>
      <c r="M3168" s="9">
        <v>5077.6099999999997</v>
      </c>
      <c r="N3168" s="9">
        <v>2.76</v>
      </c>
      <c r="O3168" s="10">
        <f>IF(AND(OR(H3168="APPROVED",H3168="SCHEDULED"),COUNTIFS(tblSource[EventID],F3168,tblSource[ReleaseStatus],"APPROVED")=1,COUNTIFS(Period_Status!$A$2:$A$8,G3168,Period_Status!$B$2:$B$8,"ActualClosed")=1,C3168&gt;EOMONTH(Settlement_Bridge!$C$2,0)),1,0)</f>
        <v>0</v>
      </c>
      <c r="P3168" s="2" t="s">
        <v>8768</v>
      </c>
    </row>
    <row r="3169" spans="1:16" x14ac:dyDescent="0.25">
      <c r="A3169" s="2" t="s">
        <v>8769</v>
      </c>
      <c r="B3169" s="2" t="s">
        <v>7433</v>
      </c>
      <c r="C3169" s="8">
        <v>46242</v>
      </c>
      <c r="D3169" s="6">
        <v>46235</v>
      </c>
      <c r="E3169" s="2" t="s">
        <v>260</v>
      </c>
      <c r="F3169" s="2" t="s">
        <v>8767</v>
      </c>
      <c r="G3169" s="6">
        <v>46174</v>
      </c>
      <c r="H3169" s="2" t="s">
        <v>71</v>
      </c>
      <c r="I3169" s="2" t="s">
        <v>70</v>
      </c>
      <c r="J3169" s="9">
        <v>11453.251128</v>
      </c>
      <c r="K3169" s="7">
        <v>0.65</v>
      </c>
      <c r="L3169" s="9">
        <v>7444.61</v>
      </c>
      <c r="M3169" s="9">
        <v>7616.41</v>
      </c>
      <c r="N3169" s="9">
        <v>4.09</v>
      </c>
      <c r="O3169" s="10">
        <f>IF(AND(OR(H3169="APPROVED",H3169="SCHEDULED"),COUNTIFS(tblSource[EventID],F3169,tblSource[ReleaseStatus],"APPROVED")=1,COUNTIFS(Period_Status!$A$2:$A$8,G3169,Period_Status!$B$2:$B$8,"ActualClosed")=1,C3169&gt;EOMONTH(Settlement_Bridge!$C$2,0)),1,0)</f>
        <v>1</v>
      </c>
      <c r="P3169" s="2" t="s">
        <v>8770</v>
      </c>
    </row>
    <row r="3170" spans="1:16" x14ac:dyDescent="0.25">
      <c r="A3170" s="2" t="s">
        <v>8771</v>
      </c>
      <c r="B3170" s="2" t="s">
        <v>7433</v>
      </c>
      <c r="C3170" s="8">
        <v>46188</v>
      </c>
      <c r="D3170" s="6">
        <v>46174</v>
      </c>
      <c r="E3170" s="2" t="s">
        <v>260</v>
      </c>
      <c r="F3170" s="2" t="s">
        <v>8772</v>
      </c>
      <c r="G3170" s="6">
        <v>46174</v>
      </c>
      <c r="H3170" s="2" t="s">
        <v>71</v>
      </c>
      <c r="I3170" s="2" t="s">
        <v>39</v>
      </c>
      <c r="J3170" s="9">
        <v>5188.3320000000003</v>
      </c>
      <c r="K3170" s="7">
        <v>1</v>
      </c>
      <c r="L3170" s="9">
        <v>5188.33</v>
      </c>
      <c r="M3170" s="9">
        <v>5188.33</v>
      </c>
      <c r="N3170" s="9">
        <v>2.85</v>
      </c>
      <c r="O3170" s="10">
        <f>IF(AND(OR(H3170="APPROVED",H3170="SCHEDULED"),COUNTIFS(tblSource[EventID],F3170,tblSource[ReleaseStatus],"APPROVED")=1,COUNTIFS(Period_Status!$A$2:$A$8,G3170,Period_Status!$B$2:$B$8,"ActualClosed")=1,C3170&gt;EOMONTH(Settlement_Bridge!$C$2,0)),1,0)</f>
        <v>0</v>
      </c>
      <c r="P3170" s="2" t="s">
        <v>8773</v>
      </c>
    </row>
    <row r="3171" spans="1:16" x14ac:dyDescent="0.25">
      <c r="A3171" s="2" t="s">
        <v>8774</v>
      </c>
      <c r="B3171" s="2" t="s">
        <v>7433</v>
      </c>
      <c r="C3171" s="8">
        <v>46213</v>
      </c>
      <c r="D3171" s="6">
        <v>46204</v>
      </c>
      <c r="E3171" s="2" t="s">
        <v>260</v>
      </c>
      <c r="F3171" s="2" t="s">
        <v>8772</v>
      </c>
      <c r="G3171" s="6">
        <v>46174</v>
      </c>
      <c r="H3171" s="2" t="s">
        <v>71</v>
      </c>
      <c r="I3171" s="2" t="s">
        <v>39</v>
      </c>
      <c r="J3171" s="9">
        <v>7782.4979999999996</v>
      </c>
      <c r="K3171" s="7">
        <v>1</v>
      </c>
      <c r="L3171" s="9">
        <v>7782.5</v>
      </c>
      <c r="M3171" s="9">
        <v>7782.5</v>
      </c>
      <c r="N3171" s="9">
        <v>4.28</v>
      </c>
      <c r="O3171" s="10">
        <f>IF(AND(OR(H3171="APPROVED",H3171="SCHEDULED"),COUNTIFS(tblSource[EventID],F3171,tblSource[ReleaseStatus],"APPROVED")=1,COUNTIFS(Period_Status!$A$2:$A$8,G3171,Period_Status!$B$2:$B$8,"ActualClosed")=1,C3171&gt;EOMONTH(Settlement_Bridge!$C$2,0)),1,0)</f>
        <v>0</v>
      </c>
      <c r="P3171" s="2" t="s">
        <v>8775</v>
      </c>
    </row>
    <row r="3172" spans="1:16" x14ac:dyDescent="0.25">
      <c r="A3172" s="2" t="s">
        <v>8776</v>
      </c>
      <c r="B3172" s="2" t="s">
        <v>7433</v>
      </c>
      <c r="C3172" s="8">
        <v>46189</v>
      </c>
      <c r="D3172" s="6">
        <v>46174</v>
      </c>
      <c r="E3172" s="2" t="s">
        <v>260</v>
      </c>
      <c r="F3172" s="2" t="s">
        <v>8777</v>
      </c>
      <c r="G3172" s="6">
        <v>46174</v>
      </c>
      <c r="H3172" s="2" t="s">
        <v>71</v>
      </c>
      <c r="I3172" s="2" t="s">
        <v>76</v>
      </c>
      <c r="J3172" s="9">
        <v>84784960</v>
      </c>
      <c r="K3172" s="7">
        <v>6.2500000000000001E-5</v>
      </c>
      <c r="L3172" s="9">
        <v>5299.06</v>
      </c>
      <c r="M3172" s="9">
        <v>5299.06</v>
      </c>
      <c r="N3172" s="9">
        <v>2.91</v>
      </c>
      <c r="O3172" s="10">
        <f>IF(AND(OR(H3172="APPROVED",H3172="SCHEDULED"),COUNTIFS(tblSource[EventID],F3172,tblSource[ReleaseStatus],"APPROVED")=1,COUNTIFS(Period_Status!$A$2:$A$8,G3172,Period_Status!$B$2:$B$8,"ActualClosed")=1,C3172&gt;EOMONTH(Settlement_Bridge!$C$2,0)),1,0)</f>
        <v>0</v>
      </c>
      <c r="P3172" s="2" t="s">
        <v>8778</v>
      </c>
    </row>
    <row r="3173" spans="1:16" x14ac:dyDescent="0.25">
      <c r="A3173" s="2" t="s">
        <v>8779</v>
      </c>
      <c r="B3173" s="2" t="s">
        <v>7433</v>
      </c>
      <c r="C3173" s="8">
        <v>46214</v>
      </c>
      <c r="D3173" s="6">
        <v>46204</v>
      </c>
      <c r="E3173" s="2" t="s">
        <v>260</v>
      </c>
      <c r="F3173" s="2" t="s">
        <v>8777</v>
      </c>
      <c r="G3173" s="6">
        <v>46174</v>
      </c>
      <c r="H3173" s="2" t="s">
        <v>71</v>
      </c>
      <c r="I3173" s="2" t="s">
        <v>76</v>
      </c>
      <c r="J3173" s="9">
        <v>127177440</v>
      </c>
      <c r="K3173" s="7">
        <v>6.2000000000000003E-5</v>
      </c>
      <c r="L3173" s="9">
        <v>7885</v>
      </c>
      <c r="M3173" s="9">
        <v>7948.59</v>
      </c>
      <c r="N3173" s="9">
        <v>4.34</v>
      </c>
      <c r="O3173" s="10">
        <f>IF(AND(OR(H3173="APPROVED",H3173="SCHEDULED"),COUNTIFS(tblSource[EventID],F3173,tblSource[ReleaseStatus],"APPROVED")=1,COUNTIFS(Period_Status!$A$2:$A$8,G3173,Period_Status!$B$2:$B$8,"ActualClosed")=1,C3173&gt;EOMONTH(Settlement_Bridge!$C$2,0)),1,0)</f>
        <v>0</v>
      </c>
      <c r="P3173" s="2" t="s">
        <v>8780</v>
      </c>
    </row>
    <row r="3174" spans="1:16" x14ac:dyDescent="0.25">
      <c r="A3174" s="2" t="s">
        <v>8781</v>
      </c>
      <c r="B3174" s="2" t="s">
        <v>7433</v>
      </c>
      <c r="C3174" s="8">
        <v>46190</v>
      </c>
      <c r="D3174" s="6">
        <v>46174</v>
      </c>
      <c r="E3174" s="2" t="s">
        <v>260</v>
      </c>
      <c r="F3174" s="2" t="s">
        <v>8782</v>
      </c>
      <c r="G3174" s="6">
        <v>46174</v>
      </c>
      <c r="H3174" s="2" t="s">
        <v>71</v>
      </c>
      <c r="I3174" s="2" t="s">
        <v>70</v>
      </c>
      <c r="J3174" s="9">
        <v>8135.0135339999997</v>
      </c>
      <c r="K3174" s="7">
        <v>0.66500000000000004</v>
      </c>
      <c r="L3174" s="9">
        <v>5409.78</v>
      </c>
      <c r="M3174" s="9">
        <v>5409.78</v>
      </c>
      <c r="N3174" s="9">
        <v>2.98</v>
      </c>
      <c r="O3174" s="10">
        <f>IF(AND(OR(H3174="APPROVED",H3174="SCHEDULED"),COUNTIFS(tblSource[EventID],F3174,tblSource[ReleaseStatus],"APPROVED")=1,COUNTIFS(Period_Status!$A$2:$A$8,G3174,Period_Status!$B$2:$B$8,"ActualClosed")=1,C3174&gt;EOMONTH(Settlement_Bridge!$C$2,0)),1,0)</f>
        <v>0</v>
      </c>
      <c r="P3174" s="2" t="s">
        <v>8783</v>
      </c>
    </row>
    <row r="3175" spans="1:16" x14ac:dyDescent="0.25">
      <c r="A3175" s="2" t="s">
        <v>8784</v>
      </c>
      <c r="B3175" s="2" t="s">
        <v>7433</v>
      </c>
      <c r="C3175" s="8">
        <v>46215</v>
      </c>
      <c r="D3175" s="6">
        <v>46204</v>
      </c>
      <c r="E3175" s="2" t="s">
        <v>260</v>
      </c>
      <c r="F3175" s="2" t="s">
        <v>8782</v>
      </c>
      <c r="G3175" s="6">
        <v>46174</v>
      </c>
      <c r="H3175" s="2" t="s">
        <v>71</v>
      </c>
      <c r="I3175" s="2" t="s">
        <v>70</v>
      </c>
      <c r="J3175" s="9">
        <v>12202.520301</v>
      </c>
      <c r="K3175" s="7">
        <v>0.65800000000000003</v>
      </c>
      <c r="L3175" s="9">
        <v>8029.26</v>
      </c>
      <c r="M3175" s="9">
        <v>8114.68</v>
      </c>
      <c r="N3175" s="9">
        <v>4.42</v>
      </c>
      <c r="O3175" s="10">
        <f>IF(AND(OR(H3175="APPROVED",H3175="SCHEDULED"),COUNTIFS(tblSource[EventID],F3175,tblSource[ReleaseStatus],"APPROVED")=1,COUNTIFS(Period_Status!$A$2:$A$8,G3175,Period_Status!$B$2:$B$8,"ActualClosed")=1,C3175&gt;EOMONTH(Settlement_Bridge!$C$2,0)),1,0)</f>
        <v>0</v>
      </c>
      <c r="P3175" s="2" t="s">
        <v>8785</v>
      </c>
    </row>
    <row r="3176" spans="1:16" x14ac:dyDescent="0.25">
      <c r="A3176" s="2" t="s">
        <v>8786</v>
      </c>
      <c r="B3176" s="2" t="s">
        <v>7433</v>
      </c>
      <c r="C3176" s="8">
        <v>46191</v>
      </c>
      <c r="D3176" s="6">
        <v>46174</v>
      </c>
      <c r="E3176" s="2" t="s">
        <v>260</v>
      </c>
      <c r="F3176" s="2" t="s">
        <v>8787</v>
      </c>
      <c r="G3176" s="6">
        <v>46174</v>
      </c>
      <c r="H3176" s="2" t="s">
        <v>71</v>
      </c>
      <c r="I3176" s="2" t="s">
        <v>39</v>
      </c>
      <c r="J3176" s="9">
        <v>5520.5119999999997</v>
      </c>
      <c r="K3176" s="7">
        <v>1</v>
      </c>
      <c r="L3176" s="9">
        <v>5520.51</v>
      </c>
      <c r="M3176" s="9">
        <v>5520.51</v>
      </c>
      <c r="N3176" s="9">
        <v>3.04</v>
      </c>
      <c r="O3176" s="10">
        <f>IF(AND(OR(H3176="APPROVED",H3176="SCHEDULED"),COUNTIFS(tblSource[EventID],F3176,tblSource[ReleaseStatus],"APPROVED")=1,COUNTIFS(Period_Status!$A$2:$A$8,G3176,Period_Status!$B$2:$B$8,"ActualClosed")=1,C3176&gt;EOMONTH(Settlement_Bridge!$C$2,0)),1,0)</f>
        <v>0</v>
      </c>
      <c r="P3176" s="2" t="s">
        <v>8788</v>
      </c>
    </row>
    <row r="3177" spans="1:16" x14ac:dyDescent="0.25">
      <c r="A3177" s="2" t="s">
        <v>8789</v>
      </c>
      <c r="B3177" s="2" t="s">
        <v>7433</v>
      </c>
      <c r="C3177" s="8">
        <v>46216</v>
      </c>
      <c r="D3177" s="6">
        <v>46204</v>
      </c>
      <c r="E3177" s="2" t="s">
        <v>260</v>
      </c>
      <c r="F3177" s="2" t="s">
        <v>8787</v>
      </c>
      <c r="G3177" s="6">
        <v>46174</v>
      </c>
      <c r="H3177" s="2" t="s">
        <v>71</v>
      </c>
      <c r="I3177" s="2" t="s">
        <v>39</v>
      </c>
      <c r="J3177" s="9">
        <v>8280.768</v>
      </c>
      <c r="K3177" s="7">
        <v>1</v>
      </c>
      <c r="L3177" s="9">
        <v>8280.77</v>
      </c>
      <c r="M3177" s="9">
        <v>8280.77</v>
      </c>
      <c r="N3177" s="9">
        <v>4.55</v>
      </c>
      <c r="O3177" s="10">
        <f>IF(AND(OR(H3177="APPROVED",H3177="SCHEDULED"),COUNTIFS(tblSource[EventID],F3177,tblSource[ReleaseStatus],"APPROVED")=1,COUNTIFS(Period_Status!$A$2:$A$8,G3177,Period_Status!$B$2:$B$8,"ActualClosed")=1,C3177&gt;EOMONTH(Settlement_Bridge!$C$2,0)),1,0)</f>
        <v>0</v>
      </c>
      <c r="P3177" s="2" t="s">
        <v>8790</v>
      </c>
    </row>
    <row r="3178" spans="1:16" x14ac:dyDescent="0.25">
      <c r="A3178" s="2" t="s">
        <v>8791</v>
      </c>
      <c r="B3178" s="2" t="s">
        <v>7433</v>
      </c>
      <c r="C3178" s="8">
        <v>46192</v>
      </c>
      <c r="D3178" s="6">
        <v>46174</v>
      </c>
      <c r="E3178" s="2" t="s">
        <v>260</v>
      </c>
      <c r="F3178" s="2" t="s">
        <v>8792</v>
      </c>
      <c r="G3178" s="6">
        <v>46174</v>
      </c>
      <c r="H3178" s="2" t="s">
        <v>71</v>
      </c>
      <c r="I3178" s="2" t="s">
        <v>76</v>
      </c>
      <c r="J3178" s="9">
        <v>90099840</v>
      </c>
      <c r="K3178" s="7">
        <v>6.2500000000000001E-5</v>
      </c>
      <c r="L3178" s="9">
        <v>5631.24</v>
      </c>
      <c r="M3178" s="9">
        <v>5631.24</v>
      </c>
      <c r="N3178" s="9">
        <v>3.1</v>
      </c>
      <c r="O3178" s="10">
        <f>IF(AND(OR(H3178="APPROVED",H3178="SCHEDULED"),COUNTIFS(tblSource[EventID],F3178,tblSource[ReleaseStatus],"APPROVED")=1,COUNTIFS(Period_Status!$A$2:$A$8,G3178,Period_Status!$B$2:$B$8,"ActualClosed")=1,C3178&gt;EOMONTH(Settlement_Bridge!$C$2,0)),1,0)</f>
        <v>0</v>
      </c>
      <c r="P3178" s="2" t="s">
        <v>8793</v>
      </c>
    </row>
    <row r="3179" spans="1:16" x14ac:dyDescent="0.25">
      <c r="A3179" s="2" t="s">
        <v>8794</v>
      </c>
      <c r="B3179" s="2" t="s">
        <v>7433</v>
      </c>
      <c r="C3179" s="8">
        <v>46217</v>
      </c>
      <c r="D3179" s="6">
        <v>46204</v>
      </c>
      <c r="E3179" s="2" t="s">
        <v>260</v>
      </c>
      <c r="F3179" s="2" t="s">
        <v>8792</v>
      </c>
      <c r="G3179" s="6">
        <v>46174</v>
      </c>
      <c r="H3179" s="2" t="s">
        <v>71</v>
      </c>
      <c r="I3179" s="2" t="s">
        <v>76</v>
      </c>
      <c r="J3179" s="9">
        <v>135149760</v>
      </c>
      <c r="K3179" s="7">
        <v>6.2000000000000003E-5</v>
      </c>
      <c r="L3179" s="9">
        <v>8379.2900000000009</v>
      </c>
      <c r="M3179" s="9">
        <v>8446.86</v>
      </c>
      <c r="N3179" s="9">
        <v>4.6100000000000003</v>
      </c>
      <c r="O3179" s="10">
        <f>IF(AND(OR(H3179="APPROVED",H3179="SCHEDULED"),COUNTIFS(tblSource[EventID],F3179,tblSource[ReleaseStatus],"APPROVED")=1,COUNTIFS(Period_Status!$A$2:$A$8,G3179,Period_Status!$B$2:$B$8,"ActualClosed")=1,C3179&gt;EOMONTH(Settlement_Bridge!$C$2,0)),1,0)</f>
        <v>0</v>
      </c>
      <c r="P3179" s="2" t="s">
        <v>8795</v>
      </c>
    </row>
    <row r="3180" spans="1:16" x14ac:dyDescent="0.25">
      <c r="A3180" s="2" t="s">
        <v>8796</v>
      </c>
      <c r="B3180" s="2" t="s">
        <v>7433</v>
      </c>
      <c r="C3180" s="8">
        <v>46193</v>
      </c>
      <c r="D3180" s="6">
        <v>46174</v>
      </c>
      <c r="E3180" s="2" t="s">
        <v>260</v>
      </c>
      <c r="F3180" s="2" t="s">
        <v>8797</v>
      </c>
      <c r="G3180" s="6">
        <v>46174</v>
      </c>
      <c r="H3180" s="2" t="s">
        <v>71</v>
      </c>
      <c r="I3180" s="2" t="s">
        <v>70</v>
      </c>
      <c r="J3180" s="9">
        <v>8634.5323310000003</v>
      </c>
      <c r="K3180" s="7">
        <v>0.66500000000000004</v>
      </c>
      <c r="L3180" s="9">
        <v>5741.96</v>
      </c>
      <c r="M3180" s="9">
        <v>5741.96</v>
      </c>
      <c r="N3180" s="9">
        <v>3.16</v>
      </c>
      <c r="O3180" s="10">
        <f>IF(AND(OR(H3180="APPROVED",H3180="SCHEDULED"),COUNTIFS(tblSource[EventID],F3180,tblSource[ReleaseStatus],"APPROVED")=1,COUNTIFS(Period_Status!$A$2:$A$8,G3180,Period_Status!$B$2:$B$8,"ActualClosed")=1,C3180&gt;EOMONTH(Settlement_Bridge!$C$2,0)),1,0)</f>
        <v>0</v>
      </c>
      <c r="P3180" s="2" t="s">
        <v>8798</v>
      </c>
    </row>
    <row r="3181" spans="1:16" x14ac:dyDescent="0.25">
      <c r="A3181" s="2" t="s">
        <v>8799</v>
      </c>
      <c r="B3181" s="2" t="s">
        <v>7433</v>
      </c>
      <c r="C3181" s="8">
        <v>46218</v>
      </c>
      <c r="D3181" s="6">
        <v>46204</v>
      </c>
      <c r="E3181" s="2" t="s">
        <v>260</v>
      </c>
      <c r="F3181" s="2" t="s">
        <v>8797</v>
      </c>
      <c r="G3181" s="6">
        <v>46174</v>
      </c>
      <c r="H3181" s="2" t="s">
        <v>71</v>
      </c>
      <c r="I3181" s="2" t="s">
        <v>70</v>
      </c>
      <c r="J3181" s="9">
        <v>12951.798495999999</v>
      </c>
      <c r="K3181" s="7">
        <v>0.65800000000000003</v>
      </c>
      <c r="L3181" s="9">
        <v>8522.2800000000007</v>
      </c>
      <c r="M3181" s="9">
        <v>8612.9500000000007</v>
      </c>
      <c r="N3181" s="9">
        <v>4.6900000000000004</v>
      </c>
      <c r="O3181" s="10">
        <f>IF(AND(OR(H3181="APPROVED",H3181="SCHEDULED"),COUNTIFS(tblSource[EventID],F3181,tblSource[ReleaseStatus],"APPROVED")=1,COUNTIFS(Period_Status!$A$2:$A$8,G3181,Period_Status!$B$2:$B$8,"ActualClosed")=1,C3181&gt;EOMONTH(Settlement_Bridge!$C$2,0)),1,0)</f>
        <v>0</v>
      </c>
      <c r="P3181" s="2" t="s">
        <v>8800</v>
      </c>
    </row>
    <row r="3182" spans="1:16" x14ac:dyDescent="0.25">
      <c r="A3182" s="2" t="s">
        <v>8801</v>
      </c>
      <c r="B3182" s="2" t="s">
        <v>7433</v>
      </c>
      <c r="C3182" s="8">
        <v>46194</v>
      </c>
      <c r="D3182" s="6">
        <v>46174</v>
      </c>
      <c r="E3182" s="2" t="s">
        <v>260</v>
      </c>
      <c r="F3182" s="2" t="s">
        <v>8802</v>
      </c>
      <c r="G3182" s="6">
        <v>46174</v>
      </c>
      <c r="H3182" s="2" t="s">
        <v>71</v>
      </c>
      <c r="I3182" s="2" t="s">
        <v>39</v>
      </c>
      <c r="J3182" s="9">
        <v>5852.692</v>
      </c>
      <c r="K3182" s="7">
        <v>1</v>
      </c>
      <c r="L3182" s="9">
        <v>5852.69</v>
      </c>
      <c r="M3182" s="9">
        <v>5852.69</v>
      </c>
      <c r="N3182" s="9">
        <v>3.22</v>
      </c>
      <c r="O3182" s="10">
        <f>IF(AND(OR(H3182="APPROVED",H3182="SCHEDULED"),COUNTIFS(tblSource[EventID],F3182,tblSource[ReleaseStatus],"APPROVED")=1,COUNTIFS(Period_Status!$A$2:$A$8,G3182,Period_Status!$B$2:$B$8,"ActualClosed")=1,C3182&gt;EOMONTH(Settlement_Bridge!$C$2,0)),1,0)</f>
        <v>0</v>
      </c>
      <c r="P3182" s="2" t="s">
        <v>8803</v>
      </c>
    </row>
    <row r="3183" spans="1:16" x14ac:dyDescent="0.25">
      <c r="A3183" s="2" t="s">
        <v>8804</v>
      </c>
      <c r="B3183" s="2" t="s">
        <v>7433</v>
      </c>
      <c r="C3183" s="8">
        <v>46219</v>
      </c>
      <c r="D3183" s="6">
        <v>46204</v>
      </c>
      <c r="E3183" s="2" t="s">
        <v>260</v>
      </c>
      <c r="F3183" s="2" t="s">
        <v>8802</v>
      </c>
      <c r="G3183" s="6">
        <v>46174</v>
      </c>
      <c r="H3183" s="2" t="s">
        <v>71</v>
      </c>
      <c r="I3183" s="2" t="s">
        <v>39</v>
      </c>
      <c r="J3183" s="9">
        <v>8779.0380000000005</v>
      </c>
      <c r="K3183" s="7">
        <v>1</v>
      </c>
      <c r="L3183" s="9">
        <v>8779.0400000000009</v>
      </c>
      <c r="M3183" s="9">
        <v>8779.0400000000009</v>
      </c>
      <c r="N3183" s="9">
        <v>4.83</v>
      </c>
      <c r="O3183" s="10">
        <f>IF(AND(OR(H3183="APPROVED",H3183="SCHEDULED"),COUNTIFS(tblSource[EventID],F3183,tblSource[ReleaseStatus],"APPROVED")=1,COUNTIFS(Period_Status!$A$2:$A$8,G3183,Period_Status!$B$2:$B$8,"ActualClosed")=1,C3183&gt;EOMONTH(Settlement_Bridge!$C$2,0)),1,0)</f>
        <v>0</v>
      </c>
      <c r="P3183" s="2" t="s">
        <v>8805</v>
      </c>
    </row>
    <row r="3184" spans="1:16" x14ac:dyDescent="0.25">
      <c r="A3184" s="2" t="s">
        <v>8806</v>
      </c>
      <c r="B3184" s="2" t="s">
        <v>7433</v>
      </c>
      <c r="C3184" s="8">
        <v>46195</v>
      </c>
      <c r="D3184" s="6">
        <v>46174</v>
      </c>
      <c r="E3184" s="2" t="s">
        <v>260</v>
      </c>
      <c r="F3184" s="2" t="s">
        <v>8807</v>
      </c>
      <c r="G3184" s="6">
        <v>46174</v>
      </c>
      <c r="H3184" s="2" t="s">
        <v>71</v>
      </c>
      <c r="I3184" s="2" t="s">
        <v>76</v>
      </c>
      <c r="J3184" s="9">
        <v>95414656</v>
      </c>
      <c r="K3184" s="7">
        <v>6.2500000000000001E-5</v>
      </c>
      <c r="L3184" s="9">
        <v>5963.42</v>
      </c>
      <c r="M3184" s="9">
        <v>5963.42</v>
      </c>
      <c r="N3184" s="9">
        <v>3.28</v>
      </c>
      <c r="O3184" s="10">
        <f>IF(AND(OR(H3184="APPROVED",H3184="SCHEDULED"),COUNTIFS(tblSource[EventID],F3184,tblSource[ReleaseStatus],"APPROVED")=1,COUNTIFS(Period_Status!$A$2:$A$8,G3184,Period_Status!$B$2:$B$8,"ActualClosed")=1,C3184&gt;EOMONTH(Settlement_Bridge!$C$2,0)),1,0)</f>
        <v>0</v>
      </c>
      <c r="P3184" s="2" t="s">
        <v>8808</v>
      </c>
    </row>
    <row r="3185" spans="1:16" x14ac:dyDescent="0.25">
      <c r="A3185" s="2" t="s">
        <v>8809</v>
      </c>
      <c r="B3185" s="2" t="s">
        <v>7433</v>
      </c>
      <c r="C3185" s="8">
        <v>46220</v>
      </c>
      <c r="D3185" s="6">
        <v>46204</v>
      </c>
      <c r="E3185" s="2" t="s">
        <v>260</v>
      </c>
      <c r="F3185" s="2" t="s">
        <v>8807</v>
      </c>
      <c r="G3185" s="6">
        <v>46174</v>
      </c>
      <c r="H3185" s="2" t="s">
        <v>71</v>
      </c>
      <c r="I3185" s="2" t="s">
        <v>76</v>
      </c>
      <c r="J3185" s="9">
        <v>143121984</v>
      </c>
      <c r="K3185" s="7">
        <v>6.2000000000000003E-5</v>
      </c>
      <c r="L3185" s="9">
        <v>8873.56</v>
      </c>
      <c r="M3185" s="9">
        <v>8945.1200000000008</v>
      </c>
      <c r="N3185" s="9">
        <v>4.88</v>
      </c>
      <c r="O3185" s="10">
        <f>IF(AND(OR(H3185="APPROVED",H3185="SCHEDULED"),COUNTIFS(tblSource[EventID],F3185,tblSource[ReleaseStatus],"APPROVED")=1,COUNTIFS(Period_Status!$A$2:$A$8,G3185,Period_Status!$B$2:$B$8,"ActualClosed")=1,C3185&gt;EOMONTH(Settlement_Bridge!$C$2,0)),1,0)</f>
        <v>0</v>
      </c>
      <c r="P3185" s="2" t="s">
        <v>8810</v>
      </c>
    </row>
    <row r="3186" spans="1:16" x14ac:dyDescent="0.25">
      <c r="A3186" s="2" t="s">
        <v>8811</v>
      </c>
      <c r="B3186" s="2" t="s">
        <v>7433</v>
      </c>
      <c r="C3186" s="8">
        <v>46196</v>
      </c>
      <c r="D3186" s="6">
        <v>46174</v>
      </c>
      <c r="E3186" s="2" t="s">
        <v>260</v>
      </c>
      <c r="F3186" s="2" t="s">
        <v>8812</v>
      </c>
      <c r="G3186" s="6">
        <v>46174</v>
      </c>
      <c r="H3186" s="2" t="s">
        <v>71</v>
      </c>
      <c r="I3186" s="2" t="s">
        <v>70</v>
      </c>
      <c r="J3186" s="9">
        <v>9134.0511279999992</v>
      </c>
      <c r="K3186" s="7">
        <v>0.66500000000000004</v>
      </c>
      <c r="L3186" s="9">
        <v>6074.14</v>
      </c>
      <c r="M3186" s="9">
        <v>6074.14</v>
      </c>
      <c r="N3186" s="9">
        <v>3.34</v>
      </c>
      <c r="O3186" s="10">
        <f>IF(AND(OR(H3186="APPROVED",H3186="SCHEDULED"),COUNTIFS(tblSource[EventID],F3186,tblSource[ReleaseStatus],"APPROVED")=1,COUNTIFS(Period_Status!$A$2:$A$8,G3186,Period_Status!$B$2:$B$8,"ActualClosed")=1,C3186&gt;EOMONTH(Settlement_Bridge!$C$2,0)),1,0)</f>
        <v>0</v>
      </c>
      <c r="P3186" s="2" t="s">
        <v>8813</v>
      </c>
    </row>
    <row r="3187" spans="1:16" x14ac:dyDescent="0.25">
      <c r="A3187" s="2" t="s">
        <v>8814</v>
      </c>
      <c r="B3187" s="2" t="s">
        <v>7433</v>
      </c>
      <c r="C3187" s="8">
        <v>46221</v>
      </c>
      <c r="D3187" s="6">
        <v>46204</v>
      </c>
      <c r="E3187" s="2" t="s">
        <v>260</v>
      </c>
      <c r="F3187" s="2" t="s">
        <v>8812</v>
      </c>
      <c r="G3187" s="6">
        <v>46174</v>
      </c>
      <c r="H3187" s="2" t="s">
        <v>71</v>
      </c>
      <c r="I3187" s="2" t="s">
        <v>70</v>
      </c>
      <c r="J3187" s="9">
        <v>13701.076692000001</v>
      </c>
      <c r="K3187" s="7">
        <v>0.65800000000000003</v>
      </c>
      <c r="L3187" s="9">
        <v>9015.31</v>
      </c>
      <c r="M3187" s="9">
        <v>9111.2199999999993</v>
      </c>
      <c r="N3187" s="9">
        <v>4.96</v>
      </c>
      <c r="O3187" s="10">
        <f>IF(AND(OR(H3187="APPROVED",H3187="SCHEDULED"),COUNTIFS(tblSource[EventID],F3187,tblSource[ReleaseStatus],"APPROVED")=1,COUNTIFS(Period_Status!$A$2:$A$8,G3187,Period_Status!$B$2:$B$8,"ActualClosed")=1,C3187&gt;EOMONTH(Settlement_Bridge!$C$2,0)),1,0)</f>
        <v>0</v>
      </c>
      <c r="P3187" s="2" t="s">
        <v>8815</v>
      </c>
    </row>
    <row r="3188" spans="1:16" x14ac:dyDescent="0.25">
      <c r="A3188" s="2" t="s">
        <v>8816</v>
      </c>
      <c r="B3188" s="2" t="s">
        <v>7433</v>
      </c>
      <c r="C3188" s="8">
        <v>46197</v>
      </c>
      <c r="D3188" s="6">
        <v>46174</v>
      </c>
      <c r="E3188" s="2" t="s">
        <v>260</v>
      </c>
      <c r="F3188" s="2" t="s">
        <v>8817</v>
      </c>
      <c r="G3188" s="6">
        <v>46174</v>
      </c>
      <c r="H3188" s="2" t="s">
        <v>71</v>
      </c>
      <c r="I3188" s="2" t="s">
        <v>39</v>
      </c>
      <c r="J3188" s="9">
        <v>6184.8720000000003</v>
      </c>
      <c r="K3188" s="7">
        <v>1</v>
      </c>
      <c r="L3188" s="9">
        <v>6184.87</v>
      </c>
      <c r="M3188" s="9">
        <v>6184.87</v>
      </c>
      <c r="N3188" s="9">
        <v>3.4</v>
      </c>
      <c r="O3188" s="10">
        <f>IF(AND(OR(H3188="APPROVED",H3188="SCHEDULED"),COUNTIFS(tblSource[EventID],F3188,tblSource[ReleaseStatus],"APPROVED")=1,COUNTIFS(Period_Status!$A$2:$A$8,G3188,Period_Status!$B$2:$B$8,"ActualClosed")=1,C3188&gt;EOMONTH(Settlement_Bridge!$C$2,0)),1,0)</f>
        <v>0</v>
      </c>
      <c r="P3188" s="2" t="s">
        <v>8818</v>
      </c>
    </row>
    <row r="3189" spans="1:16" x14ac:dyDescent="0.25">
      <c r="A3189" s="2" t="s">
        <v>8819</v>
      </c>
      <c r="B3189" s="2" t="s">
        <v>7433</v>
      </c>
      <c r="C3189" s="8">
        <v>46222</v>
      </c>
      <c r="D3189" s="6">
        <v>46204</v>
      </c>
      <c r="E3189" s="2" t="s">
        <v>260</v>
      </c>
      <c r="F3189" s="2" t="s">
        <v>8817</v>
      </c>
      <c r="G3189" s="6">
        <v>46174</v>
      </c>
      <c r="H3189" s="2" t="s">
        <v>71</v>
      </c>
      <c r="I3189" s="2" t="s">
        <v>39</v>
      </c>
      <c r="J3189" s="9">
        <v>9277.3080000000009</v>
      </c>
      <c r="K3189" s="7">
        <v>1</v>
      </c>
      <c r="L3189" s="9">
        <v>9277.31</v>
      </c>
      <c r="M3189" s="9">
        <v>9277.31</v>
      </c>
      <c r="N3189" s="9">
        <v>5.0999999999999996</v>
      </c>
      <c r="O3189" s="10">
        <f>IF(AND(OR(H3189="APPROVED",H3189="SCHEDULED"),COUNTIFS(tblSource[EventID],F3189,tblSource[ReleaseStatus],"APPROVED")=1,COUNTIFS(Period_Status!$A$2:$A$8,G3189,Period_Status!$B$2:$B$8,"ActualClosed")=1,C3189&gt;EOMONTH(Settlement_Bridge!$C$2,0)),1,0)</f>
        <v>0</v>
      </c>
      <c r="P3189" s="2" t="s">
        <v>8820</v>
      </c>
    </row>
    <row r="3190" spans="1:16" x14ac:dyDescent="0.25">
      <c r="A3190" s="2" t="s">
        <v>8821</v>
      </c>
      <c r="B3190" s="2" t="s">
        <v>7433</v>
      </c>
      <c r="C3190" s="8">
        <v>46198</v>
      </c>
      <c r="D3190" s="6">
        <v>46174</v>
      </c>
      <c r="E3190" s="2" t="s">
        <v>260</v>
      </c>
      <c r="F3190" s="2" t="s">
        <v>8822</v>
      </c>
      <c r="G3190" s="6">
        <v>46174</v>
      </c>
      <c r="H3190" s="2" t="s">
        <v>71</v>
      </c>
      <c r="I3190" s="2" t="s">
        <v>76</v>
      </c>
      <c r="J3190" s="9">
        <v>100729536</v>
      </c>
      <c r="K3190" s="7">
        <v>6.2500000000000001E-5</v>
      </c>
      <c r="L3190" s="9">
        <v>6295.6</v>
      </c>
      <c r="M3190" s="9">
        <v>6295.6</v>
      </c>
      <c r="N3190" s="9">
        <v>3.46</v>
      </c>
      <c r="O3190" s="10">
        <f>IF(AND(OR(H3190="APPROVED",H3190="SCHEDULED"),COUNTIFS(tblSource[EventID],F3190,tblSource[ReleaseStatus],"APPROVED")=1,COUNTIFS(Period_Status!$A$2:$A$8,G3190,Period_Status!$B$2:$B$8,"ActualClosed")=1,C3190&gt;EOMONTH(Settlement_Bridge!$C$2,0)),1,0)</f>
        <v>0</v>
      </c>
      <c r="P3190" s="2" t="s">
        <v>8823</v>
      </c>
    </row>
    <row r="3191" spans="1:16" x14ac:dyDescent="0.25">
      <c r="A3191" s="2" t="s">
        <v>8824</v>
      </c>
      <c r="B3191" s="2" t="s">
        <v>7433</v>
      </c>
      <c r="C3191" s="8">
        <v>46223</v>
      </c>
      <c r="D3191" s="6">
        <v>46204</v>
      </c>
      <c r="E3191" s="2" t="s">
        <v>260</v>
      </c>
      <c r="F3191" s="2" t="s">
        <v>8822</v>
      </c>
      <c r="G3191" s="6">
        <v>46174</v>
      </c>
      <c r="H3191" s="2" t="s">
        <v>71</v>
      </c>
      <c r="I3191" s="2" t="s">
        <v>76</v>
      </c>
      <c r="J3191" s="9">
        <v>151094304</v>
      </c>
      <c r="K3191" s="7">
        <v>6.2000000000000003E-5</v>
      </c>
      <c r="L3191" s="9">
        <v>9367.85</v>
      </c>
      <c r="M3191" s="9">
        <v>9443.39</v>
      </c>
      <c r="N3191" s="9">
        <v>5.15</v>
      </c>
      <c r="O3191" s="10">
        <f>IF(AND(OR(H3191="APPROVED",H3191="SCHEDULED"),COUNTIFS(tblSource[EventID],F3191,tblSource[ReleaseStatus],"APPROVED")=1,COUNTIFS(Period_Status!$A$2:$A$8,G3191,Period_Status!$B$2:$B$8,"ActualClosed")=1,C3191&gt;EOMONTH(Settlement_Bridge!$C$2,0)),1,0)</f>
        <v>0</v>
      </c>
      <c r="P3191" s="2" t="s">
        <v>8825</v>
      </c>
    </row>
    <row r="3192" spans="1:16" x14ac:dyDescent="0.25">
      <c r="A3192" s="2" t="s">
        <v>8826</v>
      </c>
      <c r="B3192" s="2" t="s">
        <v>7433</v>
      </c>
      <c r="C3192" s="8">
        <v>46199</v>
      </c>
      <c r="D3192" s="6">
        <v>46174</v>
      </c>
      <c r="E3192" s="2" t="s">
        <v>260</v>
      </c>
      <c r="F3192" s="2" t="s">
        <v>8827</v>
      </c>
      <c r="G3192" s="6">
        <v>46174</v>
      </c>
      <c r="H3192" s="2" t="s">
        <v>71</v>
      </c>
      <c r="I3192" s="2" t="s">
        <v>70</v>
      </c>
      <c r="J3192" s="9">
        <v>9633.5699249999998</v>
      </c>
      <c r="K3192" s="7">
        <v>0.66500000000000004</v>
      </c>
      <c r="L3192" s="9">
        <v>6406.32</v>
      </c>
      <c r="M3192" s="9">
        <v>6406.32</v>
      </c>
      <c r="N3192" s="9">
        <v>3.52</v>
      </c>
      <c r="O3192" s="10">
        <f>IF(AND(OR(H3192="APPROVED",H3192="SCHEDULED"),COUNTIFS(tblSource[EventID],F3192,tblSource[ReleaseStatus],"APPROVED")=1,COUNTIFS(Period_Status!$A$2:$A$8,G3192,Period_Status!$B$2:$B$8,"ActualClosed")=1,C3192&gt;EOMONTH(Settlement_Bridge!$C$2,0)),1,0)</f>
        <v>0</v>
      </c>
      <c r="P3192" s="2" t="s">
        <v>8828</v>
      </c>
    </row>
    <row r="3193" spans="1:16" x14ac:dyDescent="0.25">
      <c r="A3193" s="2" t="s">
        <v>8829</v>
      </c>
      <c r="B3193" s="2" t="s">
        <v>7433</v>
      </c>
      <c r="C3193" s="8">
        <v>46224</v>
      </c>
      <c r="D3193" s="6">
        <v>46204</v>
      </c>
      <c r="E3193" s="2" t="s">
        <v>260</v>
      </c>
      <c r="F3193" s="2" t="s">
        <v>8827</v>
      </c>
      <c r="G3193" s="6">
        <v>46174</v>
      </c>
      <c r="H3193" s="2" t="s">
        <v>71</v>
      </c>
      <c r="I3193" s="2" t="s">
        <v>70</v>
      </c>
      <c r="J3193" s="9">
        <v>14450.354887</v>
      </c>
      <c r="K3193" s="7">
        <v>0.65800000000000003</v>
      </c>
      <c r="L3193" s="9">
        <v>9508.33</v>
      </c>
      <c r="M3193" s="9">
        <v>9609.49</v>
      </c>
      <c r="N3193" s="9">
        <v>5.23</v>
      </c>
      <c r="O3193" s="10">
        <f>IF(AND(OR(H3193="APPROVED",H3193="SCHEDULED"),COUNTIFS(tblSource[EventID],F3193,tblSource[ReleaseStatus],"APPROVED")=1,COUNTIFS(Period_Status!$A$2:$A$8,G3193,Period_Status!$B$2:$B$8,"ActualClosed")=1,C3193&gt;EOMONTH(Settlement_Bridge!$C$2,0)),1,0)</f>
        <v>0</v>
      </c>
      <c r="P3193" s="2" t="s">
        <v>8830</v>
      </c>
    </row>
    <row r="3194" spans="1:16" x14ac:dyDescent="0.25">
      <c r="A3194" s="2" t="s">
        <v>8831</v>
      </c>
      <c r="B3194" s="2" t="s">
        <v>7433</v>
      </c>
      <c r="C3194" s="8">
        <v>46200</v>
      </c>
      <c r="D3194" s="6">
        <v>46174</v>
      </c>
      <c r="E3194" s="2" t="s">
        <v>260</v>
      </c>
      <c r="F3194" s="2" t="s">
        <v>8832</v>
      </c>
      <c r="G3194" s="6">
        <v>46174</v>
      </c>
      <c r="H3194" s="2" t="s">
        <v>71</v>
      </c>
      <c r="I3194" s="2" t="s">
        <v>39</v>
      </c>
      <c r="J3194" s="9">
        <v>6517.0479999999998</v>
      </c>
      <c r="K3194" s="7">
        <v>1</v>
      </c>
      <c r="L3194" s="9">
        <v>6517.05</v>
      </c>
      <c r="M3194" s="9">
        <v>6517.05</v>
      </c>
      <c r="N3194" s="9">
        <v>3.58</v>
      </c>
      <c r="O3194" s="10">
        <f>IF(AND(OR(H3194="APPROVED",H3194="SCHEDULED"),COUNTIFS(tblSource[EventID],F3194,tblSource[ReleaseStatus],"APPROVED")=1,COUNTIFS(Period_Status!$A$2:$A$8,G3194,Period_Status!$B$2:$B$8,"ActualClosed")=1,C3194&gt;EOMONTH(Settlement_Bridge!$C$2,0)),1,0)</f>
        <v>0</v>
      </c>
      <c r="P3194" s="2" t="s">
        <v>8833</v>
      </c>
    </row>
    <row r="3195" spans="1:16" x14ac:dyDescent="0.25">
      <c r="A3195" s="2" t="s">
        <v>8834</v>
      </c>
      <c r="B3195" s="2" t="s">
        <v>7433</v>
      </c>
      <c r="C3195" s="8">
        <v>46225</v>
      </c>
      <c r="D3195" s="6">
        <v>46204</v>
      </c>
      <c r="E3195" s="2" t="s">
        <v>260</v>
      </c>
      <c r="F3195" s="2" t="s">
        <v>8832</v>
      </c>
      <c r="G3195" s="6">
        <v>46174</v>
      </c>
      <c r="H3195" s="2" t="s">
        <v>71</v>
      </c>
      <c r="I3195" s="2" t="s">
        <v>39</v>
      </c>
      <c r="J3195" s="9">
        <v>9775.5720000000001</v>
      </c>
      <c r="K3195" s="7">
        <v>1</v>
      </c>
      <c r="L3195" s="9">
        <v>9775.57</v>
      </c>
      <c r="M3195" s="9">
        <v>9775.57</v>
      </c>
      <c r="N3195" s="9">
        <v>5.38</v>
      </c>
      <c r="O3195" s="10">
        <f>IF(AND(OR(H3195="APPROVED",H3195="SCHEDULED"),COUNTIFS(tblSource[EventID],F3195,tblSource[ReleaseStatus],"APPROVED")=1,COUNTIFS(Period_Status!$A$2:$A$8,G3195,Period_Status!$B$2:$B$8,"ActualClosed")=1,C3195&gt;EOMONTH(Settlement_Bridge!$C$2,0)),1,0)</f>
        <v>0</v>
      </c>
      <c r="P3195" s="2" t="s">
        <v>8835</v>
      </c>
    </row>
    <row r="3196" spans="1:16" x14ac:dyDescent="0.25">
      <c r="A3196" s="2" t="s">
        <v>8836</v>
      </c>
      <c r="B3196" s="2" t="s">
        <v>7433</v>
      </c>
      <c r="C3196" s="8">
        <v>46201</v>
      </c>
      <c r="D3196" s="6">
        <v>46174</v>
      </c>
      <c r="E3196" s="2" t="s">
        <v>260</v>
      </c>
      <c r="F3196" s="2" t="s">
        <v>8837</v>
      </c>
      <c r="G3196" s="6">
        <v>46174</v>
      </c>
      <c r="H3196" s="2" t="s">
        <v>71</v>
      </c>
      <c r="I3196" s="2" t="s">
        <v>76</v>
      </c>
      <c r="J3196" s="9">
        <v>106044416</v>
      </c>
      <c r="K3196" s="7">
        <v>6.2500000000000001E-5</v>
      </c>
      <c r="L3196" s="9">
        <v>6627.78</v>
      </c>
      <c r="M3196" s="9">
        <v>6627.78</v>
      </c>
      <c r="N3196" s="9">
        <v>3.65</v>
      </c>
      <c r="O3196" s="10">
        <f>IF(AND(OR(H3196="APPROVED",H3196="SCHEDULED"),COUNTIFS(tblSource[EventID],F3196,tblSource[ReleaseStatus],"APPROVED")=1,COUNTIFS(Period_Status!$A$2:$A$8,G3196,Period_Status!$B$2:$B$8,"ActualClosed")=1,C3196&gt;EOMONTH(Settlement_Bridge!$C$2,0)),1,0)</f>
        <v>0</v>
      </c>
      <c r="P3196" s="2" t="s">
        <v>8838</v>
      </c>
    </row>
    <row r="3197" spans="1:16" x14ac:dyDescent="0.25">
      <c r="A3197" s="2" t="s">
        <v>8839</v>
      </c>
      <c r="B3197" s="2" t="s">
        <v>7433</v>
      </c>
      <c r="C3197" s="8">
        <v>46226</v>
      </c>
      <c r="D3197" s="6">
        <v>46204</v>
      </c>
      <c r="E3197" s="2" t="s">
        <v>260</v>
      </c>
      <c r="F3197" s="2" t="s">
        <v>8837</v>
      </c>
      <c r="G3197" s="6">
        <v>46174</v>
      </c>
      <c r="H3197" s="2" t="s">
        <v>71</v>
      </c>
      <c r="I3197" s="2" t="s">
        <v>76</v>
      </c>
      <c r="J3197" s="9">
        <v>159066624</v>
      </c>
      <c r="K3197" s="7">
        <v>6.2000000000000003E-5</v>
      </c>
      <c r="L3197" s="9">
        <v>9862.1299999999992</v>
      </c>
      <c r="M3197" s="9">
        <v>9941.66</v>
      </c>
      <c r="N3197" s="9">
        <v>5.42</v>
      </c>
      <c r="O3197" s="10">
        <f>IF(AND(OR(H3197="APPROVED",H3197="SCHEDULED"),COUNTIFS(tblSource[EventID],F3197,tblSource[ReleaseStatus],"APPROVED")=1,COUNTIFS(Period_Status!$A$2:$A$8,G3197,Period_Status!$B$2:$B$8,"ActualClosed")=1,C3197&gt;EOMONTH(Settlement_Bridge!$C$2,0)),1,0)</f>
        <v>0</v>
      </c>
      <c r="P3197" s="2" t="s">
        <v>8840</v>
      </c>
    </row>
    <row r="3198" spans="1:16" x14ac:dyDescent="0.25">
      <c r="A3198" s="2" t="s">
        <v>8841</v>
      </c>
      <c r="B3198" s="2" t="s">
        <v>7433</v>
      </c>
      <c r="C3198" s="8">
        <v>46202</v>
      </c>
      <c r="D3198" s="6">
        <v>46174</v>
      </c>
      <c r="E3198" s="2" t="s">
        <v>260</v>
      </c>
      <c r="F3198" s="2" t="s">
        <v>8842</v>
      </c>
      <c r="G3198" s="6">
        <v>46174</v>
      </c>
      <c r="H3198" s="2" t="s">
        <v>71</v>
      </c>
      <c r="I3198" s="2" t="s">
        <v>70</v>
      </c>
      <c r="J3198" s="9">
        <v>10133.088722</v>
      </c>
      <c r="K3198" s="7">
        <v>0.66500000000000004</v>
      </c>
      <c r="L3198" s="9">
        <v>6738.5</v>
      </c>
      <c r="M3198" s="9">
        <v>6738.5</v>
      </c>
      <c r="N3198" s="9">
        <v>3.71</v>
      </c>
      <c r="O3198" s="10">
        <f>IF(AND(OR(H3198="APPROVED",H3198="SCHEDULED"),COUNTIFS(tblSource[EventID],F3198,tblSource[ReleaseStatus],"APPROVED")=1,COUNTIFS(Period_Status!$A$2:$A$8,G3198,Period_Status!$B$2:$B$8,"ActualClosed")=1,C3198&gt;EOMONTH(Settlement_Bridge!$C$2,0)),1,0)</f>
        <v>0</v>
      </c>
      <c r="P3198" s="2" t="s">
        <v>8843</v>
      </c>
    </row>
    <row r="3199" spans="1:16" x14ac:dyDescent="0.25">
      <c r="A3199" s="2" t="s">
        <v>8844</v>
      </c>
      <c r="B3199" s="2" t="s">
        <v>7433</v>
      </c>
      <c r="C3199" s="8">
        <v>46227</v>
      </c>
      <c r="D3199" s="6">
        <v>46204</v>
      </c>
      <c r="E3199" s="2" t="s">
        <v>260</v>
      </c>
      <c r="F3199" s="2" t="s">
        <v>8842</v>
      </c>
      <c r="G3199" s="6">
        <v>46174</v>
      </c>
      <c r="H3199" s="2" t="s">
        <v>71</v>
      </c>
      <c r="I3199" s="2" t="s">
        <v>70</v>
      </c>
      <c r="J3199" s="9">
        <v>15199.633083000001</v>
      </c>
      <c r="K3199" s="7">
        <v>0.65800000000000003</v>
      </c>
      <c r="L3199" s="9">
        <v>10001.36</v>
      </c>
      <c r="M3199" s="9">
        <v>10107.76</v>
      </c>
      <c r="N3199" s="9">
        <v>5.5</v>
      </c>
      <c r="O3199" s="10">
        <f>IF(AND(OR(H3199="APPROVED",H3199="SCHEDULED"),COUNTIFS(tblSource[EventID],F3199,tblSource[ReleaseStatus],"APPROVED")=1,COUNTIFS(Period_Status!$A$2:$A$8,G3199,Period_Status!$B$2:$B$8,"ActualClosed")=1,C3199&gt;EOMONTH(Settlement_Bridge!$C$2,0)),1,0)</f>
        <v>0</v>
      </c>
      <c r="P3199" s="2" t="s">
        <v>8845</v>
      </c>
    </row>
    <row r="3200" spans="1:16" x14ac:dyDescent="0.25">
      <c r="A3200" s="2" t="s">
        <v>8846</v>
      </c>
      <c r="B3200" s="2" t="s">
        <v>7433</v>
      </c>
      <c r="C3200" s="8">
        <v>46203</v>
      </c>
      <c r="D3200" s="6">
        <v>46174</v>
      </c>
      <c r="E3200" s="2" t="s">
        <v>260</v>
      </c>
      <c r="F3200" s="2" t="s">
        <v>8847</v>
      </c>
      <c r="G3200" s="6">
        <v>46174</v>
      </c>
      <c r="H3200" s="2" t="s">
        <v>71</v>
      </c>
      <c r="I3200" s="2" t="s">
        <v>39</v>
      </c>
      <c r="J3200" s="9">
        <v>6849.2280000000001</v>
      </c>
      <c r="K3200" s="7">
        <v>1</v>
      </c>
      <c r="L3200" s="9">
        <v>6849.23</v>
      </c>
      <c r="M3200" s="9">
        <v>6849.23</v>
      </c>
      <c r="N3200" s="9">
        <v>3.77</v>
      </c>
      <c r="O3200" s="10">
        <f>IF(AND(OR(H3200="APPROVED",H3200="SCHEDULED"),COUNTIFS(tblSource[EventID],F3200,tblSource[ReleaseStatus],"APPROVED")=1,COUNTIFS(Period_Status!$A$2:$A$8,G3200,Period_Status!$B$2:$B$8,"ActualClosed")=1,C3200&gt;EOMONTH(Settlement_Bridge!$C$2,0)),1,0)</f>
        <v>0</v>
      </c>
      <c r="P3200" s="2" t="s">
        <v>8848</v>
      </c>
    </row>
    <row r="3201" spans="1:16" x14ac:dyDescent="0.25">
      <c r="A3201" s="2" t="s">
        <v>8849</v>
      </c>
      <c r="B3201" s="2" t="s">
        <v>7433</v>
      </c>
      <c r="C3201" s="8">
        <v>46228</v>
      </c>
      <c r="D3201" s="6">
        <v>46204</v>
      </c>
      <c r="E3201" s="2" t="s">
        <v>260</v>
      </c>
      <c r="F3201" s="2" t="s">
        <v>8847</v>
      </c>
      <c r="G3201" s="6">
        <v>46174</v>
      </c>
      <c r="H3201" s="2" t="s">
        <v>71</v>
      </c>
      <c r="I3201" s="2" t="s">
        <v>39</v>
      </c>
      <c r="J3201" s="9">
        <v>10273.842000000001</v>
      </c>
      <c r="K3201" s="7">
        <v>1</v>
      </c>
      <c r="L3201" s="9">
        <v>10273.84</v>
      </c>
      <c r="M3201" s="9">
        <v>10273.84</v>
      </c>
      <c r="N3201" s="9">
        <v>5.65</v>
      </c>
      <c r="O3201" s="10">
        <f>IF(AND(OR(H3201="APPROVED",H3201="SCHEDULED"),COUNTIFS(tblSource[EventID],F3201,tblSource[ReleaseStatus],"APPROVED")=1,COUNTIFS(Period_Status!$A$2:$A$8,G3201,Period_Status!$B$2:$B$8,"ActualClosed")=1,C3201&gt;EOMONTH(Settlement_Bridge!$C$2,0)),1,0)</f>
        <v>0</v>
      </c>
      <c r="P3201" s="2" t="s">
        <v>8850</v>
      </c>
    </row>
    <row r="3202" spans="1:16" x14ac:dyDescent="0.25">
      <c r="A3202" s="2" t="s">
        <v>8851</v>
      </c>
      <c r="B3202" s="2" t="s">
        <v>7433</v>
      </c>
      <c r="C3202" s="8">
        <v>46204</v>
      </c>
      <c r="D3202" s="6">
        <v>46204</v>
      </c>
      <c r="E3202" s="2" t="s">
        <v>260</v>
      </c>
      <c r="F3202" s="2" t="s">
        <v>8852</v>
      </c>
      <c r="G3202" s="6">
        <v>46174</v>
      </c>
      <c r="H3202" s="2" t="s">
        <v>71</v>
      </c>
      <c r="I3202" s="2" t="s">
        <v>76</v>
      </c>
      <c r="J3202" s="9">
        <v>-278398240</v>
      </c>
      <c r="K3202" s="7">
        <v>6.2000000000000003E-5</v>
      </c>
      <c r="L3202" s="9">
        <v>-17260.689999999999</v>
      </c>
      <c r="M3202" s="9">
        <v>-17399.89</v>
      </c>
      <c r="N3202" s="9">
        <v>0</v>
      </c>
      <c r="O3202" s="10">
        <f>IF(AND(OR(H3202="APPROVED",H3202="SCHEDULED"),COUNTIFS(tblSource[EventID],F3202,tblSource[ReleaseStatus],"APPROVED")=1,COUNTIFS(Period_Status!$A$2:$A$8,G3202,Period_Status!$B$2:$B$8,"ActualClosed")=1,C3202&gt;EOMONTH(Settlement_Bridge!$C$2,0)),1,0)</f>
        <v>0</v>
      </c>
      <c r="P3202" s="2" t="s">
        <v>8853</v>
      </c>
    </row>
    <row r="3203" spans="1:16" x14ac:dyDescent="0.25">
      <c r="A3203" s="2" t="s">
        <v>8854</v>
      </c>
      <c r="B3203" s="2" t="s">
        <v>7433</v>
      </c>
      <c r="C3203" s="8">
        <v>46205</v>
      </c>
      <c r="D3203" s="6">
        <v>46204</v>
      </c>
      <c r="E3203" s="2" t="s">
        <v>260</v>
      </c>
      <c r="F3203" s="2" t="s">
        <v>8855</v>
      </c>
      <c r="G3203" s="6">
        <v>46174</v>
      </c>
      <c r="H3203" s="2" t="s">
        <v>71</v>
      </c>
      <c r="I3203" s="2" t="s">
        <v>70</v>
      </c>
      <c r="J3203" s="9">
        <v>10632.601504</v>
      </c>
      <c r="K3203" s="7">
        <v>0.65800000000000003</v>
      </c>
      <c r="L3203" s="9">
        <v>6996.25</v>
      </c>
      <c r="M3203" s="9">
        <v>7070.68</v>
      </c>
      <c r="N3203" s="9">
        <v>3.85</v>
      </c>
      <c r="O3203" s="10">
        <f>IF(AND(OR(H3203="APPROVED",H3203="SCHEDULED"),COUNTIFS(tblSource[EventID],F3203,tblSource[ReleaseStatus],"APPROVED")=1,COUNTIFS(Period_Status!$A$2:$A$8,G3203,Period_Status!$B$2:$B$8,"ActualClosed")=1,C3203&gt;EOMONTH(Settlement_Bridge!$C$2,0)),1,0)</f>
        <v>0</v>
      </c>
      <c r="P3203" s="2" t="s">
        <v>8856</v>
      </c>
    </row>
    <row r="3204" spans="1:16" x14ac:dyDescent="0.25">
      <c r="A3204" s="2" t="s">
        <v>8857</v>
      </c>
      <c r="B3204" s="2" t="s">
        <v>7433</v>
      </c>
      <c r="C3204" s="8">
        <v>46230</v>
      </c>
      <c r="D3204" s="6">
        <v>46204</v>
      </c>
      <c r="E3204" s="2" t="s">
        <v>260</v>
      </c>
      <c r="F3204" s="2" t="s">
        <v>8855</v>
      </c>
      <c r="G3204" s="6">
        <v>46174</v>
      </c>
      <c r="H3204" s="2" t="s">
        <v>71</v>
      </c>
      <c r="I3204" s="2" t="s">
        <v>70</v>
      </c>
      <c r="J3204" s="9">
        <v>15948.902255000001</v>
      </c>
      <c r="K3204" s="7">
        <v>0.65800000000000003</v>
      </c>
      <c r="L3204" s="9">
        <v>10494.38</v>
      </c>
      <c r="M3204" s="9">
        <v>10606.02</v>
      </c>
      <c r="N3204" s="9">
        <v>5.77</v>
      </c>
      <c r="O3204" s="10">
        <f>IF(AND(OR(H3204="APPROVED",H3204="SCHEDULED"),COUNTIFS(tblSource[EventID],F3204,tblSource[ReleaseStatus],"APPROVED")=1,COUNTIFS(Period_Status!$A$2:$A$8,G3204,Period_Status!$B$2:$B$8,"ActualClosed")=1,C3204&gt;EOMONTH(Settlement_Bridge!$C$2,0)),1,0)</f>
        <v>0</v>
      </c>
      <c r="P3204" s="2" t="s">
        <v>8858</v>
      </c>
    </row>
    <row r="3205" spans="1:16" x14ac:dyDescent="0.25">
      <c r="A3205" s="2" t="s">
        <v>8859</v>
      </c>
      <c r="B3205" s="2" t="s">
        <v>7433</v>
      </c>
      <c r="C3205" s="8">
        <v>46206</v>
      </c>
      <c r="D3205" s="6">
        <v>46204</v>
      </c>
      <c r="E3205" s="2" t="s">
        <v>260</v>
      </c>
      <c r="F3205" s="2" t="s">
        <v>8860</v>
      </c>
      <c r="G3205" s="6">
        <v>46174</v>
      </c>
      <c r="H3205" s="2" t="s">
        <v>71</v>
      </c>
      <c r="I3205" s="2" t="s">
        <v>39</v>
      </c>
      <c r="J3205" s="9">
        <v>7181.4080000000004</v>
      </c>
      <c r="K3205" s="7">
        <v>1</v>
      </c>
      <c r="L3205" s="9">
        <v>7181.41</v>
      </c>
      <c r="M3205" s="9">
        <v>7181.41</v>
      </c>
      <c r="N3205" s="9">
        <v>3.95</v>
      </c>
      <c r="O3205" s="10">
        <f>IF(AND(OR(H3205="APPROVED",H3205="SCHEDULED"),COUNTIFS(tblSource[EventID],F3205,tblSource[ReleaseStatus],"APPROVED")=1,COUNTIFS(Period_Status!$A$2:$A$8,G3205,Period_Status!$B$2:$B$8,"ActualClosed")=1,C3205&gt;EOMONTH(Settlement_Bridge!$C$2,0)),1,0)</f>
        <v>0</v>
      </c>
      <c r="P3205" s="2" t="s">
        <v>8861</v>
      </c>
    </row>
    <row r="3206" spans="1:16" x14ac:dyDescent="0.25">
      <c r="A3206" s="2" t="s">
        <v>8862</v>
      </c>
      <c r="B3206" s="2" t="s">
        <v>7433</v>
      </c>
      <c r="C3206" s="8">
        <v>46231</v>
      </c>
      <c r="D3206" s="6">
        <v>46204</v>
      </c>
      <c r="E3206" s="2" t="s">
        <v>260</v>
      </c>
      <c r="F3206" s="2" t="s">
        <v>8860</v>
      </c>
      <c r="G3206" s="6">
        <v>46174</v>
      </c>
      <c r="H3206" s="2" t="s">
        <v>71</v>
      </c>
      <c r="I3206" s="2" t="s">
        <v>39</v>
      </c>
      <c r="J3206" s="9">
        <v>10772.111999999999</v>
      </c>
      <c r="K3206" s="7">
        <v>1</v>
      </c>
      <c r="L3206" s="9">
        <v>10772.11</v>
      </c>
      <c r="M3206" s="9">
        <v>10772.11</v>
      </c>
      <c r="N3206" s="9">
        <v>5.92</v>
      </c>
      <c r="O3206" s="10">
        <f>IF(AND(OR(H3206="APPROVED",H3206="SCHEDULED"),COUNTIFS(tblSource[EventID],F3206,tblSource[ReleaseStatus],"APPROVED")=1,COUNTIFS(Period_Status!$A$2:$A$8,G3206,Period_Status!$B$2:$B$8,"ActualClosed")=1,C3206&gt;EOMONTH(Settlement_Bridge!$C$2,0)),1,0)</f>
        <v>0</v>
      </c>
      <c r="P3206" s="2" t="s">
        <v>8863</v>
      </c>
    </row>
    <row r="3207" spans="1:16" x14ac:dyDescent="0.25">
      <c r="A3207" s="2" t="s">
        <v>8864</v>
      </c>
      <c r="B3207" s="2" t="s">
        <v>7433</v>
      </c>
      <c r="C3207" s="8">
        <v>46207</v>
      </c>
      <c r="D3207" s="6">
        <v>46204</v>
      </c>
      <c r="E3207" s="2" t="s">
        <v>260</v>
      </c>
      <c r="F3207" s="2" t="s">
        <v>8865</v>
      </c>
      <c r="G3207" s="6">
        <v>46174</v>
      </c>
      <c r="H3207" s="2" t="s">
        <v>71</v>
      </c>
      <c r="I3207" s="2" t="s">
        <v>76</v>
      </c>
      <c r="J3207" s="9">
        <v>116674176</v>
      </c>
      <c r="K3207" s="7">
        <v>6.2000000000000003E-5</v>
      </c>
      <c r="L3207" s="9">
        <v>7233.8</v>
      </c>
      <c r="M3207" s="9">
        <v>7292.14</v>
      </c>
      <c r="N3207" s="9">
        <v>3.98</v>
      </c>
      <c r="O3207" s="10">
        <f>IF(AND(OR(H3207="APPROVED",H3207="SCHEDULED"),COUNTIFS(tblSource[EventID],F3207,tblSource[ReleaseStatus],"APPROVED")=1,COUNTIFS(Period_Status!$A$2:$A$8,G3207,Period_Status!$B$2:$B$8,"ActualClosed")=1,C3207&gt;EOMONTH(Settlement_Bridge!$C$2,0)),1,0)</f>
        <v>0</v>
      </c>
      <c r="P3207" s="2" t="s">
        <v>8866</v>
      </c>
    </row>
    <row r="3208" spans="1:16" x14ac:dyDescent="0.25">
      <c r="A3208" s="2" t="s">
        <v>8867</v>
      </c>
      <c r="B3208" s="2" t="s">
        <v>7433</v>
      </c>
      <c r="C3208" s="8">
        <v>46232</v>
      </c>
      <c r="D3208" s="6">
        <v>46204</v>
      </c>
      <c r="E3208" s="2" t="s">
        <v>260</v>
      </c>
      <c r="F3208" s="2" t="s">
        <v>8865</v>
      </c>
      <c r="G3208" s="6">
        <v>46174</v>
      </c>
      <c r="H3208" s="2" t="s">
        <v>71</v>
      </c>
      <c r="I3208" s="2" t="s">
        <v>76</v>
      </c>
      <c r="J3208" s="9">
        <v>175011264</v>
      </c>
      <c r="K3208" s="7">
        <v>6.2000000000000003E-5</v>
      </c>
      <c r="L3208" s="9">
        <v>10850.7</v>
      </c>
      <c r="M3208" s="9">
        <v>10938.2</v>
      </c>
      <c r="N3208" s="9">
        <v>5.97</v>
      </c>
      <c r="O3208" s="10">
        <f>IF(AND(OR(H3208="APPROVED",H3208="SCHEDULED"),COUNTIFS(tblSource[EventID],F3208,tblSource[ReleaseStatus],"APPROVED")=1,COUNTIFS(Period_Status!$A$2:$A$8,G3208,Period_Status!$B$2:$B$8,"ActualClosed")=1,C3208&gt;EOMONTH(Settlement_Bridge!$C$2,0)),1,0)</f>
        <v>0</v>
      </c>
      <c r="P3208" s="2" t="s">
        <v>8868</v>
      </c>
    </row>
    <row r="3209" spans="1:16" x14ac:dyDescent="0.25">
      <c r="A3209" s="2" t="s">
        <v>8869</v>
      </c>
      <c r="B3209" s="2" t="s">
        <v>7433</v>
      </c>
      <c r="C3209" s="8">
        <v>46208</v>
      </c>
      <c r="D3209" s="6">
        <v>46204</v>
      </c>
      <c r="E3209" s="2" t="s">
        <v>260</v>
      </c>
      <c r="F3209" s="2" t="s">
        <v>8870</v>
      </c>
      <c r="G3209" s="6">
        <v>46174</v>
      </c>
      <c r="H3209" s="2" t="s">
        <v>71</v>
      </c>
      <c r="I3209" s="2" t="s">
        <v>70</v>
      </c>
      <c r="J3209" s="9">
        <v>11131.187970000001</v>
      </c>
      <c r="K3209" s="7">
        <v>0.65800000000000003</v>
      </c>
      <c r="L3209" s="9">
        <v>7324.32</v>
      </c>
      <c r="M3209" s="9">
        <v>7402.24</v>
      </c>
      <c r="N3209" s="9">
        <v>4.03</v>
      </c>
      <c r="O3209" s="10">
        <f>IF(AND(OR(H3209="APPROVED",H3209="SCHEDULED"),COUNTIFS(tblSource[EventID],F3209,tblSource[ReleaseStatus],"APPROVED")=1,COUNTIFS(Period_Status!$A$2:$A$8,G3209,Period_Status!$B$2:$B$8,"ActualClosed")=1,C3209&gt;EOMONTH(Settlement_Bridge!$C$2,0)),1,0)</f>
        <v>0</v>
      </c>
      <c r="P3209" s="2" t="s">
        <v>8871</v>
      </c>
    </row>
    <row r="3210" spans="1:16" x14ac:dyDescent="0.25">
      <c r="A3210" s="2" t="s">
        <v>8872</v>
      </c>
      <c r="B3210" s="2" t="s">
        <v>7433</v>
      </c>
      <c r="C3210" s="8">
        <v>46233</v>
      </c>
      <c r="D3210" s="6">
        <v>46204</v>
      </c>
      <c r="E3210" s="2" t="s">
        <v>260</v>
      </c>
      <c r="F3210" s="2" t="s">
        <v>8870</v>
      </c>
      <c r="G3210" s="6">
        <v>46174</v>
      </c>
      <c r="H3210" s="2" t="s">
        <v>71</v>
      </c>
      <c r="I3210" s="2" t="s">
        <v>70</v>
      </c>
      <c r="J3210" s="9">
        <v>16696.781954999999</v>
      </c>
      <c r="K3210" s="7">
        <v>0.65800000000000003</v>
      </c>
      <c r="L3210" s="9">
        <v>10986.48</v>
      </c>
      <c r="M3210" s="9">
        <v>11103.36</v>
      </c>
      <c r="N3210" s="9">
        <v>6.04</v>
      </c>
      <c r="O3210" s="10">
        <f>IF(AND(OR(H3210="APPROVED",H3210="SCHEDULED"),COUNTIFS(tblSource[EventID],F3210,tblSource[ReleaseStatus],"APPROVED")=1,COUNTIFS(Period_Status!$A$2:$A$8,G3210,Period_Status!$B$2:$B$8,"ActualClosed")=1,C3210&gt;EOMONTH(Settlement_Bridge!$C$2,0)),1,0)</f>
        <v>0</v>
      </c>
      <c r="P3210" s="2" t="s">
        <v>8873</v>
      </c>
    </row>
    <row r="3211" spans="1:16" x14ac:dyDescent="0.25">
      <c r="A3211" s="2" t="s">
        <v>8874</v>
      </c>
      <c r="B3211" s="2" t="s">
        <v>7433</v>
      </c>
      <c r="C3211" s="8">
        <v>46209</v>
      </c>
      <c r="D3211" s="6">
        <v>46204</v>
      </c>
      <c r="E3211" s="2" t="s">
        <v>260</v>
      </c>
      <c r="F3211" s="2" t="s">
        <v>8875</v>
      </c>
      <c r="G3211" s="6">
        <v>46174</v>
      </c>
      <c r="H3211" s="2" t="s">
        <v>71</v>
      </c>
      <c r="I3211" s="2" t="s">
        <v>39</v>
      </c>
      <c r="J3211" s="9">
        <v>7512.9679999999998</v>
      </c>
      <c r="K3211" s="7">
        <v>1</v>
      </c>
      <c r="L3211" s="9">
        <v>7512.97</v>
      </c>
      <c r="M3211" s="9">
        <v>7512.97</v>
      </c>
      <c r="N3211" s="9">
        <v>4.13</v>
      </c>
      <c r="O3211" s="10">
        <f>IF(AND(OR(H3211="APPROVED",H3211="SCHEDULED"),COUNTIFS(tblSource[EventID],F3211,tblSource[ReleaseStatus],"APPROVED")=1,COUNTIFS(Period_Status!$A$2:$A$8,G3211,Period_Status!$B$2:$B$8,"ActualClosed")=1,C3211&gt;EOMONTH(Settlement_Bridge!$C$2,0)),1,0)</f>
        <v>0</v>
      </c>
      <c r="P3211" s="2" t="s">
        <v>8876</v>
      </c>
    </row>
    <row r="3212" spans="1:16" x14ac:dyDescent="0.25">
      <c r="A3212" s="2" t="s">
        <v>8877</v>
      </c>
      <c r="B3212" s="2" t="s">
        <v>7433</v>
      </c>
      <c r="C3212" s="8">
        <v>46234</v>
      </c>
      <c r="D3212" s="6">
        <v>46204</v>
      </c>
      <c r="E3212" s="2" t="s">
        <v>260</v>
      </c>
      <c r="F3212" s="2" t="s">
        <v>8875</v>
      </c>
      <c r="G3212" s="6">
        <v>46174</v>
      </c>
      <c r="H3212" s="2" t="s">
        <v>71</v>
      </c>
      <c r="I3212" s="2" t="s">
        <v>39</v>
      </c>
      <c r="J3212" s="9">
        <v>11269.451999999999</v>
      </c>
      <c r="K3212" s="7">
        <v>1</v>
      </c>
      <c r="L3212" s="9">
        <v>11269.45</v>
      </c>
      <c r="M3212" s="9">
        <v>11269.45</v>
      </c>
      <c r="N3212" s="9">
        <v>6.2</v>
      </c>
      <c r="O3212" s="10">
        <f>IF(AND(OR(H3212="APPROVED",H3212="SCHEDULED"),COUNTIFS(tblSource[EventID],F3212,tblSource[ReleaseStatus],"APPROVED")=1,COUNTIFS(Period_Status!$A$2:$A$8,G3212,Period_Status!$B$2:$B$8,"ActualClosed")=1,C3212&gt;EOMONTH(Settlement_Bridge!$C$2,0)),1,0)</f>
        <v>0</v>
      </c>
      <c r="P3212" s="2" t="s">
        <v>8878</v>
      </c>
    </row>
    <row r="3213" spans="1:16" x14ac:dyDescent="0.25">
      <c r="A3213" s="2" t="s">
        <v>8879</v>
      </c>
      <c r="B3213" s="2" t="s">
        <v>7433</v>
      </c>
      <c r="C3213" s="8">
        <v>46210</v>
      </c>
      <c r="D3213" s="6">
        <v>46204</v>
      </c>
      <c r="E3213" s="2" t="s">
        <v>260</v>
      </c>
      <c r="F3213" s="2" t="s">
        <v>8880</v>
      </c>
      <c r="G3213" s="6">
        <v>46174</v>
      </c>
      <c r="H3213" s="2" t="s">
        <v>71</v>
      </c>
      <c r="I3213" s="2" t="s">
        <v>76</v>
      </c>
      <c r="J3213" s="9">
        <v>121979072</v>
      </c>
      <c r="K3213" s="7">
        <v>6.2000000000000003E-5</v>
      </c>
      <c r="L3213" s="9">
        <v>7562.7</v>
      </c>
      <c r="M3213" s="9">
        <v>7623.69</v>
      </c>
      <c r="N3213" s="9">
        <v>4.16</v>
      </c>
      <c r="O3213" s="10">
        <f>IF(AND(OR(H3213="APPROVED",H3213="SCHEDULED"),COUNTIFS(tblSource[EventID],F3213,tblSource[ReleaseStatus],"APPROVED")=1,COUNTIFS(Period_Status!$A$2:$A$8,G3213,Period_Status!$B$2:$B$8,"ActualClosed")=1,C3213&gt;EOMONTH(Settlement_Bridge!$C$2,0)),1,0)</f>
        <v>0</v>
      </c>
      <c r="P3213" s="2" t="s">
        <v>8881</v>
      </c>
    </row>
    <row r="3214" spans="1:16" x14ac:dyDescent="0.25">
      <c r="A3214" s="2" t="s">
        <v>8882</v>
      </c>
      <c r="B3214" s="2" t="s">
        <v>7433</v>
      </c>
      <c r="C3214" s="8">
        <v>46235</v>
      </c>
      <c r="D3214" s="6">
        <v>46235</v>
      </c>
      <c r="E3214" s="2" t="s">
        <v>260</v>
      </c>
      <c r="F3214" s="2" t="s">
        <v>8880</v>
      </c>
      <c r="G3214" s="6">
        <v>46174</v>
      </c>
      <c r="H3214" s="2" t="s">
        <v>71</v>
      </c>
      <c r="I3214" s="2" t="s">
        <v>76</v>
      </c>
      <c r="J3214" s="9">
        <v>182968608</v>
      </c>
      <c r="K3214" s="7">
        <v>6.1500000000000004E-5</v>
      </c>
      <c r="L3214" s="9">
        <v>11252.57</v>
      </c>
      <c r="M3214" s="9">
        <v>11435.54</v>
      </c>
      <c r="N3214" s="9">
        <v>6.19</v>
      </c>
      <c r="O3214" s="10">
        <f>IF(AND(OR(H3214="APPROVED",H3214="SCHEDULED"),COUNTIFS(tblSource[EventID],F3214,tblSource[ReleaseStatus],"APPROVED")=1,COUNTIFS(Period_Status!$A$2:$A$8,G3214,Period_Status!$B$2:$B$8,"ActualClosed")=1,C3214&gt;EOMONTH(Settlement_Bridge!$C$2,0)),1,0)</f>
        <v>1</v>
      </c>
      <c r="P3214" s="2" t="s">
        <v>8883</v>
      </c>
    </row>
    <row r="3215" spans="1:16" x14ac:dyDescent="0.25">
      <c r="A3215" s="2" t="s">
        <v>8884</v>
      </c>
      <c r="B3215" s="2" t="s">
        <v>7433</v>
      </c>
      <c r="C3215" s="8">
        <v>46211</v>
      </c>
      <c r="D3215" s="6">
        <v>46204</v>
      </c>
      <c r="E3215" s="2" t="s">
        <v>260</v>
      </c>
      <c r="F3215" s="2" t="s">
        <v>8885</v>
      </c>
      <c r="G3215" s="6">
        <v>46174</v>
      </c>
      <c r="H3215" s="2" t="s">
        <v>71</v>
      </c>
      <c r="I3215" s="2" t="s">
        <v>70</v>
      </c>
      <c r="J3215" s="9">
        <v>11630.706767</v>
      </c>
      <c r="K3215" s="7">
        <v>0.65800000000000003</v>
      </c>
      <c r="L3215" s="9">
        <v>7653.01</v>
      </c>
      <c r="M3215" s="9">
        <v>7734.42</v>
      </c>
      <c r="N3215" s="9">
        <v>4.21</v>
      </c>
      <c r="O3215" s="10">
        <f>IF(AND(OR(H3215="APPROVED",H3215="SCHEDULED"),COUNTIFS(tblSource[EventID],F3215,tblSource[ReleaseStatus],"APPROVED")=1,COUNTIFS(Period_Status!$A$2:$A$8,G3215,Period_Status!$B$2:$B$8,"ActualClosed")=1,C3215&gt;EOMONTH(Settlement_Bridge!$C$2,0)),1,0)</f>
        <v>0</v>
      </c>
      <c r="P3215" s="2" t="s">
        <v>8886</v>
      </c>
    </row>
    <row r="3216" spans="1:16" x14ac:dyDescent="0.25">
      <c r="A3216" s="2" t="s">
        <v>8887</v>
      </c>
      <c r="B3216" s="2" t="s">
        <v>7433</v>
      </c>
      <c r="C3216" s="8">
        <v>46236</v>
      </c>
      <c r="D3216" s="6">
        <v>46235</v>
      </c>
      <c r="E3216" s="2" t="s">
        <v>260</v>
      </c>
      <c r="F3216" s="2" t="s">
        <v>8885</v>
      </c>
      <c r="G3216" s="6">
        <v>46174</v>
      </c>
      <c r="H3216" s="2" t="s">
        <v>71</v>
      </c>
      <c r="I3216" s="2" t="s">
        <v>70</v>
      </c>
      <c r="J3216" s="9">
        <v>17446.060150000001</v>
      </c>
      <c r="K3216" s="7">
        <v>0.65</v>
      </c>
      <c r="L3216" s="9">
        <v>11339.94</v>
      </c>
      <c r="M3216" s="9">
        <v>11601.63</v>
      </c>
      <c r="N3216" s="9">
        <v>6.24</v>
      </c>
      <c r="O3216" s="10">
        <f>IF(AND(OR(H3216="APPROVED",H3216="SCHEDULED"),COUNTIFS(tblSource[EventID],F3216,tblSource[ReleaseStatus],"APPROVED")=1,COUNTIFS(Period_Status!$A$2:$A$8,G3216,Period_Status!$B$2:$B$8,"ActualClosed")=1,C3216&gt;EOMONTH(Settlement_Bridge!$C$2,0)),1,0)</f>
        <v>1</v>
      </c>
      <c r="P3216" s="2" t="s">
        <v>8888</v>
      </c>
    </row>
    <row r="3217" spans="1:16" x14ac:dyDescent="0.25">
      <c r="A3217" s="2" t="s">
        <v>8889</v>
      </c>
      <c r="B3217" s="2" t="s">
        <v>7433</v>
      </c>
      <c r="C3217" s="8">
        <v>46212</v>
      </c>
      <c r="D3217" s="6">
        <v>46204</v>
      </c>
      <c r="E3217" s="2" t="s">
        <v>260</v>
      </c>
      <c r="F3217" s="2" t="s">
        <v>8890</v>
      </c>
      <c r="G3217" s="6">
        <v>46174</v>
      </c>
      <c r="H3217" s="2" t="s">
        <v>71</v>
      </c>
      <c r="I3217" s="2" t="s">
        <v>39</v>
      </c>
      <c r="J3217" s="9">
        <v>7845.1440000000002</v>
      </c>
      <c r="K3217" s="7">
        <v>1</v>
      </c>
      <c r="L3217" s="9">
        <v>7845.14</v>
      </c>
      <c r="M3217" s="9">
        <v>7845.14</v>
      </c>
      <c r="N3217" s="9">
        <v>4.3099999999999996</v>
      </c>
      <c r="O3217" s="10">
        <f>IF(AND(OR(H3217="APPROVED",H3217="SCHEDULED"),COUNTIFS(tblSource[EventID],F3217,tblSource[ReleaseStatus],"APPROVED")=1,COUNTIFS(Period_Status!$A$2:$A$8,G3217,Period_Status!$B$2:$B$8,"ActualClosed")=1,C3217&gt;EOMONTH(Settlement_Bridge!$C$2,0)),1,0)</f>
        <v>0</v>
      </c>
      <c r="P3217" s="2" t="s">
        <v>8891</v>
      </c>
    </row>
    <row r="3218" spans="1:16" x14ac:dyDescent="0.25">
      <c r="A3218" s="2" t="s">
        <v>8892</v>
      </c>
      <c r="B3218" s="2" t="s">
        <v>7433</v>
      </c>
      <c r="C3218" s="8">
        <v>46237</v>
      </c>
      <c r="D3218" s="6">
        <v>46235</v>
      </c>
      <c r="E3218" s="2" t="s">
        <v>260</v>
      </c>
      <c r="F3218" s="2" t="s">
        <v>8890</v>
      </c>
      <c r="G3218" s="6">
        <v>46174</v>
      </c>
      <c r="H3218" s="2" t="s">
        <v>71</v>
      </c>
      <c r="I3218" s="2" t="s">
        <v>39</v>
      </c>
      <c r="J3218" s="9">
        <v>11767.716</v>
      </c>
      <c r="K3218" s="7">
        <v>1</v>
      </c>
      <c r="L3218" s="9">
        <v>11767.72</v>
      </c>
      <c r="M3218" s="9">
        <v>11767.72</v>
      </c>
      <c r="N3218" s="9">
        <v>6.47</v>
      </c>
      <c r="O3218" s="10">
        <f>IF(AND(OR(H3218="APPROVED",H3218="SCHEDULED"),COUNTIFS(tblSource[EventID],F3218,tblSource[ReleaseStatus],"APPROVED")=1,COUNTIFS(Period_Status!$A$2:$A$8,G3218,Period_Status!$B$2:$B$8,"ActualClosed")=1,C3218&gt;EOMONTH(Settlement_Bridge!$C$2,0)),1,0)</f>
        <v>1</v>
      </c>
      <c r="P3218" s="2" t="s">
        <v>8893</v>
      </c>
    </row>
    <row r="3219" spans="1:16" x14ac:dyDescent="0.25">
      <c r="A3219" s="2" t="s">
        <v>8894</v>
      </c>
      <c r="B3219" s="2" t="s">
        <v>7433</v>
      </c>
      <c r="C3219" s="8">
        <v>46213</v>
      </c>
      <c r="D3219" s="6">
        <v>46204</v>
      </c>
      <c r="E3219" s="2" t="s">
        <v>260</v>
      </c>
      <c r="F3219" s="2" t="s">
        <v>8895</v>
      </c>
      <c r="G3219" s="6">
        <v>46174</v>
      </c>
      <c r="H3219" s="2" t="s">
        <v>71</v>
      </c>
      <c r="I3219" s="2" t="s">
        <v>76</v>
      </c>
      <c r="J3219" s="9">
        <v>127293952</v>
      </c>
      <c r="K3219" s="7">
        <v>6.2000000000000003E-5</v>
      </c>
      <c r="L3219" s="9">
        <v>7892.23</v>
      </c>
      <c r="M3219" s="9">
        <v>7955.87</v>
      </c>
      <c r="N3219" s="9">
        <v>4.34</v>
      </c>
      <c r="O3219" s="10">
        <f>IF(AND(OR(H3219="APPROVED",H3219="SCHEDULED"),COUNTIFS(tblSource[EventID],F3219,tblSource[ReleaseStatus],"APPROVED")=1,COUNTIFS(Period_Status!$A$2:$A$8,G3219,Period_Status!$B$2:$B$8,"ActualClosed")=1,C3219&gt;EOMONTH(Settlement_Bridge!$C$2,0)),1,0)</f>
        <v>0</v>
      </c>
      <c r="P3219" s="2" t="s">
        <v>8896</v>
      </c>
    </row>
    <row r="3220" spans="1:16" x14ac:dyDescent="0.25">
      <c r="A3220" s="2" t="s">
        <v>8897</v>
      </c>
      <c r="B3220" s="2" t="s">
        <v>7433</v>
      </c>
      <c r="C3220" s="8">
        <v>46238</v>
      </c>
      <c r="D3220" s="6">
        <v>46235</v>
      </c>
      <c r="E3220" s="2" t="s">
        <v>260</v>
      </c>
      <c r="F3220" s="2" t="s">
        <v>8895</v>
      </c>
      <c r="G3220" s="6">
        <v>46174</v>
      </c>
      <c r="H3220" s="2" t="s">
        <v>71</v>
      </c>
      <c r="I3220" s="2" t="s">
        <v>76</v>
      </c>
      <c r="J3220" s="9">
        <v>190940928</v>
      </c>
      <c r="K3220" s="7">
        <v>6.1500000000000004E-5</v>
      </c>
      <c r="L3220" s="9">
        <v>11742.87</v>
      </c>
      <c r="M3220" s="9">
        <v>11933.81</v>
      </c>
      <c r="N3220" s="9">
        <v>6.46</v>
      </c>
      <c r="O3220" s="10">
        <f>IF(AND(OR(H3220="APPROVED",H3220="SCHEDULED"),COUNTIFS(tblSource[EventID],F3220,tblSource[ReleaseStatus],"APPROVED")=1,COUNTIFS(Period_Status!$A$2:$A$8,G3220,Period_Status!$B$2:$B$8,"ActualClosed")=1,C3220&gt;EOMONTH(Settlement_Bridge!$C$2,0)),1,0)</f>
        <v>1</v>
      </c>
      <c r="P3220" s="2" t="s">
        <v>8898</v>
      </c>
    </row>
    <row r="3221" spans="1:16" x14ac:dyDescent="0.25">
      <c r="A3221" s="2" t="s">
        <v>8899</v>
      </c>
      <c r="B3221" s="2" t="s">
        <v>7433</v>
      </c>
      <c r="C3221" s="8">
        <v>46214</v>
      </c>
      <c r="D3221" s="6">
        <v>46204</v>
      </c>
      <c r="E3221" s="2" t="s">
        <v>260</v>
      </c>
      <c r="F3221" s="2" t="s">
        <v>8900</v>
      </c>
      <c r="G3221" s="6">
        <v>46174</v>
      </c>
      <c r="H3221" s="2" t="s">
        <v>71</v>
      </c>
      <c r="I3221" s="2" t="s">
        <v>70</v>
      </c>
      <c r="J3221" s="9">
        <v>12130.225564</v>
      </c>
      <c r="K3221" s="7">
        <v>0.65800000000000003</v>
      </c>
      <c r="L3221" s="9">
        <v>7981.69</v>
      </c>
      <c r="M3221" s="9">
        <v>8066.6</v>
      </c>
      <c r="N3221" s="9">
        <v>4.3899999999999997</v>
      </c>
      <c r="O3221" s="10">
        <f>IF(AND(OR(H3221="APPROVED",H3221="SCHEDULED"),COUNTIFS(tblSource[EventID],F3221,tblSource[ReleaseStatus],"APPROVED")=1,COUNTIFS(Period_Status!$A$2:$A$8,G3221,Period_Status!$B$2:$B$8,"ActualClosed")=1,C3221&gt;EOMONTH(Settlement_Bridge!$C$2,0)),1,0)</f>
        <v>0</v>
      </c>
      <c r="P3221" s="2" t="s">
        <v>8901</v>
      </c>
    </row>
    <row r="3222" spans="1:16" x14ac:dyDescent="0.25">
      <c r="A3222" s="2" t="s">
        <v>8902</v>
      </c>
      <c r="B3222" s="2" t="s">
        <v>7433</v>
      </c>
      <c r="C3222" s="8">
        <v>46239</v>
      </c>
      <c r="D3222" s="6">
        <v>46235</v>
      </c>
      <c r="E3222" s="2" t="s">
        <v>260</v>
      </c>
      <c r="F3222" s="2" t="s">
        <v>8900</v>
      </c>
      <c r="G3222" s="6">
        <v>46174</v>
      </c>
      <c r="H3222" s="2" t="s">
        <v>71</v>
      </c>
      <c r="I3222" s="2" t="s">
        <v>70</v>
      </c>
      <c r="J3222" s="9">
        <v>18195.338346</v>
      </c>
      <c r="K3222" s="7">
        <v>0.65</v>
      </c>
      <c r="L3222" s="9">
        <v>11826.97</v>
      </c>
      <c r="M3222" s="9">
        <v>12099.9</v>
      </c>
      <c r="N3222" s="9">
        <v>6.5</v>
      </c>
      <c r="O3222" s="10">
        <f>IF(AND(OR(H3222="APPROVED",H3222="SCHEDULED"),COUNTIFS(tblSource[EventID],F3222,tblSource[ReleaseStatus],"APPROVED")=1,COUNTIFS(Period_Status!$A$2:$A$8,G3222,Period_Status!$B$2:$B$8,"ActualClosed")=1,C3222&gt;EOMONTH(Settlement_Bridge!$C$2,0)),1,0)</f>
        <v>1</v>
      </c>
      <c r="P3222" s="2" t="s">
        <v>8903</v>
      </c>
    </row>
    <row r="3223" spans="1:16" x14ac:dyDescent="0.25">
      <c r="A3223" s="2" t="s">
        <v>8904</v>
      </c>
      <c r="B3223" s="2" t="s">
        <v>7433</v>
      </c>
      <c r="C3223" s="8">
        <v>46215</v>
      </c>
      <c r="D3223" s="6">
        <v>46204</v>
      </c>
      <c r="E3223" s="2" t="s">
        <v>260</v>
      </c>
      <c r="F3223" s="2" t="s">
        <v>8905</v>
      </c>
      <c r="G3223" s="6">
        <v>46174</v>
      </c>
      <c r="H3223" s="2" t="s">
        <v>71</v>
      </c>
      <c r="I3223" s="2" t="s">
        <v>39</v>
      </c>
      <c r="J3223" s="9">
        <v>8177.3239999999996</v>
      </c>
      <c r="K3223" s="7">
        <v>1</v>
      </c>
      <c r="L3223" s="9">
        <v>8177.32</v>
      </c>
      <c r="M3223" s="9">
        <v>8177.32</v>
      </c>
      <c r="N3223" s="9">
        <v>4.5</v>
      </c>
      <c r="O3223" s="10">
        <f>IF(AND(OR(H3223="APPROVED",H3223="SCHEDULED"),COUNTIFS(tblSource[EventID],F3223,tblSource[ReleaseStatus],"APPROVED")=1,COUNTIFS(Period_Status!$A$2:$A$8,G3223,Period_Status!$B$2:$B$8,"ActualClosed")=1,C3223&gt;EOMONTH(Settlement_Bridge!$C$2,0)),1,0)</f>
        <v>0</v>
      </c>
      <c r="P3223" s="2" t="s">
        <v>8906</v>
      </c>
    </row>
    <row r="3224" spans="1:16" x14ac:dyDescent="0.25">
      <c r="A3224" s="2" t="s">
        <v>8907</v>
      </c>
      <c r="B3224" s="2" t="s">
        <v>7433</v>
      </c>
      <c r="C3224" s="8">
        <v>46240</v>
      </c>
      <c r="D3224" s="6">
        <v>46235</v>
      </c>
      <c r="E3224" s="2" t="s">
        <v>260</v>
      </c>
      <c r="F3224" s="2" t="s">
        <v>8905</v>
      </c>
      <c r="G3224" s="6">
        <v>46174</v>
      </c>
      <c r="H3224" s="2" t="s">
        <v>71</v>
      </c>
      <c r="I3224" s="2" t="s">
        <v>39</v>
      </c>
      <c r="J3224" s="9">
        <v>12265.986000000001</v>
      </c>
      <c r="K3224" s="7">
        <v>1</v>
      </c>
      <c r="L3224" s="9">
        <v>12265.99</v>
      </c>
      <c r="M3224" s="9">
        <v>12265.99</v>
      </c>
      <c r="N3224" s="9">
        <v>6.75</v>
      </c>
      <c r="O3224" s="10">
        <f>IF(AND(OR(H3224="APPROVED",H3224="SCHEDULED"),COUNTIFS(tblSource[EventID],F3224,tblSource[ReleaseStatus],"APPROVED")=1,COUNTIFS(Period_Status!$A$2:$A$8,G3224,Period_Status!$B$2:$B$8,"ActualClosed")=1,C3224&gt;EOMONTH(Settlement_Bridge!$C$2,0)),1,0)</f>
        <v>1</v>
      </c>
      <c r="P3224" s="2" t="s">
        <v>8908</v>
      </c>
    </row>
    <row r="3225" spans="1:16" x14ac:dyDescent="0.25">
      <c r="A3225" s="2" t="s">
        <v>8909</v>
      </c>
      <c r="B3225" s="2" t="s">
        <v>7433</v>
      </c>
      <c r="C3225" s="8">
        <v>46216</v>
      </c>
      <c r="D3225" s="6">
        <v>46204</v>
      </c>
      <c r="E3225" s="2" t="s">
        <v>260</v>
      </c>
      <c r="F3225" s="2" t="s">
        <v>8910</v>
      </c>
      <c r="G3225" s="6">
        <v>46174</v>
      </c>
      <c r="H3225" s="2" t="s">
        <v>71</v>
      </c>
      <c r="I3225" s="2" t="s">
        <v>76</v>
      </c>
      <c r="J3225" s="9">
        <v>132608832</v>
      </c>
      <c r="K3225" s="7">
        <v>6.2000000000000003E-5</v>
      </c>
      <c r="L3225" s="9">
        <v>8221.75</v>
      </c>
      <c r="M3225" s="9">
        <v>8288.0499999999993</v>
      </c>
      <c r="N3225" s="9">
        <v>4.5199999999999996</v>
      </c>
      <c r="O3225" s="10">
        <f>IF(AND(OR(H3225="APPROVED",H3225="SCHEDULED"),COUNTIFS(tblSource[EventID],F3225,tblSource[ReleaseStatus],"APPROVED")=1,COUNTIFS(Period_Status!$A$2:$A$8,G3225,Period_Status!$B$2:$B$8,"ActualClosed")=1,C3225&gt;EOMONTH(Settlement_Bridge!$C$2,0)),1,0)</f>
        <v>0</v>
      </c>
      <c r="P3225" s="2" t="s">
        <v>8911</v>
      </c>
    </row>
    <row r="3226" spans="1:16" x14ac:dyDescent="0.25">
      <c r="A3226" s="2" t="s">
        <v>8912</v>
      </c>
      <c r="B3226" s="2" t="s">
        <v>7433</v>
      </c>
      <c r="C3226" s="8">
        <v>46241</v>
      </c>
      <c r="D3226" s="6">
        <v>46235</v>
      </c>
      <c r="E3226" s="2" t="s">
        <v>260</v>
      </c>
      <c r="F3226" s="2" t="s">
        <v>8910</v>
      </c>
      <c r="G3226" s="6">
        <v>46174</v>
      </c>
      <c r="H3226" s="2" t="s">
        <v>71</v>
      </c>
      <c r="I3226" s="2" t="s">
        <v>76</v>
      </c>
      <c r="J3226" s="9">
        <v>198913248</v>
      </c>
      <c r="K3226" s="7">
        <v>6.1500000000000004E-5</v>
      </c>
      <c r="L3226" s="9">
        <v>12233.16</v>
      </c>
      <c r="M3226" s="9">
        <v>12432.08</v>
      </c>
      <c r="N3226" s="9">
        <v>6.73</v>
      </c>
      <c r="O3226" s="10">
        <f>IF(AND(OR(H3226="APPROVED",H3226="SCHEDULED"),COUNTIFS(tblSource[EventID],F3226,tblSource[ReleaseStatus],"APPROVED")=1,COUNTIFS(Period_Status!$A$2:$A$8,G3226,Period_Status!$B$2:$B$8,"ActualClosed")=1,C3226&gt;EOMONTH(Settlement_Bridge!$C$2,0)),1,0)</f>
        <v>1</v>
      </c>
      <c r="P3226" s="2" t="s">
        <v>8913</v>
      </c>
    </row>
    <row r="3227" spans="1:16" x14ac:dyDescent="0.25">
      <c r="A3227" s="2" t="s">
        <v>8914</v>
      </c>
      <c r="B3227" s="2" t="s">
        <v>7433</v>
      </c>
      <c r="C3227" s="8">
        <v>46217</v>
      </c>
      <c r="D3227" s="6">
        <v>46204</v>
      </c>
      <c r="E3227" s="2" t="s">
        <v>260</v>
      </c>
      <c r="F3227" s="2" t="s">
        <v>8915</v>
      </c>
      <c r="G3227" s="6">
        <v>46174</v>
      </c>
      <c r="H3227" s="2" t="s">
        <v>71</v>
      </c>
      <c r="I3227" s="2" t="s">
        <v>70</v>
      </c>
      <c r="J3227" s="9">
        <v>12629.738346</v>
      </c>
      <c r="K3227" s="7">
        <v>0.65800000000000003</v>
      </c>
      <c r="L3227" s="9">
        <v>8310.3700000000008</v>
      </c>
      <c r="M3227" s="9">
        <v>8398.7800000000007</v>
      </c>
      <c r="N3227" s="9">
        <v>4.57</v>
      </c>
      <c r="O3227" s="10">
        <f>IF(AND(OR(H3227="APPROVED",H3227="SCHEDULED"),COUNTIFS(tblSource[EventID],F3227,tblSource[ReleaseStatus],"APPROVED")=1,COUNTIFS(Period_Status!$A$2:$A$8,G3227,Period_Status!$B$2:$B$8,"ActualClosed")=1,C3227&gt;EOMONTH(Settlement_Bridge!$C$2,0)),1,0)</f>
        <v>0</v>
      </c>
      <c r="P3227" s="2" t="s">
        <v>8916</v>
      </c>
    </row>
    <row r="3228" spans="1:16" x14ac:dyDescent="0.25">
      <c r="A3228" s="2" t="s">
        <v>8917</v>
      </c>
      <c r="B3228" s="2" t="s">
        <v>7433</v>
      </c>
      <c r="C3228" s="8">
        <v>46242</v>
      </c>
      <c r="D3228" s="6">
        <v>46235</v>
      </c>
      <c r="E3228" s="2" t="s">
        <v>260</v>
      </c>
      <c r="F3228" s="2" t="s">
        <v>8915</v>
      </c>
      <c r="G3228" s="6">
        <v>46174</v>
      </c>
      <c r="H3228" s="2" t="s">
        <v>71</v>
      </c>
      <c r="I3228" s="2" t="s">
        <v>70</v>
      </c>
      <c r="J3228" s="9">
        <v>18944.607519000001</v>
      </c>
      <c r="K3228" s="7">
        <v>0.65</v>
      </c>
      <c r="L3228" s="9">
        <v>12313.99</v>
      </c>
      <c r="M3228" s="9">
        <v>12598.16</v>
      </c>
      <c r="N3228" s="9">
        <v>6.77</v>
      </c>
      <c r="O3228" s="10">
        <f>IF(AND(OR(H3228="APPROVED",H3228="SCHEDULED"),COUNTIFS(tblSource[EventID],F3228,tblSource[ReleaseStatus],"APPROVED")=1,COUNTIFS(Period_Status!$A$2:$A$8,G3228,Period_Status!$B$2:$B$8,"ActualClosed")=1,C3228&gt;EOMONTH(Settlement_Bridge!$C$2,0)),1,0)</f>
        <v>1</v>
      </c>
      <c r="P3228" s="2" t="s">
        <v>8918</v>
      </c>
    </row>
    <row r="3229" spans="1:16" x14ac:dyDescent="0.25">
      <c r="A3229" s="2" t="s">
        <v>8919</v>
      </c>
      <c r="B3229" s="2" t="s">
        <v>7433</v>
      </c>
      <c r="C3229" s="8">
        <v>46188</v>
      </c>
      <c r="D3229" s="6">
        <v>46174</v>
      </c>
      <c r="E3229" s="2" t="s">
        <v>260</v>
      </c>
      <c r="F3229" s="2" t="s">
        <v>8920</v>
      </c>
      <c r="G3229" s="6">
        <v>46174</v>
      </c>
      <c r="H3229" s="2" t="s">
        <v>71</v>
      </c>
      <c r="I3229" s="2" t="s">
        <v>39</v>
      </c>
      <c r="J3229" s="9">
        <v>8509.5040000000008</v>
      </c>
      <c r="K3229" s="7">
        <v>1</v>
      </c>
      <c r="L3229" s="9">
        <v>8509.5</v>
      </c>
      <c r="M3229" s="9">
        <v>8509.5</v>
      </c>
      <c r="N3229" s="9">
        <v>4.68</v>
      </c>
      <c r="O3229" s="10">
        <f>IF(AND(OR(H3229="APPROVED",H3229="SCHEDULED"),COUNTIFS(tblSource[EventID],F3229,tblSource[ReleaseStatus],"APPROVED")=1,COUNTIFS(Period_Status!$A$2:$A$8,G3229,Period_Status!$B$2:$B$8,"ActualClosed")=1,C3229&gt;EOMONTH(Settlement_Bridge!$C$2,0)),1,0)</f>
        <v>0</v>
      </c>
      <c r="P3229" s="2" t="s">
        <v>8921</v>
      </c>
    </row>
    <row r="3230" spans="1:16" x14ac:dyDescent="0.25">
      <c r="A3230" s="2" t="s">
        <v>8922</v>
      </c>
      <c r="B3230" s="2" t="s">
        <v>7433</v>
      </c>
      <c r="C3230" s="8">
        <v>46213</v>
      </c>
      <c r="D3230" s="6">
        <v>46204</v>
      </c>
      <c r="E3230" s="2" t="s">
        <v>260</v>
      </c>
      <c r="F3230" s="2" t="s">
        <v>8920</v>
      </c>
      <c r="G3230" s="6">
        <v>46174</v>
      </c>
      <c r="H3230" s="2" t="s">
        <v>71</v>
      </c>
      <c r="I3230" s="2" t="s">
        <v>39</v>
      </c>
      <c r="J3230" s="9">
        <v>12764.255999999999</v>
      </c>
      <c r="K3230" s="7">
        <v>1</v>
      </c>
      <c r="L3230" s="9">
        <v>12764.26</v>
      </c>
      <c r="M3230" s="9">
        <v>12764.26</v>
      </c>
      <c r="N3230" s="9">
        <v>7.02</v>
      </c>
      <c r="O3230" s="10">
        <f>IF(AND(OR(H3230="APPROVED",H3230="SCHEDULED"),COUNTIFS(tblSource[EventID],F3230,tblSource[ReleaseStatus],"APPROVED")=1,COUNTIFS(Period_Status!$A$2:$A$8,G3230,Period_Status!$B$2:$B$8,"ActualClosed")=1,C3230&gt;EOMONTH(Settlement_Bridge!$C$2,0)),1,0)</f>
        <v>0</v>
      </c>
      <c r="P3230" s="2" t="s">
        <v>8923</v>
      </c>
    </row>
    <row r="3231" spans="1:16" x14ac:dyDescent="0.25">
      <c r="A3231" s="2" t="s">
        <v>8924</v>
      </c>
      <c r="B3231" s="2" t="s">
        <v>7433</v>
      </c>
      <c r="C3231" s="8">
        <v>46189</v>
      </c>
      <c r="D3231" s="6">
        <v>46174</v>
      </c>
      <c r="E3231" s="2" t="s">
        <v>260</v>
      </c>
      <c r="F3231" s="2" t="s">
        <v>8925</v>
      </c>
      <c r="G3231" s="6">
        <v>46174</v>
      </c>
      <c r="H3231" s="2" t="s">
        <v>71</v>
      </c>
      <c r="I3231" s="2" t="s">
        <v>76</v>
      </c>
      <c r="J3231" s="9">
        <v>137923712</v>
      </c>
      <c r="K3231" s="7">
        <v>6.2500000000000001E-5</v>
      </c>
      <c r="L3231" s="9">
        <v>8620.23</v>
      </c>
      <c r="M3231" s="9">
        <v>8620.23</v>
      </c>
      <c r="N3231" s="9">
        <v>4.74</v>
      </c>
      <c r="O3231" s="10">
        <f>IF(AND(OR(H3231="APPROVED",H3231="SCHEDULED"),COUNTIFS(tblSource[EventID],F3231,tblSource[ReleaseStatus],"APPROVED")=1,COUNTIFS(Period_Status!$A$2:$A$8,G3231,Period_Status!$B$2:$B$8,"ActualClosed")=1,C3231&gt;EOMONTH(Settlement_Bridge!$C$2,0)),1,0)</f>
        <v>0</v>
      </c>
      <c r="P3231" s="2" t="s">
        <v>8926</v>
      </c>
    </row>
    <row r="3232" spans="1:16" x14ac:dyDescent="0.25">
      <c r="A3232" s="2" t="s">
        <v>8927</v>
      </c>
      <c r="B3232" s="2" t="s">
        <v>7433</v>
      </c>
      <c r="C3232" s="8">
        <v>46214</v>
      </c>
      <c r="D3232" s="6">
        <v>46204</v>
      </c>
      <c r="E3232" s="2" t="s">
        <v>260</v>
      </c>
      <c r="F3232" s="2" t="s">
        <v>8925</v>
      </c>
      <c r="G3232" s="6">
        <v>46174</v>
      </c>
      <c r="H3232" s="2" t="s">
        <v>71</v>
      </c>
      <c r="I3232" s="2" t="s">
        <v>76</v>
      </c>
      <c r="J3232" s="9">
        <v>206885568</v>
      </c>
      <c r="K3232" s="7">
        <v>6.2000000000000003E-5</v>
      </c>
      <c r="L3232" s="9">
        <v>12826.91</v>
      </c>
      <c r="M3232" s="9">
        <v>12930.35</v>
      </c>
      <c r="N3232" s="9">
        <v>7.05</v>
      </c>
      <c r="O3232" s="10">
        <f>IF(AND(OR(H3232="APPROVED",H3232="SCHEDULED"),COUNTIFS(tblSource[EventID],F3232,tblSource[ReleaseStatus],"APPROVED")=1,COUNTIFS(Period_Status!$A$2:$A$8,G3232,Period_Status!$B$2:$B$8,"ActualClosed")=1,C3232&gt;EOMONTH(Settlement_Bridge!$C$2,0)),1,0)</f>
        <v>0</v>
      </c>
      <c r="P3232" s="2" t="s">
        <v>8928</v>
      </c>
    </row>
    <row r="3233" spans="1:16" x14ac:dyDescent="0.25">
      <c r="A3233" s="2" t="s">
        <v>8929</v>
      </c>
      <c r="B3233" s="2" t="s">
        <v>7433</v>
      </c>
      <c r="C3233" s="8">
        <v>46190</v>
      </c>
      <c r="D3233" s="6">
        <v>46174</v>
      </c>
      <c r="E3233" s="2" t="s">
        <v>260</v>
      </c>
      <c r="F3233" s="2" t="s">
        <v>8930</v>
      </c>
      <c r="G3233" s="6">
        <v>46174</v>
      </c>
      <c r="H3233" s="2" t="s">
        <v>71</v>
      </c>
      <c r="I3233" s="2" t="s">
        <v>70</v>
      </c>
      <c r="J3233" s="9">
        <v>13129.257143000001</v>
      </c>
      <c r="K3233" s="7">
        <v>0.66500000000000004</v>
      </c>
      <c r="L3233" s="9">
        <v>8730.9599999999991</v>
      </c>
      <c r="M3233" s="9">
        <v>8730.9599999999991</v>
      </c>
      <c r="N3233" s="9">
        <v>4.8</v>
      </c>
      <c r="O3233" s="10">
        <f>IF(AND(OR(H3233="APPROVED",H3233="SCHEDULED"),COUNTIFS(tblSource[EventID],F3233,tblSource[ReleaseStatus],"APPROVED")=1,COUNTIFS(Period_Status!$A$2:$A$8,G3233,Period_Status!$B$2:$B$8,"ActualClosed")=1,C3233&gt;EOMONTH(Settlement_Bridge!$C$2,0)),1,0)</f>
        <v>0</v>
      </c>
      <c r="P3233" s="2" t="s">
        <v>8931</v>
      </c>
    </row>
    <row r="3234" spans="1:16" x14ac:dyDescent="0.25">
      <c r="A3234" s="2" t="s">
        <v>8932</v>
      </c>
      <c r="B3234" s="2" t="s">
        <v>7433</v>
      </c>
      <c r="C3234" s="8">
        <v>46215</v>
      </c>
      <c r="D3234" s="6">
        <v>46204</v>
      </c>
      <c r="E3234" s="2" t="s">
        <v>260</v>
      </c>
      <c r="F3234" s="2" t="s">
        <v>8930</v>
      </c>
      <c r="G3234" s="6">
        <v>46174</v>
      </c>
      <c r="H3234" s="2" t="s">
        <v>71</v>
      </c>
      <c r="I3234" s="2" t="s">
        <v>70</v>
      </c>
      <c r="J3234" s="9">
        <v>19693.885714</v>
      </c>
      <c r="K3234" s="7">
        <v>0.65800000000000003</v>
      </c>
      <c r="L3234" s="9">
        <v>12958.58</v>
      </c>
      <c r="M3234" s="9">
        <v>13096.43</v>
      </c>
      <c r="N3234" s="9">
        <v>7.13</v>
      </c>
      <c r="O3234" s="10">
        <f>IF(AND(OR(H3234="APPROVED",H3234="SCHEDULED"),COUNTIFS(tblSource[EventID],F3234,tblSource[ReleaseStatus],"APPROVED")=1,COUNTIFS(Period_Status!$A$2:$A$8,G3234,Period_Status!$B$2:$B$8,"ActualClosed")=1,C3234&gt;EOMONTH(Settlement_Bridge!$C$2,0)),1,0)</f>
        <v>0</v>
      </c>
      <c r="P3234" s="2" t="s">
        <v>8933</v>
      </c>
    </row>
    <row r="3235" spans="1:16" x14ac:dyDescent="0.25">
      <c r="A3235" s="2" t="s">
        <v>8934</v>
      </c>
      <c r="B3235" s="2" t="s">
        <v>7433</v>
      </c>
      <c r="C3235" s="8">
        <v>46191</v>
      </c>
      <c r="D3235" s="6">
        <v>46174</v>
      </c>
      <c r="E3235" s="2" t="s">
        <v>260</v>
      </c>
      <c r="F3235" s="2" t="s">
        <v>8935</v>
      </c>
      <c r="G3235" s="6">
        <v>46174</v>
      </c>
      <c r="H3235" s="2" t="s">
        <v>71</v>
      </c>
      <c r="I3235" s="2" t="s">
        <v>39</v>
      </c>
      <c r="J3235" s="9">
        <v>8841.6839999999993</v>
      </c>
      <c r="K3235" s="7">
        <v>1</v>
      </c>
      <c r="L3235" s="9">
        <v>8841.68</v>
      </c>
      <c r="M3235" s="9">
        <v>8841.68</v>
      </c>
      <c r="N3235" s="9">
        <v>4.8600000000000003</v>
      </c>
      <c r="O3235" s="10">
        <f>IF(AND(OR(H3235="APPROVED",H3235="SCHEDULED"),COUNTIFS(tblSource[EventID],F3235,tblSource[ReleaseStatus],"APPROVED")=1,COUNTIFS(Period_Status!$A$2:$A$8,G3235,Period_Status!$B$2:$B$8,"ActualClosed")=1,C3235&gt;EOMONTH(Settlement_Bridge!$C$2,0)),1,0)</f>
        <v>0</v>
      </c>
      <c r="P3235" s="2" t="s">
        <v>8936</v>
      </c>
    </row>
    <row r="3236" spans="1:16" x14ac:dyDescent="0.25">
      <c r="A3236" s="2" t="s">
        <v>8937</v>
      </c>
      <c r="B3236" s="2" t="s">
        <v>7433</v>
      </c>
      <c r="C3236" s="8">
        <v>46216</v>
      </c>
      <c r="D3236" s="6">
        <v>46204</v>
      </c>
      <c r="E3236" s="2" t="s">
        <v>260</v>
      </c>
      <c r="F3236" s="2" t="s">
        <v>8935</v>
      </c>
      <c r="G3236" s="6">
        <v>46174</v>
      </c>
      <c r="H3236" s="2" t="s">
        <v>71</v>
      </c>
      <c r="I3236" s="2" t="s">
        <v>39</v>
      </c>
      <c r="J3236" s="9">
        <v>13262.526</v>
      </c>
      <c r="K3236" s="7">
        <v>1</v>
      </c>
      <c r="L3236" s="9">
        <v>13262.53</v>
      </c>
      <c r="M3236" s="9">
        <v>13262.53</v>
      </c>
      <c r="N3236" s="9">
        <v>7.29</v>
      </c>
      <c r="O3236" s="10">
        <f>IF(AND(OR(H3236="APPROVED",H3236="SCHEDULED"),COUNTIFS(tblSource[EventID],F3236,tblSource[ReleaseStatus],"APPROVED")=1,COUNTIFS(Period_Status!$A$2:$A$8,G3236,Period_Status!$B$2:$B$8,"ActualClosed")=1,C3236&gt;EOMONTH(Settlement_Bridge!$C$2,0)),1,0)</f>
        <v>0</v>
      </c>
      <c r="P3236" s="2" t="s">
        <v>8938</v>
      </c>
    </row>
    <row r="3237" spans="1:16" x14ac:dyDescent="0.25">
      <c r="A3237" s="2" t="s">
        <v>8939</v>
      </c>
      <c r="B3237" s="2" t="s">
        <v>7433</v>
      </c>
      <c r="C3237" s="8">
        <v>46192</v>
      </c>
      <c r="D3237" s="6">
        <v>46174</v>
      </c>
      <c r="E3237" s="2" t="s">
        <v>260</v>
      </c>
      <c r="F3237" s="2" t="s">
        <v>8940</v>
      </c>
      <c r="G3237" s="6">
        <v>46174</v>
      </c>
      <c r="H3237" s="2" t="s">
        <v>71</v>
      </c>
      <c r="I3237" s="2" t="s">
        <v>76</v>
      </c>
      <c r="J3237" s="9">
        <v>143238528</v>
      </c>
      <c r="K3237" s="7">
        <v>6.2500000000000001E-5</v>
      </c>
      <c r="L3237" s="9">
        <v>8952.41</v>
      </c>
      <c r="M3237" s="9">
        <v>8952.41</v>
      </c>
      <c r="N3237" s="9">
        <v>4.92</v>
      </c>
      <c r="O3237" s="10">
        <f>IF(AND(OR(H3237="APPROVED",H3237="SCHEDULED"),COUNTIFS(tblSource[EventID],F3237,tblSource[ReleaseStatus],"APPROVED")=1,COUNTIFS(Period_Status!$A$2:$A$8,G3237,Period_Status!$B$2:$B$8,"ActualClosed")=1,C3237&gt;EOMONTH(Settlement_Bridge!$C$2,0)),1,0)</f>
        <v>0</v>
      </c>
      <c r="P3237" s="2" t="s">
        <v>8941</v>
      </c>
    </row>
    <row r="3238" spans="1:16" x14ac:dyDescent="0.25">
      <c r="A3238" s="2" t="s">
        <v>8942</v>
      </c>
      <c r="B3238" s="2" t="s">
        <v>7433</v>
      </c>
      <c r="C3238" s="8">
        <v>46217</v>
      </c>
      <c r="D3238" s="6">
        <v>46204</v>
      </c>
      <c r="E3238" s="2" t="s">
        <v>260</v>
      </c>
      <c r="F3238" s="2" t="s">
        <v>8940</v>
      </c>
      <c r="G3238" s="6">
        <v>46174</v>
      </c>
      <c r="H3238" s="2" t="s">
        <v>71</v>
      </c>
      <c r="I3238" s="2" t="s">
        <v>76</v>
      </c>
      <c r="J3238" s="9">
        <v>214857792</v>
      </c>
      <c r="K3238" s="7">
        <v>6.2000000000000003E-5</v>
      </c>
      <c r="L3238" s="9">
        <v>13321.18</v>
      </c>
      <c r="M3238" s="9">
        <v>13428.61</v>
      </c>
      <c r="N3238" s="9">
        <v>7.33</v>
      </c>
      <c r="O3238" s="10">
        <f>IF(AND(OR(H3238="APPROVED",H3238="SCHEDULED"),COUNTIFS(tblSource[EventID],F3238,tblSource[ReleaseStatus],"APPROVED")=1,COUNTIFS(Period_Status!$A$2:$A$8,G3238,Period_Status!$B$2:$B$8,"ActualClosed")=1,C3238&gt;EOMONTH(Settlement_Bridge!$C$2,0)),1,0)</f>
        <v>0</v>
      </c>
      <c r="P3238" s="2" t="s">
        <v>8943</v>
      </c>
    </row>
    <row r="3239" spans="1:16" x14ac:dyDescent="0.25">
      <c r="A3239" s="2" t="s">
        <v>8944</v>
      </c>
      <c r="B3239" s="2" t="s">
        <v>7433</v>
      </c>
      <c r="C3239" s="8">
        <v>46193</v>
      </c>
      <c r="D3239" s="6">
        <v>46174</v>
      </c>
      <c r="E3239" s="2" t="s">
        <v>260</v>
      </c>
      <c r="F3239" s="2" t="s">
        <v>8945</v>
      </c>
      <c r="G3239" s="6">
        <v>46174</v>
      </c>
      <c r="H3239" s="2" t="s">
        <v>71</v>
      </c>
      <c r="I3239" s="2" t="s">
        <v>70</v>
      </c>
      <c r="J3239" s="9">
        <v>13628.77594</v>
      </c>
      <c r="K3239" s="7">
        <v>0.66500000000000004</v>
      </c>
      <c r="L3239" s="9">
        <v>9063.14</v>
      </c>
      <c r="M3239" s="9">
        <v>9063.14</v>
      </c>
      <c r="N3239" s="9">
        <v>4.9800000000000004</v>
      </c>
      <c r="O3239" s="10">
        <f>IF(AND(OR(H3239="APPROVED",H3239="SCHEDULED"),COUNTIFS(tblSource[EventID],F3239,tblSource[ReleaseStatus],"APPROVED")=1,COUNTIFS(Period_Status!$A$2:$A$8,G3239,Period_Status!$B$2:$B$8,"ActualClosed")=1,C3239&gt;EOMONTH(Settlement_Bridge!$C$2,0)),1,0)</f>
        <v>0</v>
      </c>
      <c r="P3239" s="2" t="s">
        <v>8946</v>
      </c>
    </row>
    <row r="3240" spans="1:16" x14ac:dyDescent="0.25">
      <c r="A3240" s="2" t="s">
        <v>8947</v>
      </c>
      <c r="B3240" s="2" t="s">
        <v>7433</v>
      </c>
      <c r="C3240" s="8">
        <v>46218</v>
      </c>
      <c r="D3240" s="6">
        <v>46204</v>
      </c>
      <c r="E3240" s="2" t="s">
        <v>260</v>
      </c>
      <c r="F3240" s="2" t="s">
        <v>8945</v>
      </c>
      <c r="G3240" s="6">
        <v>46174</v>
      </c>
      <c r="H3240" s="2" t="s">
        <v>71</v>
      </c>
      <c r="I3240" s="2" t="s">
        <v>70</v>
      </c>
      <c r="J3240" s="9">
        <v>20443.163909999999</v>
      </c>
      <c r="K3240" s="7">
        <v>0.65800000000000003</v>
      </c>
      <c r="L3240" s="9">
        <v>13451.6</v>
      </c>
      <c r="M3240" s="9">
        <v>13594.7</v>
      </c>
      <c r="N3240" s="9">
        <v>7.4</v>
      </c>
      <c r="O3240" s="10">
        <f>IF(AND(OR(H3240="APPROVED",H3240="SCHEDULED"),COUNTIFS(tblSource[EventID],F3240,tblSource[ReleaseStatus],"APPROVED")=1,COUNTIFS(Period_Status!$A$2:$A$8,G3240,Period_Status!$B$2:$B$8,"ActualClosed")=1,C3240&gt;EOMONTH(Settlement_Bridge!$C$2,0)),1,0)</f>
        <v>0</v>
      </c>
      <c r="P3240" s="2" t="s">
        <v>8948</v>
      </c>
    </row>
    <row r="3241" spans="1:16" x14ac:dyDescent="0.25">
      <c r="A3241" s="2" t="s">
        <v>8949</v>
      </c>
      <c r="B3241" s="2" t="s">
        <v>7433</v>
      </c>
      <c r="C3241" s="8">
        <v>46194</v>
      </c>
      <c r="D3241" s="6">
        <v>46174</v>
      </c>
      <c r="E3241" s="2" t="s">
        <v>260</v>
      </c>
      <c r="F3241" s="2" t="s">
        <v>8950</v>
      </c>
      <c r="G3241" s="6">
        <v>46174</v>
      </c>
      <c r="H3241" s="2" t="s">
        <v>71</v>
      </c>
      <c r="I3241" s="2" t="s">
        <v>39</v>
      </c>
      <c r="J3241" s="9">
        <v>9173.8639999999996</v>
      </c>
      <c r="K3241" s="7">
        <v>1</v>
      </c>
      <c r="L3241" s="9">
        <v>9173.86</v>
      </c>
      <c r="M3241" s="9">
        <v>9173.86</v>
      </c>
      <c r="N3241" s="9">
        <v>5.05</v>
      </c>
      <c r="O3241" s="10">
        <f>IF(AND(OR(H3241="APPROVED",H3241="SCHEDULED"),COUNTIFS(tblSource[EventID],F3241,tblSource[ReleaseStatus],"APPROVED")=1,COUNTIFS(Period_Status!$A$2:$A$8,G3241,Period_Status!$B$2:$B$8,"ActualClosed")=1,C3241&gt;EOMONTH(Settlement_Bridge!$C$2,0)),1,0)</f>
        <v>0</v>
      </c>
      <c r="P3241" s="2" t="s">
        <v>8951</v>
      </c>
    </row>
    <row r="3242" spans="1:16" x14ac:dyDescent="0.25">
      <c r="A3242" s="2" t="s">
        <v>8952</v>
      </c>
      <c r="B3242" s="2" t="s">
        <v>7433</v>
      </c>
      <c r="C3242" s="8">
        <v>46219</v>
      </c>
      <c r="D3242" s="6">
        <v>46204</v>
      </c>
      <c r="E3242" s="2" t="s">
        <v>260</v>
      </c>
      <c r="F3242" s="2" t="s">
        <v>8950</v>
      </c>
      <c r="G3242" s="6">
        <v>46174</v>
      </c>
      <c r="H3242" s="2" t="s">
        <v>71</v>
      </c>
      <c r="I3242" s="2" t="s">
        <v>39</v>
      </c>
      <c r="J3242" s="9">
        <v>13760.796</v>
      </c>
      <c r="K3242" s="7">
        <v>1</v>
      </c>
      <c r="L3242" s="9">
        <v>13760.8</v>
      </c>
      <c r="M3242" s="9">
        <v>13760.8</v>
      </c>
      <c r="N3242" s="9">
        <v>7.57</v>
      </c>
      <c r="O3242" s="10">
        <f>IF(AND(OR(H3242="APPROVED",H3242="SCHEDULED"),COUNTIFS(tblSource[EventID],F3242,tblSource[ReleaseStatus],"APPROVED")=1,COUNTIFS(Period_Status!$A$2:$A$8,G3242,Period_Status!$B$2:$B$8,"ActualClosed")=1,C3242&gt;EOMONTH(Settlement_Bridge!$C$2,0)),1,0)</f>
        <v>0</v>
      </c>
      <c r="P3242" s="2" t="s">
        <v>8953</v>
      </c>
    </row>
    <row r="3243" spans="1:16" x14ac:dyDescent="0.25">
      <c r="A3243" s="2" t="s">
        <v>8954</v>
      </c>
      <c r="B3243" s="2" t="s">
        <v>7433</v>
      </c>
      <c r="C3243" s="8">
        <v>46195</v>
      </c>
      <c r="D3243" s="6">
        <v>46174</v>
      </c>
      <c r="E3243" s="2" t="s">
        <v>260</v>
      </c>
      <c r="F3243" s="2" t="s">
        <v>8955</v>
      </c>
      <c r="G3243" s="6">
        <v>46174</v>
      </c>
      <c r="H3243" s="2" t="s">
        <v>71</v>
      </c>
      <c r="I3243" s="2" t="s">
        <v>76</v>
      </c>
      <c r="J3243" s="9">
        <v>148553408</v>
      </c>
      <c r="K3243" s="7">
        <v>6.2500000000000001E-5</v>
      </c>
      <c r="L3243" s="9">
        <v>9284.59</v>
      </c>
      <c r="M3243" s="9">
        <v>9284.59</v>
      </c>
      <c r="N3243" s="9">
        <v>5.1100000000000003</v>
      </c>
      <c r="O3243" s="10">
        <f>IF(AND(OR(H3243="APPROVED",H3243="SCHEDULED"),COUNTIFS(tblSource[EventID],F3243,tblSource[ReleaseStatus],"APPROVED")=1,COUNTIFS(Period_Status!$A$2:$A$8,G3243,Period_Status!$B$2:$B$8,"ActualClosed")=1,C3243&gt;EOMONTH(Settlement_Bridge!$C$2,0)),1,0)</f>
        <v>0</v>
      </c>
      <c r="P3243" s="2" t="s">
        <v>8956</v>
      </c>
    </row>
    <row r="3244" spans="1:16" x14ac:dyDescent="0.25">
      <c r="A3244" s="2" t="s">
        <v>8957</v>
      </c>
      <c r="B3244" s="2" t="s">
        <v>7433</v>
      </c>
      <c r="C3244" s="8">
        <v>46220</v>
      </c>
      <c r="D3244" s="6">
        <v>46204</v>
      </c>
      <c r="E3244" s="2" t="s">
        <v>260</v>
      </c>
      <c r="F3244" s="2" t="s">
        <v>8955</v>
      </c>
      <c r="G3244" s="6">
        <v>46174</v>
      </c>
      <c r="H3244" s="2" t="s">
        <v>71</v>
      </c>
      <c r="I3244" s="2" t="s">
        <v>76</v>
      </c>
      <c r="J3244" s="9">
        <v>222830112</v>
      </c>
      <c r="K3244" s="7">
        <v>6.2000000000000003E-5</v>
      </c>
      <c r="L3244" s="9">
        <v>13815.47</v>
      </c>
      <c r="M3244" s="9">
        <v>13926.88</v>
      </c>
      <c r="N3244" s="9">
        <v>7.6</v>
      </c>
      <c r="O3244" s="10">
        <f>IF(AND(OR(H3244="APPROVED",H3244="SCHEDULED"),COUNTIFS(tblSource[EventID],F3244,tblSource[ReleaseStatus],"APPROVED")=1,COUNTIFS(Period_Status!$A$2:$A$8,G3244,Period_Status!$B$2:$B$8,"ActualClosed")=1,C3244&gt;EOMONTH(Settlement_Bridge!$C$2,0)),1,0)</f>
        <v>0</v>
      </c>
      <c r="P3244" s="2" t="s">
        <v>8958</v>
      </c>
    </row>
    <row r="3245" spans="1:16" x14ac:dyDescent="0.25">
      <c r="A3245" s="2" t="s">
        <v>8959</v>
      </c>
      <c r="B3245" s="2" t="s">
        <v>7433</v>
      </c>
      <c r="C3245" s="8">
        <v>46196</v>
      </c>
      <c r="D3245" s="6">
        <v>46174</v>
      </c>
      <c r="E3245" s="2" t="s">
        <v>260</v>
      </c>
      <c r="F3245" s="2" t="s">
        <v>8960</v>
      </c>
      <c r="G3245" s="6">
        <v>46174</v>
      </c>
      <c r="H3245" s="2" t="s">
        <v>71</v>
      </c>
      <c r="I3245" s="2" t="s">
        <v>70</v>
      </c>
      <c r="J3245" s="9">
        <v>14128.294737</v>
      </c>
      <c r="K3245" s="7">
        <v>0.66500000000000004</v>
      </c>
      <c r="L3245" s="9">
        <v>9395.32</v>
      </c>
      <c r="M3245" s="9">
        <v>9395.32</v>
      </c>
      <c r="N3245" s="9">
        <v>5.17</v>
      </c>
      <c r="O3245" s="10">
        <f>IF(AND(OR(H3245="APPROVED",H3245="SCHEDULED"),COUNTIFS(tblSource[EventID],F3245,tblSource[ReleaseStatus],"APPROVED")=1,COUNTIFS(Period_Status!$A$2:$A$8,G3245,Period_Status!$B$2:$B$8,"ActualClosed")=1,C3245&gt;EOMONTH(Settlement_Bridge!$C$2,0)),1,0)</f>
        <v>0</v>
      </c>
      <c r="P3245" s="2" t="s">
        <v>8961</v>
      </c>
    </row>
    <row r="3246" spans="1:16" x14ac:dyDescent="0.25">
      <c r="A3246" s="2" t="s">
        <v>8962</v>
      </c>
      <c r="B3246" s="2" t="s">
        <v>7433</v>
      </c>
      <c r="C3246" s="8">
        <v>46221</v>
      </c>
      <c r="D3246" s="6">
        <v>46204</v>
      </c>
      <c r="E3246" s="2" t="s">
        <v>260</v>
      </c>
      <c r="F3246" s="2" t="s">
        <v>8960</v>
      </c>
      <c r="G3246" s="6">
        <v>46174</v>
      </c>
      <c r="H3246" s="2" t="s">
        <v>71</v>
      </c>
      <c r="I3246" s="2" t="s">
        <v>70</v>
      </c>
      <c r="J3246" s="9">
        <v>21192.442104999998</v>
      </c>
      <c r="K3246" s="7">
        <v>0.65800000000000003</v>
      </c>
      <c r="L3246" s="9">
        <v>13944.63</v>
      </c>
      <c r="M3246" s="9">
        <v>14092.97</v>
      </c>
      <c r="N3246" s="9">
        <v>7.67</v>
      </c>
      <c r="O3246" s="10">
        <f>IF(AND(OR(H3246="APPROVED",H3246="SCHEDULED"),COUNTIFS(tblSource[EventID],F3246,tblSource[ReleaseStatus],"APPROVED")=1,COUNTIFS(Period_Status!$A$2:$A$8,G3246,Period_Status!$B$2:$B$8,"ActualClosed")=1,C3246&gt;EOMONTH(Settlement_Bridge!$C$2,0)),1,0)</f>
        <v>0</v>
      </c>
      <c r="P3246" s="2" t="s">
        <v>8963</v>
      </c>
    </row>
    <row r="3247" spans="1:16" x14ac:dyDescent="0.25">
      <c r="A3247" s="2" t="s">
        <v>8964</v>
      </c>
      <c r="B3247" s="2" t="s">
        <v>7433</v>
      </c>
      <c r="C3247" s="8">
        <v>46197</v>
      </c>
      <c r="D3247" s="6">
        <v>46174</v>
      </c>
      <c r="E3247" s="2" t="s">
        <v>260</v>
      </c>
      <c r="F3247" s="2" t="s">
        <v>8965</v>
      </c>
      <c r="G3247" s="6">
        <v>46174</v>
      </c>
      <c r="H3247" s="2" t="s">
        <v>71</v>
      </c>
      <c r="I3247" s="2" t="s">
        <v>39</v>
      </c>
      <c r="J3247" s="9">
        <v>546.04</v>
      </c>
      <c r="K3247" s="7">
        <v>1</v>
      </c>
      <c r="L3247" s="9">
        <v>546.04</v>
      </c>
      <c r="M3247" s="9">
        <v>546.04</v>
      </c>
      <c r="N3247" s="9">
        <v>1.8</v>
      </c>
      <c r="O3247" s="10">
        <f>IF(AND(OR(H3247="APPROVED",H3247="SCHEDULED"),COUNTIFS(tblSource[EventID],F3247,tblSource[ReleaseStatus],"APPROVED")=1,COUNTIFS(Period_Status!$A$2:$A$8,G3247,Period_Status!$B$2:$B$8,"ActualClosed")=1,C3247&gt;EOMONTH(Settlement_Bridge!$C$2,0)),1,0)</f>
        <v>0</v>
      </c>
      <c r="P3247" s="2" t="s">
        <v>8966</v>
      </c>
    </row>
    <row r="3248" spans="1:16" x14ac:dyDescent="0.25">
      <c r="A3248" s="2" t="s">
        <v>8967</v>
      </c>
      <c r="B3248" s="2" t="s">
        <v>7433</v>
      </c>
      <c r="C3248" s="8">
        <v>46222</v>
      </c>
      <c r="D3248" s="6">
        <v>46204</v>
      </c>
      <c r="E3248" s="2" t="s">
        <v>260</v>
      </c>
      <c r="F3248" s="2" t="s">
        <v>8965</v>
      </c>
      <c r="G3248" s="6">
        <v>46174</v>
      </c>
      <c r="H3248" s="2" t="s">
        <v>71</v>
      </c>
      <c r="I3248" s="2" t="s">
        <v>39</v>
      </c>
      <c r="J3248" s="9">
        <v>819.06</v>
      </c>
      <c r="K3248" s="7">
        <v>1</v>
      </c>
      <c r="L3248" s="9">
        <v>819.06</v>
      </c>
      <c r="M3248" s="9">
        <v>819.06</v>
      </c>
      <c r="N3248" s="9">
        <v>1.8</v>
      </c>
      <c r="O3248" s="10">
        <f>IF(AND(OR(H3248="APPROVED",H3248="SCHEDULED"),COUNTIFS(tblSource[EventID],F3248,tblSource[ReleaseStatus],"APPROVED")=1,COUNTIFS(Period_Status!$A$2:$A$8,G3248,Period_Status!$B$2:$B$8,"ActualClosed")=1,C3248&gt;EOMONTH(Settlement_Bridge!$C$2,0)),1,0)</f>
        <v>0</v>
      </c>
      <c r="P3248" s="2" t="s">
        <v>8968</v>
      </c>
    </row>
    <row r="3249" spans="1:16" x14ac:dyDescent="0.25">
      <c r="A3249" s="2" t="s">
        <v>8969</v>
      </c>
      <c r="B3249" s="2" t="s">
        <v>7433</v>
      </c>
      <c r="C3249" s="8">
        <v>46198</v>
      </c>
      <c r="D3249" s="6">
        <v>46174</v>
      </c>
      <c r="E3249" s="2" t="s">
        <v>260</v>
      </c>
      <c r="F3249" s="2" t="s">
        <v>8970</v>
      </c>
      <c r="G3249" s="6">
        <v>46174</v>
      </c>
      <c r="H3249" s="2" t="s">
        <v>71</v>
      </c>
      <c r="I3249" s="2" t="s">
        <v>76</v>
      </c>
      <c r="J3249" s="9">
        <v>10508288</v>
      </c>
      <c r="K3249" s="7">
        <v>6.2500000000000001E-5</v>
      </c>
      <c r="L3249" s="9">
        <v>656.77</v>
      </c>
      <c r="M3249" s="9">
        <v>656.77</v>
      </c>
      <c r="N3249" s="9">
        <v>1.8</v>
      </c>
      <c r="O3249" s="10">
        <f>IF(AND(OR(H3249="APPROVED",H3249="SCHEDULED"),COUNTIFS(tblSource[EventID],F3249,tblSource[ReleaseStatus],"APPROVED")=1,COUNTIFS(Period_Status!$A$2:$A$8,G3249,Period_Status!$B$2:$B$8,"ActualClosed")=1,C3249&gt;EOMONTH(Settlement_Bridge!$C$2,0)),1,0)</f>
        <v>0</v>
      </c>
      <c r="P3249" s="2" t="s">
        <v>8971</v>
      </c>
    </row>
    <row r="3250" spans="1:16" x14ac:dyDescent="0.25">
      <c r="A3250" s="2" t="s">
        <v>8972</v>
      </c>
      <c r="B3250" s="2" t="s">
        <v>7433</v>
      </c>
      <c r="C3250" s="8">
        <v>46223</v>
      </c>
      <c r="D3250" s="6">
        <v>46204</v>
      </c>
      <c r="E3250" s="2" t="s">
        <v>260</v>
      </c>
      <c r="F3250" s="2" t="s">
        <v>8970</v>
      </c>
      <c r="G3250" s="6">
        <v>46174</v>
      </c>
      <c r="H3250" s="2" t="s">
        <v>71</v>
      </c>
      <c r="I3250" s="2" t="s">
        <v>76</v>
      </c>
      <c r="J3250" s="9">
        <v>15762432</v>
      </c>
      <c r="K3250" s="7">
        <v>6.2000000000000003E-5</v>
      </c>
      <c r="L3250" s="9">
        <v>977.27</v>
      </c>
      <c r="M3250" s="9">
        <v>985.15</v>
      </c>
      <c r="N3250" s="9">
        <v>1.8</v>
      </c>
      <c r="O3250" s="10">
        <f>IF(AND(OR(H3250="APPROVED",H3250="SCHEDULED"),COUNTIFS(tblSource[EventID],F3250,tblSource[ReleaseStatus],"APPROVED")=1,COUNTIFS(Period_Status!$A$2:$A$8,G3250,Period_Status!$B$2:$B$8,"ActualClosed")=1,C3250&gt;EOMONTH(Settlement_Bridge!$C$2,0)),1,0)</f>
        <v>0</v>
      </c>
      <c r="P3250" s="2" t="s">
        <v>8973</v>
      </c>
    </row>
    <row r="3251" spans="1:16" x14ac:dyDescent="0.25">
      <c r="A3251" s="2" t="s">
        <v>8974</v>
      </c>
      <c r="B3251" s="2" t="s">
        <v>7433</v>
      </c>
      <c r="C3251" s="8">
        <v>46199</v>
      </c>
      <c r="D3251" s="6">
        <v>46174</v>
      </c>
      <c r="E3251" s="2" t="s">
        <v>260</v>
      </c>
      <c r="F3251" s="2" t="s">
        <v>8975</v>
      </c>
      <c r="G3251" s="6">
        <v>46174</v>
      </c>
      <c r="H3251" s="2" t="s">
        <v>71</v>
      </c>
      <c r="I3251" s="2" t="s">
        <v>70</v>
      </c>
      <c r="J3251" s="9">
        <v>1154.1293230000001</v>
      </c>
      <c r="K3251" s="7">
        <v>0.66500000000000004</v>
      </c>
      <c r="L3251" s="9">
        <v>767.5</v>
      </c>
      <c r="M3251" s="9">
        <v>767.5</v>
      </c>
      <c r="N3251" s="9">
        <v>1.8</v>
      </c>
      <c r="O3251" s="10">
        <f>IF(AND(OR(H3251="APPROVED",H3251="SCHEDULED"),COUNTIFS(tblSource[EventID],F3251,tblSource[ReleaseStatus],"APPROVED")=1,COUNTIFS(Period_Status!$A$2:$A$8,G3251,Period_Status!$B$2:$B$8,"ActualClosed")=1,C3251&gt;EOMONTH(Settlement_Bridge!$C$2,0)),1,0)</f>
        <v>0</v>
      </c>
      <c r="P3251" s="2" t="s">
        <v>8976</v>
      </c>
    </row>
    <row r="3252" spans="1:16" x14ac:dyDescent="0.25">
      <c r="A3252" s="2" t="s">
        <v>8977</v>
      </c>
      <c r="B3252" s="2" t="s">
        <v>7433</v>
      </c>
      <c r="C3252" s="8">
        <v>46224</v>
      </c>
      <c r="D3252" s="6">
        <v>46204</v>
      </c>
      <c r="E3252" s="2" t="s">
        <v>260</v>
      </c>
      <c r="F3252" s="2" t="s">
        <v>8975</v>
      </c>
      <c r="G3252" s="6">
        <v>46174</v>
      </c>
      <c r="H3252" s="2" t="s">
        <v>71</v>
      </c>
      <c r="I3252" s="2" t="s">
        <v>70</v>
      </c>
      <c r="J3252" s="9">
        <v>1731.1939850000001</v>
      </c>
      <c r="K3252" s="7">
        <v>0.65800000000000003</v>
      </c>
      <c r="L3252" s="9">
        <v>1139.1300000000001</v>
      </c>
      <c r="M3252" s="9">
        <v>1151.24</v>
      </c>
      <c r="N3252" s="9">
        <v>1.8</v>
      </c>
      <c r="O3252" s="10">
        <f>IF(AND(OR(H3252="APPROVED",H3252="SCHEDULED"),COUNTIFS(tblSource[EventID],F3252,tblSource[ReleaseStatus],"APPROVED")=1,COUNTIFS(Period_Status!$A$2:$A$8,G3252,Period_Status!$B$2:$B$8,"ActualClosed")=1,C3252&gt;EOMONTH(Settlement_Bridge!$C$2,0)),1,0)</f>
        <v>0</v>
      </c>
      <c r="P3252" s="2" t="s">
        <v>8978</v>
      </c>
    </row>
    <row r="3253" spans="1:16" x14ac:dyDescent="0.25">
      <c r="A3253" s="2" t="s">
        <v>8979</v>
      </c>
      <c r="B3253" s="2" t="s">
        <v>7433</v>
      </c>
      <c r="C3253" s="8">
        <v>46200</v>
      </c>
      <c r="D3253" s="6">
        <v>46174</v>
      </c>
      <c r="E3253" s="2" t="s">
        <v>260</v>
      </c>
      <c r="F3253" s="2" t="s">
        <v>8980</v>
      </c>
      <c r="G3253" s="6">
        <v>46174</v>
      </c>
      <c r="H3253" s="2" t="s">
        <v>71</v>
      </c>
      <c r="I3253" s="2" t="s">
        <v>39</v>
      </c>
      <c r="J3253" s="9">
        <v>878.22</v>
      </c>
      <c r="K3253" s="7">
        <v>1</v>
      </c>
      <c r="L3253" s="9">
        <v>878.22</v>
      </c>
      <c r="M3253" s="9">
        <v>878.22</v>
      </c>
      <c r="N3253" s="9">
        <v>1.8</v>
      </c>
      <c r="O3253" s="10">
        <f>IF(AND(OR(H3253="APPROVED",H3253="SCHEDULED"),COUNTIFS(tblSource[EventID],F3253,tblSource[ReleaseStatus],"APPROVED")=1,COUNTIFS(Period_Status!$A$2:$A$8,G3253,Period_Status!$B$2:$B$8,"ActualClosed")=1,C3253&gt;EOMONTH(Settlement_Bridge!$C$2,0)),1,0)</f>
        <v>0</v>
      </c>
      <c r="P3253" s="2" t="s">
        <v>8981</v>
      </c>
    </row>
    <row r="3254" spans="1:16" x14ac:dyDescent="0.25">
      <c r="A3254" s="2" t="s">
        <v>8982</v>
      </c>
      <c r="B3254" s="2" t="s">
        <v>7433</v>
      </c>
      <c r="C3254" s="8">
        <v>46225</v>
      </c>
      <c r="D3254" s="6">
        <v>46204</v>
      </c>
      <c r="E3254" s="2" t="s">
        <v>260</v>
      </c>
      <c r="F3254" s="2" t="s">
        <v>8980</v>
      </c>
      <c r="G3254" s="6">
        <v>46174</v>
      </c>
      <c r="H3254" s="2" t="s">
        <v>71</v>
      </c>
      <c r="I3254" s="2" t="s">
        <v>39</v>
      </c>
      <c r="J3254" s="9">
        <v>1317.33</v>
      </c>
      <c r="K3254" s="7">
        <v>1</v>
      </c>
      <c r="L3254" s="9">
        <v>1317.33</v>
      </c>
      <c r="M3254" s="9">
        <v>1317.33</v>
      </c>
      <c r="N3254" s="9">
        <v>1.8</v>
      </c>
      <c r="O3254" s="10">
        <f>IF(AND(OR(H3254="APPROVED",H3254="SCHEDULED"),COUNTIFS(tblSource[EventID],F3254,tblSource[ReleaseStatus],"APPROVED")=1,COUNTIFS(Period_Status!$A$2:$A$8,G3254,Period_Status!$B$2:$B$8,"ActualClosed")=1,C3254&gt;EOMONTH(Settlement_Bridge!$C$2,0)),1,0)</f>
        <v>0</v>
      </c>
      <c r="P3254" s="2" t="s">
        <v>8983</v>
      </c>
    </row>
    <row r="3255" spans="1:16" x14ac:dyDescent="0.25">
      <c r="A3255" s="2" t="s">
        <v>8984</v>
      </c>
      <c r="B3255" s="2" t="s">
        <v>7433</v>
      </c>
      <c r="C3255" s="8">
        <v>46201</v>
      </c>
      <c r="D3255" s="6">
        <v>46174</v>
      </c>
      <c r="E3255" s="2" t="s">
        <v>260</v>
      </c>
      <c r="F3255" s="2" t="s">
        <v>8985</v>
      </c>
      <c r="G3255" s="6">
        <v>46174</v>
      </c>
      <c r="H3255" s="2" t="s">
        <v>71</v>
      </c>
      <c r="I3255" s="2" t="s">
        <v>76</v>
      </c>
      <c r="J3255" s="9">
        <v>15823168</v>
      </c>
      <c r="K3255" s="7">
        <v>6.2500000000000001E-5</v>
      </c>
      <c r="L3255" s="9">
        <v>988.95</v>
      </c>
      <c r="M3255" s="9">
        <v>988.95</v>
      </c>
      <c r="N3255" s="9">
        <v>1.8</v>
      </c>
      <c r="O3255" s="10">
        <f>IF(AND(OR(H3255="APPROVED",H3255="SCHEDULED"),COUNTIFS(tblSource[EventID],F3255,tblSource[ReleaseStatus],"APPROVED")=1,COUNTIFS(Period_Status!$A$2:$A$8,G3255,Period_Status!$B$2:$B$8,"ActualClosed")=1,C3255&gt;EOMONTH(Settlement_Bridge!$C$2,0)),1,0)</f>
        <v>0</v>
      </c>
      <c r="P3255" s="2" t="s">
        <v>8986</v>
      </c>
    </row>
    <row r="3256" spans="1:16" x14ac:dyDescent="0.25">
      <c r="A3256" s="2" t="s">
        <v>8987</v>
      </c>
      <c r="B3256" s="2" t="s">
        <v>7433</v>
      </c>
      <c r="C3256" s="8">
        <v>46226</v>
      </c>
      <c r="D3256" s="6">
        <v>46204</v>
      </c>
      <c r="E3256" s="2" t="s">
        <v>260</v>
      </c>
      <c r="F3256" s="2" t="s">
        <v>8985</v>
      </c>
      <c r="G3256" s="6">
        <v>46174</v>
      </c>
      <c r="H3256" s="2" t="s">
        <v>71</v>
      </c>
      <c r="I3256" s="2" t="s">
        <v>76</v>
      </c>
      <c r="J3256" s="9">
        <v>23734752</v>
      </c>
      <c r="K3256" s="7">
        <v>6.2000000000000003E-5</v>
      </c>
      <c r="L3256" s="9">
        <v>1471.55</v>
      </c>
      <c r="M3256" s="9">
        <v>1483.42</v>
      </c>
      <c r="N3256" s="9">
        <v>1.8</v>
      </c>
      <c r="O3256" s="10">
        <f>IF(AND(OR(H3256="APPROVED",H3256="SCHEDULED"),COUNTIFS(tblSource[EventID],F3256,tblSource[ReleaseStatus],"APPROVED")=1,COUNTIFS(Period_Status!$A$2:$A$8,G3256,Period_Status!$B$2:$B$8,"ActualClosed")=1,C3256&gt;EOMONTH(Settlement_Bridge!$C$2,0)),1,0)</f>
        <v>0</v>
      </c>
      <c r="P3256" s="2" t="s">
        <v>8988</v>
      </c>
    </row>
    <row r="3257" spans="1:16" x14ac:dyDescent="0.25">
      <c r="A3257" s="2" t="s">
        <v>8989</v>
      </c>
      <c r="B3257" s="2" t="s">
        <v>7433</v>
      </c>
      <c r="C3257" s="8">
        <v>46202</v>
      </c>
      <c r="D3257" s="6">
        <v>46174</v>
      </c>
      <c r="E3257" s="2" t="s">
        <v>260</v>
      </c>
      <c r="F3257" s="2" t="s">
        <v>8990</v>
      </c>
      <c r="G3257" s="6">
        <v>46174</v>
      </c>
      <c r="H3257" s="2" t="s">
        <v>71</v>
      </c>
      <c r="I3257" s="2" t="s">
        <v>70</v>
      </c>
      <c r="J3257" s="9">
        <v>1653.6421049999999</v>
      </c>
      <c r="K3257" s="7">
        <v>0.66500000000000004</v>
      </c>
      <c r="L3257" s="9">
        <v>1099.67</v>
      </c>
      <c r="M3257" s="9">
        <v>1099.67</v>
      </c>
      <c r="N3257" s="9">
        <v>1.8</v>
      </c>
      <c r="O3257" s="10">
        <f>IF(AND(OR(H3257="APPROVED",H3257="SCHEDULED"),COUNTIFS(tblSource[EventID],F3257,tblSource[ReleaseStatus],"APPROVED")=1,COUNTIFS(Period_Status!$A$2:$A$8,G3257,Period_Status!$B$2:$B$8,"ActualClosed")=1,C3257&gt;EOMONTH(Settlement_Bridge!$C$2,0)),1,0)</f>
        <v>0</v>
      </c>
      <c r="P3257" s="2" t="s">
        <v>8991</v>
      </c>
    </row>
    <row r="3258" spans="1:16" x14ac:dyDescent="0.25">
      <c r="A3258" s="2" t="s">
        <v>8992</v>
      </c>
      <c r="B3258" s="2" t="s">
        <v>7433</v>
      </c>
      <c r="C3258" s="8">
        <v>46227</v>
      </c>
      <c r="D3258" s="6">
        <v>46204</v>
      </c>
      <c r="E3258" s="2" t="s">
        <v>260</v>
      </c>
      <c r="F3258" s="2" t="s">
        <v>8990</v>
      </c>
      <c r="G3258" s="6">
        <v>46174</v>
      </c>
      <c r="H3258" s="2" t="s">
        <v>71</v>
      </c>
      <c r="I3258" s="2" t="s">
        <v>70</v>
      </c>
      <c r="J3258" s="9">
        <v>2480.463158</v>
      </c>
      <c r="K3258" s="7">
        <v>0.65800000000000003</v>
      </c>
      <c r="L3258" s="9">
        <v>1632.14</v>
      </c>
      <c r="M3258" s="9">
        <v>1649.51</v>
      </c>
      <c r="N3258" s="9">
        <v>1.8</v>
      </c>
      <c r="O3258" s="10">
        <f>IF(AND(OR(H3258="APPROVED",H3258="SCHEDULED"),COUNTIFS(tblSource[EventID],F3258,tblSource[ReleaseStatus],"APPROVED")=1,COUNTIFS(Period_Status!$A$2:$A$8,G3258,Period_Status!$B$2:$B$8,"ActualClosed")=1,C3258&gt;EOMONTH(Settlement_Bridge!$C$2,0)),1,0)</f>
        <v>0</v>
      </c>
      <c r="P3258" s="2" t="s">
        <v>8993</v>
      </c>
    </row>
    <row r="3259" spans="1:16" x14ac:dyDescent="0.25">
      <c r="A3259" s="2" t="s">
        <v>8994</v>
      </c>
      <c r="B3259" s="2" t="s">
        <v>7433</v>
      </c>
      <c r="C3259" s="8">
        <v>46203</v>
      </c>
      <c r="D3259" s="6">
        <v>46174</v>
      </c>
      <c r="E3259" s="2" t="s">
        <v>260</v>
      </c>
      <c r="F3259" s="2" t="s">
        <v>8995</v>
      </c>
      <c r="G3259" s="6">
        <v>46174</v>
      </c>
      <c r="H3259" s="2" t="s">
        <v>71</v>
      </c>
      <c r="I3259" s="2" t="s">
        <v>39</v>
      </c>
      <c r="J3259" s="9">
        <v>1210.4000000000001</v>
      </c>
      <c r="K3259" s="7">
        <v>1</v>
      </c>
      <c r="L3259" s="9">
        <v>1210.4000000000001</v>
      </c>
      <c r="M3259" s="9">
        <v>1210.4000000000001</v>
      </c>
      <c r="N3259" s="9">
        <v>1.8</v>
      </c>
      <c r="O3259" s="10">
        <f>IF(AND(OR(H3259="APPROVED",H3259="SCHEDULED"),COUNTIFS(tblSource[EventID],F3259,tblSource[ReleaseStatus],"APPROVED")=1,COUNTIFS(Period_Status!$A$2:$A$8,G3259,Period_Status!$B$2:$B$8,"ActualClosed")=1,C3259&gt;EOMONTH(Settlement_Bridge!$C$2,0)),1,0)</f>
        <v>0</v>
      </c>
      <c r="P3259" s="2" t="s">
        <v>8996</v>
      </c>
    </row>
    <row r="3260" spans="1:16" x14ac:dyDescent="0.25">
      <c r="A3260" s="2" t="s">
        <v>8997</v>
      </c>
      <c r="B3260" s="2" t="s">
        <v>7433</v>
      </c>
      <c r="C3260" s="8">
        <v>46228</v>
      </c>
      <c r="D3260" s="6">
        <v>46204</v>
      </c>
      <c r="E3260" s="2" t="s">
        <v>260</v>
      </c>
      <c r="F3260" s="2" t="s">
        <v>8995</v>
      </c>
      <c r="G3260" s="6">
        <v>46174</v>
      </c>
      <c r="H3260" s="2" t="s">
        <v>71</v>
      </c>
      <c r="I3260" s="2" t="s">
        <v>39</v>
      </c>
      <c r="J3260" s="9">
        <v>1815.6</v>
      </c>
      <c r="K3260" s="7">
        <v>1</v>
      </c>
      <c r="L3260" s="9">
        <v>1815.6</v>
      </c>
      <c r="M3260" s="9">
        <v>1815.6</v>
      </c>
      <c r="N3260" s="9">
        <v>1.8</v>
      </c>
      <c r="O3260" s="10">
        <f>IF(AND(OR(H3260="APPROVED",H3260="SCHEDULED"),COUNTIFS(tblSource[EventID],F3260,tblSource[ReleaseStatus],"APPROVED")=1,COUNTIFS(Period_Status!$A$2:$A$8,G3260,Period_Status!$B$2:$B$8,"ActualClosed")=1,C3260&gt;EOMONTH(Settlement_Bridge!$C$2,0)),1,0)</f>
        <v>0</v>
      </c>
      <c r="P3260" s="2" t="s">
        <v>8998</v>
      </c>
    </row>
    <row r="3261" spans="1:16" x14ac:dyDescent="0.25">
      <c r="A3261" s="2" t="s">
        <v>8999</v>
      </c>
      <c r="B3261" s="2" t="s">
        <v>7433</v>
      </c>
      <c r="C3261" s="8">
        <v>46204</v>
      </c>
      <c r="D3261" s="6">
        <v>46204</v>
      </c>
      <c r="E3261" s="2" t="s">
        <v>260</v>
      </c>
      <c r="F3261" s="2" t="s">
        <v>9000</v>
      </c>
      <c r="G3261" s="6">
        <v>46174</v>
      </c>
      <c r="H3261" s="2" t="s">
        <v>71</v>
      </c>
      <c r="I3261" s="2" t="s">
        <v>76</v>
      </c>
      <c r="J3261" s="9">
        <v>21138048</v>
      </c>
      <c r="K3261" s="7">
        <v>6.2000000000000003E-5</v>
      </c>
      <c r="L3261" s="9">
        <v>1310.56</v>
      </c>
      <c r="M3261" s="9">
        <v>1321.13</v>
      </c>
      <c r="N3261" s="9">
        <v>1.8</v>
      </c>
      <c r="O3261" s="10">
        <f>IF(AND(OR(H3261="APPROVED",H3261="SCHEDULED"),COUNTIFS(tblSource[EventID],F3261,tblSource[ReleaseStatus],"APPROVED")=1,COUNTIFS(Period_Status!$A$2:$A$8,G3261,Period_Status!$B$2:$B$8,"ActualClosed")=1,C3261&gt;EOMONTH(Settlement_Bridge!$C$2,0)),1,0)</f>
        <v>0</v>
      </c>
      <c r="P3261" s="2" t="s">
        <v>9001</v>
      </c>
    </row>
    <row r="3262" spans="1:16" x14ac:dyDescent="0.25">
      <c r="A3262" s="2" t="s">
        <v>9002</v>
      </c>
      <c r="B3262" s="2" t="s">
        <v>7433</v>
      </c>
      <c r="C3262" s="8">
        <v>46229</v>
      </c>
      <c r="D3262" s="6">
        <v>46204</v>
      </c>
      <c r="E3262" s="2" t="s">
        <v>260</v>
      </c>
      <c r="F3262" s="2" t="s">
        <v>9000</v>
      </c>
      <c r="G3262" s="6">
        <v>46174</v>
      </c>
      <c r="H3262" s="2" t="s">
        <v>71</v>
      </c>
      <c r="I3262" s="2" t="s">
        <v>76</v>
      </c>
      <c r="J3262" s="9">
        <v>31707072</v>
      </c>
      <c r="K3262" s="7">
        <v>6.2000000000000003E-5</v>
      </c>
      <c r="L3262" s="9">
        <v>1965.84</v>
      </c>
      <c r="M3262" s="9">
        <v>1981.69</v>
      </c>
      <c r="N3262" s="9">
        <v>1.8</v>
      </c>
      <c r="O3262" s="10">
        <f>IF(AND(OR(H3262="APPROVED",H3262="SCHEDULED"),COUNTIFS(tblSource[EventID],F3262,tblSource[ReleaseStatus],"APPROVED")=1,COUNTIFS(Period_Status!$A$2:$A$8,G3262,Period_Status!$B$2:$B$8,"ActualClosed")=1,C3262&gt;EOMONTH(Settlement_Bridge!$C$2,0)),1,0)</f>
        <v>0</v>
      </c>
      <c r="P3262" s="2" t="s">
        <v>9003</v>
      </c>
    </row>
    <row r="3263" spans="1:16" x14ac:dyDescent="0.25">
      <c r="A3263" s="2" t="s">
        <v>9004</v>
      </c>
      <c r="B3263" s="2" t="s">
        <v>7433</v>
      </c>
      <c r="C3263" s="8">
        <v>46205</v>
      </c>
      <c r="D3263" s="6">
        <v>46204</v>
      </c>
      <c r="E3263" s="2" t="s">
        <v>260</v>
      </c>
      <c r="F3263" s="2" t="s">
        <v>9005</v>
      </c>
      <c r="G3263" s="6">
        <v>46174</v>
      </c>
      <c r="H3263" s="2" t="s">
        <v>71</v>
      </c>
      <c r="I3263" s="2" t="s">
        <v>70</v>
      </c>
      <c r="J3263" s="9">
        <v>2153.166917</v>
      </c>
      <c r="K3263" s="7">
        <v>0.65800000000000003</v>
      </c>
      <c r="L3263" s="9">
        <v>1416.78</v>
      </c>
      <c r="M3263" s="9">
        <v>1431.86</v>
      </c>
      <c r="N3263" s="9">
        <v>1.8</v>
      </c>
      <c r="O3263" s="10">
        <f>IF(AND(OR(H3263="APPROVED",H3263="SCHEDULED"),COUNTIFS(tblSource[EventID],F3263,tblSource[ReleaseStatus],"APPROVED")=1,COUNTIFS(Period_Status!$A$2:$A$8,G3263,Period_Status!$B$2:$B$8,"ActualClosed")=1,C3263&gt;EOMONTH(Settlement_Bridge!$C$2,0)),1,0)</f>
        <v>0</v>
      </c>
      <c r="P3263" s="2" t="s">
        <v>9006</v>
      </c>
    </row>
    <row r="3264" spans="1:16" x14ac:dyDescent="0.25">
      <c r="A3264" s="2" t="s">
        <v>9007</v>
      </c>
      <c r="B3264" s="2" t="s">
        <v>7433</v>
      </c>
      <c r="C3264" s="8">
        <v>46230</v>
      </c>
      <c r="D3264" s="6">
        <v>46204</v>
      </c>
      <c r="E3264" s="2" t="s">
        <v>260</v>
      </c>
      <c r="F3264" s="2" t="s">
        <v>9005</v>
      </c>
      <c r="G3264" s="6">
        <v>46174</v>
      </c>
      <c r="H3264" s="2" t="s">
        <v>71</v>
      </c>
      <c r="I3264" s="2" t="s">
        <v>70</v>
      </c>
      <c r="J3264" s="9">
        <v>3229.750376</v>
      </c>
      <c r="K3264" s="7">
        <v>0.65800000000000003</v>
      </c>
      <c r="L3264" s="9">
        <v>2125.1799999999998</v>
      </c>
      <c r="M3264" s="9">
        <v>2147.7800000000002</v>
      </c>
      <c r="N3264" s="9">
        <v>1.8</v>
      </c>
      <c r="O3264" s="10">
        <f>IF(AND(OR(H3264="APPROVED",H3264="SCHEDULED"),COUNTIFS(tblSource[EventID],F3264,tblSource[ReleaseStatus],"APPROVED")=1,COUNTIFS(Period_Status!$A$2:$A$8,G3264,Period_Status!$B$2:$B$8,"ActualClosed")=1,C3264&gt;EOMONTH(Settlement_Bridge!$C$2,0)),1,0)</f>
        <v>0</v>
      </c>
      <c r="P3264" s="2" t="s">
        <v>9008</v>
      </c>
    </row>
    <row r="3265" spans="1:16" x14ac:dyDescent="0.25">
      <c r="A3265" s="2" t="s">
        <v>9009</v>
      </c>
      <c r="B3265" s="2" t="s">
        <v>7433</v>
      </c>
      <c r="C3265" s="8">
        <v>46206</v>
      </c>
      <c r="D3265" s="6">
        <v>46204</v>
      </c>
      <c r="E3265" s="2" t="s">
        <v>260</v>
      </c>
      <c r="F3265" s="2" t="s">
        <v>9010</v>
      </c>
      <c r="G3265" s="6">
        <v>46174</v>
      </c>
      <c r="H3265" s="2" t="s">
        <v>71</v>
      </c>
      <c r="I3265" s="2" t="s">
        <v>39</v>
      </c>
      <c r="J3265" s="9">
        <v>1542.58</v>
      </c>
      <c r="K3265" s="7">
        <v>1</v>
      </c>
      <c r="L3265" s="9">
        <v>1542.58</v>
      </c>
      <c r="M3265" s="9">
        <v>1542.58</v>
      </c>
      <c r="N3265" s="9">
        <v>1.8</v>
      </c>
      <c r="O3265" s="10">
        <f>IF(AND(OR(H3265="APPROVED",H3265="SCHEDULED"),COUNTIFS(tblSource[EventID],F3265,tblSource[ReleaseStatus],"APPROVED")=1,COUNTIFS(Period_Status!$A$2:$A$8,G3265,Period_Status!$B$2:$B$8,"ActualClosed")=1,C3265&gt;EOMONTH(Settlement_Bridge!$C$2,0)),1,0)</f>
        <v>0</v>
      </c>
      <c r="P3265" s="2" t="s">
        <v>9011</v>
      </c>
    </row>
    <row r="3266" spans="1:16" x14ac:dyDescent="0.25">
      <c r="A3266" s="2" t="s">
        <v>9012</v>
      </c>
      <c r="B3266" s="2" t="s">
        <v>7433</v>
      </c>
      <c r="C3266" s="8">
        <v>46231</v>
      </c>
      <c r="D3266" s="6">
        <v>46204</v>
      </c>
      <c r="E3266" s="2" t="s">
        <v>260</v>
      </c>
      <c r="F3266" s="2" t="s">
        <v>9010</v>
      </c>
      <c r="G3266" s="6">
        <v>46174</v>
      </c>
      <c r="H3266" s="2" t="s">
        <v>71</v>
      </c>
      <c r="I3266" s="2" t="s">
        <v>39</v>
      </c>
      <c r="J3266" s="9">
        <v>2313.87</v>
      </c>
      <c r="K3266" s="7">
        <v>1</v>
      </c>
      <c r="L3266" s="9">
        <v>2313.87</v>
      </c>
      <c r="M3266" s="9">
        <v>2313.87</v>
      </c>
      <c r="N3266" s="9">
        <v>1.8</v>
      </c>
      <c r="O3266" s="10">
        <f>IF(AND(OR(H3266="APPROVED",H3266="SCHEDULED"),COUNTIFS(tblSource[EventID],F3266,tblSource[ReleaseStatus],"APPROVED")=1,COUNTIFS(Period_Status!$A$2:$A$8,G3266,Period_Status!$B$2:$B$8,"ActualClosed")=1,C3266&gt;EOMONTH(Settlement_Bridge!$C$2,0)),1,0)</f>
        <v>0</v>
      </c>
      <c r="P3266" s="2" t="s">
        <v>9013</v>
      </c>
    </row>
    <row r="3267" spans="1:16" x14ac:dyDescent="0.25">
      <c r="A3267" s="2" t="s">
        <v>9014</v>
      </c>
      <c r="B3267" s="2" t="s">
        <v>7433</v>
      </c>
      <c r="C3267" s="8">
        <v>46207</v>
      </c>
      <c r="D3267" s="6">
        <v>46204</v>
      </c>
      <c r="E3267" s="2" t="s">
        <v>260</v>
      </c>
      <c r="F3267" s="2" t="s">
        <v>9015</v>
      </c>
      <c r="G3267" s="6">
        <v>46174</v>
      </c>
      <c r="H3267" s="2" t="s">
        <v>71</v>
      </c>
      <c r="I3267" s="2" t="s">
        <v>76</v>
      </c>
      <c r="J3267" s="9">
        <v>26452864</v>
      </c>
      <c r="K3267" s="7">
        <v>6.2000000000000003E-5</v>
      </c>
      <c r="L3267" s="9">
        <v>1640.08</v>
      </c>
      <c r="M3267" s="9">
        <v>1653.3</v>
      </c>
      <c r="N3267" s="9">
        <v>1.8</v>
      </c>
      <c r="O3267" s="10">
        <f>IF(AND(OR(H3267="APPROVED",H3267="SCHEDULED"),COUNTIFS(tblSource[EventID],F3267,tblSource[ReleaseStatus],"APPROVED")=1,COUNTIFS(Period_Status!$A$2:$A$8,G3267,Period_Status!$B$2:$B$8,"ActualClosed")=1,C3267&gt;EOMONTH(Settlement_Bridge!$C$2,0)),1,0)</f>
        <v>0</v>
      </c>
      <c r="P3267" s="2" t="s">
        <v>9016</v>
      </c>
    </row>
    <row r="3268" spans="1:16" x14ac:dyDescent="0.25">
      <c r="A3268" s="2" t="s">
        <v>9017</v>
      </c>
      <c r="B3268" s="2" t="s">
        <v>7433</v>
      </c>
      <c r="C3268" s="8">
        <v>46232</v>
      </c>
      <c r="D3268" s="6">
        <v>46204</v>
      </c>
      <c r="E3268" s="2" t="s">
        <v>260</v>
      </c>
      <c r="F3268" s="2" t="s">
        <v>9015</v>
      </c>
      <c r="G3268" s="6">
        <v>46174</v>
      </c>
      <c r="H3268" s="2" t="s">
        <v>71</v>
      </c>
      <c r="I3268" s="2" t="s">
        <v>76</v>
      </c>
      <c r="J3268" s="9">
        <v>39679296</v>
      </c>
      <c r="K3268" s="7">
        <v>6.2000000000000003E-5</v>
      </c>
      <c r="L3268" s="9">
        <v>2460.12</v>
      </c>
      <c r="M3268" s="9">
        <v>2479.96</v>
      </c>
      <c r="N3268" s="9">
        <v>1.8</v>
      </c>
      <c r="O3268" s="10">
        <f>IF(AND(OR(H3268="APPROVED",H3268="SCHEDULED"),COUNTIFS(tblSource[EventID],F3268,tblSource[ReleaseStatus],"APPROVED")=1,COUNTIFS(Period_Status!$A$2:$A$8,G3268,Period_Status!$B$2:$B$8,"ActualClosed")=1,C3268&gt;EOMONTH(Settlement_Bridge!$C$2,0)),1,0)</f>
        <v>0</v>
      </c>
      <c r="P3268" s="2" t="s">
        <v>9018</v>
      </c>
    </row>
    <row r="3269" spans="1:16" x14ac:dyDescent="0.25">
      <c r="A3269" s="2" t="s">
        <v>9019</v>
      </c>
      <c r="B3269" s="2" t="s">
        <v>7433</v>
      </c>
      <c r="C3269" s="8">
        <v>46208</v>
      </c>
      <c r="D3269" s="6">
        <v>46204</v>
      </c>
      <c r="E3269" s="2" t="s">
        <v>260</v>
      </c>
      <c r="F3269" s="2" t="s">
        <v>9020</v>
      </c>
      <c r="G3269" s="6">
        <v>46174</v>
      </c>
      <c r="H3269" s="2" t="s">
        <v>71</v>
      </c>
      <c r="I3269" s="2" t="s">
        <v>70</v>
      </c>
      <c r="J3269" s="9">
        <v>2652.6796989999998</v>
      </c>
      <c r="K3269" s="7">
        <v>0.65800000000000003</v>
      </c>
      <c r="L3269" s="9">
        <v>1745.46</v>
      </c>
      <c r="M3269" s="9">
        <v>1764.03</v>
      </c>
      <c r="N3269" s="9">
        <v>1.8</v>
      </c>
      <c r="O3269" s="10">
        <f>IF(AND(OR(H3269="APPROVED",H3269="SCHEDULED"),COUNTIFS(tblSource[EventID],F3269,tblSource[ReleaseStatus],"APPROVED")=1,COUNTIFS(Period_Status!$A$2:$A$8,G3269,Period_Status!$B$2:$B$8,"ActualClosed")=1,C3269&gt;EOMONTH(Settlement_Bridge!$C$2,0)),1,0)</f>
        <v>0</v>
      </c>
      <c r="P3269" s="2" t="s">
        <v>9021</v>
      </c>
    </row>
    <row r="3270" spans="1:16" x14ac:dyDescent="0.25">
      <c r="A3270" s="2" t="s">
        <v>9022</v>
      </c>
      <c r="B3270" s="2" t="s">
        <v>7433</v>
      </c>
      <c r="C3270" s="8">
        <v>46233</v>
      </c>
      <c r="D3270" s="6">
        <v>46204</v>
      </c>
      <c r="E3270" s="2" t="s">
        <v>260</v>
      </c>
      <c r="F3270" s="2" t="s">
        <v>9020</v>
      </c>
      <c r="G3270" s="6">
        <v>46174</v>
      </c>
      <c r="H3270" s="2" t="s">
        <v>71</v>
      </c>
      <c r="I3270" s="2" t="s">
        <v>70</v>
      </c>
      <c r="J3270" s="9">
        <v>3979.0195490000001</v>
      </c>
      <c r="K3270" s="7">
        <v>0.65800000000000003</v>
      </c>
      <c r="L3270" s="9">
        <v>2618.19</v>
      </c>
      <c r="M3270" s="9">
        <v>2646.05</v>
      </c>
      <c r="N3270" s="9">
        <v>1.8</v>
      </c>
      <c r="O3270" s="10">
        <f>IF(AND(OR(H3270="APPROVED",H3270="SCHEDULED"),COUNTIFS(tblSource[EventID],F3270,tblSource[ReleaseStatus],"APPROVED")=1,COUNTIFS(Period_Status!$A$2:$A$8,G3270,Period_Status!$B$2:$B$8,"ActualClosed")=1,C3270&gt;EOMONTH(Settlement_Bridge!$C$2,0)),1,0)</f>
        <v>0</v>
      </c>
      <c r="P3270" s="2" t="s">
        <v>9023</v>
      </c>
    </row>
    <row r="3271" spans="1:16" x14ac:dyDescent="0.25">
      <c r="A3271" s="2" t="s">
        <v>9024</v>
      </c>
      <c r="B3271" s="2" t="s">
        <v>7433</v>
      </c>
      <c r="C3271" s="8">
        <v>46209</v>
      </c>
      <c r="D3271" s="6">
        <v>46204</v>
      </c>
      <c r="E3271" s="2" t="s">
        <v>260</v>
      </c>
      <c r="F3271" s="2" t="s">
        <v>9025</v>
      </c>
      <c r="G3271" s="6">
        <v>46174</v>
      </c>
      <c r="H3271" s="2" t="s">
        <v>71</v>
      </c>
      <c r="I3271" s="2" t="s">
        <v>39</v>
      </c>
      <c r="J3271" s="9">
        <v>1874.76</v>
      </c>
      <c r="K3271" s="7">
        <v>1</v>
      </c>
      <c r="L3271" s="9">
        <v>1874.76</v>
      </c>
      <c r="M3271" s="9">
        <v>1874.76</v>
      </c>
      <c r="N3271" s="9">
        <v>1.8</v>
      </c>
      <c r="O3271" s="10">
        <f>IF(AND(OR(H3271="APPROVED",H3271="SCHEDULED"),COUNTIFS(tblSource[EventID],F3271,tblSource[ReleaseStatus],"APPROVED")=1,COUNTIFS(Period_Status!$A$2:$A$8,G3271,Period_Status!$B$2:$B$8,"ActualClosed")=1,C3271&gt;EOMONTH(Settlement_Bridge!$C$2,0)),1,0)</f>
        <v>0</v>
      </c>
      <c r="P3271" s="2" t="s">
        <v>9026</v>
      </c>
    </row>
    <row r="3272" spans="1:16" x14ac:dyDescent="0.25">
      <c r="A3272" s="2" t="s">
        <v>9027</v>
      </c>
      <c r="B3272" s="2" t="s">
        <v>7433</v>
      </c>
      <c r="C3272" s="8">
        <v>46234</v>
      </c>
      <c r="D3272" s="6">
        <v>46204</v>
      </c>
      <c r="E3272" s="2" t="s">
        <v>260</v>
      </c>
      <c r="F3272" s="2" t="s">
        <v>9025</v>
      </c>
      <c r="G3272" s="6">
        <v>46174</v>
      </c>
      <c r="H3272" s="2" t="s">
        <v>71</v>
      </c>
      <c r="I3272" s="2" t="s">
        <v>39</v>
      </c>
      <c r="J3272" s="9">
        <v>2812.14</v>
      </c>
      <c r="K3272" s="7">
        <v>1</v>
      </c>
      <c r="L3272" s="9">
        <v>2812.14</v>
      </c>
      <c r="M3272" s="9">
        <v>2812.14</v>
      </c>
      <c r="N3272" s="9">
        <v>1.8</v>
      </c>
      <c r="O3272" s="10">
        <f>IF(AND(OR(H3272="APPROVED",H3272="SCHEDULED"),COUNTIFS(tblSource[EventID],F3272,tblSource[ReleaseStatus],"APPROVED")=1,COUNTIFS(Period_Status!$A$2:$A$8,G3272,Period_Status!$B$2:$B$8,"ActualClosed")=1,C3272&gt;EOMONTH(Settlement_Bridge!$C$2,0)),1,0)</f>
        <v>0</v>
      </c>
      <c r="P3272" s="2" t="s">
        <v>9028</v>
      </c>
    </row>
    <row r="3273" spans="1:16" x14ac:dyDescent="0.25">
      <c r="A3273" s="2" t="s">
        <v>9029</v>
      </c>
      <c r="B3273" s="2" t="s">
        <v>7433</v>
      </c>
      <c r="C3273" s="8">
        <v>46210</v>
      </c>
      <c r="D3273" s="6">
        <v>46204</v>
      </c>
      <c r="E3273" s="2" t="s">
        <v>260</v>
      </c>
      <c r="F3273" s="2" t="s">
        <v>9030</v>
      </c>
      <c r="G3273" s="6">
        <v>46174</v>
      </c>
      <c r="H3273" s="2" t="s">
        <v>71</v>
      </c>
      <c r="I3273" s="2" t="s">
        <v>76</v>
      </c>
      <c r="J3273" s="9">
        <v>31767744</v>
      </c>
      <c r="K3273" s="7">
        <v>6.2000000000000003E-5</v>
      </c>
      <c r="L3273" s="9">
        <v>1969.6</v>
      </c>
      <c r="M3273" s="9">
        <v>1985.48</v>
      </c>
      <c r="N3273" s="9">
        <v>1.8</v>
      </c>
      <c r="O3273" s="10">
        <f>IF(AND(OR(H3273="APPROVED",H3273="SCHEDULED"),COUNTIFS(tblSource[EventID],F3273,tblSource[ReleaseStatus],"APPROVED")=1,COUNTIFS(Period_Status!$A$2:$A$8,G3273,Period_Status!$B$2:$B$8,"ActualClosed")=1,C3273&gt;EOMONTH(Settlement_Bridge!$C$2,0)),1,0)</f>
        <v>0</v>
      </c>
      <c r="P3273" s="2" t="s">
        <v>9031</v>
      </c>
    </row>
    <row r="3274" spans="1:16" x14ac:dyDescent="0.25">
      <c r="A3274" s="2" t="s">
        <v>9032</v>
      </c>
      <c r="B3274" s="2" t="s">
        <v>7433</v>
      </c>
      <c r="C3274" s="8">
        <v>46235</v>
      </c>
      <c r="D3274" s="6">
        <v>46235</v>
      </c>
      <c r="E3274" s="2" t="s">
        <v>260</v>
      </c>
      <c r="F3274" s="2" t="s">
        <v>9030</v>
      </c>
      <c r="G3274" s="6">
        <v>46174</v>
      </c>
      <c r="H3274" s="2" t="s">
        <v>71</v>
      </c>
      <c r="I3274" s="2" t="s">
        <v>76</v>
      </c>
      <c r="J3274" s="9">
        <v>47651616</v>
      </c>
      <c r="K3274" s="7">
        <v>6.1500000000000004E-5</v>
      </c>
      <c r="L3274" s="9">
        <v>2930.57</v>
      </c>
      <c r="M3274" s="9">
        <v>2978.23</v>
      </c>
      <c r="N3274" s="9">
        <v>1.8</v>
      </c>
      <c r="O3274" s="10">
        <f>IF(AND(OR(H3274="APPROVED",H3274="SCHEDULED"),COUNTIFS(tblSource[EventID],F3274,tblSource[ReleaseStatus],"APPROVED")=1,COUNTIFS(Period_Status!$A$2:$A$8,G3274,Period_Status!$B$2:$B$8,"ActualClosed")=1,C3274&gt;EOMONTH(Settlement_Bridge!$C$2,0)),1,0)</f>
        <v>1</v>
      </c>
      <c r="P3274" s="2" t="s">
        <v>9033</v>
      </c>
    </row>
    <row r="3275" spans="1:16" x14ac:dyDescent="0.25">
      <c r="A3275" s="2" t="s">
        <v>9034</v>
      </c>
      <c r="B3275" s="2" t="s">
        <v>7433</v>
      </c>
      <c r="C3275" s="8">
        <v>46211</v>
      </c>
      <c r="D3275" s="6">
        <v>46204</v>
      </c>
      <c r="E3275" s="2" t="s">
        <v>260</v>
      </c>
      <c r="F3275" s="2" t="s">
        <v>9035</v>
      </c>
      <c r="G3275" s="6">
        <v>46174</v>
      </c>
      <c r="H3275" s="2" t="s">
        <v>71</v>
      </c>
      <c r="I3275" s="2" t="s">
        <v>70</v>
      </c>
      <c r="J3275" s="9">
        <v>3152.198496</v>
      </c>
      <c r="K3275" s="7">
        <v>0.65800000000000003</v>
      </c>
      <c r="L3275" s="9">
        <v>2074.15</v>
      </c>
      <c r="M3275" s="9">
        <v>2096.21</v>
      </c>
      <c r="N3275" s="9">
        <v>1.8</v>
      </c>
      <c r="O3275" s="10">
        <f>IF(AND(OR(H3275="APPROVED",H3275="SCHEDULED"),COUNTIFS(tblSource[EventID],F3275,tblSource[ReleaseStatus],"APPROVED")=1,COUNTIFS(Period_Status!$A$2:$A$8,G3275,Period_Status!$B$2:$B$8,"ActualClosed")=1,C3275&gt;EOMONTH(Settlement_Bridge!$C$2,0)),1,0)</f>
        <v>0</v>
      </c>
      <c r="P3275" s="2" t="s">
        <v>9036</v>
      </c>
    </row>
    <row r="3276" spans="1:16" x14ac:dyDescent="0.25">
      <c r="A3276" s="2" t="s">
        <v>9037</v>
      </c>
      <c r="B3276" s="2" t="s">
        <v>7433</v>
      </c>
      <c r="C3276" s="8">
        <v>46236</v>
      </c>
      <c r="D3276" s="6">
        <v>46235</v>
      </c>
      <c r="E3276" s="2" t="s">
        <v>260</v>
      </c>
      <c r="F3276" s="2" t="s">
        <v>9035</v>
      </c>
      <c r="G3276" s="6">
        <v>46174</v>
      </c>
      <c r="H3276" s="2" t="s">
        <v>71</v>
      </c>
      <c r="I3276" s="2" t="s">
        <v>70</v>
      </c>
      <c r="J3276" s="9">
        <v>4728.2977449999998</v>
      </c>
      <c r="K3276" s="7">
        <v>0.65</v>
      </c>
      <c r="L3276" s="9">
        <v>3073.39</v>
      </c>
      <c r="M3276" s="9">
        <v>3144.32</v>
      </c>
      <c r="N3276" s="9">
        <v>1.8</v>
      </c>
      <c r="O3276" s="10">
        <f>IF(AND(OR(H3276="APPROVED",H3276="SCHEDULED"),COUNTIFS(tblSource[EventID],F3276,tblSource[ReleaseStatus],"APPROVED")=1,COUNTIFS(Period_Status!$A$2:$A$8,G3276,Period_Status!$B$2:$B$8,"ActualClosed")=1,C3276&gt;EOMONTH(Settlement_Bridge!$C$2,0)),1,0)</f>
        <v>1</v>
      </c>
      <c r="P3276" s="2" t="s">
        <v>9038</v>
      </c>
    </row>
    <row r="3277" spans="1:16" x14ac:dyDescent="0.25">
      <c r="A3277" s="2" t="s">
        <v>9039</v>
      </c>
      <c r="B3277" s="2" t="s">
        <v>7433</v>
      </c>
      <c r="C3277" s="8">
        <v>46212</v>
      </c>
      <c r="D3277" s="6">
        <v>46204</v>
      </c>
      <c r="E3277" s="2" t="s">
        <v>260</v>
      </c>
      <c r="F3277" s="2" t="s">
        <v>9040</v>
      </c>
      <c r="G3277" s="6">
        <v>46174</v>
      </c>
      <c r="H3277" s="2" t="s">
        <v>71</v>
      </c>
      <c r="I3277" s="2" t="s">
        <v>39</v>
      </c>
      <c r="J3277" s="9">
        <v>2206.9360000000001</v>
      </c>
      <c r="K3277" s="7">
        <v>1</v>
      </c>
      <c r="L3277" s="9">
        <v>2206.94</v>
      </c>
      <c r="M3277" s="9">
        <v>2206.94</v>
      </c>
      <c r="N3277" s="9">
        <v>1.8</v>
      </c>
      <c r="O3277" s="10">
        <f>IF(AND(OR(H3277="APPROVED",H3277="SCHEDULED"),COUNTIFS(tblSource[EventID],F3277,tblSource[ReleaseStatus],"APPROVED")=1,COUNTIFS(Period_Status!$A$2:$A$8,G3277,Period_Status!$B$2:$B$8,"ActualClosed")=1,C3277&gt;EOMONTH(Settlement_Bridge!$C$2,0)),1,0)</f>
        <v>0</v>
      </c>
      <c r="P3277" s="2" t="s">
        <v>9041</v>
      </c>
    </row>
    <row r="3278" spans="1:16" x14ac:dyDescent="0.25">
      <c r="A3278" s="2" t="s">
        <v>9042</v>
      </c>
      <c r="B3278" s="2" t="s">
        <v>7433</v>
      </c>
      <c r="C3278" s="8">
        <v>46237</v>
      </c>
      <c r="D3278" s="6">
        <v>46235</v>
      </c>
      <c r="E3278" s="2" t="s">
        <v>260</v>
      </c>
      <c r="F3278" s="2" t="s">
        <v>9040</v>
      </c>
      <c r="G3278" s="6">
        <v>46174</v>
      </c>
      <c r="H3278" s="2" t="s">
        <v>71</v>
      </c>
      <c r="I3278" s="2" t="s">
        <v>39</v>
      </c>
      <c r="J3278" s="9">
        <v>3310.404</v>
      </c>
      <c r="K3278" s="7">
        <v>1</v>
      </c>
      <c r="L3278" s="9">
        <v>3310.4</v>
      </c>
      <c r="M3278" s="9">
        <v>3310.4</v>
      </c>
      <c r="N3278" s="9">
        <v>1.82</v>
      </c>
      <c r="O3278" s="10">
        <f>IF(AND(OR(H3278="APPROVED",H3278="SCHEDULED"),COUNTIFS(tblSource[EventID],F3278,tblSource[ReleaseStatus],"APPROVED")=1,COUNTIFS(Period_Status!$A$2:$A$8,G3278,Period_Status!$B$2:$B$8,"ActualClosed")=1,C3278&gt;EOMONTH(Settlement_Bridge!$C$2,0)),1,0)</f>
        <v>1</v>
      </c>
      <c r="P3278" s="2" t="s">
        <v>9043</v>
      </c>
    </row>
    <row r="3279" spans="1:16" x14ac:dyDescent="0.25">
      <c r="A3279" s="2" t="s">
        <v>9044</v>
      </c>
      <c r="B3279" s="2" t="s">
        <v>7433</v>
      </c>
      <c r="C3279" s="8">
        <v>46213</v>
      </c>
      <c r="D3279" s="6">
        <v>46204</v>
      </c>
      <c r="E3279" s="2" t="s">
        <v>260</v>
      </c>
      <c r="F3279" s="2" t="s">
        <v>9045</v>
      </c>
      <c r="G3279" s="6">
        <v>46174</v>
      </c>
      <c r="H3279" s="2" t="s">
        <v>71</v>
      </c>
      <c r="I3279" s="2" t="s">
        <v>76</v>
      </c>
      <c r="J3279" s="9">
        <v>37082624</v>
      </c>
      <c r="K3279" s="7">
        <v>6.2000000000000003E-5</v>
      </c>
      <c r="L3279" s="9">
        <v>2299.12</v>
      </c>
      <c r="M3279" s="9">
        <v>2317.66</v>
      </c>
      <c r="N3279" s="9">
        <v>1.8</v>
      </c>
      <c r="O3279" s="10">
        <f>IF(AND(OR(H3279="APPROVED",H3279="SCHEDULED"),COUNTIFS(tblSource[EventID],F3279,tblSource[ReleaseStatus],"APPROVED")=1,COUNTIFS(Period_Status!$A$2:$A$8,G3279,Period_Status!$B$2:$B$8,"ActualClosed")=1,C3279&gt;EOMONTH(Settlement_Bridge!$C$2,0)),1,0)</f>
        <v>0</v>
      </c>
      <c r="P3279" s="2" t="s">
        <v>9046</v>
      </c>
    </row>
    <row r="3280" spans="1:16" x14ac:dyDescent="0.25">
      <c r="A3280" s="2" t="s">
        <v>9047</v>
      </c>
      <c r="B3280" s="2" t="s">
        <v>7433</v>
      </c>
      <c r="C3280" s="8">
        <v>46238</v>
      </c>
      <c r="D3280" s="6">
        <v>46235</v>
      </c>
      <c r="E3280" s="2" t="s">
        <v>260</v>
      </c>
      <c r="F3280" s="2" t="s">
        <v>9045</v>
      </c>
      <c r="G3280" s="6">
        <v>46174</v>
      </c>
      <c r="H3280" s="2" t="s">
        <v>71</v>
      </c>
      <c r="I3280" s="2" t="s">
        <v>76</v>
      </c>
      <c r="J3280" s="9">
        <v>55623936</v>
      </c>
      <c r="K3280" s="7">
        <v>6.1500000000000004E-5</v>
      </c>
      <c r="L3280" s="9">
        <v>3420.87</v>
      </c>
      <c r="M3280" s="9">
        <v>3476.5</v>
      </c>
      <c r="N3280" s="9">
        <v>1.88</v>
      </c>
      <c r="O3280" s="10">
        <f>IF(AND(OR(H3280="APPROVED",H3280="SCHEDULED"),COUNTIFS(tblSource[EventID],F3280,tblSource[ReleaseStatus],"APPROVED")=1,COUNTIFS(Period_Status!$A$2:$A$8,G3280,Period_Status!$B$2:$B$8,"ActualClosed")=1,C3280&gt;EOMONTH(Settlement_Bridge!$C$2,0)),1,0)</f>
        <v>1</v>
      </c>
      <c r="P3280" s="2" t="s">
        <v>9048</v>
      </c>
    </row>
    <row r="3281" spans="1:16" x14ac:dyDescent="0.25">
      <c r="A3281" s="2" t="s">
        <v>9049</v>
      </c>
      <c r="B3281" s="2" t="s">
        <v>7433</v>
      </c>
      <c r="C3281" s="8">
        <v>46214</v>
      </c>
      <c r="D3281" s="6">
        <v>46204</v>
      </c>
      <c r="E3281" s="2" t="s">
        <v>260</v>
      </c>
      <c r="F3281" s="2" t="s">
        <v>9050</v>
      </c>
      <c r="G3281" s="6">
        <v>46174</v>
      </c>
      <c r="H3281" s="2" t="s">
        <v>71</v>
      </c>
      <c r="I3281" s="2" t="s">
        <v>70</v>
      </c>
      <c r="J3281" s="9">
        <v>3651.7172930000002</v>
      </c>
      <c r="K3281" s="7">
        <v>0.65800000000000003</v>
      </c>
      <c r="L3281" s="9">
        <v>2402.83</v>
      </c>
      <c r="M3281" s="9">
        <v>2428.39</v>
      </c>
      <c r="N3281" s="9">
        <v>1.8</v>
      </c>
      <c r="O3281" s="10">
        <f>IF(AND(OR(H3281="APPROVED",H3281="SCHEDULED"),COUNTIFS(tblSource[EventID],F3281,tblSource[ReleaseStatus],"APPROVED")=1,COUNTIFS(Period_Status!$A$2:$A$8,G3281,Period_Status!$B$2:$B$8,"ActualClosed")=1,C3281&gt;EOMONTH(Settlement_Bridge!$C$2,0)),1,0)</f>
        <v>0</v>
      </c>
      <c r="P3281" s="2" t="s">
        <v>9051</v>
      </c>
    </row>
    <row r="3282" spans="1:16" x14ac:dyDescent="0.25">
      <c r="A3282" s="2" t="s">
        <v>9052</v>
      </c>
      <c r="B3282" s="2" t="s">
        <v>7433</v>
      </c>
      <c r="C3282" s="8">
        <v>46239</v>
      </c>
      <c r="D3282" s="6">
        <v>46235</v>
      </c>
      <c r="E3282" s="2" t="s">
        <v>260</v>
      </c>
      <c r="F3282" s="2" t="s">
        <v>9050</v>
      </c>
      <c r="G3282" s="6">
        <v>46174</v>
      </c>
      <c r="H3282" s="2" t="s">
        <v>71</v>
      </c>
      <c r="I3282" s="2" t="s">
        <v>70</v>
      </c>
      <c r="J3282" s="9">
        <v>5477.5759399999997</v>
      </c>
      <c r="K3282" s="7">
        <v>0.65</v>
      </c>
      <c r="L3282" s="9">
        <v>3560.42</v>
      </c>
      <c r="M3282" s="9">
        <v>3642.59</v>
      </c>
      <c r="N3282" s="9">
        <v>1.96</v>
      </c>
      <c r="O3282" s="10">
        <f>IF(AND(OR(H3282="APPROVED",H3282="SCHEDULED"),COUNTIFS(tblSource[EventID],F3282,tblSource[ReleaseStatus],"APPROVED")=1,COUNTIFS(Period_Status!$A$2:$A$8,G3282,Period_Status!$B$2:$B$8,"ActualClosed")=1,C3282&gt;EOMONTH(Settlement_Bridge!$C$2,0)),1,0)</f>
        <v>1</v>
      </c>
      <c r="P3282" s="2" t="s">
        <v>9053</v>
      </c>
    </row>
    <row r="3283" spans="1:16" x14ac:dyDescent="0.25">
      <c r="A3283" s="2" t="s">
        <v>9054</v>
      </c>
      <c r="B3283" s="2" t="s">
        <v>7433</v>
      </c>
      <c r="C3283" s="8">
        <v>46215</v>
      </c>
      <c r="D3283" s="6">
        <v>46204</v>
      </c>
      <c r="E3283" s="2" t="s">
        <v>260</v>
      </c>
      <c r="F3283" s="2" t="s">
        <v>9055</v>
      </c>
      <c r="G3283" s="6">
        <v>46174</v>
      </c>
      <c r="H3283" s="2" t="s">
        <v>71</v>
      </c>
      <c r="I3283" s="2" t="s">
        <v>39</v>
      </c>
      <c r="J3283" s="9">
        <v>-6347.79</v>
      </c>
      <c r="K3283" s="7">
        <v>1</v>
      </c>
      <c r="L3283" s="9">
        <v>-6347.79</v>
      </c>
      <c r="M3283" s="9">
        <v>-6347.79</v>
      </c>
      <c r="N3283" s="9">
        <v>0</v>
      </c>
      <c r="O3283" s="10">
        <f>IF(AND(OR(H3283="APPROVED",H3283="SCHEDULED"),COUNTIFS(tblSource[EventID],F3283,tblSource[ReleaseStatus],"APPROVED")=1,COUNTIFS(Period_Status!$A$2:$A$8,G3283,Period_Status!$B$2:$B$8,"ActualClosed")=1,C3283&gt;EOMONTH(Settlement_Bridge!$C$2,0)),1,0)</f>
        <v>0</v>
      </c>
      <c r="P3283" s="2" t="s">
        <v>9056</v>
      </c>
    </row>
    <row r="3284" spans="1:16" x14ac:dyDescent="0.25">
      <c r="A3284" s="2" t="s">
        <v>9057</v>
      </c>
      <c r="B3284" s="2" t="s">
        <v>7433</v>
      </c>
      <c r="C3284" s="8">
        <v>46216</v>
      </c>
      <c r="D3284" s="6">
        <v>46204</v>
      </c>
      <c r="E3284" s="2" t="s">
        <v>260</v>
      </c>
      <c r="F3284" s="2" t="s">
        <v>9058</v>
      </c>
      <c r="G3284" s="6">
        <v>46174</v>
      </c>
      <c r="H3284" s="2" t="s">
        <v>71</v>
      </c>
      <c r="I3284" s="2" t="s">
        <v>76</v>
      </c>
      <c r="J3284" s="9">
        <v>42397504</v>
      </c>
      <c r="K3284" s="7">
        <v>6.2000000000000003E-5</v>
      </c>
      <c r="L3284" s="9">
        <v>2628.65</v>
      </c>
      <c r="M3284" s="9">
        <v>2649.84</v>
      </c>
      <c r="N3284" s="9">
        <v>1.8</v>
      </c>
      <c r="O3284" s="10">
        <f>IF(AND(OR(H3284="APPROVED",H3284="SCHEDULED"),COUNTIFS(tblSource[EventID],F3284,tblSource[ReleaseStatus],"APPROVED")=1,COUNTIFS(Period_Status!$A$2:$A$8,G3284,Period_Status!$B$2:$B$8,"ActualClosed")=1,C3284&gt;EOMONTH(Settlement_Bridge!$C$2,0)),1,0)</f>
        <v>0</v>
      </c>
      <c r="P3284" s="2" t="s">
        <v>9059</v>
      </c>
    </row>
    <row r="3285" spans="1:16" x14ac:dyDescent="0.25">
      <c r="A3285" s="2" t="s">
        <v>9060</v>
      </c>
      <c r="B3285" s="2" t="s">
        <v>7433</v>
      </c>
      <c r="C3285" s="8">
        <v>46241</v>
      </c>
      <c r="D3285" s="6">
        <v>46235</v>
      </c>
      <c r="E3285" s="2" t="s">
        <v>260</v>
      </c>
      <c r="F3285" s="2" t="s">
        <v>9058</v>
      </c>
      <c r="G3285" s="6">
        <v>46174</v>
      </c>
      <c r="H3285" s="2" t="s">
        <v>71</v>
      </c>
      <c r="I3285" s="2" t="s">
        <v>76</v>
      </c>
      <c r="J3285" s="9">
        <v>63596256</v>
      </c>
      <c r="K3285" s="7">
        <v>6.1500000000000004E-5</v>
      </c>
      <c r="L3285" s="9">
        <v>3911.17</v>
      </c>
      <c r="M3285" s="9">
        <v>3974.77</v>
      </c>
      <c r="N3285" s="9">
        <v>2.15</v>
      </c>
      <c r="O3285" s="10">
        <f>IF(AND(OR(H3285="APPROVED",H3285="SCHEDULED"),COUNTIFS(tblSource[EventID],F3285,tblSource[ReleaseStatus],"APPROVED")=1,COUNTIFS(Period_Status!$A$2:$A$8,G3285,Period_Status!$B$2:$B$8,"ActualClosed")=1,C3285&gt;EOMONTH(Settlement_Bridge!$C$2,0)),1,0)</f>
        <v>1</v>
      </c>
      <c r="P3285" s="2" t="s">
        <v>9061</v>
      </c>
    </row>
    <row r="3286" spans="1:16" x14ac:dyDescent="0.25">
      <c r="A3286" s="2" t="s">
        <v>9062</v>
      </c>
      <c r="B3286" s="2" t="s">
        <v>7433</v>
      </c>
      <c r="C3286" s="8">
        <v>46217</v>
      </c>
      <c r="D3286" s="6">
        <v>46204</v>
      </c>
      <c r="E3286" s="2" t="s">
        <v>260</v>
      </c>
      <c r="F3286" s="2" t="s">
        <v>9063</v>
      </c>
      <c r="G3286" s="6">
        <v>46174</v>
      </c>
      <c r="H3286" s="2" t="s">
        <v>71</v>
      </c>
      <c r="I3286" s="2" t="s">
        <v>70</v>
      </c>
      <c r="J3286" s="9">
        <v>4151.2300750000004</v>
      </c>
      <c r="K3286" s="7">
        <v>0.65800000000000003</v>
      </c>
      <c r="L3286" s="9">
        <v>2731.51</v>
      </c>
      <c r="M3286" s="9">
        <v>2760.57</v>
      </c>
      <c r="N3286" s="9">
        <v>1.8</v>
      </c>
      <c r="O3286" s="10">
        <f>IF(AND(OR(H3286="APPROVED",H3286="SCHEDULED"),COUNTIFS(tblSource[EventID],F3286,tblSource[ReleaseStatus],"APPROVED")=1,COUNTIFS(Period_Status!$A$2:$A$8,G3286,Period_Status!$B$2:$B$8,"ActualClosed")=1,C3286&gt;EOMONTH(Settlement_Bridge!$C$2,0)),1,0)</f>
        <v>0</v>
      </c>
      <c r="P3286" s="2" t="s">
        <v>9064</v>
      </c>
    </row>
    <row r="3287" spans="1:16" x14ac:dyDescent="0.25">
      <c r="A3287" s="2" t="s">
        <v>9065</v>
      </c>
      <c r="B3287" s="2" t="s">
        <v>7433</v>
      </c>
      <c r="C3287" s="8">
        <v>46242</v>
      </c>
      <c r="D3287" s="6">
        <v>46235</v>
      </c>
      <c r="E3287" s="2" t="s">
        <v>260</v>
      </c>
      <c r="F3287" s="2" t="s">
        <v>9063</v>
      </c>
      <c r="G3287" s="6">
        <v>46174</v>
      </c>
      <c r="H3287" s="2" t="s">
        <v>71</v>
      </c>
      <c r="I3287" s="2" t="s">
        <v>70</v>
      </c>
      <c r="J3287" s="9">
        <v>6226.8451130000003</v>
      </c>
      <c r="K3287" s="7">
        <v>0.65</v>
      </c>
      <c r="L3287" s="9">
        <v>4047.45</v>
      </c>
      <c r="M3287" s="9">
        <v>4140.8500000000004</v>
      </c>
      <c r="N3287" s="9">
        <v>2.23</v>
      </c>
      <c r="O3287" s="10">
        <f>IF(AND(OR(H3287="APPROVED",H3287="SCHEDULED"),COUNTIFS(tblSource[EventID],F3287,tblSource[ReleaseStatus],"APPROVED")=1,COUNTIFS(Period_Status!$A$2:$A$8,G3287,Period_Status!$B$2:$B$8,"ActualClosed")=1,C3287&gt;EOMONTH(Settlement_Bridge!$C$2,0)),1,0)</f>
        <v>1</v>
      </c>
      <c r="P3287" s="2" t="s">
        <v>9066</v>
      </c>
    </row>
    <row r="3288" spans="1:16" x14ac:dyDescent="0.25">
      <c r="A3288" s="2" t="s">
        <v>9067</v>
      </c>
      <c r="B3288" s="2" t="s">
        <v>7433</v>
      </c>
      <c r="C3288" s="8">
        <v>46188</v>
      </c>
      <c r="D3288" s="6">
        <v>46174</v>
      </c>
      <c r="E3288" s="2" t="s">
        <v>260</v>
      </c>
      <c r="F3288" s="2" t="s">
        <v>9068</v>
      </c>
      <c r="G3288" s="6">
        <v>46174</v>
      </c>
      <c r="H3288" s="2" t="s">
        <v>71</v>
      </c>
      <c r="I3288" s="2" t="s">
        <v>39</v>
      </c>
      <c r="J3288" s="9">
        <v>2871.2959999999998</v>
      </c>
      <c r="K3288" s="7">
        <v>1</v>
      </c>
      <c r="L3288" s="9">
        <v>2871.3</v>
      </c>
      <c r="M3288" s="9">
        <v>2871.3</v>
      </c>
      <c r="N3288" s="9">
        <v>1.8</v>
      </c>
      <c r="O3288" s="10">
        <f>IF(AND(OR(H3288="APPROVED",H3288="SCHEDULED"),COUNTIFS(tblSource[EventID],F3288,tblSource[ReleaseStatus],"APPROVED")=1,COUNTIFS(Period_Status!$A$2:$A$8,G3288,Period_Status!$B$2:$B$8,"ActualClosed")=1,C3288&gt;EOMONTH(Settlement_Bridge!$C$2,0)),1,0)</f>
        <v>0</v>
      </c>
      <c r="P3288" s="2" t="s">
        <v>9069</v>
      </c>
    </row>
    <row r="3289" spans="1:16" x14ac:dyDescent="0.25">
      <c r="A3289" s="2" t="s">
        <v>9070</v>
      </c>
      <c r="B3289" s="2" t="s">
        <v>7433</v>
      </c>
      <c r="C3289" s="8">
        <v>46213</v>
      </c>
      <c r="D3289" s="6">
        <v>46204</v>
      </c>
      <c r="E3289" s="2" t="s">
        <v>260</v>
      </c>
      <c r="F3289" s="2" t="s">
        <v>9068</v>
      </c>
      <c r="G3289" s="6">
        <v>46174</v>
      </c>
      <c r="H3289" s="2" t="s">
        <v>71</v>
      </c>
      <c r="I3289" s="2" t="s">
        <v>39</v>
      </c>
      <c r="J3289" s="9">
        <v>4306.9440000000004</v>
      </c>
      <c r="K3289" s="7">
        <v>1</v>
      </c>
      <c r="L3289" s="9">
        <v>4306.9399999999996</v>
      </c>
      <c r="M3289" s="9">
        <v>4306.9399999999996</v>
      </c>
      <c r="N3289" s="9">
        <v>2.37</v>
      </c>
      <c r="O3289" s="10">
        <f>IF(AND(OR(H3289="APPROVED",H3289="SCHEDULED"),COUNTIFS(tblSource[EventID],F3289,tblSource[ReleaseStatus],"APPROVED")=1,COUNTIFS(Period_Status!$A$2:$A$8,G3289,Period_Status!$B$2:$B$8,"ActualClosed")=1,C3289&gt;EOMONTH(Settlement_Bridge!$C$2,0)),1,0)</f>
        <v>0</v>
      </c>
      <c r="P3289" s="2" t="s">
        <v>9071</v>
      </c>
    </row>
    <row r="3290" spans="1:16" x14ac:dyDescent="0.25">
      <c r="A3290" s="2" t="s">
        <v>9072</v>
      </c>
      <c r="B3290" s="2" t="s">
        <v>7433</v>
      </c>
      <c r="C3290" s="8">
        <v>46189</v>
      </c>
      <c r="D3290" s="6">
        <v>46174</v>
      </c>
      <c r="E3290" s="2" t="s">
        <v>260</v>
      </c>
      <c r="F3290" s="2" t="s">
        <v>9073</v>
      </c>
      <c r="G3290" s="6">
        <v>46174</v>
      </c>
      <c r="H3290" s="2" t="s">
        <v>71</v>
      </c>
      <c r="I3290" s="2" t="s">
        <v>76</v>
      </c>
      <c r="J3290" s="9">
        <v>47712384</v>
      </c>
      <c r="K3290" s="7">
        <v>6.2500000000000001E-5</v>
      </c>
      <c r="L3290" s="9">
        <v>2982.02</v>
      </c>
      <c r="M3290" s="9">
        <v>2982.02</v>
      </c>
      <c r="N3290" s="9">
        <v>1.8</v>
      </c>
      <c r="O3290" s="10">
        <f>IF(AND(OR(H3290="APPROVED",H3290="SCHEDULED"),COUNTIFS(tblSource[EventID],F3290,tblSource[ReleaseStatus],"APPROVED")=1,COUNTIFS(Period_Status!$A$2:$A$8,G3290,Period_Status!$B$2:$B$8,"ActualClosed")=1,C3290&gt;EOMONTH(Settlement_Bridge!$C$2,0)),1,0)</f>
        <v>0</v>
      </c>
      <c r="P3290" s="2" t="s">
        <v>9074</v>
      </c>
    </row>
    <row r="3291" spans="1:16" x14ac:dyDescent="0.25">
      <c r="A3291" s="2" t="s">
        <v>9075</v>
      </c>
      <c r="B3291" s="2" t="s">
        <v>7433</v>
      </c>
      <c r="C3291" s="8">
        <v>46214</v>
      </c>
      <c r="D3291" s="6">
        <v>46204</v>
      </c>
      <c r="E3291" s="2" t="s">
        <v>260</v>
      </c>
      <c r="F3291" s="2" t="s">
        <v>9073</v>
      </c>
      <c r="G3291" s="6">
        <v>46174</v>
      </c>
      <c r="H3291" s="2" t="s">
        <v>71</v>
      </c>
      <c r="I3291" s="2" t="s">
        <v>76</v>
      </c>
      <c r="J3291" s="9">
        <v>71568576</v>
      </c>
      <c r="K3291" s="7">
        <v>6.2000000000000003E-5</v>
      </c>
      <c r="L3291" s="9">
        <v>4437.25</v>
      </c>
      <c r="M3291" s="9">
        <v>4473.04</v>
      </c>
      <c r="N3291" s="9">
        <v>2.44</v>
      </c>
      <c r="O3291" s="10">
        <f>IF(AND(OR(H3291="APPROVED",H3291="SCHEDULED"),COUNTIFS(tblSource[EventID],F3291,tblSource[ReleaseStatus],"APPROVED")=1,COUNTIFS(Period_Status!$A$2:$A$8,G3291,Period_Status!$B$2:$B$8,"ActualClosed")=1,C3291&gt;EOMONTH(Settlement_Bridge!$C$2,0)),1,0)</f>
        <v>0</v>
      </c>
      <c r="P3291" s="2" t="s">
        <v>9076</v>
      </c>
    </row>
    <row r="3292" spans="1:16" x14ac:dyDescent="0.25">
      <c r="A3292" s="2" t="s">
        <v>9077</v>
      </c>
      <c r="B3292" s="2" t="s">
        <v>7433</v>
      </c>
      <c r="C3292" s="8">
        <v>46190</v>
      </c>
      <c r="D3292" s="6">
        <v>46174</v>
      </c>
      <c r="E3292" s="2" t="s">
        <v>260</v>
      </c>
      <c r="F3292" s="2" t="s">
        <v>9078</v>
      </c>
      <c r="G3292" s="6">
        <v>46174</v>
      </c>
      <c r="H3292" s="2" t="s">
        <v>71</v>
      </c>
      <c r="I3292" s="2" t="s">
        <v>70</v>
      </c>
      <c r="J3292" s="9">
        <v>4650.7548870000001</v>
      </c>
      <c r="K3292" s="7">
        <v>0.66500000000000004</v>
      </c>
      <c r="L3292" s="9">
        <v>3092.75</v>
      </c>
      <c r="M3292" s="9">
        <v>3092.75</v>
      </c>
      <c r="N3292" s="9">
        <v>1.8</v>
      </c>
      <c r="O3292" s="10">
        <f>IF(AND(OR(H3292="APPROVED",H3292="SCHEDULED"),COUNTIFS(tblSource[EventID],F3292,tblSource[ReleaseStatus],"APPROVED")=1,COUNTIFS(Period_Status!$A$2:$A$8,G3292,Period_Status!$B$2:$B$8,"ActualClosed")=1,C3292&gt;EOMONTH(Settlement_Bridge!$C$2,0)),1,0)</f>
        <v>0</v>
      </c>
      <c r="P3292" s="2" t="s">
        <v>9079</v>
      </c>
    </row>
    <row r="3293" spans="1:16" x14ac:dyDescent="0.25">
      <c r="A3293" s="2" t="s">
        <v>9080</v>
      </c>
      <c r="B3293" s="2" t="s">
        <v>7433</v>
      </c>
      <c r="C3293" s="8">
        <v>46215</v>
      </c>
      <c r="D3293" s="6">
        <v>46204</v>
      </c>
      <c r="E3293" s="2" t="s">
        <v>260</v>
      </c>
      <c r="F3293" s="2" t="s">
        <v>9078</v>
      </c>
      <c r="G3293" s="6">
        <v>46174</v>
      </c>
      <c r="H3293" s="2" t="s">
        <v>71</v>
      </c>
      <c r="I3293" s="2" t="s">
        <v>70</v>
      </c>
      <c r="J3293" s="9">
        <v>6976.1323309999998</v>
      </c>
      <c r="K3293" s="7">
        <v>0.65800000000000003</v>
      </c>
      <c r="L3293" s="9">
        <v>4590.3</v>
      </c>
      <c r="M3293" s="9">
        <v>4639.13</v>
      </c>
      <c r="N3293" s="9">
        <v>2.52</v>
      </c>
      <c r="O3293" s="10">
        <f>IF(AND(OR(H3293="APPROVED",H3293="SCHEDULED"),COUNTIFS(tblSource[EventID],F3293,tblSource[ReleaseStatus],"APPROVED")=1,COUNTIFS(Period_Status!$A$2:$A$8,G3293,Period_Status!$B$2:$B$8,"ActualClosed")=1,C3293&gt;EOMONTH(Settlement_Bridge!$C$2,0)),1,0)</f>
        <v>0</v>
      </c>
      <c r="P3293" s="2" t="s">
        <v>9081</v>
      </c>
    </row>
    <row r="3294" spans="1:16" x14ac:dyDescent="0.25">
      <c r="A3294" s="2" t="s">
        <v>9082</v>
      </c>
      <c r="B3294" s="2" t="s">
        <v>7433</v>
      </c>
      <c r="C3294" s="8">
        <v>46241</v>
      </c>
      <c r="D3294" s="6">
        <v>46235</v>
      </c>
      <c r="E3294" s="2" t="s">
        <v>260</v>
      </c>
      <c r="F3294" s="2" t="s">
        <v>9083</v>
      </c>
      <c r="G3294" s="6">
        <v>46204</v>
      </c>
      <c r="H3294" s="2" t="s">
        <v>71</v>
      </c>
      <c r="I3294" s="2" t="s">
        <v>39</v>
      </c>
      <c r="J3294" s="9">
        <v>3203.4760000000001</v>
      </c>
      <c r="K3294" s="7">
        <v>1</v>
      </c>
      <c r="L3294" s="9">
        <v>3203.48</v>
      </c>
      <c r="M3294" s="9">
        <v>3203.48</v>
      </c>
      <c r="N3294" s="9">
        <v>1.8</v>
      </c>
      <c r="O3294" s="10">
        <f>IF(AND(OR(H3294="APPROVED",H3294="SCHEDULED"),COUNTIFS(tblSource[EventID],F3294,tblSource[ReleaseStatus],"APPROVED")=1,COUNTIFS(Period_Status!$A$2:$A$8,G3294,Period_Status!$B$2:$B$8,"ActualClosed")=1,C3294&gt;EOMONTH(Settlement_Bridge!$C$2,0)),1,0)</f>
        <v>1</v>
      </c>
      <c r="P3294" s="2" t="s">
        <v>9084</v>
      </c>
    </row>
    <row r="3295" spans="1:16" x14ac:dyDescent="0.25">
      <c r="A3295" s="2" t="s">
        <v>9085</v>
      </c>
      <c r="B3295" s="2" t="s">
        <v>7433</v>
      </c>
      <c r="C3295" s="8">
        <v>46266</v>
      </c>
      <c r="D3295" s="6">
        <v>46266</v>
      </c>
      <c r="E3295" s="2" t="s">
        <v>260</v>
      </c>
      <c r="F3295" s="2" t="s">
        <v>9083</v>
      </c>
      <c r="G3295" s="6">
        <v>46204</v>
      </c>
      <c r="H3295" s="2" t="s">
        <v>176</v>
      </c>
      <c r="I3295" s="2" t="s">
        <v>39</v>
      </c>
      <c r="J3295" s="9">
        <v>4805.2139999999999</v>
      </c>
      <c r="K3295" s="7">
        <v>1</v>
      </c>
      <c r="L3295" s="9">
        <v>4805.21</v>
      </c>
      <c r="M3295" s="9">
        <v>4805.21</v>
      </c>
      <c r="N3295" s="9">
        <v>2.64</v>
      </c>
      <c r="O3295" s="10">
        <f>IF(AND(OR(H3295="APPROVED",H3295="SCHEDULED"),COUNTIFS(tblSource[EventID],F3295,tblSource[ReleaseStatus],"APPROVED")=1,COUNTIFS(Period_Status!$A$2:$A$8,G3295,Period_Status!$B$2:$B$8,"ActualClosed")=1,C3295&gt;EOMONTH(Settlement_Bridge!$C$2,0)),1,0)</f>
        <v>1</v>
      </c>
      <c r="P3295" s="2" t="s">
        <v>9086</v>
      </c>
    </row>
    <row r="3296" spans="1:16" x14ac:dyDescent="0.25">
      <c r="A3296" s="2" t="s">
        <v>9087</v>
      </c>
      <c r="B3296" s="2" t="s">
        <v>7433</v>
      </c>
      <c r="C3296" s="8">
        <v>46242</v>
      </c>
      <c r="D3296" s="6">
        <v>46235</v>
      </c>
      <c r="E3296" s="2" t="s">
        <v>260</v>
      </c>
      <c r="F3296" s="2" t="s">
        <v>9088</v>
      </c>
      <c r="G3296" s="6">
        <v>46204</v>
      </c>
      <c r="H3296" s="2" t="s">
        <v>71</v>
      </c>
      <c r="I3296" s="2" t="s">
        <v>76</v>
      </c>
      <c r="J3296" s="9">
        <v>53454838.709678002</v>
      </c>
      <c r="K3296" s="7">
        <v>6.1500000000000004E-5</v>
      </c>
      <c r="L3296" s="9">
        <v>3287.47</v>
      </c>
      <c r="M3296" s="9">
        <v>3314.2</v>
      </c>
      <c r="N3296" s="9">
        <v>1.81</v>
      </c>
      <c r="O3296" s="10">
        <f>IF(AND(OR(H3296="APPROVED",H3296="SCHEDULED"),COUNTIFS(tblSource[EventID],F3296,tblSource[ReleaseStatus],"APPROVED")=1,COUNTIFS(Period_Status!$A$2:$A$8,G3296,Period_Status!$B$2:$B$8,"ActualClosed")=1,C3296&gt;EOMONTH(Settlement_Bridge!$C$2,0)),1,0)</f>
        <v>1</v>
      </c>
      <c r="P3296" s="2" t="s">
        <v>9089</v>
      </c>
    </row>
    <row r="3297" spans="1:16" x14ac:dyDescent="0.25">
      <c r="A3297" s="2" t="s">
        <v>9090</v>
      </c>
      <c r="B3297" s="2" t="s">
        <v>7433</v>
      </c>
      <c r="C3297" s="8">
        <v>46267</v>
      </c>
      <c r="D3297" s="6">
        <v>46266</v>
      </c>
      <c r="E3297" s="2" t="s">
        <v>260</v>
      </c>
      <c r="F3297" s="2" t="s">
        <v>9088</v>
      </c>
      <c r="G3297" s="6">
        <v>46204</v>
      </c>
      <c r="H3297" s="2" t="s">
        <v>176</v>
      </c>
      <c r="I3297" s="2" t="s">
        <v>76</v>
      </c>
      <c r="J3297" s="9">
        <v>80182258.064515993</v>
      </c>
      <c r="K3297" s="7">
        <v>6.1299999999999999E-5</v>
      </c>
      <c r="L3297" s="9">
        <v>4915.17</v>
      </c>
      <c r="M3297" s="9">
        <v>4971.3</v>
      </c>
      <c r="N3297" s="9">
        <v>2.7</v>
      </c>
      <c r="O3297" s="10">
        <f>IF(AND(OR(H3297="APPROVED",H3297="SCHEDULED"),COUNTIFS(tblSource[EventID],F3297,tblSource[ReleaseStatus],"APPROVED")=1,COUNTIFS(Period_Status!$A$2:$A$8,G3297,Period_Status!$B$2:$B$8,"ActualClosed")=1,C3297&gt;EOMONTH(Settlement_Bridge!$C$2,0)),1,0)</f>
        <v>1</v>
      </c>
      <c r="P3297" s="2" t="s">
        <v>9091</v>
      </c>
    </row>
    <row r="3298" spans="1:16" x14ac:dyDescent="0.25">
      <c r="A3298" s="2" t="s">
        <v>9092</v>
      </c>
      <c r="B3298" s="2" t="s">
        <v>7433</v>
      </c>
      <c r="C3298" s="8">
        <v>46243</v>
      </c>
      <c r="D3298" s="6">
        <v>46235</v>
      </c>
      <c r="E3298" s="2" t="s">
        <v>260</v>
      </c>
      <c r="F3298" s="2" t="s">
        <v>9093</v>
      </c>
      <c r="G3298" s="6">
        <v>46204</v>
      </c>
      <c r="H3298" s="2" t="s">
        <v>71</v>
      </c>
      <c r="I3298" s="2" t="s">
        <v>70</v>
      </c>
      <c r="J3298" s="9">
        <v>5205.0577510000003</v>
      </c>
      <c r="K3298" s="7">
        <v>0.65</v>
      </c>
      <c r="L3298" s="9">
        <v>3383.29</v>
      </c>
      <c r="M3298" s="9">
        <v>3424.93</v>
      </c>
      <c r="N3298" s="9">
        <v>1.86</v>
      </c>
      <c r="O3298" s="10">
        <f>IF(AND(OR(H3298="APPROVED",H3298="SCHEDULED"),COUNTIFS(tblSource[EventID],F3298,tblSource[ReleaseStatus],"APPROVED")=1,COUNTIFS(Period_Status!$A$2:$A$8,G3298,Period_Status!$B$2:$B$8,"ActualClosed")=1,C3298&gt;EOMONTH(Settlement_Bridge!$C$2,0)),1,0)</f>
        <v>1</v>
      </c>
      <c r="P3298" s="2" t="s">
        <v>9094</v>
      </c>
    </row>
    <row r="3299" spans="1:16" x14ac:dyDescent="0.25">
      <c r="A3299" s="2" t="s">
        <v>9095</v>
      </c>
      <c r="B3299" s="2" t="s">
        <v>7433</v>
      </c>
      <c r="C3299" s="8">
        <v>46268</v>
      </c>
      <c r="D3299" s="6">
        <v>46266</v>
      </c>
      <c r="E3299" s="2" t="s">
        <v>260</v>
      </c>
      <c r="F3299" s="2" t="s">
        <v>9093</v>
      </c>
      <c r="G3299" s="6">
        <v>46204</v>
      </c>
      <c r="H3299" s="2" t="s">
        <v>176</v>
      </c>
      <c r="I3299" s="2" t="s">
        <v>70</v>
      </c>
      <c r="J3299" s="9">
        <v>7807.5866260000003</v>
      </c>
      <c r="K3299" s="7">
        <v>0.65100000000000002</v>
      </c>
      <c r="L3299" s="9">
        <v>5082.74</v>
      </c>
      <c r="M3299" s="9">
        <v>5137.3900000000003</v>
      </c>
      <c r="N3299" s="9">
        <v>2.8</v>
      </c>
      <c r="O3299" s="10">
        <f>IF(AND(OR(H3299="APPROVED",H3299="SCHEDULED"),COUNTIFS(tblSource[EventID],F3299,tblSource[ReleaseStatus],"APPROVED")=1,COUNTIFS(Period_Status!$A$2:$A$8,G3299,Period_Status!$B$2:$B$8,"ActualClosed")=1,C3299&gt;EOMONTH(Settlement_Bridge!$C$2,0)),1,0)</f>
        <v>1</v>
      </c>
      <c r="P3299" s="2" t="s">
        <v>9096</v>
      </c>
    </row>
    <row r="3300" spans="1:16" x14ac:dyDescent="0.25">
      <c r="A3300" s="2" t="s">
        <v>9097</v>
      </c>
      <c r="B3300" s="2" t="s">
        <v>7433</v>
      </c>
      <c r="C3300" s="8">
        <v>46244</v>
      </c>
      <c r="D3300" s="6">
        <v>46235</v>
      </c>
      <c r="E3300" s="2" t="s">
        <v>260</v>
      </c>
      <c r="F3300" s="2" t="s">
        <v>9098</v>
      </c>
      <c r="G3300" s="6">
        <v>46204</v>
      </c>
      <c r="H3300" s="2" t="s">
        <v>71</v>
      </c>
      <c r="I3300" s="2" t="s">
        <v>39</v>
      </c>
      <c r="J3300" s="9">
        <v>3535.6559999999999</v>
      </c>
      <c r="K3300" s="7">
        <v>1</v>
      </c>
      <c r="L3300" s="9">
        <v>3535.66</v>
      </c>
      <c r="M3300" s="9">
        <v>3535.66</v>
      </c>
      <c r="N3300" s="9">
        <v>1.94</v>
      </c>
      <c r="O3300" s="10">
        <f>IF(AND(OR(H3300="APPROVED",H3300="SCHEDULED"),COUNTIFS(tblSource[EventID],F3300,tblSource[ReleaseStatus],"APPROVED")=1,COUNTIFS(Period_Status!$A$2:$A$8,G3300,Period_Status!$B$2:$B$8,"ActualClosed")=1,C3300&gt;EOMONTH(Settlement_Bridge!$C$2,0)),1,0)</f>
        <v>1</v>
      </c>
      <c r="P3300" s="2" t="s">
        <v>9099</v>
      </c>
    </row>
    <row r="3301" spans="1:16" x14ac:dyDescent="0.25">
      <c r="A3301" s="2" t="s">
        <v>9100</v>
      </c>
      <c r="B3301" s="2" t="s">
        <v>7433</v>
      </c>
      <c r="C3301" s="8">
        <v>46269</v>
      </c>
      <c r="D3301" s="6">
        <v>46266</v>
      </c>
      <c r="E3301" s="2" t="s">
        <v>260</v>
      </c>
      <c r="F3301" s="2" t="s">
        <v>9098</v>
      </c>
      <c r="G3301" s="6">
        <v>46204</v>
      </c>
      <c r="H3301" s="2" t="s">
        <v>176</v>
      </c>
      <c r="I3301" s="2" t="s">
        <v>39</v>
      </c>
      <c r="J3301" s="9">
        <v>5303.4840000000004</v>
      </c>
      <c r="K3301" s="7">
        <v>1</v>
      </c>
      <c r="L3301" s="9">
        <v>5303.48</v>
      </c>
      <c r="M3301" s="9">
        <v>5303.48</v>
      </c>
      <c r="N3301" s="9">
        <v>2.92</v>
      </c>
      <c r="O3301" s="10">
        <f>IF(AND(OR(H3301="APPROVED",H3301="SCHEDULED"),COUNTIFS(tblSource[EventID],F3301,tblSource[ReleaseStatus],"APPROVED")=1,COUNTIFS(Period_Status!$A$2:$A$8,G3301,Period_Status!$B$2:$B$8,"ActualClosed")=1,C3301&gt;EOMONTH(Settlement_Bridge!$C$2,0)),1,0)</f>
        <v>1</v>
      </c>
      <c r="P3301" s="2" t="s">
        <v>9101</v>
      </c>
    </row>
    <row r="3302" spans="1:16" x14ac:dyDescent="0.25">
      <c r="A3302" s="2" t="s">
        <v>9102</v>
      </c>
      <c r="B3302" s="2" t="s">
        <v>7433</v>
      </c>
      <c r="C3302" s="8">
        <v>46245</v>
      </c>
      <c r="D3302" s="6">
        <v>46235</v>
      </c>
      <c r="E3302" s="2" t="s">
        <v>260</v>
      </c>
      <c r="F3302" s="2" t="s">
        <v>9103</v>
      </c>
      <c r="G3302" s="6">
        <v>46204</v>
      </c>
      <c r="H3302" s="2" t="s">
        <v>71</v>
      </c>
      <c r="I3302" s="2" t="s">
        <v>76</v>
      </c>
      <c r="J3302" s="9">
        <v>58812580.645161003</v>
      </c>
      <c r="K3302" s="7">
        <v>6.1500000000000004E-5</v>
      </c>
      <c r="L3302" s="9">
        <v>3616.97</v>
      </c>
      <c r="M3302" s="9">
        <v>3646.38</v>
      </c>
      <c r="N3302" s="9">
        <v>1.99</v>
      </c>
      <c r="O3302" s="10">
        <f>IF(AND(OR(H3302="APPROVED",H3302="SCHEDULED"),COUNTIFS(tblSource[EventID],F3302,tblSource[ReleaseStatus],"APPROVED")=1,COUNTIFS(Period_Status!$A$2:$A$8,G3302,Period_Status!$B$2:$B$8,"ActualClosed")=1,C3302&gt;EOMONTH(Settlement_Bridge!$C$2,0)),1,0)</f>
        <v>1</v>
      </c>
      <c r="P3302" s="2" t="s">
        <v>9104</v>
      </c>
    </row>
    <row r="3303" spans="1:16" x14ac:dyDescent="0.25">
      <c r="A3303" s="2" t="s">
        <v>9105</v>
      </c>
      <c r="B3303" s="2" t="s">
        <v>7433</v>
      </c>
      <c r="C3303" s="8">
        <v>46270</v>
      </c>
      <c r="D3303" s="6">
        <v>46266</v>
      </c>
      <c r="E3303" s="2" t="s">
        <v>260</v>
      </c>
      <c r="F3303" s="2" t="s">
        <v>9103</v>
      </c>
      <c r="G3303" s="6">
        <v>46204</v>
      </c>
      <c r="H3303" s="2" t="s">
        <v>176</v>
      </c>
      <c r="I3303" s="2" t="s">
        <v>76</v>
      </c>
      <c r="J3303" s="9">
        <v>88218870.967741996</v>
      </c>
      <c r="K3303" s="7">
        <v>6.1299999999999999E-5</v>
      </c>
      <c r="L3303" s="9">
        <v>5407.82</v>
      </c>
      <c r="M3303" s="9">
        <v>5469.57</v>
      </c>
      <c r="N3303" s="9">
        <v>2.97</v>
      </c>
      <c r="O3303" s="10">
        <f>IF(AND(OR(H3303="APPROVED",H3303="SCHEDULED"),COUNTIFS(tblSource[EventID],F3303,tblSource[ReleaseStatus],"APPROVED")=1,COUNTIFS(Period_Status!$A$2:$A$8,G3303,Period_Status!$B$2:$B$8,"ActualClosed")=1,C3303&gt;EOMONTH(Settlement_Bridge!$C$2,0)),1,0)</f>
        <v>1</v>
      </c>
      <c r="P3303" s="2" t="s">
        <v>9106</v>
      </c>
    </row>
    <row r="3304" spans="1:16" x14ac:dyDescent="0.25">
      <c r="A3304" s="2" t="s">
        <v>9107</v>
      </c>
      <c r="B3304" s="2" t="s">
        <v>7433</v>
      </c>
      <c r="C3304" s="8">
        <v>46246</v>
      </c>
      <c r="D3304" s="6">
        <v>46235</v>
      </c>
      <c r="E3304" s="2" t="s">
        <v>260</v>
      </c>
      <c r="F3304" s="2" t="s">
        <v>9108</v>
      </c>
      <c r="G3304" s="6">
        <v>46204</v>
      </c>
      <c r="H3304" s="2" t="s">
        <v>71</v>
      </c>
      <c r="I3304" s="2" t="s">
        <v>70</v>
      </c>
      <c r="J3304" s="9">
        <v>5709.8905779999996</v>
      </c>
      <c r="K3304" s="7">
        <v>0.65</v>
      </c>
      <c r="L3304" s="9">
        <v>3711.43</v>
      </c>
      <c r="M3304" s="9">
        <v>3757.11</v>
      </c>
      <c r="N3304" s="9">
        <v>2.04</v>
      </c>
      <c r="O3304" s="10">
        <f>IF(AND(OR(H3304="APPROVED",H3304="SCHEDULED"),COUNTIFS(tblSource[EventID],F3304,tblSource[ReleaseStatus],"APPROVED")=1,COUNTIFS(Period_Status!$A$2:$A$8,G3304,Period_Status!$B$2:$B$8,"ActualClosed")=1,C3304&gt;EOMONTH(Settlement_Bridge!$C$2,0)),1,0)</f>
        <v>1</v>
      </c>
      <c r="P3304" s="2" t="s">
        <v>9109</v>
      </c>
    </row>
    <row r="3305" spans="1:16" x14ac:dyDescent="0.25">
      <c r="A3305" s="2" t="s">
        <v>9110</v>
      </c>
      <c r="B3305" s="2" t="s">
        <v>7433</v>
      </c>
      <c r="C3305" s="8">
        <v>46271</v>
      </c>
      <c r="D3305" s="6">
        <v>46266</v>
      </c>
      <c r="E3305" s="2" t="s">
        <v>260</v>
      </c>
      <c r="F3305" s="2" t="s">
        <v>9108</v>
      </c>
      <c r="G3305" s="6">
        <v>46204</v>
      </c>
      <c r="H3305" s="2" t="s">
        <v>176</v>
      </c>
      <c r="I3305" s="2" t="s">
        <v>70</v>
      </c>
      <c r="J3305" s="9">
        <v>8564.8358659999994</v>
      </c>
      <c r="K3305" s="7">
        <v>0.65100000000000002</v>
      </c>
      <c r="L3305" s="9">
        <v>5575.71</v>
      </c>
      <c r="M3305" s="9">
        <v>5635.66</v>
      </c>
      <c r="N3305" s="9">
        <v>3.07</v>
      </c>
      <c r="O3305" s="10">
        <f>IF(AND(OR(H3305="APPROVED",H3305="SCHEDULED"),COUNTIFS(tblSource[EventID],F3305,tblSource[ReleaseStatus],"APPROVED")=1,COUNTIFS(Period_Status!$A$2:$A$8,G3305,Period_Status!$B$2:$B$8,"ActualClosed")=1,C3305&gt;EOMONTH(Settlement_Bridge!$C$2,0)),1,0)</f>
        <v>1</v>
      </c>
      <c r="P3305" s="2" t="s">
        <v>9111</v>
      </c>
    </row>
    <row r="3306" spans="1:16" x14ac:dyDescent="0.25">
      <c r="A3306" s="2" t="s">
        <v>9112</v>
      </c>
      <c r="B3306" s="2" t="s">
        <v>7433</v>
      </c>
      <c r="C3306" s="8">
        <v>46247</v>
      </c>
      <c r="D3306" s="6">
        <v>46235</v>
      </c>
      <c r="E3306" s="2" t="s">
        <v>260</v>
      </c>
      <c r="F3306" s="2" t="s">
        <v>9113</v>
      </c>
      <c r="G3306" s="6">
        <v>46204</v>
      </c>
      <c r="H3306" s="2" t="s">
        <v>71</v>
      </c>
      <c r="I3306" s="2" t="s">
        <v>39</v>
      </c>
      <c r="J3306" s="9">
        <v>3867.8319999999999</v>
      </c>
      <c r="K3306" s="7">
        <v>1</v>
      </c>
      <c r="L3306" s="9">
        <v>3867.83</v>
      </c>
      <c r="M3306" s="9">
        <v>3867.83</v>
      </c>
      <c r="N3306" s="9">
        <v>2.13</v>
      </c>
      <c r="O3306" s="10">
        <f>IF(AND(OR(H3306="APPROVED",H3306="SCHEDULED"),COUNTIFS(tblSource[EventID],F3306,tblSource[ReleaseStatus],"APPROVED")=1,COUNTIFS(Period_Status!$A$2:$A$8,G3306,Period_Status!$B$2:$B$8,"ActualClosed")=1,C3306&gt;EOMONTH(Settlement_Bridge!$C$2,0)),1,0)</f>
        <v>1</v>
      </c>
      <c r="P3306" s="2" t="s">
        <v>9114</v>
      </c>
    </row>
    <row r="3307" spans="1:16" x14ac:dyDescent="0.25">
      <c r="A3307" s="2" t="s">
        <v>9115</v>
      </c>
      <c r="B3307" s="2" t="s">
        <v>7433</v>
      </c>
      <c r="C3307" s="8">
        <v>46272</v>
      </c>
      <c r="D3307" s="6">
        <v>46266</v>
      </c>
      <c r="E3307" s="2" t="s">
        <v>260</v>
      </c>
      <c r="F3307" s="2" t="s">
        <v>9113</v>
      </c>
      <c r="G3307" s="6">
        <v>46204</v>
      </c>
      <c r="H3307" s="2" t="s">
        <v>176</v>
      </c>
      <c r="I3307" s="2" t="s">
        <v>39</v>
      </c>
      <c r="J3307" s="9">
        <v>5801.7479999999996</v>
      </c>
      <c r="K3307" s="7">
        <v>1</v>
      </c>
      <c r="L3307" s="9">
        <v>5801.75</v>
      </c>
      <c r="M3307" s="9">
        <v>5801.75</v>
      </c>
      <c r="N3307" s="9">
        <v>3.19</v>
      </c>
      <c r="O3307" s="10">
        <f>IF(AND(OR(H3307="APPROVED",H3307="SCHEDULED"),COUNTIFS(tblSource[EventID],F3307,tblSource[ReleaseStatus],"APPROVED")=1,COUNTIFS(Period_Status!$A$2:$A$8,G3307,Period_Status!$B$2:$B$8,"ActualClosed")=1,C3307&gt;EOMONTH(Settlement_Bridge!$C$2,0)),1,0)</f>
        <v>1</v>
      </c>
      <c r="P3307" s="2" t="s">
        <v>9116</v>
      </c>
    </row>
    <row r="3308" spans="1:16" x14ac:dyDescent="0.25">
      <c r="A3308" s="2" t="s">
        <v>9117</v>
      </c>
      <c r="B3308" s="2" t="s">
        <v>7433</v>
      </c>
      <c r="C3308" s="8">
        <v>46248</v>
      </c>
      <c r="D3308" s="6">
        <v>46235</v>
      </c>
      <c r="E3308" s="2" t="s">
        <v>260</v>
      </c>
      <c r="F3308" s="2" t="s">
        <v>9118</v>
      </c>
      <c r="G3308" s="6">
        <v>46204</v>
      </c>
      <c r="H3308" s="2" t="s">
        <v>71</v>
      </c>
      <c r="I3308" s="2" t="s">
        <v>76</v>
      </c>
      <c r="J3308" s="9">
        <v>64170322.580645002</v>
      </c>
      <c r="K3308" s="7">
        <v>6.1500000000000004E-5</v>
      </c>
      <c r="L3308" s="9">
        <v>3946.47</v>
      </c>
      <c r="M3308" s="9">
        <v>3978.56</v>
      </c>
      <c r="N3308" s="9">
        <v>2.17</v>
      </c>
      <c r="O3308" s="10">
        <f>IF(AND(OR(H3308="APPROVED",H3308="SCHEDULED"),COUNTIFS(tblSource[EventID],F3308,tblSource[ReleaseStatus],"APPROVED")=1,COUNTIFS(Period_Status!$A$2:$A$8,G3308,Period_Status!$B$2:$B$8,"ActualClosed")=1,C3308&gt;EOMONTH(Settlement_Bridge!$C$2,0)),1,0)</f>
        <v>1</v>
      </c>
      <c r="P3308" s="2" t="s">
        <v>9119</v>
      </c>
    </row>
    <row r="3309" spans="1:16" x14ac:dyDescent="0.25">
      <c r="A3309" s="2" t="s">
        <v>9120</v>
      </c>
      <c r="B3309" s="2" t="s">
        <v>7433</v>
      </c>
      <c r="C3309" s="8">
        <v>46273</v>
      </c>
      <c r="D3309" s="6">
        <v>46266</v>
      </c>
      <c r="E3309" s="2" t="s">
        <v>260</v>
      </c>
      <c r="F3309" s="2" t="s">
        <v>9118</v>
      </c>
      <c r="G3309" s="6">
        <v>46204</v>
      </c>
      <c r="H3309" s="2" t="s">
        <v>176</v>
      </c>
      <c r="I3309" s="2" t="s">
        <v>76</v>
      </c>
      <c r="J3309" s="9">
        <v>96255483.870967999</v>
      </c>
      <c r="K3309" s="7">
        <v>6.1299999999999999E-5</v>
      </c>
      <c r="L3309" s="9">
        <v>5900.46</v>
      </c>
      <c r="M3309" s="9">
        <v>5967.84</v>
      </c>
      <c r="N3309" s="9">
        <v>3.25</v>
      </c>
      <c r="O3309" s="10">
        <f>IF(AND(OR(H3309="APPROVED",H3309="SCHEDULED"),COUNTIFS(tblSource[EventID],F3309,tblSource[ReleaseStatus],"APPROVED")=1,COUNTIFS(Period_Status!$A$2:$A$8,G3309,Period_Status!$B$2:$B$8,"ActualClosed")=1,C3309&gt;EOMONTH(Settlement_Bridge!$C$2,0)),1,0)</f>
        <v>1</v>
      </c>
      <c r="P3309" s="2" t="s">
        <v>9121</v>
      </c>
    </row>
    <row r="3310" spans="1:16" x14ac:dyDescent="0.25">
      <c r="A3310" s="2" t="s">
        <v>9122</v>
      </c>
      <c r="B3310" s="2" t="s">
        <v>7433</v>
      </c>
      <c r="C3310" s="8">
        <v>46218</v>
      </c>
      <c r="D3310" s="6">
        <v>46204</v>
      </c>
      <c r="E3310" s="2" t="s">
        <v>260</v>
      </c>
      <c r="F3310" s="2" t="s">
        <v>9123</v>
      </c>
      <c r="G3310" s="6">
        <v>46204</v>
      </c>
      <c r="H3310" s="2" t="s">
        <v>71</v>
      </c>
      <c r="I3310" s="2" t="s">
        <v>70</v>
      </c>
      <c r="J3310" s="9">
        <v>6214.7173249999996</v>
      </c>
      <c r="K3310" s="7">
        <v>0.65800000000000003</v>
      </c>
      <c r="L3310" s="9">
        <v>4089.28</v>
      </c>
      <c r="M3310" s="9">
        <v>4089.28</v>
      </c>
      <c r="N3310" s="9">
        <v>2.25</v>
      </c>
      <c r="O3310" s="10">
        <f>IF(AND(OR(H3310="APPROVED",H3310="SCHEDULED"),COUNTIFS(tblSource[EventID],F3310,tblSource[ReleaseStatus],"APPROVED")=1,COUNTIFS(Period_Status!$A$2:$A$8,G3310,Period_Status!$B$2:$B$8,"ActualClosed")=1,C3310&gt;EOMONTH(Settlement_Bridge!$C$2,0)),1,0)</f>
        <v>0</v>
      </c>
      <c r="P3310" s="2" t="s">
        <v>9124</v>
      </c>
    </row>
    <row r="3311" spans="1:16" x14ac:dyDescent="0.25">
      <c r="A3311" s="2" t="s">
        <v>9125</v>
      </c>
      <c r="B3311" s="2" t="s">
        <v>7433</v>
      </c>
      <c r="C3311" s="8">
        <v>46243</v>
      </c>
      <c r="D3311" s="6">
        <v>46235</v>
      </c>
      <c r="E3311" s="2" t="s">
        <v>260</v>
      </c>
      <c r="F3311" s="2" t="s">
        <v>9123</v>
      </c>
      <c r="G3311" s="6">
        <v>46204</v>
      </c>
      <c r="H3311" s="2" t="s">
        <v>71</v>
      </c>
      <c r="I3311" s="2" t="s">
        <v>70</v>
      </c>
      <c r="J3311" s="9">
        <v>9322.0759880000005</v>
      </c>
      <c r="K3311" s="7">
        <v>0.65</v>
      </c>
      <c r="L3311" s="9">
        <v>6059.35</v>
      </c>
      <c r="M3311" s="9">
        <v>6133.93</v>
      </c>
      <c r="N3311" s="9">
        <v>3.33</v>
      </c>
      <c r="O3311" s="10">
        <f>IF(AND(OR(H3311="APPROVED",H3311="SCHEDULED"),COUNTIFS(tblSource[EventID],F3311,tblSource[ReleaseStatus],"APPROVED")=1,COUNTIFS(Period_Status!$A$2:$A$8,G3311,Period_Status!$B$2:$B$8,"ActualClosed")=1,C3311&gt;EOMONTH(Settlement_Bridge!$C$2,0)),1,0)</f>
        <v>1</v>
      </c>
      <c r="P3311" s="2" t="s">
        <v>9126</v>
      </c>
    </row>
    <row r="3312" spans="1:16" x14ac:dyDescent="0.25">
      <c r="A3312" s="2" t="s">
        <v>9127</v>
      </c>
      <c r="B3312" s="2" t="s">
        <v>7433</v>
      </c>
      <c r="C3312" s="8">
        <v>46219</v>
      </c>
      <c r="D3312" s="6">
        <v>46204</v>
      </c>
      <c r="E3312" s="2" t="s">
        <v>260</v>
      </c>
      <c r="F3312" s="2" t="s">
        <v>9128</v>
      </c>
      <c r="G3312" s="6">
        <v>46204</v>
      </c>
      <c r="H3312" s="2" t="s">
        <v>71</v>
      </c>
      <c r="I3312" s="2" t="s">
        <v>39</v>
      </c>
      <c r="J3312" s="9">
        <v>4200.0119999999997</v>
      </c>
      <c r="K3312" s="7">
        <v>1</v>
      </c>
      <c r="L3312" s="9">
        <v>4200.01</v>
      </c>
      <c r="M3312" s="9">
        <v>4200.01</v>
      </c>
      <c r="N3312" s="9">
        <v>2.31</v>
      </c>
      <c r="O3312" s="10">
        <f>IF(AND(OR(H3312="APPROVED",H3312="SCHEDULED"),COUNTIFS(tblSource[EventID],F3312,tblSource[ReleaseStatus],"APPROVED")=1,COUNTIFS(Period_Status!$A$2:$A$8,G3312,Period_Status!$B$2:$B$8,"ActualClosed")=1,C3312&gt;EOMONTH(Settlement_Bridge!$C$2,0)),1,0)</f>
        <v>0</v>
      </c>
      <c r="P3312" s="2" t="s">
        <v>9129</v>
      </c>
    </row>
    <row r="3313" spans="1:16" x14ac:dyDescent="0.25">
      <c r="A3313" s="2" t="s">
        <v>9130</v>
      </c>
      <c r="B3313" s="2" t="s">
        <v>7433</v>
      </c>
      <c r="C3313" s="8">
        <v>46244</v>
      </c>
      <c r="D3313" s="6">
        <v>46235</v>
      </c>
      <c r="E3313" s="2" t="s">
        <v>260</v>
      </c>
      <c r="F3313" s="2" t="s">
        <v>9128</v>
      </c>
      <c r="G3313" s="6">
        <v>46204</v>
      </c>
      <c r="H3313" s="2" t="s">
        <v>71</v>
      </c>
      <c r="I3313" s="2" t="s">
        <v>39</v>
      </c>
      <c r="J3313" s="9">
        <v>6300.018</v>
      </c>
      <c r="K3313" s="7">
        <v>1</v>
      </c>
      <c r="L3313" s="9">
        <v>6300.02</v>
      </c>
      <c r="M3313" s="9">
        <v>6300.02</v>
      </c>
      <c r="N3313" s="9">
        <v>3.47</v>
      </c>
      <c r="O3313" s="10">
        <f>IF(AND(OR(H3313="APPROVED",H3313="SCHEDULED"),COUNTIFS(tblSource[EventID],F3313,tblSource[ReleaseStatus],"APPROVED")=1,COUNTIFS(Period_Status!$A$2:$A$8,G3313,Period_Status!$B$2:$B$8,"ActualClosed")=1,C3313&gt;EOMONTH(Settlement_Bridge!$C$2,0)),1,0)</f>
        <v>1</v>
      </c>
      <c r="P3313" s="2" t="s">
        <v>9131</v>
      </c>
    </row>
    <row r="3314" spans="1:16" x14ac:dyDescent="0.25">
      <c r="A3314" s="2" t="s">
        <v>9132</v>
      </c>
      <c r="B3314" s="2" t="s">
        <v>7433</v>
      </c>
      <c r="C3314" s="8">
        <v>46220</v>
      </c>
      <c r="D3314" s="6">
        <v>46204</v>
      </c>
      <c r="E3314" s="2" t="s">
        <v>260</v>
      </c>
      <c r="F3314" s="2" t="s">
        <v>9133</v>
      </c>
      <c r="G3314" s="6">
        <v>46204</v>
      </c>
      <c r="H3314" s="2" t="s">
        <v>71</v>
      </c>
      <c r="I3314" s="2" t="s">
        <v>76</v>
      </c>
      <c r="J3314" s="9">
        <v>69528064.516129002</v>
      </c>
      <c r="K3314" s="7">
        <v>6.2000000000000003E-5</v>
      </c>
      <c r="L3314" s="9">
        <v>4310.74</v>
      </c>
      <c r="M3314" s="9">
        <v>4310.74</v>
      </c>
      <c r="N3314" s="9">
        <v>2.37</v>
      </c>
      <c r="O3314" s="10">
        <f>IF(AND(OR(H3314="APPROVED",H3314="SCHEDULED"),COUNTIFS(tblSource[EventID],F3314,tblSource[ReleaseStatus],"APPROVED")=1,COUNTIFS(Period_Status!$A$2:$A$8,G3314,Period_Status!$B$2:$B$8,"ActualClosed")=1,C3314&gt;EOMONTH(Settlement_Bridge!$C$2,0)),1,0)</f>
        <v>0</v>
      </c>
      <c r="P3314" s="2" t="s">
        <v>9134</v>
      </c>
    </row>
    <row r="3315" spans="1:16" x14ac:dyDescent="0.25">
      <c r="A3315" s="2" t="s">
        <v>9135</v>
      </c>
      <c r="B3315" s="2" t="s">
        <v>7433</v>
      </c>
      <c r="C3315" s="8">
        <v>46245</v>
      </c>
      <c r="D3315" s="6">
        <v>46235</v>
      </c>
      <c r="E3315" s="2" t="s">
        <v>260</v>
      </c>
      <c r="F3315" s="2" t="s">
        <v>9133</v>
      </c>
      <c r="G3315" s="6">
        <v>46204</v>
      </c>
      <c r="H3315" s="2" t="s">
        <v>71</v>
      </c>
      <c r="I3315" s="2" t="s">
        <v>76</v>
      </c>
      <c r="J3315" s="9">
        <v>104292096.774194</v>
      </c>
      <c r="K3315" s="7">
        <v>6.1500000000000004E-5</v>
      </c>
      <c r="L3315" s="9">
        <v>6413.96</v>
      </c>
      <c r="M3315" s="9">
        <v>6466.11</v>
      </c>
      <c r="N3315" s="9">
        <v>3.53</v>
      </c>
      <c r="O3315" s="10">
        <f>IF(AND(OR(H3315="APPROVED",H3315="SCHEDULED"),COUNTIFS(tblSource[EventID],F3315,tblSource[ReleaseStatus],"APPROVED")=1,COUNTIFS(Period_Status!$A$2:$A$8,G3315,Period_Status!$B$2:$B$8,"ActualClosed")=1,C3315&gt;EOMONTH(Settlement_Bridge!$C$2,0)),1,0)</f>
        <v>1</v>
      </c>
      <c r="P3315" s="2" t="s">
        <v>9136</v>
      </c>
    </row>
    <row r="3316" spans="1:16" x14ac:dyDescent="0.25">
      <c r="A3316" s="2" t="s">
        <v>9137</v>
      </c>
      <c r="B3316" s="2" t="s">
        <v>7433</v>
      </c>
      <c r="C3316" s="8">
        <v>46221</v>
      </c>
      <c r="D3316" s="6">
        <v>46204</v>
      </c>
      <c r="E3316" s="2" t="s">
        <v>260</v>
      </c>
      <c r="F3316" s="2" t="s">
        <v>9138</v>
      </c>
      <c r="G3316" s="6">
        <v>46204</v>
      </c>
      <c r="H3316" s="2" t="s">
        <v>71</v>
      </c>
      <c r="I3316" s="2" t="s">
        <v>70</v>
      </c>
      <c r="J3316" s="9">
        <v>6719.5501519999998</v>
      </c>
      <c r="K3316" s="7">
        <v>0.65800000000000003</v>
      </c>
      <c r="L3316" s="9">
        <v>4421.46</v>
      </c>
      <c r="M3316" s="9">
        <v>4421.46</v>
      </c>
      <c r="N3316" s="9">
        <v>2.4300000000000002</v>
      </c>
      <c r="O3316" s="10">
        <f>IF(AND(OR(H3316="APPROVED",H3316="SCHEDULED"),COUNTIFS(tblSource[EventID],F3316,tblSource[ReleaseStatus],"APPROVED")=1,COUNTIFS(Period_Status!$A$2:$A$8,G3316,Period_Status!$B$2:$B$8,"ActualClosed")=1,C3316&gt;EOMONTH(Settlement_Bridge!$C$2,0)),1,0)</f>
        <v>0</v>
      </c>
      <c r="P3316" s="2" t="s">
        <v>9139</v>
      </c>
    </row>
    <row r="3317" spans="1:16" x14ac:dyDescent="0.25">
      <c r="A3317" s="2" t="s">
        <v>9140</v>
      </c>
      <c r="B3317" s="2" t="s">
        <v>7433</v>
      </c>
      <c r="C3317" s="8">
        <v>46246</v>
      </c>
      <c r="D3317" s="6">
        <v>46235</v>
      </c>
      <c r="E3317" s="2" t="s">
        <v>260</v>
      </c>
      <c r="F3317" s="2" t="s">
        <v>9138</v>
      </c>
      <c r="G3317" s="6">
        <v>46204</v>
      </c>
      <c r="H3317" s="2" t="s">
        <v>71</v>
      </c>
      <c r="I3317" s="2" t="s">
        <v>70</v>
      </c>
      <c r="J3317" s="9">
        <v>10079.325228</v>
      </c>
      <c r="K3317" s="7">
        <v>0.65</v>
      </c>
      <c r="L3317" s="9">
        <v>6551.56</v>
      </c>
      <c r="M3317" s="9">
        <v>6632.2</v>
      </c>
      <c r="N3317" s="9">
        <v>3.6</v>
      </c>
      <c r="O3317" s="10">
        <f>IF(AND(OR(H3317="APPROVED",H3317="SCHEDULED"),COUNTIFS(tblSource[EventID],F3317,tblSource[ReleaseStatus],"APPROVED")=1,COUNTIFS(Period_Status!$A$2:$A$8,G3317,Period_Status!$B$2:$B$8,"ActualClosed")=1,C3317&gt;EOMONTH(Settlement_Bridge!$C$2,0)),1,0)</f>
        <v>1</v>
      </c>
      <c r="P3317" s="2" t="s">
        <v>9141</v>
      </c>
    </row>
    <row r="3318" spans="1:16" x14ac:dyDescent="0.25">
      <c r="A3318" s="2" t="s">
        <v>9142</v>
      </c>
      <c r="B3318" s="2" t="s">
        <v>7433</v>
      </c>
      <c r="C3318" s="8">
        <v>46222</v>
      </c>
      <c r="D3318" s="6">
        <v>46204</v>
      </c>
      <c r="E3318" s="2" t="s">
        <v>260</v>
      </c>
      <c r="F3318" s="2" t="s">
        <v>9143</v>
      </c>
      <c r="G3318" s="6">
        <v>46204</v>
      </c>
      <c r="H3318" s="2" t="s">
        <v>71</v>
      </c>
      <c r="I3318" s="2" t="s">
        <v>39</v>
      </c>
      <c r="J3318" s="9">
        <v>4532.192</v>
      </c>
      <c r="K3318" s="7">
        <v>1</v>
      </c>
      <c r="L3318" s="9">
        <v>4532.1899999999996</v>
      </c>
      <c r="M3318" s="9">
        <v>4532.1899999999996</v>
      </c>
      <c r="N3318" s="9">
        <v>2.4900000000000002</v>
      </c>
      <c r="O3318" s="10">
        <f>IF(AND(OR(H3318="APPROVED",H3318="SCHEDULED"),COUNTIFS(tblSource[EventID],F3318,tblSource[ReleaseStatus],"APPROVED")=1,COUNTIFS(Period_Status!$A$2:$A$8,G3318,Period_Status!$B$2:$B$8,"ActualClosed")=1,C3318&gt;EOMONTH(Settlement_Bridge!$C$2,0)),1,0)</f>
        <v>0</v>
      </c>
      <c r="P3318" s="2" t="s">
        <v>9144</v>
      </c>
    </row>
    <row r="3319" spans="1:16" x14ac:dyDescent="0.25">
      <c r="A3319" s="2" t="s">
        <v>9145</v>
      </c>
      <c r="B3319" s="2" t="s">
        <v>7433</v>
      </c>
      <c r="C3319" s="8">
        <v>46247</v>
      </c>
      <c r="D3319" s="6">
        <v>46235</v>
      </c>
      <c r="E3319" s="2" t="s">
        <v>260</v>
      </c>
      <c r="F3319" s="2" t="s">
        <v>9143</v>
      </c>
      <c r="G3319" s="6">
        <v>46204</v>
      </c>
      <c r="H3319" s="2" t="s">
        <v>71</v>
      </c>
      <c r="I3319" s="2" t="s">
        <v>39</v>
      </c>
      <c r="J3319" s="9">
        <v>6798.2879999999996</v>
      </c>
      <c r="K3319" s="7">
        <v>1</v>
      </c>
      <c r="L3319" s="9">
        <v>6798.29</v>
      </c>
      <c r="M3319" s="9">
        <v>6798.29</v>
      </c>
      <c r="N3319" s="9">
        <v>3.74</v>
      </c>
      <c r="O3319" s="10">
        <f>IF(AND(OR(H3319="APPROVED",H3319="SCHEDULED"),COUNTIFS(tblSource[EventID],F3319,tblSource[ReleaseStatus],"APPROVED")=1,COUNTIFS(Period_Status!$A$2:$A$8,G3319,Period_Status!$B$2:$B$8,"ActualClosed")=1,C3319&gt;EOMONTH(Settlement_Bridge!$C$2,0)),1,0)</f>
        <v>1</v>
      </c>
      <c r="P3319" s="2" t="s">
        <v>9146</v>
      </c>
    </row>
    <row r="3320" spans="1:16" x14ac:dyDescent="0.25">
      <c r="A3320" s="2" t="s">
        <v>9147</v>
      </c>
      <c r="B3320" s="2" t="s">
        <v>7433</v>
      </c>
      <c r="C3320" s="8">
        <v>46223</v>
      </c>
      <c r="D3320" s="6">
        <v>46204</v>
      </c>
      <c r="E3320" s="2" t="s">
        <v>260</v>
      </c>
      <c r="F3320" s="2" t="s">
        <v>9148</v>
      </c>
      <c r="G3320" s="6">
        <v>46204</v>
      </c>
      <c r="H3320" s="2" t="s">
        <v>71</v>
      </c>
      <c r="I3320" s="2" t="s">
        <v>76</v>
      </c>
      <c r="J3320" s="9">
        <v>74885806.451612994</v>
      </c>
      <c r="K3320" s="7">
        <v>6.2000000000000003E-5</v>
      </c>
      <c r="L3320" s="9">
        <v>4642.92</v>
      </c>
      <c r="M3320" s="9">
        <v>4642.92</v>
      </c>
      <c r="N3320" s="9">
        <v>2.5499999999999998</v>
      </c>
      <c r="O3320" s="10">
        <f>IF(AND(OR(H3320="APPROVED",H3320="SCHEDULED"),COUNTIFS(tblSource[EventID],F3320,tblSource[ReleaseStatus],"APPROVED")=1,COUNTIFS(Period_Status!$A$2:$A$8,G3320,Period_Status!$B$2:$B$8,"ActualClosed")=1,C3320&gt;EOMONTH(Settlement_Bridge!$C$2,0)),1,0)</f>
        <v>0</v>
      </c>
      <c r="P3320" s="2" t="s">
        <v>9149</v>
      </c>
    </row>
    <row r="3321" spans="1:16" x14ac:dyDescent="0.25">
      <c r="A3321" s="2" t="s">
        <v>9150</v>
      </c>
      <c r="B3321" s="2" t="s">
        <v>7433</v>
      </c>
      <c r="C3321" s="8">
        <v>46248</v>
      </c>
      <c r="D3321" s="6">
        <v>46235</v>
      </c>
      <c r="E3321" s="2" t="s">
        <v>260</v>
      </c>
      <c r="F3321" s="2" t="s">
        <v>9148</v>
      </c>
      <c r="G3321" s="6">
        <v>46204</v>
      </c>
      <c r="H3321" s="2" t="s">
        <v>71</v>
      </c>
      <c r="I3321" s="2" t="s">
        <v>76</v>
      </c>
      <c r="J3321" s="9">
        <v>112328709.67741901</v>
      </c>
      <c r="K3321" s="7">
        <v>6.1500000000000004E-5</v>
      </c>
      <c r="L3321" s="9">
        <v>6908.22</v>
      </c>
      <c r="M3321" s="9">
        <v>6964.38</v>
      </c>
      <c r="N3321" s="9">
        <v>3.8</v>
      </c>
      <c r="O3321" s="10">
        <f>IF(AND(OR(H3321="APPROVED",H3321="SCHEDULED"),COUNTIFS(tblSource[EventID],F3321,tblSource[ReleaseStatus],"APPROVED")=1,COUNTIFS(Period_Status!$A$2:$A$8,G3321,Period_Status!$B$2:$B$8,"ActualClosed")=1,C3321&gt;EOMONTH(Settlement_Bridge!$C$2,0)),1,0)</f>
        <v>1</v>
      </c>
      <c r="P3321" s="2" t="s">
        <v>9151</v>
      </c>
    </row>
    <row r="3322" spans="1:16" x14ac:dyDescent="0.25">
      <c r="A3322" s="2" t="s">
        <v>9152</v>
      </c>
      <c r="B3322" s="2" t="s">
        <v>7433</v>
      </c>
      <c r="C3322" s="8">
        <v>46224</v>
      </c>
      <c r="D3322" s="6">
        <v>46204</v>
      </c>
      <c r="E3322" s="2" t="s">
        <v>260</v>
      </c>
      <c r="F3322" s="2" t="s">
        <v>9153</v>
      </c>
      <c r="G3322" s="6">
        <v>46204</v>
      </c>
      <c r="H3322" s="2" t="s">
        <v>71</v>
      </c>
      <c r="I3322" s="2" t="s">
        <v>70</v>
      </c>
      <c r="J3322" s="9">
        <v>7224.382979</v>
      </c>
      <c r="K3322" s="7">
        <v>0.65800000000000003</v>
      </c>
      <c r="L3322" s="9">
        <v>4753.6400000000003</v>
      </c>
      <c r="M3322" s="9">
        <v>4753.6400000000003</v>
      </c>
      <c r="N3322" s="9">
        <v>2.61</v>
      </c>
      <c r="O3322" s="10">
        <f>IF(AND(OR(H3322="APPROVED",H3322="SCHEDULED"),COUNTIFS(tblSource[EventID],F3322,tblSource[ReleaseStatus],"APPROVED")=1,COUNTIFS(Period_Status!$A$2:$A$8,G3322,Period_Status!$B$2:$B$8,"ActualClosed")=1,C3322&gt;EOMONTH(Settlement_Bridge!$C$2,0)),1,0)</f>
        <v>0</v>
      </c>
      <c r="P3322" s="2" t="s">
        <v>9154</v>
      </c>
    </row>
    <row r="3323" spans="1:16" x14ac:dyDescent="0.25">
      <c r="A3323" s="2" t="s">
        <v>9155</v>
      </c>
      <c r="B3323" s="2" t="s">
        <v>7433</v>
      </c>
      <c r="C3323" s="8">
        <v>46249</v>
      </c>
      <c r="D3323" s="6">
        <v>46235</v>
      </c>
      <c r="E3323" s="2" t="s">
        <v>260</v>
      </c>
      <c r="F3323" s="2" t="s">
        <v>9153</v>
      </c>
      <c r="G3323" s="6">
        <v>46204</v>
      </c>
      <c r="H3323" s="2" t="s">
        <v>71</v>
      </c>
      <c r="I3323" s="2" t="s">
        <v>70</v>
      </c>
      <c r="J3323" s="9">
        <v>10836.574468000001</v>
      </c>
      <c r="K3323" s="7">
        <v>0.65</v>
      </c>
      <c r="L3323" s="9">
        <v>7043.77</v>
      </c>
      <c r="M3323" s="9">
        <v>7130.47</v>
      </c>
      <c r="N3323" s="9">
        <v>3.87</v>
      </c>
      <c r="O3323" s="10">
        <f>IF(AND(OR(H3323="APPROVED",H3323="SCHEDULED"),COUNTIFS(tblSource[EventID],F3323,tblSource[ReleaseStatus],"APPROVED")=1,COUNTIFS(Period_Status!$A$2:$A$8,G3323,Period_Status!$B$2:$B$8,"ActualClosed")=1,C3323&gt;EOMONTH(Settlement_Bridge!$C$2,0)),1,0)</f>
        <v>1</v>
      </c>
      <c r="P3323" s="2" t="s">
        <v>9156</v>
      </c>
    </row>
    <row r="3324" spans="1:16" x14ac:dyDescent="0.25">
      <c r="A3324" s="2" t="s">
        <v>9157</v>
      </c>
      <c r="B3324" s="2" t="s">
        <v>7433</v>
      </c>
      <c r="C3324" s="8">
        <v>46225</v>
      </c>
      <c r="D3324" s="6">
        <v>46204</v>
      </c>
      <c r="E3324" s="2" t="s">
        <v>260</v>
      </c>
      <c r="F3324" s="2" t="s">
        <v>9158</v>
      </c>
      <c r="G3324" s="6">
        <v>46204</v>
      </c>
      <c r="H3324" s="2" t="s">
        <v>71</v>
      </c>
      <c r="I3324" s="2" t="s">
        <v>39</v>
      </c>
      <c r="J3324" s="9">
        <v>4864.3720000000003</v>
      </c>
      <c r="K3324" s="7">
        <v>1</v>
      </c>
      <c r="L3324" s="9">
        <v>4864.37</v>
      </c>
      <c r="M3324" s="9">
        <v>4864.37</v>
      </c>
      <c r="N3324" s="9">
        <v>2.68</v>
      </c>
      <c r="O3324" s="10">
        <f>IF(AND(OR(H3324="APPROVED",H3324="SCHEDULED"),COUNTIFS(tblSource[EventID],F3324,tblSource[ReleaseStatus],"APPROVED")=1,COUNTIFS(Period_Status!$A$2:$A$8,G3324,Period_Status!$B$2:$B$8,"ActualClosed")=1,C3324&gt;EOMONTH(Settlement_Bridge!$C$2,0)),1,0)</f>
        <v>0</v>
      </c>
      <c r="P3324" s="2" t="s">
        <v>9159</v>
      </c>
    </row>
    <row r="3325" spans="1:16" x14ac:dyDescent="0.25">
      <c r="A3325" s="2" t="s">
        <v>9160</v>
      </c>
      <c r="B3325" s="2" t="s">
        <v>7433</v>
      </c>
      <c r="C3325" s="8">
        <v>46250</v>
      </c>
      <c r="D3325" s="6">
        <v>46235</v>
      </c>
      <c r="E3325" s="2" t="s">
        <v>260</v>
      </c>
      <c r="F3325" s="2" t="s">
        <v>9158</v>
      </c>
      <c r="G3325" s="6">
        <v>46204</v>
      </c>
      <c r="H3325" s="2" t="s">
        <v>71</v>
      </c>
      <c r="I3325" s="2" t="s">
        <v>39</v>
      </c>
      <c r="J3325" s="9">
        <v>7296.558</v>
      </c>
      <c r="K3325" s="7">
        <v>1</v>
      </c>
      <c r="L3325" s="9">
        <v>7296.56</v>
      </c>
      <c r="M3325" s="9">
        <v>7296.56</v>
      </c>
      <c r="N3325" s="9">
        <v>4.01</v>
      </c>
      <c r="O3325" s="10">
        <f>IF(AND(OR(H3325="APPROVED",H3325="SCHEDULED"),COUNTIFS(tblSource[EventID],F3325,tblSource[ReleaseStatus],"APPROVED")=1,COUNTIFS(Period_Status!$A$2:$A$8,G3325,Period_Status!$B$2:$B$8,"ActualClosed")=1,C3325&gt;EOMONTH(Settlement_Bridge!$C$2,0)),1,0)</f>
        <v>1</v>
      </c>
      <c r="P3325" s="2" t="s">
        <v>9161</v>
      </c>
    </row>
    <row r="3326" spans="1:16" x14ac:dyDescent="0.25">
      <c r="A3326" s="2" t="s">
        <v>9162</v>
      </c>
      <c r="B3326" s="2" t="s">
        <v>7433</v>
      </c>
      <c r="C3326" s="8">
        <v>46226</v>
      </c>
      <c r="D3326" s="6">
        <v>46204</v>
      </c>
      <c r="E3326" s="2" t="s">
        <v>260</v>
      </c>
      <c r="F3326" s="2" t="s">
        <v>9163</v>
      </c>
      <c r="G3326" s="6">
        <v>46204</v>
      </c>
      <c r="H3326" s="2" t="s">
        <v>71</v>
      </c>
      <c r="I3326" s="2" t="s">
        <v>76</v>
      </c>
      <c r="J3326" s="9">
        <v>80243483.870967999</v>
      </c>
      <c r="K3326" s="7">
        <v>6.2000000000000003E-5</v>
      </c>
      <c r="L3326" s="9">
        <v>4975.1000000000004</v>
      </c>
      <c r="M3326" s="9">
        <v>4975.1000000000004</v>
      </c>
      <c r="N3326" s="9">
        <v>2.74</v>
      </c>
      <c r="O3326" s="10">
        <f>IF(AND(OR(H3326="APPROVED",H3326="SCHEDULED"),COUNTIFS(tblSource[EventID],F3326,tblSource[ReleaseStatus],"APPROVED")=1,COUNTIFS(Period_Status!$A$2:$A$8,G3326,Period_Status!$B$2:$B$8,"ActualClosed")=1,C3326&gt;EOMONTH(Settlement_Bridge!$C$2,0)),1,0)</f>
        <v>0</v>
      </c>
      <c r="P3326" s="2" t="s">
        <v>9164</v>
      </c>
    </row>
    <row r="3327" spans="1:16" x14ac:dyDescent="0.25">
      <c r="A3327" s="2" t="s">
        <v>9165</v>
      </c>
      <c r="B3327" s="2" t="s">
        <v>7433</v>
      </c>
      <c r="C3327" s="8">
        <v>46251</v>
      </c>
      <c r="D3327" s="6">
        <v>46235</v>
      </c>
      <c r="E3327" s="2" t="s">
        <v>260</v>
      </c>
      <c r="F3327" s="2" t="s">
        <v>9163</v>
      </c>
      <c r="G3327" s="6">
        <v>46204</v>
      </c>
      <c r="H3327" s="2" t="s">
        <v>71</v>
      </c>
      <c r="I3327" s="2" t="s">
        <v>76</v>
      </c>
      <c r="J3327" s="9">
        <v>120365225.80645099</v>
      </c>
      <c r="K3327" s="7">
        <v>6.1500000000000004E-5</v>
      </c>
      <c r="L3327" s="9">
        <v>7402.46</v>
      </c>
      <c r="M3327" s="9">
        <v>7462.64</v>
      </c>
      <c r="N3327" s="9">
        <v>4.07</v>
      </c>
      <c r="O3327" s="10">
        <f>IF(AND(OR(H3327="APPROVED",H3327="SCHEDULED"),COUNTIFS(tblSource[EventID],F3327,tblSource[ReleaseStatus],"APPROVED")=1,COUNTIFS(Period_Status!$A$2:$A$8,G3327,Period_Status!$B$2:$B$8,"ActualClosed")=1,C3327&gt;EOMONTH(Settlement_Bridge!$C$2,0)),1,0)</f>
        <v>1</v>
      </c>
      <c r="P3327" s="2" t="s">
        <v>9166</v>
      </c>
    </row>
    <row r="3328" spans="1:16" x14ac:dyDescent="0.25">
      <c r="A3328" s="2" t="s">
        <v>9167</v>
      </c>
      <c r="B3328" s="2" t="s">
        <v>7433</v>
      </c>
      <c r="C3328" s="8">
        <v>46227</v>
      </c>
      <c r="D3328" s="6">
        <v>46204</v>
      </c>
      <c r="E3328" s="2" t="s">
        <v>260</v>
      </c>
      <c r="F3328" s="2" t="s">
        <v>9168</v>
      </c>
      <c r="G3328" s="6">
        <v>46204</v>
      </c>
      <c r="H3328" s="2" t="s">
        <v>71</v>
      </c>
      <c r="I3328" s="2" t="s">
        <v>70</v>
      </c>
      <c r="J3328" s="9">
        <v>7729.2158060000002</v>
      </c>
      <c r="K3328" s="7">
        <v>0.65800000000000003</v>
      </c>
      <c r="L3328" s="9">
        <v>5085.82</v>
      </c>
      <c r="M3328" s="9">
        <v>5085.82</v>
      </c>
      <c r="N3328" s="9">
        <v>2.8</v>
      </c>
      <c r="O3328" s="10">
        <f>IF(AND(OR(H3328="APPROVED",H3328="SCHEDULED"),COUNTIFS(tblSource[EventID],F3328,tblSource[ReleaseStatus],"APPROVED")=1,COUNTIFS(Period_Status!$A$2:$A$8,G3328,Period_Status!$B$2:$B$8,"ActualClosed")=1,C3328&gt;EOMONTH(Settlement_Bridge!$C$2,0)),1,0)</f>
        <v>0</v>
      </c>
      <c r="P3328" s="2" t="s">
        <v>9169</v>
      </c>
    </row>
    <row r="3329" spans="1:16" x14ac:dyDescent="0.25">
      <c r="A3329" s="2" t="s">
        <v>9170</v>
      </c>
      <c r="B3329" s="2" t="s">
        <v>7433</v>
      </c>
      <c r="C3329" s="8">
        <v>46252</v>
      </c>
      <c r="D3329" s="6">
        <v>46235</v>
      </c>
      <c r="E3329" s="2" t="s">
        <v>260</v>
      </c>
      <c r="F3329" s="2" t="s">
        <v>9168</v>
      </c>
      <c r="G3329" s="6">
        <v>46204</v>
      </c>
      <c r="H3329" s="2" t="s">
        <v>71</v>
      </c>
      <c r="I3329" s="2" t="s">
        <v>70</v>
      </c>
      <c r="J3329" s="9">
        <v>11593.823708</v>
      </c>
      <c r="K3329" s="7">
        <v>0.65</v>
      </c>
      <c r="L3329" s="9">
        <v>7535.99</v>
      </c>
      <c r="M3329" s="9">
        <v>7628.74</v>
      </c>
      <c r="N3329" s="9">
        <v>4.1399999999999997</v>
      </c>
      <c r="O3329" s="10">
        <f>IF(AND(OR(H3329="APPROVED",H3329="SCHEDULED"),COUNTIFS(tblSource[EventID],F3329,tblSource[ReleaseStatus],"APPROVED")=1,COUNTIFS(Period_Status!$A$2:$A$8,G3329,Period_Status!$B$2:$B$8,"ActualClosed")=1,C3329&gt;EOMONTH(Settlement_Bridge!$C$2,0)),1,0)</f>
        <v>1</v>
      </c>
      <c r="P3329" s="2" t="s">
        <v>9171</v>
      </c>
    </row>
    <row r="3330" spans="1:16" x14ac:dyDescent="0.25">
      <c r="A3330" s="2" t="s">
        <v>9172</v>
      </c>
      <c r="B3330" s="2" t="s">
        <v>7433</v>
      </c>
      <c r="C3330" s="8">
        <v>46228</v>
      </c>
      <c r="D3330" s="6">
        <v>46204</v>
      </c>
      <c r="E3330" s="2" t="s">
        <v>260</v>
      </c>
      <c r="F3330" s="2" t="s">
        <v>9173</v>
      </c>
      <c r="G3330" s="6">
        <v>46204</v>
      </c>
      <c r="H3330" s="2" t="s">
        <v>71</v>
      </c>
      <c r="I3330" s="2" t="s">
        <v>39</v>
      </c>
      <c r="J3330" s="9">
        <v>5196.5519999999997</v>
      </c>
      <c r="K3330" s="7">
        <v>1</v>
      </c>
      <c r="L3330" s="9">
        <v>5196.55</v>
      </c>
      <c r="M3330" s="9">
        <v>5196.55</v>
      </c>
      <c r="N3330" s="9">
        <v>2.86</v>
      </c>
      <c r="O3330" s="10">
        <f>IF(AND(OR(H3330="APPROVED",H3330="SCHEDULED"),COUNTIFS(tblSource[EventID],F3330,tblSource[ReleaseStatus],"APPROVED")=1,COUNTIFS(Period_Status!$A$2:$A$8,G3330,Period_Status!$B$2:$B$8,"ActualClosed")=1,C3330&gt;EOMONTH(Settlement_Bridge!$C$2,0)),1,0)</f>
        <v>0</v>
      </c>
      <c r="P3330" s="2" t="s">
        <v>9174</v>
      </c>
    </row>
    <row r="3331" spans="1:16" x14ac:dyDescent="0.25">
      <c r="A3331" s="2" t="s">
        <v>9175</v>
      </c>
      <c r="B3331" s="2" t="s">
        <v>7433</v>
      </c>
      <c r="C3331" s="8">
        <v>46253</v>
      </c>
      <c r="D3331" s="6">
        <v>46235</v>
      </c>
      <c r="E3331" s="2" t="s">
        <v>260</v>
      </c>
      <c r="F3331" s="2" t="s">
        <v>9173</v>
      </c>
      <c r="G3331" s="6">
        <v>46204</v>
      </c>
      <c r="H3331" s="2" t="s">
        <v>71</v>
      </c>
      <c r="I3331" s="2" t="s">
        <v>39</v>
      </c>
      <c r="J3331" s="9">
        <v>7794.8280000000004</v>
      </c>
      <c r="K3331" s="7">
        <v>1</v>
      </c>
      <c r="L3331" s="9">
        <v>7794.83</v>
      </c>
      <c r="M3331" s="9">
        <v>7794.83</v>
      </c>
      <c r="N3331" s="9">
        <v>4.29</v>
      </c>
      <c r="O3331" s="10">
        <f>IF(AND(OR(H3331="APPROVED",H3331="SCHEDULED"),COUNTIFS(tblSource[EventID],F3331,tblSource[ReleaseStatus],"APPROVED")=1,COUNTIFS(Period_Status!$A$2:$A$8,G3331,Period_Status!$B$2:$B$8,"ActualClosed")=1,C3331&gt;EOMONTH(Settlement_Bridge!$C$2,0)),1,0)</f>
        <v>1</v>
      </c>
      <c r="P3331" s="2" t="s">
        <v>9176</v>
      </c>
    </row>
    <row r="3332" spans="1:16" x14ac:dyDescent="0.25">
      <c r="A3332" s="2" t="s">
        <v>9177</v>
      </c>
      <c r="B3332" s="2" t="s">
        <v>7433</v>
      </c>
      <c r="C3332" s="8">
        <v>46229</v>
      </c>
      <c r="D3332" s="6">
        <v>46204</v>
      </c>
      <c r="E3332" s="2" t="s">
        <v>260</v>
      </c>
      <c r="F3332" s="2" t="s">
        <v>9178</v>
      </c>
      <c r="G3332" s="6">
        <v>46204</v>
      </c>
      <c r="H3332" s="2" t="s">
        <v>71</v>
      </c>
      <c r="I3332" s="2" t="s">
        <v>76</v>
      </c>
      <c r="J3332" s="9">
        <v>85601225.806452006</v>
      </c>
      <c r="K3332" s="7">
        <v>6.2000000000000003E-5</v>
      </c>
      <c r="L3332" s="9">
        <v>5307.28</v>
      </c>
      <c r="M3332" s="9">
        <v>5307.28</v>
      </c>
      <c r="N3332" s="9">
        <v>2.92</v>
      </c>
      <c r="O3332" s="10">
        <f>IF(AND(OR(H3332="APPROVED",H3332="SCHEDULED"),COUNTIFS(tblSource[EventID],F3332,tblSource[ReleaseStatus],"APPROVED")=1,COUNTIFS(Period_Status!$A$2:$A$8,G3332,Period_Status!$B$2:$B$8,"ActualClosed")=1,C3332&gt;EOMONTH(Settlement_Bridge!$C$2,0)),1,0)</f>
        <v>0</v>
      </c>
      <c r="P3332" s="2" t="s">
        <v>9179</v>
      </c>
    </row>
    <row r="3333" spans="1:16" x14ac:dyDescent="0.25">
      <c r="A3333" s="2" t="s">
        <v>9180</v>
      </c>
      <c r="B3333" s="2" t="s">
        <v>7433</v>
      </c>
      <c r="C3333" s="8">
        <v>46254</v>
      </c>
      <c r="D3333" s="6">
        <v>46235</v>
      </c>
      <c r="E3333" s="2" t="s">
        <v>260</v>
      </c>
      <c r="F3333" s="2" t="s">
        <v>9178</v>
      </c>
      <c r="G3333" s="6">
        <v>46204</v>
      </c>
      <c r="H3333" s="2" t="s">
        <v>71</v>
      </c>
      <c r="I3333" s="2" t="s">
        <v>76</v>
      </c>
      <c r="J3333" s="9">
        <v>128401838.709677</v>
      </c>
      <c r="K3333" s="7">
        <v>6.1500000000000004E-5</v>
      </c>
      <c r="L3333" s="9">
        <v>7896.71</v>
      </c>
      <c r="M3333" s="9">
        <v>7960.91</v>
      </c>
      <c r="N3333" s="9">
        <v>4.34</v>
      </c>
      <c r="O3333" s="10">
        <f>IF(AND(OR(H3333="APPROVED",H3333="SCHEDULED"),COUNTIFS(tblSource[EventID],F3333,tblSource[ReleaseStatus],"APPROVED")=1,COUNTIFS(Period_Status!$A$2:$A$8,G3333,Period_Status!$B$2:$B$8,"ActualClosed")=1,C3333&gt;EOMONTH(Settlement_Bridge!$C$2,0)),1,0)</f>
        <v>1</v>
      </c>
      <c r="P3333" s="2" t="s">
        <v>9181</v>
      </c>
    </row>
    <row r="3334" spans="1:16" x14ac:dyDescent="0.25">
      <c r="A3334" s="2" t="s">
        <v>9182</v>
      </c>
      <c r="B3334" s="2" t="s">
        <v>7433</v>
      </c>
      <c r="C3334" s="8">
        <v>46230</v>
      </c>
      <c r="D3334" s="6">
        <v>46204</v>
      </c>
      <c r="E3334" s="2" t="s">
        <v>260</v>
      </c>
      <c r="F3334" s="2" t="s">
        <v>9183</v>
      </c>
      <c r="G3334" s="6">
        <v>46204</v>
      </c>
      <c r="H3334" s="2" t="s">
        <v>71</v>
      </c>
      <c r="I3334" s="2" t="s">
        <v>70</v>
      </c>
      <c r="J3334" s="9">
        <v>8234.048632</v>
      </c>
      <c r="K3334" s="7">
        <v>0.65800000000000003</v>
      </c>
      <c r="L3334" s="9">
        <v>5418</v>
      </c>
      <c r="M3334" s="9">
        <v>5418</v>
      </c>
      <c r="N3334" s="9">
        <v>2.98</v>
      </c>
      <c r="O3334" s="10">
        <f>IF(AND(OR(H3334="APPROVED",H3334="SCHEDULED"),COUNTIFS(tblSource[EventID],F3334,tblSource[ReleaseStatus],"APPROVED")=1,COUNTIFS(Period_Status!$A$2:$A$8,G3334,Period_Status!$B$2:$B$8,"ActualClosed")=1,C3334&gt;EOMONTH(Settlement_Bridge!$C$2,0)),1,0)</f>
        <v>0</v>
      </c>
      <c r="P3334" s="2" t="s">
        <v>9184</v>
      </c>
    </row>
    <row r="3335" spans="1:16" x14ac:dyDescent="0.25">
      <c r="A3335" s="2" t="s">
        <v>9185</v>
      </c>
      <c r="B3335" s="2" t="s">
        <v>7433</v>
      </c>
      <c r="C3335" s="8">
        <v>46255</v>
      </c>
      <c r="D3335" s="6">
        <v>46235</v>
      </c>
      <c r="E3335" s="2" t="s">
        <v>260</v>
      </c>
      <c r="F3335" s="2" t="s">
        <v>9183</v>
      </c>
      <c r="G3335" s="6">
        <v>46204</v>
      </c>
      <c r="H3335" s="2" t="s">
        <v>71</v>
      </c>
      <c r="I3335" s="2" t="s">
        <v>70</v>
      </c>
      <c r="J3335" s="9">
        <v>12351.072948999999</v>
      </c>
      <c r="K3335" s="7">
        <v>0.65</v>
      </c>
      <c r="L3335" s="9">
        <v>8028.2</v>
      </c>
      <c r="M3335" s="9">
        <v>8127.01</v>
      </c>
      <c r="N3335" s="9">
        <v>4.42</v>
      </c>
      <c r="O3335" s="10">
        <f>IF(AND(OR(H3335="APPROVED",H3335="SCHEDULED"),COUNTIFS(tblSource[EventID],F3335,tblSource[ReleaseStatus],"APPROVED")=1,COUNTIFS(Period_Status!$A$2:$A$8,G3335,Period_Status!$B$2:$B$8,"ActualClosed")=1,C3335&gt;EOMONTH(Settlement_Bridge!$C$2,0)),1,0)</f>
        <v>1</v>
      </c>
      <c r="P3335" s="2" t="s">
        <v>9186</v>
      </c>
    </row>
    <row r="3336" spans="1:16" x14ac:dyDescent="0.25">
      <c r="A3336" s="2" t="s">
        <v>9187</v>
      </c>
      <c r="B3336" s="2" t="s">
        <v>7433</v>
      </c>
      <c r="C3336" s="8">
        <v>46231</v>
      </c>
      <c r="D3336" s="6">
        <v>46204</v>
      </c>
      <c r="E3336" s="2" t="s">
        <v>260</v>
      </c>
      <c r="F3336" s="2" t="s">
        <v>9188</v>
      </c>
      <c r="G3336" s="6">
        <v>46204</v>
      </c>
      <c r="H3336" s="2" t="s">
        <v>71</v>
      </c>
      <c r="I3336" s="2" t="s">
        <v>39</v>
      </c>
      <c r="J3336" s="9">
        <v>5528.7280000000001</v>
      </c>
      <c r="K3336" s="7">
        <v>1</v>
      </c>
      <c r="L3336" s="9">
        <v>5528.73</v>
      </c>
      <c r="M3336" s="9">
        <v>5528.73</v>
      </c>
      <c r="N3336" s="9">
        <v>3.04</v>
      </c>
      <c r="O3336" s="10">
        <f>IF(AND(OR(H3336="APPROVED",H3336="SCHEDULED"),COUNTIFS(tblSource[EventID],F3336,tblSource[ReleaseStatus],"APPROVED")=1,COUNTIFS(Period_Status!$A$2:$A$8,G3336,Period_Status!$B$2:$B$8,"ActualClosed")=1,C3336&gt;EOMONTH(Settlement_Bridge!$C$2,0)),1,0)</f>
        <v>0</v>
      </c>
      <c r="P3336" s="2" t="s">
        <v>9189</v>
      </c>
    </row>
    <row r="3337" spans="1:16" x14ac:dyDescent="0.25">
      <c r="A3337" s="2" t="s">
        <v>9190</v>
      </c>
      <c r="B3337" s="2" t="s">
        <v>7433</v>
      </c>
      <c r="C3337" s="8">
        <v>46256</v>
      </c>
      <c r="D3337" s="6">
        <v>46235</v>
      </c>
      <c r="E3337" s="2" t="s">
        <v>260</v>
      </c>
      <c r="F3337" s="2" t="s">
        <v>9188</v>
      </c>
      <c r="G3337" s="6">
        <v>46204</v>
      </c>
      <c r="H3337" s="2" t="s">
        <v>71</v>
      </c>
      <c r="I3337" s="2" t="s">
        <v>39</v>
      </c>
      <c r="J3337" s="9">
        <v>8293.0920000000006</v>
      </c>
      <c r="K3337" s="7">
        <v>1</v>
      </c>
      <c r="L3337" s="9">
        <v>8293.09</v>
      </c>
      <c r="M3337" s="9">
        <v>8293.09</v>
      </c>
      <c r="N3337" s="9">
        <v>4.5599999999999996</v>
      </c>
      <c r="O3337" s="10">
        <f>IF(AND(OR(H3337="APPROVED",H3337="SCHEDULED"),COUNTIFS(tblSource[EventID],F3337,tblSource[ReleaseStatus],"APPROVED")=1,COUNTIFS(Period_Status!$A$2:$A$8,G3337,Period_Status!$B$2:$B$8,"ActualClosed")=1,C3337&gt;EOMONTH(Settlement_Bridge!$C$2,0)),1,0)</f>
        <v>1</v>
      </c>
      <c r="P3337" s="2" t="s">
        <v>9191</v>
      </c>
    </row>
    <row r="3338" spans="1:16" x14ac:dyDescent="0.25">
      <c r="A3338" s="2" t="s">
        <v>9192</v>
      </c>
      <c r="B3338" s="2" t="s">
        <v>7433</v>
      </c>
      <c r="C3338" s="8">
        <v>46232</v>
      </c>
      <c r="D3338" s="6">
        <v>46204</v>
      </c>
      <c r="E3338" s="2" t="s">
        <v>260</v>
      </c>
      <c r="F3338" s="2" t="s">
        <v>9193</v>
      </c>
      <c r="G3338" s="6">
        <v>46204</v>
      </c>
      <c r="H3338" s="2" t="s">
        <v>71</v>
      </c>
      <c r="I3338" s="2" t="s">
        <v>76</v>
      </c>
      <c r="J3338" s="9">
        <v>90958967.741935998</v>
      </c>
      <c r="K3338" s="7">
        <v>6.2000000000000003E-5</v>
      </c>
      <c r="L3338" s="9">
        <v>5639.46</v>
      </c>
      <c r="M3338" s="9">
        <v>5639.46</v>
      </c>
      <c r="N3338" s="9">
        <v>3.1</v>
      </c>
      <c r="O3338" s="10">
        <f>IF(AND(OR(H3338="APPROVED",H3338="SCHEDULED"),COUNTIFS(tblSource[EventID],F3338,tblSource[ReleaseStatus],"APPROVED")=1,COUNTIFS(Period_Status!$A$2:$A$8,G3338,Period_Status!$B$2:$B$8,"ActualClosed")=1,C3338&gt;EOMONTH(Settlement_Bridge!$C$2,0)),1,0)</f>
        <v>0</v>
      </c>
      <c r="P3338" s="2" t="s">
        <v>9194</v>
      </c>
    </row>
    <row r="3339" spans="1:16" x14ac:dyDescent="0.25">
      <c r="A3339" s="2" t="s">
        <v>9195</v>
      </c>
      <c r="B3339" s="2" t="s">
        <v>7433</v>
      </c>
      <c r="C3339" s="8">
        <v>46257</v>
      </c>
      <c r="D3339" s="6">
        <v>46235</v>
      </c>
      <c r="E3339" s="2" t="s">
        <v>260</v>
      </c>
      <c r="F3339" s="2" t="s">
        <v>9193</v>
      </c>
      <c r="G3339" s="6">
        <v>46204</v>
      </c>
      <c r="H3339" s="2" t="s">
        <v>71</v>
      </c>
      <c r="I3339" s="2" t="s">
        <v>76</v>
      </c>
      <c r="J3339" s="9">
        <v>136438451.612903</v>
      </c>
      <c r="K3339" s="7">
        <v>6.1500000000000004E-5</v>
      </c>
      <c r="L3339" s="9">
        <v>8390.9599999999991</v>
      </c>
      <c r="M3339" s="9">
        <v>8459.18</v>
      </c>
      <c r="N3339" s="9">
        <v>4.62</v>
      </c>
      <c r="O3339" s="10">
        <f>IF(AND(OR(H3339="APPROVED",H3339="SCHEDULED"),COUNTIFS(tblSource[EventID],F3339,tblSource[ReleaseStatus],"APPROVED")=1,COUNTIFS(Period_Status!$A$2:$A$8,G3339,Period_Status!$B$2:$B$8,"ActualClosed")=1,C3339&gt;EOMONTH(Settlement_Bridge!$C$2,0)),1,0)</f>
        <v>1</v>
      </c>
      <c r="P3339" s="2" t="s">
        <v>9196</v>
      </c>
    </row>
    <row r="3340" spans="1:16" x14ac:dyDescent="0.25">
      <c r="A3340" s="2" t="s">
        <v>9197</v>
      </c>
      <c r="B3340" s="2" t="s">
        <v>7433</v>
      </c>
      <c r="C3340" s="8">
        <v>46233</v>
      </c>
      <c r="D3340" s="6">
        <v>46204</v>
      </c>
      <c r="E3340" s="2" t="s">
        <v>260</v>
      </c>
      <c r="F3340" s="2" t="s">
        <v>9198</v>
      </c>
      <c r="G3340" s="6">
        <v>46204</v>
      </c>
      <c r="H3340" s="2" t="s">
        <v>71</v>
      </c>
      <c r="I3340" s="2" t="s">
        <v>70</v>
      </c>
      <c r="J3340" s="9">
        <v>8738.8814590000002</v>
      </c>
      <c r="K3340" s="7">
        <v>0.65800000000000003</v>
      </c>
      <c r="L3340" s="9">
        <v>5750.18</v>
      </c>
      <c r="M3340" s="9">
        <v>5750.18</v>
      </c>
      <c r="N3340" s="9">
        <v>3.16</v>
      </c>
      <c r="O3340" s="10">
        <f>IF(AND(OR(H3340="APPROVED",H3340="SCHEDULED"),COUNTIFS(tblSource[EventID],F3340,tblSource[ReleaseStatus],"APPROVED")=1,COUNTIFS(Period_Status!$A$2:$A$8,G3340,Period_Status!$B$2:$B$8,"ActualClosed")=1,C3340&gt;EOMONTH(Settlement_Bridge!$C$2,0)),1,0)</f>
        <v>0</v>
      </c>
      <c r="P3340" s="2" t="s">
        <v>9199</v>
      </c>
    </row>
    <row r="3341" spans="1:16" x14ac:dyDescent="0.25">
      <c r="A3341" s="2" t="s">
        <v>9200</v>
      </c>
      <c r="B3341" s="2" t="s">
        <v>7433</v>
      </c>
      <c r="C3341" s="8">
        <v>46258</v>
      </c>
      <c r="D3341" s="6">
        <v>46235</v>
      </c>
      <c r="E3341" s="2" t="s">
        <v>260</v>
      </c>
      <c r="F3341" s="2" t="s">
        <v>9198</v>
      </c>
      <c r="G3341" s="6">
        <v>46204</v>
      </c>
      <c r="H3341" s="2" t="s">
        <v>71</v>
      </c>
      <c r="I3341" s="2" t="s">
        <v>70</v>
      </c>
      <c r="J3341" s="9">
        <v>13108.322188</v>
      </c>
      <c r="K3341" s="7">
        <v>0.65</v>
      </c>
      <c r="L3341" s="9">
        <v>8520.41</v>
      </c>
      <c r="M3341" s="9">
        <v>8625.2800000000007</v>
      </c>
      <c r="N3341" s="9">
        <v>4.6900000000000004</v>
      </c>
      <c r="O3341" s="10">
        <f>IF(AND(OR(H3341="APPROVED",H3341="SCHEDULED"),COUNTIFS(tblSource[EventID],F3341,tblSource[ReleaseStatus],"APPROVED")=1,COUNTIFS(Period_Status!$A$2:$A$8,G3341,Period_Status!$B$2:$B$8,"ActualClosed")=1,C3341&gt;EOMONTH(Settlement_Bridge!$C$2,0)),1,0)</f>
        <v>1</v>
      </c>
      <c r="P3341" s="2" t="s">
        <v>9201</v>
      </c>
    </row>
    <row r="3342" spans="1:16" x14ac:dyDescent="0.25">
      <c r="A3342" s="2" t="s">
        <v>9202</v>
      </c>
      <c r="B3342" s="2" t="s">
        <v>7433</v>
      </c>
      <c r="C3342" s="8">
        <v>46234</v>
      </c>
      <c r="D3342" s="6">
        <v>46204</v>
      </c>
      <c r="E3342" s="2" t="s">
        <v>260</v>
      </c>
      <c r="F3342" s="2" t="s">
        <v>9203</v>
      </c>
      <c r="G3342" s="6">
        <v>46204</v>
      </c>
      <c r="H3342" s="2" t="s">
        <v>71</v>
      </c>
      <c r="I3342" s="2" t="s">
        <v>39</v>
      </c>
      <c r="J3342" s="9">
        <v>5860.9080000000004</v>
      </c>
      <c r="K3342" s="7">
        <v>1</v>
      </c>
      <c r="L3342" s="9">
        <v>5860.91</v>
      </c>
      <c r="M3342" s="9">
        <v>5860.91</v>
      </c>
      <c r="N3342" s="9">
        <v>3.22</v>
      </c>
      <c r="O3342" s="10">
        <f>IF(AND(OR(H3342="APPROVED",H3342="SCHEDULED"),COUNTIFS(tblSource[EventID],F3342,tblSource[ReleaseStatus],"APPROVED")=1,COUNTIFS(Period_Status!$A$2:$A$8,G3342,Period_Status!$B$2:$B$8,"ActualClosed")=1,C3342&gt;EOMONTH(Settlement_Bridge!$C$2,0)),1,0)</f>
        <v>0</v>
      </c>
      <c r="P3342" s="2" t="s">
        <v>9204</v>
      </c>
    </row>
    <row r="3343" spans="1:16" x14ac:dyDescent="0.25">
      <c r="A3343" s="2" t="s">
        <v>9205</v>
      </c>
      <c r="B3343" s="2" t="s">
        <v>7433</v>
      </c>
      <c r="C3343" s="8">
        <v>46259</v>
      </c>
      <c r="D3343" s="6">
        <v>46235</v>
      </c>
      <c r="E3343" s="2" t="s">
        <v>260</v>
      </c>
      <c r="F3343" s="2" t="s">
        <v>9203</v>
      </c>
      <c r="G3343" s="6">
        <v>46204</v>
      </c>
      <c r="H3343" s="2" t="s">
        <v>71</v>
      </c>
      <c r="I3343" s="2" t="s">
        <v>39</v>
      </c>
      <c r="J3343" s="9">
        <v>8791.3619999999992</v>
      </c>
      <c r="K3343" s="7">
        <v>1</v>
      </c>
      <c r="L3343" s="9">
        <v>8791.36</v>
      </c>
      <c r="M3343" s="9">
        <v>8791.36</v>
      </c>
      <c r="N3343" s="9">
        <v>4.84</v>
      </c>
      <c r="O3343" s="10">
        <f>IF(AND(OR(H3343="APPROVED",H3343="SCHEDULED"),COUNTIFS(tblSource[EventID],F3343,tblSource[ReleaseStatus],"APPROVED")=1,COUNTIFS(Period_Status!$A$2:$A$8,G3343,Period_Status!$B$2:$B$8,"ActualClosed")=1,C3343&gt;EOMONTH(Settlement_Bridge!$C$2,0)),1,0)</f>
        <v>1</v>
      </c>
      <c r="P3343" s="2" t="s">
        <v>9206</v>
      </c>
    </row>
    <row r="3344" spans="1:16" x14ac:dyDescent="0.25">
      <c r="A3344" s="2" t="s">
        <v>9207</v>
      </c>
      <c r="B3344" s="2" t="s">
        <v>7433</v>
      </c>
      <c r="C3344" s="8">
        <v>46235</v>
      </c>
      <c r="D3344" s="6">
        <v>46235</v>
      </c>
      <c r="E3344" s="2" t="s">
        <v>260</v>
      </c>
      <c r="F3344" s="2" t="s">
        <v>9208</v>
      </c>
      <c r="G3344" s="6">
        <v>46204</v>
      </c>
      <c r="H3344" s="2" t="s">
        <v>71</v>
      </c>
      <c r="I3344" s="2" t="s">
        <v>76</v>
      </c>
      <c r="J3344" s="9">
        <v>96316709.677419007</v>
      </c>
      <c r="K3344" s="7">
        <v>6.1500000000000004E-5</v>
      </c>
      <c r="L3344" s="9">
        <v>5923.48</v>
      </c>
      <c r="M3344" s="9">
        <v>5971.64</v>
      </c>
      <c r="N3344" s="9">
        <v>3.26</v>
      </c>
      <c r="O3344" s="10">
        <f>IF(AND(OR(H3344="APPROVED",H3344="SCHEDULED"),COUNTIFS(tblSource[EventID],F3344,tblSource[ReleaseStatus],"APPROVED")=1,COUNTIFS(Period_Status!$A$2:$A$8,G3344,Period_Status!$B$2:$B$8,"ActualClosed")=1,C3344&gt;EOMONTH(Settlement_Bridge!$C$2,0)),1,0)</f>
        <v>1</v>
      </c>
      <c r="P3344" s="2" t="s">
        <v>9209</v>
      </c>
    </row>
    <row r="3345" spans="1:16" x14ac:dyDescent="0.25">
      <c r="A3345" s="2" t="s">
        <v>9210</v>
      </c>
      <c r="B3345" s="2" t="s">
        <v>7433</v>
      </c>
      <c r="C3345" s="8">
        <v>46260</v>
      </c>
      <c r="D3345" s="6">
        <v>46235</v>
      </c>
      <c r="E3345" s="2" t="s">
        <v>260</v>
      </c>
      <c r="F3345" s="2" t="s">
        <v>9208</v>
      </c>
      <c r="G3345" s="6">
        <v>46204</v>
      </c>
      <c r="H3345" s="2" t="s">
        <v>71</v>
      </c>
      <c r="I3345" s="2" t="s">
        <v>76</v>
      </c>
      <c r="J3345" s="9">
        <v>144475064.51612899</v>
      </c>
      <c r="K3345" s="7">
        <v>6.1500000000000004E-5</v>
      </c>
      <c r="L3345" s="9">
        <v>8885.2199999999993</v>
      </c>
      <c r="M3345" s="9">
        <v>8957.4500000000007</v>
      </c>
      <c r="N3345" s="9">
        <v>4.8899999999999997</v>
      </c>
      <c r="O3345" s="10">
        <f>IF(AND(OR(H3345="APPROVED",H3345="SCHEDULED"),COUNTIFS(tblSource[EventID],F3345,tblSource[ReleaseStatus],"APPROVED")=1,COUNTIFS(Period_Status!$A$2:$A$8,G3345,Period_Status!$B$2:$B$8,"ActualClosed")=1,C3345&gt;EOMONTH(Settlement_Bridge!$C$2,0)),1,0)</f>
        <v>1</v>
      </c>
      <c r="P3345" s="2" t="s">
        <v>9211</v>
      </c>
    </row>
    <row r="3346" spans="1:16" x14ac:dyDescent="0.25">
      <c r="A3346" s="2" t="s">
        <v>9212</v>
      </c>
      <c r="B3346" s="2" t="s">
        <v>7433</v>
      </c>
      <c r="C3346" s="8">
        <v>46236</v>
      </c>
      <c r="D3346" s="6">
        <v>46235</v>
      </c>
      <c r="E3346" s="2" t="s">
        <v>260</v>
      </c>
      <c r="F3346" s="2" t="s">
        <v>9213</v>
      </c>
      <c r="G3346" s="6">
        <v>46204</v>
      </c>
      <c r="H3346" s="2" t="s">
        <v>71</v>
      </c>
      <c r="I3346" s="2" t="s">
        <v>70</v>
      </c>
      <c r="J3346" s="9">
        <v>9243.7142860000004</v>
      </c>
      <c r="K3346" s="7">
        <v>0.65</v>
      </c>
      <c r="L3346" s="9">
        <v>6008.41</v>
      </c>
      <c r="M3346" s="9">
        <v>6082.36</v>
      </c>
      <c r="N3346" s="9">
        <v>3.3</v>
      </c>
      <c r="O3346" s="10">
        <f>IF(AND(OR(H3346="APPROVED",H3346="SCHEDULED"),COUNTIFS(tblSource[EventID],F3346,tblSource[ReleaseStatus],"APPROVED")=1,COUNTIFS(Period_Status!$A$2:$A$8,G3346,Period_Status!$B$2:$B$8,"ActualClosed")=1,C3346&gt;EOMONTH(Settlement_Bridge!$C$2,0)),1,0)</f>
        <v>1</v>
      </c>
      <c r="P3346" s="2" t="s">
        <v>9214</v>
      </c>
    </row>
    <row r="3347" spans="1:16" x14ac:dyDescent="0.25">
      <c r="A3347" s="2" t="s">
        <v>9215</v>
      </c>
      <c r="B3347" s="2" t="s">
        <v>7433</v>
      </c>
      <c r="C3347" s="8">
        <v>46261</v>
      </c>
      <c r="D3347" s="6">
        <v>46235</v>
      </c>
      <c r="E3347" s="2" t="s">
        <v>260</v>
      </c>
      <c r="F3347" s="2" t="s">
        <v>9213</v>
      </c>
      <c r="G3347" s="6">
        <v>46204</v>
      </c>
      <c r="H3347" s="2" t="s">
        <v>71</v>
      </c>
      <c r="I3347" s="2" t="s">
        <v>70</v>
      </c>
      <c r="J3347" s="9">
        <v>13865.571427999999</v>
      </c>
      <c r="K3347" s="7">
        <v>0.65</v>
      </c>
      <c r="L3347" s="9">
        <v>9012.6200000000008</v>
      </c>
      <c r="M3347" s="9">
        <v>9123.5499999999993</v>
      </c>
      <c r="N3347" s="9">
        <v>4.96</v>
      </c>
      <c r="O3347" s="10">
        <f>IF(AND(OR(H3347="APPROVED",H3347="SCHEDULED"),COUNTIFS(tblSource[EventID],F3347,tblSource[ReleaseStatus],"APPROVED")=1,COUNTIFS(Period_Status!$A$2:$A$8,G3347,Period_Status!$B$2:$B$8,"ActualClosed")=1,C3347&gt;EOMONTH(Settlement_Bridge!$C$2,0)),1,0)</f>
        <v>1</v>
      </c>
      <c r="P3347" s="2" t="s">
        <v>9216</v>
      </c>
    </row>
    <row r="3348" spans="1:16" x14ac:dyDescent="0.25">
      <c r="A3348" s="2" t="s">
        <v>9217</v>
      </c>
      <c r="B3348" s="2" t="s">
        <v>7433</v>
      </c>
      <c r="C3348" s="8">
        <v>46237</v>
      </c>
      <c r="D3348" s="6">
        <v>46235</v>
      </c>
      <c r="E3348" s="2" t="s">
        <v>260</v>
      </c>
      <c r="F3348" s="2" t="s">
        <v>9218</v>
      </c>
      <c r="G3348" s="6">
        <v>46204</v>
      </c>
      <c r="H3348" s="2" t="s">
        <v>71</v>
      </c>
      <c r="I3348" s="2" t="s">
        <v>39</v>
      </c>
      <c r="J3348" s="9">
        <v>6193.0879999999997</v>
      </c>
      <c r="K3348" s="7">
        <v>1</v>
      </c>
      <c r="L3348" s="9">
        <v>6193.09</v>
      </c>
      <c r="M3348" s="9">
        <v>6193.09</v>
      </c>
      <c r="N3348" s="9">
        <v>3.41</v>
      </c>
      <c r="O3348" s="10">
        <f>IF(AND(OR(H3348="APPROVED",H3348="SCHEDULED"),COUNTIFS(tblSource[EventID],F3348,tblSource[ReleaseStatus],"APPROVED")=1,COUNTIFS(Period_Status!$A$2:$A$8,G3348,Period_Status!$B$2:$B$8,"ActualClosed")=1,C3348&gt;EOMONTH(Settlement_Bridge!$C$2,0)),1,0)</f>
        <v>1</v>
      </c>
      <c r="P3348" s="2" t="s">
        <v>9219</v>
      </c>
    </row>
    <row r="3349" spans="1:16" x14ac:dyDescent="0.25">
      <c r="A3349" s="2" t="s">
        <v>9220</v>
      </c>
      <c r="B3349" s="2" t="s">
        <v>7433</v>
      </c>
      <c r="C3349" s="8">
        <v>46262</v>
      </c>
      <c r="D3349" s="6">
        <v>46235</v>
      </c>
      <c r="E3349" s="2" t="s">
        <v>260</v>
      </c>
      <c r="F3349" s="2" t="s">
        <v>9218</v>
      </c>
      <c r="G3349" s="6">
        <v>46204</v>
      </c>
      <c r="H3349" s="2" t="s">
        <v>71</v>
      </c>
      <c r="I3349" s="2" t="s">
        <v>39</v>
      </c>
      <c r="J3349" s="9">
        <v>9289.6319999999996</v>
      </c>
      <c r="K3349" s="7">
        <v>1</v>
      </c>
      <c r="L3349" s="9">
        <v>9289.6299999999992</v>
      </c>
      <c r="M3349" s="9">
        <v>9289.6299999999992</v>
      </c>
      <c r="N3349" s="9">
        <v>5.1100000000000003</v>
      </c>
      <c r="O3349" s="10">
        <f>IF(AND(OR(H3349="APPROVED",H3349="SCHEDULED"),COUNTIFS(tblSource[EventID],F3349,tblSource[ReleaseStatus],"APPROVED")=1,COUNTIFS(Period_Status!$A$2:$A$8,G3349,Period_Status!$B$2:$B$8,"ActualClosed")=1,C3349&gt;EOMONTH(Settlement_Bridge!$C$2,0)),1,0)</f>
        <v>1</v>
      </c>
      <c r="P3349" s="2" t="s">
        <v>9221</v>
      </c>
    </row>
    <row r="3350" spans="1:16" x14ac:dyDescent="0.25">
      <c r="A3350" s="2" t="s">
        <v>9222</v>
      </c>
      <c r="B3350" s="2" t="s">
        <v>7433</v>
      </c>
      <c r="C3350" s="8">
        <v>46238</v>
      </c>
      <c r="D3350" s="6">
        <v>46235</v>
      </c>
      <c r="E3350" s="2" t="s">
        <v>260</v>
      </c>
      <c r="F3350" s="2" t="s">
        <v>9223</v>
      </c>
      <c r="G3350" s="6">
        <v>46204</v>
      </c>
      <c r="H3350" s="2" t="s">
        <v>71</v>
      </c>
      <c r="I3350" s="2" t="s">
        <v>76</v>
      </c>
      <c r="J3350" s="9">
        <v>101674451.612903</v>
      </c>
      <c r="K3350" s="7">
        <v>6.1500000000000004E-5</v>
      </c>
      <c r="L3350" s="9">
        <v>6252.98</v>
      </c>
      <c r="M3350" s="9">
        <v>6303.82</v>
      </c>
      <c r="N3350" s="9">
        <v>3.44</v>
      </c>
      <c r="O3350" s="10">
        <f>IF(AND(OR(H3350="APPROVED",H3350="SCHEDULED"),COUNTIFS(tblSource[EventID],F3350,tblSource[ReleaseStatus],"APPROVED")=1,COUNTIFS(Period_Status!$A$2:$A$8,G3350,Period_Status!$B$2:$B$8,"ActualClosed")=1,C3350&gt;EOMONTH(Settlement_Bridge!$C$2,0)),1,0)</f>
        <v>1</v>
      </c>
      <c r="P3350" s="2" t="s">
        <v>9224</v>
      </c>
    </row>
    <row r="3351" spans="1:16" x14ac:dyDescent="0.25">
      <c r="A3351" s="2" t="s">
        <v>9225</v>
      </c>
      <c r="B3351" s="2" t="s">
        <v>7433</v>
      </c>
      <c r="C3351" s="8">
        <v>46263</v>
      </c>
      <c r="D3351" s="6">
        <v>46235</v>
      </c>
      <c r="E3351" s="2" t="s">
        <v>260</v>
      </c>
      <c r="F3351" s="2" t="s">
        <v>9223</v>
      </c>
      <c r="G3351" s="6">
        <v>46204</v>
      </c>
      <c r="H3351" s="2" t="s">
        <v>71</v>
      </c>
      <c r="I3351" s="2" t="s">
        <v>76</v>
      </c>
      <c r="J3351" s="9">
        <v>152511677.41935501</v>
      </c>
      <c r="K3351" s="7">
        <v>6.1500000000000004E-5</v>
      </c>
      <c r="L3351" s="9">
        <v>9379.4699999999993</v>
      </c>
      <c r="M3351" s="9">
        <v>9455.7199999999993</v>
      </c>
      <c r="N3351" s="9">
        <v>5.16</v>
      </c>
      <c r="O3351" s="10">
        <f>IF(AND(OR(H3351="APPROVED",H3351="SCHEDULED"),COUNTIFS(tblSource[EventID],F3351,tblSource[ReleaseStatus],"APPROVED")=1,COUNTIFS(Period_Status!$A$2:$A$8,G3351,Period_Status!$B$2:$B$8,"ActualClosed")=1,C3351&gt;EOMONTH(Settlement_Bridge!$C$2,0)),1,0)</f>
        <v>1</v>
      </c>
      <c r="P3351" s="2" t="s">
        <v>9226</v>
      </c>
    </row>
    <row r="3352" spans="1:16" x14ac:dyDescent="0.25">
      <c r="A3352" s="2" t="s">
        <v>9227</v>
      </c>
      <c r="B3352" s="2" t="s">
        <v>7433</v>
      </c>
      <c r="C3352" s="8">
        <v>46239</v>
      </c>
      <c r="D3352" s="6">
        <v>46235</v>
      </c>
      <c r="E3352" s="2" t="s">
        <v>260</v>
      </c>
      <c r="F3352" s="2" t="s">
        <v>9228</v>
      </c>
      <c r="G3352" s="6">
        <v>46204</v>
      </c>
      <c r="H3352" s="2" t="s">
        <v>71</v>
      </c>
      <c r="I3352" s="2" t="s">
        <v>70</v>
      </c>
      <c r="J3352" s="9">
        <v>9748.5410339999999</v>
      </c>
      <c r="K3352" s="7">
        <v>0.65</v>
      </c>
      <c r="L3352" s="9">
        <v>6336.55</v>
      </c>
      <c r="M3352" s="9">
        <v>6414.54</v>
      </c>
      <c r="N3352" s="9">
        <v>3.49</v>
      </c>
      <c r="O3352" s="10">
        <f>IF(AND(OR(H3352="APPROVED",H3352="SCHEDULED"),COUNTIFS(tblSource[EventID],F3352,tblSource[ReleaseStatus],"APPROVED")=1,COUNTIFS(Period_Status!$A$2:$A$8,G3352,Period_Status!$B$2:$B$8,"ActualClosed")=1,C3352&gt;EOMONTH(Settlement_Bridge!$C$2,0)),1,0)</f>
        <v>1</v>
      </c>
      <c r="P3352" s="2" t="s">
        <v>9229</v>
      </c>
    </row>
    <row r="3353" spans="1:16" x14ac:dyDescent="0.25">
      <c r="A3353" s="2" t="s">
        <v>9230</v>
      </c>
      <c r="B3353" s="2" t="s">
        <v>7433</v>
      </c>
      <c r="C3353" s="8">
        <v>46264</v>
      </c>
      <c r="D3353" s="6">
        <v>46235</v>
      </c>
      <c r="E3353" s="2" t="s">
        <v>260</v>
      </c>
      <c r="F3353" s="2" t="s">
        <v>9228</v>
      </c>
      <c r="G3353" s="6">
        <v>46204</v>
      </c>
      <c r="H3353" s="2" t="s">
        <v>71</v>
      </c>
      <c r="I3353" s="2" t="s">
        <v>70</v>
      </c>
      <c r="J3353" s="9">
        <v>14622.81155</v>
      </c>
      <c r="K3353" s="7">
        <v>0.65</v>
      </c>
      <c r="L3353" s="9">
        <v>9504.83</v>
      </c>
      <c r="M3353" s="9">
        <v>9621.81</v>
      </c>
      <c r="N3353" s="9">
        <v>5.23</v>
      </c>
      <c r="O3353" s="10">
        <f>IF(AND(OR(H3353="APPROVED",H3353="SCHEDULED"),COUNTIFS(tblSource[EventID],F3353,tblSource[ReleaseStatus],"APPROVED")=1,COUNTIFS(Period_Status!$A$2:$A$8,G3353,Period_Status!$B$2:$B$8,"ActualClosed")=1,C3353&gt;EOMONTH(Settlement_Bridge!$C$2,0)),1,0)</f>
        <v>1</v>
      </c>
      <c r="P3353" s="2" t="s">
        <v>9231</v>
      </c>
    </row>
    <row r="3354" spans="1:16" x14ac:dyDescent="0.25">
      <c r="A3354" s="2" t="s">
        <v>9232</v>
      </c>
      <c r="B3354" s="2" t="s">
        <v>7433</v>
      </c>
      <c r="C3354" s="8">
        <v>46240</v>
      </c>
      <c r="D3354" s="6">
        <v>46235</v>
      </c>
      <c r="E3354" s="2" t="s">
        <v>260</v>
      </c>
      <c r="F3354" s="2" t="s">
        <v>9233</v>
      </c>
      <c r="G3354" s="6">
        <v>46204</v>
      </c>
      <c r="H3354" s="2" t="s">
        <v>71</v>
      </c>
      <c r="I3354" s="2" t="s">
        <v>39</v>
      </c>
      <c r="J3354" s="9">
        <v>6525.268</v>
      </c>
      <c r="K3354" s="7">
        <v>1</v>
      </c>
      <c r="L3354" s="9">
        <v>6525.27</v>
      </c>
      <c r="M3354" s="9">
        <v>6525.27</v>
      </c>
      <c r="N3354" s="9">
        <v>3.59</v>
      </c>
      <c r="O3354" s="10">
        <f>IF(AND(OR(H3354="APPROVED",H3354="SCHEDULED"),COUNTIFS(tblSource[EventID],F3354,tblSource[ReleaseStatus],"APPROVED")=1,COUNTIFS(Period_Status!$A$2:$A$8,G3354,Period_Status!$B$2:$B$8,"ActualClosed")=1,C3354&gt;EOMONTH(Settlement_Bridge!$C$2,0)),1,0)</f>
        <v>1</v>
      </c>
      <c r="P3354" s="2" t="s">
        <v>9234</v>
      </c>
    </row>
    <row r="3355" spans="1:16" x14ac:dyDescent="0.25">
      <c r="A3355" s="2" t="s">
        <v>9235</v>
      </c>
      <c r="B3355" s="2" t="s">
        <v>7433</v>
      </c>
      <c r="C3355" s="8">
        <v>46265</v>
      </c>
      <c r="D3355" s="6">
        <v>46235</v>
      </c>
      <c r="E3355" s="2" t="s">
        <v>260</v>
      </c>
      <c r="F3355" s="2" t="s">
        <v>9233</v>
      </c>
      <c r="G3355" s="6">
        <v>46204</v>
      </c>
      <c r="H3355" s="2" t="s">
        <v>71</v>
      </c>
      <c r="I3355" s="2" t="s">
        <v>39</v>
      </c>
      <c r="J3355" s="9">
        <v>9787.902</v>
      </c>
      <c r="K3355" s="7">
        <v>1</v>
      </c>
      <c r="L3355" s="9">
        <v>9787.9</v>
      </c>
      <c r="M3355" s="9">
        <v>9787.9</v>
      </c>
      <c r="N3355" s="9">
        <v>5.38</v>
      </c>
      <c r="O3355" s="10">
        <f>IF(AND(OR(H3355="APPROVED",H3355="SCHEDULED"),COUNTIFS(tblSource[EventID],F3355,tblSource[ReleaseStatus],"APPROVED")=1,COUNTIFS(Period_Status!$A$2:$A$8,G3355,Period_Status!$B$2:$B$8,"ActualClosed")=1,C3355&gt;EOMONTH(Settlement_Bridge!$C$2,0)),1,0)</f>
        <v>1</v>
      </c>
      <c r="P3355" s="2" t="s">
        <v>9236</v>
      </c>
    </row>
    <row r="3356" spans="1:16" x14ac:dyDescent="0.25">
      <c r="A3356" s="2" t="s">
        <v>9237</v>
      </c>
      <c r="B3356" s="2" t="s">
        <v>7433</v>
      </c>
      <c r="C3356" s="8">
        <v>46241</v>
      </c>
      <c r="D3356" s="6">
        <v>46235</v>
      </c>
      <c r="E3356" s="2" t="s">
        <v>260</v>
      </c>
      <c r="F3356" s="2" t="s">
        <v>9238</v>
      </c>
      <c r="G3356" s="6">
        <v>46204</v>
      </c>
      <c r="H3356" s="2" t="s">
        <v>71</v>
      </c>
      <c r="I3356" s="2" t="s">
        <v>76</v>
      </c>
      <c r="J3356" s="9">
        <v>107032129.032258</v>
      </c>
      <c r="K3356" s="7">
        <v>6.1500000000000004E-5</v>
      </c>
      <c r="L3356" s="9">
        <v>6582.48</v>
      </c>
      <c r="M3356" s="9">
        <v>6635.99</v>
      </c>
      <c r="N3356" s="9">
        <v>3.62</v>
      </c>
      <c r="O3356" s="10">
        <f>IF(AND(OR(H3356="APPROVED",H3356="SCHEDULED"),COUNTIFS(tblSource[EventID],F3356,tblSource[ReleaseStatus],"APPROVED")=1,COUNTIFS(Period_Status!$A$2:$A$8,G3356,Period_Status!$B$2:$B$8,"ActualClosed")=1,C3356&gt;EOMONTH(Settlement_Bridge!$C$2,0)),1,0)</f>
        <v>1</v>
      </c>
      <c r="P3356" s="2" t="s">
        <v>9239</v>
      </c>
    </row>
    <row r="3357" spans="1:16" x14ac:dyDescent="0.25">
      <c r="A3357" s="2" t="s">
        <v>9240</v>
      </c>
      <c r="B3357" s="2" t="s">
        <v>7433</v>
      </c>
      <c r="C3357" s="8">
        <v>46266</v>
      </c>
      <c r="D3357" s="6">
        <v>46266</v>
      </c>
      <c r="E3357" s="2" t="s">
        <v>260</v>
      </c>
      <c r="F3357" s="2" t="s">
        <v>9238</v>
      </c>
      <c r="G3357" s="6">
        <v>46204</v>
      </c>
      <c r="H3357" s="2" t="s">
        <v>176</v>
      </c>
      <c r="I3357" s="2" t="s">
        <v>76</v>
      </c>
      <c r="J3357" s="9">
        <v>160548193.54838699</v>
      </c>
      <c r="K3357" s="7">
        <v>6.1299999999999999E-5</v>
      </c>
      <c r="L3357" s="9">
        <v>9841.6</v>
      </c>
      <c r="M3357" s="9">
        <v>9953.99</v>
      </c>
      <c r="N3357" s="9">
        <v>5.41</v>
      </c>
      <c r="O3357" s="10">
        <f>IF(AND(OR(H3357="APPROVED",H3357="SCHEDULED"),COUNTIFS(tblSource[EventID],F3357,tblSource[ReleaseStatus],"APPROVED")=1,COUNTIFS(Period_Status!$A$2:$A$8,G3357,Period_Status!$B$2:$B$8,"ActualClosed")=1,C3357&gt;EOMONTH(Settlement_Bridge!$C$2,0)),1,0)</f>
        <v>1</v>
      </c>
      <c r="P3357" s="2" t="s">
        <v>9241</v>
      </c>
    </row>
    <row r="3358" spans="1:16" x14ac:dyDescent="0.25">
      <c r="A3358" s="2" t="s">
        <v>9242</v>
      </c>
      <c r="B3358" s="2" t="s">
        <v>7433</v>
      </c>
      <c r="C3358" s="8">
        <v>46242</v>
      </c>
      <c r="D3358" s="6">
        <v>46235</v>
      </c>
      <c r="E3358" s="2" t="s">
        <v>260</v>
      </c>
      <c r="F3358" s="2" t="s">
        <v>9243</v>
      </c>
      <c r="G3358" s="6">
        <v>46204</v>
      </c>
      <c r="H3358" s="2" t="s">
        <v>71</v>
      </c>
      <c r="I3358" s="2" t="s">
        <v>70</v>
      </c>
      <c r="J3358" s="9">
        <v>10253.37386</v>
      </c>
      <c r="K3358" s="7">
        <v>0.65</v>
      </c>
      <c r="L3358" s="9">
        <v>6664.69</v>
      </c>
      <c r="M3358" s="9">
        <v>6746.72</v>
      </c>
      <c r="N3358" s="9">
        <v>3.67</v>
      </c>
      <c r="O3358" s="10">
        <f>IF(AND(OR(H3358="APPROVED",H3358="SCHEDULED"),COUNTIFS(tblSource[EventID],F3358,tblSource[ReleaseStatus],"APPROVED")=1,COUNTIFS(Period_Status!$A$2:$A$8,G3358,Period_Status!$B$2:$B$8,"ActualClosed")=1,C3358&gt;EOMONTH(Settlement_Bridge!$C$2,0)),1,0)</f>
        <v>1</v>
      </c>
      <c r="P3358" s="2" t="s">
        <v>9244</v>
      </c>
    </row>
    <row r="3359" spans="1:16" x14ac:dyDescent="0.25">
      <c r="A3359" s="2" t="s">
        <v>9245</v>
      </c>
      <c r="B3359" s="2" t="s">
        <v>7433</v>
      </c>
      <c r="C3359" s="8">
        <v>46267</v>
      </c>
      <c r="D3359" s="6">
        <v>46266</v>
      </c>
      <c r="E3359" s="2" t="s">
        <v>260</v>
      </c>
      <c r="F3359" s="2" t="s">
        <v>9243</v>
      </c>
      <c r="G3359" s="6">
        <v>46204</v>
      </c>
      <c r="H3359" s="2" t="s">
        <v>176</v>
      </c>
      <c r="I3359" s="2" t="s">
        <v>70</v>
      </c>
      <c r="J3359" s="9">
        <v>15380.06079</v>
      </c>
      <c r="K3359" s="7">
        <v>0.65100000000000002</v>
      </c>
      <c r="L3359" s="9">
        <v>10012.42</v>
      </c>
      <c r="M3359" s="9">
        <v>10120.08</v>
      </c>
      <c r="N3359" s="9">
        <v>5.51</v>
      </c>
      <c r="O3359" s="10">
        <f>IF(AND(OR(H3359="APPROVED",H3359="SCHEDULED"),COUNTIFS(tblSource[EventID],F3359,tblSource[ReleaseStatus],"APPROVED")=1,COUNTIFS(Period_Status!$A$2:$A$8,G3359,Period_Status!$B$2:$B$8,"ActualClosed")=1,C3359&gt;EOMONTH(Settlement_Bridge!$C$2,0)),1,0)</f>
        <v>1</v>
      </c>
      <c r="P3359" s="2" t="s">
        <v>9246</v>
      </c>
    </row>
    <row r="3360" spans="1:16" x14ac:dyDescent="0.25">
      <c r="A3360" s="2" t="s">
        <v>9247</v>
      </c>
      <c r="B3360" s="2" t="s">
        <v>7433</v>
      </c>
      <c r="C3360" s="8">
        <v>46243</v>
      </c>
      <c r="D3360" s="6">
        <v>46235</v>
      </c>
      <c r="E3360" s="2" t="s">
        <v>260</v>
      </c>
      <c r="F3360" s="2" t="s">
        <v>9248</v>
      </c>
      <c r="G3360" s="6">
        <v>46204</v>
      </c>
      <c r="H3360" s="2" t="s">
        <v>71</v>
      </c>
      <c r="I3360" s="2" t="s">
        <v>39</v>
      </c>
      <c r="J3360" s="9">
        <v>6857.4480000000003</v>
      </c>
      <c r="K3360" s="7">
        <v>1</v>
      </c>
      <c r="L3360" s="9">
        <v>6857.45</v>
      </c>
      <c r="M3360" s="9">
        <v>6857.45</v>
      </c>
      <c r="N3360" s="9">
        <v>3.77</v>
      </c>
      <c r="O3360" s="10">
        <f>IF(AND(OR(H3360="APPROVED",H3360="SCHEDULED"),COUNTIFS(tblSource[EventID],F3360,tblSource[ReleaseStatus],"APPROVED")=1,COUNTIFS(Period_Status!$A$2:$A$8,G3360,Period_Status!$B$2:$B$8,"ActualClosed")=1,C3360&gt;EOMONTH(Settlement_Bridge!$C$2,0)),1,0)</f>
        <v>1</v>
      </c>
      <c r="P3360" s="2" t="s">
        <v>9249</v>
      </c>
    </row>
    <row r="3361" spans="1:16" x14ac:dyDescent="0.25">
      <c r="A3361" s="2" t="s">
        <v>9250</v>
      </c>
      <c r="B3361" s="2" t="s">
        <v>7433</v>
      </c>
      <c r="C3361" s="8">
        <v>46268</v>
      </c>
      <c r="D3361" s="6">
        <v>46266</v>
      </c>
      <c r="E3361" s="2" t="s">
        <v>260</v>
      </c>
      <c r="F3361" s="2" t="s">
        <v>9248</v>
      </c>
      <c r="G3361" s="6">
        <v>46204</v>
      </c>
      <c r="H3361" s="2" t="s">
        <v>176</v>
      </c>
      <c r="I3361" s="2" t="s">
        <v>39</v>
      </c>
      <c r="J3361" s="9">
        <v>10286.172</v>
      </c>
      <c r="K3361" s="7">
        <v>1</v>
      </c>
      <c r="L3361" s="9">
        <v>10286.17</v>
      </c>
      <c r="M3361" s="9">
        <v>10286.17</v>
      </c>
      <c r="N3361" s="9">
        <v>5.66</v>
      </c>
      <c r="O3361" s="10">
        <f>IF(AND(OR(H3361="APPROVED",H3361="SCHEDULED"),COUNTIFS(tblSource[EventID],F3361,tblSource[ReleaseStatus],"APPROVED")=1,COUNTIFS(Period_Status!$A$2:$A$8,G3361,Period_Status!$B$2:$B$8,"ActualClosed")=1,C3361&gt;EOMONTH(Settlement_Bridge!$C$2,0)),1,0)</f>
        <v>1</v>
      </c>
      <c r="P3361" s="2" t="s">
        <v>9251</v>
      </c>
    </row>
    <row r="3362" spans="1:16" x14ac:dyDescent="0.25">
      <c r="A3362" s="2" t="s">
        <v>9252</v>
      </c>
      <c r="B3362" s="2" t="s">
        <v>7433</v>
      </c>
      <c r="C3362" s="8">
        <v>46244</v>
      </c>
      <c r="D3362" s="6">
        <v>46235</v>
      </c>
      <c r="E3362" s="2" t="s">
        <v>260</v>
      </c>
      <c r="F3362" s="2" t="s">
        <v>9253</v>
      </c>
      <c r="G3362" s="6">
        <v>46204</v>
      </c>
      <c r="H3362" s="2" t="s">
        <v>71</v>
      </c>
      <c r="I3362" s="2" t="s">
        <v>76</v>
      </c>
      <c r="J3362" s="9">
        <v>112389870.967742</v>
      </c>
      <c r="K3362" s="7">
        <v>6.1500000000000004E-5</v>
      </c>
      <c r="L3362" s="9">
        <v>6911.98</v>
      </c>
      <c r="M3362" s="9">
        <v>6968.17</v>
      </c>
      <c r="N3362" s="9">
        <v>3.8</v>
      </c>
      <c r="O3362" s="10">
        <f>IF(AND(OR(H3362="APPROVED",H3362="SCHEDULED"),COUNTIFS(tblSource[EventID],F3362,tblSource[ReleaseStatus],"APPROVED")=1,COUNTIFS(Period_Status!$A$2:$A$8,G3362,Period_Status!$B$2:$B$8,"ActualClosed")=1,C3362&gt;EOMONTH(Settlement_Bridge!$C$2,0)),1,0)</f>
        <v>1</v>
      </c>
      <c r="P3362" s="2" t="s">
        <v>9254</v>
      </c>
    </row>
    <row r="3363" spans="1:16" x14ac:dyDescent="0.25">
      <c r="A3363" s="2" t="s">
        <v>9255</v>
      </c>
      <c r="B3363" s="2" t="s">
        <v>7433</v>
      </c>
      <c r="C3363" s="8">
        <v>46269</v>
      </c>
      <c r="D3363" s="6">
        <v>46266</v>
      </c>
      <c r="E3363" s="2" t="s">
        <v>260</v>
      </c>
      <c r="F3363" s="2" t="s">
        <v>9253</v>
      </c>
      <c r="G3363" s="6">
        <v>46204</v>
      </c>
      <c r="H3363" s="2" t="s">
        <v>176</v>
      </c>
      <c r="I3363" s="2" t="s">
        <v>76</v>
      </c>
      <c r="J3363" s="9">
        <v>168584806.45161301</v>
      </c>
      <c r="K3363" s="7">
        <v>6.1299999999999999E-5</v>
      </c>
      <c r="L3363" s="9">
        <v>10334.25</v>
      </c>
      <c r="M3363" s="9">
        <v>10452.26</v>
      </c>
      <c r="N3363" s="9">
        <v>5.68</v>
      </c>
      <c r="O3363" s="10">
        <f>IF(AND(OR(H3363="APPROVED",H3363="SCHEDULED"),COUNTIFS(tblSource[EventID],F3363,tblSource[ReleaseStatus],"APPROVED")=1,COUNTIFS(Period_Status!$A$2:$A$8,G3363,Period_Status!$B$2:$B$8,"ActualClosed")=1,C3363&gt;EOMONTH(Settlement_Bridge!$C$2,0)),1,0)</f>
        <v>1</v>
      </c>
      <c r="P3363" s="2" t="s">
        <v>9256</v>
      </c>
    </row>
    <row r="3364" spans="1:16" x14ac:dyDescent="0.25">
      <c r="A3364" s="2" t="s">
        <v>9257</v>
      </c>
      <c r="B3364" s="2" t="s">
        <v>7433</v>
      </c>
      <c r="C3364" s="8">
        <v>46245</v>
      </c>
      <c r="D3364" s="6">
        <v>46235</v>
      </c>
      <c r="E3364" s="2" t="s">
        <v>260</v>
      </c>
      <c r="F3364" s="2" t="s">
        <v>9258</v>
      </c>
      <c r="G3364" s="6">
        <v>46204</v>
      </c>
      <c r="H3364" s="2" t="s">
        <v>71</v>
      </c>
      <c r="I3364" s="2" t="s">
        <v>70</v>
      </c>
      <c r="J3364" s="9">
        <v>-26895.516716999999</v>
      </c>
      <c r="K3364" s="7">
        <v>0.65</v>
      </c>
      <c r="L3364" s="9">
        <v>-17482.09</v>
      </c>
      <c r="M3364" s="9">
        <v>-17697.25</v>
      </c>
      <c r="N3364" s="9">
        <v>0</v>
      </c>
      <c r="O3364" s="10">
        <f>IF(AND(OR(H3364="APPROVED",H3364="SCHEDULED"),COUNTIFS(tblSource[EventID],F3364,tblSource[ReleaseStatus],"APPROVED")=1,COUNTIFS(Period_Status!$A$2:$A$8,G3364,Period_Status!$B$2:$B$8,"ActualClosed")=1,C3364&gt;EOMONTH(Settlement_Bridge!$C$2,0)),1,0)</f>
        <v>1</v>
      </c>
      <c r="P3364" s="2" t="s">
        <v>9259</v>
      </c>
    </row>
    <row r="3365" spans="1:16" x14ac:dyDescent="0.25">
      <c r="A3365" s="2" t="s">
        <v>9260</v>
      </c>
      <c r="B3365" s="2" t="s">
        <v>7433</v>
      </c>
      <c r="C3365" s="8">
        <v>46246</v>
      </c>
      <c r="D3365" s="6">
        <v>46235</v>
      </c>
      <c r="E3365" s="2" t="s">
        <v>260</v>
      </c>
      <c r="F3365" s="2" t="s">
        <v>9261</v>
      </c>
      <c r="G3365" s="6">
        <v>46204</v>
      </c>
      <c r="H3365" s="2" t="s">
        <v>71</v>
      </c>
      <c r="I3365" s="2" t="s">
        <v>39</v>
      </c>
      <c r="J3365" s="9">
        <v>7189.6239999999998</v>
      </c>
      <c r="K3365" s="7">
        <v>1</v>
      </c>
      <c r="L3365" s="9">
        <v>7189.62</v>
      </c>
      <c r="M3365" s="9">
        <v>7189.62</v>
      </c>
      <c r="N3365" s="9">
        <v>3.95</v>
      </c>
      <c r="O3365" s="10">
        <f>IF(AND(OR(H3365="APPROVED",H3365="SCHEDULED"),COUNTIFS(tblSource[EventID],F3365,tblSource[ReleaseStatus],"APPROVED")=1,COUNTIFS(Period_Status!$A$2:$A$8,G3365,Period_Status!$B$2:$B$8,"ActualClosed")=1,C3365&gt;EOMONTH(Settlement_Bridge!$C$2,0)),1,0)</f>
        <v>1</v>
      </c>
      <c r="P3365" s="2" t="s">
        <v>9262</v>
      </c>
    </row>
    <row r="3366" spans="1:16" x14ac:dyDescent="0.25">
      <c r="A3366" s="2" t="s">
        <v>9263</v>
      </c>
      <c r="B3366" s="2" t="s">
        <v>7433</v>
      </c>
      <c r="C3366" s="8">
        <v>46271</v>
      </c>
      <c r="D3366" s="6">
        <v>46266</v>
      </c>
      <c r="E3366" s="2" t="s">
        <v>260</v>
      </c>
      <c r="F3366" s="2" t="s">
        <v>9261</v>
      </c>
      <c r="G3366" s="6">
        <v>46204</v>
      </c>
      <c r="H3366" s="2" t="s">
        <v>176</v>
      </c>
      <c r="I3366" s="2" t="s">
        <v>39</v>
      </c>
      <c r="J3366" s="9">
        <v>10784.436</v>
      </c>
      <c r="K3366" s="7">
        <v>1</v>
      </c>
      <c r="L3366" s="9">
        <v>10784.44</v>
      </c>
      <c r="M3366" s="9">
        <v>10784.44</v>
      </c>
      <c r="N3366" s="9">
        <v>5.93</v>
      </c>
      <c r="O3366" s="10">
        <f>IF(AND(OR(H3366="APPROVED",H3366="SCHEDULED"),COUNTIFS(tblSource[EventID],F3366,tblSource[ReleaseStatus],"APPROVED")=1,COUNTIFS(Period_Status!$A$2:$A$8,G3366,Period_Status!$B$2:$B$8,"ActualClosed")=1,C3366&gt;EOMONTH(Settlement_Bridge!$C$2,0)),1,0)</f>
        <v>1</v>
      </c>
      <c r="P3366" s="2" t="s">
        <v>9264</v>
      </c>
    </row>
    <row r="3367" spans="1:16" x14ac:dyDescent="0.25">
      <c r="A3367" s="2" t="s">
        <v>9265</v>
      </c>
      <c r="B3367" s="2" t="s">
        <v>7433</v>
      </c>
      <c r="C3367" s="8">
        <v>46247</v>
      </c>
      <c r="D3367" s="6">
        <v>46235</v>
      </c>
      <c r="E3367" s="2" t="s">
        <v>260</v>
      </c>
      <c r="F3367" s="2" t="s">
        <v>9266</v>
      </c>
      <c r="G3367" s="6">
        <v>46204</v>
      </c>
      <c r="H3367" s="2" t="s">
        <v>71</v>
      </c>
      <c r="I3367" s="2" t="s">
        <v>76</v>
      </c>
      <c r="J3367" s="9">
        <v>117747612.903226</v>
      </c>
      <c r="K3367" s="7">
        <v>6.1500000000000004E-5</v>
      </c>
      <c r="L3367" s="9">
        <v>7241.48</v>
      </c>
      <c r="M3367" s="9">
        <v>7300.35</v>
      </c>
      <c r="N3367" s="9">
        <v>3.98</v>
      </c>
      <c r="O3367" s="10">
        <f>IF(AND(OR(H3367="APPROVED",H3367="SCHEDULED"),COUNTIFS(tblSource[EventID],F3367,tblSource[ReleaseStatus],"APPROVED")=1,COUNTIFS(Period_Status!$A$2:$A$8,G3367,Period_Status!$B$2:$B$8,"ActualClosed")=1,C3367&gt;EOMONTH(Settlement_Bridge!$C$2,0)),1,0)</f>
        <v>1</v>
      </c>
      <c r="P3367" s="2" t="s">
        <v>9267</v>
      </c>
    </row>
    <row r="3368" spans="1:16" x14ac:dyDescent="0.25">
      <c r="A3368" s="2" t="s">
        <v>9268</v>
      </c>
      <c r="B3368" s="2" t="s">
        <v>7433</v>
      </c>
      <c r="C3368" s="8">
        <v>46272</v>
      </c>
      <c r="D3368" s="6">
        <v>46266</v>
      </c>
      <c r="E3368" s="2" t="s">
        <v>260</v>
      </c>
      <c r="F3368" s="2" t="s">
        <v>9266</v>
      </c>
      <c r="G3368" s="6">
        <v>46204</v>
      </c>
      <c r="H3368" s="2" t="s">
        <v>176</v>
      </c>
      <c r="I3368" s="2" t="s">
        <v>76</v>
      </c>
      <c r="J3368" s="9">
        <v>176621419.354839</v>
      </c>
      <c r="K3368" s="7">
        <v>6.1299999999999999E-5</v>
      </c>
      <c r="L3368" s="9">
        <v>10826.89</v>
      </c>
      <c r="M3368" s="9">
        <v>10950.53</v>
      </c>
      <c r="N3368" s="9">
        <v>5.95</v>
      </c>
      <c r="O3368" s="10">
        <f>IF(AND(OR(H3368="APPROVED",H3368="SCHEDULED"),COUNTIFS(tblSource[EventID],F3368,tblSource[ReleaseStatus],"APPROVED")=1,COUNTIFS(Period_Status!$A$2:$A$8,G3368,Period_Status!$B$2:$B$8,"ActualClosed")=1,C3368&gt;EOMONTH(Settlement_Bridge!$C$2,0)),1,0)</f>
        <v>1</v>
      </c>
      <c r="P3368" s="2" t="s">
        <v>9269</v>
      </c>
    </row>
    <row r="3369" spans="1:16" x14ac:dyDescent="0.25">
      <c r="A3369" s="2" t="s">
        <v>9270</v>
      </c>
      <c r="B3369" s="2" t="s">
        <v>7433</v>
      </c>
      <c r="C3369" s="8">
        <v>46248</v>
      </c>
      <c r="D3369" s="6">
        <v>46235</v>
      </c>
      <c r="E3369" s="2" t="s">
        <v>260</v>
      </c>
      <c r="F3369" s="2" t="s">
        <v>9271</v>
      </c>
      <c r="G3369" s="6">
        <v>46204</v>
      </c>
      <c r="H3369" s="2" t="s">
        <v>71</v>
      </c>
      <c r="I3369" s="2" t="s">
        <v>70</v>
      </c>
      <c r="J3369" s="9">
        <v>11263.033434999999</v>
      </c>
      <c r="K3369" s="7">
        <v>0.65</v>
      </c>
      <c r="L3369" s="9">
        <v>7320.97</v>
      </c>
      <c r="M3369" s="9">
        <v>7411.08</v>
      </c>
      <c r="N3369" s="9">
        <v>4.03</v>
      </c>
      <c r="O3369" s="10">
        <f>IF(AND(OR(H3369="APPROVED",H3369="SCHEDULED"),COUNTIFS(tblSource[EventID],F3369,tblSource[ReleaseStatus],"APPROVED")=1,COUNTIFS(Period_Status!$A$2:$A$8,G3369,Period_Status!$B$2:$B$8,"ActualClosed")=1,C3369&gt;EOMONTH(Settlement_Bridge!$C$2,0)),1,0)</f>
        <v>1</v>
      </c>
      <c r="P3369" s="2" t="s">
        <v>9272</v>
      </c>
    </row>
    <row r="3370" spans="1:16" x14ac:dyDescent="0.25">
      <c r="A3370" s="2" t="s">
        <v>9273</v>
      </c>
      <c r="B3370" s="2" t="s">
        <v>7433</v>
      </c>
      <c r="C3370" s="8">
        <v>46273</v>
      </c>
      <c r="D3370" s="6">
        <v>46266</v>
      </c>
      <c r="E3370" s="2" t="s">
        <v>260</v>
      </c>
      <c r="F3370" s="2" t="s">
        <v>9271</v>
      </c>
      <c r="G3370" s="6">
        <v>46204</v>
      </c>
      <c r="H3370" s="2" t="s">
        <v>176</v>
      </c>
      <c r="I3370" s="2" t="s">
        <v>70</v>
      </c>
      <c r="J3370" s="9">
        <v>16894.550152</v>
      </c>
      <c r="K3370" s="7">
        <v>0.65100000000000002</v>
      </c>
      <c r="L3370" s="9">
        <v>10998.35</v>
      </c>
      <c r="M3370" s="9">
        <v>11116.61</v>
      </c>
      <c r="N3370" s="9">
        <v>6.05</v>
      </c>
      <c r="O3370" s="10">
        <f>IF(AND(OR(H3370="APPROVED",H3370="SCHEDULED"),COUNTIFS(tblSource[EventID],F3370,tblSource[ReleaseStatus],"APPROVED")=1,COUNTIFS(Period_Status!$A$2:$A$8,G3370,Period_Status!$B$2:$B$8,"ActualClosed")=1,C3370&gt;EOMONTH(Settlement_Bridge!$C$2,0)),1,0)</f>
        <v>1</v>
      </c>
      <c r="P3370" s="2" t="s">
        <v>9274</v>
      </c>
    </row>
    <row r="3371" spans="1:16" x14ac:dyDescent="0.25">
      <c r="A3371" s="2" t="s">
        <v>9275</v>
      </c>
      <c r="B3371" s="2" t="s">
        <v>7433</v>
      </c>
      <c r="C3371" s="8">
        <v>46218</v>
      </c>
      <c r="D3371" s="6">
        <v>46204</v>
      </c>
      <c r="E3371" s="2" t="s">
        <v>260</v>
      </c>
      <c r="F3371" s="2" t="s">
        <v>9276</v>
      </c>
      <c r="G3371" s="6">
        <v>46204</v>
      </c>
      <c r="H3371" s="2" t="s">
        <v>71</v>
      </c>
      <c r="I3371" s="2" t="s">
        <v>39</v>
      </c>
      <c r="J3371" s="9">
        <v>7521.8040000000001</v>
      </c>
      <c r="K3371" s="7">
        <v>1</v>
      </c>
      <c r="L3371" s="9">
        <v>7521.8</v>
      </c>
      <c r="M3371" s="9">
        <v>7521.8</v>
      </c>
      <c r="N3371" s="9">
        <v>4.1399999999999997</v>
      </c>
      <c r="O3371" s="10">
        <f>IF(AND(OR(H3371="APPROVED",H3371="SCHEDULED"),COUNTIFS(tblSource[EventID],F3371,tblSource[ReleaseStatus],"APPROVED")=1,COUNTIFS(Period_Status!$A$2:$A$8,G3371,Period_Status!$B$2:$B$8,"ActualClosed")=1,C3371&gt;EOMONTH(Settlement_Bridge!$C$2,0)),1,0)</f>
        <v>0</v>
      </c>
      <c r="P3371" s="2" t="s">
        <v>9277</v>
      </c>
    </row>
    <row r="3372" spans="1:16" x14ac:dyDescent="0.25">
      <c r="A3372" s="2" t="s">
        <v>9278</v>
      </c>
      <c r="B3372" s="2" t="s">
        <v>7433</v>
      </c>
      <c r="C3372" s="8">
        <v>46243</v>
      </c>
      <c r="D3372" s="6">
        <v>46235</v>
      </c>
      <c r="E3372" s="2" t="s">
        <v>260</v>
      </c>
      <c r="F3372" s="2" t="s">
        <v>9276</v>
      </c>
      <c r="G3372" s="6">
        <v>46204</v>
      </c>
      <c r="H3372" s="2" t="s">
        <v>71</v>
      </c>
      <c r="I3372" s="2" t="s">
        <v>39</v>
      </c>
      <c r="J3372" s="9">
        <v>11282.706</v>
      </c>
      <c r="K3372" s="7">
        <v>1</v>
      </c>
      <c r="L3372" s="9">
        <v>11282.71</v>
      </c>
      <c r="M3372" s="9">
        <v>11282.71</v>
      </c>
      <c r="N3372" s="9">
        <v>6.21</v>
      </c>
      <c r="O3372" s="10">
        <f>IF(AND(OR(H3372="APPROVED",H3372="SCHEDULED"),COUNTIFS(tblSource[EventID],F3372,tblSource[ReleaseStatus],"APPROVED")=1,COUNTIFS(Period_Status!$A$2:$A$8,G3372,Period_Status!$B$2:$B$8,"ActualClosed")=1,C3372&gt;EOMONTH(Settlement_Bridge!$C$2,0)),1,0)</f>
        <v>1</v>
      </c>
      <c r="P3372" s="2" t="s">
        <v>9279</v>
      </c>
    </row>
    <row r="3373" spans="1:16" x14ac:dyDescent="0.25">
      <c r="A3373" s="2" t="s">
        <v>9280</v>
      </c>
      <c r="B3373" s="2" t="s">
        <v>7433</v>
      </c>
      <c r="C3373" s="8">
        <v>46219</v>
      </c>
      <c r="D3373" s="6">
        <v>46204</v>
      </c>
      <c r="E3373" s="2" t="s">
        <v>260</v>
      </c>
      <c r="F3373" s="2" t="s">
        <v>9281</v>
      </c>
      <c r="G3373" s="6">
        <v>46204</v>
      </c>
      <c r="H3373" s="2" t="s">
        <v>71</v>
      </c>
      <c r="I3373" s="2" t="s">
        <v>76</v>
      </c>
      <c r="J3373" s="9">
        <v>123105354.83871</v>
      </c>
      <c r="K3373" s="7">
        <v>6.2000000000000003E-5</v>
      </c>
      <c r="L3373" s="9">
        <v>7632.53</v>
      </c>
      <c r="M3373" s="9">
        <v>7632.53</v>
      </c>
      <c r="N3373" s="9">
        <v>4.2</v>
      </c>
      <c r="O3373" s="10">
        <f>IF(AND(OR(H3373="APPROVED",H3373="SCHEDULED"),COUNTIFS(tblSource[EventID],F3373,tblSource[ReleaseStatus],"APPROVED")=1,COUNTIFS(Period_Status!$A$2:$A$8,G3373,Period_Status!$B$2:$B$8,"ActualClosed")=1,C3373&gt;EOMONTH(Settlement_Bridge!$C$2,0)),1,0)</f>
        <v>0</v>
      </c>
      <c r="P3373" s="2" t="s">
        <v>9282</v>
      </c>
    </row>
    <row r="3374" spans="1:16" x14ac:dyDescent="0.25">
      <c r="A3374" s="2" t="s">
        <v>9283</v>
      </c>
      <c r="B3374" s="2" t="s">
        <v>7433</v>
      </c>
      <c r="C3374" s="8">
        <v>46244</v>
      </c>
      <c r="D3374" s="6">
        <v>46235</v>
      </c>
      <c r="E3374" s="2" t="s">
        <v>260</v>
      </c>
      <c r="F3374" s="2" t="s">
        <v>9281</v>
      </c>
      <c r="G3374" s="6">
        <v>46204</v>
      </c>
      <c r="H3374" s="2" t="s">
        <v>71</v>
      </c>
      <c r="I3374" s="2" t="s">
        <v>76</v>
      </c>
      <c r="J3374" s="9">
        <v>184658032.258064</v>
      </c>
      <c r="K3374" s="7">
        <v>6.1500000000000004E-5</v>
      </c>
      <c r="L3374" s="9">
        <v>11356.47</v>
      </c>
      <c r="M3374" s="9">
        <v>11448.8</v>
      </c>
      <c r="N3374" s="9">
        <v>6.25</v>
      </c>
      <c r="O3374" s="10">
        <f>IF(AND(OR(H3374="APPROVED",H3374="SCHEDULED"),COUNTIFS(tblSource[EventID],F3374,tblSource[ReleaseStatus],"APPROVED")=1,COUNTIFS(Period_Status!$A$2:$A$8,G3374,Period_Status!$B$2:$B$8,"ActualClosed")=1,C3374&gt;EOMONTH(Settlement_Bridge!$C$2,0)),1,0)</f>
        <v>1</v>
      </c>
      <c r="P3374" s="2" t="s">
        <v>9284</v>
      </c>
    </row>
    <row r="3375" spans="1:16" x14ac:dyDescent="0.25">
      <c r="A3375" s="2" t="s">
        <v>9285</v>
      </c>
      <c r="B3375" s="2" t="s">
        <v>7433</v>
      </c>
      <c r="C3375" s="8">
        <v>46220</v>
      </c>
      <c r="D3375" s="6">
        <v>46204</v>
      </c>
      <c r="E3375" s="2" t="s">
        <v>260</v>
      </c>
      <c r="F3375" s="2" t="s">
        <v>9286</v>
      </c>
      <c r="G3375" s="6">
        <v>46204</v>
      </c>
      <c r="H3375" s="2" t="s">
        <v>71</v>
      </c>
      <c r="I3375" s="2" t="s">
        <v>70</v>
      </c>
      <c r="J3375" s="9">
        <v>11767.866260999999</v>
      </c>
      <c r="K3375" s="7">
        <v>0.65800000000000003</v>
      </c>
      <c r="L3375" s="9">
        <v>7743.26</v>
      </c>
      <c r="M3375" s="9">
        <v>7743.26</v>
      </c>
      <c r="N3375" s="9">
        <v>4.26</v>
      </c>
      <c r="O3375" s="10">
        <f>IF(AND(OR(H3375="APPROVED",H3375="SCHEDULED"),COUNTIFS(tblSource[EventID],F3375,tblSource[ReleaseStatus],"APPROVED")=1,COUNTIFS(Period_Status!$A$2:$A$8,G3375,Period_Status!$B$2:$B$8,"ActualClosed")=1,C3375&gt;EOMONTH(Settlement_Bridge!$C$2,0)),1,0)</f>
        <v>0</v>
      </c>
      <c r="P3375" s="2" t="s">
        <v>9287</v>
      </c>
    </row>
    <row r="3376" spans="1:16" x14ac:dyDescent="0.25">
      <c r="A3376" s="2" t="s">
        <v>9288</v>
      </c>
      <c r="B3376" s="2" t="s">
        <v>7433</v>
      </c>
      <c r="C3376" s="8">
        <v>46245</v>
      </c>
      <c r="D3376" s="6">
        <v>46235</v>
      </c>
      <c r="E3376" s="2" t="s">
        <v>260</v>
      </c>
      <c r="F3376" s="2" t="s">
        <v>9286</v>
      </c>
      <c r="G3376" s="6">
        <v>46204</v>
      </c>
      <c r="H3376" s="2" t="s">
        <v>71</v>
      </c>
      <c r="I3376" s="2" t="s">
        <v>70</v>
      </c>
      <c r="J3376" s="9">
        <v>17651.799392000001</v>
      </c>
      <c r="K3376" s="7">
        <v>0.65</v>
      </c>
      <c r="L3376" s="9">
        <v>11473.67</v>
      </c>
      <c r="M3376" s="9">
        <v>11614.88</v>
      </c>
      <c r="N3376" s="9">
        <v>6.31</v>
      </c>
      <c r="O3376" s="10">
        <f>IF(AND(OR(H3376="APPROVED",H3376="SCHEDULED"),COUNTIFS(tblSource[EventID],F3376,tblSource[ReleaseStatus],"APPROVED")=1,COUNTIFS(Period_Status!$A$2:$A$8,G3376,Period_Status!$B$2:$B$8,"ActualClosed")=1,C3376&gt;EOMONTH(Settlement_Bridge!$C$2,0)),1,0)</f>
        <v>1</v>
      </c>
      <c r="P3376" s="2" t="s">
        <v>9289</v>
      </c>
    </row>
    <row r="3377" spans="1:16" x14ac:dyDescent="0.25">
      <c r="A3377" s="2" t="s">
        <v>9290</v>
      </c>
      <c r="B3377" s="2" t="s">
        <v>7433</v>
      </c>
      <c r="C3377" s="8">
        <v>46221</v>
      </c>
      <c r="D3377" s="6">
        <v>46204</v>
      </c>
      <c r="E3377" s="2" t="s">
        <v>260</v>
      </c>
      <c r="F3377" s="2" t="s">
        <v>9291</v>
      </c>
      <c r="G3377" s="6">
        <v>46204</v>
      </c>
      <c r="H3377" s="2" t="s">
        <v>71</v>
      </c>
      <c r="I3377" s="2" t="s">
        <v>39</v>
      </c>
      <c r="J3377" s="9">
        <v>7853.9840000000004</v>
      </c>
      <c r="K3377" s="7">
        <v>1</v>
      </c>
      <c r="L3377" s="9">
        <v>7853.98</v>
      </c>
      <c r="M3377" s="9">
        <v>7853.98</v>
      </c>
      <c r="N3377" s="9">
        <v>4.32</v>
      </c>
      <c r="O3377" s="10">
        <f>IF(AND(OR(H3377="APPROVED",H3377="SCHEDULED"),COUNTIFS(tblSource[EventID],F3377,tblSource[ReleaseStatus],"APPROVED")=1,COUNTIFS(Period_Status!$A$2:$A$8,G3377,Period_Status!$B$2:$B$8,"ActualClosed")=1,C3377&gt;EOMONTH(Settlement_Bridge!$C$2,0)),1,0)</f>
        <v>0</v>
      </c>
      <c r="P3377" s="2" t="s">
        <v>9292</v>
      </c>
    </row>
    <row r="3378" spans="1:16" x14ac:dyDescent="0.25">
      <c r="A3378" s="2" t="s">
        <v>9293</v>
      </c>
      <c r="B3378" s="2" t="s">
        <v>7433</v>
      </c>
      <c r="C3378" s="8">
        <v>46246</v>
      </c>
      <c r="D3378" s="6">
        <v>46235</v>
      </c>
      <c r="E3378" s="2" t="s">
        <v>260</v>
      </c>
      <c r="F3378" s="2" t="s">
        <v>9291</v>
      </c>
      <c r="G3378" s="6">
        <v>46204</v>
      </c>
      <c r="H3378" s="2" t="s">
        <v>71</v>
      </c>
      <c r="I3378" s="2" t="s">
        <v>39</v>
      </c>
      <c r="J3378" s="9">
        <v>11780.976000000001</v>
      </c>
      <c r="K3378" s="7">
        <v>1</v>
      </c>
      <c r="L3378" s="9">
        <v>11780.98</v>
      </c>
      <c r="M3378" s="9">
        <v>11780.98</v>
      </c>
      <c r="N3378" s="9">
        <v>6.48</v>
      </c>
      <c r="O3378" s="10">
        <f>IF(AND(OR(H3378="APPROVED",H3378="SCHEDULED"),COUNTIFS(tblSource[EventID],F3378,tblSource[ReleaseStatus],"APPROVED")=1,COUNTIFS(Period_Status!$A$2:$A$8,G3378,Period_Status!$B$2:$B$8,"ActualClosed")=1,C3378&gt;EOMONTH(Settlement_Bridge!$C$2,0)),1,0)</f>
        <v>1</v>
      </c>
      <c r="P3378" s="2" t="s">
        <v>9294</v>
      </c>
    </row>
    <row r="3379" spans="1:16" x14ac:dyDescent="0.25">
      <c r="A3379" s="2" t="s">
        <v>9295</v>
      </c>
      <c r="B3379" s="2" t="s">
        <v>7433</v>
      </c>
      <c r="C3379" s="8">
        <v>46222</v>
      </c>
      <c r="D3379" s="6">
        <v>46204</v>
      </c>
      <c r="E3379" s="2" t="s">
        <v>260</v>
      </c>
      <c r="F3379" s="2" t="s">
        <v>9296</v>
      </c>
      <c r="G3379" s="6">
        <v>46204</v>
      </c>
      <c r="H3379" s="2" t="s">
        <v>71</v>
      </c>
      <c r="I3379" s="2" t="s">
        <v>76</v>
      </c>
      <c r="J3379" s="9">
        <v>128463096.774194</v>
      </c>
      <c r="K3379" s="7">
        <v>6.2000000000000003E-5</v>
      </c>
      <c r="L3379" s="9">
        <v>7964.71</v>
      </c>
      <c r="M3379" s="9">
        <v>7964.71</v>
      </c>
      <c r="N3379" s="9">
        <v>4.38</v>
      </c>
      <c r="O3379" s="10">
        <f>IF(AND(OR(H3379="APPROVED",H3379="SCHEDULED"),COUNTIFS(tblSource[EventID],F3379,tblSource[ReleaseStatus],"APPROVED")=1,COUNTIFS(Period_Status!$A$2:$A$8,G3379,Period_Status!$B$2:$B$8,"ActualClosed")=1,C3379&gt;EOMONTH(Settlement_Bridge!$C$2,0)),1,0)</f>
        <v>0</v>
      </c>
      <c r="P3379" s="2" t="s">
        <v>9297</v>
      </c>
    </row>
    <row r="3380" spans="1:16" x14ac:dyDescent="0.25">
      <c r="A3380" s="2" t="s">
        <v>9298</v>
      </c>
      <c r="B3380" s="2" t="s">
        <v>7433</v>
      </c>
      <c r="C3380" s="8">
        <v>46247</v>
      </c>
      <c r="D3380" s="6">
        <v>46235</v>
      </c>
      <c r="E3380" s="2" t="s">
        <v>260</v>
      </c>
      <c r="F3380" s="2" t="s">
        <v>9296</v>
      </c>
      <c r="G3380" s="6">
        <v>46204</v>
      </c>
      <c r="H3380" s="2" t="s">
        <v>71</v>
      </c>
      <c r="I3380" s="2" t="s">
        <v>76</v>
      </c>
      <c r="J3380" s="9">
        <v>192694645.16128999</v>
      </c>
      <c r="K3380" s="7">
        <v>6.1500000000000004E-5</v>
      </c>
      <c r="L3380" s="9">
        <v>11850.72</v>
      </c>
      <c r="M3380" s="9">
        <v>11947.07</v>
      </c>
      <c r="N3380" s="9">
        <v>6.52</v>
      </c>
      <c r="O3380" s="10">
        <f>IF(AND(OR(H3380="APPROVED",H3380="SCHEDULED"),COUNTIFS(tblSource[EventID],F3380,tblSource[ReleaseStatus],"APPROVED")=1,COUNTIFS(Period_Status!$A$2:$A$8,G3380,Period_Status!$B$2:$B$8,"ActualClosed")=1,C3380&gt;EOMONTH(Settlement_Bridge!$C$2,0)),1,0)</f>
        <v>1</v>
      </c>
      <c r="P3380" s="2" t="s">
        <v>9299</v>
      </c>
    </row>
    <row r="3381" spans="1:16" x14ac:dyDescent="0.25">
      <c r="A3381" s="2" t="s">
        <v>9300</v>
      </c>
      <c r="B3381" s="2" t="s">
        <v>7433</v>
      </c>
      <c r="C3381" s="8">
        <v>46223</v>
      </c>
      <c r="D3381" s="6">
        <v>46204</v>
      </c>
      <c r="E3381" s="2" t="s">
        <v>260</v>
      </c>
      <c r="F3381" s="2" t="s">
        <v>9301</v>
      </c>
      <c r="G3381" s="6">
        <v>46204</v>
      </c>
      <c r="H3381" s="2" t="s">
        <v>71</v>
      </c>
      <c r="I3381" s="2" t="s">
        <v>70</v>
      </c>
      <c r="J3381" s="9">
        <v>12272.699087999999</v>
      </c>
      <c r="K3381" s="7">
        <v>0.65800000000000003</v>
      </c>
      <c r="L3381" s="9">
        <v>8075.44</v>
      </c>
      <c r="M3381" s="9">
        <v>8075.44</v>
      </c>
      <c r="N3381" s="9">
        <v>4.4400000000000004</v>
      </c>
      <c r="O3381" s="10">
        <f>IF(AND(OR(H3381="APPROVED",H3381="SCHEDULED"),COUNTIFS(tblSource[EventID],F3381,tblSource[ReleaseStatus],"APPROVED")=1,COUNTIFS(Period_Status!$A$2:$A$8,G3381,Period_Status!$B$2:$B$8,"ActualClosed")=1,C3381&gt;EOMONTH(Settlement_Bridge!$C$2,0)),1,0)</f>
        <v>0</v>
      </c>
      <c r="P3381" s="2" t="s">
        <v>9302</v>
      </c>
    </row>
    <row r="3382" spans="1:16" x14ac:dyDescent="0.25">
      <c r="A3382" s="2" t="s">
        <v>9303</v>
      </c>
      <c r="B3382" s="2" t="s">
        <v>7433</v>
      </c>
      <c r="C3382" s="8">
        <v>46248</v>
      </c>
      <c r="D3382" s="6">
        <v>46235</v>
      </c>
      <c r="E3382" s="2" t="s">
        <v>260</v>
      </c>
      <c r="F3382" s="2" t="s">
        <v>9301</v>
      </c>
      <c r="G3382" s="6">
        <v>46204</v>
      </c>
      <c r="H3382" s="2" t="s">
        <v>71</v>
      </c>
      <c r="I3382" s="2" t="s">
        <v>70</v>
      </c>
      <c r="J3382" s="9">
        <v>18409.048632000002</v>
      </c>
      <c r="K3382" s="7">
        <v>0.65</v>
      </c>
      <c r="L3382" s="9">
        <v>11965.88</v>
      </c>
      <c r="M3382" s="9">
        <v>12113.15</v>
      </c>
      <c r="N3382" s="9">
        <v>6.58</v>
      </c>
      <c r="O3382" s="10">
        <f>IF(AND(OR(H3382="APPROVED",H3382="SCHEDULED"),COUNTIFS(tblSource[EventID],F3382,tblSource[ReleaseStatus],"APPROVED")=1,COUNTIFS(Period_Status!$A$2:$A$8,G3382,Period_Status!$B$2:$B$8,"ActualClosed")=1,C3382&gt;EOMONTH(Settlement_Bridge!$C$2,0)),1,0)</f>
        <v>1</v>
      </c>
      <c r="P3382" s="2" t="s">
        <v>9304</v>
      </c>
    </row>
    <row r="3383" spans="1:16" x14ac:dyDescent="0.25">
      <c r="A3383" s="2" t="s">
        <v>9305</v>
      </c>
      <c r="B3383" s="2" t="s">
        <v>7433</v>
      </c>
      <c r="C3383" s="8">
        <v>46224</v>
      </c>
      <c r="D3383" s="6">
        <v>46204</v>
      </c>
      <c r="E3383" s="2" t="s">
        <v>260</v>
      </c>
      <c r="F3383" s="2" t="s">
        <v>9306</v>
      </c>
      <c r="G3383" s="6">
        <v>46204</v>
      </c>
      <c r="H3383" s="2" t="s">
        <v>71</v>
      </c>
      <c r="I3383" s="2" t="s">
        <v>39</v>
      </c>
      <c r="J3383" s="9">
        <v>8186.1639999999998</v>
      </c>
      <c r="K3383" s="7">
        <v>1</v>
      </c>
      <c r="L3383" s="9">
        <v>8186.16</v>
      </c>
      <c r="M3383" s="9">
        <v>8186.16</v>
      </c>
      <c r="N3383" s="9">
        <v>4.5</v>
      </c>
      <c r="O3383" s="10">
        <f>IF(AND(OR(H3383="APPROVED",H3383="SCHEDULED"),COUNTIFS(tblSource[EventID],F3383,tblSource[ReleaseStatus],"APPROVED")=1,COUNTIFS(Period_Status!$A$2:$A$8,G3383,Period_Status!$B$2:$B$8,"ActualClosed")=1,C3383&gt;EOMONTH(Settlement_Bridge!$C$2,0)),1,0)</f>
        <v>0</v>
      </c>
      <c r="P3383" s="2" t="s">
        <v>9307</v>
      </c>
    </row>
    <row r="3384" spans="1:16" x14ac:dyDescent="0.25">
      <c r="A3384" s="2" t="s">
        <v>9308</v>
      </c>
      <c r="B3384" s="2" t="s">
        <v>7433</v>
      </c>
      <c r="C3384" s="8">
        <v>46249</v>
      </c>
      <c r="D3384" s="6">
        <v>46235</v>
      </c>
      <c r="E3384" s="2" t="s">
        <v>260</v>
      </c>
      <c r="F3384" s="2" t="s">
        <v>9306</v>
      </c>
      <c r="G3384" s="6">
        <v>46204</v>
      </c>
      <c r="H3384" s="2" t="s">
        <v>71</v>
      </c>
      <c r="I3384" s="2" t="s">
        <v>39</v>
      </c>
      <c r="J3384" s="9">
        <v>12279.245999999999</v>
      </c>
      <c r="K3384" s="7">
        <v>1</v>
      </c>
      <c r="L3384" s="9">
        <v>12279.25</v>
      </c>
      <c r="M3384" s="9">
        <v>12279.25</v>
      </c>
      <c r="N3384" s="9">
        <v>6.75</v>
      </c>
      <c r="O3384" s="10">
        <f>IF(AND(OR(H3384="APPROVED",H3384="SCHEDULED"),COUNTIFS(tblSource[EventID],F3384,tblSource[ReleaseStatus],"APPROVED")=1,COUNTIFS(Period_Status!$A$2:$A$8,G3384,Period_Status!$B$2:$B$8,"ActualClosed")=1,C3384&gt;EOMONTH(Settlement_Bridge!$C$2,0)),1,0)</f>
        <v>1</v>
      </c>
      <c r="P3384" s="2" t="s">
        <v>9309</v>
      </c>
    </row>
    <row r="3385" spans="1:16" x14ac:dyDescent="0.25">
      <c r="A3385" s="2" t="s">
        <v>9310</v>
      </c>
      <c r="B3385" s="2" t="s">
        <v>7433</v>
      </c>
      <c r="C3385" s="8">
        <v>46225</v>
      </c>
      <c r="D3385" s="6">
        <v>46204</v>
      </c>
      <c r="E3385" s="2" t="s">
        <v>260</v>
      </c>
      <c r="F3385" s="2" t="s">
        <v>9311</v>
      </c>
      <c r="G3385" s="6">
        <v>46204</v>
      </c>
      <c r="H3385" s="2" t="s">
        <v>71</v>
      </c>
      <c r="I3385" s="2" t="s">
        <v>76</v>
      </c>
      <c r="J3385" s="9">
        <v>133820774.19354799</v>
      </c>
      <c r="K3385" s="7">
        <v>6.2000000000000003E-5</v>
      </c>
      <c r="L3385" s="9">
        <v>8296.89</v>
      </c>
      <c r="M3385" s="9">
        <v>8296.89</v>
      </c>
      <c r="N3385" s="9">
        <v>4.5599999999999996</v>
      </c>
      <c r="O3385" s="10">
        <f>IF(AND(OR(H3385="APPROVED",H3385="SCHEDULED"),COUNTIFS(tblSource[EventID],F3385,tblSource[ReleaseStatus],"APPROVED")=1,COUNTIFS(Period_Status!$A$2:$A$8,G3385,Period_Status!$B$2:$B$8,"ActualClosed")=1,C3385&gt;EOMONTH(Settlement_Bridge!$C$2,0)),1,0)</f>
        <v>0</v>
      </c>
      <c r="P3385" s="2" t="s">
        <v>9312</v>
      </c>
    </row>
    <row r="3386" spans="1:16" x14ac:dyDescent="0.25">
      <c r="A3386" s="2" t="s">
        <v>9313</v>
      </c>
      <c r="B3386" s="2" t="s">
        <v>7433</v>
      </c>
      <c r="C3386" s="8">
        <v>46250</v>
      </c>
      <c r="D3386" s="6">
        <v>46235</v>
      </c>
      <c r="E3386" s="2" t="s">
        <v>260</v>
      </c>
      <c r="F3386" s="2" t="s">
        <v>9311</v>
      </c>
      <c r="G3386" s="6">
        <v>46204</v>
      </c>
      <c r="H3386" s="2" t="s">
        <v>71</v>
      </c>
      <c r="I3386" s="2" t="s">
        <v>76</v>
      </c>
      <c r="J3386" s="9">
        <v>200731161.29032299</v>
      </c>
      <c r="K3386" s="7">
        <v>6.1500000000000004E-5</v>
      </c>
      <c r="L3386" s="9">
        <v>12344.97</v>
      </c>
      <c r="M3386" s="9">
        <v>12445.33</v>
      </c>
      <c r="N3386" s="9">
        <v>6.79</v>
      </c>
      <c r="O3386" s="10">
        <f>IF(AND(OR(H3386="APPROVED",H3386="SCHEDULED"),COUNTIFS(tblSource[EventID],F3386,tblSource[ReleaseStatus],"APPROVED")=1,COUNTIFS(Period_Status!$A$2:$A$8,G3386,Period_Status!$B$2:$B$8,"ActualClosed")=1,C3386&gt;EOMONTH(Settlement_Bridge!$C$2,0)),1,0)</f>
        <v>1</v>
      </c>
      <c r="P3386" s="2" t="s">
        <v>9314</v>
      </c>
    </row>
    <row r="3387" spans="1:16" x14ac:dyDescent="0.25">
      <c r="A3387" s="2" t="s">
        <v>9315</v>
      </c>
      <c r="B3387" s="2" t="s">
        <v>7433</v>
      </c>
      <c r="C3387" s="8">
        <v>46226</v>
      </c>
      <c r="D3387" s="6">
        <v>46204</v>
      </c>
      <c r="E3387" s="2" t="s">
        <v>260</v>
      </c>
      <c r="F3387" s="2" t="s">
        <v>9316</v>
      </c>
      <c r="G3387" s="6">
        <v>46204</v>
      </c>
      <c r="H3387" s="2" t="s">
        <v>71</v>
      </c>
      <c r="I3387" s="2" t="s">
        <v>70</v>
      </c>
      <c r="J3387" s="9">
        <v>12777.531915</v>
      </c>
      <c r="K3387" s="7">
        <v>0.65800000000000003</v>
      </c>
      <c r="L3387" s="9">
        <v>8407.6200000000008</v>
      </c>
      <c r="M3387" s="9">
        <v>8407.6200000000008</v>
      </c>
      <c r="N3387" s="9">
        <v>4.62</v>
      </c>
      <c r="O3387" s="10">
        <f>IF(AND(OR(H3387="APPROVED",H3387="SCHEDULED"),COUNTIFS(tblSource[EventID],F3387,tblSource[ReleaseStatus],"APPROVED")=1,COUNTIFS(Period_Status!$A$2:$A$8,G3387,Period_Status!$B$2:$B$8,"ActualClosed")=1,C3387&gt;EOMONTH(Settlement_Bridge!$C$2,0)),1,0)</f>
        <v>0</v>
      </c>
      <c r="P3387" s="2" t="s">
        <v>9317</v>
      </c>
    </row>
    <row r="3388" spans="1:16" x14ac:dyDescent="0.25">
      <c r="A3388" s="2" t="s">
        <v>9318</v>
      </c>
      <c r="B3388" s="2" t="s">
        <v>7433</v>
      </c>
      <c r="C3388" s="8">
        <v>46251</v>
      </c>
      <c r="D3388" s="6">
        <v>46235</v>
      </c>
      <c r="E3388" s="2" t="s">
        <v>260</v>
      </c>
      <c r="F3388" s="2" t="s">
        <v>9316</v>
      </c>
      <c r="G3388" s="6">
        <v>46204</v>
      </c>
      <c r="H3388" s="2" t="s">
        <v>71</v>
      </c>
      <c r="I3388" s="2" t="s">
        <v>70</v>
      </c>
      <c r="J3388" s="9">
        <v>19166.297871999999</v>
      </c>
      <c r="K3388" s="7">
        <v>0.65</v>
      </c>
      <c r="L3388" s="9">
        <v>12458.09</v>
      </c>
      <c r="M3388" s="9">
        <v>12611.42</v>
      </c>
      <c r="N3388" s="9">
        <v>6.85</v>
      </c>
      <c r="O3388" s="10">
        <f>IF(AND(OR(H3388="APPROVED",H3388="SCHEDULED"),COUNTIFS(tblSource[EventID],F3388,tblSource[ReleaseStatus],"APPROVED")=1,COUNTIFS(Period_Status!$A$2:$A$8,G3388,Period_Status!$B$2:$B$8,"ActualClosed")=1,C3388&gt;EOMONTH(Settlement_Bridge!$C$2,0)),1,0)</f>
        <v>1</v>
      </c>
      <c r="P3388" s="2" t="s">
        <v>9319</v>
      </c>
    </row>
    <row r="3389" spans="1:16" x14ac:dyDescent="0.25">
      <c r="A3389" s="2" t="s">
        <v>9320</v>
      </c>
      <c r="B3389" s="2" t="s">
        <v>7433</v>
      </c>
      <c r="C3389" s="8">
        <v>46227</v>
      </c>
      <c r="D3389" s="6">
        <v>46204</v>
      </c>
      <c r="E3389" s="2" t="s">
        <v>260</v>
      </c>
      <c r="F3389" s="2" t="s">
        <v>9321</v>
      </c>
      <c r="G3389" s="6">
        <v>46204</v>
      </c>
      <c r="H3389" s="2" t="s">
        <v>71</v>
      </c>
      <c r="I3389" s="2" t="s">
        <v>39</v>
      </c>
      <c r="J3389" s="9">
        <v>8518.3439999999991</v>
      </c>
      <c r="K3389" s="7">
        <v>1</v>
      </c>
      <c r="L3389" s="9">
        <v>8518.34</v>
      </c>
      <c r="M3389" s="9">
        <v>8518.34</v>
      </c>
      <c r="N3389" s="9">
        <v>4.6900000000000004</v>
      </c>
      <c r="O3389" s="10">
        <f>IF(AND(OR(H3389="APPROVED",H3389="SCHEDULED"),COUNTIFS(tblSource[EventID],F3389,tblSource[ReleaseStatus],"APPROVED")=1,COUNTIFS(Period_Status!$A$2:$A$8,G3389,Period_Status!$B$2:$B$8,"ActualClosed")=1,C3389&gt;EOMONTH(Settlement_Bridge!$C$2,0)),1,0)</f>
        <v>0</v>
      </c>
      <c r="P3389" s="2" t="s">
        <v>9322</v>
      </c>
    </row>
    <row r="3390" spans="1:16" x14ac:dyDescent="0.25">
      <c r="A3390" s="2" t="s">
        <v>9323</v>
      </c>
      <c r="B3390" s="2" t="s">
        <v>7433</v>
      </c>
      <c r="C3390" s="8">
        <v>46252</v>
      </c>
      <c r="D3390" s="6">
        <v>46235</v>
      </c>
      <c r="E3390" s="2" t="s">
        <v>260</v>
      </c>
      <c r="F3390" s="2" t="s">
        <v>9321</v>
      </c>
      <c r="G3390" s="6">
        <v>46204</v>
      </c>
      <c r="H3390" s="2" t="s">
        <v>71</v>
      </c>
      <c r="I3390" s="2" t="s">
        <v>39</v>
      </c>
      <c r="J3390" s="9">
        <v>12777.516</v>
      </c>
      <c r="K3390" s="7">
        <v>1</v>
      </c>
      <c r="L3390" s="9">
        <v>12777.52</v>
      </c>
      <c r="M3390" s="9">
        <v>12777.52</v>
      </c>
      <c r="N3390" s="9">
        <v>7.03</v>
      </c>
      <c r="O3390" s="10">
        <f>IF(AND(OR(H3390="APPROVED",H3390="SCHEDULED"),COUNTIFS(tblSource[EventID],F3390,tblSource[ReleaseStatus],"APPROVED")=1,COUNTIFS(Period_Status!$A$2:$A$8,G3390,Period_Status!$B$2:$B$8,"ActualClosed")=1,C3390&gt;EOMONTH(Settlement_Bridge!$C$2,0)),1,0)</f>
        <v>1</v>
      </c>
      <c r="P3390" s="2" t="s">
        <v>9324</v>
      </c>
    </row>
    <row r="3391" spans="1:16" x14ac:dyDescent="0.25">
      <c r="A3391" s="2" t="s">
        <v>9325</v>
      </c>
      <c r="B3391" s="2" t="s">
        <v>7433</v>
      </c>
      <c r="C3391" s="8">
        <v>46228</v>
      </c>
      <c r="D3391" s="6">
        <v>46204</v>
      </c>
      <c r="E3391" s="2" t="s">
        <v>260</v>
      </c>
      <c r="F3391" s="2" t="s">
        <v>9326</v>
      </c>
      <c r="G3391" s="6">
        <v>46204</v>
      </c>
      <c r="H3391" s="2" t="s">
        <v>71</v>
      </c>
      <c r="I3391" s="2" t="s">
        <v>76</v>
      </c>
      <c r="J3391" s="9">
        <v>139178516.12903199</v>
      </c>
      <c r="K3391" s="7">
        <v>6.2000000000000003E-5</v>
      </c>
      <c r="L3391" s="9">
        <v>8629.07</v>
      </c>
      <c r="M3391" s="9">
        <v>8629.07</v>
      </c>
      <c r="N3391" s="9">
        <v>4.75</v>
      </c>
      <c r="O3391" s="10">
        <f>IF(AND(OR(H3391="APPROVED",H3391="SCHEDULED"),COUNTIFS(tblSource[EventID],F3391,tblSource[ReleaseStatus],"APPROVED")=1,COUNTIFS(Period_Status!$A$2:$A$8,G3391,Period_Status!$B$2:$B$8,"ActualClosed")=1,C3391&gt;EOMONTH(Settlement_Bridge!$C$2,0)),1,0)</f>
        <v>0</v>
      </c>
      <c r="P3391" s="2" t="s">
        <v>9327</v>
      </c>
    </row>
    <row r="3392" spans="1:16" x14ac:dyDescent="0.25">
      <c r="A3392" s="2" t="s">
        <v>9328</v>
      </c>
      <c r="B3392" s="2" t="s">
        <v>7433</v>
      </c>
      <c r="C3392" s="8">
        <v>46253</v>
      </c>
      <c r="D3392" s="6">
        <v>46235</v>
      </c>
      <c r="E3392" s="2" t="s">
        <v>260</v>
      </c>
      <c r="F3392" s="2" t="s">
        <v>9326</v>
      </c>
      <c r="G3392" s="6">
        <v>46204</v>
      </c>
      <c r="H3392" s="2" t="s">
        <v>71</v>
      </c>
      <c r="I3392" s="2" t="s">
        <v>76</v>
      </c>
      <c r="J3392" s="9">
        <v>208767774.19354901</v>
      </c>
      <c r="K3392" s="7">
        <v>6.1500000000000004E-5</v>
      </c>
      <c r="L3392" s="9">
        <v>12839.22</v>
      </c>
      <c r="M3392" s="9">
        <v>12943.6</v>
      </c>
      <c r="N3392" s="9">
        <v>7.06</v>
      </c>
      <c r="O3392" s="10">
        <f>IF(AND(OR(H3392="APPROVED",H3392="SCHEDULED"),COUNTIFS(tblSource[EventID],F3392,tblSource[ReleaseStatus],"APPROVED")=1,COUNTIFS(Period_Status!$A$2:$A$8,G3392,Period_Status!$B$2:$B$8,"ActualClosed")=1,C3392&gt;EOMONTH(Settlement_Bridge!$C$2,0)),1,0)</f>
        <v>1</v>
      </c>
      <c r="P3392" s="2" t="s">
        <v>9329</v>
      </c>
    </row>
    <row r="3393" spans="1:16" x14ac:dyDescent="0.25">
      <c r="A3393" s="2" t="s">
        <v>9330</v>
      </c>
      <c r="B3393" s="2" t="s">
        <v>7433</v>
      </c>
      <c r="C3393" s="8">
        <v>46229</v>
      </c>
      <c r="D3393" s="6">
        <v>46204</v>
      </c>
      <c r="E3393" s="2" t="s">
        <v>260</v>
      </c>
      <c r="F3393" s="2" t="s">
        <v>9331</v>
      </c>
      <c r="G3393" s="6">
        <v>46204</v>
      </c>
      <c r="H3393" s="2" t="s">
        <v>71</v>
      </c>
      <c r="I3393" s="2" t="s">
        <v>70</v>
      </c>
      <c r="J3393" s="9">
        <v>13282.364742</v>
      </c>
      <c r="K3393" s="7">
        <v>0.65800000000000003</v>
      </c>
      <c r="L3393" s="9">
        <v>8739.7999999999993</v>
      </c>
      <c r="M3393" s="9">
        <v>8739.7999999999993</v>
      </c>
      <c r="N3393" s="9">
        <v>4.8099999999999996</v>
      </c>
      <c r="O3393" s="10">
        <f>IF(AND(OR(H3393="APPROVED",H3393="SCHEDULED"),COUNTIFS(tblSource[EventID],F3393,tblSource[ReleaseStatus],"APPROVED")=1,COUNTIFS(Period_Status!$A$2:$A$8,G3393,Period_Status!$B$2:$B$8,"ActualClosed")=1,C3393&gt;EOMONTH(Settlement_Bridge!$C$2,0)),1,0)</f>
        <v>0</v>
      </c>
      <c r="P3393" s="2" t="s">
        <v>9332</v>
      </c>
    </row>
    <row r="3394" spans="1:16" x14ac:dyDescent="0.25">
      <c r="A3394" s="2" t="s">
        <v>9333</v>
      </c>
      <c r="B3394" s="2" t="s">
        <v>7433</v>
      </c>
      <c r="C3394" s="8">
        <v>46254</v>
      </c>
      <c r="D3394" s="6">
        <v>46235</v>
      </c>
      <c r="E3394" s="2" t="s">
        <v>260</v>
      </c>
      <c r="F3394" s="2" t="s">
        <v>9331</v>
      </c>
      <c r="G3394" s="6">
        <v>46204</v>
      </c>
      <c r="H3394" s="2" t="s">
        <v>71</v>
      </c>
      <c r="I3394" s="2" t="s">
        <v>70</v>
      </c>
      <c r="J3394" s="9">
        <v>19923.547112</v>
      </c>
      <c r="K3394" s="7">
        <v>0.65</v>
      </c>
      <c r="L3394" s="9">
        <v>12950.31</v>
      </c>
      <c r="M3394" s="9">
        <v>13109.69</v>
      </c>
      <c r="N3394" s="9">
        <v>7.12</v>
      </c>
      <c r="O3394" s="10">
        <f>IF(AND(OR(H3394="APPROVED",H3394="SCHEDULED"),COUNTIFS(tblSource[EventID],F3394,tblSource[ReleaseStatus],"APPROVED")=1,COUNTIFS(Period_Status!$A$2:$A$8,G3394,Period_Status!$B$2:$B$8,"ActualClosed")=1,C3394&gt;EOMONTH(Settlement_Bridge!$C$2,0)),1,0)</f>
        <v>1</v>
      </c>
      <c r="P3394" s="2" t="s">
        <v>9334</v>
      </c>
    </row>
    <row r="3395" spans="1:16" x14ac:dyDescent="0.25">
      <c r="A3395" s="2" t="s">
        <v>9335</v>
      </c>
      <c r="B3395" s="2" t="s">
        <v>7433</v>
      </c>
      <c r="C3395" s="8">
        <v>46230</v>
      </c>
      <c r="D3395" s="6">
        <v>46204</v>
      </c>
      <c r="E3395" s="2" t="s">
        <v>260</v>
      </c>
      <c r="F3395" s="2" t="s">
        <v>9336</v>
      </c>
      <c r="G3395" s="6">
        <v>46204</v>
      </c>
      <c r="H3395" s="2" t="s">
        <v>71</v>
      </c>
      <c r="I3395" s="2" t="s">
        <v>39</v>
      </c>
      <c r="J3395" s="9">
        <v>8850.52</v>
      </c>
      <c r="K3395" s="7">
        <v>1</v>
      </c>
      <c r="L3395" s="9">
        <v>8850.52</v>
      </c>
      <c r="M3395" s="9">
        <v>8850.52</v>
      </c>
      <c r="N3395" s="9">
        <v>4.87</v>
      </c>
      <c r="O3395" s="10">
        <f>IF(AND(OR(H3395="APPROVED",H3395="SCHEDULED"),COUNTIFS(tblSource[EventID],F3395,tblSource[ReleaseStatus],"APPROVED")=1,COUNTIFS(Period_Status!$A$2:$A$8,G3395,Period_Status!$B$2:$B$8,"ActualClosed")=1,C3395&gt;EOMONTH(Settlement_Bridge!$C$2,0)),1,0)</f>
        <v>0</v>
      </c>
      <c r="P3395" s="2" t="s">
        <v>9337</v>
      </c>
    </row>
    <row r="3396" spans="1:16" x14ac:dyDescent="0.25">
      <c r="A3396" s="2" t="s">
        <v>9338</v>
      </c>
      <c r="B3396" s="2" t="s">
        <v>7433</v>
      </c>
      <c r="C3396" s="8">
        <v>46255</v>
      </c>
      <c r="D3396" s="6">
        <v>46235</v>
      </c>
      <c r="E3396" s="2" t="s">
        <v>260</v>
      </c>
      <c r="F3396" s="2" t="s">
        <v>9336</v>
      </c>
      <c r="G3396" s="6">
        <v>46204</v>
      </c>
      <c r="H3396" s="2" t="s">
        <v>71</v>
      </c>
      <c r="I3396" s="2" t="s">
        <v>39</v>
      </c>
      <c r="J3396" s="9">
        <v>13275.78</v>
      </c>
      <c r="K3396" s="7">
        <v>1</v>
      </c>
      <c r="L3396" s="9">
        <v>13275.78</v>
      </c>
      <c r="M3396" s="9">
        <v>13275.78</v>
      </c>
      <c r="N3396" s="9">
        <v>7.3</v>
      </c>
      <c r="O3396" s="10">
        <f>IF(AND(OR(H3396="APPROVED",H3396="SCHEDULED"),COUNTIFS(tblSource[EventID],F3396,tblSource[ReleaseStatus],"APPROVED")=1,COUNTIFS(Period_Status!$A$2:$A$8,G3396,Period_Status!$B$2:$B$8,"ActualClosed")=1,C3396&gt;EOMONTH(Settlement_Bridge!$C$2,0)),1,0)</f>
        <v>1</v>
      </c>
      <c r="P3396" s="2" t="s">
        <v>9339</v>
      </c>
    </row>
    <row r="3397" spans="1:16" x14ac:dyDescent="0.25">
      <c r="A3397" s="2" t="s">
        <v>9340</v>
      </c>
      <c r="B3397" s="2" t="s">
        <v>7433</v>
      </c>
      <c r="C3397" s="8">
        <v>46231</v>
      </c>
      <c r="D3397" s="6">
        <v>46204</v>
      </c>
      <c r="E3397" s="2" t="s">
        <v>260</v>
      </c>
      <c r="F3397" s="2" t="s">
        <v>9341</v>
      </c>
      <c r="G3397" s="6">
        <v>46204</v>
      </c>
      <c r="H3397" s="2" t="s">
        <v>71</v>
      </c>
      <c r="I3397" s="2" t="s">
        <v>76</v>
      </c>
      <c r="J3397" s="9">
        <v>144536258.06451601</v>
      </c>
      <c r="K3397" s="7">
        <v>6.2000000000000003E-5</v>
      </c>
      <c r="L3397" s="9">
        <v>8961.25</v>
      </c>
      <c r="M3397" s="9">
        <v>8961.25</v>
      </c>
      <c r="N3397" s="9">
        <v>4.93</v>
      </c>
      <c r="O3397" s="10">
        <f>IF(AND(OR(H3397="APPROVED",H3397="SCHEDULED"),COUNTIFS(tblSource[EventID],F3397,tblSource[ReleaseStatus],"APPROVED")=1,COUNTIFS(Period_Status!$A$2:$A$8,G3397,Period_Status!$B$2:$B$8,"ActualClosed")=1,C3397&gt;EOMONTH(Settlement_Bridge!$C$2,0)),1,0)</f>
        <v>0</v>
      </c>
      <c r="P3397" s="2" t="s">
        <v>9342</v>
      </c>
    </row>
    <row r="3398" spans="1:16" x14ac:dyDescent="0.25">
      <c r="A3398" s="2" t="s">
        <v>9343</v>
      </c>
      <c r="B3398" s="2" t="s">
        <v>7433</v>
      </c>
      <c r="C3398" s="8">
        <v>46256</v>
      </c>
      <c r="D3398" s="6">
        <v>46235</v>
      </c>
      <c r="E3398" s="2" t="s">
        <v>260</v>
      </c>
      <c r="F3398" s="2" t="s">
        <v>9341</v>
      </c>
      <c r="G3398" s="6">
        <v>46204</v>
      </c>
      <c r="H3398" s="2" t="s">
        <v>71</v>
      </c>
      <c r="I3398" s="2" t="s">
        <v>76</v>
      </c>
      <c r="J3398" s="9">
        <v>216804387.09677401</v>
      </c>
      <c r="K3398" s="7">
        <v>6.1500000000000004E-5</v>
      </c>
      <c r="L3398" s="9">
        <v>13333.47</v>
      </c>
      <c r="M3398" s="9">
        <v>13441.87</v>
      </c>
      <c r="N3398" s="9">
        <v>7.33</v>
      </c>
      <c r="O3398" s="10">
        <f>IF(AND(OR(H3398="APPROVED",H3398="SCHEDULED"),COUNTIFS(tblSource[EventID],F3398,tblSource[ReleaseStatus],"APPROVED")=1,COUNTIFS(Period_Status!$A$2:$A$8,G3398,Period_Status!$B$2:$B$8,"ActualClosed")=1,C3398&gt;EOMONTH(Settlement_Bridge!$C$2,0)),1,0)</f>
        <v>1</v>
      </c>
      <c r="P3398" s="2" t="s">
        <v>9344</v>
      </c>
    </row>
    <row r="3399" spans="1:16" x14ac:dyDescent="0.25">
      <c r="A3399" s="2" t="s">
        <v>9345</v>
      </c>
      <c r="B3399" s="2" t="s">
        <v>7433</v>
      </c>
      <c r="C3399" s="8">
        <v>46232</v>
      </c>
      <c r="D3399" s="6">
        <v>46204</v>
      </c>
      <c r="E3399" s="2" t="s">
        <v>260</v>
      </c>
      <c r="F3399" s="2" t="s">
        <v>9346</v>
      </c>
      <c r="G3399" s="6">
        <v>46204</v>
      </c>
      <c r="H3399" s="2" t="s">
        <v>71</v>
      </c>
      <c r="I3399" s="2" t="s">
        <v>70</v>
      </c>
      <c r="J3399" s="9">
        <v>13787.197568</v>
      </c>
      <c r="K3399" s="7">
        <v>0.65800000000000003</v>
      </c>
      <c r="L3399" s="9">
        <v>9071.98</v>
      </c>
      <c r="M3399" s="9">
        <v>9071.98</v>
      </c>
      <c r="N3399" s="9">
        <v>4.99</v>
      </c>
      <c r="O3399" s="10">
        <f>IF(AND(OR(H3399="APPROVED",H3399="SCHEDULED"),COUNTIFS(tblSource[EventID],F3399,tblSource[ReleaseStatus],"APPROVED")=1,COUNTIFS(Period_Status!$A$2:$A$8,G3399,Period_Status!$B$2:$B$8,"ActualClosed")=1,C3399&gt;EOMONTH(Settlement_Bridge!$C$2,0)),1,0)</f>
        <v>0</v>
      </c>
      <c r="P3399" s="2" t="s">
        <v>9347</v>
      </c>
    </row>
    <row r="3400" spans="1:16" x14ac:dyDescent="0.25">
      <c r="A3400" s="2" t="s">
        <v>9348</v>
      </c>
      <c r="B3400" s="2" t="s">
        <v>7433</v>
      </c>
      <c r="C3400" s="8">
        <v>46257</v>
      </c>
      <c r="D3400" s="6">
        <v>46235</v>
      </c>
      <c r="E3400" s="2" t="s">
        <v>260</v>
      </c>
      <c r="F3400" s="2" t="s">
        <v>9346</v>
      </c>
      <c r="G3400" s="6">
        <v>46204</v>
      </c>
      <c r="H3400" s="2" t="s">
        <v>71</v>
      </c>
      <c r="I3400" s="2" t="s">
        <v>70</v>
      </c>
      <c r="J3400" s="9">
        <v>20680.796353000002</v>
      </c>
      <c r="K3400" s="7">
        <v>0.65</v>
      </c>
      <c r="L3400" s="9">
        <v>13442.52</v>
      </c>
      <c r="M3400" s="9">
        <v>13607.96</v>
      </c>
      <c r="N3400" s="9">
        <v>7.39</v>
      </c>
      <c r="O3400" s="10">
        <f>IF(AND(OR(H3400="APPROVED",H3400="SCHEDULED"),COUNTIFS(tblSource[EventID],F3400,tblSource[ReleaseStatus],"APPROVED")=1,COUNTIFS(Period_Status!$A$2:$A$8,G3400,Period_Status!$B$2:$B$8,"ActualClosed")=1,C3400&gt;EOMONTH(Settlement_Bridge!$C$2,0)),1,0)</f>
        <v>1</v>
      </c>
      <c r="P3400" s="2" t="s">
        <v>9349</v>
      </c>
    </row>
    <row r="3401" spans="1:16" x14ac:dyDescent="0.25">
      <c r="A3401" s="2" t="s">
        <v>9350</v>
      </c>
      <c r="B3401" s="2" t="s">
        <v>7433</v>
      </c>
      <c r="C3401" s="8">
        <v>46233</v>
      </c>
      <c r="D3401" s="6">
        <v>46204</v>
      </c>
      <c r="E3401" s="2" t="s">
        <v>260</v>
      </c>
      <c r="F3401" s="2" t="s">
        <v>9351</v>
      </c>
      <c r="G3401" s="6">
        <v>46204</v>
      </c>
      <c r="H3401" s="2" t="s">
        <v>71</v>
      </c>
      <c r="I3401" s="2" t="s">
        <v>39</v>
      </c>
      <c r="J3401" s="9">
        <v>9182.08</v>
      </c>
      <c r="K3401" s="7">
        <v>1</v>
      </c>
      <c r="L3401" s="9">
        <v>9182.08</v>
      </c>
      <c r="M3401" s="9">
        <v>9182.08</v>
      </c>
      <c r="N3401" s="9">
        <v>5.05</v>
      </c>
      <c r="O3401" s="10">
        <f>IF(AND(OR(H3401="APPROVED",H3401="SCHEDULED"),COUNTIFS(tblSource[EventID],F3401,tblSource[ReleaseStatus],"APPROVED")=1,COUNTIFS(Period_Status!$A$2:$A$8,G3401,Period_Status!$B$2:$B$8,"ActualClosed")=1,C3401&gt;EOMONTH(Settlement_Bridge!$C$2,0)),1,0)</f>
        <v>0</v>
      </c>
      <c r="P3401" s="2" t="s">
        <v>9352</v>
      </c>
    </row>
    <row r="3402" spans="1:16" x14ac:dyDescent="0.25">
      <c r="A3402" s="2" t="s">
        <v>9353</v>
      </c>
      <c r="B3402" s="2" t="s">
        <v>7433</v>
      </c>
      <c r="C3402" s="8">
        <v>46258</v>
      </c>
      <c r="D3402" s="6">
        <v>46235</v>
      </c>
      <c r="E3402" s="2" t="s">
        <v>260</v>
      </c>
      <c r="F3402" s="2" t="s">
        <v>9351</v>
      </c>
      <c r="G3402" s="6">
        <v>46204</v>
      </c>
      <c r="H3402" s="2" t="s">
        <v>71</v>
      </c>
      <c r="I3402" s="2" t="s">
        <v>39</v>
      </c>
      <c r="J3402" s="9">
        <v>13773.12</v>
      </c>
      <c r="K3402" s="7">
        <v>1</v>
      </c>
      <c r="L3402" s="9">
        <v>13773.12</v>
      </c>
      <c r="M3402" s="9">
        <v>13773.12</v>
      </c>
      <c r="N3402" s="9">
        <v>7.58</v>
      </c>
      <c r="O3402" s="10">
        <f>IF(AND(OR(H3402="APPROVED",H3402="SCHEDULED"),COUNTIFS(tblSource[EventID],F3402,tblSource[ReleaseStatus],"APPROVED")=1,COUNTIFS(Period_Status!$A$2:$A$8,G3402,Period_Status!$B$2:$B$8,"ActualClosed")=1,C3402&gt;EOMONTH(Settlement_Bridge!$C$2,0)),1,0)</f>
        <v>1</v>
      </c>
      <c r="P3402" s="2" t="s">
        <v>9354</v>
      </c>
    </row>
    <row r="3403" spans="1:16" x14ac:dyDescent="0.25">
      <c r="A3403" s="2" t="s">
        <v>9355</v>
      </c>
      <c r="B3403" s="2" t="s">
        <v>7433</v>
      </c>
      <c r="C3403" s="8">
        <v>46234</v>
      </c>
      <c r="D3403" s="6">
        <v>46204</v>
      </c>
      <c r="E3403" s="2" t="s">
        <v>260</v>
      </c>
      <c r="F3403" s="2" t="s">
        <v>9356</v>
      </c>
      <c r="G3403" s="6">
        <v>46204</v>
      </c>
      <c r="H3403" s="2" t="s">
        <v>71</v>
      </c>
      <c r="I3403" s="2" t="s">
        <v>76</v>
      </c>
      <c r="J3403" s="9">
        <v>149884000</v>
      </c>
      <c r="K3403" s="7">
        <v>6.2000000000000003E-5</v>
      </c>
      <c r="L3403" s="9">
        <v>9292.81</v>
      </c>
      <c r="M3403" s="9">
        <v>9292.81</v>
      </c>
      <c r="N3403" s="9">
        <v>5.1100000000000003</v>
      </c>
      <c r="O3403" s="10">
        <f>IF(AND(OR(H3403="APPROVED",H3403="SCHEDULED"),COUNTIFS(tblSource[EventID],F3403,tblSource[ReleaseStatus],"APPROVED")=1,COUNTIFS(Period_Status!$A$2:$A$8,G3403,Period_Status!$B$2:$B$8,"ActualClosed")=1,C3403&gt;EOMONTH(Settlement_Bridge!$C$2,0)),1,0)</f>
        <v>0</v>
      </c>
      <c r="P3403" s="2" t="s">
        <v>9357</v>
      </c>
    </row>
    <row r="3404" spans="1:16" x14ac:dyDescent="0.25">
      <c r="A3404" s="2" t="s">
        <v>9358</v>
      </c>
      <c r="B3404" s="2" t="s">
        <v>7433</v>
      </c>
      <c r="C3404" s="8">
        <v>46259</v>
      </c>
      <c r="D3404" s="6">
        <v>46235</v>
      </c>
      <c r="E3404" s="2" t="s">
        <v>260</v>
      </c>
      <c r="F3404" s="2" t="s">
        <v>9356</v>
      </c>
      <c r="G3404" s="6">
        <v>46204</v>
      </c>
      <c r="H3404" s="2" t="s">
        <v>71</v>
      </c>
      <c r="I3404" s="2" t="s">
        <v>76</v>
      </c>
      <c r="J3404" s="9">
        <v>224826000</v>
      </c>
      <c r="K3404" s="7">
        <v>6.1500000000000004E-5</v>
      </c>
      <c r="L3404" s="9">
        <v>13826.8</v>
      </c>
      <c r="M3404" s="9">
        <v>13939.21</v>
      </c>
      <c r="N3404" s="9">
        <v>7.6</v>
      </c>
      <c r="O3404" s="10">
        <f>IF(AND(OR(H3404="APPROVED",H3404="SCHEDULED"),COUNTIFS(tblSource[EventID],F3404,tblSource[ReleaseStatus],"APPROVED")=1,COUNTIFS(Period_Status!$A$2:$A$8,G3404,Period_Status!$B$2:$B$8,"ActualClosed")=1,C3404&gt;EOMONTH(Settlement_Bridge!$C$2,0)),1,0)</f>
        <v>1</v>
      </c>
      <c r="P3404" s="2" t="s">
        <v>9359</v>
      </c>
    </row>
    <row r="3405" spans="1:16" x14ac:dyDescent="0.25">
      <c r="A3405" s="2" t="s">
        <v>9360</v>
      </c>
      <c r="B3405" s="2" t="s">
        <v>7433</v>
      </c>
      <c r="C3405" s="8">
        <v>46235</v>
      </c>
      <c r="D3405" s="6">
        <v>46235</v>
      </c>
      <c r="E3405" s="2" t="s">
        <v>260</v>
      </c>
      <c r="F3405" s="2" t="s">
        <v>9361</v>
      </c>
      <c r="G3405" s="6">
        <v>46204</v>
      </c>
      <c r="H3405" s="2" t="s">
        <v>71</v>
      </c>
      <c r="I3405" s="2" t="s">
        <v>70</v>
      </c>
      <c r="J3405" s="9">
        <v>14291.082066999999</v>
      </c>
      <c r="K3405" s="7">
        <v>0.65</v>
      </c>
      <c r="L3405" s="9">
        <v>9289.2000000000007</v>
      </c>
      <c r="M3405" s="9">
        <v>9403.5300000000007</v>
      </c>
      <c r="N3405" s="9">
        <v>5.1100000000000003</v>
      </c>
      <c r="O3405" s="10">
        <f>IF(AND(OR(H3405="APPROVED",H3405="SCHEDULED"),COUNTIFS(tblSource[EventID],F3405,tblSource[ReleaseStatus],"APPROVED")=1,COUNTIFS(Period_Status!$A$2:$A$8,G3405,Period_Status!$B$2:$B$8,"ActualClosed")=1,C3405&gt;EOMONTH(Settlement_Bridge!$C$2,0)),1,0)</f>
        <v>1</v>
      </c>
      <c r="P3405" s="2" t="s">
        <v>9362</v>
      </c>
    </row>
    <row r="3406" spans="1:16" x14ac:dyDescent="0.25">
      <c r="A3406" s="2" t="s">
        <v>9363</v>
      </c>
      <c r="B3406" s="2" t="s">
        <v>7433</v>
      </c>
      <c r="C3406" s="8">
        <v>46260</v>
      </c>
      <c r="D3406" s="6">
        <v>46235</v>
      </c>
      <c r="E3406" s="2" t="s">
        <v>260</v>
      </c>
      <c r="F3406" s="2" t="s">
        <v>9361</v>
      </c>
      <c r="G3406" s="6">
        <v>46204</v>
      </c>
      <c r="H3406" s="2" t="s">
        <v>71</v>
      </c>
      <c r="I3406" s="2" t="s">
        <v>70</v>
      </c>
      <c r="J3406" s="9">
        <v>21436.623100000001</v>
      </c>
      <c r="K3406" s="7">
        <v>0.65</v>
      </c>
      <c r="L3406" s="9">
        <v>13933.81</v>
      </c>
      <c r="M3406" s="9">
        <v>14105.3</v>
      </c>
      <c r="N3406" s="9">
        <v>7.66</v>
      </c>
      <c r="O3406" s="10">
        <f>IF(AND(OR(H3406="APPROVED",H3406="SCHEDULED"),COUNTIFS(tblSource[EventID],F3406,tblSource[ReleaseStatus],"APPROVED")=1,COUNTIFS(Period_Status!$A$2:$A$8,G3406,Period_Status!$B$2:$B$8,"ActualClosed")=1,C3406&gt;EOMONTH(Settlement_Bridge!$C$2,0)),1,0)</f>
        <v>1</v>
      </c>
      <c r="P3406" s="2" t="s">
        <v>9364</v>
      </c>
    </row>
    <row r="3407" spans="1:16" x14ac:dyDescent="0.25">
      <c r="A3407" s="2" t="s">
        <v>9365</v>
      </c>
      <c r="B3407" s="2" t="s">
        <v>7433</v>
      </c>
      <c r="C3407" s="8">
        <v>46236</v>
      </c>
      <c r="D3407" s="6">
        <v>46235</v>
      </c>
      <c r="E3407" s="2" t="s">
        <v>260</v>
      </c>
      <c r="F3407" s="2" t="s">
        <v>9366</v>
      </c>
      <c r="G3407" s="6">
        <v>46204</v>
      </c>
      <c r="H3407" s="2" t="s">
        <v>71</v>
      </c>
      <c r="I3407" s="2" t="s">
        <v>39</v>
      </c>
      <c r="J3407" s="9">
        <v>554.26</v>
      </c>
      <c r="K3407" s="7">
        <v>1</v>
      </c>
      <c r="L3407" s="9">
        <v>554.26</v>
      </c>
      <c r="M3407" s="9">
        <v>554.26</v>
      </c>
      <c r="N3407" s="9">
        <v>1.8</v>
      </c>
      <c r="O3407" s="10">
        <f>IF(AND(OR(H3407="APPROVED",H3407="SCHEDULED"),COUNTIFS(tblSource[EventID],F3407,tblSource[ReleaseStatus],"APPROVED")=1,COUNTIFS(Period_Status!$A$2:$A$8,G3407,Period_Status!$B$2:$B$8,"ActualClosed")=1,C3407&gt;EOMONTH(Settlement_Bridge!$C$2,0)),1,0)</f>
        <v>1</v>
      </c>
      <c r="P3407" s="2" t="s">
        <v>9367</v>
      </c>
    </row>
    <row r="3408" spans="1:16" x14ac:dyDescent="0.25">
      <c r="A3408" s="2" t="s">
        <v>9368</v>
      </c>
      <c r="B3408" s="2" t="s">
        <v>7433</v>
      </c>
      <c r="C3408" s="8">
        <v>46261</v>
      </c>
      <c r="D3408" s="6">
        <v>46235</v>
      </c>
      <c r="E3408" s="2" t="s">
        <v>260</v>
      </c>
      <c r="F3408" s="2" t="s">
        <v>9366</v>
      </c>
      <c r="G3408" s="6">
        <v>46204</v>
      </c>
      <c r="H3408" s="2" t="s">
        <v>71</v>
      </c>
      <c r="I3408" s="2" t="s">
        <v>39</v>
      </c>
      <c r="J3408" s="9">
        <v>831.39</v>
      </c>
      <c r="K3408" s="7">
        <v>1</v>
      </c>
      <c r="L3408" s="9">
        <v>831.39</v>
      </c>
      <c r="M3408" s="9">
        <v>831.39</v>
      </c>
      <c r="N3408" s="9">
        <v>1.8</v>
      </c>
      <c r="O3408" s="10">
        <f>IF(AND(OR(H3408="APPROVED",H3408="SCHEDULED"),COUNTIFS(tblSource[EventID],F3408,tblSource[ReleaseStatus],"APPROVED")=1,COUNTIFS(Period_Status!$A$2:$A$8,G3408,Period_Status!$B$2:$B$8,"ActualClosed")=1,C3408&gt;EOMONTH(Settlement_Bridge!$C$2,0)),1,0)</f>
        <v>1</v>
      </c>
      <c r="P3408" s="2" t="s">
        <v>9369</v>
      </c>
    </row>
    <row r="3409" spans="1:16" x14ac:dyDescent="0.25">
      <c r="A3409" s="2" t="s">
        <v>9370</v>
      </c>
      <c r="B3409" s="2" t="s">
        <v>7433</v>
      </c>
      <c r="C3409" s="8">
        <v>46237</v>
      </c>
      <c r="D3409" s="6">
        <v>46235</v>
      </c>
      <c r="E3409" s="2" t="s">
        <v>260</v>
      </c>
      <c r="F3409" s="2" t="s">
        <v>9371</v>
      </c>
      <c r="G3409" s="6">
        <v>46204</v>
      </c>
      <c r="H3409" s="2" t="s">
        <v>71</v>
      </c>
      <c r="I3409" s="2" t="s">
        <v>76</v>
      </c>
      <c r="J3409" s="9">
        <v>10725548.387096999</v>
      </c>
      <c r="K3409" s="7">
        <v>6.1500000000000004E-5</v>
      </c>
      <c r="L3409" s="9">
        <v>659.62</v>
      </c>
      <c r="M3409" s="9">
        <v>664.98</v>
      </c>
      <c r="N3409" s="9">
        <v>1.8</v>
      </c>
      <c r="O3409" s="10">
        <f>IF(AND(OR(H3409="APPROVED",H3409="SCHEDULED"),COUNTIFS(tblSource[EventID],F3409,tblSource[ReleaseStatus],"APPROVED")=1,COUNTIFS(Period_Status!$A$2:$A$8,G3409,Period_Status!$B$2:$B$8,"ActualClosed")=1,C3409&gt;EOMONTH(Settlement_Bridge!$C$2,0)),1,0)</f>
        <v>1</v>
      </c>
      <c r="P3409" s="2" t="s">
        <v>9372</v>
      </c>
    </row>
    <row r="3410" spans="1:16" x14ac:dyDescent="0.25">
      <c r="A3410" s="2" t="s">
        <v>9373</v>
      </c>
      <c r="B3410" s="2" t="s">
        <v>7433</v>
      </c>
      <c r="C3410" s="8">
        <v>46262</v>
      </c>
      <c r="D3410" s="6">
        <v>46235</v>
      </c>
      <c r="E3410" s="2" t="s">
        <v>260</v>
      </c>
      <c r="F3410" s="2" t="s">
        <v>9371</v>
      </c>
      <c r="G3410" s="6">
        <v>46204</v>
      </c>
      <c r="H3410" s="2" t="s">
        <v>71</v>
      </c>
      <c r="I3410" s="2" t="s">
        <v>76</v>
      </c>
      <c r="J3410" s="9">
        <v>16088322.580645001</v>
      </c>
      <c r="K3410" s="7">
        <v>6.1500000000000004E-5</v>
      </c>
      <c r="L3410" s="9">
        <v>989.43</v>
      </c>
      <c r="M3410" s="9">
        <v>997.48</v>
      </c>
      <c r="N3410" s="9">
        <v>1.8</v>
      </c>
      <c r="O3410" s="10">
        <f>IF(AND(OR(H3410="APPROVED",H3410="SCHEDULED"),COUNTIFS(tblSource[EventID],F3410,tblSource[ReleaseStatus],"APPROVED")=1,COUNTIFS(Period_Status!$A$2:$A$8,G3410,Period_Status!$B$2:$B$8,"ActualClosed")=1,C3410&gt;EOMONTH(Settlement_Bridge!$C$2,0)),1,0)</f>
        <v>1</v>
      </c>
      <c r="P3410" s="2" t="s">
        <v>9374</v>
      </c>
    </row>
    <row r="3411" spans="1:16" x14ac:dyDescent="0.25">
      <c r="A3411" s="2" t="s">
        <v>9375</v>
      </c>
      <c r="B3411" s="2" t="s">
        <v>7433</v>
      </c>
      <c r="C3411" s="8">
        <v>46238</v>
      </c>
      <c r="D3411" s="6">
        <v>46235</v>
      </c>
      <c r="E3411" s="2" t="s">
        <v>260</v>
      </c>
      <c r="F3411" s="2" t="s">
        <v>9376</v>
      </c>
      <c r="G3411" s="6">
        <v>46204</v>
      </c>
      <c r="H3411" s="2" t="s">
        <v>71</v>
      </c>
      <c r="I3411" s="2" t="s">
        <v>70</v>
      </c>
      <c r="J3411" s="9">
        <v>1178.8936169999999</v>
      </c>
      <c r="K3411" s="7">
        <v>0.65</v>
      </c>
      <c r="L3411" s="9">
        <v>766.28</v>
      </c>
      <c r="M3411" s="9">
        <v>775.71</v>
      </c>
      <c r="N3411" s="9">
        <v>1.8</v>
      </c>
      <c r="O3411" s="10">
        <f>IF(AND(OR(H3411="APPROVED",H3411="SCHEDULED"),COUNTIFS(tblSource[EventID],F3411,tblSource[ReleaseStatus],"APPROVED")=1,COUNTIFS(Period_Status!$A$2:$A$8,G3411,Period_Status!$B$2:$B$8,"ActualClosed")=1,C3411&gt;EOMONTH(Settlement_Bridge!$C$2,0)),1,0)</f>
        <v>1</v>
      </c>
      <c r="P3411" s="2" t="s">
        <v>9377</v>
      </c>
    </row>
    <row r="3412" spans="1:16" x14ac:dyDescent="0.25">
      <c r="A3412" s="2" t="s">
        <v>9378</v>
      </c>
      <c r="B3412" s="2" t="s">
        <v>7433</v>
      </c>
      <c r="C3412" s="8">
        <v>46263</v>
      </c>
      <c r="D3412" s="6">
        <v>46235</v>
      </c>
      <c r="E3412" s="2" t="s">
        <v>260</v>
      </c>
      <c r="F3412" s="2" t="s">
        <v>9376</v>
      </c>
      <c r="G3412" s="6">
        <v>46204</v>
      </c>
      <c r="H3412" s="2" t="s">
        <v>71</v>
      </c>
      <c r="I3412" s="2" t="s">
        <v>70</v>
      </c>
      <c r="J3412" s="9">
        <v>1768.340426</v>
      </c>
      <c r="K3412" s="7">
        <v>0.65</v>
      </c>
      <c r="L3412" s="9">
        <v>1149.42</v>
      </c>
      <c r="M3412" s="9">
        <v>1163.57</v>
      </c>
      <c r="N3412" s="9">
        <v>1.8</v>
      </c>
      <c r="O3412" s="10">
        <f>IF(AND(OR(H3412="APPROVED",H3412="SCHEDULED"),COUNTIFS(tblSource[EventID],F3412,tblSource[ReleaseStatus],"APPROVED")=1,COUNTIFS(Period_Status!$A$2:$A$8,G3412,Period_Status!$B$2:$B$8,"ActualClosed")=1,C3412&gt;EOMONTH(Settlement_Bridge!$C$2,0)),1,0)</f>
        <v>1</v>
      </c>
      <c r="P3412" s="2" t="s">
        <v>9379</v>
      </c>
    </row>
    <row r="3413" spans="1:16" x14ac:dyDescent="0.25">
      <c r="A3413" s="2" t="s">
        <v>9380</v>
      </c>
      <c r="B3413" s="2" t="s">
        <v>7433</v>
      </c>
      <c r="C3413" s="8">
        <v>46239</v>
      </c>
      <c r="D3413" s="6">
        <v>46235</v>
      </c>
      <c r="E3413" s="2" t="s">
        <v>260</v>
      </c>
      <c r="F3413" s="2" t="s">
        <v>9381</v>
      </c>
      <c r="G3413" s="6">
        <v>46204</v>
      </c>
      <c r="H3413" s="2" t="s">
        <v>71</v>
      </c>
      <c r="I3413" s="2" t="s">
        <v>39</v>
      </c>
      <c r="J3413" s="9">
        <v>886.44</v>
      </c>
      <c r="K3413" s="7">
        <v>1</v>
      </c>
      <c r="L3413" s="9">
        <v>886.44</v>
      </c>
      <c r="M3413" s="9">
        <v>886.44</v>
      </c>
      <c r="N3413" s="9">
        <v>1.8</v>
      </c>
      <c r="O3413" s="10">
        <f>IF(AND(OR(H3413="APPROVED",H3413="SCHEDULED"),COUNTIFS(tblSource[EventID],F3413,tblSource[ReleaseStatus],"APPROVED")=1,COUNTIFS(Period_Status!$A$2:$A$8,G3413,Period_Status!$B$2:$B$8,"ActualClosed")=1,C3413&gt;EOMONTH(Settlement_Bridge!$C$2,0)),1,0)</f>
        <v>1</v>
      </c>
      <c r="P3413" s="2" t="s">
        <v>9382</v>
      </c>
    </row>
    <row r="3414" spans="1:16" x14ac:dyDescent="0.25">
      <c r="A3414" s="2" t="s">
        <v>9383</v>
      </c>
      <c r="B3414" s="2" t="s">
        <v>7433</v>
      </c>
      <c r="C3414" s="8">
        <v>46264</v>
      </c>
      <c r="D3414" s="6">
        <v>46235</v>
      </c>
      <c r="E3414" s="2" t="s">
        <v>260</v>
      </c>
      <c r="F3414" s="2" t="s">
        <v>9381</v>
      </c>
      <c r="G3414" s="6">
        <v>46204</v>
      </c>
      <c r="H3414" s="2" t="s">
        <v>71</v>
      </c>
      <c r="I3414" s="2" t="s">
        <v>39</v>
      </c>
      <c r="J3414" s="9">
        <v>1329.66</v>
      </c>
      <c r="K3414" s="7">
        <v>1</v>
      </c>
      <c r="L3414" s="9">
        <v>1329.66</v>
      </c>
      <c r="M3414" s="9">
        <v>1329.66</v>
      </c>
      <c r="N3414" s="9">
        <v>1.8</v>
      </c>
      <c r="O3414" s="10">
        <f>IF(AND(OR(H3414="APPROVED",H3414="SCHEDULED"),COUNTIFS(tblSource[EventID],F3414,tblSource[ReleaseStatus],"APPROVED")=1,COUNTIFS(Period_Status!$A$2:$A$8,G3414,Period_Status!$B$2:$B$8,"ActualClosed")=1,C3414&gt;EOMONTH(Settlement_Bridge!$C$2,0)),1,0)</f>
        <v>1</v>
      </c>
      <c r="P3414" s="2" t="s">
        <v>9384</v>
      </c>
    </row>
    <row r="3415" spans="1:16" x14ac:dyDescent="0.25">
      <c r="A3415" s="2" t="s">
        <v>9385</v>
      </c>
      <c r="B3415" s="2" t="s">
        <v>7433</v>
      </c>
      <c r="C3415" s="8">
        <v>46240</v>
      </c>
      <c r="D3415" s="6">
        <v>46235</v>
      </c>
      <c r="E3415" s="2" t="s">
        <v>260</v>
      </c>
      <c r="F3415" s="2" t="s">
        <v>9386</v>
      </c>
      <c r="G3415" s="6">
        <v>46204</v>
      </c>
      <c r="H3415" s="2" t="s">
        <v>71</v>
      </c>
      <c r="I3415" s="2" t="s">
        <v>76</v>
      </c>
      <c r="J3415" s="9">
        <v>16083290.322581001</v>
      </c>
      <c r="K3415" s="7">
        <v>6.1500000000000004E-5</v>
      </c>
      <c r="L3415" s="9">
        <v>989.12</v>
      </c>
      <c r="M3415" s="9">
        <v>997.16</v>
      </c>
      <c r="N3415" s="9">
        <v>1.8</v>
      </c>
      <c r="O3415" s="10">
        <f>IF(AND(OR(H3415="APPROVED",H3415="SCHEDULED"),COUNTIFS(tblSource[EventID],F3415,tblSource[ReleaseStatus],"APPROVED")=1,COUNTIFS(Period_Status!$A$2:$A$8,G3415,Period_Status!$B$2:$B$8,"ActualClosed")=1,C3415&gt;EOMONTH(Settlement_Bridge!$C$2,0)),1,0)</f>
        <v>1</v>
      </c>
      <c r="P3415" s="2" t="s">
        <v>9387</v>
      </c>
    </row>
    <row r="3416" spans="1:16" x14ac:dyDescent="0.25">
      <c r="A3416" s="2" t="s">
        <v>9388</v>
      </c>
      <c r="B3416" s="2" t="s">
        <v>7433</v>
      </c>
      <c r="C3416" s="8">
        <v>46265</v>
      </c>
      <c r="D3416" s="6">
        <v>46235</v>
      </c>
      <c r="E3416" s="2" t="s">
        <v>260</v>
      </c>
      <c r="F3416" s="2" t="s">
        <v>9386</v>
      </c>
      <c r="G3416" s="6">
        <v>46204</v>
      </c>
      <c r="H3416" s="2" t="s">
        <v>71</v>
      </c>
      <c r="I3416" s="2" t="s">
        <v>76</v>
      </c>
      <c r="J3416" s="9">
        <v>24124935.483871002</v>
      </c>
      <c r="K3416" s="7">
        <v>6.1500000000000004E-5</v>
      </c>
      <c r="L3416" s="9">
        <v>1483.68</v>
      </c>
      <c r="M3416" s="9">
        <v>1495.75</v>
      </c>
      <c r="N3416" s="9">
        <v>1.8</v>
      </c>
      <c r="O3416" s="10">
        <f>IF(AND(OR(H3416="APPROVED",H3416="SCHEDULED"),COUNTIFS(tblSource[EventID],F3416,tblSource[ReleaseStatus],"APPROVED")=1,COUNTIFS(Period_Status!$A$2:$A$8,G3416,Period_Status!$B$2:$B$8,"ActualClosed")=1,C3416&gt;EOMONTH(Settlement_Bridge!$C$2,0)),1,0)</f>
        <v>1</v>
      </c>
      <c r="P3416" s="2" t="s">
        <v>9389</v>
      </c>
    </row>
    <row r="3417" spans="1:16" x14ac:dyDescent="0.25">
      <c r="A3417" s="2" t="s">
        <v>9390</v>
      </c>
      <c r="B3417" s="2" t="s">
        <v>7433</v>
      </c>
      <c r="C3417" s="8">
        <v>46241</v>
      </c>
      <c r="D3417" s="6">
        <v>46235</v>
      </c>
      <c r="E3417" s="2" t="s">
        <v>260</v>
      </c>
      <c r="F3417" s="2" t="s">
        <v>9391</v>
      </c>
      <c r="G3417" s="6">
        <v>46204</v>
      </c>
      <c r="H3417" s="2" t="s">
        <v>71</v>
      </c>
      <c r="I3417" s="2" t="s">
        <v>70</v>
      </c>
      <c r="J3417" s="9">
        <v>1683.7264439999999</v>
      </c>
      <c r="K3417" s="7">
        <v>0.65</v>
      </c>
      <c r="L3417" s="9">
        <v>1094.42</v>
      </c>
      <c r="M3417" s="9">
        <v>1107.8900000000001</v>
      </c>
      <c r="N3417" s="9">
        <v>1.8</v>
      </c>
      <c r="O3417" s="10">
        <f>IF(AND(OR(H3417="APPROVED",H3417="SCHEDULED"),COUNTIFS(tblSource[EventID],F3417,tblSource[ReleaseStatus],"APPROVED")=1,COUNTIFS(Period_Status!$A$2:$A$8,G3417,Period_Status!$B$2:$B$8,"ActualClosed")=1,C3417&gt;EOMONTH(Settlement_Bridge!$C$2,0)),1,0)</f>
        <v>1</v>
      </c>
      <c r="P3417" s="2" t="s">
        <v>9392</v>
      </c>
    </row>
    <row r="3418" spans="1:16" x14ac:dyDescent="0.25">
      <c r="A3418" s="2" t="s">
        <v>9393</v>
      </c>
      <c r="B3418" s="2" t="s">
        <v>7433</v>
      </c>
      <c r="C3418" s="8">
        <v>46266</v>
      </c>
      <c r="D3418" s="6">
        <v>46266</v>
      </c>
      <c r="E3418" s="2" t="s">
        <v>260</v>
      </c>
      <c r="F3418" s="2" t="s">
        <v>9391</v>
      </c>
      <c r="G3418" s="6">
        <v>46204</v>
      </c>
      <c r="H3418" s="2" t="s">
        <v>176</v>
      </c>
      <c r="I3418" s="2" t="s">
        <v>70</v>
      </c>
      <c r="J3418" s="9">
        <v>2525.589665</v>
      </c>
      <c r="K3418" s="7">
        <v>0.65100000000000002</v>
      </c>
      <c r="L3418" s="9">
        <v>1644.16</v>
      </c>
      <c r="M3418" s="9">
        <v>1661.84</v>
      </c>
      <c r="N3418" s="9">
        <v>1.8</v>
      </c>
      <c r="O3418" s="10">
        <f>IF(AND(OR(H3418="APPROVED",H3418="SCHEDULED"),COUNTIFS(tblSource[EventID],F3418,tblSource[ReleaseStatus],"APPROVED")=1,COUNTIFS(Period_Status!$A$2:$A$8,G3418,Period_Status!$B$2:$B$8,"ActualClosed")=1,C3418&gt;EOMONTH(Settlement_Bridge!$C$2,0)),1,0)</f>
        <v>1</v>
      </c>
      <c r="P3418" s="2" t="s">
        <v>9394</v>
      </c>
    </row>
    <row r="3419" spans="1:16" x14ac:dyDescent="0.25">
      <c r="A3419" s="2" t="s">
        <v>9395</v>
      </c>
      <c r="B3419" s="2" t="s">
        <v>7433</v>
      </c>
      <c r="C3419" s="8">
        <v>46242</v>
      </c>
      <c r="D3419" s="6">
        <v>46235</v>
      </c>
      <c r="E3419" s="2" t="s">
        <v>260</v>
      </c>
      <c r="F3419" s="2" t="s">
        <v>9396</v>
      </c>
      <c r="G3419" s="6">
        <v>46204</v>
      </c>
      <c r="H3419" s="2" t="s">
        <v>71</v>
      </c>
      <c r="I3419" s="2" t="s">
        <v>39</v>
      </c>
      <c r="J3419" s="9">
        <v>1218.616</v>
      </c>
      <c r="K3419" s="7">
        <v>1</v>
      </c>
      <c r="L3419" s="9">
        <v>1218.6199999999999</v>
      </c>
      <c r="M3419" s="9">
        <v>1218.6199999999999</v>
      </c>
      <c r="N3419" s="9">
        <v>1.8</v>
      </c>
      <c r="O3419" s="10">
        <f>IF(AND(OR(H3419="APPROVED",H3419="SCHEDULED"),COUNTIFS(tblSource[EventID],F3419,tblSource[ReleaseStatus],"APPROVED")=1,COUNTIFS(Period_Status!$A$2:$A$8,G3419,Period_Status!$B$2:$B$8,"ActualClosed")=1,C3419&gt;EOMONTH(Settlement_Bridge!$C$2,0)),1,0)</f>
        <v>1</v>
      </c>
      <c r="P3419" s="2" t="s">
        <v>9397</v>
      </c>
    </row>
    <row r="3420" spans="1:16" x14ac:dyDescent="0.25">
      <c r="A3420" s="2" t="s">
        <v>9398</v>
      </c>
      <c r="B3420" s="2" t="s">
        <v>7433</v>
      </c>
      <c r="C3420" s="8">
        <v>46267</v>
      </c>
      <c r="D3420" s="6">
        <v>46266</v>
      </c>
      <c r="E3420" s="2" t="s">
        <v>260</v>
      </c>
      <c r="F3420" s="2" t="s">
        <v>9396</v>
      </c>
      <c r="G3420" s="6">
        <v>46204</v>
      </c>
      <c r="H3420" s="2" t="s">
        <v>176</v>
      </c>
      <c r="I3420" s="2" t="s">
        <v>39</v>
      </c>
      <c r="J3420" s="9">
        <v>1827.924</v>
      </c>
      <c r="K3420" s="7">
        <v>1</v>
      </c>
      <c r="L3420" s="9">
        <v>1827.92</v>
      </c>
      <c r="M3420" s="9">
        <v>1827.92</v>
      </c>
      <c r="N3420" s="9">
        <v>1.8</v>
      </c>
      <c r="O3420" s="10">
        <f>IF(AND(OR(H3420="APPROVED",H3420="SCHEDULED"),COUNTIFS(tblSource[EventID],F3420,tblSource[ReleaseStatus],"APPROVED")=1,COUNTIFS(Period_Status!$A$2:$A$8,G3420,Period_Status!$B$2:$B$8,"ActualClosed")=1,C3420&gt;EOMONTH(Settlement_Bridge!$C$2,0)),1,0)</f>
        <v>1</v>
      </c>
      <c r="P3420" s="2" t="s">
        <v>9399</v>
      </c>
    </row>
    <row r="3421" spans="1:16" x14ac:dyDescent="0.25">
      <c r="A3421" s="2" t="s">
        <v>9400</v>
      </c>
      <c r="B3421" s="2" t="s">
        <v>7433</v>
      </c>
      <c r="C3421" s="8">
        <v>46243</v>
      </c>
      <c r="D3421" s="6">
        <v>46235</v>
      </c>
      <c r="E3421" s="2" t="s">
        <v>260</v>
      </c>
      <c r="F3421" s="2" t="s">
        <v>9401</v>
      </c>
      <c r="G3421" s="6">
        <v>46204</v>
      </c>
      <c r="H3421" s="2" t="s">
        <v>71</v>
      </c>
      <c r="I3421" s="2" t="s">
        <v>76</v>
      </c>
      <c r="J3421" s="9">
        <v>21441032.258064002</v>
      </c>
      <c r="K3421" s="7">
        <v>6.1500000000000004E-5</v>
      </c>
      <c r="L3421" s="9">
        <v>1318.62</v>
      </c>
      <c r="M3421" s="9">
        <v>1329.34</v>
      </c>
      <c r="N3421" s="9">
        <v>1.8</v>
      </c>
      <c r="O3421" s="10">
        <f>IF(AND(OR(H3421="APPROVED",H3421="SCHEDULED"),COUNTIFS(tblSource[EventID],F3421,tblSource[ReleaseStatus],"APPROVED")=1,COUNTIFS(Period_Status!$A$2:$A$8,G3421,Period_Status!$B$2:$B$8,"ActualClosed")=1,C3421&gt;EOMONTH(Settlement_Bridge!$C$2,0)),1,0)</f>
        <v>1</v>
      </c>
      <c r="P3421" s="2" t="s">
        <v>9402</v>
      </c>
    </row>
    <row r="3422" spans="1:16" x14ac:dyDescent="0.25">
      <c r="A3422" s="2" t="s">
        <v>9403</v>
      </c>
      <c r="B3422" s="2" t="s">
        <v>7433</v>
      </c>
      <c r="C3422" s="8">
        <v>46268</v>
      </c>
      <c r="D3422" s="6">
        <v>46266</v>
      </c>
      <c r="E3422" s="2" t="s">
        <v>260</v>
      </c>
      <c r="F3422" s="2" t="s">
        <v>9401</v>
      </c>
      <c r="G3422" s="6">
        <v>46204</v>
      </c>
      <c r="H3422" s="2" t="s">
        <v>176</v>
      </c>
      <c r="I3422" s="2" t="s">
        <v>76</v>
      </c>
      <c r="J3422" s="9">
        <v>32161548.387097001</v>
      </c>
      <c r="K3422" s="7">
        <v>6.1299999999999999E-5</v>
      </c>
      <c r="L3422" s="9">
        <v>1971.5</v>
      </c>
      <c r="M3422" s="9">
        <v>1994.02</v>
      </c>
      <c r="N3422" s="9">
        <v>1.8</v>
      </c>
      <c r="O3422" s="10">
        <f>IF(AND(OR(H3422="APPROVED",H3422="SCHEDULED"),COUNTIFS(tblSource[EventID],F3422,tblSource[ReleaseStatus],"APPROVED")=1,COUNTIFS(Period_Status!$A$2:$A$8,G3422,Period_Status!$B$2:$B$8,"ActualClosed")=1,C3422&gt;EOMONTH(Settlement_Bridge!$C$2,0)),1,0)</f>
        <v>1</v>
      </c>
      <c r="P3422" s="2" t="s">
        <v>9404</v>
      </c>
    </row>
    <row r="3423" spans="1:16" x14ac:dyDescent="0.25">
      <c r="A3423" s="2" t="s">
        <v>9405</v>
      </c>
      <c r="B3423" s="2" t="s">
        <v>7433</v>
      </c>
      <c r="C3423" s="8">
        <v>46244</v>
      </c>
      <c r="D3423" s="6">
        <v>46235</v>
      </c>
      <c r="E3423" s="2" t="s">
        <v>260</v>
      </c>
      <c r="F3423" s="2" t="s">
        <v>9406</v>
      </c>
      <c r="G3423" s="6">
        <v>46204</v>
      </c>
      <c r="H3423" s="2" t="s">
        <v>71</v>
      </c>
      <c r="I3423" s="2" t="s">
        <v>70</v>
      </c>
      <c r="J3423" s="9">
        <v>2188.5531919999999</v>
      </c>
      <c r="K3423" s="7">
        <v>0.65</v>
      </c>
      <c r="L3423" s="9">
        <v>1422.56</v>
      </c>
      <c r="M3423" s="9">
        <v>1440.07</v>
      </c>
      <c r="N3423" s="9">
        <v>1.8</v>
      </c>
      <c r="O3423" s="10">
        <f>IF(AND(OR(H3423="APPROVED",H3423="SCHEDULED"),COUNTIFS(tblSource[EventID],F3423,tblSource[ReleaseStatus],"APPROVED")=1,COUNTIFS(Period_Status!$A$2:$A$8,G3423,Period_Status!$B$2:$B$8,"ActualClosed")=1,C3423&gt;EOMONTH(Settlement_Bridge!$C$2,0)),1,0)</f>
        <v>1</v>
      </c>
      <c r="P3423" s="2" t="s">
        <v>9407</v>
      </c>
    </row>
    <row r="3424" spans="1:16" x14ac:dyDescent="0.25">
      <c r="A3424" s="2" t="s">
        <v>9408</v>
      </c>
      <c r="B3424" s="2" t="s">
        <v>7433</v>
      </c>
      <c r="C3424" s="8">
        <v>46269</v>
      </c>
      <c r="D3424" s="6">
        <v>46266</v>
      </c>
      <c r="E3424" s="2" t="s">
        <v>260</v>
      </c>
      <c r="F3424" s="2" t="s">
        <v>9406</v>
      </c>
      <c r="G3424" s="6">
        <v>46204</v>
      </c>
      <c r="H3424" s="2" t="s">
        <v>176</v>
      </c>
      <c r="I3424" s="2" t="s">
        <v>70</v>
      </c>
      <c r="J3424" s="9">
        <v>3282.8297870000001</v>
      </c>
      <c r="K3424" s="7">
        <v>0.65100000000000002</v>
      </c>
      <c r="L3424" s="9">
        <v>2137.12</v>
      </c>
      <c r="M3424" s="9">
        <v>2160.1</v>
      </c>
      <c r="N3424" s="9">
        <v>1.8</v>
      </c>
      <c r="O3424" s="10">
        <f>IF(AND(OR(H3424="APPROVED",H3424="SCHEDULED"),COUNTIFS(tblSource[EventID],F3424,tblSource[ReleaseStatus],"APPROVED")=1,COUNTIFS(Period_Status!$A$2:$A$8,G3424,Period_Status!$B$2:$B$8,"ActualClosed")=1,C3424&gt;EOMONTH(Settlement_Bridge!$C$2,0)),1,0)</f>
        <v>1</v>
      </c>
      <c r="P3424" s="2" t="s">
        <v>9409</v>
      </c>
    </row>
    <row r="3425" spans="1:16" x14ac:dyDescent="0.25">
      <c r="A3425" s="2" t="s">
        <v>9410</v>
      </c>
      <c r="B3425" s="2" t="s">
        <v>7433</v>
      </c>
      <c r="C3425" s="8">
        <v>46245</v>
      </c>
      <c r="D3425" s="6">
        <v>46235</v>
      </c>
      <c r="E3425" s="2" t="s">
        <v>260</v>
      </c>
      <c r="F3425" s="2" t="s">
        <v>9411</v>
      </c>
      <c r="G3425" s="6">
        <v>46204</v>
      </c>
      <c r="H3425" s="2" t="s">
        <v>71</v>
      </c>
      <c r="I3425" s="2" t="s">
        <v>39</v>
      </c>
      <c r="J3425" s="9">
        <v>1550.796</v>
      </c>
      <c r="K3425" s="7">
        <v>1</v>
      </c>
      <c r="L3425" s="9">
        <v>1550.8</v>
      </c>
      <c r="M3425" s="9">
        <v>1550.8</v>
      </c>
      <c r="N3425" s="9">
        <v>1.8</v>
      </c>
      <c r="O3425" s="10">
        <f>IF(AND(OR(H3425="APPROVED",H3425="SCHEDULED"),COUNTIFS(tblSource[EventID],F3425,tblSource[ReleaseStatus],"APPROVED")=1,COUNTIFS(Period_Status!$A$2:$A$8,G3425,Period_Status!$B$2:$B$8,"ActualClosed")=1,C3425&gt;EOMONTH(Settlement_Bridge!$C$2,0)),1,0)</f>
        <v>1</v>
      </c>
      <c r="P3425" s="2" t="s">
        <v>9412</v>
      </c>
    </row>
    <row r="3426" spans="1:16" x14ac:dyDescent="0.25">
      <c r="A3426" s="2" t="s">
        <v>9413</v>
      </c>
      <c r="B3426" s="2" t="s">
        <v>7433</v>
      </c>
      <c r="C3426" s="8">
        <v>46270</v>
      </c>
      <c r="D3426" s="6">
        <v>46266</v>
      </c>
      <c r="E3426" s="2" t="s">
        <v>260</v>
      </c>
      <c r="F3426" s="2" t="s">
        <v>9411</v>
      </c>
      <c r="G3426" s="6">
        <v>46204</v>
      </c>
      <c r="H3426" s="2" t="s">
        <v>176</v>
      </c>
      <c r="I3426" s="2" t="s">
        <v>39</v>
      </c>
      <c r="J3426" s="9">
        <v>2326.194</v>
      </c>
      <c r="K3426" s="7">
        <v>1</v>
      </c>
      <c r="L3426" s="9">
        <v>2326.19</v>
      </c>
      <c r="M3426" s="9">
        <v>2326.19</v>
      </c>
      <c r="N3426" s="9">
        <v>1.8</v>
      </c>
      <c r="O3426" s="10">
        <f>IF(AND(OR(H3426="APPROVED",H3426="SCHEDULED"),COUNTIFS(tblSource[EventID],F3426,tblSource[ReleaseStatus],"APPROVED")=1,COUNTIFS(Period_Status!$A$2:$A$8,G3426,Period_Status!$B$2:$B$8,"ActualClosed")=1,C3426&gt;EOMONTH(Settlement_Bridge!$C$2,0)),1,0)</f>
        <v>1</v>
      </c>
      <c r="P3426" s="2" t="s">
        <v>9414</v>
      </c>
    </row>
    <row r="3427" spans="1:16" x14ac:dyDescent="0.25">
      <c r="A3427" s="2" t="s">
        <v>9415</v>
      </c>
      <c r="B3427" s="2" t="s">
        <v>7433</v>
      </c>
      <c r="C3427" s="8">
        <v>46246</v>
      </c>
      <c r="D3427" s="6">
        <v>46235</v>
      </c>
      <c r="E3427" s="2" t="s">
        <v>260</v>
      </c>
      <c r="F3427" s="2" t="s">
        <v>9416</v>
      </c>
      <c r="G3427" s="6">
        <v>46204</v>
      </c>
      <c r="H3427" s="2" t="s">
        <v>71</v>
      </c>
      <c r="I3427" s="2" t="s">
        <v>76</v>
      </c>
      <c r="J3427" s="9">
        <v>26798774.193548001</v>
      </c>
      <c r="K3427" s="7">
        <v>6.1500000000000004E-5</v>
      </c>
      <c r="L3427" s="9">
        <v>1648.12</v>
      </c>
      <c r="M3427" s="9">
        <v>1661.52</v>
      </c>
      <c r="N3427" s="9">
        <v>1.8</v>
      </c>
      <c r="O3427" s="10">
        <f>IF(AND(OR(H3427="APPROVED",H3427="SCHEDULED"),COUNTIFS(tblSource[EventID],F3427,tblSource[ReleaseStatus],"APPROVED")=1,COUNTIFS(Period_Status!$A$2:$A$8,G3427,Period_Status!$B$2:$B$8,"ActualClosed")=1,C3427&gt;EOMONTH(Settlement_Bridge!$C$2,0)),1,0)</f>
        <v>1</v>
      </c>
      <c r="P3427" s="2" t="s">
        <v>9417</v>
      </c>
    </row>
    <row r="3428" spans="1:16" x14ac:dyDescent="0.25">
      <c r="A3428" s="2" t="s">
        <v>9418</v>
      </c>
      <c r="B3428" s="2" t="s">
        <v>7433</v>
      </c>
      <c r="C3428" s="8">
        <v>46271</v>
      </c>
      <c r="D3428" s="6">
        <v>46266</v>
      </c>
      <c r="E3428" s="2" t="s">
        <v>260</v>
      </c>
      <c r="F3428" s="2" t="s">
        <v>9416</v>
      </c>
      <c r="G3428" s="6">
        <v>46204</v>
      </c>
      <c r="H3428" s="2" t="s">
        <v>176</v>
      </c>
      <c r="I3428" s="2" t="s">
        <v>76</v>
      </c>
      <c r="J3428" s="9">
        <v>40198161.290322997</v>
      </c>
      <c r="K3428" s="7">
        <v>6.1299999999999999E-5</v>
      </c>
      <c r="L3428" s="9">
        <v>2464.15</v>
      </c>
      <c r="M3428" s="9">
        <v>2492.29</v>
      </c>
      <c r="N3428" s="9">
        <v>1.8</v>
      </c>
      <c r="O3428" s="10">
        <f>IF(AND(OR(H3428="APPROVED",H3428="SCHEDULED"),COUNTIFS(tblSource[EventID],F3428,tblSource[ReleaseStatus],"APPROVED")=1,COUNTIFS(Period_Status!$A$2:$A$8,G3428,Period_Status!$B$2:$B$8,"ActualClosed")=1,C3428&gt;EOMONTH(Settlement_Bridge!$C$2,0)),1,0)</f>
        <v>1</v>
      </c>
      <c r="P3428" s="2" t="s">
        <v>9419</v>
      </c>
    </row>
    <row r="3429" spans="1:16" x14ac:dyDescent="0.25">
      <c r="A3429" s="2" t="s">
        <v>9420</v>
      </c>
      <c r="B3429" s="2" t="s">
        <v>7433</v>
      </c>
      <c r="C3429" s="8">
        <v>46247</v>
      </c>
      <c r="D3429" s="6">
        <v>46235</v>
      </c>
      <c r="E3429" s="2" t="s">
        <v>260</v>
      </c>
      <c r="F3429" s="2" t="s">
        <v>9421</v>
      </c>
      <c r="G3429" s="6">
        <v>46204</v>
      </c>
      <c r="H3429" s="2" t="s">
        <v>71</v>
      </c>
      <c r="I3429" s="2" t="s">
        <v>70</v>
      </c>
      <c r="J3429" s="9">
        <v>2693.3860180000001</v>
      </c>
      <c r="K3429" s="7">
        <v>0.65</v>
      </c>
      <c r="L3429" s="9">
        <v>1750.7</v>
      </c>
      <c r="M3429" s="9">
        <v>1772.25</v>
      </c>
      <c r="N3429" s="9">
        <v>1.8</v>
      </c>
      <c r="O3429" s="10">
        <f>IF(AND(OR(H3429="APPROVED",H3429="SCHEDULED"),COUNTIFS(tblSource[EventID],F3429,tblSource[ReleaseStatus],"APPROVED")=1,COUNTIFS(Period_Status!$A$2:$A$8,G3429,Period_Status!$B$2:$B$8,"ActualClosed")=1,C3429&gt;EOMONTH(Settlement_Bridge!$C$2,0)),1,0)</f>
        <v>1</v>
      </c>
      <c r="P3429" s="2" t="s">
        <v>9422</v>
      </c>
    </row>
    <row r="3430" spans="1:16" x14ac:dyDescent="0.25">
      <c r="A3430" s="2" t="s">
        <v>9423</v>
      </c>
      <c r="B3430" s="2" t="s">
        <v>7433</v>
      </c>
      <c r="C3430" s="8">
        <v>46272</v>
      </c>
      <c r="D3430" s="6">
        <v>46266</v>
      </c>
      <c r="E3430" s="2" t="s">
        <v>260</v>
      </c>
      <c r="F3430" s="2" t="s">
        <v>9421</v>
      </c>
      <c r="G3430" s="6">
        <v>46204</v>
      </c>
      <c r="H3430" s="2" t="s">
        <v>176</v>
      </c>
      <c r="I3430" s="2" t="s">
        <v>70</v>
      </c>
      <c r="J3430" s="9">
        <v>4040.0790280000001</v>
      </c>
      <c r="K3430" s="7">
        <v>0.65100000000000002</v>
      </c>
      <c r="L3430" s="9">
        <v>2630.09</v>
      </c>
      <c r="M3430" s="9">
        <v>2658.37</v>
      </c>
      <c r="N3430" s="9">
        <v>1.8</v>
      </c>
      <c r="O3430" s="10">
        <f>IF(AND(OR(H3430="APPROVED",H3430="SCHEDULED"),COUNTIFS(tblSource[EventID],F3430,tblSource[ReleaseStatus],"APPROVED")=1,COUNTIFS(Period_Status!$A$2:$A$8,G3430,Period_Status!$B$2:$B$8,"ActualClosed")=1,C3430&gt;EOMONTH(Settlement_Bridge!$C$2,0)),1,0)</f>
        <v>1</v>
      </c>
      <c r="P3430" s="2" t="s">
        <v>9424</v>
      </c>
    </row>
    <row r="3431" spans="1:16" x14ac:dyDescent="0.25">
      <c r="A3431" s="2" t="s">
        <v>9425</v>
      </c>
      <c r="B3431" s="2" t="s">
        <v>7433</v>
      </c>
      <c r="C3431" s="8">
        <v>46248</v>
      </c>
      <c r="D3431" s="6">
        <v>46235</v>
      </c>
      <c r="E3431" s="2" t="s">
        <v>260</v>
      </c>
      <c r="F3431" s="2" t="s">
        <v>9426</v>
      </c>
      <c r="G3431" s="6">
        <v>46204</v>
      </c>
      <c r="H3431" s="2" t="s">
        <v>71</v>
      </c>
      <c r="I3431" s="2" t="s">
        <v>39</v>
      </c>
      <c r="J3431" s="9">
        <v>1882.9760000000001</v>
      </c>
      <c r="K3431" s="7">
        <v>1</v>
      </c>
      <c r="L3431" s="9">
        <v>1882.98</v>
      </c>
      <c r="M3431" s="9">
        <v>1882.98</v>
      </c>
      <c r="N3431" s="9">
        <v>1.8</v>
      </c>
      <c r="O3431" s="10">
        <f>IF(AND(OR(H3431="APPROVED",H3431="SCHEDULED"),COUNTIFS(tblSource[EventID],F3431,tblSource[ReleaseStatus],"APPROVED")=1,COUNTIFS(Period_Status!$A$2:$A$8,G3431,Period_Status!$B$2:$B$8,"ActualClosed")=1,C3431&gt;EOMONTH(Settlement_Bridge!$C$2,0)),1,0)</f>
        <v>1</v>
      </c>
      <c r="P3431" s="2" t="s">
        <v>9427</v>
      </c>
    </row>
    <row r="3432" spans="1:16" x14ac:dyDescent="0.25">
      <c r="A3432" s="2" t="s">
        <v>9428</v>
      </c>
      <c r="B3432" s="2" t="s">
        <v>7433</v>
      </c>
      <c r="C3432" s="8">
        <v>46273</v>
      </c>
      <c r="D3432" s="6">
        <v>46266</v>
      </c>
      <c r="E3432" s="2" t="s">
        <v>260</v>
      </c>
      <c r="F3432" s="2" t="s">
        <v>9426</v>
      </c>
      <c r="G3432" s="6">
        <v>46204</v>
      </c>
      <c r="H3432" s="2" t="s">
        <v>176</v>
      </c>
      <c r="I3432" s="2" t="s">
        <v>39</v>
      </c>
      <c r="J3432" s="9">
        <v>2824.4639999999999</v>
      </c>
      <c r="K3432" s="7">
        <v>1</v>
      </c>
      <c r="L3432" s="9">
        <v>2824.46</v>
      </c>
      <c r="M3432" s="9">
        <v>2824.46</v>
      </c>
      <c r="N3432" s="9">
        <v>1.8</v>
      </c>
      <c r="O3432" s="10">
        <f>IF(AND(OR(H3432="APPROVED",H3432="SCHEDULED"),COUNTIFS(tblSource[EventID],F3432,tblSource[ReleaseStatus],"APPROVED")=1,COUNTIFS(Period_Status!$A$2:$A$8,G3432,Period_Status!$B$2:$B$8,"ActualClosed")=1,C3432&gt;EOMONTH(Settlement_Bridge!$C$2,0)),1,0)</f>
        <v>1</v>
      </c>
      <c r="P3432" s="2" t="s">
        <v>9429</v>
      </c>
    </row>
    <row r="3433" spans="1:16" x14ac:dyDescent="0.25">
      <c r="A3433" s="2" t="s">
        <v>9430</v>
      </c>
      <c r="B3433" s="2" t="s">
        <v>7433</v>
      </c>
      <c r="C3433" s="8">
        <v>46218</v>
      </c>
      <c r="D3433" s="6">
        <v>46204</v>
      </c>
      <c r="E3433" s="2" t="s">
        <v>260</v>
      </c>
      <c r="F3433" s="2" t="s">
        <v>9431</v>
      </c>
      <c r="G3433" s="6">
        <v>46204</v>
      </c>
      <c r="H3433" s="2" t="s">
        <v>71</v>
      </c>
      <c r="I3433" s="2" t="s">
        <v>76</v>
      </c>
      <c r="J3433" s="9">
        <v>32156516.129032001</v>
      </c>
      <c r="K3433" s="7">
        <v>6.2000000000000003E-5</v>
      </c>
      <c r="L3433" s="9">
        <v>1993.7</v>
      </c>
      <c r="M3433" s="9">
        <v>1993.7</v>
      </c>
      <c r="N3433" s="9">
        <v>1.8</v>
      </c>
      <c r="O3433" s="10">
        <f>IF(AND(OR(H3433="APPROVED",H3433="SCHEDULED"),COUNTIFS(tblSource[EventID],F3433,tblSource[ReleaseStatus],"APPROVED")=1,COUNTIFS(Period_Status!$A$2:$A$8,G3433,Period_Status!$B$2:$B$8,"ActualClosed")=1,C3433&gt;EOMONTH(Settlement_Bridge!$C$2,0)),1,0)</f>
        <v>0</v>
      </c>
      <c r="P3433" s="2" t="s">
        <v>9432</v>
      </c>
    </row>
    <row r="3434" spans="1:16" x14ac:dyDescent="0.25">
      <c r="A3434" s="2" t="s">
        <v>9433</v>
      </c>
      <c r="B3434" s="2" t="s">
        <v>7433</v>
      </c>
      <c r="C3434" s="8">
        <v>46243</v>
      </c>
      <c r="D3434" s="6">
        <v>46235</v>
      </c>
      <c r="E3434" s="2" t="s">
        <v>260</v>
      </c>
      <c r="F3434" s="2" t="s">
        <v>9431</v>
      </c>
      <c r="G3434" s="6">
        <v>46204</v>
      </c>
      <c r="H3434" s="2" t="s">
        <v>71</v>
      </c>
      <c r="I3434" s="2" t="s">
        <v>76</v>
      </c>
      <c r="J3434" s="9">
        <v>48234774.193549</v>
      </c>
      <c r="K3434" s="7">
        <v>6.1500000000000004E-5</v>
      </c>
      <c r="L3434" s="9">
        <v>2966.44</v>
      </c>
      <c r="M3434" s="9">
        <v>2990.56</v>
      </c>
      <c r="N3434" s="9">
        <v>1.8</v>
      </c>
      <c r="O3434" s="10">
        <f>IF(AND(OR(H3434="APPROVED",H3434="SCHEDULED"),COUNTIFS(tblSource[EventID],F3434,tblSource[ReleaseStatus],"APPROVED")=1,COUNTIFS(Period_Status!$A$2:$A$8,G3434,Period_Status!$B$2:$B$8,"ActualClosed")=1,C3434&gt;EOMONTH(Settlement_Bridge!$C$2,0)),1,0)</f>
        <v>1</v>
      </c>
      <c r="P3434" s="2" t="s">
        <v>9434</v>
      </c>
    </row>
    <row r="3435" spans="1:16" x14ac:dyDescent="0.25">
      <c r="A3435" s="2" t="s">
        <v>9435</v>
      </c>
      <c r="B3435" s="2" t="s">
        <v>7433</v>
      </c>
      <c r="C3435" s="8">
        <v>46219</v>
      </c>
      <c r="D3435" s="6">
        <v>46204</v>
      </c>
      <c r="E3435" s="2" t="s">
        <v>260</v>
      </c>
      <c r="F3435" s="2" t="s">
        <v>9436</v>
      </c>
      <c r="G3435" s="6">
        <v>46204</v>
      </c>
      <c r="H3435" s="2" t="s">
        <v>71</v>
      </c>
      <c r="I3435" s="2" t="s">
        <v>70</v>
      </c>
      <c r="J3435" s="9">
        <v>3198.2188449999999</v>
      </c>
      <c r="K3435" s="7">
        <v>0.65800000000000003</v>
      </c>
      <c r="L3435" s="9">
        <v>2104.4299999999998</v>
      </c>
      <c r="M3435" s="9">
        <v>2104.4299999999998</v>
      </c>
      <c r="N3435" s="9">
        <v>1.8</v>
      </c>
      <c r="O3435" s="10">
        <f>IF(AND(OR(H3435="APPROVED",H3435="SCHEDULED"),COUNTIFS(tblSource[EventID],F3435,tblSource[ReleaseStatus],"APPROVED")=1,COUNTIFS(Period_Status!$A$2:$A$8,G3435,Period_Status!$B$2:$B$8,"ActualClosed")=1,C3435&gt;EOMONTH(Settlement_Bridge!$C$2,0)),1,0)</f>
        <v>0</v>
      </c>
      <c r="P3435" s="2" t="s">
        <v>9437</v>
      </c>
    </row>
    <row r="3436" spans="1:16" x14ac:dyDescent="0.25">
      <c r="A3436" s="2" t="s">
        <v>9438</v>
      </c>
      <c r="B3436" s="2" t="s">
        <v>7433</v>
      </c>
      <c r="C3436" s="8">
        <v>46244</v>
      </c>
      <c r="D3436" s="6">
        <v>46235</v>
      </c>
      <c r="E3436" s="2" t="s">
        <v>260</v>
      </c>
      <c r="F3436" s="2" t="s">
        <v>9436</v>
      </c>
      <c r="G3436" s="6">
        <v>46204</v>
      </c>
      <c r="H3436" s="2" t="s">
        <v>71</v>
      </c>
      <c r="I3436" s="2" t="s">
        <v>70</v>
      </c>
      <c r="J3436" s="9">
        <v>4797.3282669999999</v>
      </c>
      <c r="K3436" s="7">
        <v>0.65</v>
      </c>
      <c r="L3436" s="9">
        <v>3118.26</v>
      </c>
      <c r="M3436" s="9">
        <v>3156.64</v>
      </c>
      <c r="N3436" s="9">
        <v>1.8</v>
      </c>
      <c r="O3436" s="10">
        <f>IF(AND(OR(H3436="APPROVED",H3436="SCHEDULED"),COUNTIFS(tblSource[EventID],F3436,tblSource[ReleaseStatus],"APPROVED")=1,COUNTIFS(Period_Status!$A$2:$A$8,G3436,Period_Status!$B$2:$B$8,"ActualClosed")=1,C3436&gt;EOMONTH(Settlement_Bridge!$C$2,0)),1,0)</f>
        <v>1</v>
      </c>
      <c r="P3436" s="2" t="s">
        <v>9439</v>
      </c>
    </row>
    <row r="3437" spans="1:16" x14ac:dyDescent="0.25">
      <c r="A3437" s="2" t="s">
        <v>9440</v>
      </c>
      <c r="B3437" s="2" t="s">
        <v>7433</v>
      </c>
      <c r="C3437" s="8">
        <v>46220</v>
      </c>
      <c r="D3437" s="6">
        <v>46204</v>
      </c>
      <c r="E3437" s="2" t="s">
        <v>260</v>
      </c>
      <c r="F3437" s="2" t="s">
        <v>9441</v>
      </c>
      <c r="G3437" s="6">
        <v>46204</v>
      </c>
      <c r="H3437" s="2" t="s">
        <v>71</v>
      </c>
      <c r="I3437" s="2" t="s">
        <v>39</v>
      </c>
      <c r="J3437" s="9">
        <v>2215.1559999999999</v>
      </c>
      <c r="K3437" s="7">
        <v>1</v>
      </c>
      <c r="L3437" s="9">
        <v>2215.16</v>
      </c>
      <c r="M3437" s="9">
        <v>2215.16</v>
      </c>
      <c r="N3437" s="9">
        <v>1.8</v>
      </c>
      <c r="O3437" s="10">
        <f>IF(AND(OR(H3437="APPROVED",H3437="SCHEDULED"),COUNTIFS(tblSource[EventID],F3437,tblSource[ReleaseStatus],"APPROVED")=1,COUNTIFS(Period_Status!$A$2:$A$8,G3437,Period_Status!$B$2:$B$8,"ActualClosed")=1,C3437&gt;EOMONTH(Settlement_Bridge!$C$2,0)),1,0)</f>
        <v>0</v>
      </c>
      <c r="P3437" s="2" t="s">
        <v>9442</v>
      </c>
    </row>
    <row r="3438" spans="1:16" x14ac:dyDescent="0.25">
      <c r="A3438" s="2" t="s">
        <v>9443</v>
      </c>
      <c r="B3438" s="2" t="s">
        <v>7433</v>
      </c>
      <c r="C3438" s="8">
        <v>46245</v>
      </c>
      <c r="D3438" s="6">
        <v>46235</v>
      </c>
      <c r="E3438" s="2" t="s">
        <v>260</v>
      </c>
      <c r="F3438" s="2" t="s">
        <v>9441</v>
      </c>
      <c r="G3438" s="6">
        <v>46204</v>
      </c>
      <c r="H3438" s="2" t="s">
        <v>71</v>
      </c>
      <c r="I3438" s="2" t="s">
        <v>39</v>
      </c>
      <c r="J3438" s="9">
        <v>3322.7339999999999</v>
      </c>
      <c r="K3438" s="7">
        <v>1</v>
      </c>
      <c r="L3438" s="9">
        <v>3322.73</v>
      </c>
      <c r="M3438" s="9">
        <v>3322.73</v>
      </c>
      <c r="N3438" s="9">
        <v>1.83</v>
      </c>
      <c r="O3438" s="10">
        <f>IF(AND(OR(H3438="APPROVED",H3438="SCHEDULED"),COUNTIFS(tblSource[EventID],F3438,tblSource[ReleaseStatus],"APPROVED")=1,COUNTIFS(Period_Status!$A$2:$A$8,G3438,Period_Status!$B$2:$B$8,"ActualClosed")=1,C3438&gt;EOMONTH(Settlement_Bridge!$C$2,0)),1,0)</f>
        <v>1</v>
      </c>
      <c r="P3438" s="2" t="s">
        <v>9444</v>
      </c>
    </row>
    <row r="3439" spans="1:16" x14ac:dyDescent="0.25">
      <c r="A3439" s="2" t="s">
        <v>9445</v>
      </c>
      <c r="B3439" s="2" t="s">
        <v>7433</v>
      </c>
      <c r="C3439" s="8">
        <v>46221</v>
      </c>
      <c r="D3439" s="6">
        <v>46204</v>
      </c>
      <c r="E3439" s="2" t="s">
        <v>260</v>
      </c>
      <c r="F3439" s="2" t="s">
        <v>9446</v>
      </c>
      <c r="G3439" s="6">
        <v>46204</v>
      </c>
      <c r="H3439" s="2" t="s">
        <v>71</v>
      </c>
      <c r="I3439" s="2" t="s">
        <v>76</v>
      </c>
      <c r="J3439" s="9">
        <v>37514193.548386998</v>
      </c>
      <c r="K3439" s="7">
        <v>6.2000000000000003E-5</v>
      </c>
      <c r="L3439" s="9">
        <v>2325.88</v>
      </c>
      <c r="M3439" s="9">
        <v>2325.88</v>
      </c>
      <c r="N3439" s="9">
        <v>1.8</v>
      </c>
      <c r="O3439" s="10">
        <f>IF(AND(OR(H3439="APPROVED",H3439="SCHEDULED"),COUNTIFS(tblSource[EventID],F3439,tblSource[ReleaseStatus],"APPROVED")=1,COUNTIFS(Period_Status!$A$2:$A$8,G3439,Period_Status!$B$2:$B$8,"ActualClosed")=1,C3439&gt;EOMONTH(Settlement_Bridge!$C$2,0)),1,0)</f>
        <v>0</v>
      </c>
      <c r="P3439" s="2" t="s">
        <v>9447</v>
      </c>
    </row>
    <row r="3440" spans="1:16" x14ac:dyDescent="0.25">
      <c r="A3440" s="2" t="s">
        <v>9448</v>
      </c>
      <c r="B3440" s="2" t="s">
        <v>7433</v>
      </c>
      <c r="C3440" s="8">
        <v>46246</v>
      </c>
      <c r="D3440" s="6">
        <v>46235</v>
      </c>
      <c r="E3440" s="2" t="s">
        <v>260</v>
      </c>
      <c r="F3440" s="2" t="s">
        <v>9446</v>
      </c>
      <c r="G3440" s="6">
        <v>46204</v>
      </c>
      <c r="H3440" s="2" t="s">
        <v>71</v>
      </c>
      <c r="I3440" s="2" t="s">
        <v>76</v>
      </c>
      <c r="J3440" s="9">
        <v>56271290.322581001</v>
      </c>
      <c r="K3440" s="7">
        <v>6.1500000000000004E-5</v>
      </c>
      <c r="L3440" s="9">
        <v>3460.68</v>
      </c>
      <c r="M3440" s="9">
        <v>3488.82</v>
      </c>
      <c r="N3440" s="9">
        <v>1.9</v>
      </c>
      <c r="O3440" s="10">
        <f>IF(AND(OR(H3440="APPROVED",H3440="SCHEDULED"),COUNTIFS(tblSource[EventID],F3440,tblSource[ReleaseStatus],"APPROVED")=1,COUNTIFS(Period_Status!$A$2:$A$8,G3440,Period_Status!$B$2:$B$8,"ActualClosed")=1,C3440&gt;EOMONTH(Settlement_Bridge!$C$2,0)),1,0)</f>
        <v>1</v>
      </c>
      <c r="P3440" s="2" t="s">
        <v>9449</v>
      </c>
    </row>
    <row r="3441" spans="1:16" x14ac:dyDescent="0.25">
      <c r="A3441" s="2" t="s">
        <v>9450</v>
      </c>
      <c r="B3441" s="2" t="s">
        <v>7433</v>
      </c>
      <c r="C3441" s="8">
        <v>46222</v>
      </c>
      <c r="D3441" s="6">
        <v>46204</v>
      </c>
      <c r="E3441" s="2" t="s">
        <v>260</v>
      </c>
      <c r="F3441" s="2" t="s">
        <v>9451</v>
      </c>
      <c r="G3441" s="6">
        <v>46204</v>
      </c>
      <c r="H3441" s="2" t="s">
        <v>71</v>
      </c>
      <c r="I3441" s="2" t="s">
        <v>70</v>
      </c>
      <c r="J3441" s="9">
        <v>3703.0516720000001</v>
      </c>
      <c r="K3441" s="7">
        <v>0.65800000000000003</v>
      </c>
      <c r="L3441" s="9">
        <v>2436.61</v>
      </c>
      <c r="M3441" s="9">
        <v>2436.61</v>
      </c>
      <c r="N3441" s="9">
        <v>1.8</v>
      </c>
      <c r="O3441" s="10">
        <f>IF(AND(OR(H3441="APPROVED",H3441="SCHEDULED"),COUNTIFS(tblSource[EventID],F3441,tblSource[ReleaseStatus],"APPROVED")=1,COUNTIFS(Period_Status!$A$2:$A$8,G3441,Period_Status!$B$2:$B$8,"ActualClosed")=1,C3441&gt;EOMONTH(Settlement_Bridge!$C$2,0)),1,0)</f>
        <v>0</v>
      </c>
      <c r="P3441" s="2" t="s">
        <v>9452</v>
      </c>
    </row>
    <row r="3442" spans="1:16" x14ac:dyDescent="0.25">
      <c r="A3442" s="2" t="s">
        <v>9453</v>
      </c>
      <c r="B3442" s="2" t="s">
        <v>7433</v>
      </c>
      <c r="C3442" s="8">
        <v>46247</v>
      </c>
      <c r="D3442" s="6">
        <v>46235</v>
      </c>
      <c r="E3442" s="2" t="s">
        <v>260</v>
      </c>
      <c r="F3442" s="2" t="s">
        <v>9451</v>
      </c>
      <c r="G3442" s="6">
        <v>46204</v>
      </c>
      <c r="H3442" s="2" t="s">
        <v>71</v>
      </c>
      <c r="I3442" s="2" t="s">
        <v>70</v>
      </c>
      <c r="J3442" s="9">
        <v>5554.577507</v>
      </c>
      <c r="K3442" s="7">
        <v>0.65</v>
      </c>
      <c r="L3442" s="9">
        <v>3610.48</v>
      </c>
      <c r="M3442" s="9">
        <v>3654.91</v>
      </c>
      <c r="N3442" s="9">
        <v>1.99</v>
      </c>
      <c r="O3442" s="10">
        <f>IF(AND(OR(H3442="APPROVED",H3442="SCHEDULED"),COUNTIFS(tblSource[EventID],F3442,tblSource[ReleaseStatus],"APPROVED")=1,COUNTIFS(Period_Status!$A$2:$A$8,G3442,Period_Status!$B$2:$B$8,"ActualClosed")=1,C3442&gt;EOMONTH(Settlement_Bridge!$C$2,0)),1,0)</f>
        <v>1</v>
      </c>
      <c r="P3442" s="2" t="s">
        <v>9454</v>
      </c>
    </row>
    <row r="3443" spans="1:16" x14ac:dyDescent="0.25">
      <c r="A3443" s="2" t="s">
        <v>9455</v>
      </c>
      <c r="B3443" s="2" t="s">
        <v>7433</v>
      </c>
      <c r="C3443" s="8">
        <v>46223</v>
      </c>
      <c r="D3443" s="6">
        <v>46204</v>
      </c>
      <c r="E3443" s="2" t="s">
        <v>260</v>
      </c>
      <c r="F3443" s="2" t="s">
        <v>9456</v>
      </c>
      <c r="G3443" s="6">
        <v>46204</v>
      </c>
      <c r="H3443" s="2" t="s">
        <v>71</v>
      </c>
      <c r="I3443" s="2" t="s">
        <v>39</v>
      </c>
      <c r="J3443" s="9">
        <v>2547.3359999999998</v>
      </c>
      <c r="K3443" s="7">
        <v>1</v>
      </c>
      <c r="L3443" s="9">
        <v>2547.34</v>
      </c>
      <c r="M3443" s="9">
        <v>2547.34</v>
      </c>
      <c r="N3443" s="9">
        <v>1.8</v>
      </c>
      <c r="O3443" s="10">
        <f>IF(AND(OR(H3443="APPROVED",H3443="SCHEDULED"),COUNTIFS(tblSource[EventID],F3443,tblSource[ReleaseStatus],"APPROVED")=1,COUNTIFS(Period_Status!$A$2:$A$8,G3443,Period_Status!$B$2:$B$8,"ActualClosed")=1,C3443&gt;EOMONTH(Settlement_Bridge!$C$2,0)),1,0)</f>
        <v>0</v>
      </c>
      <c r="P3443" s="2" t="s">
        <v>9457</v>
      </c>
    </row>
    <row r="3444" spans="1:16" x14ac:dyDescent="0.25">
      <c r="A3444" s="2" t="s">
        <v>9458</v>
      </c>
      <c r="B3444" s="2" t="s">
        <v>7433</v>
      </c>
      <c r="C3444" s="8">
        <v>46248</v>
      </c>
      <c r="D3444" s="6">
        <v>46235</v>
      </c>
      <c r="E3444" s="2" t="s">
        <v>260</v>
      </c>
      <c r="F3444" s="2" t="s">
        <v>9456</v>
      </c>
      <c r="G3444" s="6">
        <v>46204</v>
      </c>
      <c r="H3444" s="2" t="s">
        <v>71</v>
      </c>
      <c r="I3444" s="2" t="s">
        <v>39</v>
      </c>
      <c r="J3444" s="9">
        <v>3821.0039999999999</v>
      </c>
      <c r="K3444" s="7">
        <v>1</v>
      </c>
      <c r="L3444" s="9">
        <v>3821</v>
      </c>
      <c r="M3444" s="9">
        <v>3821</v>
      </c>
      <c r="N3444" s="9">
        <v>2.1</v>
      </c>
      <c r="O3444" s="10">
        <f>IF(AND(OR(H3444="APPROVED",H3444="SCHEDULED"),COUNTIFS(tblSource[EventID],F3444,tblSource[ReleaseStatus],"APPROVED")=1,COUNTIFS(Period_Status!$A$2:$A$8,G3444,Period_Status!$B$2:$B$8,"ActualClosed")=1,C3444&gt;EOMONTH(Settlement_Bridge!$C$2,0)),1,0)</f>
        <v>1</v>
      </c>
      <c r="P3444" s="2" t="s">
        <v>9459</v>
      </c>
    </row>
    <row r="3445" spans="1:16" x14ac:dyDescent="0.25">
      <c r="A3445" s="2" t="s">
        <v>9460</v>
      </c>
      <c r="B3445" s="2" t="s">
        <v>7433</v>
      </c>
      <c r="C3445" s="8">
        <v>46224</v>
      </c>
      <c r="D3445" s="6">
        <v>46204</v>
      </c>
      <c r="E3445" s="2" t="s">
        <v>260</v>
      </c>
      <c r="F3445" s="2" t="s">
        <v>9461</v>
      </c>
      <c r="G3445" s="6">
        <v>46204</v>
      </c>
      <c r="H3445" s="2" t="s">
        <v>71</v>
      </c>
      <c r="I3445" s="2" t="s">
        <v>76</v>
      </c>
      <c r="J3445" s="9">
        <v>-107179838.709677</v>
      </c>
      <c r="K3445" s="7">
        <v>6.2000000000000003E-5</v>
      </c>
      <c r="L3445" s="9">
        <v>-6645.15</v>
      </c>
      <c r="M3445" s="9">
        <v>-6645.15</v>
      </c>
      <c r="N3445" s="9">
        <v>0</v>
      </c>
      <c r="O3445" s="10">
        <f>IF(AND(OR(H3445="APPROVED",H3445="SCHEDULED"),COUNTIFS(tblSource[EventID],F3445,tblSource[ReleaseStatus],"APPROVED")=1,COUNTIFS(Period_Status!$A$2:$A$8,G3445,Period_Status!$B$2:$B$8,"ActualClosed")=1,C3445&gt;EOMONTH(Settlement_Bridge!$C$2,0)),1,0)</f>
        <v>0</v>
      </c>
      <c r="P3445" s="2" t="s">
        <v>9462</v>
      </c>
    </row>
    <row r="3446" spans="1:16" x14ac:dyDescent="0.25">
      <c r="A3446" s="2" t="s">
        <v>9463</v>
      </c>
      <c r="B3446" s="2" t="s">
        <v>7433</v>
      </c>
      <c r="C3446" s="8">
        <v>46225</v>
      </c>
      <c r="D3446" s="6">
        <v>46204</v>
      </c>
      <c r="E3446" s="2" t="s">
        <v>260</v>
      </c>
      <c r="F3446" s="2" t="s">
        <v>9464</v>
      </c>
      <c r="G3446" s="6">
        <v>46204</v>
      </c>
      <c r="H3446" s="2" t="s">
        <v>71</v>
      </c>
      <c r="I3446" s="2" t="s">
        <v>70</v>
      </c>
      <c r="J3446" s="9">
        <v>4207.8844980000003</v>
      </c>
      <c r="K3446" s="7">
        <v>0.65800000000000003</v>
      </c>
      <c r="L3446" s="9">
        <v>2768.79</v>
      </c>
      <c r="M3446" s="9">
        <v>2768.79</v>
      </c>
      <c r="N3446" s="9">
        <v>1.8</v>
      </c>
      <c r="O3446" s="10">
        <f>IF(AND(OR(H3446="APPROVED",H3446="SCHEDULED"),COUNTIFS(tblSource[EventID],F3446,tblSource[ReleaseStatus],"APPROVED")=1,COUNTIFS(Period_Status!$A$2:$A$8,G3446,Period_Status!$B$2:$B$8,"ActualClosed")=1,C3446&gt;EOMONTH(Settlement_Bridge!$C$2,0)),1,0)</f>
        <v>0</v>
      </c>
      <c r="P3446" s="2" t="s">
        <v>9465</v>
      </c>
    </row>
    <row r="3447" spans="1:16" x14ac:dyDescent="0.25">
      <c r="A3447" s="2" t="s">
        <v>9466</v>
      </c>
      <c r="B3447" s="2" t="s">
        <v>7433</v>
      </c>
      <c r="C3447" s="8">
        <v>46250</v>
      </c>
      <c r="D3447" s="6">
        <v>46235</v>
      </c>
      <c r="E3447" s="2" t="s">
        <v>260</v>
      </c>
      <c r="F3447" s="2" t="s">
        <v>9464</v>
      </c>
      <c r="G3447" s="6">
        <v>46204</v>
      </c>
      <c r="H3447" s="2" t="s">
        <v>71</v>
      </c>
      <c r="I3447" s="2" t="s">
        <v>70</v>
      </c>
      <c r="J3447" s="9">
        <v>6311.8267480000004</v>
      </c>
      <c r="K3447" s="7">
        <v>0.65</v>
      </c>
      <c r="L3447" s="9">
        <v>4102.6899999999996</v>
      </c>
      <c r="M3447" s="9">
        <v>4153.18</v>
      </c>
      <c r="N3447" s="9">
        <v>2.2599999999999998</v>
      </c>
      <c r="O3447" s="10">
        <f>IF(AND(OR(H3447="APPROVED",H3447="SCHEDULED"),COUNTIFS(tblSource[EventID],F3447,tblSource[ReleaseStatus],"APPROVED")=1,COUNTIFS(Period_Status!$A$2:$A$8,G3447,Period_Status!$B$2:$B$8,"ActualClosed")=1,C3447&gt;EOMONTH(Settlement_Bridge!$C$2,0)),1,0)</f>
        <v>1</v>
      </c>
      <c r="P3447" s="2" t="s">
        <v>9467</v>
      </c>
    </row>
    <row r="3448" spans="1:16" x14ac:dyDescent="0.25">
      <c r="A3448" s="2" t="s">
        <v>9468</v>
      </c>
      <c r="B3448" s="2" t="s">
        <v>7433</v>
      </c>
      <c r="C3448" s="8">
        <v>46226</v>
      </c>
      <c r="D3448" s="6">
        <v>46204</v>
      </c>
      <c r="E3448" s="2" t="s">
        <v>260</v>
      </c>
      <c r="F3448" s="2" t="s">
        <v>9469</v>
      </c>
      <c r="G3448" s="6">
        <v>46204</v>
      </c>
      <c r="H3448" s="2" t="s">
        <v>71</v>
      </c>
      <c r="I3448" s="2" t="s">
        <v>39</v>
      </c>
      <c r="J3448" s="9">
        <v>2879.5120000000002</v>
      </c>
      <c r="K3448" s="7">
        <v>1</v>
      </c>
      <c r="L3448" s="9">
        <v>2879.51</v>
      </c>
      <c r="M3448" s="9">
        <v>2879.51</v>
      </c>
      <c r="N3448" s="9">
        <v>1.8</v>
      </c>
      <c r="O3448" s="10">
        <f>IF(AND(OR(H3448="APPROVED",H3448="SCHEDULED"),COUNTIFS(tblSource[EventID],F3448,tblSource[ReleaseStatus],"APPROVED")=1,COUNTIFS(Period_Status!$A$2:$A$8,G3448,Period_Status!$B$2:$B$8,"ActualClosed")=1,C3448&gt;EOMONTH(Settlement_Bridge!$C$2,0)),1,0)</f>
        <v>0</v>
      </c>
      <c r="P3448" s="2" t="s">
        <v>9470</v>
      </c>
    </row>
    <row r="3449" spans="1:16" x14ac:dyDescent="0.25">
      <c r="A3449" s="2" t="s">
        <v>9471</v>
      </c>
      <c r="B3449" s="2" t="s">
        <v>7433</v>
      </c>
      <c r="C3449" s="8">
        <v>46251</v>
      </c>
      <c r="D3449" s="6">
        <v>46235</v>
      </c>
      <c r="E3449" s="2" t="s">
        <v>260</v>
      </c>
      <c r="F3449" s="2" t="s">
        <v>9469</v>
      </c>
      <c r="G3449" s="6">
        <v>46204</v>
      </c>
      <c r="H3449" s="2" t="s">
        <v>71</v>
      </c>
      <c r="I3449" s="2" t="s">
        <v>39</v>
      </c>
      <c r="J3449" s="9">
        <v>4319.268</v>
      </c>
      <c r="K3449" s="7">
        <v>1</v>
      </c>
      <c r="L3449" s="9">
        <v>4319.2700000000004</v>
      </c>
      <c r="M3449" s="9">
        <v>4319.2700000000004</v>
      </c>
      <c r="N3449" s="9">
        <v>2.38</v>
      </c>
      <c r="O3449" s="10">
        <f>IF(AND(OR(H3449="APPROVED",H3449="SCHEDULED"),COUNTIFS(tblSource[EventID],F3449,tblSource[ReleaseStatus],"APPROVED")=1,COUNTIFS(Period_Status!$A$2:$A$8,G3449,Period_Status!$B$2:$B$8,"ActualClosed")=1,C3449&gt;EOMONTH(Settlement_Bridge!$C$2,0)),1,0)</f>
        <v>1</v>
      </c>
      <c r="P3449" s="2" t="s">
        <v>9472</v>
      </c>
    </row>
    <row r="3450" spans="1:16" x14ac:dyDescent="0.25">
      <c r="A3450" s="2" t="s">
        <v>9473</v>
      </c>
      <c r="B3450" s="2" t="s">
        <v>7433</v>
      </c>
      <c r="C3450" s="8">
        <v>46227</v>
      </c>
      <c r="D3450" s="6">
        <v>46204</v>
      </c>
      <c r="E3450" s="2" t="s">
        <v>260</v>
      </c>
      <c r="F3450" s="2" t="s">
        <v>9474</v>
      </c>
      <c r="G3450" s="6">
        <v>46204</v>
      </c>
      <c r="H3450" s="2" t="s">
        <v>71</v>
      </c>
      <c r="I3450" s="2" t="s">
        <v>76</v>
      </c>
      <c r="J3450" s="9">
        <v>48229677.419354998</v>
      </c>
      <c r="K3450" s="7">
        <v>6.2000000000000003E-5</v>
      </c>
      <c r="L3450" s="9">
        <v>2990.24</v>
      </c>
      <c r="M3450" s="9">
        <v>2990.24</v>
      </c>
      <c r="N3450" s="9">
        <v>1.8</v>
      </c>
      <c r="O3450" s="10">
        <f>IF(AND(OR(H3450="APPROVED",H3450="SCHEDULED"),COUNTIFS(tblSource[EventID],F3450,tblSource[ReleaseStatus],"APPROVED")=1,COUNTIFS(Period_Status!$A$2:$A$8,G3450,Period_Status!$B$2:$B$8,"ActualClosed")=1,C3450&gt;EOMONTH(Settlement_Bridge!$C$2,0)),1,0)</f>
        <v>0</v>
      </c>
      <c r="P3450" s="2" t="s">
        <v>9475</v>
      </c>
    </row>
    <row r="3451" spans="1:16" x14ac:dyDescent="0.25">
      <c r="A3451" s="2" t="s">
        <v>9476</v>
      </c>
      <c r="B3451" s="2" t="s">
        <v>7433</v>
      </c>
      <c r="C3451" s="8">
        <v>46252</v>
      </c>
      <c r="D3451" s="6">
        <v>46235</v>
      </c>
      <c r="E3451" s="2" t="s">
        <v>260</v>
      </c>
      <c r="F3451" s="2" t="s">
        <v>9474</v>
      </c>
      <c r="G3451" s="6">
        <v>46204</v>
      </c>
      <c r="H3451" s="2" t="s">
        <v>71</v>
      </c>
      <c r="I3451" s="2" t="s">
        <v>76</v>
      </c>
      <c r="J3451" s="9">
        <v>72344516.129032001</v>
      </c>
      <c r="K3451" s="7">
        <v>6.1500000000000004E-5</v>
      </c>
      <c r="L3451" s="9">
        <v>4449.1899999999996</v>
      </c>
      <c r="M3451" s="9">
        <v>4485.3599999999997</v>
      </c>
      <c r="N3451" s="9">
        <v>2.4500000000000002</v>
      </c>
      <c r="O3451" s="10">
        <f>IF(AND(OR(H3451="APPROVED",H3451="SCHEDULED"),COUNTIFS(tblSource[EventID],F3451,tblSource[ReleaseStatus],"APPROVED")=1,COUNTIFS(Period_Status!$A$2:$A$8,G3451,Period_Status!$B$2:$B$8,"ActualClosed")=1,C3451&gt;EOMONTH(Settlement_Bridge!$C$2,0)),1,0)</f>
        <v>1</v>
      </c>
      <c r="P3451" s="2" t="s">
        <v>9477</v>
      </c>
    </row>
    <row r="3452" spans="1:16" x14ac:dyDescent="0.25">
      <c r="A3452" s="2" t="s">
        <v>9478</v>
      </c>
      <c r="B3452" s="2" t="s">
        <v>7433</v>
      </c>
      <c r="C3452" s="8">
        <v>46228</v>
      </c>
      <c r="D3452" s="6">
        <v>46204</v>
      </c>
      <c r="E3452" s="2" t="s">
        <v>260</v>
      </c>
      <c r="F3452" s="2" t="s">
        <v>9479</v>
      </c>
      <c r="G3452" s="6">
        <v>46204</v>
      </c>
      <c r="H3452" s="2" t="s">
        <v>71</v>
      </c>
      <c r="I3452" s="2" t="s">
        <v>70</v>
      </c>
      <c r="J3452" s="9">
        <v>4712.7173249999996</v>
      </c>
      <c r="K3452" s="7">
        <v>0.65800000000000003</v>
      </c>
      <c r="L3452" s="9">
        <v>3100.97</v>
      </c>
      <c r="M3452" s="9">
        <v>3100.97</v>
      </c>
      <c r="N3452" s="9">
        <v>1.8</v>
      </c>
      <c r="O3452" s="10">
        <f>IF(AND(OR(H3452="APPROVED",H3452="SCHEDULED"),COUNTIFS(tblSource[EventID],F3452,tblSource[ReleaseStatus],"APPROVED")=1,COUNTIFS(Period_Status!$A$2:$A$8,G3452,Period_Status!$B$2:$B$8,"ActualClosed")=1,C3452&gt;EOMONTH(Settlement_Bridge!$C$2,0)),1,0)</f>
        <v>0</v>
      </c>
      <c r="P3452" s="2" t="s">
        <v>9480</v>
      </c>
    </row>
    <row r="3453" spans="1:16" x14ac:dyDescent="0.25">
      <c r="A3453" s="2" t="s">
        <v>9481</v>
      </c>
      <c r="B3453" s="2" t="s">
        <v>7433</v>
      </c>
      <c r="C3453" s="8">
        <v>46253</v>
      </c>
      <c r="D3453" s="6">
        <v>46235</v>
      </c>
      <c r="E3453" s="2" t="s">
        <v>260</v>
      </c>
      <c r="F3453" s="2" t="s">
        <v>9479</v>
      </c>
      <c r="G3453" s="6">
        <v>46204</v>
      </c>
      <c r="H3453" s="2" t="s">
        <v>71</v>
      </c>
      <c r="I3453" s="2" t="s">
        <v>70</v>
      </c>
      <c r="J3453" s="9">
        <v>7069.0759879999996</v>
      </c>
      <c r="K3453" s="7">
        <v>0.65</v>
      </c>
      <c r="L3453" s="9">
        <v>4594.8999999999996</v>
      </c>
      <c r="M3453" s="9">
        <v>4651.45</v>
      </c>
      <c r="N3453" s="9">
        <v>2.5299999999999998</v>
      </c>
      <c r="O3453" s="10">
        <f>IF(AND(OR(H3453="APPROVED",H3453="SCHEDULED"),COUNTIFS(tblSource[EventID],F3453,tblSource[ReleaseStatus],"APPROVED")=1,COUNTIFS(Period_Status!$A$2:$A$8,G3453,Period_Status!$B$2:$B$8,"ActualClosed")=1,C3453&gt;EOMONTH(Settlement_Bridge!$C$2,0)),1,0)</f>
        <v>1</v>
      </c>
      <c r="P3453" s="2" t="s">
        <v>9482</v>
      </c>
    </row>
    <row r="3454" spans="1:16" x14ac:dyDescent="0.25">
      <c r="A3454" s="2" t="s">
        <v>9483</v>
      </c>
      <c r="B3454" s="2" t="s">
        <v>7433</v>
      </c>
      <c r="C3454" s="8">
        <v>46229</v>
      </c>
      <c r="D3454" s="6">
        <v>46204</v>
      </c>
      <c r="E3454" s="2" t="s">
        <v>260</v>
      </c>
      <c r="F3454" s="2" t="s">
        <v>9484</v>
      </c>
      <c r="G3454" s="6">
        <v>46204</v>
      </c>
      <c r="H3454" s="2" t="s">
        <v>71</v>
      </c>
      <c r="I3454" s="2" t="s">
        <v>39</v>
      </c>
      <c r="J3454" s="9">
        <v>3211.692</v>
      </c>
      <c r="K3454" s="7">
        <v>1</v>
      </c>
      <c r="L3454" s="9">
        <v>3211.69</v>
      </c>
      <c r="M3454" s="9">
        <v>3211.69</v>
      </c>
      <c r="N3454" s="9">
        <v>1.8</v>
      </c>
      <c r="O3454" s="10">
        <f>IF(AND(OR(H3454="APPROVED",H3454="SCHEDULED"),COUNTIFS(tblSource[EventID],F3454,tblSource[ReleaseStatus],"APPROVED")=1,COUNTIFS(Period_Status!$A$2:$A$8,G3454,Period_Status!$B$2:$B$8,"ActualClosed")=1,C3454&gt;EOMONTH(Settlement_Bridge!$C$2,0)),1,0)</f>
        <v>0</v>
      </c>
      <c r="P3454" s="2" t="s">
        <v>9485</v>
      </c>
    </row>
    <row r="3455" spans="1:16" x14ac:dyDescent="0.25">
      <c r="A3455" s="2" t="s">
        <v>9486</v>
      </c>
      <c r="B3455" s="2" t="s">
        <v>7433</v>
      </c>
      <c r="C3455" s="8">
        <v>46254</v>
      </c>
      <c r="D3455" s="6">
        <v>46235</v>
      </c>
      <c r="E3455" s="2" t="s">
        <v>260</v>
      </c>
      <c r="F3455" s="2" t="s">
        <v>9484</v>
      </c>
      <c r="G3455" s="6">
        <v>46204</v>
      </c>
      <c r="H3455" s="2" t="s">
        <v>71</v>
      </c>
      <c r="I3455" s="2" t="s">
        <v>39</v>
      </c>
      <c r="J3455" s="9">
        <v>4817.5379999999996</v>
      </c>
      <c r="K3455" s="7">
        <v>1</v>
      </c>
      <c r="L3455" s="9">
        <v>4817.54</v>
      </c>
      <c r="M3455" s="9">
        <v>4817.54</v>
      </c>
      <c r="N3455" s="9">
        <v>2.65</v>
      </c>
      <c r="O3455" s="10">
        <f>IF(AND(OR(H3455="APPROVED",H3455="SCHEDULED"),COUNTIFS(tblSource[EventID],F3455,tblSource[ReleaseStatus],"APPROVED")=1,COUNTIFS(Period_Status!$A$2:$A$8,G3455,Period_Status!$B$2:$B$8,"ActualClosed")=1,C3455&gt;EOMONTH(Settlement_Bridge!$C$2,0)),1,0)</f>
        <v>1</v>
      </c>
      <c r="P3455" s="2" t="s">
        <v>9487</v>
      </c>
    </row>
    <row r="3456" spans="1:16" x14ac:dyDescent="0.25">
      <c r="A3456" s="2" t="s">
        <v>9488</v>
      </c>
      <c r="B3456" s="2" t="s">
        <v>7433</v>
      </c>
      <c r="C3456" s="8">
        <v>46230</v>
      </c>
      <c r="D3456" s="6">
        <v>46204</v>
      </c>
      <c r="E3456" s="2" t="s">
        <v>260</v>
      </c>
      <c r="F3456" s="2" t="s">
        <v>9489</v>
      </c>
      <c r="G3456" s="6">
        <v>46204</v>
      </c>
      <c r="H3456" s="2" t="s">
        <v>71</v>
      </c>
      <c r="I3456" s="2" t="s">
        <v>76</v>
      </c>
      <c r="J3456" s="9">
        <v>53587419.354838997</v>
      </c>
      <c r="K3456" s="7">
        <v>6.2000000000000003E-5</v>
      </c>
      <c r="L3456" s="9">
        <v>3322.42</v>
      </c>
      <c r="M3456" s="9">
        <v>3322.42</v>
      </c>
      <c r="N3456" s="9">
        <v>1.83</v>
      </c>
      <c r="O3456" s="10">
        <f>IF(AND(OR(H3456="APPROVED",H3456="SCHEDULED"),COUNTIFS(tblSource[EventID],F3456,tblSource[ReleaseStatus],"APPROVED")=1,COUNTIFS(Period_Status!$A$2:$A$8,G3456,Period_Status!$B$2:$B$8,"ActualClosed")=1,C3456&gt;EOMONTH(Settlement_Bridge!$C$2,0)),1,0)</f>
        <v>0</v>
      </c>
      <c r="P3456" s="2" t="s">
        <v>9490</v>
      </c>
    </row>
    <row r="3457" spans="1:16" x14ac:dyDescent="0.25">
      <c r="A3457" s="2" t="s">
        <v>9491</v>
      </c>
      <c r="B3457" s="2" t="s">
        <v>7433</v>
      </c>
      <c r="C3457" s="8">
        <v>46255</v>
      </c>
      <c r="D3457" s="6">
        <v>46235</v>
      </c>
      <c r="E3457" s="2" t="s">
        <v>260</v>
      </c>
      <c r="F3457" s="2" t="s">
        <v>9489</v>
      </c>
      <c r="G3457" s="6">
        <v>46204</v>
      </c>
      <c r="H3457" s="2" t="s">
        <v>71</v>
      </c>
      <c r="I3457" s="2" t="s">
        <v>76</v>
      </c>
      <c r="J3457" s="9">
        <v>80381129.032258004</v>
      </c>
      <c r="K3457" s="7">
        <v>6.1500000000000004E-5</v>
      </c>
      <c r="L3457" s="9">
        <v>4943.4399999999996</v>
      </c>
      <c r="M3457" s="9">
        <v>4983.63</v>
      </c>
      <c r="N3457" s="9">
        <v>2.72</v>
      </c>
      <c r="O3457" s="10">
        <f>IF(AND(OR(H3457="APPROVED",H3457="SCHEDULED"),COUNTIFS(tblSource[EventID],F3457,tblSource[ReleaseStatus],"APPROVED")=1,COUNTIFS(Period_Status!$A$2:$A$8,G3457,Period_Status!$B$2:$B$8,"ActualClosed")=1,C3457&gt;EOMONTH(Settlement_Bridge!$C$2,0)),1,0)</f>
        <v>1</v>
      </c>
      <c r="P3457" s="2" t="s">
        <v>9492</v>
      </c>
    </row>
    <row r="3458" spans="1:16" x14ac:dyDescent="0.25">
      <c r="A3458" s="2" t="s">
        <v>9493</v>
      </c>
      <c r="B3458" s="2" t="s">
        <v>7433</v>
      </c>
      <c r="C3458" s="8">
        <v>46231</v>
      </c>
      <c r="D3458" s="6">
        <v>46204</v>
      </c>
      <c r="E3458" s="2" t="s">
        <v>260</v>
      </c>
      <c r="F3458" s="2" t="s">
        <v>9494</v>
      </c>
      <c r="G3458" s="6">
        <v>46204</v>
      </c>
      <c r="H3458" s="2" t="s">
        <v>71</v>
      </c>
      <c r="I3458" s="2" t="s">
        <v>70</v>
      </c>
      <c r="J3458" s="9">
        <v>5217.5501519999998</v>
      </c>
      <c r="K3458" s="7">
        <v>0.65800000000000003</v>
      </c>
      <c r="L3458" s="9">
        <v>3433.15</v>
      </c>
      <c r="M3458" s="9">
        <v>3433.15</v>
      </c>
      <c r="N3458" s="9">
        <v>1.89</v>
      </c>
      <c r="O3458" s="10">
        <f>IF(AND(OR(H3458="APPROVED",H3458="SCHEDULED"),COUNTIFS(tblSource[EventID],F3458,tblSource[ReleaseStatus],"APPROVED")=1,COUNTIFS(Period_Status!$A$2:$A$8,G3458,Period_Status!$B$2:$B$8,"ActualClosed")=1,C3458&gt;EOMONTH(Settlement_Bridge!$C$2,0)),1,0)</f>
        <v>0</v>
      </c>
      <c r="P3458" s="2" t="s">
        <v>9495</v>
      </c>
    </row>
    <row r="3459" spans="1:16" x14ac:dyDescent="0.25">
      <c r="A3459" s="2" t="s">
        <v>9496</v>
      </c>
      <c r="B3459" s="2" t="s">
        <v>7433</v>
      </c>
      <c r="C3459" s="8">
        <v>46256</v>
      </c>
      <c r="D3459" s="6">
        <v>46235</v>
      </c>
      <c r="E3459" s="2" t="s">
        <v>260</v>
      </c>
      <c r="F3459" s="2" t="s">
        <v>9494</v>
      </c>
      <c r="G3459" s="6">
        <v>46204</v>
      </c>
      <c r="H3459" s="2" t="s">
        <v>71</v>
      </c>
      <c r="I3459" s="2" t="s">
        <v>70</v>
      </c>
      <c r="J3459" s="9">
        <v>7826.3252279999997</v>
      </c>
      <c r="K3459" s="7">
        <v>0.65</v>
      </c>
      <c r="L3459" s="9">
        <v>5087.1099999999997</v>
      </c>
      <c r="M3459" s="9">
        <v>5149.72</v>
      </c>
      <c r="N3459" s="9">
        <v>2.8</v>
      </c>
      <c r="O3459" s="10">
        <f>IF(AND(OR(H3459="APPROVED",H3459="SCHEDULED"),COUNTIFS(tblSource[EventID],F3459,tblSource[ReleaseStatus],"APPROVED")=1,COUNTIFS(Period_Status!$A$2:$A$8,G3459,Period_Status!$B$2:$B$8,"ActualClosed")=1,C3459&gt;EOMONTH(Settlement_Bridge!$C$2,0)),1,0)</f>
        <v>1</v>
      </c>
      <c r="P3459" s="2" t="s">
        <v>9497</v>
      </c>
    </row>
    <row r="3460" spans="1:16" x14ac:dyDescent="0.25">
      <c r="A3460" s="2" t="s">
        <v>9498</v>
      </c>
      <c r="B3460" s="2" t="s">
        <v>7433</v>
      </c>
      <c r="C3460" s="8">
        <v>46232</v>
      </c>
      <c r="D3460" s="6">
        <v>46204</v>
      </c>
      <c r="E3460" s="2" t="s">
        <v>260</v>
      </c>
      <c r="F3460" s="2" t="s">
        <v>9499</v>
      </c>
      <c r="G3460" s="6">
        <v>46204</v>
      </c>
      <c r="H3460" s="2" t="s">
        <v>71</v>
      </c>
      <c r="I3460" s="2" t="s">
        <v>39</v>
      </c>
      <c r="J3460" s="9">
        <v>3543.8719999999998</v>
      </c>
      <c r="K3460" s="7">
        <v>1</v>
      </c>
      <c r="L3460" s="9">
        <v>3543.87</v>
      </c>
      <c r="M3460" s="9">
        <v>3543.87</v>
      </c>
      <c r="N3460" s="9">
        <v>1.95</v>
      </c>
      <c r="O3460" s="10">
        <f>IF(AND(OR(H3460="APPROVED",H3460="SCHEDULED"),COUNTIFS(tblSource[EventID],F3460,tblSource[ReleaseStatus],"APPROVED")=1,COUNTIFS(Period_Status!$A$2:$A$8,G3460,Period_Status!$B$2:$B$8,"ActualClosed")=1,C3460&gt;EOMONTH(Settlement_Bridge!$C$2,0)),1,0)</f>
        <v>0</v>
      </c>
      <c r="P3460" s="2" t="s">
        <v>9500</v>
      </c>
    </row>
    <row r="3461" spans="1:16" x14ac:dyDescent="0.25">
      <c r="A3461" s="2" t="s">
        <v>9501</v>
      </c>
      <c r="B3461" s="2" t="s">
        <v>7433</v>
      </c>
      <c r="C3461" s="8">
        <v>46257</v>
      </c>
      <c r="D3461" s="6">
        <v>46235</v>
      </c>
      <c r="E3461" s="2" t="s">
        <v>260</v>
      </c>
      <c r="F3461" s="2" t="s">
        <v>9499</v>
      </c>
      <c r="G3461" s="6">
        <v>46204</v>
      </c>
      <c r="H3461" s="2" t="s">
        <v>71</v>
      </c>
      <c r="I3461" s="2" t="s">
        <v>39</v>
      </c>
      <c r="J3461" s="9">
        <v>5315.808</v>
      </c>
      <c r="K3461" s="7">
        <v>1</v>
      </c>
      <c r="L3461" s="9">
        <v>5315.81</v>
      </c>
      <c r="M3461" s="9">
        <v>5315.81</v>
      </c>
      <c r="N3461" s="9">
        <v>2.92</v>
      </c>
      <c r="O3461" s="10">
        <f>IF(AND(OR(H3461="APPROVED",H3461="SCHEDULED"),COUNTIFS(tblSource[EventID],F3461,tblSource[ReleaseStatus],"APPROVED")=1,COUNTIFS(Period_Status!$A$2:$A$8,G3461,Period_Status!$B$2:$B$8,"ActualClosed")=1,C3461&gt;EOMONTH(Settlement_Bridge!$C$2,0)),1,0)</f>
        <v>1</v>
      </c>
      <c r="P3461" s="2" t="s">
        <v>9502</v>
      </c>
    </row>
    <row r="3462" spans="1:16" x14ac:dyDescent="0.25">
      <c r="A3462" s="2" t="s">
        <v>9503</v>
      </c>
      <c r="B3462" s="2" t="s">
        <v>7433</v>
      </c>
      <c r="C3462" s="8">
        <v>46233</v>
      </c>
      <c r="D3462" s="6">
        <v>46204</v>
      </c>
      <c r="E3462" s="2" t="s">
        <v>260</v>
      </c>
      <c r="F3462" s="2" t="s">
        <v>9504</v>
      </c>
      <c r="G3462" s="6">
        <v>46204</v>
      </c>
      <c r="H3462" s="2" t="s">
        <v>71</v>
      </c>
      <c r="I3462" s="2" t="s">
        <v>76</v>
      </c>
      <c r="J3462" s="9">
        <v>58945161.290321998</v>
      </c>
      <c r="K3462" s="7">
        <v>6.2000000000000003E-5</v>
      </c>
      <c r="L3462" s="9">
        <v>3654.6</v>
      </c>
      <c r="M3462" s="9">
        <v>3654.6</v>
      </c>
      <c r="N3462" s="9">
        <v>2.0099999999999998</v>
      </c>
      <c r="O3462" s="10">
        <f>IF(AND(OR(H3462="APPROVED",H3462="SCHEDULED"),COUNTIFS(tblSource[EventID],F3462,tblSource[ReleaseStatus],"APPROVED")=1,COUNTIFS(Period_Status!$A$2:$A$8,G3462,Period_Status!$B$2:$B$8,"ActualClosed")=1,C3462&gt;EOMONTH(Settlement_Bridge!$C$2,0)),1,0)</f>
        <v>0</v>
      </c>
      <c r="P3462" s="2" t="s">
        <v>9505</v>
      </c>
    </row>
    <row r="3463" spans="1:16" x14ac:dyDescent="0.25">
      <c r="A3463" s="2" t="s">
        <v>9506</v>
      </c>
      <c r="B3463" s="2" t="s">
        <v>7433</v>
      </c>
      <c r="C3463" s="8">
        <v>46258</v>
      </c>
      <c r="D3463" s="6">
        <v>46235</v>
      </c>
      <c r="E3463" s="2" t="s">
        <v>260</v>
      </c>
      <c r="F3463" s="2" t="s">
        <v>9504</v>
      </c>
      <c r="G3463" s="6">
        <v>46204</v>
      </c>
      <c r="H3463" s="2" t="s">
        <v>71</v>
      </c>
      <c r="I3463" s="2" t="s">
        <v>76</v>
      </c>
      <c r="J3463" s="9">
        <v>88417741.935484007</v>
      </c>
      <c r="K3463" s="7">
        <v>6.1500000000000004E-5</v>
      </c>
      <c r="L3463" s="9">
        <v>5437.69</v>
      </c>
      <c r="M3463" s="9">
        <v>5481.9</v>
      </c>
      <c r="N3463" s="9">
        <v>2.99</v>
      </c>
      <c r="O3463" s="10">
        <f>IF(AND(OR(H3463="APPROVED",H3463="SCHEDULED"),COUNTIFS(tblSource[EventID],F3463,tblSource[ReleaseStatus],"APPROVED")=1,COUNTIFS(Period_Status!$A$2:$A$8,G3463,Period_Status!$B$2:$B$8,"ActualClosed")=1,C3463&gt;EOMONTH(Settlement_Bridge!$C$2,0)),1,0)</f>
        <v>1</v>
      </c>
      <c r="P3463" s="2" t="s">
        <v>9507</v>
      </c>
    </row>
    <row r="3464" spans="1:16" x14ac:dyDescent="0.25">
      <c r="A3464" s="2" t="s">
        <v>9508</v>
      </c>
      <c r="B3464" s="2" t="s">
        <v>7433</v>
      </c>
      <c r="C3464" s="8">
        <v>46234</v>
      </c>
      <c r="D3464" s="6">
        <v>46204</v>
      </c>
      <c r="E3464" s="2" t="s">
        <v>260</v>
      </c>
      <c r="F3464" s="2" t="s">
        <v>9509</v>
      </c>
      <c r="G3464" s="6">
        <v>46204</v>
      </c>
      <c r="H3464" s="2" t="s">
        <v>71</v>
      </c>
      <c r="I3464" s="2" t="s">
        <v>70</v>
      </c>
      <c r="J3464" s="9">
        <v>5722.382979</v>
      </c>
      <c r="K3464" s="7">
        <v>0.65800000000000003</v>
      </c>
      <c r="L3464" s="9">
        <v>3765.33</v>
      </c>
      <c r="M3464" s="9">
        <v>3765.33</v>
      </c>
      <c r="N3464" s="9">
        <v>2.0699999999999998</v>
      </c>
      <c r="O3464" s="10">
        <f>IF(AND(OR(H3464="APPROVED",H3464="SCHEDULED"),COUNTIFS(tblSource[EventID],F3464,tblSource[ReleaseStatus],"APPROVED")=1,COUNTIFS(Period_Status!$A$2:$A$8,G3464,Period_Status!$B$2:$B$8,"ActualClosed")=1,C3464&gt;EOMONTH(Settlement_Bridge!$C$2,0)),1,0)</f>
        <v>0</v>
      </c>
      <c r="P3464" s="2" t="s">
        <v>9510</v>
      </c>
    </row>
    <row r="3465" spans="1:16" x14ac:dyDescent="0.25">
      <c r="A3465" s="2" t="s">
        <v>9511</v>
      </c>
      <c r="B3465" s="2" t="s">
        <v>7433</v>
      </c>
      <c r="C3465" s="8">
        <v>46259</v>
      </c>
      <c r="D3465" s="6">
        <v>46235</v>
      </c>
      <c r="E3465" s="2" t="s">
        <v>260</v>
      </c>
      <c r="F3465" s="2" t="s">
        <v>9509</v>
      </c>
      <c r="G3465" s="6">
        <v>46204</v>
      </c>
      <c r="H3465" s="2" t="s">
        <v>71</v>
      </c>
      <c r="I3465" s="2" t="s">
        <v>70</v>
      </c>
      <c r="J3465" s="9">
        <v>8583.5744680000007</v>
      </c>
      <c r="K3465" s="7">
        <v>0.65</v>
      </c>
      <c r="L3465" s="9">
        <v>5579.32</v>
      </c>
      <c r="M3465" s="9">
        <v>5647.99</v>
      </c>
      <c r="N3465" s="9">
        <v>3.07</v>
      </c>
      <c r="O3465" s="10">
        <f>IF(AND(OR(H3465="APPROVED",H3465="SCHEDULED"),COUNTIFS(tblSource[EventID],F3465,tblSource[ReleaseStatus],"APPROVED")=1,COUNTIFS(Period_Status!$A$2:$A$8,G3465,Period_Status!$B$2:$B$8,"ActualClosed")=1,C3465&gt;EOMONTH(Settlement_Bridge!$C$2,0)),1,0)</f>
        <v>1</v>
      </c>
      <c r="P3465" s="2" t="s">
        <v>9512</v>
      </c>
    </row>
    <row r="3466" spans="1:16" x14ac:dyDescent="0.25">
      <c r="A3466" s="2" t="s">
        <v>9513</v>
      </c>
      <c r="B3466" s="2" t="s">
        <v>7433</v>
      </c>
      <c r="C3466" s="8">
        <v>46235</v>
      </c>
      <c r="D3466" s="6">
        <v>46235</v>
      </c>
      <c r="E3466" s="2" t="s">
        <v>260</v>
      </c>
      <c r="F3466" s="2" t="s">
        <v>9514</v>
      </c>
      <c r="G3466" s="6">
        <v>46204</v>
      </c>
      <c r="H3466" s="2" t="s">
        <v>71</v>
      </c>
      <c r="I3466" s="2" t="s">
        <v>39</v>
      </c>
      <c r="J3466" s="9">
        <v>3876.0520000000001</v>
      </c>
      <c r="K3466" s="7">
        <v>1</v>
      </c>
      <c r="L3466" s="9">
        <v>3876.05</v>
      </c>
      <c r="M3466" s="9">
        <v>3876.05</v>
      </c>
      <c r="N3466" s="9">
        <v>2.13</v>
      </c>
      <c r="O3466" s="10">
        <f>IF(AND(OR(H3466="APPROVED",H3466="SCHEDULED"),COUNTIFS(tblSource[EventID],F3466,tblSource[ReleaseStatus],"APPROVED")=1,COUNTIFS(Period_Status!$A$2:$A$8,G3466,Period_Status!$B$2:$B$8,"ActualClosed")=1,C3466&gt;EOMONTH(Settlement_Bridge!$C$2,0)),1,0)</f>
        <v>1</v>
      </c>
      <c r="P3466" s="2" t="s">
        <v>9515</v>
      </c>
    </row>
    <row r="3467" spans="1:16" x14ac:dyDescent="0.25">
      <c r="A3467" s="2" t="s">
        <v>9516</v>
      </c>
      <c r="B3467" s="2" t="s">
        <v>7433</v>
      </c>
      <c r="C3467" s="8">
        <v>46260</v>
      </c>
      <c r="D3467" s="6">
        <v>46235</v>
      </c>
      <c r="E3467" s="2" t="s">
        <v>260</v>
      </c>
      <c r="F3467" s="2" t="s">
        <v>9514</v>
      </c>
      <c r="G3467" s="6">
        <v>46204</v>
      </c>
      <c r="H3467" s="2" t="s">
        <v>71</v>
      </c>
      <c r="I3467" s="2" t="s">
        <v>39</v>
      </c>
      <c r="J3467" s="9">
        <v>5814.0780000000004</v>
      </c>
      <c r="K3467" s="7">
        <v>1</v>
      </c>
      <c r="L3467" s="9">
        <v>5814.08</v>
      </c>
      <c r="M3467" s="9">
        <v>5814.08</v>
      </c>
      <c r="N3467" s="9">
        <v>3.2</v>
      </c>
      <c r="O3467" s="10">
        <f>IF(AND(OR(H3467="APPROVED",H3467="SCHEDULED"),COUNTIFS(tblSource[EventID],F3467,tblSource[ReleaseStatus],"APPROVED")=1,COUNTIFS(Period_Status!$A$2:$A$8,G3467,Period_Status!$B$2:$B$8,"ActualClosed")=1,C3467&gt;EOMONTH(Settlement_Bridge!$C$2,0)),1,0)</f>
        <v>1</v>
      </c>
      <c r="P3467" s="2" t="s">
        <v>9517</v>
      </c>
    </row>
    <row r="3468" spans="1:16" x14ac:dyDescent="0.25">
      <c r="A3468" s="2" t="s">
        <v>9518</v>
      </c>
      <c r="B3468" s="2" t="s">
        <v>7433</v>
      </c>
      <c r="C3468" s="8">
        <v>46236</v>
      </c>
      <c r="D3468" s="6">
        <v>46235</v>
      </c>
      <c r="E3468" s="2" t="s">
        <v>260</v>
      </c>
      <c r="F3468" s="2" t="s">
        <v>9519</v>
      </c>
      <c r="G3468" s="6">
        <v>46204</v>
      </c>
      <c r="H3468" s="2" t="s">
        <v>71</v>
      </c>
      <c r="I3468" s="2" t="s">
        <v>76</v>
      </c>
      <c r="J3468" s="9">
        <v>64302838.709678002</v>
      </c>
      <c r="K3468" s="7">
        <v>6.1500000000000004E-5</v>
      </c>
      <c r="L3468" s="9">
        <v>3954.62</v>
      </c>
      <c r="M3468" s="9">
        <v>3986.78</v>
      </c>
      <c r="N3468" s="9">
        <v>2.1800000000000002</v>
      </c>
      <c r="O3468" s="10">
        <f>IF(AND(OR(H3468="APPROVED",H3468="SCHEDULED"),COUNTIFS(tblSource[EventID],F3468,tblSource[ReleaseStatus],"APPROVED")=1,COUNTIFS(Period_Status!$A$2:$A$8,G3468,Period_Status!$B$2:$B$8,"ActualClosed")=1,C3468&gt;EOMONTH(Settlement_Bridge!$C$2,0)),1,0)</f>
        <v>1</v>
      </c>
      <c r="P3468" s="2" t="s">
        <v>9520</v>
      </c>
    </row>
    <row r="3469" spans="1:16" x14ac:dyDescent="0.25">
      <c r="A3469" s="2" t="s">
        <v>9521</v>
      </c>
      <c r="B3469" s="2" t="s">
        <v>7433</v>
      </c>
      <c r="C3469" s="8">
        <v>46261</v>
      </c>
      <c r="D3469" s="6">
        <v>46235</v>
      </c>
      <c r="E3469" s="2" t="s">
        <v>260</v>
      </c>
      <c r="F3469" s="2" t="s">
        <v>9519</v>
      </c>
      <c r="G3469" s="6">
        <v>46204</v>
      </c>
      <c r="H3469" s="2" t="s">
        <v>71</v>
      </c>
      <c r="I3469" s="2" t="s">
        <v>76</v>
      </c>
      <c r="J3469" s="9">
        <v>96454258.064515993</v>
      </c>
      <c r="K3469" s="7">
        <v>6.1500000000000004E-5</v>
      </c>
      <c r="L3469" s="9">
        <v>5931.94</v>
      </c>
      <c r="M3469" s="9">
        <v>5980.16</v>
      </c>
      <c r="N3469" s="9">
        <v>3.26</v>
      </c>
      <c r="O3469" s="10">
        <f>IF(AND(OR(H3469="APPROVED",H3469="SCHEDULED"),COUNTIFS(tblSource[EventID],F3469,tblSource[ReleaseStatus],"APPROVED")=1,COUNTIFS(Period_Status!$A$2:$A$8,G3469,Period_Status!$B$2:$B$8,"ActualClosed")=1,C3469&gt;EOMONTH(Settlement_Bridge!$C$2,0)),1,0)</f>
        <v>1</v>
      </c>
      <c r="P3469" s="2" t="s">
        <v>9522</v>
      </c>
    </row>
    <row r="3470" spans="1:16" x14ac:dyDescent="0.25">
      <c r="A3470" s="2" t="s">
        <v>9523</v>
      </c>
      <c r="B3470" s="2" t="s">
        <v>7433</v>
      </c>
      <c r="C3470" s="8">
        <v>46237</v>
      </c>
      <c r="D3470" s="6">
        <v>46235</v>
      </c>
      <c r="E3470" s="2" t="s">
        <v>260</v>
      </c>
      <c r="F3470" s="2" t="s">
        <v>9524</v>
      </c>
      <c r="G3470" s="6">
        <v>46204</v>
      </c>
      <c r="H3470" s="2" t="s">
        <v>71</v>
      </c>
      <c r="I3470" s="2" t="s">
        <v>70</v>
      </c>
      <c r="J3470" s="9">
        <v>6227.209726</v>
      </c>
      <c r="K3470" s="7">
        <v>0.65</v>
      </c>
      <c r="L3470" s="9">
        <v>4047.69</v>
      </c>
      <c r="M3470" s="9">
        <v>4097.5</v>
      </c>
      <c r="N3470" s="9">
        <v>2.23</v>
      </c>
      <c r="O3470" s="10">
        <f>IF(AND(OR(H3470="APPROVED",H3470="SCHEDULED"),COUNTIFS(tblSource[EventID],F3470,tblSource[ReleaseStatus],"APPROVED")=1,COUNTIFS(Period_Status!$A$2:$A$8,G3470,Period_Status!$B$2:$B$8,"ActualClosed")=1,C3470&gt;EOMONTH(Settlement_Bridge!$C$2,0)),1,0)</f>
        <v>1</v>
      </c>
      <c r="P3470" s="2" t="s">
        <v>9525</v>
      </c>
    </row>
    <row r="3471" spans="1:16" x14ac:dyDescent="0.25">
      <c r="A3471" s="2" t="s">
        <v>9526</v>
      </c>
      <c r="B3471" s="2" t="s">
        <v>7433</v>
      </c>
      <c r="C3471" s="8">
        <v>46262</v>
      </c>
      <c r="D3471" s="6">
        <v>46235</v>
      </c>
      <c r="E3471" s="2" t="s">
        <v>260</v>
      </c>
      <c r="F3471" s="2" t="s">
        <v>9524</v>
      </c>
      <c r="G3471" s="6">
        <v>46204</v>
      </c>
      <c r="H3471" s="2" t="s">
        <v>71</v>
      </c>
      <c r="I3471" s="2" t="s">
        <v>70</v>
      </c>
      <c r="J3471" s="9">
        <v>9340.81459</v>
      </c>
      <c r="K3471" s="7">
        <v>0.65</v>
      </c>
      <c r="L3471" s="9">
        <v>6071.53</v>
      </c>
      <c r="M3471" s="9">
        <v>6146.26</v>
      </c>
      <c r="N3471" s="9">
        <v>3.34</v>
      </c>
      <c r="O3471" s="10">
        <f>IF(AND(OR(H3471="APPROVED",H3471="SCHEDULED"),COUNTIFS(tblSource[EventID],F3471,tblSource[ReleaseStatus],"APPROVED")=1,COUNTIFS(Period_Status!$A$2:$A$8,G3471,Period_Status!$B$2:$B$8,"ActualClosed")=1,C3471&gt;EOMONTH(Settlement_Bridge!$C$2,0)),1,0)</f>
        <v>1</v>
      </c>
      <c r="P3471" s="2" t="s">
        <v>9527</v>
      </c>
    </row>
    <row r="3472" spans="1:16" x14ac:dyDescent="0.25">
      <c r="A3472" s="2" t="s">
        <v>9528</v>
      </c>
      <c r="B3472" s="2" t="s">
        <v>7433</v>
      </c>
      <c r="C3472" s="8">
        <v>46238</v>
      </c>
      <c r="D3472" s="6">
        <v>46235</v>
      </c>
      <c r="E3472" s="2" t="s">
        <v>260</v>
      </c>
      <c r="F3472" s="2" t="s">
        <v>9529</v>
      </c>
      <c r="G3472" s="6">
        <v>46204</v>
      </c>
      <c r="H3472" s="2" t="s">
        <v>71</v>
      </c>
      <c r="I3472" s="2" t="s">
        <v>39</v>
      </c>
      <c r="J3472" s="9">
        <v>4208.232</v>
      </c>
      <c r="K3472" s="7">
        <v>1</v>
      </c>
      <c r="L3472" s="9">
        <v>4208.2299999999996</v>
      </c>
      <c r="M3472" s="9">
        <v>4208.2299999999996</v>
      </c>
      <c r="N3472" s="9">
        <v>2.31</v>
      </c>
      <c r="O3472" s="10">
        <f>IF(AND(OR(H3472="APPROVED",H3472="SCHEDULED"),COUNTIFS(tblSource[EventID],F3472,tblSource[ReleaseStatus],"APPROVED")=1,COUNTIFS(Period_Status!$A$2:$A$8,G3472,Period_Status!$B$2:$B$8,"ActualClosed")=1,C3472&gt;EOMONTH(Settlement_Bridge!$C$2,0)),1,0)</f>
        <v>1</v>
      </c>
      <c r="P3472" s="2" t="s">
        <v>9530</v>
      </c>
    </row>
    <row r="3473" spans="1:16" x14ac:dyDescent="0.25">
      <c r="A3473" s="2" t="s">
        <v>9531</v>
      </c>
      <c r="B3473" s="2" t="s">
        <v>7433</v>
      </c>
      <c r="C3473" s="8">
        <v>46263</v>
      </c>
      <c r="D3473" s="6">
        <v>46235</v>
      </c>
      <c r="E3473" s="2" t="s">
        <v>260</v>
      </c>
      <c r="F3473" s="2" t="s">
        <v>9529</v>
      </c>
      <c r="G3473" s="6">
        <v>46204</v>
      </c>
      <c r="H3473" s="2" t="s">
        <v>71</v>
      </c>
      <c r="I3473" s="2" t="s">
        <v>39</v>
      </c>
      <c r="J3473" s="9">
        <v>6312.348</v>
      </c>
      <c r="K3473" s="7">
        <v>1</v>
      </c>
      <c r="L3473" s="9">
        <v>6312.35</v>
      </c>
      <c r="M3473" s="9">
        <v>6312.35</v>
      </c>
      <c r="N3473" s="9">
        <v>3.47</v>
      </c>
      <c r="O3473" s="10">
        <f>IF(AND(OR(H3473="APPROVED",H3473="SCHEDULED"),COUNTIFS(tblSource[EventID],F3473,tblSource[ReleaseStatus],"APPROVED")=1,COUNTIFS(Period_Status!$A$2:$A$8,G3473,Period_Status!$B$2:$B$8,"ActualClosed")=1,C3473&gt;EOMONTH(Settlement_Bridge!$C$2,0)),1,0)</f>
        <v>1</v>
      </c>
      <c r="P3473" s="2" t="s">
        <v>9532</v>
      </c>
    </row>
    <row r="3474" spans="1:16" x14ac:dyDescent="0.25">
      <c r="A3474" s="2" t="s">
        <v>9533</v>
      </c>
      <c r="B3474" s="2" t="s">
        <v>7433</v>
      </c>
      <c r="C3474" s="8">
        <v>46239</v>
      </c>
      <c r="D3474" s="6">
        <v>46235</v>
      </c>
      <c r="E3474" s="2" t="s">
        <v>260</v>
      </c>
      <c r="F3474" s="2" t="s">
        <v>9534</v>
      </c>
      <c r="G3474" s="6">
        <v>46204</v>
      </c>
      <c r="H3474" s="2" t="s">
        <v>71</v>
      </c>
      <c r="I3474" s="2" t="s">
        <v>76</v>
      </c>
      <c r="J3474" s="9">
        <v>69660580.645161003</v>
      </c>
      <c r="K3474" s="7">
        <v>6.1500000000000004E-5</v>
      </c>
      <c r="L3474" s="9">
        <v>4284.13</v>
      </c>
      <c r="M3474" s="9">
        <v>4318.96</v>
      </c>
      <c r="N3474" s="9">
        <v>2.36</v>
      </c>
      <c r="O3474" s="10">
        <f>IF(AND(OR(H3474="APPROVED",H3474="SCHEDULED"),COUNTIFS(tblSource[EventID],F3474,tblSource[ReleaseStatus],"APPROVED")=1,COUNTIFS(Period_Status!$A$2:$A$8,G3474,Period_Status!$B$2:$B$8,"ActualClosed")=1,C3474&gt;EOMONTH(Settlement_Bridge!$C$2,0)),1,0)</f>
        <v>1</v>
      </c>
      <c r="P3474" s="2" t="s">
        <v>9535</v>
      </c>
    </row>
    <row r="3475" spans="1:16" x14ac:dyDescent="0.25">
      <c r="A3475" s="2" t="s">
        <v>9536</v>
      </c>
      <c r="B3475" s="2" t="s">
        <v>7433</v>
      </c>
      <c r="C3475" s="8">
        <v>46264</v>
      </c>
      <c r="D3475" s="6">
        <v>46235</v>
      </c>
      <c r="E3475" s="2" t="s">
        <v>260</v>
      </c>
      <c r="F3475" s="2" t="s">
        <v>9534</v>
      </c>
      <c r="G3475" s="6">
        <v>46204</v>
      </c>
      <c r="H3475" s="2" t="s">
        <v>71</v>
      </c>
      <c r="I3475" s="2" t="s">
        <v>76</v>
      </c>
      <c r="J3475" s="9">
        <v>104490870.967742</v>
      </c>
      <c r="K3475" s="7">
        <v>6.1500000000000004E-5</v>
      </c>
      <c r="L3475" s="9">
        <v>6426.19</v>
      </c>
      <c r="M3475" s="9">
        <v>6478.43</v>
      </c>
      <c r="N3475" s="9">
        <v>3.53</v>
      </c>
      <c r="O3475" s="10">
        <f>IF(AND(OR(H3475="APPROVED",H3475="SCHEDULED"),COUNTIFS(tblSource[EventID],F3475,tblSource[ReleaseStatus],"APPROVED")=1,COUNTIFS(Period_Status!$A$2:$A$8,G3475,Period_Status!$B$2:$B$8,"ActualClosed")=1,C3475&gt;EOMONTH(Settlement_Bridge!$C$2,0)),1,0)</f>
        <v>1</v>
      </c>
      <c r="P3475" s="2" t="s">
        <v>9537</v>
      </c>
    </row>
    <row r="3476" spans="1:16" x14ac:dyDescent="0.25">
      <c r="A3476" s="2" t="s">
        <v>9538</v>
      </c>
      <c r="B3476" s="2" t="s">
        <v>7433</v>
      </c>
      <c r="C3476" s="8">
        <v>46240</v>
      </c>
      <c r="D3476" s="6">
        <v>46235</v>
      </c>
      <c r="E3476" s="2" t="s">
        <v>260</v>
      </c>
      <c r="F3476" s="2" t="s">
        <v>9539</v>
      </c>
      <c r="G3476" s="6">
        <v>46204</v>
      </c>
      <c r="H3476" s="2" t="s">
        <v>71</v>
      </c>
      <c r="I3476" s="2" t="s">
        <v>70</v>
      </c>
      <c r="J3476" s="9">
        <v>6732.0425530000002</v>
      </c>
      <c r="K3476" s="7">
        <v>0.65</v>
      </c>
      <c r="L3476" s="9">
        <v>4375.83</v>
      </c>
      <c r="M3476" s="9">
        <v>4429.68</v>
      </c>
      <c r="N3476" s="9">
        <v>2.41</v>
      </c>
      <c r="O3476" s="10">
        <f>IF(AND(OR(H3476="APPROVED",H3476="SCHEDULED"),COUNTIFS(tblSource[EventID],F3476,tblSource[ReleaseStatus],"APPROVED")=1,COUNTIFS(Period_Status!$A$2:$A$8,G3476,Period_Status!$B$2:$B$8,"ActualClosed")=1,C3476&gt;EOMONTH(Settlement_Bridge!$C$2,0)),1,0)</f>
        <v>1</v>
      </c>
      <c r="P3476" s="2" t="s">
        <v>9540</v>
      </c>
    </row>
    <row r="3477" spans="1:16" x14ac:dyDescent="0.25">
      <c r="A3477" s="2" t="s">
        <v>9541</v>
      </c>
      <c r="B3477" s="2" t="s">
        <v>7433</v>
      </c>
      <c r="C3477" s="8">
        <v>46265</v>
      </c>
      <c r="D3477" s="6">
        <v>46235</v>
      </c>
      <c r="E3477" s="2" t="s">
        <v>260</v>
      </c>
      <c r="F3477" s="2" t="s">
        <v>9539</v>
      </c>
      <c r="G3477" s="6">
        <v>46204</v>
      </c>
      <c r="H3477" s="2" t="s">
        <v>71</v>
      </c>
      <c r="I3477" s="2" t="s">
        <v>70</v>
      </c>
      <c r="J3477" s="9">
        <v>10098.063829999999</v>
      </c>
      <c r="K3477" s="7">
        <v>0.65</v>
      </c>
      <c r="L3477" s="9">
        <v>6563.74</v>
      </c>
      <c r="M3477" s="9">
        <v>6644.53</v>
      </c>
      <c r="N3477" s="9">
        <v>3.61</v>
      </c>
      <c r="O3477" s="10">
        <f>IF(AND(OR(H3477="APPROVED",H3477="SCHEDULED"),COUNTIFS(tblSource[EventID],F3477,tblSource[ReleaseStatus],"APPROVED")=1,COUNTIFS(Period_Status!$A$2:$A$8,G3477,Period_Status!$B$2:$B$8,"ActualClosed")=1,C3477&gt;EOMONTH(Settlement_Bridge!$C$2,0)),1,0)</f>
        <v>1</v>
      </c>
      <c r="P3477" s="2" t="s">
        <v>9542</v>
      </c>
    </row>
    <row r="3478" spans="1:16" x14ac:dyDescent="0.25">
      <c r="A3478" s="2" t="s">
        <v>9543</v>
      </c>
      <c r="B3478" s="2" t="s">
        <v>7433</v>
      </c>
      <c r="C3478" s="8">
        <v>46241</v>
      </c>
      <c r="D3478" s="6">
        <v>46235</v>
      </c>
      <c r="E3478" s="2" t="s">
        <v>260</v>
      </c>
      <c r="F3478" s="2" t="s">
        <v>9544</v>
      </c>
      <c r="G3478" s="6">
        <v>46204</v>
      </c>
      <c r="H3478" s="2" t="s">
        <v>71</v>
      </c>
      <c r="I3478" s="2" t="s">
        <v>39</v>
      </c>
      <c r="J3478" s="9">
        <v>4540.4080000000004</v>
      </c>
      <c r="K3478" s="7">
        <v>1</v>
      </c>
      <c r="L3478" s="9">
        <v>4540.41</v>
      </c>
      <c r="M3478" s="9">
        <v>4540.41</v>
      </c>
      <c r="N3478" s="9">
        <v>2.5</v>
      </c>
      <c r="O3478" s="10">
        <f>IF(AND(OR(H3478="APPROVED",H3478="SCHEDULED"),COUNTIFS(tblSource[EventID],F3478,tblSource[ReleaseStatus],"APPROVED")=1,COUNTIFS(Period_Status!$A$2:$A$8,G3478,Period_Status!$B$2:$B$8,"ActualClosed")=1,C3478&gt;EOMONTH(Settlement_Bridge!$C$2,0)),1,0)</f>
        <v>1</v>
      </c>
      <c r="P3478" s="2" t="s">
        <v>9545</v>
      </c>
    </row>
    <row r="3479" spans="1:16" x14ac:dyDescent="0.25">
      <c r="A3479" s="2" t="s">
        <v>9546</v>
      </c>
      <c r="B3479" s="2" t="s">
        <v>7433</v>
      </c>
      <c r="C3479" s="8">
        <v>46266</v>
      </c>
      <c r="D3479" s="6">
        <v>46266</v>
      </c>
      <c r="E3479" s="2" t="s">
        <v>260</v>
      </c>
      <c r="F3479" s="2" t="s">
        <v>9544</v>
      </c>
      <c r="G3479" s="6">
        <v>46204</v>
      </c>
      <c r="H3479" s="2" t="s">
        <v>176</v>
      </c>
      <c r="I3479" s="2" t="s">
        <v>39</v>
      </c>
      <c r="J3479" s="9">
        <v>6810.6120000000001</v>
      </c>
      <c r="K3479" s="7">
        <v>1</v>
      </c>
      <c r="L3479" s="9">
        <v>6810.61</v>
      </c>
      <c r="M3479" s="9">
        <v>6810.61</v>
      </c>
      <c r="N3479" s="9">
        <v>3.75</v>
      </c>
      <c r="O3479" s="10">
        <f>IF(AND(OR(H3479="APPROVED",H3479="SCHEDULED"),COUNTIFS(tblSource[EventID],F3479,tblSource[ReleaseStatus],"APPROVED")=1,COUNTIFS(Period_Status!$A$2:$A$8,G3479,Period_Status!$B$2:$B$8,"ActualClosed")=1,C3479&gt;EOMONTH(Settlement_Bridge!$C$2,0)),1,0)</f>
        <v>1</v>
      </c>
      <c r="P3479" s="2" t="s">
        <v>9547</v>
      </c>
    </row>
    <row r="3480" spans="1:16" x14ac:dyDescent="0.25">
      <c r="A3480" s="2" t="s">
        <v>9548</v>
      </c>
      <c r="B3480" s="2" t="s">
        <v>7433</v>
      </c>
      <c r="C3480" s="8">
        <v>46242</v>
      </c>
      <c r="D3480" s="6">
        <v>46235</v>
      </c>
      <c r="E3480" s="2" t="s">
        <v>260</v>
      </c>
      <c r="F3480" s="2" t="s">
        <v>9549</v>
      </c>
      <c r="G3480" s="6">
        <v>46204</v>
      </c>
      <c r="H3480" s="2" t="s">
        <v>71</v>
      </c>
      <c r="I3480" s="2" t="s">
        <v>76</v>
      </c>
      <c r="J3480" s="9">
        <v>75018322.580644995</v>
      </c>
      <c r="K3480" s="7">
        <v>6.1500000000000004E-5</v>
      </c>
      <c r="L3480" s="9">
        <v>4613.63</v>
      </c>
      <c r="M3480" s="9">
        <v>4651.1400000000003</v>
      </c>
      <c r="N3480" s="9">
        <v>2.54</v>
      </c>
      <c r="O3480" s="10">
        <f>IF(AND(OR(H3480="APPROVED",H3480="SCHEDULED"),COUNTIFS(tblSource[EventID],F3480,tblSource[ReleaseStatus],"APPROVED")=1,COUNTIFS(Period_Status!$A$2:$A$8,G3480,Period_Status!$B$2:$B$8,"ActualClosed")=1,C3480&gt;EOMONTH(Settlement_Bridge!$C$2,0)),1,0)</f>
        <v>1</v>
      </c>
      <c r="P3480" s="2" t="s">
        <v>9550</v>
      </c>
    </row>
    <row r="3481" spans="1:16" x14ac:dyDescent="0.25">
      <c r="A3481" s="2" t="s">
        <v>9551</v>
      </c>
      <c r="B3481" s="2" t="s">
        <v>7433</v>
      </c>
      <c r="C3481" s="8">
        <v>46267</v>
      </c>
      <c r="D3481" s="6">
        <v>46266</v>
      </c>
      <c r="E3481" s="2" t="s">
        <v>260</v>
      </c>
      <c r="F3481" s="2" t="s">
        <v>9549</v>
      </c>
      <c r="G3481" s="6">
        <v>46204</v>
      </c>
      <c r="H3481" s="2" t="s">
        <v>176</v>
      </c>
      <c r="I3481" s="2" t="s">
        <v>76</v>
      </c>
      <c r="J3481" s="9">
        <v>112527483.870968</v>
      </c>
      <c r="K3481" s="7">
        <v>6.1299999999999999E-5</v>
      </c>
      <c r="L3481" s="9">
        <v>6897.93</v>
      </c>
      <c r="M3481" s="9">
        <v>6976.7</v>
      </c>
      <c r="N3481" s="9">
        <v>3.79</v>
      </c>
      <c r="O3481" s="10">
        <f>IF(AND(OR(H3481="APPROVED",H3481="SCHEDULED"),COUNTIFS(tblSource[EventID],F3481,tblSource[ReleaseStatus],"APPROVED")=1,COUNTIFS(Period_Status!$A$2:$A$8,G3481,Period_Status!$B$2:$B$8,"ActualClosed")=1,C3481&gt;EOMONTH(Settlement_Bridge!$C$2,0)),1,0)</f>
        <v>1</v>
      </c>
      <c r="P3481" s="2" t="s">
        <v>9552</v>
      </c>
    </row>
    <row r="3482" spans="1:16" x14ac:dyDescent="0.25">
      <c r="A3482" s="2" t="s">
        <v>9553</v>
      </c>
      <c r="B3482" s="2" t="s">
        <v>7433</v>
      </c>
      <c r="C3482" s="8">
        <v>46243</v>
      </c>
      <c r="D3482" s="6">
        <v>46235</v>
      </c>
      <c r="E3482" s="2" t="s">
        <v>260</v>
      </c>
      <c r="F3482" s="2" t="s">
        <v>9554</v>
      </c>
      <c r="G3482" s="6">
        <v>46204</v>
      </c>
      <c r="H3482" s="2" t="s">
        <v>71</v>
      </c>
      <c r="I3482" s="2" t="s">
        <v>70</v>
      </c>
      <c r="J3482" s="9">
        <v>7236.8693009999997</v>
      </c>
      <c r="K3482" s="7">
        <v>0.65</v>
      </c>
      <c r="L3482" s="9">
        <v>4703.97</v>
      </c>
      <c r="M3482" s="9">
        <v>4761.8599999999997</v>
      </c>
      <c r="N3482" s="9">
        <v>2.59</v>
      </c>
      <c r="O3482" s="10">
        <f>IF(AND(OR(H3482="APPROVED",H3482="SCHEDULED"),COUNTIFS(tblSource[EventID],F3482,tblSource[ReleaseStatus],"APPROVED")=1,COUNTIFS(Period_Status!$A$2:$A$8,G3482,Period_Status!$B$2:$B$8,"ActualClosed")=1,C3482&gt;EOMONTH(Settlement_Bridge!$C$2,0)),1,0)</f>
        <v>1</v>
      </c>
      <c r="P3482" s="2" t="s">
        <v>9555</v>
      </c>
    </row>
    <row r="3483" spans="1:16" x14ac:dyDescent="0.25">
      <c r="A3483" s="2" t="s">
        <v>9556</v>
      </c>
      <c r="B3483" s="2" t="s">
        <v>7433</v>
      </c>
      <c r="C3483" s="8">
        <v>46268</v>
      </c>
      <c r="D3483" s="6">
        <v>46266</v>
      </c>
      <c r="E3483" s="2" t="s">
        <v>260</v>
      </c>
      <c r="F3483" s="2" t="s">
        <v>9554</v>
      </c>
      <c r="G3483" s="6">
        <v>46204</v>
      </c>
      <c r="H3483" s="2" t="s">
        <v>176</v>
      </c>
      <c r="I3483" s="2" t="s">
        <v>70</v>
      </c>
      <c r="J3483" s="9">
        <v>10855.303951</v>
      </c>
      <c r="K3483" s="7">
        <v>0.65100000000000002</v>
      </c>
      <c r="L3483" s="9">
        <v>7066.8</v>
      </c>
      <c r="M3483" s="9">
        <v>7142.79</v>
      </c>
      <c r="N3483" s="9">
        <v>3.89</v>
      </c>
      <c r="O3483" s="10">
        <f>IF(AND(OR(H3483="APPROVED",H3483="SCHEDULED"),COUNTIFS(tblSource[EventID],F3483,tblSource[ReleaseStatus],"APPROVED")=1,COUNTIFS(Period_Status!$A$2:$A$8,G3483,Period_Status!$B$2:$B$8,"ActualClosed")=1,C3483&gt;EOMONTH(Settlement_Bridge!$C$2,0)),1,0)</f>
        <v>1</v>
      </c>
      <c r="P3483" s="2" t="s">
        <v>9557</v>
      </c>
    </row>
    <row r="3484" spans="1:16" x14ac:dyDescent="0.25">
      <c r="A3484" s="2" t="s">
        <v>9558</v>
      </c>
      <c r="B3484" s="2" t="s">
        <v>7433</v>
      </c>
      <c r="C3484" s="8">
        <v>46244</v>
      </c>
      <c r="D3484" s="6">
        <v>46235</v>
      </c>
      <c r="E3484" s="2" t="s">
        <v>260</v>
      </c>
      <c r="F3484" s="2" t="s">
        <v>9559</v>
      </c>
      <c r="G3484" s="6">
        <v>46204</v>
      </c>
      <c r="H3484" s="2" t="s">
        <v>71</v>
      </c>
      <c r="I3484" s="2" t="s">
        <v>39</v>
      </c>
      <c r="J3484" s="9">
        <v>4872.5879999999997</v>
      </c>
      <c r="K3484" s="7">
        <v>1</v>
      </c>
      <c r="L3484" s="9">
        <v>4872.59</v>
      </c>
      <c r="M3484" s="9">
        <v>4872.59</v>
      </c>
      <c r="N3484" s="9">
        <v>2.68</v>
      </c>
      <c r="O3484" s="10">
        <f>IF(AND(OR(H3484="APPROVED",H3484="SCHEDULED"),COUNTIFS(tblSource[EventID],F3484,tblSource[ReleaseStatus],"APPROVED")=1,COUNTIFS(Period_Status!$A$2:$A$8,G3484,Period_Status!$B$2:$B$8,"ActualClosed")=1,C3484&gt;EOMONTH(Settlement_Bridge!$C$2,0)),1,0)</f>
        <v>1</v>
      </c>
      <c r="P3484" s="2" t="s">
        <v>9560</v>
      </c>
    </row>
    <row r="3485" spans="1:16" x14ac:dyDescent="0.25">
      <c r="A3485" s="2" t="s">
        <v>9561</v>
      </c>
      <c r="B3485" s="2" t="s">
        <v>7433</v>
      </c>
      <c r="C3485" s="8">
        <v>46269</v>
      </c>
      <c r="D3485" s="6">
        <v>46266</v>
      </c>
      <c r="E3485" s="2" t="s">
        <v>260</v>
      </c>
      <c r="F3485" s="2" t="s">
        <v>9559</v>
      </c>
      <c r="G3485" s="6">
        <v>46204</v>
      </c>
      <c r="H3485" s="2" t="s">
        <v>176</v>
      </c>
      <c r="I3485" s="2" t="s">
        <v>39</v>
      </c>
      <c r="J3485" s="9">
        <v>7308.8819999999996</v>
      </c>
      <c r="K3485" s="7">
        <v>1</v>
      </c>
      <c r="L3485" s="9">
        <v>7308.88</v>
      </c>
      <c r="M3485" s="9">
        <v>7308.88</v>
      </c>
      <c r="N3485" s="9">
        <v>4.0199999999999996</v>
      </c>
      <c r="O3485" s="10">
        <f>IF(AND(OR(H3485="APPROVED",H3485="SCHEDULED"),COUNTIFS(tblSource[EventID],F3485,tblSource[ReleaseStatus],"APPROVED")=1,COUNTIFS(Period_Status!$A$2:$A$8,G3485,Period_Status!$B$2:$B$8,"ActualClosed")=1,C3485&gt;EOMONTH(Settlement_Bridge!$C$2,0)),1,0)</f>
        <v>1</v>
      </c>
      <c r="P3485" s="2" t="s">
        <v>9562</v>
      </c>
    </row>
    <row r="3486" spans="1:16" x14ac:dyDescent="0.25">
      <c r="A3486" s="2" t="s">
        <v>9563</v>
      </c>
      <c r="B3486" s="2" t="s">
        <v>7433</v>
      </c>
      <c r="C3486" s="8">
        <v>46245</v>
      </c>
      <c r="D3486" s="6">
        <v>46235</v>
      </c>
      <c r="E3486" s="2" t="s">
        <v>260</v>
      </c>
      <c r="F3486" s="2" t="s">
        <v>9564</v>
      </c>
      <c r="G3486" s="6">
        <v>46204</v>
      </c>
      <c r="H3486" s="2" t="s">
        <v>71</v>
      </c>
      <c r="I3486" s="2" t="s">
        <v>76</v>
      </c>
      <c r="J3486" s="9">
        <v>80376064.516129002</v>
      </c>
      <c r="K3486" s="7">
        <v>6.1500000000000004E-5</v>
      </c>
      <c r="L3486" s="9">
        <v>4943.13</v>
      </c>
      <c r="M3486" s="9">
        <v>4983.32</v>
      </c>
      <c r="N3486" s="9">
        <v>2.72</v>
      </c>
      <c r="O3486" s="10">
        <f>IF(AND(OR(H3486="APPROVED",H3486="SCHEDULED"),COUNTIFS(tblSource[EventID],F3486,tblSource[ReleaseStatus],"APPROVED")=1,COUNTIFS(Period_Status!$A$2:$A$8,G3486,Period_Status!$B$2:$B$8,"ActualClosed")=1,C3486&gt;EOMONTH(Settlement_Bridge!$C$2,0)),1,0)</f>
        <v>1</v>
      </c>
      <c r="P3486" s="2" t="s">
        <v>9565</v>
      </c>
    </row>
    <row r="3487" spans="1:16" x14ac:dyDescent="0.25">
      <c r="A3487" s="2" t="s">
        <v>9566</v>
      </c>
      <c r="B3487" s="2" t="s">
        <v>7433</v>
      </c>
      <c r="C3487" s="8">
        <v>46270</v>
      </c>
      <c r="D3487" s="6">
        <v>46266</v>
      </c>
      <c r="E3487" s="2" t="s">
        <v>260</v>
      </c>
      <c r="F3487" s="2" t="s">
        <v>9564</v>
      </c>
      <c r="G3487" s="6">
        <v>46204</v>
      </c>
      <c r="H3487" s="2" t="s">
        <v>176</v>
      </c>
      <c r="I3487" s="2" t="s">
        <v>76</v>
      </c>
      <c r="J3487" s="9">
        <v>120564096.774194</v>
      </c>
      <c r="K3487" s="7">
        <v>6.1299999999999999E-5</v>
      </c>
      <c r="L3487" s="9">
        <v>7390.58</v>
      </c>
      <c r="M3487" s="9">
        <v>7474.97</v>
      </c>
      <c r="N3487" s="9">
        <v>4.0599999999999996</v>
      </c>
      <c r="O3487" s="10">
        <f>IF(AND(OR(H3487="APPROVED",H3487="SCHEDULED"),COUNTIFS(tblSource[EventID],F3487,tblSource[ReleaseStatus],"APPROVED")=1,COUNTIFS(Period_Status!$A$2:$A$8,G3487,Period_Status!$B$2:$B$8,"ActualClosed")=1,C3487&gt;EOMONTH(Settlement_Bridge!$C$2,0)),1,0)</f>
        <v>1</v>
      </c>
      <c r="P3487" s="2" t="s">
        <v>9567</v>
      </c>
    </row>
    <row r="3488" spans="1:16" x14ac:dyDescent="0.25">
      <c r="A3488" s="2" t="s">
        <v>9568</v>
      </c>
      <c r="B3488" s="2" t="s">
        <v>7433</v>
      </c>
      <c r="C3488" s="8">
        <v>46246</v>
      </c>
      <c r="D3488" s="6">
        <v>46235</v>
      </c>
      <c r="E3488" s="2" t="s">
        <v>260</v>
      </c>
      <c r="F3488" s="2" t="s">
        <v>9569</v>
      </c>
      <c r="G3488" s="6">
        <v>46204</v>
      </c>
      <c r="H3488" s="2" t="s">
        <v>71</v>
      </c>
      <c r="I3488" s="2" t="s">
        <v>70</v>
      </c>
      <c r="J3488" s="9">
        <v>7741.7021279999999</v>
      </c>
      <c r="K3488" s="7">
        <v>0.65</v>
      </c>
      <c r="L3488" s="9">
        <v>5032.1099999999997</v>
      </c>
      <c r="M3488" s="9">
        <v>5094.04</v>
      </c>
      <c r="N3488" s="9">
        <v>2.77</v>
      </c>
      <c r="O3488" s="10">
        <f>IF(AND(OR(H3488="APPROVED",H3488="SCHEDULED"),COUNTIFS(tblSource[EventID],F3488,tblSource[ReleaseStatus],"APPROVED")=1,COUNTIFS(Period_Status!$A$2:$A$8,G3488,Period_Status!$B$2:$B$8,"ActualClosed")=1,C3488&gt;EOMONTH(Settlement_Bridge!$C$2,0)),1,0)</f>
        <v>1</v>
      </c>
      <c r="P3488" s="2" t="s">
        <v>9570</v>
      </c>
    </row>
    <row r="3489" spans="1:16" x14ac:dyDescent="0.25">
      <c r="A3489" s="2" t="s">
        <v>9571</v>
      </c>
      <c r="B3489" s="2" t="s">
        <v>7433</v>
      </c>
      <c r="C3489" s="8">
        <v>46271</v>
      </c>
      <c r="D3489" s="6">
        <v>46266</v>
      </c>
      <c r="E3489" s="2" t="s">
        <v>260</v>
      </c>
      <c r="F3489" s="2" t="s">
        <v>9569</v>
      </c>
      <c r="G3489" s="6">
        <v>46204</v>
      </c>
      <c r="H3489" s="2" t="s">
        <v>176</v>
      </c>
      <c r="I3489" s="2" t="s">
        <v>70</v>
      </c>
      <c r="J3489" s="9">
        <v>11612.553191000001</v>
      </c>
      <c r="K3489" s="7">
        <v>0.65100000000000002</v>
      </c>
      <c r="L3489" s="9">
        <v>7559.77</v>
      </c>
      <c r="M3489" s="9">
        <v>7641.06</v>
      </c>
      <c r="N3489" s="9">
        <v>4.16</v>
      </c>
      <c r="O3489" s="10">
        <f>IF(AND(OR(H3489="APPROVED",H3489="SCHEDULED"),COUNTIFS(tblSource[EventID],F3489,tblSource[ReleaseStatus],"APPROVED")=1,COUNTIFS(Period_Status!$A$2:$A$8,G3489,Period_Status!$B$2:$B$8,"ActualClosed")=1,C3489&gt;EOMONTH(Settlement_Bridge!$C$2,0)),1,0)</f>
        <v>1</v>
      </c>
      <c r="P3489" s="2" t="s">
        <v>9572</v>
      </c>
    </row>
    <row r="3490" spans="1:16" x14ac:dyDescent="0.25">
      <c r="A3490" s="2" t="s">
        <v>9573</v>
      </c>
      <c r="B3490" s="2" t="s">
        <v>7433</v>
      </c>
      <c r="C3490" s="8">
        <v>46247</v>
      </c>
      <c r="D3490" s="6">
        <v>46235</v>
      </c>
      <c r="E3490" s="2" t="s">
        <v>260</v>
      </c>
      <c r="F3490" s="2" t="s">
        <v>9574</v>
      </c>
      <c r="G3490" s="6">
        <v>46204</v>
      </c>
      <c r="H3490" s="2" t="s">
        <v>71</v>
      </c>
      <c r="I3490" s="2" t="s">
        <v>39</v>
      </c>
      <c r="J3490" s="9">
        <v>5204.768</v>
      </c>
      <c r="K3490" s="7">
        <v>1</v>
      </c>
      <c r="L3490" s="9">
        <v>5204.7700000000004</v>
      </c>
      <c r="M3490" s="9">
        <v>5204.7700000000004</v>
      </c>
      <c r="N3490" s="9">
        <v>2.86</v>
      </c>
      <c r="O3490" s="10">
        <f>IF(AND(OR(H3490="APPROVED",H3490="SCHEDULED"),COUNTIFS(tblSource[EventID],F3490,tblSource[ReleaseStatus],"APPROVED")=1,COUNTIFS(Period_Status!$A$2:$A$8,G3490,Period_Status!$B$2:$B$8,"ActualClosed")=1,C3490&gt;EOMONTH(Settlement_Bridge!$C$2,0)),1,0)</f>
        <v>1</v>
      </c>
      <c r="P3490" s="2" t="s">
        <v>9575</v>
      </c>
    </row>
    <row r="3491" spans="1:16" x14ac:dyDescent="0.25">
      <c r="A3491" s="2" t="s">
        <v>9576</v>
      </c>
      <c r="B3491" s="2" t="s">
        <v>7433</v>
      </c>
      <c r="C3491" s="8">
        <v>46272</v>
      </c>
      <c r="D3491" s="6">
        <v>46266</v>
      </c>
      <c r="E3491" s="2" t="s">
        <v>260</v>
      </c>
      <c r="F3491" s="2" t="s">
        <v>9574</v>
      </c>
      <c r="G3491" s="6">
        <v>46204</v>
      </c>
      <c r="H3491" s="2" t="s">
        <v>176</v>
      </c>
      <c r="I3491" s="2" t="s">
        <v>39</v>
      </c>
      <c r="J3491" s="9">
        <v>7807.152</v>
      </c>
      <c r="K3491" s="7">
        <v>1</v>
      </c>
      <c r="L3491" s="9">
        <v>7807.15</v>
      </c>
      <c r="M3491" s="9">
        <v>7807.15</v>
      </c>
      <c r="N3491" s="9">
        <v>4.29</v>
      </c>
      <c r="O3491" s="10">
        <f>IF(AND(OR(H3491="APPROVED",H3491="SCHEDULED"),COUNTIFS(tblSource[EventID],F3491,tblSource[ReleaseStatus],"APPROVED")=1,COUNTIFS(Period_Status!$A$2:$A$8,G3491,Period_Status!$B$2:$B$8,"ActualClosed")=1,C3491&gt;EOMONTH(Settlement_Bridge!$C$2,0)),1,0)</f>
        <v>1</v>
      </c>
      <c r="P3491" s="2" t="s">
        <v>9577</v>
      </c>
    </row>
    <row r="3492" spans="1:16" x14ac:dyDescent="0.25">
      <c r="A3492" s="2" t="s">
        <v>9578</v>
      </c>
      <c r="B3492" s="2" t="s">
        <v>7433</v>
      </c>
      <c r="C3492" s="8">
        <v>46248</v>
      </c>
      <c r="D3492" s="6">
        <v>46235</v>
      </c>
      <c r="E3492" s="2" t="s">
        <v>260</v>
      </c>
      <c r="F3492" s="2" t="s">
        <v>9579</v>
      </c>
      <c r="G3492" s="6">
        <v>46204</v>
      </c>
      <c r="H3492" s="2" t="s">
        <v>71</v>
      </c>
      <c r="I3492" s="2" t="s">
        <v>76</v>
      </c>
      <c r="J3492" s="9">
        <v>85733806.451612994</v>
      </c>
      <c r="K3492" s="7">
        <v>6.1500000000000004E-5</v>
      </c>
      <c r="L3492" s="9">
        <v>5272.63</v>
      </c>
      <c r="M3492" s="9">
        <v>5315.5</v>
      </c>
      <c r="N3492" s="9">
        <v>2.9</v>
      </c>
      <c r="O3492" s="10">
        <f>IF(AND(OR(H3492="APPROVED",H3492="SCHEDULED"),COUNTIFS(tblSource[EventID],F3492,tblSource[ReleaseStatus],"APPROVED")=1,COUNTIFS(Period_Status!$A$2:$A$8,G3492,Period_Status!$B$2:$B$8,"ActualClosed")=1,C3492&gt;EOMONTH(Settlement_Bridge!$C$2,0)),1,0)</f>
        <v>1</v>
      </c>
      <c r="P3492" s="2" t="s">
        <v>9580</v>
      </c>
    </row>
    <row r="3493" spans="1:16" x14ac:dyDescent="0.25">
      <c r="A3493" s="2" t="s">
        <v>9581</v>
      </c>
      <c r="B3493" s="2" t="s">
        <v>7433</v>
      </c>
      <c r="C3493" s="8">
        <v>46273</v>
      </c>
      <c r="D3493" s="6">
        <v>46266</v>
      </c>
      <c r="E3493" s="2" t="s">
        <v>260</v>
      </c>
      <c r="F3493" s="2" t="s">
        <v>9579</v>
      </c>
      <c r="G3493" s="6">
        <v>46204</v>
      </c>
      <c r="H3493" s="2" t="s">
        <v>176</v>
      </c>
      <c r="I3493" s="2" t="s">
        <v>76</v>
      </c>
      <c r="J3493" s="9">
        <v>128600709.67741901</v>
      </c>
      <c r="K3493" s="7">
        <v>6.1299999999999999E-5</v>
      </c>
      <c r="L3493" s="9">
        <v>7883.22</v>
      </c>
      <c r="M3493" s="9">
        <v>7973.24</v>
      </c>
      <c r="N3493" s="9">
        <v>4.34</v>
      </c>
      <c r="O3493" s="10">
        <f>IF(AND(OR(H3493="APPROVED",H3493="SCHEDULED"),COUNTIFS(tblSource[EventID],F3493,tblSource[ReleaseStatus],"APPROVED")=1,COUNTIFS(Period_Status!$A$2:$A$8,G3493,Period_Status!$B$2:$B$8,"ActualClosed")=1,C3493&gt;EOMONTH(Settlement_Bridge!$C$2,0)),1,0)</f>
        <v>1</v>
      </c>
      <c r="P3493" s="2" t="s">
        <v>9582</v>
      </c>
    </row>
    <row r="3494" spans="1:16" x14ac:dyDescent="0.25">
      <c r="A3494" s="2" t="s">
        <v>9583</v>
      </c>
      <c r="B3494" s="2" t="s">
        <v>7433</v>
      </c>
      <c r="C3494" s="8">
        <v>46218</v>
      </c>
      <c r="D3494" s="6">
        <v>46204</v>
      </c>
      <c r="E3494" s="2" t="s">
        <v>260</v>
      </c>
      <c r="F3494" s="2" t="s">
        <v>9584</v>
      </c>
      <c r="G3494" s="6">
        <v>46204</v>
      </c>
      <c r="H3494" s="2" t="s">
        <v>71</v>
      </c>
      <c r="I3494" s="2" t="s">
        <v>70</v>
      </c>
      <c r="J3494" s="9">
        <v>8246.5349540000007</v>
      </c>
      <c r="K3494" s="7">
        <v>0.65800000000000003</v>
      </c>
      <c r="L3494" s="9">
        <v>5426.22</v>
      </c>
      <c r="M3494" s="9">
        <v>5426.22</v>
      </c>
      <c r="N3494" s="9">
        <v>2.98</v>
      </c>
      <c r="O3494" s="10">
        <f>IF(AND(OR(H3494="APPROVED",H3494="SCHEDULED"),COUNTIFS(tblSource[EventID],F3494,tblSource[ReleaseStatus],"APPROVED")=1,COUNTIFS(Period_Status!$A$2:$A$8,G3494,Period_Status!$B$2:$B$8,"ActualClosed")=1,C3494&gt;EOMONTH(Settlement_Bridge!$C$2,0)),1,0)</f>
        <v>0</v>
      </c>
      <c r="P3494" s="2" t="s">
        <v>9585</v>
      </c>
    </row>
    <row r="3495" spans="1:16" x14ac:dyDescent="0.25">
      <c r="A3495" s="2" t="s">
        <v>9586</v>
      </c>
      <c r="B3495" s="2" t="s">
        <v>7433</v>
      </c>
      <c r="C3495" s="8">
        <v>46243</v>
      </c>
      <c r="D3495" s="6">
        <v>46235</v>
      </c>
      <c r="E3495" s="2" t="s">
        <v>260</v>
      </c>
      <c r="F3495" s="2" t="s">
        <v>9584</v>
      </c>
      <c r="G3495" s="6">
        <v>46204</v>
      </c>
      <c r="H3495" s="2" t="s">
        <v>71</v>
      </c>
      <c r="I3495" s="2" t="s">
        <v>70</v>
      </c>
      <c r="J3495" s="9">
        <v>12369.802432</v>
      </c>
      <c r="K3495" s="7">
        <v>0.65</v>
      </c>
      <c r="L3495" s="9">
        <v>8040.37</v>
      </c>
      <c r="M3495" s="9">
        <v>8139.33</v>
      </c>
      <c r="N3495" s="9">
        <v>4.42</v>
      </c>
      <c r="O3495" s="10">
        <f>IF(AND(OR(H3495="APPROVED",H3495="SCHEDULED"),COUNTIFS(tblSource[EventID],F3495,tblSource[ReleaseStatus],"APPROVED")=1,COUNTIFS(Period_Status!$A$2:$A$8,G3495,Period_Status!$B$2:$B$8,"ActualClosed")=1,C3495&gt;EOMONTH(Settlement_Bridge!$C$2,0)),1,0)</f>
        <v>1</v>
      </c>
      <c r="P3495" s="2" t="s">
        <v>9587</v>
      </c>
    </row>
    <row r="3496" spans="1:16" x14ac:dyDescent="0.25">
      <c r="A3496" s="2" t="s">
        <v>9588</v>
      </c>
      <c r="B3496" s="2" t="s">
        <v>7433</v>
      </c>
      <c r="C3496" s="8">
        <v>46219</v>
      </c>
      <c r="D3496" s="6">
        <v>46204</v>
      </c>
      <c r="E3496" s="2" t="s">
        <v>260</v>
      </c>
      <c r="F3496" s="2" t="s">
        <v>9589</v>
      </c>
      <c r="G3496" s="6">
        <v>46204</v>
      </c>
      <c r="H3496" s="2" t="s">
        <v>71</v>
      </c>
      <c r="I3496" s="2" t="s">
        <v>39</v>
      </c>
      <c r="J3496" s="9">
        <v>5536.9480000000003</v>
      </c>
      <c r="K3496" s="7">
        <v>1</v>
      </c>
      <c r="L3496" s="9">
        <v>5536.95</v>
      </c>
      <c r="M3496" s="9">
        <v>5536.95</v>
      </c>
      <c r="N3496" s="9">
        <v>3.05</v>
      </c>
      <c r="O3496" s="10">
        <f>IF(AND(OR(H3496="APPROVED",H3496="SCHEDULED"),COUNTIFS(tblSource[EventID],F3496,tblSource[ReleaseStatus],"APPROVED")=1,COUNTIFS(Period_Status!$A$2:$A$8,G3496,Period_Status!$B$2:$B$8,"ActualClosed")=1,C3496&gt;EOMONTH(Settlement_Bridge!$C$2,0)),1,0)</f>
        <v>0</v>
      </c>
      <c r="P3496" s="2" t="s">
        <v>9590</v>
      </c>
    </row>
    <row r="3497" spans="1:16" x14ac:dyDescent="0.25">
      <c r="A3497" s="2" t="s">
        <v>9591</v>
      </c>
      <c r="B3497" s="2" t="s">
        <v>7433</v>
      </c>
      <c r="C3497" s="8">
        <v>46244</v>
      </c>
      <c r="D3497" s="6">
        <v>46235</v>
      </c>
      <c r="E3497" s="2" t="s">
        <v>260</v>
      </c>
      <c r="F3497" s="2" t="s">
        <v>9589</v>
      </c>
      <c r="G3497" s="6">
        <v>46204</v>
      </c>
      <c r="H3497" s="2" t="s">
        <v>71</v>
      </c>
      <c r="I3497" s="2" t="s">
        <v>39</v>
      </c>
      <c r="J3497" s="9">
        <v>8305.4220000000005</v>
      </c>
      <c r="K3497" s="7">
        <v>1</v>
      </c>
      <c r="L3497" s="9">
        <v>8305.42</v>
      </c>
      <c r="M3497" s="9">
        <v>8305.42</v>
      </c>
      <c r="N3497" s="9">
        <v>4.57</v>
      </c>
      <c r="O3497" s="10">
        <f>IF(AND(OR(H3497="APPROVED",H3497="SCHEDULED"),COUNTIFS(tblSource[EventID],F3497,tblSource[ReleaseStatus],"APPROVED")=1,COUNTIFS(Period_Status!$A$2:$A$8,G3497,Period_Status!$B$2:$B$8,"ActualClosed")=1,C3497&gt;EOMONTH(Settlement_Bridge!$C$2,0)),1,0)</f>
        <v>1</v>
      </c>
      <c r="P3497" s="2" t="s">
        <v>9592</v>
      </c>
    </row>
    <row r="3498" spans="1:16" x14ac:dyDescent="0.25">
      <c r="A3498" s="2" t="s">
        <v>9593</v>
      </c>
      <c r="B3498" s="2" t="s">
        <v>7433</v>
      </c>
      <c r="C3498" s="8">
        <v>46220</v>
      </c>
      <c r="D3498" s="6">
        <v>46204</v>
      </c>
      <c r="E3498" s="2" t="s">
        <v>260</v>
      </c>
      <c r="F3498" s="2" t="s">
        <v>9594</v>
      </c>
      <c r="G3498" s="6">
        <v>46204</v>
      </c>
      <c r="H3498" s="2" t="s">
        <v>71</v>
      </c>
      <c r="I3498" s="2" t="s">
        <v>76</v>
      </c>
      <c r="J3498" s="9">
        <v>91091483.870967999</v>
      </c>
      <c r="K3498" s="7">
        <v>6.2000000000000003E-5</v>
      </c>
      <c r="L3498" s="9">
        <v>5647.67</v>
      </c>
      <c r="M3498" s="9">
        <v>5647.67</v>
      </c>
      <c r="N3498" s="9">
        <v>3.11</v>
      </c>
      <c r="O3498" s="10">
        <f>IF(AND(OR(H3498="APPROVED",H3498="SCHEDULED"),COUNTIFS(tblSource[EventID],F3498,tblSource[ReleaseStatus],"APPROVED")=1,COUNTIFS(Period_Status!$A$2:$A$8,G3498,Period_Status!$B$2:$B$8,"ActualClosed")=1,C3498&gt;EOMONTH(Settlement_Bridge!$C$2,0)),1,0)</f>
        <v>0</v>
      </c>
      <c r="P3498" s="2" t="s">
        <v>9595</v>
      </c>
    </row>
    <row r="3499" spans="1:16" x14ac:dyDescent="0.25">
      <c r="A3499" s="2" t="s">
        <v>9596</v>
      </c>
      <c r="B3499" s="2" t="s">
        <v>7433</v>
      </c>
      <c r="C3499" s="8">
        <v>46245</v>
      </c>
      <c r="D3499" s="6">
        <v>46235</v>
      </c>
      <c r="E3499" s="2" t="s">
        <v>260</v>
      </c>
      <c r="F3499" s="2" t="s">
        <v>9594</v>
      </c>
      <c r="G3499" s="6">
        <v>46204</v>
      </c>
      <c r="H3499" s="2" t="s">
        <v>71</v>
      </c>
      <c r="I3499" s="2" t="s">
        <v>76</v>
      </c>
      <c r="J3499" s="9">
        <v>136637225.80645099</v>
      </c>
      <c r="K3499" s="7">
        <v>6.1500000000000004E-5</v>
      </c>
      <c r="L3499" s="9">
        <v>8403.19</v>
      </c>
      <c r="M3499" s="9">
        <v>8471.51</v>
      </c>
      <c r="N3499" s="9">
        <v>4.62</v>
      </c>
      <c r="O3499" s="10">
        <f>IF(AND(OR(H3499="APPROVED",H3499="SCHEDULED"),COUNTIFS(tblSource[EventID],F3499,tblSource[ReleaseStatus],"APPROVED")=1,COUNTIFS(Period_Status!$A$2:$A$8,G3499,Period_Status!$B$2:$B$8,"ActualClosed")=1,C3499&gt;EOMONTH(Settlement_Bridge!$C$2,0)),1,0)</f>
        <v>1</v>
      </c>
      <c r="P3499" s="2" t="s">
        <v>9597</v>
      </c>
    </row>
    <row r="3500" spans="1:16" x14ac:dyDescent="0.25">
      <c r="A3500" s="2" t="s">
        <v>9598</v>
      </c>
      <c r="B3500" s="2" t="s">
        <v>7433</v>
      </c>
      <c r="C3500" s="8">
        <v>46221</v>
      </c>
      <c r="D3500" s="6">
        <v>46204</v>
      </c>
      <c r="E3500" s="2" t="s">
        <v>260</v>
      </c>
      <c r="F3500" s="2" t="s">
        <v>9599</v>
      </c>
      <c r="G3500" s="6">
        <v>46204</v>
      </c>
      <c r="H3500" s="2" t="s">
        <v>71</v>
      </c>
      <c r="I3500" s="2" t="s">
        <v>70</v>
      </c>
      <c r="J3500" s="9">
        <v>8751.3677810000008</v>
      </c>
      <c r="K3500" s="7">
        <v>0.65800000000000003</v>
      </c>
      <c r="L3500" s="9">
        <v>5758.4</v>
      </c>
      <c r="M3500" s="9">
        <v>5758.4</v>
      </c>
      <c r="N3500" s="9">
        <v>3.17</v>
      </c>
      <c r="O3500" s="10">
        <f>IF(AND(OR(H3500="APPROVED",H3500="SCHEDULED"),COUNTIFS(tblSource[EventID],F3500,tblSource[ReleaseStatus],"APPROVED")=1,COUNTIFS(Period_Status!$A$2:$A$8,G3500,Period_Status!$B$2:$B$8,"ActualClosed")=1,C3500&gt;EOMONTH(Settlement_Bridge!$C$2,0)),1,0)</f>
        <v>0</v>
      </c>
      <c r="P3500" s="2" t="s">
        <v>9600</v>
      </c>
    </row>
    <row r="3501" spans="1:16" x14ac:dyDescent="0.25">
      <c r="A3501" s="2" t="s">
        <v>9601</v>
      </c>
      <c r="B3501" s="2" t="s">
        <v>7433</v>
      </c>
      <c r="C3501" s="8">
        <v>46246</v>
      </c>
      <c r="D3501" s="6">
        <v>46235</v>
      </c>
      <c r="E3501" s="2" t="s">
        <v>260</v>
      </c>
      <c r="F3501" s="2" t="s">
        <v>9599</v>
      </c>
      <c r="G3501" s="6">
        <v>46204</v>
      </c>
      <c r="H3501" s="2" t="s">
        <v>71</v>
      </c>
      <c r="I3501" s="2" t="s">
        <v>70</v>
      </c>
      <c r="J3501" s="9">
        <v>13127.051672</v>
      </c>
      <c r="K3501" s="7">
        <v>0.65</v>
      </c>
      <c r="L3501" s="9">
        <v>8532.58</v>
      </c>
      <c r="M3501" s="9">
        <v>8637.6</v>
      </c>
      <c r="N3501" s="9">
        <v>4.6900000000000004</v>
      </c>
      <c r="O3501" s="10">
        <f>IF(AND(OR(H3501="APPROVED",H3501="SCHEDULED"),COUNTIFS(tblSource[EventID],F3501,tblSource[ReleaseStatus],"APPROVED")=1,COUNTIFS(Period_Status!$A$2:$A$8,G3501,Period_Status!$B$2:$B$8,"ActualClosed")=1,C3501&gt;EOMONTH(Settlement_Bridge!$C$2,0)),1,0)</f>
        <v>1</v>
      </c>
      <c r="P3501" s="2" t="s">
        <v>9602</v>
      </c>
    </row>
    <row r="3502" spans="1:16" x14ac:dyDescent="0.25">
      <c r="A3502" s="2" t="s">
        <v>9603</v>
      </c>
      <c r="B3502" s="2" t="s">
        <v>7433</v>
      </c>
      <c r="C3502" s="8">
        <v>46222</v>
      </c>
      <c r="D3502" s="6">
        <v>46204</v>
      </c>
      <c r="E3502" s="2" t="s">
        <v>260</v>
      </c>
      <c r="F3502" s="2" t="s">
        <v>9604</v>
      </c>
      <c r="G3502" s="6">
        <v>46204</v>
      </c>
      <c r="H3502" s="2" t="s">
        <v>71</v>
      </c>
      <c r="I3502" s="2" t="s">
        <v>39</v>
      </c>
      <c r="J3502" s="9">
        <v>5869.1279999999997</v>
      </c>
      <c r="K3502" s="7">
        <v>1</v>
      </c>
      <c r="L3502" s="9">
        <v>5869.13</v>
      </c>
      <c r="M3502" s="9">
        <v>5869.13</v>
      </c>
      <c r="N3502" s="9">
        <v>3.23</v>
      </c>
      <c r="O3502" s="10">
        <f>IF(AND(OR(H3502="APPROVED",H3502="SCHEDULED"),COUNTIFS(tblSource[EventID],F3502,tblSource[ReleaseStatus],"APPROVED")=1,COUNTIFS(Period_Status!$A$2:$A$8,G3502,Period_Status!$B$2:$B$8,"ActualClosed")=1,C3502&gt;EOMONTH(Settlement_Bridge!$C$2,0)),1,0)</f>
        <v>0</v>
      </c>
      <c r="P3502" s="2" t="s">
        <v>9605</v>
      </c>
    </row>
    <row r="3503" spans="1:16" x14ac:dyDescent="0.25">
      <c r="A3503" s="2" t="s">
        <v>9606</v>
      </c>
      <c r="B3503" s="2" t="s">
        <v>7433</v>
      </c>
      <c r="C3503" s="8">
        <v>46247</v>
      </c>
      <c r="D3503" s="6">
        <v>46235</v>
      </c>
      <c r="E3503" s="2" t="s">
        <v>260</v>
      </c>
      <c r="F3503" s="2" t="s">
        <v>9604</v>
      </c>
      <c r="G3503" s="6">
        <v>46204</v>
      </c>
      <c r="H3503" s="2" t="s">
        <v>71</v>
      </c>
      <c r="I3503" s="2" t="s">
        <v>39</v>
      </c>
      <c r="J3503" s="9">
        <v>8803.6919999999991</v>
      </c>
      <c r="K3503" s="7">
        <v>1</v>
      </c>
      <c r="L3503" s="9">
        <v>8803.69</v>
      </c>
      <c r="M3503" s="9">
        <v>8803.69</v>
      </c>
      <c r="N3503" s="9">
        <v>4.84</v>
      </c>
      <c r="O3503" s="10">
        <f>IF(AND(OR(H3503="APPROVED",H3503="SCHEDULED"),COUNTIFS(tblSource[EventID],F3503,tblSource[ReleaseStatus],"APPROVED")=1,COUNTIFS(Period_Status!$A$2:$A$8,G3503,Period_Status!$B$2:$B$8,"ActualClosed")=1,C3503&gt;EOMONTH(Settlement_Bridge!$C$2,0)),1,0)</f>
        <v>1</v>
      </c>
      <c r="P3503" s="2" t="s">
        <v>9607</v>
      </c>
    </row>
    <row r="3504" spans="1:16" x14ac:dyDescent="0.25">
      <c r="A3504" s="2" t="s">
        <v>9608</v>
      </c>
      <c r="B3504" s="2" t="s">
        <v>7433</v>
      </c>
      <c r="C3504" s="8">
        <v>46223</v>
      </c>
      <c r="D3504" s="6">
        <v>46204</v>
      </c>
      <c r="E3504" s="2" t="s">
        <v>260</v>
      </c>
      <c r="F3504" s="2" t="s">
        <v>9609</v>
      </c>
      <c r="G3504" s="6">
        <v>46204</v>
      </c>
      <c r="H3504" s="2" t="s">
        <v>71</v>
      </c>
      <c r="I3504" s="2" t="s">
        <v>76</v>
      </c>
      <c r="J3504" s="9">
        <v>96449225.806452006</v>
      </c>
      <c r="K3504" s="7">
        <v>6.2000000000000003E-5</v>
      </c>
      <c r="L3504" s="9">
        <v>5979.85</v>
      </c>
      <c r="M3504" s="9">
        <v>5979.85</v>
      </c>
      <c r="N3504" s="9">
        <v>3.29</v>
      </c>
      <c r="O3504" s="10">
        <f>IF(AND(OR(H3504="APPROVED",H3504="SCHEDULED"),COUNTIFS(tblSource[EventID],F3504,tblSource[ReleaseStatus],"APPROVED")=1,COUNTIFS(Period_Status!$A$2:$A$8,G3504,Period_Status!$B$2:$B$8,"ActualClosed")=1,C3504&gt;EOMONTH(Settlement_Bridge!$C$2,0)),1,0)</f>
        <v>0</v>
      </c>
      <c r="P3504" s="2" t="s">
        <v>9610</v>
      </c>
    </row>
    <row r="3505" spans="1:16" x14ac:dyDescent="0.25">
      <c r="A3505" s="2" t="s">
        <v>9611</v>
      </c>
      <c r="B3505" s="2" t="s">
        <v>7433</v>
      </c>
      <c r="C3505" s="8">
        <v>46248</v>
      </c>
      <c r="D3505" s="6">
        <v>46235</v>
      </c>
      <c r="E3505" s="2" t="s">
        <v>260</v>
      </c>
      <c r="F3505" s="2" t="s">
        <v>9609</v>
      </c>
      <c r="G3505" s="6">
        <v>46204</v>
      </c>
      <c r="H3505" s="2" t="s">
        <v>71</v>
      </c>
      <c r="I3505" s="2" t="s">
        <v>76</v>
      </c>
      <c r="J3505" s="9">
        <v>144673838.70967701</v>
      </c>
      <c r="K3505" s="7">
        <v>6.1500000000000004E-5</v>
      </c>
      <c r="L3505" s="9">
        <v>8897.44</v>
      </c>
      <c r="M3505" s="9">
        <v>8969.7800000000007</v>
      </c>
      <c r="N3505" s="9">
        <v>4.8899999999999997</v>
      </c>
      <c r="O3505" s="10">
        <f>IF(AND(OR(H3505="APPROVED",H3505="SCHEDULED"),COUNTIFS(tblSource[EventID],F3505,tblSource[ReleaseStatus],"APPROVED")=1,COUNTIFS(Period_Status!$A$2:$A$8,G3505,Period_Status!$B$2:$B$8,"ActualClosed")=1,C3505&gt;EOMONTH(Settlement_Bridge!$C$2,0)),1,0)</f>
        <v>1</v>
      </c>
      <c r="P3505" s="2" t="s">
        <v>9612</v>
      </c>
    </row>
    <row r="3506" spans="1:16" x14ac:dyDescent="0.25">
      <c r="A3506" s="2" t="s">
        <v>9613</v>
      </c>
      <c r="B3506" s="2" t="s">
        <v>7433</v>
      </c>
      <c r="C3506" s="8">
        <v>46224</v>
      </c>
      <c r="D3506" s="6">
        <v>46204</v>
      </c>
      <c r="E3506" s="2" t="s">
        <v>260</v>
      </c>
      <c r="F3506" s="2" t="s">
        <v>9614</v>
      </c>
      <c r="G3506" s="6">
        <v>46204</v>
      </c>
      <c r="H3506" s="2" t="s">
        <v>71</v>
      </c>
      <c r="I3506" s="2" t="s">
        <v>70</v>
      </c>
      <c r="J3506" s="9">
        <v>9256.2006079999992</v>
      </c>
      <c r="K3506" s="7">
        <v>0.65800000000000003</v>
      </c>
      <c r="L3506" s="9">
        <v>6090.58</v>
      </c>
      <c r="M3506" s="9">
        <v>6090.58</v>
      </c>
      <c r="N3506" s="9">
        <v>3.35</v>
      </c>
      <c r="O3506" s="10">
        <f>IF(AND(OR(H3506="APPROVED",H3506="SCHEDULED"),COUNTIFS(tblSource[EventID],F3506,tblSource[ReleaseStatus],"APPROVED")=1,COUNTIFS(Period_Status!$A$2:$A$8,G3506,Period_Status!$B$2:$B$8,"ActualClosed")=1,C3506&gt;EOMONTH(Settlement_Bridge!$C$2,0)),1,0)</f>
        <v>0</v>
      </c>
      <c r="P3506" s="2" t="s">
        <v>9615</v>
      </c>
    </row>
    <row r="3507" spans="1:16" x14ac:dyDescent="0.25">
      <c r="A3507" s="2" t="s">
        <v>9616</v>
      </c>
      <c r="B3507" s="2" t="s">
        <v>7433</v>
      </c>
      <c r="C3507" s="8">
        <v>46249</v>
      </c>
      <c r="D3507" s="6">
        <v>46235</v>
      </c>
      <c r="E3507" s="2" t="s">
        <v>260</v>
      </c>
      <c r="F3507" s="2" t="s">
        <v>9614</v>
      </c>
      <c r="G3507" s="6">
        <v>46204</v>
      </c>
      <c r="H3507" s="2" t="s">
        <v>71</v>
      </c>
      <c r="I3507" s="2" t="s">
        <v>70</v>
      </c>
      <c r="J3507" s="9">
        <v>13884.300912000001</v>
      </c>
      <c r="K3507" s="7">
        <v>0.65</v>
      </c>
      <c r="L3507" s="9">
        <v>9024.7999999999993</v>
      </c>
      <c r="M3507" s="9">
        <v>9135.8700000000008</v>
      </c>
      <c r="N3507" s="9">
        <v>4.96</v>
      </c>
      <c r="O3507" s="10">
        <f>IF(AND(OR(H3507="APPROVED",H3507="SCHEDULED"),COUNTIFS(tblSource[EventID],F3507,tblSource[ReleaseStatus],"APPROVED")=1,COUNTIFS(Period_Status!$A$2:$A$8,G3507,Period_Status!$B$2:$B$8,"ActualClosed")=1,C3507&gt;EOMONTH(Settlement_Bridge!$C$2,0)),1,0)</f>
        <v>1</v>
      </c>
      <c r="P3507" s="2" t="s">
        <v>9617</v>
      </c>
    </row>
    <row r="3508" spans="1:16" x14ac:dyDescent="0.25">
      <c r="A3508" s="2" t="s">
        <v>9618</v>
      </c>
      <c r="B3508" s="2" t="s">
        <v>7433</v>
      </c>
      <c r="C3508" s="8">
        <v>46225</v>
      </c>
      <c r="D3508" s="6">
        <v>46204</v>
      </c>
      <c r="E3508" s="2" t="s">
        <v>260</v>
      </c>
      <c r="F3508" s="2" t="s">
        <v>9619</v>
      </c>
      <c r="G3508" s="6">
        <v>46204</v>
      </c>
      <c r="H3508" s="2" t="s">
        <v>71</v>
      </c>
      <c r="I3508" s="2" t="s">
        <v>39</v>
      </c>
      <c r="J3508" s="9">
        <v>6201.3040000000001</v>
      </c>
      <c r="K3508" s="7">
        <v>1</v>
      </c>
      <c r="L3508" s="9">
        <v>6201.3</v>
      </c>
      <c r="M3508" s="9">
        <v>6201.3</v>
      </c>
      <c r="N3508" s="9">
        <v>3.41</v>
      </c>
      <c r="O3508" s="10">
        <f>IF(AND(OR(H3508="APPROVED",H3508="SCHEDULED"),COUNTIFS(tblSource[EventID],F3508,tblSource[ReleaseStatus],"APPROVED")=1,COUNTIFS(Period_Status!$A$2:$A$8,G3508,Period_Status!$B$2:$B$8,"ActualClosed")=1,C3508&gt;EOMONTH(Settlement_Bridge!$C$2,0)),1,0)</f>
        <v>0</v>
      </c>
      <c r="P3508" s="2" t="s">
        <v>9620</v>
      </c>
    </row>
    <row r="3509" spans="1:16" x14ac:dyDescent="0.25">
      <c r="A3509" s="2" t="s">
        <v>9621</v>
      </c>
      <c r="B3509" s="2" t="s">
        <v>7433</v>
      </c>
      <c r="C3509" s="8">
        <v>46250</v>
      </c>
      <c r="D3509" s="6">
        <v>46235</v>
      </c>
      <c r="E3509" s="2" t="s">
        <v>260</v>
      </c>
      <c r="F3509" s="2" t="s">
        <v>9619</v>
      </c>
      <c r="G3509" s="6">
        <v>46204</v>
      </c>
      <c r="H3509" s="2" t="s">
        <v>71</v>
      </c>
      <c r="I3509" s="2" t="s">
        <v>39</v>
      </c>
      <c r="J3509" s="9">
        <v>9301.9560000000001</v>
      </c>
      <c r="K3509" s="7">
        <v>1</v>
      </c>
      <c r="L3509" s="9">
        <v>9301.9599999999991</v>
      </c>
      <c r="M3509" s="9">
        <v>9301.9599999999991</v>
      </c>
      <c r="N3509" s="9">
        <v>5.12</v>
      </c>
      <c r="O3509" s="10">
        <f>IF(AND(OR(H3509="APPROVED",H3509="SCHEDULED"),COUNTIFS(tblSource[EventID],F3509,tblSource[ReleaseStatus],"APPROVED")=1,COUNTIFS(Period_Status!$A$2:$A$8,G3509,Period_Status!$B$2:$B$8,"ActualClosed")=1,C3509&gt;EOMONTH(Settlement_Bridge!$C$2,0)),1,0)</f>
        <v>1</v>
      </c>
      <c r="P3509" s="2" t="s">
        <v>9622</v>
      </c>
    </row>
    <row r="3510" spans="1:16" x14ac:dyDescent="0.25">
      <c r="A3510" s="2" t="s">
        <v>9623</v>
      </c>
      <c r="B3510" s="2" t="s">
        <v>7433</v>
      </c>
      <c r="C3510" s="8">
        <v>46226</v>
      </c>
      <c r="D3510" s="6">
        <v>46204</v>
      </c>
      <c r="E3510" s="2" t="s">
        <v>260</v>
      </c>
      <c r="F3510" s="2" t="s">
        <v>9624</v>
      </c>
      <c r="G3510" s="6">
        <v>46204</v>
      </c>
      <c r="H3510" s="2" t="s">
        <v>71</v>
      </c>
      <c r="I3510" s="2" t="s">
        <v>76</v>
      </c>
      <c r="J3510" s="9">
        <v>101806967.741936</v>
      </c>
      <c r="K3510" s="7">
        <v>6.2000000000000003E-5</v>
      </c>
      <c r="L3510" s="9">
        <v>6312.03</v>
      </c>
      <c r="M3510" s="9">
        <v>6312.03</v>
      </c>
      <c r="N3510" s="9">
        <v>3.47</v>
      </c>
      <c r="O3510" s="10">
        <f>IF(AND(OR(H3510="APPROVED",H3510="SCHEDULED"),COUNTIFS(tblSource[EventID],F3510,tblSource[ReleaseStatus],"APPROVED")=1,COUNTIFS(Period_Status!$A$2:$A$8,G3510,Period_Status!$B$2:$B$8,"ActualClosed")=1,C3510&gt;EOMONTH(Settlement_Bridge!$C$2,0)),1,0)</f>
        <v>0</v>
      </c>
      <c r="P3510" s="2" t="s">
        <v>9625</v>
      </c>
    </row>
    <row r="3511" spans="1:16" x14ac:dyDescent="0.25">
      <c r="A3511" s="2" t="s">
        <v>9626</v>
      </c>
      <c r="B3511" s="2" t="s">
        <v>7433</v>
      </c>
      <c r="C3511" s="8">
        <v>46251</v>
      </c>
      <c r="D3511" s="6">
        <v>46235</v>
      </c>
      <c r="E3511" s="2" t="s">
        <v>260</v>
      </c>
      <c r="F3511" s="2" t="s">
        <v>9624</v>
      </c>
      <c r="G3511" s="6">
        <v>46204</v>
      </c>
      <c r="H3511" s="2" t="s">
        <v>71</v>
      </c>
      <c r="I3511" s="2" t="s">
        <v>76</v>
      </c>
      <c r="J3511" s="9">
        <v>152710451.612903</v>
      </c>
      <c r="K3511" s="7">
        <v>6.1500000000000004E-5</v>
      </c>
      <c r="L3511" s="9">
        <v>9391.69</v>
      </c>
      <c r="M3511" s="9">
        <v>9468.0499999999993</v>
      </c>
      <c r="N3511" s="9">
        <v>5.17</v>
      </c>
      <c r="O3511" s="10">
        <f>IF(AND(OR(H3511="APPROVED",H3511="SCHEDULED"),COUNTIFS(tblSource[EventID],F3511,tblSource[ReleaseStatus],"APPROVED")=1,COUNTIFS(Period_Status!$A$2:$A$8,G3511,Period_Status!$B$2:$B$8,"ActualClosed")=1,C3511&gt;EOMONTH(Settlement_Bridge!$C$2,0)),1,0)</f>
        <v>1</v>
      </c>
      <c r="P3511" s="2" t="s">
        <v>9627</v>
      </c>
    </row>
    <row r="3512" spans="1:16" x14ac:dyDescent="0.25">
      <c r="A3512" s="2" t="s">
        <v>9628</v>
      </c>
      <c r="B3512" s="2" t="s">
        <v>7433</v>
      </c>
      <c r="C3512" s="8">
        <v>46227</v>
      </c>
      <c r="D3512" s="6">
        <v>46204</v>
      </c>
      <c r="E3512" s="2" t="s">
        <v>260</v>
      </c>
      <c r="F3512" s="2" t="s">
        <v>9629</v>
      </c>
      <c r="G3512" s="6">
        <v>46204</v>
      </c>
      <c r="H3512" s="2" t="s">
        <v>71</v>
      </c>
      <c r="I3512" s="2" t="s">
        <v>70</v>
      </c>
      <c r="J3512" s="9">
        <v>9761.0334349999994</v>
      </c>
      <c r="K3512" s="7">
        <v>0.65800000000000003</v>
      </c>
      <c r="L3512" s="9">
        <v>6422.76</v>
      </c>
      <c r="M3512" s="9">
        <v>6422.76</v>
      </c>
      <c r="N3512" s="9">
        <v>3.53</v>
      </c>
      <c r="O3512" s="10">
        <f>IF(AND(OR(H3512="APPROVED",H3512="SCHEDULED"),COUNTIFS(tblSource[EventID],F3512,tblSource[ReleaseStatus],"APPROVED")=1,COUNTIFS(Period_Status!$A$2:$A$8,G3512,Period_Status!$B$2:$B$8,"ActualClosed")=1,C3512&gt;EOMONTH(Settlement_Bridge!$C$2,0)),1,0)</f>
        <v>0</v>
      </c>
      <c r="P3512" s="2" t="s">
        <v>9630</v>
      </c>
    </row>
    <row r="3513" spans="1:16" x14ac:dyDescent="0.25">
      <c r="A3513" s="2" t="s">
        <v>9631</v>
      </c>
      <c r="B3513" s="2" t="s">
        <v>7433</v>
      </c>
      <c r="C3513" s="8">
        <v>46252</v>
      </c>
      <c r="D3513" s="6">
        <v>46235</v>
      </c>
      <c r="E3513" s="2" t="s">
        <v>260</v>
      </c>
      <c r="F3513" s="2" t="s">
        <v>9629</v>
      </c>
      <c r="G3513" s="6">
        <v>46204</v>
      </c>
      <c r="H3513" s="2" t="s">
        <v>71</v>
      </c>
      <c r="I3513" s="2" t="s">
        <v>70</v>
      </c>
      <c r="J3513" s="9">
        <v>14641.550152</v>
      </c>
      <c r="K3513" s="7">
        <v>0.65</v>
      </c>
      <c r="L3513" s="9">
        <v>9517.01</v>
      </c>
      <c r="M3513" s="9">
        <v>9634.14</v>
      </c>
      <c r="N3513" s="9">
        <v>5.23</v>
      </c>
      <c r="O3513" s="10">
        <f>IF(AND(OR(H3513="APPROVED",H3513="SCHEDULED"),COUNTIFS(tblSource[EventID],F3513,tblSource[ReleaseStatus],"APPROVED")=1,COUNTIFS(Period_Status!$A$2:$A$8,G3513,Period_Status!$B$2:$B$8,"ActualClosed")=1,C3513&gt;EOMONTH(Settlement_Bridge!$C$2,0)),1,0)</f>
        <v>1</v>
      </c>
      <c r="P3513" s="2" t="s">
        <v>9632</v>
      </c>
    </row>
    <row r="3514" spans="1:16" x14ac:dyDescent="0.25">
      <c r="A3514" s="2" t="s">
        <v>9633</v>
      </c>
      <c r="B3514" s="2" t="s">
        <v>7433</v>
      </c>
      <c r="C3514" s="8">
        <v>46228</v>
      </c>
      <c r="D3514" s="6">
        <v>46204</v>
      </c>
      <c r="E3514" s="2" t="s">
        <v>260</v>
      </c>
      <c r="F3514" s="2" t="s">
        <v>9634</v>
      </c>
      <c r="G3514" s="6">
        <v>46204</v>
      </c>
      <c r="H3514" s="2" t="s">
        <v>71</v>
      </c>
      <c r="I3514" s="2" t="s">
        <v>39</v>
      </c>
      <c r="J3514" s="9">
        <v>6533.4840000000004</v>
      </c>
      <c r="K3514" s="7">
        <v>1</v>
      </c>
      <c r="L3514" s="9">
        <v>6533.48</v>
      </c>
      <c r="M3514" s="9">
        <v>6533.48</v>
      </c>
      <c r="N3514" s="9">
        <v>3.59</v>
      </c>
      <c r="O3514" s="10">
        <f>IF(AND(OR(H3514="APPROVED",H3514="SCHEDULED"),COUNTIFS(tblSource[EventID],F3514,tblSource[ReleaseStatus],"APPROVED")=1,COUNTIFS(Period_Status!$A$2:$A$8,G3514,Period_Status!$B$2:$B$8,"ActualClosed")=1,C3514&gt;EOMONTH(Settlement_Bridge!$C$2,0)),1,0)</f>
        <v>0</v>
      </c>
      <c r="P3514" s="2" t="s">
        <v>9635</v>
      </c>
    </row>
    <row r="3515" spans="1:16" x14ac:dyDescent="0.25">
      <c r="A3515" s="2" t="s">
        <v>9636</v>
      </c>
      <c r="B3515" s="2" t="s">
        <v>7433</v>
      </c>
      <c r="C3515" s="8">
        <v>46253</v>
      </c>
      <c r="D3515" s="6">
        <v>46235</v>
      </c>
      <c r="E3515" s="2" t="s">
        <v>260</v>
      </c>
      <c r="F3515" s="2" t="s">
        <v>9634</v>
      </c>
      <c r="G3515" s="6">
        <v>46204</v>
      </c>
      <c r="H3515" s="2" t="s">
        <v>71</v>
      </c>
      <c r="I3515" s="2" t="s">
        <v>39</v>
      </c>
      <c r="J3515" s="9">
        <v>9800.2260000000006</v>
      </c>
      <c r="K3515" s="7">
        <v>1</v>
      </c>
      <c r="L3515" s="9">
        <v>9800.23</v>
      </c>
      <c r="M3515" s="9">
        <v>9800.23</v>
      </c>
      <c r="N3515" s="9">
        <v>5.39</v>
      </c>
      <c r="O3515" s="10">
        <f>IF(AND(OR(H3515="APPROVED",H3515="SCHEDULED"),COUNTIFS(tblSource[EventID],F3515,tblSource[ReleaseStatus],"APPROVED")=1,COUNTIFS(Period_Status!$A$2:$A$8,G3515,Period_Status!$B$2:$B$8,"ActualClosed")=1,C3515&gt;EOMONTH(Settlement_Bridge!$C$2,0)),1,0)</f>
        <v>1</v>
      </c>
      <c r="P3515" s="2" t="s">
        <v>9637</v>
      </c>
    </row>
    <row r="3516" spans="1:16" x14ac:dyDescent="0.25">
      <c r="A3516" s="2" t="s">
        <v>9638</v>
      </c>
      <c r="B3516" s="2" t="s">
        <v>7433</v>
      </c>
      <c r="C3516" s="8">
        <v>46229</v>
      </c>
      <c r="D3516" s="6">
        <v>46204</v>
      </c>
      <c r="E3516" s="2" t="s">
        <v>260</v>
      </c>
      <c r="F3516" s="2" t="s">
        <v>9639</v>
      </c>
      <c r="G3516" s="6">
        <v>46204</v>
      </c>
      <c r="H3516" s="2" t="s">
        <v>71</v>
      </c>
      <c r="I3516" s="2" t="s">
        <v>76</v>
      </c>
      <c r="J3516" s="9">
        <v>107164709.67741901</v>
      </c>
      <c r="K3516" s="7">
        <v>6.2000000000000003E-5</v>
      </c>
      <c r="L3516" s="9">
        <v>6644.21</v>
      </c>
      <c r="M3516" s="9">
        <v>6644.21</v>
      </c>
      <c r="N3516" s="9">
        <v>3.65</v>
      </c>
      <c r="O3516" s="10">
        <f>IF(AND(OR(H3516="APPROVED",H3516="SCHEDULED"),COUNTIFS(tblSource[EventID],F3516,tblSource[ReleaseStatus],"APPROVED")=1,COUNTIFS(Period_Status!$A$2:$A$8,G3516,Period_Status!$B$2:$B$8,"ActualClosed")=1,C3516&gt;EOMONTH(Settlement_Bridge!$C$2,0)),1,0)</f>
        <v>0</v>
      </c>
      <c r="P3516" s="2" t="s">
        <v>9640</v>
      </c>
    </row>
    <row r="3517" spans="1:16" x14ac:dyDescent="0.25">
      <c r="A3517" s="2" t="s">
        <v>9641</v>
      </c>
      <c r="B3517" s="2" t="s">
        <v>7433</v>
      </c>
      <c r="C3517" s="8">
        <v>46254</v>
      </c>
      <c r="D3517" s="6">
        <v>46235</v>
      </c>
      <c r="E3517" s="2" t="s">
        <v>260</v>
      </c>
      <c r="F3517" s="2" t="s">
        <v>9639</v>
      </c>
      <c r="G3517" s="6">
        <v>46204</v>
      </c>
      <c r="H3517" s="2" t="s">
        <v>71</v>
      </c>
      <c r="I3517" s="2" t="s">
        <v>76</v>
      </c>
      <c r="J3517" s="9">
        <v>160747064.51612899</v>
      </c>
      <c r="K3517" s="7">
        <v>6.1500000000000004E-5</v>
      </c>
      <c r="L3517" s="9">
        <v>9885.94</v>
      </c>
      <c r="M3517" s="9">
        <v>9966.32</v>
      </c>
      <c r="N3517" s="9">
        <v>5.44</v>
      </c>
      <c r="O3517" s="10">
        <f>IF(AND(OR(H3517="APPROVED",H3517="SCHEDULED"),COUNTIFS(tblSource[EventID],F3517,tblSource[ReleaseStatus],"APPROVED")=1,COUNTIFS(Period_Status!$A$2:$A$8,G3517,Period_Status!$B$2:$B$8,"ActualClosed")=1,C3517&gt;EOMONTH(Settlement_Bridge!$C$2,0)),1,0)</f>
        <v>1</v>
      </c>
      <c r="P3517" s="2" t="s">
        <v>9642</v>
      </c>
    </row>
    <row r="3518" spans="1:16" x14ac:dyDescent="0.25">
      <c r="A3518" s="2" t="s">
        <v>9643</v>
      </c>
      <c r="B3518" s="2" t="s">
        <v>7433</v>
      </c>
      <c r="C3518" s="8">
        <v>46230</v>
      </c>
      <c r="D3518" s="6">
        <v>46204</v>
      </c>
      <c r="E3518" s="2" t="s">
        <v>260</v>
      </c>
      <c r="F3518" s="2" t="s">
        <v>9644</v>
      </c>
      <c r="G3518" s="6">
        <v>46204</v>
      </c>
      <c r="H3518" s="2" t="s">
        <v>71</v>
      </c>
      <c r="I3518" s="2" t="s">
        <v>70</v>
      </c>
      <c r="J3518" s="9">
        <v>10265.866260999999</v>
      </c>
      <c r="K3518" s="7">
        <v>0.65800000000000003</v>
      </c>
      <c r="L3518" s="9">
        <v>6754.94</v>
      </c>
      <c r="M3518" s="9">
        <v>6754.94</v>
      </c>
      <c r="N3518" s="9">
        <v>3.72</v>
      </c>
      <c r="O3518" s="10">
        <f>IF(AND(OR(H3518="APPROVED",H3518="SCHEDULED"),COUNTIFS(tblSource[EventID],F3518,tblSource[ReleaseStatus],"APPROVED")=1,COUNTIFS(Period_Status!$A$2:$A$8,G3518,Period_Status!$B$2:$B$8,"ActualClosed")=1,C3518&gt;EOMONTH(Settlement_Bridge!$C$2,0)),1,0)</f>
        <v>0</v>
      </c>
      <c r="P3518" s="2" t="s">
        <v>9645</v>
      </c>
    </row>
    <row r="3519" spans="1:16" x14ac:dyDescent="0.25">
      <c r="A3519" s="2" t="s">
        <v>9646</v>
      </c>
      <c r="B3519" s="2" t="s">
        <v>7433</v>
      </c>
      <c r="C3519" s="8">
        <v>46255</v>
      </c>
      <c r="D3519" s="6">
        <v>46235</v>
      </c>
      <c r="E3519" s="2" t="s">
        <v>260</v>
      </c>
      <c r="F3519" s="2" t="s">
        <v>9644</v>
      </c>
      <c r="G3519" s="6">
        <v>46204</v>
      </c>
      <c r="H3519" s="2" t="s">
        <v>71</v>
      </c>
      <c r="I3519" s="2" t="s">
        <v>70</v>
      </c>
      <c r="J3519" s="9">
        <v>15398.799392000001</v>
      </c>
      <c r="K3519" s="7">
        <v>0.65</v>
      </c>
      <c r="L3519" s="9">
        <v>10009.219999999999</v>
      </c>
      <c r="M3519" s="9">
        <v>10132.41</v>
      </c>
      <c r="N3519" s="9">
        <v>5.51</v>
      </c>
      <c r="O3519" s="10">
        <f>IF(AND(OR(H3519="APPROVED",H3519="SCHEDULED"),COUNTIFS(tblSource[EventID],F3519,tblSource[ReleaseStatus],"APPROVED")=1,COUNTIFS(Period_Status!$A$2:$A$8,G3519,Period_Status!$B$2:$B$8,"ActualClosed")=1,C3519&gt;EOMONTH(Settlement_Bridge!$C$2,0)),1,0)</f>
        <v>1</v>
      </c>
      <c r="P3519" s="2" t="s">
        <v>9647</v>
      </c>
    </row>
    <row r="3520" spans="1:16" x14ac:dyDescent="0.25">
      <c r="A3520" s="2" t="s">
        <v>9648</v>
      </c>
      <c r="B3520" s="2" t="s">
        <v>7433</v>
      </c>
      <c r="C3520" s="8">
        <v>46231</v>
      </c>
      <c r="D3520" s="6">
        <v>46204</v>
      </c>
      <c r="E3520" s="2" t="s">
        <v>260</v>
      </c>
      <c r="F3520" s="2" t="s">
        <v>9649</v>
      </c>
      <c r="G3520" s="6">
        <v>46204</v>
      </c>
      <c r="H3520" s="2" t="s">
        <v>71</v>
      </c>
      <c r="I3520" s="2" t="s">
        <v>39</v>
      </c>
      <c r="J3520" s="9">
        <v>6865.6639999999998</v>
      </c>
      <c r="K3520" s="7">
        <v>1</v>
      </c>
      <c r="L3520" s="9">
        <v>6865.66</v>
      </c>
      <c r="M3520" s="9">
        <v>6865.66</v>
      </c>
      <c r="N3520" s="9">
        <v>3.78</v>
      </c>
      <c r="O3520" s="10">
        <f>IF(AND(OR(H3520="APPROVED",H3520="SCHEDULED"),COUNTIFS(tblSource[EventID],F3520,tblSource[ReleaseStatus],"APPROVED")=1,COUNTIFS(Period_Status!$A$2:$A$8,G3520,Period_Status!$B$2:$B$8,"ActualClosed")=1,C3520&gt;EOMONTH(Settlement_Bridge!$C$2,0)),1,0)</f>
        <v>0</v>
      </c>
      <c r="P3520" s="2" t="s">
        <v>9650</v>
      </c>
    </row>
    <row r="3521" spans="1:16" x14ac:dyDescent="0.25">
      <c r="A3521" s="2" t="s">
        <v>9651</v>
      </c>
      <c r="B3521" s="2" t="s">
        <v>7433</v>
      </c>
      <c r="C3521" s="8">
        <v>46256</v>
      </c>
      <c r="D3521" s="6">
        <v>46235</v>
      </c>
      <c r="E3521" s="2" t="s">
        <v>260</v>
      </c>
      <c r="F3521" s="2" t="s">
        <v>9649</v>
      </c>
      <c r="G3521" s="6">
        <v>46204</v>
      </c>
      <c r="H3521" s="2" t="s">
        <v>71</v>
      </c>
      <c r="I3521" s="2" t="s">
        <v>39</v>
      </c>
      <c r="J3521" s="9">
        <v>10298.495999999999</v>
      </c>
      <c r="K3521" s="7">
        <v>1</v>
      </c>
      <c r="L3521" s="9">
        <v>10298.5</v>
      </c>
      <c r="M3521" s="9">
        <v>10298.5</v>
      </c>
      <c r="N3521" s="9">
        <v>5.66</v>
      </c>
      <c r="O3521" s="10">
        <f>IF(AND(OR(H3521="APPROVED",H3521="SCHEDULED"),COUNTIFS(tblSource[EventID],F3521,tblSource[ReleaseStatus],"APPROVED")=1,COUNTIFS(Period_Status!$A$2:$A$8,G3521,Period_Status!$B$2:$B$8,"ActualClosed")=1,C3521&gt;EOMONTH(Settlement_Bridge!$C$2,0)),1,0)</f>
        <v>1</v>
      </c>
      <c r="P3521" s="2" t="s">
        <v>9652</v>
      </c>
    </row>
    <row r="3522" spans="1:16" x14ac:dyDescent="0.25">
      <c r="A3522" s="2" t="s">
        <v>9653</v>
      </c>
      <c r="B3522" s="2" t="s">
        <v>7433</v>
      </c>
      <c r="C3522" s="8">
        <v>46232</v>
      </c>
      <c r="D3522" s="6">
        <v>46204</v>
      </c>
      <c r="E3522" s="2" t="s">
        <v>260</v>
      </c>
      <c r="F3522" s="2" t="s">
        <v>9654</v>
      </c>
      <c r="G3522" s="6">
        <v>46204</v>
      </c>
      <c r="H3522" s="2" t="s">
        <v>71</v>
      </c>
      <c r="I3522" s="2" t="s">
        <v>76</v>
      </c>
      <c r="J3522" s="9">
        <v>112522451.612903</v>
      </c>
      <c r="K3522" s="7">
        <v>6.2000000000000003E-5</v>
      </c>
      <c r="L3522" s="9">
        <v>6976.39</v>
      </c>
      <c r="M3522" s="9">
        <v>6976.39</v>
      </c>
      <c r="N3522" s="9">
        <v>3.84</v>
      </c>
      <c r="O3522" s="10">
        <f>IF(AND(OR(H3522="APPROVED",H3522="SCHEDULED"),COUNTIFS(tblSource[EventID],F3522,tblSource[ReleaseStatus],"APPROVED")=1,COUNTIFS(Period_Status!$A$2:$A$8,G3522,Period_Status!$B$2:$B$8,"ActualClosed")=1,C3522&gt;EOMONTH(Settlement_Bridge!$C$2,0)),1,0)</f>
        <v>0</v>
      </c>
      <c r="P3522" s="2" t="s">
        <v>9655</v>
      </c>
    </row>
    <row r="3523" spans="1:16" x14ac:dyDescent="0.25">
      <c r="A3523" s="2" t="s">
        <v>9656</v>
      </c>
      <c r="B3523" s="2" t="s">
        <v>7433</v>
      </c>
      <c r="C3523" s="8">
        <v>46257</v>
      </c>
      <c r="D3523" s="6">
        <v>46235</v>
      </c>
      <c r="E3523" s="2" t="s">
        <v>260</v>
      </c>
      <c r="F3523" s="2" t="s">
        <v>9654</v>
      </c>
      <c r="G3523" s="6">
        <v>46204</v>
      </c>
      <c r="H3523" s="2" t="s">
        <v>71</v>
      </c>
      <c r="I3523" s="2" t="s">
        <v>76</v>
      </c>
      <c r="J3523" s="9">
        <v>168783677.41935501</v>
      </c>
      <c r="K3523" s="7">
        <v>6.1500000000000004E-5</v>
      </c>
      <c r="L3523" s="9">
        <v>10380.200000000001</v>
      </c>
      <c r="M3523" s="9">
        <v>10464.59</v>
      </c>
      <c r="N3523" s="9">
        <v>5.71</v>
      </c>
      <c r="O3523" s="10">
        <f>IF(AND(OR(H3523="APPROVED",H3523="SCHEDULED"),COUNTIFS(tblSource[EventID],F3523,tblSource[ReleaseStatus],"APPROVED")=1,COUNTIFS(Period_Status!$A$2:$A$8,G3523,Period_Status!$B$2:$B$8,"ActualClosed")=1,C3523&gt;EOMONTH(Settlement_Bridge!$C$2,0)),1,0)</f>
        <v>1</v>
      </c>
      <c r="P3523" s="2" t="s">
        <v>9657</v>
      </c>
    </row>
    <row r="3524" spans="1:16" x14ac:dyDescent="0.25">
      <c r="A3524" s="2" t="s">
        <v>9658</v>
      </c>
      <c r="B3524" s="2" t="s">
        <v>7433</v>
      </c>
      <c r="C3524" s="8">
        <v>46233</v>
      </c>
      <c r="D3524" s="6">
        <v>46204</v>
      </c>
      <c r="E3524" s="2" t="s">
        <v>260</v>
      </c>
      <c r="F3524" s="2" t="s">
        <v>9659</v>
      </c>
      <c r="G3524" s="6">
        <v>46204</v>
      </c>
      <c r="H3524" s="2" t="s">
        <v>71</v>
      </c>
      <c r="I3524" s="2" t="s">
        <v>70</v>
      </c>
      <c r="J3524" s="9">
        <v>10770.693009000001</v>
      </c>
      <c r="K3524" s="7">
        <v>0.65800000000000003</v>
      </c>
      <c r="L3524" s="9">
        <v>7087.12</v>
      </c>
      <c r="M3524" s="9">
        <v>7087.12</v>
      </c>
      <c r="N3524" s="9">
        <v>3.9</v>
      </c>
      <c r="O3524" s="10">
        <f>IF(AND(OR(H3524="APPROVED",H3524="SCHEDULED"),COUNTIFS(tblSource[EventID],F3524,tblSource[ReleaseStatus],"APPROVED")=1,COUNTIFS(Period_Status!$A$2:$A$8,G3524,Period_Status!$B$2:$B$8,"ActualClosed")=1,C3524&gt;EOMONTH(Settlement_Bridge!$C$2,0)),1,0)</f>
        <v>0</v>
      </c>
      <c r="P3524" s="2" t="s">
        <v>9660</v>
      </c>
    </row>
    <row r="3525" spans="1:16" x14ac:dyDescent="0.25">
      <c r="A3525" s="2" t="s">
        <v>9661</v>
      </c>
      <c r="B3525" s="2" t="s">
        <v>7433</v>
      </c>
      <c r="C3525" s="8">
        <v>46258</v>
      </c>
      <c r="D3525" s="6">
        <v>46235</v>
      </c>
      <c r="E3525" s="2" t="s">
        <v>260</v>
      </c>
      <c r="F3525" s="2" t="s">
        <v>9659</v>
      </c>
      <c r="G3525" s="6">
        <v>46204</v>
      </c>
      <c r="H3525" s="2" t="s">
        <v>71</v>
      </c>
      <c r="I3525" s="2" t="s">
        <v>70</v>
      </c>
      <c r="J3525" s="9">
        <v>16156.039514</v>
      </c>
      <c r="K3525" s="7">
        <v>0.65</v>
      </c>
      <c r="L3525" s="9">
        <v>10501.43</v>
      </c>
      <c r="M3525" s="9">
        <v>10630.67</v>
      </c>
      <c r="N3525" s="9">
        <v>5.78</v>
      </c>
      <c r="O3525" s="10">
        <f>IF(AND(OR(H3525="APPROVED",H3525="SCHEDULED"),COUNTIFS(tblSource[EventID],F3525,tblSource[ReleaseStatus],"APPROVED")=1,COUNTIFS(Period_Status!$A$2:$A$8,G3525,Period_Status!$B$2:$B$8,"ActualClosed")=1,C3525&gt;EOMONTH(Settlement_Bridge!$C$2,0)),1,0)</f>
        <v>1</v>
      </c>
      <c r="P3525" s="2" t="s">
        <v>9662</v>
      </c>
    </row>
    <row r="3526" spans="1:16" x14ac:dyDescent="0.25">
      <c r="A3526" s="2" t="s">
        <v>9663</v>
      </c>
      <c r="B3526" s="2" t="s">
        <v>7433</v>
      </c>
      <c r="C3526" s="8">
        <v>46234</v>
      </c>
      <c r="D3526" s="6">
        <v>46204</v>
      </c>
      <c r="E3526" s="2" t="s">
        <v>260</v>
      </c>
      <c r="F3526" s="2" t="s">
        <v>9664</v>
      </c>
      <c r="G3526" s="6">
        <v>46204</v>
      </c>
      <c r="H3526" s="2" t="s">
        <v>71</v>
      </c>
      <c r="I3526" s="2" t="s">
        <v>39</v>
      </c>
      <c r="J3526" s="9">
        <v>-17994.61</v>
      </c>
      <c r="K3526" s="7">
        <v>1</v>
      </c>
      <c r="L3526" s="9">
        <v>-17994.61</v>
      </c>
      <c r="M3526" s="9">
        <v>-17994.61</v>
      </c>
      <c r="N3526" s="9">
        <v>0</v>
      </c>
      <c r="O3526" s="10">
        <f>IF(AND(OR(H3526="APPROVED",H3526="SCHEDULED"),COUNTIFS(tblSource[EventID],F3526,tblSource[ReleaseStatus],"APPROVED")=1,COUNTIFS(Period_Status!$A$2:$A$8,G3526,Period_Status!$B$2:$B$8,"ActualClosed")=1,C3526&gt;EOMONTH(Settlement_Bridge!$C$2,0)),1,0)</f>
        <v>0</v>
      </c>
      <c r="P3526" s="2" t="s">
        <v>9665</v>
      </c>
    </row>
    <row r="3527" spans="1:16" x14ac:dyDescent="0.25">
      <c r="A3527" s="2" t="s">
        <v>9666</v>
      </c>
      <c r="B3527" s="2" t="s">
        <v>7433</v>
      </c>
      <c r="C3527" s="8">
        <v>46235</v>
      </c>
      <c r="D3527" s="6">
        <v>46235</v>
      </c>
      <c r="E3527" s="2" t="s">
        <v>260</v>
      </c>
      <c r="F3527" s="2" t="s">
        <v>9667</v>
      </c>
      <c r="G3527" s="6">
        <v>46204</v>
      </c>
      <c r="H3527" s="2" t="s">
        <v>71</v>
      </c>
      <c r="I3527" s="2" t="s">
        <v>76</v>
      </c>
      <c r="J3527" s="9">
        <v>117880129.032258</v>
      </c>
      <c r="K3527" s="7">
        <v>6.1500000000000004E-5</v>
      </c>
      <c r="L3527" s="9">
        <v>7249.63</v>
      </c>
      <c r="M3527" s="9">
        <v>7308.57</v>
      </c>
      <c r="N3527" s="9">
        <v>3.99</v>
      </c>
      <c r="O3527" s="10">
        <f>IF(AND(OR(H3527="APPROVED",H3527="SCHEDULED"),COUNTIFS(tblSource[EventID],F3527,tblSource[ReleaseStatus],"APPROVED")=1,COUNTIFS(Period_Status!$A$2:$A$8,G3527,Period_Status!$B$2:$B$8,"ActualClosed")=1,C3527&gt;EOMONTH(Settlement_Bridge!$C$2,0)),1,0)</f>
        <v>1</v>
      </c>
      <c r="P3527" s="2" t="s">
        <v>9668</v>
      </c>
    </row>
    <row r="3528" spans="1:16" x14ac:dyDescent="0.25">
      <c r="A3528" s="2" t="s">
        <v>9669</v>
      </c>
      <c r="B3528" s="2" t="s">
        <v>7433</v>
      </c>
      <c r="C3528" s="8">
        <v>46260</v>
      </c>
      <c r="D3528" s="6">
        <v>46235</v>
      </c>
      <c r="E3528" s="2" t="s">
        <v>260</v>
      </c>
      <c r="F3528" s="2" t="s">
        <v>9667</v>
      </c>
      <c r="G3528" s="6">
        <v>46204</v>
      </c>
      <c r="H3528" s="2" t="s">
        <v>71</v>
      </c>
      <c r="I3528" s="2" t="s">
        <v>76</v>
      </c>
      <c r="J3528" s="9">
        <v>176820193.54838699</v>
      </c>
      <c r="K3528" s="7">
        <v>6.1500000000000004E-5</v>
      </c>
      <c r="L3528" s="9">
        <v>10874.44</v>
      </c>
      <c r="M3528" s="9">
        <v>10962.85</v>
      </c>
      <c r="N3528" s="9">
        <v>5.98</v>
      </c>
      <c r="O3528" s="10">
        <f>IF(AND(OR(H3528="APPROVED",H3528="SCHEDULED"),COUNTIFS(tblSource[EventID],F3528,tblSource[ReleaseStatus],"APPROVED")=1,COUNTIFS(Period_Status!$A$2:$A$8,G3528,Period_Status!$B$2:$B$8,"ActualClosed")=1,C3528&gt;EOMONTH(Settlement_Bridge!$C$2,0)),1,0)</f>
        <v>1</v>
      </c>
      <c r="P3528" s="2" t="s">
        <v>9670</v>
      </c>
    </row>
    <row r="3529" spans="1:16" x14ac:dyDescent="0.25">
      <c r="A3529" s="2" t="s">
        <v>9671</v>
      </c>
      <c r="B3529" s="2" t="s">
        <v>7433</v>
      </c>
      <c r="C3529" s="8">
        <v>46236</v>
      </c>
      <c r="D3529" s="6">
        <v>46235</v>
      </c>
      <c r="E3529" s="2" t="s">
        <v>260</v>
      </c>
      <c r="F3529" s="2" t="s">
        <v>9672</v>
      </c>
      <c r="G3529" s="6">
        <v>46204</v>
      </c>
      <c r="H3529" s="2" t="s">
        <v>71</v>
      </c>
      <c r="I3529" s="2" t="s">
        <v>70</v>
      </c>
      <c r="J3529" s="9">
        <v>11275.525836000001</v>
      </c>
      <c r="K3529" s="7">
        <v>0.65</v>
      </c>
      <c r="L3529" s="9">
        <v>7329.09</v>
      </c>
      <c r="M3529" s="9">
        <v>7419.3</v>
      </c>
      <c r="N3529" s="9">
        <v>4.03</v>
      </c>
      <c r="O3529" s="10">
        <f>IF(AND(OR(H3529="APPROVED",H3529="SCHEDULED"),COUNTIFS(tblSource[EventID],F3529,tblSource[ReleaseStatus],"APPROVED")=1,COUNTIFS(Period_Status!$A$2:$A$8,G3529,Period_Status!$B$2:$B$8,"ActualClosed")=1,C3529&gt;EOMONTH(Settlement_Bridge!$C$2,0)),1,0)</f>
        <v>1</v>
      </c>
      <c r="P3529" s="2" t="s">
        <v>9673</v>
      </c>
    </row>
    <row r="3530" spans="1:16" x14ac:dyDescent="0.25">
      <c r="A3530" s="2" t="s">
        <v>9674</v>
      </c>
      <c r="B3530" s="2" t="s">
        <v>7433</v>
      </c>
      <c r="C3530" s="8">
        <v>46261</v>
      </c>
      <c r="D3530" s="6">
        <v>46235</v>
      </c>
      <c r="E3530" s="2" t="s">
        <v>260</v>
      </c>
      <c r="F3530" s="2" t="s">
        <v>9672</v>
      </c>
      <c r="G3530" s="6">
        <v>46204</v>
      </c>
      <c r="H3530" s="2" t="s">
        <v>71</v>
      </c>
      <c r="I3530" s="2" t="s">
        <v>70</v>
      </c>
      <c r="J3530" s="9">
        <v>16913.288754000001</v>
      </c>
      <c r="K3530" s="7">
        <v>0.65</v>
      </c>
      <c r="L3530" s="9">
        <v>10993.64</v>
      </c>
      <c r="M3530" s="9">
        <v>11128.94</v>
      </c>
      <c r="N3530" s="9">
        <v>6.05</v>
      </c>
      <c r="O3530" s="10">
        <f>IF(AND(OR(H3530="APPROVED",H3530="SCHEDULED"),COUNTIFS(tblSource[EventID],F3530,tblSource[ReleaseStatus],"APPROVED")=1,COUNTIFS(Period_Status!$A$2:$A$8,G3530,Period_Status!$B$2:$B$8,"ActualClosed")=1,C3530&gt;EOMONTH(Settlement_Bridge!$C$2,0)),1,0)</f>
        <v>1</v>
      </c>
      <c r="P3530" s="2" t="s">
        <v>9675</v>
      </c>
    </row>
    <row r="3531" spans="1:16" x14ac:dyDescent="0.25">
      <c r="A3531" s="2" t="s">
        <v>9676</v>
      </c>
      <c r="B3531" s="2" t="s">
        <v>7433</v>
      </c>
      <c r="C3531" s="8">
        <v>46237</v>
      </c>
      <c r="D3531" s="6">
        <v>46235</v>
      </c>
      <c r="E3531" s="2" t="s">
        <v>260</v>
      </c>
      <c r="F3531" s="2" t="s">
        <v>9677</v>
      </c>
      <c r="G3531" s="6">
        <v>46204</v>
      </c>
      <c r="H3531" s="2" t="s">
        <v>71</v>
      </c>
      <c r="I3531" s="2" t="s">
        <v>39</v>
      </c>
      <c r="J3531" s="9">
        <v>7530.0240000000003</v>
      </c>
      <c r="K3531" s="7">
        <v>1</v>
      </c>
      <c r="L3531" s="9">
        <v>7530.02</v>
      </c>
      <c r="M3531" s="9">
        <v>7530.02</v>
      </c>
      <c r="N3531" s="9">
        <v>4.1399999999999997</v>
      </c>
      <c r="O3531" s="10">
        <f>IF(AND(OR(H3531="APPROVED",H3531="SCHEDULED"),COUNTIFS(tblSource[EventID],F3531,tblSource[ReleaseStatus],"APPROVED")=1,COUNTIFS(Period_Status!$A$2:$A$8,G3531,Period_Status!$B$2:$B$8,"ActualClosed")=1,C3531&gt;EOMONTH(Settlement_Bridge!$C$2,0)),1,0)</f>
        <v>1</v>
      </c>
      <c r="P3531" s="2" t="s">
        <v>9678</v>
      </c>
    </row>
    <row r="3532" spans="1:16" x14ac:dyDescent="0.25">
      <c r="A3532" s="2" t="s">
        <v>9679</v>
      </c>
      <c r="B3532" s="2" t="s">
        <v>7433</v>
      </c>
      <c r="C3532" s="8">
        <v>46262</v>
      </c>
      <c r="D3532" s="6">
        <v>46235</v>
      </c>
      <c r="E3532" s="2" t="s">
        <v>260</v>
      </c>
      <c r="F3532" s="2" t="s">
        <v>9677</v>
      </c>
      <c r="G3532" s="6">
        <v>46204</v>
      </c>
      <c r="H3532" s="2" t="s">
        <v>71</v>
      </c>
      <c r="I3532" s="2" t="s">
        <v>39</v>
      </c>
      <c r="J3532" s="9">
        <v>11295.036</v>
      </c>
      <c r="K3532" s="7">
        <v>1</v>
      </c>
      <c r="L3532" s="9">
        <v>11295.04</v>
      </c>
      <c r="M3532" s="9">
        <v>11295.04</v>
      </c>
      <c r="N3532" s="9">
        <v>6.21</v>
      </c>
      <c r="O3532" s="10">
        <f>IF(AND(OR(H3532="APPROVED",H3532="SCHEDULED"),COUNTIFS(tblSource[EventID],F3532,tblSource[ReleaseStatus],"APPROVED")=1,COUNTIFS(Period_Status!$A$2:$A$8,G3532,Period_Status!$B$2:$B$8,"ActualClosed")=1,C3532&gt;EOMONTH(Settlement_Bridge!$C$2,0)),1,0)</f>
        <v>1</v>
      </c>
      <c r="P3532" s="2" t="s">
        <v>9680</v>
      </c>
    </row>
    <row r="3533" spans="1:16" x14ac:dyDescent="0.25">
      <c r="A3533" s="2" t="s">
        <v>9681</v>
      </c>
      <c r="B3533" s="2" t="s">
        <v>7433</v>
      </c>
      <c r="C3533" s="8">
        <v>46238</v>
      </c>
      <c r="D3533" s="6">
        <v>46235</v>
      </c>
      <c r="E3533" s="2" t="s">
        <v>260</v>
      </c>
      <c r="F3533" s="2" t="s">
        <v>9682</v>
      </c>
      <c r="G3533" s="6">
        <v>46204</v>
      </c>
      <c r="H3533" s="2" t="s">
        <v>71</v>
      </c>
      <c r="I3533" s="2" t="s">
        <v>76</v>
      </c>
      <c r="J3533" s="9">
        <v>123237870.967742</v>
      </c>
      <c r="K3533" s="7">
        <v>6.1500000000000004E-5</v>
      </c>
      <c r="L3533" s="9">
        <v>7579.13</v>
      </c>
      <c r="M3533" s="9">
        <v>7640.75</v>
      </c>
      <c r="N3533" s="9">
        <v>4.17</v>
      </c>
      <c r="O3533" s="10">
        <f>IF(AND(OR(H3533="APPROVED",H3533="SCHEDULED"),COUNTIFS(tblSource[EventID],F3533,tblSource[ReleaseStatus],"APPROVED")=1,COUNTIFS(Period_Status!$A$2:$A$8,G3533,Period_Status!$B$2:$B$8,"ActualClosed")=1,C3533&gt;EOMONTH(Settlement_Bridge!$C$2,0)),1,0)</f>
        <v>1</v>
      </c>
      <c r="P3533" s="2" t="s">
        <v>9683</v>
      </c>
    </row>
    <row r="3534" spans="1:16" x14ac:dyDescent="0.25">
      <c r="A3534" s="2" t="s">
        <v>9684</v>
      </c>
      <c r="B3534" s="2" t="s">
        <v>7433</v>
      </c>
      <c r="C3534" s="8">
        <v>46263</v>
      </c>
      <c r="D3534" s="6">
        <v>46235</v>
      </c>
      <c r="E3534" s="2" t="s">
        <v>260</v>
      </c>
      <c r="F3534" s="2" t="s">
        <v>9682</v>
      </c>
      <c r="G3534" s="6">
        <v>46204</v>
      </c>
      <c r="H3534" s="2" t="s">
        <v>71</v>
      </c>
      <c r="I3534" s="2" t="s">
        <v>76</v>
      </c>
      <c r="J3534" s="9">
        <v>184856806.45161301</v>
      </c>
      <c r="K3534" s="7">
        <v>6.1500000000000004E-5</v>
      </c>
      <c r="L3534" s="9">
        <v>11368.69</v>
      </c>
      <c r="M3534" s="9">
        <v>11461.12</v>
      </c>
      <c r="N3534" s="9">
        <v>6.25</v>
      </c>
      <c r="O3534" s="10">
        <f>IF(AND(OR(H3534="APPROVED",H3534="SCHEDULED"),COUNTIFS(tblSource[EventID],F3534,tblSource[ReleaseStatus],"APPROVED")=1,COUNTIFS(Period_Status!$A$2:$A$8,G3534,Period_Status!$B$2:$B$8,"ActualClosed")=1,C3534&gt;EOMONTH(Settlement_Bridge!$C$2,0)),1,0)</f>
        <v>1</v>
      </c>
      <c r="P3534" s="2" t="s">
        <v>9685</v>
      </c>
    </row>
    <row r="3535" spans="1:16" x14ac:dyDescent="0.25">
      <c r="A3535" s="2" t="s">
        <v>9686</v>
      </c>
      <c r="B3535" s="2" t="s">
        <v>7433</v>
      </c>
      <c r="C3535" s="8">
        <v>46239</v>
      </c>
      <c r="D3535" s="6">
        <v>46235</v>
      </c>
      <c r="E3535" s="2" t="s">
        <v>260</v>
      </c>
      <c r="F3535" s="2" t="s">
        <v>9687</v>
      </c>
      <c r="G3535" s="6">
        <v>46204</v>
      </c>
      <c r="H3535" s="2" t="s">
        <v>71</v>
      </c>
      <c r="I3535" s="2" t="s">
        <v>70</v>
      </c>
      <c r="J3535" s="9">
        <v>11780.358663000001</v>
      </c>
      <c r="K3535" s="7">
        <v>0.65</v>
      </c>
      <c r="L3535" s="9">
        <v>7657.23</v>
      </c>
      <c r="M3535" s="9">
        <v>7751.48</v>
      </c>
      <c r="N3535" s="9">
        <v>4.21</v>
      </c>
      <c r="O3535" s="10">
        <f>IF(AND(OR(H3535="APPROVED",H3535="SCHEDULED"),COUNTIFS(tblSource[EventID],F3535,tblSource[ReleaseStatus],"APPROVED")=1,COUNTIFS(Period_Status!$A$2:$A$8,G3535,Period_Status!$B$2:$B$8,"ActualClosed")=1,C3535&gt;EOMONTH(Settlement_Bridge!$C$2,0)),1,0)</f>
        <v>1</v>
      </c>
      <c r="P3535" s="2" t="s">
        <v>9688</v>
      </c>
    </row>
    <row r="3536" spans="1:16" x14ac:dyDescent="0.25">
      <c r="A3536" s="2" t="s">
        <v>9689</v>
      </c>
      <c r="B3536" s="2" t="s">
        <v>7433</v>
      </c>
      <c r="C3536" s="8">
        <v>46264</v>
      </c>
      <c r="D3536" s="6">
        <v>46235</v>
      </c>
      <c r="E3536" s="2" t="s">
        <v>260</v>
      </c>
      <c r="F3536" s="2" t="s">
        <v>9687</v>
      </c>
      <c r="G3536" s="6">
        <v>46204</v>
      </c>
      <c r="H3536" s="2" t="s">
        <v>71</v>
      </c>
      <c r="I3536" s="2" t="s">
        <v>70</v>
      </c>
      <c r="J3536" s="9">
        <v>17670.537993999998</v>
      </c>
      <c r="K3536" s="7">
        <v>0.65</v>
      </c>
      <c r="L3536" s="9">
        <v>11485.85</v>
      </c>
      <c r="M3536" s="9">
        <v>11627.21</v>
      </c>
      <c r="N3536" s="9">
        <v>6.32</v>
      </c>
      <c r="O3536" s="10">
        <f>IF(AND(OR(H3536="APPROVED",H3536="SCHEDULED"),COUNTIFS(tblSource[EventID],F3536,tblSource[ReleaseStatus],"APPROVED")=1,COUNTIFS(Period_Status!$A$2:$A$8,G3536,Period_Status!$B$2:$B$8,"ActualClosed")=1,C3536&gt;EOMONTH(Settlement_Bridge!$C$2,0)),1,0)</f>
        <v>1</v>
      </c>
      <c r="P3536" s="2" t="s">
        <v>9690</v>
      </c>
    </row>
    <row r="3537" spans="1:16" x14ac:dyDescent="0.25">
      <c r="A3537" s="2" t="s">
        <v>9691</v>
      </c>
      <c r="B3537" s="2" t="s">
        <v>7433</v>
      </c>
      <c r="C3537" s="8">
        <v>46240</v>
      </c>
      <c r="D3537" s="6">
        <v>46235</v>
      </c>
      <c r="E3537" s="2" t="s">
        <v>260</v>
      </c>
      <c r="F3537" s="2" t="s">
        <v>9692</v>
      </c>
      <c r="G3537" s="6">
        <v>46204</v>
      </c>
      <c r="H3537" s="2" t="s">
        <v>71</v>
      </c>
      <c r="I3537" s="2" t="s">
        <v>39</v>
      </c>
      <c r="J3537" s="9">
        <v>7862.2</v>
      </c>
      <c r="K3537" s="7">
        <v>1</v>
      </c>
      <c r="L3537" s="9">
        <v>7862.2</v>
      </c>
      <c r="M3537" s="9">
        <v>7862.2</v>
      </c>
      <c r="N3537" s="9">
        <v>4.32</v>
      </c>
      <c r="O3537" s="10">
        <f>IF(AND(OR(H3537="APPROVED",H3537="SCHEDULED"),COUNTIFS(tblSource[EventID],F3537,tblSource[ReleaseStatus],"APPROVED")=1,COUNTIFS(Period_Status!$A$2:$A$8,G3537,Period_Status!$B$2:$B$8,"ActualClosed")=1,C3537&gt;EOMONTH(Settlement_Bridge!$C$2,0)),1,0)</f>
        <v>1</v>
      </c>
      <c r="P3537" s="2" t="s">
        <v>9693</v>
      </c>
    </row>
    <row r="3538" spans="1:16" x14ac:dyDescent="0.25">
      <c r="A3538" s="2" t="s">
        <v>9694</v>
      </c>
      <c r="B3538" s="2" t="s">
        <v>7433</v>
      </c>
      <c r="C3538" s="8">
        <v>46265</v>
      </c>
      <c r="D3538" s="6">
        <v>46235</v>
      </c>
      <c r="E3538" s="2" t="s">
        <v>260</v>
      </c>
      <c r="F3538" s="2" t="s">
        <v>9692</v>
      </c>
      <c r="G3538" s="6">
        <v>46204</v>
      </c>
      <c r="H3538" s="2" t="s">
        <v>71</v>
      </c>
      <c r="I3538" s="2" t="s">
        <v>39</v>
      </c>
      <c r="J3538" s="9">
        <v>11793.3</v>
      </c>
      <c r="K3538" s="7">
        <v>1</v>
      </c>
      <c r="L3538" s="9">
        <v>11793.3</v>
      </c>
      <c r="M3538" s="9">
        <v>11793.3</v>
      </c>
      <c r="N3538" s="9">
        <v>6.49</v>
      </c>
      <c r="O3538" s="10">
        <f>IF(AND(OR(H3538="APPROVED",H3538="SCHEDULED"),COUNTIFS(tblSource[EventID],F3538,tblSource[ReleaseStatus],"APPROVED")=1,COUNTIFS(Period_Status!$A$2:$A$8,G3538,Period_Status!$B$2:$B$8,"ActualClosed")=1,C3538&gt;EOMONTH(Settlement_Bridge!$C$2,0)),1,0)</f>
        <v>1</v>
      </c>
      <c r="P3538" s="2" t="s">
        <v>9695</v>
      </c>
    </row>
    <row r="3539" spans="1:16" x14ac:dyDescent="0.25">
      <c r="A3539" s="2" t="s">
        <v>9696</v>
      </c>
      <c r="B3539" s="2" t="s">
        <v>7433</v>
      </c>
      <c r="C3539" s="8">
        <v>46241</v>
      </c>
      <c r="D3539" s="6">
        <v>46235</v>
      </c>
      <c r="E3539" s="2" t="s">
        <v>260</v>
      </c>
      <c r="F3539" s="2" t="s">
        <v>9697</v>
      </c>
      <c r="G3539" s="6">
        <v>46204</v>
      </c>
      <c r="H3539" s="2" t="s">
        <v>71</v>
      </c>
      <c r="I3539" s="2" t="s">
        <v>76</v>
      </c>
      <c r="J3539" s="9">
        <v>128595612.903226</v>
      </c>
      <c r="K3539" s="7">
        <v>6.1500000000000004E-5</v>
      </c>
      <c r="L3539" s="9">
        <v>7908.63</v>
      </c>
      <c r="M3539" s="9">
        <v>7972.93</v>
      </c>
      <c r="N3539" s="9">
        <v>4.3499999999999996</v>
      </c>
      <c r="O3539" s="10">
        <f>IF(AND(OR(H3539="APPROVED",H3539="SCHEDULED"),COUNTIFS(tblSource[EventID],F3539,tblSource[ReleaseStatus],"APPROVED")=1,COUNTIFS(Period_Status!$A$2:$A$8,G3539,Period_Status!$B$2:$B$8,"ActualClosed")=1,C3539&gt;EOMONTH(Settlement_Bridge!$C$2,0)),1,0)</f>
        <v>1</v>
      </c>
      <c r="P3539" s="2" t="s">
        <v>9698</v>
      </c>
    </row>
    <row r="3540" spans="1:16" x14ac:dyDescent="0.25">
      <c r="A3540" s="2" t="s">
        <v>9699</v>
      </c>
      <c r="B3540" s="2" t="s">
        <v>7433</v>
      </c>
      <c r="C3540" s="8">
        <v>46266</v>
      </c>
      <c r="D3540" s="6">
        <v>46266</v>
      </c>
      <c r="E3540" s="2" t="s">
        <v>260</v>
      </c>
      <c r="F3540" s="2" t="s">
        <v>9697</v>
      </c>
      <c r="G3540" s="6">
        <v>46204</v>
      </c>
      <c r="H3540" s="2" t="s">
        <v>176</v>
      </c>
      <c r="I3540" s="2" t="s">
        <v>76</v>
      </c>
      <c r="J3540" s="9">
        <v>192893419.354839</v>
      </c>
      <c r="K3540" s="7">
        <v>6.1299999999999999E-5</v>
      </c>
      <c r="L3540" s="9">
        <v>11824.37</v>
      </c>
      <c r="M3540" s="9">
        <v>11959.39</v>
      </c>
      <c r="N3540" s="9">
        <v>6.5</v>
      </c>
      <c r="O3540" s="10">
        <f>IF(AND(OR(H3540="APPROVED",H3540="SCHEDULED"),COUNTIFS(tblSource[EventID],F3540,tblSource[ReleaseStatus],"APPROVED")=1,COUNTIFS(Period_Status!$A$2:$A$8,G3540,Period_Status!$B$2:$B$8,"ActualClosed")=1,C3540&gt;EOMONTH(Settlement_Bridge!$C$2,0)),1,0)</f>
        <v>1</v>
      </c>
      <c r="P3540" s="2" t="s">
        <v>9700</v>
      </c>
    </row>
    <row r="3541" spans="1:16" x14ac:dyDescent="0.25">
      <c r="A3541" s="2" t="s">
        <v>9701</v>
      </c>
      <c r="B3541" s="2" t="s">
        <v>7433</v>
      </c>
      <c r="C3541" s="8">
        <v>46242</v>
      </c>
      <c r="D3541" s="6">
        <v>46235</v>
      </c>
      <c r="E3541" s="2" t="s">
        <v>260</v>
      </c>
      <c r="F3541" s="2" t="s">
        <v>9702</v>
      </c>
      <c r="G3541" s="6">
        <v>46204</v>
      </c>
      <c r="H3541" s="2" t="s">
        <v>71</v>
      </c>
      <c r="I3541" s="2" t="s">
        <v>70</v>
      </c>
      <c r="J3541" s="9">
        <v>12285.18541</v>
      </c>
      <c r="K3541" s="7">
        <v>0.65</v>
      </c>
      <c r="L3541" s="9">
        <v>7985.37</v>
      </c>
      <c r="M3541" s="9">
        <v>8083.65</v>
      </c>
      <c r="N3541" s="9">
        <v>4.3899999999999997</v>
      </c>
      <c r="O3541" s="10">
        <f>IF(AND(OR(H3541="APPROVED",H3541="SCHEDULED"),COUNTIFS(tblSource[EventID],F3541,tblSource[ReleaseStatus],"APPROVED")=1,COUNTIFS(Period_Status!$A$2:$A$8,G3541,Period_Status!$B$2:$B$8,"ActualClosed")=1,C3541&gt;EOMONTH(Settlement_Bridge!$C$2,0)),1,0)</f>
        <v>1</v>
      </c>
      <c r="P3541" s="2" t="s">
        <v>9703</v>
      </c>
    </row>
    <row r="3542" spans="1:16" x14ac:dyDescent="0.25">
      <c r="A3542" s="2" t="s">
        <v>9704</v>
      </c>
      <c r="B3542" s="2" t="s">
        <v>7433</v>
      </c>
      <c r="C3542" s="8">
        <v>46267</v>
      </c>
      <c r="D3542" s="6">
        <v>46266</v>
      </c>
      <c r="E3542" s="2" t="s">
        <v>260</v>
      </c>
      <c r="F3542" s="2" t="s">
        <v>9702</v>
      </c>
      <c r="G3542" s="6">
        <v>46204</v>
      </c>
      <c r="H3542" s="2" t="s">
        <v>176</v>
      </c>
      <c r="I3542" s="2" t="s">
        <v>70</v>
      </c>
      <c r="J3542" s="9">
        <v>18427.778116000001</v>
      </c>
      <c r="K3542" s="7">
        <v>0.65100000000000002</v>
      </c>
      <c r="L3542" s="9">
        <v>11996.48</v>
      </c>
      <c r="M3542" s="9">
        <v>12125.48</v>
      </c>
      <c r="N3542" s="9">
        <v>6.6</v>
      </c>
      <c r="O3542" s="10">
        <f>IF(AND(OR(H3542="APPROVED",H3542="SCHEDULED"),COUNTIFS(tblSource[EventID],F3542,tblSource[ReleaseStatus],"APPROVED")=1,COUNTIFS(Period_Status!$A$2:$A$8,G3542,Period_Status!$B$2:$B$8,"ActualClosed")=1,C3542&gt;EOMONTH(Settlement_Bridge!$C$2,0)),1,0)</f>
        <v>1</v>
      </c>
      <c r="P3542" s="2" t="s">
        <v>9705</v>
      </c>
    </row>
    <row r="3543" spans="1:16" x14ac:dyDescent="0.25">
      <c r="A3543" s="2" t="s">
        <v>9706</v>
      </c>
      <c r="B3543" s="2" t="s">
        <v>7433</v>
      </c>
      <c r="C3543" s="8">
        <v>46243</v>
      </c>
      <c r="D3543" s="6">
        <v>46235</v>
      </c>
      <c r="E3543" s="2" t="s">
        <v>260</v>
      </c>
      <c r="F3543" s="2" t="s">
        <v>9707</v>
      </c>
      <c r="G3543" s="6">
        <v>46204</v>
      </c>
      <c r="H3543" s="2" t="s">
        <v>71</v>
      </c>
      <c r="I3543" s="2" t="s">
        <v>39</v>
      </c>
      <c r="J3543" s="9">
        <v>8194.3799999999992</v>
      </c>
      <c r="K3543" s="7">
        <v>1</v>
      </c>
      <c r="L3543" s="9">
        <v>8194.3799999999992</v>
      </c>
      <c r="M3543" s="9">
        <v>8194.3799999999992</v>
      </c>
      <c r="N3543" s="9">
        <v>4.51</v>
      </c>
      <c r="O3543" s="10">
        <f>IF(AND(OR(H3543="APPROVED",H3543="SCHEDULED"),COUNTIFS(tblSource[EventID],F3543,tblSource[ReleaseStatus],"APPROVED")=1,COUNTIFS(Period_Status!$A$2:$A$8,G3543,Period_Status!$B$2:$B$8,"ActualClosed")=1,C3543&gt;EOMONTH(Settlement_Bridge!$C$2,0)),1,0)</f>
        <v>1</v>
      </c>
      <c r="P3543" s="2" t="s">
        <v>9708</v>
      </c>
    </row>
    <row r="3544" spans="1:16" x14ac:dyDescent="0.25">
      <c r="A3544" s="2" t="s">
        <v>9709</v>
      </c>
      <c r="B3544" s="2" t="s">
        <v>7433</v>
      </c>
      <c r="C3544" s="8">
        <v>46268</v>
      </c>
      <c r="D3544" s="6">
        <v>46266</v>
      </c>
      <c r="E3544" s="2" t="s">
        <v>260</v>
      </c>
      <c r="F3544" s="2" t="s">
        <v>9707</v>
      </c>
      <c r="G3544" s="6">
        <v>46204</v>
      </c>
      <c r="H3544" s="2" t="s">
        <v>176</v>
      </c>
      <c r="I3544" s="2" t="s">
        <v>39</v>
      </c>
      <c r="J3544" s="9">
        <v>12291.57</v>
      </c>
      <c r="K3544" s="7">
        <v>1</v>
      </c>
      <c r="L3544" s="9">
        <v>12291.57</v>
      </c>
      <c r="M3544" s="9">
        <v>12291.57</v>
      </c>
      <c r="N3544" s="9">
        <v>6.76</v>
      </c>
      <c r="O3544" s="10">
        <f>IF(AND(OR(H3544="APPROVED",H3544="SCHEDULED"),COUNTIFS(tblSource[EventID],F3544,tblSource[ReleaseStatus],"APPROVED")=1,COUNTIFS(Period_Status!$A$2:$A$8,G3544,Period_Status!$B$2:$B$8,"ActualClosed")=1,C3544&gt;EOMONTH(Settlement_Bridge!$C$2,0)),1,0)</f>
        <v>1</v>
      </c>
      <c r="P3544" s="2" t="s">
        <v>9710</v>
      </c>
    </row>
    <row r="3545" spans="1:16" x14ac:dyDescent="0.25">
      <c r="A3545" s="2" t="s">
        <v>9711</v>
      </c>
      <c r="B3545" s="2" t="s">
        <v>7433</v>
      </c>
      <c r="C3545" s="8">
        <v>46244</v>
      </c>
      <c r="D3545" s="6">
        <v>46235</v>
      </c>
      <c r="E3545" s="2" t="s">
        <v>260</v>
      </c>
      <c r="F3545" s="2" t="s">
        <v>9712</v>
      </c>
      <c r="G3545" s="6">
        <v>46204</v>
      </c>
      <c r="H3545" s="2" t="s">
        <v>71</v>
      </c>
      <c r="I3545" s="2" t="s">
        <v>76</v>
      </c>
      <c r="J3545" s="9">
        <v>133953354.83871</v>
      </c>
      <c r="K3545" s="7">
        <v>6.1500000000000004E-5</v>
      </c>
      <c r="L3545" s="9">
        <v>8238.1299999999992</v>
      </c>
      <c r="M3545" s="9">
        <v>8305.11</v>
      </c>
      <c r="N3545" s="9">
        <v>4.53</v>
      </c>
      <c r="O3545" s="10">
        <f>IF(AND(OR(H3545="APPROVED",H3545="SCHEDULED"),COUNTIFS(tblSource[EventID],F3545,tblSource[ReleaseStatus],"APPROVED")=1,COUNTIFS(Period_Status!$A$2:$A$8,G3545,Period_Status!$B$2:$B$8,"ActualClosed")=1,C3545&gt;EOMONTH(Settlement_Bridge!$C$2,0)),1,0)</f>
        <v>1</v>
      </c>
      <c r="P3545" s="2" t="s">
        <v>9713</v>
      </c>
    </row>
    <row r="3546" spans="1:16" x14ac:dyDescent="0.25">
      <c r="A3546" s="2" t="s">
        <v>9714</v>
      </c>
      <c r="B3546" s="2" t="s">
        <v>7433</v>
      </c>
      <c r="C3546" s="8">
        <v>46269</v>
      </c>
      <c r="D3546" s="6">
        <v>46266</v>
      </c>
      <c r="E3546" s="2" t="s">
        <v>260</v>
      </c>
      <c r="F3546" s="2" t="s">
        <v>9712</v>
      </c>
      <c r="G3546" s="6">
        <v>46204</v>
      </c>
      <c r="H3546" s="2" t="s">
        <v>176</v>
      </c>
      <c r="I3546" s="2" t="s">
        <v>76</v>
      </c>
      <c r="J3546" s="9">
        <v>200930032.258064</v>
      </c>
      <c r="K3546" s="7">
        <v>6.1299999999999999E-5</v>
      </c>
      <c r="L3546" s="9">
        <v>12317.01</v>
      </c>
      <c r="M3546" s="9">
        <v>12457.66</v>
      </c>
      <c r="N3546" s="9">
        <v>6.77</v>
      </c>
      <c r="O3546" s="10">
        <f>IF(AND(OR(H3546="APPROVED",H3546="SCHEDULED"),COUNTIFS(tblSource[EventID],F3546,tblSource[ReleaseStatus],"APPROVED")=1,COUNTIFS(Period_Status!$A$2:$A$8,G3546,Period_Status!$B$2:$B$8,"ActualClosed")=1,C3546&gt;EOMONTH(Settlement_Bridge!$C$2,0)),1,0)</f>
        <v>1</v>
      </c>
      <c r="P3546" s="2" t="s">
        <v>9715</v>
      </c>
    </row>
    <row r="3547" spans="1:16" x14ac:dyDescent="0.25">
      <c r="A3547" s="2" t="s">
        <v>9716</v>
      </c>
      <c r="B3547" s="2" t="s">
        <v>7433</v>
      </c>
      <c r="C3547" s="8">
        <v>46245</v>
      </c>
      <c r="D3547" s="6">
        <v>46235</v>
      </c>
      <c r="E3547" s="2" t="s">
        <v>260</v>
      </c>
      <c r="F3547" s="2" t="s">
        <v>9717</v>
      </c>
      <c r="G3547" s="6">
        <v>46204</v>
      </c>
      <c r="H3547" s="2" t="s">
        <v>71</v>
      </c>
      <c r="I3547" s="2" t="s">
        <v>70</v>
      </c>
      <c r="J3547" s="9">
        <v>12790.018237</v>
      </c>
      <c r="K3547" s="7">
        <v>0.65</v>
      </c>
      <c r="L3547" s="9">
        <v>8313.51</v>
      </c>
      <c r="M3547" s="9">
        <v>8415.83</v>
      </c>
      <c r="N3547" s="9">
        <v>4.57</v>
      </c>
      <c r="O3547" s="10">
        <f>IF(AND(OR(H3547="APPROVED",H3547="SCHEDULED"),COUNTIFS(tblSource[EventID],F3547,tblSource[ReleaseStatus],"APPROVED")=1,COUNTIFS(Period_Status!$A$2:$A$8,G3547,Period_Status!$B$2:$B$8,"ActualClosed")=1,C3547&gt;EOMONTH(Settlement_Bridge!$C$2,0)),1,0)</f>
        <v>1</v>
      </c>
      <c r="P3547" s="2" t="s">
        <v>9718</v>
      </c>
    </row>
    <row r="3548" spans="1:16" x14ac:dyDescent="0.25">
      <c r="A3548" s="2" t="s">
        <v>9719</v>
      </c>
      <c r="B3548" s="2" t="s">
        <v>7433</v>
      </c>
      <c r="C3548" s="8">
        <v>46270</v>
      </c>
      <c r="D3548" s="6">
        <v>46266</v>
      </c>
      <c r="E3548" s="2" t="s">
        <v>260</v>
      </c>
      <c r="F3548" s="2" t="s">
        <v>9717</v>
      </c>
      <c r="G3548" s="6">
        <v>46204</v>
      </c>
      <c r="H3548" s="2" t="s">
        <v>176</v>
      </c>
      <c r="I3548" s="2" t="s">
        <v>70</v>
      </c>
      <c r="J3548" s="9">
        <v>19185.027355999999</v>
      </c>
      <c r="K3548" s="7">
        <v>0.65100000000000002</v>
      </c>
      <c r="L3548" s="9">
        <v>12489.45</v>
      </c>
      <c r="M3548" s="9">
        <v>12623.75</v>
      </c>
      <c r="N3548" s="9">
        <v>6.87</v>
      </c>
      <c r="O3548" s="10">
        <f>IF(AND(OR(H3548="APPROVED",H3548="SCHEDULED"),COUNTIFS(tblSource[EventID],F3548,tblSource[ReleaseStatus],"APPROVED")=1,COUNTIFS(Period_Status!$A$2:$A$8,G3548,Period_Status!$B$2:$B$8,"ActualClosed")=1,C3548&gt;EOMONTH(Settlement_Bridge!$C$2,0)),1,0)</f>
        <v>1</v>
      </c>
      <c r="P3548" s="2" t="s">
        <v>9720</v>
      </c>
    </row>
    <row r="3549" spans="1:16" x14ac:dyDescent="0.25">
      <c r="A3549" s="2" t="s">
        <v>9721</v>
      </c>
      <c r="B3549" s="2" t="s">
        <v>7433</v>
      </c>
      <c r="C3549" s="8">
        <v>46246</v>
      </c>
      <c r="D3549" s="6">
        <v>46235</v>
      </c>
      <c r="E3549" s="2" t="s">
        <v>260</v>
      </c>
      <c r="F3549" s="2" t="s">
        <v>9722</v>
      </c>
      <c r="G3549" s="6">
        <v>46204</v>
      </c>
      <c r="H3549" s="2" t="s">
        <v>71</v>
      </c>
      <c r="I3549" s="2" t="s">
        <v>39</v>
      </c>
      <c r="J3549" s="9">
        <v>8526.56</v>
      </c>
      <c r="K3549" s="7">
        <v>1</v>
      </c>
      <c r="L3549" s="9">
        <v>8526.56</v>
      </c>
      <c r="M3549" s="9">
        <v>8526.56</v>
      </c>
      <c r="N3549" s="9">
        <v>4.6900000000000004</v>
      </c>
      <c r="O3549" s="10">
        <f>IF(AND(OR(H3549="APPROVED",H3549="SCHEDULED"),COUNTIFS(tblSource[EventID],F3549,tblSource[ReleaseStatus],"APPROVED")=1,COUNTIFS(Period_Status!$A$2:$A$8,G3549,Period_Status!$B$2:$B$8,"ActualClosed")=1,C3549&gt;EOMONTH(Settlement_Bridge!$C$2,0)),1,0)</f>
        <v>1</v>
      </c>
      <c r="P3549" s="2" t="s">
        <v>9723</v>
      </c>
    </row>
    <row r="3550" spans="1:16" x14ac:dyDescent="0.25">
      <c r="A3550" s="2" t="s">
        <v>9724</v>
      </c>
      <c r="B3550" s="2" t="s">
        <v>7433</v>
      </c>
      <c r="C3550" s="8">
        <v>46271</v>
      </c>
      <c r="D3550" s="6">
        <v>46266</v>
      </c>
      <c r="E3550" s="2" t="s">
        <v>260</v>
      </c>
      <c r="F3550" s="2" t="s">
        <v>9722</v>
      </c>
      <c r="G3550" s="6">
        <v>46204</v>
      </c>
      <c r="H3550" s="2" t="s">
        <v>176</v>
      </c>
      <c r="I3550" s="2" t="s">
        <v>39</v>
      </c>
      <c r="J3550" s="9">
        <v>12789.84</v>
      </c>
      <c r="K3550" s="7">
        <v>1</v>
      </c>
      <c r="L3550" s="9">
        <v>12789.84</v>
      </c>
      <c r="M3550" s="9">
        <v>12789.84</v>
      </c>
      <c r="N3550" s="9">
        <v>7.03</v>
      </c>
      <c r="O3550" s="10">
        <f>IF(AND(OR(H3550="APPROVED",H3550="SCHEDULED"),COUNTIFS(tblSource[EventID],F3550,tblSource[ReleaseStatus],"APPROVED")=1,COUNTIFS(Period_Status!$A$2:$A$8,G3550,Period_Status!$B$2:$B$8,"ActualClosed")=1,C3550&gt;EOMONTH(Settlement_Bridge!$C$2,0)),1,0)</f>
        <v>1</v>
      </c>
      <c r="P3550" s="2" t="s">
        <v>9725</v>
      </c>
    </row>
    <row r="3551" spans="1:16" x14ac:dyDescent="0.25">
      <c r="A3551" s="2" t="s">
        <v>9726</v>
      </c>
      <c r="B3551" s="2" t="s">
        <v>7433</v>
      </c>
      <c r="C3551" s="8">
        <v>46247</v>
      </c>
      <c r="D3551" s="6">
        <v>46235</v>
      </c>
      <c r="E3551" s="2" t="s">
        <v>260</v>
      </c>
      <c r="F3551" s="2" t="s">
        <v>9727</v>
      </c>
      <c r="G3551" s="6">
        <v>46204</v>
      </c>
      <c r="H3551" s="2" t="s">
        <v>71</v>
      </c>
      <c r="I3551" s="2" t="s">
        <v>76</v>
      </c>
      <c r="J3551" s="9">
        <v>139311096.774194</v>
      </c>
      <c r="K3551" s="7">
        <v>6.1500000000000004E-5</v>
      </c>
      <c r="L3551" s="9">
        <v>8567.6299999999992</v>
      </c>
      <c r="M3551" s="9">
        <v>8637.2900000000009</v>
      </c>
      <c r="N3551" s="9">
        <v>4.71</v>
      </c>
      <c r="O3551" s="10">
        <f>IF(AND(OR(H3551="APPROVED",H3551="SCHEDULED"),COUNTIFS(tblSource[EventID],F3551,tblSource[ReleaseStatus],"APPROVED")=1,COUNTIFS(Period_Status!$A$2:$A$8,G3551,Period_Status!$B$2:$B$8,"ActualClosed")=1,C3551&gt;EOMONTH(Settlement_Bridge!$C$2,0)),1,0)</f>
        <v>1</v>
      </c>
      <c r="P3551" s="2" t="s">
        <v>9728</v>
      </c>
    </row>
    <row r="3552" spans="1:16" x14ac:dyDescent="0.25">
      <c r="A3552" s="2" t="s">
        <v>9729</v>
      </c>
      <c r="B3552" s="2" t="s">
        <v>7433</v>
      </c>
      <c r="C3552" s="8">
        <v>46272</v>
      </c>
      <c r="D3552" s="6">
        <v>46266</v>
      </c>
      <c r="E3552" s="2" t="s">
        <v>260</v>
      </c>
      <c r="F3552" s="2" t="s">
        <v>9727</v>
      </c>
      <c r="G3552" s="6">
        <v>46204</v>
      </c>
      <c r="H3552" s="2" t="s">
        <v>176</v>
      </c>
      <c r="I3552" s="2" t="s">
        <v>76</v>
      </c>
      <c r="J3552" s="9">
        <v>208966645.16128999</v>
      </c>
      <c r="K3552" s="7">
        <v>6.1299999999999999E-5</v>
      </c>
      <c r="L3552" s="9">
        <v>12809.66</v>
      </c>
      <c r="M3552" s="9">
        <v>12955.93</v>
      </c>
      <c r="N3552" s="9">
        <v>7.05</v>
      </c>
      <c r="O3552" s="10">
        <f>IF(AND(OR(H3552="APPROVED",H3552="SCHEDULED"),COUNTIFS(tblSource[EventID],F3552,tblSource[ReleaseStatus],"APPROVED")=1,COUNTIFS(Period_Status!$A$2:$A$8,G3552,Period_Status!$B$2:$B$8,"ActualClosed")=1,C3552&gt;EOMONTH(Settlement_Bridge!$C$2,0)),1,0)</f>
        <v>1</v>
      </c>
      <c r="P3552" s="2" t="s">
        <v>9730</v>
      </c>
    </row>
    <row r="3553" spans="1:16" x14ac:dyDescent="0.25">
      <c r="A3553" s="2" t="s">
        <v>9731</v>
      </c>
      <c r="B3553" s="2" t="s">
        <v>7433</v>
      </c>
      <c r="C3553" s="8">
        <v>46248</v>
      </c>
      <c r="D3553" s="6">
        <v>46235</v>
      </c>
      <c r="E3553" s="2" t="s">
        <v>260</v>
      </c>
      <c r="F3553" s="2" t="s">
        <v>9732</v>
      </c>
      <c r="G3553" s="6">
        <v>46204</v>
      </c>
      <c r="H3553" s="2" t="s">
        <v>71</v>
      </c>
      <c r="I3553" s="2" t="s">
        <v>70</v>
      </c>
      <c r="J3553" s="9">
        <v>13294.851064</v>
      </c>
      <c r="K3553" s="7">
        <v>0.65</v>
      </c>
      <c r="L3553" s="9">
        <v>8641.65</v>
      </c>
      <c r="M3553" s="9">
        <v>8748.01</v>
      </c>
      <c r="N3553" s="9">
        <v>4.75</v>
      </c>
      <c r="O3553" s="10">
        <f>IF(AND(OR(H3553="APPROVED",H3553="SCHEDULED"),COUNTIFS(tblSource[EventID],F3553,tblSource[ReleaseStatus],"APPROVED")=1,COUNTIFS(Period_Status!$A$2:$A$8,G3553,Period_Status!$B$2:$B$8,"ActualClosed")=1,C3553&gt;EOMONTH(Settlement_Bridge!$C$2,0)),1,0)</f>
        <v>1</v>
      </c>
      <c r="P3553" s="2" t="s">
        <v>9733</v>
      </c>
    </row>
    <row r="3554" spans="1:16" x14ac:dyDescent="0.25">
      <c r="A3554" s="2" t="s">
        <v>9734</v>
      </c>
      <c r="B3554" s="2" t="s">
        <v>7433</v>
      </c>
      <c r="C3554" s="8">
        <v>46273</v>
      </c>
      <c r="D3554" s="6">
        <v>46266</v>
      </c>
      <c r="E3554" s="2" t="s">
        <v>260</v>
      </c>
      <c r="F3554" s="2" t="s">
        <v>9732</v>
      </c>
      <c r="G3554" s="6">
        <v>46204</v>
      </c>
      <c r="H3554" s="2" t="s">
        <v>176</v>
      </c>
      <c r="I3554" s="2" t="s">
        <v>70</v>
      </c>
      <c r="J3554" s="9">
        <v>19942.276596</v>
      </c>
      <c r="K3554" s="7">
        <v>0.65100000000000002</v>
      </c>
      <c r="L3554" s="9">
        <v>12982.42</v>
      </c>
      <c r="M3554" s="9">
        <v>13122.02</v>
      </c>
      <c r="N3554" s="9">
        <v>7.14</v>
      </c>
      <c r="O3554" s="10">
        <f>IF(AND(OR(H3554="APPROVED",H3554="SCHEDULED"),COUNTIFS(tblSource[EventID],F3554,tblSource[ReleaseStatus],"APPROVED")=1,COUNTIFS(Period_Status!$A$2:$A$8,G3554,Period_Status!$B$2:$B$8,"ActualClosed")=1,C3554&gt;EOMONTH(Settlement_Bridge!$C$2,0)),1,0)</f>
        <v>1</v>
      </c>
      <c r="P3554" s="2" t="s">
        <v>9735</v>
      </c>
    </row>
    <row r="3555" spans="1:16" x14ac:dyDescent="0.25">
      <c r="A3555" s="2" t="s">
        <v>9736</v>
      </c>
      <c r="B3555" s="2" t="s">
        <v>7433</v>
      </c>
      <c r="C3555" s="8">
        <v>46218</v>
      </c>
      <c r="D3555" s="6">
        <v>46204</v>
      </c>
      <c r="E3555" s="2" t="s">
        <v>260</v>
      </c>
      <c r="F3555" s="2" t="s">
        <v>9737</v>
      </c>
      <c r="G3555" s="6">
        <v>46204</v>
      </c>
      <c r="H3555" s="2" t="s">
        <v>71</v>
      </c>
      <c r="I3555" s="2" t="s">
        <v>39</v>
      </c>
      <c r="J3555" s="9">
        <v>8858.74</v>
      </c>
      <c r="K3555" s="7">
        <v>1</v>
      </c>
      <c r="L3555" s="9">
        <v>8858.74</v>
      </c>
      <c r="M3555" s="9">
        <v>8858.74</v>
      </c>
      <c r="N3555" s="9">
        <v>4.87</v>
      </c>
      <c r="O3555" s="10">
        <f>IF(AND(OR(H3555="APPROVED",H3555="SCHEDULED"),COUNTIFS(tblSource[EventID],F3555,tblSource[ReleaseStatus],"APPROVED")=1,COUNTIFS(Period_Status!$A$2:$A$8,G3555,Period_Status!$B$2:$B$8,"ActualClosed")=1,C3555&gt;EOMONTH(Settlement_Bridge!$C$2,0)),1,0)</f>
        <v>0</v>
      </c>
      <c r="P3555" s="2" t="s">
        <v>9738</v>
      </c>
    </row>
    <row r="3556" spans="1:16" x14ac:dyDescent="0.25">
      <c r="A3556" s="2" t="s">
        <v>9739</v>
      </c>
      <c r="B3556" s="2" t="s">
        <v>7433</v>
      </c>
      <c r="C3556" s="8">
        <v>46243</v>
      </c>
      <c r="D3556" s="6">
        <v>46235</v>
      </c>
      <c r="E3556" s="2" t="s">
        <v>260</v>
      </c>
      <c r="F3556" s="2" t="s">
        <v>9737</v>
      </c>
      <c r="G3556" s="6">
        <v>46204</v>
      </c>
      <c r="H3556" s="2" t="s">
        <v>71</v>
      </c>
      <c r="I3556" s="2" t="s">
        <v>39</v>
      </c>
      <c r="J3556" s="9">
        <v>13288.11</v>
      </c>
      <c r="K3556" s="7">
        <v>1</v>
      </c>
      <c r="L3556" s="9">
        <v>13288.11</v>
      </c>
      <c r="M3556" s="9">
        <v>13288.11</v>
      </c>
      <c r="N3556" s="9">
        <v>7.31</v>
      </c>
      <c r="O3556" s="10">
        <f>IF(AND(OR(H3556="APPROVED",H3556="SCHEDULED"),COUNTIFS(tblSource[EventID],F3556,tblSource[ReleaseStatus],"APPROVED")=1,COUNTIFS(Period_Status!$A$2:$A$8,G3556,Period_Status!$B$2:$B$8,"ActualClosed")=1,C3556&gt;EOMONTH(Settlement_Bridge!$C$2,0)),1,0)</f>
        <v>1</v>
      </c>
      <c r="P3556" s="2" t="s">
        <v>9740</v>
      </c>
    </row>
    <row r="3557" spans="1:16" x14ac:dyDescent="0.25">
      <c r="A3557" s="2" t="s">
        <v>9741</v>
      </c>
      <c r="B3557" s="2" t="s">
        <v>7433</v>
      </c>
      <c r="C3557" s="8">
        <v>46219</v>
      </c>
      <c r="D3557" s="6">
        <v>46204</v>
      </c>
      <c r="E3557" s="2" t="s">
        <v>260</v>
      </c>
      <c r="F3557" s="2" t="s">
        <v>9742</v>
      </c>
      <c r="G3557" s="6">
        <v>46204</v>
      </c>
      <c r="H3557" s="2" t="s">
        <v>71</v>
      </c>
      <c r="I3557" s="2" t="s">
        <v>76</v>
      </c>
      <c r="J3557" s="9">
        <v>144668774.19354799</v>
      </c>
      <c r="K3557" s="7">
        <v>6.2000000000000003E-5</v>
      </c>
      <c r="L3557" s="9">
        <v>8969.4599999999991</v>
      </c>
      <c r="M3557" s="9">
        <v>8969.4599999999991</v>
      </c>
      <c r="N3557" s="9">
        <v>4.93</v>
      </c>
      <c r="O3557" s="10">
        <f>IF(AND(OR(H3557="APPROVED",H3557="SCHEDULED"),COUNTIFS(tblSource[EventID],F3557,tblSource[ReleaseStatus],"APPROVED")=1,COUNTIFS(Period_Status!$A$2:$A$8,G3557,Period_Status!$B$2:$B$8,"ActualClosed")=1,C3557&gt;EOMONTH(Settlement_Bridge!$C$2,0)),1,0)</f>
        <v>0</v>
      </c>
      <c r="P3557" s="2" t="s">
        <v>9743</v>
      </c>
    </row>
    <row r="3558" spans="1:16" x14ac:dyDescent="0.25">
      <c r="A3558" s="2" t="s">
        <v>9744</v>
      </c>
      <c r="B3558" s="2" t="s">
        <v>7433</v>
      </c>
      <c r="C3558" s="8">
        <v>46244</v>
      </c>
      <c r="D3558" s="6">
        <v>46235</v>
      </c>
      <c r="E3558" s="2" t="s">
        <v>260</v>
      </c>
      <c r="F3558" s="2" t="s">
        <v>9742</v>
      </c>
      <c r="G3558" s="6">
        <v>46204</v>
      </c>
      <c r="H3558" s="2" t="s">
        <v>71</v>
      </c>
      <c r="I3558" s="2" t="s">
        <v>76</v>
      </c>
      <c r="J3558" s="9">
        <v>217003161.29032299</v>
      </c>
      <c r="K3558" s="7">
        <v>6.1500000000000004E-5</v>
      </c>
      <c r="L3558" s="9">
        <v>13345.69</v>
      </c>
      <c r="M3558" s="9">
        <v>13454.2</v>
      </c>
      <c r="N3558" s="9">
        <v>7.34</v>
      </c>
      <c r="O3558" s="10">
        <f>IF(AND(OR(H3558="APPROVED",H3558="SCHEDULED"),COUNTIFS(tblSource[EventID],F3558,tblSource[ReleaseStatus],"APPROVED")=1,COUNTIFS(Period_Status!$A$2:$A$8,G3558,Period_Status!$B$2:$B$8,"ActualClosed")=1,C3558&gt;EOMONTH(Settlement_Bridge!$C$2,0)),1,0)</f>
        <v>1</v>
      </c>
      <c r="P3558" s="2" t="s">
        <v>9745</v>
      </c>
    </row>
    <row r="3559" spans="1:16" x14ac:dyDescent="0.25">
      <c r="A3559" s="2" t="s">
        <v>9746</v>
      </c>
      <c r="B3559" s="2" t="s">
        <v>7433</v>
      </c>
      <c r="C3559" s="8">
        <v>46220</v>
      </c>
      <c r="D3559" s="6">
        <v>46204</v>
      </c>
      <c r="E3559" s="2" t="s">
        <v>260</v>
      </c>
      <c r="F3559" s="2" t="s">
        <v>9747</v>
      </c>
      <c r="G3559" s="6">
        <v>46204</v>
      </c>
      <c r="H3559" s="2" t="s">
        <v>71</v>
      </c>
      <c r="I3559" s="2" t="s">
        <v>70</v>
      </c>
      <c r="J3559" s="9">
        <v>13799.68389</v>
      </c>
      <c r="K3559" s="7">
        <v>0.65800000000000003</v>
      </c>
      <c r="L3559" s="9">
        <v>9080.19</v>
      </c>
      <c r="M3559" s="9">
        <v>9080.19</v>
      </c>
      <c r="N3559" s="9">
        <v>4.99</v>
      </c>
      <c r="O3559" s="10">
        <f>IF(AND(OR(H3559="APPROVED",H3559="SCHEDULED"),COUNTIFS(tblSource[EventID],F3559,tblSource[ReleaseStatus],"APPROVED")=1,COUNTIFS(Period_Status!$A$2:$A$8,G3559,Period_Status!$B$2:$B$8,"ActualClosed")=1,C3559&gt;EOMONTH(Settlement_Bridge!$C$2,0)),1,0)</f>
        <v>0</v>
      </c>
      <c r="P3559" s="2" t="s">
        <v>9748</v>
      </c>
    </row>
    <row r="3560" spans="1:16" x14ac:dyDescent="0.25">
      <c r="A3560" s="2" t="s">
        <v>9749</v>
      </c>
      <c r="B3560" s="2" t="s">
        <v>7433</v>
      </c>
      <c r="C3560" s="8">
        <v>46245</v>
      </c>
      <c r="D3560" s="6">
        <v>46235</v>
      </c>
      <c r="E3560" s="2" t="s">
        <v>260</v>
      </c>
      <c r="F3560" s="2" t="s">
        <v>9747</v>
      </c>
      <c r="G3560" s="6">
        <v>46204</v>
      </c>
      <c r="H3560" s="2" t="s">
        <v>71</v>
      </c>
      <c r="I3560" s="2" t="s">
        <v>70</v>
      </c>
      <c r="J3560" s="9">
        <v>20699.525836000001</v>
      </c>
      <c r="K3560" s="7">
        <v>0.65</v>
      </c>
      <c r="L3560" s="9">
        <v>13454.69</v>
      </c>
      <c r="M3560" s="9">
        <v>13620.29</v>
      </c>
      <c r="N3560" s="9">
        <v>7.4</v>
      </c>
      <c r="O3560" s="10">
        <f>IF(AND(OR(H3560="APPROVED",H3560="SCHEDULED"),COUNTIFS(tblSource[EventID],F3560,tblSource[ReleaseStatus],"APPROVED")=1,COUNTIFS(Period_Status!$A$2:$A$8,G3560,Period_Status!$B$2:$B$8,"ActualClosed")=1,C3560&gt;EOMONTH(Settlement_Bridge!$C$2,0)),1,0)</f>
        <v>1</v>
      </c>
      <c r="P3560" s="2" t="s">
        <v>9750</v>
      </c>
    </row>
    <row r="3561" spans="1:16" x14ac:dyDescent="0.25">
      <c r="A3561" s="2" t="s">
        <v>9751</v>
      </c>
      <c r="B3561" s="2" t="s">
        <v>7433</v>
      </c>
      <c r="C3561" s="8">
        <v>46221</v>
      </c>
      <c r="D3561" s="6">
        <v>46204</v>
      </c>
      <c r="E3561" s="2" t="s">
        <v>260</v>
      </c>
      <c r="F3561" s="2" t="s">
        <v>9752</v>
      </c>
      <c r="G3561" s="6">
        <v>46204</v>
      </c>
      <c r="H3561" s="2" t="s">
        <v>71</v>
      </c>
      <c r="I3561" s="2" t="s">
        <v>39</v>
      </c>
      <c r="J3561" s="9">
        <v>9190.92</v>
      </c>
      <c r="K3561" s="7">
        <v>1</v>
      </c>
      <c r="L3561" s="9">
        <v>9190.92</v>
      </c>
      <c r="M3561" s="9">
        <v>9190.92</v>
      </c>
      <c r="N3561" s="9">
        <v>5.0599999999999996</v>
      </c>
      <c r="O3561" s="10">
        <f>IF(AND(OR(H3561="APPROVED",H3561="SCHEDULED"),COUNTIFS(tblSource[EventID],F3561,tblSource[ReleaseStatus],"APPROVED")=1,COUNTIFS(Period_Status!$A$2:$A$8,G3561,Period_Status!$B$2:$B$8,"ActualClosed")=1,C3561&gt;EOMONTH(Settlement_Bridge!$C$2,0)),1,0)</f>
        <v>0</v>
      </c>
      <c r="P3561" s="2" t="s">
        <v>9753</v>
      </c>
    </row>
    <row r="3562" spans="1:16" x14ac:dyDescent="0.25">
      <c r="A3562" s="2" t="s">
        <v>9754</v>
      </c>
      <c r="B3562" s="2" t="s">
        <v>7433</v>
      </c>
      <c r="C3562" s="8">
        <v>46246</v>
      </c>
      <c r="D3562" s="6">
        <v>46235</v>
      </c>
      <c r="E3562" s="2" t="s">
        <v>260</v>
      </c>
      <c r="F3562" s="2" t="s">
        <v>9752</v>
      </c>
      <c r="G3562" s="6">
        <v>46204</v>
      </c>
      <c r="H3562" s="2" t="s">
        <v>71</v>
      </c>
      <c r="I3562" s="2" t="s">
        <v>39</v>
      </c>
      <c r="J3562" s="9">
        <v>13786.38</v>
      </c>
      <c r="K3562" s="7">
        <v>1</v>
      </c>
      <c r="L3562" s="9">
        <v>13786.38</v>
      </c>
      <c r="M3562" s="9">
        <v>13786.38</v>
      </c>
      <c r="N3562" s="9">
        <v>7.58</v>
      </c>
      <c r="O3562" s="10">
        <f>IF(AND(OR(H3562="APPROVED",H3562="SCHEDULED"),COUNTIFS(tblSource[EventID],F3562,tblSource[ReleaseStatus],"APPROVED")=1,COUNTIFS(Period_Status!$A$2:$A$8,G3562,Period_Status!$B$2:$B$8,"ActualClosed")=1,C3562&gt;EOMONTH(Settlement_Bridge!$C$2,0)),1,0)</f>
        <v>1</v>
      </c>
      <c r="P3562" s="2" t="s">
        <v>9755</v>
      </c>
    </row>
    <row r="3563" spans="1:16" x14ac:dyDescent="0.25">
      <c r="A3563" s="2" t="s">
        <v>9756</v>
      </c>
      <c r="B3563" s="2" t="s">
        <v>7433</v>
      </c>
      <c r="C3563" s="8">
        <v>46222</v>
      </c>
      <c r="D3563" s="6">
        <v>46204</v>
      </c>
      <c r="E3563" s="2" t="s">
        <v>260</v>
      </c>
      <c r="F3563" s="2" t="s">
        <v>9757</v>
      </c>
      <c r="G3563" s="6">
        <v>46204</v>
      </c>
      <c r="H3563" s="2" t="s">
        <v>71</v>
      </c>
      <c r="I3563" s="2" t="s">
        <v>76</v>
      </c>
      <c r="J3563" s="9">
        <v>150026516.12903199</v>
      </c>
      <c r="K3563" s="7">
        <v>6.2000000000000003E-5</v>
      </c>
      <c r="L3563" s="9">
        <v>9301.64</v>
      </c>
      <c r="M3563" s="9">
        <v>9301.64</v>
      </c>
      <c r="N3563" s="9">
        <v>5.12</v>
      </c>
      <c r="O3563" s="10">
        <f>IF(AND(OR(H3563="APPROVED",H3563="SCHEDULED"),COUNTIFS(tblSource[EventID],F3563,tblSource[ReleaseStatus],"APPROVED")=1,COUNTIFS(Period_Status!$A$2:$A$8,G3563,Period_Status!$B$2:$B$8,"ActualClosed")=1,C3563&gt;EOMONTH(Settlement_Bridge!$C$2,0)),1,0)</f>
        <v>0</v>
      </c>
      <c r="P3563" s="2" t="s">
        <v>9758</v>
      </c>
    </row>
    <row r="3564" spans="1:16" x14ac:dyDescent="0.25">
      <c r="A3564" s="2" t="s">
        <v>9759</v>
      </c>
      <c r="B3564" s="2" t="s">
        <v>7433</v>
      </c>
      <c r="C3564" s="8">
        <v>46247</v>
      </c>
      <c r="D3564" s="6">
        <v>46235</v>
      </c>
      <c r="E3564" s="2" t="s">
        <v>260</v>
      </c>
      <c r="F3564" s="2" t="s">
        <v>9757</v>
      </c>
      <c r="G3564" s="6">
        <v>46204</v>
      </c>
      <c r="H3564" s="2" t="s">
        <v>71</v>
      </c>
      <c r="I3564" s="2" t="s">
        <v>76</v>
      </c>
      <c r="J3564" s="9">
        <v>225039774.19354901</v>
      </c>
      <c r="K3564" s="7">
        <v>6.1500000000000004E-5</v>
      </c>
      <c r="L3564" s="9">
        <v>13839.95</v>
      </c>
      <c r="M3564" s="9">
        <v>13952.47</v>
      </c>
      <c r="N3564" s="9">
        <v>7.61</v>
      </c>
      <c r="O3564" s="10">
        <f>IF(AND(OR(H3564="APPROVED",H3564="SCHEDULED"),COUNTIFS(tblSource[EventID],F3564,tblSource[ReleaseStatus],"APPROVED")=1,COUNTIFS(Period_Status!$A$2:$A$8,G3564,Period_Status!$B$2:$B$8,"ActualClosed")=1,C3564&gt;EOMONTH(Settlement_Bridge!$C$2,0)),1,0)</f>
        <v>1</v>
      </c>
      <c r="P3564" s="2" t="s">
        <v>9760</v>
      </c>
    </row>
    <row r="3565" spans="1:16" x14ac:dyDescent="0.25">
      <c r="A3565" s="2" t="s">
        <v>9761</v>
      </c>
      <c r="B3565" s="2" t="s">
        <v>7433</v>
      </c>
      <c r="C3565" s="8">
        <v>46223</v>
      </c>
      <c r="D3565" s="6">
        <v>46204</v>
      </c>
      <c r="E3565" s="2" t="s">
        <v>260</v>
      </c>
      <c r="F3565" s="2" t="s">
        <v>9762</v>
      </c>
      <c r="G3565" s="6">
        <v>46204</v>
      </c>
      <c r="H3565" s="2" t="s">
        <v>71</v>
      </c>
      <c r="I3565" s="2" t="s">
        <v>70</v>
      </c>
      <c r="J3565" s="9">
        <v>14304.516717</v>
      </c>
      <c r="K3565" s="7">
        <v>0.65800000000000003</v>
      </c>
      <c r="L3565" s="9">
        <v>9412.3700000000008</v>
      </c>
      <c r="M3565" s="9">
        <v>9412.3700000000008</v>
      </c>
      <c r="N3565" s="9">
        <v>5.18</v>
      </c>
      <c r="O3565" s="10">
        <f>IF(AND(OR(H3565="APPROVED",H3565="SCHEDULED"),COUNTIFS(tblSource[EventID],F3565,tblSource[ReleaseStatus],"APPROVED")=1,COUNTIFS(Period_Status!$A$2:$A$8,G3565,Period_Status!$B$2:$B$8,"ActualClosed")=1,C3565&gt;EOMONTH(Settlement_Bridge!$C$2,0)),1,0)</f>
        <v>0</v>
      </c>
      <c r="P3565" s="2" t="s">
        <v>9763</v>
      </c>
    </row>
    <row r="3566" spans="1:16" x14ac:dyDescent="0.25">
      <c r="A3566" s="2" t="s">
        <v>9764</v>
      </c>
      <c r="B3566" s="2" t="s">
        <v>7433</v>
      </c>
      <c r="C3566" s="8">
        <v>46248</v>
      </c>
      <c r="D3566" s="6">
        <v>46235</v>
      </c>
      <c r="E3566" s="2" t="s">
        <v>260</v>
      </c>
      <c r="F3566" s="2" t="s">
        <v>9762</v>
      </c>
      <c r="G3566" s="6">
        <v>46204</v>
      </c>
      <c r="H3566" s="2" t="s">
        <v>71</v>
      </c>
      <c r="I3566" s="2" t="s">
        <v>70</v>
      </c>
      <c r="J3566" s="9">
        <v>21456.775076000002</v>
      </c>
      <c r="K3566" s="7">
        <v>0.65</v>
      </c>
      <c r="L3566" s="9">
        <v>13946.9</v>
      </c>
      <c r="M3566" s="9">
        <v>14118.56</v>
      </c>
      <c r="N3566" s="9">
        <v>7.67</v>
      </c>
      <c r="O3566" s="10">
        <f>IF(AND(OR(H3566="APPROVED",H3566="SCHEDULED"),COUNTIFS(tblSource[EventID],F3566,tblSource[ReleaseStatus],"APPROVED")=1,COUNTIFS(Period_Status!$A$2:$A$8,G3566,Period_Status!$B$2:$B$8,"ActualClosed")=1,C3566&gt;EOMONTH(Settlement_Bridge!$C$2,0)),1,0)</f>
        <v>1</v>
      </c>
      <c r="P3566" s="2" t="s">
        <v>9765</v>
      </c>
    </row>
    <row r="3567" spans="1:16" x14ac:dyDescent="0.25">
      <c r="A3567" s="2" t="s">
        <v>9766</v>
      </c>
      <c r="B3567" s="2" t="s">
        <v>7433</v>
      </c>
      <c r="C3567" s="8">
        <v>46224</v>
      </c>
      <c r="D3567" s="6">
        <v>46204</v>
      </c>
      <c r="E3567" s="2" t="s">
        <v>260</v>
      </c>
      <c r="F3567" s="2" t="s">
        <v>9767</v>
      </c>
      <c r="G3567" s="6">
        <v>46204</v>
      </c>
      <c r="H3567" s="2" t="s">
        <v>71</v>
      </c>
      <c r="I3567" s="2" t="s">
        <v>39</v>
      </c>
      <c r="J3567" s="9">
        <v>563.096</v>
      </c>
      <c r="K3567" s="7">
        <v>1</v>
      </c>
      <c r="L3567" s="9">
        <v>563.1</v>
      </c>
      <c r="M3567" s="9">
        <v>563.1</v>
      </c>
      <c r="N3567" s="9">
        <v>1.8</v>
      </c>
      <c r="O3567" s="10">
        <f>IF(AND(OR(H3567="APPROVED",H3567="SCHEDULED"),COUNTIFS(tblSource[EventID],F3567,tblSource[ReleaseStatus],"APPROVED")=1,COUNTIFS(Period_Status!$A$2:$A$8,G3567,Period_Status!$B$2:$B$8,"ActualClosed")=1,C3567&gt;EOMONTH(Settlement_Bridge!$C$2,0)),1,0)</f>
        <v>0</v>
      </c>
      <c r="P3567" s="2" t="s">
        <v>9768</v>
      </c>
    </row>
    <row r="3568" spans="1:16" x14ac:dyDescent="0.25">
      <c r="A3568" s="2" t="s">
        <v>9769</v>
      </c>
      <c r="B3568" s="2" t="s">
        <v>7433</v>
      </c>
      <c r="C3568" s="8">
        <v>46249</v>
      </c>
      <c r="D3568" s="6">
        <v>46235</v>
      </c>
      <c r="E3568" s="2" t="s">
        <v>260</v>
      </c>
      <c r="F3568" s="2" t="s">
        <v>9767</v>
      </c>
      <c r="G3568" s="6">
        <v>46204</v>
      </c>
      <c r="H3568" s="2" t="s">
        <v>71</v>
      </c>
      <c r="I3568" s="2" t="s">
        <v>39</v>
      </c>
      <c r="J3568" s="9">
        <v>844.64400000000001</v>
      </c>
      <c r="K3568" s="7">
        <v>1</v>
      </c>
      <c r="L3568" s="9">
        <v>844.64</v>
      </c>
      <c r="M3568" s="9">
        <v>844.64</v>
      </c>
      <c r="N3568" s="9">
        <v>1.8</v>
      </c>
      <c r="O3568" s="10">
        <f>IF(AND(OR(H3568="APPROVED",H3568="SCHEDULED"),COUNTIFS(tblSource[EventID],F3568,tblSource[ReleaseStatus],"APPROVED")=1,COUNTIFS(Period_Status!$A$2:$A$8,G3568,Period_Status!$B$2:$B$8,"ActualClosed")=1,C3568&gt;EOMONTH(Settlement_Bridge!$C$2,0)),1,0)</f>
        <v>1</v>
      </c>
      <c r="P3568" s="2" t="s">
        <v>9770</v>
      </c>
    </row>
    <row r="3569" spans="1:16" x14ac:dyDescent="0.25">
      <c r="A3569" s="2" t="s">
        <v>9771</v>
      </c>
      <c r="B3569" s="2" t="s">
        <v>7433</v>
      </c>
      <c r="C3569" s="8">
        <v>46225</v>
      </c>
      <c r="D3569" s="6">
        <v>46204</v>
      </c>
      <c r="E3569" s="2" t="s">
        <v>260</v>
      </c>
      <c r="F3569" s="2" t="s">
        <v>9772</v>
      </c>
      <c r="G3569" s="6">
        <v>46204</v>
      </c>
      <c r="H3569" s="2" t="s">
        <v>71</v>
      </c>
      <c r="I3569" s="2" t="s">
        <v>76</v>
      </c>
      <c r="J3569" s="9">
        <v>10868129.032258</v>
      </c>
      <c r="K3569" s="7">
        <v>6.2000000000000003E-5</v>
      </c>
      <c r="L3569" s="9">
        <v>673.82</v>
      </c>
      <c r="M3569" s="9">
        <v>673.82</v>
      </c>
      <c r="N3569" s="9">
        <v>1.8</v>
      </c>
      <c r="O3569" s="10">
        <f>IF(AND(OR(H3569="APPROVED",H3569="SCHEDULED"),COUNTIFS(tblSource[EventID],F3569,tblSource[ReleaseStatus],"APPROVED")=1,COUNTIFS(Period_Status!$A$2:$A$8,G3569,Period_Status!$B$2:$B$8,"ActualClosed")=1,C3569&gt;EOMONTH(Settlement_Bridge!$C$2,0)),1,0)</f>
        <v>0</v>
      </c>
      <c r="P3569" s="2" t="s">
        <v>9773</v>
      </c>
    </row>
    <row r="3570" spans="1:16" x14ac:dyDescent="0.25">
      <c r="A3570" s="2" t="s">
        <v>9774</v>
      </c>
      <c r="B3570" s="2" t="s">
        <v>7433</v>
      </c>
      <c r="C3570" s="8">
        <v>46250</v>
      </c>
      <c r="D3570" s="6">
        <v>46235</v>
      </c>
      <c r="E3570" s="2" t="s">
        <v>260</v>
      </c>
      <c r="F3570" s="2" t="s">
        <v>9772</v>
      </c>
      <c r="G3570" s="6">
        <v>46204</v>
      </c>
      <c r="H3570" s="2" t="s">
        <v>71</v>
      </c>
      <c r="I3570" s="2" t="s">
        <v>76</v>
      </c>
      <c r="J3570" s="9">
        <v>16302193.548387</v>
      </c>
      <c r="K3570" s="7">
        <v>6.1500000000000004E-5</v>
      </c>
      <c r="L3570" s="9">
        <v>1002.58</v>
      </c>
      <c r="M3570" s="9">
        <v>1010.74</v>
      </c>
      <c r="N3570" s="9">
        <v>1.8</v>
      </c>
      <c r="O3570" s="10">
        <f>IF(AND(OR(H3570="APPROVED",H3570="SCHEDULED"),COUNTIFS(tblSource[EventID],F3570,tblSource[ReleaseStatus],"APPROVED")=1,COUNTIFS(Period_Status!$A$2:$A$8,G3570,Period_Status!$B$2:$B$8,"ActualClosed")=1,C3570&gt;EOMONTH(Settlement_Bridge!$C$2,0)),1,0)</f>
        <v>1</v>
      </c>
      <c r="P3570" s="2" t="s">
        <v>9775</v>
      </c>
    </row>
    <row r="3571" spans="1:16" x14ac:dyDescent="0.25">
      <c r="A3571" s="2" t="s">
        <v>9776</v>
      </c>
      <c r="B3571" s="2" t="s">
        <v>7433</v>
      </c>
      <c r="C3571" s="8">
        <v>46226</v>
      </c>
      <c r="D3571" s="6">
        <v>46204</v>
      </c>
      <c r="E3571" s="2" t="s">
        <v>260</v>
      </c>
      <c r="F3571" s="2" t="s">
        <v>9777</v>
      </c>
      <c r="G3571" s="6">
        <v>46204</v>
      </c>
      <c r="H3571" s="2" t="s">
        <v>71</v>
      </c>
      <c r="I3571" s="2" t="s">
        <v>70</v>
      </c>
      <c r="J3571" s="9">
        <v>1192.3221880000001</v>
      </c>
      <c r="K3571" s="7">
        <v>0.65800000000000003</v>
      </c>
      <c r="L3571" s="9">
        <v>784.55</v>
      </c>
      <c r="M3571" s="9">
        <v>784.55</v>
      </c>
      <c r="N3571" s="9">
        <v>1.8</v>
      </c>
      <c r="O3571" s="10">
        <f>IF(AND(OR(H3571="APPROVED",H3571="SCHEDULED"),COUNTIFS(tblSource[EventID],F3571,tblSource[ReleaseStatus],"APPROVED")=1,COUNTIFS(Period_Status!$A$2:$A$8,G3571,Period_Status!$B$2:$B$8,"ActualClosed")=1,C3571&gt;EOMONTH(Settlement_Bridge!$C$2,0)),1,0)</f>
        <v>0</v>
      </c>
      <c r="P3571" s="2" t="s">
        <v>9778</v>
      </c>
    </row>
    <row r="3572" spans="1:16" x14ac:dyDescent="0.25">
      <c r="A3572" s="2" t="s">
        <v>9779</v>
      </c>
      <c r="B3572" s="2" t="s">
        <v>7433</v>
      </c>
      <c r="C3572" s="8">
        <v>46251</v>
      </c>
      <c r="D3572" s="6">
        <v>46235</v>
      </c>
      <c r="E3572" s="2" t="s">
        <v>260</v>
      </c>
      <c r="F3572" s="2" t="s">
        <v>9777</v>
      </c>
      <c r="G3572" s="6">
        <v>46204</v>
      </c>
      <c r="H3572" s="2" t="s">
        <v>71</v>
      </c>
      <c r="I3572" s="2" t="s">
        <v>70</v>
      </c>
      <c r="J3572" s="9">
        <v>1788.483283</v>
      </c>
      <c r="K3572" s="7">
        <v>0.65</v>
      </c>
      <c r="L3572" s="9">
        <v>1162.51</v>
      </c>
      <c r="M3572" s="9">
        <v>1176.82</v>
      </c>
      <c r="N3572" s="9">
        <v>1.8</v>
      </c>
      <c r="O3572" s="10">
        <f>IF(AND(OR(H3572="APPROVED",H3572="SCHEDULED"),COUNTIFS(tblSource[EventID],F3572,tblSource[ReleaseStatus],"APPROVED")=1,COUNTIFS(Period_Status!$A$2:$A$8,G3572,Period_Status!$B$2:$B$8,"ActualClosed")=1,C3572&gt;EOMONTH(Settlement_Bridge!$C$2,0)),1,0)</f>
        <v>1</v>
      </c>
      <c r="P3572" s="2" t="s">
        <v>9780</v>
      </c>
    </row>
    <row r="3573" spans="1:16" x14ac:dyDescent="0.25">
      <c r="A3573" s="2" t="s">
        <v>9781</v>
      </c>
      <c r="B3573" s="2" t="s">
        <v>7433</v>
      </c>
      <c r="C3573" s="8">
        <v>46227</v>
      </c>
      <c r="D3573" s="6">
        <v>46204</v>
      </c>
      <c r="E3573" s="2" t="s">
        <v>260</v>
      </c>
      <c r="F3573" s="2" t="s">
        <v>9782</v>
      </c>
      <c r="G3573" s="6">
        <v>46204</v>
      </c>
      <c r="H3573" s="2" t="s">
        <v>71</v>
      </c>
      <c r="I3573" s="2" t="s">
        <v>39</v>
      </c>
      <c r="J3573" s="9">
        <v>895.27599999999995</v>
      </c>
      <c r="K3573" s="7">
        <v>1</v>
      </c>
      <c r="L3573" s="9">
        <v>895.28</v>
      </c>
      <c r="M3573" s="9">
        <v>895.28</v>
      </c>
      <c r="N3573" s="9">
        <v>1.8</v>
      </c>
      <c r="O3573" s="10">
        <f>IF(AND(OR(H3573="APPROVED",H3573="SCHEDULED"),COUNTIFS(tblSource[EventID],F3573,tblSource[ReleaseStatus],"APPROVED")=1,COUNTIFS(Period_Status!$A$2:$A$8,G3573,Period_Status!$B$2:$B$8,"ActualClosed")=1,C3573&gt;EOMONTH(Settlement_Bridge!$C$2,0)),1,0)</f>
        <v>0</v>
      </c>
      <c r="P3573" s="2" t="s">
        <v>9783</v>
      </c>
    </row>
    <row r="3574" spans="1:16" x14ac:dyDescent="0.25">
      <c r="A3574" s="2" t="s">
        <v>9784</v>
      </c>
      <c r="B3574" s="2" t="s">
        <v>7433</v>
      </c>
      <c r="C3574" s="8">
        <v>46252</v>
      </c>
      <c r="D3574" s="6">
        <v>46235</v>
      </c>
      <c r="E3574" s="2" t="s">
        <v>260</v>
      </c>
      <c r="F3574" s="2" t="s">
        <v>9782</v>
      </c>
      <c r="G3574" s="6">
        <v>46204</v>
      </c>
      <c r="H3574" s="2" t="s">
        <v>71</v>
      </c>
      <c r="I3574" s="2" t="s">
        <v>39</v>
      </c>
      <c r="J3574" s="9">
        <v>1342.914</v>
      </c>
      <c r="K3574" s="7">
        <v>1</v>
      </c>
      <c r="L3574" s="9">
        <v>1342.91</v>
      </c>
      <c r="M3574" s="9">
        <v>1342.91</v>
      </c>
      <c r="N3574" s="9">
        <v>1.8</v>
      </c>
      <c r="O3574" s="10">
        <f>IF(AND(OR(H3574="APPROVED",H3574="SCHEDULED"),COUNTIFS(tblSource[EventID],F3574,tblSource[ReleaseStatus],"APPROVED")=1,COUNTIFS(Period_Status!$A$2:$A$8,G3574,Period_Status!$B$2:$B$8,"ActualClosed")=1,C3574&gt;EOMONTH(Settlement_Bridge!$C$2,0)),1,0)</f>
        <v>1</v>
      </c>
      <c r="P3574" s="2" t="s">
        <v>9785</v>
      </c>
    </row>
    <row r="3575" spans="1:16" x14ac:dyDescent="0.25">
      <c r="A3575" s="2" t="s">
        <v>9786</v>
      </c>
      <c r="B3575" s="2" t="s">
        <v>7433</v>
      </c>
      <c r="C3575" s="8">
        <v>46228</v>
      </c>
      <c r="D3575" s="6">
        <v>46204</v>
      </c>
      <c r="E3575" s="2" t="s">
        <v>260</v>
      </c>
      <c r="F3575" s="2" t="s">
        <v>9787</v>
      </c>
      <c r="G3575" s="6">
        <v>46204</v>
      </c>
      <c r="H3575" s="2" t="s">
        <v>71</v>
      </c>
      <c r="I3575" s="2" t="s">
        <v>76</v>
      </c>
      <c r="J3575" s="9">
        <v>16225870.967742</v>
      </c>
      <c r="K3575" s="7">
        <v>6.2000000000000003E-5</v>
      </c>
      <c r="L3575" s="9">
        <v>1006</v>
      </c>
      <c r="M3575" s="9">
        <v>1006</v>
      </c>
      <c r="N3575" s="9">
        <v>1.8</v>
      </c>
      <c r="O3575" s="10">
        <f>IF(AND(OR(H3575="APPROVED",H3575="SCHEDULED"),COUNTIFS(tblSource[EventID],F3575,tblSource[ReleaseStatus],"APPROVED")=1,COUNTIFS(Period_Status!$A$2:$A$8,G3575,Period_Status!$B$2:$B$8,"ActualClosed")=1,C3575&gt;EOMONTH(Settlement_Bridge!$C$2,0)),1,0)</f>
        <v>0</v>
      </c>
      <c r="P3575" s="2" t="s">
        <v>9788</v>
      </c>
    </row>
    <row r="3576" spans="1:16" x14ac:dyDescent="0.25">
      <c r="A3576" s="2" t="s">
        <v>9789</v>
      </c>
      <c r="B3576" s="2" t="s">
        <v>7433</v>
      </c>
      <c r="C3576" s="8">
        <v>46253</v>
      </c>
      <c r="D3576" s="6">
        <v>46235</v>
      </c>
      <c r="E3576" s="2" t="s">
        <v>260</v>
      </c>
      <c r="F3576" s="2" t="s">
        <v>9787</v>
      </c>
      <c r="G3576" s="6">
        <v>46204</v>
      </c>
      <c r="H3576" s="2" t="s">
        <v>71</v>
      </c>
      <c r="I3576" s="2" t="s">
        <v>76</v>
      </c>
      <c r="J3576" s="9">
        <v>24338806.451613002</v>
      </c>
      <c r="K3576" s="7">
        <v>6.1500000000000004E-5</v>
      </c>
      <c r="L3576" s="9">
        <v>1496.84</v>
      </c>
      <c r="M3576" s="9">
        <v>1509.01</v>
      </c>
      <c r="N3576" s="9">
        <v>1.8</v>
      </c>
      <c r="O3576" s="10">
        <f>IF(AND(OR(H3576="APPROVED",H3576="SCHEDULED"),COUNTIFS(tblSource[EventID],F3576,tblSource[ReleaseStatus],"APPROVED")=1,COUNTIFS(Period_Status!$A$2:$A$8,G3576,Period_Status!$B$2:$B$8,"ActualClosed")=1,C3576&gt;EOMONTH(Settlement_Bridge!$C$2,0)),1,0)</f>
        <v>1</v>
      </c>
      <c r="P3576" s="2" t="s">
        <v>9790</v>
      </c>
    </row>
    <row r="3577" spans="1:16" x14ac:dyDescent="0.25">
      <c r="A3577" s="2" t="s">
        <v>9791</v>
      </c>
      <c r="B3577" s="2" t="s">
        <v>7433</v>
      </c>
      <c r="C3577" s="8">
        <v>46229</v>
      </c>
      <c r="D3577" s="6">
        <v>46204</v>
      </c>
      <c r="E3577" s="2" t="s">
        <v>260</v>
      </c>
      <c r="F3577" s="2" t="s">
        <v>9792</v>
      </c>
      <c r="G3577" s="6">
        <v>46204</v>
      </c>
      <c r="H3577" s="2" t="s">
        <v>71</v>
      </c>
      <c r="I3577" s="2" t="s">
        <v>70</v>
      </c>
      <c r="J3577" s="9">
        <v>1697.155015</v>
      </c>
      <c r="K3577" s="7">
        <v>0.65800000000000003</v>
      </c>
      <c r="L3577" s="9">
        <v>1116.73</v>
      </c>
      <c r="M3577" s="9">
        <v>1116.73</v>
      </c>
      <c r="N3577" s="9">
        <v>1.8</v>
      </c>
      <c r="O3577" s="10">
        <f>IF(AND(OR(H3577="APPROVED",H3577="SCHEDULED"),COUNTIFS(tblSource[EventID],F3577,tblSource[ReleaseStatus],"APPROVED")=1,COUNTIFS(Period_Status!$A$2:$A$8,G3577,Period_Status!$B$2:$B$8,"ActualClosed")=1,C3577&gt;EOMONTH(Settlement_Bridge!$C$2,0)),1,0)</f>
        <v>0</v>
      </c>
      <c r="P3577" s="2" t="s">
        <v>9793</v>
      </c>
    </row>
    <row r="3578" spans="1:16" x14ac:dyDescent="0.25">
      <c r="A3578" s="2" t="s">
        <v>9794</v>
      </c>
      <c r="B3578" s="2" t="s">
        <v>7433</v>
      </c>
      <c r="C3578" s="8">
        <v>46254</v>
      </c>
      <c r="D3578" s="6">
        <v>46235</v>
      </c>
      <c r="E3578" s="2" t="s">
        <v>260</v>
      </c>
      <c r="F3578" s="2" t="s">
        <v>9792</v>
      </c>
      <c r="G3578" s="6">
        <v>46204</v>
      </c>
      <c r="H3578" s="2" t="s">
        <v>71</v>
      </c>
      <c r="I3578" s="2" t="s">
        <v>70</v>
      </c>
      <c r="J3578" s="9">
        <v>2545.7325230000001</v>
      </c>
      <c r="K3578" s="7">
        <v>0.65</v>
      </c>
      <c r="L3578" s="9">
        <v>1654.73</v>
      </c>
      <c r="M3578" s="9">
        <v>1675.09</v>
      </c>
      <c r="N3578" s="9">
        <v>1.8</v>
      </c>
      <c r="O3578" s="10">
        <f>IF(AND(OR(H3578="APPROVED",H3578="SCHEDULED"),COUNTIFS(tblSource[EventID],F3578,tblSource[ReleaseStatus],"APPROVED")=1,COUNTIFS(Period_Status!$A$2:$A$8,G3578,Period_Status!$B$2:$B$8,"ActualClosed")=1,C3578&gt;EOMONTH(Settlement_Bridge!$C$2,0)),1,0)</f>
        <v>1</v>
      </c>
      <c r="P3578" s="2" t="s">
        <v>9795</v>
      </c>
    </row>
    <row r="3579" spans="1:16" x14ac:dyDescent="0.25">
      <c r="A3579" s="2" t="s">
        <v>9796</v>
      </c>
      <c r="B3579" s="2" t="s">
        <v>7433</v>
      </c>
      <c r="C3579" s="8">
        <v>46230</v>
      </c>
      <c r="D3579" s="6">
        <v>46204</v>
      </c>
      <c r="E3579" s="2" t="s">
        <v>260</v>
      </c>
      <c r="F3579" s="2" t="s">
        <v>9797</v>
      </c>
      <c r="G3579" s="6">
        <v>46204</v>
      </c>
      <c r="H3579" s="2" t="s">
        <v>71</v>
      </c>
      <c r="I3579" s="2" t="s">
        <v>39</v>
      </c>
      <c r="J3579" s="9">
        <v>1227.4559999999999</v>
      </c>
      <c r="K3579" s="7">
        <v>1</v>
      </c>
      <c r="L3579" s="9">
        <v>1227.46</v>
      </c>
      <c r="M3579" s="9">
        <v>1227.46</v>
      </c>
      <c r="N3579" s="9">
        <v>1.8</v>
      </c>
      <c r="O3579" s="10">
        <f>IF(AND(OR(H3579="APPROVED",H3579="SCHEDULED"),COUNTIFS(tblSource[EventID],F3579,tblSource[ReleaseStatus],"APPROVED")=1,COUNTIFS(Period_Status!$A$2:$A$8,G3579,Period_Status!$B$2:$B$8,"ActualClosed")=1,C3579&gt;EOMONTH(Settlement_Bridge!$C$2,0)),1,0)</f>
        <v>0</v>
      </c>
      <c r="P3579" s="2" t="s">
        <v>9798</v>
      </c>
    </row>
    <row r="3580" spans="1:16" x14ac:dyDescent="0.25">
      <c r="A3580" s="2" t="s">
        <v>9799</v>
      </c>
      <c r="B3580" s="2" t="s">
        <v>7433</v>
      </c>
      <c r="C3580" s="8">
        <v>46255</v>
      </c>
      <c r="D3580" s="6">
        <v>46235</v>
      </c>
      <c r="E3580" s="2" t="s">
        <v>260</v>
      </c>
      <c r="F3580" s="2" t="s">
        <v>9797</v>
      </c>
      <c r="G3580" s="6">
        <v>46204</v>
      </c>
      <c r="H3580" s="2" t="s">
        <v>71</v>
      </c>
      <c r="I3580" s="2" t="s">
        <v>39</v>
      </c>
      <c r="J3580" s="9">
        <v>1841.184</v>
      </c>
      <c r="K3580" s="7">
        <v>1</v>
      </c>
      <c r="L3580" s="9">
        <v>1841.18</v>
      </c>
      <c r="M3580" s="9">
        <v>1841.18</v>
      </c>
      <c r="N3580" s="9">
        <v>1.8</v>
      </c>
      <c r="O3580" s="10">
        <f>IF(AND(OR(H3580="APPROVED",H3580="SCHEDULED"),COUNTIFS(tblSource[EventID],F3580,tblSource[ReleaseStatus],"APPROVED")=1,COUNTIFS(Period_Status!$A$2:$A$8,G3580,Period_Status!$B$2:$B$8,"ActualClosed")=1,C3580&gt;EOMONTH(Settlement_Bridge!$C$2,0)),1,0)</f>
        <v>1</v>
      </c>
      <c r="P3580" s="2" t="s">
        <v>9800</v>
      </c>
    </row>
    <row r="3581" spans="1:16" x14ac:dyDescent="0.25">
      <c r="A3581" s="2" t="s">
        <v>9801</v>
      </c>
      <c r="B3581" s="2" t="s">
        <v>7433</v>
      </c>
      <c r="C3581" s="8">
        <v>46231</v>
      </c>
      <c r="D3581" s="6">
        <v>46204</v>
      </c>
      <c r="E3581" s="2" t="s">
        <v>260</v>
      </c>
      <c r="F3581" s="2" t="s">
        <v>9802</v>
      </c>
      <c r="G3581" s="6">
        <v>46204</v>
      </c>
      <c r="H3581" s="2" t="s">
        <v>71</v>
      </c>
      <c r="I3581" s="2" t="s">
        <v>76</v>
      </c>
      <c r="J3581" s="9">
        <v>21583612.903225999</v>
      </c>
      <c r="K3581" s="7">
        <v>6.2000000000000003E-5</v>
      </c>
      <c r="L3581" s="9">
        <v>1338.18</v>
      </c>
      <c r="M3581" s="9">
        <v>1338.18</v>
      </c>
      <c r="N3581" s="9">
        <v>1.8</v>
      </c>
      <c r="O3581" s="10">
        <f>IF(AND(OR(H3581="APPROVED",H3581="SCHEDULED"),COUNTIFS(tblSource[EventID],F3581,tblSource[ReleaseStatus],"APPROVED")=1,COUNTIFS(Period_Status!$A$2:$A$8,G3581,Period_Status!$B$2:$B$8,"ActualClosed")=1,C3581&gt;EOMONTH(Settlement_Bridge!$C$2,0)),1,0)</f>
        <v>0</v>
      </c>
      <c r="P3581" s="2" t="s">
        <v>9803</v>
      </c>
    </row>
    <row r="3582" spans="1:16" x14ac:dyDescent="0.25">
      <c r="A3582" s="2" t="s">
        <v>9804</v>
      </c>
      <c r="B3582" s="2" t="s">
        <v>7433</v>
      </c>
      <c r="C3582" s="8">
        <v>46256</v>
      </c>
      <c r="D3582" s="6">
        <v>46235</v>
      </c>
      <c r="E3582" s="2" t="s">
        <v>260</v>
      </c>
      <c r="F3582" s="2" t="s">
        <v>9802</v>
      </c>
      <c r="G3582" s="6">
        <v>46204</v>
      </c>
      <c r="H3582" s="2" t="s">
        <v>71</v>
      </c>
      <c r="I3582" s="2" t="s">
        <v>76</v>
      </c>
      <c r="J3582" s="9">
        <v>32375419.354839001</v>
      </c>
      <c r="K3582" s="7">
        <v>6.1500000000000004E-5</v>
      </c>
      <c r="L3582" s="9">
        <v>1991.09</v>
      </c>
      <c r="M3582" s="9">
        <v>2007.28</v>
      </c>
      <c r="N3582" s="9">
        <v>1.8</v>
      </c>
      <c r="O3582" s="10">
        <f>IF(AND(OR(H3582="APPROVED",H3582="SCHEDULED"),COUNTIFS(tblSource[EventID],F3582,tblSource[ReleaseStatus],"APPROVED")=1,COUNTIFS(Period_Status!$A$2:$A$8,G3582,Period_Status!$B$2:$B$8,"ActualClosed")=1,C3582&gt;EOMONTH(Settlement_Bridge!$C$2,0)),1,0)</f>
        <v>1</v>
      </c>
      <c r="P3582" s="2" t="s">
        <v>9805</v>
      </c>
    </row>
    <row r="3583" spans="1:16" x14ac:dyDescent="0.25">
      <c r="A3583" s="2" t="s">
        <v>9806</v>
      </c>
      <c r="B3583" s="2" t="s">
        <v>7433</v>
      </c>
      <c r="C3583" s="8">
        <v>46232</v>
      </c>
      <c r="D3583" s="6">
        <v>46204</v>
      </c>
      <c r="E3583" s="2" t="s">
        <v>260</v>
      </c>
      <c r="F3583" s="2" t="s">
        <v>9807</v>
      </c>
      <c r="G3583" s="6">
        <v>46204</v>
      </c>
      <c r="H3583" s="2" t="s">
        <v>71</v>
      </c>
      <c r="I3583" s="2" t="s">
        <v>70</v>
      </c>
      <c r="J3583" s="9">
        <v>2201.987842</v>
      </c>
      <c r="K3583" s="7">
        <v>0.65800000000000003</v>
      </c>
      <c r="L3583" s="9">
        <v>1448.91</v>
      </c>
      <c r="M3583" s="9">
        <v>1448.91</v>
      </c>
      <c r="N3583" s="9">
        <v>1.8</v>
      </c>
      <c r="O3583" s="10">
        <f>IF(AND(OR(H3583="APPROVED",H3583="SCHEDULED"),COUNTIFS(tblSource[EventID],F3583,tblSource[ReleaseStatus],"APPROVED")=1,COUNTIFS(Period_Status!$A$2:$A$8,G3583,Period_Status!$B$2:$B$8,"ActualClosed")=1,C3583&gt;EOMONTH(Settlement_Bridge!$C$2,0)),1,0)</f>
        <v>0</v>
      </c>
      <c r="P3583" s="2" t="s">
        <v>9808</v>
      </c>
    </row>
    <row r="3584" spans="1:16" x14ac:dyDescent="0.25">
      <c r="A3584" s="2" t="s">
        <v>9809</v>
      </c>
      <c r="B3584" s="2" t="s">
        <v>7433</v>
      </c>
      <c r="C3584" s="8">
        <v>46257</v>
      </c>
      <c r="D3584" s="6">
        <v>46235</v>
      </c>
      <c r="E3584" s="2" t="s">
        <v>260</v>
      </c>
      <c r="F3584" s="2" t="s">
        <v>9807</v>
      </c>
      <c r="G3584" s="6">
        <v>46204</v>
      </c>
      <c r="H3584" s="2" t="s">
        <v>71</v>
      </c>
      <c r="I3584" s="2" t="s">
        <v>70</v>
      </c>
      <c r="J3584" s="9">
        <v>3302.9817629999998</v>
      </c>
      <c r="K3584" s="7">
        <v>0.65</v>
      </c>
      <c r="L3584" s="9">
        <v>2146.94</v>
      </c>
      <c r="M3584" s="9">
        <v>2173.36</v>
      </c>
      <c r="N3584" s="9">
        <v>1.8</v>
      </c>
      <c r="O3584" s="10">
        <f>IF(AND(OR(H3584="APPROVED",H3584="SCHEDULED"),COUNTIFS(tblSource[EventID],F3584,tblSource[ReleaseStatus],"APPROVED")=1,COUNTIFS(Period_Status!$A$2:$A$8,G3584,Period_Status!$B$2:$B$8,"ActualClosed")=1,C3584&gt;EOMONTH(Settlement_Bridge!$C$2,0)),1,0)</f>
        <v>1</v>
      </c>
      <c r="P3584" s="2" t="s">
        <v>9810</v>
      </c>
    </row>
    <row r="3585" spans="1:16" x14ac:dyDescent="0.25">
      <c r="A3585" s="2" t="s">
        <v>9811</v>
      </c>
      <c r="B3585" s="2" t="s">
        <v>7433</v>
      </c>
      <c r="C3585" s="8">
        <v>46233</v>
      </c>
      <c r="D3585" s="6">
        <v>46204</v>
      </c>
      <c r="E3585" s="2" t="s">
        <v>260</v>
      </c>
      <c r="F3585" s="2" t="s">
        <v>9812</v>
      </c>
      <c r="G3585" s="6">
        <v>46204</v>
      </c>
      <c r="H3585" s="2" t="s">
        <v>71</v>
      </c>
      <c r="I3585" s="2" t="s">
        <v>39</v>
      </c>
      <c r="J3585" s="9">
        <v>1559.636</v>
      </c>
      <c r="K3585" s="7">
        <v>1</v>
      </c>
      <c r="L3585" s="9">
        <v>1559.64</v>
      </c>
      <c r="M3585" s="9">
        <v>1559.64</v>
      </c>
      <c r="N3585" s="9">
        <v>1.8</v>
      </c>
      <c r="O3585" s="10">
        <f>IF(AND(OR(H3585="APPROVED",H3585="SCHEDULED"),COUNTIFS(tblSource[EventID],F3585,tblSource[ReleaseStatus],"APPROVED")=1,COUNTIFS(Period_Status!$A$2:$A$8,G3585,Period_Status!$B$2:$B$8,"ActualClosed")=1,C3585&gt;EOMONTH(Settlement_Bridge!$C$2,0)),1,0)</f>
        <v>0</v>
      </c>
      <c r="P3585" s="2" t="s">
        <v>9813</v>
      </c>
    </row>
    <row r="3586" spans="1:16" x14ac:dyDescent="0.25">
      <c r="A3586" s="2" t="s">
        <v>9814</v>
      </c>
      <c r="B3586" s="2" t="s">
        <v>7433</v>
      </c>
      <c r="C3586" s="8">
        <v>46258</v>
      </c>
      <c r="D3586" s="6">
        <v>46235</v>
      </c>
      <c r="E3586" s="2" t="s">
        <v>260</v>
      </c>
      <c r="F3586" s="2" t="s">
        <v>9812</v>
      </c>
      <c r="G3586" s="6">
        <v>46204</v>
      </c>
      <c r="H3586" s="2" t="s">
        <v>71</v>
      </c>
      <c r="I3586" s="2" t="s">
        <v>39</v>
      </c>
      <c r="J3586" s="9">
        <v>2339.4540000000002</v>
      </c>
      <c r="K3586" s="7">
        <v>1</v>
      </c>
      <c r="L3586" s="9">
        <v>2339.4499999999998</v>
      </c>
      <c r="M3586" s="9">
        <v>2339.4499999999998</v>
      </c>
      <c r="N3586" s="9">
        <v>1.8</v>
      </c>
      <c r="O3586" s="10">
        <f>IF(AND(OR(H3586="APPROVED",H3586="SCHEDULED"),COUNTIFS(tblSource[EventID],F3586,tblSource[ReleaseStatus],"APPROVED")=1,COUNTIFS(Period_Status!$A$2:$A$8,G3586,Period_Status!$B$2:$B$8,"ActualClosed")=1,C3586&gt;EOMONTH(Settlement_Bridge!$C$2,0)),1,0)</f>
        <v>1</v>
      </c>
      <c r="P3586" s="2" t="s">
        <v>9815</v>
      </c>
    </row>
    <row r="3587" spans="1:16" x14ac:dyDescent="0.25">
      <c r="A3587" s="2" t="s">
        <v>9816</v>
      </c>
      <c r="B3587" s="2" t="s">
        <v>7433</v>
      </c>
      <c r="C3587" s="8">
        <v>46234</v>
      </c>
      <c r="D3587" s="6">
        <v>46204</v>
      </c>
      <c r="E3587" s="2" t="s">
        <v>260</v>
      </c>
      <c r="F3587" s="2" t="s">
        <v>9817</v>
      </c>
      <c r="G3587" s="6">
        <v>46204</v>
      </c>
      <c r="H3587" s="2" t="s">
        <v>71</v>
      </c>
      <c r="I3587" s="2" t="s">
        <v>76</v>
      </c>
      <c r="J3587" s="9">
        <v>26941290.322581001</v>
      </c>
      <c r="K3587" s="7">
        <v>6.2000000000000003E-5</v>
      </c>
      <c r="L3587" s="9">
        <v>1670.36</v>
      </c>
      <c r="M3587" s="9">
        <v>1670.36</v>
      </c>
      <c r="N3587" s="9">
        <v>1.8</v>
      </c>
      <c r="O3587" s="10">
        <f>IF(AND(OR(H3587="APPROVED",H3587="SCHEDULED"),COUNTIFS(tblSource[EventID],F3587,tblSource[ReleaseStatus],"APPROVED")=1,COUNTIFS(Period_Status!$A$2:$A$8,G3587,Period_Status!$B$2:$B$8,"ActualClosed")=1,C3587&gt;EOMONTH(Settlement_Bridge!$C$2,0)),1,0)</f>
        <v>0</v>
      </c>
      <c r="P3587" s="2" t="s">
        <v>9818</v>
      </c>
    </row>
    <row r="3588" spans="1:16" x14ac:dyDescent="0.25">
      <c r="A3588" s="2" t="s">
        <v>9819</v>
      </c>
      <c r="B3588" s="2" t="s">
        <v>7433</v>
      </c>
      <c r="C3588" s="8">
        <v>46259</v>
      </c>
      <c r="D3588" s="6">
        <v>46235</v>
      </c>
      <c r="E3588" s="2" t="s">
        <v>260</v>
      </c>
      <c r="F3588" s="2" t="s">
        <v>9817</v>
      </c>
      <c r="G3588" s="6">
        <v>46204</v>
      </c>
      <c r="H3588" s="2" t="s">
        <v>71</v>
      </c>
      <c r="I3588" s="2" t="s">
        <v>76</v>
      </c>
      <c r="J3588" s="9">
        <v>40411935.483870998</v>
      </c>
      <c r="K3588" s="7">
        <v>6.1500000000000004E-5</v>
      </c>
      <c r="L3588" s="9">
        <v>2485.33</v>
      </c>
      <c r="M3588" s="9">
        <v>2505.54</v>
      </c>
      <c r="N3588" s="9">
        <v>1.8</v>
      </c>
      <c r="O3588" s="10">
        <f>IF(AND(OR(H3588="APPROVED",H3588="SCHEDULED"),COUNTIFS(tblSource[EventID],F3588,tblSource[ReleaseStatus],"APPROVED")=1,COUNTIFS(Period_Status!$A$2:$A$8,G3588,Period_Status!$B$2:$B$8,"ActualClosed")=1,C3588&gt;EOMONTH(Settlement_Bridge!$C$2,0)),1,0)</f>
        <v>1</v>
      </c>
      <c r="P3588" s="2" t="s">
        <v>9820</v>
      </c>
    </row>
    <row r="3589" spans="1:16" x14ac:dyDescent="0.25">
      <c r="A3589" s="2" t="s">
        <v>9821</v>
      </c>
      <c r="B3589" s="2" t="s">
        <v>7433</v>
      </c>
      <c r="C3589" s="8">
        <v>46235</v>
      </c>
      <c r="D3589" s="6">
        <v>46235</v>
      </c>
      <c r="E3589" s="2" t="s">
        <v>260</v>
      </c>
      <c r="F3589" s="2" t="s">
        <v>9822</v>
      </c>
      <c r="G3589" s="6">
        <v>46204</v>
      </c>
      <c r="H3589" s="2" t="s">
        <v>71</v>
      </c>
      <c r="I3589" s="2" t="s">
        <v>70</v>
      </c>
      <c r="J3589" s="9">
        <v>2706.8206690000002</v>
      </c>
      <c r="K3589" s="7">
        <v>0.65</v>
      </c>
      <c r="L3589" s="9">
        <v>1759.43</v>
      </c>
      <c r="M3589" s="9">
        <v>1781.09</v>
      </c>
      <c r="N3589" s="9">
        <v>1.8</v>
      </c>
      <c r="O3589" s="10">
        <f>IF(AND(OR(H3589="APPROVED",H3589="SCHEDULED"),COUNTIFS(tblSource[EventID],F3589,tblSource[ReleaseStatus],"APPROVED")=1,COUNTIFS(Period_Status!$A$2:$A$8,G3589,Period_Status!$B$2:$B$8,"ActualClosed")=1,C3589&gt;EOMONTH(Settlement_Bridge!$C$2,0)),1,0)</f>
        <v>1</v>
      </c>
      <c r="P3589" s="2" t="s">
        <v>9823</v>
      </c>
    </row>
    <row r="3590" spans="1:16" x14ac:dyDescent="0.25">
      <c r="A3590" s="2" t="s">
        <v>9824</v>
      </c>
      <c r="B3590" s="2" t="s">
        <v>7433</v>
      </c>
      <c r="C3590" s="8">
        <v>46260</v>
      </c>
      <c r="D3590" s="6">
        <v>46235</v>
      </c>
      <c r="E3590" s="2" t="s">
        <v>260</v>
      </c>
      <c r="F3590" s="2" t="s">
        <v>9822</v>
      </c>
      <c r="G3590" s="6">
        <v>46204</v>
      </c>
      <c r="H3590" s="2" t="s">
        <v>71</v>
      </c>
      <c r="I3590" s="2" t="s">
        <v>70</v>
      </c>
      <c r="J3590" s="9">
        <v>4060.2310029999999</v>
      </c>
      <c r="K3590" s="7">
        <v>0.65</v>
      </c>
      <c r="L3590" s="9">
        <v>2639.15</v>
      </c>
      <c r="M3590" s="9">
        <v>2671.63</v>
      </c>
      <c r="N3590" s="9">
        <v>1.8</v>
      </c>
      <c r="O3590" s="10">
        <f>IF(AND(OR(H3590="APPROVED",H3590="SCHEDULED"),COUNTIFS(tblSource[EventID],F3590,tblSource[ReleaseStatus],"APPROVED")=1,COUNTIFS(Period_Status!$A$2:$A$8,G3590,Period_Status!$B$2:$B$8,"ActualClosed")=1,C3590&gt;EOMONTH(Settlement_Bridge!$C$2,0)),1,0)</f>
        <v>1</v>
      </c>
      <c r="P3590" s="2" t="s">
        <v>9825</v>
      </c>
    </row>
    <row r="3591" spans="1:16" x14ac:dyDescent="0.25">
      <c r="A3591" s="2" t="s">
        <v>9826</v>
      </c>
      <c r="B3591" s="2" t="s">
        <v>7433</v>
      </c>
      <c r="C3591" s="8">
        <v>46236</v>
      </c>
      <c r="D3591" s="6">
        <v>46235</v>
      </c>
      <c r="E3591" s="2" t="s">
        <v>260</v>
      </c>
      <c r="F3591" s="2" t="s">
        <v>9827</v>
      </c>
      <c r="G3591" s="6">
        <v>46204</v>
      </c>
      <c r="H3591" s="2" t="s">
        <v>71</v>
      </c>
      <c r="I3591" s="2" t="s">
        <v>39</v>
      </c>
      <c r="J3591" s="9">
        <v>1891.816</v>
      </c>
      <c r="K3591" s="7">
        <v>1</v>
      </c>
      <c r="L3591" s="9">
        <v>1891.82</v>
      </c>
      <c r="M3591" s="9">
        <v>1891.82</v>
      </c>
      <c r="N3591" s="9">
        <v>1.8</v>
      </c>
      <c r="O3591" s="10">
        <f>IF(AND(OR(H3591="APPROVED",H3591="SCHEDULED"),COUNTIFS(tblSource[EventID],F3591,tblSource[ReleaseStatus],"APPROVED")=1,COUNTIFS(Period_Status!$A$2:$A$8,G3591,Period_Status!$B$2:$B$8,"ActualClosed")=1,C3591&gt;EOMONTH(Settlement_Bridge!$C$2,0)),1,0)</f>
        <v>1</v>
      </c>
      <c r="P3591" s="2" t="s">
        <v>9828</v>
      </c>
    </row>
    <row r="3592" spans="1:16" x14ac:dyDescent="0.25">
      <c r="A3592" s="2" t="s">
        <v>9829</v>
      </c>
      <c r="B3592" s="2" t="s">
        <v>7433</v>
      </c>
      <c r="C3592" s="8">
        <v>46261</v>
      </c>
      <c r="D3592" s="6">
        <v>46235</v>
      </c>
      <c r="E3592" s="2" t="s">
        <v>260</v>
      </c>
      <c r="F3592" s="2" t="s">
        <v>9827</v>
      </c>
      <c r="G3592" s="6">
        <v>46204</v>
      </c>
      <c r="H3592" s="2" t="s">
        <v>71</v>
      </c>
      <c r="I3592" s="2" t="s">
        <v>39</v>
      </c>
      <c r="J3592" s="9">
        <v>2837.7240000000002</v>
      </c>
      <c r="K3592" s="7">
        <v>1</v>
      </c>
      <c r="L3592" s="9">
        <v>2837.72</v>
      </c>
      <c r="M3592" s="9">
        <v>2837.72</v>
      </c>
      <c r="N3592" s="9">
        <v>1.8</v>
      </c>
      <c r="O3592" s="10">
        <f>IF(AND(OR(H3592="APPROVED",H3592="SCHEDULED"),COUNTIFS(tblSource[EventID],F3592,tblSource[ReleaseStatus],"APPROVED")=1,COUNTIFS(Period_Status!$A$2:$A$8,G3592,Period_Status!$B$2:$B$8,"ActualClosed")=1,C3592&gt;EOMONTH(Settlement_Bridge!$C$2,0)),1,0)</f>
        <v>1</v>
      </c>
      <c r="P3592" s="2" t="s">
        <v>9830</v>
      </c>
    </row>
    <row r="3593" spans="1:16" x14ac:dyDescent="0.25">
      <c r="A3593" s="2" t="s">
        <v>9831</v>
      </c>
      <c r="B3593" s="2" t="s">
        <v>7433</v>
      </c>
      <c r="C3593" s="8">
        <v>46237</v>
      </c>
      <c r="D3593" s="6">
        <v>46235</v>
      </c>
      <c r="E3593" s="2" t="s">
        <v>260</v>
      </c>
      <c r="F3593" s="2" t="s">
        <v>9832</v>
      </c>
      <c r="G3593" s="6">
        <v>46204</v>
      </c>
      <c r="H3593" s="2" t="s">
        <v>71</v>
      </c>
      <c r="I3593" s="2" t="s">
        <v>76</v>
      </c>
      <c r="J3593" s="9">
        <v>32289032.258064002</v>
      </c>
      <c r="K3593" s="7">
        <v>6.1500000000000004E-5</v>
      </c>
      <c r="L3593" s="9">
        <v>1985.78</v>
      </c>
      <c r="M3593" s="9">
        <v>2001.92</v>
      </c>
      <c r="N3593" s="9">
        <v>1.8</v>
      </c>
      <c r="O3593" s="10">
        <f>IF(AND(OR(H3593="APPROVED",H3593="SCHEDULED"),COUNTIFS(tblSource[EventID],F3593,tblSource[ReleaseStatus],"APPROVED")=1,COUNTIFS(Period_Status!$A$2:$A$8,G3593,Period_Status!$B$2:$B$8,"ActualClosed")=1,C3593&gt;EOMONTH(Settlement_Bridge!$C$2,0)),1,0)</f>
        <v>1</v>
      </c>
      <c r="P3593" s="2" t="s">
        <v>9833</v>
      </c>
    </row>
    <row r="3594" spans="1:16" x14ac:dyDescent="0.25">
      <c r="A3594" s="2" t="s">
        <v>9834</v>
      </c>
      <c r="B3594" s="2" t="s">
        <v>7433</v>
      </c>
      <c r="C3594" s="8">
        <v>46262</v>
      </c>
      <c r="D3594" s="6">
        <v>46235</v>
      </c>
      <c r="E3594" s="2" t="s">
        <v>260</v>
      </c>
      <c r="F3594" s="2" t="s">
        <v>9832</v>
      </c>
      <c r="G3594" s="6">
        <v>46204</v>
      </c>
      <c r="H3594" s="2" t="s">
        <v>71</v>
      </c>
      <c r="I3594" s="2" t="s">
        <v>76</v>
      </c>
      <c r="J3594" s="9">
        <v>48433548.387097001</v>
      </c>
      <c r="K3594" s="7">
        <v>6.1500000000000004E-5</v>
      </c>
      <c r="L3594" s="9">
        <v>2978.66</v>
      </c>
      <c r="M3594" s="9">
        <v>3002.88</v>
      </c>
      <c r="N3594" s="9">
        <v>1.8</v>
      </c>
      <c r="O3594" s="10">
        <f>IF(AND(OR(H3594="APPROVED",H3594="SCHEDULED"),COUNTIFS(tblSource[EventID],F3594,tblSource[ReleaseStatus],"APPROVED")=1,COUNTIFS(Period_Status!$A$2:$A$8,G3594,Period_Status!$B$2:$B$8,"ActualClosed")=1,C3594&gt;EOMONTH(Settlement_Bridge!$C$2,0)),1,0)</f>
        <v>1</v>
      </c>
      <c r="P3594" s="2" t="s">
        <v>9835</v>
      </c>
    </row>
    <row r="3595" spans="1:16" x14ac:dyDescent="0.25">
      <c r="A3595" s="2" t="s">
        <v>9836</v>
      </c>
      <c r="B3595" s="2" t="s">
        <v>7433</v>
      </c>
      <c r="C3595" s="8">
        <v>46238</v>
      </c>
      <c r="D3595" s="6">
        <v>46235</v>
      </c>
      <c r="E3595" s="2" t="s">
        <v>260</v>
      </c>
      <c r="F3595" s="2" t="s">
        <v>9837</v>
      </c>
      <c r="G3595" s="6">
        <v>46204</v>
      </c>
      <c r="H3595" s="2" t="s">
        <v>71</v>
      </c>
      <c r="I3595" s="2" t="s">
        <v>70</v>
      </c>
      <c r="J3595" s="9">
        <v>3210.7051670000001</v>
      </c>
      <c r="K3595" s="7">
        <v>0.65</v>
      </c>
      <c r="L3595" s="9">
        <v>2086.96</v>
      </c>
      <c r="M3595" s="9">
        <v>2112.64</v>
      </c>
      <c r="N3595" s="9">
        <v>1.8</v>
      </c>
      <c r="O3595" s="10">
        <f>IF(AND(OR(H3595="APPROVED",H3595="SCHEDULED"),COUNTIFS(tblSource[EventID],F3595,tblSource[ReleaseStatus],"APPROVED")=1,COUNTIFS(Period_Status!$A$2:$A$8,G3595,Period_Status!$B$2:$B$8,"ActualClosed")=1,C3595&gt;EOMONTH(Settlement_Bridge!$C$2,0)),1,0)</f>
        <v>1</v>
      </c>
      <c r="P3595" s="2" t="s">
        <v>9838</v>
      </c>
    </row>
    <row r="3596" spans="1:16" x14ac:dyDescent="0.25">
      <c r="A3596" s="2" t="s">
        <v>9839</v>
      </c>
      <c r="B3596" s="2" t="s">
        <v>7433</v>
      </c>
      <c r="C3596" s="8">
        <v>46263</v>
      </c>
      <c r="D3596" s="6">
        <v>46235</v>
      </c>
      <c r="E3596" s="2" t="s">
        <v>260</v>
      </c>
      <c r="F3596" s="2" t="s">
        <v>9837</v>
      </c>
      <c r="G3596" s="6">
        <v>46204</v>
      </c>
      <c r="H3596" s="2" t="s">
        <v>71</v>
      </c>
      <c r="I3596" s="2" t="s">
        <v>70</v>
      </c>
      <c r="J3596" s="9">
        <v>4816.0577510000003</v>
      </c>
      <c r="K3596" s="7">
        <v>0.65</v>
      </c>
      <c r="L3596" s="9">
        <v>3130.44</v>
      </c>
      <c r="M3596" s="9">
        <v>3168.97</v>
      </c>
      <c r="N3596" s="9">
        <v>1.8</v>
      </c>
      <c r="O3596" s="10">
        <f>IF(AND(OR(H3596="APPROVED",H3596="SCHEDULED"),COUNTIFS(tblSource[EventID],F3596,tblSource[ReleaseStatus],"APPROVED")=1,COUNTIFS(Period_Status!$A$2:$A$8,G3596,Period_Status!$B$2:$B$8,"ActualClosed")=1,C3596&gt;EOMONTH(Settlement_Bridge!$C$2,0)),1,0)</f>
        <v>1</v>
      </c>
      <c r="P3596" s="2" t="s">
        <v>9840</v>
      </c>
    </row>
    <row r="3597" spans="1:16" x14ac:dyDescent="0.25">
      <c r="A3597" s="2" t="s">
        <v>9841</v>
      </c>
      <c r="B3597" s="2" t="s">
        <v>7433</v>
      </c>
      <c r="C3597" s="8">
        <v>46239</v>
      </c>
      <c r="D3597" s="6">
        <v>46235</v>
      </c>
      <c r="E3597" s="2" t="s">
        <v>260</v>
      </c>
      <c r="F3597" s="2" t="s">
        <v>9842</v>
      </c>
      <c r="G3597" s="6">
        <v>46204</v>
      </c>
      <c r="H3597" s="2" t="s">
        <v>71</v>
      </c>
      <c r="I3597" s="2" t="s">
        <v>39</v>
      </c>
      <c r="J3597" s="9">
        <v>2223.3719999999998</v>
      </c>
      <c r="K3597" s="7">
        <v>1</v>
      </c>
      <c r="L3597" s="9">
        <v>2223.37</v>
      </c>
      <c r="M3597" s="9">
        <v>2223.37</v>
      </c>
      <c r="N3597" s="9">
        <v>1.8</v>
      </c>
      <c r="O3597" s="10">
        <f>IF(AND(OR(H3597="APPROVED",H3597="SCHEDULED"),COUNTIFS(tblSource[EventID],F3597,tblSource[ReleaseStatus],"APPROVED")=1,COUNTIFS(Period_Status!$A$2:$A$8,G3597,Period_Status!$B$2:$B$8,"ActualClosed")=1,C3597&gt;EOMONTH(Settlement_Bridge!$C$2,0)),1,0)</f>
        <v>1</v>
      </c>
      <c r="P3597" s="2" t="s">
        <v>9843</v>
      </c>
    </row>
    <row r="3598" spans="1:16" x14ac:dyDescent="0.25">
      <c r="A3598" s="2" t="s">
        <v>9844</v>
      </c>
      <c r="B3598" s="2" t="s">
        <v>7433</v>
      </c>
      <c r="C3598" s="8">
        <v>46264</v>
      </c>
      <c r="D3598" s="6">
        <v>46235</v>
      </c>
      <c r="E3598" s="2" t="s">
        <v>260</v>
      </c>
      <c r="F3598" s="2" t="s">
        <v>9842</v>
      </c>
      <c r="G3598" s="6">
        <v>46204</v>
      </c>
      <c r="H3598" s="2" t="s">
        <v>71</v>
      </c>
      <c r="I3598" s="2" t="s">
        <v>39</v>
      </c>
      <c r="J3598" s="9">
        <v>3335.058</v>
      </c>
      <c r="K3598" s="7">
        <v>1</v>
      </c>
      <c r="L3598" s="9">
        <v>3335.06</v>
      </c>
      <c r="M3598" s="9">
        <v>3335.06</v>
      </c>
      <c r="N3598" s="9">
        <v>1.83</v>
      </c>
      <c r="O3598" s="10">
        <f>IF(AND(OR(H3598="APPROVED",H3598="SCHEDULED"),COUNTIFS(tblSource[EventID],F3598,tblSource[ReleaseStatus],"APPROVED")=1,COUNTIFS(Period_Status!$A$2:$A$8,G3598,Period_Status!$B$2:$B$8,"ActualClosed")=1,C3598&gt;EOMONTH(Settlement_Bridge!$C$2,0)),1,0)</f>
        <v>1</v>
      </c>
      <c r="P3598" s="2" t="s">
        <v>9845</v>
      </c>
    </row>
    <row r="3599" spans="1:16" x14ac:dyDescent="0.25">
      <c r="A3599" s="2" t="s">
        <v>9846</v>
      </c>
      <c r="B3599" s="2" t="s">
        <v>7433</v>
      </c>
      <c r="C3599" s="8">
        <v>46240</v>
      </c>
      <c r="D3599" s="6">
        <v>46235</v>
      </c>
      <c r="E3599" s="2" t="s">
        <v>260</v>
      </c>
      <c r="F3599" s="2" t="s">
        <v>9847</v>
      </c>
      <c r="G3599" s="6">
        <v>46204</v>
      </c>
      <c r="H3599" s="2" t="s">
        <v>71</v>
      </c>
      <c r="I3599" s="2" t="s">
        <v>76</v>
      </c>
      <c r="J3599" s="9">
        <v>37646774.193548001</v>
      </c>
      <c r="K3599" s="7">
        <v>6.1500000000000004E-5</v>
      </c>
      <c r="L3599" s="9">
        <v>2315.2800000000002</v>
      </c>
      <c r="M3599" s="9">
        <v>2334.1</v>
      </c>
      <c r="N3599" s="9">
        <v>1.8</v>
      </c>
      <c r="O3599" s="10">
        <f>IF(AND(OR(H3599="APPROVED",H3599="SCHEDULED"),COUNTIFS(tblSource[EventID],F3599,tblSource[ReleaseStatus],"APPROVED")=1,COUNTIFS(Period_Status!$A$2:$A$8,G3599,Period_Status!$B$2:$B$8,"ActualClosed")=1,C3599&gt;EOMONTH(Settlement_Bridge!$C$2,0)),1,0)</f>
        <v>1</v>
      </c>
      <c r="P3599" s="2" t="s">
        <v>9848</v>
      </c>
    </row>
    <row r="3600" spans="1:16" x14ac:dyDescent="0.25">
      <c r="A3600" s="2" t="s">
        <v>9849</v>
      </c>
      <c r="B3600" s="2" t="s">
        <v>7433</v>
      </c>
      <c r="C3600" s="8">
        <v>46265</v>
      </c>
      <c r="D3600" s="6">
        <v>46235</v>
      </c>
      <c r="E3600" s="2" t="s">
        <v>260</v>
      </c>
      <c r="F3600" s="2" t="s">
        <v>9847</v>
      </c>
      <c r="G3600" s="6">
        <v>46204</v>
      </c>
      <c r="H3600" s="2" t="s">
        <v>71</v>
      </c>
      <c r="I3600" s="2" t="s">
        <v>76</v>
      </c>
      <c r="J3600" s="9">
        <v>56470161.290322997</v>
      </c>
      <c r="K3600" s="7">
        <v>6.1500000000000004E-5</v>
      </c>
      <c r="L3600" s="9">
        <v>3472.91</v>
      </c>
      <c r="M3600" s="9">
        <v>3501.15</v>
      </c>
      <c r="N3600" s="9">
        <v>1.91</v>
      </c>
      <c r="O3600" s="10">
        <f>IF(AND(OR(H3600="APPROVED",H3600="SCHEDULED"),COUNTIFS(tblSource[EventID],F3600,tblSource[ReleaseStatus],"APPROVED")=1,COUNTIFS(Period_Status!$A$2:$A$8,G3600,Period_Status!$B$2:$B$8,"ActualClosed")=1,C3600&gt;EOMONTH(Settlement_Bridge!$C$2,0)),1,0)</f>
        <v>1</v>
      </c>
      <c r="P3600" s="2" t="s">
        <v>9850</v>
      </c>
    </row>
    <row r="3601" spans="1:16" x14ac:dyDescent="0.25">
      <c r="A3601" s="2" t="s">
        <v>9851</v>
      </c>
      <c r="B3601" s="2" t="s">
        <v>7433</v>
      </c>
      <c r="C3601" s="8">
        <v>46241</v>
      </c>
      <c r="D3601" s="6">
        <v>46235</v>
      </c>
      <c r="E3601" s="2" t="s">
        <v>260</v>
      </c>
      <c r="F3601" s="2" t="s">
        <v>9852</v>
      </c>
      <c r="G3601" s="6">
        <v>46204</v>
      </c>
      <c r="H3601" s="2" t="s">
        <v>71</v>
      </c>
      <c r="I3601" s="2" t="s">
        <v>70</v>
      </c>
      <c r="J3601" s="9">
        <v>3715.5379939999998</v>
      </c>
      <c r="K3601" s="7">
        <v>0.65</v>
      </c>
      <c r="L3601" s="9">
        <v>2415.1</v>
      </c>
      <c r="M3601" s="9">
        <v>2444.8200000000002</v>
      </c>
      <c r="N3601" s="9">
        <v>1.8</v>
      </c>
      <c r="O3601" s="10">
        <f>IF(AND(OR(H3601="APPROVED",H3601="SCHEDULED"),COUNTIFS(tblSource[EventID],F3601,tblSource[ReleaseStatus],"APPROVED")=1,COUNTIFS(Period_Status!$A$2:$A$8,G3601,Period_Status!$B$2:$B$8,"ActualClosed")=1,C3601&gt;EOMONTH(Settlement_Bridge!$C$2,0)),1,0)</f>
        <v>1</v>
      </c>
      <c r="P3601" s="2" t="s">
        <v>9853</v>
      </c>
    </row>
    <row r="3602" spans="1:16" x14ac:dyDescent="0.25">
      <c r="A3602" s="2" t="s">
        <v>9854</v>
      </c>
      <c r="B3602" s="2" t="s">
        <v>7433</v>
      </c>
      <c r="C3602" s="8">
        <v>46266</v>
      </c>
      <c r="D3602" s="6">
        <v>46266</v>
      </c>
      <c r="E3602" s="2" t="s">
        <v>260</v>
      </c>
      <c r="F3602" s="2" t="s">
        <v>9852</v>
      </c>
      <c r="G3602" s="6">
        <v>46204</v>
      </c>
      <c r="H3602" s="2" t="s">
        <v>176</v>
      </c>
      <c r="I3602" s="2" t="s">
        <v>70</v>
      </c>
      <c r="J3602" s="9">
        <v>5573.3069910000004</v>
      </c>
      <c r="K3602" s="7">
        <v>0.65100000000000002</v>
      </c>
      <c r="L3602" s="9">
        <v>3628.22</v>
      </c>
      <c r="M3602" s="9">
        <v>3667.24</v>
      </c>
      <c r="N3602" s="9">
        <v>2</v>
      </c>
      <c r="O3602" s="10">
        <f>IF(AND(OR(H3602="APPROVED",H3602="SCHEDULED"),COUNTIFS(tblSource[EventID],F3602,tblSource[ReleaseStatus],"APPROVED")=1,COUNTIFS(Period_Status!$A$2:$A$8,G3602,Period_Status!$B$2:$B$8,"ActualClosed")=1,C3602&gt;EOMONTH(Settlement_Bridge!$C$2,0)),1,0)</f>
        <v>1</v>
      </c>
      <c r="P3602" s="2" t="s">
        <v>9855</v>
      </c>
    </row>
    <row r="3603" spans="1:16" x14ac:dyDescent="0.25">
      <c r="A3603" s="2" t="s">
        <v>9856</v>
      </c>
      <c r="B3603" s="2" t="s">
        <v>7433</v>
      </c>
      <c r="C3603" s="8">
        <v>46242</v>
      </c>
      <c r="D3603" s="6">
        <v>46235</v>
      </c>
      <c r="E3603" s="2" t="s">
        <v>260</v>
      </c>
      <c r="F3603" s="2" t="s">
        <v>9857</v>
      </c>
      <c r="G3603" s="6">
        <v>46204</v>
      </c>
      <c r="H3603" s="2" t="s">
        <v>71</v>
      </c>
      <c r="I3603" s="2" t="s">
        <v>39</v>
      </c>
      <c r="J3603" s="9">
        <v>2555.5520000000001</v>
      </c>
      <c r="K3603" s="7">
        <v>1</v>
      </c>
      <c r="L3603" s="9">
        <v>2555.5500000000002</v>
      </c>
      <c r="M3603" s="9">
        <v>2555.5500000000002</v>
      </c>
      <c r="N3603" s="9">
        <v>1.8</v>
      </c>
      <c r="O3603" s="10">
        <f>IF(AND(OR(H3603="APPROVED",H3603="SCHEDULED"),COUNTIFS(tblSource[EventID],F3603,tblSource[ReleaseStatus],"APPROVED")=1,COUNTIFS(Period_Status!$A$2:$A$8,G3603,Period_Status!$B$2:$B$8,"ActualClosed")=1,C3603&gt;EOMONTH(Settlement_Bridge!$C$2,0)),1,0)</f>
        <v>1</v>
      </c>
      <c r="P3603" s="2" t="s">
        <v>9858</v>
      </c>
    </row>
    <row r="3604" spans="1:16" x14ac:dyDescent="0.25">
      <c r="A3604" s="2" t="s">
        <v>9859</v>
      </c>
      <c r="B3604" s="2" t="s">
        <v>7433</v>
      </c>
      <c r="C3604" s="8">
        <v>46267</v>
      </c>
      <c r="D3604" s="6">
        <v>46266</v>
      </c>
      <c r="E3604" s="2" t="s">
        <v>260</v>
      </c>
      <c r="F3604" s="2" t="s">
        <v>9857</v>
      </c>
      <c r="G3604" s="6">
        <v>46204</v>
      </c>
      <c r="H3604" s="2" t="s">
        <v>176</v>
      </c>
      <c r="I3604" s="2" t="s">
        <v>39</v>
      </c>
      <c r="J3604" s="9">
        <v>3833.328</v>
      </c>
      <c r="K3604" s="7">
        <v>1</v>
      </c>
      <c r="L3604" s="9">
        <v>3833.33</v>
      </c>
      <c r="M3604" s="9">
        <v>3833.33</v>
      </c>
      <c r="N3604" s="9">
        <v>2.11</v>
      </c>
      <c r="O3604" s="10">
        <f>IF(AND(OR(H3604="APPROVED",H3604="SCHEDULED"),COUNTIFS(tblSource[EventID],F3604,tblSource[ReleaseStatus],"APPROVED")=1,COUNTIFS(Period_Status!$A$2:$A$8,G3604,Period_Status!$B$2:$B$8,"ActualClosed")=1,C3604&gt;EOMONTH(Settlement_Bridge!$C$2,0)),1,0)</f>
        <v>1</v>
      </c>
      <c r="P3604" s="2" t="s">
        <v>9860</v>
      </c>
    </row>
    <row r="3605" spans="1:16" x14ac:dyDescent="0.25">
      <c r="A3605" s="2" t="s">
        <v>9861</v>
      </c>
      <c r="B3605" s="2" t="s">
        <v>7433</v>
      </c>
      <c r="C3605" s="8">
        <v>46243</v>
      </c>
      <c r="D3605" s="6">
        <v>46235</v>
      </c>
      <c r="E3605" s="2" t="s">
        <v>260</v>
      </c>
      <c r="F3605" s="2" t="s">
        <v>9862</v>
      </c>
      <c r="G3605" s="6">
        <v>46204</v>
      </c>
      <c r="H3605" s="2" t="s">
        <v>71</v>
      </c>
      <c r="I3605" s="2" t="s">
        <v>76</v>
      </c>
      <c r="J3605" s="9">
        <v>43004516.129032001</v>
      </c>
      <c r="K3605" s="7">
        <v>6.1500000000000004E-5</v>
      </c>
      <c r="L3605" s="9">
        <v>2644.78</v>
      </c>
      <c r="M3605" s="9">
        <v>2666.28</v>
      </c>
      <c r="N3605" s="9">
        <v>1.8</v>
      </c>
      <c r="O3605" s="10">
        <f>IF(AND(OR(H3605="APPROVED",H3605="SCHEDULED"),COUNTIFS(tblSource[EventID],F3605,tblSource[ReleaseStatus],"APPROVED")=1,COUNTIFS(Period_Status!$A$2:$A$8,G3605,Period_Status!$B$2:$B$8,"ActualClosed")=1,C3605&gt;EOMONTH(Settlement_Bridge!$C$2,0)),1,0)</f>
        <v>1</v>
      </c>
      <c r="P3605" s="2" t="s">
        <v>9863</v>
      </c>
    </row>
    <row r="3606" spans="1:16" x14ac:dyDescent="0.25">
      <c r="A3606" s="2" t="s">
        <v>9864</v>
      </c>
      <c r="B3606" s="2" t="s">
        <v>7433</v>
      </c>
      <c r="C3606" s="8">
        <v>46268</v>
      </c>
      <c r="D3606" s="6">
        <v>46266</v>
      </c>
      <c r="E3606" s="2" t="s">
        <v>260</v>
      </c>
      <c r="F3606" s="2" t="s">
        <v>9862</v>
      </c>
      <c r="G3606" s="6">
        <v>46204</v>
      </c>
      <c r="H3606" s="2" t="s">
        <v>176</v>
      </c>
      <c r="I3606" s="2" t="s">
        <v>76</v>
      </c>
      <c r="J3606" s="9">
        <v>64506774.193549</v>
      </c>
      <c r="K3606" s="7">
        <v>6.1299999999999999E-5</v>
      </c>
      <c r="L3606" s="9">
        <v>3954.27</v>
      </c>
      <c r="M3606" s="9">
        <v>3999.42</v>
      </c>
      <c r="N3606" s="9">
        <v>2.17</v>
      </c>
      <c r="O3606" s="10">
        <f>IF(AND(OR(H3606="APPROVED",H3606="SCHEDULED"),COUNTIFS(tblSource[EventID],F3606,tblSource[ReleaseStatus],"APPROVED")=1,COUNTIFS(Period_Status!$A$2:$A$8,G3606,Period_Status!$B$2:$B$8,"ActualClosed")=1,C3606&gt;EOMONTH(Settlement_Bridge!$C$2,0)),1,0)</f>
        <v>1</v>
      </c>
      <c r="P3606" s="2" t="s">
        <v>9865</v>
      </c>
    </row>
    <row r="3607" spans="1:16" x14ac:dyDescent="0.25">
      <c r="A3607" s="2" t="s">
        <v>9866</v>
      </c>
      <c r="B3607" s="2" t="s">
        <v>7433</v>
      </c>
      <c r="C3607" s="8">
        <v>46244</v>
      </c>
      <c r="D3607" s="6">
        <v>46235</v>
      </c>
      <c r="E3607" s="2" t="s">
        <v>260</v>
      </c>
      <c r="F3607" s="2" t="s">
        <v>9867</v>
      </c>
      <c r="G3607" s="6">
        <v>46204</v>
      </c>
      <c r="H3607" s="2" t="s">
        <v>71</v>
      </c>
      <c r="I3607" s="2" t="s">
        <v>70</v>
      </c>
      <c r="J3607" s="9">
        <v>-10550.927051999999</v>
      </c>
      <c r="K3607" s="7">
        <v>0.65</v>
      </c>
      <c r="L3607" s="9">
        <v>-6858.1</v>
      </c>
      <c r="M3607" s="9">
        <v>-6942.51</v>
      </c>
      <c r="N3607" s="9">
        <v>0</v>
      </c>
      <c r="O3607" s="10">
        <f>IF(AND(OR(H3607="APPROVED",H3607="SCHEDULED"),COUNTIFS(tblSource[EventID],F3607,tblSource[ReleaseStatus],"APPROVED")=1,COUNTIFS(Period_Status!$A$2:$A$8,G3607,Period_Status!$B$2:$B$8,"ActualClosed")=1,C3607&gt;EOMONTH(Settlement_Bridge!$C$2,0)),1,0)</f>
        <v>1</v>
      </c>
      <c r="P3607" s="2" t="s">
        <v>9868</v>
      </c>
    </row>
    <row r="3608" spans="1:16" x14ac:dyDescent="0.25">
      <c r="A3608" s="2" t="s">
        <v>9869</v>
      </c>
      <c r="B3608" s="2" t="s">
        <v>7433</v>
      </c>
      <c r="C3608" s="8">
        <v>46245</v>
      </c>
      <c r="D3608" s="6">
        <v>46235</v>
      </c>
      <c r="E3608" s="2" t="s">
        <v>260</v>
      </c>
      <c r="F3608" s="2" t="s">
        <v>9870</v>
      </c>
      <c r="G3608" s="6">
        <v>46204</v>
      </c>
      <c r="H3608" s="2" t="s">
        <v>71</v>
      </c>
      <c r="I3608" s="2" t="s">
        <v>39</v>
      </c>
      <c r="J3608" s="9">
        <v>2887.732</v>
      </c>
      <c r="K3608" s="7">
        <v>1</v>
      </c>
      <c r="L3608" s="9">
        <v>2887.73</v>
      </c>
      <c r="M3608" s="9">
        <v>2887.73</v>
      </c>
      <c r="N3608" s="9">
        <v>1.8</v>
      </c>
      <c r="O3608" s="10">
        <f>IF(AND(OR(H3608="APPROVED",H3608="SCHEDULED"),COUNTIFS(tblSource[EventID],F3608,tblSource[ReleaseStatus],"APPROVED")=1,COUNTIFS(Period_Status!$A$2:$A$8,G3608,Period_Status!$B$2:$B$8,"ActualClosed")=1,C3608&gt;EOMONTH(Settlement_Bridge!$C$2,0)),1,0)</f>
        <v>1</v>
      </c>
      <c r="P3608" s="2" t="s">
        <v>9871</v>
      </c>
    </row>
    <row r="3609" spans="1:16" x14ac:dyDescent="0.25">
      <c r="A3609" s="2" t="s">
        <v>9872</v>
      </c>
      <c r="B3609" s="2" t="s">
        <v>7433</v>
      </c>
      <c r="C3609" s="8">
        <v>46270</v>
      </c>
      <c r="D3609" s="6">
        <v>46266</v>
      </c>
      <c r="E3609" s="2" t="s">
        <v>260</v>
      </c>
      <c r="F3609" s="2" t="s">
        <v>9870</v>
      </c>
      <c r="G3609" s="6">
        <v>46204</v>
      </c>
      <c r="H3609" s="2" t="s">
        <v>176</v>
      </c>
      <c r="I3609" s="2" t="s">
        <v>39</v>
      </c>
      <c r="J3609" s="9">
        <v>4331.598</v>
      </c>
      <c r="K3609" s="7">
        <v>1</v>
      </c>
      <c r="L3609" s="9">
        <v>4331.6000000000004</v>
      </c>
      <c r="M3609" s="9">
        <v>4331.6000000000004</v>
      </c>
      <c r="N3609" s="9">
        <v>2.38</v>
      </c>
      <c r="O3609" s="10">
        <f>IF(AND(OR(H3609="APPROVED",H3609="SCHEDULED"),COUNTIFS(tblSource[EventID],F3609,tblSource[ReleaseStatus],"APPROVED")=1,COUNTIFS(Period_Status!$A$2:$A$8,G3609,Period_Status!$B$2:$B$8,"ActualClosed")=1,C3609&gt;EOMONTH(Settlement_Bridge!$C$2,0)),1,0)</f>
        <v>1</v>
      </c>
      <c r="P3609" s="2" t="s">
        <v>9873</v>
      </c>
    </row>
    <row r="3610" spans="1:16" x14ac:dyDescent="0.25">
      <c r="A3610" s="2" t="s">
        <v>9874</v>
      </c>
      <c r="B3610" s="2" t="s">
        <v>7433</v>
      </c>
      <c r="C3610" s="8">
        <v>46246</v>
      </c>
      <c r="D3610" s="6">
        <v>46235</v>
      </c>
      <c r="E3610" s="2" t="s">
        <v>260</v>
      </c>
      <c r="F3610" s="2" t="s">
        <v>9875</v>
      </c>
      <c r="G3610" s="6">
        <v>46204</v>
      </c>
      <c r="H3610" s="2" t="s">
        <v>71</v>
      </c>
      <c r="I3610" s="2" t="s">
        <v>76</v>
      </c>
      <c r="J3610" s="9">
        <v>48362193.548386998</v>
      </c>
      <c r="K3610" s="7">
        <v>6.1500000000000004E-5</v>
      </c>
      <c r="L3610" s="9">
        <v>2974.27</v>
      </c>
      <c r="M3610" s="9">
        <v>2998.46</v>
      </c>
      <c r="N3610" s="9">
        <v>1.8</v>
      </c>
      <c r="O3610" s="10">
        <f>IF(AND(OR(H3610="APPROVED",H3610="SCHEDULED"),COUNTIFS(tblSource[EventID],F3610,tblSource[ReleaseStatus],"APPROVED")=1,COUNTIFS(Period_Status!$A$2:$A$8,G3610,Period_Status!$B$2:$B$8,"ActualClosed")=1,C3610&gt;EOMONTH(Settlement_Bridge!$C$2,0)),1,0)</f>
        <v>1</v>
      </c>
      <c r="P3610" s="2" t="s">
        <v>9876</v>
      </c>
    </row>
    <row r="3611" spans="1:16" x14ac:dyDescent="0.25">
      <c r="A3611" s="2" t="s">
        <v>9877</v>
      </c>
      <c r="B3611" s="2" t="s">
        <v>7433</v>
      </c>
      <c r="C3611" s="8">
        <v>46271</v>
      </c>
      <c r="D3611" s="6">
        <v>46266</v>
      </c>
      <c r="E3611" s="2" t="s">
        <v>260</v>
      </c>
      <c r="F3611" s="2" t="s">
        <v>9875</v>
      </c>
      <c r="G3611" s="6">
        <v>46204</v>
      </c>
      <c r="H3611" s="2" t="s">
        <v>176</v>
      </c>
      <c r="I3611" s="2" t="s">
        <v>76</v>
      </c>
      <c r="J3611" s="9">
        <v>72543290.322580993</v>
      </c>
      <c r="K3611" s="7">
        <v>6.1299999999999999E-5</v>
      </c>
      <c r="L3611" s="9">
        <v>4446.8999999999996</v>
      </c>
      <c r="M3611" s="9">
        <v>4497.68</v>
      </c>
      <c r="N3611" s="9">
        <v>2.4500000000000002</v>
      </c>
      <c r="O3611" s="10">
        <f>IF(AND(OR(H3611="APPROVED",H3611="SCHEDULED"),COUNTIFS(tblSource[EventID],F3611,tblSource[ReleaseStatus],"APPROVED")=1,COUNTIFS(Period_Status!$A$2:$A$8,G3611,Period_Status!$B$2:$B$8,"ActualClosed")=1,C3611&gt;EOMONTH(Settlement_Bridge!$C$2,0)),1,0)</f>
        <v>1</v>
      </c>
      <c r="P3611" s="2" t="s">
        <v>9878</v>
      </c>
    </row>
    <row r="3612" spans="1:16" x14ac:dyDescent="0.25">
      <c r="A3612" s="2" t="s">
        <v>9879</v>
      </c>
      <c r="B3612" s="2" t="s">
        <v>7433</v>
      </c>
      <c r="C3612" s="8">
        <v>46247</v>
      </c>
      <c r="D3612" s="6">
        <v>46235</v>
      </c>
      <c r="E3612" s="2" t="s">
        <v>260</v>
      </c>
      <c r="F3612" s="2" t="s">
        <v>9880</v>
      </c>
      <c r="G3612" s="6">
        <v>46204</v>
      </c>
      <c r="H3612" s="2" t="s">
        <v>71</v>
      </c>
      <c r="I3612" s="2" t="s">
        <v>70</v>
      </c>
      <c r="J3612" s="9">
        <v>4725.2036479999997</v>
      </c>
      <c r="K3612" s="7">
        <v>0.65</v>
      </c>
      <c r="L3612" s="9">
        <v>3071.38</v>
      </c>
      <c r="M3612" s="9">
        <v>3109.18</v>
      </c>
      <c r="N3612" s="9">
        <v>1.8</v>
      </c>
      <c r="O3612" s="10">
        <f>IF(AND(OR(H3612="APPROVED",H3612="SCHEDULED"),COUNTIFS(tblSource[EventID],F3612,tblSource[ReleaseStatus],"APPROVED")=1,COUNTIFS(Period_Status!$A$2:$A$8,G3612,Period_Status!$B$2:$B$8,"ActualClosed")=1,C3612&gt;EOMONTH(Settlement_Bridge!$C$2,0)),1,0)</f>
        <v>1</v>
      </c>
      <c r="P3612" s="2" t="s">
        <v>9881</v>
      </c>
    </row>
    <row r="3613" spans="1:16" x14ac:dyDescent="0.25">
      <c r="A3613" s="2" t="s">
        <v>9882</v>
      </c>
      <c r="B3613" s="2" t="s">
        <v>7433</v>
      </c>
      <c r="C3613" s="8">
        <v>46272</v>
      </c>
      <c r="D3613" s="6">
        <v>46266</v>
      </c>
      <c r="E3613" s="2" t="s">
        <v>260</v>
      </c>
      <c r="F3613" s="2" t="s">
        <v>9880</v>
      </c>
      <c r="G3613" s="6">
        <v>46204</v>
      </c>
      <c r="H3613" s="2" t="s">
        <v>176</v>
      </c>
      <c r="I3613" s="2" t="s">
        <v>70</v>
      </c>
      <c r="J3613" s="9">
        <v>7087.8054709999997</v>
      </c>
      <c r="K3613" s="7">
        <v>0.65100000000000002</v>
      </c>
      <c r="L3613" s="9">
        <v>4614.16</v>
      </c>
      <c r="M3613" s="9">
        <v>4663.78</v>
      </c>
      <c r="N3613" s="9">
        <v>2.54</v>
      </c>
      <c r="O3613" s="10">
        <f>IF(AND(OR(H3613="APPROVED",H3613="SCHEDULED"),COUNTIFS(tblSource[EventID],F3613,tblSource[ReleaseStatus],"APPROVED")=1,COUNTIFS(Period_Status!$A$2:$A$8,G3613,Period_Status!$B$2:$B$8,"ActualClosed")=1,C3613&gt;EOMONTH(Settlement_Bridge!$C$2,0)),1,0)</f>
        <v>1</v>
      </c>
      <c r="P3613" s="2" t="s">
        <v>9883</v>
      </c>
    </row>
    <row r="3614" spans="1:16" x14ac:dyDescent="0.25">
      <c r="A3614" s="2" t="s">
        <v>9884</v>
      </c>
      <c r="B3614" s="2" t="s">
        <v>7433</v>
      </c>
      <c r="C3614" s="8">
        <v>46248</v>
      </c>
      <c r="D3614" s="6">
        <v>46235</v>
      </c>
      <c r="E3614" s="2" t="s">
        <v>260</v>
      </c>
      <c r="F3614" s="2" t="s">
        <v>9885</v>
      </c>
      <c r="G3614" s="6">
        <v>46204</v>
      </c>
      <c r="H3614" s="2" t="s">
        <v>71</v>
      </c>
      <c r="I3614" s="2" t="s">
        <v>39</v>
      </c>
      <c r="J3614" s="9">
        <v>3219.9119999999998</v>
      </c>
      <c r="K3614" s="7">
        <v>1</v>
      </c>
      <c r="L3614" s="9">
        <v>3219.91</v>
      </c>
      <c r="M3614" s="9">
        <v>3219.91</v>
      </c>
      <c r="N3614" s="9">
        <v>1.8</v>
      </c>
      <c r="O3614" s="10">
        <f>IF(AND(OR(H3614="APPROVED",H3614="SCHEDULED"),COUNTIFS(tblSource[EventID],F3614,tblSource[ReleaseStatus],"APPROVED")=1,COUNTIFS(Period_Status!$A$2:$A$8,G3614,Period_Status!$B$2:$B$8,"ActualClosed")=1,C3614&gt;EOMONTH(Settlement_Bridge!$C$2,0)),1,0)</f>
        <v>1</v>
      </c>
      <c r="P3614" s="2" t="s">
        <v>9886</v>
      </c>
    </row>
    <row r="3615" spans="1:16" x14ac:dyDescent="0.25">
      <c r="A3615" s="2" t="s">
        <v>9887</v>
      </c>
      <c r="B3615" s="2" t="s">
        <v>7433</v>
      </c>
      <c r="C3615" s="8">
        <v>46273</v>
      </c>
      <c r="D3615" s="6">
        <v>46266</v>
      </c>
      <c r="E3615" s="2" t="s">
        <v>260</v>
      </c>
      <c r="F3615" s="2" t="s">
        <v>9885</v>
      </c>
      <c r="G3615" s="6">
        <v>46204</v>
      </c>
      <c r="H3615" s="2" t="s">
        <v>176</v>
      </c>
      <c r="I3615" s="2" t="s">
        <v>39</v>
      </c>
      <c r="J3615" s="9">
        <v>4829.8680000000004</v>
      </c>
      <c r="K3615" s="7">
        <v>1</v>
      </c>
      <c r="L3615" s="9">
        <v>4829.87</v>
      </c>
      <c r="M3615" s="9">
        <v>4829.87</v>
      </c>
      <c r="N3615" s="9">
        <v>2.66</v>
      </c>
      <c r="O3615" s="10">
        <f>IF(AND(OR(H3615="APPROVED",H3615="SCHEDULED"),COUNTIFS(tblSource[EventID],F3615,tblSource[ReleaseStatus],"APPROVED")=1,COUNTIFS(Period_Status!$A$2:$A$8,G3615,Period_Status!$B$2:$B$8,"ActualClosed")=1,C3615&gt;EOMONTH(Settlement_Bridge!$C$2,0)),1,0)</f>
        <v>1</v>
      </c>
      <c r="P3615" s="2" t="s">
        <v>9888</v>
      </c>
    </row>
    <row r="3616" spans="1:16" x14ac:dyDescent="0.25">
      <c r="A3616" s="2" t="s">
        <v>9889</v>
      </c>
      <c r="B3616" s="2" t="s">
        <v>7433</v>
      </c>
      <c r="C3616" s="8">
        <v>46218</v>
      </c>
      <c r="D3616" s="6">
        <v>46204</v>
      </c>
      <c r="E3616" s="2" t="s">
        <v>260</v>
      </c>
      <c r="F3616" s="2" t="s">
        <v>9890</v>
      </c>
      <c r="G3616" s="6">
        <v>46204</v>
      </c>
      <c r="H3616" s="2" t="s">
        <v>71</v>
      </c>
      <c r="I3616" s="2" t="s">
        <v>76</v>
      </c>
      <c r="J3616" s="9">
        <v>53719935.483870998</v>
      </c>
      <c r="K3616" s="7">
        <v>6.2000000000000003E-5</v>
      </c>
      <c r="L3616" s="9">
        <v>3330.64</v>
      </c>
      <c r="M3616" s="9">
        <v>3330.64</v>
      </c>
      <c r="N3616" s="9">
        <v>1.83</v>
      </c>
      <c r="O3616" s="10">
        <f>IF(AND(OR(H3616="APPROVED",H3616="SCHEDULED"),COUNTIFS(tblSource[EventID],F3616,tblSource[ReleaseStatus],"APPROVED")=1,COUNTIFS(Period_Status!$A$2:$A$8,G3616,Period_Status!$B$2:$B$8,"ActualClosed")=1,C3616&gt;EOMONTH(Settlement_Bridge!$C$2,0)),1,0)</f>
        <v>0</v>
      </c>
      <c r="P3616" s="2" t="s">
        <v>9891</v>
      </c>
    </row>
    <row r="3617" spans="1:16" x14ac:dyDescent="0.25">
      <c r="A3617" s="2" t="s">
        <v>9892</v>
      </c>
      <c r="B3617" s="2" t="s">
        <v>7433</v>
      </c>
      <c r="C3617" s="8">
        <v>46243</v>
      </c>
      <c r="D3617" s="6">
        <v>46235</v>
      </c>
      <c r="E3617" s="2" t="s">
        <v>260</v>
      </c>
      <c r="F3617" s="2" t="s">
        <v>9890</v>
      </c>
      <c r="G3617" s="6">
        <v>46204</v>
      </c>
      <c r="H3617" s="2" t="s">
        <v>71</v>
      </c>
      <c r="I3617" s="2" t="s">
        <v>76</v>
      </c>
      <c r="J3617" s="9">
        <v>80579903.225805998</v>
      </c>
      <c r="K3617" s="7">
        <v>6.1500000000000004E-5</v>
      </c>
      <c r="L3617" s="9">
        <v>4955.66</v>
      </c>
      <c r="M3617" s="9">
        <v>4995.95</v>
      </c>
      <c r="N3617" s="9">
        <v>2.73</v>
      </c>
      <c r="O3617" s="10">
        <f>IF(AND(OR(H3617="APPROVED",H3617="SCHEDULED"),COUNTIFS(tblSource[EventID],F3617,tblSource[ReleaseStatus],"APPROVED")=1,COUNTIFS(Period_Status!$A$2:$A$8,G3617,Period_Status!$B$2:$B$8,"ActualClosed")=1,C3617&gt;EOMONTH(Settlement_Bridge!$C$2,0)),1,0)</f>
        <v>1</v>
      </c>
      <c r="P3617" s="2" t="s">
        <v>9893</v>
      </c>
    </row>
    <row r="3618" spans="1:16" x14ac:dyDescent="0.25">
      <c r="A3618" s="2" t="s">
        <v>9894</v>
      </c>
      <c r="B3618" s="2" t="s">
        <v>7433</v>
      </c>
      <c r="C3618" s="8">
        <v>46219</v>
      </c>
      <c r="D3618" s="6">
        <v>46204</v>
      </c>
      <c r="E3618" s="2" t="s">
        <v>260</v>
      </c>
      <c r="F3618" s="2" t="s">
        <v>9895</v>
      </c>
      <c r="G3618" s="6">
        <v>46204</v>
      </c>
      <c r="H3618" s="2" t="s">
        <v>71</v>
      </c>
      <c r="I3618" s="2" t="s">
        <v>70</v>
      </c>
      <c r="J3618" s="9">
        <v>5230.0364740000005</v>
      </c>
      <c r="K3618" s="7">
        <v>0.65800000000000003</v>
      </c>
      <c r="L3618" s="9">
        <v>3441.36</v>
      </c>
      <c r="M3618" s="9">
        <v>3441.36</v>
      </c>
      <c r="N3618" s="9">
        <v>1.89</v>
      </c>
      <c r="O3618" s="10">
        <f>IF(AND(OR(H3618="APPROVED",H3618="SCHEDULED"),COUNTIFS(tblSource[EventID],F3618,tblSource[ReleaseStatus],"APPROVED")=1,COUNTIFS(Period_Status!$A$2:$A$8,G3618,Period_Status!$B$2:$B$8,"ActualClosed")=1,C3618&gt;EOMONTH(Settlement_Bridge!$C$2,0)),1,0)</f>
        <v>0</v>
      </c>
      <c r="P3618" s="2" t="s">
        <v>9896</v>
      </c>
    </row>
    <row r="3619" spans="1:16" x14ac:dyDescent="0.25">
      <c r="A3619" s="2" t="s">
        <v>9897</v>
      </c>
      <c r="B3619" s="2" t="s">
        <v>7433</v>
      </c>
      <c r="C3619" s="8">
        <v>46244</v>
      </c>
      <c r="D3619" s="6">
        <v>46235</v>
      </c>
      <c r="E3619" s="2" t="s">
        <v>260</v>
      </c>
      <c r="F3619" s="2" t="s">
        <v>9895</v>
      </c>
      <c r="G3619" s="6">
        <v>46204</v>
      </c>
      <c r="H3619" s="2" t="s">
        <v>71</v>
      </c>
      <c r="I3619" s="2" t="s">
        <v>70</v>
      </c>
      <c r="J3619" s="9">
        <v>7845.0547109999998</v>
      </c>
      <c r="K3619" s="7">
        <v>0.65</v>
      </c>
      <c r="L3619" s="9">
        <v>5099.29</v>
      </c>
      <c r="M3619" s="9">
        <v>5162.05</v>
      </c>
      <c r="N3619" s="9">
        <v>2.8</v>
      </c>
      <c r="O3619" s="10">
        <f>IF(AND(OR(H3619="APPROVED",H3619="SCHEDULED"),COUNTIFS(tblSource[EventID],F3619,tblSource[ReleaseStatus],"APPROVED")=1,COUNTIFS(Period_Status!$A$2:$A$8,G3619,Period_Status!$B$2:$B$8,"ActualClosed")=1,C3619&gt;EOMONTH(Settlement_Bridge!$C$2,0)),1,0)</f>
        <v>1</v>
      </c>
      <c r="P3619" s="2" t="s">
        <v>9898</v>
      </c>
    </row>
    <row r="3620" spans="1:16" x14ac:dyDescent="0.25">
      <c r="A3620" s="2" t="s">
        <v>9899</v>
      </c>
      <c r="B3620" s="2" t="s">
        <v>7433</v>
      </c>
      <c r="C3620" s="8">
        <v>46220</v>
      </c>
      <c r="D3620" s="6">
        <v>46204</v>
      </c>
      <c r="E3620" s="2" t="s">
        <v>260</v>
      </c>
      <c r="F3620" s="2" t="s">
        <v>9900</v>
      </c>
      <c r="G3620" s="6">
        <v>46204</v>
      </c>
      <c r="H3620" s="2" t="s">
        <v>71</v>
      </c>
      <c r="I3620" s="2" t="s">
        <v>39</v>
      </c>
      <c r="J3620" s="9">
        <v>3552.0880000000002</v>
      </c>
      <c r="K3620" s="7">
        <v>1</v>
      </c>
      <c r="L3620" s="9">
        <v>3552.09</v>
      </c>
      <c r="M3620" s="9">
        <v>3552.09</v>
      </c>
      <c r="N3620" s="9">
        <v>1.95</v>
      </c>
      <c r="O3620" s="10">
        <f>IF(AND(OR(H3620="APPROVED",H3620="SCHEDULED"),COUNTIFS(tblSource[EventID],F3620,tblSource[ReleaseStatus],"APPROVED")=1,COUNTIFS(Period_Status!$A$2:$A$8,G3620,Period_Status!$B$2:$B$8,"ActualClosed")=1,C3620&gt;EOMONTH(Settlement_Bridge!$C$2,0)),1,0)</f>
        <v>0</v>
      </c>
      <c r="P3620" s="2" t="s">
        <v>9901</v>
      </c>
    </row>
    <row r="3621" spans="1:16" x14ac:dyDescent="0.25">
      <c r="A3621" s="2" t="s">
        <v>9902</v>
      </c>
      <c r="B3621" s="2" t="s">
        <v>7433</v>
      </c>
      <c r="C3621" s="8">
        <v>46245</v>
      </c>
      <c r="D3621" s="6">
        <v>46235</v>
      </c>
      <c r="E3621" s="2" t="s">
        <v>260</v>
      </c>
      <c r="F3621" s="2" t="s">
        <v>9900</v>
      </c>
      <c r="G3621" s="6">
        <v>46204</v>
      </c>
      <c r="H3621" s="2" t="s">
        <v>71</v>
      </c>
      <c r="I3621" s="2" t="s">
        <v>39</v>
      </c>
      <c r="J3621" s="9">
        <v>5328.1319999999996</v>
      </c>
      <c r="K3621" s="7">
        <v>1</v>
      </c>
      <c r="L3621" s="9">
        <v>5328.13</v>
      </c>
      <c r="M3621" s="9">
        <v>5328.13</v>
      </c>
      <c r="N3621" s="9">
        <v>2.93</v>
      </c>
      <c r="O3621" s="10">
        <f>IF(AND(OR(H3621="APPROVED",H3621="SCHEDULED"),COUNTIFS(tblSource[EventID],F3621,tblSource[ReleaseStatus],"APPROVED")=1,COUNTIFS(Period_Status!$A$2:$A$8,G3621,Period_Status!$B$2:$B$8,"ActualClosed")=1,C3621&gt;EOMONTH(Settlement_Bridge!$C$2,0)),1,0)</f>
        <v>1</v>
      </c>
      <c r="P3621" s="2" t="s">
        <v>9903</v>
      </c>
    </row>
    <row r="3622" spans="1:16" x14ac:dyDescent="0.25">
      <c r="A3622" s="2" t="s">
        <v>9904</v>
      </c>
      <c r="B3622" s="2" t="s">
        <v>7433</v>
      </c>
      <c r="C3622" s="8">
        <v>46221</v>
      </c>
      <c r="D3622" s="6">
        <v>46204</v>
      </c>
      <c r="E3622" s="2" t="s">
        <v>260</v>
      </c>
      <c r="F3622" s="2" t="s">
        <v>9905</v>
      </c>
      <c r="G3622" s="6">
        <v>46204</v>
      </c>
      <c r="H3622" s="2" t="s">
        <v>71</v>
      </c>
      <c r="I3622" s="2" t="s">
        <v>76</v>
      </c>
      <c r="J3622" s="9">
        <v>59077677.419354998</v>
      </c>
      <c r="K3622" s="7">
        <v>6.2000000000000003E-5</v>
      </c>
      <c r="L3622" s="9">
        <v>3662.82</v>
      </c>
      <c r="M3622" s="9">
        <v>3662.82</v>
      </c>
      <c r="N3622" s="9">
        <v>2.0099999999999998</v>
      </c>
      <c r="O3622" s="10">
        <f>IF(AND(OR(H3622="APPROVED",H3622="SCHEDULED"),COUNTIFS(tblSource[EventID],F3622,tblSource[ReleaseStatus],"APPROVED")=1,COUNTIFS(Period_Status!$A$2:$A$8,G3622,Period_Status!$B$2:$B$8,"ActualClosed")=1,C3622&gt;EOMONTH(Settlement_Bridge!$C$2,0)),1,0)</f>
        <v>0</v>
      </c>
      <c r="P3622" s="2" t="s">
        <v>9906</v>
      </c>
    </row>
    <row r="3623" spans="1:16" x14ac:dyDescent="0.25">
      <c r="A3623" s="2" t="s">
        <v>9907</v>
      </c>
      <c r="B3623" s="2" t="s">
        <v>7433</v>
      </c>
      <c r="C3623" s="8">
        <v>46246</v>
      </c>
      <c r="D3623" s="6">
        <v>46235</v>
      </c>
      <c r="E3623" s="2" t="s">
        <v>260</v>
      </c>
      <c r="F3623" s="2" t="s">
        <v>9905</v>
      </c>
      <c r="G3623" s="6">
        <v>46204</v>
      </c>
      <c r="H3623" s="2" t="s">
        <v>71</v>
      </c>
      <c r="I3623" s="2" t="s">
        <v>76</v>
      </c>
      <c r="J3623" s="9">
        <v>88616516.129032001</v>
      </c>
      <c r="K3623" s="7">
        <v>6.1500000000000004E-5</v>
      </c>
      <c r="L3623" s="9">
        <v>5449.92</v>
      </c>
      <c r="M3623" s="9">
        <v>5494.22</v>
      </c>
      <c r="N3623" s="9">
        <v>3</v>
      </c>
      <c r="O3623" s="10">
        <f>IF(AND(OR(H3623="APPROVED",H3623="SCHEDULED"),COUNTIFS(tblSource[EventID],F3623,tblSource[ReleaseStatus],"APPROVED")=1,COUNTIFS(Period_Status!$A$2:$A$8,G3623,Period_Status!$B$2:$B$8,"ActualClosed")=1,C3623&gt;EOMONTH(Settlement_Bridge!$C$2,0)),1,0)</f>
        <v>1</v>
      </c>
      <c r="P3623" s="2" t="s">
        <v>9908</v>
      </c>
    </row>
    <row r="3624" spans="1:16" x14ac:dyDescent="0.25">
      <c r="A3624" s="2" t="s">
        <v>9909</v>
      </c>
      <c r="B3624" s="2" t="s">
        <v>7433</v>
      </c>
      <c r="C3624" s="8">
        <v>46222</v>
      </c>
      <c r="D3624" s="6">
        <v>46204</v>
      </c>
      <c r="E3624" s="2" t="s">
        <v>260</v>
      </c>
      <c r="F3624" s="2" t="s">
        <v>9910</v>
      </c>
      <c r="G3624" s="6">
        <v>46204</v>
      </c>
      <c r="H3624" s="2" t="s">
        <v>71</v>
      </c>
      <c r="I3624" s="2" t="s">
        <v>70</v>
      </c>
      <c r="J3624" s="9">
        <v>5734.8693009999997</v>
      </c>
      <c r="K3624" s="7">
        <v>0.65800000000000003</v>
      </c>
      <c r="L3624" s="9">
        <v>3773.54</v>
      </c>
      <c r="M3624" s="9">
        <v>3773.54</v>
      </c>
      <c r="N3624" s="9">
        <v>2.08</v>
      </c>
      <c r="O3624" s="10">
        <f>IF(AND(OR(H3624="APPROVED",H3624="SCHEDULED"),COUNTIFS(tblSource[EventID],F3624,tblSource[ReleaseStatus],"APPROVED")=1,COUNTIFS(Period_Status!$A$2:$A$8,G3624,Period_Status!$B$2:$B$8,"ActualClosed")=1,C3624&gt;EOMONTH(Settlement_Bridge!$C$2,0)),1,0)</f>
        <v>0</v>
      </c>
      <c r="P3624" s="2" t="s">
        <v>9911</v>
      </c>
    </row>
    <row r="3625" spans="1:16" x14ac:dyDescent="0.25">
      <c r="A3625" s="2" t="s">
        <v>9912</v>
      </c>
      <c r="B3625" s="2" t="s">
        <v>7433</v>
      </c>
      <c r="C3625" s="8">
        <v>46247</v>
      </c>
      <c r="D3625" s="6">
        <v>46235</v>
      </c>
      <c r="E3625" s="2" t="s">
        <v>260</v>
      </c>
      <c r="F3625" s="2" t="s">
        <v>9910</v>
      </c>
      <c r="G3625" s="6">
        <v>46204</v>
      </c>
      <c r="H3625" s="2" t="s">
        <v>71</v>
      </c>
      <c r="I3625" s="2" t="s">
        <v>70</v>
      </c>
      <c r="J3625" s="9">
        <v>8602.3039509999999</v>
      </c>
      <c r="K3625" s="7">
        <v>0.65</v>
      </c>
      <c r="L3625" s="9">
        <v>5591.5</v>
      </c>
      <c r="M3625" s="9">
        <v>5660.32</v>
      </c>
      <c r="N3625" s="9">
        <v>3.08</v>
      </c>
      <c r="O3625" s="10">
        <f>IF(AND(OR(H3625="APPROVED",H3625="SCHEDULED"),COUNTIFS(tblSource[EventID],F3625,tblSource[ReleaseStatus],"APPROVED")=1,COUNTIFS(Period_Status!$A$2:$A$8,G3625,Period_Status!$B$2:$B$8,"ActualClosed")=1,C3625&gt;EOMONTH(Settlement_Bridge!$C$2,0)),1,0)</f>
        <v>1</v>
      </c>
      <c r="P3625" s="2" t="s">
        <v>9913</v>
      </c>
    </row>
    <row r="3626" spans="1:16" x14ac:dyDescent="0.25">
      <c r="A3626" s="2" t="s">
        <v>9914</v>
      </c>
      <c r="B3626" s="2" t="s">
        <v>7433</v>
      </c>
      <c r="C3626" s="8">
        <v>46223</v>
      </c>
      <c r="D3626" s="6">
        <v>46204</v>
      </c>
      <c r="E3626" s="2" t="s">
        <v>260</v>
      </c>
      <c r="F3626" s="2" t="s">
        <v>9915</v>
      </c>
      <c r="G3626" s="6">
        <v>46204</v>
      </c>
      <c r="H3626" s="2" t="s">
        <v>71</v>
      </c>
      <c r="I3626" s="2" t="s">
        <v>39</v>
      </c>
      <c r="J3626" s="9">
        <v>3884.268</v>
      </c>
      <c r="K3626" s="7">
        <v>1</v>
      </c>
      <c r="L3626" s="9">
        <v>3884.27</v>
      </c>
      <c r="M3626" s="9">
        <v>3884.27</v>
      </c>
      <c r="N3626" s="9">
        <v>2.14</v>
      </c>
      <c r="O3626" s="10">
        <f>IF(AND(OR(H3626="APPROVED",H3626="SCHEDULED"),COUNTIFS(tblSource[EventID],F3626,tblSource[ReleaseStatus],"APPROVED")=1,COUNTIFS(Period_Status!$A$2:$A$8,G3626,Period_Status!$B$2:$B$8,"ActualClosed")=1,C3626&gt;EOMONTH(Settlement_Bridge!$C$2,0)),1,0)</f>
        <v>0</v>
      </c>
      <c r="P3626" s="2" t="s">
        <v>9916</v>
      </c>
    </row>
    <row r="3627" spans="1:16" x14ac:dyDescent="0.25">
      <c r="A3627" s="2" t="s">
        <v>9917</v>
      </c>
      <c r="B3627" s="2" t="s">
        <v>7433</v>
      </c>
      <c r="C3627" s="8">
        <v>46248</v>
      </c>
      <c r="D3627" s="6">
        <v>46235</v>
      </c>
      <c r="E3627" s="2" t="s">
        <v>260</v>
      </c>
      <c r="F3627" s="2" t="s">
        <v>9915</v>
      </c>
      <c r="G3627" s="6">
        <v>46204</v>
      </c>
      <c r="H3627" s="2" t="s">
        <v>71</v>
      </c>
      <c r="I3627" s="2" t="s">
        <v>39</v>
      </c>
      <c r="J3627" s="9">
        <v>5826.402</v>
      </c>
      <c r="K3627" s="7">
        <v>1</v>
      </c>
      <c r="L3627" s="9">
        <v>5826.4</v>
      </c>
      <c r="M3627" s="9">
        <v>5826.4</v>
      </c>
      <c r="N3627" s="9">
        <v>3.2</v>
      </c>
      <c r="O3627" s="10">
        <f>IF(AND(OR(H3627="APPROVED",H3627="SCHEDULED"),COUNTIFS(tblSource[EventID],F3627,tblSource[ReleaseStatus],"APPROVED")=1,COUNTIFS(Period_Status!$A$2:$A$8,G3627,Period_Status!$B$2:$B$8,"ActualClosed")=1,C3627&gt;EOMONTH(Settlement_Bridge!$C$2,0)),1,0)</f>
        <v>1</v>
      </c>
      <c r="P3627" s="2" t="s">
        <v>9918</v>
      </c>
    </row>
    <row r="3628" spans="1:16" x14ac:dyDescent="0.25">
      <c r="A3628" s="2" t="s">
        <v>9919</v>
      </c>
      <c r="B3628" s="2" t="s">
        <v>7433</v>
      </c>
      <c r="C3628" s="8">
        <v>46224</v>
      </c>
      <c r="D3628" s="6">
        <v>46204</v>
      </c>
      <c r="E3628" s="2" t="s">
        <v>260</v>
      </c>
      <c r="F3628" s="2" t="s">
        <v>9920</v>
      </c>
      <c r="G3628" s="6">
        <v>46204</v>
      </c>
      <c r="H3628" s="2" t="s">
        <v>71</v>
      </c>
      <c r="I3628" s="2" t="s">
        <v>76</v>
      </c>
      <c r="J3628" s="9">
        <v>64435419.354838997</v>
      </c>
      <c r="K3628" s="7">
        <v>6.2000000000000003E-5</v>
      </c>
      <c r="L3628" s="9">
        <v>3995</v>
      </c>
      <c r="M3628" s="9">
        <v>3995</v>
      </c>
      <c r="N3628" s="9">
        <v>2.2000000000000002</v>
      </c>
      <c r="O3628" s="10">
        <f>IF(AND(OR(H3628="APPROVED",H3628="SCHEDULED"),COUNTIFS(tblSource[EventID],F3628,tblSource[ReleaseStatus],"APPROVED")=1,COUNTIFS(Period_Status!$A$2:$A$8,G3628,Period_Status!$B$2:$B$8,"ActualClosed")=1,C3628&gt;EOMONTH(Settlement_Bridge!$C$2,0)),1,0)</f>
        <v>0</v>
      </c>
      <c r="P3628" s="2" t="s">
        <v>9921</v>
      </c>
    </row>
    <row r="3629" spans="1:16" x14ac:dyDescent="0.25">
      <c r="A3629" s="2" t="s">
        <v>9922</v>
      </c>
      <c r="B3629" s="2" t="s">
        <v>7433</v>
      </c>
      <c r="C3629" s="8">
        <v>46249</v>
      </c>
      <c r="D3629" s="6">
        <v>46235</v>
      </c>
      <c r="E3629" s="2" t="s">
        <v>260</v>
      </c>
      <c r="F3629" s="2" t="s">
        <v>9920</v>
      </c>
      <c r="G3629" s="6">
        <v>46204</v>
      </c>
      <c r="H3629" s="2" t="s">
        <v>71</v>
      </c>
      <c r="I3629" s="2" t="s">
        <v>76</v>
      </c>
      <c r="J3629" s="9">
        <v>96653129.032258004</v>
      </c>
      <c r="K3629" s="7">
        <v>6.1500000000000004E-5</v>
      </c>
      <c r="L3629" s="9">
        <v>5944.17</v>
      </c>
      <c r="M3629" s="9">
        <v>5992.49</v>
      </c>
      <c r="N3629" s="9">
        <v>3.27</v>
      </c>
      <c r="O3629" s="10">
        <f>IF(AND(OR(H3629="APPROVED",H3629="SCHEDULED"),COUNTIFS(tblSource[EventID],F3629,tblSource[ReleaseStatus],"APPROVED")=1,COUNTIFS(Period_Status!$A$2:$A$8,G3629,Period_Status!$B$2:$B$8,"ActualClosed")=1,C3629&gt;EOMONTH(Settlement_Bridge!$C$2,0)),1,0)</f>
        <v>1</v>
      </c>
      <c r="P3629" s="2" t="s">
        <v>9923</v>
      </c>
    </row>
    <row r="3630" spans="1:16" x14ac:dyDescent="0.25">
      <c r="A3630" s="2" t="s">
        <v>9924</v>
      </c>
      <c r="B3630" s="2" t="s">
        <v>7433</v>
      </c>
      <c r="C3630" s="8">
        <v>46225</v>
      </c>
      <c r="D3630" s="6">
        <v>46204</v>
      </c>
      <c r="E3630" s="2" t="s">
        <v>260</v>
      </c>
      <c r="F3630" s="2" t="s">
        <v>9925</v>
      </c>
      <c r="G3630" s="6">
        <v>46204</v>
      </c>
      <c r="H3630" s="2" t="s">
        <v>71</v>
      </c>
      <c r="I3630" s="2" t="s">
        <v>70</v>
      </c>
      <c r="J3630" s="9">
        <v>6239.7021279999999</v>
      </c>
      <c r="K3630" s="7">
        <v>0.65800000000000003</v>
      </c>
      <c r="L3630" s="9">
        <v>4105.72</v>
      </c>
      <c r="M3630" s="9">
        <v>4105.72</v>
      </c>
      <c r="N3630" s="9">
        <v>2.2599999999999998</v>
      </c>
      <c r="O3630" s="10">
        <f>IF(AND(OR(H3630="APPROVED",H3630="SCHEDULED"),COUNTIFS(tblSource[EventID],F3630,tblSource[ReleaseStatus],"APPROVED")=1,COUNTIFS(Period_Status!$A$2:$A$8,G3630,Period_Status!$B$2:$B$8,"ActualClosed")=1,C3630&gt;EOMONTH(Settlement_Bridge!$C$2,0)),1,0)</f>
        <v>0</v>
      </c>
      <c r="P3630" s="2" t="s">
        <v>9926</v>
      </c>
    </row>
    <row r="3631" spans="1:16" x14ac:dyDescent="0.25">
      <c r="A3631" s="2" t="s">
        <v>9927</v>
      </c>
      <c r="B3631" s="2" t="s">
        <v>7433</v>
      </c>
      <c r="C3631" s="8">
        <v>46250</v>
      </c>
      <c r="D3631" s="6">
        <v>46235</v>
      </c>
      <c r="E3631" s="2" t="s">
        <v>260</v>
      </c>
      <c r="F3631" s="2" t="s">
        <v>9925</v>
      </c>
      <c r="G3631" s="6">
        <v>46204</v>
      </c>
      <c r="H3631" s="2" t="s">
        <v>71</v>
      </c>
      <c r="I3631" s="2" t="s">
        <v>70</v>
      </c>
      <c r="J3631" s="9">
        <v>9359.5531910000009</v>
      </c>
      <c r="K3631" s="7">
        <v>0.65</v>
      </c>
      <c r="L3631" s="9">
        <v>6083.71</v>
      </c>
      <c r="M3631" s="9">
        <v>6158.59</v>
      </c>
      <c r="N3631" s="9">
        <v>3.35</v>
      </c>
      <c r="O3631" s="10">
        <f>IF(AND(OR(H3631="APPROVED",H3631="SCHEDULED"),COUNTIFS(tblSource[EventID],F3631,tblSource[ReleaseStatus],"APPROVED")=1,COUNTIFS(Period_Status!$A$2:$A$8,G3631,Period_Status!$B$2:$B$8,"ActualClosed")=1,C3631&gt;EOMONTH(Settlement_Bridge!$C$2,0)),1,0)</f>
        <v>1</v>
      </c>
      <c r="P3631" s="2" t="s">
        <v>9928</v>
      </c>
    </row>
    <row r="3632" spans="1:16" x14ac:dyDescent="0.25">
      <c r="A3632" s="2" t="s">
        <v>9929</v>
      </c>
      <c r="B3632" s="2" t="s">
        <v>7433</v>
      </c>
      <c r="C3632" s="8">
        <v>46226</v>
      </c>
      <c r="D3632" s="6">
        <v>46204</v>
      </c>
      <c r="E3632" s="2" t="s">
        <v>260</v>
      </c>
      <c r="F3632" s="2" t="s">
        <v>9930</v>
      </c>
      <c r="G3632" s="6">
        <v>46204</v>
      </c>
      <c r="H3632" s="2" t="s">
        <v>71</v>
      </c>
      <c r="I3632" s="2" t="s">
        <v>39</v>
      </c>
      <c r="J3632" s="9">
        <v>4216.4480000000003</v>
      </c>
      <c r="K3632" s="7">
        <v>1</v>
      </c>
      <c r="L3632" s="9">
        <v>4216.45</v>
      </c>
      <c r="M3632" s="9">
        <v>4216.45</v>
      </c>
      <c r="N3632" s="9">
        <v>2.3199999999999998</v>
      </c>
      <c r="O3632" s="10">
        <f>IF(AND(OR(H3632="APPROVED",H3632="SCHEDULED"),COUNTIFS(tblSource[EventID],F3632,tblSource[ReleaseStatus],"APPROVED")=1,COUNTIFS(Period_Status!$A$2:$A$8,G3632,Period_Status!$B$2:$B$8,"ActualClosed")=1,C3632&gt;EOMONTH(Settlement_Bridge!$C$2,0)),1,0)</f>
        <v>0</v>
      </c>
      <c r="P3632" s="2" t="s">
        <v>9931</v>
      </c>
    </row>
    <row r="3633" spans="1:16" x14ac:dyDescent="0.25">
      <c r="A3633" s="2" t="s">
        <v>9932</v>
      </c>
      <c r="B3633" s="2" t="s">
        <v>7433</v>
      </c>
      <c r="C3633" s="8">
        <v>46251</v>
      </c>
      <c r="D3633" s="6">
        <v>46235</v>
      </c>
      <c r="E3633" s="2" t="s">
        <v>260</v>
      </c>
      <c r="F3633" s="2" t="s">
        <v>9930</v>
      </c>
      <c r="G3633" s="6">
        <v>46204</v>
      </c>
      <c r="H3633" s="2" t="s">
        <v>71</v>
      </c>
      <c r="I3633" s="2" t="s">
        <v>39</v>
      </c>
      <c r="J3633" s="9">
        <v>6324.6719999999996</v>
      </c>
      <c r="K3633" s="7">
        <v>1</v>
      </c>
      <c r="L3633" s="9">
        <v>6324.67</v>
      </c>
      <c r="M3633" s="9">
        <v>6324.67</v>
      </c>
      <c r="N3633" s="9">
        <v>3.48</v>
      </c>
      <c r="O3633" s="10">
        <f>IF(AND(OR(H3633="APPROVED",H3633="SCHEDULED"),COUNTIFS(tblSource[EventID],F3633,tblSource[ReleaseStatus],"APPROVED")=1,COUNTIFS(Period_Status!$A$2:$A$8,G3633,Period_Status!$B$2:$B$8,"ActualClosed")=1,C3633&gt;EOMONTH(Settlement_Bridge!$C$2,0)),1,0)</f>
        <v>1</v>
      </c>
      <c r="P3633" s="2" t="s">
        <v>9933</v>
      </c>
    </row>
    <row r="3634" spans="1:16" x14ac:dyDescent="0.25">
      <c r="A3634" s="2" t="s">
        <v>9934</v>
      </c>
      <c r="B3634" s="2" t="s">
        <v>7433</v>
      </c>
      <c r="C3634" s="8">
        <v>46227</v>
      </c>
      <c r="D3634" s="6">
        <v>46204</v>
      </c>
      <c r="E3634" s="2" t="s">
        <v>260</v>
      </c>
      <c r="F3634" s="2" t="s">
        <v>9935</v>
      </c>
      <c r="G3634" s="6">
        <v>46204</v>
      </c>
      <c r="H3634" s="2" t="s">
        <v>71</v>
      </c>
      <c r="I3634" s="2" t="s">
        <v>76</v>
      </c>
      <c r="J3634" s="9">
        <v>69793161.290322006</v>
      </c>
      <c r="K3634" s="7">
        <v>6.2000000000000003E-5</v>
      </c>
      <c r="L3634" s="9">
        <v>4327.18</v>
      </c>
      <c r="M3634" s="9">
        <v>4327.18</v>
      </c>
      <c r="N3634" s="9">
        <v>2.38</v>
      </c>
      <c r="O3634" s="10">
        <f>IF(AND(OR(H3634="APPROVED",H3634="SCHEDULED"),COUNTIFS(tblSource[EventID],F3634,tblSource[ReleaseStatus],"APPROVED")=1,COUNTIFS(Period_Status!$A$2:$A$8,G3634,Period_Status!$B$2:$B$8,"ActualClosed")=1,C3634&gt;EOMONTH(Settlement_Bridge!$C$2,0)),1,0)</f>
        <v>0</v>
      </c>
      <c r="P3634" s="2" t="s">
        <v>9936</v>
      </c>
    </row>
    <row r="3635" spans="1:16" x14ac:dyDescent="0.25">
      <c r="A3635" s="2" t="s">
        <v>9937</v>
      </c>
      <c r="B3635" s="2" t="s">
        <v>7433</v>
      </c>
      <c r="C3635" s="8">
        <v>46252</v>
      </c>
      <c r="D3635" s="6">
        <v>46235</v>
      </c>
      <c r="E3635" s="2" t="s">
        <v>260</v>
      </c>
      <c r="F3635" s="2" t="s">
        <v>9935</v>
      </c>
      <c r="G3635" s="6">
        <v>46204</v>
      </c>
      <c r="H3635" s="2" t="s">
        <v>71</v>
      </c>
      <c r="I3635" s="2" t="s">
        <v>76</v>
      </c>
      <c r="J3635" s="9">
        <v>104689741.93548401</v>
      </c>
      <c r="K3635" s="7">
        <v>6.1500000000000004E-5</v>
      </c>
      <c r="L3635" s="9">
        <v>6438.42</v>
      </c>
      <c r="M3635" s="9">
        <v>6490.76</v>
      </c>
      <c r="N3635" s="9">
        <v>3.54</v>
      </c>
      <c r="O3635" s="10">
        <f>IF(AND(OR(H3635="APPROVED",H3635="SCHEDULED"),COUNTIFS(tblSource[EventID],F3635,tblSource[ReleaseStatus],"APPROVED")=1,COUNTIFS(Period_Status!$A$2:$A$8,G3635,Period_Status!$B$2:$B$8,"ActualClosed")=1,C3635&gt;EOMONTH(Settlement_Bridge!$C$2,0)),1,0)</f>
        <v>1</v>
      </c>
      <c r="P3635" s="2" t="s">
        <v>9938</v>
      </c>
    </row>
    <row r="3636" spans="1:16" x14ac:dyDescent="0.25">
      <c r="A3636" s="2" t="s">
        <v>9939</v>
      </c>
      <c r="B3636" s="2" t="s">
        <v>7433</v>
      </c>
      <c r="C3636" s="8">
        <v>46228</v>
      </c>
      <c r="D3636" s="6">
        <v>46204</v>
      </c>
      <c r="E3636" s="2" t="s">
        <v>260</v>
      </c>
      <c r="F3636" s="2" t="s">
        <v>9940</v>
      </c>
      <c r="G3636" s="6">
        <v>46204</v>
      </c>
      <c r="H3636" s="2" t="s">
        <v>71</v>
      </c>
      <c r="I3636" s="2" t="s">
        <v>70</v>
      </c>
      <c r="J3636" s="9">
        <v>6744.5349539999997</v>
      </c>
      <c r="K3636" s="7">
        <v>0.65800000000000003</v>
      </c>
      <c r="L3636" s="9">
        <v>4437.8999999999996</v>
      </c>
      <c r="M3636" s="9">
        <v>4437.8999999999996</v>
      </c>
      <c r="N3636" s="9">
        <v>2.44</v>
      </c>
      <c r="O3636" s="10">
        <f>IF(AND(OR(H3636="APPROVED",H3636="SCHEDULED"),COUNTIFS(tblSource[EventID],F3636,tblSource[ReleaseStatus],"APPROVED")=1,COUNTIFS(Period_Status!$A$2:$A$8,G3636,Period_Status!$B$2:$B$8,"ActualClosed")=1,C3636&gt;EOMONTH(Settlement_Bridge!$C$2,0)),1,0)</f>
        <v>0</v>
      </c>
      <c r="P3636" s="2" t="s">
        <v>9941</v>
      </c>
    </row>
    <row r="3637" spans="1:16" x14ac:dyDescent="0.25">
      <c r="A3637" s="2" t="s">
        <v>9942</v>
      </c>
      <c r="B3637" s="2" t="s">
        <v>7433</v>
      </c>
      <c r="C3637" s="8">
        <v>46253</v>
      </c>
      <c r="D3637" s="6">
        <v>46235</v>
      </c>
      <c r="E3637" s="2" t="s">
        <v>260</v>
      </c>
      <c r="F3637" s="2" t="s">
        <v>9940</v>
      </c>
      <c r="G3637" s="6">
        <v>46204</v>
      </c>
      <c r="H3637" s="2" t="s">
        <v>71</v>
      </c>
      <c r="I3637" s="2" t="s">
        <v>70</v>
      </c>
      <c r="J3637" s="9">
        <v>10116.802432</v>
      </c>
      <c r="K3637" s="7">
        <v>0.65</v>
      </c>
      <c r="L3637" s="9">
        <v>6575.92</v>
      </c>
      <c r="M3637" s="9">
        <v>6656.86</v>
      </c>
      <c r="N3637" s="9">
        <v>3.62</v>
      </c>
      <c r="O3637" s="10">
        <f>IF(AND(OR(H3637="APPROVED",H3637="SCHEDULED"),COUNTIFS(tblSource[EventID],F3637,tblSource[ReleaseStatus],"APPROVED")=1,COUNTIFS(Period_Status!$A$2:$A$8,G3637,Period_Status!$B$2:$B$8,"ActualClosed")=1,C3637&gt;EOMONTH(Settlement_Bridge!$C$2,0)),1,0)</f>
        <v>1</v>
      </c>
      <c r="P3637" s="2" t="s">
        <v>9943</v>
      </c>
    </row>
    <row r="3638" spans="1:16" x14ac:dyDescent="0.25">
      <c r="A3638" s="2" t="s">
        <v>9944</v>
      </c>
      <c r="B3638" s="2" t="s">
        <v>7433</v>
      </c>
      <c r="C3638" s="8">
        <v>46229</v>
      </c>
      <c r="D3638" s="6">
        <v>46204</v>
      </c>
      <c r="E3638" s="2" t="s">
        <v>260</v>
      </c>
      <c r="F3638" s="2" t="s">
        <v>9945</v>
      </c>
      <c r="G3638" s="6">
        <v>46204</v>
      </c>
      <c r="H3638" s="2" t="s">
        <v>71</v>
      </c>
      <c r="I3638" s="2" t="s">
        <v>39</v>
      </c>
      <c r="J3638" s="9">
        <v>4548.6279999999997</v>
      </c>
      <c r="K3638" s="7">
        <v>1</v>
      </c>
      <c r="L3638" s="9">
        <v>4548.63</v>
      </c>
      <c r="M3638" s="9">
        <v>4548.63</v>
      </c>
      <c r="N3638" s="9">
        <v>2.5</v>
      </c>
      <c r="O3638" s="10">
        <f>IF(AND(OR(H3638="APPROVED",H3638="SCHEDULED"),COUNTIFS(tblSource[EventID],F3638,tblSource[ReleaseStatus],"APPROVED")=1,COUNTIFS(Period_Status!$A$2:$A$8,G3638,Period_Status!$B$2:$B$8,"ActualClosed")=1,C3638&gt;EOMONTH(Settlement_Bridge!$C$2,0)),1,0)</f>
        <v>0</v>
      </c>
      <c r="P3638" s="2" t="s">
        <v>9946</v>
      </c>
    </row>
    <row r="3639" spans="1:16" x14ac:dyDescent="0.25">
      <c r="A3639" s="2" t="s">
        <v>9947</v>
      </c>
      <c r="B3639" s="2" t="s">
        <v>7433</v>
      </c>
      <c r="C3639" s="8">
        <v>46254</v>
      </c>
      <c r="D3639" s="6">
        <v>46235</v>
      </c>
      <c r="E3639" s="2" t="s">
        <v>260</v>
      </c>
      <c r="F3639" s="2" t="s">
        <v>9945</v>
      </c>
      <c r="G3639" s="6">
        <v>46204</v>
      </c>
      <c r="H3639" s="2" t="s">
        <v>71</v>
      </c>
      <c r="I3639" s="2" t="s">
        <v>39</v>
      </c>
      <c r="J3639" s="9">
        <v>6822.942</v>
      </c>
      <c r="K3639" s="7">
        <v>1</v>
      </c>
      <c r="L3639" s="9">
        <v>6822.94</v>
      </c>
      <c r="M3639" s="9">
        <v>6822.94</v>
      </c>
      <c r="N3639" s="9">
        <v>3.75</v>
      </c>
      <c r="O3639" s="10">
        <f>IF(AND(OR(H3639="APPROVED",H3639="SCHEDULED"),COUNTIFS(tblSource[EventID],F3639,tblSource[ReleaseStatus],"APPROVED")=1,COUNTIFS(Period_Status!$A$2:$A$8,G3639,Period_Status!$B$2:$B$8,"ActualClosed")=1,C3639&gt;EOMONTH(Settlement_Bridge!$C$2,0)),1,0)</f>
        <v>1</v>
      </c>
      <c r="P3639" s="2" t="s">
        <v>9948</v>
      </c>
    </row>
    <row r="3640" spans="1:16" x14ac:dyDescent="0.25">
      <c r="A3640" s="2" t="s">
        <v>9949</v>
      </c>
      <c r="B3640" s="2" t="s">
        <v>7433</v>
      </c>
      <c r="C3640" s="8">
        <v>46230</v>
      </c>
      <c r="D3640" s="6">
        <v>46204</v>
      </c>
      <c r="E3640" s="2" t="s">
        <v>260</v>
      </c>
      <c r="F3640" s="2" t="s">
        <v>9950</v>
      </c>
      <c r="G3640" s="6">
        <v>46204</v>
      </c>
      <c r="H3640" s="2" t="s">
        <v>71</v>
      </c>
      <c r="I3640" s="2" t="s">
        <v>76</v>
      </c>
      <c r="J3640" s="9">
        <v>75150838.709677994</v>
      </c>
      <c r="K3640" s="7">
        <v>6.2000000000000003E-5</v>
      </c>
      <c r="L3640" s="9">
        <v>4659.3500000000004</v>
      </c>
      <c r="M3640" s="9">
        <v>4659.3500000000004</v>
      </c>
      <c r="N3640" s="9">
        <v>2.56</v>
      </c>
      <c r="O3640" s="10">
        <f>IF(AND(OR(H3640="APPROVED",H3640="SCHEDULED"),COUNTIFS(tblSource[EventID],F3640,tblSource[ReleaseStatus],"APPROVED")=1,COUNTIFS(Period_Status!$A$2:$A$8,G3640,Period_Status!$B$2:$B$8,"ActualClosed")=1,C3640&gt;EOMONTH(Settlement_Bridge!$C$2,0)),1,0)</f>
        <v>0</v>
      </c>
      <c r="P3640" s="2" t="s">
        <v>9951</v>
      </c>
    </row>
    <row r="3641" spans="1:16" x14ac:dyDescent="0.25">
      <c r="A3641" s="2" t="s">
        <v>9952</v>
      </c>
      <c r="B3641" s="2" t="s">
        <v>7433</v>
      </c>
      <c r="C3641" s="8">
        <v>46255</v>
      </c>
      <c r="D3641" s="6">
        <v>46235</v>
      </c>
      <c r="E3641" s="2" t="s">
        <v>260</v>
      </c>
      <c r="F3641" s="2" t="s">
        <v>9950</v>
      </c>
      <c r="G3641" s="6">
        <v>46204</v>
      </c>
      <c r="H3641" s="2" t="s">
        <v>71</v>
      </c>
      <c r="I3641" s="2" t="s">
        <v>76</v>
      </c>
      <c r="J3641" s="9">
        <v>112726258.06451599</v>
      </c>
      <c r="K3641" s="7">
        <v>6.1500000000000004E-5</v>
      </c>
      <c r="L3641" s="9">
        <v>6932.66</v>
      </c>
      <c r="M3641" s="9">
        <v>6989.03</v>
      </c>
      <c r="N3641" s="9">
        <v>3.81</v>
      </c>
      <c r="O3641" s="10">
        <f>IF(AND(OR(H3641="APPROVED",H3641="SCHEDULED"),COUNTIFS(tblSource[EventID],F3641,tblSource[ReleaseStatus],"APPROVED")=1,COUNTIFS(Period_Status!$A$2:$A$8,G3641,Period_Status!$B$2:$B$8,"ActualClosed")=1,C3641&gt;EOMONTH(Settlement_Bridge!$C$2,0)),1,0)</f>
        <v>1</v>
      </c>
      <c r="P3641" s="2" t="s">
        <v>9953</v>
      </c>
    </row>
    <row r="3642" spans="1:16" x14ac:dyDescent="0.25">
      <c r="A3642" s="2" t="s">
        <v>9954</v>
      </c>
      <c r="B3642" s="2" t="s">
        <v>7433</v>
      </c>
      <c r="C3642" s="8">
        <v>46231</v>
      </c>
      <c r="D3642" s="6">
        <v>46204</v>
      </c>
      <c r="E3642" s="2" t="s">
        <v>260</v>
      </c>
      <c r="F3642" s="2" t="s">
        <v>9955</v>
      </c>
      <c r="G3642" s="6">
        <v>46204</v>
      </c>
      <c r="H3642" s="2" t="s">
        <v>71</v>
      </c>
      <c r="I3642" s="2" t="s">
        <v>70</v>
      </c>
      <c r="J3642" s="9">
        <v>7249.3617020000002</v>
      </c>
      <c r="K3642" s="7">
        <v>0.65800000000000003</v>
      </c>
      <c r="L3642" s="9">
        <v>4770.08</v>
      </c>
      <c r="M3642" s="9">
        <v>4770.08</v>
      </c>
      <c r="N3642" s="9">
        <v>2.62</v>
      </c>
      <c r="O3642" s="10">
        <f>IF(AND(OR(H3642="APPROVED",H3642="SCHEDULED"),COUNTIFS(tblSource[EventID],F3642,tblSource[ReleaseStatus],"APPROVED")=1,COUNTIFS(Period_Status!$A$2:$A$8,G3642,Period_Status!$B$2:$B$8,"ActualClosed")=1,C3642&gt;EOMONTH(Settlement_Bridge!$C$2,0)),1,0)</f>
        <v>0</v>
      </c>
      <c r="P3642" s="2" t="s">
        <v>9956</v>
      </c>
    </row>
    <row r="3643" spans="1:16" x14ac:dyDescent="0.25">
      <c r="A3643" s="2" t="s">
        <v>9957</v>
      </c>
      <c r="B3643" s="2" t="s">
        <v>7433</v>
      </c>
      <c r="C3643" s="8">
        <v>46256</v>
      </c>
      <c r="D3643" s="6">
        <v>46235</v>
      </c>
      <c r="E3643" s="2" t="s">
        <v>260</v>
      </c>
      <c r="F3643" s="2" t="s">
        <v>9955</v>
      </c>
      <c r="G3643" s="6">
        <v>46204</v>
      </c>
      <c r="H3643" s="2" t="s">
        <v>71</v>
      </c>
      <c r="I3643" s="2" t="s">
        <v>70</v>
      </c>
      <c r="J3643" s="9">
        <v>10874.042552999999</v>
      </c>
      <c r="K3643" s="7">
        <v>0.65</v>
      </c>
      <c r="L3643" s="9">
        <v>7068.13</v>
      </c>
      <c r="M3643" s="9">
        <v>7155.12</v>
      </c>
      <c r="N3643" s="9">
        <v>3.89</v>
      </c>
      <c r="O3643" s="10">
        <f>IF(AND(OR(H3643="APPROVED",H3643="SCHEDULED"),COUNTIFS(tblSource[EventID],F3643,tblSource[ReleaseStatus],"APPROVED")=1,COUNTIFS(Period_Status!$A$2:$A$8,G3643,Period_Status!$B$2:$B$8,"ActualClosed")=1,C3643&gt;EOMONTH(Settlement_Bridge!$C$2,0)),1,0)</f>
        <v>1</v>
      </c>
      <c r="P3643" s="2" t="s">
        <v>9958</v>
      </c>
    </row>
    <row r="3644" spans="1:16" x14ac:dyDescent="0.25">
      <c r="A3644" s="2" t="s">
        <v>9959</v>
      </c>
      <c r="B3644" s="2" t="s">
        <v>7433</v>
      </c>
      <c r="C3644" s="8">
        <v>46232</v>
      </c>
      <c r="D3644" s="6">
        <v>46204</v>
      </c>
      <c r="E3644" s="2" t="s">
        <v>260</v>
      </c>
      <c r="F3644" s="2" t="s">
        <v>9960</v>
      </c>
      <c r="G3644" s="6">
        <v>46204</v>
      </c>
      <c r="H3644" s="2" t="s">
        <v>71</v>
      </c>
      <c r="I3644" s="2" t="s">
        <v>39</v>
      </c>
      <c r="J3644" s="9">
        <v>4880.808</v>
      </c>
      <c r="K3644" s="7">
        <v>1</v>
      </c>
      <c r="L3644" s="9">
        <v>4880.8100000000004</v>
      </c>
      <c r="M3644" s="9">
        <v>4880.8100000000004</v>
      </c>
      <c r="N3644" s="9">
        <v>2.68</v>
      </c>
      <c r="O3644" s="10">
        <f>IF(AND(OR(H3644="APPROVED",H3644="SCHEDULED"),COUNTIFS(tblSource[EventID],F3644,tblSource[ReleaseStatus],"APPROVED")=1,COUNTIFS(Period_Status!$A$2:$A$8,G3644,Period_Status!$B$2:$B$8,"ActualClosed")=1,C3644&gt;EOMONTH(Settlement_Bridge!$C$2,0)),1,0)</f>
        <v>0</v>
      </c>
      <c r="P3644" s="2" t="s">
        <v>9961</v>
      </c>
    </row>
    <row r="3645" spans="1:16" x14ac:dyDescent="0.25">
      <c r="A3645" s="2" t="s">
        <v>9962</v>
      </c>
      <c r="B3645" s="2" t="s">
        <v>7433</v>
      </c>
      <c r="C3645" s="8">
        <v>46257</v>
      </c>
      <c r="D3645" s="6">
        <v>46235</v>
      </c>
      <c r="E3645" s="2" t="s">
        <v>260</v>
      </c>
      <c r="F3645" s="2" t="s">
        <v>9960</v>
      </c>
      <c r="G3645" s="6">
        <v>46204</v>
      </c>
      <c r="H3645" s="2" t="s">
        <v>71</v>
      </c>
      <c r="I3645" s="2" t="s">
        <v>39</v>
      </c>
      <c r="J3645" s="9">
        <v>7321.2120000000004</v>
      </c>
      <c r="K3645" s="7">
        <v>1</v>
      </c>
      <c r="L3645" s="9">
        <v>7321.21</v>
      </c>
      <c r="M3645" s="9">
        <v>7321.21</v>
      </c>
      <c r="N3645" s="9">
        <v>4.03</v>
      </c>
      <c r="O3645" s="10">
        <f>IF(AND(OR(H3645="APPROVED",H3645="SCHEDULED"),COUNTIFS(tblSource[EventID],F3645,tblSource[ReleaseStatus],"APPROVED")=1,COUNTIFS(Period_Status!$A$2:$A$8,G3645,Period_Status!$B$2:$B$8,"ActualClosed")=1,C3645&gt;EOMONTH(Settlement_Bridge!$C$2,0)),1,0)</f>
        <v>1</v>
      </c>
      <c r="P3645" s="2" t="s">
        <v>9963</v>
      </c>
    </row>
    <row r="3646" spans="1:16" x14ac:dyDescent="0.25">
      <c r="A3646" s="2" t="s">
        <v>9964</v>
      </c>
      <c r="B3646" s="2" t="s">
        <v>7433</v>
      </c>
      <c r="C3646" s="8">
        <v>46233</v>
      </c>
      <c r="D3646" s="6">
        <v>46204</v>
      </c>
      <c r="E3646" s="2" t="s">
        <v>260</v>
      </c>
      <c r="F3646" s="2" t="s">
        <v>9965</v>
      </c>
      <c r="G3646" s="6">
        <v>46204</v>
      </c>
      <c r="H3646" s="2" t="s">
        <v>71</v>
      </c>
      <c r="I3646" s="2" t="s">
        <v>76</v>
      </c>
      <c r="J3646" s="9">
        <v>80508580.645161003</v>
      </c>
      <c r="K3646" s="7">
        <v>6.2000000000000003E-5</v>
      </c>
      <c r="L3646" s="9">
        <v>4991.53</v>
      </c>
      <c r="M3646" s="9">
        <v>4991.53</v>
      </c>
      <c r="N3646" s="9">
        <v>2.75</v>
      </c>
      <c r="O3646" s="10">
        <f>IF(AND(OR(H3646="APPROVED",H3646="SCHEDULED"),COUNTIFS(tblSource[EventID],F3646,tblSource[ReleaseStatus],"APPROVED")=1,COUNTIFS(Period_Status!$A$2:$A$8,G3646,Period_Status!$B$2:$B$8,"ActualClosed")=1,C3646&gt;EOMONTH(Settlement_Bridge!$C$2,0)),1,0)</f>
        <v>0</v>
      </c>
      <c r="P3646" s="2" t="s">
        <v>9966</v>
      </c>
    </row>
    <row r="3647" spans="1:16" x14ac:dyDescent="0.25">
      <c r="A3647" s="2" t="s">
        <v>9967</v>
      </c>
      <c r="B3647" s="2" t="s">
        <v>7433</v>
      </c>
      <c r="C3647" s="8">
        <v>46258</v>
      </c>
      <c r="D3647" s="6">
        <v>46235</v>
      </c>
      <c r="E3647" s="2" t="s">
        <v>260</v>
      </c>
      <c r="F3647" s="2" t="s">
        <v>9965</v>
      </c>
      <c r="G3647" s="6">
        <v>46204</v>
      </c>
      <c r="H3647" s="2" t="s">
        <v>71</v>
      </c>
      <c r="I3647" s="2" t="s">
        <v>76</v>
      </c>
      <c r="J3647" s="9">
        <v>120762870.967742</v>
      </c>
      <c r="K3647" s="7">
        <v>6.1500000000000004E-5</v>
      </c>
      <c r="L3647" s="9">
        <v>7426.92</v>
      </c>
      <c r="M3647" s="9">
        <v>7487.3</v>
      </c>
      <c r="N3647" s="9">
        <v>4.08</v>
      </c>
      <c r="O3647" s="10">
        <f>IF(AND(OR(H3647="APPROVED",H3647="SCHEDULED"),COUNTIFS(tblSource[EventID],F3647,tblSource[ReleaseStatus],"APPROVED")=1,COUNTIFS(Period_Status!$A$2:$A$8,G3647,Period_Status!$B$2:$B$8,"ActualClosed")=1,C3647&gt;EOMONTH(Settlement_Bridge!$C$2,0)),1,0)</f>
        <v>1</v>
      </c>
      <c r="P3647" s="2" t="s">
        <v>9968</v>
      </c>
    </row>
    <row r="3648" spans="1:16" x14ac:dyDescent="0.25">
      <c r="A3648" s="2" t="s">
        <v>9969</v>
      </c>
      <c r="B3648" s="2" t="s">
        <v>7433</v>
      </c>
      <c r="C3648" s="8">
        <v>46234</v>
      </c>
      <c r="D3648" s="6">
        <v>46204</v>
      </c>
      <c r="E3648" s="2" t="s">
        <v>260</v>
      </c>
      <c r="F3648" s="2" t="s">
        <v>9970</v>
      </c>
      <c r="G3648" s="6">
        <v>46204</v>
      </c>
      <c r="H3648" s="2" t="s">
        <v>71</v>
      </c>
      <c r="I3648" s="2" t="s">
        <v>70</v>
      </c>
      <c r="J3648" s="9">
        <v>7754.1945290000003</v>
      </c>
      <c r="K3648" s="7">
        <v>0.65800000000000003</v>
      </c>
      <c r="L3648" s="9">
        <v>5102.26</v>
      </c>
      <c r="M3648" s="9">
        <v>5102.26</v>
      </c>
      <c r="N3648" s="9">
        <v>2.81</v>
      </c>
      <c r="O3648" s="10">
        <f>IF(AND(OR(H3648="APPROVED",H3648="SCHEDULED"),COUNTIFS(tblSource[EventID],F3648,tblSource[ReleaseStatus],"APPROVED")=1,COUNTIFS(Period_Status!$A$2:$A$8,G3648,Period_Status!$B$2:$B$8,"ActualClosed")=1,C3648&gt;EOMONTH(Settlement_Bridge!$C$2,0)),1,0)</f>
        <v>0</v>
      </c>
      <c r="P3648" s="2" t="s">
        <v>9971</v>
      </c>
    </row>
    <row r="3649" spans="1:16" x14ac:dyDescent="0.25">
      <c r="A3649" s="2" t="s">
        <v>9972</v>
      </c>
      <c r="B3649" s="2" t="s">
        <v>7433</v>
      </c>
      <c r="C3649" s="8">
        <v>46259</v>
      </c>
      <c r="D3649" s="6">
        <v>46235</v>
      </c>
      <c r="E3649" s="2" t="s">
        <v>260</v>
      </c>
      <c r="F3649" s="2" t="s">
        <v>9970</v>
      </c>
      <c r="G3649" s="6">
        <v>46204</v>
      </c>
      <c r="H3649" s="2" t="s">
        <v>71</v>
      </c>
      <c r="I3649" s="2" t="s">
        <v>70</v>
      </c>
      <c r="J3649" s="9">
        <v>11631.291793</v>
      </c>
      <c r="K3649" s="7">
        <v>0.65</v>
      </c>
      <c r="L3649" s="9">
        <v>7560.34</v>
      </c>
      <c r="M3649" s="9">
        <v>7653.39</v>
      </c>
      <c r="N3649" s="9">
        <v>4.16</v>
      </c>
      <c r="O3649" s="10">
        <f>IF(AND(OR(H3649="APPROVED",H3649="SCHEDULED"),COUNTIFS(tblSource[EventID],F3649,tblSource[ReleaseStatus],"APPROVED")=1,COUNTIFS(Period_Status!$A$2:$A$8,G3649,Period_Status!$B$2:$B$8,"ActualClosed")=1,C3649&gt;EOMONTH(Settlement_Bridge!$C$2,0)),1,0)</f>
        <v>1</v>
      </c>
      <c r="P3649" s="2" t="s">
        <v>9973</v>
      </c>
    </row>
    <row r="3650" spans="1:16" x14ac:dyDescent="0.25">
      <c r="A3650" s="2" t="s">
        <v>9974</v>
      </c>
      <c r="B3650" s="2" t="s">
        <v>7433</v>
      </c>
      <c r="C3650" s="8">
        <v>46235</v>
      </c>
      <c r="D3650" s="6">
        <v>46235</v>
      </c>
      <c r="E3650" s="2" t="s">
        <v>260</v>
      </c>
      <c r="F3650" s="2" t="s">
        <v>9975</v>
      </c>
      <c r="G3650" s="6">
        <v>46204</v>
      </c>
      <c r="H3650" s="2" t="s">
        <v>71</v>
      </c>
      <c r="I3650" s="2" t="s">
        <v>39</v>
      </c>
      <c r="J3650" s="9">
        <v>5212.9840000000004</v>
      </c>
      <c r="K3650" s="7">
        <v>1</v>
      </c>
      <c r="L3650" s="9">
        <v>5212.9799999999996</v>
      </c>
      <c r="M3650" s="9">
        <v>5212.9799999999996</v>
      </c>
      <c r="N3650" s="9">
        <v>2.87</v>
      </c>
      <c r="O3650" s="10">
        <f>IF(AND(OR(H3650="APPROVED",H3650="SCHEDULED"),COUNTIFS(tblSource[EventID],F3650,tblSource[ReleaseStatus],"APPROVED")=1,COUNTIFS(Period_Status!$A$2:$A$8,G3650,Period_Status!$B$2:$B$8,"ActualClosed")=1,C3650&gt;EOMONTH(Settlement_Bridge!$C$2,0)),1,0)</f>
        <v>1</v>
      </c>
      <c r="P3650" s="2" t="s">
        <v>9976</v>
      </c>
    </row>
    <row r="3651" spans="1:16" x14ac:dyDescent="0.25">
      <c r="A3651" s="2" t="s">
        <v>9977</v>
      </c>
      <c r="B3651" s="2" t="s">
        <v>7433</v>
      </c>
      <c r="C3651" s="8">
        <v>46260</v>
      </c>
      <c r="D3651" s="6">
        <v>46235</v>
      </c>
      <c r="E3651" s="2" t="s">
        <v>260</v>
      </c>
      <c r="F3651" s="2" t="s">
        <v>9975</v>
      </c>
      <c r="G3651" s="6">
        <v>46204</v>
      </c>
      <c r="H3651" s="2" t="s">
        <v>71</v>
      </c>
      <c r="I3651" s="2" t="s">
        <v>39</v>
      </c>
      <c r="J3651" s="9">
        <v>7819.4759999999997</v>
      </c>
      <c r="K3651" s="7">
        <v>1</v>
      </c>
      <c r="L3651" s="9">
        <v>7819.48</v>
      </c>
      <c r="M3651" s="9">
        <v>7819.48</v>
      </c>
      <c r="N3651" s="9">
        <v>4.3</v>
      </c>
      <c r="O3651" s="10">
        <f>IF(AND(OR(H3651="APPROVED",H3651="SCHEDULED"),COUNTIFS(tblSource[EventID],F3651,tblSource[ReleaseStatus],"APPROVED")=1,COUNTIFS(Period_Status!$A$2:$A$8,G3651,Period_Status!$B$2:$B$8,"ActualClosed")=1,C3651&gt;EOMONTH(Settlement_Bridge!$C$2,0)),1,0)</f>
        <v>1</v>
      </c>
      <c r="P3651" s="2" t="s">
        <v>9978</v>
      </c>
    </row>
    <row r="3652" spans="1:16" x14ac:dyDescent="0.25">
      <c r="A3652" s="2" t="s">
        <v>9979</v>
      </c>
      <c r="B3652" s="2" t="s">
        <v>7433</v>
      </c>
      <c r="C3652" s="8">
        <v>46236</v>
      </c>
      <c r="D3652" s="6">
        <v>46235</v>
      </c>
      <c r="E3652" s="2" t="s">
        <v>260</v>
      </c>
      <c r="F3652" s="2" t="s">
        <v>9980</v>
      </c>
      <c r="G3652" s="6">
        <v>46204</v>
      </c>
      <c r="H3652" s="2" t="s">
        <v>71</v>
      </c>
      <c r="I3652" s="2" t="s">
        <v>76</v>
      </c>
      <c r="J3652" s="9">
        <v>85866322.580644995</v>
      </c>
      <c r="K3652" s="7">
        <v>6.1500000000000004E-5</v>
      </c>
      <c r="L3652" s="9">
        <v>5280.78</v>
      </c>
      <c r="M3652" s="9">
        <v>5323.71</v>
      </c>
      <c r="N3652" s="9">
        <v>2.9</v>
      </c>
      <c r="O3652" s="10">
        <f>IF(AND(OR(H3652="APPROVED",H3652="SCHEDULED"),COUNTIFS(tblSource[EventID],F3652,tblSource[ReleaseStatus],"APPROVED")=1,COUNTIFS(Period_Status!$A$2:$A$8,G3652,Period_Status!$B$2:$B$8,"ActualClosed")=1,C3652&gt;EOMONTH(Settlement_Bridge!$C$2,0)),1,0)</f>
        <v>1</v>
      </c>
      <c r="P3652" s="2" t="s">
        <v>9981</v>
      </c>
    </row>
    <row r="3653" spans="1:16" x14ac:dyDescent="0.25">
      <c r="A3653" s="2" t="s">
        <v>9982</v>
      </c>
      <c r="B3653" s="2" t="s">
        <v>7433</v>
      </c>
      <c r="C3653" s="8">
        <v>46261</v>
      </c>
      <c r="D3653" s="6">
        <v>46235</v>
      </c>
      <c r="E3653" s="2" t="s">
        <v>260</v>
      </c>
      <c r="F3653" s="2" t="s">
        <v>9980</v>
      </c>
      <c r="G3653" s="6">
        <v>46204</v>
      </c>
      <c r="H3653" s="2" t="s">
        <v>71</v>
      </c>
      <c r="I3653" s="2" t="s">
        <v>76</v>
      </c>
      <c r="J3653" s="9">
        <v>128799483.870968</v>
      </c>
      <c r="K3653" s="7">
        <v>6.1500000000000004E-5</v>
      </c>
      <c r="L3653" s="9">
        <v>7921.17</v>
      </c>
      <c r="M3653" s="9">
        <v>7985.57</v>
      </c>
      <c r="N3653" s="9">
        <v>4.3600000000000003</v>
      </c>
      <c r="O3653" s="10">
        <f>IF(AND(OR(H3653="APPROVED",H3653="SCHEDULED"),COUNTIFS(tblSource[EventID],F3653,tblSource[ReleaseStatus],"APPROVED")=1,COUNTIFS(Period_Status!$A$2:$A$8,G3653,Period_Status!$B$2:$B$8,"ActualClosed")=1,C3653&gt;EOMONTH(Settlement_Bridge!$C$2,0)),1,0)</f>
        <v>1</v>
      </c>
      <c r="P3653" s="2" t="s">
        <v>9983</v>
      </c>
    </row>
    <row r="3654" spans="1:16" x14ac:dyDescent="0.25">
      <c r="A3654" s="2" t="s">
        <v>9984</v>
      </c>
      <c r="B3654" s="2" t="s">
        <v>7433</v>
      </c>
      <c r="C3654" s="8">
        <v>46237</v>
      </c>
      <c r="D3654" s="6">
        <v>46235</v>
      </c>
      <c r="E3654" s="2" t="s">
        <v>260</v>
      </c>
      <c r="F3654" s="2" t="s">
        <v>9985</v>
      </c>
      <c r="G3654" s="6">
        <v>46204</v>
      </c>
      <c r="H3654" s="2" t="s">
        <v>71</v>
      </c>
      <c r="I3654" s="2" t="s">
        <v>70</v>
      </c>
      <c r="J3654" s="9">
        <v>8259.0212759999995</v>
      </c>
      <c r="K3654" s="7">
        <v>0.65</v>
      </c>
      <c r="L3654" s="9">
        <v>5368.36</v>
      </c>
      <c r="M3654" s="9">
        <v>5434.44</v>
      </c>
      <c r="N3654" s="9">
        <v>2.95</v>
      </c>
      <c r="O3654" s="10">
        <f>IF(AND(OR(H3654="APPROVED",H3654="SCHEDULED"),COUNTIFS(tblSource[EventID],F3654,tblSource[ReleaseStatus],"APPROVED")=1,COUNTIFS(Period_Status!$A$2:$A$8,G3654,Period_Status!$B$2:$B$8,"ActualClosed")=1,C3654&gt;EOMONTH(Settlement_Bridge!$C$2,0)),1,0)</f>
        <v>1</v>
      </c>
      <c r="P3654" s="2" t="s">
        <v>9986</v>
      </c>
    </row>
    <row r="3655" spans="1:16" x14ac:dyDescent="0.25">
      <c r="A3655" s="2" t="s">
        <v>9987</v>
      </c>
      <c r="B3655" s="2" t="s">
        <v>7433</v>
      </c>
      <c r="C3655" s="8">
        <v>46262</v>
      </c>
      <c r="D3655" s="6">
        <v>46235</v>
      </c>
      <c r="E3655" s="2" t="s">
        <v>260</v>
      </c>
      <c r="F3655" s="2" t="s">
        <v>9985</v>
      </c>
      <c r="G3655" s="6">
        <v>46204</v>
      </c>
      <c r="H3655" s="2" t="s">
        <v>71</v>
      </c>
      <c r="I3655" s="2" t="s">
        <v>70</v>
      </c>
      <c r="J3655" s="9">
        <v>12388.531915</v>
      </c>
      <c r="K3655" s="7">
        <v>0.65</v>
      </c>
      <c r="L3655" s="9">
        <v>8052.55</v>
      </c>
      <c r="M3655" s="9">
        <v>8151.65</v>
      </c>
      <c r="N3655" s="9">
        <v>4.43</v>
      </c>
      <c r="O3655" s="10">
        <f>IF(AND(OR(H3655="APPROVED",H3655="SCHEDULED"),COUNTIFS(tblSource[EventID],F3655,tblSource[ReleaseStatus],"APPROVED")=1,COUNTIFS(Period_Status!$A$2:$A$8,G3655,Period_Status!$B$2:$B$8,"ActualClosed")=1,C3655&gt;EOMONTH(Settlement_Bridge!$C$2,0)),1,0)</f>
        <v>1</v>
      </c>
      <c r="P3655" s="2" t="s">
        <v>9988</v>
      </c>
    </row>
    <row r="3656" spans="1:16" x14ac:dyDescent="0.25">
      <c r="A3656" s="2" t="s">
        <v>9989</v>
      </c>
      <c r="B3656" s="2" t="s">
        <v>7433</v>
      </c>
      <c r="C3656" s="8">
        <v>46238</v>
      </c>
      <c r="D3656" s="6">
        <v>46235</v>
      </c>
      <c r="E3656" s="2" t="s">
        <v>260</v>
      </c>
      <c r="F3656" s="2" t="s">
        <v>9990</v>
      </c>
      <c r="G3656" s="6">
        <v>46204</v>
      </c>
      <c r="H3656" s="2" t="s">
        <v>71</v>
      </c>
      <c r="I3656" s="2" t="s">
        <v>39</v>
      </c>
      <c r="J3656" s="9">
        <v>5545.1639999999998</v>
      </c>
      <c r="K3656" s="7">
        <v>1</v>
      </c>
      <c r="L3656" s="9">
        <v>5545.16</v>
      </c>
      <c r="M3656" s="9">
        <v>5545.16</v>
      </c>
      <c r="N3656" s="9">
        <v>3.05</v>
      </c>
      <c r="O3656" s="10">
        <f>IF(AND(OR(H3656="APPROVED",H3656="SCHEDULED"),COUNTIFS(tblSource[EventID],F3656,tblSource[ReleaseStatus],"APPROVED")=1,COUNTIFS(Period_Status!$A$2:$A$8,G3656,Period_Status!$B$2:$B$8,"ActualClosed")=1,C3656&gt;EOMONTH(Settlement_Bridge!$C$2,0)),1,0)</f>
        <v>1</v>
      </c>
      <c r="P3656" s="2" t="s">
        <v>9991</v>
      </c>
    </row>
    <row r="3657" spans="1:16" x14ac:dyDescent="0.25">
      <c r="A3657" s="2" t="s">
        <v>9992</v>
      </c>
      <c r="B3657" s="2" t="s">
        <v>7433</v>
      </c>
      <c r="C3657" s="8">
        <v>46263</v>
      </c>
      <c r="D3657" s="6">
        <v>46235</v>
      </c>
      <c r="E3657" s="2" t="s">
        <v>260</v>
      </c>
      <c r="F3657" s="2" t="s">
        <v>9990</v>
      </c>
      <c r="G3657" s="6">
        <v>46204</v>
      </c>
      <c r="H3657" s="2" t="s">
        <v>71</v>
      </c>
      <c r="I3657" s="2" t="s">
        <v>39</v>
      </c>
      <c r="J3657" s="9">
        <v>8317.7459999999992</v>
      </c>
      <c r="K3657" s="7">
        <v>1</v>
      </c>
      <c r="L3657" s="9">
        <v>8317.75</v>
      </c>
      <c r="M3657" s="9">
        <v>8317.75</v>
      </c>
      <c r="N3657" s="9">
        <v>4.57</v>
      </c>
      <c r="O3657" s="10">
        <f>IF(AND(OR(H3657="APPROVED",H3657="SCHEDULED"),COUNTIFS(tblSource[EventID],F3657,tblSource[ReleaseStatus],"APPROVED")=1,COUNTIFS(Period_Status!$A$2:$A$8,G3657,Period_Status!$B$2:$B$8,"ActualClosed")=1,C3657&gt;EOMONTH(Settlement_Bridge!$C$2,0)),1,0)</f>
        <v>1</v>
      </c>
      <c r="P3657" s="2" t="s">
        <v>9993</v>
      </c>
    </row>
    <row r="3658" spans="1:16" x14ac:dyDescent="0.25">
      <c r="A3658" s="2" t="s">
        <v>9994</v>
      </c>
      <c r="B3658" s="2" t="s">
        <v>7433</v>
      </c>
      <c r="C3658" s="8">
        <v>46239</v>
      </c>
      <c r="D3658" s="6">
        <v>46235</v>
      </c>
      <c r="E3658" s="2" t="s">
        <v>260</v>
      </c>
      <c r="F3658" s="2" t="s">
        <v>9995</v>
      </c>
      <c r="G3658" s="6">
        <v>46204</v>
      </c>
      <c r="H3658" s="2" t="s">
        <v>71</v>
      </c>
      <c r="I3658" s="2" t="s">
        <v>76</v>
      </c>
      <c r="J3658" s="9">
        <v>91224064.516129002</v>
      </c>
      <c r="K3658" s="7">
        <v>6.1500000000000004E-5</v>
      </c>
      <c r="L3658" s="9">
        <v>5610.28</v>
      </c>
      <c r="M3658" s="9">
        <v>5655.89</v>
      </c>
      <c r="N3658" s="9">
        <v>3.09</v>
      </c>
      <c r="O3658" s="10">
        <f>IF(AND(OR(H3658="APPROVED",H3658="SCHEDULED"),COUNTIFS(tblSource[EventID],F3658,tblSource[ReleaseStatus],"APPROVED")=1,COUNTIFS(Period_Status!$A$2:$A$8,G3658,Period_Status!$B$2:$B$8,"ActualClosed")=1,C3658&gt;EOMONTH(Settlement_Bridge!$C$2,0)),1,0)</f>
        <v>1</v>
      </c>
      <c r="P3658" s="2" t="s">
        <v>9996</v>
      </c>
    </row>
    <row r="3659" spans="1:16" x14ac:dyDescent="0.25">
      <c r="A3659" s="2" t="s">
        <v>9997</v>
      </c>
      <c r="B3659" s="2" t="s">
        <v>7433</v>
      </c>
      <c r="C3659" s="8">
        <v>46264</v>
      </c>
      <c r="D3659" s="6">
        <v>46235</v>
      </c>
      <c r="E3659" s="2" t="s">
        <v>260</v>
      </c>
      <c r="F3659" s="2" t="s">
        <v>9995</v>
      </c>
      <c r="G3659" s="6">
        <v>46204</v>
      </c>
      <c r="H3659" s="2" t="s">
        <v>71</v>
      </c>
      <c r="I3659" s="2" t="s">
        <v>76</v>
      </c>
      <c r="J3659" s="9">
        <v>136836096.774194</v>
      </c>
      <c r="K3659" s="7">
        <v>6.1500000000000004E-5</v>
      </c>
      <c r="L3659" s="9">
        <v>8415.42</v>
      </c>
      <c r="M3659" s="9">
        <v>8483.84</v>
      </c>
      <c r="N3659" s="9">
        <v>4.63</v>
      </c>
      <c r="O3659" s="10">
        <f>IF(AND(OR(H3659="APPROVED",H3659="SCHEDULED"),COUNTIFS(tblSource[EventID],F3659,tblSource[ReleaseStatus],"APPROVED")=1,COUNTIFS(Period_Status!$A$2:$A$8,G3659,Period_Status!$B$2:$B$8,"ActualClosed")=1,C3659&gt;EOMONTH(Settlement_Bridge!$C$2,0)),1,0)</f>
        <v>1</v>
      </c>
      <c r="P3659" s="2" t="s">
        <v>9998</v>
      </c>
    </row>
    <row r="3660" spans="1:16" x14ac:dyDescent="0.25">
      <c r="A3660" s="2" t="s">
        <v>9999</v>
      </c>
      <c r="B3660" s="2" t="s">
        <v>7433</v>
      </c>
      <c r="C3660" s="8">
        <v>46240</v>
      </c>
      <c r="D3660" s="6">
        <v>46235</v>
      </c>
      <c r="E3660" s="2" t="s">
        <v>260</v>
      </c>
      <c r="F3660" s="2" t="s">
        <v>10000</v>
      </c>
      <c r="G3660" s="6">
        <v>46204</v>
      </c>
      <c r="H3660" s="2" t="s">
        <v>71</v>
      </c>
      <c r="I3660" s="2" t="s">
        <v>70</v>
      </c>
      <c r="J3660" s="9">
        <v>8763.8541029999997</v>
      </c>
      <c r="K3660" s="7">
        <v>0.65</v>
      </c>
      <c r="L3660" s="9">
        <v>5696.51</v>
      </c>
      <c r="M3660" s="9">
        <v>5766.62</v>
      </c>
      <c r="N3660" s="9">
        <v>3.13</v>
      </c>
      <c r="O3660" s="10">
        <f>IF(AND(OR(H3660="APPROVED",H3660="SCHEDULED"),COUNTIFS(tblSource[EventID],F3660,tblSource[ReleaseStatus],"APPROVED")=1,COUNTIFS(Period_Status!$A$2:$A$8,G3660,Period_Status!$B$2:$B$8,"ActualClosed")=1,C3660&gt;EOMONTH(Settlement_Bridge!$C$2,0)),1,0)</f>
        <v>1</v>
      </c>
      <c r="P3660" s="2" t="s">
        <v>10001</v>
      </c>
    </row>
    <row r="3661" spans="1:16" x14ac:dyDescent="0.25">
      <c r="A3661" s="2" t="s">
        <v>10002</v>
      </c>
      <c r="B3661" s="2" t="s">
        <v>7433</v>
      </c>
      <c r="C3661" s="8">
        <v>46265</v>
      </c>
      <c r="D3661" s="6">
        <v>46235</v>
      </c>
      <c r="E3661" s="2" t="s">
        <v>260</v>
      </c>
      <c r="F3661" s="2" t="s">
        <v>10000</v>
      </c>
      <c r="G3661" s="6">
        <v>46204</v>
      </c>
      <c r="H3661" s="2" t="s">
        <v>71</v>
      </c>
      <c r="I3661" s="2" t="s">
        <v>70</v>
      </c>
      <c r="J3661" s="9">
        <v>13145.781155000001</v>
      </c>
      <c r="K3661" s="7">
        <v>0.65</v>
      </c>
      <c r="L3661" s="9">
        <v>8544.76</v>
      </c>
      <c r="M3661" s="9">
        <v>8649.92</v>
      </c>
      <c r="N3661" s="9">
        <v>4.7</v>
      </c>
      <c r="O3661" s="10">
        <f>IF(AND(OR(H3661="APPROVED",H3661="SCHEDULED"),COUNTIFS(tblSource[EventID],F3661,tblSource[ReleaseStatus],"APPROVED")=1,COUNTIFS(Period_Status!$A$2:$A$8,G3661,Period_Status!$B$2:$B$8,"ActualClosed")=1,C3661&gt;EOMONTH(Settlement_Bridge!$C$2,0)),1,0)</f>
        <v>1</v>
      </c>
      <c r="P3661" s="2" t="s">
        <v>10003</v>
      </c>
    </row>
    <row r="3662" spans="1:16" x14ac:dyDescent="0.25">
      <c r="A3662" s="2" t="s">
        <v>10004</v>
      </c>
      <c r="B3662" s="2" t="s">
        <v>7433</v>
      </c>
      <c r="C3662" s="8">
        <v>46241</v>
      </c>
      <c r="D3662" s="6">
        <v>46235</v>
      </c>
      <c r="E3662" s="2" t="s">
        <v>260</v>
      </c>
      <c r="F3662" s="2" t="s">
        <v>10005</v>
      </c>
      <c r="G3662" s="6">
        <v>46204</v>
      </c>
      <c r="H3662" s="2" t="s">
        <v>71</v>
      </c>
      <c r="I3662" s="2" t="s">
        <v>39</v>
      </c>
      <c r="J3662" s="9">
        <v>5877.3440000000001</v>
      </c>
      <c r="K3662" s="7">
        <v>1</v>
      </c>
      <c r="L3662" s="9">
        <v>5877.34</v>
      </c>
      <c r="M3662" s="9">
        <v>5877.34</v>
      </c>
      <c r="N3662" s="9">
        <v>3.23</v>
      </c>
      <c r="O3662" s="10">
        <f>IF(AND(OR(H3662="APPROVED",H3662="SCHEDULED"),COUNTIFS(tblSource[EventID],F3662,tblSource[ReleaseStatus],"APPROVED")=1,COUNTIFS(Period_Status!$A$2:$A$8,G3662,Period_Status!$B$2:$B$8,"ActualClosed")=1,C3662&gt;EOMONTH(Settlement_Bridge!$C$2,0)),1,0)</f>
        <v>1</v>
      </c>
      <c r="P3662" s="2" t="s">
        <v>10006</v>
      </c>
    </row>
    <row r="3663" spans="1:16" x14ac:dyDescent="0.25">
      <c r="A3663" s="2" t="s">
        <v>10007</v>
      </c>
      <c r="B3663" s="2" t="s">
        <v>7433</v>
      </c>
      <c r="C3663" s="8">
        <v>46266</v>
      </c>
      <c r="D3663" s="6">
        <v>46266</v>
      </c>
      <c r="E3663" s="2" t="s">
        <v>260</v>
      </c>
      <c r="F3663" s="2" t="s">
        <v>10005</v>
      </c>
      <c r="G3663" s="6">
        <v>46204</v>
      </c>
      <c r="H3663" s="2" t="s">
        <v>176</v>
      </c>
      <c r="I3663" s="2" t="s">
        <v>39</v>
      </c>
      <c r="J3663" s="9">
        <v>8816.0159999999996</v>
      </c>
      <c r="K3663" s="7">
        <v>1</v>
      </c>
      <c r="L3663" s="9">
        <v>8816.02</v>
      </c>
      <c r="M3663" s="9">
        <v>8816.02</v>
      </c>
      <c r="N3663" s="9">
        <v>4.8499999999999996</v>
      </c>
      <c r="O3663" s="10">
        <f>IF(AND(OR(H3663="APPROVED",H3663="SCHEDULED"),COUNTIFS(tblSource[EventID],F3663,tblSource[ReleaseStatus],"APPROVED")=1,COUNTIFS(Period_Status!$A$2:$A$8,G3663,Period_Status!$B$2:$B$8,"ActualClosed")=1,C3663&gt;EOMONTH(Settlement_Bridge!$C$2,0)),1,0)</f>
        <v>1</v>
      </c>
      <c r="P3663" s="2" t="s">
        <v>10008</v>
      </c>
    </row>
    <row r="3664" spans="1:16" x14ac:dyDescent="0.25">
      <c r="A3664" s="2" t="s">
        <v>10009</v>
      </c>
      <c r="B3664" s="2" t="s">
        <v>7433</v>
      </c>
      <c r="C3664" s="8">
        <v>46242</v>
      </c>
      <c r="D3664" s="6">
        <v>46235</v>
      </c>
      <c r="E3664" s="2" t="s">
        <v>260</v>
      </c>
      <c r="F3664" s="2" t="s">
        <v>10010</v>
      </c>
      <c r="G3664" s="6">
        <v>46204</v>
      </c>
      <c r="H3664" s="2" t="s">
        <v>71</v>
      </c>
      <c r="I3664" s="2" t="s">
        <v>76</v>
      </c>
      <c r="J3664" s="9">
        <v>96581806.451612994</v>
      </c>
      <c r="K3664" s="7">
        <v>6.1500000000000004E-5</v>
      </c>
      <c r="L3664" s="9">
        <v>5939.78</v>
      </c>
      <c r="M3664" s="9">
        <v>5988.07</v>
      </c>
      <c r="N3664" s="9">
        <v>3.27</v>
      </c>
      <c r="O3664" s="10">
        <f>IF(AND(OR(H3664="APPROVED",H3664="SCHEDULED"),COUNTIFS(tblSource[EventID],F3664,tblSource[ReleaseStatus],"APPROVED")=1,COUNTIFS(Period_Status!$A$2:$A$8,G3664,Period_Status!$B$2:$B$8,"ActualClosed")=1,C3664&gt;EOMONTH(Settlement_Bridge!$C$2,0)),1,0)</f>
        <v>1</v>
      </c>
      <c r="P3664" s="2" t="s">
        <v>10011</v>
      </c>
    </row>
    <row r="3665" spans="1:16" x14ac:dyDescent="0.25">
      <c r="A3665" s="2" t="s">
        <v>10012</v>
      </c>
      <c r="B3665" s="2" t="s">
        <v>7433</v>
      </c>
      <c r="C3665" s="8">
        <v>46267</v>
      </c>
      <c r="D3665" s="6">
        <v>46266</v>
      </c>
      <c r="E3665" s="2" t="s">
        <v>260</v>
      </c>
      <c r="F3665" s="2" t="s">
        <v>10010</v>
      </c>
      <c r="G3665" s="6">
        <v>46204</v>
      </c>
      <c r="H3665" s="2" t="s">
        <v>176</v>
      </c>
      <c r="I3665" s="2" t="s">
        <v>76</v>
      </c>
      <c r="J3665" s="9">
        <v>144872709.67741901</v>
      </c>
      <c r="K3665" s="7">
        <v>6.1299999999999999E-5</v>
      </c>
      <c r="L3665" s="9">
        <v>8880.7000000000007</v>
      </c>
      <c r="M3665" s="9">
        <v>8982.11</v>
      </c>
      <c r="N3665" s="9">
        <v>4.88</v>
      </c>
      <c r="O3665" s="10">
        <f>IF(AND(OR(H3665="APPROVED",H3665="SCHEDULED"),COUNTIFS(tblSource[EventID],F3665,tblSource[ReleaseStatus],"APPROVED")=1,COUNTIFS(Period_Status!$A$2:$A$8,G3665,Period_Status!$B$2:$B$8,"ActualClosed")=1,C3665&gt;EOMONTH(Settlement_Bridge!$C$2,0)),1,0)</f>
        <v>1</v>
      </c>
      <c r="P3665" s="2" t="s">
        <v>10013</v>
      </c>
    </row>
    <row r="3666" spans="1:16" x14ac:dyDescent="0.25">
      <c r="A3666" s="2" t="s">
        <v>10014</v>
      </c>
      <c r="B3666" s="2" t="s">
        <v>7433</v>
      </c>
      <c r="C3666" s="8">
        <v>46243</v>
      </c>
      <c r="D3666" s="6">
        <v>46235</v>
      </c>
      <c r="E3666" s="2" t="s">
        <v>260</v>
      </c>
      <c r="F3666" s="2" t="s">
        <v>10015</v>
      </c>
      <c r="G3666" s="6">
        <v>46204</v>
      </c>
      <c r="H3666" s="2" t="s">
        <v>71</v>
      </c>
      <c r="I3666" s="2" t="s">
        <v>70</v>
      </c>
      <c r="J3666" s="9">
        <v>9268.6869299999998</v>
      </c>
      <c r="K3666" s="7">
        <v>0.65</v>
      </c>
      <c r="L3666" s="9">
        <v>6024.65</v>
      </c>
      <c r="M3666" s="9">
        <v>6098.8</v>
      </c>
      <c r="N3666" s="9">
        <v>3.31</v>
      </c>
      <c r="O3666" s="10">
        <f>IF(AND(OR(H3666="APPROVED",H3666="SCHEDULED"),COUNTIFS(tblSource[EventID],F3666,tblSource[ReleaseStatus],"APPROVED")=1,COUNTIFS(Period_Status!$A$2:$A$8,G3666,Period_Status!$B$2:$B$8,"ActualClosed")=1,C3666&gt;EOMONTH(Settlement_Bridge!$C$2,0)),1,0)</f>
        <v>1</v>
      </c>
      <c r="P3666" s="2" t="s">
        <v>10016</v>
      </c>
    </row>
    <row r="3667" spans="1:16" x14ac:dyDescent="0.25">
      <c r="A3667" s="2" t="s">
        <v>10017</v>
      </c>
      <c r="B3667" s="2" t="s">
        <v>7433</v>
      </c>
      <c r="C3667" s="8">
        <v>46268</v>
      </c>
      <c r="D3667" s="6">
        <v>46266</v>
      </c>
      <c r="E3667" s="2" t="s">
        <v>260</v>
      </c>
      <c r="F3667" s="2" t="s">
        <v>10015</v>
      </c>
      <c r="G3667" s="6">
        <v>46204</v>
      </c>
      <c r="H3667" s="2" t="s">
        <v>176</v>
      </c>
      <c r="I3667" s="2" t="s">
        <v>70</v>
      </c>
      <c r="J3667" s="9">
        <v>13903.030395</v>
      </c>
      <c r="K3667" s="7">
        <v>0.65100000000000002</v>
      </c>
      <c r="L3667" s="9">
        <v>9050.8700000000008</v>
      </c>
      <c r="M3667" s="9">
        <v>9148.19</v>
      </c>
      <c r="N3667" s="9">
        <v>4.9800000000000004</v>
      </c>
      <c r="O3667" s="10">
        <f>IF(AND(OR(H3667="APPROVED",H3667="SCHEDULED"),COUNTIFS(tblSource[EventID],F3667,tblSource[ReleaseStatus],"APPROVED")=1,COUNTIFS(Period_Status!$A$2:$A$8,G3667,Period_Status!$B$2:$B$8,"ActualClosed")=1,C3667&gt;EOMONTH(Settlement_Bridge!$C$2,0)),1,0)</f>
        <v>1</v>
      </c>
      <c r="P3667" s="2" t="s">
        <v>10018</v>
      </c>
    </row>
    <row r="3668" spans="1:16" x14ac:dyDescent="0.25">
      <c r="A3668" s="2" t="s">
        <v>10019</v>
      </c>
      <c r="B3668" s="2" t="s">
        <v>7433</v>
      </c>
      <c r="C3668" s="8">
        <v>46244</v>
      </c>
      <c r="D3668" s="6">
        <v>46235</v>
      </c>
      <c r="E3668" s="2" t="s">
        <v>260</v>
      </c>
      <c r="F3668" s="2" t="s">
        <v>10020</v>
      </c>
      <c r="G3668" s="6">
        <v>46204</v>
      </c>
      <c r="H3668" s="2" t="s">
        <v>71</v>
      </c>
      <c r="I3668" s="2" t="s">
        <v>39</v>
      </c>
      <c r="J3668" s="9">
        <v>6209.5240000000003</v>
      </c>
      <c r="K3668" s="7">
        <v>1</v>
      </c>
      <c r="L3668" s="9">
        <v>6209.52</v>
      </c>
      <c r="M3668" s="9">
        <v>6209.52</v>
      </c>
      <c r="N3668" s="9">
        <v>3.42</v>
      </c>
      <c r="O3668" s="10">
        <f>IF(AND(OR(H3668="APPROVED",H3668="SCHEDULED"),COUNTIFS(tblSource[EventID],F3668,tblSource[ReleaseStatus],"APPROVED")=1,COUNTIFS(Period_Status!$A$2:$A$8,G3668,Period_Status!$B$2:$B$8,"ActualClosed")=1,C3668&gt;EOMONTH(Settlement_Bridge!$C$2,0)),1,0)</f>
        <v>1</v>
      </c>
      <c r="P3668" s="2" t="s">
        <v>10021</v>
      </c>
    </row>
    <row r="3669" spans="1:16" x14ac:dyDescent="0.25">
      <c r="A3669" s="2" t="s">
        <v>10022</v>
      </c>
      <c r="B3669" s="2" t="s">
        <v>7433</v>
      </c>
      <c r="C3669" s="8">
        <v>46269</v>
      </c>
      <c r="D3669" s="6">
        <v>46266</v>
      </c>
      <c r="E3669" s="2" t="s">
        <v>260</v>
      </c>
      <c r="F3669" s="2" t="s">
        <v>10020</v>
      </c>
      <c r="G3669" s="6">
        <v>46204</v>
      </c>
      <c r="H3669" s="2" t="s">
        <v>176</v>
      </c>
      <c r="I3669" s="2" t="s">
        <v>39</v>
      </c>
      <c r="J3669" s="9">
        <v>9314.2860000000001</v>
      </c>
      <c r="K3669" s="7">
        <v>1</v>
      </c>
      <c r="L3669" s="9">
        <v>9314.2900000000009</v>
      </c>
      <c r="M3669" s="9">
        <v>9314.2900000000009</v>
      </c>
      <c r="N3669" s="9">
        <v>5.12</v>
      </c>
      <c r="O3669" s="10">
        <f>IF(AND(OR(H3669="APPROVED",H3669="SCHEDULED"),COUNTIFS(tblSource[EventID],F3669,tblSource[ReleaseStatus],"APPROVED")=1,COUNTIFS(Period_Status!$A$2:$A$8,G3669,Period_Status!$B$2:$B$8,"ActualClosed")=1,C3669&gt;EOMONTH(Settlement_Bridge!$C$2,0)),1,0)</f>
        <v>1</v>
      </c>
      <c r="P3669" s="2" t="s">
        <v>10023</v>
      </c>
    </row>
    <row r="3670" spans="1:16" x14ac:dyDescent="0.25">
      <c r="A3670" s="2" t="s">
        <v>10024</v>
      </c>
      <c r="B3670" s="2" t="s">
        <v>7433</v>
      </c>
      <c r="C3670" s="8">
        <v>46245</v>
      </c>
      <c r="D3670" s="6">
        <v>46235</v>
      </c>
      <c r="E3670" s="2" t="s">
        <v>260</v>
      </c>
      <c r="F3670" s="2" t="s">
        <v>10025</v>
      </c>
      <c r="G3670" s="6">
        <v>46204</v>
      </c>
      <c r="H3670" s="2" t="s">
        <v>71</v>
      </c>
      <c r="I3670" s="2" t="s">
        <v>76</v>
      </c>
      <c r="J3670" s="9">
        <v>101939483.870968</v>
      </c>
      <c r="K3670" s="7">
        <v>6.1500000000000004E-5</v>
      </c>
      <c r="L3670" s="9">
        <v>6269.28</v>
      </c>
      <c r="M3670" s="9">
        <v>6320.25</v>
      </c>
      <c r="N3670" s="9">
        <v>3.45</v>
      </c>
      <c r="O3670" s="10">
        <f>IF(AND(OR(H3670="APPROVED",H3670="SCHEDULED"),COUNTIFS(tblSource[EventID],F3670,tblSource[ReleaseStatus],"APPROVED")=1,COUNTIFS(Period_Status!$A$2:$A$8,G3670,Period_Status!$B$2:$B$8,"ActualClosed")=1,C3670&gt;EOMONTH(Settlement_Bridge!$C$2,0)),1,0)</f>
        <v>1</v>
      </c>
      <c r="P3670" s="2" t="s">
        <v>10026</v>
      </c>
    </row>
    <row r="3671" spans="1:16" x14ac:dyDescent="0.25">
      <c r="A3671" s="2" t="s">
        <v>10027</v>
      </c>
      <c r="B3671" s="2" t="s">
        <v>7433</v>
      </c>
      <c r="C3671" s="8">
        <v>46270</v>
      </c>
      <c r="D3671" s="6">
        <v>46266</v>
      </c>
      <c r="E3671" s="2" t="s">
        <v>260</v>
      </c>
      <c r="F3671" s="2" t="s">
        <v>10025</v>
      </c>
      <c r="G3671" s="6">
        <v>46204</v>
      </c>
      <c r="H3671" s="2" t="s">
        <v>176</v>
      </c>
      <c r="I3671" s="2" t="s">
        <v>76</v>
      </c>
      <c r="J3671" s="9">
        <v>152909225.80645099</v>
      </c>
      <c r="K3671" s="7">
        <v>6.1299999999999999E-5</v>
      </c>
      <c r="L3671" s="9">
        <v>9373.34</v>
      </c>
      <c r="M3671" s="9">
        <v>9480.3700000000008</v>
      </c>
      <c r="N3671" s="9">
        <v>5.16</v>
      </c>
      <c r="O3671" s="10">
        <f>IF(AND(OR(H3671="APPROVED",H3671="SCHEDULED"),COUNTIFS(tblSource[EventID],F3671,tblSource[ReleaseStatus],"APPROVED")=1,COUNTIFS(Period_Status!$A$2:$A$8,G3671,Period_Status!$B$2:$B$8,"ActualClosed")=1,C3671&gt;EOMONTH(Settlement_Bridge!$C$2,0)),1,0)</f>
        <v>1</v>
      </c>
      <c r="P3671" s="2" t="s">
        <v>10028</v>
      </c>
    </row>
    <row r="3672" spans="1:16" x14ac:dyDescent="0.25">
      <c r="A3672" s="2" t="s">
        <v>10029</v>
      </c>
      <c r="B3672" s="2" t="s">
        <v>7433</v>
      </c>
      <c r="C3672" s="8">
        <v>46246</v>
      </c>
      <c r="D3672" s="6">
        <v>46235</v>
      </c>
      <c r="E3672" s="2" t="s">
        <v>260</v>
      </c>
      <c r="F3672" s="2" t="s">
        <v>10030</v>
      </c>
      <c r="G3672" s="6">
        <v>46204</v>
      </c>
      <c r="H3672" s="2" t="s">
        <v>71</v>
      </c>
      <c r="I3672" s="2" t="s">
        <v>70</v>
      </c>
      <c r="J3672" s="9">
        <v>9773.519757</v>
      </c>
      <c r="K3672" s="7">
        <v>0.65</v>
      </c>
      <c r="L3672" s="9">
        <v>6352.79</v>
      </c>
      <c r="M3672" s="9">
        <v>6430.98</v>
      </c>
      <c r="N3672" s="9">
        <v>3.49</v>
      </c>
      <c r="O3672" s="10">
        <f>IF(AND(OR(H3672="APPROVED",H3672="SCHEDULED"),COUNTIFS(tblSource[EventID],F3672,tblSource[ReleaseStatus],"APPROVED")=1,COUNTIFS(Period_Status!$A$2:$A$8,G3672,Period_Status!$B$2:$B$8,"ActualClosed")=1,C3672&gt;EOMONTH(Settlement_Bridge!$C$2,0)),1,0)</f>
        <v>1</v>
      </c>
      <c r="P3672" s="2" t="s">
        <v>10031</v>
      </c>
    </row>
    <row r="3673" spans="1:16" x14ac:dyDescent="0.25">
      <c r="A3673" s="2" t="s">
        <v>10032</v>
      </c>
      <c r="B3673" s="2" t="s">
        <v>7433</v>
      </c>
      <c r="C3673" s="8">
        <v>46271</v>
      </c>
      <c r="D3673" s="6">
        <v>46266</v>
      </c>
      <c r="E3673" s="2" t="s">
        <v>260</v>
      </c>
      <c r="F3673" s="2" t="s">
        <v>10030</v>
      </c>
      <c r="G3673" s="6">
        <v>46204</v>
      </c>
      <c r="H3673" s="2" t="s">
        <v>176</v>
      </c>
      <c r="I3673" s="2" t="s">
        <v>70</v>
      </c>
      <c r="J3673" s="9">
        <v>14660.279635000001</v>
      </c>
      <c r="K3673" s="7">
        <v>0.65100000000000002</v>
      </c>
      <c r="L3673" s="9">
        <v>9543.84</v>
      </c>
      <c r="M3673" s="9">
        <v>9646.4599999999991</v>
      </c>
      <c r="N3673" s="9">
        <v>5.25</v>
      </c>
      <c r="O3673" s="10">
        <f>IF(AND(OR(H3673="APPROVED",H3673="SCHEDULED"),COUNTIFS(tblSource[EventID],F3673,tblSource[ReleaseStatus],"APPROVED")=1,COUNTIFS(Period_Status!$A$2:$A$8,G3673,Period_Status!$B$2:$B$8,"ActualClosed")=1,C3673&gt;EOMONTH(Settlement_Bridge!$C$2,0)),1,0)</f>
        <v>1</v>
      </c>
      <c r="P3673" s="2" t="s">
        <v>10033</v>
      </c>
    </row>
    <row r="3674" spans="1:16" x14ac:dyDescent="0.25">
      <c r="A3674" s="2" t="s">
        <v>10034</v>
      </c>
      <c r="B3674" s="2" t="s">
        <v>7433</v>
      </c>
      <c r="C3674" s="8">
        <v>46247</v>
      </c>
      <c r="D3674" s="6">
        <v>46235</v>
      </c>
      <c r="E3674" s="2" t="s">
        <v>260</v>
      </c>
      <c r="F3674" s="2" t="s">
        <v>10035</v>
      </c>
      <c r="G3674" s="6">
        <v>46204</v>
      </c>
      <c r="H3674" s="2" t="s">
        <v>71</v>
      </c>
      <c r="I3674" s="2" t="s">
        <v>39</v>
      </c>
      <c r="J3674" s="9">
        <v>6541.7039999999997</v>
      </c>
      <c r="K3674" s="7">
        <v>1</v>
      </c>
      <c r="L3674" s="9">
        <v>6541.7</v>
      </c>
      <c r="M3674" s="9">
        <v>6541.7</v>
      </c>
      <c r="N3674" s="9">
        <v>3.6</v>
      </c>
      <c r="O3674" s="10">
        <f>IF(AND(OR(H3674="APPROVED",H3674="SCHEDULED"),COUNTIFS(tblSource[EventID],F3674,tblSource[ReleaseStatus],"APPROVED")=1,COUNTIFS(Period_Status!$A$2:$A$8,G3674,Period_Status!$B$2:$B$8,"ActualClosed")=1,C3674&gt;EOMONTH(Settlement_Bridge!$C$2,0)),1,0)</f>
        <v>1</v>
      </c>
      <c r="P3674" s="2" t="s">
        <v>10036</v>
      </c>
    </row>
    <row r="3675" spans="1:16" x14ac:dyDescent="0.25">
      <c r="A3675" s="2" t="s">
        <v>10037</v>
      </c>
      <c r="B3675" s="2" t="s">
        <v>7433</v>
      </c>
      <c r="C3675" s="8">
        <v>46272</v>
      </c>
      <c r="D3675" s="6">
        <v>46266</v>
      </c>
      <c r="E3675" s="2" t="s">
        <v>260</v>
      </c>
      <c r="F3675" s="2" t="s">
        <v>10035</v>
      </c>
      <c r="G3675" s="6">
        <v>46204</v>
      </c>
      <c r="H3675" s="2" t="s">
        <v>176</v>
      </c>
      <c r="I3675" s="2" t="s">
        <v>39</v>
      </c>
      <c r="J3675" s="9">
        <v>9812.5560000000005</v>
      </c>
      <c r="K3675" s="7">
        <v>1</v>
      </c>
      <c r="L3675" s="9">
        <v>9812.56</v>
      </c>
      <c r="M3675" s="9">
        <v>9812.56</v>
      </c>
      <c r="N3675" s="9">
        <v>5.4</v>
      </c>
      <c r="O3675" s="10">
        <f>IF(AND(OR(H3675="APPROVED",H3675="SCHEDULED"),COUNTIFS(tblSource[EventID],F3675,tblSource[ReleaseStatus],"APPROVED")=1,COUNTIFS(Period_Status!$A$2:$A$8,G3675,Period_Status!$B$2:$B$8,"ActualClosed")=1,C3675&gt;EOMONTH(Settlement_Bridge!$C$2,0)),1,0)</f>
        <v>1</v>
      </c>
      <c r="P3675" s="2" t="s">
        <v>10038</v>
      </c>
    </row>
    <row r="3676" spans="1:16" x14ac:dyDescent="0.25">
      <c r="A3676" s="2" t="s">
        <v>10039</v>
      </c>
      <c r="B3676" s="2" t="s">
        <v>7433</v>
      </c>
      <c r="C3676" s="8">
        <v>46248</v>
      </c>
      <c r="D3676" s="6">
        <v>46235</v>
      </c>
      <c r="E3676" s="2" t="s">
        <v>260</v>
      </c>
      <c r="F3676" s="2" t="s">
        <v>10040</v>
      </c>
      <c r="G3676" s="6">
        <v>46204</v>
      </c>
      <c r="H3676" s="2" t="s">
        <v>71</v>
      </c>
      <c r="I3676" s="2" t="s">
        <v>76</v>
      </c>
      <c r="J3676" s="9">
        <v>107297225.80645201</v>
      </c>
      <c r="K3676" s="7">
        <v>6.1500000000000004E-5</v>
      </c>
      <c r="L3676" s="9">
        <v>6598.78</v>
      </c>
      <c r="M3676" s="9">
        <v>6652.43</v>
      </c>
      <c r="N3676" s="9">
        <v>3.63</v>
      </c>
      <c r="O3676" s="10">
        <f>IF(AND(OR(H3676="APPROVED",H3676="SCHEDULED"),COUNTIFS(tblSource[EventID],F3676,tblSource[ReleaseStatus],"APPROVED")=1,COUNTIFS(Period_Status!$A$2:$A$8,G3676,Period_Status!$B$2:$B$8,"ActualClosed")=1,C3676&gt;EOMONTH(Settlement_Bridge!$C$2,0)),1,0)</f>
        <v>1</v>
      </c>
      <c r="P3676" s="2" t="s">
        <v>10041</v>
      </c>
    </row>
    <row r="3677" spans="1:16" x14ac:dyDescent="0.25">
      <c r="A3677" s="2" t="s">
        <v>10042</v>
      </c>
      <c r="B3677" s="2" t="s">
        <v>7433</v>
      </c>
      <c r="C3677" s="8">
        <v>46273</v>
      </c>
      <c r="D3677" s="6">
        <v>46266</v>
      </c>
      <c r="E3677" s="2" t="s">
        <v>260</v>
      </c>
      <c r="F3677" s="2" t="s">
        <v>10040</v>
      </c>
      <c r="G3677" s="6">
        <v>46204</v>
      </c>
      <c r="H3677" s="2" t="s">
        <v>176</v>
      </c>
      <c r="I3677" s="2" t="s">
        <v>76</v>
      </c>
      <c r="J3677" s="9">
        <v>160945838.70967701</v>
      </c>
      <c r="K3677" s="7">
        <v>6.1299999999999999E-5</v>
      </c>
      <c r="L3677" s="9">
        <v>9865.98</v>
      </c>
      <c r="M3677" s="9">
        <v>9978.64</v>
      </c>
      <c r="N3677" s="9">
        <v>5.43</v>
      </c>
      <c r="O3677" s="10">
        <f>IF(AND(OR(H3677="APPROVED",H3677="SCHEDULED"),COUNTIFS(tblSource[EventID],F3677,tblSource[ReleaseStatus],"APPROVED")=1,COUNTIFS(Period_Status!$A$2:$A$8,G3677,Period_Status!$B$2:$B$8,"ActualClosed")=1,C3677&gt;EOMONTH(Settlement_Bridge!$C$2,0)),1,0)</f>
        <v>1</v>
      </c>
      <c r="P3677" s="2" t="s">
        <v>10043</v>
      </c>
    </row>
    <row r="3678" spans="1:16" x14ac:dyDescent="0.25">
      <c r="A3678" s="2" t="s">
        <v>10044</v>
      </c>
      <c r="B3678" s="2" t="s">
        <v>7433</v>
      </c>
      <c r="C3678" s="8">
        <v>46218</v>
      </c>
      <c r="D3678" s="6">
        <v>46204</v>
      </c>
      <c r="E3678" s="2" t="s">
        <v>260</v>
      </c>
      <c r="F3678" s="2" t="s">
        <v>10045</v>
      </c>
      <c r="G3678" s="6">
        <v>46204</v>
      </c>
      <c r="H3678" s="2" t="s">
        <v>71</v>
      </c>
      <c r="I3678" s="2" t="s">
        <v>70</v>
      </c>
      <c r="J3678" s="9">
        <v>10278.352584</v>
      </c>
      <c r="K3678" s="7">
        <v>0.65800000000000003</v>
      </c>
      <c r="L3678" s="9">
        <v>6763.16</v>
      </c>
      <c r="M3678" s="9">
        <v>6763.16</v>
      </c>
      <c r="N3678" s="9">
        <v>3.72</v>
      </c>
      <c r="O3678" s="10">
        <f>IF(AND(OR(H3678="APPROVED",H3678="SCHEDULED"),COUNTIFS(tblSource[EventID],F3678,tblSource[ReleaseStatus],"APPROVED")=1,COUNTIFS(Period_Status!$A$2:$A$8,G3678,Period_Status!$B$2:$B$8,"ActualClosed")=1,C3678&gt;EOMONTH(Settlement_Bridge!$C$2,0)),1,0)</f>
        <v>0</v>
      </c>
      <c r="P3678" s="2" t="s">
        <v>10046</v>
      </c>
    </row>
    <row r="3679" spans="1:16" x14ac:dyDescent="0.25">
      <c r="A3679" s="2" t="s">
        <v>10047</v>
      </c>
      <c r="B3679" s="2" t="s">
        <v>7433</v>
      </c>
      <c r="C3679" s="8">
        <v>46243</v>
      </c>
      <c r="D3679" s="6">
        <v>46235</v>
      </c>
      <c r="E3679" s="2" t="s">
        <v>260</v>
      </c>
      <c r="F3679" s="2" t="s">
        <v>10045</v>
      </c>
      <c r="G3679" s="6">
        <v>46204</v>
      </c>
      <c r="H3679" s="2" t="s">
        <v>71</v>
      </c>
      <c r="I3679" s="2" t="s">
        <v>70</v>
      </c>
      <c r="J3679" s="9">
        <v>15417.528875</v>
      </c>
      <c r="K3679" s="7">
        <v>0.65</v>
      </c>
      <c r="L3679" s="9">
        <v>10021.39</v>
      </c>
      <c r="M3679" s="9">
        <v>10144.73</v>
      </c>
      <c r="N3679" s="9">
        <v>5.51</v>
      </c>
      <c r="O3679" s="10">
        <f>IF(AND(OR(H3679="APPROVED",H3679="SCHEDULED"),COUNTIFS(tblSource[EventID],F3679,tblSource[ReleaseStatus],"APPROVED")=1,COUNTIFS(Period_Status!$A$2:$A$8,G3679,Period_Status!$B$2:$B$8,"ActualClosed")=1,C3679&gt;EOMONTH(Settlement_Bridge!$C$2,0)),1,0)</f>
        <v>1</v>
      </c>
      <c r="P3679" s="2" t="s">
        <v>10048</v>
      </c>
    </row>
    <row r="3680" spans="1:16" x14ac:dyDescent="0.25">
      <c r="A3680" s="2" t="s">
        <v>10049</v>
      </c>
      <c r="B3680" s="2" t="s">
        <v>7433</v>
      </c>
      <c r="C3680" s="8">
        <v>46219</v>
      </c>
      <c r="D3680" s="6">
        <v>46204</v>
      </c>
      <c r="E3680" s="2" t="s">
        <v>260</v>
      </c>
      <c r="F3680" s="2" t="s">
        <v>10050</v>
      </c>
      <c r="G3680" s="6">
        <v>46204</v>
      </c>
      <c r="H3680" s="2" t="s">
        <v>71</v>
      </c>
      <c r="I3680" s="2" t="s">
        <v>39</v>
      </c>
      <c r="J3680" s="9">
        <v>6873.88</v>
      </c>
      <c r="K3680" s="7">
        <v>1</v>
      </c>
      <c r="L3680" s="9">
        <v>6873.88</v>
      </c>
      <c r="M3680" s="9">
        <v>6873.88</v>
      </c>
      <c r="N3680" s="9">
        <v>3.78</v>
      </c>
      <c r="O3680" s="10">
        <f>IF(AND(OR(H3680="APPROVED",H3680="SCHEDULED"),COUNTIFS(tblSource[EventID],F3680,tblSource[ReleaseStatus],"APPROVED")=1,COUNTIFS(Period_Status!$A$2:$A$8,G3680,Period_Status!$B$2:$B$8,"ActualClosed")=1,C3680&gt;EOMONTH(Settlement_Bridge!$C$2,0)),1,0)</f>
        <v>0</v>
      </c>
      <c r="P3680" s="2" t="s">
        <v>10051</v>
      </c>
    </row>
    <row r="3681" spans="1:16" x14ac:dyDescent="0.25">
      <c r="A3681" s="2" t="s">
        <v>10052</v>
      </c>
      <c r="B3681" s="2" t="s">
        <v>7433</v>
      </c>
      <c r="C3681" s="8">
        <v>46244</v>
      </c>
      <c r="D3681" s="6">
        <v>46235</v>
      </c>
      <c r="E3681" s="2" t="s">
        <v>260</v>
      </c>
      <c r="F3681" s="2" t="s">
        <v>10050</v>
      </c>
      <c r="G3681" s="6">
        <v>46204</v>
      </c>
      <c r="H3681" s="2" t="s">
        <v>71</v>
      </c>
      <c r="I3681" s="2" t="s">
        <v>39</v>
      </c>
      <c r="J3681" s="9">
        <v>10310.82</v>
      </c>
      <c r="K3681" s="7">
        <v>1</v>
      </c>
      <c r="L3681" s="9">
        <v>10310.82</v>
      </c>
      <c r="M3681" s="9">
        <v>10310.82</v>
      </c>
      <c r="N3681" s="9">
        <v>5.67</v>
      </c>
      <c r="O3681" s="10">
        <f>IF(AND(OR(H3681="APPROVED",H3681="SCHEDULED"),COUNTIFS(tblSource[EventID],F3681,tblSource[ReleaseStatus],"APPROVED")=1,COUNTIFS(Period_Status!$A$2:$A$8,G3681,Period_Status!$B$2:$B$8,"ActualClosed")=1,C3681&gt;EOMONTH(Settlement_Bridge!$C$2,0)),1,0)</f>
        <v>1</v>
      </c>
      <c r="P3681" s="2" t="s">
        <v>10053</v>
      </c>
    </row>
    <row r="3682" spans="1:16" x14ac:dyDescent="0.25">
      <c r="A3682" s="2" t="s">
        <v>10054</v>
      </c>
      <c r="B3682" s="2" t="s">
        <v>7433</v>
      </c>
      <c r="C3682" s="8">
        <v>46220</v>
      </c>
      <c r="D3682" s="6">
        <v>46204</v>
      </c>
      <c r="E3682" s="2" t="s">
        <v>260</v>
      </c>
      <c r="F3682" s="2" t="s">
        <v>10055</v>
      </c>
      <c r="G3682" s="6">
        <v>46204</v>
      </c>
      <c r="H3682" s="2" t="s">
        <v>71</v>
      </c>
      <c r="I3682" s="2" t="s">
        <v>76</v>
      </c>
      <c r="J3682" s="9">
        <v>112654967.741936</v>
      </c>
      <c r="K3682" s="7">
        <v>6.2000000000000003E-5</v>
      </c>
      <c r="L3682" s="9">
        <v>6984.61</v>
      </c>
      <c r="M3682" s="9">
        <v>6984.61</v>
      </c>
      <c r="N3682" s="9">
        <v>3.84</v>
      </c>
      <c r="O3682" s="10">
        <f>IF(AND(OR(H3682="APPROVED",H3682="SCHEDULED"),COUNTIFS(tblSource[EventID],F3682,tblSource[ReleaseStatus],"APPROVED")=1,COUNTIFS(Period_Status!$A$2:$A$8,G3682,Period_Status!$B$2:$B$8,"ActualClosed")=1,C3682&gt;EOMONTH(Settlement_Bridge!$C$2,0)),1,0)</f>
        <v>0</v>
      </c>
      <c r="P3682" s="2" t="s">
        <v>10056</v>
      </c>
    </row>
    <row r="3683" spans="1:16" x14ac:dyDescent="0.25">
      <c r="A3683" s="2" t="s">
        <v>10057</v>
      </c>
      <c r="B3683" s="2" t="s">
        <v>7433</v>
      </c>
      <c r="C3683" s="8">
        <v>46245</v>
      </c>
      <c r="D3683" s="6">
        <v>46235</v>
      </c>
      <c r="E3683" s="2" t="s">
        <v>260</v>
      </c>
      <c r="F3683" s="2" t="s">
        <v>10055</v>
      </c>
      <c r="G3683" s="6">
        <v>46204</v>
      </c>
      <c r="H3683" s="2" t="s">
        <v>71</v>
      </c>
      <c r="I3683" s="2" t="s">
        <v>76</v>
      </c>
      <c r="J3683" s="9">
        <v>168982451.612903</v>
      </c>
      <c r="K3683" s="7">
        <v>6.1500000000000004E-5</v>
      </c>
      <c r="L3683" s="9">
        <v>10392.42</v>
      </c>
      <c r="M3683" s="9">
        <v>10476.91</v>
      </c>
      <c r="N3683" s="9">
        <v>5.72</v>
      </c>
      <c r="O3683" s="10">
        <f>IF(AND(OR(H3683="APPROVED",H3683="SCHEDULED"),COUNTIFS(tblSource[EventID],F3683,tblSource[ReleaseStatus],"APPROVED")=1,COUNTIFS(Period_Status!$A$2:$A$8,G3683,Period_Status!$B$2:$B$8,"ActualClosed")=1,C3683&gt;EOMONTH(Settlement_Bridge!$C$2,0)),1,0)</f>
        <v>1</v>
      </c>
      <c r="P3683" s="2" t="s">
        <v>10058</v>
      </c>
    </row>
    <row r="3684" spans="1:16" x14ac:dyDescent="0.25">
      <c r="A3684" s="2" t="s">
        <v>10059</v>
      </c>
      <c r="B3684" s="2" t="s">
        <v>7433</v>
      </c>
      <c r="C3684" s="8">
        <v>46221</v>
      </c>
      <c r="D3684" s="6">
        <v>46204</v>
      </c>
      <c r="E3684" s="2" t="s">
        <v>260</v>
      </c>
      <c r="F3684" s="2" t="s">
        <v>10060</v>
      </c>
      <c r="G3684" s="6">
        <v>46204</v>
      </c>
      <c r="H3684" s="2" t="s">
        <v>71</v>
      </c>
      <c r="I3684" s="2" t="s">
        <v>70</v>
      </c>
      <c r="J3684" s="9">
        <v>10783.18541</v>
      </c>
      <c r="K3684" s="7">
        <v>0.65800000000000003</v>
      </c>
      <c r="L3684" s="9">
        <v>7095.34</v>
      </c>
      <c r="M3684" s="9">
        <v>7095.34</v>
      </c>
      <c r="N3684" s="9">
        <v>3.9</v>
      </c>
      <c r="O3684" s="10">
        <f>IF(AND(OR(H3684="APPROVED",H3684="SCHEDULED"),COUNTIFS(tblSource[EventID],F3684,tblSource[ReleaseStatus],"APPROVED")=1,COUNTIFS(Period_Status!$A$2:$A$8,G3684,Period_Status!$B$2:$B$8,"ActualClosed")=1,C3684&gt;EOMONTH(Settlement_Bridge!$C$2,0)),1,0)</f>
        <v>0</v>
      </c>
      <c r="P3684" s="2" t="s">
        <v>10061</v>
      </c>
    </row>
    <row r="3685" spans="1:16" x14ac:dyDescent="0.25">
      <c r="A3685" s="2" t="s">
        <v>10062</v>
      </c>
      <c r="B3685" s="2" t="s">
        <v>7433</v>
      </c>
      <c r="C3685" s="8">
        <v>46246</v>
      </c>
      <c r="D3685" s="6">
        <v>46235</v>
      </c>
      <c r="E3685" s="2" t="s">
        <v>260</v>
      </c>
      <c r="F3685" s="2" t="s">
        <v>10060</v>
      </c>
      <c r="G3685" s="6">
        <v>46204</v>
      </c>
      <c r="H3685" s="2" t="s">
        <v>71</v>
      </c>
      <c r="I3685" s="2" t="s">
        <v>70</v>
      </c>
      <c r="J3685" s="9">
        <v>16174.778115999999</v>
      </c>
      <c r="K3685" s="7">
        <v>0.65</v>
      </c>
      <c r="L3685" s="9">
        <v>10513.61</v>
      </c>
      <c r="M3685" s="9">
        <v>10643</v>
      </c>
      <c r="N3685" s="9">
        <v>5.78</v>
      </c>
      <c r="O3685" s="10">
        <f>IF(AND(OR(H3685="APPROVED",H3685="SCHEDULED"),COUNTIFS(tblSource[EventID],F3685,tblSource[ReleaseStatus],"APPROVED")=1,COUNTIFS(Period_Status!$A$2:$A$8,G3685,Period_Status!$B$2:$B$8,"ActualClosed")=1,C3685&gt;EOMONTH(Settlement_Bridge!$C$2,0)),1,0)</f>
        <v>1</v>
      </c>
      <c r="P3685" s="2" t="s">
        <v>10063</v>
      </c>
    </row>
    <row r="3686" spans="1:16" x14ac:dyDescent="0.25">
      <c r="A3686" s="2" t="s">
        <v>10064</v>
      </c>
      <c r="B3686" s="2" t="s">
        <v>7433</v>
      </c>
      <c r="C3686" s="8">
        <v>46222</v>
      </c>
      <c r="D3686" s="6">
        <v>46204</v>
      </c>
      <c r="E3686" s="2" t="s">
        <v>260</v>
      </c>
      <c r="F3686" s="2" t="s">
        <v>10065</v>
      </c>
      <c r="G3686" s="6">
        <v>46204</v>
      </c>
      <c r="H3686" s="2" t="s">
        <v>71</v>
      </c>
      <c r="I3686" s="2" t="s">
        <v>39</v>
      </c>
      <c r="J3686" s="9">
        <v>7206.06</v>
      </c>
      <c r="K3686" s="7">
        <v>1</v>
      </c>
      <c r="L3686" s="9">
        <v>7206.06</v>
      </c>
      <c r="M3686" s="9">
        <v>7206.06</v>
      </c>
      <c r="N3686" s="9">
        <v>3.96</v>
      </c>
      <c r="O3686" s="10">
        <f>IF(AND(OR(H3686="APPROVED",H3686="SCHEDULED"),COUNTIFS(tblSource[EventID],F3686,tblSource[ReleaseStatus],"APPROVED")=1,COUNTIFS(Period_Status!$A$2:$A$8,G3686,Period_Status!$B$2:$B$8,"ActualClosed")=1,C3686&gt;EOMONTH(Settlement_Bridge!$C$2,0)),1,0)</f>
        <v>0</v>
      </c>
      <c r="P3686" s="2" t="s">
        <v>10066</v>
      </c>
    </row>
    <row r="3687" spans="1:16" x14ac:dyDescent="0.25">
      <c r="A3687" s="2" t="s">
        <v>10067</v>
      </c>
      <c r="B3687" s="2" t="s">
        <v>7433</v>
      </c>
      <c r="C3687" s="8">
        <v>46247</v>
      </c>
      <c r="D3687" s="6">
        <v>46235</v>
      </c>
      <c r="E3687" s="2" t="s">
        <v>260</v>
      </c>
      <c r="F3687" s="2" t="s">
        <v>10065</v>
      </c>
      <c r="G3687" s="6">
        <v>46204</v>
      </c>
      <c r="H3687" s="2" t="s">
        <v>71</v>
      </c>
      <c r="I3687" s="2" t="s">
        <v>39</v>
      </c>
      <c r="J3687" s="9">
        <v>10809.09</v>
      </c>
      <c r="K3687" s="7">
        <v>1</v>
      </c>
      <c r="L3687" s="9">
        <v>10809.09</v>
      </c>
      <c r="M3687" s="9">
        <v>10809.09</v>
      </c>
      <c r="N3687" s="9">
        <v>5.94</v>
      </c>
      <c r="O3687" s="10">
        <f>IF(AND(OR(H3687="APPROVED",H3687="SCHEDULED"),COUNTIFS(tblSource[EventID],F3687,tblSource[ReleaseStatus],"APPROVED")=1,COUNTIFS(Period_Status!$A$2:$A$8,G3687,Period_Status!$B$2:$B$8,"ActualClosed")=1,C3687&gt;EOMONTH(Settlement_Bridge!$C$2,0)),1,0)</f>
        <v>1</v>
      </c>
      <c r="P3687" s="2" t="s">
        <v>10068</v>
      </c>
    </row>
    <row r="3688" spans="1:16" x14ac:dyDescent="0.25">
      <c r="A3688" s="2" t="s">
        <v>10069</v>
      </c>
      <c r="B3688" s="2" t="s">
        <v>7433</v>
      </c>
      <c r="C3688" s="8">
        <v>46223</v>
      </c>
      <c r="D3688" s="6">
        <v>46204</v>
      </c>
      <c r="E3688" s="2" t="s">
        <v>260</v>
      </c>
      <c r="F3688" s="2" t="s">
        <v>10070</v>
      </c>
      <c r="G3688" s="6">
        <v>46204</v>
      </c>
      <c r="H3688" s="2" t="s">
        <v>71</v>
      </c>
      <c r="I3688" s="2" t="s">
        <v>76</v>
      </c>
      <c r="J3688" s="9">
        <v>-295031774.19354802</v>
      </c>
      <c r="K3688" s="7">
        <v>6.2000000000000003E-5</v>
      </c>
      <c r="L3688" s="9">
        <v>-18291.97</v>
      </c>
      <c r="M3688" s="9">
        <v>-18291.97</v>
      </c>
      <c r="N3688" s="9">
        <v>0</v>
      </c>
      <c r="O3688" s="10">
        <f>IF(AND(OR(H3688="APPROVED",H3688="SCHEDULED"),COUNTIFS(tblSource[EventID],F3688,tblSource[ReleaseStatus],"APPROVED")=1,COUNTIFS(Period_Status!$A$2:$A$8,G3688,Period_Status!$B$2:$B$8,"ActualClosed")=1,C3688&gt;EOMONTH(Settlement_Bridge!$C$2,0)),1,0)</f>
        <v>0</v>
      </c>
      <c r="P3688" s="2" t="s">
        <v>10071</v>
      </c>
    </row>
    <row r="3689" spans="1:16" x14ac:dyDescent="0.25">
      <c r="A3689" s="2" t="s">
        <v>10072</v>
      </c>
      <c r="B3689" s="2" t="s">
        <v>7433</v>
      </c>
      <c r="C3689" s="8">
        <v>46224</v>
      </c>
      <c r="D3689" s="6">
        <v>46204</v>
      </c>
      <c r="E3689" s="2" t="s">
        <v>260</v>
      </c>
      <c r="F3689" s="2" t="s">
        <v>10073</v>
      </c>
      <c r="G3689" s="6">
        <v>46204</v>
      </c>
      <c r="H3689" s="2" t="s">
        <v>71</v>
      </c>
      <c r="I3689" s="2" t="s">
        <v>70</v>
      </c>
      <c r="J3689" s="9">
        <v>11288.018237</v>
      </c>
      <c r="K3689" s="7">
        <v>0.65800000000000003</v>
      </c>
      <c r="L3689" s="9">
        <v>7427.52</v>
      </c>
      <c r="M3689" s="9">
        <v>7427.52</v>
      </c>
      <c r="N3689" s="9">
        <v>4.09</v>
      </c>
      <c r="O3689" s="10">
        <f>IF(AND(OR(H3689="APPROVED",H3689="SCHEDULED"),COUNTIFS(tblSource[EventID],F3689,tblSource[ReleaseStatus],"APPROVED")=1,COUNTIFS(Period_Status!$A$2:$A$8,G3689,Period_Status!$B$2:$B$8,"ActualClosed")=1,C3689&gt;EOMONTH(Settlement_Bridge!$C$2,0)),1,0)</f>
        <v>0</v>
      </c>
      <c r="P3689" s="2" t="s">
        <v>10074</v>
      </c>
    </row>
    <row r="3690" spans="1:16" x14ac:dyDescent="0.25">
      <c r="A3690" s="2" t="s">
        <v>10075</v>
      </c>
      <c r="B3690" s="2" t="s">
        <v>7433</v>
      </c>
      <c r="C3690" s="8">
        <v>46249</v>
      </c>
      <c r="D3690" s="6">
        <v>46235</v>
      </c>
      <c r="E3690" s="2" t="s">
        <v>260</v>
      </c>
      <c r="F3690" s="2" t="s">
        <v>10073</v>
      </c>
      <c r="G3690" s="6">
        <v>46204</v>
      </c>
      <c r="H3690" s="2" t="s">
        <v>71</v>
      </c>
      <c r="I3690" s="2" t="s">
        <v>70</v>
      </c>
      <c r="J3690" s="9">
        <v>16932.027355999999</v>
      </c>
      <c r="K3690" s="7">
        <v>0.65</v>
      </c>
      <c r="L3690" s="9">
        <v>11005.82</v>
      </c>
      <c r="M3690" s="9">
        <v>11141.27</v>
      </c>
      <c r="N3690" s="9">
        <v>6.05</v>
      </c>
      <c r="O3690" s="10">
        <f>IF(AND(OR(H3690="APPROVED",H3690="SCHEDULED"),COUNTIFS(tblSource[EventID],F3690,tblSource[ReleaseStatus],"APPROVED")=1,COUNTIFS(Period_Status!$A$2:$A$8,G3690,Period_Status!$B$2:$B$8,"ActualClosed")=1,C3690&gt;EOMONTH(Settlement_Bridge!$C$2,0)),1,0)</f>
        <v>1</v>
      </c>
      <c r="P3690" s="2" t="s">
        <v>10076</v>
      </c>
    </row>
    <row r="3691" spans="1:16" x14ac:dyDescent="0.25">
      <c r="A3691" s="2" t="s">
        <v>10077</v>
      </c>
      <c r="B3691" s="2" t="s">
        <v>7433</v>
      </c>
      <c r="C3691" s="8">
        <v>46225</v>
      </c>
      <c r="D3691" s="6">
        <v>46204</v>
      </c>
      <c r="E3691" s="2" t="s">
        <v>260</v>
      </c>
      <c r="F3691" s="2" t="s">
        <v>10078</v>
      </c>
      <c r="G3691" s="6">
        <v>46204</v>
      </c>
      <c r="H3691" s="2" t="s">
        <v>71</v>
      </c>
      <c r="I3691" s="2" t="s">
        <v>39</v>
      </c>
      <c r="J3691" s="9">
        <v>7538.24</v>
      </c>
      <c r="K3691" s="7">
        <v>1</v>
      </c>
      <c r="L3691" s="9">
        <v>7538.24</v>
      </c>
      <c r="M3691" s="9">
        <v>7538.24</v>
      </c>
      <c r="N3691" s="9">
        <v>4.1500000000000004</v>
      </c>
      <c r="O3691" s="10">
        <f>IF(AND(OR(H3691="APPROVED",H3691="SCHEDULED"),COUNTIFS(tblSource[EventID],F3691,tblSource[ReleaseStatus],"APPROVED")=1,COUNTIFS(Period_Status!$A$2:$A$8,G3691,Period_Status!$B$2:$B$8,"ActualClosed")=1,C3691&gt;EOMONTH(Settlement_Bridge!$C$2,0)),1,0)</f>
        <v>0</v>
      </c>
      <c r="P3691" s="2" t="s">
        <v>10079</v>
      </c>
    </row>
    <row r="3692" spans="1:16" x14ac:dyDescent="0.25">
      <c r="A3692" s="2" t="s">
        <v>10080</v>
      </c>
      <c r="B3692" s="2" t="s">
        <v>7433</v>
      </c>
      <c r="C3692" s="8">
        <v>46250</v>
      </c>
      <c r="D3692" s="6">
        <v>46235</v>
      </c>
      <c r="E3692" s="2" t="s">
        <v>260</v>
      </c>
      <c r="F3692" s="2" t="s">
        <v>10078</v>
      </c>
      <c r="G3692" s="6">
        <v>46204</v>
      </c>
      <c r="H3692" s="2" t="s">
        <v>71</v>
      </c>
      <c r="I3692" s="2" t="s">
        <v>39</v>
      </c>
      <c r="J3692" s="9">
        <v>11307.36</v>
      </c>
      <c r="K3692" s="7">
        <v>1</v>
      </c>
      <c r="L3692" s="9">
        <v>11307.36</v>
      </c>
      <c r="M3692" s="9">
        <v>11307.36</v>
      </c>
      <c r="N3692" s="9">
        <v>6.22</v>
      </c>
      <c r="O3692" s="10">
        <f>IF(AND(OR(H3692="APPROVED",H3692="SCHEDULED"),COUNTIFS(tblSource[EventID],F3692,tblSource[ReleaseStatus],"APPROVED")=1,COUNTIFS(Period_Status!$A$2:$A$8,G3692,Period_Status!$B$2:$B$8,"ActualClosed")=1,C3692&gt;EOMONTH(Settlement_Bridge!$C$2,0)),1,0)</f>
        <v>1</v>
      </c>
      <c r="P3692" s="2" t="s">
        <v>10081</v>
      </c>
    </row>
    <row r="3693" spans="1:16" x14ac:dyDescent="0.25">
      <c r="A3693" s="2" t="s">
        <v>10082</v>
      </c>
      <c r="B3693" s="2" t="s">
        <v>7433</v>
      </c>
      <c r="C3693" s="8">
        <v>46226</v>
      </c>
      <c r="D3693" s="6">
        <v>46204</v>
      </c>
      <c r="E3693" s="2" t="s">
        <v>260</v>
      </c>
      <c r="F3693" s="2" t="s">
        <v>10083</v>
      </c>
      <c r="G3693" s="6">
        <v>46204</v>
      </c>
      <c r="H3693" s="2" t="s">
        <v>71</v>
      </c>
      <c r="I3693" s="2" t="s">
        <v>76</v>
      </c>
      <c r="J3693" s="9">
        <v>123370451.612903</v>
      </c>
      <c r="K3693" s="7">
        <v>6.2000000000000003E-5</v>
      </c>
      <c r="L3693" s="9">
        <v>7648.97</v>
      </c>
      <c r="M3693" s="9">
        <v>7648.97</v>
      </c>
      <c r="N3693" s="9">
        <v>4.21</v>
      </c>
      <c r="O3693" s="10">
        <f>IF(AND(OR(H3693="APPROVED",H3693="SCHEDULED"),COUNTIFS(tblSource[EventID],F3693,tblSource[ReleaseStatus],"APPROVED")=1,COUNTIFS(Period_Status!$A$2:$A$8,G3693,Period_Status!$B$2:$B$8,"ActualClosed")=1,C3693&gt;EOMONTH(Settlement_Bridge!$C$2,0)),1,0)</f>
        <v>0</v>
      </c>
      <c r="P3693" s="2" t="s">
        <v>10084</v>
      </c>
    </row>
    <row r="3694" spans="1:16" x14ac:dyDescent="0.25">
      <c r="A3694" s="2" t="s">
        <v>10085</v>
      </c>
      <c r="B3694" s="2" t="s">
        <v>7433</v>
      </c>
      <c r="C3694" s="8">
        <v>46251</v>
      </c>
      <c r="D3694" s="6">
        <v>46235</v>
      </c>
      <c r="E3694" s="2" t="s">
        <v>260</v>
      </c>
      <c r="F3694" s="2" t="s">
        <v>10083</v>
      </c>
      <c r="G3694" s="6">
        <v>46204</v>
      </c>
      <c r="H3694" s="2" t="s">
        <v>71</v>
      </c>
      <c r="I3694" s="2" t="s">
        <v>76</v>
      </c>
      <c r="J3694" s="9">
        <v>185055677.41935501</v>
      </c>
      <c r="K3694" s="7">
        <v>6.1500000000000004E-5</v>
      </c>
      <c r="L3694" s="9">
        <v>11380.92</v>
      </c>
      <c r="M3694" s="9">
        <v>11473.45</v>
      </c>
      <c r="N3694" s="9">
        <v>6.26</v>
      </c>
      <c r="O3694" s="10">
        <f>IF(AND(OR(H3694="APPROVED",H3694="SCHEDULED"),COUNTIFS(tblSource[EventID],F3694,tblSource[ReleaseStatus],"APPROVED")=1,COUNTIFS(Period_Status!$A$2:$A$8,G3694,Period_Status!$B$2:$B$8,"ActualClosed")=1,C3694&gt;EOMONTH(Settlement_Bridge!$C$2,0)),1,0)</f>
        <v>1</v>
      </c>
      <c r="P3694" s="2" t="s">
        <v>10086</v>
      </c>
    </row>
    <row r="3695" spans="1:16" x14ac:dyDescent="0.25">
      <c r="A3695" s="2" t="s">
        <v>10087</v>
      </c>
      <c r="B3695" s="2" t="s">
        <v>7433</v>
      </c>
      <c r="C3695" s="8">
        <v>46227</v>
      </c>
      <c r="D3695" s="6">
        <v>46204</v>
      </c>
      <c r="E3695" s="2" t="s">
        <v>260</v>
      </c>
      <c r="F3695" s="2" t="s">
        <v>10088</v>
      </c>
      <c r="G3695" s="6">
        <v>46204</v>
      </c>
      <c r="H3695" s="2" t="s">
        <v>71</v>
      </c>
      <c r="I3695" s="2" t="s">
        <v>70</v>
      </c>
      <c r="J3695" s="9">
        <v>11792.844985</v>
      </c>
      <c r="K3695" s="7">
        <v>0.65800000000000003</v>
      </c>
      <c r="L3695" s="9">
        <v>7759.69</v>
      </c>
      <c r="M3695" s="9">
        <v>7759.69</v>
      </c>
      <c r="N3695" s="9">
        <v>4.2699999999999996</v>
      </c>
      <c r="O3695" s="10">
        <f>IF(AND(OR(H3695="APPROVED",H3695="SCHEDULED"),COUNTIFS(tblSource[EventID],F3695,tblSource[ReleaseStatus],"APPROVED")=1,COUNTIFS(Period_Status!$A$2:$A$8,G3695,Period_Status!$B$2:$B$8,"ActualClosed")=1,C3695&gt;EOMONTH(Settlement_Bridge!$C$2,0)),1,0)</f>
        <v>0</v>
      </c>
      <c r="P3695" s="2" t="s">
        <v>10089</v>
      </c>
    </row>
    <row r="3696" spans="1:16" x14ac:dyDescent="0.25">
      <c r="A3696" s="2" t="s">
        <v>10090</v>
      </c>
      <c r="B3696" s="2" t="s">
        <v>7433</v>
      </c>
      <c r="C3696" s="8">
        <v>46252</v>
      </c>
      <c r="D3696" s="6">
        <v>46235</v>
      </c>
      <c r="E3696" s="2" t="s">
        <v>260</v>
      </c>
      <c r="F3696" s="2" t="s">
        <v>10088</v>
      </c>
      <c r="G3696" s="6">
        <v>46204</v>
      </c>
      <c r="H3696" s="2" t="s">
        <v>71</v>
      </c>
      <c r="I3696" s="2" t="s">
        <v>70</v>
      </c>
      <c r="J3696" s="9">
        <v>17689.267477000001</v>
      </c>
      <c r="K3696" s="7">
        <v>0.65</v>
      </c>
      <c r="L3696" s="9">
        <v>11498.02</v>
      </c>
      <c r="M3696" s="9">
        <v>11639.54</v>
      </c>
      <c r="N3696" s="9">
        <v>6.32</v>
      </c>
      <c r="O3696" s="10">
        <f>IF(AND(OR(H3696="APPROVED",H3696="SCHEDULED"),COUNTIFS(tblSource[EventID],F3696,tblSource[ReleaseStatus],"APPROVED")=1,COUNTIFS(Period_Status!$A$2:$A$8,G3696,Period_Status!$B$2:$B$8,"ActualClosed")=1,C3696&gt;EOMONTH(Settlement_Bridge!$C$2,0)),1,0)</f>
        <v>1</v>
      </c>
      <c r="P3696" s="2" t="s">
        <v>10091</v>
      </c>
    </row>
    <row r="3697" spans="1:16" x14ac:dyDescent="0.25">
      <c r="A3697" s="2" t="s">
        <v>10092</v>
      </c>
      <c r="B3697" s="2" t="s">
        <v>7433</v>
      </c>
      <c r="C3697" s="8">
        <v>46228</v>
      </c>
      <c r="D3697" s="6">
        <v>46204</v>
      </c>
      <c r="E3697" s="2" t="s">
        <v>260</v>
      </c>
      <c r="F3697" s="2" t="s">
        <v>10093</v>
      </c>
      <c r="G3697" s="6">
        <v>46204</v>
      </c>
      <c r="H3697" s="2" t="s">
        <v>71</v>
      </c>
      <c r="I3697" s="2" t="s">
        <v>39</v>
      </c>
      <c r="J3697" s="9">
        <v>7870.42</v>
      </c>
      <c r="K3697" s="7">
        <v>1</v>
      </c>
      <c r="L3697" s="9">
        <v>7870.42</v>
      </c>
      <c r="M3697" s="9">
        <v>7870.42</v>
      </c>
      <c r="N3697" s="9">
        <v>4.33</v>
      </c>
      <c r="O3697" s="10">
        <f>IF(AND(OR(H3697="APPROVED",H3697="SCHEDULED"),COUNTIFS(tblSource[EventID],F3697,tblSource[ReleaseStatus],"APPROVED")=1,COUNTIFS(Period_Status!$A$2:$A$8,G3697,Period_Status!$B$2:$B$8,"ActualClosed")=1,C3697&gt;EOMONTH(Settlement_Bridge!$C$2,0)),1,0)</f>
        <v>0</v>
      </c>
      <c r="P3697" s="2" t="s">
        <v>10094</v>
      </c>
    </row>
    <row r="3698" spans="1:16" x14ac:dyDescent="0.25">
      <c r="A3698" s="2" t="s">
        <v>10095</v>
      </c>
      <c r="B3698" s="2" t="s">
        <v>7433</v>
      </c>
      <c r="C3698" s="8">
        <v>46253</v>
      </c>
      <c r="D3698" s="6">
        <v>46235</v>
      </c>
      <c r="E3698" s="2" t="s">
        <v>260</v>
      </c>
      <c r="F3698" s="2" t="s">
        <v>10093</v>
      </c>
      <c r="G3698" s="6">
        <v>46204</v>
      </c>
      <c r="H3698" s="2" t="s">
        <v>71</v>
      </c>
      <c r="I3698" s="2" t="s">
        <v>39</v>
      </c>
      <c r="J3698" s="9">
        <v>11805.63</v>
      </c>
      <c r="K3698" s="7">
        <v>1</v>
      </c>
      <c r="L3698" s="9">
        <v>11805.63</v>
      </c>
      <c r="M3698" s="9">
        <v>11805.63</v>
      </c>
      <c r="N3698" s="9">
        <v>6.49</v>
      </c>
      <c r="O3698" s="10">
        <f>IF(AND(OR(H3698="APPROVED",H3698="SCHEDULED"),COUNTIFS(tblSource[EventID],F3698,tblSource[ReleaseStatus],"APPROVED")=1,COUNTIFS(Period_Status!$A$2:$A$8,G3698,Period_Status!$B$2:$B$8,"ActualClosed")=1,C3698&gt;EOMONTH(Settlement_Bridge!$C$2,0)),1,0)</f>
        <v>1</v>
      </c>
      <c r="P3698" s="2" t="s">
        <v>10096</v>
      </c>
    </row>
    <row r="3699" spans="1:16" x14ac:dyDescent="0.25">
      <c r="A3699" s="2" t="s">
        <v>10097</v>
      </c>
      <c r="B3699" s="2" t="s">
        <v>7433</v>
      </c>
      <c r="C3699" s="8">
        <v>46229</v>
      </c>
      <c r="D3699" s="6">
        <v>46204</v>
      </c>
      <c r="E3699" s="2" t="s">
        <v>260</v>
      </c>
      <c r="F3699" s="2" t="s">
        <v>10098</v>
      </c>
      <c r="G3699" s="6">
        <v>46204</v>
      </c>
      <c r="H3699" s="2" t="s">
        <v>71</v>
      </c>
      <c r="I3699" s="2" t="s">
        <v>76</v>
      </c>
      <c r="J3699" s="9">
        <v>128728129.032258</v>
      </c>
      <c r="K3699" s="7">
        <v>6.2000000000000003E-5</v>
      </c>
      <c r="L3699" s="9">
        <v>7981.14</v>
      </c>
      <c r="M3699" s="9">
        <v>7981.14</v>
      </c>
      <c r="N3699" s="9">
        <v>4.3899999999999997</v>
      </c>
      <c r="O3699" s="10">
        <f>IF(AND(OR(H3699="APPROVED",H3699="SCHEDULED"),COUNTIFS(tblSource[EventID],F3699,tblSource[ReleaseStatus],"APPROVED")=1,COUNTIFS(Period_Status!$A$2:$A$8,G3699,Period_Status!$B$2:$B$8,"ActualClosed")=1,C3699&gt;EOMONTH(Settlement_Bridge!$C$2,0)),1,0)</f>
        <v>0</v>
      </c>
      <c r="P3699" s="2" t="s">
        <v>10099</v>
      </c>
    </row>
    <row r="3700" spans="1:16" x14ac:dyDescent="0.25">
      <c r="A3700" s="2" t="s">
        <v>10100</v>
      </c>
      <c r="B3700" s="2" t="s">
        <v>7433</v>
      </c>
      <c r="C3700" s="8">
        <v>46254</v>
      </c>
      <c r="D3700" s="6">
        <v>46235</v>
      </c>
      <c r="E3700" s="2" t="s">
        <v>260</v>
      </c>
      <c r="F3700" s="2" t="s">
        <v>10098</v>
      </c>
      <c r="G3700" s="6">
        <v>46204</v>
      </c>
      <c r="H3700" s="2" t="s">
        <v>71</v>
      </c>
      <c r="I3700" s="2" t="s">
        <v>76</v>
      </c>
      <c r="J3700" s="9">
        <v>193092193.54838699</v>
      </c>
      <c r="K3700" s="7">
        <v>6.1500000000000004E-5</v>
      </c>
      <c r="L3700" s="9">
        <v>11875.17</v>
      </c>
      <c r="M3700" s="9">
        <v>11971.72</v>
      </c>
      <c r="N3700" s="9">
        <v>6.53</v>
      </c>
      <c r="O3700" s="10">
        <f>IF(AND(OR(H3700="APPROVED",H3700="SCHEDULED"),COUNTIFS(tblSource[EventID],F3700,tblSource[ReleaseStatus],"APPROVED")=1,COUNTIFS(Period_Status!$A$2:$A$8,G3700,Period_Status!$B$2:$B$8,"ActualClosed")=1,C3700&gt;EOMONTH(Settlement_Bridge!$C$2,0)),1,0)</f>
        <v>1</v>
      </c>
      <c r="P3700" s="2" t="s">
        <v>10101</v>
      </c>
    </row>
    <row r="3701" spans="1:16" x14ac:dyDescent="0.25">
      <c r="A3701" s="2" t="s">
        <v>10102</v>
      </c>
      <c r="B3701" s="2" t="s">
        <v>7433</v>
      </c>
      <c r="C3701" s="8">
        <v>46230</v>
      </c>
      <c r="D3701" s="6">
        <v>46204</v>
      </c>
      <c r="E3701" s="2" t="s">
        <v>260</v>
      </c>
      <c r="F3701" s="2" t="s">
        <v>10103</v>
      </c>
      <c r="G3701" s="6">
        <v>46204</v>
      </c>
      <c r="H3701" s="2" t="s">
        <v>71</v>
      </c>
      <c r="I3701" s="2" t="s">
        <v>70</v>
      </c>
      <c r="J3701" s="9">
        <v>12297.677812</v>
      </c>
      <c r="K3701" s="7">
        <v>0.65800000000000003</v>
      </c>
      <c r="L3701" s="9">
        <v>8091.87</v>
      </c>
      <c r="M3701" s="9">
        <v>8091.87</v>
      </c>
      <c r="N3701" s="9">
        <v>4.45</v>
      </c>
      <c r="O3701" s="10">
        <f>IF(AND(OR(H3701="APPROVED",H3701="SCHEDULED"),COUNTIFS(tblSource[EventID],F3701,tblSource[ReleaseStatus],"APPROVED")=1,COUNTIFS(Period_Status!$A$2:$A$8,G3701,Period_Status!$B$2:$B$8,"ActualClosed")=1,C3701&gt;EOMONTH(Settlement_Bridge!$C$2,0)),1,0)</f>
        <v>0</v>
      </c>
      <c r="P3701" s="2" t="s">
        <v>10104</v>
      </c>
    </row>
    <row r="3702" spans="1:16" x14ac:dyDescent="0.25">
      <c r="A3702" s="2" t="s">
        <v>10105</v>
      </c>
      <c r="B3702" s="2" t="s">
        <v>7433</v>
      </c>
      <c r="C3702" s="8">
        <v>46255</v>
      </c>
      <c r="D3702" s="6">
        <v>46235</v>
      </c>
      <c r="E3702" s="2" t="s">
        <v>260</v>
      </c>
      <c r="F3702" s="2" t="s">
        <v>10103</v>
      </c>
      <c r="G3702" s="6">
        <v>46204</v>
      </c>
      <c r="H3702" s="2" t="s">
        <v>71</v>
      </c>
      <c r="I3702" s="2" t="s">
        <v>70</v>
      </c>
      <c r="J3702" s="9">
        <v>18446.516716999999</v>
      </c>
      <c r="K3702" s="7">
        <v>0.65</v>
      </c>
      <c r="L3702" s="9">
        <v>11990.24</v>
      </c>
      <c r="M3702" s="9">
        <v>12137.81</v>
      </c>
      <c r="N3702" s="9">
        <v>6.59</v>
      </c>
      <c r="O3702" s="10">
        <f>IF(AND(OR(H3702="APPROVED",H3702="SCHEDULED"),COUNTIFS(tblSource[EventID],F3702,tblSource[ReleaseStatus],"APPROVED")=1,COUNTIFS(Period_Status!$A$2:$A$8,G3702,Period_Status!$B$2:$B$8,"ActualClosed")=1,C3702&gt;EOMONTH(Settlement_Bridge!$C$2,0)),1,0)</f>
        <v>1</v>
      </c>
      <c r="P3702" s="2" t="s">
        <v>10106</v>
      </c>
    </row>
    <row r="3703" spans="1:16" x14ac:dyDescent="0.25">
      <c r="A3703" s="2" t="s">
        <v>10107</v>
      </c>
      <c r="B3703" s="2" t="s">
        <v>7433</v>
      </c>
      <c r="C3703" s="8">
        <v>46231</v>
      </c>
      <c r="D3703" s="6">
        <v>46204</v>
      </c>
      <c r="E3703" s="2" t="s">
        <v>260</v>
      </c>
      <c r="F3703" s="2" t="s">
        <v>10108</v>
      </c>
      <c r="G3703" s="6">
        <v>46204</v>
      </c>
      <c r="H3703" s="2" t="s">
        <v>71</v>
      </c>
      <c r="I3703" s="2" t="s">
        <v>39</v>
      </c>
      <c r="J3703" s="9">
        <v>8202.6</v>
      </c>
      <c r="K3703" s="7">
        <v>1</v>
      </c>
      <c r="L3703" s="9">
        <v>8202.6</v>
      </c>
      <c r="M3703" s="9">
        <v>8202.6</v>
      </c>
      <c r="N3703" s="9">
        <v>4.51</v>
      </c>
      <c r="O3703" s="10">
        <f>IF(AND(OR(H3703="APPROVED",H3703="SCHEDULED"),COUNTIFS(tblSource[EventID],F3703,tblSource[ReleaseStatus],"APPROVED")=1,COUNTIFS(Period_Status!$A$2:$A$8,G3703,Period_Status!$B$2:$B$8,"ActualClosed")=1,C3703&gt;EOMONTH(Settlement_Bridge!$C$2,0)),1,0)</f>
        <v>0</v>
      </c>
      <c r="P3703" s="2" t="s">
        <v>10109</v>
      </c>
    </row>
    <row r="3704" spans="1:16" x14ac:dyDescent="0.25">
      <c r="A3704" s="2" t="s">
        <v>10110</v>
      </c>
      <c r="B3704" s="2" t="s">
        <v>7433</v>
      </c>
      <c r="C3704" s="8">
        <v>46256</v>
      </c>
      <c r="D3704" s="6">
        <v>46235</v>
      </c>
      <c r="E3704" s="2" t="s">
        <v>260</v>
      </c>
      <c r="F3704" s="2" t="s">
        <v>10108</v>
      </c>
      <c r="G3704" s="6">
        <v>46204</v>
      </c>
      <c r="H3704" s="2" t="s">
        <v>71</v>
      </c>
      <c r="I3704" s="2" t="s">
        <v>39</v>
      </c>
      <c r="J3704" s="9">
        <v>12303.9</v>
      </c>
      <c r="K3704" s="7">
        <v>1</v>
      </c>
      <c r="L3704" s="9">
        <v>12303.9</v>
      </c>
      <c r="M3704" s="9">
        <v>12303.9</v>
      </c>
      <c r="N3704" s="9">
        <v>6.77</v>
      </c>
      <c r="O3704" s="10">
        <f>IF(AND(OR(H3704="APPROVED",H3704="SCHEDULED"),COUNTIFS(tblSource[EventID],F3704,tblSource[ReleaseStatus],"APPROVED")=1,COUNTIFS(Period_Status!$A$2:$A$8,G3704,Period_Status!$B$2:$B$8,"ActualClosed")=1,C3704&gt;EOMONTH(Settlement_Bridge!$C$2,0)),1,0)</f>
        <v>1</v>
      </c>
      <c r="P3704" s="2" t="s">
        <v>10111</v>
      </c>
    </row>
    <row r="3705" spans="1:16" x14ac:dyDescent="0.25">
      <c r="A3705" s="2" t="s">
        <v>10112</v>
      </c>
      <c r="B3705" s="2" t="s">
        <v>7433</v>
      </c>
      <c r="C3705" s="8">
        <v>46232</v>
      </c>
      <c r="D3705" s="6">
        <v>46204</v>
      </c>
      <c r="E3705" s="2" t="s">
        <v>260</v>
      </c>
      <c r="F3705" s="2" t="s">
        <v>10113</v>
      </c>
      <c r="G3705" s="6">
        <v>46204</v>
      </c>
      <c r="H3705" s="2" t="s">
        <v>71</v>
      </c>
      <c r="I3705" s="2" t="s">
        <v>76</v>
      </c>
      <c r="J3705" s="9">
        <v>134085870.967742</v>
      </c>
      <c r="K3705" s="7">
        <v>6.2000000000000003E-5</v>
      </c>
      <c r="L3705" s="9">
        <v>8313.32</v>
      </c>
      <c r="M3705" s="9">
        <v>8313.32</v>
      </c>
      <c r="N3705" s="9">
        <v>4.57</v>
      </c>
      <c r="O3705" s="10">
        <f>IF(AND(OR(H3705="APPROVED",H3705="SCHEDULED"),COUNTIFS(tblSource[EventID],F3705,tblSource[ReleaseStatus],"APPROVED")=1,COUNTIFS(Period_Status!$A$2:$A$8,G3705,Period_Status!$B$2:$B$8,"ActualClosed")=1,C3705&gt;EOMONTH(Settlement_Bridge!$C$2,0)),1,0)</f>
        <v>0</v>
      </c>
      <c r="P3705" s="2" t="s">
        <v>10114</v>
      </c>
    </row>
    <row r="3706" spans="1:16" x14ac:dyDescent="0.25">
      <c r="A3706" s="2" t="s">
        <v>10115</v>
      </c>
      <c r="B3706" s="2" t="s">
        <v>7433</v>
      </c>
      <c r="C3706" s="8">
        <v>46257</v>
      </c>
      <c r="D3706" s="6">
        <v>46235</v>
      </c>
      <c r="E3706" s="2" t="s">
        <v>260</v>
      </c>
      <c r="F3706" s="2" t="s">
        <v>10113</v>
      </c>
      <c r="G3706" s="6">
        <v>46204</v>
      </c>
      <c r="H3706" s="2" t="s">
        <v>71</v>
      </c>
      <c r="I3706" s="2" t="s">
        <v>76</v>
      </c>
      <c r="J3706" s="9">
        <v>201128806.45161301</v>
      </c>
      <c r="K3706" s="7">
        <v>6.1500000000000004E-5</v>
      </c>
      <c r="L3706" s="9">
        <v>12369.42</v>
      </c>
      <c r="M3706" s="9">
        <v>12469.99</v>
      </c>
      <c r="N3706" s="9">
        <v>6.8</v>
      </c>
      <c r="O3706" s="10">
        <f>IF(AND(OR(H3706="APPROVED",H3706="SCHEDULED"),COUNTIFS(tblSource[EventID],F3706,tblSource[ReleaseStatus],"APPROVED")=1,COUNTIFS(Period_Status!$A$2:$A$8,G3706,Period_Status!$B$2:$B$8,"ActualClosed")=1,C3706&gt;EOMONTH(Settlement_Bridge!$C$2,0)),1,0)</f>
        <v>1</v>
      </c>
      <c r="P3706" s="2" t="s">
        <v>10116</v>
      </c>
    </row>
    <row r="3707" spans="1:16" x14ac:dyDescent="0.25">
      <c r="A3707" s="2" t="s">
        <v>10117</v>
      </c>
      <c r="B3707" s="2" t="s">
        <v>7433</v>
      </c>
      <c r="C3707" s="8">
        <v>46233</v>
      </c>
      <c r="D3707" s="6">
        <v>46204</v>
      </c>
      <c r="E3707" s="2" t="s">
        <v>260</v>
      </c>
      <c r="F3707" s="2" t="s">
        <v>10118</v>
      </c>
      <c r="G3707" s="6">
        <v>46204</v>
      </c>
      <c r="H3707" s="2" t="s">
        <v>71</v>
      </c>
      <c r="I3707" s="2" t="s">
        <v>70</v>
      </c>
      <c r="J3707" s="9">
        <v>12802.510638</v>
      </c>
      <c r="K3707" s="7">
        <v>0.65800000000000003</v>
      </c>
      <c r="L3707" s="9">
        <v>8424.0499999999993</v>
      </c>
      <c r="M3707" s="9">
        <v>8424.0499999999993</v>
      </c>
      <c r="N3707" s="9">
        <v>4.63</v>
      </c>
      <c r="O3707" s="10">
        <f>IF(AND(OR(H3707="APPROVED",H3707="SCHEDULED"),COUNTIFS(tblSource[EventID],F3707,tblSource[ReleaseStatus],"APPROVED")=1,COUNTIFS(Period_Status!$A$2:$A$8,G3707,Period_Status!$B$2:$B$8,"ActualClosed")=1,C3707&gt;EOMONTH(Settlement_Bridge!$C$2,0)),1,0)</f>
        <v>0</v>
      </c>
      <c r="P3707" s="2" t="s">
        <v>10119</v>
      </c>
    </row>
    <row r="3708" spans="1:16" x14ac:dyDescent="0.25">
      <c r="A3708" s="2" t="s">
        <v>10120</v>
      </c>
      <c r="B3708" s="2" t="s">
        <v>7433</v>
      </c>
      <c r="C3708" s="8">
        <v>46258</v>
      </c>
      <c r="D3708" s="6">
        <v>46235</v>
      </c>
      <c r="E3708" s="2" t="s">
        <v>260</v>
      </c>
      <c r="F3708" s="2" t="s">
        <v>10118</v>
      </c>
      <c r="G3708" s="6">
        <v>46204</v>
      </c>
      <c r="H3708" s="2" t="s">
        <v>71</v>
      </c>
      <c r="I3708" s="2" t="s">
        <v>70</v>
      </c>
      <c r="J3708" s="9">
        <v>19203.765958</v>
      </c>
      <c r="K3708" s="7">
        <v>0.65</v>
      </c>
      <c r="L3708" s="9">
        <v>12482.45</v>
      </c>
      <c r="M3708" s="9">
        <v>12636.08</v>
      </c>
      <c r="N3708" s="9">
        <v>6.87</v>
      </c>
      <c r="O3708" s="10">
        <f>IF(AND(OR(H3708="APPROVED",H3708="SCHEDULED"),COUNTIFS(tblSource[EventID],F3708,tblSource[ReleaseStatus],"APPROVED")=1,COUNTIFS(Period_Status!$A$2:$A$8,G3708,Period_Status!$B$2:$B$8,"ActualClosed")=1,C3708&gt;EOMONTH(Settlement_Bridge!$C$2,0)),1,0)</f>
        <v>1</v>
      </c>
      <c r="P3708" s="2" t="s">
        <v>10121</v>
      </c>
    </row>
    <row r="3709" spans="1:16" x14ac:dyDescent="0.25">
      <c r="A3709" s="2" t="s">
        <v>10122</v>
      </c>
      <c r="B3709" s="2" t="s">
        <v>7433</v>
      </c>
      <c r="C3709" s="8">
        <v>46234</v>
      </c>
      <c r="D3709" s="6">
        <v>46204</v>
      </c>
      <c r="E3709" s="2" t="s">
        <v>260</v>
      </c>
      <c r="F3709" s="2" t="s">
        <v>10123</v>
      </c>
      <c r="G3709" s="6">
        <v>46204</v>
      </c>
      <c r="H3709" s="2" t="s">
        <v>71</v>
      </c>
      <c r="I3709" s="2" t="s">
        <v>39</v>
      </c>
      <c r="J3709" s="9">
        <v>8534.7759999999998</v>
      </c>
      <c r="K3709" s="7">
        <v>1</v>
      </c>
      <c r="L3709" s="9">
        <v>8534.7800000000007</v>
      </c>
      <c r="M3709" s="9">
        <v>8534.7800000000007</v>
      </c>
      <c r="N3709" s="9">
        <v>4.6900000000000004</v>
      </c>
      <c r="O3709" s="10">
        <f>IF(AND(OR(H3709="APPROVED",H3709="SCHEDULED"),COUNTIFS(tblSource[EventID],F3709,tblSource[ReleaseStatus],"APPROVED")=1,COUNTIFS(Period_Status!$A$2:$A$8,G3709,Period_Status!$B$2:$B$8,"ActualClosed")=1,C3709&gt;EOMONTH(Settlement_Bridge!$C$2,0)),1,0)</f>
        <v>0</v>
      </c>
      <c r="P3709" s="2" t="s">
        <v>10124</v>
      </c>
    </row>
    <row r="3710" spans="1:16" x14ac:dyDescent="0.25">
      <c r="A3710" s="2" t="s">
        <v>10125</v>
      </c>
      <c r="B3710" s="2" t="s">
        <v>7433</v>
      </c>
      <c r="C3710" s="8">
        <v>46259</v>
      </c>
      <c r="D3710" s="6">
        <v>46235</v>
      </c>
      <c r="E3710" s="2" t="s">
        <v>260</v>
      </c>
      <c r="F3710" s="2" t="s">
        <v>10123</v>
      </c>
      <c r="G3710" s="6">
        <v>46204</v>
      </c>
      <c r="H3710" s="2" t="s">
        <v>71</v>
      </c>
      <c r="I3710" s="2" t="s">
        <v>39</v>
      </c>
      <c r="J3710" s="9">
        <v>12802.164000000001</v>
      </c>
      <c r="K3710" s="7">
        <v>1</v>
      </c>
      <c r="L3710" s="9">
        <v>12802.16</v>
      </c>
      <c r="M3710" s="9">
        <v>12802.16</v>
      </c>
      <c r="N3710" s="9">
        <v>7.04</v>
      </c>
      <c r="O3710" s="10">
        <f>IF(AND(OR(H3710="APPROVED",H3710="SCHEDULED"),COUNTIFS(tblSource[EventID],F3710,tblSource[ReleaseStatus],"APPROVED")=1,COUNTIFS(Period_Status!$A$2:$A$8,G3710,Period_Status!$B$2:$B$8,"ActualClosed")=1,C3710&gt;EOMONTH(Settlement_Bridge!$C$2,0)),1,0)</f>
        <v>1</v>
      </c>
      <c r="P3710" s="2" t="s">
        <v>10126</v>
      </c>
    </row>
    <row r="3711" spans="1:16" x14ac:dyDescent="0.25">
      <c r="A3711" s="2" t="s">
        <v>10127</v>
      </c>
      <c r="B3711" s="2" t="s">
        <v>7433</v>
      </c>
      <c r="C3711" s="8">
        <v>46235</v>
      </c>
      <c r="D3711" s="6">
        <v>46235</v>
      </c>
      <c r="E3711" s="2" t="s">
        <v>260</v>
      </c>
      <c r="F3711" s="2" t="s">
        <v>10128</v>
      </c>
      <c r="G3711" s="6">
        <v>46204</v>
      </c>
      <c r="H3711" s="2" t="s">
        <v>71</v>
      </c>
      <c r="I3711" s="2" t="s">
        <v>76</v>
      </c>
      <c r="J3711" s="9">
        <v>139443612.90322599</v>
      </c>
      <c r="K3711" s="7">
        <v>6.1500000000000004E-5</v>
      </c>
      <c r="L3711" s="9">
        <v>8575.7800000000007</v>
      </c>
      <c r="M3711" s="9">
        <v>8645.5</v>
      </c>
      <c r="N3711" s="9">
        <v>4.72</v>
      </c>
      <c r="O3711" s="10">
        <f>IF(AND(OR(H3711="APPROVED",H3711="SCHEDULED"),COUNTIFS(tblSource[EventID],F3711,tblSource[ReleaseStatus],"APPROVED")=1,COUNTIFS(Period_Status!$A$2:$A$8,G3711,Period_Status!$B$2:$B$8,"ActualClosed")=1,C3711&gt;EOMONTH(Settlement_Bridge!$C$2,0)),1,0)</f>
        <v>1</v>
      </c>
      <c r="P3711" s="2" t="s">
        <v>10129</v>
      </c>
    </row>
    <row r="3712" spans="1:16" x14ac:dyDescent="0.25">
      <c r="A3712" s="2" t="s">
        <v>10130</v>
      </c>
      <c r="B3712" s="2" t="s">
        <v>7433</v>
      </c>
      <c r="C3712" s="8">
        <v>46260</v>
      </c>
      <c r="D3712" s="6">
        <v>46235</v>
      </c>
      <c r="E3712" s="2" t="s">
        <v>260</v>
      </c>
      <c r="F3712" s="2" t="s">
        <v>10128</v>
      </c>
      <c r="G3712" s="6">
        <v>46204</v>
      </c>
      <c r="H3712" s="2" t="s">
        <v>71</v>
      </c>
      <c r="I3712" s="2" t="s">
        <v>76</v>
      </c>
      <c r="J3712" s="9">
        <v>209165419.35483801</v>
      </c>
      <c r="K3712" s="7">
        <v>6.1500000000000004E-5</v>
      </c>
      <c r="L3712" s="9">
        <v>12863.67</v>
      </c>
      <c r="M3712" s="9">
        <v>12968.26</v>
      </c>
      <c r="N3712" s="9">
        <v>7.08</v>
      </c>
      <c r="O3712" s="10">
        <f>IF(AND(OR(H3712="APPROVED",H3712="SCHEDULED"),COUNTIFS(tblSource[EventID],F3712,tblSource[ReleaseStatus],"APPROVED")=1,COUNTIFS(Period_Status!$A$2:$A$8,G3712,Period_Status!$B$2:$B$8,"ActualClosed")=1,C3712&gt;EOMONTH(Settlement_Bridge!$C$2,0)),1,0)</f>
        <v>1</v>
      </c>
      <c r="P3712" s="2" t="s">
        <v>10131</v>
      </c>
    </row>
    <row r="3713" spans="1:16" x14ac:dyDescent="0.25">
      <c r="A3713" s="2" t="s">
        <v>10132</v>
      </c>
      <c r="B3713" s="2" t="s">
        <v>7433</v>
      </c>
      <c r="C3713" s="8">
        <v>46236</v>
      </c>
      <c r="D3713" s="6">
        <v>46235</v>
      </c>
      <c r="E3713" s="2" t="s">
        <v>260</v>
      </c>
      <c r="F3713" s="2" t="s">
        <v>10133</v>
      </c>
      <c r="G3713" s="6">
        <v>46204</v>
      </c>
      <c r="H3713" s="2" t="s">
        <v>71</v>
      </c>
      <c r="I3713" s="2" t="s">
        <v>70</v>
      </c>
      <c r="J3713" s="9">
        <v>13307.337385999999</v>
      </c>
      <c r="K3713" s="7">
        <v>0.65</v>
      </c>
      <c r="L3713" s="9">
        <v>8649.77</v>
      </c>
      <c r="M3713" s="9">
        <v>8756.23</v>
      </c>
      <c r="N3713" s="9">
        <v>4.76</v>
      </c>
      <c r="O3713" s="10">
        <f>IF(AND(OR(H3713="APPROVED",H3713="SCHEDULED"),COUNTIFS(tblSource[EventID],F3713,tblSource[ReleaseStatus],"APPROVED")=1,COUNTIFS(Period_Status!$A$2:$A$8,G3713,Period_Status!$B$2:$B$8,"ActualClosed")=1,C3713&gt;EOMONTH(Settlement_Bridge!$C$2,0)),1,0)</f>
        <v>1</v>
      </c>
      <c r="P3713" s="2" t="s">
        <v>10134</v>
      </c>
    </row>
    <row r="3714" spans="1:16" x14ac:dyDescent="0.25">
      <c r="A3714" s="2" t="s">
        <v>10135</v>
      </c>
      <c r="B3714" s="2" t="s">
        <v>7433</v>
      </c>
      <c r="C3714" s="8">
        <v>46261</v>
      </c>
      <c r="D3714" s="6">
        <v>46235</v>
      </c>
      <c r="E3714" s="2" t="s">
        <v>260</v>
      </c>
      <c r="F3714" s="2" t="s">
        <v>10133</v>
      </c>
      <c r="G3714" s="6">
        <v>46204</v>
      </c>
      <c r="H3714" s="2" t="s">
        <v>71</v>
      </c>
      <c r="I3714" s="2" t="s">
        <v>70</v>
      </c>
      <c r="J3714" s="9">
        <v>19961.006078999999</v>
      </c>
      <c r="K3714" s="7">
        <v>0.65</v>
      </c>
      <c r="L3714" s="9">
        <v>12974.65</v>
      </c>
      <c r="M3714" s="9">
        <v>13134.34</v>
      </c>
      <c r="N3714" s="9">
        <v>7.14</v>
      </c>
      <c r="O3714" s="10">
        <f>IF(AND(OR(H3714="APPROVED",H3714="SCHEDULED"),COUNTIFS(tblSource[EventID],F3714,tblSource[ReleaseStatus],"APPROVED")=1,COUNTIFS(Period_Status!$A$2:$A$8,G3714,Period_Status!$B$2:$B$8,"ActualClosed")=1,C3714&gt;EOMONTH(Settlement_Bridge!$C$2,0)),1,0)</f>
        <v>1</v>
      </c>
      <c r="P3714" s="2" t="s">
        <v>10136</v>
      </c>
    </row>
    <row r="3715" spans="1:16" x14ac:dyDescent="0.25">
      <c r="A3715" s="2" t="s">
        <v>10137</v>
      </c>
      <c r="B3715" s="2" t="s">
        <v>7433</v>
      </c>
      <c r="C3715" s="8">
        <v>46237</v>
      </c>
      <c r="D3715" s="6">
        <v>46235</v>
      </c>
      <c r="E3715" s="2" t="s">
        <v>260</v>
      </c>
      <c r="F3715" s="2" t="s">
        <v>10138</v>
      </c>
      <c r="G3715" s="6">
        <v>46204</v>
      </c>
      <c r="H3715" s="2" t="s">
        <v>71</v>
      </c>
      <c r="I3715" s="2" t="s">
        <v>39</v>
      </c>
      <c r="J3715" s="9">
        <v>8866.9560000000001</v>
      </c>
      <c r="K3715" s="7">
        <v>1</v>
      </c>
      <c r="L3715" s="9">
        <v>8866.9599999999991</v>
      </c>
      <c r="M3715" s="9">
        <v>8866.9599999999991</v>
      </c>
      <c r="N3715" s="9">
        <v>4.88</v>
      </c>
      <c r="O3715" s="10">
        <f>IF(AND(OR(H3715="APPROVED",H3715="SCHEDULED"),COUNTIFS(tblSource[EventID],F3715,tblSource[ReleaseStatus],"APPROVED")=1,COUNTIFS(Period_Status!$A$2:$A$8,G3715,Period_Status!$B$2:$B$8,"ActualClosed")=1,C3715&gt;EOMONTH(Settlement_Bridge!$C$2,0)),1,0)</f>
        <v>1</v>
      </c>
      <c r="P3715" s="2" t="s">
        <v>10139</v>
      </c>
    </row>
    <row r="3716" spans="1:16" x14ac:dyDescent="0.25">
      <c r="A3716" s="2" t="s">
        <v>10140</v>
      </c>
      <c r="B3716" s="2" t="s">
        <v>7433</v>
      </c>
      <c r="C3716" s="8">
        <v>46262</v>
      </c>
      <c r="D3716" s="6">
        <v>46235</v>
      </c>
      <c r="E3716" s="2" t="s">
        <v>260</v>
      </c>
      <c r="F3716" s="2" t="s">
        <v>10138</v>
      </c>
      <c r="G3716" s="6">
        <v>46204</v>
      </c>
      <c r="H3716" s="2" t="s">
        <v>71</v>
      </c>
      <c r="I3716" s="2" t="s">
        <v>39</v>
      </c>
      <c r="J3716" s="9">
        <v>13300.433999999999</v>
      </c>
      <c r="K3716" s="7">
        <v>1</v>
      </c>
      <c r="L3716" s="9">
        <v>13300.43</v>
      </c>
      <c r="M3716" s="9">
        <v>13300.43</v>
      </c>
      <c r="N3716" s="9">
        <v>7.32</v>
      </c>
      <c r="O3716" s="10">
        <f>IF(AND(OR(H3716="APPROVED",H3716="SCHEDULED"),COUNTIFS(tblSource[EventID],F3716,tblSource[ReleaseStatus],"APPROVED")=1,COUNTIFS(Period_Status!$A$2:$A$8,G3716,Period_Status!$B$2:$B$8,"ActualClosed")=1,C3716&gt;EOMONTH(Settlement_Bridge!$C$2,0)),1,0)</f>
        <v>1</v>
      </c>
      <c r="P3716" s="2" t="s">
        <v>10141</v>
      </c>
    </row>
    <row r="3717" spans="1:16" x14ac:dyDescent="0.25">
      <c r="A3717" s="2" t="s">
        <v>10142</v>
      </c>
      <c r="B3717" s="2" t="s">
        <v>7433</v>
      </c>
      <c r="C3717" s="8">
        <v>46238</v>
      </c>
      <c r="D3717" s="6">
        <v>46235</v>
      </c>
      <c r="E3717" s="2" t="s">
        <v>260</v>
      </c>
      <c r="F3717" s="2" t="s">
        <v>10143</v>
      </c>
      <c r="G3717" s="6">
        <v>46204</v>
      </c>
      <c r="H3717" s="2" t="s">
        <v>71</v>
      </c>
      <c r="I3717" s="2" t="s">
        <v>76</v>
      </c>
      <c r="J3717" s="9">
        <v>144801354.83871001</v>
      </c>
      <c r="K3717" s="7">
        <v>6.1500000000000004E-5</v>
      </c>
      <c r="L3717" s="9">
        <v>8905.2800000000007</v>
      </c>
      <c r="M3717" s="9">
        <v>8977.68</v>
      </c>
      <c r="N3717" s="9">
        <v>4.9000000000000004</v>
      </c>
      <c r="O3717" s="10">
        <f>IF(AND(OR(H3717="APPROVED",H3717="SCHEDULED"),COUNTIFS(tblSource[EventID],F3717,tblSource[ReleaseStatus],"APPROVED")=1,COUNTIFS(Period_Status!$A$2:$A$8,G3717,Period_Status!$B$2:$B$8,"ActualClosed")=1,C3717&gt;EOMONTH(Settlement_Bridge!$C$2,0)),1,0)</f>
        <v>1</v>
      </c>
      <c r="P3717" s="2" t="s">
        <v>10144</v>
      </c>
    </row>
    <row r="3718" spans="1:16" x14ac:dyDescent="0.25">
      <c r="A3718" s="2" t="s">
        <v>10145</v>
      </c>
      <c r="B3718" s="2" t="s">
        <v>7433</v>
      </c>
      <c r="C3718" s="8">
        <v>46263</v>
      </c>
      <c r="D3718" s="6">
        <v>46235</v>
      </c>
      <c r="E3718" s="2" t="s">
        <v>260</v>
      </c>
      <c r="F3718" s="2" t="s">
        <v>10143</v>
      </c>
      <c r="G3718" s="6">
        <v>46204</v>
      </c>
      <c r="H3718" s="2" t="s">
        <v>71</v>
      </c>
      <c r="I3718" s="2" t="s">
        <v>76</v>
      </c>
      <c r="J3718" s="9">
        <v>217202032.258064</v>
      </c>
      <c r="K3718" s="7">
        <v>6.1500000000000004E-5</v>
      </c>
      <c r="L3718" s="9">
        <v>13357.92</v>
      </c>
      <c r="M3718" s="9">
        <v>13466.53</v>
      </c>
      <c r="N3718" s="9">
        <v>7.35</v>
      </c>
      <c r="O3718" s="10">
        <f>IF(AND(OR(H3718="APPROVED",H3718="SCHEDULED"),COUNTIFS(tblSource[EventID],F3718,tblSource[ReleaseStatus],"APPROVED")=1,COUNTIFS(Period_Status!$A$2:$A$8,G3718,Period_Status!$B$2:$B$8,"ActualClosed")=1,C3718&gt;EOMONTH(Settlement_Bridge!$C$2,0)),1,0)</f>
        <v>1</v>
      </c>
      <c r="P3718" s="2" t="s">
        <v>10146</v>
      </c>
    </row>
    <row r="3719" spans="1:16" x14ac:dyDescent="0.25">
      <c r="A3719" s="2" t="s">
        <v>10147</v>
      </c>
      <c r="B3719" s="2" t="s">
        <v>7433</v>
      </c>
      <c r="C3719" s="8">
        <v>46239</v>
      </c>
      <c r="D3719" s="6">
        <v>46235</v>
      </c>
      <c r="E3719" s="2" t="s">
        <v>260</v>
      </c>
      <c r="F3719" s="2" t="s">
        <v>10148</v>
      </c>
      <c r="G3719" s="6">
        <v>46204</v>
      </c>
      <c r="H3719" s="2" t="s">
        <v>71</v>
      </c>
      <c r="I3719" s="2" t="s">
        <v>70</v>
      </c>
      <c r="J3719" s="9">
        <v>13812.170212999999</v>
      </c>
      <c r="K3719" s="7">
        <v>0.65</v>
      </c>
      <c r="L3719" s="9">
        <v>8977.91</v>
      </c>
      <c r="M3719" s="9">
        <v>9088.41</v>
      </c>
      <c r="N3719" s="9">
        <v>4.9400000000000004</v>
      </c>
      <c r="O3719" s="10">
        <f>IF(AND(OR(H3719="APPROVED",H3719="SCHEDULED"),COUNTIFS(tblSource[EventID],F3719,tblSource[ReleaseStatus],"APPROVED")=1,COUNTIFS(Period_Status!$A$2:$A$8,G3719,Period_Status!$B$2:$B$8,"ActualClosed")=1,C3719&gt;EOMONTH(Settlement_Bridge!$C$2,0)),1,0)</f>
        <v>1</v>
      </c>
      <c r="P3719" s="2" t="s">
        <v>10149</v>
      </c>
    </row>
    <row r="3720" spans="1:16" x14ac:dyDescent="0.25">
      <c r="A3720" s="2" t="s">
        <v>10150</v>
      </c>
      <c r="B3720" s="2" t="s">
        <v>7433</v>
      </c>
      <c r="C3720" s="8">
        <v>46264</v>
      </c>
      <c r="D3720" s="6">
        <v>46235</v>
      </c>
      <c r="E3720" s="2" t="s">
        <v>260</v>
      </c>
      <c r="F3720" s="2" t="s">
        <v>10148</v>
      </c>
      <c r="G3720" s="6">
        <v>46204</v>
      </c>
      <c r="H3720" s="2" t="s">
        <v>71</v>
      </c>
      <c r="I3720" s="2" t="s">
        <v>70</v>
      </c>
      <c r="J3720" s="9">
        <v>20718.255319</v>
      </c>
      <c r="K3720" s="7">
        <v>0.65</v>
      </c>
      <c r="L3720" s="9">
        <v>13466.87</v>
      </c>
      <c r="M3720" s="9">
        <v>13632.61</v>
      </c>
      <c r="N3720" s="9">
        <v>7.41</v>
      </c>
      <c r="O3720" s="10">
        <f>IF(AND(OR(H3720="APPROVED",H3720="SCHEDULED"),COUNTIFS(tblSource[EventID],F3720,tblSource[ReleaseStatus],"APPROVED")=1,COUNTIFS(Period_Status!$A$2:$A$8,G3720,Period_Status!$B$2:$B$8,"ActualClosed")=1,C3720&gt;EOMONTH(Settlement_Bridge!$C$2,0)),1,0)</f>
        <v>1</v>
      </c>
      <c r="P3720" s="2" t="s">
        <v>10151</v>
      </c>
    </row>
    <row r="3721" spans="1:16" x14ac:dyDescent="0.25">
      <c r="A3721" s="2" t="s">
        <v>10152</v>
      </c>
      <c r="B3721" s="2" t="s">
        <v>7433</v>
      </c>
      <c r="C3721" s="8">
        <v>46240</v>
      </c>
      <c r="D3721" s="6">
        <v>46235</v>
      </c>
      <c r="E3721" s="2" t="s">
        <v>260</v>
      </c>
      <c r="F3721" s="2" t="s">
        <v>10153</v>
      </c>
      <c r="G3721" s="6">
        <v>46204</v>
      </c>
      <c r="H3721" s="2" t="s">
        <v>71</v>
      </c>
      <c r="I3721" s="2" t="s">
        <v>39</v>
      </c>
      <c r="J3721" s="9">
        <v>9199.1360000000004</v>
      </c>
      <c r="K3721" s="7">
        <v>1</v>
      </c>
      <c r="L3721" s="9">
        <v>9199.14</v>
      </c>
      <c r="M3721" s="9">
        <v>9199.14</v>
      </c>
      <c r="N3721" s="9">
        <v>5.0599999999999996</v>
      </c>
      <c r="O3721" s="10">
        <f>IF(AND(OR(H3721="APPROVED",H3721="SCHEDULED"),COUNTIFS(tblSource[EventID],F3721,tblSource[ReleaseStatus],"APPROVED")=1,COUNTIFS(Period_Status!$A$2:$A$8,G3721,Period_Status!$B$2:$B$8,"ActualClosed")=1,C3721&gt;EOMONTH(Settlement_Bridge!$C$2,0)),1,0)</f>
        <v>1</v>
      </c>
      <c r="P3721" s="2" t="s">
        <v>10154</v>
      </c>
    </row>
    <row r="3722" spans="1:16" x14ac:dyDescent="0.25">
      <c r="A3722" s="2" t="s">
        <v>10155</v>
      </c>
      <c r="B3722" s="2" t="s">
        <v>7433</v>
      </c>
      <c r="C3722" s="8">
        <v>46265</v>
      </c>
      <c r="D3722" s="6">
        <v>46235</v>
      </c>
      <c r="E3722" s="2" t="s">
        <v>260</v>
      </c>
      <c r="F3722" s="2" t="s">
        <v>10153</v>
      </c>
      <c r="G3722" s="6">
        <v>46204</v>
      </c>
      <c r="H3722" s="2" t="s">
        <v>71</v>
      </c>
      <c r="I3722" s="2" t="s">
        <v>39</v>
      </c>
      <c r="J3722" s="9">
        <v>13798.704</v>
      </c>
      <c r="K3722" s="7">
        <v>1</v>
      </c>
      <c r="L3722" s="9">
        <v>13798.7</v>
      </c>
      <c r="M3722" s="9">
        <v>13798.7</v>
      </c>
      <c r="N3722" s="9">
        <v>7.59</v>
      </c>
      <c r="O3722" s="10">
        <f>IF(AND(OR(H3722="APPROVED",H3722="SCHEDULED"),COUNTIFS(tblSource[EventID],F3722,tblSource[ReleaseStatus],"APPROVED")=1,COUNTIFS(Period_Status!$A$2:$A$8,G3722,Period_Status!$B$2:$B$8,"ActualClosed")=1,C3722&gt;EOMONTH(Settlement_Bridge!$C$2,0)),1,0)</f>
        <v>1</v>
      </c>
      <c r="P3722" s="2" t="s">
        <v>10156</v>
      </c>
    </row>
    <row r="3723" spans="1:16" x14ac:dyDescent="0.25">
      <c r="A3723" s="2" t="s">
        <v>10157</v>
      </c>
      <c r="B3723" s="2" t="s">
        <v>7433</v>
      </c>
      <c r="C3723" s="8">
        <v>46241</v>
      </c>
      <c r="D3723" s="6">
        <v>46235</v>
      </c>
      <c r="E3723" s="2" t="s">
        <v>260</v>
      </c>
      <c r="F3723" s="2" t="s">
        <v>10158</v>
      </c>
      <c r="G3723" s="6">
        <v>46204</v>
      </c>
      <c r="H3723" s="2" t="s">
        <v>71</v>
      </c>
      <c r="I3723" s="2" t="s">
        <v>76</v>
      </c>
      <c r="J3723" s="9">
        <v>150159096.774194</v>
      </c>
      <c r="K3723" s="7">
        <v>6.1500000000000004E-5</v>
      </c>
      <c r="L3723" s="9">
        <v>9234.7800000000007</v>
      </c>
      <c r="M3723" s="9">
        <v>9309.86</v>
      </c>
      <c r="N3723" s="9">
        <v>5.08</v>
      </c>
      <c r="O3723" s="10">
        <f>IF(AND(OR(H3723="APPROVED",H3723="SCHEDULED"),COUNTIFS(tblSource[EventID],F3723,tblSource[ReleaseStatus],"APPROVED")=1,COUNTIFS(Period_Status!$A$2:$A$8,G3723,Period_Status!$B$2:$B$8,"ActualClosed")=1,C3723&gt;EOMONTH(Settlement_Bridge!$C$2,0)),1,0)</f>
        <v>1</v>
      </c>
      <c r="P3723" s="2" t="s">
        <v>10159</v>
      </c>
    </row>
    <row r="3724" spans="1:16" x14ac:dyDescent="0.25">
      <c r="A3724" s="2" t="s">
        <v>10160</v>
      </c>
      <c r="B3724" s="2" t="s">
        <v>7433</v>
      </c>
      <c r="C3724" s="8">
        <v>46266</v>
      </c>
      <c r="D3724" s="6">
        <v>46266</v>
      </c>
      <c r="E3724" s="2" t="s">
        <v>260</v>
      </c>
      <c r="F3724" s="2" t="s">
        <v>10158</v>
      </c>
      <c r="G3724" s="6">
        <v>46204</v>
      </c>
      <c r="H3724" s="2" t="s">
        <v>176</v>
      </c>
      <c r="I3724" s="2" t="s">
        <v>76</v>
      </c>
      <c r="J3724" s="9">
        <v>225238645.16128999</v>
      </c>
      <c r="K3724" s="7">
        <v>6.1299999999999999E-5</v>
      </c>
      <c r="L3724" s="9">
        <v>13807.13</v>
      </c>
      <c r="M3724" s="9">
        <v>13964.8</v>
      </c>
      <c r="N3724" s="9">
        <v>7.59</v>
      </c>
      <c r="O3724" s="10">
        <f>IF(AND(OR(H3724="APPROVED",H3724="SCHEDULED"),COUNTIFS(tblSource[EventID],F3724,tblSource[ReleaseStatus],"APPROVED")=1,COUNTIFS(Period_Status!$A$2:$A$8,G3724,Period_Status!$B$2:$B$8,"ActualClosed")=1,C3724&gt;EOMONTH(Settlement_Bridge!$C$2,0)),1,0)</f>
        <v>1</v>
      </c>
      <c r="P3724" s="2" t="s">
        <v>10161</v>
      </c>
    </row>
    <row r="3725" spans="1:16" x14ac:dyDescent="0.25">
      <c r="A3725" s="2" t="s">
        <v>10162</v>
      </c>
      <c r="B3725" s="2" t="s">
        <v>7433</v>
      </c>
      <c r="C3725" s="8">
        <v>46242</v>
      </c>
      <c r="D3725" s="6">
        <v>46235</v>
      </c>
      <c r="E3725" s="2" t="s">
        <v>260</v>
      </c>
      <c r="F3725" s="2" t="s">
        <v>10163</v>
      </c>
      <c r="G3725" s="6">
        <v>46204</v>
      </c>
      <c r="H3725" s="2" t="s">
        <v>71</v>
      </c>
      <c r="I3725" s="2" t="s">
        <v>70</v>
      </c>
      <c r="J3725" s="9">
        <v>14317.00304</v>
      </c>
      <c r="K3725" s="7">
        <v>0.65</v>
      </c>
      <c r="L3725" s="9">
        <v>9306.0499999999993</v>
      </c>
      <c r="M3725" s="9">
        <v>9420.59</v>
      </c>
      <c r="N3725" s="9">
        <v>5.12</v>
      </c>
      <c r="O3725" s="10">
        <f>IF(AND(OR(H3725="APPROVED",H3725="SCHEDULED"),COUNTIFS(tblSource[EventID],F3725,tblSource[ReleaseStatus],"APPROVED")=1,COUNTIFS(Period_Status!$A$2:$A$8,G3725,Period_Status!$B$2:$B$8,"ActualClosed")=1,C3725&gt;EOMONTH(Settlement_Bridge!$C$2,0)),1,0)</f>
        <v>1</v>
      </c>
      <c r="P3725" s="2" t="s">
        <v>10164</v>
      </c>
    </row>
    <row r="3726" spans="1:16" x14ac:dyDescent="0.25">
      <c r="A3726" s="2" t="s">
        <v>10165</v>
      </c>
      <c r="B3726" s="2" t="s">
        <v>7433</v>
      </c>
      <c r="C3726" s="8">
        <v>46267</v>
      </c>
      <c r="D3726" s="6">
        <v>46266</v>
      </c>
      <c r="E3726" s="2" t="s">
        <v>260</v>
      </c>
      <c r="F3726" s="2" t="s">
        <v>10163</v>
      </c>
      <c r="G3726" s="6">
        <v>46204</v>
      </c>
      <c r="H3726" s="2" t="s">
        <v>176</v>
      </c>
      <c r="I3726" s="2" t="s">
        <v>70</v>
      </c>
      <c r="J3726" s="9">
        <v>21475.504559000001</v>
      </c>
      <c r="K3726" s="7">
        <v>0.65100000000000002</v>
      </c>
      <c r="L3726" s="9">
        <v>13980.55</v>
      </c>
      <c r="M3726" s="9">
        <v>14130.88</v>
      </c>
      <c r="N3726" s="9">
        <v>7.69</v>
      </c>
      <c r="O3726" s="10">
        <f>IF(AND(OR(H3726="APPROVED",H3726="SCHEDULED"),COUNTIFS(tblSource[EventID],F3726,tblSource[ReleaseStatus],"APPROVED")=1,COUNTIFS(Period_Status!$A$2:$A$8,G3726,Period_Status!$B$2:$B$8,"ActualClosed")=1,C3726&gt;EOMONTH(Settlement_Bridge!$C$2,0)),1,0)</f>
        <v>1</v>
      </c>
      <c r="P3726" s="2" t="s">
        <v>10166</v>
      </c>
    </row>
    <row r="3727" spans="1:16" x14ac:dyDescent="0.25">
      <c r="A3727" s="2" t="s">
        <v>10167</v>
      </c>
      <c r="B3727" s="2" t="s">
        <v>7433</v>
      </c>
      <c r="C3727" s="8">
        <v>46243</v>
      </c>
      <c r="D3727" s="6">
        <v>46235</v>
      </c>
      <c r="E3727" s="2" t="s">
        <v>260</v>
      </c>
      <c r="F3727" s="2" t="s">
        <v>10168</v>
      </c>
      <c r="G3727" s="6">
        <v>46204</v>
      </c>
      <c r="H3727" s="2" t="s">
        <v>71</v>
      </c>
      <c r="I3727" s="2" t="s">
        <v>39</v>
      </c>
      <c r="J3727" s="9">
        <v>571.31600000000003</v>
      </c>
      <c r="K3727" s="7">
        <v>1</v>
      </c>
      <c r="L3727" s="9">
        <v>571.32000000000005</v>
      </c>
      <c r="M3727" s="9">
        <v>571.32000000000005</v>
      </c>
      <c r="N3727" s="9">
        <v>1.8</v>
      </c>
      <c r="O3727" s="10">
        <f>IF(AND(OR(H3727="APPROVED",H3727="SCHEDULED"),COUNTIFS(tblSource[EventID],F3727,tblSource[ReleaseStatus],"APPROVED")=1,COUNTIFS(Period_Status!$A$2:$A$8,G3727,Period_Status!$B$2:$B$8,"ActualClosed")=1,C3727&gt;EOMONTH(Settlement_Bridge!$C$2,0)),1,0)</f>
        <v>1</v>
      </c>
      <c r="P3727" s="2" t="s">
        <v>10169</v>
      </c>
    </row>
    <row r="3728" spans="1:16" x14ac:dyDescent="0.25">
      <c r="A3728" s="2" t="s">
        <v>10170</v>
      </c>
      <c r="B3728" s="2" t="s">
        <v>7433</v>
      </c>
      <c r="C3728" s="8">
        <v>46268</v>
      </c>
      <c r="D3728" s="6">
        <v>46266</v>
      </c>
      <c r="E3728" s="2" t="s">
        <v>260</v>
      </c>
      <c r="F3728" s="2" t="s">
        <v>10168</v>
      </c>
      <c r="G3728" s="6">
        <v>46204</v>
      </c>
      <c r="H3728" s="2" t="s">
        <v>176</v>
      </c>
      <c r="I3728" s="2" t="s">
        <v>39</v>
      </c>
      <c r="J3728" s="9">
        <v>856.97400000000005</v>
      </c>
      <c r="K3728" s="7">
        <v>1</v>
      </c>
      <c r="L3728" s="9">
        <v>856.97</v>
      </c>
      <c r="M3728" s="9">
        <v>856.97</v>
      </c>
      <c r="N3728" s="9">
        <v>1.8</v>
      </c>
      <c r="O3728" s="10">
        <f>IF(AND(OR(H3728="APPROVED",H3728="SCHEDULED"),COUNTIFS(tblSource[EventID],F3728,tblSource[ReleaseStatus],"APPROVED")=1,COUNTIFS(Period_Status!$A$2:$A$8,G3728,Period_Status!$B$2:$B$8,"ActualClosed")=1,C3728&gt;EOMONTH(Settlement_Bridge!$C$2,0)),1,0)</f>
        <v>1</v>
      </c>
      <c r="P3728" s="2" t="s">
        <v>10171</v>
      </c>
    </row>
    <row r="3729" spans="1:16" x14ac:dyDescent="0.25">
      <c r="A3729" s="2" t="s">
        <v>10172</v>
      </c>
      <c r="B3729" s="2" t="s">
        <v>7433</v>
      </c>
      <c r="C3729" s="8">
        <v>46244</v>
      </c>
      <c r="D3729" s="6">
        <v>46235</v>
      </c>
      <c r="E3729" s="2" t="s">
        <v>260</v>
      </c>
      <c r="F3729" s="2" t="s">
        <v>10173</v>
      </c>
      <c r="G3729" s="6">
        <v>46204</v>
      </c>
      <c r="H3729" s="2" t="s">
        <v>71</v>
      </c>
      <c r="I3729" s="2" t="s">
        <v>76</v>
      </c>
      <c r="J3729" s="9">
        <v>11000645.161289999</v>
      </c>
      <c r="K3729" s="7">
        <v>6.1500000000000004E-5</v>
      </c>
      <c r="L3729" s="9">
        <v>676.54</v>
      </c>
      <c r="M3729" s="9">
        <v>682.04</v>
      </c>
      <c r="N3729" s="9">
        <v>1.8</v>
      </c>
      <c r="O3729" s="10">
        <f>IF(AND(OR(H3729="APPROVED",H3729="SCHEDULED"),COUNTIFS(tblSource[EventID],F3729,tblSource[ReleaseStatus],"APPROVED")=1,COUNTIFS(Period_Status!$A$2:$A$8,G3729,Period_Status!$B$2:$B$8,"ActualClosed")=1,C3729&gt;EOMONTH(Settlement_Bridge!$C$2,0)),1,0)</f>
        <v>1</v>
      </c>
      <c r="P3729" s="2" t="s">
        <v>10174</v>
      </c>
    </row>
    <row r="3730" spans="1:16" x14ac:dyDescent="0.25">
      <c r="A3730" s="2" t="s">
        <v>10175</v>
      </c>
      <c r="B3730" s="2" t="s">
        <v>7433</v>
      </c>
      <c r="C3730" s="8">
        <v>46269</v>
      </c>
      <c r="D3730" s="6">
        <v>46266</v>
      </c>
      <c r="E3730" s="2" t="s">
        <v>260</v>
      </c>
      <c r="F3730" s="2" t="s">
        <v>10173</v>
      </c>
      <c r="G3730" s="6">
        <v>46204</v>
      </c>
      <c r="H3730" s="2" t="s">
        <v>176</v>
      </c>
      <c r="I3730" s="2" t="s">
        <v>76</v>
      </c>
      <c r="J3730" s="9">
        <v>16500967.741936</v>
      </c>
      <c r="K3730" s="7">
        <v>6.1299999999999999E-5</v>
      </c>
      <c r="L3730" s="9">
        <v>1011.51</v>
      </c>
      <c r="M3730" s="9">
        <v>1023.06</v>
      </c>
      <c r="N3730" s="9">
        <v>1.8</v>
      </c>
      <c r="O3730" s="10">
        <f>IF(AND(OR(H3730="APPROVED",H3730="SCHEDULED"),COUNTIFS(tblSource[EventID],F3730,tblSource[ReleaseStatus],"APPROVED")=1,COUNTIFS(Period_Status!$A$2:$A$8,G3730,Period_Status!$B$2:$B$8,"ActualClosed")=1,C3730&gt;EOMONTH(Settlement_Bridge!$C$2,0)),1,0)</f>
        <v>1</v>
      </c>
      <c r="P3730" s="2" t="s">
        <v>10176</v>
      </c>
    </row>
    <row r="3731" spans="1:16" x14ac:dyDescent="0.25">
      <c r="A3731" s="2" t="s">
        <v>10177</v>
      </c>
      <c r="B3731" s="2" t="s">
        <v>7433</v>
      </c>
      <c r="C3731" s="8">
        <v>46245</v>
      </c>
      <c r="D3731" s="6">
        <v>46235</v>
      </c>
      <c r="E3731" s="2" t="s">
        <v>260</v>
      </c>
      <c r="F3731" s="2" t="s">
        <v>10178</v>
      </c>
      <c r="G3731" s="6">
        <v>46204</v>
      </c>
      <c r="H3731" s="2" t="s">
        <v>71</v>
      </c>
      <c r="I3731" s="2" t="s">
        <v>70</v>
      </c>
      <c r="J3731" s="9">
        <v>1204.81459</v>
      </c>
      <c r="K3731" s="7">
        <v>0.65</v>
      </c>
      <c r="L3731" s="9">
        <v>783.13</v>
      </c>
      <c r="M3731" s="9">
        <v>792.77</v>
      </c>
      <c r="N3731" s="9">
        <v>1.8</v>
      </c>
      <c r="O3731" s="10">
        <f>IF(AND(OR(H3731="APPROVED",H3731="SCHEDULED"),COUNTIFS(tblSource[EventID],F3731,tblSource[ReleaseStatus],"APPROVED")=1,COUNTIFS(Period_Status!$A$2:$A$8,G3731,Period_Status!$B$2:$B$8,"ActualClosed")=1,C3731&gt;EOMONTH(Settlement_Bridge!$C$2,0)),1,0)</f>
        <v>1</v>
      </c>
      <c r="P3731" s="2" t="s">
        <v>10179</v>
      </c>
    </row>
    <row r="3732" spans="1:16" x14ac:dyDescent="0.25">
      <c r="A3732" s="2" t="s">
        <v>10180</v>
      </c>
      <c r="B3732" s="2" t="s">
        <v>7433</v>
      </c>
      <c r="C3732" s="8">
        <v>46270</v>
      </c>
      <c r="D3732" s="6">
        <v>46266</v>
      </c>
      <c r="E3732" s="2" t="s">
        <v>260</v>
      </c>
      <c r="F3732" s="2" t="s">
        <v>10178</v>
      </c>
      <c r="G3732" s="6">
        <v>46204</v>
      </c>
      <c r="H3732" s="2" t="s">
        <v>176</v>
      </c>
      <c r="I3732" s="2" t="s">
        <v>70</v>
      </c>
      <c r="J3732" s="9">
        <v>1807.221884</v>
      </c>
      <c r="K3732" s="7">
        <v>0.65100000000000002</v>
      </c>
      <c r="L3732" s="9">
        <v>1176.5</v>
      </c>
      <c r="M3732" s="9">
        <v>1189.1500000000001</v>
      </c>
      <c r="N3732" s="9">
        <v>1.8</v>
      </c>
      <c r="O3732" s="10">
        <f>IF(AND(OR(H3732="APPROVED",H3732="SCHEDULED"),COUNTIFS(tblSource[EventID],F3732,tblSource[ReleaseStatus],"APPROVED")=1,COUNTIFS(Period_Status!$A$2:$A$8,G3732,Period_Status!$B$2:$B$8,"ActualClosed")=1,C3732&gt;EOMONTH(Settlement_Bridge!$C$2,0)),1,0)</f>
        <v>1</v>
      </c>
      <c r="P3732" s="2" t="s">
        <v>10181</v>
      </c>
    </row>
    <row r="3733" spans="1:16" x14ac:dyDescent="0.25">
      <c r="A3733" s="2" t="s">
        <v>10182</v>
      </c>
      <c r="B3733" s="2" t="s">
        <v>7433</v>
      </c>
      <c r="C3733" s="8">
        <v>46246</v>
      </c>
      <c r="D3733" s="6">
        <v>46235</v>
      </c>
      <c r="E3733" s="2" t="s">
        <v>260</v>
      </c>
      <c r="F3733" s="2" t="s">
        <v>10183</v>
      </c>
      <c r="G3733" s="6">
        <v>46204</v>
      </c>
      <c r="H3733" s="2" t="s">
        <v>71</v>
      </c>
      <c r="I3733" s="2" t="s">
        <v>39</v>
      </c>
      <c r="J3733" s="9">
        <v>903.49599999999998</v>
      </c>
      <c r="K3733" s="7">
        <v>1</v>
      </c>
      <c r="L3733" s="9">
        <v>903.5</v>
      </c>
      <c r="M3733" s="9">
        <v>903.5</v>
      </c>
      <c r="N3733" s="9">
        <v>1.8</v>
      </c>
      <c r="O3733" s="10">
        <f>IF(AND(OR(H3733="APPROVED",H3733="SCHEDULED"),COUNTIFS(tblSource[EventID],F3733,tblSource[ReleaseStatus],"APPROVED")=1,COUNTIFS(Period_Status!$A$2:$A$8,G3733,Period_Status!$B$2:$B$8,"ActualClosed")=1,C3733&gt;EOMONTH(Settlement_Bridge!$C$2,0)),1,0)</f>
        <v>1</v>
      </c>
      <c r="P3733" s="2" t="s">
        <v>10184</v>
      </c>
    </row>
    <row r="3734" spans="1:16" x14ac:dyDescent="0.25">
      <c r="A3734" s="2" t="s">
        <v>10185</v>
      </c>
      <c r="B3734" s="2" t="s">
        <v>7433</v>
      </c>
      <c r="C3734" s="8">
        <v>46271</v>
      </c>
      <c r="D3734" s="6">
        <v>46266</v>
      </c>
      <c r="E3734" s="2" t="s">
        <v>260</v>
      </c>
      <c r="F3734" s="2" t="s">
        <v>10183</v>
      </c>
      <c r="G3734" s="6">
        <v>46204</v>
      </c>
      <c r="H3734" s="2" t="s">
        <v>176</v>
      </c>
      <c r="I3734" s="2" t="s">
        <v>39</v>
      </c>
      <c r="J3734" s="9">
        <v>1355.2439999999999</v>
      </c>
      <c r="K3734" s="7">
        <v>1</v>
      </c>
      <c r="L3734" s="9">
        <v>1355.24</v>
      </c>
      <c r="M3734" s="9">
        <v>1355.24</v>
      </c>
      <c r="N3734" s="9">
        <v>1.8</v>
      </c>
      <c r="O3734" s="10">
        <f>IF(AND(OR(H3734="APPROVED",H3734="SCHEDULED"),COUNTIFS(tblSource[EventID],F3734,tblSource[ReleaseStatus],"APPROVED")=1,COUNTIFS(Period_Status!$A$2:$A$8,G3734,Period_Status!$B$2:$B$8,"ActualClosed")=1,C3734&gt;EOMONTH(Settlement_Bridge!$C$2,0)),1,0)</f>
        <v>1</v>
      </c>
      <c r="P3734" s="2" t="s">
        <v>10186</v>
      </c>
    </row>
    <row r="3735" spans="1:16" x14ac:dyDescent="0.25">
      <c r="A3735" s="2" t="s">
        <v>10187</v>
      </c>
      <c r="B3735" s="2" t="s">
        <v>7433</v>
      </c>
      <c r="C3735" s="8">
        <v>46247</v>
      </c>
      <c r="D3735" s="6">
        <v>46235</v>
      </c>
      <c r="E3735" s="2" t="s">
        <v>260</v>
      </c>
      <c r="F3735" s="2" t="s">
        <v>10188</v>
      </c>
      <c r="G3735" s="6">
        <v>46204</v>
      </c>
      <c r="H3735" s="2" t="s">
        <v>71</v>
      </c>
      <c r="I3735" s="2" t="s">
        <v>76</v>
      </c>
      <c r="J3735" s="9">
        <v>16358387.096774001</v>
      </c>
      <c r="K3735" s="7">
        <v>6.1500000000000004E-5</v>
      </c>
      <c r="L3735" s="9">
        <v>1006.04</v>
      </c>
      <c r="M3735" s="9">
        <v>1014.22</v>
      </c>
      <c r="N3735" s="9">
        <v>1.8</v>
      </c>
      <c r="O3735" s="10">
        <f>IF(AND(OR(H3735="APPROVED",H3735="SCHEDULED"),COUNTIFS(tblSource[EventID],F3735,tblSource[ReleaseStatus],"APPROVED")=1,COUNTIFS(Period_Status!$A$2:$A$8,G3735,Period_Status!$B$2:$B$8,"ActualClosed")=1,C3735&gt;EOMONTH(Settlement_Bridge!$C$2,0)),1,0)</f>
        <v>1</v>
      </c>
      <c r="P3735" s="2" t="s">
        <v>10189</v>
      </c>
    </row>
    <row r="3736" spans="1:16" x14ac:dyDescent="0.25">
      <c r="A3736" s="2" t="s">
        <v>10190</v>
      </c>
      <c r="B3736" s="2" t="s">
        <v>7433</v>
      </c>
      <c r="C3736" s="8">
        <v>46272</v>
      </c>
      <c r="D3736" s="6">
        <v>46266</v>
      </c>
      <c r="E3736" s="2" t="s">
        <v>260</v>
      </c>
      <c r="F3736" s="2" t="s">
        <v>10188</v>
      </c>
      <c r="G3736" s="6">
        <v>46204</v>
      </c>
      <c r="H3736" s="2" t="s">
        <v>176</v>
      </c>
      <c r="I3736" s="2" t="s">
        <v>76</v>
      </c>
      <c r="J3736" s="9">
        <v>24537580.645160999</v>
      </c>
      <c r="K3736" s="7">
        <v>6.1299999999999999E-5</v>
      </c>
      <c r="L3736" s="9">
        <v>1504.15</v>
      </c>
      <c r="M3736" s="9">
        <v>1521.33</v>
      </c>
      <c r="N3736" s="9">
        <v>1.8</v>
      </c>
      <c r="O3736" s="10">
        <f>IF(AND(OR(H3736="APPROVED",H3736="SCHEDULED"),COUNTIFS(tblSource[EventID],F3736,tblSource[ReleaseStatus],"APPROVED")=1,COUNTIFS(Period_Status!$A$2:$A$8,G3736,Period_Status!$B$2:$B$8,"ActualClosed")=1,C3736&gt;EOMONTH(Settlement_Bridge!$C$2,0)),1,0)</f>
        <v>1</v>
      </c>
      <c r="P3736" s="2" t="s">
        <v>10191</v>
      </c>
    </row>
    <row r="3737" spans="1:16" x14ac:dyDescent="0.25">
      <c r="A3737" s="2" t="s">
        <v>10192</v>
      </c>
      <c r="B3737" s="2" t="s">
        <v>7433</v>
      </c>
      <c r="C3737" s="8">
        <v>46248</v>
      </c>
      <c r="D3737" s="6">
        <v>46235</v>
      </c>
      <c r="E3737" s="2" t="s">
        <v>260</v>
      </c>
      <c r="F3737" s="2" t="s">
        <v>10193</v>
      </c>
      <c r="G3737" s="6">
        <v>46204</v>
      </c>
      <c r="H3737" s="2" t="s">
        <v>71</v>
      </c>
      <c r="I3737" s="2" t="s">
        <v>70</v>
      </c>
      <c r="J3737" s="9">
        <v>1709.647416</v>
      </c>
      <c r="K3737" s="7">
        <v>0.65</v>
      </c>
      <c r="L3737" s="9">
        <v>1111.27</v>
      </c>
      <c r="M3737" s="9">
        <v>1124.95</v>
      </c>
      <c r="N3737" s="9">
        <v>1.8</v>
      </c>
      <c r="O3737" s="10">
        <f>IF(AND(OR(H3737="APPROVED",H3737="SCHEDULED"),COUNTIFS(tblSource[EventID],F3737,tblSource[ReleaseStatus],"APPROVED")=1,COUNTIFS(Period_Status!$A$2:$A$8,G3737,Period_Status!$B$2:$B$8,"ActualClosed")=1,C3737&gt;EOMONTH(Settlement_Bridge!$C$2,0)),1,0)</f>
        <v>1</v>
      </c>
      <c r="P3737" s="2" t="s">
        <v>10194</v>
      </c>
    </row>
    <row r="3738" spans="1:16" x14ac:dyDescent="0.25">
      <c r="A3738" s="2" t="s">
        <v>10195</v>
      </c>
      <c r="B3738" s="2" t="s">
        <v>7433</v>
      </c>
      <c r="C3738" s="8">
        <v>46273</v>
      </c>
      <c r="D3738" s="6">
        <v>46266</v>
      </c>
      <c r="E3738" s="2" t="s">
        <v>260</v>
      </c>
      <c r="F3738" s="2" t="s">
        <v>10193</v>
      </c>
      <c r="G3738" s="6">
        <v>46204</v>
      </c>
      <c r="H3738" s="2" t="s">
        <v>176</v>
      </c>
      <c r="I3738" s="2" t="s">
        <v>70</v>
      </c>
      <c r="J3738" s="9">
        <v>2564.471125</v>
      </c>
      <c r="K3738" s="7">
        <v>0.65100000000000002</v>
      </c>
      <c r="L3738" s="9">
        <v>1669.47</v>
      </c>
      <c r="M3738" s="9">
        <v>1687.42</v>
      </c>
      <c r="N3738" s="9">
        <v>1.8</v>
      </c>
      <c r="O3738" s="10">
        <f>IF(AND(OR(H3738="APPROVED",H3738="SCHEDULED"),COUNTIFS(tblSource[EventID],F3738,tblSource[ReleaseStatus],"APPROVED")=1,COUNTIFS(Period_Status!$A$2:$A$8,G3738,Period_Status!$B$2:$B$8,"ActualClosed")=1,C3738&gt;EOMONTH(Settlement_Bridge!$C$2,0)),1,0)</f>
        <v>1</v>
      </c>
      <c r="P3738" s="2" t="s">
        <v>10196</v>
      </c>
    </row>
    <row r="3739" spans="1:16" x14ac:dyDescent="0.25">
      <c r="A3739" s="2" t="s">
        <v>10197</v>
      </c>
      <c r="B3739" s="2" t="s">
        <v>7433</v>
      </c>
      <c r="C3739" s="8">
        <v>46218</v>
      </c>
      <c r="D3739" s="6">
        <v>46204</v>
      </c>
      <c r="E3739" s="2" t="s">
        <v>260</v>
      </c>
      <c r="F3739" s="2" t="s">
        <v>10198</v>
      </c>
      <c r="G3739" s="6">
        <v>46204</v>
      </c>
      <c r="H3739" s="2" t="s">
        <v>71</v>
      </c>
      <c r="I3739" s="2" t="s">
        <v>39</v>
      </c>
      <c r="J3739" s="9">
        <v>1235.672</v>
      </c>
      <c r="K3739" s="7">
        <v>1</v>
      </c>
      <c r="L3739" s="9">
        <v>1235.67</v>
      </c>
      <c r="M3739" s="9">
        <v>1235.67</v>
      </c>
      <c r="N3739" s="9">
        <v>1.8</v>
      </c>
      <c r="O3739" s="10">
        <f>IF(AND(OR(H3739="APPROVED",H3739="SCHEDULED"),COUNTIFS(tblSource[EventID],F3739,tblSource[ReleaseStatus],"APPROVED")=1,COUNTIFS(Period_Status!$A$2:$A$8,G3739,Period_Status!$B$2:$B$8,"ActualClosed")=1,C3739&gt;EOMONTH(Settlement_Bridge!$C$2,0)),1,0)</f>
        <v>0</v>
      </c>
      <c r="P3739" s="2" t="s">
        <v>10199</v>
      </c>
    </row>
    <row r="3740" spans="1:16" x14ac:dyDescent="0.25">
      <c r="A3740" s="2" t="s">
        <v>10200</v>
      </c>
      <c r="B3740" s="2" t="s">
        <v>7433</v>
      </c>
      <c r="C3740" s="8">
        <v>46243</v>
      </c>
      <c r="D3740" s="6">
        <v>46235</v>
      </c>
      <c r="E3740" s="2" t="s">
        <v>260</v>
      </c>
      <c r="F3740" s="2" t="s">
        <v>10198</v>
      </c>
      <c r="G3740" s="6">
        <v>46204</v>
      </c>
      <c r="H3740" s="2" t="s">
        <v>71</v>
      </c>
      <c r="I3740" s="2" t="s">
        <v>39</v>
      </c>
      <c r="J3740" s="9">
        <v>1853.508</v>
      </c>
      <c r="K3740" s="7">
        <v>1</v>
      </c>
      <c r="L3740" s="9">
        <v>1853.51</v>
      </c>
      <c r="M3740" s="9">
        <v>1853.51</v>
      </c>
      <c r="N3740" s="9">
        <v>1.8</v>
      </c>
      <c r="O3740" s="10">
        <f>IF(AND(OR(H3740="APPROVED",H3740="SCHEDULED"),COUNTIFS(tblSource[EventID],F3740,tblSource[ReleaseStatus],"APPROVED")=1,COUNTIFS(Period_Status!$A$2:$A$8,G3740,Period_Status!$B$2:$B$8,"ActualClosed")=1,C3740&gt;EOMONTH(Settlement_Bridge!$C$2,0)),1,0)</f>
        <v>1</v>
      </c>
      <c r="P3740" s="2" t="s">
        <v>10201</v>
      </c>
    </row>
    <row r="3741" spans="1:16" x14ac:dyDescent="0.25">
      <c r="A3741" s="2" t="s">
        <v>10202</v>
      </c>
      <c r="B3741" s="2" t="s">
        <v>7433</v>
      </c>
      <c r="C3741" s="8">
        <v>46219</v>
      </c>
      <c r="D3741" s="6">
        <v>46204</v>
      </c>
      <c r="E3741" s="2" t="s">
        <v>260</v>
      </c>
      <c r="F3741" s="2" t="s">
        <v>10203</v>
      </c>
      <c r="G3741" s="6">
        <v>46204</v>
      </c>
      <c r="H3741" s="2" t="s">
        <v>71</v>
      </c>
      <c r="I3741" s="2" t="s">
        <v>76</v>
      </c>
      <c r="J3741" s="9">
        <v>21716129.032258</v>
      </c>
      <c r="K3741" s="7">
        <v>6.2000000000000003E-5</v>
      </c>
      <c r="L3741" s="9">
        <v>1346.4</v>
      </c>
      <c r="M3741" s="9">
        <v>1346.4</v>
      </c>
      <c r="N3741" s="9">
        <v>1.8</v>
      </c>
      <c r="O3741" s="10">
        <f>IF(AND(OR(H3741="APPROVED",H3741="SCHEDULED"),COUNTIFS(tblSource[EventID],F3741,tblSource[ReleaseStatus],"APPROVED")=1,COUNTIFS(Period_Status!$A$2:$A$8,G3741,Period_Status!$B$2:$B$8,"ActualClosed")=1,C3741&gt;EOMONTH(Settlement_Bridge!$C$2,0)),1,0)</f>
        <v>0</v>
      </c>
      <c r="P3741" s="2" t="s">
        <v>10204</v>
      </c>
    </row>
    <row r="3742" spans="1:16" x14ac:dyDescent="0.25">
      <c r="A3742" s="2" t="s">
        <v>10205</v>
      </c>
      <c r="B3742" s="2" t="s">
        <v>7433</v>
      </c>
      <c r="C3742" s="8">
        <v>46244</v>
      </c>
      <c r="D3742" s="6">
        <v>46235</v>
      </c>
      <c r="E3742" s="2" t="s">
        <v>260</v>
      </c>
      <c r="F3742" s="2" t="s">
        <v>10203</v>
      </c>
      <c r="G3742" s="6">
        <v>46204</v>
      </c>
      <c r="H3742" s="2" t="s">
        <v>71</v>
      </c>
      <c r="I3742" s="2" t="s">
        <v>76</v>
      </c>
      <c r="J3742" s="9">
        <v>32574193.548386998</v>
      </c>
      <c r="K3742" s="7">
        <v>6.1500000000000004E-5</v>
      </c>
      <c r="L3742" s="9">
        <v>2003.31</v>
      </c>
      <c r="M3742" s="9">
        <v>2019.6</v>
      </c>
      <c r="N3742" s="9">
        <v>1.8</v>
      </c>
      <c r="O3742" s="10">
        <f>IF(AND(OR(H3742="APPROVED",H3742="SCHEDULED"),COUNTIFS(tblSource[EventID],F3742,tblSource[ReleaseStatus],"APPROVED")=1,COUNTIFS(Period_Status!$A$2:$A$8,G3742,Period_Status!$B$2:$B$8,"ActualClosed")=1,C3742&gt;EOMONTH(Settlement_Bridge!$C$2,0)),1,0)</f>
        <v>1</v>
      </c>
      <c r="P3742" s="2" t="s">
        <v>10206</v>
      </c>
    </row>
    <row r="3743" spans="1:16" x14ac:dyDescent="0.25">
      <c r="A3743" s="2" t="s">
        <v>10207</v>
      </c>
      <c r="B3743" s="2" t="s">
        <v>7433</v>
      </c>
      <c r="C3743" s="8">
        <v>46220</v>
      </c>
      <c r="D3743" s="6">
        <v>46204</v>
      </c>
      <c r="E3743" s="2" t="s">
        <v>260</v>
      </c>
      <c r="F3743" s="2" t="s">
        <v>10208</v>
      </c>
      <c r="G3743" s="6">
        <v>46204</v>
      </c>
      <c r="H3743" s="2" t="s">
        <v>71</v>
      </c>
      <c r="I3743" s="2" t="s">
        <v>70</v>
      </c>
      <c r="J3743" s="9">
        <v>2214.4741640000002</v>
      </c>
      <c r="K3743" s="7">
        <v>0.65800000000000003</v>
      </c>
      <c r="L3743" s="9">
        <v>1457.12</v>
      </c>
      <c r="M3743" s="9">
        <v>1457.12</v>
      </c>
      <c r="N3743" s="9">
        <v>1.8</v>
      </c>
      <c r="O3743" s="10">
        <f>IF(AND(OR(H3743="APPROVED",H3743="SCHEDULED"),COUNTIFS(tblSource[EventID],F3743,tblSource[ReleaseStatus],"APPROVED")=1,COUNTIFS(Period_Status!$A$2:$A$8,G3743,Period_Status!$B$2:$B$8,"ActualClosed")=1,C3743&gt;EOMONTH(Settlement_Bridge!$C$2,0)),1,0)</f>
        <v>0</v>
      </c>
      <c r="P3743" s="2" t="s">
        <v>10209</v>
      </c>
    </row>
    <row r="3744" spans="1:16" x14ac:dyDescent="0.25">
      <c r="A3744" s="2" t="s">
        <v>10210</v>
      </c>
      <c r="B3744" s="2" t="s">
        <v>7433</v>
      </c>
      <c r="C3744" s="8">
        <v>46245</v>
      </c>
      <c r="D3744" s="6">
        <v>46235</v>
      </c>
      <c r="E3744" s="2" t="s">
        <v>260</v>
      </c>
      <c r="F3744" s="2" t="s">
        <v>10208</v>
      </c>
      <c r="G3744" s="6">
        <v>46204</v>
      </c>
      <c r="H3744" s="2" t="s">
        <v>71</v>
      </c>
      <c r="I3744" s="2" t="s">
        <v>70</v>
      </c>
      <c r="J3744" s="9">
        <v>3321.7112459999998</v>
      </c>
      <c r="K3744" s="7">
        <v>0.65</v>
      </c>
      <c r="L3744" s="9">
        <v>2159.11</v>
      </c>
      <c r="M3744" s="9">
        <v>2185.69</v>
      </c>
      <c r="N3744" s="9">
        <v>1.8</v>
      </c>
      <c r="O3744" s="10">
        <f>IF(AND(OR(H3744="APPROVED",H3744="SCHEDULED"),COUNTIFS(tblSource[EventID],F3744,tblSource[ReleaseStatus],"APPROVED")=1,COUNTIFS(Period_Status!$A$2:$A$8,G3744,Period_Status!$B$2:$B$8,"ActualClosed")=1,C3744&gt;EOMONTH(Settlement_Bridge!$C$2,0)),1,0)</f>
        <v>1</v>
      </c>
      <c r="P3744" s="2" t="s">
        <v>10211</v>
      </c>
    </row>
    <row r="3745" spans="1:16" x14ac:dyDescent="0.25">
      <c r="A3745" s="2" t="s">
        <v>10212</v>
      </c>
      <c r="B3745" s="2" t="s">
        <v>7433</v>
      </c>
      <c r="C3745" s="8">
        <v>46221</v>
      </c>
      <c r="D3745" s="6">
        <v>46204</v>
      </c>
      <c r="E3745" s="2" t="s">
        <v>260</v>
      </c>
      <c r="F3745" s="2" t="s">
        <v>10213</v>
      </c>
      <c r="G3745" s="6">
        <v>46204</v>
      </c>
      <c r="H3745" s="2" t="s">
        <v>71</v>
      </c>
      <c r="I3745" s="2" t="s">
        <v>39</v>
      </c>
      <c r="J3745" s="9">
        <v>1567.8520000000001</v>
      </c>
      <c r="K3745" s="7">
        <v>1</v>
      </c>
      <c r="L3745" s="9">
        <v>1567.85</v>
      </c>
      <c r="M3745" s="9">
        <v>1567.85</v>
      </c>
      <c r="N3745" s="9">
        <v>1.8</v>
      </c>
      <c r="O3745" s="10">
        <f>IF(AND(OR(H3745="APPROVED",H3745="SCHEDULED"),COUNTIFS(tblSource[EventID],F3745,tblSource[ReleaseStatus],"APPROVED")=1,COUNTIFS(Period_Status!$A$2:$A$8,G3745,Period_Status!$B$2:$B$8,"ActualClosed")=1,C3745&gt;EOMONTH(Settlement_Bridge!$C$2,0)),1,0)</f>
        <v>0</v>
      </c>
      <c r="P3745" s="2" t="s">
        <v>10214</v>
      </c>
    </row>
    <row r="3746" spans="1:16" x14ac:dyDescent="0.25">
      <c r="A3746" s="2" t="s">
        <v>10215</v>
      </c>
      <c r="B3746" s="2" t="s">
        <v>7433</v>
      </c>
      <c r="C3746" s="8">
        <v>46246</v>
      </c>
      <c r="D3746" s="6">
        <v>46235</v>
      </c>
      <c r="E3746" s="2" t="s">
        <v>260</v>
      </c>
      <c r="F3746" s="2" t="s">
        <v>10213</v>
      </c>
      <c r="G3746" s="6">
        <v>46204</v>
      </c>
      <c r="H3746" s="2" t="s">
        <v>71</v>
      </c>
      <c r="I3746" s="2" t="s">
        <v>39</v>
      </c>
      <c r="J3746" s="9">
        <v>2351.7779999999998</v>
      </c>
      <c r="K3746" s="7">
        <v>1</v>
      </c>
      <c r="L3746" s="9">
        <v>2351.7800000000002</v>
      </c>
      <c r="M3746" s="9">
        <v>2351.7800000000002</v>
      </c>
      <c r="N3746" s="9">
        <v>1.8</v>
      </c>
      <c r="O3746" s="10">
        <f>IF(AND(OR(H3746="APPROVED",H3746="SCHEDULED"),COUNTIFS(tblSource[EventID],F3746,tblSource[ReleaseStatus],"APPROVED")=1,COUNTIFS(Period_Status!$A$2:$A$8,G3746,Period_Status!$B$2:$B$8,"ActualClosed")=1,C3746&gt;EOMONTH(Settlement_Bridge!$C$2,0)),1,0)</f>
        <v>1</v>
      </c>
      <c r="P3746" s="2" t="s">
        <v>10216</v>
      </c>
    </row>
    <row r="3747" spans="1:16" x14ac:dyDescent="0.25">
      <c r="A3747" s="2" t="s">
        <v>10217</v>
      </c>
      <c r="B3747" s="2" t="s">
        <v>7433</v>
      </c>
      <c r="C3747" s="8">
        <v>46222</v>
      </c>
      <c r="D3747" s="6">
        <v>46204</v>
      </c>
      <c r="E3747" s="2" t="s">
        <v>260</v>
      </c>
      <c r="F3747" s="2" t="s">
        <v>10218</v>
      </c>
      <c r="G3747" s="6">
        <v>46204</v>
      </c>
      <c r="H3747" s="2" t="s">
        <v>71</v>
      </c>
      <c r="I3747" s="2" t="s">
        <v>76</v>
      </c>
      <c r="J3747" s="9">
        <v>27073870.967742</v>
      </c>
      <c r="K3747" s="7">
        <v>6.2000000000000003E-5</v>
      </c>
      <c r="L3747" s="9">
        <v>1678.58</v>
      </c>
      <c r="M3747" s="9">
        <v>1678.58</v>
      </c>
      <c r="N3747" s="9">
        <v>1.8</v>
      </c>
      <c r="O3747" s="10">
        <f>IF(AND(OR(H3747="APPROVED",H3747="SCHEDULED"),COUNTIFS(tblSource[EventID],F3747,tblSource[ReleaseStatus],"APPROVED")=1,COUNTIFS(Period_Status!$A$2:$A$8,G3747,Period_Status!$B$2:$B$8,"ActualClosed")=1,C3747&gt;EOMONTH(Settlement_Bridge!$C$2,0)),1,0)</f>
        <v>0</v>
      </c>
      <c r="P3747" s="2" t="s">
        <v>10219</v>
      </c>
    </row>
    <row r="3748" spans="1:16" x14ac:dyDescent="0.25">
      <c r="A3748" s="2" t="s">
        <v>10220</v>
      </c>
      <c r="B3748" s="2" t="s">
        <v>7433</v>
      </c>
      <c r="C3748" s="8">
        <v>46247</v>
      </c>
      <c r="D3748" s="6">
        <v>46235</v>
      </c>
      <c r="E3748" s="2" t="s">
        <v>260</v>
      </c>
      <c r="F3748" s="2" t="s">
        <v>10218</v>
      </c>
      <c r="G3748" s="6">
        <v>46204</v>
      </c>
      <c r="H3748" s="2" t="s">
        <v>71</v>
      </c>
      <c r="I3748" s="2" t="s">
        <v>76</v>
      </c>
      <c r="J3748" s="9">
        <v>40610806.451613002</v>
      </c>
      <c r="K3748" s="7">
        <v>6.1500000000000004E-5</v>
      </c>
      <c r="L3748" s="9">
        <v>2497.56</v>
      </c>
      <c r="M3748" s="9">
        <v>2517.87</v>
      </c>
      <c r="N3748" s="9">
        <v>1.8</v>
      </c>
      <c r="O3748" s="10">
        <f>IF(AND(OR(H3748="APPROVED",H3748="SCHEDULED"),COUNTIFS(tblSource[EventID],F3748,tblSource[ReleaseStatus],"APPROVED")=1,COUNTIFS(Period_Status!$A$2:$A$8,G3748,Period_Status!$B$2:$B$8,"ActualClosed")=1,C3748&gt;EOMONTH(Settlement_Bridge!$C$2,0)),1,0)</f>
        <v>1</v>
      </c>
      <c r="P3748" s="2" t="s">
        <v>10221</v>
      </c>
    </row>
    <row r="3749" spans="1:16" x14ac:dyDescent="0.25">
      <c r="A3749" s="2" t="s">
        <v>10222</v>
      </c>
      <c r="B3749" s="2" t="s">
        <v>7433</v>
      </c>
      <c r="C3749" s="8">
        <v>46223</v>
      </c>
      <c r="D3749" s="6">
        <v>46204</v>
      </c>
      <c r="E3749" s="2" t="s">
        <v>260</v>
      </c>
      <c r="F3749" s="2" t="s">
        <v>10223</v>
      </c>
      <c r="G3749" s="6">
        <v>46204</v>
      </c>
      <c r="H3749" s="2" t="s">
        <v>71</v>
      </c>
      <c r="I3749" s="2" t="s">
        <v>70</v>
      </c>
      <c r="J3749" s="9">
        <v>2719.3069909999999</v>
      </c>
      <c r="K3749" s="7">
        <v>0.65800000000000003</v>
      </c>
      <c r="L3749" s="9">
        <v>1789.3</v>
      </c>
      <c r="M3749" s="9">
        <v>1789.3</v>
      </c>
      <c r="N3749" s="9">
        <v>1.8</v>
      </c>
      <c r="O3749" s="10">
        <f>IF(AND(OR(H3749="APPROVED",H3749="SCHEDULED"),COUNTIFS(tblSource[EventID],F3749,tblSource[ReleaseStatus],"APPROVED")=1,COUNTIFS(Period_Status!$A$2:$A$8,G3749,Period_Status!$B$2:$B$8,"ActualClosed")=1,C3749&gt;EOMONTH(Settlement_Bridge!$C$2,0)),1,0)</f>
        <v>0</v>
      </c>
      <c r="P3749" s="2" t="s">
        <v>10224</v>
      </c>
    </row>
    <row r="3750" spans="1:16" x14ac:dyDescent="0.25">
      <c r="A3750" s="2" t="s">
        <v>10225</v>
      </c>
      <c r="B3750" s="2" t="s">
        <v>7433</v>
      </c>
      <c r="C3750" s="8">
        <v>46248</v>
      </c>
      <c r="D3750" s="6">
        <v>46235</v>
      </c>
      <c r="E3750" s="2" t="s">
        <v>260</v>
      </c>
      <c r="F3750" s="2" t="s">
        <v>10223</v>
      </c>
      <c r="G3750" s="6">
        <v>46204</v>
      </c>
      <c r="H3750" s="2" t="s">
        <v>71</v>
      </c>
      <c r="I3750" s="2" t="s">
        <v>70</v>
      </c>
      <c r="J3750" s="9">
        <v>4078.9604859999999</v>
      </c>
      <c r="K3750" s="7">
        <v>0.65</v>
      </c>
      <c r="L3750" s="9">
        <v>2651.32</v>
      </c>
      <c r="M3750" s="9">
        <v>2683.96</v>
      </c>
      <c r="N3750" s="9">
        <v>1.8</v>
      </c>
      <c r="O3750" s="10">
        <f>IF(AND(OR(H3750="APPROVED",H3750="SCHEDULED"),COUNTIFS(tblSource[EventID],F3750,tblSource[ReleaseStatus],"APPROVED")=1,COUNTIFS(Period_Status!$A$2:$A$8,G3750,Period_Status!$B$2:$B$8,"ActualClosed")=1,C3750&gt;EOMONTH(Settlement_Bridge!$C$2,0)),1,0)</f>
        <v>1</v>
      </c>
      <c r="P3750" s="2" t="s">
        <v>10226</v>
      </c>
    </row>
    <row r="3751" spans="1:16" x14ac:dyDescent="0.25">
      <c r="A3751" s="2" t="s">
        <v>10227</v>
      </c>
      <c r="B3751" s="2" t="s">
        <v>7433</v>
      </c>
      <c r="C3751" s="8">
        <v>46224</v>
      </c>
      <c r="D3751" s="6">
        <v>46204</v>
      </c>
      <c r="E3751" s="2" t="s">
        <v>260</v>
      </c>
      <c r="F3751" s="2" t="s">
        <v>10228</v>
      </c>
      <c r="G3751" s="6">
        <v>46204</v>
      </c>
      <c r="H3751" s="2" t="s">
        <v>71</v>
      </c>
      <c r="I3751" s="2" t="s">
        <v>39</v>
      </c>
      <c r="J3751" s="9">
        <v>1900.0319999999999</v>
      </c>
      <c r="K3751" s="7">
        <v>1</v>
      </c>
      <c r="L3751" s="9">
        <v>1900.03</v>
      </c>
      <c r="M3751" s="9">
        <v>1900.03</v>
      </c>
      <c r="N3751" s="9">
        <v>1.8</v>
      </c>
      <c r="O3751" s="10">
        <f>IF(AND(OR(H3751="APPROVED",H3751="SCHEDULED"),COUNTIFS(tblSource[EventID],F3751,tblSource[ReleaseStatus],"APPROVED")=1,COUNTIFS(Period_Status!$A$2:$A$8,G3751,Period_Status!$B$2:$B$8,"ActualClosed")=1,C3751&gt;EOMONTH(Settlement_Bridge!$C$2,0)),1,0)</f>
        <v>0</v>
      </c>
      <c r="P3751" s="2" t="s">
        <v>10229</v>
      </c>
    </row>
    <row r="3752" spans="1:16" x14ac:dyDescent="0.25">
      <c r="A3752" s="2" t="s">
        <v>10230</v>
      </c>
      <c r="B3752" s="2" t="s">
        <v>7433</v>
      </c>
      <c r="C3752" s="8">
        <v>46249</v>
      </c>
      <c r="D3752" s="6">
        <v>46235</v>
      </c>
      <c r="E3752" s="2" t="s">
        <v>260</v>
      </c>
      <c r="F3752" s="2" t="s">
        <v>10228</v>
      </c>
      <c r="G3752" s="6">
        <v>46204</v>
      </c>
      <c r="H3752" s="2" t="s">
        <v>71</v>
      </c>
      <c r="I3752" s="2" t="s">
        <v>39</v>
      </c>
      <c r="J3752" s="9">
        <v>2850.0479999999998</v>
      </c>
      <c r="K3752" s="7">
        <v>1</v>
      </c>
      <c r="L3752" s="9">
        <v>2850.05</v>
      </c>
      <c r="M3752" s="9">
        <v>2850.05</v>
      </c>
      <c r="N3752" s="9">
        <v>1.8</v>
      </c>
      <c r="O3752" s="10">
        <f>IF(AND(OR(H3752="APPROVED",H3752="SCHEDULED"),COUNTIFS(tblSource[EventID],F3752,tblSource[ReleaseStatus],"APPROVED")=1,COUNTIFS(Period_Status!$A$2:$A$8,G3752,Period_Status!$B$2:$B$8,"ActualClosed")=1,C3752&gt;EOMONTH(Settlement_Bridge!$C$2,0)),1,0)</f>
        <v>1</v>
      </c>
      <c r="P3752" s="2" t="s">
        <v>10231</v>
      </c>
    </row>
    <row r="3753" spans="1:16" x14ac:dyDescent="0.25">
      <c r="A3753" s="2" t="s">
        <v>10232</v>
      </c>
      <c r="B3753" s="2" t="s">
        <v>7433</v>
      </c>
      <c r="C3753" s="8">
        <v>46225</v>
      </c>
      <c r="D3753" s="6">
        <v>46204</v>
      </c>
      <c r="E3753" s="2" t="s">
        <v>260</v>
      </c>
      <c r="F3753" s="2" t="s">
        <v>10233</v>
      </c>
      <c r="G3753" s="6">
        <v>46204</v>
      </c>
      <c r="H3753" s="2" t="s">
        <v>71</v>
      </c>
      <c r="I3753" s="2" t="s">
        <v>76</v>
      </c>
      <c r="J3753" s="9">
        <v>32431612.903225999</v>
      </c>
      <c r="K3753" s="7">
        <v>6.2000000000000003E-5</v>
      </c>
      <c r="L3753" s="9">
        <v>2010.76</v>
      </c>
      <c r="M3753" s="9">
        <v>2010.76</v>
      </c>
      <c r="N3753" s="9">
        <v>1.8</v>
      </c>
      <c r="O3753" s="10">
        <f>IF(AND(OR(H3753="APPROVED",H3753="SCHEDULED"),COUNTIFS(tblSource[EventID],F3753,tblSource[ReleaseStatus],"APPROVED")=1,COUNTIFS(Period_Status!$A$2:$A$8,G3753,Period_Status!$B$2:$B$8,"ActualClosed")=1,C3753&gt;EOMONTH(Settlement_Bridge!$C$2,0)),1,0)</f>
        <v>0</v>
      </c>
      <c r="P3753" s="2" t="s">
        <v>10234</v>
      </c>
    </row>
    <row r="3754" spans="1:16" x14ac:dyDescent="0.25">
      <c r="A3754" s="2" t="s">
        <v>10235</v>
      </c>
      <c r="B3754" s="2" t="s">
        <v>7433</v>
      </c>
      <c r="C3754" s="8">
        <v>46250</v>
      </c>
      <c r="D3754" s="6">
        <v>46235</v>
      </c>
      <c r="E3754" s="2" t="s">
        <v>260</v>
      </c>
      <c r="F3754" s="2" t="s">
        <v>10233</v>
      </c>
      <c r="G3754" s="6">
        <v>46204</v>
      </c>
      <c r="H3754" s="2" t="s">
        <v>71</v>
      </c>
      <c r="I3754" s="2" t="s">
        <v>76</v>
      </c>
      <c r="J3754" s="9">
        <v>48647419.354838997</v>
      </c>
      <c r="K3754" s="7">
        <v>6.1500000000000004E-5</v>
      </c>
      <c r="L3754" s="9">
        <v>2991.82</v>
      </c>
      <c r="M3754" s="9">
        <v>3016.14</v>
      </c>
      <c r="N3754" s="9">
        <v>1.8</v>
      </c>
      <c r="O3754" s="10">
        <f>IF(AND(OR(H3754="APPROVED",H3754="SCHEDULED"),COUNTIFS(tblSource[EventID],F3754,tblSource[ReleaseStatus],"APPROVED")=1,COUNTIFS(Period_Status!$A$2:$A$8,G3754,Period_Status!$B$2:$B$8,"ActualClosed")=1,C3754&gt;EOMONTH(Settlement_Bridge!$C$2,0)),1,0)</f>
        <v>1</v>
      </c>
      <c r="P3754" s="2" t="s">
        <v>10236</v>
      </c>
    </row>
    <row r="3755" spans="1:16" x14ac:dyDescent="0.25">
      <c r="A3755" s="2" t="s">
        <v>10237</v>
      </c>
      <c r="B3755" s="2" t="s">
        <v>7433</v>
      </c>
      <c r="C3755" s="8">
        <v>46226</v>
      </c>
      <c r="D3755" s="6">
        <v>46204</v>
      </c>
      <c r="E3755" s="2" t="s">
        <v>260</v>
      </c>
      <c r="F3755" s="2" t="s">
        <v>10238</v>
      </c>
      <c r="G3755" s="6">
        <v>46204</v>
      </c>
      <c r="H3755" s="2" t="s">
        <v>71</v>
      </c>
      <c r="I3755" s="2" t="s">
        <v>70</v>
      </c>
      <c r="J3755" s="9">
        <v>3224.1398180000001</v>
      </c>
      <c r="K3755" s="7">
        <v>0.65800000000000003</v>
      </c>
      <c r="L3755" s="9">
        <v>2121.48</v>
      </c>
      <c r="M3755" s="9">
        <v>2121.48</v>
      </c>
      <c r="N3755" s="9">
        <v>1.8</v>
      </c>
      <c r="O3755" s="10">
        <f>IF(AND(OR(H3755="APPROVED",H3755="SCHEDULED"),COUNTIFS(tblSource[EventID],F3755,tblSource[ReleaseStatus],"APPROVED")=1,COUNTIFS(Period_Status!$A$2:$A$8,G3755,Period_Status!$B$2:$B$8,"ActualClosed")=1,C3755&gt;EOMONTH(Settlement_Bridge!$C$2,0)),1,0)</f>
        <v>0</v>
      </c>
      <c r="P3755" s="2" t="s">
        <v>10239</v>
      </c>
    </row>
    <row r="3756" spans="1:16" x14ac:dyDescent="0.25">
      <c r="A3756" s="2" t="s">
        <v>10240</v>
      </c>
      <c r="B3756" s="2" t="s">
        <v>7433</v>
      </c>
      <c r="C3756" s="8">
        <v>46251</v>
      </c>
      <c r="D3756" s="6">
        <v>46235</v>
      </c>
      <c r="E3756" s="2" t="s">
        <v>260</v>
      </c>
      <c r="F3756" s="2" t="s">
        <v>10238</v>
      </c>
      <c r="G3756" s="6">
        <v>46204</v>
      </c>
      <c r="H3756" s="2" t="s">
        <v>71</v>
      </c>
      <c r="I3756" s="2" t="s">
        <v>70</v>
      </c>
      <c r="J3756" s="9">
        <v>4836.209726</v>
      </c>
      <c r="K3756" s="7">
        <v>0.65</v>
      </c>
      <c r="L3756" s="9">
        <v>3143.54</v>
      </c>
      <c r="M3756" s="9">
        <v>3182.23</v>
      </c>
      <c r="N3756" s="9">
        <v>1.8</v>
      </c>
      <c r="O3756" s="10">
        <f>IF(AND(OR(H3756="APPROVED",H3756="SCHEDULED"),COUNTIFS(tblSource[EventID],F3756,tblSource[ReleaseStatus],"APPROVED")=1,COUNTIFS(Period_Status!$A$2:$A$8,G3756,Period_Status!$B$2:$B$8,"ActualClosed")=1,C3756&gt;EOMONTH(Settlement_Bridge!$C$2,0)),1,0)</f>
        <v>1</v>
      </c>
      <c r="P3756" s="2" t="s">
        <v>10241</v>
      </c>
    </row>
    <row r="3757" spans="1:16" x14ac:dyDescent="0.25">
      <c r="A3757" s="2" t="s">
        <v>10242</v>
      </c>
      <c r="B3757" s="2" t="s">
        <v>7433</v>
      </c>
      <c r="C3757" s="8">
        <v>46227</v>
      </c>
      <c r="D3757" s="6">
        <v>46204</v>
      </c>
      <c r="E3757" s="2" t="s">
        <v>260</v>
      </c>
      <c r="F3757" s="2" t="s">
        <v>10243</v>
      </c>
      <c r="G3757" s="6">
        <v>46204</v>
      </c>
      <c r="H3757" s="2" t="s">
        <v>71</v>
      </c>
      <c r="I3757" s="2" t="s">
        <v>39</v>
      </c>
      <c r="J3757" s="9">
        <v>2232.212</v>
      </c>
      <c r="K3757" s="7">
        <v>1</v>
      </c>
      <c r="L3757" s="9">
        <v>2232.21</v>
      </c>
      <c r="M3757" s="9">
        <v>2232.21</v>
      </c>
      <c r="N3757" s="9">
        <v>1.8</v>
      </c>
      <c r="O3757" s="10">
        <f>IF(AND(OR(H3757="APPROVED",H3757="SCHEDULED"),COUNTIFS(tblSource[EventID],F3757,tblSource[ReleaseStatus],"APPROVED")=1,COUNTIFS(Period_Status!$A$2:$A$8,G3757,Period_Status!$B$2:$B$8,"ActualClosed")=1,C3757&gt;EOMONTH(Settlement_Bridge!$C$2,0)),1,0)</f>
        <v>0</v>
      </c>
      <c r="P3757" s="2" t="s">
        <v>10244</v>
      </c>
    </row>
    <row r="3758" spans="1:16" x14ac:dyDescent="0.25">
      <c r="A3758" s="2" t="s">
        <v>10245</v>
      </c>
      <c r="B3758" s="2" t="s">
        <v>7433</v>
      </c>
      <c r="C3758" s="8">
        <v>46252</v>
      </c>
      <c r="D3758" s="6">
        <v>46235</v>
      </c>
      <c r="E3758" s="2" t="s">
        <v>260</v>
      </c>
      <c r="F3758" s="2" t="s">
        <v>10243</v>
      </c>
      <c r="G3758" s="6">
        <v>46204</v>
      </c>
      <c r="H3758" s="2" t="s">
        <v>71</v>
      </c>
      <c r="I3758" s="2" t="s">
        <v>39</v>
      </c>
      <c r="J3758" s="9">
        <v>3348.3180000000002</v>
      </c>
      <c r="K3758" s="7">
        <v>1</v>
      </c>
      <c r="L3758" s="9">
        <v>3348.32</v>
      </c>
      <c r="M3758" s="9">
        <v>3348.32</v>
      </c>
      <c r="N3758" s="9">
        <v>1.84</v>
      </c>
      <c r="O3758" s="10">
        <f>IF(AND(OR(H3758="APPROVED",H3758="SCHEDULED"),COUNTIFS(tblSource[EventID],F3758,tblSource[ReleaseStatus],"APPROVED")=1,COUNTIFS(Period_Status!$A$2:$A$8,G3758,Period_Status!$B$2:$B$8,"ActualClosed")=1,C3758&gt;EOMONTH(Settlement_Bridge!$C$2,0)),1,0)</f>
        <v>1</v>
      </c>
      <c r="P3758" s="2" t="s">
        <v>10246</v>
      </c>
    </row>
    <row r="3759" spans="1:16" x14ac:dyDescent="0.25">
      <c r="A3759" s="2" t="s">
        <v>10247</v>
      </c>
      <c r="B3759" s="2" t="s">
        <v>7433</v>
      </c>
      <c r="C3759" s="8">
        <v>46228</v>
      </c>
      <c r="D3759" s="6">
        <v>46204</v>
      </c>
      <c r="E3759" s="2" t="s">
        <v>260</v>
      </c>
      <c r="F3759" s="2" t="s">
        <v>10248</v>
      </c>
      <c r="G3759" s="6">
        <v>46204</v>
      </c>
      <c r="H3759" s="2" t="s">
        <v>71</v>
      </c>
      <c r="I3759" s="2" t="s">
        <v>76</v>
      </c>
      <c r="J3759" s="9">
        <v>37789290.322581001</v>
      </c>
      <c r="K3759" s="7">
        <v>6.2000000000000003E-5</v>
      </c>
      <c r="L3759" s="9">
        <v>2342.94</v>
      </c>
      <c r="M3759" s="9">
        <v>2342.94</v>
      </c>
      <c r="N3759" s="9">
        <v>1.8</v>
      </c>
      <c r="O3759" s="10">
        <f>IF(AND(OR(H3759="APPROVED",H3759="SCHEDULED"),COUNTIFS(tblSource[EventID],F3759,tblSource[ReleaseStatus],"APPROVED")=1,COUNTIFS(Period_Status!$A$2:$A$8,G3759,Period_Status!$B$2:$B$8,"ActualClosed")=1,C3759&gt;EOMONTH(Settlement_Bridge!$C$2,0)),1,0)</f>
        <v>0</v>
      </c>
      <c r="P3759" s="2" t="s">
        <v>10249</v>
      </c>
    </row>
    <row r="3760" spans="1:16" x14ac:dyDescent="0.25">
      <c r="A3760" s="2" t="s">
        <v>10250</v>
      </c>
      <c r="B3760" s="2" t="s">
        <v>7433</v>
      </c>
      <c r="C3760" s="8">
        <v>46253</v>
      </c>
      <c r="D3760" s="6">
        <v>46235</v>
      </c>
      <c r="E3760" s="2" t="s">
        <v>260</v>
      </c>
      <c r="F3760" s="2" t="s">
        <v>10248</v>
      </c>
      <c r="G3760" s="6">
        <v>46204</v>
      </c>
      <c r="H3760" s="2" t="s">
        <v>71</v>
      </c>
      <c r="I3760" s="2" t="s">
        <v>76</v>
      </c>
      <c r="J3760" s="9">
        <v>56683935.483870998</v>
      </c>
      <c r="K3760" s="7">
        <v>6.1500000000000004E-5</v>
      </c>
      <c r="L3760" s="9">
        <v>3486.06</v>
      </c>
      <c r="M3760" s="9">
        <v>3514.4</v>
      </c>
      <c r="N3760" s="9">
        <v>1.92</v>
      </c>
      <c r="O3760" s="10">
        <f>IF(AND(OR(H3760="APPROVED",H3760="SCHEDULED"),COUNTIFS(tblSource[EventID],F3760,tblSource[ReleaseStatus],"APPROVED")=1,COUNTIFS(Period_Status!$A$2:$A$8,G3760,Period_Status!$B$2:$B$8,"ActualClosed")=1,C3760&gt;EOMONTH(Settlement_Bridge!$C$2,0)),1,0)</f>
        <v>1</v>
      </c>
      <c r="P3760" s="2" t="s">
        <v>10251</v>
      </c>
    </row>
    <row r="3761" spans="1:16" x14ac:dyDescent="0.25">
      <c r="A3761" s="2" t="s">
        <v>10252</v>
      </c>
      <c r="B3761" s="2" t="s">
        <v>7433</v>
      </c>
      <c r="C3761" s="8">
        <v>46229</v>
      </c>
      <c r="D3761" s="6">
        <v>46204</v>
      </c>
      <c r="E3761" s="2" t="s">
        <v>260</v>
      </c>
      <c r="F3761" s="2" t="s">
        <v>10253</v>
      </c>
      <c r="G3761" s="6">
        <v>46204</v>
      </c>
      <c r="H3761" s="2" t="s">
        <v>71</v>
      </c>
      <c r="I3761" s="2" t="s">
        <v>70</v>
      </c>
      <c r="J3761" s="9">
        <v>3728.9726439999999</v>
      </c>
      <c r="K3761" s="7">
        <v>0.65800000000000003</v>
      </c>
      <c r="L3761" s="9">
        <v>2453.66</v>
      </c>
      <c r="M3761" s="9">
        <v>2453.66</v>
      </c>
      <c r="N3761" s="9">
        <v>1.8</v>
      </c>
      <c r="O3761" s="10">
        <f>IF(AND(OR(H3761="APPROVED",H3761="SCHEDULED"),COUNTIFS(tblSource[EventID],F3761,tblSource[ReleaseStatus],"APPROVED")=1,COUNTIFS(Period_Status!$A$2:$A$8,G3761,Period_Status!$B$2:$B$8,"ActualClosed")=1,C3761&gt;EOMONTH(Settlement_Bridge!$C$2,0)),1,0)</f>
        <v>0</v>
      </c>
      <c r="P3761" s="2" t="s">
        <v>10254</v>
      </c>
    </row>
    <row r="3762" spans="1:16" x14ac:dyDescent="0.25">
      <c r="A3762" s="2" t="s">
        <v>10255</v>
      </c>
      <c r="B3762" s="2" t="s">
        <v>7433</v>
      </c>
      <c r="C3762" s="8">
        <v>46254</v>
      </c>
      <c r="D3762" s="6">
        <v>46235</v>
      </c>
      <c r="E3762" s="2" t="s">
        <v>260</v>
      </c>
      <c r="F3762" s="2" t="s">
        <v>10253</v>
      </c>
      <c r="G3762" s="6">
        <v>46204</v>
      </c>
      <c r="H3762" s="2" t="s">
        <v>71</v>
      </c>
      <c r="I3762" s="2" t="s">
        <v>70</v>
      </c>
      <c r="J3762" s="9">
        <v>5593.4589669999996</v>
      </c>
      <c r="K3762" s="7">
        <v>0.65</v>
      </c>
      <c r="L3762" s="9">
        <v>3635.75</v>
      </c>
      <c r="M3762" s="9">
        <v>3680.5</v>
      </c>
      <c r="N3762" s="9">
        <v>2</v>
      </c>
      <c r="O3762" s="10">
        <f>IF(AND(OR(H3762="APPROVED",H3762="SCHEDULED"),COUNTIFS(tblSource[EventID],F3762,tblSource[ReleaseStatus],"APPROVED")=1,COUNTIFS(Period_Status!$A$2:$A$8,G3762,Period_Status!$B$2:$B$8,"ActualClosed")=1,C3762&gt;EOMONTH(Settlement_Bridge!$C$2,0)),1,0)</f>
        <v>1</v>
      </c>
      <c r="P3762" s="2" t="s">
        <v>10256</v>
      </c>
    </row>
    <row r="3763" spans="1:16" x14ac:dyDescent="0.25">
      <c r="A3763" s="2" t="s">
        <v>10257</v>
      </c>
      <c r="B3763" s="2" t="s">
        <v>7433</v>
      </c>
      <c r="C3763" s="8">
        <v>46230</v>
      </c>
      <c r="D3763" s="6">
        <v>46204</v>
      </c>
      <c r="E3763" s="2" t="s">
        <v>260</v>
      </c>
      <c r="F3763" s="2" t="s">
        <v>10258</v>
      </c>
      <c r="G3763" s="6">
        <v>46204</v>
      </c>
      <c r="H3763" s="2" t="s">
        <v>71</v>
      </c>
      <c r="I3763" s="2" t="s">
        <v>39</v>
      </c>
      <c r="J3763" s="9">
        <v>2564.3919999999998</v>
      </c>
      <c r="K3763" s="7">
        <v>1</v>
      </c>
      <c r="L3763" s="9">
        <v>2564.39</v>
      </c>
      <c r="M3763" s="9">
        <v>2564.39</v>
      </c>
      <c r="N3763" s="9">
        <v>1.8</v>
      </c>
      <c r="O3763" s="10">
        <f>IF(AND(OR(H3763="APPROVED",H3763="SCHEDULED"),COUNTIFS(tblSource[EventID],F3763,tblSource[ReleaseStatus],"APPROVED")=1,COUNTIFS(Period_Status!$A$2:$A$8,G3763,Period_Status!$B$2:$B$8,"ActualClosed")=1,C3763&gt;EOMONTH(Settlement_Bridge!$C$2,0)),1,0)</f>
        <v>0</v>
      </c>
      <c r="P3763" s="2" t="s">
        <v>10259</v>
      </c>
    </row>
    <row r="3764" spans="1:16" x14ac:dyDescent="0.25">
      <c r="A3764" s="2" t="s">
        <v>10260</v>
      </c>
      <c r="B3764" s="2" t="s">
        <v>7433</v>
      </c>
      <c r="C3764" s="8">
        <v>46255</v>
      </c>
      <c r="D3764" s="6">
        <v>46235</v>
      </c>
      <c r="E3764" s="2" t="s">
        <v>260</v>
      </c>
      <c r="F3764" s="2" t="s">
        <v>10258</v>
      </c>
      <c r="G3764" s="6">
        <v>46204</v>
      </c>
      <c r="H3764" s="2" t="s">
        <v>71</v>
      </c>
      <c r="I3764" s="2" t="s">
        <v>39</v>
      </c>
      <c r="J3764" s="9">
        <v>3846.5880000000002</v>
      </c>
      <c r="K3764" s="7">
        <v>1</v>
      </c>
      <c r="L3764" s="9">
        <v>3846.59</v>
      </c>
      <c r="M3764" s="9">
        <v>3846.59</v>
      </c>
      <c r="N3764" s="9">
        <v>2.12</v>
      </c>
      <c r="O3764" s="10">
        <f>IF(AND(OR(H3764="APPROVED",H3764="SCHEDULED"),COUNTIFS(tblSource[EventID],F3764,tblSource[ReleaseStatus],"APPROVED")=1,COUNTIFS(Period_Status!$A$2:$A$8,G3764,Period_Status!$B$2:$B$8,"ActualClosed")=1,C3764&gt;EOMONTH(Settlement_Bridge!$C$2,0)),1,0)</f>
        <v>1</v>
      </c>
      <c r="P3764" s="2" t="s">
        <v>10261</v>
      </c>
    </row>
    <row r="3765" spans="1:16" x14ac:dyDescent="0.25">
      <c r="A3765" s="2" t="s">
        <v>10262</v>
      </c>
      <c r="B3765" s="2" t="s">
        <v>7433</v>
      </c>
      <c r="C3765" s="8">
        <v>46231</v>
      </c>
      <c r="D3765" s="6">
        <v>46204</v>
      </c>
      <c r="E3765" s="2" t="s">
        <v>260</v>
      </c>
      <c r="F3765" s="2" t="s">
        <v>10263</v>
      </c>
      <c r="G3765" s="6">
        <v>46204</v>
      </c>
      <c r="H3765" s="2" t="s">
        <v>71</v>
      </c>
      <c r="I3765" s="2" t="s">
        <v>76</v>
      </c>
      <c r="J3765" s="9">
        <v>43147032.258064002</v>
      </c>
      <c r="K3765" s="7">
        <v>6.2000000000000003E-5</v>
      </c>
      <c r="L3765" s="9">
        <v>2675.12</v>
      </c>
      <c r="M3765" s="9">
        <v>2675.12</v>
      </c>
      <c r="N3765" s="9">
        <v>1.8</v>
      </c>
      <c r="O3765" s="10">
        <f>IF(AND(OR(H3765="APPROVED",H3765="SCHEDULED"),COUNTIFS(tblSource[EventID],F3765,tblSource[ReleaseStatus],"APPROVED")=1,COUNTIFS(Period_Status!$A$2:$A$8,G3765,Period_Status!$B$2:$B$8,"ActualClosed")=1,C3765&gt;EOMONTH(Settlement_Bridge!$C$2,0)),1,0)</f>
        <v>0</v>
      </c>
      <c r="P3765" s="2" t="s">
        <v>10264</v>
      </c>
    </row>
    <row r="3766" spans="1:16" x14ac:dyDescent="0.25">
      <c r="A3766" s="2" t="s">
        <v>10265</v>
      </c>
      <c r="B3766" s="2" t="s">
        <v>7433</v>
      </c>
      <c r="C3766" s="8">
        <v>46256</v>
      </c>
      <c r="D3766" s="6">
        <v>46235</v>
      </c>
      <c r="E3766" s="2" t="s">
        <v>260</v>
      </c>
      <c r="F3766" s="2" t="s">
        <v>10263</v>
      </c>
      <c r="G3766" s="6">
        <v>46204</v>
      </c>
      <c r="H3766" s="2" t="s">
        <v>71</v>
      </c>
      <c r="I3766" s="2" t="s">
        <v>76</v>
      </c>
      <c r="J3766" s="9">
        <v>64720548.387097001</v>
      </c>
      <c r="K3766" s="7">
        <v>6.1500000000000004E-5</v>
      </c>
      <c r="L3766" s="9">
        <v>3980.31</v>
      </c>
      <c r="M3766" s="9">
        <v>4012.67</v>
      </c>
      <c r="N3766" s="9">
        <v>2.19</v>
      </c>
      <c r="O3766" s="10">
        <f>IF(AND(OR(H3766="APPROVED",H3766="SCHEDULED"),COUNTIFS(tblSource[EventID],F3766,tblSource[ReleaseStatus],"APPROVED")=1,COUNTIFS(Period_Status!$A$2:$A$8,G3766,Period_Status!$B$2:$B$8,"ActualClosed")=1,C3766&gt;EOMONTH(Settlement_Bridge!$C$2,0)),1,0)</f>
        <v>1</v>
      </c>
      <c r="P3766" s="2" t="s">
        <v>10266</v>
      </c>
    </row>
    <row r="3767" spans="1:16" x14ac:dyDescent="0.25">
      <c r="A3767" s="2" t="s">
        <v>10267</v>
      </c>
      <c r="B3767" s="2" t="s">
        <v>7433</v>
      </c>
      <c r="C3767" s="8">
        <v>46232</v>
      </c>
      <c r="D3767" s="6">
        <v>46204</v>
      </c>
      <c r="E3767" s="2" t="s">
        <v>260</v>
      </c>
      <c r="F3767" s="2" t="s">
        <v>10268</v>
      </c>
      <c r="G3767" s="6">
        <v>46204</v>
      </c>
      <c r="H3767" s="2" t="s">
        <v>71</v>
      </c>
      <c r="I3767" s="2" t="s">
        <v>70</v>
      </c>
      <c r="J3767" s="9">
        <v>4233.8054709999997</v>
      </c>
      <c r="K3767" s="7">
        <v>0.65800000000000003</v>
      </c>
      <c r="L3767" s="9">
        <v>2785.84</v>
      </c>
      <c r="M3767" s="9">
        <v>2785.84</v>
      </c>
      <c r="N3767" s="9">
        <v>1.8</v>
      </c>
      <c r="O3767" s="10">
        <f>IF(AND(OR(H3767="APPROVED",H3767="SCHEDULED"),COUNTIFS(tblSource[EventID],F3767,tblSource[ReleaseStatus],"APPROVED")=1,COUNTIFS(Period_Status!$A$2:$A$8,G3767,Period_Status!$B$2:$B$8,"ActualClosed")=1,C3767&gt;EOMONTH(Settlement_Bridge!$C$2,0)),1,0)</f>
        <v>0</v>
      </c>
      <c r="P3767" s="2" t="s">
        <v>10269</v>
      </c>
    </row>
    <row r="3768" spans="1:16" x14ac:dyDescent="0.25">
      <c r="A3768" s="2" t="s">
        <v>10270</v>
      </c>
      <c r="B3768" s="2" t="s">
        <v>7433</v>
      </c>
      <c r="C3768" s="8">
        <v>46257</v>
      </c>
      <c r="D3768" s="6">
        <v>46235</v>
      </c>
      <c r="E3768" s="2" t="s">
        <v>260</v>
      </c>
      <c r="F3768" s="2" t="s">
        <v>10268</v>
      </c>
      <c r="G3768" s="6">
        <v>46204</v>
      </c>
      <c r="H3768" s="2" t="s">
        <v>71</v>
      </c>
      <c r="I3768" s="2" t="s">
        <v>70</v>
      </c>
      <c r="J3768" s="9">
        <v>6350.7082069999997</v>
      </c>
      <c r="K3768" s="7">
        <v>0.65</v>
      </c>
      <c r="L3768" s="9">
        <v>4127.96</v>
      </c>
      <c r="M3768" s="9">
        <v>4178.7700000000004</v>
      </c>
      <c r="N3768" s="9">
        <v>2.27</v>
      </c>
      <c r="O3768" s="10">
        <f>IF(AND(OR(H3768="APPROVED",H3768="SCHEDULED"),COUNTIFS(tblSource[EventID],F3768,tblSource[ReleaseStatus],"APPROVED")=1,COUNTIFS(Period_Status!$A$2:$A$8,G3768,Period_Status!$B$2:$B$8,"ActualClosed")=1,C3768&gt;EOMONTH(Settlement_Bridge!$C$2,0)),1,0)</f>
        <v>1</v>
      </c>
      <c r="P3768" s="2" t="s">
        <v>10271</v>
      </c>
    </row>
    <row r="3769" spans="1:16" x14ac:dyDescent="0.25">
      <c r="A3769" s="2" t="s">
        <v>10272</v>
      </c>
      <c r="B3769" s="2" t="s">
        <v>7433</v>
      </c>
      <c r="C3769" s="8">
        <v>46233</v>
      </c>
      <c r="D3769" s="6">
        <v>46204</v>
      </c>
      <c r="E3769" s="2" t="s">
        <v>260</v>
      </c>
      <c r="F3769" s="2" t="s">
        <v>10273</v>
      </c>
      <c r="G3769" s="6">
        <v>46204</v>
      </c>
      <c r="H3769" s="2" t="s">
        <v>71</v>
      </c>
      <c r="I3769" s="2" t="s">
        <v>39</v>
      </c>
      <c r="J3769" s="9">
        <v>-7241.42</v>
      </c>
      <c r="K3769" s="7">
        <v>1</v>
      </c>
      <c r="L3769" s="9">
        <v>-7241.42</v>
      </c>
      <c r="M3769" s="9">
        <v>-7241.42</v>
      </c>
      <c r="N3769" s="9">
        <v>0</v>
      </c>
      <c r="O3769" s="10">
        <f>IF(AND(OR(H3769="APPROVED",H3769="SCHEDULED"),COUNTIFS(tblSource[EventID],F3769,tblSource[ReleaseStatus],"APPROVED")=1,COUNTIFS(Period_Status!$A$2:$A$8,G3769,Period_Status!$B$2:$B$8,"ActualClosed")=1,C3769&gt;EOMONTH(Settlement_Bridge!$C$2,0)),1,0)</f>
        <v>0</v>
      </c>
      <c r="P3769" s="2" t="s">
        <v>10274</v>
      </c>
    </row>
    <row r="3770" spans="1:16" x14ac:dyDescent="0.25">
      <c r="A3770" s="2" t="s">
        <v>10275</v>
      </c>
      <c r="B3770" s="2" t="s">
        <v>7433</v>
      </c>
      <c r="C3770" s="8">
        <v>46234</v>
      </c>
      <c r="D3770" s="6">
        <v>46204</v>
      </c>
      <c r="E3770" s="2" t="s">
        <v>260</v>
      </c>
      <c r="F3770" s="2" t="s">
        <v>10276</v>
      </c>
      <c r="G3770" s="6">
        <v>46204</v>
      </c>
      <c r="H3770" s="2" t="s">
        <v>71</v>
      </c>
      <c r="I3770" s="2" t="s">
        <v>76</v>
      </c>
      <c r="J3770" s="9">
        <v>48504774.193548001</v>
      </c>
      <c r="K3770" s="7">
        <v>6.2000000000000003E-5</v>
      </c>
      <c r="L3770" s="9">
        <v>3007.3</v>
      </c>
      <c r="M3770" s="9">
        <v>3007.3</v>
      </c>
      <c r="N3770" s="9">
        <v>1.8</v>
      </c>
      <c r="O3770" s="10">
        <f>IF(AND(OR(H3770="APPROVED",H3770="SCHEDULED"),COUNTIFS(tblSource[EventID],F3770,tblSource[ReleaseStatus],"APPROVED")=1,COUNTIFS(Period_Status!$A$2:$A$8,G3770,Period_Status!$B$2:$B$8,"ActualClosed")=1,C3770&gt;EOMONTH(Settlement_Bridge!$C$2,0)),1,0)</f>
        <v>0</v>
      </c>
      <c r="P3770" s="2" t="s">
        <v>10277</v>
      </c>
    </row>
    <row r="3771" spans="1:16" x14ac:dyDescent="0.25">
      <c r="A3771" s="2" t="s">
        <v>10278</v>
      </c>
      <c r="B3771" s="2" t="s">
        <v>7433</v>
      </c>
      <c r="C3771" s="8">
        <v>46259</v>
      </c>
      <c r="D3771" s="6">
        <v>46235</v>
      </c>
      <c r="E3771" s="2" t="s">
        <v>260</v>
      </c>
      <c r="F3771" s="2" t="s">
        <v>10276</v>
      </c>
      <c r="G3771" s="6">
        <v>46204</v>
      </c>
      <c r="H3771" s="2" t="s">
        <v>71</v>
      </c>
      <c r="I3771" s="2" t="s">
        <v>76</v>
      </c>
      <c r="J3771" s="9">
        <v>72757161.290323004</v>
      </c>
      <c r="K3771" s="7">
        <v>6.1500000000000004E-5</v>
      </c>
      <c r="L3771" s="9">
        <v>4474.57</v>
      </c>
      <c r="M3771" s="9">
        <v>4510.9399999999996</v>
      </c>
      <c r="N3771" s="9">
        <v>2.46</v>
      </c>
      <c r="O3771" s="10">
        <f>IF(AND(OR(H3771="APPROVED",H3771="SCHEDULED"),COUNTIFS(tblSource[EventID],F3771,tblSource[ReleaseStatus],"APPROVED")=1,COUNTIFS(Period_Status!$A$2:$A$8,G3771,Period_Status!$B$2:$B$8,"ActualClosed")=1,C3771&gt;EOMONTH(Settlement_Bridge!$C$2,0)),1,0)</f>
        <v>1</v>
      </c>
      <c r="P3771" s="2" t="s">
        <v>10279</v>
      </c>
    </row>
    <row r="3772" spans="1:16" x14ac:dyDescent="0.25">
      <c r="A3772" s="2" t="s">
        <v>10280</v>
      </c>
      <c r="B3772" s="2" t="s">
        <v>7433</v>
      </c>
      <c r="C3772" s="8">
        <v>46235</v>
      </c>
      <c r="D3772" s="6">
        <v>46235</v>
      </c>
      <c r="E3772" s="2" t="s">
        <v>260</v>
      </c>
      <c r="F3772" s="2" t="s">
        <v>10281</v>
      </c>
      <c r="G3772" s="6">
        <v>46204</v>
      </c>
      <c r="H3772" s="2" t="s">
        <v>71</v>
      </c>
      <c r="I3772" s="2" t="s">
        <v>70</v>
      </c>
      <c r="J3772" s="9">
        <v>4738.6382979999998</v>
      </c>
      <c r="K3772" s="7">
        <v>0.65</v>
      </c>
      <c r="L3772" s="9">
        <v>3080.11</v>
      </c>
      <c r="M3772" s="9">
        <v>3118.02</v>
      </c>
      <c r="N3772" s="9">
        <v>1.8</v>
      </c>
      <c r="O3772" s="10">
        <f>IF(AND(OR(H3772="APPROVED",H3772="SCHEDULED"),COUNTIFS(tblSource[EventID],F3772,tblSource[ReleaseStatus],"APPROVED")=1,COUNTIFS(Period_Status!$A$2:$A$8,G3772,Period_Status!$B$2:$B$8,"ActualClosed")=1,C3772&gt;EOMONTH(Settlement_Bridge!$C$2,0)),1,0)</f>
        <v>1</v>
      </c>
      <c r="P3772" s="2" t="s">
        <v>10282</v>
      </c>
    </row>
    <row r="3773" spans="1:16" x14ac:dyDescent="0.25">
      <c r="A3773" s="2" t="s">
        <v>10283</v>
      </c>
      <c r="B3773" s="2" t="s">
        <v>7433</v>
      </c>
      <c r="C3773" s="8">
        <v>46260</v>
      </c>
      <c r="D3773" s="6">
        <v>46235</v>
      </c>
      <c r="E3773" s="2" t="s">
        <v>260</v>
      </c>
      <c r="F3773" s="2" t="s">
        <v>10281</v>
      </c>
      <c r="G3773" s="6">
        <v>46204</v>
      </c>
      <c r="H3773" s="2" t="s">
        <v>71</v>
      </c>
      <c r="I3773" s="2" t="s">
        <v>70</v>
      </c>
      <c r="J3773" s="9">
        <v>7107.9574469999998</v>
      </c>
      <c r="K3773" s="7">
        <v>0.65</v>
      </c>
      <c r="L3773" s="9">
        <v>4620.17</v>
      </c>
      <c r="M3773" s="9">
        <v>4677.04</v>
      </c>
      <c r="N3773" s="9">
        <v>2.54</v>
      </c>
      <c r="O3773" s="10">
        <f>IF(AND(OR(H3773="APPROVED",H3773="SCHEDULED"),COUNTIFS(tblSource[EventID],F3773,tblSource[ReleaseStatus],"APPROVED")=1,COUNTIFS(Period_Status!$A$2:$A$8,G3773,Period_Status!$B$2:$B$8,"ActualClosed")=1,C3773&gt;EOMONTH(Settlement_Bridge!$C$2,0)),1,0)</f>
        <v>1</v>
      </c>
      <c r="P3773" s="2" t="s">
        <v>10284</v>
      </c>
    </row>
    <row r="3774" spans="1:16" x14ac:dyDescent="0.25">
      <c r="A3774" s="2" t="s">
        <v>10285</v>
      </c>
      <c r="B3774" s="2" t="s">
        <v>7433</v>
      </c>
      <c r="C3774" s="8">
        <v>46236</v>
      </c>
      <c r="D3774" s="6">
        <v>46235</v>
      </c>
      <c r="E3774" s="2" t="s">
        <v>260</v>
      </c>
      <c r="F3774" s="2" t="s">
        <v>10286</v>
      </c>
      <c r="G3774" s="6">
        <v>46204</v>
      </c>
      <c r="H3774" s="2" t="s">
        <v>71</v>
      </c>
      <c r="I3774" s="2" t="s">
        <v>39</v>
      </c>
      <c r="J3774" s="9">
        <v>3228.748</v>
      </c>
      <c r="K3774" s="7">
        <v>1</v>
      </c>
      <c r="L3774" s="9">
        <v>3228.75</v>
      </c>
      <c r="M3774" s="9">
        <v>3228.75</v>
      </c>
      <c r="N3774" s="9">
        <v>1.8</v>
      </c>
      <c r="O3774" s="10">
        <f>IF(AND(OR(H3774="APPROVED",H3774="SCHEDULED"),COUNTIFS(tblSource[EventID],F3774,tblSource[ReleaseStatus],"APPROVED")=1,COUNTIFS(Period_Status!$A$2:$A$8,G3774,Period_Status!$B$2:$B$8,"ActualClosed")=1,C3774&gt;EOMONTH(Settlement_Bridge!$C$2,0)),1,0)</f>
        <v>1</v>
      </c>
      <c r="P3774" s="2" t="s">
        <v>10287</v>
      </c>
    </row>
    <row r="3775" spans="1:16" x14ac:dyDescent="0.25">
      <c r="A3775" s="2" t="s">
        <v>10288</v>
      </c>
      <c r="B3775" s="2" t="s">
        <v>7433</v>
      </c>
      <c r="C3775" s="8">
        <v>46261</v>
      </c>
      <c r="D3775" s="6">
        <v>46235</v>
      </c>
      <c r="E3775" s="2" t="s">
        <v>260</v>
      </c>
      <c r="F3775" s="2" t="s">
        <v>10286</v>
      </c>
      <c r="G3775" s="6">
        <v>46204</v>
      </c>
      <c r="H3775" s="2" t="s">
        <v>71</v>
      </c>
      <c r="I3775" s="2" t="s">
        <v>39</v>
      </c>
      <c r="J3775" s="9">
        <v>4843.1220000000003</v>
      </c>
      <c r="K3775" s="7">
        <v>1</v>
      </c>
      <c r="L3775" s="9">
        <v>4843.12</v>
      </c>
      <c r="M3775" s="9">
        <v>4843.12</v>
      </c>
      <c r="N3775" s="9">
        <v>2.66</v>
      </c>
      <c r="O3775" s="10">
        <f>IF(AND(OR(H3775="APPROVED",H3775="SCHEDULED"),COUNTIFS(tblSource[EventID],F3775,tblSource[ReleaseStatus],"APPROVED")=1,COUNTIFS(Period_Status!$A$2:$A$8,G3775,Period_Status!$B$2:$B$8,"ActualClosed")=1,C3775&gt;EOMONTH(Settlement_Bridge!$C$2,0)),1,0)</f>
        <v>1</v>
      </c>
      <c r="P3775" s="2" t="s">
        <v>10289</v>
      </c>
    </row>
    <row r="3776" spans="1:16" x14ac:dyDescent="0.25">
      <c r="A3776" s="2" t="s">
        <v>10290</v>
      </c>
      <c r="B3776" s="2" t="s">
        <v>7433</v>
      </c>
      <c r="C3776" s="8">
        <v>46237</v>
      </c>
      <c r="D3776" s="6">
        <v>46235</v>
      </c>
      <c r="E3776" s="2" t="s">
        <v>260</v>
      </c>
      <c r="F3776" s="2" t="s">
        <v>10291</v>
      </c>
      <c r="G3776" s="6">
        <v>46204</v>
      </c>
      <c r="H3776" s="2" t="s">
        <v>71</v>
      </c>
      <c r="I3776" s="2" t="s">
        <v>76</v>
      </c>
      <c r="J3776" s="9">
        <v>53862516.129032001</v>
      </c>
      <c r="K3776" s="7">
        <v>6.1500000000000004E-5</v>
      </c>
      <c r="L3776" s="9">
        <v>3312.54</v>
      </c>
      <c r="M3776" s="9">
        <v>3339.48</v>
      </c>
      <c r="N3776" s="9">
        <v>1.82</v>
      </c>
      <c r="O3776" s="10">
        <f>IF(AND(OR(H3776="APPROVED",H3776="SCHEDULED"),COUNTIFS(tblSource[EventID],F3776,tblSource[ReleaseStatus],"APPROVED")=1,COUNTIFS(Period_Status!$A$2:$A$8,G3776,Period_Status!$B$2:$B$8,"ActualClosed")=1,C3776&gt;EOMONTH(Settlement_Bridge!$C$2,0)),1,0)</f>
        <v>1</v>
      </c>
      <c r="P3776" s="2" t="s">
        <v>10292</v>
      </c>
    </row>
    <row r="3777" spans="1:16" x14ac:dyDescent="0.25">
      <c r="A3777" s="2" t="s">
        <v>10293</v>
      </c>
      <c r="B3777" s="2" t="s">
        <v>7433</v>
      </c>
      <c r="C3777" s="8">
        <v>46262</v>
      </c>
      <c r="D3777" s="6">
        <v>46235</v>
      </c>
      <c r="E3777" s="2" t="s">
        <v>260</v>
      </c>
      <c r="F3777" s="2" t="s">
        <v>10291</v>
      </c>
      <c r="G3777" s="6">
        <v>46204</v>
      </c>
      <c r="H3777" s="2" t="s">
        <v>71</v>
      </c>
      <c r="I3777" s="2" t="s">
        <v>76</v>
      </c>
      <c r="J3777" s="9">
        <v>80793774.193549007</v>
      </c>
      <c r="K3777" s="7">
        <v>6.1500000000000004E-5</v>
      </c>
      <c r="L3777" s="9">
        <v>4968.82</v>
      </c>
      <c r="M3777" s="9">
        <v>5009.21</v>
      </c>
      <c r="N3777" s="9">
        <v>2.73</v>
      </c>
      <c r="O3777" s="10">
        <f>IF(AND(OR(H3777="APPROVED",H3777="SCHEDULED"),COUNTIFS(tblSource[EventID],F3777,tblSource[ReleaseStatus],"APPROVED")=1,COUNTIFS(Period_Status!$A$2:$A$8,G3777,Period_Status!$B$2:$B$8,"ActualClosed")=1,C3777&gt;EOMONTH(Settlement_Bridge!$C$2,0)),1,0)</f>
        <v>1</v>
      </c>
      <c r="P3777" s="2" t="s">
        <v>10294</v>
      </c>
    </row>
    <row r="3778" spans="1:16" x14ac:dyDescent="0.25">
      <c r="A3778" s="2" t="s">
        <v>10295</v>
      </c>
      <c r="B3778" s="2" t="s">
        <v>7433</v>
      </c>
      <c r="C3778" s="8">
        <v>46238</v>
      </c>
      <c r="D3778" s="6">
        <v>46235</v>
      </c>
      <c r="E3778" s="2" t="s">
        <v>260</v>
      </c>
      <c r="F3778" s="2" t="s">
        <v>10296</v>
      </c>
      <c r="G3778" s="6">
        <v>46204</v>
      </c>
      <c r="H3778" s="2" t="s">
        <v>71</v>
      </c>
      <c r="I3778" s="2" t="s">
        <v>70</v>
      </c>
      <c r="J3778" s="9">
        <v>5243.4650460000003</v>
      </c>
      <c r="K3778" s="7">
        <v>0.65</v>
      </c>
      <c r="L3778" s="9">
        <v>3408.25</v>
      </c>
      <c r="M3778" s="9">
        <v>3450.2</v>
      </c>
      <c r="N3778" s="9">
        <v>1.87</v>
      </c>
      <c r="O3778" s="10">
        <f>IF(AND(OR(H3778="APPROVED",H3778="SCHEDULED"),COUNTIFS(tblSource[EventID],F3778,tblSource[ReleaseStatus],"APPROVED")=1,COUNTIFS(Period_Status!$A$2:$A$8,G3778,Period_Status!$B$2:$B$8,"ActualClosed")=1,C3778&gt;EOMONTH(Settlement_Bridge!$C$2,0)),1,0)</f>
        <v>1</v>
      </c>
      <c r="P3778" s="2" t="s">
        <v>10297</v>
      </c>
    </row>
    <row r="3779" spans="1:16" x14ac:dyDescent="0.25">
      <c r="A3779" s="2" t="s">
        <v>10298</v>
      </c>
      <c r="B3779" s="2" t="s">
        <v>7433</v>
      </c>
      <c r="C3779" s="8">
        <v>46263</v>
      </c>
      <c r="D3779" s="6">
        <v>46235</v>
      </c>
      <c r="E3779" s="2" t="s">
        <v>260</v>
      </c>
      <c r="F3779" s="2" t="s">
        <v>10296</v>
      </c>
      <c r="G3779" s="6">
        <v>46204</v>
      </c>
      <c r="H3779" s="2" t="s">
        <v>71</v>
      </c>
      <c r="I3779" s="2" t="s">
        <v>70</v>
      </c>
      <c r="J3779" s="9">
        <v>7865.1975679999996</v>
      </c>
      <c r="K3779" s="7">
        <v>0.65</v>
      </c>
      <c r="L3779" s="9">
        <v>5112.38</v>
      </c>
      <c r="M3779" s="9">
        <v>5175.3</v>
      </c>
      <c r="N3779" s="9">
        <v>2.81</v>
      </c>
      <c r="O3779" s="10">
        <f>IF(AND(OR(H3779="APPROVED",H3779="SCHEDULED"),COUNTIFS(tblSource[EventID],F3779,tblSource[ReleaseStatus],"APPROVED")=1,COUNTIFS(Period_Status!$A$2:$A$8,G3779,Period_Status!$B$2:$B$8,"ActualClosed")=1,C3779&gt;EOMONTH(Settlement_Bridge!$C$2,0)),1,0)</f>
        <v>1</v>
      </c>
      <c r="P3779" s="2" t="s">
        <v>10299</v>
      </c>
    </row>
    <row r="3780" spans="1:16" x14ac:dyDescent="0.25">
      <c r="A3780" s="2" t="s">
        <v>10300</v>
      </c>
      <c r="B3780" s="2" t="s">
        <v>7433</v>
      </c>
      <c r="C3780" s="8">
        <v>46239</v>
      </c>
      <c r="D3780" s="6">
        <v>46235</v>
      </c>
      <c r="E3780" s="2" t="s">
        <v>260</v>
      </c>
      <c r="F3780" s="2" t="s">
        <v>10301</v>
      </c>
      <c r="G3780" s="6">
        <v>46204</v>
      </c>
      <c r="H3780" s="2" t="s">
        <v>71</v>
      </c>
      <c r="I3780" s="2" t="s">
        <v>39</v>
      </c>
      <c r="J3780" s="9">
        <v>3560.9279999999999</v>
      </c>
      <c r="K3780" s="7">
        <v>1</v>
      </c>
      <c r="L3780" s="9">
        <v>3560.93</v>
      </c>
      <c r="M3780" s="9">
        <v>3560.93</v>
      </c>
      <c r="N3780" s="9">
        <v>1.96</v>
      </c>
      <c r="O3780" s="10">
        <f>IF(AND(OR(H3780="APPROVED",H3780="SCHEDULED"),COUNTIFS(tblSource[EventID],F3780,tblSource[ReleaseStatus],"APPROVED")=1,COUNTIFS(Period_Status!$A$2:$A$8,G3780,Period_Status!$B$2:$B$8,"ActualClosed")=1,C3780&gt;EOMONTH(Settlement_Bridge!$C$2,0)),1,0)</f>
        <v>1</v>
      </c>
      <c r="P3780" s="2" t="s">
        <v>10302</v>
      </c>
    </row>
    <row r="3781" spans="1:16" x14ac:dyDescent="0.25">
      <c r="A3781" s="2" t="s">
        <v>10303</v>
      </c>
      <c r="B3781" s="2" t="s">
        <v>7433</v>
      </c>
      <c r="C3781" s="8">
        <v>46264</v>
      </c>
      <c r="D3781" s="6">
        <v>46235</v>
      </c>
      <c r="E3781" s="2" t="s">
        <v>260</v>
      </c>
      <c r="F3781" s="2" t="s">
        <v>10301</v>
      </c>
      <c r="G3781" s="6">
        <v>46204</v>
      </c>
      <c r="H3781" s="2" t="s">
        <v>71</v>
      </c>
      <c r="I3781" s="2" t="s">
        <v>39</v>
      </c>
      <c r="J3781" s="9">
        <v>5341.3919999999998</v>
      </c>
      <c r="K3781" s="7">
        <v>1</v>
      </c>
      <c r="L3781" s="9">
        <v>5341.39</v>
      </c>
      <c r="M3781" s="9">
        <v>5341.39</v>
      </c>
      <c r="N3781" s="9">
        <v>2.94</v>
      </c>
      <c r="O3781" s="10">
        <f>IF(AND(OR(H3781="APPROVED",H3781="SCHEDULED"),COUNTIFS(tblSource[EventID],F3781,tblSource[ReleaseStatus],"APPROVED")=1,COUNTIFS(Period_Status!$A$2:$A$8,G3781,Period_Status!$B$2:$B$8,"ActualClosed")=1,C3781&gt;EOMONTH(Settlement_Bridge!$C$2,0)),1,0)</f>
        <v>1</v>
      </c>
      <c r="P3781" s="2" t="s">
        <v>10304</v>
      </c>
    </row>
    <row r="3782" spans="1:16" x14ac:dyDescent="0.25">
      <c r="A3782" s="2" t="s">
        <v>10305</v>
      </c>
      <c r="B3782" s="2" t="s">
        <v>7433</v>
      </c>
      <c r="C3782" s="8">
        <v>46240</v>
      </c>
      <c r="D3782" s="6">
        <v>46235</v>
      </c>
      <c r="E3782" s="2" t="s">
        <v>260</v>
      </c>
      <c r="F3782" s="2" t="s">
        <v>10306</v>
      </c>
      <c r="G3782" s="6">
        <v>46204</v>
      </c>
      <c r="H3782" s="2" t="s">
        <v>71</v>
      </c>
      <c r="I3782" s="2" t="s">
        <v>76</v>
      </c>
      <c r="J3782" s="9">
        <v>59220258.064516</v>
      </c>
      <c r="K3782" s="7">
        <v>6.1500000000000004E-5</v>
      </c>
      <c r="L3782" s="9">
        <v>3642.05</v>
      </c>
      <c r="M3782" s="9">
        <v>3671.66</v>
      </c>
      <c r="N3782" s="9">
        <v>2</v>
      </c>
      <c r="O3782" s="10">
        <f>IF(AND(OR(H3782="APPROVED",H3782="SCHEDULED"),COUNTIFS(tblSource[EventID],F3782,tblSource[ReleaseStatus],"APPROVED")=1,COUNTIFS(Period_Status!$A$2:$A$8,G3782,Period_Status!$B$2:$B$8,"ActualClosed")=1,C3782&gt;EOMONTH(Settlement_Bridge!$C$2,0)),1,0)</f>
        <v>1</v>
      </c>
      <c r="P3782" s="2" t="s">
        <v>10307</v>
      </c>
    </row>
    <row r="3783" spans="1:16" x14ac:dyDescent="0.25">
      <c r="A3783" s="2" t="s">
        <v>10308</v>
      </c>
      <c r="B3783" s="2" t="s">
        <v>7433</v>
      </c>
      <c r="C3783" s="8">
        <v>46265</v>
      </c>
      <c r="D3783" s="6">
        <v>46235</v>
      </c>
      <c r="E3783" s="2" t="s">
        <v>260</v>
      </c>
      <c r="F3783" s="2" t="s">
        <v>10306</v>
      </c>
      <c r="G3783" s="6">
        <v>46204</v>
      </c>
      <c r="H3783" s="2" t="s">
        <v>71</v>
      </c>
      <c r="I3783" s="2" t="s">
        <v>76</v>
      </c>
      <c r="J3783" s="9">
        <v>88830387.096773997</v>
      </c>
      <c r="K3783" s="7">
        <v>6.1500000000000004E-5</v>
      </c>
      <c r="L3783" s="9">
        <v>5463.07</v>
      </c>
      <c r="M3783" s="9">
        <v>5507.48</v>
      </c>
      <c r="N3783" s="9">
        <v>3</v>
      </c>
      <c r="O3783" s="10">
        <f>IF(AND(OR(H3783="APPROVED",H3783="SCHEDULED"),COUNTIFS(tblSource[EventID],F3783,tblSource[ReleaseStatus],"APPROVED")=1,COUNTIFS(Period_Status!$A$2:$A$8,G3783,Period_Status!$B$2:$B$8,"ActualClosed")=1,C3783&gt;EOMONTH(Settlement_Bridge!$C$2,0)),1,0)</f>
        <v>1</v>
      </c>
      <c r="P3783" s="2" t="s">
        <v>10309</v>
      </c>
    </row>
    <row r="3784" spans="1:16" x14ac:dyDescent="0.25">
      <c r="A3784" s="2" t="s">
        <v>10310</v>
      </c>
      <c r="B3784" s="2" t="s">
        <v>7433</v>
      </c>
      <c r="C3784" s="8">
        <v>46241</v>
      </c>
      <c r="D3784" s="6">
        <v>46235</v>
      </c>
      <c r="E3784" s="2" t="s">
        <v>260</v>
      </c>
      <c r="F3784" s="2" t="s">
        <v>10311</v>
      </c>
      <c r="G3784" s="6">
        <v>46204</v>
      </c>
      <c r="H3784" s="2" t="s">
        <v>71</v>
      </c>
      <c r="I3784" s="2" t="s">
        <v>70</v>
      </c>
      <c r="J3784" s="9">
        <v>5747.3556230000004</v>
      </c>
      <c r="K3784" s="7">
        <v>0.65</v>
      </c>
      <c r="L3784" s="9">
        <v>3735.78</v>
      </c>
      <c r="M3784" s="9">
        <v>3781.76</v>
      </c>
      <c r="N3784" s="9">
        <v>2.0499999999999998</v>
      </c>
      <c r="O3784" s="10">
        <f>IF(AND(OR(H3784="APPROVED",H3784="SCHEDULED"),COUNTIFS(tblSource[EventID],F3784,tblSource[ReleaseStatus],"APPROVED")=1,COUNTIFS(Period_Status!$A$2:$A$8,G3784,Period_Status!$B$2:$B$8,"ActualClosed")=1,C3784&gt;EOMONTH(Settlement_Bridge!$C$2,0)),1,0)</f>
        <v>1</v>
      </c>
      <c r="P3784" s="2" t="s">
        <v>10312</v>
      </c>
    </row>
    <row r="3785" spans="1:16" x14ac:dyDescent="0.25">
      <c r="A3785" s="2" t="s">
        <v>10313</v>
      </c>
      <c r="B3785" s="2" t="s">
        <v>7433</v>
      </c>
      <c r="C3785" s="8">
        <v>46266</v>
      </c>
      <c r="D3785" s="6">
        <v>46266</v>
      </c>
      <c r="E3785" s="2" t="s">
        <v>260</v>
      </c>
      <c r="F3785" s="2" t="s">
        <v>10311</v>
      </c>
      <c r="G3785" s="6">
        <v>46204</v>
      </c>
      <c r="H3785" s="2" t="s">
        <v>176</v>
      </c>
      <c r="I3785" s="2" t="s">
        <v>70</v>
      </c>
      <c r="J3785" s="9">
        <v>8621.0334349999994</v>
      </c>
      <c r="K3785" s="7">
        <v>0.65100000000000002</v>
      </c>
      <c r="L3785" s="9">
        <v>5612.29</v>
      </c>
      <c r="M3785" s="9">
        <v>5672.64</v>
      </c>
      <c r="N3785" s="9">
        <v>3.09</v>
      </c>
      <c r="O3785" s="10">
        <f>IF(AND(OR(H3785="APPROVED",H3785="SCHEDULED"),COUNTIFS(tblSource[EventID],F3785,tblSource[ReleaseStatus],"APPROVED")=1,COUNTIFS(Period_Status!$A$2:$A$8,G3785,Period_Status!$B$2:$B$8,"ActualClosed")=1,C3785&gt;EOMONTH(Settlement_Bridge!$C$2,0)),1,0)</f>
        <v>1</v>
      </c>
      <c r="P3785" s="2" t="s">
        <v>10314</v>
      </c>
    </row>
    <row r="3786" spans="1:16" x14ac:dyDescent="0.25">
      <c r="A3786" s="2" t="s">
        <v>10315</v>
      </c>
      <c r="B3786" s="2" t="s">
        <v>7433</v>
      </c>
      <c r="C3786" s="8">
        <v>46242</v>
      </c>
      <c r="D3786" s="6">
        <v>46235</v>
      </c>
      <c r="E3786" s="2" t="s">
        <v>260</v>
      </c>
      <c r="F3786" s="2" t="s">
        <v>10316</v>
      </c>
      <c r="G3786" s="6">
        <v>46204</v>
      </c>
      <c r="H3786" s="2" t="s">
        <v>71</v>
      </c>
      <c r="I3786" s="2" t="s">
        <v>39</v>
      </c>
      <c r="J3786" s="9">
        <v>3892.4879999999998</v>
      </c>
      <c r="K3786" s="7">
        <v>1</v>
      </c>
      <c r="L3786" s="9">
        <v>3892.49</v>
      </c>
      <c r="M3786" s="9">
        <v>3892.49</v>
      </c>
      <c r="N3786" s="9">
        <v>2.14</v>
      </c>
      <c r="O3786" s="10">
        <f>IF(AND(OR(H3786="APPROVED",H3786="SCHEDULED"),COUNTIFS(tblSource[EventID],F3786,tblSource[ReleaseStatus],"APPROVED")=1,COUNTIFS(Period_Status!$A$2:$A$8,G3786,Period_Status!$B$2:$B$8,"ActualClosed")=1,C3786&gt;EOMONTH(Settlement_Bridge!$C$2,0)),1,0)</f>
        <v>1</v>
      </c>
      <c r="P3786" s="2" t="s">
        <v>10317</v>
      </c>
    </row>
    <row r="3787" spans="1:16" x14ac:dyDescent="0.25">
      <c r="A3787" s="2" t="s">
        <v>10318</v>
      </c>
      <c r="B3787" s="2" t="s">
        <v>7433</v>
      </c>
      <c r="C3787" s="8">
        <v>46267</v>
      </c>
      <c r="D3787" s="6">
        <v>46266</v>
      </c>
      <c r="E3787" s="2" t="s">
        <v>260</v>
      </c>
      <c r="F3787" s="2" t="s">
        <v>10316</v>
      </c>
      <c r="G3787" s="6">
        <v>46204</v>
      </c>
      <c r="H3787" s="2" t="s">
        <v>176</v>
      </c>
      <c r="I3787" s="2" t="s">
        <v>39</v>
      </c>
      <c r="J3787" s="9">
        <v>5838.732</v>
      </c>
      <c r="K3787" s="7">
        <v>1</v>
      </c>
      <c r="L3787" s="9">
        <v>5838.73</v>
      </c>
      <c r="M3787" s="9">
        <v>5838.73</v>
      </c>
      <c r="N3787" s="9">
        <v>3.21</v>
      </c>
      <c r="O3787" s="10">
        <f>IF(AND(OR(H3787="APPROVED",H3787="SCHEDULED"),COUNTIFS(tblSource[EventID],F3787,tblSource[ReleaseStatus],"APPROVED")=1,COUNTIFS(Period_Status!$A$2:$A$8,G3787,Period_Status!$B$2:$B$8,"ActualClosed")=1,C3787&gt;EOMONTH(Settlement_Bridge!$C$2,0)),1,0)</f>
        <v>1</v>
      </c>
      <c r="P3787" s="2" t="s">
        <v>10319</v>
      </c>
    </row>
    <row r="3788" spans="1:16" x14ac:dyDescent="0.25">
      <c r="A3788" s="2" t="s">
        <v>10320</v>
      </c>
      <c r="B3788" s="2" t="s">
        <v>7433</v>
      </c>
      <c r="C3788" s="8">
        <v>46243</v>
      </c>
      <c r="D3788" s="6">
        <v>46235</v>
      </c>
      <c r="E3788" s="2" t="s">
        <v>260</v>
      </c>
      <c r="F3788" s="2" t="s">
        <v>10321</v>
      </c>
      <c r="G3788" s="6">
        <v>46204</v>
      </c>
      <c r="H3788" s="2" t="s">
        <v>71</v>
      </c>
      <c r="I3788" s="2" t="s">
        <v>76</v>
      </c>
      <c r="J3788" s="9">
        <v>64567935.483870998</v>
      </c>
      <c r="K3788" s="7">
        <v>6.1500000000000004E-5</v>
      </c>
      <c r="L3788" s="9">
        <v>3970.93</v>
      </c>
      <c r="M3788" s="9">
        <v>4003.21</v>
      </c>
      <c r="N3788" s="9">
        <v>2.1800000000000002</v>
      </c>
      <c r="O3788" s="10">
        <f>IF(AND(OR(H3788="APPROVED",H3788="SCHEDULED"),COUNTIFS(tblSource[EventID],F3788,tblSource[ReleaseStatus],"APPROVED")=1,COUNTIFS(Period_Status!$A$2:$A$8,G3788,Period_Status!$B$2:$B$8,"ActualClosed")=1,C3788&gt;EOMONTH(Settlement_Bridge!$C$2,0)),1,0)</f>
        <v>1</v>
      </c>
      <c r="P3788" s="2" t="s">
        <v>10322</v>
      </c>
    </row>
    <row r="3789" spans="1:16" x14ac:dyDescent="0.25">
      <c r="A3789" s="2" t="s">
        <v>10323</v>
      </c>
      <c r="B3789" s="2" t="s">
        <v>7433</v>
      </c>
      <c r="C3789" s="8">
        <v>46268</v>
      </c>
      <c r="D3789" s="6">
        <v>46266</v>
      </c>
      <c r="E3789" s="2" t="s">
        <v>260</v>
      </c>
      <c r="F3789" s="2" t="s">
        <v>10321</v>
      </c>
      <c r="G3789" s="6">
        <v>46204</v>
      </c>
      <c r="H3789" s="2" t="s">
        <v>176</v>
      </c>
      <c r="I3789" s="2" t="s">
        <v>76</v>
      </c>
      <c r="J3789" s="9">
        <v>96851903.225805998</v>
      </c>
      <c r="K3789" s="7">
        <v>6.1299999999999999E-5</v>
      </c>
      <c r="L3789" s="9">
        <v>5937.02</v>
      </c>
      <c r="M3789" s="9">
        <v>6004.82</v>
      </c>
      <c r="N3789" s="9">
        <v>3.27</v>
      </c>
      <c r="O3789" s="10">
        <f>IF(AND(OR(H3789="APPROVED",H3789="SCHEDULED"),COUNTIFS(tblSource[EventID],F3789,tblSource[ReleaseStatus],"APPROVED")=1,COUNTIFS(Period_Status!$A$2:$A$8,G3789,Period_Status!$B$2:$B$8,"ActualClosed")=1,C3789&gt;EOMONTH(Settlement_Bridge!$C$2,0)),1,0)</f>
        <v>1</v>
      </c>
      <c r="P3789" s="2" t="s">
        <v>10324</v>
      </c>
    </row>
    <row r="3790" spans="1:16" x14ac:dyDescent="0.25">
      <c r="A3790" s="2" t="s">
        <v>10325</v>
      </c>
      <c r="B3790" s="2" t="s">
        <v>7433</v>
      </c>
      <c r="C3790" s="8">
        <v>46244</v>
      </c>
      <c r="D3790" s="6">
        <v>46235</v>
      </c>
      <c r="E3790" s="2" t="s">
        <v>260</v>
      </c>
      <c r="F3790" s="2" t="s">
        <v>10326</v>
      </c>
      <c r="G3790" s="6">
        <v>46204</v>
      </c>
      <c r="H3790" s="2" t="s">
        <v>71</v>
      </c>
      <c r="I3790" s="2" t="s">
        <v>70</v>
      </c>
      <c r="J3790" s="9">
        <v>6252.1884499999996</v>
      </c>
      <c r="K3790" s="7">
        <v>0.65</v>
      </c>
      <c r="L3790" s="9">
        <v>4063.92</v>
      </c>
      <c r="M3790" s="9">
        <v>4113.9399999999996</v>
      </c>
      <c r="N3790" s="9">
        <v>2.2400000000000002</v>
      </c>
      <c r="O3790" s="10">
        <f>IF(AND(OR(H3790="APPROVED",H3790="SCHEDULED"),COUNTIFS(tblSource[EventID],F3790,tblSource[ReleaseStatus],"APPROVED")=1,COUNTIFS(Period_Status!$A$2:$A$8,G3790,Period_Status!$B$2:$B$8,"ActualClosed")=1,C3790&gt;EOMONTH(Settlement_Bridge!$C$2,0)),1,0)</f>
        <v>1</v>
      </c>
      <c r="P3790" s="2" t="s">
        <v>10327</v>
      </c>
    </row>
    <row r="3791" spans="1:16" x14ac:dyDescent="0.25">
      <c r="A3791" s="2" t="s">
        <v>10328</v>
      </c>
      <c r="B3791" s="2" t="s">
        <v>7433</v>
      </c>
      <c r="C3791" s="8">
        <v>46269</v>
      </c>
      <c r="D3791" s="6">
        <v>46266</v>
      </c>
      <c r="E3791" s="2" t="s">
        <v>260</v>
      </c>
      <c r="F3791" s="2" t="s">
        <v>10326</v>
      </c>
      <c r="G3791" s="6">
        <v>46204</v>
      </c>
      <c r="H3791" s="2" t="s">
        <v>176</v>
      </c>
      <c r="I3791" s="2" t="s">
        <v>70</v>
      </c>
      <c r="J3791" s="9">
        <v>9378.2826750000004</v>
      </c>
      <c r="K3791" s="7">
        <v>0.65100000000000002</v>
      </c>
      <c r="L3791" s="9">
        <v>6105.26</v>
      </c>
      <c r="M3791" s="9">
        <v>6170.91</v>
      </c>
      <c r="N3791" s="9">
        <v>3.36</v>
      </c>
      <c r="O3791" s="10">
        <f>IF(AND(OR(H3791="APPROVED",H3791="SCHEDULED"),COUNTIFS(tblSource[EventID],F3791,tblSource[ReleaseStatus],"APPROVED")=1,COUNTIFS(Period_Status!$A$2:$A$8,G3791,Period_Status!$B$2:$B$8,"ActualClosed")=1,C3791&gt;EOMONTH(Settlement_Bridge!$C$2,0)),1,0)</f>
        <v>1</v>
      </c>
      <c r="P3791" s="2" t="s">
        <v>10329</v>
      </c>
    </row>
    <row r="3792" spans="1:16" x14ac:dyDescent="0.25">
      <c r="A3792" s="2" t="s">
        <v>10330</v>
      </c>
      <c r="B3792" s="2" t="s">
        <v>7433</v>
      </c>
      <c r="C3792" s="8">
        <v>46245</v>
      </c>
      <c r="D3792" s="6">
        <v>46235</v>
      </c>
      <c r="E3792" s="2" t="s">
        <v>260</v>
      </c>
      <c r="F3792" s="2" t="s">
        <v>10331</v>
      </c>
      <c r="G3792" s="6">
        <v>46204</v>
      </c>
      <c r="H3792" s="2" t="s">
        <v>71</v>
      </c>
      <c r="I3792" s="2" t="s">
        <v>39</v>
      </c>
      <c r="J3792" s="9">
        <v>4224.6639999999998</v>
      </c>
      <c r="K3792" s="7">
        <v>1</v>
      </c>
      <c r="L3792" s="9">
        <v>4224.66</v>
      </c>
      <c r="M3792" s="9">
        <v>4224.66</v>
      </c>
      <c r="N3792" s="9">
        <v>2.3199999999999998</v>
      </c>
      <c r="O3792" s="10">
        <f>IF(AND(OR(H3792="APPROVED",H3792="SCHEDULED"),COUNTIFS(tblSource[EventID],F3792,tblSource[ReleaseStatus],"APPROVED")=1,COUNTIFS(Period_Status!$A$2:$A$8,G3792,Period_Status!$B$2:$B$8,"ActualClosed")=1,C3792&gt;EOMONTH(Settlement_Bridge!$C$2,0)),1,0)</f>
        <v>1</v>
      </c>
      <c r="P3792" s="2" t="s">
        <v>10332</v>
      </c>
    </row>
    <row r="3793" spans="1:16" x14ac:dyDescent="0.25">
      <c r="A3793" s="2" t="s">
        <v>10333</v>
      </c>
      <c r="B3793" s="2" t="s">
        <v>7433</v>
      </c>
      <c r="C3793" s="8">
        <v>46270</v>
      </c>
      <c r="D3793" s="6">
        <v>46266</v>
      </c>
      <c r="E3793" s="2" t="s">
        <v>260</v>
      </c>
      <c r="F3793" s="2" t="s">
        <v>10331</v>
      </c>
      <c r="G3793" s="6">
        <v>46204</v>
      </c>
      <c r="H3793" s="2" t="s">
        <v>176</v>
      </c>
      <c r="I3793" s="2" t="s">
        <v>39</v>
      </c>
      <c r="J3793" s="9">
        <v>6336.9960000000001</v>
      </c>
      <c r="K3793" s="7">
        <v>1</v>
      </c>
      <c r="L3793" s="9">
        <v>6337</v>
      </c>
      <c r="M3793" s="9">
        <v>6337</v>
      </c>
      <c r="N3793" s="9">
        <v>3.49</v>
      </c>
      <c r="O3793" s="10">
        <f>IF(AND(OR(H3793="APPROVED",H3793="SCHEDULED"),COUNTIFS(tblSource[EventID],F3793,tblSource[ReleaseStatus],"APPROVED")=1,COUNTIFS(Period_Status!$A$2:$A$8,G3793,Period_Status!$B$2:$B$8,"ActualClosed")=1,C3793&gt;EOMONTH(Settlement_Bridge!$C$2,0)),1,0)</f>
        <v>1</v>
      </c>
      <c r="P3793" s="2" t="s">
        <v>10334</v>
      </c>
    </row>
    <row r="3794" spans="1:16" x14ac:dyDescent="0.25">
      <c r="A3794" s="2" t="s">
        <v>10335</v>
      </c>
      <c r="B3794" s="2" t="s">
        <v>7433</v>
      </c>
      <c r="C3794" s="8">
        <v>46246</v>
      </c>
      <c r="D3794" s="6">
        <v>46235</v>
      </c>
      <c r="E3794" s="2" t="s">
        <v>260</v>
      </c>
      <c r="F3794" s="2" t="s">
        <v>10336</v>
      </c>
      <c r="G3794" s="6">
        <v>46204</v>
      </c>
      <c r="H3794" s="2" t="s">
        <v>71</v>
      </c>
      <c r="I3794" s="2" t="s">
        <v>76</v>
      </c>
      <c r="J3794" s="9">
        <v>69925677.419355005</v>
      </c>
      <c r="K3794" s="7">
        <v>6.1500000000000004E-5</v>
      </c>
      <c r="L3794" s="9">
        <v>4300.43</v>
      </c>
      <c r="M3794" s="9">
        <v>4335.3900000000003</v>
      </c>
      <c r="N3794" s="9">
        <v>2.37</v>
      </c>
      <c r="O3794" s="10">
        <f>IF(AND(OR(H3794="APPROVED",H3794="SCHEDULED"),COUNTIFS(tblSource[EventID],F3794,tblSource[ReleaseStatus],"APPROVED")=1,COUNTIFS(Period_Status!$A$2:$A$8,G3794,Period_Status!$B$2:$B$8,"ActualClosed")=1,C3794&gt;EOMONTH(Settlement_Bridge!$C$2,0)),1,0)</f>
        <v>1</v>
      </c>
      <c r="P3794" s="2" t="s">
        <v>10337</v>
      </c>
    </row>
    <row r="3795" spans="1:16" x14ac:dyDescent="0.25">
      <c r="A3795" s="2" t="s">
        <v>10338</v>
      </c>
      <c r="B3795" s="2" t="s">
        <v>7433</v>
      </c>
      <c r="C3795" s="8">
        <v>46271</v>
      </c>
      <c r="D3795" s="6">
        <v>46266</v>
      </c>
      <c r="E3795" s="2" t="s">
        <v>260</v>
      </c>
      <c r="F3795" s="2" t="s">
        <v>10336</v>
      </c>
      <c r="G3795" s="6">
        <v>46204</v>
      </c>
      <c r="H3795" s="2" t="s">
        <v>176</v>
      </c>
      <c r="I3795" s="2" t="s">
        <v>76</v>
      </c>
      <c r="J3795" s="9">
        <v>104888516.129032</v>
      </c>
      <c r="K3795" s="7">
        <v>6.1299999999999999E-5</v>
      </c>
      <c r="L3795" s="9">
        <v>6429.67</v>
      </c>
      <c r="M3795" s="9">
        <v>6503.09</v>
      </c>
      <c r="N3795" s="9">
        <v>3.54</v>
      </c>
      <c r="O3795" s="10">
        <f>IF(AND(OR(H3795="APPROVED",H3795="SCHEDULED"),COUNTIFS(tblSource[EventID],F3795,tblSource[ReleaseStatus],"APPROVED")=1,COUNTIFS(Period_Status!$A$2:$A$8,G3795,Period_Status!$B$2:$B$8,"ActualClosed")=1,C3795&gt;EOMONTH(Settlement_Bridge!$C$2,0)),1,0)</f>
        <v>1</v>
      </c>
      <c r="P3795" s="2" t="s">
        <v>10339</v>
      </c>
    </row>
    <row r="3796" spans="1:16" x14ac:dyDescent="0.25">
      <c r="A3796" s="2" t="s">
        <v>10340</v>
      </c>
      <c r="B3796" s="2" t="s">
        <v>7433</v>
      </c>
      <c r="C3796" s="8">
        <v>46247</v>
      </c>
      <c r="D3796" s="6">
        <v>46235</v>
      </c>
      <c r="E3796" s="2" t="s">
        <v>260</v>
      </c>
      <c r="F3796" s="2" t="s">
        <v>10341</v>
      </c>
      <c r="G3796" s="6">
        <v>46204</v>
      </c>
      <c r="H3796" s="2" t="s">
        <v>71</v>
      </c>
      <c r="I3796" s="2" t="s">
        <v>70</v>
      </c>
      <c r="J3796" s="9">
        <v>6757.0212760000004</v>
      </c>
      <c r="K3796" s="7">
        <v>0.65</v>
      </c>
      <c r="L3796" s="9">
        <v>4392.0600000000004</v>
      </c>
      <c r="M3796" s="9">
        <v>4446.12</v>
      </c>
      <c r="N3796" s="9">
        <v>2.42</v>
      </c>
      <c r="O3796" s="10">
        <f>IF(AND(OR(H3796="APPROVED",H3796="SCHEDULED"),COUNTIFS(tblSource[EventID],F3796,tblSource[ReleaseStatus],"APPROVED")=1,COUNTIFS(Period_Status!$A$2:$A$8,G3796,Period_Status!$B$2:$B$8,"ActualClosed")=1,C3796&gt;EOMONTH(Settlement_Bridge!$C$2,0)),1,0)</f>
        <v>1</v>
      </c>
      <c r="P3796" s="2" t="s">
        <v>10342</v>
      </c>
    </row>
    <row r="3797" spans="1:16" x14ac:dyDescent="0.25">
      <c r="A3797" s="2" t="s">
        <v>10343</v>
      </c>
      <c r="B3797" s="2" t="s">
        <v>7433</v>
      </c>
      <c r="C3797" s="8">
        <v>46272</v>
      </c>
      <c r="D3797" s="6">
        <v>46266</v>
      </c>
      <c r="E3797" s="2" t="s">
        <v>260</v>
      </c>
      <c r="F3797" s="2" t="s">
        <v>10341</v>
      </c>
      <c r="G3797" s="6">
        <v>46204</v>
      </c>
      <c r="H3797" s="2" t="s">
        <v>176</v>
      </c>
      <c r="I3797" s="2" t="s">
        <v>70</v>
      </c>
      <c r="J3797" s="9">
        <v>10135.531915</v>
      </c>
      <c r="K3797" s="7">
        <v>0.65100000000000002</v>
      </c>
      <c r="L3797" s="9">
        <v>6598.23</v>
      </c>
      <c r="M3797" s="9">
        <v>6669.18</v>
      </c>
      <c r="N3797" s="9">
        <v>3.63</v>
      </c>
      <c r="O3797" s="10">
        <f>IF(AND(OR(H3797="APPROVED",H3797="SCHEDULED"),COUNTIFS(tblSource[EventID],F3797,tblSource[ReleaseStatus],"APPROVED")=1,COUNTIFS(Period_Status!$A$2:$A$8,G3797,Period_Status!$B$2:$B$8,"ActualClosed")=1,C3797&gt;EOMONTH(Settlement_Bridge!$C$2,0)),1,0)</f>
        <v>1</v>
      </c>
      <c r="P3797" s="2" t="s">
        <v>10344</v>
      </c>
    </row>
    <row r="3798" spans="1:16" x14ac:dyDescent="0.25">
      <c r="A3798" s="2" t="s">
        <v>10345</v>
      </c>
      <c r="B3798" s="2" t="s">
        <v>7433</v>
      </c>
      <c r="C3798" s="8">
        <v>46248</v>
      </c>
      <c r="D3798" s="6">
        <v>46235</v>
      </c>
      <c r="E3798" s="2" t="s">
        <v>260</v>
      </c>
      <c r="F3798" s="2" t="s">
        <v>10346</v>
      </c>
      <c r="G3798" s="6">
        <v>46204</v>
      </c>
      <c r="H3798" s="2" t="s">
        <v>71</v>
      </c>
      <c r="I3798" s="2" t="s">
        <v>39</v>
      </c>
      <c r="J3798" s="9">
        <v>4556.8440000000001</v>
      </c>
      <c r="K3798" s="7">
        <v>1</v>
      </c>
      <c r="L3798" s="9">
        <v>4556.84</v>
      </c>
      <c r="M3798" s="9">
        <v>4556.84</v>
      </c>
      <c r="N3798" s="9">
        <v>2.5099999999999998</v>
      </c>
      <c r="O3798" s="10">
        <f>IF(AND(OR(H3798="APPROVED",H3798="SCHEDULED"),COUNTIFS(tblSource[EventID],F3798,tblSource[ReleaseStatus],"APPROVED")=1,COUNTIFS(Period_Status!$A$2:$A$8,G3798,Period_Status!$B$2:$B$8,"ActualClosed")=1,C3798&gt;EOMONTH(Settlement_Bridge!$C$2,0)),1,0)</f>
        <v>1</v>
      </c>
      <c r="P3798" s="2" t="s">
        <v>10347</v>
      </c>
    </row>
    <row r="3799" spans="1:16" x14ac:dyDescent="0.25">
      <c r="A3799" s="2" t="s">
        <v>10348</v>
      </c>
      <c r="B3799" s="2" t="s">
        <v>7433</v>
      </c>
      <c r="C3799" s="8">
        <v>46273</v>
      </c>
      <c r="D3799" s="6">
        <v>46266</v>
      </c>
      <c r="E3799" s="2" t="s">
        <v>260</v>
      </c>
      <c r="F3799" s="2" t="s">
        <v>10346</v>
      </c>
      <c r="G3799" s="6">
        <v>46204</v>
      </c>
      <c r="H3799" s="2" t="s">
        <v>176</v>
      </c>
      <c r="I3799" s="2" t="s">
        <v>39</v>
      </c>
      <c r="J3799" s="9">
        <v>6835.2659999999996</v>
      </c>
      <c r="K3799" s="7">
        <v>1</v>
      </c>
      <c r="L3799" s="9">
        <v>6835.27</v>
      </c>
      <c r="M3799" s="9">
        <v>6835.27</v>
      </c>
      <c r="N3799" s="9">
        <v>3.76</v>
      </c>
      <c r="O3799" s="10">
        <f>IF(AND(OR(H3799="APPROVED",H3799="SCHEDULED"),COUNTIFS(tblSource[EventID],F3799,tblSource[ReleaseStatus],"APPROVED")=1,COUNTIFS(Period_Status!$A$2:$A$8,G3799,Period_Status!$B$2:$B$8,"ActualClosed")=1,C3799&gt;EOMONTH(Settlement_Bridge!$C$2,0)),1,0)</f>
        <v>1</v>
      </c>
      <c r="P3799" s="2" t="s">
        <v>10349</v>
      </c>
    </row>
    <row r="3800" spans="1:16" x14ac:dyDescent="0.25">
      <c r="A3800" s="2" t="s">
        <v>10350</v>
      </c>
      <c r="B3800" s="2" t="s">
        <v>7433</v>
      </c>
      <c r="C3800" s="8">
        <v>46218</v>
      </c>
      <c r="D3800" s="6">
        <v>46204</v>
      </c>
      <c r="E3800" s="2" t="s">
        <v>260</v>
      </c>
      <c r="F3800" s="2" t="s">
        <v>10351</v>
      </c>
      <c r="G3800" s="6">
        <v>46204</v>
      </c>
      <c r="H3800" s="2" t="s">
        <v>71</v>
      </c>
      <c r="I3800" s="2" t="s">
        <v>76</v>
      </c>
      <c r="J3800" s="9">
        <v>75283419.354838997</v>
      </c>
      <c r="K3800" s="7">
        <v>6.2000000000000003E-5</v>
      </c>
      <c r="L3800" s="9">
        <v>4667.57</v>
      </c>
      <c r="M3800" s="9">
        <v>4667.57</v>
      </c>
      <c r="N3800" s="9">
        <v>2.57</v>
      </c>
      <c r="O3800" s="10">
        <f>IF(AND(OR(H3800="APPROVED",H3800="SCHEDULED"),COUNTIFS(tblSource[EventID],F3800,tblSource[ReleaseStatus],"APPROVED")=1,COUNTIFS(Period_Status!$A$2:$A$8,G3800,Period_Status!$B$2:$B$8,"ActualClosed")=1,C3800&gt;EOMONTH(Settlement_Bridge!$C$2,0)),1,0)</f>
        <v>0</v>
      </c>
      <c r="P3800" s="2" t="s">
        <v>10352</v>
      </c>
    </row>
    <row r="3801" spans="1:16" x14ac:dyDescent="0.25">
      <c r="A3801" s="2" t="s">
        <v>10353</v>
      </c>
      <c r="B3801" s="2" t="s">
        <v>7433</v>
      </c>
      <c r="C3801" s="8">
        <v>46243</v>
      </c>
      <c r="D3801" s="6">
        <v>46235</v>
      </c>
      <c r="E3801" s="2" t="s">
        <v>260</v>
      </c>
      <c r="F3801" s="2" t="s">
        <v>10351</v>
      </c>
      <c r="G3801" s="6">
        <v>46204</v>
      </c>
      <c r="H3801" s="2" t="s">
        <v>71</v>
      </c>
      <c r="I3801" s="2" t="s">
        <v>76</v>
      </c>
      <c r="J3801" s="9">
        <v>112925129.032258</v>
      </c>
      <c r="K3801" s="7">
        <v>6.1500000000000004E-5</v>
      </c>
      <c r="L3801" s="9">
        <v>6944.9</v>
      </c>
      <c r="M3801" s="9">
        <v>7001.36</v>
      </c>
      <c r="N3801" s="9">
        <v>3.82</v>
      </c>
      <c r="O3801" s="10">
        <f>IF(AND(OR(H3801="APPROVED",H3801="SCHEDULED"),COUNTIFS(tblSource[EventID],F3801,tblSource[ReleaseStatus],"APPROVED")=1,COUNTIFS(Period_Status!$A$2:$A$8,G3801,Period_Status!$B$2:$B$8,"ActualClosed")=1,C3801&gt;EOMONTH(Settlement_Bridge!$C$2,0)),1,0)</f>
        <v>1</v>
      </c>
      <c r="P3801" s="2" t="s">
        <v>10354</v>
      </c>
    </row>
    <row r="3802" spans="1:16" x14ac:dyDescent="0.25">
      <c r="A3802" s="2" t="s">
        <v>10355</v>
      </c>
      <c r="B3802" s="2" t="s">
        <v>7433</v>
      </c>
      <c r="C3802" s="8">
        <v>46219</v>
      </c>
      <c r="D3802" s="6">
        <v>46204</v>
      </c>
      <c r="E3802" s="2" t="s">
        <v>260</v>
      </c>
      <c r="F3802" s="2" t="s">
        <v>10356</v>
      </c>
      <c r="G3802" s="6">
        <v>46204</v>
      </c>
      <c r="H3802" s="2" t="s">
        <v>71</v>
      </c>
      <c r="I3802" s="2" t="s">
        <v>70</v>
      </c>
      <c r="J3802" s="9">
        <v>7261.8541029999997</v>
      </c>
      <c r="K3802" s="7">
        <v>0.65800000000000003</v>
      </c>
      <c r="L3802" s="9">
        <v>4778.3</v>
      </c>
      <c r="M3802" s="9">
        <v>4778.3</v>
      </c>
      <c r="N3802" s="9">
        <v>2.63</v>
      </c>
      <c r="O3802" s="10">
        <f>IF(AND(OR(H3802="APPROVED",H3802="SCHEDULED"),COUNTIFS(tblSource[EventID],F3802,tblSource[ReleaseStatus],"APPROVED")=1,COUNTIFS(Period_Status!$A$2:$A$8,G3802,Period_Status!$B$2:$B$8,"ActualClosed")=1,C3802&gt;EOMONTH(Settlement_Bridge!$C$2,0)),1,0)</f>
        <v>0</v>
      </c>
      <c r="P3802" s="2" t="s">
        <v>10357</v>
      </c>
    </row>
    <row r="3803" spans="1:16" x14ac:dyDescent="0.25">
      <c r="A3803" s="2" t="s">
        <v>10358</v>
      </c>
      <c r="B3803" s="2" t="s">
        <v>7433</v>
      </c>
      <c r="C3803" s="8">
        <v>46244</v>
      </c>
      <c r="D3803" s="6">
        <v>46235</v>
      </c>
      <c r="E3803" s="2" t="s">
        <v>260</v>
      </c>
      <c r="F3803" s="2" t="s">
        <v>10356</v>
      </c>
      <c r="G3803" s="6">
        <v>46204</v>
      </c>
      <c r="H3803" s="2" t="s">
        <v>71</v>
      </c>
      <c r="I3803" s="2" t="s">
        <v>70</v>
      </c>
      <c r="J3803" s="9">
        <v>10892.781155000001</v>
      </c>
      <c r="K3803" s="7">
        <v>0.65</v>
      </c>
      <c r="L3803" s="9">
        <v>7080.31</v>
      </c>
      <c r="M3803" s="9">
        <v>7167.45</v>
      </c>
      <c r="N3803" s="9">
        <v>3.89</v>
      </c>
      <c r="O3803" s="10">
        <f>IF(AND(OR(H3803="APPROVED",H3803="SCHEDULED"),COUNTIFS(tblSource[EventID],F3803,tblSource[ReleaseStatus],"APPROVED")=1,COUNTIFS(Period_Status!$A$2:$A$8,G3803,Period_Status!$B$2:$B$8,"ActualClosed")=1,C3803&gt;EOMONTH(Settlement_Bridge!$C$2,0)),1,0)</f>
        <v>1</v>
      </c>
      <c r="P3803" s="2" t="s">
        <v>10359</v>
      </c>
    </row>
    <row r="3804" spans="1:16" x14ac:dyDescent="0.25">
      <c r="A3804" s="2" t="s">
        <v>10360</v>
      </c>
      <c r="B3804" s="2" t="s">
        <v>7433</v>
      </c>
      <c r="C3804" s="8">
        <v>46220</v>
      </c>
      <c r="D3804" s="6">
        <v>46204</v>
      </c>
      <c r="E3804" s="2" t="s">
        <v>260</v>
      </c>
      <c r="F3804" s="2" t="s">
        <v>10361</v>
      </c>
      <c r="G3804" s="6">
        <v>46204</v>
      </c>
      <c r="H3804" s="2" t="s">
        <v>71</v>
      </c>
      <c r="I3804" s="2" t="s">
        <v>39</v>
      </c>
      <c r="J3804" s="9">
        <v>4889.0240000000003</v>
      </c>
      <c r="K3804" s="7">
        <v>1</v>
      </c>
      <c r="L3804" s="9">
        <v>4889.0200000000004</v>
      </c>
      <c r="M3804" s="9">
        <v>4889.0200000000004</v>
      </c>
      <c r="N3804" s="9">
        <v>2.69</v>
      </c>
      <c r="O3804" s="10">
        <f>IF(AND(OR(H3804="APPROVED",H3804="SCHEDULED"),COUNTIFS(tblSource[EventID],F3804,tblSource[ReleaseStatus],"APPROVED")=1,COUNTIFS(Period_Status!$A$2:$A$8,G3804,Period_Status!$B$2:$B$8,"ActualClosed")=1,C3804&gt;EOMONTH(Settlement_Bridge!$C$2,0)),1,0)</f>
        <v>0</v>
      </c>
      <c r="P3804" s="2" t="s">
        <v>10362</v>
      </c>
    </row>
    <row r="3805" spans="1:16" x14ac:dyDescent="0.25">
      <c r="A3805" s="2" t="s">
        <v>10363</v>
      </c>
      <c r="B3805" s="2" t="s">
        <v>7433</v>
      </c>
      <c r="C3805" s="8">
        <v>46245</v>
      </c>
      <c r="D3805" s="6">
        <v>46235</v>
      </c>
      <c r="E3805" s="2" t="s">
        <v>260</v>
      </c>
      <c r="F3805" s="2" t="s">
        <v>10361</v>
      </c>
      <c r="G3805" s="6">
        <v>46204</v>
      </c>
      <c r="H3805" s="2" t="s">
        <v>71</v>
      </c>
      <c r="I3805" s="2" t="s">
        <v>39</v>
      </c>
      <c r="J3805" s="9">
        <v>7333.5360000000001</v>
      </c>
      <c r="K3805" s="7">
        <v>1</v>
      </c>
      <c r="L3805" s="9">
        <v>7333.54</v>
      </c>
      <c r="M3805" s="9">
        <v>7333.54</v>
      </c>
      <c r="N3805" s="9">
        <v>4.03</v>
      </c>
      <c r="O3805" s="10">
        <f>IF(AND(OR(H3805="APPROVED",H3805="SCHEDULED"),COUNTIFS(tblSource[EventID],F3805,tblSource[ReleaseStatus],"APPROVED")=1,COUNTIFS(Period_Status!$A$2:$A$8,G3805,Period_Status!$B$2:$B$8,"ActualClosed")=1,C3805&gt;EOMONTH(Settlement_Bridge!$C$2,0)),1,0)</f>
        <v>1</v>
      </c>
      <c r="P3805" s="2" t="s">
        <v>10364</v>
      </c>
    </row>
    <row r="3806" spans="1:16" x14ac:dyDescent="0.25">
      <c r="A3806" s="2" t="s">
        <v>10365</v>
      </c>
      <c r="B3806" s="2" t="s">
        <v>7433</v>
      </c>
      <c r="C3806" s="8">
        <v>46221</v>
      </c>
      <c r="D3806" s="6">
        <v>46204</v>
      </c>
      <c r="E3806" s="2" t="s">
        <v>260</v>
      </c>
      <c r="F3806" s="2" t="s">
        <v>10366</v>
      </c>
      <c r="G3806" s="6">
        <v>46204</v>
      </c>
      <c r="H3806" s="2" t="s">
        <v>71</v>
      </c>
      <c r="I3806" s="2" t="s">
        <v>76</v>
      </c>
      <c r="J3806" s="9">
        <v>80641161.290322006</v>
      </c>
      <c r="K3806" s="7">
        <v>6.2000000000000003E-5</v>
      </c>
      <c r="L3806" s="9">
        <v>4999.75</v>
      </c>
      <c r="M3806" s="9">
        <v>4999.75</v>
      </c>
      <c r="N3806" s="9">
        <v>2.75</v>
      </c>
      <c r="O3806" s="10">
        <f>IF(AND(OR(H3806="APPROVED",H3806="SCHEDULED"),COUNTIFS(tblSource[EventID],F3806,tblSource[ReleaseStatus],"APPROVED")=1,COUNTIFS(Period_Status!$A$2:$A$8,G3806,Period_Status!$B$2:$B$8,"ActualClosed")=1,C3806&gt;EOMONTH(Settlement_Bridge!$C$2,0)),1,0)</f>
        <v>0</v>
      </c>
      <c r="P3806" s="2" t="s">
        <v>10367</v>
      </c>
    </row>
    <row r="3807" spans="1:16" x14ac:dyDescent="0.25">
      <c r="A3807" s="2" t="s">
        <v>10368</v>
      </c>
      <c r="B3807" s="2" t="s">
        <v>7433</v>
      </c>
      <c r="C3807" s="8">
        <v>46246</v>
      </c>
      <c r="D3807" s="6">
        <v>46235</v>
      </c>
      <c r="E3807" s="2" t="s">
        <v>260</v>
      </c>
      <c r="F3807" s="2" t="s">
        <v>10366</v>
      </c>
      <c r="G3807" s="6">
        <v>46204</v>
      </c>
      <c r="H3807" s="2" t="s">
        <v>71</v>
      </c>
      <c r="I3807" s="2" t="s">
        <v>76</v>
      </c>
      <c r="J3807" s="9">
        <v>120961741.93548401</v>
      </c>
      <c r="K3807" s="7">
        <v>6.1500000000000004E-5</v>
      </c>
      <c r="L3807" s="9">
        <v>7439.15</v>
      </c>
      <c r="M3807" s="9">
        <v>7499.63</v>
      </c>
      <c r="N3807" s="9">
        <v>4.09</v>
      </c>
      <c r="O3807" s="10">
        <f>IF(AND(OR(H3807="APPROVED",H3807="SCHEDULED"),COUNTIFS(tblSource[EventID],F3807,tblSource[ReleaseStatus],"APPROVED")=1,COUNTIFS(Period_Status!$A$2:$A$8,G3807,Period_Status!$B$2:$B$8,"ActualClosed")=1,C3807&gt;EOMONTH(Settlement_Bridge!$C$2,0)),1,0)</f>
        <v>1</v>
      </c>
      <c r="P3807" s="2" t="s">
        <v>10369</v>
      </c>
    </row>
    <row r="3808" spans="1:16" x14ac:dyDescent="0.25">
      <c r="A3808" s="2" t="s">
        <v>10370</v>
      </c>
      <c r="B3808" s="2" t="s">
        <v>7433</v>
      </c>
      <c r="C3808" s="8">
        <v>46222</v>
      </c>
      <c r="D3808" s="6">
        <v>46204</v>
      </c>
      <c r="E3808" s="2" t="s">
        <v>260</v>
      </c>
      <c r="F3808" s="2" t="s">
        <v>10371</v>
      </c>
      <c r="G3808" s="6">
        <v>46204</v>
      </c>
      <c r="H3808" s="2" t="s">
        <v>71</v>
      </c>
      <c r="I3808" s="2" t="s">
        <v>70</v>
      </c>
      <c r="J3808" s="9">
        <v>7766.6869299999998</v>
      </c>
      <c r="K3808" s="7">
        <v>0.65800000000000003</v>
      </c>
      <c r="L3808" s="9">
        <v>5110.4799999999996</v>
      </c>
      <c r="M3808" s="9">
        <v>5110.4799999999996</v>
      </c>
      <c r="N3808" s="9">
        <v>2.81</v>
      </c>
      <c r="O3808" s="10">
        <f>IF(AND(OR(H3808="APPROVED",H3808="SCHEDULED"),COUNTIFS(tblSource[EventID],F3808,tblSource[ReleaseStatus],"APPROVED")=1,COUNTIFS(Period_Status!$A$2:$A$8,G3808,Period_Status!$B$2:$B$8,"ActualClosed")=1,C3808&gt;EOMONTH(Settlement_Bridge!$C$2,0)),1,0)</f>
        <v>0</v>
      </c>
      <c r="P3808" s="2" t="s">
        <v>10372</v>
      </c>
    </row>
    <row r="3809" spans="1:16" x14ac:dyDescent="0.25">
      <c r="A3809" s="2" t="s">
        <v>10373</v>
      </c>
      <c r="B3809" s="2" t="s">
        <v>7433</v>
      </c>
      <c r="C3809" s="8">
        <v>46247</v>
      </c>
      <c r="D3809" s="6">
        <v>46235</v>
      </c>
      <c r="E3809" s="2" t="s">
        <v>260</v>
      </c>
      <c r="F3809" s="2" t="s">
        <v>10371</v>
      </c>
      <c r="G3809" s="6">
        <v>46204</v>
      </c>
      <c r="H3809" s="2" t="s">
        <v>71</v>
      </c>
      <c r="I3809" s="2" t="s">
        <v>70</v>
      </c>
      <c r="J3809" s="9">
        <v>11650.030395</v>
      </c>
      <c r="K3809" s="7">
        <v>0.65</v>
      </c>
      <c r="L3809" s="9">
        <v>7572.52</v>
      </c>
      <c r="M3809" s="9">
        <v>7665.72</v>
      </c>
      <c r="N3809" s="9">
        <v>4.16</v>
      </c>
      <c r="O3809" s="10">
        <f>IF(AND(OR(H3809="APPROVED",H3809="SCHEDULED"),COUNTIFS(tblSource[EventID],F3809,tblSource[ReleaseStatus],"APPROVED")=1,COUNTIFS(Period_Status!$A$2:$A$8,G3809,Period_Status!$B$2:$B$8,"ActualClosed")=1,C3809&gt;EOMONTH(Settlement_Bridge!$C$2,0)),1,0)</f>
        <v>1</v>
      </c>
      <c r="P3809" s="2" t="s">
        <v>10374</v>
      </c>
    </row>
    <row r="3810" spans="1:16" x14ac:dyDescent="0.25">
      <c r="A3810" s="2" t="s">
        <v>10375</v>
      </c>
      <c r="B3810" s="2" t="s">
        <v>7433</v>
      </c>
      <c r="C3810" s="8">
        <v>46223</v>
      </c>
      <c r="D3810" s="6">
        <v>46204</v>
      </c>
      <c r="E3810" s="2" t="s">
        <v>260</v>
      </c>
      <c r="F3810" s="2" t="s">
        <v>10376</v>
      </c>
      <c r="G3810" s="6">
        <v>46204</v>
      </c>
      <c r="H3810" s="2" t="s">
        <v>71</v>
      </c>
      <c r="I3810" s="2" t="s">
        <v>39</v>
      </c>
      <c r="J3810" s="9">
        <v>5221.2039999999997</v>
      </c>
      <c r="K3810" s="7">
        <v>1</v>
      </c>
      <c r="L3810" s="9">
        <v>5221.2</v>
      </c>
      <c r="M3810" s="9">
        <v>5221.2</v>
      </c>
      <c r="N3810" s="9">
        <v>2.87</v>
      </c>
      <c r="O3810" s="10">
        <f>IF(AND(OR(H3810="APPROVED",H3810="SCHEDULED"),COUNTIFS(tblSource[EventID],F3810,tblSource[ReleaseStatus],"APPROVED")=1,COUNTIFS(Period_Status!$A$2:$A$8,G3810,Period_Status!$B$2:$B$8,"ActualClosed")=1,C3810&gt;EOMONTH(Settlement_Bridge!$C$2,0)),1,0)</f>
        <v>0</v>
      </c>
      <c r="P3810" s="2" t="s">
        <v>10377</v>
      </c>
    </row>
    <row r="3811" spans="1:16" x14ac:dyDescent="0.25">
      <c r="A3811" s="2" t="s">
        <v>10378</v>
      </c>
      <c r="B3811" s="2" t="s">
        <v>7433</v>
      </c>
      <c r="C3811" s="8">
        <v>46248</v>
      </c>
      <c r="D3811" s="6">
        <v>46235</v>
      </c>
      <c r="E3811" s="2" t="s">
        <v>260</v>
      </c>
      <c r="F3811" s="2" t="s">
        <v>10376</v>
      </c>
      <c r="G3811" s="6">
        <v>46204</v>
      </c>
      <c r="H3811" s="2" t="s">
        <v>71</v>
      </c>
      <c r="I3811" s="2" t="s">
        <v>39</v>
      </c>
      <c r="J3811" s="9">
        <v>7831.8059999999996</v>
      </c>
      <c r="K3811" s="7">
        <v>1</v>
      </c>
      <c r="L3811" s="9">
        <v>7831.81</v>
      </c>
      <c r="M3811" s="9">
        <v>7831.81</v>
      </c>
      <c r="N3811" s="9">
        <v>4.3099999999999996</v>
      </c>
      <c r="O3811" s="10">
        <f>IF(AND(OR(H3811="APPROVED",H3811="SCHEDULED"),COUNTIFS(tblSource[EventID],F3811,tblSource[ReleaseStatus],"APPROVED")=1,COUNTIFS(Period_Status!$A$2:$A$8,G3811,Period_Status!$B$2:$B$8,"ActualClosed")=1,C3811&gt;EOMONTH(Settlement_Bridge!$C$2,0)),1,0)</f>
        <v>1</v>
      </c>
      <c r="P3811" s="2" t="s">
        <v>10379</v>
      </c>
    </row>
    <row r="3812" spans="1:16" x14ac:dyDescent="0.25">
      <c r="A3812" s="2" t="s">
        <v>10380</v>
      </c>
      <c r="B3812" s="2" t="s">
        <v>7433</v>
      </c>
      <c r="C3812" s="8">
        <v>46224</v>
      </c>
      <c r="D3812" s="6">
        <v>46204</v>
      </c>
      <c r="E3812" s="2" t="s">
        <v>260</v>
      </c>
      <c r="F3812" s="2" t="s">
        <v>10381</v>
      </c>
      <c r="G3812" s="6">
        <v>46204</v>
      </c>
      <c r="H3812" s="2" t="s">
        <v>71</v>
      </c>
      <c r="I3812" s="2" t="s">
        <v>76</v>
      </c>
      <c r="J3812" s="9">
        <v>85998838.709677994</v>
      </c>
      <c r="K3812" s="7">
        <v>6.2000000000000003E-5</v>
      </c>
      <c r="L3812" s="9">
        <v>5331.93</v>
      </c>
      <c r="M3812" s="9">
        <v>5331.93</v>
      </c>
      <c r="N3812" s="9">
        <v>2.93</v>
      </c>
      <c r="O3812" s="10">
        <f>IF(AND(OR(H3812="APPROVED",H3812="SCHEDULED"),COUNTIFS(tblSource[EventID],F3812,tblSource[ReleaseStatus],"APPROVED")=1,COUNTIFS(Period_Status!$A$2:$A$8,G3812,Period_Status!$B$2:$B$8,"ActualClosed")=1,C3812&gt;EOMONTH(Settlement_Bridge!$C$2,0)),1,0)</f>
        <v>0</v>
      </c>
      <c r="P3812" s="2" t="s">
        <v>10382</v>
      </c>
    </row>
    <row r="3813" spans="1:16" x14ac:dyDescent="0.25">
      <c r="A3813" s="2" t="s">
        <v>10383</v>
      </c>
      <c r="B3813" s="2" t="s">
        <v>7433</v>
      </c>
      <c r="C3813" s="8">
        <v>46249</v>
      </c>
      <c r="D3813" s="6">
        <v>46235</v>
      </c>
      <c r="E3813" s="2" t="s">
        <v>260</v>
      </c>
      <c r="F3813" s="2" t="s">
        <v>10381</v>
      </c>
      <c r="G3813" s="6">
        <v>46204</v>
      </c>
      <c r="H3813" s="2" t="s">
        <v>71</v>
      </c>
      <c r="I3813" s="2" t="s">
        <v>76</v>
      </c>
      <c r="J3813" s="9">
        <v>128998258.06451599</v>
      </c>
      <c r="K3813" s="7">
        <v>6.1500000000000004E-5</v>
      </c>
      <c r="L3813" s="9">
        <v>7933.39</v>
      </c>
      <c r="M3813" s="9">
        <v>7997.89</v>
      </c>
      <c r="N3813" s="9">
        <v>4.3600000000000003</v>
      </c>
      <c r="O3813" s="10">
        <f>IF(AND(OR(H3813="APPROVED",H3813="SCHEDULED"),COUNTIFS(tblSource[EventID],F3813,tblSource[ReleaseStatus],"APPROVED")=1,COUNTIFS(Period_Status!$A$2:$A$8,G3813,Period_Status!$B$2:$B$8,"ActualClosed")=1,C3813&gt;EOMONTH(Settlement_Bridge!$C$2,0)),1,0)</f>
        <v>1</v>
      </c>
      <c r="P3813" s="2" t="s">
        <v>10384</v>
      </c>
    </row>
    <row r="3814" spans="1:16" x14ac:dyDescent="0.25">
      <c r="A3814" s="2" t="s">
        <v>10385</v>
      </c>
      <c r="B3814" s="2" t="s">
        <v>7433</v>
      </c>
      <c r="C3814" s="8">
        <v>46225</v>
      </c>
      <c r="D3814" s="6">
        <v>46204</v>
      </c>
      <c r="E3814" s="2" t="s">
        <v>260</v>
      </c>
      <c r="F3814" s="2" t="s">
        <v>10386</v>
      </c>
      <c r="G3814" s="6">
        <v>46204</v>
      </c>
      <c r="H3814" s="2" t="s">
        <v>71</v>
      </c>
      <c r="I3814" s="2" t="s">
        <v>70</v>
      </c>
      <c r="J3814" s="9">
        <v>8271.5136779999993</v>
      </c>
      <c r="K3814" s="7">
        <v>0.65800000000000003</v>
      </c>
      <c r="L3814" s="9">
        <v>5442.66</v>
      </c>
      <c r="M3814" s="9">
        <v>5442.66</v>
      </c>
      <c r="N3814" s="9">
        <v>2.99</v>
      </c>
      <c r="O3814" s="10">
        <f>IF(AND(OR(H3814="APPROVED",H3814="SCHEDULED"),COUNTIFS(tblSource[EventID],F3814,tblSource[ReleaseStatus],"APPROVED")=1,COUNTIFS(Period_Status!$A$2:$A$8,G3814,Period_Status!$B$2:$B$8,"ActualClosed")=1,C3814&gt;EOMONTH(Settlement_Bridge!$C$2,0)),1,0)</f>
        <v>0</v>
      </c>
      <c r="P3814" s="2" t="s">
        <v>10387</v>
      </c>
    </row>
    <row r="3815" spans="1:16" x14ac:dyDescent="0.25">
      <c r="A3815" s="2" t="s">
        <v>10388</v>
      </c>
      <c r="B3815" s="2" t="s">
        <v>7433</v>
      </c>
      <c r="C3815" s="8">
        <v>46250</v>
      </c>
      <c r="D3815" s="6">
        <v>46235</v>
      </c>
      <c r="E3815" s="2" t="s">
        <v>260</v>
      </c>
      <c r="F3815" s="2" t="s">
        <v>10386</v>
      </c>
      <c r="G3815" s="6">
        <v>46204</v>
      </c>
      <c r="H3815" s="2" t="s">
        <v>71</v>
      </c>
      <c r="I3815" s="2" t="s">
        <v>70</v>
      </c>
      <c r="J3815" s="9">
        <v>12407.270517000001</v>
      </c>
      <c r="K3815" s="7">
        <v>0.65</v>
      </c>
      <c r="L3815" s="9">
        <v>8064.73</v>
      </c>
      <c r="M3815" s="9">
        <v>8163.98</v>
      </c>
      <c r="N3815" s="9">
        <v>4.4400000000000004</v>
      </c>
      <c r="O3815" s="10">
        <f>IF(AND(OR(H3815="APPROVED",H3815="SCHEDULED"),COUNTIFS(tblSource[EventID],F3815,tblSource[ReleaseStatus],"APPROVED")=1,COUNTIFS(Period_Status!$A$2:$A$8,G3815,Period_Status!$B$2:$B$8,"ActualClosed")=1,C3815&gt;EOMONTH(Settlement_Bridge!$C$2,0)),1,0)</f>
        <v>1</v>
      </c>
      <c r="P3815" s="2" t="s">
        <v>10389</v>
      </c>
    </row>
    <row r="3816" spans="1:16" x14ac:dyDescent="0.25">
      <c r="A3816" s="2" t="s">
        <v>10390</v>
      </c>
      <c r="B3816" s="2" t="s">
        <v>7433</v>
      </c>
      <c r="C3816" s="8">
        <v>46226</v>
      </c>
      <c r="D3816" s="6">
        <v>46204</v>
      </c>
      <c r="E3816" s="2" t="s">
        <v>260</v>
      </c>
      <c r="F3816" s="2" t="s">
        <v>10391</v>
      </c>
      <c r="G3816" s="6">
        <v>46204</v>
      </c>
      <c r="H3816" s="2" t="s">
        <v>71</v>
      </c>
      <c r="I3816" s="2" t="s">
        <v>39</v>
      </c>
      <c r="J3816" s="9">
        <v>5553.384</v>
      </c>
      <c r="K3816" s="7">
        <v>1</v>
      </c>
      <c r="L3816" s="9">
        <v>5553.38</v>
      </c>
      <c r="M3816" s="9">
        <v>5553.38</v>
      </c>
      <c r="N3816" s="9">
        <v>3.05</v>
      </c>
      <c r="O3816" s="10">
        <f>IF(AND(OR(H3816="APPROVED",H3816="SCHEDULED"),COUNTIFS(tblSource[EventID],F3816,tblSource[ReleaseStatus],"APPROVED")=1,COUNTIFS(Period_Status!$A$2:$A$8,G3816,Period_Status!$B$2:$B$8,"ActualClosed")=1,C3816&gt;EOMONTH(Settlement_Bridge!$C$2,0)),1,0)</f>
        <v>0</v>
      </c>
      <c r="P3816" s="2" t="s">
        <v>10392</v>
      </c>
    </row>
    <row r="3817" spans="1:16" x14ac:dyDescent="0.25">
      <c r="A3817" s="2" t="s">
        <v>10393</v>
      </c>
      <c r="B3817" s="2" t="s">
        <v>7433</v>
      </c>
      <c r="C3817" s="8">
        <v>46251</v>
      </c>
      <c r="D3817" s="6">
        <v>46235</v>
      </c>
      <c r="E3817" s="2" t="s">
        <v>260</v>
      </c>
      <c r="F3817" s="2" t="s">
        <v>10391</v>
      </c>
      <c r="G3817" s="6">
        <v>46204</v>
      </c>
      <c r="H3817" s="2" t="s">
        <v>71</v>
      </c>
      <c r="I3817" s="2" t="s">
        <v>39</v>
      </c>
      <c r="J3817" s="9">
        <v>8330.0759999999991</v>
      </c>
      <c r="K3817" s="7">
        <v>1</v>
      </c>
      <c r="L3817" s="9">
        <v>8330.08</v>
      </c>
      <c r="M3817" s="9">
        <v>8330.08</v>
      </c>
      <c r="N3817" s="9">
        <v>4.58</v>
      </c>
      <c r="O3817" s="10">
        <f>IF(AND(OR(H3817="APPROVED",H3817="SCHEDULED"),COUNTIFS(tblSource[EventID],F3817,tblSource[ReleaseStatus],"APPROVED")=1,COUNTIFS(Period_Status!$A$2:$A$8,G3817,Period_Status!$B$2:$B$8,"ActualClosed")=1,C3817&gt;EOMONTH(Settlement_Bridge!$C$2,0)),1,0)</f>
        <v>1</v>
      </c>
      <c r="P3817" s="2" t="s">
        <v>10394</v>
      </c>
    </row>
    <row r="3818" spans="1:16" x14ac:dyDescent="0.25">
      <c r="A3818" s="2" t="s">
        <v>10395</v>
      </c>
      <c r="B3818" s="2" t="s">
        <v>7433</v>
      </c>
      <c r="C3818" s="8">
        <v>46227</v>
      </c>
      <c r="D3818" s="6">
        <v>46204</v>
      </c>
      <c r="E3818" s="2" t="s">
        <v>260</v>
      </c>
      <c r="F3818" s="2" t="s">
        <v>10396</v>
      </c>
      <c r="G3818" s="6">
        <v>46204</v>
      </c>
      <c r="H3818" s="2" t="s">
        <v>71</v>
      </c>
      <c r="I3818" s="2" t="s">
        <v>76</v>
      </c>
      <c r="J3818" s="9">
        <v>91356580.645161003</v>
      </c>
      <c r="K3818" s="7">
        <v>6.2000000000000003E-5</v>
      </c>
      <c r="L3818" s="9">
        <v>5664.11</v>
      </c>
      <c r="M3818" s="9">
        <v>5664.11</v>
      </c>
      <c r="N3818" s="9">
        <v>3.12</v>
      </c>
      <c r="O3818" s="10">
        <f>IF(AND(OR(H3818="APPROVED",H3818="SCHEDULED"),COUNTIFS(tblSource[EventID],F3818,tblSource[ReleaseStatus],"APPROVED")=1,COUNTIFS(Period_Status!$A$2:$A$8,G3818,Period_Status!$B$2:$B$8,"ActualClosed")=1,C3818&gt;EOMONTH(Settlement_Bridge!$C$2,0)),1,0)</f>
        <v>0</v>
      </c>
      <c r="P3818" s="2" t="s">
        <v>10397</v>
      </c>
    </row>
    <row r="3819" spans="1:16" x14ac:dyDescent="0.25">
      <c r="A3819" s="2" t="s">
        <v>10398</v>
      </c>
      <c r="B3819" s="2" t="s">
        <v>7433</v>
      </c>
      <c r="C3819" s="8">
        <v>46252</v>
      </c>
      <c r="D3819" s="6">
        <v>46235</v>
      </c>
      <c r="E3819" s="2" t="s">
        <v>260</v>
      </c>
      <c r="F3819" s="2" t="s">
        <v>10396</v>
      </c>
      <c r="G3819" s="6">
        <v>46204</v>
      </c>
      <c r="H3819" s="2" t="s">
        <v>71</v>
      </c>
      <c r="I3819" s="2" t="s">
        <v>76</v>
      </c>
      <c r="J3819" s="9">
        <v>137034870.967742</v>
      </c>
      <c r="K3819" s="7">
        <v>6.1500000000000004E-5</v>
      </c>
      <c r="L3819" s="9">
        <v>8427.64</v>
      </c>
      <c r="M3819" s="9">
        <v>8496.16</v>
      </c>
      <c r="N3819" s="9">
        <v>4.6399999999999997</v>
      </c>
      <c r="O3819" s="10">
        <f>IF(AND(OR(H3819="APPROVED",H3819="SCHEDULED"),COUNTIFS(tblSource[EventID],F3819,tblSource[ReleaseStatus],"APPROVED")=1,COUNTIFS(Period_Status!$A$2:$A$8,G3819,Period_Status!$B$2:$B$8,"ActualClosed")=1,C3819&gt;EOMONTH(Settlement_Bridge!$C$2,0)),1,0)</f>
        <v>1</v>
      </c>
      <c r="P3819" s="2" t="s">
        <v>10399</v>
      </c>
    </row>
    <row r="3820" spans="1:16" x14ac:dyDescent="0.25">
      <c r="A3820" s="2" t="s">
        <v>10400</v>
      </c>
      <c r="B3820" s="2" t="s">
        <v>7433</v>
      </c>
      <c r="C3820" s="8">
        <v>46228</v>
      </c>
      <c r="D3820" s="6">
        <v>46204</v>
      </c>
      <c r="E3820" s="2" t="s">
        <v>260</v>
      </c>
      <c r="F3820" s="2" t="s">
        <v>10401</v>
      </c>
      <c r="G3820" s="6">
        <v>46204</v>
      </c>
      <c r="H3820" s="2" t="s">
        <v>71</v>
      </c>
      <c r="I3820" s="2" t="s">
        <v>70</v>
      </c>
      <c r="J3820" s="9">
        <v>8776.3465039999992</v>
      </c>
      <c r="K3820" s="7">
        <v>0.65800000000000003</v>
      </c>
      <c r="L3820" s="9">
        <v>5774.84</v>
      </c>
      <c r="M3820" s="9">
        <v>5774.84</v>
      </c>
      <c r="N3820" s="9">
        <v>3.18</v>
      </c>
      <c r="O3820" s="10">
        <f>IF(AND(OR(H3820="APPROVED",H3820="SCHEDULED"),COUNTIFS(tblSource[EventID],F3820,tblSource[ReleaseStatus],"APPROVED")=1,COUNTIFS(Period_Status!$A$2:$A$8,G3820,Period_Status!$B$2:$B$8,"ActualClosed")=1,C3820&gt;EOMONTH(Settlement_Bridge!$C$2,0)),1,0)</f>
        <v>0</v>
      </c>
      <c r="P3820" s="2" t="s">
        <v>10402</v>
      </c>
    </row>
    <row r="3821" spans="1:16" x14ac:dyDescent="0.25">
      <c r="A3821" s="2" t="s">
        <v>10403</v>
      </c>
      <c r="B3821" s="2" t="s">
        <v>7433</v>
      </c>
      <c r="C3821" s="8">
        <v>46253</v>
      </c>
      <c r="D3821" s="6">
        <v>46235</v>
      </c>
      <c r="E3821" s="2" t="s">
        <v>260</v>
      </c>
      <c r="F3821" s="2" t="s">
        <v>10401</v>
      </c>
      <c r="G3821" s="6">
        <v>46204</v>
      </c>
      <c r="H3821" s="2" t="s">
        <v>71</v>
      </c>
      <c r="I3821" s="2" t="s">
        <v>70</v>
      </c>
      <c r="J3821" s="9">
        <v>13164.519757</v>
      </c>
      <c r="K3821" s="7">
        <v>0.65</v>
      </c>
      <c r="L3821" s="9">
        <v>8556.94</v>
      </c>
      <c r="M3821" s="9">
        <v>8662.25</v>
      </c>
      <c r="N3821" s="9">
        <v>4.71</v>
      </c>
      <c r="O3821" s="10">
        <f>IF(AND(OR(H3821="APPROVED",H3821="SCHEDULED"),COUNTIFS(tblSource[EventID],F3821,tblSource[ReleaseStatus],"APPROVED")=1,COUNTIFS(Period_Status!$A$2:$A$8,G3821,Period_Status!$B$2:$B$8,"ActualClosed")=1,C3821&gt;EOMONTH(Settlement_Bridge!$C$2,0)),1,0)</f>
        <v>1</v>
      </c>
      <c r="P3821" s="2" t="s">
        <v>10404</v>
      </c>
    </row>
    <row r="3822" spans="1:16" x14ac:dyDescent="0.25">
      <c r="A3822" s="2" t="s">
        <v>10405</v>
      </c>
      <c r="B3822" s="2" t="s">
        <v>7433</v>
      </c>
      <c r="C3822" s="8">
        <v>46229</v>
      </c>
      <c r="D3822" s="6">
        <v>46204</v>
      </c>
      <c r="E3822" s="2" t="s">
        <v>260</v>
      </c>
      <c r="F3822" s="2" t="s">
        <v>10406</v>
      </c>
      <c r="G3822" s="6">
        <v>46204</v>
      </c>
      <c r="H3822" s="2" t="s">
        <v>71</v>
      </c>
      <c r="I3822" s="2" t="s">
        <v>39</v>
      </c>
      <c r="J3822" s="9">
        <v>5885.56</v>
      </c>
      <c r="K3822" s="7">
        <v>1</v>
      </c>
      <c r="L3822" s="9">
        <v>5885.56</v>
      </c>
      <c r="M3822" s="9">
        <v>5885.56</v>
      </c>
      <c r="N3822" s="9">
        <v>3.24</v>
      </c>
      <c r="O3822" s="10">
        <f>IF(AND(OR(H3822="APPROVED",H3822="SCHEDULED"),COUNTIFS(tblSource[EventID],F3822,tblSource[ReleaseStatus],"APPROVED")=1,COUNTIFS(Period_Status!$A$2:$A$8,G3822,Period_Status!$B$2:$B$8,"ActualClosed")=1,C3822&gt;EOMONTH(Settlement_Bridge!$C$2,0)),1,0)</f>
        <v>0</v>
      </c>
      <c r="P3822" s="2" t="s">
        <v>10407</v>
      </c>
    </row>
    <row r="3823" spans="1:16" x14ac:dyDescent="0.25">
      <c r="A3823" s="2" t="s">
        <v>10408</v>
      </c>
      <c r="B3823" s="2" t="s">
        <v>7433</v>
      </c>
      <c r="C3823" s="8">
        <v>46254</v>
      </c>
      <c r="D3823" s="6">
        <v>46235</v>
      </c>
      <c r="E3823" s="2" t="s">
        <v>260</v>
      </c>
      <c r="F3823" s="2" t="s">
        <v>10406</v>
      </c>
      <c r="G3823" s="6">
        <v>46204</v>
      </c>
      <c r="H3823" s="2" t="s">
        <v>71</v>
      </c>
      <c r="I3823" s="2" t="s">
        <v>39</v>
      </c>
      <c r="J3823" s="9">
        <v>8828.34</v>
      </c>
      <c r="K3823" s="7">
        <v>1</v>
      </c>
      <c r="L3823" s="9">
        <v>8828.34</v>
      </c>
      <c r="M3823" s="9">
        <v>8828.34</v>
      </c>
      <c r="N3823" s="9">
        <v>4.8600000000000003</v>
      </c>
      <c r="O3823" s="10">
        <f>IF(AND(OR(H3823="APPROVED",H3823="SCHEDULED"),COUNTIFS(tblSource[EventID],F3823,tblSource[ReleaseStatus],"APPROVED")=1,COUNTIFS(Period_Status!$A$2:$A$8,G3823,Period_Status!$B$2:$B$8,"ActualClosed")=1,C3823&gt;EOMONTH(Settlement_Bridge!$C$2,0)),1,0)</f>
        <v>1</v>
      </c>
      <c r="P3823" s="2" t="s">
        <v>10409</v>
      </c>
    </row>
    <row r="3824" spans="1:16" x14ac:dyDescent="0.25">
      <c r="A3824" s="2" t="s">
        <v>10410</v>
      </c>
      <c r="B3824" s="2" t="s">
        <v>7433</v>
      </c>
      <c r="C3824" s="8">
        <v>46230</v>
      </c>
      <c r="D3824" s="6">
        <v>46204</v>
      </c>
      <c r="E3824" s="2" t="s">
        <v>260</v>
      </c>
      <c r="F3824" s="2" t="s">
        <v>10411</v>
      </c>
      <c r="G3824" s="6">
        <v>46204</v>
      </c>
      <c r="H3824" s="2" t="s">
        <v>71</v>
      </c>
      <c r="I3824" s="2" t="s">
        <v>76</v>
      </c>
      <c r="J3824" s="9">
        <v>96714322.580644995</v>
      </c>
      <c r="K3824" s="7">
        <v>6.2000000000000003E-5</v>
      </c>
      <c r="L3824" s="9">
        <v>5996.29</v>
      </c>
      <c r="M3824" s="9">
        <v>5996.29</v>
      </c>
      <c r="N3824" s="9">
        <v>3.3</v>
      </c>
      <c r="O3824" s="10">
        <f>IF(AND(OR(H3824="APPROVED",H3824="SCHEDULED"),COUNTIFS(tblSource[EventID],F3824,tblSource[ReleaseStatus],"APPROVED")=1,COUNTIFS(Period_Status!$A$2:$A$8,G3824,Period_Status!$B$2:$B$8,"ActualClosed")=1,C3824&gt;EOMONTH(Settlement_Bridge!$C$2,0)),1,0)</f>
        <v>0</v>
      </c>
      <c r="P3824" s="2" t="s">
        <v>10412</v>
      </c>
    </row>
    <row r="3825" spans="1:16" x14ac:dyDescent="0.25">
      <c r="A3825" s="2" t="s">
        <v>10413</v>
      </c>
      <c r="B3825" s="2" t="s">
        <v>7433</v>
      </c>
      <c r="C3825" s="8">
        <v>46255</v>
      </c>
      <c r="D3825" s="6">
        <v>46235</v>
      </c>
      <c r="E3825" s="2" t="s">
        <v>260</v>
      </c>
      <c r="F3825" s="2" t="s">
        <v>10411</v>
      </c>
      <c r="G3825" s="6">
        <v>46204</v>
      </c>
      <c r="H3825" s="2" t="s">
        <v>71</v>
      </c>
      <c r="I3825" s="2" t="s">
        <v>76</v>
      </c>
      <c r="J3825" s="9">
        <v>145071483.87096801</v>
      </c>
      <c r="K3825" s="7">
        <v>6.1500000000000004E-5</v>
      </c>
      <c r="L3825" s="9">
        <v>8921.9</v>
      </c>
      <c r="M3825" s="9">
        <v>8994.43</v>
      </c>
      <c r="N3825" s="9">
        <v>4.91</v>
      </c>
      <c r="O3825" s="10">
        <f>IF(AND(OR(H3825="APPROVED",H3825="SCHEDULED"),COUNTIFS(tblSource[EventID],F3825,tblSource[ReleaseStatus],"APPROVED")=1,COUNTIFS(Period_Status!$A$2:$A$8,G3825,Period_Status!$B$2:$B$8,"ActualClosed")=1,C3825&gt;EOMONTH(Settlement_Bridge!$C$2,0)),1,0)</f>
        <v>1</v>
      </c>
      <c r="P3825" s="2" t="s">
        <v>10414</v>
      </c>
    </row>
    <row r="3826" spans="1:16" x14ac:dyDescent="0.25">
      <c r="A3826" s="2" t="s">
        <v>10415</v>
      </c>
      <c r="B3826" s="2" t="s">
        <v>7433</v>
      </c>
      <c r="C3826" s="8">
        <v>46231</v>
      </c>
      <c r="D3826" s="6">
        <v>46204</v>
      </c>
      <c r="E3826" s="2" t="s">
        <v>260</v>
      </c>
      <c r="F3826" s="2" t="s">
        <v>10416</v>
      </c>
      <c r="G3826" s="6">
        <v>46204</v>
      </c>
      <c r="H3826" s="2" t="s">
        <v>71</v>
      </c>
      <c r="I3826" s="2" t="s">
        <v>70</v>
      </c>
      <c r="J3826" s="9">
        <v>9281.1732520000005</v>
      </c>
      <c r="K3826" s="7">
        <v>0.65800000000000003</v>
      </c>
      <c r="L3826" s="9">
        <v>6107.01</v>
      </c>
      <c r="M3826" s="9">
        <v>6107.01</v>
      </c>
      <c r="N3826" s="9">
        <v>3.36</v>
      </c>
      <c r="O3826" s="10">
        <f>IF(AND(OR(H3826="APPROVED",H3826="SCHEDULED"),COUNTIFS(tblSource[EventID],F3826,tblSource[ReleaseStatus],"APPROVED")=1,COUNTIFS(Period_Status!$A$2:$A$8,G3826,Period_Status!$B$2:$B$8,"ActualClosed")=1,C3826&gt;EOMONTH(Settlement_Bridge!$C$2,0)),1,0)</f>
        <v>0</v>
      </c>
      <c r="P3826" s="2" t="s">
        <v>10417</v>
      </c>
    </row>
    <row r="3827" spans="1:16" x14ac:dyDescent="0.25">
      <c r="A3827" s="2" t="s">
        <v>10418</v>
      </c>
      <c r="B3827" s="2" t="s">
        <v>7433</v>
      </c>
      <c r="C3827" s="8">
        <v>46256</v>
      </c>
      <c r="D3827" s="6">
        <v>46235</v>
      </c>
      <c r="E3827" s="2" t="s">
        <v>260</v>
      </c>
      <c r="F3827" s="2" t="s">
        <v>10416</v>
      </c>
      <c r="G3827" s="6">
        <v>46204</v>
      </c>
      <c r="H3827" s="2" t="s">
        <v>71</v>
      </c>
      <c r="I3827" s="2" t="s">
        <v>70</v>
      </c>
      <c r="J3827" s="9">
        <v>13921.759878999999</v>
      </c>
      <c r="K3827" s="7">
        <v>0.65</v>
      </c>
      <c r="L3827" s="9">
        <v>9049.14</v>
      </c>
      <c r="M3827" s="9">
        <v>9160.52</v>
      </c>
      <c r="N3827" s="9">
        <v>4.9800000000000004</v>
      </c>
      <c r="O3827" s="10">
        <f>IF(AND(OR(H3827="APPROVED",H3827="SCHEDULED"),COUNTIFS(tblSource[EventID],F3827,tblSource[ReleaseStatus],"APPROVED")=1,COUNTIFS(Period_Status!$A$2:$A$8,G3827,Period_Status!$B$2:$B$8,"ActualClosed")=1,C3827&gt;EOMONTH(Settlement_Bridge!$C$2,0)),1,0)</f>
        <v>1</v>
      </c>
      <c r="P3827" s="2" t="s">
        <v>10419</v>
      </c>
    </row>
    <row r="3828" spans="1:16" x14ac:dyDescent="0.25">
      <c r="A3828" s="2" t="s">
        <v>10420</v>
      </c>
      <c r="B3828" s="2" t="s">
        <v>7433</v>
      </c>
      <c r="C3828" s="8">
        <v>46232</v>
      </c>
      <c r="D3828" s="6">
        <v>46204</v>
      </c>
      <c r="E3828" s="2" t="s">
        <v>260</v>
      </c>
      <c r="F3828" s="2" t="s">
        <v>10421</v>
      </c>
      <c r="G3828" s="6">
        <v>46204</v>
      </c>
      <c r="H3828" s="2" t="s">
        <v>71</v>
      </c>
      <c r="I3828" s="2" t="s">
        <v>39</v>
      </c>
      <c r="J3828" s="9">
        <v>6217.74</v>
      </c>
      <c r="K3828" s="7">
        <v>1</v>
      </c>
      <c r="L3828" s="9">
        <v>6217.74</v>
      </c>
      <c r="M3828" s="9">
        <v>6217.74</v>
      </c>
      <c r="N3828" s="9">
        <v>3.42</v>
      </c>
      <c r="O3828" s="10">
        <f>IF(AND(OR(H3828="APPROVED",H3828="SCHEDULED"),COUNTIFS(tblSource[EventID],F3828,tblSource[ReleaseStatus],"APPROVED")=1,COUNTIFS(Period_Status!$A$2:$A$8,G3828,Period_Status!$B$2:$B$8,"ActualClosed")=1,C3828&gt;EOMONTH(Settlement_Bridge!$C$2,0)),1,0)</f>
        <v>0</v>
      </c>
      <c r="P3828" s="2" t="s">
        <v>10422</v>
      </c>
    </row>
    <row r="3829" spans="1:16" x14ac:dyDescent="0.25">
      <c r="A3829" s="2" t="s">
        <v>10423</v>
      </c>
      <c r="B3829" s="2" t="s">
        <v>7433</v>
      </c>
      <c r="C3829" s="8">
        <v>46257</v>
      </c>
      <c r="D3829" s="6">
        <v>46235</v>
      </c>
      <c r="E3829" s="2" t="s">
        <v>260</v>
      </c>
      <c r="F3829" s="2" t="s">
        <v>10421</v>
      </c>
      <c r="G3829" s="6">
        <v>46204</v>
      </c>
      <c r="H3829" s="2" t="s">
        <v>71</v>
      </c>
      <c r="I3829" s="2" t="s">
        <v>39</v>
      </c>
      <c r="J3829" s="9">
        <v>9326.61</v>
      </c>
      <c r="K3829" s="7">
        <v>1</v>
      </c>
      <c r="L3829" s="9">
        <v>9326.61</v>
      </c>
      <c r="M3829" s="9">
        <v>9326.61</v>
      </c>
      <c r="N3829" s="9">
        <v>5.13</v>
      </c>
      <c r="O3829" s="10">
        <f>IF(AND(OR(H3829="APPROVED",H3829="SCHEDULED"),COUNTIFS(tblSource[EventID],F3829,tblSource[ReleaseStatus],"APPROVED")=1,COUNTIFS(Period_Status!$A$2:$A$8,G3829,Period_Status!$B$2:$B$8,"ActualClosed")=1,C3829&gt;EOMONTH(Settlement_Bridge!$C$2,0)),1,0)</f>
        <v>1</v>
      </c>
      <c r="P3829" s="2" t="s">
        <v>10424</v>
      </c>
    </row>
    <row r="3830" spans="1:16" x14ac:dyDescent="0.25">
      <c r="A3830" s="2" t="s">
        <v>10425</v>
      </c>
      <c r="B3830" s="2" t="s">
        <v>7433</v>
      </c>
      <c r="C3830" s="8">
        <v>46233</v>
      </c>
      <c r="D3830" s="6">
        <v>46204</v>
      </c>
      <c r="E3830" s="2" t="s">
        <v>260</v>
      </c>
      <c r="F3830" s="2" t="s">
        <v>10426</v>
      </c>
      <c r="G3830" s="6">
        <v>46204</v>
      </c>
      <c r="H3830" s="2" t="s">
        <v>71</v>
      </c>
      <c r="I3830" s="2" t="s">
        <v>76</v>
      </c>
      <c r="J3830" s="9">
        <v>102072064.516129</v>
      </c>
      <c r="K3830" s="7">
        <v>6.2000000000000003E-5</v>
      </c>
      <c r="L3830" s="9">
        <v>6328.47</v>
      </c>
      <c r="M3830" s="9">
        <v>6328.47</v>
      </c>
      <c r="N3830" s="9">
        <v>3.48</v>
      </c>
      <c r="O3830" s="10">
        <f>IF(AND(OR(H3830="APPROVED",H3830="SCHEDULED"),COUNTIFS(tblSource[EventID],F3830,tblSource[ReleaseStatus],"APPROVED")=1,COUNTIFS(Period_Status!$A$2:$A$8,G3830,Period_Status!$B$2:$B$8,"ActualClosed")=1,C3830&gt;EOMONTH(Settlement_Bridge!$C$2,0)),1,0)</f>
        <v>0</v>
      </c>
      <c r="P3830" s="2" t="s">
        <v>10427</v>
      </c>
    </row>
    <row r="3831" spans="1:16" x14ac:dyDescent="0.25">
      <c r="A3831" s="2" t="s">
        <v>10428</v>
      </c>
      <c r="B3831" s="2" t="s">
        <v>7433</v>
      </c>
      <c r="C3831" s="8">
        <v>46258</v>
      </c>
      <c r="D3831" s="6">
        <v>46235</v>
      </c>
      <c r="E3831" s="2" t="s">
        <v>260</v>
      </c>
      <c r="F3831" s="2" t="s">
        <v>10426</v>
      </c>
      <c r="G3831" s="6">
        <v>46204</v>
      </c>
      <c r="H3831" s="2" t="s">
        <v>71</v>
      </c>
      <c r="I3831" s="2" t="s">
        <v>76</v>
      </c>
      <c r="J3831" s="9">
        <v>153108096.774194</v>
      </c>
      <c r="K3831" s="7">
        <v>6.1500000000000004E-5</v>
      </c>
      <c r="L3831" s="9">
        <v>9416.15</v>
      </c>
      <c r="M3831" s="9">
        <v>9492.7000000000007</v>
      </c>
      <c r="N3831" s="9">
        <v>5.18</v>
      </c>
      <c r="O3831" s="10">
        <f>IF(AND(OR(H3831="APPROVED",H3831="SCHEDULED"),COUNTIFS(tblSource[EventID],F3831,tblSource[ReleaseStatus],"APPROVED")=1,COUNTIFS(Period_Status!$A$2:$A$8,G3831,Period_Status!$B$2:$B$8,"ActualClosed")=1,C3831&gt;EOMONTH(Settlement_Bridge!$C$2,0)),1,0)</f>
        <v>1</v>
      </c>
      <c r="P3831" s="2" t="s">
        <v>10429</v>
      </c>
    </row>
    <row r="3832" spans="1:16" x14ac:dyDescent="0.25">
      <c r="A3832" s="2" t="s">
        <v>10430</v>
      </c>
      <c r="B3832" s="2" t="s">
        <v>7433</v>
      </c>
      <c r="C3832" s="8">
        <v>46234</v>
      </c>
      <c r="D3832" s="6">
        <v>46204</v>
      </c>
      <c r="E3832" s="2" t="s">
        <v>260</v>
      </c>
      <c r="F3832" s="2" t="s">
        <v>10431</v>
      </c>
      <c r="G3832" s="6">
        <v>46204</v>
      </c>
      <c r="H3832" s="2" t="s">
        <v>71</v>
      </c>
      <c r="I3832" s="2" t="s">
        <v>70</v>
      </c>
      <c r="J3832" s="9">
        <v>9786.0060790000007</v>
      </c>
      <c r="K3832" s="7">
        <v>0.65800000000000003</v>
      </c>
      <c r="L3832" s="9">
        <v>6439.19</v>
      </c>
      <c r="M3832" s="9">
        <v>6439.19</v>
      </c>
      <c r="N3832" s="9">
        <v>3.54</v>
      </c>
      <c r="O3832" s="10">
        <f>IF(AND(OR(H3832="APPROVED",H3832="SCHEDULED"),COUNTIFS(tblSource[EventID],F3832,tblSource[ReleaseStatus],"APPROVED")=1,COUNTIFS(Period_Status!$A$2:$A$8,G3832,Period_Status!$B$2:$B$8,"ActualClosed")=1,C3832&gt;EOMONTH(Settlement_Bridge!$C$2,0)),1,0)</f>
        <v>0</v>
      </c>
      <c r="P3832" s="2" t="s">
        <v>10432</v>
      </c>
    </row>
    <row r="3833" spans="1:16" x14ac:dyDescent="0.25">
      <c r="A3833" s="2" t="s">
        <v>10433</v>
      </c>
      <c r="B3833" s="2" t="s">
        <v>7433</v>
      </c>
      <c r="C3833" s="8">
        <v>46259</v>
      </c>
      <c r="D3833" s="6">
        <v>46235</v>
      </c>
      <c r="E3833" s="2" t="s">
        <v>260</v>
      </c>
      <c r="F3833" s="2" t="s">
        <v>10431</v>
      </c>
      <c r="G3833" s="6">
        <v>46204</v>
      </c>
      <c r="H3833" s="2" t="s">
        <v>71</v>
      </c>
      <c r="I3833" s="2" t="s">
        <v>70</v>
      </c>
      <c r="J3833" s="9">
        <v>14679.009119</v>
      </c>
      <c r="K3833" s="7">
        <v>0.65</v>
      </c>
      <c r="L3833" s="9">
        <v>9541.36</v>
      </c>
      <c r="M3833" s="9">
        <v>9658.7900000000009</v>
      </c>
      <c r="N3833" s="9">
        <v>5.25</v>
      </c>
      <c r="O3833" s="10">
        <f>IF(AND(OR(H3833="APPROVED",H3833="SCHEDULED"),COUNTIFS(tblSource[EventID],F3833,tblSource[ReleaseStatus],"APPROVED")=1,COUNTIFS(Period_Status!$A$2:$A$8,G3833,Period_Status!$B$2:$B$8,"ActualClosed")=1,C3833&gt;EOMONTH(Settlement_Bridge!$C$2,0)),1,0)</f>
        <v>1</v>
      </c>
      <c r="P3833" s="2" t="s">
        <v>10434</v>
      </c>
    </row>
    <row r="3834" spans="1:16" x14ac:dyDescent="0.25">
      <c r="A3834" s="2" t="s">
        <v>10435</v>
      </c>
      <c r="B3834" s="2" t="s">
        <v>7433</v>
      </c>
      <c r="C3834" s="8">
        <v>46235</v>
      </c>
      <c r="D3834" s="6">
        <v>46235</v>
      </c>
      <c r="E3834" s="2" t="s">
        <v>260</v>
      </c>
      <c r="F3834" s="2" t="s">
        <v>10436</v>
      </c>
      <c r="G3834" s="6">
        <v>46204</v>
      </c>
      <c r="H3834" s="2" t="s">
        <v>71</v>
      </c>
      <c r="I3834" s="2" t="s">
        <v>39</v>
      </c>
      <c r="J3834" s="9">
        <v>6549.92</v>
      </c>
      <c r="K3834" s="7">
        <v>1</v>
      </c>
      <c r="L3834" s="9">
        <v>6549.92</v>
      </c>
      <c r="M3834" s="9">
        <v>6549.92</v>
      </c>
      <c r="N3834" s="9">
        <v>3.6</v>
      </c>
      <c r="O3834" s="10">
        <f>IF(AND(OR(H3834="APPROVED",H3834="SCHEDULED"),COUNTIFS(tblSource[EventID],F3834,tblSource[ReleaseStatus],"APPROVED")=1,COUNTIFS(Period_Status!$A$2:$A$8,G3834,Period_Status!$B$2:$B$8,"ActualClosed")=1,C3834&gt;EOMONTH(Settlement_Bridge!$C$2,0)),1,0)</f>
        <v>1</v>
      </c>
      <c r="P3834" s="2" t="s">
        <v>10437</v>
      </c>
    </row>
    <row r="3835" spans="1:16" x14ac:dyDescent="0.25">
      <c r="A3835" s="2" t="s">
        <v>10438</v>
      </c>
      <c r="B3835" s="2" t="s">
        <v>7433</v>
      </c>
      <c r="C3835" s="8">
        <v>46260</v>
      </c>
      <c r="D3835" s="6">
        <v>46235</v>
      </c>
      <c r="E3835" s="2" t="s">
        <v>260</v>
      </c>
      <c r="F3835" s="2" t="s">
        <v>10436</v>
      </c>
      <c r="G3835" s="6">
        <v>46204</v>
      </c>
      <c r="H3835" s="2" t="s">
        <v>71</v>
      </c>
      <c r="I3835" s="2" t="s">
        <v>39</v>
      </c>
      <c r="J3835" s="9">
        <v>9824.8799999999992</v>
      </c>
      <c r="K3835" s="7">
        <v>1</v>
      </c>
      <c r="L3835" s="9">
        <v>9824.8799999999992</v>
      </c>
      <c r="M3835" s="9">
        <v>9824.8799999999992</v>
      </c>
      <c r="N3835" s="9">
        <v>5.4</v>
      </c>
      <c r="O3835" s="10">
        <f>IF(AND(OR(H3835="APPROVED",H3835="SCHEDULED"),COUNTIFS(tblSource[EventID],F3835,tblSource[ReleaseStatus],"APPROVED")=1,COUNTIFS(Period_Status!$A$2:$A$8,G3835,Period_Status!$B$2:$B$8,"ActualClosed")=1,C3835&gt;EOMONTH(Settlement_Bridge!$C$2,0)),1,0)</f>
        <v>1</v>
      </c>
      <c r="P3835" s="2" t="s">
        <v>10439</v>
      </c>
    </row>
    <row r="3836" spans="1:16" x14ac:dyDescent="0.25">
      <c r="A3836" s="2" t="s">
        <v>10440</v>
      </c>
      <c r="B3836" s="2" t="s">
        <v>7433</v>
      </c>
      <c r="C3836" s="8">
        <v>46236</v>
      </c>
      <c r="D3836" s="6">
        <v>46235</v>
      </c>
      <c r="E3836" s="2" t="s">
        <v>260</v>
      </c>
      <c r="F3836" s="2" t="s">
        <v>10441</v>
      </c>
      <c r="G3836" s="6">
        <v>46204</v>
      </c>
      <c r="H3836" s="2" t="s">
        <v>71</v>
      </c>
      <c r="I3836" s="2" t="s">
        <v>76</v>
      </c>
      <c r="J3836" s="9">
        <v>107429806.45161299</v>
      </c>
      <c r="K3836" s="7">
        <v>6.1500000000000004E-5</v>
      </c>
      <c r="L3836" s="9">
        <v>6606.93</v>
      </c>
      <c r="M3836" s="9">
        <v>6660.65</v>
      </c>
      <c r="N3836" s="9">
        <v>3.63</v>
      </c>
      <c r="O3836" s="10">
        <f>IF(AND(OR(H3836="APPROVED",H3836="SCHEDULED"),COUNTIFS(tblSource[EventID],F3836,tblSource[ReleaseStatus],"APPROVED")=1,COUNTIFS(Period_Status!$A$2:$A$8,G3836,Period_Status!$B$2:$B$8,"ActualClosed")=1,C3836&gt;EOMONTH(Settlement_Bridge!$C$2,0)),1,0)</f>
        <v>1</v>
      </c>
      <c r="P3836" s="2" t="s">
        <v>10442</v>
      </c>
    </row>
    <row r="3837" spans="1:16" x14ac:dyDescent="0.25">
      <c r="A3837" s="2" t="s">
        <v>10443</v>
      </c>
      <c r="B3837" s="2" t="s">
        <v>7433</v>
      </c>
      <c r="C3837" s="8">
        <v>46261</v>
      </c>
      <c r="D3837" s="6">
        <v>46235</v>
      </c>
      <c r="E3837" s="2" t="s">
        <v>260</v>
      </c>
      <c r="F3837" s="2" t="s">
        <v>10441</v>
      </c>
      <c r="G3837" s="6">
        <v>46204</v>
      </c>
      <c r="H3837" s="2" t="s">
        <v>71</v>
      </c>
      <c r="I3837" s="2" t="s">
        <v>76</v>
      </c>
      <c r="J3837" s="9">
        <v>161144709.67741901</v>
      </c>
      <c r="K3837" s="7">
        <v>6.1500000000000004E-5</v>
      </c>
      <c r="L3837" s="9">
        <v>9910.4</v>
      </c>
      <c r="M3837" s="9">
        <v>9990.9699999999993</v>
      </c>
      <c r="N3837" s="9">
        <v>5.45</v>
      </c>
      <c r="O3837" s="10">
        <f>IF(AND(OR(H3837="APPROVED",H3837="SCHEDULED"),COUNTIFS(tblSource[EventID],F3837,tblSource[ReleaseStatus],"APPROVED")=1,COUNTIFS(Period_Status!$A$2:$A$8,G3837,Period_Status!$B$2:$B$8,"ActualClosed")=1,C3837&gt;EOMONTH(Settlement_Bridge!$C$2,0)),1,0)</f>
        <v>1</v>
      </c>
      <c r="P3837" s="2" t="s">
        <v>10444</v>
      </c>
    </row>
    <row r="3838" spans="1:16" x14ac:dyDescent="0.25">
      <c r="A3838" s="2" t="s">
        <v>10445</v>
      </c>
      <c r="B3838" s="2" t="s">
        <v>7433</v>
      </c>
      <c r="C3838" s="8">
        <v>46237</v>
      </c>
      <c r="D3838" s="6">
        <v>46235</v>
      </c>
      <c r="E3838" s="2" t="s">
        <v>260</v>
      </c>
      <c r="F3838" s="2" t="s">
        <v>10446</v>
      </c>
      <c r="G3838" s="6">
        <v>46204</v>
      </c>
      <c r="H3838" s="2" t="s">
        <v>71</v>
      </c>
      <c r="I3838" s="2" t="s">
        <v>70</v>
      </c>
      <c r="J3838" s="9">
        <v>10290.838906000001</v>
      </c>
      <c r="K3838" s="7">
        <v>0.65</v>
      </c>
      <c r="L3838" s="9">
        <v>6689.05</v>
      </c>
      <c r="M3838" s="9">
        <v>6771.37</v>
      </c>
      <c r="N3838" s="9">
        <v>3.68</v>
      </c>
      <c r="O3838" s="10">
        <f>IF(AND(OR(H3838="APPROVED",H3838="SCHEDULED"),COUNTIFS(tblSource[EventID],F3838,tblSource[ReleaseStatus],"APPROVED")=1,COUNTIFS(Period_Status!$A$2:$A$8,G3838,Period_Status!$B$2:$B$8,"ActualClosed")=1,C3838&gt;EOMONTH(Settlement_Bridge!$C$2,0)),1,0)</f>
        <v>1</v>
      </c>
      <c r="P3838" s="2" t="s">
        <v>10447</v>
      </c>
    </row>
    <row r="3839" spans="1:16" x14ac:dyDescent="0.25">
      <c r="A3839" s="2" t="s">
        <v>10448</v>
      </c>
      <c r="B3839" s="2" t="s">
        <v>7433</v>
      </c>
      <c r="C3839" s="8">
        <v>46262</v>
      </c>
      <c r="D3839" s="6">
        <v>46235</v>
      </c>
      <c r="E3839" s="2" t="s">
        <v>260</v>
      </c>
      <c r="F3839" s="2" t="s">
        <v>10446</v>
      </c>
      <c r="G3839" s="6">
        <v>46204</v>
      </c>
      <c r="H3839" s="2" t="s">
        <v>71</v>
      </c>
      <c r="I3839" s="2" t="s">
        <v>70</v>
      </c>
      <c r="J3839" s="9">
        <v>15436.258357999999</v>
      </c>
      <c r="K3839" s="7">
        <v>0.65</v>
      </c>
      <c r="L3839" s="9">
        <v>10033.57</v>
      </c>
      <c r="M3839" s="9">
        <v>10157.06</v>
      </c>
      <c r="N3839" s="9">
        <v>5.52</v>
      </c>
      <c r="O3839" s="10">
        <f>IF(AND(OR(H3839="APPROVED",H3839="SCHEDULED"),COUNTIFS(tblSource[EventID],F3839,tblSource[ReleaseStatus],"APPROVED")=1,COUNTIFS(Period_Status!$A$2:$A$8,G3839,Period_Status!$B$2:$B$8,"ActualClosed")=1,C3839&gt;EOMONTH(Settlement_Bridge!$C$2,0)),1,0)</f>
        <v>1</v>
      </c>
      <c r="P3839" s="2" t="s">
        <v>10449</v>
      </c>
    </row>
    <row r="3840" spans="1:16" x14ac:dyDescent="0.25">
      <c r="A3840" s="2" t="s">
        <v>10450</v>
      </c>
      <c r="B3840" s="2" t="s">
        <v>7433</v>
      </c>
      <c r="C3840" s="8">
        <v>46238</v>
      </c>
      <c r="D3840" s="6">
        <v>46235</v>
      </c>
      <c r="E3840" s="2" t="s">
        <v>260</v>
      </c>
      <c r="F3840" s="2" t="s">
        <v>10451</v>
      </c>
      <c r="G3840" s="6">
        <v>46204</v>
      </c>
      <c r="H3840" s="2" t="s">
        <v>71</v>
      </c>
      <c r="I3840" s="2" t="s">
        <v>39</v>
      </c>
      <c r="J3840" s="9">
        <v>6882.1</v>
      </c>
      <c r="K3840" s="7">
        <v>1</v>
      </c>
      <c r="L3840" s="9">
        <v>6882.1</v>
      </c>
      <c r="M3840" s="9">
        <v>6882.1</v>
      </c>
      <c r="N3840" s="9">
        <v>3.79</v>
      </c>
      <c r="O3840" s="10">
        <f>IF(AND(OR(H3840="APPROVED",H3840="SCHEDULED"),COUNTIFS(tblSource[EventID],F3840,tblSource[ReleaseStatus],"APPROVED")=1,COUNTIFS(Period_Status!$A$2:$A$8,G3840,Period_Status!$B$2:$B$8,"ActualClosed")=1,C3840&gt;EOMONTH(Settlement_Bridge!$C$2,0)),1,0)</f>
        <v>1</v>
      </c>
      <c r="P3840" s="2" t="s">
        <v>10452</v>
      </c>
    </row>
    <row r="3841" spans="1:16" x14ac:dyDescent="0.25">
      <c r="A3841" s="2" t="s">
        <v>10453</v>
      </c>
      <c r="B3841" s="2" t="s">
        <v>7433</v>
      </c>
      <c r="C3841" s="8">
        <v>46263</v>
      </c>
      <c r="D3841" s="6">
        <v>46235</v>
      </c>
      <c r="E3841" s="2" t="s">
        <v>260</v>
      </c>
      <c r="F3841" s="2" t="s">
        <v>10451</v>
      </c>
      <c r="G3841" s="6">
        <v>46204</v>
      </c>
      <c r="H3841" s="2" t="s">
        <v>71</v>
      </c>
      <c r="I3841" s="2" t="s">
        <v>39</v>
      </c>
      <c r="J3841" s="9">
        <v>10323.15</v>
      </c>
      <c r="K3841" s="7">
        <v>1</v>
      </c>
      <c r="L3841" s="9">
        <v>10323.15</v>
      </c>
      <c r="M3841" s="9">
        <v>10323.15</v>
      </c>
      <c r="N3841" s="9">
        <v>5.68</v>
      </c>
      <c r="O3841" s="10">
        <f>IF(AND(OR(H3841="APPROVED",H3841="SCHEDULED"),COUNTIFS(tblSource[EventID],F3841,tblSource[ReleaseStatus],"APPROVED")=1,COUNTIFS(Period_Status!$A$2:$A$8,G3841,Period_Status!$B$2:$B$8,"ActualClosed")=1,C3841&gt;EOMONTH(Settlement_Bridge!$C$2,0)),1,0)</f>
        <v>1</v>
      </c>
      <c r="P3841" s="2" t="s">
        <v>10454</v>
      </c>
    </row>
    <row r="3842" spans="1:16" x14ac:dyDescent="0.25">
      <c r="A3842" s="2" t="s">
        <v>10455</v>
      </c>
      <c r="B3842" s="2" t="s">
        <v>7433</v>
      </c>
      <c r="C3842" s="8">
        <v>46239</v>
      </c>
      <c r="D3842" s="6">
        <v>46235</v>
      </c>
      <c r="E3842" s="2" t="s">
        <v>260</v>
      </c>
      <c r="F3842" s="2" t="s">
        <v>10456</v>
      </c>
      <c r="G3842" s="6">
        <v>46204</v>
      </c>
      <c r="H3842" s="2" t="s">
        <v>71</v>
      </c>
      <c r="I3842" s="2" t="s">
        <v>76</v>
      </c>
      <c r="J3842" s="9">
        <v>112787483.870968</v>
      </c>
      <c r="K3842" s="7">
        <v>6.1500000000000004E-5</v>
      </c>
      <c r="L3842" s="9">
        <v>6936.43</v>
      </c>
      <c r="M3842" s="9">
        <v>6992.82</v>
      </c>
      <c r="N3842" s="9">
        <v>3.82</v>
      </c>
      <c r="O3842" s="10">
        <f>IF(AND(OR(H3842="APPROVED",H3842="SCHEDULED"),COUNTIFS(tblSource[EventID],F3842,tblSource[ReleaseStatus],"APPROVED")=1,COUNTIFS(Period_Status!$A$2:$A$8,G3842,Period_Status!$B$2:$B$8,"ActualClosed")=1,C3842&gt;EOMONTH(Settlement_Bridge!$C$2,0)),1,0)</f>
        <v>1</v>
      </c>
      <c r="P3842" s="2" t="s">
        <v>10457</v>
      </c>
    </row>
    <row r="3843" spans="1:16" x14ac:dyDescent="0.25">
      <c r="A3843" s="2" t="s">
        <v>10458</v>
      </c>
      <c r="B3843" s="2" t="s">
        <v>7433</v>
      </c>
      <c r="C3843" s="8">
        <v>46264</v>
      </c>
      <c r="D3843" s="6">
        <v>46235</v>
      </c>
      <c r="E3843" s="2" t="s">
        <v>260</v>
      </c>
      <c r="F3843" s="2" t="s">
        <v>10456</v>
      </c>
      <c r="G3843" s="6">
        <v>46204</v>
      </c>
      <c r="H3843" s="2" t="s">
        <v>71</v>
      </c>
      <c r="I3843" s="2" t="s">
        <v>76</v>
      </c>
      <c r="J3843" s="9">
        <v>169181225.80645099</v>
      </c>
      <c r="K3843" s="7">
        <v>6.1500000000000004E-5</v>
      </c>
      <c r="L3843" s="9">
        <v>10404.65</v>
      </c>
      <c r="M3843" s="9">
        <v>10489.24</v>
      </c>
      <c r="N3843" s="9">
        <v>5.72</v>
      </c>
      <c r="O3843" s="10">
        <f>IF(AND(OR(H3843="APPROVED",H3843="SCHEDULED"),COUNTIFS(tblSource[EventID],F3843,tblSource[ReleaseStatus],"APPROVED")=1,COUNTIFS(Period_Status!$A$2:$A$8,G3843,Period_Status!$B$2:$B$8,"ActualClosed")=1,C3843&gt;EOMONTH(Settlement_Bridge!$C$2,0)),1,0)</f>
        <v>1</v>
      </c>
      <c r="P3843" s="2" t="s">
        <v>10459</v>
      </c>
    </row>
    <row r="3844" spans="1:16" x14ac:dyDescent="0.25">
      <c r="A3844" s="2" t="s">
        <v>10460</v>
      </c>
      <c r="B3844" s="2" t="s">
        <v>7433</v>
      </c>
      <c r="C3844" s="8">
        <v>46240</v>
      </c>
      <c r="D3844" s="6">
        <v>46235</v>
      </c>
      <c r="E3844" s="2" t="s">
        <v>260</v>
      </c>
      <c r="F3844" s="2" t="s">
        <v>10461</v>
      </c>
      <c r="G3844" s="6">
        <v>46204</v>
      </c>
      <c r="H3844" s="2" t="s">
        <v>71</v>
      </c>
      <c r="I3844" s="2" t="s">
        <v>70</v>
      </c>
      <c r="J3844" s="9">
        <v>10795.671732000001</v>
      </c>
      <c r="K3844" s="7">
        <v>0.65</v>
      </c>
      <c r="L3844" s="9">
        <v>7017.19</v>
      </c>
      <c r="M3844" s="9">
        <v>7103.55</v>
      </c>
      <c r="N3844" s="9">
        <v>3.86</v>
      </c>
      <c r="O3844" s="10">
        <f>IF(AND(OR(H3844="APPROVED",H3844="SCHEDULED"),COUNTIFS(tblSource[EventID],F3844,tblSource[ReleaseStatus],"APPROVED")=1,COUNTIFS(Period_Status!$A$2:$A$8,G3844,Period_Status!$B$2:$B$8,"ActualClosed")=1,C3844&gt;EOMONTH(Settlement_Bridge!$C$2,0)),1,0)</f>
        <v>1</v>
      </c>
      <c r="P3844" s="2" t="s">
        <v>10462</v>
      </c>
    </row>
    <row r="3845" spans="1:16" x14ac:dyDescent="0.25">
      <c r="A3845" s="2" t="s">
        <v>10463</v>
      </c>
      <c r="B3845" s="2" t="s">
        <v>7433</v>
      </c>
      <c r="C3845" s="8">
        <v>46265</v>
      </c>
      <c r="D3845" s="6">
        <v>46235</v>
      </c>
      <c r="E3845" s="2" t="s">
        <v>260</v>
      </c>
      <c r="F3845" s="2" t="s">
        <v>10461</v>
      </c>
      <c r="G3845" s="6">
        <v>46204</v>
      </c>
      <c r="H3845" s="2" t="s">
        <v>71</v>
      </c>
      <c r="I3845" s="2" t="s">
        <v>70</v>
      </c>
      <c r="J3845" s="9">
        <v>16193.507599</v>
      </c>
      <c r="K3845" s="7">
        <v>0.65</v>
      </c>
      <c r="L3845" s="9">
        <v>10525.78</v>
      </c>
      <c r="M3845" s="9">
        <v>10655.33</v>
      </c>
      <c r="N3845" s="9">
        <v>5.79</v>
      </c>
      <c r="O3845" s="10">
        <f>IF(AND(OR(H3845="APPROVED",H3845="SCHEDULED"),COUNTIFS(tblSource[EventID],F3845,tblSource[ReleaseStatus],"APPROVED")=1,COUNTIFS(Period_Status!$A$2:$A$8,G3845,Period_Status!$B$2:$B$8,"ActualClosed")=1,C3845&gt;EOMONTH(Settlement_Bridge!$C$2,0)),1,0)</f>
        <v>1</v>
      </c>
      <c r="P3845" s="2" t="s">
        <v>10464</v>
      </c>
    </row>
    <row r="3846" spans="1:16" x14ac:dyDescent="0.25">
      <c r="A3846" s="2" t="s">
        <v>10465</v>
      </c>
      <c r="B3846" s="2" t="s">
        <v>7433</v>
      </c>
      <c r="C3846" s="8">
        <v>46241</v>
      </c>
      <c r="D3846" s="6">
        <v>46235</v>
      </c>
      <c r="E3846" s="2" t="s">
        <v>260</v>
      </c>
      <c r="F3846" s="2" t="s">
        <v>10466</v>
      </c>
      <c r="G3846" s="6">
        <v>46204</v>
      </c>
      <c r="H3846" s="2" t="s">
        <v>71</v>
      </c>
      <c r="I3846" s="2" t="s">
        <v>39</v>
      </c>
      <c r="J3846" s="9">
        <v>7214.28</v>
      </c>
      <c r="K3846" s="7">
        <v>1</v>
      </c>
      <c r="L3846" s="9">
        <v>7214.28</v>
      </c>
      <c r="M3846" s="9">
        <v>7214.28</v>
      </c>
      <c r="N3846" s="9">
        <v>3.97</v>
      </c>
      <c r="O3846" s="10">
        <f>IF(AND(OR(H3846="APPROVED",H3846="SCHEDULED"),COUNTIFS(tblSource[EventID],F3846,tblSource[ReleaseStatus],"APPROVED")=1,COUNTIFS(Period_Status!$A$2:$A$8,G3846,Period_Status!$B$2:$B$8,"ActualClosed")=1,C3846&gt;EOMONTH(Settlement_Bridge!$C$2,0)),1,0)</f>
        <v>1</v>
      </c>
      <c r="P3846" s="2" t="s">
        <v>10467</v>
      </c>
    </row>
    <row r="3847" spans="1:16" x14ac:dyDescent="0.25">
      <c r="A3847" s="2" t="s">
        <v>10468</v>
      </c>
      <c r="B3847" s="2" t="s">
        <v>7433</v>
      </c>
      <c r="C3847" s="8">
        <v>46266</v>
      </c>
      <c r="D3847" s="6">
        <v>46266</v>
      </c>
      <c r="E3847" s="2" t="s">
        <v>260</v>
      </c>
      <c r="F3847" s="2" t="s">
        <v>10466</v>
      </c>
      <c r="G3847" s="6">
        <v>46204</v>
      </c>
      <c r="H3847" s="2" t="s">
        <v>176</v>
      </c>
      <c r="I3847" s="2" t="s">
        <v>39</v>
      </c>
      <c r="J3847" s="9">
        <v>10821.42</v>
      </c>
      <c r="K3847" s="7">
        <v>1</v>
      </c>
      <c r="L3847" s="9">
        <v>10821.42</v>
      </c>
      <c r="M3847" s="9">
        <v>10821.42</v>
      </c>
      <c r="N3847" s="9">
        <v>5.95</v>
      </c>
      <c r="O3847" s="10">
        <f>IF(AND(OR(H3847="APPROVED",H3847="SCHEDULED"),COUNTIFS(tblSource[EventID],F3847,tblSource[ReleaseStatus],"APPROVED")=1,COUNTIFS(Period_Status!$A$2:$A$8,G3847,Period_Status!$B$2:$B$8,"ActualClosed")=1,C3847&gt;EOMONTH(Settlement_Bridge!$C$2,0)),1,0)</f>
        <v>1</v>
      </c>
      <c r="P3847" s="2" t="s">
        <v>10469</v>
      </c>
    </row>
    <row r="3848" spans="1:16" x14ac:dyDescent="0.25">
      <c r="A3848" s="2" t="s">
        <v>10470</v>
      </c>
      <c r="B3848" s="2" t="s">
        <v>7433</v>
      </c>
      <c r="C3848" s="8">
        <v>46242</v>
      </c>
      <c r="D3848" s="6">
        <v>46235</v>
      </c>
      <c r="E3848" s="2" t="s">
        <v>260</v>
      </c>
      <c r="F3848" s="2" t="s">
        <v>10471</v>
      </c>
      <c r="G3848" s="6">
        <v>46204</v>
      </c>
      <c r="H3848" s="2" t="s">
        <v>71</v>
      </c>
      <c r="I3848" s="2" t="s">
        <v>76</v>
      </c>
      <c r="J3848" s="9">
        <v>118145225.80645201</v>
      </c>
      <c r="K3848" s="7">
        <v>6.1500000000000004E-5</v>
      </c>
      <c r="L3848" s="9">
        <v>7265.93</v>
      </c>
      <c r="M3848" s="9">
        <v>7325</v>
      </c>
      <c r="N3848" s="9">
        <v>4</v>
      </c>
      <c r="O3848" s="10">
        <f>IF(AND(OR(H3848="APPROVED",H3848="SCHEDULED"),COUNTIFS(tblSource[EventID],F3848,tblSource[ReleaseStatus],"APPROVED")=1,COUNTIFS(Period_Status!$A$2:$A$8,G3848,Period_Status!$B$2:$B$8,"ActualClosed")=1,C3848&gt;EOMONTH(Settlement_Bridge!$C$2,0)),1,0)</f>
        <v>1</v>
      </c>
      <c r="P3848" s="2" t="s">
        <v>10472</v>
      </c>
    </row>
    <row r="3849" spans="1:16" x14ac:dyDescent="0.25">
      <c r="A3849" s="2" t="s">
        <v>10473</v>
      </c>
      <c r="B3849" s="2" t="s">
        <v>7433</v>
      </c>
      <c r="C3849" s="8">
        <v>46267</v>
      </c>
      <c r="D3849" s="6">
        <v>46266</v>
      </c>
      <c r="E3849" s="2" t="s">
        <v>260</v>
      </c>
      <c r="F3849" s="2" t="s">
        <v>10471</v>
      </c>
      <c r="G3849" s="6">
        <v>46204</v>
      </c>
      <c r="H3849" s="2" t="s">
        <v>176</v>
      </c>
      <c r="I3849" s="2" t="s">
        <v>76</v>
      </c>
      <c r="J3849" s="9">
        <v>177217838.70967701</v>
      </c>
      <c r="K3849" s="7">
        <v>6.1299999999999999E-5</v>
      </c>
      <c r="L3849" s="9">
        <v>10863.45</v>
      </c>
      <c r="M3849" s="9">
        <v>10987.51</v>
      </c>
      <c r="N3849" s="9">
        <v>5.97</v>
      </c>
      <c r="O3849" s="10">
        <f>IF(AND(OR(H3849="APPROVED",H3849="SCHEDULED"),COUNTIFS(tblSource[EventID],F3849,tblSource[ReleaseStatus],"APPROVED")=1,COUNTIFS(Period_Status!$A$2:$A$8,G3849,Period_Status!$B$2:$B$8,"ActualClosed")=1,C3849&gt;EOMONTH(Settlement_Bridge!$C$2,0)),1,0)</f>
        <v>1</v>
      </c>
      <c r="P3849" s="2" t="s">
        <v>10474</v>
      </c>
    </row>
    <row r="3850" spans="1:16" x14ac:dyDescent="0.25">
      <c r="A3850" s="2" t="s">
        <v>10475</v>
      </c>
      <c r="B3850" s="2" t="s">
        <v>7433</v>
      </c>
      <c r="C3850" s="8">
        <v>46243</v>
      </c>
      <c r="D3850" s="6">
        <v>46235</v>
      </c>
      <c r="E3850" s="2" t="s">
        <v>260</v>
      </c>
      <c r="F3850" s="2" t="s">
        <v>10476</v>
      </c>
      <c r="G3850" s="6">
        <v>46204</v>
      </c>
      <c r="H3850" s="2" t="s">
        <v>71</v>
      </c>
      <c r="I3850" s="2" t="s">
        <v>70</v>
      </c>
      <c r="J3850" s="9">
        <v>-28251.261397999999</v>
      </c>
      <c r="K3850" s="7">
        <v>0.65</v>
      </c>
      <c r="L3850" s="9">
        <v>-18363.32</v>
      </c>
      <c r="M3850" s="9">
        <v>-18589.330000000002</v>
      </c>
      <c r="N3850" s="9">
        <v>0</v>
      </c>
      <c r="O3850" s="10">
        <f>IF(AND(OR(H3850="APPROVED",H3850="SCHEDULED"),COUNTIFS(tblSource[EventID],F3850,tblSource[ReleaseStatus],"APPROVED")=1,COUNTIFS(Period_Status!$A$2:$A$8,G3850,Period_Status!$B$2:$B$8,"ActualClosed")=1,C3850&gt;EOMONTH(Settlement_Bridge!$C$2,0)),1,0)</f>
        <v>1</v>
      </c>
      <c r="P3850" s="2" t="s">
        <v>10477</v>
      </c>
    </row>
    <row r="3851" spans="1:16" x14ac:dyDescent="0.25">
      <c r="A3851" s="2" t="s">
        <v>10478</v>
      </c>
      <c r="B3851" s="2" t="s">
        <v>7433</v>
      </c>
      <c r="C3851" s="8">
        <v>46244</v>
      </c>
      <c r="D3851" s="6">
        <v>46235</v>
      </c>
      <c r="E3851" s="2" t="s">
        <v>260</v>
      </c>
      <c r="F3851" s="2" t="s">
        <v>10479</v>
      </c>
      <c r="G3851" s="6">
        <v>46204</v>
      </c>
      <c r="H3851" s="2" t="s">
        <v>71</v>
      </c>
      <c r="I3851" s="2" t="s">
        <v>39</v>
      </c>
      <c r="J3851" s="9">
        <v>7546.4560000000001</v>
      </c>
      <c r="K3851" s="7">
        <v>1</v>
      </c>
      <c r="L3851" s="9">
        <v>7546.46</v>
      </c>
      <c r="M3851" s="9">
        <v>7546.46</v>
      </c>
      <c r="N3851" s="9">
        <v>4.1500000000000004</v>
      </c>
      <c r="O3851" s="10">
        <f>IF(AND(OR(H3851="APPROVED",H3851="SCHEDULED"),COUNTIFS(tblSource[EventID],F3851,tblSource[ReleaseStatus],"APPROVED")=1,COUNTIFS(Period_Status!$A$2:$A$8,G3851,Period_Status!$B$2:$B$8,"ActualClosed")=1,C3851&gt;EOMONTH(Settlement_Bridge!$C$2,0)),1,0)</f>
        <v>1</v>
      </c>
      <c r="P3851" s="2" t="s">
        <v>10480</v>
      </c>
    </row>
    <row r="3852" spans="1:16" x14ac:dyDescent="0.25">
      <c r="A3852" s="2" t="s">
        <v>10481</v>
      </c>
      <c r="B3852" s="2" t="s">
        <v>7433</v>
      </c>
      <c r="C3852" s="8">
        <v>46269</v>
      </c>
      <c r="D3852" s="6">
        <v>46266</v>
      </c>
      <c r="E3852" s="2" t="s">
        <v>260</v>
      </c>
      <c r="F3852" s="2" t="s">
        <v>10479</v>
      </c>
      <c r="G3852" s="6">
        <v>46204</v>
      </c>
      <c r="H3852" s="2" t="s">
        <v>176</v>
      </c>
      <c r="I3852" s="2" t="s">
        <v>39</v>
      </c>
      <c r="J3852" s="9">
        <v>11319.683999999999</v>
      </c>
      <c r="K3852" s="7">
        <v>1</v>
      </c>
      <c r="L3852" s="9">
        <v>11319.68</v>
      </c>
      <c r="M3852" s="9">
        <v>11319.68</v>
      </c>
      <c r="N3852" s="9">
        <v>6.23</v>
      </c>
      <c r="O3852" s="10">
        <f>IF(AND(OR(H3852="APPROVED",H3852="SCHEDULED"),COUNTIFS(tblSource[EventID],F3852,tblSource[ReleaseStatus],"APPROVED")=1,COUNTIFS(Period_Status!$A$2:$A$8,G3852,Period_Status!$B$2:$B$8,"ActualClosed")=1,C3852&gt;EOMONTH(Settlement_Bridge!$C$2,0)),1,0)</f>
        <v>1</v>
      </c>
      <c r="P3852" s="2" t="s">
        <v>10482</v>
      </c>
    </row>
    <row r="3853" spans="1:16" x14ac:dyDescent="0.25">
      <c r="A3853" s="2" t="s">
        <v>10483</v>
      </c>
      <c r="B3853" s="2" t="s">
        <v>7433</v>
      </c>
      <c r="C3853" s="8">
        <v>46245</v>
      </c>
      <c r="D3853" s="6">
        <v>46235</v>
      </c>
      <c r="E3853" s="2" t="s">
        <v>260</v>
      </c>
      <c r="F3853" s="2" t="s">
        <v>10484</v>
      </c>
      <c r="G3853" s="6">
        <v>46204</v>
      </c>
      <c r="H3853" s="2" t="s">
        <v>71</v>
      </c>
      <c r="I3853" s="2" t="s">
        <v>76</v>
      </c>
      <c r="J3853" s="9">
        <v>123502967.741936</v>
      </c>
      <c r="K3853" s="7">
        <v>6.1500000000000004E-5</v>
      </c>
      <c r="L3853" s="9">
        <v>7595.43</v>
      </c>
      <c r="M3853" s="9">
        <v>7657.18</v>
      </c>
      <c r="N3853" s="9">
        <v>4.18</v>
      </c>
      <c r="O3853" s="10">
        <f>IF(AND(OR(H3853="APPROVED",H3853="SCHEDULED"),COUNTIFS(tblSource[EventID],F3853,tblSource[ReleaseStatus],"APPROVED")=1,COUNTIFS(Period_Status!$A$2:$A$8,G3853,Period_Status!$B$2:$B$8,"ActualClosed")=1,C3853&gt;EOMONTH(Settlement_Bridge!$C$2,0)),1,0)</f>
        <v>1</v>
      </c>
      <c r="P3853" s="2" t="s">
        <v>10485</v>
      </c>
    </row>
    <row r="3854" spans="1:16" x14ac:dyDescent="0.25">
      <c r="A3854" s="2" t="s">
        <v>10486</v>
      </c>
      <c r="B3854" s="2" t="s">
        <v>7433</v>
      </c>
      <c r="C3854" s="8">
        <v>46270</v>
      </c>
      <c r="D3854" s="6">
        <v>46266</v>
      </c>
      <c r="E3854" s="2" t="s">
        <v>260</v>
      </c>
      <c r="F3854" s="2" t="s">
        <v>10484</v>
      </c>
      <c r="G3854" s="6">
        <v>46204</v>
      </c>
      <c r="H3854" s="2" t="s">
        <v>176</v>
      </c>
      <c r="I3854" s="2" t="s">
        <v>76</v>
      </c>
      <c r="J3854" s="9">
        <v>185254451.612903</v>
      </c>
      <c r="K3854" s="7">
        <v>6.1299999999999999E-5</v>
      </c>
      <c r="L3854" s="9">
        <v>11356.1</v>
      </c>
      <c r="M3854" s="9">
        <v>11485.78</v>
      </c>
      <c r="N3854" s="9">
        <v>6.25</v>
      </c>
      <c r="O3854" s="10">
        <f>IF(AND(OR(H3854="APPROVED",H3854="SCHEDULED"),COUNTIFS(tblSource[EventID],F3854,tblSource[ReleaseStatus],"APPROVED")=1,COUNTIFS(Period_Status!$A$2:$A$8,G3854,Period_Status!$B$2:$B$8,"ActualClosed")=1,C3854&gt;EOMONTH(Settlement_Bridge!$C$2,0)),1,0)</f>
        <v>1</v>
      </c>
      <c r="P3854" s="2" t="s">
        <v>10487</v>
      </c>
    </row>
    <row r="3855" spans="1:16" x14ac:dyDescent="0.25">
      <c r="A3855" s="2" t="s">
        <v>10488</v>
      </c>
      <c r="B3855" s="2" t="s">
        <v>7433</v>
      </c>
      <c r="C3855" s="8">
        <v>46246</v>
      </c>
      <c r="D3855" s="6">
        <v>46235</v>
      </c>
      <c r="E3855" s="2" t="s">
        <v>260</v>
      </c>
      <c r="F3855" s="2" t="s">
        <v>10489</v>
      </c>
      <c r="G3855" s="6">
        <v>46204</v>
      </c>
      <c r="H3855" s="2" t="s">
        <v>71</v>
      </c>
      <c r="I3855" s="2" t="s">
        <v>70</v>
      </c>
      <c r="J3855" s="9">
        <v>11805.337385999999</v>
      </c>
      <c r="K3855" s="7">
        <v>0.65</v>
      </c>
      <c r="L3855" s="9">
        <v>7673.47</v>
      </c>
      <c r="M3855" s="9">
        <v>7767.91</v>
      </c>
      <c r="N3855" s="9">
        <v>4.22</v>
      </c>
      <c r="O3855" s="10">
        <f>IF(AND(OR(H3855="APPROVED",H3855="SCHEDULED"),COUNTIFS(tblSource[EventID],F3855,tblSource[ReleaseStatus],"APPROVED")=1,COUNTIFS(Period_Status!$A$2:$A$8,G3855,Period_Status!$B$2:$B$8,"ActualClosed")=1,C3855&gt;EOMONTH(Settlement_Bridge!$C$2,0)),1,0)</f>
        <v>1</v>
      </c>
      <c r="P3855" s="2" t="s">
        <v>10490</v>
      </c>
    </row>
    <row r="3856" spans="1:16" x14ac:dyDescent="0.25">
      <c r="A3856" s="2" t="s">
        <v>10491</v>
      </c>
      <c r="B3856" s="2" t="s">
        <v>7433</v>
      </c>
      <c r="C3856" s="8">
        <v>46271</v>
      </c>
      <c r="D3856" s="6">
        <v>46266</v>
      </c>
      <c r="E3856" s="2" t="s">
        <v>260</v>
      </c>
      <c r="F3856" s="2" t="s">
        <v>10489</v>
      </c>
      <c r="G3856" s="6">
        <v>46204</v>
      </c>
      <c r="H3856" s="2" t="s">
        <v>176</v>
      </c>
      <c r="I3856" s="2" t="s">
        <v>70</v>
      </c>
      <c r="J3856" s="9">
        <v>17708.006078999999</v>
      </c>
      <c r="K3856" s="7">
        <v>0.65100000000000002</v>
      </c>
      <c r="L3856" s="9">
        <v>11527.91</v>
      </c>
      <c r="M3856" s="9">
        <v>11651.87</v>
      </c>
      <c r="N3856" s="9">
        <v>6.34</v>
      </c>
      <c r="O3856" s="10">
        <f>IF(AND(OR(H3856="APPROVED",H3856="SCHEDULED"),COUNTIFS(tblSource[EventID],F3856,tblSource[ReleaseStatus],"APPROVED")=1,COUNTIFS(Period_Status!$A$2:$A$8,G3856,Period_Status!$B$2:$B$8,"ActualClosed")=1,C3856&gt;EOMONTH(Settlement_Bridge!$C$2,0)),1,0)</f>
        <v>1</v>
      </c>
      <c r="P3856" s="2" t="s">
        <v>10492</v>
      </c>
    </row>
    <row r="3857" spans="1:16" x14ac:dyDescent="0.25">
      <c r="A3857" s="2" t="s">
        <v>10493</v>
      </c>
      <c r="B3857" s="2" t="s">
        <v>7433</v>
      </c>
      <c r="C3857" s="8">
        <v>46247</v>
      </c>
      <c r="D3857" s="6">
        <v>46235</v>
      </c>
      <c r="E3857" s="2" t="s">
        <v>260</v>
      </c>
      <c r="F3857" s="2" t="s">
        <v>10494</v>
      </c>
      <c r="G3857" s="6">
        <v>46204</v>
      </c>
      <c r="H3857" s="2" t="s">
        <v>71</v>
      </c>
      <c r="I3857" s="2" t="s">
        <v>39</v>
      </c>
      <c r="J3857" s="9">
        <v>7878.6360000000004</v>
      </c>
      <c r="K3857" s="7">
        <v>1</v>
      </c>
      <c r="L3857" s="9">
        <v>7878.64</v>
      </c>
      <c r="M3857" s="9">
        <v>7878.64</v>
      </c>
      <c r="N3857" s="9">
        <v>4.33</v>
      </c>
      <c r="O3857" s="10">
        <f>IF(AND(OR(H3857="APPROVED",H3857="SCHEDULED"),COUNTIFS(tblSource[EventID],F3857,tblSource[ReleaseStatus],"APPROVED")=1,COUNTIFS(Period_Status!$A$2:$A$8,G3857,Period_Status!$B$2:$B$8,"ActualClosed")=1,C3857&gt;EOMONTH(Settlement_Bridge!$C$2,0)),1,0)</f>
        <v>1</v>
      </c>
      <c r="P3857" s="2" t="s">
        <v>10495</v>
      </c>
    </row>
    <row r="3858" spans="1:16" x14ac:dyDescent="0.25">
      <c r="A3858" s="2" t="s">
        <v>10496</v>
      </c>
      <c r="B3858" s="2" t="s">
        <v>7433</v>
      </c>
      <c r="C3858" s="8">
        <v>46272</v>
      </c>
      <c r="D3858" s="6">
        <v>46266</v>
      </c>
      <c r="E3858" s="2" t="s">
        <v>260</v>
      </c>
      <c r="F3858" s="2" t="s">
        <v>10494</v>
      </c>
      <c r="G3858" s="6">
        <v>46204</v>
      </c>
      <c r="H3858" s="2" t="s">
        <v>176</v>
      </c>
      <c r="I3858" s="2" t="s">
        <v>39</v>
      </c>
      <c r="J3858" s="9">
        <v>11817.954</v>
      </c>
      <c r="K3858" s="7">
        <v>1</v>
      </c>
      <c r="L3858" s="9">
        <v>11817.95</v>
      </c>
      <c r="M3858" s="9">
        <v>11817.95</v>
      </c>
      <c r="N3858" s="9">
        <v>6.5</v>
      </c>
      <c r="O3858" s="10">
        <f>IF(AND(OR(H3858="APPROVED",H3858="SCHEDULED"),COUNTIFS(tblSource[EventID],F3858,tblSource[ReleaseStatus],"APPROVED")=1,COUNTIFS(Period_Status!$A$2:$A$8,G3858,Period_Status!$B$2:$B$8,"ActualClosed")=1,C3858&gt;EOMONTH(Settlement_Bridge!$C$2,0)),1,0)</f>
        <v>1</v>
      </c>
      <c r="P3858" s="2" t="s">
        <v>10497</v>
      </c>
    </row>
    <row r="3859" spans="1:16" x14ac:dyDescent="0.25">
      <c r="A3859" s="2" t="s">
        <v>10498</v>
      </c>
      <c r="B3859" s="2" t="s">
        <v>7433</v>
      </c>
      <c r="C3859" s="8">
        <v>46248</v>
      </c>
      <c r="D3859" s="6">
        <v>46235</v>
      </c>
      <c r="E3859" s="2" t="s">
        <v>260</v>
      </c>
      <c r="F3859" s="2" t="s">
        <v>10499</v>
      </c>
      <c r="G3859" s="6">
        <v>46204</v>
      </c>
      <c r="H3859" s="2" t="s">
        <v>71</v>
      </c>
      <c r="I3859" s="2" t="s">
        <v>76</v>
      </c>
      <c r="J3859" s="9">
        <v>128860709.67741901</v>
      </c>
      <c r="K3859" s="7">
        <v>6.1500000000000004E-5</v>
      </c>
      <c r="L3859" s="9">
        <v>7924.93</v>
      </c>
      <c r="M3859" s="9">
        <v>7989.36</v>
      </c>
      <c r="N3859" s="9">
        <v>4.3600000000000003</v>
      </c>
      <c r="O3859" s="10">
        <f>IF(AND(OR(H3859="APPROVED",H3859="SCHEDULED"),COUNTIFS(tblSource[EventID],F3859,tblSource[ReleaseStatus],"APPROVED")=1,COUNTIFS(Period_Status!$A$2:$A$8,G3859,Period_Status!$B$2:$B$8,"ActualClosed")=1,C3859&gt;EOMONTH(Settlement_Bridge!$C$2,0)),1,0)</f>
        <v>1</v>
      </c>
      <c r="P3859" s="2" t="s">
        <v>10500</v>
      </c>
    </row>
    <row r="3860" spans="1:16" x14ac:dyDescent="0.25">
      <c r="A3860" s="2" t="s">
        <v>10501</v>
      </c>
      <c r="B3860" s="2" t="s">
        <v>7433</v>
      </c>
      <c r="C3860" s="8">
        <v>46273</v>
      </c>
      <c r="D3860" s="6">
        <v>46266</v>
      </c>
      <c r="E3860" s="2" t="s">
        <v>260</v>
      </c>
      <c r="F3860" s="2" t="s">
        <v>10499</v>
      </c>
      <c r="G3860" s="6">
        <v>46204</v>
      </c>
      <c r="H3860" s="2" t="s">
        <v>176</v>
      </c>
      <c r="I3860" s="2" t="s">
        <v>76</v>
      </c>
      <c r="J3860" s="9">
        <v>193291064.51612899</v>
      </c>
      <c r="K3860" s="7">
        <v>6.1299999999999999E-5</v>
      </c>
      <c r="L3860" s="9">
        <v>11848.74</v>
      </c>
      <c r="M3860" s="9">
        <v>11984.05</v>
      </c>
      <c r="N3860" s="9">
        <v>6.52</v>
      </c>
      <c r="O3860" s="10">
        <f>IF(AND(OR(H3860="APPROVED",H3860="SCHEDULED"),COUNTIFS(tblSource[EventID],F3860,tblSource[ReleaseStatus],"APPROVED")=1,COUNTIFS(Period_Status!$A$2:$A$8,G3860,Period_Status!$B$2:$B$8,"ActualClosed")=1,C3860&gt;EOMONTH(Settlement_Bridge!$C$2,0)),1,0)</f>
        <v>1</v>
      </c>
      <c r="P3860" s="2" t="s">
        <v>10502</v>
      </c>
    </row>
    <row r="3861" spans="1:16" x14ac:dyDescent="0.25">
      <c r="A3861" s="2" t="s">
        <v>10503</v>
      </c>
      <c r="B3861" s="2" t="s">
        <v>7433</v>
      </c>
      <c r="C3861" s="8">
        <v>46218</v>
      </c>
      <c r="D3861" s="6">
        <v>46204</v>
      </c>
      <c r="E3861" s="2" t="s">
        <v>260</v>
      </c>
      <c r="F3861" s="2" t="s">
        <v>10504</v>
      </c>
      <c r="G3861" s="6">
        <v>46204</v>
      </c>
      <c r="H3861" s="2" t="s">
        <v>71</v>
      </c>
      <c r="I3861" s="2" t="s">
        <v>70</v>
      </c>
      <c r="J3861" s="9">
        <v>12310.170212999999</v>
      </c>
      <c r="K3861" s="7">
        <v>0.65800000000000003</v>
      </c>
      <c r="L3861" s="9">
        <v>8100.09</v>
      </c>
      <c r="M3861" s="9">
        <v>8100.09</v>
      </c>
      <c r="N3861" s="9">
        <v>4.46</v>
      </c>
      <c r="O3861" s="10">
        <f>IF(AND(OR(H3861="APPROVED",H3861="SCHEDULED"),COUNTIFS(tblSource[EventID],F3861,tblSource[ReleaseStatus],"APPROVED")=1,COUNTIFS(Period_Status!$A$2:$A$8,G3861,Period_Status!$B$2:$B$8,"ActualClosed")=1,C3861&gt;EOMONTH(Settlement_Bridge!$C$2,0)),1,0)</f>
        <v>0</v>
      </c>
      <c r="P3861" s="2" t="s">
        <v>10505</v>
      </c>
    </row>
    <row r="3862" spans="1:16" x14ac:dyDescent="0.25">
      <c r="A3862" s="2" t="s">
        <v>10506</v>
      </c>
      <c r="B3862" s="2" t="s">
        <v>7433</v>
      </c>
      <c r="C3862" s="8">
        <v>46243</v>
      </c>
      <c r="D3862" s="6">
        <v>46235</v>
      </c>
      <c r="E3862" s="2" t="s">
        <v>260</v>
      </c>
      <c r="F3862" s="2" t="s">
        <v>10504</v>
      </c>
      <c r="G3862" s="6">
        <v>46204</v>
      </c>
      <c r="H3862" s="2" t="s">
        <v>71</v>
      </c>
      <c r="I3862" s="2" t="s">
        <v>70</v>
      </c>
      <c r="J3862" s="9">
        <v>18465.255319</v>
      </c>
      <c r="K3862" s="7">
        <v>0.65</v>
      </c>
      <c r="L3862" s="9">
        <v>12002.42</v>
      </c>
      <c r="M3862" s="9">
        <v>12150.14</v>
      </c>
      <c r="N3862" s="9">
        <v>6.6</v>
      </c>
      <c r="O3862" s="10">
        <f>IF(AND(OR(H3862="APPROVED",H3862="SCHEDULED"),COUNTIFS(tblSource[EventID],F3862,tblSource[ReleaseStatus],"APPROVED")=1,COUNTIFS(Period_Status!$A$2:$A$8,G3862,Period_Status!$B$2:$B$8,"ActualClosed")=1,C3862&gt;EOMONTH(Settlement_Bridge!$C$2,0)),1,0)</f>
        <v>1</v>
      </c>
      <c r="P3862" s="2" t="s">
        <v>10507</v>
      </c>
    </row>
    <row r="3863" spans="1:16" x14ac:dyDescent="0.25">
      <c r="A3863" s="2" t="s">
        <v>10508</v>
      </c>
      <c r="B3863" s="2" t="s">
        <v>7433</v>
      </c>
      <c r="C3863" s="8">
        <v>46219</v>
      </c>
      <c r="D3863" s="6">
        <v>46204</v>
      </c>
      <c r="E3863" s="2" t="s">
        <v>260</v>
      </c>
      <c r="F3863" s="2" t="s">
        <v>10509</v>
      </c>
      <c r="G3863" s="6">
        <v>46204</v>
      </c>
      <c r="H3863" s="2" t="s">
        <v>71</v>
      </c>
      <c r="I3863" s="2" t="s">
        <v>39</v>
      </c>
      <c r="J3863" s="9">
        <v>8210.8160000000007</v>
      </c>
      <c r="K3863" s="7">
        <v>1</v>
      </c>
      <c r="L3863" s="9">
        <v>8210.82</v>
      </c>
      <c r="M3863" s="9">
        <v>8210.82</v>
      </c>
      <c r="N3863" s="9">
        <v>4.5199999999999996</v>
      </c>
      <c r="O3863" s="10">
        <f>IF(AND(OR(H3863="APPROVED",H3863="SCHEDULED"),COUNTIFS(tblSource[EventID],F3863,tblSource[ReleaseStatus],"APPROVED")=1,COUNTIFS(Period_Status!$A$2:$A$8,G3863,Period_Status!$B$2:$B$8,"ActualClosed")=1,C3863&gt;EOMONTH(Settlement_Bridge!$C$2,0)),1,0)</f>
        <v>0</v>
      </c>
      <c r="P3863" s="2" t="s">
        <v>10510</v>
      </c>
    </row>
    <row r="3864" spans="1:16" x14ac:dyDescent="0.25">
      <c r="A3864" s="2" t="s">
        <v>10511</v>
      </c>
      <c r="B3864" s="2" t="s">
        <v>7433</v>
      </c>
      <c r="C3864" s="8">
        <v>46244</v>
      </c>
      <c r="D3864" s="6">
        <v>46235</v>
      </c>
      <c r="E3864" s="2" t="s">
        <v>260</v>
      </c>
      <c r="F3864" s="2" t="s">
        <v>10509</v>
      </c>
      <c r="G3864" s="6">
        <v>46204</v>
      </c>
      <c r="H3864" s="2" t="s">
        <v>71</v>
      </c>
      <c r="I3864" s="2" t="s">
        <v>39</v>
      </c>
      <c r="J3864" s="9">
        <v>12316.224</v>
      </c>
      <c r="K3864" s="7">
        <v>1</v>
      </c>
      <c r="L3864" s="9">
        <v>12316.22</v>
      </c>
      <c r="M3864" s="9">
        <v>12316.22</v>
      </c>
      <c r="N3864" s="9">
        <v>6.77</v>
      </c>
      <c r="O3864" s="10">
        <f>IF(AND(OR(H3864="APPROVED",H3864="SCHEDULED"),COUNTIFS(tblSource[EventID],F3864,tblSource[ReleaseStatus],"APPROVED")=1,COUNTIFS(Period_Status!$A$2:$A$8,G3864,Period_Status!$B$2:$B$8,"ActualClosed")=1,C3864&gt;EOMONTH(Settlement_Bridge!$C$2,0)),1,0)</f>
        <v>1</v>
      </c>
      <c r="P3864" s="2" t="s">
        <v>10512</v>
      </c>
    </row>
    <row r="3865" spans="1:16" x14ac:dyDescent="0.25">
      <c r="A3865" s="2" t="s">
        <v>10513</v>
      </c>
      <c r="B3865" s="2" t="s">
        <v>7433</v>
      </c>
      <c r="C3865" s="8">
        <v>46220</v>
      </c>
      <c r="D3865" s="6">
        <v>46204</v>
      </c>
      <c r="E3865" s="2" t="s">
        <v>260</v>
      </c>
      <c r="F3865" s="2" t="s">
        <v>10514</v>
      </c>
      <c r="G3865" s="6">
        <v>46204</v>
      </c>
      <c r="H3865" s="2" t="s">
        <v>71</v>
      </c>
      <c r="I3865" s="2" t="s">
        <v>76</v>
      </c>
      <c r="J3865" s="9">
        <v>134218451.612903</v>
      </c>
      <c r="K3865" s="7">
        <v>6.2000000000000003E-5</v>
      </c>
      <c r="L3865" s="9">
        <v>8321.5400000000009</v>
      </c>
      <c r="M3865" s="9">
        <v>8321.5400000000009</v>
      </c>
      <c r="N3865" s="9">
        <v>4.58</v>
      </c>
      <c r="O3865" s="10">
        <f>IF(AND(OR(H3865="APPROVED",H3865="SCHEDULED"),COUNTIFS(tblSource[EventID],F3865,tblSource[ReleaseStatus],"APPROVED")=1,COUNTIFS(Period_Status!$A$2:$A$8,G3865,Period_Status!$B$2:$B$8,"ActualClosed")=1,C3865&gt;EOMONTH(Settlement_Bridge!$C$2,0)),1,0)</f>
        <v>0</v>
      </c>
      <c r="P3865" s="2" t="s">
        <v>10515</v>
      </c>
    </row>
    <row r="3866" spans="1:16" x14ac:dyDescent="0.25">
      <c r="A3866" s="2" t="s">
        <v>10516</v>
      </c>
      <c r="B3866" s="2" t="s">
        <v>7433</v>
      </c>
      <c r="C3866" s="8">
        <v>46245</v>
      </c>
      <c r="D3866" s="6">
        <v>46235</v>
      </c>
      <c r="E3866" s="2" t="s">
        <v>260</v>
      </c>
      <c r="F3866" s="2" t="s">
        <v>10514</v>
      </c>
      <c r="G3866" s="6">
        <v>46204</v>
      </c>
      <c r="H3866" s="2" t="s">
        <v>71</v>
      </c>
      <c r="I3866" s="2" t="s">
        <v>76</v>
      </c>
      <c r="J3866" s="9">
        <v>201327677.41935501</v>
      </c>
      <c r="K3866" s="7">
        <v>6.1500000000000004E-5</v>
      </c>
      <c r="L3866" s="9">
        <v>12381.65</v>
      </c>
      <c r="M3866" s="9">
        <v>12482.32</v>
      </c>
      <c r="N3866" s="9">
        <v>6.81</v>
      </c>
      <c r="O3866" s="10">
        <f>IF(AND(OR(H3866="APPROVED",H3866="SCHEDULED"),COUNTIFS(tblSource[EventID],F3866,tblSource[ReleaseStatus],"APPROVED")=1,COUNTIFS(Period_Status!$A$2:$A$8,G3866,Period_Status!$B$2:$B$8,"ActualClosed")=1,C3866&gt;EOMONTH(Settlement_Bridge!$C$2,0)),1,0)</f>
        <v>1</v>
      </c>
      <c r="P3866" s="2" t="s">
        <v>10517</v>
      </c>
    </row>
    <row r="3867" spans="1:16" x14ac:dyDescent="0.25">
      <c r="A3867" s="2" t="s">
        <v>10518</v>
      </c>
      <c r="B3867" s="2" t="s">
        <v>7433</v>
      </c>
      <c r="C3867" s="8">
        <v>46221</v>
      </c>
      <c r="D3867" s="6">
        <v>46204</v>
      </c>
      <c r="E3867" s="2" t="s">
        <v>260</v>
      </c>
      <c r="F3867" s="2" t="s">
        <v>10519</v>
      </c>
      <c r="G3867" s="6">
        <v>46204</v>
      </c>
      <c r="H3867" s="2" t="s">
        <v>71</v>
      </c>
      <c r="I3867" s="2" t="s">
        <v>70</v>
      </c>
      <c r="J3867" s="9">
        <v>12815.00304</v>
      </c>
      <c r="K3867" s="7">
        <v>0.65800000000000003</v>
      </c>
      <c r="L3867" s="9">
        <v>8432.27</v>
      </c>
      <c r="M3867" s="9">
        <v>8432.27</v>
      </c>
      <c r="N3867" s="9">
        <v>4.6399999999999997</v>
      </c>
      <c r="O3867" s="10">
        <f>IF(AND(OR(H3867="APPROVED",H3867="SCHEDULED"),COUNTIFS(tblSource[EventID],F3867,tblSource[ReleaseStatus],"APPROVED")=1,COUNTIFS(Period_Status!$A$2:$A$8,G3867,Period_Status!$B$2:$B$8,"ActualClosed")=1,C3867&gt;EOMONTH(Settlement_Bridge!$C$2,0)),1,0)</f>
        <v>0</v>
      </c>
      <c r="P3867" s="2" t="s">
        <v>10520</v>
      </c>
    </row>
    <row r="3868" spans="1:16" x14ac:dyDescent="0.25">
      <c r="A3868" s="2" t="s">
        <v>10521</v>
      </c>
      <c r="B3868" s="2" t="s">
        <v>7433</v>
      </c>
      <c r="C3868" s="8">
        <v>46246</v>
      </c>
      <c r="D3868" s="6">
        <v>46235</v>
      </c>
      <c r="E3868" s="2" t="s">
        <v>260</v>
      </c>
      <c r="F3868" s="2" t="s">
        <v>10519</v>
      </c>
      <c r="G3868" s="6">
        <v>46204</v>
      </c>
      <c r="H3868" s="2" t="s">
        <v>71</v>
      </c>
      <c r="I3868" s="2" t="s">
        <v>70</v>
      </c>
      <c r="J3868" s="9">
        <v>19222.504559000001</v>
      </c>
      <c r="K3868" s="7">
        <v>0.65</v>
      </c>
      <c r="L3868" s="9">
        <v>12494.63</v>
      </c>
      <c r="M3868" s="9">
        <v>12648.41</v>
      </c>
      <c r="N3868" s="9">
        <v>6.87</v>
      </c>
      <c r="O3868" s="10">
        <f>IF(AND(OR(H3868="APPROVED",H3868="SCHEDULED"),COUNTIFS(tblSource[EventID],F3868,tblSource[ReleaseStatus],"APPROVED")=1,COUNTIFS(Period_Status!$A$2:$A$8,G3868,Period_Status!$B$2:$B$8,"ActualClosed")=1,C3868&gt;EOMONTH(Settlement_Bridge!$C$2,0)),1,0)</f>
        <v>1</v>
      </c>
      <c r="P3868" s="2" t="s">
        <v>10522</v>
      </c>
    </row>
    <row r="3869" spans="1:16" x14ac:dyDescent="0.25">
      <c r="A3869" s="2" t="s">
        <v>10523</v>
      </c>
      <c r="B3869" s="2" t="s">
        <v>7433</v>
      </c>
      <c r="C3869" s="8">
        <v>46222</v>
      </c>
      <c r="D3869" s="6">
        <v>46204</v>
      </c>
      <c r="E3869" s="2" t="s">
        <v>260</v>
      </c>
      <c r="F3869" s="2" t="s">
        <v>10524</v>
      </c>
      <c r="G3869" s="6">
        <v>46204</v>
      </c>
      <c r="H3869" s="2" t="s">
        <v>71</v>
      </c>
      <c r="I3869" s="2" t="s">
        <v>39</v>
      </c>
      <c r="J3869" s="9">
        <v>8542.9959999999992</v>
      </c>
      <c r="K3869" s="7">
        <v>1</v>
      </c>
      <c r="L3869" s="9">
        <v>8543</v>
      </c>
      <c r="M3869" s="9">
        <v>8543</v>
      </c>
      <c r="N3869" s="9">
        <v>4.7</v>
      </c>
      <c r="O3869" s="10">
        <f>IF(AND(OR(H3869="APPROVED",H3869="SCHEDULED"),COUNTIFS(tblSource[EventID],F3869,tblSource[ReleaseStatus],"APPROVED")=1,COUNTIFS(Period_Status!$A$2:$A$8,G3869,Period_Status!$B$2:$B$8,"ActualClosed")=1,C3869&gt;EOMONTH(Settlement_Bridge!$C$2,0)),1,0)</f>
        <v>0</v>
      </c>
      <c r="P3869" s="2" t="s">
        <v>10525</v>
      </c>
    </row>
    <row r="3870" spans="1:16" x14ac:dyDescent="0.25">
      <c r="A3870" s="2" t="s">
        <v>10526</v>
      </c>
      <c r="B3870" s="2" t="s">
        <v>7433</v>
      </c>
      <c r="C3870" s="8">
        <v>46247</v>
      </c>
      <c r="D3870" s="6">
        <v>46235</v>
      </c>
      <c r="E3870" s="2" t="s">
        <v>260</v>
      </c>
      <c r="F3870" s="2" t="s">
        <v>10524</v>
      </c>
      <c r="G3870" s="6">
        <v>46204</v>
      </c>
      <c r="H3870" s="2" t="s">
        <v>71</v>
      </c>
      <c r="I3870" s="2" t="s">
        <v>39</v>
      </c>
      <c r="J3870" s="9">
        <v>12814.494000000001</v>
      </c>
      <c r="K3870" s="7">
        <v>1</v>
      </c>
      <c r="L3870" s="9">
        <v>12814.49</v>
      </c>
      <c r="M3870" s="9">
        <v>12814.49</v>
      </c>
      <c r="N3870" s="9">
        <v>7.05</v>
      </c>
      <c r="O3870" s="10">
        <f>IF(AND(OR(H3870="APPROVED",H3870="SCHEDULED"),COUNTIFS(tblSource[EventID],F3870,tblSource[ReleaseStatus],"APPROVED")=1,COUNTIFS(Period_Status!$A$2:$A$8,G3870,Period_Status!$B$2:$B$8,"ActualClosed")=1,C3870&gt;EOMONTH(Settlement_Bridge!$C$2,0)),1,0)</f>
        <v>1</v>
      </c>
      <c r="P3870" s="2" t="s">
        <v>10527</v>
      </c>
    </row>
    <row r="3871" spans="1:16" x14ac:dyDescent="0.25">
      <c r="A3871" s="2" t="s">
        <v>10528</v>
      </c>
      <c r="B3871" s="2" t="s">
        <v>7433</v>
      </c>
      <c r="C3871" s="8">
        <v>46223</v>
      </c>
      <c r="D3871" s="6">
        <v>46204</v>
      </c>
      <c r="E3871" s="2" t="s">
        <v>260</v>
      </c>
      <c r="F3871" s="2" t="s">
        <v>10529</v>
      </c>
      <c r="G3871" s="6">
        <v>46204</v>
      </c>
      <c r="H3871" s="2" t="s">
        <v>71</v>
      </c>
      <c r="I3871" s="2" t="s">
        <v>76</v>
      </c>
      <c r="J3871" s="9">
        <v>139576129.032258</v>
      </c>
      <c r="K3871" s="7">
        <v>6.2000000000000003E-5</v>
      </c>
      <c r="L3871" s="9">
        <v>8653.7199999999993</v>
      </c>
      <c r="M3871" s="9">
        <v>8653.7199999999993</v>
      </c>
      <c r="N3871" s="9">
        <v>4.76</v>
      </c>
      <c r="O3871" s="10">
        <f>IF(AND(OR(H3871="APPROVED",H3871="SCHEDULED"),COUNTIFS(tblSource[EventID],F3871,tblSource[ReleaseStatus],"APPROVED")=1,COUNTIFS(Period_Status!$A$2:$A$8,G3871,Period_Status!$B$2:$B$8,"ActualClosed")=1,C3871&gt;EOMONTH(Settlement_Bridge!$C$2,0)),1,0)</f>
        <v>0</v>
      </c>
      <c r="P3871" s="2" t="s">
        <v>10530</v>
      </c>
    </row>
    <row r="3872" spans="1:16" x14ac:dyDescent="0.25">
      <c r="A3872" s="2" t="s">
        <v>10531</v>
      </c>
      <c r="B3872" s="2" t="s">
        <v>7433</v>
      </c>
      <c r="C3872" s="8">
        <v>46248</v>
      </c>
      <c r="D3872" s="6">
        <v>46235</v>
      </c>
      <c r="E3872" s="2" t="s">
        <v>260</v>
      </c>
      <c r="F3872" s="2" t="s">
        <v>10529</v>
      </c>
      <c r="G3872" s="6">
        <v>46204</v>
      </c>
      <c r="H3872" s="2" t="s">
        <v>71</v>
      </c>
      <c r="I3872" s="2" t="s">
        <v>76</v>
      </c>
      <c r="J3872" s="9">
        <v>209364193.54838699</v>
      </c>
      <c r="K3872" s="7">
        <v>6.1500000000000004E-5</v>
      </c>
      <c r="L3872" s="9">
        <v>12875.9</v>
      </c>
      <c r="M3872" s="9">
        <v>12980.58</v>
      </c>
      <c r="N3872" s="9">
        <v>7.08</v>
      </c>
      <c r="O3872" s="10">
        <f>IF(AND(OR(H3872="APPROVED",H3872="SCHEDULED"),COUNTIFS(tblSource[EventID],F3872,tblSource[ReleaseStatus],"APPROVED")=1,COUNTIFS(Period_Status!$A$2:$A$8,G3872,Period_Status!$B$2:$B$8,"ActualClosed")=1,C3872&gt;EOMONTH(Settlement_Bridge!$C$2,0)),1,0)</f>
        <v>1</v>
      </c>
      <c r="P3872" s="2" t="s">
        <v>10532</v>
      </c>
    </row>
    <row r="3873" spans="1:16" x14ac:dyDescent="0.25">
      <c r="A3873" s="2" t="s">
        <v>10533</v>
      </c>
      <c r="B3873" s="2" t="s">
        <v>7433</v>
      </c>
      <c r="C3873" s="8">
        <v>46224</v>
      </c>
      <c r="D3873" s="6">
        <v>46204</v>
      </c>
      <c r="E3873" s="2" t="s">
        <v>260</v>
      </c>
      <c r="F3873" s="2" t="s">
        <v>10534</v>
      </c>
      <c r="G3873" s="6">
        <v>46204</v>
      </c>
      <c r="H3873" s="2" t="s">
        <v>71</v>
      </c>
      <c r="I3873" s="2" t="s">
        <v>70</v>
      </c>
      <c r="J3873" s="9">
        <v>13319.829787000001</v>
      </c>
      <c r="K3873" s="7">
        <v>0.65800000000000003</v>
      </c>
      <c r="L3873" s="9">
        <v>8764.4500000000007</v>
      </c>
      <c r="M3873" s="9">
        <v>8764.4500000000007</v>
      </c>
      <c r="N3873" s="9">
        <v>4.82</v>
      </c>
      <c r="O3873" s="10">
        <f>IF(AND(OR(H3873="APPROVED",H3873="SCHEDULED"),COUNTIFS(tblSource[EventID],F3873,tblSource[ReleaseStatus],"APPROVED")=1,COUNTIFS(Period_Status!$A$2:$A$8,G3873,Period_Status!$B$2:$B$8,"ActualClosed")=1,C3873&gt;EOMONTH(Settlement_Bridge!$C$2,0)),1,0)</f>
        <v>0</v>
      </c>
      <c r="P3873" s="2" t="s">
        <v>10535</v>
      </c>
    </row>
    <row r="3874" spans="1:16" x14ac:dyDescent="0.25">
      <c r="A3874" s="2" t="s">
        <v>10536</v>
      </c>
      <c r="B3874" s="2" t="s">
        <v>7433</v>
      </c>
      <c r="C3874" s="8">
        <v>46249</v>
      </c>
      <c r="D3874" s="6">
        <v>46235</v>
      </c>
      <c r="E3874" s="2" t="s">
        <v>260</v>
      </c>
      <c r="F3874" s="2" t="s">
        <v>10534</v>
      </c>
      <c r="G3874" s="6">
        <v>46204</v>
      </c>
      <c r="H3874" s="2" t="s">
        <v>71</v>
      </c>
      <c r="I3874" s="2" t="s">
        <v>70</v>
      </c>
      <c r="J3874" s="9">
        <v>19979.744681</v>
      </c>
      <c r="K3874" s="7">
        <v>0.65</v>
      </c>
      <c r="L3874" s="9">
        <v>12986.83</v>
      </c>
      <c r="M3874" s="9">
        <v>13146.67</v>
      </c>
      <c r="N3874" s="9">
        <v>7.14</v>
      </c>
      <c r="O3874" s="10">
        <f>IF(AND(OR(H3874="APPROVED",H3874="SCHEDULED"),COUNTIFS(tblSource[EventID],F3874,tblSource[ReleaseStatus],"APPROVED")=1,COUNTIFS(Period_Status!$A$2:$A$8,G3874,Period_Status!$B$2:$B$8,"ActualClosed")=1,C3874&gt;EOMONTH(Settlement_Bridge!$C$2,0)),1,0)</f>
        <v>1</v>
      </c>
      <c r="P3874" s="2" t="s">
        <v>10537</v>
      </c>
    </row>
    <row r="3875" spans="1:16" x14ac:dyDescent="0.25">
      <c r="A3875" s="2" t="s">
        <v>10538</v>
      </c>
      <c r="B3875" s="2" t="s">
        <v>7433</v>
      </c>
      <c r="C3875" s="8">
        <v>46225</v>
      </c>
      <c r="D3875" s="6">
        <v>46204</v>
      </c>
      <c r="E3875" s="2" t="s">
        <v>260</v>
      </c>
      <c r="F3875" s="2" t="s">
        <v>10539</v>
      </c>
      <c r="G3875" s="6">
        <v>46204</v>
      </c>
      <c r="H3875" s="2" t="s">
        <v>71</v>
      </c>
      <c r="I3875" s="2" t="s">
        <v>39</v>
      </c>
      <c r="J3875" s="9">
        <v>8875.1759999999995</v>
      </c>
      <c r="K3875" s="7">
        <v>1</v>
      </c>
      <c r="L3875" s="9">
        <v>8875.18</v>
      </c>
      <c r="M3875" s="9">
        <v>8875.18</v>
      </c>
      <c r="N3875" s="9">
        <v>4.88</v>
      </c>
      <c r="O3875" s="10">
        <f>IF(AND(OR(H3875="APPROVED",H3875="SCHEDULED"),COUNTIFS(tblSource[EventID],F3875,tblSource[ReleaseStatus],"APPROVED")=1,COUNTIFS(Period_Status!$A$2:$A$8,G3875,Period_Status!$B$2:$B$8,"ActualClosed")=1,C3875&gt;EOMONTH(Settlement_Bridge!$C$2,0)),1,0)</f>
        <v>0</v>
      </c>
      <c r="P3875" s="2" t="s">
        <v>10540</v>
      </c>
    </row>
    <row r="3876" spans="1:16" x14ac:dyDescent="0.25">
      <c r="A3876" s="2" t="s">
        <v>10541</v>
      </c>
      <c r="B3876" s="2" t="s">
        <v>7433</v>
      </c>
      <c r="C3876" s="8">
        <v>46250</v>
      </c>
      <c r="D3876" s="6">
        <v>46235</v>
      </c>
      <c r="E3876" s="2" t="s">
        <v>260</v>
      </c>
      <c r="F3876" s="2" t="s">
        <v>10539</v>
      </c>
      <c r="G3876" s="6">
        <v>46204</v>
      </c>
      <c r="H3876" s="2" t="s">
        <v>71</v>
      </c>
      <c r="I3876" s="2" t="s">
        <v>39</v>
      </c>
      <c r="J3876" s="9">
        <v>13312.763999999999</v>
      </c>
      <c r="K3876" s="7">
        <v>1</v>
      </c>
      <c r="L3876" s="9">
        <v>13312.76</v>
      </c>
      <c r="M3876" s="9">
        <v>13312.76</v>
      </c>
      <c r="N3876" s="9">
        <v>7.32</v>
      </c>
      <c r="O3876" s="10">
        <f>IF(AND(OR(H3876="APPROVED",H3876="SCHEDULED"),COUNTIFS(tblSource[EventID],F3876,tblSource[ReleaseStatus],"APPROVED")=1,COUNTIFS(Period_Status!$A$2:$A$8,G3876,Period_Status!$B$2:$B$8,"ActualClosed")=1,C3876&gt;EOMONTH(Settlement_Bridge!$C$2,0)),1,0)</f>
        <v>1</v>
      </c>
      <c r="P3876" s="2" t="s">
        <v>10542</v>
      </c>
    </row>
    <row r="3877" spans="1:16" x14ac:dyDescent="0.25">
      <c r="A3877" s="2" t="s">
        <v>10543</v>
      </c>
      <c r="B3877" s="2" t="s">
        <v>7433</v>
      </c>
      <c r="C3877" s="8">
        <v>46226</v>
      </c>
      <c r="D3877" s="6">
        <v>46204</v>
      </c>
      <c r="E3877" s="2" t="s">
        <v>260</v>
      </c>
      <c r="F3877" s="2" t="s">
        <v>10544</v>
      </c>
      <c r="G3877" s="6">
        <v>46204</v>
      </c>
      <c r="H3877" s="2" t="s">
        <v>71</v>
      </c>
      <c r="I3877" s="2" t="s">
        <v>76</v>
      </c>
      <c r="J3877" s="9">
        <v>144933870.967742</v>
      </c>
      <c r="K3877" s="7">
        <v>6.2000000000000003E-5</v>
      </c>
      <c r="L3877" s="9">
        <v>8985.9</v>
      </c>
      <c r="M3877" s="9">
        <v>8985.9</v>
      </c>
      <c r="N3877" s="9">
        <v>4.9400000000000004</v>
      </c>
      <c r="O3877" s="10">
        <f>IF(AND(OR(H3877="APPROVED",H3877="SCHEDULED"),COUNTIFS(tblSource[EventID],F3877,tblSource[ReleaseStatus],"APPROVED")=1,COUNTIFS(Period_Status!$A$2:$A$8,G3877,Period_Status!$B$2:$B$8,"ActualClosed")=1,C3877&gt;EOMONTH(Settlement_Bridge!$C$2,0)),1,0)</f>
        <v>0</v>
      </c>
      <c r="P3877" s="2" t="s">
        <v>10545</v>
      </c>
    </row>
    <row r="3878" spans="1:16" x14ac:dyDescent="0.25">
      <c r="A3878" s="2" t="s">
        <v>10546</v>
      </c>
      <c r="B3878" s="2" t="s">
        <v>7433</v>
      </c>
      <c r="C3878" s="8">
        <v>46251</v>
      </c>
      <c r="D3878" s="6">
        <v>46235</v>
      </c>
      <c r="E3878" s="2" t="s">
        <v>260</v>
      </c>
      <c r="F3878" s="2" t="s">
        <v>10544</v>
      </c>
      <c r="G3878" s="6">
        <v>46204</v>
      </c>
      <c r="H3878" s="2" t="s">
        <v>71</v>
      </c>
      <c r="I3878" s="2" t="s">
        <v>76</v>
      </c>
      <c r="J3878" s="9">
        <v>217400806.45161301</v>
      </c>
      <c r="K3878" s="7">
        <v>6.1500000000000004E-5</v>
      </c>
      <c r="L3878" s="9">
        <v>13370.15</v>
      </c>
      <c r="M3878" s="9">
        <v>13478.85</v>
      </c>
      <c r="N3878" s="9">
        <v>7.35</v>
      </c>
      <c r="O3878" s="10">
        <f>IF(AND(OR(H3878="APPROVED",H3878="SCHEDULED"),COUNTIFS(tblSource[EventID],F3878,tblSource[ReleaseStatus],"APPROVED")=1,COUNTIFS(Period_Status!$A$2:$A$8,G3878,Period_Status!$B$2:$B$8,"ActualClosed")=1,C3878&gt;EOMONTH(Settlement_Bridge!$C$2,0)),1,0)</f>
        <v>1</v>
      </c>
      <c r="P3878" s="2" t="s">
        <v>10547</v>
      </c>
    </row>
    <row r="3879" spans="1:16" x14ac:dyDescent="0.25">
      <c r="A3879" s="2" t="s">
        <v>10548</v>
      </c>
      <c r="B3879" s="2" t="s">
        <v>7433</v>
      </c>
      <c r="C3879" s="8">
        <v>46227</v>
      </c>
      <c r="D3879" s="6">
        <v>46204</v>
      </c>
      <c r="E3879" s="2" t="s">
        <v>260</v>
      </c>
      <c r="F3879" s="2" t="s">
        <v>10549</v>
      </c>
      <c r="G3879" s="6">
        <v>46204</v>
      </c>
      <c r="H3879" s="2" t="s">
        <v>71</v>
      </c>
      <c r="I3879" s="2" t="s">
        <v>70</v>
      </c>
      <c r="J3879" s="9">
        <v>13824.662614000001</v>
      </c>
      <c r="K3879" s="7">
        <v>0.65800000000000003</v>
      </c>
      <c r="L3879" s="9">
        <v>9096.6299999999992</v>
      </c>
      <c r="M3879" s="9">
        <v>9096.6299999999992</v>
      </c>
      <c r="N3879" s="9">
        <v>5</v>
      </c>
      <c r="O3879" s="10">
        <f>IF(AND(OR(H3879="APPROVED",H3879="SCHEDULED"),COUNTIFS(tblSource[EventID],F3879,tblSource[ReleaseStatus],"APPROVED")=1,COUNTIFS(Period_Status!$A$2:$A$8,G3879,Period_Status!$B$2:$B$8,"ActualClosed")=1,C3879&gt;EOMONTH(Settlement_Bridge!$C$2,0)),1,0)</f>
        <v>0</v>
      </c>
      <c r="P3879" s="2" t="s">
        <v>10550</v>
      </c>
    </row>
    <row r="3880" spans="1:16" x14ac:dyDescent="0.25">
      <c r="A3880" s="2" t="s">
        <v>10551</v>
      </c>
      <c r="B3880" s="2" t="s">
        <v>7433</v>
      </c>
      <c r="C3880" s="8">
        <v>46252</v>
      </c>
      <c r="D3880" s="6">
        <v>46235</v>
      </c>
      <c r="E3880" s="2" t="s">
        <v>260</v>
      </c>
      <c r="F3880" s="2" t="s">
        <v>10549</v>
      </c>
      <c r="G3880" s="6">
        <v>46204</v>
      </c>
      <c r="H3880" s="2" t="s">
        <v>71</v>
      </c>
      <c r="I3880" s="2" t="s">
        <v>70</v>
      </c>
      <c r="J3880" s="9">
        <v>20736.993921000001</v>
      </c>
      <c r="K3880" s="7">
        <v>0.65</v>
      </c>
      <c r="L3880" s="9">
        <v>13479.05</v>
      </c>
      <c r="M3880" s="9">
        <v>13644.94</v>
      </c>
      <c r="N3880" s="9">
        <v>7.41</v>
      </c>
      <c r="O3880" s="10">
        <f>IF(AND(OR(H3880="APPROVED",H3880="SCHEDULED"),COUNTIFS(tblSource[EventID],F3880,tblSource[ReleaseStatus],"APPROVED")=1,COUNTIFS(Period_Status!$A$2:$A$8,G3880,Period_Status!$B$2:$B$8,"ActualClosed")=1,C3880&gt;EOMONTH(Settlement_Bridge!$C$2,0)),1,0)</f>
        <v>1</v>
      </c>
      <c r="P3880" s="2" t="s">
        <v>10552</v>
      </c>
    </row>
    <row r="3881" spans="1:16" x14ac:dyDescent="0.25">
      <c r="A3881" s="2" t="s">
        <v>10553</v>
      </c>
      <c r="B3881" s="2" t="s">
        <v>7433</v>
      </c>
      <c r="C3881" s="8">
        <v>46228</v>
      </c>
      <c r="D3881" s="6">
        <v>46204</v>
      </c>
      <c r="E3881" s="2" t="s">
        <v>260</v>
      </c>
      <c r="F3881" s="2" t="s">
        <v>10554</v>
      </c>
      <c r="G3881" s="6">
        <v>46204</v>
      </c>
      <c r="H3881" s="2" t="s">
        <v>71</v>
      </c>
      <c r="I3881" s="2" t="s">
        <v>39</v>
      </c>
      <c r="J3881" s="9">
        <v>9207.3520000000008</v>
      </c>
      <c r="K3881" s="7">
        <v>1</v>
      </c>
      <c r="L3881" s="9">
        <v>9207.35</v>
      </c>
      <c r="M3881" s="9">
        <v>9207.35</v>
      </c>
      <c r="N3881" s="9">
        <v>5.0599999999999996</v>
      </c>
      <c r="O3881" s="10">
        <f>IF(AND(OR(H3881="APPROVED",H3881="SCHEDULED"),COUNTIFS(tblSource[EventID],F3881,tblSource[ReleaseStatus],"APPROVED")=1,COUNTIFS(Period_Status!$A$2:$A$8,G3881,Period_Status!$B$2:$B$8,"ActualClosed")=1,C3881&gt;EOMONTH(Settlement_Bridge!$C$2,0)),1,0)</f>
        <v>0</v>
      </c>
      <c r="P3881" s="2" t="s">
        <v>10555</v>
      </c>
    </row>
    <row r="3882" spans="1:16" x14ac:dyDescent="0.25">
      <c r="A3882" s="2" t="s">
        <v>10556</v>
      </c>
      <c r="B3882" s="2" t="s">
        <v>7433</v>
      </c>
      <c r="C3882" s="8">
        <v>46253</v>
      </c>
      <c r="D3882" s="6">
        <v>46235</v>
      </c>
      <c r="E3882" s="2" t="s">
        <v>260</v>
      </c>
      <c r="F3882" s="2" t="s">
        <v>10554</v>
      </c>
      <c r="G3882" s="6">
        <v>46204</v>
      </c>
      <c r="H3882" s="2" t="s">
        <v>71</v>
      </c>
      <c r="I3882" s="2" t="s">
        <v>39</v>
      </c>
      <c r="J3882" s="9">
        <v>13811.028</v>
      </c>
      <c r="K3882" s="7">
        <v>1</v>
      </c>
      <c r="L3882" s="9">
        <v>13811.03</v>
      </c>
      <c r="M3882" s="9">
        <v>13811.03</v>
      </c>
      <c r="N3882" s="9">
        <v>7.6</v>
      </c>
      <c r="O3882" s="10">
        <f>IF(AND(OR(H3882="APPROVED",H3882="SCHEDULED"),COUNTIFS(tblSource[EventID],F3882,tblSource[ReleaseStatus],"APPROVED")=1,COUNTIFS(Period_Status!$A$2:$A$8,G3882,Period_Status!$B$2:$B$8,"ActualClosed")=1,C3882&gt;EOMONTH(Settlement_Bridge!$C$2,0)),1,0)</f>
        <v>1</v>
      </c>
      <c r="P3882" s="2" t="s">
        <v>10557</v>
      </c>
    </row>
    <row r="3883" spans="1:16" x14ac:dyDescent="0.25">
      <c r="A3883" s="2" t="s">
        <v>10558</v>
      </c>
      <c r="B3883" s="2" t="s">
        <v>7433</v>
      </c>
      <c r="C3883" s="8">
        <v>46229</v>
      </c>
      <c r="D3883" s="6">
        <v>46204</v>
      </c>
      <c r="E3883" s="2" t="s">
        <v>260</v>
      </c>
      <c r="F3883" s="2" t="s">
        <v>10559</v>
      </c>
      <c r="G3883" s="6">
        <v>46204</v>
      </c>
      <c r="H3883" s="2" t="s">
        <v>71</v>
      </c>
      <c r="I3883" s="2" t="s">
        <v>76</v>
      </c>
      <c r="J3883" s="9">
        <v>150291612.90322599</v>
      </c>
      <c r="K3883" s="7">
        <v>6.2000000000000003E-5</v>
      </c>
      <c r="L3883" s="9">
        <v>9318.08</v>
      </c>
      <c r="M3883" s="9">
        <v>9318.08</v>
      </c>
      <c r="N3883" s="9">
        <v>5.12</v>
      </c>
      <c r="O3883" s="10">
        <f>IF(AND(OR(H3883="APPROVED",H3883="SCHEDULED"),COUNTIFS(tblSource[EventID],F3883,tblSource[ReleaseStatus],"APPROVED")=1,COUNTIFS(Period_Status!$A$2:$A$8,G3883,Period_Status!$B$2:$B$8,"ActualClosed")=1,C3883&gt;EOMONTH(Settlement_Bridge!$C$2,0)),1,0)</f>
        <v>0</v>
      </c>
      <c r="P3883" s="2" t="s">
        <v>10560</v>
      </c>
    </row>
    <row r="3884" spans="1:16" x14ac:dyDescent="0.25">
      <c r="A3884" s="2" t="s">
        <v>10561</v>
      </c>
      <c r="B3884" s="2" t="s">
        <v>7433</v>
      </c>
      <c r="C3884" s="8">
        <v>46254</v>
      </c>
      <c r="D3884" s="6">
        <v>46235</v>
      </c>
      <c r="E3884" s="2" t="s">
        <v>260</v>
      </c>
      <c r="F3884" s="2" t="s">
        <v>10559</v>
      </c>
      <c r="G3884" s="6">
        <v>46204</v>
      </c>
      <c r="H3884" s="2" t="s">
        <v>71</v>
      </c>
      <c r="I3884" s="2" t="s">
        <v>76</v>
      </c>
      <c r="J3884" s="9">
        <v>225437419.354839</v>
      </c>
      <c r="K3884" s="7">
        <v>6.1500000000000004E-5</v>
      </c>
      <c r="L3884" s="9">
        <v>13864.4</v>
      </c>
      <c r="M3884" s="9">
        <v>13977.12</v>
      </c>
      <c r="N3884" s="9">
        <v>7.63</v>
      </c>
      <c r="O3884" s="10">
        <f>IF(AND(OR(H3884="APPROVED",H3884="SCHEDULED"),COUNTIFS(tblSource[EventID],F3884,tblSource[ReleaseStatus],"APPROVED")=1,COUNTIFS(Period_Status!$A$2:$A$8,G3884,Period_Status!$B$2:$B$8,"ActualClosed")=1,C3884&gt;EOMONTH(Settlement_Bridge!$C$2,0)),1,0)</f>
        <v>1</v>
      </c>
      <c r="P3884" s="2" t="s">
        <v>10562</v>
      </c>
    </row>
    <row r="3885" spans="1:16" x14ac:dyDescent="0.25">
      <c r="A3885" s="2" t="s">
        <v>10563</v>
      </c>
      <c r="B3885" s="2" t="s">
        <v>7433</v>
      </c>
      <c r="C3885" s="8">
        <v>46230</v>
      </c>
      <c r="D3885" s="6">
        <v>46204</v>
      </c>
      <c r="E3885" s="2" t="s">
        <v>260</v>
      </c>
      <c r="F3885" s="2" t="s">
        <v>10564</v>
      </c>
      <c r="G3885" s="6">
        <v>46204</v>
      </c>
      <c r="H3885" s="2" t="s">
        <v>71</v>
      </c>
      <c r="I3885" s="2" t="s">
        <v>70</v>
      </c>
      <c r="J3885" s="9">
        <v>14329.489362</v>
      </c>
      <c r="K3885" s="7">
        <v>0.65800000000000003</v>
      </c>
      <c r="L3885" s="9">
        <v>9428.7999999999993</v>
      </c>
      <c r="M3885" s="9">
        <v>9428.7999999999993</v>
      </c>
      <c r="N3885" s="9">
        <v>5.19</v>
      </c>
      <c r="O3885" s="10">
        <f>IF(AND(OR(H3885="APPROVED",H3885="SCHEDULED"),COUNTIFS(tblSource[EventID],F3885,tblSource[ReleaseStatus],"APPROVED")=1,COUNTIFS(Period_Status!$A$2:$A$8,G3885,Period_Status!$B$2:$B$8,"ActualClosed")=1,C3885&gt;EOMONTH(Settlement_Bridge!$C$2,0)),1,0)</f>
        <v>0</v>
      </c>
      <c r="P3885" s="2" t="s">
        <v>10565</v>
      </c>
    </row>
    <row r="3886" spans="1:16" x14ac:dyDescent="0.25">
      <c r="A3886" s="2" t="s">
        <v>10566</v>
      </c>
      <c r="B3886" s="2" t="s">
        <v>7433</v>
      </c>
      <c r="C3886" s="8">
        <v>46255</v>
      </c>
      <c r="D3886" s="6">
        <v>46235</v>
      </c>
      <c r="E3886" s="2" t="s">
        <v>260</v>
      </c>
      <c r="F3886" s="2" t="s">
        <v>10564</v>
      </c>
      <c r="G3886" s="6">
        <v>46204</v>
      </c>
      <c r="H3886" s="2" t="s">
        <v>71</v>
      </c>
      <c r="I3886" s="2" t="s">
        <v>70</v>
      </c>
      <c r="J3886" s="9">
        <v>21494.234042</v>
      </c>
      <c r="K3886" s="7">
        <v>0.65</v>
      </c>
      <c r="L3886" s="9">
        <v>13971.25</v>
      </c>
      <c r="M3886" s="9">
        <v>14143.21</v>
      </c>
      <c r="N3886" s="9">
        <v>7.68</v>
      </c>
      <c r="O3886" s="10">
        <f>IF(AND(OR(H3886="APPROVED",H3886="SCHEDULED"),COUNTIFS(tblSource[EventID],F3886,tblSource[ReleaseStatus],"APPROVED")=1,COUNTIFS(Period_Status!$A$2:$A$8,G3886,Period_Status!$B$2:$B$8,"ActualClosed")=1,C3886&gt;EOMONTH(Settlement_Bridge!$C$2,0)),1,0)</f>
        <v>1</v>
      </c>
      <c r="P3886" s="2" t="s">
        <v>10567</v>
      </c>
    </row>
    <row r="3887" spans="1:16" x14ac:dyDescent="0.25">
      <c r="A3887" s="2" t="s">
        <v>10568</v>
      </c>
      <c r="B3887" s="2" t="s">
        <v>7433</v>
      </c>
      <c r="C3887" s="8">
        <v>46231</v>
      </c>
      <c r="D3887" s="6">
        <v>46204</v>
      </c>
      <c r="E3887" s="2" t="s">
        <v>260</v>
      </c>
      <c r="F3887" s="2" t="s">
        <v>10569</v>
      </c>
      <c r="G3887" s="6">
        <v>46204</v>
      </c>
      <c r="H3887" s="2" t="s">
        <v>71</v>
      </c>
      <c r="I3887" s="2" t="s">
        <v>39</v>
      </c>
      <c r="J3887" s="9">
        <v>579.53200000000004</v>
      </c>
      <c r="K3887" s="7">
        <v>1</v>
      </c>
      <c r="L3887" s="9">
        <v>579.53</v>
      </c>
      <c r="M3887" s="9">
        <v>579.53</v>
      </c>
      <c r="N3887" s="9">
        <v>1.8</v>
      </c>
      <c r="O3887" s="10">
        <f>IF(AND(OR(H3887="APPROVED",H3887="SCHEDULED"),COUNTIFS(tblSource[EventID],F3887,tblSource[ReleaseStatus],"APPROVED")=1,COUNTIFS(Period_Status!$A$2:$A$8,G3887,Period_Status!$B$2:$B$8,"ActualClosed")=1,C3887&gt;EOMONTH(Settlement_Bridge!$C$2,0)),1,0)</f>
        <v>0</v>
      </c>
      <c r="P3887" s="2" t="s">
        <v>10570</v>
      </c>
    </row>
    <row r="3888" spans="1:16" x14ac:dyDescent="0.25">
      <c r="A3888" s="2" t="s">
        <v>10571</v>
      </c>
      <c r="B3888" s="2" t="s">
        <v>7433</v>
      </c>
      <c r="C3888" s="8">
        <v>46256</v>
      </c>
      <c r="D3888" s="6">
        <v>46235</v>
      </c>
      <c r="E3888" s="2" t="s">
        <v>260</v>
      </c>
      <c r="F3888" s="2" t="s">
        <v>10569</v>
      </c>
      <c r="G3888" s="6">
        <v>46204</v>
      </c>
      <c r="H3888" s="2" t="s">
        <v>71</v>
      </c>
      <c r="I3888" s="2" t="s">
        <v>39</v>
      </c>
      <c r="J3888" s="9">
        <v>869.298</v>
      </c>
      <c r="K3888" s="7">
        <v>1</v>
      </c>
      <c r="L3888" s="9">
        <v>869.3</v>
      </c>
      <c r="M3888" s="9">
        <v>869.3</v>
      </c>
      <c r="N3888" s="9">
        <v>1.8</v>
      </c>
      <c r="O3888" s="10">
        <f>IF(AND(OR(H3888="APPROVED",H3888="SCHEDULED"),COUNTIFS(tblSource[EventID],F3888,tblSource[ReleaseStatus],"APPROVED")=1,COUNTIFS(Period_Status!$A$2:$A$8,G3888,Period_Status!$B$2:$B$8,"ActualClosed")=1,C3888&gt;EOMONTH(Settlement_Bridge!$C$2,0)),1,0)</f>
        <v>1</v>
      </c>
      <c r="P3888" s="2" t="s">
        <v>10572</v>
      </c>
    </row>
    <row r="3889" spans="1:16" x14ac:dyDescent="0.25">
      <c r="A3889" s="2" t="s">
        <v>10573</v>
      </c>
      <c r="B3889" s="2" t="s">
        <v>7433</v>
      </c>
      <c r="C3889" s="8">
        <v>46232</v>
      </c>
      <c r="D3889" s="6">
        <v>46204</v>
      </c>
      <c r="E3889" s="2" t="s">
        <v>260</v>
      </c>
      <c r="F3889" s="2" t="s">
        <v>10574</v>
      </c>
      <c r="G3889" s="6">
        <v>46204</v>
      </c>
      <c r="H3889" s="2" t="s">
        <v>71</v>
      </c>
      <c r="I3889" s="2" t="s">
        <v>76</v>
      </c>
      <c r="J3889" s="9">
        <v>11133225.806452001</v>
      </c>
      <c r="K3889" s="7">
        <v>6.2000000000000003E-5</v>
      </c>
      <c r="L3889" s="9">
        <v>690.26</v>
      </c>
      <c r="M3889" s="9">
        <v>690.26</v>
      </c>
      <c r="N3889" s="9">
        <v>1.8</v>
      </c>
      <c r="O3889" s="10">
        <f>IF(AND(OR(H3889="APPROVED",H3889="SCHEDULED"),COUNTIFS(tblSource[EventID],F3889,tblSource[ReleaseStatus],"APPROVED")=1,COUNTIFS(Period_Status!$A$2:$A$8,G3889,Period_Status!$B$2:$B$8,"ActualClosed")=1,C3889&gt;EOMONTH(Settlement_Bridge!$C$2,0)),1,0)</f>
        <v>0</v>
      </c>
      <c r="P3889" s="2" t="s">
        <v>10575</v>
      </c>
    </row>
    <row r="3890" spans="1:16" x14ac:dyDescent="0.25">
      <c r="A3890" s="2" t="s">
        <v>10576</v>
      </c>
      <c r="B3890" s="2" t="s">
        <v>7433</v>
      </c>
      <c r="C3890" s="8">
        <v>46257</v>
      </c>
      <c r="D3890" s="6">
        <v>46235</v>
      </c>
      <c r="E3890" s="2" t="s">
        <v>260</v>
      </c>
      <c r="F3890" s="2" t="s">
        <v>10574</v>
      </c>
      <c r="G3890" s="6">
        <v>46204</v>
      </c>
      <c r="H3890" s="2" t="s">
        <v>71</v>
      </c>
      <c r="I3890" s="2" t="s">
        <v>76</v>
      </c>
      <c r="J3890" s="9">
        <v>16699838.709677</v>
      </c>
      <c r="K3890" s="7">
        <v>6.1500000000000004E-5</v>
      </c>
      <c r="L3890" s="9">
        <v>1027.04</v>
      </c>
      <c r="M3890" s="9">
        <v>1035.3900000000001</v>
      </c>
      <c r="N3890" s="9">
        <v>1.8</v>
      </c>
      <c r="O3890" s="10">
        <f>IF(AND(OR(H3890="APPROVED",H3890="SCHEDULED"),COUNTIFS(tblSource[EventID],F3890,tblSource[ReleaseStatus],"APPROVED")=1,COUNTIFS(Period_Status!$A$2:$A$8,G3890,Period_Status!$B$2:$B$8,"ActualClosed")=1,C3890&gt;EOMONTH(Settlement_Bridge!$C$2,0)),1,0)</f>
        <v>1</v>
      </c>
      <c r="P3890" s="2" t="s">
        <v>10577</v>
      </c>
    </row>
    <row r="3891" spans="1:16" x14ac:dyDescent="0.25">
      <c r="A3891" s="2" t="s">
        <v>10578</v>
      </c>
      <c r="B3891" s="2" t="s">
        <v>7433</v>
      </c>
      <c r="C3891" s="8">
        <v>46233</v>
      </c>
      <c r="D3891" s="6">
        <v>46204</v>
      </c>
      <c r="E3891" s="2" t="s">
        <v>260</v>
      </c>
      <c r="F3891" s="2" t="s">
        <v>10579</v>
      </c>
      <c r="G3891" s="6">
        <v>46204</v>
      </c>
      <c r="H3891" s="2" t="s">
        <v>71</v>
      </c>
      <c r="I3891" s="2" t="s">
        <v>70</v>
      </c>
      <c r="J3891" s="9">
        <v>1217.3069909999999</v>
      </c>
      <c r="K3891" s="7">
        <v>0.65800000000000003</v>
      </c>
      <c r="L3891" s="9">
        <v>800.99</v>
      </c>
      <c r="M3891" s="9">
        <v>800.99</v>
      </c>
      <c r="N3891" s="9">
        <v>1.8</v>
      </c>
      <c r="O3891" s="10">
        <f>IF(AND(OR(H3891="APPROVED",H3891="SCHEDULED"),COUNTIFS(tblSource[EventID],F3891,tblSource[ReleaseStatus],"APPROVED")=1,COUNTIFS(Period_Status!$A$2:$A$8,G3891,Period_Status!$B$2:$B$8,"ActualClosed")=1,C3891&gt;EOMONTH(Settlement_Bridge!$C$2,0)),1,0)</f>
        <v>0</v>
      </c>
      <c r="P3891" s="2" t="s">
        <v>10580</v>
      </c>
    </row>
    <row r="3892" spans="1:16" x14ac:dyDescent="0.25">
      <c r="A3892" s="2" t="s">
        <v>10581</v>
      </c>
      <c r="B3892" s="2" t="s">
        <v>7433</v>
      </c>
      <c r="C3892" s="8">
        <v>46258</v>
      </c>
      <c r="D3892" s="6">
        <v>46235</v>
      </c>
      <c r="E3892" s="2" t="s">
        <v>260</v>
      </c>
      <c r="F3892" s="2" t="s">
        <v>10579</v>
      </c>
      <c r="G3892" s="6">
        <v>46204</v>
      </c>
      <c r="H3892" s="2" t="s">
        <v>71</v>
      </c>
      <c r="I3892" s="2" t="s">
        <v>70</v>
      </c>
      <c r="J3892" s="9">
        <v>1825.9604859999999</v>
      </c>
      <c r="K3892" s="7">
        <v>0.65</v>
      </c>
      <c r="L3892" s="9">
        <v>1186.8699999999999</v>
      </c>
      <c r="M3892" s="9">
        <v>1201.48</v>
      </c>
      <c r="N3892" s="9">
        <v>1.8</v>
      </c>
      <c r="O3892" s="10">
        <f>IF(AND(OR(H3892="APPROVED",H3892="SCHEDULED"),COUNTIFS(tblSource[EventID],F3892,tblSource[ReleaseStatus],"APPROVED")=1,COUNTIFS(Period_Status!$A$2:$A$8,G3892,Period_Status!$B$2:$B$8,"ActualClosed")=1,C3892&gt;EOMONTH(Settlement_Bridge!$C$2,0)),1,0)</f>
        <v>1</v>
      </c>
      <c r="P3892" s="2" t="s">
        <v>10582</v>
      </c>
    </row>
    <row r="3893" spans="1:16" x14ac:dyDescent="0.25">
      <c r="A3893" s="2" t="s">
        <v>10583</v>
      </c>
      <c r="B3893" s="2" t="s">
        <v>7433</v>
      </c>
      <c r="C3893" s="8">
        <v>46234</v>
      </c>
      <c r="D3893" s="6">
        <v>46204</v>
      </c>
      <c r="E3893" s="2" t="s">
        <v>260</v>
      </c>
      <c r="F3893" s="2" t="s">
        <v>10584</v>
      </c>
      <c r="G3893" s="6">
        <v>46204</v>
      </c>
      <c r="H3893" s="2" t="s">
        <v>71</v>
      </c>
      <c r="I3893" s="2" t="s">
        <v>39</v>
      </c>
      <c r="J3893" s="9">
        <v>911.71199999999999</v>
      </c>
      <c r="K3893" s="7">
        <v>1</v>
      </c>
      <c r="L3893" s="9">
        <v>911.71</v>
      </c>
      <c r="M3893" s="9">
        <v>911.71</v>
      </c>
      <c r="N3893" s="9">
        <v>1.8</v>
      </c>
      <c r="O3893" s="10">
        <f>IF(AND(OR(H3893="APPROVED",H3893="SCHEDULED"),COUNTIFS(tblSource[EventID],F3893,tblSource[ReleaseStatus],"APPROVED")=1,COUNTIFS(Period_Status!$A$2:$A$8,G3893,Period_Status!$B$2:$B$8,"ActualClosed")=1,C3893&gt;EOMONTH(Settlement_Bridge!$C$2,0)),1,0)</f>
        <v>0</v>
      </c>
      <c r="P3893" s="2" t="s">
        <v>10585</v>
      </c>
    </row>
    <row r="3894" spans="1:16" x14ac:dyDescent="0.25">
      <c r="A3894" s="2" t="s">
        <v>10586</v>
      </c>
      <c r="B3894" s="2" t="s">
        <v>7433</v>
      </c>
      <c r="C3894" s="8">
        <v>46259</v>
      </c>
      <c r="D3894" s="6">
        <v>46235</v>
      </c>
      <c r="E3894" s="2" t="s">
        <v>260</v>
      </c>
      <c r="F3894" s="2" t="s">
        <v>10584</v>
      </c>
      <c r="G3894" s="6">
        <v>46204</v>
      </c>
      <c r="H3894" s="2" t="s">
        <v>71</v>
      </c>
      <c r="I3894" s="2" t="s">
        <v>39</v>
      </c>
      <c r="J3894" s="9">
        <v>1367.568</v>
      </c>
      <c r="K3894" s="7">
        <v>1</v>
      </c>
      <c r="L3894" s="9">
        <v>1367.57</v>
      </c>
      <c r="M3894" s="9">
        <v>1367.57</v>
      </c>
      <c r="N3894" s="9">
        <v>1.8</v>
      </c>
      <c r="O3894" s="10">
        <f>IF(AND(OR(H3894="APPROVED",H3894="SCHEDULED"),COUNTIFS(tblSource[EventID],F3894,tblSource[ReleaseStatus],"APPROVED")=1,COUNTIFS(Period_Status!$A$2:$A$8,G3894,Period_Status!$B$2:$B$8,"ActualClosed")=1,C3894&gt;EOMONTH(Settlement_Bridge!$C$2,0)),1,0)</f>
        <v>1</v>
      </c>
      <c r="P3894" s="2" t="s">
        <v>10587</v>
      </c>
    </row>
    <row r="3895" spans="1:16" x14ac:dyDescent="0.25">
      <c r="A3895" s="2" t="s">
        <v>10588</v>
      </c>
      <c r="B3895" s="2" t="s">
        <v>7433</v>
      </c>
      <c r="C3895" s="8">
        <v>46235</v>
      </c>
      <c r="D3895" s="6">
        <v>46235</v>
      </c>
      <c r="E3895" s="2" t="s">
        <v>260</v>
      </c>
      <c r="F3895" s="2" t="s">
        <v>10589</v>
      </c>
      <c r="G3895" s="6">
        <v>46204</v>
      </c>
      <c r="H3895" s="2" t="s">
        <v>71</v>
      </c>
      <c r="I3895" s="2" t="s">
        <v>76</v>
      </c>
      <c r="J3895" s="9">
        <v>16490967.741936</v>
      </c>
      <c r="K3895" s="7">
        <v>6.1500000000000004E-5</v>
      </c>
      <c r="L3895" s="9">
        <v>1014.19</v>
      </c>
      <c r="M3895" s="9">
        <v>1022.44</v>
      </c>
      <c r="N3895" s="9">
        <v>1.8</v>
      </c>
      <c r="O3895" s="10">
        <f>IF(AND(OR(H3895="APPROVED",H3895="SCHEDULED"),COUNTIFS(tblSource[EventID],F3895,tblSource[ReleaseStatus],"APPROVED")=1,COUNTIFS(Period_Status!$A$2:$A$8,G3895,Period_Status!$B$2:$B$8,"ActualClosed")=1,C3895&gt;EOMONTH(Settlement_Bridge!$C$2,0)),1,0)</f>
        <v>1</v>
      </c>
      <c r="P3895" s="2" t="s">
        <v>10590</v>
      </c>
    </row>
    <row r="3896" spans="1:16" x14ac:dyDescent="0.25">
      <c r="A3896" s="2" t="s">
        <v>10591</v>
      </c>
      <c r="B3896" s="2" t="s">
        <v>7433</v>
      </c>
      <c r="C3896" s="8">
        <v>46260</v>
      </c>
      <c r="D3896" s="6">
        <v>46235</v>
      </c>
      <c r="E3896" s="2" t="s">
        <v>260</v>
      </c>
      <c r="F3896" s="2" t="s">
        <v>10589</v>
      </c>
      <c r="G3896" s="6">
        <v>46204</v>
      </c>
      <c r="H3896" s="2" t="s">
        <v>71</v>
      </c>
      <c r="I3896" s="2" t="s">
        <v>76</v>
      </c>
      <c r="J3896" s="9">
        <v>24736451.612902999</v>
      </c>
      <c r="K3896" s="7">
        <v>6.1500000000000004E-5</v>
      </c>
      <c r="L3896" s="9">
        <v>1521.29</v>
      </c>
      <c r="M3896" s="9">
        <v>1533.66</v>
      </c>
      <c r="N3896" s="9">
        <v>1.8</v>
      </c>
      <c r="O3896" s="10">
        <f>IF(AND(OR(H3896="APPROVED",H3896="SCHEDULED"),COUNTIFS(tblSource[EventID],F3896,tblSource[ReleaseStatus],"APPROVED")=1,COUNTIFS(Period_Status!$A$2:$A$8,G3896,Period_Status!$B$2:$B$8,"ActualClosed")=1,C3896&gt;EOMONTH(Settlement_Bridge!$C$2,0)),1,0)</f>
        <v>1</v>
      </c>
      <c r="P3896" s="2" t="s">
        <v>10592</v>
      </c>
    </row>
    <row r="3897" spans="1:16" x14ac:dyDescent="0.25">
      <c r="A3897" s="2" t="s">
        <v>10593</v>
      </c>
      <c r="B3897" s="2" t="s">
        <v>7433</v>
      </c>
      <c r="C3897" s="8">
        <v>46236</v>
      </c>
      <c r="D3897" s="6">
        <v>46235</v>
      </c>
      <c r="E3897" s="2" t="s">
        <v>260</v>
      </c>
      <c r="F3897" s="2" t="s">
        <v>10594</v>
      </c>
      <c r="G3897" s="6">
        <v>46204</v>
      </c>
      <c r="H3897" s="2" t="s">
        <v>71</v>
      </c>
      <c r="I3897" s="2" t="s">
        <v>70</v>
      </c>
      <c r="J3897" s="9">
        <v>1722.1337390000001</v>
      </c>
      <c r="K3897" s="7">
        <v>0.65</v>
      </c>
      <c r="L3897" s="9">
        <v>1119.3900000000001</v>
      </c>
      <c r="M3897" s="9">
        <v>1133.1600000000001</v>
      </c>
      <c r="N3897" s="9">
        <v>1.8</v>
      </c>
      <c r="O3897" s="10">
        <f>IF(AND(OR(H3897="APPROVED",H3897="SCHEDULED"),COUNTIFS(tblSource[EventID],F3897,tblSource[ReleaseStatus],"APPROVED")=1,COUNTIFS(Period_Status!$A$2:$A$8,G3897,Period_Status!$B$2:$B$8,"ActualClosed")=1,C3897&gt;EOMONTH(Settlement_Bridge!$C$2,0)),1,0)</f>
        <v>1</v>
      </c>
      <c r="P3897" s="2" t="s">
        <v>10595</v>
      </c>
    </row>
    <row r="3898" spans="1:16" x14ac:dyDescent="0.25">
      <c r="A3898" s="2" t="s">
        <v>10596</v>
      </c>
      <c r="B3898" s="2" t="s">
        <v>7433</v>
      </c>
      <c r="C3898" s="8">
        <v>46261</v>
      </c>
      <c r="D3898" s="6">
        <v>46235</v>
      </c>
      <c r="E3898" s="2" t="s">
        <v>260</v>
      </c>
      <c r="F3898" s="2" t="s">
        <v>10594</v>
      </c>
      <c r="G3898" s="6">
        <v>46204</v>
      </c>
      <c r="H3898" s="2" t="s">
        <v>71</v>
      </c>
      <c r="I3898" s="2" t="s">
        <v>70</v>
      </c>
      <c r="J3898" s="9">
        <v>2583.2006080000001</v>
      </c>
      <c r="K3898" s="7">
        <v>0.65</v>
      </c>
      <c r="L3898" s="9">
        <v>1679.08</v>
      </c>
      <c r="M3898" s="9">
        <v>1699.75</v>
      </c>
      <c r="N3898" s="9">
        <v>1.8</v>
      </c>
      <c r="O3898" s="10">
        <f>IF(AND(OR(H3898="APPROVED",H3898="SCHEDULED"),COUNTIFS(tblSource[EventID],F3898,tblSource[ReleaseStatus],"APPROVED")=1,COUNTIFS(Period_Status!$A$2:$A$8,G3898,Period_Status!$B$2:$B$8,"ActualClosed")=1,C3898&gt;EOMONTH(Settlement_Bridge!$C$2,0)),1,0)</f>
        <v>1</v>
      </c>
      <c r="P3898" s="2" t="s">
        <v>10597</v>
      </c>
    </row>
    <row r="3899" spans="1:16" x14ac:dyDescent="0.25">
      <c r="A3899" s="2" t="s">
        <v>10598</v>
      </c>
      <c r="B3899" s="2" t="s">
        <v>7433</v>
      </c>
      <c r="C3899" s="8">
        <v>46237</v>
      </c>
      <c r="D3899" s="6">
        <v>46235</v>
      </c>
      <c r="E3899" s="2" t="s">
        <v>260</v>
      </c>
      <c r="F3899" s="2" t="s">
        <v>10599</v>
      </c>
      <c r="G3899" s="6">
        <v>46204</v>
      </c>
      <c r="H3899" s="2" t="s">
        <v>71</v>
      </c>
      <c r="I3899" s="2" t="s">
        <v>39</v>
      </c>
      <c r="J3899" s="9">
        <v>1243.8920000000001</v>
      </c>
      <c r="K3899" s="7">
        <v>1</v>
      </c>
      <c r="L3899" s="9">
        <v>1243.8900000000001</v>
      </c>
      <c r="M3899" s="9">
        <v>1243.8900000000001</v>
      </c>
      <c r="N3899" s="9">
        <v>1.8</v>
      </c>
      <c r="O3899" s="10">
        <f>IF(AND(OR(H3899="APPROVED",H3899="SCHEDULED"),COUNTIFS(tblSource[EventID],F3899,tblSource[ReleaseStatus],"APPROVED")=1,COUNTIFS(Period_Status!$A$2:$A$8,G3899,Period_Status!$B$2:$B$8,"ActualClosed")=1,C3899&gt;EOMONTH(Settlement_Bridge!$C$2,0)),1,0)</f>
        <v>1</v>
      </c>
      <c r="P3899" s="2" t="s">
        <v>10600</v>
      </c>
    </row>
    <row r="3900" spans="1:16" x14ac:dyDescent="0.25">
      <c r="A3900" s="2" t="s">
        <v>10601</v>
      </c>
      <c r="B3900" s="2" t="s">
        <v>7433</v>
      </c>
      <c r="C3900" s="8">
        <v>46262</v>
      </c>
      <c r="D3900" s="6">
        <v>46235</v>
      </c>
      <c r="E3900" s="2" t="s">
        <v>260</v>
      </c>
      <c r="F3900" s="2" t="s">
        <v>10599</v>
      </c>
      <c r="G3900" s="6">
        <v>46204</v>
      </c>
      <c r="H3900" s="2" t="s">
        <v>71</v>
      </c>
      <c r="I3900" s="2" t="s">
        <v>39</v>
      </c>
      <c r="J3900" s="9">
        <v>1865.838</v>
      </c>
      <c r="K3900" s="7">
        <v>1</v>
      </c>
      <c r="L3900" s="9">
        <v>1865.84</v>
      </c>
      <c r="M3900" s="9">
        <v>1865.84</v>
      </c>
      <c r="N3900" s="9">
        <v>1.8</v>
      </c>
      <c r="O3900" s="10">
        <f>IF(AND(OR(H3900="APPROVED",H3900="SCHEDULED"),COUNTIFS(tblSource[EventID],F3900,tblSource[ReleaseStatus],"APPROVED")=1,COUNTIFS(Period_Status!$A$2:$A$8,G3900,Period_Status!$B$2:$B$8,"ActualClosed")=1,C3900&gt;EOMONTH(Settlement_Bridge!$C$2,0)),1,0)</f>
        <v>1</v>
      </c>
      <c r="P3900" s="2" t="s">
        <v>10602</v>
      </c>
    </row>
    <row r="3901" spans="1:16" x14ac:dyDescent="0.25">
      <c r="A3901" s="2" t="s">
        <v>10603</v>
      </c>
      <c r="B3901" s="2" t="s">
        <v>7433</v>
      </c>
      <c r="C3901" s="8">
        <v>46238</v>
      </c>
      <c r="D3901" s="6">
        <v>46235</v>
      </c>
      <c r="E3901" s="2" t="s">
        <v>260</v>
      </c>
      <c r="F3901" s="2" t="s">
        <v>10604</v>
      </c>
      <c r="G3901" s="6">
        <v>46204</v>
      </c>
      <c r="H3901" s="2" t="s">
        <v>71</v>
      </c>
      <c r="I3901" s="2" t="s">
        <v>76</v>
      </c>
      <c r="J3901" s="9">
        <v>21848645.161290001</v>
      </c>
      <c r="K3901" s="7">
        <v>6.1500000000000004E-5</v>
      </c>
      <c r="L3901" s="9">
        <v>1343.69</v>
      </c>
      <c r="M3901" s="9">
        <v>1354.62</v>
      </c>
      <c r="N3901" s="9">
        <v>1.8</v>
      </c>
      <c r="O3901" s="10">
        <f>IF(AND(OR(H3901="APPROVED",H3901="SCHEDULED"),COUNTIFS(tblSource[EventID],F3901,tblSource[ReleaseStatus],"APPROVED")=1,COUNTIFS(Period_Status!$A$2:$A$8,G3901,Period_Status!$B$2:$B$8,"ActualClosed")=1,C3901&gt;EOMONTH(Settlement_Bridge!$C$2,0)),1,0)</f>
        <v>1</v>
      </c>
      <c r="P3901" s="2" t="s">
        <v>10605</v>
      </c>
    </row>
    <row r="3902" spans="1:16" x14ac:dyDescent="0.25">
      <c r="A3902" s="2" t="s">
        <v>10606</v>
      </c>
      <c r="B3902" s="2" t="s">
        <v>7433</v>
      </c>
      <c r="C3902" s="8">
        <v>46263</v>
      </c>
      <c r="D3902" s="6">
        <v>46235</v>
      </c>
      <c r="E3902" s="2" t="s">
        <v>260</v>
      </c>
      <c r="F3902" s="2" t="s">
        <v>10604</v>
      </c>
      <c r="G3902" s="6">
        <v>46204</v>
      </c>
      <c r="H3902" s="2" t="s">
        <v>71</v>
      </c>
      <c r="I3902" s="2" t="s">
        <v>76</v>
      </c>
      <c r="J3902" s="9">
        <v>32772967.741935998</v>
      </c>
      <c r="K3902" s="7">
        <v>6.1500000000000004E-5</v>
      </c>
      <c r="L3902" s="9">
        <v>2015.54</v>
      </c>
      <c r="M3902" s="9">
        <v>2031.92</v>
      </c>
      <c r="N3902" s="9">
        <v>1.8</v>
      </c>
      <c r="O3902" s="10">
        <f>IF(AND(OR(H3902="APPROVED",H3902="SCHEDULED"),COUNTIFS(tblSource[EventID],F3902,tblSource[ReleaseStatus],"APPROVED")=1,COUNTIFS(Period_Status!$A$2:$A$8,G3902,Period_Status!$B$2:$B$8,"ActualClosed")=1,C3902&gt;EOMONTH(Settlement_Bridge!$C$2,0)),1,0)</f>
        <v>1</v>
      </c>
      <c r="P3902" s="2" t="s">
        <v>10607</v>
      </c>
    </row>
    <row r="3903" spans="1:16" x14ac:dyDescent="0.25">
      <c r="A3903" s="2" t="s">
        <v>10608</v>
      </c>
      <c r="B3903" s="2" t="s">
        <v>7433</v>
      </c>
      <c r="C3903" s="8">
        <v>46239</v>
      </c>
      <c r="D3903" s="6">
        <v>46235</v>
      </c>
      <c r="E3903" s="2" t="s">
        <v>260</v>
      </c>
      <c r="F3903" s="2" t="s">
        <v>10609</v>
      </c>
      <c r="G3903" s="6">
        <v>46204</v>
      </c>
      <c r="H3903" s="2" t="s">
        <v>71</v>
      </c>
      <c r="I3903" s="2" t="s">
        <v>70</v>
      </c>
      <c r="J3903" s="9">
        <v>2226.9665650000002</v>
      </c>
      <c r="K3903" s="7">
        <v>0.65</v>
      </c>
      <c r="L3903" s="9">
        <v>1447.53</v>
      </c>
      <c r="M3903" s="9">
        <v>1465.34</v>
      </c>
      <c r="N3903" s="9">
        <v>1.8</v>
      </c>
      <c r="O3903" s="10">
        <f>IF(AND(OR(H3903="APPROVED",H3903="SCHEDULED"),COUNTIFS(tblSource[EventID],F3903,tblSource[ReleaseStatus],"APPROVED")=1,COUNTIFS(Period_Status!$A$2:$A$8,G3903,Period_Status!$B$2:$B$8,"ActualClosed")=1,C3903&gt;EOMONTH(Settlement_Bridge!$C$2,0)),1,0)</f>
        <v>1</v>
      </c>
      <c r="P3903" s="2" t="s">
        <v>10610</v>
      </c>
    </row>
    <row r="3904" spans="1:16" x14ac:dyDescent="0.25">
      <c r="A3904" s="2" t="s">
        <v>10611</v>
      </c>
      <c r="B3904" s="2" t="s">
        <v>7433</v>
      </c>
      <c r="C3904" s="8">
        <v>46264</v>
      </c>
      <c r="D3904" s="6">
        <v>46235</v>
      </c>
      <c r="E3904" s="2" t="s">
        <v>260</v>
      </c>
      <c r="F3904" s="2" t="s">
        <v>10609</v>
      </c>
      <c r="G3904" s="6">
        <v>46204</v>
      </c>
      <c r="H3904" s="2" t="s">
        <v>71</v>
      </c>
      <c r="I3904" s="2" t="s">
        <v>70</v>
      </c>
      <c r="J3904" s="9">
        <v>3340.4498480000002</v>
      </c>
      <c r="K3904" s="7">
        <v>0.65</v>
      </c>
      <c r="L3904" s="9">
        <v>2171.29</v>
      </c>
      <c r="M3904" s="9">
        <v>2198.02</v>
      </c>
      <c r="N3904" s="9">
        <v>1.8</v>
      </c>
      <c r="O3904" s="10">
        <f>IF(AND(OR(H3904="APPROVED",H3904="SCHEDULED"),COUNTIFS(tblSource[EventID],F3904,tblSource[ReleaseStatus],"APPROVED")=1,COUNTIFS(Period_Status!$A$2:$A$8,G3904,Period_Status!$B$2:$B$8,"ActualClosed")=1,C3904&gt;EOMONTH(Settlement_Bridge!$C$2,0)),1,0)</f>
        <v>1</v>
      </c>
      <c r="P3904" s="2" t="s">
        <v>10612</v>
      </c>
    </row>
    <row r="3905" spans="1:16" x14ac:dyDescent="0.25">
      <c r="A3905" s="2" t="s">
        <v>10613</v>
      </c>
      <c r="B3905" s="2" t="s">
        <v>7433</v>
      </c>
      <c r="C3905" s="8">
        <v>46240</v>
      </c>
      <c r="D3905" s="6">
        <v>46235</v>
      </c>
      <c r="E3905" s="2" t="s">
        <v>260</v>
      </c>
      <c r="F3905" s="2" t="s">
        <v>10614</v>
      </c>
      <c r="G3905" s="6">
        <v>46204</v>
      </c>
      <c r="H3905" s="2" t="s">
        <v>71</v>
      </c>
      <c r="I3905" s="2" t="s">
        <v>39</v>
      </c>
      <c r="J3905" s="9">
        <v>1576.0719999999999</v>
      </c>
      <c r="K3905" s="7">
        <v>1</v>
      </c>
      <c r="L3905" s="9">
        <v>1576.07</v>
      </c>
      <c r="M3905" s="9">
        <v>1576.07</v>
      </c>
      <c r="N3905" s="9">
        <v>1.8</v>
      </c>
      <c r="O3905" s="10">
        <f>IF(AND(OR(H3905="APPROVED",H3905="SCHEDULED"),COUNTIFS(tblSource[EventID],F3905,tblSource[ReleaseStatus],"APPROVED")=1,COUNTIFS(Period_Status!$A$2:$A$8,G3905,Period_Status!$B$2:$B$8,"ActualClosed")=1,C3905&gt;EOMONTH(Settlement_Bridge!$C$2,0)),1,0)</f>
        <v>1</v>
      </c>
      <c r="P3905" s="2" t="s">
        <v>10615</v>
      </c>
    </row>
    <row r="3906" spans="1:16" x14ac:dyDescent="0.25">
      <c r="A3906" s="2" t="s">
        <v>10616</v>
      </c>
      <c r="B3906" s="2" t="s">
        <v>7433</v>
      </c>
      <c r="C3906" s="8">
        <v>46265</v>
      </c>
      <c r="D3906" s="6">
        <v>46235</v>
      </c>
      <c r="E3906" s="2" t="s">
        <v>260</v>
      </c>
      <c r="F3906" s="2" t="s">
        <v>10614</v>
      </c>
      <c r="G3906" s="6">
        <v>46204</v>
      </c>
      <c r="H3906" s="2" t="s">
        <v>71</v>
      </c>
      <c r="I3906" s="2" t="s">
        <v>39</v>
      </c>
      <c r="J3906" s="9">
        <v>2364.1080000000002</v>
      </c>
      <c r="K3906" s="7">
        <v>1</v>
      </c>
      <c r="L3906" s="9">
        <v>2364.11</v>
      </c>
      <c r="M3906" s="9">
        <v>2364.11</v>
      </c>
      <c r="N3906" s="9">
        <v>1.8</v>
      </c>
      <c r="O3906" s="10">
        <f>IF(AND(OR(H3906="APPROVED",H3906="SCHEDULED"),COUNTIFS(tblSource[EventID],F3906,tblSource[ReleaseStatus],"APPROVED")=1,COUNTIFS(Period_Status!$A$2:$A$8,G3906,Period_Status!$B$2:$B$8,"ActualClosed")=1,C3906&gt;EOMONTH(Settlement_Bridge!$C$2,0)),1,0)</f>
        <v>1</v>
      </c>
      <c r="P3906" s="2" t="s">
        <v>10617</v>
      </c>
    </row>
    <row r="3907" spans="1:16" x14ac:dyDescent="0.25">
      <c r="A3907" s="2" t="s">
        <v>10618</v>
      </c>
      <c r="B3907" s="2" t="s">
        <v>7433</v>
      </c>
      <c r="C3907" s="8">
        <v>46241</v>
      </c>
      <c r="D3907" s="6">
        <v>46235</v>
      </c>
      <c r="E3907" s="2" t="s">
        <v>260</v>
      </c>
      <c r="F3907" s="2" t="s">
        <v>10619</v>
      </c>
      <c r="G3907" s="6">
        <v>46204</v>
      </c>
      <c r="H3907" s="2" t="s">
        <v>71</v>
      </c>
      <c r="I3907" s="2" t="s">
        <v>76</v>
      </c>
      <c r="J3907" s="9">
        <v>27206387.096774001</v>
      </c>
      <c r="K3907" s="7">
        <v>6.1500000000000004E-5</v>
      </c>
      <c r="L3907" s="9">
        <v>1673.19</v>
      </c>
      <c r="M3907" s="9">
        <v>1686.8</v>
      </c>
      <c r="N3907" s="9">
        <v>1.8</v>
      </c>
      <c r="O3907" s="10">
        <f>IF(AND(OR(H3907="APPROVED",H3907="SCHEDULED"),COUNTIFS(tblSource[EventID],F3907,tblSource[ReleaseStatus],"APPROVED")=1,COUNTIFS(Period_Status!$A$2:$A$8,G3907,Period_Status!$B$2:$B$8,"ActualClosed")=1,C3907&gt;EOMONTH(Settlement_Bridge!$C$2,0)),1,0)</f>
        <v>1</v>
      </c>
      <c r="P3907" s="2" t="s">
        <v>10620</v>
      </c>
    </row>
    <row r="3908" spans="1:16" x14ac:dyDescent="0.25">
      <c r="A3908" s="2" t="s">
        <v>10621</v>
      </c>
      <c r="B3908" s="2" t="s">
        <v>7433</v>
      </c>
      <c r="C3908" s="8">
        <v>46266</v>
      </c>
      <c r="D3908" s="6">
        <v>46266</v>
      </c>
      <c r="E3908" s="2" t="s">
        <v>260</v>
      </c>
      <c r="F3908" s="2" t="s">
        <v>10619</v>
      </c>
      <c r="G3908" s="6">
        <v>46204</v>
      </c>
      <c r="H3908" s="2" t="s">
        <v>176</v>
      </c>
      <c r="I3908" s="2" t="s">
        <v>76</v>
      </c>
      <c r="J3908" s="9">
        <v>40809580.645161003</v>
      </c>
      <c r="K3908" s="7">
        <v>6.1299999999999999E-5</v>
      </c>
      <c r="L3908" s="9">
        <v>2501.63</v>
      </c>
      <c r="M3908" s="9">
        <v>2530.19</v>
      </c>
      <c r="N3908" s="9">
        <v>1.8</v>
      </c>
      <c r="O3908" s="10">
        <f>IF(AND(OR(H3908="APPROVED",H3908="SCHEDULED"),COUNTIFS(tblSource[EventID],F3908,tblSource[ReleaseStatus],"APPROVED")=1,COUNTIFS(Period_Status!$A$2:$A$8,G3908,Period_Status!$B$2:$B$8,"ActualClosed")=1,C3908&gt;EOMONTH(Settlement_Bridge!$C$2,0)),1,0)</f>
        <v>1</v>
      </c>
      <c r="P3908" s="2" t="s">
        <v>10622</v>
      </c>
    </row>
    <row r="3909" spans="1:16" x14ac:dyDescent="0.25">
      <c r="A3909" s="2" t="s">
        <v>10623</v>
      </c>
      <c r="B3909" s="2" t="s">
        <v>7433</v>
      </c>
      <c r="C3909" s="8">
        <v>46242</v>
      </c>
      <c r="D3909" s="6">
        <v>46235</v>
      </c>
      <c r="E3909" s="2" t="s">
        <v>260</v>
      </c>
      <c r="F3909" s="2" t="s">
        <v>10624</v>
      </c>
      <c r="G3909" s="6">
        <v>46204</v>
      </c>
      <c r="H3909" s="2" t="s">
        <v>71</v>
      </c>
      <c r="I3909" s="2" t="s">
        <v>70</v>
      </c>
      <c r="J3909" s="9">
        <v>2731.7993919999999</v>
      </c>
      <c r="K3909" s="7">
        <v>0.65</v>
      </c>
      <c r="L3909" s="9">
        <v>1775.67</v>
      </c>
      <c r="M3909" s="9">
        <v>1797.52</v>
      </c>
      <c r="N3909" s="9">
        <v>1.8</v>
      </c>
      <c r="O3909" s="10">
        <f>IF(AND(OR(H3909="APPROVED",H3909="SCHEDULED"),COUNTIFS(tblSource[EventID],F3909,tblSource[ReleaseStatus],"APPROVED")=1,COUNTIFS(Period_Status!$A$2:$A$8,G3909,Period_Status!$B$2:$B$8,"ActualClosed")=1,C3909&gt;EOMONTH(Settlement_Bridge!$C$2,0)),1,0)</f>
        <v>1</v>
      </c>
      <c r="P3909" s="2" t="s">
        <v>10625</v>
      </c>
    </row>
    <row r="3910" spans="1:16" x14ac:dyDescent="0.25">
      <c r="A3910" s="2" t="s">
        <v>10626</v>
      </c>
      <c r="B3910" s="2" t="s">
        <v>7433</v>
      </c>
      <c r="C3910" s="8">
        <v>46267</v>
      </c>
      <c r="D3910" s="6">
        <v>46266</v>
      </c>
      <c r="E3910" s="2" t="s">
        <v>260</v>
      </c>
      <c r="F3910" s="2" t="s">
        <v>10624</v>
      </c>
      <c r="G3910" s="6">
        <v>46204</v>
      </c>
      <c r="H3910" s="2" t="s">
        <v>176</v>
      </c>
      <c r="I3910" s="2" t="s">
        <v>70</v>
      </c>
      <c r="J3910" s="9">
        <v>4097.6990880000003</v>
      </c>
      <c r="K3910" s="7">
        <v>0.65100000000000002</v>
      </c>
      <c r="L3910" s="9">
        <v>2667.6</v>
      </c>
      <c r="M3910" s="9">
        <v>2696.29</v>
      </c>
      <c r="N3910" s="9">
        <v>1.8</v>
      </c>
      <c r="O3910" s="10">
        <f>IF(AND(OR(H3910="APPROVED",H3910="SCHEDULED"),COUNTIFS(tblSource[EventID],F3910,tblSource[ReleaseStatus],"APPROVED")=1,COUNTIFS(Period_Status!$A$2:$A$8,G3910,Period_Status!$B$2:$B$8,"ActualClosed")=1,C3910&gt;EOMONTH(Settlement_Bridge!$C$2,0)),1,0)</f>
        <v>1</v>
      </c>
      <c r="P3910" s="2" t="s">
        <v>10627</v>
      </c>
    </row>
    <row r="3911" spans="1:16" x14ac:dyDescent="0.25">
      <c r="A3911" s="2" t="s">
        <v>10628</v>
      </c>
      <c r="B3911" s="2" t="s">
        <v>7433</v>
      </c>
      <c r="C3911" s="8">
        <v>46243</v>
      </c>
      <c r="D3911" s="6">
        <v>46235</v>
      </c>
      <c r="E3911" s="2" t="s">
        <v>260</v>
      </c>
      <c r="F3911" s="2" t="s">
        <v>10629</v>
      </c>
      <c r="G3911" s="6">
        <v>46204</v>
      </c>
      <c r="H3911" s="2" t="s">
        <v>71</v>
      </c>
      <c r="I3911" s="2" t="s">
        <v>39</v>
      </c>
      <c r="J3911" s="9">
        <v>1908.248</v>
      </c>
      <c r="K3911" s="7">
        <v>1</v>
      </c>
      <c r="L3911" s="9">
        <v>1908.25</v>
      </c>
      <c r="M3911" s="9">
        <v>1908.25</v>
      </c>
      <c r="N3911" s="9">
        <v>1.8</v>
      </c>
      <c r="O3911" s="10">
        <f>IF(AND(OR(H3911="APPROVED",H3911="SCHEDULED"),COUNTIFS(tblSource[EventID],F3911,tblSource[ReleaseStatus],"APPROVED")=1,COUNTIFS(Period_Status!$A$2:$A$8,G3911,Period_Status!$B$2:$B$8,"ActualClosed")=1,C3911&gt;EOMONTH(Settlement_Bridge!$C$2,0)),1,0)</f>
        <v>1</v>
      </c>
      <c r="P3911" s="2" t="s">
        <v>10630</v>
      </c>
    </row>
    <row r="3912" spans="1:16" x14ac:dyDescent="0.25">
      <c r="A3912" s="2" t="s">
        <v>10631</v>
      </c>
      <c r="B3912" s="2" t="s">
        <v>7433</v>
      </c>
      <c r="C3912" s="8">
        <v>46268</v>
      </c>
      <c r="D3912" s="6">
        <v>46266</v>
      </c>
      <c r="E3912" s="2" t="s">
        <v>260</v>
      </c>
      <c r="F3912" s="2" t="s">
        <v>10629</v>
      </c>
      <c r="G3912" s="6">
        <v>46204</v>
      </c>
      <c r="H3912" s="2" t="s">
        <v>176</v>
      </c>
      <c r="I3912" s="2" t="s">
        <v>39</v>
      </c>
      <c r="J3912" s="9">
        <v>2862.3719999999998</v>
      </c>
      <c r="K3912" s="7">
        <v>1</v>
      </c>
      <c r="L3912" s="9">
        <v>2862.37</v>
      </c>
      <c r="M3912" s="9">
        <v>2862.37</v>
      </c>
      <c r="N3912" s="9">
        <v>1.8</v>
      </c>
      <c r="O3912" s="10">
        <f>IF(AND(OR(H3912="APPROVED",H3912="SCHEDULED"),COUNTIFS(tblSource[EventID],F3912,tblSource[ReleaseStatus],"APPROVED")=1,COUNTIFS(Period_Status!$A$2:$A$8,G3912,Period_Status!$B$2:$B$8,"ActualClosed")=1,C3912&gt;EOMONTH(Settlement_Bridge!$C$2,0)),1,0)</f>
        <v>1</v>
      </c>
      <c r="P3912" s="2" t="s">
        <v>10632</v>
      </c>
    </row>
    <row r="3913" spans="1:16" x14ac:dyDescent="0.25">
      <c r="A3913" s="2" t="s">
        <v>10633</v>
      </c>
      <c r="B3913" s="2" t="s">
        <v>7433</v>
      </c>
      <c r="C3913" s="8">
        <v>46244</v>
      </c>
      <c r="D3913" s="6">
        <v>46235</v>
      </c>
      <c r="E3913" s="2" t="s">
        <v>260</v>
      </c>
      <c r="F3913" s="2" t="s">
        <v>10634</v>
      </c>
      <c r="G3913" s="6">
        <v>46204</v>
      </c>
      <c r="H3913" s="2" t="s">
        <v>71</v>
      </c>
      <c r="I3913" s="2" t="s">
        <v>76</v>
      </c>
      <c r="J3913" s="9">
        <v>32564129.032258</v>
      </c>
      <c r="K3913" s="7">
        <v>6.1500000000000004E-5</v>
      </c>
      <c r="L3913" s="9">
        <v>2002.69</v>
      </c>
      <c r="M3913" s="9">
        <v>2018.98</v>
      </c>
      <c r="N3913" s="9">
        <v>1.8</v>
      </c>
      <c r="O3913" s="10">
        <f>IF(AND(OR(H3913="APPROVED",H3913="SCHEDULED"),COUNTIFS(tblSource[EventID],F3913,tblSource[ReleaseStatus],"APPROVED")=1,COUNTIFS(Period_Status!$A$2:$A$8,G3913,Period_Status!$B$2:$B$8,"ActualClosed")=1,C3913&gt;EOMONTH(Settlement_Bridge!$C$2,0)),1,0)</f>
        <v>1</v>
      </c>
      <c r="P3913" s="2" t="s">
        <v>10635</v>
      </c>
    </row>
    <row r="3914" spans="1:16" x14ac:dyDescent="0.25">
      <c r="A3914" s="2" t="s">
        <v>10636</v>
      </c>
      <c r="B3914" s="2" t="s">
        <v>7433</v>
      </c>
      <c r="C3914" s="8">
        <v>46269</v>
      </c>
      <c r="D3914" s="6">
        <v>46266</v>
      </c>
      <c r="E3914" s="2" t="s">
        <v>260</v>
      </c>
      <c r="F3914" s="2" t="s">
        <v>10634</v>
      </c>
      <c r="G3914" s="6">
        <v>46204</v>
      </c>
      <c r="H3914" s="2" t="s">
        <v>176</v>
      </c>
      <c r="I3914" s="2" t="s">
        <v>76</v>
      </c>
      <c r="J3914" s="9">
        <v>48846193.548386998</v>
      </c>
      <c r="K3914" s="7">
        <v>6.1299999999999999E-5</v>
      </c>
      <c r="L3914" s="9">
        <v>2994.27</v>
      </c>
      <c r="M3914" s="9">
        <v>3028.46</v>
      </c>
      <c r="N3914" s="9">
        <v>1.8</v>
      </c>
      <c r="O3914" s="10">
        <f>IF(AND(OR(H3914="APPROVED",H3914="SCHEDULED"),COUNTIFS(tblSource[EventID],F3914,tblSource[ReleaseStatus],"APPROVED")=1,COUNTIFS(Period_Status!$A$2:$A$8,G3914,Period_Status!$B$2:$B$8,"ActualClosed")=1,C3914&gt;EOMONTH(Settlement_Bridge!$C$2,0)),1,0)</f>
        <v>1</v>
      </c>
      <c r="P3914" s="2" t="s">
        <v>10637</v>
      </c>
    </row>
    <row r="3915" spans="1:16" x14ac:dyDescent="0.25">
      <c r="A3915" s="2" t="s">
        <v>10638</v>
      </c>
      <c r="B3915" s="2" t="s">
        <v>7433</v>
      </c>
      <c r="C3915" s="8">
        <v>46245</v>
      </c>
      <c r="D3915" s="6">
        <v>46235</v>
      </c>
      <c r="E3915" s="2" t="s">
        <v>260</v>
      </c>
      <c r="F3915" s="2" t="s">
        <v>10639</v>
      </c>
      <c r="G3915" s="6">
        <v>46204</v>
      </c>
      <c r="H3915" s="2" t="s">
        <v>71</v>
      </c>
      <c r="I3915" s="2" t="s">
        <v>70</v>
      </c>
      <c r="J3915" s="9">
        <v>3236.6261399999999</v>
      </c>
      <c r="K3915" s="7">
        <v>0.65</v>
      </c>
      <c r="L3915" s="9">
        <v>2103.81</v>
      </c>
      <c r="M3915" s="9">
        <v>2129.6999999999998</v>
      </c>
      <c r="N3915" s="9">
        <v>1.8</v>
      </c>
      <c r="O3915" s="10">
        <f>IF(AND(OR(H3915="APPROVED",H3915="SCHEDULED"),COUNTIFS(tblSource[EventID],F3915,tblSource[ReleaseStatus],"APPROVED")=1,COUNTIFS(Period_Status!$A$2:$A$8,G3915,Period_Status!$B$2:$B$8,"ActualClosed")=1,C3915&gt;EOMONTH(Settlement_Bridge!$C$2,0)),1,0)</f>
        <v>1</v>
      </c>
      <c r="P3915" s="2" t="s">
        <v>10640</v>
      </c>
    </row>
    <row r="3916" spans="1:16" x14ac:dyDescent="0.25">
      <c r="A3916" s="2" t="s">
        <v>10641</v>
      </c>
      <c r="B3916" s="2" t="s">
        <v>7433</v>
      </c>
      <c r="C3916" s="8">
        <v>46270</v>
      </c>
      <c r="D3916" s="6">
        <v>46266</v>
      </c>
      <c r="E3916" s="2" t="s">
        <v>260</v>
      </c>
      <c r="F3916" s="2" t="s">
        <v>10639</v>
      </c>
      <c r="G3916" s="6">
        <v>46204</v>
      </c>
      <c r="H3916" s="2" t="s">
        <v>176</v>
      </c>
      <c r="I3916" s="2" t="s">
        <v>70</v>
      </c>
      <c r="J3916" s="9">
        <v>4854.9392099999995</v>
      </c>
      <c r="K3916" s="7">
        <v>0.65100000000000002</v>
      </c>
      <c r="L3916" s="9">
        <v>3160.57</v>
      </c>
      <c r="M3916" s="9">
        <v>3194.55</v>
      </c>
      <c r="N3916" s="9">
        <v>1.8</v>
      </c>
      <c r="O3916" s="10">
        <f>IF(AND(OR(H3916="APPROVED",H3916="SCHEDULED"),COUNTIFS(tblSource[EventID],F3916,tblSource[ReleaseStatus],"APPROVED")=1,COUNTIFS(Period_Status!$A$2:$A$8,G3916,Period_Status!$B$2:$B$8,"ActualClosed")=1,C3916&gt;EOMONTH(Settlement_Bridge!$C$2,0)),1,0)</f>
        <v>1</v>
      </c>
      <c r="P3916" s="2" t="s">
        <v>10642</v>
      </c>
    </row>
    <row r="3917" spans="1:16" x14ac:dyDescent="0.25">
      <c r="A3917" s="2" t="s">
        <v>10643</v>
      </c>
      <c r="B3917" s="2" t="s">
        <v>7433</v>
      </c>
      <c r="C3917" s="8">
        <v>46246</v>
      </c>
      <c r="D3917" s="6">
        <v>46235</v>
      </c>
      <c r="E3917" s="2" t="s">
        <v>260</v>
      </c>
      <c r="F3917" s="2" t="s">
        <v>10644</v>
      </c>
      <c r="G3917" s="6">
        <v>46204</v>
      </c>
      <c r="H3917" s="2" t="s">
        <v>71</v>
      </c>
      <c r="I3917" s="2" t="s">
        <v>39</v>
      </c>
      <c r="J3917" s="9">
        <v>2240.4279999999999</v>
      </c>
      <c r="K3917" s="7">
        <v>1</v>
      </c>
      <c r="L3917" s="9">
        <v>2240.4299999999998</v>
      </c>
      <c r="M3917" s="9">
        <v>2240.4299999999998</v>
      </c>
      <c r="N3917" s="9">
        <v>1.8</v>
      </c>
      <c r="O3917" s="10">
        <f>IF(AND(OR(H3917="APPROVED",H3917="SCHEDULED"),COUNTIFS(tblSource[EventID],F3917,tblSource[ReleaseStatus],"APPROVED")=1,COUNTIFS(Period_Status!$A$2:$A$8,G3917,Period_Status!$B$2:$B$8,"ActualClosed")=1,C3917&gt;EOMONTH(Settlement_Bridge!$C$2,0)),1,0)</f>
        <v>1</v>
      </c>
      <c r="P3917" s="2" t="s">
        <v>10645</v>
      </c>
    </row>
    <row r="3918" spans="1:16" x14ac:dyDescent="0.25">
      <c r="A3918" s="2" t="s">
        <v>10646</v>
      </c>
      <c r="B3918" s="2" t="s">
        <v>7433</v>
      </c>
      <c r="C3918" s="8">
        <v>46271</v>
      </c>
      <c r="D3918" s="6">
        <v>46266</v>
      </c>
      <c r="E3918" s="2" t="s">
        <v>260</v>
      </c>
      <c r="F3918" s="2" t="s">
        <v>10644</v>
      </c>
      <c r="G3918" s="6">
        <v>46204</v>
      </c>
      <c r="H3918" s="2" t="s">
        <v>176</v>
      </c>
      <c r="I3918" s="2" t="s">
        <v>39</v>
      </c>
      <c r="J3918" s="9">
        <v>3360.6419999999998</v>
      </c>
      <c r="K3918" s="7">
        <v>1</v>
      </c>
      <c r="L3918" s="9">
        <v>3360.64</v>
      </c>
      <c r="M3918" s="9">
        <v>3360.64</v>
      </c>
      <c r="N3918" s="9">
        <v>1.85</v>
      </c>
      <c r="O3918" s="10">
        <f>IF(AND(OR(H3918="APPROVED",H3918="SCHEDULED"),COUNTIFS(tblSource[EventID],F3918,tblSource[ReleaseStatus],"APPROVED")=1,COUNTIFS(Period_Status!$A$2:$A$8,G3918,Period_Status!$B$2:$B$8,"ActualClosed")=1,C3918&gt;EOMONTH(Settlement_Bridge!$C$2,0)),1,0)</f>
        <v>1</v>
      </c>
      <c r="P3918" s="2" t="s">
        <v>10647</v>
      </c>
    </row>
    <row r="3919" spans="1:16" x14ac:dyDescent="0.25">
      <c r="A3919" s="2" t="s">
        <v>10648</v>
      </c>
      <c r="B3919" s="2" t="s">
        <v>7433</v>
      </c>
      <c r="C3919" s="8">
        <v>46247</v>
      </c>
      <c r="D3919" s="6">
        <v>46235</v>
      </c>
      <c r="E3919" s="2" t="s">
        <v>260</v>
      </c>
      <c r="F3919" s="2" t="s">
        <v>10649</v>
      </c>
      <c r="G3919" s="6">
        <v>46204</v>
      </c>
      <c r="H3919" s="2" t="s">
        <v>71</v>
      </c>
      <c r="I3919" s="2" t="s">
        <v>76</v>
      </c>
      <c r="J3919" s="9">
        <v>37921870.967742004</v>
      </c>
      <c r="K3919" s="7">
        <v>6.1500000000000004E-5</v>
      </c>
      <c r="L3919" s="9">
        <v>2332.1999999999998</v>
      </c>
      <c r="M3919" s="9">
        <v>2351.16</v>
      </c>
      <c r="N3919" s="9">
        <v>1.8</v>
      </c>
      <c r="O3919" s="10">
        <f>IF(AND(OR(H3919="APPROVED",H3919="SCHEDULED"),COUNTIFS(tblSource[EventID],F3919,tblSource[ReleaseStatus],"APPROVED")=1,COUNTIFS(Period_Status!$A$2:$A$8,G3919,Period_Status!$B$2:$B$8,"ActualClosed")=1,C3919&gt;EOMONTH(Settlement_Bridge!$C$2,0)),1,0)</f>
        <v>1</v>
      </c>
      <c r="P3919" s="2" t="s">
        <v>10650</v>
      </c>
    </row>
    <row r="3920" spans="1:16" x14ac:dyDescent="0.25">
      <c r="A3920" s="2" t="s">
        <v>10651</v>
      </c>
      <c r="B3920" s="2" t="s">
        <v>7433</v>
      </c>
      <c r="C3920" s="8">
        <v>46272</v>
      </c>
      <c r="D3920" s="6">
        <v>46266</v>
      </c>
      <c r="E3920" s="2" t="s">
        <v>260</v>
      </c>
      <c r="F3920" s="2" t="s">
        <v>10649</v>
      </c>
      <c r="G3920" s="6">
        <v>46204</v>
      </c>
      <c r="H3920" s="2" t="s">
        <v>176</v>
      </c>
      <c r="I3920" s="2" t="s">
        <v>76</v>
      </c>
      <c r="J3920" s="9">
        <v>56882806.451613002</v>
      </c>
      <c r="K3920" s="7">
        <v>6.1299999999999999E-5</v>
      </c>
      <c r="L3920" s="9">
        <v>3486.92</v>
      </c>
      <c r="M3920" s="9">
        <v>3526.73</v>
      </c>
      <c r="N3920" s="9">
        <v>1.92</v>
      </c>
      <c r="O3920" s="10">
        <f>IF(AND(OR(H3920="APPROVED",H3920="SCHEDULED"),COUNTIFS(tblSource[EventID],F3920,tblSource[ReleaseStatus],"APPROVED")=1,COUNTIFS(Period_Status!$A$2:$A$8,G3920,Period_Status!$B$2:$B$8,"ActualClosed")=1,C3920&gt;EOMONTH(Settlement_Bridge!$C$2,0)),1,0)</f>
        <v>1</v>
      </c>
      <c r="P3920" s="2" t="s">
        <v>10652</v>
      </c>
    </row>
    <row r="3921" spans="1:16" x14ac:dyDescent="0.25">
      <c r="A3921" s="2" t="s">
        <v>10653</v>
      </c>
      <c r="B3921" s="2" t="s">
        <v>7433</v>
      </c>
      <c r="C3921" s="8">
        <v>46248</v>
      </c>
      <c r="D3921" s="6">
        <v>46235</v>
      </c>
      <c r="E3921" s="2" t="s">
        <v>260</v>
      </c>
      <c r="F3921" s="2" t="s">
        <v>10654</v>
      </c>
      <c r="G3921" s="6">
        <v>46204</v>
      </c>
      <c r="H3921" s="2" t="s">
        <v>71</v>
      </c>
      <c r="I3921" s="2" t="s">
        <v>70</v>
      </c>
      <c r="J3921" s="9">
        <v>3741.4589660000001</v>
      </c>
      <c r="K3921" s="7">
        <v>0.65</v>
      </c>
      <c r="L3921" s="9">
        <v>2431.9499999999998</v>
      </c>
      <c r="M3921" s="9">
        <v>2461.88</v>
      </c>
      <c r="N3921" s="9">
        <v>1.8</v>
      </c>
      <c r="O3921" s="10">
        <f>IF(AND(OR(H3921="APPROVED",H3921="SCHEDULED"),COUNTIFS(tblSource[EventID],F3921,tblSource[ReleaseStatus],"APPROVED")=1,COUNTIFS(Period_Status!$A$2:$A$8,G3921,Period_Status!$B$2:$B$8,"ActualClosed")=1,C3921&gt;EOMONTH(Settlement_Bridge!$C$2,0)),1,0)</f>
        <v>1</v>
      </c>
      <c r="P3921" s="2" t="s">
        <v>10655</v>
      </c>
    </row>
    <row r="3922" spans="1:16" x14ac:dyDescent="0.25">
      <c r="A3922" s="2" t="s">
        <v>10656</v>
      </c>
      <c r="B3922" s="2" t="s">
        <v>7433</v>
      </c>
      <c r="C3922" s="8">
        <v>46273</v>
      </c>
      <c r="D3922" s="6">
        <v>46266</v>
      </c>
      <c r="E3922" s="2" t="s">
        <v>260</v>
      </c>
      <c r="F3922" s="2" t="s">
        <v>10654</v>
      </c>
      <c r="G3922" s="6">
        <v>46204</v>
      </c>
      <c r="H3922" s="2" t="s">
        <v>176</v>
      </c>
      <c r="I3922" s="2" t="s">
        <v>70</v>
      </c>
      <c r="J3922" s="9">
        <v>5612.1884499999996</v>
      </c>
      <c r="K3922" s="7">
        <v>0.65100000000000002</v>
      </c>
      <c r="L3922" s="9">
        <v>3653.53</v>
      </c>
      <c r="M3922" s="9">
        <v>3692.82</v>
      </c>
      <c r="N3922" s="9">
        <v>2.0099999999999998</v>
      </c>
      <c r="O3922" s="10">
        <f>IF(AND(OR(H3922="APPROVED",H3922="SCHEDULED"),COUNTIFS(tblSource[EventID],F3922,tblSource[ReleaseStatus],"APPROVED")=1,COUNTIFS(Period_Status!$A$2:$A$8,G3922,Period_Status!$B$2:$B$8,"ActualClosed")=1,C3922&gt;EOMONTH(Settlement_Bridge!$C$2,0)),1,0)</f>
        <v>1</v>
      </c>
      <c r="P3922" s="2" t="s">
        <v>10657</v>
      </c>
    </row>
    <row r="3923" spans="1:16" x14ac:dyDescent="0.25">
      <c r="A3923" s="2" t="s">
        <v>10658</v>
      </c>
      <c r="B3923" s="2" t="s">
        <v>7433</v>
      </c>
      <c r="C3923" s="8">
        <v>46218</v>
      </c>
      <c r="D3923" s="6">
        <v>46204</v>
      </c>
      <c r="E3923" s="2" t="s">
        <v>260</v>
      </c>
      <c r="F3923" s="2" t="s">
        <v>10659</v>
      </c>
      <c r="G3923" s="6">
        <v>46204</v>
      </c>
      <c r="H3923" s="2" t="s">
        <v>71</v>
      </c>
      <c r="I3923" s="2" t="s">
        <v>39</v>
      </c>
      <c r="J3923" s="9">
        <v>2572.6080000000002</v>
      </c>
      <c r="K3923" s="7">
        <v>1</v>
      </c>
      <c r="L3923" s="9">
        <v>2572.61</v>
      </c>
      <c r="M3923" s="9">
        <v>2572.61</v>
      </c>
      <c r="N3923" s="9">
        <v>1.8</v>
      </c>
      <c r="O3923" s="10">
        <f>IF(AND(OR(H3923="APPROVED",H3923="SCHEDULED"),COUNTIFS(tblSource[EventID],F3923,tblSource[ReleaseStatus],"APPROVED")=1,COUNTIFS(Period_Status!$A$2:$A$8,G3923,Period_Status!$B$2:$B$8,"ActualClosed")=1,C3923&gt;EOMONTH(Settlement_Bridge!$C$2,0)),1,0)</f>
        <v>0</v>
      </c>
      <c r="P3923" s="2" t="s">
        <v>10660</v>
      </c>
    </row>
    <row r="3924" spans="1:16" x14ac:dyDescent="0.25">
      <c r="A3924" s="2" t="s">
        <v>10661</v>
      </c>
      <c r="B3924" s="2" t="s">
        <v>7433</v>
      </c>
      <c r="C3924" s="8">
        <v>46243</v>
      </c>
      <c r="D3924" s="6">
        <v>46235</v>
      </c>
      <c r="E3924" s="2" t="s">
        <v>260</v>
      </c>
      <c r="F3924" s="2" t="s">
        <v>10659</v>
      </c>
      <c r="G3924" s="6">
        <v>46204</v>
      </c>
      <c r="H3924" s="2" t="s">
        <v>71</v>
      </c>
      <c r="I3924" s="2" t="s">
        <v>39</v>
      </c>
      <c r="J3924" s="9">
        <v>3858.9119999999998</v>
      </c>
      <c r="K3924" s="7">
        <v>1</v>
      </c>
      <c r="L3924" s="9">
        <v>3858.91</v>
      </c>
      <c r="M3924" s="9">
        <v>3858.91</v>
      </c>
      <c r="N3924" s="9">
        <v>2.12</v>
      </c>
      <c r="O3924" s="10">
        <f>IF(AND(OR(H3924="APPROVED",H3924="SCHEDULED"),COUNTIFS(tblSource[EventID],F3924,tblSource[ReleaseStatus],"APPROVED")=1,COUNTIFS(Period_Status!$A$2:$A$8,G3924,Period_Status!$B$2:$B$8,"ActualClosed")=1,C3924&gt;EOMONTH(Settlement_Bridge!$C$2,0)),1,0)</f>
        <v>1</v>
      </c>
      <c r="P3924" s="2" t="s">
        <v>10662</v>
      </c>
    </row>
    <row r="3925" spans="1:16" x14ac:dyDescent="0.25">
      <c r="A3925" s="2" t="s">
        <v>10663</v>
      </c>
      <c r="B3925" s="2" t="s">
        <v>7433</v>
      </c>
      <c r="C3925" s="8">
        <v>46219</v>
      </c>
      <c r="D3925" s="6">
        <v>46204</v>
      </c>
      <c r="E3925" s="2" t="s">
        <v>260</v>
      </c>
      <c r="F3925" s="2" t="s">
        <v>10664</v>
      </c>
      <c r="G3925" s="6">
        <v>46204</v>
      </c>
      <c r="H3925" s="2" t="s">
        <v>71</v>
      </c>
      <c r="I3925" s="2" t="s">
        <v>76</v>
      </c>
      <c r="J3925" s="9">
        <v>43279612.903226003</v>
      </c>
      <c r="K3925" s="7">
        <v>6.2000000000000003E-5</v>
      </c>
      <c r="L3925" s="9">
        <v>2683.34</v>
      </c>
      <c r="M3925" s="9">
        <v>2683.34</v>
      </c>
      <c r="N3925" s="9">
        <v>1.8</v>
      </c>
      <c r="O3925" s="10">
        <f>IF(AND(OR(H3925="APPROVED",H3925="SCHEDULED"),COUNTIFS(tblSource[EventID],F3925,tblSource[ReleaseStatus],"APPROVED")=1,COUNTIFS(Period_Status!$A$2:$A$8,G3925,Period_Status!$B$2:$B$8,"ActualClosed")=1,C3925&gt;EOMONTH(Settlement_Bridge!$C$2,0)),1,0)</f>
        <v>0</v>
      </c>
      <c r="P3925" s="2" t="s">
        <v>10665</v>
      </c>
    </row>
    <row r="3926" spans="1:16" x14ac:dyDescent="0.25">
      <c r="A3926" s="2" t="s">
        <v>10666</v>
      </c>
      <c r="B3926" s="2" t="s">
        <v>7433</v>
      </c>
      <c r="C3926" s="8">
        <v>46244</v>
      </c>
      <c r="D3926" s="6">
        <v>46235</v>
      </c>
      <c r="E3926" s="2" t="s">
        <v>260</v>
      </c>
      <c r="F3926" s="2" t="s">
        <v>10664</v>
      </c>
      <c r="G3926" s="6">
        <v>46204</v>
      </c>
      <c r="H3926" s="2" t="s">
        <v>71</v>
      </c>
      <c r="I3926" s="2" t="s">
        <v>76</v>
      </c>
      <c r="J3926" s="9">
        <v>64919419.354838997</v>
      </c>
      <c r="K3926" s="7">
        <v>6.1500000000000004E-5</v>
      </c>
      <c r="L3926" s="9">
        <v>3992.54</v>
      </c>
      <c r="M3926" s="9">
        <v>4025</v>
      </c>
      <c r="N3926" s="9">
        <v>2.2000000000000002</v>
      </c>
      <c r="O3926" s="10">
        <f>IF(AND(OR(H3926="APPROVED",H3926="SCHEDULED"),COUNTIFS(tblSource[EventID],F3926,tblSource[ReleaseStatus],"APPROVED")=1,COUNTIFS(Period_Status!$A$2:$A$8,G3926,Period_Status!$B$2:$B$8,"ActualClosed")=1,C3926&gt;EOMONTH(Settlement_Bridge!$C$2,0)),1,0)</f>
        <v>1</v>
      </c>
      <c r="P3926" s="2" t="s">
        <v>10667</v>
      </c>
    </row>
    <row r="3927" spans="1:16" x14ac:dyDescent="0.25">
      <c r="A3927" s="2" t="s">
        <v>10668</v>
      </c>
      <c r="B3927" s="2" t="s">
        <v>7433</v>
      </c>
      <c r="C3927" s="8">
        <v>46220</v>
      </c>
      <c r="D3927" s="6">
        <v>46204</v>
      </c>
      <c r="E3927" s="2" t="s">
        <v>260</v>
      </c>
      <c r="F3927" s="2" t="s">
        <v>10669</v>
      </c>
      <c r="G3927" s="6">
        <v>46204</v>
      </c>
      <c r="H3927" s="2" t="s">
        <v>71</v>
      </c>
      <c r="I3927" s="2" t="s">
        <v>70</v>
      </c>
      <c r="J3927" s="9">
        <v>4246.2917930000003</v>
      </c>
      <c r="K3927" s="7">
        <v>0.65800000000000003</v>
      </c>
      <c r="L3927" s="9">
        <v>2794.06</v>
      </c>
      <c r="M3927" s="9">
        <v>2794.06</v>
      </c>
      <c r="N3927" s="9">
        <v>1.8</v>
      </c>
      <c r="O3927" s="10">
        <f>IF(AND(OR(H3927="APPROVED",H3927="SCHEDULED"),COUNTIFS(tblSource[EventID],F3927,tblSource[ReleaseStatus],"APPROVED")=1,COUNTIFS(Period_Status!$A$2:$A$8,G3927,Period_Status!$B$2:$B$8,"ActualClosed")=1,C3927&gt;EOMONTH(Settlement_Bridge!$C$2,0)),1,0)</f>
        <v>0</v>
      </c>
      <c r="P3927" s="2" t="s">
        <v>10670</v>
      </c>
    </row>
    <row r="3928" spans="1:16" x14ac:dyDescent="0.25">
      <c r="A3928" s="2" t="s">
        <v>10671</v>
      </c>
      <c r="B3928" s="2" t="s">
        <v>7433</v>
      </c>
      <c r="C3928" s="8">
        <v>46245</v>
      </c>
      <c r="D3928" s="6">
        <v>46235</v>
      </c>
      <c r="E3928" s="2" t="s">
        <v>260</v>
      </c>
      <c r="F3928" s="2" t="s">
        <v>10669</v>
      </c>
      <c r="G3928" s="6">
        <v>46204</v>
      </c>
      <c r="H3928" s="2" t="s">
        <v>71</v>
      </c>
      <c r="I3928" s="2" t="s">
        <v>70</v>
      </c>
      <c r="J3928" s="9">
        <v>6369.4376899999997</v>
      </c>
      <c r="K3928" s="7">
        <v>0.65</v>
      </c>
      <c r="L3928" s="9">
        <v>4140.13</v>
      </c>
      <c r="M3928" s="9">
        <v>4191.09</v>
      </c>
      <c r="N3928" s="9">
        <v>2.2799999999999998</v>
      </c>
      <c r="O3928" s="10">
        <f>IF(AND(OR(H3928="APPROVED",H3928="SCHEDULED"),COUNTIFS(tblSource[EventID],F3928,tblSource[ReleaseStatus],"APPROVED")=1,COUNTIFS(Period_Status!$A$2:$A$8,G3928,Period_Status!$B$2:$B$8,"ActualClosed")=1,C3928&gt;EOMONTH(Settlement_Bridge!$C$2,0)),1,0)</f>
        <v>1</v>
      </c>
      <c r="P3928" s="2" t="s">
        <v>10672</v>
      </c>
    </row>
    <row r="3929" spans="1:16" x14ac:dyDescent="0.25">
      <c r="A3929" s="2" t="s">
        <v>10673</v>
      </c>
      <c r="B3929" s="2" t="s">
        <v>7433</v>
      </c>
      <c r="C3929" s="8">
        <v>46221</v>
      </c>
      <c r="D3929" s="6">
        <v>46204</v>
      </c>
      <c r="E3929" s="2" t="s">
        <v>260</v>
      </c>
      <c r="F3929" s="2" t="s">
        <v>10674</v>
      </c>
      <c r="G3929" s="6">
        <v>46204</v>
      </c>
      <c r="H3929" s="2" t="s">
        <v>71</v>
      </c>
      <c r="I3929" s="2" t="s">
        <v>39</v>
      </c>
      <c r="J3929" s="9">
        <v>2904.788</v>
      </c>
      <c r="K3929" s="7">
        <v>1</v>
      </c>
      <c r="L3929" s="9">
        <v>2904.79</v>
      </c>
      <c r="M3929" s="9">
        <v>2904.79</v>
      </c>
      <c r="N3929" s="9">
        <v>1.8</v>
      </c>
      <c r="O3929" s="10">
        <f>IF(AND(OR(H3929="APPROVED",H3929="SCHEDULED"),COUNTIFS(tblSource[EventID],F3929,tblSource[ReleaseStatus],"APPROVED")=1,COUNTIFS(Period_Status!$A$2:$A$8,G3929,Period_Status!$B$2:$B$8,"ActualClosed")=1,C3929&gt;EOMONTH(Settlement_Bridge!$C$2,0)),1,0)</f>
        <v>0</v>
      </c>
      <c r="P3929" s="2" t="s">
        <v>10675</v>
      </c>
    </row>
    <row r="3930" spans="1:16" x14ac:dyDescent="0.25">
      <c r="A3930" s="2" t="s">
        <v>10676</v>
      </c>
      <c r="B3930" s="2" t="s">
        <v>7433</v>
      </c>
      <c r="C3930" s="8">
        <v>46246</v>
      </c>
      <c r="D3930" s="6">
        <v>46235</v>
      </c>
      <c r="E3930" s="2" t="s">
        <v>260</v>
      </c>
      <c r="F3930" s="2" t="s">
        <v>10674</v>
      </c>
      <c r="G3930" s="6">
        <v>46204</v>
      </c>
      <c r="H3930" s="2" t="s">
        <v>71</v>
      </c>
      <c r="I3930" s="2" t="s">
        <v>39</v>
      </c>
      <c r="J3930" s="9">
        <v>4357.1819999999998</v>
      </c>
      <c r="K3930" s="7">
        <v>1</v>
      </c>
      <c r="L3930" s="9">
        <v>4357.18</v>
      </c>
      <c r="M3930" s="9">
        <v>4357.18</v>
      </c>
      <c r="N3930" s="9">
        <v>2.4</v>
      </c>
      <c r="O3930" s="10">
        <f>IF(AND(OR(H3930="APPROVED",H3930="SCHEDULED"),COUNTIFS(tblSource[EventID],F3930,tblSource[ReleaseStatus],"APPROVED")=1,COUNTIFS(Period_Status!$A$2:$A$8,G3930,Period_Status!$B$2:$B$8,"ActualClosed")=1,C3930&gt;EOMONTH(Settlement_Bridge!$C$2,0)),1,0)</f>
        <v>1</v>
      </c>
      <c r="P3930" s="2" t="s">
        <v>10677</v>
      </c>
    </row>
    <row r="3931" spans="1:16" x14ac:dyDescent="0.25">
      <c r="A3931" s="2" t="s">
        <v>10678</v>
      </c>
      <c r="B3931" s="2" t="s">
        <v>7433</v>
      </c>
      <c r="C3931" s="8">
        <v>46222</v>
      </c>
      <c r="D3931" s="6">
        <v>46204</v>
      </c>
      <c r="E3931" s="2" t="s">
        <v>260</v>
      </c>
      <c r="F3931" s="2" t="s">
        <v>10679</v>
      </c>
      <c r="G3931" s="6">
        <v>46204</v>
      </c>
      <c r="H3931" s="2" t="s">
        <v>71</v>
      </c>
      <c r="I3931" s="2" t="s">
        <v>76</v>
      </c>
      <c r="J3931" s="9">
        <v>-121593225.80645201</v>
      </c>
      <c r="K3931" s="7">
        <v>6.2000000000000003E-5</v>
      </c>
      <c r="L3931" s="9">
        <v>-7538.78</v>
      </c>
      <c r="M3931" s="9">
        <v>-7538.78</v>
      </c>
      <c r="N3931" s="9">
        <v>0</v>
      </c>
      <c r="O3931" s="10">
        <f>IF(AND(OR(H3931="APPROVED",H3931="SCHEDULED"),COUNTIFS(tblSource[EventID],F3931,tblSource[ReleaseStatus],"APPROVED")=1,COUNTIFS(Period_Status!$A$2:$A$8,G3931,Period_Status!$B$2:$B$8,"ActualClosed")=1,C3931&gt;EOMONTH(Settlement_Bridge!$C$2,0)),1,0)</f>
        <v>0</v>
      </c>
      <c r="P3931" s="2" t="s">
        <v>10680</v>
      </c>
    </row>
    <row r="3932" spans="1:16" x14ac:dyDescent="0.25">
      <c r="A3932" s="2" t="s">
        <v>10681</v>
      </c>
      <c r="B3932" s="2" t="s">
        <v>7433</v>
      </c>
      <c r="C3932" s="8">
        <v>46223</v>
      </c>
      <c r="D3932" s="6">
        <v>46204</v>
      </c>
      <c r="E3932" s="2" t="s">
        <v>260</v>
      </c>
      <c r="F3932" s="2" t="s">
        <v>10682</v>
      </c>
      <c r="G3932" s="6">
        <v>46204</v>
      </c>
      <c r="H3932" s="2" t="s">
        <v>71</v>
      </c>
      <c r="I3932" s="2" t="s">
        <v>70</v>
      </c>
      <c r="J3932" s="9">
        <v>4751.1246199999996</v>
      </c>
      <c r="K3932" s="7">
        <v>0.65800000000000003</v>
      </c>
      <c r="L3932" s="9">
        <v>3126.24</v>
      </c>
      <c r="M3932" s="9">
        <v>3126.24</v>
      </c>
      <c r="N3932" s="9">
        <v>1.8</v>
      </c>
      <c r="O3932" s="10">
        <f>IF(AND(OR(H3932="APPROVED",H3932="SCHEDULED"),COUNTIFS(tblSource[EventID],F3932,tblSource[ReleaseStatus],"APPROVED")=1,COUNTIFS(Period_Status!$A$2:$A$8,G3932,Period_Status!$B$2:$B$8,"ActualClosed")=1,C3932&gt;EOMONTH(Settlement_Bridge!$C$2,0)),1,0)</f>
        <v>0</v>
      </c>
      <c r="P3932" s="2" t="s">
        <v>10683</v>
      </c>
    </row>
    <row r="3933" spans="1:16" x14ac:dyDescent="0.25">
      <c r="A3933" s="2" t="s">
        <v>10684</v>
      </c>
      <c r="B3933" s="2" t="s">
        <v>7433</v>
      </c>
      <c r="C3933" s="8">
        <v>46248</v>
      </c>
      <c r="D3933" s="6">
        <v>46235</v>
      </c>
      <c r="E3933" s="2" t="s">
        <v>260</v>
      </c>
      <c r="F3933" s="2" t="s">
        <v>10682</v>
      </c>
      <c r="G3933" s="6">
        <v>46204</v>
      </c>
      <c r="H3933" s="2" t="s">
        <v>71</v>
      </c>
      <c r="I3933" s="2" t="s">
        <v>70</v>
      </c>
      <c r="J3933" s="9">
        <v>7126.6869299999998</v>
      </c>
      <c r="K3933" s="7">
        <v>0.65</v>
      </c>
      <c r="L3933" s="9">
        <v>4632.3500000000004</v>
      </c>
      <c r="M3933" s="9">
        <v>4689.3599999999997</v>
      </c>
      <c r="N3933" s="9">
        <v>2.5499999999999998</v>
      </c>
      <c r="O3933" s="10">
        <f>IF(AND(OR(H3933="APPROVED",H3933="SCHEDULED"),COUNTIFS(tblSource[EventID],F3933,tblSource[ReleaseStatus],"APPROVED")=1,COUNTIFS(Period_Status!$A$2:$A$8,G3933,Period_Status!$B$2:$B$8,"ActualClosed")=1,C3933&gt;EOMONTH(Settlement_Bridge!$C$2,0)),1,0)</f>
        <v>1</v>
      </c>
      <c r="P3933" s="2" t="s">
        <v>10685</v>
      </c>
    </row>
    <row r="3934" spans="1:16" x14ac:dyDescent="0.25">
      <c r="A3934" s="2" t="s">
        <v>10686</v>
      </c>
      <c r="B3934" s="2" t="s">
        <v>7433</v>
      </c>
      <c r="C3934" s="8">
        <v>46224</v>
      </c>
      <c r="D3934" s="6">
        <v>46204</v>
      </c>
      <c r="E3934" s="2" t="s">
        <v>260</v>
      </c>
      <c r="F3934" s="2" t="s">
        <v>10687</v>
      </c>
      <c r="G3934" s="6">
        <v>46204</v>
      </c>
      <c r="H3934" s="2" t="s">
        <v>71</v>
      </c>
      <c r="I3934" s="2" t="s">
        <v>39</v>
      </c>
      <c r="J3934" s="9">
        <v>3236.9679999999998</v>
      </c>
      <c r="K3934" s="7">
        <v>1</v>
      </c>
      <c r="L3934" s="9">
        <v>3236.97</v>
      </c>
      <c r="M3934" s="9">
        <v>3236.97</v>
      </c>
      <c r="N3934" s="9">
        <v>1.8</v>
      </c>
      <c r="O3934" s="10">
        <f>IF(AND(OR(H3934="APPROVED",H3934="SCHEDULED"),COUNTIFS(tblSource[EventID],F3934,tblSource[ReleaseStatus],"APPROVED")=1,COUNTIFS(Period_Status!$A$2:$A$8,G3934,Period_Status!$B$2:$B$8,"ActualClosed")=1,C3934&gt;EOMONTH(Settlement_Bridge!$C$2,0)),1,0)</f>
        <v>0</v>
      </c>
      <c r="P3934" s="2" t="s">
        <v>10688</v>
      </c>
    </row>
    <row r="3935" spans="1:16" x14ac:dyDescent="0.25">
      <c r="A3935" s="2" t="s">
        <v>10689</v>
      </c>
      <c r="B3935" s="2" t="s">
        <v>7433</v>
      </c>
      <c r="C3935" s="8">
        <v>46249</v>
      </c>
      <c r="D3935" s="6">
        <v>46235</v>
      </c>
      <c r="E3935" s="2" t="s">
        <v>260</v>
      </c>
      <c r="F3935" s="2" t="s">
        <v>10687</v>
      </c>
      <c r="G3935" s="6">
        <v>46204</v>
      </c>
      <c r="H3935" s="2" t="s">
        <v>71</v>
      </c>
      <c r="I3935" s="2" t="s">
        <v>39</v>
      </c>
      <c r="J3935" s="9">
        <v>4855.4520000000002</v>
      </c>
      <c r="K3935" s="7">
        <v>1</v>
      </c>
      <c r="L3935" s="9">
        <v>4855.45</v>
      </c>
      <c r="M3935" s="9">
        <v>4855.45</v>
      </c>
      <c r="N3935" s="9">
        <v>2.67</v>
      </c>
      <c r="O3935" s="10">
        <f>IF(AND(OR(H3935="APPROVED",H3935="SCHEDULED"),COUNTIFS(tblSource[EventID],F3935,tblSource[ReleaseStatus],"APPROVED")=1,COUNTIFS(Period_Status!$A$2:$A$8,G3935,Period_Status!$B$2:$B$8,"ActualClosed")=1,C3935&gt;EOMONTH(Settlement_Bridge!$C$2,0)),1,0)</f>
        <v>1</v>
      </c>
      <c r="P3935" s="2" t="s">
        <v>10690</v>
      </c>
    </row>
    <row r="3936" spans="1:16" x14ac:dyDescent="0.25">
      <c r="A3936" s="2" t="s">
        <v>10691</v>
      </c>
      <c r="B3936" s="2" t="s">
        <v>7433</v>
      </c>
      <c r="C3936" s="8">
        <v>46225</v>
      </c>
      <c r="D3936" s="6">
        <v>46204</v>
      </c>
      <c r="E3936" s="2" t="s">
        <v>260</v>
      </c>
      <c r="F3936" s="2" t="s">
        <v>10692</v>
      </c>
      <c r="G3936" s="6">
        <v>46204</v>
      </c>
      <c r="H3936" s="2" t="s">
        <v>71</v>
      </c>
      <c r="I3936" s="2" t="s">
        <v>76</v>
      </c>
      <c r="J3936" s="9">
        <v>53995032.258064002</v>
      </c>
      <c r="K3936" s="7">
        <v>6.2000000000000003E-5</v>
      </c>
      <c r="L3936" s="9">
        <v>3347.69</v>
      </c>
      <c r="M3936" s="9">
        <v>3347.69</v>
      </c>
      <c r="N3936" s="9">
        <v>1.84</v>
      </c>
      <c r="O3936" s="10">
        <f>IF(AND(OR(H3936="APPROVED",H3936="SCHEDULED"),COUNTIFS(tblSource[EventID],F3936,tblSource[ReleaseStatus],"APPROVED")=1,COUNTIFS(Period_Status!$A$2:$A$8,G3936,Period_Status!$B$2:$B$8,"ActualClosed")=1,C3936&gt;EOMONTH(Settlement_Bridge!$C$2,0)),1,0)</f>
        <v>0</v>
      </c>
      <c r="P3936" s="2" t="s">
        <v>10693</v>
      </c>
    </row>
    <row r="3937" spans="1:16" x14ac:dyDescent="0.25">
      <c r="A3937" s="2" t="s">
        <v>10694</v>
      </c>
      <c r="B3937" s="2" t="s">
        <v>7433</v>
      </c>
      <c r="C3937" s="8">
        <v>46250</v>
      </c>
      <c r="D3937" s="6">
        <v>46235</v>
      </c>
      <c r="E3937" s="2" t="s">
        <v>260</v>
      </c>
      <c r="F3937" s="2" t="s">
        <v>10692</v>
      </c>
      <c r="G3937" s="6">
        <v>46204</v>
      </c>
      <c r="H3937" s="2" t="s">
        <v>71</v>
      </c>
      <c r="I3937" s="2" t="s">
        <v>76</v>
      </c>
      <c r="J3937" s="9">
        <v>80992548.387097001</v>
      </c>
      <c r="K3937" s="7">
        <v>6.1500000000000004E-5</v>
      </c>
      <c r="L3937" s="9">
        <v>4981.04</v>
      </c>
      <c r="M3937" s="9">
        <v>5021.54</v>
      </c>
      <c r="N3937" s="9">
        <v>2.74</v>
      </c>
      <c r="O3937" s="10">
        <f>IF(AND(OR(H3937="APPROVED",H3937="SCHEDULED"),COUNTIFS(tblSource[EventID],F3937,tblSource[ReleaseStatus],"APPROVED")=1,COUNTIFS(Period_Status!$A$2:$A$8,G3937,Period_Status!$B$2:$B$8,"ActualClosed")=1,C3937&gt;EOMONTH(Settlement_Bridge!$C$2,0)),1,0)</f>
        <v>1</v>
      </c>
      <c r="P3937" s="2" t="s">
        <v>10695</v>
      </c>
    </row>
    <row r="3938" spans="1:16" x14ac:dyDescent="0.25">
      <c r="A3938" s="2" t="s">
        <v>10696</v>
      </c>
      <c r="B3938" s="2" t="s">
        <v>7433</v>
      </c>
      <c r="C3938" s="8">
        <v>46226</v>
      </c>
      <c r="D3938" s="6">
        <v>46204</v>
      </c>
      <c r="E3938" s="2" t="s">
        <v>260</v>
      </c>
      <c r="F3938" s="2" t="s">
        <v>10697</v>
      </c>
      <c r="G3938" s="6">
        <v>46204</v>
      </c>
      <c r="H3938" s="2" t="s">
        <v>71</v>
      </c>
      <c r="I3938" s="2" t="s">
        <v>70</v>
      </c>
      <c r="J3938" s="9">
        <v>5255.9574469999998</v>
      </c>
      <c r="K3938" s="7">
        <v>0.65800000000000003</v>
      </c>
      <c r="L3938" s="9">
        <v>3458.42</v>
      </c>
      <c r="M3938" s="9">
        <v>3458.42</v>
      </c>
      <c r="N3938" s="9">
        <v>1.9</v>
      </c>
      <c r="O3938" s="10">
        <f>IF(AND(OR(H3938="APPROVED",H3938="SCHEDULED"),COUNTIFS(tblSource[EventID],F3938,tblSource[ReleaseStatus],"APPROVED")=1,COUNTIFS(Period_Status!$A$2:$A$8,G3938,Period_Status!$B$2:$B$8,"ActualClosed")=1,C3938&gt;EOMONTH(Settlement_Bridge!$C$2,0)),1,0)</f>
        <v>0</v>
      </c>
      <c r="P3938" s="2" t="s">
        <v>10698</v>
      </c>
    </row>
    <row r="3939" spans="1:16" x14ac:dyDescent="0.25">
      <c r="A3939" s="2" t="s">
        <v>10699</v>
      </c>
      <c r="B3939" s="2" t="s">
        <v>7433</v>
      </c>
      <c r="C3939" s="8">
        <v>46251</v>
      </c>
      <c r="D3939" s="6">
        <v>46235</v>
      </c>
      <c r="E3939" s="2" t="s">
        <v>260</v>
      </c>
      <c r="F3939" s="2" t="s">
        <v>10697</v>
      </c>
      <c r="G3939" s="6">
        <v>46204</v>
      </c>
      <c r="H3939" s="2" t="s">
        <v>71</v>
      </c>
      <c r="I3939" s="2" t="s">
        <v>70</v>
      </c>
      <c r="J3939" s="9">
        <v>7883.9361699999999</v>
      </c>
      <c r="K3939" s="7">
        <v>0.65</v>
      </c>
      <c r="L3939" s="9">
        <v>5124.5600000000004</v>
      </c>
      <c r="M3939" s="9">
        <v>5187.63</v>
      </c>
      <c r="N3939" s="9">
        <v>2.82</v>
      </c>
      <c r="O3939" s="10">
        <f>IF(AND(OR(H3939="APPROVED",H3939="SCHEDULED"),COUNTIFS(tblSource[EventID],F3939,tblSource[ReleaseStatus],"APPROVED")=1,COUNTIFS(Period_Status!$A$2:$A$8,G3939,Period_Status!$B$2:$B$8,"ActualClosed")=1,C3939&gt;EOMONTH(Settlement_Bridge!$C$2,0)),1,0)</f>
        <v>1</v>
      </c>
      <c r="P3939" s="2" t="s">
        <v>10700</v>
      </c>
    </row>
    <row r="3940" spans="1:16" x14ac:dyDescent="0.25">
      <c r="A3940" s="2" t="s">
        <v>10701</v>
      </c>
      <c r="B3940" s="2" t="s">
        <v>7433</v>
      </c>
      <c r="C3940" s="8">
        <v>46227</v>
      </c>
      <c r="D3940" s="6">
        <v>46204</v>
      </c>
      <c r="E3940" s="2" t="s">
        <v>260</v>
      </c>
      <c r="F3940" s="2" t="s">
        <v>10702</v>
      </c>
      <c r="G3940" s="6">
        <v>46204</v>
      </c>
      <c r="H3940" s="2" t="s">
        <v>71</v>
      </c>
      <c r="I3940" s="2" t="s">
        <v>39</v>
      </c>
      <c r="J3940" s="9">
        <v>3569.1439999999998</v>
      </c>
      <c r="K3940" s="7">
        <v>1</v>
      </c>
      <c r="L3940" s="9">
        <v>3569.14</v>
      </c>
      <c r="M3940" s="9">
        <v>3569.14</v>
      </c>
      <c r="N3940" s="9">
        <v>1.96</v>
      </c>
      <c r="O3940" s="10">
        <f>IF(AND(OR(H3940="APPROVED",H3940="SCHEDULED"),COUNTIFS(tblSource[EventID],F3940,tblSource[ReleaseStatus],"APPROVED")=1,COUNTIFS(Period_Status!$A$2:$A$8,G3940,Period_Status!$B$2:$B$8,"ActualClosed")=1,C3940&gt;EOMONTH(Settlement_Bridge!$C$2,0)),1,0)</f>
        <v>0</v>
      </c>
      <c r="P3940" s="2" t="s">
        <v>10703</v>
      </c>
    </row>
    <row r="3941" spans="1:16" x14ac:dyDescent="0.25">
      <c r="A3941" s="2" t="s">
        <v>10704</v>
      </c>
      <c r="B3941" s="2" t="s">
        <v>7433</v>
      </c>
      <c r="C3941" s="8">
        <v>46252</v>
      </c>
      <c r="D3941" s="6">
        <v>46235</v>
      </c>
      <c r="E3941" s="2" t="s">
        <v>260</v>
      </c>
      <c r="F3941" s="2" t="s">
        <v>10702</v>
      </c>
      <c r="G3941" s="6">
        <v>46204</v>
      </c>
      <c r="H3941" s="2" t="s">
        <v>71</v>
      </c>
      <c r="I3941" s="2" t="s">
        <v>39</v>
      </c>
      <c r="J3941" s="9">
        <v>5353.7160000000003</v>
      </c>
      <c r="K3941" s="7">
        <v>1</v>
      </c>
      <c r="L3941" s="9">
        <v>5353.72</v>
      </c>
      <c r="M3941" s="9">
        <v>5353.72</v>
      </c>
      <c r="N3941" s="9">
        <v>2.94</v>
      </c>
      <c r="O3941" s="10">
        <f>IF(AND(OR(H3941="APPROVED",H3941="SCHEDULED"),COUNTIFS(tblSource[EventID],F3941,tblSource[ReleaseStatus],"APPROVED")=1,COUNTIFS(Period_Status!$A$2:$A$8,G3941,Period_Status!$B$2:$B$8,"ActualClosed")=1,C3941&gt;EOMONTH(Settlement_Bridge!$C$2,0)),1,0)</f>
        <v>1</v>
      </c>
      <c r="P3941" s="2" t="s">
        <v>10705</v>
      </c>
    </row>
    <row r="3942" spans="1:16" x14ac:dyDescent="0.25">
      <c r="A3942" s="2" t="s">
        <v>10706</v>
      </c>
      <c r="B3942" s="2" t="s">
        <v>7433</v>
      </c>
      <c r="C3942" s="8">
        <v>46228</v>
      </c>
      <c r="D3942" s="6">
        <v>46204</v>
      </c>
      <c r="E3942" s="2" t="s">
        <v>260</v>
      </c>
      <c r="F3942" s="2" t="s">
        <v>10707</v>
      </c>
      <c r="G3942" s="6">
        <v>46204</v>
      </c>
      <c r="H3942" s="2" t="s">
        <v>71</v>
      </c>
      <c r="I3942" s="2" t="s">
        <v>76</v>
      </c>
      <c r="J3942" s="9">
        <v>59352774.193548001</v>
      </c>
      <c r="K3942" s="7">
        <v>6.2000000000000003E-5</v>
      </c>
      <c r="L3942" s="9">
        <v>3679.87</v>
      </c>
      <c r="M3942" s="9">
        <v>3679.87</v>
      </c>
      <c r="N3942" s="9">
        <v>2.02</v>
      </c>
      <c r="O3942" s="10">
        <f>IF(AND(OR(H3942="APPROVED",H3942="SCHEDULED"),COUNTIFS(tblSource[EventID],F3942,tblSource[ReleaseStatus],"APPROVED")=1,COUNTIFS(Period_Status!$A$2:$A$8,G3942,Period_Status!$B$2:$B$8,"ActualClosed")=1,C3942&gt;EOMONTH(Settlement_Bridge!$C$2,0)),1,0)</f>
        <v>0</v>
      </c>
      <c r="P3942" s="2" t="s">
        <v>10708</v>
      </c>
    </row>
    <row r="3943" spans="1:16" x14ac:dyDescent="0.25">
      <c r="A3943" s="2" t="s">
        <v>10709</v>
      </c>
      <c r="B3943" s="2" t="s">
        <v>7433</v>
      </c>
      <c r="C3943" s="8">
        <v>46253</v>
      </c>
      <c r="D3943" s="6">
        <v>46235</v>
      </c>
      <c r="E3943" s="2" t="s">
        <v>260</v>
      </c>
      <c r="F3943" s="2" t="s">
        <v>10707</v>
      </c>
      <c r="G3943" s="6">
        <v>46204</v>
      </c>
      <c r="H3943" s="2" t="s">
        <v>71</v>
      </c>
      <c r="I3943" s="2" t="s">
        <v>76</v>
      </c>
      <c r="J3943" s="9">
        <v>89029161.290323004</v>
      </c>
      <c r="K3943" s="7">
        <v>6.1500000000000004E-5</v>
      </c>
      <c r="L3943" s="9">
        <v>5475.29</v>
      </c>
      <c r="M3943" s="9">
        <v>5519.81</v>
      </c>
      <c r="N3943" s="9">
        <v>3.01</v>
      </c>
      <c r="O3943" s="10">
        <f>IF(AND(OR(H3943="APPROVED",H3943="SCHEDULED"),COUNTIFS(tblSource[EventID],F3943,tblSource[ReleaseStatus],"APPROVED")=1,COUNTIFS(Period_Status!$A$2:$A$8,G3943,Period_Status!$B$2:$B$8,"ActualClosed")=1,C3943&gt;EOMONTH(Settlement_Bridge!$C$2,0)),1,0)</f>
        <v>1</v>
      </c>
      <c r="P3943" s="2" t="s">
        <v>10710</v>
      </c>
    </row>
    <row r="3944" spans="1:16" x14ac:dyDescent="0.25">
      <c r="A3944" s="2" t="s">
        <v>10711</v>
      </c>
      <c r="B3944" s="2" t="s">
        <v>7433</v>
      </c>
      <c r="C3944" s="8">
        <v>46229</v>
      </c>
      <c r="D3944" s="6">
        <v>46204</v>
      </c>
      <c r="E3944" s="2" t="s">
        <v>260</v>
      </c>
      <c r="F3944" s="2" t="s">
        <v>10712</v>
      </c>
      <c r="G3944" s="6">
        <v>46204</v>
      </c>
      <c r="H3944" s="2" t="s">
        <v>71</v>
      </c>
      <c r="I3944" s="2" t="s">
        <v>70</v>
      </c>
      <c r="J3944" s="9">
        <v>5760.790274</v>
      </c>
      <c r="K3944" s="7">
        <v>0.65800000000000003</v>
      </c>
      <c r="L3944" s="9">
        <v>3790.6</v>
      </c>
      <c r="M3944" s="9">
        <v>3790.6</v>
      </c>
      <c r="N3944" s="9">
        <v>2.08</v>
      </c>
      <c r="O3944" s="10">
        <f>IF(AND(OR(H3944="APPROVED",H3944="SCHEDULED"),COUNTIFS(tblSource[EventID],F3944,tblSource[ReleaseStatus],"APPROVED")=1,COUNTIFS(Period_Status!$A$2:$A$8,G3944,Period_Status!$B$2:$B$8,"ActualClosed")=1,C3944&gt;EOMONTH(Settlement_Bridge!$C$2,0)),1,0)</f>
        <v>0</v>
      </c>
      <c r="P3944" s="2" t="s">
        <v>10713</v>
      </c>
    </row>
    <row r="3945" spans="1:16" x14ac:dyDescent="0.25">
      <c r="A3945" s="2" t="s">
        <v>10714</v>
      </c>
      <c r="B3945" s="2" t="s">
        <v>7433</v>
      </c>
      <c r="C3945" s="8">
        <v>46254</v>
      </c>
      <c r="D3945" s="6">
        <v>46235</v>
      </c>
      <c r="E3945" s="2" t="s">
        <v>260</v>
      </c>
      <c r="F3945" s="2" t="s">
        <v>10712</v>
      </c>
      <c r="G3945" s="6">
        <v>46204</v>
      </c>
      <c r="H3945" s="2" t="s">
        <v>71</v>
      </c>
      <c r="I3945" s="2" t="s">
        <v>70</v>
      </c>
      <c r="J3945" s="9">
        <v>8641.18541</v>
      </c>
      <c r="K3945" s="7">
        <v>0.65</v>
      </c>
      <c r="L3945" s="9">
        <v>5616.77</v>
      </c>
      <c r="M3945" s="9">
        <v>5685.9</v>
      </c>
      <c r="N3945" s="9">
        <v>3.09</v>
      </c>
      <c r="O3945" s="10">
        <f>IF(AND(OR(H3945="APPROVED",H3945="SCHEDULED"),COUNTIFS(tblSource[EventID],F3945,tblSource[ReleaseStatus],"APPROVED")=1,COUNTIFS(Period_Status!$A$2:$A$8,G3945,Period_Status!$B$2:$B$8,"ActualClosed")=1,C3945&gt;EOMONTH(Settlement_Bridge!$C$2,0)),1,0)</f>
        <v>1</v>
      </c>
      <c r="P3945" s="2" t="s">
        <v>10715</v>
      </c>
    </row>
    <row r="3946" spans="1:16" x14ac:dyDescent="0.25">
      <c r="A3946" s="2" t="s">
        <v>10716</v>
      </c>
      <c r="B3946" s="2" t="s">
        <v>7433</v>
      </c>
      <c r="C3946" s="8">
        <v>46230</v>
      </c>
      <c r="D3946" s="6">
        <v>46204</v>
      </c>
      <c r="E3946" s="2" t="s">
        <v>260</v>
      </c>
      <c r="F3946" s="2" t="s">
        <v>10717</v>
      </c>
      <c r="G3946" s="6">
        <v>46204</v>
      </c>
      <c r="H3946" s="2" t="s">
        <v>71</v>
      </c>
      <c r="I3946" s="2" t="s">
        <v>39</v>
      </c>
      <c r="J3946" s="9">
        <v>3901.3240000000001</v>
      </c>
      <c r="K3946" s="7">
        <v>1</v>
      </c>
      <c r="L3946" s="9">
        <v>3901.32</v>
      </c>
      <c r="M3946" s="9">
        <v>3901.32</v>
      </c>
      <c r="N3946" s="9">
        <v>2.15</v>
      </c>
      <c r="O3946" s="10">
        <f>IF(AND(OR(H3946="APPROVED",H3946="SCHEDULED"),COUNTIFS(tblSource[EventID],F3946,tblSource[ReleaseStatus],"APPROVED")=1,COUNTIFS(Period_Status!$A$2:$A$8,G3946,Period_Status!$B$2:$B$8,"ActualClosed")=1,C3946&gt;EOMONTH(Settlement_Bridge!$C$2,0)),1,0)</f>
        <v>0</v>
      </c>
      <c r="P3946" s="2" t="s">
        <v>10718</v>
      </c>
    </row>
    <row r="3947" spans="1:16" x14ac:dyDescent="0.25">
      <c r="A3947" s="2" t="s">
        <v>10719</v>
      </c>
      <c r="B3947" s="2" t="s">
        <v>7433</v>
      </c>
      <c r="C3947" s="8">
        <v>46255</v>
      </c>
      <c r="D3947" s="6">
        <v>46235</v>
      </c>
      <c r="E3947" s="2" t="s">
        <v>260</v>
      </c>
      <c r="F3947" s="2" t="s">
        <v>10717</v>
      </c>
      <c r="G3947" s="6">
        <v>46204</v>
      </c>
      <c r="H3947" s="2" t="s">
        <v>71</v>
      </c>
      <c r="I3947" s="2" t="s">
        <v>39</v>
      </c>
      <c r="J3947" s="9">
        <v>5851.9859999999999</v>
      </c>
      <c r="K3947" s="7">
        <v>1</v>
      </c>
      <c r="L3947" s="9">
        <v>5851.99</v>
      </c>
      <c r="M3947" s="9">
        <v>5851.99</v>
      </c>
      <c r="N3947" s="9">
        <v>3.22</v>
      </c>
      <c r="O3947" s="10">
        <f>IF(AND(OR(H3947="APPROVED",H3947="SCHEDULED"),COUNTIFS(tblSource[EventID],F3947,tblSource[ReleaseStatus],"APPROVED")=1,COUNTIFS(Period_Status!$A$2:$A$8,G3947,Period_Status!$B$2:$B$8,"ActualClosed")=1,C3947&gt;EOMONTH(Settlement_Bridge!$C$2,0)),1,0)</f>
        <v>1</v>
      </c>
      <c r="P3947" s="2" t="s">
        <v>10720</v>
      </c>
    </row>
    <row r="3948" spans="1:16" x14ac:dyDescent="0.25">
      <c r="A3948" s="2" t="s">
        <v>10721</v>
      </c>
      <c r="B3948" s="2" t="s">
        <v>7433</v>
      </c>
      <c r="C3948" s="8">
        <v>46231</v>
      </c>
      <c r="D3948" s="6">
        <v>46204</v>
      </c>
      <c r="E3948" s="2" t="s">
        <v>260</v>
      </c>
      <c r="F3948" s="2" t="s">
        <v>10722</v>
      </c>
      <c r="G3948" s="6">
        <v>46204</v>
      </c>
      <c r="H3948" s="2" t="s">
        <v>71</v>
      </c>
      <c r="I3948" s="2" t="s">
        <v>76</v>
      </c>
      <c r="J3948" s="9">
        <v>64710516.129032001</v>
      </c>
      <c r="K3948" s="7">
        <v>6.2000000000000003E-5</v>
      </c>
      <c r="L3948" s="9">
        <v>4012.05</v>
      </c>
      <c r="M3948" s="9">
        <v>4012.05</v>
      </c>
      <c r="N3948" s="9">
        <v>2.21</v>
      </c>
      <c r="O3948" s="10">
        <f>IF(AND(OR(H3948="APPROVED",H3948="SCHEDULED"),COUNTIFS(tblSource[EventID],F3948,tblSource[ReleaseStatus],"APPROVED")=1,COUNTIFS(Period_Status!$A$2:$A$8,G3948,Period_Status!$B$2:$B$8,"ActualClosed")=1,C3948&gt;EOMONTH(Settlement_Bridge!$C$2,0)),1,0)</f>
        <v>0</v>
      </c>
      <c r="P3948" s="2" t="s">
        <v>10723</v>
      </c>
    </row>
    <row r="3949" spans="1:16" x14ac:dyDescent="0.25">
      <c r="A3949" s="2" t="s">
        <v>10724</v>
      </c>
      <c r="B3949" s="2" t="s">
        <v>7433</v>
      </c>
      <c r="C3949" s="8">
        <v>46256</v>
      </c>
      <c r="D3949" s="6">
        <v>46235</v>
      </c>
      <c r="E3949" s="2" t="s">
        <v>260</v>
      </c>
      <c r="F3949" s="2" t="s">
        <v>10722</v>
      </c>
      <c r="G3949" s="6">
        <v>46204</v>
      </c>
      <c r="H3949" s="2" t="s">
        <v>71</v>
      </c>
      <c r="I3949" s="2" t="s">
        <v>76</v>
      </c>
      <c r="J3949" s="9">
        <v>97065774.193549007</v>
      </c>
      <c r="K3949" s="7">
        <v>6.1500000000000004E-5</v>
      </c>
      <c r="L3949" s="9">
        <v>5969.55</v>
      </c>
      <c r="M3949" s="9">
        <v>6018.08</v>
      </c>
      <c r="N3949" s="9">
        <v>3.28</v>
      </c>
      <c r="O3949" s="10">
        <f>IF(AND(OR(H3949="APPROVED",H3949="SCHEDULED"),COUNTIFS(tblSource[EventID],F3949,tblSource[ReleaseStatus],"APPROVED")=1,COUNTIFS(Period_Status!$A$2:$A$8,G3949,Period_Status!$B$2:$B$8,"ActualClosed")=1,C3949&gt;EOMONTH(Settlement_Bridge!$C$2,0)),1,0)</f>
        <v>1</v>
      </c>
      <c r="P3949" s="2" t="s">
        <v>10725</v>
      </c>
    </row>
    <row r="3950" spans="1:16" x14ac:dyDescent="0.25">
      <c r="A3950" s="2" t="s">
        <v>10726</v>
      </c>
      <c r="B3950" s="2" t="s">
        <v>7433</v>
      </c>
      <c r="C3950" s="8">
        <v>46232</v>
      </c>
      <c r="D3950" s="6">
        <v>46204</v>
      </c>
      <c r="E3950" s="2" t="s">
        <v>260</v>
      </c>
      <c r="F3950" s="2" t="s">
        <v>10727</v>
      </c>
      <c r="G3950" s="6">
        <v>46204</v>
      </c>
      <c r="H3950" s="2" t="s">
        <v>71</v>
      </c>
      <c r="I3950" s="2" t="s">
        <v>70</v>
      </c>
      <c r="J3950" s="9">
        <v>6265.617021</v>
      </c>
      <c r="K3950" s="7">
        <v>0.65800000000000003</v>
      </c>
      <c r="L3950" s="9">
        <v>4122.78</v>
      </c>
      <c r="M3950" s="9">
        <v>4122.78</v>
      </c>
      <c r="N3950" s="9">
        <v>2.27</v>
      </c>
      <c r="O3950" s="10">
        <f>IF(AND(OR(H3950="APPROVED",H3950="SCHEDULED"),COUNTIFS(tblSource[EventID],F3950,tblSource[ReleaseStatus],"APPROVED")=1,COUNTIFS(Period_Status!$A$2:$A$8,G3950,Period_Status!$B$2:$B$8,"ActualClosed")=1,C3950&gt;EOMONTH(Settlement_Bridge!$C$2,0)),1,0)</f>
        <v>0</v>
      </c>
      <c r="P3950" s="2" t="s">
        <v>10728</v>
      </c>
    </row>
    <row r="3951" spans="1:16" x14ac:dyDescent="0.25">
      <c r="A3951" s="2" t="s">
        <v>10729</v>
      </c>
      <c r="B3951" s="2" t="s">
        <v>7433</v>
      </c>
      <c r="C3951" s="8">
        <v>46257</v>
      </c>
      <c r="D3951" s="6">
        <v>46235</v>
      </c>
      <c r="E3951" s="2" t="s">
        <v>260</v>
      </c>
      <c r="F3951" s="2" t="s">
        <v>10727</v>
      </c>
      <c r="G3951" s="6">
        <v>46204</v>
      </c>
      <c r="H3951" s="2" t="s">
        <v>71</v>
      </c>
      <c r="I3951" s="2" t="s">
        <v>70</v>
      </c>
      <c r="J3951" s="9">
        <v>9398.4255319999993</v>
      </c>
      <c r="K3951" s="7">
        <v>0.65</v>
      </c>
      <c r="L3951" s="9">
        <v>6108.98</v>
      </c>
      <c r="M3951" s="9">
        <v>6184.16</v>
      </c>
      <c r="N3951" s="9">
        <v>3.36</v>
      </c>
      <c r="O3951" s="10">
        <f>IF(AND(OR(H3951="APPROVED",H3951="SCHEDULED"),COUNTIFS(tblSource[EventID],F3951,tblSource[ReleaseStatus],"APPROVED")=1,COUNTIFS(Period_Status!$A$2:$A$8,G3951,Period_Status!$B$2:$B$8,"ActualClosed")=1,C3951&gt;EOMONTH(Settlement_Bridge!$C$2,0)),1,0)</f>
        <v>1</v>
      </c>
      <c r="P3951" s="2" t="s">
        <v>10730</v>
      </c>
    </row>
    <row r="3952" spans="1:16" x14ac:dyDescent="0.25">
      <c r="A3952" s="2" t="s">
        <v>10731</v>
      </c>
      <c r="B3952" s="2" t="s">
        <v>7433</v>
      </c>
      <c r="C3952" s="8">
        <v>46264</v>
      </c>
      <c r="D3952" s="6">
        <v>46235</v>
      </c>
      <c r="E3952" s="2" t="s">
        <v>260</v>
      </c>
      <c r="F3952" s="2" t="s">
        <v>10732</v>
      </c>
      <c r="G3952" s="6">
        <v>46235</v>
      </c>
      <c r="H3952" s="2" t="s">
        <v>71</v>
      </c>
      <c r="I3952" s="2" t="s">
        <v>39</v>
      </c>
      <c r="J3952" s="9">
        <v>4233.5039999999999</v>
      </c>
      <c r="K3952" s="7">
        <v>1</v>
      </c>
      <c r="L3952" s="9">
        <v>4233.5</v>
      </c>
      <c r="M3952" s="9">
        <v>4233.5</v>
      </c>
      <c r="N3952" s="9">
        <v>2.33</v>
      </c>
      <c r="O3952" s="10">
        <f>IF(AND(OR(H3952="APPROVED",H3952="SCHEDULED"),COUNTIFS(tblSource[EventID],F3952,tblSource[ReleaseStatus],"APPROVED")=1,COUNTIFS(Period_Status!$A$2:$A$8,G3952,Period_Status!$B$2:$B$8,"ActualClosed")=1,C3952&gt;EOMONTH(Settlement_Bridge!$C$2,0)),1,0)</f>
        <v>0</v>
      </c>
      <c r="P3952" s="2" t="s">
        <v>10733</v>
      </c>
    </row>
    <row r="3953" spans="1:16" x14ac:dyDescent="0.25">
      <c r="A3953" s="2" t="s">
        <v>10734</v>
      </c>
      <c r="B3953" s="2" t="s">
        <v>7433</v>
      </c>
      <c r="C3953" s="8">
        <v>46289</v>
      </c>
      <c r="D3953" s="6">
        <v>46266</v>
      </c>
      <c r="E3953" s="2" t="s">
        <v>260</v>
      </c>
      <c r="F3953" s="2" t="s">
        <v>10732</v>
      </c>
      <c r="G3953" s="6">
        <v>46235</v>
      </c>
      <c r="H3953" s="2" t="s">
        <v>176</v>
      </c>
      <c r="I3953" s="2" t="s">
        <v>39</v>
      </c>
      <c r="J3953" s="9">
        <v>6350.2560000000003</v>
      </c>
      <c r="K3953" s="7">
        <v>1</v>
      </c>
      <c r="L3953" s="9">
        <v>6350.26</v>
      </c>
      <c r="M3953" s="9">
        <v>6350.26</v>
      </c>
      <c r="N3953" s="9">
        <v>3.49</v>
      </c>
      <c r="O3953" s="10">
        <f>IF(AND(OR(H3953="APPROVED",H3953="SCHEDULED"),COUNTIFS(tblSource[EventID],F3953,tblSource[ReleaseStatus],"APPROVED")=1,COUNTIFS(Period_Status!$A$2:$A$8,G3953,Period_Status!$B$2:$B$8,"ActualClosed")=1,C3953&gt;EOMONTH(Settlement_Bridge!$C$2,0)),1,0)</f>
        <v>0</v>
      </c>
      <c r="P3953" s="2" t="s">
        <v>10735</v>
      </c>
    </row>
    <row r="3954" spans="1:16" x14ac:dyDescent="0.25">
      <c r="A3954" s="2" t="s">
        <v>10736</v>
      </c>
      <c r="B3954" s="2" t="s">
        <v>7433</v>
      </c>
      <c r="C3954" s="8">
        <v>46265</v>
      </c>
      <c r="D3954" s="6">
        <v>46235</v>
      </c>
      <c r="E3954" s="2" t="s">
        <v>260</v>
      </c>
      <c r="F3954" s="2" t="s">
        <v>10737</v>
      </c>
      <c r="G3954" s="6">
        <v>46235</v>
      </c>
      <c r="H3954" s="2" t="s">
        <v>71</v>
      </c>
      <c r="I3954" s="2" t="s">
        <v>76</v>
      </c>
      <c r="J3954" s="9">
        <v>70637918.699186996</v>
      </c>
      <c r="K3954" s="7">
        <v>6.1500000000000004E-5</v>
      </c>
      <c r="L3954" s="9">
        <v>4344.2299999999996</v>
      </c>
      <c r="M3954" s="9">
        <v>4344.2299999999996</v>
      </c>
      <c r="N3954" s="9">
        <v>2.39</v>
      </c>
      <c r="O3954" s="10">
        <f>IF(AND(OR(H3954="APPROVED",H3954="SCHEDULED"),COUNTIFS(tblSource[EventID],F3954,tblSource[ReleaseStatus],"APPROVED")=1,COUNTIFS(Period_Status!$A$2:$A$8,G3954,Period_Status!$B$2:$B$8,"ActualClosed")=1,C3954&gt;EOMONTH(Settlement_Bridge!$C$2,0)),1,0)</f>
        <v>0</v>
      </c>
      <c r="P3954" s="2" t="s">
        <v>10738</v>
      </c>
    </row>
    <row r="3955" spans="1:16" x14ac:dyDescent="0.25">
      <c r="A3955" s="2" t="s">
        <v>10739</v>
      </c>
      <c r="B3955" s="2" t="s">
        <v>7433</v>
      </c>
      <c r="C3955" s="8">
        <v>46290</v>
      </c>
      <c r="D3955" s="6">
        <v>46266</v>
      </c>
      <c r="E3955" s="2" t="s">
        <v>260</v>
      </c>
      <c r="F3955" s="2" t="s">
        <v>10737</v>
      </c>
      <c r="G3955" s="6">
        <v>46235</v>
      </c>
      <c r="H3955" s="2" t="s">
        <v>176</v>
      </c>
      <c r="I3955" s="2" t="s">
        <v>76</v>
      </c>
      <c r="J3955" s="9">
        <v>105956878.04877999</v>
      </c>
      <c r="K3955" s="7">
        <v>6.1299999999999999E-5</v>
      </c>
      <c r="L3955" s="9">
        <v>6495.16</v>
      </c>
      <c r="M3955" s="9">
        <v>6516.35</v>
      </c>
      <c r="N3955" s="9">
        <v>3.57</v>
      </c>
      <c r="O3955" s="10">
        <f>IF(AND(OR(H3955="APPROVED",H3955="SCHEDULED"),COUNTIFS(tblSource[EventID],F3955,tblSource[ReleaseStatus],"APPROVED")=1,COUNTIFS(Period_Status!$A$2:$A$8,G3955,Period_Status!$B$2:$B$8,"ActualClosed")=1,C3955&gt;EOMONTH(Settlement_Bridge!$C$2,0)),1,0)</f>
        <v>0</v>
      </c>
      <c r="P3955" s="2" t="s">
        <v>10740</v>
      </c>
    </row>
    <row r="3956" spans="1:16" x14ac:dyDescent="0.25">
      <c r="A3956" s="2" t="s">
        <v>10741</v>
      </c>
      <c r="B3956" s="2" t="s">
        <v>7433</v>
      </c>
      <c r="C3956" s="8">
        <v>46266</v>
      </c>
      <c r="D3956" s="6">
        <v>46266</v>
      </c>
      <c r="E3956" s="2" t="s">
        <v>260</v>
      </c>
      <c r="F3956" s="2" t="s">
        <v>10742</v>
      </c>
      <c r="G3956" s="6">
        <v>46235</v>
      </c>
      <c r="H3956" s="2" t="s">
        <v>176</v>
      </c>
      <c r="I3956" s="2" t="s">
        <v>70</v>
      </c>
      <c r="J3956" s="9">
        <v>6853.7784620000002</v>
      </c>
      <c r="K3956" s="7">
        <v>0.65100000000000002</v>
      </c>
      <c r="L3956" s="9">
        <v>4461.8100000000004</v>
      </c>
      <c r="M3956" s="9">
        <v>4454.96</v>
      </c>
      <c r="N3956" s="9">
        <v>2.4500000000000002</v>
      </c>
      <c r="O3956" s="10">
        <f>IF(AND(OR(H3956="APPROVED",H3956="SCHEDULED"),COUNTIFS(tblSource[EventID],F3956,tblSource[ReleaseStatus],"APPROVED")=1,COUNTIFS(Period_Status!$A$2:$A$8,G3956,Period_Status!$B$2:$B$8,"ActualClosed")=1,C3956&gt;EOMONTH(Settlement_Bridge!$C$2,0)),1,0)</f>
        <v>0</v>
      </c>
      <c r="P3956" s="2" t="s">
        <v>10743</v>
      </c>
    </row>
    <row r="3957" spans="1:16" x14ac:dyDescent="0.25">
      <c r="A3957" s="2" t="s">
        <v>10744</v>
      </c>
      <c r="B3957" s="2" t="s">
        <v>7433</v>
      </c>
      <c r="C3957" s="8">
        <v>46291</v>
      </c>
      <c r="D3957" s="6">
        <v>46266</v>
      </c>
      <c r="E3957" s="2" t="s">
        <v>260</v>
      </c>
      <c r="F3957" s="2" t="s">
        <v>10742</v>
      </c>
      <c r="G3957" s="6">
        <v>46235</v>
      </c>
      <c r="H3957" s="2" t="s">
        <v>176</v>
      </c>
      <c r="I3957" s="2" t="s">
        <v>70</v>
      </c>
      <c r="J3957" s="9">
        <v>10280.667692000001</v>
      </c>
      <c r="K3957" s="7">
        <v>0.65100000000000002</v>
      </c>
      <c r="L3957" s="9">
        <v>6692.71</v>
      </c>
      <c r="M3957" s="9">
        <v>6682.43</v>
      </c>
      <c r="N3957" s="9">
        <v>3.68</v>
      </c>
      <c r="O3957" s="10">
        <f>IF(AND(OR(H3957="APPROVED",H3957="SCHEDULED"),COUNTIFS(tblSource[EventID],F3957,tblSource[ReleaseStatus],"APPROVED")=1,COUNTIFS(Period_Status!$A$2:$A$8,G3957,Period_Status!$B$2:$B$8,"ActualClosed")=1,C3957&gt;EOMONTH(Settlement_Bridge!$C$2,0)),1,0)</f>
        <v>0</v>
      </c>
      <c r="P3957" s="2" t="s">
        <v>10745</v>
      </c>
    </row>
    <row r="3958" spans="1:16" x14ac:dyDescent="0.25">
      <c r="A3958" s="2" t="s">
        <v>10746</v>
      </c>
      <c r="B3958" s="2" t="s">
        <v>7433</v>
      </c>
      <c r="C3958" s="8">
        <v>46267</v>
      </c>
      <c r="D3958" s="6">
        <v>46266</v>
      </c>
      <c r="E3958" s="2" t="s">
        <v>260</v>
      </c>
      <c r="F3958" s="2" t="s">
        <v>10747</v>
      </c>
      <c r="G3958" s="6">
        <v>46235</v>
      </c>
      <c r="H3958" s="2" t="s">
        <v>176</v>
      </c>
      <c r="I3958" s="2" t="s">
        <v>39</v>
      </c>
      <c r="J3958" s="9">
        <v>4565.6840000000002</v>
      </c>
      <c r="K3958" s="7">
        <v>1</v>
      </c>
      <c r="L3958" s="9">
        <v>4565.68</v>
      </c>
      <c r="M3958" s="9">
        <v>4565.68</v>
      </c>
      <c r="N3958" s="9">
        <v>2.5099999999999998</v>
      </c>
      <c r="O3958" s="10">
        <f>IF(AND(OR(H3958="APPROVED",H3958="SCHEDULED"),COUNTIFS(tblSource[EventID],F3958,tblSource[ReleaseStatus],"APPROVED")=1,COUNTIFS(Period_Status!$A$2:$A$8,G3958,Period_Status!$B$2:$B$8,"ActualClosed")=1,C3958&gt;EOMONTH(Settlement_Bridge!$C$2,0)),1,0)</f>
        <v>0</v>
      </c>
      <c r="P3958" s="2" t="s">
        <v>10748</v>
      </c>
    </row>
    <row r="3959" spans="1:16" x14ac:dyDescent="0.25">
      <c r="A3959" s="2" t="s">
        <v>10749</v>
      </c>
      <c r="B3959" s="2" t="s">
        <v>7433</v>
      </c>
      <c r="C3959" s="8">
        <v>46292</v>
      </c>
      <c r="D3959" s="6">
        <v>46266</v>
      </c>
      <c r="E3959" s="2" t="s">
        <v>260</v>
      </c>
      <c r="F3959" s="2" t="s">
        <v>10747</v>
      </c>
      <c r="G3959" s="6">
        <v>46235</v>
      </c>
      <c r="H3959" s="2" t="s">
        <v>176</v>
      </c>
      <c r="I3959" s="2" t="s">
        <v>39</v>
      </c>
      <c r="J3959" s="9">
        <v>6848.5259999999998</v>
      </c>
      <c r="K3959" s="7">
        <v>1</v>
      </c>
      <c r="L3959" s="9">
        <v>6848.53</v>
      </c>
      <c r="M3959" s="9">
        <v>6848.53</v>
      </c>
      <c r="N3959" s="9">
        <v>3.77</v>
      </c>
      <c r="O3959" s="10">
        <f>IF(AND(OR(H3959="APPROVED",H3959="SCHEDULED"),COUNTIFS(tblSource[EventID],F3959,tblSource[ReleaseStatus],"APPROVED")=1,COUNTIFS(Period_Status!$A$2:$A$8,G3959,Period_Status!$B$2:$B$8,"ActualClosed")=1,C3959&gt;EOMONTH(Settlement_Bridge!$C$2,0)),1,0)</f>
        <v>0</v>
      </c>
      <c r="P3959" s="2" t="s">
        <v>10750</v>
      </c>
    </row>
    <row r="3960" spans="1:16" x14ac:dyDescent="0.25">
      <c r="A3960" s="2" t="s">
        <v>10751</v>
      </c>
      <c r="B3960" s="2" t="s">
        <v>7433</v>
      </c>
      <c r="C3960" s="8">
        <v>46268</v>
      </c>
      <c r="D3960" s="6">
        <v>46266</v>
      </c>
      <c r="E3960" s="2" t="s">
        <v>260</v>
      </c>
      <c r="F3960" s="2" t="s">
        <v>10752</v>
      </c>
      <c r="G3960" s="6">
        <v>46235</v>
      </c>
      <c r="H3960" s="2" t="s">
        <v>176</v>
      </c>
      <c r="I3960" s="2" t="s">
        <v>76</v>
      </c>
      <c r="J3960" s="9">
        <v>76039154.471544996</v>
      </c>
      <c r="K3960" s="7">
        <v>6.1299999999999999E-5</v>
      </c>
      <c r="L3960" s="9">
        <v>4661.2</v>
      </c>
      <c r="M3960" s="9">
        <v>4676.41</v>
      </c>
      <c r="N3960" s="9">
        <v>2.56</v>
      </c>
      <c r="O3960" s="10">
        <f>IF(AND(OR(H3960="APPROVED",H3960="SCHEDULED"),COUNTIFS(tblSource[EventID],F3960,tblSource[ReleaseStatus],"APPROVED")=1,COUNTIFS(Period_Status!$A$2:$A$8,G3960,Period_Status!$B$2:$B$8,"ActualClosed")=1,C3960&gt;EOMONTH(Settlement_Bridge!$C$2,0)),1,0)</f>
        <v>0</v>
      </c>
      <c r="P3960" s="2" t="s">
        <v>10753</v>
      </c>
    </row>
    <row r="3961" spans="1:16" x14ac:dyDescent="0.25">
      <c r="A3961" s="2" t="s">
        <v>10754</v>
      </c>
      <c r="B3961" s="2" t="s">
        <v>7433</v>
      </c>
      <c r="C3961" s="8">
        <v>46293</v>
      </c>
      <c r="D3961" s="6">
        <v>46266</v>
      </c>
      <c r="E3961" s="2" t="s">
        <v>260</v>
      </c>
      <c r="F3961" s="2" t="s">
        <v>10752</v>
      </c>
      <c r="G3961" s="6">
        <v>46235</v>
      </c>
      <c r="H3961" s="2" t="s">
        <v>176</v>
      </c>
      <c r="I3961" s="2" t="s">
        <v>76</v>
      </c>
      <c r="J3961" s="9">
        <v>114058731.70731699</v>
      </c>
      <c r="K3961" s="7">
        <v>6.1299999999999999E-5</v>
      </c>
      <c r="L3961" s="9">
        <v>6991.8</v>
      </c>
      <c r="M3961" s="9">
        <v>7014.61</v>
      </c>
      <c r="N3961" s="9">
        <v>3.85</v>
      </c>
      <c r="O3961" s="10">
        <f>IF(AND(OR(H3961="APPROVED",H3961="SCHEDULED"),COUNTIFS(tblSource[EventID],F3961,tblSource[ReleaseStatus],"APPROVED")=1,COUNTIFS(Period_Status!$A$2:$A$8,G3961,Period_Status!$B$2:$B$8,"ActualClosed")=1,C3961&gt;EOMONTH(Settlement_Bridge!$C$2,0)),1,0)</f>
        <v>0</v>
      </c>
      <c r="P3961" s="2" t="s">
        <v>10755</v>
      </c>
    </row>
    <row r="3962" spans="1:16" x14ac:dyDescent="0.25">
      <c r="A3962" s="2" t="s">
        <v>10756</v>
      </c>
      <c r="B3962" s="2" t="s">
        <v>7433</v>
      </c>
      <c r="C3962" s="8">
        <v>46269</v>
      </c>
      <c r="D3962" s="6">
        <v>46266</v>
      </c>
      <c r="E3962" s="2" t="s">
        <v>260</v>
      </c>
      <c r="F3962" s="2" t="s">
        <v>10757</v>
      </c>
      <c r="G3962" s="6">
        <v>46235</v>
      </c>
      <c r="H3962" s="2" t="s">
        <v>176</v>
      </c>
      <c r="I3962" s="2" t="s">
        <v>70</v>
      </c>
      <c r="J3962" s="9">
        <v>7364.8246150000004</v>
      </c>
      <c r="K3962" s="7">
        <v>0.65100000000000002</v>
      </c>
      <c r="L3962" s="9">
        <v>4794.5</v>
      </c>
      <c r="M3962" s="9">
        <v>4787.1400000000003</v>
      </c>
      <c r="N3962" s="9">
        <v>2.64</v>
      </c>
      <c r="O3962" s="10">
        <f>IF(AND(OR(H3962="APPROVED",H3962="SCHEDULED"),COUNTIFS(tblSource[EventID],F3962,tblSource[ReleaseStatus],"APPROVED")=1,COUNTIFS(Period_Status!$A$2:$A$8,G3962,Period_Status!$B$2:$B$8,"ActualClosed")=1,C3962&gt;EOMONTH(Settlement_Bridge!$C$2,0)),1,0)</f>
        <v>0</v>
      </c>
      <c r="P3962" s="2" t="s">
        <v>10758</v>
      </c>
    </row>
    <row r="3963" spans="1:16" x14ac:dyDescent="0.25">
      <c r="A3963" s="2" t="s">
        <v>10759</v>
      </c>
      <c r="B3963" s="2" t="s">
        <v>7433</v>
      </c>
      <c r="C3963" s="8">
        <v>46294</v>
      </c>
      <c r="D3963" s="6">
        <v>46266</v>
      </c>
      <c r="E3963" s="2" t="s">
        <v>260</v>
      </c>
      <c r="F3963" s="2" t="s">
        <v>10757</v>
      </c>
      <c r="G3963" s="6">
        <v>46235</v>
      </c>
      <c r="H3963" s="2" t="s">
        <v>176</v>
      </c>
      <c r="I3963" s="2" t="s">
        <v>70</v>
      </c>
      <c r="J3963" s="9">
        <v>11047.236923</v>
      </c>
      <c r="K3963" s="7">
        <v>0.65100000000000002</v>
      </c>
      <c r="L3963" s="9">
        <v>7191.75</v>
      </c>
      <c r="M3963" s="9">
        <v>7180.7</v>
      </c>
      <c r="N3963" s="9">
        <v>3.96</v>
      </c>
      <c r="O3963" s="10">
        <f>IF(AND(OR(H3963="APPROVED",H3963="SCHEDULED"),COUNTIFS(tblSource[EventID],F3963,tblSource[ReleaseStatus],"APPROVED")=1,COUNTIFS(Period_Status!$A$2:$A$8,G3963,Period_Status!$B$2:$B$8,"ActualClosed")=1,C3963&gt;EOMONTH(Settlement_Bridge!$C$2,0)),1,0)</f>
        <v>0</v>
      </c>
      <c r="P3963" s="2" t="s">
        <v>10760</v>
      </c>
    </row>
    <row r="3964" spans="1:16" x14ac:dyDescent="0.25">
      <c r="A3964" s="2" t="s">
        <v>10761</v>
      </c>
      <c r="B3964" s="2" t="s">
        <v>7433</v>
      </c>
      <c r="C3964" s="8">
        <v>46270</v>
      </c>
      <c r="D3964" s="6">
        <v>46266</v>
      </c>
      <c r="E3964" s="2" t="s">
        <v>260</v>
      </c>
      <c r="F3964" s="2" t="s">
        <v>10762</v>
      </c>
      <c r="G3964" s="6">
        <v>46235</v>
      </c>
      <c r="H3964" s="2" t="s">
        <v>176</v>
      </c>
      <c r="I3964" s="2" t="s">
        <v>39</v>
      </c>
      <c r="J3964" s="9">
        <v>4897.8639999999996</v>
      </c>
      <c r="K3964" s="7">
        <v>1</v>
      </c>
      <c r="L3964" s="9">
        <v>4897.8599999999997</v>
      </c>
      <c r="M3964" s="9">
        <v>4897.8599999999997</v>
      </c>
      <c r="N3964" s="9">
        <v>2.69</v>
      </c>
      <c r="O3964" s="10">
        <f>IF(AND(OR(H3964="APPROVED",H3964="SCHEDULED"),COUNTIFS(tblSource[EventID],F3964,tblSource[ReleaseStatus],"APPROVED")=1,COUNTIFS(Period_Status!$A$2:$A$8,G3964,Period_Status!$B$2:$B$8,"ActualClosed")=1,C3964&gt;EOMONTH(Settlement_Bridge!$C$2,0)),1,0)</f>
        <v>0</v>
      </c>
      <c r="P3964" s="2" t="s">
        <v>10763</v>
      </c>
    </row>
    <row r="3965" spans="1:16" x14ac:dyDescent="0.25">
      <c r="A3965" s="2" t="s">
        <v>10764</v>
      </c>
      <c r="B3965" s="2" t="s">
        <v>7433</v>
      </c>
      <c r="C3965" s="8">
        <v>46295</v>
      </c>
      <c r="D3965" s="6">
        <v>46266</v>
      </c>
      <c r="E3965" s="2" t="s">
        <v>260</v>
      </c>
      <c r="F3965" s="2" t="s">
        <v>10762</v>
      </c>
      <c r="G3965" s="6">
        <v>46235</v>
      </c>
      <c r="H3965" s="2" t="s">
        <v>176</v>
      </c>
      <c r="I3965" s="2" t="s">
        <v>39</v>
      </c>
      <c r="J3965" s="9">
        <v>7346.7960000000003</v>
      </c>
      <c r="K3965" s="7">
        <v>1</v>
      </c>
      <c r="L3965" s="9">
        <v>7346.8</v>
      </c>
      <c r="M3965" s="9">
        <v>7346.8</v>
      </c>
      <c r="N3965" s="9">
        <v>4.04</v>
      </c>
      <c r="O3965" s="10">
        <f>IF(AND(OR(H3965="APPROVED",H3965="SCHEDULED"),COUNTIFS(tblSource[EventID],F3965,tblSource[ReleaseStatus],"APPROVED")=1,COUNTIFS(Period_Status!$A$2:$A$8,G3965,Period_Status!$B$2:$B$8,"ActualClosed")=1,C3965&gt;EOMONTH(Settlement_Bridge!$C$2,0)),1,0)</f>
        <v>0</v>
      </c>
      <c r="P3965" s="2" t="s">
        <v>10765</v>
      </c>
    </row>
    <row r="3966" spans="1:16" x14ac:dyDescent="0.25">
      <c r="A3966" s="2" t="s">
        <v>10766</v>
      </c>
      <c r="B3966" s="2" t="s">
        <v>7433</v>
      </c>
      <c r="C3966" s="8">
        <v>46271</v>
      </c>
      <c r="D3966" s="6">
        <v>46266</v>
      </c>
      <c r="E3966" s="2" t="s">
        <v>260</v>
      </c>
      <c r="F3966" s="2" t="s">
        <v>10767</v>
      </c>
      <c r="G3966" s="6">
        <v>46235</v>
      </c>
      <c r="H3966" s="2" t="s">
        <v>176</v>
      </c>
      <c r="I3966" s="2" t="s">
        <v>76</v>
      </c>
      <c r="J3966" s="9">
        <v>81440455.284553006</v>
      </c>
      <c r="K3966" s="7">
        <v>6.1299999999999999E-5</v>
      </c>
      <c r="L3966" s="9">
        <v>4992.3</v>
      </c>
      <c r="M3966" s="9">
        <v>5008.59</v>
      </c>
      <c r="N3966" s="9">
        <v>2.75</v>
      </c>
      <c r="O3966" s="10">
        <f>IF(AND(OR(H3966="APPROVED",H3966="SCHEDULED"),COUNTIFS(tblSource[EventID],F3966,tblSource[ReleaseStatus],"APPROVED")=1,COUNTIFS(Period_Status!$A$2:$A$8,G3966,Period_Status!$B$2:$B$8,"ActualClosed")=1,C3966&gt;EOMONTH(Settlement_Bridge!$C$2,0)),1,0)</f>
        <v>0</v>
      </c>
      <c r="P3966" s="2" t="s">
        <v>10768</v>
      </c>
    </row>
    <row r="3967" spans="1:16" x14ac:dyDescent="0.25">
      <c r="A3967" s="2" t="s">
        <v>10769</v>
      </c>
      <c r="B3967" s="2" t="s">
        <v>7433</v>
      </c>
      <c r="C3967" s="8">
        <v>46296</v>
      </c>
      <c r="D3967" s="6">
        <v>46296</v>
      </c>
      <c r="E3967" s="2" t="s">
        <v>260</v>
      </c>
      <c r="F3967" s="2" t="s">
        <v>10767</v>
      </c>
      <c r="G3967" s="6">
        <v>46235</v>
      </c>
      <c r="H3967" s="2" t="s">
        <v>176</v>
      </c>
      <c r="I3967" s="2" t="s">
        <v>76</v>
      </c>
      <c r="J3967" s="9">
        <v>122160682.926829</v>
      </c>
      <c r="K3967" s="7">
        <v>6.1099999999999994E-5</v>
      </c>
      <c r="L3967" s="9">
        <v>7464.02</v>
      </c>
      <c r="M3967" s="9">
        <v>7512.88</v>
      </c>
      <c r="N3967" s="9">
        <v>4.1100000000000003</v>
      </c>
      <c r="O3967" s="10">
        <f>IF(AND(OR(H3967="APPROVED",H3967="SCHEDULED"),COUNTIFS(tblSource[EventID],F3967,tblSource[ReleaseStatus],"APPROVED")=1,COUNTIFS(Period_Status!$A$2:$A$8,G3967,Period_Status!$B$2:$B$8,"ActualClosed")=1,C3967&gt;EOMONTH(Settlement_Bridge!$C$2,0)),1,0)</f>
        <v>0</v>
      </c>
      <c r="P3967" s="2" t="s">
        <v>10770</v>
      </c>
    </row>
    <row r="3968" spans="1:16" x14ac:dyDescent="0.25">
      <c r="A3968" s="2" t="s">
        <v>10771</v>
      </c>
      <c r="B3968" s="2" t="s">
        <v>7433</v>
      </c>
      <c r="C3968" s="8">
        <v>46272</v>
      </c>
      <c r="D3968" s="6">
        <v>46266</v>
      </c>
      <c r="E3968" s="2" t="s">
        <v>260</v>
      </c>
      <c r="F3968" s="2" t="s">
        <v>10772</v>
      </c>
      <c r="G3968" s="6">
        <v>46235</v>
      </c>
      <c r="H3968" s="2" t="s">
        <v>176</v>
      </c>
      <c r="I3968" s="2" t="s">
        <v>70</v>
      </c>
      <c r="J3968" s="9">
        <v>7875.8707690000001</v>
      </c>
      <c r="K3968" s="7">
        <v>0.65100000000000002</v>
      </c>
      <c r="L3968" s="9">
        <v>5127.1899999999996</v>
      </c>
      <c r="M3968" s="9">
        <v>5119.32</v>
      </c>
      <c r="N3968" s="9">
        <v>2.82</v>
      </c>
      <c r="O3968" s="10">
        <f>IF(AND(OR(H3968="APPROVED",H3968="SCHEDULED"),COUNTIFS(tblSource[EventID],F3968,tblSource[ReleaseStatus],"APPROVED")=1,COUNTIFS(Period_Status!$A$2:$A$8,G3968,Period_Status!$B$2:$B$8,"ActualClosed")=1,C3968&gt;EOMONTH(Settlement_Bridge!$C$2,0)),1,0)</f>
        <v>0</v>
      </c>
      <c r="P3968" s="2" t="s">
        <v>10773</v>
      </c>
    </row>
    <row r="3969" spans="1:16" x14ac:dyDescent="0.25">
      <c r="A3969" s="2" t="s">
        <v>10774</v>
      </c>
      <c r="B3969" s="2" t="s">
        <v>7433</v>
      </c>
      <c r="C3969" s="8">
        <v>46297</v>
      </c>
      <c r="D3969" s="6">
        <v>46296</v>
      </c>
      <c r="E3969" s="2" t="s">
        <v>260</v>
      </c>
      <c r="F3969" s="2" t="s">
        <v>10772</v>
      </c>
      <c r="G3969" s="6">
        <v>46235</v>
      </c>
      <c r="H3969" s="2" t="s">
        <v>176</v>
      </c>
      <c r="I3969" s="2" t="s">
        <v>70</v>
      </c>
      <c r="J3969" s="9">
        <v>11813.806154</v>
      </c>
      <c r="K3969" s="7">
        <v>0.65500000000000003</v>
      </c>
      <c r="L3969" s="9">
        <v>7738.04</v>
      </c>
      <c r="M3969" s="9">
        <v>7678.97</v>
      </c>
      <c r="N3969" s="9">
        <v>4.26</v>
      </c>
      <c r="O3969" s="10">
        <f>IF(AND(OR(H3969="APPROVED",H3969="SCHEDULED"),COUNTIFS(tblSource[EventID],F3969,tblSource[ReleaseStatus],"APPROVED")=1,COUNTIFS(Period_Status!$A$2:$A$8,G3969,Period_Status!$B$2:$B$8,"ActualClosed")=1,C3969&gt;EOMONTH(Settlement_Bridge!$C$2,0)),1,0)</f>
        <v>0</v>
      </c>
      <c r="P3969" s="2" t="s">
        <v>10775</v>
      </c>
    </row>
    <row r="3970" spans="1:16" x14ac:dyDescent="0.25">
      <c r="A3970" s="2" t="s">
        <v>10776</v>
      </c>
      <c r="B3970" s="2" t="s">
        <v>7433</v>
      </c>
      <c r="C3970" s="8">
        <v>46273</v>
      </c>
      <c r="D3970" s="6">
        <v>46266</v>
      </c>
      <c r="E3970" s="2" t="s">
        <v>260</v>
      </c>
      <c r="F3970" s="2" t="s">
        <v>10777</v>
      </c>
      <c r="G3970" s="6">
        <v>46235</v>
      </c>
      <c r="H3970" s="2" t="s">
        <v>176</v>
      </c>
      <c r="I3970" s="2" t="s">
        <v>39</v>
      </c>
      <c r="J3970" s="9">
        <v>5230.04</v>
      </c>
      <c r="K3970" s="7">
        <v>1</v>
      </c>
      <c r="L3970" s="9">
        <v>5230.04</v>
      </c>
      <c r="M3970" s="9">
        <v>5230.04</v>
      </c>
      <c r="N3970" s="9">
        <v>2.88</v>
      </c>
      <c r="O3970" s="10">
        <f>IF(AND(OR(H3970="APPROVED",H3970="SCHEDULED"),COUNTIFS(tblSource[EventID],F3970,tblSource[ReleaseStatus],"APPROVED")=1,COUNTIFS(Period_Status!$A$2:$A$8,G3970,Period_Status!$B$2:$B$8,"ActualClosed")=1,C3970&gt;EOMONTH(Settlement_Bridge!$C$2,0)),1,0)</f>
        <v>0</v>
      </c>
      <c r="P3970" s="2" t="s">
        <v>10778</v>
      </c>
    </row>
    <row r="3971" spans="1:16" x14ac:dyDescent="0.25">
      <c r="A3971" s="2" t="s">
        <v>10779</v>
      </c>
      <c r="B3971" s="2" t="s">
        <v>7433</v>
      </c>
      <c r="C3971" s="8">
        <v>46298</v>
      </c>
      <c r="D3971" s="6">
        <v>46296</v>
      </c>
      <c r="E3971" s="2" t="s">
        <v>260</v>
      </c>
      <c r="F3971" s="2" t="s">
        <v>10777</v>
      </c>
      <c r="G3971" s="6">
        <v>46235</v>
      </c>
      <c r="H3971" s="2" t="s">
        <v>176</v>
      </c>
      <c r="I3971" s="2" t="s">
        <v>39</v>
      </c>
      <c r="J3971" s="9">
        <v>7845.06</v>
      </c>
      <c r="K3971" s="7">
        <v>1</v>
      </c>
      <c r="L3971" s="9">
        <v>7845.06</v>
      </c>
      <c r="M3971" s="9">
        <v>7845.06</v>
      </c>
      <c r="N3971" s="9">
        <v>4.3099999999999996</v>
      </c>
      <c r="O3971" s="10">
        <f>IF(AND(OR(H3971="APPROVED",H3971="SCHEDULED"),COUNTIFS(tblSource[EventID],F3971,tblSource[ReleaseStatus],"APPROVED")=1,COUNTIFS(Period_Status!$A$2:$A$8,G3971,Period_Status!$B$2:$B$8,"ActualClosed")=1,C3971&gt;EOMONTH(Settlement_Bridge!$C$2,0)),1,0)</f>
        <v>0</v>
      </c>
      <c r="P3971" s="2" t="s">
        <v>10780</v>
      </c>
    </row>
    <row r="3972" spans="1:16" x14ac:dyDescent="0.25">
      <c r="A3972" s="2" t="s">
        <v>10781</v>
      </c>
      <c r="B3972" s="2" t="s">
        <v>7433</v>
      </c>
      <c r="C3972" s="8">
        <v>46274</v>
      </c>
      <c r="D3972" s="6">
        <v>46266</v>
      </c>
      <c r="E3972" s="2" t="s">
        <v>260</v>
      </c>
      <c r="F3972" s="2" t="s">
        <v>10782</v>
      </c>
      <c r="G3972" s="6">
        <v>46235</v>
      </c>
      <c r="H3972" s="2" t="s">
        <v>176</v>
      </c>
      <c r="I3972" s="2" t="s">
        <v>76</v>
      </c>
      <c r="J3972" s="9">
        <v>86841756.097561002</v>
      </c>
      <c r="K3972" s="7">
        <v>6.1299999999999999E-5</v>
      </c>
      <c r="L3972" s="9">
        <v>5323.4</v>
      </c>
      <c r="M3972" s="9">
        <v>5340.77</v>
      </c>
      <c r="N3972" s="9">
        <v>2.93</v>
      </c>
      <c r="O3972" s="10">
        <f>IF(AND(OR(H3972="APPROVED",H3972="SCHEDULED"),COUNTIFS(tblSource[EventID],F3972,tblSource[ReleaseStatus],"APPROVED")=1,COUNTIFS(Period_Status!$A$2:$A$8,G3972,Period_Status!$B$2:$B$8,"ActualClosed")=1,C3972&gt;EOMONTH(Settlement_Bridge!$C$2,0)),1,0)</f>
        <v>0</v>
      </c>
      <c r="P3972" s="2" t="s">
        <v>10783</v>
      </c>
    </row>
    <row r="3973" spans="1:16" x14ac:dyDescent="0.25">
      <c r="A3973" s="2" t="s">
        <v>10784</v>
      </c>
      <c r="B3973" s="2" t="s">
        <v>7433</v>
      </c>
      <c r="C3973" s="8">
        <v>46299</v>
      </c>
      <c r="D3973" s="6">
        <v>46296</v>
      </c>
      <c r="E3973" s="2" t="s">
        <v>260</v>
      </c>
      <c r="F3973" s="2" t="s">
        <v>10782</v>
      </c>
      <c r="G3973" s="6">
        <v>46235</v>
      </c>
      <c r="H3973" s="2" t="s">
        <v>176</v>
      </c>
      <c r="I3973" s="2" t="s">
        <v>76</v>
      </c>
      <c r="J3973" s="9">
        <v>130262634.146341</v>
      </c>
      <c r="K3973" s="7">
        <v>6.1099999999999994E-5</v>
      </c>
      <c r="L3973" s="9">
        <v>7959.05</v>
      </c>
      <c r="M3973" s="9">
        <v>8011.15</v>
      </c>
      <c r="N3973" s="9">
        <v>4.38</v>
      </c>
      <c r="O3973" s="10">
        <f>IF(AND(OR(H3973="APPROVED",H3973="SCHEDULED"),COUNTIFS(tblSource[EventID],F3973,tblSource[ReleaseStatus],"APPROVED")=1,COUNTIFS(Period_Status!$A$2:$A$8,G3973,Period_Status!$B$2:$B$8,"ActualClosed")=1,C3973&gt;EOMONTH(Settlement_Bridge!$C$2,0)),1,0)</f>
        <v>0</v>
      </c>
      <c r="P3973" s="2" t="s">
        <v>10785</v>
      </c>
    </row>
    <row r="3974" spans="1:16" x14ac:dyDescent="0.25">
      <c r="A3974" s="2" t="s">
        <v>10786</v>
      </c>
      <c r="B3974" s="2" t="s">
        <v>7433</v>
      </c>
      <c r="C3974" s="8">
        <v>46275</v>
      </c>
      <c r="D3974" s="6">
        <v>46266</v>
      </c>
      <c r="E3974" s="2" t="s">
        <v>260</v>
      </c>
      <c r="F3974" s="2" t="s">
        <v>10787</v>
      </c>
      <c r="G3974" s="6">
        <v>46235</v>
      </c>
      <c r="H3974" s="2" t="s">
        <v>176</v>
      </c>
      <c r="I3974" s="2" t="s">
        <v>70</v>
      </c>
      <c r="J3974" s="9">
        <v>8386.9169230000007</v>
      </c>
      <c r="K3974" s="7">
        <v>0.65100000000000002</v>
      </c>
      <c r="L3974" s="9">
        <v>5459.88</v>
      </c>
      <c r="M3974" s="9">
        <v>5451.5</v>
      </c>
      <c r="N3974" s="9">
        <v>3</v>
      </c>
      <c r="O3974" s="10">
        <f>IF(AND(OR(H3974="APPROVED",H3974="SCHEDULED"),COUNTIFS(tblSource[EventID],F3974,tblSource[ReleaseStatus],"APPROVED")=1,COUNTIFS(Period_Status!$A$2:$A$8,G3974,Period_Status!$B$2:$B$8,"ActualClosed")=1,C3974&gt;EOMONTH(Settlement_Bridge!$C$2,0)),1,0)</f>
        <v>0</v>
      </c>
      <c r="P3974" s="2" t="s">
        <v>10788</v>
      </c>
    </row>
    <row r="3975" spans="1:16" x14ac:dyDescent="0.25">
      <c r="A3975" s="2" t="s">
        <v>10789</v>
      </c>
      <c r="B3975" s="2" t="s">
        <v>7433</v>
      </c>
      <c r="C3975" s="8">
        <v>46300</v>
      </c>
      <c r="D3975" s="6">
        <v>46296</v>
      </c>
      <c r="E3975" s="2" t="s">
        <v>260</v>
      </c>
      <c r="F3975" s="2" t="s">
        <v>10787</v>
      </c>
      <c r="G3975" s="6">
        <v>46235</v>
      </c>
      <c r="H3975" s="2" t="s">
        <v>176</v>
      </c>
      <c r="I3975" s="2" t="s">
        <v>70</v>
      </c>
      <c r="J3975" s="9">
        <v>12580.375384999999</v>
      </c>
      <c r="K3975" s="7">
        <v>0.65500000000000003</v>
      </c>
      <c r="L3975" s="9">
        <v>8240.15</v>
      </c>
      <c r="M3975" s="9">
        <v>8177.24</v>
      </c>
      <c r="N3975" s="9">
        <v>4.53</v>
      </c>
      <c r="O3975" s="10">
        <f>IF(AND(OR(H3975="APPROVED",H3975="SCHEDULED"),COUNTIFS(tblSource[EventID],F3975,tblSource[ReleaseStatus],"APPROVED")=1,COUNTIFS(Period_Status!$A$2:$A$8,G3975,Period_Status!$B$2:$B$8,"ActualClosed")=1,C3975&gt;EOMONTH(Settlement_Bridge!$C$2,0)),1,0)</f>
        <v>0</v>
      </c>
      <c r="P3975" s="2" t="s">
        <v>10790</v>
      </c>
    </row>
    <row r="3976" spans="1:16" x14ac:dyDescent="0.25">
      <c r="A3976" s="2" t="s">
        <v>10791</v>
      </c>
      <c r="B3976" s="2" t="s">
        <v>7433</v>
      </c>
      <c r="C3976" s="8">
        <v>46276</v>
      </c>
      <c r="D3976" s="6">
        <v>46266</v>
      </c>
      <c r="E3976" s="2" t="s">
        <v>260</v>
      </c>
      <c r="F3976" s="2" t="s">
        <v>10792</v>
      </c>
      <c r="G3976" s="6">
        <v>46235</v>
      </c>
      <c r="H3976" s="2" t="s">
        <v>176</v>
      </c>
      <c r="I3976" s="2" t="s">
        <v>39</v>
      </c>
      <c r="J3976" s="9">
        <v>5561.6</v>
      </c>
      <c r="K3976" s="7">
        <v>1</v>
      </c>
      <c r="L3976" s="9">
        <v>5561.6</v>
      </c>
      <c r="M3976" s="9">
        <v>5561.6</v>
      </c>
      <c r="N3976" s="9">
        <v>3.06</v>
      </c>
      <c r="O3976" s="10">
        <f>IF(AND(OR(H3976="APPROVED",H3976="SCHEDULED"),COUNTIFS(tblSource[EventID],F3976,tblSource[ReleaseStatus],"APPROVED")=1,COUNTIFS(Period_Status!$A$2:$A$8,G3976,Period_Status!$B$2:$B$8,"ActualClosed")=1,C3976&gt;EOMONTH(Settlement_Bridge!$C$2,0)),1,0)</f>
        <v>0</v>
      </c>
      <c r="P3976" s="2" t="s">
        <v>10793</v>
      </c>
    </row>
    <row r="3977" spans="1:16" x14ac:dyDescent="0.25">
      <c r="A3977" s="2" t="s">
        <v>10794</v>
      </c>
      <c r="B3977" s="2" t="s">
        <v>7433</v>
      </c>
      <c r="C3977" s="8">
        <v>46301</v>
      </c>
      <c r="D3977" s="6">
        <v>46296</v>
      </c>
      <c r="E3977" s="2" t="s">
        <v>260</v>
      </c>
      <c r="F3977" s="2" t="s">
        <v>10792</v>
      </c>
      <c r="G3977" s="6">
        <v>46235</v>
      </c>
      <c r="H3977" s="2" t="s">
        <v>176</v>
      </c>
      <c r="I3977" s="2" t="s">
        <v>39</v>
      </c>
      <c r="J3977" s="9">
        <v>8342.4</v>
      </c>
      <c r="K3977" s="7">
        <v>1</v>
      </c>
      <c r="L3977" s="9">
        <v>8342.4</v>
      </c>
      <c r="M3977" s="9">
        <v>8342.4</v>
      </c>
      <c r="N3977" s="9">
        <v>4.59</v>
      </c>
      <c r="O3977" s="10">
        <f>IF(AND(OR(H3977="APPROVED",H3977="SCHEDULED"),COUNTIFS(tblSource[EventID],F3977,tblSource[ReleaseStatus],"APPROVED")=1,COUNTIFS(Period_Status!$A$2:$A$8,G3977,Period_Status!$B$2:$B$8,"ActualClosed")=1,C3977&gt;EOMONTH(Settlement_Bridge!$C$2,0)),1,0)</f>
        <v>0</v>
      </c>
      <c r="P3977" s="2" t="s">
        <v>10795</v>
      </c>
    </row>
    <row r="3978" spans="1:16" x14ac:dyDescent="0.25">
      <c r="A3978" s="2" t="s">
        <v>10796</v>
      </c>
      <c r="B3978" s="2" t="s">
        <v>7433</v>
      </c>
      <c r="C3978" s="8">
        <v>46277</v>
      </c>
      <c r="D3978" s="6">
        <v>46266</v>
      </c>
      <c r="E3978" s="2" t="s">
        <v>260</v>
      </c>
      <c r="F3978" s="2" t="s">
        <v>10797</v>
      </c>
      <c r="G3978" s="6">
        <v>46235</v>
      </c>
      <c r="H3978" s="2" t="s">
        <v>176</v>
      </c>
      <c r="I3978" s="2" t="s">
        <v>76</v>
      </c>
      <c r="J3978" s="9">
        <v>92232975.609755993</v>
      </c>
      <c r="K3978" s="7">
        <v>6.1299999999999999E-5</v>
      </c>
      <c r="L3978" s="9">
        <v>5653.88</v>
      </c>
      <c r="M3978" s="9">
        <v>5672.33</v>
      </c>
      <c r="N3978" s="9">
        <v>3.11</v>
      </c>
      <c r="O3978" s="10">
        <f>IF(AND(OR(H3978="APPROVED",H3978="SCHEDULED"),COUNTIFS(tblSource[EventID],F3978,tblSource[ReleaseStatus],"APPROVED")=1,COUNTIFS(Period_Status!$A$2:$A$8,G3978,Period_Status!$B$2:$B$8,"ActualClosed")=1,C3978&gt;EOMONTH(Settlement_Bridge!$C$2,0)),1,0)</f>
        <v>0</v>
      </c>
      <c r="P3978" s="2" t="s">
        <v>10798</v>
      </c>
    </row>
    <row r="3979" spans="1:16" x14ac:dyDescent="0.25">
      <c r="A3979" s="2" t="s">
        <v>10799</v>
      </c>
      <c r="B3979" s="2" t="s">
        <v>7433</v>
      </c>
      <c r="C3979" s="8">
        <v>46302</v>
      </c>
      <c r="D3979" s="6">
        <v>46296</v>
      </c>
      <c r="E3979" s="2" t="s">
        <v>260</v>
      </c>
      <c r="F3979" s="2" t="s">
        <v>10797</v>
      </c>
      <c r="G3979" s="6">
        <v>46235</v>
      </c>
      <c r="H3979" s="2" t="s">
        <v>176</v>
      </c>
      <c r="I3979" s="2" t="s">
        <v>76</v>
      </c>
      <c r="J3979" s="9">
        <v>138349463.41463399</v>
      </c>
      <c r="K3979" s="7">
        <v>6.1099999999999994E-5</v>
      </c>
      <c r="L3979" s="9">
        <v>8453.15</v>
      </c>
      <c r="M3979" s="9">
        <v>8508.49</v>
      </c>
      <c r="N3979" s="9">
        <v>4.6500000000000004</v>
      </c>
      <c r="O3979" s="10">
        <f>IF(AND(OR(H3979="APPROVED",H3979="SCHEDULED"),COUNTIFS(tblSource[EventID],F3979,tblSource[ReleaseStatus],"APPROVED")=1,COUNTIFS(Period_Status!$A$2:$A$8,G3979,Period_Status!$B$2:$B$8,"ActualClosed")=1,C3979&gt;EOMONTH(Settlement_Bridge!$C$2,0)),1,0)</f>
        <v>0</v>
      </c>
      <c r="P3979" s="2" t="s">
        <v>10800</v>
      </c>
    </row>
    <row r="3980" spans="1:16" x14ac:dyDescent="0.25">
      <c r="A3980" s="2" t="s">
        <v>10801</v>
      </c>
      <c r="B3980" s="2" t="s">
        <v>7433</v>
      </c>
      <c r="C3980" s="8">
        <v>46278</v>
      </c>
      <c r="D3980" s="6">
        <v>46266</v>
      </c>
      <c r="E3980" s="2" t="s">
        <v>260</v>
      </c>
      <c r="F3980" s="2" t="s">
        <v>10802</v>
      </c>
      <c r="G3980" s="6">
        <v>46235</v>
      </c>
      <c r="H3980" s="2" t="s">
        <v>176</v>
      </c>
      <c r="I3980" s="2" t="s">
        <v>70</v>
      </c>
      <c r="J3980" s="9">
        <v>8897.0030769999994</v>
      </c>
      <c r="K3980" s="7">
        <v>0.65100000000000002</v>
      </c>
      <c r="L3980" s="9">
        <v>5791.95</v>
      </c>
      <c r="M3980" s="9">
        <v>5783.05</v>
      </c>
      <c r="N3980" s="9">
        <v>3.19</v>
      </c>
      <c r="O3980" s="10">
        <f>IF(AND(OR(H3980="APPROVED",H3980="SCHEDULED"),COUNTIFS(tblSource[EventID],F3980,tblSource[ReleaseStatus],"APPROVED")=1,COUNTIFS(Period_Status!$A$2:$A$8,G3980,Period_Status!$B$2:$B$8,"ActualClosed")=1,C3980&gt;EOMONTH(Settlement_Bridge!$C$2,0)),1,0)</f>
        <v>0</v>
      </c>
      <c r="P3980" s="2" t="s">
        <v>10803</v>
      </c>
    </row>
    <row r="3981" spans="1:16" x14ac:dyDescent="0.25">
      <c r="A3981" s="2" t="s">
        <v>10804</v>
      </c>
      <c r="B3981" s="2" t="s">
        <v>7433</v>
      </c>
      <c r="C3981" s="8">
        <v>46303</v>
      </c>
      <c r="D3981" s="6">
        <v>46296</v>
      </c>
      <c r="E3981" s="2" t="s">
        <v>260</v>
      </c>
      <c r="F3981" s="2" t="s">
        <v>10802</v>
      </c>
      <c r="G3981" s="6">
        <v>46235</v>
      </c>
      <c r="H3981" s="2" t="s">
        <v>176</v>
      </c>
      <c r="I3981" s="2" t="s">
        <v>70</v>
      </c>
      <c r="J3981" s="9">
        <v>13345.504615</v>
      </c>
      <c r="K3981" s="7">
        <v>0.65500000000000003</v>
      </c>
      <c r="L3981" s="9">
        <v>8741.31</v>
      </c>
      <c r="M3981" s="9">
        <v>8674.58</v>
      </c>
      <c r="N3981" s="9">
        <v>4.8099999999999996</v>
      </c>
      <c r="O3981" s="10">
        <f>IF(AND(OR(H3981="APPROVED",H3981="SCHEDULED"),COUNTIFS(tblSource[EventID],F3981,tblSource[ReleaseStatus],"APPROVED")=1,COUNTIFS(Period_Status!$A$2:$A$8,G3981,Period_Status!$B$2:$B$8,"ActualClosed")=1,C3981&gt;EOMONTH(Settlement_Bridge!$C$2,0)),1,0)</f>
        <v>0</v>
      </c>
      <c r="P3981" s="2" t="s">
        <v>10805</v>
      </c>
    </row>
    <row r="3982" spans="1:16" x14ac:dyDescent="0.25">
      <c r="A3982" s="2" t="s">
        <v>10806</v>
      </c>
      <c r="B3982" s="2" t="s">
        <v>7433</v>
      </c>
      <c r="C3982" s="8">
        <v>46279</v>
      </c>
      <c r="D3982" s="6">
        <v>46266</v>
      </c>
      <c r="E3982" s="2" t="s">
        <v>260</v>
      </c>
      <c r="F3982" s="2" t="s">
        <v>10807</v>
      </c>
      <c r="G3982" s="6">
        <v>46235</v>
      </c>
      <c r="H3982" s="2" t="s">
        <v>176</v>
      </c>
      <c r="I3982" s="2" t="s">
        <v>39</v>
      </c>
      <c r="J3982" s="9">
        <v>5893.78</v>
      </c>
      <c r="K3982" s="7">
        <v>1</v>
      </c>
      <c r="L3982" s="9">
        <v>5893.78</v>
      </c>
      <c r="M3982" s="9">
        <v>5893.78</v>
      </c>
      <c r="N3982" s="9">
        <v>3.24</v>
      </c>
      <c r="O3982" s="10">
        <f>IF(AND(OR(H3982="APPROVED",H3982="SCHEDULED"),COUNTIFS(tblSource[EventID],F3982,tblSource[ReleaseStatus],"APPROVED")=1,COUNTIFS(Period_Status!$A$2:$A$8,G3982,Period_Status!$B$2:$B$8,"ActualClosed")=1,C3982&gt;EOMONTH(Settlement_Bridge!$C$2,0)),1,0)</f>
        <v>0</v>
      </c>
      <c r="P3982" s="2" t="s">
        <v>10808</v>
      </c>
    </row>
    <row r="3983" spans="1:16" x14ac:dyDescent="0.25">
      <c r="A3983" s="2" t="s">
        <v>10809</v>
      </c>
      <c r="B3983" s="2" t="s">
        <v>7433</v>
      </c>
      <c r="C3983" s="8">
        <v>46304</v>
      </c>
      <c r="D3983" s="6">
        <v>46296</v>
      </c>
      <c r="E3983" s="2" t="s">
        <v>260</v>
      </c>
      <c r="F3983" s="2" t="s">
        <v>10807</v>
      </c>
      <c r="G3983" s="6">
        <v>46235</v>
      </c>
      <c r="H3983" s="2" t="s">
        <v>176</v>
      </c>
      <c r="I3983" s="2" t="s">
        <v>39</v>
      </c>
      <c r="J3983" s="9">
        <v>8840.67</v>
      </c>
      <c r="K3983" s="7">
        <v>1</v>
      </c>
      <c r="L3983" s="9">
        <v>8840.67</v>
      </c>
      <c r="M3983" s="9">
        <v>8840.67</v>
      </c>
      <c r="N3983" s="9">
        <v>4.8600000000000003</v>
      </c>
      <c r="O3983" s="10">
        <f>IF(AND(OR(H3983="APPROVED",H3983="SCHEDULED"),COUNTIFS(tblSource[EventID],F3983,tblSource[ReleaseStatus],"APPROVED")=1,COUNTIFS(Period_Status!$A$2:$A$8,G3983,Period_Status!$B$2:$B$8,"ActualClosed")=1,C3983&gt;EOMONTH(Settlement_Bridge!$C$2,0)),1,0)</f>
        <v>0</v>
      </c>
      <c r="P3983" s="2" t="s">
        <v>10810</v>
      </c>
    </row>
    <row r="3984" spans="1:16" x14ac:dyDescent="0.25">
      <c r="A3984" s="2" t="s">
        <v>10811</v>
      </c>
      <c r="B3984" s="2" t="s">
        <v>7433</v>
      </c>
      <c r="C3984" s="8">
        <v>46249</v>
      </c>
      <c r="D3984" s="6">
        <v>46235</v>
      </c>
      <c r="E3984" s="2" t="s">
        <v>260</v>
      </c>
      <c r="F3984" s="2" t="s">
        <v>10812</v>
      </c>
      <c r="G3984" s="6">
        <v>46235</v>
      </c>
      <c r="H3984" s="2" t="s">
        <v>71</v>
      </c>
      <c r="I3984" s="2" t="s">
        <v>76</v>
      </c>
      <c r="J3984" s="9">
        <v>97634211.382113993</v>
      </c>
      <c r="K3984" s="7">
        <v>6.1500000000000004E-5</v>
      </c>
      <c r="L3984" s="9">
        <v>6004.5</v>
      </c>
      <c r="M3984" s="9">
        <v>6004.5</v>
      </c>
      <c r="N3984" s="9">
        <v>3.3</v>
      </c>
      <c r="O3984" s="10">
        <f>IF(AND(OR(H3984="APPROVED",H3984="SCHEDULED"),COUNTIFS(tblSource[EventID],F3984,tblSource[ReleaseStatus],"APPROVED")=1,COUNTIFS(Period_Status!$A$2:$A$8,G3984,Period_Status!$B$2:$B$8,"ActualClosed")=1,C3984&gt;EOMONTH(Settlement_Bridge!$C$2,0)),1,0)</f>
        <v>0</v>
      </c>
      <c r="P3984" s="2" t="s">
        <v>10813</v>
      </c>
    </row>
    <row r="3985" spans="1:16" x14ac:dyDescent="0.25">
      <c r="A3985" s="2" t="s">
        <v>10814</v>
      </c>
      <c r="B3985" s="2" t="s">
        <v>7433</v>
      </c>
      <c r="C3985" s="8">
        <v>46274</v>
      </c>
      <c r="D3985" s="6">
        <v>46266</v>
      </c>
      <c r="E3985" s="2" t="s">
        <v>260</v>
      </c>
      <c r="F3985" s="2" t="s">
        <v>10812</v>
      </c>
      <c r="G3985" s="6">
        <v>46235</v>
      </c>
      <c r="H3985" s="2" t="s">
        <v>176</v>
      </c>
      <c r="I3985" s="2" t="s">
        <v>76</v>
      </c>
      <c r="J3985" s="9">
        <v>146451317.07317099</v>
      </c>
      <c r="K3985" s="7">
        <v>6.1299999999999999E-5</v>
      </c>
      <c r="L3985" s="9">
        <v>8977.4699999999993</v>
      </c>
      <c r="M3985" s="9">
        <v>9006.76</v>
      </c>
      <c r="N3985" s="9">
        <v>4.9400000000000004</v>
      </c>
      <c r="O3985" s="10">
        <f>IF(AND(OR(H3985="APPROVED",H3985="SCHEDULED"),COUNTIFS(tblSource[EventID],F3985,tblSource[ReleaseStatus],"APPROVED")=1,COUNTIFS(Period_Status!$A$2:$A$8,G3985,Period_Status!$B$2:$B$8,"ActualClosed")=1,C3985&gt;EOMONTH(Settlement_Bridge!$C$2,0)),1,0)</f>
        <v>0</v>
      </c>
      <c r="P3985" s="2" t="s">
        <v>10815</v>
      </c>
    </row>
    <row r="3986" spans="1:16" x14ac:dyDescent="0.25">
      <c r="A3986" s="2" t="s">
        <v>10816</v>
      </c>
      <c r="B3986" s="2" t="s">
        <v>7433</v>
      </c>
      <c r="C3986" s="8">
        <v>46250</v>
      </c>
      <c r="D3986" s="6">
        <v>46235</v>
      </c>
      <c r="E3986" s="2" t="s">
        <v>260</v>
      </c>
      <c r="F3986" s="2" t="s">
        <v>10817</v>
      </c>
      <c r="G3986" s="6">
        <v>46235</v>
      </c>
      <c r="H3986" s="2" t="s">
        <v>71</v>
      </c>
      <c r="I3986" s="2" t="s">
        <v>70</v>
      </c>
      <c r="J3986" s="9">
        <v>9408.0492310000009</v>
      </c>
      <c r="K3986" s="7">
        <v>0.65</v>
      </c>
      <c r="L3986" s="9">
        <v>6115.23</v>
      </c>
      <c r="M3986" s="9">
        <v>6115.23</v>
      </c>
      <c r="N3986" s="9">
        <v>3.36</v>
      </c>
      <c r="O3986" s="10">
        <f>IF(AND(OR(H3986="APPROVED",H3986="SCHEDULED"),COUNTIFS(tblSource[EventID],F3986,tblSource[ReleaseStatus],"APPROVED")=1,COUNTIFS(Period_Status!$A$2:$A$8,G3986,Period_Status!$B$2:$B$8,"ActualClosed")=1,C3986&gt;EOMONTH(Settlement_Bridge!$C$2,0)),1,0)</f>
        <v>0</v>
      </c>
      <c r="P3986" s="2" t="s">
        <v>10818</v>
      </c>
    </row>
    <row r="3987" spans="1:16" x14ac:dyDescent="0.25">
      <c r="A3987" s="2" t="s">
        <v>10819</v>
      </c>
      <c r="B3987" s="2" t="s">
        <v>7433</v>
      </c>
      <c r="C3987" s="8">
        <v>46275</v>
      </c>
      <c r="D3987" s="6">
        <v>46266</v>
      </c>
      <c r="E3987" s="2" t="s">
        <v>260</v>
      </c>
      <c r="F3987" s="2" t="s">
        <v>10817</v>
      </c>
      <c r="G3987" s="6">
        <v>46235</v>
      </c>
      <c r="H3987" s="2" t="s">
        <v>176</v>
      </c>
      <c r="I3987" s="2" t="s">
        <v>70</v>
      </c>
      <c r="J3987" s="9">
        <v>14112.073845999999</v>
      </c>
      <c r="K3987" s="7">
        <v>0.65100000000000002</v>
      </c>
      <c r="L3987" s="9">
        <v>9186.9599999999991</v>
      </c>
      <c r="M3987" s="9">
        <v>9172.85</v>
      </c>
      <c r="N3987" s="9">
        <v>5.05</v>
      </c>
      <c r="O3987" s="10">
        <f>IF(AND(OR(H3987="APPROVED",H3987="SCHEDULED"),COUNTIFS(tblSource[EventID],F3987,tblSource[ReleaseStatus],"APPROVED")=1,COUNTIFS(Period_Status!$A$2:$A$8,G3987,Period_Status!$B$2:$B$8,"ActualClosed")=1,C3987&gt;EOMONTH(Settlement_Bridge!$C$2,0)),1,0)</f>
        <v>0</v>
      </c>
      <c r="P3987" s="2" t="s">
        <v>10820</v>
      </c>
    </row>
    <row r="3988" spans="1:16" x14ac:dyDescent="0.25">
      <c r="A3988" s="2" t="s">
        <v>10821</v>
      </c>
      <c r="B3988" s="2" t="s">
        <v>7433</v>
      </c>
      <c r="C3988" s="8">
        <v>46251</v>
      </c>
      <c r="D3988" s="6">
        <v>46235</v>
      </c>
      <c r="E3988" s="2" t="s">
        <v>260</v>
      </c>
      <c r="F3988" s="2" t="s">
        <v>10822</v>
      </c>
      <c r="G3988" s="6">
        <v>46235</v>
      </c>
      <c r="H3988" s="2" t="s">
        <v>71</v>
      </c>
      <c r="I3988" s="2" t="s">
        <v>39</v>
      </c>
      <c r="J3988" s="9">
        <v>6225.96</v>
      </c>
      <c r="K3988" s="7">
        <v>1</v>
      </c>
      <c r="L3988" s="9">
        <v>6225.96</v>
      </c>
      <c r="M3988" s="9">
        <v>6225.96</v>
      </c>
      <c r="N3988" s="9">
        <v>3.42</v>
      </c>
      <c r="O3988" s="10">
        <f>IF(AND(OR(H3988="APPROVED",H3988="SCHEDULED"),COUNTIFS(tblSource[EventID],F3988,tblSource[ReleaseStatus],"APPROVED")=1,COUNTIFS(Period_Status!$A$2:$A$8,G3988,Period_Status!$B$2:$B$8,"ActualClosed")=1,C3988&gt;EOMONTH(Settlement_Bridge!$C$2,0)),1,0)</f>
        <v>0</v>
      </c>
      <c r="P3988" s="2" t="s">
        <v>10823</v>
      </c>
    </row>
    <row r="3989" spans="1:16" x14ac:dyDescent="0.25">
      <c r="A3989" s="2" t="s">
        <v>10824</v>
      </c>
      <c r="B3989" s="2" t="s">
        <v>7433</v>
      </c>
      <c r="C3989" s="8">
        <v>46276</v>
      </c>
      <c r="D3989" s="6">
        <v>46266</v>
      </c>
      <c r="E3989" s="2" t="s">
        <v>260</v>
      </c>
      <c r="F3989" s="2" t="s">
        <v>10822</v>
      </c>
      <c r="G3989" s="6">
        <v>46235</v>
      </c>
      <c r="H3989" s="2" t="s">
        <v>176</v>
      </c>
      <c r="I3989" s="2" t="s">
        <v>39</v>
      </c>
      <c r="J3989" s="9">
        <v>9338.94</v>
      </c>
      <c r="K3989" s="7">
        <v>1</v>
      </c>
      <c r="L3989" s="9">
        <v>9338.94</v>
      </c>
      <c r="M3989" s="9">
        <v>9338.94</v>
      </c>
      <c r="N3989" s="9">
        <v>5.14</v>
      </c>
      <c r="O3989" s="10">
        <f>IF(AND(OR(H3989="APPROVED",H3989="SCHEDULED"),COUNTIFS(tblSource[EventID],F3989,tblSource[ReleaseStatus],"APPROVED")=1,COUNTIFS(Period_Status!$A$2:$A$8,G3989,Period_Status!$B$2:$B$8,"ActualClosed")=1,C3989&gt;EOMONTH(Settlement_Bridge!$C$2,0)),1,0)</f>
        <v>0</v>
      </c>
      <c r="P3989" s="2" t="s">
        <v>10825</v>
      </c>
    </row>
    <row r="3990" spans="1:16" x14ac:dyDescent="0.25">
      <c r="A3990" s="2" t="s">
        <v>10826</v>
      </c>
      <c r="B3990" s="2" t="s">
        <v>7433</v>
      </c>
      <c r="C3990" s="8">
        <v>46252</v>
      </c>
      <c r="D3990" s="6">
        <v>46235</v>
      </c>
      <c r="E3990" s="2" t="s">
        <v>260</v>
      </c>
      <c r="F3990" s="2" t="s">
        <v>10827</v>
      </c>
      <c r="G3990" s="6">
        <v>46235</v>
      </c>
      <c r="H3990" s="2" t="s">
        <v>71</v>
      </c>
      <c r="I3990" s="2" t="s">
        <v>76</v>
      </c>
      <c r="J3990" s="9">
        <v>103035512.195122</v>
      </c>
      <c r="K3990" s="7">
        <v>6.1500000000000004E-5</v>
      </c>
      <c r="L3990" s="9">
        <v>6336.68</v>
      </c>
      <c r="M3990" s="9">
        <v>6336.68</v>
      </c>
      <c r="N3990" s="9">
        <v>3.49</v>
      </c>
      <c r="O3990" s="10">
        <f>IF(AND(OR(H3990="APPROVED",H3990="SCHEDULED"),COUNTIFS(tblSource[EventID],F3990,tblSource[ReleaseStatus],"APPROVED")=1,COUNTIFS(Period_Status!$A$2:$A$8,G3990,Period_Status!$B$2:$B$8,"ActualClosed")=1,C3990&gt;EOMONTH(Settlement_Bridge!$C$2,0)),1,0)</f>
        <v>0</v>
      </c>
      <c r="P3990" s="2" t="s">
        <v>10828</v>
      </c>
    </row>
    <row r="3991" spans="1:16" x14ac:dyDescent="0.25">
      <c r="A3991" s="2" t="s">
        <v>10829</v>
      </c>
      <c r="B3991" s="2" t="s">
        <v>7433</v>
      </c>
      <c r="C3991" s="8">
        <v>46277</v>
      </c>
      <c r="D3991" s="6">
        <v>46266</v>
      </c>
      <c r="E3991" s="2" t="s">
        <v>260</v>
      </c>
      <c r="F3991" s="2" t="s">
        <v>10827</v>
      </c>
      <c r="G3991" s="6">
        <v>46235</v>
      </c>
      <c r="H3991" s="2" t="s">
        <v>176</v>
      </c>
      <c r="I3991" s="2" t="s">
        <v>76</v>
      </c>
      <c r="J3991" s="9">
        <v>154553268.29268301</v>
      </c>
      <c r="K3991" s="7">
        <v>6.1299999999999999E-5</v>
      </c>
      <c r="L3991" s="9">
        <v>9474.1200000000008</v>
      </c>
      <c r="M3991" s="9">
        <v>9505.0300000000007</v>
      </c>
      <c r="N3991" s="9">
        <v>5.21</v>
      </c>
      <c r="O3991" s="10">
        <f>IF(AND(OR(H3991="APPROVED",H3991="SCHEDULED"),COUNTIFS(tblSource[EventID],F3991,tblSource[ReleaseStatus],"APPROVED")=1,COUNTIFS(Period_Status!$A$2:$A$8,G3991,Period_Status!$B$2:$B$8,"ActualClosed")=1,C3991&gt;EOMONTH(Settlement_Bridge!$C$2,0)),1,0)</f>
        <v>0</v>
      </c>
      <c r="P3991" s="2" t="s">
        <v>10830</v>
      </c>
    </row>
    <row r="3992" spans="1:16" x14ac:dyDescent="0.25">
      <c r="A3992" s="2" t="s">
        <v>10831</v>
      </c>
      <c r="B3992" s="2" t="s">
        <v>7433</v>
      </c>
      <c r="C3992" s="8">
        <v>46253</v>
      </c>
      <c r="D3992" s="6">
        <v>46235</v>
      </c>
      <c r="E3992" s="2" t="s">
        <v>260</v>
      </c>
      <c r="F3992" s="2" t="s">
        <v>10832</v>
      </c>
      <c r="G3992" s="6">
        <v>46235</v>
      </c>
      <c r="H3992" s="2" t="s">
        <v>71</v>
      </c>
      <c r="I3992" s="2" t="s">
        <v>70</v>
      </c>
      <c r="J3992" s="9">
        <v>9919.0953850000005</v>
      </c>
      <c r="K3992" s="7">
        <v>0.65</v>
      </c>
      <c r="L3992" s="9">
        <v>6447.41</v>
      </c>
      <c r="M3992" s="9">
        <v>6447.41</v>
      </c>
      <c r="N3992" s="9">
        <v>3.55</v>
      </c>
      <c r="O3992" s="10">
        <f>IF(AND(OR(H3992="APPROVED",H3992="SCHEDULED"),COUNTIFS(tblSource[EventID],F3992,tblSource[ReleaseStatus],"APPROVED")=1,COUNTIFS(Period_Status!$A$2:$A$8,G3992,Period_Status!$B$2:$B$8,"ActualClosed")=1,C3992&gt;EOMONTH(Settlement_Bridge!$C$2,0)),1,0)</f>
        <v>0</v>
      </c>
      <c r="P3992" s="2" t="s">
        <v>10833</v>
      </c>
    </row>
    <row r="3993" spans="1:16" x14ac:dyDescent="0.25">
      <c r="A3993" s="2" t="s">
        <v>10834</v>
      </c>
      <c r="B3993" s="2" t="s">
        <v>7433</v>
      </c>
      <c r="C3993" s="8">
        <v>46278</v>
      </c>
      <c r="D3993" s="6">
        <v>46266</v>
      </c>
      <c r="E3993" s="2" t="s">
        <v>260</v>
      </c>
      <c r="F3993" s="2" t="s">
        <v>10832</v>
      </c>
      <c r="G3993" s="6">
        <v>46235</v>
      </c>
      <c r="H3993" s="2" t="s">
        <v>176</v>
      </c>
      <c r="I3993" s="2" t="s">
        <v>70</v>
      </c>
      <c r="J3993" s="9">
        <v>14878.643077000001</v>
      </c>
      <c r="K3993" s="7">
        <v>0.65100000000000002</v>
      </c>
      <c r="L3993" s="9">
        <v>9686</v>
      </c>
      <c r="M3993" s="9">
        <v>9671.1200000000008</v>
      </c>
      <c r="N3993" s="9">
        <v>5.33</v>
      </c>
      <c r="O3993" s="10">
        <f>IF(AND(OR(H3993="APPROVED",H3993="SCHEDULED"),COUNTIFS(tblSource[EventID],F3993,tblSource[ReleaseStatus],"APPROVED")=1,COUNTIFS(Period_Status!$A$2:$A$8,G3993,Period_Status!$B$2:$B$8,"ActualClosed")=1,C3993&gt;EOMONTH(Settlement_Bridge!$C$2,0)),1,0)</f>
        <v>0</v>
      </c>
      <c r="P3993" s="2" t="s">
        <v>10835</v>
      </c>
    </row>
    <row r="3994" spans="1:16" x14ac:dyDescent="0.25">
      <c r="A3994" s="2" t="s">
        <v>10836</v>
      </c>
      <c r="B3994" s="2" t="s">
        <v>7433</v>
      </c>
      <c r="C3994" s="8">
        <v>46254</v>
      </c>
      <c r="D3994" s="6">
        <v>46235</v>
      </c>
      <c r="E3994" s="2" t="s">
        <v>260</v>
      </c>
      <c r="F3994" s="2" t="s">
        <v>10837</v>
      </c>
      <c r="G3994" s="6">
        <v>46235</v>
      </c>
      <c r="H3994" s="2" t="s">
        <v>71</v>
      </c>
      <c r="I3994" s="2" t="s">
        <v>39</v>
      </c>
      <c r="J3994" s="9">
        <v>6558.1360000000004</v>
      </c>
      <c r="K3994" s="7">
        <v>1</v>
      </c>
      <c r="L3994" s="9">
        <v>6558.14</v>
      </c>
      <c r="M3994" s="9">
        <v>6558.14</v>
      </c>
      <c r="N3994" s="9">
        <v>3.61</v>
      </c>
      <c r="O3994" s="10">
        <f>IF(AND(OR(H3994="APPROVED",H3994="SCHEDULED"),COUNTIFS(tblSource[EventID],F3994,tblSource[ReleaseStatus],"APPROVED")=1,COUNTIFS(Period_Status!$A$2:$A$8,G3994,Period_Status!$B$2:$B$8,"ActualClosed")=1,C3994&gt;EOMONTH(Settlement_Bridge!$C$2,0)),1,0)</f>
        <v>0</v>
      </c>
      <c r="P3994" s="2" t="s">
        <v>10838</v>
      </c>
    </row>
    <row r="3995" spans="1:16" x14ac:dyDescent="0.25">
      <c r="A3995" s="2" t="s">
        <v>10839</v>
      </c>
      <c r="B3995" s="2" t="s">
        <v>7433</v>
      </c>
      <c r="C3995" s="8">
        <v>46279</v>
      </c>
      <c r="D3995" s="6">
        <v>46266</v>
      </c>
      <c r="E3995" s="2" t="s">
        <v>260</v>
      </c>
      <c r="F3995" s="2" t="s">
        <v>10837</v>
      </c>
      <c r="G3995" s="6">
        <v>46235</v>
      </c>
      <c r="H3995" s="2" t="s">
        <v>176</v>
      </c>
      <c r="I3995" s="2" t="s">
        <v>39</v>
      </c>
      <c r="J3995" s="9">
        <v>9837.2039999999997</v>
      </c>
      <c r="K3995" s="7">
        <v>1</v>
      </c>
      <c r="L3995" s="9">
        <v>9837.2000000000007</v>
      </c>
      <c r="M3995" s="9">
        <v>9837.2000000000007</v>
      </c>
      <c r="N3995" s="9">
        <v>5.41</v>
      </c>
      <c r="O3995" s="10">
        <f>IF(AND(OR(H3995="APPROVED",H3995="SCHEDULED"),COUNTIFS(tblSource[EventID],F3995,tblSource[ReleaseStatus],"APPROVED")=1,COUNTIFS(Period_Status!$A$2:$A$8,G3995,Period_Status!$B$2:$B$8,"ActualClosed")=1,C3995&gt;EOMONTH(Settlement_Bridge!$C$2,0)),1,0)</f>
        <v>0</v>
      </c>
      <c r="P3995" s="2" t="s">
        <v>10840</v>
      </c>
    </row>
    <row r="3996" spans="1:16" x14ac:dyDescent="0.25">
      <c r="A3996" s="2" t="s">
        <v>10841</v>
      </c>
      <c r="B3996" s="2" t="s">
        <v>7433</v>
      </c>
      <c r="C3996" s="8">
        <v>46255</v>
      </c>
      <c r="D3996" s="6">
        <v>46235</v>
      </c>
      <c r="E3996" s="2" t="s">
        <v>260</v>
      </c>
      <c r="F3996" s="2" t="s">
        <v>10842</v>
      </c>
      <c r="G3996" s="6">
        <v>46235</v>
      </c>
      <c r="H3996" s="2" t="s">
        <v>71</v>
      </c>
      <c r="I3996" s="2" t="s">
        <v>76</v>
      </c>
      <c r="J3996" s="9">
        <v>108436813.00813</v>
      </c>
      <c r="K3996" s="7">
        <v>6.1500000000000004E-5</v>
      </c>
      <c r="L3996" s="9">
        <v>6668.86</v>
      </c>
      <c r="M3996" s="9">
        <v>6668.86</v>
      </c>
      <c r="N3996" s="9">
        <v>3.67</v>
      </c>
      <c r="O3996" s="10">
        <f>IF(AND(OR(H3996="APPROVED",H3996="SCHEDULED"),COUNTIFS(tblSource[EventID],F3996,tblSource[ReleaseStatus],"APPROVED")=1,COUNTIFS(Period_Status!$A$2:$A$8,G3996,Period_Status!$B$2:$B$8,"ActualClosed")=1,C3996&gt;EOMONTH(Settlement_Bridge!$C$2,0)),1,0)</f>
        <v>0</v>
      </c>
      <c r="P3996" s="2" t="s">
        <v>10843</v>
      </c>
    </row>
    <row r="3997" spans="1:16" x14ac:dyDescent="0.25">
      <c r="A3997" s="2" t="s">
        <v>10844</v>
      </c>
      <c r="B3997" s="2" t="s">
        <v>7433</v>
      </c>
      <c r="C3997" s="8">
        <v>46280</v>
      </c>
      <c r="D3997" s="6">
        <v>46266</v>
      </c>
      <c r="E3997" s="2" t="s">
        <v>260</v>
      </c>
      <c r="F3997" s="2" t="s">
        <v>10842</v>
      </c>
      <c r="G3997" s="6">
        <v>46235</v>
      </c>
      <c r="H3997" s="2" t="s">
        <v>176</v>
      </c>
      <c r="I3997" s="2" t="s">
        <v>76</v>
      </c>
      <c r="J3997" s="9">
        <v>162655219.51219499</v>
      </c>
      <c r="K3997" s="7">
        <v>6.1299999999999999E-5</v>
      </c>
      <c r="L3997" s="9">
        <v>9970.76</v>
      </c>
      <c r="M3997" s="9">
        <v>10003.299999999999</v>
      </c>
      <c r="N3997" s="9">
        <v>5.48</v>
      </c>
      <c r="O3997" s="10">
        <f>IF(AND(OR(H3997="APPROVED",H3997="SCHEDULED"),COUNTIFS(tblSource[EventID],F3997,tblSource[ReleaseStatus],"APPROVED")=1,COUNTIFS(Period_Status!$A$2:$A$8,G3997,Period_Status!$B$2:$B$8,"ActualClosed")=1,C3997&gt;EOMONTH(Settlement_Bridge!$C$2,0)),1,0)</f>
        <v>0</v>
      </c>
      <c r="P3997" s="2" t="s">
        <v>10845</v>
      </c>
    </row>
    <row r="3998" spans="1:16" x14ac:dyDescent="0.25">
      <c r="A3998" s="2" t="s">
        <v>10846</v>
      </c>
      <c r="B3998" s="2" t="s">
        <v>7433</v>
      </c>
      <c r="C3998" s="8">
        <v>46256</v>
      </c>
      <c r="D3998" s="6">
        <v>46235</v>
      </c>
      <c r="E3998" s="2" t="s">
        <v>260</v>
      </c>
      <c r="F3998" s="2" t="s">
        <v>10847</v>
      </c>
      <c r="G3998" s="6">
        <v>46235</v>
      </c>
      <c r="H3998" s="2" t="s">
        <v>71</v>
      </c>
      <c r="I3998" s="2" t="s">
        <v>70</v>
      </c>
      <c r="J3998" s="9">
        <v>10430.141538</v>
      </c>
      <c r="K3998" s="7">
        <v>0.65</v>
      </c>
      <c r="L3998" s="9">
        <v>6779.59</v>
      </c>
      <c r="M3998" s="9">
        <v>6779.59</v>
      </c>
      <c r="N3998" s="9">
        <v>3.73</v>
      </c>
      <c r="O3998" s="10">
        <f>IF(AND(OR(H3998="APPROVED",H3998="SCHEDULED"),COUNTIFS(tblSource[EventID],F3998,tblSource[ReleaseStatus],"APPROVED")=1,COUNTIFS(Period_Status!$A$2:$A$8,G3998,Period_Status!$B$2:$B$8,"ActualClosed")=1,C3998&gt;EOMONTH(Settlement_Bridge!$C$2,0)),1,0)</f>
        <v>0</v>
      </c>
      <c r="P3998" s="2" t="s">
        <v>10848</v>
      </c>
    </row>
    <row r="3999" spans="1:16" x14ac:dyDescent="0.25">
      <c r="A3999" s="2" t="s">
        <v>10849</v>
      </c>
      <c r="B3999" s="2" t="s">
        <v>7433</v>
      </c>
      <c r="C3999" s="8">
        <v>46281</v>
      </c>
      <c r="D3999" s="6">
        <v>46266</v>
      </c>
      <c r="E3999" s="2" t="s">
        <v>260</v>
      </c>
      <c r="F3999" s="2" t="s">
        <v>10847</v>
      </c>
      <c r="G3999" s="6">
        <v>46235</v>
      </c>
      <c r="H3999" s="2" t="s">
        <v>176</v>
      </c>
      <c r="I3999" s="2" t="s">
        <v>70</v>
      </c>
      <c r="J3999" s="9">
        <v>15645.212308</v>
      </c>
      <c r="K3999" s="7">
        <v>0.65100000000000002</v>
      </c>
      <c r="L3999" s="9">
        <v>10185.030000000001</v>
      </c>
      <c r="M3999" s="9">
        <v>10169.39</v>
      </c>
      <c r="N3999" s="9">
        <v>5.6</v>
      </c>
      <c r="O3999" s="10">
        <f>IF(AND(OR(H3999="APPROVED",H3999="SCHEDULED"),COUNTIFS(tblSource[EventID],F3999,tblSource[ReleaseStatus],"APPROVED")=1,COUNTIFS(Period_Status!$A$2:$A$8,G3999,Period_Status!$B$2:$B$8,"ActualClosed")=1,C3999&gt;EOMONTH(Settlement_Bridge!$C$2,0)),1,0)</f>
        <v>0</v>
      </c>
      <c r="P3999" s="2" t="s">
        <v>10850</v>
      </c>
    </row>
    <row r="4000" spans="1:16" x14ac:dyDescent="0.25">
      <c r="A4000" s="2" t="s">
        <v>10851</v>
      </c>
      <c r="B4000" s="2" t="s">
        <v>7433</v>
      </c>
      <c r="C4000" s="8">
        <v>46257</v>
      </c>
      <c r="D4000" s="6">
        <v>46235</v>
      </c>
      <c r="E4000" s="2" t="s">
        <v>260</v>
      </c>
      <c r="F4000" s="2" t="s">
        <v>10852</v>
      </c>
      <c r="G4000" s="6">
        <v>46235</v>
      </c>
      <c r="H4000" s="2" t="s">
        <v>71</v>
      </c>
      <c r="I4000" s="2" t="s">
        <v>39</v>
      </c>
      <c r="J4000" s="9">
        <v>6890.3159999999998</v>
      </c>
      <c r="K4000" s="7">
        <v>1</v>
      </c>
      <c r="L4000" s="9">
        <v>6890.32</v>
      </c>
      <c r="M4000" s="9">
        <v>6890.32</v>
      </c>
      <c r="N4000" s="9">
        <v>3.79</v>
      </c>
      <c r="O4000" s="10">
        <f>IF(AND(OR(H4000="APPROVED",H4000="SCHEDULED"),COUNTIFS(tblSource[EventID],F4000,tblSource[ReleaseStatus],"APPROVED")=1,COUNTIFS(Period_Status!$A$2:$A$8,G4000,Period_Status!$B$2:$B$8,"ActualClosed")=1,C4000&gt;EOMONTH(Settlement_Bridge!$C$2,0)),1,0)</f>
        <v>0</v>
      </c>
      <c r="P4000" s="2" t="s">
        <v>10853</v>
      </c>
    </row>
    <row r="4001" spans="1:16" x14ac:dyDescent="0.25">
      <c r="A4001" s="2" t="s">
        <v>10854</v>
      </c>
      <c r="B4001" s="2" t="s">
        <v>7433</v>
      </c>
      <c r="C4001" s="8">
        <v>46282</v>
      </c>
      <c r="D4001" s="6">
        <v>46266</v>
      </c>
      <c r="E4001" s="2" t="s">
        <v>260</v>
      </c>
      <c r="F4001" s="2" t="s">
        <v>10852</v>
      </c>
      <c r="G4001" s="6">
        <v>46235</v>
      </c>
      <c r="H4001" s="2" t="s">
        <v>176</v>
      </c>
      <c r="I4001" s="2" t="s">
        <v>39</v>
      </c>
      <c r="J4001" s="9">
        <v>10335.474</v>
      </c>
      <c r="K4001" s="7">
        <v>1</v>
      </c>
      <c r="L4001" s="9">
        <v>10335.469999999999</v>
      </c>
      <c r="M4001" s="9">
        <v>10335.469999999999</v>
      </c>
      <c r="N4001" s="9">
        <v>5.68</v>
      </c>
      <c r="O4001" s="10">
        <f>IF(AND(OR(H4001="APPROVED",H4001="SCHEDULED"),COUNTIFS(tblSource[EventID],F4001,tblSource[ReleaseStatus],"APPROVED")=1,COUNTIFS(Period_Status!$A$2:$A$8,G4001,Period_Status!$B$2:$B$8,"ActualClosed")=1,C4001&gt;EOMONTH(Settlement_Bridge!$C$2,0)),1,0)</f>
        <v>0</v>
      </c>
      <c r="P4001" s="2" t="s">
        <v>10855</v>
      </c>
    </row>
    <row r="4002" spans="1:16" x14ac:dyDescent="0.25">
      <c r="A4002" s="2" t="s">
        <v>10856</v>
      </c>
      <c r="B4002" s="2" t="s">
        <v>7433</v>
      </c>
      <c r="C4002" s="8">
        <v>46258</v>
      </c>
      <c r="D4002" s="6">
        <v>46235</v>
      </c>
      <c r="E4002" s="2" t="s">
        <v>260</v>
      </c>
      <c r="F4002" s="2" t="s">
        <v>10857</v>
      </c>
      <c r="G4002" s="6">
        <v>46235</v>
      </c>
      <c r="H4002" s="2" t="s">
        <v>71</v>
      </c>
      <c r="I4002" s="2" t="s">
        <v>76</v>
      </c>
      <c r="J4002" s="9">
        <v>113838113.82113799</v>
      </c>
      <c r="K4002" s="7">
        <v>6.1500000000000004E-5</v>
      </c>
      <c r="L4002" s="9">
        <v>7001.04</v>
      </c>
      <c r="M4002" s="9">
        <v>7001.04</v>
      </c>
      <c r="N4002" s="9">
        <v>3.85</v>
      </c>
      <c r="O4002" s="10">
        <f>IF(AND(OR(H4002="APPROVED",H4002="SCHEDULED"),COUNTIFS(tblSource[EventID],F4002,tblSource[ReleaseStatus],"APPROVED")=1,COUNTIFS(Period_Status!$A$2:$A$8,G4002,Period_Status!$B$2:$B$8,"ActualClosed")=1,C4002&gt;EOMONTH(Settlement_Bridge!$C$2,0)),1,0)</f>
        <v>0</v>
      </c>
      <c r="P4002" s="2" t="s">
        <v>10858</v>
      </c>
    </row>
    <row r="4003" spans="1:16" x14ac:dyDescent="0.25">
      <c r="A4003" s="2" t="s">
        <v>10859</v>
      </c>
      <c r="B4003" s="2" t="s">
        <v>7433</v>
      </c>
      <c r="C4003" s="8">
        <v>46283</v>
      </c>
      <c r="D4003" s="6">
        <v>46266</v>
      </c>
      <c r="E4003" s="2" t="s">
        <v>260</v>
      </c>
      <c r="F4003" s="2" t="s">
        <v>10857</v>
      </c>
      <c r="G4003" s="6">
        <v>46235</v>
      </c>
      <c r="H4003" s="2" t="s">
        <v>176</v>
      </c>
      <c r="I4003" s="2" t="s">
        <v>76</v>
      </c>
      <c r="J4003" s="9">
        <v>170757170.73170799</v>
      </c>
      <c r="K4003" s="7">
        <v>6.1299999999999999E-5</v>
      </c>
      <c r="L4003" s="9">
        <v>10467.41</v>
      </c>
      <c r="M4003" s="9">
        <v>10501.57</v>
      </c>
      <c r="N4003" s="9">
        <v>5.76</v>
      </c>
      <c r="O4003" s="10">
        <f>IF(AND(OR(H4003="APPROVED",H4003="SCHEDULED"),COUNTIFS(tblSource[EventID],F4003,tblSource[ReleaseStatus],"APPROVED")=1,COUNTIFS(Period_Status!$A$2:$A$8,G4003,Period_Status!$B$2:$B$8,"ActualClosed")=1,C4003&gt;EOMONTH(Settlement_Bridge!$C$2,0)),1,0)</f>
        <v>0</v>
      </c>
      <c r="P4003" s="2" t="s">
        <v>10860</v>
      </c>
    </row>
    <row r="4004" spans="1:16" x14ac:dyDescent="0.25">
      <c r="A4004" s="2" t="s">
        <v>10861</v>
      </c>
      <c r="B4004" s="2" t="s">
        <v>7433</v>
      </c>
      <c r="C4004" s="8">
        <v>46259</v>
      </c>
      <c r="D4004" s="6">
        <v>46235</v>
      </c>
      <c r="E4004" s="2" t="s">
        <v>260</v>
      </c>
      <c r="F4004" s="2" t="s">
        <v>10862</v>
      </c>
      <c r="G4004" s="6">
        <v>46235</v>
      </c>
      <c r="H4004" s="2" t="s">
        <v>71</v>
      </c>
      <c r="I4004" s="2" t="s">
        <v>70</v>
      </c>
      <c r="J4004" s="9">
        <v>10941.181538000001</v>
      </c>
      <c r="K4004" s="7">
        <v>0.65</v>
      </c>
      <c r="L4004" s="9">
        <v>7111.77</v>
      </c>
      <c r="M4004" s="9">
        <v>7111.77</v>
      </c>
      <c r="N4004" s="9">
        <v>3.91</v>
      </c>
      <c r="O4004" s="10">
        <f>IF(AND(OR(H4004="APPROVED",H4004="SCHEDULED"),COUNTIFS(tblSource[EventID],F4004,tblSource[ReleaseStatus],"APPROVED")=1,COUNTIFS(Period_Status!$A$2:$A$8,G4004,Period_Status!$B$2:$B$8,"ActualClosed")=1,C4004&gt;EOMONTH(Settlement_Bridge!$C$2,0)),1,0)</f>
        <v>0</v>
      </c>
      <c r="P4004" s="2" t="s">
        <v>10863</v>
      </c>
    </row>
    <row r="4005" spans="1:16" x14ac:dyDescent="0.25">
      <c r="A4005" s="2" t="s">
        <v>10864</v>
      </c>
      <c r="B4005" s="2" t="s">
        <v>7433</v>
      </c>
      <c r="C4005" s="8">
        <v>46284</v>
      </c>
      <c r="D4005" s="6">
        <v>46266</v>
      </c>
      <c r="E4005" s="2" t="s">
        <v>260</v>
      </c>
      <c r="F4005" s="2" t="s">
        <v>10862</v>
      </c>
      <c r="G4005" s="6">
        <v>46235</v>
      </c>
      <c r="H4005" s="2" t="s">
        <v>176</v>
      </c>
      <c r="I4005" s="2" t="s">
        <v>70</v>
      </c>
      <c r="J4005" s="9">
        <v>16411.772308</v>
      </c>
      <c r="K4005" s="7">
        <v>0.65100000000000002</v>
      </c>
      <c r="L4005" s="9">
        <v>10684.06</v>
      </c>
      <c r="M4005" s="9">
        <v>10667.65</v>
      </c>
      <c r="N4005" s="9">
        <v>5.88</v>
      </c>
      <c r="O4005" s="10">
        <f>IF(AND(OR(H4005="APPROVED",H4005="SCHEDULED"),COUNTIFS(tblSource[EventID],F4005,tblSource[ReleaseStatus],"APPROVED")=1,COUNTIFS(Period_Status!$A$2:$A$8,G4005,Period_Status!$B$2:$B$8,"ActualClosed")=1,C4005&gt;EOMONTH(Settlement_Bridge!$C$2,0)),1,0)</f>
        <v>0</v>
      </c>
      <c r="P4005" s="2" t="s">
        <v>10865</v>
      </c>
    </row>
    <row r="4006" spans="1:16" x14ac:dyDescent="0.25">
      <c r="A4006" s="2" t="s">
        <v>10866</v>
      </c>
      <c r="B4006" s="2" t="s">
        <v>7433</v>
      </c>
      <c r="C4006" s="8">
        <v>46260</v>
      </c>
      <c r="D4006" s="6">
        <v>46235</v>
      </c>
      <c r="E4006" s="2" t="s">
        <v>260</v>
      </c>
      <c r="F4006" s="2" t="s">
        <v>10867</v>
      </c>
      <c r="G4006" s="6">
        <v>46235</v>
      </c>
      <c r="H4006" s="2" t="s">
        <v>71</v>
      </c>
      <c r="I4006" s="2" t="s">
        <v>39</v>
      </c>
      <c r="J4006" s="9">
        <v>7222.4960000000001</v>
      </c>
      <c r="K4006" s="7">
        <v>1</v>
      </c>
      <c r="L4006" s="9">
        <v>7222.5</v>
      </c>
      <c r="M4006" s="9">
        <v>7222.5</v>
      </c>
      <c r="N4006" s="9">
        <v>3.97</v>
      </c>
      <c r="O4006" s="10">
        <f>IF(AND(OR(H4006="APPROVED",H4006="SCHEDULED"),COUNTIFS(tblSource[EventID],F4006,tblSource[ReleaseStatus],"APPROVED")=1,COUNTIFS(Period_Status!$A$2:$A$8,G4006,Period_Status!$B$2:$B$8,"ActualClosed")=1,C4006&gt;EOMONTH(Settlement_Bridge!$C$2,0)),1,0)</f>
        <v>0</v>
      </c>
      <c r="P4006" s="2" t="s">
        <v>10868</v>
      </c>
    </row>
    <row r="4007" spans="1:16" x14ac:dyDescent="0.25">
      <c r="A4007" s="2" t="s">
        <v>10869</v>
      </c>
      <c r="B4007" s="2" t="s">
        <v>7433</v>
      </c>
      <c r="C4007" s="8">
        <v>46285</v>
      </c>
      <c r="D4007" s="6">
        <v>46266</v>
      </c>
      <c r="E4007" s="2" t="s">
        <v>260</v>
      </c>
      <c r="F4007" s="2" t="s">
        <v>10867</v>
      </c>
      <c r="G4007" s="6">
        <v>46235</v>
      </c>
      <c r="H4007" s="2" t="s">
        <v>176</v>
      </c>
      <c r="I4007" s="2" t="s">
        <v>39</v>
      </c>
      <c r="J4007" s="9">
        <v>10833.744000000001</v>
      </c>
      <c r="K4007" s="7">
        <v>1</v>
      </c>
      <c r="L4007" s="9">
        <v>10833.74</v>
      </c>
      <c r="M4007" s="9">
        <v>10833.74</v>
      </c>
      <c r="N4007" s="9">
        <v>5.96</v>
      </c>
      <c r="O4007" s="10">
        <f>IF(AND(OR(H4007="APPROVED",H4007="SCHEDULED"),COUNTIFS(tblSource[EventID],F4007,tblSource[ReleaseStatus],"APPROVED")=1,COUNTIFS(Period_Status!$A$2:$A$8,G4007,Period_Status!$B$2:$B$8,"ActualClosed")=1,C4007&gt;EOMONTH(Settlement_Bridge!$C$2,0)),1,0)</f>
        <v>0</v>
      </c>
      <c r="P4007" s="2" t="s">
        <v>10870</v>
      </c>
    </row>
    <row r="4008" spans="1:16" x14ac:dyDescent="0.25">
      <c r="A4008" s="2" t="s">
        <v>10871</v>
      </c>
      <c r="B4008" s="2" t="s">
        <v>7433</v>
      </c>
      <c r="C4008" s="8">
        <v>46261</v>
      </c>
      <c r="D4008" s="6">
        <v>46235</v>
      </c>
      <c r="E4008" s="2" t="s">
        <v>260</v>
      </c>
      <c r="F4008" s="2" t="s">
        <v>10872</v>
      </c>
      <c r="G4008" s="6">
        <v>46235</v>
      </c>
      <c r="H4008" s="2" t="s">
        <v>71</v>
      </c>
      <c r="I4008" s="2" t="s">
        <v>76</v>
      </c>
      <c r="J4008" s="9">
        <v>119239414.634146</v>
      </c>
      <c r="K4008" s="7">
        <v>6.1500000000000004E-5</v>
      </c>
      <c r="L4008" s="9">
        <v>7333.22</v>
      </c>
      <c r="M4008" s="9">
        <v>7333.22</v>
      </c>
      <c r="N4008" s="9">
        <v>4.03</v>
      </c>
      <c r="O4008" s="10">
        <f>IF(AND(OR(H4008="APPROVED",H4008="SCHEDULED"),COUNTIFS(tblSource[EventID],F4008,tblSource[ReleaseStatus],"APPROVED")=1,COUNTIFS(Period_Status!$A$2:$A$8,G4008,Period_Status!$B$2:$B$8,"ActualClosed")=1,C4008&gt;EOMONTH(Settlement_Bridge!$C$2,0)),1,0)</f>
        <v>0</v>
      </c>
      <c r="P4008" s="2" t="s">
        <v>10873</v>
      </c>
    </row>
    <row r="4009" spans="1:16" x14ac:dyDescent="0.25">
      <c r="A4009" s="2" t="s">
        <v>10874</v>
      </c>
      <c r="B4009" s="2" t="s">
        <v>7433</v>
      </c>
      <c r="C4009" s="8">
        <v>46286</v>
      </c>
      <c r="D4009" s="6">
        <v>46266</v>
      </c>
      <c r="E4009" s="2" t="s">
        <v>260</v>
      </c>
      <c r="F4009" s="2" t="s">
        <v>10872</v>
      </c>
      <c r="G4009" s="6">
        <v>46235</v>
      </c>
      <c r="H4009" s="2" t="s">
        <v>176</v>
      </c>
      <c r="I4009" s="2" t="s">
        <v>76</v>
      </c>
      <c r="J4009" s="9">
        <v>178859121.95122001</v>
      </c>
      <c r="K4009" s="7">
        <v>6.1299999999999999E-5</v>
      </c>
      <c r="L4009" s="9">
        <v>10964.06</v>
      </c>
      <c r="M4009" s="9">
        <v>10999.84</v>
      </c>
      <c r="N4009" s="9">
        <v>6.03</v>
      </c>
      <c r="O4009" s="10">
        <f>IF(AND(OR(H4009="APPROVED",H4009="SCHEDULED"),COUNTIFS(tblSource[EventID],F4009,tblSource[ReleaseStatus],"APPROVED")=1,COUNTIFS(Period_Status!$A$2:$A$8,G4009,Period_Status!$B$2:$B$8,"ActualClosed")=1,C4009&gt;EOMONTH(Settlement_Bridge!$C$2,0)),1,0)</f>
        <v>0</v>
      </c>
      <c r="P4009" s="2" t="s">
        <v>10875</v>
      </c>
    </row>
    <row r="4010" spans="1:16" x14ac:dyDescent="0.25">
      <c r="A4010" s="2" t="s">
        <v>10876</v>
      </c>
      <c r="B4010" s="2" t="s">
        <v>7433</v>
      </c>
      <c r="C4010" s="8">
        <v>46262</v>
      </c>
      <c r="D4010" s="6">
        <v>46235</v>
      </c>
      <c r="E4010" s="2" t="s">
        <v>260</v>
      </c>
      <c r="F4010" s="2" t="s">
        <v>10877</v>
      </c>
      <c r="G4010" s="6">
        <v>46235</v>
      </c>
      <c r="H4010" s="2" t="s">
        <v>71</v>
      </c>
      <c r="I4010" s="2" t="s">
        <v>70</v>
      </c>
      <c r="J4010" s="9">
        <v>11452.227692</v>
      </c>
      <c r="K4010" s="7">
        <v>0.65</v>
      </c>
      <c r="L4010" s="9">
        <v>7443.95</v>
      </c>
      <c r="M4010" s="9">
        <v>7443.95</v>
      </c>
      <c r="N4010" s="9">
        <v>4.09</v>
      </c>
      <c r="O4010" s="10">
        <f>IF(AND(OR(H4010="APPROVED",H4010="SCHEDULED"),COUNTIFS(tblSource[EventID],F4010,tblSource[ReleaseStatus],"APPROVED")=1,COUNTIFS(Period_Status!$A$2:$A$8,G4010,Period_Status!$B$2:$B$8,"ActualClosed")=1,C4010&gt;EOMONTH(Settlement_Bridge!$C$2,0)),1,0)</f>
        <v>0</v>
      </c>
      <c r="P4010" s="2" t="s">
        <v>10878</v>
      </c>
    </row>
    <row r="4011" spans="1:16" x14ac:dyDescent="0.25">
      <c r="A4011" s="2" t="s">
        <v>10879</v>
      </c>
      <c r="B4011" s="2" t="s">
        <v>7433</v>
      </c>
      <c r="C4011" s="8">
        <v>46287</v>
      </c>
      <c r="D4011" s="6">
        <v>46266</v>
      </c>
      <c r="E4011" s="2" t="s">
        <v>260</v>
      </c>
      <c r="F4011" s="2" t="s">
        <v>10877</v>
      </c>
      <c r="G4011" s="6">
        <v>46235</v>
      </c>
      <c r="H4011" s="2" t="s">
        <v>176</v>
      </c>
      <c r="I4011" s="2" t="s">
        <v>70</v>
      </c>
      <c r="J4011" s="9">
        <v>17178.341539000001</v>
      </c>
      <c r="K4011" s="7">
        <v>0.65100000000000002</v>
      </c>
      <c r="L4011" s="9">
        <v>11183.1</v>
      </c>
      <c r="M4011" s="9">
        <v>11165.92</v>
      </c>
      <c r="N4011" s="9">
        <v>6.15</v>
      </c>
      <c r="O4011" s="10">
        <f>IF(AND(OR(H4011="APPROVED",H4011="SCHEDULED"),COUNTIFS(tblSource[EventID],F4011,tblSource[ReleaseStatus],"APPROVED")=1,COUNTIFS(Period_Status!$A$2:$A$8,G4011,Period_Status!$B$2:$B$8,"ActualClosed")=1,C4011&gt;EOMONTH(Settlement_Bridge!$C$2,0)),1,0)</f>
        <v>0</v>
      </c>
      <c r="P4011" s="2" t="s">
        <v>10880</v>
      </c>
    </row>
    <row r="4012" spans="1:16" x14ac:dyDescent="0.25">
      <c r="A4012" s="2" t="s">
        <v>10881</v>
      </c>
      <c r="B4012" s="2" t="s">
        <v>7433</v>
      </c>
      <c r="C4012" s="8">
        <v>46263</v>
      </c>
      <c r="D4012" s="6">
        <v>46235</v>
      </c>
      <c r="E4012" s="2" t="s">
        <v>260</v>
      </c>
      <c r="F4012" s="2" t="s">
        <v>10882</v>
      </c>
      <c r="G4012" s="6">
        <v>46235</v>
      </c>
      <c r="H4012" s="2" t="s">
        <v>71</v>
      </c>
      <c r="I4012" s="2" t="s">
        <v>39</v>
      </c>
      <c r="J4012" s="9">
        <v>-18886.689999999999</v>
      </c>
      <c r="K4012" s="7">
        <v>1</v>
      </c>
      <c r="L4012" s="9">
        <v>-18886.689999999999</v>
      </c>
      <c r="M4012" s="9">
        <v>-18886.689999999999</v>
      </c>
      <c r="N4012" s="9">
        <v>0</v>
      </c>
      <c r="O4012" s="10">
        <f>IF(AND(OR(H4012="APPROVED",H4012="SCHEDULED"),COUNTIFS(tblSource[EventID],F4012,tblSource[ReleaseStatus],"APPROVED")=1,COUNTIFS(Period_Status!$A$2:$A$8,G4012,Period_Status!$B$2:$B$8,"ActualClosed")=1,C4012&gt;EOMONTH(Settlement_Bridge!$C$2,0)),1,0)</f>
        <v>0</v>
      </c>
      <c r="P4012" s="2" t="s">
        <v>10883</v>
      </c>
    </row>
    <row r="4013" spans="1:16" x14ac:dyDescent="0.25">
      <c r="A4013" s="2" t="s">
        <v>10884</v>
      </c>
      <c r="B4013" s="2" t="s">
        <v>7433</v>
      </c>
      <c r="C4013" s="8">
        <v>46264</v>
      </c>
      <c r="D4013" s="6">
        <v>46235</v>
      </c>
      <c r="E4013" s="2" t="s">
        <v>260</v>
      </c>
      <c r="F4013" s="2" t="s">
        <v>10885</v>
      </c>
      <c r="G4013" s="6">
        <v>46235</v>
      </c>
      <c r="H4013" s="2" t="s">
        <v>71</v>
      </c>
      <c r="I4013" s="2" t="s">
        <v>76</v>
      </c>
      <c r="J4013" s="9">
        <v>124640650.40650401</v>
      </c>
      <c r="K4013" s="7">
        <v>6.1500000000000004E-5</v>
      </c>
      <c r="L4013" s="9">
        <v>7665.4</v>
      </c>
      <c r="M4013" s="9">
        <v>7665.4</v>
      </c>
      <c r="N4013" s="9">
        <v>4.22</v>
      </c>
      <c r="O4013" s="10">
        <f>IF(AND(OR(H4013="APPROVED",H4013="SCHEDULED"),COUNTIFS(tblSource[EventID],F4013,tblSource[ReleaseStatus],"APPROVED")=1,COUNTIFS(Period_Status!$A$2:$A$8,G4013,Period_Status!$B$2:$B$8,"ActualClosed")=1,C4013&gt;EOMONTH(Settlement_Bridge!$C$2,0)),1,0)</f>
        <v>0</v>
      </c>
      <c r="P4013" s="2" t="s">
        <v>10886</v>
      </c>
    </row>
    <row r="4014" spans="1:16" x14ac:dyDescent="0.25">
      <c r="A4014" s="2" t="s">
        <v>10887</v>
      </c>
      <c r="B4014" s="2" t="s">
        <v>7433</v>
      </c>
      <c r="C4014" s="8">
        <v>46289</v>
      </c>
      <c r="D4014" s="6">
        <v>46266</v>
      </c>
      <c r="E4014" s="2" t="s">
        <v>260</v>
      </c>
      <c r="F4014" s="2" t="s">
        <v>10885</v>
      </c>
      <c r="G4014" s="6">
        <v>46235</v>
      </c>
      <c r="H4014" s="2" t="s">
        <v>176</v>
      </c>
      <c r="I4014" s="2" t="s">
        <v>76</v>
      </c>
      <c r="J4014" s="9">
        <v>186960975.60975599</v>
      </c>
      <c r="K4014" s="7">
        <v>6.1299999999999999E-5</v>
      </c>
      <c r="L4014" s="9">
        <v>11460.71</v>
      </c>
      <c r="M4014" s="9">
        <v>11498.1</v>
      </c>
      <c r="N4014" s="9">
        <v>6.3</v>
      </c>
      <c r="O4014" s="10">
        <f>IF(AND(OR(H4014="APPROVED",H4014="SCHEDULED"),COUNTIFS(tblSource[EventID],F4014,tblSource[ReleaseStatus],"APPROVED")=1,COUNTIFS(Period_Status!$A$2:$A$8,G4014,Period_Status!$B$2:$B$8,"ActualClosed")=1,C4014&gt;EOMONTH(Settlement_Bridge!$C$2,0)),1,0)</f>
        <v>0</v>
      </c>
      <c r="P4014" s="2" t="s">
        <v>10888</v>
      </c>
    </row>
    <row r="4015" spans="1:16" x14ac:dyDescent="0.25">
      <c r="A4015" s="2" t="s">
        <v>10889</v>
      </c>
      <c r="B4015" s="2" t="s">
        <v>7433</v>
      </c>
      <c r="C4015" s="8">
        <v>46265</v>
      </c>
      <c r="D4015" s="6">
        <v>46235</v>
      </c>
      <c r="E4015" s="2" t="s">
        <v>260</v>
      </c>
      <c r="F4015" s="2" t="s">
        <v>10890</v>
      </c>
      <c r="G4015" s="6">
        <v>46235</v>
      </c>
      <c r="H4015" s="2" t="s">
        <v>71</v>
      </c>
      <c r="I4015" s="2" t="s">
        <v>70</v>
      </c>
      <c r="J4015" s="9">
        <v>11963.273846</v>
      </c>
      <c r="K4015" s="7">
        <v>0.65</v>
      </c>
      <c r="L4015" s="9">
        <v>7776.13</v>
      </c>
      <c r="M4015" s="9">
        <v>7776.13</v>
      </c>
      <c r="N4015" s="9">
        <v>4.28</v>
      </c>
      <c r="O4015" s="10">
        <f>IF(AND(OR(H4015="APPROVED",H4015="SCHEDULED"),COUNTIFS(tblSource[EventID],F4015,tblSource[ReleaseStatus],"APPROVED")=1,COUNTIFS(Period_Status!$A$2:$A$8,G4015,Period_Status!$B$2:$B$8,"ActualClosed")=1,C4015&gt;EOMONTH(Settlement_Bridge!$C$2,0)),1,0)</f>
        <v>0</v>
      </c>
      <c r="P4015" s="2" t="s">
        <v>10891</v>
      </c>
    </row>
    <row r="4016" spans="1:16" x14ac:dyDescent="0.25">
      <c r="A4016" s="2" t="s">
        <v>10892</v>
      </c>
      <c r="B4016" s="2" t="s">
        <v>7433</v>
      </c>
      <c r="C4016" s="8">
        <v>46290</v>
      </c>
      <c r="D4016" s="6">
        <v>46266</v>
      </c>
      <c r="E4016" s="2" t="s">
        <v>260</v>
      </c>
      <c r="F4016" s="2" t="s">
        <v>10890</v>
      </c>
      <c r="G4016" s="6">
        <v>46235</v>
      </c>
      <c r="H4016" s="2" t="s">
        <v>176</v>
      </c>
      <c r="I4016" s="2" t="s">
        <v>70</v>
      </c>
      <c r="J4016" s="9">
        <v>17944.910768999998</v>
      </c>
      <c r="K4016" s="7">
        <v>0.65100000000000002</v>
      </c>
      <c r="L4016" s="9">
        <v>11682.14</v>
      </c>
      <c r="M4016" s="9">
        <v>11664.19</v>
      </c>
      <c r="N4016" s="9">
        <v>6.43</v>
      </c>
      <c r="O4016" s="10">
        <f>IF(AND(OR(H4016="APPROVED",H4016="SCHEDULED"),COUNTIFS(tblSource[EventID],F4016,tblSource[ReleaseStatus],"APPROVED")=1,COUNTIFS(Period_Status!$A$2:$A$8,G4016,Period_Status!$B$2:$B$8,"ActualClosed")=1,C4016&gt;EOMONTH(Settlement_Bridge!$C$2,0)),1,0)</f>
        <v>0</v>
      </c>
      <c r="P4016" s="2" t="s">
        <v>10893</v>
      </c>
    </row>
    <row r="4017" spans="1:16" x14ac:dyDescent="0.25">
      <c r="A4017" s="2" t="s">
        <v>10894</v>
      </c>
      <c r="B4017" s="2" t="s">
        <v>7433</v>
      </c>
      <c r="C4017" s="8">
        <v>46266</v>
      </c>
      <c r="D4017" s="6">
        <v>46266</v>
      </c>
      <c r="E4017" s="2" t="s">
        <v>260</v>
      </c>
      <c r="F4017" s="2" t="s">
        <v>10895</v>
      </c>
      <c r="G4017" s="6">
        <v>46235</v>
      </c>
      <c r="H4017" s="2" t="s">
        <v>176</v>
      </c>
      <c r="I4017" s="2" t="s">
        <v>39</v>
      </c>
      <c r="J4017" s="9">
        <v>7886.8559999999998</v>
      </c>
      <c r="K4017" s="7">
        <v>1</v>
      </c>
      <c r="L4017" s="9">
        <v>7886.86</v>
      </c>
      <c r="M4017" s="9">
        <v>7886.86</v>
      </c>
      <c r="N4017" s="9">
        <v>4.34</v>
      </c>
      <c r="O4017" s="10">
        <f>IF(AND(OR(H4017="APPROVED",H4017="SCHEDULED"),COUNTIFS(tblSource[EventID],F4017,tblSource[ReleaseStatus],"APPROVED")=1,COUNTIFS(Period_Status!$A$2:$A$8,G4017,Period_Status!$B$2:$B$8,"ActualClosed")=1,C4017&gt;EOMONTH(Settlement_Bridge!$C$2,0)),1,0)</f>
        <v>0</v>
      </c>
      <c r="P4017" s="2" t="s">
        <v>10896</v>
      </c>
    </row>
    <row r="4018" spans="1:16" x14ac:dyDescent="0.25">
      <c r="A4018" s="2" t="s">
        <v>10897</v>
      </c>
      <c r="B4018" s="2" t="s">
        <v>7433</v>
      </c>
      <c r="C4018" s="8">
        <v>46291</v>
      </c>
      <c r="D4018" s="6">
        <v>46266</v>
      </c>
      <c r="E4018" s="2" t="s">
        <v>260</v>
      </c>
      <c r="F4018" s="2" t="s">
        <v>10895</v>
      </c>
      <c r="G4018" s="6">
        <v>46235</v>
      </c>
      <c r="H4018" s="2" t="s">
        <v>176</v>
      </c>
      <c r="I4018" s="2" t="s">
        <v>39</v>
      </c>
      <c r="J4018" s="9">
        <v>11830.284</v>
      </c>
      <c r="K4018" s="7">
        <v>1</v>
      </c>
      <c r="L4018" s="9">
        <v>11830.28</v>
      </c>
      <c r="M4018" s="9">
        <v>11830.28</v>
      </c>
      <c r="N4018" s="9">
        <v>6.51</v>
      </c>
      <c r="O4018" s="10">
        <f>IF(AND(OR(H4018="APPROVED",H4018="SCHEDULED"),COUNTIFS(tblSource[EventID],F4018,tblSource[ReleaseStatus],"APPROVED")=1,COUNTIFS(Period_Status!$A$2:$A$8,G4018,Period_Status!$B$2:$B$8,"ActualClosed")=1,C4018&gt;EOMONTH(Settlement_Bridge!$C$2,0)),1,0)</f>
        <v>0</v>
      </c>
      <c r="P4018" s="2" t="s">
        <v>10898</v>
      </c>
    </row>
    <row r="4019" spans="1:16" x14ac:dyDescent="0.25">
      <c r="A4019" s="2" t="s">
        <v>10899</v>
      </c>
      <c r="B4019" s="2" t="s">
        <v>7433</v>
      </c>
      <c r="C4019" s="8">
        <v>46267</v>
      </c>
      <c r="D4019" s="6">
        <v>46266</v>
      </c>
      <c r="E4019" s="2" t="s">
        <v>260</v>
      </c>
      <c r="F4019" s="2" t="s">
        <v>10900</v>
      </c>
      <c r="G4019" s="6">
        <v>46235</v>
      </c>
      <c r="H4019" s="2" t="s">
        <v>176</v>
      </c>
      <c r="I4019" s="2" t="s">
        <v>76</v>
      </c>
      <c r="J4019" s="9">
        <v>130041951.219512</v>
      </c>
      <c r="K4019" s="7">
        <v>6.1299999999999999E-5</v>
      </c>
      <c r="L4019" s="9">
        <v>7971.57</v>
      </c>
      <c r="M4019" s="9">
        <v>7997.58</v>
      </c>
      <c r="N4019" s="9">
        <v>4.38</v>
      </c>
      <c r="O4019" s="10">
        <f>IF(AND(OR(H4019="APPROVED",H4019="SCHEDULED"),COUNTIFS(tblSource[EventID],F4019,tblSource[ReleaseStatus],"APPROVED")=1,COUNTIFS(Period_Status!$A$2:$A$8,G4019,Period_Status!$B$2:$B$8,"ActualClosed")=1,C4019&gt;EOMONTH(Settlement_Bridge!$C$2,0)),1,0)</f>
        <v>0</v>
      </c>
      <c r="P4019" s="2" t="s">
        <v>10901</v>
      </c>
    </row>
    <row r="4020" spans="1:16" x14ac:dyDescent="0.25">
      <c r="A4020" s="2" t="s">
        <v>10902</v>
      </c>
      <c r="B4020" s="2" t="s">
        <v>7433</v>
      </c>
      <c r="C4020" s="8">
        <v>46292</v>
      </c>
      <c r="D4020" s="6">
        <v>46266</v>
      </c>
      <c r="E4020" s="2" t="s">
        <v>260</v>
      </c>
      <c r="F4020" s="2" t="s">
        <v>10900</v>
      </c>
      <c r="G4020" s="6">
        <v>46235</v>
      </c>
      <c r="H4020" s="2" t="s">
        <v>176</v>
      </c>
      <c r="I4020" s="2" t="s">
        <v>76</v>
      </c>
      <c r="J4020" s="9">
        <v>195062926.82926899</v>
      </c>
      <c r="K4020" s="7">
        <v>6.1299999999999999E-5</v>
      </c>
      <c r="L4020" s="9">
        <v>11957.36</v>
      </c>
      <c r="M4020" s="9">
        <v>11996.37</v>
      </c>
      <c r="N4020" s="9">
        <v>6.58</v>
      </c>
      <c r="O4020" s="10">
        <f>IF(AND(OR(H4020="APPROVED",H4020="SCHEDULED"),COUNTIFS(tblSource[EventID],F4020,tblSource[ReleaseStatus],"APPROVED")=1,COUNTIFS(Period_Status!$A$2:$A$8,G4020,Period_Status!$B$2:$B$8,"ActualClosed")=1,C4020&gt;EOMONTH(Settlement_Bridge!$C$2,0)),1,0)</f>
        <v>0</v>
      </c>
      <c r="P4020" s="2" t="s">
        <v>10903</v>
      </c>
    </row>
    <row r="4021" spans="1:16" x14ac:dyDescent="0.25">
      <c r="A4021" s="2" t="s">
        <v>10904</v>
      </c>
      <c r="B4021" s="2" t="s">
        <v>7433</v>
      </c>
      <c r="C4021" s="8">
        <v>46268</v>
      </c>
      <c r="D4021" s="6">
        <v>46266</v>
      </c>
      <c r="E4021" s="2" t="s">
        <v>260</v>
      </c>
      <c r="F4021" s="2" t="s">
        <v>10905</v>
      </c>
      <c r="G4021" s="6">
        <v>46235</v>
      </c>
      <c r="H4021" s="2" t="s">
        <v>176</v>
      </c>
      <c r="I4021" s="2" t="s">
        <v>70</v>
      </c>
      <c r="J4021" s="9">
        <v>12474.32</v>
      </c>
      <c r="K4021" s="7">
        <v>0.65100000000000002</v>
      </c>
      <c r="L4021" s="9">
        <v>8120.78</v>
      </c>
      <c r="M4021" s="9">
        <v>8108.31</v>
      </c>
      <c r="N4021" s="9">
        <v>4.47</v>
      </c>
      <c r="O4021" s="10">
        <f>IF(AND(OR(H4021="APPROVED",H4021="SCHEDULED"),COUNTIFS(tblSource[EventID],F4021,tblSource[ReleaseStatus],"APPROVED")=1,COUNTIFS(Period_Status!$A$2:$A$8,G4021,Period_Status!$B$2:$B$8,"ActualClosed")=1,C4021&gt;EOMONTH(Settlement_Bridge!$C$2,0)),1,0)</f>
        <v>0</v>
      </c>
      <c r="P4021" s="2" t="s">
        <v>10906</v>
      </c>
    </row>
    <row r="4022" spans="1:16" x14ac:dyDescent="0.25">
      <c r="A4022" s="2" t="s">
        <v>10907</v>
      </c>
      <c r="B4022" s="2" t="s">
        <v>7433</v>
      </c>
      <c r="C4022" s="8">
        <v>46293</v>
      </c>
      <c r="D4022" s="6">
        <v>46266</v>
      </c>
      <c r="E4022" s="2" t="s">
        <v>260</v>
      </c>
      <c r="F4022" s="2" t="s">
        <v>10905</v>
      </c>
      <c r="G4022" s="6">
        <v>46235</v>
      </c>
      <c r="H4022" s="2" t="s">
        <v>176</v>
      </c>
      <c r="I4022" s="2" t="s">
        <v>70</v>
      </c>
      <c r="J4022" s="9">
        <v>18711.48</v>
      </c>
      <c r="K4022" s="7">
        <v>0.65100000000000002</v>
      </c>
      <c r="L4022" s="9">
        <v>12181.17</v>
      </c>
      <c r="M4022" s="9">
        <v>12162.46</v>
      </c>
      <c r="N4022" s="9">
        <v>6.7</v>
      </c>
      <c r="O4022" s="10">
        <f>IF(AND(OR(H4022="APPROVED",H4022="SCHEDULED"),COUNTIFS(tblSource[EventID],F4022,tblSource[ReleaseStatus],"APPROVED")=1,COUNTIFS(Period_Status!$A$2:$A$8,G4022,Period_Status!$B$2:$B$8,"ActualClosed")=1,C4022&gt;EOMONTH(Settlement_Bridge!$C$2,0)),1,0)</f>
        <v>0</v>
      </c>
      <c r="P4022" s="2" t="s">
        <v>10908</v>
      </c>
    </row>
    <row r="4023" spans="1:16" x14ac:dyDescent="0.25">
      <c r="A4023" s="2" t="s">
        <v>10909</v>
      </c>
      <c r="B4023" s="2" t="s">
        <v>7433</v>
      </c>
      <c r="C4023" s="8">
        <v>46269</v>
      </c>
      <c r="D4023" s="6">
        <v>46266</v>
      </c>
      <c r="E4023" s="2" t="s">
        <v>260</v>
      </c>
      <c r="F4023" s="2" t="s">
        <v>10910</v>
      </c>
      <c r="G4023" s="6">
        <v>46235</v>
      </c>
      <c r="H4023" s="2" t="s">
        <v>176</v>
      </c>
      <c r="I4023" s="2" t="s">
        <v>39</v>
      </c>
      <c r="J4023" s="9">
        <v>8219.0319999999992</v>
      </c>
      <c r="K4023" s="7">
        <v>1</v>
      </c>
      <c r="L4023" s="9">
        <v>8219.0300000000007</v>
      </c>
      <c r="M4023" s="9">
        <v>8219.0300000000007</v>
      </c>
      <c r="N4023" s="9">
        <v>4.5199999999999996</v>
      </c>
      <c r="O4023" s="10">
        <f>IF(AND(OR(H4023="APPROVED",H4023="SCHEDULED"),COUNTIFS(tblSource[EventID],F4023,tblSource[ReleaseStatus],"APPROVED")=1,COUNTIFS(Period_Status!$A$2:$A$8,G4023,Period_Status!$B$2:$B$8,"ActualClosed")=1,C4023&gt;EOMONTH(Settlement_Bridge!$C$2,0)),1,0)</f>
        <v>0</v>
      </c>
      <c r="P4023" s="2" t="s">
        <v>10911</v>
      </c>
    </row>
    <row r="4024" spans="1:16" x14ac:dyDescent="0.25">
      <c r="A4024" s="2" t="s">
        <v>10912</v>
      </c>
      <c r="B4024" s="2" t="s">
        <v>7433</v>
      </c>
      <c r="C4024" s="8">
        <v>46294</v>
      </c>
      <c r="D4024" s="6">
        <v>46266</v>
      </c>
      <c r="E4024" s="2" t="s">
        <v>260</v>
      </c>
      <c r="F4024" s="2" t="s">
        <v>10910</v>
      </c>
      <c r="G4024" s="6">
        <v>46235</v>
      </c>
      <c r="H4024" s="2" t="s">
        <v>176</v>
      </c>
      <c r="I4024" s="2" t="s">
        <v>39</v>
      </c>
      <c r="J4024" s="9">
        <v>12328.548000000001</v>
      </c>
      <c r="K4024" s="7">
        <v>1</v>
      </c>
      <c r="L4024" s="9">
        <v>12328.55</v>
      </c>
      <c r="M4024" s="9">
        <v>12328.55</v>
      </c>
      <c r="N4024" s="9">
        <v>6.78</v>
      </c>
      <c r="O4024" s="10">
        <f>IF(AND(OR(H4024="APPROVED",H4024="SCHEDULED"),COUNTIFS(tblSource[EventID],F4024,tblSource[ReleaseStatus],"APPROVED")=1,COUNTIFS(Period_Status!$A$2:$A$8,G4024,Period_Status!$B$2:$B$8,"ActualClosed")=1,C4024&gt;EOMONTH(Settlement_Bridge!$C$2,0)),1,0)</f>
        <v>0</v>
      </c>
      <c r="P4024" s="2" t="s">
        <v>10913</v>
      </c>
    </row>
    <row r="4025" spans="1:16" x14ac:dyDescent="0.25">
      <c r="A4025" s="2" t="s">
        <v>10914</v>
      </c>
      <c r="B4025" s="2" t="s">
        <v>7433</v>
      </c>
      <c r="C4025" s="8">
        <v>46270</v>
      </c>
      <c r="D4025" s="6">
        <v>46266</v>
      </c>
      <c r="E4025" s="2" t="s">
        <v>260</v>
      </c>
      <c r="F4025" s="2" t="s">
        <v>10915</v>
      </c>
      <c r="G4025" s="6">
        <v>46235</v>
      </c>
      <c r="H4025" s="2" t="s">
        <v>176</v>
      </c>
      <c r="I4025" s="2" t="s">
        <v>76</v>
      </c>
      <c r="J4025" s="9">
        <v>135443252.03252</v>
      </c>
      <c r="K4025" s="7">
        <v>6.1299999999999999E-5</v>
      </c>
      <c r="L4025" s="9">
        <v>8302.67</v>
      </c>
      <c r="M4025" s="9">
        <v>8329.76</v>
      </c>
      <c r="N4025" s="9">
        <v>4.57</v>
      </c>
      <c r="O4025" s="10">
        <f>IF(AND(OR(H4025="APPROVED",H4025="SCHEDULED"),COUNTIFS(tblSource[EventID],F4025,tblSource[ReleaseStatus],"APPROVED")=1,COUNTIFS(Period_Status!$A$2:$A$8,G4025,Period_Status!$B$2:$B$8,"ActualClosed")=1,C4025&gt;EOMONTH(Settlement_Bridge!$C$2,0)),1,0)</f>
        <v>0</v>
      </c>
      <c r="P4025" s="2" t="s">
        <v>10916</v>
      </c>
    </row>
    <row r="4026" spans="1:16" x14ac:dyDescent="0.25">
      <c r="A4026" s="2" t="s">
        <v>10917</v>
      </c>
      <c r="B4026" s="2" t="s">
        <v>7433</v>
      </c>
      <c r="C4026" s="8">
        <v>46295</v>
      </c>
      <c r="D4026" s="6">
        <v>46266</v>
      </c>
      <c r="E4026" s="2" t="s">
        <v>260</v>
      </c>
      <c r="F4026" s="2" t="s">
        <v>10915</v>
      </c>
      <c r="G4026" s="6">
        <v>46235</v>
      </c>
      <c r="H4026" s="2" t="s">
        <v>176</v>
      </c>
      <c r="I4026" s="2" t="s">
        <v>76</v>
      </c>
      <c r="J4026" s="9">
        <v>203164878.04878101</v>
      </c>
      <c r="K4026" s="7">
        <v>6.1299999999999999E-5</v>
      </c>
      <c r="L4026" s="9">
        <v>12454.01</v>
      </c>
      <c r="M4026" s="9">
        <v>12494.64</v>
      </c>
      <c r="N4026" s="9">
        <v>6.85</v>
      </c>
      <c r="O4026" s="10">
        <f>IF(AND(OR(H4026="APPROVED",H4026="SCHEDULED"),COUNTIFS(tblSource[EventID],F4026,tblSource[ReleaseStatus],"APPROVED")=1,COUNTIFS(Period_Status!$A$2:$A$8,G4026,Period_Status!$B$2:$B$8,"ActualClosed")=1,C4026&gt;EOMONTH(Settlement_Bridge!$C$2,0)),1,0)</f>
        <v>0</v>
      </c>
      <c r="P4026" s="2" t="s">
        <v>10918</v>
      </c>
    </row>
    <row r="4027" spans="1:16" x14ac:dyDescent="0.25">
      <c r="A4027" s="2" t="s">
        <v>10919</v>
      </c>
      <c r="B4027" s="2" t="s">
        <v>7433</v>
      </c>
      <c r="C4027" s="8">
        <v>46271</v>
      </c>
      <c r="D4027" s="6">
        <v>46266</v>
      </c>
      <c r="E4027" s="2" t="s">
        <v>260</v>
      </c>
      <c r="F4027" s="2" t="s">
        <v>10920</v>
      </c>
      <c r="G4027" s="6">
        <v>46235</v>
      </c>
      <c r="H4027" s="2" t="s">
        <v>176</v>
      </c>
      <c r="I4027" s="2" t="s">
        <v>70</v>
      </c>
      <c r="J4027" s="9">
        <v>12985.366153999999</v>
      </c>
      <c r="K4027" s="7">
        <v>0.65100000000000002</v>
      </c>
      <c r="L4027" s="9">
        <v>8453.4699999999993</v>
      </c>
      <c r="M4027" s="9">
        <v>8440.49</v>
      </c>
      <c r="N4027" s="9">
        <v>4.6500000000000004</v>
      </c>
      <c r="O4027" s="10">
        <f>IF(AND(OR(H4027="APPROVED",H4027="SCHEDULED"),COUNTIFS(tblSource[EventID],F4027,tblSource[ReleaseStatus],"APPROVED")=1,COUNTIFS(Period_Status!$A$2:$A$8,G4027,Period_Status!$B$2:$B$8,"ActualClosed")=1,C4027&gt;EOMONTH(Settlement_Bridge!$C$2,0)),1,0)</f>
        <v>0</v>
      </c>
      <c r="P4027" s="2" t="s">
        <v>10921</v>
      </c>
    </row>
    <row r="4028" spans="1:16" x14ac:dyDescent="0.25">
      <c r="A4028" s="2" t="s">
        <v>10922</v>
      </c>
      <c r="B4028" s="2" t="s">
        <v>7433</v>
      </c>
      <c r="C4028" s="8">
        <v>46296</v>
      </c>
      <c r="D4028" s="6">
        <v>46296</v>
      </c>
      <c r="E4028" s="2" t="s">
        <v>260</v>
      </c>
      <c r="F4028" s="2" t="s">
        <v>10920</v>
      </c>
      <c r="G4028" s="6">
        <v>46235</v>
      </c>
      <c r="H4028" s="2" t="s">
        <v>176</v>
      </c>
      <c r="I4028" s="2" t="s">
        <v>70</v>
      </c>
      <c r="J4028" s="9">
        <v>19478.049231000001</v>
      </c>
      <c r="K4028" s="7">
        <v>0.65500000000000003</v>
      </c>
      <c r="L4028" s="9">
        <v>12758.12</v>
      </c>
      <c r="M4028" s="9">
        <v>12660.73</v>
      </c>
      <c r="N4028" s="9">
        <v>7.02</v>
      </c>
      <c r="O4028" s="10">
        <f>IF(AND(OR(H4028="APPROVED",H4028="SCHEDULED"),COUNTIFS(tblSource[EventID],F4028,tblSource[ReleaseStatus],"APPROVED")=1,COUNTIFS(Period_Status!$A$2:$A$8,G4028,Period_Status!$B$2:$B$8,"ActualClosed")=1,C4028&gt;EOMONTH(Settlement_Bridge!$C$2,0)),1,0)</f>
        <v>0</v>
      </c>
      <c r="P4028" s="2" t="s">
        <v>10923</v>
      </c>
    </row>
    <row r="4029" spans="1:16" x14ac:dyDescent="0.25">
      <c r="A4029" s="2" t="s">
        <v>10924</v>
      </c>
      <c r="B4029" s="2" t="s">
        <v>7433</v>
      </c>
      <c r="C4029" s="8">
        <v>46272</v>
      </c>
      <c r="D4029" s="6">
        <v>46266</v>
      </c>
      <c r="E4029" s="2" t="s">
        <v>260</v>
      </c>
      <c r="F4029" s="2" t="s">
        <v>10925</v>
      </c>
      <c r="G4029" s="6">
        <v>46235</v>
      </c>
      <c r="H4029" s="2" t="s">
        <v>176</v>
      </c>
      <c r="I4029" s="2" t="s">
        <v>39</v>
      </c>
      <c r="J4029" s="9">
        <v>8551.2119999999995</v>
      </c>
      <c r="K4029" s="7">
        <v>1</v>
      </c>
      <c r="L4029" s="9">
        <v>8551.2099999999991</v>
      </c>
      <c r="M4029" s="9">
        <v>8551.2099999999991</v>
      </c>
      <c r="N4029" s="9">
        <v>4.7</v>
      </c>
      <c r="O4029" s="10">
        <f>IF(AND(OR(H4029="APPROVED",H4029="SCHEDULED"),COUNTIFS(tblSource[EventID],F4029,tblSource[ReleaseStatus],"APPROVED")=1,COUNTIFS(Period_Status!$A$2:$A$8,G4029,Period_Status!$B$2:$B$8,"ActualClosed")=1,C4029&gt;EOMONTH(Settlement_Bridge!$C$2,0)),1,0)</f>
        <v>0</v>
      </c>
      <c r="P4029" s="2" t="s">
        <v>10926</v>
      </c>
    </row>
    <row r="4030" spans="1:16" x14ac:dyDescent="0.25">
      <c r="A4030" s="2" t="s">
        <v>10927</v>
      </c>
      <c r="B4030" s="2" t="s">
        <v>7433</v>
      </c>
      <c r="C4030" s="8">
        <v>46297</v>
      </c>
      <c r="D4030" s="6">
        <v>46296</v>
      </c>
      <c r="E4030" s="2" t="s">
        <v>260</v>
      </c>
      <c r="F4030" s="2" t="s">
        <v>10925</v>
      </c>
      <c r="G4030" s="6">
        <v>46235</v>
      </c>
      <c r="H4030" s="2" t="s">
        <v>176</v>
      </c>
      <c r="I4030" s="2" t="s">
        <v>39</v>
      </c>
      <c r="J4030" s="9">
        <v>12826.817999999999</v>
      </c>
      <c r="K4030" s="7">
        <v>1</v>
      </c>
      <c r="L4030" s="9">
        <v>12826.82</v>
      </c>
      <c r="M4030" s="9">
        <v>12826.82</v>
      </c>
      <c r="N4030" s="9">
        <v>7.05</v>
      </c>
      <c r="O4030" s="10">
        <f>IF(AND(OR(H4030="APPROVED",H4030="SCHEDULED"),COUNTIFS(tblSource[EventID],F4030,tblSource[ReleaseStatus],"APPROVED")=1,COUNTIFS(Period_Status!$A$2:$A$8,G4030,Period_Status!$B$2:$B$8,"ActualClosed")=1,C4030&gt;EOMONTH(Settlement_Bridge!$C$2,0)),1,0)</f>
        <v>0</v>
      </c>
      <c r="P4030" s="2" t="s">
        <v>10928</v>
      </c>
    </row>
    <row r="4031" spans="1:16" x14ac:dyDescent="0.25">
      <c r="A4031" s="2" t="s">
        <v>10929</v>
      </c>
      <c r="B4031" s="2" t="s">
        <v>7433</v>
      </c>
      <c r="C4031" s="8">
        <v>46273</v>
      </c>
      <c r="D4031" s="6">
        <v>46266</v>
      </c>
      <c r="E4031" s="2" t="s">
        <v>260</v>
      </c>
      <c r="F4031" s="2" t="s">
        <v>10930</v>
      </c>
      <c r="G4031" s="6">
        <v>46235</v>
      </c>
      <c r="H4031" s="2" t="s">
        <v>176</v>
      </c>
      <c r="I4031" s="2" t="s">
        <v>76</v>
      </c>
      <c r="J4031" s="9">
        <v>140844552.84552801</v>
      </c>
      <c r="K4031" s="7">
        <v>6.1299999999999999E-5</v>
      </c>
      <c r="L4031" s="9">
        <v>8633.77</v>
      </c>
      <c r="M4031" s="9">
        <v>8661.94</v>
      </c>
      <c r="N4031" s="9">
        <v>4.75</v>
      </c>
      <c r="O4031" s="10">
        <f>IF(AND(OR(H4031="APPROVED",H4031="SCHEDULED"),COUNTIFS(tblSource[EventID],F4031,tblSource[ReleaseStatus],"APPROVED")=1,COUNTIFS(Period_Status!$A$2:$A$8,G4031,Period_Status!$B$2:$B$8,"ActualClosed")=1,C4031&gt;EOMONTH(Settlement_Bridge!$C$2,0)),1,0)</f>
        <v>0</v>
      </c>
      <c r="P4031" s="2" t="s">
        <v>10931</v>
      </c>
    </row>
    <row r="4032" spans="1:16" x14ac:dyDescent="0.25">
      <c r="A4032" s="2" t="s">
        <v>10932</v>
      </c>
      <c r="B4032" s="2" t="s">
        <v>7433</v>
      </c>
      <c r="C4032" s="8">
        <v>46298</v>
      </c>
      <c r="D4032" s="6">
        <v>46296</v>
      </c>
      <c r="E4032" s="2" t="s">
        <v>260</v>
      </c>
      <c r="F4032" s="2" t="s">
        <v>10930</v>
      </c>
      <c r="G4032" s="6">
        <v>46235</v>
      </c>
      <c r="H4032" s="2" t="s">
        <v>176</v>
      </c>
      <c r="I4032" s="2" t="s">
        <v>76</v>
      </c>
      <c r="J4032" s="9">
        <v>211266829.26829299</v>
      </c>
      <c r="K4032" s="7">
        <v>6.1099999999999994E-5</v>
      </c>
      <c r="L4032" s="9">
        <v>12908.4</v>
      </c>
      <c r="M4032" s="9">
        <v>12992.91</v>
      </c>
      <c r="N4032" s="9">
        <v>7.1</v>
      </c>
      <c r="O4032" s="10">
        <f>IF(AND(OR(H4032="APPROVED",H4032="SCHEDULED"),COUNTIFS(tblSource[EventID],F4032,tblSource[ReleaseStatus],"APPROVED")=1,COUNTIFS(Period_Status!$A$2:$A$8,G4032,Period_Status!$B$2:$B$8,"ActualClosed")=1,C4032&gt;EOMONTH(Settlement_Bridge!$C$2,0)),1,0)</f>
        <v>0</v>
      </c>
      <c r="P4032" s="2" t="s">
        <v>10933</v>
      </c>
    </row>
    <row r="4033" spans="1:16" x14ac:dyDescent="0.25">
      <c r="A4033" s="2" t="s">
        <v>10934</v>
      </c>
      <c r="B4033" s="2" t="s">
        <v>7433</v>
      </c>
      <c r="C4033" s="8">
        <v>46274</v>
      </c>
      <c r="D4033" s="6">
        <v>46266</v>
      </c>
      <c r="E4033" s="2" t="s">
        <v>260</v>
      </c>
      <c r="F4033" s="2" t="s">
        <v>10935</v>
      </c>
      <c r="G4033" s="6">
        <v>46235</v>
      </c>
      <c r="H4033" s="2" t="s">
        <v>176</v>
      </c>
      <c r="I4033" s="2" t="s">
        <v>70</v>
      </c>
      <c r="J4033" s="9">
        <v>13496.406154</v>
      </c>
      <c r="K4033" s="7">
        <v>0.65100000000000002</v>
      </c>
      <c r="L4033" s="9">
        <v>8786.16</v>
      </c>
      <c r="M4033" s="9">
        <v>8772.66</v>
      </c>
      <c r="N4033" s="9">
        <v>4.83</v>
      </c>
      <c r="O4033" s="10">
        <f>IF(AND(OR(H4033="APPROVED",H4033="SCHEDULED"),COUNTIFS(tblSource[EventID],F4033,tblSource[ReleaseStatus],"APPROVED")=1,COUNTIFS(Period_Status!$A$2:$A$8,G4033,Period_Status!$B$2:$B$8,"ActualClosed")=1,C4033&gt;EOMONTH(Settlement_Bridge!$C$2,0)),1,0)</f>
        <v>0</v>
      </c>
      <c r="P4033" s="2" t="s">
        <v>10936</v>
      </c>
    </row>
    <row r="4034" spans="1:16" x14ac:dyDescent="0.25">
      <c r="A4034" s="2" t="s">
        <v>10937</v>
      </c>
      <c r="B4034" s="2" t="s">
        <v>7433</v>
      </c>
      <c r="C4034" s="8">
        <v>46299</v>
      </c>
      <c r="D4034" s="6">
        <v>46296</v>
      </c>
      <c r="E4034" s="2" t="s">
        <v>260</v>
      </c>
      <c r="F4034" s="2" t="s">
        <v>10935</v>
      </c>
      <c r="G4034" s="6">
        <v>46235</v>
      </c>
      <c r="H4034" s="2" t="s">
        <v>176</v>
      </c>
      <c r="I4034" s="2" t="s">
        <v>70</v>
      </c>
      <c r="J4034" s="9">
        <v>20244.609230999999</v>
      </c>
      <c r="K4034" s="7">
        <v>0.65500000000000003</v>
      </c>
      <c r="L4034" s="9">
        <v>13260.22</v>
      </c>
      <c r="M4034" s="9">
        <v>13159</v>
      </c>
      <c r="N4034" s="9">
        <v>7.29</v>
      </c>
      <c r="O4034" s="10">
        <f>IF(AND(OR(H4034="APPROVED",H4034="SCHEDULED"),COUNTIFS(tblSource[EventID],F4034,tblSource[ReleaseStatus],"APPROVED")=1,COUNTIFS(Period_Status!$A$2:$A$8,G4034,Period_Status!$B$2:$B$8,"ActualClosed")=1,C4034&gt;EOMONTH(Settlement_Bridge!$C$2,0)),1,0)</f>
        <v>0</v>
      </c>
      <c r="P4034" s="2" t="s">
        <v>10938</v>
      </c>
    </row>
    <row r="4035" spans="1:16" x14ac:dyDescent="0.25">
      <c r="A4035" s="2" t="s">
        <v>10939</v>
      </c>
      <c r="B4035" s="2" t="s">
        <v>7433</v>
      </c>
      <c r="C4035" s="8">
        <v>46275</v>
      </c>
      <c r="D4035" s="6">
        <v>46266</v>
      </c>
      <c r="E4035" s="2" t="s">
        <v>260</v>
      </c>
      <c r="F4035" s="2" t="s">
        <v>10940</v>
      </c>
      <c r="G4035" s="6">
        <v>46235</v>
      </c>
      <c r="H4035" s="2" t="s">
        <v>176</v>
      </c>
      <c r="I4035" s="2" t="s">
        <v>39</v>
      </c>
      <c r="J4035" s="9">
        <v>8883.3919999999998</v>
      </c>
      <c r="K4035" s="7">
        <v>1</v>
      </c>
      <c r="L4035" s="9">
        <v>8883.39</v>
      </c>
      <c r="M4035" s="9">
        <v>8883.39</v>
      </c>
      <c r="N4035" s="9">
        <v>4.8899999999999997</v>
      </c>
      <c r="O4035" s="10">
        <f>IF(AND(OR(H4035="APPROVED",H4035="SCHEDULED"),COUNTIFS(tblSource[EventID],F4035,tblSource[ReleaseStatus],"APPROVED")=1,COUNTIFS(Period_Status!$A$2:$A$8,G4035,Period_Status!$B$2:$B$8,"ActualClosed")=1,C4035&gt;EOMONTH(Settlement_Bridge!$C$2,0)),1,0)</f>
        <v>0</v>
      </c>
      <c r="P4035" s="2" t="s">
        <v>10941</v>
      </c>
    </row>
    <row r="4036" spans="1:16" x14ac:dyDescent="0.25">
      <c r="A4036" s="2" t="s">
        <v>10942</v>
      </c>
      <c r="B4036" s="2" t="s">
        <v>7433</v>
      </c>
      <c r="C4036" s="8">
        <v>46300</v>
      </c>
      <c r="D4036" s="6">
        <v>46296</v>
      </c>
      <c r="E4036" s="2" t="s">
        <v>260</v>
      </c>
      <c r="F4036" s="2" t="s">
        <v>10940</v>
      </c>
      <c r="G4036" s="6">
        <v>46235</v>
      </c>
      <c r="H4036" s="2" t="s">
        <v>176</v>
      </c>
      <c r="I4036" s="2" t="s">
        <v>39</v>
      </c>
      <c r="J4036" s="9">
        <v>13325.088</v>
      </c>
      <c r="K4036" s="7">
        <v>1</v>
      </c>
      <c r="L4036" s="9">
        <v>13325.09</v>
      </c>
      <c r="M4036" s="9">
        <v>13325.09</v>
      </c>
      <c r="N4036" s="9">
        <v>7.33</v>
      </c>
      <c r="O4036" s="10">
        <f>IF(AND(OR(H4036="APPROVED",H4036="SCHEDULED"),COUNTIFS(tblSource[EventID],F4036,tblSource[ReleaseStatus],"APPROVED")=1,COUNTIFS(Period_Status!$A$2:$A$8,G4036,Period_Status!$B$2:$B$8,"ActualClosed")=1,C4036&gt;EOMONTH(Settlement_Bridge!$C$2,0)),1,0)</f>
        <v>0</v>
      </c>
      <c r="P4036" s="2" t="s">
        <v>10943</v>
      </c>
    </row>
    <row r="4037" spans="1:16" x14ac:dyDescent="0.25">
      <c r="A4037" s="2" t="s">
        <v>10944</v>
      </c>
      <c r="B4037" s="2" t="s">
        <v>7433</v>
      </c>
      <c r="C4037" s="8">
        <v>46276</v>
      </c>
      <c r="D4037" s="6">
        <v>46266</v>
      </c>
      <c r="E4037" s="2" t="s">
        <v>260</v>
      </c>
      <c r="F4037" s="2" t="s">
        <v>10945</v>
      </c>
      <c r="G4037" s="6">
        <v>46235</v>
      </c>
      <c r="H4037" s="2" t="s">
        <v>176</v>
      </c>
      <c r="I4037" s="2" t="s">
        <v>76</v>
      </c>
      <c r="J4037" s="9">
        <v>146245853.65853599</v>
      </c>
      <c r="K4037" s="7">
        <v>6.1299999999999999E-5</v>
      </c>
      <c r="L4037" s="9">
        <v>8964.8700000000008</v>
      </c>
      <c r="M4037" s="9">
        <v>8994.1200000000008</v>
      </c>
      <c r="N4037" s="9">
        <v>4.93</v>
      </c>
      <c r="O4037" s="10">
        <f>IF(AND(OR(H4037="APPROVED",H4037="SCHEDULED"),COUNTIFS(tblSource[EventID],F4037,tblSource[ReleaseStatus],"APPROVED")=1,COUNTIFS(Period_Status!$A$2:$A$8,G4037,Period_Status!$B$2:$B$8,"ActualClosed")=1,C4037&gt;EOMONTH(Settlement_Bridge!$C$2,0)),1,0)</f>
        <v>0</v>
      </c>
      <c r="P4037" s="2" t="s">
        <v>10946</v>
      </c>
    </row>
    <row r="4038" spans="1:16" x14ac:dyDescent="0.25">
      <c r="A4038" s="2" t="s">
        <v>10947</v>
      </c>
      <c r="B4038" s="2" t="s">
        <v>7433</v>
      </c>
      <c r="C4038" s="8">
        <v>46301</v>
      </c>
      <c r="D4038" s="6">
        <v>46296</v>
      </c>
      <c r="E4038" s="2" t="s">
        <v>260</v>
      </c>
      <c r="F4038" s="2" t="s">
        <v>10945</v>
      </c>
      <c r="G4038" s="6">
        <v>46235</v>
      </c>
      <c r="H4038" s="2" t="s">
        <v>176</v>
      </c>
      <c r="I4038" s="2" t="s">
        <v>76</v>
      </c>
      <c r="J4038" s="9">
        <v>219368780.48780501</v>
      </c>
      <c r="K4038" s="7">
        <v>6.1099999999999994E-5</v>
      </c>
      <c r="L4038" s="9">
        <v>13403.43</v>
      </c>
      <c r="M4038" s="9">
        <v>13491.18</v>
      </c>
      <c r="N4038" s="9">
        <v>7.37</v>
      </c>
      <c r="O4038" s="10">
        <f>IF(AND(OR(H4038="APPROVED",H4038="SCHEDULED"),COUNTIFS(tblSource[EventID],F4038,tblSource[ReleaseStatus],"APPROVED")=1,COUNTIFS(Period_Status!$A$2:$A$8,G4038,Period_Status!$B$2:$B$8,"ActualClosed")=1,C4038&gt;EOMONTH(Settlement_Bridge!$C$2,0)),1,0)</f>
        <v>0</v>
      </c>
      <c r="P4038" s="2" t="s">
        <v>10948</v>
      </c>
    </row>
    <row r="4039" spans="1:16" x14ac:dyDescent="0.25">
      <c r="A4039" s="2" t="s">
        <v>10949</v>
      </c>
      <c r="B4039" s="2" t="s">
        <v>7433</v>
      </c>
      <c r="C4039" s="8">
        <v>46277</v>
      </c>
      <c r="D4039" s="6">
        <v>46266</v>
      </c>
      <c r="E4039" s="2" t="s">
        <v>260</v>
      </c>
      <c r="F4039" s="2" t="s">
        <v>10950</v>
      </c>
      <c r="G4039" s="6">
        <v>46235</v>
      </c>
      <c r="H4039" s="2" t="s">
        <v>176</v>
      </c>
      <c r="I4039" s="2" t="s">
        <v>70</v>
      </c>
      <c r="J4039" s="9">
        <v>14007.452308</v>
      </c>
      <c r="K4039" s="7">
        <v>0.65100000000000002</v>
      </c>
      <c r="L4039" s="9">
        <v>9118.85</v>
      </c>
      <c r="M4039" s="9">
        <v>9104.84</v>
      </c>
      <c r="N4039" s="9">
        <v>5.0199999999999996</v>
      </c>
      <c r="O4039" s="10">
        <f>IF(AND(OR(H4039="APPROVED",H4039="SCHEDULED"),COUNTIFS(tblSource[EventID],F4039,tblSource[ReleaseStatus],"APPROVED")=1,COUNTIFS(Period_Status!$A$2:$A$8,G4039,Period_Status!$B$2:$B$8,"ActualClosed")=1,C4039&gt;EOMONTH(Settlement_Bridge!$C$2,0)),1,0)</f>
        <v>0</v>
      </c>
      <c r="P4039" s="2" t="s">
        <v>10951</v>
      </c>
    </row>
    <row r="4040" spans="1:16" x14ac:dyDescent="0.25">
      <c r="A4040" s="2" t="s">
        <v>10952</v>
      </c>
      <c r="B4040" s="2" t="s">
        <v>7433</v>
      </c>
      <c r="C4040" s="8">
        <v>46302</v>
      </c>
      <c r="D4040" s="6">
        <v>46296</v>
      </c>
      <c r="E4040" s="2" t="s">
        <v>260</v>
      </c>
      <c r="F4040" s="2" t="s">
        <v>10950</v>
      </c>
      <c r="G4040" s="6">
        <v>46235</v>
      </c>
      <c r="H4040" s="2" t="s">
        <v>176</v>
      </c>
      <c r="I4040" s="2" t="s">
        <v>70</v>
      </c>
      <c r="J4040" s="9">
        <v>21011.178461</v>
      </c>
      <c r="K4040" s="7">
        <v>0.65500000000000003</v>
      </c>
      <c r="L4040" s="9">
        <v>13762.32</v>
      </c>
      <c r="M4040" s="9">
        <v>13657.27</v>
      </c>
      <c r="N4040" s="9">
        <v>7.57</v>
      </c>
      <c r="O4040" s="10">
        <f>IF(AND(OR(H4040="APPROVED",H4040="SCHEDULED"),COUNTIFS(tblSource[EventID],F4040,tblSource[ReleaseStatus],"APPROVED")=1,COUNTIFS(Period_Status!$A$2:$A$8,G4040,Period_Status!$B$2:$B$8,"ActualClosed")=1,C4040&gt;EOMONTH(Settlement_Bridge!$C$2,0)),1,0)</f>
        <v>0</v>
      </c>
      <c r="P4040" s="2" t="s">
        <v>10953</v>
      </c>
    </row>
    <row r="4041" spans="1:16" x14ac:dyDescent="0.25">
      <c r="A4041" s="2" t="s">
        <v>10954</v>
      </c>
      <c r="B4041" s="2" t="s">
        <v>7433</v>
      </c>
      <c r="C4041" s="8">
        <v>46278</v>
      </c>
      <c r="D4041" s="6">
        <v>46266</v>
      </c>
      <c r="E4041" s="2" t="s">
        <v>260</v>
      </c>
      <c r="F4041" s="2" t="s">
        <v>10955</v>
      </c>
      <c r="G4041" s="6">
        <v>46235</v>
      </c>
      <c r="H4041" s="2" t="s">
        <v>176</v>
      </c>
      <c r="I4041" s="2" t="s">
        <v>39</v>
      </c>
      <c r="J4041" s="9">
        <v>9215.5720000000001</v>
      </c>
      <c r="K4041" s="7">
        <v>1</v>
      </c>
      <c r="L4041" s="9">
        <v>9215.57</v>
      </c>
      <c r="M4041" s="9">
        <v>9215.57</v>
      </c>
      <c r="N4041" s="9">
        <v>5.07</v>
      </c>
      <c r="O4041" s="10">
        <f>IF(AND(OR(H4041="APPROVED",H4041="SCHEDULED"),COUNTIFS(tblSource[EventID],F4041,tblSource[ReleaseStatus],"APPROVED")=1,COUNTIFS(Period_Status!$A$2:$A$8,G4041,Period_Status!$B$2:$B$8,"ActualClosed")=1,C4041&gt;EOMONTH(Settlement_Bridge!$C$2,0)),1,0)</f>
        <v>0</v>
      </c>
      <c r="P4041" s="2" t="s">
        <v>10956</v>
      </c>
    </row>
    <row r="4042" spans="1:16" x14ac:dyDescent="0.25">
      <c r="A4042" s="2" t="s">
        <v>10957</v>
      </c>
      <c r="B4042" s="2" t="s">
        <v>7433</v>
      </c>
      <c r="C4042" s="8">
        <v>46303</v>
      </c>
      <c r="D4042" s="6">
        <v>46296</v>
      </c>
      <c r="E4042" s="2" t="s">
        <v>260</v>
      </c>
      <c r="F4042" s="2" t="s">
        <v>10955</v>
      </c>
      <c r="G4042" s="6">
        <v>46235</v>
      </c>
      <c r="H4042" s="2" t="s">
        <v>176</v>
      </c>
      <c r="I4042" s="2" t="s">
        <v>39</v>
      </c>
      <c r="J4042" s="9">
        <v>13823.358</v>
      </c>
      <c r="K4042" s="7">
        <v>1</v>
      </c>
      <c r="L4042" s="9">
        <v>13823.36</v>
      </c>
      <c r="M4042" s="9">
        <v>13823.36</v>
      </c>
      <c r="N4042" s="9">
        <v>7.6</v>
      </c>
      <c r="O4042" s="10">
        <f>IF(AND(OR(H4042="APPROVED",H4042="SCHEDULED"),COUNTIFS(tblSource[EventID],F4042,tblSource[ReleaseStatus],"APPROVED")=1,COUNTIFS(Period_Status!$A$2:$A$8,G4042,Period_Status!$B$2:$B$8,"ActualClosed")=1,C4042&gt;EOMONTH(Settlement_Bridge!$C$2,0)),1,0)</f>
        <v>0</v>
      </c>
      <c r="P4042" s="2" t="s">
        <v>10958</v>
      </c>
    </row>
    <row r="4043" spans="1:16" x14ac:dyDescent="0.25">
      <c r="A4043" s="2" t="s">
        <v>10959</v>
      </c>
      <c r="B4043" s="2" t="s">
        <v>7433</v>
      </c>
      <c r="C4043" s="8">
        <v>46279</v>
      </c>
      <c r="D4043" s="6">
        <v>46266</v>
      </c>
      <c r="E4043" s="2" t="s">
        <v>260</v>
      </c>
      <c r="F4043" s="2" t="s">
        <v>10960</v>
      </c>
      <c r="G4043" s="6">
        <v>46235</v>
      </c>
      <c r="H4043" s="2" t="s">
        <v>176</v>
      </c>
      <c r="I4043" s="2" t="s">
        <v>76</v>
      </c>
      <c r="J4043" s="9">
        <v>151647089.43089399</v>
      </c>
      <c r="K4043" s="7">
        <v>6.1299999999999999E-5</v>
      </c>
      <c r="L4043" s="9">
        <v>9295.9699999999993</v>
      </c>
      <c r="M4043" s="9">
        <v>9326.2999999999993</v>
      </c>
      <c r="N4043" s="9">
        <v>5.1100000000000003</v>
      </c>
      <c r="O4043" s="10">
        <f>IF(AND(OR(H4043="APPROVED",H4043="SCHEDULED"),COUNTIFS(tblSource[EventID],F4043,tblSource[ReleaseStatus],"APPROVED")=1,COUNTIFS(Period_Status!$A$2:$A$8,G4043,Period_Status!$B$2:$B$8,"ActualClosed")=1,C4043&gt;EOMONTH(Settlement_Bridge!$C$2,0)),1,0)</f>
        <v>0</v>
      </c>
      <c r="P4043" s="2" t="s">
        <v>10961</v>
      </c>
    </row>
    <row r="4044" spans="1:16" x14ac:dyDescent="0.25">
      <c r="A4044" s="2" t="s">
        <v>10962</v>
      </c>
      <c r="B4044" s="2" t="s">
        <v>7433</v>
      </c>
      <c r="C4044" s="8">
        <v>46304</v>
      </c>
      <c r="D4044" s="6">
        <v>46296</v>
      </c>
      <c r="E4044" s="2" t="s">
        <v>260</v>
      </c>
      <c r="F4044" s="2" t="s">
        <v>10960</v>
      </c>
      <c r="G4044" s="6">
        <v>46235</v>
      </c>
      <c r="H4044" s="2" t="s">
        <v>176</v>
      </c>
      <c r="I4044" s="2" t="s">
        <v>76</v>
      </c>
      <c r="J4044" s="9">
        <v>227470634.14634201</v>
      </c>
      <c r="K4044" s="7">
        <v>6.1099999999999994E-5</v>
      </c>
      <c r="L4044" s="9">
        <v>13898.46</v>
      </c>
      <c r="M4044" s="9">
        <v>13989.44</v>
      </c>
      <c r="N4044" s="9">
        <v>7.64</v>
      </c>
      <c r="O4044" s="10">
        <f>IF(AND(OR(H4044="APPROVED",H4044="SCHEDULED"),COUNTIFS(tblSource[EventID],F4044,tblSource[ReleaseStatus],"APPROVED")=1,COUNTIFS(Period_Status!$A$2:$A$8,G4044,Period_Status!$B$2:$B$8,"ActualClosed")=1,C4044&gt;EOMONTH(Settlement_Bridge!$C$2,0)),1,0)</f>
        <v>0</v>
      </c>
      <c r="P4044" s="2" t="s">
        <v>10963</v>
      </c>
    </row>
    <row r="4045" spans="1:16" x14ac:dyDescent="0.25">
      <c r="A4045" s="2" t="s">
        <v>10964</v>
      </c>
      <c r="B4045" s="2" t="s">
        <v>7433</v>
      </c>
      <c r="C4045" s="8">
        <v>46249</v>
      </c>
      <c r="D4045" s="6">
        <v>46235</v>
      </c>
      <c r="E4045" s="2" t="s">
        <v>260</v>
      </c>
      <c r="F4045" s="2" t="s">
        <v>10965</v>
      </c>
      <c r="G4045" s="6">
        <v>46235</v>
      </c>
      <c r="H4045" s="2" t="s">
        <v>71</v>
      </c>
      <c r="I4045" s="2" t="s">
        <v>70</v>
      </c>
      <c r="J4045" s="9">
        <v>14518.498462</v>
      </c>
      <c r="K4045" s="7">
        <v>0.65</v>
      </c>
      <c r="L4045" s="9">
        <v>9437.02</v>
      </c>
      <c r="M4045" s="9">
        <v>9437.02</v>
      </c>
      <c r="N4045" s="9">
        <v>5.19</v>
      </c>
      <c r="O4045" s="10">
        <f>IF(AND(OR(H4045="APPROVED",H4045="SCHEDULED"),COUNTIFS(tblSource[EventID],F4045,tblSource[ReleaseStatus],"APPROVED")=1,COUNTIFS(Period_Status!$A$2:$A$8,G4045,Period_Status!$B$2:$B$8,"ActualClosed")=1,C4045&gt;EOMONTH(Settlement_Bridge!$C$2,0)),1,0)</f>
        <v>0</v>
      </c>
      <c r="P4045" s="2" t="s">
        <v>10966</v>
      </c>
    </row>
    <row r="4046" spans="1:16" x14ac:dyDescent="0.25">
      <c r="A4046" s="2" t="s">
        <v>10967</v>
      </c>
      <c r="B4046" s="2" t="s">
        <v>7433</v>
      </c>
      <c r="C4046" s="8">
        <v>46274</v>
      </c>
      <c r="D4046" s="6">
        <v>46266</v>
      </c>
      <c r="E4046" s="2" t="s">
        <v>260</v>
      </c>
      <c r="F4046" s="2" t="s">
        <v>10965</v>
      </c>
      <c r="G4046" s="6">
        <v>46235</v>
      </c>
      <c r="H4046" s="2" t="s">
        <v>176</v>
      </c>
      <c r="I4046" s="2" t="s">
        <v>70</v>
      </c>
      <c r="J4046" s="9">
        <v>21777.747692000001</v>
      </c>
      <c r="K4046" s="7">
        <v>0.65100000000000002</v>
      </c>
      <c r="L4046" s="9">
        <v>14177.31</v>
      </c>
      <c r="M4046" s="9">
        <v>14155.54</v>
      </c>
      <c r="N4046" s="9">
        <v>7.8</v>
      </c>
      <c r="O4046" s="10">
        <f>IF(AND(OR(H4046="APPROVED",H4046="SCHEDULED"),COUNTIFS(tblSource[EventID],F4046,tblSource[ReleaseStatus],"APPROVED")=1,COUNTIFS(Period_Status!$A$2:$A$8,G4046,Period_Status!$B$2:$B$8,"ActualClosed")=1,C4046&gt;EOMONTH(Settlement_Bridge!$C$2,0)),1,0)</f>
        <v>0</v>
      </c>
      <c r="P4046" s="2" t="s">
        <v>10968</v>
      </c>
    </row>
    <row r="4047" spans="1:16" x14ac:dyDescent="0.25">
      <c r="A4047" s="2" t="s">
        <v>10969</v>
      </c>
      <c r="B4047" s="2" t="s">
        <v>7433</v>
      </c>
      <c r="C4047" s="8">
        <v>46250</v>
      </c>
      <c r="D4047" s="6">
        <v>46235</v>
      </c>
      <c r="E4047" s="2" t="s">
        <v>260</v>
      </c>
      <c r="F4047" s="2" t="s">
        <v>10970</v>
      </c>
      <c r="G4047" s="6">
        <v>46235</v>
      </c>
      <c r="H4047" s="2" t="s">
        <v>71</v>
      </c>
      <c r="I4047" s="2" t="s">
        <v>39</v>
      </c>
      <c r="J4047" s="9">
        <v>587.75199999999995</v>
      </c>
      <c r="K4047" s="7">
        <v>1</v>
      </c>
      <c r="L4047" s="9">
        <v>587.75</v>
      </c>
      <c r="M4047" s="9">
        <v>587.75</v>
      </c>
      <c r="N4047" s="9">
        <v>1.8</v>
      </c>
      <c r="O4047" s="10">
        <f>IF(AND(OR(H4047="APPROVED",H4047="SCHEDULED"),COUNTIFS(tblSource[EventID],F4047,tblSource[ReleaseStatus],"APPROVED")=1,COUNTIFS(Period_Status!$A$2:$A$8,G4047,Period_Status!$B$2:$B$8,"ActualClosed")=1,C4047&gt;EOMONTH(Settlement_Bridge!$C$2,0)),1,0)</f>
        <v>0</v>
      </c>
      <c r="P4047" s="2" t="s">
        <v>10971</v>
      </c>
    </row>
    <row r="4048" spans="1:16" x14ac:dyDescent="0.25">
      <c r="A4048" s="2" t="s">
        <v>10972</v>
      </c>
      <c r="B4048" s="2" t="s">
        <v>7433</v>
      </c>
      <c r="C4048" s="8">
        <v>46275</v>
      </c>
      <c r="D4048" s="6">
        <v>46266</v>
      </c>
      <c r="E4048" s="2" t="s">
        <v>260</v>
      </c>
      <c r="F4048" s="2" t="s">
        <v>10970</v>
      </c>
      <c r="G4048" s="6">
        <v>46235</v>
      </c>
      <c r="H4048" s="2" t="s">
        <v>176</v>
      </c>
      <c r="I4048" s="2" t="s">
        <v>39</v>
      </c>
      <c r="J4048" s="9">
        <v>881.62800000000004</v>
      </c>
      <c r="K4048" s="7">
        <v>1</v>
      </c>
      <c r="L4048" s="9">
        <v>881.63</v>
      </c>
      <c r="M4048" s="9">
        <v>881.63</v>
      </c>
      <c r="N4048" s="9">
        <v>1.8</v>
      </c>
      <c r="O4048" s="10">
        <f>IF(AND(OR(H4048="APPROVED",H4048="SCHEDULED"),COUNTIFS(tblSource[EventID],F4048,tblSource[ReleaseStatus],"APPROVED")=1,COUNTIFS(Period_Status!$A$2:$A$8,G4048,Period_Status!$B$2:$B$8,"ActualClosed")=1,C4048&gt;EOMONTH(Settlement_Bridge!$C$2,0)),1,0)</f>
        <v>0</v>
      </c>
      <c r="P4048" s="2" t="s">
        <v>10973</v>
      </c>
    </row>
    <row r="4049" spans="1:16" x14ac:dyDescent="0.25">
      <c r="A4049" s="2" t="s">
        <v>10974</v>
      </c>
      <c r="B4049" s="2" t="s">
        <v>7433</v>
      </c>
      <c r="C4049" s="8">
        <v>46251</v>
      </c>
      <c r="D4049" s="6">
        <v>46235</v>
      </c>
      <c r="E4049" s="2" t="s">
        <v>260</v>
      </c>
      <c r="F4049" s="2" t="s">
        <v>10975</v>
      </c>
      <c r="G4049" s="6">
        <v>46235</v>
      </c>
      <c r="H4049" s="2" t="s">
        <v>71</v>
      </c>
      <c r="I4049" s="2" t="s">
        <v>76</v>
      </c>
      <c r="J4049" s="9">
        <v>11357333.333333001</v>
      </c>
      <c r="K4049" s="7">
        <v>6.1500000000000004E-5</v>
      </c>
      <c r="L4049" s="9">
        <v>698.48</v>
      </c>
      <c r="M4049" s="9">
        <v>698.48</v>
      </c>
      <c r="N4049" s="9">
        <v>1.8</v>
      </c>
      <c r="O4049" s="10">
        <f>IF(AND(OR(H4049="APPROVED",H4049="SCHEDULED"),COUNTIFS(tblSource[EventID],F4049,tblSource[ReleaseStatus],"APPROVED")=1,COUNTIFS(Period_Status!$A$2:$A$8,G4049,Period_Status!$B$2:$B$8,"ActualClosed")=1,C4049&gt;EOMONTH(Settlement_Bridge!$C$2,0)),1,0)</f>
        <v>0</v>
      </c>
      <c r="P4049" s="2" t="s">
        <v>10976</v>
      </c>
    </row>
    <row r="4050" spans="1:16" x14ac:dyDescent="0.25">
      <c r="A4050" s="2" t="s">
        <v>10977</v>
      </c>
      <c r="B4050" s="2" t="s">
        <v>7433</v>
      </c>
      <c r="C4050" s="8">
        <v>46276</v>
      </c>
      <c r="D4050" s="6">
        <v>46266</v>
      </c>
      <c r="E4050" s="2" t="s">
        <v>260</v>
      </c>
      <c r="F4050" s="2" t="s">
        <v>10975</v>
      </c>
      <c r="G4050" s="6">
        <v>46235</v>
      </c>
      <c r="H4050" s="2" t="s">
        <v>176</v>
      </c>
      <c r="I4050" s="2" t="s">
        <v>76</v>
      </c>
      <c r="J4050" s="9">
        <v>17036000</v>
      </c>
      <c r="K4050" s="7">
        <v>6.1299999999999999E-5</v>
      </c>
      <c r="L4050" s="9">
        <v>1044.31</v>
      </c>
      <c r="M4050" s="9">
        <v>1047.71</v>
      </c>
      <c r="N4050" s="9">
        <v>1.8</v>
      </c>
      <c r="O4050" s="10">
        <f>IF(AND(OR(H4050="APPROVED",H4050="SCHEDULED"),COUNTIFS(tblSource[EventID],F4050,tblSource[ReleaseStatus],"APPROVED")=1,COUNTIFS(Period_Status!$A$2:$A$8,G4050,Period_Status!$B$2:$B$8,"ActualClosed")=1,C4050&gt;EOMONTH(Settlement_Bridge!$C$2,0)),1,0)</f>
        <v>0</v>
      </c>
      <c r="P4050" s="2" t="s">
        <v>10978</v>
      </c>
    </row>
    <row r="4051" spans="1:16" x14ac:dyDescent="0.25">
      <c r="A4051" s="2" t="s">
        <v>10979</v>
      </c>
      <c r="B4051" s="2" t="s">
        <v>7433</v>
      </c>
      <c r="C4051" s="8">
        <v>46252</v>
      </c>
      <c r="D4051" s="6">
        <v>46235</v>
      </c>
      <c r="E4051" s="2" t="s">
        <v>260</v>
      </c>
      <c r="F4051" s="2" t="s">
        <v>10980</v>
      </c>
      <c r="G4051" s="6">
        <v>46235</v>
      </c>
      <c r="H4051" s="2" t="s">
        <v>71</v>
      </c>
      <c r="I4051" s="2" t="s">
        <v>70</v>
      </c>
      <c r="J4051" s="9">
        <v>1244.9292310000001</v>
      </c>
      <c r="K4051" s="7">
        <v>0.65</v>
      </c>
      <c r="L4051" s="9">
        <v>809.2</v>
      </c>
      <c r="M4051" s="9">
        <v>809.2</v>
      </c>
      <c r="N4051" s="9">
        <v>1.8</v>
      </c>
      <c r="O4051" s="10">
        <f>IF(AND(OR(H4051="APPROVED",H4051="SCHEDULED"),COUNTIFS(tblSource[EventID],F4051,tblSource[ReleaseStatus],"APPROVED")=1,COUNTIFS(Period_Status!$A$2:$A$8,G4051,Period_Status!$B$2:$B$8,"ActualClosed")=1,C4051&gt;EOMONTH(Settlement_Bridge!$C$2,0)),1,0)</f>
        <v>0</v>
      </c>
      <c r="P4051" s="2" t="s">
        <v>10981</v>
      </c>
    </row>
    <row r="4052" spans="1:16" x14ac:dyDescent="0.25">
      <c r="A4052" s="2" t="s">
        <v>10982</v>
      </c>
      <c r="B4052" s="2" t="s">
        <v>7433</v>
      </c>
      <c r="C4052" s="8">
        <v>46277</v>
      </c>
      <c r="D4052" s="6">
        <v>46266</v>
      </c>
      <c r="E4052" s="2" t="s">
        <v>260</v>
      </c>
      <c r="F4052" s="2" t="s">
        <v>10980</v>
      </c>
      <c r="G4052" s="6">
        <v>46235</v>
      </c>
      <c r="H4052" s="2" t="s">
        <v>176</v>
      </c>
      <c r="I4052" s="2" t="s">
        <v>70</v>
      </c>
      <c r="J4052" s="9">
        <v>1867.3938459999999</v>
      </c>
      <c r="K4052" s="7">
        <v>0.65100000000000002</v>
      </c>
      <c r="L4052" s="9">
        <v>1215.67</v>
      </c>
      <c r="M4052" s="9">
        <v>1213.81</v>
      </c>
      <c r="N4052" s="9">
        <v>1.8</v>
      </c>
      <c r="O4052" s="10">
        <f>IF(AND(OR(H4052="APPROVED",H4052="SCHEDULED"),COUNTIFS(tblSource[EventID],F4052,tblSource[ReleaseStatus],"APPROVED")=1,COUNTIFS(Period_Status!$A$2:$A$8,G4052,Period_Status!$B$2:$B$8,"ActualClosed")=1,C4052&gt;EOMONTH(Settlement_Bridge!$C$2,0)),1,0)</f>
        <v>0</v>
      </c>
      <c r="P4052" s="2" t="s">
        <v>10983</v>
      </c>
    </row>
    <row r="4053" spans="1:16" x14ac:dyDescent="0.25">
      <c r="A4053" s="2" t="s">
        <v>10984</v>
      </c>
      <c r="B4053" s="2" t="s">
        <v>7433</v>
      </c>
      <c r="C4053" s="8">
        <v>46253</v>
      </c>
      <c r="D4053" s="6">
        <v>46235</v>
      </c>
      <c r="E4053" s="2" t="s">
        <v>260</v>
      </c>
      <c r="F4053" s="2" t="s">
        <v>10985</v>
      </c>
      <c r="G4053" s="6">
        <v>46235</v>
      </c>
      <c r="H4053" s="2" t="s">
        <v>71</v>
      </c>
      <c r="I4053" s="2" t="s">
        <v>39</v>
      </c>
      <c r="J4053" s="9">
        <v>919.928</v>
      </c>
      <c r="K4053" s="7">
        <v>1</v>
      </c>
      <c r="L4053" s="9">
        <v>919.93</v>
      </c>
      <c r="M4053" s="9">
        <v>919.93</v>
      </c>
      <c r="N4053" s="9">
        <v>1.8</v>
      </c>
      <c r="O4053" s="10">
        <f>IF(AND(OR(H4053="APPROVED",H4053="SCHEDULED"),COUNTIFS(tblSource[EventID],F4053,tblSource[ReleaseStatus],"APPROVED")=1,COUNTIFS(Period_Status!$A$2:$A$8,G4053,Period_Status!$B$2:$B$8,"ActualClosed")=1,C4053&gt;EOMONTH(Settlement_Bridge!$C$2,0)),1,0)</f>
        <v>0</v>
      </c>
      <c r="P4053" s="2" t="s">
        <v>10986</v>
      </c>
    </row>
    <row r="4054" spans="1:16" x14ac:dyDescent="0.25">
      <c r="A4054" s="2" t="s">
        <v>10987</v>
      </c>
      <c r="B4054" s="2" t="s">
        <v>7433</v>
      </c>
      <c r="C4054" s="8">
        <v>46278</v>
      </c>
      <c r="D4054" s="6">
        <v>46266</v>
      </c>
      <c r="E4054" s="2" t="s">
        <v>260</v>
      </c>
      <c r="F4054" s="2" t="s">
        <v>10985</v>
      </c>
      <c r="G4054" s="6">
        <v>46235</v>
      </c>
      <c r="H4054" s="2" t="s">
        <v>176</v>
      </c>
      <c r="I4054" s="2" t="s">
        <v>39</v>
      </c>
      <c r="J4054" s="9">
        <v>1379.8920000000001</v>
      </c>
      <c r="K4054" s="7">
        <v>1</v>
      </c>
      <c r="L4054" s="9">
        <v>1379.89</v>
      </c>
      <c r="M4054" s="9">
        <v>1379.89</v>
      </c>
      <c r="N4054" s="9">
        <v>1.8</v>
      </c>
      <c r="O4054" s="10">
        <f>IF(AND(OR(H4054="APPROVED",H4054="SCHEDULED"),COUNTIFS(tblSource[EventID],F4054,tblSource[ReleaseStatus],"APPROVED")=1,COUNTIFS(Period_Status!$A$2:$A$8,G4054,Period_Status!$B$2:$B$8,"ActualClosed")=1,C4054&gt;EOMONTH(Settlement_Bridge!$C$2,0)),1,0)</f>
        <v>0</v>
      </c>
      <c r="P4054" s="2" t="s">
        <v>10988</v>
      </c>
    </row>
    <row r="4055" spans="1:16" x14ac:dyDescent="0.25">
      <c r="A4055" s="2" t="s">
        <v>10989</v>
      </c>
      <c r="B4055" s="2" t="s">
        <v>7433</v>
      </c>
      <c r="C4055" s="8">
        <v>46254</v>
      </c>
      <c r="D4055" s="6">
        <v>46235</v>
      </c>
      <c r="E4055" s="2" t="s">
        <v>260</v>
      </c>
      <c r="F4055" s="2" t="s">
        <v>10990</v>
      </c>
      <c r="G4055" s="6">
        <v>46235</v>
      </c>
      <c r="H4055" s="2" t="s">
        <v>71</v>
      </c>
      <c r="I4055" s="2" t="s">
        <v>76</v>
      </c>
      <c r="J4055" s="9">
        <v>16758634.146342</v>
      </c>
      <c r="K4055" s="7">
        <v>6.1500000000000004E-5</v>
      </c>
      <c r="L4055" s="9">
        <v>1030.6600000000001</v>
      </c>
      <c r="M4055" s="9">
        <v>1030.6600000000001</v>
      </c>
      <c r="N4055" s="9">
        <v>1.8</v>
      </c>
      <c r="O4055" s="10">
        <f>IF(AND(OR(H4055="APPROVED",H4055="SCHEDULED"),COUNTIFS(tblSource[EventID],F4055,tblSource[ReleaseStatus],"APPROVED")=1,COUNTIFS(Period_Status!$A$2:$A$8,G4055,Period_Status!$B$2:$B$8,"ActualClosed")=1,C4055&gt;EOMONTH(Settlement_Bridge!$C$2,0)),1,0)</f>
        <v>0</v>
      </c>
      <c r="P4055" s="2" t="s">
        <v>10991</v>
      </c>
    </row>
    <row r="4056" spans="1:16" x14ac:dyDescent="0.25">
      <c r="A4056" s="2" t="s">
        <v>10992</v>
      </c>
      <c r="B4056" s="2" t="s">
        <v>7433</v>
      </c>
      <c r="C4056" s="8">
        <v>46279</v>
      </c>
      <c r="D4056" s="6">
        <v>46266</v>
      </c>
      <c r="E4056" s="2" t="s">
        <v>260</v>
      </c>
      <c r="F4056" s="2" t="s">
        <v>10990</v>
      </c>
      <c r="G4056" s="6">
        <v>46235</v>
      </c>
      <c r="H4056" s="2" t="s">
        <v>176</v>
      </c>
      <c r="I4056" s="2" t="s">
        <v>76</v>
      </c>
      <c r="J4056" s="9">
        <v>25137951.219512001</v>
      </c>
      <c r="K4056" s="7">
        <v>6.1299999999999999E-5</v>
      </c>
      <c r="L4056" s="9">
        <v>1540.96</v>
      </c>
      <c r="M4056" s="9">
        <v>1545.98</v>
      </c>
      <c r="N4056" s="9">
        <v>1.8</v>
      </c>
      <c r="O4056" s="10">
        <f>IF(AND(OR(H4056="APPROVED",H4056="SCHEDULED"),COUNTIFS(tblSource[EventID],F4056,tblSource[ReleaseStatus],"APPROVED")=1,COUNTIFS(Period_Status!$A$2:$A$8,G4056,Period_Status!$B$2:$B$8,"ActualClosed")=1,C4056&gt;EOMONTH(Settlement_Bridge!$C$2,0)),1,0)</f>
        <v>0</v>
      </c>
      <c r="P4056" s="2" t="s">
        <v>10993</v>
      </c>
    </row>
    <row r="4057" spans="1:16" x14ac:dyDescent="0.25">
      <c r="A4057" s="2" t="s">
        <v>10994</v>
      </c>
      <c r="B4057" s="2" t="s">
        <v>7433</v>
      </c>
      <c r="C4057" s="8">
        <v>46255</v>
      </c>
      <c r="D4057" s="6">
        <v>46235</v>
      </c>
      <c r="E4057" s="2" t="s">
        <v>260</v>
      </c>
      <c r="F4057" s="2" t="s">
        <v>10995</v>
      </c>
      <c r="G4057" s="6">
        <v>46235</v>
      </c>
      <c r="H4057" s="2" t="s">
        <v>71</v>
      </c>
      <c r="I4057" s="2" t="s">
        <v>70</v>
      </c>
      <c r="J4057" s="9">
        <v>1755.969231</v>
      </c>
      <c r="K4057" s="7">
        <v>0.65</v>
      </c>
      <c r="L4057" s="9">
        <v>1141.3800000000001</v>
      </c>
      <c r="M4057" s="9">
        <v>1141.3800000000001</v>
      </c>
      <c r="N4057" s="9">
        <v>1.8</v>
      </c>
      <c r="O4057" s="10">
        <f>IF(AND(OR(H4057="APPROVED",H4057="SCHEDULED"),COUNTIFS(tblSource[EventID],F4057,tblSource[ReleaseStatus],"APPROVED")=1,COUNTIFS(Period_Status!$A$2:$A$8,G4057,Period_Status!$B$2:$B$8,"ActualClosed")=1,C4057&gt;EOMONTH(Settlement_Bridge!$C$2,0)),1,0)</f>
        <v>0</v>
      </c>
      <c r="P4057" s="2" t="s">
        <v>10996</v>
      </c>
    </row>
    <row r="4058" spans="1:16" x14ac:dyDescent="0.25">
      <c r="A4058" s="2" t="s">
        <v>10997</v>
      </c>
      <c r="B4058" s="2" t="s">
        <v>7433</v>
      </c>
      <c r="C4058" s="8">
        <v>46280</v>
      </c>
      <c r="D4058" s="6">
        <v>46266</v>
      </c>
      <c r="E4058" s="2" t="s">
        <v>260</v>
      </c>
      <c r="F4058" s="2" t="s">
        <v>10995</v>
      </c>
      <c r="G4058" s="6">
        <v>46235</v>
      </c>
      <c r="H4058" s="2" t="s">
        <v>176</v>
      </c>
      <c r="I4058" s="2" t="s">
        <v>70</v>
      </c>
      <c r="J4058" s="9">
        <v>2633.9538459999999</v>
      </c>
      <c r="K4058" s="7">
        <v>0.65100000000000002</v>
      </c>
      <c r="L4058" s="9">
        <v>1714.7</v>
      </c>
      <c r="M4058" s="9">
        <v>1712.07</v>
      </c>
      <c r="N4058" s="9">
        <v>1.8</v>
      </c>
      <c r="O4058" s="10">
        <f>IF(AND(OR(H4058="APPROVED",H4058="SCHEDULED"),COUNTIFS(tblSource[EventID],F4058,tblSource[ReleaseStatus],"APPROVED")=1,COUNTIFS(Period_Status!$A$2:$A$8,G4058,Period_Status!$B$2:$B$8,"ActualClosed")=1,C4058&gt;EOMONTH(Settlement_Bridge!$C$2,0)),1,0)</f>
        <v>0</v>
      </c>
      <c r="P4058" s="2" t="s">
        <v>10998</v>
      </c>
    </row>
    <row r="4059" spans="1:16" x14ac:dyDescent="0.25">
      <c r="A4059" s="2" t="s">
        <v>10999</v>
      </c>
      <c r="B4059" s="2" t="s">
        <v>7433</v>
      </c>
      <c r="C4059" s="8">
        <v>46256</v>
      </c>
      <c r="D4059" s="6">
        <v>46235</v>
      </c>
      <c r="E4059" s="2" t="s">
        <v>260</v>
      </c>
      <c r="F4059" s="2" t="s">
        <v>11000</v>
      </c>
      <c r="G4059" s="6">
        <v>46235</v>
      </c>
      <c r="H4059" s="2" t="s">
        <v>71</v>
      </c>
      <c r="I4059" s="2" t="s">
        <v>39</v>
      </c>
      <c r="J4059" s="9">
        <v>1252.1079999999999</v>
      </c>
      <c r="K4059" s="7">
        <v>1</v>
      </c>
      <c r="L4059" s="9">
        <v>1252.1099999999999</v>
      </c>
      <c r="M4059" s="9">
        <v>1252.1099999999999</v>
      </c>
      <c r="N4059" s="9">
        <v>1.8</v>
      </c>
      <c r="O4059" s="10">
        <f>IF(AND(OR(H4059="APPROVED",H4059="SCHEDULED"),COUNTIFS(tblSource[EventID],F4059,tblSource[ReleaseStatus],"APPROVED")=1,COUNTIFS(Period_Status!$A$2:$A$8,G4059,Period_Status!$B$2:$B$8,"ActualClosed")=1,C4059&gt;EOMONTH(Settlement_Bridge!$C$2,0)),1,0)</f>
        <v>0</v>
      </c>
      <c r="P4059" s="2" t="s">
        <v>11001</v>
      </c>
    </row>
    <row r="4060" spans="1:16" x14ac:dyDescent="0.25">
      <c r="A4060" s="2" t="s">
        <v>11002</v>
      </c>
      <c r="B4060" s="2" t="s">
        <v>7433</v>
      </c>
      <c r="C4060" s="8">
        <v>46281</v>
      </c>
      <c r="D4060" s="6">
        <v>46266</v>
      </c>
      <c r="E4060" s="2" t="s">
        <v>260</v>
      </c>
      <c r="F4060" s="2" t="s">
        <v>11000</v>
      </c>
      <c r="G4060" s="6">
        <v>46235</v>
      </c>
      <c r="H4060" s="2" t="s">
        <v>176</v>
      </c>
      <c r="I4060" s="2" t="s">
        <v>39</v>
      </c>
      <c r="J4060" s="9">
        <v>1878.162</v>
      </c>
      <c r="K4060" s="7">
        <v>1</v>
      </c>
      <c r="L4060" s="9">
        <v>1878.16</v>
      </c>
      <c r="M4060" s="9">
        <v>1878.16</v>
      </c>
      <c r="N4060" s="9">
        <v>1.8</v>
      </c>
      <c r="O4060" s="10">
        <f>IF(AND(OR(H4060="APPROVED",H4060="SCHEDULED"),COUNTIFS(tblSource[EventID],F4060,tblSource[ReleaseStatus],"APPROVED")=1,COUNTIFS(Period_Status!$A$2:$A$8,G4060,Period_Status!$B$2:$B$8,"ActualClosed")=1,C4060&gt;EOMONTH(Settlement_Bridge!$C$2,0)),1,0)</f>
        <v>0</v>
      </c>
      <c r="P4060" s="2" t="s">
        <v>11003</v>
      </c>
    </row>
    <row r="4061" spans="1:16" x14ac:dyDescent="0.25">
      <c r="A4061" s="2" t="s">
        <v>11004</v>
      </c>
      <c r="B4061" s="2" t="s">
        <v>7433</v>
      </c>
      <c r="C4061" s="8">
        <v>46257</v>
      </c>
      <c r="D4061" s="6">
        <v>46235</v>
      </c>
      <c r="E4061" s="2" t="s">
        <v>260</v>
      </c>
      <c r="F4061" s="2" t="s">
        <v>11005</v>
      </c>
      <c r="G4061" s="6">
        <v>46235</v>
      </c>
      <c r="H4061" s="2" t="s">
        <v>71</v>
      </c>
      <c r="I4061" s="2" t="s">
        <v>76</v>
      </c>
      <c r="J4061" s="9">
        <v>22159934.959350001</v>
      </c>
      <c r="K4061" s="7">
        <v>6.1500000000000004E-5</v>
      </c>
      <c r="L4061" s="9">
        <v>1362.84</v>
      </c>
      <c r="M4061" s="9">
        <v>1362.84</v>
      </c>
      <c r="N4061" s="9">
        <v>1.8</v>
      </c>
      <c r="O4061" s="10">
        <f>IF(AND(OR(H4061="APPROVED",H4061="SCHEDULED"),COUNTIFS(tblSource[EventID],F4061,tblSource[ReleaseStatus],"APPROVED")=1,COUNTIFS(Period_Status!$A$2:$A$8,G4061,Period_Status!$B$2:$B$8,"ActualClosed")=1,C4061&gt;EOMONTH(Settlement_Bridge!$C$2,0)),1,0)</f>
        <v>0</v>
      </c>
      <c r="P4061" s="2" t="s">
        <v>11006</v>
      </c>
    </row>
    <row r="4062" spans="1:16" x14ac:dyDescent="0.25">
      <c r="A4062" s="2" t="s">
        <v>11007</v>
      </c>
      <c r="B4062" s="2" t="s">
        <v>7433</v>
      </c>
      <c r="C4062" s="8">
        <v>46282</v>
      </c>
      <c r="D4062" s="6">
        <v>46266</v>
      </c>
      <c r="E4062" s="2" t="s">
        <v>260</v>
      </c>
      <c r="F4062" s="2" t="s">
        <v>11005</v>
      </c>
      <c r="G4062" s="6">
        <v>46235</v>
      </c>
      <c r="H4062" s="2" t="s">
        <v>176</v>
      </c>
      <c r="I4062" s="2" t="s">
        <v>76</v>
      </c>
      <c r="J4062" s="9">
        <v>33239902.439024001</v>
      </c>
      <c r="K4062" s="7">
        <v>6.1299999999999999E-5</v>
      </c>
      <c r="L4062" s="9">
        <v>2037.61</v>
      </c>
      <c r="M4062" s="9">
        <v>2044.25</v>
      </c>
      <c r="N4062" s="9">
        <v>1.8</v>
      </c>
      <c r="O4062" s="10">
        <f>IF(AND(OR(H4062="APPROVED",H4062="SCHEDULED"),COUNTIFS(tblSource[EventID],F4062,tblSource[ReleaseStatus],"APPROVED")=1,COUNTIFS(Period_Status!$A$2:$A$8,G4062,Period_Status!$B$2:$B$8,"ActualClosed")=1,C4062&gt;EOMONTH(Settlement_Bridge!$C$2,0)),1,0)</f>
        <v>0</v>
      </c>
      <c r="P4062" s="2" t="s">
        <v>11008</v>
      </c>
    </row>
    <row r="4063" spans="1:16" x14ac:dyDescent="0.25">
      <c r="A4063" s="2" t="s">
        <v>11009</v>
      </c>
      <c r="B4063" s="2" t="s">
        <v>7433</v>
      </c>
      <c r="C4063" s="8">
        <v>46258</v>
      </c>
      <c r="D4063" s="6">
        <v>46235</v>
      </c>
      <c r="E4063" s="2" t="s">
        <v>260</v>
      </c>
      <c r="F4063" s="2" t="s">
        <v>11010</v>
      </c>
      <c r="G4063" s="6">
        <v>46235</v>
      </c>
      <c r="H4063" s="2" t="s">
        <v>71</v>
      </c>
      <c r="I4063" s="2" t="s">
        <v>70</v>
      </c>
      <c r="J4063" s="9">
        <v>2267.0153850000002</v>
      </c>
      <c r="K4063" s="7">
        <v>0.65</v>
      </c>
      <c r="L4063" s="9">
        <v>1473.56</v>
      </c>
      <c r="M4063" s="9">
        <v>1473.56</v>
      </c>
      <c r="N4063" s="9">
        <v>1.8</v>
      </c>
      <c r="O4063" s="10">
        <f>IF(AND(OR(H4063="APPROVED",H4063="SCHEDULED"),COUNTIFS(tblSource[EventID],F4063,tblSource[ReleaseStatus],"APPROVED")=1,COUNTIFS(Period_Status!$A$2:$A$8,G4063,Period_Status!$B$2:$B$8,"ActualClosed")=1,C4063&gt;EOMONTH(Settlement_Bridge!$C$2,0)),1,0)</f>
        <v>0</v>
      </c>
      <c r="P4063" s="2" t="s">
        <v>11011</v>
      </c>
    </row>
    <row r="4064" spans="1:16" x14ac:dyDescent="0.25">
      <c r="A4064" s="2" t="s">
        <v>11012</v>
      </c>
      <c r="B4064" s="2" t="s">
        <v>7433</v>
      </c>
      <c r="C4064" s="8">
        <v>46283</v>
      </c>
      <c r="D4064" s="6">
        <v>46266</v>
      </c>
      <c r="E4064" s="2" t="s">
        <v>260</v>
      </c>
      <c r="F4064" s="2" t="s">
        <v>11010</v>
      </c>
      <c r="G4064" s="6">
        <v>46235</v>
      </c>
      <c r="H4064" s="2" t="s">
        <v>176</v>
      </c>
      <c r="I4064" s="2" t="s">
        <v>70</v>
      </c>
      <c r="J4064" s="9">
        <v>3400.5230769999998</v>
      </c>
      <c r="K4064" s="7">
        <v>0.65100000000000002</v>
      </c>
      <c r="L4064" s="9">
        <v>2213.7399999999998</v>
      </c>
      <c r="M4064" s="9">
        <v>2210.34</v>
      </c>
      <c r="N4064" s="9">
        <v>1.8</v>
      </c>
      <c r="O4064" s="10">
        <f>IF(AND(OR(H4064="APPROVED",H4064="SCHEDULED"),COUNTIFS(tblSource[EventID],F4064,tblSource[ReleaseStatus],"APPROVED")=1,COUNTIFS(Period_Status!$A$2:$A$8,G4064,Period_Status!$B$2:$B$8,"ActualClosed")=1,C4064&gt;EOMONTH(Settlement_Bridge!$C$2,0)),1,0)</f>
        <v>0</v>
      </c>
      <c r="P4064" s="2" t="s">
        <v>11013</v>
      </c>
    </row>
    <row r="4065" spans="1:16" x14ac:dyDescent="0.25">
      <c r="A4065" s="2" t="s">
        <v>11014</v>
      </c>
      <c r="B4065" s="2" t="s">
        <v>7433</v>
      </c>
      <c r="C4065" s="8">
        <v>46259</v>
      </c>
      <c r="D4065" s="6">
        <v>46235</v>
      </c>
      <c r="E4065" s="2" t="s">
        <v>260</v>
      </c>
      <c r="F4065" s="2" t="s">
        <v>11015</v>
      </c>
      <c r="G4065" s="6">
        <v>46235</v>
      </c>
      <c r="H4065" s="2" t="s">
        <v>71</v>
      </c>
      <c r="I4065" s="2" t="s">
        <v>39</v>
      </c>
      <c r="J4065" s="9">
        <v>1584.288</v>
      </c>
      <c r="K4065" s="7">
        <v>1</v>
      </c>
      <c r="L4065" s="9">
        <v>1584.29</v>
      </c>
      <c r="M4065" s="9">
        <v>1584.29</v>
      </c>
      <c r="N4065" s="9">
        <v>1.8</v>
      </c>
      <c r="O4065" s="10">
        <f>IF(AND(OR(H4065="APPROVED",H4065="SCHEDULED"),COUNTIFS(tblSource[EventID],F4065,tblSource[ReleaseStatus],"APPROVED")=1,COUNTIFS(Period_Status!$A$2:$A$8,G4065,Period_Status!$B$2:$B$8,"ActualClosed")=1,C4065&gt;EOMONTH(Settlement_Bridge!$C$2,0)),1,0)</f>
        <v>0</v>
      </c>
      <c r="P4065" s="2" t="s">
        <v>11016</v>
      </c>
    </row>
    <row r="4066" spans="1:16" x14ac:dyDescent="0.25">
      <c r="A4066" s="2" t="s">
        <v>11017</v>
      </c>
      <c r="B4066" s="2" t="s">
        <v>7433</v>
      </c>
      <c r="C4066" s="8">
        <v>46284</v>
      </c>
      <c r="D4066" s="6">
        <v>46266</v>
      </c>
      <c r="E4066" s="2" t="s">
        <v>260</v>
      </c>
      <c r="F4066" s="2" t="s">
        <v>11015</v>
      </c>
      <c r="G4066" s="6">
        <v>46235</v>
      </c>
      <c r="H4066" s="2" t="s">
        <v>176</v>
      </c>
      <c r="I4066" s="2" t="s">
        <v>39</v>
      </c>
      <c r="J4066" s="9">
        <v>2376.4319999999998</v>
      </c>
      <c r="K4066" s="7">
        <v>1</v>
      </c>
      <c r="L4066" s="9">
        <v>2376.4299999999998</v>
      </c>
      <c r="M4066" s="9">
        <v>2376.4299999999998</v>
      </c>
      <c r="N4066" s="9">
        <v>1.8</v>
      </c>
      <c r="O4066" s="10">
        <f>IF(AND(OR(H4066="APPROVED",H4066="SCHEDULED"),COUNTIFS(tblSource[EventID],F4066,tblSource[ReleaseStatus],"APPROVED")=1,COUNTIFS(Period_Status!$A$2:$A$8,G4066,Period_Status!$B$2:$B$8,"ActualClosed")=1,C4066&gt;EOMONTH(Settlement_Bridge!$C$2,0)),1,0)</f>
        <v>0</v>
      </c>
      <c r="P4066" s="2" t="s">
        <v>11018</v>
      </c>
    </row>
    <row r="4067" spans="1:16" x14ac:dyDescent="0.25">
      <c r="A4067" s="2" t="s">
        <v>11019</v>
      </c>
      <c r="B4067" s="2" t="s">
        <v>7433</v>
      </c>
      <c r="C4067" s="8">
        <v>46260</v>
      </c>
      <c r="D4067" s="6">
        <v>46235</v>
      </c>
      <c r="E4067" s="2" t="s">
        <v>260</v>
      </c>
      <c r="F4067" s="2" t="s">
        <v>11020</v>
      </c>
      <c r="G4067" s="6">
        <v>46235</v>
      </c>
      <c r="H4067" s="2" t="s">
        <v>71</v>
      </c>
      <c r="I4067" s="2" t="s">
        <v>76</v>
      </c>
      <c r="J4067" s="9">
        <v>27561235.772358</v>
      </c>
      <c r="K4067" s="7">
        <v>6.1500000000000004E-5</v>
      </c>
      <c r="L4067" s="9">
        <v>1695.02</v>
      </c>
      <c r="M4067" s="9">
        <v>1695.02</v>
      </c>
      <c r="N4067" s="9">
        <v>1.8</v>
      </c>
      <c r="O4067" s="10">
        <f>IF(AND(OR(H4067="APPROVED",H4067="SCHEDULED"),COUNTIFS(tblSource[EventID],F4067,tblSource[ReleaseStatus],"APPROVED")=1,COUNTIFS(Period_Status!$A$2:$A$8,G4067,Period_Status!$B$2:$B$8,"ActualClosed")=1,C4067&gt;EOMONTH(Settlement_Bridge!$C$2,0)),1,0)</f>
        <v>0</v>
      </c>
      <c r="P4067" s="2" t="s">
        <v>11021</v>
      </c>
    </row>
    <row r="4068" spans="1:16" x14ac:dyDescent="0.25">
      <c r="A4068" s="2" t="s">
        <v>11022</v>
      </c>
      <c r="B4068" s="2" t="s">
        <v>7433</v>
      </c>
      <c r="C4068" s="8">
        <v>46285</v>
      </c>
      <c r="D4068" s="6">
        <v>46266</v>
      </c>
      <c r="E4068" s="2" t="s">
        <v>260</v>
      </c>
      <c r="F4068" s="2" t="s">
        <v>11020</v>
      </c>
      <c r="G4068" s="6">
        <v>46235</v>
      </c>
      <c r="H4068" s="2" t="s">
        <v>176</v>
      </c>
      <c r="I4068" s="2" t="s">
        <v>76</v>
      </c>
      <c r="J4068" s="9">
        <v>41341853.658536002</v>
      </c>
      <c r="K4068" s="7">
        <v>6.1299999999999999E-5</v>
      </c>
      <c r="L4068" s="9">
        <v>2534.2600000000002</v>
      </c>
      <c r="M4068" s="9">
        <v>2542.52</v>
      </c>
      <c r="N4068" s="9">
        <v>1.8</v>
      </c>
      <c r="O4068" s="10">
        <f>IF(AND(OR(H4068="APPROVED",H4068="SCHEDULED"),COUNTIFS(tblSource[EventID],F4068,tblSource[ReleaseStatus],"APPROVED")=1,COUNTIFS(Period_Status!$A$2:$A$8,G4068,Period_Status!$B$2:$B$8,"ActualClosed")=1,C4068&gt;EOMONTH(Settlement_Bridge!$C$2,0)),1,0)</f>
        <v>0</v>
      </c>
      <c r="P4068" s="2" t="s">
        <v>11023</v>
      </c>
    </row>
    <row r="4069" spans="1:16" x14ac:dyDescent="0.25">
      <c r="A4069" s="2" t="s">
        <v>11024</v>
      </c>
      <c r="B4069" s="2" t="s">
        <v>7433</v>
      </c>
      <c r="C4069" s="8">
        <v>46261</v>
      </c>
      <c r="D4069" s="6">
        <v>46235</v>
      </c>
      <c r="E4069" s="2" t="s">
        <v>260</v>
      </c>
      <c r="F4069" s="2" t="s">
        <v>11025</v>
      </c>
      <c r="G4069" s="6">
        <v>46235</v>
      </c>
      <c r="H4069" s="2" t="s">
        <v>71</v>
      </c>
      <c r="I4069" s="2" t="s">
        <v>70</v>
      </c>
      <c r="J4069" s="9">
        <v>2778.0615379999999</v>
      </c>
      <c r="K4069" s="7">
        <v>0.65</v>
      </c>
      <c r="L4069" s="9">
        <v>1805.74</v>
      </c>
      <c r="M4069" s="9">
        <v>1805.74</v>
      </c>
      <c r="N4069" s="9">
        <v>1.8</v>
      </c>
      <c r="O4069" s="10">
        <f>IF(AND(OR(H4069="APPROVED",H4069="SCHEDULED"),COUNTIFS(tblSource[EventID],F4069,tblSource[ReleaseStatus],"APPROVED")=1,COUNTIFS(Period_Status!$A$2:$A$8,G4069,Period_Status!$B$2:$B$8,"ActualClosed")=1,C4069&gt;EOMONTH(Settlement_Bridge!$C$2,0)),1,0)</f>
        <v>0</v>
      </c>
      <c r="P4069" s="2" t="s">
        <v>11026</v>
      </c>
    </row>
    <row r="4070" spans="1:16" x14ac:dyDescent="0.25">
      <c r="A4070" s="2" t="s">
        <v>11027</v>
      </c>
      <c r="B4070" s="2" t="s">
        <v>7433</v>
      </c>
      <c r="C4070" s="8">
        <v>46286</v>
      </c>
      <c r="D4070" s="6">
        <v>46266</v>
      </c>
      <c r="E4070" s="2" t="s">
        <v>260</v>
      </c>
      <c r="F4070" s="2" t="s">
        <v>11025</v>
      </c>
      <c r="G4070" s="6">
        <v>46235</v>
      </c>
      <c r="H4070" s="2" t="s">
        <v>176</v>
      </c>
      <c r="I4070" s="2" t="s">
        <v>70</v>
      </c>
      <c r="J4070" s="9">
        <v>4167.0923080000002</v>
      </c>
      <c r="K4070" s="7">
        <v>0.65100000000000002</v>
      </c>
      <c r="L4070" s="9">
        <v>2712.78</v>
      </c>
      <c r="M4070" s="9">
        <v>2708.61</v>
      </c>
      <c r="N4070" s="9">
        <v>1.8</v>
      </c>
      <c r="O4070" s="10">
        <f>IF(AND(OR(H4070="APPROVED",H4070="SCHEDULED"),COUNTIFS(tblSource[EventID],F4070,tblSource[ReleaseStatus],"APPROVED")=1,COUNTIFS(Period_Status!$A$2:$A$8,G4070,Period_Status!$B$2:$B$8,"ActualClosed")=1,C4070&gt;EOMONTH(Settlement_Bridge!$C$2,0)),1,0)</f>
        <v>0</v>
      </c>
      <c r="P4070" s="2" t="s">
        <v>11028</v>
      </c>
    </row>
    <row r="4071" spans="1:16" x14ac:dyDescent="0.25">
      <c r="A4071" s="2" t="s">
        <v>11029</v>
      </c>
      <c r="B4071" s="2" t="s">
        <v>7433</v>
      </c>
      <c r="C4071" s="8">
        <v>46262</v>
      </c>
      <c r="D4071" s="6">
        <v>46235</v>
      </c>
      <c r="E4071" s="2" t="s">
        <v>260</v>
      </c>
      <c r="F4071" s="2" t="s">
        <v>11030</v>
      </c>
      <c r="G4071" s="6">
        <v>46235</v>
      </c>
      <c r="H4071" s="2" t="s">
        <v>71</v>
      </c>
      <c r="I4071" s="2" t="s">
        <v>39</v>
      </c>
      <c r="J4071" s="9">
        <v>1916.4680000000001</v>
      </c>
      <c r="K4071" s="7">
        <v>1</v>
      </c>
      <c r="L4071" s="9">
        <v>1916.47</v>
      </c>
      <c r="M4071" s="9">
        <v>1916.47</v>
      </c>
      <c r="N4071" s="9">
        <v>1.8</v>
      </c>
      <c r="O4071" s="10">
        <f>IF(AND(OR(H4071="APPROVED",H4071="SCHEDULED"),COUNTIFS(tblSource[EventID],F4071,tblSource[ReleaseStatus],"APPROVED")=1,COUNTIFS(Period_Status!$A$2:$A$8,G4071,Period_Status!$B$2:$B$8,"ActualClosed")=1,C4071&gt;EOMONTH(Settlement_Bridge!$C$2,0)),1,0)</f>
        <v>0</v>
      </c>
      <c r="P4071" s="2" t="s">
        <v>11031</v>
      </c>
    </row>
    <row r="4072" spans="1:16" x14ac:dyDescent="0.25">
      <c r="A4072" s="2" t="s">
        <v>11032</v>
      </c>
      <c r="B4072" s="2" t="s">
        <v>7433</v>
      </c>
      <c r="C4072" s="8">
        <v>46287</v>
      </c>
      <c r="D4072" s="6">
        <v>46266</v>
      </c>
      <c r="E4072" s="2" t="s">
        <v>260</v>
      </c>
      <c r="F4072" s="2" t="s">
        <v>11030</v>
      </c>
      <c r="G4072" s="6">
        <v>46235</v>
      </c>
      <c r="H4072" s="2" t="s">
        <v>176</v>
      </c>
      <c r="I4072" s="2" t="s">
        <v>39</v>
      </c>
      <c r="J4072" s="9">
        <v>2874.7020000000002</v>
      </c>
      <c r="K4072" s="7">
        <v>1</v>
      </c>
      <c r="L4072" s="9">
        <v>2874.7</v>
      </c>
      <c r="M4072" s="9">
        <v>2874.7</v>
      </c>
      <c r="N4072" s="9">
        <v>1.8</v>
      </c>
      <c r="O4072" s="10">
        <f>IF(AND(OR(H4072="APPROVED",H4072="SCHEDULED"),COUNTIFS(tblSource[EventID],F4072,tblSource[ReleaseStatus],"APPROVED")=1,COUNTIFS(Period_Status!$A$2:$A$8,G4072,Period_Status!$B$2:$B$8,"ActualClosed")=1,C4072&gt;EOMONTH(Settlement_Bridge!$C$2,0)),1,0)</f>
        <v>0</v>
      </c>
      <c r="P4072" s="2" t="s">
        <v>11033</v>
      </c>
    </row>
    <row r="4073" spans="1:16" x14ac:dyDescent="0.25">
      <c r="A4073" s="2" t="s">
        <v>11034</v>
      </c>
      <c r="B4073" s="2" t="s">
        <v>7433</v>
      </c>
      <c r="C4073" s="8">
        <v>46263</v>
      </c>
      <c r="D4073" s="6">
        <v>46235</v>
      </c>
      <c r="E4073" s="2" t="s">
        <v>260</v>
      </c>
      <c r="F4073" s="2" t="s">
        <v>11035</v>
      </c>
      <c r="G4073" s="6">
        <v>46235</v>
      </c>
      <c r="H4073" s="2" t="s">
        <v>71</v>
      </c>
      <c r="I4073" s="2" t="s">
        <v>76</v>
      </c>
      <c r="J4073" s="9">
        <v>32962471.544716001</v>
      </c>
      <c r="K4073" s="7">
        <v>6.1500000000000004E-5</v>
      </c>
      <c r="L4073" s="9">
        <v>2027.19</v>
      </c>
      <c r="M4073" s="9">
        <v>2027.19</v>
      </c>
      <c r="N4073" s="9">
        <v>1.8</v>
      </c>
      <c r="O4073" s="10">
        <f>IF(AND(OR(H4073="APPROVED",H4073="SCHEDULED"),COUNTIFS(tblSource[EventID],F4073,tblSource[ReleaseStatus],"APPROVED")=1,COUNTIFS(Period_Status!$A$2:$A$8,G4073,Period_Status!$B$2:$B$8,"ActualClosed")=1,C4073&gt;EOMONTH(Settlement_Bridge!$C$2,0)),1,0)</f>
        <v>0</v>
      </c>
      <c r="P4073" s="2" t="s">
        <v>11036</v>
      </c>
    </row>
    <row r="4074" spans="1:16" x14ac:dyDescent="0.25">
      <c r="A4074" s="2" t="s">
        <v>11037</v>
      </c>
      <c r="B4074" s="2" t="s">
        <v>7433</v>
      </c>
      <c r="C4074" s="8">
        <v>46288</v>
      </c>
      <c r="D4074" s="6">
        <v>46266</v>
      </c>
      <c r="E4074" s="2" t="s">
        <v>260</v>
      </c>
      <c r="F4074" s="2" t="s">
        <v>11035</v>
      </c>
      <c r="G4074" s="6">
        <v>46235</v>
      </c>
      <c r="H4074" s="2" t="s">
        <v>176</v>
      </c>
      <c r="I4074" s="2" t="s">
        <v>76</v>
      </c>
      <c r="J4074" s="9">
        <v>49443707.317073002</v>
      </c>
      <c r="K4074" s="7">
        <v>6.1299999999999999E-5</v>
      </c>
      <c r="L4074" s="9">
        <v>3030.9</v>
      </c>
      <c r="M4074" s="9">
        <v>3040.79</v>
      </c>
      <c r="N4074" s="9">
        <v>1.8</v>
      </c>
      <c r="O4074" s="10">
        <f>IF(AND(OR(H4074="APPROVED",H4074="SCHEDULED"),COUNTIFS(tblSource[EventID],F4074,tblSource[ReleaseStatus],"APPROVED")=1,COUNTIFS(Period_Status!$A$2:$A$8,G4074,Period_Status!$B$2:$B$8,"ActualClosed")=1,C4074&gt;EOMONTH(Settlement_Bridge!$C$2,0)),1,0)</f>
        <v>0</v>
      </c>
      <c r="P4074" s="2" t="s">
        <v>11038</v>
      </c>
    </row>
    <row r="4075" spans="1:16" x14ac:dyDescent="0.25">
      <c r="A4075" s="2" t="s">
        <v>11039</v>
      </c>
      <c r="B4075" s="2" t="s">
        <v>7433</v>
      </c>
      <c r="C4075" s="8">
        <v>46264</v>
      </c>
      <c r="D4075" s="6">
        <v>46235</v>
      </c>
      <c r="E4075" s="2" t="s">
        <v>260</v>
      </c>
      <c r="F4075" s="2" t="s">
        <v>11040</v>
      </c>
      <c r="G4075" s="6">
        <v>46235</v>
      </c>
      <c r="H4075" s="2" t="s">
        <v>71</v>
      </c>
      <c r="I4075" s="2" t="s">
        <v>70</v>
      </c>
      <c r="J4075" s="9">
        <v>3289.107692</v>
      </c>
      <c r="K4075" s="7">
        <v>0.65</v>
      </c>
      <c r="L4075" s="9">
        <v>2137.92</v>
      </c>
      <c r="M4075" s="9">
        <v>2137.92</v>
      </c>
      <c r="N4075" s="9">
        <v>1.8</v>
      </c>
      <c r="O4075" s="10">
        <f>IF(AND(OR(H4075="APPROVED",H4075="SCHEDULED"),COUNTIFS(tblSource[EventID],F4075,tblSource[ReleaseStatus],"APPROVED")=1,COUNTIFS(Period_Status!$A$2:$A$8,G4075,Period_Status!$B$2:$B$8,"ActualClosed")=1,C4075&gt;EOMONTH(Settlement_Bridge!$C$2,0)),1,0)</f>
        <v>0</v>
      </c>
      <c r="P4075" s="2" t="s">
        <v>11041</v>
      </c>
    </row>
    <row r="4076" spans="1:16" x14ac:dyDescent="0.25">
      <c r="A4076" s="2" t="s">
        <v>11042</v>
      </c>
      <c r="B4076" s="2" t="s">
        <v>7433</v>
      </c>
      <c r="C4076" s="8">
        <v>46289</v>
      </c>
      <c r="D4076" s="6">
        <v>46266</v>
      </c>
      <c r="E4076" s="2" t="s">
        <v>260</v>
      </c>
      <c r="F4076" s="2" t="s">
        <v>11040</v>
      </c>
      <c r="G4076" s="6">
        <v>46235</v>
      </c>
      <c r="H4076" s="2" t="s">
        <v>176</v>
      </c>
      <c r="I4076" s="2" t="s">
        <v>70</v>
      </c>
      <c r="J4076" s="9">
        <v>4933.6615389999997</v>
      </c>
      <c r="K4076" s="7">
        <v>0.65100000000000002</v>
      </c>
      <c r="L4076" s="9">
        <v>3211.81</v>
      </c>
      <c r="M4076" s="9">
        <v>3206.88</v>
      </c>
      <c r="N4076" s="9">
        <v>1.8</v>
      </c>
      <c r="O4076" s="10">
        <f>IF(AND(OR(H4076="APPROVED",H4076="SCHEDULED"),COUNTIFS(tblSource[EventID],F4076,tblSource[ReleaseStatus],"APPROVED")=1,COUNTIFS(Period_Status!$A$2:$A$8,G4076,Period_Status!$B$2:$B$8,"ActualClosed")=1,C4076&gt;EOMONTH(Settlement_Bridge!$C$2,0)),1,0)</f>
        <v>0</v>
      </c>
      <c r="P4076" s="2" t="s">
        <v>11043</v>
      </c>
    </row>
    <row r="4077" spans="1:16" x14ac:dyDescent="0.25">
      <c r="A4077" s="2" t="s">
        <v>11044</v>
      </c>
      <c r="B4077" s="2" t="s">
        <v>7433</v>
      </c>
      <c r="C4077" s="8">
        <v>46265</v>
      </c>
      <c r="D4077" s="6">
        <v>46235</v>
      </c>
      <c r="E4077" s="2" t="s">
        <v>260</v>
      </c>
      <c r="F4077" s="2" t="s">
        <v>11045</v>
      </c>
      <c r="G4077" s="6">
        <v>46235</v>
      </c>
      <c r="H4077" s="2" t="s">
        <v>71</v>
      </c>
      <c r="I4077" s="2" t="s">
        <v>39</v>
      </c>
      <c r="J4077" s="9">
        <v>2248.6480000000001</v>
      </c>
      <c r="K4077" s="7">
        <v>1</v>
      </c>
      <c r="L4077" s="9">
        <v>2248.65</v>
      </c>
      <c r="M4077" s="9">
        <v>2248.65</v>
      </c>
      <c r="N4077" s="9">
        <v>1.8</v>
      </c>
      <c r="O4077" s="10">
        <f>IF(AND(OR(H4077="APPROVED",H4077="SCHEDULED"),COUNTIFS(tblSource[EventID],F4077,tblSource[ReleaseStatus],"APPROVED")=1,COUNTIFS(Period_Status!$A$2:$A$8,G4077,Period_Status!$B$2:$B$8,"ActualClosed")=1,C4077&gt;EOMONTH(Settlement_Bridge!$C$2,0)),1,0)</f>
        <v>0</v>
      </c>
      <c r="P4077" s="2" t="s">
        <v>11046</v>
      </c>
    </row>
    <row r="4078" spans="1:16" x14ac:dyDescent="0.25">
      <c r="A4078" s="2" t="s">
        <v>11047</v>
      </c>
      <c r="B4078" s="2" t="s">
        <v>7433</v>
      </c>
      <c r="C4078" s="8">
        <v>46290</v>
      </c>
      <c r="D4078" s="6">
        <v>46266</v>
      </c>
      <c r="E4078" s="2" t="s">
        <v>260</v>
      </c>
      <c r="F4078" s="2" t="s">
        <v>11045</v>
      </c>
      <c r="G4078" s="6">
        <v>46235</v>
      </c>
      <c r="H4078" s="2" t="s">
        <v>176</v>
      </c>
      <c r="I4078" s="2" t="s">
        <v>39</v>
      </c>
      <c r="J4078" s="9">
        <v>3372.9720000000002</v>
      </c>
      <c r="K4078" s="7">
        <v>1</v>
      </c>
      <c r="L4078" s="9">
        <v>3372.97</v>
      </c>
      <c r="M4078" s="9">
        <v>3372.97</v>
      </c>
      <c r="N4078" s="9">
        <v>1.86</v>
      </c>
      <c r="O4078" s="10">
        <f>IF(AND(OR(H4078="APPROVED",H4078="SCHEDULED"),COUNTIFS(tblSource[EventID],F4078,tblSource[ReleaseStatus],"APPROVED")=1,COUNTIFS(Period_Status!$A$2:$A$8,G4078,Period_Status!$B$2:$B$8,"ActualClosed")=1,C4078&gt;EOMONTH(Settlement_Bridge!$C$2,0)),1,0)</f>
        <v>0</v>
      </c>
      <c r="P4078" s="2" t="s">
        <v>11048</v>
      </c>
    </row>
    <row r="4079" spans="1:16" x14ac:dyDescent="0.25">
      <c r="A4079" s="2" t="s">
        <v>11049</v>
      </c>
      <c r="B4079" s="2" t="s">
        <v>7433</v>
      </c>
      <c r="C4079" s="8">
        <v>46266</v>
      </c>
      <c r="D4079" s="6">
        <v>46266</v>
      </c>
      <c r="E4079" s="2" t="s">
        <v>260</v>
      </c>
      <c r="F4079" s="2" t="s">
        <v>11050</v>
      </c>
      <c r="G4079" s="6">
        <v>46235</v>
      </c>
      <c r="H4079" s="2" t="s">
        <v>176</v>
      </c>
      <c r="I4079" s="2" t="s">
        <v>76</v>
      </c>
      <c r="J4079" s="9">
        <v>38363772.357724003</v>
      </c>
      <c r="K4079" s="7">
        <v>6.1299999999999999E-5</v>
      </c>
      <c r="L4079" s="9">
        <v>2351.6999999999998</v>
      </c>
      <c r="M4079" s="9">
        <v>2359.37</v>
      </c>
      <c r="N4079" s="9">
        <v>1.8</v>
      </c>
      <c r="O4079" s="10">
        <f>IF(AND(OR(H4079="APPROVED",H4079="SCHEDULED"),COUNTIFS(tblSource[EventID],F4079,tblSource[ReleaseStatus],"APPROVED")=1,COUNTIFS(Period_Status!$A$2:$A$8,G4079,Period_Status!$B$2:$B$8,"ActualClosed")=1,C4079&gt;EOMONTH(Settlement_Bridge!$C$2,0)),1,0)</f>
        <v>0</v>
      </c>
      <c r="P4079" s="2" t="s">
        <v>11051</v>
      </c>
    </row>
    <row r="4080" spans="1:16" x14ac:dyDescent="0.25">
      <c r="A4080" s="2" t="s">
        <v>11052</v>
      </c>
      <c r="B4080" s="2" t="s">
        <v>7433</v>
      </c>
      <c r="C4080" s="8">
        <v>46291</v>
      </c>
      <c r="D4080" s="6">
        <v>46266</v>
      </c>
      <c r="E4080" s="2" t="s">
        <v>260</v>
      </c>
      <c r="F4080" s="2" t="s">
        <v>11050</v>
      </c>
      <c r="G4080" s="6">
        <v>46235</v>
      </c>
      <c r="H4080" s="2" t="s">
        <v>176</v>
      </c>
      <c r="I4080" s="2" t="s">
        <v>76</v>
      </c>
      <c r="J4080" s="9">
        <v>57545658.536585003</v>
      </c>
      <c r="K4080" s="7">
        <v>6.1299999999999999E-5</v>
      </c>
      <c r="L4080" s="9">
        <v>3527.55</v>
      </c>
      <c r="M4080" s="9">
        <v>3539.06</v>
      </c>
      <c r="N4080" s="9">
        <v>1.94</v>
      </c>
      <c r="O4080" s="10">
        <f>IF(AND(OR(H4080="APPROVED",H4080="SCHEDULED"),COUNTIFS(tblSource[EventID],F4080,tblSource[ReleaseStatus],"APPROVED")=1,COUNTIFS(Period_Status!$A$2:$A$8,G4080,Period_Status!$B$2:$B$8,"ActualClosed")=1,C4080&gt;EOMONTH(Settlement_Bridge!$C$2,0)),1,0)</f>
        <v>0</v>
      </c>
      <c r="P4080" s="2" t="s">
        <v>11053</v>
      </c>
    </row>
    <row r="4081" spans="1:16" x14ac:dyDescent="0.25">
      <c r="A4081" s="2" t="s">
        <v>11054</v>
      </c>
      <c r="B4081" s="2" t="s">
        <v>7433</v>
      </c>
      <c r="C4081" s="8">
        <v>46267</v>
      </c>
      <c r="D4081" s="6">
        <v>46266</v>
      </c>
      <c r="E4081" s="2" t="s">
        <v>260</v>
      </c>
      <c r="F4081" s="2" t="s">
        <v>11055</v>
      </c>
      <c r="G4081" s="6">
        <v>46235</v>
      </c>
      <c r="H4081" s="2" t="s">
        <v>176</v>
      </c>
      <c r="I4081" s="2" t="s">
        <v>70</v>
      </c>
      <c r="J4081" s="9">
        <v>3800.1538460000002</v>
      </c>
      <c r="K4081" s="7">
        <v>0.65100000000000002</v>
      </c>
      <c r="L4081" s="9">
        <v>2473.9</v>
      </c>
      <c r="M4081" s="9">
        <v>2470.1</v>
      </c>
      <c r="N4081" s="9">
        <v>1.8</v>
      </c>
      <c r="O4081" s="10">
        <f>IF(AND(OR(H4081="APPROVED",H4081="SCHEDULED"),COUNTIFS(tblSource[EventID],F4081,tblSource[ReleaseStatus],"APPROVED")=1,COUNTIFS(Period_Status!$A$2:$A$8,G4081,Period_Status!$B$2:$B$8,"ActualClosed")=1,C4081&gt;EOMONTH(Settlement_Bridge!$C$2,0)),1,0)</f>
        <v>0</v>
      </c>
      <c r="P4081" s="2" t="s">
        <v>11056</v>
      </c>
    </row>
    <row r="4082" spans="1:16" x14ac:dyDescent="0.25">
      <c r="A4082" s="2" t="s">
        <v>11057</v>
      </c>
      <c r="B4082" s="2" t="s">
        <v>7433</v>
      </c>
      <c r="C4082" s="8">
        <v>46292</v>
      </c>
      <c r="D4082" s="6">
        <v>46266</v>
      </c>
      <c r="E4082" s="2" t="s">
        <v>260</v>
      </c>
      <c r="F4082" s="2" t="s">
        <v>11055</v>
      </c>
      <c r="G4082" s="6">
        <v>46235</v>
      </c>
      <c r="H4082" s="2" t="s">
        <v>176</v>
      </c>
      <c r="I4082" s="2" t="s">
        <v>70</v>
      </c>
      <c r="J4082" s="9">
        <v>5700.2307689999998</v>
      </c>
      <c r="K4082" s="7">
        <v>0.65100000000000002</v>
      </c>
      <c r="L4082" s="9">
        <v>3710.85</v>
      </c>
      <c r="M4082" s="9">
        <v>3705.15</v>
      </c>
      <c r="N4082" s="9">
        <v>2.04</v>
      </c>
      <c r="O4082" s="10">
        <f>IF(AND(OR(H4082="APPROVED",H4082="SCHEDULED"),COUNTIFS(tblSource[EventID],F4082,tblSource[ReleaseStatus],"APPROVED")=1,COUNTIFS(Period_Status!$A$2:$A$8,G4082,Period_Status!$B$2:$B$8,"ActualClosed")=1,C4082&gt;EOMONTH(Settlement_Bridge!$C$2,0)),1,0)</f>
        <v>0</v>
      </c>
      <c r="P4082" s="2" t="s">
        <v>11058</v>
      </c>
    </row>
    <row r="4083" spans="1:16" x14ac:dyDescent="0.25">
      <c r="A4083" s="2" t="s">
        <v>11059</v>
      </c>
      <c r="B4083" s="2" t="s">
        <v>7433</v>
      </c>
      <c r="C4083" s="8">
        <v>46268</v>
      </c>
      <c r="D4083" s="6">
        <v>46266</v>
      </c>
      <c r="E4083" s="2" t="s">
        <v>260</v>
      </c>
      <c r="F4083" s="2" t="s">
        <v>11060</v>
      </c>
      <c r="G4083" s="6">
        <v>46235</v>
      </c>
      <c r="H4083" s="2" t="s">
        <v>176</v>
      </c>
      <c r="I4083" s="2" t="s">
        <v>39</v>
      </c>
      <c r="J4083" s="9">
        <v>2580.8240000000001</v>
      </c>
      <c r="K4083" s="7">
        <v>1</v>
      </c>
      <c r="L4083" s="9">
        <v>2580.8200000000002</v>
      </c>
      <c r="M4083" s="9">
        <v>2580.8200000000002</v>
      </c>
      <c r="N4083" s="9">
        <v>1.8</v>
      </c>
      <c r="O4083" s="10">
        <f>IF(AND(OR(H4083="APPROVED",H4083="SCHEDULED"),COUNTIFS(tblSource[EventID],F4083,tblSource[ReleaseStatus],"APPROVED")=1,COUNTIFS(Period_Status!$A$2:$A$8,G4083,Period_Status!$B$2:$B$8,"ActualClosed")=1,C4083&gt;EOMONTH(Settlement_Bridge!$C$2,0)),1,0)</f>
        <v>0</v>
      </c>
      <c r="P4083" s="2" t="s">
        <v>11061</v>
      </c>
    </row>
    <row r="4084" spans="1:16" x14ac:dyDescent="0.25">
      <c r="A4084" s="2" t="s">
        <v>11062</v>
      </c>
      <c r="B4084" s="2" t="s">
        <v>7433</v>
      </c>
      <c r="C4084" s="8">
        <v>46293</v>
      </c>
      <c r="D4084" s="6">
        <v>46266</v>
      </c>
      <c r="E4084" s="2" t="s">
        <v>260</v>
      </c>
      <c r="F4084" s="2" t="s">
        <v>11060</v>
      </c>
      <c r="G4084" s="6">
        <v>46235</v>
      </c>
      <c r="H4084" s="2" t="s">
        <v>176</v>
      </c>
      <c r="I4084" s="2" t="s">
        <v>39</v>
      </c>
      <c r="J4084" s="9">
        <v>3871.2359999999999</v>
      </c>
      <c r="K4084" s="7">
        <v>1</v>
      </c>
      <c r="L4084" s="9">
        <v>3871.24</v>
      </c>
      <c r="M4084" s="9">
        <v>3871.24</v>
      </c>
      <c r="N4084" s="9">
        <v>2.13</v>
      </c>
      <c r="O4084" s="10">
        <f>IF(AND(OR(H4084="APPROVED",H4084="SCHEDULED"),COUNTIFS(tblSource[EventID],F4084,tblSource[ReleaseStatus],"APPROVED")=1,COUNTIFS(Period_Status!$A$2:$A$8,G4084,Period_Status!$B$2:$B$8,"ActualClosed")=1,C4084&gt;EOMONTH(Settlement_Bridge!$C$2,0)),1,0)</f>
        <v>0</v>
      </c>
      <c r="P4084" s="2" t="s">
        <v>11063</v>
      </c>
    </row>
    <row r="4085" spans="1:16" x14ac:dyDescent="0.25">
      <c r="A4085" s="2" t="s">
        <v>11064</v>
      </c>
      <c r="B4085" s="2" t="s">
        <v>7433</v>
      </c>
      <c r="C4085" s="8">
        <v>46269</v>
      </c>
      <c r="D4085" s="6">
        <v>46266</v>
      </c>
      <c r="E4085" s="2" t="s">
        <v>260</v>
      </c>
      <c r="F4085" s="2" t="s">
        <v>11065</v>
      </c>
      <c r="G4085" s="6">
        <v>46235</v>
      </c>
      <c r="H4085" s="2" t="s">
        <v>176</v>
      </c>
      <c r="I4085" s="2" t="s">
        <v>76</v>
      </c>
      <c r="J4085" s="9">
        <v>43765073.170731999</v>
      </c>
      <c r="K4085" s="7">
        <v>6.1299999999999999E-5</v>
      </c>
      <c r="L4085" s="9">
        <v>2682.8</v>
      </c>
      <c r="M4085" s="9">
        <v>2691.55</v>
      </c>
      <c r="N4085" s="9">
        <v>1.8</v>
      </c>
      <c r="O4085" s="10">
        <f>IF(AND(OR(H4085="APPROVED",H4085="SCHEDULED"),COUNTIFS(tblSource[EventID],F4085,tblSource[ReleaseStatus],"APPROVED")=1,COUNTIFS(Period_Status!$A$2:$A$8,G4085,Period_Status!$B$2:$B$8,"ActualClosed")=1,C4085&gt;EOMONTH(Settlement_Bridge!$C$2,0)),1,0)</f>
        <v>0</v>
      </c>
      <c r="P4085" s="2" t="s">
        <v>11066</v>
      </c>
    </row>
    <row r="4086" spans="1:16" x14ac:dyDescent="0.25">
      <c r="A4086" s="2" t="s">
        <v>11067</v>
      </c>
      <c r="B4086" s="2" t="s">
        <v>7433</v>
      </c>
      <c r="C4086" s="8">
        <v>46294</v>
      </c>
      <c r="D4086" s="6">
        <v>46266</v>
      </c>
      <c r="E4086" s="2" t="s">
        <v>260</v>
      </c>
      <c r="F4086" s="2" t="s">
        <v>11065</v>
      </c>
      <c r="G4086" s="6">
        <v>46235</v>
      </c>
      <c r="H4086" s="2" t="s">
        <v>176</v>
      </c>
      <c r="I4086" s="2" t="s">
        <v>76</v>
      </c>
      <c r="J4086" s="9">
        <v>65647609.756096996</v>
      </c>
      <c r="K4086" s="7">
        <v>6.1299999999999999E-5</v>
      </c>
      <c r="L4086" s="9">
        <v>4024.2</v>
      </c>
      <c r="M4086" s="9">
        <v>4037.33</v>
      </c>
      <c r="N4086" s="9">
        <v>2.21</v>
      </c>
      <c r="O4086" s="10">
        <f>IF(AND(OR(H4086="APPROVED",H4086="SCHEDULED"),COUNTIFS(tblSource[EventID],F4086,tblSource[ReleaseStatus],"APPROVED")=1,COUNTIFS(Period_Status!$A$2:$A$8,G4086,Period_Status!$B$2:$B$8,"ActualClosed")=1,C4086&gt;EOMONTH(Settlement_Bridge!$C$2,0)),1,0)</f>
        <v>0</v>
      </c>
      <c r="P4086" s="2" t="s">
        <v>11068</v>
      </c>
    </row>
    <row r="4087" spans="1:16" x14ac:dyDescent="0.25">
      <c r="A4087" s="2" t="s">
        <v>11069</v>
      </c>
      <c r="B4087" s="2" t="s">
        <v>7433</v>
      </c>
      <c r="C4087" s="8">
        <v>46270</v>
      </c>
      <c r="D4087" s="6">
        <v>46266</v>
      </c>
      <c r="E4087" s="2" t="s">
        <v>260</v>
      </c>
      <c r="F4087" s="2" t="s">
        <v>11070</v>
      </c>
      <c r="G4087" s="6">
        <v>46235</v>
      </c>
      <c r="H4087" s="2" t="s">
        <v>176</v>
      </c>
      <c r="I4087" s="2" t="s">
        <v>70</v>
      </c>
      <c r="J4087" s="9">
        <v>4311.1938460000001</v>
      </c>
      <c r="K4087" s="7">
        <v>0.65100000000000002</v>
      </c>
      <c r="L4087" s="9">
        <v>2806.59</v>
      </c>
      <c r="M4087" s="9">
        <v>2802.28</v>
      </c>
      <c r="N4087" s="9">
        <v>1.8</v>
      </c>
      <c r="O4087" s="10">
        <f>IF(AND(OR(H4087="APPROVED",H4087="SCHEDULED"),COUNTIFS(tblSource[EventID],F4087,tblSource[ReleaseStatus],"APPROVED")=1,COUNTIFS(Period_Status!$A$2:$A$8,G4087,Period_Status!$B$2:$B$8,"ActualClosed")=1,C4087&gt;EOMONTH(Settlement_Bridge!$C$2,0)),1,0)</f>
        <v>0</v>
      </c>
      <c r="P4087" s="2" t="s">
        <v>11071</v>
      </c>
    </row>
    <row r="4088" spans="1:16" x14ac:dyDescent="0.25">
      <c r="A4088" s="2" t="s">
        <v>11072</v>
      </c>
      <c r="B4088" s="2" t="s">
        <v>7433</v>
      </c>
      <c r="C4088" s="8">
        <v>46295</v>
      </c>
      <c r="D4088" s="6">
        <v>46266</v>
      </c>
      <c r="E4088" s="2" t="s">
        <v>260</v>
      </c>
      <c r="F4088" s="2" t="s">
        <v>11070</v>
      </c>
      <c r="G4088" s="6">
        <v>46235</v>
      </c>
      <c r="H4088" s="2" t="s">
        <v>176</v>
      </c>
      <c r="I4088" s="2" t="s">
        <v>70</v>
      </c>
      <c r="J4088" s="9">
        <v>6466.7907690000002</v>
      </c>
      <c r="K4088" s="7">
        <v>0.65100000000000002</v>
      </c>
      <c r="L4088" s="9">
        <v>4209.88</v>
      </c>
      <c r="M4088" s="9">
        <v>4203.41</v>
      </c>
      <c r="N4088" s="9">
        <v>2.3199999999999998</v>
      </c>
      <c r="O4088" s="10">
        <f>IF(AND(OR(H4088="APPROVED",H4088="SCHEDULED"),COUNTIFS(tblSource[EventID],F4088,tblSource[ReleaseStatus],"APPROVED")=1,COUNTIFS(Period_Status!$A$2:$A$8,G4088,Period_Status!$B$2:$B$8,"ActualClosed")=1,C4088&gt;EOMONTH(Settlement_Bridge!$C$2,0)),1,0)</f>
        <v>0</v>
      </c>
      <c r="P4088" s="2" t="s">
        <v>11073</v>
      </c>
    </row>
    <row r="4089" spans="1:16" x14ac:dyDescent="0.25">
      <c r="A4089" s="2" t="s">
        <v>11074</v>
      </c>
      <c r="B4089" s="2" t="s">
        <v>7433</v>
      </c>
      <c r="C4089" s="8">
        <v>46271</v>
      </c>
      <c r="D4089" s="6">
        <v>46266</v>
      </c>
      <c r="E4089" s="2" t="s">
        <v>260</v>
      </c>
      <c r="F4089" s="2" t="s">
        <v>11075</v>
      </c>
      <c r="G4089" s="6">
        <v>46235</v>
      </c>
      <c r="H4089" s="2" t="s">
        <v>176</v>
      </c>
      <c r="I4089" s="2" t="s">
        <v>39</v>
      </c>
      <c r="J4089" s="9">
        <v>2913.0039999999999</v>
      </c>
      <c r="K4089" s="7">
        <v>1</v>
      </c>
      <c r="L4089" s="9">
        <v>2913</v>
      </c>
      <c r="M4089" s="9">
        <v>2913</v>
      </c>
      <c r="N4089" s="9">
        <v>1.8</v>
      </c>
      <c r="O4089" s="10">
        <f>IF(AND(OR(H4089="APPROVED",H4089="SCHEDULED"),COUNTIFS(tblSource[EventID],F4089,tblSource[ReleaseStatus],"APPROVED")=1,COUNTIFS(Period_Status!$A$2:$A$8,G4089,Period_Status!$B$2:$B$8,"ActualClosed")=1,C4089&gt;EOMONTH(Settlement_Bridge!$C$2,0)),1,0)</f>
        <v>0</v>
      </c>
      <c r="P4089" s="2" t="s">
        <v>11076</v>
      </c>
    </row>
    <row r="4090" spans="1:16" x14ac:dyDescent="0.25">
      <c r="A4090" s="2" t="s">
        <v>11077</v>
      </c>
      <c r="B4090" s="2" t="s">
        <v>7433</v>
      </c>
      <c r="C4090" s="8">
        <v>46296</v>
      </c>
      <c r="D4090" s="6">
        <v>46296</v>
      </c>
      <c r="E4090" s="2" t="s">
        <v>260</v>
      </c>
      <c r="F4090" s="2" t="s">
        <v>11075</v>
      </c>
      <c r="G4090" s="6">
        <v>46235</v>
      </c>
      <c r="H4090" s="2" t="s">
        <v>176</v>
      </c>
      <c r="I4090" s="2" t="s">
        <v>39</v>
      </c>
      <c r="J4090" s="9">
        <v>4369.5060000000003</v>
      </c>
      <c r="K4090" s="7">
        <v>1</v>
      </c>
      <c r="L4090" s="9">
        <v>4369.51</v>
      </c>
      <c r="M4090" s="9">
        <v>4369.51</v>
      </c>
      <c r="N4090" s="9">
        <v>2.4</v>
      </c>
      <c r="O4090" s="10">
        <f>IF(AND(OR(H4090="APPROVED",H4090="SCHEDULED"),COUNTIFS(tblSource[EventID],F4090,tblSource[ReleaseStatus],"APPROVED")=1,COUNTIFS(Period_Status!$A$2:$A$8,G4090,Period_Status!$B$2:$B$8,"ActualClosed")=1,C4090&gt;EOMONTH(Settlement_Bridge!$C$2,0)),1,0)</f>
        <v>0</v>
      </c>
      <c r="P4090" s="2" t="s">
        <v>11078</v>
      </c>
    </row>
    <row r="4091" spans="1:16" x14ac:dyDescent="0.25">
      <c r="A4091" s="2" t="s">
        <v>11079</v>
      </c>
      <c r="B4091" s="2" t="s">
        <v>7433</v>
      </c>
      <c r="C4091" s="8">
        <v>46272</v>
      </c>
      <c r="D4091" s="6">
        <v>46266</v>
      </c>
      <c r="E4091" s="2" t="s">
        <v>260</v>
      </c>
      <c r="F4091" s="2" t="s">
        <v>11080</v>
      </c>
      <c r="G4091" s="6">
        <v>46235</v>
      </c>
      <c r="H4091" s="2" t="s">
        <v>176</v>
      </c>
      <c r="I4091" s="2" t="s">
        <v>76</v>
      </c>
      <c r="J4091" s="9">
        <v>49166373.983740002</v>
      </c>
      <c r="K4091" s="7">
        <v>6.1299999999999999E-5</v>
      </c>
      <c r="L4091" s="9">
        <v>3013.9</v>
      </c>
      <c r="M4091" s="9">
        <v>3023.73</v>
      </c>
      <c r="N4091" s="9">
        <v>1.8</v>
      </c>
      <c r="O4091" s="10">
        <f>IF(AND(OR(H4091="APPROVED",H4091="SCHEDULED"),COUNTIFS(tblSource[EventID],F4091,tblSource[ReleaseStatus],"APPROVED")=1,COUNTIFS(Period_Status!$A$2:$A$8,G4091,Period_Status!$B$2:$B$8,"ActualClosed")=1,C4091&gt;EOMONTH(Settlement_Bridge!$C$2,0)),1,0)</f>
        <v>0</v>
      </c>
      <c r="P4091" s="2" t="s">
        <v>11081</v>
      </c>
    </row>
    <row r="4092" spans="1:16" x14ac:dyDescent="0.25">
      <c r="A4092" s="2" t="s">
        <v>11082</v>
      </c>
      <c r="B4092" s="2" t="s">
        <v>7433</v>
      </c>
      <c r="C4092" s="8">
        <v>46297</v>
      </c>
      <c r="D4092" s="6">
        <v>46296</v>
      </c>
      <c r="E4092" s="2" t="s">
        <v>260</v>
      </c>
      <c r="F4092" s="2" t="s">
        <v>11080</v>
      </c>
      <c r="G4092" s="6">
        <v>46235</v>
      </c>
      <c r="H4092" s="2" t="s">
        <v>176</v>
      </c>
      <c r="I4092" s="2" t="s">
        <v>76</v>
      </c>
      <c r="J4092" s="9">
        <v>73749560.975610003</v>
      </c>
      <c r="K4092" s="7">
        <v>6.1099999999999994E-5</v>
      </c>
      <c r="L4092" s="9">
        <v>4506.1000000000004</v>
      </c>
      <c r="M4092" s="9">
        <v>4535.6000000000004</v>
      </c>
      <c r="N4092" s="9">
        <v>2.48</v>
      </c>
      <c r="O4092" s="10">
        <f>IF(AND(OR(H4092="APPROVED",H4092="SCHEDULED"),COUNTIFS(tblSource[EventID],F4092,tblSource[ReleaseStatus],"APPROVED")=1,COUNTIFS(Period_Status!$A$2:$A$8,G4092,Period_Status!$B$2:$B$8,"ActualClosed")=1,C4092&gt;EOMONTH(Settlement_Bridge!$C$2,0)),1,0)</f>
        <v>0</v>
      </c>
      <c r="P4092" s="2" t="s">
        <v>11083</v>
      </c>
    </row>
    <row r="4093" spans="1:16" x14ac:dyDescent="0.25">
      <c r="A4093" s="2" t="s">
        <v>11084</v>
      </c>
      <c r="B4093" s="2" t="s">
        <v>7433</v>
      </c>
      <c r="C4093" s="8">
        <v>46273</v>
      </c>
      <c r="D4093" s="6">
        <v>46266</v>
      </c>
      <c r="E4093" s="2" t="s">
        <v>260</v>
      </c>
      <c r="F4093" s="2" t="s">
        <v>11085</v>
      </c>
      <c r="G4093" s="6">
        <v>46235</v>
      </c>
      <c r="H4093" s="2" t="s">
        <v>176</v>
      </c>
      <c r="I4093" s="2" t="s">
        <v>70</v>
      </c>
      <c r="J4093" s="9">
        <v>-12055.615384999999</v>
      </c>
      <c r="K4093" s="7">
        <v>0.65100000000000002</v>
      </c>
      <c r="L4093" s="9">
        <v>-7848.21</v>
      </c>
      <c r="M4093" s="9">
        <v>-7836.15</v>
      </c>
      <c r="N4093" s="9">
        <v>0</v>
      </c>
      <c r="O4093" s="10">
        <f>IF(AND(OR(H4093="APPROVED",H4093="SCHEDULED"),COUNTIFS(tblSource[EventID],F4093,tblSource[ReleaseStatus],"APPROVED")=1,COUNTIFS(Period_Status!$A$2:$A$8,G4093,Period_Status!$B$2:$B$8,"ActualClosed")=1,C4093&gt;EOMONTH(Settlement_Bridge!$C$2,0)),1,0)</f>
        <v>0</v>
      </c>
      <c r="P4093" s="2" t="s">
        <v>11086</v>
      </c>
    </row>
    <row r="4094" spans="1:16" x14ac:dyDescent="0.25">
      <c r="A4094" s="2" t="s">
        <v>11087</v>
      </c>
      <c r="B4094" s="2" t="s">
        <v>7433</v>
      </c>
      <c r="C4094" s="8">
        <v>46274</v>
      </c>
      <c r="D4094" s="6">
        <v>46266</v>
      </c>
      <c r="E4094" s="2" t="s">
        <v>260</v>
      </c>
      <c r="F4094" s="2" t="s">
        <v>11088</v>
      </c>
      <c r="G4094" s="6">
        <v>46235</v>
      </c>
      <c r="H4094" s="2" t="s">
        <v>176</v>
      </c>
      <c r="I4094" s="2" t="s">
        <v>39</v>
      </c>
      <c r="J4094" s="9">
        <v>3245.1840000000002</v>
      </c>
      <c r="K4094" s="7">
        <v>1</v>
      </c>
      <c r="L4094" s="9">
        <v>3245.18</v>
      </c>
      <c r="M4094" s="9">
        <v>3245.18</v>
      </c>
      <c r="N4094" s="9">
        <v>1.8</v>
      </c>
      <c r="O4094" s="10">
        <f>IF(AND(OR(H4094="APPROVED",H4094="SCHEDULED"),COUNTIFS(tblSource[EventID],F4094,tblSource[ReleaseStatus],"APPROVED")=1,COUNTIFS(Period_Status!$A$2:$A$8,G4094,Period_Status!$B$2:$B$8,"ActualClosed")=1,C4094&gt;EOMONTH(Settlement_Bridge!$C$2,0)),1,0)</f>
        <v>0</v>
      </c>
      <c r="P4094" s="2" t="s">
        <v>11089</v>
      </c>
    </row>
    <row r="4095" spans="1:16" x14ac:dyDescent="0.25">
      <c r="A4095" s="2" t="s">
        <v>11090</v>
      </c>
      <c r="B4095" s="2" t="s">
        <v>7433</v>
      </c>
      <c r="C4095" s="8">
        <v>46299</v>
      </c>
      <c r="D4095" s="6">
        <v>46296</v>
      </c>
      <c r="E4095" s="2" t="s">
        <v>260</v>
      </c>
      <c r="F4095" s="2" t="s">
        <v>11088</v>
      </c>
      <c r="G4095" s="6">
        <v>46235</v>
      </c>
      <c r="H4095" s="2" t="s">
        <v>176</v>
      </c>
      <c r="I4095" s="2" t="s">
        <v>39</v>
      </c>
      <c r="J4095" s="9">
        <v>4867.7759999999998</v>
      </c>
      <c r="K4095" s="7">
        <v>1</v>
      </c>
      <c r="L4095" s="9">
        <v>4867.78</v>
      </c>
      <c r="M4095" s="9">
        <v>4867.78</v>
      </c>
      <c r="N4095" s="9">
        <v>2.68</v>
      </c>
      <c r="O4095" s="10">
        <f>IF(AND(OR(H4095="APPROVED",H4095="SCHEDULED"),COUNTIFS(tblSource[EventID],F4095,tblSource[ReleaseStatus],"APPROVED")=1,COUNTIFS(Period_Status!$A$2:$A$8,G4095,Period_Status!$B$2:$B$8,"ActualClosed")=1,C4095&gt;EOMONTH(Settlement_Bridge!$C$2,0)),1,0)</f>
        <v>0</v>
      </c>
      <c r="P4095" s="2" t="s">
        <v>11091</v>
      </c>
    </row>
    <row r="4096" spans="1:16" x14ac:dyDescent="0.25">
      <c r="A4096" s="2" t="s">
        <v>11092</v>
      </c>
      <c r="B4096" s="2" t="s">
        <v>7433</v>
      </c>
      <c r="C4096" s="8">
        <v>46275</v>
      </c>
      <c r="D4096" s="6">
        <v>46266</v>
      </c>
      <c r="E4096" s="2" t="s">
        <v>260</v>
      </c>
      <c r="F4096" s="2" t="s">
        <v>11093</v>
      </c>
      <c r="G4096" s="6">
        <v>46235</v>
      </c>
      <c r="H4096" s="2" t="s">
        <v>176</v>
      </c>
      <c r="I4096" s="2" t="s">
        <v>76</v>
      </c>
      <c r="J4096" s="9">
        <v>54567674.796747997</v>
      </c>
      <c r="K4096" s="7">
        <v>6.1299999999999999E-5</v>
      </c>
      <c r="L4096" s="9">
        <v>3345</v>
      </c>
      <c r="M4096" s="9">
        <v>3355.91</v>
      </c>
      <c r="N4096" s="9">
        <v>1.84</v>
      </c>
      <c r="O4096" s="10">
        <f>IF(AND(OR(H4096="APPROVED",H4096="SCHEDULED"),COUNTIFS(tblSource[EventID],F4096,tblSource[ReleaseStatus],"APPROVED")=1,COUNTIFS(Period_Status!$A$2:$A$8,G4096,Period_Status!$B$2:$B$8,"ActualClosed")=1,C4096&gt;EOMONTH(Settlement_Bridge!$C$2,0)),1,0)</f>
        <v>0</v>
      </c>
      <c r="P4096" s="2" t="s">
        <v>11094</v>
      </c>
    </row>
    <row r="4097" spans="1:16" x14ac:dyDescent="0.25">
      <c r="A4097" s="2" t="s">
        <v>11095</v>
      </c>
      <c r="B4097" s="2" t="s">
        <v>7433</v>
      </c>
      <c r="C4097" s="8">
        <v>46300</v>
      </c>
      <c r="D4097" s="6">
        <v>46296</v>
      </c>
      <c r="E4097" s="2" t="s">
        <v>260</v>
      </c>
      <c r="F4097" s="2" t="s">
        <v>11093</v>
      </c>
      <c r="G4097" s="6">
        <v>46235</v>
      </c>
      <c r="H4097" s="2" t="s">
        <v>176</v>
      </c>
      <c r="I4097" s="2" t="s">
        <v>76</v>
      </c>
      <c r="J4097" s="9">
        <v>81851512.195122004</v>
      </c>
      <c r="K4097" s="7">
        <v>6.1099999999999994E-5</v>
      </c>
      <c r="L4097" s="9">
        <v>5001.13</v>
      </c>
      <c r="M4097" s="9">
        <v>5033.87</v>
      </c>
      <c r="N4097" s="9">
        <v>2.75</v>
      </c>
      <c r="O4097" s="10">
        <f>IF(AND(OR(H4097="APPROVED",H4097="SCHEDULED"),COUNTIFS(tblSource[EventID],F4097,tblSource[ReleaseStatus],"APPROVED")=1,COUNTIFS(Period_Status!$A$2:$A$8,G4097,Period_Status!$B$2:$B$8,"ActualClosed")=1,C4097&gt;EOMONTH(Settlement_Bridge!$C$2,0)),1,0)</f>
        <v>0</v>
      </c>
      <c r="P4097" s="2" t="s">
        <v>11096</v>
      </c>
    </row>
    <row r="4098" spans="1:16" x14ac:dyDescent="0.25">
      <c r="A4098" s="2" t="s">
        <v>11097</v>
      </c>
      <c r="B4098" s="2" t="s">
        <v>7433</v>
      </c>
      <c r="C4098" s="8">
        <v>46276</v>
      </c>
      <c r="D4098" s="6">
        <v>46266</v>
      </c>
      <c r="E4098" s="2" t="s">
        <v>260</v>
      </c>
      <c r="F4098" s="2" t="s">
        <v>11098</v>
      </c>
      <c r="G4098" s="6">
        <v>46235</v>
      </c>
      <c r="H4098" s="2" t="s">
        <v>176</v>
      </c>
      <c r="I4098" s="2" t="s">
        <v>70</v>
      </c>
      <c r="J4098" s="9">
        <v>5333.2861540000004</v>
      </c>
      <c r="K4098" s="7">
        <v>0.65100000000000002</v>
      </c>
      <c r="L4098" s="9">
        <v>3471.97</v>
      </c>
      <c r="M4098" s="9">
        <v>3466.64</v>
      </c>
      <c r="N4098" s="9">
        <v>1.91</v>
      </c>
      <c r="O4098" s="10">
        <f>IF(AND(OR(H4098="APPROVED",H4098="SCHEDULED"),COUNTIFS(tblSource[EventID],F4098,tblSource[ReleaseStatus],"APPROVED")=1,COUNTIFS(Period_Status!$A$2:$A$8,G4098,Period_Status!$B$2:$B$8,"ActualClosed")=1,C4098&gt;EOMONTH(Settlement_Bridge!$C$2,0)),1,0)</f>
        <v>0</v>
      </c>
      <c r="P4098" s="2" t="s">
        <v>11099</v>
      </c>
    </row>
    <row r="4099" spans="1:16" x14ac:dyDescent="0.25">
      <c r="A4099" s="2" t="s">
        <v>11100</v>
      </c>
      <c r="B4099" s="2" t="s">
        <v>7433</v>
      </c>
      <c r="C4099" s="8">
        <v>46301</v>
      </c>
      <c r="D4099" s="6">
        <v>46296</v>
      </c>
      <c r="E4099" s="2" t="s">
        <v>260</v>
      </c>
      <c r="F4099" s="2" t="s">
        <v>11098</v>
      </c>
      <c r="G4099" s="6">
        <v>46235</v>
      </c>
      <c r="H4099" s="2" t="s">
        <v>176</v>
      </c>
      <c r="I4099" s="2" t="s">
        <v>70</v>
      </c>
      <c r="J4099" s="9">
        <v>7999.9292310000001</v>
      </c>
      <c r="K4099" s="7">
        <v>0.65500000000000003</v>
      </c>
      <c r="L4099" s="9">
        <v>5239.95</v>
      </c>
      <c r="M4099" s="9">
        <v>5199.95</v>
      </c>
      <c r="N4099" s="9">
        <v>2.88</v>
      </c>
      <c r="O4099" s="10">
        <f>IF(AND(OR(H4099="APPROVED",H4099="SCHEDULED"),COUNTIFS(tblSource[EventID],F4099,tblSource[ReleaseStatus],"APPROVED")=1,COUNTIFS(Period_Status!$A$2:$A$8,G4099,Period_Status!$B$2:$B$8,"ActualClosed")=1,C4099&gt;EOMONTH(Settlement_Bridge!$C$2,0)),1,0)</f>
        <v>0</v>
      </c>
      <c r="P4099" s="2" t="s">
        <v>11101</v>
      </c>
    </row>
    <row r="4100" spans="1:16" x14ac:dyDescent="0.25">
      <c r="A4100" s="2" t="s">
        <v>11102</v>
      </c>
      <c r="B4100" s="2" t="s">
        <v>7433</v>
      </c>
      <c r="C4100" s="8">
        <v>46277</v>
      </c>
      <c r="D4100" s="6">
        <v>46266</v>
      </c>
      <c r="E4100" s="2" t="s">
        <v>260</v>
      </c>
      <c r="F4100" s="2" t="s">
        <v>11103</v>
      </c>
      <c r="G4100" s="6">
        <v>46235</v>
      </c>
      <c r="H4100" s="2" t="s">
        <v>176</v>
      </c>
      <c r="I4100" s="2" t="s">
        <v>39</v>
      </c>
      <c r="J4100" s="9">
        <v>3577.364</v>
      </c>
      <c r="K4100" s="7">
        <v>1</v>
      </c>
      <c r="L4100" s="9">
        <v>3577.36</v>
      </c>
      <c r="M4100" s="9">
        <v>3577.36</v>
      </c>
      <c r="N4100" s="9">
        <v>1.97</v>
      </c>
      <c r="O4100" s="10">
        <f>IF(AND(OR(H4100="APPROVED",H4100="SCHEDULED"),COUNTIFS(tblSource[EventID],F4100,tblSource[ReleaseStatus],"APPROVED")=1,COUNTIFS(Period_Status!$A$2:$A$8,G4100,Period_Status!$B$2:$B$8,"ActualClosed")=1,C4100&gt;EOMONTH(Settlement_Bridge!$C$2,0)),1,0)</f>
        <v>0</v>
      </c>
      <c r="P4100" s="2" t="s">
        <v>11104</v>
      </c>
    </row>
    <row r="4101" spans="1:16" x14ac:dyDescent="0.25">
      <c r="A4101" s="2" t="s">
        <v>11105</v>
      </c>
      <c r="B4101" s="2" t="s">
        <v>7433</v>
      </c>
      <c r="C4101" s="8">
        <v>46302</v>
      </c>
      <c r="D4101" s="6">
        <v>46296</v>
      </c>
      <c r="E4101" s="2" t="s">
        <v>260</v>
      </c>
      <c r="F4101" s="2" t="s">
        <v>11103</v>
      </c>
      <c r="G4101" s="6">
        <v>46235</v>
      </c>
      <c r="H4101" s="2" t="s">
        <v>176</v>
      </c>
      <c r="I4101" s="2" t="s">
        <v>39</v>
      </c>
      <c r="J4101" s="9">
        <v>5366.0460000000003</v>
      </c>
      <c r="K4101" s="7">
        <v>1</v>
      </c>
      <c r="L4101" s="9">
        <v>5366.05</v>
      </c>
      <c r="M4101" s="9">
        <v>5366.05</v>
      </c>
      <c r="N4101" s="9">
        <v>2.95</v>
      </c>
      <c r="O4101" s="10">
        <f>IF(AND(OR(H4101="APPROVED",H4101="SCHEDULED"),COUNTIFS(tblSource[EventID],F4101,tblSource[ReleaseStatus],"APPROVED")=1,COUNTIFS(Period_Status!$A$2:$A$8,G4101,Period_Status!$B$2:$B$8,"ActualClosed")=1,C4101&gt;EOMONTH(Settlement_Bridge!$C$2,0)),1,0)</f>
        <v>0</v>
      </c>
      <c r="P4101" s="2" t="s">
        <v>11106</v>
      </c>
    </row>
    <row r="4102" spans="1:16" x14ac:dyDescent="0.25">
      <c r="A4102" s="2" t="s">
        <v>11107</v>
      </c>
      <c r="B4102" s="2" t="s">
        <v>7433</v>
      </c>
      <c r="C4102" s="8">
        <v>46278</v>
      </c>
      <c r="D4102" s="6">
        <v>46266</v>
      </c>
      <c r="E4102" s="2" t="s">
        <v>260</v>
      </c>
      <c r="F4102" s="2" t="s">
        <v>11108</v>
      </c>
      <c r="G4102" s="6">
        <v>46235</v>
      </c>
      <c r="H4102" s="2" t="s">
        <v>176</v>
      </c>
      <c r="I4102" s="2" t="s">
        <v>76</v>
      </c>
      <c r="J4102" s="9">
        <v>59968910.569105998</v>
      </c>
      <c r="K4102" s="7">
        <v>6.1299999999999999E-5</v>
      </c>
      <c r="L4102" s="9">
        <v>3676.09</v>
      </c>
      <c r="M4102" s="9">
        <v>3688.09</v>
      </c>
      <c r="N4102" s="9">
        <v>2.02</v>
      </c>
      <c r="O4102" s="10">
        <f>IF(AND(OR(H4102="APPROVED",H4102="SCHEDULED"),COUNTIFS(tblSource[EventID],F4102,tblSource[ReleaseStatus],"APPROVED")=1,COUNTIFS(Period_Status!$A$2:$A$8,G4102,Period_Status!$B$2:$B$8,"ActualClosed")=1,C4102&gt;EOMONTH(Settlement_Bridge!$C$2,0)),1,0)</f>
        <v>0</v>
      </c>
      <c r="P4102" s="2" t="s">
        <v>11109</v>
      </c>
    </row>
    <row r="4103" spans="1:16" x14ac:dyDescent="0.25">
      <c r="A4103" s="2" t="s">
        <v>11110</v>
      </c>
      <c r="B4103" s="2" t="s">
        <v>7433</v>
      </c>
      <c r="C4103" s="8">
        <v>46303</v>
      </c>
      <c r="D4103" s="6">
        <v>46296</v>
      </c>
      <c r="E4103" s="2" t="s">
        <v>260</v>
      </c>
      <c r="F4103" s="2" t="s">
        <v>11108</v>
      </c>
      <c r="G4103" s="6">
        <v>46235</v>
      </c>
      <c r="H4103" s="2" t="s">
        <v>176</v>
      </c>
      <c r="I4103" s="2" t="s">
        <v>76</v>
      </c>
      <c r="J4103" s="9">
        <v>89953365.853658006</v>
      </c>
      <c r="K4103" s="7">
        <v>6.1099999999999994E-5</v>
      </c>
      <c r="L4103" s="9">
        <v>5496.15</v>
      </c>
      <c r="M4103" s="9">
        <v>5532.13</v>
      </c>
      <c r="N4103" s="9">
        <v>3.02</v>
      </c>
      <c r="O4103" s="10">
        <f>IF(AND(OR(H4103="APPROVED",H4103="SCHEDULED"),COUNTIFS(tblSource[EventID],F4103,tblSource[ReleaseStatus],"APPROVED")=1,COUNTIFS(Period_Status!$A$2:$A$8,G4103,Period_Status!$B$2:$B$8,"ActualClosed")=1,C4103&gt;EOMONTH(Settlement_Bridge!$C$2,0)),1,0)</f>
        <v>0</v>
      </c>
      <c r="P4103" s="2" t="s">
        <v>11111</v>
      </c>
    </row>
    <row r="4104" spans="1:16" x14ac:dyDescent="0.25">
      <c r="A4104" s="2" t="s">
        <v>11112</v>
      </c>
      <c r="B4104" s="2" t="s">
        <v>7433</v>
      </c>
      <c r="C4104" s="8">
        <v>46279</v>
      </c>
      <c r="D4104" s="6">
        <v>46266</v>
      </c>
      <c r="E4104" s="2" t="s">
        <v>260</v>
      </c>
      <c r="F4104" s="2" t="s">
        <v>11113</v>
      </c>
      <c r="G4104" s="6">
        <v>46235</v>
      </c>
      <c r="H4104" s="2" t="s">
        <v>176</v>
      </c>
      <c r="I4104" s="2" t="s">
        <v>70</v>
      </c>
      <c r="J4104" s="9">
        <v>5844.332308</v>
      </c>
      <c r="K4104" s="7">
        <v>0.65100000000000002</v>
      </c>
      <c r="L4104" s="9">
        <v>3804.66</v>
      </c>
      <c r="M4104" s="9">
        <v>3798.82</v>
      </c>
      <c r="N4104" s="9">
        <v>2.09</v>
      </c>
      <c r="O4104" s="10">
        <f>IF(AND(OR(H4104="APPROVED",H4104="SCHEDULED"),COUNTIFS(tblSource[EventID],F4104,tblSource[ReleaseStatus],"APPROVED")=1,COUNTIFS(Period_Status!$A$2:$A$8,G4104,Period_Status!$B$2:$B$8,"ActualClosed")=1,C4104&gt;EOMONTH(Settlement_Bridge!$C$2,0)),1,0)</f>
        <v>0</v>
      </c>
      <c r="P4104" s="2" t="s">
        <v>11114</v>
      </c>
    </row>
    <row r="4105" spans="1:16" x14ac:dyDescent="0.25">
      <c r="A4105" s="2" t="s">
        <v>11115</v>
      </c>
      <c r="B4105" s="2" t="s">
        <v>7433</v>
      </c>
      <c r="C4105" s="8">
        <v>46304</v>
      </c>
      <c r="D4105" s="6">
        <v>46296</v>
      </c>
      <c r="E4105" s="2" t="s">
        <v>260</v>
      </c>
      <c r="F4105" s="2" t="s">
        <v>11113</v>
      </c>
      <c r="G4105" s="6">
        <v>46235</v>
      </c>
      <c r="H4105" s="2" t="s">
        <v>176</v>
      </c>
      <c r="I4105" s="2" t="s">
        <v>70</v>
      </c>
      <c r="J4105" s="9">
        <v>8766.4984609999992</v>
      </c>
      <c r="K4105" s="7">
        <v>0.65500000000000003</v>
      </c>
      <c r="L4105" s="9">
        <v>5742.06</v>
      </c>
      <c r="M4105" s="9">
        <v>5698.22</v>
      </c>
      <c r="N4105" s="9">
        <v>3.16</v>
      </c>
      <c r="O4105" s="10">
        <f>IF(AND(OR(H4105="APPROVED",H4105="SCHEDULED"),COUNTIFS(tblSource[EventID],F4105,tblSource[ReleaseStatus],"APPROVED")=1,COUNTIFS(Period_Status!$A$2:$A$8,G4105,Period_Status!$B$2:$B$8,"ActualClosed")=1,C4105&gt;EOMONTH(Settlement_Bridge!$C$2,0)),1,0)</f>
        <v>0</v>
      </c>
      <c r="P4105" s="2" t="s">
        <v>11116</v>
      </c>
    </row>
    <row r="4106" spans="1:16" x14ac:dyDescent="0.25">
      <c r="A4106" s="2" t="s">
        <v>11117</v>
      </c>
      <c r="B4106" s="2" t="s">
        <v>7433</v>
      </c>
      <c r="C4106" s="8">
        <v>46249</v>
      </c>
      <c r="D4106" s="6">
        <v>46235</v>
      </c>
      <c r="E4106" s="2" t="s">
        <v>260</v>
      </c>
      <c r="F4106" s="2" t="s">
        <v>11118</v>
      </c>
      <c r="G4106" s="6">
        <v>46235</v>
      </c>
      <c r="H4106" s="2" t="s">
        <v>71</v>
      </c>
      <c r="I4106" s="2" t="s">
        <v>39</v>
      </c>
      <c r="J4106" s="9">
        <v>3909.5439999999999</v>
      </c>
      <c r="K4106" s="7">
        <v>1</v>
      </c>
      <c r="L4106" s="9">
        <v>3909.54</v>
      </c>
      <c r="M4106" s="9">
        <v>3909.54</v>
      </c>
      <c r="N4106" s="9">
        <v>2.15</v>
      </c>
      <c r="O4106" s="10">
        <f>IF(AND(OR(H4106="APPROVED",H4106="SCHEDULED"),COUNTIFS(tblSource[EventID],F4106,tblSource[ReleaseStatus],"APPROVED")=1,COUNTIFS(Period_Status!$A$2:$A$8,G4106,Period_Status!$B$2:$B$8,"ActualClosed")=1,C4106&gt;EOMONTH(Settlement_Bridge!$C$2,0)),1,0)</f>
        <v>0</v>
      </c>
      <c r="P4106" s="2" t="s">
        <v>11119</v>
      </c>
    </row>
    <row r="4107" spans="1:16" x14ac:dyDescent="0.25">
      <c r="A4107" s="2" t="s">
        <v>11120</v>
      </c>
      <c r="B4107" s="2" t="s">
        <v>7433</v>
      </c>
      <c r="C4107" s="8">
        <v>46274</v>
      </c>
      <c r="D4107" s="6">
        <v>46266</v>
      </c>
      <c r="E4107" s="2" t="s">
        <v>260</v>
      </c>
      <c r="F4107" s="2" t="s">
        <v>11118</v>
      </c>
      <c r="G4107" s="6">
        <v>46235</v>
      </c>
      <c r="H4107" s="2" t="s">
        <v>176</v>
      </c>
      <c r="I4107" s="2" t="s">
        <v>39</v>
      </c>
      <c r="J4107" s="9">
        <v>5864.3159999999998</v>
      </c>
      <c r="K4107" s="7">
        <v>1</v>
      </c>
      <c r="L4107" s="9">
        <v>5864.32</v>
      </c>
      <c r="M4107" s="9">
        <v>5864.32</v>
      </c>
      <c r="N4107" s="9">
        <v>3.23</v>
      </c>
      <c r="O4107" s="10">
        <f>IF(AND(OR(H4107="APPROVED",H4107="SCHEDULED"),COUNTIFS(tblSource[EventID],F4107,tblSource[ReleaseStatus],"APPROVED")=1,COUNTIFS(Period_Status!$A$2:$A$8,G4107,Period_Status!$B$2:$B$8,"ActualClosed")=1,C4107&gt;EOMONTH(Settlement_Bridge!$C$2,0)),1,0)</f>
        <v>0</v>
      </c>
      <c r="P4107" s="2" t="s">
        <v>11121</v>
      </c>
    </row>
    <row r="4108" spans="1:16" x14ac:dyDescent="0.25">
      <c r="A4108" s="2" t="s">
        <v>11122</v>
      </c>
      <c r="B4108" s="2" t="s">
        <v>7433</v>
      </c>
      <c r="C4108" s="8">
        <v>46250</v>
      </c>
      <c r="D4108" s="6">
        <v>46235</v>
      </c>
      <c r="E4108" s="2" t="s">
        <v>260</v>
      </c>
      <c r="F4108" s="2" t="s">
        <v>11123</v>
      </c>
      <c r="G4108" s="6">
        <v>46235</v>
      </c>
      <c r="H4108" s="2" t="s">
        <v>71</v>
      </c>
      <c r="I4108" s="2" t="s">
        <v>76</v>
      </c>
      <c r="J4108" s="9">
        <v>65370211.382114001</v>
      </c>
      <c r="K4108" s="7">
        <v>6.1500000000000004E-5</v>
      </c>
      <c r="L4108" s="9">
        <v>4020.27</v>
      </c>
      <c r="M4108" s="9">
        <v>4020.27</v>
      </c>
      <c r="N4108" s="9">
        <v>2.21</v>
      </c>
      <c r="O4108" s="10">
        <f>IF(AND(OR(H4108="APPROVED",H4108="SCHEDULED"),COUNTIFS(tblSource[EventID],F4108,tblSource[ReleaseStatus],"APPROVED")=1,COUNTIFS(Period_Status!$A$2:$A$8,G4108,Period_Status!$B$2:$B$8,"ActualClosed")=1,C4108&gt;EOMONTH(Settlement_Bridge!$C$2,0)),1,0)</f>
        <v>0</v>
      </c>
      <c r="P4108" s="2" t="s">
        <v>11124</v>
      </c>
    </row>
    <row r="4109" spans="1:16" x14ac:dyDescent="0.25">
      <c r="A4109" s="2" t="s">
        <v>11125</v>
      </c>
      <c r="B4109" s="2" t="s">
        <v>7433</v>
      </c>
      <c r="C4109" s="8">
        <v>46275</v>
      </c>
      <c r="D4109" s="6">
        <v>46266</v>
      </c>
      <c r="E4109" s="2" t="s">
        <v>260</v>
      </c>
      <c r="F4109" s="2" t="s">
        <v>11123</v>
      </c>
      <c r="G4109" s="6">
        <v>46235</v>
      </c>
      <c r="H4109" s="2" t="s">
        <v>176</v>
      </c>
      <c r="I4109" s="2" t="s">
        <v>76</v>
      </c>
      <c r="J4109" s="9">
        <v>98055317.073171005</v>
      </c>
      <c r="K4109" s="7">
        <v>6.1299999999999999E-5</v>
      </c>
      <c r="L4109" s="9">
        <v>6010.79</v>
      </c>
      <c r="M4109" s="9">
        <v>6030.4</v>
      </c>
      <c r="N4109" s="9">
        <v>3.31</v>
      </c>
      <c r="O4109" s="10">
        <f>IF(AND(OR(H4109="APPROVED",H4109="SCHEDULED"),COUNTIFS(tblSource[EventID],F4109,tblSource[ReleaseStatus],"APPROVED")=1,COUNTIFS(Period_Status!$A$2:$A$8,G4109,Period_Status!$B$2:$B$8,"ActualClosed")=1,C4109&gt;EOMONTH(Settlement_Bridge!$C$2,0)),1,0)</f>
        <v>0</v>
      </c>
      <c r="P4109" s="2" t="s">
        <v>11126</v>
      </c>
    </row>
    <row r="4110" spans="1:16" x14ac:dyDescent="0.25">
      <c r="A4110" s="2" t="s">
        <v>11127</v>
      </c>
      <c r="B4110" s="2" t="s">
        <v>7433</v>
      </c>
      <c r="C4110" s="8">
        <v>46251</v>
      </c>
      <c r="D4110" s="6">
        <v>46235</v>
      </c>
      <c r="E4110" s="2" t="s">
        <v>260</v>
      </c>
      <c r="F4110" s="2" t="s">
        <v>11128</v>
      </c>
      <c r="G4110" s="6">
        <v>46235</v>
      </c>
      <c r="H4110" s="2" t="s">
        <v>71</v>
      </c>
      <c r="I4110" s="2" t="s">
        <v>70</v>
      </c>
      <c r="J4110" s="9">
        <v>6355.3784619999997</v>
      </c>
      <c r="K4110" s="7">
        <v>0.65</v>
      </c>
      <c r="L4110" s="9">
        <v>4131</v>
      </c>
      <c r="M4110" s="9">
        <v>4131</v>
      </c>
      <c r="N4110" s="9">
        <v>2.27</v>
      </c>
      <c r="O4110" s="10">
        <f>IF(AND(OR(H4110="APPROVED",H4110="SCHEDULED"),COUNTIFS(tblSource[EventID],F4110,tblSource[ReleaseStatus],"APPROVED")=1,COUNTIFS(Period_Status!$A$2:$A$8,G4110,Period_Status!$B$2:$B$8,"ActualClosed")=1,C4110&gt;EOMONTH(Settlement_Bridge!$C$2,0)),1,0)</f>
        <v>0</v>
      </c>
      <c r="P4110" s="2" t="s">
        <v>11129</v>
      </c>
    </row>
    <row r="4111" spans="1:16" x14ac:dyDescent="0.25">
      <c r="A4111" s="2" t="s">
        <v>11130</v>
      </c>
      <c r="B4111" s="2" t="s">
        <v>7433</v>
      </c>
      <c r="C4111" s="8">
        <v>46276</v>
      </c>
      <c r="D4111" s="6">
        <v>46266</v>
      </c>
      <c r="E4111" s="2" t="s">
        <v>260</v>
      </c>
      <c r="F4111" s="2" t="s">
        <v>11128</v>
      </c>
      <c r="G4111" s="6">
        <v>46235</v>
      </c>
      <c r="H4111" s="2" t="s">
        <v>176</v>
      </c>
      <c r="I4111" s="2" t="s">
        <v>70</v>
      </c>
      <c r="J4111" s="9">
        <v>9533.0676920000005</v>
      </c>
      <c r="K4111" s="7">
        <v>0.65100000000000002</v>
      </c>
      <c r="L4111" s="9">
        <v>6206.03</v>
      </c>
      <c r="M4111" s="9">
        <v>6196.49</v>
      </c>
      <c r="N4111" s="9">
        <v>3.41</v>
      </c>
      <c r="O4111" s="10">
        <f>IF(AND(OR(H4111="APPROVED",H4111="SCHEDULED"),COUNTIFS(tblSource[EventID],F4111,tblSource[ReleaseStatus],"APPROVED")=1,COUNTIFS(Period_Status!$A$2:$A$8,G4111,Period_Status!$B$2:$B$8,"ActualClosed")=1,C4111&gt;EOMONTH(Settlement_Bridge!$C$2,0)),1,0)</f>
        <v>0</v>
      </c>
      <c r="P4111" s="2" t="s">
        <v>11131</v>
      </c>
    </row>
    <row r="4112" spans="1:16" x14ac:dyDescent="0.25">
      <c r="A4112" s="2" t="s">
        <v>11132</v>
      </c>
      <c r="B4112" s="2" t="s">
        <v>7433</v>
      </c>
      <c r="C4112" s="8">
        <v>46252</v>
      </c>
      <c r="D4112" s="6">
        <v>46235</v>
      </c>
      <c r="E4112" s="2" t="s">
        <v>260</v>
      </c>
      <c r="F4112" s="2" t="s">
        <v>11133</v>
      </c>
      <c r="G4112" s="6">
        <v>46235</v>
      </c>
      <c r="H4112" s="2" t="s">
        <v>71</v>
      </c>
      <c r="I4112" s="2" t="s">
        <v>39</v>
      </c>
      <c r="J4112" s="9">
        <v>4241.72</v>
      </c>
      <c r="K4112" s="7">
        <v>1</v>
      </c>
      <c r="L4112" s="9">
        <v>4241.72</v>
      </c>
      <c r="M4112" s="9">
        <v>4241.72</v>
      </c>
      <c r="N4112" s="9">
        <v>2.33</v>
      </c>
      <c r="O4112" s="10">
        <f>IF(AND(OR(H4112="APPROVED",H4112="SCHEDULED"),COUNTIFS(tblSource[EventID],F4112,tblSource[ReleaseStatus],"APPROVED")=1,COUNTIFS(Period_Status!$A$2:$A$8,G4112,Period_Status!$B$2:$B$8,"ActualClosed")=1,C4112&gt;EOMONTH(Settlement_Bridge!$C$2,0)),1,0)</f>
        <v>0</v>
      </c>
      <c r="P4112" s="2" t="s">
        <v>11134</v>
      </c>
    </row>
    <row r="4113" spans="1:16" x14ac:dyDescent="0.25">
      <c r="A4113" s="2" t="s">
        <v>11135</v>
      </c>
      <c r="B4113" s="2" t="s">
        <v>7433</v>
      </c>
      <c r="C4113" s="8">
        <v>46277</v>
      </c>
      <c r="D4113" s="6">
        <v>46266</v>
      </c>
      <c r="E4113" s="2" t="s">
        <v>260</v>
      </c>
      <c r="F4113" s="2" t="s">
        <v>11133</v>
      </c>
      <c r="G4113" s="6">
        <v>46235</v>
      </c>
      <c r="H4113" s="2" t="s">
        <v>176</v>
      </c>
      <c r="I4113" s="2" t="s">
        <v>39</v>
      </c>
      <c r="J4113" s="9">
        <v>6362.58</v>
      </c>
      <c r="K4113" s="7">
        <v>1</v>
      </c>
      <c r="L4113" s="9">
        <v>6362.58</v>
      </c>
      <c r="M4113" s="9">
        <v>6362.58</v>
      </c>
      <c r="N4113" s="9">
        <v>3.5</v>
      </c>
      <c r="O4113" s="10">
        <f>IF(AND(OR(H4113="APPROVED",H4113="SCHEDULED"),COUNTIFS(tblSource[EventID],F4113,tblSource[ReleaseStatus],"APPROVED")=1,COUNTIFS(Period_Status!$A$2:$A$8,G4113,Period_Status!$B$2:$B$8,"ActualClosed")=1,C4113&gt;EOMONTH(Settlement_Bridge!$C$2,0)),1,0)</f>
        <v>0</v>
      </c>
      <c r="P4113" s="2" t="s">
        <v>11136</v>
      </c>
    </row>
    <row r="4114" spans="1:16" x14ac:dyDescent="0.25">
      <c r="A4114" s="2" t="s">
        <v>11137</v>
      </c>
      <c r="B4114" s="2" t="s">
        <v>7433</v>
      </c>
      <c r="C4114" s="8">
        <v>46253</v>
      </c>
      <c r="D4114" s="6">
        <v>46235</v>
      </c>
      <c r="E4114" s="2" t="s">
        <v>260</v>
      </c>
      <c r="F4114" s="2" t="s">
        <v>11138</v>
      </c>
      <c r="G4114" s="6">
        <v>46235</v>
      </c>
      <c r="H4114" s="2" t="s">
        <v>71</v>
      </c>
      <c r="I4114" s="2" t="s">
        <v>76</v>
      </c>
      <c r="J4114" s="9">
        <v>70771512.195122004</v>
      </c>
      <c r="K4114" s="7">
        <v>6.1500000000000004E-5</v>
      </c>
      <c r="L4114" s="9">
        <v>4352.45</v>
      </c>
      <c r="M4114" s="9">
        <v>4352.45</v>
      </c>
      <c r="N4114" s="9">
        <v>2.39</v>
      </c>
      <c r="O4114" s="10">
        <f>IF(AND(OR(H4114="APPROVED",H4114="SCHEDULED"),COUNTIFS(tblSource[EventID],F4114,tblSource[ReleaseStatus],"APPROVED")=1,COUNTIFS(Period_Status!$A$2:$A$8,G4114,Period_Status!$B$2:$B$8,"ActualClosed")=1,C4114&gt;EOMONTH(Settlement_Bridge!$C$2,0)),1,0)</f>
        <v>0</v>
      </c>
      <c r="P4114" s="2" t="s">
        <v>11139</v>
      </c>
    </row>
    <row r="4115" spans="1:16" x14ac:dyDescent="0.25">
      <c r="A4115" s="2" t="s">
        <v>11140</v>
      </c>
      <c r="B4115" s="2" t="s">
        <v>7433</v>
      </c>
      <c r="C4115" s="8">
        <v>46278</v>
      </c>
      <c r="D4115" s="6">
        <v>46266</v>
      </c>
      <c r="E4115" s="2" t="s">
        <v>260</v>
      </c>
      <c r="F4115" s="2" t="s">
        <v>11138</v>
      </c>
      <c r="G4115" s="6">
        <v>46235</v>
      </c>
      <c r="H4115" s="2" t="s">
        <v>176</v>
      </c>
      <c r="I4115" s="2" t="s">
        <v>76</v>
      </c>
      <c r="J4115" s="9">
        <v>106157268.29268301</v>
      </c>
      <c r="K4115" s="7">
        <v>6.1299999999999999E-5</v>
      </c>
      <c r="L4115" s="9">
        <v>6507.44</v>
      </c>
      <c r="M4115" s="9">
        <v>6528.67</v>
      </c>
      <c r="N4115" s="9">
        <v>3.58</v>
      </c>
      <c r="O4115" s="10">
        <f>IF(AND(OR(H4115="APPROVED",H4115="SCHEDULED"),COUNTIFS(tblSource[EventID],F4115,tblSource[ReleaseStatus],"APPROVED")=1,COUNTIFS(Period_Status!$A$2:$A$8,G4115,Period_Status!$B$2:$B$8,"ActualClosed")=1,C4115&gt;EOMONTH(Settlement_Bridge!$C$2,0)),1,0)</f>
        <v>0</v>
      </c>
      <c r="P4115" s="2" t="s">
        <v>11141</v>
      </c>
    </row>
    <row r="4116" spans="1:16" x14ac:dyDescent="0.25">
      <c r="A4116" s="2" t="s">
        <v>11142</v>
      </c>
      <c r="B4116" s="2" t="s">
        <v>7433</v>
      </c>
      <c r="C4116" s="8">
        <v>46254</v>
      </c>
      <c r="D4116" s="6">
        <v>46235</v>
      </c>
      <c r="E4116" s="2" t="s">
        <v>260</v>
      </c>
      <c r="F4116" s="2" t="s">
        <v>11143</v>
      </c>
      <c r="G4116" s="6">
        <v>46235</v>
      </c>
      <c r="H4116" s="2" t="s">
        <v>71</v>
      </c>
      <c r="I4116" s="2" t="s">
        <v>70</v>
      </c>
      <c r="J4116" s="9">
        <v>6866.4246149999999</v>
      </c>
      <c r="K4116" s="7">
        <v>0.65</v>
      </c>
      <c r="L4116" s="9">
        <v>4463.18</v>
      </c>
      <c r="M4116" s="9">
        <v>4463.18</v>
      </c>
      <c r="N4116" s="9">
        <v>2.4500000000000002</v>
      </c>
      <c r="O4116" s="10">
        <f>IF(AND(OR(H4116="APPROVED",H4116="SCHEDULED"),COUNTIFS(tblSource[EventID],F4116,tblSource[ReleaseStatus],"APPROVED")=1,COUNTIFS(Period_Status!$A$2:$A$8,G4116,Period_Status!$B$2:$B$8,"ActualClosed")=1,C4116&gt;EOMONTH(Settlement_Bridge!$C$2,0)),1,0)</f>
        <v>0</v>
      </c>
      <c r="P4116" s="2" t="s">
        <v>11144</v>
      </c>
    </row>
    <row r="4117" spans="1:16" x14ac:dyDescent="0.25">
      <c r="A4117" s="2" t="s">
        <v>11145</v>
      </c>
      <c r="B4117" s="2" t="s">
        <v>7433</v>
      </c>
      <c r="C4117" s="8">
        <v>46279</v>
      </c>
      <c r="D4117" s="6">
        <v>46266</v>
      </c>
      <c r="E4117" s="2" t="s">
        <v>260</v>
      </c>
      <c r="F4117" s="2" t="s">
        <v>11143</v>
      </c>
      <c r="G4117" s="6">
        <v>46235</v>
      </c>
      <c r="H4117" s="2" t="s">
        <v>176</v>
      </c>
      <c r="I4117" s="2" t="s">
        <v>70</v>
      </c>
      <c r="J4117" s="9">
        <v>10299.636923</v>
      </c>
      <c r="K4117" s="7">
        <v>0.65100000000000002</v>
      </c>
      <c r="L4117" s="9">
        <v>6705.06</v>
      </c>
      <c r="M4117" s="9">
        <v>6694.76</v>
      </c>
      <c r="N4117" s="9">
        <v>3.69</v>
      </c>
      <c r="O4117" s="10">
        <f>IF(AND(OR(H4117="APPROVED",H4117="SCHEDULED"),COUNTIFS(tblSource[EventID],F4117,tblSource[ReleaseStatus],"APPROVED")=1,COUNTIFS(Period_Status!$A$2:$A$8,G4117,Period_Status!$B$2:$B$8,"ActualClosed")=1,C4117&gt;EOMONTH(Settlement_Bridge!$C$2,0)),1,0)</f>
        <v>0</v>
      </c>
      <c r="P4117" s="2" t="s">
        <v>11146</v>
      </c>
    </row>
    <row r="4118" spans="1:16" x14ac:dyDescent="0.25">
      <c r="A4118" s="2" t="s">
        <v>11147</v>
      </c>
      <c r="B4118" s="2" t="s">
        <v>7433</v>
      </c>
      <c r="C4118" s="8">
        <v>46255</v>
      </c>
      <c r="D4118" s="6">
        <v>46235</v>
      </c>
      <c r="E4118" s="2" t="s">
        <v>260</v>
      </c>
      <c r="F4118" s="2" t="s">
        <v>11148</v>
      </c>
      <c r="G4118" s="6">
        <v>46235</v>
      </c>
      <c r="H4118" s="2" t="s">
        <v>71</v>
      </c>
      <c r="I4118" s="2" t="s">
        <v>39</v>
      </c>
      <c r="J4118" s="9">
        <v>4573.8999999999996</v>
      </c>
      <c r="K4118" s="7">
        <v>1</v>
      </c>
      <c r="L4118" s="9">
        <v>4573.8999999999996</v>
      </c>
      <c r="M4118" s="9">
        <v>4573.8999999999996</v>
      </c>
      <c r="N4118" s="9">
        <v>2.52</v>
      </c>
      <c r="O4118" s="10">
        <f>IF(AND(OR(H4118="APPROVED",H4118="SCHEDULED"),COUNTIFS(tblSource[EventID],F4118,tblSource[ReleaseStatus],"APPROVED")=1,COUNTIFS(Period_Status!$A$2:$A$8,G4118,Period_Status!$B$2:$B$8,"ActualClosed")=1,C4118&gt;EOMONTH(Settlement_Bridge!$C$2,0)),1,0)</f>
        <v>0</v>
      </c>
      <c r="P4118" s="2" t="s">
        <v>11149</v>
      </c>
    </row>
    <row r="4119" spans="1:16" x14ac:dyDescent="0.25">
      <c r="A4119" s="2" t="s">
        <v>11150</v>
      </c>
      <c r="B4119" s="2" t="s">
        <v>7433</v>
      </c>
      <c r="C4119" s="8">
        <v>46280</v>
      </c>
      <c r="D4119" s="6">
        <v>46266</v>
      </c>
      <c r="E4119" s="2" t="s">
        <v>260</v>
      </c>
      <c r="F4119" s="2" t="s">
        <v>11148</v>
      </c>
      <c r="G4119" s="6">
        <v>46235</v>
      </c>
      <c r="H4119" s="2" t="s">
        <v>176</v>
      </c>
      <c r="I4119" s="2" t="s">
        <v>39</v>
      </c>
      <c r="J4119" s="9">
        <v>6860.85</v>
      </c>
      <c r="K4119" s="7">
        <v>1</v>
      </c>
      <c r="L4119" s="9">
        <v>6860.85</v>
      </c>
      <c r="M4119" s="9">
        <v>6860.85</v>
      </c>
      <c r="N4119" s="9">
        <v>3.77</v>
      </c>
      <c r="O4119" s="10">
        <f>IF(AND(OR(H4119="APPROVED",H4119="SCHEDULED"),COUNTIFS(tblSource[EventID],F4119,tblSource[ReleaseStatus],"APPROVED")=1,COUNTIFS(Period_Status!$A$2:$A$8,G4119,Period_Status!$B$2:$B$8,"ActualClosed")=1,C4119&gt;EOMONTH(Settlement_Bridge!$C$2,0)),1,0)</f>
        <v>0</v>
      </c>
      <c r="P4119" s="2" t="s">
        <v>11151</v>
      </c>
    </row>
    <row r="4120" spans="1:16" x14ac:dyDescent="0.25">
      <c r="A4120" s="2" t="s">
        <v>11152</v>
      </c>
      <c r="B4120" s="2" t="s">
        <v>7433</v>
      </c>
      <c r="C4120" s="8">
        <v>46256</v>
      </c>
      <c r="D4120" s="6">
        <v>46235</v>
      </c>
      <c r="E4120" s="2" t="s">
        <v>260</v>
      </c>
      <c r="F4120" s="2" t="s">
        <v>11153</v>
      </c>
      <c r="G4120" s="6">
        <v>46235</v>
      </c>
      <c r="H4120" s="2" t="s">
        <v>71</v>
      </c>
      <c r="I4120" s="2" t="s">
        <v>76</v>
      </c>
      <c r="J4120" s="9">
        <v>76172813.008129999</v>
      </c>
      <c r="K4120" s="7">
        <v>6.1500000000000004E-5</v>
      </c>
      <c r="L4120" s="9">
        <v>4684.63</v>
      </c>
      <c r="M4120" s="9">
        <v>4684.63</v>
      </c>
      <c r="N4120" s="9">
        <v>2.58</v>
      </c>
      <c r="O4120" s="10">
        <f>IF(AND(OR(H4120="APPROVED",H4120="SCHEDULED"),COUNTIFS(tblSource[EventID],F4120,tblSource[ReleaseStatus],"APPROVED")=1,COUNTIFS(Period_Status!$A$2:$A$8,G4120,Period_Status!$B$2:$B$8,"ActualClosed")=1,C4120&gt;EOMONTH(Settlement_Bridge!$C$2,0)),1,0)</f>
        <v>0</v>
      </c>
      <c r="P4120" s="2" t="s">
        <v>11154</v>
      </c>
    </row>
    <row r="4121" spans="1:16" x14ac:dyDescent="0.25">
      <c r="A4121" s="2" t="s">
        <v>11155</v>
      </c>
      <c r="B4121" s="2" t="s">
        <v>7433</v>
      </c>
      <c r="C4121" s="8">
        <v>46281</v>
      </c>
      <c r="D4121" s="6">
        <v>46266</v>
      </c>
      <c r="E4121" s="2" t="s">
        <v>260</v>
      </c>
      <c r="F4121" s="2" t="s">
        <v>11153</v>
      </c>
      <c r="G4121" s="6">
        <v>46235</v>
      </c>
      <c r="H4121" s="2" t="s">
        <v>176</v>
      </c>
      <c r="I4121" s="2" t="s">
        <v>76</v>
      </c>
      <c r="J4121" s="9">
        <v>114259219.51219501</v>
      </c>
      <c r="K4121" s="7">
        <v>6.1299999999999999E-5</v>
      </c>
      <c r="L4121" s="9">
        <v>7004.09</v>
      </c>
      <c r="M4121" s="9">
        <v>7026.94</v>
      </c>
      <c r="N4121" s="9">
        <v>3.85</v>
      </c>
      <c r="O4121" s="10">
        <f>IF(AND(OR(H4121="APPROVED",H4121="SCHEDULED"),COUNTIFS(tblSource[EventID],F4121,tblSource[ReleaseStatus],"APPROVED")=1,COUNTIFS(Period_Status!$A$2:$A$8,G4121,Period_Status!$B$2:$B$8,"ActualClosed")=1,C4121&gt;EOMONTH(Settlement_Bridge!$C$2,0)),1,0)</f>
        <v>0</v>
      </c>
      <c r="P4121" s="2" t="s">
        <v>11156</v>
      </c>
    </row>
    <row r="4122" spans="1:16" x14ac:dyDescent="0.25">
      <c r="A4122" s="2" t="s">
        <v>11157</v>
      </c>
      <c r="B4122" s="2" t="s">
        <v>7433</v>
      </c>
      <c r="C4122" s="8">
        <v>46257</v>
      </c>
      <c r="D4122" s="6">
        <v>46235</v>
      </c>
      <c r="E4122" s="2" t="s">
        <v>260</v>
      </c>
      <c r="F4122" s="2" t="s">
        <v>11158</v>
      </c>
      <c r="G4122" s="6">
        <v>46235</v>
      </c>
      <c r="H4122" s="2" t="s">
        <v>71</v>
      </c>
      <c r="I4122" s="2" t="s">
        <v>70</v>
      </c>
      <c r="J4122" s="9">
        <v>7377.4707689999996</v>
      </c>
      <c r="K4122" s="7">
        <v>0.65</v>
      </c>
      <c r="L4122" s="9">
        <v>4795.3599999999997</v>
      </c>
      <c r="M4122" s="9">
        <v>4795.3599999999997</v>
      </c>
      <c r="N4122" s="9">
        <v>2.64</v>
      </c>
      <c r="O4122" s="10">
        <f>IF(AND(OR(H4122="APPROVED",H4122="SCHEDULED"),COUNTIFS(tblSource[EventID],F4122,tblSource[ReleaseStatus],"APPROVED")=1,COUNTIFS(Period_Status!$A$2:$A$8,G4122,Period_Status!$B$2:$B$8,"ActualClosed")=1,C4122&gt;EOMONTH(Settlement_Bridge!$C$2,0)),1,0)</f>
        <v>0</v>
      </c>
      <c r="P4122" s="2" t="s">
        <v>11159</v>
      </c>
    </row>
    <row r="4123" spans="1:16" x14ac:dyDescent="0.25">
      <c r="A4123" s="2" t="s">
        <v>11160</v>
      </c>
      <c r="B4123" s="2" t="s">
        <v>7433</v>
      </c>
      <c r="C4123" s="8">
        <v>46282</v>
      </c>
      <c r="D4123" s="6">
        <v>46266</v>
      </c>
      <c r="E4123" s="2" t="s">
        <v>260</v>
      </c>
      <c r="F4123" s="2" t="s">
        <v>11158</v>
      </c>
      <c r="G4123" s="6">
        <v>46235</v>
      </c>
      <c r="H4123" s="2" t="s">
        <v>176</v>
      </c>
      <c r="I4123" s="2" t="s">
        <v>70</v>
      </c>
      <c r="J4123" s="9">
        <v>11066.206154</v>
      </c>
      <c r="K4123" s="7">
        <v>0.65100000000000002</v>
      </c>
      <c r="L4123" s="9">
        <v>7204.1</v>
      </c>
      <c r="M4123" s="9">
        <v>7193.03</v>
      </c>
      <c r="N4123" s="9">
        <v>3.96</v>
      </c>
      <c r="O4123" s="10">
        <f>IF(AND(OR(H4123="APPROVED",H4123="SCHEDULED"),COUNTIFS(tblSource[EventID],F4123,tblSource[ReleaseStatus],"APPROVED")=1,COUNTIFS(Period_Status!$A$2:$A$8,G4123,Period_Status!$B$2:$B$8,"ActualClosed")=1,C4123&gt;EOMONTH(Settlement_Bridge!$C$2,0)),1,0)</f>
        <v>0</v>
      </c>
      <c r="P4123" s="2" t="s">
        <v>11161</v>
      </c>
    </row>
    <row r="4124" spans="1:16" x14ac:dyDescent="0.25">
      <c r="A4124" s="2" t="s">
        <v>11162</v>
      </c>
      <c r="B4124" s="2" t="s">
        <v>7433</v>
      </c>
      <c r="C4124" s="8">
        <v>46258</v>
      </c>
      <c r="D4124" s="6">
        <v>46235</v>
      </c>
      <c r="E4124" s="2" t="s">
        <v>260</v>
      </c>
      <c r="F4124" s="2" t="s">
        <v>11163</v>
      </c>
      <c r="G4124" s="6">
        <v>46235</v>
      </c>
      <c r="H4124" s="2" t="s">
        <v>71</v>
      </c>
      <c r="I4124" s="2" t="s">
        <v>39</v>
      </c>
      <c r="J4124" s="9">
        <v>4906.08</v>
      </c>
      <c r="K4124" s="7">
        <v>1</v>
      </c>
      <c r="L4124" s="9">
        <v>4906.08</v>
      </c>
      <c r="M4124" s="9">
        <v>4906.08</v>
      </c>
      <c r="N4124" s="9">
        <v>2.7</v>
      </c>
      <c r="O4124" s="10">
        <f>IF(AND(OR(H4124="APPROVED",H4124="SCHEDULED"),COUNTIFS(tblSource[EventID],F4124,tblSource[ReleaseStatus],"APPROVED")=1,COUNTIFS(Period_Status!$A$2:$A$8,G4124,Period_Status!$B$2:$B$8,"ActualClosed")=1,C4124&gt;EOMONTH(Settlement_Bridge!$C$2,0)),1,0)</f>
        <v>0</v>
      </c>
      <c r="P4124" s="2" t="s">
        <v>11164</v>
      </c>
    </row>
    <row r="4125" spans="1:16" x14ac:dyDescent="0.25">
      <c r="A4125" s="2" t="s">
        <v>11165</v>
      </c>
      <c r="B4125" s="2" t="s">
        <v>7433</v>
      </c>
      <c r="C4125" s="8">
        <v>46283</v>
      </c>
      <c r="D4125" s="6">
        <v>46266</v>
      </c>
      <c r="E4125" s="2" t="s">
        <v>260</v>
      </c>
      <c r="F4125" s="2" t="s">
        <v>11163</v>
      </c>
      <c r="G4125" s="6">
        <v>46235</v>
      </c>
      <c r="H4125" s="2" t="s">
        <v>176</v>
      </c>
      <c r="I4125" s="2" t="s">
        <v>39</v>
      </c>
      <c r="J4125" s="9">
        <v>7359.12</v>
      </c>
      <c r="K4125" s="7">
        <v>1</v>
      </c>
      <c r="L4125" s="9">
        <v>7359.12</v>
      </c>
      <c r="M4125" s="9">
        <v>7359.12</v>
      </c>
      <c r="N4125" s="9">
        <v>4.05</v>
      </c>
      <c r="O4125" s="10">
        <f>IF(AND(OR(H4125="APPROVED",H4125="SCHEDULED"),COUNTIFS(tblSource[EventID],F4125,tblSource[ReleaseStatus],"APPROVED")=1,COUNTIFS(Period_Status!$A$2:$A$8,G4125,Period_Status!$B$2:$B$8,"ActualClosed")=1,C4125&gt;EOMONTH(Settlement_Bridge!$C$2,0)),1,0)</f>
        <v>0</v>
      </c>
      <c r="P4125" s="2" t="s">
        <v>11166</v>
      </c>
    </row>
    <row r="4126" spans="1:16" x14ac:dyDescent="0.25">
      <c r="A4126" s="2" t="s">
        <v>11167</v>
      </c>
      <c r="B4126" s="2" t="s">
        <v>7433</v>
      </c>
      <c r="C4126" s="8">
        <v>46259</v>
      </c>
      <c r="D4126" s="6">
        <v>46235</v>
      </c>
      <c r="E4126" s="2" t="s">
        <v>260</v>
      </c>
      <c r="F4126" s="2" t="s">
        <v>11168</v>
      </c>
      <c r="G4126" s="6">
        <v>46235</v>
      </c>
      <c r="H4126" s="2" t="s">
        <v>71</v>
      </c>
      <c r="I4126" s="2" t="s">
        <v>76</v>
      </c>
      <c r="J4126" s="9">
        <v>81574113.821137995</v>
      </c>
      <c r="K4126" s="7">
        <v>6.1500000000000004E-5</v>
      </c>
      <c r="L4126" s="9">
        <v>5016.8100000000004</v>
      </c>
      <c r="M4126" s="9">
        <v>5016.8100000000004</v>
      </c>
      <c r="N4126" s="9">
        <v>2.76</v>
      </c>
      <c r="O4126" s="10">
        <f>IF(AND(OR(H4126="APPROVED",H4126="SCHEDULED"),COUNTIFS(tblSource[EventID],F4126,tblSource[ReleaseStatus],"APPROVED")=1,COUNTIFS(Period_Status!$A$2:$A$8,G4126,Period_Status!$B$2:$B$8,"ActualClosed")=1,C4126&gt;EOMONTH(Settlement_Bridge!$C$2,0)),1,0)</f>
        <v>0</v>
      </c>
      <c r="P4126" s="2" t="s">
        <v>11169</v>
      </c>
    </row>
    <row r="4127" spans="1:16" x14ac:dyDescent="0.25">
      <c r="A4127" s="2" t="s">
        <v>11170</v>
      </c>
      <c r="B4127" s="2" t="s">
        <v>7433</v>
      </c>
      <c r="C4127" s="8">
        <v>46284</v>
      </c>
      <c r="D4127" s="6">
        <v>46266</v>
      </c>
      <c r="E4127" s="2" t="s">
        <v>260</v>
      </c>
      <c r="F4127" s="2" t="s">
        <v>11168</v>
      </c>
      <c r="G4127" s="6">
        <v>46235</v>
      </c>
      <c r="H4127" s="2" t="s">
        <v>176</v>
      </c>
      <c r="I4127" s="2" t="s">
        <v>76</v>
      </c>
      <c r="J4127" s="9">
        <v>122361170.73170801</v>
      </c>
      <c r="K4127" s="7">
        <v>6.1299999999999999E-5</v>
      </c>
      <c r="L4127" s="9">
        <v>7500.74</v>
      </c>
      <c r="M4127" s="9">
        <v>7525.21</v>
      </c>
      <c r="N4127" s="9">
        <v>4.13</v>
      </c>
      <c r="O4127" s="10">
        <f>IF(AND(OR(H4127="APPROVED",H4127="SCHEDULED"),COUNTIFS(tblSource[EventID],F4127,tblSource[ReleaseStatus],"APPROVED")=1,COUNTIFS(Period_Status!$A$2:$A$8,G4127,Period_Status!$B$2:$B$8,"ActualClosed")=1,C4127&gt;EOMONTH(Settlement_Bridge!$C$2,0)),1,0)</f>
        <v>0</v>
      </c>
      <c r="P4127" s="2" t="s">
        <v>11171</v>
      </c>
    </row>
    <row r="4128" spans="1:16" x14ac:dyDescent="0.25">
      <c r="A4128" s="2" t="s">
        <v>11172</v>
      </c>
      <c r="B4128" s="2" t="s">
        <v>7433</v>
      </c>
      <c r="C4128" s="8">
        <v>46260</v>
      </c>
      <c r="D4128" s="6">
        <v>46235</v>
      </c>
      <c r="E4128" s="2" t="s">
        <v>260</v>
      </c>
      <c r="F4128" s="2" t="s">
        <v>11173</v>
      </c>
      <c r="G4128" s="6">
        <v>46235</v>
      </c>
      <c r="H4128" s="2" t="s">
        <v>71</v>
      </c>
      <c r="I4128" s="2" t="s">
        <v>70</v>
      </c>
      <c r="J4128" s="9">
        <v>7888.5107690000004</v>
      </c>
      <c r="K4128" s="7">
        <v>0.65</v>
      </c>
      <c r="L4128" s="9">
        <v>5127.53</v>
      </c>
      <c r="M4128" s="9">
        <v>5127.53</v>
      </c>
      <c r="N4128" s="9">
        <v>2.82</v>
      </c>
      <c r="O4128" s="10">
        <f>IF(AND(OR(H4128="APPROVED",H4128="SCHEDULED"),COUNTIFS(tblSource[EventID],F4128,tblSource[ReleaseStatus],"APPROVED")=1,COUNTIFS(Period_Status!$A$2:$A$8,G4128,Period_Status!$B$2:$B$8,"ActualClosed")=1,C4128&gt;EOMONTH(Settlement_Bridge!$C$2,0)),1,0)</f>
        <v>0</v>
      </c>
      <c r="P4128" s="2" t="s">
        <v>11174</v>
      </c>
    </row>
    <row r="4129" spans="1:16" x14ac:dyDescent="0.25">
      <c r="A4129" s="2" t="s">
        <v>11175</v>
      </c>
      <c r="B4129" s="2" t="s">
        <v>7433</v>
      </c>
      <c r="C4129" s="8">
        <v>46285</v>
      </c>
      <c r="D4129" s="6">
        <v>46266</v>
      </c>
      <c r="E4129" s="2" t="s">
        <v>260</v>
      </c>
      <c r="F4129" s="2" t="s">
        <v>11173</v>
      </c>
      <c r="G4129" s="6">
        <v>46235</v>
      </c>
      <c r="H4129" s="2" t="s">
        <v>176</v>
      </c>
      <c r="I4129" s="2" t="s">
        <v>70</v>
      </c>
      <c r="J4129" s="9">
        <v>11832.766154000001</v>
      </c>
      <c r="K4129" s="7">
        <v>0.65100000000000002</v>
      </c>
      <c r="L4129" s="9">
        <v>7703.13</v>
      </c>
      <c r="M4129" s="9">
        <v>7691.3</v>
      </c>
      <c r="N4129" s="9">
        <v>4.24</v>
      </c>
      <c r="O4129" s="10">
        <f>IF(AND(OR(H4129="APPROVED",H4129="SCHEDULED"),COUNTIFS(tblSource[EventID],F4129,tblSource[ReleaseStatus],"APPROVED")=1,COUNTIFS(Period_Status!$A$2:$A$8,G4129,Period_Status!$B$2:$B$8,"ActualClosed")=1,C4129&gt;EOMONTH(Settlement_Bridge!$C$2,0)),1,0)</f>
        <v>0</v>
      </c>
      <c r="P4129" s="2" t="s">
        <v>11176</v>
      </c>
    </row>
    <row r="4130" spans="1:16" x14ac:dyDescent="0.25">
      <c r="A4130" s="2" t="s">
        <v>11177</v>
      </c>
      <c r="B4130" s="2" t="s">
        <v>7433</v>
      </c>
      <c r="C4130" s="8">
        <v>46261</v>
      </c>
      <c r="D4130" s="6">
        <v>46235</v>
      </c>
      <c r="E4130" s="2" t="s">
        <v>260</v>
      </c>
      <c r="F4130" s="2" t="s">
        <v>11178</v>
      </c>
      <c r="G4130" s="6">
        <v>46235</v>
      </c>
      <c r="H4130" s="2" t="s">
        <v>71</v>
      </c>
      <c r="I4130" s="2" t="s">
        <v>39</v>
      </c>
      <c r="J4130" s="9">
        <v>5238.26</v>
      </c>
      <c r="K4130" s="7">
        <v>1</v>
      </c>
      <c r="L4130" s="9">
        <v>5238.26</v>
      </c>
      <c r="M4130" s="9">
        <v>5238.26</v>
      </c>
      <c r="N4130" s="9">
        <v>2.88</v>
      </c>
      <c r="O4130" s="10">
        <f>IF(AND(OR(H4130="APPROVED",H4130="SCHEDULED"),COUNTIFS(tblSource[EventID],F4130,tblSource[ReleaseStatus],"APPROVED")=1,COUNTIFS(Period_Status!$A$2:$A$8,G4130,Period_Status!$B$2:$B$8,"ActualClosed")=1,C4130&gt;EOMONTH(Settlement_Bridge!$C$2,0)),1,0)</f>
        <v>0</v>
      </c>
      <c r="P4130" s="2" t="s">
        <v>11179</v>
      </c>
    </row>
    <row r="4131" spans="1:16" x14ac:dyDescent="0.25">
      <c r="A4131" s="2" t="s">
        <v>11180</v>
      </c>
      <c r="B4131" s="2" t="s">
        <v>7433</v>
      </c>
      <c r="C4131" s="8">
        <v>46286</v>
      </c>
      <c r="D4131" s="6">
        <v>46266</v>
      </c>
      <c r="E4131" s="2" t="s">
        <v>260</v>
      </c>
      <c r="F4131" s="2" t="s">
        <v>11178</v>
      </c>
      <c r="G4131" s="6">
        <v>46235</v>
      </c>
      <c r="H4131" s="2" t="s">
        <v>176</v>
      </c>
      <c r="I4131" s="2" t="s">
        <v>39</v>
      </c>
      <c r="J4131" s="9">
        <v>7857.39</v>
      </c>
      <c r="K4131" s="7">
        <v>1</v>
      </c>
      <c r="L4131" s="9">
        <v>7857.39</v>
      </c>
      <c r="M4131" s="9">
        <v>7857.39</v>
      </c>
      <c r="N4131" s="9">
        <v>4.32</v>
      </c>
      <c r="O4131" s="10">
        <f>IF(AND(OR(H4131="APPROVED",H4131="SCHEDULED"),COUNTIFS(tblSource[EventID],F4131,tblSource[ReleaseStatus],"APPROVED")=1,COUNTIFS(Period_Status!$A$2:$A$8,G4131,Period_Status!$B$2:$B$8,"ActualClosed")=1,C4131&gt;EOMONTH(Settlement_Bridge!$C$2,0)),1,0)</f>
        <v>0</v>
      </c>
      <c r="P4131" s="2" t="s">
        <v>11181</v>
      </c>
    </row>
    <row r="4132" spans="1:16" x14ac:dyDescent="0.25">
      <c r="A4132" s="2" t="s">
        <v>11182</v>
      </c>
      <c r="B4132" s="2" t="s">
        <v>7433</v>
      </c>
      <c r="C4132" s="8">
        <v>46262</v>
      </c>
      <c r="D4132" s="6">
        <v>46235</v>
      </c>
      <c r="E4132" s="2" t="s">
        <v>260</v>
      </c>
      <c r="F4132" s="2" t="s">
        <v>11183</v>
      </c>
      <c r="G4132" s="6">
        <v>46235</v>
      </c>
      <c r="H4132" s="2" t="s">
        <v>71</v>
      </c>
      <c r="I4132" s="2" t="s">
        <v>76</v>
      </c>
      <c r="J4132" s="9">
        <v>86975349.593495995</v>
      </c>
      <c r="K4132" s="7">
        <v>6.1500000000000004E-5</v>
      </c>
      <c r="L4132" s="9">
        <v>5348.98</v>
      </c>
      <c r="M4132" s="9">
        <v>5348.98</v>
      </c>
      <c r="N4132" s="9">
        <v>2.94</v>
      </c>
      <c r="O4132" s="10">
        <f>IF(AND(OR(H4132="APPROVED",H4132="SCHEDULED"),COUNTIFS(tblSource[EventID],F4132,tblSource[ReleaseStatus],"APPROVED")=1,COUNTIFS(Period_Status!$A$2:$A$8,G4132,Period_Status!$B$2:$B$8,"ActualClosed")=1,C4132&gt;EOMONTH(Settlement_Bridge!$C$2,0)),1,0)</f>
        <v>0</v>
      </c>
      <c r="P4132" s="2" t="s">
        <v>11184</v>
      </c>
    </row>
    <row r="4133" spans="1:16" x14ac:dyDescent="0.25">
      <c r="A4133" s="2" t="s">
        <v>11185</v>
      </c>
      <c r="B4133" s="2" t="s">
        <v>7433</v>
      </c>
      <c r="C4133" s="8">
        <v>46287</v>
      </c>
      <c r="D4133" s="6">
        <v>46266</v>
      </c>
      <c r="E4133" s="2" t="s">
        <v>260</v>
      </c>
      <c r="F4133" s="2" t="s">
        <v>11183</v>
      </c>
      <c r="G4133" s="6">
        <v>46235</v>
      </c>
      <c r="H4133" s="2" t="s">
        <v>176</v>
      </c>
      <c r="I4133" s="2" t="s">
        <v>76</v>
      </c>
      <c r="J4133" s="9">
        <v>130463024.39024401</v>
      </c>
      <c r="K4133" s="7">
        <v>6.1299999999999999E-5</v>
      </c>
      <c r="L4133" s="9">
        <v>7997.38</v>
      </c>
      <c r="M4133" s="9">
        <v>8023.48</v>
      </c>
      <c r="N4133" s="9">
        <v>4.4000000000000004</v>
      </c>
      <c r="O4133" s="10">
        <f>IF(AND(OR(H4133="APPROVED",H4133="SCHEDULED"),COUNTIFS(tblSource[EventID],F4133,tblSource[ReleaseStatus],"APPROVED")=1,COUNTIFS(Period_Status!$A$2:$A$8,G4133,Period_Status!$B$2:$B$8,"ActualClosed")=1,C4133&gt;EOMONTH(Settlement_Bridge!$C$2,0)),1,0)</f>
        <v>0</v>
      </c>
      <c r="P4133" s="2" t="s">
        <v>11186</v>
      </c>
    </row>
    <row r="4134" spans="1:16" x14ac:dyDescent="0.25">
      <c r="A4134" s="2" t="s">
        <v>11187</v>
      </c>
      <c r="B4134" s="2" t="s">
        <v>7433</v>
      </c>
      <c r="C4134" s="8">
        <v>46263</v>
      </c>
      <c r="D4134" s="6">
        <v>46235</v>
      </c>
      <c r="E4134" s="2" t="s">
        <v>260</v>
      </c>
      <c r="F4134" s="2" t="s">
        <v>11188</v>
      </c>
      <c r="G4134" s="6">
        <v>46235</v>
      </c>
      <c r="H4134" s="2" t="s">
        <v>71</v>
      </c>
      <c r="I4134" s="2" t="s">
        <v>70</v>
      </c>
      <c r="J4134" s="9">
        <v>8399.5569230000001</v>
      </c>
      <c r="K4134" s="7">
        <v>0.65</v>
      </c>
      <c r="L4134" s="9">
        <v>5459.71</v>
      </c>
      <c r="M4134" s="9">
        <v>5459.71</v>
      </c>
      <c r="N4134" s="9">
        <v>3</v>
      </c>
      <c r="O4134" s="10">
        <f>IF(AND(OR(H4134="APPROVED",H4134="SCHEDULED"),COUNTIFS(tblSource[EventID],F4134,tblSource[ReleaseStatus],"APPROVED")=1,COUNTIFS(Period_Status!$A$2:$A$8,G4134,Period_Status!$B$2:$B$8,"ActualClosed")=1,C4134&gt;EOMONTH(Settlement_Bridge!$C$2,0)),1,0)</f>
        <v>0</v>
      </c>
      <c r="P4134" s="2" t="s">
        <v>11189</v>
      </c>
    </row>
    <row r="4135" spans="1:16" x14ac:dyDescent="0.25">
      <c r="A4135" s="2" t="s">
        <v>11190</v>
      </c>
      <c r="B4135" s="2" t="s">
        <v>7433</v>
      </c>
      <c r="C4135" s="8">
        <v>46288</v>
      </c>
      <c r="D4135" s="6">
        <v>46266</v>
      </c>
      <c r="E4135" s="2" t="s">
        <v>260</v>
      </c>
      <c r="F4135" s="2" t="s">
        <v>11188</v>
      </c>
      <c r="G4135" s="6">
        <v>46235</v>
      </c>
      <c r="H4135" s="2" t="s">
        <v>176</v>
      </c>
      <c r="I4135" s="2" t="s">
        <v>70</v>
      </c>
      <c r="J4135" s="9">
        <v>12599.335385</v>
      </c>
      <c r="K4135" s="7">
        <v>0.65100000000000002</v>
      </c>
      <c r="L4135" s="9">
        <v>8202.17</v>
      </c>
      <c r="M4135" s="9">
        <v>8189.57</v>
      </c>
      <c r="N4135" s="9">
        <v>4.51</v>
      </c>
      <c r="O4135" s="10">
        <f>IF(AND(OR(H4135="APPROVED",H4135="SCHEDULED"),COUNTIFS(tblSource[EventID],F4135,tblSource[ReleaseStatus],"APPROVED")=1,COUNTIFS(Period_Status!$A$2:$A$8,G4135,Period_Status!$B$2:$B$8,"ActualClosed")=1,C4135&gt;EOMONTH(Settlement_Bridge!$C$2,0)),1,0)</f>
        <v>0</v>
      </c>
      <c r="P4135" s="2" t="s">
        <v>11191</v>
      </c>
    </row>
    <row r="4136" spans="1:16" x14ac:dyDescent="0.25">
      <c r="A4136" s="2" t="s">
        <v>11192</v>
      </c>
      <c r="B4136" s="2" t="s">
        <v>7433</v>
      </c>
      <c r="C4136" s="8">
        <v>46264</v>
      </c>
      <c r="D4136" s="6">
        <v>46235</v>
      </c>
      <c r="E4136" s="2" t="s">
        <v>260</v>
      </c>
      <c r="F4136" s="2" t="s">
        <v>11193</v>
      </c>
      <c r="G4136" s="6">
        <v>46235</v>
      </c>
      <c r="H4136" s="2" t="s">
        <v>71</v>
      </c>
      <c r="I4136" s="2" t="s">
        <v>39</v>
      </c>
      <c r="J4136" s="9">
        <v>5570.44</v>
      </c>
      <c r="K4136" s="7">
        <v>1</v>
      </c>
      <c r="L4136" s="9">
        <v>5570.44</v>
      </c>
      <c r="M4136" s="9">
        <v>5570.44</v>
      </c>
      <c r="N4136" s="9">
        <v>3.06</v>
      </c>
      <c r="O4136" s="10">
        <f>IF(AND(OR(H4136="APPROVED",H4136="SCHEDULED"),COUNTIFS(tblSource[EventID],F4136,tblSource[ReleaseStatus],"APPROVED")=1,COUNTIFS(Period_Status!$A$2:$A$8,G4136,Period_Status!$B$2:$B$8,"ActualClosed")=1,C4136&gt;EOMONTH(Settlement_Bridge!$C$2,0)),1,0)</f>
        <v>0</v>
      </c>
      <c r="P4136" s="2" t="s">
        <v>11194</v>
      </c>
    </row>
    <row r="4137" spans="1:16" x14ac:dyDescent="0.25">
      <c r="A4137" s="2" t="s">
        <v>11195</v>
      </c>
      <c r="B4137" s="2" t="s">
        <v>7433</v>
      </c>
      <c r="C4137" s="8">
        <v>46289</v>
      </c>
      <c r="D4137" s="6">
        <v>46266</v>
      </c>
      <c r="E4137" s="2" t="s">
        <v>260</v>
      </c>
      <c r="F4137" s="2" t="s">
        <v>11193</v>
      </c>
      <c r="G4137" s="6">
        <v>46235</v>
      </c>
      <c r="H4137" s="2" t="s">
        <v>176</v>
      </c>
      <c r="I4137" s="2" t="s">
        <v>39</v>
      </c>
      <c r="J4137" s="9">
        <v>8355.66</v>
      </c>
      <c r="K4137" s="7">
        <v>1</v>
      </c>
      <c r="L4137" s="9">
        <v>8355.66</v>
      </c>
      <c r="M4137" s="9">
        <v>8355.66</v>
      </c>
      <c r="N4137" s="9">
        <v>4.5999999999999996</v>
      </c>
      <c r="O4137" s="10">
        <f>IF(AND(OR(H4137="APPROVED",H4137="SCHEDULED"),COUNTIFS(tblSource[EventID],F4137,tblSource[ReleaseStatus],"APPROVED")=1,COUNTIFS(Period_Status!$A$2:$A$8,G4137,Period_Status!$B$2:$B$8,"ActualClosed")=1,C4137&gt;EOMONTH(Settlement_Bridge!$C$2,0)),1,0)</f>
        <v>0</v>
      </c>
      <c r="P4137" s="2" t="s">
        <v>11196</v>
      </c>
    </row>
    <row r="4138" spans="1:16" x14ac:dyDescent="0.25">
      <c r="A4138" s="2" t="s">
        <v>11197</v>
      </c>
      <c r="B4138" s="2" t="s">
        <v>7433</v>
      </c>
      <c r="C4138" s="8">
        <v>46265</v>
      </c>
      <c r="D4138" s="6">
        <v>46235</v>
      </c>
      <c r="E4138" s="2" t="s">
        <v>260</v>
      </c>
      <c r="F4138" s="2" t="s">
        <v>11198</v>
      </c>
      <c r="G4138" s="6">
        <v>46235</v>
      </c>
      <c r="H4138" s="2" t="s">
        <v>71</v>
      </c>
      <c r="I4138" s="2" t="s">
        <v>76</v>
      </c>
      <c r="J4138" s="9">
        <v>92376650.406504005</v>
      </c>
      <c r="K4138" s="7">
        <v>6.1500000000000004E-5</v>
      </c>
      <c r="L4138" s="9">
        <v>5681.16</v>
      </c>
      <c r="M4138" s="9">
        <v>5681.16</v>
      </c>
      <c r="N4138" s="9">
        <v>3.12</v>
      </c>
      <c r="O4138" s="10">
        <f>IF(AND(OR(H4138="APPROVED",H4138="SCHEDULED"),COUNTIFS(tblSource[EventID],F4138,tblSource[ReleaseStatus],"APPROVED")=1,COUNTIFS(Period_Status!$A$2:$A$8,G4138,Period_Status!$B$2:$B$8,"ActualClosed")=1,C4138&gt;EOMONTH(Settlement_Bridge!$C$2,0)),1,0)</f>
        <v>0</v>
      </c>
      <c r="P4138" s="2" t="s">
        <v>11199</v>
      </c>
    </row>
    <row r="4139" spans="1:16" x14ac:dyDescent="0.25">
      <c r="A4139" s="2" t="s">
        <v>11200</v>
      </c>
      <c r="B4139" s="2" t="s">
        <v>7433</v>
      </c>
      <c r="C4139" s="8">
        <v>46290</v>
      </c>
      <c r="D4139" s="6">
        <v>46266</v>
      </c>
      <c r="E4139" s="2" t="s">
        <v>260</v>
      </c>
      <c r="F4139" s="2" t="s">
        <v>11198</v>
      </c>
      <c r="G4139" s="6">
        <v>46235</v>
      </c>
      <c r="H4139" s="2" t="s">
        <v>176</v>
      </c>
      <c r="I4139" s="2" t="s">
        <v>76</v>
      </c>
      <c r="J4139" s="9">
        <v>138564975.60975599</v>
      </c>
      <c r="K4139" s="7">
        <v>6.1299999999999999E-5</v>
      </c>
      <c r="L4139" s="9">
        <v>8494.0300000000007</v>
      </c>
      <c r="M4139" s="9">
        <v>8521.75</v>
      </c>
      <c r="N4139" s="9">
        <v>4.67</v>
      </c>
      <c r="O4139" s="10">
        <f>IF(AND(OR(H4139="APPROVED",H4139="SCHEDULED"),COUNTIFS(tblSource[EventID],F4139,tblSource[ReleaseStatus],"APPROVED")=1,COUNTIFS(Period_Status!$A$2:$A$8,G4139,Period_Status!$B$2:$B$8,"ActualClosed")=1,C4139&gt;EOMONTH(Settlement_Bridge!$C$2,0)),1,0)</f>
        <v>0</v>
      </c>
      <c r="P4139" s="2" t="s">
        <v>11201</v>
      </c>
    </row>
    <row r="4140" spans="1:16" x14ac:dyDescent="0.25">
      <c r="A4140" s="2" t="s">
        <v>11202</v>
      </c>
      <c r="B4140" s="2" t="s">
        <v>7433</v>
      </c>
      <c r="C4140" s="8">
        <v>46266</v>
      </c>
      <c r="D4140" s="6">
        <v>46266</v>
      </c>
      <c r="E4140" s="2" t="s">
        <v>260</v>
      </c>
      <c r="F4140" s="2" t="s">
        <v>11203</v>
      </c>
      <c r="G4140" s="6">
        <v>46235</v>
      </c>
      <c r="H4140" s="2" t="s">
        <v>176</v>
      </c>
      <c r="I4140" s="2" t="s">
        <v>70</v>
      </c>
      <c r="J4140" s="9">
        <v>8910.6030769999998</v>
      </c>
      <c r="K4140" s="7">
        <v>0.65100000000000002</v>
      </c>
      <c r="L4140" s="9">
        <v>5800.8</v>
      </c>
      <c r="M4140" s="9">
        <v>5791.89</v>
      </c>
      <c r="N4140" s="9">
        <v>3.19</v>
      </c>
      <c r="O4140" s="10">
        <f>IF(AND(OR(H4140="APPROVED",H4140="SCHEDULED"),COUNTIFS(tblSource[EventID],F4140,tblSource[ReleaseStatus],"APPROVED")=1,COUNTIFS(Period_Status!$A$2:$A$8,G4140,Period_Status!$B$2:$B$8,"ActualClosed")=1,C4140&gt;EOMONTH(Settlement_Bridge!$C$2,0)),1,0)</f>
        <v>0</v>
      </c>
      <c r="P4140" s="2" t="s">
        <v>11204</v>
      </c>
    </row>
    <row r="4141" spans="1:16" x14ac:dyDescent="0.25">
      <c r="A4141" s="2" t="s">
        <v>11205</v>
      </c>
      <c r="B4141" s="2" t="s">
        <v>7433</v>
      </c>
      <c r="C4141" s="8">
        <v>46291</v>
      </c>
      <c r="D4141" s="6">
        <v>46266</v>
      </c>
      <c r="E4141" s="2" t="s">
        <v>260</v>
      </c>
      <c r="F4141" s="2" t="s">
        <v>11203</v>
      </c>
      <c r="G4141" s="6">
        <v>46235</v>
      </c>
      <c r="H4141" s="2" t="s">
        <v>176</v>
      </c>
      <c r="I4141" s="2" t="s">
        <v>70</v>
      </c>
      <c r="J4141" s="9">
        <v>13365.904614999999</v>
      </c>
      <c r="K4141" s="7">
        <v>0.65100000000000002</v>
      </c>
      <c r="L4141" s="9">
        <v>8701.2000000000007</v>
      </c>
      <c r="M4141" s="9">
        <v>8687.84</v>
      </c>
      <c r="N4141" s="9">
        <v>4.79</v>
      </c>
      <c r="O4141" s="10">
        <f>IF(AND(OR(H4141="APPROVED",H4141="SCHEDULED"),COUNTIFS(tblSource[EventID],F4141,tblSource[ReleaseStatus],"APPROVED")=1,COUNTIFS(Period_Status!$A$2:$A$8,G4141,Period_Status!$B$2:$B$8,"ActualClosed")=1,C4141&gt;EOMONTH(Settlement_Bridge!$C$2,0)),1,0)</f>
        <v>0</v>
      </c>
      <c r="P4141" s="2" t="s">
        <v>11206</v>
      </c>
    </row>
    <row r="4142" spans="1:16" x14ac:dyDescent="0.25">
      <c r="A4142" s="2" t="s">
        <v>11207</v>
      </c>
      <c r="B4142" s="2" t="s">
        <v>7433</v>
      </c>
      <c r="C4142" s="8">
        <v>46267</v>
      </c>
      <c r="D4142" s="6">
        <v>46266</v>
      </c>
      <c r="E4142" s="2" t="s">
        <v>260</v>
      </c>
      <c r="F4142" s="2" t="s">
        <v>11208</v>
      </c>
      <c r="G4142" s="6">
        <v>46235</v>
      </c>
      <c r="H4142" s="2" t="s">
        <v>176</v>
      </c>
      <c r="I4142" s="2" t="s">
        <v>39</v>
      </c>
      <c r="J4142" s="9">
        <v>5902.616</v>
      </c>
      <c r="K4142" s="7">
        <v>1</v>
      </c>
      <c r="L4142" s="9">
        <v>5902.62</v>
      </c>
      <c r="M4142" s="9">
        <v>5902.62</v>
      </c>
      <c r="N4142" s="9">
        <v>3.25</v>
      </c>
      <c r="O4142" s="10">
        <f>IF(AND(OR(H4142="APPROVED",H4142="SCHEDULED"),COUNTIFS(tblSource[EventID],F4142,tblSource[ReleaseStatus],"APPROVED")=1,COUNTIFS(Period_Status!$A$2:$A$8,G4142,Period_Status!$B$2:$B$8,"ActualClosed")=1,C4142&gt;EOMONTH(Settlement_Bridge!$C$2,0)),1,0)</f>
        <v>0</v>
      </c>
      <c r="P4142" s="2" t="s">
        <v>11209</v>
      </c>
    </row>
    <row r="4143" spans="1:16" x14ac:dyDescent="0.25">
      <c r="A4143" s="2" t="s">
        <v>11210</v>
      </c>
      <c r="B4143" s="2" t="s">
        <v>7433</v>
      </c>
      <c r="C4143" s="8">
        <v>46292</v>
      </c>
      <c r="D4143" s="6">
        <v>46266</v>
      </c>
      <c r="E4143" s="2" t="s">
        <v>260</v>
      </c>
      <c r="F4143" s="2" t="s">
        <v>11208</v>
      </c>
      <c r="G4143" s="6">
        <v>46235</v>
      </c>
      <c r="H4143" s="2" t="s">
        <v>176</v>
      </c>
      <c r="I4143" s="2" t="s">
        <v>39</v>
      </c>
      <c r="J4143" s="9">
        <v>8853.9240000000009</v>
      </c>
      <c r="K4143" s="7">
        <v>1</v>
      </c>
      <c r="L4143" s="9">
        <v>8853.92</v>
      </c>
      <c r="M4143" s="9">
        <v>8853.92</v>
      </c>
      <c r="N4143" s="9">
        <v>4.87</v>
      </c>
      <c r="O4143" s="10">
        <f>IF(AND(OR(H4143="APPROVED",H4143="SCHEDULED"),COUNTIFS(tblSource[EventID],F4143,tblSource[ReleaseStatus],"APPROVED")=1,COUNTIFS(Period_Status!$A$2:$A$8,G4143,Period_Status!$B$2:$B$8,"ActualClosed")=1,C4143&gt;EOMONTH(Settlement_Bridge!$C$2,0)),1,0)</f>
        <v>0</v>
      </c>
      <c r="P4143" s="2" t="s">
        <v>11211</v>
      </c>
    </row>
    <row r="4144" spans="1:16" x14ac:dyDescent="0.25">
      <c r="A4144" s="2" t="s">
        <v>11212</v>
      </c>
      <c r="B4144" s="2" t="s">
        <v>7433</v>
      </c>
      <c r="C4144" s="8">
        <v>46268</v>
      </c>
      <c r="D4144" s="6">
        <v>46266</v>
      </c>
      <c r="E4144" s="2" t="s">
        <v>260</v>
      </c>
      <c r="F4144" s="2" t="s">
        <v>11213</v>
      </c>
      <c r="G4144" s="6">
        <v>46235</v>
      </c>
      <c r="H4144" s="2" t="s">
        <v>176</v>
      </c>
      <c r="I4144" s="2" t="s">
        <v>76</v>
      </c>
      <c r="J4144" s="9">
        <v>97777951.219512001</v>
      </c>
      <c r="K4144" s="7">
        <v>6.1299999999999999E-5</v>
      </c>
      <c r="L4144" s="9">
        <v>5993.79</v>
      </c>
      <c r="M4144" s="9">
        <v>6013.34</v>
      </c>
      <c r="N4144" s="9">
        <v>3.3</v>
      </c>
      <c r="O4144" s="10">
        <f>IF(AND(OR(H4144="APPROVED",H4144="SCHEDULED"),COUNTIFS(tblSource[EventID],F4144,tblSource[ReleaseStatus],"APPROVED")=1,COUNTIFS(Period_Status!$A$2:$A$8,G4144,Period_Status!$B$2:$B$8,"ActualClosed")=1,C4144&gt;EOMONTH(Settlement_Bridge!$C$2,0)),1,0)</f>
        <v>0</v>
      </c>
      <c r="P4144" s="2" t="s">
        <v>11214</v>
      </c>
    </row>
    <row r="4145" spans="1:16" x14ac:dyDescent="0.25">
      <c r="A4145" s="2" t="s">
        <v>11215</v>
      </c>
      <c r="B4145" s="2" t="s">
        <v>7433</v>
      </c>
      <c r="C4145" s="8">
        <v>46293</v>
      </c>
      <c r="D4145" s="6">
        <v>46266</v>
      </c>
      <c r="E4145" s="2" t="s">
        <v>260</v>
      </c>
      <c r="F4145" s="2" t="s">
        <v>11213</v>
      </c>
      <c r="G4145" s="6">
        <v>46235</v>
      </c>
      <c r="H4145" s="2" t="s">
        <v>176</v>
      </c>
      <c r="I4145" s="2" t="s">
        <v>76</v>
      </c>
      <c r="J4145" s="9">
        <v>146666926.82926801</v>
      </c>
      <c r="K4145" s="7">
        <v>6.1299999999999999E-5</v>
      </c>
      <c r="L4145" s="9">
        <v>8990.68</v>
      </c>
      <c r="M4145" s="9">
        <v>9020.02</v>
      </c>
      <c r="N4145" s="9">
        <v>4.9400000000000004</v>
      </c>
      <c r="O4145" s="10">
        <f>IF(AND(OR(H4145="APPROVED",H4145="SCHEDULED"),COUNTIFS(tblSource[EventID],F4145,tblSource[ReleaseStatus],"APPROVED")=1,COUNTIFS(Period_Status!$A$2:$A$8,G4145,Period_Status!$B$2:$B$8,"ActualClosed")=1,C4145&gt;EOMONTH(Settlement_Bridge!$C$2,0)),1,0)</f>
        <v>0</v>
      </c>
      <c r="P4145" s="2" t="s">
        <v>11216</v>
      </c>
    </row>
    <row r="4146" spans="1:16" x14ac:dyDescent="0.25">
      <c r="A4146" s="2" t="s">
        <v>11217</v>
      </c>
      <c r="B4146" s="2" t="s">
        <v>7433</v>
      </c>
      <c r="C4146" s="8">
        <v>46269</v>
      </c>
      <c r="D4146" s="6">
        <v>46266</v>
      </c>
      <c r="E4146" s="2" t="s">
        <v>260</v>
      </c>
      <c r="F4146" s="2" t="s">
        <v>11218</v>
      </c>
      <c r="G4146" s="6">
        <v>46235</v>
      </c>
      <c r="H4146" s="2" t="s">
        <v>176</v>
      </c>
      <c r="I4146" s="2" t="s">
        <v>70</v>
      </c>
      <c r="J4146" s="9">
        <v>9421.6492309999994</v>
      </c>
      <c r="K4146" s="7">
        <v>0.65100000000000002</v>
      </c>
      <c r="L4146" s="9">
        <v>6133.49</v>
      </c>
      <c r="M4146" s="9">
        <v>6124.07</v>
      </c>
      <c r="N4146" s="9">
        <v>3.37</v>
      </c>
      <c r="O4146" s="10">
        <f>IF(AND(OR(H4146="APPROVED",H4146="SCHEDULED"),COUNTIFS(tblSource[EventID],F4146,tblSource[ReleaseStatus],"APPROVED")=1,COUNTIFS(Period_Status!$A$2:$A$8,G4146,Period_Status!$B$2:$B$8,"ActualClosed")=1,C4146&gt;EOMONTH(Settlement_Bridge!$C$2,0)),1,0)</f>
        <v>0</v>
      </c>
      <c r="P4146" s="2" t="s">
        <v>11219</v>
      </c>
    </row>
    <row r="4147" spans="1:16" x14ac:dyDescent="0.25">
      <c r="A4147" s="2" t="s">
        <v>11220</v>
      </c>
      <c r="B4147" s="2" t="s">
        <v>7433</v>
      </c>
      <c r="C4147" s="8">
        <v>46294</v>
      </c>
      <c r="D4147" s="6">
        <v>46266</v>
      </c>
      <c r="E4147" s="2" t="s">
        <v>260</v>
      </c>
      <c r="F4147" s="2" t="s">
        <v>11218</v>
      </c>
      <c r="G4147" s="6">
        <v>46235</v>
      </c>
      <c r="H4147" s="2" t="s">
        <v>176</v>
      </c>
      <c r="I4147" s="2" t="s">
        <v>70</v>
      </c>
      <c r="J4147" s="9">
        <v>14132.473846000001</v>
      </c>
      <c r="K4147" s="7">
        <v>0.65100000000000002</v>
      </c>
      <c r="L4147" s="9">
        <v>9200.24</v>
      </c>
      <c r="M4147" s="9">
        <v>9186.11</v>
      </c>
      <c r="N4147" s="9">
        <v>5.0599999999999996</v>
      </c>
      <c r="O4147" s="10">
        <f>IF(AND(OR(H4147="APPROVED",H4147="SCHEDULED"),COUNTIFS(tblSource[EventID],F4147,tblSource[ReleaseStatus],"APPROVED")=1,COUNTIFS(Period_Status!$A$2:$A$8,G4147,Period_Status!$B$2:$B$8,"ActualClosed")=1,C4147&gt;EOMONTH(Settlement_Bridge!$C$2,0)),1,0)</f>
        <v>0</v>
      </c>
      <c r="P4147" s="2" t="s">
        <v>11221</v>
      </c>
    </row>
    <row r="4148" spans="1:16" x14ac:dyDescent="0.25">
      <c r="A4148" s="2" t="s">
        <v>11222</v>
      </c>
      <c r="B4148" s="2" t="s">
        <v>7433</v>
      </c>
      <c r="C4148" s="8">
        <v>46270</v>
      </c>
      <c r="D4148" s="6">
        <v>46266</v>
      </c>
      <c r="E4148" s="2" t="s">
        <v>260</v>
      </c>
      <c r="F4148" s="2" t="s">
        <v>11223</v>
      </c>
      <c r="G4148" s="6">
        <v>46235</v>
      </c>
      <c r="H4148" s="2" t="s">
        <v>176</v>
      </c>
      <c r="I4148" s="2" t="s">
        <v>39</v>
      </c>
      <c r="J4148" s="9">
        <v>6234.7960000000003</v>
      </c>
      <c r="K4148" s="7">
        <v>1</v>
      </c>
      <c r="L4148" s="9">
        <v>6234.8</v>
      </c>
      <c r="M4148" s="9">
        <v>6234.8</v>
      </c>
      <c r="N4148" s="9">
        <v>3.43</v>
      </c>
      <c r="O4148" s="10">
        <f>IF(AND(OR(H4148="APPROVED",H4148="SCHEDULED"),COUNTIFS(tblSource[EventID],F4148,tblSource[ReleaseStatus],"APPROVED")=1,COUNTIFS(Period_Status!$A$2:$A$8,G4148,Period_Status!$B$2:$B$8,"ActualClosed")=1,C4148&gt;EOMONTH(Settlement_Bridge!$C$2,0)),1,0)</f>
        <v>0</v>
      </c>
      <c r="P4148" s="2" t="s">
        <v>11224</v>
      </c>
    </row>
    <row r="4149" spans="1:16" x14ac:dyDescent="0.25">
      <c r="A4149" s="2" t="s">
        <v>11225</v>
      </c>
      <c r="B4149" s="2" t="s">
        <v>7433</v>
      </c>
      <c r="C4149" s="8">
        <v>46295</v>
      </c>
      <c r="D4149" s="6">
        <v>46266</v>
      </c>
      <c r="E4149" s="2" t="s">
        <v>260</v>
      </c>
      <c r="F4149" s="2" t="s">
        <v>11223</v>
      </c>
      <c r="G4149" s="6">
        <v>46235</v>
      </c>
      <c r="H4149" s="2" t="s">
        <v>176</v>
      </c>
      <c r="I4149" s="2" t="s">
        <v>39</v>
      </c>
      <c r="J4149" s="9">
        <v>9352.1939999999995</v>
      </c>
      <c r="K4149" s="7">
        <v>1</v>
      </c>
      <c r="L4149" s="9">
        <v>9352.19</v>
      </c>
      <c r="M4149" s="9">
        <v>9352.19</v>
      </c>
      <c r="N4149" s="9">
        <v>5.14</v>
      </c>
      <c r="O4149" s="10">
        <f>IF(AND(OR(H4149="APPROVED",H4149="SCHEDULED"),COUNTIFS(tblSource[EventID],F4149,tblSource[ReleaseStatus],"APPROVED")=1,COUNTIFS(Period_Status!$A$2:$A$8,G4149,Period_Status!$B$2:$B$8,"ActualClosed")=1,C4149&gt;EOMONTH(Settlement_Bridge!$C$2,0)),1,0)</f>
        <v>0</v>
      </c>
      <c r="P4149" s="2" t="s">
        <v>11226</v>
      </c>
    </row>
    <row r="4150" spans="1:16" x14ac:dyDescent="0.25">
      <c r="A4150" s="2" t="s">
        <v>11227</v>
      </c>
      <c r="B4150" s="2" t="s">
        <v>7433</v>
      </c>
      <c r="C4150" s="8">
        <v>46271</v>
      </c>
      <c r="D4150" s="6">
        <v>46266</v>
      </c>
      <c r="E4150" s="2" t="s">
        <v>260</v>
      </c>
      <c r="F4150" s="2" t="s">
        <v>11228</v>
      </c>
      <c r="G4150" s="6">
        <v>46235</v>
      </c>
      <c r="H4150" s="2" t="s">
        <v>176</v>
      </c>
      <c r="I4150" s="2" t="s">
        <v>76</v>
      </c>
      <c r="J4150" s="9">
        <v>103179252.03252</v>
      </c>
      <c r="K4150" s="7">
        <v>6.1299999999999999E-5</v>
      </c>
      <c r="L4150" s="9">
        <v>6324.89</v>
      </c>
      <c r="M4150" s="9">
        <v>6345.52</v>
      </c>
      <c r="N4150" s="9">
        <v>3.48</v>
      </c>
      <c r="O4150" s="10">
        <f>IF(AND(OR(H4150="APPROVED",H4150="SCHEDULED"),COUNTIFS(tblSource[EventID],F4150,tblSource[ReleaseStatus],"APPROVED")=1,COUNTIFS(Period_Status!$A$2:$A$8,G4150,Period_Status!$B$2:$B$8,"ActualClosed")=1,C4150&gt;EOMONTH(Settlement_Bridge!$C$2,0)),1,0)</f>
        <v>0</v>
      </c>
      <c r="P4150" s="2" t="s">
        <v>11229</v>
      </c>
    </row>
    <row r="4151" spans="1:16" x14ac:dyDescent="0.25">
      <c r="A4151" s="2" t="s">
        <v>11230</v>
      </c>
      <c r="B4151" s="2" t="s">
        <v>7433</v>
      </c>
      <c r="C4151" s="8">
        <v>46296</v>
      </c>
      <c r="D4151" s="6">
        <v>46296</v>
      </c>
      <c r="E4151" s="2" t="s">
        <v>260</v>
      </c>
      <c r="F4151" s="2" t="s">
        <v>11228</v>
      </c>
      <c r="G4151" s="6">
        <v>46235</v>
      </c>
      <c r="H4151" s="2" t="s">
        <v>176</v>
      </c>
      <c r="I4151" s="2" t="s">
        <v>76</v>
      </c>
      <c r="J4151" s="9">
        <v>154768878.04878101</v>
      </c>
      <c r="K4151" s="7">
        <v>6.1099999999999994E-5</v>
      </c>
      <c r="L4151" s="9">
        <v>9456.3799999999992</v>
      </c>
      <c r="M4151" s="9">
        <v>9518.2900000000009</v>
      </c>
      <c r="N4151" s="9">
        <v>5.2</v>
      </c>
      <c r="O4151" s="10">
        <f>IF(AND(OR(H4151="APPROVED",H4151="SCHEDULED"),COUNTIFS(tblSource[EventID],F4151,tblSource[ReleaseStatus],"APPROVED")=1,COUNTIFS(Period_Status!$A$2:$A$8,G4151,Period_Status!$B$2:$B$8,"ActualClosed")=1,C4151&gt;EOMONTH(Settlement_Bridge!$C$2,0)),1,0)</f>
        <v>0</v>
      </c>
      <c r="P4151" s="2" t="s">
        <v>11231</v>
      </c>
    </row>
    <row r="4152" spans="1:16" x14ac:dyDescent="0.25">
      <c r="A4152" s="2" t="s">
        <v>11232</v>
      </c>
      <c r="B4152" s="2" t="s">
        <v>7433</v>
      </c>
      <c r="C4152" s="8">
        <v>46272</v>
      </c>
      <c r="D4152" s="6">
        <v>46266</v>
      </c>
      <c r="E4152" s="2" t="s">
        <v>260</v>
      </c>
      <c r="F4152" s="2" t="s">
        <v>11233</v>
      </c>
      <c r="G4152" s="6">
        <v>46235</v>
      </c>
      <c r="H4152" s="2" t="s">
        <v>176</v>
      </c>
      <c r="I4152" s="2" t="s">
        <v>70</v>
      </c>
      <c r="J4152" s="9">
        <v>9932.6892310000003</v>
      </c>
      <c r="K4152" s="7">
        <v>0.65100000000000002</v>
      </c>
      <c r="L4152" s="9">
        <v>6466.18</v>
      </c>
      <c r="M4152" s="9">
        <v>6456.25</v>
      </c>
      <c r="N4152" s="9">
        <v>3.56</v>
      </c>
      <c r="O4152" s="10">
        <f>IF(AND(OR(H4152="APPROVED",H4152="SCHEDULED"),COUNTIFS(tblSource[EventID],F4152,tblSource[ReleaseStatus],"APPROVED")=1,COUNTIFS(Period_Status!$A$2:$A$8,G4152,Period_Status!$B$2:$B$8,"ActualClosed")=1,C4152&gt;EOMONTH(Settlement_Bridge!$C$2,0)),1,0)</f>
        <v>0</v>
      </c>
      <c r="P4152" s="2" t="s">
        <v>11234</v>
      </c>
    </row>
    <row r="4153" spans="1:16" x14ac:dyDescent="0.25">
      <c r="A4153" s="2" t="s">
        <v>11235</v>
      </c>
      <c r="B4153" s="2" t="s">
        <v>7433</v>
      </c>
      <c r="C4153" s="8">
        <v>46297</v>
      </c>
      <c r="D4153" s="6">
        <v>46296</v>
      </c>
      <c r="E4153" s="2" t="s">
        <v>260</v>
      </c>
      <c r="F4153" s="2" t="s">
        <v>11233</v>
      </c>
      <c r="G4153" s="6">
        <v>46235</v>
      </c>
      <c r="H4153" s="2" t="s">
        <v>176</v>
      </c>
      <c r="I4153" s="2" t="s">
        <v>70</v>
      </c>
      <c r="J4153" s="9">
        <v>14899.033846</v>
      </c>
      <c r="K4153" s="7">
        <v>0.65500000000000003</v>
      </c>
      <c r="L4153" s="9">
        <v>9758.8700000000008</v>
      </c>
      <c r="M4153" s="9">
        <v>9684.3700000000008</v>
      </c>
      <c r="N4153" s="9">
        <v>5.37</v>
      </c>
      <c r="O4153" s="10">
        <f>IF(AND(OR(H4153="APPROVED",H4153="SCHEDULED"),COUNTIFS(tblSource[EventID],F4153,tblSource[ReleaseStatus],"APPROVED")=1,COUNTIFS(Period_Status!$A$2:$A$8,G4153,Period_Status!$B$2:$B$8,"ActualClosed")=1,C4153&gt;EOMONTH(Settlement_Bridge!$C$2,0)),1,0)</f>
        <v>0</v>
      </c>
      <c r="P4153" s="2" t="s">
        <v>11236</v>
      </c>
    </row>
    <row r="4154" spans="1:16" x14ac:dyDescent="0.25">
      <c r="A4154" s="2" t="s">
        <v>11237</v>
      </c>
      <c r="B4154" s="2" t="s">
        <v>7433</v>
      </c>
      <c r="C4154" s="8">
        <v>46273</v>
      </c>
      <c r="D4154" s="6">
        <v>46266</v>
      </c>
      <c r="E4154" s="2" t="s">
        <v>260</v>
      </c>
      <c r="F4154" s="2" t="s">
        <v>11238</v>
      </c>
      <c r="G4154" s="6">
        <v>46235</v>
      </c>
      <c r="H4154" s="2" t="s">
        <v>176</v>
      </c>
      <c r="I4154" s="2" t="s">
        <v>39</v>
      </c>
      <c r="J4154" s="9">
        <v>6566.9759999999997</v>
      </c>
      <c r="K4154" s="7">
        <v>1</v>
      </c>
      <c r="L4154" s="9">
        <v>6566.98</v>
      </c>
      <c r="M4154" s="9">
        <v>6566.98</v>
      </c>
      <c r="N4154" s="9">
        <v>3.61</v>
      </c>
      <c r="O4154" s="10">
        <f>IF(AND(OR(H4154="APPROVED",H4154="SCHEDULED"),COUNTIFS(tblSource[EventID],F4154,tblSource[ReleaseStatus],"APPROVED")=1,COUNTIFS(Period_Status!$A$2:$A$8,G4154,Period_Status!$B$2:$B$8,"ActualClosed")=1,C4154&gt;EOMONTH(Settlement_Bridge!$C$2,0)),1,0)</f>
        <v>0</v>
      </c>
      <c r="P4154" s="2" t="s">
        <v>11239</v>
      </c>
    </row>
    <row r="4155" spans="1:16" x14ac:dyDescent="0.25">
      <c r="A4155" s="2" t="s">
        <v>11240</v>
      </c>
      <c r="B4155" s="2" t="s">
        <v>7433</v>
      </c>
      <c r="C4155" s="8">
        <v>46298</v>
      </c>
      <c r="D4155" s="6">
        <v>46296</v>
      </c>
      <c r="E4155" s="2" t="s">
        <v>260</v>
      </c>
      <c r="F4155" s="2" t="s">
        <v>11238</v>
      </c>
      <c r="G4155" s="6">
        <v>46235</v>
      </c>
      <c r="H4155" s="2" t="s">
        <v>176</v>
      </c>
      <c r="I4155" s="2" t="s">
        <v>39</v>
      </c>
      <c r="J4155" s="9">
        <v>9850.4639999999999</v>
      </c>
      <c r="K4155" s="7">
        <v>1</v>
      </c>
      <c r="L4155" s="9">
        <v>9850.4599999999991</v>
      </c>
      <c r="M4155" s="9">
        <v>9850.4599999999991</v>
      </c>
      <c r="N4155" s="9">
        <v>5.42</v>
      </c>
      <c r="O4155" s="10">
        <f>IF(AND(OR(H4155="APPROVED",H4155="SCHEDULED"),COUNTIFS(tblSource[EventID],F4155,tblSource[ReleaseStatus],"APPROVED")=1,COUNTIFS(Period_Status!$A$2:$A$8,G4155,Period_Status!$B$2:$B$8,"ActualClosed")=1,C4155&gt;EOMONTH(Settlement_Bridge!$C$2,0)),1,0)</f>
        <v>0</v>
      </c>
      <c r="P4155" s="2" t="s">
        <v>11241</v>
      </c>
    </row>
    <row r="4156" spans="1:16" x14ac:dyDescent="0.25">
      <c r="A4156" s="2" t="s">
        <v>11242</v>
      </c>
      <c r="B4156" s="2" t="s">
        <v>7433</v>
      </c>
      <c r="C4156" s="8">
        <v>46274</v>
      </c>
      <c r="D4156" s="6">
        <v>46266</v>
      </c>
      <c r="E4156" s="2" t="s">
        <v>260</v>
      </c>
      <c r="F4156" s="2" t="s">
        <v>11243</v>
      </c>
      <c r="G4156" s="6">
        <v>46235</v>
      </c>
      <c r="H4156" s="2" t="s">
        <v>176</v>
      </c>
      <c r="I4156" s="2" t="s">
        <v>76</v>
      </c>
      <c r="J4156" s="9">
        <v>108580552.84552801</v>
      </c>
      <c r="K4156" s="7">
        <v>6.1299999999999999E-5</v>
      </c>
      <c r="L4156" s="9">
        <v>6655.99</v>
      </c>
      <c r="M4156" s="9">
        <v>6677.7</v>
      </c>
      <c r="N4156" s="9">
        <v>3.66</v>
      </c>
      <c r="O4156" s="10">
        <f>IF(AND(OR(H4156="APPROVED",H4156="SCHEDULED"),COUNTIFS(tblSource[EventID],F4156,tblSource[ReleaseStatus],"APPROVED")=1,COUNTIFS(Period_Status!$A$2:$A$8,G4156,Period_Status!$B$2:$B$8,"ActualClosed")=1,C4156&gt;EOMONTH(Settlement_Bridge!$C$2,0)),1,0)</f>
        <v>0</v>
      </c>
      <c r="P4156" s="2" t="s">
        <v>11244</v>
      </c>
    </row>
    <row r="4157" spans="1:16" x14ac:dyDescent="0.25">
      <c r="A4157" s="2" t="s">
        <v>11245</v>
      </c>
      <c r="B4157" s="2" t="s">
        <v>7433</v>
      </c>
      <c r="C4157" s="8">
        <v>46299</v>
      </c>
      <c r="D4157" s="6">
        <v>46296</v>
      </c>
      <c r="E4157" s="2" t="s">
        <v>260</v>
      </c>
      <c r="F4157" s="2" t="s">
        <v>11243</v>
      </c>
      <c r="G4157" s="6">
        <v>46235</v>
      </c>
      <c r="H4157" s="2" t="s">
        <v>176</v>
      </c>
      <c r="I4157" s="2" t="s">
        <v>76</v>
      </c>
      <c r="J4157" s="9">
        <v>162870829.26829299</v>
      </c>
      <c r="K4157" s="7">
        <v>6.1099999999999994E-5</v>
      </c>
      <c r="L4157" s="9">
        <v>9951.41</v>
      </c>
      <c r="M4157" s="9">
        <v>10016.56</v>
      </c>
      <c r="N4157" s="9">
        <v>5.47</v>
      </c>
      <c r="O4157" s="10">
        <f>IF(AND(OR(H4157="APPROVED",H4157="SCHEDULED"),COUNTIFS(tblSource[EventID],F4157,tblSource[ReleaseStatus],"APPROVED")=1,COUNTIFS(Period_Status!$A$2:$A$8,G4157,Period_Status!$B$2:$B$8,"ActualClosed")=1,C4157&gt;EOMONTH(Settlement_Bridge!$C$2,0)),1,0)</f>
        <v>0</v>
      </c>
      <c r="P4157" s="2" t="s">
        <v>11246</v>
      </c>
    </row>
    <row r="4158" spans="1:16" x14ac:dyDescent="0.25">
      <c r="A4158" s="2" t="s">
        <v>11247</v>
      </c>
      <c r="B4158" s="2" t="s">
        <v>7433</v>
      </c>
      <c r="C4158" s="8">
        <v>46275</v>
      </c>
      <c r="D4158" s="6">
        <v>46266</v>
      </c>
      <c r="E4158" s="2" t="s">
        <v>260</v>
      </c>
      <c r="F4158" s="2" t="s">
        <v>11248</v>
      </c>
      <c r="G4158" s="6">
        <v>46235</v>
      </c>
      <c r="H4158" s="2" t="s">
        <v>176</v>
      </c>
      <c r="I4158" s="2" t="s">
        <v>70</v>
      </c>
      <c r="J4158" s="9">
        <v>10443.735385</v>
      </c>
      <c r="K4158" s="7">
        <v>0.65100000000000002</v>
      </c>
      <c r="L4158" s="9">
        <v>6798.87</v>
      </c>
      <c r="M4158" s="9">
        <v>6788.43</v>
      </c>
      <c r="N4158" s="9">
        <v>3.74</v>
      </c>
      <c r="O4158" s="10">
        <f>IF(AND(OR(H4158="APPROVED",H4158="SCHEDULED"),COUNTIFS(tblSource[EventID],F4158,tblSource[ReleaseStatus],"APPROVED")=1,COUNTIFS(Period_Status!$A$2:$A$8,G4158,Period_Status!$B$2:$B$8,"ActualClosed")=1,C4158&gt;EOMONTH(Settlement_Bridge!$C$2,0)),1,0)</f>
        <v>0</v>
      </c>
      <c r="P4158" s="2" t="s">
        <v>11249</v>
      </c>
    </row>
    <row r="4159" spans="1:16" x14ac:dyDescent="0.25">
      <c r="A4159" s="2" t="s">
        <v>11250</v>
      </c>
      <c r="B4159" s="2" t="s">
        <v>7433</v>
      </c>
      <c r="C4159" s="8">
        <v>46300</v>
      </c>
      <c r="D4159" s="6">
        <v>46296</v>
      </c>
      <c r="E4159" s="2" t="s">
        <v>260</v>
      </c>
      <c r="F4159" s="2" t="s">
        <v>11248</v>
      </c>
      <c r="G4159" s="6">
        <v>46235</v>
      </c>
      <c r="H4159" s="2" t="s">
        <v>176</v>
      </c>
      <c r="I4159" s="2" t="s">
        <v>70</v>
      </c>
      <c r="J4159" s="9">
        <v>15665.603077</v>
      </c>
      <c r="K4159" s="7">
        <v>0.65500000000000003</v>
      </c>
      <c r="L4159" s="9">
        <v>10260.969999999999</v>
      </c>
      <c r="M4159" s="9">
        <v>10182.64</v>
      </c>
      <c r="N4159" s="9">
        <v>5.64</v>
      </c>
      <c r="O4159" s="10">
        <f>IF(AND(OR(H4159="APPROVED",H4159="SCHEDULED"),COUNTIFS(tblSource[EventID],F4159,tblSource[ReleaseStatus],"APPROVED")=1,COUNTIFS(Period_Status!$A$2:$A$8,G4159,Period_Status!$B$2:$B$8,"ActualClosed")=1,C4159&gt;EOMONTH(Settlement_Bridge!$C$2,0)),1,0)</f>
        <v>0</v>
      </c>
      <c r="P4159" s="2" t="s">
        <v>11251</v>
      </c>
    </row>
    <row r="4160" spans="1:16" x14ac:dyDescent="0.25">
      <c r="A4160" s="2" t="s">
        <v>11252</v>
      </c>
      <c r="B4160" s="2" t="s">
        <v>7433</v>
      </c>
      <c r="C4160" s="8">
        <v>46276</v>
      </c>
      <c r="D4160" s="6">
        <v>46266</v>
      </c>
      <c r="E4160" s="2" t="s">
        <v>260</v>
      </c>
      <c r="F4160" s="2" t="s">
        <v>11253</v>
      </c>
      <c r="G4160" s="6">
        <v>46235</v>
      </c>
      <c r="H4160" s="2" t="s">
        <v>176</v>
      </c>
      <c r="I4160" s="2" t="s">
        <v>39</v>
      </c>
      <c r="J4160" s="9">
        <v>6899.1559999999999</v>
      </c>
      <c r="K4160" s="7">
        <v>1</v>
      </c>
      <c r="L4160" s="9">
        <v>6899.16</v>
      </c>
      <c r="M4160" s="9">
        <v>6899.16</v>
      </c>
      <c r="N4160" s="9">
        <v>3.79</v>
      </c>
      <c r="O4160" s="10">
        <f>IF(AND(OR(H4160="APPROVED",H4160="SCHEDULED"),COUNTIFS(tblSource[EventID],F4160,tblSource[ReleaseStatus],"APPROVED")=1,COUNTIFS(Period_Status!$A$2:$A$8,G4160,Period_Status!$B$2:$B$8,"ActualClosed")=1,C4160&gt;EOMONTH(Settlement_Bridge!$C$2,0)),1,0)</f>
        <v>0</v>
      </c>
      <c r="P4160" s="2" t="s">
        <v>11254</v>
      </c>
    </row>
    <row r="4161" spans="1:16" x14ac:dyDescent="0.25">
      <c r="A4161" s="2" t="s">
        <v>11255</v>
      </c>
      <c r="B4161" s="2" t="s">
        <v>7433</v>
      </c>
      <c r="C4161" s="8">
        <v>46301</v>
      </c>
      <c r="D4161" s="6">
        <v>46296</v>
      </c>
      <c r="E4161" s="2" t="s">
        <v>260</v>
      </c>
      <c r="F4161" s="2" t="s">
        <v>11253</v>
      </c>
      <c r="G4161" s="6">
        <v>46235</v>
      </c>
      <c r="H4161" s="2" t="s">
        <v>176</v>
      </c>
      <c r="I4161" s="2" t="s">
        <v>39</v>
      </c>
      <c r="J4161" s="9">
        <v>10348.734</v>
      </c>
      <c r="K4161" s="7">
        <v>1</v>
      </c>
      <c r="L4161" s="9">
        <v>10348.73</v>
      </c>
      <c r="M4161" s="9">
        <v>10348.73</v>
      </c>
      <c r="N4161" s="9">
        <v>5.69</v>
      </c>
      <c r="O4161" s="10">
        <f>IF(AND(OR(H4161="APPROVED",H4161="SCHEDULED"),COUNTIFS(tblSource[EventID],F4161,tblSource[ReleaseStatus],"APPROVED")=1,COUNTIFS(Period_Status!$A$2:$A$8,G4161,Period_Status!$B$2:$B$8,"ActualClosed")=1,C4161&gt;EOMONTH(Settlement_Bridge!$C$2,0)),1,0)</f>
        <v>0</v>
      </c>
      <c r="P4161" s="2" t="s">
        <v>11256</v>
      </c>
    </row>
    <row r="4162" spans="1:16" x14ac:dyDescent="0.25">
      <c r="A4162" s="2" t="s">
        <v>11257</v>
      </c>
      <c r="B4162" s="2" t="s">
        <v>7433</v>
      </c>
      <c r="C4162" s="8">
        <v>46277</v>
      </c>
      <c r="D4162" s="6">
        <v>46266</v>
      </c>
      <c r="E4162" s="2" t="s">
        <v>260</v>
      </c>
      <c r="F4162" s="2" t="s">
        <v>11258</v>
      </c>
      <c r="G4162" s="6">
        <v>46235</v>
      </c>
      <c r="H4162" s="2" t="s">
        <v>176</v>
      </c>
      <c r="I4162" s="2" t="s">
        <v>76</v>
      </c>
      <c r="J4162" s="9">
        <v>113981788.61788601</v>
      </c>
      <c r="K4162" s="7">
        <v>6.1299999999999999E-5</v>
      </c>
      <c r="L4162" s="9">
        <v>6987.08</v>
      </c>
      <c r="M4162" s="9">
        <v>7009.88</v>
      </c>
      <c r="N4162" s="9">
        <v>3.84</v>
      </c>
      <c r="O4162" s="10">
        <f>IF(AND(OR(H4162="APPROVED",H4162="SCHEDULED"),COUNTIFS(tblSource[EventID],F4162,tblSource[ReleaseStatus],"APPROVED")=1,COUNTIFS(Period_Status!$A$2:$A$8,G4162,Period_Status!$B$2:$B$8,"ActualClosed")=1,C4162&gt;EOMONTH(Settlement_Bridge!$C$2,0)),1,0)</f>
        <v>0</v>
      </c>
      <c r="P4162" s="2" t="s">
        <v>11259</v>
      </c>
    </row>
    <row r="4163" spans="1:16" x14ac:dyDescent="0.25">
      <c r="A4163" s="2" t="s">
        <v>11260</v>
      </c>
      <c r="B4163" s="2" t="s">
        <v>7433</v>
      </c>
      <c r="C4163" s="8">
        <v>46302</v>
      </c>
      <c r="D4163" s="6">
        <v>46296</v>
      </c>
      <c r="E4163" s="2" t="s">
        <v>260</v>
      </c>
      <c r="F4163" s="2" t="s">
        <v>11258</v>
      </c>
      <c r="G4163" s="6">
        <v>46235</v>
      </c>
      <c r="H4163" s="2" t="s">
        <v>176</v>
      </c>
      <c r="I4163" s="2" t="s">
        <v>76</v>
      </c>
      <c r="J4163" s="9">
        <v>170972682.92682901</v>
      </c>
      <c r="K4163" s="7">
        <v>6.1099999999999994E-5</v>
      </c>
      <c r="L4163" s="9">
        <v>10446.43</v>
      </c>
      <c r="M4163" s="9">
        <v>10514.82</v>
      </c>
      <c r="N4163" s="9">
        <v>5.75</v>
      </c>
      <c r="O4163" s="10">
        <f>IF(AND(OR(H4163="APPROVED",H4163="SCHEDULED"),COUNTIFS(tblSource[EventID],F4163,tblSource[ReleaseStatus],"APPROVED")=1,COUNTIFS(Period_Status!$A$2:$A$8,G4163,Period_Status!$B$2:$B$8,"ActualClosed")=1,C4163&gt;EOMONTH(Settlement_Bridge!$C$2,0)),1,0)</f>
        <v>0</v>
      </c>
      <c r="P4163" s="2" t="s">
        <v>11261</v>
      </c>
    </row>
    <row r="4164" spans="1:16" x14ac:dyDescent="0.25">
      <c r="A4164" s="2" t="s">
        <v>11262</v>
      </c>
      <c r="B4164" s="2" t="s">
        <v>7433</v>
      </c>
      <c r="C4164" s="8">
        <v>46278</v>
      </c>
      <c r="D4164" s="6">
        <v>46266</v>
      </c>
      <c r="E4164" s="2" t="s">
        <v>260</v>
      </c>
      <c r="F4164" s="2" t="s">
        <v>11263</v>
      </c>
      <c r="G4164" s="6">
        <v>46235</v>
      </c>
      <c r="H4164" s="2" t="s">
        <v>176</v>
      </c>
      <c r="I4164" s="2" t="s">
        <v>70</v>
      </c>
      <c r="J4164" s="9">
        <v>10954.781537999999</v>
      </c>
      <c r="K4164" s="7">
        <v>0.65100000000000002</v>
      </c>
      <c r="L4164" s="9">
        <v>7131.56</v>
      </c>
      <c r="M4164" s="9">
        <v>7120.61</v>
      </c>
      <c r="N4164" s="9">
        <v>3.92</v>
      </c>
      <c r="O4164" s="10">
        <f>IF(AND(OR(H4164="APPROVED",H4164="SCHEDULED"),COUNTIFS(tblSource[EventID],F4164,tblSource[ReleaseStatus],"APPROVED")=1,COUNTIFS(Period_Status!$A$2:$A$8,G4164,Period_Status!$B$2:$B$8,"ActualClosed")=1,C4164&gt;EOMONTH(Settlement_Bridge!$C$2,0)),1,0)</f>
        <v>0</v>
      </c>
      <c r="P4164" s="2" t="s">
        <v>11264</v>
      </c>
    </row>
    <row r="4165" spans="1:16" x14ac:dyDescent="0.25">
      <c r="A4165" s="2" t="s">
        <v>11265</v>
      </c>
      <c r="B4165" s="2" t="s">
        <v>7433</v>
      </c>
      <c r="C4165" s="8">
        <v>46303</v>
      </c>
      <c r="D4165" s="6">
        <v>46296</v>
      </c>
      <c r="E4165" s="2" t="s">
        <v>260</v>
      </c>
      <c r="F4165" s="2" t="s">
        <v>11263</v>
      </c>
      <c r="G4165" s="6">
        <v>46235</v>
      </c>
      <c r="H4165" s="2" t="s">
        <v>176</v>
      </c>
      <c r="I4165" s="2" t="s">
        <v>70</v>
      </c>
      <c r="J4165" s="9">
        <v>16432.172308000001</v>
      </c>
      <c r="K4165" s="7">
        <v>0.65500000000000003</v>
      </c>
      <c r="L4165" s="9">
        <v>10763.07</v>
      </c>
      <c r="M4165" s="9">
        <v>10680.91</v>
      </c>
      <c r="N4165" s="9">
        <v>5.92</v>
      </c>
      <c r="O4165" s="10">
        <f>IF(AND(OR(H4165="APPROVED",H4165="SCHEDULED"),COUNTIFS(tblSource[EventID],F4165,tblSource[ReleaseStatus],"APPROVED")=1,COUNTIFS(Period_Status!$A$2:$A$8,G4165,Period_Status!$B$2:$B$8,"ActualClosed")=1,C4165&gt;EOMONTH(Settlement_Bridge!$C$2,0)),1,0)</f>
        <v>0</v>
      </c>
      <c r="P4165" s="2" t="s">
        <v>11266</v>
      </c>
    </row>
    <row r="4166" spans="1:16" x14ac:dyDescent="0.25">
      <c r="A4166" s="2" t="s">
        <v>11267</v>
      </c>
      <c r="B4166" s="2" t="s">
        <v>7433</v>
      </c>
      <c r="C4166" s="8">
        <v>46279</v>
      </c>
      <c r="D4166" s="6">
        <v>46266</v>
      </c>
      <c r="E4166" s="2" t="s">
        <v>260</v>
      </c>
      <c r="F4166" s="2" t="s">
        <v>11268</v>
      </c>
      <c r="G4166" s="6">
        <v>46235</v>
      </c>
      <c r="H4166" s="2" t="s">
        <v>176</v>
      </c>
      <c r="I4166" s="2" t="s">
        <v>39</v>
      </c>
      <c r="J4166" s="9">
        <v>7231.3360000000002</v>
      </c>
      <c r="K4166" s="7">
        <v>1</v>
      </c>
      <c r="L4166" s="9">
        <v>7231.34</v>
      </c>
      <c r="M4166" s="9">
        <v>7231.34</v>
      </c>
      <c r="N4166" s="9">
        <v>3.98</v>
      </c>
      <c r="O4166" s="10">
        <f>IF(AND(OR(H4166="APPROVED",H4166="SCHEDULED"),COUNTIFS(tblSource[EventID],F4166,tblSource[ReleaseStatus],"APPROVED")=1,COUNTIFS(Period_Status!$A$2:$A$8,G4166,Period_Status!$B$2:$B$8,"ActualClosed")=1,C4166&gt;EOMONTH(Settlement_Bridge!$C$2,0)),1,0)</f>
        <v>0</v>
      </c>
      <c r="P4166" s="2" t="s">
        <v>11269</v>
      </c>
    </row>
    <row r="4167" spans="1:16" x14ac:dyDescent="0.25">
      <c r="A4167" s="2" t="s">
        <v>11270</v>
      </c>
      <c r="B4167" s="2" t="s">
        <v>7433</v>
      </c>
      <c r="C4167" s="8">
        <v>46304</v>
      </c>
      <c r="D4167" s="6">
        <v>46296</v>
      </c>
      <c r="E4167" s="2" t="s">
        <v>260</v>
      </c>
      <c r="F4167" s="2" t="s">
        <v>11268</v>
      </c>
      <c r="G4167" s="6">
        <v>46235</v>
      </c>
      <c r="H4167" s="2" t="s">
        <v>176</v>
      </c>
      <c r="I4167" s="2" t="s">
        <v>39</v>
      </c>
      <c r="J4167" s="9">
        <v>10847.004000000001</v>
      </c>
      <c r="K4167" s="7">
        <v>1</v>
      </c>
      <c r="L4167" s="9">
        <v>10847</v>
      </c>
      <c r="M4167" s="9">
        <v>10847</v>
      </c>
      <c r="N4167" s="9">
        <v>5.97</v>
      </c>
      <c r="O4167" s="10">
        <f>IF(AND(OR(H4167="APPROVED",H4167="SCHEDULED"),COUNTIFS(tblSource[EventID],F4167,tblSource[ReleaseStatus],"APPROVED")=1,COUNTIFS(Period_Status!$A$2:$A$8,G4167,Period_Status!$B$2:$B$8,"ActualClosed")=1,C4167&gt;EOMONTH(Settlement_Bridge!$C$2,0)),1,0)</f>
        <v>0</v>
      </c>
      <c r="P4167" s="2" t="s">
        <v>11271</v>
      </c>
    </row>
    <row r="4168" spans="1:16" x14ac:dyDescent="0.25">
      <c r="A4168" s="2" t="s">
        <v>11272</v>
      </c>
      <c r="B4168" s="2" t="s">
        <v>7433</v>
      </c>
      <c r="C4168" s="8">
        <v>46249</v>
      </c>
      <c r="D4168" s="6">
        <v>46235</v>
      </c>
      <c r="E4168" s="2" t="s">
        <v>260</v>
      </c>
      <c r="F4168" s="2" t="s">
        <v>11273</v>
      </c>
      <c r="G4168" s="6">
        <v>46235</v>
      </c>
      <c r="H4168" s="2" t="s">
        <v>71</v>
      </c>
      <c r="I4168" s="2" t="s">
        <v>76</v>
      </c>
      <c r="J4168" s="9">
        <v>119373008.130081</v>
      </c>
      <c r="K4168" s="7">
        <v>6.1500000000000004E-5</v>
      </c>
      <c r="L4168" s="9">
        <v>7341.44</v>
      </c>
      <c r="M4168" s="9">
        <v>7341.44</v>
      </c>
      <c r="N4168" s="9">
        <v>4.04</v>
      </c>
      <c r="O4168" s="10">
        <f>IF(AND(OR(H4168="APPROVED",H4168="SCHEDULED"),COUNTIFS(tblSource[EventID],F4168,tblSource[ReleaseStatus],"APPROVED")=1,COUNTIFS(Period_Status!$A$2:$A$8,G4168,Period_Status!$B$2:$B$8,"ActualClosed")=1,C4168&gt;EOMONTH(Settlement_Bridge!$C$2,0)),1,0)</f>
        <v>0</v>
      </c>
      <c r="P4168" s="2" t="s">
        <v>11274</v>
      </c>
    </row>
    <row r="4169" spans="1:16" x14ac:dyDescent="0.25">
      <c r="A4169" s="2" t="s">
        <v>11275</v>
      </c>
      <c r="B4169" s="2" t="s">
        <v>7433</v>
      </c>
      <c r="C4169" s="8">
        <v>46274</v>
      </c>
      <c r="D4169" s="6">
        <v>46266</v>
      </c>
      <c r="E4169" s="2" t="s">
        <v>260</v>
      </c>
      <c r="F4169" s="2" t="s">
        <v>11273</v>
      </c>
      <c r="G4169" s="6">
        <v>46235</v>
      </c>
      <c r="H4169" s="2" t="s">
        <v>176</v>
      </c>
      <c r="I4169" s="2" t="s">
        <v>76</v>
      </c>
      <c r="J4169" s="9">
        <v>179059512.195122</v>
      </c>
      <c r="K4169" s="7">
        <v>6.1299999999999999E-5</v>
      </c>
      <c r="L4169" s="9">
        <v>10976.35</v>
      </c>
      <c r="M4169" s="9">
        <v>11012.16</v>
      </c>
      <c r="N4169" s="9">
        <v>6.04</v>
      </c>
      <c r="O4169" s="10">
        <f>IF(AND(OR(H4169="APPROVED",H4169="SCHEDULED"),COUNTIFS(tblSource[EventID],F4169,tblSource[ReleaseStatus],"APPROVED")=1,COUNTIFS(Period_Status!$A$2:$A$8,G4169,Period_Status!$B$2:$B$8,"ActualClosed")=1,C4169&gt;EOMONTH(Settlement_Bridge!$C$2,0)),1,0)</f>
        <v>0</v>
      </c>
      <c r="P4169" s="2" t="s">
        <v>11276</v>
      </c>
    </row>
    <row r="4170" spans="1:16" x14ac:dyDescent="0.25">
      <c r="A4170" s="2" t="s">
        <v>11277</v>
      </c>
      <c r="B4170" s="2" t="s">
        <v>7433</v>
      </c>
      <c r="C4170" s="8">
        <v>46250</v>
      </c>
      <c r="D4170" s="6">
        <v>46235</v>
      </c>
      <c r="E4170" s="2" t="s">
        <v>260</v>
      </c>
      <c r="F4170" s="2" t="s">
        <v>11278</v>
      </c>
      <c r="G4170" s="6">
        <v>46235</v>
      </c>
      <c r="H4170" s="2" t="s">
        <v>71</v>
      </c>
      <c r="I4170" s="2" t="s">
        <v>70</v>
      </c>
      <c r="J4170" s="9">
        <v>11464.873846</v>
      </c>
      <c r="K4170" s="7">
        <v>0.65</v>
      </c>
      <c r="L4170" s="9">
        <v>7452.17</v>
      </c>
      <c r="M4170" s="9">
        <v>7452.17</v>
      </c>
      <c r="N4170" s="9">
        <v>4.0999999999999996</v>
      </c>
      <c r="O4170" s="10">
        <f>IF(AND(OR(H4170="APPROVED",H4170="SCHEDULED"),COUNTIFS(tblSource[EventID],F4170,tblSource[ReleaseStatus],"APPROVED")=1,COUNTIFS(Period_Status!$A$2:$A$8,G4170,Period_Status!$B$2:$B$8,"ActualClosed")=1,C4170&gt;EOMONTH(Settlement_Bridge!$C$2,0)),1,0)</f>
        <v>0</v>
      </c>
      <c r="P4170" s="2" t="s">
        <v>11279</v>
      </c>
    </row>
    <row r="4171" spans="1:16" x14ac:dyDescent="0.25">
      <c r="A4171" s="2" t="s">
        <v>11280</v>
      </c>
      <c r="B4171" s="2" t="s">
        <v>7433</v>
      </c>
      <c r="C4171" s="8">
        <v>46275</v>
      </c>
      <c r="D4171" s="6">
        <v>46266</v>
      </c>
      <c r="E4171" s="2" t="s">
        <v>260</v>
      </c>
      <c r="F4171" s="2" t="s">
        <v>11278</v>
      </c>
      <c r="G4171" s="6">
        <v>46235</v>
      </c>
      <c r="H4171" s="2" t="s">
        <v>176</v>
      </c>
      <c r="I4171" s="2" t="s">
        <v>70</v>
      </c>
      <c r="J4171" s="9">
        <v>17197.310769</v>
      </c>
      <c r="K4171" s="7">
        <v>0.65100000000000002</v>
      </c>
      <c r="L4171" s="9">
        <v>11195.45</v>
      </c>
      <c r="M4171" s="9">
        <v>11178.25</v>
      </c>
      <c r="N4171" s="9">
        <v>6.16</v>
      </c>
      <c r="O4171" s="10">
        <f>IF(AND(OR(H4171="APPROVED",H4171="SCHEDULED"),COUNTIFS(tblSource[EventID],F4171,tblSource[ReleaseStatus],"APPROVED")=1,COUNTIFS(Period_Status!$A$2:$A$8,G4171,Period_Status!$B$2:$B$8,"ActualClosed")=1,C4171&gt;EOMONTH(Settlement_Bridge!$C$2,0)),1,0)</f>
        <v>0</v>
      </c>
      <c r="P4171" s="2" t="s">
        <v>11281</v>
      </c>
    </row>
    <row r="4172" spans="1:16" x14ac:dyDescent="0.25">
      <c r="A4172" s="2" t="s">
        <v>11282</v>
      </c>
      <c r="B4172" s="2" t="s">
        <v>7433</v>
      </c>
      <c r="C4172" s="8">
        <v>46251</v>
      </c>
      <c r="D4172" s="6">
        <v>46235</v>
      </c>
      <c r="E4172" s="2" t="s">
        <v>260</v>
      </c>
      <c r="F4172" s="2" t="s">
        <v>11283</v>
      </c>
      <c r="G4172" s="6">
        <v>46235</v>
      </c>
      <c r="H4172" s="2" t="s">
        <v>71</v>
      </c>
      <c r="I4172" s="2" t="s">
        <v>39</v>
      </c>
      <c r="J4172" s="9">
        <v>7562.8919999999998</v>
      </c>
      <c r="K4172" s="7">
        <v>1</v>
      </c>
      <c r="L4172" s="9">
        <v>7562.89</v>
      </c>
      <c r="M4172" s="9">
        <v>7562.89</v>
      </c>
      <c r="N4172" s="9">
        <v>4.16</v>
      </c>
      <c r="O4172" s="10">
        <f>IF(AND(OR(H4172="APPROVED",H4172="SCHEDULED"),COUNTIFS(tblSource[EventID],F4172,tblSource[ReleaseStatus],"APPROVED")=1,COUNTIFS(Period_Status!$A$2:$A$8,G4172,Period_Status!$B$2:$B$8,"ActualClosed")=1,C4172&gt;EOMONTH(Settlement_Bridge!$C$2,0)),1,0)</f>
        <v>0</v>
      </c>
      <c r="P4172" s="2" t="s">
        <v>11284</v>
      </c>
    </row>
    <row r="4173" spans="1:16" x14ac:dyDescent="0.25">
      <c r="A4173" s="2" t="s">
        <v>11285</v>
      </c>
      <c r="B4173" s="2" t="s">
        <v>7433</v>
      </c>
      <c r="C4173" s="8">
        <v>46276</v>
      </c>
      <c r="D4173" s="6">
        <v>46266</v>
      </c>
      <c r="E4173" s="2" t="s">
        <v>260</v>
      </c>
      <c r="F4173" s="2" t="s">
        <v>11283</v>
      </c>
      <c r="G4173" s="6">
        <v>46235</v>
      </c>
      <c r="H4173" s="2" t="s">
        <v>176</v>
      </c>
      <c r="I4173" s="2" t="s">
        <v>39</v>
      </c>
      <c r="J4173" s="9">
        <v>11344.338</v>
      </c>
      <c r="K4173" s="7">
        <v>1</v>
      </c>
      <c r="L4173" s="9">
        <v>11344.34</v>
      </c>
      <c r="M4173" s="9">
        <v>11344.34</v>
      </c>
      <c r="N4173" s="9">
        <v>6.24</v>
      </c>
      <c r="O4173" s="10">
        <f>IF(AND(OR(H4173="APPROVED",H4173="SCHEDULED"),COUNTIFS(tblSource[EventID],F4173,tblSource[ReleaseStatus],"APPROVED")=1,COUNTIFS(Period_Status!$A$2:$A$8,G4173,Period_Status!$B$2:$B$8,"ActualClosed")=1,C4173&gt;EOMONTH(Settlement_Bridge!$C$2,0)),1,0)</f>
        <v>0</v>
      </c>
      <c r="P4173" s="2" t="s">
        <v>11286</v>
      </c>
    </row>
    <row r="4174" spans="1:16" x14ac:dyDescent="0.25">
      <c r="A4174" s="2" t="s">
        <v>11287</v>
      </c>
      <c r="B4174" s="2" t="s">
        <v>7433</v>
      </c>
      <c r="C4174" s="8">
        <v>46252</v>
      </c>
      <c r="D4174" s="6">
        <v>46235</v>
      </c>
      <c r="E4174" s="2" t="s">
        <v>260</v>
      </c>
      <c r="F4174" s="2" t="s">
        <v>11288</v>
      </c>
      <c r="G4174" s="6">
        <v>46235</v>
      </c>
      <c r="H4174" s="2" t="s">
        <v>71</v>
      </c>
      <c r="I4174" s="2" t="s">
        <v>76</v>
      </c>
      <c r="J4174" s="9">
        <v>-311935772.35772401</v>
      </c>
      <c r="K4174" s="7">
        <v>6.1500000000000004E-5</v>
      </c>
      <c r="L4174" s="9">
        <v>-19184.05</v>
      </c>
      <c r="M4174" s="9">
        <v>-19184.05</v>
      </c>
      <c r="N4174" s="9">
        <v>0</v>
      </c>
      <c r="O4174" s="10">
        <f>IF(AND(OR(H4174="APPROVED",H4174="SCHEDULED"),COUNTIFS(tblSource[EventID],F4174,tblSource[ReleaseStatus],"APPROVED")=1,COUNTIFS(Period_Status!$A$2:$A$8,G4174,Period_Status!$B$2:$B$8,"ActualClosed")=1,C4174&gt;EOMONTH(Settlement_Bridge!$C$2,0)),1,0)</f>
        <v>0</v>
      </c>
      <c r="P4174" s="2" t="s">
        <v>11289</v>
      </c>
    </row>
    <row r="4175" spans="1:16" x14ac:dyDescent="0.25">
      <c r="A4175" s="2" t="s">
        <v>11290</v>
      </c>
      <c r="B4175" s="2" t="s">
        <v>7433</v>
      </c>
      <c r="C4175" s="8">
        <v>46253</v>
      </c>
      <c r="D4175" s="6">
        <v>46235</v>
      </c>
      <c r="E4175" s="2" t="s">
        <v>260</v>
      </c>
      <c r="F4175" s="2" t="s">
        <v>11291</v>
      </c>
      <c r="G4175" s="6">
        <v>46235</v>
      </c>
      <c r="H4175" s="2" t="s">
        <v>71</v>
      </c>
      <c r="I4175" s="2" t="s">
        <v>70</v>
      </c>
      <c r="J4175" s="9">
        <v>11975.913845999999</v>
      </c>
      <c r="K4175" s="7">
        <v>0.65</v>
      </c>
      <c r="L4175" s="9">
        <v>7784.34</v>
      </c>
      <c r="M4175" s="9">
        <v>7784.34</v>
      </c>
      <c r="N4175" s="9">
        <v>4.28</v>
      </c>
      <c r="O4175" s="10">
        <f>IF(AND(OR(H4175="APPROVED",H4175="SCHEDULED"),COUNTIFS(tblSource[EventID],F4175,tblSource[ReleaseStatus],"APPROVED")=1,COUNTIFS(Period_Status!$A$2:$A$8,G4175,Period_Status!$B$2:$B$8,"ActualClosed")=1,C4175&gt;EOMONTH(Settlement_Bridge!$C$2,0)),1,0)</f>
        <v>0</v>
      </c>
      <c r="P4175" s="2" t="s">
        <v>11292</v>
      </c>
    </row>
    <row r="4176" spans="1:16" x14ac:dyDescent="0.25">
      <c r="A4176" s="2" t="s">
        <v>11293</v>
      </c>
      <c r="B4176" s="2" t="s">
        <v>7433</v>
      </c>
      <c r="C4176" s="8">
        <v>46278</v>
      </c>
      <c r="D4176" s="6">
        <v>46266</v>
      </c>
      <c r="E4176" s="2" t="s">
        <v>260</v>
      </c>
      <c r="F4176" s="2" t="s">
        <v>11291</v>
      </c>
      <c r="G4176" s="6">
        <v>46235</v>
      </c>
      <c r="H4176" s="2" t="s">
        <v>176</v>
      </c>
      <c r="I4176" s="2" t="s">
        <v>70</v>
      </c>
      <c r="J4176" s="9">
        <v>17963.870769000001</v>
      </c>
      <c r="K4176" s="7">
        <v>0.65100000000000002</v>
      </c>
      <c r="L4176" s="9">
        <v>11694.48</v>
      </c>
      <c r="M4176" s="9">
        <v>11676.52</v>
      </c>
      <c r="N4176" s="9">
        <v>6.43</v>
      </c>
      <c r="O4176" s="10">
        <f>IF(AND(OR(H4176="APPROVED",H4176="SCHEDULED"),COUNTIFS(tblSource[EventID],F4176,tblSource[ReleaseStatus],"APPROVED")=1,COUNTIFS(Period_Status!$A$2:$A$8,G4176,Period_Status!$B$2:$B$8,"ActualClosed")=1,C4176&gt;EOMONTH(Settlement_Bridge!$C$2,0)),1,0)</f>
        <v>0</v>
      </c>
      <c r="P4176" s="2" t="s">
        <v>11294</v>
      </c>
    </row>
    <row r="4177" spans="1:16" x14ac:dyDescent="0.25">
      <c r="A4177" s="2" t="s">
        <v>11295</v>
      </c>
      <c r="B4177" s="2" t="s">
        <v>7433</v>
      </c>
      <c r="C4177" s="8">
        <v>46254</v>
      </c>
      <c r="D4177" s="6">
        <v>46235</v>
      </c>
      <c r="E4177" s="2" t="s">
        <v>260</v>
      </c>
      <c r="F4177" s="2" t="s">
        <v>11296</v>
      </c>
      <c r="G4177" s="6">
        <v>46235</v>
      </c>
      <c r="H4177" s="2" t="s">
        <v>71</v>
      </c>
      <c r="I4177" s="2" t="s">
        <v>39</v>
      </c>
      <c r="J4177" s="9">
        <v>7895.0720000000001</v>
      </c>
      <c r="K4177" s="7">
        <v>1</v>
      </c>
      <c r="L4177" s="9">
        <v>7895.07</v>
      </c>
      <c r="M4177" s="9">
        <v>7895.07</v>
      </c>
      <c r="N4177" s="9">
        <v>4.34</v>
      </c>
      <c r="O4177" s="10">
        <f>IF(AND(OR(H4177="APPROVED",H4177="SCHEDULED"),COUNTIFS(tblSource[EventID],F4177,tblSource[ReleaseStatus],"APPROVED")=1,COUNTIFS(Period_Status!$A$2:$A$8,G4177,Period_Status!$B$2:$B$8,"ActualClosed")=1,C4177&gt;EOMONTH(Settlement_Bridge!$C$2,0)),1,0)</f>
        <v>0</v>
      </c>
      <c r="P4177" s="2" t="s">
        <v>11297</v>
      </c>
    </row>
    <row r="4178" spans="1:16" x14ac:dyDescent="0.25">
      <c r="A4178" s="2" t="s">
        <v>11298</v>
      </c>
      <c r="B4178" s="2" t="s">
        <v>7433</v>
      </c>
      <c r="C4178" s="8">
        <v>46279</v>
      </c>
      <c r="D4178" s="6">
        <v>46266</v>
      </c>
      <c r="E4178" s="2" t="s">
        <v>260</v>
      </c>
      <c r="F4178" s="2" t="s">
        <v>11296</v>
      </c>
      <c r="G4178" s="6">
        <v>46235</v>
      </c>
      <c r="H4178" s="2" t="s">
        <v>176</v>
      </c>
      <c r="I4178" s="2" t="s">
        <v>39</v>
      </c>
      <c r="J4178" s="9">
        <v>11842.608</v>
      </c>
      <c r="K4178" s="7">
        <v>1</v>
      </c>
      <c r="L4178" s="9">
        <v>11842.61</v>
      </c>
      <c r="M4178" s="9">
        <v>11842.61</v>
      </c>
      <c r="N4178" s="9">
        <v>6.51</v>
      </c>
      <c r="O4178" s="10">
        <f>IF(AND(OR(H4178="APPROVED",H4178="SCHEDULED"),COUNTIFS(tblSource[EventID],F4178,tblSource[ReleaseStatus],"APPROVED")=1,COUNTIFS(Period_Status!$A$2:$A$8,G4178,Period_Status!$B$2:$B$8,"ActualClosed")=1,C4178&gt;EOMONTH(Settlement_Bridge!$C$2,0)),1,0)</f>
        <v>0</v>
      </c>
      <c r="P4178" s="2" t="s">
        <v>11299</v>
      </c>
    </row>
    <row r="4179" spans="1:16" x14ac:dyDescent="0.25">
      <c r="A4179" s="2" t="s">
        <v>11300</v>
      </c>
      <c r="B4179" s="2" t="s">
        <v>7433</v>
      </c>
      <c r="C4179" s="8">
        <v>46255</v>
      </c>
      <c r="D4179" s="6">
        <v>46235</v>
      </c>
      <c r="E4179" s="2" t="s">
        <v>260</v>
      </c>
      <c r="F4179" s="2" t="s">
        <v>11301</v>
      </c>
      <c r="G4179" s="6">
        <v>46235</v>
      </c>
      <c r="H4179" s="2" t="s">
        <v>71</v>
      </c>
      <c r="I4179" s="2" t="s">
        <v>76</v>
      </c>
      <c r="J4179" s="9">
        <v>130175609.756098</v>
      </c>
      <c r="K4179" s="7">
        <v>6.1500000000000004E-5</v>
      </c>
      <c r="L4179" s="9">
        <v>8005.8</v>
      </c>
      <c r="M4179" s="9">
        <v>8005.8</v>
      </c>
      <c r="N4179" s="9">
        <v>4.4000000000000004</v>
      </c>
      <c r="O4179" s="10">
        <f>IF(AND(OR(H4179="APPROVED",H4179="SCHEDULED"),COUNTIFS(tblSource[EventID],F4179,tblSource[ReleaseStatus],"APPROVED")=1,COUNTIFS(Period_Status!$A$2:$A$8,G4179,Period_Status!$B$2:$B$8,"ActualClosed")=1,C4179&gt;EOMONTH(Settlement_Bridge!$C$2,0)),1,0)</f>
        <v>0</v>
      </c>
      <c r="P4179" s="2" t="s">
        <v>11302</v>
      </c>
    </row>
    <row r="4180" spans="1:16" x14ac:dyDescent="0.25">
      <c r="A4180" s="2" t="s">
        <v>11303</v>
      </c>
      <c r="B4180" s="2" t="s">
        <v>7433</v>
      </c>
      <c r="C4180" s="8">
        <v>46280</v>
      </c>
      <c r="D4180" s="6">
        <v>46266</v>
      </c>
      <c r="E4180" s="2" t="s">
        <v>260</v>
      </c>
      <c r="F4180" s="2" t="s">
        <v>11301</v>
      </c>
      <c r="G4180" s="6">
        <v>46235</v>
      </c>
      <c r="H4180" s="2" t="s">
        <v>176</v>
      </c>
      <c r="I4180" s="2" t="s">
        <v>76</v>
      </c>
      <c r="J4180" s="9">
        <v>195263414.634146</v>
      </c>
      <c r="K4180" s="7">
        <v>6.1299999999999999E-5</v>
      </c>
      <c r="L4180" s="9">
        <v>11969.65</v>
      </c>
      <c r="M4180" s="9">
        <v>12008.7</v>
      </c>
      <c r="N4180" s="9">
        <v>6.58</v>
      </c>
      <c r="O4180" s="10">
        <f>IF(AND(OR(H4180="APPROVED",H4180="SCHEDULED"),COUNTIFS(tblSource[EventID],F4180,tblSource[ReleaseStatus],"APPROVED")=1,COUNTIFS(Period_Status!$A$2:$A$8,G4180,Period_Status!$B$2:$B$8,"ActualClosed")=1,C4180&gt;EOMONTH(Settlement_Bridge!$C$2,0)),1,0)</f>
        <v>0</v>
      </c>
      <c r="P4180" s="2" t="s">
        <v>11304</v>
      </c>
    </row>
    <row r="4181" spans="1:16" x14ac:dyDescent="0.25">
      <c r="A4181" s="2" t="s">
        <v>11305</v>
      </c>
      <c r="B4181" s="2" t="s">
        <v>7433</v>
      </c>
      <c r="C4181" s="8">
        <v>46256</v>
      </c>
      <c r="D4181" s="6">
        <v>46235</v>
      </c>
      <c r="E4181" s="2" t="s">
        <v>260</v>
      </c>
      <c r="F4181" s="2" t="s">
        <v>11306</v>
      </c>
      <c r="G4181" s="6">
        <v>46235</v>
      </c>
      <c r="H4181" s="2" t="s">
        <v>71</v>
      </c>
      <c r="I4181" s="2" t="s">
        <v>70</v>
      </c>
      <c r="J4181" s="9">
        <v>12486.96</v>
      </c>
      <c r="K4181" s="7">
        <v>0.65</v>
      </c>
      <c r="L4181" s="9">
        <v>8116.52</v>
      </c>
      <c r="M4181" s="9">
        <v>8116.52</v>
      </c>
      <c r="N4181" s="9">
        <v>4.46</v>
      </c>
      <c r="O4181" s="10">
        <f>IF(AND(OR(H4181="APPROVED",H4181="SCHEDULED"),COUNTIFS(tblSource[EventID],F4181,tblSource[ReleaseStatus],"APPROVED")=1,COUNTIFS(Period_Status!$A$2:$A$8,G4181,Period_Status!$B$2:$B$8,"ActualClosed")=1,C4181&gt;EOMONTH(Settlement_Bridge!$C$2,0)),1,0)</f>
        <v>0</v>
      </c>
      <c r="P4181" s="2" t="s">
        <v>11307</v>
      </c>
    </row>
    <row r="4182" spans="1:16" x14ac:dyDescent="0.25">
      <c r="A4182" s="2" t="s">
        <v>11308</v>
      </c>
      <c r="B4182" s="2" t="s">
        <v>7433</v>
      </c>
      <c r="C4182" s="8">
        <v>46281</v>
      </c>
      <c r="D4182" s="6">
        <v>46266</v>
      </c>
      <c r="E4182" s="2" t="s">
        <v>260</v>
      </c>
      <c r="F4182" s="2" t="s">
        <v>11306</v>
      </c>
      <c r="G4182" s="6">
        <v>46235</v>
      </c>
      <c r="H4182" s="2" t="s">
        <v>176</v>
      </c>
      <c r="I4182" s="2" t="s">
        <v>70</v>
      </c>
      <c r="J4182" s="9">
        <v>18730.439999999999</v>
      </c>
      <c r="K4182" s="7">
        <v>0.65100000000000002</v>
      </c>
      <c r="L4182" s="9">
        <v>12193.52</v>
      </c>
      <c r="M4182" s="9">
        <v>12174.79</v>
      </c>
      <c r="N4182" s="9">
        <v>6.71</v>
      </c>
      <c r="O4182" s="10">
        <f>IF(AND(OR(H4182="APPROVED",H4182="SCHEDULED"),COUNTIFS(tblSource[EventID],F4182,tblSource[ReleaseStatus],"APPROVED")=1,COUNTIFS(Period_Status!$A$2:$A$8,G4182,Period_Status!$B$2:$B$8,"ActualClosed")=1,C4182&gt;EOMONTH(Settlement_Bridge!$C$2,0)),1,0)</f>
        <v>0</v>
      </c>
      <c r="P4182" s="2" t="s">
        <v>11309</v>
      </c>
    </row>
    <row r="4183" spans="1:16" x14ac:dyDescent="0.25">
      <c r="A4183" s="2" t="s">
        <v>11310</v>
      </c>
      <c r="B4183" s="2" t="s">
        <v>7433</v>
      </c>
      <c r="C4183" s="8">
        <v>46257</v>
      </c>
      <c r="D4183" s="6">
        <v>46235</v>
      </c>
      <c r="E4183" s="2" t="s">
        <v>260</v>
      </c>
      <c r="F4183" s="2" t="s">
        <v>11311</v>
      </c>
      <c r="G4183" s="6">
        <v>46235</v>
      </c>
      <c r="H4183" s="2" t="s">
        <v>71</v>
      </c>
      <c r="I4183" s="2" t="s">
        <v>39</v>
      </c>
      <c r="J4183" s="9">
        <v>8227.2520000000004</v>
      </c>
      <c r="K4183" s="7">
        <v>1</v>
      </c>
      <c r="L4183" s="9">
        <v>8227.25</v>
      </c>
      <c r="M4183" s="9">
        <v>8227.25</v>
      </c>
      <c r="N4183" s="9">
        <v>4.5199999999999996</v>
      </c>
      <c r="O4183" s="10">
        <f>IF(AND(OR(H4183="APPROVED",H4183="SCHEDULED"),COUNTIFS(tblSource[EventID],F4183,tblSource[ReleaseStatus],"APPROVED")=1,COUNTIFS(Period_Status!$A$2:$A$8,G4183,Period_Status!$B$2:$B$8,"ActualClosed")=1,C4183&gt;EOMONTH(Settlement_Bridge!$C$2,0)),1,0)</f>
        <v>0</v>
      </c>
      <c r="P4183" s="2" t="s">
        <v>11312</v>
      </c>
    </row>
    <row r="4184" spans="1:16" x14ac:dyDescent="0.25">
      <c r="A4184" s="2" t="s">
        <v>11313</v>
      </c>
      <c r="B4184" s="2" t="s">
        <v>7433</v>
      </c>
      <c r="C4184" s="8">
        <v>46282</v>
      </c>
      <c r="D4184" s="6">
        <v>46266</v>
      </c>
      <c r="E4184" s="2" t="s">
        <v>260</v>
      </c>
      <c r="F4184" s="2" t="s">
        <v>11311</v>
      </c>
      <c r="G4184" s="6">
        <v>46235</v>
      </c>
      <c r="H4184" s="2" t="s">
        <v>176</v>
      </c>
      <c r="I4184" s="2" t="s">
        <v>39</v>
      </c>
      <c r="J4184" s="9">
        <v>12340.878000000001</v>
      </c>
      <c r="K4184" s="7">
        <v>1</v>
      </c>
      <c r="L4184" s="9">
        <v>12340.88</v>
      </c>
      <c r="M4184" s="9">
        <v>12340.88</v>
      </c>
      <c r="N4184" s="9">
        <v>6.79</v>
      </c>
      <c r="O4184" s="10">
        <f>IF(AND(OR(H4184="APPROVED",H4184="SCHEDULED"),COUNTIFS(tblSource[EventID],F4184,tblSource[ReleaseStatus],"APPROVED")=1,COUNTIFS(Period_Status!$A$2:$A$8,G4184,Period_Status!$B$2:$B$8,"ActualClosed")=1,C4184&gt;EOMONTH(Settlement_Bridge!$C$2,0)),1,0)</f>
        <v>0</v>
      </c>
      <c r="P4184" s="2" t="s">
        <v>11314</v>
      </c>
    </row>
    <row r="4185" spans="1:16" x14ac:dyDescent="0.25">
      <c r="A4185" s="2" t="s">
        <v>11315</v>
      </c>
      <c r="B4185" s="2" t="s">
        <v>7433</v>
      </c>
      <c r="C4185" s="8">
        <v>46258</v>
      </c>
      <c r="D4185" s="6">
        <v>46235</v>
      </c>
      <c r="E4185" s="2" t="s">
        <v>260</v>
      </c>
      <c r="F4185" s="2" t="s">
        <v>11316</v>
      </c>
      <c r="G4185" s="6">
        <v>46235</v>
      </c>
      <c r="H4185" s="2" t="s">
        <v>71</v>
      </c>
      <c r="I4185" s="2" t="s">
        <v>76</v>
      </c>
      <c r="J4185" s="9">
        <v>135576845.52845499</v>
      </c>
      <c r="K4185" s="7">
        <v>6.1500000000000004E-5</v>
      </c>
      <c r="L4185" s="9">
        <v>8337.98</v>
      </c>
      <c r="M4185" s="9">
        <v>8337.98</v>
      </c>
      <c r="N4185" s="9">
        <v>4.59</v>
      </c>
      <c r="O4185" s="10">
        <f>IF(AND(OR(H4185="APPROVED",H4185="SCHEDULED"),COUNTIFS(tblSource[EventID],F4185,tblSource[ReleaseStatus],"APPROVED")=1,COUNTIFS(Period_Status!$A$2:$A$8,G4185,Period_Status!$B$2:$B$8,"ActualClosed")=1,C4185&gt;EOMONTH(Settlement_Bridge!$C$2,0)),1,0)</f>
        <v>0</v>
      </c>
      <c r="P4185" s="2" t="s">
        <v>11317</v>
      </c>
    </row>
    <row r="4186" spans="1:16" x14ac:dyDescent="0.25">
      <c r="A4186" s="2" t="s">
        <v>11318</v>
      </c>
      <c r="B4186" s="2" t="s">
        <v>7433</v>
      </c>
      <c r="C4186" s="8">
        <v>46283</v>
      </c>
      <c r="D4186" s="6">
        <v>46266</v>
      </c>
      <c r="E4186" s="2" t="s">
        <v>260</v>
      </c>
      <c r="F4186" s="2" t="s">
        <v>11316</v>
      </c>
      <c r="G4186" s="6">
        <v>46235</v>
      </c>
      <c r="H4186" s="2" t="s">
        <v>176</v>
      </c>
      <c r="I4186" s="2" t="s">
        <v>76</v>
      </c>
      <c r="J4186" s="9">
        <v>203365268.29268301</v>
      </c>
      <c r="K4186" s="7">
        <v>6.1299999999999999E-5</v>
      </c>
      <c r="L4186" s="9">
        <v>12466.29</v>
      </c>
      <c r="M4186" s="9">
        <v>12506.96</v>
      </c>
      <c r="N4186" s="9">
        <v>6.86</v>
      </c>
      <c r="O4186" s="10">
        <f>IF(AND(OR(H4186="APPROVED",H4186="SCHEDULED"),COUNTIFS(tblSource[EventID],F4186,tblSource[ReleaseStatus],"APPROVED")=1,COUNTIFS(Period_Status!$A$2:$A$8,G4186,Period_Status!$B$2:$B$8,"ActualClosed")=1,C4186&gt;EOMONTH(Settlement_Bridge!$C$2,0)),1,0)</f>
        <v>0</v>
      </c>
      <c r="P4186" s="2" t="s">
        <v>11319</v>
      </c>
    </row>
    <row r="4187" spans="1:16" x14ac:dyDescent="0.25">
      <c r="A4187" s="2" t="s">
        <v>11320</v>
      </c>
      <c r="B4187" s="2" t="s">
        <v>7433</v>
      </c>
      <c r="C4187" s="8">
        <v>46259</v>
      </c>
      <c r="D4187" s="6">
        <v>46235</v>
      </c>
      <c r="E4187" s="2" t="s">
        <v>260</v>
      </c>
      <c r="F4187" s="2" t="s">
        <v>11321</v>
      </c>
      <c r="G4187" s="6">
        <v>46235</v>
      </c>
      <c r="H4187" s="2" t="s">
        <v>71</v>
      </c>
      <c r="I4187" s="2" t="s">
        <v>70</v>
      </c>
      <c r="J4187" s="9">
        <v>12998.006154000001</v>
      </c>
      <c r="K4187" s="7">
        <v>0.65</v>
      </c>
      <c r="L4187" s="9">
        <v>8448.7000000000007</v>
      </c>
      <c r="M4187" s="9">
        <v>8448.7000000000007</v>
      </c>
      <c r="N4187" s="9">
        <v>4.6500000000000004</v>
      </c>
      <c r="O4187" s="10">
        <f>IF(AND(OR(H4187="APPROVED",H4187="SCHEDULED"),COUNTIFS(tblSource[EventID],F4187,tblSource[ReleaseStatus],"APPROVED")=1,COUNTIFS(Period_Status!$A$2:$A$8,G4187,Period_Status!$B$2:$B$8,"ActualClosed")=1,C4187&gt;EOMONTH(Settlement_Bridge!$C$2,0)),1,0)</f>
        <v>0</v>
      </c>
      <c r="P4187" s="2" t="s">
        <v>11322</v>
      </c>
    </row>
    <row r="4188" spans="1:16" x14ac:dyDescent="0.25">
      <c r="A4188" s="2" t="s">
        <v>11323</v>
      </c>
      <c r="B4188" s="2" t="s">
        <v>7433</v>
      </c>
      <c r="C4188" s="8">
        <v>46284</v>
      </c>
      <c r="D4188" s="6">
        <v>46266</v>
      </c>
      <c r="E4188" s="2" t="s">
        <v>260</v>
      </c>
      <c r="F4188" s="2" t="s">
        <v>11321</v>
      </c>
      <c r="G4188" s="6">
        <v>46235</v>
      </c>
      <c r="H4188" s="2" t="s">
        <v>176</v>
      </c>
      <c r="I4188" s="2" t="s">
        <v>70</v>
      </c>
      <c r="J4188" s="9">
        <v>19497.009231</v>
      </c>
      <c r="K4188" s="7">
        <v>0.65100000000000002</v>
      </c>
      <c r="L4188" s="9">
        <v>12692.55</v>
      </c>
      <c r="M4188" s="9">
        <v>12673.06</v>
      </c>
      <c r="N4188" s="9">
        <v>6.98</v>
      </c>
      <c r="O4188" s="10">
        <f>IF(AND(OR(H4188="APPROVED",H4188="SCHEDULED"),COUNTIFS(tblSource[EventID],F4188,tblSource[ReleaseStatus],"APPROVED")=1,COUNTIFS(Period_Status!$A$2:$A$8,G4188,Period_Status!$B$2:$B$8,"ActualClosed")=1,C4188&gt;EOMONTH(Settlement_Bridge!$C$2,0)),1,0)</f>
        <v>0</v>
      </c>
      <c r="P4188" s="2" t="s">
        <v>11324</v>
      </c>
    </row>
    <row r="4189" spans="1:16" x14ac:dyDescent="0.25">
      <c r="A4189" s="2" t="s">
        <v>11325</v>
      </c>
      <c r="B4189" s="2" t="s">
        <v>7433</v>
      </c>
      <c r="C4189" s="8">
        <v>46260</v>
      </c>
      <c r="D4189" s="6">
        <v>46235</v>
      </c>
      <c r="E4189" s="2" t="s">
        <v>260</v>
      </c>
      <c r="F4189" s="2" t="s">
        <v>11326</v>
      </c>
      <c r="G4189" s="6">
        <v>46235</v>
      </c>
      <c r="H4189" s="2" t="s">
        <v>71</v>
      </c>
      <c r="I4189" s="2" t="s">
        <v>39</v>
      </c>
      <c r="J4189" s="9">
        <v>8559.4320000000007</v>
      </c>
      <c r="K4189" s="7">
        <v>1</v>
      </c>
      <c r="L4189" s="9">
        <v>8559.43</v>
      </c>
      <c r="M4189" s="9">
        <v>8559.43</v>
      </c>
      <c r="N4189" s="9">
        <v>4.71</v>
      </c>
      <c r="O4189" s="10">
        <f>IF(AND(OR(H4189="APPROVED",H4189="SCHEDULED"),COUNTIFS(tblSource[EventID],F4189,tblSource[ReleaseStatus],"APPROVED")=1,COUNTIFS(Period_Status!$A$2:$A$8,G4189,Period_Status!$B$2:$B$8,"ActualClosed")=1,C4189&gt;EOMONTH(Settlement_Bridge!$C$2,0)),1,0)</f>
        <v>0</v>
      </c>
      <c r="P4189" s="2" t="s">
        <v>11327</v>
      </c>
    </row>
    <row r="4190" spans="1:16" x14ac:dyDescent="0.25">
      <c r="A4190" s="2" t="s">
        <v>11328</v>
      </c>
      <c r="B4190" s="2" t="s">
        <v>7433</v>
      </c>
      <c r="C4190" s="8">
        <v>46285</v>
      </c>
      <c r="D4190" s="6">
        <v>46266</v>
      </c>
      <c r="E4190" s="2" t="s">
        <v>260</v>
      </c>
      <c r="F4190" s="2" t="s">
        <v>11326</v>
      </c>
      <c r="G4190" s="6">
        <v>46235</v>
      </c>
      <c r="H4190" s="2" t="s">
        <v>176</v>
      </c>
      <c r="I4190" s="2" t="s">
        <v>39</v>
      </c>
      <c r="J4190" s="9">
        <v>12839.147999999999</v>
      </c>
      <c r="K4190" s="7">
        <v>1</v>
      </c>
      <c r="L4190" s="9">
        <v>12839.15</v>
      </c>
      <c r="M4190" s="9">
        <v>12839.15</v>
      </c>
      <c r="N4190" s="9">
        <v>7.06</v>
      </c>
      <c r="O4190" s="10">
        <f>IF(AND(OR(H4190="APPROVED",H4190="SCHEDULED"),COUNTIFS(tblSource[EventID],F4190,tblSource[ReleaseStatus],"APPROVED")=1,COUNTIFS(Period_Status!$A$2:$A$8,G4190,Period_Status!$B$2:$B$8,"ActualClosed")=1,C4190&gt;EOMONTH(Settlement_Bridge!$C$2,0)),1,0)</f>
        <v>0</v>
      </c>
      <c r="P4190" s="2" t="s">
        <v>11329</v>
      </c>
    </row>
    <row r="4191" spans="1:16" x14ac:dyDescent="0.25">
      <c r="A4191" s="2" t="s">
        <v>11330</v>
      </c>
      <c r="B4191" s="2" t="s">
        <v>7433</v>
      </c>
      <c r="C4191" s="8">
        <v>46261</v>
      </c>
      <c r="D4191" s="6">
        <v>46235</v>
      </c>
      <c r="E4191" s="2" t="s">
        <v>260</v>
      </c>
      <c r="F4191" s="2" t="s">
        <v>11331</v>
      </c>
      <c r="G4191" s="6">
        <v>46235</v>
      </c>
      <c r="H4191" s="2" t="s">
        <v>71</v>
      </c>
      <c r="I4191" s="2" t="s">
        <v>76</v>
      </c>
      <c r="J4191" s="9">
        <v>140978146.341463</v>
      </c>
      <c r="K4191" s="7">
        <v>6.1500000000000004E-5</v>
      </c>
      <c r="L4191" s="9">
        <v>8670.16</v>
      </c>
      <c r="M4191" s="9">
        <v>8670.16</v>
      </c>
      <c r="N4191" s="9">
        <v>4.7699999999999996</v>
      </c>
      <c r="O4191" s="10">
        <f>IF(AND(OR(H4191="APPROVED",H4191="SCHEDULED"),COUNTIFS(tblSource[EventID],F4191,tblSource[ReleaseStatus],"APPROVED")=1,COUNTIFS(Period_Status!$A$2:$A$8,G4191,Period_Status!$B$2:$B$8,"ActualClosed")=1,C4191&gt;EOMONTH(Settlement_Bridge!$C$2,0)),1,0)</f>
        <v>0</v>
      </c>
      <c r="P4191" s="2" t="s">
        <v>11332</v>
      </c>
    </row>
    <row r="4192" spans="1:16" x14ac:dyDescent="0.25">
      <c r="A4192" s="2" t="s">
        <v>11333</v>
      </c>
      <c r="B4192" s="2" t="s">
        <v>7433</v>
      </c>
      <c r="C4192" s="8">
        <v>46286</v>
      </c>
      <c r="D4192" s="6">
        <v>46266</v>
      </c>
      <c r="E4192" s="2" t="s">
        <v>260</v>
      </c>
      <c r="F4192" s="2" t="s">
        <v>11331</v>
      </c>
      <c r="G4192" s="6">
        <v>46235</v>
      </c>
      <c r="H4192" s="2" t="s">
        <v>176</v>
      </c>
      <c r="I4192" s="2" t="s">
        <v>76</v>
      </c>
      <c r="J4192" s="9">
        <v>211467219.51219499</v>
      </c>
      <c r="K4192" s="7">
        <v>6.1299999999999999E-5</v>
      </c>
      <c r="L4192" s="9">
        <v>12962.94</v>
      </c>
      <c r="M4192" s="9">
        <v>13005.23</v>
      </c>
      <c r="N4192" s="9">
        <v>7.13</v>
      </c>
      <c r="O4192" s="10">
        <f>IF(AND(OR(H4192="APPROVED",H4192="SCHEDULED"),COUNTIFS(tblSource[EventID],F4192,tblSource[ReleaseStatus],"APPROVED")=1,COUNTIFS(Period_Status!$A$2:$A$8,G4192,Period_Status!$B$2:$B$8,"ActualClosed")=1,C4192&gt;EOMONTH(Settlement_Bridge!$C$2,0)),1,0)</f>
        <v>0</v>
      </c>
      <c r="P4192" s="2" t="s">
        <v>11334</v>
      </c>
    </row>
    <row r="4193" spans="1:16" x14ac:dyDescent="0.25">
      <c r="A4193" s="2" t="s">
        <v>11335</v>
      </c>
      <c r="B4193" s="2" t="s">
        <v>7433</v>
      </c>
      <c r="C4193" s="8">
        <v>46262</v>
      </c>
      <c r="D4193" s="6">
        <v>46235</v>
      </c>
      <c r="E4193" s="2" t="s">
        <v>260</v>
      </c>
      <c r="F4193" s="2" t="s">
        <v>11336</v>
      </c>
      <c r="G4193" s="6">
        <v>46235</v>
      </c>
      <c r="H4193" s="2" t="s">
        <v>71</v>
      </c>
      <c r="I4193" s="2" t="s">
        <v>70</v>
      </c>
      <c r="J4193" s="9">
        <v>13509.052308</v>
      </c>
      <c r="K4193" s="7">
        <v>0.65</v>
      </c>
      <c r="L4193" s="9">
        <v>8780.8799999999992</v>
      </c>
      <c r="M4193" s="9">
        <v>8780.8799999999992</v>
      </c>
      <c r="N4193" s="9">
        <v>4.83</v>
      </c>
      <c r="O4193" s="10">
        <f>IF(AND(OR(H4193="APPROVED",H4193="SCHEDULED"),COUNTIFS(tblSource[EventID],F4193,tblSource[ReleaseStatus],"APPROVED")=1,COUNTIFS(Period_Status!$A$2:$A$8,G4193,Period_Status!$B$2:$B$8,"ActualClosed")=1,C4193&gt;EOMONTH(Settlement_Bridge!$C$2,0)),1,0)</f>
        <v>0</v>
      </c>
      <c r="P4193" s="2" t="s">
        <v>11337</v>
      </c>
    </row>
    <row r="4194" spans="1:16" x14ac:dyDescent="0.25">
      <c r="A4194" s="2" t="s">
        <v>11338</v>
      </c>
      <c r="B4194" s="2" t="s">
        <v>7433</v>
      </c>
      <c r="C4194" s="8">
        <v>46287</v>
      </c>
      <c r="D4194" s="6">
        <v>46266</v>
      </c>
      <c r="E4194" s="2" t="s">
        <v>260</v>
      </c>
      <c r="F4194" s="2" t="s">
        <v>11336</v>
      </c>
      <c r="G4194" s="6">
        <v>46235</v>
      </c>
      <c r="H4194" s="2" t="s">
        <v>176</v>
      </c>
      <c r="I4194" s="2" t="s">
        <v>70</v>
      </c>
      <c r="J4194" s="9">
        <v>20263.578461000001</v>
      </c>
      <c r="K4194" s="7">
        <v>0.65100000000000002</v>
      </c>
      <c r="L4194" s="9">
        <v>13191.59</v>
      </c>
      <c r="M4194" s="9">
        <v>13171.33</v>
      </c>
      <c r="N4194" s="9">
        <v>7.26</v>
      </c>
      <c r="O4194" s="10">
        <f>IF(AND(OR(H4194="APPROVED",H4194="SCHEDULED"),COUNTIFS(tblSource[EventID],F4194,tblSource[ReleaseStatus],"APPROVED")=1,COUNTIFS(Period_Status!$A$2:$A$8,G4194,Period_Status!$B$2:$B$8,"ActualClosed")=1,C4194&gt;EOMONTH(Settlement_Bridge!$C$2,0)),1,0)</f>
        <v>0</v>
      </c>
      <c r="P4194" s="2" t="s">
        <v>11339</v>
      </c>
    </row>
    <row r="4195" spans="1:16" x14ac:dyDescent="0.25">
      <c r="A4195" s="2" t="s">
        <v>11340</v>
      </c>
      <c r="B4195" s="2" t="s">
        <v>7433</v>
      </c>
      <c r="C4195" s="8">
        <v>46263</v>
      </c>
      <c r="D4195" s="6">
        <v>46235</v>
      </c>
      <c r="E4195" s="2" t="s">
        <v>260</v>
      </c>
      <c r="F4195" s="2" t="s">
        <v>11341</v>
      </c>
      <c r="G4195" s="6">
        <v>46235</v>
      </c>
      <c r="H4195" s="2" t="s">
        <v>71</v>
      </c>
      <c r="I4195" s="2" t="s">
        <v>39</v>
      </c>
      <c r="J4195" s="9">
        <v>8891.6080000000002</v>
      </c>
      <c r="K4195" s="7">
        <v>1</v>
      </c>
      <c r="L4195" s="9">
        <v>8891.61</v>
      </c>
      <c r="M4195" s="9">
        <v>8891.61</v>
      </c>
      <c r="N4195" s="9">
        <v>4.8899999999999997</v>
      </c>
      <c r="O4195" s="10">
        <f>IF(AND(OR(H4195="APPROVED",H4195="SCHEDULED"),COUNTIFS(tblSource[EventID],F4195,tblSource[ReleaseStatus],"APPROVED")=1,COUNTIFS(Period_Status!$A$2:$A$8,G4195,Period_Status!$B$2:$B$8,"ActualClosed")=1,C4195&gt;EOMONTH(Settlement_Bridge!$C$2,0)),1,0)</f>
        <v>0</v>
      </c>
      <c r="P4195" s="2" t="s">
        <v>11342</v>
      </c>
    </row>
    <row r="4196" spans="1:16" x14ac:dyDescent="0.25">
      <c r="A4196" s="2" t="s">
        <v>11343</v>
      </c>
      <c r="B4196" s="2" t="s">
        <v>7433</v>
      </c>
      <c r="C4196" s="8">
        <v>46288</v>
      </c>
      <c r="D4196" s="6">
        <v>46266</v>
      </c>
      <c r="E4196" s="2" t="s">
        <v>260</v>
      </c>
      <c r="F4196" s="2" t="s">
        <v>11341</v>
      </c>
      <c r="G4196" s="6">
        <v>46235</v>
      </c>
      <c r="H4196" s="2" t="s">
        <v>176</v>
      </c>
      <c r="I4196" s="2" t="s">
        <v>39</v>
      </c>
      <c r="J4196" s="9">
        <v>13337.412</v>
      </c>
      <c r="K4196" s="7">
        <v>1</v>
      </c>
      <c r="L4196" s="9">
        <v>13337.41</v>
      </c>
      <c r="M4196" s="9">
        <v>13337.41</v>
      </c>
      <c r="N4196" s="9">
        <v>7.34</v>
      </c>
      <c r="O4196" s="10">
        <f>IF(AND(OR(H4196="APPROVED",H4196="SCHEDULED"),COUNTIFS(tblSource[EventID],F4196,tblSource[ReleaseStatus],"APPROVED")=1,COUNTIFS(Period_Status!$A$2:$A$8,G4196,Period_Status!$B$2:$B$8,"ActualClosed")=1,C4196&gt;EOMONTH(Settlement_Bridge!$C$2,0)),1,0)</f>
        <v>0</v>
      </c>
      <c r="P4196" s="2" t="s">
        <v>11344</v>
      </c>
    </row>
    <row r="4197" spans="1:16" x14ac:dyDescent="0.25">
      <c r="A4197" s="2" t="s">
        <v>11345</v>
      </c>
      <c r="B4197" s="2" t="s">
        <v>7433</v>
      </c>
      <c r="C4197" s="8">
        <v>46264</v>
      </c>
      <c r="D4197" s="6">
        <v>46235</v>
      </c>
      <c r="E4197" s="2" t="s">
        <v>260</v>
      </c>
      <c r="F4197" s="2" t="s">
        <v>11346</v>
      </c>
      <c r="G4197" s="6">
        <v>46235</v>
      </c>
      <c r="H4197" s="2" t="s">
        <v>71</v>
      </c>
      <c r="I4197" s="2" t="s">
        <v>76</v>
      </c>
      <c r="J4197" s="9">
        <v>146379447.15447199</v>
      </c>
      <c r="K4197" s="7">
        <v>6.1500000000000004E-5</v>
      </c>
      <c r="L4197" s="9">
        <v>9002.34</v>
      </c>
      <c r="M4197" s="9">
        <v>9002.34</v>
      </c>
      <c r="N4197" s="9">
        <v>4.95</v>
      </c>
      <c r="O4197" s="10">
        <f>IF(AND(OR(H4197="APPROVED",H4197="SCHEDULED"),COUNTIFS(tblSource[EventID],F4197,tblSource[ReleaseStatus],"APPROVED")=1,COUNTIFS(Period_Status!$A$2:$A$8,G4197,Period_Status!$B$2:$B$8,"ActualClosed")=1,C4197&gt;EOMONTH(Settlement_Bridge!$C$2,0)),1,0)</f>
        <v>0</v>
      </c>
      <c r="P4197" s="2" t="s">
        <v>11347</v>
      </c>
    </row>
    <row r="4198" spans="1:16" x14ac:dyDescent="0.25">
      <c r="A4198" s="2" t="s">
        <v>11348</v>
      </c>
      <c r="B4198" s="2" t="s">
        <v>7433</v>
      </c>
      <c r="C4198" s="8">
        <v>46289</v>
      </c>
      <c r="D4198" s="6">
        <v>46266</v>
      </c>
      <c r="E4198" s="2" t="s">
        <v>260</v>
      </c>
      <c r="F4198" s="2" t="s">
        <v>11346</v>
      </c>
      <c r="G4198" s="6">
        <v>46235</v>
      </c>
      <c r="H4198" s="2" t="s">
        <v>176</v>
      </c>
      <c r="I4198" s="2" t="s">
        <v>76</v>
      </c>
      <c r="J4198" s="9">
        <v>219569170.73170701</v>
      </c>
      <c r="K4198" s="7">
        <v>6.1299999999999999E-5</v>
      </c>
      <c r="L4198" s="9">
        <v>13459.59</v>
      </c>
      <c r="M4198" s="9">
        <v>13503.5</v>
      </c>
      <c r="N4198" s="9">
        <v>7.4</v>
      </c>
      <c r="O4198" s="10">
        <f>IF(AND(OR(H4198="APPROVED",H4198="SCHEDULED"),COUNTIFS(tblSource[EventID],F4198,tblSource[ReleaseStatus],"APPROVED")=1,COUNTIFS(Period_Status!$A$2:$A$8,G4198,Period_Status!$B$2:$B$8,"ActualClosed")=1,C4198&gt;EOMONTH(Settlement_Bridge!$C$2,0)),1,0)</f>
        <v>0</v>
      </c>
      <c r="P4198" s="2" t="s">
        <v>11349</v>
      </c>
    </row>
    <row r="4199" spans="1:16" x14ac:dyDescent="0.25">
      <c r="A4199" s="2" t="s">
        <v>11350</v>
      </c>
      <c r="B4199" s="2" t="s">
        <v>7433</v>
      </c>
      <c r="C4199" s="8">
        <v>46265</v>
      </c>
      <c r="D4199" s="6">
        <v>46235</v>
      </c>
      <c r="E4199" s="2" t="s">
        <v>260</v>
      </c>
      <c r="F4199" s="2" t="s">
        <v>11351</v>
      </c>
      <c r="G4199" s="6">
        <v>46235</v>
      </c>
      <c r="H4199" s="2" t="s">
        <v>71</v>
      </c>
      <c r="I4199" s="2" t="s">
        <v>70</v>
      </c>
      <c r="J4199" s="9">
        <v>14020.098462</v>
      </c>
      <c r="K4199" s="7">
        <v>0.65</v>
      </c>
      <c r="L4199" s="9">
        <v>9113.06</v>
      </c>
      <c r="M4199" s="9">
        <v>9113.06</v>
      </c>
      <c r="N4199" s="9">
        <v>5.01</v>
      </c>
      <c r="O4199" s="10">
        <f>IF(AND(OR(H4199="APPROVED",H4199="SCHEDULED"),COUNTIFS(tblSource[EventID],F4199,tblSource[ReleaseStatus],"APPROVED")=1,COUNTIFS(Period_Status!$A$2:$A$8,G4199,Period_Status!$B$2:$B$8,"ActualClosed")=1,C4199&gt;EOMONTH(Settlement_Bridge!$C$2,0)),1,0)</f>
        <v>0</v>
      </c>
      <c r="P4199" s="2" t="s">
        <v>11352</v>
      </c>
    </row>
    <row r="4200" spans="1:16" x14ac:dyDescent="0.25">
      <c r="A4200" s="2" t="s">
        <v>11353</v>
      </c>
      <c r="B4200" s="2" t="s">
        <v>7433</v>
      </c>
      <c r="C4200" s="8">
        <v>46290</v>
      </c>
      <c r="D4200" s="6">
        <v>46266</v>
      </c>
      <c r="E4200" s="2" t="s">
        <v>260</v>
      </c>
      <c r="F4200" s="2" t="s">
        <v>11351</v>
      </c>
      <c r="G4200" s="6">
        <v>46235</v>
      </c>
      <c r="H4200" s="2" t="s">
        <v>176</v>
      </c>
      <c r="I4200" s="2" t="s">
        <v>70</v>
      </c>
      <c r="J4200" s="9">
        <v>21030.147691999999</v>
      </c>
      <c r="K4200" s="7">
        <v>0.65100000000000002</v>
      </c>
      <c r="L4200" s="9">
        <v>13690.63</v>
      </c>
      <c r="M4200" s="9">
        <v>13669.6</v>
      </c>
      <c r="N4200" s="9">
        <v>7.53</v>
      </c>
      <c r="O4200" s="10">
        <f>IF(AND(OR(H4200="APPROVED",H4200="SCHEDULED"),COUNTIFS(tblSource[EventID],F4200,tblSource[ReleaseStatus],"APPROVED")=1,COUNTIFS(Period_Status!$A$2:$A$8,G4200,Period_Status!$B$2:$B$8,"ActualClosed")=1,C4200&gt;EOMONTH(Settlement_Bridge!$C$2,0)),1,0)</f>
        <v>0</v>
      </c>
      <c r="P4200" s="2" t="s">
        <v>11354</v>
      </c>
    </row>
    <row r="4201" spans="1:16" x14ac:dyDescent="0.25">
      <c r="A4201" s="2" t="s">
        <v>11355</v>
      </c>
      <c r="B4201" s="2" t="s">
        <v>7433</v>
      </c>
      <c r="C4201" s="8">
        <v>46266</v>
      </c>
      <c r="D4201" s="6">
        <v>46266</v>
      </c>
      <c r="E4201" s="2" t="s">
        <v>260</v>
      </c>
      <c r="F4201" s="2" t="s">
        <v>11356</v>
      </c>
      <c r="G4201" s="6">
        <v>46235</v>
      </c>
      <c r="H4201" s="2" t="s">
        <v>176</v>
      </c>
      <c r="I4201" s="2" t="s">
        <v>39</v>
      </c>
      <c r="J4201" s="9">
        <v>9223.7880000000005</v>
      </c>
      <c r="K4201" s="7">
        <v>1</v>
      </c>
      <c r="L4201" s="9">
        <v>9223.7900000000009</v>
      </c>
      <c r="M4201" s="9">
        <v>9223.7900000000009</v>
      </c>
      <c r="N4201" s="9">
        <v>5.07</v>
      </c>
      <c r="O4201" s="10">
        <f>IF(AND(OR(H4201="APPROVED",H4201="SCHEDULED"),COUNTIFS(tblSource[EventID],F4201,tblSource[ReleaseStatus],"APPROVED")=1,COUNTIFS(Period_Status!$A$2:$A$8,G4201,Period_Status!$B$2:$B$8,"ActualClosed")=1,C4201&gt;EOMONTH(Settlement_Bridge!$C$2,0)),1,0)</f>
        <v>0</v>
      </c>
      <c r="P4201" s="2" t="s">
        <v>11357</v>
      </c>
    </row>
    <row r="4202" spans="1:16" x14ac:dyDescent="0.25">
      <c r="A4202" s="2" t="s">
        <v>11358</v>
      </c>
      <c r="B4202" s="2" t="s">
        <v>7433</v>
      </c>
      <c r="C4202" s="8">
        <v>46291</v>
      </c>
      <c r="D4202" s="6">
        <v>46266</v>
      </c>
      <c r="E4202" s="2" t="s">
        <v>260</v>
      </c>
      <c r="F4202" s="2" t="s">
        <v>11356</v>
      </c>
      <c r="G4202" s="6">
        <v>46235</v>
      </c>
      <c r="H4202" s="2" t="s">
        <v>176</v>
      </c>
      <c r="I4202" s="2" t="s">
        <v>39</v>
      </c>
      <c r="J4202" s="9">
        <v>13835.682000000001</v>
      </c>
      <c r="K4202" s="7">
        <v>1</v>
      </c>
      <c r="L4202" s="9">
        <v>13835.68</v>
      </c>
      <c r="M4202" s="9">
        <v>13835.68</v>
      </c>
      <c r="N4202" s="9">
        <v>7.61</v>
      </c>
      <c r="O4202" s="10">
        <f>IF(AND(OR(H4202="APPROVED",H4202="SCHEDULED"),COUNTIFS(tblSource[EventID],F4202,tblSource[ReleaseStatus],"APPROVED")=1,COUNTIFS(Period_Status!$A$2:$A$8,G4202,Period_Status!$B$2:$B$8,"ActualClosed")=1,C4202&gt;EOMONTH(Settlement_Bridge!$C$2,0)),1,0)</f>
        <v>0</v>
      </c>
      <c r="P4202" s="2" t="s">
        <v>11359</v>
      </c>
    </row>
    <row r="4203" spans="1:16" x14ac:dyDescent="0.25">
      <c r="A4203" s="2" t="s">
        <v>11360</v>
      </c>
      <c r="B4203" s="2" t="s">
        <v>7433</v>
      </c>
      <c r="C4203" s="8">
        <v>46267</v>
      </c>
      <c r="D4203" s="6">
        <v>46266</v>
      </c>
      <c r="E4203" s="2" t="s">
        <v>260</v>
      </c>
      <c r="F4203" s="2" t="s">
        <v>11361</v>
      </c>
      <c r="G4203" s="6">
        <v>46235</v>
      </c>
      <c r="H4203" s="2" t="s">
        <v>176</v>
      </c>
      <c r="I4203" s="2" t="s">
        <v>76</v>
      </c>
      <c r="J4203" s="9">
        <v>151780747.96748</v>
      </c>
      <c r="K4203" s="7">
        <v>6.1299999999999999E-5</v>
      </c>
      <c r="L4203" s="9">
        <v>9304.16</v>
      </c>
      <c r="M4203" s="9">
        <v>9334.52</v>
      </c>
      <c r="N4203" s="9">
        <v>5.12</v>
      </c>
      <c r="O4203" s="10">
        <f>IF(AND(OR(H4203="APPROVED",H4203="SCHEDULED"),COUNTIFS(tblSource[EventID],F4203,tblSource[ReleaseStatus],"APPROVED")=1,COUNTIFS(Period_Status!$A$2:$A$8,G4203,Period_Status!$B$2:$B$8,"ActualClosed")=1,C4203&gt;EOMONTH(Settlement_Bridge!$C$2,0)),1,0)</f>
        <v>0</v>
      </c>
      <c r="P4203" s="2" t="s">
        <v>11362</v>
      </c>
    </row>
    <row r="4204" spans="1:16" x14ac:dyDescent="0.25">
      <c r="A4204" s="2" t="s">
        <v>11363</v>
      </c>
      <c r="B4204" s="2" t="s">
        <v>7433</v>
      </c>
      <c r="C4204" s="8">
        <v>46292</v>
      </c>
      <c r="D4204" s="6">
        <v>46266</v>
      </c>
      <c r="E4204" s="2" t="s">
        <v>260</v>
      </c>
      <c r="F4204" s="2" t="s">
        <v>11361</v>
      </c>
      <c r="G4204" s="6">
        <v>46235</v>
      </c>
      <c r="H4204" s="2" t="s">
        <v>176</v>
      </c>
      <c r="I4204" s="2" t="s">
        <v>76</v>
      </c>
      <c r="J4204" s="9">
        <v>227671121.95121899</v>
      </c>
      <c r="K4204" s="7">
        <v>6.1299999999999999E-5</v>
      </c>
      <c r="L4204" s="9">
        <v>13956.24</v>
      </c>
      <c r="M4204" s="9">
        <v>14001.77</v>
      </c>
      <c r="N4204" s="9">
        <v>7.68</v>
      </c>
      <c r="O4204" s="10">
        <f>IF(AND(OR(H4204="APPROVED",H4204="SCHEDULED"),COUNTIFS(tblSource[EventID],F4204,tblSource[ReleaseStatus],"APPROVED")=1,COUNTIFS(Period_Status!$A$2:$A$8,G4204,Period_Status!$B$2:$B$8,"ActualClosed")=1,C4204&gt;EOMONTH(Settlement_Bridge!$C$2,0)),1,0)</f>
        <v>0</v>
      </c>
      <c r="P4204" s="2" t="s">
        <v>11364</v>
      </c>
    </row>
    <row r="4205" spans="1:16" x14ac:dyDescent="0.25">
      <c r="A4205" s="2" t="s">
        <v>11365</v>
      </c>
      <c r="B4205" s="2" t="s">
        <v>7433</v>
      </c>
      <c r="C4205" s="8">
        <v>46268</v>
      </c>
      <c r="D4205" s="6">
        <v>46266</v>
      </c>
      <c r="E4205" s="2" t="s">
        <v>260</v>
      </c>
      <c r="F4205" s="2" t="s">
        <v>11366</v>
      </c>
      <c r="G4205" s="6">
        <v>46235</v>
      </c>
      <c r="H4205" s="2" t="s">
        <v>176</v>
      </c>
      <c r="I4205" s="2" t="s">
        <v>70</v>
      </c>
      <c r="J4205" s="9">
        <v>14531.138462000001</v>
      </c>
      <c r="K4205" s="7">
        <v>0.65100000000000002</v>
      </c>
      <c r="L4205" s="9">
        <v>9459.77</v>
      </c>
      <c r="M4205" s="9">
        <v>9445.24</v>
      </c>
      <c r="N4205" s="9">
        <v>5.2</v>
      </c>
      <c r="O4205" s="10">
        <f>IF(AND(OR(H4205="APPROVED",H4205="SCHEDULED"),COUNTIFS(tblSource[EventID],F4205,tblSource[ReleaseStatus],"APPROVED")=1,COUNTIFS(Period_Status!$A$2:$A$8,G4205,Period_Status!$B$2:$B$8,"ActualClosed")=1,C4205&gt;EOMONTH(Settlement_Bridge!$C$2,0)),1,0)</f>
        <v>0</v>
      </c>
      <c r="P4205" s="2" t="s">
        <v>11367</v>
      </c>
    </row>
    <row r="4206" spans="1:16" x14ac:dyDescent="0.25">
      <c r="A4206" s="2" t="s">
        <v>11368</v>
      </c>
      <c r="B4206" s="2" t="s">
        <v>7433</v>
      </c>
      <c r="C4206" s="8">
        <v>46293</v>
      </c>
      <c r="D4206" s="6">
        <v>46266</v>
      </c>
      <c r="E4206" s="2" t="s">
        <v>260</v>
      </c>
      <c r="F4206" s="2" t="s">
        <v>11366</v>
      </c>
      <c r="G4206" s="6">
        <v>46235</v>
      </c>
      <c r="H4206" s="2" t="s">
        <v>176</v>
      </c>
      <c r="I4206" s="2" t="s">
        <v>70</v>
      </c>
      <c r="J4206" s="9">
        <v>21796.707692</v>
      </c>
      <c r="K4206" s="7">
        <v>0.65100000000000002</v>
      </c>
      <c r="L4206" s="9">
        <v>14189.66</v>
      </c>
      <c r="M4206" s="9">
        <v>14167.86</v>
      </c>
      <c r="N4206" s="9">
        <v>7.8</v>
      </c>
      <c r="O4206" s="10">
        <f>IF(AND(OR(H4206="APPROVED",H4206="SCHEDULED"),COUNTIFS(tblSource[EventID],F4206,tblSource[ReleaseStatus],"APPROVED")=1,COUNTIFS(Period_Status!$A$2:$A$8,G4206,Period_Status!$B$2:$B$8,"ActualClosed")=1,C4206&gt;EOMONTH(Settlement_Bridge!$C$2,0)),1,0)</f>
        <v>0</v>
      </c>
      <c r="P4206" s="2" t="s">
        <v>11369</v>
      </c>
    </row>
    <row r="4207" spans="1:16" x14ac:dyDescent="0.25">
      <c r="A4207" s="2" t="s">
        <v>11370</v>
      </c>
      <c r="B4207" s="2" t="s">
        <v>7433</v>
      </c>
      <c r="C4207" s="8">
        <v>46269</v>
      </c>
      <c r="D4207" s="6">
        <v>46266</v>
      </c>
      <c r="E4207" s="2" t="s">
        <v>260</v>
      </c>
      <c r="F4207" s="2" t="s">
        <v>11371</v>
      </c>
      <c r="G4207" s="6">
        <v>46235</v>
      </c>
      <c r="H4207" s="2" t="s">
        <v>176</v>
      </c>
      <c r="I4207" s="2" t="s">
        <v>39</v>
      </c>
      <c r="J4207" s="9">
        <v>595.96799999999996</v>
      </c>
      <c r="K4207" s="7">
        <v>1</v>
      </c>
      <c r="L4207" s="9">
        <v>595.97</v>
      </c>
      <c r="M4207" s="9">
        <v>595.97</v>
      </c>
      <c r="N4207" s="9">
        <v>1.8</v>
      </c>
      <c r="O4207" s="10">
        <f>IF(AND(OR(H4207="APPROVED",H4207="SCHEDULED"),COUNTIFS(tblSource[EventID],F4207,tblSource[ReleaseStatus],"APPROVED")=1,COUNTIFS(Period_Status!$A$2:$A$8,G4207,Period_Status!$B$2:$B$8,"ActualClosed")=1,C4207&gt;EOMONTH(Settlement_Bridge!$C$2,0)),1,0)</f>
        <v>0</v>
      </c>
      <c r="P4207" s="2" t="s">
        <v>11372</v>
      </c>
    </row>
    <row r="4208" spans="1:16" x14ac:dyDescent="0.25">
      <c r="A4208" s="2" t="s">
        <v>11373</v>
      </c>
      <c r="B4208" s="2" t="s">
        <v>7433</v>
      </c>
      <c r="C4208" s="8">
        <v>46294</v>
      </c>
      <c r="D4208" s="6">
        <v>46266</v>
      </c>
      <c r="E4208" s="2" t="s">
        <v>260</v>
      </c>
      <c r="F4208" s="2" t="s">
        <v>11371</v>
      </c>
      <c r="G4208" s="6">
        <v>46235</v>
      </c>
      <c r="H4208" s="2" t="s">
        <v>176</v>
      </c>
      <c r="I4208" s="2" t="s">
        <v>39</v>
      </c>
      <c r="J4208" s="9">
        <v>893.952</v>
      </c>
      <c r="K4208" s="7">
        <v>1</v>
      </c>
      <c r="L4208" s="9">
        <v>893.95</v>
      </c>
      <c r="M4208" s="9">
        <v>893.95</v>
      </c>
      <c r="N4208" s="9">
        <v>1.8</v>
      </c>
      <c r="O4208" s="10">
        <f>IF(AND(OR(H4208="APPROVED",H4208="SCHEDULED"),COUNTIFS(tblSource[EventID],F4208,tblSource[ReleaseStatus],"APPROVED")=1,COUNTIFS(Period_Status!$A$2:$A$8,G4208,Period_Status!$B$2:$B$8,"ActualClosed")=1,C4208&gt;EOMONTH(Settlement_Bridge!$C$2,0)),1,0)</f>
        <v>0</v>
      </c>
      <c r="P4208" s="2" t="s">
        <v>11374</v>
      </c>
    </row>
    <row r="4209" spans="1:16" x14ac:dyDescent="0.25">
      <c r="A4209" s="2" t="s">
        <v>11375</v>
      </c>
      <c r="B4209" s="2" t="s">
        <v>7433</v>
      </c>
      <c r="C4209" s="8">
        <v>46270</v>
      </c>
      <c r="D4209" s="6">
        <v>46266</v>
      </c>
      <c r="E4209" s="2" t="s">
        <v>260</v>
      </c>
      <c r="F4209" s="2" t="s">
        <v>11376</v>
      </c>
      <c r="G4209" s="6">
        <v>46235</v>
      </c>
      <c r="H4209" s="2" t="s">
        <v>176</v>
      </c>
      <c r="I4209" s="2" t="s">
        <v>76</v>
      </c>
      <c r="J4209" s="9">
        <v>11490991.869919</v>
      </c>
      <c r="K4209" s="7">
        <v>6.1299999999999999E-5</v>
      </c>
      <c r="L4209" s="9">
        <v>704.4</v>
      </c>
      <c r="M4209" s="9">
        <v>706.7</v>
      </c>
      <c r="N4209" s="9">
        <v>1.8</v>
      </c>
      <c r="O4209" s="10">
        <f>IF(AND(OR(H4209="APPROVED",H4209="SCHEDULED"),COUNTIFS(tblSource[EventID],F4209,tblSource[ReleaseStatus],"APPROVED")=1,COUNTIFS(Period_Status!$A$2:$A$8,G4209,Period_Status!$B$2:$B$8,"ActualClosed")=1,C4209&gt;EOMONTH(Settlement_Bridge!$C$2,0)),1,0)</f>
        <v>0</v>
      </c>
      <c r="P4209" s="2" t="s">
        <v>11377</v>
      </c>
    </row>
    <row r="4210" spans="1:16" x14ac:dyDescent="0.25">
      <c r="A4210" s="2" t="s">
        <v>11378</v>
      </c>
      <c r="B4210" s="2" t="s">
        <v>7433</v>
      </c>
      <c r="C4210" s="8">
        <v>46295</v>
      </c>
      <c r="D4210" s="6">
        <v>46266</v>
      </c>
      <c r="E4210" s="2" t="s">
        <v>260</v>
      </c>
      <c r="F4210" s="2" t="s">
        <v>11376</v>
      </c>
      <c r="G4210" s="6">
        <v>46235</v>
      </c>
      <c r="H4210" s="2" t="s">
        <v>176</v>
      </c>
      <c r="I4210" s="2" t="s">
        <v>76</v>
      </c>
      <c r="J4210" s="9">
        <v>17236487.804878</v>
      </c>
      <c r="K4210" s="7">
        <v>6.1299999999999999E-5</v>
      </c>
      <c r="L4210" s="9">
        <v>1056.5999999999999</v>
      </c>
      <c r="M4210" s="9">
        <v>1060.04</v>
      </c>
      <c r="N4210" s="9">
        <v>1.8</v>
      </c>
      <c r="O4210" s="10">
        <f>IF(AND(OR(H4210="APPROVED",H4210="SCHEDULED"),COUNTIFS(tblSource[EventID],F4210,tblSource[ReleaseStatus],"APPROVED")=1,COUNTIFS(Period_Status!$A$2:$A$8,G4210,Period_Status!$B$2:$B$8,"ActualClosed")=1,C4210&gt;EOMONTH(Settlement_Bridge!$C$2,0)),1,0)</f>
        <v>0</v>
      </c>
      <c r="P4210" s="2" t="s">
        <v>11379</v>
      </c>
    </row>
    <row r="4211" spans="1:16" x14ac:dyDescent="0.25">
      <c r="A4211" s="2" t="s">
        <v>11380</v>
      </c>
      <c r="B4211" s="2" t="s">
        <v>7433</v>
      </c>
      <c r="C4211" s="8">
        <v>46271</v>
      </c>
      <c r="D4211" s="6">
        <v>46266</v>
      </c>
      <c r="E4211" s="2" t="s">
        <v>260</v>
      </c>
      <c r="F4211" s="2" t="s">
        <v>11381</v>
      </c>
      <c r="G4211" s="6">
        <v>46235</v>
      </c>
      <c r="H4211" s="2" t="s">
        <v>176</v>
      </c>
      <c r="I4211" s="2" t="s">
        <v>70</v>
      </c>
      <c r="J4211" s="9">
        <v>1257.5692309999999</v>
      </c>
      <c r="K4211" s="7">
        <v>0.65100000000000002</v>
      </c>
      <c r="L4211" s="9">
        <v>818.68</v>
      </c>
      <c r="M4211" s="9">
        <v>817.42</v>
      </c>
      <c r="N4211" s="9">
        <v>1.8</v>
      </c>
      <c r="O4211" s="10">
        <f>IF(AND(OR(H4211="APPROVED",H4211="SCHEDULED"),COUNTIFS(tblSource[EventID],F4211,tblSource[ReleaseStatus],"APPROVED")=1,COUNTIFS(Period_Status!$A$2:$A$8,G4211,Period_Status!$B$2:$B$8,"ActualClosed")=1,C4211&gt;EOMONTH(Settlement_Bridge!$C$2,0)),1,0)</f>
        <v>0</v>
      </c>
      <c r="P4211" s="2" t="s">
        <v>11382</v>
      </c>
    </row>
    <row r="4212" spans="1:16" x14ac:dyDescent="0.25">
      <c r="A4212" s="2" t="s">
        <v>11383</v>
      </c>
      <c r="B4212" s="2" t="s">
        <v>7433</v>
      </c>
      <c r="C4212" s="8">
        <v>46296</v>
      </c>
      <c r="D4212" s="6">
        <v>46296</v>
      </c>
      <c r="E4212" s="2" t="s">
        <v>260</v>
      </c>
      <c r="F4212" s="2" t="s">
        <v>11381</v>
      </c>
      <c r="G4212" s="6">
        <v>46235</v>
      </c>
      <c r="H4212" s="2" t="s">
        <v>176</v>
      </c>
      <c r="I4212" s="2" t="s">
        <v>70</v>
      </c>
      <c r="J4212" s="9">
        <v>1886.353846</v>
      </c>
      <c r="K4212" s="7">
        <v>0.65500000000000003</v>
      </c>
      <c r="L4212" s="9">
        <v>1235.56</v>
      </c>
      <c r="M4212" s="9">
        <v>1226.1300000000001</v>
      </c>
      <c r="N4212" s="9">
        <v>1.8</v>
      </c>
      <c r="O4212" s="10">
        <f>IF(AND(OR(H4212="APPROVED",H4212="SCHEDULED"),COUNTIFS(tblSource[EventID],F4212,tblSource[ReleaseStatus],"APPROVED")=1,COUNTIFS(Period_Status!$A$2:$A$8,G4212,Period_Status!$B$2:$B$8,"ActualClosed")=1,C4212&gt;EOMONTH(Settlement_Bridge!$C$2,0)),1,0)</f>
        <v>0</v>
      </c>
      <c r="P4212" s="2" t="s">
        <v>11384</v>
      </c>
    </row>
    <row r="4213" spans="1:16" x14ac:dyDescent="0.25">
      <c r="A4213" s="2" t="s">
        <v>11385</v>
      </c>
      <c r="B4213" s="2" t="s">
        <v>7433</v>
      </c>
      <c r="C4213" s="8">
        <v>46272</v>
      </c>
      <c r="D4213" s="6">
        <v>46266</v>
      </c>
      <c r="E4213" s="2" t="s">
        <v>260</v>
      </c>
      <c r="F4213" s="2" t="s">
        <v>11386</v>
      </c>
      <c r="G4213" s="6">
        <v>46235</v>
      </c>
      <c r="H4213" s="2" t="s">
        <v>176</v>
      </c>
      <c r="I4213" s="2" t="s">
        <v>39</v>
      </c>
      <c r="J4213" s="9">
        <v>928.14800000000002</v>
      </c>
      <c r="K4213" s="7">
        <v>1</v>
      </c>
      <c r="L4213" s="9">
        <v>928.15</v>
      </c>
      <c r="M4213" s="9">
        <v>928.15</v>
      </c>
      <c r="N4213" s="9">
        <v>1.8</v>
      </c>
      <c r="O4213" s="10">
        <f>IF(AND(OR(H4213="APPROVED",H4213="SCHEDULED"),COUNTIFS(tblSource[EventID],F4213,tblSource[ReleaseStatus],"APPROVED")=1,COUNTIFS(Period_Status!$A$2:$A$8,G4213,Period_Status!$B$2:$B$8,"ActualClosed")=1,C4213&gt;EOMONTH(Settlement_Bridge!$C$2,0)),1,0)</f>
        <v>0</v>
      </c>
      <c r="P4213" s="2" t="s">
        <v>11387</v>
      </c>
    </row>
    <row r="4214" spans="1:16" x14ac:dyDescent="0.25">
      <c r="A4214" s="2" t="s">
        <v>11388</v>
      </c>
      <c r="B4214" s="2" t="s">
        <v>7433</v>
      </c>
      <c r="C4214" s="8">
        <v>46297</v>
      </c>
      <c r="D4214" s="6">
        <v>46296</v>
      </c>
      <c r="E4214" s="2" t="s">
        <v>260</v>
      </c>
      <c r="F4214" s="2" t="s">
        <v>11386</v>
      </c>
      <c r="G4214" s="6">
        <v>46235</v>
      </c>
      <c r="H4214" s="2" t="s">
        <v>176</v>
      </c>
      <c r="I4214" s="2" t="s">
        <v>39</v>
      </c>
      <c r="J4214" s="9">
        <v>1392.222</v>
      </c>
      <c r="K4214" s="7">
        <v>1</v>
      </c>
      <c r="L4214" s="9">
        <v>1392.22</v>
      </c>
      <c r="M4214" s="9">
        <v>1392.22</v>
      </c>
      <c r="N4214" s="9">
        <v>1.8</v>
      </c>
      <c r="O4214" s="10">
        <f>IF(AND(OR(H4214="APPROVED",H4214="SCHEDULED"),COUNTIFS(tblSource[EventID],F4214,tblSource[ReleaseStatus],"APPROVED")=1,COUNTIFS(Period_Status!$A$2:$A$8,G4214,Period_Status!$B$2:$B$8,"ActualClosed")=1,C4214&gt;EOMONTH(Settlement_Bridge!$C$2,0)),1,0)</f>
        <v>0</v>
      </c>
      <c r="P4214" s="2" t="s">
        <v>11389</v>
      </c>
    </row>
    <row r="4215" spans="1:16" x14ac:dyDescent="0.25">
      <c r="A4215" s="2" t="s">
        <v>11390</v>
      </c>
      <c r="B4215" s="2" t="s">
        <v>7433</v>
      </c>
      <c r="C4215" s="8">
        <v>46273</v>
      </c>
      <c r="D4215" s="6">
        <v>46266</v>
      </c>
      <c r="E4215" s="2" t="s">
        <v>260</v>
      </c>
      <c r="F4215" s="2" t="s">
        <v>11391</v>
      </c>
      <c r="G4215" s="6">
        <v>46235</v>
      </c>
      <c r="H4215" s="2" t="s">
        <v>176</v>
      </c>
      <c r="I4215" s="2" t="s">
        <v>39</v>
      </c>
      <c r="J4215" s="9">
        <v>1038.876</v>
      </c>
      <c r="K4215" s="7">
        <v>1</v>
      </c>
      <c r="L4215" s="9">
        <v>1038.8800000000001</v>
      </c>
      <c r="M4215" s="9">
        <v>1038.8800000000001</v>
      </c>
      <c r="N4215" s="9">
        <v>1.8</v>
      </c>
      <c r="O4215" s="10">
        <f>IF(AND(OR(H4215="APPROVED",H4215="SCHEDULED"),COUNTIFS(tblSource[EventID],F4215,tblSource[ReleaseStatus],"APPROVED")=1,COUNTIFS(Period_Status!$A$2:$A$8,G4215,Period_Status!$B$2:$B$8,"ActualClosed")=1,C4215&gt;EOMONTH(Settlement_Bridge!$C$2,0)),1,0)</f>
        <v>0</v>
      </c>
      <c r="P4215" s="2" t="s">
        <v>11392</v>
      </c>
    </row>
    <row r="4216" spans="1:16" x14ac:dyDescent="0.25">
      <c r="A4216" s="2" t="s">
        <v>11393</v>
      </c>
      <c r="B4216" s="2" t="s">
        <v>7433</v>
      </c>
      <c r="C4216" s="8">
        <v>46298</v>
      </c>
      <c r="D4216" s="6">
        <v>46296</v>
      </c>
      <c r="E4216" s="2" t="s">
        <v>260</v>
      </c>
      <c r="F4216" s="2" t="s">
        <v>11391</v>
      </c>
      <c r="G4216" s="6">
        <v>46235</v>
      </c>
      <c r="H4216" s="2" t="s">
        <v>176</v>
      </c>
      <c r="I4216" s="2" t="s">
        <v>39</v>
      </c>
      <c r="J4216" s="9">
        <v>1558.3140000000001</v>
      </c>
      <c r="K4216" s="7">
        <v>1</v>
      </c>
      <c r="L4216" s="9">
        <v>1558.31</v>
      </c>
      <c r="M4216" s="9">
        <v>1558.31</v>
      </c>
      <c r="N4216" s="9">
        <v>1.8</v>
      </c>
      <c r="O4216" s="10">
        <f>IF(AND(OR(H4216="APPROVED",H4216="SCHEDULED"),COUNTIFS(tblSource[EventID],F4216,tblSource[ReleaseStatus],"APPROVED")=1,COUNTIFS(Period_Status!$A$2:$A$8,G4216,Period_Status!$B$2:$B$8,"ActualClosed")=1,C4216&gt;EOMONTH(Settlement_Bridge!$C$2,0)),1,0)</f>
        <v>0</v>
      </c>
      <c r="P4216" s="2" t="s">
        <v>11394</v>
      </c>
    </row>
    <row r="4217" spans="1:16" x14ac:dyDescent="0.25">
      <c r="A4217" s="2" t="s">
        <v>11395</v>
      </c>
      <c r="B4217" s="2" t="s">
        <v>7433</v>
      </c>
      <c r="C4217" s="8">
        <v>46274</v>
      </c>
      <c r="D4217" s="6">
        <v>46266</v>
      </c>
      <c r="E4217" s="2" t="s">
        <v>260</v>
      </c>
      <c r="F4217" s="2" t="s">
        <v>11396</v>
      </c>
      <c r="G4217" s="6">
        <v>46235</v>
      </c>
      <c r="H4217" s="2" t="s">
        <v>176</v>
      </c>
      <c r="I4217" s="2" t="s">
        <v>70</v>
      </c>
      <c r="J4217" s="9">
        <v>1768.6153850000001</v>
      </c>
      <c r="K4217" s="7">
        <v>0.65100000000000002</v>
      </c>
      <c r="L4217" s="9">
        <v>1151.3699999999999</v>
      </c>
      <c r="M4217" s="9">
        <v>1149.5999999999999</v>
      </c>
      <c r="N4217" s="9">
        <v>1.8</v>
      </c>
      <c r="O4217" s="10">
        <f>IF(AND(OR(H4217="APPROVED",H4217="SCHEDULED"),COUNTIFS(tblSource[EventID],F4217,tblSource[ReleaseStatus],"APPROVED")=1,COUNTIFS(Period_Status!$A$2:$A$8,G4217,Period_Status!$B$2:$B$8,"ActualClosed")=1,C4217&gt;EOMONTH(Settlement_Bridge!$C$2,0)),1,0)</f>
        <v>0</v>
      </c>
      <c r="P4217" s="2" t="s">
        <v>11397</v>
      </c>
    </row>
    <row r="4218" spans="1:16" x14ac:dyDescent="0.25">
      <c r="A4218" s="2" t="s">
        <v>11398</v>
      </c>
      <c r="B4218" s="2" t="s">
        <v>7433</v>
      </c>
      <c r="C4218" s="8">
        <v>46299</v>
      </c>
      <c r="D4218" s="6">
        <v>46296</v>
      </c>
      <c r="E4218" s="2" t="s">
        <v>260</v>
      </c>
      <c r="F4218" s="2" t="s">
        <v>11396</v>
      </c>
      <c r="G4218" s="6">
        <v>46235</v>
      </c>
      <c r="H4218" s="2" t="s">
        <v>176</v>
      </c>
      <c r="I4218" s="2" t="s">
        <v>70</v>
      </c>
      <c r="J4218" s="9">
        <v>2652.9230769999999</v>
      </c>
      <c r="K4218" s="7">
        <v>0.65500000000000003</v>
      </c>
      <c r="L4218" s="9">
        <v>1737.66</v>
      </c>
      <c r="M4218" s="9">
        <v>1724.4</v>
      </c>
      <c r="N4218" s="9">
        <v>1.8</v>
      </c>
      <c r="O4218" s="10">
        <f>IF(AND(OR(H4218="APPROVED",H4218="SCHEDULED"),COUNTIFS(tblSource[EventID],F4218,tblSource[ReleaseStatus],"APPROVED")=1,COUNTIFS(Period_Status!$A$2:$A$8,G4218,Period_Status!$B$2:$B$8,"ActualClosed")=1,C4218&gt;EOMONTH(Settlement_Bridge!$C$2,0)),1,0)</f>
        <v>0</v>
      </c>
      <c r="P4218" s="2" t="s">
        <v>11399</v>
      </c>
    </row>
    <row r="4219" spans="1:16" x14ac:dyDescent="0.25">
      <c r="A4219" s="2" t="s">
        <v>11400</v>
      </c>
      <c r="B4219" s="2" t="s">
        <v>7433</v>
      </c>
      <c r="C4219" s="8">
        <v>46275</v>
      </c>
      <c r="D4219" s="6">
        <v>46266</v>
      </c>
      <c r="E4219" s="2" t="s">
        <v>260</v>
      </c>
      <c r="F4219" s="2" t="s">
        <v>11401</v>
      </c>
      <c r="G4219" s="6">
        <v>46235</v>
      </c>
      <c r="H4219" s="2" t="s">
        <v>176</v>
      </c>
      <c r="I4219" s="2" t="s">
        <v>39</v>
      </c>
      <c r="J4219" s="9">
        <v>1260.328</v>
      </c>
      <c r="K4219" s="7">
        <v>1</v>
      </c>
      <c r="L4219" s="9">
        <v>1260.33</v>
      </c>
      <c r="M4219" s="9">
        <v>1260.33</v>
      </c>
      <c r="N4219" s="9">
        <v>1.8</v>
      </c>
      <c r="O4219" s="10">
        <f>IF(AND(OR(H4219="APPROVED",H4219="SCHEDULED"),COUNTIFS(tblSource[EventID],F4219,tblSource[ReleaseStatus],"APPROVED")=1,COUNTIFS(Period_Status!$A$2:$A$8,G4219,Period_Status!$B$2:$B$8,"ActualClosed")=1,C4219&gt;EOMONTH(Settlement_Bridge!$C$2,0)),1,0)</f>
        <v>0</v>
      </c>
      <c r="P4219" s="2" t="s">
        <v>11402</v>
      </c>
    </row>
    <row r="4220" spans="1:16" x14ac:dyDescent="0.25">
      <c r="A4220" s="2" t="s">
        <v>11403</v>
      </c>
      <c r="B4220" s="2" t="s">
        <v>7433</v>
      </c>
      <c r="C4220" s="8">
        <v>46300</v>
      </c>
      <c r="D4220" s="6">
        <v>46296</v>
      </c>
      <c r="E4220" s="2" t="s">
        <v>260</v>
      </c>
      <c r="F4220" s="2" t="s">
        <v>11401</v>
      </c>
      <c r="G4220" s="6">
        <v>46235</v>
      </c>
      <c r="H4220" s="2" t="s">
        <v>176</v>
      </c>
      <c r="I4220" s="2" t="s">
        <v>39</v>
      </c>
      <c r="J4220" s="9">
        <v>1890.492</v>
      </c>
      <c r="K4220" s="7">
        <v>1</v>
      </c>
      <c r="L4220" s="9">
        <v>1890.49</v>
      </c>
      <c r="M4220" s="9">
        <v>1890.49</v>
      </c>
      <c r="N4220" s="9">
        <v>1.8</v>
      </c>
      <c r="O4220" s="10">
        <f>IF(AND(OR(H4220="APPROVED",H4220="SCHEDULED"),COUNTIFS(tblSource[EventID],F4220,tblSource[ReleaseStatus],"APPROVED")=1,COUNTIFS(Period_Status!$A$2:$A$8,G4220,Period_Status!$B$2:$B$8,"ActualClosed")=1,C4220&gt;EOMONTH(Settlement_Bridge!$C$2,0)),1,0)</f>
        <v>0</v>
      </c>
      <c r="P4220" s="2" t="s">
        <v>11404</v>
      </c>
    </row>
    <row r="4221" spans="1:16" x14ac:dyDescent="0.25">
      <c r="A4221" s="2" t="s">
        <v>11405</v>
      </c>
      <c r="B4221" s="2" t="s">
        <v>7433</v>
      </c>
      <c r="C4221" s="8">
        <v>46276</v>
      </c>
      <c r="D4221" s="6">
        <v>46266</v>
      </c>
      <c r="E4221" s="2" t="s">
        <v>260</v>
      </c>
      <c r="F4221" s="2" t="s">
        <v>11406</v>
      </c>
      <c r="G4221" s="6">
        <v>46235</v>
      </c>
      <c r="H4221" s="2" t="s">
        <v>176</v>
      </c>
      <c r="I4221" s="2" t="s">
        <v>76</v>
      </c>
      <c r="J4221" s="9">
        <v>22293528.455283999</v>
      </c>
      <c r="K4221" s="7">
        <v>6.1299999999999999E-5</v>
      </c>
      <c r="L4221" s="9">
        <v>1366.59</v>
      </c>
      <c r="M4221" s="9">
        <v>1371.05</v>
      </c>
      <c r="N4221" s="9">
        <v>1.8</v>
      </c>
      <c r="O4221" s="10">
        <f>IF(AND(OR(H4221="APPROVED",H4221="SCHEDULED"),COUNTIFS(tblSource[EventID],F4221,tblSource[ReleaseStatus],"APPROVED")=1,COUNTIFS(Period_Status!$A$2:$A$8,G4221,Period_Status!$B$2:$B$8,"ActualClosed")=1,C4221&gt;EOMONTH(Settlement_Bridge!$C$2,0)),1,0)</f>
        <v>0</v>
      </c>
      <c r="P4221" s="2" t="s">
        <v>11407</v>
      </c>
    </row>
    <row r="4222" spans="1:16" x14ac:dyDescent="0.25">
      <c r="A4222" s="2" t="s">
        <v>11408</v>
      </c>
      <c r="B4222" s="2" t="s">
        <v>7433</v>
      </c>
      <c r="C4222" s="8">
        <v>46301</v>
      </c>
      <c r="D4222" s="6">
        <v>46296</v>
      </c>
      <c r="E4222" s="2" t="s">
        <v>260</v>
      </c>
      <c r="F4222" s="2" t="s">
        <v>11406</v>
      </c>
      <c r="G4222" s="6">
        <v>46235</v>
      </c>
      <c r="H4222" s="2" t="s">
        <v>176</v>
      </c>
      <c r="I4222" s="2" t="s">
        <v>76</v>
      </c>
      <c r="J4222" s="9">
        <v>33440292.682927001</v>
      </c>
      <c r="K4222" s="7">
        <v>6.1099999999999994E-5</v>
      </c>
      <c r="L4222" s="9">
        <v>2043.2</v>
      </c>
      <c r="M4222" s="9">
        <v>2056.58</v>
      </c>
      <c r="N4222" s="9">
        <v>1.8</v>
      </c>
      <c r="O4222" s="10">
        <f>IF(AND(OR(H4222="APPROVED",H4222="SCHEDULED"),COUNTIFS(tblSource[EventID],F4222,tblSource[ReleaseStatus],"APPROVED")=1,COUNTIFS(Period_Status!$A$2:$A$8,G4222,Period_Status!$B$2:$B$8,"ActualClosed")=1,C4222&gt;EOMONTH(Settlement_Bridge!$C$2,0)),1,0)</f>
        <v>0</v>
      </c>
      <c r="P4222" s="2" t="s">
        <v>11409</v>
      </c>
    </row>
    <row r="4223" spans="1:16" x14ac:dyDescent="0.25">
      <c r="A4223" s="2" t="s">
        <v>11410</v>
      </c>
      <c r="B4223" s="2" t="s">
        <v>7433</v>
      </c>
      <c r="C4223" s="8">
        <v>46277</v>
      </c>
      <c r="D4223" s="6">
        <v>46266</v>
      </c>
      <c r="E4223" s="2" t="s">
        <v>260</v>
      </c>
      <c r="F4223" s="2" t="s">
        <v>11411</v>
      </c>
      <c r="G4223" s="6">
        <v>46235</v>
      </c>
      <c r="H4223" s="2" t="s">
        <v>176</v>
      </c>
      <c r="I4223" s="2" t="s">
        <v>70</v>
      </c>
      <c r="J4223" s="9">
        <v>2279.6615379999998</v>
      </c>
      <c r="K4223" s="7">
        <v>0.65100000000000002</v>
      </c>
      <c r="L4223" s="9">
        <v>1484.06</v>
      </c>
      <c r="M4223" s="9">
        <v>1481.78</v>
      </c>
      <c r="N4223" s="9">
        <v>1.8</v>
      </c>
      <c r="O4223" s="10">
        <f>IF(AND(OR(H4223="APPROVED",H4223="SCHEDULED"),COUNTIFS(tblSource[EventID],F4223,tblSource[ReleaseStatus],"APPROVED")=1,COUNTIFS(Period_Status!$A$2:$A$8,G4223,Period_Status!$B$2:$B$8,"ActualClosed")=1,C4223&gt;EOMONTH(Settlement_Bridge!$C$2,0)),1,0)</f>
        <v>0</v>
      </c>
      <c r="P4223" s="2" t="s">
        <v>11412</v>
      </c>
    </row>
    <row r="4224" spans="1:16" x14ac:dyDescent="0.25">
      <c r="A4224" s="2" t="s">
        <v>11413</v>
      </c>
      <c r="B4224" s="2" t="s">
        <v>7433</v>
      </c>
      <c r="C4224" s="8">
        <v>46302</v>
      </c>
      <c r="D4224" s="6">
        <v>46296</v>
      </c>
      <c r="E4224" s="2" t="s">
        <v>260</v>
      </c>
      <c r="F4224" s="2" t="s">
        <v>11411</v>
      </c>
      <c r="G4224" s="6">
        <v>46235</v>
      </c>
      <c r="H4224" s="2" t="s">
        <v>176</v>
      </c>
      <c r="I4224" s="2" t="s">
        <v>70</v>
      </c>
      <c r="J4224" s="9">
        <v>3419.4923079999999</v>
      </c>
      <c r="K4224" s="7">
        <v>0.65500000000000003</v>
      </c>
      <c r="L4224" s="9">
        <v>2239.77</v>
      </c>
      <c r="M4224" s="9">
        <v>2222.67</v>
      </c>
      <c r="N4224" s="9">
        <v>1.8</v>
      </c>
      <c r="O4224" s="10">
        <f>IF(AND(OR(H4224="APPROVED",H4224="SCHEDULED"),COUNTIFS(tblSource[EventID],F4224,tblSource[ReleaseStatus],"APPROVED")=1,COUNTIFS(Period_Status!$A$2:$A$8,G4224,Period_Status!$B$2:$B$8,"ActualClosed")=1,C4224&gt;EOMONTH(Settlement_Bridge!$C$2,0)),1,0)</f>
        <v>0</v>
      </c>
      <c r="P4224" s="2" t="s">
        <v>11414</v>
      </c>
    </row>
    <row r="4225" spans="1:16" x14ac:dyDescent="0.25">
      <c r="A4225" s="2" t="s">
        <v>11415</v>
      </c>
      <c r="B4225" s="2" t="s">
        <v>7433</v>
      </c>
      <c r="C4225" s="8">
        <v>46278</v>
      </c>
      <c r="D4225" s="6">
        <v>46266</v>
      </c>
      <c r="E4225" s="2" t="s">
        <v>260</v>
      </c>
      <c r="F4225" s="2" t="s">
        <v>11416</v>
      </c>
      <c r="G4225" s="6">
        <v>46235</v>
      </c>
      <c r="H4225" s="2" t="s">
        <v>176</v>
      </c>
      <c r="I4225" s="2" t="s">
        <v>39</v>
      </c>
      <c r="J4225" s="9">
        <v>1592.5039999999999</v>
      </c>
      <c r="K4225" s="7">
        <v>1</v>
      </c>
      <c r="L4225" s="9">
        <v>1592.5</v>
      </c>
      <c r="M4225" s="9">
        <v>1592.5</v>
      </c>
      <c r="N4225" s="9">
        <v>1.8</v>
      </c>
      <c r="O4225" s="10">
        <f>IF(AND(OR(H4225="APPROVED",H4225="SCHEDULED"),COUNTIFS(tblSource[EventID],F4225,tblSource[ReleaseStatus],"APPROVED")=1,COUNTIFS(Period_Status!$A$2:$A$8,G4225,Period_Status!$B$2:$B$8,"ActualClosed")=1,C4225&gt;EOMONTH(Settlement_Bridge!$C$2,0)),1,0)</f>
        <v>0</v>
      </c>
      <c r="P4225" s="2" t="s">
        <v>11417</v>
      </c>
    </row>
    <row r="4226" spans="1:16" x14ac:dyDescent="0.25">
      <c r="A4226" s="2" t="s">
        <v>11418</v>
      </c>
      <c r="B4226" s="2" t="s">
        <v>7433</v>
      </c>
      <c r="C4226" s="8">
        <v>46303</v>
      </c>
      <c r="D4226" s="6">
        <v>46296</v>
      </c>
      <c r="E4226" s="2" t="s">
        <v>260</v>
      </c>
      <c r="F4226" s="2" t="s">
        <v>11416</v>
      </c>
      <c r="G4226" s="6">
        <v>46235</v>
      </c>
      <c r="H4226" s="2" t="s">
        <v>176</v>
      </c>
      <c r="I4226" s="2" t="s">
        <v>39</v>
      </c>
      <c r="J4226" s="9">
        <v>2388.7559999999999</v>
      </c>
      <c r="K4226" s="7">
        <v>1</v>
      </c>
      <c r="L4226" s="9">
        <v>2388.7600000000002</v>
      </c>
      <c r="M4226" s="9">
        <v>2388.7600000000002</v>
      </c>
      <c r="N4226" s="9">
        <v>1.8</v>
      </c>
      <c r="O4226" s="10">
        <f>IF(AND(OR(H4226="APPROVED",H4226="SCHEDULED"),COUNTIFS(tblSource[EventID],F4226,tblSource[ReleaseStatus],"APPROVED")=1,COUNTIFS(Period_Status!$A$2:$A$8,G4226,Period_Status!$B$2:$B$8,"ActualClosed")=1,C4226&gt;EOMONTH(Settlement_Bridge!$C$2,0)),1,0)</f>
        <v>0</v>
      </c>
      <c r="P4226" s="2" t="s">
        <v>11419</v>
      </c>
    </row>
    <row r="4227" spans="1:16" x14ac:dyDescent="0.25">
      <c r="A4227" s="2" t="s">
        <v>11420</v>
      </c>
      <c r="B4227" s="2" t="s">
        <v>7433</v>
      </c>
      <c r="C4227" s="8">
        <v>46279</v>
      </c>
      <c r="D4227" s="6">
        <v>46266</v>
      </c>
      <c r="E4227" s="2" t="s">
        <v>260</v>
      </c>
      <c r="F4227" s="2" t="s">
        <v>11421</v>
      </c>
      <c r="G4227" s="6">
        <v>46235</v>
      </c>
      <c r="H4227" s="2" t="s">
        <v>176</v>
      </c>
      <c r="I4227" s="2" t="s">
        <v>76</v>
      </c>
      <c r="J4227" s="9">
        <v>27694829.268293001</v>
      </c>
      <c r="K4227" s="7">
        <v>6.1299999999999999E-5</v>
      </c>
      <c r="L4227" s="9">
        <v>1697.69</v>
      </c>
      <c r="M4227" s="9">
        <v>1703.23</v>
      </c>
      <c r="N4227" s="9">
        <v>1.8</v>
      </c>
      <c r="O4227" s="10">
        <f>IF(AND(OR(H4227="APPROVED",H4227="SCHEDULED"),COUNTIFS(tblSource[EventID],F4227,tblSource[ReleaseStatus],"APPROVED")=1,COUNTIFS(Period_Status!$A$2:$A$8,G4227,Period_Status!$B$2:$B$8,"ActualClosed")=1,C4227&gt;EOMONTH(Settlement_Bridge!$C$2,0)),1,0)</f>
        <v>0</v>
      </c>
      <c r="P4227" s="2" t="s">
        <v>11422</v>
      </c>
    </row>
    <row r="4228" spans="1:16" x14ac:dyDescent="0.25">
      <c r="A4228" s="2" t="s">
        <v>11423</v>
      </c>
      <c r="B4228" s="2" t="s">
        <v>7433</v>
      </c>
      <c r="C4228" s="8">
        <v>46304</v>
      </c>
      <c r="D4228" s="6">
        <v>46296</v>
      </c>
      <c r="E4228" s="2" t="s">
        <v>260</v>
      </c>
      <c r="F4228" s="2" t="s">
        <v>11421</v>
      </c>
      <c r="G4228" s="6">
        <v>46235</v>
      </c>
      <c r="H4228" s="2" t="s">
        <v>176</v>
      </c>
      <c r="I4228" s="2" t="s">
        <v>76</v>
      </c>
      <c r="J4228" s="9">
        <v>41542243.902438998</v>
      </c>
      <c r="K4228" s="7">
        <v>6.1099999999999994E-5</v>
      </c>
      <c r="L4228" s="9">
        <v>2538.23</v>
      </c>
      <c r="M4228" s="9">
        <v>2554.85</v>
      </c>
      <c r="N4228" s="9">
        <v>1.8</v>
      </c>
      <c r="O4228" s="10">
        <f>IF(AND(OR(H4228="APPROVED",H4228="SCHEDULED"),COUNTIFS(tblSource[EventID],F4228,tblSource[ReleaseStatus],"APPROVED")=1,COUNTIFS(Period_Status!$A$2:$A$8,G4228,Period_Status!$B$2:$B$8,"ActualClosed")=1,C4228&gt;EOMONTH(Settlement_Bridge!$C$2,0)),1,0)</f>
        <v>0</v>
      </c>
      <c r="P4228" s="2" t="s">
        <v>11424</v>
      </c>
    </row>
    <row r="4229" spans="1:16" x14ac:dyDescent="0.25">
      <c r="A4229" s="2" t="s">
        <v>11425</v>
      </c>
      <c r="B4229" s="2" t="s">
        <v>7433</v>
      </c>
      <c r="C4229" s="8">
        <v>46249</v>
      </c>
      <c r="D4229" s="6">
        <v>46235</v>
      </c>
      <c r="E4229" s="2" t="s">
        <v>260</v>
      </c>
      <c r="F4229" s="2" t="s">
        <v>11426</v>
      </c>
      <c r="G4229" s="6">
        <v>46235</v>
      </c>
      <c r="H4229" s="2" t="s">
        <v>71</v>
      </c>
      <c r="I4229" s="2" t="s">
        <v>70</v>
      </c>
      <c r="J4229" s="9">
        <v>2790.7015379999998</v>
      </c>
      <c r="K4229" s="7">
        <v>0.65</v>
      </c>
      <c r="L4229" s="9">
        <v>1813.96</v>
      </c>
      <c r="M4229" s="9">
        <v>1813.96</v>
      </c>
      <c r="N4229" s="9">
        <v>1.8</v>
      </c>
      <c r="O4229" s="10">
        <f>IF(AND(OR(H4229="APPROVED",H4229="SCHEDULED"),COUNTIFS(tblSource[EventID],F4229,tblSource[ReleaseStatus],"APPROVED")=1,COUNTIFS(Period_Status!$A$2:$A$8,G4229,Period_Status!$B$2:$B$8,"ActualClosed")=1,C4229&gt;EOMONTH(Settlement_Bridge!$C$2,0)),1,0)</f>
        <v>0</v>
      </c>
      <c r="P4229" s="2" t="s">
        <v>11427</v>
      </c>
    </row>
    <row r="4230" spans="1:16" x14ac:dyDescent="0.25">
      <c r="A4230" s="2" t="s">
        <v>11428</v>
      </c>
      <c r="B4230" s="2" t="s">
        <v>7433</v>
      </c>
      <c r="C4230" s="8">
        <v>46274</v>
      </c>
      <c r="D4230" s="6">
        <v>46266</v>
      </c>
      <c r="E4230" s="2" t="s">
        <v>260</v>
      </c>
      <c r="F4230" s="2" t="s">
        <v>11426</v>
      </c>
      <c r="G4230" s="6">
        <v>46235</v>
      </c>
      <c r="H4230" s="2" t="s">
        <v>176</v>
      </c>
      <c r="I4230" s="2" t="s">
        <v>70</v>
      </c>
      <c r="J4230" s="9">
        <v>4186.0523080000003</v>
      </c>
      <c r="K4230" s="7">
        <v>0.65100000000000002</v>
      </c>
      <c r="L4230" s="9">
        <v>2725.12</v>
      </c>
      <c r="M4230" s="9">
        <v>2720.93</v>
      </c>
      <c r="N4230" s="9">
        <v>1.8</v>
      </c>
      <c r="O4230" s="10">
        <f>IF(AND(OR(H4230="APPROVED",H4230="SCHEDULED"),COUNTIFS(tblSource[EventID],F4230,tblSource[ReleaseStatus],"APPROVED")=1,COUNTIFS(Period_Status!$A$2:$A$8,G4230,Period_Status!$B$2:$B$8,"ActualClosed")=1,C4230&gt;EOMONTH(Settlement_Bridge!$C$2,0)),1,0)</f>
        <v>0</v>
      </c>
      <c r="P4230" s="2" t="s">
        <v>11429</v>
      </c>
    </row>
    <row r="4231" spans="1:16" x14ac:dyDescent="0.25">
      <c r="A4231" s="2" t="s">
        <v>11430</v>
      </c>
      <c r="B4231" s="2" t="s">
        <v>7433</v>
      </c>
      <c r="C4231" s="8">
        <v>46250</v>
      </c>
      <c r="D4231" s="6">
        <v>46235</v>
      </c>
      <c r="E4231" s="2" t="s">
        <v>260</v>
      </c>
      <c r="F4231" s="2" t="s">
        <v>11431</v>
      </c>
      <c r="G4231" s="6">
        <v>46235</v>
      </c>
      <c r="H4231" s="2" t="s">
        <v>71</v>
      </c>
      <c r="I4231" s="2" t="s">
        <v>39</v>
      </c>
      <c r="J4231" s="9">
        <v>1924.684</v>
      </c>
      <c r="K4231" s="7">
        <v>1</v>
      </c>
      <c r="L4231" s="9">
        <v>1924.68</v>
      </c>
      <c r="M4231" s="9">
        <v>1924.68</v>
      </c>
      <c r="N4231" s="9">
        <v>1.8</v>
      </c>
      <c r="O4231" s="10">
        <f>IF(AND(OR(H4231="APPROVED",H4231="SCHEDULED"),COUNTIFS(tblSource[EventID],F4231,tblSource[ReleaseStatus],"APPROVED")=1,COUNTIFS(Period_Status!$A$2:$A$8,G4231,Period_Status!$B$2:$B$8,"ActualClosed")=1,C4231&gt;EOMONTH(Settlement_Bridge!$C$2,0)),1,0)</f>
        <v>0</v>
      </c>
      <c r="P4231" s="2" t="s">
        <v>11432</v>
      </c>
    </row>
    <row r="4232" spans="1:16" x14ac:dyDescent="0.25">
      <c r="A4232" s="2" t="s">
        <v>11433</v>
      </c>
      <c r="B4232" s="2" t="s">
        <v>7433</v>
      </c>
      <c r="C4232" s="8">
        <v>46275</v>
      </c>
      <c r="D4232" s="6">
        <v>46266</v>
      </c>
      <c r="E4232" s="2" t="s">
        <v>260</v>
      </c>
      <c r="F4232" s="2" t="s">
        <v>11431</v>
      </c>
      <c r="G4232" s="6">
        <v>46235</v>
      </c>
      <c r="H4232" s="2" t="s">
        <v>176</v>
      </c>
      <c r="I4232" s="2" t="s">
        <v>39</v>
      </c>
      <c r="J4232" s="9">
        <v>2887.0259999999998</v>
      </c>
      <c r="K4232" s="7">
        <v>1</v>
      </c>
      <c r="L4232" s="9">
        <v>2887.03</v>
      </c>
      <c r="M4232" s="9">
        <v>2887.03</v>
      </c>
      <c r="N4232" s="9">
        <v>1.8</v>
      </c>
      <c r="O4232" s="10">
        <f>IF(AND(OR(H4232="APPROVED",H4232="SCHEDULED"),COUNTIFS(tblSource[EventID],F4232,tblSource[ReleaseStatus],"APPROVED")=1,COUNTIFS(Period_Status!$A$2:$A$8,G4232,Period_Status!$B$2:$B$8,"ActualClosed")=1,C4232&gt;EOMONTH(Settlement_Bridge!$C$2,0)),1,0)</f>
        <v>0</v>
      </c>
      <c r="P4232" s="2" t="s">
        <v>11434</v>
      </c>
    </row>
    <row r="4233" spans="1:16" x14ac:dyDescent="0.25">
      <c r="A4233" s="2" t="s">
        <v>11435</v>
      </c>
      <c r="B4233" s="2" t="s">
        <v>7433</v>
      </c>
      <c r="C4233" s="8">
        <v>46251</v>
      </c>
      <c r="D4233" s="6">
        <v>46235</v>
      </c>
      <c r="E4233" s="2" t="s">
        <v>260</v>
      </c>
      <c r="F4233" s="2" t="s">
        <v>11436</v>
      </c>
      <c r="G4233" s="6">
        <v>46235</v>
      </c>
      <c r="H4233" s="2" t="s">
        <v>71</v>
      </c>
      <c r="I4233" s="2" t="s">
        <v>76</v>
      </c>
      <c r="J4233" s="9">
        <v>33096130.081301</v>
      </c>
      <c r="K4233" s="7">
        <v>6.1500000000000004E-5</v>
      </c>
      <c r="L4233" s="9">
        <v>2035.41</v>
      </c>
      <c r="M4233" s="9">
        <v>2035.41</v>
      </c>
      <c r="N4233" s="9">
        <v>1.8</v>
      </c>
      <c r="O4233" s="10">
        <f>IF(AND(OR(H4233="APPROVED",H4233="SCHEDULED"),COUNTIFS(tblSource[EventID],F4233,tblSource[ReleaseStatus],"APPROVED")=1,COUNTIFS(Period_Status!$A$2:$A$8,G4233,Period_Status!$B$2:$B$8,"ActualClosed")=1,C4233&gt;EOMONTH(Settlement_Bridge!$C$2,0)),1,0)</f>
        <v>0</v>
      </c>
      <c r="P4233" s="2" t="s">
        <v>11437</v>
      </c>
    </row>
    <row r="4234" spans="1:16" x14ac:dyDescent="0.25">
      <c r="A4234" s="2" t="s">
        <v>11438</v>
      </c>
      <c r="B4234" s="2" t="s">
        <v>7433</v>
      </c>
      <c r="C4234" s="8">
        <v>46276</v>
      </c>
      <c r="D4234" s="6">
        <v>46266</v>
      </c>
      <c r="E4234" s="2" t="s">
        <v>260</v>
      </c>
      <c r="F4234" s="2" t="s">
        <v>11436</v>
      </c>
      <c r="G4234" s="6">
        <v>46235</v>
      </c>
      <c r="H4234" s="2" t="s">
        <v>176</v>
      </c>
      <c r="I4234" s="2" t="s">
        <v>76</v>
      </c>
      <c r="J4234" s="9">
        <v>49644195.121950999</v>
      </c>
      <c r="K4234" s="7">
        <v>6.1299999999999999E-5</v>
      </c>
      <c r="L4234" s="9">
        <v>3043.19</v>
      </c>
      <c r="M4234" s="9">
        <v>3053.12</v>
      </c>
      <c r="N4234" s="9">
        <v>1.8</v>
      </c>
      <c r="O4234" s="10">
        <f>IF(AND(OR(H4234="APPROVED",H4234="SCHEDULED"),COUNTIFS(tblSource[EventID],F4234,tblSource[ReleaseStatus],"APPROVED")=1,COUNTIFS(Period_Status!$A$2:$A$8,G4234,Period_Status!$B$2:$B$8,"ActualClosed")=1,C4234&gt;EOMONTH(Settlement_Bridge!$C$2,0)),1,0)</f>
        <v>0</v>
      </c>
      <c r="P4234" s="2" t="s">
        <v>11439</v>
      </c>
    </row>
    <row r="4235" spans="1:16" x14ac:dyDescent="0.25">
      <c r="A4235" s="2" t="s">
        <v>11440</v>
      </c>
      <c r="B4235" s="2" t="s">
        <v>7433</v>
      </c>
      <c r="C4235" s="8">
        <v>46252</v>
      </c>
      <c r="D4235" s="6">
        <v>46235</v>
      </c>
      <c r="E4235" s="2" t="s">
        <v>260</v>
      </c>
      <c r="F4235" s="2" t="s">
        <v>11441</v>
      </c>
      <c r="G4235" s="6">
        <v>46235</v>
      </c>
      <c r="H4235" s="2" t="s">
        <v>71</v>
      </c>
      <c r="I4235" s="2" t="s">
        <v>70</v>
      </c>
      <c r="J4235" s="9">
        <v>3301.7538460000001</v>
      </c>
      <c r="K4235" s="7">
        <v>0.65</v>
      </c>
      <c r="L4235" s="9">
        <v>2146.14</v>
      </c>
      <c r="M4235" s="9">
        <v>2146.14</v>
      </c>
      <c r="N4235" s="9">
        <v>1.8</v>
      </c>
      <c r="O4235" s="10">
        <f>IF(AND(OR(H4235="APPROVED",H4235="SCHEDULED"),COUNTIFS(tblSource[EventID],F4235,tblSource[ReleaseStatus],"APPROVED")=1,COUNTIFS(Period_Status!$A$2:$A$8,G4235,Period_Status!$B$2:$B$8,"ActualClosed")=1,C4235&gt;EOMONTH(Settlement_Bridge!$C$2,0)),1,0)</f>
        <v>0</v>
      </c>
      <c r="P4235" s="2" t="s">
        <v>11442</v>
      </c>
    </row>
    <row r="4236" spans="1:16" x14ac:dyDescent="0.25">
      <c r="A4236" s="2" t="s">
        <v>11443</v>
      </c>
      <c r="B4236" s="2" t="s">
        <v>7433</v>
      </c>
      <c r="C4236" s="8">
        <v>46277</v>
      </c>
      <c r="D4236" s="6">
        <v>46266</v>
      </c>
      <c r="E4236" s="2" t="s">
        <v>260</v>
      </c>
      <c r="F4236" s="2" t="s">
        <v>11441</v>
      </c>
      <c r="G4236" s="6">
        <v>46235</v>
      </c>
      <c r="H4236" s="2" t="s">
        <v>176</v>
      </c>
      <c r="I4236" s="2" t="s">
        <v>70</v>
      </c>
      <c r="J4236" s="9">
        <v>4952.6307690000003</v>
      </c>
      <c r="K4236" s="7">
        <v>0.65100000000000002</v>
      </c>
      <c r="L4236" s="9">
        <v>3224.16</v>
      </c>
      <c r="M4236" s="9">
        <v>3219.21</v>
      </c>
      <c r="N4236" s="9">
        <v>1.8</v>
      </c>
      <c r="O4236" s="10">
        <f>IF(AND(OR(H4236="APPROVED",H4236="SCHEDULED"),COUNTIFS(tblSource[EventID],F4236,tblSource[ReleaseStatus],"APPROVED")=1,COUNTIFS(Period_Status!$A$2:$A$8,G4236,Period_Status!$B$2:$B$8,"ActualClosed")=1,C4236&gt;EOMONTH(Settlement_Bridge!$C$2,0)),1,0)</f>
        <v>0</v>
      </c>
      <c r="P4236" s="2" t="s">
        <v>11444</v>
      </c>
    </row>
    <row r="4237" spans="1:16" x14ac:dyDescent="0.25">
      <c r="A4237" s="2" t="s">
        <v>11445</v>
      </c>
      <c r="B4237" s="2" t="s">
        <v>7433</v>
      </c>
      <c r="C4237" s="8">
        <v>46253</v>
      </c>
      <c r="D4237" s="6">
        <v>46235</v>
      </c>
      <c r="E4237" s="2" t="s">
        <v>260</v>
      </c>
      <c r="F4237" s="2" t="s">
        <v>11446</v>
      </c>
      <c r="G4237" s="6">
        <v>46235</v>
      </c>
      <c r="H4237" s="2" t="s">
        <v>71</v>
      </c>
      <c r="I4237" s="2" t="s">
        <v>39</v>
      </c>
      <c r="J4237" s="9">
        <v>2256.864</v>
      </c>
      <c r="K4237" s="7">
        <v>1</v>
      </c>
      <c r="L4237" s="9">
        <v>2256.86</v>
      </c>
      <c r="M4237" s="9">
        <v>2256.86</v>
      </c>
      <c r="N4237" s="9">
        <v>1.8</v>
      </c>
      <c r="O4237" s="10">
        <f>IF(AND(OR(H4237="APPROVED",H4237="SCHEDULED"),COUNTIFS(tblSource[EventID],F4237,tblSource[ReleaseStatus],"APPROVED")=1,COUNTIFS(Period_Status!$A$2:$A$8,G4237,Period_Status!$B$2:$B$8,"ActualClosed")=1,C4237&gt;EOMONTH(Settlement_Bridge!$C$2,0)),1,0)</f>
        <v>0</v>
      </c>
      <c r="P4237" s="2" t="s">
        <v>11447</v>
      </c>
    </row>
    <row r="4238" spans="1:16" x14ac:dyDescent="0.25">
      <c r="A4238" s="2" t="s">
        <v>11448</v>
      </c>
      <c r="B4238" s="2" t="s">
        <v>7433</v>
      </c>
      <c r="C4238" s="8">
        <v>46278</v>
      </c>
      <c r="D4238" s="6">
        <v>46266</v>
      </c>
      <c r="E4238" s="2" t="s">
        <v>260</v>
      </c>
      <c r="F4238" s="2" t="s">
        <v>11446</v>
      </c>
      <c r="G4238" s="6">
        <v>46235</v>
      </c>
      <c r="H4238" s="2" t="s">
        <v>176</v>
      </c>
      <c r="I4238" s="2" t="s">
        <v>39</v>
      </c>
      <c r="J4238" s="9">
        <v>3385.2959999999998</v>
      </c>
      <c r="K4238" s="7">
        <v>1</v>
      </c>
      <c r="L4238" s="9">
        <v>3385.3</v>
      </c>
      <c r="M4238" s="9">
        <v>3385.3</v>
      </c>
      <c r="N4238" s="9">
        <v>1.86</v>
      </c>
      <c r="O4238" s="10">
        <f>IF(AND(OR(H4238="APPROVED",H4238="SCHEDULED"),COUNTIFS(tblSource[EventID],F4238,tblSource[ReleaseStatus],"APPROVED")=1,COUNTIFS(Period_Status!$A$2:$A$8,G4238,Period_Status!$B$2:$B$8,"ActualClosed")=1,C4238&gt;EOMONTH(Settlement_Bridge!$C$2,0)),1,0)</f>
        <v>0</v>
      </c>
      <c r="P4238" s="2" t="s">
        <v>11449</v>
      </c>
    </row>
    <row r="4239" spans="1:16" x14ac:dyDescent="0.25">
      <c r="A4239" s="2" t="s">
        <v>11450</v>
      </c>
      <c r="B4239" s="2" t="s">
        <v>7433</v>
      </c>
      <c r="C4239" s="8">
        <v>46254</v>
      </c>
      <c r="D4239" s="6">
        <v>46235</v>
      </c>
      <c r="E4239" s="2" t="s">
        <v>260</v>
      </c>
      <c r="F4239" s="2" t="s">
        <v>11451</v>
      </c>
      <c r="G4239" s="6">
        <v>46235</v>
      </c>
      <c r="H4239" s="2" t="s">
        <v>71</v>
      </c>
      <c r="I4239" s="2" t="s">
        <v>76</v>
      </c>
      <c r="J4239" s="9">
        <v>38497430.894308999</v>
      </c>
      <c r="K4239" s="7">
        <v>6.1500000000000004E-5</v>
      </c>
      <c r="L4239" s="9">
        <v>2367.59</v>
      </c>
      <c r="M4239" s="9">
        <v>2367.59</v>
      </c>
      <c r="N4239" s="9">
        <v>1.8</v>
      </c>
      <c r="O4239" s="10">
        <f>IF(AND(OR(H4239="APPROVED",H4239="SCHEDULED"),COUNTIFS(tblSource[EventID],F4239,tblSource[ReleaseStatus],"APPROVED")=1,COUNTIFS(Period_Status!$A$2:$A$8,G4239,Period_Status!$B$2:$B$8,"ActualClosed")=1,C4239&gt;EOMONTH(Settlement_Bridge!$C$2,0)),1,0)</f>
        <v>0</v>
      </c>
      <c r="P4239" s="2" t="s">
        <v>11452</v>
      </c>
    </row>
    <row r="4240" spans="1:16" x14ac:dyDescent="0.25">
      <c r="A4240" s="2" t="s">
        <v>11453</v>
      </c>
      <c r="B4240" s="2" t="s">
        <v>7433</v>
      </c>
      <c r="C4240" s="8">
        <v>46279</v>
      </c>
      <c r="D4240" s="6">
        <v>46266</v>
      </c>
      <c r="E4240" s="2" t="s">
        <v>260</v>
      </c>
      <c r="F4240" s="2" t="s">
        <v>11451</v>
      </c>
      <c r="G4240" s="6">
        <v>46235</v>
      </c>
      <c r="H4240" s="2" t="s">
        <v>176</v>
      </c>
      <c r="I4240" s="2" t="s">
        <v>76</v>
      </c>
      <c r="J4240" s="9">
        <v>57746146.341463</v>
      </c>
      <c r="K4240" s="7">
        <v>6.1299999999999999E-5</v>
      </c>
      <c r="L4240" s="9">
        <v>3539.84</v>
      </c>
      <c r="M4240" s="9">
        <v>3551.39</v>
      </c>
      <c r="N4240" s="9">
        <v>1.95</v>
      </c>
      <c r="O4240" s="10">
        <f>IF(AND(OR(H4240="APPROVED",H4240="SCHEDULED"),COUNTIFS(tblSource[EventID],F4240,tblSource[ReleaseStatus],"APPROVED")=1,COUNTIFS(Period_Status!$A$2:$A$8,G4240,Period_Status!$B$2:$B$8,"ActualClosed")=1,C4240&gt;EOMONTH(Settlement_Bridge!$C$2,0)),1,0)</f>
        <v>0</v>
      </c>
      <c r="P4240" s="2" t="s">
        <v>11454</v>
      </c>
    </row>
    <row r="4241" spans="1:16" x14ac:dyDescent="0.25">
      <c r="A4241" s="2" t="s">
        <v>11455</v>
      </c>
      <c r="B4241" s="2" t="s">
        <v>7433</v>
      </c>
      <c r="C4241" s="8">
        <v>46255</v>
      </c>
      <c r="D4241" s="6">
        <v>46235</v>
      </c>
      <c r="E4241" s="2" t="s">
        <v>260</v>
      </c>
      <c r="F4241" s="2" t="s">
        <v>11456</v>
      </c>
      <c r="G4241" s="6">
        <v>46235</v>
      </c>
      <c r="H4241" s="2" t="s">
        <v>71</v>
      </c>
      <c r="I4241" s="2" t="s">
        <v>70</v>
      </c>
      <c r="J4241" s="9">
        <v>3812.793846</v>
      </c>
      <c r="K4241" s="7">
        <v>0.65</v>
      </c>
      <c r="L4241" s="9">
        <v>2478.3200000000002</v>
      </c>
      <c r="M4241" s="9">
        <v>2478.3200000000002</v>
      </c>
      <c r="N4241" s="9">
        <v>1.8</v>
      </c>
      <c r="O4241" s="10">
        <f>IF(AND(OR(H4241="APPROVED",H4241="SCHEDULED"),COUNTIFS(tblSource[EventID],F4241,tblSource[ReleaseStatus],"APPROVED")=1,COUNTIFS(Period_Status!$A$2:$A$8,G4241,Period_Status!$B$2:$B$8,"ActualClosed")=1,C4241&gt;EOMONTH(Settlement_Bridge!$C$2,0)),1,0)</f>
        <v>0</v>
      </c>
      <c r="P4241" s="2" t="s">
        <v>11457</v>
      </c>
    </row>
    <row r="4242" spans="1:16" x14ac:dyDescent="0.25">
      <c r="A4242" s="2" t="s">
        <v>11458</v>
      </c>
      <c r="B4242" s="2" t="s">
        <v>7433</v>
      </c>
      <c r="C4242" s="8">
        <v>46280</v>
      </c>
      <c r="D4242" s="6">
        <v>46266</v>
      </c>
      <c r="E4242" s="2" t="s">
        <v>260</v>
      </c>
      <c r="F4242" s="2" t="s">
        <v>11456</v>
      </c>
      <c r="G4242" s="6">
        <v>46235</v>
      </c>
      <c r="H4242" s="2" t="s">
        <v>176</v>
      </c>
      <c r="I4242" s="2" t="s">
        <v>70</v>
      </c>
      <c r="J4242" s="9">
        <v>5719.1907689999998</v>
      </c>
      <c r="K4242" s="7">
        <v>0.65100000000000002</v>
      </c>
      <c r="L4242" s="9">
        <v>3723.19</v>
      </c>
      <c r="M4242" s="9">
        <v>3717.47</v>
      </c>
      <c r="N4242" s="9">
        <v>2.0499999999999998</v>
      </c>
      <c r="O4242" s="10">
        <f>IF(AND(OR(H4242="APPROVED",H4242="SCHEDULED"),COUNTIFS(tblSource[EventID],F4242,tblSource[ReleaseStatus],"APPROVED")=1,COUNTIFS(Period_Status!$A$2:$A$8,G4242,Period_Status!$B$2:$B$8,"ActualClosed")=1,C4242&gt;EOMONTH(Settlement_Bridge!$C$2,0)),1,0)</f>
        <v>0</v>
      </c>
      <c r="P4242" s="2" t="s">
        <v>11459</v>
      </c>
    </row>
    <row r="4243" spans="1:16" x14ac:dyDescent="0.25">
      <c r="A4243" s="2" t="s">
        <v>11460</v>
      </c>
      <c r="B4243" s="2" t="s">
        <v>7433</v>
      </c>
      <c r="C4243" s="8">
        <v>46256</v>
      </c>
      <c r="D4243" s="6">
        <v>46235</v>
      </c>
      <c r="E4243" s="2" t="s">
        <v>260</v>
      </c>
      <c r="F4243" s="2" t="s">
        <v>11461</v>
      </c>
      <c r="G4243" s="6">
        <v>46235</v>
      </c>
      <c r="H4243" s="2" t="s">
        <v>71</v>
      </c>
      <c r="I4243" s="2" t="s">
        <v>39</v>
      </c>
      <c r="J4243" s="9">
        <v>2589.0439999999999</v>
      </c>
      <c r="K4243" s="7">
        <v>1</v>
      </c>
      <c r="L4243" s="9">
        <v>2589.04</v>
      </c>
      <c r="M4243" s="9">
        <v>2589.04</v>
      </c>
      <c r="N4243" s="9">
        <v>1.8</v>
      </c>
      <c r="O4243" s="10">
        <f>IF(AND(OR(H4243="APPROVED",H4243="SCHEDULED"),COUNTIFS(tblSource[EventID],F4243,tblSource[ReleaseStatus],"APPROVED")=1,COUNTIFS(Period_Status!$A$2:$A$8,G4243,Period_Status!$B$2:$B$8,"ActualClosed")=1,C4243&gt;EOMONTH(Settlement_Bridge!$C$2,0)),1,0)</f>
        <v>0</v>
      </c>
      <c r="P4243" s="2" t="s">
        <v>11462</v>
      </c>
    </row>
    <row r="4244" spans="1:16" x14ac:dyDescent="0.25">
      <c r="A4244" s="2" t="s">
        <v>11463</v>
      </c>
      <c r="B4244" s="2" t="s">
        <v>7433</v>
      </c>
      <c r="C4244" s="8">
        <v>46281</v>
      </c>
      <c r="D4244" s="6">
        <v>46266</v>
      </c>
      <c r="E4244" s="2" t="s">
        <v>260</v>
      </c>
      <c r="F4244" s="2" t="s">
        <v>11461</v>
      </c>
      <c r="G4244" s="6">
        <v>46235</v>
      </c>
      <c r="H4244" s="2" t="s">
        <v>176</v>
      </c>
      <c r="I4244" s="2" t="s">
        <v>39</v>
      </c>
      <c r="J4244" s="9">
        <v>3883.5659999999998</v>
      </c>
      <c r="K4244" s="7">
        <v>1</v>
      </c>
      <c r="L4244" s="9">
        <v>3883.57</v>
      </c>
      <c r="M4244" s="9">
        <v>3883.57</v>
      </c>
      <c r="N4244" s="9">
        <v>2.14</v>
      </c>
      <c r="O4244" s="10">
        <f>IF(AND(OR(H4244="APPROVED",H4244="SCHEDULED"),COUNTIFS(tblSource[EventID],F4244,tblSource[ReleaseStatus],"APPROVED")=1,COUNTIFS(Period_Status!$A$2:$A$8,G4244,Period_Status!$B$2:$B$8,"ActualClosed")=1,C4244&gt;EOMONTH(Settlement_Bridge!$C$2,0)),1,0)</f>
        <v>0</v>
      </c>
      <c r="P4244" s="2" t="s">
        <v>11464</v>
      </c>
    </row>
    <row r="4245" spans="1:16" x14ac:dyDescent="0.25">
      <c r="A4245" s="2" t="s">
        <v>11465</v>
      </c>
      <c r="B4245" s="2" t="s">
        <v>7433</v>
      </c>
      <c r="C4245" s="8">
        <v>46257</v>
      </c>
      <c r="D4245" s="6">
        <v>46235</v>
      </c>
      <c r="E4245" s="2" t="s">
        <v>260</v>
      </c>
      <c r="F4245" s="2" t="s">
        <v>11466</v>
      </c>
      <c r="G4245" s="6">
        <v>46235</v>
      </c>
      <c r="H4245" s="2" t="s">
        <v>71</v>
      </c>
      <c r="I4245" s="2" t="s">
        <v>76</v>
      </c>
      <c r="J4245" s="9">
        <v>43898666.666666999</v>
      </c>
      <c r="K4245" s="7">
        <v>6.1500000000000004E-5</v>
      </c>
      <c r="L4245" s="9">
        <v>2699.77</v>
      </c>
      <c r="M4245" s="9">
        <v>2699.77</v>
      </c>
      <c r="N4245" s="9">
        <v>1.8</v>
      </c>
      <c r="O4245" s="10">
        <f>IF(AND(OR(H4245="APPROVED",H4245="SCHEDULED"),COUNTIFS(tblSource[EventID],F4245,tblSource[ReleaseStatus],"APPROVED")=1,COUNTIFS(Period_Status!$A$2:$A$8,G4245,Period_Status!$B$2:$B$8,"ActualClosed")=1,C4245&gt;EOMONTH(Settlement_Bridge!$C$2,0)),1,0)</f>
        <v>0</v>
      </c>
      <c r="P4245" s="2" t="s">
        <v>11467</v>
      </c>
    </row>
    <row r="4246" spans="1:16" x14ac:dyDescent="0.25">
      <c r="A4246" s="2" t="s">
        <v>11468</v>
      </c>
      <c r="B4246" s="2" t="s">
        <v>7433</v>
      </c>
      <c r="C4246" s="8">
        <v>46282</v>
      </c>
      <c r="D4246" s="6">
        <v>46266</v>
      </c>
      <c r="E4246" s="2" t="s">
        <v>260</v>
      </c>
      <c r="F4246" s="2" t="s">
        <v>11466</v>
      </c>
      <c r="G4246" s="6">
        <v>46235</v>
      </c>
      <c r="H4246" s="2" t="s">
        <v>176</v>
      </c>
      <c r="I4246" s="2" t="s">
        <v>76</v>
      </c>
      <c r="J4246" s="9">
        <v>65848000</v>
      </c>
      <c r="K4246" s="7">
        <v>6.1299999999999999E-5</v>
      </c>
      <c r="L4246" s="9">
        <v>4036.48</v>
      </c>
      <c r="M4246" s="9">
        <v>4049.65</v>
      </c>
      <c r="N4246" s="9">
        <v>2.2200000000000002</v>
      </c>
      <c r="O4246" s="10">
        <f>IF(AND(OR(H4246="APPROVED",H4246="SCHEDULED"),COUNTIFS(tblSource[EventID],F4246,tblSource[ReleaseStatus],"APPROVED")=1,COUNTIFS(Period_Status!$A$2:$A$8,G4246,Period_Status!$B$2:$B$8,"ActualClosed")=1,C4246&gt;EOMONTH(Settlement_Bridge!$C$2,0)),1,0)</f>
        <v>0</v>
      </c>
      <c r="P4246" s="2" t="s">
        <v>11469</v>
      </c>
    </row>
    <row r="4247" spans="1:16" x14ac:dyDescent="0.25">
      <c r="A4247" s="2" t="s">
        <v>11470</v>
      </c>
      <c r="B4247" s="2" t="s">
        <v>7433</v>
      </c>
      <c r="C4247" s="8">
        <v>46258</v>
      </c>
      <c r="D4247" s="6">
        <v>46235</v>
      </c>
      <c r="E4247" s="2" t="s">
        <v>260</v>
      </c>
      <c r="F4247" s="2" t="s">
        <v>11471</v>
      </c>
      <c r="G4247" s="6">
        <v>46235</v>
      </c>
      <c r="H4247" s="2" t="s">
        <v>71</v>
      </c>
      <c r="I4247" s="2" t="s">
        <v>70</v>
      </c>
      <c r="J4247" s="9">
        <v>4323.84</v>
      </c>
      <c r="K4247" s="7">
        <v>0.65</v>
      </c>
      <c r="L4247" s="9">
        <v>2810.5</v>
      </c>
      <c r="M4247" s="9">
        <v>2810.5</v>
      </c>
      <c r="N4247" s="9">
        <v>1.8</v>
      </c>
      <c r="O4247" s="10">
        <f>IF(AND(OR(H4247="APPROVED",H4247="SCHEDULED"),COUNTIFS(tblSource[EventID],F4247,tblSource[ReleaseStatus],"APPROVED")=1,COUNTIFS(Period_Status!$A$2:$A$8,G4247,Period_Status!$B$2:$B$8,"ActualClosed")=1,C4247&gt;EOMONTH(Settlement_Bridge!$C$2,0)),1,0)</f>
        <v>0</v>
      </c>
      <c r="P4247" s="2" t="s">
        <v>11472</v>
      </c>
    </row>
    <row r="4248" spans="1:16" x14ac:dyDescent="0.25">
      <c r="A4248" s="2" t="s">
        <v>11473</v>
      </c>
      <c r="B4248" s="2" t="s">
        <v>7433</v>
      </c>
      <c r="C4248" s="8">
        <v>46283</v>
      </c>
      <c r="D4248" s="6">
        <v>46266</v>
      </c>
      <c r="E4248" s="2" t="s">
        <v>260</v>
      </c>
      <c r="F4248" s="2" t="s">
        <v>11471</v>
      </c>
      <c r="G4248" s="6">
        <v>46235</v>
      </c>
      <c r="H4248" s="2" t="s">
        <v>176</v>
      </c>
      <c r="I4248" s="2" t="s">
        <v>70</v>
      </c>
      <c r="J4248" s="9">
        <v>6485.76</v>
      </c>
      <c r="K4248" s="7">
        <v>0.65100000000000002</v>
      </c>
      <c r="L4248" s="9">
        <v>4222.2299999999996</v>
      </c>
      <c r="M4248" s="9">
        <v>4215.74</v>
      </c>
      <c r="N4248" s="9">
        <v>2.3199999999999998</v>
      </c>
      <c r="O4248" s="10">
        <f>IF(AND(OR(H4248="APPROVED",H4248="SCHEDULED"),COUNTIFS(tblSource[EventID],F4248,tblSource[ReleaseStatus],"APPROVED")=1,COUNTIFS(Period_Status!$A$2:$A$8,G4248,Period_Status!$B$2:$B$8,"ActualClosed")=1,C4248&gt;EOMONTH(Settlement_Bridge!$C$2,0)),1,0)</f>
        <v>0</v>
      </c>
      <c r="P4248" s="2" t="s">
        <v>11474</v>
      </c>
    </row>
    <row r="4249" spans="1:16" x14ac:dyDescent="0.25">
      <c r="A4249" s="2" t="s">
        <v>11475</v>
      </c>
      <c r="B4249" s="2" t="s">
        <v>7433</v>
      </c>
      <c r="C4249" s="8">
        <v>46259</v>
      </c>
      <c r="D4249" s="6">
        <v>46235</v>
      </c>
      <c r="E4249" s="2" t="s">
        <v>260</v>
      </c>
      <c r="F4249" s="2" t="s">
        <v>11476</v>
      </c>
      <c r="G4249" s="6">
        <v>46235</v>
      </c>
      <c r="H4249" s="2" t="s">
        <v>71</v>
      </c>
      <c r="I4249" s="2" t="s">
        <v>39</v>
      </c>
      <c r="J4249" s="9">
        <v>2921.2240000000002</v>
      </c>
      <c r="K4249" s="7">
        <v>1</v>
      </c>
      <c r="L4249" s="9">
        <v>2921.22</v>
      </c>
      <c r="M4249" s="9">
        <v>2921.22</v>
      </c>
      <c r="N4249" s="9">
        <v>1.8</v>
      </c>
      <c r="O4249" s="10">
        <f>IF(AND(OR(H4249="APPROVED",H4249="SCHEDULED"),COUNTIFS(tblSource[EventID],F4249,tblSource[ReleaseStatus],"APPROVED")=1,COUNTIFS(Period_Status!$A$2:$A$8,G4249,Period_Status!$B$2:$B$8,"ActualClosed")=1,C4249&gt;EOMONTH(Settlement_Bridge!$C$2,0)),1,0)</f>
        <v>0</v>
      </c>
      <c r="P4249" s="2" t="s">
        <v>11477</v>
      </c>
    </row>
    <row r="4250" spans="1:16" x14ac:dyDescent="0.25">
      <c r="A4250" s="2" t="s">
        <v>11478</v>
      </c>
      <c r="B4250" s="2" t="s">
        <v>7433</v>
      </c>
      <c r="C4250" s="8">
        <v>46284</v>
      </c>
      <c r="D4250" s="6">
        <v>46266</v>
      </c>
      <c r="E4250" s="2" t="s">
        <v>260</v>
      </c>
      <c r="F4250" s="2" t="s">
        <v>11476</v>
      </c>
      <c r="G4250" s="6">
        <v>46235</v>
      </c>
      <c r="H4250" s="2" t="s">
        <v>176</v>
      </c>
      <c r="I4250" s="2" t="s">
        <v>39</v>
      </c>
      <c r="J4250" s="9">
        <v>4381.8360000000002</v>
      </c>
      <c r="K4250" s="7">
        <v>1</v>
      </c>
      <c r="L4250" s="9">
        <v>4381.84</v>
      </c>
      <c r="M4250" s="9">
        <v>4381.84</v>
      </c>
      <c r="N4250" s="9">
        <v>2.41</v>
      </c>
      <c r="O4250" s="10">
        <f>IF(AND(OR(H4250="APPROVED",H4250="SCHEDULED"),COUNTIFS(tblSource[EventID],F4250,tblSource[ReleaseStatus],"APPROVED")=1,COUNTIFS(Period_Status!$A$2:$A$8,G4250,Period_Status!$B$2:$B$8,"ActualClosed")=1,C4250&gt;EOMONTH(Settlement_Bridge!$C$2,0)),1,0)</f>
        <v>0</v>
      </c>
      <c r="P4250" s="2" t="s">
        <v>11479</v>
      </c>
    </row>
    <row r="4251" spans="1:16" x14ac:dyDescent="0.25">
      <c r="A4251" s="2" t="s">
        <v>11480</v>
      </c>
      <c r="B4251" s="2" t="s">
        <v>7433</v>
      </c>
      <c r="C4251" s="8">
        <v>46260</v>
      </c>
      <c r="D4251" s="6">
        <v>46235</v>
      </c>
      <c r="E4251" s="2" t="s">
        <v>260</v>
      </c>
      <c r="F4251" s="2" t="s">
        <v>11481</v>
      </c>
      <c r="G4251" s="6">
        <v>46235</v>
      </c>
      <c r="H4251" s="2" t="s">
        <v>71</v>
      </c>
      <c r="I4251" s="2" t="s">
        <v>76</v>
      </c>
      <c r="J4251" s="9">
        <v>49299967.479675002</v>
      </c>
      <c r="K4251" s="7">
        <v>6.1500000000000004E-5</v>
      </c>
      <c r="L4251" s="9">
        <v>3031.95</v>
      </c>
      <c r="M4251" s="9">
        <v>3031.95</v>
      </c>
      <c r="N4251" s="9">
        <v>1.8</v>
      </c>
      <c r="O4251" s="10">
        <f>IF(AND(OR(H4251="APPROVED",H4251="SCHEDULED"),COUNTIFS(tblSource[EventID],F4251,tblSource[ReleaseStatus],"APPROVED")=1,COUNTIFS(Period_Status!$A$2:$A$8,G4251,Period_Status!$B$2:$B$8,"ActualClosed")=1,C4251&gt;EOMONTH(Settlement_Bridge!$C$2,0)),1,0)</f>
        <v>0</v>
      </c>
      <c r="P4251" s="2" t="s">
        <v>11482</v>
      </c>
    </row>
    <row r="4252" spans="1:16" x14ac:dyDescent="0.25">
      <c r="A4252" s="2" t="s">
        <v>11483</v>
      </c>
      <c r="B4252" s="2" t="s">
        <v>7433</v>
      </c>
      <c r="C4252" s="8">
        <v>46285</v>
      </c>
      <c r="D4252" s="6">
        <v>46266</v>
      </c>
      <c r="E4252" s="2" t="s">
        <v>260</v>
      </c>
      <c r="F4252" s="2" t="s">
        <v>11481</v>
      </c>
      <c r="G4252" s="6">
        <v>46235</v>
      </c>
      <c r="H4252" s="2" t="s">
        <v>176</v>
      </c>
      <c r="I4252" s="2" t="s">
        <v>76</v>
      </c>
      <c r="J4252" s="9">
        <v>73949951.219512001</v>
      </c>
      <c r="K4252" s="7">
        <v>6.1299999999999999E-5</v>
      </c>
      <c r="L4252" s="9">
        <v>4533.13</v>
      </c>
      <c r="M4252" s="9">
        <v>4547.92</v>
      </c>
      <c r="N4252" s="9">
        <v>2.4900000000000002</v>
      </c>
      <c r="O4252" s="10">
        <f>IF(AND(OR(H4252="APPROVED",H4252="SCHEDULED"),COUNTIFS(tblSource[EventID],F4252,tblSource[ReleaseStatus],"APPROVED")=1,COUNTIFS(Period_Status!$A$2:$A$8,G4252,Period_Status!$B$2:$B$8,"ActualClosed")=1,C4252&gt;EOMONTH(Settlement_Bridge!$C$2,0)),1,0)</f>
        <v>0</v>
      </c>
      <c r="P4252" s="2" t="s">
        <v>11484</v>
      </c>
    </row>
    <row r="4253" spans="1:16" x14ac:dyDescent="0.25">
      <c r="A4253" s="2" t="s">
        <v>11485</v>
      </c>
      <c r="B4253" s="2" t="s">
        <v>7433</v>
      </c>
      <c r="C4253" s="8">
        <v>46261</v>
      </c>
      <c r="D4253" s="6">
        <v>46235</v>
      </c>
      <c r="E4253" s="2" t="s">
        <v>260</v>
      </c>
      <c r="F4253" s="2" t="s">
        <v>11486</v>
      </c>
      <c r="G4253" s="6">
        <v>46235</v>
      </c>
      <c r="H4253" s="2" t="s">
        <v>71</v>
      </c>
      <c r="I4253" s="2" t="s">
        <v>70</v>
      </c>
      <c r="J4253" s="9">
        <v>4834.8861539999998</v>
      </c>
      <c r="K4253" s="7">
        <v>0.65</v>
      </c>
      <c r="L4253" s="9">
        <v>3142.68</v>
      </c>
      <c r="M4253" s="9">
        <v>3142.68</v>
      </c>
      <c r="N4253" s="9">
        <v>1.8</v>
      </c>
      <c r="O4253" s="10">
        <f>IF(AND(OR(H4253="APPROVED",H4253="SCHEDULED"),COUNTIFS(tblSource[EventID],F4253,tblSource[ReleaseStatus],"APPROVED")=1,COUNTIFS(Period_Status!$A$2:$A$8,G4253,Period_Status!$B$2:$B$8,"ActualClosed")=1,C4253&gt;EOMONTH(Settlement_Bridge!$C$2,0)),1,0)</f>
        <v>0</v>
      </c>
      <c r="P4253" s="2" t="s">
        <v>11487</v>
      </c>
    </row>
    <row r="4254" spans="1:16" x14ac:dyDescent="0.25">
      <c r="A4254" s="2" t="s">
        <v>11488</v>
      </c>
      <c r="B4254" s="2" t="s">
        <v>7433</v>
      </c>
      <c r="C4254" s="8">
        <v>46286</v>
      </c>
      <c r="D4254" s="6">
        <v>46266</v>
      </c>
      <c r="E4254" s="2" t="s">
        <v>260</v>
      </c>
      <c r="F4254" s="2" t="s">
        <v>11486</v>
      </c>
      <c r="G4254" s="6">
        <v>46235</v>
      </c>
      <c r="H4254" s="2" t="s">
        <v>176</v>
      </c>
      <c r="I4254" s="2" t="s">
        <v>70</v>
      </c>
      <c r="J4254" s="9">
        <v>7252.3292309999997</v>
      </c>
      <c r="K4254" s="7">
        <v>0.65100000000000002</v>
      </c>
      <c r="L4254" s="9">
        <v>4721.2700000000004</v>
      </c>
      <c r="M4254" s="9">
        <v>4714.01</v>
      </c>
      <c r="N4254" s="9">
        <v>2.6</v>
      </c>
      <c r="O4254" s="10">
        <f>IF(AND(OR(H4254="APPROVED",H4254="SCHEDULED"),COUNTIFS(tblSource[EventID],F4254,tblSource[ReleaseStatus],"APPROVED")=1,COUNTIFS(Period_Status!$A$2:$A$8,G4254,Period_Status!$B$2:$B$8,"ActualClosed")=1,C4254&gt;EOMONTH(Settlement_Bridge!$C$2,0)),1,0)</f>
        <v>0</v>
      </c>
      <c r="P4254" s="2" t="s">
        <v>11489</v>
      </c>
    </row>
    <row r="4255" spans="1:16" x14ac:dyDescent="0.25">
      <c r="A4255" s="2" t="s">
        <v>11490</v>
      </c>
      <c r="B4255" s="2" t="s">
        <v>7433</v>
      </c>
      <c r="C4255" s="8">
        <v>46262</v>
      </c>
      <c r="D4255" s="6">
        <v>46235</v>
      </c>
      <c r="E4255" s="2" t="s">
        <v>260</v>
      </c>
      <c r="F4255" s="2" t="s">
        <v>11491</v>
      </c>
      <c r="G4255" s="6">
        <v>46235</v>
      </c>
      <c r="H4255" s="2" t="s">
        <v>71</v>
      </c>
      <c r="I4255" s="2" t="s">
        <v>39</v>
      </c>
      <c r="J4255" s="9">
        <v>-8133.5</v>
      </c>
      <c r="K4255" s="7">
        <v>1</v>
      </c>
      <c r="L4255" s="9">
        <v>-8133.5</v>
      </c>
      <c r="M4255" s="9">
        <v>-8133.5</v>
      </c>
      <c r="N4255" s="9">
        <v>0</v>
      </c>
      <c r="O4255" s="10">
        <f>IF(AND(OR(H4255="APPROVED",H4255="SCHEDULED"),COUNTIFS(tblSource[EventID],F4255,tblSource[ReleaseStatus],"APPROVED")=1,COUNTIFS(Period_Status!$A$2:$A$8,G4255,Period_Status!$B$2:$B$8,"ActualClosed")=1,C4255&gt;EOMONTH(Settlement_Bridge!$C$2,0)),1,0)</f>
        <v>0</v>
      </c>
      <c r="P4255" s="2" t="s">
        <v>11492</v>
      </c>
    </row>
    <row r="4256" spans="1:16" x14ac:dyDescent="0.25">
      <c r="A4256" s="2" t="s">
        <v>11493</v>
      </c>
      <c r="B4256" s="2" t="s">
        <v>7433</v>
      </c>
      <c r="C4256" s="8">
        <v>46263</v>
      </c>
      <c r="D4256" s="6">
        <v>46235</v>
      </c>
      <c r="E4256" s="2" t="s">
        <v>260</v>
      </c>
      <c r="F4256" s="2" t="s">
        <v>11494</v>
      </c>
      <c r="G4256" s="6">
        <v>46235</v>
      </c>
      <c r="H4256" s="2" t="s">
        <v>71</v>
      </c>
      <c r="I4256" s="2" t="s">
        <v>76</v>
      </c>
      <c r="J4256" s="9">
        <v>54701268.292682998</v>
      </c>
      <c r="K4256" s="7">
        <v>6.1500000000000004E-5</v>
      </c>
      <c r="L4256" s="9">
        <v>3364.13</v>
      </c>
      <c r="M4256" s="9">
        <v>3364.13</v>
      </c>
      <c r="N4256" s="9">
        <v>1.85</v>
      </c>
      <c r="O4256" s="10">
        <f>IF(AND(OR(H4256="APPROVED",H4256="SCHEDULED"),COUNTIFS(tblSource[EventID],F4256,tblSource[ReleaseStatus],"APPROVED")=1,COUNTIFS(Period_Status!$A$2:$A$8,G4256,Period_Status!$B$2:$B$8,"ActualClosed")=1,C4256&gt;EOMONTH(Settlement_Bridge!$C$2,0)),1,0)</f>
        <v>0</v>
      </c>
      <c r="P4256" s="2" t="s">
        <v>11495</v>
      </c>
    </row>
    <row r="4257" spans="1:16" x14ac:dyDescent="0.25">
      <c r="A4257" s="2" t="s">
        <v>11496</v>
      </c>
      <c r="B4257" s="2" t="s">
        <v>7433</v>
      </c>
      <c r="C4257" s="8">
        <v>46288</v>
      </c>
      <c r="D4257" s="6">
        <v>46266</v>
      </c>
      <c r="E4257" s="2" t="s">
        <v>260</v>
      </c>
      <c r="F4257" s="2" t="s">
        <v>11494</v>
      </c>
      <c r="G4257" s="6">
        <v>46235</v>
      </c>
      <c r="H4257" s="2" t="s">
        <v>176</v>
      </c>
      <c r="I4257" s="2" t="s">
        <v>76</v>
      </c>
      <c r="J4257" s="9">
        <v>82051902.439024001</v>
      </c>
      <c r="K4257" s="7">
        <v>6.1299999999999999E-5</v>
      </c>
      <c r="L4257" s="9">
        <v>5029.78</v>
      </c>
      <c r="M4257" s="9">
        <v>5046.1899999999996</v>
      </c>
      <c r="N4257" s="9">
        <v>2.77</v>
      </c>
      <c r="O4257" s="10">
        <f>IF(AND(OR(H4257="APPROVED",H4257="SCHEDULED"),COUNTIFS(tblSource[EventID],F4257,tblSource[ReleaseStatus],"APPROVED")=1,COUNTIFS(Period_Status!$A$2:$A$8,G4257,Period_Status!$B$2:$B$8,"ActualClosed")=1,C4257&gt;EOMONTH(Settlement_Bridge!$C$2,0)),1,0)</f>
        <v>0</v>
      </c>
      <c r="P4257" s="2" t="s">
        <v>11497</v>
      </c>
    </row>
    <row r="4258" spans="1:16" x14ac:dyDescent="0.25">
      <c r="A4258" s="2" t="s">
        <v>11498</v>
      </c>
      <c r="B4258" s="2" t="s">
        <v>7433</v>
      </c>
      <c r="C4258" s="8">
        <v>46264</v>
      </c>
      <c r="D4258" s="6">
        <v>46235</v>
      </c>
      <c r="E4258" s="2" t="s">
        <v>260</v>
      </c>
      <c r="F4258" s="2" t="s">
        <v>11499</v>
      </c>
      <c r="G4258" s="6">
        <v>46235</v>
      </c>
      <c r="H4258" s="2" t="s">
        <v>71</v>
      </c>
      <c r="I4258" s="2" t="s">
        <v>70</v>
      </c>
      <c r="J4258" s="9">
        <v>5345.9261539999998</v>
      </c>
      <c r="K4258" s="7">
        <v>0.65</v>
      </c>
      <c r="L4258" s="9">
        <v>3474.85</v>
      </c>
      <c r="M4258" s="9">
        <v>3474.85</v>
      </c>
      <c r="N4258" s="9">
        <v>1.91</v>
      </c>
      <c r="O4258" s="10">
        <f>IF(AND(OR(H4258="APPROVED",H4258="SCHEDULED"),COUNTIFS(tblSource[EventID],F4258,tblSource[ReleaseStatus],"APPROVED")=1,COUNTIFS(Period_Status!$A$2:$A$8,G4258,Period_Status!$B$2:$B$8,"ActualClosed")=1,C4258&gt;EOMONTH(Settlement_Bridge!$C$2,0)),1,0)</f>
        <v>0</v>
      </c>
      <c r="P4258" s="2" t="s">
        <v>11500</v>
      </c>
    </row>
    <row r="4259" spans="1:16" x14ac:dyDescent="0.25">
      <c r="A4259" s="2" t="s">
        <v>11501</v>
      </c>
      <c r="B4259" s="2" t="s">
        <v>7433</v>
      </c>
      <c r="C4259" s="8">
        <v>46289</v>
      </c>
      <c r="D4259" s="6">
        <v>46266</v>
      </c>
      <c r="E4259" s="2" t="s">
        <v>260</v>
      </c>
      <c r="F4259" s="2" t="s">
        <v>11499</v>
      </c>
      <c r="G4259" s="6">
        <v>46235</v>
      </c>
      <c r="H4259" s="2" t="s">
        <v>176</v>
      </c>
      <c r="I4259" s="2" t="s">
        <v>70</v>
      </c>
      <c r="J4259" s="9">
        <v>8018.8892310000001</v>
      </c>
      <c r="K4259" s="7">
        <v>0.65100000000000002</v>
      </c>
      <c r="L4259" s="9">
        <v>5220.3</v>
      </c>
      <c r="M4259" s="9">
        <v>5212.28</v>
      </c>
      <c r="N4259" s="9">
        <v>2.87</v>
      </c>
      <c r="O4259" s="10">
        <f>IF(AND(OR(H4259="APPROVED",H4259="SCHEDULED"),COUNTIFS(tblSource[EventID],F4259,tblSource[ReleaseStatus],"APPROVED")=1,COUNTIFS(Period_Status!$A$2:$A$8,G4259,Period_Status!$B$2:$B$8,"ActualClosed")=1,C4259&gt;EOMONTH(Settlement_Bridge!$C$2,0)),1,0)</f>
        <v>0</v>
      </c>
      <c r="P4259" s="2" t="s">
        <v>11502</v>
      </c>
    </row>
    <row r="4260" spans="1:16" x14ac:dyDescent="0.25">
      <c r="A4260" s="2" t="s">
        <v>11503</v>
      </c>
      <c r="B4260" s="2" t="s">
        <v>7433</v>
      </c>
      <c r="C4260" s="8">
        <v>46265</v>
      </c>
      <c r="D4260" s="6">
        <v>46235</v>
      </c>
      <c r="E4260" s="2" t="s">
        <v>260</v>
      </c>
      <c r="F4260" s="2" t="s">
        <v>11504</v>
      </c>
      <c r="G4260" s="6">
        <v>46235</v>
      </c>
      <c r="H4260" s="2" t="s">
        <v>71</v>
      </c>
      <c r="I4260" s="2" t="s">
        <v>39</v>
      </c>
      <c r="J4260" s="9">
        <v>3585.58</v>
      </c>
      <c r="K4260" s="7">
        <v>1</v>
      </c>
      <c r="L4260" s="9">
        <v>3585.58</v>
      </c>
      <c r="M4260" s="9">
        <v>3585.58</v>
      </c>
      <c r="N4260" s="9">
        <v>1.97</v>
      </c>
      <c r="O4260" s="10">
        <f>IF(AND(OR(H4260="APPROVED",H4260="SCHEDULED"),COUNTIFS(tblSource[EventID],F4260,tblSource[ReleaseStatus],"APPROVED")=1,COUNTIFS(Period_Status!$A$2:$A$8,G4260,Period_Status!$B$2:$B$8,"ActualClosed")=1,C4260&gt;EOMONTH(Settlement_Bridge!$C$2,0)),1,0)</f>
        <v>0</v>
      </c>
      <c r="P4260" s="2" t="s">
        <v>11505</v>
      </c>
    </row>
    <row r="4261" spans="1:16" x14ac:dyDescent="0.25">
      <c r="A4261" s="2" t="s">
        <v>11506</v>
      </c>
      <c r="B4261" s="2" t="s">
        <v>7433</v>
      </c>
      <c r="C4261" s="8">
        <v>46290</v>
      </c>
      <c r="D4261" s="6">
        <v>46266</v>
      </c>
      <c r="E4261" s="2" t="s">
        <v>260</v>
      </c>
      <c r="F4261" s="2" t="s">
        <v>11504</v>
      </c>
      <c r="G4261" s="6">
        <v>46235</v>
      </c>
      <c r="H4261" s="2" t="s">
        <v>176</v>
      </c>
      <c r="I4261" s="2" t="s">
        <v>39</v>
      </c>
      <c r="J4261" s="9">
        <v>5378.37</v>
      </c>
      <c r="K4261" s="7">
        <v>1</v>
      </c>
      <c r="L4261" s="9">
        <v>5378.37</v>
      </c>
      <c r="M4261" s="9">
        <v>5378.37</v>
      </c>
      <c r="N4261" s="9">
        <v>2.96</v>
      </c>
      <c r="O4261" s="10">
        <f>IF(AND(OR(H4261="APPROVED",H4261="SCHEDULED"),COUNTIFS(tblSource[EventID],F4261,tblSource[ReleaseStatus],"APPROVED")=1,COUNTIFS(Period_Status!$A$2:$A$8,G4261,Period_Status!$B$2:$B$8,"ActualClosed")=1,C4261&gt;EOMONTH(Settlement_Bridge!$C$2,0)),1,0)</f>
        <v>0</v>
      </c>
      <c r="P4261" s="2" t="s">
        <v>11507</v>
      </c>
    </row>
    <row r="4262" spans="1:16" x14ac:dyDescent="0.25">
      <c r="A4262" s="2" t="s">
        <v>11508</v>
      </c>
      <c r="B4262" s="2" t="s">
        <v>7433</v>
      </c>
      <c r="C4262" s="8">
        <v>46266</v>
      </c>
      <c r="D4262" s="6">
        <v>46266</v>
      </c>
      <c r="E4262" s="2" t="s">
        <v>260</v>
      </c>
      <c r="F4262" s="2" t="s">
        <v>11509</v>
      </c>
      <c r="G4262" s="6">
        <v>46235</v>
      </c>
      <c r="H4262" s="2" t="s">
        <v>176</v>
      </c>
      <c r="I4262" s="2" t="s">
        <v>76</v>
      </c>
      <c r="J4262" s="9">
        <v>60102569.105691001</v>
      </c>
      <c r="K4262" s="7">
        <v>6.1299999999999999E-5</v>
      </c>
      <c r="L4262" s="9">
        <v>3684.29</v>
      </c>
      <c r="M4262" s="9">
        <v>3696.31</v>
      </c>
      <c r="N4262" s="9">
        <v>2.0299999999999998</v>
      </c>
      <c r="O4262" s="10">
        <f>IF(AND(OR(H4262="APPROVED",H4262="SCHEDULED"),COUNTIFS(tblSource[EventID],F4262,tblSource[ReleaseStatus],"APPROVED")=1,COUNTIFS(Period_Status!$A$2:$A$8,G4262,Period_Status!$B$2:$B$8,"ActualClosed")=1,C4262&gt;EOMONTH(Settlement_Bridge!$C$2,0)),1,0)</f>
        <v>0</v>
      </c>
      <c r="P4262" s="2" t="s">
        <v>11510</v>
      </c>
    </row>
    <row r="4263" spans="1:16" x14ac:dyDescent="0.25">
      <c r="A4263" s="2" t="s">
        <v>11511</v>
      </c>
      <c r="B4263" s="2" t="s">
        <v>7433</v>
      </c>
      <c r="C4263" s="8">
        <v>46291</v>
      </c>
      <c r="D4263" s="6">
        <v>46266</v>
      </c>
      <c r="E4263" s="2" t="s">
        <v>260</v>
      </c>
      <c r="F4263" s="2" t="s">
        <v>11509</v>
      </c>
      <c r="G4263" s="6">
        <v>46235</v>
      </c>
      <c r="H4263" s="2" t="s">
        <v>176</v>
      </c>
      <c r="I4263" s="2" t="s">
        <v>76</v>
      </c>
      <c r="J4263" s="9">
        <v>90153853.658537</v>
      </c>
      <c r="K4263" s="7">
        <v>6.1299999999999999E-5</v>
      </c>
      <c r="L4263" s="9">
        <v>5526.43</v>
      </c>
      <c r="M4263" s="9">
        <v>5544.46</v>
      </c>
      <c r="N4263" s="9">
        <v>3.04</v>
      </c>
      <c r="O4263" s="10">
        <f>IF(AND(OR(H4263="APPROVED",H4263="SCHEDULED"),COUNTIFS(tblSource[EventID],F4263,tblSource[ReleaseStatus],"APPROVED")=1,COUNTIFS(Period_Status!$A$2:$A$8,G4263,Period_Status!$B$2:$B$8,"ActualClosed")=1,C4263&gt;EOMONTH(Settlement_Bridge!$C$2,0)),1,0)</f>
        <v>0</v>
      </c>
      <c r="P4263" s="2" t="s">
        <v>11512</v>
      </c>
    </row>
    <row r="4264" spans="1:16" x14ac:dyDescent="0.25">
      <c r="A4264" s="2" t="s">
        <v>11513</v>
      </c>
      <c r="B4264" s="2" t="s">
        <v>7433</v>
      </c>
      <c r="C4264" s="8">
        <v>46267</v>
      </c>
      <c r="D4264" s="6">
        <v>46266</v>
      </c>
      <c r="E4264" s="2" t="s">
        <v>260</v>
      </c>
      <c r="F4264" s="2" t="s">
        <v>11514</v>
      </c>
      <c r="G4264" s="6">
        <v>46235</v>
      </c>
      <c r="H4264" s="2" t="s">
        <v>176</v>
      </c>
      <c r="I4264" s="2" t="s">
        <v>70</v>
      </c>
      <c r="J4264" s="9">
        <v>5856.978462</v>
      </c>
      <c r="K4264" s="7">
        <v>0.65100000000000002</v>
      </c>
      <c r="L4264" s="9">
        <v>3812.89</v>
      </c>
      <c r="M4264" s="9">
        <v>3807.04</v>
      </c>
      <c r="N4264" s="9">
        <v>2.1</v>
      </c>
      <c r="O4264" s="10">
        <f>IF(AND(OR(H4264="APPROVED",H4264="SCHEDULED"),COUNTIFS(tblSource[EventID],F4264,tblSource[ReleaseStatus],"APPROVED")=1,COUNTIFS(Period_Status!$A$2:$A$8,G4264,Period_Status!$B$2:$B$8,"ActualClosed")=1,C4264&gt;EOMONTH(Settlement_Bridge!$C$2,0)),1,0)</f>
        <v>0</v>
      </c>
      <c r="P4264" s="2" t="s">
        <v>11515</v>
      </c>
    </row>
    <row r="4265" spans="1:16" x14ac:dyDescent="0.25">
      <c r="A4265" s="2" t="s">
        <v>11516</v>
      </c>
      <c r="B4265" s="2" t="s">
        <v>7433</v>
      </c>
      <c r="C4265" s="8">
        <v>46292</v>
      </c>
      <c r="D4265" s="6">
        <v>46266</v>
      </c>
      <c r="E4265" s="2" t="s">
        <v>260</v>
      </c>
      <c r="F4265" s="2" t="s">
        <v>11514</v>
      </c>
      <c r="G4265" s="6">
        <v>46235</v>
      </c>
      <c r="H4265" s="2" t="s">
        <v>176</v>
      </c>
      <c r="I4265" s="2" t="s">
        <v>70</v>
      </c>
      <c r="J4265" s="9">
        <v>8785.4676920000002</v>
      </c>
      <c r="K4265" s="7">
        <v>0.65100000000000002</v>
      </c>
      <c r="L4265" s="9">
        <v>5719.34</v>
      </c>
      <c r="M4265" s="9">
        <v>5710.55</v>
      </c>
      <c r="N4265" s="9">
        <v>3.15</v>
      </c>
      <c r="O4265" s="10">
        <f>IF(AND(OR(H4265="APPROVED",H4265="SCHEDULED"),COUNTIFS(tblSource[EventID],F4265,tblSource[ReleaseStatus],"APPROVED")=1,COUNTIFS(Period_Status!$A$2:$A$8,G4265,Period_Status!$B$2:$B$8,"ActualClosed")=1,C4265&gt;EOMONTH(Settlement_Bridge!$C$2,0)),1,0)</f>
        <v>0</v>
      </c>
      <c r="P4265" s="2" t="s">
        <v>11517</v>
      </c>
    </row>
    <row r="4266" spans="1:16" x14ac:dyDescent="0.25">
      <c r="A4266" s="2" t="s">
        <v>11518</v>
      </c>
      <c r="B4266" s="2" t="s">
        <v>7433</v>
      </c>
      <c r="C4266" s="8">
        <v>46268</v>
      </c>
      <c r="D4266" s="6">
        <v>46266</v>
      </c>
      <c r="E4266" s="2" t="s">
        <v>260</v>
      </c>
      <c r="F4266" s="2" t="s">
        <v>11519</v>
      </c>
      <c r="G4266" s="6">
        <v>46235</v>
      </c>
      <c r="H4266" s="2" t="s">
        <v>176</v>
      </c>
      <c r="I4266" s="2" t="s">
        <v>39</v>
      </c>
      <c r="J4266" s="9">
        <v>3917.76</v>
      </c>
      <c r="K4266" s="7">
        <v>1</v>
      </c>
      <c r="L4266" s="9">
        <v>3917.76</v>
      </c>
      <c r="M4266" s="9">
        <v>3917.76</v>
      </c>
      <c r="N4266" s="9">
        <v>2.15</v>
      </c>
      <c r="O4266" s="10">
        <f>IF(AND(OR(H4266="APPROVED",H4266="SCHEDULED"),COUNTIFS(tblSource[EventID],F4266,tblSource[ReleaseStatus],"APPROVED")=1,COUNTIFS(Period_Status!$A$2:$A$8,G4266,Period_Status!$B$2:$B$8,"ActualClosed")=1,C4266&gt;EOMONTH(Settlement_Bridge!$C$2,0)),1,0)</f>
        <v>0</v>
      </c>
      <c r="P4266" s="2" t="s">
        <v>11520</v>
      </c>
    </row>
    <row r="4267" spans="1:16" x14ac:dyDescent="0.25">
      <c r="A4267" s="2" t="s">
        <v>11521</v>
      </c>
      <c r="B4267" s="2" t="s">
        <v>7433</v>
      </c>
      <c r="C4267" s="8">
        <v>46293</v>
      </c>
      <c r="D4267" s="6">
        <v>46266</v>
      </c>
      <c r="E4267" s="2" t="s">
        <v>260</v>
      </c>
      <c r="F4267" s="2" t="s">
        <v>11519</v>
      </c>
      <c r="G4267" s="6">
        <v>46235</v>
      </c>
      <c r="H4267" s="2" t="s">
        <v>176</v>
      </c>
      <c r="I4267" s="2" t="s">
        <v>39</v>
      </c>
      <c r="J4267" s="9">
        <v>5876.64</v>
      </c>
      <c r="K4267" s="7">
        <v>1</v>
      </c>
      <c r="L4267" s="9">
        <v>5876.64</v>
      </c>
      <c r="M4267" s="9">
        <v>5876.64</v>
      </c>
      <c r="N4267" s="9">
        <v>3.23</v>
      </c>
      <c r="O4267" s="10">
        <f>IF(AND(OR(H4267="APPROVED",H4267="SCHEDULED"),COUNTIFS(tblSource[EventID],F4267,tblSource[ReleaseStatus],"APPROVED")=1,COUNTIFS(Period_Status!$A$2:$A$8,G4267,Period_Status!$B$2:$B$8,"ActualClosed")=1,C4267&gt;EOMONTH(Settlement_Bridge!$C$2,0)),1,0)</f>
        <v>0</v>
      </c>
      <c r="P4267" s="2" t="s">
        <v>11522</v>
      </c>
    </row>
    <row r="4268" spans="1:16" x14ac:dyDescent="0.25">
      <c r="A4268" s="2" t="s">
        <v>11523</v>
      </c>
      <c r="B4268" s="2" t="s">
        <v>7433</v>
      </c>
      <c r="C4268" s="8">
        <v>46269</v>
      </c>
      <c r="D4268" s="6">
        <v>46266</v>
      </c>
      <c r="E4268" s="2" t="s">
        <v>260</v>
      </c>
      <c r="F4268" s="2" t="s">
        <v>11524</v>
      </c>
      <c r="G4268" s="6">
        <v>46235</v>
      </c>
      <c r="H4268" s="2" t="s">
        <v>176</v>
      </c>
      <c r="I4268" s="2" t="s">
        <v>76</v>
      </c>
      <c r="J4268" s="9">
        <v>65503869.918698996</v>
      </c>
      <c r="K4268" s="7">
        <v>6.1299999999999999E-5</v>
      </c>
      <c r="L4268" s="9">
        <v>4015.39</v>
      </c>
      <c r="M4268" s="9">
        <v>4028.49</v>
      </c>
      <c r="N4268" s="9">
        <v>2.21</v>
      </c>
      <c r="O4268" s="10">
        <f>IF(AND(OR(H4268="APPROVED",H4268="SCHEDULED"),COUNTIFS(tblSource[EventID],F4268,tblSource[ReleaseStatus],"APPROVED")=1,COUNTIFS(Period_Status!$A$2:$A$8,G4268,Period_Status!$B$2:$B$8,"ActualClosed")=1,C4268&gt;EOMONTH(Settlement_Bridge!$C$2,0)),1,0)</f>
        <v>0</v>
      </c>
      <c r="P4268" s="2" t="s">
        <v>11525</v>
      </c>
    </row>
    <row r="4269" spans="1:16" x14ac:dyDescent="0.25">
      <c r="A4269" s="2" t="s">
        <v>11526</v>
      </c>
      <c r="B4269" s="2" t="s">
        <v>7433</v>
      </c>
      <c r="C4269" s="8">
        <v>46294</v>
      </c>
      <c r="D4269" s="6">
        <v>46266</v>
      </c>
      <c r="E4269" s="2" t="s">
        <v>260</v>
      </c>
      <c r="F4269" s="2" t="s">
        <v>11524</v>
      </c>
      <c r="G4269" s="6">
        <v>46235</v>
      </c>
      <c r="H4269" s="2" t="s">
        <v>176</v>
      </c>
      <c r="I4269" s="2" t="s">
        <v>76</v>
      </c>
      <c r="J4269" s="9">
        <v>98255804.878049001</v>
      </c>
      <c r="K4269" s="7">
        <v>6.1299999999999999E-5</v>
      </c>
      <c r="L4269" s="9">
        <v>6023.08</v>
      </c>
      <c r="M4269" s="9">
        <v>6042.73</v>
      </c>
      <c r="N4269" s="9">
        <v>3.31</v>
      </c>
      <c r="O4269" s="10">
        <f>IF(AND(OR(H4269="APPROVED",H4269="SCHEDULED"),COUNTIFS(tblSource[EventID],F4269,tblSource[ReleaseStatus],"APPROVED")=1,COUNTIFS(Period_Status!$A$2:$A$8,G4269,Period_Status!$B$2:$B$8,"ActualClosed")=1,C4269&gt;EOMONTH(Settlement_Bridge!$C$2,0)),1,0)</f>
        <v>0</v>
      </c>
      <c r="P4269" s="2" t="s">
        <v>11527</v>
      </c>
    </row>
    <row r="4270" spans="1:16" x14ac:dyDescent="0.25">
      <c r="A4270" s="2" t="s">
        <v>11528</v>
      </c>
      <c r="B4270" s="2" t="s">
        <v>7433</v>
      </c>
      <c r="C4270" s="8">
        <v>46270</v>
      </c>
      <c r="D4270" s="6">
        <v>46266</v>
      </c>
      <c r="E4270" s="2" t="s">
        <v>260</v>
      </c>
      <c r="F4270" s="2" t="s">
        <v>11529</v>
      </c>
      <c r="G4270" s="6">
        <v>46235</v>
      </c>
      <c r="H4270" s="2" t="s">
        <v>176</v>
      </c>
      <c r="I4270" s="2" t="s">
        <v>70</v>
      </c>
      <c r="J4270" s="9">
        <v>6368.018462</v>
      </c>
      <c r="K4270" s="7">
        <v>0.65100000000000002</v>
      </c>
      <c r="L4270" s="9">
        <v>4145.58</v>
      </c>
      <c r="M4270" s="9">
        <v>4139.21</v>
      </c>
      <c r="N4270" s="9">
        <v>2.2799999999999998</v>
      </c>
      <c r="O4270" s="10">
        <f>IF(AND(OR(H4270="APPROVED",H4270="SCHEDULED"),COUNTIFS(tblSource[EventID],F4270,tblSource[ReleaseStatus],"APPROVED")=1,COUNTIFS(Period_Status!$A$2:$A$8,G4270,Period_Status!$B$2:$B$8,"ActualClosed")=1,C4270&gt;EOMONTH(Settlement_Bridge!$C$2,0)),1,0)</f>
        <v>0</v>
      </c>
      <c r="P4270" s="2" t="s">
        <v>11530</v>
      </c>
    </row>
    <row r="4271" spans="1:16" x14ac:dyDescent="0.25">
      <c r="A4271" s="2" t="s">
        <v>11531</v>
      </c>
      <c r="B4271" s="2" t="s">
        <v>7433</v>
      </c>
      <c r="C4271" s="8">
        <v>46295</v>
      </c>
      <c r="D4271" s="6">
        <v>46266</v>
      </c>
      <c r="E4271" s="2" t="s">
        <v>260</v>
      </c>
      <c r="F4271" s="2" t="s">
        <v>11529</v>
      </c>
      <c r="G4271" s="6">
        <v>46235</v>
      </c>
      <c r="H4271" s="2" t="s">
        <v>176</v>
      </c>
      <c r="I4271" s="2" t="s">
        <v>70</v>
      </c>
      <c r="J4271" s="9">
        <v>9552.0276919999997</v>
      </c>
      <c r="K4271" s="7">
        <v>0.65100000000000002</v>
      </c>
      <c r="L4271" s="9">
        <v>6218.37</v>
      </c>
      <c r="M4271" s="9">
        <v>6208.82</v>
      </c>
      <c r="N4271" s="9">
        <v>3.42</v>
      </c>
      <c r="O4271" s="10">
        <f>IF(AND(OR(H4271="APPROVED",H4271="SCHEDULED"),COUNTIFS(tblSource[EventID],F4271,tblSource[ReleaseStatus],"APPROVED")=1,COUNTIFS(Period_Status!$A$2:$A$8,G4271,Period_Status!$B$2:$B$8,"ActualClosed")=1,C4271&gt;EOMONTH(Settlement_Bridge!$C$2,0)),1,0)</f>
        <v>0</v>
      </c>
      <c r="P4271" s="2" t="s">
        <v>11532</v>
      </c>
    </row>
    <row r="4272" spans="1:16" x14ac:dyDescent="0.25">
      <c r="A4272" s="2" t="s">
        <v>11533</v>
      </c>
      <c r="B4272" s="2" t="s">
        <v>7433</v>
      </c>
      <c r="C4272" s="8">
        <v>46271</v>
      </c>
      <c r="D4272" s="6">
        <v>46266</v>
      </c>
      <c r="E4272" s="2" t="s">
        <v>260</v>
      </c>
      <c r="F4272" s="2" t="s">
        <v>11534</v>
      </c>
      <c r="G4272" s="6">
        <v>46235</v>
      </c>
      <c r="H4272" s="2" t="s">
        <v>176</v>
      </c>
      <c r="I4272" s="2" t="s">
        <v>39</v>
      </c>
      <c r="J4272" s="9">
        <v>4249.9399999999996</v>
      </c>
      <c r="K4272" s="7">
        <v>1</v>
      </c>
      <c r="L4272" s="9">
        <v>4249.9399999999996</v>
      </c>
      <c r="M4272" s="9">
        <v>4249.9399999999996</v>
      </c>
      <c r="N4272" s="9">
        <v>2.34</v>
      </c>
      <c r="O4272" s="10">
        <f>IF(AND(OR(H4272="APPROVED",H4272="SCHEDULED"),COUNTIFS(tblSource[EventID],F4272,tblSource[ReleaseStatus],"APPROVED")=1,COUNTIFS(Period_Status!$A$2:$A$8,G4272,Period_Status!$B$2:$B$8,"ActualClosed")=1,C4272&gt;EOMONTH(Settlement_Bridge!$C$2,0)),1,0)</f>
        <v>0</v>
      </c>
      <c r="P4272" s="2" t="s">
        <v>11535</v>
      </c>
    </row>
    <row r="4273" spans="1:16" x14ac:dyDescent="0.25">
      <c r="A4273" s="2" t="s">
        <v>11536</v>
      </c>
      <c r="B4273" s="2" t="s">
        <v>7433</v>
      </c>
      <c r="C4273" s="8">
        <v>46296</v>
      </c>
      <c r="D4273" s="6">
        <v>46296</v>
      </c>
      <c r="E4273" s="2" t="s">
        <v>260</v>
      </c>
      <c r="F4273" s="2" t="s">
        <v>11534</v>
      </c>
      <c r="G4273" s="6">
        <v>46235</v>
      </c>
      <c r="H4273" s="2" t="s">
        <v>176</v>
      </c>
      <c r="I4273" s="2" t="s">
        <v>39</v>
      </c>
      <c r="J4273" s="9">
        <v>6374.91</v>
      </c>
      <c r="K4273" s="7">
        <v>1</v>
      </c>
      <c r="L4273" s="9">
        <v>6374.91</v>
      </c>
      <c r="M4273" s="9">
        <v>6374.91</v>
      </c>
      <c r="N4273" s="9">
        <v>3.51</v>
      </c>
      <c r="O4273" s="10">
        <f>IF(AND(OR(H4273="APPROVED",H4273="SCHEDULED"),COUNTIFS(tblSource[EventID],F4273,tblSource[ReleaseStatus],"APPROVED")=1,COUNTIFS(Period_Status!$A$2:$A$8,G4273,Period_Status!$B$2:$B$8,"ActualClosed")=1,C4273&gt;EOMONTH(Settlement_Bridge!$C$2,0)),1,0)</f>
        <v>0</v>
      </c>
      <c r="P4273" s="2" t="s">
        <v>11537</v>
      </c>
    </row>
    <row r="4274" spans="1:16" x14ac:dyDescent="0.25">
      <c r="A4274" s="2" t="s">
        <v>11538</v>
      </c>
      <c r="B4274" s="2" t="s">
        <v>7433</v>
      </c>
      <c r="C4274" s="8">
        <v>46272</v>
      </c>
      <c r="D4274" s="6">
        <v>46266</v>
      </c>
      <c r="E4274" s="2" t="s">
        <v>260</v>
      </c>
      <c r="F4274" s="2" t="s">
        <v>11539</v>
      </c>
      <c r="G4274" s="6">
        <v>46235</v>
      </c>
      <c r="H4274" s="2" t="s">
        <v>176</v>
      </c>
      <c r="I4274" s="2" t="s">
        <v>76</v>
      </c>
      <c r="J4274" s="9">
        <v>70905105.691056997</v>
      </c>
      <c r="K4274" s="7">
        <v>6.1299999999999999E-5</v>
      </c>
      <c r="L4274" s="9">
        <v>4346.4799999999996</v>
      </c>
      <c r="M4274" s="9">
        <v>4360.66</v>
      </c>
      <c r="N4274" s="9">
        <v>2.39</v>
      </c>
      <c r="O4274" s="10">
        <f>IF(AND(OR(H4274="APPROVED",H4274="SCHEDULED"),COUNTIFS(tblSource[EventID],F4274,tblSource[ReleaseStatus],"APPROVED")=1,COUNTIFS(Period_Status!$A$2:$A$8,G4274,Period_Status!$B$2:$B$8,"ActualClosed")=1,C4274&gt;EOMONTH(Settlement_Bridge!$C$2,0)),1,0)</f>
        <v>0</v>
      </c>
      <c r="P4274" s="2" t="s">
        <v>11540</v>
      </c>
    </row>
    <row r="4275" spans="1:16" x14ac:dyDescent="0.25">
      <c r="A4275" s="2" t="s">
        <v>11541</v>
      </c>
      <c r="B4275" s="2" t="s">
        <v>7433</v>
      </c>
      <c r="C4275" s="8">
        <v>46297</v>
      </c>
      <c r="D4275" s="6">
        <v>46296</v>
      </c>
      <c r="E4275" s="2" t="s">
        <v>260</v>
      </c>
      <c r="F4275" s="2" t="s">
        <v>11539</v>
      </c>
      <c r="G4275" s="6">
        <v>46235</v>
      </c>
      <c r="H4275" s="2" t="s">
        <v>176</v>
      </c>
      <c r="I4275" s="2" t="s">
        <v>76</v>
      </c>
      <c r="J4275" s="9">
        <v>106357658.536585</v>
      </c>
      <c r="K4275" s="7">
        <v>6.1099999999999994E-5</v>
      </c>
      <c r="L4275" s="9">
        <v>6498.45</v>
      </c>
      <c r="M4275" s="9">
        <v>6541</v>
      </c>
      <c r="N4275" s="9">
        <v>3.57</v>
      </c>
      <c r="O4275" s="10">
        <f>IF(AND(OR(H4275="APPROVED",H4275="SCHEDULED"),COUNTIFS(tblSource[EventID],F4275,tblSource[ReleaseStatus],"APPROVED")=1,COUNTIFS(Period_Status!$A$2:$A$8,G4275,Period_Status!$B$2:$B$8,"ActualClosed")=1,C4275&gt;EOMONTH(Settlement_Bridge!$C$2,0)),1,0)</f>
        <v>0</v>
      </c>
      <c r="P4275" s="2" t="s">
        <v>11542</v>
      </c>
    </row>
    <row r="4276" spans="1:16" x14ac:dyDescent="0.25">
      <c r="A4276" s="2" t="s">
        <v>11543</v>
      </c>
      <c r="B4276" s="2" t="s">
        <v>7433</v>
      </c>
      <c r="C4276" s="8">
        <v>46273</v>
      </c>
      <c r="D4276" s="6">
        <v>46266</v>
      </c>
      <c r="E4276" s="2" t="s">
        <v>260</v>
      </c>
      <c r="F4276" s="2" t="s">
        <v>11544</v>
      </c>
      <c r="G4276" s="6">
        <v>46235</v>
      </c>
      <c r="H4276" s="2" t="s">
        <v>176</v>
      </c>
      <c r="I4276" s="2" t="s">
        <v>70</v>
      </c>
      <c r="J4276" s="9">
        <v>6879.0646150000002</v>
      </c>
      <c r="K4276" s="7">
        <v>0.65100000000000002</v>
      </c>
      <c r="L4276" s="9">
        <v>4478.2700000000004</v>
      </c>
      <c r="M4276" s="9">
        <v>4471.3900000000003</v>
      </c>
      <c r="N4276" s="9">
        <v>2.46</v>
      </c>
      <c r="O4276" s="10">
        <f>IF(AND(OR(H4276="APPROVED",H4276="SCHEDULED"),COUNTIFS(tblSource[EventID],F4276,tblSource[ReleaseStatus],"APPROVED")=1,COUNTIFS(Period_Status!$A$2:$A$8,G4276,Period_Status!$B$2:$B$8,"ActualClosed")=1,C4276&gt;EOMONTH(Settlement_Bridge!$C$2,0)),1,0)</f>
        <v>0</v>
      </c>
      <c r="P4276" s="2" t="s">
        <v>11545</v>
      </c>
    </row>
    <row r="4277" spans="1:16" x14ac:dyDescent="0.25">
      <c r="A4277" s="2" t="s">
        <v>11546</v>
      </c>
      <c r="B4277" s="2" t="s">
        <v>7433</v>
      </c>
      <c r="C4277" s="8">
        <v>46298</v>
      </c>
      <c r="D4277" s="6">
        <v>46296</v>
      </c>
      <c r="E4277" s="2" t="s">
        <v>260</v>
      </c>
      <c r="F4277" s="2" t="s">
        <v>11544</v>
      </c>
      <c r="G4277" s="6">
        <v>46235</v>
      </c>
      <c r="H4277" s="2" t="s">
        <v>176</v>
      </c>
      <c r="I4277" s="2" t="s">
        <v>70</v>
      </c>
      <c r="J4277" s="9">
        <v>10318.596922999999</v>
      </c>
      <c r="K4277" s="7">
        <v>0.65500000000000003</v>
      </c>
      <c r="L4277" s="9">
        <v>6758.68</v>
      </c>
      <c r="M4277" s="9">
        <v>6707.09</v>
      </c>
      <c r="N4277" s="9">
        <v>3.72</v>
      </c>
      <c r="O4277" s="10">
        <f>IF(AND(OR(H4277="APPROVED",H4277="SCHEDULED"),COUNTIFS(tblSource[EventID],F4277,tblSource[ReleaseStatus],"APPROVED")=1,COUNTIFS(Period_Status!$A$2:$A$8,G4277,Period_Status!$B$2:$B$8,"ActualClosed")=1,C4277&gt;EOMONTH(Settlement_Bridge!$C$2,0)),1,0)</f>
        <v>0</v>
      </c>
      <c r="P4277" s="2" t="s">
        <v>11547</v>
      </c>
    </row>
    <row r="4278" spans="1:16" x14ac:dyDescent="0.25">
      <c r="A4278" s="2" t="s">
        <v>11548</v>
      </c>
      <c r="B4278" s="2" t="s">
        <v>7433</v>
      </c>
      <c r="C4278" s="8">
        <v>46274</v>
      </c>
      <c r="D4278" s="6">
        <v>46266</v>
      </c>
      <c r="E4278" s="2" t="s">
        <v>260</v>
      </c>
      <c r="F4278" s="2" t="s">
        <v>11549</v>
      </c>
      <c r="G4278" s="6">
        <v>46235</v>
      </c>
      <c r="H4278" s="2" t="s">
        <v>176</v>
      </c>
      <c r="I4278" s="2" t="s">
        <v>39</v>
      </c>
      <c r="J4278" s="9">
        <v>4582.12</v>
      </c>
      <c r="K4278" s="7">
        <v>1</v>
      </c>
      <c r="L4278" s="9">
        <v>4582.12</v>
      </c>
      <c r="M4278" s="9">
        <v>4582.12</v>
      </c>
      <c r="N4278" s="9">
        <v>2.52</v>
      </c>
      <c r="O4278" s="10">
        <f>IF(AND(OR(H4278="APPROVED",H4278="SCHEDULED"),COUNTIFS(tblSource[EventID],F4278,tblSource[ReleaseStatus],"APPROVED")=1,COUNTIFS(Period_Status!$A$2:$A$8,G4278,Period_Status!$B$2:$B$8,"ActualClosed")=1,C4278&gt;EOMONTH(Settlement_Bridge!$C$2,0)),1,0)</f>
        <v>0</v>
      </c>
      <c r="P4278" s="2" t="s">
        <v>11550</v>
      </c>
    </row>
    <row r="4279" spans="1:16" x14ac:dyDescent="0.25">
      <c r="A4279" s="2" t="s">
        <v>11551</v>
      </c>
      <c r="B4279" s="2" t="s">
        <v>7433</v>
      </c>
      <c r="C4279" s="8">
        <v>46299</v>
      </c>
      <c r="D4279" s="6">
        <v>46296</v>
      </c>
      <c r="E4279" s="2" t="s">
        <v>260</v>
      </c>
      <c r="F4279" s="2" t="s">
        <v>11549</v>
      </c>
      <c r="G4279" s="6">
        <v>46235</v>
      </c>
      <c r="H4279" s="2" t="s">
        <v>176</v>
      </c>
      <c r="I4279" s="2" t="s">
        <v>39</v>
      </c>
      <c r="J4279" s="9">
        <v>6873.18</v>
      </c>
      <c r="K4279" s="7">
        <v>1</v>
      </c>
      <c r="L4279" s="9">
        <v>6873.18</v>
      </c>
      <c r="M4279" s="9">
        <v>6873.18</v>
      </c>
      <c r="N4279" s="9">
        <v>3.78</v>
      </c>
      <c r="O4279" s="10">
        <f>IF(AND(OR(H4279="APPROVED",H4279="SCHEDULED"),COUNTIFS(tblSource[EventID],F4279,tblSource[ReleaseStatus],"APPROVED")=1,COUNTIFS(Period_Status!$A$2:$A$8,G4279,Period_Status!$B$2:$B$8,"ActualClosed")=1,C4279&gt;EOMONTH(Settlement_Bridge!$C$2,0)),1,0)</f>
        <v>0</v>
      </c>
      <c r="P4279" s="2" t="s">
        <v>11552</v>
      </c>
    </row>
    <row r="4280" spans="1:16" x14ac:dyDescent="0.25">
      <c r="A4280" s="2" t="s">
        <v>11553</v>
      </c>
      <c r="B4280" s="2" t="s">
        <v>7433</v>
      </c>
      <c r="C4280" s="8">
        <v>46275</v>
      </c>
      <c r="D4280" s="6">
        <v>46266</v>
      </c>
      <c r="E4280" s="2" t="s">
        <v>260</v>
      </c>
      <c r="F4280" s="2" t="s">
        <v>11554</v>
      </c>
      <c r="G4280" s="6">
        <v>46235</v>
      </c>
      <c r="H4280" s="2" t="s">
        <v>176</v>
      </c>
      <c r="I4280" s="2" t="s">
        <v>76</v>
      </c>
      <c r="J4280" s="9">
        <v>76306406.504065007</v>
      </c>
      <c r="K4280" s="7">
        <v>6.1299999999999999E-5</v>
      </c>
      <c r="L4280" s="9">
        <v>4677.58</v>
      </c>
      <c r="M4280" s="9">
        <v>4692.84</v>
      </c>
      <c r="N4280" s="9">
        <v>2.57</v>
      </c>
      <c r="O4280" s="10">
        <f>IF(AND(OR(H4280="APPROVED",H4280="SCHEDULED"),COUNTIFS(tblSource[EventID],F4280,tblSource[ReleaseStatus],"APPROVED")=1,COUNTIFS(Period_Status!$A$2:$A$8,G4280,Period_Status!$B$2:$B$8,"ActualClosed")=1,C4280&gt;EOMONTH(Settlement_Bridge!$C$2,0)),1,0)</f>
        <v>0</v>
      </c>
      <c r="P4280" s="2" t="s">
        <v>11555</v>
      </c>
    </row>
    <row r="4281" spans="1:16" x14ac:dyDescent="0.25">
      <c r="A4281" s="2" t="s">
        <v>11556</v>
      </c>
      <c r="B4281" s="2" t="s">
        <v>7433</v>
      </c>
      <c r="C4281" s="8">
        <v>46300</v>
      </c>
      <c r="D4281" s="6">
        <v>46296</v>
      </c>
      <c r="E4281" s="2" t="s">
        <v>260</v>
      </c>
      <c r="F4281" s="2" t="s">
        <v>11554</v>
      </c>
      <c r="G4281" s="6">
        <v>46235</v>
      </c>
      <c r="H4281" s="2" t="s">
        <v>176</v>
      </c>
      <c r="I4281" s="2" t="s">
        <v>76</v>
      </c>
      <c r="J4281" s="9">
        <v>114459609.756098</v>
      </c>
      <c r="K4281" s="7">
        <v>6.1099999999999994E-5</v>
      </c>
      <c r="L4281" s="9">
        <v>6993.48</v>
      </c>
      <c r="M4281" s="9">
        <v>7039.27</v>
      </c>
      <c r="N4281" s="9">
        <v>3.85</v>
      </c>
      <c r="O4281" s="10">
        <f>IF(AND(OR(H4281="APPROVED",H4281="SCHEDULED"),COUNTIFS(tblSource[EventID],F4281,tblSource[ReleaseStatus],"APPROVED")=1,COUNTIFS(Period_Status!$A$2:$A$8,G4281,Period_Status!$B$2:$B$8,"ActualClosed")=1,C4281&gt;EOMONTH(Settlement_Bridge!$C$2,0)),1,0)</f>
        <v>0</v>
      </c>
      <c r="P4281" s="2" t="s">
        <v>11557</v>
      </c>
    </row>
    <row r="4282" spans="1:16" x14ac:dyDescent="0.25">
      <c r="A4282" s="2" t="s">
        <v>11558</v>
      </c>
      <c r="B4282" s="2" t="s">
        <v>7433</v>
      </c>
      <c r="C4282" s="8">
        <v>46276</v>
      </c>
      <c r="D4282" s="6">
        <v>46266</v>
      </c>
      <c r="E4282" s="2" t="s">
        <v>260</v>
      </c>
      <c r="F4282" s="2" t="s">
        <v>11559</v>
      </c>
      <c r="G4282" s="6">
        <v>46235</v>
      </c>
      <c r="H4282" s="2" t="s">
        <v>176</v>
      </c>
      <c r="I4282" s="2" t="s">
        <v>70</v>
      </c>
      <c r="J4282" s="9">
        <v>7390.1107689999999</v>
      </c>
      <c r="K4282" s="7">
        <v>0.65100000000000002</v>
      </c>
      <c r="L4282" s="9">
        <v>4810.96</v>
      </c>
      <c r="M4282" s="9">
        <v>4803.57</v>
      </c>
      <c r="N4282" s="9">
        <v>2.65</v>
      </c>
      <c r="O4282" s="10">
        <f>IF(AND(OR(H4282="APPROVED",H4282="SCHEDULED"),COUNTIFS(tblSource[EventID],F4282,tblSource[ReleaseStatus],"APPROVED")=1,COUNTIFS(Period_Status!$A$2:$A$8,G4282,Period_Status!$B$2:$B$8,"ActualClosed")=1,C4282&gt;EOMONTH(Settlement_Bridge!$C$2,0)),1,0)</f>
        <v>0</v>
      </c>
      <c r="P4282" s="2" t="s">
        <v>11560</v>
      </c>
    </row>
    <row r="4283" spans="1:16" x14ac:dyDescent="0.25">
      <c r="A4283" s="2" t="s">
        <v>11561</v>
      </c>
      <c r="B4283" s="2" t="s">
        <v>7433</v>
      </c>
      <c r="C4283" s="8">
        <v>46301</v>
      </c>
      <c r="D4283" s="6">
        <v>46296</v>
      </c>
      <c r="E4283" s="2" t="s">
        <v>260</v>
      </c>
      <c r="F4283" s="2" t="s">
        <v>11559</v>
      </c>
      <c r="G4283" s="6">
        <v>46235</v>
      </c>
      <c r="H4283" s="2" t="s">
        <v>176</v>
      </c>
      <c r="I4283" s="2" t="s">
        <v>70</v>
      </c>
      <c r="J4283" s="9">
        <v>11085.166154</v>
      </c>
      <c r="K4283" s="7">
        <v>0.65500000000000003</v>
      </c>
      <c r="L4283" s="9">
        <v>7260.78</v>
      </c>
      <c r="M4283" s="9">
        <v>7205.36</v>
      </c>
      <c r="N4283" s="9">
        <v>3.99</v>
      </c>
      <c r="O4283" s="10">
        <f>IF(AND(OR(H4283="APPROVED",H4283="SCHEDULED"),COUNTIFS(tblSource[EventID],F4283,tblSource[ReleaseStatus],"APPROVED")=1,COUNTIFS(Period_Status!$A$2:$A$8,G4283,Period_Status!$B$2:$B$8,"ActualClosed")=1,C4283&gt;EOMONTH(Settlement_Bridge!$C$2,0)),1,0)</f>
        <v>0</v>
      </c>
      <c r="P4283" s="2" t="s">
        <v>11562</v>
      </c>
    </row>
    <row r="4284" spans="1:16" x14ac:dyDescent="0.25">
      <c r="A4284" s="2" t="s">
        <v>11563</v>
      </c>
      <c r="B4284" s="2" t="s">
        <v>7433</v>
      </c>
      <c r="C4284" s="8">
        <v>46277</v>
      </c>
      <c r="D4284" s="6">
        <v>46266</v>
      </c>
      <c r="E4284" s="2" t="s">
        <v>260</v>
      </c>
      <c r="F4284" s="2" t="s">
        <v>11564</v>
      </c>
      <c r="G4284" s="6">
        <v>46235</v>
      </c>
      <c r="H4284" s="2" t="s">
        <v>176</v>
      </c>
      <c r="I4284" s="2" t="s">
        <v>39</v>
      </c>
      <c r="J4284" s="9">
        <v>4914.2960000000003</v>
      </c>
      <c r="K4284" s="7">
        <v>1</v>
      </c>
      <c r="L4284" s="9">
        <v>4914.3</v>
      </c>
      <c r="M4284" s="9">
        <v>4914.3</v>
      </c>
      <c r="N4284" s="9">
        <v>2.7</v>
      </c>
      <c r="O4284" s="10">
        <f>IF(AND(OR(H4284="APPROVED",H4284="SCHEDULED"),COUNTIFS(tblSource[EventID],F4284,tblSource[ReleaseStatus],"APPROVED")=1,COUNTIFS(Period_Status!$A$2:$A$8,G4284,Period_Status!$B$2:$B$8,"ActualClosed")=1,C4284&gt;EOMONTH(Settlement_Bridge!$C$2,0)),1,0)</f>
        <v>0</v>
      </c>
      <c r="P4284" s="2" t="s">
        <v>11565</v>
      </c>
    </row>
    <row r="4285" spans="1:16" x14ac:dyDescent="0.25">
      <c r="A4285" s="2" t="s">
        <v>11566</v>
      </c>
      <c r="B4285" s="2" t="s">
        <v>7433</v>
      </c>
      <c r="C4285" s="8">
        <v>46302</v>
      </c>
      <c r="D4285" s="6">
        <v>46296</v>
      </c>
      <c r="E4285" s="2" t="s">
        <v>260</v>
      </c>
      <c r="F4285" s="2" t="s">
        <v>11564</v>
      </c>
      <c r="G4285" s="6">
        <v>46235</v>
      </c>
      <c r="H4285" s="2" t="s">
        <v>176</v>
      </c>
      <c r="I4285" s="2" t="s">
        <v>39</v>
      </c>
      <c r="J4285" s="9">
        <v>7371.4440000000004</v>
      </c>
      <c r="K4285" s="7">
        <v>1</v>
      </c>
      <c r="L4285" s="9">
        <v>7371.44</v>
      </c>
      <c r="M4285" s="9">
        <v>7371.44</v>
      </c>
      <c r="N4285" s="9">
        <v>4.05</v>
      </c>
      <c r="O4285" s="10">
        <f>IF(AND(OR(H4285="APPROVED",H4285="SCHEDULED"),COUNTIFS(tblSource[EventID],F4285,tblSource[ReleaseStatus],"APPROVED")=1,COUNTIFS(Period_Status!$A$2:$A$8,G4285,Period_Status!$B$2:$B$8,"ActualClosed")=1,C4285&gt;EOMONTH(Settlement_Bridge!$C$2,0)),1,0)</f>
        <v>0</v>
      </c>
      <c r="P4285" s="2" t="s">
        <v>11567</v>
      </c>
    </row>
    <row r="4286" spans="1:16" x14ac:dyDescent="0.25">
      <c r="A4286" s="2" t="s">
        <v>11568</v>
      </c>
      <c r="B4286" s="2" t="s">
        <v>7433</v>
      </c>
      <c r="C4286" s="8">
        <v>46278</v>
      </c>
      <c r="D4286" s="6">
        <v>46266</v>
      </c>
      <c r="E4286" s="2" t="s">
        <v>260</v>
      </c>
      <c r="F4286" s="2" t="s">
        <v>11569</v>
      </c>
      <c r="G4286" s="6">
        <v>46235</v>
      </c>
      <c r="H4286" s="2" t="s">
        <v>176</v>
      </c>
      <c r="I4286" s="2" t="s">
        <v>76</v>
      </c>
      <c r="J4286" s="9">
        <v>81707707.317073002</v>
      </c>
      <c r="K4286" s="7">
        <v>6.1299999999999999E-5</v>
      </c>
      <c r="L4286" s="9">
        <v>5008.68</v>
      </c>
      <c r="M4286" s="9">
        <v>5025.0200000000004</v>
      </c>
      <c r="N4286" s="9">
        <v>2.75</v>
      </c>
      <c r="O4286" s="10">
        <f>IF(AND(OR(H4286="APPROVED",H4286="SCHEDULED"),COUNTIFS(tblSource[EventID],F4286,tblSource[ReleaseStatus],"APPROVED")=1,COUNTIFS(Period_Status!$A$2:$A$8,G4286,Period_Status!$B$2:$B$8,"ActualClosed")=1,C4286&gt;EOMONTH(Settlement_Bridge!$C$2,0)),1,0)</f>
        <v>0</v>
      </c>
      <c r="P4286" s="2" t="s">
        <v>11570</v>
      </c>
    </row>
    <row r="4287" spans="1:16" x14ac:dyDescent="0.25">
      <c r="A4287" s="2" t="s">
        <v>11571</v>
      </c>
      <c r="B4287" s="2" t="s">
        <v>7433</v>
      </c>
      <c r="C4287" s="8">
        <v>46303</v>
      </c>
      <c r="D4287" s="6">
        <v>46296</v>
      </c>
      <c r="E4287" s="2" t="s">
        <v>260</v>
      </c>
      <c r="F4287" s="2" t="s">
        <v>11569</v>
      </c>
      <c r="G4287" s="6">
        <v>46235</v>
      </c>
      <c r="H4287" s="2" t="s">
        <v>176</v>
      </c>
      <c r="I4287" s="2" t="s">
        <v>76</v>
      </c>
      <c r="J4287" s="9">
        <v>122561560.97561</v>
      </c>
      <c r="K4287" s="7">
        <v>6.1099999999999994E-5</v>
      </c>
      <c r="L4287" s="9">
        <v>7488.51</v>
      </c>
      <c r="M4287" s="9">
        <v>7537.54</v>
      </c>
      <c r="N4287" s="9">
        <v>4.12</v>
      </c>
      <c r="O4287" s="10">
        <f>IF(AND(OR(H4287="APPROVED",H4287="SCHEDULED"),COUNTIFS(tblSource[EventID],F4287,tblSource[ReleaseStatus],"APPROVED")=1,COUNTIFS(Period_Status!$A$2:$A$8,G4287,Period_Status!$B$2:$B$8,"ActualClosed")=1,C4287&gt;EOMONTH(Settlement_Bridge!$C$2,0)),1,0)</f>
        <v>0</v>
      </c>
      <c r="P4287" s="2" t="s">
        <v>11572</v>
      </c>
    </row>
    <row r="4288" spans="1:16" x14ac:dyDescent="0.25">
      <c r="A4288" s="2" t="s">
        <v>11573</v>
      </c>
      <c r="B4288" s="2" t="s">
        <v>7433</v>
      </c>
      <c r="C4288" s="8">
        <v>46279</v>
      </c>
      <c r="D4288" s="6">
        <v>46266</v>
      </c>
      <c r="E4288" s="2" t="s">
        <v>260</v>
      </c>
      <c r="F4288" s="2" t="s">
        <v>11574</v>
      </c>
      <c r="G4288" s="6">
        <v>46235</v>
      </c>
      <c r="H4288" s="2" t="s">
        <v>176</v>
      </c>
      <c r="I4288" s="2" t="s">
        <v>70</v>
      </c>
      <c r="J4288" s="9">
        <v>7901.1569229999996</v>
      </c>
      <c r="K4288" s="7">
        <v>0.65100000000000002</v>
      </c>
      <c r="L4288" s="9">
        <v>5143.6499999999996</v>
      </c>
      <c r="M4288" s="9">
        <v>5135.75</v>
      </c>
      <c r="N4288" s="9">
        <v>2.83</v>
      </c>
      <c r="O4288" s="10">
        <f>IF(AND(OR(H4288="APPROVED",H4288="SCHEDULED"),COUNTIFS(tblSource[EventID],F4288,tblSource[ReleaseStatus],"APPROVED")=1,COUNTIFS(Period_Status!$A$2:$A$8,G4288,Period_Status!$B$2:$B$8,"ActualClosed")=1,C4288&gt;EOMONTH(Settlement_Bridge!$C$2,0)),1,0)</f>
        <v>0</v>
      </c>
      <c r="P4288" s="2" t="s">
        <v>11575</v>
      </c>
    </row>
    <row r="4289" spans="1:16" x14ac:dyDescent="0.25">
      <c r="A4289" s="2" t="s">
        <v>11576</v>
      </c>
      <c r="B4289" s="2" t="s">
        <v>7433</v>
      </c>
      <c r="C4289" s="8">
        <v>46304</v>
      </c>
      <c r="D4289" s="6">
        <v>46296</v>
      </c>
      <c r="E4289" s="2" t="s">
        <v>260</v>
      </c>
      <c r="F4289" s="2" t="s">
        <v>11574</v>
      </c>
      <c r="G4289" s="6">
        <v>46235</v>
      </c>
      <c r="H4289" s="2" t="s">
        <v>176</v>
      </c>
      <c r="I4289" s="2" t="s">
        <v>70</v>
      </c>
      <c r="J4289" s="9">
        <v>11851.735385</v>
      </c>
      <c r="K4289" s="7">
        <v>0.65500000000000003</v>
      </c>
      <c r="L4289" s="9">
        <v>7762.89</v>
      </c>
      <c r="M4289" s="9">
        <v>7703.63</v>
      </c>
      <c r="N4289" s="9">
        <v>4.2699999999999996</v>
      </c>
      <c r="O4289" s="10">
        <f>IF(AND(OR(H4289="APPROVED",H4289="SCHEDULED"),COUNTIFS(tblSource[EventID],F4289,tblSource[ReleaseStatus],"APPROVED")=1,COUNTIFS(Period_Status!$A$2:$A$8,G4289,Period_Status!$B$2:$B$8,"ActualClosed")=1,C4289&gt;EOMONTH(Settlement_Bridge!$C$2,0)),1,0)</f>
        <v>0</v>
      </c>
      <c r="P4289" s="2" t="s">
        <v>11577</v>
      </c>
    </row>
    <row r="4290" spans="1:16" x14ac:dyDescent="0.25">
      <c r="A4290" s="2" t="s">
        <v>11578</v>
      </c>
      <c r="B4290" s="2" t="s">
        <v>7433</v>
      </c>
      <c r="C4290" s="8">
        <v>46249</v>
      </c>
      <c r="D4290" s="6">
        <v>46235</v>
      </c>
      <c r="E4290" s="2" t="s">
        <v>260</v>
      </c>
      <c r="F4290" s="2" t="s">
        <v>11579</v>
      </c>
      <c r="G4290" s="6">
        <v>46235</v>
      </c>
      <c r="H4290" s="2" t="s">
        <v>71</v>
      </c>
      <c r="I4290" s="2" t="s">
        <v>39</v>
      </c>
      <c r="J4290" s="9">
        <v>5246.4759999999997</v>
      </c>
      <c r="K4290" s="7">
        <v>1</v>
      </c>
      <c r="L4290" s="9">
        <v>5246.48</v>
      </c>
      <c r="M4290" s="9">
        <v>5246.48</v>
      </c>
      <c r="N4290" s="9">
        <v>2.89</v>
      </c>
      <c r="O4290" s="10">
        <f>IF(AND(OR(H4290="APPROVED",H4290="SCHEDULED"),COUNTIFS(tblSource[EventID],F4290,tblSource[ReleaseStatus],"APPROVED")=1,COUNTIFS(Period_Status!$A$2:$A$8,G4290,Period_Status!$B$2:$B$8,"ActualClosed")=1,C4290&gt;EOMONTH(Settlement_Bridge!$C$2,0)),1,0)</f>
        <v>0</v>
      </c>
      <c r="P4290" s="2" t="s">
        <v>11580</v>
      </c>
    </row>
    <row r="4291" spans="1:16" x14ac:dyDescent="0.25">
      <c r="A4291" s="2" t="s">
        <v>11581</v>
      </c>
      <c r="B4291" s="2" t="s">
        <v>7433</v>
      </c>
      <c r="C4291" s="8">
        <v>46274</v>
      </c>
      <c r="D4291" s="6">
        <v>46266</v>
      </c>
      <c r="E4291" s="2" t="s">
        <v>260</v>
      </c>
      <c r="F4291" s="2" t="s">
        <v>11579</v>
      </c>
      <c r="G4291" s="6">
        <v>46235</v>
      </c>
      <c r="H4291" s="2" t="s">
        <v>176</v>
      </c>
      <c r="I4291" s="2" t="s">
        <v>39</v>
      </c>
      <c r="J4291" s="9">
        <v>7869.7139999999999</v>
      </c>
      <c r="K4291" s="7">
        <v>1</v>
      </c>
      <c r="L4291" s="9">
        <v>7869.71</v>
      </c>
      <c r="M4291" s="9">
        <v>7869.71</v>
      </c>
      <c r="N4291" s="9">
        <v>4.33</v>
      </c>
      <c r="O4291" s="10">
        <f>IF(AND(OR(H4291="APPROVED",H4291="SCHEDULED"),COUNTIFS(tblSource[EventID],F4291,tblSource[ReleaseStatus],"APPROVED")=1,COUNTIFS(Period_Status!$A$2:$A$8,G4291,Period_Status!$B$2:$B$8,"ActualClosed")=1,C4291&gt;EOMONTH(Settlement_Bridge!$C$2,0)),1,0)</f>
        <v>0</v>
      </c>
      <c r="P4291" s="2" t="s">
        <v>11582</v>
      </c>
    </row>
    <row r="4292" spans="1:16" x14ac:dyDescent="0.25">
      <c r="A4292" s="2" t="s">
        <v>11583</v>
      </c>
      <c r="B4292" s="2" t="s">
        <v>7433</v>
      </c>
      <c r="C4292" s="8">
        <v>46250</v>
      </c>
      <c r="D4292" s="6">
        <v>46235</v>
      </c>
      <c r="E4292" s="2" t="s">
        <v>260</v>
      </c>
      <c r="F4292" s="2" t="s">
        <v>11584</v>
      </c>
      <c r="G4292" s="6">
        <v>46235</v>
      </c>
      <c r="H4292" s="2" t="s">
        <v>71</v>
      </c>
      <c r="I4292" s="2" t="s">
        <v>76</v>
      </c>
      <c r="J4292" s="9">
        <v>87109008.130080998</v>
      </c>
      <c r="K4292" s="7">
        <v>6.1500000000000004E-5</v>
      </c>
      <c r="L4292" s="9">
        <v>5357.2</v>
      </c>
      <c r="M4292" s="9">
        <v>5357.2</v>
      </c>
      <c r="N4292" s="9">
        <v>2.95</v>
      </c>
      <c r="O4292" s="10">
        <f>IF(AND(OR(H4292="APPROVED",H4292="SCHEDULED"),COUNTIFS(tblSource[EventID],F4292,tblSource[ReleaseStatus],"APPROVED")=1,COUNTIFS(Period_Status!$A$2:$A$8,G4292,Period_Status!$B$2:$B$8,"ActualClosed")=1,C4292&gt;EOMONTH(Settlement_Bridge!$C$2,0)),1,0)</f>
        <v>0</v>
      </c>
      <c r="P4292" s="2" t="s">
        <v>11585</v>
      </c>
    </row>
    <row r="4293" spans="1:16" x14ac:dyDescent="0.25">
      <c r="A4293" s="2" t="s">
        <v>11586</v>
      </c>
      <c r="B4293" s="2" t="s">
        <v>7433</v>
      </c>
      <c r="C4293" s="8">
        <v>46275</v>
      </c>
      <c r="D4293" s="6">
        <v>46266</v>
      </c>
      <c r="E4293" s="2" t="s">
        <v>260</v>
      </c>
      <c r="F4293" s="2" t="s">
        <v>11584</v>
      </c>
      <c r="G4293" s="6">
        <v>46235</v>
      </c>
      <c r="H4293" s="2" t="s">
        <v>176</v>
      </c>
      <c r="I4293" s="2" t="s">
        <v>76</v>
      </c>
      <c r="J4293" s="9">
        <v>130663512.195122</v>
      </c>
      <c r="K4293" s="7">
        <v>6.1299999999999999E-5</v>
      </c>
      <c r="L4293" s="9">
        <v>8009.67</v>
      </c>
      <c r="M4293" s="9">
        <v>8035.81</v>
      </c>
      <c r="N4293" s="9">
        <v>4.41</v>
      </c>
      <c r="O4293" s="10">
        <f>IF(AND(OR(H4293="APPROVED",H4293="SCHEDULED"),COUNTIFS(tblSource[EventID],F4293,tblSource[ReleaseStatus],"APPROVED")=1,COUNTIFS(Period_Status!$A$2:$A$8,G4293,Period_Status!$B$2:$B$8,"ActualClosed")=1,C4293&gt;EOMONTH(Settlement_Bridge!$C$2,0)),1,0)</f>
        <v>0</v>
      </c>
      <c r="P4293" s="2" t="s">
        <v>11587</v>
      </c>
    </row>
    <row r="4294" spans="1:16" x14ac:dyDescent="0.25">
      <c r="A4294" s="2" t="s">
        <v>11588</v>
      </c>
      <c r="B4294" s="2" t="s">
        <v>7433</v>
      </c>
      <c r="C4294" s="8">
        <v>46251</v>
      </c>
      <c r="D4294" s="6">
        <v>46235</v>
      </c>
      <c r="E4294" s="2" t="s">
        <v>260</v>
      </c>
      <c r="F4294" s="2" t="s">
        <v>11589</v>
      </c>
      <c r="G4294" s="6">
        <v>46235</v>
      </c>
      <c r="H4294" s="2" t="s">
        <v>71</v>
      </c>
      <c r="I4294" s="2" t="s">
        <v>70</v>
      </c>
      <c r="J4294" s="9">
        <v>8412.2030770000001</v>
      </c>
      <c r="K4294" s="7">
        <v>0.65</v>
      </c>
      <c r="L4294" s="9">
        <v>5467.93</v>
      </c>
      <c r="M4294" s="9">
        <v>5467.93</v>
      </c>
      <c r="N4294" s="9">
        <v>3.01</v>
      </c>
      <c r="O4294" s="10">
        <f>IF(AND(OR(H4294="APPROVED",H4294="SCHEDULED"),COUNTIFS(tblSource[EventID],F4294,tblSource[ReleaseStatus],"APPROVED")=1,COUNTIFS(Period_Status!$A$2:$A$8,G4294,Period_Status!$B$2:$B$8,"ActualClosed")=1,C4294&gt;EOMONTH(Settlement_Bridge!$C$2,0)),1,0)</f>
        <v>0</v>
      </c>
      <c r="P4294" s="2" t="s">
        <v>11590</v>
      </c>
    </row>
    <row r="4295" spans="1:16" x14ac:dyDescent="0.25">
      <c r="A4295" s="2" t="s">
        <v>11591</v>
      </c>
      <c r="B4295" s="2" t="s">
        <v>7433</v>
      </c>
      <c r="C4295" s="8">
        <v>46276</v>
      </c>
      <c r="D4295" s="6">
        <v>46266</v>
      </c>
      <c r="E4295" s="2" t="s">
        <v>260</v>
      </c>
      <c r="F4295" s="2" t="s">
        <v>11589</v>
      </c>
      <c r="G4295" s="6">
        <v>46235</v>
      </c>
      <c r="H4295" s="2" t="s">
        <v>176</v>
      </c>
      <c r="I4295" s="2" t="s">
        <v>70</v>
      </c>
      <c r="J4295" s="9">
        <v>12618.304614999999</v>
      </c>
      <c r="K4295" s="7">
        <v>0.65100000000000002</v>
      </c>
      <c r="L4295" s="9">
        <v>8214.52</v>
      </c>
      <c r="M4295" s="9">
        <v>8201.9</v>
      </c>
      <c r="N4295" s="9">
        <v>4.5199999999999996</v>
      </c>
      <c r="O4295" s="10">
        <f>IF(AND(OR(H4295="APPROVED",H4295="SCHEDULED"),COUNTIFS(tblSource[EventID],F4295,tblSource[ReleaseStatus],"APPROVED")=1,COUNTIFS(Period_Status!$A$2:$A$8,G4295,Period_Status!$B$2:$B$8,"ActualClosed")=1,C4295&gt;EOMONTH(Settlement_Bridge!$C$2,0)),1,0)</f>
        <v>0</v>
      </c>
      <c r="P4295" s="2" t="s">
        <v>11592</v>
      </c>
    </row>
    <row r="4296" spans="1:16" x14ac:dyDescent="0.25">
      <c r="A4296" s="2" t="s">
        <v>11593</v>
      </c>
      <c r="B4296" s="2" t="s">
        <v>7433</v>
      </c>
      <c r="C4296" s="8">
        <v>46252</v>
      </c>
      <c r="D4296" s="6">
        <v>46235</v>
      </c>
      <c r="E4296" s="2" t="s">
        <v>260</v>
      </c>
      <c r="F4296" s="2" t="s">
        <v>11594</v>
      </c>
      <c r="G4296" s="6">
        <v>46235</v>
      </c>
      <c r="H4296" s="2" t="s">
        <v>71</v>
      </c>
      <c r="I4296" s="2" t="s">
        <v>39</v>
      </c>
      <c r="J4296" s="9">
        <v>5578.6559999999999</v>
      </c>
      <c r="K4296" s="7">
        <v>1</v>
      </c>
      <c r="L4296" s="9">
        <v>5578.66</v>
      </c>
      <c r="M4296" s="9">
        <v>5578.66</v>
      </c>
      <c r="N4296" s="9">
        <v>3.07</v>
      </c>
      <c r="O4296" s="10">
        <f>IF(AND(OR(H4296="APPROVED",H4296="SCHEDULED"),COUNTIFS(tblSource[EventID],F4296,tblSource[ReleaseStatus],"APPROVED")=1,COUNTIFS(Period_Status!$A$2:$A$8,G4296,Period_Status!$B$2:$B$8,"ActualClosed")=1,C4296&gt;EOMONTH(Settlement_Bridge!$C$2,0)),1,0)</f>
        <v>0</v>
      </c>
      <c r="P4296" s="2" t="s">
        <v>11595</v>
      </c>
    </row>
    <row r="4297" spans="1:16" x14ac:dyDescent="0.25">
      <c r="A4297" s="2" t="s">
        <v>11596</v>
      </c>
      <c r="B4297" s="2" t="s">
        <v>7433</v>
      </c>
      <c r="C4297" s="8">
        <v>46277</v>
      </c>
      <c r="D4297" s="6">
        <v>46266</v>
      </c>
      <c r="E4297" s="2" t="s">
        <v>260</v>
      </c>
      <c r="F4297" s="2" t="s">
        <v>11594</v>
      </c>
      <c r="G4297" s="6">
        <v>46235</v>
      </c>
      <c r="H4297" s="2" t="s">
        <v>176</v>
      </c>
      <c r="I4297" s="2" t="s">
        <v>39</v>
      </c>
      <c r="J4297" s="9">
        <v>8367.9840000000004</v>
      </c>
      <c r="K4297" s="7">
        <v>1</v>
      </c>
      <c r="L4297" s="9">
        <v>8367.98</v>
      </c>
      <c r="M4297" s="9">
        <v>8367.98</v>
      </c>
      <c r="N4297" s="9">
        <v>4.5999999999999996</v>
      </c>
      <c r="O4297" s="10">
        <f>IF(AND(OR(H4297="APPROVED",H4297="SCHEDULED"),COUNTIFS(tblSource[EventID],F4297,tblSource[ReleaseStatus],"APPROVED")=1,COUNTIFS(Period_Status!$A$2:$A$8,G4297,Period_Status!$B$2:$B$8,"ActualClosed")=1,C4297&gt;EOMONTH(Settlement_Bridge!$C$2,0)),1,0)</f>
        <v>0</v>
      </c>
      <c r="P4297" s="2" t="s">
        <v>11597</v>
      </c>
    </row>
    <row r="4298" spans="1:16" x14ac:dyDescent="0.25">
      <c r="A4298" s="2" t="s">
        <v>11598</v>
      </c>
      <c r="B4298" s="2" t="s">
        <v>7433</v>
      </c>
      <c r="C4298" s="8">
        <v>46253</v>
      </c>
      <c r="D4298" s="6">
        <v>46235</v>
      </c>
      <c r="E4298" s="2" t="s">
        <v>260</v>
      </c>
      <c r="F4298" s="2" t="s">
        <v>11599</v>
      </c>
      <c r="G4298" s="6">
        <v>46235</v>
      </c>
      <c r="H4298" s="2" t="s">
        <v>71</v>
      </c>
      <c r="I4298" s="2" t="s">
        <v>76</v>
      </c>
      <c r="J4298" s="9">
        <v>92510308.943090007</v>
      </c>
      <c r="K4298" s="7">
        <v>6.1500000000000004E-5</v>
      </c>
      <c r="L4298" s="9">
        <v>5689.38</v>
      </c>
      <c r="M4298" s="9">
        <v>5689.38</v>
      </c>
      <c r="N4298" s="9">
        <v>3.13</v>
      </c>
      <c r="O4298" s="10">
        <f>IF(AND(OR(H4298="APPROVED",H4298="SCHEDULED"),COUNTIFS(tblSource[EventID],F4298,tblSource[ReleaseStatus],"APPROVED")=1,COUNTIFS(Period_Status!$A$2:$A$8,G4298,Period_Status!$B$2:$B$8,"ActualClosed")=1,C4298&gt;EOMONTH(Settlement_Bridge!$C$2,0)),1,0)</f>
        <v>0</v>
      </c>
      <c r="P4298" s="2" t="s">
        <v>11600</v>
      </c>
    </row>
    <row r="4299" spans="1:16" x14ac:dyDescent="0.25">
      <c r="A4299" s="2" t="s">
        <v>11601</v>
      </c>
      <c r="B4299" s="2" t="s">
        <v>7433</v>
      </c>
      <c r="C4299" s="8">
        <v>46278</v>
      </c>
      <c r="D4299" s="6">
        <v>46266</v>
      </c>
      <c r="E4299" s="2" t="s">
        <v>260</v>
      </c>
      <c r="F4299" s="2" t="s">
        <v>11599</v>
      </c>
      <c r="G4299" s="6">
        <v>46235</v>
      </c>
      <c r="H4299" s="2" t="s">
        <v>176</v>
      </c>
      <c r="I4299" s="2" t="s">
        <v>76</v>
      </c>
      <c r="J4299" s="9">
        <v>138765463.41463399</v>
      </c>
      <c r="K4299" s="7">
        <v>6.1299999999999999E-5</v>
      </c>
      <c r="L4299" s="9">
        <v>8506.32</v>
      </c>
      <c r="M4299" s="9">
        <v>8534.08</v>
      </c>
      <c r="N4299" s="9">
        <v>4.68</v>
      </c>
      <c r="O4299" s="10">
        <f>IF(AND(OR(H4299="APPROVED",H4299="SCHEDULED"),COUNTIFS(tblSource[EventID],F4299,tblSource[ReleaseStatus],"APPROVED")=1,COUNTIFS(Period_Status!$A$2:$A$8,G4299,Period_Status!$B$2:$B$8,"ActualClosed")=1,C4299&gt;EOMONTH(Settlement_Bridge!$C$2,0)),1,0)</f>
        <v>0</v>
      </c>
      <c r="P4299" s="2" t="s">
        <v>11602</v>
      </c>
    </row>
    <row r="4300" spans="1:16" x14ac:dyDescent="0.25">
      <c r="A4300" s="2" t="s">
        <v>11603</v>
      </c>
      <c r="B4300" s="2" t="s">
        <v>7433</v>
      </c>
      <c r="C4300" s="8">
        <v>46254</v>
      </c>
      <c r="D4300" s="6">
        <v>46235</v>
      </c>
      <c r="E4300" s="2" t="s">
        <v>260</v>
      </c>
      <c r="F4300" s="2" t="s">
        <v>11604</v>
      </c>
      <c r="G4300" s="6">
        <v>46235</v>
      </c>
      <c r="H4300" s="2" t="s">
        <v>71</v>
      </c>
      <c r="I4300" s="2" t="s">
        <v>70</v>
      </c>
      <c r="J4300" s="9">
        <v>8923.2430769999992</v>
      </c>
      <c r="K4300" s="7">
        <v>0.65</v>
      </c>
      <c r="L4300" s="9">
        <v>5800.11</v>
      </c>
      <c r="M4300" s="9">
        <v>5800.11</v>
      </c>
      <c r="N4300" s="9">
        <v>3.19</v>
      </c>
      <c r="O4300" s="10">
        <f>IF(AND(OR(H4300="APPROVED",H4300="SCHEDULED"),COUNTIFS(tblSource[EventID],F4300,tblSource[ReleaseStatus],"APPROVED")=1,COUNTIFS(Period_Status!$A$2:$A$8,G4300,Period_Status!$B$2:$B$8,"ActualClosed")=1,C4300&gt;EOMONTH(Settlement_Bridge!$C$2,0)),1,0)</f>
        <v>0</v>
      </c>
      <c r="P4300" s="2" t="s">
        <v>11605</v>
      </c>
    </row>
    <row r="4301" spans="1:16" x14ac:dyDescent="0.25">
      <c r="A4301" s="2" t="s">
        <v>11606</v>
      </c>
      <c r="B4301" s="2" t="s">
        <v>7433</v>
      </c>
      <c r="C4301" s="8">
        <v>46279</v>
      </c>
      <c r="D4301" s="6">
        <v>46266</v>
      </c>
      <c r="E4301" s="2" t="s">
        <v>260</v>
      </c>
      <c r="F4301" s="2" t="s">
        <v>11604</v>
      </c>
      <c r="G4301" s="6">
        <v>46235</v>
      </c>
      <c r="H4301" s="2" t="s">
        <v>176</v>
      </c>
      <c r="I4301" s="2" t="s">
        <v>70</v>
      </c>
      <c r="J4301" s="9">
        <v>13384.864615</v>
      </c>
      <c r="K4301" s="7">
        <v>0.65100000000000002</v>
      </c>
      <c r="L4301" s="9">
        <v>8713.5499999999993</v>
      </c>
      <c r="M4301" s="9">
        <v>8700.16</v>
      </c>
      <c r="N4301" s="9">
        <v>4.79</v>
      </c>
      <c r="O4301" s="10">
        <f>IF(AND(OR(H4301="APPROVED",H4301="SCHEDULED"),COUNTIFS(tblSource[EventID],F4301,tblSource[ReleaseStatus],"APPROVED")=1,COUNTIFS(Period_Status!$A$2:$A$8,G4301,Period_Status!$B$2:$B$8,"ActualClosed")=1,C4301&gt;EOMONTH(Settlement_Bridge!$C$2,0)),1,0)</f>
        <v>0</v>
      </c>
      <c r="P4301" s="2" t="s">
        <v>11607</v>
      </c>
    </row>
    <row r="4302" spans="1:16" x14ac:dyDescent="0.25">
      <c r="A4302" s="2" t="s">
        <v>11608</v>
      </c>
      <c r="B4302" s="2" t="s">
        <v>7433</v>
      </c>
      <c r="C4302" s="8">
        <v>46255</v>
      </c>
      <c r="D4302" s="6">
        <v>46235</v>
      </c>
      <c r="E4302" s="2" t="s">
        <v>260</v>
      </c>
      <c r="F4302" s="2" t="s">
        <v>11609</v>
      </c>
      <c r="G4302" s="6">
        <v>46235</v>
      </c>
      <c r="H4302" s="2" t="s">
        <v>71</v>
      </c>
      <c r="I4302" s="2" t="s">
        <v>39</v>
      </c>
      <c r="J4302" s="9">
        <v>5910.8360000000002</v>
      </c>
      <c r="K4302" s="7">
        <v>1</v>
      </c>
      <c r="L4302" s="9">
        <v>5910.84</v>
      </c>
      <c r="M4302" s="9">
        <v>5910.84</v>
      </c>
      <c r="N4302" s="9">
        <v>3.25</v>
      </c>
      <c r="O4302" s="10">
        <f>IF(AND(OR(H4302="APPROVED",H4302="SCHEDULED"),COUNTIFS(tblSource[EventID],F4302,tblSource[ReleaseStatus],"APPROVED")=1,COUNTIFS(Period_Status!$A$2:$A$8,G4302,Period_Status!$B$2:$B$8,"ActualClosed")=1,C4302&gt;EOMONTH(Settlement_Bridge!$C$2,0)),1,0)</f>
        <v>0</v>
      </c>
      <c r="P4302" s="2" t="s">
        <v>11610</v>
      </c>
    </row>
    <row r="4303" spans="1:16" x14ac:dyDescent="0.25">
      <c r="A4303" s="2" t="s">
        <v>11611</v>
      </c>
      <c r="B4303" s="2" t="s">
        <v>7433</v>
      </c>
      <c r="C4303" s="8">
        <v>46280</v>
      </c>
      <c r="D4303" s="6">
        <v>46266</v>
      </c>
      <c r="E4303" s="2" t="s">
        <v>260</v>
      </c>
      <c r="F4303" s="2" t="s">
        <v>11609</v>
      </c>
      <c r="G4303" s="6">
        <v>46235</v>
      </c>
      <c r="H4303" s="2" t="s">
        <v>176</v>
      </c>
      <c r="I4303" s="2" t="s">
        <v>39</v>
      </c>
      <c r="J4303" s="9">
        <v>8866.2540000000008</v>
      </c>
      <c r="K4303" s="7">
        <v>1</v>
      </c>
      <c r="L4303" s="9">
        <v>8866.25</v>
      </c>
      <c r="M4303" s="9">
        <v>8866.25</v>
      </c>
      <c r="N4303" s="9">
        <v>4.88</v>
      </c>
      <c r="O4303" s="10">
        <f>IF(AND(OR(H4303="APPROVED",H4303="SCHEDULED"),COUNTIFS(tblSource[EventID],F4303,tblSource[ReleaseStatus],"APPROVED")=1,COUNTIFS(Period_Status!$A$2:$A$8,G4303,Period_Status!$B$2:$B$8,"ActualClosed")=1,C4303&gt;EOMONTH(Settlement_Bridge!$C$2,0)),1,0)</f>
        <v>0</v>
      </c>
      <c r="P4303" s="2" t="s">
        <v>11612</v>
      </c>
    </row>
    <row r="4304" spans="1:16" x14ac:dyDescent="0.25">
      <c r="A4304" s="2" t="s">
        <v>11613</v>
      </c>
      <c r="B4304" s="2" t="s">
        <v>7433</v>
      </c>
      <c r="C4304" s="8">
        <v>46256</v>
      </c>
      <c r="D4304" s="6">
        <v>46235</v>
      </c>
      <c r="E4304" s="2" t="s">
        <v>260</v>
      </c>
      <c r="F4304" s="2" t="s">
        <v>11614</v>
      </c>
      <c r="G4304" s="6">
        <v>46235</v>
      </c>
      <c r="H4304" s="2" t="s">
        <v>71</v>
      </c>
      <c r="I4304" s="2" t="s">
        <v>76</v>
      </c>
      <c r="J4304" s="9">
        <v>97911544.715446994</v>
      </c>
      <c r="K4304" s="7">
        <v>6.1500000000000004E-5</v>
      </c>
      <c r="L4304" s="9">
        <v>6021.56</v>
      </c>
      <c r="M4304" s="9">
        <v>6021.56</v>
      </c>
      <c r="N4304" s="9">
        <v>3.31</v>
      </c>
      <c r="O4304" s="10">
        <f>IF(AND(OR(H4304="APPROVED",H4304="SCHEDULED"),COUNTIFS(tblSource[EventID],F4304,tblSource[ReleaseStatus],"APPROVED")=1,COUNTIFS(Period_Status!$A$2:$A$8,G4304,Period_Status!$B$2:$B$8,"ActualClosed")=1,C4304&gt;EOMONTH(Settlement_Bridge!$C$2,0)),1,0)</f>
        <v>0</v>
      </c>
      <c r="P4304" s="2" t="s">
        <v>11615</v>
      </c>
    </row>
    <row r="4305" spans="1:16" x14ac:dyDescent="0.25">
      <c r="A4305" s="2" t="s">
        <v>11616</v>
      </c>
      <c r="B4305" s="2" t="s">
        <v>7433</v>
      </c>
      <c r="C4305" s="8">
        <v>46281</v>
      </c>
      <c r="D4305" s="6">
        <v>46266</v>
      </c>
      <c r="E4305" s="2" t="s">
        <v>260</v>
      </c>
      <c r="F4305" s="2" t="s">
        <v>11614</v>
      </c>
      <c r="G4305" s="6">
        <v>46235</v>
      </c>
      <c r="H4305" s="2" t="s">
        <v>176</v>
      </c>
      <c r="I4305" s="2" t="s">
        <v>76</v>
      </c>
      <c r="J4305" s="9">
        <v>146867317.07317099</v>
      </c>
      <c r="K4305" s="7">
        <v>6.1299999999999999E-5</v>
      </c>
      <c r="L4305" s="9">
        <v>9002.9699999999993</v>
      </c>
      <c r="M4305" s="9">
        <v>9032.34</v>
      </c>
      <c r="N4305" s="9">
        <v>4.95</v>
      </c>
      <c r="O4305" s="10">
        <f>IF(AND(OR(H4305="APPROVED",H4305="SCHEDULED"),COUNTIFS(tblSource[EventID],F4305,tblSource[ReleaseStatus],"APPROVED")=1,COUNTIFS(Period_Status!$A$2:$A$8,G4305,Period_Status!$B$2:$B$8,"ActualClosed")=1,C4305&gt;EOMONTH(Settlement_Bridge!$C$2,0)),1,0)</f>
        <v>0</v>
      </c>
      <c r="P4305" s="2" t="s">
        <v>11617</v>
      </c>
    </row>
    <row r="4306" spans="1:16" x14ac:dyDescent="0.25">
      <c r="A4306" s="2" t="s">
        <v>11618</v>
      </c>
      <c r="B4306" s="2" t="s">
        <v>7433</v>
      </c>
      <c r="C4306" s="8">
        <v>46257</v>
      </c>
      <c r="D4306" s="6">
        <v>46235</v>
      </c>
      <c r="E4306" s="2" t="s">
        <v>260</v>
      </c>
      <c r="F4306" s="2" t="s">
        <v>11619</v>
      </c>
      <c r="G4306" s="6">
        <v>46235</v>
      </c>
      <c r="H4306" s="2" t="s">
        <v>71</v>
      </c>
      <c r="I4306" s="2" t="s">
        <v>70</v>
      </c>
      <c r="J4306" s="9">
        <v>9434.2892310000007</v>
      </c>
      <c r="K4306" s="7">
        <v>0.65</v>
      </c>
      <c r="L4306" s="9">
        <v>6132.29</v>
      </c>
      <c r="M4306" s="9">
        <v>6132.29</v>
      </c>
      <c r="N4306" s="9">
        <v>3.37</v>
      </c>
      <c r="O4306" s="10">
        <f>IF(AND(OR(H4306="APPROVED",H4306="SCHEDULED"),COUNTIFS(tblSource[EventID],F4306,tblSource[ReleaseStatus],"APPROVED")=1,COUNTIFS(Period_Status!$A$2:$A$8,G4306,Period_Status!$B$2:$B$8,"ActualClosed")=1,C4306&gt;EOMONTH(Settlement_Bridge!$C$2,0)),1,0)</f>
        <v>0</v>
      </c>
      <c r="P4306" s="2" t="s">
        <v>11620</v>
      </c>
    </row>
    <row r="4307" spans="1:16" x14ac:dyDescent="0.25">
      <c r="A4307" s="2" t="s">
        <v>11621</v>
      </c>
      <c r="B4307" s="2" t="s">
        <v>7433</v>
      </c>
      <c r="C4307" s="8">
        <v>46282</v>
      </c>
      <c r="D4307" s="6">
        <v>46266</v>
      </c>
      <c r="E4307" s="2" t="s">
        <v>260</v>
      </c>
      <c r="F4307" s="2" t="s">
        <v>11619</v>
      </c>
      <c r="G4307" s="6">
        <v>46235</v>
      </c>
      <c r="H4307" s="2" t="s">
        <v>176</v>
      </c>
      <c r="I4307" s="2" t="s">
        <v>70</v>
      </c>
      <c r="J4307" s="9">
        <v>14151.433846</v>
      </c>
      <c r="K4307" s="7">
        <v>0.65100000000000002</v>
      </c>
      <c r="L4307" s="9">
        <v>9212.58</v>
      </c>
      <c r="M4307" s="9">
        <v>9198.43</v>
      </c>
      <c r="N4307" s="9">
        <v>5.07</v>
      </c>
      <c r="O4307" s="10">
        <f>IF(AND(OR(H4307="APPROVED",H4307="SCHEDULED"),COUNTIFS(tblSource[EventID],F4307,tblSource[ReleaseStatus],"APPROVED")=1,COUNTIFS(Period_Status!$A$2:$A$8,G4307,Period_Status!$B$2:$B$8,"ActualClosed")=1,C4307&gt;EOMONTH(Settlement_Bridge!$C$2,0)),1,0)</f>
        <v>0</v>
      </c>
      <c r="P4307" s="2" t="s">
        <v>11622</v>
      </c>
    </row>
    <row r="4308" spans="1:16" x14ac:dyDescent="0.25">
      <c r="A4308" s="2" t="s">
        <v>11623</v>
      </c>
      <c r="B4308" s="2" t="s">
        <v>7433</v>
      </c>
      <c r="C4308" s="8">
        <v>46258</v>
      </c>
      <c r="D4308" s="6">
        <v>46235</v>
      </c>
      <c r="E4308" s="2" t="s">
        <v>260</v>
      </c>
      <c r="F4308" s="2" t="s">
        <v>11624</v>
      </c>
      <c r="G4308" s="6">
        <v>46235</v>
      </c>
      <c r="H4308" s="2" t="s">
        <v>71</v>
      </c>
      <c r="I4308" s="2" t="s">
        <v>39</v>
      </c>
      <c r="J4308" s="9">
        <v>6243.0159999999996</v>
      </c>
      <c r="K4308" s="7">
        <v>1</v>
      </c>
      <c r="L4308" s="9">
        <v>6243.02</v>
      </c>
      <c r="M4308" s="9">
        <v>6243.02</v>
      </c>
      <c r="N4308" s="9">
        <v>3.43</v>
      </c>
      <c r="O4308" s="10">
        <f>IF(AND(OR(H4308="APPROVED",H4308="SCHEDULED"),COUNTIFS(tblSource[EventID],F4308,tblSource[ReleaseStatus],"APPROVED")=1,COUNTIFS(Period_Status!$A$2:$A$8,G4308,Period_Status!$B$2:$B$8,"ActualClosed")=1,C4308&gt;EOMONTH(Settlement_Bridge!$C$2,0)),1,0)</f>
        <v>0</v>
      </c>
      <c r="P4308" s="2" t="s">
        <v>11625</v>
      </c>
    </row>
    <row r="4309" spans="1:16" x14ac:dyDescent="0.25">
      <c r="A4309" s="2" t="s">
        <v>11626</v>
      </c>
      <c r="B4309" s="2" t="s">
        <v>7433</v>
      </c>
      <c r="C4309" s="8">
        <v>46283</v>
      </c>
      <c r="D4309" s="6">
        <v>46266</v>
      </c>
      <c r="E4309" s="2" t="s">
        <v>260</v>
      </c>
      <c r="F4309" s="2" t="s">
        <v>11624</v>
      </c>
      <c r="G4309" s="6">
        <v>46235</v>
      </c>
      <c r="H4309" s="2" t="s">
        <v>176</v>
      </c>
      <c r="I4309" s="2" t="s">
        <v>39</v>
      </c>
      <c r="J4309" s="9">
        <v>9364.5239999999994</v>
      </c>
      <c r="K4309" s="7">
        <v>1</v>
      </c>
      <c r="L4309" s="9">
        <v>9364.52</v>
      </c>
      <c r="M4309" s="9">
        <v>9364.52</v>
      </c>
      <c r="N4309" s="9">
        <v>5.15</v>
      </c>
      <c r="O4309" s="10">
        <f>IF(AND(OR(H4309="APPROVED",H4309="SCHEDULED"),COUNTIFS(tblSource[EventID],F4309,tblSource[ReleaseStatus],"APPROVED")=1,COUNTIFS(Period_Status!$A$2:$A$8,G4309,Period_Status!$B$2:$B$8,"ActualClosed")=1,C4309&gt;EOMONTH(Settlement_Bridge!$C$2,0)),1,0)</f>
        <v>0</v>
      </c>
      <c r="P4309" s="2" t="s">
        <v>11627</v>
      </c>
    </row>
    <row r="4310" spans="1:16" x14ac:dyDescent="0.25">
      <c r="A4310" s="2" t="s">
        <v>11628</v>
      </c>
      <c r="B4310" s="2" t="s">
        <v>7433</v>
      </c>
      <c r="C4310" s="8">
        <v>46259</v>
      </c>
      <c r="D4310" s="6">
        <v>46235</v>
      </c>
      <c r="E4310" s="2" t="s">
        <v>260</v>
      </c>
      <c r="F4310" s="2" t="s">
        <v>11629</v>
      </c>
      <c r="G4310" s="6">
        <v>46235</v>
      </c>
      <c r="H4310" s="2" t="s">
        <v>71</v>
      </c>
      <c r="I4310" s="2" t="s">
        <v>76</v>
      </c>
      <c r="J4310" s="9">
        <v>103312845.528455</v>
      </c>
      <c r="K4310" s="7">
        <v>6.1500000000000004E-5</v>
      </c>
      <c r="L4310" s="9">
        <v>6353.74</v>
      </c>
      <c r="M4310" s="9">
        <v>6353.74</v>
      </c>
      <c r="N4310" s="9">
        <v>3.49</v>
      </c>
      <c r="O4310" s="10">
        <f>IF(AND(OR(H4310="APPROVED",H4310="SCHEDULED"),COUNTIFS(tblSource[EventID],F4310,tblSource[ReleaseStatus],"APPROVED")=1,COUNTIFS(Period_Status!$A$2:$A$8,G4310,Period_Status!$B$2:$B$8,"ActualClosed")=1,C4310&gt;EOMONTH(Settlement_Bridge!$C$2,0)),1,0)</f>
        <v>0</v>
      </c>
      <c r="P4310" s="2" t="s">
        <v>11630</v>
      </c>
    </row>
    <row r="4311" spans="1:16" x14ac:dyDescent="0.25">
      <c r="A4311" s="2" t="s">
        <v>11631</v>
      </c>
      <c r="B4311" s="2" t="s">
        <v>7433</v>
      </c>
      <c r="C4311" s="8">
        <v>46284</v>
      </c>
      <c r="D4311" s="6">
        <v>46266</v>
      </c>
      <c r="E4311" s="2" t="s">
        <v>260</v>
      </c>
      <c r="F4311" s="2" t="s">
        <v>11629</v>
      </c>
      <c r="G4311" s="6">
        <v>46235</v>
      </c>
      <c r="H4311" s="2" t="s">
        <v>176</v>
      </c>
      <c r="I4311" s="2" t="s">
        <v>76</v>
      </c>
      <c r="J4311" s="9">
        <v>154969268.29268301</v>
      </c>
      <c r="K4311" s="7">
        <v>6.1299999999999999E-5</v>
      </c>
      <c r="L4311" s="9">
        <v>9499.6200000000008</v>
      </c>
      <c r="M4311" s="9">
        <v>9530.61</v>
      </c>
      <c r="N4311" s="9">
        <v>5.22</v>
      </c>
      <c r="O4311" s="10">
        <f>IF(AND(OR(H4311="APPROVED",H4311="SCHEDULED"),COUNTIFS(tblSource[EventID],F4311,tblSource[ReleaseStatus],"APPROVED")=1,COUNTIFS(Period_Status!$A$2:$A$8,G4311,Period_Status!$B$2:$B$8,"ActualClosed")=1,C4311&gt;EOMONTH(Settlement_Bridge!$C$2,0)),1,0)</f>
        <v>0</v>
      </c>
      <c r="P4311" s="2" t="s">
        <v>11632</v>
      </c>
    </row>
    <row r="4312" spans="1:16" x14ac:dyDescent="0.25">
      <c r="A4312" s="2" t="s">
        <v>11633</v>
      </c>
      <c r="B4312" s="2" t="s">
        <v>7433</v>
      </c>
      <c r="C4312" s="8">
        <v>46260</v>
      </c>
      <c r="D4312" s="6">
        <v>46235</v>
      </c>
      <c r="E4312" s="2" t="s">
        <v>260</v>
      </c>
      <c r="F4312" s="2" t="s">
        <v>11634</v>
      </c>
      <c r="G4312" s="6">
        <v>46235</v>
      </c>
      <c r="H4312" s="2" t="s">
        <v>71</v>
      </c>
      <c r="I4312" s="2" t="s">
        <v>70</v>
      </c>
      <c r="J4312" s="9">
        <v>9945.3353850000003</v>
      </c>
      <c r="K4312" s="7">
        <v>0.65</v>
      </c>
      <c r="L4312" s="9">
        <v>6464.47</v>
      </c>
      <c r="M4312" s="9">
        <v>6464.47</v>
      </c>
      <c r="N4312" s="9">
        <v>3.56</v>
      </c>
      <c r="O4312" s="10">
        <f>IF(AND(OR(H4312="APPROVED",H4312="SCHEDULED"),COUNTIFS(tblSource[EventID],F4312,tblSource[ReleaseStatus],"APPROVED")=1,COUNTIFS(Period_Status!$A$2:$A$8,G4312,Period_Status!$B$2:$B$8,"ActualClosed")=1,C4312&gt;EOMONTH(Settlement_Bridge!$C$2,0)),1,0)</f>
        <v>0</v>
      </c>
      <c r="P4312" s="2" t="s">
        <v>11635</v>
      </c>
    </row>
    <row r="4313" spans="1:16" x14ac:dyDescent="0.25">
      <c r="A4313" s="2" t="s">
        <v>11636</v>
      </c>
      <c r="B4313" s="2" t="s">
        <v>7433</v>
      </c>
      <c r="C4313" s="8">
        <v>46285</v>
      </c>
      <c r="D4313" s="6">
        <v>46266</v>
      </c>
      <c r="E4313" s="2" t="s">
        <v>260</v>
      </c>
      <c r="F4313" s="2" t="s">
        <v>11634</v>
      </c>
      <c r="G4313" s="6">
        <v>46235</v>
      </c>
      <c r="H4313" s="2" t="s">
        <v>176</v>
      </c>
      <c r="I4313" s="2" t="s">
        <v>70</v>
      </c>
      <c r="J4313" s="9">
        <v>14918.003076999999</v>
      </c>
      <c r="K4313" s="7">
        <v>0.65100000000000002</v>
      </c>
      <c r="L4313" s="9">
        <v>9711.6200000000008</v>
      </c>
      <c r="M4313" s="9">
        <v>9696.7000000000007</v>
      </c>
      <c r="N4313" s="9">
        <v>5.34</v>
      </c>
      <c r="O4313" s="10">
        <f>IF(AND(OR(H4313="APPROVED",H4313="SCHEDULED"),COUNTIFS(tblSource[EventID],F4313,tblSource[ReleaseStatus],"APPROVED")=1,COUNTIFS(Period_Status!$A$2:$A$8,G4313,Period_Status!$B$2:$B$8,"ActualClosed")=1,C4313&gt;EOMONTH(Settlement_Bridge!$C$2,0)),1,0)</f>
        <v>0</v>
      </c>
      <c r="P4313" s="2" t="s">
        <v>11637</v>
      </c>
    </row>
    <row r="4314" spans="1:16" x14ac:dyDescent="0.25">
      <c r="A4314" s="2" t="s">
        <v>11638</v>
      </c>
      <c r="B4314" s="2" t="s">
        <v>7433</v>
      </c>
      <c r="C4314" s="8">
        <v>46261</v>
      </c>
      <c r="D4314" s="6">
        <v>46235</v>
      </c>
      <c r="E4314" s="2" t="s">
        <v>260</v>
      </c>
      <c r="F4314" s="2" t="s">
        <v>11639</v>
      </c>
      <c r="G4314" s="6">
        <v>46235</v>
      </c>
      <c r="H4314" s="2" t="s">
        <v>71</v>
      </c>
      <c r="I4314" s="2" t="s">
        <v>39</v>
      </c>
      <c r="J4314" s="9">
        <v>6575.192</v>
      </c>
      <c r="K4314" s="7">
        <v>1</v>
      </c>
      <c r="L4314" s="9">
        <v>6575.19</v>
      </c>
      <c r="M4314" s="9">
        <v>6575.19</v>
      </c>
      <c r="N4314" s="9">
        <v>3.62</v>
      </c>
      <c r="O4314" s="10">
        <f>IF(AND(OR(H4314="APPROVED",H4314="SCHEDULED"),COUNTIFS(tblSource[EventID],F4314,tblSource[ReleaseStatus],"APPROVED")=1,COUNTIFS(Period_Status!$A$2:$A$8,G4314,Period_Status!$B$2:$B$8,"ActualClosed")=1,C4314&gt;EOMONTH(Settlement_Bridge!$C$2,0)),1,0)</f>
        <v>0</v>
      </c>
      <c r="P4314" s="2" t="s">
        <v>11640</v>
      </c>
    </row>
    <row r="4315" spans="1:16" x14ac:dyDescent="0.25">
      <c r="A4315" s="2" t="s">
        <v>11641</v>
      </c>
      <c r="B4315" s="2" t="s">
        <v>7433</v>
      </c>
      <c r="C4315" s="8">
        <v>46286</v>
      </c>
      <c r="D4315" s="6">
        <v>46266</v>
      </c>
      <c r="E4315" s="2" t="s">
        <v>260</v>
      </c>
      <c r="F4315" s="2" t="s">
        <v>11639</v>
      </c>
      <c r="G4315" s="6">
        <v>46235</v>
      </c>
      <c r="H4315" s="2" t="s">
        <v>176</v>
      </c>
      <c r="I4315" s="2" t="s">
        <v>39</v>
      </c>
      <c r="J4315" s="9">
        <v>9862.7880000000005</v>
      </c>
      <c r="K4315" s="7">
        <v>1</v>
      </c>
      <c r="L4315" s="9">
        <v>9862.7900000000009</v>
      </c>
      <c r="M4315" s="9">
        <v>9862.7900000000009</v>
      </c>
      <c r="N4315" s="9">
        <v>5.42</v>
      </c>
      <c r="O4315" s="10">
        <f>IF(AND(OR(H4315="APPROVED",H4315="SCHEDULED"),COUNTIFS(tblSource[EventID],F4315,tblSource[ReleaseStatus],"APPROVED")=1,COUNTIFS(Period_Status!$A$2:$A$8,G4315,Period_Status!$B$2:$B$8,"ActualClosed")=1,C4315&gt;EOMONTH(Settlement_Bridge!$C$2,0)),1,0)</f>
        <v>0</v>
      </c>
      <c r="P4315" s="2" t="s">
        <v>11642</v>
      </c>
    </row>
    <row r="4316" spans="1:16" x14ac:dyDescent="0.25">
      <c r="A4316" s="2" t="s">
        <v>11643</v>
      </c>
      <c r="B4316" s="2" t="s">
        <v>7433</v>
      </c>
      <c r="C4316" s="8">
        <v>46262</v>
      </c>
      <c r="D4316" s="6">
        <v>46235</v>
      </c>
      <c r="E4316" s="2" t="s">
        <v>260</v>
      </c>
      <c r="F4316" s="2" t="s">
        <v>11644</v>
      </c>
      <c r="G4316" s="6">
        <v>46235</v>
      </c>
      <c r="H4316" s="2" t="s">
        <v>71</v>
      </c>
      <c r="I4316" s="2" t="s">
        <v>76</v>
      </c>
      <c r="J4316" s="9">
        <v>108714146.341463</v>
      </c>
      <c r="K4316" s="7">
        <v>6.1500000000000004E-5</v>
      </c>
      <c r="L4316" s="9">
        <v>6685.92</v>
      </c>
      <c r="M4316" s="9">
        <v>6685.92</v>
      </c>
      <c r="N4316" s="9">
        <v>3.68</v>
      </c>
      <c r="O4316" s="10">
        <f>IF(AND(OR(H4316="APPROVED",H4316="SCHEDULED"),COUNTIFS(tblSource[EventID],F4316,tblSource[ReleaseStatus],"APPROVED")=1,COUNTIFS(Period_Status!$A$2:$A$8,G4316,Period_Status!$B$2:$B$8,"ActualClosed")=1,C4316&gt;EOMONTH(Settlement_Bridge!$C$2,0)),1,0)</f>
        <v>0</v>
      </c>
      <c r="P4316" s="2" t="s">
        <v>11645</v>
      </c>
    </row>
    <row r="4317" spans="1:16" x14ac:dyDescent="0.25">
      <c r="A4317" s="2" t="s">
        <v>11646</v>
      </c>
      <c r="B4317" s="2" t="s">
        <v>7433</v>
      </c>
      <c r="C4317" s="8">
        <v>46287</v>
      </c>
      <c r="D4317" s="6">
        <v>46266</v>
      </c>
      <c r="E4317" s="2" t="s">
        <v>260</v>
      </c>
      <c r="F4317" s="2" t="s">
        <v>11644</v>
      </c>
      <c r="G4317" s="6">
        <v>46235</v>
      </c>
      <c r="H4317" s="2" t="s">
        <v>176</v>
      </c>
      <c r="I4317" s="2" t="s">
        <v>76</v>
      </c>
      <c r="J4317" s="9">
        <v>163071219.51219499</v>
      </c>
      <c r="K4317" s="7">
        <v>6.1299999999999999E-5</v>
      </c>
      <c r="L4317" s="9">
        <v>9996.27</v>
      </c>
      <c r="M4317" s="9">
        <v>10028.879999999999</v>
      </c>
      <c r="N4317" s="9">
        <v>5.5</v>
      </c>
      <c r="O4317" s="10">
        <f>IF(AND(OR(H4317="APPROVED",H4317="SCHEDULED"),COUNTIFS(tblSource[EventID],F4317,tblSource[ReleaseStatus],"APPROVED")=1,COUNTIFS(Period_Status!$A$2:$A$8,G4317,Period_Status!$B$2:$B$8,"ActualClosed")=1,C4317&gt;EOMONTH(Settlement_Bridge!$C$2,0)),1,0)</f>
        <v>0</v>
      </c>
      <c r="P4317" s="2" t="s">
        <v>11647</v>
      </c>
    </row>
    <row r="4318" spans="1:16" x14ac:dyDescent="0.25">
      <c r="A4318" s="2" t="s">
        <v>11648</v>
      </c>
      <c r="B4318" s="2" t="s">
        <v>7433</v>
      </c>
      <c r="C4318" s="8">
        <v>46263</v>
      </c>
      <c r="D4318" s="6">
        <v>46235</v>
      </c>
      <c r="E4318" s="2" t="s">
        <v>260</v>
      </c>
      <c r="F4318" s="2" t="s">
        <v>11649</v>
      </c>
      <c r="G4318" s="6">
        <v>46235</v>
      </c>
      <c r="H4318" s="2" t="s">
        <v>71</v>
      </c>
      <c r="I4318" s="2" t="s">
        <v>70</v>
      </c>
      <c r="J4318" s="9">
        <v>10456.381538</v>
      </c>
      <c r="K4318" s="7">
        <v>0.65</v>
      </c>
      <c r="L4318" s="9">
        <v>6796.65</v>
      </c>
      <c r="M4318" s="9">
        <v>6796.65</v>
      </c>
      <c r="N4318" s="9">
        <v>3.74</v>
      </c>
      <c r="O4318" s="10">
        <f>IF(AND(OR(H4318="APPROVED",H4318="SCHEDULED"),COUNTIFS(tblSource[EventID],F4318,tblSource[ReleaseStatus],"APPROVED")=1,COUNTIFS(Period_Status!$A$2:$A$8,G4318,Period_Status!$B$2:$B$8,"ActualClosed")=1,C4318&gt;EOMONTH(Settlement_Bridge!$C$2,0)),1,0)</f>
        <v>0</v>
      </c>
      <c r="P4318" s="2" t="s">
        <v>11650</v>
      </c>
    </row>
    <row r="4319" spans="1:16" x14ac:dyDescent="0.25">
      <c r="A4319" s="2" t="s">
        <v>11651</v>
      </c>
      <c r="B4319" s="2" t="s">
        <v>7433</v>
      </c>
      <c r="C4319" s="8">
        <v>46288</v>
      </c>
      <c r="D4319" s="6">
        <v>46266</v>
      </c>
      <c r="E4319" s="2" t="s">
        <v>260</v>
      </c>
      <c r="F4319" s="2" t="s">
        <v>11649</v>
      </c>
      <c r="G4319" s="6">
        <v>46235</v>
      </c>
      <c r="H4319" s="2" t="s">
        <v>176</v>
      </c>
      <c r="I4319" s="2" t="s">
        <v>70</v>
      </c>
      <c r="J4319" s="9">
        <v>15684.572308000001</v>
      </c>
      <c r="K4319" s="7">
        <v>0.65100000000000002</v>
      </c>
      <c r="L4319" s="9">
        <v>10210.66</v>
      </c>
      <c r="M4319" s="9">
        <v>10194.969999999999</v>
      </c>
      <c r="N4319" s="9">
        <v>5.62</v>
      </c>
      <c r="O4319" s="10">
        <f>IF(AND(OR(H4319="APPROVED",H4319="SCHEDULED"),COUNTIFS(tblSource[EventID],F4319,tblSource[ReleaseStatus],"APPROVED")=1,COUNTIFS(Period_Status!$A$2:$A$8,G4319,Period_Status!$B$2:$B$8,"ActualClosed")=1,C4319&gt;EOMONTH(Settlement_Bridge!$C$2,0)),1,0)</f>
        <v>0</v>
      </c>
      <c r="P4319" s="2" t="s">
        <v>11652</v>
      </c>
    </row>
    <row r="4320" spans="1:16" x14ac:dyDescent="0.25">
      <c r="A4320" s="2" t="s">
        <v>11653</v>
      </c>
      <c r="B4320" s="2" t="s">
        <v>7433</v>
      </c>
      <c r="C4320" s="8">
        <v>46264</v>
      </c>
      <c r="D4320" s="6">
        <v>46235</v>
      </c>
      <c r="E4320" s="2" t="s">
        <v>260</v>
      </c>
      <c r="F4320" s="2" t="s">
        <v>11654</v>
      </c>
      <c r="G4320" s="6">
        <v>46235</v>
      </c>
      <c r="H4320" s="2" t="s">
        <v>71</v>
      </c>
      <c r="I4320" s="2" t="s">
        <v>39</v>
      </c>
      <c r="J4320" s="9">
        <v>6907.3720000000003</v>
      </c>
      <c r="K4320" s="7">
        <v>1</v>
      </c>
      <c r="L4320" s="9">
        <v>6907.37</v>
      </c>
      <c r="M4320" s="9">
        <v>6907.37</v>
      </c>
      <c r="N4320" s="9">
        <v>3.8</v>
      </c>
      <c r="O4320" s="10">
        <f>IF(AND(OR(H4320="APPROVED",H4320="SCHEDULED"),COUNTIFS(tblSource[EventID],F4320,tblSource[ReleaseStatus],"APPROVED")=1,COUNTIFS(Period_Status!$A$2:$A$8,G4320,Period_Status!$B$2:$B$8,"ActualClosed")=1,C4320&gt;EOMONTH(Settlement_Bridge!$C$2,0)),1,0)</f>
        <v>0</v>
      </c>
      <c r="P4320" s="2" t="s">
        <v>11655</v>
      </c>
    </row>
    <row r="4321" spans="1:16" x14ac:dyDescent="0.25">
      <c r="A4321" s="2" t="s">
        <v>11656</v>
      </c>
      <c r="B4321" s="2" t="s">
        <v>7433</v>
      </c>
      <c r="C4321" s="8">
        <v>46289</v>
      </c>
      <c r="D4321" s="6">
        <v>46266</v>
      </c>
      <c r="E4321" s="2" t="s">
        <v>260</v>
      </c>
      <c r="F4321" s="2" t="s">
        <v>11654</v>
      </c>
      <c r="G4321" s="6">
        <v>46235</v>
      </c>
      <c r="H4321" s="2" t="s">
        <v>176</v>
      </c>
      <c r="I4321" s="2" t="s">
        <v>39</v>
      </c>
      <c r="J4321" s="9">
        <v>10361.058000000001</v>
      </c>
      <c r="K4321" s="7">
        <v>1</v>
      </c>
      <c r="L4321" s="9">
        <v>10361.06</v>
      </c>
      <c r="M4321" s="9">
        <v>10361.06</v>
      </c>
      <c r="N4321" s="9">
        <v>5.7</v>
      </c>
      <c r="O4321" s="10">
        <f>IF(AND(OR(H4321="APPROVED",H4321="SCHEDULED"),COUNTIFS(tblSource[EventID],F4321,tblSource[ReleaseStatus],"APPROVED")=1,COUNTIFS(Period_Status!$A$2:$A$8,G4321,Period_Status!$B$2:$B$8,"ActualClosed")=1,C4321&gt;EOMONTH(Settlement_Bridge!$C$2,0)),1,0)</f>
        <v>0</v>
      </c>
      <c r="P4321" s="2" t="s">
        <v>11657</v>
      </c>
    </row>
    <row r="4322" spans="1:16" x14ac:dyDescent="0.25">
      <c r="A4322" s="2" t="s">
        <v>11658</v>
      </c>
      <c r="B4322" s="2" t="s">
        <v>7433</v>
      </c>
      <c r="C4322" s="8">
        <v>46265</v>
      </c>
      <c r="D4322" s="6">
        <v>46235</v>
      </c>
      <c r="E4322" s="2" t="s">
        <v>260</v>
      </c>
      <c r="F4322" s="2" t="s">
        <v>11659</v>
      </c>
      <c r="G4322" s="6">
        <v>46235</v>
      </c>
      <c r="H4322" s="2" t="s">
        <v>71</v>
      </c>
      <c r="I4322" s="2" t="s">
        <v>76</v>
      </c>
      <c r="J4322" s="9">
        <v>114115447.15447199</v>
      </c>
      <c r="K4322" s="7">
        <v>6.1500000000000004E-5</v>
      </c>
      <c r="L4322" s="9">
        <v>7018.1</v>
      </c>
      <c r="M4322" s="9">
        <v>7018.1</v>
      </c>
      <c r="N4322" s="9">
        <v>3.86</v>
      </c>
      <c r="O4322" s="10">
        <f>IF(AND(OR(H4322="APPROVED",H4322="SCHEDULED"),COUNTIFS(tblSource[EventID],F4322,tblSource[ReleaseStatus],"APPROVED")=1,COUNTIFS(Period_Status!$A$2:$A$8,G4322,Period_Status!$B$2:$B$8,"ActualClosed")=1,C4322&gt;EOMONTH(Settlement_Bridge!$C$2,0)),1,0)</f>
        <v>0</v>
      </c>
      <c r="P4322" s="2" t="s">
        <v>11660</v>
      </c>
    </row>
    <row r="4323" spans="1:16" x14ac:dyDescent="0.25">
      <c r="A4323" s="2" t="s">
        <v>11661</v>
      </c>
      <c r="B4323" s="2" t="s">
        <v>7433</v>
      </c>
      <c r="C4323" s="8">
        <v>46290</v>
      </c>
      <c r="D4323" s="6">
        <v>46266</v>
      </c>
      <c r="E4323" s="2" t="s">
        <v>260</v>
      </c>
      <c r="F4323" s="2" t="s">
        <v>11659</v>
      </c>
      <c r="G4323" s="6">
        <v>46235</v>
      </c>
      <c r="H4323" s="2" t="s">
        <v>176</v>
      </c>
      <c r="I4323" s="2" t="s">
        <v>76</v>
      </c>
      <c r="J4323" s="9">
        <v>171173170.73170701</v>
      </c>
      <c r="K4323" s="7">
        <v>6.1299999999999999E-5</v>
      </c>
      <c r="L4323" s="9">
        <v>10492.92</v>
      </c>
      <c r="M4323" s="9">
        <v>10527.15</v>
      </c>
      <c r="N4323" s="9">
        <v>5.77</v>
      </c>
      <c r="O4323" s="10">
        <f>IF(AND(OR(H4323="APPROVED",H4323="SCHEDULED"),COUNTIFS(tblSource[EventID],F4323,tblSource[ReleaseStatus],"APPROVED")=1,COUNTIFS(Period_Status!$A$2:$A$8,G4323,Period_Status!$B$2:$B$8,"ActualClosed")=1,C4323&gt;EOMONTH(Settlement_Bridge!$C$2,0)),1,0)</f>
        <v>0</v>
      </c>
      <c r="P4323" s="2" t="s">
        <v>11662</v>
      </c>
    </row>
    <row r="4324" spans="1:16" x14ac:dyDescent="0.25">
      <c r="A4324" s="2" t="s">
        <v>11663</v>
      </c>
      <c r="B4324" s="2" t="s">
        <v>7433</v>
      </c>
      <c r="C4324" s="8">
        <v>46266</v>
      </c>
      <c r="D4324" s="6">
        <v>46266</v>
      </c>
      <c r="E4324" s="2" t="s">
        <v>260</v>
      </c>
      <c r="F4324" s="2" t="s">
        <v>11664</v>
      </c>
      <c r="G4324" s="6">
        <v>46235</v>
      </c>
      <c r="H4324" s="2" t="s">
        <v>176</v>
      </c>
      <c r="I4324" s="2" t="s">
        <v>70</v>
      </c>
      <c r="J4324" s="9">
        <v>10967.421538000001</v>
      </c>
      <c r="K4324" s="7">
        <v>0.65100000000000002</v>
      </c>
      <c r="L4324" s="9">
        <v>7139.79</v>
      </c>
      <c r="M4324" s="9">
        <v>7128.82</v>
      </c>
      <c r="N4324" s="9">
        <v>3.93</v>
      </c>
      <c r="O4324" s="10">
        <f>IF(AND(OR(H4324="APPROVED",H4324="SCHEDULED"),COUNTIFS(tblSource[EventID],F4324,tblSource[ReleaseStatus],"APPROVED")=1,COUNTIFS(Period_Status!$A$2:$A$8,G4324,Period_Status!$B$2:$B$8,"ActualClosed")=1,C4324&gt;EOMONTH(Settlement_Bridge!$C$2,0)),1,0)</f>
        <v>0</v>
      </c>
      <c r="P4324" s="2" t="s">
        <v>11665</v>
      </c>
    </row>
    <row r="4325" spans="1:16" x14ac:dyDescent="0.25">
      <c r="A4325" s="2" t="s">
        <v>11666</v>
      </c>
      <c r="B4325" s="2" t="s">
        <v>7433</v>
      </c>
      <c r="C4325" s="8">
        <v>46291</v>
      </c>
      <c r="D4325" s="6">
        <v>46266</v>
      </c>
      <c r="E4325" s="2" t="s">
        <v>260</v>
      </c>
      <c r="F4325" s="2" t="s">
        <v>11664</v>
      </c>
      <c r="G4325" s="6">
        <v>46235</v>
      </c>
      <c r="H4325" s="2" t="s">
        <v>176</v>
      </c>
      <c r="I4325" s="2" t="s">
        <v>70</v>
      </c>
      <c r="J4325" s="9">
        <v>16451.132308</v>
      </c>
      <c r="K4325" s="7">
        <v>0.65100000000000002</v>
      </c>
      <c r="L4325" s="9">
        <v>10709.69</v>
      </c>
      <c r="M4325" s="9">
        <v>10693.24</v>
      </c>
      <c r="N4325" s="9">
        <v>5.89</v>
      </c>
      <c r="O4325" s="10">
        <f>IF(AND(OR(H4325="APPROVED",H4325="SCHEDULED"),COUNTIFS(tblSource[EventID],F4325,tblSource[ReleaseStatus],"APPROVED")=1,COUNTIFS(Period_Status!$A$2:$A$8,G4325,Period_Status!$B$2:$B$8,"ActualClosed")=1,C4325&gt;EOMONTH(Settlement_Bridge!$C$2,0)),1,0)</f>
        <v>0</v>
      </c>
      <c r="P4325" s="2" t="s">
        <v>11667</v>
      </c>
    </row>
    <row r="4326" spans="1:16" x14ac:dyDescent="0.25">
      <c r="A4326" s="2" t="s">
        <v>11668</v>
      </c>
      <c r="B4326" s="2" t="s">
        <v>7433</v>
      </c>
      <c r="C4326" s="8">
        <v>46267</v>
      </c>
      <c r="D4326" s="6">
        <v>46266</v>
      </c>
      <c r="E4326" s="2" t="s">
        <v>260</v>
      </c>
      <c r="F4326" s="2" t="s">
        <v>11669</v>
      </c>
      <c r="G4326" s="6">
        <v>46235</v>
      </c>
      <c r="H4326" s="2" t="s">
        <v>176</v>
      </c>
      <c r="I4326" s="2" t="s">
        <v>39</v>
      </c>
      <c r="J4326" s="9">
        <v>7239.5519999999997</v>
      </c>
      <c r="K4326" s="7">
        <v>1</v>
      </c>
      <c r="L4326" s="9">
        <v>7239.55</v>
      </c>
      <c r="M4326" s="9">
        <v>7239.55</v>
      </c>
      <c r="N4326" s="9">
        <v>3.98</v>
      </c>
      <c r="O4326" s="10">
        <f>IF(AND(OR(H4326="APPROVED",H4326="SCHEDULED"),COUNTIFS(tblSource[EventID],F4326,tblSource[ReleaseStatus],"APPROVED")=1,COUNTIFS(Period_Status!$A$2:$A$8,G4326,Period_Status!$B$2:$B$8,"ActualClosed")=1,C4326&gt;EOMONTH(Settlement_Bridge!$C$2,0)),1,0)</f>
        <v>0</v>
      </c>
      <c r="P4326" s="2" t="s">
        <v>11670</v>
      </c>
    </row>
    <row r="4327" spans="1:16" x14ac:dyDescent="0.25">
      <c r="A4327" s="2" t="s">
        <v>11671</v>
      </c>
      <c r="B4327" s="2" t="s">
        <v>7433</v>
      </c>
      <c r="C4327" s="8">
        <v>46292</v>
      </c>
      <c r="D4327" s="6">
        <v>46266</v>
      </c>
      <c r="E4327" s="2" t="s">
        <v>260</v>
      </c>
      <c r="F4327" s="2" t="s">
        <v>11669</v>
      </c>
      <c r="G4327" s="6">
        <v>46235</v>
      </c>
      <c r="H4327" s="2" t="s">
        <v>176</v>
      </c>
      <c r="I4327" s="2" t="s">
        <v>39</v>
      </c>
      <c r="J4327" s="9">
        <v>10859.328</v>
      </c>
      <c r="K4327" s="7">
        <v>1</v>
      </c>
      <c r="L4327" s="9">
        <v>10859.33</v>
      </c>
      <c r="M4327" s="9">
        <v>10859.33</v>
      </c>
      <c r="N4327" s="9">
        <v>5.97</v>
      </c>
      <c r="O4327" s="10">
        <f>IF(AND(OR(H4327="APPROVED",H4327="SCHEDULED"),COUNTIFS(tblSource[EventID],F4327,tblSource[ReleaseStatus],"APPROVED")=1,COUNTIFS(Period_Status!$A$2:$A$8,G4327,Period_Status!$B$2:$B$8,"ActualClosed")=1,C4327&gt;EOMONTH(Settlement_Bridge!$C$2,0)),1,0)</f>
        <v>0</v>
      </c>
      <c r="P4327" s="2" t="s">
        <v>11672</v>
      </c>
    </row>
    <row r="4328" spans="1:16" x14ac:dyDescent="0.25">
      <c r="A4328" s="2" t="s">
        <v>11673</v>
      </c>
      <c r="B4328" s="2" t="s">
        <v>7433</v>
      </c>
      <c r="C4328" s="8">
        <v>46268</v>
      </c>
      <c r="D4328" s="6">
        <v>46266</v>
      </c>
      <c r="E4328" s="2" t="s">
        <v>260</v>
      </c>
      <c r="F4328" s="2" t="s">
        <v>11674</v>
      </c>
      <c r="G4328" s="6">
        <v>46235</v>
      </c>
      <c r="H4328" s="2" t="s">
        <v>176</v>
      </c>
      <c r="I4328" s="2" t="s">
        <v>76</v>
      </c>
      <c r="J4328" s="9">
        <v>119516747.96748</v>
      </c>
      <c r="K4328" s="7">
        <v>6.1299999999999999E-5</v>
      </c>
      <c r="L4328" s="9">
        <v>7326.38</v>
      </c>
      <c r="M4328" s="9">
        <v>7350.28</v>
      </c>
      <c r="N4328" s="9">
        <v>4.03</v>
      </c>
      <c r="O4328" s="10">
        <f>IF(AND(OR(H4328="APPROVED",H4328="SCHEDULED"),COUNTIFS(tblSource[EventID],F4328,tblSource[ReleaseStatus],"APPROVED")=1,COUNTIFS(Period_Status!$A$2:$A$8,G4328,Period_Status!$B$2:$B$8,"ActualClosed")=1,C4328&gt;EOMONTH(Settlement_Bridge!$C$2,0)),1,0)</f>
        <v>0</v>
      </c>
      <c r="P4328" s="2" t="s">
        <v>11675</v>
      </c>
    </row>
    <row r="4329" spans="1:16" x14ac:dyDescent="0.25">
      <c r="A4329" s="2" t="s">
        <v>11676</v>
      </c>
      <c r="B4329" s="2" t="s">
        <v>7433</v>
      </c>
      <c r="C4329" s="8">
        <v>46293</v>
      </c>
      <c r="D4329" s="6">
        <v>46266</v>
      </c>
      <c r="E4329" s="2" t="s">
        <v>260</v>
      </c>
      <c r="F4329" s="2" t="s">
        <v>11674</v>
      </c>
      <c r="G4329" s="6">
        <v>46235</v>
      </c>
      <c r="H4329" s="2" t="s">
        <v>176</v>
      </c>
      <c r="I4329" s="2" t="s">
        <v>76</v>
      </c>
      <c r="J4329" s="9">
        <v>179275121.95121899</v>
      </c>
      <c r="K4329" s="7">
        <v>6.1299999999999999E-5</v>
      </c>
      <c r="L4329" s="9">
        <v>10989.56</v>
      </c>
      <c r="M4329" s="9">
        <v>11025.42</v>
      </c>
      <c r="N4329" s="9">
        <v>6.04</v>
      </c>
      <c r="O4329" s="10">
        <f>IF(AND(OR(H4329="APPROVED",H4329="SCHEDULED"),COUNTIFS(tblSource[EventID],F4329,tblSource[ReleaseStatus],"APPROVED")=1,COUNTIFS(Period_Status!$A$2:$A$8,G4329,Period_Status!$B$2:$B$8,"ActualClosed")=1,C4329&gt;EOMONTH(Settlement_Bridge!$C$2,0)),1,0)</f>
        <v>0</v>
      </c>
      <c r="P4329" s="2" t="s">
        <v>11677</v>
      </c>
    </row>
    <row r="4330" spans="1:16" x14ac:dyDescent="0.25">
      <c r="A4330" s="2" t="s">
        <v>11678</v>
      </c>
      <c r="B4330" s="2" t="s">
        <v>7433</v>
      </c>
      <c r="C4330" s="8">
        <v>46269</v>
      </c>
      <c r="D4330" s="6">
        <v>46266</v>
      </c>
      <c r="E4330" s="2" t="s">
        <v>260</v>
      </c>
      <c r="F4330" s="2" t="s">
        <v>11679</v>
      </c>
      <c r="G4330" s="6">
        <v>46235</v>
      </c>
      <c r="H4330" s="2" t="s">
        <v>176</v>
      </c>
      <c r="I4330" s="2" t="s">
        <v>70</v>
      </c>
      <c r="J4330" s="9">
        <v>11478.467692</v>
      </c>
      <c r="K4330" s="7">
        <v>0.65100000000000002</v>
      </c>
      <c r="L4330" s="9">
        <v>7472.48</v>
      </c>
      <c r="M4330" s="9">
        <v>7461</v>
      </c>
      <c r="N4330" s="9">
        <v>4.1100000000000003</v>
      </c>
      <c r="O4330" s="10">
        <f>IF(AND(OR(H4330="APPROVED",H4330="SCHEDULED"),COUNTIFS(tblSource[EventID],F4330,tblSource[ReleaseStatus],"APPROVED")=1,COUNTIFS(Period_Status!$A$2:$A$8,G4330,Period_Status!$B$2:$B$8,"ActualClosed")=1,C4330&gt;EOMONTH(Settlement_Bridge!$C$2,0)),1,0)</f>
        <v>0</v>
      </c>
      <c r="P4330" s="2" t="s">
        <v>11680</v>
      </c>
    </row>
    <row r="4331" spans="1:16" x14ac:dyDescent="0.25">
      <c r="A4331" s="2" t="s">
        <v>11681</v>
      </c>
      <c r="B4331" s="2" t="s">
        <v>7433</v>
      </c>
      <c r="C4331" s="8">
        <v>46294</v>
      </c>
      <c r="D4331" s="6">
        <v>46266</v>
      </c>
      <c r="E4331" s="2" t="s">
        <v>260</v>
      </c>
      <c r="F4331" s="2" t="s">
        <v>11679</v>
      </c>
      <c r="G4331" s="6">
        <v>46235</v>
      </c>
      <c r="H4331" s="2" t="s">
        <v>176</v>
      </c>
      <c r="I4331" s="2" t="s">
        <v>70</v>
      </c>
      <c r="J4331" s="9">
        <v>17217.701539000002</v>
      </c>
      <c r="K4331" s="7">
        <v>0.65100000000000002</v>
      </c>
      <c r="L4331" s="9">
        <v>11208.72</v>
      </c>
      <c r="M4331" s="9">
        <v>11191.51</v>
      </c>
      <c r="N4331" s="9">
        <v>6.16</v>
      </c>
      <c r="O4331" s="10">
        <f>IF(AND(OR(H4331="APPROVED",H4331="SCHEDULED"),COUNTIFS(tblSource[EventID],F4331,tblSource[ReleaseStatus],"APPROVED")=1,COUNTIFS(Period_Status!$A$2:$A$8,G4331,Period_Status!$B$2:$B$8,"ActualClosed")=1,C4331&gt;EOMONTH(Settlement_Bridge!$C$2,0)),1,0)</f>
        <v>0</v>
      </c>
      <c r="P4331" s="2" t="s">
        <v>11682</v>
      </c>
    </row>
    <row r="4332" spans="1:16" x14ac:dyDescent="0.25">
      <c r="A4332" s="2" t="s">
        <v>11683</v>
      </c>
      <c r="B4332" s="2" t="s">
        <v>7433</v>
      </c>
      <c r="C4332" s="8">
        <v>46270</v>
      </c>
      <c r="D4332" s="6">
        <v>46266</v>
      </c>
      <c r="E4332" s="2" t="s">
        <v>260</v>
      </c>
      <c r="F4332" s="2" t="s">
        <v>11684</v>
      </c>
      <c r="G4332" s="6">
        <v>46235</v>
      </c>
      <c r="H4332" s="2" t="s">
        <v>176</v>
      </c>
      <c r="I4332" s="2" t="s">
        <v>39</v>
      </c>
      <c r="J4332" s="9">
        <v>7571.732</v>
      </c>
      <c r="K4332" s="7">
        <v>1</v>
      </c>
      <c r="L4332" s="9">
        <v>7571.73</v>
      </c>
      <c r="M4332" s="9">
        <v>7571.73</v>
      </c>
      <c r="N4332" s="9">
        <v>4.16</v>
      </c>
      <c r="O4332" s="10">
        <f>IF(AND(OR(H4332="APPROVED",H4332="SCHEDULED"),COUNTIFS(tblSource[EventID],F4332,tblSource[ReleaseStatus],"APPROVED")=1,COUNTIFS(Period_Status!$A$2:$A$8,G4332,Period_Status!$B$2:$B$8,"ActualClosed")=1,C4332&gt;EOMONTH(Settlement_Bridge!$C$2,0)),1,0)</f>
        <v>0</v>
      </c>
      <c r="P4332" s="2" t="s">
        <v>11685</v>
      </c>
    </row>
    <row r="4333" spans="1:16" x14ac:dyDescent="0.25">
      <c r="A4333" s="2" t="s">
        <v>11686</v>
      </c>
      <c r="B4333" s="2" t="s">
        <v>7433</v>
      </c>
      <c r="C4333" s="8">
        <v>46295</v>
      </c>
      <c r="D4333" s="6">
        <v>46266</v>
      </c>
      <c r="E4333" s="2" t="s">
        <v>260</v>
      </c>
      <c r="F4333" s="2" t="s">
        <v>11684</v>
      </c>
      <c r="G4333" s="6">
        <v>46235</v>
      </c>
      <c r="H4333" s="2" t="s">
        <v>176</v>
      </c>
      <c r="I4333" s="2" t="s">
        <v>39</v>
      </c>
      <c r="J4333" s="9">
        <v>11357.598</v>
      </c>
      <c r="K4333" s="7">
        <v>1</v>
      </c>
      <c r="L4333" s="9">
        <v>11357.6</v>
      </c>
      <c r="M4333" s="9">
        <v>11357.6</v>
      </c>
      <c r="N4333" s="9">
        <v>6.25</v>
      </c>
      <c r="O4333" s="10">
        <f>IF(AND(OR(H4333="APPROVED",H4333="SCHEDULED"),COUNTIFS(tblSource[EventID],F4333,tblSource[ReleaseStatus],"APPROVED")=1,COUNTIFS(Period_Status!$A$2:$A$8,G4333,Period_Status!$B$2:$B$8,"ActualClosed")=1,C4333&gt;EOMONTH(Settlement_Bridge!$C$2,0)),1,0)</f>
        <v>0</v>
      </c>
      <c r="P4333" s="2" t="s">
        <v>11687</v>
      </c>
    </row>
    <row r="4334" spans="1:16" x14ac:dyDescent="0.25">
      <c r="A4334" s="2" t="s">
        <v>11688</v>
      </c>
      <c r="B4334" s="2" t="s">
        <v>7433</v>
      </c>
      <c r="C4334" s="8">
        <v>46271</v>
      </c>
      <c r="D4334" s="6">
        <v>46266</v>
      </c>
      <c r="E4334" s="2" t="s">
        <v>260</v>
      </c>
      <c r="F4334" s="2" t="s">
        <v>11689</v>
      </c>
      <c r="G4334" s="6">
        <v>46235</v>
      </c>
      <c r="H4334" s="2" t="s">
        <v>176</v>
      </c>
      <c r="I4334" s="2" t="s">
        <v>76</v>
      </c>
      <c r="J4334" s="9">
        <v>124917983.73983701</v>
      </c>
      <c r="K4334" s="7">
        <v>6.1299999999999999E-5</v>
      </c>
      <c r="L4334" s="9">
        <v>7657.47</v>
      </c>
      <c r="M4334" s="9">
        <v>7682.46</v>
      </c>
      <c r="N4334" s="9">
        <v>4.21</v>
      </c>
      <c r="O4334" s="10">
        <f>IF(AND(OR(H4334="APPROVED",H4334="SCHEDULED"),COUNTIFS(tblSource[EventID],F4334,tblSource[ReleaseStatus],"APPROVED")=1,COUNTIFS(Period_Status!$A$2:$A$8,G4334,Period_Status!$B$2:$B$8,"ActualClosed")=1,C4334&gt;EOMONTH(Settlement_Bridge!$C$2,0)),1,0)</f>
        <v>0</v>
      </c>
      <c r="P4334" s="2" t="s">
        <v>11690</v>
      </c>
    </row>
    <row r="4335" spans="1:16" x14ac:dyDescent="0.25">
      <c r="A4335" s="2" t="s">
        <v>11691</v>
      </c>
      <c r="B4335" s="2" t="s">
        <v>7433</v>
      </c>
      <c r="C4335" s="8">
        <v>46296</v>
      </c>
      <c r="D4335" s="6">
        <v>46296</v>
      </c>
      <c r="E4335" s="2" t="s">
        <v>260</v>
      </c>
      <c r="F4335" s="2" t="s">
        <v>11689</v>
      </c>
      <c r="G4335" s="6">
        <v>46235</v>
      </c>
      <c r="H4335" s="2" t="s">
        <v>176</v>
      </c>
      <c r="I4335" s="2" t="s">
        <v>76</v>
      </c>
      <c r="J4335" s="9">
        <v>187376975.60975599</v>
      </c>
      <c r="K4335" s="7">
        <v>6.1099999999999994E-5</v>
      </c>
      <c r="L4335" s="9">
        <v>11448.73</v>
      </c>
      <c r="M4335" s="9">
        <v>11523.68</v>
      </c>
      <c r="N4335" s="9">
        <v>6.3</v>
      </c>
      <c r="O4335" s="10">
        <f>IF(AND(OR(H4335="APPROVED",H4335="SCHEDULED"),COUNTIFS(tblSource[EventID],F4335,tblSource[ReleaseStatus],"APPROVED")=1,COUNTIFS(Period_Status!$A$2:$A$8,G4335,Period_Status!$B$2:$B$8,"ActualClosed")=1,C4335&gt;EOMONTH(Settlement_Bridge!$C$2,0)),1,0)</f>
        <v>0</v>
      </c>
      <c r="P4335" s="2" t="s">
        <v>11692</v>
      </c>
    </row>
    <row r="4336" spans="1:16" x14ac:dyDescent="0.25">
      <c r="A4336" s="2" t="s">
        <v>11693</v>
      </c>
      <c r="B4336" s="2" t="s">
        <v>7433</v>
      </c>
      <c r="C4336" s="8">
        <v>46272</v>
      </c>
      <c r="D4336" s="6">
        <v>46266</v>
      </c>
      <c r="E4336" s="2" t="s">
        <v>260</v>
      </c>
      <c r="F4336" s="2" t="s">
        <v>11694</v>
      </c>
      <c r="G4336" s="6">
        <v>46235</v>
      </c>
      <c r="H4336" s="2" t="s">
        <v>176</v>
      </c>
      <c r="I4336" s="2" t="s">
        <v>70</v>
      </c>
      <c r="J4336" s="9">
        <v>-29973.784615</v>
      </c>
      <c r="K4336" s="7">
        <v>0.65100000000000002</v>
      </c>
      <c r="L4336" s="9">
        <v>-19512.93</v>
      </c>
      <c r="M4336" s="9">
        <v>-19482.96</v>
      </c>
      <c r="N4336" s="9">
        <v>0</v>
      </c>
      <c r="O4336" s="10">
        <f>IF(AND(OR(H4336="APPROVED",H4336="SCHEDULED"),COUNTIFS(tblSource[EventID],F4336,tblSource[ReleaseStatus],"APPROVED")=1,COUNTIFS(Period_Status!$A$2:$A$8,G4336,Period_Status!$B$2:$B$8,"ActualClosed")=1,C4336&gt;EOMONTH(Settlement_Bridge!$C$2,0)),1,0)</f>
        <v>0</v>
      </c>
      <c r="P4336" s="2" t="s">
        <v>11695</v>
      </c>
    </row>
    <row r="4337" spans="1:16" x14ac:dyDescent="0.25">
      <c r="A4337" s="2" t="s">
        <v>11696</v>
      </c>
      <c r="B4337" s="2" t="s">
        <v>7433</v>
      </c>
      <c r="C4337" s="8">
        <v>46273</v>
      </c>
      <c r="D4337" s="6">
        <v>46266</v>
      </c>
      <c r="E4337" s="2" t="s">
        <v>260</v>
      </c>
      <c r="F4337" s="2" t="s">
        <v>11697</v>
      </c>
      <c r="G4337" s="6">
        <v>46235</v>
      </c>
      <c r="H4337" s="2" t="s">
        <v>176</v>
      </c>
      <c r="I4337" s="2" t="s">
        <v>39</v>
      </c>
      <c r="J4337" s="9">
        <v>7903.9120000000003</v>
      </c>
      <c r="K4337" s="7">
        <v>1</v>
      </c>
      <c r="L4337" s="9">
        <v>7903.91</v>
      </c>
      <c r="M4337" s="9">
        <v>7903.91</v>
      </c>
      <c r="N4337" s="9">
        <v>4.3499999999999996</v>
      </c>
      <c r="O4337" s="10">
        <f>IF(AND(OR(H4337="APPROVED",H4337="SCHEDULED"),COUNTIFS(tblSource[EventID],F4337,tblSource[ReleaseStatus],"APPROVED")=1,COUNTIFS(Period_Status!$A$2:$A$8,G4337,Period_Status!$B$2:$B$8,"ActualClosed")=1,C4337&gt;EOMONTH(Settlement_Bridge!$C$2,0)),1,0)</f>
        <v>0</v>
      </c>
      <c r="P4337" s="2" t="s">
        <v>11698</v>
      </c>
    </row>
    <row r="4338" spans="1:16" x14ac:dyDescent="0.25">
      <c r="A4338" s="2" t="s">
        <v>11699</v>
      </c>
      <c r="B4338" s="2" t="s">
        <v>7433</v>
      </c>
      <c r="C4338" s="8">
        <v>46298</v>
      </c>
      <c r="D4338" s="6">
        <v>46296</v>
      </c>
      <c r="E4338" s="2" t="s">
        <v>260</v>
      </c>
      <c r="F4338" s="2" t="s">
        <v>11697</v>
      </c>
      <c r="G4338" s="6">
        <v>46235</v>
      </c>
      <c r="H4338" s="2" t="s">
        <v>176</v>
      </c>
      <c r="I4338" s="2" t="s">
        <v>39</v>
      </c>
      <c r="J4338" s="9">
        <v>11855.868</v>
      </c>
      <c r="K4338" s="7">
        <v>1</v>
      </c>
      <c r="L4338" s="9">
        <v>11855.87</v>
      </c>
      <c r="M4338" s="9">
        <v>11855.87</v>
      </c>
      <c r="N4338" s="9">
        <v>6.52</v>
      </c>
      <c r="O4338" s="10">
        <f>IF(AND(OR(H4338="APPROVED",H4338="SCHEDULED"),COUNTIFS(tblSource[EventID],F4338,tblSource[ReleaseStatus],"APPROVED")=1,COUNTIFS(Period_Status!$A$2:$A$8,G4338,Period_Status!$B$2:$B$8,"ActualClosed")=1,C4338&gt;EOMONTH(Settlement_Bridge!$C$2,0)),1,0)</f>
        <v>0</v>
      </c>
      <c r="P4338" s="2" t="s">
        <v>11700</v>
      </c>
    </row>
    <row r="4339" spans="1:16" x14ac:dyDescent="0.25">
      <c r="A4339" s="2" t="s">
        <v>11701</v>
      </c>
      <c r="B4339" s="2" t="s">
        <v>7433</v>
      </c>
      <c r="C4339" s="8">
        <v>46274</v>
      </c>
      <c r="D4339" s="6">
        <v>46266</v>
      </c>
      <c r="E4339" s="2" t="s">
        <v>260</v>
      </c>
      <c r="F4339" s="2" t="s">
        <v>11702</v>
      </c>
      <c r="G4339" s="6">
        <v>46235</v>
      </c>
      <c r="H4339" s="2" t="s">
        <v>176</v>
      </c>
      <c r="I4339" s="2" t="s">
        <v>76</v>
      </c>
      <c r="J4339" s="9">
        <v>130319284.552846</v>
      </c>
      <c r="K4339" s="7">
        <v>6.1299999999999999E-5</v>
      </c>
      <c r="L4339" s="9">
        <v>7988.57</v>
      </c>
      <c r="M4339" s="9">
        <v>8014.64</v>
      </c>
      <c r="N4339" s="9">
        <v>4.3899999999999997</v>
      </c>
      <c r="O4339" s="10">
        <f>IF(AND(OR(H4339="APPROVED",H4339="SCHEDULED"),COUNTIFS(tblSource[EventID],F4339,tblSource[ReleaseStatus],"APPROVED")=1,COUNTIFS(Period_Status!$A$2:$A$8,G4339,Period_Status!$B$2:$B$8,"ActualClosed")=1,C4339&gt;EOMONTH(Settlement_Bridge!$C$2,0)),1,0)</f>
        <v>0</v>
      </c>
      <c r="P4339" s="2" t="s">
        <v>11703</v>
      </c>
    </row>
    <row r="4340" spans="1:16" x14ac:dyDescent="0.25">
      <c r="A4340" s="2" t="s">
        <v>11704</v>
      </c>
      <c r="B4340" s="2" t="s">
        <v>7433</v>
      </c>
      <c r="C4340" s="8">
        <v>46299</v>
      </c>
      <c r="D4340" s="6">
        <v>46296</v>
      </c>
      <c r="E4340" s="2" t="s">
        <v>260</v>
      </c>
      <c r="F4340" s="2" t="s">
        <v>11702</v>
      </c>
      <c r="G4340" s="6">
        <v>46235</v>
      </c>
      <c r="H4340" s="2" t="s">
        <v>176</v>
      </c>
      <c r="I4340" s="2" t="s">
        <v>76</v>
      </c>
      <c r="J4340" s="9">
        <v>195478926.82926801</v>
      </c>
      <c r="K4340" s="7">
        <v>6.1099999999999994E-5</v>
      </c>
      <c r="L4340" s="9">
        <v>11943.76</v>
      </c>
      <c r="M4340" s="9">
        <v>12021.95</v>
      </c>
      <c r="N4340" s="9">
        <v>6.57</v>
      </c>
      <c r="O4340" s="10">
        <f>IF(AND(OR(H4340="APPROVED",H4340="SCHEDULED"),COUNTIFS(tblSource[EventID],F4340,tblSource[ReleaseStatus],"APPROVED")=1,COUNTIFS(Period_Status!$A$2:$A$8,G4340,Period_Status!$B$2:$B$8,"ActualClosed")=1,C4340&gt;EOMONTH(Settlement_Bridge!$C$2,0)),1,0)</f>
        <v>0</v>
      </c>
      <c r="P4340" s="2" t="s">
        <v>11705</v>
      </c>
    </row>
    <row r="4341" spans="1:16" x14ac:dyDescent="0.25">
      <c r="A4341" s="2" t="s">
        <v>11706</v>
      </c>
      <c r="B4341" s="2" t="s">
        <v>7433</v>
      </c>
      <c r="C4341" s="8">
        <v>46275</v>
      </c>
      <c r="D4341" s="6">
        <v>46266</v>
      </c>
      <c r="E4341" s="2" t="s">
        <v>260</v>
      </c>
      <c r="F4341" s="2" t="s">
        <v>11707</v>
      </c>
      <c r="G4341" s="6">
        <v>46235</v>
      </c>
      <c r="H4341" s="2" t="s">
        <v>176</v>
      </c>
      <c r="I4341" s="2" t="s">
        <v>70</v>
      </c>
      <c r="J4341" s="9">
        <v>12500.56</v>
      </c>
      <c r="K4341" s="7">
        <v>0.65100000000000002</v>
      </c>
      <c r="L4341" s="9">
        <v>8137.86</v>
      </c>
      <c r="M4341" s="9">
        <v>8125.36</v>
      </c>
      <c r="N4341" s="9">
        <v>4.4800000000000004</v>
      </c>
      <c r="O4341" s="10">
        <f>IF(AND(OR(H4341="APPROVED",H4341="SCHEDULED"),COUNTIFS(tblSource[EventID],F4341,tblSource[ReleaseStatus],"APPROVED")=1,COUNTIFS(Period_Status!$A$2:$A$8,G4341,Period_Status!$B$2:$B$8,"ActualClosed")=1,C4341&gt;EOMONTH(Settlement_Bridge!$C$2,0)),1,0)</f>
        <v>0</v>
      </c>
      <c r="P4341" s="2" t="s">
        <v>11708</v>
      </c>
    </row>
    <row r="4342" spans="1:16" x14ac:dyDescent="0.25">
      <c r="A4342" s="2" t="s">
        <v>11709</v>
      </c>
      <c r="B4342" s="2" t="s">
        <v>7433</v>
      </c>
      <c r="C4342" s="8">
        <v>46300</v>
      </c>
      <c r="D4342" s="6">
        <v>46296</v>
      </c>
      <c r="E4342" s="2" t="s">
        <v>260</v>
      </c>
      <c r="F4342" s="2" t="s">
        <v>11707</v>
      </c>
      <c r="G4342" s="6">
        <v>46235</v>
      </c>
      <c r="H4342" s="2" t="s">
        <v>176</v>
      </c>
      <c r="I4342" s="2" t="s">
        <v>70</v>
      </c>
      <c r="J4342" s="9">
        <v>18750.84</v>
      </c>
      <c r="K4342" s="7">
        <v>0.65500000000000003</v>
      </c>
      <c r="L4342" s="9">
        <v>12281.8</v>
      </c>
      <c r="M4342" s="9">
        <v>12188.05</v>
      </c>
      <c r="N4342" s="9">
        <v>6.75</v>
      </c>
      <c r="O4342" s="10">
        <f>IF(AND(OR(H4342="APPROVED",H4342="SCHEDULED"),COUNTIFS(tblSource[EventID],F4342,tblSource[ReleaseStatus],"APPROVED")=1,COUNTIFS(Period_Status!$A$2:$A$8,G4342,Period_Status!$B$2:$B$8,"ActualClosed")=1,C4342&gt;EOMONTH(Settlement_Bridge!$C$2,0)),1,0)</f>
        <v>0</v>
      </c>
      <c r="P4342" s="2" t="s">
        <v>11710</v>
      </c>
    </row>
    <row r="4343" spans="1:16" x14ac:dyDescent="0.25">
      <c r="A4343" s="2" t="s">
        <v>11711</v>
      </c>
      <c r="B4343" s="2" t="s">
        <v>7433</v>
      </c>
      <c r="C4343" s="8">
        <v>46276</v>
      </c>
      <c r="D4343" s="6">
        <v>46266</v>
      </c>
      <c r="E4343" s="2" t="s">
        <v>260</v>
      </c>
      <c r="F4343" s="2" t="s">
        <v>11712</v>
      </c>
      <c r="G4343" s="6">
        <v>46235</v>
      </c>
      <c r="H4343" s="2" t="s">
        <v>176</v>
      </c>
      <c r="I4343" s="2" t="s">
        <v>39</v>
      </c>
      <c r="J4343" s="9">
        <v>8236.0879999999997</v>
      </c>
      <c r="K4343" s="7">
        <v>1</v>
      </c>
      <c r="L4343" s="9">
        <v>8236.09</v>
      </c>
      <c r="M4343" s="9">
        <v>8236.09</v>
      </c>
      <c r="N4343" s="9">
        <v>4.53</v>
      </c>
      <c r="O4343" s="10">
        <f>IF(AND(OR(H4343="APPROVED",H4343="SCHEDULED"),COUNTIFS(tblSource[EventID],F4343,tblSource[ReleaseStatus],"APPROVED")=1,COUNTIFS(Period_Status!$A$2:$A$8,G4343,Period_Status!$B$2:$B$8,"ActualClosed")=1,C4343&gt;EOMONTH(Settlement_Bridge!$C$2,0)),1,0)</f>
        <v>0</v>
      </c>
      <c r="P4343" s="2" t="s">
        <v>11713</v>
      </c>
    </row>
    <row r="4344" spans="1:16" x14ac:dyDescent="0.25">
      <c r="A4344" s="2" t="s">
        <v>11714</v>
      </c>
      <c r="B4344" s="2" t="s">
        <v>7433</v>
      </c>
      <c r="C4344" s="8">
        <v>46301</v>
      </c>
      <c r="D4344" s="6">
        <v>46296</v>
      </c>
      <c r="E4344" s="2" t="s">
        <v>260</v>
      </c>
      <c r="F4344" s="2" t="s">
        <v>11712</v>
      </c>
      <c r="G4344" s="6">
        <v>46235</v>
      </c>
      <c r="H4344" s="2" t="s">
        <v>176</v>
      </c>
      <c r="I4344" s="2" t="s">
        <v>39</v>
      </c>
      <c r="J4344" s="9">
        <v>12354.132</v>
      </c>
      <c r="K4344" s="7">
        <v>1</v>
      </c>
      <c r="L4344" s="9">
        <v>12354.13</v>
      </c>
      <c r="M4344" s="9">
        <v>12354.13</v>
      </c>
      <c r="N4344" s="9">
        <v>6.79</v>
      </c>
      <c r="O4344" s="10">
        <f>IF(AND(OR(H4344="APPROVED",H4344="SCHEDULED"),COUNTIFS(tblSource[EventID],F4344,tblSource[ReleaseStatus],"APPROVED")=1,COUNTIFS(Period_Status!$A$2:$A$8,G4344,Period_Status!$B$2:$B$8,"ActualClosed")=1,C4344&gt;EOMONTH(Settlement_Bridge!$C$2,0)),1,0)</f>
        <v>0</v>
      </c>
      <c r="P4344" s="2" t="s">
        <v>11715</v>
      </c>
    </row>
    <row r="4345" spans="1:16" x14ac:dyDescent="0.25">
      <c r="A4345" s="2" t="s">
        <v>11716</v>
      </c>
      <c r="B4345" s="2" t="s">
        <v>7433</v>
      </c>
      <c r="C4345" s="8">
        <v>46277</v>
      </c>
      <c r="D4345" s="6">
        <v>46266</v>
      </c>
      <c r="E4345" s="2" t="s">
        <v>260</v>
      </c>
      <c r="F4345" s="2" t="s">
        <v>11717</v>
      </c>
      <c r="G4345" s="6">
        <v>46235</v>
      </c>
      <c r="H4345" s="2" t="s">
        <v>176</v>
      </c>
      <c r="I4345" s="2" t="s">
        <v>76</v>
      </c>
      <c r="J4345" s="9">
        <v>135720585.365854</v>
      </c>
      <c r="K4345" s="7">
        <v>6.1299999999999999E-5</v>
      </c>
      <c r="L4345" s="9">
        <v>8319.67</v>
      </c>
      <c r="M4345" s="9">
        <v>8346.82</v>
      </c>
      <c r="N4345" s="9">
        <v>4.58</v>
      </c>
      <c r="O4345" s="10">
        <f>IF(AND(OR(H4345="APPROVED",H4345="SCHEDULED"),COUNTIFS(tblSource[EventID],F4345,tblSource[ReleaseStatus],"APPROVED")=1,COUNTIFS(Period_Status!$A$2:$A$8,G4345,Period_Status!$B$2:$B$8,"ActualClosed")=1,C4345&gt;EOMONTH(Settlement_Bridge!$C$2,0)),1,0)</f>
        <v>0</v>
      </c>
      <c r="P4345" s="2" t="s">
        <v>11718</v>
      </c>
    </row>
    <row r="4346" spans="1:16" x14ac:dyDescent="0.25">
      <c r="A4346" s="2" t="s">
        <v>11719</v>
      </c>
      <c r="B4346" s="2" t="s">
        <v>7433</v>
      </c>
      <c r="C4346" s="8">
        <v>46302</v>
      </c>
      <c r="D4346" s="6">
        <v>46296</v>
      </c>
      <c r="E4346" s="2" t="s">
        <v>260</v>
      </c>
      <c r="F4346" s="2" t="s">
        <v>11717</v>
      </c>
      <c r="G4346" s="6">
        <v>46235</v>
      </c>
      <c r="H4346" s="2" t="s">
        <v>176</v>
      </c>
      <c r="I4346" s="2" t="s">
        <v>76</v>
      </c>
      <c r="J4346" s="9">
        <v>203580878.04877999</v>
      </c>
      <c r="K4346" s="7">
        <v>6.1099999999999994E-5</v>
      </c>
      <c r="L4346" s="9">
        <v>12438.79</v>
      </c>
      <c r="M4346" s="9">
        <v>12520.22</v>
      </c>
      <c r="N4346" s="9">
        <v>6.84</v>
      </c>
      <c r="O4346" s="10">
        <f>IF(AND(OR(H4346="APPROVED",H4346="SCHEDULED"),COUNTIFS(tblSource[EventID],F4346,tblSource[ReleaseStatus],"APPROVED")=1,COUNTIFS(Period_Status!$A$2:$A$8,G4346,Period_Status!$B$2:$B$8,"ActualClosed")=1,C4346&gt;EOMONTH(Settlement_Bridge!$C$2,0)),1,0)</f>
        <v>0</v>
      </c>
      <c r="P4346" s="2" t="s">
        <v>11720</v>
      </c>
    </row>
    <row r="4347" spans="1:16" x14ac:dyDescent="0.25">
      <c r="A4347" s="2" t="s">
        <v>11721</v>
      </c>
      <c r="B4347" s="2" t="s">
        <v>7433</v>
      </c>
      <c r="C4347" s="8">
        <v>46278</v>
      </c>
      <c r="D4347" s="6">
        <v>46266</v>
      </c>
      <c r="E4347" s="2" t="s">
        <v>260</v>
      </c>
      <c r="F4347" s="2" t="s">
        <v>11722</v>
      </c>
      <c r="G4347" s="6">
        <v>46235</v>
      </c>
      <c r="H4347" s="2" t="s">
        <v>176</v>
      </c>
      <c r="I4347" s="2" t="s">
        <v>70</v>
      </c>
      <c r="J4347" s="9">
        <v>13011.606153999999</v>
      </c>
      <c r="K4347" s="7">
        <v>0.65100000000000002</v>
      </c>
      <c r="L4347" s="9">
        <v>8470.56</v>
      </c>
      <c r="M4347" s="9">
        <v>8457.5400000000009</v>
      </c>
      <c r="N4347" s="9">
        <v>4.66</v>
      </c>
      <c r="O4347" s="10">
        <f>IF(AND(OR(H4347="APPROVED",H4347="SCHEDULED"),COUNTIFS(tblSource[EventID],F4347,tblSource[ReleaseStatus],"APPROVED")=1,COUNTIFS(Period_Status!$A$2:$A$8,G4347,Period_Status!$B$2:$B$8,"ActualClosed")=1,C4347&gt;EOMONTH(Settlement_Bridge!$C$2,0)),1,0)</f>
        <v>0</v>
      </c>
      <c r="P4347" s="2" t="s">
        <v>11723</v>
      </c>
    </row>
    <row r="4348" spans="1:16" x14ac:dyDescent="0.25">
      <c r="A4348" s="2" t="s">
        <v>11724</v>
      </c>
      <c r="B4348" s="2" t="s">
        <v>7433</v>
      </c>
      <c r="C4348" s="8">
        <v>46303</v>
      </c>
      <c r="D4348" s="6">
        <v>46296</v>
      </c>
      <c r="E4348" s="2" t="s">
        <v>260</v>
      </c>
      <c r="F4348" s="2" t="s">
        <v>11722</v>
      </c>
      <c r="G4348" s="6">
        <v>46235</v>
      </c>
      <c r="H4348" s="2" t="s">
        <v>176</v>
      </c>
      <c r="I4348" s="2" t="s">
        <v>70</v>
      </c>
      <c r="J4348" s="9">
        <v>19517.409231000001</v>
      </c>
      <c r="K4348" s="7">
        <v>0.65500000000000003</v>
      </c>
      <c r="L4348" s="9">
        <v>12783.9</v>
      </c>
      <c r="M4348" s="9">
        <v>12686.32</v>
      </c>
      <c r="N4348" s="9">
        <v>7.03</v>
      </c>
      <c r="O4348" s="10">
        <f>IF(AND(OR(H4348="APPROVED",H4348="SCHEDULED"),COUNTIFS(tblSource[EventID],F4348,tblSource[ReleaseStatus],"APPROVED")=1,COUNTIFS(Period_Status!$A$2:$A$8,G4348,Period_Status!$B$2:$B$8,"ActualClosed")=1,C4348&gt;EOMONTH(Settlement_Bridge!$C$2,0)),1,0)</f>
        <v>0</v>
      </c>
      <c r="P4348" s="2" t="s">
        <v>11725</v>
      </c>
    </row>
    <row r="4349" spans="1:16" x14ac:dyDescent="0.25">
      <c r="A4349" s="2" t="s">
        <v>11726</v>
      </c>
      <c r="B4349" s="2" t="s">
        <v>7433</v>
      </c>
      <c r="C4349" s="8">
        <v>46279</v>
      </c>
      <c r="D4349" s="6">
        <v>46266</v>
      </c>
      <c r="E4349" s="2" t="s">
        <v>260</v>
      </c>
      <c r="F4349" s="2" t="s">
        <v>11727</v>
      </c>
      <c r="G4349" s="6">
        <v>46235</v>
      </c>
      <c r="H4349" s="2" t="s">
        <v>176</v>
      </c>
      <c r="I4349" s="2" t="s">
        <v>39</v>
      </c>
      <c r="J4349" s="9">
        <v>8568.268</v>
      </c>
      <c r="K4349" s="7">
        <v>1</v>
      </c>
      <c r="L4349" s="9">
        <v>8568.27</v>
      </c>
      <c r="M4349" s="9">
        <v>8568.27</v>
      </c>
      <c r="N4349" s="9">
        <v>4.71</v>
      </c>
      <c r="O4349" s="10">
        <f>IF(AND(OR(H4349="APPROVED",H4349="SCHEDULED"),COUNTIFS(tblSource[EventID],F4349,tblSource[ReleaseStatus],"APPROVED")=1,COUNTIFS(Period_Status!$A$2:$A$8,G4349,Period_Status!$B$2:$B$8,"ActualClosed")=1,C4349&gt;EOMONTH(Settlement_Bridge!$C$2,0)),1,0)</f>
        <v>0</v>
      </c>
      <c r="P4349" s="2" t="s">
        <v>11728</v>
      </c>
    </row>
    <row r="4350" spans="1:16" x14ac:dyDescent="0.25">
      <c r="A4350" s="2" t="s">
        <v>11729</v>
      </c>
      <c r="B4350" s="2" t="s">
        <v>7433</v>
      </c>
      <c r="C4350" s="8">
        <v>46304</v>
      </c>
      <c r="D4350" s="6">
        <v>46296</v>
      </c>
      <c r="E4350" s="2" t="s">
        <v>260</v>
      </c>
      <c r="F4350" s="2" t="s">
        <v>11727</v>
      </c>
      <c r="G4350" s="6">
        <v>46235</v>
      </c>
      <c r="H4350" s="2" t="s">
        <v>176</v>
      </c>
      <c r="I4350" s="2" t="s">
        <v>39</v>
      </c>
      <c r="J4350" s="9">
        <v>12852.402</v>
      </c>
      <c r="K4350" s="7">
        <v>1</v>
      </c>
      <c r="L4350" s="9">
        <v>12852.4</v>
      </c>
      <c r="M4350" s="9">
        <v>12852.4</v>
      </c>
      <c r="N4350" s="9">
        <v>7.07</v>
      </c>
      <c r="O4350" s="10">
        <f>IF(AND(OR(H4350="APPROVED",H4350="SCHEDULED"),COUNTIFS(tblSource[EventID],F4350,tblSource[ReleaseStatus],"APPROVED")=1,COUNTIFS(Period_Status!$A$2:$A$8,G4350,Period_Status!$B$2:$B$8,"ActualClosed")=1,C4350&gt;EOMONTH(Settlement_Bridge!$C$2,0)),1,0)</f>
        <v>0</v>
      </c>
      <c r="P4350" s="2" t="s">
        <v>11730</v>
      </c>
    </row>
    <row r="4351" spans="1:16" x14ac:dyDescent="0.25">
      <c r="A4351" s="2" t="s">
        <v>11731</v>
      </c>
      <c r="B4351" s="2" t="s">
        <v>7433</v>
      </c>
      <c r="C4351" s="8">
        <v>46249</v>
      </c>
      <c r="D4351" s="6">
        <v>46235</v>
      </c>
      <c r="E4351" s="2" t="s">
        <v>260</v>
      </c>
      <c r="F4351" s="2" t="s">
        <v>11732</v>
      </c>
      <c r="G4351" s="6">
        <v>46235</v>
      </c>
      <c r="H4351" s="2" t="s">
        <v>71</v>
      </c>
      <c r="I4351" s="2" t="s">
        <v>76</v>
      </c>
      <c r="J4351" s="9">
        <v>141121886.17886201</v>
      </c>
      <c r="K4351" s="7">
        <v>6.1500000000000004E-5</v>
      </c>
      <c r="L4351" s="9">
        <v>8679</v>
      </c>
      <c r="M4351" s="9">
        <v>8679</v>
      </c>
      <c r="N4351" s="9">
        <v>4.7699999999999996</v>
      </c>
      <c r="O4351" s="10">
        <f>IF(AND(OR(H4351="APPROVED",H4351="SCHEDULED"),COUNTIFS(tblSource[EventID],F4351,tblSource[ReleaseStatus],"APPROVED")=1,COUNTIFS(Period_Status!$A$2:$A$8,G4351,Period_Status!$B$2:$B$8,"ActualClosed")=1,C4351&gt;EOMONTH(Settlement_Bridge!$C$2,0)),1,0)</f>
        <v>0</v>
      </c>
      <c r="P4351" s="2" t="s">
        <v>11733</v>
      </c>
    </row>
    <row r="4352" spans="1:16" x14ac:dyDescent="0.25">
      <c r="A4352" s="2" t="s">
        <v>11734</v>
      </c>
      <c r="B4352" s="2" t="s">
        <v>7433</v>
      </c>
      <c r="C4352" s="8">
        <v>46274</v>
      </c>
      <c r="D4352" s="6">
        <v>46266</v>
      </c>
      <c r="E4352" s="2" t="s">
        <v>260</v>
      </c>
      <c r="F4352" s="2" t="s">
        <v>11732</v>
      </c>
      <c r="G4352" s="6">
        <v>46235</v>
      </c>
      <c r="H4352" s="2" t="s">
        <v>176</v>
      </c>
      <c r="I4352" s="2" t="s">
        <v>76</v>
      </c>
      <c r="J4352" s="9">
        <v>211682829.26829201</v>
      </c>
      <c r="K4352" s="7">
        <v>6.1299999999999999E-5</v>
      </c>
      <c r="L4352" s="9">
        <v>12976.16</v>
      </c>
      <c r="M4352" s="9">
        <v>13018.49</v>
      </c>
      <c r="N4352" s="9">
        <v>7.14</v>
      </c>
      <c r="O4352" s="10">
        <f>IF(AND(OR(H4352="APPROVED",H4352="SCHEDULED"),COUNTIFS(tblSource[EventID],F4352,tblSource[ReleaseStatus],"APPROVED")=1,COUNTIFS(Period_Status!$A$2:$A$8,G4352,Period_Status!$B$2:$B$8,"ActualClosed")=1,C4352&gt;EOMONTH(Settlement_Bridge!$C$2,0)),1,0)</f>
        <v>0</v>
      </c>
      <c r="P4352" s="2" t="s">
        <v>11735</v>
      </c>
    </row>
    <row r="4353" spans="1:16" x14ac:dyDescent="0.25">
      <c r="A4353" s="2" t="s">
        <v>11736</v>
      </c>
      <c r="B4353" s="2" t="s">
        <v>7433</v>
      </c>
      <c r="C4353" s="8">
        <v>46250</v>
      </c>
      <c r="D4353" s="6">
        <v>46235</v>
      </c>
      <c r="E4353" s="2" t="s">
        <v>260</v>
      </c>
      <c r="F4353" s="2" t="s">
        <v>11737</v>
      </c>
      <c r="G4353" s="6">
        <v>46235</v>
      </c>
      <c r="H4353" s="2" t="s">
        <v>71</v>
      </c>
      <c r="I4353" s="2" t="s">
        <v>70</v>
      </c>
      <c r="J4353" s="9">
        <v>13522.646154</v>
      </c>
      <c r="K4353" s="7">
        <v>0.65</v>
      </c>
      <c r="L4353" s="9">
        <v>8789.7199999999993</v>
      </c>
      <c r="M4353" s="9">
        <v>8789.7199999999993</v>
      </c>
      <c r="N4353" s="9">
        <v>4.83</v>
      </c>
      <c r="O4353" s="10">
        <f>IF(AND(OR(H4353="APPROVED",H4353="SCHEDULED"),COUNTIFS(tblSource[EventID],F4353,tblSource[ReleaseStatus],"APPROVED")=1,COUNTIFS(Period_Status!$A$2:$A$8,G4353,Period_Status!$B$2:$B$8,"ActualClosed")=1,C4353&gt;EOMONTH(Settlement_Bridge!$C$2,0)),1,0)</f>
        <v>0</v>
      </c>
      <c r="P4353" s="2" t="s">
        <v>11738</v>
      </c>
    </row>
    <row r="4354" spans="1:16" x14ac:dyDescent="0.25">
      <c r="A4354" s="2" t="s">
        <v>11739</v>
      </c>
      <c r="B4354" s="2" t="s">
        <v>7433</v>
      </c>
      <c r="C4354" s="8">
        <v>46275</v>
      </c>
      <c r="D4354" s="6">
        <v>46266</v>
      </c>
      <c r="E4354" s="2" t="s">
        <v>260</v>
      </c>
      <c r="F4354" s="2" t="s">
        <v>11737</v>
      </c>
      <c r="G4354" s="6">
        <v>46235</v>
      </c>
      <c r="H4354" s="2" t="s">
        <v>176</v>
      </c>
      <c r="I4354" s="2" t="s">
        <v>70</v>
      </c>
      <c r="J4354" s="9">
        <v>20283.969230999999</v>
      </c>
      <c r="K4354" s="7">
        <v>0.65100000000000002</v>
      </c>
      <c r="L4354" s="9">
        <v>13204.86</v>
      </c>
      <c r="M4354" s="9">
        <v>13184.58</v>
      </c>
      <c r="N4354" s="9">
        <v>7.26</v>
      </c>
      <c r="O4354" s="10">
        <f>IF(AND(OR(H4354="APPROVED",H4354="SCHEDULED"),COUNTIFS(tblSource[EventID],F4354,tblSource[ReleaseStatus],"APPROVED")=1,COUNTIFS(Period_Status!$A$2:$A$8,G4354,Period_Status!$B$2:$B$8,"ActualClosed")=1,C4354&gt;EOMONTH(Settlement_Bridge!$C$2,0)),1,0)</f>
        <v>0</v>
      </c>
      <c r="P4354" s="2" t="s">
        <v>11740</v>
      </c>
    </row>
    <row r="4355" spans="1:16" x14ac:dyDescent="0.25">
      <c r="A4355" s="2" t="s">
        <v>11741</v>
      </c>
      <c r="B4355" s="2" t="s">
        <v>7433</v>
      </c>
      <c r="C4355" s="8">
        <v>46251</v>
      </c>
      <c r="D4355" s="6">
        <v>46235</v>
      </c>
      <c r="E4355" s="2" t="s">
        <v>260</v>
      </c>
      <c r="F4355" s="2" t="s">
        <v>11742</v>
      </c>
      <c r="G4355" s="6">
        <v>46235</v>
      </c>
      <c r="H4355" s="2" t="s">
        <v>71</v>
      </c>
      <c r="I4355" s="2" t="s">
        <v>39</v>
      </c>
      <c r="J4355" s="9">
        <v>8900.4480000000003</v>
      </c>
      <c r="K4355" s="7">
        <v>1</v>
      </c>
      <c r="L4355" s="9">
        <v>8900.4500000000007</v>
      </c>
      <c r="M4355" s="9">
        <v>8900.4500000000007</v>
      </c>
      <c r="N4355" s="9">
        <v>4.9000000000000004</v>
      </c>
      <c r="O4355" s="10">
        <f>IF(AND(OR(H4355="APPROVED",H4355="SCHEDULED"),COUNTIFS(tblSource[EventID],F4355,tblSource[ReleaseStatus],"APPROVED")=1,COUNTIFS(Period_Status!$A$2:$A$8,G4355,Period_Status!$B$2:$B$8,"ActualClosed")=1,C4355&gt;EOMONTH(Settlement_Bridge!$C$2,0)),1,0)</f>
        <v>0</v>
      </c>
      <c r="P4355" s="2" t="s">
        <v>11743</v>
      </c>
    </row>
    <row r="4356" spans="1:16" x14ac:dyDescent="0.25">
      <c r="A4356" s="2" t="s">
        <v>11744</v>
      </c>
      <c r="B4356" s="2" t="s">
        <v>7433</v>
      </c>
      <c r="C4356" s="8">
        <v>46276</v>
      </c>
      <c r="D4356" s="6">
        <v>46266</v>
      </c>
      <c r="E4356" s="2" t="s">
        <v>260</v>
      </c>
      <c r="F4356" s="2" t="s">
        <v>11742</v>
      </c>
      <c r="G4356" s="6">
        <v>46235</v>
      </c>
      <c r="H4356" s="2" t="s">
        <v>176</v>
      </c>
      <c r="I4356" s="2" t="s">
        <v>39</v>
      </c>
      <c r="J4356" s="9">
        <v>13350.672</v>
      </c>
      <c r="K4356" s="7">
        <v>1</v>
      </c>
      <c r="L4356" s="9">
        <v>13350.67</v>
      </c>
      <c r="M4356" s="9">
        <v>13350.67</v>
      </c>
      <c r="N4356" s="9">
        <v>7.34</v>
      </c>
      <c r="O4356" s="10">
        <f>IF(AND(OR(H4356="APPROVED",H4356="SCHEDULED"),COUNTIFS(tblSource[EventID],F4356,tblSource[ReleaseStatus],"APPROVED")=1,COUNTIFS(Period_Status!$A$2:$A$8,G4356,Period_Status!$B$2:$B$8,"ActualClosed")=1,C4356&gt;EOMONTH(Settlement_Bridge!$C$2,0)),1,0)</f>
        <v>0</v>
      </c>
      <c r="P4356" s="2" t="s">
        <v>11745</v>
      </c>
    </row>
    <row r="4357" spans="1:16" x14ac:dyDescent="0.25">
      <c r="A4357" s="2" t="s">
        <v>11746</v>
      </c>
      <c r="B4357" s="2" t="s">
        <v>7433</v>
      </c>
      <c r="C4357" s="8">
        <v>46252</v>
      </c>
      <c r="D4357" s="6">
        <v>46235</v>
      </c>
      <c r="E4357" s="2" t="s">
        <v>260</v>
      </c>
      <c r="F4357" s="2" t="s">
        <v>11747</v>
      </c>
      <c r="G4357" s="6">
        <v>46235</v>
      </c>
      <c r="H4357" s="2" t="s">
        <v>71</v>
      </c>
      <c r="I4357" s="2" t="s">
        <v>76</v>
      </c>
      <c r="J4357" s="9">
        <v>146523186.99186999</v>
      </c>
      <c r="K4357" s="7">
        <v>6.1500000000000004E-5</v>
      </c>
      <c r="L4357" s="9">
        <v>9011.18</v>
      </c>
      <c r="M4357" s="9">
        <v>9011.18</v>
      </c>
      <c r="N4357" s="9">
        <v>4.96</v>
      </c>
      <c r="O4357" s="10">
        <f>IF(AND(OR(H4357="APPROVED",H4357="SCHEDULED"),COUNTIFS(tblSource[EventID],F4357,tblSource[ReleaseStatus],"APPROVED")=1,COUNTIFS(Period_Status!$A$2:$A$8,G4357,Period_Status!$B$2:$B$8,"ActualClosed")=1,C4357&gt;EOMONTH(Settlement_Bridge!$C$2,0)),1,0)</f>
        <v>0</v>
      </c>
      <c r="P4357" s="2" t="s">
        <v>11748</v>
      </c>
    </row>
    <row r="4358" spans="1:16" x14ac:dyDescent="0.25">
      <c r="A4358" s="2" t="s">
        <v>11749</v>
      </c>
      <c r="B4358" s="2" t="s">
        <v>7433</v>
      </c>
      <c r="C4358" s="8">
        <v>46277</v>
      </c>
      <c r="D4358" s="6">
        <v>46266</v>
      </c>
      <c r="E4358" s="2" t="s">
        <v>260</v>
      </c>
      <c r="F4358" s="2" t="s">
        <v>11747</v>
      </c>
      <c r="G4358" s="6">
        <v>46235</v>
      </c>
      <c r="H4358" s="2" t="s">
        <v>176</v>
      </c>
      <c r="I4358" s="2" t="s">
        <v>76</v>
      </c>
      <c r="J4358" s="9">
        <v>219784780.48780501</v>
      </c>
      <c r="K4358" s="7">
        <v>6.1299999999999999E-5</v>
      </c>
      <c r="L4358" s="9">
        <v>13472.81</v>
      </c>
      <c r="M4358" s="9">
        <v>13516.76</v>
      </c>
      <c r="N4358" s="9">
        <v>7.41</v>
      </c>
      <c r="O4358" s="10">
        <f>IF(AND(OR(H4358="APPROVED",H4358="SCHEDULED"),COUNTIFS(tblSource[EventID],F4358,tblSource[ReleaseStatus],"APPROVED")=1,COUNTIFS(Period_Status!$A$2:$A$8,G4358,Period_Status!$B$2:$B$8,"ActualClosed")=1,C4358&gt;EOMONTH(Settlement_Bridge!$C$2,0)),1,0)</f>
        <v>0</v>
      </c>
      <c r="P4358" s="2" t="s">
        <v>11750</v>
      </c>
    </row>
    <row r="4359" spans="1:16" x14ac:dyDescent="0.25">
      <c r="A4359" s="2" t="s">
        <v>11751</v>
      </c>
      <c r="B4359" s="2" t="s">
        <v>7433</v>
      </c>
      <c r="C4359" s="8">
        <v>46253</v>
      </c>
      <c r="D4359" s="6">
        <v>46235</v>
      </c>
      <c r="E4359" s="2" t="s">
        <v>260</v>
      </c>
      <c r="F4359" s="2" t="s">
        <v>11752</v>
      </c>
      <c r="G4359" s="6">
        <v>46235</v>
      </c>
      <c r="H4359" s="2" t="s">
        <v>71</v>
      </c>
      <c r="I4359" s="2" t="s">
        <v>70</v>
      </c>
      <c r="J4359" s="9">
        <v>14032.738461999999</v>
      </c>
      <c r="K4359" s="7">
        <v>0.65</v>
      </c>
      <c r="L4359" s="9">
        <v>9121.2800000000007</v>
      </c>
      <c r="M4359" s="9">
        <v>9121.2800000000007</v>
      </c>
      <c r="N4359" s="9">
        <v>5.0199999999999996</v>
      </c>
      <c r="O4359" s="10">
        <f>IF(AND(OR(H4359="APPROVED",H4359="SCHEDULED"),COUNTIFS(tblSource[EventID],F4359,tblSource[ReleaseStatus],"APPROVED")=1,COUNTIFS(Period_Status!$A$2:$A$8,G4359,Period_Status!$B$2:$B$8,"ActualClosed")=1,C4359&gt;EOMONTH(Settlement_Bridge!$C$2,0)),1,0)</f>
        <v>0</v>
      </c>
      <c r="P4359" s="2" t="s">
        <v>11753</v>
      </c>
    </row>
    <row r="4360" spans="1:16" x14ac:dyDescent="0.25">
      <c r="A4360" s="2" t="s">
        <v>11754</v>
      </c>
      <c r="B4360" s="2" t="s">
        <v>7433</v>
      </c>
      <c r="C4360" s="8">
        <v>46278</v>
      </c>
      <c r="D4360" s="6">
        <v>46266</v>
      </c>
      <c r="E4360" s="2" t="s">
        <v>260</v>
      </c>
      <c r="F4360" s="2" t="s">
        <v>11752</v>
      </c>
      <c r="G4360" s="6">
        <v>46235</v>
      </c>
      <c r="H4360" s="2" t="s">
        <v>176</v>
      </c>
      <c r="I4360" s="2" t="s">
        <v>70</v>
      </c>
      <c r="J4360" s="9">
        <v>21049.107692000001</v>
      </c>
      <c r="K4360" s="7">
        <v>0.65100000000000002</v>
      </c>
      <c r="L4360" s="9">
        <v>13702.97</v>
      </c>
      <c r="M4360" s="9">
        <v>13681.92</v>
      </c>
      <c r="N4360" s="9">
        <v>7.54</v>
      </c>
      <c r="O4360" s="10">
        <f>IF(AND(OR(H4360="APPROVED",H4360="SCHEDULED"),COUNTIFS(tblSource[EventID],F4360,tblSource[ReleaseStatus],"APPROVED")=1,COUNTIFS(Period_Status!$A$2:$A$8,G4360,Period_Status!$B$2:$B$8,"ActualClosed")=1,C4360&gt;EOMONTH(Settlement_Bridge!$C$2,0)),1,0)</f>
        <v>0</v>
      </c>
      <c r="P4360" s="2" t="s">
        <v>11755</v>
      </c>
    </row>
    <row r="4361" spans="1:16" x14ac:dyDescent="0.25">
      <c r="A4361" s="2" t="s">
        <v>11756</v>
      </c>
      <c r="B4361" s="2" t="s">
        <v>7433</v>
      </c>
      <c r="C4361" s="8">
        <v>46254</v>
      </c>
      <c r="D4361" s="6">
        <v>46235</v>
      </c>
      <c r="E4361" s="2" t="s">
        <v>260</v>
      </c>
      <c r="F4361" s="2" t="s">
        <v>11757</v>
      </c>
      <c r="G4361" s="6">
        <v>46235</v>
      </c>
      <c r="H4361" s="2" t="s">
        <v>71</v>
      </c>
      <c r="I4361" s="2" t="s">
        <v>39</v>
      </c>
      <c r="J4361" s="9">
        <v>9232.0079999999998</v>
      </c>
      <c r="K4361" s="7">
        <v>1</v>
      </c>
      <c r="L4361" s="9">
        <v>9232.01</v>
      </c>
      <c r="M4361" s="9">
        <v>9232.01</v>
      </c>
      <c r="N4361" s="9">
        <v>5.08</v>
      </c>
      <c r="O4361" s="10">
        <f>IF(AND(OR(H4361="APPROVED",H4361="SCHEDULED"),COUNTIFS(tblSource[EventID],F4361,tblSource[ReleaseStatus],"APPROVED")=1,COUNTIFS(Period_Status!$A$2:$A$8,G4361,Period_Status!$B$2:$B$8,"ActualClosed")=1,C4361&gt;EOMONTH(Settlement_Bridge!$C$2,0)),1,0)</f>
        <v>0</v>
      </c>
      <c r="P4361" s="2" t="s">
        <v>11758</v>
      </c>
    </row>
    <row r="4362" spans="1:16" x14ac:dyDescent="0.25">
      <c r="A4362" s="2" t="s">
        <v>11759</v>
      </c>
      <c r="B4362" s="2" t="s">
        <v>7433</v>
      </c>
      <c r="C4362" s="8">
        <v>46279</v>
      </c>
      <c r="D4362" s="6">
        <v>46266</v>
      </c>
      <c r="E4362" s="2" t="s">
        <v>260</v>
      </c>
      <c r="F4362" s="2" t="s">
        <v>11757</v>
      </c>
      <c r="G4362" s="6">
        <v>46235</v>
      </c>
      <c r="H4362" s="2" t="s">
        <v>176</v>
      </c>
      <c r="I4362" s="2" t="s">
        <v>39</v>
      </c>
      <c r="J4362" s="9">
        <v>13848.012000000001</v>
      </c>
      <c r="K4362" s="7">
        <v>1</v>
      </c>
      <c r="L4362" s="9">
        <v>13848.01</v>
      </c>
      <c r="M4362" s="9">
        <v>13848.01</v>
      </c>
      <c r="N4362" s="9">
        <v>7.62</v>
      </c>
      <c r="O4362" s="10">
        <f>IF(AND(OR(H4362="APPROVED",H4362="SCHEDULED"),COUNTIFS(tblSource[EventID],F4362,tblSource[ReleaseStatus],"APPROVED")=1,COUNTIFS(Period_Status!$A$2:$A$8,G4362,Period_Status!$B$2:$B$8,"ActualClosed")=1,C4362&gt;EOMONTH(Settlement_Bridge!$C$2,0)),1,0)</f>
        <v>0</v>
      </c>
      <c r="P4362" s="2" t="s">
        <v>11760</v>
      </c>
    </row>
    <row r="4363" spans="1:16" x14ac:dyDescent="0.25">
      <c r="A4363" s="2" t="s">
        <v>11761</v>
      </c>
      <c r="B4363" s="2" t="s">
        <v>7433</v>
      </c>
      <c r="C4363" s="8">
        <v>46255</v>
      </c>
      <c r="D4363" s="6">
        <v>46235</v>
      </c>
      <c r="E4363" s="2" t="s">
        <v>260</v>
      </c>
      <c r="F4363" s="2" t="s">
        <v>11762</v>
      </c>
      <c r="G4363" s="6">
        <v>46235</v>
      </c>
      <c r="H4363" s="2" t="s">
        <v>71</v>
      </c>
      <c r="I4363" s="2" t="s">
        <v>76</v>
      </c>
      <c r="J4363" s="9">
        <v>151914341.463415</v>
      </c>
      <c r="K4363" s="7">
        <v>6.1500000000000004E-5</v>
      </c>
      <c r="L4363" s="9">
        <v>9342.73</v>
      </c>
      <c r="M4363" s="9">
        <v>9342.73</v>
      </c>
      <c r="N4363" s="9">
        <v>5.14</v>
      </c>
      <c r="O4363" s="10">
        <f>IF(AND(OR(H4363="APPROVED",H4363="SCHEDULED"),COUNTIFS(tblSource[EventID],F4363,tblSource[ReleaseStatus],"APPROVED")=1,COUNTIFS(Period_Status!$A$2:$A$8,G4363,Period_Status!$B$2:$B$8,"ActualClosed")=1,C4363&gt;EOMONTH(Settlement_Bridge!$C$2,0)),1,0)</f>
        <v>0</v>
      </c>
      <c r="P4363" s="2" t="s">
        <v>11763</v>
      </c>
    </row>
    <row r="4364" spans="1:16" x14ac:dyDescent="0.25">
      <c r="A4364" s="2" t="s">
        <v>11764</v>
      </c>
      <c r="B4364" s="2" t="s">
        <v>7433</v>
      </c>
      <c r="C4364" s="8">
        <v>46280</v>
      </c>
      <c r="D4364" s="6">
        <v>46266</v>
      </c>
      <c r="E4364" s="2" t="s">
        <v>260</v>
      </c>
      <c r="F4364" s="2" t="s">
        <v>11762</v>
      </c>
      <c r="G4364" s="6">
        <v>46235</v>
      </c>
      <c r="H4364" s="2" t="s">
        <v>176</v>
      </c>
      <c r="I4364" s="2" t="s">
        <v>76</v>
      </c>
      <c r="J4364" s="9">
        <v>227871512.195122</v>
      </c>
      <c r="K4364" s="7">
        <v>6.1299999999999999E-5</v>
      </c>
      <c r="L4364" s="9">
        <v>13968.52</v>
      </c>
      <c r="M4364" s="9">
        <v>14014.1</v>
      </c>
      <c r="N4364" s="9">
        <v>7.68</v>
      </c>
      <c r="O4364" s="10">
        <f>IF(AND(OR(H4364="APPROVED",H4364="SCHEDULED"),COUNTIFS(tblSource[EventID],F4364,tblSource[ReleaseStatus],"APPROVED")=1,COUNTIFS(Period_Status!$A$2:$A$8,G4364,Period_Status!$B$2:$B$8,"ActualClosed")=1,C4364&gt;EOMONTH(Settlement_Bridge!$C$2,0)),1,0)</f>
        <v>0</v>
      </c>
      <c r="P4364" s="2" t="s">
        <v>11765</v>
      </c>
    </row>
    <row r="4365" spans="1:16" x14ac:dyDescent="0.25">
      <c r="A4365" s="2" t="s">
        <v>11766</v>
      </c>
      <c r="B4365" s="2" t="s">
        <v>7433</v>
      </c>
      <c r="C4365" s="8">
        <v>46256</v>
      </c>
      <c r="D4365" s="6">
        <v>46235</v>
      </c>
      <c r="E4365" s="2" t="s">
        <v>260</v>
      </c>
      <c r="F4365" s="2" t="s">
        <v>11767</v>
      </c>
      <c r="G4365" s="6">
        <v>46235</v>
      </c>
      <c r="H4365" s="2" t="s">
        <v>71</v>
      </c>
      <c r="I4365" s="2" t="s">
        <v>70</v>
      </c>
      <c r="J4365" s="9">
        <v>14543.784615</v>
      </c>
      <c r="K4365" s="7">
        <v>0.65</v>
      </c>
      <c r="L4365" s="9">
        <v>9453.4599999999991</v>
      </c>
      <c r="M4365" s="9">
        <v>9453.4599999999991</v>
      </c>
      <c r="N4365" s="9">
        <v>5.2</v>
      </c>
      <c r="O4365" s="10">
        <f>IF(AND(OR(H4365="APPROVED",H4365="SCHEDULED"),COUNTIFS(tblSource[EventID],F4365,tblSource[ReleaseStatus],"APPROVED")=1,COUNTIFS(Period_Status!$A$2:$A$8,G4365,Period_Status!$B$2:$B$8,"ActualClosed")=1,C4365&gt;EOMONTH(Settlement_Bridge!$C$2,0)),1,0)</f>
        <v>0</v>
      </c>
      <c r="P4365" s="2" t="s">
        <v>11768</v>
      </c>
    </row>
    <row r="4366" spans="1:16" x14ac:dyDescent="0.25">
      <c r="A4366" s="2" t="s">
        <v>11769</v>
      </c>
      <c r="B4366" s="2" t="s">
        <v>7433</v>
      </c>
      <c r="C4366" s="8">
        <v>46281</v>
      </c>
      <c r="D4366" s="6">
        <v>46266</v>
      </c>
      <c r="E4366" s="2" t="s">
        <v>260</v>
      </c>
      <c r="F4366" s="2" t="s">
        <v>11767</v>
      </c>
      <c r="G4366" s="6">
        <v>46235</v>
      </c>
      <c r="H4366" s="2" t="s">
        <v>176</v>
      </c>
      <c r="I4366" s="2" t="s">
        <v>70</v>
      </c>
      <c r="J4366" s="9">
        <v>21815.676922999999</v>
      </c>
      <c r="K4366" s="7">
        <v>0.65100000000000002</v>
      </c>
      <c r="L4366" s="9">
        <v>14202.01</v>
      </c>
      <c r="M4366" s="9">
        <v>14180.19</v>
      </c>
      <c r="N4366" s="9">
        <v>7.81</v>
      </c>
      <c r="O4366" s="10">
        <f>IF(AND(OR(H4366="APPROVED",H4366="SCHEDULED"),COUNTIFS(tblSource[EventID],F4366,tblSource[ReleaseStatus],"APPROVED")=1,COUNTIFS(Period_Status!$A$2:$A$8,G4366,Period_Status!$B$2:$B$8,"ActualClosed")=1,C4366&gt;EOMONTH(Settlement_Bridge!$C$2,0)),1,0)</f>
        <v>0</v>
      </c>
      <c r="P4366" s="2" t="s">
        <v>11770</v>
      </c>
    </row>
    <row r="4367" spans="1:16" x14ac:dyDescent="0.25">
      <c r="A4367" s="2" t="s">
        <v>11771</v>
      </c>
      <c r="B4367" s="2" t="s">
        <v>7433</v>
      </c>
      <c r="C4367" s="8">
        <v>46257</v>
      </c>
      <c r="D4367" s="6">
        <v>46235</v>
      </c>
      <c r="E4367" s="2" t="s">
        <v>260</v>
      </c>
      <c r="F4367" s="2" t="s">
        <v>11772</v>
      </c>
      <c r="G4367" s="6">
        <v>46235</v>
      </c>
      <c r="H4367" s="2" t="s">
        <v>71</v>
      </c>
      <c r="I4367" s="2" t="s">
        <v>39</v>
      </c>
      <c r="J4367" s="9">
        <v>604.18399999999997</v>
      </c>
      <c r="K4367" s="7">
        <v>1</v>
      </c>
      <c r="L4367" s="9">
        <v>604.17999999999995</v>
      </c>
      <c r="M4367" s="9">
        <v>604.17999999999995</v>
      </c>
      <c r="N4367" s="9">
        <v>1.8</v>
      </c>
      <c r="O4367" s="10">
        <f>IF(AND(OR(H4367="APPROVED",H4367="SCHEDULED"),COUNTIFS(tblSource[EventID],F4367,tblSource[ReleaseStatus],"APPROVED")=1,COUNTIFS(Period_Status!$A$2:$A$8,G4367,Period_Status!$B$2:$B$8,"ActualClosed")=1,C4367&gt;EOMONTH(Settlement_Bridge!$C$2,0)),1,0)</f>
        <v>0</v>
      </c>
      <c r="P4367" s="2" t="s">
        <v>11773</v>
      </c>
    </row>
    <row r="4368" spans="1:16" x14ac:dyDescent="0.25">
      <c r="A4368" s="2" t="s">
        <v>11774</v>
      </c>
      <c r="B4368" s="2" t="s">
        <v>7433</v>
      </c>
      <c r="C4368" s="8">
        <v>46282</v>
      </c>
      <c r="D4368" s="6">
        <v>46266</v>
      </c>
      <c r="E4368" s="2" t="s">
        <v>260</v>
      </c>
      <c r="F4368" s="2" t="s">
        <v>11772</v>
      </c>
      <c r="G4368" s="6">
        <v>46235</v>
      </c>
      <c r="H4368" s="2" t="s">
        <v>176</v>
      </c>
      <c r="I4368" s="2" t="s">
        <v>39</v>
      </c>
      <c r="J4368" s="9">
        <v>906.27599999999995</v>
      </c>
      <c r="K4368" s="7">
        <v>1</v>
      </c>
      <c r="L4368" s="9">
        <v>906.28</v>
      </c>
      <c r="M4368" s="9">
        <v>906.28</v>
      </c>
      <c r="N4368" s="9">
        <v>1.8</v>
      </c>
      <c r="O4368" s="10">
        <f>IF(AND(OR(H4368="APPROVED",H4368="SCHEDULED"),COUNTIFS(tblSource[EventID],F4368,tblSource[ReleaseStatus],"APPROVED")=1,COUNTIFS(Period_Status!$A$2:$A$8,G4368,Period_Status!$B$2:$B$8,"ActualClosed")=1,C4368&gt;EOMONTH(Settlement_Bridge!$C$2,0)),1,0)</f>
        <v>0</v>
      </c>
      <c r="P4368" s="2" t="s">
        <v>11775</v>
      </c>
    </row>
    <row r="4369" spans="1:16" x14ac:dyDescent="0.25">
      <c r="A4369" s="2" t="s">
        <v>11776</v>
      </c>
      <c r="B4369" s="2" t="s">
        <v>7433</v>
      </c>
      <c r="C4369" s="8">
        <v>46258</v>
      </c>
      <c r="D4369" s="6">
        <v>46235</v>
      </c>
      <c r="E4369" s="2" t="s">
        <v>260</v>
      </c>
      <c r="F4369" s="2" t="s">
        <v>11777</v>
      </c>
      <c r="G4369" s="6">
        <v>46235</v>
      </c>
      <c r="H4369" s="2" t="s">
        <v>71</v>
      </c>
      <c r="I4369" s="2" t="s">
        <v>76</v>
      </c>
      <c r="J4369" s="9">
        <v>11624585.365854001</v>
      </c>
      <c r="K4369" s="7">
        <v>6.1500000000000004E-5</v>
      </c>
      <c r="L4369" s="9">
        <v>714.91</v>
      </c>
      <c r="M4369" s="9">
        <v>714.91</v>
      </c>
      <c r="N4369" s="9">
        <v>1.8</v>
      </c>
      <c r="O4369" s="10">
        <f>IF(AND(OR(H4369="APPROVED",H4369="SCHEDULED"),COUNTIFS(tblSource[EventID],F4369,tblSource[ReleaseStatus],"APPROVED")=1,COUNTIFS(Period_Status!$A$2:$A$8,G4369,Period_Status!$B$2:$B$8,"ActualClosed")=1,C4369&gt;EOMONTH(Settlement_Bridge!$C$2,0)),1,0)</f>
        <v>0</v>
      </c>
      <c r="P4369" s="2" t="s">
        <v>11778</v>
      </c>
    </row>
    <row r="4370" spans="1:16" x14ac:dyDescent="0.25">
      <c r="A4370" s="2" t="s">
        <v>11779</v>
      </c>
      <c r="B4370" s="2" t="s">
        <v>7433</v>
      </c>
      <c r="C4370" s="8">
        <v>46283</v>
      </c>
      <c r="D4370" s="6">
        <v>46266</v>
      </c>
      <c r="E4370" s="2" t="s">
        <v>260</v>
      </c>
      <c r="F4370" s="2" t="s">
        <v>11777</v>
      </c>
      <c r="G4370" s="6">
        <v>46235</v>
      </c>
      <c r="H4370" s="2" t="s">
        <v>176</v>
      </c>
      <c r="I4370" s="2" t="s">
        <v>76</v>
      </c>
      <c r="J4370" s="9">
        <v>17436878.048780002</v>
      </c>
      <c r="K4370" s="7">
        <v>6.1299999999999999E-5</v>
      </c>
      <c r="L4370" s="9">
        <v>1068.8800000000001</v>
      </c>
      <c r="M4370" s="9">
        <v>1072.3699999999999</v>
      </c>
      <c r="N4370" s="9">
        <v>1.8</v>
      </c>
      <c r="O4370" s="10">
        <f>IF(AND(OR(H4370="APPROVED",H4370="SCHEDULED"),COUNTIFS(tblSource[EventID],F4370,tblSource[ReleaseStatus],"APPROVED")=1,COUNTIFS(Period_Status!$A$2:$A$8,G4370,Period_Status!$B$2:$B$8,"ActualClosed")=1,C4370&gt;EOMONTH(Settlement_Bridge!$C$2,0)),1,0)</f>
        <v>0</v>
      </c>
      <c r="P4370" s="2" t="s">
        <v>11780</v>
      </c>
    </row>
    <row r="4371" spans="1:16" x14ac:dyDescent="0.25">
      <c r="A4371" s="2" t="s">
        <v>11781</v>
      </c>
      <c r="B4371" s="2" t="s">
        <v>7433</v>
      </c>
      <c r="C4371" s="8">
        <v>46259</v>
      </c>
      <c r="D4371" s="6">
        <v>46235</v>
      </c>
      <c r="E4371" s="2" t="s">
        <v>260</v>
      </c>
      <c r="F4371" s="2" t="s">
        <v>11782</v>
      </c>
      <c r="G4371" s="6">
        <v>46235</v>
      </c>
      <c r="H4371" s="2" t="s">
        <v>71</v>
      </c>
      <c r="I4371" s="2" t="s">
        <v>70</v>
      </c>
      <c r="J4371" s="9">
        <v>1270.209231</v>
      </c>
      <c r="K4371" s="7">
        <v>0.65</v>
      </c>
      <c r="L4371" s="9">
        <v>825.64</v>
      </c>
      <c r="M4371" s="9">
        <v>825.64</v>
      </c>
      <c r="N4371" s="9">
        <v>1.8</v>
      </c>
      <c r="O4371" s="10">
        <f>IF(AND(OR(H4371="APPROVED",H4371="SCHEDULED"),COUNTIFS(tblSource[EventID],F4371,tblSource[ReleaseStatus],"APPROVED")=1,COUNTIFS(Period_Status!$A$2:$A$8,G4371,Period_Status!$B$2:$B$8,"ActualClosed")=1,C4371&gt;EOMONTH(Settlement_Bridge!$C$2,0)),1,0)</f>
        <v>0</v>
      </c>
      <c r="P4371" s="2" t="s">
        <v>11783</v>
      </c>
    </row>
    <row r="4372" spans="1:16" x14ac:dyDescent="0.25">
      <c r="A4372" s="2" t="s">
        <v>11784</v>
      </c>
      <c r="B4372" s="2" t="s">
        <v>7433</v>
      </c>
      <c r="C4372" s="8">
        <v>46284</v>
      </c>
      <c r="D4372" s="6">
        <v>46266</v>
      </c>
      <c r="E4372" s="2" t="s">
        <v>260</v>
      </c>
      <c r="F4372" s="2" t="s">
        <v>11782</v>
      </c>
      <c r="G4372" s="6">
        <v>46235</v>
      </c>
      <c r="H4372" s="2" t="s">
        <v>176</v>
      </c>
      <c r="I4372" s="2" t="s">
        <v>70</v>
      </c>
      <c r="J4372" s="9">
        <v>1905.313846</v>
      </c>
      <c r="K4372" s="7">
        <v>0.65100000000000002</v>
      </c>
      <c r="L4372" s="9">
        <v>1240.3599999999999</v>
      </c>
      <c r="M4372" s="9">
        <v>1238.45</v>
      </c>
      <c r="N4372" s="9">
        <v>1.8</v>
      </c>
      <c r="O4372" s="10">
        <f>IF(AND(OR(H4372="APPROVED",H4372="SCHEDULED"),COUNTIFS(tblSource[EventID],F4372,tblSource[ReleaseStatus],"APPROVED")=1,COUNTIFS(Period_Status!$A$2:$A$8,G4372,Period_Status!$B$2:$B$8,"ActualClosed")=1,C4372&gt;EOMONTH(Settlement_Bridge!$C$2,0)),1,0)</f>
        <v>0</v>
      </c>
      <c r="P4372" s="2" t="s">
        <v>11785</v>
      </c>
    </row>
    <row r="4373" spans="1:16" x14ac:dyDescent="0.25">
      <c r="A4373" s="2" t="s">
        <v>11786</v>
      </c>
      <c r="B4373" s="2" t="s">
        <v>7433</v>
      </c>
      <c r="C4373" s="8">
        <v>46260</v>
      </c>
      <c r="D4373" s="6">
        <v>46235</v>
      </c>
      <c r="E4373" s="2" t="s">
        <v>260</v>
      </c>
      <c r="F4373" s="2" t="s">
        <v>11787</v>
      </c>
      <c r="G4373" s="6">
        <v>46235</v>
      </c>
      <c r="H4373" s="2" t="s">
        <v>71</v>
      </c>
      <c r="I4373" s="2" t="s">
        <v>39</v>
      </c>
      <c r="J4373" s="9">
        <v>936.36400000000003</v>
      </c>
      <c r="K4373" s="7">
        <v>1</v>
      </c>
      <c r="L4373" s="9">
        <v>936.36</v>
      </c>
      <c r="M4373" s="9">
        <v>936.36</v>
      </c>
      <c r="N4373" s="9">
        <v>1.8</v>
      </c>
      <c r="O4373" s="10">
        <f>IF(AND(OR(H4373="APPROVED",H4373="SCHEDULED"),COUNTIFS(tblSource[EventID],F4373,tblSource[ReleaseStatus],"APPROVED")=1,COUNTIFS(Period_Status!$A$2:$A$8,G4373,Period_Status!$B$2:$B$8,"ActualClosed")=1,C4373&gt;EOMONTH(Settlement_Bridge!$C$2,0)),1,0)</f>
        <v>0</v>
      </c>
      <c r="P4373" s="2" t="s">
        <v>11788</v>
      </c>
    </row>
    <row r="4374" spans="1:16" x14ac:dyDescent="0.25">
      <c r="A4374" s="2" t="s">
        <v>11789</v>
      </c>
      <c r="B4374" s="2" t="s">
        <v>7433</v>
      </c>
      <c r="C4374" s="8">
        <v>46285</v>
      </c>
      <c r="D4374" s="6">
        <v>46266</v>
      </c>
      <c r="E4374" s="2" t="s">
        <v>260</v>
      </c>
      <c r="F4374" s="2" t="s">
        <v>11787</v>
      </c>
      <c r="G4374" s="6">
        <v>46235</v>
      </c>
      <c r="H4374" s="2" t="s">
        <v>176</v>
      </c>
      <c r="I4374" s="2" t="s">
        <v>39</v>
      </c>
      <c r="J4374" s="9">
        <v>1404.546</v>
      </c>
      <c r="K4374" s="7">
        <v>1</v>
      </c>
      <c r="L4374" s="9">
        <v>1404.55</v>
      </c>
      <c r="M4374" s="9">
        <v>1404.55</v>
      </c>
      <c r="N4374" s="9">
        <v>1.8</v>
      </c>
      <c r="O4374" s="10">
        <f>IF(AND(OR(H4374="APPROVED",H4374="SCHEDULED"),COUNTIFS(tblSource[EventID],F4374,tblSource[ReleaseStatus],"APPROVED")=1,COUNTIFS(Period_Status!$A$2:$A$8,G4374,Period_Status!$B$2:$B$8,"ActualClosed")=1,C4374&gt;EOMONTH(Settlement_Bridge!$C$2,0)),1,0)</f>
        <v>0</v>
      </c>
      <c r="P4374" s="2" t="s">
        <v>11790</v>
      </c>
    </row>
    <row r="4375" spans="1:16" x14ac:dyDescent="0.25">
      <c r="A4375" s="2" t="s">
        <v>11791</v>
      </c>
      <c r="B4375" s="2" t="s">
        <v>7433</v>
      </c>
      <c r="C4375" s="8">
        <v>46261</v>
      </c>
      <c r="D4375" s="6">
        <v>46235</v>
      </c>
      <c r="E4375" s="2" t="s">
        <v>260</v>
      </c>
      <c r="F4375" s="2" t="s">
        <v>11792</v>
      </c>
      <c r="G4375" s="6">
        <v>46235</v>
      </c>
      <c r="H4375" s="2" t="s">
        <v>71</v>
      </c>
      <c r="I4375" s="2" t="s">
        <v>76</v>
      </c>
      <c r="J4375" s="9">
        <v>17025886.178862002</v>
      </c>
      <c r="K4375" s="7">
        <v>6.1500000000000004E-5</v>
      </c>
      <c r="L4375" s="9">
        <v>1047.0899999999999</v>
      </c>
      <c r="M4375" s="9">
        <v>1047.0899999999999</v>
      </c>
      <c r="N4375" s="9">
        <v>1.8</v>
      </c>
      <c r="O4375" s="10">
        <f>IF(AND(OR(H4375="APPROVED",H4375="SCHEDULED"),COUNTIFS(tblSource[EventID],F4375,tblSource[ReleaseStatus],"APPROVED")=1,COUNTIFS(Period_Status!$A$2:$A$8,G4375,Period_Status!$B$2:$B$8,"ActualClosed")=1,C4375&gt;EOMONTH(Settlement_Bridge!$C$2,0)),1,0)</f>
        <v>0</v>
      </c>
      <c r="P4375" s="2" t="s">
        <v>11793</v>
      </c>
    </row>
    <row r="4376" spans="1:16" x14ac:dyDescent="0.25">
      <c r="A4376" s="2" t="s">
        <v>11794</v>
      </c>
      <c r="B4376" s="2" t="s">
        <v>7433</v>
      </c>
      <c r="C4376" s="8">
        <v>46286</v>
      </c>
      <c r="D4376" s="6">
        <v>46266</v>
      </c>
      <c r="E4376" s="2" t="s">
        <v>260</v>
      </c>
      <c r="F4376" s="2" t="s">
        <v>11792</v>
      </c>
      <c r="G4376" s="6">
        <v>46235</v>
      </c>
      <c r="H4376" s="2" t="s">
        <v>176</v>
      </c>
      <c r="I4376" s="2" t="s">
        <v>76</v>
      </c>
      <c r="J4376" s="9">
        <v>25538829.268291999</v>
      </c>
      <c r="K4376" s="7">
        <v>6.1299999999999999E-5</v>
      </c>
      <c r="L4376" s="9">
        <v>1565.53</v>
      </c>
      <c r="M4376" s="9">
        <v>1570.64</v>
      </c>
      <c r="N4376" s="9">
        <v>1.8</v>
      </c>
      <c r="O4376" s="10">
        <f>IF(AND(OR(H4376="APPROVED",H4376="SCHEDULED"),COUNTIFS(tblSource[EventID],F4376,tblSource[ReleaseStatus],"APPROVED")=1,COUNTIFS(Period_Status!$A$2:$A$8,G4376,Period_Status!$B$2:$B$8,"ActualClosed")=1,C4376&gt;EOMONTH(Settlement_Bridge!$C$2,0)),1,0)</f>
        <v>0</v>
      </c>
      <c r="P4376" s="2" t="s">
        <v>11795</v>
      </c>
    </row>
    <row r="4377" spans="1:16" x14ac:dyDescent="0.25">
      <c r="A4377" s="2" t="s">
        <v>11796</v>
      </c>
      <c r="B4377" s="2" t="s">
        <v>7433</v>
      </c>
      <c r="C4377" s="8">
        <v>46262</v>
      </c>
      <c r="D4377" s="6">
        <v>46235</v>
      </c>
      <c r="E4377" s="2" t="s">
        <v>260</v>
      </c>
      <c r="F4377" s="2" t="s">
        <v>11797</v>
      </c>
      <c r="G4377" s="6">
        <v>46235</v>
      </c>
      <c r="H4377" s="2" t="s">
        <v>71</v>
      </c>
      <c r="I4377" s="2" t="s">
        <v>70</v>
      </c>
      <c r="J4377" s="9">
        <v>1781.2553849999999</v>
      </c>
      <c r="K4377" s="7">
        <v>0.65</v>
      </c>
      <c r="L4377" s="9">
        <v>1157.82</v>
      </c>
      <c r="M4377" s="9">
        <v>1157.82</v>
      </c>
      <c r="N4377" s="9">
        <v>1.8</v>
      </c>
      <c r="O4377" s="10">
        <f>IF(AND(OR(H4377="APPROVED",H4377="SCHEDULED"),COUNTIFS(tblSource[EventID],F4377,tblSource[ReleaseStatus],"APPROVED")=1,COUNTIFS(Period_Status!$A$2:$A$8,G4377,Period_Status!$B$2:$B$8,"ActualClosed")=1,C4377&gt;EOMONTH(Settlement_Bridge!$C$2,0)),1,0)</f>
        <v>0</v>
      </c>
      <c r="P4377" s="2" t="s">
        <v>11798</v>
      </c>
    </row>
    <row r="4378" spans="1:16" x14ac:dyDescent="0.25">
      <c r="A4378" s="2" t="s">
        <v>11799</v>
      </c>
      <c r="B4378" s="2" t="s">
        <v>7433</v>
      </c>
      <c r="C4378" s="8">
        <v>46287</v>
      </c>
      <c r="D4378" s="6">
        <v>46266</v>
      </c>
      <c r="E4378" s="2" t="s">
        <v>260</v>
      </c>
      <c r="F4378" s="2" t="s">
        <v>11797</v>
      </c>
      <c r="G4378" s="6">
        <v>46235</v>
      </c>
      <c r="H4378" s="2" t="s">
        <v>176</v>
      </c>
      <c r="I4378" s="2" t="s">
        <v>70</v>
      </c>
      <c r="J4378" s="9">
        <v>2671.883077</v>
      </c>
      <c r="K4378" s="7">
        <v>0.65100000000000002</v>
      </c>
      <c r="L4378" s="9">
        <v>1739.4</v>
      </c>
      <c r="M4378" s="9">
        <v>1736.72</v>
      </c>
      <c r="N4378" s="9">
        <v>1.8</v>
      </c>
      <c r="O4378" s="10">
        <f>IF(AND(OR(H4378="APPROVED",H4378="SCHEDULED"),COUNTIFS(tblSource[EventID],F4378,tblSource[ReleaseStatus],"APPROVED")=1,COUNTIFS(Period_Status!$A$2:$A$8,G4378,Period_Status!$B$2:$B$8,"ActualClosed")=1,C4378&gt;EOMONTH(Settlement_Bridge!$C$2,0)),1,0)</f>
        <v>0</v>
      </c>
      <c r="P4378" s="2" t="s">
        <v>11800</v>
      </c>
    </row>
    <row r="4379" spans="1:16" x14ac:dyDescent="0.25">
      <c r="A4379" s="2" t="s">
        <v>11801</v>
      </c>
      <c r="B4379" s="2" t="s">
        <v>7433</v>
      </c>
      <c r="C4379" s="8">
        <v>46263</v>
      </c>
      <c r="D4379" s="6">
        <v>46235</v>
      </c>
      <c r="E4379" s="2" t="s">
        <v>260</v>
      </c>
      <c r="F4379" s="2" t="s">
        <v>11802</v>
      </c>
      <c r="G4379" s="6">
        <v>46235</v>
      </c>
      <c r="H4379" s="2" t="s">
        <v>71</v>
      </c>
      <c r="I4379" s="2" t="s">
        <v>39</v>
      </c>
      <c r="J4379" s="9">
        <v>1268.5440000000001</v>
      </c>
      <c r="K4379" s="7">
        <v>1</v>
      </c>
      <c r="L4379" s="9">
        <v>1268.54</v>
      </c>
      <c r="M4379" s="9">
        <v>1268.54</v>
      </c>
      <c r="N4379" s="9">
        <v>1.8</v>
      </c>
      <c r="O4379" s="10">
        <f>IF(AND(OR(H4379="APPROVED",H4379="SCHEDULED"),COUNTIFS(tblSource[EventID],F4379,tblSource[ReleaseStatus],"APPROVED")=1,COUNTIFS(Period_Status!$A$2:$A$8,G4379,Period_Status!$B$2:$B$8,"ActualClosed")=1,C4379&gt;EOMONTH(Settlement_Bridge!$C$2,0)),1,0)</f>
        <v>0</v>
      </c>
      <c r="P4379" s="2" t="s">
        <v>11803</v>
      </c>
    </row>
    <row r="4380" spans="1:16" x14ac:dyDescent="0.25">
      <c r="A4380" s="2" t="s">
        <v>11804</v>
      </c>
      <c r="B4380" s="2" t="s">
        <v>7433</v>
      </c>
      <c r="C4380" s="8">
        <v>46288</v>
      </c>
      <c r="D4380" s="6">
        <v>46266</v>
      </c>
      <c r="E4380" s="2" t="s">
        <v>260</v>
      </c>
      <c r="F4380" s="2" t="s">
        <v>11802</v>
      </c>
      <c r="G4380" s="6">
        <v>46235</v>
      </c>
      <c r="H4380" s="2" t="s">
        <v>176</v>
      </c>
      <c r="I4380" s="2" t="s">
        <v>39</v>
      </c>
      <c r="J4380" s="9">
        <v>1902.816</v>
      </c>
      <c r="K4380" s="7">
        <v>1</v>
      </c>
      <c r="L4380" s="9">
        <v>1902.82</v>
      </c>
      <c r="M4380" s="9">
        <v>1902.82</v>
      </c>
      <c r="N4380" s="9">
        <v>1.8</v>
      </c>
      <c r="O4380" s="10">
        <f>IF(AND(OR(H4380="APPROVED",H4380="SCHEDULED"),COUNTIFS(tblSource[EventID],F4380,tblSource[ReleaseStatus],"APPROVED")=1,COUNTIFS(Period_Status!$A$2:$A$8,G4380,Period_Status!$B$2:$B$8,"ActualClosed")=1,C4380&gt;EOMONTH(Settlement_Bridge!$C$2,0)),1,0)</f>
        <v>0</v>
      </c>
      <c r="P4380" s="2" t="s">
        <v>11805</v>
      </c>
    </row>
    <row r="4381" spans="1:16" x14ac:dyDescent="0.25">
      <c r="A4381" s="2" t="s">
        <v>11806</v>
      </c>
      <c r="B4381" s="2" t="s">
        <v>7433</v>
      </c>
      <c r="C4381" s="8">
        <v>46264</v>
      </c>
      <c r="D4381" s="6">
        <v>46235</v>
      </c>
      <c r="E4381" s="2" t="s">
        <v>260</v>
      </c>
      <c r="F4381" s="2" t="s">
        <v>11807</v>
      </c>
      <c r="G4381" s="6">
        <v>46235</v>
      </c>
      <c r="H4381" s="2" t="s">
        <v>71</v>
      </c>
      <c r="I4381" s="2" t="s">
        <v>76</v>
      </c>
      <c r="J4381" s="9">
        <v>22427186.991870001</v>
      </c>
      <c r="K4381" s="7">
        <v>6.1500000000000004E-5</v>
      </c>
      <c r="L4381" s="9">
        <v>1379.27</v>
      </c>
      <c r="M4381" s="9">
        <v>1379.27</v>
      </c>
      <c r="N4381" s="9">
        <v>1.8</v>
      </c>
      <c r="O4381" s="10">
        <f>IF(AND(OR(H4381="APPROVED",H4381="SCHEDULED"),COUNTIFS(tblSource[EventID],F4381,tblSource[ReleaseStatus],"APPROVED")=1,COUNTIFS(Period_Status!$A$2:$A$8,G4381,Period_Status!$B$2:$B$8,"ActualClosed")=1,C4381&gt;EOMONTH(Settlement_Bridge!$C$2,0)),1,0)</f>
        <v>0</v>
      </c>
      <c r="P4381" s="2" t="s">
        <v>11808</v>
      </c>
    </row>
    <row r="4382" spans="1:16" x14ac:dyDescent="0.25">
      <c r="A4382" s="2" t="s">
        <v>11809</v>
      </c>
      <c r="B4382" s="2" t="s">
        <v>7433</v>
      </c>
      <c r="C4382" s="8">
        <v>46289</v>
      </c>
      <c r="D4382" s="6">
        <v>46266</v>
      </c>
      <c r="E4382" s="2" t="s">
        <v>260</v>
      </c>
      <c r="F4382" s="2" t="s">
        <v>11807</v>
      </c>
      <c r="G4382" s="6">
        <v>46235</v>
      </c>
      <c r="H4382" s="2" t="s">
        <v>176</v>
      </c>
      <c r="I4382" s="2" t="s">
        <v>76</v>
      </c>
      <c r="J4382" s="9">
        <v>33640780.487805001</v>
      </c>
      <c r="K4382" s="7">
        <v>6.1299999999999999E-5</v>
      </c>
      <c r="L4382" s="9">
        <v>2062.1799999999998</v>
      </c>
      <c r="M4382" s="9">
        <v>2068.91</v>
      </c>
      <c r="N4382" s="9">
        <v>1.8</v>
      </c>
      <c r="O4382" s="10">
        <f>IF(AND(OR(H4382="APPROVED",H4382="SCHEDULED"),COUNTIFS(tblSource[EventID],F4382,tblSource[ReleaseStatus],"APPROVED")=1,COUNTIFS(Period_Status!$A$2:$A$8,G4382,Period_Status!$B$2:$B$8,"ActualClosed")=1,C4382&gt;EOMONTH(Settlement_Bridge!$C$2,0)),1,0)</f>
        <v>0</v>
      </c>
      <c r="P4382" s="2" t="s">
        <v>11810</v>
      </c>
    </row>
    <row r="4383" spans="1:16" x14ac:dyDescent="0.25">
      <c r="A4383" s="2" t="s">
        <v>11811</v>
      </c>
      <c r="B4383" s="2" t="s">
        <v>7433</v>
      </c>
      <c r="C4383" s="8">
        <v>46265</v>
      </c>
      <c r="D4383" s="6">
        <v>46235</v>
      </c>
      <c r="E4383" s="2" t="s">
        <v>260</v>
      </c>
      <c r="F4383" s="2" t="s">
        <v>11812</v>
      </c>
      <c r="G4383" s="6">
        <v>46235</v>
      </c>
      <c r="H4383" s="2" t="s">
        <v>71</v>
      </c>
      <c r="I4383" s="2" t="s">
        <v>70</v>
      </c>
      <c r="J4383" s="9">
        <v>2292.3015380000002</v>
      </c>
      <c r="K4383" s="7">
        <v>0.65</v>
      </c>
      <c r="L4383" s="9">
        <v>1490</v>
      </c>
      <c r="M4383" s="9">
        <v>1490</v>
      </c>
      <c r="N4383" s="9">
        <v>1.8</v>
      </c>
      <c r="O4383" s="10">
        <f>IF(AND(OR(H4383="APPROVED",H4383="SCHEDULED"),COUNTIFS(tblSource[EventID],F4383,tblSource[ReleaseStatus],"APPROVED")=1,COUNTIFS(Period_Status!$A$2:$A$8,G4383,Period_Status!$B$2:$B$8,"ActualClosed")=1,C4383&gt;EOMONTH(Settlement_Bridge!$C$2,0)),1,0)</f>
        <v>0</v>
      </c>
      <c r="P4383" s="2" t="s">
        <v>11813</v>
      </c>
    </row>
    <row r="4384" spans="1:16" x14ac:dyDescent="0.25">
      <c r="A4384" s="2" t="s">
        <v>11814</v>
      </c>
      <c r="B4384" s="2" t="s">
        <v>7433</v>
      </c>
      <c r="C4384" s="8">
        <v>46290</v>
      </c>
      <c r="D4384" s="6">
        <v>46266</v>
      </c>
      <c r="E4384" s="2" t="s">
        <v>260</v>
      </c>
      <c r="F4384" s="2" t="s">
        <v>11812</v>
      </c>
      <c r="G4384" s="6">
        <v>46235</v>
      </c>
      <c r="H4384" s="2" t="s">
        <v>176</v>
      </c>
      <c r="I4384" s="2" t="s">
        <v>70</v>
      </c>
      <c r="J4384" s="9">
        <v>3438.4523079999999</v>
      </c>
      <c r="K4384" s="7">
        <v>0.65100000000000002</v>
      </c>
      <c r="L4384" s="9">
        <v>2238.4299999999998</v>
      </c>
      <c r="M4384" s="9">
        <v>2234.9899999999998</v>
      </c>
      <c r="N4384" s="9">
        <v>1.8</v>
      </c>
      <c r="O4384" s="10">
        <f>IF(AND(OR(H4384="APPROVED",H4384="SCHEDULED"),COUNTIFS(tblSource[EventID],F4384,tblSource[ReleaseStatus],"APPROVED")=1,COUNTIFS(Period_Status!$A$2:$A$8,G4384,Period_Status!$B$2:$B$8,"ActualClosed")=1,C4384&gt;EOMONTH(Settlement_Bridge!$C$2,0)),1,0)</f>
        <v>0</v>
      </c>
      <c r="P4384" s="2" t="s">
        <v>11815</v>
      </c>
    </row>
    <row r="4385" spans="1:16" x14ac:dyDescent="0.25">
      <c r="A4385" s="2" t="s">
        <v>11816</v>
      </c>
      <c r="B4385" s="2" t="s">
        <v>7433</v>
      </c>
      <c r="C4385" s="8">
        <v>46266</v>
      </c>
      <c r="D4385" s="6">
        <v>46266</v>
      </c>
      <c r="E4385" s="2" t="s">
        <v>260</v>
      </c>
      <c r="F4385" s="2" t="s">
        <v>11817</v>
      </c>
      <c r="G4385" s="6">
        <v>46235</v>
      </c>
      <c r="H4385" s="2" t="s">
        <v>176</v>
      </c>
      <c r="I4385" s="2" t="s">
        <v>39</v>
      </c>
      <c r="J4385" s="9">
        <v>1600.7239999999999</v>
      </c>
      <c r="K4385" s="7">
        <v>1</v>
      </c>
      <c r="L4385" s="9">
        <v>1600.72</v>
      </c>
      <c r="M4385" s="9">
        <v>1600.72</v>
      </c>
      <c r="N4385" s="9">
        <v>1.8</v>
      </c>
      <c r="O4385" s="10">
        <f>IF(AND(OR(H4385="APPROVED",H4385="SCHEDULED"),COUNTIFS(tblSource[EventID],F4385,tblSource[ReleaseStatus],"APPROVED")=1,COUNTIFS(Period_Status!$A$2:$A$8,G4385,Period_Status!$B$2:$B$8,"ActualClosed")=1,C4385&gt;EOMONTH(Settlement_Bridge!$C$2,0)),1,0)</f>
        <v>0</v>
      </c>
      <c r="P4385" s="2" t="s">
        <v>11818</v>
      </c>
    </row>
    <row r="4386" spans="1:16" x14ac:dyDescent="0.25">
      <c r="A4386" s="2" t="s">
        <v>11819</v>
      </c>
      <c r="B4386" s="2" t="s">
        <v>7433</v>
      </c>
      <c r="C4386" s="8">
        <v>46291</v>
      </c>
      <c r="D4386" s="6">
        <v>46266</v>
      </c>
      <c r="E4386" s="2" t="s">
        <v>260</v>
      </c>
      <c r="F4386" s="2" t="s">
        <v>11817</v>
      </c>
      <c r="G4386" s="6">
        <v>46235</v>
      </c>
      <c r="H4386" s="2" t="s">
        <v>176</v>
      </c>
      <c r="I4386" s="2" t="s">
        <v>39</v>
      </c>
      <c r="J4386" s="9">
        <v>2401.0859999999998</v>
      </c>
      <c r="K4386" s="7">
        <v>1</v>
      </c>
      <c r="L4386" s="9">
        <v>2401.09</v>
      </c>
      <c r="M4386" s="9">
        <v>2401.09</v>
      </c>
      <c r="N4386" s="9">
        <v>1.8</v>
      </c>
      <c r="O4386" s="10">
        <f>IF(AND(OR(H4386="APPROVED",H4386="SCHEDULED"),COUNTIFS(tblSource[EventID],F4386,tblSource[ReleaseStatus],"APPROVED")=1,COUNTIFS(Period_Status!$A$2:$A$8,G4386,Period_Status!$B$2:$B$8,"ActualClosed")=1,C4386&gt;EOMONTH(Settlement_Bridge!$C$2,0)),1,0)</f>
        <v>0</v>
      </c>
      <c r="P4386" s="2" t="s">
        <v>11820</v>
      </c>
    </row>
    <row r="4387" spans="1:16" x14ac:dyDescent="0.25">
      <c r="A4387" s="2" t="s">
        <v>11821</v>
      </c>
      <c r="B4387" s="2" t="s">
        <v>7433</v>
      </c>
      <c r="C4387" s="8">
        <v>46267</v>
      </c>
      <c r="D4387" s="6">
        <v>46266</v>
      </c>
      <c r="E4387" s="2" t="s">
        <v>260</v>
      </c>
      <c r="F4387" s="2" t="s">
        <v>11822</v>
      </c>
      <c r="G4387" s="6">
        <v>46235</v>
      </c>
      <c r="H4387" s="2" t="s">
        <v>176</v>
      </c>
      <c r="I4387" s="2" t="s">
        <v>76</v>
      </c>
      <c r="J4387" s="9">
        <v>27828422.764228001</v>
      </c>
      <c r="K4387" s="7">
        <v>6.1299999999999999E-5</v>
      </c>
      <c r="L4387" s="9">
        <v>1705.88</v>
      </c>
      <c r="M4387" s="9">
        <v>1711.45</v>
      </c>
      <c r="N4387" s="9">
        <v>1.8</v>
      </c>
      <c r="O4387" s="10">
        <f>IF(AND(OR(H4387="APPROVED",H4387="SCHEDULED"),COUNTIFS(tblSource[EventID],F4387,tblSource[ReleaseStatus],"APPROVED")=1,COUNTIFS(Period_Status!$A$2:$A$8,G4387,Period_Status!$B$2:$B$8,"ActualClosed")=1,C4387&gt;EOMONTH(Settlement_Bridge!$C$2,0)),1,0)</f>
        <v>0</v>
      </c>
      <c r="P4387" s="2" t="s">
        <v>11823</v>
      </c>
    </row>
    <row r="4388" spans="1:16" x14ac:dyDescent="0.25">
      <c r="A4388" s="2" t="s">
        <v>11824</v>
      </c>
      <c r="B4388" s="2" t="s">
        <v>7433</v>
      </c>
      <c r="C4388" s="8">
        <v>46292</v>
      </c>
      <c r="D4388" s="6">
        <v>46266</v>
      </c>
      <c r="E4388" s="2" t="s">
        <v>260</v>
      </c>
      <c r="F4388" s="2" t="s">
        <v>11822</v>
      </c>
      <c r="G4388" s="6">
        <v>46235</v>
      </c>
      <c r="H4388" s="2" t="s">
        <v>176</v>
      </c>
      <c r="I4388" s="2" t="s">
        <v>76</v>
      </c>
      <c r="J4388" s="9">
        <v>41742634.146341003</v>
      </c>
      <c r="K4388" s="7">
        <v>6.1299999999999999E-5</v>
      </c>
      <c r="L4388" s="9">
        <v>2558.8200000000002</v>
      </c>
      <c r="M4388" s="9">
        <v>2567.17</v>
      </c>
      <c r="N4388" s="9">
        <v>1.8</v>
      </c>
      <c r="O4388" s="10">
        <f>IF(AND(OR(H4388="APPROVED",H4388="SCHEDULED"),COUNTIFS(tblSource[EventID],F4388,tblSource[ReleaseStatus],"APPROVED")=1,COUNTIFS(Period_Status!$A$2:$A$8,G4388,Period_Status!$B$2:$B$8,"ActualClosed")=1,C4388&gt;EOMONTH(Settlement_Bridge!$C$2,0)),1,0)</f>
        <v>0</v>
      </c>
      <c r="P4388" s="2" t="s">
        <v>11825</v>
      </c>
    </row>
    <row r="4389" spans="1:16" x14ac:dyDescent="0.25">
      <c r="A4389" s="2" t="s">
        <v>11826</v>
      </c>
      <c r="B4389" s="2" t="s">
        <v>7433</v>
      </c>
      <c r="C4389" s="8">
        <v>46268</v>
      </c>
      <c r="D4389" s="6">
        <v>46266</v>
      </c>
      <c r="E4389" s="2" t="s">
        <v>260</v>
      </c>
      <c r="F4389" s="2" t="s">
        <v>11827</v>
      </c>
      <c r="G4389" s="6">
        <v>46235</v>
      </c>
      <c r="H4389" s="2" t="s">
        <v>176</v>
      </c>
      <c r="I4389" s="2" t="s">
        <v>70</v>
      </c>
      <c r="J4389" s="9">
        <v>2803.3476919999998</v>
      </c>
      <c r="K4389" s="7">
        <v>0.65100000000000002</v>
      </c>
      <c r="L4389" s="9">
        <v>1824.98</v>
      </c>
      <c r="M4389" s="9">
        <v>1822.18</v>
      </c>
      <c r="N4389" s="9">
        <v>1.8</v>
      </c>
      <c r="O4389" s="10">
        <f>IF(AND(OR(H4389="APPROVED",H4389="SCHEDULED"),COUNTIFS(tblSource[EventID],F4389,tblSource[ReleaseStatus],"APPROVED")=1,COUNTIFS(Period_Status!$A$2:$A$8,G4389,Period_Status!$B$2:$B$8,"ActualClosed")=1,C4389&gt;EOMONTH(Settlement_Bridge!$C$2,0)),1,0)</f>
        <v>0</v>
      </c>
      <c r="P4389" s="2" t="s">
        <v>11828</v>
      </c>
    </row>
    <row r="4390" spans="1:16" x14ac:dyDescent="0.25">
      <c r="A4390" s="2" t="s">
        <v>11829</v>
      </c>
      <c r="B4390" s="2" t="s">
        <v>7433</v>
      </c>
      <c r="C4390" s="8">
        <v>46293</v>
      </c>
      <c r="D4390" s="6">
        <v>46266</v>
      </c>
      <c r="E4390" s="2" t="s">
        <v>260</v>
      </c>
      <c r="F4390" s="2" t="s">
        <v>11827</v>
      </c>
      <c r="G4390" s="6">
        <v>46235</v>
      </c>
      <c r="H4390" s="2" t="s">
        <v>176</v>
      </c>
      <c r="I4390" s="2" t="s">
        <v>70</v>
      </c>
      <c r="J4390" s="9">
        <v>4205.0215390000003</v>
      </c>
      <c r="K4390" s="7">
        <v>0.65100000000000002</v>
      </c>
      <c r="L4390" s="9">
        <v>2737.47</v>
      </c>
      <c r="M4390" s="9">
        <v>2733.26</v>
      </c>
      <c r="N4390" s="9">
        <v>1.8</v>
      </c>
      <c r="O4390" s="10">
        <f>IF(AND(OR(H4390="APPROVED",H4390="SCHEDULED"),COUNTIFS(tblSource[EventID],F4390,tblSource[ReleaseStatus],"APPROVED")=1,COUNTIFS(Period_Status!$A$2:$A$8,G4390,Period_Status!$B$2:$B$8,"ActualClosed")=1,C4390&gt;EOMONTH(Settlement_Bridge!$C$2,0)),1,0)</f>
        <v>0</v>
      </c>
      <c r="P4390" s="2" t="s">
        <v>11830</v>
      </c>
    </row>
    <row r="4391" spans="1:16" x14ac:dyDescent="0.25">
      <c r="A4391" s="2" t="s">
        <v>11831</v>
      </c>
      <c r="B4391" s="2" t="s">
        <v>7433</v>
      </c>
      <c r="C4391" s="8">
        <v>46269</v>
      </c>
      <c r="D4391" s="6">
        <v>46266</v>
      </c>
      <c r="E4391" s="2" t="s">
        <v>260</v>
      </c>
      <c r="F4391" s="2" t="s">
        <v>11832</v>
      </c>
      <c r="G4391" s="6">
        <v>46235</v>
      </c>
      <c r="H4391" s="2" t="s">
        <v>176</v>
      </c>
      <c r="I4391" s="2" t="s">
        <v>39</v>
      </c>
      <c r="J4391" s="9">
        <v>1932.904</v>
      </c>
      <c r="K4391" s="7">
        <v>1</v>
      </c>
      <c r="L4391" s="9">
        <v>1932.9</v>
      </c>
      <c r="M4391" s="9">
        <v>1932.9</v>
      </c>
      <c r="N4391" s="9">
        <v>1.8</v>
      </c>
      <c r="O4391" s="10">
        <f>IF(AND(OR(H4391="APPROVED",H4391="SCHEDULED"),COUNTIFS(tblSource[EventID],F4391,tblSource[ReleaseStatus],"APPROVED")=1,COUNTIFS(Period_Status!$A$2:$A$8,G4391,Period_Status!$B$2:$B$8,"ActualClosed")=1,C4391&gt;EOMONTH(Settlement_Bridge!$C$2,0)),1,0)</f>
        <v>0</v>
      </c>
      <c r="P4391" s="2" t="s">
        <v>11833</v>
      </c>
    </row>
    <row r="4392" spans="1:16" x14ac:dyDescent="0.25">
      <c r="A4392" s="2" t="s">
        <v>11834</v>
      </c>
      <c r="B4392" s="2" t="s">
        <v>7433</v>
      </c>
      <c r="C4392" s="8">
        <v>46294</v>
      </c>
      <c r="D4392" s="6">
        <v>46266</v>
      </c>
      <c r="E4392" s="2" t="s">
        <v>260</v>
      </c>
      <c r="F4392" s="2" t="s">
        <v>11832</v>
      </c>
      <c r="G4392" s="6">
        <v>46235</v>
      </c>
      <c r="H4392" s="2" t="s">
        <v>176</v>
      </c>
      <c r="I4392" s="2" t="s">
        <v>39</v>
      </c>
      <c r="J4392" s="9">
        <v>2899.3560000000002</v>
      </c>
      <c r="K4392" s="7">
        <v>1</v>
      </c>
      <c r="L4392" s="9">
        <v>2899.36</v>
      </c>
      <c r="M4392" s="9">
        <v>2899.36</v>
      </c>
      <c r="N4392" s="9">
        <v>1.8</v>
      </c>
      <c r="O4392" s="10">
        <f>IF(AND(OR(H4392="APPROVED",H4392="SCHEDULED"),COUNTIFS(tblSource[EventID],F4392,tblSource[ReleaseStatus],"APPROVED")=1,COUNTIFS(Period_Status!$A$2:$A$8,G4392,Period_Status!$B$2:$B$8,"ActualClosed")=1,C4392&gt;EOMONTH(Settlement_Bridge!$C$2,0)),1,0)</f>
        <v>0</v>
      </c>
      <c r="P4392" s="2" t="s">
        <v>11835</v>
      </c>
    </row>
    <row r="4393" spans="1:16" x14ac:dyDescent="0.25">
      <c r="A4393" s="2" t="s">
        <v>11836</v>
      </c>
      <c r="B4393" s="2" t="s">
        <v>7433</v>
      </c>
      <c r="C4393" s="8">
        <v>46270</v>
      </c>
      <c r="D4393" s="6">
        <v>46266</v>
      </c>
      <c r="E4393" s="2" t="s">
        <v>260</v>
      </c>
      <c r="F4393" s="2" t="s">
        <v>11837</v>
      </c>
      <c r="G4393" s="6">
        <v>46235</v>
      </c>
      <c r="H4393" s="2" t="s">
        <v>176</v>
      </c>
      <c r="I4393" s="2" t="s">
        <v>76</v>
      </c>
      <c r="J4393" s="9">
        <v>33229723.577236</v>
      </c>
      <c r="K4393" s="7">
        <v>6.1299999999999999E-5</v>
      </c>
      <c r="L4393" s="9">
        <v>2036.98</v>
      </c>
      <c r="M4393" s="9">
        <v>2043.63</v>
      </c>
      <c r="N4393" s="9">
        <v>1.8</v>
      </c>
      <c r="O4393" s="10">
        <f>IF(AND(OR(H4393="APPROVED",H4393="SCHEDULED"),COUNTIFS(tblSource[EventID],F4393,tblSource[ReleaseStatus],"APPROVED")=1,COUNTIFS(Period_Status!$A$2:$A$8,G4393,Period_Status!$B$2:$B$8,"ActualClosed")=1,C4393&gt;EOMONTH(Settlement_Bridge!$C$2,0)),1,0)</f>
        <v>0</v>
      </c>
      <c r="P4393" s="2" t="s">
        <v>11838</v>
      </c>
    </row>
    <row r="4394" spans="1:16" x14ac:dyDescent="0.25">
      <c r="A4394" s="2" t="s">
        <v>11839</v>
      </c>
      <c r="B4394" s="2" t="s">
        <v>7433</v>
      </c>
      <c r="C4394" s="8">
        <v>46295</v>
      </c>
      <c r="D4394" s="6">
        <v>46266</v>
      </c>
      <c r="E4394" s="2" t="s">
        <v>260</v>
      </c>
      <c r="F4394" s="2" t="s">
        <v>11837</v>
      </c>
      <c r="G4394" s="6">
        <v>46235</v>
      </c>
      <c r="H4394" s="2" t="s">
        <v>176</v>
      </c>
      <c r="I4394" s="2" t="s">
        <v>76</v>
      </c>
      <c r="J4394" s="9">
        <v>49844585.365852997</v>
      </c>
      <c r="K4394" s="7">
        <v>6.1299999999999999E-5</v>
      </c>
      <c r="L4394" s="9">
        <v>3055.47</v>
      </c>
      <c r="M4394" s="9">
        <v>3065.44</v>
      </c>
      <c r="N4394" s="9">
        <v>1.8</v>
      </c>
      <c r="O4394" s="10">
        <f>IF(AND(OR(H4394="APPROVED",H4394="SCHEDULED"),COUNTIFS(tblSource[EventID],F4394,tblSource[ReleaseStatus],"APPROVED")=1,COUNTIFS(Period_Status!$A$2:$A$8,G4394,Period_Status!$B$2:$B$8,"ActualClosed")=1,C4394&gt;EOMONTH(Settlement_Bridge!$C$2,0)),1,0)</f>
        <v>0</v>
      </c>
      <c r="P4394" s="2" t="s">
        <v>11840</v>
      </c>
    </row>
    <row r="4395" spans="1:16" x14ac:dyDescent="0.25">
      <c r="A4395" s="2" t="s">
        <v>11841</v>
      </c>
      <c r="B4395" s="2" t="s">
        <v>7433</v>
      </c>
      <c r="C4395" s="8">
        <v>46271</v>
      </c>
      <c r="D4395" s="6">
        <v>46266</v>
      </c>
      <c r="E4395" s="2" t="s">
        <v>260</v>
      </c>
      <c r="F4395" s="2" t="s">
        <v>11842</v>
      </c>
      <c r="G4395" s="6">
        <v>46235</v>
      </c>
      <c r="H4395" s="2" t="s">
        <v>176</v>
      </c>
      <c r="I4395" s="2" t="s">
        <v>70</v>
      </c>
      <c r="J4395" s="9">
        <v>3314.3938459999999</v>
      </c>
      <c r="K4395" s="7">
        <v>0.65100000000000002</v>
      </c>
      <c r="L4395" s="9">
        <v>2157.67</v>
      </c>
      <c r="M4395" s="9">
        <v>2154.36</v>
      </c>
      <c r="N4395" s="9">
        <v>1.8</v>
      </c>
      <c r="O4395" s="10">
        <f>IF(AND(OR(H4395="APPROVED",H4395="SCHEDULED"),COUNTIFS(tblSource[EventID],F4395,tblSource[ReleaseStatus],"APPROVED")=1,COUNTIFS(Period_Status!$A$2:$A$8,G4395,Period_Status!$B$2:$B$8,"ActualClosed")=1,C4395&gt;EOMONTH(Settlement_Bridge!$C$2,0)),1,0)</f>
        <v>0</v>
      </c>
      <c r="P4395" s="2" t="s">
        <v>11843</v>
      </c>
    </row>
    <row r="4396" spans="1:16" x14ac:dyDescent="0.25">
      <c r="A4396" s="2" t="s">
        <v>11844</v>
      </c>
      <c r="B4396" s="2" t="s">
        <v>7433</v>
      </c>
      <c r="C4396" s="8">
        <v>46296</v>
      </c>
      <c r="D4396" s="6">
        <v>46296</v>
      </c>
      <c r="E4396" s="2" t="s">
        <v>260</v>
      </c>
      <c r="F4396" s="2" t="s">
        <v>11842</v>
      </c>
      <c r="G4396" s="6">
        <v>46235</v>
      </c>
      <c r="H4396" s="2" t="s">
        <v>176</v>
      </c>
      <c r="I4396" s="2" t="s">
        <v>70</v>
      </c>
      <c r="J4396" s="9">
        <v>4971.5907690000004</v>
      </c>
      <c r="K4396" s="7">
        <v>0.65500000000000003</v>
      </c>
      <c r="L4396" s="9">
        <v>3256.39</v>
      </c>
      <c r="M4396" s="9">
        <v>3231.53</v>
      </c>
      <c r="N4396" s="9">
        <v>1.8</v>
      </c>
      <c r="O4396" s="10">
        <f>IF(AND(OR(H4396="APPROVED",H4396="SCHEDULED"),COUNTIFS(tblSource[EventID],F4396,tblSource[ReleaseStatus],"APPROVED")=1,COUNTIFS(Period_Status!$A$2:$A$8,G4396,Period_Status!$B$2:$B$8,"ActualClosed")=1,C4396&gt;EOMONTH(Settlement_Bridge!$C$2,0)),1,0)</f>
        <v>0</v>
      </c>
      <c r="P4396" s="2" t="s">
        <v>11845</v>
      </c>
    </row>
    <row r="4397" spans="1:16" x14ac:dyDescent="0.25">
      <c r="A4397" s="2" t="s">
        <v>11846</v>
      </c>
      <c r="B4397" s="2" t="s">
        <v>7433</v>
      </c>
      <c r="C4397" s="8">
        <v>46272</v>
      </c>
      <c r="D4397" s="6">
        <v>46266</v>
      </c>
      <c r="E4397" s="2" t="s">
        <v>260</v>
      </c>
      <c r="F4397" s="2" t="s">
        <v>11847</v>
      </c>
      <c r="G4397" s="6">
        <v>46235</v>
      </c>
      <c r="H4397" s="2" t="s">
        <v>176</v>
      </c>
      <c r="I4397" s="2" t="s">
        <v>39</v>
      </c>
      <c r="J4397" s="9">
        <v>2265.08</v>
      </c>
      <c r="K4397" s="7">
        <v>1</v>
      </c>
      <c r="L4397" s="9">
        <v>2265.08</v>
      </c>
      <c r="M4397" s="9">
        <v>2265.08</v>
      </c>
      <c r="N4397" s="9">
        <v>1.8</v>
      </c>
      <c r="O4397" s="10">
        <f>IF(AND(OR(H4397="APPROVED",H4397="SCHEDULED"),COUNTIFS(tblSource[EventID],F4397,tblSource[ReleaseStatus],"APPROVED")=1,COUNTIFS(Period_Status!$A$2:$A$8,G4397,Period_Status!$B$2:$B$8,"ActualClosed")=1,C4397&gt;EOMONTH(Settlement_Bridge!$C$2,0)),1,0)</f>
        <v>0</v>
      </c>
      <c r="P4397" s="2" t="s">
        <v>11848</v>
      </c>
    </row>
    <row r="4398" spans="1:16" x14ac:dyDescent="0.25">
      <c r="A4398" s="2" t="s">
        <v>11849</v>
      </c>
      <c r="B4398" s="2" t="s">
        <v>7433</v>
      </c>
      <c r="C4398" s="8">
        <v>46297</v>
      </c>
      <c r="D4398" s="6">
        <v>46296</v>
      </c>
      <c r="E4398" s="2" t="s">
        <v>260</v>
      </c>
      <c r="F4398" s="2" t="s">
        <v>11847</v>
      </c>
      <c r="G4398" s="6">
        <v>46235</v>
      </c>
      <c r="H4398" s="2" t="s">
        <v>176</v>
      </c>
      <c r="I4398" s="2" t="s">
        <v>39</v>
      </c>
      <c r="J4398" s="9">
        <v>3397.62</v>
      </c>
      <c r="K4398" s="7">
        <v>1</v>
      </c>
      <c r="L4398" s="9">
        <v>3397.62</v>
      </c>
      <c r="M4398" s="9">
        <v>3397.62</v>
      </c>
      <c r="N4398" s="9">
        <v>1.87</v>
      </c>
      <c r="O4398" s="10">
        <f>IF(AND(OR(H4398="APPROVED",H4398="SCHEDULED"),COUNTIFS(tblSource[EventID],F4398,tblSource[ReleaseStatus],"APPROVED")=1,COUNTIFS(Period_Status!$A$2:$A$8,G4398,Period_Status!$B$2:$B$8,"ActualClosed")=1,C4398&gt;EOMONTH(Settlement_Bridge!$C$2,0)),1,0)</f>
        <v>0</v>
      </c>
      <c r="P4398" s="2" t="s">
        <v>11850</v>
      </c>
    </row>
    <row r="4399" spans="1:16" x14ac:dyDescent="0.25">
      <c r="A4399" s="2" t="s">
        <v>11851</v>
      </c>
      <c r="B4399" s="2" t="s">
        <v>7433</v>
      </c>
      <c r="C4399" s="8">
        <v>46273</v>
      </c>
      <c r="D4399" s="6">
        <v>46266</v>
      </c>
      <c r="E4399" s="2" t="s">
        <v>260</v>
      </c>
      <c r="F4399" s="2" t="s">
        <v>11852</v>
      </c>
      <c r="G4399" s="6">
        <v>46235</v>
      </c>
      <c r="H4399" s="2" t="s">
        <v>176</v>
      </c>
      <c r="I4399" s="2" t="s">
        <v>76</v>
      </c>
      <c r="J4399" s="9">
        <v>38631024.390244</v>
      </c>
      <c r="K4399" s="7">
        <v>6.1299999999999999E-5</v>
      </c>
      <c r="L4399" s="9">
        <v>2368.08</v>
      </c>
      <c r="M4399" s="9">
        <v>2375.81</v>
      </c>
      <c r="N4399" s="9">
        <v>1.8</v>
      </c>
      <c r="O4399" s="10">
        <f>IF(AND(OR(H4399="APPROVED",H4399="SCHEDULED"),COUNTIFS(tblSource[EventID],F4399,tblSource[ReleaseStatus],"APPROVED")=1,COUNTIFS(Period_Status!$A$2:$A$8,G4399,Period_Status!$B$2:$B$8,"ActualClosed")=1,C4399&gt;EOMONTH(Settlement_Bridge!$C$2,0)),1,0)</f>
        <v>0</v>
      </c>
      <c r="P4399" s="2" t="s">
        <v>11853</v>
      </c>
    </row>
    <row r="4400" spans="1:16" x14ac:dyDescent="0.25">
      <c r="A4400" s="2" t="s">
        <v>11854</v>
      </c>
      <c r="B4400" s="2" t="s">
        <v>7433</v>
      </c>
      <c r="C4400" s="8">
        <v>46298</v>
      </c>
      <c r="D4400" s="6">
        <v>46296</v>
      </c>
      <c r="E4400" s="2" t="s">
        <v>260</v>
      </c>
      <c r="F4400" s="2" t="s">
        <v>11852</v>
      </c>
      <c r="G4400" s="6">
        <v>46235</v>
      </c>
      <c r="H4400" s="2" t="s">
        <v>176</v>
      </c>
      <c r="I4400" s="2" t="s">
        <v>76</v>
      </c>
      <c r="J4400" s="9">
        <v>57946536.585366003</v>
      </c>
      <c r="K4400" s="7">
        <v>6.1099999999999994E-5</v>
      </c>
      <c r="L4400" s="9">
        <v>3540.53</v>
      </c>
      <c r="M4400" s="9">
        <v>3563.71</v>
      </c>
      <c r="N4400" s="9">
        <v>1.95</v>
      </c>
      <c r="O4400" s="10">
        <f>IF(AND(OR(H4400="APPROVED",H4400="SCHEDULED"),COUNTIFS(tblSource[EventID],F4400,tblSource[ReleaseStatus],"APPROVED")=1,COUNTIFS(Period_Status!$A$2:$A$8,G4400,Period_Status!$B$2:$B$8,"ActualClosed")=1,C4400&gt;EOMONTH(Settlement_Bridge!$C$2,0)),1,0)</f>
        <v>0</v>
      </c>
      <c r="P4400" s="2" t="s">
        <v>11855</v>
      </c>
    </row>
    <row r="4401" spans="1:16" x14ac:dyDescent="0.25">
      <c r="A4401" s="2" t="s">
        <v>11856</v>
      </c>
      <c r="B4401" s="2" t="s">
        <v>7433</v>
      </c>
      <c r="C4401" s="8">
        <v>46274</v>
      </c>
      <c r="D4401" s="6">
        <v>46266</v>
      </c>
      <c r="E4401" s="2" t="s">
        <v>260</v>
      </c>
      <c r="F4401" s="2" t="s">
        <v>11857</v>
      </c>
      <c r="G4401" s="6">
        <v>46235</v>
      </c>
      <c r="H4401" s="2" t="s">
        <v>176</v>
      </c>
      <c r="I4401" s="2" t="s">
        <v>70</v>
      </c>
      <c r="J4401" s="9">
        <v>3825.4338459999999</v>
      </c>
      <c r="K4401" s="7">
        <v>0.65100000000000002</v>
      </c>
      <c r="L4401" s="9">
        <v>2490.36</v>
      </c>
      <c r="M4401" s="9">
        <v>2486.5300000000002</v>
      </c>
      <c r="N4401" s="9">
        <v>1.8</v>
      </c>
      <c r="O4401" s="10">
        <f>IF(AND(OR(H4401="APPROVED",H4401="SCHEDULED"),COUNTIFS(tblSource[EventID],F4401,tblSource[ReleaseStatus],"APPROVED")=1,COUNTIFS(Period_Status!$A$2:$A$8,G4401,Period_Status!$B$2:$B$8,"ActualClosed")=1,C4401&gt;EOMONTH(Settlement_Bridge!$C$2,0)),1,0)</f>
        <v>0</v>
      </c>
      <c r="P4401" s="2" t="s">
        <v>11858</v>
      </c>
    </row>
    <row r="4402" spans="1:16" x14ac:dyDescent="0.25">
      <c r="A4402" s="2" t="s">
        <v>11859</v>
      </c>
      <c r="B4402" s="2" t="s">
        <v>7433</v>
      </c>
      <c r="C4402" s="8">
        <v>46299</v>
      </c>
      <c r="D4402" s="6">
        <v>46296</v>
      </c>
      <c r="E4402" s="2" t="s">
        <v>260</v>
      </c>
      <c r="F4402" s="2" t="s">
        <v>11857</v>
      </c>
      <c r="G4402" s="6">
        <v>46235</v>
      </c>
      <c r="H4402" s="2" t="s">
        <v>176</v>
      </c>
      <c r="I4402" s="2" t="s">
        <v>70</v>
      </c>
      <c r="J4402" s="9">
        <v>5738.1507689999999</v>
      </c>
      <c r="K4402" s="7">
        <v>0.65500000000000003</v>
      </c>
      <c r="L4402" s="9">
        <v>3758.49</v>
      </c>
      <c r="M4402" s="9">
        <v>3729.8</v>
      </c>
      <c r="N4402" s="9">
        <v>2.0699999999999998</v>
      </c>
      <c r="O4402" s="10">
        <f>IF(AND(OR(H4402="APPROVED",H4402="SCHEDULED"),COUNTIFS(tblSource[EventID],F4402,tblSource[ReleaseStatus],"APPROVED")=1,COUNTIFS(Period_Status!$A$2:$A$8,G4402,Period_Status!$B$2:$B$8,"ActualClosed")=1,C4402&gt;EOMONTH(Settlement_Bridge!$C$2,0)),1,0)</f>
        <v>0</v>
      </c>
      <c r="P4402" s="2" t="s">
        <v>11860</v>
      </c>
    </row>
    <row r="4403" spans="1:16" x14ac:dyDescent="0.25">
      <c r="A4403" s="2" t="s">
        <v>11861</v>
      </c>
      <c r="B4403" s="2" t="s">
        <v>7433</v>
      </c>
      <c r="C4403" s="8">
        <v>46275</v>
      </c>
      <c r="D4403" s="6">
        <v>46266</v>
      </c>
      <c r="E4403" s="2" t="s">
        <v>260</v>
      </c>
      <c r="F4403" s="2" t="s">
        <v>11862</v>
      </c>
      <c r="G4403" s="6">
        <v>46235</v>
      </c>
      <c r="H4403" s="2" t="s">
        <v>176</v>
      </c>
      <c r="I4403" s="2" t="s">
        <v>39</v>
      </c>
      <c r="J4403" s="9">
        <v>2597.2600000000002</v>
      </c>
      <c r="K4403" s="7">
        <v>1</v>
      </c>
      <c r="L4403" s="9">
        <v>2597.2600000000002</v>
      </c>
      <c r="M4403" s="9">
        <v>2597.2600000000002</v>
      </c>
      <c r="N4403" s="9">
        <v>1.8</v>
      </c>
      <c r="O4403" s="10">
        <f>IF(AND(OR(H4403="APPROVED",H4403="SCHEDULED"),COUNTIFS(tblSource[EventID],F4403,tblSource[ReleaseStatus],"APPROVED")=1,COUNTIFS(Period_Status!$A$2:$A$8,G4403,Period_Status!$B$2:$B$8,"ActualClosed")=1,C4403&gt;EOMONTH(Settlement_Bridge!$C$2,0)),1,0)</f>
        <v>0</v>
      </c>
      <c r="P4403" s="2" t="s">
        <v>11863</v>
      </c>
    </row>
    <row r="4404" spans="1:16" x14ac:dyDescent="0.25">
      <c r="A4404" s="2" t="s">
        <v>11864</v>
      </c>
      <c r="B4404" s="2" t="s">
        <v>7433</v>
      </c>
      <c r="C4404" s="8">
        <v>46300</v>
      </c>
      <c r="D4404" s="6">
        <v>46296</v>
      </c>
      <c r="E4404" s="2" t="s">
        <v>260</v>
      </c>
      <c r="F4404" s="2" t="s">
        <v>11862</v>
      </c>
      <c r="G4404" s="6">
        <v>46235</v>
      </c>
      <c r="H4404" s="2" t="s">
        <v>176</v>
      </c>
      <c r="I4404" s="2" t="s">
        <v>39</v>
      </c>
      <c r="J4404" s="9">
        <v>3895.89</v>
      </c>
      <c r="K4404" s="7">
        <v>1</v>
      </c>
      <c r="L4404" s="9">
        <v>3895.89</v>
      </c>
      <c r="M4404" s="9">
        <v>3895.89</v>
      </c>
      <c r="N4404" s="9">
        <v>2.14</v>
      </c>
      <c r="O4404" s="10">
        <f>IF(AND(OR(H4404="APPROVED",H4404="SCHEDULED"),COUNTIFS(tblSource[EventID],F4404,tblSource[ReleaseStatus],"APPROVED")=1,COUNTIFS(Period_Status!$A$2:$A$8,G4404,Period_Status!$B$2:$B$8,"ActualClosed")=1,C4404&gt;EOMONTH(Settlement_Bridge!$C$2,0)),1,0)</f>
        <v>0</v>
      </c>
      <c r="P4404" s="2" t="s">
        <v>11865</v>
      </c>
    </row>
    <row r="4405" spans="1:16" x14ac:dyDescent="0.25">
      <c r="A4405" s="2" t="s">
        <v>11866</v>
      </c>
      <c r="B4405" s="2" t="s">
        <v>7433</v>
      </c>
      <c r="C4405" s="8">
        <v>46276</v>
      </c>
      <c r="D4405" s="6">
        <v>46266</v>
      </c>
      <c r="E4405" s="2" t="s">
        <v>260</v>
      </c>
      <c r="F4405" s="2" t="s">
        <v>11867</v>
      </c>
      <c r="G4405" s="6">
        <v>46235</v>
      </c>
      <c r="H4405" s="2" t="s">
        <v>176</v>
      </c>
      <c r="I4405" s="2" t="s">
        <v>76</v>
      </c>
      <c r="J4405" s="9">
        <v>44032325.203252003</v>
      </c>
      <c r="K4405" s="7">
        <v>6.1299999999999999E-5</v>
      </c>
      <c r="L4405" s="9">
        <v>2699.18</v>
      </c>
      <c r="M4405" s="9">
        <v>2707.99</v>
      </c>
      <c r="N4405" s="9">
        <v>1.8</v>
      </c>
      <c r="O4405" s="10">
        <f>IF(AND(OR(H4405="APPROVED",H4405="SCHEDULED"),COUNTIFS(tblSource[EventID],F4405,tblSource[ReleaseStatus],"APPROVED")=1,COUNTIFS(Period_Status!$A$2:$A$8,G4405,Period_Status!$B$2:$B$8,"ActualClosed")=1,C4405&gt;EOMONTH(Settlement_Bridge!$C$2,0)),1,0)</f>
        <v>0</v>
      </c>
      <c r="P4405" s="2" t="s">
        <v>11868</v>
      </c>
    </row>
    <row r="4406" spans="1:16" x14ac:dyDescent="0.25">
      <c r="A4406" s="2" t="s">
        <v>11869</v>
      </c>
      <c r="B4406" s="2" t="s">
        <v>7433</v>
      </c>
      <c r="C4406" s="8">
        <v>46301</v>
      </c>
      <c r="D4406" s="6">
        <v>46296</v>
      </c>
      <c r="E4406" s="2" t="s">
        <v>260</v>
      </c>
      <c r="F4406" s="2" t="s">
        <v>11867</v>
      </c>
      <c r="G4406" s="6">
        <v>46235</v>
      </c>
      <c r="H4406" s="2" t="s">
        <v>176</v>
      </c>
      <c r="I4406" s="2" t="s">
        <v>76</v>
      </c>
      <c r="J4406" s="9">
        <v>66048487.804877996</v>
      </c>
      <c r="K4406" s="7">
        <v>6.1099999999999994E-5</v>
      </c>
      <c r="L4406" s="9">
        <v>4035.56</v>
      </c>
      <c r="M4406" s="9">
        <v>4061.98</v>
      </c>
      <c r="N4406" s="9">
        <v>2.2200000000000002</v>
      </c>
      <c r="O4406" s="10">
        <f>IF(AND(OR(H4406="APPROVED",H4406="SCHEDULED"),COUNTIFS(tblSource[EventID],F4406,tblSource[ReleaseStatus],"APPROVED")=1,COUNTIFS(Period_Status!$A$2:$A$8,G4406,Period_Status!$B$2:$B$8,"ActualClosed")=1,C4406&gt;EOMONTH(Settlement_Bridge!$C$2,0)),1,0)</f>
        <v>0</v>
      </c>
      <c r="P4406" s="2" t="s">
        <v>11870</v>
      </c>
    </row>
    <row r="4407" spans="1:16" x14ac:dyDescent="0.25">
      <c r="A4407" s="2" t="s">
        <v>11871</v>
      </c>
      <c r="B4407" s="2" t="s">
        <v>7433</v>
      </c>
      <c r="C4407" s="8">
        <v>46277</v>
      </c>
      <c r="D4407" s="6">
        <v>46266</v>
      </c>
      <c r="E4407" s="2" t="s">
        <v>260</v>
      </c>
      <c r="F4407" s="2" t="s">
        <v>11872</v>
      </c>
      <c r="G4407" s="6">
        <v>46235</v>
      </c>
      <c r="H4407" s="2" t="s">
        <v>176</v>
      </c>
      <c r="I4407" s="2" t="s">
        <v>70</v>
      </c>
      <c r="J4407" s="9">
        <v>4336.4861540000002</v>
      </c>
      <c r="K4407" s="7">
        <v>0.65100000000000002</v>
      </c>
      <c r="L4407" s="9">
        <v>2823.05</v>
      </c>
      <c r="M4407" s="9">
        <v>2818.72</v>
      </c>
      <c r="N4407" s="9">
        <v>1.8</v>
      </c>
      <c r="O4407" s="10">
        <f>IF(AND(OR(H4407="APPROVED",H4407="SCHEDULED"),COUNTIFS(tblSource[EventID],F4407,tblSource[ReleaseStatus],"APPROVED")=1,COUNTIFS(Period_Status!$A$2:$A$8,G4407,Period_Status!$B$2:$B$8,"ActualClosed")=1,C4407&gt;EOMONTH(Settlement_Bridge!$C$2,0)),1,0)</f>
        <v>0</v>
      </c>
      <c r="P4407" s="2" t="s">
        <v>11873</v>
      </c>
    </row>
    <row r="4408" spans="1:16" x14ac:dyDescent="0.25">
      <c r="A4408" s="2" t="s">
        <v>11874</v>
      </c>
      <c r="B4408" s="2" t="s">
        <v>7433</v>
      </c>
      <c r="C4408" s="8">
        <v>46302</v>
      </c>
      <c r="D4408" s="6">
        <v>46296</v>
      </c>
      <c r="E4408" s="2" t="s">
        <v>260</v>
      </c>
      <c r="F4408" s="2" t="s">
        <v>11872</v>
      </c>
      <c r="G4408" s="6">
        <v>46235</v>
      </c>
      <c r="H4408" s="2" t="s">
        <v>176</v>
      </c>
      <c r="I4408" s="2" t="s">
        <v>70</v>
      </c>
      <c r="J4408" s="9">
        <v>6504.7292310000003</v>
      </c>
      <c r="K4408" s="7">
        <v>0.65500000000000003</v>
      </c>
      <c r="L4408" s="9">
        <v>4260.6000000000004</v>
      </c>
      <c r="M4408" s="9">
        <v>4228.07</v>
      </c>
      <c r="N4408" s="9">
        <v>2.34</v>
      </c>
      <c r="O4408" s="10">
        <f>IF(AND(OR(H4408="APPROVED",H4408="SCHEDULED"),COUNTIFS(tblSource[EventID],F4408,tblSource[ReleaseStatus],"APPROVED")=1,COUNTIFS(Period_Status!$A$2:$A$8,G4408,Period_Status!$B$2:$B$8,"ActualClosed")=1,C4408&gt;EOMONTH(Settlement_Bridge!$C$2,0)),1,0)</f>
        <v>0</v>
      </c>
      <c r="P4408" s="2" t="s">
        <v>11875</v>
      </c>
    </row>
    <row r="4409" spans="1:16" x14ac:dyDescent="0.25">
      <c r="A4409" s="2" t="s">
        <v>11876</v>
      </c>
      <c r="B4409" s="2" t="s">
        <v>7433</v>
      </c>
      <c r="C4409" s="8">
        <v>46278</v>
      </c>
      <c r="D4409" s="6">
        <v>46266</v>
      </c>
      <c r="E4409" s="2" t="s">
        <v>260</v>
      </c>
      <c r="F4409" s="2" t="s">
        <v>11877</v>
      </c>
      <c r="G4409" s="6">
        <v>46235</v>
      </c>
      <c r="H4409" s="2" t="s">
        <v>176</v>
      </c>
      <c r="I4409" s="2" t="s">
        <v>39</v>
      </c>
      <c r="J4409" s="9">
        <v>2929.44</v>
      </c>
      <c r="K4409" s="7">
        <v>1</v>
      </c>
      <c r="L4409" s="9">
        <v>2929.44</v>
      </c>
      <c r="M4409" s="9">
        <v>2929.44</v>
      </c>
      <c r="N4409" s="9">
        <v>1.8</v>
      </c>
      <c r="O4409" s="10">
        <f>IF(AND(OR(H4409="APPROVED",H4409="SCHEDULED"),COUNTIFS(tblSource[EventID],F4409,tblSource[ReleaseStatus],"APPROVED")=1,COUNTIFS(Period_Status!$A$2:$A$8,G4409,Period_Status!$B$2:$B$8,"ActualClosed")=1,C4409&gt;EOMONTH(Settlement_Bridge!$C$2,0)),1,0)</f>
        <v>0</v>
      </c>
      <c r="P4409" s="2" t="s">
        <v>11878</v>
      </c>
    </row>
    <row r="4410" spans="1:16" x14ac:dyDescent="0.25">
      <c r="A4410" s="2" t="s">
        <v>11879</v>
      </c>
      <c r="B4410" s="2" t="s">
        <v>7433</v>
      </c>
      <c r="C4410" s="8">
        <v>46303</v>
      </c>
      <c r="D4410" s="6">
        <v>46296</v>
      </c>
      <c r="E4410" s="2" t="s">
        <v>260</v>
      </c>
      <c r="F4410" s="2" t="s">
        <v>11877</v>
      </c>
      <c r="G4410" s="6">
        <v>46235</v>
      </c>
      <c r="H4410" s="2" t="s">
        <v>176</v>
      </c>
      <c r="I4410" s="2" t="s">
        <v>39</v>
      </c>
      <c r="J4410" s="9">
        <v>4394.16</v>
      </c>
      <c r="K4410" s="7">
        <v>1</v>
      </c>
      <c r="L4410" s="9">
        <v>4394.16</v>
      </c>
      <c r="M4410" s="9">
        <v>4394.16</v>
      </c>
      <c r="N4410" s="9">
        <v>2.42</v>
      </c>
      <c r="O4410" s="10">
        <f>IF(AND(OR(H4410="APPROVED",H4410="SCHEDULED"),COUNTIFS(tblSource[EventID],F4410,tblSource[ReleaseStatus],"APPROVED")=1,COUNTIFS(Period_Status!$A$2:$A$8,G4410,Period_Status!$B$2:$B$8,"ActualClosed")=1,C4410&gt;EOMONTH(Settlement_Bridge!$C$2,0)),1,0)</f>
        <v>0</v>
      </c>
      <c r="P4410" s="2" t="s">
        <v>11880</v>
      </c>
    </row>
    <row r="4411" spans="1:16" x14ac:dyDescent="0.25">
      <c r="A4411" s="2" t="s">
        <v>11881</v>
      </c>
      <c r="B4411" s="2" t="s">
        <v>7433</v>
      </c>
      <c r="C4411" s="8">
        <v>46279</v>
      </c>
      <c r="D4411" s="6">
        <v>46266</v>
      </c>
      <c r="E4411" s="2" t="s">
        <v>260</v>
      </c>
      <c r="F4411" s="2" t="s">
        <v>11882</v>
      </c>
      <c r="G4411" s="6">
        <v>46235</v>
      </c>
      <c r="H4411" s="2" t="s">
        <v>176</v>
      </c>
      <c r="I4411" s="2" t="s">
        <v>76</v>
      </c>
      <c r="J4411" s="9">
        <v>49433626.016259998</v>
      </c>
      <c r="K4411" s="7">
        <v>6.1299999999999999E-5</v>
      </c>
      <c r="L4411" s="9">
        <v>3030.28</v>
      </c>
      <c r="M4411" s="9">
        <v>3040.17</v>
      </c>
      <c r="N4411" s="9">
        <v>1.8</v>
      </c>
      <c r="O4411" s="10">
        <f>IF(AND(OR(H4411="APPROVED",H4411="SCHEDULED"),COUNTIFS(tblSource[EventID],F4411,tblSource[ReleaseStatus],"APPROVED")=1,COUNTIFS(Period_Status!$A$2:$A$8,G4411,Period_Status!$B$2:$B$8,"ActualClosed")=1,C4411&gt;EOMONTH(Settlement_Bridge!$C$2,0)),1,0)</f>
        <v>0</v>
      </c>
      <c r="P4411" s="2" t="s">
        <v>11883</v>
      </c>
    </row>
    <row r="4412" spans="1:16" x14ac:dyDescent="0.25">
      <c r="A4412" s="2" t="s">
        <v>11884</v>
      </c>
      <c r="B4412" s="2" t="s">
        <v>7433</v>
      </c>
      <c r="C4412" s="8">
        <v>46304</v>
      </c>
      <c r="D4412" s="6">
        <v>46296</v>
      </c>
      <c r="E4412" s="2" t="s">
        <v>260</v>
      </c>
      <c r="F4412" s="2" t="s">
        <v>11882</v>
      </c>
      <c r="G4412" s="6">
        <v>46235</v>
      </c>
      <c r="H4412" s="2" t="s">
        <v>176</v>
      </c>
      <c r="I4412" s="2" t="s">
        <v>76</v>
      </c>
      <c r="J4412" s="9">
        <v>74150439.024389997</v>
      </c>
      <c r="K4412" s="7">
        <v>6.1099999999999994E-5</v>
      </c>
      <c r="L4412" s="9">
        <v>4530.59</v>
      </c>
      <c r="M4412" s="9">
        <v>4560.25</v>
      </c>
      <c r="N4412" s="9">
        <v>2.4900000000000002</v>
      </c>
      <c r="O4412" s="10">
        <f>IF(AND(OR(H4412="APPROVED",H4412="SCHEDULED"),COUNTIFS(tblSource[EventID],F4412,tblSource[ReleaseStatus],"APPROVED")=1,COUNTIFS(Period_Status!$A$2:$A$8,G4412,Period_Status!$B$2:$B$8,"ActualClosed")=1,C4412&gt;EOMONTH(Settlement_Bridge!$C$2,0)),1,0)</f>
        <v>0</v>
      </c>
      <c r="P4412" s="2" t="s">
        <v>11885</v>
      </c>
    </row>
    <row r="4413" spans="1:16" x14ac:dyDescent="0.25">
      <c r="A4413" s="2" t="s">
        <v>11886</v>
      </c>
      <c r="B4413" s="2" t="s">
        <v>7433</v>
      </c>
      <c r="C4413" s="8">
        <v>46249</v>
      </c>
      <c r="D4413" s="6">
        <v>46235</v>
      </c>
      <c r="E4413" s="2" t="s">
        <v>260</v>
      </c>
      <c r="F4413" s="2" t="s">
        <v>11887</v>
      </c>
      <c r="G4413" s="6">
        <v>46235</v>
      </c>
      <c r="H4413" s="2" t="s">
        <v>71</v>
      </c>
      <c r="I4413" s="2" t="s">
        <v>70</v>
      </c>
      <c r="J4413" s="9">
        <v>4847.5261540000001</v>
      </c>
      <c r="K4413" s="7">
        <v>0.65</v>
      </c>
      <c r="L4413" s="9">
        <v>3150.89</v>
      </c>
      <c r="M4413" s="9">
        <v>3150.89</v>
      </c>
      <c r="N4413" s="9">
        <v>1.8</v>
      </c>
      <c r="O4413" s="10">
        <f>IF(AND(OR(H4413="APPROVED",H4413="SCHEDULED"),COUNTIFS(tblSource[EventID],F4413,tblSource[ReleaseStatus],"APPROVED")=1,COUNTIFS(Period_Status!$A$2:$A$8,G4413,Period_Status!$B$2:$B$8,"ActualClosed")=1,C4413&gt;EOMONTH(Settlement_Bridge!$C$2,0)),1,0)</f>
        <v>0</v>
      </c>
      <c r="P4413" s="2" t="s">
        <v>11888</v>
      </c>
    </row>
    <row r="4414" spans="1:16" x14ac:dyDescent="0.25">
      <c r="A4414" s="2" t="s">
        <v>11889</v>
      </c>
      <c r="B4414" s="2" t="s">
        <v>7433</v>
      </c>
      <c r="C4414" s="8">
        <v>46274</v>
      </c>
      <c r="D4414" s="6">
        <v>46266</v>
      </c>
      <c r="E4414" s="2" t="s">
        <v>260</v>
      </c>
      <c r="F4414" s="2" t="s">
        <v>11887</v>
      </c>
      <c r="G4414" s="6">
        <v>46235</v>
      </c>
      <c r="H4414" s="2" t="s">
        <v>176</v>
      </c>
      <c r="I4414" s="2" t="s">
        <v>70</v>
      </c>
      <c r="J4414" s="9">
        <v>7271.2892309999997</v>
      </c>
      <c r="K4414" s="7">
        <v>0.65100000000000002</v>
      </c>
      <c r="L4414" s="9">
        <v>4733.6099999999997</v>
      </c>
      <c r="M4414" s="9">
        <v>4726.34</v>
      </c>
      <c r="N4414" s="9">
        <v>2.6</v>
      </c>
      <c r="O4414" s="10">
        <f>IF(AND(OR(H4414="APPROVED",H4414="SCHEDULED"),COUNTIFS(tblSource[EventID],F4414,tblSource[ReleaseStatus],"APPROVED")=1,COUNTIFS(Period_Status!$A$2:$A$8,G4414,Period_Status!$B$2:$B$8,"ActualClosed")=1,C4414&gt;EOMONTH(Settlement_Bridge!$C$2,0)),1,0)</f>
        <v>0</v>
      </c>
      <c r="P4414" s="2" t="s">
        <v>11890</v>
      </c>
    </row>
    <row r="4415" spans="1:16" x14ac:dyDescent="0.25">
      <c r="A4415" s="2" t="s">
        <v>11891</v>
      </c>
      <c r="B4415" s="2" t="s">
        <v>7433</v>
      </c>
      <c r="C4415" s="8">
        <v>46250</v>
      </c>
      <c r="D4415" s="6">
        <v>46235</v>
      </c>
      <c r="E4415" s="2" t="s">
        <v>260</v>
      </c>
      <c r="F4415" s="2" t="s">
        <v>11892</v>
      </c>
      <c r="G4415" s="6">
        <v>46235</v>
      </c>
      <c r="H4415" s="2" t="s">
        <v>71</v>
      </c>
      <c r="I4415" s="2" t="s">
        <v>39</v>
      </c>
      <c r="J4415" s="9">
        <v>3261.62</v>
      </c>
      <c r="K4415" s="7">
        <v>1</v>
      </c>
      <c r="L4415" s="9">
        <v>3261.62</v>
      </c>
      <c r="M4415" s="9">
        <v>3261.62</v>
      </c>
      <c r="N4415" s="9">
        <v>1.8</v>
      </c>
      <c r="O4415" s="10">
        <f>IF(AND(OR(H4415="APPROVED",H4415="SCHEDULED"),COUNTIFS(tblSource[EventID],F4415,tblSource[ReleaseStatus],"APPROVED")=1,COUNTIFS(Period_Status!$A$2:$A$8,G4415,Period_Status!$B$2:$B$8,"ActualClosed")=1,C4415&gt;EOMONTH(Settlement_Bridge!$C$2,0)),1,0)</f>
        <v>0</v>
      </c>
      <c r="P4415" s="2" t="s">
        <v>11893</v>
      </c>
    </row>
    <row r="4416" spans="1:16" x14ac:dyDescent="0.25">
      <c r="A4416" s="2" t="s">
        <v>11894</v>
      </c>
      <c r="B4416" s="2" t="s">
        <v>7433</v>
      </c>
      <c r="C4416" s="8">
        <v>46275</v>
      </c>
      <c r="D4416" s="6">
        <v>46266</v>
      </c>
      <c r="E4416" s="2" t="s">
        <v>260</v>
      </c>
      <c r="F4416" s="2" t="s">
        <v>11892</v>
      </c>
      <c r="G4416" s="6">
        <v>46235</v>
      </c>
      <c r="H4416" s="2" t="s">
        <v>176</v>
      </c>
      <c r="I4416" s="2" t="s">
        <v>39</v>
      </c>
      <c r="J4416" s="9">
        <v>4892.43</v>
      </c>
      <c r="K4416" s="7">
        <v>1</v>
      </c>
      <c r="L4416" s="9">
        <v>4892.43</v>
      </c>
      <c r="M4416" s="9">
        <v>4892.43</v>
      </c>
      <c r="N4416" s="9">
        <v>2.69</v>
      </c>
      <c r="O4416" s="10">
        <f>IF(AND(OR(H4416="APPROVED",H4416="SCHEDULED"),COUNTIFS(tblSource[EventID],F4416,tblSource[ReleaseStatus],"APPROVED")=1,COUNTIFS(Period_Status!$A$2:$A$8,G4416,Period_Status!$B$2:$B$8,"ActualClosed")=1,C4416&gt;EOMONTH(Settlement_Bridge!$C$2,0)),1,0)</f>
        <v>0</v>
      </c>
      <c r="P4416" s="2" t="s">
        <v>11895</v>
      </c>
    </row>
    <row r="4417" spans="1:16" x14ac:dyDescent="0.25">
      <c r="A4417" s="2" t="s">
        <v>11896</v>
      </c>
      <c r="B4417" s="2" t="s">
        <v>7433</v>
      </c>
      <c r="C4417" s="8">
        <v>46251</v>
      </c>
      <c r="D4417" s="6">
        <v>46235</v>
      </c>
      <c r="E4417" s="2" t="s">
        <v>260</v>
      </c>
      <c r="F4417" s="2" t="s">
        <v>11897</v>
      </c>
      <c r="G4417" s="6">
        <v>46235</v>
      </c>
      <c r="H4417" s="2" t="s">
        <v>71</v>
      </c>
      <c r="I4417" s="2" t="s">
        <v>76</v>
      </c>
      <c r="J4417" s="9">
        <v>-137087154.47154501</v>
      </c>
      <c r="K4417" s="7">
        <v>6.1500000000000004E-5</v>
      </c>
      <c r="L4417" s="9">
        <v>-8430.86</v>
      </c>
      <c r="M4417" s="9">
        <v>-8430.86</v>
      </c>
      <c r="N4417" s="9">
        <v>0</v>
      </c>
      <c r="O4417" s="10">
        <f>IF(AND(OR(H4417="APPROVED",H4417="SCHEDULED"),COUNTIFS(tblSource[EventID],F4417,tblSource[ReleaseStatus],"APPROVED")=1,COUNTIFS(Period_Status!$A$2:$A$8,G4417,Period_Status!$B$2:$B$8,"ActualClosed")=1,C4417&gt;EOMONTH(Settlement_Bridge!$C$2,0)),1,0)</f>
        <v>0</v>
      </c>
      <c r="P4417" s="2" t="s">
        <v>11898</v>
      </c>
    </row>
    <row r="4418" spans="1:16" x14ac:dyDescent="0.25">
      <c r="A4418" s="2" t="s">
        <v>11899</v>
      </c>
      <c r="B4418" s="2" t="s">
        <v>7433</v>
      </c>
      <c r="C4418" s="8">
        <v>46252</v>
      </c>
      <c r="D4418" s="6">
        <v>46235</v>
      </c>
      <c r="E4418" s="2" t="s">
        <v>260</v>
      </c>
      <c r="F4418" s="2" t="s">
        <v>11900</v>
      </c>
      <c r="G4418" s="6">
        <v>46235</v>
      </c>
      <c r="H4418" s="2" t="s">
        <v>71</v>
      </c>
      <c r="I4418" s="2" t="s">
        <v>70</v>
      </c>
      <c r="J4418" s="9">
        <v>5358.5723079999998</v>
      </c>
      <c r="K4418" s="7">
        <v>0.65</v>
      </c>
      <c r="L4418" s="9">
        <v>3483.07</v>
      </c>
      <c r="M4418" s="9">
        <v>3483.07</v>
      </c>
      <c r="N4418" s="9">
        <v>1.92</v>
      </c>
      <c r="O4418" s="10">
        <f>IF(AND(OR(H4418="APPROVED",H4418="SCHEDULED"),COUNTIFS(tblSource[EventID],F4418,tblSource[ReleaseStatus],"APPROVED")=1,COUNTIFS(Period_Status!$A$2:$A$8,G4418,Period_Status!$B$2:$B$8,"ActualClosed")=1,C4418&gt;EOMONTH(Settlement_Bridge!$C$2,0)),1,0)</f>
        <v>0</v>
      </c>
      <c r="P4418" s="2" t="s">
        <v>11901</v>
      </c>
    </row>
    <row r="4419" spans="1:16" x14ac:dyDescent="0.25">
      <c r="A4419" s="2" t="s">
        <v>11902</v>
      </c>
      <c r="B4419" s="2" t="s">
        <v>7433</v>
      </c>
      <c r="C4419" s="8">
        <v>46277</v>
      </c>
      <c r="D4419" s="6">
        <v>46266</v>
      </c>
      <c r="E4419" s="2" t="s">
        <v>260</v>
      </c>
      <c r="F4419" s="2" t="s">
        <v>11900</v>
      </c>
      <c r="G4419" s="6">
        <v>46235</v>
      </c>
      <c r="H4419" s="2" t="s">
        <v>176</v>
      </c>
      <c r="I4419" s="2" t="s">
        <v>70</v>
      </c>
      <c r="J4419" s="9">
        <v>8037.8584609999998</v>
      </c>
      <c r="K4419" s="7">
        <v>0.65100000000000002</v>
      </c>
      <c r="L4419" s="9">
        <v>5232.6499999999996</v>
      </c>
      <c r="M4419" s="9">
        <v>5224.6099999999997</v>
      </c>
      <c r="N4419" s="9">
        <v>2.88</v>
      </c>
      <c r="O4419" s="10">
        <f>IF(AND(OR(H4419="APPROVED",H4419="SCHEDULED"),COUNTIFS(tblSource[EventID],F4419,tblSource[ReleaseStatus],"APPROVED")=1,COUNTIFS(Period_Status!$A$2:$A$8,G4419,Period_Status!$B$2:$B$8,"ActualClosed")=1,C4419&gt;EOMONTH(Settlement_Bridge!$C$2,0)),1,0)</f>
        <v>0</v>
      </c>
      <c r="P4419" s="2" t="s">
        <v>11903</v>
      </c>
    </row>
    <row r="4420" spans="1:16" x14ac:dyDescent="0.25">
      <c r="A4420" s="2" t="s">
        <v>11904</v>
      </c>
      <c r="B4420" s="2" t="s">
        <v>7433</v>
      </c>
      <c r="C4420" s="8">
        <v>46253</v>
      </c>
      <c r="D4420" s="6">
        <v>46235</v>
      </c>
      <c r="E4420" s="2" t="s">
        <v>260</v>
      </c>
      <c r="F4420" s="2" t="s">
        <v>11905</v>
      </c>
      <c r="G4420" s="6">
        <v>46235</v>
      </c>
      <c r="H4420" s="2" t="s">
        <v>71</v>
      </c>
      <c r="I4420" s="2" t="s">
        <v>39</v>
      </c>
      <c r="J4420" s="9">
        <v>3593.8</v>
      </c>
      <c r="K4420" s="7">
        <v>1</v>
      </c>
      <c r="L4420" s="9">
        <v>3593.8</v>
      </c>
      <c r="M4420" s="9">
        <v>3593.8</v>
      </c>
      <c r="N4420" s="9">
        <v>1.98</v>
      </c>
      <c r="O4420" s="10">
        <f>IF(AND(OR(H4420="APPROVED",H4420="SCHEDULED"),COUNTIFS(tblSource[EventID],F4420,tblSource[ReleaseStatus],"APPROVED")=1,COUNTIFS(Period_Status!$A$2:$A$8,G4420,Period_Status!$B$2:$B$8,"ActualClosed")=1,C4420&gt;EOMONTH(Settlement_Bridge!$C$2,0)),1,0)</f>
        <v>0</v>
      </c>
      <c r="P4420" s="2" t="s">
        <v>11906</v>
      </c>
    </row>
    <row r="4421" spans="1:16" x14ac:dyDescent="0.25">
      <c r="A4421" s="2" t="s">
        <v>11907</v>
      </c>
      <c r="B4421" s="2" t="s">
        <v>7433</v>
      </c>
      <c r="C4421" s="8">
        <v>46278</v>
      </c>
      <c r="D4421" s="6">
        <v>46266</v>
      </c>
      <c r="E4421" s="2" t="s">
        <v>260</v>
      </c>
      <c r="F4421" s="2" t="s">
        <v>11905</v>
      </c>
      <c r="G4421" s="6">
        <v>46235</v>
      </c>
      <c r="H4421" s="2" t="s">
        <v>176</v>
      </c>
      <c r="I4421" s="2" t="s">
        <v>39</v>
      </c>
      <c r="J4421" s="9">
        <v>5390.7</v>
      </c>
      <c r="K4421" s="7">
        <v>1</v>
      </c>
      <c r="L4421" s="9">
        <v>5390.7</v>
      </c>
      <c r="M4421" s="9">
        <v>5390.7</v>
      </c>
      <c r="N4421" s="9">
        <v>2.96</v>
      </c>
      <c r="O4421" s="10">
        <f>IF(AND(OR(H4421="APPROVED",H4421="SCHEDULED"),COUNTIFS(tblSource[EventID],F4421,tblSource[ReleaseStatus],"APPROVED")=1,COUNTIFS(Period_Status!$A$2:$A$8,G4421,Period_Status!$B$2:$B$8,"ActualClosed")=1,C4421&gt;EOMONTH(Settlement_Bridge!$C$2,0)),1,0)</f>
        <v>0</v>
      </c>
      <c r="P4421" s="2" t="s">
        <v>11908</v>
      </c>
    </row>
    <row r="4422" spans="1:16" x14ac:dyDescent="0.25">
      <c r="A4422" s="2" t="s">
        <v>11909</v>
      </c>
      <c r="B4422" s="2" t="s">
        <v>7433</v>
      </c>
      <c r="C4422" s="8">
        <v>46254</v>
      </c>
      <c r="D4422" s="6">
        <v>46235</v>
      </c>
      <c r="E4422" s="2" t="s">
        <v>260</v>
      </c>
      <c r="F4422" s="2" t="s">
        <v>11910</v>
      </c>
      <c r="G4422" s="6">
        <v>46235</v>
      </c>
      <c r="H4422" s="2" t="s">
        <v>71</v>
      </c>
      <c r="I4422" s="2" t="s">
        <v>76</v>
      </c>
      <c r="J4422" s="9">
        <v>60236162.601626001</v>
      </c>
      <c r="K4422" s="7">
        <v>6.1500000000000004E-5</v>
      </c>
      <c r="L4422" s="9">
        <v>3704.52</v>
      </c>
      <c r="M4422" s="9">
        <v>3704.52</v>
      </c>
      <c r="N4422" s="9">
        <v>2.04</v>
      </c>
      <c r="O4422" s="10">
        <f>IF(AND(OR(H4422="APPROVED",H4422="SCHEDULED"),COUNTIFS(tblSource[EventID],F4422,tblSource[ReleaseStatus],"APPROVED")=1,COUNTIFS(Period_Status!$A$2:$A$8,G4422,Period_Status!$B$2:$B$8,"ActualClosed")=1,C4422&gt;EOMONTH(Settlement_Bridge!$C$2,0)),1,0)</f>
        <v>0</v>
      </c>
      <c r="P4422" s="2" t="s">
        <v>11911</v>
      </c>
    </row>
    <row r="4423" spans="1:16" x14ac:dyDescent="0.25">
      <c r="A4423" s="2" t="s">
        <v>11912</v>
      </c>
      <c r="B4423" s="2" t="s">
        <v>7433</v>
      </c>
      <c r="C4423" s="8">
        <v>46279</v>
      </c>
      <c r="D4423" s="6">
        <v>46266</v>
      </c>
      <c r="E4423" s="2" t="s">
        <v>260</v>
      </c>
      <c r="F4423" s="2" t="s">
        <v>11910</v>
      </c>
      <c r="G4423" s="6">
        <v>46235</v>
      </c>
      <c r="H4423" s="2" t="s">
        <v>176</v>
      </c>
      <c r="I4423" s="2" t="s">
        <v>76</v>
      </c>
      <c r="J4423" s="9">
        <v>90354243.902438998</v>
      </c>
      <c r="K4423" s="7">
        <v>6.1299999999999999E-5</v>
      </c>
      <c r="L4423" s="9">
        <v>5538.72</v>
      </c>
      <c r="M4423" s="9">
        <v>5556.79</v>
      </c>
      <c r="N4423" s="9">
        <v>3.05</v>
      </c>
      <c r="O4423" s="10">
        <f>IF(AND(OR(H4423="APPROVED",H4423="SCHEDULED"),COUNTIFS(tblSource[EventID],F4423,tblSource[ReleaseStatus],"APPROVED")=1,COUNTIFS(Period_Status!$A$2:$A$8,G4423,Period_Status!$B$2:$B$8,"ActualClosed")=1,C4423&gt;EOMONTH(Settlement_Bridge!$C$2,0)),1,0)</f>
        <v>0</v>
      </c>
      <c r="P4423" s="2" t="s">
        <v>11913</v>
      </c>
    </row>
    <row r="4424" spans="1:16" x14ac:dyDescent="0.25">
      <c r="A4424" s="2" t="s">
        <v>11914</v>
      </c>
      <c r="B4424" s="2" t="s">
        <v>7433</v>
      </c>
      <c r="C4424" s="8">
        <v>46255</v>
      </c>
      <c r="D4424" s="6">
        <v>46235</v>
      </c>
      <c r="E4424" s="2" t="s">
        <v>260</v>
      </c>
      <c r="F4424" s="2" t="s">
        <v>11915</v>
      </c>
      <c r="G4424" s="6">
        <v>46235</v>
      </c>
      <c r="H4424" s="2" t="s">
        <v>71</v>
      </c>
      <c r="I4424" s="2" t="s">
        <v>70</v>
      </c>
      <c r="J4424" s="9">
        <v>5869.6184620000004</v>
      </c>
      <c r="K4424" s="7">
        <v>0.65</v>
      </c>
      <c r="L4424" s="9">
        <v>3815.25</v>
      </c>
      <c r="M4424" s="9">
        <v>3815.25</v>
      </c>
      <c r="N4424" s="9">
        <v>2.1</v>
      </c>
      <c r="O4424" s="10">
        <f>IF(AND(OR(H4424="APPROVED",H4424="SCHEDULED"),COUNTIFS(tblSource[EventID],F4424,tblSource[ReleaseStatus],"APPROVED")=1,COUNTIFS(Period_Status!$A$2:$A$8,G4424,Period_Status!$B$2:$B$8,"ActualClosed")=1,C4424&gt;EOMONTH(Settlement_Bridge!$C$2,0)),1,0)</f>
        <v>0</v>
      </c>
      <c r="P4424" s="2" t="s">
        <v>11916</v>
      </c>
    </row>
    <row r="4425" spans="1:16" x14ac:dyDescent="0.25">
      <c r="A4425" s="2" t="s">
        <v>11917</v>
      </c>
      <c r="B4425" s="2" t="s">
        <v>7433</v>
      </c>
      <c r="C4425" s="8">
        <v>46280</v>
      </c>
      <c r="D4425" s="6">
        <v>46266</v>
      </c>
      <c r="E4425" s="2" t="s">
        <v>260</v>
      </c>
      <c r="F4425" s="2" t="s">
        <v>11915</v>
      </c>
      <c r="G4425" s="6">
        <v>46235</v>
      </c>
      <c r="H4425" s="2" t="s">
        <v>176</v>
      </c>
      <c r="I4425" s="2" t="s">
        <v>70</v>
      </c>
      <c r="J4425" s="9">
        <v>8804.4276919999993</v>
      </c>
      <c r="K4425" s="7">
        <v>0.65100000000000002</v>
      </c>
      <c r="L4425" s="9">
        <v>5731.68</v>
      </c>
      <c r="M4425" s="9">
        <v>5722.88</v>
      </c>
      <c r="N4425" s="9">
        <v>3.15</v>
      </c>
      <c r="O4425" s="10">
        <f>IF(AND(OR(H4425="APPROVED",H4425="SCHEDULED"),COUNTIFS(tblSource[EventID],F4425,tblSource[ReleaseStatus],"APPROVED")=1,COUNTIFS(Period_Status!$A$2:$A$8,G4425,Period_Status!$B$2:$B$8,"ActualClosed")=1,C4425&gt;EOMONTH(Settlement_Bridge!$C$2,0)),1,0)</f>
        <v>0</v>
      </c>
      <c r="P4425" s="2" t="s">
        <v>11918</v>
      </c>
    </row>
    <row r="4426" spans="1:16" x14ac:dyDescent="0.25">
      <c r="A4426" s="2" t="s">
        <v>11919</v>
      </c>
      <c r="B4426" s="2" t="s">
        <v>7433</v>
      </c>
      <c r="C4426" s="8">
        <v>46256</v>
      </c>
      <c r="D4426" s="6">
        <v>46235</v>
      </c>
      <c r="E4426" s="2" t="s">
        <v>260</v>
      </c>
      <c r="F4426" s="2" t="s">
        <v>11920</v>
      </c>
      <c r="G4426" s="6">
        <v>46235</v>
      </c>
      <c r="H4426" s="2" t="s">
        <v>71</v>
      </c>
      <c r="I4426" s="2" t="s">
        <v>39</v>
      </c>
      <c r="J4426" s="9">
        <v>3925.9760000000001</v>
      </c>
      <c r="K4426" s="7">
        <v>1</v>
      </c>
      <c r="L4426" s="9">
        <v>3925.98</v>
      </c>
      <c r="M4426" s="9">
        <v>3925.98</v>
      </c>
      <c r="N4426" s="9">
        <v>2.16</v>
      </c>
      <c r="O4426" s="10">
        <f>IF(AND(OR(H4426="APPROVED",H4426="SCHEDULED"),COUNTIFS(tblSource[EventID],F4426,tblSource[ReleaseStatus],"APPROVED")=1,COUNTIFS(Period_Status!$A$2:$A$8,G4426,Period_Status!$B$2:$B$8,"ActualClosed")=1,C4426&gt;EOMONTH(Settlement_Bridge!$C$2,0)),1,0)</f>
        <v>0</v>
      </c>
      <c r="P4426" s="2" t="s">
        <v>11921</v>
      </c>
    </row>
    <row r="4427" spans="1:16" x14ac:dyDescent="0.25">
      <c r="A4427" s="2" t="s">
        <v>11922</v>
      </c>
      <c r="B4427" s="2" t="s">
        <v>7433</v>
      </c>
      <c r="C4427" s="8">
        <v>46281</v>
      </c>
      <c r="D4427" s="6">
        <v>46266</v>
      </c>
      <c r="E4427" s="2" t="s">
        <v>260</v>
      </c>
      <c r="F4427" s="2" t="s">
        <v>11920</v>
      </c>
      <c r="G4427" s="6">
        <v>46235</v>
      </c>
      <c r="H4427" s="2" t="s">
        <v>176</v>
      </c>
      <c r="I4427" s="2" t="s">
        <v>39</v>
      </c>
      <c r="J4427" s="9">
        <v>5888.9639999999999</v>
      </c>
      <c r="K4427" s="7">
        <v>1</v>
      </c>
      <c r="L4427" s="9">
        <v>5888.96</v>
      </c>
      <c r="M4427" s="9">
        <v>5888.96</v>
      </c>
      <c r="N4427" s="9">
        <v>3.24</v>
      </c>
      <c r="O4427" s="10">
        <f>IF(AND(OR(H4427="APPROVED",H4427="SCHEDULED"),COUNTIFS(tblSource[EventID],F4427,tblSource[ReleaseStatus],"APPROVED")=1,COUNTIFS(Period_Status!$A$2:$A$8,G4427,Period_Status!$B$2:$B$8,"ActualClosed")=1,C4427&gt;EOMONTH(Settlement_Bridge!$C$2,0)),1,0)</f>
        <v>0</v>
      </c>
      <c r="P4427" s="2" t="s">
        <v>11923</v>
      </c>
    </row>
    <row r="4428" spans="1:16" x14ac:dyDescent="0.25">
      <c r="A4428" s="2" t="s">
        <v>11924</v>
      </c>
      <c r="B4428" s="2" t="s">
        <v>7433</v>
      </c>
      <c r="C4428" s="8">
        <v>46257</v>
      </c>
      <c r="D4428" s="6">
        <v>46235</v>
      </c>
      <c r="E4428" s="2" t="s">
        <v>260</v>
      </c>
      <c r="F4428" s="2" t="s">
        <v>11925</v>
      </c>
      <c r="G4428" s="6">
        <v>46235</v>
      </c>
      <c r="H4428" s="2" t="s">
        <v>71</v>
      </c>
      <c r="I4428" s="2" t="s">
        <v>76</v>
      </c>
      <c r="J4428" s="9">
        <v>65637463.414633997</v>
      </c>
      <c r="K4428" s="7">
        <v>6.1500000000000004E-5</v>
      </c>
      <c r="L4428" s="9">
        <v>4036.7</v>
      </c>
      <c r="M4428" s="9">
        <v>4036.7</v>
      </c>
      <c r="N4428" s="9">
        <v>2.2200000000000002</v>
      </c>
      <c r="O4428" s="10">
        <f>IF(AND(OR(H4428="APPROVED",H4428="SCHEDULED"),COUNTIFS(tblSource[EventID],F4428,tblSource[ReleaseStatus],"APPROVED")=1,COUNTIFS(Period_Status!$A$2:$A$8,G4428,Period_Status!$B$2:$B$8,"ActualClosed")=1,C4428&gt;EOMONTH(Settlement_Bridge!$C$2,0)),1,0)</f>
        <v>0</v>
      </c>
      <c r="P4428" s="2" t="s">
        <v>11926</v>
      </c>
    </row>
    <row r="4429" spans="1:16" x14ac:dyDescent="0.25">
      <c r="A4429" s="2" t="s">
        <v>11927</v>
      </c>
      <c r="B4429" s="2" t="s">
        <v>7433</v>
      </c>
      <c r="C4429" s="8">
        <v>46282</v>
      </c>
      <c r="D4429" s="6">
        <v>46266</v>
      </c>
      <c r="E4429" s="2" t="s">
        <v>260</v>
      </c>
      <c r="F4429" s="2" t="s">
        <v>11925</v>
      </c>
      <c r="G4429" s="6">
        <v>46235</v>
      </c>
      <c r="H4429" s="2" t="s">
        <v>176</v>
      </c>
      <c r="I4429" s="2" t="s">
        <v>76</v>
      </c>
      <c r="J4429" s="9">
        <v>98456195.121950999</v>
      </c>
      <c r="K4429" s="7">
        <v>6.1299999999999999E-5</v>
      </c>
      <c r="L4429" s="9">
        <v>6035.36</v>
      </c>
      <c r="M4429" s="9">
        <v>6055.06</v>
      </c>
      <c r="N4429" s="9">
        <v>3.32</v>
      </c>
      <c r="O4429" s="10">
        <f>IF(AND(OR(H4429="APPROVED",H4429="SCHEDULED"),COUNTIFS(tblSource[EventID],F4429,tblSource[ReleaseStatus],"APPROVED")=1,COUNTIFS(Period_Status!$A$2:$A$8,G4429,Period_Status!$B$2:$B$8,"ActualClosed")=1,C4429&gt;EOMONTH(Settlement_Bridge!$C$2,0)),1,0)</f>
        <v>0</v>
      </c>
      <c r="P4429" s="2" t="s">
        <v>11928</v>
      </c>
    </row>
    <row r="4430" spans="1:16" x14ac:dyDescent="0.25">
      <c r="A4430" s="2" t="s">
        <v>11929</v>
      </c>
      <c r="B4430" s="2" t="s">
        <v>7433</v>
      </c>
      <c r="C4430" s="8">
        <v>46258</v>
      </c>
      <c r="D4430" s="6">
        <v>46235</v>
      </c>
      <c r="E4430" s="2" t="s">
        <v>260</v>
      </c>
      <c r="F4430" s="2" t="s">
        <v>11930</v>
      </c>
      <c r="G4430" s="6">
        <v>46235</v>
      </c>
      <c r="H4430" s="2" t="s">
        <v>71</v>
      </c>
      <c r="I4430" s="2" t="s">
        <v>70</v>
      </c>
      <c r="J4430" s="9">
        <v>6380.6646149999997</v>
      </c>
      <c r="K4430" s="7">
        <v>0.65</v>
      </c>
      <c r="L4430" s="9">
        <v>4147.43</v>
      </c>
      <c r="M4430" s="9">
        <v>4147.43</v>
      </c>
      <c r="N4430" s="9">
        <v>2.2799999999999998</v>
      </c>
      <c r="O4430" s="10">
        <f>IF(AND(OR(H4430="APPROVED",H4430="SCHEDULED"),COUNTIFS(tblSource[EventID],F4430,tblSource[ReleaseStatus],"APPROVED")=1,COUNTIFS(Period_Status!$A$2:$A$8,G4430,Period_Status!$B$2:$B$8,"ActualClosed")=1,C4430&gt;EOMONTH(Settlement_Bridge!$C$2,0)),1,0)</f>
        <v>0</v>
      </c>
      <c r="P4430" s="2" t="s">
        <v>11931</v>
      </c>
    </row>
    <row r="4431" spans="1:16" x14ac:dyDescent="0.25">
      <c r="A4431" s="2" t="s">
        <v>11932</v>
      </c>
      <c r="B4431" s="2" t="s">
        <v>7433</v>
      </c>
      <c r="C4431" s="8">
        <v>46283</v>
      </c>
      <c r="D4431" s="6">
        <v>46266</v>
      </c>
      <c r="E4431" s="2" t="s">
        <v>260</v>
      </c>
      <c r="F4431" s="2" t="s">
        <v>11930</v>
      </c>
      <c r="G4431" s="6">
        <v>46235</v>
      </c>
      <c r="H4431" s="2" t="s">
        <v>176</v>
      </c>
      <c r="I4431" s="2" t="s">
        <v>70</v>
      </c>
      <c r="J4431" s="9">
        <v>9570.9969230000006</v>
      </c>
      <c r="K4431" s="7">
        <v>0.65100000000000002</v>
      </c>
      <c r="L4431" s="9">
        <v>6230.72</v>
      </c>
      <c r="M4431" s="9">
        <v>6221.15</v>
      </c>
      <c r="N4431" s="9">
        <v>3.43</v>
      </c>
      <c r="O4431" s="10">
        <f>IF(AND(OR(H4431="APPROVED",H4431="SCHEDULED"),COUNTIFS(tblSource[EventID],F4431,tblSource[ReleaseStatus],"APPROVED")=1,COUNTIFS(Period_Status!$A$2:$A$8,G4431,Period_Status!$B$2:$B$8,"ActualClosed")=1,C4431&gt;EOMONTH(Settlement_Bridge!$C$2,0)),1,0)</f>
        <v>0</v>
      </c>
      <c r="P4431" s="2" t="s">
        <v>11933</v>
      </c>
    </row>
    <row r="4432" spans="1:16" x14ac:dyDescent="0.25">
      <c r="A4432" s="2" t="s">
        <v>11934</v>
      </c>
      <c r="B4432" s="2" t="s">
        <v>7433</v>
      </c>
      <c r="C4432" s="8">
        <v>46259</v>
      </c>
      <c r="D4432" s="6">
        <v>46235</v>
      </c>
      <c r="E4432" s="2" t="s">
        <v>260</v>
      </c>
      <c r="F4432" s="2" t="s">
        <v>11935</v>
      </c>
      <c r="G4432" s="6">
        <v>46235</v>
      </c>
      <c r="H4432" s="2" t="s">
        <v>71</v>
      </c>
      <c r="I4432" s="2" t="s">
        <v>39</v>
      </c>
      <c r="J4432" s="9">
        <v>4258.1559999999999</v>
      </c>
      <c r="K4432" s="7">
        <v>1</v>
      </c>
      <c r="L4432" s="9">
        <v>4258.16</v>
      </c>
      <c r="M4432" s="9">
        <v>4258.16</v>
      </c>
      <c r="N4432" s="9">
        <v>2.34</v>
      </c>
      <c r="O4432" s="10">
        <f>IF(AND(OR(H4432="APPROVED",H4432="SCHEDULED"),COUNTIFS(tblSource[EventID],F4432,tblSource[ReleaseStatus],"APPROVED")=1,COUNTIFS(Period_Status!$A$2:$A$8,G4432,Period_Status!$B$2:$B$8,"ActualClosed")=1,C4432&gt;EOMONTH(Settlement_Bridge!$C$2,0)),1,0)</f>
        <v>0</v>
      </c>
      <c r="P4432" s="2" t="s">
        <v>11936</v>
      </c>
    </row>
    <row r="4433" spans="1:16" x14ac:dyDescent="0.25">
      <c r="A4433" s="2" t="s">
        <v>11937</v>
      </c>
      <c r="B4433" s="2" t="s">
        <v>7433</v>
      </c>
      <c r="C4433" s="8">
        <v>46284</v>
      </c>
      <c r="D4433" s="6">
        <v>46266</v>
      </c>
      <c r="E4433" s="2" t="s">
        <v>260</v>
      </c>
      <c r="F4433" s="2" t="s">
        <v>11935</v>
      </c>
      <c r="G4433" s="6">
        <v>46235</v>
      </c>
      <c r="H4433" s="2" t="s">
        <v>176</v>
      </c>
      <c r="I4433" s="2" t="s">
        <v>39</v>
      </c>
      <c r="J4433" s="9">
        <v>6387.2340000000004</v>
      </c>
      <c r="K4433" s="7">
        <v>1</v>
      </c>
      <c r="L4433" s="9">
        <v>6387.23</v>
      </c>
      <c r="M4433" s="9">
        <v>6387.23</v>
      </c>
      <c r="N4433" s="9">
        <v>3.51</v>
      </c>
      <c r="O4433" s="10">
        <f>IF(AND(OR(H4433="APPROVED",H4433="SCHEDULED"),COUNTIFS(tblSource[EventID],F4433,tblSource[ReleaseStatus],"APPROVED")=1,COUNTIFS(Period_Status!$A$2:$A$8,G4433,Period_Status!$B$2:$B$8,"ActualClosed")=1,C4433&gt;EOMONTH(Settlement_Bridge!$C$2,0)),1,0)</f>
        <v>0</v>
      </c>
      <c r="P4433" s="2" t="s">
        <v>11938</v>
      </c>
    </row>
    <row r="4434" spans="1:16" x14ac:dyDescent="0.25">
      <c r="A4434" s="2" t="s">
        <v>11939</v>
      </c>
      <c r="B4434" s="2" t="s">
        <v>7433</v>
      </c>
      <c r="C4434" s="8">
        <v>46260</v>
      </c>
      <c r="D4434" s="6">
        <v>46235</v>
      </c>
      <c r="E4434" s="2" t="s">
        <v>260</v>
      </c>
      <c r="F4434" s="2" t="s">
        <v>11940</v>
      </c>
      <c r="G4434" s="6">
        <v>46235</v>
      </c>
      <c r="H4434" s="2" t="s">
        <v>71</v>
      </c>
      <c r="I4434" s="2" t="s">
        <v>76</v>
      </c>
      <c r="J4434" s="9">
        <v>71038764.227642</v>
      </c>
      <c r="K4434" s="7">
        <v>6.1500000000000004E-5</v>
      </c>
      <c r="L4434" s="9">
        <v>4368.88</v>
      </c>
      <c r="M4434" s="9">
        <v>4368.88</v>
      </c>
      <c r="N4434" s="9">
        <v>2.4</v>
      </c>
      <c r="O4434" s="10">
        <f>IF(AND(OR(H4434="APPROVED",H4434="SCHEDULED"),COUNTIFS(tblSource[EventID],F4434,tblSource[ReleaseStatus],"APPROVED")=1,COUNTIFS(Period_Status!$A$2:$A$8,G4434,Period_Status!$B$2:$B$8,"ActualClosed")=1,C4434&gt;EOMONTH(Settlement_Bridge!$C$2,0)),1,0)</f>
        <v>0</v>
      </c>
      <c r="P4434" s="2" t="s">
        <v>11941</v>
      </c>
    </row>
    <row r="4435" spans="1:16" x14ac:dyDescent="0.25">
      <c r="A4435" s="2" t="s">
        <v>11942</v>
      </c>
      <c r="B4435" s="2" t="s">
        <v>7433</v>
      </c>
      <c r="C4435" s="8">
        <v>46285</v>
      </c>
      <c r="D4435" s="6">
        <v>46266</v>
      </c>
      <c r="E4435" s="2" t="s">
        <v>260</v>
      </c>
      <c r="F4435" s="2" t="s">
        <v>11940</v>
      </c>
      <c r="G4435" s="6">
        <v>46235</v>
      </c>
      <c r="H4435" s="2" t="s">
        <v>176</v>
      </c>
      <c r="I4435" s="2" t="s">
        <v>76</v>
      </c>
      <c r="J4435" s="9">
        <v>106558146.341464</v>
      </c>
      <c r="K4435" s="7">
        <v>6.1299999999999999E-5</v>
      </c>
      <c r="L4435" s="9">
        <v>6532.01</v>
      </c>
      <c r="M4435" s="9">
        <v>6553.33</v>
      </c>
      <c r="N4435" s="9">
        <v>3.59</v>
      </c>
      <c r="O4435" s="10">
        <f>IF(AND(OR(H4435="APPROVED",H4435="SCHEDULED"),COUNTIFS(tblSource[EventID],F4435,tblSource[ReleaseStatus],"APPROVED")=1,COUNTIFS(Period_Status!$A$2:$A$8,G4435,Period_Status!$B$2:$B$8,"ActualClosed")=1,C4435&gt;EOMONTH(Settlement_Bridge!$C$2,0)),1,0)</f>
        <v>0</v>
      </c>
      <c r="P4435" s="2" t="s">
        <v>11943</v>
      </c>
    </row>
    <row r="4436" spans="1:16" x14ac:dyDescent="0.25">
      <c r="A4436" s="2" t="s">
        <v>11944</v>
      </c>
      <c r="B4436" s="2" t="s">
        <v>7433</v>
      </c>
      <c r="C4436" s="8">
        <v>46261</v>
      </c>
      <c r="D4436" s="6">
        <v>46235</v>
      </c>
      <c r="E4436" s="2" t="s">
        <v>260</v>
      </c>
      <c r="F4436" s="2" t="s">
        <v>11945</v>
      </c>
      <c r="G4436" s="6">
        <v>46235</v>
      </c>
      <c r="H4436" s="2" t="s">
        <v>71</v>
      </c>
      <c r="I4436" s="2" t="s">
        <v>70</v>
      </c>
      <c r="J4436" s="9">
        <v>6891.7107690000003</v>
      </c>
      <c r="K4436" s="7">
        <v>0.65</v>
      </c>
      <c r="L4436" s="9">
        <v>4479.6099999999997</v>
      </c>
      <c r="M4436" s="9">
        <v>4479.6099999999997</v>
      </c>
      <c r="N4436" s="9">
        <v>2.46</v>
      </c>
      <c r="O4436" s="10">
        <f>IF(AND(OR(H4436="APPROVED",H4436="SCHEDULED"),COUNTIFS(tblSource[EventID],F4436,tblSource[ReleaseStatus],"APPROVED")=1,COUNTIFS(Period_Status!$A$2:$A$8,G4436,Period_Status!$B$2:$B$8,"ActualClosed")=1,C4436&gt;EOMONTH(Settlement_Bridge!$C$2,0)),1,0)</f>
        <v>0</v>
      </c>
      <c r="P4436" s="2" t="s">
        <v>11946</v>
      </c>
    </row>
    <row r="4437" spans="1:16" x14ac:dyDescent="0.25">
      <c r="A4437" s="2" t="s">
        <v>11947</v>
      </c>
      <c r="B4437" s="2" t="s">
        <v>7433</v>
      </c>
      <c r="C4437" s="8">
        <v>46286</v>
      </c>
      <c r="D4437" s="6">
        <v>46266</v>
      </c>
      <c r="E4437" s="2" t="s">
        <v>260</v>
      </c>
      <c r="F4437" s="2" t="s">
        <v>11945</v>
      </c>
      <c r="G4437" s="6">
        <v>46235</v>
      </c>
      <c r="H4437" s="2" t="s">
        <v>176</v>
      </c>
      <c r="I4437" s="2" t="s">
        <v>70</v>
      </c>
      <c r="J4437" s="9">
        <v>10337.566154</v>
      </c>
      <c r="K4437" s="7">
        <v>0.65100000000000002</v>
      </c>
      <c r="L4437" s="9">
        <v>6729.76</v>
      </c>
      <c r="M4437" s="9">
        <v>6719.42</v>
      </c>
      <c r="N4437" s="9">
        <v>3.7</v>
      </c>
      <c r="O4437" s="10">
        <f>IF(AND(OR(H4437="APPROVED",H4437="SCHEDULED"),COUNTIFS(tblSource[EventID],F4437,tblSource[ReleaseStatus],"APPROVED")=1,COUNTIFS(Period_Status!$A$2:$A$8,G4437,Period_Status!$B$2:$B$8,"ActualClosed")=1,C4437&gt;EOMONTH(Settlement_Bridge!$C$2,0)),1,0)</f>
        <v>0</v>
      </c>
      <c r="P4437" s="2" t="s">
        <v>11948</v>
      </c>
    </row>
    <row r="4438" spans="1:16" x14ac:dyDescent="0.25">
      <c r="A4438" s="2" t="s">
        <v>11949</v>
      </c>
      <c r="B4438" s="2" t="s">
        <v>7433</v>
      </c>
      <c r="C4438" s="8">
        <v>46262</v>
      </c>
      <c r="D4438" s="6">
        <v>46235</v>
      </c>
      <c r="E4438" s="2" t="s">
        <v>260</v>
      </c>
      <c r="F4438" s="2" t="s">
        <v>11950</v>
      </c>
      <c r="G4438" s="6">
        <v>46235</v>
      </c>
      <c r="H4438" s="2" t="s">
        <v>71</v>
      </c>
      <c r="I4438" s="2" t="s">
        <v>39</v>
      </c>
      <c r="J4438" s="9">
        <v>4590.3360000000002</v>
      </c>
      <c r="K4438" s="7">
        <v>1</v>
      </c>
      <c r="L4438" s="9">
        <v>4590.34</v>
      </c>
      <c r="M4438" s="9">
        <v>4590.34</v>
      </c>
      <c r="N4438" s="9">
        <v>2.52</v>
      </c>
      <c r="O4438" s="10">
        <f>IF(AND(OR(H4438="APPROVED",H4438="SCHEDULED"),COUNTIFS(tblSource[EventID],F4438,tblSource[ReleaseStatus],"APPROVED")=1,COUNTIFS(Period_Status!$A$2:$A$8,G4438,Period_Status!$B$2:$B$8,"ActualClosed")=1,C4438&gt;EOMONTH(Settlement_Bridge!$C$2,0)),1,0)</f>
        <v>0</v>
      </c>
      <c r="P4438" s="2" t="s">
        <v>11951</v>
      </c>
    </row>
    <row r="4439" spans="1:16" x14ac:dyDescent="0.25">
      <c r="A4439" s="2" t="s">
        <v>11952</v>
      </c>
      <c r="B4439" s="2" t="s">
        <v>7433</v>
      </c>
      <c r="C4439" s="8">
        <v>46287</v>
      </c>
      <c r="D4439" s="6">
        <v>46266</v>
      </c>
      <c r="E4439" s="2" t="s">
        <v>260</v>
      </c>
      <c r="F4439" s="2" t="s">
        <v>11950</v>
      </c>
      <c r="G4439" s="6">
        <v>46235</v>
      </c>
      <c r="H4439" s="2" t="s">
        <v>176</v>
      </c>
      <c r="I4439" s="2" t="s">
        <v>39</v>
      </c>
      <c r="J4439" s="9">
        <v>6885.5039999999999</v>
      </c>
      <c r="K4439" s="7">
        <v>1</v>
      </c>
      <c r="L4439" s="9">
        <v>6885.5</v>
      </c>
      <c r="M4439" s="9">
        <v>6885.5</v>
      </c>
      <c r="N4439" s="9">
        <v>3.79</v>
      </c>
      <c r="O4439" s="10">
        <f>IF(AND(OR(H4439="APPROVED",H4439="SCHEDULED"),COUNTIFS(tblSource[EventID],F4439,tblSource[ReleaseStatus],"APPROVED")=1,COUNTIFS(Period_Status!$A$2:$A$8,G4439,Period_Status!$B$2:$B$8,"ActualClosed")=1,C4439&gt;EOMONTH(Settlement_Bridge!$C$2,0)),1,0)</f>
        <v>0</v>
      </c>
      <c r="P4439" s="2" t="s">
        <v>11953</v>
      </c>
    </row>
    <row r="4440" spans="1:16" x14ac:dyDescent="0.25">
      <c r="A4440" s="2" t="s">
        <v>11954</v>
      </c>
      <c r="B4440" s="2" t="s">
        <v>7433</v>
      </c>
      <c r="C4440" s="8">
        <v>46263</v>
      </c>
      <c r="D4440" s="6">
        <v>46235</v>
      </c>
      <c r="E4440" s="2" t="s">
        <v>260</v>
      </c>
      <c r="F4440" s="2" t="s">
        <v>11955</v>
      </c>
      <c r="G4440" s="6">
        <v>46235</v>
      </c>
      <c r="H4440" s="2" t="s">
        <v>71</v>
      </c>
      <c r="I4440" s="2" t="s">
        <v>76</v>
      </c>
      <c r="J4440" s="9">
        <v>76440065.040649995</v>
      </c>
      <c r="K4440" s="7">
        <v>6.1500000000000004E-5</v>
      </c>
      <c r="L4440" s="9">
        <v>4701.0600000000004</v>
      </c>
      <c r="M4440" s="9">
        <v>4701.0600000000004</v>
      </c>
      <c r="N4440" s="9">
        <v>2.59</v>
      </c>
      <c r="O4440" s="10">
        <f>IF(AND(OR(H4440="APPROVED",H4440="SCHEDULED"),COUNTIFS(tblSource[EventID],F4440,tblSource[ReleaseStatus],"APPROVED")=1,COUNTIFS(Period_Status!$A$2:$A$8,G4440,Period_Status!$B$2:$B$8,"ActualClosed")=1,C4440&gt;EOMONTH(Settlement_Bridge!$C$2,0)),1,0)</f>
        <v>0</v>
      </c>
      <c r="P4440" s="2" t="s">
        <v>11956</v>
      </c>
    </row>
    <row r="4441" spans="1:16" x14ac:dyDescent="0.25">
      <c r="A4441" s="2" t="s">
        <v>11957</v>
      </c>
      <c r="B4441" s="2" t="s">
        <v>7433</v>
      </c>
      <c r="C4441" s="8">
        <v>46288</v>
      </c>
      <c r="D4441" s="6">
        <v>46266</v>
      </c>
      <c r="E4441" s="2" t="s">
        <v>260</v>
      </c>
      <c r="F4441" s="2" t="s">
        <v>11955</v>
      </c>
      <c r="G4441" s="6">
        <v>46235</v>
      </c>
      <c r="H4441" s="2" t="s">
        <v>176</v>
      </c>
      <c r="I4441" s="2" t="s">
        <v>76</v>
      </c>
      <c r="J4441" s="9">
        <v>114660097.560976</v>
      </c>
      <c r="K4441" s="7">
        <v>6.1299999999999999E-5</v>
      </c>
      <c r="L4441" s="9">
        <v>7028.66</v>
      </c>
      <c r="M4441" s="9">
        <v>7051.6</v>
      </c>
      <c r="N4441" s="9">
        <v>3.87</v>
      </c>
      <c r="O4441" s="10">
        <f>IF(AND(OR(H4441="APPROVED",H4441="SCHEDULED"),COUNTIFS(tblSource[EventID],F4441,tblSource[ReleaseStatus],"APPROVED")=1,COUNTIFS(Period_Status!$A$2:$A$8,G4441,Period_Status!$B$2:$B$8,"ActualClosed")=1,C4441&gt;EOMONTH(Settlement_Bridge!$C$2,0)),1,0)</f>
        <v>0</v>
      </c>
      <c r="P4441" s="2" t="s">
        <v>11958</v>
      </c>
    </row>
    <row r="4442" spans="1:16" x14ac:dyDescent="0.25">
      <c r="A4442" s="2" t="s">
        <v>11959</v>
      </c>
      <c r="B4442" s="2" t="s">
        <v>7433</v>
      </c>
      <c r="C4442" s="8">
        <v>46264</v>
      </c>
      <c r="D4442" s="6">
        <v>46235</v>
      </c>
      <c r="E4442" s="2" t="s">
        <v>260</v>
      </c>
      <c r="F4442" s="2" t="s">
        <v>11960</v>
      </c>
      <c r="G4442" s="6">
        <v>46235</v>
      </c>
      <c r="H4442" s="2" t="s">
        <v>71</v>
      </c>
      <c r="I4442" s="2" t="s">
        <v>70</v>
      </c>
      <c r="J4442" s="9">
        <v>7402.7507690000002</v>
      </c>
      <c r="K4442" s="7">
        <v>0.65</v>
      </c>
      <c r="L4442" s="9">
        <v>4811.79</v>
      </c>
      <c r="M4442" s="9">
        <v>4811.79</v>
      </c>
      <c r="N4442" s="9">
        <v>2.65</v>
      </c>
      <c r="O4442" s="10">
        <f>IF(AND(OR(H4442="APPROVED",H4442="SCHEDULED"),COUNTIFS(tblSource[EventID],F4442,tblSource[ReleaseStatus],"APPROVED")=1,COUNTIFS(Period_Status!$A$2:$A$8,G4442,Period_Status!$B$2:$B$8,"ActualClosed")=1,C4442&gt;EOMONTH(Settlement_Bridge!$C$2,0)),1,0)</f>
        <v>0</v>
      </c>
      <c r="P4442" s="2" t="s">
        <v>11961</v>
      </c>
    </row>
    <row r="4443" spans="1:16" x14ac:dyDescent="0.25">
      <c r="A4443" s="2" t="s">
        <v>11962</v>
      </c>
      <c r="B4443" s="2" t="s">
        <v>7433</v>
      </c>
      <c r="C4443" s="8">
        <v>46289</v>
      </c>
      <c r="D4443" s="6">
        <v>46266</v>
      </c>
      <c r="E4443" s="2" t="s">
        <v>260</v>
      </c>
      <c r="F4443" s="2" t="s">
        <v>11960</v>
      </c>
      <c r="G4443" s="6">
        <v>46235</v>
      </c>
      <c r="H4443" s="2" t="s">
        <v>176</v>
      </c>
      <c r="I4443" s="2" t="s">
        <v>70</v>
      </c>
      <c r="J4443" s="9">
        <v>11104.126154</v>
      </c>
      <c r="K4443" s="7">
        <v>0.65100000000000002</v>
      </c>
      <c r="L4443" s="9">
        <v>7228.79</v>
      </c>
      <c r="M4443" s="9">
        <v>7217.68</v>
      </c>
      <c r="N4443" s="9">
        <v>3.98</v>
      </c>
      <c r="O4443" s="10">
        <f>IF(AND(OR(H4443="APPROVED",H4443="SCHEDULED"),COUNTIFS(tblSource[EventID],F4443,tblSource[ReleaseStatus],"APPROVED")=1,COUNTIFS(Period_Status!$A$2:$A$8,G4443,Period_Status!$B$2:$B$8,"ActualClosed")=1,C4443&gt;EOMONTH(Settlement_Bridge!$C$2,0)),1,0)</f>
        <v>0</v>
      </c>
      <c r="P4443" s="2" t="s">
        <v>11963</v>
      </c>
    </row>
    <row r="4444" spans="1:16" x14ac:dyDescent="0.25">
      <c r="A4444" s="2" t="s">
        <v>11964</v>
      </c>
      <c r="B4444" s="2" t="s">
        <v>7433</v>
      </c>
      <c r="C4444" s="8">
        <v>46265</v>
      </c>
      <c r="D4444" s="6">
        <v>46235</v>
      </c>
      <c r="E4444" s="2" t="s">
        <v>260</v>
      </c>
      <c r="F4444" s="2" t="s">
        <v>11965</v>
      </c>
      <c r="G4444" s="6">
        <v>46235</v>
      </c>
      <c r="H4444" s="2" t="s">
        <v>71</v>
      </c>
      <c r="I4444" s="2" t="s">
        <v>39</v>
      </c>
      <c r="J4444" s="9">
        <v>4922.5159999999996</v>
      </c>
      <c r="K4444" s="7">
        <v>1</v>
      </c>
      <c r="L4444" s="9">
        <v>4922.5200000000004</v>
      </c>
      <c r="M4444" s="9">
        <v>4922.5200000000004</v>
      </c>
      <c r="N4444" s="9">
        <v>2.71</v>
      </c>
      <c r="O4444" s="10">
        <f>IF(AND(OR(H4444="APPROVED",H4444="SCHEDULED"),COUNTIFS(tblSource[EventID],F4444,tblSource[ReleaseStatus],"APPROVED")=1,COUNTIFS(Period_Status!$A$2:$A$8,G4444,Period_Status!$B$2:$B$8,"ActualClosed")=1,C4444&gt;EOMONTH(Settlement_Bridge!$C$2,0)),1,0)</f>
        <v>0</v>
      </c>
      <c r="P4444" s="2" t="s">
        <v>11966</v>
      </c>
    </row>
    <row r="4445" spans="1:16" x14ac:dyDescent="0.25">
      <c r="A4445" s="2" t="s">
        <v>11967</v>
      </c>
      <c r="B4445" s="2" t="s">
        <v>7433</v>
      </c>
      <c r="C4445" s="8">
        <v>46290</v>
      </c>
      <c r="D4445" s="6">
        <v>46266</v>
      </c>
      <c r="E4445" s="2" t="s">
        <v>260</v>
      </c>
      <c r="F4445" s="2" t="s">
        <v>11965</v>
      </c>
      <c r="G4445" s="6">
        <v>46235</v>
      </c>
      <c r="H4445" s="2" t="s">
        <v>176</v>
      </c>
      <c r="I4445" s="2" t="s">
        <v>39</v>
      </c>
      <c r="J4445" s="9">
        <v>7383.7740000000003</v>
      </c>
      <c r="K4445" s="7">
        <v>1</v>
      </c>
      <c r="L4445" s="9">
        <v>7383.77</v>
      </c>
      <c r="M4445" s="9">
        <v>7383.77</v>
      </c>
      <c r="N4445" s="9">
        <v>4.0599999999999996</v>
      </c>
      <c r="O4445" s="10">
        <f>IF(AND(OR(H4445="APPROVED",H4445="SCHEDULED"),COUNTIFS(tblSource[EventID],F4445,tblSource[ReleaseStatus],"APPROVED")=1,COUNTIFS(Period_Status!$A$2:$A$8,G4445,Period_Status!$B$2:$B$8,"ActualClosed")=1,C4445&gt;EOMONTH(Settlement_Bridge!$C$2,0)),1,0)</f>
        <v>0</v>
      </c>
      <c r="P4445" s="2" t="s">
        <v>11968</v>
      </c>
    </row>
    <row r="4446" spans="1:16" x14ac:dyDescent="0.25">
      <c r="A4446" s="2" t="s">
        <v>11969</v>
      </c>
      <c r="B4446" s="2" t="s">
        <v>7433</v>
      </c>
      <c r="C4446" s="8">
        <v>46266</v>
      </c>
      <c r="D4446" s="6">
        <v>46266</v>
      </c>
      <c r="E4446" s="2" t="s">
        <v>260</v>
      </c>
      <c r="F4446" s="2" t="s">
        <v>11970</v>
      </c>
      <c r="G4446" s="6">
        <v>46235</v>
      </c>
      <c r="H4446" s="2" t="s">
        <v>176</v>
      </c>
      <c r="I4446" s="2" t="s">
        <v>76</v>
      </c>
      <c r="J4446" s="9">
        <v>81841300.813007995</v>
      </c>
      <c r="K4446" s="7">
        <v>6.1299999999999999E-5</v>
      </c>
      <c r="L4446" s="9">
        <v>5016.87</v>
      </c>
      <c r="M4446" s="9">
        <v>5033.24</v>
      </c>
      <c r="N4446" s="9">
        <v>2.76</v>
      </c>
      <c r="O4446" s="10">
        <f>IF(AND(OR(H4446="APPROVED",H4446="SCHEDULED"),COUNTIFS(tblSource[EventID],F4446,tblSource[ReleaseStatus],"APPROVED")=1,COUNTIFS(Period_Status!$A$2:$A$8,G4446,Period_Status!$B$2:$B$8,"ActualClosed")=1,C4446&gt;EOMONTH(Settlement_Bridge!$C$2,0)),1,0)</f>
        <v>0</v>
      </c>
      <c r="P4446" s="2" t="s">
        <v>11971</v>
      </c>
    </row>
    <row r="4447" spans="1:16" x14ac:dyDescent="0.25">
      <c r="A4447" s="2" t="s">
        <v>11972</v>
      </c>
      <c r="B4447" s="2" t="s">
        <v>7433</v>
      </c>
      <c r="C4447" s="8">
        <v>46291</v>
      </c>
      <c r="D4447" s="6">
        <v>46266</v>
      </c>
      <c r="E4447" s="2" t="s">
        <v>260</v>
      </c>
      <c r="F4447" s="2" t="s">
        <v>11970</v>
      </c>
      <c r="G4447" s="6">
        <v>46235</v>
      </c>
      <c r="H4447" s="2" t="s">
        <v>176</v>
      </c>
      <c r="I4447" s="2" t="s">
        <v>76</v>
      </c>
      <c r="J4447" s="9">
        <v>122761951.219512</v>
      </c>
      <c r="K4447" s="7">
        <v>6.1299999999999999E-5</v>
      </c>
      <c r="L4447" s="9">
        <v>7525.31</v>
      </c>
      <c r="M4447" s="9">
        <v>7549.86</v>
      </c>
      <c r="N4447" s="9">
        <v>4.1399999999999997</v>
      </c>
      <c r="O4447" s="10">
        <f>IF(AND(OR(H4447="APPROVED",H4447="SCHEDULED"),COUNTIFS(tblSource[EventID],F4447,tblSource[ReleaseStatus],"APPROVED")=1,COUNTIFS(Period_Status!$A$2:$A$8,G4447,Period_Status!$B$2:$B$8,"ActualClosed")=1,C4447&gt;EOMONTH(Settlement_Bridge!$C$2,0)),1,0)</f>
        <v>0</v>
      </c>
      <c r="P4447" s="2" t="s">
        <v>11973</v>
      </c>
    </row>
    <row r="4448" spans="1:16" x14ac:dyDescent="0.25">
      <c r="A4448" s="2" t="s">
        <v>11974</v>
      </c>
      <c r="B4448" s="2" t="s">
        <v>7433</v>
      </c>
      <c r="C4448" s="8">
        <v>46267</v>
      </c>
      <c r="D4448" s="6">
        <v>46266</v>
      </c>
      <c r="E4448" s="2" t="s">
        <v>260</v>
      </c>
      <c r="F4448" s="2" t="s">
        <v>11975</v>
      </c>
      <c r="G4448" s="6">
        <v>46235</v>
      </c>
      <c r="H4448" s="2" t="s">
        <v>176</v>
      </c>
      <c r="I4448" s="2" t="s">
        <v>70</v>
      </c>
      <c r="J4448" s="9">
        <v>7913.7969229999999</v>
      </c>
      <c r="K4448" s="7">
        <v>0.65100000000000002</v>
      </c>
      <c r="L4448" s="9">
        <v>5151.88</v>
      </c>
      <c r="M4448" s="9">
        <v>5143.97</v>
      </c>
      <c r="N4448" s="9">
        <v>2.83</v>
      </c>
      <c r="O4448" s="10">
        <f>IF(AND(OR(H4448="APPROVED",H4448="SCHEDULED"),COUNTIFS(tblSource[EventID],F4448,tblSource[ReleaseStatus],"APPROVED")=1,COUNTIFS(Period_Status!$A$2:$A$8,G4448,Period_Status!$B$2:$B$8,"ActualClosed")=1,C4448&gt;EOMONTH(Settlement_Bridge!$C$2,0)),1,0)</f>
        <v>0</v>
      </c>
      <c r="P4448" s="2" t="s">
        <v>11976</v>
      </c>
    </row>
    <row r="4449" spans="1:16" x14ac:dyDescent="0.25">
      <c r="A4449" s="2" t="s">
        <v>11977</v>
      </c>
      <c r="B4449" s="2" t="s">
        <v>7433</v>
      </c>
      <c r="C4449" s="8">
        <v>46292</v>
      </c>
      <c r="D4449" s="6">
        <v>46266</v>
      </c>
      <c r="E4449" s="2" t="s">
        <v>260</v>
      </c>
      <c r="F4449" s="2" t="s">
        <v>11975</v>
      </c>
      <c r="G4449" s="6">
        <v>46235</v>
      </c>
      <c r="H4449" s="2" t="s">
        <v>176</v>
      </c>
      <c r="I4449" s="2" t="s">
        <v>70</v>
      </c>
      <c r="J4449" s="9">
        <v>11870.695385000001</v>
      </c>
      <c r="K4449" s="7">
        <v>0.65100000000000002</v>
      </c>
      <c r="L4449" s="9">
        <v>7727.82</v>
      </c>
      <c r="M4449" s="9">
        <v>7715.95</v>
      </c>
      <c r="N4449" s="9">
        <v>4.25</v>
      </c>
      <c r="O4449" s="10">
        <f>IF(AND(OR(H4449="APPROVED",H4449="SCHEDULED"),COUNTIFS(tblSource[EventID],F4449,tblSource[ReleaseStatus],"APPROVED")=1,COUNTIFS(Period_Status!$A$2:$A$8,G4449,Period_Status!$B$2:$B$8,"ActualClosed")=1,C4449&gt;EOMONTH(Settlement_Bridge!$C$2,0)),1,0)</f>
        <v>0</v>
      </c>
      <c r="P4449" s="2" t="s">
        <v>11978</v>
      </c>
    </row>
    <row r="4450" spans="1:16" x14ac:dyDescent="0.25">
      <c r="A4450" s="2" t="s">
        <v>11979</v>
      </c>
      <c r="B4450" s="2" t="s">
        <v>7433</v>
      </c>
      <c r="C4450" s="8">
        <v>46268</v>
      </c>
      <c r="D4450" s="6">
        <v>46266</v>
      </c>
      <c r="E4450" s="2" t="s">
        <v>260</v>
      </c>
      <c r="F4450" s="2" t="s">
        <v>11980</v>
      </c>
      <c r="G4450" s="6">
        <v>46235</v>
      </c>
      <c r="H4450" s="2" t="s">
        <v>176</v>
      </c>
      <c r="I4450" s="2" t="s">
        <v>39</v>
      </c>
      <c r="J4450" s="9">
        <v>5254.6959999999999</v>
      </c>
      <c r="K4450" s="7">
        <v>1</v>
      </c>
      <c r="L4450" s="9">
        <v>5254.7</v>
      </c>
      <c r="M4450" s="9">
        <v>5254.7</v>
      </c>
      <c r="N4450" s="9">
        <v>2.89</v>
      </c>
      <c r="O4450" s="10">
        <f>IF(AND(OR(H4450="APPROVED",H4450="SCHEDULED"),COUNTIFS(tblSource[EventID],F4450,tblSource[ReleaseStatus],"APPROVED")=1,COUNTIFS(Period_Status!$A$2:$A$8,G4450,Period_Status!$B$2:$B$8,"ActualClosed")=1,C4450&gt;EOMONTH(Settlement_Bridge!$C$2,0)),1,0)</f>
        <v>0</v>
      </c>
      <c r="P4450" s="2" t="s">
        <v>11981</v>
      </c>
    </row>
    <row r="4451" spans="1:16" x14ac:dyDescent="0.25">
      <c r="A4451" s="2" t="s">
        <v>11982</v>
      </c>
      <c r="B4451" s="2" t="s">
        <v>7433</v>
      </c>
      <c r="C4451" s="8">
        <v>46293</v>
      </c>
      <c r="D4451" s="6">
        <v>46266</v>
      </c>
      <c r="E4451" s="2" t="s">
        <v>260</v>
      </c>
      <c r="F4451" s="2" t="s">
        <v>11980</v>
      </c>
      <c r="G4451" s="6">
        <v>46235</v>
      </c>
      <c r="H4451" s="2" t="s">
        <v>176</v>
      </c>
      <c r="I4451" s="2" t="s">
        <v>39</v>
      </c>
      <c r="J4451" s="9">
        <v>7882.0439999999999</v>
      </c>
      <c r="K4451" s="7">
        <v>1</v>
      </c>
      <c r="L4451" s="9">
        <v>7882.04</v>
      </c>
      <c r="M4451" s="9">
        <v>7882.04</v>
      </c>
      <c r="N4451" s="9">
        <v>4.34</v>
      </c>
      <c r="O4451" s="10">
        <f>IF(AND(OR(H4451="APPROVED",H4451="SCHEDULED"),COUNTIFS(tblSource[EventID],F4451,tblSource[ReleaseStatus],"APPROVED")=1,COUNTIFS(Period_Status!$A$2:$A$8,G4451,Period_Status!$B$2:$B$8,"ActualClosed")=1,C4451&gt;EOMONTH(Settlement_Bridge!$C$2,0)),1,0)</f>
        <v>0</v>
      </c>
      <c r="P4451" s="2" t="s">
        <v>11983</v>
      </c>
    </row>
    <row r="4452" spans="1:16" x14ac:dyDescent="0.25">
      <c r="A4452" s="2" t="s">
        <v>11984</v>
      </c>
      <c r="B4452" s="2" t="s">
        <v>7433</v>
      </c>
      <c r="C4452" s="8">
        <v>46269</v>
      </c>
      <c r="D4452" s="6">
        <v>46266</v>
      </c>
      <c r="E4452" s="2" t="s">
        <v>260</v>
      </c>
      <c r="F4452" s="2" t="s">
        <v>11985</v>
      </c>
      <c r="G4452" s="6">
        <v>46235</v>
      </c>
      <c r="H4452" s="2" t="s">
        <v>176</v>
      </c>
      <c r="I4452" s="2" t="s">
        <v>76</v>
      </c>
      <c r="J4452" s="9">
        <v>87242601.626016006</v>
      </c>
      <c r="K4452" s="7">
        <v>6.1299999999999999E-5</v>
      </c>
      <c r="L4452" s="9">
        <v>5347.97</v>
      </c>
      <c r="M4452" s="9">
        <v>5365.42</v>
      </c>
      <c r="N4452" s="9">
        <v>2.94</v>
      </c>
      <c r="O4452" s="10">
        <f>IF(AND(OR(H4452="APPROVED",H4452="SCHEDULED"),COUNTIFS(tblSource[EventID],F4452,tblSource[ReleaseStatus],"APPROVED")=1,COUNTIFS(Period_Status!$A$2:$A$8,G4452,Period_Status!$B$2:$B$8,"ActualClosed")=1,C4452&gt;EOMONTH(Settlement_Bridge!$C$2,0)),1,0)</f>
        <v>0</v>
      </c>
      <c r="P4452" s="2" t="s">
        <v>11986</v>
      </c>
    </row>
    <row r="4453" spans="1:16" x14ac:dyDescent="0.25">
      <c r="A4453" s="2" t="s">
        <v>11987</v>
      </c>
      <c r="B4453" s="2" t="s">
        <v>7433</v>
      </c>
      <c r="C4453" s="8">
        <v>46294</v>
      </c>
      <c r="D4453" s="6">
        <v>46266</v>
      </c>
      <c r="E4453" s="2" t="s">
        <v>260</v>
      </c>
      <c r="F4453" s="2" t="s">
        <v>11985</v>
      </c>
      <c r="G4453" s="6">
        <v>46235</v>
      </c>
      <c r="H4453" s="2" t="s">
        <v>176</v>
      </c>
      <c r="I4453" s="2" t="s">
        <v>76</v>
      </c>
      <c r="J4453" s="9">
        <v>130863902.439025</v>
      </c>
      <c r="K4453" s="7">
        <v>6.1299999999999999E-5</v>
      </c>
      <c r="L4453" s="9">
        <v>8021.96</v>
      </c>
      <c r="M4453" s="9">
        <v>8048.13</v>
      </c>
      <c r="N4453" s="9">
        <v>4.41</v>
      </c>
      <c r="O4453" s="10">
        <f>IF(AND(OR(H4453="APPROVED",H4453="SCHEDULED"),COUNTIFS(tblSource[EventID],F4453,tblSource[ReleaseStatus],"APPROVED")=1,COUNTIFS(Period_Status!$A$2:$A$8,G4453,Period_Status!$B$2:$B$8,"ActualClosed")=1,C4453&gt;EOMONTH(Settlement_Bridge!$C$2,0)),1,0)</f>
        <v>0</v>
      </c>
      <c r="P4453" s="2" t="s">
        <v>11988</v>
      </c>
    </row>
    <row r="4454" spans="1:16" x14ac:dyDescent="0.25">
      <c r="A4454" s="2" t="s">
        <v>11989</v>
      </c>
      <c r="B4454" s="2" t="s">
        <v>7433</v>
      </c>
      <c r="C4454" s="8">
        <v>46270</v>
      </c>
      <c r="D4454" s="6">
        <v>46266</v>
      </c>
      <c r="E4454" s="2" t="s">
        <v>260</v>
      </c>
      <c r="F4454" s="2" t="s">
        <v>11990</v>
      </c>
      <c r="G4454" s="6">
        <v>46235</v>
      </c>
      <c r="H4454" s="2" t="s">
        <v>176</v>
      </c>
      <c r="I4454" s="2" t="s">
        <v>70</v>
      </c>
      <c r="J4454" s="9">
        <v>8424.8430769999995</v>
      </c>
      <c r="K4454" s="7">
        <v>0.65100000000000002</v>
      </c>
      <c r="L4454" s="9">
        <v>5484.57</v>
      </c>
      <c r="M4454" s="9">
        <v>5476.15</v>
      </c>
      <c r="N4454" s="9">
        <v>3.02</v>
      </c>
      <c r="O4454" s="10">
        <f>IF(AND(OR(H4454="APPROVED",H4454="SCHEDULED"),COUNTIFS(tblSource[EventID],F4454,tblSource[ReleaseStatus],"APPROVED")=1,COUNTIFS(Period_Status!$A$2:$A$8,G4454,Period_Status!$B$2:$B$8,"ActualClosed")=1,C4454&gt;EOMONTH(Settlement_Bridge!$C$2,0)),1,0)</f>
        <v>0</v>
      </c>
      <c r="P4454" s="2" t="s">
        <v>11991</v>
      </c>
    </row>
    <row r="4455" spans="1:16" x14ac:dyDescent="0.25">
      <c r="A4455" s="2" t="s">
        <v>11992</v>
      </c>
      <c r="B4455" s="2" t="s">
        <v>7433</v>
      </c>
      <c r="C4455" s="8">
        <v>46295</v>
      </c>
      <c r="D4455" s="6">
        <v>46266</v>
      </c>
      <c r="E4455" s="2" t="s">
        <v>260</v>
      </c>
      <c r="F4455" s="2" t="s">
        <v>11990</v>
      </c>
      <c r="G4455" s="6">
        <v>46235</v>
      </c>
      <c r="H4455" s="2" t="s">
        <v>176</v>
      </c>
      <c r="I4455" s="2" t="s">
        <v>70</v>
      </c>
      <c r="J4455" s="9">
        <v>12637.264615</v>
      </c>
      <c r="K4455" s="7">
        <v>0.65100000000000002</v>
      </c>
      <c r="L4455" s="9">
        <v>8226.86</v>
      </c>
      <c r="M4455" s="9">
        <v>8214.2199999999993</v>
      </c>
      <c r="N4455" s="9">
        <v>4.5199999999999996</v>
      </c>
      <c r="O4455" s="10">
        <f>IF(AND(OR(H4455="APPROVED",H4455="SCHEDULED"),COUNTIFS(tblSource[EventID],F4455,tblSource[ReleaseStatus],"APPROVED")=1,COUNTIFS(Period_Status!$A$2:$A$8,G4455,Period_Status!$B$2:$B$8,"ActualClosed")=1,C4455&gt;EOMONTH(Settlement_Bridge!$C$2,0)),1,0)</f>
        <v>0</v>
      </c>
      <c r="P4455" s="2" t="s">
        <v>11993</v>
      </c>
    </row>
    <row r="4456" spans="1:16" x14ac:dyDescent="0.25">
      <c r="A4456" s="2" t="s">
        <v>11994</v>
      </c>
      <c r="B4456" s="2" t="s">
        <v>7433</v>
      </c>
      <c r="C4456" s="8">
        <v>46271</v>
      </c>
      <c r="D4456" s="6">
        <v>46266</v>
      </c>
      <c r="E4456" s="2" t="s">
        <v>260</v>
      </c>
      <c r="F4456" s="2" t="s">
        <v>11995</v>
      </c>
      <c r="G4456" s="6">
        <v>46235</v>
      </c>
      <c r="H4456" s="2" t="s">
        <v>176</v>
      </c>
      <c r="I4456" s="2" t="s">
        <v>39</v>
      </c>
      <c r="J4456" s="9">
        <v>5586.8720000000003</v>
      </c>
      <c r="K4456" s="7">
        <v>1</v>
      </c>
      <c r="L4456" s="9">
        <v>5586.87</v>
      </c>
      <c r="M4456" s="9">
        <v>5586.87</v>
      </c>
      <c r="N4456" s="9">
        <v>3.07</v>
      </c>
      <c r="O4456" s="10">
        <f>IF(AND(OR(H4456="APPROVED",H4456="SCHEDULED"),COUNTIFS(tblSource[EventID],F4456,tblSource[ReleaseStatus],"APPROVED")=1,COUNTIFS(Period_Status!$A$2:$A$8,G4456,Period_Status!$B$2:$B$8,"ActualClosed")=1,C4456&gt;EOMONTH(Settlement_Bridge!$C$2,0)),1,0)</f>
        <v>0</v>
      </c>
      <c r="P4456" s="2" t="s">
        <v>11996</v>
      </c>
    </row>
    <row r="4457" spans="1:16" x14ac:dyDescent="0.25">
      <c r="A4457" s="2" t="s">
        <v>11997</v>
      </c>
      <c r="B4457" s="2" t="s">
        <v>7433</v>
      </c>
      <c r="C4457" s="8">
        <v>46296</v>
      </c>
      <c r="D4457" s="6">
        <v>46296</v>
      </c>
      <c r="E4457" s="2" t="s">
        <v>260</v>
      </c>
      <c r="F4457" s="2" t="s">
        <v>11995</v>
      </c>
      <c r="G4457" s="6">
        <v>46235</v>
      </c>
      <c r="H4457" s="2" t="s">
        <v>176</v>
      </c>
      <c r="I4457" s="2" t="s">
        <v>39</v>
      </c>
      <c r="J4457" s="9">
        <v>8380.3080000000009</v>
      </c>
      <c r="K4457" s="7">
        <v>1</v>
      </c>
      <c r="L4457" s="9">
        <v>8380.31</v>
      </c>
      <c r="M4457" s="9">
        <v>8380.31</v>
      </c>
      <c r="N4457" s="9">
        <v>4.6100000000000003</v>
      </c>
      <c r="O4457" s="10">
        <f>IF(AND(OR(H4457="APPROVED",H4457="SCHEDULED"),COUNTIFS(tblSource[EventID],F4457,tblSource[ReleaseStatus],"APPROVED")=1,COUNTIFS(Period_Status!$A$2:$A$8,G4457,Period_Status!$B$2:$B$8,"ActualClosed")=1,C4457&gt;EOMONTH(Settlement_Bridge!$C$2,0)),1,0)</f>
        <v>0</v>
      </c>
      <c r="P4457" s="2" t="s">
        <v>11998</v>
      </c>
    </row>
    <row r="4458" spans="1:16" x14ac:dyDescent="0.25">
      <c r="A4458" s="2" t="s">
        <v>11999</v>
      </c>
      <c r="B4458" s="2" t="s">
        <v>7433</v>
      </c>
      <c r="C4458" s="8">
        <v>46272</v>
      </c>
      <c r="D4458" s="6">
        <v>46266</v>
      </c>
      <c r="E4458" s="2" t="s">
        <v>260</v>
      </c>
      <c r="F4458" s="2" t="s">
        <v>12000</v>
      </c>
      <c r="G4458" s="6">
        <v>46235</v>
      </c>
      <c r="H4458" s="2" t="s">
        <v>176</v>
      </c>
      <c r="I4458" s="2" t="s">
        <v>76</v>
      </c>
      <c r="J4458" s="9">
        <v>92643902.439024001</v>
      </c>
      <c r="K4458" s="7">
        <v>6.1299999999999999E-5</v>
      </c>
      <c r="L4458" s="9">
        <v>5679.07</v>
      </c>
      <c r="M4458" s="9">
        <v>5697.6</v>
      </c>
      <c r="N4458" s="9">
        <v>3.12</v>
      </c>
      <c r="O4458" s="10">
        <f>IF(AND(OR(H4458="APPROVED",H4458="SCHEDULED"),COUNTIFS(tblSource[EventID],F4458,tblSource[ReleaseStatus],"APPROVED")=1,COUNTIFS(Period_Status!$A$2:$A$8,G4458,Period_Status!$B$2:$B$8,"ActualClosed")=1,C4458&gt;EOMONTH(Settlement_Bridge!$C$2,0)),1,0)</f>
        <v>0</v>
      </c>
      <c r="P4458" s="2" t="s">
        <v>12001</v>
      </c>
    </row>
    <row r="4459" spans="1:16" x14ac:dyDescent="0.25">
      <c r="A4459" s="2" t="s">
        <v>12002</v>
      </c>
      <c r="B4459" s="2" t="s">
        <v>7433</v>
      </c>
      <c r="C4459" s="8">
        <v>46297</v>
      </c>
      <c r="D4459" s="6">
        <v>46296</v>
      </c>
      <c r="E4459" s="2" t="s">
        <v>260</v>
      </c>
      <c r="F4459" s="2" t="s">
        <v>12000</v>
      </c>
      <c r="G4459" s="6">
        <v>46235</v>
      </c>
      <c r="H4459" s="2" t="s">
        <v>176</v>
      </c>
      <c r="I4459" s="2" t="s">
        <v>76</v>
      </c>
      <c r="J4459" s="9">
        <v>138965853.658537</v>
      </c>
      <c r="K4459" s="7">
        <v>6.1099999999999994E-5</v>
      </c>
      <c r="L4459" s="9">
        <v>8490.81</v>
      </c>
      <c r="M4459" s="9">
        <v>8546.4</v>
      </c>
      <c r="N4459" s="9">
        <v>4.67</v>
      </c>
      <c r="O4459" s="10">
        <f>IF(AND(OR(H4459="APPROVED",H4459="SCHEDULED"),COUNTIFS(tblSource[EventID],F4459,tblSource[ReleaseStatus],"APPROVED")=1,COUNTIFS(Period_Status!$A$2:$A$8,G4459,Period_Status!$B$2:$B$8,"ActualClosed")=1,C4459&gt;EOMONTH(Settlement_Bridge!$C$2,0)),1,0)</f>
        <v>0</v>
      </c>
      <c r="P4459" s="2" t="s">
        <v>12003</v>
      </c>
    </row>
    <row r="4460" spans="1:16" x14ac:dyDescent="0.25">
      <c r="A4460" s="2" t="s">
        <v>12004</v>
      </c>
      <c r="B4460" s="2" t="s">
        <v>7433</v>
      </c>
      <c r="C4460" s="8">
        <v>46273</v>
      </c>
      <c r="D4460" s="6">
        <v>46266</v>
      </c>
      <c r="E4460" s="2" t="s">
        <v>260</v>
      </c>
      <c r="F4460" s="2" t="s">
        <v>12005</v>
      </c>
      <c r="G4460" s="6">
        <v>46235</v>
      </c>
      <c r="H4460" s="2" t="s">
        <v>176</v>
      </c>
      <c r="I4460" s="2" t="s">
        <v>70</v>
      </c>
      <c r="J4460" s="9">
        <v>8935.8892309999992</v>
      </c>
      <c r="K4460" s="7">
        <v>0.65100000000000002</v>
      </c>
      <c r="L4460" s="9">
        <v>5817.26</v>
      </c>
      <c r="M4460" s="9">
        <v>5808.33</v>
      </c>
      <c r="N4460" s="9">
        <v>3.2</v>
      </c>
      <c r="O4460" s="10">
        <f>IF(AND(OR(H4460="APPROVED",H4460="SCHEDULED"),COUNTIFS(tblSource[EventID],F4460,tblSource[ReleaseStatus],"APPROVED")=1,COUNTIFS(Period_Status!$A$2:$A$8,G4460,Period_Status!$B$2:$B$8,"ActualClosed")=1,C4460&gt;EOMONTH(Settlement_Bridge!$C$2,0)),1,0)</f>
        <v>0</v>
      </c>
      <c r="P4460" s="2" t="s">
        <v>12006</v>
      </c>
    </row>
    <row r="4461" spans="1:16" x14ac:dyDescent="0.25">
      <c r="A4461" s="2" t="s">
        <v>12007</v>
      </c>
      <c r="B4461" s="2" t="s">
        <v>7433</v>
      </c>
      <c r="C4461" s="8">
        <v>46298</v>
      </c>
      <c r="D4461" s="6">
        <v>46296</v>
      </c>
      <c r="E4461" s="2" t="s">
        <v>260</v>
      </c>
      <c r="F4461" s="2" t="s">
        <v>12005</v>
      </c>
      <c r="G4461" s="6">
        <v>46235</v>
      </c>
      <c r="H4461" s="2" t="s">
        <v>176</v>
      </c>
      <c r="I4461" s="2" t="s">
        <v>70</v>
      </c>
      <c r="J4461" s="9">
        <v>13403.833846</v>
      </c>
      <c r="K4461" s="7">
        <v>0.65500000000000003</v>
      </c>
      <c r="L4461" s="9">
        <v>8779.51</v>
      </c>
      <c r="M4461" s="9">
        <v>8712.49</v>
      </c>
      <c r="N4461" s="9">
        <v>4.83</v>
      </c>
      <c r="O4461" s="10">
        <f>IF(AND(OR(H4461="APPROVED",H4461="SCHEDULED"),COUNTIFS(tblSource[EventID],F4461,tblSource[ReleaseStatus],"APPROVED")=1,COUNTIFS(Period_Status!$A$2:$A$8,G4461,Period_Status!$B$2:$B$8,"ActualClosed")=1,C4461&gt;EOMONTH(Settlement_Bridge!$C$2,0)),1,0)</f>
        <v>0</v>
      </c>
      <c r="P4461" s="2" t="s">
        <v>12008</v>
      </c>
    </row>
    <row r="4462" spans="1:16" x14ac:dyDescent="0.25">
      <c r="A4462" s="2" t="s">
        <v>12009</v>
      </c>
      <c r="B4462" s="2" t="s">
        <v>7433</v>
      </c>
      <c r="C4462" s="8">
        <v>46274</v>
      </c>
      <c r="D4462" s="6">
        <v>46266</v>
      </c>
      <c r="E4462" s="2" t="s">
        <v>260</v>
      </c>
      <c r="F4462" s="2" t="s">
        <v>12010</v>
      </c>
      <c r="G4462" s="6">
        <v>46235</v>
      </c>
      <c r="H4462" s="2" t="s">
        <v>176</v>
      </c>
      <c r="I4462" s="2" t="s">
        <v>39</v>
      </c>
      <c r="J4462" s="9">
        <v>5919.0519999999997</v>
      </c>
      <c r="K4462" s="7">
        <v>1</v>
      </c>
      <c r="L4462" s="9">
        <v>5919.05</v>
      </c>
      <c r="M4462" s="9">
        <v>5919.05</v>
      </c>
      <c r="N4462" s="9">
        <v>3.26</v>
      </c>
      <c r="O4462" s="10">
        <f>IF(AND(OR(H4462="APPROVED",H4462="SCHEDULED"),COUNTIFS(tblSource[EventID],F4462,tblSource[ReleaseStatus],"APPROVED")=1,COUNTIFS(Period_Status!$A$2:$A$8,G4462,Period_Status!$B$2:$B$8,"ActualClosed")=1,C4462&gt;EOMONTH(Settlement_Bridge!$C$2,0)),1,0)</f>
        <v>0</v>
      </c>
      <c r="P4462" s="2" t="s">
        <v>12011</v>
      </c>
    </row>
    <row r="4463" spans="1:16" x14ac:dyDescent="0.25">
      <c r="A4463" s="2" t="s">
        <v>12012</v>
      </c>
      <c r="B4463" s="2" t="s">
        <v>7433</v>
      </c>
      <c r="C4463" s="8">
        <v>46299</v>
      </c>
      <c r="D4463" s="6">
        <v>46296</v>
      </c>
      <c r="E4463" s="2" t="s">
        <v>260</v>
      </c>
      <c r="F4463" s="2" t="s">
        <v>12010</v>
      </c>
      <c r="G4463" s="6">
        <v>46235</v>
      </c>
      <c r="H4463" s="2" t="s">
        <v>176</v>
      </c>
      <c r="I4463" s="2" t="s">
        <v>39</v>
      </c>
      <c r="J4463" s="9">
        <v>8878.5779999999995</v>
      </c>
      <c r="K4463" s="7">
        <v>1</v>
      </c>
      <c r="L4463" s="9">
        <v>8878.58</v>
      </c>
      <c r="M4463" s="9">
        <v>8878.58</v>
      </c>
      <c r="N4463" s="9">
        <v>4.88</v>
      </c>
      <c r="O4463" s="10">
        <f>IF(AND(OR(H4463="APPROVED",H4463="SCHEDULED"),COUNTIFS(tblSource[EventID],F4463,tblSource[ReleaseStatus],"APPROVED")=1,COUNTIFS(Period_Status!$A$2:$A$8,G4463,Period_Status!$B$2:$B$8,"ActualClosed")=1,C4463&gt;EOMONTH(Settlement_Bridge!$C$2,0)),1,0)</f>
        <v>0</v>
      </c>
      <c r="P4463" s="2" t="s">
        <v>12013</v>
      </c>
    </row>
    <row r="4464" spans="1:16" x14ac:dyDescent="0.25">
      <c r="A4464" s="2" t="s">
        <v>12014</v>
      </c>
      <c r="B4464" s="2" t="s">
        <v>7433</v>
      </c>
      <c r="C4464" s="8">
        <v>46275</v>
      </c>
      <c r="D4464" s="6">
        <v>46266</v>
      </c>
      <c r="E4464" s="2" t="s">
        <v>260</v>
      </c>
      <c r="F4464" s="2" t="s">
        <v>12015</v>
      </c>
      <c r="G4464" s="6">
        <v>46235</v>
      </c>
      <c r="H4464" s="2" t="s">
        <v>176</v>
      </c>
      <c r="I4464" s="2" t="s">
        <v>76</v>
      </c>
      <c r="J4464" s="9">
        <v>98045203.252031997</v>
      </c>
      <c r="K4464" s="7">
        <v>6.1299999999999999E-5</v>
      </c>
      <c r="L4464" s="9">
        <v>6010.17</v>
      </c>
      <c r="M4464" s="9">
        <v>6029.78</v>
      </c>
      <c r="N4464" s="9">
        <v>3.31</v>
      </c>
      <c r="O4464" s="10">
        <f>IF(AND(OR(H4464="APPROVED",H4464="SCHEDULED"),COUNTIFS(tblSource[EventID],F4464,tblSource[ReleaseStatus],"APPROVED")=1,COUNTIFS(Period_Status!$A$2:$A$8,G4464,Period_Status!$B$2:$B$8,"ActualClosed")=1,C4464&gt;EOMONTH(Settlement_Bridge!$C$2,0)),1,0)</f>
        <v>0</v>
      </c>
      <c r="P4464" s="2" t="s">
        <v>12016</v>
      </c>
    </row>
    <row r="4465" spans="1:16" x14ac:dyDescent="0.25">
      <c r="A4465" s="2" t="s">
        <v>12017</v>
      </c>
      <c r="B4465" s="2" t="s">
        <v>7433</v>
      </c>
      <c r="C4465" s="8">
        <v>46300</v>
      </c>
      <c r="D4465" s="6">
        <v>46296</v>
      </c>
      <c r="E4465" s="2" t="s">
        <v>260</v>
      </c>
      <c r="F4465" s="2" t="s">
        <v>12015</v>
      </c>
      <c r="G4465" s="6">
        <v>46235</v>
      </c>
      <c r="H4465" s="2" t="s">
        <v>176</v>
      </c>
      <c r="I4465" s="2" t="s">
        <v>76</v>
      </c>
      <c r="J4465" s="9">
        <v>147067804.87804899</v>
      </c>
      <c r="K4465" s="7">
        <v>6.1099999999999994E-5</v>
      </c>
      <c r="L4465" s="9">
        <v>8985.84</v>
      </c>
      <c r="M4465" s="9">
        <v>9044.67</v>
      </c>
      <c r="N4465" s="9">
        <v>4.9400000000000004</v>
      </c>
      <c r="O4465" s="10">
        <f>IF(AND(OR(H4465="APPROVED",H4465="SCHEDULED"),COUNTIFS(tblSource[EventID],F4465,tblSource[ReleaseStatus],"APPROVED")=1,COUNTIFS(Period_Status!$A$2:$A$8,G4465,Period_Status!$B$2:$B$8,"ActualClosed")=1,C4465&gt;EOMONTH(Settlement_Bridge!$C$2,0)),1,0)</f>
        <v>0</v>
      </c>
      <c r="P4465" s="2" t="s">
        <v>12018</v>
      </c>
    </row>
    <row r="4466" spans="1:16" x14ac:dyDescent="0.25">
      <c r="A4466" s="2" t="s">
        <v>12019</v>
      </c>
      <c r="B4466" s="2" t="s">
        <v>7433</v>
      </c>
      <c r="C4466" s="8">
        <v>46276</v>
      </c>
      <c r="D4466" s="6">
        <v>46266</v>
      </c>
      <c r="E4466" s="2" t="s">
        <v>260</v>
      </c>
      <c r="F4466" s="2" t="s">
        <v>12020</v>
      </c>
      <c r="G4466" s="6">
        <v>46235</v>
      </c>
      <c r="H4466" s="2" t="s">
        <v>176</v>
      </c>
      <c r="I4466" s="2" t="s">
        <v>70</v>
      </c>
      <c r="J4466" s="9">
        <v>9446.9292310000001</v>
      </c>
      <c r="K4466" s="7">
        <v>0.65100000000000002</v>
      </c>
      <c r="L4466" s="9">
        <v>6149.95</v>
      </c>
      <c r="M4466" s="9">
        <v>6140.5</v>
      </c>
      <c r="N4466" s="9">
        <v>3.38</v>
      </c>
      <c r="O4466" s="10">
        <f>IF(AND(OR(H4466="APPROVED",H4466="SCHEDULED"),COUNTIFS(tblSource[EventID],F4466,tblSource[ReleaseStatus],"APPROVED")=1,COUNTIFS(Period_Status!$A$2:$A$8,G4466,Period_Status!$B$2:$B$8,"ActualClosed")=1,C4466&gt;EOMONTH(Settlement_Bridge!$C$2,0)),1,0)</f>
        <v>0</v>
      </c>
      <c r="P4466" s="2" t="s">
        <v>12021</v>
      </c>
    </row>
    <row r="4467" spans="1:16" x14ac:dyDescent="0.25">
      <c r="A4467" s="2" t="s">
        <v>12022</v>
      </c>
      <c r="B4467" s="2" t="s">
        <v>7433</v>
      </c>
      <c r="C4467" s="8">
        <v>46301</v>
      </c>
      <c r="D4467" s="6">
        <v>46296</v>
      </c>
      <c r="E4467" s="2" t="s">
        <v>260</v>
      </c>
      <c r="F4467" s="2" t="s">
        <v>12020</v>
      </c>
      <c r="G4467" s="6">
        <v>46235</v>
      </c>
      <c r="H4467" s="2" t="s">
        <v>176</v>
      </c>
      <c r="I4467" s="2" t="s">
        <v>70</v>
      </c>
      <c r="J4467" s="9">
        <v>14170.393846000001</v>
      </c>
      <c r="K4467" s="7">
        <v>0.65500000000000003</v>
      </c>
      <c r="L4467" s="9">
        <v>9281.61</v>
      </c>
      <c r="M4467" s="9">
        <v>9210.76</v>
      </c>
      <c r="N4467" s="9">
        <v>5.0999999999999996</v>
      </c>
      <c r="O4467" s="10">
        <f>IF(AND(OR(H4467="APPROVED",H4467="SCHEDULED"),COUNTIFS(tblSource[EventID],F4467,tblSource[ReleaseStatus],"APPROVED")=1,COUNTIFS(Period_Status!$A$2:$A$8,G4467,Period_Status!$B$2:$B$8,"ActualClosed")=1,C4467&gt;EOMONTH(Settlement_Bridge!$C$2,0)),1,0)</f>
        <v>0</v>
      </c>
      <c r="P4467" s="2" t="s">
        <v>12023</v>
      </c>
    </row>
    <row r="4468" spans="1:16" x14ac:dyDescent="0.25">
      <c r="A4468" s="2" t="s">
        <v>12024</v>
      </c>
      <c r="B4468" s="2" t="s">
        <v>7433</v>
      </c>
      <c r="C4468" s="8">
        <v>46277</v>
      </c>
      <c r="D4468" s="6">
        <v>46266</v>
      </c>
      <c r="E4468" s="2" t="s">
        <v>260</v>
      </c>
      <c r="F4468" s="2" t="s">
        <v>12025</v>
      </c>
      <c r="G4468" s="6">
        <v>46235</v>
      </c>
      <c r="H4468" s="2" t="s">
        <v>176</v>
      </c>
      <c r="I4468" s="2" t="s">
        <v>39</v>
      </c>
      <c r="J4468" s="9">
        <v>6251.232</v>
      </c>
      <c r="K4468" s="7">
        <v>1</v>
      </c>
      <c r="L4468" s="9">
        <v>6251.23</v>
      </c>
      <c r="M4468" s="9">
        <v>6251.23</v>
      </c>
      <c r="N4468" s="9">
        <v>3.44</v>
      </c>
      <c r="O4468" s="10">
        <f>IF(AND(OR(H4468="APPROVED",H4468="SCHEDULED"),COUNTIFS(tblSource[EventID],F4468,tblSource[ReleaseStatus],"APPROVED")=1,COUNTIFS(Period_Status!$A$2:$A$8,G4468,Period_Status!$B$2:$B$8,"ActualClosed")=1,C4468&gt;EOMONTH(Settlement_Bridge!$C$2,0)),1,0)</f>
        <v>0</v>
      </c>
      <c r="P4468" s="2" t="s">
        <v>12026</v>
      </c>
    </row>
    <row r="4469" spans="1:16" x14ac:dyDescent="0.25">
      <c r="A4469" s="2" t="s">
        <v>12027</v>
      </c>
      <c r="B4469" s="2" t="s">
        <v>7433</v>
      </c>
      <c r="C4469" s="8">
        <v>46302</v>
      </c>
      <c r="D4469" s="6">
        <v>46296</v>
      </c>
      <c r="E4469" s="2" t="s">
        <v>260</v>
      </c>
      <c r="F4469" s="2" t="s">
        <v>12025</v>
      </c>
      <c r="G4469" s="6">
        <v>46235</v>
      </c>
      <c r="H4469" s="2" t="s">
        <v>176</v>
      </c>
      <c r="I4469" s="2" t="s">
        <v>39</v>
      </c>
      <c r="J4469" s="9">
        <v>9376.848</v>
      </c>
      <c r="K4469" s="7">
        <v>1</v>
      </c>
      <c r="L4469" s="9">
        <v>9376.85</v>
      </c>
      <c r="M4469" s="9">
        <v>9376.85</v>
      </c>
      <c r="N4469" s="9">
        <v>5.16</v>
      </c>
      <c r="O4469" s="10">
        <f>IF(AND(OR(H4469="APPROVED",H4469="SCHEDULED"),COUNTIFS(tblSource[EventID],F4469,tblSource[ReleaseStatus],"APPROVED")=1,COUNTIFS(Period_Status!$A$2:$A$8,G4469,Period_Status!$B$2:$B$8,"ActualClosed")=1,C4469&gt;EOMONTH(Settlement_Bridge!$C$2,0)),1,0)</f>
        <v>0</v>
      </c>
      <c r="P4469" s="2" t="s">
        <v>12028</v>
      </c>
    </row>
    <row r="4470" spans="1:16" x14ac:dyDescent="0.25">
      <c r="A4470" s="2" t="s">
        <v>12029</v>
      </c>
      <c r="B4470" s="2" t="s">
        <v>7433</v>
      </c>
      <c r="C4470" s="8">
        <v>46278</v>
      </c>
      <c r="D4470" s="6">
        <v>46266</v>
      </c>
      <c r="E4470" s="2" t="s">
        <v>260</v>
      </c>
      <c r="F4470" s="2" t="s">
        <v>12030</v>
      </c>
      <c r="G4470" s="6">
        <v>46235</v>
      </c>
      <c r="H4470" s="2" t="s">
        <v>176</v>
      </c>
      <c r="I4470" s="2" t="s">
        <v>76</v>
      </c>
      <c r="J4470" s="9">
        <v>103446504.06504101</v>
      </c>
      <c r="K4470" s="7">
        <v>6.1299999999999999E-5</v>
      </c>
      <c r="L4470" s="9">
        <v>6341.27</v>
      </c>
      <c r="M4470" s="9">
        <v>6361.96</v>
      </c>
      <c r="N4470" s="9">
        <v>3.49</v>
      </c>
      <c r="O4470" s="10">
        <f>IF(AND(OR(H4470="APPROVED",H4470="SCHEDULED"),COUNTIFS(tblSource[EventID],F4470,tblSource[ReleaseStatus],"APPROVED")=1,COUNTIFS(Period_Status!$A$2:$A$8,G4470,Period_Status!$B$2:$B$8,"ActualClosed")=1,C4470&gt;EOMONTH(Settlement_Bridge!$C$2,0)),1,0)</f>
        <v>0</v>
      </c>
      <c r="P4470" s="2" t="s">
        <v>12031</v>
      </c>
    </row>
    <row r="4471" spans="1:16" x14ac:dyDescent="0.25">
      <c r="A4471" s="2" t="s">
        <v>12032</v>
      </c>
      <c r="B4471" s="2" t="s">
        <v>7433</v>
      </c>
      <c r="C4471" s="8">
        <v>46303</v>
      </c>
      <c r="D4471" s="6">
        <v>46296</v>
      </c>
      <c r="E4471" s="2" t="s">
        <v>260</v>
      </c>
      <c r="F4471" s="2" t="s">
        <v>12030</v>
      </c>
      <c r="G4471" s="6">
        <v>46235</v>
      </c>
      <c r="H4471" s="2" t="s">
        <v>176</v>
      </c>
      <c r="I4471" s="2" t="s">
        <v>76</v>
      </c>
      <c r="J4471" s="9">
        <v>155169756.097561</v>
      </c>
      <c r="K4471" s="7">
        <v>6.1099999999999994E-5</v>
      </c>
      <c r="L4471" s="9">
        <v>9480.8700000000008</v>
      </c>
      <c r="M4471" s="9">
        <v>9542.94</v>
      </c>
      <c r="N4471" s="9">
        <v>5.21</v>
      </c>
      <c r="O4471" s="10">
        <f>IF(AND(OR(H4471="APPROVED",H4471="SCHEDULED"),COUNTIFS(tblSource[EventID],F4471,tblSource[ReleaseStatus],"APPROVED")=1,COUNTIFS(Period_Status!$A$2:$A$8,G4471,Period_Status!$B$2:$B$8,"ActualClosed")=1,C4471&gt;EOMONTH(Settlement_Bridge!$C$2,0)),1,0)</f>
        <v>0</v>
      </c>
      <c r="P4471" s="2" t="s">
        <v>12033</v>
      </c>
    </row>
    <row r="4472" spans="1:16" x14ac:dyDescent="0.25">
      <c r="A4472" s="2" t="s">
        <v>12034</v>
      </c>
      <c r="B4472" s="2" t="s">
        <v>7433</v>
      </c>
      <c r="C4472" s="8">
        <v>46279</v>
      </c>
      <c r="D4472" s="6">
        <v>46266</v>
      </c>
      <c r="E4472" s="2" t="s">
        <v>260</v>
      </c>
      <c r="F4472" s="2" t="s">
        <v>12035</v>
      </c>
      <c r="G4472" s="6">
        <v>46235</v>
      </c>
      <c r="H4472" s="2" t="s">
        <v>176</v>
      </c>
      <c r="I4472" s="2" t="s">
        <v>70</v>
      </c>
      <c r="J4472" s="9">
        <v>9957.9753849999997</v>
      </c>
      <c r="K4472" s="7">
        <v>0.65100000000000002</v>
      </c>
      <c r="L4472" s="9">
        <v>6482.64</v>
      </c>
      <c r="M4472" s="9">
        <v>6472.68</v>
      </c>
      <c r="N4472" s="9">
        <v>3.57</v>
      </c>
      <c r="O4472" s="10">
        <f>IF(AND(OR(H4472="APPROVED",H4472="SCHEDULED"),COUNTIFS(tblSource[EventID],F4472,tblSource[ReleaseStatus],"APPROVED")=1,COUNTIFS(Period_Status!$A$2:$A$8,G4472,Period_Status!$B$2:$B$8,"ActualClosed")=1,C4472&gt;EOMONTH(Settlement_Bridge!$C$2,0)),1,0)</f>
        <v>0</v>
      </c>
      <c r="P4472" s="2" t="s">
        <v>12036</v>
      </c>
    </row>
    <row r="4473" spans="1:16" x14ac:dyDescent="0.25">
      <c r="A4473" s="2" t="s">
        <v>12037</v>
      </c>
      <c r="B4473" s="2" t="s">
        <v>7433</v>
      </c>
      <c r="C4473" s="8">
        <v>46304</v>
      </c>
      <c r="D4473" s="6">
        <v>46296</v>
      </c>
      <c r="E4473" s="2" t="s">
        <v>260</v>
      </c>
      <c r="F4473" s="2" t="s">
        <v>12035</v>
      </c>
      <c r="G4473" s="6">
        <v>46235</v>
      </c>
      <c r="H4473" s="2" t="s">
        <v>176</v>
      </c>
      <c r="I4473" s="2" t="s">
        <v>70</v>
      </c>
      <c r="J4473" s="9">
        <v>14936.963077</v>
      </c>
      <c r="K4473" s="7">
        <v>0.65500000000000003</v>
      </c>
      <c r="L4473" s="9">
        <v>9783.7099999999991</v>
      </c>
      <c r="M4473" s="9">
        <v>9709.0300000000007</v>
      </c>
      <c r="N4473" s="9">
        <v>5.38</v>
      </c>
      <c r="O4473" s="10">
        <f>IF(AND(OR(H4473="APPROVED",H4473="SCHEDULED"),COUNTIFS(tblSource[EventID],F4473,tblSource[ReleaseStatus],"APPROVED")=1,COUNTIFS(Period_Status!$A$2:$A$8,G4473,Period_Status!$B$2:$B$8,"ActualClosed")=1,C4473&gt;EOMONTH(Settlement_Bridge!$C$2,0)),1,0)</f>
        <v>0</v>
      </c>
      <c r="P4473" s="2" t="s">
        <v>12038</v>
      </c>
    </row>
    <row r="4474" spans="1:16" x14ac:dyDescent="0.25">
      <c r="A4474" s="2" t="s">
        <v>12039</v>
      </c>
      <c r="B4474" s="2" t="s">
        <v>7433</v>
      </c>
      <c r="C4474" s="8">
        <v>46249</v>
      </c>
      <c r="D4474" s="6">
        <v>46235</v>
      </c>
      <c r="E4474" s="2" t="s">
        <v>260</v>
      </c>
      <c r="F4474" s="2" t="s">
        <v>12040</v>
      </c>
      <c r="G4474" s="6">
        <v>46235</v>
      </c>
      <c r="H4474" s="2" t="s">
        <v>71</v>
      </c>
      <c r="I4474" s="2" t="s">
        <v>39</v>
      </c>
      <c r="J4474" s="9">
        <v>6583.4120000000003</v>
      </c>
      <c r="K4474" s="7">
        <v>1</v>
      </c>
      <c r="L4474" s="9">
        <v>6583.41</v>
      </c>
      <c r="M4474" s="9">
        <v>6583.41</v>
      </c>
      <c r="N4474" s="9">
        <v>3.62</v>
      </c>
      <c r="O4474" s="10">
        <f>IF(AND(OR(H4474="APPROVED",H4474="SCHEDULED"),COUNTIFS(tblSource[EventID],F4474,tblSource[ReleaseStatus],"APPROVED")=1,COUNTIFS(Period_Status!$A$2:$A$8,G4474,Period_Status!$B$2:$B$8,"ActualClosed")=1,C4474&gt;EOMONTH(Settlement_Bridge!$C$2,0)),1,0)</f>
        <v>0</v>
      </c>
      <c r="P4474" s="2" t="s">
        <v>12041</v>
      </c>
    </row>
    <row r="4475" spans="1:16" x14ac:dyDescent="0.25">
      <c r="A4475" s="2" t="s">
        <v>12042</v>
      </c>
      <c r="B4475" s="2" t="s">
        <v>7433</v>
      </c>
      <c r="C4475" s="8">
        <v>46274</v>
      </c>
      <c r="D4475" s="6">
        <v>46266</v>
      </c>
      <c r="E4475" s="2" t="s">
        <v>260</v>
      </c>
      <c r="F4475" s="2" t="s">
        <v>12040</v>
      </c>
      <c r="G4475" s="6">
        <v>46235</v>
      </c>
      <c r="H4475" s="2" t="s">
        <v>176</v>
      </c>
      <c r="I4475" s="2" t="s">
        <v>39</v>
      </c>
      <c r="J4475" s="9">
        <v>9875.1180000000004</v>
      </c>
      <c r="K4475" s="7">
        <v>1</v>
      </c>
      <c r="L4475" s="9">
        <v>9875.1200000000008</v>
      </c>
      <c r="M4475" s="9">
        <v>9875.1200000000008</v>
      </c>
      <c r="N4475" s="9">
        <v>5.43</v>
      </c>
      <c r="O4475" s="10">
        <f>IF(AND(OR(H4475="APPROVED",H4475="SCHEDULED"),COUNTIFS(tblSource[EventID],F4475,tblSource[ReleaseStatus],"APPROVED")=1,COUNTIFS(Period_Status!$A$2:$A$8,G4475,Period_Status!$B$2:$B$8,"ActualClosed")=1,C4475&gt;EOMONTH(Settlement_Bridge!$C$2,0)),1,0)</f>
        <v>0</v>
      </c>
      <c r="P4475" s="2" t="s">
        <v>12043</v>
      </c>
    </row>
    <row r="4476" spans="1:16" x14ac:dyDescent="0.25">
      <c r="A4476" s="2" t="s">
        <v>12044</v>
      </c>
      <c r="B4476" s="2" t="s">
        <v>7433</v>
      </c>
      <c r="C4476" s="8">
        <v>46250</v>
      </c>
      <c r="D4476" s="6">
        <v>46235</v>
      </c>
      <c r="E4476" s="2" t="s">
        <v>260</v>
      </c>
      <c r="F4476" s="2" t="s">
        <v>12045</v>
      </c>
      <c r="G4476" s="6">
        <v>46235</v>
      </c>
      <c r="H4476" s="2" t="s">
        <v>71</v>
      </c>
      <c r="I4476" s="2" t="s">
        <v>76</v>
      </c>
      <c r="J4476" s="9">
        <v>108847739.83739799</v>
      </c>
      <c r="K4476" s="7">
        <v>6.1500000000000004E-5</v>
      </c>
      <c r="L4476" s="9">
        <v>6694.14</v>
      </c>
      <c r="M4476" s="9">
        <v>6694.14</v>
      </c>
      <c r="N4476" s="9">
        <v>3.68</v>
      </c>
      <c r="O4476" s="10">
        <f>IF(AND(OR(H4476="APPROVED",H4476="SCHEDULED"),COUNTIFS(tblSource[EventID],F4476,tblSource[ReleaseStatus],"APPROVED")=1,COUNTIFS(Period_Status!$A$2:$A$8,G4476,Period_Status!$B$2:$B$8,"ActualClosed")=1,C4476&gt;EOMONTH(Settlement_Bridge!$C$2,0)),1,0)</f>
        <v>0</v>
      </c>
      <c r="P4476" s="2" t="s">
        <v>12046</v>
      </c>
    </row>
    <row r="4477" spans="1:16" x14ac:dyDescent="0.25">
      <c r="A4477" s="2" t="s">
        <v>12047</v>
      </c>
      <c r="B4477" s="2" t="s">
        <v>7433</v>
      </c>
      <c r="C4477" s="8">
        <v>46275</v>
      </c>
      <c r="D4477" s="6">
        <v>46266</v>
      </c>
      <c r="E4477" s="2" t="s">
        <v>260</v>
      </c>
      <c r="F4477" s="2" t="s">
        <v>12045</v>
      </c>
      <c r="G4477" s="6">
        <v>46235</v>
      </c>
      <c r="H4477" s="2" t="s">
        <v>176</v>
      </c>
      <c r="I4477" s="2" t="s">
        <v>76</v>
      </c>
      <c r="J4477" s="9">
        <v>163271609.756098</v>
      </c>
      <c r="K4477" s="7">
        <v>6.1299999999999999E-5</v>
      </c>
      <c r="L4477" s="9">
        <v>10008.549999999999</v>
      </c>
      <c r="M4477" s="9">
        <v>10041.200000000001</v>
      </c>
      <c r="N4477" s="9">
        <v>5.5</v>
      </c>
      <c r="O4477" s="10">
        <f>IF(AND(OR(H4477="APPROVED",H4477="SCHEDULED"),COUNTIFS(tblSource[EventID],F4477,tblSource[ReleaseStatus],"APPROVED")=1,COUNTIFS(Period_Status!$A$2:$A$8,G4477,Period_Status!$B$2:$B$8,"ActualClosed")=1,C4477&gt;EOMONTH(Settlement_Bridge!$C$2,0)),1,0)</f>
        <v>0</v>
      </c>
      <c r="P4477" s="2" t="s">
        <v>12048</v>
      </c>
    </row>
    <row r="4478" spans="1:16" x14ac:dyDescent="0.25">
      <c r="A4478" s="2" t="s">
        <v>12049</v>
      </c>
      <c r="B4478" s="2" t="s">
        <v>7433</v>
      </c>
      <c r="C4478" s="8">
        <v>46251</v>
      </c>
      <c r="D4478" s="6">
        <v>46235</v>
      </c>
      <c r="E4478" s="2" t="s">
        <v>260</v>
      </c>
      <c r="F4478" s="2" t="s">
        <v>12050</v>
      </c>
      <c r="G4478" s="6">
        <v>46235</v>
      </c>
      <c r="H4478" s="2" t="s">
        <v>71</v>
      </c>
      <c r="I4478" s="2" t="s">
        <v>70</v>
      </c>
      <c r="J4478" s="9">
        <v>10469.021538000001</v>
      </c>
      <c r="K4478" s="7">
        <v>0.65</v>
      </c>
      <c r="L4478" s="9">
        <v>6804.86</v>
      </c>
      <c r="M4478" s="9">
        <v>6804.86</v>
      </c>
      <c r="N4478" s="9">
        <v>3.74</v>
      </c>
      <c r="O4478" s="10">
        <f>IF(AND(OR(H4478="APPROVED",H4478="SCHEDULED"),COUNTIFS(tblSource[EventID],F4478,tblSource[ReleaseStatus],"APPROVED")=1,COUNTIFS(Period_Status!$A$2:$A$8,G4478,Period_Status!$B$2:$B$8,"ActualClosed")=1,C4478&gt;EOMONTH(Settlement_Bridge!$C$2,0)),1,0)</f>
        <v>0</v>
      </c>
      <c r="P4478" s="2" t="s">
        <v>12051</v>
      </c>
    </row>
    <row r="4479" spans="1:16" x14ac:dyDescent="0.25">
      <c r="A4479" s="2" t="s">
        <v>12052</v>
      </c>
      <c r="B4479" s="2" t="s">
        <v>7433</v>
      </c>
      <c r="C4479" s="8">
        <v>46276</v>
      </c>
      <c r="D4479" s="6">
        <v>46266</v>
      </c>
      <c r="E4479" s="2" t="s">
        <v>260</v>
      </c>
      <c r="F4479" s="2" t="s">
        <v>12050</v>
      </c>
      <c r="G4479" s="6">
        <v>46235</v>
      </c>
      <c r="H4479" s="2" t="s">
        <v>176</v>
      </c>
      <c r="I4479" s="2" t="s">
        <v>70</v>
      </c>
      <c r="J4479" s="9">
        <v>15703.532308</v>
      </c>
      <c r="K4479" s="7">
        <v>0.65100000000000002</v>
      </c>
      <c r="L4479" s="9">
        <v>10223</v>
      </c>
      <c r="M4479" s="9">
        <v>10207.299999999999</v>
      </c>
      <c r="N4479" s="9">
        <v>5.62</v>
      </c>
      <c r="O4479" s="10">
        <f>IF(AND(OR(H4479="APPROVED",H4479="SCHEDULED"),COUNTIFS(tblSource[EventID],F4479,tblSource[ReleaseStatus],"APPROVED")=1,COUNTIFS(Period_Status!$A$2:$A$8,G4479,Period_Status!$B$2:$B$8,"ActualClosed")=1,C4479&gt;EOMONTH(Settlement_Bridge!$C$2,0)),1,0)</f>
        <v>0</v>
      </c>
      <c r="P4479" s="2" t="s">
        <v>12053</v>
      </c>
    </row>
    <row r="4480" spans="1:16" x14ac:dyDescent="0.25">
      <c r="A4480" s="2" t="s">
        <v>12054</v>
      </c>
      <c r="B4480" s="2" t="s">
        <v>7433</v>
      </c>
      <c r="C4480" s="8">
        <v>46252</v>
      </c>
      <c r="D4480" s="6">
        <v>46235</v>
      </c>
      <c r="E4480" s="2" t="s">
        <v>260</v>
      </c>
      <c r="F4480" s="2" t="s">
        <v>12055</v>
      </c>
      <c r="G4480" s="6">
        <v>46235</v>
      </c>
      <c r="H4480" s="2" t="s">
        <v>71</v>
      </c>
      <c r="I4480" s="2" t="s">
        <v>39</v>
      </c>
      <c r="J4480" s="9">
        <v>6915.5919999999996</v>
      </c>
      <c r="K4480" s="7">
        <v>1</v>
      </c>
      <c r="L4480" s="9">
        <v>6915.59</v>
      </c>
      <c r="M4480" s="9">
        <v>6915.59</v>
      </c>
      <c r="N4480" s="9">
        <v>3.8</v>
      </c>
      <c r="O4480" s="10">
        <f>IF(AND(OR(H4480="APPROVED",H4480="SCHEDULED"),COUNTIFS(tblSource[EventID],F4480,tblSource[ReleaseStatus],"APPROVED")=1,COUNTIFS(Period_Status!$A$2:$A$8,G4480,Period_Status!$B$2:$B$8,"ActualClosed")=1,C4480&gt;EOMONTH(Settlement_Bridge!$C$2,0)),1,0)</f>
        <v>0</v>
      </c>
      <c r="P4480" s="2" t="s">
        <v>12056</v>
      </c>
    </row>
    <row r="4481" spans="1:16" x14ac:dyDescent="0.25">
      <c r="A4481" s="2" t="s">
        <v>12057</v>
      </c>
      <c r="B4481" s="2" t="s">
        <v>7433</v>
      </c>
      <c r="C4481" s="8">
        <v>46277</v>
      </c>
      <c r="D4481" s="6">
        <v>46266</v>
      </c>
      <c r="E4481" s="2" t="s">
        <v>260</v>
      </c>
      <c r="F4481" s="2" t="s">
        <v>12055</v>
      </c>
      <c r="G4481" s="6">
        <v>46235</v>
      </c>
      <c r="H4481" s="2" t="s">
        <v>176</v>
      </c>
      <c r="I4481" s="2" t="s">
        <v>39</v>
      </c>
      <c r="J4481" s="9">
        <v>10373.388000000001</v>
      </c>
      <c r="K4481" s="7">
        <v>1</v>
      </c>
      <c r="L4481" s="9">
        <v>10373.39</v>
      </c>
      <c r="M4481" s="9">
        <v>10373.39</v>
      </c>
      <c r="N4481" s="9">
        <v>5.71</v>
      </c>
      <c r="O4481" s="10">
        <f>IF(AND(OR(H4481="APPROVED",H4481="SCHEDULED"),COUNTIFS(tblSource[EventID],F4481,tblSource[ReleaseStatus],"APPROVED")=1,COUNTIFS(Period_Status!$A$2:$A$8,G4481,Period_Status!$B$2:$B$8,"ActualClosed")=1,C4481&gt;EOMONTH(Settlement_Bridge!$C$2,0)),1,0)</f>
        <v>0</v>
      </c>
      <c r="P4481" s="2" t="s">
        <v>12058</v>
      </c>
    </row>
    <row r="4482" spans="1:16" x14ac:dyDescent="0.25">
      <c r="A4482" s="2" t="s">
        <v>12059</v>
      </c>
      <c r="B4482" s="2" t="s">
        <v>7433</v>
      </c>
      <c r="C4482" s="8">
        <v>46253</v>
      </c>
      <c r="D4482" s="6">
        <v>46235</v>
      </c>
      <c r="E4482" s="2" t="s">
        <v>260</v>
      </c>
      <c r="F4482" s="2" t="s">
        <v>12060</v>
      </c>
      <c r="G4482" s="6">
        <v>46235</v>
      </c>
      <c r="H4482" s="2" t="s">
        <v>71</v>
      </c>
      <c r="I4482" s="2" t="s">
        <v>76</v>
      </c>
      <c r="J4482" s="9">
        <v>114249040.650406</v>
      </c>
      <c r="K4482" s="7">
        <v>6.1500000000000004E-5</v>
      </c>
      <c r="L4482" s="9">
        <v>7026.32</v>
      </c>
      <c r="M4482" s="9">
        <v>7026.32</v>
      </c>
      <c r="N4482" s="9">
        <v>3.86</v>
      </c>
      <c r="O4482" s="10">
        <f>IF(AND(OR(H4482="APPROVED",H4482="SCHEDULED"),COUNTIFS(tblSource[EventID],F4482,tblSource[ReleaseStatus],"APPROVED")=1,COUNTIFS(Period_Status!$A$2:$A$8,G4482,Period_Status!$B$2:$B$8,"ActualClosed")=1,C4482&gt;EOMONTH(Settlement_Bridge!$C$2,0)),1,0)</f>
        <v>0</v>
      </c>
      <c r="P4482" s="2" t="s">
        <v>12061</v>
      </c>
    </row>
    <row r="4483" spans="1:16" x14ac:dyDescent="0.25">
      <c r="A4483" s="2" t="s">
        <v>12062</v>
      </c>
      <c r="B4483" s="2" t="s">
        <v>7433</v>
      </c>
      <c r="C4483" s="8">
        <v>46278</v>
      </c>
      <c r="D4483" s="6">
        <v>46266</v>
      </c>
      <c r="E4483" s="2" t="s">
        <v>260</v>
      </c>
      <c r="F4483" s="2" t="s">
        <v>12060</v>
      </c>
      <c r="G4483" s="6">
        <v>46235</v>
      </c>
      <c r="H4483" s="2" t="s">
        <v>176</v>
      </c>
      <c r="I4483" s="2" t="s">
        <v>76</v>
      </c>
      <c r="J4483" s="9">
        <v>171373560.97560999</v>
      </c>
      <c r="K4483" s="7">
        <v>6.1299999999999999E-5</v>
      </c>
      <c r="L4483" s="9">
        <v>10505.2</v>
      </c>
      <c r="M4483" s="9">
        <v>10539.47</v>
      </c>
      <c r="N4483" s="9">
        <v>5.78</v>
      </c>
      <c r="O4483" s="10">
        <f>IF(AND(OR(H4483="APPROVED",H4483="SCHEDULED"),COUNTIFS(tblSource[EventID],F4483,tblSource[ReleaseStatus],"APPROVED")=1,COUNTIFS(Period_Status!$A$2:$A$8,G4483,Period_Status!$B$2:$B$8,"ActualClosed")=1,C4483&gt;EOMONTH(Settlement_Bridge!$C$2,0)),1,0)</f>
        <v>0</v>
      </c>
      <c r="P4483" s="2" t="s">
        <v>12063</v>
      </c>
    </row>
    <row r="4484" spans="1:16" x14ac:dyDescent="0.25">
      <c r="A4484" s="2" t="s">
        <v>12064</v>
      </c>
      <c r="B4484" s="2" t="s">
        <v>7433</v>
      </c>
      <c r="C4484" s="8">
        <v>46254</v>
      </c>
      <c r="D4484" s="6">
        <v>46235</v>
      </c>
      <c r="E4484" s="2" t="s">
        <v>260</v>
      </c>
      <c r="F4484" s="2" t="s">
        <v>12065</v>
      </c>
      <c r="G4484" s="6">
        <v>46235</v>
      </c>
      <c r="H4484" s="2" t="s">
        <v>71</v>
      </c>
      <c r="I4484" s="2" t="s">
        <v>70</v>
      </c>
      <c r="J4484" s="9">
        <v>10980.067692000001</v>
      </c>
      <c r="K4484" s="7">
        <v>0.65</v>
      </c>
      <c r="L4484" s="9">
        <v>7137.04</v>
      </c>
      <c r="M4484" s="9">
        <v>7137.04</v>
      </c>
      <c r="N4484" s="9">
        <v>3.93</v>
      </c>
      <c r="O4484" s="10">
        <f>IF(AND(OR(H4484="APPROVED",H4484="SCHEDULED"),COUNTIFS(tblSource[EventID],F4484,tblSource[ReleaseStatus],"APPROVED")=1,COUNTIFS(Period_Status!$A$2:$A$8,G4484,Period_Status!$B$2:$B$8,"ActualClosed")=1,C4484&gt;EOMONTH(Settlement_Bridge!$C$2,0)),1,0)</f>
        <v>0</v>
      </c>
      <c r="P4484" s="2" t="s">
        <v>12066</v>
      </c>
    </row>
    <row r="4485" spans="1:16" x14ac:dyDescent="0.25">
      <c r="A4485" s="2" t="s">
        <v>12067</v>
      </c>
      <c r="B4485" s="2" t="s">
        <v>7433</v>
      </c>
      <c r="C4485" s="8">
        <v>46279</v>
      </c>
      <c r="D4485" s="6">
        <v>46266</v>
      </c>
      <c r="E4485" s="2" t="s">
        <v>260</v>
      </c>
      <c r="F4485" s="2" t="s">
        <v>12065</v>
      </c>
      <c r="G4485" s="6">
        <v>46235</v>
      </c>
      <c r="H4485" s="2" t="s">
        <v>176</v>
      </c>
      <c r="I4485" s="2" t="s">
        <v>70</v>
      </c>
      <c r="J4485" s="9">
        <v>16470.101538999999</v>
      </c>
      <c r="K4485" s="7">
        <v>0.65100000000000002</v>
      </c>
      <c r="L4485" s="9">
        <v>10722.04</v>
      </c>
      <c r="M4485" s="9">
        <v>10705.57</v>
      </c>
      <c r="N4485" s="9">
        <v>5.9</v>
      </c>
      <c r="O4485" s="10">
        <f>IF(AND(OR(H4485="APPROVED",H4485="SCHEDULED"),COUNTIFS(tblSource[EventID],F4485,tblSource[ReleaseStatus],"APPROVED")=1,COUNTIFS(Period_Status!$A$2:$A$8,G4485,Period_Status!$B$2:$B$8,"ActualClosed")=1,C4485&gt;EOMONTH(Settlement_Bridge!$C$2,0)),1,0)</f>
        <v>0</v>
      </c>
      <c r="P4485" s="2" t="s">
        <v>12068</v>
      </c>
    </row>
    <row r="4486" spans="1:16" x14ac:dyDescent="0.25">
      <c r="A4486" s="2" t="s">
        <v>12069</v>
      </c>
      <c r="B4486" s="2" t="s">
        <v>7433</v>
      </c>
      <c r="C4486" s="8">
        <v>46255</v>
      </c>
      <c r="D4486" s="6">
        <v>46235</v>
      </c>
      <c r="E4486" s="2" t="s">
        <v>260</v>
      </c>
      <c r="F4486" s="2" t="s">
        <v>12070</v>
      </c>
      <c r="G4486" s="6">
        <v>46235</v>
      </c>
      <c r="H4486" s="2" t="s">
        <v>71</v>
      </c>
      <c r="I4486" s="2" t="s">
        <v>39</v>
      </c>
      <c r="J4486" s="9">
        <v>7247.768</v>
      </c>
      <c r="K4486" s="7">
        <v>1</v>
      </c>
      <c r="L4486" s="9">
        <v>7247.77</v>
      </c>
      <c r="M4486" s="9">
        <v>7247.77</v>
      </c>
      <c r="N4486" s="9">
        <v>3.99</v>
      </c>
      <c r="O4486" s="10">
        <f>IF(AND(OR(H4486="APPROVED",H4486="SCHEDULED"),COUNTIFS(tblSource[EventID],F4486,tblSource[ReleaseStatus],"APPROVED")=1,COUNTIFS(Period_Status!$A$2:$A$8,G4486,Period_Status!$B$2:$B$8,"ActualClosed")=1,C4486&gt;EOMONTH(Settlement_Bridge!$C$2,0)),1,0)</f>
        <v>0</v>
      </c>
      <c r="P4486" s="2" t="s">
        <v>12071</v>
      </c>
    </row>
    <row r="4487" spans="1:16" x14ac:dyDescent="0.25">
      <c r="A4487" s="2" t="s">
        <v>12072</v>
      </c>
      <c r="B4487" s="2" t="s">
        <v>7433</v>
      </c>
      <c r="C4487" s="8">
        <v>46280</v>
      </c>
      <c r="D4487" s="6">
        <v>46266</v>
      </c>
      <c r="E4487" s="2" t="s">
        <v>260</v>
      </c>
      <c r="F4487" s="2" t="s">
        <v>12070</v>
      </c>
      <c r="G4487" s="6">
        <v>46235</v>
      </c>
      <c r="H4487" s="2" t="s">
        <v>176</v>
      </c>
      <c r="I4487" s="2" t="s">
        <v>39</v>
      </c>
      <c r="J4487" s="9">
        <v>10871.652</v>
      </c>
      <c r="K4487" s="7">
        <v>1</v>
      </c>
      <c r="L4487" s="9">
        <v>10871.65</v>
      </c>
      <c r="M4487" s="9">
        <v>10871.65</v>
      </c>
      <c r="N4487" s="9">
        <v>5.98</v>
      </c>
      <c r="O4487" s="10">
        <f>IF(AND(OR(H4487="APPROVED",H4487="SCHEDULED"),COUNTIFS(tblSource[EventID],F4487,tblSource[ReleaseStatus],"APPROVED")=1,COUNTIFS(Period_Status!$A$2:$A$8,G4487,Period_Status!$B$2:$B$8,"ActualClosed")=1,C4487&gt;EOMONTH(Settlement_Bridge!$C$2,0)),1,0)</f>
        <v>0</v>
      </c>
      <c r="P4487" s="2" t="s">
        <v>12073</v>
      </c>
    </row>
    <row r="4488" spans="1:16" x14ac:dyDescent="0.25">
      <c r="A4488" s="2" t="s">
        <v>12074</v>
      </c>
      <c r="B4488" s="2" t="s">
        <v>7433</v>
      </c>
      <c r="C4488" s="8">
        <v>46256</v>
      </c>
      <c r="D4488" s="6">
        <v>46235</v>
      </c>
      <c r="E4488" s="2" t="s">
        <v>260</v>
      </c>
      <c r="F4488" s="2" t="s">
        <v>12075</v>
      </c>
      <c r="G4488" s="6">
        <v>46235</v>
      </c>
      <c r="H4488" s="2" t="s">
        <v>71</v>
      </c>
      <c r="I4488" s="2" t="s">
        <v>76</v>
      </c>
      <c r="J4488" s="9">
        <v>119650341.463415</v>
      </c>
      <c r="K4488" s="7">
        <v>6.1500000000000004E-5</v>
      </c>
      <c r="L4488" s="9">
        <v>7358.5</v>
      </c>
      <c r="M4488" s="9">
        <v>7358.5</v>
      </c>
      <c r="N4488" s="9">
        <v>4.05</v>
      </c>
      <c r="O4488" s="10">
        <f>IF(AND(OR(H4488="APPROVED",H4488="SCHEDULED"),COUNTIFS(tblSource[EventID],F4488,tblSource[ReleaseStatus],"APPROVED")=1,COUNTIFS(Period_Status!$A$2:$A$8,G4488,Period_Status!$B$2:$B$8,"ActualClosed")=1,C4488&gt;EOMONTH(Settlement_Bridge!$C$2,0)),1,0)</f>
        <v>0</v>
      </c>
      <c r="P4488" s="2" t="s">
        <v>12076</v>
      </c>
    </row>
    <row r="4489" spans="1:16" x14ac:dyDescent="0.25">
      <c r="A4489" s="2" t="s">
        <v>12077</v>
      </c>
      <c r="B4489" s="2" t="s">
        <v>7433</v>
      </c>
      <c r="C4489" s="8">
        <v>46281</v>
      </c>
      <c r="D4489" s="6">
        <v>46266</v>
      </c>
      <c r="E4489" s="2" t="s">
        <v>260</v>
      </c>
      <c r="F4489" s="2" t="s">
        <v>12075</v>
      </c>
      <c r="G4489" s="6">
        <v>46235</v>
      </c>
      <c r="H4489" s="2" t="s">
        <v>176</v>
      </c>
      <c r="I4489" s="2" t="s">
        <v>76</v>
      </c>
      <c r="J4489" s="9">
        <v>179475512.195122</v>
      </c>
      <c r="K4489" s="7">
        <v>6.1299999999999999E-5</v>
      </c>
      <c r="L4489" s="9">
        <v>11001.85</v>
      </c>
      <c r="M4489" s="9">
        <v>11037.74</v>
      </c>
      <c r="N4489" s="9">
        <v>6.05</v>
      </c>
      <c r="O4489" s="10">
        <f>IF(AND(OR(H4489="APPROVED",H4489="SCHEDULED"),COUNTIFS(tblSource[EventID],F4489,tblSource[ReleaseStatus],"APPROVED")=1,COUNTIFS(Period_Status!$A$2:$A$8,G4489,Period_Status!$B$2:$B$8,"ActualClosed")=1,C4489&gt;EOMONTH(Settlement_Bridge!$C$2,0)),1,0)</f>
        <v>0</v>
      </c>
      <c r="P4489" s="2" t="s">
        <v>12078</v>
      </c>
    </row>
    <row r="4490" spans="1:16" x14ac:dyDescent="0.25">
      <c r="A4490" s="2" t="s">
        <v>12079</v>
      </c>
      <c r="B4490" s="2" t="s">
        <v>7433</v>
      </c>
      <c r="C4490" s="8">
        <v>46257</v>
      </c>
      <c r="D4490" s="6">
        <v>46235</v>
      </c>
      <c r="E4490" s="2" t="s">
        <v>260</v>
      </c>
      <c r="F4490" s="2" t="s">
        <v>12080</v>
      </c>
      <c r="G4490" s="6">
        <v>46235</v>
      </c>
      <c r="H4490" s="2" t="s">
        <v>71</v>
      </c>
      <c r="I4490" s="2" t="s">
        <v>70</v>
      </c>
      <c r="J4490" s="9">
        <v>11491.113846</v>
      </c>
      <c r="K4490" s="7">
        <v>0.65</v>
      </c>
      <c r="L4490" s="9">
        <v>7469.22</v>
      </c>
      <c r="M4490" s="9">
        <v>7469.22</v>
      </c>
      <c r="N4490" s="9">
        <v>4.1100000000000003</v>
      </c>
      <c r="O4490" s="10">
        <f>IF(AND(OR(H4490="APPROVED",H4490="SCHEDULED"),COUNTIFS(tblSource[EventID],F4490,tblSource[ReleaseStatus],"APPROVED")=1,COUNTIFS(Period_Status!$A$2:$A$8,G4490,Period_Status!$B$2:$B$8,"ActualClosed")=1,C4490&gt;EOMONTH(Settlement_Bridge!$C$2,0)),1,0)</f>
        <v>0</v>
      </c>
      <c r="P4490" s="2" t="s">
        <v>12081</v>
      </c>
    </row>
    <row r="4491" spans="1:16" x14ac:dyDescent="0.25">
      <c r="A4491" s="2" t="s">
        <v>12082</v>
      </c>
      <c r="B4491" s="2" t="s">
        <v>7433</v>
      </c>
      <c r="C4491" s="8">
        <v>46282</v>
      </c>
      <c r="D4491" s="6">
        <v>46266</v>
      </c>
      <c r="E4491" s="2" t="s">
        <v>260</v>
      </c>
      <c r="F4491" s="2" t="s">
        <v>12080</v>
      </c>
      <c r="G4491" s="6">
        <v>46235</v>
      </c>
      <c r="H4491" s="2" t="s">
        <v>176</v>
      </c>
      <c r="I4491" s="2" t="s">
        <v>70</v>
      </c>
      <c r="J4491" s="9">
        <v>17236.670769</v>
      </c>
      <c r="K4491" s="7">
        <v>0.65100000000000002</v>
      </c>
      <c r="L4491" s="9">
        <v>11221.07</v>
      </c>
      <c r="M4491" s="9">
        <v>11203.84</v>
      </c>
      <c r="N4491" s="9">
        <v>6.17</v>
      </c>
      <c r="O4491" s="10">
        <f>IF(AND(OR(H4491="APPROVED",H4491="SCHEDULED"),COUNTIFS(tblSource[EventID],F4491,tblSource[ReleaseStatus],"APPROVED")=1,COUNTIFS(Period_Status!$A$2:$A$8,G4491,Period_Status!$B$2:$B$8,"ActualClosed")=1,C4491&gt;EOMONTH(Settlement_Bridge!$C$2,0)),1,0)</f>
        <v>0</v>
      </c>
      <c r="P4491" s="2" t="s">
        <v>12083</v>
      </c>
    </row>
    <row r="4492" spans="1:16" x14ac:dyDescent="0.25">
      <c r="A4492" s="2" t="s">
        <v>12084</v>
      </c>
      <c r="B4492" s="2" t="s">
        <v>7433</v>
      </c>
      <c r="C4492" s="8">
        <v>46258</v>
      </c>
      <c r="D4492" s="6">
        <v>46235</v>
      </c>
      <c r="E4492" s="2" t="s">
        <v>260</v>
      </c>
      <c r="F4492" s="2" t="s">
        <v>12085</v>
      </c>
      <c r="G4492" s="6">
        <v>46235</v>
      </c>
      <c r="H4492" s="2" t="s">
        <v>71</v>
      </c>
      <c r="I4492" s="2" t="s">
        <v>39</v>
      </c>
      <c r="J4492" s="9">
        <v>7579.9480000000003</v>
      </c>
      <c r="K4492" s="7">
        <v>1</v>
      </c>
      <c r="L4492" s="9">
        <v>7579.95</v>
      </c>
      <c r="M4492" s="9">
        <v>7579.95</v>
      </c>
      <c r="N4492" s="9">
        <v>4.17</v>
      </c>
      <c r="O4492" s="10">
        <f>IF(AND(OR(H4492="APPROVED",H4492="SCHEDULED"),COUNTIFS(tblSource[EventID],F4492,tblSource[ReleaseStatus],"APPROVED")=1,COUNTIFS(Period_Status!$A$2:$A$8,G4492,Period_Status!$B$2:$B$8,"ActualClosed")=1,C4492&gt;EOMONTH(Settlement_Bridge!$C$2,0)),1,0)</f>
        <v>0</v>
      </c>
      <c r="P4492" s="2" t="s">
        <v>12086</v>
      </c>
    </row>
    <row r="4493" spans="1:16" x14ac:dyDescent="0.25">
      <c r="A4493" s="2" t="s">
        <v>12087</v>
      </c>
      <c r="B4493" s="2" t="s">
        <v>7433</v>
      </c>
      <c r="C4493" s="8">
        <v>46283</v>
      </c>
      <c r="D4493" s="6">
        <v>46266</v>
      </c>
      <c r="E4493" s="2" t="s">
        <v>260</v>
      </c>
      <c r="F4493" s="2" t="s">
        <v>12085</v>
      </c>
      <c r="G4493" s="6">
        <v>46235</v>
      </c>
      <c r="H4493" s="2" t="s">
        <v>176</v>
      </c>
      <c r="I4493" s="2" t="s">
        <v>39</v>
      </c>
      <c r="J4493" s="9">
        <v>11369.922</v>
      </c>
      <c r="K4493" s="7">
        <v>1</v>
      </c>
      <c r="L4493" s="9">
        <v>11369.92</v>
      </c>
      <c r="M4493" s="9">
        <v>11369.92</v>
      </c>
      <c r="N4493" s="9">
        <v>6.25</v>
      </c>
      <c r="O4493" s="10">
        <f>IF(AND(OR(H4493="APPROVED",H4493="SCHEDULED"),COUNTIFS(tblSource[EventID],F4493,tblSource[ReleaseStatus],"APPROVED")=1,COUNTIFS(Period_Status!$A$2:$A$8,G4493,Period_Status!$B$2:$B$8,"ActualClosed")=1,C4493&gt;EOMONTH(Settlement_Bridge!$C$2,0)),1,0)</f>
        <v>0</v>
      </c>
      <c r="P4493" s="2" t="s">
        <v>12088</v>
      </c>
    </row>
    <row r="4494" spans="1:16" x14ac:dyDescent="0.25">
      <c r="A4494" s="2" t="s">
        <v>12089</v>
      </c>
      <c r="B4494" s="2" t="s">
        <v>7433</v>
      </c>
      <c r="C4494" s="8">
        <v>46259</v>
      </c>
      <c r="D4494" s="6">
        <v>46235</v>
      </c>
      <c r="E4494" s="2" t="s">
        <v>260</v>
      </c>
      <c r="F4494" s="2" t="s">
        <v>12090</v>
      </c>
      <c r="G4494" s="6">
        <v>46235</v>
      </c>
      <c r="H4494" s="2" t="s">
        <v>71</v>
      </c>
      <c r="I4494" s="2" t="s">
        <v>76</v>
      </c>
      <c r="J4494" s="9">
        <v>125051642.27642301</v>
      </c>
      <c r="K4494" s="7">
        <v>6.1500000000000004E-5</v>
      </c>
      <c r="L4494" s="9">
        <v>7690.68</v>
      </c>
      <c r="M4494" s="9">
        <v>7690.68</v>
      </c>
      <c r="N4494" s="9">
        <v>4.2300000000000004</v>
      </c>
      <c r="O4494" s="10">
        <f>IF(AND(OR(H4494="APPROVED",H4494="SCHEDULED"),COUNTIFS(tblSource[EventID],F4494,tblSource[ReleaseStatus],"APPROVED")=1,COUNTIFS(Period_Status!$A$2:$A$8,G4494,Period_Status!$B$2:$B$8,"ActualClosed")=1,C4494&gt;EOMONTH(Settlement_Bridge!$C$2,0)),1,0)</f>
        <v>0</v>
      </c>
      <c r="P4494" s="2" t="s">
        <v>12091</v>
      </c>
    </row>
    <row r="4495" spans="1:16" x14ac:dyDescent="0.25">
      <c r="A4495" s="2" t="s">
        <v>12092</v>
      </c>
      <c r="B4495" s="2" t="s">
        <v>7433</v>
      </c>
      <c r="C4495" s="8">
        <v>46284</v>
      </c>
      <c r="D4495" s="6">
        <v>46266</v>
      </c>
      <c r="E4495" s="2" t="s">
        <v>260</v>
      </c>
      <c r="F4495" s="2" t="s">
        <v>12090</v>
      </c>
      <c r="G4495" s="6">
        <v>46235</v>
      </c>
      <c r="H4495" s="2" t="s">
        <v>176</v>
      </c>
      <c r="I4495" s="2" t="s">
        <v>76</v>
      </c>
      <c r="J4495" s="9">
        <v>187577463.41463399</v>
      </c>
      <c r="K4495" s="7">
        <v>6.1299999999999999E-5</v>
      </c>
      <c r="L4495" s="9">
        <v>11498.5</v>
      </c>
      <c r="M4495" s="9">
        <v>11536.01</v>
      </c>
      <c r="N4495" s="9">
        <v>6.32</v>
      </c>
      <c r="O4495" s="10">
        <f>IF(AND(OR(H4495="APPROVED",H4495="SCHEDULED"),COUNTIFS(tblSource[EventID],F4495,tblSource[ReleaseStatus],"APPROVED")=1,COUNTIFS(Period_Status!$A$2:$A$8,G4495,Period_Status!$B$2:$B$8,"ActualClosed")=1,C4495&gt;EOMONTH(Settlement_Bridge!$C$2,0)),1,0)</f>
        <v>0</v>
      </c>
      <c r="P4495" s="2" t="s">
        <v>12093</v>
      </c>
    </row>
    <row r="4496" spans="1:16" x14ac:dyDescent="0.25">
      <c r="A4496" s="2" t="s">
        <v>12094</v>
      </c>
      <c r="B4496" s="2" t="s">
        <v>7433</v>
      </c>
      <c r="C4496" s="8">
        <v>46260</v>
      </c>
      <c r="D4496" s="6">
        <v>46235</v>
      </c>
      <c r="E4496" s="2" t="s">
        <v>260</v>
      </c>
      <c r="F4496" s="2" t="s">
        <v>12095</v>
      </c>
      <c r="G4496" s="6">
        <v>46235</v>
      </c>
      <c r="H4496" s="2" t="s">
        <v>71</v>
      </c>
      <c r="I4496" s="2" t="s">
        <v>70</v>
      </c>
      <c r="J4496" s="9">
        <v>12002.153845999999</v>
      </c>
      <c r="K4496" s="7">
        <v>0.65</v>
      </c>
      <c r="L4496" s="9">
        <v>7801.4</v>
      </c>
      <c r="M4496" s="9">
        <v>7801.4</v>
      </c>
      <c r="N4496" s="9">
        <v>4.29</v>
      </c>
      <c r="O4496" s="10">
        <f>IF(AND(OR(H4496="APPROVED",H4496="SCHEDULED"),COUNTIFS(tblSource[EventID],F4496,tblSource[ReleaseStatus],"APPROVED")=1,COUNTIFS(Period_Status!$A$2:$A$8,G4496,Period_Status!$B$2:$B$8,"ActualClosed")=1,C4496&gt;EOMONTH(Settlement_Bridge!$C$2,0)),1,0)</f>
        <v>0</v>
      </c>
      <c r="P4496" s="2" t="s">
        <v>12096</v>
      </c>
    </row>
    <row r="4497" spans="1:16" x14ac:dyDescent="0.25">
      <c r="A4497" s="2" t="s">
        <v>12097</v>
      </c>
      <c r="B4497" s="2" t="s">
        <v>7433</v>
      </c>
      <c r="C4497" s="8">
        <v>46285</v>
      </c>
      <c r="D4497" s="6">
        <v>46266</v>
      </c>
      <c r="E4497" s="2" t="s">
        <v>260</v>
      </c>
      <c r="F4497" s="2" t="s">
        <v>12095</v>
      </c>
      <c r="G4497" s="6">
        <v>46235</v>
      </c>
      <c r="H4497" s="2" t="s">
        <v>176</v>
      </c>
      <c r="I4497" s="2" t="s">
        <v>70</v>
      </c>
      <c r="J4497" s="9">
        <v>18003.230769000002</v>
      </c>
      <c r="K4497" s="7">
        <v>0.65100000000000002</v>
      </c>
      <c r="L4497" s="9">
        <v>11720.1</v>
      </c>
      <c r="M4497" s="9">
        <v>11702.1</v>
      </c>
      <c r="N4497" s="9">
        <v>6.45</v>
      </c>
      <c r="O4497" s="10">
        <f>IF(AND(OR(H4497="APPROVED",H4497="SCHEDULED"),COUNTIFS(tblSource[EventID],F4497,tblSource[ReleaseStatus],"APPROVED")=1,COUNTIFS(Period_Status!$A$2:$A$8,G4497,Period_Status!$B$2:$B$8,"ActualClosed")=1,C4497&gt;EOMONTH(Settlement_Bridge!$C$2,0)),1,0)</f>
        <v>0</v>
      </c>
      <c r="P4497" s="2" t="s">
        <v>12098</v>
      </c>
    </row>
    <row r="4498" spans="1:16" x14ac:dyDescent="0.25">
      <c r="A4498" s="2" t="s">
        <v>12099</v>
      </c>
      <c r="B4498" s="2" t="s">
        <v>7433</v>
      </c>
      <c r="C4498" s="8">
        <v>46261</v>
      </c>
      <c r="D4498" s="6">
        <v>46235</v>
      </c>
      <c r="E4498" s="2" t="s">
        <v>260</v>
      </c>
      <c r="F4498" s="2" t="s">
        <v>12100</v>
      </c>
      <c r="G4498" s="6">
        <v>46235</v>
      </c>
      <c r="H4498" s="2" t="s">
        <v>71</v>
      </c>
      <c r="I4498" s="2" t="s">
        <v>39</v>
      </c>
      <c r="J4498" s="9">
        <v>-19780.32</v>
      </c>
      <c r="K4498" s="7">
        <v>1</v>
      </c>
      <c r="L4498" s="9">
        <v>-19780.32</v>
      </c>
      <c r="M4498" s="9">
        <v>-19780.32</v>
      </c>
      <c r="N4498" s="9">
        <v>0</v>
      </c>
      <c r="O4498" s="10">
        <f>IF(AND(OR(H4498="APPROVED",H4498="SCHEDULED"),COUNTIFS(tblSource[EventID],F4498,tblSource[ReleaseStatus],"APPROVED")=1,COUNTIFS(Period_Status!$A$2:$A$8,G4498,Period_Status!$B$2:$B$8,"ActualClosed")=1,C4498&gt;EOMONTH(Settlement_Bridge!$C$2,0)),1,0)</f>
        <v>0</v>
      </c>
      <c r="P4498" s="2" t="s">
        <v>12101</v>
      </c>
    </row>
    <row r="4499" spans="1:16" x14ac:dyDescent="0.25">
      <c r="A4499" s="2" t="s">
        <v>12102</v>
      </c>
      <c r="B4499" s="2" t="s">
        <v>7433</v>
      </c>
      <c r="C4499" s="8">
        <v>46262</v>
      </c>
      <c r="D4499" s="6">
        <v>46235</v>
      </c>
      <c r="E4499" s="2" t="s">
        <v>260</v>
      </c>
      <c r="F4499" s="2" t="s">
        <v>12103</v>
      </c>
      <c r="G4499" s="6">
        <v>46235</v>
      </c>
      <c r="H4499" s="2" t="s">
        <v>71</v>
      </c>
      <c r="I4499" s="2" t="s">
        <v>76</v>
      </c>
      <c r="J4499" s="9">
        <v>130452943.089431</v>
      </c>
      <c r="K4499" s="7">
        <v>6.1500000000000004E-5</v>
      </c>
      <c r="L4499" s="9">
        <v>8022.86</v>
      </c>
      <c r="M4499" s="9">
        <v>8022.86</v>
      </c>
      <c r="N4499" s="9">
        <v>4.41</v>
      </c>
      <c r="O4499" s="10">
        <f>IF(AND(OR(H4499="APPROVED",H4499="SCHEDULED"),COUNTIFS(tblSource[EventID],F4499,tblSource[ReleaseStatus],"APPROVED")=1,COUNTIFS(Period_Status!$A$2:$A$8,G4499,Period_Status!$B$2:$B$8,"ActualClosed")=1,C4499&gt;EOMONTH(Settlement_Bridge!$C$2,0)),1,0)</f>
        <v>0</v>
      </c>
      <c r="P4499" s="2" t="s">
        <v>12104</v>
      </c>
    </row>
    <row r="4500" spans="1:16" x14ac:dyDescent="0.25">
      <c r="A4500" s="2" t="s">
        <v>12105</v>
      </c>
      <c r="B4500" s="2" t="s">
        <v>7433</v>
      </c>
      <c r="C4500" s="8">
        <v>46287</v>
      </c>
      <c r="D4500" s="6">
        <v>46266</v>
      </c>
      <c r="E4500" s="2" t="s">
        <v>260</v>
      </c>
      <c r="F4500" s="2" t="s">
        <v>12103</v>
      </c>
      <c r="G4500" s="6">
        <v>46235</v>
      </c>
      <c r="H4500" s="2" t="s">
        <v>176</v>
      </c>
      <c r="I4500" s="2" t="s">
        <v>76</v>
      </c>
      <c r="J4500" s="9">
        <v>195679414.634146</v>
      </c>
      <c r="K4500" s="7">
        <v>6.1299999999999999E-5</v>
      </c>
      <c r="L4500" s="9">
        <v>11995.15</v>
      </c>
      <c r="M4500" s="9">
        <v>12034.28</v>
      </c>
      <c r="N4500" s="9">
        <v>6.6</v>
      </c>
      <c r="O4500" s="10">
        <f>IF(AND(OR(H4500="APPROVED",H4500="SCHEDULED"),COUNTIFS(tblSource[EventID],F4500,tblSource[ReleaseStatus],"APPROVED")=1,COUNTIFS(Period_Status!$A$2:$A$8,G4500,Period_Status!$B$2:$B$8,"ActualClosed")=1,C4500&gt;EOMONTH(Settlement_Bridge!$C$2,0)),1,0)</f>
        <v>0</v>
      </c>
      <c r="P4500" s="2" t="s">
        <v>12106</v>
      </c>
    </row>
    <row r="4501" spans="1:16" x14ac:dyDescent="0.25">
      <c r="A4501" s="2" t="s">
        <v>12107</v>
      </c>
      <c r="B4501" s="2" t="s">
        <v>7433</v>
      </c>
      <c r="C4501" s="8">
        <v>46263</v>
      </c>
      <c r="D4501" s="6">
        <v>46235</v>
      </c>
      <c r="E4501" s="2" t="s">
        <v>260</v>
      </c>
      <c r="F4501" s="2" t="s">
        <v>12108</v>
      </c>
      <c r="G4501" s="6">
        <v>46235</v>
      </c>
      <c r="H4501" s="2" t="s">
        <v>71</v>
      </c>
      <c r="I4501" s="2" t="s">
        <v>70</v>
      </c>
      <c r="J4501" s="9">
        <v>12513.2</v>
      </c>
      <c r="K4501" s="7">
        <v>0.65</v>
      </c>
      <c r="L4501" s="9">
        <v>8133.58</v>
      </c>
      <c r="M4501" s="9">
        <v>8133.58</v>
      </c>
      <c r="N4501" s="9">
        <v>4.47</v>
      </c>
      <c r="O4501" s="10">
        <f>IF(AND(OR(H4501="APPROVED",H4501="SCHEDULED"),COUNTIFS(tblSource[EventID],F4501,tblSource[ReleaseStatus],"APPROVED")=1,COUNTIFS(Period_Status!$A$2:$A$8,G4501,Period_Status!$B$2:$B$8,"ActualClosed")=1,C4501&gt;EOMONTH(Settlement_Bridge!$C$2,0)),1,0)</f>
        <v>0</v>
      </c>
      <c r="P4501" s="2" t="s">
        <v>12109</v>
      </c>
    </row>
    <row r="4502" spans="1:16" x14ac:dyDescent="0.25">
      <c r="A4502" s="2" t="s">
        <v>12110</v>
      </c>
      <c r="B4502" s="2" t="s">
        <v>7433</v>
      </c>
      <c r="C4502" s="8">
        <v>46288</v>
      </c>
      <c r="D4502" s="6">
        <v>46266</v>
      </c>
      <c r="E4502" s="2" t="s">
        <v>260</v>
      </c>
      <c r="F4502" s="2" t="s">
        <v>12108</v>
      </c>
      <c r="G4502" s="6">
        <v>46235</v>
      </c>
      <c r="H4502" s="2" t="s">
        <v>176</v>
      </c>
      <c r="I4502" s="2" t="s">
        <v>70</v>
      </c>
      <c r="J4502" s="9">
        <v>18769.8</v>
      </c>
      <c r="K4502" s="7">
        <v>0.65100000000000002</v>
      </c>
      <c r="L4502" s="9">
        <v>12219.14</v>
      </c>
      <c r="M4502" s="9">
        <v>12200.37</v>
      </c>
      <c r="N4502" s="9">
        <v>6.72</v>
      </c>
      <c r="O4502" s="10">
        <f>IF(AND(OR(H4502="APPROVED",H4502="SCHEDULED"),COUNTIFS(tblSource[EventID],F4502,tblSource[ReleaseStatus],"APPROVED")=1,COUNTIFS(Period_Status!$A$2:$A$8,G4502,Period_Status!$B$2:$B$8,"ActualClosed")=1,C4502&gt;EOMONTH(Settlement_Bridge!$C$2,0)),1,0)</f>
        <v>0</v>
      </c>
      <c r="P4502" s="2" t="s">
        <v>12111</v>
      </c>
    </row>
    <row r="4503" spans="1:16" x14ac:dyDescent="0.25">
      <c r="A4503" s="2" t="s">
        <v>12112</v>
      </c>
      <c r="B4503" s="2" t="s">
        <v>7433</v>
      </c>
      <c r="C4503" s="8">
        <v>46264</v>
      </c>
      <c r="D4503" s="6">
        <v>46235</v>
      </c>
      <c r="E4503" s="2" t="s">
        <v>260</v>
      </c>
      <c r="F4503" s="2" t="s">
        <v>12113</v>
      </c>
      <c r="G4503" s="6">
        <v>46235</v>
      </c>
      <c r="H4503" s="2" t="s">
        <v>71</v>
      </c>
      <c r="I4503" s="2" t="s">
        <v>39</v>
      </c>
      <c r="J4503" s="9">
        <v>8244.3080000000009</v>
      </c>
      <c r="K4503" s="7">
        <v>1</v>
      </c>
      <c r="L4503" s="9">
        <v>8244.31</v>
      </c>
      <c r="M4503" s="9">
        <v>8244.31</v>
      </c>
      <c r="N4503" s="9">
        <v>4.53</v>
      </c>
      <c r="O4503" s="10">
        <f>IF(AND(OR(H4503="APPROVED",H4503="SCHEDULED"),COUNTIFS(tblSource[EventID],F4503,tblSource[ReleaseStatus],"APPROVED")=1,COUNTIFS(Period_Status!$A$2:$A$8,G4503,Period_Status!$B$2:$B$8,"ActualClosed")=1,C4503&gt;EOMONTH(Settlement_Bridge!$C$2,0)),1,0)</f>
        <v>0</v>
      </c>
      <c r="P4503" s="2" t="s">
        <v>12114</v>
      </c>
    </row>
    <row r="4504" spans="1:16" x14ac:dyDescent="0.25">
      <c r="A4504" s="2" t="s">
        <v>12115</v>
      </c>
      <c r="B4504" s="2" t="s">
        <v>7433</v>
      </c>
      <c r="C4504" s="8">
        <v>46289</v>
      </c>
      <c r="D4504" s="6">
        <v>46266</v>
      </c>
      <c r="E4504" s="2" t="s">
        <v>260</v>
      </c>
      <c r="F4504" s="2" t="s">
        <v>12113</v>
      </c>
      <c r="G4504" s="6">
        <v>46235</v>
      </c>
      <c r="H4504" s="2" t="s">
        <v>176</v>
      </c>
      <c r="I4504" s="2" t="s">
        <v>39</v>
      </c>
      <c r="J4504" s="9">
        <v>12366.462</v>
      </c>
      <c r="K4504" s="7">
        <v>1</v>
      </c>
      <c r="L4504" s="9">
        <v>12366.46</v>
      </c>
      <c r="M4504" s="9">
        <v>12366.46</v>
      </c>
      <c r="N4504" s="9">
        <v>6.8</v>
      </c>
      <c r="O4504" s="10">
        <f>IF(AND(OR(H4504="APPROVED",H4504="SCHEDULED"),COUNTIFS(tblSource[EventID],F4504,tblSource[ReleaseStatus],"APPROVED")=1,COUNTIFS(Period_Status!$A$2:$A$8,G4504,Period_Status!$B$2:$B$8,"ActualClosed")=1,C4504&gt;EOMONTH(Settlement_Bridge!$C$2,0)),1,0)</f>
        <v>0</v>
      </c>
      <c r="P4504" s="2" t="s">
        <v>12116</v>
      </c>
    </row>
    <row r="4505" spans="1:16" x14ac:dyDescent="0.25">
      <c r="A4505" s="2" t="s">
        <v>12117</v>
      </c>
      <c r="B4505" s="2" t="s">
        <v>7433</v>
      </c>
      <c r="C4505" s="8">
        <v>46265</v>
      </c>
      <c r="D4505" s="6">
        <v>46235</v>
      </c>
      <c r="E4505" s="2" t="s">
        <v>260</v>
      </c>
      <c r="F4505" s="2" t="s">
        <v>12118</v>
      </c>
      <c r="G4505" s="6">
        <v>46235</v>
      </c>
      <c r="H4505" s="2" t="s">
        <v>71</v>
      </c>
      <c r="I4505" s="2" t="s">
        <v>76</v>
      </c>
      <c r="J4505" s="9">
        <v>135854178.86178899</v>
      </c>
      <c r="K4505" s="7">
        <v>6.1500000000000004E-5</v>
      </c>
      <c r="L4505" s="9">
        <v>8355.0300000000007</v>
      </c>
      <c r="M4505" s="9">
        <v>8355.0300000000007</v>
      </c>
      <c r="N4505" s="9">
        <v>4.5999999999999996</v>
      </c>
      <c r="O4505" s="10">
        <f>IF(AND(OR(H4505="APPROVED",H4505="SCHEDULED"),COUNTIFS(tblSource[EventID],F4505,tblSource[ReleaseStatus],"APPROVED")=1,COUNTIFS(Period_Status!$A$2:$A$8,G4505,Period_Status!$B$2:$B$8,"ActualClosed")=1,C4505&gt;EOMONTH(Settlement_Bridge!$C$2,0)),1,0)</f>
        <v>0</v>
      </c>
      <c r="P4505" s="2" t="s">
        <v>12119</v>
      </c>
    </row>
    <row r="4506" spans="1:16" x14ac:dyDescent="0.25">
      <c r="A4506" s="2" t="s">
        <v>12120</v>
      </c>
      <c r="B4506" s="2" t="s">
        <v>7433</v>
      </c>
      <c r="C4506" s="8">
        <v>46290</v>
      </c>
      <c r="D4506" s="6">
        <v>46266</v>
      </c>
      <c r="E4506" s="2" t="s">
        <v>260</v>
      </c>
      <c r="F4506" s="2" t="s">
        <v>12118</v>
      </c>
      <c r="G4506" s="6">
        <v>46235</v>
      </c>
      <c r="H4506" s="2" t="s">
        <v>176</v>
      </c>
      <c r="I4506" s="2" t="s">
        <v>76</v>
      </c>
      <c r="J4506" s="9">
        <v>203781268.29268301</v>
      </c>
      <c r="K4506" s="7">
        <v>6.1299999999999999E-5</v>
      </c>
      <c r="L4506" s="9">
        <v>12491.79</v>
      </c>
      <c r="M4506" s="9">
        <v>12532.55</v>
      </c>
      <c r="N4506" s="9">
        <v>6.87</v>
      </c>
      <c r="O4506" s="10">
        <f>IF(AND(OR(H4506="APPROVED",H4506="SCHEDULED"),COUNTIFS(tblSource[EventID],F4506,tblSource[ReleaseStatus],"APPROVED")=1,COUNTIFS(Period_Status!$A$2:$A$8,G4506,Period_Status!$B$2:$B$8,"ActualClosed")=1,C4506&gt;EOMONTH(Settlement_Bridge!$C$2,0)),1,0)</f>
        <v>0</v>
      </c>
      <c r="P4506" s="2" t="s">
        <v>12121</v>
      </c>
    </row>
    <row r="4507" spans="1:16" x14ac:dyDescent="0.25">
      <c r="A4507" s="2" t="s">
        <v>12122</v>
      </c>
      <c r="B4507" s="2" t="s">
        <v>7433</v>
      </c>
      <c r="C4507" s="8">
        <v>46266</v>
      </c>
      <c r="D4507" s="6">
        <v>46266</v>
      </c>
      <c r="E4507" s="2" t="s">
        <v>260</v>
      </c>
      <c r="F4507" s="2" t="s">
        <v>12123</v>
      </c>
      <c r="G4507" s="6">
        <v>46235</v>
      </c>
      <c r="H4507" s="2" t="s">
        <v>176</v>
      </c>
      <c r="I4507" s="2" t="s">
        <v>70</v>
      </c>
      <c r="J4507" s="9">
        <v>13024.246154</v>
      </c>
      <c r="K4507" s="7">
        <v>0.65100000000000002</v>
      </c>
      <c r="L4507" s="9">
        <v>8478.7800000000007</v>
      </c>
      <c r="M4507" s="9">
        <v>8465.76</v>
      </c>
      <c r="N4507" s="9">
        <v>4.66</v>
      </c>
      <c r="O4507" s="10">
        <f>IF(AND(OR(H4507="APPROVED",H4507="SCHEDULED"),COUNTIFS(tblSource[EventID],F4507,tblSource[ReleaseStatus],"APPROVED")=1,COUNTIFS(Period_Status!$A$2:$A$8,G4507,Period_Status!$B$2:$B$8,"ActualClosed")=1,C4507&gt;EOMONTH(Settlement_Bridge!$C$2,0)),1,0)</f>
        <v>0</v>
      </c>
      <c r="P4507" s="2" t="s">
        <v>12124</v>
      </c>
    </row>
    <row r="4508" spans="1:16" x14ac:dyDescent="0.25">
      <c r="A4508" s="2" t="s">
        <v>12125</v>
      </c>
      <c r="B4508" s="2" t="s">
        <v>7433</v>
      </c>
      <c r="C4508" s="8">
        <v>46291</v>
      </c>
      <c r="D4508" s="6">
        <v>46266</v>
      </c>
      <c r="E4508" s="2" t="s">
        <v>260</v>
      </c>
      <c r="F4508" s="2" t="s">
        <v>12123</v>
      </c>
      <c r="G4508" s="6">
        <v>46235</v>
      </c>
      <c r="H4508" s="2" t="s">
        <v>176</v>
      </c>
      <c r="I4508" s="2" t="s">
        <v>70</v>
      </c>
      <c r="J4508" s="9">
        <v>19536.369231000001</v>
      </c>
      <c r="K4508" s="7">
        <v>0.65100000000000002</v>
      </c>
      <c r="L4508" s="9">
        <v>12718.18</v>
      </c>
      <c r="M4508" s="9">
        <v>12698.64</v>
      </c>
      <c r="N4508" s="9">
        <v>6.99</v>
      </c>
      <c r="O4508" s="10">
        <f>IF(AND(OR(H4508="APPROVED",H4508="SCHEDULED"),COUNTIFS(tblSource[EventID],F4508,tblSource[ReleaseStatus],"APPROVED")=1,COUNTIFS(Period_Status!$A$2:$A$8,G4508,Period_Status!$B$2:$B$8,"ActualClosed")=1,C4508&gt;EOMONTH(Settlement_Bridge!$C$2,0)),1,0)</f>
        <v>0</v>
      </c>
      <c r="P4508" s="2" t="s">
        <v>12126</v>
      </c>
    </row>
    <row r="4509" spans="1:16" x14ac:dyDescent="0.25">
      <c r="A4509" s="2" t="s">
        <v>12127</v>
      </c>
      <c r="B4509" s="2" t="s">
        <v>7433</v>
      </c>
      <c r="C4509" s="8">
        <v>46267</v>
      </c>
      <c r="D4509" s="6">
        <v>46266</v>
      </c>
      <c r="E4509" s="2" t="s">
        <v>260</v>
      </c>
      <c r="F4509" s="2" t="s">
        <v>12128</v>
      </c>
      <c r="G4509" s="6">
        <v>46235</v>
      </c>
      <c r="H4509" s="2" t="s">
        <v>176</v>
      </c>
      <c r="I4509" s="2" t="s">
        <v>39</v>
      </c>
      <c r="J4509" s="9">
        <v>8576.4879999999994</v>
      </c>
      <c r="K4509" s="7">
        <v>1</v>
      </c>
      <c r="L4509" s="9">
        <v>8576.49</v>
      </c>
      <c r="M4509" s="9">
        <v>8576.49</v>
      </c>
      <c r="N4509" s="9">
        <v>4.72</v>
      </c>
      <c r="O4509" s="10">
        <f>IF(AND(OR(H4509="APPROVED",H4509="SCHEDULED"),COUNTIFS(tblSource[EventID],F4509,tblSource[ReleaseStatus],"APPROVED")=1,COUNTIFS(Period_Status!$A$2:$A$8,G4509,Period_Status!$B$2:$B$8,"ActualClosed")=1,C4509&gt;EOMONTH(Settlement_Bridge!$C$2,0)),1,0)</f>
        <v>0</v>
      </c>
      <c r="P4509" s="2" t="s">
        <v>12129</v>
      </c>
    </row>
    <row r="4510" spans="1:16" x14ac:dyDescent="0.25">
      <c r="A4510" s="2" t="s">
        <v>12130</v>
      </c>
      <c r="B4510" s="2" t="s">
        <v>7433</v>
      </c>
      <c r="C4510" s="8">
        <v>46292</v>
      </c>
      <c r="D4510" s="6">
        <v>46266</v>
      </c>
      <c r="E4510" s="2" t="s">
        <v>260</v>
      </c>
      <c r="F4510" s="2" t="s">
        <v>12128</v>
      </c>
      <c r="G4510" s="6">
        <v>46235</v>
      </c>
      <c r="H4510" s="2" t="s">
        <v>176</v>
      </c>
      <c r="I4510" s="2" t="s">
        <v>39</v>
      </c>
      <c r="J4510" s="9">
        <v>12864.732</v>
      </c>
      <c r="K4510" s="7">
        <v>1</v>
      </c>
      <c r="L4510" s="9">
        <v>12864.73</v>
      </c>
      <c r="M4510" s="9">
        <v>12864.73</v>
      </c>
      <c r="N4510" s="9">
        <v>7.08</v>
      </c>
      <c r="O4510" s="10">
        <f>IF(AND(OR(H4510="APPROVED",H4510="SCHEDULED"),COUNTIFS(tblSource[EventID],F4510,tblSource[ReleaseStatus],"APPROVED")=1,COUNTIFS(Period_Status!$A$2:$A$8,G4510,Period_Status!$B$2:$B$8,"ActualClosed")=1,C4510&gt;EOMONTH(Settlement_Bridge!$C$2,0)),1,0)</f>
        <v>0</v>
      </c>
      <c r="P4510" s="2" t="s">
        <v>12131</v>
      </c>
    </row>
    <row r="4511" spans="1:16" x14ac:dyDescent="0.25">
      <c r="A4511" s="2" t="s">
        <v>12132</v>
      </c>
      <c r="B4511" s="2" t="s">
        <v>7433</v>
      </c>
      <c r="C4511" s="8">
        <v>46268</v>
      </c>
      <c r="D4511" s="6">
        <v>46266</v>
      </c>
      <c r="E4511" s="2" t="s">
        <v>260</v>
      </c>
      <c r="F4511" s="2" t="s">
        <v>12133</v>
      </c>
      <c r="G4511" s="6">
        <v>46235</v>
      </c>
      <c r="H4511" s="2" t="s">
        <v>176</v>
      </c>
      <c r="I4511" s="2" t="s">
        <v>76</v>
      </c>
      <c r="J4511" s="9">
        <v>141255479.674797</v>
      </c>
      <c r="K4511" s="7">
        <v>6.1299999999999999E-5</v>
      </c>
      <c r="L4511" s="9">
        <v>8658.9599999999991</v>
      </c>
      <c r="M4511" s="9">
        <v>8687.2099999999991</v>
      </c>
      <c r="N4511" s="9">
        <v>4.76</v>
      </c>
      <c r="O4511" s="10">
        <f>IF(AND(OR(H4511="APPROVED",H4511="SCHEDULED"),COUNTIFS(tblSource[EventID],F4511,tblSource[ReleaseStatus],"APPROVED")=1,COUNTIFS(Period_Status!$A$2:$A$8,G4511,Period_Status!$B$2:$B$8,"ActualClosed")=1,C4511&gt;EOMONTH(Settlement_Bridge!$C$2,0)),1,0)</f>
        <v>0</v>
      </c>
      <c r="P4511" s="2" t="s">
        <v>12134</v>
      </c>
    </row>
    <row r="4512" spans="1:16" x14ac:dyDescent="0.25">
      <c r="A4512" s="2" t="s">
        <v>12135</v>
      </c>
      <c r="B4512" s="2" t="s">
        <v>7433</v>
      </c>
      <c r="C4512" s="8">
        <v>46293</v>
      </c>
      <c r="D4512" s="6">
        <v>46266</v>
      </c>
      <c r="E4512" s="2" t="s">
        <v>260</v>
      </c>
      <c r="F4512" s="2" t="s">
        <v>12133</v>
      </c>
      <c r="G4512" s="6">
        <v>46235</v>
      </c>
      <c r="H4512" s="2" t="s">
        <v>176</v>
      </c>
      <c r="I4512" s="2" t="s">
        <v>76</v>
      </c>
      <c r="J4512" s="9">
        <v>211883219.51219499</v>
      </c>
      <c r="K4512" s="7">
        <v>6.1299999999999999E-5</v>
      </c>
      <c r="L4512" s="9">
        <v>12988.44</v>
      </c>
      <c r="M4512" s="9">
        <v>13030.82</v>
      </c>
      <c r="N4512" s="9">
        <v>7.14</v>
      </c>
      <c r="O4512" s="10">
        <f>IF(AND(OR(H4512="APPROVED",H4512="SCHEDULED"),COUNTIFS(tblSource[EventID],F4512,tblSource[ReleaseStatus],"APPROVED")=1,COUNTIFS(Period_Status!$A$2:$A$8,G4512,Period_Status!$B$2:$B$8,"ActualClosed")=1,C4512&gt;EOMONTH(Settlement_Bridge!$C$2,0)),1,0)</f>
        <v>0</v>
      </c>
      <c r="P4512" s="2" t="s">
        <v>12136</v>
      </c>
    </row>
    <row r="4513" spans="1:16" x14ac:dyDescent="0.25">
      <c r="A4513" s="2" t="s">
        <v>12137</v>
      </c>
      <c r="B4513" s="2" t="s">
        <v>7433</v>
      </c>
      <c r="C4513" s="8">
        <v>46269</v>
      </c>
      <c r="D4513" s="6">
        <v>46266</v>
      </c>
      <c r="E4513" s="2" t="s">
        <v>260</v>
      </c>
      <c r="F4513" s="2" t="s">
        <v>12138</v>
      </c>
      <c r="G4513" s="6">
        <v>46235</v>
      </c>
      <c r="H4513" s="2" t="s">
        <v>176</v>
      </c>
      <c r="I4513" s="2" t="s">
        <v>70</v>
      </c>
      <c r="J4513" s="9">
        <v>13535.292308</v>
      </c>
      <c r="K4513" s="7">
        <v>0.65100000000000002</v>
      </c>
      <c r="L4513" s="9">
        <v>8811.48</v>
      </c>
      <c r="M4513" s="9">
        <v>8797.94</v>
      </c>
      <c r="N4513" s="9">
        <v>4.8499999999999996</v>
      </c>
      <c r="O4513" s="10">
        <f>IF(AND(OR(H4513="APPROVED",H4513="SCHEDULED"),COUNTIFS(tblSource[EventID],F4513,tblSource[ReleaseStatus],"APPROVED")=1,COUNTIFS(Period_Status!$A$2:$A$8,G4513,Period_Status!$B$2:$B$8,"ActualClosed")=1,C4513&gt;EOMONTH(Settlement_Bridge!$C$2,0)),1,0)</f>
        <v>0</v>
      </c>
      <c r="P4513" s="2" t="s">
        <v>12139</v>
      </c>
    </row>
    <row r="4514" spans="1:16" x14ac:dyDescent="0.25">
      <c r="A4514" s="2" t="s">
        <v>12140</v>
      </c>
      <c r="B4514" s="2" t="s">
        <v>7433</v>
      </c>
      <c r="C4514" s="8">
        <v>46294</v>
      </c>
      <c r="D4514" s="6">
        <v>46266</v>
      </c>
      <c r="E4514" s="2" t="s">
        <v>260</v>
      </c>
      <c r="F4514" s="2" t="s">
        <v>12138</v>
      </c>
      <c r="G4514" s="6">
        <v>46235</v>
      </c>
      <c r="H4514" s="2" t="s">
        <v>176</v>
      </c>
      <c r="I4514" s="2" t="s">
        <v>70</v>
      </c>
      <c r="J4514" s="9">
        <v>20302.938461000002</v>
      </c>
      <c r="K4514" s="7">
        <v>0.65100000000000002</v>
      </c>
      <c r="L4514" s="9">
        <v>13217.21</v>
      </c>
      <c r="M4514" s="9">
        <v>13196.91</v>
      </c>
      <c r="N4514" s="9">
        <v>7.27</v>
      </c>
      <c r="O4514" s="10">
        <f>IF(AND(OR(H4514="APPROVED",H4514="SCHEDULED"),COUNTIFS(tblSource[EventID],F4514,tblSource[ReleaseStatus],"APPROVED")=1,COUNTIFS(Period_Status!$A$2:$A$8,G4514,Period_Status!$B$2:$B$8,"ActualClosed")=1,C4514&gt;EOMONTH(Settlement_Bridge!$C$2,0)),1,0)</f>
        <v>0</v>
      </c>
      <c r="P4514" s="2" t="s">
        <v>12141</v>
      </c>
    </row>
    <row r="4515" spans="1:16" x14ac:dyDescent="0.25">
      <c r="A4515" s="2" t="s">
        <v>12142</v>
      </c>
      <c r="B4515" s="2" t="s">
        <v>7433</v>
      </c>
      <c r="C4515" s="8">
        <v>46270</v>
      </c>
      <c r="D4515" s="6">
        <v>46266</v>
      </c>
      <c r="E4515" s="2" t="s">
        <v>260</v>
      </c>
      <c r="F4515" s="2" t="s">
        <v>12143</v>
      </c>
      <c r="G4515" s="6">
        <v>46235</v>
      </c>
      <c r="H4515" s="2" t="s">
        <v>176</v>
      </c>
      <c r="I4515" s="2" t="s">
        <v>39</v>
      </c>
      <c r="J4515" s="9">
        <v>8908.6640000000007</v>
      </c>
      <c r="K4515" s="7">
        <v>1</v>
      </c>
      <c r="L4515" s="9">
        <v>8908.66</v>
      </c>
      <c r="M4515" s="9">
        <v>8908.66</v>
      </c>
      <c r="N4515" s="9">
        <v>4.9000000000000004</v>
      </c>
      <c r="O4515" s="10">
        <f>IF(AND(OR(H4515="APPROVED",H4515="SCHEDULED"),COUNTIFS(tblSource[EventID],F4515,tblSource[ReleaseStatus],"APPROVED")=1,COUNTIFS(Period_Status!$A$2:$A$8,G4515,Period_Status!$B$2:$B$8,"ActualClosed")=1,C4515&gt;EOMONTH(Settlement_Bridge!$C$2,0)),1,0)</f>
        <v>0</v>
      </c>
      <c r="P4515" s="2" t="s">
        <v>12144</v>
      </c>
    </row>
    <row r="4516" spans="1:16" x14ac:dyDescent="0.25">
      <c r="A4516" s="2" t="s">
        <v>12145</v>
      </c>
      <c r="B4516" s="2" t="s">
        <v>7433</v>
      </c>
      <c r="C4516" s="8">
        <v>46295</v>
      </c>
      <c r="D4516" s="6">
        <v>46266</v>
      </c>
      <c r="E4516" s="2" t="s">
        <v>260</v>
      </c>
      <c r="F4516" s="2" t="s">
        <v>12143</v>
      </c>
      <c r="G4516" s="6">
        <v>46235</v>
      </c>
      <c r="H4516" s="2" t="s">
        <v>176</v>
      </c>
      <c r="I4516" s="2" t="s">
        <v>39</v>
      </c>
      <c r="J4516" s="9">
        <v>13362.995999999999</v>
      </c>
      <c r="K4516" s="7">
        <v>1</v>
      </c>
      <c r="L4516" s="9">
        <v>13363</v>
      </c>
      <c r="M4516" s="9">
        <v>13363</v>
      </c>
      <c r="N4516" s="9">
        <v>7.35</v>
      </c>
      <c r="O4516" s="10">
        <f>IF(AND(OR(H4516="APPROVED",H4516="SCHEDULED"),COUNTIFS(tblSource[EventID],F4516,tblSource[ReleaseStatus],"APPROVED")=1,COUNTIFS(Period_Status!$A$2:$A$8,G4516,Period_Status!$B$2:$B$8,"ActualClosed")=1,C4516&gt;EOMONTH(Settlement_Bridge!$C$2,0)),1,0)</f>
        <v>0</v>
      </c>
      <c r="P4516" s="2" t="s">
        <v>12146</v>
      </c>
    </row>
    <row r="4517" spans="1:16" x14ac:dyDescent="0.25">
      <c r="A4517" s="2" t="s">
        <v>12147</v>
      </c>
      <c r="B4517" s="2" t="s">
        <v>7433</v>
      </c>
      <c r="C4517" s="8">
        <v>46271</v>
      </c>
      <c r="D4517" s="6">
        <v>46266</v>
      </c>
      <c r="E4517" s="2" t="s">
        <v>260</v>
      </c>
      <c r="F4517" s="2" t="s">
        <v>12148</v>
      </c>
      <c r="G4517" s="6">
        <v>46235</v>
      </c>
      <c r="H4517" s="2" t="s">
        <v>176</v>
      </c>
      <c r="I4517" s="2" t="s">
        <v>76</v>
      </c>
      <c r="J4517" s="9">
        <v>146656780.48780501</v>
      </c>
      <c r="K4517" s="7">
        <v>6.1299999999999999E-5</v>
      </c>
      <c r="L4517" s="9">
        <v>8990.06</v>
      </c>
      <c r="M4517" s="9">
        <v>9019.39</v>
      </c>
      <c r="N4517" s="9">
        <v>4.9400000000000004</v>
      </c>
      <c r="O4517" s="10">
        <f>IF(AND(OR(H4517="APPROVED",H4517="SCHEDULED"),COUNTIFS(tblSource[EventID],F4517,tblSource[ReleaseStatus],"APPROVED")=1,COUNTIFS(Period_Status!$A$2:$A$8,G4517,Period_Status!$B$2:$B$8,"ActualClosed")=1,C4517&gt;EOMONTH(Settlement_Bridge!$C$2,0)),1,0)</f>
        <v>0</v>
      </c>
      <c r="P4517" s="2" t="s">
        <v>12149</v>
      </c>
    </row>
    <row r="4518" spans="1:16" x14ac:dyDescent="0.25">
      <c r="A4518" s="2" t="s">
        <v>12150</v>
      </c>
      <c r="B4518" s="2" t="s">
        <v>7433</v>
      </c>
      <c r="C4518" s="8">
        <v>46296</v>
      </c>
      <c r="D4518" s="6">
        <v>46296</v>
      </c>
      <c r="E4518" s="2" t="s">
        <v>260</v>
      </c>
      <c r="F4518" s="2" t="s">
        <v>12148</v>
      </c>
      <c r="G4518" s="6">
        <v>46235</v>
      </c>
      <c r="H4518" s="2" t="s">
        <v>176</v>
      </c>
      <c r="I4518" s="2" t="s">
        <v>76</v>
      </c>
      <c r="J4518" s="9">
        <v>219985170.73170701</v>
      </c>
      <c r="K4518" s="7">
        <v>6.1099999999999994E-5</v>
      </c>
      <c r="L4518" s="9">
        <v>13441.09</v>
      </c>
      <c r="M4518" s="9">
        <v>13529.09</v>
      </c>
      <c r="N4518" s="9">
        <v>7.39</v>
      </c>
      <c r="O4518" s="10">
        <f>IF(AND(OR(H4518="APPROVED",H4518="SCHEDULED"),COUNTIFS(tblSource[EventID],F4518,tblSource[ReleaseStatus],"APPROVED")=1,COUNTIFS(Period_Status!$A$2:$A$8,G4518,Period_Status!$B$2:$B$8,"ActualClosed")=1,C4518&gt;EOMONTH(Settlement_Bridge!$C$2,0)),1,0)</f>
        <v>0</v>
      </c>
      <c r="P4518" s="2" t="s">
        <v>12151</v>
      </c>
    </row>
    <row r="4519" spans="1:16" x14ac:dyDescent="0.25">
      <c r="A4519" s="2" t="s">
        <v>12152</v>
      </c>
      <c r="B4519" s="2" t="s">
        <v>7433</v>
      </c>
      <c r="C4519" s="8">
        <v>46272</v>
      </c>
      <c r="D4519" s="6">
        <v>46266</v>
      </c>
      <c r="E4519" s="2" t="s">
        <v>260</v>
      </c>
      <c r="F4519" s="2" t="s">
        <v>12153</v>
      </c>
      <c r="G4519" s="6">
        <v>46235</v>
      </c>
      <c r="H4519" s="2" t="s">
        <v>176</v>
      </c>
      <c r="I4519" s="2" t="s">
        <v>70</v>
      </c>
      <c r="J4519" s="9">
        <v>14046.338462</v>
      </c>
      <c r="K4519" s="7">
        <v>0.65100000000000002</v>
      </c>
      <c r="L4519" s="9">
        <v>9144.17</v>
      </c>
      <c r="M4519" s="9">
        <v>9130.1200000000008</v>
      </c>
      <c r="N4519" s="9">
        <v>5.03</v>
      </c>
      <c r="O4519" s="10">
        <f>IF(AND(OR(H4519="APPROVED",H4519="SCHEDULED"),COUNTIFS(tblSource[EventID],F4519,tblSource[ReleaseStatus],"APPROVED")=1,COUNTIFS(Period_Status!$A$2:$A$8,G4519,Period_Status!$B$2:$B$8,"ActualClosed")=1,C4519&gt;EOMONTH(Settlement_Bridge!$C$2,0)),1,0)</f>
        <v>0</v>
      </c>
      <c r="P4519" s="2" t="s">
        <v>12154</v>
      </c>
    </row>
    <row r="4520" spans="1:16" x14ac:dyDescent="0.25">
      <c r="A4520" s="2" t="s">
        <v>12155</v>
      </c>
      <c r="B4520" s="2" t="s">
        <v>7433</v>
      </c>
      <c r="C4520" s="8">
        <v>46297</v>
      </c>
      <c r="D4520" s="6">
        <v>46296</v>
      </c>
      <c r="E4520" s="2" t="s">
        <v>260</v>
      </c>
      <c r="F4520" s="2" t="s">
        <v>12153</v>
      </c>
      <c r="G4520" s="6">
        <v>46235</v>
      </c>
      <c r="H4520" s="2" t="s">
        <v>176</v>
      </c>
      <c r="I4520" s="2" t="s">
        <v>70</v>
      </c>
      <c r="J4520" s="9">
        <v>21069.507691999999</v>
      </c>
      <c r="K4520" s="7">
        <v>0.65500000000000003</v>
      </c>
      <c r="L4520" s="9">
        <v>13800.53</v>
      </c>
      <c r="M4520" s="9">
        <v>13695.18</v>
      </c>
      <c r="N4520" s="9">
        <v>7.59</v>
      </c>
      <c r="O4520" s="10">
        <f>IF(AND(OR(H4520="APPROVED",H4520="SCHEDULED"),COUNTIFS(tblSource[EventID],F4520,tblSource[ReleaseStatus],"APPROVED")=1,COUNTIFS(Period_Status!$A$2:$A$8,G4520,Period_Status!$B$2:$B$8,"ActualClosed")=1,C4520&gt;EOMONTH(Settlement_Bridge!$C$2,0)),1,0)</f>
        <v>0</v>
      </c>
      <c r="P4520" s="2" t="s">
        <v>12156</v>
      </c>
    </row>
    <row r="4521" spans="1:16" x14ac:dyDescent="0.25">
      <c r="A4521" s="2" t="s">
        <v>12157</v>
      </c>
      <c r="B4521" s="2" t="s">
        <v>7433</v>
      </c>
      <c r="C4521" s="8">
        <v>46273</v>
      </c>
      <c r="D4521" s="6">
        <v>46266</v>
      </c>
      <c r="E4521" s="2" t="s">
        <v>260</v>
      </c>
      <c r="F4521" s="2" t="s">
        <v>12158</v>
      </c>
      <c r="G4521" s="6">
        <v>46235</v>
      </c>
      <c r="H4521" s="2" t="s">
        <v>176</v>
      </c>
      <c r="I4521" s="2" t="s">
        <v>39</v>
      </c>
      <c r="J4521" s="9">
        <v>9240.8439999999991</v>
      </c>
      <c r="K4521" s="7">
        <v>1</v>
      </c>
      <c r="L4521" s="9">
        <v>9240.84</v>
      </c>
      <c r="M4521" s="9">
        <v>9240.84</v>
      </c>
      <c r="N4521" s="9">
        <v>5.08</v>
      </c>
      <c r="O4521" s="10">
        <f>IF(AND(OR(H4521="APPROVED",H4521="SCHEDULED"),COUNTIFS(tblSource[EventID],F4521,tblSource[ReleaseStatus],"APPROVED")=1,COUNTIFS(Period_Status!$A$2:$A$8,G4521,Period_Status!$B$2:$B$8,"ActualClosed")=1,C4521&gt;EOMONTH(Settlement_Bridge!$C$2,0)),1,0)</f>
        <v>0</v>
      </c>
      <c r="P4521" s="2" t="s">
        <v>12159</v>
      </c>
    </row>
    <row r="4522" spans="1:16" x14ac:dyDescent="0.25">
      <c r="A4522" s="2" t="s">
        <v>12160</v>
      </c>
      <c r="B4522" s="2" t="s">
        <v>7433</v>
      </c>
      <c r="C4522" s="8">
        <v>46298</v>
      </c>
      <c r="D4522" s="6">
        <v>46296</v>
      </c>
      <c r="E4522" s="2" t="s">
        <v>260</v>
      </c>
      <c r="F4522" s="2" t="s">
        <v>12158</v>
      </c>
      <c r="G4522" s="6">
        <v>46235</v>
      </c>
      <c r="H4522" s="2" t="s">
        <v>176</v>
      </c>
      <c r="I4522" s="2" t="s">
        <v>39</v>
      </c>
      <c r="J4522" s="9">
        <v>13861.266</v>
      </c>
      <c r="K4522" s="7">
        <v>1</v>
      </c>
      <c r="L4522" s="9">
        <v>13861.27</v>
      </c>
      <c r="M4522" s="9">
        <v>13861.27</v>
      </c>
      <c r="N4522" s="9">
        <v>7.62</v>
      </c>
      <c r="O4522" s="10">
        <f>IF(AND(OR(H4522="APPROVED",H4522="SCHEDULED"),COUNTIFS(tblSource[EventID],F4522,tblSource[ReleaseStatus],"APPROVED")=1,COUNTIFS(Period_Status!$A$2:$A$8,G4522,Period_Status!$B$2:$B$8,"ActualClosed")=1,C4522&gt;EOMONTH(Settlement_Bridge!$C$2,0)),1,0)</f>
        <v>0</v>
      </c>
      <c r="P4522" s="2" t="s">
        <v>12161</v>
      </c>
    </row>
    <row r="4523" spans="1:16" x14ac:dyDescent="0.25">
      <c r="A4523" s="2" t="s">
        <v>12162</v>
      </c>
      <c r="B4523" s="2" t="s">
        <v>7433</v>
      </c>
      <c r="C4523" s="8">
        <v>46274</v>
      </c>
      <c r="D4523" s="6">
        <v>46266</v>
      </c>
      <c r="E4523" s="2" t="s">
        <v>260</v>
      </c>
      <c r="F4523" s="2" t="s">
        <v>12163</v>
      </c>
      <c r="G4523" s="6">
        <v>46235</v>
      </c>
      <c r="H4523" s="2" t="s">
        <v>176</v>
      </c>
      <c r="I4523" s="2" t="s">
        <v>76</v>
      </c>
      <c r="J4523" s="9">
        <v>152058081.30081299</v>
      </c>
      <c r="K4523" s="7">
        <v>6.1299999999999999E-5</v>
      </c>
      <c r="L4523" s="9">
        <v>9321.16</v>
      </c>
      <c r="M4523" s="9">
        <v>9351.57</v>
      </c>
      <c r="N4523" s="9">
        <v>5.13</v>
      </c>
      <c r="O4523" s="10">
        <f>IF(AND(OR(H4523="APPROVED",H4523="SCHEDULED"),COUNTIFS(tblSource[EventID],F4523,tblSource[ReleaseStatus],"APPROVED")=1,COUNTIFS(Period_Status!$A$2:$A$8,G4523,Period_Status!$B$2:$B$8,"ActualClosed")=1,C4523&gt;EOMONTH(Settlement_Bridge!$C$2,0)),1,0)</f>
        <v>0</v>
      </c>
      <c r="P4523" s="2" t="s">
        <v>12164</v>
      </c>
    </row>
    <row r="4524" spans="1:16" x14ac:dyDescent="0.25">
      <c r="A4524" s="2" t="s">
        <v>12165</v>
      </c>
      <c r="B4524" s="2" t="s">
        <v>7433</v>
      </c>
      <c r="C4524" s="8">
        <v>46299</v>
      </c>
      <c r="D4524" s="6">
        <v>46296</v>
      </c>
      <c r="E4524" s="2" t="s">
        <v>260</v>
      </c>
      <c r="F4524" s="2" t="s">
        <v>12163</v>
      </c>
      <c r="G4524" s="6">
        <v>46235</v>
      </c>
      <c r="H4524" s="2" t="s">
        <v>176</v>
      </c>
      <c r="I4524" s="2" t="s">
        <v>76</v>
      </c>
      <c r="J4524" s="9">
        <v>228087121.95122001</v>
      </c>
      <c r="K4524" s="7">
        <v>6.1099999999999994E-5</v>
      </c>
      <c r="L4524" s="9">
        <v>13936.12</v>
      </c>
      <c r="M4524" s="9">
        <v>14027.36</v>
      </c>
      <c r="N4524" s="9">
        <v>7.66</v>
      </c>
      <c r="O4524" s="10">
        <f>IF(AND(OR(H4524="APPROVED",H4524="SCHEDULED"),COUNTIFS(tblSource[EventID],F4524,tblSource[ReleaseStatus],"APPROVED")=1,COUNTIFS(Period_Status!$A$2:$A$8,G4524,Period_Status!$B$2:$B$8,"ActualClosed")=1,C4524&gt;EOMONTH(Settlement_Bridge!$C$2,0)),1,0)</f>
        <v>0</v>
      </c>
      <c r="P4524" s="2" t="s">
        <v>12166</v>
      </c>
    </row>
    <row r="4525" spans="1:16" x14ac:dyDescent="0.25">
      <c r="A4525" s="2" t="s">
        <v>12167</v>
      </c>
      <c r="B4525" s="2" t="s">
        <v>7433</v>
      </c>
      <c r="C4525" s="8">
        <v>46275</v>
      </c>
      <c r="D4525" s="6">
        <v>46266</v>
      </c>
      <c r="E4525" s="2" t="s">
        <v>260</v>
      </c>
      <c r="F4525" s="2" t="s">
        <v>12168</v>
      </c>
      <c r="G4525" s="6">
        <v>46235</v>
      </c>
      <c r="H4525" s="2" t="s">
        <v>176</v>
      </c>
      <c r="I4525" s="2" t="s">
        <v>70</v>
      </c>
      <c r="J4525" s="9">
        <v>14557.378462000001</v>
      </c>
      <c r="K4525" s="7">
        <v>0.65100000000000002</v>
      </c>
      <c r="L4525" s="9">
        <v>9476.85</v>
      </c>
      <c r="M4525" s="9">
        <v>9462.2999999999993</v>
      </c>
      <c r="N4525" s="9">
        <v>5.21</v>
      </c>
      <c r="O4525" s="10">
        <f>IF(AND(OR(H4525="APPROVED",H4525="SCHEDULED"),COUNTIFS(tblSource[EventID],F4525,tblSource[ReleaseStatus],"APPROVED")=1,COUNTIFS(Period_Status!$A$2:$A$8,G4525,Period_Status!$B$2:$B$8,"ActualClosed")=1,C4525&gt;EOMONTH(Settlement_Bridge!$C$2,0)),1,0)</f>
        <v>0</v>
      </c>
      <c r="P4525" s="2" t="s">
        <v>12169</v>
      </c>
    </row>
    <row r="4526" spans="1:16" x14ac:dyDescent="0.25">
      <c r="A4526" s="2" t="s">
        <v>12170</v>
      </c>
      <c r="B4526" s="2" t="s">
        <v>7433</v>
      </c>
      <c r="C4526" s="8">
        <v>46300</v>
      </c>
      <c r="D4526" s="6">
        <v>46296</v>
      </c>
      <c r="E4526" s="2" t="s">
        <v>260</v>
      </c>
      <c r="F4526" s="2" t="s">
        <v>12168</v>
      </c>
      <c r="G4526" s="6">
        <v>46235</v>
      </c>
      <c r="H4526" s="2" t="s">
        <v>176</v>
      </c>
      <c r="I4526" s="2" t="s">
        <v>70</v>
      </c>
      <c r="J4526" s="9">
        <v>21836.067692000001</v>
      </c>
      <c r="K4526" s="7">
        <v>0.65500000000000003</v>
      </c>
      <c r="L4526" s="9">
        <v>14302.62</v>
      </c>
      <c r="M4526" s="9">
        <v>14193.44</v>
      </c>
      <c r="N4526" s="9">
        <v>7.87</v>
      </c>
      <c r="O4526" s="10">
        <f>IF(AND(OR(H4526="APPROVED",H4526="SCHEDULED"),COUNTIFS(tblSource[EventID],F4526,tblSource[ReleaseStatus],"APPROVED")=1,COUNTIFS(Period_Status!$A$2:$A$8,G4526,Period_Status!$B$2:$B$8,"ActualClosed")=1,C4526&gt;EOMONTH(Settlement_Bridge!$C$2,0)),1,0)</f>
        <v>0</v>
      </c>
      <c r="P4526" s="2" t="s">
        <v>12171</v>
      </c>
    </row>
    <row r="4527" spans="1:16" x14ac:dyDescent="0.25">
      <c r="A4527" s="2" t="s">
        <v>12172</v>
      </c>
      <c r="B4527" s="2" t="s">
        <v>7433</v>
      </c>
      <c r="C4527" s="8">
        <v>46276</v>
      </c>
      <c r="D4527" s="6">
        <v>46266</v>
      </c>
      <c r="E4527" s="2" t="s">
        <v>260</v>
      </c>
      <c r="F4527" s="2" t="s">
        <v>12173</v>
      </c>
      <c r="G4527" s="6">
        <v>46235</v>
      </c>
      <c r="H4527" s="2" t="s">
        <v>176</v>
      </c>
      <c r="I4527" s="2" t="s">
        <v>39</v>
      </c>
      <c r="J4527" s="9">
        <v>613.024</v>
      </c>
      <c r="K4527" s="7">
        <v>1</v>
      </c>
      <c r="L4527" s="9">
        <v>613.02</v>
      </c>
      <c r="M4527" s="9">
        <v>613.02</v>
      </c>
      <c r="N4527" s="9">
        <v>1.8</v>
      </c>
      <c r="O4527" s="10">
        <f>IF(AND(OR(H4527="APPROVED",H4527="SCHEDULED"),COUNTIFS(tblSource[EventID],F4527,tblSource[ReleaseStatus],"APPROVED")=1,COUNTIFS(Period_Status!$A$2:$A$8,G4527,Period_Status!$B$2:$B$8,"ActualClosed")=1,C4527&gt;EOMONTH(Settlement_Bridge!$C$2,0)),1,0)</f>
        <v>0</v>
      </c>
      <c r="P4527" s="2" t="s">
        <v>12174</v>
      </c>
    </row>
    <row r="4528" spans="1:16" x14ac:dyDescent="0.25">
      <c r="A4528" s="2" t="s">
        <v>12175</v>
      </c>
      <c r="B4528" s="2" t="s">
        <v>7433</v>
      </c>
      <c r="C4528" s="8">
        <v>46301</v>
      </c>
      <c r="D4528" s="6">
        <v>46296</v>
      </c>
      <c r="E4528" s="2" t="s">
        <v>260</v>
      </c>
      <c r="F4528" s="2" t="s">
        <v>12173</v>
      </c>
      <c r="G4528" s="6">
        <v>46235</v>
      </c>
      <c r="H4528" s="2" t="s">
        <v>176</v>
      </c>
      <c r="I4528" s="2" t="s">
        <v>39</v>
      </c>
      <c r="J4528" s="9">
        <v>919.53599999999994</v>
      </c>
      <c r="K4528" s="7">
        <v>1</v>
      </c>
      <c r="L4528" s="9">
        <v>919.54</v>
      </c>
      <c r="M4528" s="9">
        <v>919.54</v>
      </c>
      <c r="N4528" s="9">
        <v>1.8</v>
      </c>
      <c r="O4528" s="10">
        <f>IF(AND(OR(H4528="APPROVED",H4528="SCHEDULED"),COUNTIFS(tblSource[EventID],F4528,tblSource[ReleaseStatus],"APPROVED")=1,COUNTIFS(Period_Status!$A$2:$A$8,G4528,Period_Status!$B$2:$B$8,"ActualClosed")=1,C4528&gt;EOMONTH(Settlement_Bridge!$C$2,0)),1,0)</f>
        <v>0</v>
      </c>
      <c r="P4528" s="2" t="s">
        <v>12176</v>
      </c>
    </row>
    <row r="4529" spans="1:16" x14ac:dyDescent="0.25">
      <c r="A4529" s="2" t="s">
        <v>12177</v>
      </c>
      <c r="B4529" s="2" t="s">
        <v>7433</v>
      </c>
      <c r="C4529" s="8">
        <v>46277</v>
      </c>
      <c r="D4529" s="6">
        <v>46266</v>
      </c>
      <c r="E4529" s="2" t="s">
        <v>260</v>
      </c>
      <c r="F4529" s="2" t="s">
        <v>12178</v>
      </c>
      <c r="G4529" s="6">
        <v>46235</v>
      </c>
      <c r="H4529" s="2" t="s">
        <v>176</v>
      </c>
      <c r="I4529" s="2" t="s">
        <v>76</v>
      </c>
      <c r="J4529" s="9">
        <v>11768325.203252001</v>
      </c>
      <c r="K4529" s="7">
        <v>6.1299999999999999E-5</v>
      </c>
      <c r="L4529" s="9">
        <v>721.4</v>
      </c>
      <c r="M4529" s="9">
        <v>723.75</v>
      </c>
      <c r="N4529" s="9">
        <v>1.8</v>
      </c>
      <c r="O4529" s="10">
        <f>IF(AND(OR(H4529="APPROVED",H4529="SCHEDULED"),COUNTIFS(tblSource[EventID],F4529,tblSource[ReleaseStatus],"APPROVED")=1,COUNTIFS(Period_Status!$A$2:$A$8,G4529,Period_Status!$B$2:$B$8,"ActualClosed")=1,C4529&gt;EOMONTH(Settlement_Bridge!$C$2,0)),1,0)</f>
        <v>0</v>
      </c>
      <c r="P4529" s="2" t="s">
        <v>12179</v>
      </c>
    </row>
    <row r="4530" spans="1:16" x14ac:dyDescent="0.25">
      <c r="A4530" s="2" t="s">
        <v>12180</v>
      </c>
      <c r="B4530" s="2" t="s">
        <v>7433</v>
      </c>
      <c r="C4530" s="8">
        <v>46302</v>
      </c>
      <c r="D4530" s="6">
        <v>46296</v>
      </c>
      <c r="E4530" s="2" t="s">
        <v>260</v>
      </c>
      <c r="F4530" s="2" t="s">
        <v>12178</v>
      </c>
      <c r="G4530" s="6">
        <v>46235</v>
      </c>
      <c r="H4530" s="2" t="s">
        <v>176</v>
      </c>
      <c r="I4530" s="2" t="s">
        <v>76</v>
      </c>
      <c r="J4530" s="9">
        <v>17652487.804878</v>
      </c>
      <c r="K4530" s="7">
        <v>6.1099999999999994E-5</v>
      </c>
      <c r="L4530" s="9">
        <v>1078.57</v>
      </c>
      <c r="M4530" s="9">
        <v>1085.6300000000001</v>
      </c>
      <c r="N4530" s="9">
        <v>1.8</v>
      </c>
      <c r="O4530" s="10">
        <f>IF(AND(OR(H4530="APPROVED",H4530="SCHEDULED"),COUNTIFS(tblSource[EventID],F4530,tblSource[ReleaseStatus],"APPROVED")=1,COUNTIFS(Period_Status!$A$2:$A$8,G4530,Period_Status!$B$2:$B$8,"ActualClosed")=1,C4530&gt;EOMONTH(Settlement_Bridge!$C$2,0)),1,0)</f>
        <v>0</v>
      </c>
      <c r="P4530" s="2" t="s">
        <v>12181</v>
      </c>
    </row>
    <row r="4531" spans="1:16" x14ac:dyDescent="0.25">
      <c r="A4531" s="2" t="s">
        <v>12182</v>
      </c>
      <c r="B4531" s="2" t="s">
        <v>7433</v>
      </c>
      <c r="C4531" s="8">
        <v>46278</v>
      </c>
      <c r="D4531" s="6">
        <v>46266</v>
      </c>
      <c r="E4531" s="2" t="s">
        <v>260</v>
      </c>
      <c r="F4531" s="2" t="s">
        <v>12183</v>
      </c>
      <c r="G4531" s="6">
        <v>46235</v>
      </c>
      <c r="H4531" s="2" t="s">
        <v>176</v>
      </c>
      <c r="I4531" s="2" t="s">
        <v>70</v>
      </c>
      <c r="J4531" s="9">
        <v>1283.809231</v>
      </c>
      <c r="K4531" s="7">
        <v>0.65100000000000002</v>
      </c>
      <c r="L4531" s="9">
        <v>835.76</v>
      </c>
      <c r="M4531" s="9">
        <v>834.48</v>
      </c>
      <c r="N4531" s="9">
        <v>1.8</v>
      </c>
      <c r="O4531" s="10">
        <f>IF(AND(OR(H4531="APPROVED",H4531="SCHEDULED"),COUNTIFS(tblSource[EventID],F4531,tblSource[ReleaseStatus],"APPROVED")=1,COUNTIFS(Period_Status!$A$2:$A$8,G4531,Period_Status!$B$2:$B$8,"ActualClosed")=1,C4531&gt;EOMONTH(Settlement_Bridge!$C$2,0)),1,0)</f>
        <v>0</v>
      </c>
      <c r="P4531" s="2" t="s">
        <v>12184</v>
      </c>
    </row>
    <row r="4532" spans="1:16" x14ac:dyDescent="0.25">
      <c r="A4532" s="2" t="s">
        <v>12185</v>
      </c>
      <c r="B4532" s="2" t="s">
        <v>7433</v>
      </c>
      <c r="C4532" s="8">
        <v>46303</v>
      </c>
      <c r="D4532" s="6">
        <v>46296</v>
      </c>
      <c r="E4532" s="2" t="s">
        <v>260</v>
      </c>
      <c r="F4532" s="2" t="s">
        <v>12183</v>
      </c>
      <c r="G4532" s="6">
        <v>46235</v>
      </c>
      <c r="H4532" s="2" t="s">
        <v>176</v>
      </c>
      <c r="I4532" s="2" t="s">
        <v>70</v>
      </c>
      <c r="J4532" s="9">
        <v>1925.7138460000001</v>
      </c>
      <c r="K4532" s="7">
        <v>0.65500000000000003</v>
      </c>
      <c r="L4532" s="9">
        <v>1261.3399999999999</v>
      </c>
      <c r="M4532" s="9">
        <v>1251.71</v>
      </c>
      <c r="N4532" s="9">
        <v>1.8</v>
      </c>
      <c r="O4532" s="10">
        <f>IF(AND(OR(H4532="APPROVED",H4532="SCHEDULED"),COUNTIFS(tblSource[EventID],F4532,tblSource[ReleaseStatus],"APPROVED")=1,COUNTIFS(Period_Status!$A$2:$A$8,G4532,Period_Status!$B$2:$B$8,"ActualClosed")=1,C4532&gt;EOMONTH(Settlement_Bridge!$C$2,0)),1,0)</f>
        <v>0</v>
      </c>
      <c r="P4532" s="2" t="s">
        <v>12186</v>
      </c>
    </row>
    <row r="4533" spans="1:16" x14ac:dyDescent="0.25">
      <c r="A4533" s="2" t="s">
        <v>12187</v>
      </c>
      <c r="B4533" s="2" t="s">
        <v>7433</v>
      </c>
      <c r="C4533" s="8">
        <v>46279</v>
      </c>
      <c r="D4533" s="6">
        <v>46266</v>
      </c>
      <c r="E4533" s="2" t="s">
        <v>260</v>
      </c>
      <c r="F4533" s="2" t="s">
        <v>12188</v>
      </c>
      <c r="G4533" s="6">
        <v>46235</v>
      </c>
      <c r="H4533" s="2" t="s">
        <v>176</v>
      </c>
      <c r="I4533" s="2" t="s">
        <v>39</v>
      </c>
      <c r="J4533" s="9">
        <v>945.20399999999995</v>
      </c>
      <c r="K4533" s="7">
        <v>1</v>
      </c>
      <c r="L4533" s="9">
        <v>945.2</v>
      </c>
      <c r="M4533" s="9">
        <v>945.2</v>
      </c>
      <c r="N4533" s="9">
        <v>1.8</v>
      </c>
      <c r="O4533" s="10">
        <f>IF(AND(OR(H4533="APPROVED",H4533="SCHEDULED"),COUNTIFS(tblSource[EventID],F4533,tblSource[ReleaseStatus],"APPROVED")=1,COUNTIFS(Period_Status!$A$2:$A$8,G4533,Period_Status!$B$2:$B$8,"ActualClosed")=1,C4533&gt;EOMONTH(Settlement_Bridge!$C$2,0)),1,0)</f>
        <v>0</v>
      </c>
      <c r="P4533" s="2" t="s">
        <v>12189</v>
      </c>
    </row>
    <row r="4534" spans="1:16" x14ac:dyDescent="0.25">
      <c r="A4534" s="2" t="s">
        <v>12190</v>
      </c>
      <c r="B4534" s="2" t="s">
        <v>7433</v>
      </c>
      <c r="C4534" s="8">
        <v>46304</v>
      </c>
      <c r="D4534" s="6">
        <v>46296</v>
      </c>
      <c r="E4534" s="2" t="s">
        <v>260</v>
      </c>
      <c r="F4534" s="2" t="s">
        <v>12188</v>
      </c>
      <c r="G4534" s="6">
        <v>46235</v>
      </c>
      <c r="H4534" s="2" t="s">
        <v>176</v>
      </c>
      <c r="I4534" s="2" t="s">
        <v>39</v>
      </c>
      <c r="J4534" s="9">
        <v>1417.806</v>
      </c>
      <c r="K4534" s="7">
        <v>1</v>
      </c>
      <c r="L4534" s="9">
        <v>1417.81</v>
      </c>
      <c r="M4534" s="9">
        <v>1417.81</v>
      </c>
      <c r="N4534" s="9">
        <v>1.8</v>
      </c>
      <c r="O4534" s="10">
        <f>IF(AND(OR(H4534="APPROVED",H4534="SCHEDULED"),COUNTIFS(tblSource[EventID],F4534,tblSource[ReleaseStatus],"APPROVED")=1,COUNTIFS(Period_Status!$A$2:$A$8,G4534,Period_Status!$B$2:$B$8,"ActualClosed")=1,C4534&gt;EOMONTH(Settlement_Bridge!$C$2,0)),1,0)</f>
        <v>0</v>
      </c>
      <c r="P4534" s="2" t="s">
        <v>12191</v>
      </c>
    </row>
    <row r="4535" spans="1:16" x14ac:dyDescent="0.25">
      <c r="A4535" s="2" t="s">
        <v>12192</v>
      </c>
      <c r="B4535" s="2" t="s">
        <v>7433</v>
      </c>
      <c r="C4535" s="8">
        <v>46249</v>
      </c>
      <c r="D4535" s="6">
        <v>46235</v>
      </c>
      <c r="E4535" s="2" t="s">
        <v>260</v>
      </c>
      <c r="F4535" s="2" t="s">
        <v>12193</v>
      </c>
      <c r="G4535" s="6">
        <v>46235</v>
      </c>
      <c r="H4535" s="2" t="s">
        <v>71</v>
      </c>
      <c r="I4535" s="2" t="s">
        <v>76</v>
      </c>
      <c r="J4535" s="9">
        <v>17169560.975609999</v>
      </c>
      <c r="K4535" s="7">
        <v>6.1500000000000004E-5</v>
      </c>
      <c r="L4535" s="9">
        <v>1055.93</v>
      </c>
      <c r="M4535" s="9">
        <v>1055.93</v>
      </c>
      <c r="N4535" s="9">
        <v>1.8</v>
      </c>
      <c r="O4535" s="10">
        <f>IF(AND(OR(H4535="APPROVED",H4535="SCHEDULED"),COUNTIFS(tblSource[EventID],F4535,tblSource[ReleaseStatus],"APPROVED")=1,COUNTIFS(Period_Status!$A$2:$A$8,G4535,Period_Status!$B$2:$B$8,"ActualClosed")=1,C4535&gt;EOMONTH(Settlement_Bridge!$C$2,0)),1,0)</f>
        <v>0</v>
      </c>
      <c r="P4535" s="2" t="s">
        <v>12194</v>
      </c>
    </row>
    <row r="4536" spans="1:16" x14ac:dyDescent="0.25">
      <c r="A4536" s="2" t="s">
        <v>12195</v>
      </c>
      <c r="B4536" s="2" t="s">
        <v>7433</v>
      </c>
      <c r="C4536" s="8">
        <v>46274</v>
      </c>
      <c r="D4536" s="6">
        <v>46266</v>
      </c>
      <c r="E4536" s="2" t="s">
        <v>260</v>
      </c>
      <c r="F4536" s="2" t="s">
        <v>12193</v>
      </c>
      <c r="G4536" s="6">
        <v>46235</v>
      </c>
      <c r="H4536" s="2" t="s">
        <v>176</v>
      </c>
      <c r="I4536" s="2" t="s">
        <v>76</v>
      </c>
      <c r="J4536" s="9">
        <v>25754341.463413998</v>
      </c>
      <c r="K4536" s="7">
        <v>6.1299999999999999E-5</v>
      </c>
      <c r="L4536" s="9">
        <v>1578.74</v>
      </c>
      <c r="M4536" s="9">
        <v>1583.89</v>
      </c>
      <c r="N4536" s="9">
        <v>1.8</v>
      </c>
      <c r="O4536" s="10">
        <f>IF(AND(OR(H4536="APPROVED",H4536="SCHEDULED"),COUNTIFS(tblSource[EventID],F4536,tblSource[ReleaseStatus],"APPROVED")=1,COUNTIFS(Period_Status!$A$2:$A$8,G4536,Period_Status!$B$2:$B$8,"ActualClosed")=1,C4536&gt;EOMONTH(Settlement_Bridge!$C$2,0)),1,0)</f>
        <v>0</v>
      </c>
      <c r="P4536" s="2" t="s">
        <v>12196</v>
      </c>
    </row>
    <row r="4537" spans="1:16" x14ac:dyDescent="0.25">
      <c r="A4537" s="2" t="s">
        <v>12197</v>
      </c>
      <c r="B4537" s="2" t="s">
        <v>7433</v>
      </c>
      <c r="C4537" s="8">
        <v>46250</v>
      </c>
      <c r="D4537" s="6">
        <v>46235</v>
      </c>
      <c r="E4537" s="2" t="s">
        <v>260</v>
      </c>
      <c r="F4537" s="2" t="s">
        <v>12198</v>
      </c>
      <c r="G4537" s="6">
        <v>46235</v>
      </c>
      <c r="H4537" s="2" t="s">
        <v>71</v>
      </c>
      <c r="I4537" s="2" t="s">
        <v>70</v>
      </c>
      <c r="J4537" s="9">
        <v>1794.8553850000001</v>
      </c>
      <c r="K4537" s="7">
        <v>0.65</v>
      </c>
      <c r="L4537" s="9">
        <v>1166.6600000000001</v>
      </c>
      <c r="M4537" s="9">
        <v>1166.6600000000001</v>
      </c>
      <c r="N4537" s="9">
        <v>1.8</v>
      </c>
      <c r="O4537" s="10">
        <f>IF(AND(OR(H4537="APPROVED",H4537="SCHEDULED"),COUNTIFS(tblSource[EventID],F4537,tblSource[ReleaseStatus],"APPROVED")=1,COUNTIFS(Period_Status!$A$2:$A$8,G4537,Period_Status!$B$2:$B$8,"ActualClosed")=1,C4537&gt;EOMONTH(Settlement_Bridge!$C$2,0)),1,0)</f>
        <v>0</v>
      </c>
      <c r="P4537" s="2" t="s">
        <v>12199</v>
      </c>
    </row>
    <row r="4538" spans="1:16" x14ac:dyDescent="0.25">
      <c r="A4538" s="2" t="s">
        <v>12200</v>
      </c>
      <c r="B4538" s="2" t="s">
        <v>7433</v>
      </c>
      <c r="C4538" s="8">
        <v>46275</v>
      </c>
      <c r="D4538" s="6">
        <v>46266</v>
      </c>
      <c r="E4538" s="2" t="s">
        <v>260</v>
      </c>
      <c r="F4538" s="2" t="s">
        <v>12198</v>
      </c>
      <c r="G4538" s="6">
        <v>46235</v>
      </c>
      <c r="H4538" s="2" t="s">
        <v>176</v>
      </c>
      <c r="I4538" s="2" t="s">
        <v>70</v>
      </c>
      <c r="J4538" s="9">
        <v>2692.283077</v>
      </c>
      <c r="K4538" s="7">
        <v>0.65100000000000002</v>
      </c>
      <c r="L4538" s="9">
        <v>1752.68</v>
      </c>
      <c r="M4538" s="9">
        <v>1749.98</v>
      </c>
      <c r="N4538" s="9">
        <v>1.8</v>
      </c>
      <c r="O4538" s="10">
        <f>IF(AND(OR(H4538="APPROVED",H4538="SCHEDULED"),COUNTIFS(tblSource[EventID],F4538,tblSource[ReleaseStatus],"APPROVED")=1,COUNTIFS(Period_Status!$A$2:$A$8,G4538,Period_Status!$B$2:$B$8,"ActualClosed")=1,C4538&gt;EOMONTH(Settlement_Bridge!$C$2,0)),1,0)</f>
        <v>0</v>
      </c>
      <c r="P4538" s="2" t="s">
        <v>12201</v>
      </c>
    </row>
    <row r="4539" spans="1:16" x14ac:dyDescent="0.25">
      <c r="A4539" s="2" t="s">
        <v>12202</v>
      </c>
      <c r="B4539" s="2" t="s">
        <v>7433</v>
      </c>
      <c r="C4539" s="8">
        <v>46251</v>
      </c>
      <c r="D4539" s="6">
        <v>46235</v>
      </c>
      <c r="E4539" s="2" t="s">
        <v>260</v>
      </c>
      <c r="F4539" s="2" t="s">
        <v>12203</v>
      </c>
      <c r="G4539" s="6">
        <v>46235</v>
      </c>
      <c r="H4539" s="2" t="s">
        <v>71</v>
      </c>
      <c r="I4539" s="2" t="s">
        <v>39</v>
      </c>
      <c r="J4539" s="9">
        <v>1277.384</v>
      </c>
      <c r="K4539" s="7">
        <v>1</v>
      </c>
      <c r="L4539" s="9">
        <v>1277.3800000000001</v>
      </c>
      <c r="M4539" s="9">
        <v>1277.3800000000001</v>
      </c>
      <c r="N4539" s="9">
        <v>1.8</v>
      </c>
      <c r="O4539" s="10">
        <f>IF(AND(OR(H4539="APPROVED",H4539="SCHEDULED"),COUNTIFS(tblSource[EventID],F4539,tblSource[ReleaseStatus],"APPROVED")=1,COUNTIFS(Period_Status!$A$2:$A$8,G4539,Period_Status!$B$2:$B$8,"ActualClosed")=1,C4539&gt;EOMONTH(Settlement_Bridge!$C$2,0)),1,0)</f>
        <v>0</v>
      </c>
      <c r="P4539" s="2" t="s">
        <v>12204</v>
      </c>
    </row>
    <row r="4540" spans="1:16" x14ac:dyDescent="0.25">
      <c r="A4540" s="2" t="s">
        <v>12205</v>
      </c>
      <c r="B4540" s="2" t="s">
        <v>7433</v>
      </c>
      <c r="C4540" s="8">
        <v>46276</v>
      </c>
      <c r="D4540" s="6">
        <v>46266</v>
      </c>
      <c r="E4540" s="2" t="s">
        <v>260</v>
      </c>
      <c r="F4540" s="2" t="s">
        <v>12203</v>
      </c>
      <c r="G4540" s="6">
        <v>46235</v>
      </c>
      <c r="H4540" s="2" t="s">
        <v>176</v>
      </c>
      <c r="I4540" s="2" t="s">
        <v>39</v>
      </c>
      <c r="J4540" s="9">
        <v>1916.076</v>
      </c>
      <c r="K4540" s="7">
        <v>1</v>
      </c>
      <c r="L4540" s="9">
        <v>1916.08</v>
      </c>
      <c r="M4540" s="9">
        <v>1916.08</v>
      </c>
      <c r="N4540" s="9">
        <v>1.8</v>
      </c>
      <c r="O4540" s="10">
        <f>IF(AND(OR(H4540="APPROVED",H4540="SCHEDULED"),COUNTIFS(tblSource[EventID],F4540,tblSource[ReleaseStatus],"APPROVED")=1,COUNTIFS(Period_Status!$A$2:$A$8,G4540,Period_Status!$B$2:$B$8,"ActualClosed")=1,C4540&gt;EOMONTH(Settlement_Bridge!$C$2,0)),1,0)</f>
        <v>0</v>
      </c>
      <c r="P4540" s="2" t="s">
        <v>12206</v>
      </c>
    </row>
    <row r="4541" spans="1:16" x14ac:dyDescent="0.25">
      <c r="A4541" s="2" t="s">
        <v>12207</v>
      </c>
      <c r="B4541" s="2" t="s">
        <v>7433</v>
      </c>
      <c r="C4541" s="8">
        <v>46252</v>
      </c>
      <c r="D4541" s="6">
        <v>46235</v>
      </c>
      <c r="E4541" s="2" t="s">
        <v>260</v>
      </c>
      <c r="F4541" s="2" t="s">
        <v>12208</v>
      </c>
      <c r="G4541" s="6">
        <v>46235</v>
      </c>
      <c r="H4541" s="2" t="s">
        <v>71</v>
      </c>
      <c r="I4541" s="2" t="s">
        <v>76</v>
      </c>
      <c r="J4541" s="9">
        <v>22570861.788617998</v>
      </c>
      <c r="K4541" s="7">
        <v>6.1500000000000004E-5</v>
      </c>
      <c r="L4541" s="9">
        <v>1388.11</v>
      </c>
      <c r="M4541" s="9">
        <v>1388.11</v>
      </c>
      <c r="N4541" s="9">
        <v>1.8</v>
      </c>
      <c r="O4541" s="10">
        <f>IF(AND(OR(H4541="APPROVED",H4541="SCHEDULED"),COUNTIFS(tblSource[EventID],F4541,tblSource[ReleaseStatus],"APPROVED")=1,COUNTIFS(Period_Status!$A$2:$A$8,G4541,Period_Status!$B$2:$B$8,"ActualClosed")=1,C4541&gt;EOMONTH(Settlement_Bridge!$C$2,0)),1,0)</f>
        <v>0</v>
      </c>
      <c r="P4541" s="2" t="s">
        <v>12209</v>
      </c>
    </row>
    <row r="4542" spans="1:16" x14ac:dyDescent="0.25">
      <c r="A4542" s="2" t="s">
        <v>12210</v>
      </c>
      <c r="B4542" s="2" t="s">
        <v>7433</v>
      </c>
      <c r="C4542" s="8">
        <v>46277</v>
      </c>
      <c r="D4542" s="6">
        <v>46266</v>
      </c>
      <c r="E4542" s="2" t="s">
        <v>260</v>
      </c>
      <c r="F4542" s="2" t="s">
        <v>12208</v>
      </c>
      <c r="G4542" s="6">
        <v>46235</v>
      </c>
      <c r="H4542" s="2" t="s">
        <v>176</v>
      </c>
      <c r="I4542" s="2" t="s">
        <v>76</v>
      </c>
      <c r="J4542" s="9">
        <v>33856292.682926998</v>
      </c>
      <c r="K4542" s="7">
        <v>6.1299999999999999E-5</v>
      </c>
      <c r="L4542" s="9">
        <v>2075.39</v>
      </c>
      <c r="M4542" s="9">
        <v>2082.16</v>
      </c>
      <c r="N4542" s="9">
        <v>1.8</v>
      </c>
      <c r="O4542" s="10">
        <f>IF(AND(OR(H4542="APPROVED",H4542="SCHEDULED"),COUNTIFS(tblSource[EventID],F4542,tblSource[ReleaseStatus],"APPROVED")=1,COUNTIFS(Period_Status!$A$2:$A$8,G4542,Period_Status!$B$2:$B$8,"ActualClosed")=1,C4542&gt;EOMONTH(Settlement_Bridge!$C$2,0)),1,0)</f>
        <v>0</v>
      </c>
      <c r="P4542" s="2" t="s">
        <v>12211</v>
      </c>
    </row>
    <row r="4543" spans="1:16" x14ac:dyDescent="0.25">
      <c r="A4543" s="2" t="s">
        <v>12212</v>
      </c>
      <c r="B4543" s="2" t="s">
        <v>7433</v>
      </c>
      <c r="C4543" s="8">
        <v>46253</v>
      </c>
      <c r="D4543" s="6">
        <v>46235</v>
      </c>
      <c r="E4543" s="2" t="s">
        <v>260</v>
      </c>
      <c r="F4543" s="2" t="s">
        <v>12213</v>
      </c>
      <c r="G4543" s="6">
        <v>46235</v>
      </c>
      <c r="H4543" s="2" t="s">
        <v>71</v>
      </c>
      <c r="I4543" s="2" t="s">
        <v>70</v>
      </c>
      <c r="J4543" s="9">
        <v>2305.9015380000001</v>
      </c>
      <c r="K4543" s="7">
        <v>0.65</v>
      </c>
      <c r="L4543" s="9">
        <v>1498.84</v>
      </c>
      <c r="M4543" s="9">
        <v>1498.84</v>
      </c>
      <c r="N4543" s="9">
        <v>1.8</v>
      </c>
      <c r="O4543" s="10">
        <f>IF(AND(OR(H4543="APPROVED",H4543="SCHEDULED"),COUNTIFS(tblSource[EventID],F4543,tblSource[ReleaseStatus],"APPROVED")=1,COUNTIFS(Period_Status!$A$2:$A$8,G4543,Period_Status!$B$2:$B$8,"ActualClosed")=1,C4543&gt;EOMONTH(Settlement_Bridge!$C$2,0)),1,0)</f>
        <v>0</v>
      </c>
      <c r="P4543" s="2" t="s">
        <v>12214</v>
      </c>
    </row>
    <row r="4544" spans="1:16" x14ac:dyDescent="0.25">
      <c r="A4544" s="2" t="s">
        <v>12215</v>
      </c>
      <c r="B4544" s="2" t="s">
        <v>7433</v>
      </c>
      <c r="C4544" s="8">
        <v>46278</v>
      </c>
      <c r="D4544" s="6">
        <v>46266</v>
      </c>
      <c r="E4544" s="2" t="s">
        <v>260</v>
      </c>
      <c r="F4544" s="2" t="s">
        <v>12213</v>
      </c>
      <c r="G4544" s="6">
        <v>46235</v>
      </c>
      <c r="H4544" s="2" t="s">
        <v>176</v>
      </c>
      <c r="I4544" s="2" t="s">
        <v>70</v>
      </c>
      <c r="J4544" s="9">
        <v>3458.852308</v>
      </c>
      <c r="K4544" s="7">
        <v>0.65100000000000002</v>
      </c>
      <c r="L4544" s="9">
        <v>2251.71</v>
      </c>
      <c r="M4544" s="9">
        <v>2248.25</v>
      </c>
      <c r="N4544" s="9">
        <v>1.8</v>
      </c>
      <c r="O4544" s="10">
        <f>IF(AND(OR(H4544="APPROVED",H4544="SCHEDULED"),COUNTIFS(tblSource[EventID],F4544,tblSource[ReleaseStatus],"APPROVED")=1,COUNTIFS(Period_Status!$A$2:$A$8,G4544,Period_Status!$B$2:$B$8,"ActualClosed")=1,C4544&gt;EOMONTH(Settlement_Bridge!$C$2,0)),1,0)</f>
        <v>0</v>
      </c>
      <c r="P4544" s="2" t="s">
        <v>12216</v>
      </c>
    </row>
    <row r="4545" spans="1:16" x14ac:dyDescent="0.25">
      <c r="A4545" s="2" t="s">
        <v>12217</v>
      </c>
      <c r="B4545" s="2" t="s">
        <v>7433</v>
      </c>
      <c r="C4545" s="8">
        <v>46254</v>
      </c>
      <c r="D4545" s="6">
        <v>46235</v>
      </c>
      <c r="E4545" s="2" t="s">
        <v>260</v>
      </c>
      <c r="F4545" s="2" t="s">
        <v>12218</v>
      </c>
      <c r="G4545" s="6">
        <v>46235</v>
      </c>
      <c r="H4545" s="2" t="s">
        <v>71</v>
      </c>
      <c r="I4545" s="2" t="s">
        <v>39</v>
      </c>
      <c r="J4545" s="9">
        <v>1609.56</v>
      </c>
      <c r="K4545" s="7">
        <v>1</v>
      </c>
      <c r="L4545" s="9">
        <v>1609.56</v>
      </c>
      <c r="M4545" s="9">
        <v>1609.56</v>
      </c>
      <c r="N4545" s="9">
        <v>1.8</v>
      </c>
      <c r="O4545" s="10">
        <f>IF(AND(OR(H4545="APPROVED",H4545="SCHEDULED"),COUNTIFS(tblSource[EventID],F4545,tblSource[ReleaseStatus],"APPROVED")=1,COUNTIFS(Period_Status!$A$2:$A$8,G4545,Period_Status!$B$2:$B$8,"ActualClosed")=1,C4545&gt;EOMONTH(Settlement_Bridge!$C$2,0)),1,0)</f>
        <v>0</v>
      </c>
      <c r="P4545" s="2" t="s">
        <v>12219</v>
      </c>
    </row>
    <row r="4546" spans="1:16" x14ac:dyDescent="0.25">
      <c r="A4546" s="2" t="s">
        <v>12220</v>
      </c>
      <c r="B4546" s="2" t="s">
        <v>7433</v>
      </c>
      <c r="C4546" s="8">
        <v>46279</v>
      </c>
      <c r="D4546" s="6">
        <v>46266</v>
      </c>
      <c r="E4546" s="2" t="s">
        <v>260</v>
      </c>
      <c r="F4546" s="2" t="s">
        <v>12218</v>
      </c>
      <c r="G4546" s="6">
        <v>46235</v>
      </c>
      <c r="H4546" s="2" t="s">
        <v>176</v>
      </c>
      <c r="I4546" s="2" t="s">
        <v>39</v>
      </c>
      <c r="J4546" s="9">
        <v>2414.34</v>
      </c>
      <c r="K4546" s="7">
        <v>1</v>
      </c>
      <c r="L4546" s="9">
        <v>2414.34</v>
      </c>
      <c r="M4546" s="9">
        <v>2414.34</v>
      </c>
      <c r="N4546" s="9">
        <v>1.8</v>
      </c>
      <c r="O4546" s="10">
        <f>IF(AND(OR(H4546="APPROVED",H4546="SCHEDULED"),COUNTIFS(tblSource[EventID],F4546,tblSource[ReleaseStatus],"APPROVED")=1,COUNTIFS(Period_Status!$A$2:$A$8,G4546,Period_Status!$B$2:$B$8,"ActualClosed")=1,C4546&gt;EOMONTH(Settlement_Bridge!$C$2,0)),1,0)</f>
        <v>0</v>
      </c>
      <c r="P4546" s="2" t="s">
        <v>12221</v>
      </c>
    </row>
    <row r="4547" spans="1:16" x14ac:dyDescent="0.25">
      <c r="A4547" s="2" t="s">
        <v>12222</v>
      </c>
      <c r="B4547" s="2" t="s">
        <v>7433</v>
      </c>
      <c r="C4547" s="8">
        <v>46255</v>
      </c>
      <c r="D4547" s="6">
        <v>46235</v>
      </c>
      <c r="E4547" s="2" t="s">
        <v>260</v>
      </c>
      <c r="F4547" s="2" t="s">
        <v>12223</v>
      </c>
      <c r="G4547" s="6">
        <v>46235</v>
      </c>
      <c r="H4547" s="2" t="s">
        <v>71</v>
      </c>
      <c r="I4547" s="2" t="s">
        <v>76</v>
      </c>
      <c r="J4547" s="9">
        <v>27972162.601626001</v>
      </c>
      <c r="K4547" s="7">
        <v>6.1500000000000004E-5</v>
      </c>
      <c r="L4547" s="9">
        <v>1720.29</v>
      </c>
      <c r="M4547" s="9">
        <v>1720.29</v>
      </c>
      <c r="N4547" s="9">
        <v>1.8</v>
      </c>
      <c r="O4547" s="10">
        <f>IF(AND(OR(H4547="APPROVED",H4547="SCHEDULED"),COUNTIFS(tblSource[EventID],F4547,tblSource[ReleaseStatus],"APPROVED")=1,COUNTIFS(Period_Status!$A$2:$A$8,G4547,Period_Status!$B$2:$B$8,"ActualClosed")=1,C4547&gt;EOMONTH(Settlement_Bridge!$C$2,0)),1,0)</f>
        <v>0</v>
      </c>
      <c r="P4547" s="2" t="s">
        <v>12224</v>
      </c>
    </row>
    <row r="4548" spans="1:16" x14ac:dyDescent="0.25">
      <c r="A4548" s="2" t="s">
        <v>12225</v>
      </c>
      <c r="B4548" s="2" t="s">
        <v>7433</v>
      </c>
      <c r="C4548" s="8">
        <v>46280</v>
      </c>
      <c r="D4548" s="6">
        <v>46266</v>
      </c>
      <c r="E4548" s="2" t="s">
        <v>260</v>
      </c>
      <c r="F4548" s="2" t="s">
        <v>12223</v>
      </c>
      <c r="G4548" s="6">
        <v>46235</v>
      </c>
      <c r="H4548" s="2" t="s">
        <v>176</v>
      </c>
      <c r="I4548" s="2" t="s">
        <v>76</v>
      </c>
      <c r="J4548" s="9">
        <v>41958243.902438998</v>
      </c>
      <c r="K4548" s="7">
        <v>6.1299999999999999E-5</v>
      </c>
      <c r="L4548" s="9">
        <v>2572.04</v>
      </c>
      <c r="M4548" s="9">
        <v>2580.4299999999998</v>
      </c>
      <c r="N4548" s="9">
        <v>1.8</v>
      </c>
      <c r="O4548" s="10">
        <f>IF(AND(OR(H4548="APPROVED",H4548="SCHEDULED"),COUNTIFS(tblSource[EventID],F4548,tblSource[ReleaseStatus],"APPROVED")=1,COUNTIFS(Period_Status!$A$2:$A$8,G4548,Period_Status!$B$2:$B$8,"ActualClosed")=1,C4548&gt;EOMONTH(Settlement_Bridge!$C$2,0)),1,0)</f>
        <v>0</v>
      </c>
      <c r="P4548" s="2" t="s">
        <v>12226</v>
      </c>
    </row>
    <row r="4549" spans="1:16" x14ac:dyDescent="0.25">
      <c r="A4549" s="2" t="s">
        <v>12227</v>
      </c>
      <c r="B4549" s="2" t="s">
        <v>7433</v>
      </c>
      <c r="C4549" s="8">
        <v>46256</v>
      </c>
      <c r="D4549" s="6">
        <v>46235</v>
      </c>
      <c r="E4549" s="2" t="s">
        <v>260</v>
      </c>
      <c r="F4549" s="2" t="s">
        <v>12228</v>
      </c>
      <c r="G4549" s="6">
        <v>46235</v>
      </c>
      <c r="H4549" s="2" t="s">
        <v>71</v>
      </c>
      <c r="I4549" s="2" t="s">
        <v>70</v>
      </c>
      <c r="J4549" s="9">
        <v>2816.941538</v>
      </c>
      <c r="K4549" s="7">
        <v>0.65</v>
      </c>
      <c r="L4549" s="9">
        <v>1831.01</v>
      </c>
      <c r="M4549" s="9">
        <v>1831.01</v>
      </c>
      <c r="N4549" s="9">
        <v>1.8</v>
      </c>
      <c r="O4549" s="10">
        <f>IF(AND(OR(H4549="APPROVED",H4549="SCHEDULED"),COUNTIFS(tblSource[EventID],F4549,tblSource[ReleaseStatus],"APPROVED")=1,COUNTIFS(Period_Status!$A$2:$A$8,G4549,Period_Status!$B$2:$B$8,"ActualClosed")=1,C4549&gt;EOMONTH(Settlement_Bridge!$C$2,0)),1,0)</f>
        <v>0</v>
      </c>
      <c r="P4549" s="2" t="s">
        <v>12229</v>
      </c>
    </row>
    <row r="4550" spans="1:16" x14ac:dyDescent="0.25">
      <c r="A4550" s="2" t="s">
        <v>12230</v>
      </c>
      <c r="B4550" s="2" t="s">
        <v>7433</v>
      </c>
      <c r="C4550" s="8">
        <v>46281</v>
      </c>
      <c r="D4550" s="6">
        <v>46266</v>
      </c>
      <c r="E4550" s="2" t="s">
        <v>260</v>
      </c>
      <c r="F4550" s="2" t="s">
        <v>12228</v>
      </c>
      <c r="G4550" s="6">
        <v>46235</v>
      </c>
      <c r="H4550" s="2" t="s">
        <v>176</v>
      </c>
      <c r="I4550" s="2" t="s">
        <v>70</v>
      </c>
      <c r="J4550" s="9">
        <v>4225.4123079999999</v>
      </c>
      <c r="K4550" s="7">
        <v>0.65100000000000002</v>
      </c>
      <c r="L4550" s="9">
        <v>2750.74</v>
      </c>
      <c r="M4550" s="9">
        <v>2746.52</v>
      </c>
      <c r="N4550" s="9">
        <v>1.8</v>
      </c>
      <c r="O4550" s="10">
        <f>IF(AND(OR(H4550="APPROVED",H4550="SCHEDULED"),COUNTIFS(tblSource[EventID],F4550,tblSource[ReleaseStatus],"APPROVED")=1,COUNTIFS(Period_Status!$A$2:$A$8,G4550,Period_Status!$B$2:$B$8,"ActualClosed")=1,C4550&gt;EOMONTH(Settlement_Bridge!$C$2,0)),1,0)</f>
        <v>0</v>
      </c>
      <c r="P4550" s="2" t="s">
        <v>12231</v>
      </c>
    </row>
    <row r="4551" spans="1:16" x14ac:dyDescent="0.25">
      <c r="A4551" s="2" t="s">
        <v>12232</v>
      </c>
      <c r="B4551" s="2" t="s">
        <v>7433</v>
      </c>
      <c r="C4551" s="8">
        <v>46257</v>
      </c>
      <c r="D4551" s="6">
        <v>46235</v>
      </c>
      <c r="E4551" s="2" t="s">
        <v>260</v>
      </c>
      <c r="F4551" s="2" t="s">
        <v>12233</v>
      </c>
      <c r="G4551" s="6">
        <v>46235</v>
      </c>
      <c r="H4551" s="2" t="s">
        <v>71</v>
      </c>
      <c r="I4551" s="2" t="s">
        <v>39</v>
      </c>
      <c r="J4551" s="9">
        <v>1941.12</v>
      </c>
      <c r="K4551" s="7">
        <v>1</v>
      </c>
      <c r="L4551" s="9">
        <v>1941.12</v>
      </c>
      <c r="M4551" s="9">
        <v>1941.12</v>
      </c>
      <c r="N4551" s="9">
        <v>1.8</v>
      </c>
      <c r="O4551" s="10">
        <f>IF(AND(OR(H4551="APPROVED",H4551="SCHEDULED"),COUNTIFS(tblSource[EventID],F4551,tblSource[ReleaseStatus],"APPROVED")=1,COUNTIFS(Period_Status!$A$2:$A$8,G4551,Period_Status!$B$2:$B$8,"ActualClosed")=1,C4551&gt;EOMONTH(Settlement_Bridge!$C$2,0)),1,0)</f>
        <v>0</v>
      </c>
      <c r="P4551" s="2" t="s">
        <v>12234</v>
      </c>
    </row>
    <row r="4552" spans="1:16" x14ac:dyDescent="0.25">
      <c r="A4552" s="2" t="s">
        <v>12235</v>
      </c>
      <c r="B4552" s="2" t="s">
        <v>7433</v>
      </c>
      <c r="C4552" s="8">
        <v>46282</v>
      </c>
      <c r="D4552" s="6">
        <v>46266</v>
      </c>
      <c r="E4552" s="2" t="s">
        <v>260</v>
      </c>
      <c r="F4552" s="2" t="s">
        <v>12233</v>
      </c>
      <c r="G4552" s="6">
        <v>46235</v>
      </c>
      <c r="H4552" s="2" t="s">
        <v>176</v>
      </c>
      <c r="I4552" s="2" t="s">
        <v>39</v>
      </c>
      <c r="J4552" s="9">
        <v>2911.68</v>
      </c>
      <c r="K4552" s="7">
        <v>1</v>
      </c>
      <c r="L4552" s="9">
        <v>2911.68</v>
      </c>
      <c r="M4552" s="9">
        <v>2911.68</v>
      </c>
      <c r="N4552" s="9">
        <v>1.8</v>
      </c>
      <c r="O4552" s="10">
        <f>IF(AND(OR(H4552="APPROVED",H4552="SCHEDULED"),COUNTIFS(tblSource[EventID],F4552,tblSource[ReleaseStatus],"APPROVED")=1,COUNTIFS(Period_Status!$A$2:$A$8,G4552,Period_Status!$B$2:$B$8,"ActualClosed")=1,C4552&gt;EOMONTH(Settlement_Bridge!$C$2,0)),1,0)</f>
        <v>0</v>
      </c>
      <c r="P4552" s="2" t="s">
        <v>12236</v>
      </c>
    </row>
    <row r="4553" spans="1:16" x14ac:dyDescent="0.25">
      <c r="A4553" s="2" t="s">
        <v>12237</v>
      </c>
      <c r="B4553" s="2" t="s">
        <v>7433</v>
      </c>
      <c r="C4553" s="8">
        <v>46258</v>
      </c>
      <c r="D4553" s="6">
        <v>46235</v>
      </c>
      <c r="E4553" s="2" t="s">
        <v>260</v>
      </c>
      <c r="F4553" s="2" t="s">
        <v>12238</v>
      </c>
      <c r="G4553" s="6">
        <v>46235</v>
      </c>
      <c r="H4553" s="2" t="s">
        <v>71</v>
      </c>
      <c r="I4553" s="2" t="s">
        <v>76</v>
      </c>
      <c r="J4553" s="9">
        <v>33363382.113821</v>
      </c>
      <c r="K4553" s="7">
        <v>6.1500000000000004E-5</v>
      </c>
      <c r="L4553" s="9">
        <v>2051.85</v>
      </c>
      <c r="M4553" s="9">
        <v>2051.85</v>
      </c>
      <c r="N4553" s="9">
        <v>1.8</v>
      </c>
      <c r="O4553" s="10">
        <f>IF(AND(OR(H4553="APPROVED",H4553="SCHEDULED"),COUNTIFS(tblSource[EventID],F4553,tblSource[ReleaseStatus],"APPROVED")=1,COUNTIFS(Period_Status!$A$2:$A$8,G4553,Period_Status!$B$2:$B$8,"ActualClosed")=1,C4553&gt;EOMONTH(Settlement_Bridge!$C$2,0)),1,0)</f>
        <v>0</v>
      </c>
      <c r="P4553" s="2" t="s">
        <v>12239</v>
      </c>
    </row>
    <row r="4554" spans="1:16" x14ac:dyDescent="0.25">
      <c r="A4554" s="2" t="s">
        <v>12240</v>
      </c>
      <c r="B4554" s="2" t="s">
        <v>7433</v>
      </c>
      <c r="C4554" s="8">
        <v>46283</v>
      </c>
      <c r="D4554" s="6">
        <v>46266</v>
      </c>
      <c r="E4554" s="2" t="s">
        <v>260</v>
      </c>
      <c r="F4554" s="2" t="s">
        <v>12238</v>
      </c>
      <c r="G4554" s="6">
        <v>46235</v>
      </c>
      <c r="H4554" s="2" t="s">
        <v>176</v>
      </c>
      <c r="I4554" s="2" t="s">
        <v>76</v>
      </c>
      <c r="J4554" s="9">
        <v>50045073.170731999</v>
      </c>
      <c r="K4554" s="7">
        <v>6.1299999999999999E-5</v>
      </c>
      <c r="L4554" s="9">
        <v>3067.76</v>
      </c>
      <c r="M4554" s="9">
        <v>3077.77</v>
      </c>
      <c r="N4554" s="9">
        <v>1.8</v>
      </c>
      <c r="O4554" s="10">
        <f>IF(AND(OR(H4554="APPROVED",H4554="SCHEDULED"),COUNTIFS(tblSource[EventID],F4554,tblSource[ReleaseStatus],"APPROVED")=1,COUNTIFS(Period_Status!$A$2:$A$8,G4554,Period_Status!$B$2:$B$8,"ActualClosed")=1,C4554&gt;EOMONTH(Settlement_Bridge!$C$2,0)),1,0)</f>
        <v>0</v>
      </c>
      <c r="P4554" s="2" t="s">
        <v>12241</v>
      </c>
    </row>
    <row r="4555" spans="1:16" x14ac:dyDescent="0.25">
      <c r="A4555" s="2" t="s">
        <v>12242</v>
      </c>
      <c r="B4555" s="2" t="s">
        <v>7433</v>
      </c>
      <c r="C4555" s="8">
        <v>46259</v>
      </c>
      <c r="D4555" s="6">
        <v>46235</v>
      </c>
      <c r="E4555" s="2" t="s">
        <v>260</v>
      </c>
      <c r="F4555" s="2" t="s">
        <v>12243</v>
      </c>
      <c r="G4555" s="6">
        <v>46235</v>
      </c>
      <c r="H4555" s="2" t="s">
        <v>71</v>
      </c>
      <c r="I4555" s="2" t="s">
        <v>70</v>
      </c>
      <c r="J4555" s="9">
        <v>3327.0338459999998</v>
      </c>
      <c r="K4555" s="7">
        <v>0.65</v>
      </c>
      <c r="L4555" s="9">
        <v>2162.5700000000002</v>
      </c>
      <c r="M4555" s="9">
        <v>2162.5700000000002</v>
      </c>
      <c r="N4555" s="9">
        <v>1.8</v>
      </c>
      <c r="O4555" s="10">
        <f>IF(AND(OR(H4555="APPROVED",H4555="SCHEDULED"),COUNTIFS(tblSource[EventID],F4555,tblSource[ReleaseStatus],"APPROVED")=1,COUNTIFS(Period_Status!$A$2:$A$8,G4555,Period_Status!$B$2:$B$8,"ActualClosed")=1,C4555&gt;EOMONTH(Settlement_Bridge!$C$2,0)),1,0)</f>
        <v>0</v>
      </c>
      <c r="P4555" s="2" t="s">
        <v>12244</v>
      </c>
    </row>
    <row r="4556" spans="1:16" x14ac:dyDescent="0.25">
      <c r="A4556" s="2" t="s">
        <v>12245</v>
      </c>
      <c r="B4556" s="2" t="s">
        <v>7433</v>
      </c>
      <c r="C4556" s="8">
        <v>46284</v>
      </c>
      <c r="D4556" s="6">
        <v>46266</v>
      </c>
      <c r="E4556" s="2" t="s">
        <v>260</v>
      </c>
      <c r="F4556" s="2" t="s">
        <v>12243</v>
      </c>
      <c r="G4556" s="6">
        <v>46235</v>
      </c>
      <c r="H4556" s="2" t="s">
        <v>176</v>
      </c>
      <c r="I4556" s="2" t="s">
        <v>70</v>
      </c>
      <c r="J4556" s="9">
        <v>4990.5507690000004</v>
      </c>
      <c r="K4556" s="7">
        <v>0.65100000000000002</v>
      </c>
      <c r="L4556" s="9">
        <v>3248.85</v>
      </c>
      <c r="M4556" s="9">
        <v>3243.86</v>
      </c>
      <c r="N4556" s="9">
        <v>1.8</v>
      </c>
      <c r="O4556" s="10">
        <f>IF(AND(OR(H4556="APPROVED",H4556="SCHEDULED"),COUNTIFS(tblSource[EventID],F4556,tblSource[ReleaseStatus],"APPROVED")=1,COUNTIFS(Period_Status!$A$2:$A$8,G4556,Period_Status!$B$2:$B$8,"ActualClosed")=1,C4556&gt;EOMONTH(Settlement_Bridge!$C$2,0)),1,0)</f>
        <v>0</v>
      </c>
      <c r="P4556" s="2" t="s">
        <v>12246</v>
      </c>
    </row>
    <row r="4557" spans="1:16" x14ac:dyDescent="0.25">
      <c r="A4557" s="2" t="s">
        <v>12247</v>
      </c>
      <c r="B4557" s="2" t="s">
        <v>7433</v>
      </c>
      <c r="C4557" s="8">
        <v>46260</v>
      </c>
      <c r="D4557" s="6">
        <v>46235</v>
      </c>
      <c r="E4557" s="2" t="s">
        <v>260</v>
      </c>
      <c r="F4557" s="2" t="s">
        <v>12248</v>
      </c>
      <c r="G4557" s="6">
        <v>46235</v>
      </c>
      <c r="H4557" s="2" t="s">
        <v>71</v>
      </c>
      <c r="I4557" s="2" t="s">
        <v>39</v>
      </c>
      <c r="J4557" s="9">
        <v>2273.3000000000002</v>
      </c>
      <c r="K4557" s="7">
        <v>1</v>
      </c>
      <c r="L4557" s="9">
        <v>2273.3000000000002</v>
      </c>
      <c r="M4557" s="9">
        <v>2273.3000000000002</v>
      </c>
      <c r="N4557" s="9">
        <v>1.8</v>
      </c>
      <c r="O4557" s="10">
        <f>IF(AND(OR(H4557="APPROVED",H4557="SCHEDULED"),COUNTIFS(tblSource[EventID],F4557,tblSource[ReleaseStatus],"APPROVED")=1,COUNTIFS(Period_Status!$A$2:$A$8,G4557,Period_Status!$B$2:$B$8,"ActualClosed")=1,C4557&gt;EOMONTH(Settlement_Bridge!$C$2,0)),1,0)</f>
        <v>0</v>
      </c>
      <c r="P4557" s="2" t="s">
        <v>12249</v>
      </c>
    </row>
    <row r="4558" spans="1:16" x14ac:dyDescent="0.25">
      <c r="A4558" s="2" t="s">
        <v>12250</v>
      </c>
      <c r="B4558" s="2" t="s">
        <v>7433</v>
      </c>
      <c r="C4558" s="8">
        <v>46285</v>
      </c>
      <c r="D4558" s="6">
        <v>46266</v>
      </c>
      <c r="E4558" s="2" t="s">
        <v>260</v>
      </c>
      <c r="F4558" s="2" t="s">
        <v>12248</v>
      </c>
      <c r="G4558" s="6">
        <v>46235</v>
      </c>
      <c r="H4558" s="2" t="s">
        <v>176</v>
      </c>
      <c r="I4558" s="2" t="s">
        <v>39</v>
      </c>
      <c r="J4558" s="9">
        <v>3409.95</v>
      </c>
      <c r="K4558" s="7">
        <v>1</v>
      </c>
      <c r="L4558" s="9">
        <v>3409.95</v>
      </c>
      <c r="M4558" s="9">
        <v>3409.95</v>
      </c>
      <c r="N4558" s="9">
        <v>1.88</v>
      </c>
      <c r="O4558" s="10">
        <f>IF(AND(OR(H4558="APPROVED",H4558="SCHEDULED"),COUNTIFS(tblSource[EventID],F4558,tblSource[ReleaseStatus],"APPROVED")=1,COUNTIFS(Period_Status!$A$2:$A$8,G4558,Period_Status!$B$2:$B$8,"ActualClosed")=1,C4558&gt;EOMONTH(Settlement_Bridge!$C$2,0)),1,0)</f>
        <v>0</v>
      </c>
      <c r="P4558" s="2" t="s">
        <v>12251</v>
      </c>
    </row>
    <row r="4559" spans="1:16" x14ac:dyDescent="0.25">
      <c r="A4559" s="2" t="s">
        <v>12252</v>
      </c>
      <c r="B4559" s="2" t="s">
        <v>7433</v>
      </c>
      <c r="C4559" s="8">
        <v>46261</v>
      </c>
      <c r="D4559" s="6">
        <v>46235</v>
      </c>
      <c r="E4559" s="2" t="s">
        <v>260</v>
      </c>
      <c r="F4559" s="2" t="s">
        <v>12253</v>
      </c>
      <c r="G4559" s="6">
        <v>46235</v>
      </c>
      <c r="H4559" s="2" t="s">
        <v>71</v>
      </c>
      <c r="I4559" s="2" t="s">
        <v>76</v>
      </c>
      <c r="J4559" s="9">
        <v>38764617.886179</v>
      </c>
      <c r="K4559" s="7">
        <v>6.1500000000000004E-5</v>
      </c>
      <c r="L4559" s="9">
        <v>2384.02</v>
      </c>
      <c r="M4559" s="9">
        <v>2384.02</v>
      </c>
      <c r="N4559" s="9">
        <v>1.8</v>
      </c>
      <c r="O4559" s="10">
        <f>IF(AND(OR(H4559="APPROVED",H4559="SCHEDULED"),COUNTIFS(tblSource[EventID],F4559,tblSource[ReleaseStatus],"APPROVED")=1,COUNTIFS(Period_Status!$A$2:$A$8,G4559,Period_Status!$B$2:$B$8,"ActualClosed")=1,C4559&gt;EOMONTH(Settlement_Bridge!$C$2,0)),1,0)</f>
        <v>0</v>
      </c>
      <c r="P4559" s="2" t="s">
        <v>12254</v>
      </c>
    </row>
    <row r="4560" spans="1:16" x14ac:dyDescent="0.25">
      <c r="A4560" s="2" t="s">
        <v>12255</v>
      </c>
      <c r="B4560" s="2" t="s">
        <v>7433</v>
      </c>
      <c r="C4560" s="8">
        <v>46286</v>
      </c>
      <c r="D4560" s="6">
        <v>46266</v>
      </c>
      <c r="E4560" s="2" t="s">
        <v>260</v>
      </c>
      <c r="F4560" s="2" t="s">
        <v>12253</v>
      </c>
      <c r="G4560" s="6">
        <v>46235</v>
      </c>
      <c r="H4560" s="2" t="s">
        <v>176</v>
      </c>
      <c r="I4560" s="2" t="s">
        <v>76</v>
      </c>
      <c r="J4560" s="9">
        <v>58146926.829268001</v>
      </c>
      <c r="K4560" s="7">
        <v>6.1299999999999999E-5</v>
      </c>
      <c r="L4560" s="9">
        <v>3564.41</v>
      </c>
      <c r="M4560" s="9">
        <v>3576.04</v>
      </c>
      <c r="N4560" s="9">
        <v>1.96</v>
      </c>
      <c r="O4560" s="10">
        <f>IF(AND(OR(H4560="APPROVED",H4560="SCHEDULED"),COUNTIFS(tblSource[EventID],F4560,tblSource[ReleaseStatus],"APPROVED")=1,COUNTIFS(Period_Status!$A$2:$A$8,G4560,Period_Status!$B$2:$B$8,"ActualClosed")=1,C4560&gt;EOMONTH(Settlement_Bridge!$C$2,0)),1,0)</f>
        <v>0</v>
      </c>
      <c r="P4560" s="2" t="s">
        <v>12256</v>
      </c>
    </row>
    <row r="4561" spans="1:16" x14ac:dyDescent="0.25">
      <c r="A4561" s="2" t="s">
        <v>12257</v>
      </c>
      <c r="B4561" s="2" t="s">
        <v>7433</v>
      </c>
      <c r="C4561" s="8">
        <v>46262</v>
      </c>
      <c r="D4561" s="6">
        <v>46235</v>
      </c>
      <c r="E4561" s="2" t="s">
        <v>260</v>
      </c>
      <c r="F4561" s="2" t="s">
        <v>12258</v>
      </c>
      <c r="G4561" s="6">
        <v>46235</v>
      </c>
      <c r="H4561" s="2" t="s">
        <v>71</v>
      </c>
      <c r="I4561" s="2" t="s">
        <v>70</v>
      </c>
      <c r="J4561" s="9">
        <v>3838.08</v>
      </c>
      <c r="K4561" s="7">
        <v>0.65</v>
      </c>
      <c r="L4561" s="9">
        <v>2494.75</v>
      </c>
      <c r="M4561" s="9">
        <v>2494.75</v>
      </c>
      <c r="N4561" s="9">
        <v>1.8</v>
      </c>
      <c r="O4561" s="10">
        <f>IF(AND(OR(H4561="APPROVED",H4561="SCHEDULED"),COUNTIFS(tblSource[EventID],F4561,tblSource[ReleaseStatus],"APPROVED")=1,COUNTIFS(Period_Status!$A$2:$A$8,G4561,Period_Status!$B$2:$B$8,"ActualClosed")=1,C4561&gt;EOMONTH(Settlement_Bridge!$C$2,0)),1,0)</f>
        <v>0</v>
      </c>
      <c r="P4561" s="2" t="s">
        <v>12259</v>
      </c>
    </row>
    <row r="4562" spans="1:16" x14ac:dyDescent="0.25">
      <c r="A4562" s="2" t="s">
        <v>12260</v>
      </c>
      <c r="B4562" s="2" t="s">
        <v>7433</v>
      </c>
      <c r="C4562" s="8">
        <v>46287</v>
      </c>
      <c r="D4562" s="6">
        <v>46266</v>
      </c>
      <c r="E4562" s="2" t="s">
        <v>260</v>
      </c>
      <c r="F4562" s="2" t="s">
        <v>12258</v>
      </c>
      <c r="G4562" s="6">
        <v>46235</v>
      </c>
      <c r="H4562" s="2" t="s">
        <v>176</v>
      </c>
      <c r="I4562" s="2" t="s">
        <v>70</v>
      </c>
      <c r="J4562" s="9">
        <v>5757.12</v>
      </c>
      <c r="K4562" s="7">
        <v>0.65100000000000002</v>
      </c>
      <c r="L4562" s="9">
        <v>3747.89</v>
      </c>
      <c r="M4562" s="9">
        <v>3742.13</v>
      </c>
      <c r="N4562" s="9">
        <v>2.06</v>
      </c>
      <c r="O4562" s="10">
        <f>IF(AND(OR(H4562="APPROVED",H4562="SCHEDULED"),COUNTIFS(tblSource[EventID],F4562,tblSource[ReleaseStatus],"APPROVED")=1,COUNTIFS(Period_Status!$A$2:$A$8,G4562,Period_Status!$B$2:$B$8,"ActualClosed")=1,C4562&gt;EOMONTH(Settlement_Bridge!$C$2,0)),1,0)</f>
        <v>0</v>
      </c>
      <c r="P4562" s="2" t="s">
        <v>12261</v>
      </c>
    </row>
    <row r="4563" spans="1:16" x14ac:dyDescent="0.25">
      <c r="A4563" s="2" t="s">
        <v>12262</v>
      </c>
      <c r="B4563" s="2" t="s">
        <v>7433</v>
      </c>
      <c r="C4563" s="8">
        <v>46263</v>
      </c>
      <c r="D4563" s="6">
        <v>46235</v>
      </c>
      <c r="E4563" s="2" t="s">
        <v>260</v>
      </c>
      <c r="F4563" s="2" t="s">
        <v>12263</v>
      </c>
      <c r="G4563" s="6">
        <v>46235</v>
      </c>
      <c r="H4563" s="2" t="s">
        <v>71</v>
      </c>
      <c r="I4563" s="2" t="s">
        <v>39</v>
      </c>
      <c r="J4563" s="9">
        <v>2605.48</v>
      </c>
      <c r="K4563" s="7">
        <v>1</v>
      </c>
      <c r="L4563" s="9">
        <v>2605.48</v>
      </c>
      <c r="M4563" s="9">
        <v>2605.48</v>
      </c>
      <c r="N4563" s="9">
        <v>1.8</v>
      </c>
      <c r="O4563" s="10">
        <f>IF(AND(OR(H4563="APPROVED",H4563="SCHEDULED"),COUNTIFS(tblSource[EventID],F4563,tblSource[ReleaseStatus],"APPROVED")=1,COUNTIFS(Period_Status!$A$2:$A$8,G4563,Period_Status!$B$2:$B$8,"ActualClosed")=1,C4563&gt;EOMONTH(Settlement_Bridge!$C$2,0)),1,0)</f>
        <v>0</v>
      </c>
      <c r="P4563" s="2" t="s">
        <v>12264</v>
      </c>
    </row>
    <row r="4564" spans="1:16" x14ac:dyDescent="0.25">
      <c r="A4564" s="2" t="s">
        <v>12265</v>
      </c>
      <c r="B4564" s="2" t="s">
        <v>7433</v>
      </c>
      <c r="C4564" s="8">
        <v>46288</v>
      </c>
      <c r="D4564" s="6">
        <v>46266</v>
      </c>
      <c r="E4564" s="2" t="s">
        <v>260</v>
      </c>
      <c r="F4564" s="2" t="s">
        <v>12263</v>
      </c>
      <c r="G4564" s="6">
        <v>46235</v>
      </c>
      <c r="H4564" s="2" t="s">
        <v>176</v>
      </c>
      <c r="I4564" s="2" t="s">
        <v>39</v>
      </c>
      <c r="J4564" s="9">
        <v>3908.22</v>
      </c>
      <c r="K4564" s="7">
        <v>1</v>
      </c>
      <c r="L4564" s="9">
        <v>3908.22</v>
      </c>
      <c r="M4564" s="9">
        <v>3908.22</v>
      </c>
      <c r="N4564" s="9">
        <v>2.15</v>
      </c>
      <c r="O4564" s="10">
        <f>IF(AND(OR(H4564="APPROVED",H4564="SCHEDULED"),COUNTIFS(tblSource[EventID],F4564,tblSource[ReleaseStatus],"APPROVED")=1,COUNTIFS(Period_Status!$A$2:$A$8,G4564,Period_Status!$B$2:$B$8,"ActualClosed")=1,C4564&gt;EOMONTH(Settlement_Bridge!$C$2,0)),1,0)</f>
        <v>0</v>
      </c>
      <c r="P4564" s="2" t="s">
        <v>12266</v>
      </c>
    </row>
    <row r="4565" spans="1:16" x14ac:dyDescent="0.25">
      <c r="A4565" s="2" t="s">
        <v>12267</v>
      </c>
      <c r="B4565" s="2" t="s">
        <v>7433</v>
      </c>
      <c r="C4565" s="8">
        <v>46264</v>
      </c>
      <c r="D4565" s="6">
        <v>46235</v>
      </c>
      <c r="E4565" s="2" t="s">
        <v>260</v>
      </c>
      <c r="F4565" s="2" t="s">
        <v>12268</v>
      </c>
      <c r="G4565" s="6">
        <v>46235</v>
      </c>
      <c r="H4565" s="2" t="s">
        <v>71</v>
      </c>
      <c r="I4565" s="2" t="s">
        <v>76</v>
      </c>
      <c r="J4565" s="9">
        <v>44165918.699187003</v>
      </c>
      <c r="K4565" s="7">
        <v>6.1500000000000004E-5</v>
      </c>
      <c r="L4565" s="9">
        <v>2716.2</v>
      </c>
      <c r="M4565" s="9">
        <v>2716.2</v>
      </c>
      <c r="N4565" s="9">
        <v>1.8</v>
      </c>
      <c r="O4565" s="10">
        <f>IF(AND(OR(H4565="APPROVED",H4565="SCHEDULED"),COUNTIFS(tblSource[EventID],F4565,tblSource[ReleaseStatus],"APPROVED")=1,COUNTIFS(Period_Status!$A$2:$A$8,G4565,Period_Status!$B$2:$B$8,"ActualClosed")=1,C4565&gt;EOMONTH(Settlement_Bridge!$C$2,0)),1,0)</f>
        <v>0</v>
      </c>
      <c r="P4565" s="2" t="s">
        <v>12269</v>
      </c>
    </row>
    <row r="4566" spans="1:16" x14ac:dyDescent="0.25">
      <c r="A4566" s="2" t="s">
        <v>12270</v>
      </c>
      <c r="B4566" s="2" t="s">
        <v>7433</v>
      </c>
      <c r="C4566" s="8">
        <v>46289</v>
      </c>
      <c r="D4566" s="6">
        <v>46266</v>
      </c>
      <c r="E4566" s="2" t="s">
        <v>260</v>
      </c>
      <c r="F4566" s="2" t="s">
        <v>12268</v>
      </c>
      <c r="G4566" s="6">
        <v>46235</v>
      </c>
      <c r="H4566" s="2" t="s">
        <v>176</v>
      </c>
      <c r="I4566" s="2" t="s">
        <v>76</v>
      </c>
      <c r="J4566" s="9">
        <v>66248878.048780002</v>
      </c>
      <c r="K4566" s="7">
        <v>6.1299999999999999E-5</v>
      </c>
      <c r="L4566" s="9">
        <v>4061.06</v>
      </c>
      <c r="M4566" s="9">
        <v>4074.31</v>
      </c>
      <c r="N4566" s="9">
        <v>2.23</v>
      </c>
      <c r="O4566" s="10">
        <f>IF(AND(OR(H4566="APPROVED",H4566="SCHEDULED"),COUNTIFS(tblSource[EventID],F4566,tblSource[ReleaseStatus],"APPROVED")=1,COUNTIFS(Period_Status!$A$2:$A$8,G4566,Period_Status!$B$2:$B$8,"ActualClosed")=1,C4566&gt;EOMONTH(Settlement_Bridge!$C$2,0)),1,0)</f>
        <v>0</v>
      </c>
      <c r="P4566" s="2" t="s">
        <v>12271</v>
      </c>
    </row>
    <row r="4567" spans="1:16" x14ac:dyDescent="0.25">
      <c r="A4567" s="2" t="s">
        <v>12272</v>
      </c>
      <c r="B4567" s="2" t="s">
        <v>7433</v>
      </c>
      <c r="C4567" s="8">
        <v>46265</v>
      </c>
      <c r="D4567" s="6">
        <v>46235</v>
      </c>
      <c r="E4567" s="2" t="s">
        <v>260</v>
      </c>
      <c r="F4567" s="2" t="s">
        <v>12273</v>
      </c>
      <c r="G4567" s="6">
        <v>46235</v>
      </c>
      <c r="H4567" s="2" t="s">
        <v>71</v>
      </c>
      <c r="I4567" s="2" t="s">
        <v>70</v>
      </c>
      <c r="J4567" s="9">
        <v>4349.1261539999996</v>
      </c>
      <c r="K4567" s="7">
        <v>0.65</v>
      </c>
      <c r="L4567" s="9">
        <v>2826.93</v>
      </c>
      <c r="M4567" s="9">
        <v>2826.93</v>
      </c>
      <c r="N4567" s="9">
        <v>1.8</v>
      </c>
      <c r="O4567" s="10">
        <f>IF(AND(OR(H4567="APPROVED",H4567="SCHEDULED"),COUNTIFS(tblSource[EventID],F4567,tblSource[ReleaseStatus],"APPROVED")=1,COUNTIFS(Period_Status!$A$2:$A$8,G4567,Period_Status!$B$2:$B$8,"ActualClosed")=1,C4567&gt;EOMONTH(Settlement_Bridge!$C$2,0)),1,0)</f>
        <v>0</v>
      </c>
      <c r="P4567" s="2" t="s">
        <v>12274</v>
      </c>
    </row>
    <row r="4568" spans="1:16" x14ac:dyDescent="0.25">
      <c r="A4568" s="2" t="s">
        <v>12275</v>
      </c>
      <c r="B4568" s="2" t="s">
        <v>7433</v>
      </c>
      <c r="C4568" s="8">
        <v>46290</v>
      </c>
      <c r="D4568" s="6">
        <v>46266</v>
      </c>
      <c r="E4568" s="2" t="s">
        <v>260</v>
      </c>
      <c r="F4568" s="2" t="s">
        <v>12273</v>
      </c>
      <c r="G4568" s="6">
        <v>46235</v>
      </c>
      <c r="H4568" s="2" t="s">
        <v>176</v>
      </c>
      <c r="I4568" s="2" t="s">
        <v>70</v>
      </c>
      <c r="J4568" s="9">
        <v>6523.6892310000003</v>
      </c>
      <c r="K4568" s="7">
        <v>0.65100000000000002</v>
      </c>
      <c r="L4568" s="9">
        <v>4246.92</v>
      </c>
      <c r="M4568" s="9">
        <v>4240.3999999999996</v>
      </c>
      <c r="N4568" s="9">
        <v>2.34</v>
      </c>
      <c r="O4568" s="10">
        <f>IF(AND(OR(H4568="APPROVED",H4568="SCHEDULED"),COUNTIFS(tblSource[EventID],F4568,tblSource[ReleaseStatus],"APPROVED")=1,COUNTIFS(Period_Status!$A$2:$A$8,G4568,Period_Status!$B$2:$B$8,"ActualClosed")=1,C4568&gt;EOMONTH(Settlement_Bridge!$C$2,0)),1,0)</f>
        <v>0</v>
      </c>
      <c r="P4568" s="2" t="s">
        <v>12276</v>
      </c>
    </row>
    <row r="4569" spans="1:16" x14ac:dyDescent="0.25">
      <c r="A4569" s="2" t="s">
        <v>12277</v>
      </c>
      <c r="B4569" s="2" t="s">
        <v>7433</v>
      </c>
      <c r="C4569" s="8">
        <v>46266</v>
      </c>
      <c r="D4569" s="6">
        <v>46266</v>
      </c>
      <c r="E4569" s="2" t="s">
        <v>260</v>
      </c>
      <c r="F4569" s="2" t="s">
        <v>12278</v>
      </c>
      <c r="G4569" s="6">
        <v>46235</v>
      </c>
      <c r="H4569" s="2" t="s">
        <v>176</v>
      </c>
      <c r="I4569" s="2" t="s">
        <v>39</v>
      </c>
      <c r="J4569" s="9">
        <v>2937.6559999999999</v>
      </c>
      <c r="K4569" s="7">
        <v>1</v>
      </c>
      <c r="L4569" s="9">
        <v>2937.66</v>
      </c>
      <c r="M4569" s="9">
        <v>2937.66</v>
      </c>
      <c r="N4569" s="9">
        <v>1.8</v>
      </c>
      <c r="O4569" s="10">
        <f>IF(AND(OR(H4569="APPROVED",H4569="SCHEDULED"),COUNTIFS(tblSource[EventID],F4569,tblSource[ReleaseStatus],"APPROVED")=1,COUNTIFS(Period_Status!$A$2:$A$8,G4569,Period_Status!$B$2:$B$8,"ActualClosed")=1,C4569&gt;EOMONTH(Settlement_Bridge!$C$2,0)),1,0)</f>
        <v>0</v>
      </c>
      <c r="P4569" s="2" t="s">
        <v>12279</v>
      </c>
    </row>
    <row r="4570" spans="1:16" x14ac:dyDescent="0.25">
      <c r="A4570" s="2" t="s">
        <v>12280</v>
      </c>
      <c r="B4570" s="2" t="s">
        <v>7433</v>
      </c>
      <c r="C4570" s="8">
        <v>46291</v>
      </c>
      <c r="D4570" s="6">
        <v>46266</v>
      </c>
      <c r="E4570" s="2" t="s">
        <v>260</v>
      </c>
      <c r="F4570" s="2" t="s">
        <v>12278</v>
      </c>
      <c r="G4570" s="6">
        <v>46235</v>
      </c>
      <c r="H4570" s="2" t="s">
        <v>176</v>
      </c>
      <c r="I4570" s="2" t="s">
        <v>39</v>
      </c>
      <c r="J4570" s="9">
        <v>4406.4840000000004</v>
      </c>
      <c r="K4570" s="7">
        <v>1</v>
      </c>
      <c r="L4570" s="9">
        <v>4406.4799999999996</v>
      </c>
      <c r="M4570" s="9">
        <v>4406.4799999999996</v>
      </c>
      <c r="N4570" s="9">
        <v>2.42</v>
      </c>
      <c r="O4570" s="10">
        <f>IF(AND(OR(H4570="APPROVED",H4570="SCHEDULED"),COUNTIFS(tblSource[EventID],F4570,tblSource[ReleaseStatus],"APPROVED")=1,COUNTIFS(Period_Status!$A$2:$A$8,G4570,Period_Status!$B$2:$B$8,"ActualClosed")=1,C4570&gt;EOMONTH(Settlement_Bridge!$C$2,0)),1,0)</f>
        <v>0</v>
      </c>
      <c r="P4570" s="2" t="s">
        <v>12281</v>
      </c>
    </row>
    <row r="4571" spans="1:16" x14ac:dyDescent="0.25">
      <c r="A4571" s="2" t="s">
        <v>12282</v>
      </c>
      <c r="B4571" s="2" t="s">
        <v>7433</v>
      </c>
      <c r="C4571" s="8">
        <v>46267</v>
      </c>
      <c r="D4571" s="6">
        <v>46266</v>
      </c>
      <c r="E4571" s="2" t="s">
        <v>260</v>
      </c>
      <c r="F4571" s="2" t="s">
        <v>12283</v>
      </c>
      <c r="G4571" s="6">
        <v>46235</v>
      </c>
      <c r="H4571" s="2" t="s">
        <v>176</v>
      </c>
      <c r="I4571" s="2" t="s">
        <v>76</v>
      </c>
      <c r="J4571" s="9">
        <v>49567219.512194999</v>
      </c>
      <c r="K4571" s="7">
        <v>6.1299999999999999E-5</v>
      </c>
      <c r="L4571" s="9">
        <v>3038.47</v>
      </c>
      <c r="M4571" s="9">
        <v>3048.38</v>
      </c>
      <c r="N4571" s="9">
        <v>1.8</v>
      </c>
      <c r="O4571" s="10">
        <f>IF(AND(OR(H4571="APPROVED",H4571="SCHEDULED"),COUNTIFS(tblSource[EventID],F4571,tblSource[ReleaseStatus],"APPROVED")=1,COUNTIFS(Period_Status!$A$2:$A$8,G4571,Period_Status!$B$2:$B$8,"ActualClosed")=1,C4571&gt;EOMONTH(Settlement_Bridge!$C$2,0)),1,0)</f>
        <v>0</v>
      </c>
      <c r="P4571" s="2" t="s">
        <v>12284</v>
      </c>
    </row>
    <row r="4572" spans="1:16" x14ac:dyDescent="0.25">
      <c r="A4572" s="2" t="s">
        <v>12285</v>
      </c>
      <c r="B4572" s="2" t="s">
        <v>7433</v>
      </c>
      <c r="C4572" s="8">
        <v>46292</v>
      </c>
      <c r="D4572" s="6">
        <v>46266</v>
      </c>
      <c r="E4572" s="2" t="s">
        <v>260</v>
      </c>
      <c r="F4572" s="2" t="s">
        <v>12283</v>
      </c>
      <c r="G4572" s="6">
        <v>46235</v>
      </c>
      <c r="H4572" s="2" t="s">
        <v>176</v>
      </c>
      <c r="I4572" s="2" t="s">
        <v>76</v>
      </c>
      <c r="J4572" s="9">
        <v>74350829.268292993</v>
      </c>
      <c r="K4572" s="7">
        <v>6.1299999999999999E-5</v>
      </c>
      <c r="L4572" s="9">
        <v>4557.71</v>
      </c>
      <c r="M4572" s="9">
        <v>4572.58</v>
      </c>
      <c r="N4572" s="9">
        <v>2.5099999999999998</v>
      </c>
      <c r="O4572" s="10">
        <f>IF(AND(OR(H4572="APPROVED",H4572="SCHEDULED"),COUNTIFS(tblSource[EventID],F4572,tblSource[ReleaseStatus],"APPROVED")=1,COUNTIFS(Period_Status!$A$2:$A$8,G4572,Period_Status!$B$2:$B$8,"ActualClosed")=1,C4572&gt;EOMONTH(Settlement_Bridge!$C$2,0)),1,0)</f>
        <v>0</v>
      </c>
      <c r="P4572" s="2" t="s">
        <v>12286</v>
      </c>
    </row>
    <row r="4573" spans="1:16" x14ac:dyDescent="0.25">
      <c r="A4573" s="2" t="s">
        <v>12287</v>
      </c>
      <c r="B4573" s="2" t="s">
        <v>7433</v>
      </c>
      <c r="C4573" s="8">
        <v>46268</v>
      </c>
      <c r="D4573" s="6">
        <v>46266</v>
      </c>
      <c r="E4573" s="2" t="s">
        <v>260</v>
      </c>
      <c r="F4573" s="2" t="s">
        <v>12288</v>
      </c>
      <c r="G4573" s="6">
        <v>46235</v>
      </c>
      <c r="H4573" s="2" t="s">
        <v>176</v>
      </c>
      <c r="I4573" s="2" t="s">
        <v>70</v>
      </c>
      <c r="J4573" s="9">
        <v>4860.1661539999996</v>
      </c>
      <c r="K4573" s="7">
        <v>0.65100000000000002</v>
      </c>
      <c r="L4573" s="9">
        <v>3163.97</v>
      </c>
      <c r="M4573" s="9">
        <v>3159.11</v>
      </c>
      <c r="N4573" s="9">
        <v>1.8</v>
      </c>
      <c r="O4573" s="10">
        <f>IF(AND(OR(H4573="APPROVED",H4573="SCHEDULED"),COUNTIFS(tblSource[EventID],F4573,tblSource[ReleaseStatus],"APPROVED")=1,COUNTIFS(Period_Status!$A$2:$A$8,G4573,Period_Status!$B$2:$B$8,"ActualClosed")=1,C4573&gt;EOMONTH(Settlement_Bridge!$C$2,0)),1,0)</f>
        <v>0</v>
      </c>
      <c r="P4573" s="2" t="s">
        <v>12289</v>
      </c>
    </row>
    <row r="4574" spans="1:16" x14ac:dyDescent="0.25">
      <c r="A4574" s="2" t="s">
        <v>12290</v>
      </c>
      <c r="B4574" s="2" t="s">
        <v>7433</v>
      </c>
      <c r="C4574" s="8">
        <v>46293</v>
      </c>
      <c r="D4574" s="6">
        <v>46266</v>
      </c>
      <c r="E4574" s="2" t="s">
        <v>260</v>
      </c>
      <c r="F4574" s="2" t="s">
        <v>12288</v>
      </c>
      <c r="G4574" s="6">
        <v>46235</v>
      </c>
      <c r="H4574" s="2" t="s">
        <v>176</v>
      </c>
      <c r="I4574" s="2" t="s">
        <v>70</v>
      </c>
      <c r="J4574" s="9">
        <v>7290.2492309999998</v>
      </c>
      <c r="K4574" s="7">
        <v>0.65100000000000002</v>
      </c>
      <c r="L4574" s="9">
        <v>4745.95</v>
      </c>
      <c r="M4574" s="9">
        <v>4738.66</v>
      </c>
      <c r="N4574" s="9">
        <v>2.61</v>
      </c>
      <c r="O4574" s="10">
        <f>IF(AND(OR(H4574="APPROVED",H4574="SCHEDULED"),COUNTIFS(tblSource[EventID],F4574,tblSource[ReleaseStatus],"APPROVED")=1,COUNTIFS(Period_Status!$A$2:$A$8,G4574,Period_Status!$B$2:$B$8,"ActualClosed")=1,C4574&gt;EOMONTH(Settlement_Bridge!$C$2,0)),1,0)</f>
        <v>0</v>
      </c>
      <c r="P4574" s="2" t="s">
        <v>12291</v>
      </c>
    </row>
    <row r="4575" spans="1:16" x14ac:dyDescent="0.25">
      <c r="A4575" s="2" t="s">
        <v>12292</v>
      </c>
      <c r="B4575" s="2" t="s">
        <v>7433</v>
      </c>
      <c r="C4575" s="8">
        <v>46269</v>
      </c>
      <c r="D4575" s="6">
        <v>46266</v>
      </c>
      <c r="E4575" s="2" t="s">
        <v>260</v>
      </c>
      <c r="F4575" s="2" t="s">
        <v>12293</v>
      </c>
      <c r="G4575" s="6">
        <v>46235</v>
      </c>
      <c r="H4575" s="2" t="s">
        <v>176</v>
      </c>
      <c r="I4575" s="2" t="s">
        <v>39</v>
      </c>
      <c r="J4575" s="9">
        <v>3269.8359999999998</v>
      </c>
      <c r="K4575" s="7">
        <v>1</v>
      </c>
      <c r="L4575" s="9">
        <v>3269.84</v>
      </c>
      <c r="M4575" s="9">
        <v>3269.84</v>
      </c>
      <c r="N4575" s="9">
        <v>1.8</v>
      </c>
      <c r="O4575" s="10">
        <f>IF(AND(OR(H4575="APPROVED",H4575="SCHEDULED"),COUNTIFS(tblSource[EventID],F4575,tblSource[ReleaseStatus],"APPROVED")=1,COUNTIFS(Period_Status!$A$2:$A$8,G4575,Period_Status!$B$2:$B$8,"ActualClosed")=1,C4575&gt;EOMONTH(Settlement_Bridge!$C$2,0)),1,0)</f>
        <v>0</v>
      </c>
      <c r="P4575" s="2" t="s">
        <v>12294</v>
      </c>
    </row>
    <row r="4576" spans="1:16" x14ac:dyDescent="0.25">
      <c r="A4576" s="2" t="s">
        <v>12295</v>
      </c>
      <c r="B4576" s="2" t="s">
        <v>7433</v>
      </c>
      <c r="C4576" s="8">
        <v>46294</v>
      </c>
      <c r="D4576" s="6">
        <v>46266</v>
      </c>
      <c r="E4576" s="2" t="s">
        <v>260</v>
      </c>
      <c r="F4576" s="2" t="s">
        <v>12293</v>
      </c>
      <c r="G4576" s="6">
        <v>46235</v>
      </c>
      <c r="H4576" s="2" t="s">
        <v>176</v>
      </c>
      <c r="I4576" s="2" t="s">
        <v>39</v>
      </c>
      <c r="J4576" s="9">
        <v>4904.7539999999999</v>
      </c>
      <c r="K4576" s="7">
        <v>1</v>
      </c>
      <c r="L4576" s="9">
        <v>4904.75</v>
      </c>
      <c r="M4576" s="9">
        <v>4904.75</v>
      </c>
      <c r="N4576" s="9">
        <v>2.7</v>
      </c>
      <c r="O4576" s="10">
        <f>IF(AND(OR(H4576="APPROVED",H4576="SCHEDULED"),COUNTIFS(tblSource[EventID],F4576,tblSource[ReleaseStatus],"APPROVED")=1,COUNTIFS(Period_Status!$A$2:$A$8,G4576,Period_Status!$B$2:$B$8,"ActualClosed")=1,C4576&gt;EOMONTH(Settlement_Bridge!$C$2,0)),1,0)</f>
        <v>0</v>
      </c>
      <c r="P4576" s="2" t="s">
        <v>12296</v>
      </c>
    </row>
    <row r="4577" spans="1:16" x14ac:dyDescent="0.25">
      <c r="A4577" s="2" t="s">
        <v>12297</v>
      </c>
      <c r="B4577" s="2" t="s">
        <v>7433</v>
      </c>
      <c r="C4577" s="8">
        <v>46270</v>
      </c>
      <c r="D4577" s="6">
        <v>46266</v>
      </c>
      <c r="E4577" s="2" t="s">
        <v>260</v>
      </c>
      <c r="F4577" s="2" t="s">
        <v>12298</v>
      </c>
      <c r="G4577" s="6">
        <v>46235</v>
      </c>
      <c r="H4577" s="2" t="s">
        <v>176</v>
      </c>
      <c r="I4577" s="2" t="s">
        <v>76</v>
      </c>
      <c r="J4577" s="9">
        <v>54968520.325203001</v>
      </c>
      <c r="K4577" s="7">
        <v>6.1299999999999999E-5</v>
      </c>
      <c r="L4577" s="9">
        <v>3369.57</v>
      </c>
      <c r="M4577" s="9">
        <v>3380.56</v>
      </c>
      <c r="N4577" s="9">
        <v>1.85</v>
      </c>
      <c r="O4577" s="10">
        <f>IF(AND(OR(H4577="APPROVED",H4577="SCHEDULED"),COUNTIFS(tblSource[EventID],F4577,tblSource[ReleaseStatus],"APPROVED")=1,COUNTIFS(Period_Status!$A$2:$A$8,G4577,Period_Status!$B$2:$B$8,"ActualClosed")=1,C4577&gt;EOMONTH(Settlement_Bridge!$C$2,0)),1,0)</f>
        <v>0</v>
      </c>
      <c r="P4577" s="2" t="s">
        <v>12299</v>
      </c>
    </row>
    <row r="4578" spans="1:16" x14ac:dyDescent="0.25">
      <c r="A4578" s="2" t="s">
        <v>12300</v>
      </c>
      <c r="B4578" s="2" t="s">
        <v>7433</v>
      </c>
      <c r="C4578" s="8">
        <v>46295</v>
      </c>
      <c r="D4578" s="6">
        <v>46266</v>
      </c>
      <c r="E4578" s="2" t="s">
        <v>260</v>
      </c>
      <c r="F4578" s="2" t="s">
        <v>12298</v>
      </c>
      <c r="G4578" s="6">
        <v>46235</v>
      </c>
      <c r="H4578" s="2" t="s">
        <v>176</v>
      </c>
      <c r="I4578" s="2" t="s">
        <v>76</v>
      </c>
      <c r="J4578" s="9">
        <v>82452780.487804994</v>
      </c>
      <c r="K4578" s="7">
        <v>6.1299999999999999E-5</v>
      </c>
      <c r="L4578" s="9">
        <v>5054.3599999999997</v>
      </c>
      <c r="M4578" s="9">
        <v>5070.8500000000004</v>
      </c>
      <c r="N4578" s="9">
        <v>2.78</v>
      </c>
      <c r="O4578" s="10">
        <f>IF(AND(OR(H4578="APPROVED",H4578="SCHEDULED"),COUNTIFS(tblSource[EventID],F4578,tblSource[ReleaseStatus],"APPROVED")=1,COUNTIFS(Period_Status!$A$2:$A$8,G4578,Period_Status!$B$2:$B$8,"ActualClosed")=1,C4578&gt;EOMONTH(Settlement_Bridge!$C$2,0)),1,0)</f>
        <v>0</v>
      </c>
      <c r="P4578" s="2" t="s">
        <v>12301</v>
      </c>
    </row>
    <row r="4579" spans="1:16" x14ac:dyDescent="0.25">
      <c r="A4579" s="2" t="s">
        <v>12302</v>
      </c>
      <c r="B4579" s="2" t="s">
        <v>7433</v>
      </c>
      <c r="C4579" s="8">
        <v>46271</v>
      </c>
      <c r="D4579" s="6">
        <v>46266</v>
      </c>
      <c r="E4579" s="2" t="s">
        <v>260</v>
      </c>
      <c r="F4579" s="2" t="s">
        <v>12303</v>
      </c>
      <c r="G4579" s="6">
        <v>46235</v>
      </c>
      <c r="H4579" s="2" t="s">
        <v>176</v>
      </c>
      <c r="I4579" s="2" t="s">
        <v>70</v>
      </c>
      <c r="J4579" s="9">
        <v>-13428.046154</v>
      </c>
      <c r="K4579" s="7">
        <v>0.65100000000000002</v>
      </c>
      <c r="L4579" s="9">
        <v>-8741.66</v>
      </c>
      <c r="M4579" s="9">
        <v>-8728.23</v>
      </c>
      <c r="N4579" s="9">
        <v>0</v>
      </c>
      <c r="O4579" s="10">
        <f>IF(AND(OR(H4579="APPROVED",H4579="SCHEDULED"),COUNTIFS(tblSource[EventID],F4579,tblSource[ReleaseStatus],"APPROVED")=1,COUNTIFS(Period_Status!$A$2:$A$8,G4579,Period_Status!$B$2:$B$8,"ActualClosed")=1,C4579&gt;EOMONTH(Settlement_Bridge!$C$2,0)),1,0)</f>
        <v>0</v>
      </c>
      <c r="P4579" s="2" t="s">
        <v>12304</v>
      </c>
    </row>
    <row r="4580" spans="1:16" x14ac:dyDescent="0.25">
      <c r="A4580" s="2" t="s">
        <v>12305</v>
      </c>
      <c r="B4580" s="2" t="s">
        <v>7433</v>
      </c>
      <c r="C4580" s="8">
        <v>46272</v>
      </c>
      <c r="D4580" s="6">
        <v>46266</v>
      </c>
      <c r="E4580" s="2" t="s">
        <v>260</v>
      </c>
      <c r="F4580" s="2" t="s">
        <v>12306</v>
      </c>
      <c r="G4580" s="6">
        <v>46235</v>
      </c>
      <c r="H4580" s="2" t="s">
        <v>176</v>
      </c>
      <c r="I4580" s="2" t="s">
        <v>39</v>
      </c>
      <c r="J4580" s="9">
        <v>3602.0160000000001</v>
      </c>
      <c r="K4580" s="7">
        <v>1</v>
      </c>
      <c r="L4580" s="9">
        <v>3602.02</v>
      </c>
      <c r="M4580" s="9">
        <v>3602.02</v>
      </c>
      <c r="N4580" s="9">
        <v>1.98</v>
      </c>
      <c r="O4580" s="10">
        <f>IF(AND(OR(H4580="APPROVED",H4580="SCHEDULED"),COUNTIFS(tblSource[EventID],F4580,tblSource[ReleaseStatus],"APPROVED")=1,COUNTIFS(Period_Status!$A$2:$A$8,G4580,Period_Status!$B$2:$B$8,"ActualClosed")=1,C4580&gt;EOMONTH(Settlement_Bridge!$C$2,0)),1,0)</f>
        <v>0</v>
      </c>
      <c r="P4580" s="2" t="s">
        <v>12307</v>
      </c>
    </row>
    <row r="4581" spans="1:16" x14ac:dyDescent="0.25">
      <c r="A4581" s="2" t="s">
        <v>12308</v>
      </c>
      <c r="B4581" s="2" t="s">
        <v>7433</v>
      </c>
      <c r="C4581" s="8">
        <v>46297</v>
      </c>
      <c r="D4581" s="6">
        <v>46296</v>
      </c>
      <c r="E4581" s="2" t="s">
        <v>260</v>
      </c>
      <c r="F4581" s="2" t="s">
        <v>12306</v>
      </c>
      <c r="G4581" s="6">
        <v>46235</v>
      </c>
      <c r="H4581" s="2" t="s">
        <v>176</v>
      </c>
      <c r="I4581" s="2" t="s">
        <v>39</v>
      </c>
      <c r="J4581" s="9">
        <v>5403.0240000000003</v>
      </c>
      <c r="K4581" s="7">
        <v>1</v>
      </c>
      <c r="L4581" s="9">
        <v>5403.02</v>
      </c>
      <c r="M4581" s="9">
        <v>5403.02</v>
      </c>
      <c r="N4581" s="9">
        <v>2.97</v>
      </c>
      <c r="O4581" s="10">
        <f>IF(AND(OR(H4581="APPROVED",H4581="SCHEDULED"),COUNTIFS(tblSource[EventID],F4581,tblSource[ReleaseStatus],"APPROVED")=1,COUNTIFS(Period_Status!$A$2:$A$8,G4581,Period_Status!$B$2:$B$8,"ActualClosed")=1,C4581&gt;EOMONTH(Settlement_Bridge!$C$2,0)),1,0)</f>
        <v>0</v>
      </c>
      <c r="P4581" s="2" t="s">
        <v>12309</v>
      </c>
    </row>
    <row r="4582" spans="1:16" x14ac:dyDescent="0.25">
      <c r="A4582" s="2" t="s">
        <v>12310</v>
      </c>
      <c r="B4582" s="2" t="s">
        <v>7433</v>
      </c>
      <c r="C4582" s="8">
        <v>46273</v>
      </c>
      <c r="D4582" s="6">
        <v>46266</v>
      </c>
      <c r="E4582" s="2" t="s">
        <v>260</v>
      </c>
      <c r="F4582" s="2" t="s">
        <v>12311</v>
      </c>
      <c r="G4582" s="6">
        <v>46235</v>
      </c>
      <c r="H4582" s="2" t="s">
        <v>176</v>
      </c>
      <c r="I4582" s="2" t="s">
        <v>76</v>
      </c>
      <c r="J4582" s="9">
        <v>60369821.138210997</v>
      </c>
      <c r="K4582" s="7">
        <v>6.1299999999999999E-5</v>
      </c>
      <c r="L4582" s="9">
        <v>3700.67</v>
      </c>
      <c r="M4582" s="9">
        <v>3712.74</v>
      </c>
      <c r="N4582" s="9">
        <v>2.04</v>
      </c>
      <c r="O4582" s="10">
        <f>IF(AND(OR(H4582="APPROVED",H4582="SCHEDULED"),COUNTIFS(tblSource[EventID],F4582,tblSource[ReleaseStatus],"APPROVED")=1,COUNTIFS(Period_Status!$A$2:$A$8,G4582,Period_Status!$B$2:$B$8,"ActualClosed")=1,C4582&gt;EOMONTH(Settlement_Bridge!$C$2,0)),1,0)</f>
        <v>0</v>
      </c>
      <c r="P4582" s="2" t="s">
        <v>12312</v>
      </c>
    </row>
    <row r="4583" spans="1:16" x14ac:dyDescent="0.25">
      <c r="A4583" s="2" t="s">
        <v>12313</v>
      </c>
      <c r="B4583" s="2" t="s">
        <v>7433</v>
      </c>
      <c r="C4583" s="8">
        <v>46298</v>
      </c>
      <c r="D4583" s="6">
        <v>46296</v>
      </c>
      <c r="E4583" s="2" t="s">
        <v>260</v>
      </c>
      <c r="F4583" s="2" t="s">
        <v>12311</v>
      </c>
      <c r="G4583" s="6">
        <v>46235</v>
      </c>
      <c r="H4583" s="2" t="s">
        <v>176</v>
      </c>
      <c r="I4583" s="2" t="s">
        <v>76</v>
      </c>
      <c r="J4583" s="9">
        <v>90554731.707316995</v>
      </c>
      <c r="K4583" s="7">
        <v>6.1099999999999994E-5</v>
      </c>
      <c r="L4583" s="9">
        <v>5532.89</v>
      </c>
      <c r="M4583" s="9">
        <v>5569.12</v>
      </c>
      <c r="N4583" s="9">
        <v>3.04</v>
      </c>
      <c r="O4583" s="10">
        <f>IF(AND(OR(H4583="APPROVED",H4583="SCHEDULED"),COUNTIFS(tblSource[EventID],F4583,tblSource[ReleaseStatus],"APPROVED")=1,COUNTIFS(Period_Status!$A$2:$A$8,G4583,Period_Status!$B$2:$B$8,"ActualClosed")=1,C4583&gt;EOMONTH(Settlement_Bridge!$C$2,0)),1,0)</f>
        <v>0</v>
      </c>
      <c r="P4583" s="2" t="s">
        <v>12314</v>
      </c>
    </row>
    <row r="4584" spans="1:16" x14ac:dyDescent="0.25">
      <c r="A4584" s="2" t="s">
        <v>12315</v>
      </c>
      <c r="B4584" s="2" t="s">
        <v>7433</v>
      </c>
      <c r="C4584" s="8">
        <v>46274</v>
      </c>
      <c r="D4584" s="6">
        <v>46266</v>
      </c>
      <c r="E4584" s="2" t="s">
        <v>260</v>
      </c>
      <c r="F4584" s="2" t="s">
        <v>12316</v>
      </c>
      <c r="G4584" s="6">
        <v>46235</v>
      </c>
      <c r="H4584" s="2" t="s">
        <v>176</v>
      </c>
      <c r="I4584" s="2" t="s">
        <v>70</v>
      </c>
      <c r="J4584" s="9">
        <v>5882.2584619999998</v>
      </c>
      <c r="K4584" s="7">
        <v>0.65100000000000002</v>
      </c>
      <c r="L4584" s="9">
        <v>3829.35</v>
      </c>
      <c r="M4584" s="9">
        <v>3823.47</v>
      </c>
      <c r="N4584" s="9">
        <v>2.11</v>
      </c>
      <c r="O4584" s="10">
        <f>IF(AND(OR(H4584="APPROVED",H4584="SCHEDULED"),COUNTIFS(tblSource[EventID],F4584,tblSource[ReleaseStatus],"APPROVED")=1,COUNTIFS(Period_Status!$A$2:$A$8,G4584,Period_Status!$B$2:$B$8,"ActualClosed")=1,C4584&gt;EOMONTH(Settlement_Bridge!$C$2,0)),1,0)</f>
        <v>0</v>
      </c>
      <c r="P4584" s="2" t="s">
        <v>12317</v>
      </c>
    </row>
    <row r="4585" spans="1:16" x14ac:dyDescent="0.25">
      <c r="A4585" s="2" t="s">
        <v>12318</v>
      </c>
      <c r="B4585" s="2" t="s">
        <v>7433</v>
      </c>
      <c r="C4585" s="8">
        <v>46299</v>
      </c>
      <c r="D4585" s="6">
        <v>46296</v>
      </c>
      <c r="E4585" s="2" t="s">
        <v>260</v>
      </c>
      <c r="F4585" s="2" t="s">
        <v>12316</v>
      </c>
      <c r="G4585" s="6">
        <v>46235</v>
      </c>
      <c r="H4585" s="2" t="s">
        <v>176</v>
      </c>
      <c r="I4585" s="2" t="s">
        <v>70</v>
      </c>
      <c r="J4585" s="9">
        <v>8823.3876920000002</v>
      </c>
      <c r="K4585" s="7">
        <v>0.65500000000000003</v>
      </c>
      <c r="L4585" s="9">
        <v>5779.32</v>
      </c>
      <c r="M4585" s="9">
        <v>5735.2</v>
      </c>
      <c r="N4585" s="9">
        <v>3.18</v>
      </c>
      <c r="O4585" s="10">
        <f>IF(AND(OR(H4585="APPROVED",H4585="SCHEDULED"),COUNTIFS(tblSource[EventID],F4585,tblSource[ReleaseStatus],"APPROVED")=1,COUNTIFS(Period_Status!$A$2:$A$8,G4585,Period_Status!$B$2:$B$8,"ActualClosed")=1,C4585&gt;EOMONTH(Settlement_Bridge!$C$2,0)),1,0)</f>
        <v>0</v>
      </c>
      <c r="P4585" s="2" t="s">
        <v>12319</v>
      </c>
    </row>
    <row r="4586" spans="1:16" x14ac:dyDescent="0.25">
      <c r="A4586" s="2" t="s">
        <v>12320</v>
      </c>
      <c r="B4586" s="2" t="s">
        <v>7433</v>
      </c>
      <c r="C4586" s="8">
        <v>46275</v>
      </c>
      <c r="D4586" s="6">
        <v>46266</v>
      </c>
      <c r="E4586" s="2" t="s">
        <v>260</v>
      </c>
      <c r="F4586" s="2" t="s">
        <v>12321</v>
      </c>
      <c r="G4586" s="6">
        <v>46235</v>
      </c>
      <c r="H4586" s="2" t="s">
        <v>176</v>
      </c>
      <c r="I4586" s="2" t="s">
        <v>39</v>
      </c>
      <c r="J4586" s="9">
        <v>3934.1959999999999</v>
      </c>
      <c r="K4586" s="7">
        <v>1</v>
      </c>
      <c r="L4586" s="9">
        <v>3934.2</v>
      </c>
      <c r="M4586" s="9">
        <v>3934.2</v>
      </c>
      <c r="N4586" s="9">
        <v>2.16</v>
      </c>
      <c r="O4586" s="10">
        <f>IF(AND(OR(H4586="APPROVED",H4586="SCHEDULED"),COUNTIFS(tblSource[EventID],F4586,tblSource[ReleaseStatus],"APPROVED")=1,COUNTIFS(Period_Status!$A$2:$A$8,G4586,Period_Status!$B$2:$B$8,"ActualClosed")=1,C4586&gt;EOMONTH(Settlement_Bridge!$C$2,0)),1,0)</f>
        <v>0</v>
      </c>
      <c r="P4586" s="2" t="s">
        <v>12322</v>
      </c>
    </row>
    <row r="4587" spans="1:16" x14ac:dyDescent="0.25">
      <c r="A4587" s="2" t="s">
        <v>12323</v>
      </c>
      <c r="B4587" s="2" t="s">
        <v>7433</v>
      </c>
      <c r="C4587" s="8">
        <v>46300</v>
      </c>
      <c r="D4587" s="6">
        <v>46296</v>
      </c>
      <c r="E4587" s="2" t="s">
        <v>260</v>
      </c>
      <c r="F4587" s="2" t="s">
        <v>12321</v>
      </c>
      <c r="G4587" s="6">
        <v>46235</v>
      </c>
      <c r="H4587" s="2" t="s">
        <v>176</v>
      </c>
      <c r="I4587" s="2" t="s">
        <v>39</v>
      </c>
      <c r="J4587" s="9">
        <v>5901.2939999999999</v>
      </c>
      <c r="K4587" s="7">
        <v>1</v>
      </c>
      <c r="L4587" s="9">
        <v>5901.29</v>
      </c>
      <c r="M4587" s="9">
        <v>5901.29</v>
      </c>
      <c r="N4587" s="9">
        <v>3.25</v>
      </c>
      <c r="O4587" s="10">
        <f>IF(AND(OR(H4587="APPROVED",H4587="SCHEDULED"),COUNTIFS(tblSource[EventID],F4587,tblSource[ReleaseStatus],"APPROVED")=1,COUNTIFS(Period_Status!$A$2:$A$8,G4587,Period_Status!$B$2:$B$8,"ActualClosed")=1,C4587&gt;EOMONTH(Settlement_Bridge!$C$2,0)),1,0)</f>
        <v>0</v>
      </c>
      <c r="P4587" s="2" t="s">
        <v>12324</v>
      </c>
    </row>
    <row r="4588" spans="1:16" x14ac:dyDescent="0.25">
      <c r="A4588" s="2" t="s">
        <v>12325</v>
      </c>
      <c r="B4588" s="2" t="s">
        <v>7433</v>
      </c>
      <c r="C4588" s="8">
        <v>46276</v>
      </c>
      <c r="D4588" s="6">
        <v>46266</v>
      </c>
      <c r="E4588" s="2" t="s">
        <v>260</v>
      </c>
      <c r="F4588" s="2" t="s">
        <v>12326</v>
      </c>
      <c r="G4588" s="6">
        <v>46235</v>
      </c>
      <c r="H4588" s="2" t="s">
        <v>176</v>
      </c>
      <c r="I4588" s="2" t="s">
        <v>76</v>
      </c>
      <c r="J4588" s="9">
        <v>65771056.910568997</v>
      </c>
      <c r="K4588" s="7">
        <v>6.1299999999999999E-5</v>
      </c>
      <c r="L4588" s="9">
        <v>4031.77</v>
      </c>
      <c r="M4588" s="9">
        <v>4044.92</v>
      </c>
      <c r="N4588" s="9">
        <v>2.2200000000000002</v>
      </c>
      <c r="O4588" s="10">
        <f>IF(AND(OR(H4588="APPROVED",H4588="SCHEDULED"),COUNTIFS(tblSource[EventID],F4588,tblSource[ReleaseStatus],"APPROVED")=1,COUNTIFS(Period_Status!$A$2:$A$8,G4588,Period_Status!$B$2:$B$8,"ActualClosed")=1,C4588&gt;EOMONTH(Settlement_Bridge!$C$2,0)),1,0)</f>
        <v>0</v>
      </c>
      <c r="P4588" s="2" t="s">
        <v>12327</v>
      </c>
    </row>
    <row r="4589" spans="1:16" x14ac:dyDescent="0.25">
      <c r="A4589" s="2" t="s">
        <v>12328</v>
      </c>
      <c r="B4589" s="2" t="s">
        <v>7433</v>
      </c>
      <c r="C4589" s="8">
        <v>46301</v>
      </c>
      <c r="D4589" s="6">
        <v>46296</v>
      </c>
      <c r="E4589" s="2" t="s">
        <v>260</v>
      </c>
      <c r="F4589" s="2" t="s">
        <v>12326</v>
      </c>
      <c r="G4589" s="6">
        <v>46235</v>
      </c>
      <c r="H4589" s="2" t="s">
        <v>176</v>
      </c>
      <c r="I4589" s="2" t="s">
        <v>76</v>
      </c>
      <c r="J4589" s="9">
        <v>98656585.365853995</v>
      </c>
      <c r="K4589" s="7">
        <v>6.1099999999999994E-5</v>
      </c>
      <c r="L4589" s="9">
        <v>6027.92</v>
      </c>
      <c r="M4589" s="9">
        <v>6067.38</v>
      </c>
      <c r="N4589" s="9">
        <v>3.32</v>
      </c>
      <c r="O4589" s="10">
        <f>IF(AND(OR(H4589="APPROVED",H4589="SCHEDULED"),COUNTIFS(tblSource[EventID],F4589,tblSource[ReleaseStatus],"APPROVED")=1,COUNTIFS(Period_Status!$A$2:$A$8,G4589,Period_Status!$B$2:$B$8,"ActualClosed")=1,C4589&gt;EOMONTH(Settlement_Bridge!$C$2,0)),1,0)</f>
        <v>0</v>
      </c>
      <c r="P4589" s="2" t="s">
        <v>12329</v>
      </c>
    </row>
    <row r="4590" spans="1:16" x14ac:dyDescent="0.25">
      <c r="A4590" s="2" t="s">
        <v>12330</v>
      </c>
      <c r="B4590" s="2" t="s">
        <v>7433</v>
      </c>
      <c r="C4590" s="8">
        <v>46277</v>
      </c>
      <c r="D4590" s="6">
        <v>46266</v>
      </c>
      <c r="E4590" s="2" t="s">
        <v>260</v>
      </c>
      <c r="F4590" s="2" t="s">
        <v>12331</v>
      </c>
      <c r="G4590" s="6">
        <v>46235</v>
      </c>
      <c r="H4590" s="2" t="s">
        <v>176</v>
      </c>
      <c r="I4590" s="2" t="s">
        <v>70</v>
      </c>
      <c r="J4590" s="9">
        <v>6393.304615</v>
      </c>
      <c r="K4590" s="7">
        <v>0.65100000000000002</v>
      </c>
      <c r="L4590" s="9">
        <v>4162.04</v>
      </c>
      <c r="M4590" s="9">
        <v>4155.6499999999996</v>
      </c>
      <c r="N4590" s="9">
        <v>2.29</v>
      </c>
      <c r="O4590" s="10">
        <f>IF(AND(OR(H4590="APPROVED",H4590="SCHEDULED"),COUNTIFS(tblSource[EventID],F4590,tblSource[ReleaseStatus],"APPROVED")=1,COUNTIFS(Period_Status!$A$2:$A$8,G4590,Period_Status!$B$2:$B$8,"ActualClosed")=1,C4590&gt;EOMONTH(Settlement_Bridge!$C$2,0)),1,0)</f>
        <v>0</v>
      </c>
      <c r="P4590" s="2" t="s">
        <v>12332</v>
      </c>
    </row>
    <row r="4591" spans="1:16" x14ac:dyDescent="0.25">
      <c r="A4591" s="2" t="s">
        <v>12333</v>
      </c>
      <c r="B4591" s="2" t="s">
        <v>7433</v>
      </c>
      <c r="C4591" s="8">
        <v>46302</v>
      </c>
      <c r="D4591" s="6">
        <v>46296</v>
      </c>
      <c r="E4591" s="2" t="s">
        <v>260</v>
      </c>
      <c r="F4591" s="2" t="s">
        <v>12331</v>
      </c>
      <c r="G4591" s="6">
        <v>46235</v>
      </c>
      <c r="H4591" s="2" t="s">
        <v>176</v>
      </c>
      <c r="I4591" s="2" t="s">
        <v>70</v>
      </c>
      <c r="J4591" s="9">
        <v>9589.9569229999997</v>
      </c>
      <c r="K4591" s="7">
        <v>0.65500000000000003</v>
      </c>
      <c r="L4591" s="9">
        <v>6281.42</v>
      </c>
      <c r="M4591" s="9">
        <v>6233.47</v>
      </c>
      <c r="N4591" s="9">
        <v>3.45</v>
      </c>
      <c r="O4591" s="10">
        <f>IF(AND(OR(H4591="APPROVED",H4591="SCHEDULED"),COUNTIFS(tblSource[EventID],F4591,tblSource[ReleaseStatus],"APPROVED")=1,COUNTIFS(Period_Status!$A$2:$A$8,G4591,Period_Status!$B$2:$B$8,"ActualClosed")=1,C4591&gt;EOMONTH(Settlement_Bridge!$C$2,0)),1,0)</f>
        <v>0</v>
      </c>
      <c r="P4591" s="2" t="s">
        <v>12334</v>
      </c>
    </row>
    <row r="4592" spans="1:16" x14ac:dyDescent="0.25">
      <c r="A4592" s="2" t="s">
        <v>12335</v>
      </c>
      <c r="B4592" s="2" t="s">
        <v>7433</v>
      </c>
      <c r="C4592" s="8">
        <v>46278</v>
      </c>
      <c r="D4592" s="6">
        <v>46266</v>
      </c>
      <c r="E4592" s="2" t="s">
        <v>260</v>
      </c>
      <c r="F4592" s="2" t="s">
        <v>12336</v>
      </c>
      <c r="G4592" s="6">
        <v>46235</v>
      </c>
      <c r="H4592" s="2" t="s">
        <v>176</v>
      </c>
      <c r="I4592" s="2" t="s">
        <v>39</v>
      </c>
      <c r="J4592" s="9">
        <v>4266.3760000000002</v>
      </c>
      <c r="K4592" s="7">
        <v>1</v>
      </c>
      <c r="L4592" s="9">
        <v>4266.38</v>
      </c>
      <c r="M4592" s="9">
        <v>4266.38</v>
      </c>
      <c r="N4592" s="9">
        <v>2.35</v>
      </c>
      <c r="O4592" s="10">
        <f>IF(AND(OR(H4592="APPROVED",H4592="SCHEDULED"),COUNTIFS(tblSource[EventID],F4592,tblSource[ReleaseStatus],"APPROVED")=1,COUNTIFS(Period_Status!$A$2:$A$8,G4592,Period_Status!$B$2:$B$8,"ActualClosed")=1,C4592&gt;EOMONTH(Settlement_Bridge!$C$2,0)),1,0)</f>
        <v>0</v>
      </c>
      <c r="P4592" s="2" t="s">
        <v>12337</v>
      </c>
    </row>
    <row r="4593" spans="1:16" x14ac:dyDescent="0.25">
      <c r="A4593" s="2" t="s">
        <v>12338</v>
      </c>
      <c r="B4593" s="2" t="s">
        <v>7433</v>
      </c>
      <c r="C4593" s="8">
        <v>46303</v>
      </c>
      <c r="D4593" s="6">
        <v>46296</v>
      </c>
      <c r="E4593" s="2" t="s">
        <v>260</v>
      </c>
      <c r="F4593" s="2" t="s">
        <v>12336</v>
      </c>
      <c r="G4593" s="6">
        <v>46235</v>
      </c>
      <c r="H4593" s="2" t="s">
        <v>176</v>
      </c>
      <c r="I4593" s="2" t="s">
        <v>39</v>
      </c>
      <c r="J4593" s="9">
        <v>6399.5640000000003</v>
      </c>
      <c r="K4593" s="7">
        <v>1</v>
      </c>
      <c r="L4593" s="9">
        <v>6399.56</v>
      </c>
      <c r="M4593" s="9">
        <v>6399.56</v>
      </c>
      <c r="N4593" s="9">
        <v>3.52</v>
      </c>
      <c r="O4593" s="10">
        <f>IF(AND(OR(H4593="APPROVED",H4593="SCHEDULED"),COUNTIFS(tblSource[EventID],F4593,tblSource[ReleaseStatus],"APPROVED")=1,COUNTIFS(Period_Status!$A$2:$A$8,G4593,Period_Status!$B$2:$B$8,"ActualClosed")=1,C4593&gt;EOMONTH(Settlement_Bridge!$C$2,0)),1,0)</f>
        <v>0</v>
      </c>
      <c r="P4593" s="2" t="s">
        <v>12339</v>
      </c>
    </row>
    <row r="4594" spans="1:16" x14ac:dyDescent="0.25">
      <c r="A4594" s="2" t="s">
        <v>12340</v>
      </c>
      <c r="B4594" s="2" t="s">
        <v>7433</v>
      </c>
      <c r="C4594" s="8">
        <v>46279</v>
      </c>
      <c r="D4594" s="6">
        <v>46266</v>
      </c>
      <c r="E4594" s="2" t="s">
        <v>260</v>
      </c>
      <c r="F4594" s="2" t="s">
        <v>12341</v>
      </c>
      <c r="G4594" s="6">
        <v>46235</v>
      </c>
      <c r="H4594" s="2" t="s">
        <v>176</v>
      </c>
      <c r="I4594" s="2" t="s">
        <v>76</v>
      </c>
      <c r="J4594" s="9">
        <v>71172357.723576993</v>
      </c>
      <c r="K4594" s="7">
        <v>6.1299999999999999E-5</v>
      </c>
      <c r="L4594" s="9">
        <v>4362.87</v>
      </c>
      <c r="M4594" s="9">
        <v>4377.1000000000004</v>
      </c>
      <c r="N4594" s="9">
        <v>2.4</v>
      </c>
      <c r="O4594" s="10">
        <f>IF(AND(OR(H4594="APPROVED",H4594="SCHEDULED"),COUNTIFS(tblSource[EventID],F4594,tblSource[ReleaseStatus],"APPROVED")=1,COUNTIFS(Period_Status!$A$2:$A$8,G4594,Period_Status!$B$2:$B$8,"ActualClosed")=1,C4594&gt;EOMONTH(Settlement_Bridge!$C$2,0)),1,0)</f>
        <v>0</v>
      </c>
      <c r="P4594" s="2" t="s">
        <v>12342</v>
      </c>
    </row>
    <row r="4595" spans="1:16" x14ac:dyDescent="0.25">
      <c r="A4595" s="2" t="s">
        <v>12343</v>
      </c>
      <c r="B4595" s="2" t="s">
        <v>7433</v>
      </c>
      <c r="C4595" s="8">
        <v>46304</v>
      </c>
      <c r="D4595" s="6">
        <v>46296</v>
      </c>
      <c r="E4595" s="2" t="s">
        <v>260</v>
      </c>
      <c r="F4595" s="2" t="s">
        <v>12341</v>
      </c>
      <c r="G4595" s="6">
        <v>46235</v>
      </c>
      <c r="H4595" s="2" t="s">
        <v>176</v>
      </c>
      <c r="I4595" s="2" t="s">
        <v>76</v>
      </c>
      <c r="J4595" s="9">
        <v>106758536.585366</v>
      </c>
      <c r="K4595" s="7">
        <v>6.1099999999999994E-5</v>
      </c>
      <c r="L4595" s="9">
        <v>6522.95</v>
      </c>
      <c r="M4595" s="9">
        <v>6565.65</v>
      </c>
      <c r="N4595" s="9">
        <v>3.59</v>
      </c>
      <c r="O4595" s="10">
        <f>IF(AND(OR(H4595="APPROVED",H4595="SCHEDULED"),COUNTIFS(tblSource[EventID],F4595,tblSource[ReleaseStatus],"APPROVED")=1,COUNTIFS(Period_Status!$A$2:$A$8,G4595,Period_Status!$B$2:$B$8,"ActualClosed")=1,C4595&gt;EOMONTH(Settlement_Bridge!$C$2,0)),1,0)</f>
        <v>0</v>
      </c>
      <c r="P4595" s="2" t="s">
        <v>12344</v>
      </c>
    </row>
    <row r="4596" spans="1:16" x14ac:dyDescent="0.25">
      <c r="A4596" s="2" t="s">
        <v>12345</v>
      </c>
      <c r="B4596" s="2" t="s">
        <v>7433</v>
      </c>
      <c r="C4596" s="8">
        <v>46249</v>
      </c>
      <c r="D4596" s="6">
        <v>46235</v>
      </c>
      <c r="E4596" s="2" t="s">
        <v>260</v>
      </c>
      <c r="F4596" s="2" t="s">
        <v>12346</v>
      </c>
      <c r="G4596" s="6">
        <v>46235</v>
      </c>
      <c r="H4596" s="2" t="s">
        <v>71</v>
      </c>
      <c r="I4596" s="2" t="s">
        <v>70</v>
      </c>
      <c r="J4596" s="9">
        <v>6904.3507689999997</v>
      </c>
      <c r="K4596" s="7">
        <v>0.65</v>
      </c>
      <c r="L4596" s="9">
        <v>4487.83</v>
      </c>
      <c r="M4596" s="9">
        <v>4487.83</v>
      </c>
      <c r="N4596" s="9">
        <v>2.4700000000000002</v>
      </c>
      <c r="O4596" s="10">
        <f>IF(AND(OR(H4596="APPROVED",H4596="SCHEDULED"),COUNTIFS(tblSource[EventID],F4596,tblSource[ReleaseStatus],"APPROVED")=1,COUNTIFS(Period_Status!$A$2:$A$8,G4596,Period_Status!$B$2:$B$8,"ActualClosed")=1,C4596&gt;EOMONTH(Settlement_Bridge!$C$2,0)),1,0)</f>
        <v>0</v>
      </c>
      <c r="P4596" s="2" t="s">
        <v>12347</v>
      </c>
    </row>
    <row r="4597" spans="1:16" x14ac:dyDescent="0.25">
      <c r="A4597" s="2" t="s">
        <v>12348</v>
      </c>
      <c r="B4597" s="2" t="s">
        <v>7433</v>
      </c>
      <c r="C4597" s="8">
        <v>46274</v>
      </c>
      <c r="D4597" s="6">
        <v>46266</v>
      </c>
      <c r="E4597" s="2" t="s">
        <v>260</v>
      </c>
      <c r="F4597" s="2" t="s">
        <v>12346</v>
      </c>
      <c r="G4597" s="6">
        <v>46235</v>
      </c>
      <c r="H4597" s="2" t="s">
        <v>176</v>
      </c>
      <c r="I4597" s="2" t="s">
        <v>70</v>
      </c>
      <c r="J4597" s="9">
        <v>10356.526153999999</v>
      </c>
      <c r="K4597" s="7">
        <v>0.65100000000000002</v>
      </c>
      <c r="L4597" s="9">
        <v>6742.1</v>
      </c>
      <c r="M4597" s="9">
        <v>6731.74</v>
      </c>
      <c r="N4597" s="9">
        <v>3.71</v>
      </c>
      <c r="O4597" s="10">
        <f>IF(AND(OR(H4597="APPROVED",H4597="SCHEDULED"),COUNTIFS(tblSource[EventID],F4597,tblSource[ReleaseStatus],"APPROVED")=1,COUNTIFS(Period_Status!$A$2:$A$8,G4597,Period_Status!$B$2:$B$8,"ActualClosed")=1,C4597&gt;EOMONTH(Settlement_Bridge!$C$2,0)),1,0)</f>
        <v>0</v>
      </c>
      <c r="P4597" s="2" t="s">
        <v>12349</v>
      </c>
    </row>
    <row r="4598" spans="1:16" x14ac:dyDescent="0.25">
      <c r="A4598" s="2" t="s">
        <v>12350</v>
      </c>
      <c r="B4598" s="2" t="s">
        <v>7433</v>
      </c>
      <c r="C4598" s="8">
        <v>46250</v>
      </c>
      <c r="D4598" s="6">
        <v>46235</v>
      </c>
      <c r="E4598" s="2" t="s">
        <v>260</v>
      </c>
      <c r="F4598" s="2" t="s">
        <v>12351</v>
      </c>
      <c r="G4598" s="6">
        <v>46235</v>
      </c>
      <c r="H4598" s="2" t="s">
        <v>71</v>
      </c>
      <c r="I4598" s="2" t="s">
        <v>39</v>
      </c>
      <c r="J4598" s="9">
        <v>4598.5519999999997</v>
      </c>
      <c r="K4598" s="7">
        <v>1</v>
      </c>
      <c r="L4598" s="9">
        <v>4598.55</v>
      </c>
      <c r="M4598" s="9">
        <v>4598.55</v>
      </c>
      <c r="N4598" s="9">
        <v>2.5299999999999998</v>
      </c>
      <c r="O4598" s="10">
        <f>IF(AND(OR(H4598="APPROVED",H4598="SCHEDULED"),COUNTIFS(tblSource[EventID],F4598,tblSource[ReleaseStatus],"APPROVED")=1,COUNTIFS(Period_Status!$A$2:$A$8,G4598,Period_Status!$B$2:$B$8,"ActualClosed")=1,C4598&gt;EOMONTH(Settlement_Bridge!$C$2,0)),1,0)</f>
        <v>0</v>
      </c>
      <c r="P4598" s="2" t="s">
        <v>12352</v>
      </c>
    </row>
    <row r="4599" spans="1:16" x14ac:dyDescent="0.25">
      <c r="A4599" s="2" t="s">
        <v>12353</v>
      </c>
      <c r="B4599" s="2" t="s">
        <v>7433</v>
      </c>
      <c r="C4599" s="8">
        <v>46275</v>
      </c>
      <c r="D4599" s="6">
        <v>46266</v>
      </c>
      <c r="E4599" s="2" t="s">
        <v>260</v>
      </c>
      <c r="F4599" s="2" t="s">
        <v>12351</v>
      </c>
      <c r="G4599" s="6">
        <v>46235</v>
      </c>
      <c r="H4599" s="2" t="s">
        <v>176</v>
      </c>
      <c r="I4599" s="2" t="s">
        <v>39</v>
      </c>
      <c r="J4599" s="9">
        <v>6897.8280000000004</v>
      </c>
      <c r="K4599" s="7">
        <v>1</v>
      </c>
      <c r="L4599" s="9">
        <v>6897.83</v>
      </c>
      <c r="M4599" s="9">
        <v>6897.83</v>
      </c>
      <c r="N4599" s="9">
        <v>3.79</v>
      </c>
      <c r="O4599" s="10">
        <f>IF(AND(OR(H4599="APPROVED",H4599="SCHEDULED"),COUNTIFS(tblSource[EventID],F4599,tblSource[ReleaseStatus],"APPROVED")=1,COUNTIFS(Period_Status!$A$2:$A$8,G4599,Period_Status!$B$2:$B$8,"ActualClosed")=1,C4599&gt;EOMONTH(Settlement_Bridge!$C$2,0)),1,0)</f>
        <v>0</v>
      </c>
      <c r="P4599" s="2" t="s">
        <v>12354</v>
      </c>
    </row>
    <row r="4600" spans="1:16" x14ac:dyDescent="0.25">
      <c r="A4600" s="2" t="s">
        <v>12355</v>
      </c>
      <c r="B4600" s="2" t="s">
        <v>7433</v>
      </c>
      <c r="C4600" s="8">
        <v>46251</v>
      </c>
      <c r="D4600" s="6">
        <v>46235</v>
      </c>
      <c r="E4600" s="2" t="s">
        <v>260</v>
      </c>
      <c r="F4600" s="2" t="s">
        <v>12356</v>
      </c>
      <c r="G4600" s="6">
        <v>46235</v>
      </c>
      <c r="H4600" s="2" t="s">
        <v>71</v>
      </c>
      <c r="I4600" s="2" t="s">
        <v>76</v>
      </c>
      <c r="J4600" s="9">
        <v>76573658.536585003</v>
      </c>
      <c r="K4600" s="7">
        <v>6.1500000000000004E-5</v>
      </c>
      <c r="L4600" s="9">
        <v>4709.28</v>
      </c>
      <c r="M4600" s="9">
        <v>4709.28</v>
      </c>
      <c r="N4600" s="9">
        <v>2.59</v>
      </c>
      <c r="O4600" s="10">
        <f>IF(AND(OR(H4600="APPROVED",H4600="SCHEDULED"),COUNTIFS(tblSource[EventID],F4600,tblSource[ReleaseStatus],"APPROVED")=1,COUNTIFS(Period_Status!$A$2:$A$8,G4600,Period_Status!$B$2:$B$8,"ActualClosed")=1,C4600&gt;EOMONTH(Settlement_Bridge!$C$2,0)),1,0)</f>
        <v>0</v>
      </c>
      <c r="P4600" s="2" t="s">
        <v>12357</v>
      </c>
    </row>
    <row r="4601" spans="1:16" x14ac:dyDescent="0.25">
      <c r="A4601" s="2" t="s">
        <v>12358</v>
      </c>
      <c r="B4601" s="2" t="s">
        <v>7433</v>
      </c>
      <c r="C4601" s="8">
        <v>46276</v>
      </c>
      <c r="D4601" s="6">
        <v>46266</v>
      </c>
      <c r="E4601" s="2" t="s">
        <v>260</v>
      </c>
      <c r="F4601" s="2" t="s">
        <v>12356</v>
      </c>
      <c r="G4601" s="6">
        <v>46235</v>
      </c>
      <c r="H4601" s="2" t="s">
        <v>176</v>
      </c>
      <c r="I4601" s="2" t="s">
        <v>76</v>
      </c>
      <c r="J4601" s="9">
        <v>114860487.804878</v>
      </c>
      <c r="K4601" s="7">
        <v>6.1299999999999999E-5</v>
      </c>
      <c r="L4601" s="9">
        <v>7040.95</v>
      </c>
      <c r="M4601" s="9">
        <v>7063.92</v>
      </c>
      <c r="N4601" s="9">
        <v>3.87</v>
      </c>
      <c r="O4601" s="10">
        <f>IF(AND(OR(H4601="APPROVED",H4601="SCHEDULED"),COUNTIFS(tblSource[EventID],F4601,tblSource[ReleaseStatus],"APPROVED")=1,COUNTIFS(Period_Status!$A$2:$A$8,G4601,Period_Status!$B$2:$B$8,"ActualClosed")=1,C4601&gt;EOMONTH(Settlement_Bridge!$C$2,0)),1,0)</f>
        <v>0</v>
      </c>
      <c r="P4601" s="2" t="s">
        <v>12359</v>
      </c>
    </row>
    <row r="4602" spans="1:16" x14ac:dyDescent="0.25">
      <c r="A4602" s="2" t="s">
        <v>12360</v>
      </c>
      <c r="B4602" s="2" t="s">
        <v>7433</v>
      </c>
      <c r="C4602" s="8">
        <v>46252</v>
      </c>
      <c r="D4602" s="6">
        <v>46235</v>
      </c>
      <c r="E4602" s="2" t="s">
        <v>260</v>
      </c>
      <c r="F4602" s="2" t="s">
        <v>12361</v>
      </c>
      <c r="G4602" s="6">
        <v>46235</v>
      </c>
      <c r="H4602" s="2" t="s">
        <v>71</v>
      </c>
      <c r="I4602" s="2" t="s">
        <v>70</v>
      </c>
      <c r="J4602" s="9">
        <v>7415.3969230000002</v>
      </c>
      <c r="K4602" s="7">
        <v>0.65</v>
      </c>
      <c r="L4602" s="9">
        <v>4820.01</v>
      </c>
      <c r="M4602" s="9">
        <v>4820.01</v>
      </c>
      <c r="N4602" s="9">
        <v>2.65</v>
      </c>
      <c r="O4602" s="10">
        <f>IF(AND(OR(H4602="APPROVED",H4602="SCHEDULED"),COUNTIFS(tblSource[EventID],F4602,tblSource[ReleaseStatus],"APPROVED")=1,COUNTIFS(Period_Status!$A$2:$A$8,G4602,Period_Status!$B$2:$B$8,"ActualClosed")=1,C4602&gt;EOMONTH(Settlement_Bridge!$C$2,0)),1,0)</f>
        <v>0</v>
      </c>
      <c r="P4602" s="2" t="s">
        <v>12362</v>
      </c>
    </row>
    <row r="4603" spans="1:16" x14ac:dyDescent="0.25">
      <c r="A4603" s="2" t="s">
        <v>12363</v>
      </c>
      <c r="B4603" s="2" t="s">
        <v>7433</v>
      </c>
      <c r="C4603" s="8">
        <v>46277</v>
      </c>
      <c r="D4603" s="6">
        <v>46266</v>
      </c>
      <c r="E4603" s="2" t="s">
        <v>260</v>
      </c>
      <c r="F4603" s="2" t="s">
        <v>12361</v>
      </c>
      <c r="G4603" s="6">
        <v>46235</v>
      </c>
      <c r="H4603" s="2" t="s">
        <v>176</v>
      </c>
      <c r="I4603" s="2" t="s">
        <v>70</v>
      </c>
      <c r="J4603" s="9">
        <v>11123.095385000001</v>
      </c>
      <c r="K4603" s="7">
        <v>0.65100000000000002</v>
      </c>
      <c r="L4603" s="9">
        <v>7241.14</v>
      </c>
      <c r="M4603" s="9">
        <v>7230.01</v>
      </c>
      <c r="N4603" s="9">
        <v>3.98</v>
      </c>
      <c r="O4603" s="10">
        <f>IF(AND(OR(H4603="APPROVED",H4603="SCHEDULED"),COUNTIFS(tblSource[EventID],F4603,tblSource[ReleaseStatus],"APPROVED")=1,COUNTIFS(Period_Status!$A$2:$A$8,G4603,Period_Status!$B$2:$B$8,"ActualClosed")=1,C4603&gt;EOMONTH(Settlement_Bridge!$C$2,0)),1,0)</f>
        <v>0</v>
      </c>
      <c r="P4603" s="2" t="s">
        <v>12364</v>
      </c>
    </row>
    <row r="4604" spans="1:16" x14ac:dyDescent="0.25">
      <c r="A4604" s="2" t="s">
        <v>12365</v>
      </c>
      <c r="B4604" s="2" t="s">
        <v>7433</v>
      </c>
      <c r="C4604" s="8">
        <v>46253</v>
      </c>
      <c r="D4604" s="6">
        <v>46235</v>
      </c>
      <c r="E4604" s="2" t="s">
        <v>260</v>
      </c>
      <c r="F4604" s="2" t="s">
        <v>12366</v>
      </c>
      <c r="G4604" s="6">
        <v>46235</v>
      </c>
      <c r="H4604" s="2" t="s">
        <v>71</v>
      </c>
      <c r="I4604" s="2" t="s">
        <v>39</v>
      </c>
      <c r="J4604" s="9">
        <v>4930.732</v>
      </c>
      <c r="K4604" s="7">
        <v>1</v>
      </c>
      <c r="L4604" s="9">
        <v>4930.7299999999996</v>
      </c>
      <c r="M4604" s="9">
        <v>4930.7299999999996</v>
      </c>
      <c r="N4604" s="9">
        <v>2.71</v>
      </c>
      <c r="O4604" s="10">
        <f>IF(AND(OR(H4604="APPROVED",H4604="SCHEDULED"),COUNTIFS(tblSource[EventID],F4604,tblSource[ReleaseStatus],"APPROVED")=1,COUNTIFS(Period_Status!$A$2:$A$8,G4604,Period_Status!$B$2:$B$8,"ActualClosed")=1,C4604&gt;EOMONTH(Settlement_Bridge!$C$2,0)),1,0)</f>
        <v>0</v>
      </c>
      <c r="P4604" s="2" t="s">
        <v>12367</v>
      </c>
    </row>
    <row r="4605" spans="1:16" x14ac:dyDescent="0.25">
      <c r="A4605" s="2" t="s">
        <v>12368</v>
      </c>
      <c r="B4605" s="2" t="s">
        <v>7433</v>
      </c>
      <c r="C4605" s="8">
        <v>46278</v>
      </c>
      <c r="D4605" s="6">
        <v>46266</v>
      </c>
      <c r="E4605" s="2" t="s">
        <v>260</v>
      </c>
      <c r="F4605" s="2" t="s">
        <v>12366</v>
      </c>
      <c r="G4605" s="6">
        <v>46235</v>
      </c>
      <c r="H4605" s="2" t="s">
        <v>176</v>
      </c>
      <c r="I4605" s="2" t="s">
        <v>39</v>
      </c>
      <c r="J4605" s="9">
        <v>7396.098</v>
      </c>
      <c r="K4605" s="7">
        <v>1</v>
      </c>
      <c r="L4605" s="9">
        <v>7396.1</v>
      </c>
      <c r="M4605" s="9">
        <v>7396.1</v>
      </c>
      <c r="N4605" s="9">
        <v>4.07</v>
      </c>
      <c r="O4605" s="10">
        <f>IF(AND(OR(H4605="APPROVED",H4605="SCHEDULED"),COUNTIFS(tblSource[EventID],F4605,tblSource[ReleaseStatus],"APPROVED")=1,COUNTIFS(Period_Status!$A$2:$A$8,G4605,Period_Status!$B$2:$B$8,"ActualClosed")=1,C4605&gt;EOMONTH(Settlement_Bridge!$C$2,0)),1,0)</f>
        <v>0</v>
      </c>
      <c r="P4605" s="2" t="s">
        <v>12369</v>
      </c>
    </row>
    <row r="4606" spans="1:16" x14ac:dyDescent="0.25">
      <c r="A4606" s="2" t="s">
        <v>12370</v>
      </c>
      <c r="B4606" s="2" t="s">
        <v>7433</v>
      </c>
      <c r="C4606" s="8">
        <v>46254</v>
      </c>
      <c r="D4606" s="6">
        <v>46235</v>
      </c>
      <c r="E4606" s="2" t="s">
        <v>260</v>
      </c>
      <c r="F4606" s="2" t="s">
        <v>12371</v>
      </c>
      <c r="G4606" s="6">
        <v>46235</v>
      </c>
      <c r="H4606" s="2" t="s">
        <v>71</v>
      </c>
      <c r="I4606" s="2" t="s">
        <v>76</v>
      </c>
      <c r="J4606" s="9">
        <v>81974959.349593997</v>
      </c>
      <c r="K4606" s="7">
        <v>6.1500000000000004E-5</v>
      </c>
      <c r="L4606" s="9">
        <v>5041.46</v>
      </c>
      <c r="M4606" s="9">
        <v>5041.46</v>
      </c>
      <c r="N4606" s="9">
        <v>2.77</v>
      </c>
      <c r="O4606" s="10">
        <f>IF(AND(OR(H4606="APPROVED",H4606="SCHEDULED"),COUNTIFS(tblSource[EventID],F4606,tblSource[ReleaseStatus],"APPROVED")=1,COUNTIFS(Period_Status!$A$2:$A$8,G4606,Period_Status!$B$2:$B$8,"ActualClosed")=1,C4606&gt;EOMONTH(Settlement_Bridge!$C$2,0)),1,0)</f>
        <v>0</v>
      </c>
      <c r="P4606" s="2" t="s">
        <v>12372</v>
      </c>
    </row>
    <row r="4607" spans="1:16" x14ac:dyDescent="0.25">
      <c r="A4607" s="2" t="s">
        <v>12373</v>
      </c>
      <c r="B4607" s="2" t="s">
        <v>7433</v>
      </c>
      <c r="C4607" s="8">
        <v>46279</v>
      </c>
      <c r="D4607" s="6">
        <v>46266</v>
      </c>
      <c r="E4607" s="2" t="s">
        <v>260</v>
      </c>
      <c r="F4607" s="2" t="s">
        <v>12371</v>
      </c>
      <c r="G4607" s="6">
        <v>46235</v>
      </c>
      <c r="H4607" s="2" t="s">
        <v>176</v>
      </c>
      <c r="I4607" s="2" t="s">
        <v>76</v>
      </c>
      <c r="J4607" s="9">
        <v>122962439.02439</v>
      </c>
      <c r="K4607" s="7">
        <v>6.1299999999999999E-5</v>
      </c>
      <c r="L4607" s="9">
        <v>7537.6</v>
      </c>
      <c r="M4607" s="9">
        <v>7562.19</v>
      </c>
      <c r="N4607" s="9">
        <v>4.1500000000000004</v>
      </c>
      <c r="O4607" s="10">
        <f>IF(AND(OR(H4607="APPROVED",H4607="SCHEDULED"),COUNTIFS(tblSource[EventID],F4607,tblSource[ReleaseStatus],"APPROVED")=1,COUNTIFS(Period_Status!$A$2:$A$8,G4607,Period_Status!$B$2:$B$8,"ActualClosed")=1,C4607&gt;EOMONTH(Settlement_Bridge!$C$2,0)),1,0)</f>
        <v>0</v>
      </c>
      <c r="P4607" s="2" t="s">
        <v>12374</v>
      </c>
    </row>
    <row r="4608" spans="1:16" x14ac:dyDescent="0.25">
      <c r="A4608" s="2" t="s">
        <v>12375</v>
      </c>
      <c r="B4608" s="2" t="s">
        <v>7433</v>
      </c>
      <c r="C4608" s="8">
        <v>46255</v>
      </c>
      <c r="D4608" s="6">
        <v>46235</v>
      </c>
      <c r="E4608" s="2" t="s">
        <v>260</v>
      </c>
      <c r="F4608" s="2" t="s">
        <v>12376</v>
      </c>
      <c r="G4608" s="6">
        <v>46235</v>
      </c>
      <c r="H4608" s="2" t="s">
        <v>71</v>
      </c>
      <c r="I4608" s="2" t="s">
        <v>70</v>
      </c>
      <c r="J4608" s="9">
        <v>7926.4430769999999</v>
      </c>
      <c r="K4608" s="7">
        <v>0.65</v>
      </c>
      <c r="L4608" s="9">
        <v>5152.1899999999996</v>
      </c>
      <c r="M4608" s="9">
        <v>5152.1899999999996</v>
      </c>
      <c r="N4608" s="9">
        <v>2.83</v>
      </c>
      <c r="O4608" s="10">
        <f>IF(AND(OR(H4608="APPROVED",H4608="SCHEDULED"),COUNTIFS(tblSource[EventID],F4608,tblSource[ReleaseStatus],"APPROVED")=1,COUNTIFS(Period_Status!$A$2:$A$8,G4608,Period_Status!$B$2:$B$8,"ActualClosed")=1,C4608&gt;EOMONTH(Settlement_Bridge!$C$2,0)),1,0)</f>
        <v>0</v>
      </c>
      <c r="P4608" s="2" t="s">
        <v>12377</v>
      </c>
    </row>
    <row r="4609" spans="1:16" x14ac:dyDescent="0.25">
      <c r="A4609" s="2" t="s">
        <v>12378</v>
      </c>
      <c r="B4609" s="2" t="s">
        <v>7433</v>
      </c>
      <c r="C4609" s="8">
        <v>46280</v>
      </c>
      <c r="D4609" s="6">
        <v>46266</v>
      </c>
      <c r="E4609" s="2" t="s">
        <v>260</v>
      </c>
      <c r="F4609" s="2" t="s">
        <v>12376</v>
      </c>
      <c r="G4609" s="6">
        <v>46235</v>
      </c>
      <c r="H4609" s="2" t="s">
        <v>176</v>
      </c>
      <c r="I4609" s="2" t="s">
        <v>70</v>
      </c>
      <c r="J4609" s="9">
        <v>11889.664615</v>
      </c>
      <c r="K4609" s="7">
        <v>0.65100000000000002</v>
      </c>
      <c r="L4609" s="9">
        <v>7740.17</v>
      </c>
      <c r="M4609" s="9">
        <v>7728.28</v>
      </c>
      <c r="N4609" s="9">
        <v>4.26</v>
      </c>
      <c r="O4609" s="10">
        <f>IF(AND(OR(H4609="APPROVED",H4609="SCHEDULED"),COUNTIFS(tblSource[EventID],F4609,tblSource[ReleaseStatus],"APPROVED")=1,COUNTIFS(Period_Status!$A$2:$A$8,G4609,Period_Status!$B$2:$B$8,"ActualClosed")=1,C4609&gt;EOMONTH(Settlement_Bridge!$C$2,0)),1,0)</f>
        <v>0</v>
      </c>
      <c r="P4609" s="2" t="s">
        <v>12379</v>
      </c>
    </row>
    <row r="4610" spans="1:16" x14ac:dyDescent="0.25">
      <c r="A4610" s="2" t="s">
        <v>12380</v>
      </c>
      <c r="B4610" s="2" t="s">
        <v>7433</v>
      </c>
      <c r="C4610" s="8">
        <v>46256</v>
      </c>
      <c r="D4610" s="6">
        <v>46235</v>
      </c>
      <c r="E4610" s="2" t="s">
        <v>260</v>
      </c>
      <c r="F4610" s="2" t="s">
        <v>12381</v>
      </c>
      <c r="G4610" s="6">
        <v>46235</v>
      </c>
      <c r="H4610" s="2" t="s">
        <v>71</v>
      </c>
      <c r="I4610" s="2" t="s">
        <v>39</v>
      </c>
      <c r="J4610" s="9">
        <v>5262.9120000000003</v>
      </c>
      <c r="K4610" s="7">
        <v>1</v>
      </c>
      <c r="L4610" s="9">
        <v>5262.91</v>
      </c>
      <c r="M4610" s="9">
        <v>5262.91</v>
      </c>
      <c r="N4610" s="9">
        <v>2.89</v>
      </c>
      <c r="O4610" s="10">
        <f>IF(AND(OR(H4610="APPROVED",H4610="SCHEDULED"),COUNTIFS(tblSource[EventID],F4610,tblSource[ReleaseStatus],"APPROVED")=1,COUNTIFS(Period_Status!$A$2:$A$8,G4610,Period_Status!$B$2:$B$8,"ActualClosed")=1,C4610&gt;EOMONTH(Settlement_Bridge!$C$2,0)),1,0)</f>
        <v>0</v>
      </c>
      <c r="P4610" s="2" t="s">
        <v>12382</v>
      </c>
    </row>
    <row r="4611" spans="1:16" x14ac:dyDescent="0.25">
      <c r="A4611" s="2" t="s">
        <v>12383</v>
      </c>
      <c r="B4611" s="2" t="s">
        <v>7433</v>
      </c>
      <c r="C4611" s="8">
        <v>46281</v>
      </c>
      <c r="D4611" s="6">
        <v>46266</v>
      </c>
      <c r="E4611" s="2" t="s">
        <v>260</v>
      </c>
      <c r="F4611" s="2" t="s">
        <v>12381</v>
      </c>
      <c r="G4611" s="6">
        <v>46235</v>
      </c>
      <c r="H4611" s="2" t="s">
        <v>176</v>
      </c>
      <c r="I4611" s="2" t="s">
        <v>39</v>
      </c>
      <c r="J4611" s="9">
        <v>7894.3680000000004</v>
      </c>
      <c r="K4611" s="7">
        <v>1</v>
      </c>
      <c r="L4611" s="9">
        <v>7894.37</v>
      </c>
      <c r="M4611" s="9">
        <v>7894.37</v>
      </c>
      <c r="N4611" s="9">
        <v>4.34</v>
      </c>
      <c r="O4611" s="10">
        <f>IF(AND(OR(H4611="APPROVED",H4611="SCHEDULED"),COUNTIFS(tblSource[EventID],F4611,tblSource[ReleaseStatus],"APPROVED")=1,COUNTIFS(Period_Status!$A$2:$A$8,G4611,Period_Status!$B$2:$B$8,"ActualClosed")=1,C4611&gt;EOMONTH(Settlement_Bridge!$C$2,0)),1,0)</f>
        <v>0</v>
      </c>
      <c r="P4611" s="2" t="s">
        <v>12384</v>
      </c>
    </row>
    <row r="4612" spans="1:16" x14ac:dyDescent="0.25">
      <c r="A4612" s="2" t="s">
        <v>12385</v>
      </c>
      <c r="B4612" s="2" t="s">
        <v>136</v>
      </c>
      <c r="C4612" s="8">
        <v>46279</v>
      </c>
      <c r="D4612" s="6">
        <v>46266</v>
      </c>
      <c r="E4612" s="2" t="s">
        <v>260</v>
      </c>
      <c r="F4612" s="2" t="s">
        <v>12386</v>
      </c>
      <c r="G4612" s="6">
        <v>46235</v>
      </c>
      <c r="H4612" s="2" t="s">
        <v>176</v>
      </c>
      <c r="I4612" s="2" t="s">
        <v>39</v>
      </c>
      <c r="J4612" s="9">
        <v>5000</v>
      </c>
      <c r="K4612" s="7">
        <v>1</v>
      </c>
      <c r="L4612" s="9">
        <v>5000</v>
      </c>
      <c r="M4612" s="9">
        <v>5000</v>
      </c>
      <c r="N4612" s="9">
        <v>2.75</v>
      </c>
      <c r="O4612" s="10">
        <f>IF(AND(OR(H4612="APPROVED",H4612="SCHEDULED"),COUNTIFS(tblSource[EventID],F4612,tblSource[ReleaseStatus],"APPROVED")=1,COUNTIFS(Period_Status!$A$2:$A$8,G4612,Period_Status!$B$2:$B$8,"ActualClosed")=1,C4612&gt;EOMONTH(Settlement_Bridge!$C$2,0)),1,0)</f>
        <v>0</v>
      </c>
      <c r="P4612" s="2" t="s">
        <v>12387</v>
      </c>
    </row>
    <row r="4613" spans="1:16" x14ac:dyDescent="0.25">
      <c r="A4613" s="2" t="s">
        <v>12388</v>
      </c>
      <c r="B4613" s="2" t="s">
        <v>136</v>
      </c>
      <c r="C4613" s="8">
        <v>46304</v>
      </c>
      <c r="D4613" s="6">
        <v>46296</v>
      </c>
      <c r="E4613" s="2" t="s">
        <v>260</v>
      </c>
      <c r="F4613" s="2" t="s">
        <v>12386</v>
      </c>
      <c r="G4613" s="6">
        <v>46235</v>
      </c>
      <c r="H4613" s="2" t="s">
        <v>176</v>
      </c>
      <c r="I4613" s="2" t="s">
        <v>39</v>
      </c>
      <c r="J4613" s="9">
        <v>7500</v>
      </c>
      <c r="K4613" s="7">
        <v>1</v>
      </c>
      <c r="L4613" s="9">
        <v>7500</v>
      </c>
      <c r="M4613" s="9">
        <v>7500</v>
      </c>
      <c r="N4613" s="9">
        <v>4.13</v>
      </c>
      <c r="O4613" s="10">
        <f>IF(AND(OR(H4613="APPROVED",H4613="SCHEDULED"),COUNTIFS(tblSource[EventID],F4613,tblSource[ReleaseStatus],"APPROVED")=1,COUNTIFS(Period_Status!$A$2:$A$8,G4613,Period_Status!$B$2:$B$8,"ActualClosed")=1,C4613&gt;EOMONTH(Settlement_Bridge!$C$2,0)),1,0)</f>
        <v>0</v>
      </c>
      <c r="P4613" s="2" t="s">
        <v>12389</v>
      </c>
    </row>
    <row r="4614" spans="1:16" x14ac:dyDescent="0.25">
      <c r="A4614" s="2" t="s">
        <v>12390</v>
      </c>
      <c r="B4614" s="2" t="s">
        <v>199</v>
      </c>
      <c r="C4614" s="8">
        <v>46289</v>
      </c>
      <c r="D4614" s="6">
        <v>46266</v>
      </c>
      <c r="E4614" s="2" t="s">
        <v>260</v>
      </c>
      <c r="F4614" s="2" t="s">
        <v>12391</v>
      </c>
      <c r="G4614" s="6">
        <v>46235</v>
      </c>
      <c r="H4614" s="2" t="s">
        <v>176</v>
      </c>
      <c r="I4614" s="2" t="s">
        <v>39</v>
      </c>
      <c r="J4614" s="9">
        <v>-3400</v>
      </c>
      <c r="K4614" s="7">
        <v>1</v>
      </c>
      <c r="L4614" s="9">
        <v>-3400</v>
      </c>
      <c r="M4614" s="9">
        <v>-3400</v>
      </c>
      <c r="N4614" s="9">
        <v>0</v>
      </c>
      <c r="O4614" s="10">
        <f>IF(AND(OR(H4614="APPROVED",H4614="SCHEDULED"),COUNTIFS(tblSource[EventID],F4614,tblSource[ReleaseStatus],"APPROVED")=1,COUNTIFS(Period_Status!$A$2:$A$8,G4614,Period_Status!$B$2:$B$8,"ActualClosed")=1,C4614&gt;EOMONTH(Settlement_Bridge!$C$2,0)),1,0)</f>
        <v>0</v>
      </c>
      <c r="P4614" s="2" t="s">
        <v>12392</v>
      </c>
    </row>
    <row r="4615" spans="1:16" x14ac:dyDescent="0.25">
      <c r="A4615" s="2" t="s">
        <v>12393</v>
      </c>
      <c r="B4615" s="2" t="s">
        <v>7433</v>
      </c>
      <c r="C4615" s="8">
        <v>46279</v>
      </c>
      <c r="D4615" s="6">
        <v>46266</v>
      </c>
      <c r="E4615" s="2" t="s">
        <v>260</v>
      </c>
      <c r="F4615" s="2" t="s">
        <v>12394</v>
      </c>
      <c r="G4615" s="6">
        <v>46235</v>
      </c>
      <c r="H4615" s="2" t="s">
        <v>176</v>
      </c>
      <c r="I4615" s="2" t="s">
        <v>39</v>
      </c>
      <c r="J4615" s="9">
        <v>3300</v>
      </c>
      <c r="K4615" s="7">
        <v>1</v>
      </c>
      <c r="L4615" s="9">
        <v>3300</v>
      </c>
      <c r="M4615" s="9">
        <v>3300</v>
      </c>
      <c r="N4615" s="9">
        <v>1.82</v>
      </c>
      <c r="O4615" s="10">
        <f>IF(AND(OR(H4615="APPROVED",H4615="SCHEDULED"),COUNTIFS(tblSource[EventID],F4615,tblSource[ReleaseStatus],"APPROVED")=1,COUNTIFS(Period_Status!$A$2:$A$8,G4615,Period_Status!$B$2:$B$8,"ActualClosed")=1,C4615&gt;EOMONTH(Settlement_Bridge!$C$2,0)),1,0)</f>
        <v>0</v>
      </c>
      <c r="P4615" s="2" t="s">
        <v>12395</v>
      </c>
    </row>
    <row r="4616" spans="1:16" x14ac:dyDescent="0.25">
      <c r="A4616" s="2" t="s">
        <v>12396</v>
      </c>
      <c r="B4616" s="2" t="s">
        <v>7433</v>
      </c>
      <c r="C4616" s="8">
        <v>46304</v>
      </c>
      <c r="D4616" s="6">
        <v>46296</v>
      </c>
      <c r="E4616" s="2" t="s">
        <v>260</v>
      </c>
      <c r="F4616" s="2" t="s">
        <v>12394</v>
      </c>
      <c r="G4616" s="6">
        <v>46235</v>
      </c>
      <c r="H4616" s="2" t="s">
        <v>176</v>
      </c>
      <c r="I4616" s="2" t="s">
        <v>39</v>
      </c>
      <c r="J4616" s="9">
        <v>4950</v>
      </c>
      <c r="K4616" s="7">
        <v>1</v>
      </c>
      <c r="L4616" s="9">
        <v>4950</v>
      </c>
      <c r="M4616" s="9">
        <v>4950</v>
      </c>
      <c r="N4616" s="9">
        <v>2.72</v>
      </c>
      <c r="O4616" s="10">
        <f>IF(AND(OR(H4616="APPROVED",H4616="SCHEDULED"),COUNTIFS(tblSource[EventID],F4616,tblSource[ReleaseStatus],"APPROVED")=1,COUNTIFS(Period_Status!$A$2:$A$8,G4616,Period_Status!$B$2:$B$8,"ActualClosed")=1,C4616&gt;EOMONTH(Settlement_Bridge!$C$2,0)),1,0)</f>
        <v>0</v>
      </c>
      <c r="P4616" s="2" t="s">
        <v>12397</v>
      </c>
    </row>
  </sheetData>
  <pageMargins left="0.75" right="0.75" top="1" bottom="1" header="0.5" footer="0.5"/>
  <pageSetup paperSize="8"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F86"/>
    <pageSetUpPr fitToPage="1"/>
  </sheetPr>
  <dimension ref="A1:J7"/>
  <sheetViews>
    <sheetView showGridLines="0" zoomScale="85" workbookViewId="0">
      <pane ySplit="1" topLeftCell="A2" activePane="bottomLeft" state="frozen"/>
      <selection pane="bottomLeft"/>
    </sheetView>
  </sheetViews>
  <sheetFormatPr defaultRowHeight="15" x14ac:dyDescent="0.25"/>
  <cols>
    <col min="1" max="1" width="16" customWidth="1"/>
    <col min="2" max="2" width="55" customWidth="1"/>
    <col min="3" max="3" width="20" customWidth="1"/>
    <col min="4" max="4" width="22" customWidth="1"/>
    <col min="5" max="5" width="16" customWidth="1"/>
    <col min="6" max="7" width="22" customWidth="1"/>
    <col min="8" max="8" width="16" customWidth="1"/>
    <col min="9" max="9" width="22" customWidth="1"/>
    <col min="10" max="10" width="18" customWidth="1"/>
  </cols>
  <sheetData>
    <row r="1" spans="1:10" ht="32.1" customHeight="1" x14ac:dyDescent="0.25">
      <c r="A1" s="1" t="s">
        <v>123</v>
      </c>
      <c r="B1" s="1" t="s">
        <v>12398</v>
      </c>
      <c r="C1" s="1" t="s">
        <v>12399</v>
      </c>
      <c r="D1" s="1" t="s">
        <v>12400</v>
      </c>
      <c r="E1" s="1" t="s">
        <v>12401</v>
      </c>
      <c r="F1" s="1" t="s">
        <v>12402</v>
      </c>
      <c r="G1" s="1" t="s">
        <v>12403</v>
      </c>
      <c r="H1" s="1" t="s">
        <v>12404</v>
      </c>
      <c r="I1" s="1" t="s">
        <v>12405</v>
      </c>
      <c r="J1" s="1" t="s">
        <v>12406</v>
      </c>
    </row>
    <row r="2" spans="1:10" x14ac:dyDescent="0.25">
      <c r="A2" s="2" t="s">
        <v>136</v>
      </c>
      <c r="B2" s="2" t="s">
        <v>12407</v>
      </c>
      <c r="C2" s="11">
        <f>LOOKUP(2,1/(Period_Status!$B$2:$B$8="ActualClosed"),Period_Status!$A$2:$A$8)</f>
        <v>46204</v>
      </c>
      <c r="D2" s="10">
        <f>SUMIFS(tblSource[AmountUSD],tblSource[Site],A2,tblSource[EventType],"GoldSale",tblSource[ReleaseStatus],"APPROVED",tblSource[Period],"&lt;="&amp;C2)-SUMIFS(tblSource[AppliedUSD],tblSource[Site],A2,tblSource[EventType],"Collection",tblSource[ReleaseStatus],"APPROVED",tblSource[Period],"&lt;="&amp;C2)</f>
        <v>4933246.370000001</v>
      </c>
      <c r="E2" s="10">
        <f>SUMIFS(tblSettlementSchedule[AppliedBookUSD],tblSettlementSchedule[Site],A2,tblSettlementSchedule[EventType],"Collection",tblSettlementSchedule[PendingActualOrigin],1)</f>
        <v>4933246.37</v>
      </c>
      <c r="F2" s="12">
        <f>ROUND(D2-E2,2)</f>
        <v>0</v>
      </c>
      <c r="G2" s="10">
        <f>SUMIFS(tblSource[AmountUSD],tblSource[Site],A2,tblSource[EventType],"Ledger",tblSource[ReleaseStatus],"APPROVED",tblSource[Period],"&lt;="&amp;C2)-SUMIFS(tblSource[AppliedUSD],tblSource[Site],A2,tblSource[EventType],"VendorSettlement",tblSource[ReleaseStatus],"APPROVED",tblSource[Period],"&lt;="&amp;C2)</f>
        <v>2080009.7899999996</v>
      </c>
      <c r="H2" s="10">
        <f>SUMIFS(tblSettlementSchedule[AppliedBookUSD],tblSettlementSchedule[Site],A2,tblSettlementSchedule[EventType],"VendorSettlement",tblSettlementSchedule[PendingActualOrigin],1)</f>
        <v>2080009.7900000005</v>
      </c>
      <c r="I2" s="12">
        <f>ROUND(G2-H2,2)</f>
        <v>0</v>
      </c>
      <c r="J2" s="10" t="str">
        <f>IF(OR(F2&lt;-0.02,I2&lt;-0.02),"REVIEW: overallocated",IF(MAX(F2,I2)&gt;0.02,"ESTIMATE: residual next month","FULLY DATED"))</f>
        <v>FULLY DATED</v>
      </c>
    </row>
    <row r="3" spans="1:10" x14ac:dyDescent="0.25">
      <c r="A3" s="2" t="s">
        <v>199</v>
      </c>
      <c r="B3" s="2" t="s">
        <v>12408</v>
      </c>
      <c r="C3" s="11">
        <f>LOOKUP(2,1/(Period_Status!$B$2:$B$8="ActualClosed"),Period_Status!$A$2:$A$8)</f>
        <v>46204</v>
      </c>
      <c r="D3" s="10">
        <f>SUMIFS(tblSource[AmountUSD],tblSource[Site],A3,tblSource[EventType],"GoldSale",tblSource[ReleaseStatus],"APPROVED",tblSource[Period],"&lt;="&amp;C3)-SUMIFS(tblSource[AppliedUSD],tblSource[Site],A3,tblSource[EventType],"Collection",tblSource[ReleaseStatus],"APPROVED",tblSource[Period],"&lt;="&amp;C3)</f>
        <v>3028019.2000000002</v>
      </c>
      <c r="E3" s="10">
        <f>SUMIFS(tblSettlementSchedule[AppliedBookUSD],tblSettlementSchedule[Site],A3,tblSettlementSchedule[EventType],"Collection",tblSettlementSchedule[PendingActualOrigin],1)</f>
        <v>3028019.2000000002</v>
      </c>
      <c r="F3" s="12">
        <f>ROUND(D3-E3,2)</f>
        <v>0</v>
      </c>
      <c r="G3" s="10">
        <f>SUMIFS(tblSource[AmountUSD],tblSource[Site],A3,tblSource[EventType],"Ledger",tblSource[ReleaseStatus],"APPROVED",tblSource[Period],"&lt;="&amp;C3)-SUMIFS(tblSource[AppliedUSD],tblSource[Site],A3,tblSource[EventType],"VendorSettlement",tblSource[ReleaseStatus],"APPROVED",tblSource[Period],"&lt;="&amp;C3)</f>
        <v>2076081.3899999992</v>
      </c>
      <c r="H3" s="10">
        <f>SUMIFS(tblSettlementSchedule[AppliedBookUSD],tblSettlementSchedule[Site],A3,tblSettlementSchedule[EventType],"VendorSettlement",tblSettlementSchedule[PendingActualOrigin],1)</f>
        <v>2076081.3900000008</v>
      </c>
      <c r="I3" s="12">
        <f>ROUND(G3-H3,2)</f>
        <v>0</v>
      </c>
      <c r="J3" s="10" t="str">
        <f>IF(OR(F3&lt;-0.02,I3&lt;-0.02),"REVIEW: overallocated",IF(MAX(F3,I3)&gt;0.02,"ESTIMATE: residual next month","FULLY DATED"))</f>
        <v>FULLY DATED</v>
      </c>
    </row>
    <row r="4" spans="1:10" x14ac:dyDescent="0.25">
      <c r="A4" s="2" t="s">
        <v>7433</v>
      </c>
      <c r="B4" s="2" t="s">
        <v>12409</v>
      </c>
      <c r="C4" s="11">
        <f>LOOKUP(2,1/(Period_Status!$B$2:$B$8="ActualClosed"),Period_Status!$A$2:$A$8)</f>
        <v>46204</v>
      </c>
      <c r="D4" s="10">
        <f>SUMIFS(tblSource[AmountUSD],tblSource[Site],A4,tblSource[EventType],"GoldSale",tblSource[ReleaseStatus],"APPROVED",tblSource[Period],"&lt;="&amp;C4)-SUMIFS(tblSource[AppliedUSD],tblSource[Site],A4,tblSource[EventType],"Collection",tblSource[ReleaseStatus],"APPROVED",tblSource[Period],"&lt;="&amp;C4)</f>
        <v>0</v>
      </c>
      <c r="E4" s="10">
        <f>SUMIFS(tblSettlementSchedule[AppliedBookUSD],tblSettlementSchedule[Site],A4,tblSettlementSchedule[EventType],"Collection",tblSettlementSchedule[PendingActualOrigin],1)</f>
        <v>0</v>
      </c>
      <c r="F4" s="12">
        <f>ROUND(D4-E4,2)</f>
        <v>0</v>
      </c>
      <c r="G4" s="10">
        <f>SUMIFS(tblSource[AmountUSD],tblSource[Site],A4,tblSource[EventType],"Ledger",tblSource[ReleaseStatus],"APPROVED",tblSource[Period],"&lt;="&amp;C4)-SUMIFS(tblSource[AppliedUSD],tblSource[Site],A4,tblSource[EventType],"VendorSettlement",tblSource[ReleaseStatus],"APPROVED",tblSource[Period],"&lt;="&amp;C4)</f>
        <v>3713937.93</v>
      </c>
      <c r="H4" s="10">
        <f>SUMIFS(tblSettlementSchedule[AppliedBookUSD],tblSettlementSchedule[Site],A4,tblSettlementSchedule[EventType],"VendorSettlement",tblSettlementSchedule[PendingActualOrigin],1)</f>
        <v>3713937.9300000011</v>
      </c>
      <c r="I4" s="12">
        <f>ROUND(G4-H4,2)</f>
        <v>0</v>
      </c>
      <c r="J4" s="10" t="str">
        <f>IF(OR(F4&lt;-0.02,I4&lt;-0.02),"REVIEW: overallocated",IF(MAX(F4,I4)&gt;0.02,"ESTIMATE: residual next month","FULLY DATED"))</f>
        <v>FULLY DATED</v>
      </c>
    </row>
    <row r="7" spans="1:10" ht="110.1" customHeight="1" x14ac:dyDescent="0.25">
      <c r="A7" t="s">
        <v>12410</v>
      </c>
      <c r="B7" s="13" t="s">
        <v>12411</v>
      </c>
    </row>
  </sheetData>
  <pageMargins left="0.75" right="0.75" top="1" bottom="1" header="0.5" footer="0.5"/>
  <pageSetup paperSize="8"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F86"/>
    <pageSetUpPr fitToPage="1"/>
  </sheetPr>
  <dimension ref="A1:W22"/>
  <sheetViews>
    <sheetView showGridLines="0" zoomScale="85" workbookViewId="0">
      <pane ySplit="1" topLeftCell="A2" activePane="bottomLeft" state="frozen"/>
      <selection pane="bottomLeft"/>
    </sheetView>
  </sheetViews>
  <sheetFormatPr defaultRowHeight="15" x14ac:dyDescent="0.25"/>
  <cols>
    <col min="1" max="1" width="28" customWidth="1"/>
    <col min="2" max="8" width="16" customWidth="1"/>
    <col min="9" max="9" width="21" customWidth="1"/>
    <col min="10" max="10" width="16" customWidth="1"/>
    <col min="11" max="11" width="19" customWidth="1"/>
    <col min="12" max="12" width="16" customWidth="1"/>
    <col min="13" max="13" width="20" customWidth="1"/>
    <col min="14" max="23" width="16" customWidth="1"/>
  </cols>
  <sheetData>
    <row r="1" spans="1:23" ht="32.1" customHeight="1" x14ac:dyDescent="0.25">
      <c r="A1" s="1" t="s">
        <v>12412</v>
      </c>
      <c r="B1" s="1" t="s">
        <v>123</v>
      </c>
      <c r="C1" s="1" t="s">
        <v>61</v>
      </c>
      <c r="D1" s="1" t="s">
        <v>12413</v>
      </c>
      <c r="E1" s="1" t="s">
        <v>12414</v>
      </c>
      <c r="F1" s="1" t="s">
        <v>12415</v>
      </c>
      <c r="G1" s="1" t="s">
        <v>12416</v>
      </c>
      <c r="H1" s="1" t="s">
        <v>12417</v>
      </c>
      <c r="I1" s="1" t="s">
        <v>12418</v>
      </c>
      <c r="J1" s="1" t="s">
        <v>12419</v>
      </c>
      <c r="K1" s="1" t="s">
        <v>12420</v>
      </c>
      <c r="L1" s="1" t="s">
        <v>12421</v>
      </c>
      <c r="M1" s="1" t="s">
        <v>12422</v>
      </c>
      <c r="N1" s="1" t="s">
        <v>12423</v>
      </c>
      <c r="O1" s="1" t="s">
        <v>12424</v>
      </c>
      <c r="P1" s="1" t="s">
        <v>12425</v>
      </c>
      <c r="Q1" s="1" t="s">
        <v>12426</v>
      </c>
      <c r="R1" s="1" t="s">
        <v>12427</v>
      </c>
      <c r="S1" s="1" t="s">
        <v>12428</v>
      </c>
      <c r="T1" s="1" t="s">
        <v>12429</v>
      </c>
      <c r="U1" s="1" t="s">
        <v>12430</v>
      </c>
      <c r="V1" s="1" t="s">
        <v>12431</v>
      </c>
      <c r="W1" s="1" t="s">
        <v>12432</v>
      </c>
    </row>
    <row r="2" spans="1:23" x14ac:dyDescent="0.25">
      <c r="A2" s="2" t="s">
        <v>12433</v>
      </c>
      <c r="B2" s="2" t="s">
        <v>136</v>
      </c>
      <c r="C2" s="6">
        <v>46174</v>
      </c>
      <c r="D2" s="14">
        <v>2664.7438976982789</v>
      </c>
      <c r="E2" s="14">
        <v>2629.7438976982789</v>
      </c>
      <c r="F2" s="9">
        <v>7613108.5800000001</v>
      </c>
      <c r="G2" s="9">
        <v>2506507.73</v>
      </c>
      <c r="H2" s="9">
        <v>0</v>
      </c>
      <c r="I2" s="9">
        <v>5106600.8499999996</v>
      </c>
      <c r="J2" s="9">
        <v>6699535.5499999998</v>
      </c>
      <c r="K2" s="9">
        <v>2055336.34</v>
      </c>
      <c r="L2" s="9">
        <v>6490.06</v>
      </c>
      <c r="M2" s="9">
        <v>4637709.1500000004</v>
      </c>
      <c r="N2" s="9">
        <v>239400</v>
      </c>
      <c r="O2" s="9">
        <v>260000</v>
      </c>
      <c r="P2" s="9">
        <v>227556</v>
      </c>
      <c r="Q2" s="9">
        <v>267461.03999999998</v>
      </c>
      <c r="R2" s="9">
        <v>258750</v>
      </c>
      <c r="S2" s="9">
        <v>253200</v>
      </c>
      <c r="T2" s="9">
        <v>255622.5</v>
      </c>
      <c r="U2" s="9">
        <v>261345</v>
      </c>
      <c r="V2" s="9">
        <v>234050.4</v>
      </c>
      <c r="W2" s="9">
        <v>249122.79</v>
      </c>
    </row>
    <row r="3" spans="1:23" x14ac:dyDescent="0.25">
      <c r="A3" s="2" t="s">
        <v>12434</v>
      </c>
      <c r="B3" s="2" t="s">
        <v>136</v>
      </c>
      <c r="C3" s="6">
        <v>46204</v>
      </c>
      <c r="D3" s="14">
        <v>2753.5686942882221</v>
      </c>
      <c r="E3" s="14">
        <v>2688.5686942882221</v>
      </c>
      <c r="F3" s="9">
        <v>7858686.29</v>
      </c>
      <c r="G3" s="9">
        <v>2487803.0499999998</v>
      </c>
      <c r="H3" s="9">
        <v>0</v>
      </c>
      <c r="I3" s="9">
        <v>5370883.2400000002</v>
      </c>
      <c r="J3" s="9">
        <v>7829216.96</v>
      </c>
      <c r="K3" s="9">
        <v>2491169.89</v>
      </c>
      <c r="L3" s="9">
        <v>7633.52</v>
      </c>
      <c r="M3" s="9">
        <v>5330413.55</v>
      </c>
      <c r="N3" s="9">
        <v>242550</v>
      </c>
      <c r="O3" s="9">
        <v>230000</v>
      </c>
      <c r="P3" s="9">
        <v>225720</v>
      </c>
      <c r="Q3" s="9">
        <v>249477.84</v>
      </c>
      <c r="R3" s="9">
        <v>218880</v>
      </c>
      <c r="S3" s="9">
        <v>261200</v>
      </c>
      <c r="T3" s="9">
        <v>268642.5</v>
      </c>
      <c r="U3" s="9">
        <v>249480</v>
      </c>
      <c r="V3" s="9">
        <v>260822.07</v>
      </c>
      <c r="W3" s="9">
        <v>281030.64</v>
      </c>
    </row>
    <row r="4" spans="1:23" x14ac:dyDescent="0.25">
      <c r="A4" s="2" t="s">
        <v>12435</v>
      </c>
      <c r="B4" s="2" t="s">
        <v>136</v>
      </c>
      <c r="C4" s="6">
        <v>46235</v>
      </c>
      <c r="D4" s="14">
        <v>2753.5686942882221</v>
      </c>
      <c r="E4" s="14">
        <v>2673.5686942882221</v>
      </c>
      <c r="F4" s="9">
        <v>7889701.2199999997</v>
      </c>
      <c r="G4" s="9">
        <v>2482096.2799999998</v>
      </c>
      <c r="H4" s="9">
        <v>0</v>
      </c>
      <c r="I4" s="9">
        <v>5407604.9400000004</v>
      </c>
      <c r="J4" s="9">
        <v>7885979.4299999997</v>
      </c>
      <c r="K4" s="9">
        <v>2483123.5</v>
      </c>
      <c r="L4" s="9">
        <v>7674.5</v>
      </c>
      <c r="M4" s="9">
        <v>5395181.4299999997</v>
      </c>
      <c r="N4" s="9">
        <v>226800</v>
      </c>
      <c r="O4" s="9">
        <v>266000</v>
      </c>
      <c r="P4" s="9">
        <v>261000</v>
      </c>
      <c r="Q4" s="9">
        <v>254014.74</v>
      </c>
      <c r="R4" s="9">
        <v>265980</v>
      </c>
      <c r="S4" s="9">
        <v>257600</v>
      </c>
      <c r="T4" s="9">
        <v>211680</v>
      </c>
      <c r="U4" s="9">
        <v>253260</v>
      </c>
      <c r="V4" s="9">
        <v>244861.74</v>
      </c>
      <c r="W4" s="9">
        <v>240899.8</v>
      </c>
    </row>
    <row r="5" spans="1:23" x14ac:dyDescent="0.25">
      <c r="A5" s="2" t="s">
        <v>12436</v>
      </c>
      <c r="B5" s="2" t="s">
        <v>136</v>
      </c>
      <c r="C5" s="6">
        <v>46266</v>
      </c>
      <c r="D5" s="14">
        <v>2718.038775652245</v>
      </c>
      <c r="E5" s="14">
        <v>2703.038775652245</v>
      </c>
      <c r="F5" s="9">
        <v>8052352.5099999998</v>
      </c>
      <c r="G5" s="9">
        <v>2562437.15</v>
      </c>
      <c r="H5" s="9">
        <v>0</v>
      </c>
      <c r="I5" s="9">
        <v>5489915.3600000003</v>
      </c>
      <c r="J5" s="9">
        <v>8032834.3600000003</v>
      </c>
      <c r="K5" s="9">
        <v>2547975.79</v>
      </c>
      <c r="L5" s="9">
        <v>7827.65</v>
      </c>
      <c r="M5" s="9">
        <v>5477030.9199999999</v>
      </c>
      <c r="N5" s="9">
        <v>249826.5</v>
      </c>
      <c r="O5" s="9">
        <v>236900</v>
      </c>
      <c r="P5" s="9">
        <v>232491.6</v>
      </c>
      <c r="Q5" s="9">
        <v>256962.18</v>
      </c>
      <c r="R5" s="9">
        <v>225446.39999999999</v>
      </c>
      <c r="S5" s="9">
        <v>269036</v>
      </c>
      <c r="T5" s="9">
        <v>276701.78000000003</v>
      </c>
      <c r="U5" s="9">
        <v>256964.4</v>
      </c>
      <c r="V5" s="9">
        <v>268646.73</v>
      </c>
      <c r="W5" s="9">
        <v>289461.56</v>
      </c>
    </row>
    <row r="6" spans="1:23" x14ac:dyDescent="0.25">
      <c r="A6" s="2" t="s">
        <v>12437</v>
      </c>
      <c r="B6" s="2" t="s">
        <v>136</v>
      </c>
      <c r="C6" s="6">
        <v>46296</v>
      </c>
      <c r="D6" s="14">
        <v>2863.71144205975</v>
      </c>
      <c r="E6" s="14">
        <v>2838.71144205975</v>
      </c>
      <c r="F6" s="9">
        <v>8536005.3100000005</v>
      </c>
      <c r="G6" s="9">
        <v>2612193.2000000002</v>
      </c>
      <c r="H6" s="9">
        <v>0</v>
      </c>
      <c r="I6" s="9">
        <v>5923812.1100000003</v>
      </c>
      <c r="J6" s="9">
        <v>8477966.9700000007</v>
      </c>
      <c r="K6" s="9">
        <v>2603237.11</v>
      </c>
      <c r="L6" s="9">
        <v>8214.15</v>
      </c>
      <c r="M6" s="9">
        <v>5866515.71</v>
      </c>
      <c r="N6" s="9">
        <v>254677.5</v>
      </c>
      <c r="O6" s="9">
        <v>241500</v>
      </c>
      <c r="P6" s="9">
        <v>237006</v>
      </c>
      <c r="Q6" s="9">
        <v>261951.73</v>
      </c>
      <c r="R6" s="9">
        <v>229824</v>
      </c>
      <c r="S6" s="9">
        <v>274260</v>
      </c>
      <c r="T6" s="9">
        <v>282074.63</v>
      </c>
      <c r="U6" s="9">
        <v>261954</v>
      </c>
      <c r="V6" s="9">
        <v>273863.17</v>
      </c>
      <c r="W6" s="9">
        <v>295082.17</v>
      </c>
    </row>
    <row r="7" spans="1:23" x14ac:dyDescent="0.25">
      <c r="A7" s="2" t="s">
        <v>12438</v>
      </c>
      <c r="B7" s="2" t="s">
        <v>136</v>
      </c>
      <c r="C7" s="6">
        <v>46327</v>
      </c>
      <c r="D7" s="14">
        <v>2691.3913366752622</v>
      </c>
      <c r="E7" s="14">
        <v>2651.3913366752622</v>
      </c>
      <c r="F7" s="9">
        <v>8046972.71</v>
      </c>
      <c r="G7" s="9">
        <v>2736583.35</v>
      </c>
      <c r="H7" s="9">
        <v>0</v>
      </c>
      <c r="I7" s="9">
        <v>5310389.3600000003</v>
      </c>
      <c r="J7" s="9">
        <v>8105656.6200000001</v>
      </c>
      <c r="K7" s="9">
        <v>2714193.12</v>
      </c>
      <c r="L7" s="9">
        <v>7977.33</v>
      </c>
      <c r="M7" s="9">
        <v>5383486.1699999999</v>
      </c>
      <c r="N7" s="9">
        <v>266805</v>
      </c>
      <c r="O7" s="9">
        <v>253000</v>
      </c>
      <c r="P7" s="9">
        <v>248292</v>
      </c>
      <c r="Q7" s="9">
        <v>274425.62</v>
      </c>
      <c r="R7" s="9">
        <v>240768</v>
      </c>
      <c r="S7" s="9">
        <v>287320</v>
      </c>
      <c r="T7" s="9">
        <v>295506.75</v>
      </c>
      <c r="U7" s="9">
        <v>274428</v>
      </c>
      <c r="V7" s="9">
        <v>286904.28000000003</v>
      </c>
      <c r="W7" s="9">
        <v>309133.7</v>
      </c>
    </row>
    <row r="8" spans="1:23" x14ac:dyDescent="0.25">
      <c r="A8" s="2" t="s">
        <v>12439</v>
      </c>
      <c r="B8" s="2" t="s">
        <v>136</v>
      </c>
      <c r="C8" s="6">
        <v>46357</v>
      </c>
      <c r="D8" s="14">
        <v>2918.7828159455148</v>
      </c>
      <c r="E8" s="14">
        <v>2938.7828159455148</v>
      </c>
      <c r="F8" s="9">
        <v>9001491.7699999996</v>
      </c>
      <c r="G8" s="9">
        <v>2661949.2599999998</v>
      </c>
      <c r="H8" s="9">
        <v>0</v>
      </c>
      <c r="I8" s="9">
        <v>6339542.5099999998</v>
      </c>
      <c r="J8" s="9">
        <v>8886949.4800000004</v>
      </c>
      <c r="K8" s="9">
        <v>2675383.4</v>
      </c>
      <c r="L8" s="9">
        <v>8581.02</v>
      </c>
      <c r="M8" s="9">
        <v>6202985.0599999996</v>
      </c>
      <c r="N8" s="9">
        <v>259528.5</v>
      </c>
      <c r="O8" s="9">
        <v>246100</v>
      </c>
      <c r="P8" s="9">
        <v>241520.4</v>
      </c>
      <c r="Q8" s="9">
        <v>266941.28999999998</v>
      </c>
      <c r="R8" s="9">
        <v>234201.60000000001</v>
      </c>
      <c r="S8" s="9">
        <v>279484</v>
      </c>
      <c r="T8" s="9">
        <v>287447.48</v>
      </c>
      <c r="U8" s="9">
        <v>266943.59999999998</v>
      </c>
      <c r="V8" s="9">
        <v>279079.61</v>
      </c>
      <c r="W8" s="9">
        <v>300702.78000000003</v>
      </c>
    </row>
    <row r="9" spans="1:23" x14ac:dyDescent="0.25">
      <c r="A9" s="2" t="s">
        <v>12440</v>
      </c>
      <c r="B9" s="2" t="s">
        <v>199</v>
      </c>
      <c r="C9" s="6">
        <v>46174</v>
      </c>
      <c r="D9" s="14">
        <v>1652.574094224733</v>
      </c>
      <c r="E9" s="14">
        <v>1607.574094224733</v>
      </c>
      <c r="F9" s="9">
        <v>4653927</v>
      </c>
      <c r="G9" s="9">
        <v>2480964.44</v>
      </c>
      <c r="H9" s="9">
        <v>0</v>
      </c>
      <c r="I9" s="9">
        <v>2172962.56</v>
      </c>
      <c r="J9" s="9">
        <v>4095455.76</v>
      </c>
      <c r="K9" s="9">
        <v>2034390.84</v>
      </c>
      <c r="L9" s="9">
        <v>4395.28</v>
      </c>
      <c r="M9" s="9">
        <v>2056669.64</v>
      </c>
      <c r="N9" s="9">
        <v>264600</v>
      </c>
      <c r="O9" s="9">
        <v>275000</v>
      </c>
      <c r="P9" s="9">
        <v>225009</v>
      </c>
      <c r="Q9" s="9">
        <v>249369.12</v>
      </c>
      <c r="R9" s="9">
        <v>226260</v>
      </c>
      <c r="S9" s="9">
        <v>223630</v>
      </c>
      <c r="T9" s="9">
        <v>237545</v>
      </c>
      <c r="U9" s="9">
        <v>257985</v>
      </c>
      <c r="V9" s="9">
        <v>245426.94</v>
      </c>
      <c r="W9" s="9">
        <v>276139.38</v>
      </c>
    </row>
    <row r="10" spans="1:23" x14ac:dyDescent="0.25">
      <c r="A10" s="2" t="s">
        <v>12441</v>
      </c>
      <c r="B10" s="2" t="s">
        <v>199</v>
      </c>
      <c r="C10" s="6">
        <v>46204</v>
      </c>
      <c r="D10" s="14">
        <v>1707.659897365558</v>
      </c>
      <c r="E10" s="14">
        <v>1662.659897365558</v>
      </c>
      <c r="F10" s="9">
        <v>4859954.88</v>
      </c>
      <c r="G10" s="9">
        <v>2493381.94</v>
      </c>
      <c r="H10" s="9">
        <v>0</v>
      </c>
      <c r="I10" s="9">
        <v>2366572.94</v>
      </c>
      <c r="J10" s="9">
        <v>4835231.53</v>
      </c>
      <c r="K10" s="9">
        <v>2491146.79</v>
      </c>
      <c r="L10" s="9">
        <v>5238.32</v>
      </c>
      <c r="M10" s="9">
        <v>2338846.42</v>
      </c>
      <c r="N10" s="9">
        <v>239400</v>
      </c>
      <c r="O10" s="9">
        <v>234000</v>
      </c>
      <c r="P10" s="9">
        <v>251028</v>
      </c>
      <c r="Q10" s="9">
        <v>275676</v>
      </c>
      <c r="R10" s="9">
        <v>242550</v>
      </c>
      <c r="S10" s="9">
        <v>273020</v>
      </c>
      <c r="T10" s="9">
        <v>266656.25</v>
      </c>
      <c r="U10" s="9">
        <v>234360</v>
      </c>
      <c r="V10" s="9">
        <v>228241.8</v>
      </c>
      <c r="W10" s="9">
        <v>248449.89</v>
      </c>
    </row>
    <row r="11" spans="1:23" x14ac:dyDescent="0.25">
      <c r="A11" s="2" t="s">
        <v>12442</v>
      </c>
      <c r="B11" s="2" t="s">
        <v>199</v>
      </c>
      <c r="C11" s="6">
        <v>46235</v>
      </c>
      <c r="D11" s="14">
        <v>1707.659897365558</v>
      </c>
      <c r="E11" s="14">
        <v>1652.659897365558</v>
      </c>
      <c r="F11" s="9">
        <v>4876999.3600000003</v>
      </c>
      <c r="G11" s="9">
        <v>2481315.7999999998</v>
      </c>
      <c r="H11" s="9">
        <v>0</v>
      </c>
      <c r="I11" s="9">
        <v>2395683.56</v>
      </c>
      <c r="J11" s="9">
        <v>4874954.0199999996</v>
      </c>
      <c r="K11" s="9">
        <v>2483487.71</v>
      </c>
      <c r="L11" s="9">
        <v>5265.88</v>
      </c>
      <c r="M11" s="9">
        <v>2386200.4300000002</v>
      </c>
      <c r="N11" s="9">
        <v>223500</v>
      </c>
      <c r="O11" s="9">
        <v>231000</v>
      </c>
      <c r="P11" s="9">
        <v>228492</v>
      </c>
      <c r="Q11" s="9">
        <v>225834.23999999999</v>
      </c>
      <c r="R11" s="9">
        <v>264240</v>
      </c>
      <c r="S11" s="9">
        <v>270180</v>
      </c>
      <c r="T11" s="9">
        <v>235476.5</v>
      </c>
      <c r="U11" s="9">
        <v>280000</v>
      </c>
      <c r="V11" s="9">
        <v>271060.02</v>
      </c>
      <c r="W11" s="9">
        <v>251533.04</v>
      </c>
    </row>
    <row r="12" spans="1:23" x14ac:dyDescent="0.25">
      <c r="A12" s="2" t="s">
        <v>12443</v>
      </c>
      <c r="B12" s="2" t="s">
        <v>199</v>
      </c>
      <c r="C12" s="6">
        <v>46266</v>
      </c>
      <c r="D12" s="14">
        <v>1685.6255761092279</v>
      </c>
      <c r="E12" s="14">
        <v>1675.6255761092279</v>
      </c>
      <c r="F12" s="9">
        <v>4991688.59</v>
      </c>
      <c r="G12" s="9">
        <v>2568183.4</v>
      </c>
      <c r="H12" s="9">
        <v>0</v>
      </c>
      <c r="I12" s="9">
        <v>2423505.19</v>
      </c>
      <c r="J12" s="9">
        <v>4977925.88</v>
      </c>
      <c r="K12" s="9">
        <v>2552547.23</v>
      </c>
      <c r="L12" s="9">
        <v>5386.24</v>
      </c>
      <c r="M12" s="9">
        <v>2419992.41</v>
      </c>
      <c r="N12" s="9">
        <v>246582</v>
      </c>
      <c r="O12" s="9">
        <v>241020</v>
      </c>
      <c r="P12" s="9">
        <v>258558.84</v>
      </c>
      <c r="Q12" s="9">
        <v>283946.28000000003</v>
      </c>
      <c r="R12" s="9">
        <v>249826.5</v>
      </c>
      <c r="S12" s="9">
        <v>281210.59999999998</v>
      </c>
      <c r="T12" s="9">
        <v>274655.94</v>
      </c>
      <c r="U12" s="9">
        <v>241390.8</v>
      </c>
      <c r="V12" s="9">
        <v>235089.05</v>
      </c>
      <c r="W12" s="9">
        <v>255903.39</v>
      </c>
    </row>
    <row r="13" spans="1:23" x14ac:dyDescent="0.25">
      <c r="A13" s="2" t="s">
        <v>12444</v>
      </c>
      <c r="B13" s="2" t="s">
        <v>199</v>
      </c>
      <c r="C13" s="6">
        <v>46296</v>
      </c>
      <c r="D13" s="14">
        <v>1775.96629326018</v>
      </c>
      <c r="E13" s="14">
        <v>1755.96629326018</v>
      </c>
      <c r="F13" s="9">
        <v>5280190.6399999997</v>
      </c>
      <c r="G13" s="9">
        <v>2618051.0299999998</v>
      </c>
      <c r="H13" s="9">
        <v>0</v>
      </c>
      <c r="I13" s="9">
        <v>2662139.61</v>
      </c>
      <c r="J13" s="9">
        <v>5245570.3899999997</v>
      </c>
      <c r="K13" s="9">
        <v>2609074.86</v>
      </c>
      <c r="L13" s="9">
        <v>5631.45</v>
      </c>
      <c r="M13" s="9">
        <v>2630864.08</v>
      </c>
      <c r="N13" s="9">
        <v>251370</v>
      </c>
      <c r="O13" s="9">
        <v>245700</v>
      </c>
      <c r="P13" s="9">
        <v>263579.40000000002</v>
      </c>
      <c r="Q13" s="9">
        <v>289459.8</v>
      </c>
      <c r="R13" s="9">
        <v>254677.5</v>
      </c>
      <c r="S13" s="9">
        <v>286671</v>
      </c>
      <c r="T13" s="9">
        <v>279989.06</v>
      </c>
      <c r="U13" s="9">
        <v>246078</v>
      </c>
      <c r="V13" s="9">
        <v>239653.89</v>
      </c>
      <c r="W13" s="9">
        <v>260872.38</v>
      </c>
    </row>
    <row r="14" spans="1:23" x14ac:dyDescent="0.25">
      <c r="A14" s="2" t="s">
        <v>12445</v>
      </c>
      <c r="B14" s="2" t="s">
        <v>199</v>
      </c>
      <c r="C14" s="6">
        <v>46327</v>
      </c>
      <c r="D14" s="14">
        <v>1669.09983516698</v>
      </c>
      <c r="E14" s="14">
        <v>1654.09983516698</v>
      </c>
      <c r="F14" s="9">
        <v>5020193</v>
      </c>
      <c r="G14" s="9">
        <v>2742720.14</v>
      </c>
      <c r="H14" s="9">
        <v>0</v>
      </c>
      <c r="I14" s="9">
        <v>2277472.86</v>
      </c>
      <c r="J14" s="9">
        <v>5051392.72</v>
      </c>
      <c r="K14" s="9">
        <v>2720279.7</v>
      </c>
      <c r="L14" s="9">
        <v>5537.27</v>
      </c>
      <c r="M14" s="9">
        <v>2325575.75</v>
      </c>
      <c r="N14" s="9">
        <v>263340</v>
      </c>
      <c r="O14" s="9">
        <v>257400</v>
      </c>
      <c r="P14" s="9">
        <v>276130.8</v>
      </c>
      <c r="Q14" s="9">
        <v>303243.59999999998</v>
      </c>
      <c r="R14" s="9">
        <v>266805</v>
      </c>
      <c r="S14" s="9">
        <v>300322</v>
      </c>
      <c r="T14" s="9">
        <v>293321.88</v>
      </c>
      <c r="U14" s="9">
        <v>257796</v>
      </c>
      <c r="V14" s="9">
        <v>251065.98</v>
      </c>
      <c r="W14" s="9">
        <v>273294.88</v>
      </c>
    </row>
    <row r="15" spans="1:23" x14ac:dyDescent="0.25">
      <c r="A15" s="2" t="s">
        <v>12446</v>
      </c>
      <c r="B15" s="2" t="s">
        <v>199</v>
      </c>
      <c r="C15" s="6">
        <v>46357</v>
      </c>
      <c r="D15" s="14">
        <v>1810.1194912074909</v>
      </c>
      <c r="E15" s="14">
        <v>1820.1194912074909</v>
      </c>
      <c r="F15" s="9">
        <v>5575026</v>
      </c>
      <c r="G15" s="9">
        <v>2667918.6800000002</v>
      </c>
      <c r="H15" s="9">
        <v>0</v>
      </c>
      <c r="I15" s="9">
        <v>2907107.32</v>
      </c>
      <c r="J15" s="9">
        <v>5508446.04</v>
      </c>
      <c r="K15" s="9">
        <v>2681382.94</v>
      </c>
      <c r="L15" s="9">
        <v>5881.52</v>
      </c>
      <c r="M15" s="9">
        <v>2821181.58</v>
      </c>
      <c r="N15" s="9">
        <v>256158</v>
      </c>
      <c r="O15" s="9">
        <v>250380</v>
      </c>
      <c r="P15" s="9">
        <v>268599.96000000002</v>
      </c>
      <c r="Q15" s="9">
        <v>294973.32</v>
      </c>
      <c r="R15" s="9">
        <v>259528.5</v>
      </c>
      <c r="S15" s="9">
        <v>292131.40000000002</v>
      </c>
      <c r="T15" s="9">
        <v>285322.19</v>
      </c>
      <c r="U15" s="9">
        <v>250765.2</v>
      </c>
      <c r="V15" s="9">
        <v>244218.73</v>
      </c>
      <c r="W15" s="9">
        <v>265841.38</v>
      </c>
    </row>
    <row r="16" spans="1:23" x14ac:dyDescent="0.25">
      <c r="A16" s="2" t="s">
        <v>12447</v>
      </c>
      <c r="B16" s="2" t="s">
        <v>7433</v>
      </c>
      <c r="C16" s="6">
        <v>46174</v>
      </c>
      <c r="D16" s="14">
        <v>0</v>
      </c>
      <c r="E16" s="14">
        <v>0</v>
      </c>
      <c r="F16" s="9">
        <v>0</v>
      </c>
      <c r="G16" s="9">
        <v>0</v>
      </c>
      <c r="H16" s="9">
        <v>3981370.47</v>
      </c>
      <c r="I16" s="9">
        <v>0</v>
      </c>
      <c r="J16" s="9">
        <v>0</v>
      </c>
      <c r="K16" s="9">
        <v>3264723.79</v>
      </c>
      <c r="L16" s="9">
        <v>1795.6</v>
      </c>
      <c r="M16" s="9">
        <v>-3266519.39</v>
      </c>
      <c r="N16" s="9">
        <v>0</v>
      </c>
      <c r="O16" s="9">
        <v>0</v>
      </c>
      <c r="P16" s="9">
        <v>0</v>
      </c>
      <c r="Q16" s="9">
        <v>0</v>
      </c>
      <c r="R16" s="9">
        <v>0</v>
      </c>
      <c r="S16" s="9">
        <v>0</v>
      </c>
      <c r="T16" s="9">
        <v>0</v>
      </c>
      <c r="U16" s="9">
        <v>0</v>
      </c>
      <c r="V16" s="9">
        <v>0</v>
      </c>
      <c r="W16" s="9">
        <v>0</v>
      </c>
    </row>
    <row r="17" spans="1:23" x14ac:dyDescent="0.25">
      <c r="A17" s="2" t="s">
        <v>12448</v>
      </c>
      <c r="B17" s="2" t="s">
        <v>7433</v>
      </c>
      <c r="C17" s="6">
        <v>46204</v>
      </c>
      <c r="D17" s="14">
        <v>0</v>
      </c>
      <c r="E17" s="14">
        <v>0</v>
      </c>
      <c r="F17" s="9">
        <v>0</v>
      </c>
      <c r="G17" s="9">
        <v>0</v>
      </c>
      <c r="H17" s="9">
        <v>3947992.2</v>
      </c>
      <c r="I17" s="9">
        <v>0</v>
      </c>
      <c r="J17" s="9">
        <v>0</v>
      </c>
      <c r="K17" s="9">
        <v>3954000.29</v>
      </c>
      <c r="L17" s="9">
        <v>2174.6999999999998</v>
      </c>
      <c r="M17" s="9">
        <v>-3956174.99</v>
      </c>
      <c r="N17" s="9">
        <v>0</v>
      </c>
      <c r="O17" s="9">
        <v>0</v>
      </c>
      <c r="P17" s="9">
        <v>0</v>
      </c>
      <c r="Q17" s="9">
        <v>0</v>
      </c>
      <c r="R17" s="9">
        <v>0</v>
      </c>
      <c r="S17" s="9">
        <v>0</v>
      </c>
      <c r="T17" s="9">
        <v>0</v>
      </c>
      <c r="U17" s="9">
        <v>0</v>
      </c>
      <c r="V17" s="9">
        <v>0</v>
      </c>
      <c r="W17" s="9">
        <v>0</v>
      </c>
    </row>
    <row r="18" spans="1:23" x14ac:dyDescent="0.25">
      <c r="A18" s="2" t="s">
        <v>12449</v>
      </c>
      <c r="B18" s="2" t="s">
        <v>7433</v>
      </c>
      <c r="C18" s="6">
        <v>46235</v>
      </c>
      <c r="D18" s="14">
        <v>0</v>
      </c>
      <c r="E18" s="14">
        <v>0</v>
      </c>
      <c r="F18" s="9">
        <v>0</v>
      </c>
      <c r="G18" s="9">
        <v>0</v>
      </c>
      <c r="H18" s="9">
        <v>3965601.92</v>
      </c>
      <c r="I18" s="9">
        <v>0</v>
      </c>
      <c r="J18" s="9">
        <v>0</v>
      </c>
      <c r="K18" s="9">
        <v>3962432.17</v>
      </c>
      <c r="L18" s="9">
        <v>2179.34</v>
      </c>
      <c r="M18" s="9">
        <v>-3964611.51</v>
      </c>
      <c r="N18" s="9">
        <v>0</v>
      </c>
      <c r="O18" s="9">
        <v>0</v>
      </c>
      <c r="P18" s="9">
        <v>0</v>
      </c>
      <c r="Q18" s="9">
        <v>0</v>
      </c>
      <c r="R18" s="9">
        <v>0</v>
      </c>
      <c r="S18" s="9">
        <v>0</v>
      </c>
      <c r="T18" s="9">
        <v>0</v>
      </c>
      <c r="U18" s="9">
        <v>0</v>
      </c>
      <c r="V18" s="9">
        <v>0</v>
      </c>
      <c r="W18" s="9">
        <v>0</v>
      </c>
    </row>
    <row r="19" spans="1:23" x14ac:dyDescent="0.25">
      <c r="A19" s="2" t="s">
        <v>12450</v>
      </c>
      <c r="B19" s="2" t="s">
        <v>7433</v>
      </c>
      <c r="C19" s="6">
        <v>46266</v>
      </c>
      <c r="D19" s="14">
        <v>0</v>
      </c>
      <c r="E19" s="14">
        <v>0</v>
      </c>
      <c r="F19" s="9">
        <v>0</v>
      </c>
      <c r="G19" s="9">
        <v>0</v>
      </c>
      <c r="H19" s="9">
        <v>3790072.51</v>
      </c>
      <c r="I19" s="9">
        <v>0</v>
      </c>
      <c r="J19" s="9">
        <v>0</v>
      </c>
      <c r="K19" s="9">
        <v>3821667.8</v>
      </c>
      <c r="L19" s="9">
        <v>2101.92</v>
      </c>
      <c r="M19" s="9">
        <v>-3823769.72</v>
      </c>
      <c r="N19" s="9">
        <v>0</v>
      </c>
      <c r="O19" s="9">
        <v>0</v>
      </c>
      <c r="P19" s="9">
        <v>0</v>
      </c>
      <c r="Q19" s="9">
        <v>0</v>
      </c>
      <c r="R19" s="9">
        <v>0</v>
      </c>
      <c r="S19" s="9">
        <v>0</v>
      </c>
      <c r="T19" s="9">
        <v>0</v>
      </c>
      <c r="U19" s="9">
        <v>0</v>
      </c>
      <c r="V19" s="9">
        <v>0</v>
      </c>
      <c r="W19" s="9">
        <v>0</v>
      </c>
    </row>
    <row r="20" spans="1:23" x14ac:dyDescent="0.25">
      <c r="A20" s="2" t="s">
        <v>12451</v>
      </c>
      <c r="B20" s="2" t="s">
        <v>7433</v>
      </c>
      <c r="C20" s="6">
        <v>46296</v>
      </c>
      <c r="D20" s="14">
        <v>0</v>
      </c>
      <c r="E20" s="14">
        <v>0</v>
      </c>
      <c r="F20" s="9">
        <v>0</v>
      </c>
      <c r="G20" s="9">
        <v>0</v>
      </c>
      <c r="H20" s="9">
        <v>4500711.1100000003</v>
      </c>
      <c r="I20" s="9">
        <v>0</v>
      </c>
      <c r="J20" s="9">
        <v>0</v>
      </c>
      <c r="K20" s="9">
        <v>4372796.16</v>
      </c>
      <c r="L20" s="9">
        <v>2405.04</v>
      </c>
      <c r="M20" s="9">
        <v>-4375201.2</v>
      </c>
      <c r="N20" s="9">
        <v>0</v>
      </c>
      <c r="O20" s="9">
        <v>0</v>
      </c>
      <c r="P20" s="9">
        <v>0</v>
      </c>
      <c r="Q20" s="9">
        <v>0</v>
      </c>
      <c r="R20" s="9">
        <v>0</v>
      </c>
      <c r="S20" s="9">
        <v>0</v>
      </c>
      <c r="T20" s="9">
        <v>0</v>
      </c>
      <c r="U20" s="9">
        <v>0</v>
      </c>
      <c r="V20" s="9">
        <v>0</v>
      </c>
      <c r="W20" s="9">
        <v>0</v>
      </c>
    </row>
    <row r="21" spans="1:23" x14ac:dyDescent="0.25">
      <c r="A21" s="2" t="s">
        <v>12452</v>
      </c>
      <c r="B21" s="2" t="s">
        <v>7433</v>
      </c>
      <c r="C21" s="6">
        <v>46327</v>
      </c>
      <c r="D21" s="14">
        <v>0</v>
      </c>
      <c r="E21" s="14">
        <v>0</v>
      </c>
      <c r="F21" s="9">
        <v>0</v>
      </c>
      <c r="G21" s="9">
        <v>0</v>
      </c>
      <c r="H21" s="9">
        <v>3592672.9</v>
      </c>
      <c r="I21" s="9">
        <v>0</v>
      </c>
      <c r="J21" s="9">
        <v>0</v>
      </c>
      <c r="K21" s="9">
        <v>3756119.78</v>
      </c>
      <c r="L21" s="9">
        <v>2065.87</v>
      </c>
      <c r="M21" s="9">
        <v>-3758185.65</v>
      </c>
      <c r="N21" s="9">
        <v>0</v>
      </c>
      <c r="O21" s="9">
        <v>0</v>
      </c>
      <c r="P21" s="9">
        <v>0</v>
      </c>
      <c r="Q21" s="9">
        <v>0</v>
      </c>
      <c r="R21" s="9">
        <v>0</v>
      </c>
      <c r="S21" s="9">
        <v>0</v>
      </c>
      <c r="T21" s="9">
        <v>0</v>
      </c>
      <c r="U21" s="9">
        <v>0</v>
      </c>
      <c r="V21" s="9">
        <v>0</v>
      </c>
      <c r="W21" s="9">
        <v>0</v>
      </c>
    </row>
    <row r="22" spans="1:23" x14ac:dyDescent="0.25">
      <c r="A22" s="2" t="s">
        <v>12453</v>
      </c>
      <c r="B22" s="2" t="s">
        <v>7433</v>
      </c>
      <c r="C22" s="6">
        <v>46357</v>
      </c>
      <c r="D22" s="14">
        <v>0</v>
      </c>
      <c r="E22" s="14">
        <v>0</v>
      </c>
      <c r="F22" s="9">
        <v>0</v>
      </c>
      <c r="G22" s="9">
        <v>0</v>
      </c>
      <c r="H22" s="9">
        <v>4658630.8</v>
      </c>
      <c r="I22" s="9">
        <v>0</v>
      </c>
      <c r="J22" s="9">
        <v>0</v>
      </c>
      <c r="K22" s="9">
        <v>4466758.38</v>
      </c>
      <c r="L22" s="9">
        <v>2456.7199999999998</v>
      </c>
      <c r="M22" s="9">
        <v>-4469215.0999999996</v>
      </c>
      <c r="N22" s="9">
        <v>0</v>
      </c>
      <c r="O22" s="9">
        <v>0</v>
      </c>
      <c r="P22" s="9">
        <v>0</v>
      </c>
      <c r="Q22" s="9">
        <v>0</v>
      </c>
      <c r="R22" s="9">
        <v>0</v>
      </c>
      <c r="S22" s="9">
        <v>0</v>
      </c>
      <c r="T22" s="9">
        <v>0</v>
      </c>
      <c r="U22" s="9">
        <v>0</v>
      </c>
      <c r="V22" s="9">
        <v>0</v>
      </c>
      <c r="W22" s="9">
        <v>0</v>
      </c>
    </row>
  </sheetData>
  <pageMargins left="0.75" right="0.75" top="1" bottom="1" header="0.5" footer="0.5"/>
  <pageSetup paperSize="8"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F86"/>
    <pageSetUpPr fitToPage="1"/>
  </sheetPr>
  <dimension ref="A1:L7"/>
  <sheetViews>
    <sheetView showGridLines="0" zoomScale="85" workbookViewId="0">
      <pane ySplit="1" topLeftCell="A2" activePane="bottomLeft" state="frozen"/>
      <selection pane="bottomLeft"/>
    </sheetView>
  </sheetViews>
  <sheetFormatPr defaultRowHeight="15" x14ac:dyDescent="0.25"/>
  <cols>
    <col min="1" max="1" width="28" customWidth="1"/>
    <col min="2" max="9" width="16" customWidth="1"/>
    <col min="10" max="10" width="19" customWidth="1"/>
    <col min="11" max="12" width="16" customWidth="1"/>
  </cols>
  <sheetData>
    <row r="1" spans="1:12" ht="32.1" customHeight="1" x14ac:dyDescent="0.25">
      <c r="A1" s="1" t="s">
        <v>12412</v>
      </c>
      <c r="B1" s="1" t="s">
        <v>123</v>
      </c>
      <c r="C1" s="1" t="s">
        <v>61</v>
      </c>
      <c r="D1" s="1" t="s">
        <v>12413</v>
      </c>
      <c r="E1" s="1" t="s">
        <v>12414</v>
      </c>
      <c r="F1" s="1" t="s">
        <v>12415</v>
      </c>
      <c r="G1" s="1" t="s">
        <v>12416</v>
      </c>
      <c r="H1" s="1" t="s">
        <v>12417</v>
      </c>
      <c r="I1" s="1" t="s">
        <v>12419</v>
      </c>
      <c r="J1" s="1" t="s">
        <v>12420</v>
      </c>
      <c r="K1" s="1" t="s">
        <v>12421</v>
      </c>
      <c r="L1" s="1" t="s">
        <v>4</v>
      </c>
    </row>
    <row r="2" spans="1:12" x14ac:dyDescent="0.25">
      <c r="A2" s="2" t="s">
        <v>12433</v>
      </c>
      <c r="B2" s="2" t="s">
        <v>136</v>
      </c>
      <c r="C2" s="6">
        <v>46174</v>
      </c>
      <c r="D2" s="14">
        <v>2566.1529941051481</v>
      </c>
      <c r="E2" s="14">
        <v>2531.1529941051481</v>
      </c>
      <c r="F2" s="9">
        <v>7363381.3899999997</v>
      </c>
      <c r="G2" s="9">
        <v>2490344.5299999989</v>
      </c>
      <c r="H2" s="9">
        <v>0</v>
      </c>
      <c r="I2" s="9">
        <v>2992432.52</v>
      </c>
      <c r="J2" s="9">
        <v>502261.28999999992</v>
      </c>
      <c r="K2" s="9">
        <v>2703.950000000008</v>
      </c>
      <c r="L2" s="2" t="s">
        <v>12454</v>
      </c>
    </row>
    <row r="3" spans="1:12" x14ac:dyDescent="0.25">
      <c r="A3" s="2" t="s">
        <v>12434</v>
      </c>
      <c r="B3" s="2" t="s">
        <v>136</v>
      </c>
      <c r="C3" s="6">
        <v>46204</v>
      </c>
      <c r="D3" s="14">
        <v>2652.893135827826</v>
      </c>
      <c r="E3" s="14">
        <v>2587.8931358278251</v>
      </c>
      <c r="F3" s="9">
        <v>7612368.4000000004</v>
      </c>
      <c r="G3" s="9">
        <v>2468255.0699999998</v>
      </c>
      <c r="H3" s="9">
        <v>0</v>
      </c>
      <c r="I3" s="9">
        <v>7028077.2899999991</v>
      </c>
      <c r="J3" s="9">
        <v>2365180.77</v>
      </c>
      <c r="K3" s="9">
        <v>7035.79000000002</v>
      </c>
      <c r="L3" s="2" t="s">
        <v>12454</v>
      </c>
    </row>
    <row r="4" spans="1:12" x14ac:dyDescent="0.25">
      <c r="A4" s="2" t="s">
        <v>12440</v>
      </c>
      <c r="B4" s="2" t="s">
        <v>199</v>
      </c>
      <c r="C4" s="6">
        <v>46174</v>
      </c>
      <c r="D4" s="14">
        <v>1570.035104229891</v>
      </c>
      <c r="E4" s="14">
        <v>1525.035104229891</v>
      </c>
      <c r="F4" s="9">
        <v>4453289.62</v>
      </c>
      <c r="G4" s="9">
        <v>2461091.5299999989</v>
      </c>
      <c r="H4" s="9">
        <v>0</v>
      </c>
      <c r="I4" s="9">
        <v>1799168.57</v>
      </c>
      <c r="J4" s="9">
        <v>496568.88999999978</v>
      </c>
      <c r="K4" s="9">
        <v>1749.7499999999991</v>
      </c>
      <c r="L4" s="2" t="s">
        <v>12454</v>
      </c>
    </row>
    <row r="5" spans="1:12" x14ac:dyDescent="0.25">
      <c r="A5" s="2" t="s">
        <v>12441</v>
      </c>
      <c r="B5" s="2" t="s">
        <v>199</v>
      </c>
      <c r="C5" s="6">
        <v>46204</v>
      </c>
      <c r="D5" s="14">
        <v>1617.1964997848729</v>
      </c>
      <c r="E5" s="14">
        <v>1572.1964997848729</v>
      </c>
      <c r="F5" s="9">
        <v>4641948.0299999993</v>
      </c>
      <c r="G5" s="9">
        <v>2481002.0699999989</v>
      </c>
      <c r="H5" s="9">
        <v>0</v>
      </c>
      <c r="I5" s="9">
        <v>4254932.2699999996</v>
      </c>
      <c r="J5" s="9">
        <v>2358176.850000001</v>
      </c>
      <c r="K5" s="9">
        <v>4817.4900000000243</v>
      </c>
      <c r="L5" s="2" t="s">
        <v>12454</v>
      </c>
    </row>
    <row r="6" spans="1:12" x14ac:dyDescent="0.25">
      <c r="A6" s="2" t="s">
        <v>12447</v>
      </c>
      <c r="B6" s="2" t="s">
        <v>7433</v>
      </c>
      <c r="C6" s="6">
        <v>46174</v>
      </c>
      <c r="D6" s="14">
        <v>0</v>
      </c>
      <c r="E6" s="14">
        <v>0</v>
      </c>
      <c r="F6" s="9">
        <v>0</v>
      </c>
      <c r="G6" s="9">
        <v>0</v>
      </c>
      <c r="H6" s="9">
        <v>3958141.629999999</v>
      </c>
      <c r="I6" s="9">
        <v>0</v>
      </c>
      <c r="J6" s="9">
        <v>817042.43</v>
      </c>
      <c r="K6" s="9">
        <v>516.31000000000063</v>
      </c>
      <c r="L6" s="2" t="s">
        <v>12454</v>
      </c>
    </row>
    <row r="7" spans="1:12" x14ac:dyDescent="0.25">
      <c r="A7" s="2" t="s">
        <v>12448</v>
      </c>
      <c r="B7" s="2" t="s">
        <v>7433</v>
      </c>
      <c r="C7" s="6">
        <v>46204</v>
      </c>
      <c r="D7" s="14">
        <v>0</v>
      </c>
      <c r="E7" s="14">
        <v>0</v>
      </c>
      <c r="F7" s="9">
        <v>0</v>
      </c>
      <c r="G7" s="9">
        <v>0</v>
      </c>
      <c r="H7" s="9">
        <v>3922798.52</v>
      </c>
      <c r="I7" s="9">
        <v>0</v>
      </c>
      <c r="J7" s="9">
        <v>3334748.0999999968</v>
      </c>
      <c r="K7" s="9">
        <v>1989.6799999999951</v>
      </c>
      <c r="L7" s="2" t="s">
        <v>12454</v>
      </c>
    </row>
  </sheetData>
  <pageMargins left="0.75" right="0.75" top="1" bottom="1" header="0.5" footer="0.5"/>
  <pageSetup paperSize="8"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F86"/>
    <pageSetUpPr fitToPage="1"/>
  </sheetPr>
  <dimension ref="A1:N22"/>
  <sheetViews>
    <sheetView showGridLines="0" zoomScale="85" workbookViewId="0">
      <pane ySplit="1" topLeftCell="A2" activePane="bottomLeft" state="frozen"/>
      <selection pane="bottomLeft"/>
    </sheetView>
  </sheetViews>
  <sheetFormatPr defaultRowHeight="15" x14ac:dyDescent="0.25"/>
  <cols>
    <col min="1" max="1" width="28" customWidth="1"/>
    <col min="2" max="4" width="16" customWidth="1"/>
    <col min="5" max="5" width="17" customWidth="1"/>
    <col min="6" max="8" width="16" customWidth="1"/>
    <col min="9" max="9" width="18" customWidth="1"/>
    <col min="10" max="10" width="16" customWidth="1"/>
    <col min="11" max="11" width="17" customWidth="1"/>
    <col min="12" max="13" width="16" customWidth="1"/>
    <col min="14" max="14" width="75" customWidth="1"/>
  </cols>
  <sheetData>
    <row r="1" spans="1:14" ht="32.1" customHeight="1" x14ac:dyDescent="0.25">
      <c r="A1" s="1" t="s">
        <v>12412</v>
      </c>
      <c r="B1" s="1" t="s">
        <v>123</v>
      </c>
      <c r="C1" s="1" t="s">
        <v>61</v>
      </c>
      <c r="D1" s="1" t="s">
        <v>12455</v>
      </c>
      <c r="E1" s="1" t="s">
        <v>12456</v>
      </c>
      <c r="F1" s="1" t="s">
        <v>12457</v>
      </c>
      <c r="G1" s="1" t="s">
        <v>12458</v>
      </c>
      <c r="H1" s="1" t="s">
        <v>12413</v>
      </c>
      <c r="I1" s="1" t="s">
        <v>12459</v>
      </c>
      <c r="J1" s="1" t="s">
        <v>12460</v>
      </c>
      <c r="K1" s="1" t="s">
        <v>12461</v>
      </c>
      <c r="L1" s="1" t="s">
        <v>12462</v>
      </c>
      <c r="M1" s="1" t="s">
        <v>12463</v>
      </c>
      <c r="N1" s="1" t="s">
        <v>12464</v>
      </c>
    </row>
    <row r="2" spans="1:14" x14ac:dyDescent="0.25">
      <c r="A2" s="2" t="s">
        <v>12433</v>
      </c>
      <c r="B2" s="2" t="s">
        <v>136</v>
      </c>
      <c r="C2" s="6">
        <v>46174</v>
      </c>
      <c r="D2" s="15">
        <v>30</v>
      </c>
      <c r="E2" s="15">
        <v>2200</v>
      </c>
      <c r="F2" s="15">
        <v>1.38</v>
      </c>
      <c r="G2" s="16">
        <v>0.91400000000000003</v>
      </c>
      <c r="H2" s="17">
        <f>IF(INDEX(Period_Status!$B$2:$B$8,MATCH(C2,Period_Status!$A$2:$A$8,0))="ActualClosed",SUMIFS(tblSource[QuantityOz],tblSource[Site],B2,tblSource[Period],C2,tblSource[EventType],"Production",tblSource[ReleaseStatus],"APPROVED"),D2*E2*F2*G2/31.1034768)</f>
        <v>2566.1529941051481</v>
      </c>
      <c r="I2" s="18">
        <v>220</v>
      </c>
      <c r="J2" s="3" t="s">
        <v>39</v>
      </c>
      <c r="K2" s="18">
        <v>2920</v>
      </c>
      <c r="L2" s="16">
        <v>1</v>
      </c>
      <c r="M2" s="15">
        <v>0</v>
      </c>
      <c r="N2" s="2" t="s">
        <v>12465</v>
      </c>
    </row>
    <row r="3" spans="1:14" x14ac:dyDescent="0.25">
      <c r="A3" s="2" t="s">
        <v>12434</v>
      </c>
      <c r="B3" s="2" t="s">
        <v>136</v>
      </c>
      <c r="C3" s="6">
        <v>46204</v>
      </c>
      <c r="D3" s="15">
        <v>31</v>
      </c>
      <c r="E3" s="15">
        <v>2220</v>
      </c>
      <c r="F3" s="15">
        <v>1.39</v>
      </c>
      <c r="G3" s="16">
        <v>0.91200000000000003</v>
      </c>
      <c r="H3" s="17">
        <f>IF(INDEX(Period_Status!$B$2:$B$8,MATCH(C3,Period_Status!$A$2:$A$8,0))="ActualClosed",SUMIFS(tblSource[QuantityOz],tblSource[Site],B3,tblSource[Period],C3,tblSource[EventType],"Production",tblSource[ReleaseStatus],"APPROVED"),D3*E3*F3*G3/31.1034768)</f>
        <v>2652.8931358278264</v>
      </c>
      <c r="I3" s="18">
        <v>285</v>
      </c>
      <c r="J3" s="3" t="s">
        <v>39</v>
      </c>
      <c r="K3" s="18">
        <v>2950</v>
      </c>
      <c r="L3" s="16">
        <v>1</v>
      </c>
      <c r="M3" s="15">
        <v>0</v>
      </c>
      <c r="N3" s="2" t="s">
        <v>12465</v>
      </c>
    </row>
    <row r="4" spans="1:14" x14ac:dyDescent="0.25">
      <c r="A4" s="2" t="s">
        <v>12435</v>
      </c>
      <c r="B4" s="2" t="s">
        <v>136</v>
      </c>
      <c r="C4" s="6">
        <v>46235</v>
      </c>
      <c r="D4" s="15">
        <v>31</v>
      </c>
      <c r="E4" s="15">
        <v>2320</v>
      </c>
      <c r="F4" s="15">
        <v>1.4</v>
      </c>
      <c r="G4" s="16">
        <v>0.91600000000000004</v>
      </c>
      <c r="H4" s="17">
        <f>IF(INDEX(Period_Status!$B$2:$B$8,MATCH(C4,Period_Status!$A$2:$A$8,0))="ActualClosed",SUMIFS(tblSource[QuantityOz],tblSource[Site],B4,tblSource[Period],C4,tblSource[EventType],"Production",tblSource[ReleaseStatus],"APPROVED"),D4*E4*F4*G4/31.1034768)</f>
        <v>2965.270043379845</v>
      </c>
      <c r="I4" s="18">
        <v>330</v>
      </c>
      <c r="J4" s="3" t="s">
        <v>39</v>
      </c>
      <c r="K4" s="18">
        <v>2980</v>
      </c>
      <c r="L4" s="16">
        <v>1.06</v>
      </c>
      <c r="M4" s="15">
        <v>0</v>
      </c>
      <c r="N4" s="2" t="s">
        <v>12465</v>
      </c>
    </row>
    <row r="5" spans="1:14" x14ac:dyDescent="0.25">
      <c r="A5" s="2" t="s">
        <v>12436</v>
      </c>
      <c r="B5" s="2" t="s">
        <v>136</v>
      </c>
      <c r="C5" s="6">
        <v>46266</v>
      </c>
      <c r="D5" s="15">
        <v>30</v>
      </c>
      <c r="E5" s="15">
        <v>2360</v>
      </c>
      <c r="F5" s="15">
        <v>1.405</v>
      </c>
      <c r="G5" s="16">
        <v>0.91800000000000004</v>
      </c>
      <c r="H5" s="17">
        <f>IF(INDEX(Period_Status!$B$2:$B$8,MATCH(C5,Period_Status!$A$2:$A$8,0))="ActualClosed",SUMIFS(tblSource[QuantityOz],tblSource[Site],B5,tblSource[Period],C5,tblSource[EventType],"Production",tblSource[ReleaseStatus],"APPROVED"),D5*E5*F5*G5/31.1034768)</f>
        <v>2935.9139683059484</v>
      </c>
      <c r="I5" s="18">
        <v>345</v>
      </c>
      <c r="J5" s="3" t="s">
        <v>39</v>
      </c>
      <c r="K5" s="18">
        <v>3010</v>
      </c>
      <c r="L5" s="16">
        <v>1.04</v>
      </c>
      <c r="M5" s="15">
        <v>0</v>
      </c>
      <c r="N5" s="2" t="s">
        <v>12465</v>
      </c>
    </row>
    <row r="6" spans="1:14" x14ac:dyDescent="0.25">
      <c r="A6" s="2" t="s">
        <v>12437</v>
      </c>
      <c r="B6" s="2" t="s">
        <v>136</v>
      </c>
      <c r="C6" s="6">
        <v>46296</v>
      </c>
      <c r="D6" s="15">
        <v>31</v>
      </c>
      <c r="E6" s="15">
        <v>2380</v>
      </c>
      <c r="F6" s="15">
        <v>1.41</v>
      </c>
      <c r="G6" s="16">
        <v>0.92100000000000004</v>
      </c>
      <c r="H6" s="17">
        <f>IF(INDEX(Period_Status!$B$2:$B$8,MATCH(C6,Period_Status!$A$2:$A$8,0))="ActualClosed",SUMIFS(tblSource[QuantityOz],tblSource[Site],B6,tblSource[Period],C6,tblSource[EventType],"Production",tblSource[ReleaseStatus],"APPROVED"),D6*E6*F6*G6/31.1034768)</f>
        <v>3080.4095122896356</v>
      </c>
      <c r="I6" s="18">
        <v>370</v>
      </c>
      <c r="J6" s="3" t="s">
        <v>39</v>
      </c>
      <c r="K6" s="18">
        <v>3040</v>
      </c>
      <c r="L6" s="16">
        <v>1.08</v>
      </c>
      <c r="M6" s="15">
        <v>0</v>
      </c>
      <c r="N6" s="2" t="s">
        <v>12465</v>
      </c>
    </row>
    <row r="7" spans="1:14" x14ac:dyDescent="0.25">
      <c r="A7" s="2" t="s">
        <v>12438</v>
      </c>
      <c r="B7" s="2" t="s">
        <v>136</v>
      </c>
      <c r="C7" s="6">
        <v>46327</v>
      </c>
      <c r="D7" s="15">
        <v>30</v>
      </c>
      <c r="E7" s="15">
        <v>2260</v>
      </c>
      <c r="F7" s="15">
        <v>1.39</v>
      </c>
      <c r="G7" s="16">
        <v>0.91300000000000003</v>
      </c>
      <c r="H7" s="17">
        <f>IF(INDEX(Period_Status!$B$2:$B$8,MATCH(C7,Period_Status!$A$2:$A$8,0))="ActualClosed",SUMIFS(tblSource[QuantityOz],tblSource[Site],B7,tblSource[Period],C7,tblSource[EventType],"Production",tblSource[ReleaseStatus],"APPROVED"),D7*E7*F7*G7/31.1034768)</f>
        <v>2766.3449508641424</v>
      </c>
      <c r="I7" s="18">
        <v>410</v>
      </c>
      <c r="J7" s="3" t="s">
        <v>39</v>
      </c>
      <c r="K7" s="18">
        <v>3070</v>
      </c>
      <c r="L7" s="16">
        <v>1.1399999999999999</v>
      </c>
      <c r="M7" s="15">
        <v>0</v>
      </c>
      <c r="N7" s="2" t="s">
        <v>12465</v>
      </c>
    </row>
    <row r="8" spans="1:14" x14ac:dyDescent="0.25">
      <c r="A8" s="2" t="s">
        <v>12439</v>
      </c>
      <c r="B8" s="2" t="s">
        <v>136</v>
      </c>
      <c r="C8" s="6">
        <v>46357</v>
      </c>
      <c r="D8" s="15">
        <v>31</v>
      </c>
      <c r="E8" s="15">
        <v>2410</v>
      </c>
      <c r="F8" s="15">
        <v>1.42</v>
      </c>
      <c r="G8" s="16">
        <v>0.92200000000000004</v>
      </c>
      <c r="H8" s="17">
        <f>IF(INDEX(Period_Status!$B$2:$B$8,MATCH(C8,Period_Status!$A$2:$A$8,0))="ActualClosed",SUMIFS(tblSource[QuantityOz],tblSource[Site],B8,tblSource[Period],C8,tblSource[EventType],"Production",tblSource[ReleaseStatus],"APPROVED"),D8*E8*F8*G8/31.1034768)</f>
        <v>3144.7712752164093</v>
      </c>
      <c r="I8" s="18">
        <v>390</v>
      </c>
      <c r="J8" s="3" t="s">
        <v>39</v>
      </c>
      <c r="K8" s="18">
        <v>3100</v>
      </c>
      <c r="L8" s="16">
        <v>1.05</v>
      </c>
      <c r="M8" s="15">
        <v>0</v>
      </c>
      <c r="N8" s="2" t="s">
        <v>12465</v>
      </c>
    </row>
    <row r="9" spans="1:14" x14ac:dyDescent="0.25">
      <c r="A9" s="2" t="s">
        <v>12440</v>
      </c>
      <c r="B9" s="2" t="s">
        <v>199</v>
      </c>
      <c r="C9" s="6">
        <v>46174</v>
      </c>
      <c r="D9" s="15">
        <v>30</v>
      </c>
      <c r="E9" s="15">
        <v>1600</v>
      </c>
      <c r="F9" s="15">
        <v>1.24</v>
      </c>
      <c r="G9" s="16">
        <v>0.9</v>
      </c>
      <c r="H9" s="17">
        <f>IF(INDEX(Period_Status!$B$2:$B$8,MATCH(C9,Period_Status!$A$2:$A$8,0))="ActualClosed",SUMIFS(tblSource[QuantityOz],tblSource[Site],B9,tblSource[Period],C9,tblSource[EventType],"Production",tblSource[ReleaseStatus],"APPROVED"),D9*E9*F9*G9/31.1034768)</f>
        <v>1570.0351042298912</v>
      </c>
      <c r="I9" s="18">
        <v>160</v>
      </c>
      <c r="J9" s="3" t="s">
        <v>70</v>
      </c>
      <c r="K9" s="18">
        <v>4390.977443609022</v>
      </c>
      <c r="L9" s="16">
        <v>1</v>
      </c>
      <c r="M9" s="15">
        <v>0</v>
      </c>
      <c r="N9" s="2" t="s">
        <v>12465</v>
      </c>
    </row>
    <row r="10" spans="1:14" x14ac:dyDescent="0.25">
      <c r="A10" s="2" t="s">
        <v>12441</v>
      </c>
      <c r="B10" s="2" t="s">
        <v>199</v>
      </c>
      <c r="C10" s="6">
        <v>46204</v>
      </c>
      <c r="D10" s="15">
        <v>31</v>
      </c>
      <c r="E10" s="15">
        <v>1580</v>
      </c>
      <c r="F10" s="15">
        <v>1.23</v>
      </c>
      <c r="G10" s="16">
        <v>0.89500000000000002</v>
      </c>
      <c r="H10" s="17">
        <f>IF(INDEX(Period_Status!$B$2:$B$8,MATCH(C10,Period_Status!$A$2:$A$8,0))="ActualClosed",SUMIFS(tblSource[QuantityOz],tblSource[Site],B10,tblSource[Period],C10,tblSource[EventType],"Production",tblSource[ReleaseStatus],"APPROVED"),D10*E10*F10*G10/31.1034768)</f>
        <v>1617.1964997848734</v>
      </c>
      <c r="I10" s="18">
        <v>205</v>
      </c>
      <c r="J10" s="3" t="s">
        <v>70</v>
      </c>
      <c r="K10" s="18">
        <v>4483.2826747720364</v>
      </c>
      <c r="L10" s="16">
        <v>1</v>
      </c>
      <c r="M10" s="15">
        <v>0</v>
      </c>
      <c r="N10" s="2" t="s">
        <v>12465</v>
      </c>
    </row>
    <row r="11" spans="1:14" x14ac:dyDescent="0.25">
      <c r="A11" s="2" t="s">
        <v>12442</v>
      </c>
      <c r="B11" s="2" t="s">
        <v>199</v>
      </c>
      <c r="C11" s="6">
        <v>46235</v>
      </c>
      <c r="D11" s="15">
        <v>31</v>
      </c>
      <c r="E11" s="15">
        <v>1650</v>
      </c>
      <c r="F11" s="15">
        <v>1.25</v>
      </c>
      <c r="G11" s="16">
        <v>0.89900000000000002</v>
      </c>
      <c r="H11" s="17">
        <f>IF(INDEX(Period_Status!$B$2:$B$8,MATCH(C11,Period_Status!$A$2:$A$8,0))="ActualClosed",SUMIFS(tblSource[QuantityOz],tblSource[Site],B11,tblSource[Period],C11,tblSource[EventType],"Production",tblSource[ReleaseStatus],"APPROVED"),D11*E11*F11*G11/31.1034768)</f>
        <v>1848.0188844997547</v>
      </c>
      <c r="I11" s="18">
        <v>245</v>
      </c>
      <c r="J11" s="3" t="s">
        <v>70</v>
      </c>
      <c r="K11" s="18">
        <v>4584.6153846153848</v>
      </c>
      <c r="L11" s="16">
        <v>1.06</v>
      </c>
      <c r="M11" s="15">
        <v>0</v>
      </c>
      <c r="N11" s="2" t="s">
        <v>12465</v>
      </c>
    </row>
    <row r="12" spans="1:14" x14ac:dyDescent="0.25">
      <c r="A12" s="2" t="s">
        <v>12443</v>
      </c>
      <c r="B12" s="2" t="s">
        <v>199</v>
      </c>
      <c r="C12" s="6">
        <v>46266</v>
      </c>
      <c r="D12" s="15">
        <v>30</v>
      </c>
      <c r="E12" s="15">
        <v>1690</v>
      </c>
      <c r="F12" s="15">
        <v>1.26</v>
      </c>
      <c r="G12" s="16">
        <v>0.90500000000000003</v>
      </c>
      <c r="H12" s="17">
        <f>IF(INDEX(Period_Status!$B$2:$B$8,MATCH(C12,Period_Status!$A$2:$A$8,0))="ActualClosed",SUMIFS(tblSource[QuantityOz],tblSource[Site],B12,tblSource[Period],C12,tblSource[EventType],"Production",tblSource[ReleaseStatus],"APPROVED"),D12*E12*F12*G12/31.1034768)</f>
        <v>1858.7378630288688</v>
      </c>
      <c r="I12" s="18">
        <v>255</v>
      </c>
      <c r="J12" s="3" t="s">
        <v>70</v>
      </c>
      <c r="K12" s="18">
        <v>4623.655913978494</v>
      </c>
      <c r="L12" s="16">
        <v>1.04</v>
      </c>
      <c r="M12" s="15">
        <v>0</v>
      </c>
      <c r="N12" s="2" t="s">
        <v>12465</v>
      </c>
    </row>
    <row r="13" spans="1:14" x14ac:dyDescent="0.25">
      <c r="A13" s="2" t="s">
        <v>12444</v>
      </c>
      <c r="B13" s="2" t="s">
        <v>199</v>
      </c>
      <c r="C13" s="6">
        <v>46296</v>
      </c>
      <c r="D13" s="15">
        <v>31</v>
      </c>
      <c r="E13" s="15">
        <v>1710</v>
      </c>
      <c r="F13" s="15">
        <v>1.27</v>
      </c>
      <c r="G13" s="16">
        <v>0.90800000000000003</v>
      </c>
      <c r="H13" s="17">
        <f>D13*E13*F13*(G13/100)/31.1034768</f>
        <v>19.653433599423199</v>
      </c>
      <c r="I13" s="18">
        <v>275</v>
      </c>
      <c r="J13" s="3" t="s">
        <v>70</v>
      </c>
      <c r="K13" s="18">
        <v>4641.221374045801</v>
      </c>
      <c r="L13" s="16">
        <v>1.08</v>
      </c>
      <c r="M13" s="15">
        <v>0</v>
      </c>
      <c r="N13" s="2" t="s">
        <v>12465</v>
      </c>
    </row>
    <row r="14" spans="1:14" x14ac:dyDescent="0.25">
      <c r="A14" s="2" t="s">
        <v>12445</v>
      </c>
      <c r="B14" s="2" t="s">
        <v>199</v>
      </c>
      <c r="C14" s="6">
        <v>46327</v>
      </c>
      <c r="D14" s="15">
        <v>30</v>
      </c>
      <c r="E14" s="15">
        <v>1580</v>
      </c>
      <c r="F14" s="15">
        <v>1.24</v>
      </c>
      <c r="G14" s="16">
        <v>0.89600000000000002</v>
      </c>
      <c r="H14" s="17">
        <f>IF(INDEX(Period_Status!$B$2:$B$8,MATCH(C14,Period_Status!$A$2:$A$8,0))="ActualClosed",SUMIFS(tblSource[QuantityOz],tblSource[Site],B14,tblSource[Period],C14,tblSource[EventType],"Production",tblSource[ReleaseStatus],"APPROVED"),D14*E14*F14*G14/31.1034768)</f>
        <v>1693.1642831646398</v>
      </c>
      <c r="I14" s="18">
        <v>290</v>
      </c>
      <c r="J14" s="3" t="s">
        <v>70</v>
      </c>
      <c r="K14" s="18">
        <v>4637.4622356495474</v>
      </c>
      <c r="L14" s="16">
        <v>1.1399999999999999</v>
      </c>
      <c r="M14" s="15">
        <v>0</v>
      </c>
      <c r="N14" s="2" t="s">
        <v>12465</v>
      </c>
    </row>
    <row r="15" spans="1:14" x14ac:dyDescent="0.25">
      <c r="A15" s="2" t="s">
        <v>12446</v>
      </c>
      <c r="B15" s="2" t="s">
        <v>199</v>
      </c>
      <c r="C15" s="6">
        <v>46357</v>
      </c>
      <c r="D15" s="15">
        <v>31</v>
      </c>
      <c r="E15" s="15">
        <v>1720</v>
      </c>
      <c r="F15" s="15">
        <v>1.28</v>
      </c>
      <c r="G15" s="16">
        <v>0.91</v>
      </c>
      <c r="H15" s="17">
        <f>IF(INDEX(Period_Status!$B$2:$B$8,MATCH(C15,Period_Status!$A$2:$A$8,0))="ActualClosed",SUMIFS(tblSource[QuantityOz],tblSource[Site],B15,tblSource[Period],C15,tblSource[EventType],"Production",tblSource[ReleaseStatus],"APPROVED"),D15*E15*F15*G15/31.1034768)</f>
        <v>1996.7907896393115</v>
      </c>
      <c r="I15" s="18">
        <v>280</v>
      </c>
      <c r="J15" s="3" t="s">
        <v>70</v>
      </c>
      <c r="K15" s="18">
        <v>4704.0971168437027</v>
      </c>
      <c r="L15" s="16">
        <v>1.05</v>
      </c>
      <c r="M15" s="15">
        <v>0</v>
      </c>
      <c r="N15" s="2" t="s">
        <v>12465</v>
      </c>
    </row>
    <row r="16" spans="1:14" x14ac:dyDescent="0.25">
      <c r="A16" s="2" t="s">
        <v>12447</v>
      </c>
      <c r="B16" s="2" t="s">
        <v>7433</v>
      </c>
      <c r="C16" s="6">
        <v>46174</v>
      </c>
      <c r="D16" s="15">
        <v>30</v>
      </c>
      <c r="E16" s="15">
        <v>0</v>
      </c>
      <c r="F16" s="15">
        <v>0</v>
      </c>
      <c r="G16" s="16">
        <v>0</v>
      </c>
      <c r="H16" s="17">
        <f>IF(INDEX(Period_Status!$B$2:$B$8,MATCH(C16,Period_Status!$A$2:$A$8,0))="ActualClosed",SUMIFS(tblSource[QuantityOz],tblSource[Site],B16,tblSource[Period],C16,tblSource[EventType],"Production",tblSource[ReleaseStatus],"APPROVED"),D16*E16*F16*G16/31.1034768)</f>
        <v>0</v>
      </c>
      <c r="I16" s="18">
        <v>0</v>
      </c>
      <c r="J16" s="3" t="s">
        <v>39</v>
      </c>
      <c r="K16" s="18">
        <v>2920</v>
      </c>
      <c r="L16" s="16">
        <v>1</v>
      </c>
      <c r="M16" s="15">
        <v>3981370.47</v>
      </c>
      <c r="N16" s="2" t="s">
        <v>12465</v>
      </c>
    </row>
    <row r="17" spans="1:14" x14ac:dyDescent="0.25">
      <c r="A17" s="2" t="s">
        <v>12448</v>
      </c>
      <c r="B17" s="2" t="s">
        <v>7433</v>
      </c>
      <c r="C17" s="6">
        <v>46204</v>
      </c>
      <c r="D17" s="15">
        <v>31</v>
      </c>
      <c r="E17" s="15">
        <v>0</v>
      </c>
      <c r="F17" s="15">
        <v>0</v>
      </c>
      <c r="G17" s="16">
        <v>0</v>
      </c>
      <c r="H17" s="17">
        <f>IF(INDEX(Period_Status!$B$2:$B$8,MATCH(C17,Period_Status!$A$2:$A$8,0))="ActualClosed",SUMIFS(tblSource[QuantityOz],tblSource[Site],B17,tblSource[Period],C17,tblSource[EventType],"Production",tblSource[ReleaseStatus],"APPROVED"),D17*E17*F17*G17/31.1034768)</f>
        <v>0</v>
      </c>
      <c r="I17" s="18">
        <v>0</v>
      </c>
      <c r="J17" s="3" t="s">
        <v>39</v>
      </c>
      <c r="K17" s="18">
        <v>2950</v>
      </c>
      <c r="L17" s="16">
        <v>1</v>
      </c>
      <c r="M17" s="15">
        <v>3947992.2</v>
      </c>
      <c r="N17" s="2" t="s">
        <v>12465</v>
      </c>
    </row>
    <row r="18" spans="1:14" x14ac:dyDescent="0.25">
      <c r="A18" s="2" t="s">
        <v>12449</v>
      </c>
      <c r="B18" s="2" t="s">
        <v>7433</v>
      </c>
      <c r="C18" s="6">
        <v>46235</v>
      </c>
      <c r="D18" s="15">
        <v>31</v>
      </c>
      <c r="E18" s="15">
        <v>0</v>
      </c>
      <c r="F18" s="15">
        <v>0</v>
      </c>
      <c r="G18" s="16">
        <v>0</v>
      </c>
      <c r="H18" s="17">
        <f>IF(INDEX(Period_Status!$B$2:$B$8,MATCH(C18,Period_Status!$A$2:$A$8,0))="ActualClosed",SUMIFS(tblSource[QuantityOz],tblSource[Site],B18,tblSource[Period],C18,tblSource[EventType],"Production",tblSource[ReleaseStatus],"APPROVED"),D18*E18*F18*G18/31.1034768)</f>
        <v>0</v>
      </c>
      <c r="I18" s="18">
        <v>0</v>
      </c>
      <c r="J18" s="3" t="s">
        <v>39</v>
      </c>
      <c r="K18" s="18">
        <v>2980</v>
      </c>
      <c r="L18" s="16">
        <v>1.06</v>
      </c>
      <c r="M18" s="15">
        <v>4282850.07</v>
      </c>
      <c r="N18" s="2" t="s">
        <v>12465</v>
      </c>
    </row>
    <row r="19" spans="1:14" x14ac:dyDescent="0.25">
      <c r="A19" s="2" t="s">
        <v>12450</v>
      </c>
      <c r="B19" s="2" t="s">
        <v>7433</v>
      </c>
      <c r="C19" s="6">
        <v>46266</v>
      </c>
      <c r="D19" s="15">
        <v>30</v>
      </c>
      <c r="E19" s="15">
        <v>0</v>
      </c>
      <c r="F19" s="15">
        <v>0</v>
      </c>
      <c r="G19" s="16">
        <v>0</v>
      </c>
      <c r="H19" s="17">
        <f>IF(INDEX(Period_Status!$B$2:$B$8,MATCH(C19,Period_Status!$A$2:$A$8,0))="ActualClosed",SUMIFS(tblSource[QuantityOz],tblSource[Site],B19,tblSource[Period],C19,tblSource[EventType],"Production",tblSource[ReleaseStatus],"APPROVED"),D19*E19*F19*G19/31.1034768)</f>
        <v>0</v>
      </c>
      <c r="I19" s="18">
        <v>0</v>
      </c>
      <c r="J19" s="3" t="s">
        <v>39</v>
      </c>
      <c r="K19" s="18">
        <v>3010</v>
      </c>
      <c r="L19" s="16">
        <v>1.04</v>
      </c>
      <c r="M19" s="15">
        <v>3865873.96</v>
      </c>
      <c r="N19" s="2" t="s">
        <v>12465</v>
      </c>
    </row>
    <row r="20" spans="1:14" x14ac:dyDescent="0.25">
      <c r="A20" s="2" t="s">
        <v>12451</v>
      </c>
      <c r="B20" s="2" t="s">
        <v>7433</v>
      </c>
      <c r="C20" s="6">
        <v>46296</v>
      </c>
      <c r="D20" s="15">
        <v>31</v>
      </c>
      <c r="E20" s="15">
        <v>0</v>
      </c>
      <c r="F20" s="15">
        <v>0</v>
      </c>
      <c r="G20" s="16">
        <v>0</v>
      </c>
      <c r="H20" s="17">
        <f>IF(INDEX(Period_Status!$B$2:$B$8,MATCH(C20,Period_Status!$A$2:$A$8,0))="ActualClosed",SUMIFS(tblSource[QuantityOz],tblSource[Site],B20,tblSource[Period],C20,tblSource[EventType],"Production",tblSource[ReleaseStatus],"APPROVED"),D20*E20*F20*G20/31.1034768)</f>
        <v>0</v>
      </c>
      <c r="I20" s="18">
        <v>0</v>
      </c>
      <c r="J20" s="3" t="s">
        <v>39</v>
      </c>
      <c r="K20" s="18">
        <v>3040</v>
      </c>
      <c r="L20" s="16">
        <v>1.08</v>
      </c>
      <c r="M20" s="15">
        <v>4770753.78</v>
      </c>
      <c r="N20" s="2" t="s">
        <v>12465</v>
      </c>
    </row>
    <row r="21" spans="1:14" x14ac:dyDescent="0.25">
      <c r="A21" s="2" t="s">
        <v>12452</v>
      </c>
      <c r="B21" s="2" t="s">
        <v>7433</v>
      </c>
      <c r="C21" s="6">
        <v>46327</v>
      </c>
      <c r="D21" s="15">
        <v>30</v>
      </c>
      <c r="E21" s="15">
        <v>0</v>
      </c>
      <c r="F21" s="15">
        <v>0</v>
      </c>
      <c r="G21" s="16">
        <v>0</v>
      </c>
      <c r="H21" s="17">
        <f>IF(INDEX(Period_Status!$B$2:$B$8,MATCH(C21,Period_Status!$A$2:$A$8,0))="ActualClosed",SUMIFS(tblSource[QuantityOz],tblSource[Site],B21,tblSource[Period],C21,tblSource[EventType],"Production",tblSource[ReleaseStatus],"APPROVED"),D21*E21*F21*G21/31.1034768)</f>
        <v>0</v>
      </c>
      <c r="I21" s="18">
        <v>0</v>
      </c>
      <c r="J21" s="3" t="s">
        <v>39</v>
      </c>
      <c r="K21" s="18">
        <v>3070</v>
      </c>
      <c r="L21" s="16">
        <v>1.1399999999999999</v>
      </c>
      <c r="M21" s="15">
        <v>3484892.71</v>
      </c>
      <c r="N21" s="2" t="s">
        <v>12465</v>
      </c>
    </row>
    <row r="22" spans="1:14" x14ac:dyDescent="0.25">
      <c r="A22" s="2" t="s">
        <v>12453</v>
      </c>
      <c r="B22" s="2" t="s">
        <v>7433</v>
      </c>
      <c r="C22" s="6">
        <v>46357</v>
      </c>
      <c r="D22" s="15">
        <v>31</v>
      </c>
      <c r="E22" s="15">
        <v>0</v>
      </c>
      <c r="F22" s="15">
        <v>0</v>
      </c>
      <c r="G22" s="16">
        <v>0</v>
      </c>
      <c r="H22" s="17">
        <f>IF(INDEX(Period_Status!$B$2:$B$8,MATCH(C22,Period_Status!$A$2:$A$8,0))="ActualClosed",SUMIFS(tblSource[QuantityOz],tblSource[Site],B22,tblSource[Period],C22,tblSource[EventType],"Production",tblSource[ReleaseStatus],"APPROVED"),D22*E22*F22*G22/31.1034768)</f>
        <v>0</v>
      </c>
      <c r="I22" s="18">
        <v>0</v>
      </c>
      <c r="J22" s="3" t="s">
        <v>39</v>
      </c>
      <c r="K22" s="18">
        <v>3100</v>
      </c>
      <c r="L22" s="16">
        <v>1.05</v>
      </c>
      <c r="M22" s="15">
        <v>5217666.5</v>
      </c>
      <c r="N22" s="2" t="s">
        <v>12465</v>
      </c>
    </row>
  </sheetData>
  <pageMargins left="0.75" right="0.75" top="1" bottom="1" header="0.5" footer="0.5"/>
  <pageSetup paperSize="8"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F86"/>
    <pageSetUpPr fitToPage="1"/>
  </sheetPr>
  <dimension ref="A1:I22"/>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 min="8" max="8" width="18" customWidth="1"/>
    <col min="9" max="9" width="28" customWidth="1"/>
  </cols>
  <sheetData>
    <row r="1" spans="1:9" ht="32.1" customHeight="1" x14ac:dyDescent="0.25">
      <c r="A1" s="1" t="s">
        <v>12412</v>
      </c>
      <c r="B1" s="1" t="s">
        <v>123</v>
      </c>
      <c r="C1" s="1" t="s">
        <v>61</v>
      </c>
      <c r="D1" s="1" t="s">
        <v>12466</v>
      </c>
      <c r="E1" s="1" t="s">
        <v>12413</v>
      </c>
      <c r="F1" s="1" t="s">
        <v>12467</v>
      </c>
      <c r="G1" s="1" t="s">
        <v>12468</v>
      </c>
      <c r="H1" s="1" t="s">
        <v>12469</v>
      </c>
      <c r="I1" s="1" t="s">
        <v>12470</v>
      </c>
    </row>
    <row r="2" spans="1:9" x14ac:dyDescent="0.25">
      <c r="A2" s="2" t="s">
        <v>12433</v>
      </c>
      <c r="B2" s="2" t="s">
        <v>136</v>
      </c>
      <c r="C2" s="6">
        <v>46174</v>
      </c>
      <c r="D2" s="19">
        <f>Assumptions!$K$5</f>
        <v>185</v>
      </c>
      <c r="E2" s="19">
        <f>Forecast_Drivers!H2</f>
        <v>2566.1529941051481</v>
      </c>
      <c r="F2" s="17">
        <f>IF(INDEX(Period_Status!$B$2:$B$8,MATCH(C2,Period_Status!$A$2:$A$8,0))="ActualClosed",SUMIFS(tblSource[QuantityOz],tblSource[Site],B2,tblSource[Period],C2,tblSource[EventType],"GoldSale",tblSource[ReleaseStatus],"APPROVED"),MAX(0,D2+E2-G2))</f>
        <v>2531.1529941051476</v>
      </c>
      <c r="G2" s="19">
        <f>Forecast_Drivers!I2</f>
        <v>220</v>
      </c>
      <c r="H2" s="19">
        <f t="shared" ref="H2:H22" si="0">D2+E2-F2-G2</f>
        <v>4.5474735088646412E-13</v>
      </c>
      <c r="I2" s="2" t="s">
        <v>12471</v>
      </c>
    </row>
    <row r="3" spans="1:9" x14ac:dyDescent="0.25">
      <c r="A3" s="2" t="s">
        <v>12434</v>
      </c>
      <c r="B3" s="2" t="s">
        <v>136</v>
      </c>
      <c r="C3" s="6">
        <v>46204</v>
      </c>
      <c r="D3" s="19">
        <f t="shared" ref="D3:D8" si="1">G2</f>
        <v>220</v>
      </c>
      <c r="E3" s="19">
        <f>Forecast_Drivers!H3</f>
        <v>2652.8931358278264</v>
      </c>
      <c r="F3" s="17">
        <f>IF(INDEX(Period_Status!$B$2:$B$8,MATCH(C3,Period_Status!$A$2:$A$8,0))="ActualClosed",SUMIFS(tblSource[QuantityOz],tblSource[Site],B3,tblSource[Period],C3,tblSource[EventType],"GoldSale",tblSource[ReleaseStatus],"APPROVED"),MAX(0,D3+E3-G3))</f>
        <v>2587.8931358278251</v>
      </c>
      <c r="G3" s="19">
        <f>Forecast_Drivers!I3</f>
        <v>285</v>
      </c>
      <c r="H3" s="19">
        <f t="shared" si="0"/>
        <v>1.3642420526593924E-12</v>
      </c>
      <c r="I3" s="2" t="s">
        <v>12472</v>
      </c>
    </row>
    <row r="4" spans="1:9" x14ac:dyDescent="0.25">
      <c r="A4" s="2" t="s">
        <v>12435</v>
      </c>
      <c r="B4" s="2" t="s">
        <v>136</v>
      </c>
      <c r="C4" s="6">
        <v>46235</v>
      </c>
      <c r="D4" s="19">
        <f t="shared" si="1"/>
        <v>285</v>
      </c>
      <c r="E4" s="19">
        <f>Forecast_Drivers!H4</f>
        <v>2965.270043379845</v>
      </c>
      <c r="F4" s="17">
        <f>IF(INDEX(Period_Status!$B$2:$B$8,MATCH(C4,Period_Status!$A$2:$A$8,0))="ActualClosed",SUMIFS(tblSource[QuantityOz],tblSource[Site],B4,tblSource[Period],C4,tblSource[EventType],"GoldSale",tblSource[ReleaseStatus],"APPROVED"),MAX(0,D4+E4-G4))</f>
        <v>2920.270043379845</v>
      </c>
      <c r="G4" s="19">
        <f>Forecast_Drivers!I4</f>
        <v>330</v>
      </c>
      <c r="H4" s="19">
        <f t="shared" si="0"/>
        <v>0</v>
      </c>
      <c r="I4" s="2" t="s">
        <v>12473</v>
      </c>
    </row>
    <row r="5" spans="1:9" x14ac:dyDescent="0.25">
      <c r="A5" s="2" t="s">
        <v>12436</v>
      </c>
      <c r="B5" s="2" t="s">
        <v>136</v>
      </c>
      <c r="C5" s="6">
        <v>46266</v>
      </c>
      <c r="D5" s="19">
        <f t="shared" si="1"/>
        <v>330</v>
      </c>
      <c r="E5" s="19">
        <f>Forecast_Drivers!H5</f>
        <v>2935.9139683059484</v>
      </c>
      <c r="F5" s="17">
        <f>E5</f>
        <v>2935.9139683059484</v>
      </c>
      <c r="G5" s="19">
        <f>Forecast_Drivers!I5</f>
        <v>345</v>
      </c>
      <c r="H5" s="19">
        <f t="shared" si="0"/>
        <v>-15</v>
      </c>
      <c r="I5" s="2" t="s">
        <v>12474</v>
      </c>
    </row>
    <row r="6" spans="1:9" x14ac:dyDescent="0.25">
      <c r="A6" s="2" t="s">
        <v>12437</v>
      </c>
      <c r="B6" s="2" t="s">
        <v>136</v>
      </c>
      <c r="C6" s="6">
        <v>46296</v>
      </c>
      <c r="D6" s="19">
        <f t="shared" si="1"/>
        <v>345</v>
      </c>
      <c r="E6" s="19">
        <f>Forecast_Drivers!H6</f>
        <v>3080.4095122896356</v>
      </c>
      <c r="F6" s="17">
        <f>IF(INDEX(Period_Status!$B$2:$B$8,MATCH(C6,Period_Status!$A$2:$A$8,0))="ActualClosed",SUMIFS(tblSource[QuantityOz],tblSource[Site],B6,tblSource[Period],C6,tblSource[EventType],"GoldSale",tblSource[ReleaseStatus],"APPROVED"),MAX(0,D6+E6-G6))</f>
        <v>3055.4095122896356</v>
      </c>
      <c r="G6" s="19">
        <f>Forecast_Drivers!I6</f>
        <v>370</v>
      </c>
      <c r="H6" s="19">
        <f t="shared" si="0"/>
        <v>0</v>
      </c>
      <c r="I6" s="2" t="s">
        <v>12474</v>
      </c>
    </row>
    <row r="7" spans="1:9" x14ac:dyDescent="0.25">
      <c r="A7" s="2" t="s">
        <v>12438</v>
      </c>
      <c r="B7" s="2" t="s">
        <v>136</v>
      </c>
      <c r="C7" s="6">
        <v>46327</v>
      </c>
      <c r="D7" s="19">
        <f t="shared" si="1"/>
        <v>370</v>
      </c>
      <c r="E7" s="19">
        <f>Forecast_Drivers!H7</f>
        <v>2766.3449508641424</v>
      </c>
      <c r="F7" s="17">
        <f>IF(INDEX(Period_Status!$B$2:$B$8,MATCH(C7,Period_Status!$A$2:$A$8,0))="ActualClosed",SUMIFS(tblSource[QuantityOz],tblSource[Site],B7,tblSource[Period],C7,tblSource[EventType],"GoldSale",tblSource[ReleaseStatus],"APPROVED"),MAX(0,D7+E7-G7))</f>
        <v>2726.3449508641424</v>
      </c>
      <c r="G7" s="19">
        <f>Forecast_Drivers!I7</f>
        <v>410</v>
      </c>
      <c r="H7" s="19">
        <f t="shared" si="0"/>
        <v>0</v>
      </c>
      <c r="I7" s="2" t="s">
        <v>12474</v>
      </c>
    </row>
    <row r="8" spans="1:9" x14ac:dyDescent="0.25">
      <c r="A8" s="2" t="s">
        <v>12439</v>
      </c>
      <c r="B8" s="2" t="s">
        <v>136</v>
      </c>
      <c r="C8" s="6">
        <v>46357</v>
      </c>
      <c r="D8" s="19">
        <f t="shared" si="1"/>
        <v>410</v>
      </c>
      <c r="E8" s="19">
        <f>Forecast_Drivers!H8</f>
        <v>3144.7712752164093</v>
      </c>
      <c r="F8" s="17">
        <f>IF(INDEX(Period_Status!$B$2:$B$8,MATCH(C8,Period_Status!$A$2:$A$8,0))="ActualClosed",SUMIFS(tblSource[QuantityOz],tblSource[Site],B8,tblSource[Period],C8,tblSource[EventType],"GoldSale",tblSource[ReleaseStatus],"APPROVED"),MAX(0,D8+E8-G8))</f>
        <v>3164.7712752164093</v>
      </c>
      <c r="G8" s="19">
        <f>Forecast_Drivers!I8</f>
        <v>390</v>
      </c>
      <c r="H8" s="19">
        <f t="shared" si="0"/>
        <v>0</v>
      </c>
      <c r="I8" s="2" t="s">
        <v>12474</v>
      </c>
    </row>
    <row r="9" spans="1:9" x14ac:dyDescent="0.25">
      <c r="A9" s="2" t="s">
        <v>12440</v>
      </c>
      <c r="B9" s="2" t="s">
        <v>199</v>
      </c>
      <c r="C9" s="6">
        <v>46174</v>
      </c>
      <c r="D9" s="19">
        <f>Assumptions!$K$6</f>
        <v>115</v>
      </c>
      <c r="E9" s="19">
        <f>Forecast_Drivers!H9</f>
        <v>1570.0351042298912</v>
      </c>
      <c r="F9" s="17">
        <f>IF(INDEX(Period_Status!$B$2:$B$8,MATCH(C9,Period_Status!$A$2:$A$8,0))="ActualClosed",SUMIFS(tblSource[QuantityOz],tblSource[Site],B9,tblSource[Period],C9,tblSource[EventType],"GoldSale",tblSource[ReleaseStatus],"APPROVED"),MAX(0,D9+E9-G9))</f>
        <v>1525.0351042298912</v>
      </c>
      <c r="G9" s="19">
        <f>Forecast_Drivers!I9</f>
        <v>160</v>
      </c>
      <c r="H9" s="19">
        <f t="shared" si="0"/>
        <v>0</v>
      </c>
      <c r="I9" s="2" t="s">
        <v>12475</v>
      </c>
    </row>
    <row r="10" spans="1:9" x14ac:dyDescent="0.25">
      <c r="A10" s="2" t="s">
        <v>12441</v>
      </c>
      <c r="B10" s="2" t="s">
        <v>199</v>
      </c>
      <c r="C10" s="6">
        <v>46204</v>
      </c>
      <c r="D10" s="19">
        <f t="shared" ref="D10:D15" si="2">G9</f>
        <v>160</v>
      </c>
      <c r="E10" s="19">
        <f>Forecast_Drivers!H10</f>
        <v>1617.1964997848734</v>
      </c>
      <c r="F10" s="17">
        <f>IF(INDEX(Period_Status!$B$2:$B$8,MATCH(C10,Period_Status!$A$2:$A$8,0))="ActualClosed",SUMIFS(tblSource[QuantityOz],tblSource[Site],B10,tblSource[Period],C10,tblSource[EventType],"GoldSale",tblSource[ReleaseStatus],"APPROVED"),MAX(0,D10+E10-G10))</f>
        <v>1572.1964997848729</v>
      </c>
      <c r="G10" s="19">
        <f>Forecast_Drivers!I10</f>
        <v>205</v>
      </c>
      <c r="H10" s="19">
        <f t="shared" si="0"/>
        <v>4.5474735088646412E-13</v>
      </c>
      <c r="I10" s="2" t="s">
        <v>12476</v>
      </c>
    </row>
    <row r="11" spans="1:9" x14ac:dyDescent="0.25">
      <c r="A11" s="2" t="s">
        <v>12442</v>
      </c>
      <c r="B11" s="2" t="s">
        <v>199</v>
      </c>
      <c r="C11" s="6">
        <v>46235</v>
      </c>
      <c r="D11" s="19">
        <f t="shared" si="2"/>
        <v>205</v>
      </c>
      <c r="E11" s="19">
        <f>Forecast_Drivers!H11</f>
        <v>1848.0188844997547</v>
      </c>
      <c r="F11" s="17">
        <f>IF(INDEX(Period_Status!$B$2:$B$8,MATCH(C11,Period_Status!$A$2:$A$8,0))="ActualClosed",SUMIFS(tblSource[QuantityOz],tblSource[Site],B11,tblSource[Period],C11,tblSource[EventType],"GoldSale",tblSource[ReleaseStatus],"APPROVED"),MAX(0,D11+E11-G11))</f>
        <v>1808.0188844997547</v>
      </c>
      <c r="G11" s="19">
        <f>Forecast_Drivers!I11</f>
        <v>245</v>
      </c>
      <c r="H11" s="19">
        <f t="shared" si="0"/>
        <v>0</v>
      </c>
      <c r="I11" s="2" t="s">
        <v>12477</v>
      </c>
    </row>
    <row r="12" spans="1:9" x14ac:dyDescent="0.25">
      <c r="A12" s="2" t="s">
        <v>12443</v>
      </c>
      <c r="B12" s="2" t="s">
        <v>199</v>
      </c>
      <c r="C12" s="6">
        <v>46266</v>
      </c>
      <c r="D12" s="19">
        <f t="shared" si="2"/>
        <v>245</v>
      </c>
      <c r="E12" s="19">
        <f>Forecast_Drivers!H12</f>
        <v>1858.7378630288688</v>
      </c>
      <c r="F12" s="17">
        <f>IF(INDEX(Period_Status!$B$2:$B$8,MATCH(C12,Period_Status!$A$2:$A$8,0))="ActualClosed",SUMIFS(tblSource[QuantityOz],tblSource[Site],B12,tblSource[Period],C12,tblSource[EventType],"GoldSale",tblSource[ReleaseStatus],"APPROVED"),MAX(0,D12+E12-G12))</f>
        <v>1848.7378630288686</v>
      </c>
      <c r="G12" s="19">
        <f>Forecast_Drivers!I12</f>
        <v>255</v>
      </c>
      <c r="H12" s="19">
        <f t="shared" si="0"/>
        <v>0</v>
      </c>
      <c r="I12" s="2" t="s">
        <v>12474</v>
      </c>
    </row>
    <row r="13" spans="1:9" x14ac:dyDescent="0.25">
      <c r="A13" s="2" t="s">
        <v>12444</v>
      </c>
      <c r="B13" s="2" t="s">
        <v>199</v>
      </c>
      <c r="C13" s="6">
        <v>46296</v>
      </c>
      <c r="D13" s="19">
        <f t="shared" si="2"/>
        <v>255</v>
      </c>
      <c r="E13" s="19">
        <f>Forecast_Drivers!H13</f>
        <v>19.653433599423199</v>
      </c>
      <c r="F13" s="17">
        <f>IF(INDEX(Period_Status!$B$2:$B$8,MATCH(C13,Period_Status!$A$2:$A$8,0))="ActualClosed",SUMIFS(tblSource[QuantityOz],tblSource[Site],B13,tblSource[Period],C13,tblSource[EventType],"GoldSale",tblSource[ReleaseStatus],"APPROVED"),MAX(0,D13+E13-G13))</f>
        <v>0</v>
      </c>
      <c r="G13" s="19">
        <f>Forecast_Drivers!I13</f>
        <v>275</v>
      </c>
      <c r="H13" s="19">
        <f t="shared" si="0"/>
        <v>-0.34656640057681898</v>
      </c>
      <c r="I13" s="2" t="s">
        <v>12474</v>
      </c>
    </row>
    <row r="14" spans="1:9" x14ac:dyDescent="0.25">
      <c r="A14" s="2" t="s">
        <v>12445</v>
      </c>
      <c r="B14" s="2" t="s">
        <v>199</v>
      </c>
      <c r="C14" s="6">
        <v>46327</v>
      </c>
      <c r="D14" s="19">
        <f t="shared" si="2"/>
        <v>275</v>
      </c>
      <c r="E14" s="19">
        <f>Forecast_Drivers!H14</f>
        <v>1693.1642831646398</v>
      </c>
      <c r="F14" s="17">
        <f>IF(INDEX(Period_Status!$B$2:$B$8,MATCH(C14,Period_Status!$A$2:$A$8,0))="ActualClosed",SUMIFS(tblSource[QuantityOz],tblSource[Site],B14,tblSource[Period],C14,tblSource[EventType],"GoldSale",tblSource[ReleaseStatus],"APPROVED"),MAX(0,D14+E14-G14))</f>
        <v>1678.1642831646398</v>
      </c>
      <c r="G14" s="19">
        <f>Forecast_Drivers!I14</f>
        <v>290</v>
      </c>
      <c r="H14" s="19">
        <f t="shared" si="0"/>
        <v>0</v>
      </c>
      <c r="I14" s="2" t="s">
        <v>12474</v>
      </c>
    </row>
    <row r="15" spans="1:9" x14ac:dyDescent="0.25">
      <c r="A15" s="2" t="s">
        <v>12446</v>
      </c>
      <c r="B15" s="2" t="s">
        <v>199</v>
      </c>
      <c r="C15" s="6">
        <v>46357</v>
      </c>
      <c r="D15" s="19">
        <f t="shared" si="2"/>
        <v>290</v>
      </c>
      <c r="E15" s="19">
        <f>Forecast_Drivers!H15</f>
        <v>1996.7907896393115</v>
      </c>
      <c r="F15" s="17">
        <f>IF(INDEX(Period_Status!$B$2:$B$8,MATCH(C15,Period_Status!$A$2:$A$8,0))="ActualClosed",SUMIFS(tblSource[QuantityOz],tblSource[Site],B15,tblSource[Period],C15,tblSource[EventType],"GoldSale",tblSource[ReleaseStatus],"APPROVED"),MAX(0,D15+E15-G15))</f>
        <v>2006.7907896393117</v>
      </c>
      <c r="G15" s="19">
        <f>Forecast_Drivers!I15</f>
        <v>280</v>
      </c>
      <c r="H15" s="19">
        <f t="shared" si="0"/>
        <v>0</v>
      </c>
      <c r="I15" s="2" t="s">
        <v>12474</v>
      </c>
    </row>
    <row r="16" spans="1:9" x14ac:dyDescent="0.25">
      <c r="A16" s="2" t="s">
        <v>12447</v>
      </c>
      <c r="B16" s="2" t="s">
        <v>7433</v>
      </c>
      <c r="C16" s="6">
        <v>46174</v>
      </c>
      <c r="D16" s="19">
        <f>Assumptions!$K$7</f>
        <v>0</v>
      </c>
      <c r="E16" s="19">
        <f>Forecast_Drivers!H16</f>
        <v>0</v>
      </c>
      <c r="F16" s="17">
        <f>IF(INDEX(Period_Status!$B$2:$B$8,MATCH(C16,Period_Status!$A$2:$A$8,0))="ActualClosed",SUMIFS(tblSource[QuantityOz],tblSource[Site],B16,tblSource[Period],C16,tblSource[EventType],"GoldSale",tblSource[ReleaseStatus],"APPROVED"),MAX(0,D16+E16-G16))</f>
        <v>0</v>
      </c>
      <c r="G16" s="19">
        <f>Forecast_Drivers!I16</f>
        <v>0</v>
      </c>
      <c r="H16" s="19">
        <f t="shared" si="0"/>
        <v>0</v>
      </c>
      <c r="I16" s="2" t="s">
        <v>12478</v>
      </c>
    </row>
    <row r="17" spans="1:9" x14ac:dyDescent="0.25">
      <c r="A17" s="2" t="s">
        <v>12448</v>
      </c>
      <c r="B17" s="2" t="s">
        <v>7433</v>
      </c>
      <c r="C17" s="6">
        <v>46204</v>
      </c>
      <c r="D17" s="19">
        <f t="shared" ref="D17:D22" si="3">G16</f>
        <v>0</v>
      </c>
      <c r="E17" s="19">
        <f>Forecast_Drivers!H17</f>
        <v>0</v>
      </c>
      <c r="F17" s="17">
        <f>IF(INDEX(Period_Status!$B$2:$B$8,MATCH(C17,Period_Status!$A$2:$A$8,0))="ActualClosed",SUMIFS(tblSource[QuantityOz],tblSource[Site],B17,tblSource[Period],C17,tblSource[EventType],"GoldSale",tblSource[ReleaseStatus],"APPROVED"),MAX(0,D17+E17-G17))</f>
        <v>0</v>
      </c>
      <c r="G17" s="19">
        <f>Forecast_Drivers!I17</f>
        <v>0</v>
      </c>
      <c r="H17" s="19">
        <f t="shared" si="0"/>
        <v>0</v>
      </c>
      <c r="I17" s="2" t="s">
        <v>12479</v>
      </c>
    </row>
    <row r="18" spans="1:9" x14ac:dyDescent="0.25">
      <c r="A18" s="2" t="s">
        <v>12449</v>
      </c>
      <c r="B18" s="2" t="s">
        <v>7433</v>
      </c>
      <c r="C18" s="6">
        <v>46235</v>
      </c>
      <c r="D18" s="19">
        <f t="shared" si="3"/>
        <v>0</v>
      </c>
      <c r="E18" s="19">
        <f>Forecast_Drivers!H18</f>
        <v>0</v>
      </c>
      <c r="F18" s="17">
        <f>IF(INDEX(Period_Status!$B$2:$B$8,MATCH(C18,Period_Status!$A$2:$A$8,0))="ActualClosed",SUMIFS(tblSource[QuantityOz],tblSource[Site],B18,tblSource[Period],C18,tblSource[EventType],"GoldSale",tblSource[ReleaseStatus],"APPROVED"),MAX(0,D18+E18-G18))</f>
        <v>0</v>
      </c>
      <c r="G18" s="19">
        <f>Forecast_Drivers!I18</f>
        <v>0</v>
      </c>
      <c r="H18" s="19">
        <f t="shared" si="0"/>
        <v>0</v>
      </c>
      <c r="I18" s="2" t="s">
        <v>12480</v>
      </c>
    </row>
    <row r="19" spans="1:9" x14ac:dyDescent="0.25">
      <c r="A19" s="2" t="s">
        <v>12450</v>
      </c>
      <c r="B19" s="2" t="s">
        <v>7433</v>
      </c>
      <c r="C19" s="6">
        <v>46266</v>
      </c>
      <c r="D19" s="19">
        <f t="shared" si="3"/>
        <v>0</v>
      </c>
      <c r="E19" s="19">
        <f>Forecast_Drivers!H19</f>
        <v>0</v>
      </c>
      <c r="F19" s="17">
        <f>IF(INDEX(Period_Status!$B$2:$B$8,MATCH(C19,Period_Status!$A$2:$A$8,0))="ActualClosed",SUMIFS(tblSource[QuantityOz],tblSource[Site],B19,tblSource[Period],C19,tblSource[EventType],"GoldSale",tblSource[ReleaseStatus],"APPROVED"),MAX(0,D19+E19-G19))</f>
        <v>0</v>
      </c>
      <c r="G19" s="19">
        <f>Forecast_Drivers!I19</f>
        <v>0</v>
      </c>
      <c r="H19" s="19">
        <f t="shared" si="0"/>
        <v>0</v>
      </c>
      <c r="I19" s="2" t="s">
        <v>12474</v>
      </c>
    </row>
    <row r="20" spans="1:9" x14ac:dyDescent="0.25">
      <c r="A20" s="2" t="s">
        <v>12451</v>
      </c>
      <c r="B20" s="2" t="s">
        <v>7433</v>
      </c>
      <c r="C20" s="6">
        <v>46296</v>
      </c>
      <c r="D20" s="19">
        <f t="shared" si="3"/>
        <v>0</v>
      </c>
      <c r="E20" s="19">
        <f>Forecast_Drivers!H20</f>
        <v>0</v>
      </c>
      <c r="F20" s="17">
        <f>IF(INDEX(Period_Status!$B$2:$B$8,MATCH(C20,Period_Status!$A$2:$A$8,0))="ActualClosed",SUMIFS(tblSource[QuantityOz],tblSource[Site],B20,tblSource[Period],C20,tblSource[EventType],"GoldSale",tblSource[ReleaseStatus],"APPROVED"),MAX(0,D20+E20-G20))</f>
        <v>0</v>
      </c>
      <c r="G20" s="19">
        <f>Forecast_Drivers!I20</f>
        <v>0</v>
      </c>
      <c r="H20" s="19">
        <f t="shared" si="0"/>
        <v>0</v>
      </c>
      <c r="I20" s="2" t="s">
        <v>12474</v>
      </c>
    </row>
    <row r="21" spans="1:9" x14ac:dyDescent="0.25">
      <c r="A21" s="2" t="s">
        <v>12452</v>
      </c>
      <c r="B21" s="2" t="s">
        <v>7433</v>
      </c>
      <c r="C21" s="6">
        <v>46327</v>
      </c>
      <c r="D21" s="19">
        <f t="shared" si="3"/>
        <v>0</v>
      </c>
      <c r="E21" s="19">
        <f>Forecast_Drivers!H21</f>
        <v>0</v>
      </c>
      <c r="F21" s="17">
        <f>IF(INDEX(Period_Status!$B$2:$B$8,MATCH(C21,Period_Status!$A$2:$A$8,0))="ActualClosed",SUMIFS(tblSource[QuantityOz],tblSource[Site],B21,tblSource[Period],C21,tblSource[EventType],"GoldSale",tblSource[ReleaseStatus],"APPROVED"),MAX(0,D21+E21-G21))</f>
        <v>0</v>
      </c>
      <c r="G21" s="19">
        <f>Forecast_Drivers!I21</f>
        <v>0</v>
      </c>
      <c r="H21" s="19">
        <f t="shared" si="0"/>
        <v>0</v>
      </c>
      <c r="I21" s="2" t="s">
        <v>12474</v>
      </c>
    </row>
    <row r="22" spans="1:9" x14ac:dyDescent="0.25">
      <c r="A22" s="2" t="s">
        <v>12453</v>
      </c>
      <c r="B22" s="2" t="s">
        <v>7433</v>
      </c>
      <c r="C22" s="6">
        <v>46357</v>
      </c>
      <c r="D22" s="19">
        <f t="shared" si="3"/>
        <v>0</v>
      </c>
      <c r="E22" s="19">
        <f>Forecast_Drivers!H22</f>
        <v>0</v>
      </c>
      <c r="F22" s="17">
        <f>IF(INDEX(Period_Status!$B$2:$B$8,MATCH(C22,Period_Status!$A$2:$A$8,0))="ActualClosed",SUMIFS(tblSource[QuantityOz],tblSource[Site],B22,tblSource[Period],C22,tblSource[EventType],"GoldSale",tblSource[ReleaseStatus],"APPROVED"),MAX(0,D22+E22-G22))</f>
        <v>0</v>
      </c>
      <c r="G22" s="19">
        <f>Forecast_Drivers!I22</f>
        <v>0</v>
      </c>
      <c r="H22" s="19">
        <f t="shared" si="0"/>
        <v>0</v>
      </c>
      <c r="I22" s="2" t="s">
        <v>12474</v>
      </c>
    </row>
  </sheetData>
  <pageMargins left="0.75" right="0.75" top="1" bottom="1" header="0.5" footer="0.5"/>
  <pageSetup paperSize="8"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F86"/>
    <pageSetUpPr fitToPage="1"/>
  </sheetPr>
  <dimension ref="A1:J22"/>
  <sheetViews>
    <sheetView showGridLines="0" zoomScale="85" workbookViewId="0">
      <pane ySplit="1" topLeftCell="A2" activePane="bottomLeft" state="frozen"/>
      <selection pane="bottomLeft"/>
    </sheetView>
  </sheetViews>
  <sheetFormatPr defaultRowHeight="15" x14ac:dyDescent="0.25"/>
  <cols>
    <col min="1" max="1" width="28" customWidth="1"/>
    <col min="2" max="4" width="16" customWidth="1"/>
    <col min="5" max="5" width="20" customWidth="1"/>
    <col min="6" max="6" width="16" customWidth="1"/>
    <col min="7" max="7" width="17" customWidth="1"/>
    <col min="8" max="8" width="16" customWidth="1"/>
    <col min="9" max="9" width="17" customWidth="1"/>
    <col min="10" max="10" width="16" customWidth="1"/>
  </cols>
  <sheetData>
    <row r="1" spans="1:10" ht="32.1" customHeight="1" x14ac:dyDescent="0.25">
      <c r="A1" s="1" t="s">
        <v>12412</v>
      </c>
      <c r="B1" s="1" t="s">
        <v>123</v>
      </c>
      <c r="C1" s="1" t="s">
        <v>61</v>
      </c>
      <c r="D1" s="1" t="s">
        <v>12467</v>
      </c>
      <c r="E1" s="1" t="s">
        <v>12481</v>
      </c>
      <c r="F1" s="1" t="s">
        <v>12482</v>
      </c>
      <c r="G1" s="1" t="s">
        <v>12483</v>
      </c>
      <c r="H1" s="1" t="s">
        <v>12415</v>
      </c>
      <c r="I1" s="1" t="s">
        <v>12484</v>
      </c>
      <c r="J1" s="1" t="s">
        <v>12485</v>
      </c>
    </row>
    <row r="2" spans="1:10" x14ac:dyDescent="0.25">
      <c r="A2" s="2" t="s">
        <v>12433</v>
      </c>
      <c r="B2" s="2" t="s">
        <v>136</v>
      </c>
      <c r="C2" s="6">
        <v>46174</v>
      </c>
      <c r="D2" s="20">
        <f>Gold_Stock!F2</f>
        <v>2531.1529941051476</v>
      </c>
      <c r="E2" s="10" t="str">
        <f>IF(INDEX(Period_Status!$B$2:$B$8,MATCH(C2,Period_Status!$A$2:$A$8,0))="ActualClosed","USD reporting",Forecast_Drivers!J2)</f>
        <v>USD reporting</v>
      </c>
      <c r="F2" s="21">
        <f>IF(INDEX(Period_Status!$B$2:$B$8,MATCH(C2,Period_Status!$A$2:$A$8,0))="ActualClosed",IFERROR(SUMIFS(tblSource[AmountUSD],tblSource[Site],B2,tblSource[Period],C2,tblSource[EventType],"GoldSale",tblSource[ReleaseStatus],"APPROVED")/SUMIFS(tblSource[QuantityOz],tblSource[Site],B2,tblSource[Period],C2,tblSource[EventType],"GoldSale",tblSource[ReleaseStatus],"APPROVED"),0),Forecast_Drivers!K2)</f>
        <v>2909.1016651892337</v>
      </c>
      <c r="G2" s="22">
        <f>IF(INDEX(Period_Status!$B$2:$B$8,MATCH(C2,Period_Status!$A$2:$A$8,0))="ActualClosed",1,SUMIFS(tblFX[USD_per_unit],tblFX[Period],C2,tblFX[Currency],E2))</f>
        <v>1</v>
      </c>
      <c r="H2" s="10">
        <f>IF(INDEX(Period_Status!$B$2:$B$8,MATCH(C2,Period_Status!$A$2:$A$8,0))="ActualClosed",SUMIFS(tblSource[AmountUSD],tblSource[Site],B2,tblSource[Period],C2,tblSource[EventType],"GoldSale",tblSource[ReleaseStatus],"APPROVED"),D2*F2*G2)</f>
        <v>7363381.3899999997</v>
      </c>
      <c r="I2" s="10">
        <f>IF(INDEX(Period_Status!$B$2:$B$8,MATCH(C2,Period_Status!$A$2:$A$8,0))="ActualClosed",Controls!G2,(Gold_Stock!D2+Gold_Stock!E2-Gold_Stock!G2)*Forecast_Drivers!K2*SUMIFS(tblFX[USD_per_unit],tblFX[Period],C2,tblFX[Currency],Forecast_Drivers!J2))</f>
        <v>7363381.3899999997</v>
      </c>
      <c r="J2" s="12">
        <f t="shared" ref="J2:J22" si="0">H2-I2</f>
        <v>0</v>
      </c>
    </row>
    <row r="3" spans="1:10" x14ac:dyDescent="0.25">
      <c r="A3" s="2" t="s">
        <v>12434</v>
      </c>
      <c r="B3" s="2" t="s">
        <v>136</v>
      </c>
      <c r="C3" s="6">
        <v>46204</v>
      </c>
      <c r="D3" s="20">
        <f>Gold_Stock!F3</f>
        <v>2587.8931358278251</v>
      </c>
      <c r="E3" s="10" t="str">
        <f>IF(INDEX(Period_Status!$B$2:$B$8,MATCH(C3,Period_Status!$A$2:$A$8,0))="ActualClosed","USD reporting",Forecast_Drivers!J3)</f>
        <v>USD reporting</v>
      </c>
      <c r="F3" s="21">
        <f>IF(INDEX(Period_Status!$B$2:$B$8,MATCH(C3,Period_Status!$A$2:$A$8,0))="ActualClosed",IFERROR(SUMIFS(tblSource[AmountUSD],tblSource[Site],B3,tblSource[Period],C3,tblSource[EventType],"GoldSale",tblSource[ReleaseStatus],"APPROVED")/SUMIFS(tblSource[QuantityOz],tblSource[Site],B3,tblSource[Period],C3,tblSource[EventType],"GoldSale",tblSource[ReleaseStatus],"APPROVED"),0),Forecast_Drivers!K3)</f>
        <v>2941.5311994963531</v>
      </c>
      <c r="G3" s="22">
        <f>IF(INDEX(Period_Status!$B$2:$B$8,MATCH(C3,Period_Status!$A$2:$A$8,0))="ActualClosed",1,SUMIFS(tblFX[USD_per_unit],tblFX[Period],C3,tblFX[Currency],E3))</f>
        <v>1</v>
      </c>
      <c r="H3" s="10">
        <f>SUMIFS(Source_Detail!$K$2:$K$4591,Source_Detail!$D$2:$D$4591,B3,Source_Detail!$B$2:$B$4591,C3,Source_Detail!$E$2:$E$4591,"GoldSale")</f>
        <v>5208996.5600000005</v>
      </c>
      <c r="I3" s="10">
        <f>IF(INDEX(Period_Status!$B$2:$B$8,MATCH(C3,Period_Status!$A$2:$A$8,0))="ActualClosed",Controls!G3,(Gold_Stock!D3+Gold_Stock!E3-Gold_Stock!G3)*Forecast_Drivers!K3*SUMIFS(tblFX[USD_per_unit],tblFX[Period],C3,tblFX[Currency],Forecast_Drivers!J3))</f>
        <v>7612368.4000000004</v>
      </c>
      <c r="J3" s="12">
        <f t="shared" si="0"/>
        <v>-2403371.84</v>
      </c>
    </row>
    <row r="4" spans="1:10" x14ac:dyDescent="0.25">
      <c r="A4" s="2" t="s">
        <v>12435</v>
      </c>
      <c r="B4" s="2" t="s">
        <v>136</v>
      </c>
      <c r="C4" s="6">
        <v>46235</v>
      </c>
      <c r="D4" s="20">
        <f>Gold_Stock!F4</f>
        <v>2920.270043379845</v>
      </c>
      <c r="E4" s="10" t="str">
        <f>IF(INDEX(Period_Status!$B$2:$B$8,MATCH(C4,Period_Status!$A$2:$A$8,0))="ActualClosed","USD reporting",Forecast_Drivers!J4)</f>
        <v>USD</v>
      </c>
      <c r="F4" s="21">
        <f>IF(INDEX(Period_Status!$B$2:$B$8,MATCH(C4,Period_Status!$A$2:$A$8,0))="ActualClosed",IFERROR(SUMIFS(tblSource[AmountUSD],tblSource[Site],B4,tblSource[Period],C4,tblSource[EventType],"GoldSale",tblSource[ReleaseStatus],"APPROVED")/SUMIFS(tblSource[QuantityOz],tblSource[Site],B4,tblSource[Period],C4,tblSource[EventType],"GoldSale",tblSource[ReleaseStatus],"APPROVED"),0),Forecast_Drivers!K4)</f>
        <v>2980</v>
      </c>
      <c r="G4" s="22">
        <f>IF(INDEX(Period_Status!$B$2:$B$8,MATCH(C4,Period_Status!$A$2:$A$8,0))="ActualClosed",1,SUMIFS(tblFX[USD_per_unit],tblFX[Period],C4,tblFX[Currency],E4))</f>
        <v>1</v>
      </c>
      <c r="H4" s="10">
        <f>IF(INDEX(Period_Status!$B$2:$B$8,MATCH(C4,Period_Status!$A$2:$A$8,0))="ActualClosed",SUMIFS(tblSource[AmountUSD],tblSource[Site],B4,tblSource[Period],C4,tblSource[EventType],"GoldSale",tblSource[ReleaseStatus],"APPROVED"),D4*F4*G4)</f>
        <v>8702404.7292719372</v>
      </c>
      <c r="I4" s="10">
        <f>IF(INDEX(Period_Status!$B$2:$B$8,MATCH(C4,Period_Status!$A$2:$A$8,0))="ActualClosed",Controls!G4,(Gold_Stock!D4+Gold_Stock!E4-Gold_Stock!G4)*Forecast_Drivers!K4*SUMIFS(tblFX[USD_per_unit],tblFX[Period],C4,tblFX[Currency],Forecast_Drivers!J4))</f>
        <v>8702404.7292719372</v>
      </c>
      <c r="J4" s="12">
        <f t="shared" si="0"/>
        <v>0</v>
      </c>
    </row>
    <row r="5" spans="1:10" x14ac:dyDescent="0.25">
      <c r="A5" s="2" t="s">
        <v>12436</v>
      </c>
      <c r="B5" s="2" t="s">
        <v>136</v>
      </c>
      <c r="C5" s="6">
        <v>46266</v>
      </c>
      <c r="D5" s="20">
        <f>Gold_Stock!F5</f>
        <v>2935.9139683059484</v>
      </c>
      <c r="E5" s="10" t="str">
        <f>IF(INDEX(Period_Status!$B$2:$B$8,MATCH(C5,Period_Status!$A$2:$A$8,0))="ActualClosed","USD reporting",Forecast_Drivers!J5)</f>
        <v>USD</v>
      </c>
      <c r="F5" s="21">
        <f>IF(INDEX(Period_Status!$B$2:$B$8,MATCH(C5,Period_Status!$A$2:$A$8,0))="ActualClosed",IFERROR(SUMIFS(tblSource[AmountUSD],tblSource[Site],B5,tblSource[Period],C5,tblSource[EventType],"GoldSale",tblSource[ReleaseStatus],"APPROVED")/SUMIFS(tblSource[QuantityOz],tblSource[Site],B5,tblSource[Period],C5,tblSource[EventType],"GoldSale",tblSource[ReleaseStatus],"APPROVED"),0),Forecast_Drivers!K5)</f>
        <v>3010</v>
      </c>
      <c r="G5" s="22">
        <f>IF(INDEX(Period_Status!$B$2:$B$8,MATCH(C5,Period_Status!$A$2:$A$8,0))="ActualClosed",1,SUMIFS(tblFX[USD_per_unit],tblFX[Period],C5,tblFX[Currency],E5))</f>
        <v>1</v>
      </c>
      <c r="H5" s="10">
        <f>IF(INDEX(Period_Status!$B$2:$B$8,MATCH(C5,Period_Status!$A$2:$A$8,0))="ActualClosed",SUMIFS(tblSource[AmountUSD],tblSource[Site],B5,tblSource[Period],C5,tblSource[EventType],"GoldSale",tblSource[ReleaseStatus],"APPROVED"),D5*F5*G5)</f>
        <v>8837101.044600904</v>
      </c>
      <c r="I5" s="10">
        <f>IF(INDEX(Period_Status!$B$2:$B$8,MATCH(C5,Period_Status!$A$2:$A$8,0))="ActualClosed",Controls!G5,(Gold_Stock!D5+Gold_Stock!E5-Gold_Stock!G5)*Forecast_Drivers!K5*SUMIFS(tblFX[USD_per_unit],tblFX[Period],C5,tblFX[Currency],Forecast_Drivers!J5))</f>
        <v>8791951.044600904</v>
      </c>
      <c r="J5" s="12">
        <f t="shared" si="0"/>
        <v>45150</v>
      </c>
    </row>
    <row r="6" spans="1:10" x14ac:dyDescent="0.25">
      <c r="A6" s="2" t="s">
        <v>12437</v>
      </c>
      <c r="B6" s="2" t="s">
        <v>136</v>
      </c>
      <c r="C6" s="6">
        <v>46296</v>
      </c>
      <c r="D6" s="20">
        <f>Gold_Stock!F6</f>
        <v>3055.4095122896356</v>
      </c>
      <c r="E6" s="10" t="str">
        <f>IF(INDEX(Period_Status!$B$2:$B$8,MATCH(C6,Period_Status!$A$2:$A$8,0))="ActualClosed","USD reporting",Forecast_Drivers!J6)</f>
        <v>USD</v>
      </c>
      <c r="F6" s="21">
        <f>IF(INDEX(Period_Status!$B$2:$B$8,MATCH(C6,Period_Status!$A$2:$A$8,0))="ActualClosed",IFERROR(SUMIFS(tblSource[AmountUSD],tblSource[Site],B6,tblSource[Period],C6,tblSource[EventType],"GoldSale",tblSource[ReleaseStatus],"APPROVED")/SUMIFS(tblSource[QuantityOz],tblSource[Site],B6,tblSource[Period],C6,tblSource[EventType],"GoldSale",tblSource[ReleaseStatus],"APPROVED"),0),Forecast_Drivers!K6)</f>
        <v>3040</v>
      </c>
      <c r="G6" s="22">
        <f>IF(INDEX(Period_Status!$B$2:$B$8,MATCH(C6,Period_Status!$A$2:$A$8,0))="ActualClosed",1,SUMIFS(tblFX[USD_per_unit],tblFX[Period],C6,tblFX[Currency],E6))</f>
        <v>1</v>
      </c>
      <c r="H6" s="10">
        <f>IF(INDEX(Period_Status!$B$2:$B$8,MATCH(C6,Period_Status!$A$2:$A$8,0))="ActualClosed",SUMIFS(tblSource[AmountUSD],tblSource[Site],B6,tblSource[Period],C6,tblSource[EventType],"GoldSale",tblSource[ReleaseStatus],"APPROVED"),D6*F6*G6)</f>
        <v>9288444.9173604921</v>
      </c>
      <c r="I6" s="10">
        <f>IF(INDEX(Period_Status!$B$2:$B$8,MATCH(C6,Period_Status!$A$2:$A$8,0))="ActualClosed",Controls!G6,(Gold_Stock!D6+Gold_Stock!E6-Gold_Stock!G6)*Forecast_Drivers!K6*SUMIFS(tblFX[USD_per_unit],tblFX[Period],C6,tblFX[Currency],Forecast_Drivers!J6))</f>
        <v>9288444.9173604921</v>
      </c>
      <c r="J6" s="12">
        <f t="shared" si="0"/>
        <v>0</v>
      </c>
    </row>
    <row r="7" spans="1:10" x14ac:dyDescent="0.25">
      <c r="A7" s="2" t="s">
        <v>12438</v>
      </c>
      <c r="B7" s="2" t="s">
        <v>136</v>
      </c>
      <c r="C7" s="6">
        <v>46327</v>
      </c>
      <c r="D7" s="20">
        <f>Gold_Stock!F7</f>
        <v>2726.3449508641424</v>
      </c>
      <c r="E7" s="10" t="str">
        <f>IF(INDEX(Period_Status!$B$2:$B$8,MATCH(C7,Period_Status!$A$2:$A$8,0))="ActualClosed","USD reporting",Forecast_Drivers!J7)</f>
        <v>USD</v>
      </c>
      <c r="F7" s="21">
        <f>IF(INDEX(Period_Status!$B$2:$B$8,MATCH(C7,Period_Status!$A$2:$A$8,0))="ActualClosed",IFERROR(SUMIFS(tblSource[AmountUSD],tblSource[Site],B7,tblSource[Period],C7,tblSource[EventType],"GoldSale",tblSource[ReleaseStatus],"APPROVED")/SUMIFS(tblSource[QuantityOz],tblSource[Site],B7,tblSource[Period],C7,tblSource[EventType],"GoldSale",tblSource[ReleaseStatus],"APPROVED"),0),Forecast_Drivers!K7)</f>
        <v>3070</v>
      </c>
      <c r="G7" s="22">
        <f>IF(INDEX(Period_Status!$B$2:$B$8,MATCH(C7,Period_Status!$A$2:$A$8,0))="ActualClosed",1,SUMIFS(tblFX[USD_per_unit],tblFX[Period],C7,tblFX[Currency],E7))</f>
        <v>1</v>
      </c>
      <c r="H7" s="10">
        <f>IF(INDEX(Period_Status!$B$2:$B$8,MATCH(C7,Period_Status!$A$2:$A$8,0))="ActualClosed",SUMIFS(tblSource[AmountUSD],tblSource[Site],B7,tblSource[Period],C7,tblSource[EventType],"GoldSale",tblSource[ReleaseStatus],"APPROVED"),D7*F7*G7)</f>
        <v>8369878.9991529174</v>
      </c>
      <c r="I7" s="10">
        <f>IF(INDEX(Period_Status!$B$2:$B$8,MATCH(C7,Period_Status!$A$2:$A$8,0))="ActualClosed",Controls!G7,(Gold_Stock!D7+Gold_Stock!E7-Gold_Stock!G7)*Forecast_Drivers!K7*SUMIFS(tblFX[USD_per_unit],tblFX[Period],C7,tblFX[Currency],Forecast_Drivers!J7))</f>
        <v>8369878.9991529174</v>
      </c>
      <c r="J7" s="12">
        <f t="shared" si="0"/>
        <v>0</v>
      </c>
    </row>
    <row r="8" spans="1:10" x14ac:dyDescent="0.25">
      <c r="A8" s="2" t="s">
        <v>12439</v>
      </c>
      <c r="B8" s="2" t="s">
        <v>136</v>
      </c>
      <c r="C8" s="6">
        <v>46357</v>
      </c>
      <c r="D8" s="20">
        <f>Gold_Stock!F8</f>
        <v>3164.7712752164093</v>
      </c>
      <c r="E8" s="10" t="str">
        <f>IF(INDEX(Period_Status!$B$2:$B$8,MATCH(C8,Period_Status!$A$2:$A$8,0))="ActualClosed","USD reporting",Forecast_Drivers!J8)</f>
        <v>USD</v>
      </c>
      <c r="F8" s="21">
        <f>IF(INDEX(Period_Status!$B$2:$B$8,MATCH(C8,Period_Status!$A$2:$A$8,0))="ActualClosed",IFERROR(SUMIFS(tblSource[AmountUSD],tblSource[Site],B8,tblSource[Period],C8,tblSource[EventType],"GoldSale",tblSource[ReleaseStatus],"APPROVED")/SUMIFS(tblSource[QuantityOz],tblSource[Site],B8,tblSource[Period],C8,tblSource[EventType],"GoldSale",tblSource[ReleaseStatus],"APPROVED"),0),Forecast_Drivers!K8)</f>
        <v>3100</v>
      </c>
      <c r="G8" s="22">
        <f>IF(INDEX(Period_Status!$B$2:$B$8,MATCH(C8,Period_Status!$A$2:$A$8,0))="ActualClosed",1,SUMIFS(tblFX[USD_per_unit],tblFX[Period],C8,tblFX[Currency],E8))</f>
        <v>1</v>
      </c>
      <c r="H8" s="10">
        <f>IF(INDEX(Period_Status!$B$2:$B$8,MATCH(C8,Period_Status!$A$2:$A$8,0))="ActualClosed",SUMIFS(tblSource[AmountUSD],tblSource[Site],B8,tblSource[Period],C8,tblSource[EventType],"GoldSale",tblSource[ReleaseStatus],"APPROVED"),D8*F8*G8)</f>
        <v>9810790.9531708695</v>
      </c>
      <c r="I8" s="10">
        <f>IF(INDEX(Period_Status!$B$2:$B$8,MATCH(C8,Period_Status!$A$2:$A$8,0))="ActualClosed",Controls!G8,(Gold_Stock!D8+Gold_Stock!E8-Gold_Stock!G8)*Forecast_Drivers!K8*SUMIFS(tblFX[USD_per_unit],tblFX[Period],C8,tblFX[Currency],Forecast_Drivers!J8))</f>
        <v>9810790.9531708695</v>
      </c>
      <c r="J8" s="12">
        <f t="shared" si="0"/>
        <v>0</v>
      </c>
    </row>
    <row r="9" spans="1:10" x14ac:dyDescent="0.25">
      <c r="A9" s="2" t="s">
        <v>12440</v>
      </c>
      <c r="B9" s="2" t="s">
        <v>199</v>
      </c>
      <c r="C9" s="6">
        <v>46174</v>
      </c>
      <c r="D9" s="20">
        <f>Gold_Stock!F9</f>
        <v>1525.0351042298912</v>
      </c>
      <c r="E9" s="10" t="str">
        <f>IF(INDEX(Period_Status!$B$2:$B$8,MATCH(C9,Period_Status!$A$2:$A$8,0))="ActualClosed","USD reporting",Forecast_Drivers!J9)</f>
        <v>USD reporting</v>
      </c>
      <c r="F9" s="21">
        <f>IF(INDEX(Period_Status!$B$2:$B$8,MATCH(C9,Period_Status!$A$2:$A$8,0))="ActualClosed",IFERROR(SUMIFS(tblSource[AmountUSD],tblSource[Site],B9,tblSource[Period],C9,tblSource[EventType],"GoldSale",tblSource[ReleaseStatus],"APPROVED")/SUMIFS(tblSource[QuantityOz],tblSource[Site],B9,tblSource[Period],C9,tblSource[EventType],"GoldSale",tblSource[ReleaseStatus],"APPROVED"),0),Forecast_Drivers!K9)</f>
        <v>2920.1226959616856</v>
      </c>
      <c r="G9" s="22">
        <f>IF(INDEX(Period_Status!$B$2:$B$8,MATCH(C9,Period_Status!$A$2:$A$8,0))="ActualClosed",1,SUMIFS(tblFX[USD_per_unit],tblFX[Period],C9,tblFX[Currency],E9))</f>
        <v>1</v>
      </c>
      <c r="H9" s="10">
        <f>IF(INDEX(Period_Status!$B$2:$B$8,MATCH(C9,Period_Status!$A$2:$A$8,0))="ActualClosed",SUMIFS(tblSource[AmountUSD],tblSource[Site],B9,tblSource[Period],C9,tblSource[EventType],"GoldSale",tblSource[ReleaseStatus],"APPROVED"),D9*F9*G9)</f>
        <v>4453289.62</v>
      </c>
      <c r="I9" s="10">
        <f>IF(INDEX(Period_Status!$B$2:$B$8,MATCH(C9,Period_Status!$A$2:$A$8,0))="ActualClosed",Controls!G9,(Gold_Stock!D9+Gold_Stock!E9-Gold_Stock!G9)*Forecast_Drivers!K9*SUMIFS(tblFX[USD_per_unit],tblFX[Period],C9,tblFX[Currency],Forecast_Drivers!J9))</f>
        <v>4453289.62</v>
      </c>
      <c r="J9" s="12">
        <f t="shared" si="0"/>
        <v>0</v>
      </c>
    </row>
    <row r="10" spans="1:10" x14ac:dyDescent="0.25">
      <c r="A10" s="2" t="s">
        <v>12441</v>
      </c>
      <c r="B10" s="2" t="s">
        <v>199</v>
      </c>
      <c r="C10" s="6">
        <v>46204</v>
      </c>
      <c r="D10" s="20">
        <f>Gold_Stock!F10</f>
        <v>1572.1964997848729</v>
      </c>
      <c r="E10" s="10" t="str">
        <f>IF(INDEX(Period_Status!$B$2:$B$8,MATCH(C10,Period_Status!$A$2:$A$8,0))="ActualClosed","USD reporting",Forecast_Drivers!J10)</f>
        <v>USD reporting</v>
      </c>
      <c r="F10" s="21">
        <f>IF(INDEX(Period_Status!$B$2:$B$8,MATCH(C10,Period_Status!$A$2:$A$8,0))="ActualClosed",IFERROR(SUMIFS(tblSource[AmountUSD],tblSource[Site],B10,tblSource[Period],C10,tblSource[EventType],"GoldSale",tblSource[ReleaseStatus],"APPROVED")/SUMIFS(tblSource[QuantityOz],tblSource[Site],B10,tblSource[Period],C10,tblSource[EventType],"GoldSale",tblSource[ReleaseStatus],"APPROVED"),0),Forecast_Drivers!K10)</f>
        <v>2952.5240837485435</v>
      </c>
      <c r="G10" s="22">
        <f>IF(INDEX(Period_Status!$B$2:$B$8,MATCH(C10,Period_Status!$A$2:$A$8,0))="ActualClosed",1,SUMIFS(tblFX[USD_per_unit],tblFX[Period],C10,tblFX[Currency],E10))</f>
        <v>1</v>
      </c>
      <c r="H10" s="10">
        <f>IF(INDEX(Period_Status!$B$2:$B$8,MATCH(C10,Period_Status!$A$2:$A$8,0))="ActualClosed",SUMIFS(tblSource[AmountUSD],tblSource[Site],B10,tblSource[Period],C10,tblSource[EventType],"GoldSale",tblSource[ReleaseStatus],"APPROVED"),D10*F10*G10)</f>
        <v>4641948.0299999993</v>
      </c>
      <c r="I10" s="10">
        <f>IF(INDEX(Period_Status!$B$2:$B$8,MATCH(C10,Period_Status!$A$2:$A$8,0))="ActualClosed",Controls!G10,(Gold_Stock!D10+Gold_Stock!E10-Gold_Stock!G10)*Forecast_Drivers!K10*SUMIFS(tblFX[USD_per_unit],tblFX[Period],C10,tblFX[Currency],Forecast_Drivers!J10))</f>
        <v>4641948.0299999993</v>
      </c>
      <c r="J10" s="12">
        <f t="shared" si="0"/>
        <v>0</v>
      </c>
    </row>
    <row r="11" spans="1:10" x14ac:dyDescent="0.25">
      <c r="A11" s="2" t="s">
        <v>12442</v>
      </c>
      <c r="B11" s="2" t="s">
        <v>199</v>
      </c>
      <c r="C11" s="6">
        <v>46235</v>
      </c>
      <c r="D11" s="20">
        <f>Gold_Stock!F11</f>
        <v>1808.0188844997547</v>
      </c>
      <c r="E11" s="10" t="str">
        <f>IF(INDEX(Period_Status!$B$2:$B$8,MATCH(C11,Period_Status!$A$2:$A$8,0))="ActualClosed","USD reporting",Forecast_Drivers!J11)</f>
        <v>AUD</v>
      </c>
      <c r="F11" s="21">
        <f>IF(INDEX(Period_Status!$B$2:$B$8,MATCH(C11,Period_Status!$A$2:$A$8,0))="ActualClosed",IFERROR(SUMIFS(tblSource[AmountUSD],tblSource[Site],B11,tblSource[Period],C11,tblSource[EventType],"GoldSale",tblSource[ReleaseStatus],"APPROVED")/SUMIFS(tblSource[QuantityOz],tblSource[Site],B11,tblSource[Period],C11,tblSource[EventType],"GoldSale",tblSource[ReleaseStatus],"APPROVED"),0),Forecast_Drivers!K11)</f>
        <v>4584.6153846153848</v>
      </c>
      <c r="G11" s="22">
        <f>Assumptions!D5</f>
        <v>0.65800000000000003</v>
      </c>
      <c r="H11" s="10">
        <f>IF(INDEX(Period_Status!$B$2:$B$8,MATCH(C11,Period_Status!$A$2:$A$8,0))="ActualClosed",SUMIFS(tblSource[AmountUSD],tblSource[Site],B11,tblSource[Period],C11,tblSource[EventType],"GoldSale",tblSource[ReleaseStatus],"APPROVED"),D11*F11*G11)</f>
        <v>5454208.8453576909</v>
      </c>
      <c r="I11" s="10">
        <f>IF(INDEX(Period_Status!$B$2:$B$8,MATCH(C11,Period_Status!$A$2:$A$8,0))="ActualClosed",Controls!G11,(Gold_Stock!D11+Gold_Stock!E11-Gold_Stock!G11)*Forecast_Drivers!K11*SUMIFS(tblFX[USD_per_unit],tblFX[Period],C11,tblFX[Currency],Forecast_Drivers!J11))</f>
        <v>5387896.2758092694</v>
      </c>
      <c r="J11" s="12">
        <f t="shared" si="0"/>
        <v>66312.569548421539</v>
      </c>
    </row>
    <row r="12" spans="1:10" x14ac:dyDescent="0.25">
      <c r="A12" s="2" t="s">
        <v>12443</v>
      </c>
      <c r="B12" s="2" t="s">
        <v>199</v>
      </c>
      <c r="C12" s="6">
        <v>46266</v>
      </c>
      <c r="D12" s="20">
        <f>Gold_Stock!F12</f>
        <v>1848.7378630288686</v>
      </c>
      <c r="E12" s="10" t="str">
        <f>IF(INDEX(Period_Status!$B$2:$B$8,MATCH(C12,Period_Status!$A$2:$A$8,0))="ActualClosed","USD reporting",Forecast_Drivers!J12)</f>
        <v>AUD</v>
      </c>
      <c r="F12" s="21">
        <f>IF(INDEX(Period_Status!$B$2:$B$8,MATCH(C12,Period_Status!$A$2:$A$8,0))="ActualClosed",IFERROR(SUMIFS(tblSource[AmountUSD],tblSource[Site],B12,tblSource[Period],C12,tblSource[EventType],"GoldSale",tblSource[ReleaseStatus],"APPROVED")/SUMIFS(tblSource[QuantityOz],tblSource[Site],B12,tblSource[Period],C12,tblSource[EventType],"GoldSale",tblSource[ReleaseStatus],"APPROVED"),0),Forecast_Drivers!K12)</f>
        <v>4623.655913978494</v>
      </c>
      <c r="G12" s="22">
        <f>IF(INDEX(Period_Status!$B$2:$B$8,MATCH(C12,Period_Status!$A$2:$A$8,0))="ActualClosed",1,SUMIFS(tblFX[USD_per_unit],tblFX[Period],C12,tblFX[Currency],E12))</f>
        <v>0.65100000000000002</v>
      </c>
      <c r="H12" s="10">
        <f>IF(INDEX(Period_Status!$B$2:$B$8,MATCH(C12,Period_Status!$A$2:$A$8,0))="ActualClosed",SUMIFS(tblSource[AmountUSD],tblSource[Site],B12,tblSource[Period],C12,tblSource[EventType],"GoldSale",tblSource[ReleaseStatus],"APPROVED"),D12*F12*G12)</f>
        <v>5564700.9677168941</v>
      </c>
      <c r="I12" s="10">
        <f>IF(INDEX(Period_Status!$B$2:$B$8,MATCH(C12,Period_Status!$A$2:$A$8,0))="ActualClosed",Controls!G12,(Gold_Stock!D12+Gold_Stock!E12-Gold_Stock!G12)*Forecast_Drivers!K12*SUMIFS(tblFX[USD_per_unit],tblFX[Period],C12,tblFX[Currency],Forecast_Drivers!J12))</f>
        <v>5564700.9677168941</v>
      </c>
      <c r="J12" s="12">
        <f t="shared" si="0"/>
        <v>0</v>
      </c>
    </row>
    <row r="13" spans="1:10" x14ac:dyDescent="0.25">
      <c r="A13" s="2" t="s">
        <v>12444</v>
      </c>
      <c r="B13" s="2" t="s">
        <v>199</v>
      </c>
      <c r="C13" s="6">
        <v>46296</v>
      </c>
      <c r="D13" s="20">
        <f>Gold_Stock!F13</f>
        <v>0</v>
      </c>
      <c r="E13" s="10" t="str">
        <f>IF(INDEX(Period_Status!$B$2:$B$8,MATCH(C13,Period_Status!$A$2:$A$8,0))="ActualClosed","USD reporting",Forecast_Drivers!J13)</f>
        <v>AUD</v>
      </c>
      <c r="F13" s="21">
        <f>IF(INDEX(Period_Status!$B$2:$B$8,MATCH(C13,Period_Status!$A$2:$A$8,0))="ActualClosed",IFERROR(SUMIFS(tblSource[AmountUSD],tblSource[Site],B13,tblSource[Period],C13,tblSource[EventType],"GoldSale",tblSource[ReleaseStatus],"APPROVED")/SUMIFS(tblSource[QuantityOz],tblSource[Site],B13,tblSource[Period],C13,tblSource[EventType],"GoldSale",tblSource[ReleaseStatus],"APPROVED"),0),Forecast_Drivers!K13)</f>
        <v>4641.221374045801</v>
      </c>
      <c r="G13" s="22">
        <f>IF(INDEX(Period_Status!$B$2:$B$8,MATCH(C13,Period_Status!$A$2:$A$8,0))="ActualClosed",1,SUMIFS(tblFX[USD_per_unit],tblFX[Period],C13,tblFX[Currency],E13))</f>
        <v>0.65500000000000003</v>
      </c>
      <c r="H13" s="10">
        <f>IF(INDEX(Period_Status!$B$2:$B$8,MATCH(C13,Period_Status!$A$2:$A$8,0))="ActualClosed",SUMIFS(tblSource[AmountUSD],tblSource[Site],B13,tblSource[Period],C13,tblSource[EventType],"GoldSale",tblSource[ReleaseStatus],"APPROVED"),D13*F13*G13)</f>
        <v>0</v>
      </c>
      <c r="I13" s="10">
        <f>IF(INDEX(Period_Status!$B$2:$B$8,MATCH(C13,Period_Status!$A$2:$A$8,0))="ActualClosed",Controls!G13,(Gold_Stock!D13+Gold_Stock!E13-Gold_Stock!G13)*Forecast_Drivers!K13*SUMIFS(tblFX[USD_per_unit],tblFX[Period],C13,tblFX[Currency],Forecast_Drivers!J13))</f>
        <v>-1053.5618577535297</v>
      </c>
      <c r="J13" s="12">
        <f t="shared" si="0"/>
        <v>1053.5618577535297</v>
      </c>
    </row>
    <row r="14" spans="1:10" x14ac:dyDescent="0.25">
      <c r="A14" s="2" t="s">
        <v>12445</v>
      </c>
      <c r="B14" s="2" t="s">
        <v>199</v>
      </c>
      <c r="C14" s="6">
        <v>46327</v>
      </c>
      <c r="D14" s="20">
        <f>Gold_Stock!F14</f>
        <v>1678.1642831646398</v>
      </c>
      <c r="E14" s="10" t="str">
        <f>IF(INDEX(Period_Status!$B$2:$B$8,MATCH(C14,Period_Status!$A$2:$A$8,0))="ActualClosed","USD reporting",Forecast_Drivers!J14)</f>
        <v>AUD</v>
      </c>
      <c r="F14" s="21">
        <f>IF(INDEX(Period_Status!$B$2:$B$8,MATCH(C14,Period_Status!$A$2:$A$8,0))="ActualClosed",IFERROR(SUMIFS(tblSource[AmountUSD],tblSource[Site],B14,tblSource[Period],C14,tblSource[EventType],"GoldSale",tblSource[ReleaseStatus],"APPROVED")/SUMIFS(tblSource[QuantityOz],tblSource[Site],B14,tblSource[Period],C14,tblSource[EventType],"GoldSale",tblSource[ReleaseStatus],"APPROVED"),0),Forecast_Drivers!K14)</f>
        <v>4637.4622356495474</v>
      </c>
      <c r="G14" s="22">
        <f>IF(INDEX(Period_Status!$B$2:$B$8,MATCH(C14,Period_Status!$A$2:$A$8,0))="ActualClosed",1,SUMIFS(tblFX[USD_per_unit],tblFX[Period],C14,tblFX[Currency],E14))</f>
        <v>0.66200000000000003</v>
      </c>
      <c r="H14" s="10">
        <f>IF(INDEX(Period_Status!$B$2:$B$8,MATCH(C14,Period_Status!$A$2:$A$8,0))="ActualClosed",SUMIFS(tblSource[AmountUSD],tblSource[Site],B14,tblSource[Period],C14,tblSource[EventType],"GoldSale",tblSource[ReleaseStatus],"APPROVED"),D14*F14*G14)</f>
        <v>5151964.3493154449</v>
      </c>
      <c r="I14" s="10">
        <f>IF(INDEX(Period_Status!$B$2:$B$8,MATCH(C14,Period_Status!$A$2:$A$8,0))="ActualClosed",Controls!G14,(Gold_Stock!D14+Gold_Stock!E14-Gold_Stock!G14)*Forecast_Drivers!K14*SUMIFS(tblFX[USD_per_unit],tblFX[Period],C14,tblFX[Currency],Forecast_Drivers!J14))</f>
        <v>5151964.3493154449</v>
      </c>
      <c r="J14" s="12">
        <f t="shared" si="0"/>
        <v>0</v>
      </c>
    </row>
    <row r="15" spans="1:10" x14ac:dyDescent="0.25">
      <c r="A15" s="2" t="s">
        <v>12446</v>
      </c>
      <c r="B15" s="2" t="s">
        <v>199</v>
      </c>
      <c r="C15" s="6">
        <v>46357</v>
      </c>
      <c r="D15" s="20">
        <f>Gold_Stock!F15</f>
        <v>2006.7907896393117</v>
      </c>
      <c r="E15" s="10" t="str">
        <f>IF(INDEX(Period_Status!$B$2:$B$8,MATCH(C15,Period_Status!$A$2:$A$8,0))="ActualClosed","USD reporting",Forecast_Drivers!J15)</f>
        <v>AUD</v>
      </c>
      <c r="F15" s="21">
        <f>IF(INDEX(Period_Status!$B$2:$B$8,MATCH(C15,Period_Status!$A$2:$A$8,0))="ActualClosed",IFERROR(SUMIFS(tblSource[AmountUSD],tblSource[Site],B15,tblSource[Period],C15,tblSource[EventType],"GoldSale",tblSource[ReleaseStatus],"APPROVED")/SUMIFS(tblSource[QuantityOz],tblSource[Site],B15,tblSource[Period],C15,tblSource[EventType],"GoldSale",tblSource[ReleaseStatus],"APPROVED"),0),Forecast_Drivers!K15)</f>
        <v>4704.0971168437027</v>
      </c>
      <c r="G15" s="22">
        <f>IF(INDEX(Period_Status!$B$2:$B$8,MATCH(C15,Period_Status!$A$2:$A$8,0))="ActualClosed",1,SUMIFS(tblFX[USD_per_unit],tblFX[Period],C15,tblFX[Currency],E15))</f>
        <v>0.65900000000000003</v>
      </c>
      <c r="H15" s="10">
        <f>IF(INDEX(Period_Status!$B$2:$B$8,MATCH(C15,Period_Status!$A$2:$A$8,0))="ActualClosed",SUMIFS(tblSource[AmountUSD],tblSource[Site],B15,tblSource[Period],C15,tblSource[EventType],"GoldSale",tblSource[ReleaseStatus],"APPROVED"),D15*F15*G15)</f>
        <v>6221051.4478818662</v>
      </c>
      <c r="I15" s="10">
        <f>IF(INDEX(Period_Status!$B$2:$B$8,MATCH(C15,Period_Status!$A$2:$A$8,0))="ActualClosed",Controls!G15,(Gold_Stock!D15+Gold_Stock!E15-Gold_Stock!G15)*Forecast_Drivers!K15*SUMIFS(tblFX[USD_per_unit],tblFX[Period],C15,tblFX[Currency],Forecast_Drivers!J15))</f>
        <v>6221051.4478818662</v>
      </c>
      <c r="J15" s="12">
        <f t="shared" si="0"/>
        <v>0</v>
      </c>
    </row>
    <row r="16" spans="1:10" x14ac:dyDescent="0.25">
      <c r="A16" s="2" t="s">
        <v>12447</v>
      </c>
      <c r="B16" s="2" t="s">
        <v>7433</v>
      </c>
      <c r="C16" s="6">
        <v>46174</v>
      </c>
      <c r="D16" s="20">
        <f>Gold_Stock!F16</f>
        <v>0</v>
      </c>
      <c r="E16" s="10" t="str">
        <f>IF(INDEX(Period_Status!$B$2:$B$8,MATCH(C16,Period_Status!$A$2:$A$8,0))="ActualClosed","USD reporting",Forecast_Drivers!J16)</f>
        <v>USD reporting</v>
      </c>
      <c r="F16" s="21">
        <f>IF(INDEX(Period_Status!$B$2:$B$8,MATCH(C16,Period_Status!$A$2:$A$8,0))="ActualClosed",IFERROR(SUMIFS(tblSource[AmountUSD],tblSource[Site],B16,tblSource[Period],C16,tblSource[EventType],"GoldSale",tblSource[ReleaseStatus],"APPROVED")/SUMIFS(tblSource[QuantityOz],tblSource[Site],B16,tblSource[Period],C16,tblSource[EventType],"GoldSale",tblSource[ReleaseStatus],"APPROVED"),0),Forecast_Drivers!K16)</f>
        <v>0</v>
      </c>
      <c r="G16" s="22">
        <f>IF(INDEX(Period_Status!$B$2:$B$8,MATCH(C16,Period_Status!$A$2:$A$8,0))="ActualClosed",1,SUMIFS(tblFX[USD_per_unit],tblFX[Period],C16,tblFX[Currency],E16))</f>
        <v>1</v>
      </c>
      <c r="H16" s="10">
        <f>IF(INDEX(Period_Status!$B$2:$B$8,MATCH(C16,Period_Status!$A$2:$A$8,0))="ActualClosed",SUMIFS(tblSource[AmountUSD],tblSource[Site],B16,tblSource[Period],C16,tblSource[EventType],"GoldSale",tblSource[ReleaseStatus],"APPROVED"),D16*F16*G16)</f>
        <v>0</v>
      </c>
      <c r="I16" s="10">
        <f>IF(INDEX(Period_Status!$B$2:$B$8,MATCH(C16,Period_Status!$A$2:$A$8,0))="ActualClosed",Controls!G16,(Gold_Stock!D16+Gold_Stock!E16-Gold_Stock!G16)*Forecast_Drivers!K16*SUMIFS(tblFX[USD_per_unit],tblFX[Period],C16,tblFX[Currency],Forecast_Drivers!J16))</f>
        <v>0</v>
      </c>
      <c r="J16" s="12">
        <f t="shared" si="0"/>
        <v>0</v>
      </c>
    </row>
    <row r="17" spans="1:10" x14ac:dyDescent="0.25">
      <c r="A17" s="2" t="s">
        <v>12448</v>
      </c>
      <c r="B17" s="2" t="s">
        <v>7433</v>
      </c>
      <c r="C17" s="6">
        <v>46204</v>
      </c>
      <c r="D17" s="20">
        <f>Gold_Stock!F17</f>
        <v>0</v>
      </c>
      <c r="E17" s="10" t="str">
        <f>IF(INDEX(Period_Status!$B$2:$B$8,MATCH(C17,Period_Status!$A$2:$A$8,0))="ActualClosed","USD reporting",Forecast_Drivers!J17)</f>
        <v>USD reporting</v>
      </c>
      <c r="F17" s="21">
        <f>IF(INDEX(Period_Status!$B$2:$B$8,MATCH(C17,Period_Status!$A$2:$A$8,0))="ActualClosed",IFERROR(SUMIFS(tblSource[AmountUSD],tblSource[Site],B17,tblSource[Period],C17,tblSource[EventType],"GoldSale",tblSource[ReleaseStatus],"APPROVED")/SUMIFS(tblSource[QuantityOz],tblSource[Site],B17,tblSource[Period],C17,tblSource[EventType],"GoldSale",tblSource[ReleaseStatus],"APPROVED"),0),Forecast_Drivers!K17)</f>
        <v>0</v>
      </c>
      <c r="G17" s="22">
        <f>IF(INDEX(Period_Status!$B$2:$B$8,MATCH(C17,Period_Status!$A$2:$A$8,0))="ActualClosed",1,SUMIFS(tblFX[USD_per_unit],tblFX[Period],C17,tblFX[Currency],E17))</f>
        <v>1</v>
      </c>
      <c r="H17" s="10">
        <f>IF(INDEX(Period_Status!$B$2:$B$8,MATCH(C17,Period_Status!$A$2:$A$8,0))="ActualClosed",SUMIFS(tblSource[AmountUSD],tblSource[Site],B17,tblSource[Period],C17,tblSource[EventType],"GoldSale",tblSource[ReleaseStatus],"APPROVED"),D17*F17*G17)</f>
        <v>0</v>
      </c>
      <c r="I17" s="10">
        <f>IF(INDEX(Period_Status!$B$2:$B$8,MATCH(C17,Period_Status!$A$2:$A$8,0))="ActualClosed",Controls!G17,(Gold_Stock!D17+Gold_Stock!E17-Gold_Stock!G17)*Forecast_Drivers!K17*SUMIFS(tblFX[USD_per_unit],tblFX[Period],C17,tblFX[Currency],Forecast_Drivers!J17))</f>
        <v>0</v>
      </c>
      <c r="J17" s="12">
        <f t="shared" si="0"/>
        <v>0</v>
      </c>
    </row>
    <row r="18" spans="1:10" x14ac:dyDescent="0.25">
      <c r="A18" s="2" t="s">
        <v>12449</v>
      </c>
      <c r="B18" s="2" t="s">
        <v>7433</v>
      </c>
      <c r="C18" s="6">
        <v>46235</v>
      </c>
      <c r="D18" s="20">
        <f>Gold_Stock!F18</f>
        <v>0</v>
      </c>
      <c r="E18" s="10" t="str">
        <f>IF(INDEX(Period_Status!$B$2:$B$8,MATCH(C18,Period_Status!$A$2:$A$8,0))="ActualClosed","USD reporting",Forecast_Drivers!J18)</f>
        <v>USD</v>
      </c>
      <c r="F18" s="21">
        <f>IF(INDEX(Period_Status!$B$2:$B$8,MATCH(C18,Period_Status!$A$2:$A$8,0))="ActualClosed",IFERROR(SUMIFS(tblSource[AmountUSD],tblSource[Site],B18,tblSource[Period],C18,tblSource[EventType],"GoldSale",tblSource[ReleaseStatus],"APPROVED")/SUMIFS(tblSource[QuantityOz],tblSource[Site],B18,tblSource[Period],C18,tblSource[EventType],"GoldSale",tblSource[ReleaseStatus],"APPROVED"),0),Forecast_Drivers!K18)</f>
        <v>2980</v>
      </c>
      <c r="G18" s="22">
        <f>IF(INDEX(Period_Status!$B$2:$B$8,MATCH(C18,Period_Status!$A$2:$A$8,0))="ActualClosed",1,SUMIFS(tblFX[USD_per_unit],tblFX[Period],C18,tblFX[Currency],E18))</f>
        <v>1</v>
      </c>
      <c r="H18" s="10">
        <f>IF(INDEX(Period_Status!$B$2:$B$8,MATCH(C18,Period_Status!$A$2:$A$8,0))="ActualClosed",SUMIFS(tblSource[AmountUSD],tblSource[Site],B18,tblSource[Period],C18,tblSource[EventType],"GoldSale",tblSource[ReleaseStatus],"APPROVED"),D18*F18*G18)</f>
        <v>0</v>
      </c>
      <c r="I18" s="10">
        <f>IF(INDEX(Period_Status!$B$2:$B$8,MATCH(C18,Period_Status!$A$2:$A$8,0))="ActualClosed",Controls!G18,(Gold_Stock!D18+Gold_Stock!E18-Gold_Stock!G18)*Forecast_Drivers!K18*SUMIFS(tblFX[USD_per_unit],tblFX[Period],C18,tblFX[Currency],Forecast_Drivers!J18))</f>
        <v>0</v>
      </c>
      <c r="J18" s="12">
        <f t="shared" si="0"/>
        <v>0</v>
      </c>
    </row>
    <row r="19" spans="1:10" x14ac:dyDescent="0.25">
      <c r="A19" s="2" t="s">
        <v>12450</v>
      </c>
      <c r="B19" s="2" t="s">
        <v>7433</v>
      </c>
      <c r="C19" s="6">
        <v>46266</v>
      </c>
      <c r="D19" s="20">
        <f>Gold_Stock!F19</f>
        <v>0</v>
      </c>
      <c r="E19" s="10" t="str">
        <f>IF(INDEX(Period_Status!$B$2:$B$8,MATCH(C19,Period_Status!$A$2:$A$8,0))="ActualClosed","USD reporting",Forecast_Drivers!J19)</f>
        <v>USD</v>
      </c>
      <c r="F19" s="21">
        <f>IF(INDEX(Period_Status!$B$2:$B$8,MATCH(C19,Period_Status!$A$2:$A$8,0))="ActualClosed",IFERROR(SUMIFS(tblSource[AmountUSD],tblSource[Site],B19,tblSource[Period],C19,tblSource[EventType],"GoldSale",tblSource[ReleaseStatus],"APPROVED")/SUMIFS(tblSource[QuantityOz],tblSource[Site],B19,tblSource[Period],C19,tblSource[EventType],"GoldSale",tblSource[ReleaseStatus],"APPROVED"),0),Forecast_Drivers!K19)</f>
        <v>3010</v>
      </c>
      <c r="G19" s="22">
        <f>IF(INDEX(Period_Status!$B$2:$B$8,MATCH(C19,Period_Status!$A$2:$A$8,0))="ActualClosed",1,SUMIFS(tblFX[USD_per_unit],tblFX[Period],C19,tblFX[Currency],E19))</f>
        <v>1</v>
      </c>
      <c r="H19" s="10">
        <f>IF(INDEX(Period_Status!$B$2:$B$8,MATCH(C19,Period_Status!$A$2:$A$8,0))="ActualClosed",SUMIFS(tblSource[AmountUSD],tblSource[Site],B19,tblSource[Period],C19,tblSource[EventType],"GoldSale",tblSource[ReleaseStatus],"APPROVED"),D19*F19*G19)</f>
        <v>0</v>
      </c>
      <c r="I19" s="10">
        <f>IF(INDEX(Period_Status!$B$2:$B$8,MATCH(C19,Period_Status!$A$2:$A$8,0))="ActualClosed",Controls!G19,(Gold_Stock!D19+Gold_Stock!E19-Gold_Stock!G19)*Forecast_Drivers!K19*SUMIFS(tblFX[USD_per_unit],tblFX[Period],C19,tblFX[Currency],Forecast_Drivers!J19))</f>
        <v>0</v>
      </c>
      <c r="J19" s="12">
        <f t="shared" si="0"/>
        <v>0</v>
      </c>
    </row>
    <row r="20" spans="1:10" x14ac:dyDescent="0.25">
      <c r="A20" s="2" t="s">
        <v>12451</v>
      </c>
      <c r="B20" s="2" t="s">
        <v>7433</v>
      </c>
      <c r="C20" s="6">
        <v>46296</v>
      </c>
      <c r="D20" s="20">
        <f>Gold_Stock!F20</f>
        <v>0</v>
      </c>
      <c r="E20" s="10" t="str">
        <f>IF(INDEX(Period_Status!$B$2:$B$8,MATCH(C20,Period_Status!$A$2:$A$8,0))="ActualClosed","USD reporting",Forecast_Drivers!J20)</f>
        <v>USD</v>
      </c>
      <c r="F20" s="21">
        <f>IF(INDEX(Period_Status!$B$2:$B$8,MATCH(C20,Period_Status!$A$2:$A$8,0))="ActualClosed",IFERROR(SUMIFS(tblSource[AmountUSD],tblSource[Site],B20,tblSource[Period],C20,tblSource[EventType],"GoldSale",tblSource[ReleaseStatus],"APPROVED")/SUMIFS(tblSource[QuantityOz],tblSource[Site],B20,tblSource[Period],C20,tblSource[EventType],"GoldSale",tblSource[ReleaseStatus],"APPROVED"),0),Forecast_Drivers!K20)</f>
        <v>3040</v>
      </c>
      <c r="G20" s="22">
        <f>IF(INDEX(Period_Status!$B$2:$B$8,MATCH(C20,Period_Status!$A$2:$A$8,0))="ActualClosed",1,SUMIFS(tblFX[USD_per_unit],tblFX[Period],C20,tblFX[Currency],E20))</f>
        <v>1</v>
      </c>
      <c r="H20" s="10">
        <f>IF(INDEX(Period_Status!$B$2:$B$8,MATCH(C20,Period_Status!$A$2:$A$8,0))="ActualClosed",SUMIFS(tblSource[AmountUSD],tblSource[Site],B20,tblSource[Period],C20,tblSource[EventType],"GoldSale",tblSource[ReleaseStatus],"APPROVED"),D20*F20*G20)</f>
        <v>0</v>
      </c>
      <c r="I20" s="10">
        <f>IF(INDEX(Period_Status!$B$2:$B$8,MATCH(C20,Period_Status!$A$2:$A$8,0))="ActualClosed",Controls!G20,(Gold_Stock!D20+Gold_Stock!E20-Gold_Stock!G20)*Forecast_Drivers!K20*SUMIFS(tblFX[USD_per_unit],tblFX[Period],C20,tblFX[Currency],Forecast_Drivers!J20))</f>
        <v>0</v>
      </c>
      <c r="J20" s="12">
        <f t="shared" si="0"/>
        <v>0</v>
      </c>
    </row>
    <row r="21" spans="1:10" x14ac:dyDescent="0.25">
      <c r="A21" s="2" t="s">
        <v>12452</v>
      </c>
      <c r="B21" s="2" t="s">
        <v>7433</v>
      </c>
      <c r="C21" s="6">
        <v>46327</v>
      </c>
      <c r="D21" s="20">
        <f>Gold_Stock!F21</f>
        <v>0</v>
      </c>
      <c r="E21" s="10" t="str">
        <f>IF(INDEX(Period_Status!$B$2:$B$8,MATCH(C21,Period_Status!$A$2:$A$8,0))="ActualClosed","USD reporting",Forecast_Drivers!J21)</f>
        <v>USD</v>
      </c>
      <c r="F21" s="21">
        <f>IF(INDEX(Period_Status!$B$2:$B$8,MATCH(C21,Period_Status!$A$2:$A$8,0))="ActualClosed",IFERROR(SUMIFS(tblSource[AmountUSD],tblSource[Site],B21,tblSource[Period],C21,tblSource[EventType],"GoldSale",tblSource[ReleaseStatus],"APPROVED")/SUMIFS(tblSource[QuantityOz],tblSource[Site],B21,tblSource[Period],C21,tblSource[EventType],"GoldSale",tblSource[ReleaseStatus],"APPROVED"),0),Forecast_Drivers!K21)</f>
        <v>3070</v>
      </c>
      <c r="G21" s="22">
        <f>IF(INDEX(Period_Status!$B$2:$B$8,MATCH(C21,Period_Status!$A$2:$A$8,0))="ActualClosed",1,SUMIFS(tblFX[USD_per_unit],tblFX[Period],C21,tblFX[Currency],E21))</f>
        <v>1</v>
      </c>
      <c r="H21" s="10">
        <f>IF(INDEX(Period_Status!$B$2:$B$8,MATCH(C21,Period_Status!$A$2:$A$8,0))="ActualClosed",SUMIFS(tblSource[AmountUSD],tblSource[Site],B21,tblSource[Period],C21,tblSource[EventType],"GoldSale",tblSource[ReleaseStatus],"APPROVED"),D21*F21*G21)</f>
        <v>0</v>
      </c>
      <c r="I21" s="10">
        <f>IF(INDEX(Period_Status!$B$2:$B$8,MATCH(C21,Period_Status!$A$2:$A$8,0))="ActualClosed",Controls!G21,(Gold_Stock!D21+Gold_Stock!E21-Gold_Stock!G21)*Forecast_Drivers!K21*SUMIFS(tblFX[USD_per_unit],tblFX[Period],C21,tblFX[Currency],Forecast_Drivers!J21))</f>
        <v>0</v>
      </c>
      <c r="J21" s="12">
        <f t="shared" si="0"/>
        <v>0</v>
      </c>
    </row>
    <row r="22" spans="1:10" x14ac:dyDescent="0.25">
      <c r="A22" s="2" t="s">
        <v>12453</v>
      </c>
      <c r="B22" s="2" t="s">
        <v>7433</v>
      </c>
      <c r="C22" s="6">
        <v>46357</v>
      </c>
      <c r="D22" s="20">
        <f>Gold_Stock!F22</f>
        <v>0</v>
      </c>
      <c r="E22" s="10" t="str">
        <f>IF(INDEX(Period_Status!$B$2:$B$8,MATCH(C22,Period_Status!$A$2:$A$8,0))="ActualClosed","USD reporting",Forecast_Drivers!J22)</f>
        <v>USD</v>
      </c>
      <c r="F22" s="21">
        <f>IF(INDEX(Period_Status!$B$2:$B$8,MATCH(C22,Period_Status!$A$2:$A$8,0))="ActualClosed",IFERROR(SUMIFS(tblSource[AmountUSD],tblSource[Site],B22,tblSource[Period],C22,tblSource[EventType],"GoldSale",tblSource[ReleaseStatus],"APPROVED")/SUMIFS(tblSource[QuantityOz],tblSource[Site],B22,tblSource[Period],C22,tblSource[EventType],"GoldSale",tblSource[ReleaseStatus],"APPROVED"),0),Forecast_Drivers!K22)</f>
        <v>3100</v>
      </c>
      <c r="G22" s="22">
        <f>IF(INDEX(Period_Status!$B$2:$B$8,MATCH(C22,Period_Status!$A$2:$A$8,0))="ActualClosed",1,SUMIFS(tblFX[USD_per_unit],tblFX[Period],C22,tblFX[Currency],E22))</f>
        <v>1</v>
      </c>
      <c r="H22" s="10">
        <f>IF(INDEX(Period_Status!$B$2:$B$8,MATCH(C22,Period_Status!$A$2:$A$8,0))="ActualClosed",SUMIFS(tblSource[AmountUSD],tblSource[Site],B22,tblSource[Period],C22,tblSource[EventType],"GoldSale",tblSource[ReleaseStatus],"APPROVED"),D22*F22*G22)</f>
        <v>0</v>
      </c>
      <c r="I22" s="10">
        <f>IF(INDEX(Period_Status!$B$2:$B$8,MATCH(C22,Period_Status!$A$2:$A$8,0))="ActualClosed",Controls!G22,(Gold_Stock!D22+Gold_Stock!E22-Gold_Stock!G22)*Forecast_Drivers!K22*SUMIFS(tblFX[USD_per_unit],tblFX[Period],C22,tblFX[Currency],Forecast_Drivers!J22))</f>
        <v>0</v>
      </c>
      <c r="J22" s="12">
        <f t="shared" si="0"/>
        <v>0</v>
      </c>
    </row>
  </sheetData>
  <pageMargins left="0.75" right="0.75" top="1" bottom="1" header="0.5" footer="0.5"/>
  <pageSetup paperSize="8"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F86"/>
    <pageSetUpPr fitToPage="1"/>
  </sheetPr>
  <dimension ref="A1:P22"/>
  <sheetViews>
    <sheetView showGridLines="0" zoomScale="85" workbookViewId="0">
      <pane ySplit="1" topLeftCell="A2" activePane="bottomLeft" state="frozen"/>
      <selection pane="bottomLeft"/>
    </sheetView>
  </sheetViews>
  <sheetFormatPr defaultRowHeight="15" x14ac:dyDescent="0.25"/>
  <cols>
    <col min="1" max="1" width="28" customWidth="1"/>
    <col min="2" max="16" width="16" customWidth="1"/>
  </cols>
  <sheetData>
    <row r="1" spans="1:16" ht="32.1" customHeight="1" x14ac:dyDescent="0.25">
      <c r="A1" s="1" t="s">
        <v>12412</v>
      </c>
      <c r="B1" s="1" t="s">
        <v>123</v>
      </c>
      <c r="C1" s="1" t="s">
        <v>61</v>
      </c>
      <c r="D1" s="1" t="s">
        <v>12423</v>
      </c>
      <c r="E1" s="1" t="s">
        <v>12424</v>
      </c>
      <c r="F1" s="1" t="s">
        <v>12425</v>
      </c>
      <c r="G1" s="1" t="s">
        <v>12426</v>
      </c>
      <c r="H1" s="1" t="s">
        <v>12427</v>
      </c>
      <c r="I1" s="1" t="s">
        <v>12428</v>
      </c>
      <c r="J1" s="1" t="s">
        <v>12429</v>
      </c>
      <c r="K1" s="1" t="s">
        <v>12430</v>
      </c>
      <c r="L1" s="1" t="s">
        <v>12431</v>
      </c>
      <c r="M1" s="1" t="s">
        <v>12432</v>
      </c>
      <c r="N1" s="1" t="s">
        <v>12486</v>
      </c>
      <c r="O1" s="1" t="s">
        <v>12487</v>
      </c>
      <c r="P1" s="1" t="s">
        <v>12485</v>
      </c>
    </row>
    <row r="2" spans="1:16" x14ac:dyDescent="0.25">
      <c r="A2" s="2" t="s">
        <v>12433</v>
      </c>
      <c r="B2" s="2" t="s">
        <v>136</v>
      </c>
      <c r="C2" s="6">
        <v>46174</v>
      </c>
      <c r="D2" s="10">
        <f>IF(INDEX(Period_Status!$B$2:$B$8,MATCH(C2,Period_Status!$A$2:$A$8,0))="ActualClosed",SUMIFS(tblSource[AmountUSD],tblSource[Site],B2,tblSource[Period],C2,tblSource[EventType],"Ledger",tblSource[ReleaseStatus],"APPROVED",tblSource[Account],"6100"),Budget!N2*Forecast_Drivers!L2)</f>
        <v>230751.91</v>
      </c>
      <c r="E2" s="10">
        <f>IF(INDEX(Period_Status!$B$2:$B$8,MATCH(C2,Period_Status!$A$2:$A$8,0))="ActualClosed",SUMIFS(tblSource[AmountUSD],tblSource[Site],B2,tblSource[Period],C2,tblSource[EventType],"Ledger",tblSource[ReleaseStatus],"APPROVED",tblSource[Account],"6110"),Budget!O2*Forecast_Drivers!L2)</f>
        <v>250447.43</v>
      </c>
      <c r="F2" s="10">
        <f>IF(INDEX(Period_Status!$B$2:$B$8,MATCH(C2,Period_Status!$A$2:$A$8,0))="ActualClosed",SUMIFS(tblSource[AmountUSD],tblSource[Site],B2,tblSource[Period],C2,tblSource[EventType],"Ledger",tblSource[ReleaseStatus],"APPROVED",tblSource[Account],"6120"),Budget!P2*Forecast_Drivers!L2)</f>
        <v>242144.89000000004</v>
      </c>
      <c r="G2" s="10">
        <f>IF(INDEX(Period_Status!$B$2:$B$8,MATCH(C2,Period_Status!$A$2:$A$8,0))="ActualClosed",SUMIFS(tblSource[AmountUSD],tblSource[Site],B2,tblSource[Period],C2,tblSource[EventType],"Ledger",tblSource[ReleaseStatus],"APPROVED",tblSource[Account],"6130"),Budget!Q2*Forecast_Drivers!L2)</f>
        <v>258416.01</v>
      </c>
      <c r="H2" s="10">
        <f>IF(INDEX(Period_Status!$B$2:$B$8,MATCH(C2,Period_Status!$A$2:$A$8,0))="ActualClosed",SUMIFS(tblSource[AmountUSD],tblSource[Site],B2,tblSource[Period],C2,tblSource[EventType],"Ledger",tblSource[ReleaseStatus],"APPROVED",tblSource[Account],"6140"),Budget!R2*Forecast_Drivers!L2)</f>
        <v>249940.46</v>
      </c>
      <c r="I2" s="10">
        <f>IF(INDEX(Period_Status!$B$2:$B$8,MATCH(C2,Period_Status!$A$2:$A$8,0))="ActualClosed",SUMIFS(tblSource[AmountUSD],tblSource[Site],B2,tblSource[Period],C2,tblSource[EventType],"Ledger",tblSource[ReleaseStatus],"APPROVED",tblSource[Account],"6150"),Budget!S2*Forecast_Drivers!L2)</f>
        <v>269462.97000000003</v>
      </c>
      <c r="J2" s="10">
        <f>IF(INDEX(Period_Status!$B$2:$B$8,MATCH(C2,Period_Status!$A$2:$A$8,0))="ActualClosed",SUMIFS(tblSource[AmountUSD],tblSource[Site],B2,tblSource[Period],C2,tblSource[EventType],"Ledger",tblSource[ReleaseStatus],"APPROVED",tblSource[Account],"6160"),Budget!T2*Forecast_Drivers!L2)</f>
        <v>246984.50999999998</v>
      </c>
      <c r="K2" s="10">
        <f>IF(INDEX(Period_Status!$B$2:$B$8,MATCH(C2,Period_Status!$A$2:$A$8,0))="ActualClosed",SUMIFS(tblSource[AmountUSD],tblSource[Site],B2,tblSource[Period],C2,tblSource[EventType],"Ledger",tblSource[ReleaseStatus],"APPROVED",tblSource[Account],"6170"),Budget!U2*Forecast_Drivers!L2)</f>
        <v>252508.96</v>
      </c>
      <c r="L2" s="10">
        <f>IF(INDEX(Period_Status!$B$2:$B$8,MATCH(C2,Period_Status!$A$2:$A$8,0))="ActualClosed",SUMIFS(tblSource[AmountUSD],tblSource[Site],B2,tblSource[Period],C2,tblSource[EventType],"Ledger",tblSource[ReleaseStatus],"APPROVED",tblSource[Account],"6180"),Budget!V2*Forecast_Drivers!L2)</f>
        <v>248989.03</v>
      </c>
      <c r="M2" s="10">
        <f>IF(INDEX(Period_Status!$B$2:$B$8,MATCH(C2,Period_Status!$A$2:$A$8,0))="ActualClosed",SUMIFS(tblSource[AmountUSD],tblSource[Site],B2,tblSource[Period],C2,tblSource[EventType],"Ledger",tblSource[ReleaseStatus],"APPROVED",tblSource[Account],"6190"),Budget!W2*Forecast_Drivers!L2)</f>
        <v>240698.36000000002</v>
      </c>
      <c r="N2" s="12">
        <f>SUM(D2:M2)</f>
        <v>2490344.5299999998</v>
      </c>
      <c r="O2" s="10">
        <f>IF(INDEX(Period_Status!$B$2:$B$8,MATCH(C2,Period_Status!$A$2:$A$8,0))="ActualClosed",Controls!D2,Budget!G2*Forecast_Drivers!L2)</f>
        <v>2490344.5299999989</v>
      </c>
      <c r="P2" s="12">
        <f t="shared" ref="P2:P22" si="0">N2-O2</f>
        <v>0</v>
      </c>
    </row>
    <row r="3" spans="1:16" x14ac:dyDescent="0.25">
      <c r="A3" s="2" t="s">
        <v>12434</v>
      </c>
      <c r="B3" s="2" t="s">
        <v>136</v>
      </c>
      <c r="C3" s="6">
        <v>46204</v>
      </c>
      <c r="D3" s="10">
        <f>IF(INDEX(Period_Status!$B$2:$B$8,MATCH(C3,Period_Status!$A$2:$A$8,0))="ActualClosed",SUMIFS(tblSource[AmountUSD],tblSource[Site],B3,tblSource[Period],C3,tblSource[EventType],"Ledger",tblSource[ReleaseStatus],"APPROVED",tblSource[Account],"6100"),Budget!N3*Forecast_Drivers!L3)</f>
        <v>235049.65999999997</v>
      </c>
      <c r="E3" s="10">
        <f>IF(INDEX(Period_Status!$B$2:$B$8,MATCH(C3,Period_Status!$A$2:$A$8,0))="ActualClosed",SUMIFS(tblSource[AmountUSD],tblSource[Site],B3,tblSource[Period],C3,tblSource[EventType],"Ledger",tblSource[ReleaseStatus],"APPROVED",tblSource[Account],"6110"),Budget!O3*Forecast_Drivers!L3)</f>
        <v>240573.13999999998</v>
      </c>
      <c r="F3" s="10">
        <f>IF(INDEX(Period_Status!$B$2:$B$8,MATCH(C3,Period_Status!$A$2:$A$8,0))="ActualClosed",SUMIFS(tblSource[AmountUSD],tblSource[Site],B3,tblSource[Period],C3,tblSource[EventType],"Ledger",tblSource[ReleaseStatus],"APPROVED",tblSource[Account],"6120"),Budget!P3*Forecast_Drivers!L3)</f>
        <v>218095.64999999997</v>
      </c>
      <c r="G3" s="10">
        <f>IF(INDEX(Period_Status!$B$2:$B$8,MATCH(C3,Period_Status!$A$2:$A$8,0))="ActualClosed",SUMIFS(tblSource[AmountUSD],tblSource[Site],B3,tblSource[Period],C3,tblSource[EventType],"Ledger",tblSource[ReleaseStatus],"APPROVED",tblSource[Account],"6130"),Budget!Q3*Forecast_Drivers!L3)</f>
        <v>241041.59</v>
      </c>
      <c r="H3" s="10">
        <f>IF(INDEX(Period_Status!$B$2:$B$8,MATCH(C3,Period_Status!$A$2:$A$8,0))="ActualClosed",SUMIFS(tblSource[AmountUSD],tblSource[Site],B3,tblSource[Period],C3,tblSource[EventType],"Ledger",tblSource[ReleaseStatus],"APPROVED",tblSource[Account],"6140"),Budget!R3*Forecast_Drivers!L3)</f>
        <v>232738.08000000002</v>
      </c>
      <c r="I3" s="10">
        <f>IF(INDEX(Period_Status!$B$2:$B$8,MATCH(C3,Period_Status!$A$2:$A$8,0))="ActualClosed",SUMIFS(tblSource[AmountUSD],tblSource[Site],B3,tblSource[Period],C3,tblSource[EventType],"Ledger",tblSource[ReleaseStatus],"APPROVED",tblSource[Account],"6150"),Budget!S3*Forecast_Drivers!L3)</f>
        <v>252433.60000000003</v>
      </c>
      <c r="J3" s="10">
        <f>IF(INDEX(Period_Status!$B$2:$B$8,MATCH(C3,Period_Status!$A$2:$A$8,0))="ActualClosed",SUMIFS(tblSource[AmountUSD],tblSource[Site],B3,tblSource[Period],C3,tblSource[EventType],"Ledger",tblSource[ReleaseStatus],"APPROVED",tblSource[Account],"6160"),Budget!T3*Forecast_Drivers!L3)</f>
        <v>259542.57</v>
      </c>
      <c r="K3" s="10">
        <f>IF(INDEX(Period_Status!$B$2:$B$8,MATCH(C3,Period_Status!$A$2:$A$8,0))="ActualClosed",SUMIFS(tblSource[AmountUSD],tblSource[Site],B3,tblSource[Period],C3,tblSource[EventType],"Ledger",tblSource[ReleaseStatus],"APPROVED",tblSource[Account],"6170"),Budget!U3*Forecast_Drivers!L3)</f>
        <v>265250.93</v>
      </c>
      <c r="L3" s="10">
        <f>IF(INDEX(Period_Status!$B$2:$B$8,MATCH(C3,Period_Status!$A$2:$A$8,0))="ActualClosed",SUMIFS(tblSource[AmountUSD],tblSource[Site],B3,tblSource[Period],C3,tblSource[EventType],"Ledger",tblSource[ReleaseStatus],"APPROVED",tblSource[Account],"6180"),Budget!V3*Forecast_Drivers!L3)</f>
        <v>252002.7</v>
      </c>
      <c r="M3" s="10">
        <f>IF(INDEX(Period_Status!$B$2:$B$8,MATCH(C3,Period_Status!$A$2:$A$8,0))="ActualClosed",SUMIFS(tblSource[AmountUSD],tblSource[Site],B3,tblSource[Period],C3,tblSource[EventType],"Ledger",tblSource[ReleaseStatus],"APPROVED",tblSource[Account],"6190"),Budget!W3*Forecast_Drivers!L3)</f>
        <v>271527.15000000002</v>
      </c>
      <c r="N3" s="12">
        <f>SUM(D3:L3)</f>
        <v>2196727.92</v>
      </c>
      <c r="O3" s="10">
        <f>IF(INDEX(Period_Status!$B$2:$B$8,MATCH(C3,Period_Status!$A$2:$A$8,0))="ActualClosed",Controls!D3,Budget!G3*Forecast_Drivers!L3)</f>
        <v>2468255.0699999998</v>
      </c>
      <c r="P3" s="12">
        <f t="shared" si="0"/>
        <v>-271527.14999999991</v>
      </c>
    </row>
    <row r="4" spans="1:16" x14ac:dyDescent="0.25">
      <c r="A4" s="2" t="s">
        <v>12435</v>
      </c>
      <c r="B4" s="2" t="s">
        <v>136</v>
      </c>
      <c r="C4" s="6">
        <v>46235</v>
      </c>
      <c r="D4" s="10">
        <f>IF(INDEX(Period_Status!$B$2:$B$8,MATCH(C4,Period_Status!$A$2:$A$8,0))="ActualClosed",SUMIFS(tblSource[AmountUSD],tblSource[Site],B4,tblSource[Period],C4,tblSource[EventType],"Ledger",tblSource[ReleaseStatus],"APPROVED",tblSource[Account],"6100"),Budget!N4*Forecast_Drivers!L4)</f>
        <v>240408</v>
      </c>
      <c r="E4" s="10">
        <f>IF(INDEX(Period_Status!$B$2:$B$8,MATCH(C4,Period_Status!$A$2:$A$8,0))="ActualClosed",SUMIFS(tblSource[AmountUSD],tblSource[Site],B4,tblSource[Period],C4,tblSource[EventType],"Ledger",tblSource[ReleaseStatus],"APPROVED",tblSource[Account],"6110"),Budget!O4*Forecast_Drivers!L4)</f>
        <v>281960</v>
      </c>
      <c r="F4" s="10">
        <f>IF(INDEX(Period_Status!$B$2:$B$8,MATCH(C4,Period_Status!$A$2:$A$8,0))="ActualClosed",SUMIFS(tblSource[AmountUSD],tblSource[Site],B4,tblSource[Period],C4,tblSource[EventType],"Ledger",tblSource[ReleaseStatus],"APPROVED",tblSource[Account],"6120"),Budget!P4*Forecast_Drivers!L4)</f>
        <v>276660</v>
      </c>
      <c r="G4" s="10">
        <f>IF(INDEX(Period_Status!$B$2:$B$8,MATCH(C4,Period_Status!$A$2:$A$8,0))="ActualClosed",SUMIFS(tblSource[AmountUSD],tblSource[Site],B4,tblSource[Period],C4,tblSource[EventType],"Ledger",tblSource[ReleaseStatus],"APPROVED",tblSource[Account],"6130"),Budget!Q4*Forecast_Drivers!L4)</f>
        <v>269255.62440000003</v>
      </c>
      <c r="H4" s="10">
        <f>IF(INDEX(Period_Status!$B$2:$B$8,MATCH(C4,Period_Status!$A$2:$A$8,0))="ActualClosed",SUMIFS(tblSource[AmountUSD],tblSource[Site],B4,tblSource[Period],C4,tblSource[EventType],"Ledger",tblSource[ReleaseStatus],"APPROVED",tblSource[Account],"6140"),Budget!R4*Forecast_Drivers!L4)</f>
        <v>281938.8</v>
      </c>
      <c r="I4" s="10">
        <f>IF(INDEX(Period_Status!$B$2:$B$8,MATCH(C4,Period_Status!$A$2:$A$8,0))="ActualClosed",SUMIFS(tblSource[AmountUSD],tblSource[Site],B4,tblSource[Period],C4,tblSource[EventType],"Ledger",tblSource[ReleaseStatus],"APPROVED",tblSource[Account],"6150"),Budget!S4*Forecast_Drivers!L4)</f>
        <v>273056</v>
      </c>
      <c r="J4" s="10">
        <f>IF(INDEX(Period_Status!$B$2:$B$8,MATCH(C4,Period_Status!$A$2:$A$8,0))="ActualClosed",SUMIFS(tblSource[AmountUSD],tblSource[Site],B4,tblSource[Period],C4,tblSource[EventType],"Ledger",tblSource[ReleaseStatus],"APPROVED",tblSource[Account],"6160"),Budget!T4*Forecast_Drivers!L4)</f>
        <v>224380.80000000002</v>
      </c>
      <c r="K4" s="10">
        <f>IF(INDEX(Period_Status!$B$2:$B$8,MATCH(C4,Period_Status!$A$2:$A$8,0))="ActualClosed",SUMIFS(tblSource[AmountUSD],tblSource[Site],B4,tblSource[Period],C4,tblSource[EventType],"Ledger",tblSource[ReleaseStatus],"APPROVED",tblSource[Account],"6170"),Budget!U4*Forecast_Drivers!L4)</f>
        <v>268455.60000000003</v>
      </c>
      <c r="L4" s="10">
        <f>IF(INDEX(Period_Status!$B$2:$B$8,MATCH(C4,Period_Status!$A$2:$A$8,0))="ActualClosed",SUMIFS(tblSource[AmountUSD],tblSource[Site],B4,tblSource[Period],C4,tblSource[EventType],"Ledger",tblSource[ReleaseStatus],"APPROVED",tblSource[Account],"6180"),Budget!V4*Forecast_Drivers!L4)</f>
        <v>259553.44440000001</v>
      </c>
      <c r="M4" s="10">
        <f>IF(INDEX(Period_Status!$B$2:$B$8,MATCH(C4,Period_Status!$A$2:$A$8,0))="ActualClosed",SUMIFS(tblSource[AmountUSD],tblSource[Site],B4,tblSource[Period],C4,tblSource[EventType],"Ledger",tblSource[ReleaseStatus],"APPROVED",tblSource[Account],"6190"),Budget!W4*Forecast_Drivers!L4)</f>
        <v>255353.788</v>
      </c>
      <c r="N4" s="12">
        <f t="shared" ref="N4:N17" si="1">SUM(D4:M4)</f>
        <v>2631022.0568000004</v>
      </c>
      <c r="O4" s="10">
        <f>IF(INDEX(Period_Status!$B$2:$B$8,MATCH(C4,Period_Status!$A$2:$A$8,0))="ActualClosed",Controls!D4,Budget!G4*Forecast_Drivers!L4)</f>
        <v>2631022.0567999999</v>
      </c>
      <c r="P4" s="12">
        <f t="shared" si="0"/>
        <v>0</v>
      </c>
    </row>
    <row r="5" spans="1:16" x14ac:dyDescent="0.25">
      <c r="A5" s="2" t="s">
        <v>12436</v>
      </c>
      <c r="B5" s="2" t="s">
        <v>136</v>
      </c>
      <c r="C5" s="6">
        <v>46266</v>
      </c>
      <c r="D5" s="10">
        <f>IF(INDEX(Period_Status!$B$2:$B$8,MATCH(C5,Period_Status!$A$2:$A$8,0))="ActualClosed",SUMIFS(tblSource[AmountUSD],tblSource[Site],B5,tblSource[Period],C5,tblSource[EventType],"Ledger",tblSource[ReleaseStatus],"APPROVED",tblSource[Account],"6100"),Budget!N5*Forecast_Drivers!L5)</f>
        <v>259819.56</v>
      </c>
      <c r="E5" s="10">
        <f>IF(INDEX(Period_Status!$B$2:$B$8,MATCH(C5,Period_Status!$A$2:$A$8,0))="ActualClosed",SUMIFS(tblSource[AmountUSD],tblSource[Site],B5,tblSource[Period],C5,tblSource[EventType],"Ledger",tblSource[ReleaseStatus],"APPROVED",tblSource[Account],"6110"),Budget!O5*Forecast_Drivers!L5)</f>
        <v>246376</v>
      </c>
      <c r="F5" s="10">
        <f>IF(INDEX(Period_Status!$B$2:$B$8,MATCH(C5,Period_Status!$A$2:$A$8,0))="ActualClosed",SUMIFS(tblSource[AmountUSD],tblSource[Site],B5,tblSource[Period],C5,tblSource[EventType],"Ledger",tblSource[ReleaseStatus],"APPROVED",tblSource[Account],"6120"),Budget!P5*Forecast_Drivers!L5)</f>
        <v>241791.26400000002</v>
      </c>
      <c r="G5" s="10">
        <f>IF(INDEX(Period_Status!$B$2:$B$8,MATCH(C5,Period_Status!$A$2:$A$8,0))="ActualClosed",SUMIFS(tblSource[AmountUSD],tblSource[Site],B5,tblSource[Period],C5,tblSource[EventType],"Ledger",tblSource[ReleaseStatus],"APPROVED",tblSource[Account],"6130"),Budget!Q5*Forecast_Drivers!L5)</f>
        <v>267240.66720000003</v>
      </c>
      <c r="H5" s="10">
        <f>IF(INDEX(Period_Status!$B$2:$B$8,MATCH(C5,Period_Status!$A$2:$A$8,0))="ActualClosed",SUMIFS(tblSource[AmountUSD],tblSource[Site],B5,tblSource[Period],C5,tblSource[EventType],"Ledger",tblSource[ReleaseStatus],"APPROVED",tblSource[Account],"6140"),Budget!R5*Forecast_Drivers!L5)</f>
        <v>234464.25599999999</v>
      </c>
      <c r="I5" s="10">
        <f>IF(INDEX(Period_Status!$B$2:$B$8,MATCH(C5,Period_Status!$A$2:$A$8,0))="ActualClosed",SUMIFS(tblSource[AmountUSD],tblSource[Site],B5,tblSource[Period],C5,tblSource[EventType],"Ledger",tblSource[ReleaseStatus],"APPROVED",tblSource[Account],"6150"),Budget!S5*Forecast_Drivers!L5)</f>
        <v>279797.44</v>
      </c>
      <c r="J5" s="10">
        <f>IF(INDEX(Period_Status!$B$2:$B$8,MATCH(C5,Period_Status!$A$2:$A$8,0))="ActualClosed",SUMIFS(tblSource[AmountUSD],tblSource[Site],B5,tblSource[Period],C5,tblSource[EventType],"Ledger",tblSource[ReleaseStatus],"APPROVED",tblSource[Account],"6160"),Budget!T5*Forecast_Drivers!L5)</f>
        <v>287769.85120000003</v>
      </c>
      <c r="K5" s="10">
        <f>IF(INDEX(Period_Status!$B$2:$B$8,MATCH(C5,Period_Status!$A$2:$A$8,0))="ActualClosed",SUMIFS(tblSource[AmountUSD],tblSource[Site],B5,tblSource[Period],C5,tblSource[EventType],"Ledger",tblSource[ReleaseStatus],"APPROVED",tblSource[Account],"6170"),Budget!U5*Forecast_Drivers!L5)</f>
        <v>267242.97600000002</v>
      </c>
      <c r="L5" s="10">
        <f>IF(INDEX(Period_Status!$B$2:$B$8,MATCH(C5,Period_Status!$A$2:$A$8,0))="ActualClosed",SUMIFS(tblSource[AmountUSD],tblSource[Site],B5,tblSource[Period],C5,tblSource[EventType],"Ledger",tblSource[ReleaseStatus],"APPROVED",tblSource[Account],"6180"),Budget!V5*Forecast_Drivers!L5)</f>
        <v>279392.5992</v>
      </c>
      <c r="M5" s="10">
        <f>IF(INDEX(Period_Status!$B$2:$B$8,MATCH(C5,Period_Status!$A$2:$A$8,0))="ActualClosed",SUMIFS(tblSource[AmountUSD],tblSource[Site],B5,tblSource[Period],C5,tblSource[EventType],"Ledger",tblSource[ReleaseStatus],"APPROVED",tblSource[Account],"6190"),Budget!W5*Forecast_Drivers!L5)</f>
        <v>301040.02240000002</v>
      </c>
      <c r="N5" s="12">
        <f t="shared" si="1"/>
        <v>2664934.6359999999</v>
      </c>
      <c r="O5" s="10">
        <f>IF(INDEX(Period_Status!$B$2:$B$8,MATCH(C5,Period_Status!$A$2:$A$8,0))="ActualClosed",Controls!D5,Budget!G5*Forecast_Drivers!L5)</f>
        <v>2664934.6359999999</v>
      </c>
      <c r="P5" s="12">
        <f t="shared" si="0"/>
        <v>0</v>
      </c>
    </row>
    <row r="6" spans="1:16" x14ac:dyDescent="0.25">
      <c r="A6" s="2" t="s">
        <v>12437</v>
      </c>
      <c r="B6" s="2" t="s">
        <v>136</v>
      </c>
      <c r="C6" s="6">
        <v>46296</v>
      </c>
      <c r="D6" s="10">
        <f>IF(INDEX(Period_Status!$B$2:$B$8,MATCH(C6,Period_Status!$A$2:$A$8,0))="ActualClosed",SUMIFS(tblSource[AmountUSD],tblSource[Site],B6,tblSource[Period],C6,tblSource[EventType],"Ledger",tblSource[ReleaseStatus],"APPROVED",tblSource[Account],"6100"),Budget!N6*Forecast_Drivers!L6)</f>
        <v>275051.7</v>
      </c>
      <c r="E6" s="10">
        <f>IF(INDEX(Period_Status!$B$2:$B$8,MATCH(C6,Period_Status!$A$2:$A$8,0))="ActualClosed",SUMIFS(tblSource[AmountUSD],tblSource[Site],B6,tblSource[Period],C6,tblSource[EventType],"Ledger",tblSource[ReleaseStatus],"APPROVED",tblSource[Account],"6110"),Budget!O6*Forecast_Drivers!L6)</f>
        <v>260820.00000000003</v>
      </c>
      <c r="F6" s="10">
        <f>IF(INDEX(Period_Status!$B$2:$B$8,MATCH(C6,Period_Status!$A$2:$A$8,0))="ActualClosed",SUMIFS(tblSource[AmountUSD],tblSource[Site],B6,tblSource[Period],C6,tblSource[EventType],"Ledger",tblSource[ReleaseStatus],"APPROVED",tblSource[Account],"6120"),Budget!P6*Forecast_Drivers!L6)</f>
        <v>255966.48</v>
      </c>
      <c r="G6" s="10">
        <f>IF(INDEX(Period_Status!$B$2:$B$8,MATCH(C6,Period_Status!$A$2:$A$8,0))="ActualClosed",SUMIFS(tblSource[AmountUSD],tblSource[Site],B6,tblSource[Period],C6,tblSource[EventType],"Ledger",tblSource[ReleaseStatus],"APPROVED",tblSource[Account],"6130"),Budget!Q6*Forecast_Drivers!L6)</f>
        <v>282907.86840000004</v>
      </c>
      <c r="H6" s="10">
        <f>IF(INDEX(Period_Status!$B$2:$B$8,MATCH(C6,Period_Status!$A$2:$A$8,0))="ActualClosed",SUMIFS(tblSource[AmountUSD],tblSource[Site],B6,tblSource[Period],C6,tblSource[EventType],"Ledger",tblSource[ReleaseStatus],"APPROVED",tblSource[Account],"6140"),Budget!R6*Forecast_Drivers!L6)</f>
        <v>248209.92000000001</v>
      </c>
      <c r="I6" s="10">
        <f>IF(INDEX(Period_Status!$B$2:$B$8,MATCH(C6,Period_Status!$A$2:$A$8,0))="ActualClosed",SUMIFS(tblSource[AmountUSD],tblSource[Site],B6,tblSource[Period],C6,tblSource[EventType],"Ledger",tblSource[ReleaseStatus],"APPROVED",tblSource[Account],"6150"),Budget!S6*Forecast_Drivers!L6)</f>
        <v>296200.80000000005</v>
      </c>
      <c r="J6" s="10">
        <f>IF(INDEX(Period_Status!$B$2:$B$8,MATCH(C6,Period_Status!$A$2:$A$8,0))="ActualClosed",SUMIFS(tblSource[AmountUSD],tblSource[Site],B6,tblSource[Period],C6,tblSource[EventType],"Ledger",tblSource[ReleaseStatus],"APPROVED",tblSource[Account],"6160"),Budget!T6*Forecast_Drivers!L6)</f>
        <v>304640.60040000005</v>
      </c>
      <c r="K6" s="10">
        <f>IF(INDEX(Period_Status!$B$2:$B$8,MATCH(C6,Period_Status!$A$2:$A$8,0))="ActualClosed",SUMIFS(tblSource[AmountUSD],tblSource[Site],B6,tblSource[Period],C6,tblSource[EventType],"Ledger",tblSource[ReleaseStatus],"APPROVED",tblSource[Account],"6170"),Budget!U6*Forecast_Drivers!L6)</f>
        <v>282910.32</v>
      </c>
      <c r="L6" s="10">
        <f>IF(INDEX(Period_Status!$B$2:$B$8,MATCH(C6,Period_Status!$A$2:$A$8,0))="ActualClosed",SUMIFS(tblSource[AmountUSD],tblSource[Site],B6,tblSource[Period],C6,tblSource[EventType],"Ledger",tblSource[ReleaseStatus],"APPROVED",tblSource[Account],"6180"),Budget!V6*Forecast_Drivers!L6)</f>
        <v>295772.22360000003</v>
      </c>
      <c r="M6" s="10">
        <f>IF(INDEX(Period_Status!$B$2:$B$8,MATCH(C6,Period_Status!$A$2:$A$8,0))="ActualClosed",SUMIFS(tblSource[AmountUSD],tblSource[Site],B6,tblSource[Period],C6,tblSource[EventType],"Ledger",tblSource[ReleaseStatus],"APPROVED",tblSource[Account],"6190"),Budget!W6*Forecast_Drivers!L6)</f>
        <v>318688.74359999999</v>
      </c>
      <c r="N6" s="12">
        <f t="shared" si="1"/>
        <v>2821168.6560000004</v>
      </c>
      <c r="O6" s="10">
        <f>IF(INDEX(Period_Status!$B$2:$B$8,MATCH(C6,Period_Status!$A$2:$A$8,0))="ActualClosed",Controls!D6,Budget!G6*Forecast_Drivers!L6)</f>
        <v>2821168.6560000004</v>
      </c>
      <c r="P6" s="12">
        <f t="shared" si="0"/>
        <v>0</v>
      </c>
    </row>
    <row r="7" spans="1:16" x14ac:dyDescent="0.25">
      <c r="A7" s="2" t="s">
        <v>12438</v>
      </c>
      <c r="B7" s="2" t="s">
        <v>136</v>
      </c>
      <c r="C7" s="6">
        <v>46327</v>
      </c>
      <c r="D7" s="10">
        <f>IF(INDEX(Period_Status!$B$2:$B$8,MATCH(C7,Period_Status!$A$2:$A$8,0))="ActualClosed",SUMIFS(tblSource[AmountUSD],tblSource[Site],B7,tblSource[Period],C7,tblSource[EventType],"Ledger",tblSource[ReleaseStatus],"APPROVED",tblSource[Account],"6100"),Budget!N7*Forecast_Drivers!L7)</f>
        <v>304157.69999999995</v>
      </c>
      <c r="E7" s="10">
        <f>IF(INDEX(Period_Status!$B$2:$B$8,MATCH(C7,Period_Status!$A$2:$A$8,0))="ActualClosed",SUMIFS(tblSource[AmountUSD],tblSource[Site],B7,tblSource[Period],C7,tblSource[EventType],"Ledger",tblSource[ReleaseStatus],"APPROVED",tblSource[Account],"6110"),Budget!O7*Forecast_Drivers!L7)</f>
        <v>288420</v>
      </c>
      <c r="F7" s="10">
        <f>IF(INDEX(Period_Status!$B$2:$B$8,MATCH(C7,Period_Status!$A$2:$A$8,0))="ActualClosed",SUMIFS(tblSource[AmountUSD],tblSource[Site],B7,tblSource[Period],C7,tblSource[EventType],"Ledger",tblSource[ReleaseStatus],"APPROVED",tblSource[Account],"6120"),Budget!P7*Forecast_Drivers!L7)</f>
        <v>283052.88</v>
      </c>
      <c r="G7" s="10">
        <f>IF(INDEX(Period_Status!$B$2:$B$8,MATCH(C7,Period_Status!$A$2:$A$8,0))="ActualClosed",SUMIFS(tblSource[AmountUSD],tblSource[Site],B7,tblSource[Period],C7,tblSource[EventType],"Ledger",tblSource[ReleaseStatus],"APPROVED",tblSource[Account],"6130"),Budget!Q7*Forecast_Drivers!L7)</f>
        <v>312845.20679999999</v>
      </c>
      <c r="H7" s="10">
        <f>IF(INDEX(Period_Status!$B$2:$B$8,MATCH(C7,Period_Status!$A$2:$A$8,0))="ActualClosed",SUMIFS(tblSource[AmountUSD],tblSource[Site],B7,tblSource[Period],C7,tblSource[EventType],"Ledger",tblSource[ReleaseStatus],"APPROVED",tblSource[Account],"6140"),Budget!R7*Forecast_Drivers!L7)</f>
        <v>274475.51999999996</v>
      </c>
      <c r="I7" s="10">
        <f>IF(INDEX(Period_Status!$B$2:$B$8,MATCH(C7,Period_Status!$A$2:$A$8,0))="ActualClosed",SUMIFS(tblSource[AmountUSD],tblSource[Site],B7,tblSource[Period],C7,tblSource[EventType],"Ledger",tblSource[ReleaseStatus],"APPROVED",tblSource[Account],"6150"),Budget!S7*Forecast_Drivers!L7)</f>
        <v>327544.8</v>
      </c>
      <c r="J7" s="10">
        <f>IF(INDEX(Period_Status!$B$2:$B$8,MATCH(C7,Period_Status!$A$2:$A$8,0))="ActualClosed",SUMIFS(tblSource[AmountUSD],tblSource[Site],B7,tblSource[Period],C7,tblSource[EventType],"Ledger",tblSource[ReleaseStatus],"APPROVED",tblSource[Account],"6160"),Budget!T7*Forecast_Drivers!L7)</f>
        <v>336877.69499999995</v>
      </c>
      <c r="K7" s="10">
        <f>IF(INDEX(Period_Status!$B$2:$B$8,MATCH(C7,Period_Status!$A$2:$A$8,0))="ActualClosed",SUMIFS(tblSource[AmountUSD],tblSource[Site],B7,tblSource[Period],C7,tblSource[EventType],"Ledger",tblSource[ReleaseStatus],"APPROVED",tblSource[Account],"6170"),Budget!U7*Forecast_Drivers!L7)</f>
        <v>312847.92</v>
      </c>
      <c r="L7" s="10">
        <f>IF(INDEX(Period_Status!$B$2:$B$8,MATCH(C7,Period_Status!$A$2:$A$8,0))="ActualClosed",SUMIFS(tblSource[AmountUSD],tblSource[Site],B7,tblSource[Period],C7,tblSource[EventType],"Ledger",tblSource[ReleaseStatus],"APPROVED",tblSource[Account],"6180"),Budget!V7*Forecast_Drivers!L7)</f>
        <v>327070.87920000002</v>
      </c>
      <c r="M7" s="10">
        <f>IF(INDEX(Period_Status!$B$2:$B$8,MATCH(C7,Period_Status!$A$2:$A$8,0))="ActualClosed",SUMIFS(tblSource[AmountUSD],tblSource[Site],B7,tblSource[Period],C7,tblSource[EventType],"Ledger",tblSource[ReleaseStatus],"APPROVED",tblSource[Account],"6190"),Budget!W7*Forecast_Drivers!L7)</f>
        <v>352412.41800000001</v>
      </c>
      <c r="N7" s="12">
        <f t="shared" si="1"/>
        <v>3119705.0189999999</v>
      </c>
      <c r="O7" s="10">
        <f>IF(INDEX(Period_Status!$B$2:$B$8,MATCH(C7,Period_Status!$A$2:$A$8,0))="ActualClosed",Controls!D7,Budget!G7*Forecast_Drivers!L7)</f>
        <v>3119705.0189999999</v>
      </c>
      <c r="P7" s="12">
        <f t="shared" si="0"/>
        <v>0</v>
      </c>
    </row>
    <row r="8" spans="1:16" x14ac:dyDescent="0.25">
      <c r="A8" s="2" t="s">
        <v>12439</v>
      </c>
      <c r="B8" s="2" t="s">
        <v>136</v>
      </c>
      <c r="C8" s="6">
        <v>46357</v>
      </c>
      <c r="D8" s="10">
        <f>IF(INDEX(Period_Status!$B$2:$B$8,MATCH(C8,Period_Status!$A$2:$A$8,0))="ActualClosed",SUMIFS(tblSource[AmountUSD],tblSource[Site],B8,tblSource[Period],C8,tblSource[EventType],"Ledger",tblSource[ReleaseStatus],"APPROVED",tblSource[Account],"6100"),Budget!N8*Forecast_Drivers!L8)</f>
        <v>272504.92499999999</v>
      </c>
      <c r="E8" s="10">
        <f>IF(INDEX(Period_Status!$B$2:$B$8,MATCH(C8,Period_Status!$A$2:$A$8,0))="ActualClosed",SUMIFS(tblSource[AmountUSD],tblSource[Site],B8,tblSource[Period],C8,tblSource[EventType],"Ledger",tblSource[ReleaseStatus],"APPROVED",tblSource[Account],"6110"),Budget!O8*Forecast_Drivers!L8)</f>
        <v>258405</v>
      </c>
      <c r="F8" s="10">
        <f>IF(INDEX(Period_Status!$B$2:$B$8,MATCH(C8,Period_Status!$A$2:$A$8,0))="ActualClosed",SUMIFS(tblSource[AmountUSD],tblSource[Site],B8,tblSource[Period],C8,tblSource[EventType],"Ledger",tblSource[ReleaseStatus],"APPROVED",tblSource[Account],"6120"),Budget!P8*Forecast_Drivers!L8)</f>
        <v>253596.42</v>
      </c>
      <c r="G8" s="10">
        <f>IF(INDEX(Period_Status!$B$2:$B$8,MATCH(C8,Period_Status!$A$2:$A$8,0))="ActualClosed",SUMIFS(tblSource[AmountUSD],tblSource[Site],B8,tblSource[Period],C8,tblSource[EventType],"Ledger",tblSource[ReleaseStatus],"APPROVED",tblSource[Account],"6130"),Budget!Q8*Forecast_Drivers!L8)</f>
        <v>280288.35450000002</v>
      </c>
      <c r="H8" s="10">
        <f>IF(INDEX(Period_Status!$B$2:$B$8,MATCH(C8,Period_Status!$A$2:$A$8,0))="ActualClosed",SUMIFS(tblSource[AmountUSD],tblSource[Site],B8,tblSource[Period],C8,tblSource[EventType],"Ledger",tblSource[ReleaseStatus],"APPROVED",tblSource[Account],"6140"),Budget!R8*Forecast_Drivers!L8)</f>
        <v>245911.68000000002</v>
      </c>
      <c r="I8" s="10">
        <f>IF(INDEX(Period_Status!$B$2:$B$8,MATCH(C8,Period_Status!$A$2:$A$8,0))="ActualClosed",SUMIFS(tblSource[AmountUSD],tblSource[Site],B8,tblSource[Period],C8,tblSource[EventType],"Ledger",tblSource[ReleaseStatus],"APPROVED",tblSource[Account],"6150"),Budget!S8*Forecast_Drivers!L8)</f>
        <v>293458.2</v>
      </c>
      <c r="J8" s="10">
        <f>IF(INDEX(Period_Status!$B$2:$B$8,MATCH(C8,Period_Status!$A$2:$A$8,0))="ActualClosed",SUMIFS(tblSource[AmountUSD],tblSource[Site],B8,tblSource[Period],C8,tblSource[EventType],"Ledger",tblSource[ReleaseStatus],"APPROVED",tblSource[Account],"6160"),Budget!T8*Forecast_Drivers!L8)</f>
        <v>301819.85399999999</v>
      </c>
      <c r="K8" s="10">
        <f>IF(INDEX(Period_Status!$B$2:$B$8,MATCH(C8,Period_Status!$A$2:$A$8,0))="ActualClosed",SUMIFS(tblSource[AmountUSD],tblSource[Site],B8,tblSource[Period],C8,tblSource[EventType],"Ledger",tblSource[ReleaseStatus],"APPROVED",tblSource[Account],"6170"),Budget!U8*Forecast_Drivers!L8)</f>
        <v>280290.77999999997</v>
      </c>
      <c r="L8" s="10">
        <f>IF(INDEX(Period_Status!$B$2:$B$8,MATCH(C8,Period_Status!$A$2:$A$8,0))="ActualClosed",SUMIFS(tblSource[AmountUSD],tblSource[Site],B8,tblSource[Period],C8,tblSource[EventType],"Ledger",tblSource[ReleaseStatus],"APPROVED",tblSource[Account],"6180"),Budget!V8*Forecast_Drivers!L8)</f>
        <v>293033.59049999999</v>
      </c>
      <c r="M8" s="10">
        <f>IF(INDEX(Period_Status!$B$2:$B$8,MATCH(C8,Period_Status!$A$2:$A$8,0))="ActualClosed",SUMIFS(tblSource[AmountUSD],tblSource[Site],B8,tblSource[Period],C8,tblSource[EventType],"Ledger",tblSource[ReleaseStatus],"APPROVED",tblSource[Account],"6190"),Budget!W8*Forecast_Drivers!L8)</f>
        <v>315737.91900000005</v>
      </c>
      <c r="N8" s="12">
        <f t="shared" si="1"/>
        <v>2795046.7230000002</v>
      </c>
      <c r="O8" s="10">
        <f>IF(INDEX(Period_Status!$B$2:$B$8,MATCH(C8,Period_Status!$A$2:$A$8,0))="ActualClosed",Controls!D8,Budget!G8*Forecast_Drivers!L8)</f>
        <v>2795046.7229999998</v>
      </c>
      <c r="P8" s="12">
        <f t="shared" si="0"/>
        <v>0</v>
      </c>
    </row>
    <row r="9" spans="1:16" x14ac:dyDescent="0.25">
      <c r="A9" s="2" t="s">
        <v>12440</v>
      </c>
      <c r="B9" s="2" t="s">
        <v>199</v>
      </c>
      <c r="C9" s="6">
        <v>46174</v>
      </c>
      <c r="D9" s="10">
        <f>IF(INDEX(Period_Status!$B$2:$B$8,MATCH(C9,Period_Status!$A$2:$A$8,0))="ActualClosed",SUMIFS(tblSource[AmountUSD],tblSource[Site],B9,tblSource[Period],C9,tblSource[EventType],"Ledger",tblSource[ReleaseStatus],"APPROVED",tblSource[Account],"6100"),Budget!N9*Forecast_Drivers!L9)</f>
        <v>256063.91000000003</v>
      </c>
      <c r="E9" s="10">
        <f>IF(INDEX(Period_Status!$B$2:$B$8,MATCH(C9,Period_Status!$A$2:$A$8,0))="ActualClosed",SUMIFS(tblSource[AmountUSD],tblSource[Site],B9,tblSource[Period],C9,tblSource[EventType],"Ledger",tblSource[ReleaseStatus],"APPROVED",tblSource[Account],"6110"),Budget!O9*Forecast_Drivers!L9)</f>
        <v>261759.43</v>
      </c>
      <c r="F9" s="10">
        <f>IF(INDEX(Period_Status!$B$2:$B$8,MATCH(C9,Period_Status!$A$2:$A$8,0))="ActualClosed",SUMIFS(tblSource[AmountUSD],tblSource[Site],B9,tblSource[Period],C9,tblSource[EventType],"Ledger",tblSource[ReleaseStatus],"APPROVED",tblSource[Account],"6120"),Budget!P9*Forecast_Drivers!L9)</f>
        <v>239456.89000000004</v>
      </c>
      <c r="G9" s="10">
        <f>IF(INDEX(Period_Status!$B$2:$B$8,MATCH(C9,Period_Status!$A$2:$A$8,0))="ActualClosed",SUMIFS(tblSource[AmountUSD],tblSource[Site],B9,tblSource[Period],C9,tblSource[EventType],"Ledger",tblSource[ReleaseStatus],"APPROVED",tblSource[Account],"6130"),Budget!Q9*Forecast_Drivers!L9)</f>
        <v>240937.01</v>
      </c>
      <c r="H9" s="10">
        <f>IF(INDEX(Period_Status!$B$2:$B$8,MATCH(C9,Period_Status!$A$2:$A$8,0))="ActualClosed",SUMIFS(tblSource[AmountUSD],tblSource[Site],B9,tblSource[Period],C9,tblSource[EventType],"Ledger",tblSource[ReleaseStatus],"APPROVED",tblSource[Account],"6140"),Budget!R9*Forecast_Drivers!L9)</f>
        <v>218461.46</v>
      </c>
      <c r="I9" s="10">
        <f>IF(INDEX(Period_Status!$B$2:$B$8,MATCH(C9,Period_Status!$A$2:$A$8,0))="ActualClosed",SUMIFS(tblSource[AmountUSD],tblSource[Site],B9,tblSource[Period],C9,tblSource[EventType],"Ledger",tblSource[ReleaseStatus],"APPROVED",tblSource[Account],"6150"),Budget!S9*Forecast_Drivers!L9)</f>
        <v>237983.97000000006</v>
      </c>
      <c r="J9" s="10">
        <f>IF(INDEX(Period_Status!$B$2:$B$8,MATCH(C9,Period_Status!$A$2:$A$8,0))="ActualClosed",SUMIFS(tblSource[AmountUSD],tblSource[Site],B9,tblSource[Period],C9,tblSource[EventType],"Ledger",tblSource[ReleaseStatus],"APPROVED",tblSource[Account],"6160"),Budget!T9*Forecast_Drivers!L9)</f>
        <v>229505.50999999998</v>
      </c>
      <c r="K9" s="10">
        <f>IF(INDEX(Period_Status!$B$2:$B$8,MATCH(C9,Period_Status!$A$2:$A$8,0))="ActualClosed",SUMIFS(tblSource[AmountUSD],tblSource[Site],B9,tblSource[Period],C9,tblSource[EventType],"Ledger",tblSource[ReleaseStatus],"APPROVED",tblSource[Account],"6170"),Budget!U9*Forecast_Drivers!L9)</f>
        <v>249029.96</v>
      </c>
      <c r="L9" s="10">
        <f>IF(INDEX(Period_Status!$B$2:$B$8,MATCH(C9,Period_Status!$A$2:$A$8,0))="ActualClosed",SUMIFS(tblSource[AmountUSD],tblSource[Site],B9,tblSource[Period],C9,tblSource[EventType],"Ledger",tblSource[ReleaseStatus],"APPROVED",tblSource[Account],"6180"),Budget!V9*Forecast_Drivers!L9)</f>
        <v>261092.03</v>
      </c>
      <c r="M9" s="10">
        <f>IF(INDEX(Period_Status!$B$2:$B$8,MATCH(C9,Period_Status!$A$2:$A$8,0))="ActualClosed",SUMIFS(tblSource[AmountUSD],tblSource[Site],B9,tblSource[Period],C9,tblSource[EventType],"Ledger",tblSource[ReleaseStatus],"APPROVED",tblSource[Account],"6190"),Budget!W9*Forecast_Drivers!L9)</f>
        <v>266801.36</v>
      </c>
      <c r="N9" s="12">
        <f t="shared" si="1"/>
        <v>2461091.5299999998</v>
      </c>
      <c r="O9" s="10">
        <f>IF(INDEX(Period_Status!$B$2:$B$8,MATCH(C9,Period_Status!$A$2:$A$8,0))="ActualClosed",Controls!D9,Budget!G9*Forecast_Drivers!L9)</f>
        <v>2461091.5299999989</v>
      </c>
      <c r="P9" s="12">
        <f t="shared" si="0"/>
        <v>0</v>
      </c>
    </row>
    <row r="10" spans="1:16" x14ac:dyDescent="0.25">
      <c r="A10" s="2" t="s">
        <v>12441</v>
      </c>
      <c r="B10" s="2" t="s">
        <v>199</v>
      </c>
      <c r="C10" s="6">
        <v>46204</v>
      </c>
      <c r="D10" s="10">
        <f>IF(INDEX(Period_Status!$B$2:$B$8,MATCH(C10,Period_Status!$A$2:$A$8,0))="ActualClosed",SUMIFS(tblSource[AmountUSD],tblSource[Site],B10,tblSource[Period],C10,tblSource[EventType],"Ledger",tblSource[ReleaseStatus],"APPROVED",tblSource[Account],"6100"),Budget!N10*Forecast_Drivers!L10)</f>
        <v>231570.65999999997</v>
      </c>
      <c r="E10" s="10">
        <f>IF(INDEX(Period_Status!$B$2:$B$8,MATCH(C10,Period_Status!$A$2:$A$8,0))="ActualClosed",SUMIFS(tblSource[AmountUSD],tblSource[Site],B10,tblSource[Period],C10,tblSource[EventType],"Ledger",tblSource[ReleaseStatus],"APPROVED",tblSource[Account],"6110"),Budget!O10*Forecast_Drivers!L10)</f>
        <v>251094.14</v>
      </c>
      <c r="F10" s="10">
        <f>IF(INDEX(Period_Status!$B$2:$B$8,MATCH(C10,Period_Status!$A$2:$A$8,0))="ActualClosed",SUMIFS(tblSource[AmountUSD],tblSource[Site],B10,tblSource[Period],C10,tblSource[EventType],"Ledger",tblSource[ReleaseStatus],"APPROVED",tblSource[Account],"6120"),Budget!P10*Forecast_Drivers!L10)</f>
        <v>242616.64999999994</v>
      </c>
      <c r="G10" s="10">
        <f>IF(INDEX(Period_Status!$B$2:$B$8,MATCH(C10,Period_Status!$A$2:$A$8,0))="ActualClosed",SUMIFS(tblSource[AmountUSD],tblSource[Site],B10,tblSource[Period],C10,tblSource[EventType],"Ledger",tblSource[ReleaseStatus],"APPROVED",tblSource[Account],"6130"),Budget!Q10*Forecast_Drivers!L10)</f>
        <v>266353.58999999997</v>
      </c>
      <c r="H10" s="10">
        <f>IF(INDEX(Period_Status!$B$2:$B$8,MATCH(C10,Period_Status!$A$2:$A$8,0))="ActualClosed",SUMIFS(tblSource[AmountUSD],tblSource[Site],B10,tblSource[Period],C10,tblSource[EventType],"Ledger",tblSource[ReleaseStatus],"APPROVED",tblSource[Account],"6140"),Budget!R10*Forecast_Drivers!L10)</f>
        <v>258050.08000000002</v>
      </c>
      <c r="I10" s="10">
        <f>IF(INDEX(Period_Status!$B$2:$B$8,MATCH(C10,Period_Status!$A$2:$A$8,0))="ActualClosed",SUMIFS(tblSource[AmountUSD],tblSource[Site],B10,tblSource[Period],C10,tblSource[EventType],"Ledger",tblSource[ReleaseStatus],"APPROVED",tblSource[Account],"6150"),Budget!S10*Forecast_Drivers!L10)</f>
        <v>263745.60000000003</v>
      </c>
      <c r="J10" s="10">
        <f>IF(INDEX(Period_Status!$B$2:$B$8,MATCH(C10,Period_Status!$A$2:$A$8,0))="ActualClosed",SUMIFS(tblSource[AmountUSD],tblSource[Site],B10,tblSource[Period],C10,tblSource[EventType],"Ledger",tblSource[ReleaseStatus],"APPROVED",tblSource[Account],"6160"),Budget!T10*Forecast_Drivers!L10)</f>
        <v>257645.57</v>
      </c>
      <c r="K10" s="10">
        <f>IF(INDEX(Period_Status!$B$2:$B$8,MATCH(C10,Period_Status!$A$2:$A$8,0))="ActualClosed",SUMIFS(tblSource[AmountUSD],tblSource[Site],B10,tblSource[Period],C10,tblSource[EventType],"Ledger",tblSource[ReleaseStatus],"APPROVED",tblSource[Account],"6170"),Budget!U10*Forecast_Drivers!L10)</f>
        <v>249353.93</v>
      </c>
      <c r="L10" s="10">
        <f>IF(INDEX(Period_Status!$B$2:$B$8,MATCH(C10,Period_Status!$A$2:$A$8,0))="ActualClosed",SUMIFS(tblSource[AmountUSD],tblSource[Site],B10,tblSource[Period],C10,tblSource[EventType],"Ledger",tblSource[ReleaseStatus],"APPROVED",tblSource[Account],"6180"),Budget!V10*Forecast_Drivers!L10)</f>
        <v>220523.7</v>
      </c>
      <c r="M10" s="10">
        <f>IF(INDEX(Period_Status!$B$2:$B$8,MATCH(C10,Period_Status!$A$2:$A$8,0))="ActualClosed",SUMIFS(tblSource[AmountUSD],tblSource[Site],B10,tblSource[Period],C10,tblSource[EventType],"Ledger",tblSource[ReleaseStatus],"APPROVED",tblSource[Account],"6190"),Budget!W10*Forecast_Drivers!L10)</f>
        <v>240048.15</v>
      </c>
      <c r="N10" s="12">
        <f t="shared" si="1"/>
        <v>2481002.0699999998</v>
      </c>
      <c r="O10" s="10">
        <f>IF(INDEX(Period_Status!$B$2:$B$8,MATCH(C10,Period_Status!$A$2:$A$8,0))="ActualClosed",Controls!D10,Budget!G10*Forecast_Drivers!L10)</f>
        <v>2481002.0699999989</v>
      </c>
      <c r="P10" s="12">
        <f t="shared" si="0"/>
        <v>0</v>
      </c>
    </row>
    <row r="11" spans="1:16" x14ac:dyDescent="0.25">
      <c r="A11" s="2" t="s">
        <v>12442</v>
      </c>
      <c r="B11" s="2" t="s">
        <v>199</v>
      </c>
      <c r="C11" s="6">
        <v>46235</v>
      </c>
      <c r="D11" s="10">
        <f>IF(INDEX(Period_Status!$B$2:$B$8,MATCH(C11,Period_Status!$A$2:$A$8,0))="ActualClosed",SUMIFS(tblSource[AmountUSD],tblSource[Site],B11,tblSource[Period],C11,tblSource[EventType],"Ledger",tblSource[ReleaseStatus],"APPROVED",tblSource[Account],"6100"),Budget!N11*Forecast_Drivers!L11)</f>
        <v>236910</v>
      </c>
      <c r="E11" s="10">
        <f>IF(INDEX(Period_Status!$B$2:$B$8,MATCH(C11,Period_Status!$A$2:$A$8,0))="ActualClosed",SUMIFS(tblSource[AmountUSD],tblSource[Site],B11,tblSource[Period],C11,tblSource[EventType],"Ledger",tblSource[ReleaseStatus],"APPROVED",tblSource[Account],"6110"),Budget!O11*Forecast_Drivers!L11)</f>
        <v>244860</v>
      </c>
      <c r="F11" s="10">
        <f>IF(INDEX(Period_Status!$B$2:$B$8,MATCH(C11,Period_Status!$A$2:$A$8,0))="ActualClosed",SUMIFS(tblSource[AmountUSD],tblSource[Site],B11,tblSource[Period],C11,tblSource[EventType],"Ledger",tblSource[ReleaseStatus],"APPROVED",tblSource[Account],"6120"),Budget!P11*Forecast_Drivers!L11)</f>
        <v>242201.52000000002</v>
      </c>
      <c r="G11" s="10">
        <f>IF(INDEX(Period_Status!$B$2:$B$8,MATCH(C11,Period_Status!$A$2:$A$8,0))="ActualClosed",SUMIFS(tblSource[AmountUSD],tblSource[Site],B11,tblSource[Period],C11,tblSource[EventType],"Ledger",tblSource[ReleaseStatus],"APPROVED",tblSource[Account],"6130"),Budget!Q11*Forecast_Drivers!L11)</f>
        <v>239384.29440000001</v>
      </c>
      <c r="H11" s="10">
        <f>IF(INDEX(Period_Status!$B$2:$B$8,MATCH(C11,Period_Status!$A$2:$A$8,0))="ActualClosed",SUMIFS(tblSource[AmountUSD],tblSource[Site],B11,tblSource[Period],C11,tblSource[EventType],"Ledger",tblSource[ReleaseStatus],"APPROVED",tblSource[Account],"6140"),Budget!R11*Forecast_Drivers!L11)</f>
        <v>280094.40000000002</v>
      </c>
      <c r="I11" s="10">
        <f>IF(INDEX(Period_Status!$B$2:$B$8,MATCH(C11,Period_Status!$A$2:$A$8,0))="ActualClosed",SUMIFS(tblSource[AmountUSD],tblSource[Site],B11,tblSource[Period],C11,tblSource[EventType],"Ledger",tblSource[ReleaseStatus],"APPROVED",tblSource[Account],"6150"),Budget!S11*Forecast_Drivers!L11)</f>
        <v>286390.8</v>
      </c>
      <c r="J11" s="10">
        <f>IF(INDEX(Period_Status!$B$2:$B$8,MATCH(C11,Period_Status!$A$2:$A$8,0))="ActualClosed",SUMIFS(tblSource[AmountUSD],tblSource[Site],B11,tblSource[Period],C11,tblSource[EventType],"Ledger",tblSource[ReleaseStatus],"APPROVED",tblSource[Account],"6160"),Budget!T11*Forecast_Drivers!L11)</f>
        <v>249605.09000000003</v>
      </c>
      <c r="K11" s="10">
        <f>IF(INDEX(Period_Status!$B$2:$B$8,MATCH(C11,Period_Status!$A$2:$A$8,0))="ActualClosed",SUMIFS(tblSource[AmountUSD],tblSource[Site],B11,tblSource[Period],C11,tblSource[EventType],"Ledger",tblSource[ReleaseStatus],"APPROVED",tblSource[Account],"6170"),Budget!U11*Forecast_Drivers!L11)</f>
        <v>296800</v>
      </c>
      <c r="L11" s="10">
        <f>IF(INDEX(Period_Status!$B$2:$B$8,MATCH(C11,Period_Status!$A$2:$A$8,0))="ActualClosed",SUMIFS(tblSource[AmountUSD],tblSource[Site],B11,tblSource[Period],C11,tblSource[EventType],"Ledger",tblSource[ReleaseStatus],"APPROVED",tblSource[Account],"6180"),Budget!V11*Forecast_Drivers!L11)</f>
        <v>287323.62120000005</v>
      </c>
      <c r="M11" s="10">
        <f>IF(INDEX(Period_Status!$B$2:$B$8,MATCH(C11,Period_Status!$A$2:$A$8,0))="ActualClosed",SUMIFS(tblSource[AmountUSD],tblSource[Site],B11,tblSource[Period],C11,tblSource[EventType],"Ledger",tblSource[ReleaseStatus],"APPROVED",tblSource[Account],"6190"),Budget!W11*Forecast_Drivers!L11)</f>
        <v>266625.02240000002</v>
      </c>
      <c r="N11" s="12">
        <f t="shared" si="1"/>
        <v>2630194.7480000001</v>
      </c>
      <c r="O11" s="10">
        <f>IF(INDEX(Period_Status!$B$2:$B$8,MATCH(C11,Period_Status!$A$2:$A$8,0))="ActualClosed",Controls!D11,Budget!G11*Forecast_Drivers!L11)</f>
        <v>2630194.7480000001</v>
      </c>
      <c r="P11" s="12">
        <f t="shared" si="0"/>
        <v>0</v>
      </c>
    </row>
    <row r="12" spans="1:16" x14ac:dyDescent="0.25">
      <c r="A12" s="2" t="s">
        <v>12443</v>
      </c>
      <c r="B12" s="2" t="s">
        <v>199</v>
      </c>
      <c r="C12" s="6">
        <v>46266</v>
      </c>
      <c r="D12" s="10">
        <f>IF(INDEX(Period_Status!$B$2:$B$8,MATCH(C12,Period_Status!$A$2:$A$8,0))="ActualClosed",SUMIFS(tblSource[AmountUSD],tblSource[Site],B12,tblSource[Period],C12,tblSource[EventType],"Ledger",tblSource[ReleaseStatus],"APPROVED",tblSource[Account],"6100"),Budget!N12*Forecast_Drivers!L12)</f>
        <v>256445.28</v>
      </c>
      <c r="E12" s="10">
        <f>IF(INDEX(Period_Status!$B$2:$B$8,MATCH(C12,Period_Status!$A$2:$A$8,0))="ActualClosed",SUMIFS(tblSource[AmountUSD],tblSource[Site],B12,tblSource[Period],C12,tblSource[EventType],"Ledger",tblSource[ReleaseStatus],"APPROVED",tblSource[Account],"6110"),Budget!O12*Forecast_Drivers!L12)</f>
        <v>250660.80000000002</v>
      </c>
      <c r="F12" s="10">
        <f>IF(INDEX(Period_Status!$B$2:$B$8,MATCH(C12,Period_Status!$A$2:$A$8,0))="ActualClosed",SUMIFS(tblSource[AmountUSD],tblSource[Site],B12,tblSource[Period],C12,tblSource[EventType],"Ledger",tblSource[ReleaseStatus],"APPROVED",tblSource[Account],"6120"),Budget!P12*Forecast_Drivers!L12)</f>
        <v>268901.1936</v>
      </c>
      <c r="G12" s="10">
        <f>IF(INDEX(Period_Status!$B$2:$B$8,MATCH(C12,Period_Status!$A$2:$A$8,0))="ActualClosed",SUMIFS(tblSource[AmountUSD],tblSource[Site],B12,tblSource[Period],C12,tblSource[EventType],"Ledger",tblSource[ReleaseStatus],"APPROVED",tblSource[Account],"6130"),Budget!Q12*Forecast_Drivers!L12)</f>
        <v>295304.13120000006</v>
      </c>
      <c r="H12" s="10">
        <f>IF(INDEX(Period_Status!$B$2:$B$8,MATCH(C12,Period_Status!$A$2:$A$8,0))="ActualClosed",SUMIFS(tblSource[AmountUSD],tblSource[Site],B12,tblSource[Period],C12,tblSource[EventType],"Ledger",tblSource[ReleaseStatus],"APPROVED",tblSource[Account],"6140"),Budget!R12*Forecast_Drivers!L12)</f>
        <v>259819.56</v>
      </c>
      <c r="I12" s="10">
        <f>IF(INDEX(Period_Status!$B$2:$B$8,MATCH(C12,Period_Status!$A$2:$A$8,0))="ActualClosed",SUMIFS(tblSource[AmountUSD],tblSource[Site],B12,tblSource[Period],C12,tblSource[EventType],"Ledger",tblSource[ReleaseStatus],"APPROVED",tblSource[Account],"6150"),Budget!S12*Forecast_Drivers!L12)</f>
        <v>292459.02399999998</v>
      </c>
      <c r="J12" s="10">
        <f>IF(INDEX(Period_Status!$B$2:$B$8,MATCH(C12,Period_Status!$A$2:$A$8,0))="ActualClosed",SUMIFS(tblSource[AmountUSD],tblSource[Site],B12,tblSource[Period],C12,tblSource[EventType],"Ledger",tblSource[ReleaseStatus],"APPROVED",tblSource[Account],"6160"),Budget!T12*Forecast_Drivers!L12)</f>
        <v>285642.1776</v>
      </c>
      <c r="K12" s="10">
        <f>IF(INDEX(Period_Status!$B$2:$B$8,MATCH(C12,Period_Status!$A$2:$A$8,0))="ActualClosed",SUMIFS(tblSource[AmountUSD],tblSource[Site],B12,tblSource[Period],C12,tblSource[EventType],"Ledger",tblSource[ReleaseStatus],"APPROVED",tblSource[Account],"6170"),Budget!U12*Forecast_Drivers!L12)</f>
        <v>251046.432</v>
      </c>
      <c r="L12" s="10">
        <f>IF(INDEX(Period_Status!$B$2:$B$8,MATCH(C12,Period_Status!$A$2:$A$8,0))="ActualClosed",SUMIFS(tblSource[AmountUSD],tblSource[Site],B12,tblSource[Period],C12,tblSource[EventType],"Ledger",tblSource[ReleaseStatus],"APPROVED",tblSource[Account],"6180"),Budget!V12*Forecast_Drivers!L12)</f>
        <v>244492.61199999999</v>
      </c>
      <c r="M12" s="10">
        <f>IF(INDEX(Period_Status!$B$2:$B$8,MATCH(C12,Period_Status!$A$2:$A$8,0))="ActualClosed",SUMIFS(tblSource[AmountUSD],tblSource[Site],B12,tblSource[Period],C12,tblSource[EventType],"Ledger",tblSource[ReleaseStatus],"APPROVED",tblSource[Account],"6190"),Budget!W12*Forecast_Drivers!L12)</f>
        <v>266139.52560000005</v>
      </c>
      <c r="N12" s="12">
        <f t="shared" si="1"/>
        <v>2670910.7360000005</v>
      </c>
      <c r="O12" s="10">
        <f>IF(INDEX(Period_Status!$B$2:$B$8,MATCH(C12,Period_Status!$A$2:$A$8,0))="ActualClosed",Controls!D12,Budget!G12*Forecast_Drivers!L12)</f>
        <v>2670910.736</v>
      </c>
      <c r="P12" s="12">
        <f t="shared" si="0"/>
        <v>0</v>
      </c>
    </row>
    <row r="13" spans="1:16" x14ac:dyDescent="0.25">
      <c r="A13" s="2" t="s">
        <v>12444</v>
      </c>
      <c r="B13" s="2" t="s">
        <v>199</v>
      </c>
      <c r="C13" s="6">
        <v>46296</v>
      </c>
      <c r="D13" s="10">
        <f>IF(INDEX(Period_Status!$B$2:$B$8,MATCH(C13,Period_Status!$A$2:$A$8,0))="ActualClosed",SUMIFS(tblSource[AmountUSD],tblSource[Site],B13,tblSource[Period],C13,tblSource[EventType],"Ledger",tblSource[ReleaseStatus],"APPROVED",tblSource[Account],"6100"),Budget!N13*Forecast_Drivers!L13)</f>
        <v>271479.60000000003</v>
      </c>
      <c r="E13" s="10">
        <f>IF(INDEX(Period_Status!$B$2:$B$8,MATCH(C13,Period_Status!$A$2:$A$8,0))="ActualClosed",SUMIFS(tblSource[AmountUSD],tblSource[Site],B13,tblSource[Period],C13,tblSource[EventType],"Ledger",tblSource[ReleaseStatus],"APPROVED",tblSource[Account],"6110"),Budget!O13*Forecast_Drivers!L13)</f>
        <v>265356</v>
      </c>
      <c r="F13" s="10">
        <f>IF(INDEX(Period_Status!$B$2:$B$8,MATCH(C13,Period_Status!$A$2:$A$8,0))="ActualClosed",SUMIFS(tblSource[AmountUSD],tblSource[Site],B13,tblSource[Period],C13,tblSource[EventType],"Ledger",tblSource[ReleaseStatus],"APPROVED",tblSource[Account],"6120"),Budget!P13*Forecast_Drivers!L13)</f>
        <v>284665.75200000004</v>
      </c>
      <c r="G13" s="10">
        <f>IF(INDEX(Period_Status!$B$2:$B$8,MATCH(C13,Period_Status!$A$2:$A$8,0))="ActualClosed",SUMIFS(tblSource[AmountUSD],tblSource[Site],B13,tblSource[Period],C13,tblSource[EventType],"Ledger",tblSource[ReleaseStatus],"APPROVED",tblSource[Account],"6130"),Budget!Q13*Forecast_Drivers!L13)</f>
        <v>312616.58400000003</v>
      </c>
      <c r="H13" s="10">
        <f>IF(INDEX(Period_Status!$B$2:$B$8,MATCH(C13,Period_Status!$A$2:$A$8,0))="ActualClosed",SUMIFS(tblSource[AmountUSD],tblSource[Site],B13,tblSource[Period],C13,tblSource[EventType],"Ledger",tblSource[ReleaseStatus],"APPROVED",tblSource[Account],"6140"),Budget!R13*Forecast_Drivers!L13)</f>
        <v>275051.7</v>
      </c>
      <c r="I13" s="10">
        <f>IF(INDEX(Period_Status!$B$2:$B$8,MATCH(C13,Period_Status!$A$2:$A$8,0))="ActualClosed",SUMIFS(tblSource[AmountUSD],tblSource[Site],B13,tblSource[Period],C13,tblSource[EventType],"Ledger",tblSource[ReleaseStatus],"APPROVED",tblSource[Account],"6150"),Budget!S13*Forecast_Drivers!L13)</f>
        <v>309604.68</v>
      </c>
      <c r="J13" s="10">
        <f>IF(INDEX(Period_Status!$B$2:$B$8,MATCH(C13,Period_Status!$A$2:$A$8,0))="ActualClosed",SUMIFS(tblSource[AmountUSD],tblSource[Site],B13,tblSource[Period],C13,tblSource[EventType],"Ledger",tblSource[ReleaseStatus],"APPROVED",tblSource[Account],"6160"),Budget!T13*Forecast_Drivers!L13)</f>
        <v>302388.18480000005</v>
      </c>
      <c r="K13" s="10">
        <f>IF(INDEX(Period_Status!$B$2:$B$8,MATCH(C13,Period_Status!$A$2:$A$8,0))="ActualClosed",SUMIFS(tblSource[AmountUSD],tblSource[Site],B13,tblSource[Period],C13,tblSource[EventType],"Ledger",tblSource[ReleaseStatus],"APPROVED",tblSource[Account],"6170"),Budget!U13*Forecast_Drivers!L13)</f>
        <v>265764.24</v>
      </c>
      <c r="L13" s="10">
        <f>IF(INDEX(Period_Status!$B$2:$B$8,MATCH(C13,Period_Status!$A$2:$A$8,0))="ActualClosed",SUMIFS(tblSource[AmountUSD],tblSource[Site],B13,tblSource[Period],C13,tblSource[EventType],"Ledger",tblSource[ReleaseStatus],"APPROVED",tblSource[Account],"6180"),Budget!V13*Forecast_Drivers!L13)</f>
        <v>258826.20120000004</v>
      </c>
      <c r="M13" s="10">
        <f>IF(INDEX(Period_Status!$B$2:$B$8,MATCH(C13,Period_Status!$A$2:$A$8,0))="ActualClosed",SUMIFS(tblSource[AmountUSD],tblSource[Site],B13,tblSource[Period],C13,tblSource[EventType],"Ledger",tblSource[ReleaseStatus],"APPROVED",tblSource[Account],"6190"),Budget!W13*Forecast_Drivers!L13)</f>
        <v>281742.1704</v>
      </c>
      <c r="N13" s="12">
        <f t="shared" si="1"/>
        <v>2827495.1124</v>
      </c>
      <c r="O13" s="10">
        <f>IF(INDEX(Period_Status!$B$2:$B$8,MATCH(C13,Period_Status!$A$2:$A$8,0))="ActualClosed",Controls!D13,Budget!G13*Forecast_Drivers!L13)</f>
        <v>2827495.1124</v>
      </c>
      <c r="P13" s="12">
        <f t="shared" si="0"/>
        <v>0</v>
      </c>
    </row>
    <row r="14" spans="1:16" x14ac:dyDescent="0.25">
      <c r="A14" s="2" t="s">
        <v>12445</v>
      </c>
      <c r="B14" s="2" t="s">
        <v>199</v>
      </c>
      <c r="C14" s="6">
        <v>46327</v>
      </c>
      <c r="D14" s="10">
        <f>IF(INDEX(Period_Status!$B$2:$B$8,MATCH(C14,Period_Status!$A$2:$A$8,0))="ActualClosed",SUMIFS(tblSource[AmountUSD],tblSource[Site],B14,tblSource[Period],C14,tblSource[EventType],"Ledger",tblSource[ReleaseStatus],"APPROVED",tblSource[Account],"6100"),Budget!N14*Forecast_Drivers!L14)</f>
        <v>300207.59999999998</v>
      </c>
      <c r="E14" s="10">
        <f>IF(INDEX(Period_Status!$B$2:$B$8,MATCH(C14,Period_Status!$A$2:$A$8,0))="ActualClosed",SUMIFS(tblSource[AmountUSD],tblSource[Site],B14,tblSource[Period],C14,tblSource[EventType],"Ledger",tblSource[ReleaseStatus],"APPROVED",tblSource[Account],"6110"),Budget!O14*Forecast_Drivers!L14)</f>
        <v>293436</v>
      </c>
      <c r="F14" s="10">
        <f>IF(INDEX(Period_Status!$B$2:$B$8,MATCH(C14,Period_Status!$A$2:$A$8,0))="ActualClosed",SUMIFS(tblSource[AmountUSD],tblSource[Site],B14,tblSource[Period],C14,tblSource[EventType],"Ledger",tblSource[ReleaseStatus],"APPROVED",tblSource[Account],"6120"),Budget!P14*Forecast_Drivers!L14)</f>
        <v>314789.11199999996</v>
      </c>
      <c r="G14" s="10">
        <f>IF(INDEX(Period_Status!$B$2:$B$8,MATCH(C14,Period_Status!$A$2:$A$8,0))="ActualClosed",SUMIFS(tblSource[AmountUSD],tblSource[Site],B14,tblSource[Period],C14,tblSource[EventType],"Ledger",tblSource[ReleaseStatus],"APPROVED",tblSource[Account],"6130"),Budget!Q14*Forecast_Drivers!L14)</f>
        <v>345697.70399999997</v>
      </c>
      <c r="H14" s="10">
        <f>IF(INDEX(Period_Status!$B$2:$B$8,MATCH(C14,Period_Status!$A$2:$A$8,0))="ActualClosed",SUMIFS(tblSource[AmountUSD],tblSource[Site],B14,tblSource[Period],C14,tblSource[EventType],"Ledger",tblSource[ReleaseStatus],"APPROVED",tblSource[Account],"6140"),Budget!R14*Forecast_Drivers!L14)</f>
        <v>304157.69999999995</v>
      </c>
      <c r="I14" s="10">
        <f>IF(INDEX(Period_Status!$B$2:$B$8,MATCH(C14,Period_Status!$A$2:$A$8,0))="ActualClosed",SUMIFS(tblSource[AmountUSD],tblSource[Site],B14,tblSource[Period],C14,tblSource[EventType],"Ledger",tblSource[ReleaseStatus],"APPROVED",tblSource[Account],"6150"),Budget!S14*Forecast_Drivers!L14)</f>
        <v>342367.07999999996</v>
      </c>
      <c r="J14" s="10">
        <f>IF(INDEX(Period_Status!$B$2:$B$8,MATCH(C14,Period_Status!$A$2:$A$8,0))="ActualClosed",SUMIFS(tblSource[AmountUSD],tblSource[Site],B14,tblSource[Period],C14,tblSource[EventType],"Ledger",tblSource[ReleaseStatus],"APPROVED",tblSource[Account],"6160"),Budget!T14*Forecast_Drivers!L14)</f>
        <v>334386.94319999998</v>
      </c>
      <c r="K14" s="10">
        <f>IF(INDEX(Period_Status!$B$2:$B$8,MATCH(C14,Period_Status!$A$2:$A$8,0))="ActualClosed",SUMIFS(tblSource[AmountUSD],tblSource[Site],B14,tblSource[Period],C14,tblSource[EventType],"Ledger",tblSource[ReleaseStatus],"APPROVED",tblSource[Account],"6170"),Budget!U14*Forecast_Drivers!L14)</f>
        <v>293887.44</v>
      </c>
      <c r="L14" s="10">
        <f>IF(INDEX(Period_Status!$B$2:$B$8,MATCH(C14,Period_Status!$A$2:$A$8,0))="ActualClosed",SUMIFS(tblSource[AmountUSD],tblSource[Site],B14,tblSource[Period],C14,tblSource[EventType],"Ledger",tblSource[ReleaseStatus],"APPROVED",tblSource[Account],"6180"),Budget!V14*Forecast_Drivers!L14)</f>
        <v>286215.21720000001</v>
      </c>
      <c r="M14" s="10">
        <f>IF(INDEX(Period_Status!$B$2:$B$8,MATCH(C14,Period_Status!$A$2:$A$8,0))="ActualClosed",SUMIFS(tblSource[AmountUSD],tblSource[Site],B14,tblSource[Period],C14,tblSource[EventType],"Ledger",tblSource[ReleaseStatus],"APPROVED",tblSource[Account],"6190"),Budget!W14*Forecast_Drivers!L14)</f>
        <v>311556.16319999995</v>
      </c>
      <c r="N14" s="12">
        <f t="shared" si="1"/>
        <v>3126700.9595999997</v>
      </c>
      <c r="O14" s="10">
        <f>IF(INDEX(Period_Status!$B$2:$B$8,MATCH(C14,Period_Status!$A$2:$A$8,0))="ActualClosed",Controls!D14,Budget!G14*Forecast_Drivers!L14)</f>
        <v>3126700.9595999997</v>
      </c>
      <c r="P14" s="12">
        <f t="shared" si="0"/>
        <v>0</v>
      </c>
    </row>
    <row r="15" spans="1:16" x14ac:dyDescent="0.25">
      <c r="A15" s="2" t="s">
        <v>12446</v>
      </c>
      <c r="B15" s="2" t="s">
        <v>199</v>
      </c>
      <c r="C15" s="6">
        <v>46357</v>
      </c>
      <c r="D15" s="10">
        <f>IF(INDEX(Period_Status!$B$2:$B$8,MATCH(C15,Period_Status!$A$2:$A$8,0))="ActualClosed",SUMIFS(tblSource[AmountUSD],tblSource[Site],B15,tblSource[Period],C15,tblSource[EventType],"Ledger",tblSource[ReleaseStatus],"APPROVED",tblSource[Account],"6100"),Budget!N15*Forecast_Drivers!L15)</f>
        <v>268965.90000000002</v>
      </c>
      <c r="E15" s="10">
        <f>IF(INDEX(Period_Status!$B$2:$B$8,MATCH(C15,Period_Status!$A$2:$A$8,0))="ActualClosed",SUMIFS(tblSource[AmountUSD],tblSource[Site],B15,tblSource[Period],C15,tblSource[EventType],"Ledger",tblSource[ReleaseStatus],"APPROVED",tblSource[Account],"6110"),Budget!O15*Forecast_Drivers!L15)</f>
        <v>262899</v>
      </c>
      <c r="F15" s="10">
        <f>IF(INDEX(Period_Status!$B$2:$B$8,MATCH(C15,Period_Status!$A$2:$A$8,0))="ActualClosed",SUMIFS(tblSource[AmountUSD],tblSource[Site],B15,tblSource[Period],C15,tblSource[EventType],"Ledger",tblSource[ReleaseStatus],"APPROVED",tblSource[Account],"6120"),Budget!P15*Forecast_Drivers!L15)</f>
        <v>282029.95800000004</v>
      </c>
      <c r="G15" s="10">
        <f>IF(INDEX(Period_Status!$B$2:$B$8,MATCH(C15,Period_Status!$A$2:$A$8,0))="ActualClosed",SUMIFS(tblSource[AmountUSD],tblSource[Site],B15,tblSource[Period],C15,tblSource[EventType],"Ledger",tblSource[ReleaseStatus],"APPROVED",tblSource[Account],"6130"),Budget!Q15*Forecast_Drivers!L15)</f>
        <v>309721.98600000003</v>
      </c>
      <c r="H15" s="10">
        <f>IF(INDEX(Period_Status!$B$2:$B$8,MATCH(C15,Period_Status!$A$2:$A$8,0))="ActualClosed",SUMIFS(tblSource[AmountUSD],tblSource[Site],B15,tblSource[Period],C15,tblSource[EventType],"Ledger",tblSource[ReleaseStatus],"APPROVED",tblSource[Account],"6140"),Budget!R15*Forecast_Drivers!L15)</f>
        <v>272504.92499999999</v>
      </c>
      <c r="I15" s="10">
        <f>IF(INDEX(Period_Status!$B$2:$B$8,MATCH(C15,Period_Status!$A$2:$A$8,0))="ActualClosed",SUMIFS(tblSource[AmountUSD],tblSource[Site],B15,tblSource[Period],C15,tblSource[EventType],"Ledger",tblSource[ReleaseStatus],"APPROVED",tblSource[Account],"6150"),Budget!S15*Forecast_Drivers!L15)</f>
        <v>306737.97000000003</v>
      </c>
      <c r="J15" s="10">
        <f>IF(INDEX(Period_Status!$B$2:$B$8,MATCH(C15,Period_Status!$A$2:$A$8,0))="ActualClosed",SUMIFS(tblSource[AmountUSD],tblSource[Site],B15,tblSource[Period],C15,tblSource[EventType],"Ledger",tblSource[ReleaseStatus],"APPROVED",tblSource[Account],"6160"),Budget!T15*Forecast_Drivers!L15)</f>
        <v>299588.29950000002</v>
      </c>
      <c r="K15" s="10">
        <f>IF(INDEX(Period_Status!$B$2:$B$8,MATCH(C15,Period_Status!$A$2:$A$8,0))="ActualClosed",SUMIFS(tblSource[AmountUSD],tblSource[Site],B15,tblSource[Period],C15,tblSource[EventType],"Ledger",tblSource[ReleaseStatus],"APPROVED",tblSource[Account],"6170"),Budget!U15*Forecast_Drivers!L15)</f>
        <v>263303.46000000002</v>
      </c>
      <c r="L15" s="10">
        <f>IF(INDEX(Period_Status!$B$2:$B$8,MATCH(C15,Period_Status!$A$2:$A$8,0))="ActualClosed",SUMIFS(tblSource[AmountUSD],tblSource[Site],B15,tblSource[Period],C15,tblSource[EventType],"Ledger",tblSource[ReleaseStatus],"APPROVED",tblSource[Account],"6180"),Budget!V15*Forecast_Drivers!L15)</f>
        <v>256429.66650000002</v>
      </c>
      <c r="M15" s="10">
        <f>IF(INDEX(Period_Status!$B$2:$B$8,MATCH(C15,Period_Status!$A$2:$A$8,0))="ActualClosed",SUMIFS(tblSource[AmountUSD],tblSource[Site],B15,tblSource[Period],C15,tblSource[EventType],"Ledger",tblSource[ReleaseStatus],"APPROVED",tblSource[Account],"6190"),Budget!W15*Forecast_Drivers!L15)</f>
        <v>279133.44900000002</v>
      </c>
      <c r="N15" s="12">
        <f t="shared" si="1"/>
        <v>2801314.6140000001</v>
      </c>
      <c r="O15" s="10">
        <f>IF(INDEX(Period_Status!$B$2:$B$8,MATCH(C15,Period_Status!$A$2:$A$8,0))="ActualClosed",Controls!D15,Budget!G15*Forecast_Drivers!L15)</f>
        <v>2801314.6140000005</v>
      </c>
      <c r="P15" s="12">
        <f t="shared" si="0"/>
        <v>0</v>
      </c>
    </row>
    <row r="16" spans="1:16" x14ac:dyDescent="0.25">
      <c r="A16" s="2" t="s">
        <v>12447</v>
      </c>
      <c r="B16" s="2" t="s">
        <v>7433</v>
      </c>
      <c r="C16" s="6">
        <v>46174</v>
      </c>
      <c r="D16" s="10">
        <f>IF(INDEX(Period_Status!$B$2:$B$8,MATCH(C16,Period_Status!$A$2:$A$8,0))="ActualClosed",SUMIFS(tblSource[AmountUSD],tblSource[Site],B16,tblSource[Period],C16,tblSource[EventType],"Ledger",tblSource[ReleaseStatus],"APPROVED",tblSource[Account],"6100"),Budget!N16*Forecast_Drivers!L16)</f>
        <v>0</v>
      </c>
      <c r="E16" s="10">
        <f>IF(INDEX(Period_Status!$B$2:$B$8,MATCH(C16,Period_Status!$A$2:$A$8,0))="ActualClosed",SUMIFS(tblSource[AmountUSD],tblSource[Site],B16,tblSource[Period],C16,tblSource[EventType],"Ledger",tblSource[ReleaseStatus],"APPROVED",tblSource[Account],"6110"),Budget!O16*Forecast_Drivers!L16)</f>
        <v>0</v>
      </c>
      <c r="F16" s="10">
        <f>IF(INDEX(Period_Status!$B$2:$B$8,MATCH(C16,Period_Status!$A$2:$A$8,0))="ActualClosed",SUMIFS(tblSource[AmountUSD],tblSource[Site],B16,tblSource[Period],C16,tblSource[EventType],"Ledger",tblSource[ReleaseStatus],"APPROVED",tblSource[Account],"6120"),Budget!P16*Forecast_Drivers!L16)</f>
        <v>0</v>
      </c>
      <c r="G16" s="10">
        <f>IF(INDEX(Period_Status!$B$2:$B$8,MATCH(C16,Period_Status!$A$2:$A$8,0))="ActualClosed",SUMIFS(tblSource[AmountUSD],tblSource[Site],B16,tblSource[Period],C16,tblSource[EventType],"Ledger",tblSource[ReleaseStatus],"APPROVED",tblSource[Account],"6130"),Budget!Q16*Forecast_Drivers!L16)</f>
        <v>0</v>
      </c>
      <c r="H16" s="10">
        <f>IF(INDEX(Period_Status!$B$2:$B$8,MATCH(C16,Period_Status!$A$2:$A$8,0))="ActualClosed",SUMIFS(tblSource[AmountUSD],tblSource[Site],B16,tblSource[Period],C16,tblSource[EventType],"Ledger",tblSource[ReleaseStatus],"APPROVED",tblSource[Account],"6140"),Budget!R16*Forecast_Drivers!L16)</f>
        <v>0</v>
      </c>
      <c r="I16" s="10">
        <f>IF(INDEX(Period_Status!$B$2:$B$8,MATCH(C16,Period_Status!$A$2:$A$8,0))="ActualClosed",SUMIFS(tblSource[AmountUSD],tblSource[Site],B16,tblSource[Period],C16,tblSource[EventType],"Ledger",tblSource[ReleaseStatus],"APPROVED",tblSource[Account],"6150"),Budget!S16*Forecast_Drivers!L16)</f>
        <v>0</v>
      </c>
      <c r="J16" s="10">
        <f>IF(INDEX(Period_Status!$B$2:$B$8,MATCH(C16,Period_Status!$A$2:$A$8,0))="ActualClosed",SUMIFS(tblSource[AmountUSD],tblSource[Site],B16,tblSource[Period],C16,tblSource[EventType],"Ledger",tblSource[ReleaseStatus],"APPROVED",tblSource[Account],"6160"),Budget!T16*Forecast_Drivers!L16)</f>
        <v>0</v>
      </c>
      <c r="K16" s="10">
        <f>IF(INDEX(Period_Status!$B$2:$B$8,MATCH(C16,Period_Status!$A$2:$A$8,0))="ActualClosed",SUMIFS(tblSource[AmountUSD],tblSource[Site],B16,tblSource[Period],C16,tblSource[EventType],"Ledger",tblSource[ReleaseStatus],"APPROVED",tblSource[Account],"6170"),Budget!U16*Forecast_Drivers!L16)</f>
        <v>0</v>
      </c>
      <c r="L16" s="10">
        <f>IF(INDEX(Period_Status!$B$2:$B$8,MATCH(C16,Period_Status!$A$2:$A$8,0))="ActualClosed",SUMIFS(tblSource[AmountUSD],tblSource[Site],B16,tblSource[Period],C16,tblSource[EventType],"Ledger",tblSource[ReleaseStatus],"APPROVED",tblSource[Account],"6180"),Budget!V16*Forecast_Drivers!L16)</f>
        <v>0</v>
      </c>
      <c r="M16" s="10">
        <f>IF(INDEX(Period_Status!$B$2:$B$8,MATCH(C16,Period_Status!$A$2:$A$8,0))="ActualClosed",SUMIFS(tblSource[AmountUSD],tblSource[Site],B16,tblSource[Period],C16,tblSource[EventType],"Ledger",tblSource[ReleaseStatus],"APPROVED",tblSource[Account],"6190"),Budget!W16*Forecast_Drivers!L16)</f>
        <v>0</v>
      </c>
      <c r="N16" s="12">
        <f t="shared" si="1"/>
        <v>0</v>
      </c>
      <c r="O16" s="10">
        <f>IF(INDEX(Period_Status!$B$2:$B$8,MATCH(C16,Period_Status!$A$2:$A$8,0))="ActualClosed",Controls!D16,Budget!G16*Forecast_Drivers!L16)</f>
        <v>0</v>
      </c>
      <c r="P16" s="12">
        <f t="shared" si="0"/>
        <v>0</v>
      </c>
    </row>
    <row r="17" spans="1:16" x14ac:dyDescent="0.25">
      <c r="A17" s="2" t="s">
        <v>12448</v>
      </c>
      <c r="B17" s="2" t="s">
        <v>7433</v>
      </c>
      <c r="C17" s="6">
        <v>46204</v>
      </c>
      <c r="D17" s="10">
        <f>IF(INDEX(Period_Status!$B$2:$B$8,MATCH(C17,Period_Status!$A$2:$A$8,0))="ActualClosed",SUMIFS(tblSource[AmountUSD],tblSource[Site],B17,tblSource[Period],C17,tblSource[EventType],"Ledger",tblSource[ReleaseStatus],"APPROVED",tblSource[Account],"6100"),Budget!N17*Forecast_Drivers!L17)</f>
        <v>0</v>
      </c>
      <c r="E17" s="10">
        <f>IF(INDEX(Period_Status!$B$2:$B$8,MATCH(C17,Period_Status!$A$2:$A$8,0))="ActualClosed",SUMIFS(tblSource[AmountUSD],tblSource[Site],B17,tblSource[Period],C17,tblSource[EventType],"Ledger",tblSource[ReleaseStatus],"APPROVED",tblSource[Account],"6110"),Budget!O17*Forecast_Drivers!L17)</f>
        <v>0</v>
      </c>
      <c r="F17" s="10">
        <f>IF(INDEX(Period_Status!$B$2:$B$8,MATCH(C17,Period_Status!$A$2:$A$8,0))="ActualClosed",SUMIFS(tblSource[AmountUSD],tblSource[Site],B17,tblSource[Period],C17,tblSource[EventType],"Ledger",tblSource[ReleaseStatus],"APPROVED",tblSource[Account],"6120"),Budget!P17*Forecast_Drivers!L17)</f>
        <v>0</v>
      </c>
      <c r="G17" s="10">
        <f>IF(INDEX(Period_Status!$B$2:$B$8,MATCH(C17,Period_Status!$A$2:$A$8,0))="ActualClosed",SUMIFS(tblSource[AmountUSD],tblSource[Site],B17,tblSource[Period],C17,tblSource[EventType],"Ledger",tblSource[ReleaseStatus],"APPROVED",tblSource[Account],"6130"),Budget!Q17*Forecast_Drivers!L17)</f>
        <v>0</v>
      </c>
      <c r="H17" s="10">
        <f>IF(INDEX(Period_Status!$B$2:$B$8,MATCH(C17,Period_Status!$A$2:$A$8,0))="ActualClosed",SUMIFS(tblSource[AmountUSD],tblSource[Site],B17,tblSource[Period],C17,tblSource[EventType],"Ledger",tblSource[ReleaseStatus],"APPROVED",tblSource[Account],"6140"),Budget!R17*Forecast_Drivers!L17)</f>
        <v>0</v>
      </c>
      <c r="I17" s="10">
        <f>IF(INDEX(Period_Status!$B$2:$B$8,MATCH(C17,Period_Status!$A$2:$A$8,0))="ActualClosed",SUMIFS(tblSource[AmountUSD],tblSource[Site],B17,tblSource[Period],C17,tblSource[EventType],"Ledger",tblSource[ReleaseStatus],"APPROVED",tblSource[Account],"6150"),Budget!S17*Forecast_Drivers!L17)</f>
        <v>0</v>
      </c>
      <c r="J17" s="10">
        <f>IF(INDEX(Period_Status!$B$2:$B$8,MATCH(C17,Period_Status!$A$2:$A$8,0))="ActualClosed",SUMIFS(tblSource[AmountUSD],tblSource[Site],B17,tblSource[Period],C17,tblSource[EventType],"Ledger",tblSource[ReleaseStatus],"APPROVED",tblSource[Account],"6160"),Budget!T17*Forecast_Drivers!L17)</f>
        <v>0</v>
      </c>
      <c r="K17" s="10">
        <f>IF(INDEX(Period_Status!$B$2:$B$8,MATCH(C17,Period_Status!$A$2:$A$8,0))="ActualClosed",SUMIFS(tblSource[AmountUSD],tblSource[Site],B17,tblSource[Period],C17,tblSource[EventType],"Ledger",tblSource[ReleaseStatus],"APPROVED",tblSource[Account],"6170"),Budget!U17*Forecast_Drivers!L17)</f>
        <v>0</v>
      </c>
      <c r="L17" s="10">
        <f>IF(INDEX(Period_Status!$B$2:$B$8,MATCH(C17,Period_Status!$A$2:$A$8,0))="ActualClosed",SUMIFS(tblSource[AmountUSD],tblSource[Site],B17,tblSource[Period],C17,tblSource[EventType],"Ledger",tblSource[ReleaseStatus],"APPROVED",tblSource[Account],"6180"),Budget!V17*Forecast_Drivers!L17)</f>
        <v>0</v>
      </c>
      <c r="M17" s="10">
        <f>IF(INDEX(Period_Status!$B$2:$B$8,MATCH(C17,Period_Status!$A$2:$A$8,0))="ActualClosed",SUMIFS(tblSource[AmountUSD],tblSource[Site],B17,tblSource[Period],C17,tblSource[EventType],"Ledger",tblSource[ReleaseStatus],"APPROVED",tblSource[Account],"6190"),Budget!W17*Forecast_Drivers!L17)</f>
        <v>0</v>
      </c>
      <c r="N17" s="12">
        <f t="shared" si="1"/>
        <v>0</v>
      </c>
      <c r="O17" s="10">
        <f>IF(INDEX(Period_Status!$B$2:$B$8,MATCH(C17,Period_Status!$A$2:$A$8,0))="ActualClosed",Controls!D17,Budget!G17*Forecast_Drivers!L17)</f>
        <v>0</v>
      </c>
      <c r="P17" s="12">
        <f t="shared" si="0"/>
        <v>0</v>
      </c>
    </row>
    <row r="18" spans="1:16" x14ac:dyDescent="0.25">
      <c r="A18" s="2" t="s">
        <v>12449</v>
      </c>
      <c r="B18" s="2" t="s">
        <v>7433</v>
      </c>
      <c r="C18" s="6">
        <v>46235</v>
      </c>
      <c r="D18" s="10">
        <f>IF(INDEX(Period_Status!$B$2:$B$8,MATCH(C18,Period_Status!$A$2:$A$8,0))="ActualClosed",SUMIFS(tblSource[AmountUSD],tblSource[Site],B18,tblSource[Period],C18,tblSource[EventType],"Ledger",tblSource[ReleaseStatus],"APPROVED",tblSource[Account],"6100"),Budget!N18*Forecast_Drivers!L18)</f>
        <v>0</v>
      </c>
      <c r="E18" s="10">
        <f>IF(INDEX(Period_Status!$B$2:$B$8,MATCH(C18,Period_Status!$A$2:$A$8,0))="ActualClosed",SUMIFS(tblSource[AmountUSD],tblSource[Site],B18,tblSource[Period],C18,tblSource[EventType],"Ledger",tblSource[ReleaseStatus],"APPROVED",tblSource[Account],"6110"),Budget!O18*Forecast_Drivers!L18)</f>
        <v>0</v>
      </c>
      <c r="F18" s="10">
        <f>IF(INDEX(Period_Status!$B$2:$B$8,MATCH(C18,Period_Status!$A$2:$A$8,0))="ActualClosed",SUMIFS(tblSource[AmountUSD],tblSource[Site],B18,tblSource[Period],C18,tblSource[EventType],"Ledger",tblSource[ReleaseStatus],"APPROVED",tblSource[Account],"6120"),Budget!P18*Forecast_Drivers!L18)</f>
        <v>0</v>
      </c>
      <c r="G18" s="10">
        <f>IF(INDEX(Period_Status!$B$2:$B$8,MATCH(C18,Period_Status!$A$2:$A$8,0))="ActualClosed",SUMIFS(tblSource[AmountUSD],tblSource[Site],B18,tblSource[Period],C18,tblSource[EventType],"Ledger",tblSource[ReleaseStatus],"APPROVED",tblSource[Account],"6130"),Budget!Q18*Forecast_Drivers!L18)</f>
        <v>0</v>
      </c>
      <c r="H18" s="10">
        <f>IF(INDEX(Period_Status!$B$2:$B$8,MATCH(C18,Period_Status!$A$2:$A$8,0))="ActualClosed",SUMIFS(tblSource[AmountUSD],tblSource[Site],B18,tblSource[Period],C18,tblSource[EventType],"Ledger",tblSource[ReleaseStatus],"APPROVED",tblSource[Account],"6140"),Budget!R18*Forecast_Drivers!L18)</f>
        <v>0</v>
      </c>
      <c r="I18" s="10">
        <f>IF(INDEX(Period_Status!$B$2:$B$8,MATCH(C18,Period_Status!$A$2:$A$8,0))="ActualClosed",SUMIFS(tblSource[AmountUSD],tblSource[Site],B18,tblSource[Period],C18,tblSource[EventType],"Ledger",tblSource[ReleaseStatus],"APPROVED",tblSource[Account],"6150"),Budget!S18*Forecast_Drivers!L18)</f>
        <v>0</v>
      </c>
      <c r="J18" s="10">
        <f>IF(INDEX(Period_Status!$B$2:$B$8,MATCH(C18,Period_Status!$A$2:$A$8,0))="ActualClosed",SUMIFS(tblSource[AmountUSD],tblSource[Site],B18,tblSource[Period],C18,tblSource[EventType],"Ledger",tblSource[ReleaseStatus],"APPROVED",tblSource[Account],"6160"),Budget!T18*Forecast_Drivers!L18)</f>
        <v>0</v>
      </c>
      <c r="K18" s="10">
        <f>IF(INDEX(Period_Status!$B$2:$B$8,MATCH(C18,Period_Status!$A$2:$A$8,0))="ActualClosed",SUMIFS(tblSource[AmountUSD],tblSource[Site],B18,tblSource[Period],C18,tblSource[EventType],"Ledger",tblSource[ReleaseStatus],"APPROVED",tblSource[Account],"6170"),Budget!U18*Forecast_Drivers!L18)</f>
        <v>0</v>
      </c>
      <c r="L18" s="10">
        <f>IF(INDEX(Period_Status!$B$2:$B$8,MATCH(C18,Period_Status!$A$2:$A$8,0))="ActualClosed",SUMIFS(tblSource[AmountUSD],tblSource[Site],B18,tblSource[Period],C18,tblSource[EventType],"Ledger",tblSource[ReleaseStatus],"APPROVED",tblSource[Account],"6180"),Budget!V18*Forecast_Drivers!L18)</f>
        <v>0</v>
      </c>
      <c r="M18" s="10">
        <f>IF(INDEX(Period_Status!$B$2:$B$8,MATCH(C18,Period_Status!$A$2:$A$8,0))="ActualClosed",SUMIFS(tblSource[AmountUSD],tblSource[Site],B18,tblSource[Period],C18,tblSource[EventType],"Ledger",tblSource[ReleaseStatus],"APPROVED",tblSource[Account],"6190"),Budget!W18*Forecast_Drivers!L18)</f>
        <v>0</v>
      </c>
      <c r="N18" s="12">
        <f>SUM(D18:M18)+Capex!D18</f>
        <v>4282850.07</v>
      </c>
      <c r="O18" s="10">
        <f>IF(INDEX(Period_Status!$B$2:$B$8,MATCH(C18,Period_Status!$A$2:$A$8,0))="ActualClosed",Controls!D18,Budget!G18*Forecast_Drivers!L18)</f>
        <v>0</v>
      </c>
      <c r="P18" s="12">
        <f t="shared" si="0"/>
        <v>4282850.07</v>
      </c>
    </row>
    <row r="19" spans="1:16" x14ac:dyDescent="0.25">
      <c r="A19" s="2" t="s">
        <v>12450</v>
      </c>
      <c r="B19" s="2" t="s">
        <v>7433</v>
      </c>
      <c r="C19" s="6">
        <v>46266</v>
      </c>
      <c r="D19" s="10">
        <f>IF(INDEX(Period_Status!$B$2:$B$8,MATCH(C19,Period_Status!$A$2:$A$8,0))="ActualClosed",SUMIFS(tblSource[AmountUSD],tblSource[Site],B19,tblSource[Period],C19,tblSource[EventType],"Ledger",tblSource[ReleaseStatus],"APPROVED",tblSource[Account],"6100"),Budget!N19*Forecast_Drivers!L19)</f>
        <v>0</v>
      </c>
      <c r="E19" s="10">
        <f>IF(INDEX(Period_Status!$B$2:$B$8,MATCH(C19,Period_Status!$A$2:$A$8,0))="ActualClosed",SUMIFS(tblSource[AmountUSD],tblSource[Site],B19,tblSource[Period],C19,tblSource[EventType],"Ledger",tblSource[ReleaseStatus],"APPROVED",tblSource[Account],"6110"),Budget!O19*Forecast_Drivers!L19)</f>
        <v>0</v>
      </c>
      <c r="F19" s="10">
        <f>IF(INDEX(Period_Status!$B$2:$B$8,MATCH(C19,Period_Status!$A$2:$A$8,0))="ActualClosed",SUMIFS(tblSource[AmountUSD],tblSource[Site],B19,tblSource[Period],C19,tblSource[EventType],"Ledger",tblSource[ReleaseStatus],"APPROVED",tblSource[Account],"6120"),Budget!P19*Forecast_Drivers!L19)</f>
        <v>0</v>
      </c>
      <c r="G19" s="10">
        <f>IF(INDEX(Period_Status!$B$2:$B$8,MATCH(C19,Period_Status!$A$2:$A$8,0))="ActualClosed",SUMIFS(tblSource[AmountUSD],tblSource[Site],B19,tblSource[Period],C19,tblSource[EventType],"Ledger",tblSource[ReleaseStatus],"APPROVED",tblSource[Account],"6130"),Budget!Q19*Forecast_Drivers!L19)</f>
        <v>0</v>
      </c>
      <c r="H19" s="10">
        <f>IF(INDEX(Period_Status!$B$2:$B$8,MATCH(C19,Period_Status!$A$2:$A$8,0))="ActualClosed",SUMIFS(tblSource[AmountUSD],tblSource[Site],B19,tblSource[Period],C19,tblSource[EventType],"Ledger",tblSource[ReleaseStatus],"APPROVED",tblSource[Account],"6140"),Budget!R19*Forecast_Drivers!L19)</f>
        <v>0</v>
      </c>
      <c r="I19" s="10">
        <f>IF(INDEX(Period_Status!$B$2:$B$8,MATCH(C19,Period_Status!$A$2:$A$8,0))="ActualClosed",SUMIFS(tblSource[AmountUSD],tblSource[Site],B19,tblSource[Period],C19,tblSource[EventType],"Ledger",tblSource[ReleaseStatus],"APPROVED",tblSource[Account],"6150"),Budget!S19*Forecast_Drivers!L19)</f>
        <v>0</v>
      </c>
      <c r="J19" s="10">
        <f>IF(INDEX(Period_Status!$B$2:$B$8,MATCH(C19,Period_Status!$A$2:$A$8,0))="ActualClosed",SUMIFS(tblSource[AmountUSD],tblSource[Site],B19,tblSource[Period],C19,tblSource[EventType],"Ledger",tblSource[ReleaseStatus],"APPROVED",tblSource[Account],"6160"),Budget!T19*Forecast_Drivers!L19)</f>
        <v>0</v>
      </c>
      <c r="K19" s="10">
        <f>IF(INDEX(Period_Status!$B$2:$B$8,MATCH(C19,Period_Status!$A$2:$A$8,0))="ActualClosed",SUMIFS(tblSource[AmountUSD],tblSource[Site],B19,tblSource[Period],C19,tblSource[EventType],"Ledger",tblSource[ReleaseStatus],"APPROVED",tblSource[Account],"6170"),Budget!U19*Forecast_Drivers!L19)</f>
        <v>0</v>
      </c>
      <c r="L19" s="10">
        <f>IF(INDEX(Period_Status!$B$2:$B$8,MATCH(C19,Period_Status!$A$2:$A$8,0))="ActualClosed",SUMIFS(tblSource[AmountUSD],tblSource[Site],B19,tblSource[Period],C19,tblSource[EventType],"Ledger",tblSource[ReleaseStatus],"APPROVED",tblSource[Account],"6180"),Budget!V19*Forecast_Drivers!L19)</f>
        <v>0</v>
      </c>
      <c r="M19" s="10">
        <f>IF(INDEX(Period_Status!$B$2:$B$8,MATCH(C19,Period_Status!$A$2:$A$8,0))="ActualClosed",SUMIFS(tblSource[AmountUSD],tblSource[Site],B19,tblSource[Period],C19,tblSource[EventType],"Ledger",tblSource[ReleaseStatus],"APPROVED",tblSource[Account],"6190"),Budget!W19*Forecast_Drivers!L19)</f>
        <v>0</v>
      </c>
      <c r="N19" s="12">
        <f>SUM(D19:M19)</f>
        <v>0</v>
      </c>
      <c r="O19" s="10">
        <f>IF(INDEX(Period_Status!$B$2:$B$8,MATCH(C19,Period_Status!$A$2:$A$8,0))="ActualClosed",Controls!D19,Budget!G19*Forecast_Drivers!L19)</f>
        <v>0</v>
      </c>
      <c r="P19" s="12">
        <f t="shared" si="0"/>
        <v>0</v>
      </c>
    </row>
    <row r="20" spans="1:16" x14ac:dyDescent="0.25">
      <c r="A20" s="2" t="s">
        <v>12451</v>
      </c>
      <c r="B20" s="2" t="s">
        <v>7433</v>
      </c>
      <c r="C20" s="6">
        <v>46296</v>
      </c>
      <c r="D20" s="10">
        <f>IF(INDEX(Period_Status!$B$2:$B$8,MATCH(C20,Period_Status!$A$2:$A$8,0))="ActualClosed",SUMIFS(tblSource[AmountUSD],tblSource[Site],B20,tblSource[Period],C20,tblSource[EventType],"Ledger",tblSource[ReleaseStatus],"APPROVED",tblSource[Account],"6100"),Budget!N20*Forecast_Drivers!L20)</f>
        <v>0</v>
      </c>
      <c r="E20" s="10">
        <f>IF(INDEX(Period_Status!$B$2:$B$8,MATCH(C20,Period_Status!$A$2:$A$8,0))="ActualClosed",SUMIFS(tblSource[AmountUSD],tblSource[Site],B20,tblSource[Period],C20,tblSource[EventType],"Ledger",tblSource[ReleaseStatus],"APPROVED",tblSource[Account],"6110"),Budget!O20*Forecast_Drivers!L20)</f>
        <v>0</v>
      </c>
      <c r="F20" s="10">
        <f>IF(INDEX(Period_Status!$B$2:$B$8,MATCH(C20,Period_Status!$A$2:$A$8,0))="ActualClosed",SUMIFS(tblSource[AmountUSD],tblSource[Site],B20,tblSource[Period],C20,tblSource[EventType],"Ledger",tblSource[ReleaseStatus],"APPROVED",tblSource[Account],"6120"),Budget!P20*Forecast_Drivers!L20)</f>
        <v>0</v>
      </c>
      <c r="G20" s="10">
        <f>IF(INDEX(Period_Status!$B$2:$B$8,MATCH(C20,Period_Status!$A$2:$A$8,0))="ActualClosed",SUMIFS(tblSource[AmountUSD],tblSource[Site],B20,tblSource[Period],C20,tblSource[EventType],"Ledger",tblSource[ReleaseStatus],"APPROVED",tblSource[Account],"6130"),Budget!Q20*Forecast_Drivers!L20)</f>
        <v>0</v>
      </c>
      <c r="H20" s="10">
        <f>IF(INDEX(Period_Status!$B$2:$B$8,MATCH(C20,Period_Status!$A$2:$A$8,0))="ActualClosed",SUMIFS(tblSource[AmountUSD],tblSource[Site],B20,tblSource[Period],C20,tblSource[EventType],"Ledger",tblSource[ReleaseStatus],"APPROVED",tblSource[Account],"6140"),Budget!R20*Forecast_Drivers!L20)</f>
        <v>0</v>
      </c>
      <c r="I20" s="10">
        <f>IF(INDEX(Period_Status!$B$2:$B$8,MATCH(C20,Period_Status!$A$2:$A$8,0))="ActualClosed",SUMIFS(tblSource[AmountUSD],tblSource[Site],B20,tblSource[Period],C20,tblSource[EventType],"Ledger",tblSource[ReleaseStatus],"APPROVED",tblSource[Account],"6150"),Budget!S20*Forecast_Drivers!L20)</f>
        <v>0</v>
      </c>
      <c r="J20" s="10">
        <f>IF(INDEX(Period_Status!$B$2:$B$8,MATCH(C20,Period_Status!$A$2:$A$8,0))="ActualClosed",SUMIFS(tblSource[AmountUSD],tblSource[Site],B20,tblSource[Period],C20,tblSource[EventType],"Ledger",tblSource[ReleaseStatus],"APPROVED",tblSource[Account],"6160"),Budget!T20*Forecast_Drivers!L20)</f>
        <v>0</v>
      </c>
      <c r="K20" s="10">
        <f>IF(INDEX(Period_Status!$B$2:$B$8,MATCH(C20,Period_Status!$A$2:$A$8,0))="ActualClosed",SUMIFS(tblSource[AmountUSD],tblSource[Site],B20,tblSource[Period],C20,tblSource[EventType],"Ledger",tblSource[ReleaseStatus],"APPROVED",tblSource[Account],"6170"),Budget!U20*Forecast_Drivers!L20)</f>
        <v>0</v>
      </c>
      <c r="L20" s="10">
        <f>IF(INDEX(Period_Status!$B$2:$B$8,MATCH(C20,Period_Status!$A$2:$A$8,0))="ActualClosed",SUMIFS(tblSource[AmountUSD],tblSource[Site],B20,tblSource[Period],C20,tblSource[EventType],"Ledger",tblSource[ReleaseStatus],"APPROVED",tblSource[Account],"6180"),Budget!V20*Forecast_Drivers!L20)</f>
        <v>0</v>
      </c>
      <c r="M20" s="10">
        <f>IF(INDEX(Period_Status!$B$2:$B$8,MATCH(C20,Period_Status!$A$2:$A$8,0))="ActualClosed",SUMIFS(tblSource[AmountUSD],tblSource[Site],B20,tblSource[Period],C20,tblSource[EventType],"Ledger",tblSource[ReleaseStatus],"APPROVED",tblSource[Account],"6190"),Budget!W20*Forecast_Drivers!L20)</f>
        <v>0</v>
      </c>
      <c r="N20" s="12">
        <f>SUM(D20:M20)</f>
        <v>0</v>
      </c>
      <c r="O20" s="10">
        <f>IF(INDEX(Period_Status!$B$2:$B$8,MATCH(C20,Period_Status!$A$2:$A$8,0))="ActualClosed",Controls!D20,Budget!G20*Forecast_Drivers!L20)</f>
        <v>0</v>
      </c>
      <c r="P20" s="12">
        <f t="shared" si="0"/>
        <v>0</v>
      </c>
    </row>
    <row r="21" spans="1:16" x14ac:dyDescent="0.25">
      <c r="A21" s="2" t="s">
        <v>12452</v>
      </c>
      <c r="B21" s="2" t="s">
        <v>7433</v>
      </c>
      <c r="C21" s="6">
        <v>46327</v>
      </c>
      <c r="D21" s="10">
        <f>IF(INDEX(Period_Status!$B$2:$B$8,MATCH(C21,Period_Status!$A$2:$A$8,0))="ActualClosed",SUMIFS(tblSource[AmountUSD],tblSource[Site],B21,tblSource[Period],C21,tblSource[EventType],"Ledger",tblSource[ReleaseStatus],"APPROVED",tblSource[Account],"6100"),Budget!N21*Forecast_Drivers!L21)</f>
        <v>0</v>
      </c>
      <c r="E21" s="10">
        <f>IF(INDEX(Period_Status!$B$2:$B$8,MATCH(C21,Period_Status!$A$2:$A$8,0))="ActualClosed",SUMIFS(tblSource[AmountUSD],tblSource[Site],B21,tblSource[Period],C21,tblSource[EventType],"Ledger",tblSource[ReleaseStatus],"APPROVED",tblSource[Account],"6110"),Budget!O21*Forecast_Drivers!L21)</f>
        <v>0</v>
      </c>
      <c r="F21" s="10">
        <f>IF(INDEX(Period_Status!$B$2:$B$8,MATCH(C21,Period_Status!$A$2:$A$8,0))="ActualClosed",SUMIFS(tblSource[AmountUSD],tblSource[Site],B21,tblSource[Period],C21,tblSource[EventType],"Ledger",tblSource[ReleaseStatus],"APPROVED",tblSource[Account],"6120"),Budget!P21*Forecast_Drivers!L21)</f>
        <v>0</v>
      </c>
      <c r="G21" s="10">
        <f>IF(INDEX(Period_Status!$B$2:$B$8,MATCH(C21,Period_Status!$A$2:$A$8,0))="ActualClosed",SUMIFS(tblSource[AmountUSD],tblSource[Site],B21,tblSource[Period],C21,tblSource[EventType],"Ledger",tblSource[ReleaseStatus],"APPROVED",tblSource[Account],"6130"),Budget!Q21*Forecast_Drivers!L21)</f>
        <v>0</v>
      </c>
      <c r="H21" s="10">
        <f>IF(INDEX(Period_Status!$B$2:$B$8,MATCH(C21,Period_Status!$A$2:$A$8,0))="ActualClosed",SUMIFS(tblSource[AmountUSD],tblSource[Site],B21,tblSource[Period],C21,tblSource[EventType],"Ledger",tblSource[ReleaseStatus],"APPROVED",tblSource[Account],"6140"),Budget!R21*Forecast_Drivers!L21)</f>
        <v>0</v>
      </c>
      <c r="I21" s="10">
        <f>IF(INDEX(Period_Status!$B$2:$B$8,MATCH(C21,Period_Status!$A$2:$A$8,0))="ActualClosed",SUMIFS(tblSource[AmountUSD],tblSource[Site],B21,tblSource[Period],C21,tblSource[EventType],"Ledger",tblSource[ReleaseStatus],"APPROVED",tblSource[Account],"6150"),Budget!S21*Forecast_Drivers!L21)</f>
        <v>0</v>
      </c>
      <c r="J21" s="10">
        <f>IF(INDEX(Period_Status!$B$2:$B$8,MATCH(C21,Period_Status!$A$2:$A$8,0))="ActualClosed",SUMIFS(tblSource[AmountUSD],tblSource[Site],B21,tblSource[Period],C21,tblSource[EventType],"Ledger",tblSource[ReleaseStatus],"APPROVED",tblSource[Account],"6160"),Budget!T21*Forecast_Drivers!L21)</f>
        <v>0</v>
      </c>
      <c r="K21" s="10">
        <f>IF(INDEX(Period_Status!$B$2:$B$8,MATCH(C21,Period_Status!$A$2:$A$8,0))="ActualClosed",SUMIFS(tblSource[AmountUSD],tblSource[Site],B21,tblSource[Period],C21,tblSource[EventType],"Ledger",tblSource[ReleaseStatus],"APPROVED",tblSource[Account],"6170"),Budget!U21*Forecast_Drivers!L21)</f>
        <v>0</v>
      </c>
      <c r="L21" s="10">
        <f>IF(INDEX(Period_Status!$B$2:$B$8,MATCH(C21,Period_Status!$A$2:$A$8,0))="ActualClosed",SUMIFS(tblSource[AmountUSD],tblSource[Site],B21,tblSource[Period],C21,tblSource[EventType],"Ledger",tblSource[ReleaseStatus],"APPROVED",tblSource[Account],"6180"),Budget!V21*Forecast_Drivers!L21)</f>
        <v>0</v>
      </c>
      <c r="M21" s="10">
        <f>IF(INDEX(Period_Status!$B$2:$B$8,MATCH(C21,Period_Status!$A$2:$A$8,0))="ActualClosed",SUMIFS(tblSource[AmountUSD],tblSource[Site],B21,tblSource[Period],C21,tblSource[EventType],"Ledger",tblSource[ReleaseStatus],"APPROVED",tblSource[Account],"6190"),Budget!W21*Forecast_Drivers!L21)</f>
        <v>0</v>
      </c>
      <c r="N21" s="12">
        <f>SUM(D21:M21)</f>
        <v>0</v>
      </c>
      <c r="O21" s="10">
        <f>IF(INDEX(Period_Status!$B$2:$B$8,MATCH(C21,Period_Status!$A$2:$A$8,0))="ActualClosed",Controls!D21,Budget!G21*Forecast_Drivers!L21)</f>
        <v>0</v>
      </c>
      <c r="P21" s="12">
        <f t="shared" si="0"/>
        <v>0</v>
      </c>
    </row>
    <row r="22" spans="1:16" x14ac:dyDescent="0.25">
      <c r="A22" s="2" t="s">
        <v>12453</v>
      </c>
      <c r="B22" s="2" t="s">
        <v>7433</v>
      </c>
      <c r="C22" s="6">
        <v>46357</v>
      </c>
      <c r="D22" s="10">
        <f>IF(INDEX(Period_Status!$B$2:$B$8,MATCH(C22,Period_Status!$A$2:$A$8,0))="ActualClosed",SUMIFS(tblSource[AmountUSD],tblSource[Site],B22,tblSource[Period],C22,tblSource[EventType],"Ledger",tblSource[ReleaseStatus],"APPROVED",tblSource[Account],"6100"),Budget!N22*Forecast_Drivers!L22)</f>
        <v>0</v>
      </c>
      <c r="E22" s="10">
        <f>IF(INDEX(Period_Status!$B$2:$B$8,MATCH(C22,Period_Status!$A$2:$A$8,0))="ActualClosed",SUMIFS(tblSource[AmountUSD],tblSource[Site],B22,tblSource[Period],C22,tblSource[EventType],"Ledger",tblSource[ReleaseStatus],"APPROVED",tblSource[Account],"6110"),Budget!O22*Forecast_Drivers!L22)</f>
        <v>0</v>
      </c>
      <c r="F22" s="10">
        <f>IF(INDEX(Period_Status!$B$2:$B$8,MATCH(C22,Period_Status!$A$2:$A$8,0))="ActualClosed",SUMIFS(tblSource[AmountUSD],tblSource[Site],B22,tblSource[Period],C22,tblSource[EventType],"Ledger",tblSource[ReleaseStatus],"APPROVED",tblSource[Account],"6120"),Budget!P22*Forecast_Drivers!L22)</f>
        <v>0</v>
      </c>
      <c r="G22" s="10">
        <f>IF(INDEX(Period_Status!$B$2:$B$8,MATCH(C22,Period_Status!$A$2:$A$8,0))="ActualClosed",SUMIFS(tblSource[AmountUSD],tblSource[Site],B22,tblSource[Period],C22,tblSource[EventType],"Ledger",tblSource[ReleaseStatus],"APPROVED",tblSource[Account],"6130"),Budget!Q22*Forecast_Drivers!L22)</f>
        <v>0</v>
      </c>
      <c r="H22" s="10">
        <f>IF(INDEX(Period_Status!$B$2:$B$8,MATCH(C22,Period_Status!$A$2:$A$8,0))="ActualClosed",SUMIFS(tblSource[AmountUSD],tblSource[Site],B22,tblSource[Period],C22,tblSource[EventType],"Ledger",tblSource[ReleaseStatus],"APPROVED",tblSource[Account],"6140"),Budget!R22*Forecast_Drivers!L22)</f>
        <v>0</v>
      </c>
      <c r="I22" s="10">
        <f>IF(INDEX(Period_Status!$B$2:$B$8,MATCH(C22,Period_Status!$A$2:$A$8,0))="ActualClosed",SUMIFS(tblSource[AmountUSD],tblSource[Site],B22,tblSource[Period],C22,tblSource[EventType],"Ledger",tblSource[ReleaseStatus],"APPROVED",tblSource[Account],"6150"),Budget!S22*Forecast_Drivers!L22)</f>
        <v>0</v>
      </c>
      <c r="J22" s="10">
        <f>IF(INDEX(Period_Status!$B$2:$B$8,MATCH(C22,Period_Status!$A$2:$A$8,0))="ActualClosed",SUMIFS(tblSource[AmountUSD],tblSource[Site],B22,tblSource[Period],C22,tblSource[EventType],"Ledger",tblSource[ReleaseStatus],"APPROVED",tblSource[Account],"6160"),Budget!T22*Forecast_Drivers!L22)</f>
        <v>0</v>
      </c>
      <c r="K22" s="10">
        <f>IF(INDEX(Period_Status!$B$2:$B$8,MATCH(C22,Period_Status!$A$2:$A$8,0))="ActualClosed",SUMIFS(tblSource[AmountUSD],tblSource[Site],B22,tblSource[Period],C22,tblSource[EventType],"Ledger",tblSource[ReleaseStatus],"APPROVED",tblSource[Account],"6170"),Budget!U22*Forecast_Drivers!L22)</f>
        <v>0</v>
      </c>
      <c r="L22" s="10">
        <f>IF(INDEX(Period_Status!$B$2:$B$8,MATCH(C22,Period_Status!$A$2:$A$8,0))="ActualClosed",SUMIFS(tblSource[AmountUSD],tblSource[Site],B22,tblSource[Period],C22,tblSource[EventType],"Ledger",tblSource[ReleaseStatus],"APPROVED",tblSource[Account],"6180"),Budget!V22*Forecast_Drivers!L22)</f>
        <v>0</v>
      </c>
      <c r="M22" s="10">
        <f>IF(INDEX(Period_Status!$B$2:$B$8,MATCH(C22,Period_Status!$A$2:$A$8,0))="ActualClosed",SUMIFS(tblSource[AmountUSD],tblSource[Site],B22,tblSource[Period],C22,tblSource[EventType],"Ledger",tblSource[ReleaseStatus],"APPROVED",tblSource[Account],"6190"),Budget!W22*Forecast_Drivers!L22)</f>
        <v>0</v>
      </c>
      <c r="N22" s="12">
        <f>SUM(D22:M22)</f>
        <v>0</v>
      </c>
      <c r="O22" s="10">
        <f>IF(INDEX(Period_Status!$B$2:$B$8,MATCH(C22,Period_Status!$A$2:$A$8,0))="ActualClosed",Controls!D22,Budget!G22*Forecast_Drivers!L22)</f>
        <v>0</v>
      </c>
      <c r="P22" s="12">
        <f t="shared" si="0"/>
        <v>0</v>
      </c>
    </row>
  </sheetData>
  <pageMargins left="0.75" right="0.75" top="1" bottom="1" header="0.5" footer="0.5"/>
  <pageSetup paperSize="8"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F86"/>
    <pageSetUpPr fitToPage="1"/>
  </sheetPr>
  <dimension ref="A1:G22"/>
  <sheetViews>
    <sheetView showGridLines="0" zoomScale="85" workbookViewId="0">
      <pane ySplit="1" topLeftCell="A2" activePane="bottomLeft" state="frozen"/>
      <selection pane="bottomLeft"/>
    </sheetView>
  </sheetViews>
  <sheetFormatPr defaultRowHeight="15" x14ac:dyDescent="0.25"/>
  <cols>
    <col min="1" max="1" width="28" customWidth="1"/>
    <col min="2" max="7" width="16" customWidth="1"/>
  </cols>
  <sheetData>
    <row r="1" spans="1:7" ht="32.1" customHeight="1" x14ac:dyDescent="0.25">
      <c r="A1" s="1" t="s">
        <v>12412</v>
      </c>
      <c r="B1" s="1" t="s">
        <v>123</v>
      </c>
      <c r="C1" s="1" t="s">
        <v>61</v>
      </c>
      <c r="D1" s="1" t="s">
        <v>12417</v>
      </c>
      <c r="E1" s="1" t="s">
        <v>12488</v>
      </c>
      <c r="F1" s="1" t="s">
        <v>12487</v>
      </c>
      <c r="G1" s="1" t="s">
        <v>12485</v>
      </c>
    </row>
    <row r="2" spans="1:7" x14ac:dyDescent="0.25">
      <c r="A2" s="2" t="s">
        <v>12433</v>
      </c>
      <c r="B2" s="2" t="s">
        <v>136</v>
      </c>
      <c r="C2" s="6">
        <v>46174</v>
      </c>
      <c r="D2" s="10">
        <f>IF(INDEX(Period_Status!$B$2:$B$8,MATCH(C2,Period_Status!$A$2:$A$8,0))="ActualClosed",SUMIFS(tblSource[AmountUSD],tblSource[Site],B2,tblSource[Period],C2,tblSource[EventType],"Ledger",tblSource[ReleaseStatus],"APPROVED",tblSource[Account],"15*"),Forecast_Drivers!M2)</f>
        <v>0</v>
      </c>
      <c r="E2" s="10">
        <f>SUMIFS(tblSource[AmountUSD],tblSource[Site],B2,tblSource[Period],C2,tblSource[EventType],"Commitment",tblSource[ReleaseStatus],"APPROVED")</f>
        <v>0</v>
      </c>
      <c r="F2" s="10">
        <f>IF(INDEX(Period_Status!$B$2:$B$8,MATCH(C2,Period_Status!$A$2:$A$8,0))="ActualClosed",Controls!E2,Forecast_Drivers!M2)</f>
        <v>0</v>
      </c>
      <c r="G2" s="12">
        <f t="shared" ref="G2:G22" si="0">D2-F2</f>
        <v>0</v>
      </c>
    </row>
    <row r="3" spans="1:7" x14ac:dyDescent="0.25">
      <c r="A3" s="2" t="s">
        <v>12434</v>
      </c>
      <c r="B3" s="2" t="s">
        <v>136</v>
      </c>
      <c r="C3" s="6">
        <v>46204</v>
      </c>
      <c r="D3" s="10">
        <f>IF(INDEX(Period_Status!$B$2:$B$8,MATCH(C3,Period_Status!$A$2:$A$8,0))="ActualClosed",SUMIFS(tblSource[AmountUSD],tblSource[Site],B3,tblSource[Period],C3,tblSource[EventType],"Ledger",tblSource[ReleaseStatus],"APPROVED",tblSource[Account],"15*"),Forecast_Drivers!M3)</f>
        <v>0</v>
      </c>
      <c r="E3" s="10">
        <f>SUMIFS(tblSource[AmountUSD],tblSource[Site],B3,tblSource[Period],C3,tblSource[EventType],"Commitment",tblSource[ReleaseStatus],"APPROVED")</f>
        <v>0</v>
      </c>
      <c r="F3" s="10">
        <f>IF(INDEX(Period_Status!$B$2:$B$8,MATCH(C3,Period_Status!$A$2:$A$8,0))="ActualClosed",Controls!E3,Forecast_Drivers!M3)</f>
        <v>0</v>
      </c>
      <c r="G3" s="12">
        <f t="shared" si="0"/>
        <v>0</v>
      </c>
    </row>
    <row r="4" spans="1:7" x14ac:dyDescent="0.25">
      <c r="A4" s="2" t="s">
        <v>12435</v>
      </c>
      <c r="B4" s="2" t="s">
        <v>136</v>
      </c>
      <c r="C4" s="6">
        <v>46235</v>
      </c>
      <c r="D4" s="10">
        <f>IF(INDEX(Period_Status!$B$2:$B$8,MATCH(C4,Period_Status!$A$2:$A$8,0))="ActualClosed",SUMIFS(tblSource[AmountUSD],tblSource[Site],B4,tblSource[Period],C4,tblSource[EventType],"Ledger",tblSource[ReleaseStatus],"APPROVED",tblSource[Account],"15*"),Forecast_Drivers!M4)</f>
        <v>0</v>
      </c>
      <c r="E4" s="10">
        <f>SUMIFS(tblSource[AmountUSD],tblSource[Site],B4,tblSource[Period],C4,tblSource[EventType],"Commitment",tblSource[ReleaseStatus],"APPROVED")</f>
        <v>0</v>
      </c>
      <c r="F4" s="10">
        <f>IF(INDEX(Period_Status!$B$2:$B$8,MATCH(C4,Period_Status!$A$2:$A$8,0))="ActualClosed",Controls!E4,Forecast_Drivers!M4)</f>
        <v>0</v>
      </c>
      <c r="G4" s="12">
        <f t="shared" si="0"/>
        <v>0</v>
      </c>
    </row>
    <row r="5" spans="1:7" x14ac:dyDescent="0.25">
      <c r="A5" s="2" t="s">
        <v>12436</v>
      </c>
      <c r="B5" s="2" t="s">
        <v>136</v>
      </c>
      <c r="C5" s="6">
        <v>46266</v>
      </c>
      <c r="D5" s="10">
        <f>IF(INDEX(Period_Status!$B$2:$B$8,MATCH(C5,Period_Status!$A$2:$A$8,0))="ActualClosed",SUMIFS(tblSource[AmountUSD],tblSource[Site],B5,tblSource[Period],C5,tblSource[EventType],"Ledger",tblSource[ReleaseStatus],"APPROVED",tblSource[Account],"15*"),Forecast_Drivers!M5)</f>
        <v>0</v>
      </c>
      <c r="E5" s="10">
        <f>SUMIFS(tblSource[AmountUSD],tblSource[Site],B5,tblSource[Period],C5,tblSource[EventType],"Commitment",tblSource[ReleaseStatus],"APPROVED")</f>
        <v>0</v>
      </c>
      <c r="F5" s="10">
        <f>IF(INDEX(Period_Status!$B$2:$B$8,MATCH(C5,Period_Status!$A$2:$A$8,0))="ActualClosed",Controls!E5,Forecast_Drivers!M5)</f>
        <v>0</v>
      </c>
      <c r="G5" s="12">
        <f t="shared" si="0"/>
        <v>0</v>
      </c>
    </row>
    <row r="6" spans="1:7" x14ac:dyDescent="0.25">
      <c r="A6" s="2" t="s">
        <v>12437</v>
      </c>
      <c r="B6" s="2" t="s">
        <v>136</v>
      </c>
      <c r="C6" s="6">
        <v>46296</v>
      </c>
      <c r="D6" s="10">
        <f>IF(INDEX(Period_Status!$B$2:$B$8,MATCH(C6,Period_Status!$A$2:$A$8,0))="ActualClosed",SUMIFS(tblSource[AmountUSD],tblSource[Site],B6,tblSource[Period],C6,tblSource[EventType],"Ledger",tblSource[ReleaseStatus],"APPROVED",tblSource[Account],"15*"),Forecast_Drivers!M6)</f>
        <v>0</v>
      </c>
      <c r="E6" s="10">
        <f>SUMIFS(tblSource[AmountUSD],tblSource[Site],B6,tblSource[Period],C6,tblSource[EventType],"Commitment",tblSource[ReleaseStatus],"APPROVED")</f>
        <v>0</v>
      </c>
      <c r="F6" s="10">
        <f>IF(INDEX(Period_Status!$B$2:$B$8,MATCH(C6,Period_Status!$A$2:$A$8,0))="ActualClosed",Controls!E6,Forecast_Drivers!M6)</f>
        <v>0</v>
      </c>
      <c r="G6" s="12">
        <f t="shared" si="0"/>
        <v>0</v>
      </c>
    </row>
    <row r="7" spans="1:7" x14ac:dyDescent="0.25">
      <c r="A7" s="2" t="s">
        <v>12438</v>
      </c>
      <c r="B7" s="2" t="s">
        <v>136</v>
      </c>
      <c r="C7" s="6">
        <v>46327</v>
      </c>
      <c r="D7" s="10">
        <f>IF(INDEX(Period_Status!$B$2:$B$8,MATCH(C7,Period_Status!$A$2:$A$8,0))="ActualClosed",SUMIFS(tblSource[AmountUSD],tblSource[Site],B7,tblSource[Period],C7,tblSource[EventType],"Ledger",tblSource[ReleaseStatus],"APPROVED",tblSource[Account],"15*"),Forecast_Drivers!M7)</f>
        <v>0</v>
      </c>
      <c r="E7" s="10">
        <f>SUMIFS(tblSource[AmountUSD],tblSource[Site],B7,tblSource[Period],C7,tblSource[EventType],"Commitment",tblSource[ReleaseStatus],"APPROVED")</f>
        <v>0</v>
      </c>
      <c r="F7" s="10">
        <f>IF(INDEX(Period_Status!$B$2:$B$8,MATCH(C7,Period_Status!$A$2:$A$8,0))="ActualClosed",Controls!E7,Forecast_Drivers!M7)</f>
        <v>0</v>
      </c>
      <c r="G7" s="12">
        <f t="shared" si="0"/>
        <v>0</v>
      </c>
    </row>
    <row r="8" spans="1:7" x14ac:dyDescent="0.25">
      <c r="A8" s="2" t="s">
        <v>12439</v>
      </c>
      <c r="B8" s="2" t="s">
        <v>136</v>
      </c>
      <c r="C8" s="6">
        <v>46357</v>
      </c>
      <c r="D8" s="10">
        <f>IF(INDEX(Period_Status!$B$2:$B$8,MATCH(C8,Period_Status!$A$2:$A$8,0))="ActualClosed",SUMIFS(tblSource[AmountUSD],tblSource[Site],B8,tblSource[Period],C8,tblSource[EventType],"Ledger",tblSource[ReleaseStatus],"APPROVED",tblSource[Account],"15*"),Forecast_Drivers!M8)</f>
        <v>0</v>
      </c>
      <c r="E8" s="10">
        <f>SUMIFS(tblSource[AmountUSD],tblSource[Site],B8,tblSource[Period],C8,tblSource[EventType],"Commitment",tblSource[ReleaseStatus],"APPROVED")</f>
        <v>0</v>
      </c>
      <c r="F8" s="10">
        <f>IF(INDEX(Period_Status!$B$2:$B$8,MATCH(C8,Period_Status!$A$2:$A$8,0))="ActualClosed",Controls!E8,Forecast_Drivers!M8)</f>
        <v>0</v>
      </c>
      <c r="G8" s="12">
        <f t="shared" si="0"/>
        <v>0</v>
      </c>
    </row>
    <row r="9" spans="1:7" x14ac:dyDescent="0.25">
      <c r="A9" s="2" t="s">
        <v>12440</v>
      </c>
      <c r="B9" s="2" t="s">
        <v>199</v>
      </c>
      <c r="C9" s="6">
        <v>46174</v>
      </c>
      <c r="D9" s="10">
        <f>IF(INDEX(Period_Status!$B$2:$B$8,MATCH(C9,Period_Status!$A$2:$A$8,0))="ActualClosed",SUMIFS(tblSource[AmountUSD],tblSource[Site],B9,tblSource[Period],C9,tblSource[EventType],"Ledger",tblSource[ReleaseStatus],"APPROVED",tblSource[Account],"15*"),Forecast_Drivers!M9)</f>
        <v>0</v>
      </c>
      <c r="E9" s="10">
        <f>SUMIFS(tblSource[AmountUSD],tblSource[Site],B9,tblSource[Period],C9,tblSource[EventType],"Commitment",tblSource[ReleaseStatus],"APPROVED")</f>
        <v>0</v>
      </c>
      <c r="F9" s="10">
        <f>IF(INDEX(Period_Status!$B$2:$B$8,MATCH(C9,Period_Status!$A$2:$A$8,0))="ActualClosed",Controls!E9,Forecast_Drivers!M9)</f>
        <v>0</v>
      </c>
      <c r="G9" s="12">
        <f t="shared" si="0"/>
        <v>0</v>
      </c>
    </row>
    <row r="10" spans="1:7" x14ac:dyDescent="0.25">
      <c r="A10" s="2" t="s">
        <v>12441</v>
      </c>
      <c r="B10" s="2" t="s">
        <v>199</v>
      </c>
      <c r="C10" s="6">
        <v>46204</v>
      </c>
      <c r="D10" s="10">
        <f>IF(INDEX(Period_Status!$B$2:$B$8,MATCH(C10,Period_Status!$A$2:$A$8,0))="ActualClosed",SUMIFS(tblSource[AmountUSD],tblSource[Site],B10,tblSource[Period],C10,tblSource[EventType],"Ledger",tblSource[ReleaseStatus],"APPROVED",tblSource[Account],"15*"),Forecast_Drivers!M10)</f>
        <v>0</v>
      </c>
      <c r="E10" s="10">
        <f>SUMIFS(tblSource[AmountUSD],tblSource[Site],B10,tblSource[Period],C10,tblSource[EventType],"Commitment",tblSource[ReleaseStatus],"APPROVED")</f>
        <v>0</v>
      </c>
      <c r="F10" s="10">
        <f>IF(INDEX(Period_Status!$B$2:$B$8,MATCH(C10,Period_Status!$A$2:$A$8,0))="ActualClosed",Controls!E10,Forecast_Drivers!M10)</f>
        <v>0</v>
      </c>
      <c r="G10" s="12">
        <f t="shared" si="0"/>
        <v>0</v>
      </c>
    </row>
    <row r="11" spans="1:7" x14ac:dyDescent="0.25">
      <c r="A11" s="2" t="s">
        <v>12442</v>
      </c>
      <c r="B11" s="2" t="s">
        <v>199</v>
      </c>
      <c r="C11" s="6">
        <v>46235</v>
      </c>
      <c r="D11" s="10">
        <f>IF(INDEX(Period_Status!$B$2:$B$8,MATCH(C11,Period_Status!$A$2:$A$8,0))="ActualClosed",SUMIFS(tblSource[AmountUSD],tblSource[Site],B11,tblSource[Period],C11,tblSource[EventType],"Ledger",tblSource[ReleaseStatus],"APPROVED",tblSource[Account],"15*"),Forecast_Drivers!M11)</f>
        <v>0</v>
      </c>
      <c r="E11" s="10">
        <f>SUMIFS(tblSource[AmountUSD],tblSource[Site],B11,tblSource[Period],C11,tblSource[EventType],"Commitment",tblSource[ReleaseStatus],"APPROVED")</f>
        <v>0</v>
      </c>
      <c r="F11" s="10">
        <f>IF(INDEX(Period_Status!$B$2:$B$8,MATCH(C11,Period_Status!$A$2:$A$8,0))="ActualClosed",Controls!E11,Forecast_Drivers!M11)</f>
        <v>0</v>
      </c>
      <c r="G11" s="12">
        <f t="shared" si="0"/>
        <v>0</v>
      </c>
    </row>
    <row r="12" spans="1:7" x14ac:dyDescent="0.25">
      <c r="A12" s="2" t="s">
        <v>12443</v>
      </c>
      <c r="B12" s="2" t="s">
        <v>199</v>
      </c>
      <c r="C12" s="6">
        <v>46266</v>
      </c>
      <c r="D12" s="10">
        <f>IF(INDEX(Period_Status!$B$2:$B$8,MATCH(C12,Period_Status!$A$2:$A$8,0))="ActualClosed",SUMIFS(tblSource[AmountUSD],tblSource[Site],B12,tblSource[Period],C12,tblSource[EventType],"Ledger",tblSource[ReleaseStatus],"APPROVED",tblSource[Account],"15*"),Forecast_Drivers!M12)</f>
        <v>0</v>
      </c>
      <c r="E12" s="10">
        <f>SUMIFS(tblSource[AmountUSD],tblSource[Site],B12,tblSource[Period],C12,tblSource[EventType],"Commitment",tblSource[ReleaseStatus],"APPROVED")</f>
        <v>0</v>
      </c>
      <c r="F12" s="10">
        <f>IF(INDEX(Period_Status!$B$2:$B$8,MATCH(C12,Period_Status!$A$2:$A$8,0))="ActualClosed",Controls!E12,Forecast_Drivers!M12)</f>
        <v>0</v>
      </c>
      <c r="G12" s="12">
        <f t="shared" si="0"/>
        <v>0</v>
      </c>
    </row>
    <row r="13" spans="1:7" x14ac:dyDescent="0.25">
      <c r="A13" s="2" t="s">
        <v>12444</v>
      </c>
      <c r="B13" s="2" t="s">
        <v>199</v>
      </c>
      <c r="C13" s="6">
        <v>46296</v>
      </c>
      <c r="D13" s="10">
        <f>IF(INDEX(Period_Status!$B$2:$B$8,MATCH(C13,Period_Status!$A$2:$A$8,0))="ActualClosed",SUMIFS(tblSource[AmountUSD],tblSource[Site],B13,tblSource[Period],C13,tblSource[EventType],"Ledger",tblSource[ReleaseStatus],"APPROVED",tblSource[Account],"15*"),Forecast_Drivers!M13)</f>
        <v>0</v>
      </c>
      <c r="E13" s="10">
        <f>SUMIFS(tblSource[AmountUSD],tblSource[Site],B13,tblSource[Period],C13,tblSource[EventType],"Commitment",tblSource[ReleaseStatus],"APPROVED")</f>
        <v>0</v>
      </c>
      <c r="F13" s="10">
        <f>IF(INDEX(Period_Status!$B$2:$B$8,MATCH(C13,Period_Status!$A$2:$A$8,0))="ActualClosed",Controls!E13,Forecast_Drivers!M13)</f>
        <v>0</v>
      </c>
      <c r="G13" s="12">
        <f t="shared" si="0"/>
        <v>0</v>
      </c>
    </row>
    <row r="14" spans="1:7" x14ac:dyDescent="0.25">
      <c r="A14" s="2" t="s">
        <v>12445</v>
      </c>
      <c r="B14" s="2" t="s">
        <v>199</v>
      </c>
      <c r="C14" s="6">
        <v>46327</v>
      </c>
      <c r="D14" s="10">
        <f>IF(INDEX(Period_Status!$B$2:$B$8,MATCH(C14,Period_Status!$A$2:$A$8,0))="ActualClosed",SUMIFS(tblSource[AmountUSD],tblSource[Site],B14,tblSource[Period],C14,tblSource[EventType],"Ledger",tblSource[ReleaseStatus],"APPROVED",tblSource[Account],"15*"),Forecast_Drivers!M14)</f>
        <v>0</v>
      </c>
      <c r="E14" s="10">
        <f>SUMIFS(tblSource[AmountUSD],tblSource[Site],B14,tblSource[Period],C14,tblSource[EventType],"Commitment",tblSource[ReleaseStatus],"APPROVED")</f>
        <v>0</v>
      </c>
      <c r="F14" s="10">
        <f>IF(INDEX(Period_Status!$B$2:$B$8,MATCH(C14,Period_Status!$A$2:$A$8,0))="ActualClosed",Controls!E14,Forecast_Drivers!M14)</f>
        <v>0</v>
      </c>
      <c r="G14" s="12">
        <f t="shared" si="0"/>
        <v>0</v>
      </c>
    </row>
    <row r="15" spans="1:7" x14ac:dyDescent="0.25">
      <c r="A15" s="2" t="s">
        <v>12446</v>
      </c>
      <c r="B15" s="2" t="s">
        <v>199</v>
      </c>
      <c r="C15" s="6">
        <v>46357</v>
      </c>
      <c r="D15" s="10">
        <f>IF(INDEX(Period_Status!$B$2:$B$8,MATCH(C15,Period_Status!$A$2:$A$8,0))="ActualClosed",SUMIFS(tblSource[AmountUSD],tblSource[Site],B15,tblSource[Period],C15,tblSource[EventType],"Ledger",tblSource[ReleaseStatus],"APPROVED",tblSource[Account],"15*"),Forecast_Drivers!M15)</f>
        <v>0</v>
      </c>
      <c r="E15" s="10">
        <f>SUMIFS(tblSource[AmountUSD],tblSource[Site],B15,tblSource[Period],C15,tblSource[EventType],"Commitment",tblSource[ReleaseStatus],"APPROVED")</f>
        <v>0</v>
      </c>
      <c r="F15" s="10">
        <f>IF(INDEX(Period_Status!$B$2:$B$8,MATCH(C15,Period_Status!$A$2:$A$8,0))="ActualClosed",Controls!E15,Forecast_Drivers!M15)</f>
        <v>0</v>
      </c>
      <c r="G15" s="12">
        <f t="shared" si="0"/>
        <v>0</v>
      </c>
    </row>
    <row r="16" spans="1:7" x14ac:dyDescent="0.25">
      <c r="A16" s="2" t="s">
        <v>12447</v>
      </c>
      <c r="B16" s="2" t="s">
        <v>7433</v>
      </c>
      <c r="C16" s="6">
        <v>46174</v>
      </c>
      <c r="D16" s="10">
        <f>IF(INDEX(Period_Status!$B$2:$B$8,MATCH(C16,Period_Status!$A$2:$A$8,0))="ActualClosed",SUMIFS(tblSource[AmountUSD],tblSource[Site],B16,tblSource[Period],C16,tblSource[EventType],"Ledger",tblSource[ReleaseStatus],"APPROVED",tblSource[Account],"15*"),Forecast_Drivers!M16)</f>
        <v>3958141.629999999</v>
      </c>
      <c r="E16" s="10">
        <f>SUMIFS(tblSource[AmountUSD],tblSource[Site],B16,tblSource[Period],C16,tblSource[EventType],"Commitment",tblSource[ReleaseStatus],"APPROVED")</f>
        <v>4551862.8299999963</v>
      </c>
      <c r="F16" s="10">
        <f>IF(INDEX(Period_Status!$B$2:$B$8,MATCH(C16,Period_Status!$A$2:$A$8,0))="ActualClosed",Controls!E16,Forecast_Drivers!M16)</f>
        <v>3958141.629999999</v>
      </c>
      <c r="G16" s="12">
        <f t="shared" si="0"/>
        <v>0</v>
      </c>
    </row>
    <row r="17" spans="1:7" x14ac:dyDescent="0.25">
      <c r="A17" s="2" t="s">
        <v>12448</v>
      </c>
      <c r="B17" s="2" t="s">
        <v>7433</v>
      </c>
      <c r="C17" s="6">
        <v>46204</v>
      </c>
      <c r="D17" s="10">
        <f>IF(INDEX(Period_Status!$B$2:$B$8,MATCH(C17,Period_Status!$A$2:$A$8,0))="ActualClosed",SUMIFS(tblSource[AmountUSD],tblSource[Site],B17,tblSource[Period],C17,tblSource[EventType],"Ledger",tblSource[ReleaseStatus],"APPROVED",tblSource[Account],"15*"),Forecast_Drivers!M17)</f>
        <v>3922798.5199999996</v>
      </c>
      <c r="E17" s="10">
        <f>SUMIFS(tblSource[AmountUSD],tblSource[Site],B17,tblSource[Period],C17,tblSource[EventType],"Commitment",tblSource[ReleaseStatus],"APPROVED")</f>
        <v>4511218.2199999951</v>
      </c>
      <c r="F17" s="10">
        <f>IF(INDEX(Period_Status!$B$2:$B$8,MATCH(C17,Period_Status!$A$2:$A$8,0))="ActualClosed",Controls!E17,Forecast_Drivers!M17)</f>
        <v>3922798.52</v>
      </c>
      <c r="G17" s="12">
        <f t="shared" si="0"/>
        <v>0</v>
      </c>
    </row>
    <row r="18" spans="1:7" x14ac:dyDescent="0.25">
      <c r="A18" s="2" t="s">
        <v>12449</v>
      </c>
      <c r="B18" s="2" t="s">
        <v>7433</v>
      </c>
      <c r="C18" s="6">
        <v>46235</v>
      </c>
      <c r="D18" s="10">
        <f>IF(INDEX(Period_Status!$B$2:$B$8,MATCH(C18,Period_Status!$A$2:$A$8,0))="ActualClosed",SUMIFS(tblSource[AmountUSD],tblSource[Site],B18,tblSource[Period],C18,tblSource[EventType],"Ledger",tblSource[ReleaseStatus],"APPROVED",tblSource[Account],"15*"),Forecast_Drivers!M18)</f>
        <v>4282850.07</v>
      </c>
      <c r="E18" s="10">
        <f>SUMIFS(tblSource[AmountUSD],tblSource[Site],B18,tblSource[Period],C18,tblSource[EventType],"Commitment",tblSource[ReleaseStatus],"APPROVED")</f>
        <v>0</v>
      </c>
      <c r="F18" s="10">
        <f>IF(INDEX(Period_Status!$B$2:$B$8,MATCH(C18,Period_Status!$A$2:$A$8,0))="ActualClosed",Controls!E18,Forecast_Drivers!M18)</f>
        <v>4282850.07</v>
      </c>
      <c r="G18" s="12">
        <f t="shared" si="0"/>
        <v>0</v>
      </c>
    </row>
    <row r="19" spans="1:7" x14ac:dyDescent="0.25">
      <c r="A19" s="2" t="s">
        <v>12450</v>
      </c>
      <c r="B19" s="2" t="s">
        <v>7433</v>
      </c>
      <c r="C19" s="6">
        <v>46266</v>
      </c>
      <c r="D19" s="10">
        <f>IF(INDEX(Period_Status!$B$2:$B$8,MATCH(C19,Period_Status!$A$2:$A$8,0))="ActualClosed",SUMIFS(tblSource[AmountUSD],tblSource[Site],B19,tblSource[Period],C19,tblSource[EventType],"Ledger",tblSource[ReleaseStatus],"APPROVED",tblSource[Account],"15*"),Forecast_Drivers!M19)</f>
        <v>3865873.96</v>
      </c>
      <c r="E19" s="10">
        <f>SUMIFS(tblSource[AmountUSD],tblSource[Site],B19,tblSource[Period],C19,tblSource[EventType],"Commitment",tblSource[ReleaseStatus],"APPROVED")</f>
        <v>0</v>
      </c>
      <c r="F19" s="10">
        <f>IF(INDEX(Period_Status!$B$2:$B$8,MATCH(C19,Period_Status!$A$2:$A$8,0))="ActualClosed",Controls!E19,Forecast_Drivers!M19)</f>
        <v>3865873.96</v>
      </c>
      <c r="G19" s="12">
        <f t="shared" si="0"/>
        <v>0</v>
      </c>
    </row>
    <row r="20" spans="1:7" x14ac:dyDescent="0.25">
      <c r="A20" s="2" t="s">
        <v>12451</v>
      </c>
      <c r="B20" s="2" t="s">
        <v>7433</v>
      </c>
      <c r="C20" s="6">
        <v>46296</v>
      </c>
      <c r="D20" s="10">
        <f>IF(INDEX(Period_Status!$B$2:$B$8,MATCH(C20,Period_Status!$A$2:$A$8,0))="ActualClosed",SUMIFS(tblSource[AmountUSD],tblSource[Site],B20,tblSource[Period],C20,tblSource[EventType],"Ledger",tblSource[ReleaseStatus],"APPROVED",tblSource[Account],"15*"),Forecast_Drivers!M20)</f>
        <v>4770753.78</v>
      </c>
      <c r="E20" s="10">
        <f>SUMIFS(tblSource[AmountUSD],tblSource[Site],B20,tblSource[Period],C20,tblSource[EventType],"Commitment",tblSource[ReleaseStatus],"APPROVED")</f>
        <v>0</v>
      </c>
      <c r="F20" s="10">
        <f>IF(INDEX(Period_Status!$B$2:$B$8,MATCH(C20,Period_Status!$A$2:$A$8,0))="ActualClosed",Controls!E20,Forecast_Drivers!M20)</f>
        <v>4770753.78</v>
      </c>
      <c r="G20" s="12">
        <f t="shared" si="0"/>
        <v>0</v>
      </c>
    </row>
    <row r="21" spans="1:7" x14ac:dyDescent="0.25">
      <c r="A21" s="2" t="s">
        <v>12452</v>
      </c>
      <c r="B21" s="2" t="s">
        <v>7433</v>
      </c>
      <c r="C21" s="6">
        <v>46327</v>
      </c>
      <c r="D21" s="10">
        <f>IF(INDEX(Period_Status!$B$2:$B$8,MATCH(C21,Period_Status!$A$2:$A$8,0))="ActualClosed",SUMIFS(tblSource[AmountUSD],tblSource[Site],B21,tblSource[Period],C21,tblSource[EventType],"Ledger",tblSource[ReleaseStatus],"APPROVED",tblSource[Account],"15*"),Forecast_Drivers!M21)</f>
        <v>3484892.71</v>
      </c>
      <c r="E21" s="10">
        <f>SUMIFS(tblSource[AmountUSD],tblSource[Site],B21,tblSource[Period],C21,tblSource[EventType],"Commitment",tblSource[ReleaseStatus],"APPROVED")</f>
        <v>0</v>
      </c>
      <c r="F21" s="10">
        <f>IF(INDEX(Period_Status!$B$2:$B$8,MATCH(C21,Period_Status!$A$2:$A$8,0))="ActualClosed",Controls!E21,Forecast_Drivers!M21)</f>
        <v>3484892.71</v>
      </c>
      <c r="G21" s="12">
        <f t="shared" si="0"/>
        <v>0</v>
      </c>
    </row>
    <row r="22" spans="1:7" x14ac:dyDescent="0.25">
      <c r="A22" s="2" t="s">
        <v>12453</v>
      </c>
      <c r="B22" s="2" t="s">
        <v>7433</v>
      </c>
      <c r="C22" s="6">
        <v>46357</v>
      </c>
      <c r="D22" s="10">
        <f>IF(INDEX(Period_Status!$B$2:$B$8,MATCH(C22,Period_Status!$A$2:$A$8,0))="ActualClosed",SUMIFS(tblSource[AmountUSD],tblSource[Site],B22,tblSource[Period],C22,tblSource[EventType],"Ledger",tblSource[ReleaseStatus],"APPROVED",tblSource[Account],"15*"),Forecast_Drivers!M22)</f>
        <v>5217666.5</v>
      </c>
      <c r="E22" s="10">
        <f>SUMIFS(tblSource[AmountUSD],tblSource[Site],B22,tblSource[Period],C22,tblSource[EventType],"Commitment",tblSource[ReleaseStatus],"APPROVED")</f>
        <v>0</v>
      </c>
      <c r="F22" s="10">
        <f>IF(INDEX(Period_Status!$B$2:$B$8,MATCH(C22,Period_Status!$A$2:$A$8,0))="ActualClosed",Controls!E22,Forecast_Drivers!M22)</f>
        <v>5217666.5</v>
      </c>
      <c r="G22" s="12">
        <f t="shared" si="0"/>
        <v>0</v>
      </c>
    </row>
  </sheetData>
  <pageMargins left="0.75" right="0.75" top="1" bottom="1" header="0.5" footer="0.5"/>
  <pageSetup paperSize="8"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F86"/>
    <pageSetUpPr fitToPage="1"/>
  </sheetPr>
  <dimension ref="A1:U22"/>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19" customWidth="1"/>
    <col min="7" max="7" width="16" customWidth="1"/>
    <col min="8" max="8" width="20" customWidth="1"/>
    <col min="9" max="13" width="16" customWidth="1"/>
    <col min="14" max="14" width="24" customWidth="1"/>
    <col min="15" max="16" width="16" customWidth="1"/>
    <col min="17" max="17" width="18" customWidth="1"/>
    <col min="18" max="18" width="23" customWidth="1"/>
    <col min="19" max="19" width="16" customWidth="1"/>
    <col min="20" max="20" width="17" customWidth="1"/>
    <col min="21" max="21" width="16" customWidth="1"/>
  </cols>
  <sheetData>
    <row r="1" spans="1:21" ht="32.1" customHeight="1" x14ac:dyDescent="0.25">
      <c r="A1" s="1" t="s">
        <v>12412</v>
      </c>
      <c r="B1" s="1" t="s">
        <v>123</v>
      </c>
      <c r="C1" s="1" t="s">
        <v>61</v>
      </c>
      <c r="D1" s="1" t="s">
        <v>12489</v>
      </c>
      <c r="E1" s="1" t="s">
        <v>12419</v>
      </c>
      <c r="F1" s="1" t="s">
        <v>12420</v>
      </c>
      <c r="G1" s="1" t="s">
        <v>12421</v>
      </c>
      <c r="H1" s="1" t="s">
        <v>12422</v>
      </c>
      <c r="I1" s="1" t="s">
        <v>12490</v>
      </c>
      <c r="J1" s="1" t="s">
        <v>12491</v>
      </c>
      <c r="K1" s="1" t="s">
        <v>12492</v>
      </c>
      <c r="L1" s="1" t="s">
        <v>131</v>
      </c>
      <c r="M1" s="1" t="s">
        <v>12493</v>
      </c>
      <c r="N1" s="1" t="s">
        <v>12494</v>
      </c>
      <c r="O1" s="1" t="s">
        <v>12485</v>
      </c>
      <c r="P1" s="1" t="s">
        <v>12495</v>
      </c>
      <c r="Q1" s="1" t="s">
        <v>12496</v>
      </c>
      <c r="R1" s="1" t="s">
        <v>12497</v>
      </c>
      <c r="S1" s="1" t="s">
        <v>12498</v>
      </c>
      <c r="T1" s="1" t="s">
        <v>12499</v>
      </c>
      <c r="U1" s="1" t="s">
        <v>12500</v>
      </c>
    </row>
    <row r="2" spans="1:21" x14ac:dyDescent="0.25">
      <c r="A2" s="2" t="s">
        <v>12433</v>
      </c>
      <c r="B2" s="2" t="s">
        <v>136</v>
      </c>
      <c r="C2" s="6">
        <v>46174</v>
      </c>
      <c r="D2" s="12">
        <f>Assumptions!$K$2</f>
        <v>6000000</v>
      </c>
      <c r="E2" s="10">
        <f>IF(INDEX(Period_Status!$B$2:$B$8,MATCH(C2,Period_Status!$A$2:$A$8,0))="ActualClosed",SUMIFS(tblSource[AmountUSD],tblSource[Site],B2,tblSource[Period],C2,tblSource[EventType],"Collection",tblSource[ReleaseStatus],"APPROVED"),SUMIFS(tblSettlementSchedule[CashUSD],tblSettlementSchedule[Site],B2,tblSettlementSchedule[Period],C2,tblSettlementSchedule[EventType],"Collection",tblSettlementSchedule[PendingActualOrigin],1)+Assumptions!$K$8*Revenue!H2+(1-Assumptions!$K$8)*0+IF(C2=EDATE(Settlement_Bridge!$C$2,1),MAX(0,SUMIFS(tblSettlementBridge[UnallocatedARBookUSD],tblSettlementBridge[Site],B2)),0))</f>
        <v>2992432.52</v>
      </c>
      <c r="F2" s="10">
        <f>IF(INDEX(Period_Status!$B$2:$B$8,MATCH(C2,Period_Status!$A$2:$A$8,0))="ActualClosed",SUMIFS(tblSource[AmountUSD],tblSource[Site],B2,tblSource[Period],C2,tblSource[EventType],"VendorSettlement",tblSource[ReleaseStatus],"APPROVED"),SUMIFS(tblSettlementSchedule[CashUSD],tblSettlementSchedule[Site],B2,tblSettlementSchedule[Period],C2,tblSettlementSchedule[EventType],"VendorSettlement",tblSettlementSchedule[PendingActualOrigin],1)+Assumptions!$K$9*(Operating_Costs!N2+Capex!D2)+(1-Assumptions!$K$9)*0+IF(C2=EDATE(Settlement_Bridge!$C$2,1),MAX(0,SUMIFS(tblSettlementBridge[UnallocatedAPBookUSD],tblSettlementBridge[Site],B2)),0))</f>
        <v>502261.28999999992</v>
      </c>
      <c r="G2" s="10">
        <f>IF(INDEX(Period_Status!$B$2:$B$8,MATCH(C2,Period_Status!$A$2:$A$8,0))="ActualClosed",SUMIFS(tblSource[FeeUSD],tblSource[Site],B2,tblSource[Period],C2,tblSource[EventType],"Collection",tblSource[ReleaseStatus],"APPROVED")+SUMIFS(tblSource[FeeUSD],tblSource[Site],B2,tblSource[Period],C2,tblSource[EventType],"VendorSettlement",tblSource[ReleaseStatus],"APPROVED"),SUMIFS(tblSettlementSchedule[FeeUSD],tblSettlementSchedule[Site],B2,tblSettlementSchedule[Period],C2,tblSettlementSchedule[EventType],"Collection",tblSettlementSchedule[PendingActualOrigin],1)+SUMIFS(tblSettlementSchedule[FeeUSD],tblSettlementSchedule[Site],B2,tblSettlementSchedule[Period],C2,tblSettlementSchedule[EventType],"VendorSettlement",tblSettlementSchedule[PendingActualOrigin],1)+(Assumptions!$K$8*Revenue!H2+(1-Assumptions!$K$8)*0+IF(C2=EDATE(Settlement_Bridge!$C$2,1),MAX(0,SUMIFS(tblSettlementBridge[UnallocatedARBookUSD],tblSettlementBridge[Site],B2)),0))*0.0008+(Assumptions!$K$9*(Operating_Costs!N2+Capex!D2)+(1-Assumptions!$K$9)*0+IF(C2=EDATE(Settlement_Bridge!$C$2,1),MAX(0,SUMIFS(tblSettlementBridge[UnallocatedAPBookUSD],tblSettlementBridge[Site],B2)),0))*0.00055)</f>
        <v>2703.9500000000003</v>
      </c>
      <c r="H2" s="12">
        <f t="shared" ref="H2:H22" si="0">E2-F2-G2</f>
        <v>2487467.2799999998</v>
      </c>
      <c r="I2" s="12">
        <f t="shared" ref="I2:I22" si="1">D2+H2</f>
        <v>8487467.2799999993</v>
      </c>
      <c r="J2" s="12">
        <f>Assumptions!$K$11</f>
        <v>0</v>
      </c>
      <c r="K2" s="12">
        <f>Revenue!H2</f>
        <v>7363381.3899999997</v>
      </c>
      <c r="L2" s="10">
        <f>IF(INDEX(Period_Status!$B$2:$B$8,MATCH(C2,Period_Status!$A$2:$A$8,0))="ActualClosed",SUMIFS(tblSource[AppliedUSD],tblSource[Site],B2,tblSource[Period],C2,tblSource[EventType],"Collection",tblSource[ReleaseStatus],"APPROVED"),SUMIFS(tblSettlementSchedule[AppliedBookUSD],tblSettlementSchedule[Site],B2,tblSettlementSchedule[Period],C2,tblSettlementSchedule[EventType],"Collection",tblSettlementSchedule[PendingActualOrigin],1)+Assumptions!$K$8*Revenue!H2+(1-Assumptions!$K$8)*0+IF(C2=EDATE(Settlement_Bridge!$C$2,1),MAX(0,SUMIFS(tblSettlementBridge[UnallocatedARBookUSD],tblSettlementBridge[Site],B2)),0))</f>
        <v>2992432.52</v>
      </c>
      <c r="M2" s="12">
        <f t="shared" ref="M2:M22" si="2">J2+K2-L2</f>
        <v>4370948.8699999992</v>
      </c>
      <c r="N2" s="10">
        <f>IF(INDEX(Period_Status!$B$2:$B$8,MATCH(C2,Period_Status!$A$2:$A$8,0))="ActualClosed",Controls!H2,SUMIFS(tblSettlementSchedule[CashUSD],tblSettlementSchedule[Site],B2,tblSettlementSchedule[Period],C2,tblSettlementSchedule[EventType],"Collection",tblSettlementSchedule[PendingActualOrigin],1)+Assumptions!$K$8*Revenue!H2+(1-Assumptions!$K$8)*0+IF(C2=EDATE(Settlement_Bridge!$C$2,1),MAX(0,SUMIFS(tblSettlementBridge[UnallocatedARBookUSD],tblSettlementBridge[Site],B2)),0))</f>
        <v>2992432.52</v>
      </c>
      <c r="O2" s="12">
        <f t="shared" ref="O2:O22" si="3">E2-N2</f>
        <v>0</v>
      </c>
      <c r="P2" s="12">
        <f>0</f>
        <v>0</v>
      </c>
      <c r="Q2" s="12">
        <f>Operating_Costs!N2+Capex!D2</f>
        <v>2490344.5299999998</v>
      </c>
      <c r="R2" s="10">
        <f>IF(INDEX(Period_Status!$B$2:$B$8,MATCH(C2,Period_Status!$A$2:$A$8,0))="ActualClosed",SUMIFS(tblSource[AppliedUSD],tblSource[Site],B2,tblSource[Period],C2,tblSource[EventType],"VendorSettlement",tblSource[ReleaseStatus],"APPROVED"),SUMIFS(tblSettlementSchedule[AppliedBookUSD],tblSettlementSchedule[Site],B2,tblSettlementSchedule[Period],C2,tblSettlementSchedule[EventType],"VendorSettlement",tblSettlementSchedule[PendingActualOrigin],1)+Assumptions!$K$9*(Operating_Costs!N2+Capex!D2)+(1-Assumptions!$K$9)*0+IF(C2=EDATE(Settlement_Bridge!$C$2,1),MAX(0,SUMIFS(tblSettlementBridge[UnallocatedAPBookUSD],tblSettlementBridge[Site],B2)),0))</f>
        <v>502261.28999999992</v>
      </c>
      <c r="S2" s="12">
        <f t="shared" ref="S2:S22" si="4">P2+Q2-R2</f>
        <v>1988083.2399999998</v>
      </c>
      <c r="T2" s="23">
        <f t="shared" ref="T2:T22" si="5">E2-L2</f>
        <v>0</v>
      </c>
      <c r="U2" s="23">
        <f t="shared" ref="U2:U22" si="6">F2-R2</f>
        <v>0</v>
      </c>
    </row>
    <row r="3" spans="1:21" x14ac:dyDescent="0.25">
      <c r="A3" s="2" t="s">
        <v>12434</v>
      </c>
      <c r="B3" s="2" t="s">
        <v>136</v>
      </c>
      <c r="C3" s="6">
        <v>46204</v>
      </c>
      <c r="D3" s="12">
        <f t="shared" ref="D3:D8" si="7">I2</f>
        <v>8487467.2799999993</v>
      </c>
      <c r="E3" s="10">
        <f>IF(INDEX(Period_Status!$B$2:$B$8,MATCH(C3,Period_Status!$A$2:$A$8,0))="ActualClosed",SUMIFS(tblSource[AmountUSD],tblSource[Site],B3,tblSource[Period],C3,tblSource[EventType],"Collection",tblSource[ReleaseStatus],"APPROVED"),SUMIFS(tblSettlementSchedule[CashUSD],tblSettlementSchedule[Site],B3,tblSettlementSchedule[Period],C3,tblSettlementSchedule[EventType],"Collection",tblSettlementSchedule[PendingActualOrigin],1)+Assumptions!$K$8*Revenue!H3+(1-Assumptions!$K$8)*IF(INDEX(Period_Status!$B$2:$B$8,MATCH(C2,Period_Status!$A$2:$A$8,0))="Forecast",Revenue!H2,0)+IF(C3=EDATE(Settlement_Bridge!$C$2,1),MAX(0,SUMIFS(tblSettlementBridge[UnallocatedARBookUSD],tblSettlementBridge[Site],B3)),0))</f>
        <v>7028077.2899999991</v>
      </c>
      <c r="F3" s="10">
        <f>IF(INDEX(Period_Status!$B$2:$B$8,MATCH(C3,Period_Status!$A$2:$A$8,0))="ActualClosed",SUMIFS(tblSource[AmountUSD],tblSource[Site],B3,tblSource[Period],C3,tblSource[EventType],"VendorSettlement",tblSource[ReleaseStatus],"APPROVED"),SUMIFS(tblSettlementSchedule[CashUSD],tblSettlementSchedule[Site],B3,tblSettlementSchedule[Period],C3,tblSettlementSchedule[EventType],"VendorSettlement",tblSettlementSchedule[PendingActualOrigin],1)+Assumptions!$K$9*(Operating_Costs!N3+Capex!D3)+(1-Assumptions!$K$9)*IF(INDEX(Period_Status!$B$2:$B$8,MATCH(C2,Period_Status!$A$2:$A$8,0))="Forecast",Operating_Costs!N2+Capex!D2,0)+IF(C3=EDATE(Settlement_Bridge!$C$2,1),MAX(0,SUMIFS(tblSettlementBridge[UnallocatedAPBookUSD],tblSettlementBridge[Site],B3)),0))</f>
        <v>2365180.7699999996</v>
      </c>
      <c r="G3" s="10">
        <f>IF(INDEX(Period_Status!$B$2:$B$8,MATCH(C3,Period_Status!$A$2:$A$8,0))="ActualClosed",SUMIFS(tblSource[FeeUSD],tblSource[Site],B3,tblSource[Period],C3,tblSource[EventType],"Collection",tblSource[ReleaseStatus],"APPROVED")+SUMIFS(tblSource[FeeUSD],tblSource[Site],B3,tblSource[Period],C3,tblSource[EventType],"VendorSettlement",tblSource[ReleaseStatus],"APPROVED"),SUMIFS(tblSettlementSchedule[FeeUSD],tblSettlementSchedule[Site],B3,tblSettlementSchedule[Period],C3,tblSettlementSchedule[EventType],"Collection",tblSettlementSchedule[PendingActualOrigin],1)+SUMIFS(tblSettlementSchedule[FeeUSD],tblSettlementSchedule[Site],B3,tblSettlementSchedule[Period],C3,tblSettlementSchedule[EventType],"VendorSettlement",tblSettlementSchedule[PendingActualOrigin],1)+(Assumptions!$K$8*Revenue!H3+(1-Assumptions!$K$8)*IF(INDEX(Period_Status!$B$2:$B$8,MATCH(C2,Period_Status!$A$2:$A$8,0))="Forecast",Revenue!H2,0)+IF(C3=EDATE(Settlement_Bridge!$C$2,1),MAX(0,SUMIFS(tblSettlementBridge[UnallocatedARBookUSD],tblSettlementBridge[Site],B3)),0))*0.0008+(Assumptions!$K$9*(Operating_Costs!N3+Capex!D3)+(1-Assumptions!$K$9)*IF(INDEX(Period_Status!$B$2:$B$8,MATCH(C2,Period_Status!$A$2:$A$8,0))="Forecast",Operating_Costs!N2+Capex!D2,0)+IF(C3=EDATE(Settlement_Bridge!$C$2,1),MAX(0,SUMIFS(tblSettlementBridge[UnallocatedAPBookUSD],tblSettlementBridge[Site],B3)),0))*0.00055)</f>
        <v>7035.7899999999954</v>
      </c>
      <c r="H3" s="12">
        <f t="shared" si="0"/>
        <v>4655860.7299999995</v>
      </c>
      <c r="I3" s="12">
        <f t="shared" si="1"/>
        <v>13143328.009999998</v>
      </c>
      <c r="J3" s="12">
        <f t="shared" ref="J3:J8" si="8">M2</f>
        <v>4370948.8699999992</v>
      </c>
      <c r="K3" s="12">
        <f>Revenue!H3</f>
        <v>5208996.5600000005</v>
      </c>
      <c r="L3" s="10">
        <f>IF(INDEX(Period_Status!$B$2:$B$8,MATCH(C3,Period_Status!$A$2:$A$8,0))="ActualClosed",SUMIFS(tblSource[AppliedUSD],tblSource[Site],B3,tblSource[Period],C3,tblSource[EventType],"Collection",tblSource[ReleaseStatus],"APPROVED"),SUMIFS(tblSettlementSchedule[AppliedBookUSD],tblSettlementSchedule[Site],B3,tblSettlementSchedule[Period],C3,tblSettlementSchedule[EventType],"Collection",tblSettlementSchedule[PendingActualOrigin],1)+Assumptions!$K$8*Revenue!H3+(1-Assumptions!$K$8)*IF(INDEX(Period_Status!$B$2:$B$8,MATCH(C2,Period_Status!$A$2:$A$8,0))="Forecast",Revenue!H2,0)+IF(C3=EDATE(Settlement_Bridge!$C$2,1),MAX(0,SUMIFS(tblSettlementBridge[UnallocatedARBookUSD],tblSettlementBridge[Site],B3)),0))</f>
        <v>7050070.9000000004</v>
      </c>
      <c r="M3" s="12">
        <f t="shared" si="2"/>
        <v>2529874.5299999993</v>
      </c>
      <c r="N3" s="10">
        <f>IF(INDEX(Period_Status!$B$2:$B$8,MATCH(C3,Period_Status!$A$2:$A$8,0))="ActualClosed",Controls!H3,SUMIFS(tblSettlementSchedule[CashUSD],tblSettlementSchedule[Site],B3,tblSettlementSchedule[Period],C3,tblSettlementSchedule[EventType],"Collection",tblSettlementSchedule[PendingActualOrigin],1)+Assumptions!$K$8*Revenue!H3+(1-Assumptions!$K$8)*IF(INDEX(Period_Status!$B$2:$B$8,MATCH(C2,Period_Status!$A$2:$A$8,0))="Forecast",Revenue!H2,0)+IF(C3=EDATE(Settlement_Bridge!$C$2,1),MAX(0,SUMIFS(tblSettlementBridge[UnallocatedARBookUSD],tblSettlementBridge[Site],B3)),0))</f>
        <v>7028077.2899999991</v>
      </c>
      <c r="O3" s="12">
        <f t="shared" si="3"/>
        <v>0</v>
      </c>
      <c r="P3" s="12">
        <f t="shared" ref="P3:P8" si="9">S2</f>
        <v>1988083.2399999998</v>
      </c>
      <c r="Q3" s="12">
        <f>Operating_Costs!N3+Capex!D3</f>
        <v>2196727.92</v>
      </c>
      <c r="R3" s="10">
        <f>IF(INDEX(Period_Status!$B$2:$B$8,MATCH(C3,Period_Status!$A$2:$A$8,0))="ActualClosed",SUMIFS(tblSource[AppliedUSD],tblSource[Site],B3,tblSource[Period],C3,tblSource[EventType],"VendorSettlement",tblSource[ReleaseStatus],"APPROVED"),SUMIFS(tblSettlementSchedule[AppliedBookUSD],tblSettlementSchedule[Site],B3,tblSettlementSchedule[Period],C3,tblSettlementSchedule[EventType],"VendorSettlement",tblSettlementSchedule[PendingActualOrigin],1)+Assumptions!$K$9*(Operating_Costs!N3+Capex!D3)+(1-Assumptions!$K$9)*IF(INDEX(Period_Status!$B$2:$B$8,MATCH(C2,Period_Status!$A$2:$A$8,0))="Forecast",Operating_Costs!N2+Capex!D2,0)+IF(C3=EDATE(Settlement_Bridge!$C$2,1),MAX(0,SUMIFS(tblSettlementBridge[UnallocatedAPBookUSD],tblSettlementBridge[Site],B3)),0))</f>
        <v>2376328.52</v>
      </c>
      <c r="S3" s="12">
        <f t="shared" si="4"/>
        <v>1808482.6399999997</v>
      </c>
      <c r="T3" s="23">
        <f t="shared" si="5"/>
        <v>-21993.610000001267</v>
      </c>
      <c r="U3" s="23">
        <f t="shared" si="6"/>
        <v>-11147.750000000466</v>
      </c>
    </row>
    <row r="4" spans="1:21" x14ac:dyDescent="0.25">
      <c r="A4" s="2" t="s">
        <v>12435</v>
      </c>
      <c r="B4" s="2" t="s">
        <v>136</v>
      </c>
      <c r="C4" s="6">
        <v>46235</v>
      </c>
      <c r="D4" s="12">
        <f t="shared" si="7"/>
        <v>13143328.009999998</v>
      </c>
      <c r="E4" s="10">
        <f>IF(INDEX(Period_Status!$B$2:$B$8,MATCH(C4,Period_Status!$A$2:$A$8,0))="ActualClosed",SUMIFS(tblSource[AmountUSD],tblSource[Site],B4,tblSource[Period],C4,tblSource[EventType],"Collection",tblSource[ReleaseStatus],"APPROVED"),SUMIFS(tblSettlementSchedule[CashUSD],tblSettlementSchedule[Site],B4,tblSettlementSchedule[Period],C4,tblSettlementSchedule[EventType],"Collection",tblSettlementSchedule[PendingActualOrigin],1)+Assumptions!$K$8*Revenue!H4+(1-Assumptions!$K$8)*IF(INDEX(Period_Status!$B$2:$B$8,MATCH(C3,Period_Status!$A$2:$A$8,0))="Forecast",Revenue!H3,0)+IF(C4=EDATE(Settlement_Bridge!$C$2,1),MAX(0,SUMIFS(tblSettlementBridge[UnallocatedARBookUSD],tblSettlementBridge[Site],B4)),0))</f>
        <v>12195529.551759306</v>
      </c>
      <c r="F4" s="10">
        <f>IF(INDEX(Period_Status!$B$2:$B$8,MATCH(C4,Period_Status!$A$2:$A$8,0))="ActualClosed",SUMIFS(tblSource[AmountUSD],tblSource[Site],B4,tblSource[Period],C4,tblSource[EventType],"VendorSettlement",tblSource[ReleaseStatus],"APPROVED"),SUMIFS(tblSettlementSchedule[CashUSD],tblSettlementSchedule[Site],B4,tblSettlementSchedule[Period],C4,tblSettlementSchedule[EventType],"VendorSettlement",tblSettlementSchedule[PendingActualOrigin],1)+Assumptions!$K$9*(Operating_Costs!N4+Capex!D4)+(1-Assumptions!$K$9)*IF(INDEX(Period_Status!$B$2:$B$8,MATCH(C3,Period_Status!$A$2:$A$8,0))="Forecast",Operating_Costs!N3+Capex!D3,0)+IF(C4=EDATE(Settlement_Bridge!$C$2,1),MAX(0,SUMIFS(tblSettlementBridge[UnallocatedAPBookUSD],tblSettlementBridge[Site],B4)),0))</f>
        <v>4106876.0365759996</v>
      </c>
      <c r="G4" s="10">
        <f>IF(INDEX(Period_Status!$B$2:$B$8,MATCH(C4,Period_Status!$A$2:$A$8,0))="ActualClosed",SUMIFS(tblSource[FeeUSD],tblSource[Site],B4,tblSource[Period],C4,tblSource[EventType],"Collection",tblSource[ReleaseStatus],"APPROVED")+SUMIFS(tblSource[FeeUSD],tblSource[Site],B4,tblSource[Period],C4,tblSource[EventType],"VendorSettlement",tblSource[ReleaseStatus],"APPROVED"),SUMIFS(tblSettlementSchedule[FeeUSD],tblSettlementSchedule[Site],B4,tblSettlementSchedule[Period],C4,tblSettlementSchedule[EventType],"Collection",tblSettlementSchedule[PendingActualOrigin],1)+SUMIFS(tblSettlementSchedule[FeeUSD],tblSettlementSchedule[Site],B4,tblSettlementSchedule[Period],C4,tblSettlementSchedule[EventType],"VendorSettlement",tblSettlementSchedule[PendingActualOrigin],1)+(Assumptions!$K$8*Revenue!H4+(1-Assumptions!$K$8)*IF(INDEX(Period_Status!$B$2:$B$8,MATCH(C3,Period_Status!$A$2:$A$8,0))="Forecast",Revenue!H3,0)+IF(C4=EDATE(Settlement_Bridge!$C$2,1),MAX(0,SUMIFS(tblSettlementBridge[UnallocatedARBookUSD],tblSettlementBridge[Site],B4)),0))*0.0008+(Assumptions!$K$9*(Operating_Costs!N4+Capex!D4)+(1-Assumptions!$K$9)*IF(INDEX(Period_Status!$B$2:$B$8,MATCH(C3,Period_Status!$A$2:$A$8,0))="Forecast",Operating_Costs!N3+Capex!D3,0)+IF(C4=EDATE(Settlement_Bridge!$C$2,1),MAX(0,SUMIFS(tblSettlementBridge[UnallocatedAPBookUSD],tblSettlementBridge[Site],B4)),0))*0.00055)</f>
        <v>12099.383877024242</v>
      </c>
      <c r="H4" s="12">
        <f t="shared" si="0"/>
        <v>8076554.1313062832</v>
      </c>
      <c r="I4" s="12">
        <f t="shared" si="1"/>
        <v>21219882.141306281</v>
      </c>
      <c r="J4" s="12">
        <f t="shared" si="8"/>
        <v>2529874.5299999993</v>
      </c>
      <c r="K4" s="12">
        <f>Revenue!H4</f>
        <v>8702404.7292719372</v>
      </c>
      <c r="L4" s="10">
        <f>IF(INDEX(Period_Status!$B$2:$B$8,MATCH(C4,Period_Status!$A$2:$A$8,0))="ActualClosed",SUMIFS(tblSource[AppliedUSD],tblSource[Site],B4,tblSource[Period],C4,tblSource[EventType],"Collection",tblSource[ReleaseStatus],"APPROVED"),SUMIFS(tblSettlementSchedule[AppliedBookUSD],tblSettlementSchedule[Site],B4,tblSettlementSchedule[Period],C4,tblSettlementSchedule[EventType],"Collection",tblSettlementSchedule[PendingActualOrigin],1)+Assumptions!$K$8*Revenue!H4+(1-Assumptions!$K$8)*IF(INDEX(Period_Status!$B$2:$B$8,MATCH(C3,Period_Status!$A$2:$A$8,0))="Forecast",Revenue!H3,0)+IF(C4=EDATE(Settlement_Bridge!$C$2,1),MAX(0,SUMIFS(tblSettlementBridge[UnallocatedARBookUSD],tblSettlementBridge[Site],B4)),0))</f>
        <v>12230856.751759306</v>
      </c>
      <c r="M4" s="12">
        <f t="shared" si="2"/>
        <v>-998577.49248736911</v>
      </c>
      <c r="N4" s="10">
        <f>IF(INDEX(Period_Status!$B$2:$B$8,MATCH(C4,Period_Status!$A$2:$A$8,0))="ActualClosed",Controls!H4,SUMIFS(tblSettlementSchedule[CashUSD],tblSettlementSchedule[Site],B4,tblSettlementSchedule[Period],C4,tblSettlementSchedule[EventType],"Collection",tblSettlementSchedule[PendingActualOrigin],1)+Assumptions!$K$8*Revenue!H4+(1-Assumptions!$K$8)*IF(INDEX(Period_Status!$B$2:$B$8,MATCH(C3,Period_Status!$A$2:$A$8,0))="Forecast",Revenue!H3,0)+IF(C4=EDATE(Settlement_Bridge!$C$2,1),MAX(0,SUMIFS(tblSettlementBridge[UnallocatedARBookUSD],tblSettlementBridge[Site],B4)),0))</f>
        <v>12195529.551759306</v>
      </c>
      <c r="O4" s="12">
        <f t="shared" si="3"/>
        <v>0</v>
      </c>
      <c r="P4" s="12">
        <f t="shared" si="9"/>
        <v>1808482.6399999997</v>
      </c>
      <c r="Q4" s="12">
        <f>Operating_Costs!N4+Capex!D4</f>
        <v>2631022.0568000004</v>
      </c>
      <c r="R4" s="10">
        <f>IF(INDEX(Period_Status!$B$2:$B$8,MATCH(C4,Period_Status!$A$2:$A$8,0))="ActualClosed",SUMIFS(tblSource[AppliedUSD],tblSource[Site],B4,tblSource[Period],C4,tblSource[EventType],"VendorSettlement",tblSource[ReleaseStatus],"APPROVED"),SUMIFS(tblSettlementSchedule[AppliedBookUSD],tblSettlementSchedule[Site],B4,tblSettlementSchedule[Period],C4,tblSettlementSchedule[EventType],"VendorSettlement",tblSettlementSchedule[PendingActualOrigin],1)+Assumptions!$K$9*(Operating_Costs!N4+Capex!D4)+(1-Assumptions!$K$9)*IF(INDEX(Period_Status!$B$2:$B$8,MATCH(C3,Period_Status!$A$2:$A$8,0))="Forecast",Operating_Costs!N3+Capex!D3,0)+IF(C4=EDATE(Settlement_Bridge!$C$2,1),MAX(0,SUMIFS(tblSettlementBridge[UnallocatedAPBookUSD],tblSettlementBridge[Site],B4)),0))</f>
        <v>4120572.7765760007</v>
      </c>
      <c r="S4" s="12">
        <f t="shared" si="4"/>
        <v>318931.9202239993</v>
      </c>
      <c r="T4" s="23">
        <f t="shared" si="5"/>
        <v>-35327.199999999255</v>
      </c>
      <c r="U4" s="23">
        <f t="shared" si="6"/>
        <v>-13696.740000001155</v>
      </c>
    </row>
    <row r="5" spans="1:21" x14ac:dyDescent="0.25">
      <c r="A5" s="2" t="s">
        <v>12436</v>
      </c>
      <c r="B5" s="2" t="s">
        <v>136</v>
      </c>
      <c r="C5" s="6">
        <v>46266</v>
      </c>
      <c r="D5" s="12">
        <f t="shared" si="7"/>
        <v>21219882.141306281</v>
      </c>
      <c r="E5" s="10">
        <f>IF(INDEX(Period_Status!$B$2:$B$8,MATCH(C5,Period_Status!$A$2:$A$8,0))="ActualClosed",SUMIFS(tblSource[AmountUSD],tblSource[Site],B5,tblSource[Period],C5,tblSource[EventType],"Collection",tblSource[ReleaseStatus],"APPROVED"),SUMIFS(tblSettlementSchedule[CashUSD],tblSettlementSchedule[Site],B5,tblSettlementSchedule[Period],C5,tblSettlementSchedule[EventType],"Collection",tblSettlementSchedule[PendingActualOrigin],1)+Assumptions!$K$8*Revenue!H5+(1-Assumptions!$K$8)*IF(INDEX(Period_Status!$B$2:$B$8,MATCH(C4,Period_Status!$A$2:$A$8,0))="Forecast",Revenue!H4,0)+IF(C5=EDATE(Settlement_Bridge!$C$2,1),MAX(0,SUMIFS(tblSettlementBridge[UnallocatedARBookUSD],tblSettlementBridge[Site],B5)),0))</f>
        <v>9177608.0967614278</v>
      </c>
      <c r="F5" s="10">
        <f>IF(INDEX(Period_Status!$B$2:$B$8,MATCH(C5,Period_Status!$A$2:$A$8,0))="ActualClosed",SUMIFS(tblSource[AmountUSD],tblSource[Site],B5,tblSource[Period],C5,tblSource[EventType],"VendorSettlement",tblSource[ReleaseStatus],"APPROVED"),SUMIFS(tblSettlementSchedule[CashUSD],tblSettlementSchedule[Site],B5,tblSettlementSchedule[Period],C5,tblSettlementSchedule[EventType],"VendorSettlement",tblSettlementSchedule[PendingActualOrigin],1)+Assumptions!$K$9*(Operating_Costs!N5+Capex!D5)+(1-Assumptions!$K$9)*IF(INDEX(Period_Status!$B$2:$B$8,MATCH(C4,Period_Status!$A$2:$A$8,0))="Forecast",Operating_Costs!N4+Capex!D4,0)+IF(C5=EDATE(Settlement_Bridge!$C$2,1),MAX(0,SUMIFS(tblSettlementBridge[UnallocatedAPBookUSD],tblSettlementBridge[Site],B5)),0))</f>
        <v>2774438.6017439999</v>
      </c>
      <c r="G5" s="10">
        <f>IF(INDEX(Period_Status!$B$2:$B$8,MATCH(C5,Period_Status!$A$2:$A$8,0))="ActualClosed",SUMIFS(tblSource[FeeUSD],tblSource[Site],B5,tblSource[Period],C5,tblSource[EventType],"Collection",tblSource[ReleaseStatus],"APPROVED")+SUMIFS(tblSource[FeeUSD],tblSource[Site],B5,tblSource[Period],C5,tblSource[EventType],"VendorSettlement",tblSource[ReleaseStatus],"APPROVED"),SUMIFS(tblSettlementSchedule[FeeUSD],tblSettlementSchedule[Site],B5,tblSettlementSchedule[Period],C5,tblSettlementSchedule[EventType],"Collection",tblSettlementSchedule[PendingActualOrigin],1)+SUMIFS(tblSettlementSchedule[FeeUSD],tblSettlementSchedule[Site],B5,tblSettlementSchedule[Period],C5,tblSettlementSchedule[EventType],"VendorSettlement",tblSettlementSchedule[PendingActualOrigin],1)+(Assumptions!$K$8*Revenue!H5+(1-Assumptions!$K$8)*IF(INDEX(Period_Status!$B$2:$B$8,MATCH(C4,Period_Status!$A$2:$A$8,0))="Forecast",Revenue!H4,0)+IF(C5=EDATE(Settlement_Bridge!$C$2,1),MAX(0,SUMIFS(tblSettlementBridge[UnallocatedARBookUSD],tblSettlementBridge[Site],B5)),0))*0.0008+(Assumptions!$K$9*(Operating_Costs!N5+Capex!D5)+(1-Assumptions!$K$9)*IF(INDEX(Period_Status!$B$2:$B$8,MATCH(C4,Period_Status!$A$2:$A$8,0))="Forecast",Operating_Costs!N4+Capex!D4,0)+IF(C5=EDATE(Settlement_Bridge!$C$2,1),MAX(0,SUMIFS(tblSettlementBridge[UnallocatedAPBookUSD],tblSettlementBridge[Site],B5)),0))*0.00055)</f>
        <v>8875.9566938683438</v>
      </c>
      <c r="H5" s="12">
        <f t="shared" si="0"/>
        <v>6394293.5383235598</v>
      </c>
      <c r="I5" s="12">
        <f t="shared" si="1"/>
        <v>27614175.67962984</v>
      </c>
      <c r="J5" s="12">
        <f t="shared" si="8"/>
        <v>-998577.49248736911</v>
      </c>
      <c r="K5" s="12">
        <f>Revenue!H5</f>
        <v>8837101.044600904</v>
      </c>
      <c r="L5" s="10">
        <f>IF(INDEX(Period_Status!$B$2:$B$8,MATCH(C5,Period_Status!$A$2:$A$8,0))="ActualClosed",SUMIFS(tblSource[AppliedUSD],tblSource[Site],B5,tblSource[Period],C5,tblSource[EventType],"Collection",tblSource[ReleaseStatus],"APPROVED"),SUMIFS(tblSettlementSchedule[AppliedBookUSD],tblSettlementSchedule[Site],B5,tblSettlementSchedule[Period],C5,tblSettlementSchedule[EventType],"Collection",tblSettlementSchedule[PendingActualOrigin],1)+Assumptions!$K$8*Revenue!H5+(1-Assumptions!$K$8)*IF(INDEX(Period_Status!$B$2:$B$8,MATCH(C4,Period_Status!$A$2:$A$8,0))="Forecast",Revenue!H4,0)+IF(C5=EDATE(Settlement_Bridge!$C$2,1),MAX(0,SUMIFS(tblSettlementBridge[UnallocatedARBookUSD],tblSettlementBridge[Site],B5)),0))</f>
        <v>9181443.2667614277</v>
      </c>
      <c r="M5" s="12">
        <f t="shared" si="2"/>
        <v>-1342919.7146478929</v>
      </c>
      <c r="N5" s="10">
        <f>IF(INDEX(Period_Status!$B$2:$B$8,MATCH(C5,Period_Status!$A$2:$A$8,0))="ActualClosed",Controls!H5,SUMIFS(tblSettlementSchedule[CashUSD],tblSettlementSchedule[Site],B5,tblSettlementSchedule[Period],C5,tblSettlementSchedule[EventType],"Collection",tblSettlementSchedule[PendingActualOrigin],1)+Assumptions!$K$8*Revenue!H5+(1-Assumptions!$K$8)*IF(INDEX(Period_Status!$B$2:$B$8,MATCH(C4,Period_Status!$A$2:$A$8,0))="Forecast",Revenue!H4,0)+IF(C5=EDATE(Settlement_Bridge!$C$2,1),MAX(0,SUMIFS(tblSettlementBridge[UnallocatedARBookUSD],tblSettlementBridge[Site],B5)),0))</f>
        <v>9177608.0967614278</v>
      </c>
      <c r="O5" s="12">
        <f t="shared" si="3"/>
        <v>0</v>
      </c>
      <c r="P5" s="12">
        <f t="shared" si="9"/>
        <v>318931.9202239993</v>
      </c>
      <c r="Q5" s="12">
        <f>Operating_Costs!N5+Capex!D5</f>
        <v>2664934.6359999999</v>
      </c>
      <c r="R5" s="10">
        <f>IF(INDEX(Period_Status!$B$2:$B$8,MATCH(C5,Period_Status!$A$2:$A$8,0))="ActualClosed",SUMIFS(tblSource[AppliedUSD],tblSource[Site],B5,tblSource[Period],C5,tblSource[EventType],"VendorSettlement",tblSource[ReleaseStatus],"APPROVED"),SUMIFS(tblSettlementSchedule[AppliedBookUSD],tblSettlementSchedule[Site],B5,tblSettlementSchedule[Period],C5,tblSettlementSchedule[EventType],"VendorSettlement",tblSettlementSchedule[PendingActualOrigin],1)+Assumptions!$K$9*(Operating_Costs!N5+Capex!D5)+(1-Assumptions!$K$9)*IF(INDEX(Period_Status!$B$2:$B$8,MATCH(C4,Period_Status!$A$2:$A$8,0))="Forecast",Operating_Costs!N4+Capex!D4,0)+IF(C5=EDATE(Settlement_Bridge!$C$2,1),MAX(0,SUMIFS(tblSettlementBridge[UnallocatedAPBookUSD],tblSettlementBridge[Site],B5)),0))</f>
        <v>2775705.471744</v>
      </c>
      <c r="S5" s="12">
        <f t="shared" si="4"/>
        <v>208161.08447999926</v>
      </c>
      <c r="T5" s="23">
        <f t="shared" si="5"/>
        <v>-3835.1699999999255</v>
      </c>
      <c r="U5" s="23">
        <f t="shared" si="6"/>
        <v>-1266.8700000001118</v>
      </c>
    </row>
    <row r="6" spans="1:21" x14ac:dyDescent="0.25">
      <c r="A6" s="2" t="s">
        <v>12437</v>
      </c>
      <c r="B6" s="2" t="s">
        <v>136</v>
      </c>
      <c r="C6" s="6">
        <v>46296</v>
      </c>
      <c r="D6" s="12">
        <f t="shared" si="7"/>
        <v>27614175.67962984</v>
      </c>
      <c r="E6" s="10">
        <f>IF(INDEX(Period_Status!$B$2:$B$8,MATCH(C6,Period_Status!$A$2:$A$8,0))="ActualClosed",SUMIFS(tblSource[AmountUSD],tblSource[Site],B6,tblSource[Period],C6,tblSource[EventType],"Collection",tblSource[ReleaseStatus],"APPROVED"),SUMIFS(tblSettlementSchedule[CashUSD],tblSettlementSchedule[Site],B6,tblSettlementSchedule[Period],C6,tblSettlementSchedule[EventType],"Collection",tblSettlementSchedule[PendingActualOrigin],1)+Assumptions!$K$8*Revenue!H6+(1-Assumptions!$K$8)*IF(INDEX(Period_Status!$B$2:$B$8,MATCH(C5,Period_Status!$A$2:$A$8,0))="Forecast",Revenue!H5,0)+IF(C6=EDATE(Settlement_Bridge!$C$2,1),MAX(0,SUMIFS(tblSettlementBridge[UnallocatedARBookUSD],tblSettlementBridge[Site],B6)),0))</f>
        <v>9234283.6526293419</v>
      </c>
      <c r="F6" s="10">
        <f>IF(INDEX(Period_Status!$B$2:$B$8,MATCH(C6,Period_Status!$A$2:$A$8,0))="ActualClosed",SUMIFS(tblSource[AmountUSD],tblSource[Site],B6,tblSource[Period],C6,tblSource[EventType],"VendorSettlement",tblSource[ReleaseStatus],"APPROVED"),SUMIFS(tblSettlementSchedule[CashUSD],tblSettlementSchedule[Site],B6,tblSettlementSchedule[Period],C6,tblSettlementSchedule[EventType],"VendorSettlement",tblSettlementSchedule[PendingActualOrigin],1)+Assumptions!$K$9*(Operating_Costs!N6+Capex!D6)+(1-Assumptions!$K$9)*IF(INDEX(Period_Status!$B$2:$B$8,MATCH(C5,Period_Status!$A$2:$A$8,0))="Forecast",Operating_Costs!N5+Capex!D5,0)+IF(C6=EDATE(Settlement_Bridge!$C$2,1),MAX(0,SUMIFS(tblSettlementBridge[UnallocatedAPBookUSD],tblSettlementBridge[Site],B6)),0))</f>
        <v>2793046.5324000004</v>
      </c>
      <c r="G6" s="10">
        <f>IF(INDEX(Period_Status!$B$2:$B$8,MATCH(C6,Period_Status!$A$2:$A$8,0))="ActualClosed",SUMIFS(tblSource[FeeUSD],tblSource[Site],B6,tblSource[Period],C6,tblSource[EventType],"Collection",tblSource[ReleaseStatus],"APPROVED")+SUMIFS(tblSource[FeeUSD],tblSource[Site],B6,tblSource[Period],C6,tblSource[EventType],"VendorSettlement",tblSource[ReleaseStatus],"APPROVED"),SUMIFS(tblSettlementSchedule[FeeUSD],tblSettlementSchedule[Site],B6,tblSettlementSchedule[Period],C6,tblSettlementSchedule[EventType],"Collection",tblSettlementSchedule[PendingActualOrigin],1)+SUMIFS(tblSettlementSchedule[FeeUSD],tblSettlementSchedule[Site],B6,tblSettlementSchedule[Period],C6,tblSettlementSchedule[EventType],"VendorSettlement",tblSettlementSchedule[PendingActualOrigin],1)+(Assumptions!$K$8*Revenue!H6+(1-Assumptions!$K$8)*IF(INDEX(Period_Status!$B$2:$B$8,MATCH(C5,Period_Status!$A$2:$A$8,0))="Forecast",Revenue!H5,0)+IF(C6=EDATE(Settlement_Bridge!$C$2,1),MAX(0,SUMIFS(tblSettlementBridge[UnallocatedARBookUSD],tblSettlementBridge[Site],B6)),0))*0.0008+(Assumptions!$K$9*(Operating_Costs!N6+Capex!D6)+(1-Assumptions!$K$9)*IF(INDEX(Period_Status!$B$2:$B$8,MATCH(C5,Period_Status!$A$2:$A$8,0))="Forecast",Operating_Costs!N5+Capex!D5,0)+IF(C6=EDATE(Settlement_Bridge!$C$2,1),MAX(0,SUMIFS(tblSettlementBridge[UnallocatedAPBookUSD],tblSettlementBridge[Site],B6)),0))*0.00055)</f>
        <v>8923.6025149234738</v>
      </c>
      <c r="H6" s="12">
        <f t="shared" si="0"/>
        <v>6432313.5177144175</v>
      </c>
      <c r="I6" s="12">
        <f t="shared" si="1"/>
        <v>34046489.197344258</v>
      </c>
      <c r="J6" s="12">
        <f t="shared" si="8"/>
        <v>-1342919.7146478929</v>
      </c>
      <c r="K6" s="12">
        <f>Revenue!H6</f>
        <v>9288444.9173604921</v>
      </c>
      <c r="L6" s="10">
        <f>IF(INDEX(Period_Status!$B$2:$B$8,MATCH(C6,Period_Status!$A$2:$A$8,0))="ActualClosed",SUMIFS(tblSource[AppliedUSD],tblSource[Site],B6,tblSource[Period],C6,tblSource[EventType],"Collection",tblSource[ReleaseStatus],"APPROVED"),SUMIFS(tblSettlementSchedule[AppliedBookUSD],tblSettlementSchedule[Site],B6,tblSettlementSchedule[Period],C6,tblSettlementSchedule[EventType],"Collection",tblSettlementSchedule[PendingActualOrigin],1)+Assumptions!$K$8*Revenue!H6+(1-Assumptions!$K$8)*IF(INDEX(Period_Status!$B$2:$B$8,MATCH(C5,Period_Status!$A$2:$A$8,0))="Forecast",Revenue!H5,0)+IF(C6=EDATE(Settlement_Bridge!$C$2,1),MAX(0,SUMIFS(tblSettlementBridge[UnallocatedARBookUSD],tblSettlementBridge[Site],B6)),0))</f>
        <v>9234283.6526293419</v>
      </c>
      <c r="M6" s="12">
        <f t="shared" si="2"/>
        <v>-1288758.4499167427</v>
      </c>
      <c r="N6" s="10">
        <f>IF(INDEX(Period_Status!$B$2:$B$8,MATCH(C6,Period_Status!$A$2:$A$8,0))="ActualClosed",Controls!H6,SUMIFS(tblSettlementSchedule[CashUSD],tblSettlementSchedule[Site],B6,tblSettlementSchedule[Period],C6,tblSettlementSchedule[EventType],"Collection",tblSettlementSchedule[PendingActualOrigin],1)+Assumptions!$K$8*Revenue!H6+(1-Assumptions!$K$8)*IF(INDEX(Period_Status!$B$2:$B$8,MATCH(C5,Period_Status!$A$2:$A$8,0))="Forecast",Revenue!H5,0)+IF(C6=EDATE(Settlement_Bridge!$C$2,1),MAX(0,SUMIFS(tblSettlementBridge[UnallocatedARBookUSD],tblSettlementBridge[Site],B6)),0))</f>
        <v>9234283.6526293419</v>
      </c>
      <c r="O6" s="12">
        <f t="shared" si="3"/>
        <v>0</v>
      </c>
      <c r="P6" s="12">
        <f t="shared" si="9"/>
        <v>208161.08447999926</v>
      </c>
      <c r="Q6" s="12">
        <f>Operating_Costs!N6+Capex!D6</f>
        <v>2821168.6560000004</v>
      </c>
      <c r="R6" s="10">
        <f>IF(INDEX(Period_Status!$B$2:$B$8,MATCH(C6,Period_Status!$A$2:$A$8,0))="ActualClosed",SUMIFS(tblSource[AppliedUSD],tblSource[Site],B6,tblSource[Period],C6,tblSource[EventType],"VendorSettlement",tblSource[ReleaseStatus],"APPROVED"),SUMIFS(tblSettlementSchedule[AppliedBookUSD],tblSettlementSchedule[Site],B6,tblSettlementSchedule[Period],C6,tblSettlementSchedule[EventType],"VendorSettlement",tblSettlementSchedule[PendingActualOrigin],1)+Assumptions!$K$9*(Operating_Costs!N6+Capex!D6)+(1-Assumptions!$K$9)*IF(INDEX(Period_Status!$B$2:$B$8,MATCH(C5,Period_Status!$A$2:$A$8,0))="Forecast",Operating_Costs!N5+Capex!D5,0)+IF(C6=EDATE(Settlement_Bridge!$C$2,1),MAX(0,SUMIFS(tblSettlementBridge[UnallocatedAPBookUSD],tblSettlementBridge[Site],B6)),0))</f>
        <v>2793046.5324000004</v>
      </c>
      <c r="S6" s="12">
        <f t="shared" si="4"/>
        <v>236283.20807999931</v>
      </c>
      <c r="T6" s="23">
        <f t="shared" si="5"/>
        <v>0</v>
      </c>
      <c r="U6" s="23">
        <f t="shared" si="6"/>
        <v>0</v>
      </c>
    </row>
    <row r="7" spans="1:21" x14ac:dyDescent="0.25">
      <c r="A7" s="2" t="s">
        <v>12438</v>
      </c>
      <c r="B7" s="2" t="s">
        <v>136</v>
      </c>
      <c r="C7" s="6">
        <v>46327</v>
      </c>
      <c r="D7" s="12">
        <f t="shared" si="7"/>
        <v>34046489.197344258</v>
      </c>
      <c r="E7" s="10">
        <f>IF(INDEX(Period_Status!$B$2:$B$8,MATCH(C7,Period_Status!$A$2:$A$8,0))="ActualClosed",SUMIFS(tblSource[AmountUSD],tblSource[Site],B7,tblSource[Period],C7,tblSource[EventType],"Collection",tblSource[ReleaseStatus],"APPROVED"),SUMIFS(tblSettlementSchedule[CashUSD],tblSettlementSchedule[Site],B7,tblSettlementSchedule[Period],C7,tblSettlementSchedule[EventType],"Collection",tblSettlementSchedule[PendingActualOrigin],1)+Assumptions!$K$8*Revenue!H7+(1-Assumptions!$K$8)*IF(INDEX(Period_Status!$B$2:$B$8,MATCH(C6,Period_Status!$A$2:$A$8,0))="Forecast",Revenue!H6,0)+IF(C7=EDATE(Settlement_Bridge!$C$2,1),MAX(0,SUMIFS(tblSettlementBridge[UnallocatedARBookUSD],tblSettlementBridge[Site],B7)),0))</f>
        <v>8480106.9093378261</v>
      </c>
      <c r="F7" s="10">
        <f>IF(INDEX(Period_Status!$B$2:$B$8,MATCH(C7,Period_Status!$A$2:$A$8,0))="ActualClosed",SUMIFS(tblSource[AmountUSD],tblSource[Site],B7,tblSource[Period],C7,tblSource[EventType],"VendorSettlement",tblSource[ReleaseStatus],"APPROVED"),SUMIFS(tblSettlementSchedule[CashUSD],tblSettlementSchedule[Site],B7,tblSettlementSchedule[Period],C7,tblSettlementSchedule[EventType],"VendorSettlement",tblSettlementSchedule[PendingActualOrigin],1)+Assumptions!$K$9*(Operating_Costs!N7+Capex!D7)+(1-Assumptions!$K$9)*IF(INDEX(Period_Status!$B$2:$B$8,MATCH(C6,Period_Status!$A$2:$A$8,0))="Forecast",Operating_Costs!N6+Capex!D6,0)+IF(C7=EDATE(Settlement_Bridge!$C$2,1),MAX(0,SUMIFS(tblSettlementBridge[UnallocatedAPBookUSD],tblSettlementBridge[Site],B7)),0))</f>
        <v>3065968.4736599997</v>
      </c>
      <c r="G7" s="10">
        <f>IF(INDEX(Period_Status!$B$2:$B$8,MATCH(C7,Period_Status!$A$2:$A$8,0))="ActualClosed",SUMIFS(tblSource[FeeUSD],tblSource[Site],B7,tblSource[Period],C7,tblSource[EventType],"Collection",tblSource[ReleaseStatus],"APPROVED")+SUMIFS(tblSource[FeeUSD],tblSource[Site],B7,tblSource[Period],C7,tblSource[EventType],"VendorSettlement",tblSource[ReleaseStatus],"APPROVED"),SUMIFS(tblSettlementSchedule[FeeUSD],tblSettlementSchedule[Site],B7,tblSettlementSchedule[Period],C7,tblSettlementSchedule[EventType],"Collection",tblSettlementSchedule[PendingActualOrigin],1)+SUMIFS(tblSettlementSchedule[FeeUSD],tblSettlementSchedule[Site],B7,tblSettlementSchedule[Period],C7,tblSettlementSchedule[EventType],"VendorSettlement",tblSettlementSchedule[PendingActualOrigin],1)+(Assumptions!$K$8*Revenue!H7+(1-Assumptions!$K$8)*IF(INDEX(Period_Status!$B$2:$B$8,MATCH(C6,Period_Status!$A$2:$A$8,0))="Forecast",Revenue!H6,0)+IF(C7=EDATE(Settlement_Bridge!$C$2,1),MAX(0,SUMIFS(tblSettlementBridge[UnallocatedARBookUSD],tblSettlementBridge[Site],B7)),0))*0.0008+(Assumptions!$K$9*(Operating_Costs!N7+Capex!D7)+(1-Assumptions!$K$9)*IF(INDEX(Period_Status!$B$2:$B$8,MATCH(C6,Period_Status!$A$2:$A$8,0))="Forecast",Operating_Costs!N6+Capex!D6,0)+IF(C7=EDATE(Settlement_Bridge!$C$2,1),MAX(0,SUMIFS(tblSettlementBridge[UnallocatedAPBookUSD],tblSettlementBridge[Site],B7)),0))*0.00055)</f>
        <v>8470.3681879832602</v>
      </c>
      <c r="H7" s="12">
        <f t="shared" si="0"/>
        <v>5405668.0674898429</v>
      </c>
      <c r="I7" s="12">
        <f t="shared" si="1"/>
        <v>39452157.264834099</v>
      </c>
      <c r="J7" s="12">
        <f t="shared" si="8"/>
        <v>-1288758.4499167427</v>
      </c>
      <c r="K7" s="12">
        <f>Revenue!H7</f>
        <v>8369878.9991529174</v>
      </c>
      <c r="L7" s="10">
        <f>IF(INDEX(Period_Status!$B$2:$B$8,MATCH(C7,Period_Status!$A$2:$A$8,0))="ActualClosed",SUMIFS(tblSource[AppliedUSD],tblSource[Site],B7,tblSource[Period],C7,tblSource[EventType],"Collection",tblSource[ReleaseStatus],"APPROVED"),SUMIFS(tblSettlementSchedule[AppliedBookUSD],tblSettlementSchedule[Site],B7,tblSettlementSchedule[Period],C7,tblSettlementSchedule[EventType],"Collection",tblSettlementSchedule[PendingActualOrigin],1)+Assumptions!$K$8*Revenue!H7+(1-Assumptions!$K$8)*IF(INDEX(Period_Status!$B$2:$B$8,MATCH(C6,Period_Status!$A$2:$A$8,0))="Forecast",Revenue!H6,0)+IF(C7=EDATE(Settlement_Bridge!$C$2,1),MAX(0,SUMIFS(tblSettlementBridge[UnallocatedARBookUSD],tblSettlementBridge[Site],B7)),0))</f>
        <v>8480106.9093378261</v>
      </c>
      <c r="M7" s="12">
        <f t="shared" si="2"/>
        <v>-1398986.3601016514</v>
      </c>
      <c r="N7" s="10">
        <f>IF(INDEX(Period_Status!$B$2:$B$8,MATCH(C7,Period_Status!$A$2:$A$8,0))="ActualClosed",Controls!H7,SUMIFS(tblSettlementSchedule[CashUSD],tblSettlementSchedule[Site],B7,tblSettlementSchedule[Period],C7,tblSettlementSchedule[EventType],"Collection",tblSettlementSchedule[PendingActualOrigin],1)+Assumptions!$K$8*Revenue!H7+(1-Assumptions!$K$8)*IF(INDEX(Period_Status!$B$2:$B$8,MATCH(C6,Period_Status!$A$2:$A$8,0))="Forecast",Revenue!H6,0)+IF(C7=EDATE(Settlement_Bridge!$C$2,1),MAX(0,SUMIFS(tblSettlementBridge[UnallocatedARBookUSD],tblSettlementBridge[Site],B7)),0))</f>
        <v>8480106.9093378261</v>
      </c>
      <c r="O7" s="12">
        <f t="shared" si="3"/>
        <v>0</v>
      </c>
      <c r="P7" s="12">
        <f t="shared" si="9"/>
        <v>236283.20807999931</v>
      </c>
      <c r="Q7" s="12">
        <f>Operating_Costs!N7+Capex!D7</f>
        <v>3119705.0189999999</v>
      </c>
      <c r="R7" s="10">
        <f>IF(INDEX(Period_Status!$B$2:$B$8,MATCH(C7,Period_Status!$A$2:$A$8,0))="ActualClosed",SUMIFS(tblSource[AppliedUSD],tblSource[Site],B7,tblSource[Period],C7,tblSource[EventType],"VendorSettlement",tblSource[ReleaseStatus],"APPROVED"),SUMIFS(tblSettlementSchedule[AppliedBookUSD],tblSettlementSchedule[Site],B7,tblSettlementSchedule[Period],C7,tblSettlementSchedule[EventType],"VendorSettlement",tblSettlementSchedule[PendingActualOrigin],1)+Assumptions!$K$9*(Operating_Costs!N7+Capex!D7)+(1-Assumptions!$K$9)*IF(INDEX(Period_Status!$B$2:$B$8,MATCH(C6,Period_Status!$A$2:$A$8,0))="Forecast",Operating_Costs!N6+Capex!D6,0)+IF(C7=EDATE(Settlement_Bridge!$C$2,1),MAX(0,SUMIFS(tblSettlementBridge[UnallocatedAPBookUSD],tblSettlementBridge[Site],B7)),0))</f>
        <v>3065968.4736599997</v>
      </c>
      <c r="S7" s="12">
        <f t="shared" si="4"/>
        <v>290019.7534199995</v>
      </c>
      <c r="T7" s="23">
        <f t="shared" si="5"/>
        <v>0</v>
      </c>
      <c r="U7" s="23">
        <f t="shared" si="6"/>
        <v>0</v>
      </c>
    </row>
    <row r="8" spans="1:21" x14ac:dyDescent="0.25">
      <c r="A8" s="2" t="s">
        <v>12439</v>
      </c>
      <c r="B8" s="2" t="s">
        <v>136</v>
      </c>
      <c r="C8" s="6">
        <v>46357</v>
      </c>
      <c r="D8" s="12">
        <f t="shared" si="7"/>
        <v>39452157.264834099</v>
      </c>
      <c r="E8" s="10">
        <f>IF(INDEX(Period_Status!$B$2:$B$8,MATCH(C8,Period_Status!$A$2:$A$8,0))="ActualClosed",SUMIFS(tblSource[AmountUSD],tblSource[Site],B8,tblSource[Period],C8,tblSource[EventType],"Collection",tblSource[ReleaseStatus],"APPROVED"),SUMIFS(tblSettlementSchedule[CashUSD],tblSettlementSchedule[Site],B8,tblSettlementSchedule[Period],C8,tblSettlementSchedule[EventType],"Collection",tblSettlementSchedule[PendingActualOrigin],1)+Assumptions!$K$8*Revenue!H8+(1-Assumptions!$K$8)*IF(INDEX(Period_Status!$B$2:$B$8,MATCH(C7,Period_Status!$A$2:$A$8,0))="Forecast",Revenue!H7,0)+IF(C8=EDATE(Settlement_Bridge!$C$2,1),MAX(0,SUMIFS(tblSettlementBridge[UnallocatedARBookUSD],tblSettlementBridge[Site],B8)),0))</f>
        <v>9637881.518688716</v>
      </c>
      <c r="F8" s="10">
        <f>IF(INDEX(Period_Status!$B$2:$B$8,MATCH(C8,Period_Status!$A$2:$A$8,0))="ActualClosed",SUMIFS(tblSource[AmountUSD],tblSource[Site],B8,tblSource[Period],C8,tblSource[EventType],"VendorSettlement",tblSource[ReleaseStatus],"APPROVED"),SUMIFS(tblSettlementSchedule[CashUSD],tblSettlementSchedule[Site],B8,tblSettlementSchedule[Period],C8,tblSettlementSchedule[EventType],"VendorSettlement",tblSettlementSchedule[PendingActualOrigin],1)+Assumptions!$K$9*(Operating_Costs!N8+Capex!D8)+(1-Assumptions!$K$9)*IF(INDEX(Period_Status!$B$2:$B$8,MATCH(C7,Period_Status!$A$2:$A$8,0))="Forecast",Operating_Costs!N7+Capex!D7,0)+IF(C8=EDATE(Settlement_Bridge!$C$2,1),MAX(0,SUMIFS(tblSettlementBridge[UnallocatedAPBookUSD],tblSettlementBridge[Site],B8)),0))</f>
        <v>2853485.2162800003</v>
      </c>
      <c r="G8" s="10">
        <f>IF(INDEX(Period_Status!$B$2:$B$8,MATCH(C8,Period_Status!$A$2:$A$8,0))="ActualClosed",SUMIFS(tblSource[FeeUSD],tblSource[Site],B8,tblSource[Period],C8,tblSource[EventType],"Collection",tblSource[ReleaseStatus],"APPROVED")+SUMIFS(tblSource[FeeUSD],tblSource[Site],B8,tblSource[Period],C8,tblSource[EventType],"VendorSettlement",tblSource[ReleaseStatus],"APPROVED"),SUMIFS(tblSettlementSchedule[FeeUSD],tblSettlementSchedule[Site],B8,tblSettlementSchedule[Period],C8,tblSettlementSchedule[EventType],"Collection",tblSettlementSchedule[PendingActualOrigin],1)+SUMIFS(tblSettlementSchedule[FeeUSD],tblSettlementSchedule[Site],B8,tblSettlementSchedule[Period],C8,tblSettlementSchedule[EventType],"VendorSettlement",tblSettlementSchedule[PendingActualOrigin],1)+(Assumptions!$K$8*Revenue!H8+(1-Assumptions!$K$8)*IF(INDEX(Period_Status!$B$2:$B$8,MATCH(C7,Period_Status!$A$2:$A$8,0))="Forecast",Revenue!H7,0)+IF(C8=EDATE(Settlement_Bridge!$C$2,1),MAX(0,SUMIFS(tblSettlementBridge[UnallocatedARBookUSD],tblSettlementBridge[Site],B8)),0))*0.0008+(Assumptions!$K$9*(Operating_Costs!N8+Capex!D8)+(1-Assumptions!$K$9)*IF(INDEX(Period_Status!$B$2:$B$8,MATCH(C7,Period_Status!$A$2:$A$8,0))="Forecast",Operating_Costs!N7+Capex!D7,0)+IF(C8=EDATE(Settlement_Bridge!$C$2,1),MAX(0,SUMIFS(tblSettlementBridge[UnallocatedAPBookUSD],tblSettlementBridge[Site],B8)),0))*0.00055)</f>
        <v>9279.7220839049733</v>
      </c>
      <c r="H8" s="12">
        <f t="shared" si="0"/>
        <v>6775116.5803248109</v>
      </c>
      <c r="I8" s="12">
        <f t="shared" si="1"/>
        <v>46227273.845158912</v>
      </c>
      <c r="J8" s="12">
        <f t="shared" si="8"/>
        <v>-1398986.3601016514</v>
      </c>
      <c r="K8" s="12">
        <f>Revenue!H8</f>
        <v>9810790.9531708695</v>
      </c>
      <c r="L8" s="10">
        <f>IF(INDEX(Period_Status!$B$2:$B$8,MATCH(C8,Period_Status!$A$2:$A$8,0))="ActualClosed",SUMIFS(tblSource[AppliedUSD],tblSource[Site],B8,tblSource[Period],C8,tblSource[EventType],"Collection",tblSource[ReleaseStatus],"APPROVED"),SUMIFS(tblSettlementSchedule[AppliedBookUSD],tblSettlementSchedule[Site],B8,tblSettlementSchedule[Period],C8,tblSettlementSchedule[EventType],"Collection",tblSettlementSchedule[PendingActualOrigin],1)+Assumptions!$K$8*Revenue!H8+(1-Assumptions!$K$8)*IF(INDEX(Period_Status!$B$2:$B$8,MATCH(C7,Period_Status!$A$2:$A$8,0))="Forecast",Revenue!H7,0)+IF(C8=EDATE(Settlement_Bridge!$C$2,1),MAX(0,SUMIFS(tblSettlementBridge[UnallocatedARBookUSD],tblSettlementBridge[Site],B8)),0))</f>
        <v>9637881.518688716</v>
      </c>
      <c r="M8" s="12">
        <f t="shared" si="2"/>
        <v>-1226076.9256194979</v>
      </c>
      <c r="N8" s="10">
        <f>IF(INDEX(Period_Status!$B$2:$B$8,MATCH(C8,Period_Status!$A$2:$A$8,0))="ActualClosed",Controls!H8,SUMIFS(tblSettlementSchedule[CashUSD],tblSettlementSchedule[Site],B8,tblSettlementSchedule[Period],C8,tblSettlementSchedule[EventType],"Collection",tblSettlementSchedule[PendingActualOrigin],1)+Assumptions!$K$8*Revenue!H8+(1-Assumptions!$K$8)*IF(INDEX(Period_Status!$B$2:$B$8,MATCH(C7,Period_Status!$A$2:$A$8,0))="Forecast",Revenue!H7,0)+IF(C8=EDATE(Settlement_Bridge!$C$2,1),MAX(0,SUMIFS(tblSettlementBridge[UnallocatedARBookUSD],tblSettlementBridge[Site],B8)),0))</f>
        <v>9637881.518688716</v>
      </c>
      <c r="O8" s="12">
        <f t="shared" si="3"/>
        <v>0</v>
      </c>
      <c r="P8" s="12">
        <f t="shared" si="9"/>
        <v>290019.7534199995</v>
      </c>
      <c r="Q8" s="12">
        <f>Operating_Costs!N8+Capex!D8</f>
        <v>2795046.7230000002</v>
      </c>
      <c r="R8" s="10">
        <f>IF(INDEX(Period_Status!$B$2:$B$8,MATCH(C8,Period_Status!$A$2:$A$8,0))="ActualClosed",SUMIFS(tblSource[AppliedUSD],tblSource[Site],B8,tblSource[Period],C8,tblSource[EventType],"VendorSettlement",tblSource[ReleaseStatus],"APPROVED"),SUMIFS(tblSettlementSchedule[AppliedBookUSD],tblSettlementSchedule[Site],B8,tblSettlementSchedule[Period],C8,tblSettlementSchedule[EventType],"VendorSettlement",tblSettlementSchedule[PendingActualOrigin],1)+Assumptions!$K$9*(Operating_Costs!N8+Capex!D8)+(1-Assumptions!$K$9)*IF(INDEX(Period_Status!$B$2:$B$8,MATCH(C7,Period_Status!$A$2:$A$8,0))="Forecast",Operating_Costs!N7+Capex!D7,0)+IF(C8=EDATE(Settlement_Bridge!$C$2,1),MAX(0,SUMIFS(tblSettlementBridge[UnallocatedAPBookUSD],tblSettlementBridge[Site],B8)),0))</f>
        <v>2853485.2162800003</v>
      </c>
      <c r="S8" s="12">
        <f t="shared" si="4"/>
        <v>231581.26013999945</v>
      </c>
      <c r="T8" s="23">
        <f t="shared" si="5"/>
        <v>0</v>
      </c>
      <c r="U8" s="23">
        <f t="shared" si="6"/>
        <v>0</v>
      </c>
    </row>
    <row r="9" spans="1:21" x14ac:dyDescent="0.25">
      <c r="A9" s="2" t="s">
        <v>12440</v>
      </c>
      <c r="B9" s="2" t="s">
        <v>199</v>
      </c>
      <c r="C9" s="6">
        <v>46174</v>
      </c>
      <c r="D9" s="12">
        <f>Assumptions!$K$3</f>
        <v>4000000</v>
      </c>
      <c r="E9" s="10">
        <f>IF(INDEX(Period_Status!$B$2:$B$8,MATCH(C9,Period_Status!$A$2:$A$8,0))="ActualClosed",SUMIFS(tblSource[AmountUSD],tblSource[Site],B9,tblSource[Period],C9,tblSource[EventType],"Collection",tblSource[ReleaseStatus],"APPROVED"),SUMIFS(tblSettlementSchedule[CashUSD],tblSettlementSchedule[Site],B9,tblSettlementSchedule[Period],C9,tblSettlementSchedule[EventType],"Collection",tblSettlementSchedule[PendingActualOrigin],1)+Assumptions!$K$8*Revenue!H9+(1-Assumptions!$K$8)*0+IF(C9=EDATE(Settlement_Bridge!$C$2,1),MAX(0,SUMIFS(tblSettlementBridge[UnallocatedARBookUSD],tblSettlementBridge[Site],B9)),0))</f>
        <v>1799168.57</v>
      </c>
      <c r="F9" s="10">
        <f>IF(INDEX(Period_Status!$B$2:$B$8,MATCH(C9,Period_Status!$A$2:$A$8,0))="ActualClosed",SUMIFS(tblSource[AmountUSD],tblSource[Site],B9,tblSource[Period],C9,tblSource[EventType],"VendorSettlement",tblSource[ReleaseStatus],"APPROVED"),SUMIFS(tblSettlementSchedule[CashUSD],tblSettlementSchedule[Site],B9,tblSettlementSchedule[Period],C9,tblSettlementSchedule[EventType],"VendorSettlement",tblSettlementSchedule[PendingActualOrigin],1)+Assumptions!$K$9*(Operating_Costs!N9+Capex!D9)+(1-Assumptions!$K$9)*0+IF(C9=EDATE(Settlement_Bridge!$C$2,1),MAX(0,SUMIFS(tblSettlementBridge[UnallocatedAPBookUSD],tblSettlementBridge[Site],B9)),0))</f>
        <v>496568.88999999978</v>
      </c>
      <c r="G9" s="10">
        <f>IF(INDEX(Period_Status!$B$2:$B$8,MATCH(C9,Period_Status!$A$2:$A$8,0))="ActualClosed",SUMIFS(tblSource[FeeUSD],tblSource[Site],B9,tblSource[Period],C9,tblSource[EventType],"Collection",tblSource[ReleaseStatus],"APPROVED")+SUMIFS(tblSource[FeeUSD],tblSource[Site],B9,tblSource[Period],C9,tblSource[EventType],"VendorSettlement",tblSource[ReleaseStatus],"APPROVED"),SUMIFS(tblSettlementSchedule[FeeUSD],tblSettlementSchedule[Site],B9,tblSettlementSchedule[Period],C9,tblSettlementSchedule[EventType],"Collection",tblSettlementSchedule[PendingActualOrigin],1)+SUMIFS(tblSettlementSchedule[FeeUSD],tblSettlementSchedule[Site],B9,tblSettlementSchedule[Period],C9,tblSettlementSchedule[EventType],"VendorSettlement",tblSettlementSchedule[PendingActualOrigin],1)+(Assumptions!$K$8*Revenue!H9+(1-Assumptions!$K$8)*0+IF(C9=EDATE(Settlement_Bridge!$C$2,1),MAX(0,SUMIFS(tblSettlementBridge[UnallocatedARBookUSD],tblSettlementBridge[Site],B9)),0))*0.0008+(Assumptions!$K$9*(Operating_Costs!N9+Capex!D9)+(1-Assumptions!$K$9)*0+IF(C9=EDATE(Settlement_Bridge!$C$2,1),MAX(0,SUMIFS(tblSettlementBridge[UnallocatedAPBookUSD],tblSettlementBridge[Site],B9)),0))*0.00055)</f>
        <v>1749.7500000000005</v>
      </c>
      <c r="H9" s="12">
        <f t="shared" si="0"/>
        <v>1300849.9300000002</v>
      </c>
      <c r="I9" s="12">
        <f t="shared" si="1"/>
        <v>5300849.93</v>
      </c>
      <c r="J9" s="12">
        <f>Assumptions!$K$11</f>
        <v>0</v>
      </c>
      <c r="K9" s="12">
        <f>Revenue!H9</f>
        <v>4453289.62</v>
      </c>
      <c r="L9" s="10">
        <f>IF(INDEX(Period_Status!$B$2:$B$8,MATCH(C9,Period_Status!$A$2:$A$8,0))="ActualClosed",SUMIFS(tblSource[AppliedUSD],tblSource[Site],B9,tblSource[Period],C9,tblSource[EventType],"Collection",tblSource[ReleaseStatus],"APPROVED"),SUMIFS(tblSettlementSchedule[AppliedBookUSD],tblSettlementSchedule[Site],B9,tblSettlementSchedule[Period],C9,tblSettlementSchedule[EventType],"Collection",tblSettlementSchedule[PendingActualOrigin],1)+Assumptions!$K$8*Revenue!H9+(1-Assumptions!$K$8)*0+IF(C9=EDATE(Settlement_Bridge!$C$2,1),MAX(0,SUMIFS(tblSettlementBridge[UnallocatedARBookUSD],tblSettlementBridge[Site],B9)),0))</f>
        <v>1799168.57</v>
      </c>
      <c r="M9" s="12">
        <f t="shared" si="2"/>
        <v>2654121.0499999998</v>
      </c>
      <c r="N9" s="10">
        <f>IF(INDEX(Period_Status!$B$2:$B$8,MATCH(C9,Period_Status!$A$2:$A$8,0))="ActualClosed",Controls!H9,SUMIFS(tblSettlementSchedule[CashUSD],tblSettlementSchedule[Site],B9,tblSettlementSchedule[Period],C9,tblSettlementSchedule[EventType],"Collection",tblSettlementSchedule[PendingActualOrigin],1)+Assumptions!$K$8*Revenue!H9+(1-Assumptions!$K$8)*0+IF(C9=EDATE(Settlement_Bridge!$C$2,1),MAX(0,SUMIFS(tblSettlementBridge[UnallocatedARBookUSD],tblSettlementBridge[Site],B9)),0))</f>
        <v>1799168.57</v>
      </c>
      <c r="O9" s="12">
        <f t="shared" si="3"/>
        <v>0</v>
      </c>
      <c r="P9" s="12">
        <f>0</f>
        <v>0</v>
      </c>
      <c r="Q9" s="12">
        <f>Operating_Costs!N9+Capex!D9</f>
        <v>2461091.5299999998</v>
      </c>
      <c r="R9" s="10">
        <f>IF(INDEX(Period_Status!$B$2:$B$8,MATCH(C9,Period_Status!$A$2:$A$8,0))="ActualClosed",SUMIFS(tblSource[AppliedUSD],tblSource[Site],B9,tblSource[Period],C9,tblSource[EventType],"VendorSettlement",tblSource[ReleaseStatus],"APPROVED"),SUMIFS(tblSettlementSchedule[AppliedBookUSD],tblSettlementSchedule[Site],B9,tblSettlementSchedule[Period],C9,tblSettlementSchedule[EventType],"VendorSettlement",tblSettlementSchedule[PendingActualOrigin],1)+Assumptions!$K$9*(Operating_Costs!N9+Capex!D9)+(1-Assumptions!$K$9)*0+IF(C9=EDATE(Settlement_Bridge!$C$2,1),MAX(0,SUMIFS(tblSettlementBridge[UnallocatedAPBookUSD],tblSettlementBridge[Site],B9)),0))</f>
        <v>496568.88999999978</v>
      </c>
      <c r="S9" s="12">
        <f t="shared" si="4"/>
        <v>1964522.6400000001</v>
      </c>
      <c r="T9" s="23">
        <f t="shared" si="5"/>
        <v>0</v>
      </c>
      <c r="U9" s="23">
        <f t="shared" si="6"/>
        <v>0</v>
      </c>
    </row>
    <row r="10" spans="1:21" x14ac:dyDescent="0.25">
      <c r="A10" s="2" t="s">
        <v>12441</v>
      </c>
      <c r="B10" s="2" t="s">
        <v>199</v>
      </c>
      <c r="C10" s="6">
        <v>46204</v>
      </c>
      <c r="D10" s="12">
        <f t="shared" ref="D10:D15" si="10">I9</f>
        <v>5300849.93</v>
      </c>
      <c r="E10" s="10">
        <f>IF(INDEX(Period_Status!$B$2:$B$8,MATCH(C10,Period_Status!$A$2:$A$8,0))="ActualClosed",SUMIFS(tblSource[AmountUSD],tblSource[Site],B10,tblSource[Period],C10,tblSource[EventType],"Collection",tblSource[ReleaseStatus],"APPROVED"),SUMIFS(tblSettlementSchedule[CashUSD],tblSettlementSchedule[Site],B10,tblSettlementSchedule[Period],C10,tblSettlementSchedule[EventType],"Collection",tblSettlementSchedule[PendingActualOrigin],1)+Assumptions!$K$8*Revenue!H10+(1-Assumptions!$K$8)*IF(INDEX(Period_Status!$B$2:$B$8,MATCH(C9,Period_Status!$A$2:$A$8,0))="Forecast",Revenue!H9,0)+IF(C10=EDATE(Settlement_Bridge!$C$2,1),MAX(0,SUMIFS(tblSettlementBridge[UnallocatedARBookUSD],tblSettlementBridge[Site],B10)),0))</f>
        <v>4254932.2699999996</v>
      </c>
      <c r="F10" s="10">
        <f>IF(INDEX(Period_Status!$B$2:$B$8,MATCH(C10,Period_Status!$A$2:$A$8,0))="ActualClosed",SUMIFS(tblSource[AmountUSD],tblSource[Site],B10,tblSource[Period],C10,tblSource[EventType],"VendorSettlement",tblSource[ReleaseStatus],"APPROVED"),SUMIFS(tblSettlementSchedule[CashUSD],tblSettlementSchedule[Site],B10,tblSettlementSchedule[Period],C10,tblSettlementSchedule[EventType],"VendorSettlement",tblSettlementSchedule[PendingActualOrigin],1)+Assumptions!$K$9*(Operating_Costs!N10+Capex!D10)+(1-Assumptions!$K$9)*IF(INDEX(Period_Status!$B$2:$B$8,MATCH(C9,Period_Status!$A$2:$A$8,0))="Forecast",Operating_Costs!N9+Capex!D9,0)+IF(C10=EDATE(Settlement_Bridge!$C$2,1),MAX(0,SUMIFS(tblSettlementBridge[UnallocatedAPBookUSD],tblSettlementBridge[Site],B10)),0))</f>
        <v>2358176.850000001</v>
      </c>
      <c r="G10" s="10">
        <f>IF(INDEX(Period_Status!$B$2:$B$8,MATCH(C10,Period_Status!$A$2:$A$8,0))="ActualClosed",SUMIFS(tblSource[FeeUSD],tblSource[Site],B10,tblSource[Period],C10,tblSource[EventType],"Collection",tblSource[ReleaseStatus],"APPROVED")+SUMIFS(tblSource[FeeUSD],tblSource[Site],B10,tblSource[Period],C10,tblSource[EventType],"VendorSettlement",tblSource[ReleaseStatus],"APPROVED"),SUMIFS(tblSettlementSchedule[FeeUSD],tblSettlementSchedule[Site],B10,tblSettlementSchedule[Period],C10,tblSettlementSchedule[EventType],"Collection",tblSettlementSchedule[PendingActualOrigin],1)+SUMIFS(tblSettlementSchedule[FeeUSD],tblSettlementSchedule[Site],B10,tblSettlementSchedule[Period],C10,tblSettlementSchedule[EventType],"VendorSettlement",tblSettlementSchedule[PendingActualOrigin],1)+(Assumptions!$K$8*Revenue!H10+(1-Assumptions!$K$8)*IF(INDEX(Period_Status!$B$2:$B$8,MATCH(C9,Period_Status!$A$2:$A$8,0))="Forecast",Revenue!H9,0)+IF(C10=EDATE(Settlement_Bridge!$C$2,1),MAX(0,SUMIFS(tblSettlementBridge[UnallocatedARBookUSD],tblSettlementBridge[Site],B10)),0))*0.0008+(Assumptions!$K$9*(Operating_Costs!N10+Capex!D10)+(1-Assumptions!$K$9)*IF(INDEX(Period_Status!$B$2:$B$8,MATCH(C9,Period_Status!$A$2:$A$8,0))="Forecast",Operating_Costs!N9+Capex!D9,0)+IF(C10=EDATE(Settlement_Bridge!$C$2,1),MAX(0,SUMIFS(tblSettlementBridge[UnallocatedAPBookUSD],tblSettlementBridge[Site],B10)),0))*0.00055)</f>
        <v>4817.4899999999961</v>
      </c>
      <c r="H10" s="12">
        <f t="shared" si="0"/>
        <v>1891937.9299999985</v>
      </c>
      <c r="I10" s="12">
        <f t="shared" si="1"/>
        <v>7192787.8599999985</v>
      </c>
      <c r="J10" s="12">
        <f t="shared" ref="J10:J15" si="11">M9</f>
        <v>2654121.0499999998</v>
      </c>
      <c r="K10" s="12">
        <f>Revenue!H10</f>
        <v>4641948.0299999993</v>
      </c>
      <c r="L10" s="10">
        <f>IF(INDEX(Period_Status!$B$2:$B$8,MATCH(C10,Period_Status!$A$2:$A$8,0))="ActualClosed",SUMIFS(tblSource[AppliedUSD],tblSource[Site],B10,tblSource[Period],C10,tblSource[EventType],"Collection",tblSource[ReleaseStatus],"APPROVED"),SUMIFS(tblSettlementSchedule[AppliedBookUSD],tblSettlementSchedule[Site],B10,tblSettlementSchedule[Period],C10,tblSettlementSchedule[EventType],"Collection",tblSettlementSchedule[PendingActualOrigin],1)+Assumptions!$K$8*Revenue!H10+(1-Assumptions!$K$8)*IF(INDEX(Period_Status!$B$2:$B$8,MATCH(C9,Period_Status!$A$2:$A$8,0))="Forecast",Revenue!H9,0)+IF(C10=EDATE(Settlement_Bridge!$C$2,1),MAX(0,SUMIFS(tblSettlementBridge[UnallocatedARBookUSD],tblSettlementBridge[Site],B10)),0))</f>
        <v>4268049.88</v>
      </c>
      <c r="M10" s="12">
        <f t="shared" si="2"/>
        <v>3028019.1999999993</v>
      </c>
      <c r="N10" s="10">
        <f>IF(INDEX(Period_Status!$B$2:$B$8,MATCH(C10,Period_Status!$A$2:$A$8,0))="ActualClosed",Controls!H10,SUMIFS(tblSettlementSchedule[CashUSD],tblSettlementSchedule[Site],B10,tblSettlementSchedule[Period],C10,tblSettlementSchedule[EventType],"Collection",tblSettlementSchedule[PendingActualOrigin],1)+Assumptions!$K$8*Revenue!H10+(1-Assumptions!$K$8)*IF(INDEX(Period_Status!$B$2:$B$8,MATCH(C9,Period_Status!$A$2:$A$8,0))="Forecast",Revenue!H9,0)+IF(C10=EDATE(Settlement_Bridge!$C$2,1),MAX(0,SUMIFS(tblSettlementBridge[UnallocatedARBookUSD],tblSettlementBridge[Site],B10)),0))</f>
        <v>4254932.2699999996</v>
      </c>
      <c r="O10" s="12">
        <f t="shared" si="3"/>
        <v>0</v>
      </c>
      <c r="P10" s="12">
        <f t="shared" ref="P10:P15" si="12">S9</f>
        <v>1964522.6400000001</v>
      </c>
      <c r="Q10" s="12">
        <f>Operating_Costs!N10+Capex!D10</f>
        <v>2481002.0699999998</v>
      </c>
      <c r="R10" s="10">
        <f>IF(INDEX(Period_Status!$B$2:$B$8,MATCH(C10,Period_Status!$A$2:$A$8,0))="ActualClosed",SUMIFS(tblSource[AppliedUSD],tblSource[Site],B10,tblSource[Period],C10,tblSource[EventType],"VendorSettlement",tblSource[ReleaseStatus],"APPROVED"),SUMIFS(tblSettlementSchedule[AppliedBookUSD],tblSettlementSchedule[Site],B10,tblSettlementSchedule[Period],C10,tblSettlementSchedule[EventType],"VendorSettlement",tblSettlementSchedule[PendingActualOrigin],1)+Assumptions!$K$9*(Operating_Costs!N10+Capex!D10)+(1-Assumptions!$K$9)*IF(INDEX(Period_Status!$B$2:$B$8,MATCH(C9,Period_Status!$A$2:$A$8,0))="Forecast",Operating_Costs!N9+Capex!D9,0)+IF(C10=EDATE(Settlement_Bridge!$C$2,1),MAX(0,SUMIFS(tblSettlementBridge[UnallocatedAPBookUSD],tblSettlementBridge[Site],B10)),0))</f>
        <v>2369443.3200000008</v>
      </c>
      <c r="S10" s="12">
        <f t="shared" si="4"/>
        <v>2076081.3899999992</v>
      </c>
      <c r="T10" s="23">
        <f t="shared" si="5"/>
        <v>-13117.610000000335</v>
      </c>
      <c r="U10" s="23">
        <f t="shared" si="6"/>
        <v>-11266.469999999739</v>
      </c>
    </row>
    <row r="11" spans="1:21" x14ac:dyDescent="0.25">
      <c r="A11" s="2" t="s">
        <v>12442</v>
      </c>
      <c r="B11" s="2" t="s">
        <v>199</v>
      </c>
      <c r="C11" s="6">
        <v>46235</v>
      </c>
      <c r="D11" s="12">
        <f t="shared" si="10"/>
        <v>7192787.8599999985</v>
      </c>
      <c r="E11" s="10">
        <f>Assumptions!$K$8*Revenue!H4+(1-Assumptions!$K$8)*Revenue!H3</f>
        <v>8283195.7489593048</v>
      </c>
      <c r="F11" s="10">
        <f>IF(INDEX(Period_Status!$B$2:$B$8,MATCH(C11,Period_Status!$A$2:$A$8,0))="ActualClosed",SUMIFS(tblSource[AmountUSD],tblSource[Site],B11,tblSource[Period],C11,tblSource[EventType],"VendorSettlement",tblSource[ReleaseStatus],"APPROVED"),SUMIFS(tblSettlementSchedule[CashUSD],tblSettlementSchedule[Site],B11,tblSettlementSchedule[Period],C11,tblSettlementSchedule[EventType],"VendorSettlement",tblSettlementSchedule[PendingActualOrigin],1)+Assumptions!$K$9*(Operating_Costs!N11+Capex!D11)+(1-Assumptions!$K$9)*IF(INDEX(Period_Status!$B$2:$B$8,MATCH(C10,Period_Status!$A$2:$A$8,0))="Forecast",Operating_Costs!N10+Capex!D10,0)+IF(C11=EDATE(Settlement_Bridge!$C$2,1),MAX(0,SUMIFS(tblSettlementBridge[UnallocatedAPBookUSD],tblSettlementBridge[Site],B11)),0))</f>
        <v>4106897.9933599997</v>
      </c>
      <c r="G11" s="10">
        <f>IF(INDEX(Period_Status!$B$2:$B$8,MATCH(C11,Period_Status!$A$2:$A$8,0))="ActualClosed",SUMIFS(tblSource[FeeUSD],tblSource[Site],B11,tblSource[Period],C11,tblSource[EventType],"Collection",tblSource[ReleaseStatus],"APPROVED")+SUMIFS(tblSource[FeeUSD],tblSource[Site],B11,tblSource[Period],C11,tblSource[EventType],"VendorSettlement",tblSource[ReleaseStatus],"APPROVED"),SUMIFS(tblSettlementSchedule[FeeUSD],tblSettlementSchedule[Site],B11,tblSettlementSchedule[Period],C11,tblSettlementSchedule[EventType],"Collection",tblSettlementSchedule[PendingActualOrigin],1)+SUMIFS(tblSettlementSchedule[FeeUSD],tblSettlementSchedule[Site],B11,tblSettlementSchedule[Period],C11,tblSettlementSchedule[EventType],"VendorSettlement",tblSettlementSchedule[PendingActualOrigin],1)+(Assumptions!$K$8*Revenue!H11+(1-Assumptions!$K$8)*IF(INDEX(Period_Status!$B$2:$B$8,MATCH(C10,Period_Status!$A$2:$A$8,0))="Forecast",Revenue!H10,0)+IF(C11=EDATE(Settlement_Bridge!$C$2,1),MAX(0,SUMIFS(tblSettlementBridge[UnallocatedARBookUSD],tblSettlementBridge[Site],B11)),0))*0.0008+(Assumptions!$K$9*(Operating_Costs!N11+Capex!D11)+(1-Assumptions!$K$9)*IF(INDEX(Period_Status!$B$2:$B$8,MATCH(C10,Period_Status!$A$2:$A$8,0))="Forecast",Operating_Costs!N10+Capex!D10,0)+IF(C11=EDATE(Settlement_Bridge!$C$2,1),MAX(0,SUMIFS(tblSettlementBridge[UnallocatedAPBookUSD],tblSettlementBridge[Site],B11)),0))*0.00055)</f>
        <v>8412.4008584798121</v>
      </c>
      <c r="H11" s="12">
        <f t="shared" si="0"/>
        <v>4167885.354740825</v>
      </c>
      <c r="I11" s="12">
        <f t="shared" si="1"/>
        <v>11360673.214740824</v>
      </c>
      <c r="J11" s="12">
        <f t="shared" si="11"/>
        <v>3028019.1999999993</v>
      </c>
      <c r="K11" s="12">
        <f>Revenue!H11</f>
        <v>5454208.8453576909</v>
      </c>
      <c r="L11" s="10">
        <f>IF(INDEX(Period_Status!$B$2:$B$8,MATCH(C11,Period_Status!$A$2:$A$8,0))="ActualClosed",SUMIFS(tblSource[AppliedUSD],tblSource[Site],B11,tblSource[Period],C11,tblSource[EventType],"Collection",tblSource[ReleaseStatus],"APPROVED"),SUMIFS(tblSettlementSchedule[AppliedBookUSD],tblSettlementSchedule[Site],B11,tblSettlementSchedule[Period],C11,tblSettlementSchedule[EventType],"Collection",tblSettlementSchedule[PendingActualOrigin],1)+Assumptions!$K$8*Revenue!H11+(1-Assumptions!$K$8)*IF(INDEX(Period_Status!$B$2:$B$8,MATCH(C10,Period_Status!$A$2:$A$8,0))="Forecast",Revenue!H10,0)+IF(C11=EDATE(Settlement_Bridge!$C$2,1),MAX(0,SUMIFS(tblSettlementBridge[UnallocatedARBookUSD],tblSettlementBridge[Site],B11)),0))</f>
        <v>7608374.0339147681</v>
      </c>
      <c r="M11" s="12">
        <f t="shared" si="2"/>
        <v>873854.01144292112</v>
      </c>
      <c r="N11" s="10">
        <f>IF(INDEX(Period_Status!$B$2:$B$8,MATCH(C11,Period_Status!$A$2:$A$8,0))="ActualClosed",Controls!H11,SUMIFS(tblSettlementSchedule[CashUSD],tblSettlementSchedule[Site],B11,tblSettlementSchedule[Period],C11,tblSettlementSchedule[EventType],"Collection",tblSettlementSchedule[PendingActualOrigin],1)+Assumptions!$K$8*Revenue!H11+(1-Assumptions!$K$8)*IF(INDEX(Period_Status!$B$2:$B$8,MATCH(C10,Period_Status!$A$2:$A$8,0))="Forecast",Revenue!H10,0)+IF(C11=EDATE(Settlement_Bridge!$C$2,1),MAX(0,SUMIFS(tblSettlementBridge[UnallocatedARBookUSD],tblSettlementBridge[Site],B11)),0))</f>
        <v>7587081.6739147678</v>
      </c>
      <c r="O11" s="12">
        <f t="shared" si="3"/>
        <v>696114.07504453696</v>
      </c>
      <c r="P11" s="12">
        <f t="shared" si="12"/>
        <v>2076081.3899999992</v>
      </c>
      <c r="Q11" s="12">
        <f>Operating_Costs!N11+Capex!D11</f>
        <v>2630194.7480000001</v>
      </c>
      <c r="R11" s="10">
        <f>IF(INDEX(Period_Status!$B$2:$B$8,MATCH(C11,Period_Status!$A$2:$A$8,0))="ActualClosed",SUMIFS(tblSource[AppliedUSD],tblSource[Site],B11,tblSource[Period],C11,tblSource[EventType],"VendorSettlement",tblSource[ReleaseStatus],"APPROVED"),SUMIFS(tblSettlementSchedule[AppliedBookUSD],tblSettlementSchedule[Site],B11,tblSettlementSchedule[Period],C11,tblSettlementSchedule[EventType],"VendorSettlement",tblSettlementSchedule[PendingActualOrigin],1)+Assumptions!$K$9*(Operating_Costs!N11+Capex!D11)+(1-Assumptions!$K$9)*IF(INDEX(Period_Status!$B$2:$B$8,MATCH(C10,Period_Status!$A$2:$A$8,0))="Forecast",Operating_Costs!N10+Capex!D10,0)+IF(C11=EDATE(Settlement_Bridge!$C$2,1),MAX(0,SUMIFS(tblSettlementBridge[UnallocatedAPBookUSD],tblSettlementBridge[Site],B11)),0))</f>
        <v>4120426.3833600003</v>
      </c>
      <c r="S11" s="12">
        <f t="shared" si="4"/>
        <v>585849.75463999901</v>
      </c>
      <c r="T11" s="23">
        <f t="shared" si="5"/>
        <v>674821.71504453663</v>
      </c>
      <c r="U11" s="23">
        <f t="shared" si="6"/>
        <v>-13528.390000000596</v>
      </c>
    </row>
    <row r="12" spans="1:21" x14ac:dyDescent="0.25">
      <c r="A12" s="2" t="s">
        <v>12443</v>
      </c>
      <c r="B12" s="2" t="s">
        <v>199</v>
      </c>
      <c r="C12" s="6">
        <v>46266</v>
      </c>
      <c r="D12" s="12">
        <f t="shared" si="10"/>
        <v>11360673.214740824</v>
      </c>
      <c r="E12" s="10">
        <f>IF(INDEX(Period_Status!$B$2:$B$8,MATCH(C12,Period_Status!$A$2:$A$8,0))="ActualClosed",SUMIFS(tblSource[AmountUSD],tblSource[Site],B12,tblSource[Period],C12,tblSource[EventType],"Collection",tblSource[ReleaseStatus],"APPROVED"),SUMIFS(tblSettlementSchedule[CashUSD],tblSettlementSchedule[Site],B12,tblSettlementSchedule[Period],C12,tblSettlementSchedule[EventType],"Collection",tblSettlementSchedule[PendingActualOrigin],1)+Assumptions!$K$8*Revenue!H12+(1-Assumptions!$K$8)*IF(INDEX(Period_Status!$B$2:$B$8,MATCH(C11,Period_Status!$A$2:$A$8,0))="Forecast",Revenue!H11,0)+IF(C12=EDATE(Settlement_Bridge!$C$2,1),MAX(0,SUMIFS(tblSettlementBridge[UnallocatedARBookUSD],tblSettlementBridge[Site],B12)),0))</f>
        <v>5768457.3630337901</v>
      </c>
      <c r="F12" s="10">
        <f>IF(INDEX(Period_Status!$B$2:$B$8,MATCH(C12,Period_Status!$A$2:$A$8,0))="ActualClosed",SUMIFS(tblSource[AmountUSD],tblSource[Site],B12,tblSource[Period],C12,tblSource[EventType],"VendorSettlement",tblSource[ReleaseStatus],"APPROVED"),SUMIFS(tblSettlementSchedule[CashUSD],tblSettlementSchedule[Site],B12,tblSettlementSchedule[Period],C12,tblSettlementSchedule[EventType],"VendorSettlement",tblSettlementSchedule[PendingActualOrigin],1)+Assumptions!$K$9*(Operating_Costs!N12+Capex!D12)+(1-Assumptions!$K$9)*IF(INDEX(Period_Status!$B$2:$B$8,MATCH(C11,Period_Status!$A$2:$A$8,0))="Forecast",Operating_Costs!N11+Capex!D11,0)+IF(C12=EDATE(Settlement_Bridge!$C$2,1),MAX(0,SUMIFS(tblSettlementBridge[UnallocatedAPBookUSD],tblSettlementBridge[Site],B12)),0))</f>
        <v>2774783.0081600002</v>
      </c>
      <c r="G12" s="10">
        <f>IF(INDEX(Period_Status!$B$2:$B$8,MATCH(C12,Period_Status!$A$2:$A$8,0))="ActualClosed",SUMIFS(tblSource[FeeUSD],tblSource[Site],B12,tblSource[Period],C12,tblSource[EventType],"Collection",tblSource[ReleaseStatus],"APPROVED")+SUMIFS(tblSource[FeeUSD],tblSource[Site],B12,tblSource[Period],C12,tblSource[EventType],"VendorSettlement",tblSource[ReleaseStatus],"APPROVED"),SUMIFS(tblSettlementSchedule[FeeUSD],tblSettlementSchedule[Site],B12,tblSettlementSchedule[Period],C12,tblSettlementSchedule[EventType],"Collection",tblSettlementSchedule[PendingActualOrigin],1)+SUMIFS(tblSettlementSchedule[FeeUSD],tblSettlementSchedule[Site],B12,tblSettlementSchedule[Period],C12,tblSettlementSchedule[EventType],"VendorSettlement",tblSettlementSchedule[PendingActualOrigin],1)+(Assumptions!$K$8*Revenue!H12+(1-Assumptions!$K$8)*IF(INDEX(Period_Status!$B$2:$B$8,MATCH(C11,Period_Status!$A$2:$A$8,0))="Forecast",Revenue!H11,0)+IF(C12=EDATE(Settlement_Bridge!$C$2,1),MAX(0,SUMIFS(tblSettlementBridge[UnallocatedARBookUSD],tblSettlementBridge[Site],B12)),0))*0.0008+(Assumptions!$K$9*(Operating_Costs!N12+Capex!D12)+(1-Assumptions!$K$9)*IF(INDEX(Period_Status!$B$2:$B$8,MATCH(C11,Period_Status!$A$2:$A$8,0))="Forecast",Operating_Costs!N11+Capex!D11,0)+IF(C12=EDATE(Settlement_Bridge!$C$2,1),MAX(0,SUMIFS(tblSettlementBridge[UnallocatedAPBookUSD],tblSettlementBridge[Site],B12)),0))*0.00055)</f>
        <v>6149.0535524150328</v>
      </c>
      <c r="H12" s="12">
        <f t="shared" si="0"/>
        <v>2987525.3013213747</v>
      </c>
      <c r="I12" s="12">
        <f t="shared" si="1"/>
        <v>14348198.516062198</v>
      </c>
      <c r="J12" s="12">
        <f t="shared" si="11"/>
        <v>873854.01144292112</v>
      </c>
      <c r="K12" s="12">
        <f>Revenue!H12</f>
        <v>5564700.9677168941</v>
      </c>
      <c r="L12" s="10">
        <f>IF(INDEX(Period_Status!$B$2:$B$8,MATCH(C12,Period_Status!$A$2:$A$8,0))="ActualClosed",SUMIFS(tblSource[AppliedUSD],tblSource[Site],B12,tblSource[Period],C12,tblSource[EventType],"Collection",tblSource[ReleaseStatus],"APPROVED"),SUMIFS(tblSettlementSchedule[AppliedBookUSD],tblSettlementSchedule[Site],B12,tblSettlementSchedule[Period],C12,tblSettlementSchedule[EventType],"Collection",tblSettlementSchedule[PendingActualOrigin],1)+Assumptions!$K$8*Revenue!H12+(1-Assumptions!$K$8)*IF(INDEX(Period_Status!$B$2:$B$8,MATCH(C11,Period_Status!$A$2:$A$8,0))="Forecast",Revenue!H11,0)+IF(C12=EDATE(Settlement_Bridge!$C$2,1),MAX(0,SUMIFS(tblSettlementBridge[UnallocatedARBookUSD],tblSettlementBridge[Site],B12)),0))</f>
        <v>5770790.8630337901</v>
      </c>
      <c r="M12" s="12">
        <f t="shared" si="2"/>
        <v>667764.1161260251</v>
      </c>
      <c r="N12" s="10">
        <f>IF(INDEX(Period_Status!$B$2:$B$8,MATCH(C12,Period_Status!$A$2:$A$8,0))="ActualClosed",Controls!H12,SUMIFS(tblSettlementSchedule[CashUSD],tblSettlementSchedule[Site],B12,tblSettlementSchedule[Period],C12,tblSettlementSchedule[EventType],"Collection",tblSettlementSchedule[PendingActualOrigin],1)+Assumptions!$K$8*Revenue!H12+(1-Assumptions!$K$8)*IF(INDEX(Period_Status!$B$2:$B$8,MATCH(C11,Period_Status!$A$2:$A$8,0))="Forecast",Revenue!H11,0)+IF(C12=EDATE(Settlement_Bridge!$C$2,1),MAX(0,SUMIFS(tblSettlementBridge[UnallocatedARBookUSD],tblSettlementBridge[Site],B12)),0))</f>
        <v>5768457.3630337901</v>
      </c>
      <c r="O12" s="12">
        <f t="shared" si="3"/>
        <v>0</v>
      </c>
      <c r="P12" s="12">
        <f t="shared" si="12"/>
        <v>585849.75463999901</v>
      </c>
      <c r="Q12" s="12">
        <f>Operating_Costs!N12+Capex!D12</f>
        <v>2670910.7360000005</v>
      </c>
      <c r="R12" s="10">
        <f>IF(INDEX(Period_Status!$B$2:$B$8,MATCH(C12,Period_Status!$A$2:$A$8,0))="ActualClosed",SUMIFS(tblSource[AppliedUSD],tblSource[Site],B12,tblSource[Period],C12,tblSource[EventType],"VendorSettlement",tblSource[ReleaseStatus],"APPROVED"),SUMIFS(tblSettlementSchedule[AppliedBookUSD],tblSettlementSchedule[Site],B12,tblSettlementSchedule[Period],C12,tblSettlementSchedule[EventType],"VendorSettlement",tblSettlementSchedule[PendingActualOrigin],1)+Assumptions!$K$9*(Operating_Costs!N12+Capex!D12)+(1-Assumptions!$K$9)*IF(INDEX(Period_Status!$B$2:$B$8,MATCH(C11,Period_Status!$A$2:$A$8,0))="Forecast",Operating_Costs!N11+Capex!D11,0)+IF(C12=EDATE(Settlement_Bridge!$C$2,1),MAX(0,SUMIFS(tblSettlementBridge[UnallocatedAPBookUSD],tblSettlementBridge[Site],B12)),0))</f>
        <v>2775996.5581600005</v>
      </c>
      <c r="S12" s="12">
        <f t="shared" si="4"/>
        <v>480763.93247999903</v>
      </c>
      <c r="T12" s="23">
        <f t="shared" si="5"/>
        <v>-2333.5</v>
      </c>
      <c r="U12" s="23">
        <f t="shared" si="6"/>
        <v>-1213.5500000002794</v>
      </c>
    </row>
    <row r="13" spans="1:21" x14ac:dyDescent="0.25">
      <c r="A13" s="2" t="s">
        <v>12444</v>
      </c>
      <c r="B13" s="2" t="s">
        <v>199</v>
      </c>
      <c r="C13" s="6">
        <v>46296</v>
      </c>
      <c r="D13" s="12">
        <f t="shared" si="10"/>
        <v>14348198.516062198</v>
      </c>
      <c r="E13" s="10">
        <f>IF(INDEX(Period_Status!$B$2:$B$8,MATCH(C13,Period_Status!$A$2:$A$8,0))="ActualClosed",SUMIFS(tblSource[AmountUSD],tblSource[Site],B13,tblSource[Period],C13,tblSource[EventType],"Collection",tblSource[ReleaseStatus],"APPROVED"),SUMIFS(tblSettlementSchedule[CashUSD],tblSettlementSchedule[Site],B13,tblSettlementSchedule[Period],C13,tblSettlementSchedule[EventType],"Collection",tblSettlementSchedule[PendingActualOrigin],1)+Assumptions!$K$8*Revenue!H13+(1-Assumptions!$K$8)*IF(INDEX(Period_Status!$B$2:$B$8,MATCH(C12,Period_Status!$A$2:$A$8,0))="Forecast",Revenue!H12,0)+IF(C13=EDATE(Settlement_Bridge!$C$2,1),MAX(0,SUMIFS(tblSettlementBridge[UnallocatedARBookUSD],tblSettlementBridge[Site],B13)),0))</f>
        <v>667764.11612602731</v>
      </c>
      <c r="F13" s="10">
        <f>IF(INDEX(Period_Status!$B$2:$B$8,MATCH(C13,Period_Status!$A$2:$A$8,0))="ActualClosed",SUMIFS(tblSource[AmountUSD],tblSource[Site],B13,tblSource[Period],C13,tblSource[EventType],"VendorSettlement",tblSource[ReleaseStatus],"APPROVED"),SUMIFS(tblSettlementSchedule[CashUSD],tblSettlementSchedule[Site],B13,tblSettlementSchedule[Period],C13,tblSettlementSchedule[EventType],"VendorSettlement",tblSettlementSchedule[PendingActualOrigin],1)+Assumptions!$K$9*(Operating_Costs!N13+Capex!D13)+(1-Assumptions!$K$9)*IF(INDEX(Period_Status!$B$2:$B$8,MATCH(C12,Period_Status!$A$2:$A$8,0))="Forecast",Operating_Costs!N12+Capex!D12,0)+IF(C13=EDATE(Settlement_Bridge!$C$2,1),MAX(0,SUMIFS(tblSettlementBridge[UnallocatedAPBookUSD],tblSettlementBridge[Site],B13)),0))</f>
        <v>2799309.9246479999</v>
      </c>
      <c r="G13" s="10">
        <f>IF(INDEX(Period_Status!$B$2:$B$8,MATCH(C13,Period_Status!$A$2:$A$8,0))="ActualClosed",SUMIFS(tblSource[FeeUSD],tblSource[Site],B13,tblSource[Period],C13,tblSource[EventType],"Collection",tblSource[ReleaseStatus],"APPROVED")+SUMIFS(tblSource[FeeUSD],tblSource[Site],B13,tblSource[Period],C13,tblSource[EventType],"VendorSettlement",tblSource[ReleaseStatus],"APPROVED"),SUMIFS(tblSettlementSchedule[FeeUSD],tblSettlementSchedule[Site],B13,tblSettlementSchedule[Period],C13,tblSettlementSchedule[EventType],"Collection",tblSettlementSchedule[PendingActualOrigin],1)+SUMIFS(tblSettlementSchedule[FeeUSD],tblSettlementSchedule[Site],B13,tblSettlementSchedule[Period],C13,tblSettlementSchedule[EventType],"VendorSettlement",tblSettlementSchedule[PendingActualOrigin],1)+(Assumptions!$K$8*Revenue!H13+(1-Assumptions!$K$8)*IF(INDEX(Period_Status!$B$2:$B$8,MATCH(C12,Period_Status!$A$2:$A$8,0))="Forecast",Revenue!H12,0)+IF(C13=EDATE(Settlement_Bridge!$C$2,1),MAX(0,SUMIFS(tblSettlementBridge[UnallocatedARBookUSD],tblSettlementBridge[Site],B13)),0))*0.0008+(Assumptions!$K$9*(Operating_Costs!N13+Capex!D13)+(1-Assumptions!$K$9)*IF(INDEX(Period_Status!$B$2:$B$8,MATCH(C12,Period_Status!$A$2:$A$8,0))="Forecast",Operating_Costs!N12+Capex!D12,0)+IF(C13=EDATE(Settlement_Bridge!$C$2,1),MAX(0,SUMIFS(tblSettlementBridge[UnallocatedAPBookUSD],tblSettlementBridge[Site],B13)),0))*0.00055)</f>
        <v>2073.8317514572218</v>
      </c>
      <c r="H13" s="12">
        <f t="shared" si="0"/>
        <v>-2133619.6402734299</v>
      </c>
      <c r="I13" s="12">
        <f t="shared" si="1"/>
        <v>12214578.875788769</v>
      </c>
      <c r="J13" s="12">
        <f t="shared" si="11"/>
        <v>667764.1161260251</v>
      </c>
      <c r="K13" s="12">
        <f>Revenue!H13</f>
        <v>0</v>
      </c>
      <c r="L13" s="10">
        <f>IF(INDEX(Period_Status!$B$2:$B$8,MATCH(C13,Period_Status!$A$2:$A$8,0))="ActualClosed",SUMIFS(tblSource[AppliedUSD],tblSource[Site],B13,tblSource[Period],C13,tblSource[EventType],"Collection",tblSource[ReleaseStatus],"APPROVED"),SUMIFS(tblSettlementSchedule[AppliedBookUSD],tblSettlementSchedule[Site],B13,tblSettlementSchedule[Period],C13,tblSettlementSchedule[EventType],"Collection",tblSettlementSchedule[PendingActualOrigin],1)+Assumptions!$K$8*Revenue!H13+(1-Assumptions!$K$8)*IF(INDEX(Period_Status!$B$2:$B$8,MATCH(C12,Period_Status!$A$2:$A$8,0))="Forecast",Revenue!H12,0)+IF(C13=EDATE(Settlement_Bridge!$C$2,1),MAX(0,SUMIFS(tblSettlementBridge[UnallocatedARBookUSD],tblSettlementBridge[Site],B13)),0))</f>
        <v>667764.11612602731</v>
      </c>
      <c r="M13" s="12">
        <f t="shared" si="2"/>
        <v>-2.2118911147117615E-9</v>
      </c>
      <c r="N13" s="10">
        <f>IF(INDEX(Period_Status!$B$2:$B$8,MATCH(C13,Period_Status!$A$2:$A$8,0))="ActualClosed",Controls!H13,SUMIFS(tblSettlementSchedule[CashUSD],tblSettlementSchedule[Site],B13,tblSettlementSchedule[Period],C13,tblSettlementSchedule[EventType],"Collection",tblSettlementSchedule[PendingActualOrigin],1)+Assumptions!$K$8*Revenue!H13+(1-Assumptions!$K$8)*IF(INDEX(Period_Status!$B$2:$B$8,MATCH(C12,Period_Status!$A$2:$A$8,0))="Forecast",Revenue!H12,0)+IF(C13=EDATE(Settlement_Bridge!$C$2,1),MAX(0,SUMIFS(tblSettlementBridge[UnallocatedARBookUSD],tblSettlementBridge[Site],B13)),0))</f>
        <v>667764.11612602731</v>
      </c>
      <c r="O13" s="12">
        <f t="shared" si="3"/>
        <v>0</v>
      </c>
      <c r="P13" s="12">
        <f t="shared" si="12"/>
        <v>480763.93247999903</v>
      </c>
      <c r="Q13" s="12">
        <f>Operating_Costs!N13+Capex!D13</f>
        <v>2827495.1124</v>
      </c>
      <c r="R13" s="10">
        <f>IF(INDEX(Period_Status!$B$2:$B$8,MATCH(C13,Period_Status!$A$2:$A$8,0))="ActualClosed",SUMIFS(tblSource[AppliedUSD],tblSource[Site],B13,tblSource[Period],C13,tblSource[EventType],"VendorSettlement",tblSource[ReleaseStatus],"APPROVED"),SUMIFS(tblSettlementSchedule[AppliedBookUSD],tblSettlementSchedule[Site],B13,tblSettlementSchedule[Period],C13,tblSettlementSchedule[EventType],"VendorSettlement",tblSettlementSchedule[PendingActualOrigin],1)+Assumptions!$K$9*(Operating_Costs!N13+Capex!D13)+(1-Assumptions!$K$9)*IF(INDEX(Period_Status!$B$2:$B$8,MATCH(C12,Period_Status!$A$2:$A$8,0))="Forecast",Operating_Costs!N12+Capex!D12,0)+IF(C13=EDATE(Settlement_Bridge!$C$2,1),MAX(0,SUMIFS(tblSettlementBridge[UnallocatedAPBookUSD],tblSettlementBridge[Site],B13)),0))</f>
        <v>2799309.9246479999</v>
      </c>
      <c r="S13" s="12">
        <f t="shared" si="4"/>
        <v>508949.12023199908</v>
      </c>
      <c r="T13" s="23">
        <f t="shared" si="5"/>
        <v>0</v>
      </c>
      <c r="U13" s="23">
        <f t="shared" si="6"/>
        <v>0</v>
      </c>
    </row>
    <row r="14" spans="1:21" x14ac:dyDescent="0.25">
      <c r="A14" s="2" t="s">
        <v>12445</v>
      </c>
      <c r="B14" s="2" t="s">
        <v>199</v>
      </c>
      <c r="C14" s="6">
        <v>46327</v>
      </c>
      <c r="D14" s="12">
        <f t="shared" si="10"/>
        <v>12214578.875788769</v>
      </c>
      <c r="E14" s="10">
        <f>IF(INDEX(Period_Status!$B$2:$B$8,MATCH(C14,Period_Status!$A$2:$A$8,0))="ActualClosed",SUMIFS(tblSource[AmountUSD],tblSource[Site],B14,tblSource[Period],C14,tblSource[EventType],"Collection",tblSource[ReleaseStatus],"APPROVED"),SUMIFS(tblSettlementSchedule[CashUSD],tblSettlementSchedule[Site],B14,tblSettlementSchedule[Period],C14,tblSettlementSchedule[EventType],"Collection",tblSettlementSchedule[PendingActualOrigin],1)+Assumptions!$K$8*Revenue!H14+(1-Assumptions!$K$8)*IF(INDEX(Period_Status!$B$2:$B$8,MATCH(C13,Period_Status!$A$2:$A$8,0))="Forecast",Revenue!H13,0)+IF(C14=EDATE(Settlement_Bridge!$C$2,1),MAX(0,SUMIFS(tblSettlementBridge[UnallocatedARBookUSD],tblSettlementBridge[Site],B14)),0))</f>
        <v>4533728.6273975912</v>
      </c>
      <c r="F14" s="10">
        <f>IF(INDEX(Period_Status!$B$2:$B$8,MATCH(C14,Period_Status!$A$2:$A$8,0))="ActualClosed",SUMIFS(tblSource[AmountUSD],tblSource[Site],B14,tblSource[Period],C14,tblSource[EventType],"VendorSettlement",tblSource[ReleaseStatus],"APPROVED"),SUMIFS(tblSettlementSchedule[CashUSD],tblSettlementSchedule[Site],B14,tblSettlementSchedule[Period],C14,tblSettlementSchedule[EventType],"VendorSettlement",tblSettlementSchedule[PendingActualOrigin],1)+Assumptions!$K$9*(Operating_Costs!N14+Capex!D14)+(1-Assumptions!$K$9)*IF(INDEX(Period_Status!$B$2:$B$8,MATCH(C13,Period_Status!$A$2:$A$8,0))="Forecast",Operating_Costs!N13+Capex!D13,0)+IF(C14=EDATE(Settlement_Bridge!$C$2,1),MAX(0,SUMIFS(tblSettlementBridge[UnallocatedAPBookUSD],tblSettlementBridge[Site],B14)),0))</f>
        <v>3072843.9071039995</v>
      </c>
      <c r="G14" s="10">
        <f>IF(INDEX(Period_Status!$B$2:$B$8,MATCH(C14,Period_Status!$A$2:$A$8,0))="ActualClosed",SUMIFS(tblSource[FeeUSD],tblSource[Site],B14,tblSource[Period],C14,tblSource[EventType],"Collection",tblSource[ReleaseStatus],"APPROVED")+SUMIFS(tblSource[FeeUSD],tblSource[Site],B14,tblSource[Period],C14,tblSource[EventType],"VendorSettlement",tblSource[ReleaseStatus],"APPROVED"),SUMIFS(tblSettlementSchedule[FeeUSD],tblSettlementSchedule[Site],B14,tblSettlementSchedule[Period],C14,tblSettlementSchedule[EventType],"Collection",tblSettlementSchedule[PendingActualOrigin],1)+SUMIFS(tblSettlementSchedule[FeeUSD],tblSettlementSchedule[Site],B14,tblSettlementSchedule[Period],C14,tblSettlementSchedule[EventType],"VendorSettlement",tblSettlementSchedule[PendingActualOrigin],1)+(Assumptions!$K$8*Revenue!H14+(1-Assumptions!$K$8)*IF(INDEX(Period_Status!$B$2:$B$8,MATCH(C13,Period_Status!$A$2:$A$8,0))="Forecast",Revenue!H13,0)+IF(C14=EDATE(Settlement_Bridge!$C$2,1),MAX(0,SUMIFS(tblSettlementBridge[UnallocatedARBookUSD],tblSettlementBridge[Site],B14)),0))*0.0008+(Assumptions!$K$9*(Operating_Costs!N14+Capex!D14)+(1-Assumptions!$K$9)*IF(INDEX(Period_Status!$B$2:$B$8,MATCH(C13,Period_Status!$A$2:$A$8,0))="Forecast",Operating_Costs!N13+Capex!D13,0)+IF(C14=EDATE(Settlement_Bridge!$C$2,1),MAX(0,SUMIFS(tblSettlementBridge[UnallocatedAPBookUSD],tblSettlementBridge[Site],B14)),0))*0.00055)</f>
        <v>5317.0470508252729</v>
      </c>
      <c r="H14" s="12">
        <f t="shared" si="0"/>
        <v>1455567.6732427664</v>
      </c>
      <c r="I14" s="12">
        <f t="shared" si="1"/>
        <v>13670146.549031535</v>
      </c>
      <c r="J14" s="12">
        <f t="shared" si="11"/>
        <v>-2.2118911147117615E-9</v>
      </c>
      <c r="K14" s="12">
        <f>Revenue!H14</f>
        <v>5151964.3493154449</v>
      </c>
      <c r="L14" s="10">
        <f>IF(INDEX(Period_Status!$B$2:$B$8,MATCH(C14,Period_Status!$A$2:$A$8,0))="ActualClosed",SUMIFS(tblSource[AppliedUSD],tblSource[Site],B14,tblSource[Period],C14,tblSource[EventType],"Collection",tblSource[ReleaseStatus],"APPROVED"),SUMIFS(tblSettlementSchedule[AppliedBookUSD],tblSettlementSchedule[Site],B14,tblSettlementSchedule[Period],C14,tblSettlementSchedule[EventType],"Collection",tblSettlementSchedule[PendingActualOrigin],1)+Assumptions!$K$8*Revenue!H14+(1-Assumptions!$K$8)*IF(INDEX(Period_Status!$B$2:$B$8,MATCH(C13,Period_Status!$A$2:$A$8,0))="Forecast",Revenue!H13,0)+IF(C14=EDATE(Settlement_Bridge!$C$2,1),MAX(0,SUMIFS(tblSettlementBridge[UnallocatedARBookUSD],tblSettlementBridge[Site],B14)),0))</f>
        <v>4533728.6273975912</v>
      </c>
      <c r="M14" s="12">
        <f t="shared" si="2"/>
        <v>618235.72191785183</v>
      </c>
      <c r="N14" s="10">
        <f>IF(INDEX(Period_Status!$B$2:$B$8,MATCH(C14,Period_Status!$A$2:$A$8,0))="ActualClosed",Controls!H14,SUMIFS(tblSettlementSchedule[CashUSD],tblSettlementSchedule[Site],B14,tblSettlementSchedule[Period],C14,tblSettlementSchedule[EventType],"Collection",tblSettlementSchedule[PendingActualOrigin],1)+Assumptions!$K$8*Revenue!H14+(1-Assumptions!$K$8)*IF(INDEX(Period_Status!$B$2:$B$8,MATCH(C13,Period_Status!$A$2:$A$8,0))="Forecast",Revenue!H13,0)+IF(C14=EDATE(Settlement_Bridge!$C$2,1),MAX(0,SUMIFS(tblSettlementBridge[UnallocatedARBookUSD],tblSettlementBridge[Site],B14)),0))</f>
        <v>4533728.6273975912</v>
      </c>
      <c r="O14" s="12">
        <f t="shared" si="3"/>
        <v>0</v>
      </c>
      <c r="P14" s="12">
        <f t="shared" si="12"/>
        <v>508949.12023199908</v>
      </c>
      <c r="Q14" s="12">
        <f>Operating_Costs!N14+Capex!D14</f>
        <v>3126700.9595999997</v>
      </c>
      <c r="R14" s="10">
        <f>IF(INDEX(Period_Status!$B$2:$B$8,MATCH(C14,Period_Status!$A$2:$A$8,0))="ActualClosed",SUMIFS(tblSource[AppliedUSD],tblSource[Site],B14,tblSource[Period],C14,tblSource[EventType],"VendorSettlement",tblSource[ReleaseStatus],"APPROVED"),SUMIFS(tblSettlementSchedule[AppliedBookUSD],tblSettlementSchedule[Site],B14,tblSettlementSchedule[Period],C14,tblSettlementSchedule[EventType],"VendorSettlement",tblSettlementSchedule[PendingActualOrigin],1)+Assumptions!$K$9*(Operating_Costs!N14+Capex!D14)+(1-Assumptions!$K$9)*IF(INDEX(Period_Status!$B$2:$B$8,MATCH(C13,Period_Status!$A$2:$A$8,0))="Forecast",Operating_Costs!N13+Capex!D13,0)+IF(C14=EDATE(Settlement_Bridge!$C$2,1),MAX(0,SUMIFS(tblSettlementBridge[UnallocatedAPBookUSD],tblSettlementBridge[Site],B14)),0))</f>
        <v>3072843.9071039995</v>
      </c>
      <c r="S14" s="12">
        <f t="shared" si="4"/>
        <v>562806.17272799928</v>
      </c>
      <c r="T14" s="23">
        <f t="shared" si="5"/>
        <v>0</v>
      </c>
      <c r="U14" s="23">
        <f t="shared" si="6"/>
        <v>0</v>
      </c>
    </row>
    <row r="15" spans="1:21" x14ac:dyDescent="0.25">
      <c r="A15" s="2" t="s">
        <v>12446</v>
      </c>
      <c r="B15" s="2" t="s">
        <v>199</v>
      </c>
      <c r="C15" s="6">
        <v>46357</v>
      </c>
      <c r="D15" s="12">
        <f t="shared" si="10"/>
        <v>13670146.549031535</v>
      </c>
      <c r="E15" s="10">
        <f>IF(INDEX(Period_Status!$B$2:$B$8,MATCH(C15,Period_Status!$A$2:$A$8,0))="ActualClosed",SUMIFS(tblSource[AmountUSD],tblSource[Site],B15,tblSource[Period],C15,tblSource[EventType],"Collection",tblSource[ReleaseStatus],"APPROVED"),SUMIFS(tblSettlementSchedule[CashUSD],tblSettlementSchedule[Site],B15,tblSettlementSchedule[Period],C15,tblSettlementSchedule[EventType],"Collection",tblSettlementSchedule[PendingActualOrigin],1)+Assumptions!$K$8*Revenue!H15+(1-Assumptions!$K$8)*IF(INDEX(Period_Status!$B$2:$B$8,MATCH(C14,Period_Status!$A$2:$A$8,0))="Forecast",Revenue!H14,0)+IF(C15=EDATE(Settlement_Bridge!$C$2,1),MAX(0,SUMIFS(tblSettlementBridge[UnallocatedARBookUSD],tblSettlementBridge[Site],B15)),0))</f>
        <v>6092760.9960538959</v>
      </c>
      <c r="F15" s="10">
        <f>IF(INDEX(Period_Status!$B$2:$B$8,MATCH(C15,Period_Status!$A$2:$A$8,0))="ActualClosed",SUMIFS(tblSource[AmountUSD],tblSource[Site],B15,tblSource[Period],C15,tblSource[EventType],"VendorSettlement",tblSource[ReleaseStatus],"APPROVED"),SUMIFS(tblSettlementSchedule[CashUSD],tblSettlementSchedule[Site],B15,tblSettlementSchedule[Period],C15,tblSettlementSchedule[EventType],"VendorSettlement",tblSettlementSchedule[PendingActualOrigin],1)+Assumptions!$K$9*(Operating_Costs!N15+Capex!D15)+(1-Assumptions!$K$9)*IF(INDEX(Period_Status!$B$2:$B$8,MATCH(C14,Period_Status!$A$2:$A$8,0))="Forecast",Operating_Costs!N14+Capex!D14,0)+IF(C15=EDATE(Settlement_Bridge!$C$2,1),MAX(0,SUMIFS(tblSettlementBridge[UnallocatedAPBookUSD],tblSettlementBridge[Site],B15)),0))</f>
        <v>2859884.1562080001</v>
      </c>
      <c r="G15" s="10">
        <f>IF(INDEX(Period_Status!$B$2:$B$8,MATCH(C15,Period_Status!$A$2:$A$8,0))="ActualClosed",SUMIFS(tblSource[FeeUSD],tblSource[Site],B15,tblSource[Period],C15,tblSource[EventType],"Collection",tblSource[ReleaseStatus],"APPROVED")+SUMIFS(tblSource[FeeUSD],tblSource[Site],B15,tblSource[Period],C15,tblSource[EventType],"VendorSettlement",tblSource[ReleaseStatus],"APPROVED"),SUMIFS(tblSettlementSchedule[FeeUSD],tblSettlementSchedule[Site],B15,tblSettlementSchedule[Period],C15,tblSettlementSchedule[EventType],"Collection",tblSettlementSchedule[PendingActualOrigin],1)+SUMIFS(tblSettlementSchedule[FeeUSD],tblSettlementSchedule[Site],B15,tblSettlementSchedule[Period],C15,tblSettlementSchedule[EventType],"VendorSettlement",tblSettlementSchedule[PendingActualOrigin],1)+(Assumptions!$K$8*Revenue!H15+(1-Assumptions!$K$8)*IF(INDEX(Period_Status!$B$2:$B$8,MATCH(C14,Period_Status!$A$2:$A$8,0))="Forecast",Revenue!H14,0)+IF(C15=EDATE(Settlement_Bridge!$C$2,1),MAX(0,SUMIFS(tblSettlementBridge[UnallocatedARBookUSD],tblSettlementBridge[Site],B15)),0))*0.0008+(Assumptions!$K$9*(Operating_Costs!N15+Capex!D15)+(1-Assumptions!$K$9)*IF(INDEX(Period_Status!$B$2:$B$8,MATCH(C14,Period_Status!$A$2:$A$8,0))="Forecast",Operating_Costs!N14+Capex!D14,0)+IF(C15=EDATE(Settlement_Bridge!$C$2,1),MAX(0,SUMIFS(tblSettlementBridge[UnallocatedAPBookUSD],tblSettlementBridge[Site],B15)),0))*0.00055)</f>
        <v>6447.1450827575172</v>
      </c>
      <c r="H15" s="12">
        <f t="shared" si="0"/>
        <v>3226429.6947631384</v>
      </c>
      <c r="I15" s="12">
        <f t="shared" si="1"/>
        <v>16896576.243794672</v>
      </c>
      <c r="J15" s="12">
        <f t="shared" si="11"/>
        <v>618235.72191785183</v>
      </c>
      <c r="K15" s="12">
        <f>Revenue!H15</f>
        <v>6221051.4478818662</v>
      </c>
      <c r="L15" s="10">
        <f>IF(INDEX(Period_Status!$B$2:$B$8,MATCH(C15,Period_Status!$A$2:$A$8,0))="ActualClosed",SUMIFS(tblSource[AppliedUSD],tblSource[Site],B15,tblSource[Period],C15,tblSource[EventType],"Collection",tblSource[ReleaseStatus],"APPROVED"),SUMIFS(tblSettlementSchedule[AppliedBookUSD],tblSettlementSchedule[Site],B15,tblSettlementSchedule[Period],C15,tblSettlementSchedule[EventType],"Collection",tblSettlementSchedule[PendingActualOrigin],1)+Assumptions!$K$8*Revenue!H15+(1-Assumptions!$K$8)*IF(INDEX(Period_Status!$B$2:$B$8,MATCH(C14,Period_Status!$A$2:$A$8,0))="Forecast",Revenue!H14,0)+IF(C15=EDATE(Settlement_Bridge!$C$2,1),MAX(0,SUMIFS(tblSettlementBridge[UnallocatedARBookUSD],tblSettlementBridge[Site],B15)),0))</f>
        <v>6092760.9960538959</v>
      </c>
      <c r="M15" s="12">
        <f t="shared" si="2"/>
        <v>746526.17374582216</v>
      </c>
      <c r="N15" s="10">
        <f>IF(INDEX(Period_Status!$B$2:$B$8,MATCH(C15,Period_Status!$A$2:$A$8,0))="ActualClosed",Controls!H15,SUMIFS(tblSettlementSchedule[CashUSD],tblSettlementSchedule[Site],B15,tblSettlementSchedule[Period],C15,tblSettlementSchedule[EventType],"Collection",tblSettlementSchedule[PendingActualOrigin],1)+Assumptions!$K$8*Revenue!H15+(1-Assumptions!$K$8)*IF(INDEX(Period_Status!$B$2:$B$8,MATCH(C14,Period_Status!$A$2:$A$8,0))="Forecast",Revenue!H14,0)+IF(C15=EDATE(Settlement_Bridge!$C$2,1),MAX(0,SUMIFS(tblSettlementBridge[UnallocatedARBookUSD],tblSettlementBridge[Site],B15)),0))</f>
        <v>6092760.9960538959</v>
      </c>
      <c r="O15" s="12">
        <f t="shared" si="3"/>
        <v>0</v>
      </c>
      <c r="P15" s="12">
        <f t="shared" si="12"/>
        <v>562806.17272799928</v>
      </c>
      <c r="Q15" s="12">
        <f>Operating_Costs!N15+Capex!D15</f>
        <v>2801314.6140000001</v>
      </c>
      <c r="R15" s="10">
        <f>IF(INDEX(Period_Status!$B$2:$B$8,MATCH(C15,Period_Status!$A$2:$A$8,0))="ActualClosed",SUMIFS(tblSource[AppliedUSD],tblSource[Site],B15,tblSource[Period],C15,tblSource[EventType],"VendorSettlement",tblSource[ReleaseStatus],"APPROVED"),SUMIFS(tblSettlementSchedule[AppliedBookUSD],tblSettlementSchedule[Site],B15,tblSettlementSchedule[Period],C15,tblSettlementSchedule[EventType],"VendorSettlement",tblSettlementSchedule[PendingActualOrigin],1)+Assumptions!$K$9*(Operating_Costs!N15+Capex!D15)+(1-Assumptions!$K$9)*IF(INDEX(Period_Status!$B$2:$B$8,MATCH(C14,Period_Status!$A$2:$A$8,0))="Forecast",Operating_Costs!N14+Capex!D14,0)+IF(C15=EDATE(Settlement_Bridge!$C$2,1),MAX(0,SUMIFS(tblSettlementBridge[UnallocatedAPBookUSD],tblSettlementBridge[Site],B15)),0))</f>
        <v>2859884.1562080001</v>
      </c>
      <c r="S15" s="12">
        <f t="shared" si="4"/>
        <v>504236.63051999919</v>
      </c>
      <c r="T15" s="23">
        <f t="shared" si="5"/>
        <v>0</v>
      </c>
      <c r="U15" s="23">
        <f t="shared" si="6"/>
        <v>0</v>
      </c>
    </row>
    <row r="16" spans="1:21" x14ac:dyDescent="0.25">
      <c r="A16" s="2" t="s">
        <v>12447</v>
      </c>
      <c r="B16" s="2" t="s">
        <v>7433</v>
      </c>
      <c r="C16" s="6">
        <v>46174</v>
      </c>
      <c r="D16" s="12">
        <f>Assumptions!$K$4</f>
        <v>9000000</v>
      </c>
      <c r="E16" s="10">
        <f>IF(INDEX(Period_Status!$B$2:$B$8,MATCH(C16,Period_Status!$A$2:$A$8,0))="ActualClosed",SUMIFS(tblSource[AmountUSD],tblSource[Site],B16,tblSource[Period],C16,tblSource[EventType],"Collection",tblSource[ReleaseStatus],"APPROVED"),SUMIFS(tblSettlementSchedule[CashUSD],tblSettlementSchedule[Site],B16,tblSettlementSchedule[Period],C16,tblSettlementSchedule[EventType],"Collection",tblSettlementSchedule[PendingActualOrigin],1)+Assumptions!$K$8*Revenue!H16+(1-Assumptions!$K$8)*0+IF(C16=EDATE(Settlement_Bridge!$C$2,1),MAX(0,SUMIFS(tblSettlementBridge[UnallocatedARBookUSD],tblSettlementBridge[Site],B16)),0))</f>
        <v>0</v>
      </c>
      <c r="F16" s="10">
        <f>IF(INDEX(Period_Status!$B$2:$B$8,MATCH(C16,Period_Status!$A$2:$A$8,0))="ActualClosed",SUMIFS(tblSource[AmountUSD],tblSource[Site],B16,tblSource[Period],C16,tblSource[EventType],"VendorSettlement",tblSource[ReleaseStatus],"APPROVED"),SUMIFS(tblSettlementSchedule[CashUSD],tblSettlementSchedule[Site],B16,tblSettlementSchedule[Period],C16,tblSettlementSchedule[EventType],"VendorSettlement",tblSettlementSchedule[PendingActualOrigin],1)+Assumptions!$K$9*(Operating_Costs!N16+Capex!D16)+(1-Assumptions!$K$9)*0+IF(C16=EDATE(Settlement_Bridge!$C$2,1),MAX(0,SUMIFS(tblSettlementBridge[UnallocatedAPBookUSD],tblSettlementBridge[Site],B16)),0))</f>
        <v>817042.43</v>
      </c>
      <c r="G16" s="10">
        <f>IF(INDEX(Period_Status!$B$2:$B$8,MATCH(C16,Period_Status!$A$2:$A$8,0))="ActualClosed",SUMIFS(tblSource[FeeUSD],tblSource[Site],B16,tblSource[Period],C16,tblSource[EventType],"Collection",tblSource[ReleaseStatus],"APPROVED")+SUMIFS(tblSource[FeeUSD],tblSource[Site],B16,tblSource[Period],C16,tblSource[EventType],"VendorSettlement",tblSource[ReleaseStatus],"APPROVED"),SUMIFS(tblSettlementSchedule[FeeUSD],tblSettlementSchedule[Site],B16,tblSettlementSchedule[Period],C16,tblSettlementSchedule[EventType],"Collection",tblSettlementSchedule[PendingActualOrigin],1)+SUMIFS(tblSettlementSchedule[FeeUSD],tblSettlementSchedule[Site],B16,tblSettlementSchedule[Period],C16,tblSettlementSchedule[EventType],"VendorSettlement",tblSettlementSchedule[PendingActualOrigin],1)+(Assumptions!$K$8*Revenue!H16+(1-Assumptions!$K$8)*0+IF(C16=EDATE(Settlement_Bridge!$C$2,1),MAX(0,SUMIFS(tblSettlementBridge[UnallocatedARBookUSD],tblSettlementBridge[Site],B16)),0))*0.0008+(Assumptions!$K$9*(Operating_Costs!N16+Capex!D16)+(1-Assumptions!$K$9)*0+IF(C16=EDATE(Settlement_Bridge!$C$2,1),MAX(0,SUMIFS(tblSettlementBridge[UnallocatedAPBookUSD],tblSettlementBridge[Site],B16)),0))*0.00055)</f>
        <v>516.31000000000063</v>
      </c>
      <c r="H16" s="12">
        <f t="shared" si="0"/>
        <v>-817558.74000000011</v>
      </c>
      <c r="I16" s="12">
        <f t="shared" si="1"/>
        <v>8182441.2599999998</v>
      </c>
      <c r="J16" s="12">
        <f>Assumptions!$K$11</f>
        <v>0</v>
      </c>
      <c r="K16" s="12">
        <f>Revenue!H16</f>
        <v>0</v>
      </c>
      <c r="L16" s="10">
        <f>IF(INDEX(Period_Status!$B$2:$B$8,MATCH(C16,Period_Status!$A$2:$A$8,0))="ActualClosed",SUMIFS(tblSource[AppliedUSD],tblSource[Site],B16,tblSource[Period],C16,tblSource[EventType],"Collection",tblSource[ReleaseStatus],"APPROVED"),SUMIFS(tblSettlementSchedule[AppliedBookUSD],tblSettlementSchedule[Site],B16,tblSettlementSchedule[Period],C16,tblSettlementSchedule[EventType],"Collection",tblSettlementSchedule[PendingActualOrigin],1)+Assumptions!$K$8*Revenue!H16+(1-Assumptions!$K$8)*0+IF(C16=EDATE(Settlement_Bridge!$C$2,1),MAX(0,SUMIFS(tblSettlementBridge[UnallocatedARBookUSD],tblSettlementBridge[Site],B16)),0))</f>
        <v>0</v>
      </c>
      <c r="M16" s="12">
        <f t="shared" si="2"/>
        <v>0</v>
      </c>
      <c r="N16" s="10">
        <f>IF(INDEX(Period_Status!$B$2:$B$8,MATCH(C16,Period_Status!$A$2:$A$8,0))="ActualClosed",Controls!H16,SUMIFS(tblSettlementSchedule[CashUSD],tblSettlementSchedule[Site],B16,tblSettlementSchedule[Period],C16,tblSettlementSchedule[EventType],"Collection",tblSettlementSchedule[PendingActualOrigin],1)+Assumptions!$K$8*Revenue!H16+(1-Assumptions!$K$8)*0+IF(C16=EDATE(Settlement_Bridge!$C$2,1),MAX(0,SUMIFS(tblSettlementBridge[UnallocatedARBookUSD],tblSettlementBridge[Site],B16)),0))</f>
        <v>0</v>
      </c>
      <c r="O16" s="12">
        <f t="shared" si="3"/>
        <v>0</v>
      </c>
      <c r="P16" s="12">
        <f>0</f>
        <v>0</v>
      </c>
      <c r="Q16" s="12">
        <f>Operating_Costs!N16+Capex!D16</f>
        <v>3958141.629999999</v>
      </c>
      <c r="R16" s="10">
        <f>IF(INDEX(Period_Status!$B$2:$B$8,MATCH(C16,Period_Status!$A$2:$A$8,0))="ActualClosed",SUMIFS(tblSource[AppliedUSD],tblSource[Site],B16,tblSource[Period],C16,tblSource[EventType],"VendorSettlement",tblSource[ReleaseStatus],"APPROVED"),SUMIFS(tblSettlementSchedule[AppliedBookUSD],tblSettlementSchedule[Site],B16,tblSettlementSchedule[Period],C16,tblSettlementSchedule[EventType],"VendorSettlement",tblSettlementSchedule[PendingActualOrigin],1)+Assumptions!$K$9*(Operating_Costs!N16+Capex!D16)+(1-Assumptions!$K$9)*0+IF(C16=EDATE(Settlement_Bridge!$C$2,1),MAX(0,SUMIFS(tblSettlementBridge[UnallocatedAPBookUSD],tblSettlementBridge[Site],B16)),0))</f>
        <v>817042.43</v>
      </c>
      <c r="S16" s="12">
        <f t="shared" si="4"/>
        <v>3141099.1999999988</v>
      </c>
      <c r="T16" s="23">
        <f t="shared" si="5"/>
        <v>0</v>
      </c>
      <c r="U16" s="23">
        <f t="shared" si="6"/>
        <v>0</v>
      </c>
    </row>
    <row r="17" spans="1:21" x14ac:dyDescent="0.25">
      <c r="A17" s="2" t="s">
        <v>12448</v>
      </c>
      <c r="B17" s="2" t="s">
        <v>7433</v>
      </c>
      <c r="C17" s="6">
        <v>46204</v>
      </c>
      <c r="D17" s="12">
        <f t="shared" ref="D17:D22" si="13">I16</f>
        <v>8182441.2599999998</v>
      </c>
      <c r="E17" s="10">
        <f>IF(INDEX(Period_Status!$B$2:$B$8,MATCH(C17,Period_Status!$A$2:$A$8,0))="ActualClosed",SUMIFS(tblSource[AmountUSD],tblSource[Site],B17,tblSource[Period],C17,tblSource[EventType],"Collection",tblSource[ReleaseStatus],"APPROVED"),SUMIFS(tblSettlementSchedule[CashUSD],tblSettlementSchedule[Site],B17,tblSettlementSchedule[Period],C17,tblSettlementSchedule[EventType],"Collection",tblSettlementSchedule[PendingActualOrigin],1)+Assumptions!$K$8*Revenue!H17+(1-Assumptions!$K$8)*IF(INDEX(Period_Status!$B$2:$B$8,MATCH(C16,Period_Status!$A$2:$A$8,0))="Forecast",Revenue!H16,0)+IF(C17=EDATE(Settlement_Bridge!$C$2,1),MAX(0,SUMIFS(tblSettlementBridge[UnallocatedARBookUSD],tblSettlementBridge[Site],B17)),0))</f>
        <v>0</v>
      </c>
      <c r="F17" s="10">
        <f>IF(INDEX(Period_Status!$B$2:$B$8,MATCH(C17,Period_Status!$A$2:$A$8,0))="ActualClosed",SUMIFS(tblSource[AmountUSD],tblSource[Site],B17,tblSource[Period],C17,tblSource[EventType],"VendorSettlement",tblSource[ReleaseStatus],"APPROVED"),SUMIFS(tblSettlementSchedule[CashUSD],tblSettlementSchedule[Site],B17,tblSettlementSchedule[Period],C17,tblSettlementSchedule[EventType],"VendorSettlement",tblSettlementSchedule[PendingActualOrigin],1)+Assumptions!$K$9*(Operating_Costs!N17+Capex!D17)+(1-Assumptions!$K$9)*IF(INDEX(Period_Status!$B$2:$B$8,MATCH(C16,Period_Status!$A$2:$A$8,0))="Forecast",Operating_Costs!N16+Capex!D16,0)+IF(C17=EDATE(Settlement_Bridge!$C$2,1),MAX(0,SUMIFS(tblSettlementBridge[UnallocatedAPBookUSD],tblSettlementBridge[Site],B17)),0))</f>
        <v>3334748.0999999973</v>
      </c>
      <c r="G17" s="10">
        <f>IF(INDEX(Period_Status!$B$2:$B$8,MATCH(C17,Period_Status!$A$2:$A$8,0))="ActualClosed",SUMIFS(tblSource[FeeUSD],tblSource[Site],B17,tblSource[Period],C17,tblSource[EventType],"Collection",tblSource[ReleaseStatus],"APPROVED")+SUMIFS(tblSource[FeeUSD],tblSource[Site],B17,tblSource[Period],C17,tblSource[EventType],"VendorSettlement",tblSource[ReleaseStatus],"APPROVED"),SUMIFS(tblSettlementSchedule[FeeUSD],tblSettlementSchedule[Site],B17,tblSettlementSchedule[Period],C17,tblSettlementSchedule[EventType],"Collection",tblSettlementSchedule[PendingActualOrigin],1)+SUMIFS(tblSettlementSchedule[FeeUSD],tblSettlementSchedule[Site],B17,tblSettlementSchedule[Period],C17,tblSettlementSchedule[EventType],"VendorSettlement",tblSettlementSchedule[PendingActualOrigin],1)+(Assumptions!$K$8*Revenue!H17+(1-Assumptions!$K$8)*IF(INDEX(Period_Status!$B$2:$B$8,MATCH(C16,Period_Status!$A$2:$A$8,0))="Forecast",Revenue!H16,0)+IF(C17=EDATE(Settlement_Bridge!$C$2,1),MAX(0,SUMIFS(tblSettlementBridge[UnallocatedARBookUSD],tblSettlementBridge[Site],B17)),0))*0.0008+(Assumptions!$K$9*(Operating_Costs!N17+Capex!D17)+(1-Assumptions!$K$9)*IF(INDEX(Period_Status!$B$2:$B$8,MATCH(C16,Period_Status!$A$2:$A$8,0))="Forecast",Operating_Costs!N16+Capex!D16,0)+IF(C17=EDATE(Settlement_Bridge!$C$2,1),MAX(0,SUMIFS(tblSettlementBridge[UnallocatedAPBookUSD],tblSettlementBridge[Site],B17)),0))*0.00055)</f>
        <v>1989.6799999999951</v>
      </c>
      <c r="H17" s="12">
        <f t="shared" si="0"/>
        <v>-3336737.7799999975</v>
      </c>
      <c r="I17" s="12">
        <f t="shared" si="1"/>
        <v>4845703.4800000023</v>
      </c>
      <c r="J17" s="12">
        <f t="shared" ref="J17:J22" si="14">M16</f>
        <v>0</v>
      </c>
      <c r="K17" s="12">
        <f>Revenue!H17</f>
        <v>0</v>
      </c>
      <c r="L17" s="10">
        <f>IF(INDEX(Period_Status!$B$2:$B$8,MATCH(C17,Period_Status!$A$2:$A$8,0))="ActualClosed",SUMIFS(tblSource[AppliedUSD],tblSource[Site],B17,tblSource[Period],C17,tblSource[EventType],"Collection",tblSource[ReleaseStatus],"APPROVED"),SUMIFS(tblSettlementSchedule[AppliedBookUSD],tblSettlementSchedule[Site],B17,tblSettlementSchedule[Period],C17,tblSettlementSchedule[EventType],"Collection",tblSettlementSchedule[PendingActualOrigin],1)+Assumptions!$K$8*Revenue!H17+(1-Assumptions!$K$8)*IF(INDEX(Period_Status!$B$2:$B$8,MATCH(C16,Period_Status!$A$2:$A$8,0))="Forecast",Revenue!H16,0)+IF(C17=EDATE(Settlement_Bridge!$C$2,1),MAX(0,SUMIFS(tblSettlementBridge[UnallocatedARBookUSD],tblSettlementBridge[Site],B17)),0))</f>
        <v>0</v>
      </c>
      <c r="M17" s="12">
        <f t="shared" si="2"/>
        <v>0</v>
      </c>
      <c r="N17" s="10">
        <f>IF(INDEX(Period_Status!$B$2:$B$8,MATCH(C17,Period_Status!$A$2:$A$8,0))="ActualClosed",Controls!H17,SUMIFS(tblSettlementSchedule[CashUSD],tblSettlementSchedule[Site],B17,tblSettlementSchedule[Period],C17,tblSettlementSchedule[EventType],"Collection",tblSettlementSchedule[PendingActualOrigin],1)+Assumptions!$K$8*Revenue!H17+(1-Assumptions!$K$8)*IF(INDEX(Period_Status!$B$2:$B$8,MATCH(C16,Period_Status!$A$2:$A$8,0))="Forecast",Revenue!H16,0)+IF(C17=EDATE(Settlement_Bridge!$C$2,1),MAX(0,SUMIFS(tblSettlementBridge[UnallocatedARBookUSD],tblSettlementBridge[Site],B17)),0))</f>
        <v>0</v>
      </c>
      <c r="O17" s="12">
        <f t="shared" si="3"/>
        <v>0</v>
      </c>
      <c r="P17" s="12">
        <f t="shared" ref="P17:P22" si="15">S16</f>
        <v>3141099.1999999988</v>
      </c>
      <c r="Q17" s="12">
        <f>Operating_Costs!N17+Capex!D17</f>
        <v>3922798.5199999996</v>
      </c>
      <c r="R17" s="10">
        <f>IF(INDEX(Period_Status!$B$2:$B$8,MATCH(C17,Period_Status!$A$2:$A$8,0))="ActualClosed",SUMIFS(tblSource[AppliedUSD],tblSource[Site],B17,tblSource[Period],C17,tblSource[EventType],"VendorSettlement",tblSource[ReleaseStatus],"APPROVED"),SUMIFS(tblSettlementSchedule[AppliedBookUSD],tblSettlementSchedule[Site],B17,tblSettlementSchedule[Period],C17,tblSettlementSchedule[EventType],"VendorSettlement",tblSettlementSchedule[PendingActualOrigin],1)+Assumptions!$K$9*(Operating_Costs!N17+Capex!D17)+(1-Assumptions!$K$9)*IF(INDEX(Period_Status!$B$2:$B$8,MATCH(C16,Period_Status!$A$2:$A$8,0))="Forecast",Operating_Costs!N16+Capex!D16,0)+IF(C17=EDATE(Settlement_Bridge!$C$2,1),MAX(0,SUMIFS(tblSettlementBridge[UnallocatedAPBookUSD],tblSettlementBridge[Site],B17)),0))</f>
        <v>3349959.7899999986</v>
      </c>
      <c r="S17" s="12">
        <f t="shared" si="4"/>
        <v>3713937.93</v>
      </c>
      <c r="T17" s="23">
        <f t="shared" si="5"/>
        <v>0</v>
      </c>
      <c r="U17" s="23">
        <f t="shared" si="6"/>
        <v>-15211.690000001341</v>
      </c>
    </row>
    <row r="18" spans="1:21" x14ac:dyDescent="0.25">
      <c r="A18" s="2" t="s">
        <v>12449</v>
      </c>
      <c r="B18" s="2" t="s">
        <v>7433</v>
      </c>
      <c r="C18" s="6">
        <v>46235</v>
      </c>
      <c r="D18" s="12">
        <f t="shared" si="13"/>
        <v>4845703.4800000023</v>
      </c>
      <c r="E18" s="10">
        <f>IF(INDEX(Period_Status!$B$2:$B$8,MATCH(C18,Period_Status!$A$2:$A$8,0))="ActualClosed",SUMIFS(tblSource[AmountUSD],tblSource[Site],B18,tblSource[Period],C18,tblSource[EventType],"Collection",tblSource[ReleaseStatus],"APPROVED"),SUMIFS(tblSettlementSchedule[CashUSD],tblSettlementSchedule[Site],B18,tblSettlementSchedule[Period],C18,tblSettlementSchedule[EventType],"Collection",tblSettlementSchedule[PendingActualOrigin],1)+Assumptions!$K$8*Revenue!H18+(1-Assumptions!$K$8)*IF(INDEX(Period_Status!$B$2:$B$8,MATCH(C17,Period_Status!$A$2:$A$8,0))="Forecast",Revenue!H17,0)+IF(C18=EDATE(Settlement_Bridge!$C$2,1),MAX(0,SUMIFS(tblSettlementBridge[UnallocatedARBookUSD],tblSettlementBridge[Site],B18)),0))</f>
        <v>0</v>
      </c>
      <c r="F18" s="10">
        <f>IF(INDEX(Period_Status!$B$2:$B$8,MATCH(C18,Period_Status!$A$2:$A$8,0))="ActualClosed",SUMIFS(tblSource[AmountUSD],tblSource[Site],B18,tblSource[Period],C18,tblSource[EventType],"VendorSettlement",tblSource[ReleaseStatus],"APPROVED"),SUMIFS(tblSettlementSchedule[CashUSD],tblSettlementSchedule[Site],B18,tblSettlementSchedule[Period],C18,tblSettlementSchedule[EventType],"VendorSettlement",tblSettlementSchedule[PendingActualOrigin],1)+Assumptions!$K$9*(Operating_Costs!N18+Capex!D18)+(1-Assumptions!$K$9)*IF(INDEX(Period_Status!$B$2:$B$8,MATCH(C17,Period_Status!$A$2:$A$8,0))="Forecast",Operating_Costs!N17+Capex!D17,0)+IF(C18=EDATE(Settlement_Bridge!$C$2,1),MAX(0,SUMIFS(tblSettlementBridge[UnallocatedAPBookUSD],tblSettlementBridge[Site],B18)),0))</f>
        <v>10121685.714799995</v>
      </c>
      <c r="G18" s="10">
        <f>IF(INDEX(Period_Status!$B$2:$B$8,MATCH(C18,Period_Status!$A$2:$A$8,0))="ActualClosed",SUMIFS(tblSource[FeeUSD],tblSource[Site],B18,tblSource[Period],C18,tblSource[EventType],"Collection",tblSource[ReleaseStatus],"APPROVED")+SUMIFS(tblSource[FeeUSD],tblSource[Site],B18,tblSource[Period],C18,tblSource[EventType],"VendorSettlement",tblSource[ReleaseStatus],"APPROVED"),SUMIFS(tblSettlementSchedule[FeeUSD],tblSettlementSchedule[Site],B18,tblSettlementSchedule[Period],C18,tblSettlementSchedule[EventType],"Collection",tblSettlementSchedule[PendingActualOrigin],1)+SUMIFS(tblSettlementSchedule[FeeUSD],tblSettlementSchedule[Site],B18,tblSettlementSchedule[Period],C18,tblSettlementSchedule[EventType],"VendorSettlement",tblSettlementSchedule[PendingActualOrigin],1)+(Assumptions!$K$8*Revenue!H18+(1-Assumptions!$K$8)*IF(INDEX(Period_Status!$B$2:$B$8,MATCH(C17,Period_Status!$A$2:$A$8,0))="Forecast",Revenue!H17,0)+IF(C18=EDATE(Settlement_Bridge!$C$2,1),MAX(0,SUMIFS(tblSettlementBridge[UnallocatedARBookUSD],tblSettlementBridge[Site],B18)),0))*0.0008+(Assumptions!$K$9*(Operating_Costs!N18+Capex!D18)+(1-Assumptions!$K$9)*IF(INDEX(Period_Status!$B$2:$B$8,MATCH(C17,Period_Status!$A$2:$A$8,0))="Forecast",Operating_Costs!N17+Capex!D17,0)+IF(C18=EDATE(Settlement_Bridge!$C$2,1),MAX(0,SUMIFS(tblSettlementBridge[UnallocatedAPBookUSD],tblSettlementBridge[Site],B18)),0))*0.00055)</f>
        <v>5668.9307631399952</v>
      </c>
      <c r="H18" s="12">
        <f t="shared" si="0"/>
        <v>-10127354.645563135</v>
      </c>
      <c r="I18" s="12">
        <f t="shared" si="1"/>
        <v>-5281651.1655631326</v>
      </c>
      <c r="J18" s="12">
        <f t="shared" si="14"/>
        <v>0</v>
      </c>
      <c r="K18" s="12">
        <f>Revenue!H18</f>
        <v>0</v>
      </c>
      <c r="L18" s="10">
        <f>IF(INDEX(Period_Status!$B$2:$B$8,MATCH(C18,Period_Status!$A$2:$A$8,0))="ActualClosed",SUMIFS(tblSource[AppliedUSD],tblSource[Site],B18,tblSource[Period],C18,tblSource[EventType],"Collection",tblSource[ReleaseStatus],"APPROVED"),SUMIFS(tblSettlementSchedule[AppliedBookUSD],tblSettlementSchedule[Site],B18,tblSettlementSchedule[Period],C18,tblSettlementSchedule[EventType],"Collection",tblSettlementSchedule[PendingActualOrigin],1)+Assumptions!$K$8*Revenue!H18+(1-Assumptions!$K$8)*IF(INDEX(Period_Status!$B$2:$B$8,MATCH(C17,Period_Status!$A$2:$A$8,0))="Forecast",Revenue!H17,0)+IF(C18=EDATE(Settlement_Bridge!$C$2,1),MAX(0,SUMIFS(tblSettlementBridge[UnallocatedARBookUSD],tblSettlementBridge[Site],B18)),0))</f>
        <v>0</v>
      </c>
      <c r="M18" s="12">
        <f t="shared" si="2"/>
        <v>0</v>
      </c>
      <c r="N18" s="10">
        <f>IF(INDEX(Period_Status!$B$2:$B$8,MATCH(C18,Period_Status!$A$2:$A$8,0))="ActualClosed",Controls!H18,SUMIFS(tblSettlementSchedule[CashUSD],tblSettlementSchedule[Site],B18,tblSettlementSchedule[Period],C18,tblSettlementSchedule[EventType],"Collection",tblSettlementSchedule[PendingActualOrigin],1)+Assumptions!$K$8*Revenue!H18+(1-Assumptions!$K$8)*IF(INDEX(Period_Status!$B$2:$B$8,MATCH(C17,Period_Status!$A$2:$A$8,0))="Forecast",Revenue!H17,0)+IF(C18=EDATE(Settlement_Bridge!$C$2,1),MAX(0,SUMIFS(tblSettlementBridge[UnallocatedARBookUSD],tblSettlementBridge[Site],B18)),0))</f>
        <v>0</v>
      </c>
      <c r="O18" s="12">
        <f t="shared" si="3"/>
        <v>0</v>
      </c>
      <c r="P18" s="12">
        <f t="shared" si="15"/>
        <v>3713937.93</v>
      </c>
      <c r="Q18" s="12">
        <f>Operating_Costs!N18+Capex!D18</f>
        <v>8565700.1400000006</v>
      </c>
      <c r="R18" s="10">
        <f>IF(INDEX(Period_Status!$B$2:$B$8,MATCH(C18,Period_Status!$A$2:$A$8,0))="ActualClosed",SUMIFS(tblSource[AppliedUSD],tblSource[Site],B18,tblSource[Period],C18,tblSource[EventType],"VendorSettlement",tblSource[ReleaseStatus],"APPROVED"),SUMIFS(tblSettlementSchedule[AppliedBookUSD],tblSettlementSchedule[Site],B18,tblSettlementSchedule[Period],C18,tblSettlementSchedule[EventType],"VendorSettlement",tblSettlementSchedule[PendingActualOrigin],1)+Assumptions!$K$9*(Operating_Costs!N18+Capex!D18)+(1-Assumptions!$K$9)*IF(INDEX(Period_Status!$B$2:$B$8,MATCH(C17,Period_Status!$A$2:$A$8,0))="Forecast",Operating_Costs!N17+Capex!D17,0)+IF(C18=EDATE(Settlement_Bridge!$C$2,1),MAX(0,SUMIFS(tblSettlementBridge[UnallocatedAPBookUSD],tblSettlementBridge[Site],B18)),0))</f>
        <v>10147927.174800001</v>
      </c>
      <c r="S18" s="12">
        <f t="shared" si="4"/>
        <v>2131710.8951999992</v>
      </c>
      <c r="T18" s="23">
        <f t="shared" si="5"/>
        <v>0</v>
      </c>
      <c r="U18" s="23">
        <f t="shared" si="6"/>
        <v>-26241.460000006482</v>
      </c>
    </row>
    <row r="19" spans="1:21" x14ac:dyDescent="0.25">
      <c r="A19" s="2" t="s">
        <v>12450</v>
      </c>
      <c r="B19" s="2" t="s">
        <v>7433</v>
      </c>
      <c r="C19" s="6">
        <v>46266</v>
      </c>
      <c r="D19" s="12">
        <f t="shared" si="13"/>
        <v>-5281651.1655631326</v>
      </c>
      <c r="E19" s="10">
        <f>IF(INDEX(Period_Status!$B$2:$B$8,MATCH(C19,Period_Status!$A$2:$A$8,0))="ActualClosed",SUMIFS(tblSource[AmountUSD],tblSource[Site],B19,tblSource[Period],C19,tblSource[EventType],"Collection",tblSource[ReleaseStatus],"APPROVED"),SUMIFS(tblSettlementSchedule[CashUSD],tblSettlementSchedule[Site],B19,tblSettlementSchedule[Period],C19,tblSettlementSchedule[EventType],"Collection",tblSettlementSchedule[PendingActualOrigin],1)+Assumptions!$K$8*Revenue!H19+(1-Assumptions!$K$8)*IF(INDEX(Period_Status!$B$2:$B$8,MATCH(C18,Period_Status!$A$2:$A$8,0))="Forecast",Revenue!H18,0)+IF(C19=EDATE(Settlement_Bridge!$C$2,1),MAX(0,SUMIFS(tblSettlementBridge[UnallocatedARBookUSD],tblSettlementBridge[Site],B19)),0))</f>
        <v>0</v>
      </c>
      <c r="F19" s="10">
        <f>IF(INDEX(Period_Status!$B$2:$B$8,MATCH(C19,Period_Status!$A$2:$A$8,0))="ActualClosed",SUMIFS(tblSource[AmountUSD],tblSource[Site],B19,tblSource[Period],C19,tblSource[EventType],"VendorSettlement",tblSource[ReleaseStatus],"APPROVED"),SUMIFS(tblSettlementSchedule[CashUSD],tblSettlementSchedule[Site],B19,tblSettlementSchedule[Period],C19,tblSettlementSchedule[EventType],"VendorSettlement",tblSettlementSchedule[PendingActualOrigin],1)+Assumptions!$K$9*(Operating_Costs!N19+Capex!D19)+(1-Assumptions!$K$9)*IF(INDEX(Period_Status!$B$2:$B$8,MATCH(C18,Period_Status!$A$2:$A$8,0))="Forecast",Operating_Costs!N18+Capex!D18,0)+IF(C19=EDATE(Settlement_Bridge!$C$2,1),MAX(0,SUMIFS(tblSettlementBridge[UnallocatedAPBookUSD],tblSettlementBridge[Site],B19)),0))</f>
        <v>5297364.1824000003</v>
      </c>
      <c r="G19" s="10">
        <f>IF(INDEX(Period_Status!$B$2:$B$8,MATCH(C19,Period_Status!$A$2:$A$8,0))="ActualClosed",SUMIFS(tblSource[FeeUSD],tblSource[Site],B19,tblSource[Period],C19,tblSource[EventType],"Collection",tblSource[ReleaseStatus],"APPROVED")+SUMIFS(tblSource[FeeUSD],tblSource[Site],B19,tblSource[Period],C19,tblSource[EventType],"VendorSettlement",tblSource[ReleaseStatus],"APPROVED"),SUMIFS(tblSettlementSchedule[FeeUSD],tblSettlementSchedule[Site],B19,tblSettlementSchedule[Period],C19,tblSettlementSchedule[EventType],"Collection",tblSettlementSchedule[PendingActualOrigin],1)+SUMIFS(tblSettlementSchedule[FeeUSD],tblSettlementSchedule[Site],B19,tblSettlementSchedule[Period],C19,tblSettlementSchedule[EventType],"VendorSettlement",tblSettlementSchedule[PendingActualOrigin],1)+(Assumptions!$K$8*Revenue!H19+(1-Assumptions!$K$8)*IF(INDEX(Period_Status!$B$2:$B$8,MATCH(C18,Period_Status!$A$2:$A$8,0))="Forecast",Revenue!H18,0)+IF(C19=EDATE(Settlement_Bridge!$C$2,1),MAX(0,SUMIFS(tblSettlementBridge[UnallocatedARBookUSD],tblSettlementBridge[Site],B19)),0))*0.0008+(Assumptions!$K$9*(Operating_Costs!N19+Capex!D19)+(1-Assumptions!$K$9)*IF(INDEX(Period_Status!$B$2:$B$8,MATCH(C18,Period_Status!$A$2:$A$8,0))="Forecast",Operating_Costs!N18+Capex!D18,0)+IF(C19=EDATE(Settlement_Bridge!$C$2,1),MAX(0,SUMIFS(tblSettlementBridge[UnallocatedAPBookUSD],tblSettlementBridge[Site],B19)),0))*0.00055)</f>
        <v>2926.0134698200004</v>
      </c>
      <c r="H19" s="12">
        <f t="shared" si="0"/>
        <v>-5300290.1958698202</v>
      </c>
      <c r="I19" s="12">
        <f t="shared" si="1"/>
        <v>-10581941.361432953</v>
      </c>
      <c r="J19" s="12">
        <f t="shared" si="14"/>
        <v>0</v>
      </c>
      <c r="K19" s="12">
        <f>Revenue!H19</f>
        <v>0</v>
      </c>
      <c r="L19" s="10">
        <f>IF(INDEX(Period_Status!$B$2:$B$8,MATCH(C19,Period_Status!$A$2:$A$8,0))="ActualClosed",SUMIFS(tblSource[AppliedUSD],tblSource[Site],B19,tblSource[Period],C19,tblSource[EventType],"Collection",tblSource[ReleaseStatus],"APPROVED"),SUMIFS(tblSettlementSchedule[AppliedBookUSD],tblSettlementSchedule[Site],B19,tblSettlementSchedule[Period],C19,tblSettlementSchedule[EventType],"Collection",tblSettlementSchedule[PendingActualOrigin],1)+Assumptions!$K$8*Revenue!H19+(1-Assumptions!$K$8)*IF(INDEX(Period_Status!$B$2:$B$8,MATCH(C18,Period_Status!$A$2:$A$8,0))="Forecast",Revenue!H18,0)+IF(C19=EDATE(Settlement_Bridge!$C$2,1),MAX(0,SUMIFS(tblSettlementBridge[UnallocatedARBookUSD],tblSettlementBridge[Site],B19)),0))</f>
        <v>0</v>
      </c>
      <c r="M19" s="12">
        <f t="shared" si="2"/>
        <v>0</v>
      </c>
      <c r="N19" s="10">
        <f>IF(INDEX(Period_Status!$B$2:$B$8,MATCH(C19,Period_Status!$A$2:$A$8,0))="ActualClosed",Controls!H19,SUMIFS(tblSettlementSchedule[CashUSD],tblSettlementSchedule[Site],B19,tblSettlementSchedule[Period],C19,tblSettlementSchedule[EventType],"Collection",tblSettlementSchedule[PendingActualOrigin],1)+Assumptions!$K$8*Revenue!H19+(1-Assumptions!$K$8)*IF(INDEX(Period_Status!$B$2:$B$8,MATCH(C18,Period_Status!$A$2:$A$8,0))="Forecast",Revenue!H18,0)+IF(C19=EDATE(Settlement_Bridge!$C$2,1),MAX(0,SUMIFS(tblSettlementBridge[UnallocatedARBookUSD],tblSettlementBridge[Site],B19)),0))</f>
        <v>0</v>
      </c>
      <c r="O19" s="12">
        <f t="shared" si="3"/>
        <v>0</v>
      </c>
      <c r="P19" s="12">
        <f t="shared" si="15"/>
        <v>2131710.8951999992</v>
      </c>
      <c r="Q19" s="12">
        <f>Operating_Costs!N19+Capex!D19</f>
        <v>3865873.96</v>
      </c>
      <c r="R19" s="10">
        <f>IF(INDEX(Period_Status!$B$2:$B$8,MATCH(C19,Period_Status!$A$2:$A$8,0))="ActualClosed",SUMIFS(tblSource[AppliedUSD],tblSource[Site],B19,tblSource[Period],C19,tblSource[EventType],"VendorSettlement",tblSource[ReleaseStatus],"APPROVED"),SUMIFS(tblSettlementSchedule[AppliedBookUSD],tblSettlementSchedule[Site],B19,tblSettlementSchedule[Period],C19,tblSettlementSchedule[EventType],"VendorSettlement",tblSettlementSchedule[PendingActualOrigin],1)+Assumptions!$K$9*(Operating_Costs!N19+Capex!D19)+(1-Assumptions!$K$9)*IF(INDEX(Period_Status!$B$2:$B$8,MATCH(C18,Period_Status!$A$2:$A$8,0))="Forecast",Operating_Costs!N18+Capex!D18,0)+IF(C19=EDATE(Settlement_Bridge!$C$2,1),MAX(0,SUMIFS(tblSettlementBridge[UnallocatedAPBookUSD],tblSettlementBridge[Site],B19)),0))</f>
        <v>5301727.5424000006</v>
      </c>
      <c r="S19" s="12">
        <f t="shared" si="4"/>
        <v>695857.31279999856</v>
      </c>
      <c r="T19" s="23">
        <f t="shared" si="5"/>
        <v>0</v>
      </c>
      <c r="U19" s="23">
        <f t="shared" si="6"/>
        <v>-4363.3600000003353</v>
      </c>
    </row>
    <row r="20" spans="1:21" x14ac:dyDescent="0.25">
      <c r="A20" s="2" t="s">
        <v>12451</v>
      </c>
      <c r="B20" s="2" t="s">
        <v>7433</v>
      </c>
      <c r="C20" s="6">
        <v>46296</v>
      </c>
      <c r="D20" s="12">
        <f t="shared" si="13"/>
        <v>-10581941.361432953</v>
      </c>
      <c r="E20" s="10">
        <f>IF(INDEX(Period_Status!$B$2:$B$8,MATCH(C20,Period_Status!$A$2:$A$8,0))="ActualClosed",SUMIFS(tblSource[AmountUSD],tblSource[Site],B20,tblSource[Period],C20,tblSource[EventType],"Collection",tblSource[ReleaseStatus],"APPROVED"),SUMIFS(tblSettlementSchedule[CashUSD],tblSettlementSchedule[Site],B20,tblSettlementSchedule[Period],C20,tblSettlementSchedule[EventType],"Collection",tblSettlementSchedule[PendingActualOrigin],1)+Assumptions!$K$8*Revenue!H20+(1-Assumptions!$K$8)*IF(INDEX(Period_Status!$B$2:$B$8,MATCH(C19,Period_Status!$A$2:$A$8,0))="Forecast",Revenue!H19,0)+IF(C20=EDATE(Settlement_Bridge!$C$2,1),MAX(0,SUMIFS(tblSettlementBridge[UnallocatedARBookUSD],tblSettlementBridge[Site],B20)),0))</f>
        <v>0</v>
      </c>
      <c r="F20" s="10">
        <f>IF(INDEX(Period_Status!$B$2:$B$8,MATCH(C20,Period_Status!$A$2:$A$8,0))="ActualClosed",SUMIFS(tblSource[AmountUSD],tblSource[Site],B20,tblSource[Period],C20,tblSource[EventType],"VendorSettlement",tblSource[ReleaseStatus],"APPROVED"),SUMIFS(tblSettlementSchedule[CashUSD],tblSettlementSchedule[Site],B20,tblSettlementSchedule[Period],C20,tblSettlementSchedule[EventType],"VendorSettlement",tblSettlementSchedule[PendingActualOrigin],1)+Assumptions!$K$9*(Operating_Costs!N20+Capex!D20)+(1-Assumptions!$K$9)*IF(INDEX(Period_Status!$B$2:$B$8,MATCH(C19,Period_Status!$A$2:$A$8,0))="Forecast",Operating_Costs!N19+Capex!D19,0)+IF(C20=EDATE(Settlement_Bridge!$C$2,1),MAX(0,SUMIFS(tblSettlementBridge[UnallocatedAPBookUSD],tblSettlementBridge[Site],B20)),0))</f>
        <v>4607875.4123999998</v>
      </c>
      <c r="G20" s="10">
        <f>IF(INDEX(Period_Status!$B$2:$B$8,MATCH(C20,Period_Status!$A$2:$A$8,0))="ActualClosed",SUMIFS(tblSource[FeeUSD],tblSource[Site],B20,tblSource[Period],C20,tblSource[EventType],"Collection",tblSource[ReleaseStatus],"APPROVED")+SUMIFS(tblSource[FeeUSD],tblSource[Site],B20,tblSource[Period],C20,tblSource[EventType],"VendorSettlement",tblSource[ReleaseStatus],"APPROVED"),SUMIFS(tblSettlementSchedule[FeeUSD],tblSettlementSchedule[Site],B20,tblSettlementSchedule[Period],C20,tblSettlementSchedule[EventType],"Collection",tblSettlementSchedule[PendingActualOrigin],1)+SUMIFS(tblSettlementSchedule[FeeUSD],tblSettlementSchedule[Site],B20,tblSettlementSchedule[Period],C20,tblSettlementSchedule[EventType],"VendorSettlement",tblSettlementSchedule[PendingActualOrigin],1)+(Assumptions!$K$8*Revenue!H20+(1-Assumptions!$K$8)*IF(INDEX(Period_Status!$B$2:$B$8,MATCH(C19,Period_Status!$A$2:$A$8,0))="Forecast",Revenue!H19,0)+IF(C20=EDATE(Settlement_Bridge!$C$2,1),MAX(0,SUMIFS(tblSettlementBridge[UnallocatedARBookUSD],tblSettlementBridge[Site],B20)),0))*0.0008+(Assumptions!$K$9*(Operating_Costs!N20+Capex!D20)+(1-Assumptions!$K$9)*IF(INDEX(Period_Status!$B$2:$B$8,MATCH(C19,Period_Status!$A$2:$A$8,0))="Forecast",Operating_Costs!N19+Capex!D19,0)+IF(C20=EDATE(Settlement_Bridge!$C$2,1),MAX(0,SUMIFS(tblSettlementBridge[UnallocatedAPBookUSD],tblSettlementBridge[Site],B20)),0))*0.00055)</f>
        <v>2534.3314768200003</v>
      </c>
      <c r="H20" s="12">
        <f t="shared" si="0"/>
        <v>-4610409.7438768195</v>
      </c>
      <c r="I20" s="12">
        <f t="shared" si="1"/>
        <v>-15192351.105309773</v>
      </c>
      <c r="J20" s="12">
        <f t="shared" si="14"/>
        <v>0</v>
      </c>
      <c r="K20" s="12">
        <f>Revenue!H20</f>
        <v>0</v>
      </c>
      <c r="L20" s="10">
        <f>IF(INDEX(Period_Status!$B$2:$B$8,MATCH(C20,Period_Status!$A$2:$A$8,0))="ActualClosed",SUMIFS(tblSource[AppliedUSD],tblSource[Site],B20,tblSource[Period],C20,tblSource[EventType],"Collection",tblSource[ReleaseStatus],"APPROVED"),SUMIFS(tblSettlementSchedule[AppliedBookUSD],tblSettlementSchedule[Site],B20,tblSettlementSchedule[Period],C20,tblSettlementSchedule[EventType],"Collection",tblSettlementSchedule[PendingActualOrigin],1)+Assumptions!$K$8*Revenue!H20+(1-Assumptions!$K$8)*IF(INDEX(Period_Status!$B$2:$B$8,MATCH(C19,Period_Status!$A$2:$A$8,0))="Forecast",Revenue!H19,0)+IF(C20=EDATE(Settlement_Bridge!$C$2,1),MAX(0,SUMIFS(tblSettlementBridge[UnallocatedARBookUSD],tblSettlementBridge[Site],B20)),0))</f>
        <v>0</v>
      </c>
      <c r="M20" s="12">
        <f t="shared" si="2"/>
        <v>0</v>
      </c>
      <c r="N20" s="10">
        <f>IF(INDEX(Period_Status!$B$2:$B$8,MATCH(C20,Period_Status!$A$2:$A$8,0))="ActualClosed",Controls!H20,SUMIFS(tblSettlementSchedule[CashUSD],tblSettlementSchedule[Site],B20,tblSettlementSchedule[Period],C20,tblSettlementSchedule[EventType],"Collection",tblSettlementSchedule[PendingActualOrigin],1)+Assumptions!$K$8*Revenue!H20+(1-Assumptions!$K$8)*IF(INDEX(Period_Status!$B$2:$B$8,MATCH(C19,Period_Status!$A$2:$A$8,0))="Forecast",Revenue!H19,0)+IF(C20=EDATE(Settlement_Bridge!$C$2,1),MAX(0,SUMIFS(tblSettlementBridge[UnallocatedARBookUSD],tblSettlementBridge[Site],B20)),0))</f>
        <v>0</v>
      </c>
      <c r="O20" s="12">
        <f t="shared" si="3"/>
        <v>0</v>
      </c>
      <c r="P20" s="12">
        <f t="shared" si="15"/>
        <v>695857.31279999856</v>
      </c>
      <c r="Q20" s="12">
        <f>Operating_Costs!N20+Capex!D20</f>
        <v>4770753.78</v>
      </c>
      <c r="R20" s="10">
        <f>IF(INDEX(Period_Status!$B$2:$B$8,MATCH(C20,Period_Status!$A$2:$A$8,0))="ActualClosed",SUMIFS(tblSource[AppliedUSD],tblSource[Site],B20,tblSource[Period],C20,tblSource[EventType],"VendorSettlement",tblSource[ReleaseStatus],"APPROVED"),SUMIFS(tblSettlementSchedule[AppliedBookUSD],tblSettlementSchedule[Site],B20,tblSettlementSchedule[Period],C20,tblSettlementSchedule[EventType],"VendorSettlement",tblSettlementSchedule[PendingActualOrigin],1)+Assumptions!$K$9*(Operating_Costs!N20+Capex!D20)+(1-Assumptions!$K$9)*IF(INDEX(Period_Status!$B$2:$B$8,MATCH(C19,Period_Status!$A$2:$A$8,0))="Forecast",Operating_Costs!N19+Capex!D19,0)+IF(C20=EDATE(Settlement_Bridge!$C$2,1),MAX(0,SUMIFS(tblSettlementBridge[UnallocatedAPBookUSD],tblSettlementBridge[Site],B20)),0))</f>
        <v>4607875.4123999998</v>
      </c>
      <c r="S20" s="12">
        <f t="shared" si="4"/>
        <v>858735.68039999902</v>
      </c>
      <c r="T20" s="23">
        <f t="shared" si="5"/>
        <v>0</v>
      </c>
      <c r="U20" s="23">
        <f t="shared" si="6"/>
        <v>0</v>
      </c>
    </row>
    <row r="21" spans="1:21" x14ac:dyDescent="0.25">
      <c r="A21" s="2" t="s">
        <v>12452</v>
      </c>
      <c r="B21" s="2" t="s">
        <v>7433</v>
      </c>
      <c r="C21" s="6">
        <v>46327</v>
      </c>
      <c r="D21" s="12">
        <f t="shared" si="13"/>
        <v>-15192351.105309773</v>
      </c>
      <c r="E21" s="10">
        <f>IF(INDEX(Period_Status!$B$2:$B$8,MATCH(C21,Period_Status!$A$2:$A$8,0))="ActualClosed",SUMIFS(tblSource[AmountUSD],tblSource[Site],B21,tblSource[Period],C21,tblSource[EventType],"Collection",tblSource[ReleaseStatus],"APPROVED"),SUMIFS(tblSettlementSchedule[CashUSD],tblSettlementSchedule[Site],B21,tblSettlementSchedule[Period],C21,tblSettlementSchedule[EventType],"Collection",tblSettlementSchedule[PendingActualOrigin],1)+Assumptions!$K$8*Revenue!H21+(1-Assumptions!$K$8)*IF(INDEX(Period_Status!$B$2:$B$8,MATCH(C20,Period_Status!$A$2:$A$8,0))="Forecast",Revenue!H20,0)+IF(C21=EDATE(Settlement_Bridge!$C$2,1),MAX(0,SUMIFS(tblSettlementBridge[UnallocatedARBookUSD],tblSettlementBridge[Site],B21)),0))</f>
        <v>0</v>
      </c>
      <c r="F21" s="10">
        <f>IF(INDEX(Period_Status!$B$2:$B$8,MATCH(C21,Period_Status!$A$2:$A$8,0))="ActualClosed",SUMIFS(tblSource[AmountUSD],tblSource[Site],B21,tblSource[Period],C21,tblSource[EventType],"VendorSettlement",tblSource[ReleaseStatus],"APPROVED"),SUMIFS(tblSettlementSchedule[CashUSD],tblSettlementSchedule[Site],B21,tblSettlementSchedule[Period],C21,tblSettlementSchedule[EventType],"VendorSettlement",tblSettlementSchedule[PendingActualOrigin],1)+Assumptions!$K$9*(Operating_Costs!N21+Capex!D21)+(1-Assumptions!$K$9)*IF(INDEX(Period_Status!$B$2:$B$8,MATCH(C20,Period_Status!$A$2:$A$8,0))="Forecast",Operating_Costs!N20+Capex!D20,0)+IF(C21=EDATE(Settlement_Bridge!$C$2,1),MAX(0,SUMIFS(tblSettlementBridge[UnallocatedAPBookUSD],tblSettlementBridge[Site],B21)),0))</f>
        <v>3716347.7026000004</v>
      </c>
      <c r="G21" s="10">
        <f>IF(INDEX(Period_Status!$B$2:$B$8,MATCH(C21,Period_Status!$A$2:$A$8,0))="ActualClosed",SUMIFS(tblSource[FeeUSD],tblSource[Site],B21,tblSource[Period],C21,tblSource[EventType],"Collection",tblSource[ReleaseStatus],"APPROVED")+SUMIFS(tblSource[FeeUSD],tblSource[Site],B21,tblSource[Period],C21,tblSource[EventType],"VendorSettlement",tblSource[ReleaseStatus],"APPROVED"),SUMIFS(tblSettlementSchedule[FeeUSD],tblSettlementSchedule[Site],B21,tblSettlementSchedule[Period],C21,tblSettlementSchedule[EventType],"Collection",tblSettlementSchedule[PendingActualOrigin],1)+SUMIFS(tblSettlementSchedule[FeeUSD],tblSettlementSchedule[Site],B21,tblSettlementSchedule[Period],C21,tblSettlementSchedule[EventType],"VendorSettlement",tblSettlementSchedule[PendingActualOrigin],1)+(Assumptions!$K$8*Revenue!H21+(1-Assumptions!$K$8)*IF(INDEX(Period_Status!$B$2:$B$8,MATCH(C20,Period_Status!$A$2:$A$8,0))="Forecast",Revenue!H20,0)+IF(C21=EDATE(Settlement_Bridge!$C$2,1),MAX(0,SUMIFS(tblSettlementBridge[UnallocatedARBookUSD],tblSettlementBridge[Site],B21)),0))*0.0008+(Assumptions!$K$9*(Operating_Costs!N21+Capex!D21)+(1-Assumptions!$K$9)*IF(INDEX(Period_Status!$B$2:$B$8,MATCH(C20,Period_Status!$A$2:$A$8,0))="Forecast",Operating_Costs!N20+Capex!D20,0)+IF(C21=EDATE(Settlement_Bridge!$C$2,1),MAX(0,SUMIFS(tblSettlementBridge[UnallocatedAPBookUSD],tblSettlementBridge[Site],B21)),0))*0.00055)</f>
        <v>2043.9912364300003</v>
      </c>
      <c r="H21" s="12">
        <f t="shared" si="0"/>
        <v>-3718391.6938364306</v>
      </c>
      <c r="I21" s="12">
        <f t="shared" si="1"/>
        <v>-18910742.799146205</v>
      </c>
      <c r="J21" s="12">
        <f t="shared" si="14"/>
        <v>0</v>
      </c>
      <c r="K21" s="12">
        <f>Revenue!H21</f>
        <v>0</v>
      </c>
      <c r="L21" s="10">
        <f>IF(INDEX(Period_Status!$B$2:$B$8,MATCH(C21,Period_Status!$A$2:$A$8,0))="ActualClosed",SUMIFS(tblSource[AppliedUSD],tblSource[Site],B21,tblSource[Period],C21,tblSource[EventType],"Collection",tblSource[ReleaseStatus],"APPROVED"),SUMIFS(tblSettlementSchedule[AppliedBookUSD],tblSettlementSchedule[Site],B21,tblSettlementSchedule[Period],C21,tblSettlementSchedule[EventType],"Collection",tblSettlementSchedule[PendingActualOrigin],1)+Assumptions!$K$8*Revenue!H21+(1-Assumptions!$K$8)*IF(INDEX(Period_Status!$B$2:$B$8,MATCH(C20,Period_Status!$A$2:$A$8,0))="Forecast",Revenue!H20,0)+IF(C21=EDATE(Settlement_Bridge!$C$2,1),MAX(0,SUMIFS(tblSettlementBridge[UnallocatedARBookUSD],tblSettlementBridge[Site],B21)),0))</f>
        <v>0</v>
      </c>
      <c r="M21" s="12">
        <f t="shared" si="2"/>
        <v>0</v>
      </c>
      <c r="N21" s="10">
        <f>IF(INDEX(Period_Status!$B$2:$B$8,MATCH(C21,Period_Status!$A$2:$A$8,0))="ActualClosed",Controls!H21,SUMIFS(tblSettlementSchedule[CashUSD],tblSettlementSchedule[Site],B21,tblSettlementSchedule[Period],C21,tblSettlementSchedule[EventType],"Collection",tblSettlementSchedule[PendingActualOrigin],1)+Assumptions!$K$8*Revenue!H21+(1-Assumptions!$K$8)*IF(INDEX(Period_Status!$B$2:$B$8,MATCH(C20,Period_Status!$A$2:$A$8,0))="Forecast",Revenue!H20,0)+IF(C21=EDATE(Settlement_Bridge!$C$2,1),MAX(0,SUMIFS(tblSettlementBridge[UnallocatedARBookUSD],tblSettlementBridge[Site],B21)),0))</f>
        <v>0</v>
      </c>
      <c r="O21" s="12">
        <f t="shared" si="3"/>
        <v>0</v>
      </c>
      <c r="P21" s="12">
        <f t="shared" si="15"/>
        <v>858735.68039999902</v>
      </c>
      <c r="Q21" s="12">
        <f>Operating_Costs!N21+Capex!D21</f>
        <v>3484892.71</v>
      </c>
      <c r="R21" s="10">
        <f>IF(INDEX(Period_Status!$B$2:$B$8,MATCH(C21,Period_Status!$A$2:$A$8,0))="ActualClosed",SUMIFS(tblSource[AppliedUSD],tblSource[Site],B21,tblSource[Period],C21,tblSource[EventType],"VendorSettlement",tblSource[ReleaseStatus],"APPROVED"),SUMIFS(tblSettlementSchedule[AppliedBookUSD],tblSettlementSchedule[Site],B21,tblSettlementSchedule[Period],C21,tblSettlementSchedule[EventType],"VendorSettlement",tblSettlementSchedule[PendingActualOrigin],1)+Assumptions!$K$9*(Operating_Costs!N21+Capex!D21)+(1-Assumptions!$K$9)*IF(INDEX(Period_Status!$B$2:$B$8,MATCH(C20,Period_Status!$A$2:$A$8,0))="Forecast",Operating_Costs!N20+Capex!D20,0)+IF(C21=EDATE(Settlement_Bridge!$C$2,1),MAX(0,SUMIFS(tblSettlementBridge[UnallocatedAPBookUSD],tblSettlementBridge[Site],B21)),0))</f>
        <v>3716347.7026000004</v>
      </c>
      <c r="S21" s="12">
        <f t="shared" si="4"/>
        <v>627280.68779999856</v>
      </c>
      <c r="T21" s="23">
        <f t="shared" si="5"/>
        <v>0</v>
      </c>
      <c r="U21" s="23">
        <f t="shared" si="6"/>
        <v>0</v>
      </c>
    </row>
    <row r="22" spans="1:21" x14ac:dyDescent="0.25">
      <c r="A22" s="2" t="s">
        <v>12453</v>
      </c>
      <c r="B22" s="2" t="s">
        <v>7433</v>
      </c>
      <c r="C22" s="6">
        <v>46357</v>
      </c>
      <c r="D22" s="12">
        <f t="shared" si="13"/>
        <v>-18910742.799146205</v>
      </c>
      <c r="E22" s="10">
        <f>IF(INDEX(Period_Status!$B$2:$B$8,MATCH(C22,Period_Status!$A$2:$A$8,0))="ActualClosed",SUMIFS(tblSource[AmountUSD],tblSource[Site],B22,tblSource[Period],C22,tblSource[EventType],"Collection",tblSource[ReleaseStatus],"APPROVED"),SUMIFS(tblSettlementSchedule[CashUSD],tblSettlementSchedule[Site],B22,tblSettlementSchedule[Period],C22,tblSettlementSchedule[EventType],"Collection",tblSettlementSchedule[PendingActualOrigin],1)+Assumptions!$K$8*Revenue!H22+(1-Assumptions!$K$8)*IF(INDEX(Period_Status!$B$2:$B$8,MATCH(C21,Period_Status!$A$2:$A$8,0))="Forecast",Revenue!H21,0)+IF(C22=EDATE(Settlement_Bridge!$C$2,1),MAX(0,SUMIFS(tblSettlementBridge[UnallocatedARBookUSD],tblSettlementBridge[Site],B22)),0))</f>
        <v>0</v>
      </c>
      <c r="F22" s="10">
        <f>IF(INDEX(Period_Status!$B$2:$B$8,MATCH(C22,Period_Status!$A$2:$A$8,0))="ActualClosed",SUMIFS(tblSource[AmountUSD],tblSource[Site],B22,tblSource[Period],C22,tblSource[EventType],"VendorSettlement",tblSource[ReleaseStatus],"APPROVED"),SUMIFS(tblSettlementSchedule[CashUSD],tblSettlementSchedule[Site],B22,tblSettlementSchedule[Period],C22,tblSettlementSchedule[EventType],"VendorSettlement",tblSettlementSchedule[PendingActualOrigin],1)+Assumptions!$K$9*(Operating_Costs!N22+Capex!D22)+(1-Assumptions!$K$9)*IF(INDEX(Period_Status!$B$2:$B$8,MATCH(C21,Period_Status!$A$2:$A$8,0))="Forecast",Operating_Costs!N21+Capex!D21,0)+IF(C22=EDATE(Settlement_Bridge!$C$2,1),MAX(0,SUMIFS(tblSettlementBridge[UnallocatedAPBookUSD],tblSettlementBridge[Site],B22)),0))</f>
        <v>4905767.2177999998</v>
      </c>
      <c r="G22" s="10">
        <f>IF(INDEX(Period_Status!$B$2:$B$8,MATCH(C22,Period_Status!$A$2:$A$8,0))="ActualClosed",SUMIFS(tblSource[FeeUSD],tblSource[Site],B22,tblSource[Period],C22,tblSource[EventType],"Collection",tblSource[ReleaseStatus],"APPROVED")+SUMIFS(tblSource[FeeUSD],tblSource[Site],B22,tblSource[Period],C22,tblSource[EventType],"VendorSettlement",tblSource[ReleaseStatus],"APPROVED"),SUMIFS(tblSettlementSchedule[FeeUSD],tblSettlementSchedule[Site],B22,tblSettlementSchedule[Period],C22,tblSettlementSchedule[EventType],"Collection",tblSettlementSchedule[PendingActualOrigin],1)+SUMIFS(tblSettlementSchedule[FeeUSD],tblSettlementSchedule[Site],B22,tblSettlementSchedule[Period],C22,tblSettlementSchedule[EventType],"VendorSettlement",tblSettlementSchedule[PendingActualOrigin],1)+(Assumptions!$K$8*Revenue!H22+(1-Assumptions!$K$8)*IF(INDEX(Period_Status!$B$2:$B$8,MATCH(C21,Period_Status!$A$2:$A$8,0))="Forecast",Revenue!H21,0)+IF(C22=EDATE(Settlement_Bridge!$C$2,1),MAX(0,SUMIFS(tblSettlementBridge[UnallocatedARBookUSD],tblSettlementBridge[Site],B22)),0))*0.0008+(Assumptions!$K$9*(Operating_Costs!N22+Capex!D22)+(1-Assumptions!$K$9)*IF(INDEX(Period_Status!$B$2:$B$8,MATCH(C21,Period_Status!$A$2:$A$8,0))="Forecast",Operating_Costs!N21+Capex!D21,0)+IF(C22=EDATE(Settlement_Bridge!$C$2,1),MAX(0,SUMIFS(tblSettlementBridge[UnallocatedAPBookUSD],tblSettlementBridge[Site],B22)),0))*0.00055)</f>
        <v>2698.1719697899998</v>
      </c>
      <c r="H22" s="12">
        <f t="shared" si="0"/>
        <v>-4908465.3897697898</v>
      </c>
      <c r="I22" s="12">
        <f t="shared" si="1"/>
        <v>-23819208.188915994</v>
      </c>
      <c r="J22" s="12">
        <f t="shared" si="14"/>
        <v>0</v>
      </c>
      <c r="K22" s="12">
        <f>Revenue!H22</f>
        <v>0</v>
      </c>
      <c r="L22" s="10">
        <f>IF(INDEX(Period_Status!$B$2:$B$8,MATCH(C22,Period_Status!$A$2:$A$8,0))="ActualClosed",SUMIFS(tblSource[AppliedUSD],tblSource[Site],B22,tblSource[Period],C22,tblSource[EventType],"Collection",tblSource[ReleaseStatus],"APPROVED"),SUMIFS(tblSettlementSchedule[AppliedBookUSD],tblSettlementSchedule[Site],B22,tblSettlementSchedule[Period],C22,tblSettlementSchedule[EventType],"Collection",tblSettlementSchedule[PendingActualOrigin],1)+Assumptions!$K$8*Revenue!H22+(1-Assumptions!$K$8)*IF(INDEX(Period_Status!$B$2:$B$8,MATCH(C21,Period_Status!$A$2:$A$8,0))="Forecast",Revenue!H21,0)+IF(C22=EDATE(Settlement_Bridge!$C$2,1),MAX(0,SUMIFS(tblSettlementBridge[UnallocatedARBookUSD],tblSettlementBridge[Site],B22)),0))</f>
        <v>0</v>
      </c>
      <c r="M22" s="12">
        <f t="shared" si="2"/>
        <v>0</v>
      </c>
      <c r="N22" s="10">
        <f>IF(INDEX(Period_Status!$B$2:$B$8,MATCH(C22,Period_Status!$A$2:$A$8,0))="ActualClosed",Controls!H22,SUMIFS(tblSettlementSchedule[CashUSD],tblSettlementSchedule[Site],B22,tblSettlementSchedule[Period],C22,tblSettlementSchedule[EventType],"Collection",tblSettlementSchedule[PendingActualOrigin],1)+Assumptions!$K$8*Revenue!H22+(1-Assumptions!$K$8)*IF(INDEX(Period_Status!$B$2:$B$8,MATCH(C21,Period_Status!$A$2:$A$8,0))="Forecast",Revenue!H21,0)+IF(C22=EDATE(Settlement_Bridge!$C$2,1),MAX(0,SUMIFS(tblSettlementBridge[UnallocatedARBookUSD],tblSettlementBridge[Site],B22)),0))</f>
        <v>0</v>
      </c>
      <c r="O22" s="12">
        <f t="shared" si="3"/>
        <v>0</v>
      </c>
      <c r="P22" s="12">
        <f t="shared" si="15"/>
        <v>627280.68779999856</v>
      </c>
      <c r="Q22" s="12">
        <f>Operating_Costs!N22+Capex!D22</f>
        <v>5217666.5</v>
      </c>
      <c r="R22" s="10">
        <f>IF(INDEX(Period_Status!$B$2:$B$8,MATCH(C22,Period_Status!$A$2:$A$8,0))="ActualClosed",SUMIFS(tblSource[AppliedUSD],tblSource[Site],B22,tblSource[Period],C22,tblSource[EventType],"VendorSettlement",tblSource[ReleaseStatus],"APPROVED"),SUMIFS(tblSettlementSchedule[AppliedBookUSD],tblSettlementSchedule[Site],B22,tblSettlementSchedule[Period],C22,tblSettlementSchedule[EventType],"VendorSettlement",tblSettlementSchedule[PendingActualOrigin],1)+Assumptions!$K$9*(Operating_Costs!N22+Capex!D22)+(1-Assumptions!$K$9)*IF(INDEX(Period_Status!$B$2:$B$8,MATCH(C21,Period_Status!$A$2:$A$8,0))="Forecast",Operating_Costs!N21+Capex!D21,0)+IF(C22=EDATE(Settlement_Bridge!$C$2,1),MAX(0,SUMIFS(tblSettlementBridge[UnallocatedAPBookUSD],tblSettlementBridge[Site],B22)),0))</f>
        <v>4905767.2177999998</v>
      </c>
      <c r="S22" s="12">
        <f t="shared" si="4"/>
        <v>939179.96999999881</v>
      </c>
      <c r="T22" s="23">
        <f t="shared" si="5"/>
        <v>0</v>
      </c>
      <c r="U22" s="23">
        <f t="shared" si="6"/>
        <v>0</v>
      </c>
    </row>
  </sheetData>
  <pageMargins left="0.75" right="0.75" top="1" bottom="1" header="0.5" footer="0.5"/>
  <pageSetup paperSize="8"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F86"/>
    <pageSetUpPr fitToPage="1"/>
  </sheetPr>
  <dimension ref="A1:S26"/>
  <sheetViews>
    <sheetView showGridLines="0" zoomScale="85" workbookViewId="0">
      <pane ySplit="1" topLeftCell="A2" activePane="bottomLeft" state="frozen"/>
      <selection pane="bottomLeft"/>
    </sheetView>
  </sheetViews>
  <sheetFormatPr defaultRowHeight="15" x14ac:dyDescent="0.25"/>
  <cols>
    <col min="1" max="1" width="28" customWidth="1"/>
    <col min="2" max="6" width="16" customWidth="1"/>
    <col min="7" max="7" width="21" customWidth="1"/>
    <col min="8" max="10" width="16" customWidth="1"/>
    <col min="11" max="11" width="20" customWidth="1"/>
    <col min="12" max="12" width="16" customWidth="1"/>
    <col min="13" max="13" width="18" customWidth="1"/>
    <col min="14" max="15" width="16" customWidth="1"/>
    <col min="16" max="16" width="20" customWidth="1"/>
    <col min="17" max="17" width="17" customWidth="1"/>
    <col min="18" max="18" width="18" customWidth="1"/>
    <col min="19" max="19" width="16" customWidth="1"/>
  </cols>
  <sheetData>
    <row r="1" spans="1:19" ht="32.1" customHeight="1" x14ac:dyDescent="0.25">
      <c r="A1" s="1" t="s">
        <v>12412</v>
      </c>
      <c r="B1" s="1" t="s">
        <v>123</v>
      </c>
      <c r="C1" s="1" t="s">
        <v>61</v>
      </c>
      <c r="D1" s="1" t="s">
        <v>12415</v>
      </c>
      <c r="E1" s="1" t="s">
        <v>12416</v>
      </c>
      <c r="F1" s="1" t="s">
        <v>12417</v>
      </c>
      <c r="G1" s="1" t="s">
        <v>12418</v>
      </c>
      <c r="H1" s="1" t="s">
        <v>12413</v>
      </c>
      <c r="I1" s="1" t="s">
        <v>12414</v>
      </c>
      <c r="J1" s="1" t="s">
        <v>12419</v>
      </c>
      <c r="K1" s="1" t="s">
        <v>12422</v>
      </c>
      <c r="L1" s="1" t="s">
        <v>12490</v>
      </c>
      <c r="M1" s="1" t="s">
        <v>12501</v>
      </c>
      <c r="N1" s="1" t="s">
        <v>12502</v>
      </c>
      <c r="O1" s="1" t="s">
        <v>12503</v>
      </c>
      <c r="P1" s="1" t="s">
        <v>12504</v>
      </c>
      <c r="Q1" s="1" t="s">
        <v>12505</v>
      </c>
      <c r="R1" s="1" t="s">
        <v>12506</v>
      </c>
      <c r="S1" s="1" t="s">
        <v>12507</v>
      </c>
    </row>
    <row r="2" spans="1:19" x14ac:dyDescent="0.25">
      <c r="A2" s="2" t="s">
        <v>12433</v>
      </c>
      <c r="B2" s="2" t="s">
        <v>136</v>
      </c>
      <c r="C2" s="6">
        <v>46174</v>
      </c>
      <c r="D2" s="12">
        <f>Revenue!H2</f>
        <v>7363381.3899999997</v>
      </c>
      <c r="E2" s="12">
        <f>Operating_Costs!N2</f>
        <v>2490344.5299999998</v>
      </c>
      <c r="F2" s="12">
        <f>Capex!D2</f>
        <v>0</v>
      </c>
      <c r="G2" s="12">
        <f t="shared" ref="G2:G22" si="0">D2-E2</f>
        <v>4873036.8599999994</v>
      </c>
      <c r="H2" s="19">
        <f>Gold_Stock!E2</f>
        <v>2566.1529941051481</v>
      </c>
      <c r="I2" s="19">
        <f>Gold_Stock!F2</f>
        <v>2531.1529941051476</v>
      </c>
      <c r="J2" s="12">
        <f>Cashflow!E2</f>
        <v>2992432.52</v>
      </c>
      <c r="K2" s="12">
        <f>Cashflow!H2</f>
        <v>2487467.2799999998</v>
      </c>
      <c r="L2" s="12">
        <f>Cashflow!I2</f>
        <v>8487467.2799999993</v>
      </c>
      <c r="M2" s="12">
        <f>Budget!F2</f>
        <v>7613108.5800000001</v>
      </c>
      <c r="N2" s="12">
        <f>Budget!G2</f>
        <v>2506507.73</v>
      </c>
      <c r="O2" s="12">
        <f>Budget!H2</f>
        <v>0</v>
      </c>
      <c r="P2" s="12">
        <f t="shared" ref="P2:P22" si="1">D2-M2</f>
        <v>-249727.19000000041</v>
      </c>
      <c r="Q2" s="12">
        <f t="shared" ref="Q2:Q22" si="2">E2-N2</f>
        <v>-16163.200000000186</v>
      </c>
      <c r="R2" s="12">
        <f t="shared" ref="R2:R22" si="3">F2-O2</f>
        <v>0</v>
      </c>
      <c r="S2" s="10" t="str">
        <f>INDEX(Period_Status!$B$2:$B$8,MATCH(C2,Period_Status!$A$2:$A$8,0))</f>
        <v>ActualClosed</v>
      </c>
    </row>
    <row r="3" spans="1:19" x14ac:dyDescent="0.25">
      <c r="A3" s="2" t="s">
        <v>12434</v>
      </c>
      <c r="B3" s="2" t="s">
        <v>136</v>
      </c>
      <c r="C3" s="6">
        <v>46204</v>
      </c>
      <c r="D3" s="12">
        <f>Revenue!H3</f>
        <v>5208996.5600000005</v>
      </c>
      <c r="E3" s="12">
        <f>Operating_Costs!N3</f>
        <v>2196727.92</v>
      </c>
      <c r="F3" s="12">
        <f>Capex!D3</f>
        <v>0</v>
      </c>
      <c r="G3" s="12">
        <f t="shared" si="0"/>
        <v>3012268.6400000006</v>
      </c>
      <c r="H3" s="19">
        <f>Gold_Stock!E3</f>
        <v>2652.8931358278264</v>
      </c>
      <c r="I3" s="19">
        <f>Gold_Stock!F3</f>
        <v>2587.8931358278251</v>
      </c>
      <c r="J3" s="12">
        <f>Cashflow!E3</f>
        <v>7028077.2899999991</v>
      </c>
      <c r="K3" s="12">
        <f>Cashflow!H3</f>
        <v>4655860.7299999995</v>
      </c>
      <c r="L3" s="12">
        <f>Cashflow!I3</f>
        <v>13143328.009999998</v>
      </c>
      <c r="M3" s="12">
        <f>Budget!F3</f>
        <v>7858686.29</v>
      </c>
      <c r="N3" s="12">
        <f>Budget!G3</f>
        <v>2487803.0499999998</v>
      </c>
      <c r="O3" s="12">
        <f>Budget!H3</f>
        <v>0</v>
      </c>
      <c r="P3" s="12">
        <f t="shared" si="1"/>
        <v>-2649689.7299999995</v>
      </c>
      <c r="Q3" s="12">
        <f t="shared" si="2"/>
        <v>-291075.12999999989</v>
      </c>
      <c r="R3" s="12">
        <f t="shared" si="3"/>
        <v>0</v>
      </c>
      <c r="S3" s="10" t="str">
        <f>INDEX(Period_Status!$B$2:$B$8,MATCH(C3,Period_Status!$A$2:$A$8,0))</f>
        <v>ActualClosed</v>
      </c>
    </row>
    <row r="4" spans="1:19" x14ac:dyDescent="0.25">
      <c r="A4" s="2" t="s">
        <v>12435</v>
      </c>
      <c r="B4" s="2" t="s">
        <v>136</v>
      </c>
      <c r="C4" s="6">
        <v>46235</v>
      </c>
      <c r="D4" s="12">
        <f>Revenue!H4</f>
        <v>8702404.7292719372</v>
      </c>
      <c r="E4" s="12">
        <f>Operating_Costs!N4</f>
        <v>2631022.0568000004</v>
      </c>
      <c r="F4" s="12">
        <f>Capex!D4</f>
        <v>0</v>
      </c>
      <c r="G4" s="12">
        <f t="shared" si="0"/>
        <v>6071382.6724719368</v>
      </c>
      <c r="H4" s="19">
        <f>Gold_Stock!E4</f>
        <v>2965.270043379845</v>
      </c>
      <c r="I4" s="19">
        <f>Gold_Stock!F4</f>
        <v>2920.270043379845</v>
      </c>
      <c r="J4" s="12">
        <f>Cashflow!E4</f>
        <v>12195529.551759306</v>
      </c>
      <c r="K4" s="12">
        <f>Cashflow!H4</f>
        <v>8076554.1313062832</v>
      </c>
      <c r="L4" s="12">
        <f>Cashflow!I4</f>
        <v>21219882.141306281</v>
      </c>
      <c r="M4" s="12">
        <f>Budget!F4</f>
        <v>7889701.2199999997</v>
      </c>
      <c r="N4" s="12">
        <f>Budget!G4</f>
        <v>2482096.2799999998</v>
      </c>
      <c r="O4" s="12">
        <f>Budget!H4</f>
        <v>0</v>
      </c>
      <c r="P4" s="12">
        <f t="shared" si="1"/>
        <v>812703.50927193742</v>
      </c>
      <c r="Q4" s="12">
        <f t="shared" si="2"/>
        <v>148925.77680000057</v>
      </c>
      <c r="R4" s="12">
        <f t="shared" si="3"/>
        <v>0</v>
      </c>
      <c r="S4" s="10" t="str">
        <f>INDEX(Period_Status!$B$2:$B$8,MATCH(C4,Period_Status!$A$2:$A$8,0))</f>
        <v>Forecast</v>
      </c>
    </row>
    <row r="5" spans="1:19" x14ac:dyDescent="0.25">
      <c r="A5" s="2" t="s">
        <v>12436</v>
      </c>
      <c r="B5" s="2" t="s">
        <v>136</v>
      </c>
      <c r="C5" s="6">
        <v>46266</v>
      </c>
      <c r="D5" s="12">
        <f>Revenue!H5</f>
        <v>8837101.044600904</v>
      </c>
      <c r="E5" s="12">
        <f>Operating_Costs!N5</f>
        <v>2664934.6359999999</v>
      </c>
      <c r="F5" s="12">
        <f>Capex!D5</f>
        <v>0</v>
      </c>
      <c r="G5" s="12">
        <f t="shared" si="0"/>
        <v>6172166.408600904</v>
      </c>
      <c r="H5" s="19">
        <f>Gold_Stock!E5</f>
        <v>2935.9139683059484</v>
      </c>
      <c r="I5" s="19">
        <f>Gold_Stock!F5</f>
        <v>2935.9139683059484</v>
      </c>
      <c r="J5" s="12">
        <f>Cashflow!E5</f>
        <v>9177608.0967614278</v>
      </c>
      <c r="K5" s="12">
        <f>Cashflow!H5</f>
        <v>6394293.5383235598</v>
      </c>
      <c r="L5" s="12">
        <f>Cashflow!I5</f>
        <v>27614175.67962984</v>
      </c>
      <c r="M5" s="12">
        <f>Budget!F5</f>
        <v>8052352.5099999998</v>
      </c>
      <c r="N5" s="12">
        <f>Budget!G5</f>
        <v>2562437.15</v>
      </c>
      <c r="O5" s="12">
        <f>Budget!H5</f>
        <v>0</v>
      </c>
      <c r="P5" s="12">
        <f t="shared" si="1"/>
        <v>784748.53460090421</v>
      </c>
      <c r="Q5" s="12">
        <f t="shared" si="2"/>
        <v>102497.48600000003</v>
      </c>
      <c r="R5" s="12">
        <f t="shared" si="3"/>
        <v>0</v>
      </c>
      <c r="S5" s="10" t="str">
        <f>INDEX(Period_Status!$B$2:$B$8,MATCH(C5,Period_Status!$A$2:$A$8,0))</f>
        <v>Forecast</v>
      </c>
    </row>
    <row r="6" spans="1:19" x14ac:dyDescent="0.25">
      <c r="A6" s="2" t="s">
        <v>12437</v>
      </c>
      <c r="B6" s="2" t="s">
        <v>136</v>
      </c>
      <c r="C6" s="6">
        <v>46296</v>
      </c>
      <c r="D6" s="12">
        <f>Revenue!H6</f>
        <v>9288444.9173604921</v>
      </c>
      <c r="E6" s="12">
        <f>Operating_Costs!N6</f>
        <v>2821168.6560000004</v>
      </c>
      <c r="F6" s="12">
        <f>Capex!D6</f>
        <v>0</v>
      </c>
      <c r="G6" s="12">
        <f t="shared" si="0"/>
        <v>6467276.2613604916</v>
      </c>
      <c r="H6" s="19">
        <f>Gold_Stock!E6</f>
        <v>3080.4095122896356</v>
      </c>
      <c r="I6" s="19">
        <f>Gold_Stock!F6</f>
        <v>3055.4095122896356</v>
      </c>
      <c r="J6" s="12">
        <f>Cashflow!E6</f>
        <v>9234283.6526293419</v>
      </c>
      <c r="K6" s="12">
        <f>Cashflow!H6</f>
        <v>6432313.5177144175</v>
      </c>
      <c r="L6" s="12">
        <f>Cashflow!I6</f>
        <v>34046489.197344258</v>
      </c>
      <c r="M6" s="12">
        <f>Budget!F6</f>
        <v>8536005.3100000005</v>
      </c>
      <c r="N6" s="12">
        <f>Budget!G6</f>
        <v>2612193.2000000002</v>
      </c>
      <c r="O6" s="12">
        <f>Budget!H6</f>
        <v>0</v>
      </c>
      <c r="P6" s="12">
        <f t="shared" si="1"/>
        <v>752439.60736049153</v>
      </c>
      <c r="Q6" s="12">
        <f t="shared" si="2"/>
        <v>208975.45600000024</v>
      </c>
      <c r="R6" s="12">
        <f t="shared" si="3"/>
        <v>0</v>
      </c>
      <c r="S6" s="10" t="str">
        <f>INDEX(Period_Status!$B$2:$B$8,MATCH(C6,Period_Status!$A$2:$A$8,0))</f>
        <v>Forecast</v>
      </c>
    </row>
    <row r="7" spans="1:19" x14ac:dyDescent="0.25">
      <c r="A7" s="2" t="s">
        <v>12438</v>
      </c>
      <c r="B7" s="2" t="s">
        <v>136</v>
      </c>
      <c r="C7" s="6">
        <v>46327</v>
      </c>
      <c r="D7" s="12">
        <f>Revenue!H7</f>
        <v>8369878.9991529174</v>
      </c>
      <c r="E7" s="12">
        <f>Operating_Costs!N7</f>
        <v>3119705.0189999999</v>
      </c>
      <c r="F7" s="12">
        <f>Capex!D7</f>
        <v>0</v>
      </c>
      <c r="G7" s="12">
        <f t="shared" si="0"/>
        <v>5250173.980152918</v>
      </c>
      <c r="H7" s="19">
        <f>Gold_Stock!E7</f>
        <v>2766.3449508641424</v>
      </c>
      <c r="I7" s="19">
        <f>Gold_Stock!F7</f>
        <v>2726.3449508641424</v>
      </c>
      <c r="J7" s="12">
        <f>Cashflow!E7</f>
        <v>8480106.9093378261</v>
      </c>
      <c r="K7" s="12">
        <f>Cashflow!H7</f>
        <v>5405668.0674898429</v>
      </c>
      <c r="L7" s="12">
        <f>Cashflow!I7</f>
        <v>39452157.264834099</v>
      </c>
      <c r="M7" s="12">
        <f>Budget!F7</f>
        <v>8046972.71</v>
      </c>
      <c r="N7" s="12">
        <f>Budget!G7</f>
        <v>2736583.35</v>
      </c>
      <c r="O7" s="12">
        <f>Budget!H7</f>
        <v>0</v>
      </c>
      <c r="P7" s="12">
        <f t="shared" si="1"/>
        <v>322906.28915291745</v>
      </c>
      <c r="Q7" s="12">
        <f t="shared" si="2"/>
        <v>383121.66899999976</v>
      </c>
      <c r="R7" s="12">
        <f t="shared" si="3"/>
        <v>0</v>
      </c>
      <c r="S7" s="10" t="str">
        <f>INDEX(Period_Status!$B$2:$B$8,MATCH(C7,Period_Status!$A$2:$A$8,0))</f>
        <v>Forecast</v>
      </c>
    </row>
    <row r="8" spans="1:19" x14ac:dyDescent="0.25">
      <c r="A8" s="2" t="s">
        <v>12439</v>
      </c>
      <c r="B8" s="2" t="s">
        <v>136</v>
      </c>
      <c r="C8" s="6">
        <v>46357</v>
      </c>
      <c r="D8" s="12">
        <f>Revenue!H8</f>
        <v>9810790.9531708695</v>
      </c>
      <c r="E8" s="12">
        <f>Operating_Costs!N8</f>
        <v>2795046.7230000002</v>
      </c>
      <c r="F8" s="12">
        <f>Capex!D8</f>
        <v>0</v>
      </c>
      <c r="G8" s="12">
        <f t="shared" si="0"/>
        <v>7015744.2301708693</v>
      </c>
      <c r="H8" s="19">
        <f>Gold_Stock!E8</f>
        <v>3144.7712752164093</v>
      </c>
      <c r="I8" s="19">
        <f>Gold_Stock!F8</f>
        <v>3164.7712752164093</v>
      </c>
      <c r="J8" s="12">
        <f>Cashflow!E8</f>
        <v>9637881.518688716</v>
      </c>
      <c r="K8" s="12">
        <f>Cashflow!H8</f>
        <v>6775116.5803248109</v>
      </c>
      <c r="L8" s="12">
        <f>Cashflow!I8</f>
        <v>46227273.845158912</v>
      </c>
      <c r="M8" s="12">
        <f>Budget!F8</f>
        <v>9001491.7699999996</v>
      </c>
      <c r="N8" s="12">
        <f>Budget!G8</f>
        <v>2661949.2599999998</v>
      </c>
      <c r="O8" s="12">
        <f>Budget!H8</f>
        <v>0</v>
      </c>
      <c r="P8" s="12">
        <f t="shared" si="1"/>
        <v>809299.18317086995</v>
      </c>
      <c r="Q8" s="12">
        <f t="shared" si="2"/>
        <v>133097.46300000045</v>
      </c>
      <c r="R8" s="12">
        <f t="shared" si="3"/>
        <v>0</v>
      </c>
      <c r="S8" s="10" t="str">
        <f>INDEX(Period_Status!$B$2:$B$8,MATCH(C8,Period_Status!$A$2:$A$8,0))</f>
        <v>Forecast</v>
      </c>
    </row>
    <row r="9" spans="1:19" x14ac:dyDescent="0.25">
      <c r="A9" s="2" t="s">
        <v>12440</v>
      </c>
      <c r="B9" s="2" t="s">
        <v>199</v>
      </c>
      <c r="C9" s="6">
        <v>46174</v>
      </c>
      <c r="D9" s="12">
        <f>Revenue!H9</f>
        <v>4453289.62</v>
      </c>
      <c r="E9" s="12">
        <f>Operating_Costs!N9</f>
        <v>2461091.5299999998</v>
      </c>
      <c r="F9" s="12">
        <f>Capex!D9</f>
        <v>0</v>
      </c>
      <c r="G9" s="12">
        <f t="shared" si="0"/>
        <v>1992198.0900000003</v>
      </c>
      <c r="H9" s="19">
        <f>Gold_Stock!E9</f>
        <v>1570.0351042298912</v>
      </c>
      <c r="I9" s="19">
        <f>Gold_Stock!F9</f>
        <v>1525.0351042298912</v>
      </c>
      <c r="J9" s="12">
        <f>Cashflow!E9</f>
        <v>1799168.57</v>
      </c>
      <c r="K9" s="12">
        <f>Cashflow!H9</f>
        <v>1300849.9300000002</v>
      </c>
      <c r="L9" s="12">
        <f>Cashflow!I9</f>
        <v>5300849.93</v>
      </c>
      <c r="M9" s="12">
        <f>Budget!F9</f>
        <v>4653927</v>
      </c>
      <c r="N9" s="12">
        <f>Budget!G9</f>
        <v>2480964.44</v>
      </c>
      <c r="O9" s="12">
        <f>Budget!H9</f>
        <v>0</v>
      </c>
      <c r="P9" s="12">
        <f t="shared" si="1"/>
        <v>-200637.37999999989</v>
      </c>
      <c r="Q9" s="12">
        <f t="shared" si="2"/>
        <v>-19872.910000000149</v>
      </c>
      <c r="R9" s="12">
        <f t="shared" si="3"/>
        <v>0</v>
      </c>
      <c r="S9" s="10" t="str">
        <f>INDEX(Period_Status!$B$2:$B$8,MATCH(C9,Period_Status!$A$2:$A$8,0))</f>
        <v>ActualClosed</v>
      </c>
    </row>
    <row r="10" spans="1:19" x14ac:dyDescent="0.25">
      <c r="A10" s="2" t="s">
        <v>12441</v>
      </c>
      <c r="B10" s="2" t="s">
        <v>199</v>
      </c>
      <c r="C10" s="6">
        <v>46204</v>
      </c>
      <c r="D10" s="12">
        <f>Revenue!H10</f>
        <v>4641948.0299999993</v>
      </c>
      <c r="E10" s="12">
        <f>Operating_Costs!N10</f>
        <v>2481002.0699999998</v>
      </c>
      <c r="F10" s="12">
        <f>Capex!D10</f>
        <v>0</v>
      </c>
      <c r="G10" s="12">
        <f t="shared" si="0"/>
        <v>2160945.9599999995</v>
      </c>
      <c r="H10" s="19">
        <f>Gold_Stock!E10</f>
        <v>1617.1964997848734</v>
      </c>
      <c r="I10" s="19">
        <f>Gold_Stock!F10</f>
        <v>1572.1964997848729</v>
      </c>
      <c r="J10" s="12">
        <f>Cashflow!E10</f>
        <v>4254932.2699999996</v>
      </c>
      <c r="K10" s="12">
        <f>Cashflow!H10</f>
        <v>1891937.9299999985</v>
      </c>
      <c r="L10" s="12">
        <f>Cashflow!I10</f>
        <v>7192787.8599999985</v>
      </c>
      <c r="M10" s="12">
        <f>Budget!F10</f>
        <v>4859954.88</v>
      </c>
      <c r="N10" s="12">
        <f>Budget!G10</f>
        <v>2493381.94</v>
      </c>
      <c r="O10" s="12">
        <f>Budget!H10</f>
        <v>0</v>
      </c>
      <c r="P10" s="12">
        <f t="shared" si="1"/>
        <v>-218006.85000000056</v>
      </c>
      <c r="Q10" s="12">
        <f t="shared" si="2"/>
        <v>-12379.870000000112</v>
      </c>
      <c r="R10" s="12">
        <f t="shared" si="3"/>
        <v>0</v>
      </c>
      <c r="S10" s="10" t="str">
        <f>INDEX(Period_Status!$B$2:$B$8,MATCH(C10,Period_Status!$A$2:$A$8,0))</f>
        <v>ActualClosed</v>
      </c>
    </row>
    <row r="11" spans="1:19" x14ac:dyDescent="0.25">
      <c r="A11" s="2" t="s">
        <v>12442</v>
      </c>
      <c r="B11" s="2" t="s">
        <v>199</v>
      </c>
      <c r="C11" s="6">
        <v>46235</v>
      </c>
      <c r="D11" s="12">
        <f>Revenue!H11</f>
        <v>5454208.8453576909</v>
      </c>
      <c r="E11" s="12">
        <f>Operating_Costs!N11</f>
        <v>2630194.7480000001</v>
      </c>
      <c r="F11" s="12">
        <f>Capex!D11</f>
        <v>0</v>
      </c>
      <c r="G11" s="12">
        <f t="shared" si="0"/>
        <v>2824014.0973576908</v>
      </c>
      <c r="H11" s="19">
        <f>Gold_Stock!E11</f>
        <v>1848.0188844997547</v>
      </c>
      <c r="I11" s="19">
        <f>Gold_Stock!F11</f>
        <v>1808.0188844997547</v>
      </c>
      <c r="J11" s="12">
        <f>Cashflow!E11</f>
        <v>8283195.7489593048</v>
      </c>
      <c r="K11" s="12">
        <f>Cashflow!H11</f>
        <v>4167885.354740825</v>
      </c>
      <c r="L11" s="12">
        <f>Cashflow!I11</f>
        <v>11360673.214740824</v>
      </c>
      <c r="M11" s="12">
        <f>Budget!F11</f>
        <v>4876999.3600000003</v>
      </c>
      <c r="N11" s="12">
        <f>Budget!G11</f>
        <v>2481315.7999999998</v>
      </c>
      <c r="O11" s="12">
        <f>Budget!H11</f>
        <v>0</v>
      </c>
      <c r="P11" s="12">
        <f t="shared" si="1"/>
        <v>577209.4853576906</v>
      </c>
      <c r="Q11" s="12">
        <f t="shared" si="2"/>
        <v>148878.94800000032</v>
      </c>
      <c r="R11" s="12">
        <f t="shared" si="3"/>
        <v>0</v>
      </c>
      <c r="S11" s="10" t="str">
        <f>INDEX(Period_Status!$B$2:$B$8,MATCH(C11,Period_Status!$A$2:$A$8,0))</f>
        <v>Forecast</v>
      </c>
    </row>
    <row r="12" spans="1:19" x14ac:dyDescent="0.25">
      <c r="A12" s="2" t="s">
        <v>12443</v>
      </c>
      <c r="B12" s="2" t="s">
        <v>199</v>
      </c>
      <c r="C12" s="6">
        <v>46266</v>
      </c>
      <c r="D12" s="12">
        <f>Revenue!H12</f>
        <v>5564700.9677168941</v>
      </c>
      <c r="E12" s="12">
        <f>Operating_Costs!N12</f>
        <v>2670910.7360000005</v>
      </c>
      <c r="F12" s="12">
        <f>Capex!D12</f>
        <v>0</v>
      </c>
      <c r="G12" s="12">
        <f t="shared" si="0"/>
        <v>2893790.2317168936</v>
      </c>
      <c r="H12" s="19">
        <f>Gold_Stock!E12</f>
        <v>1858.7378630288688</v>
      </c>
      <c r="I12" s="19">
        <f>Gold_Stock!F12</f>
        <v>1848.7378630288686</v>
      </c>
      <c r="J12" s="12">
        <f>Cashflow!E12</f>
        <v>5768457.3630337901</v>
      </c>
      <c r="K12" s="12">
        <f>Cashflow!H12</f>
        <v>2987525.3013213747</v>
      </c>
      <c r="L12" s="12">
        <f>Cashflow!I12</f>
        <v>14348198.516062198</v>
      </c>
      <c r="M12" s="12">
        <f>Budget!F12</f>
        <v>4991688.59</v>
      </c>
      <c r="N12" s="12">
        <f>Budget!G12</f>
        <v>2568183.4</v>
      </c>
      <c r="O12" s="12">
        <f>Budget!H12</f>
        <v>0</v>
      </c>
      <c r="P12" s="12">
        <f t="shared" si="1"/>
        <v>573012.37771689426</v>
      </c>
      <c r="Q12" s="12">
        <f t="shared" si="2"/>
        <v>102727.33600000059</v>
      </c>
      <c r="R12" s="12">
        <f t="shared" si="3"/>
        <v>0</v>
      </c>
      <c r="S12" s="10" t="str">
        <f>INDEX(Period_Status!$B$2:$B$8,MATCH(C12,Period_Status!$A$2:$A$8,0))</f>
        <v>Forecast</v>
      </c>
    </row>
    <row r="13" spans="1:19" x14ac:dyDescent="0.25">
      <c r="A13" s="2" t="s">
        <v>12444</v>
      </c>
      <c r="B13" s="2" t="s">
        <v>199</v>
      </c>
      <c r="C13" s="6">
        <v>46296</v>
      </c>
      <c r="D13" s="12">
        <f>Revenue!H13</f>
        <v>0</v>
      </c>
      <c r="E13" s="12">
        <f>Operating_Costs!N13</f>
        <v>2827495.1124</v>
      </c>
      <c r="F13" s="12">
        <f>Capex!D13</f>
        <v>0</v>
      </c>
      <c r="G13" s="12">
        <f t="shared" si="0"/>
        <v>-2827495.1124</v>
      </c>
      <c r="H13" s="19">
        <f>Gold_Stock!E13</f>
        <v>19.653433599423199</v>
      </c>
      <c r="I13" s="19">
        <f>Gold_Stock!F13</f>
        <v>0</v>
      </c>
      <c r="J13" s="12">
        <f>Cashflow!E13</f>
        <v>667764.11612602731</v>
      </c>
      <c r="K13" s="12">
        <f>Cashflow!H13</f>
        <v>-2133619.6402734299</v>
      </c>
      <c r="L13" s="12">
        <f>Cashflow!I13</f>
        <v>12214578.875788769</v>
      </c>
      <c r="M13" s="12">
        <f>Budget!F13</f>
        <v>5280190.6399999997</v>
      </c>
      <c r="N13" s="12">
        <f>Budget!G13</f>
        <v>2618051.0299999998</v>
      </c>
      <c r="O13" s="12">
        <f>Budget!H13</f>
        <v>0</v>
      </c>
      <c r="P13" s="12">
        <f t="shared" si="1"/>
        <v>-5280190.6399999997</v>
      </c>
      <c r="Q13" s="12">
        <f t="shared" si="2"/>
        <v>209444.08240000019</v>
      </c>
      <c r="R13" s="12">
        <f t="shared" si="3"/>
        <v>0</v>
      </c>
      <c r="S13" s="10" t="str">
        <f>INDEX(Period_Status!$B$2:$B$8,MATCH(C13,Period_Status!$A$2:$A$8,0))</f>
        <v>Forecast</v>
      </c>
    </row>
    <row r="14" spans="1:19" x14ac:dyDescent="0.25">
      <c r="A14" s="2" t="s">
        <v>12445</v>
      </c>
      <c r="B14" s="2" t="s">
        <v>199</v>
      </c>
      <c r="C14" s="6">
        <v>46327</v>
      </c>
      <c r="D14" s="12">
        <f>Revenue!H14</f>
        <v>5151964.3493154449</v>
      </c>
      <c r="E14" s="12">
        <f>Operating_Costs!N14</f>
        <v>3126700.9595999997</v>
      </c>
      <c r="F14" s="12">
        <f>Capex!D14</f>
        <v>0</v>
      </c>
      <c r="G14" s="12">
        <f t="shared" si="0"/>
        <v>2025263.3897154452</v>
      </c>
      <c r="H14" s="19">
        <f>Gold_Stock!E14</f>
        <v>1693.1642831646398</v>
      </c>
      <c r="I14" s="19">
        <f>Gold_Stock!F14</f>
        <v>1678.1642831646398</v>
      </c>
      <c r="J14" s="12">
        <f>Cashflow!E14</f>
        <v>4533728.6273975912</v>
      </c>
      <c r="K14" s="12">
        <f>Cashflow!H14</f>
        <v>1455567.6732427664</v>
      </c>
      <c r="L14" s="12">
        <f>Cashflow!I14</f>
        <v>13670146.549031535</v>
      </c>
      <c r="M14" s="12">
        <f>Budget!F14</f>
        <v>5020193</v>
      </c>
      <c r="N14" s="12">
        <f>Budget!G14</f>
        <v>2742720.14</v>
      </c>
      <c r="O14" s="12">
        <f>Budget!H14</f>
        <v>0</v>
      </c>
      <c r="P14" s="12">
        <f t="shared" si="1"/>
        <v>131771.34931544494</v>
      </c>
      <c r="Q14" s="12">
        <f t="shared" si="2"/>
        <v>383980.81959999958</v>
      </c>
      <c r="R14" s="12">
        <f t="shared" si="3"/>
        <v>0</v>
      </c>
      <c r="S14" s="10" t="str">
        <f>INDEX(Period_Status!$B$2:$B$8,MATCH(C14,Period_Status!$A$2:$A$8,0))</f>
        <v>Forecast</v>
      </c>
    </row>
    <row r="15" spans="1:19" x14ac:dyDescent="0.25">
      <c r="A15" s="2" t="s">
        <v>12446</v>
      </c>
      <c r="B15" s="2" t="s">
        <v>199</v>
      </c>
      <c r="C15" s="6">
        <v>46357</v>
      </c>
      <c r="D15" s="12">
        <f>Revenue!H15</f>
        <v>6221051.4478818662</v>
      </c>
      <c r="E15" s="12">
        <f>Operating_Costs!N15</f>
        <v>2801314.6140000001</v>
      </c>
      <c r="F15" s="12">
        <f>Capex!D15</f>
        <v>0</v>
      </c>
      <c r="G15" s="12">
        <f t="shared" si="0"/>
        <v>3419736.8338818662</v>
      </c>
      <c r="H15" s="19">
        <f>Gold_Stock!E15</f>
        <v>1996.7907896393115</v>
      </c>
      <c r="I15" s="19">
        <f>Gold_Stock!F15</f>
        <v>2006.7907896393117</v>
      </c>
      <c r="J15" s="12">
        <f>Cashflow!E15</f>
        <v>6092760.9960538959</v>
      </c>
      <c r="K15" s="12">
        <f>Cashflow!H15</f>
        <v>3226429.6947631384</v>
      </c>
      <c r="L15" s="12">
        <f>Cashflow!I15</f>
        <v>16896576.243794672</v>
      </c>
      <c r="M15" s="12">
        <f>Budget!F15</f>
        <v>5575026</v>
      </c>
      <c r="N15" s="12">
        <f>Budget!G15</f>
        <v>2667918.6800000002</v>
      </c>
      <c r="O15" s="12">
        <f>Budget!H15</f>
        <v>0</v>
      </c>
      <c r="P15" s="12">
        <f t="shared" si="1"/>
        <v>646025.44788186625</v>
      </c>
      <c r="Q15" s="12">
        <f t="shared" si="2"/>
        <v>133395.93399999989</v>
      </c>
      <c r="R15" s="12">
        <f t="shared" si="3"/>
        <v>0</v>
      </c>
      <c r="S15" s="10" t="str">
        <f>INDEX(Period_Status!$B$2:$B$8,MATCH(C15,Period_Status!$A$2:$A$8,0))</f>
        <v>Forecast</v>
      </c>
    </row>
    <row r="16" spans="1:19" x14ac:dyDescent="0.25">
      <c r="A16" s="2" t="s">
        <v>12447</v>
      </c>
      <c r="B16" s="2" t="s">
        <v>7433</v>
      </c>
      <c r="C16" s="6">
        <v>46174</v>
      </c>
      <c r="D16" s="12">
        <f>Revenue!H16</f>
        <v>0</v>
      </c>
      <c r="E16" s="12">
        <f>Operating_Costs!N16</f>
        <v>0</v>
      </c>
      <c r="F16" s="12">
        <f>Capex!D16</f>
        <v>3958141.629999999</v>
      </c>
      <c r="G16" s="12">
        <f t="shared" si="0"/>
        <v>0</v>
      </c>
      <c r="H16" s="19">
        <f>Gold_Stock!E16</f>
        <v>0</v>
      </c>
      <c r="I16" s="19">
        <f>Gold_Stock!F16</f>
        <v>0</v>
      </c>
      <c r="J16" s="12">
        <f>Cashflow!E16</f>
        <v>0</v>
      </c>
      <c r="K16" s="12">
        <f>Cashflow!H16</f>
        <v>-817558.74000000011</v>
      </c>
      <c r="L16" s="12">
        <f>Cashflow!I16</f>
        <v>8182441.2599999998</v>
      </c>
      <c r="M16" s="12">
        <f>Budget!F16</f>
        <v>0</v>
      </c>
      <c r="N16" s="12">
        <f>Budget!G16</f>
        <v>0</v>
      </c>
      <c r="O16" s="12">
        <f>Budget!H16</f>
        <v>3981370.47</v>
      </c>
      <c r="P16" s="12">
        <f t="shared" si="1"/>
        <v>0</v>
      </c>
      <c r="Q16" s="12">
        <f t="shared" si="2"/>
        <v>0</v>
      </c>
      <c r="R16" s="12">
        <f t="shared" si="3"/>
        <v>-23228.840000001248</v>
      </c>
      <c r="S16" s="10" t="str">
        <f>INDEX(Period_Status!$B$2:$B$8,MATCH(C16,Period_Status!$A$2:$A$8,0))</f>
        <v>ActualClosed</v>
      </c>
    </row>
    <row r="17" spans="1:19" x14ac:dyDescent="0.25">
      <c r="A17" s="2" t="s">
        <v>12448</v>
      </c>
      <c r="B17" s="2" t="s">
        <v>7433</v>
      </c>
      <c r="C17" s="6">
        <v>46204</v>
      </c>
      <c r="D17" s="12">
        <f>Revenue!H17</f>
        <v>0</v>
      </c>
      <c r="E17" s="12">
        <f>Operating_Costs!N17</f>
        <v>0</v>
      </c>
      <c r="F17" s="12">
        <f>Capex!D17</f>
        <v>3922798.5199999996</v>
      </c>
      <c r="G17" s="12">
        <f t="shared" si="0"/>
        <v>0</v>
      </c>
      <c r="H17" s="19">
        <f>Gold_Stock!E17</f>
        <v>0</v>
      </c>
      <c r="I17" s="19">
        <f>Gold_Stock!F17</f>
        <v>0</v>
      </c>
      <c r="J17" s="12">
        <f>Cashflow!E17</f>
        <v>0</v>
      </c>
      <c r="K17" s="12">
        <f>Cashflow!H17</f>
        <v>-3336737.7799999975</v>
      </c>
      <c r="L17" s="12">
        <f>Cashflow!I17</f>
        <v>4845703.4800000023</v>
      </c>
      <c r="M17" s="12">
        <f>Budget!F17</f>
        <v>0</v>
      </c>
      <c r="N17" s="12">
        <f>Budget!G17</f>
        <v>0</v>
      </c>
      <c r="O17" s="12">
        <f>Budget!H17</f>
        <v>3947992.2</v>
      </c>
      <c r="P17" s="12">
        <f t="shared" si="1"/>
        <v>0</v>
      </c>
      <c r="Q17" s="12">
        <f t="shared" si="2"/>
        <v>0</v>
      </c>
      <c r="R17" s="12">
        <f t="shared" si="3"/>
        <v>-25193.680000000633</v>
      </c>
      <c r="S17" s="10" t="str">
        <f>INDEX(Period_Status!$B$2:$B$8,MATCH(C17,Period_Status!$A$2:$A$8,0))</f>
        <v>ActualClosed</v>
      </c>
    </row>
    <row r="18" spans="1:19" x14ac:dyDescent="0.25">
      <c r="A18" s="2" t="s">
        <v>12449</v>
      </c>
      <c r="B18" s="2" t="s">
        <v>7433</v>
      </c>
      <c r="C18" s="6">
        <v>46235</v>
      </c>
      <c r="D18" s="12">
        <f>Revenue!H18</f>
        <v>0</v>
      </c>
      <c r="E18" s="12">
        <f>Operating_Costs!N18</f>
        <v>4282850.07</v>
      </c>
      <c r="F18" s="12">
        <f>Capex!D18</f>
        <v>4282850.07</v>
      </c>
      <c r="G18" s="12">
        <f t="shared" si="0"/>
        <v>-4282850.07</v>
      </c>
      <c r="H18" s="19">
        <f>Gold_Stock!E18</f>
        <v>0</v>
      </c>
      <c r="I18" s="19">
        <f>Gold_Stock!F18</f>
        <v>0</v>
      </c>
      <c r="J18" s="12">
        <f>Cashflow!E18</f>
        <v>0</v>
      </c>
      <c r="K18" s="12">
        <f>Cashflow!H18</f>
        <v>-10127354.645563135</v>
      </c>
      <c r="L18" s="12">
        <f>Cashflow!I18</f>
        <v>-5281651.1655631326</v>
      </c>
      <c r="M18" s="12">
        <f>Budget!F18</f>
        <v>0</v>
      </c>
      <c r="N18" s="12">
        <f>Budget!G18</f>
        <v>0</v>
      </c>
      <c r="O18" s="12">
        <f>Budget!H18</f>
        <v>3965601.92</v>
      </c>
      <c r="P18" s="12">
        <f t="shared" si="1"/>
        <v>0</v>
      </c>
      <c r="Q18" s="12">
        <f t="shared" si="2"/>
        <v>4282850.07</v>
      </c>
      <c r="R18" s="12">
        <f t="shared" si="3"/>
        <v>317248.15000000037</v>
      </c>
      <c r="S18" s="10" t="str">
        <f>INDEX(Period_Status!$B$2:$B$8,MATCH(C18,Period_Status!$A$2:$A$8,0))</f>
        <v>Forecast</v>
      </c>
    </row>
    <row r="19" spans="1:19" x14ac:dyDescent="0.25">
      <c r="A19" s="2" t="s">
        <v>12450</v>
      </c>
      <c r="B19" s="2" t="s">
        <v>7433</v>
      </c>
      <c r="C19" s="6">
        <v>46266</v>
      </c>
      <c r="D19" s="12">
        <f>Revenue!H19</f>
        <v>0</v>
      </c>
      <c r="E19" s="12">
        <f>Operating_Costs!N19</f>
        <v>0</v>
      </c>
      <c r="F19" s="12">
        <f>Capex!D19</f>
        <v>3865873.96</v>
      </c>
      <c r="G19" s="12">
        <f t="shared" si="0"/>
        <v>0</v>
      </c>
      <c r="H19" s="19">
        <f>Gold_Stock!E19</f>
        <v>0</v>
      </c>
      <c r="I19" s="19">
        <f>Gold_Stock!F19</f>
        <v>0</v>
      </c>
      <c r="J19" s="12">
        <f>Cashflow!E19</f>
        <v>0</v>
      </c>
      <c r="K19" s="12">
        <f>Cashflow!H19</f>
        <v>-5300290.1958698202</v>
      </c>
      <c r="L19" s="12">
        <f>Cashflow!I19</f>
        <v>-10581941.361432953</v>
      </c>
      <c r="M19" s="12">
        <f>Budget!F19</f>
        <v>0</v>
      </c>
      <c r="N19" s="12">
        <f>Budget!G19</f>
        <v>0</v>
      </c>
      <c r="O19" s="12">
        <f>Budget!H19</f>
        <v>3790072.51</v>
      </c>
      <c r="P19" s="12">
        <f t="shared" si="1"/>
        <v>0</v>
      </c>
      <c r="Q19" s="12">
        <f t="shared" si="2"/>
        <v>0</v>
      </c>
      <c r="R19" s="12">
        <f t="shared" si="3"/>
        <v>75801.450000000186</v>
      </c>
      <c r="S19" s="10" t="str">
        <f>INDEX(Period_Status!$B$2:$B$8,MATCH(C19,Period_Status!$A$2:$A$8,0))</f>
        <v>Forecast</v>
      </c>
    </row>
    <row r="20" spans="1:19" x14ac:dyDescent="0.25">
      <c r="A20" s="2" t="s">
        <v>12451</v>
      </c>
      <c r="B20" s="2" t="s">
        <v>7433</v>
      </c>
      <c r="C20" s="6">
        <v>46296</v>
      </c>
      <c r="D20" s="12">
        <f>Revenue!H20</f>
        <v>0</v>
      </c>
      <c r="E20" s="12">
        <f>Operating_Costs!N20</f>
        <v>0</v>
      </c>
      <c r="F20" s="12">
        <f>Capex!D20</f>
        <v>4770753.78</v>
      </c>
      <c r="G20" s="12">
        <f t="shared" si="0"/>
        <v>0</v>
      </c>
      <c r="H20" s="19">
        <f>Gold_Stock!E20</f>
        <v>0</v>
      </c>
      <c r="I20" s="19">
        <f>Gold_Stock!F20</f>
        <v>0</v>
      </c>
      <c r="J20" s="12">
        <f>Cashflow!E20</f>
        <v>0</v>
      </c>
      <c r="K20" s="12">
        <f>Cashflow!H20</f>
        <v>-4610409.7438768195</v>
      </c>
      <c r="L20" s="12">
        <f>Cashflow!I20</f>
        <v>-15192351.105309773</v>
      </c>
      <c r="M20" s="12">
        <f>Budget!F20</f>
        <v>0</v>
      </c>
      <c r="N20" s="12">
        <f>Budget!G20</f>
        <v>0</v>
      </c>
      <c r="O20" s="12">
        <f>Budget!H20</f>
        <v>4500711.1100000003</v>
      </c>
      <c r="P20" s="12">
        <f t="shared" si="1"/>
        <v>0</v>
      </c>
      <c r="Q20" s="12">
        <f t="shared" si="2"/>
        <v>0</v>
      </c>
      <c r="R20" s="12">
        <f t="shared" si="3"/>
        <v>270042.66999999993</v>
      </c>
      <c r="S20" s="10" t="str">
        <f>INDEX(Period_Status!$B$2:$B$8,MATCH(C20,Period_Status!$A$2:$A$8,0))</f>
        <v>Forecast</v>
      </c>
    </row>
    <row r="21" spans="1:19" x14ac:dyDescent="0.25">
      <c r="A21" s="2" t="s">
        <v>12452</v>
      </c>
      <c r="B21" s="2" t="s">
        <v>7433</v>
      </c>
      <c r="C21" s="6">
        <v>46327</v>
      </c>
      <c r="D21" s="12">
        <f>Revenue!H21</f>
        <v>0</v>
      </c>
      <c r="E21" s="12">
        <f>Operating_Costs!N21</f>
        <v>0</v>
      </c>
      <c r="F21" s="12">
        <f>Capex!D21</f>
        <v>3484892.71</v>
      </c>
      <c r="G21" s="12">
        <f t="shared" si="0"/>
        <v>0</v>
      </c>
      <c r="H21" s="19">
        <f>Gold_Stock!E21</f>
        <v>0</v>
      </c>
      <c r="I21" s="19">
        <f>Gold_Stock!F21</f>
        <v>0</v>
      </c>
      <c r="J21" s="12">
        <f>Cashflow!E21</f>
        <v>0</v>
      </c>
      <c r="K21" s="12">
        <f>Cashflow!H21</f>
        <v>-3718391.6938364306</v>
      </c>
      <c r="L21" s="12">
        <f>Cashflow!I21</f>
        <v>-18910742.799146205</v>
      </c>
      <c r="M21" s="12">
        <f>Budget!F21</f>
        <v>0</v>
      </c>
      <c r="N21" s="12">
        <f>Budget!G21</f>
        <v>0</v>
      </c>
      <c r="O21" s="12">
        <f>Budget!H21</f>
        <v>3592672.9</v>
      </c>
      <c r="P21" s="12">
        <f t="shared" si="1"/>
        <v>0</v>
      </c>
      <c r="Q21" s="12">
        <f t="shared" si="2"/>
        <v>0</v>
      </c>
      <c r="R21" s="12">
        <f t="shared" si="3"/>
        <v>-107780.18999999994</v>
      </c>
      <c r="S21" s="10" t="str">
        <f>INDEX(Period_Status!$B$2:$B$8,MATCH(C21,Period_Status!$A$2:$A$8,0))</f>
        <v>Forecast</v>
      </c>
    </row>
    <row r="22" spans="1:19" x14ac:dyDescent="0.25">
      <c r="A22" s="2" t="s">
        <v>12453</v>
      </c>
      <c r="B22" s="2" t="s">
        <v>7433</v>
      </c>
      <c r="C22" s="6">
        <v>46357</v>
      </c>
      <c r="D22" s="12">
        <f>Revenue!H22</f>
        <v>0</v>
      </c>
      <c r="E22" s="12">
        <f>Operating_Costs!N22</f>
        <v>0</v>
      </c>
      <c r="F22" s="12">
        <f>Capex!D22</f>
        <v>5217666.5</v>
      </c>
      <c r="G22" s="12">
        <f t="shared" si="0"/>
        <v>0</v>
      </c>
      <c r="H22" s="19">
        <f>Gold_Stock!E22</f>
        <v>0</v>
      </c>
      <c r="I22" s="19">
        <f>Gold_Stock!F22</f>
        <v>0</v>
      </c>
      <c r="J22" s="12">
        <f>Cashflow!E22</f>
        <v>0</v>
      </c>
      <c r="K22" s="12">
        <f>Cashflow!H22</f>
        <v>-4908465.3897697898</v>
      </c>
      <c r="L22" s="12">
        <f>Cashflow!I22</f>
        <v>-23819208.188915994</v>
      </c>
      <c r="M22" s="12">
        <f>Budget!F22</f>
        <v>0</v>
      </c>
      <c r="N22" s="12">
        <f>Budget!G22</f>
        <v>0</v>
      </c>
      <c r="O22" s="12">
        <f>Budget!H22</f>
        <v>4658630.8</v>
      </c>
      <c r="P22" s="12">
        <f t="shared" si="1"/>
        <v>0</v>
      </c>
      <c r="Q22" s="12">
        <f t="shared" si="2"/>
        <v>0</v>
      </c>
      <c r="R22" s="12">
        <f t="shared" si="3"/>
        <v>559035.70000000019</v>
      </c>
      <c r="S22" s="10" t="str">
        <f>INDEX(Period_Status!$B$2:$B$8,MATCH(C22,Period_Status!$A$2:$A$8,0))</f>
        <v>Forecast</v>
      </c>
    </row>
    <row r="25" spans="1:19" x14ac:dyDescent="0.25">
      <c r="A25" s="24" t="s">
        <v>57</v>
      </c>
      <c r="B25" s="24" t="s">
        <v>12415</v>
      </c>
      <c r="C25" s="24" t="s">
        <v>12416</v>
      </c>
      <c r="D25" s="24" t="s">
        <v>12417</v>
      </c>
      <c r="E25" s="24" t="s">
        <v>12418</v>
      </c>
      <c r="F25" s="24" t="s">
        <v>12422</v>
      </c>
      <c r="G25" s="24" t="s">
        <v>12508</v>
      </c>
      <c r="H25" s="24" t="s">
        <v>12509</v>
      </c>
    </row>
    <row r="26" spans="1:19" x14ac:dyDescent="0.25">
      <c r="A26" s="24" t="s">
        <v>12510</v>
      </c>
      <c r="B26" s="25">
        <f>SUMIFS(D2:D22,C2:C22,"&lt;"&amp;DATE(2026,12,1))</f>
        <v>73036319.452776283</v>
      </c>
      <c r="C26" s="25">
        <f>SUM(E2:E22)</f>
        <v>42000509.380800001</v>
      </c>
      <c r="D26" s="25">
        <f>SUM(F2:F22)</f>
        <v>29502977.170000002</v>
      </c>
      <c r="E26" s="25">
        <f>B26-C26</f>
        <v>31035810.071976282</v>
      </c>
      <c r="F26" s="25">
        <f>SUM(K2:K22)</f>
        <v>20304641.900037613</v>
      </c>
      <c r="G26" s="25">
        <f>SUM(L8,L15,L22)</f>
        <v>39304641.900037587</v>
      </c>
      <c r="H26" s="24" t="str">
        <f>IF(G26&gt;=Assumptions!$K$10,"Di atas ambang perencanaan","Di bawah ambang perencanaan")</f>
        <v>Di bawah ambang perencanaan</v>
      </c>
    </row>
  </sheetData>
  <pageMargins left="0.75" right="0.75" top="1" bottom="1" header="0.5" footer="0.5"/>
  <pageSetup paperSize="8" fitToHeight="0"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F86"/>
    <pageSetUpPr fitToPage="1"/>
  </sheetPr>
  <dimension ref="A1:T27"/>
  <sheetViews>
    <sheetView showGridLines="0" zoomScale="85" workbookViewId="0">
      <pane ySplit="1" topLeftCell="A2" activePane="bottomLeft" state="frozen"/>
      <selection pane="bottomLeft"/>
    </sheetView>
  </sheetViews>
  <sheetFormatPr defaultRowHeight="15" x14ac:dyDescent="0.25"/>
  <cols>
    <col min="1" max="1" width="28" customWidth="1"/>
    <col min="2" max="5" width="16" customWidth="1"/>
    <col min="6" max="6" width="18" customWidth="1"/>
    <col min="7" max="7" width="16" customWidth="1"/>
    <col min="8" max="8" width="20" customWidth="1"/>
    <col min="9" max="9" width="17" customWidth="1"/>
    <col min="10" max="12" width="16" customWidth="1"/>
    <col min="13" max="13" width="19" customWidth="1"/>
    <col min="14" max="14" width="17" customWidth="1"/>
    <col min="15" max="15" width="16" customWidth="1"/>
    <col min="16" max="16" width="21" customWidth="1"/>
    <col min="17" max="17" width="22" customWidth="1"/>
    <col min="18" max="18" width="16" customWidth="1"/>
    <col min="19" max="20" width="25.7109375" customWidth="1"/>
  </cols>
  <sheetData>
    <row r="1" spans="1:20" ht="32.1" customHeight="1" x14ac:dyDescent="0.25">
      <c r="A1" s="1" t="s">
        <v>12412</v>
      </c>
      <c r="B1" s="1" t="s">
        <v>123</v>
      </c>
      <c r="C1" s="1" t="s">
        <v>61</v>
      </c>
      <c r="D1" s="1" t="s">
        <v>12511</v>
      </c>
      <c r="E1" s="1" t="s">
        <v>12512</v>
      </c>
      <c r="F1" s="1" t="s">
        <v>12513</v>
      </c>
      <c r="G1" s="1" t="s">
        <v>12514</v>
      </c>
      <c r="H1" s="1" t="s">
        <v>12515</v>
      </c>
      <c r="I1" s="1" t="s">
        <v>12516</v>
      </c>
      <c r="J1" s="1" t="s">
        <v>12517</v>
      </c>
      <c r="K1" s="1" t="s">
        <v>12518</v>
      </c>
      <c r="L1" s="1" t="s">
        <v>12519</v>
      </c>
      <c r="M1" s="1" t="s">
        <v>12520</v>
      </c>
      <c r="N1" s="1" t="s">
        <v>12521</v>
      </c>
      <c r="O1" s="1" t="s">
        <v>12522</v>
      </c>
      <c r="P1" s="1" t="s">
        <v>12523</v>
      </c>
      <c r="Q1" s="1" t="s">
        <v>12524</v>
      </c>
      <c r="R1" s="1" t="s">
        <v>4</v>
      </c>
      <c r="S1" s="1" t="s">
        <v>12525</v>
      </c>
      <c r="T1" s="1" t="s">
        <v>12526</v>
      </c>
    </row>
    <row r="2" spans="1:20" x14ac:dyDescent="0.25">
      <c r="A2" s="2" t="s">
        <v>12433</v>
      </c>
      <c r="B2" s="2" t="s">
        <v>136</v>
      </c>
      <c r="C2" s="6">
        <v>46174</v>
      </c>
      <c r="D2" s="9">
        <v>2490344.5299999989</v>
      </c>
      <c r="E2" s="9">
        <v>0</v>
      </c>
      <c r="F2" s="14">
        <v>2566.1529941051481</v>
      </c>
      <c r="G2" s="9">
        <v>7363381.3899999997</v>
      </c>
      <c r="H2" s="9">
        <v>2992432.52</v>
      </c>
      <c r="I2" s="9">
        <v>502261.28999999992</v>
      </c>
      <c r="J2" s="9">
        <v>2703.950000000008</v>
      </c>
      <c r="K2" s="12">
        <f>Operating_Costs!P2</f>
        <v>0</v>
      </c>
      <c r="L2" s="12">
        <f>Capex!G2</f>
        <v>0</v>
      </c>
      <c r="M2" s="17">
        <f>IF(INDEX(Period_Status!$B$2:$B$8,MATCH(C2,Period_Status!$A$2:$A$8,0))="ActualClosed",Gold_Stock!E2-F2,Forecast_Drivers!H2-Forecast_Drivers!D2*Forecast_Drivers!E2*Forecast_Drivers!F2*Forecast_Drivers!G2/31.1034768)</f>
        <v>0</v>
      </c>
      <c r="N2" s="12">
        <f>Revenue!J2</f>
        <v>0</v>
      </c>
      <c r="O2" s="19">
        <f>Gold_Stock!H2</f>
        <v>4.5474735088646412E-13</v>
      </c>
      <c r="P2" s="12">
        <f>Cashflow!O2</f>
        <v>0</v>
      </c>
      <c r="Q2" s="10">
        <f>Revenue!H2-SUMIFS(tblSnapshot[RevenueUSD],tblSnapshot[Site],B2,tblSnapshot[Period],C2)</f>
        <v>0</v>
      </c>
      <c r="R2" s="10" t="str">
        <f t="shared" ref="R2:R22" si="0">IF(MAX(ABS(K2),ABS(L2),ABS(M2),ABS(N2),ABS(O2),ABS(P2),ABS(Q2),ABS(S2),ABS(T2))&lt;0.02,"PASS","REVIEW")</f>
        <v>PASS</v>
      </c>
      <c r="S2" s="10">
        <f>IF(INDEX(Period_Status!$B$2:$B$8,MATCH(C2,Period_Status!$A$2:$A$8,0))="ActualClosed",Cashflow!F2-I2,Cashflow!F2-(SUMIFS(tblSettlementSchedule[CashUSD],tblSettlementSchedule[Site],B2,tblSettlementSchedule[Period],C2,tblSettlementSchedule[EventType],"VendorSettlement",tblSettlementSchedule[PendingActualOrigin],1)+Assumptions!$K$9*(Operating_Costs!N2+Capex!D2)+(1-Assumptions!$K$9)*0+IF(C2=EDATE(Settlement_Bridge!$C$2,1),MAX(0,SUMIFS(tblSettlementBridge[UnallocatedAPBookUSD],tblSettlementBridge[Site],B2)),0)))</f>
        <v>0</v>
      </c>
      <c r="T2" s="10">
        <f>IF(INDEX(Period_Status!$B$2:$B$8,MATCH(C2,Period_Status!$A$2:$A$8,0))="ActualClosed",Cashflow!G2-J2,Cashflow!G2-(SUMIFS(tblSettlementSchedule[FeeUSD],tblSettlementSchedule[Site],B2,tblSettlementSchedule[Period],C2,tblSettlementSchedule[EventType],"Collection",tblSettlementSchedule[PendingActualOrigin],1)+SUMIFS(tblSettlementSchedule[FeeUSD],tblSettlementSchedule[Site],B2,tblSettlementSchedule[Period],C2,tblSettlementSchedule[EventType],"VendorSettlement",tblSettlementSchedule[PendingActualOrigin],1)+(Assumptions!$K$8*Revenue!H2+(1-Assumptions!$K$8)*0+IF(C2=EDATE(Settlement_Bridge!$C$2,1),MAX(0,SUMIFS(tblSettlementBridge[UnallocatedARBookUSD],tblSettlementBridge[Site],B2)),0))*0.0008+(Assumptions!$K$9*(Operating_Costs!N2+Capex!D2)+(1-Assumptions!$K$9)*0+IF(C2=EDATE(Settlement_Bridge!$C$2,1),MAX(0,SUMIFS(tblSettlementBridge[UnallocatedAPBookUSD],tblSettlementBridge[Site],B2)),0))*0.00055))</f>
        <v>-7.73070496506989E-12</v>
      </c>
    </row>
    <row r="3" spans="1:20" x14ac:dyDescent="0.25">
      <c r="A3" s="2" t="s">
        <v>12434</v>
      </c>
      <c r="B3" s="2" t="s">
        <v>136</v>
      </c>
      <c r="C3" s="6">
        <v>46204</v>
      </c>
      <c r="D3" s="9">
        <v>2468255.0699999998</v>
      </c>
      <c r="E3" s="9">
        <v>0</v>
      </c>
      <c r="F3" s="14">
        <v>2652.893135827826</v>
      </c>
      <c r="G3" s="9">
        <v>7612368.4000000004</v>
      </c>
      <c r="H3" s="9">
        <v>7028077.2899999991</v>
      </c>
      <c r="I3" s="9">
        <v>2365180.77</v>
      </c>
      <c r="J3" s="9">
        <v>7035.79000000002</v>
      </c>
      <c r="K3" s="12">
        <f>Operating_Costs!P3</f>
        <v>-271527.14999999991</v>
      </c>
      <c r="L3" s="12">
        <f>Capex!G3</f>
        <v>0</v>
      </c>
      <c r="M3" s="17">
        <f>IF(INDEX(Period_Status!$B$2:$B$8,MATCH(C3,Period_Status!$A$2:$A$8,0))="ActualClosed",Gold_Stock!E3-F3,Forecast_Drivers!H3-Forecast_Drivers!D3*Forecast_Drivers!E3*Forecast_Drivers!F3*Forecast_Drivers!G3/31.1034768)</f>
        <v>4.5474735088646412E-13</v>
      </c>
      <c r="N3" s="12">
        <f>Revenue!J3</f>
        <v>-2403371.84</v>
      </c>
      <c r="O3" s="19">
        <f>Gold_Stock!H3</f>
        <v>1.3642420526593924E-12</v>
      </c>
      <c r="P3" s="12">
        <f>Cashflow!O3</f>
        <v>0</v>
      </c>
      <c r="Q3" s="10">
        <f>Revenue!H3-SUMIFS(tblSnapshot[RevenueUSD],tblSnapshot[Site],B3,tblSnapshot[Period],C3)</f>
        <v>-2403371.84</v>
      </c>
      <c r="R3" s="10" t="str">
        <f t="shared" si="0"/>
        <v>REVIEW</v>
      </c>
      <c r="S3" s="10">
        <f>IF(INDEX(Period_Status!$B$2:$B$8,MATCH(C3,Period_Status!$A$2:$A$8,0))="ActualClosed",Cashflow!F3-I3,Cashflow!F3-(SUMIFS(tblSettlementSchedule[CashUSD],tblSettlementSchedule[Site],B3,tblSettlementSchedule[Period],C3,tblSettlementSchedule[EventType],"VendorSettlement",tblSettlementSchedule[PendingActualOrigin],1)+Assumptions!$K$9*(Operating_Costs!N3+Capex!D3)+(1-Assumptions!$K$9)*IF(INDEX(Period_Status!$B$2:$B$8,MATCH(C2,Period_Status!$A$2:$A$8,0))="Forecast",Operating_Costs!N2+Capex!D2,0)+IF(C3=EDATE(Settlement_Bridge!$C$2,1),MAX(0,SUMIFS(tblSettlementBridge[UnallocatedAPBookUSD],tblSettlementBridge[Site],B3)),0)))</f>
        <v>-4.6566128730773926E-10</v>
      </c>
      <c r="T3" s="10">
        <f>IF(INDEX(Period_Status!$B$2:$B$8,MATCH(C3,Period_Status!$A$2:$A$8,0))="ActualClosed",Cashflow!G3-J3,Cashflow!G3-(SUMIFS(tblSettlementSchedule[FeeUSD],tblSettlementSchedule[Site],B3,tblSettlementSchedule[Period],C3,tblSettlementSchedule[EventType],"Collection",tblSettlementSchedule[PendingActualOrigin],1)+SUMIFS(tblSettlementSchedule[FeeUSD],tblSettlementSchedule[Site],B3,tblSettlementSchedule[Period],C3,tblSettlementSchedule[EventType],"VendorSettlement",tblSettlementSchedule[PendingActualOrigin],1)+(Assumptions!$K$8*Revenue!H3+(1-Assumptions!$K$8)*IF(INDEX(Period_Status!$B$2:$B$8,MATCH(C2,Period_Status!$A$2:$A$8,0))="Forecast",Revenue!H2,0)+IF(C3=EDATE(Settlement_Bridge!$C$2,1),MAX(0,SUMIFS(tblSettlementBridge[UnallocatedARBookUSD],tblSettlementBridge[Site],B3)),0))*0.0008+(Assumptions!$K$9*(Operating_Costs!N3+Capex!D3)+(1-Assumptions!$K$9)*IF(INDEX(Period_Status!$B$2:$B$8,MATCH(C2,Period_Status!$A$2:$A$8,0))="Forecast",Operating_Costs!N2+Capex!D2,0)+IF(C3=EDATE(Settlement_Bridge!$C$2,1),MAX(0,SUMIFS(tblSettlementBridge[UnallocatedAPBookUSD],tblSettlementBridge[Site],B3)),0))*0.00055))</f>
        <v>-2.4556356947869062E-11</v>
      </c>
    </row>
    <row r="4" spans="1:20" x14ac:dyDescent="0.25">
      <c r="A4" s="2" t="s">
        <v>12435</v>
      </c>
      <c r="B4" s="2" t="s">
        <v>136</v>
      </c>
      <c r="C4" s="6">
        <v>46235</v>
      </c>
      <c r="D4" s="9">
        <v>2493279.7499999991</v>
      </c>
      <c r="E4" s="9">
        <v>0</v>
      </c>
      <c r="F4" s="14">
        <v>2446.7158604854112</v>
      </c>
      <c r="G4" s="9">
        <v>6874356.4900000002</v>
      </c>
      <c r="H4" s="9">
        <v>7220678.4900000002</v>
      </c>
      <c r="I4" s="9">
        <v>2509876.8099999982</v>
      </c>
      <c r="J4" s="9">
        <v>7279.0300000000252</v>
      </c>
      <c r="K4" s="12">
        <f>Operating_Costs!P4</f>
        <v>0</v>
      </c>
      <c r="L4" s="12">
        <f>Capex!G4</f>
        <v>0</v>
      </c>
      <c r="M4" s="17">
        <f>IF(INDEX(Period_Status!$B$2:$B$8,MATCH(C4,Period_Status!$A$2:$A$8,0))="ActualClosed",Gold_Stock!E4-F4,Forecast_Drivers!H4-Forecast_Drivers!D4*Forecast_Drivers!E4*Forecast_Drivers!F4*Forecast_Drivers!G4/31.1034768)</f>
        <v>0</v>
      </c>
      <c r="N4" s="12">
        <f>Revenue!J4</f>
        <v>0</v>
      </c>
      <c r="O4" s="19">
        <f>Gold_Stock!H4</f>
        <v>0</v>
      </c>
      <c r="P4" s="12">
        <f>Cashflow!O4</f>
        <v>0</v>
      </c>
      <c r="Q4" s="12">
        <f>0</f>
        <v>0</v>
      </c>
      <c r="R4" s="10" t="str">
        <f t="shared" si="0"/>
        <v>PASS</v>
      </c>
      <c r="S4" s="10">
        <f>IF(INDEX(Period_Status!$B$2:$B$8,MATCH(C4,Period_Status!$A$2:$A$8,0))="ActualClosed",Cashflow!F4-I4,Cashflow!F4-(SUMIFS(tblSettlementSchedule[CashUSD],tblSettlementSchedule[Site],B4,tblSettlementSchedule[Period],C4,tblSettlementSchedule[EventType],"VendorSettlement",tblSettlementSchedule[PendingActualOrigin],1)+Assumptions!$K$9*(Operating_Costs!N4+Capex!D4)+(1-Assumptions!$K$9)*IF(INDEX(Period_Status!$B$2:$B$8,MATCH(C3,Period_Status!$A$2:$A$8,0))="Forecast",Operating_Costs!N3+Capex!D3,0)+IF(C4=EDATE(Settlement_Bridge!$C$2,1),MAX(0,SUMIFS(tblSettlementBridge[UnallocatedAPBookUSD],tblSettlementBridge[Site],B4)),0)))</f>
        <v>0</v>
      </c>
      <c r="T4" s="10">
        <f>IF(INDEX(Period_Status!$B$2:$B$8,MATCH(C4,Period_Status!$A$2:$A$8,0))="ActualClosed",Cashflow!G4-J4,Cashflow!G4-(SUMIFS(tblSettlementSchedule[FeeUSD],tblSettlementSchedule[Site],B4,tblSettlementSchedule[Period],C4,tblSettlementSchedule[EventType],"Collection",tblSettlementSchedule[PendingActualOrigin],1)+SUMIFS(tblSettlementSchedule[FeeUSD],tblSettlementSchedule[Site],B4,tblSettlementSchedule[Period],C4,tblSettlementSchedule[EventType],"VendorSettlement",tblSettlementSchedule[PendingActualOrigin],1)+(Assumptions!$K$8*Revenue!H4+(1-Assumptions!$K$8)*IF(INDEX(Period_Status!$B$2:$B$8,MATCH(C3,Period_Status!$A$2:$A$8,0))="Forecast",Revenue!H3,0)+IF(C4=EDATE(Settlement_Bridge!$C$2,1),MAX(0,SUMIFS(tblSettlementBridge[UnallocatedARBookUSD],tblSettlementBridge[Site],B4)),0))*0.0008+(Assumptions!$K$9*(Operating_Costs!N4+Capex!D4)+(1-Assumptions!$K$9)*IF(INDEX(Period_Status!$B$2:$B$8,MATCH(C3,Period_Status!$A$2:$A$8,0))="Forecast",Operating_Costs!N3+Capex!D3,0)+IF(C4=EDATE(Settlement_Bridge!$C$2,1),MAX(0,SUMIFS(tblSettlementBridge[UnallocatedAPBookUSD],tblSettlementBridge[Site],B4)),0))*0.00055))</f>
        <v>0</v>
      </c>
    </row>
    <row r="5" spans="1:20" x14ac:dyDescent="0.25">
      <c r="A5" s="2" t="s">
        <v>12436</v>
      </c>
      <c r="B5" s="2" t="s">
        <v>136</v>
      </c>
      <c r="C5" s="6">
        <v>46266</v>
      </c>
      <c r="D5" s="9">
        <v>0</v>
      </c>
      <c r="E5" s="9">
        <v>0</v>
      </c>
      <c r="F5" s="14">
        <v>0</v>
      </c>
      <c r="G5" s="9">
        <v>0</v>
      </c>
      <c r="H5" s="9">
        <v>0</v>
      </c>
      <c r="I5" s="9">
        <v>0</v>
      </c>
      <c r="J5" s="9">
        <v>0</v>
      </c>
      <c r="K5" s="12">
        <f>Operating_Costs!P5</f>
        <v>0</v>
      </c>
      <c r="L5" s="12">
        <f>Capex!G5</f>
        <v>0</v>
      </c>
      <c r="M5" s="17">
        <f>IF(INDEX(Period_Status!$B$2:$B$8,MATCH(C5,Period_Status!$A$2:$A$8,0))="ActualClosed",Gold_Stock!E5-F5,Forecast_Drivers!H5-Forecast_Drivers!D5*Forecast_Drivers!E5*Forecast_Drivers!F5*Forecast_Drivers!G5/31.1034768)</f>
        <v>0</v>
      </c>
      <c r="N5" s="12">
        <f>Revenue!J5</f>
        <v>45150</v>
      </c>
      <c r="O5" s="19">
        <f>Gold_Stock!H5</f>
        <v>-15</v>
      </c>
      <c r="P5" s="12">
        <f>Cashflow!O5</f>
        <v>0</v>
      </c>
      <c r="Q5" s="12">
        <f>0</f>
        <v>0</v>
      </c>
      <c r="R5" s="10" t="str">
        <f t="shared" si="0"/>
        <v>REVIEW</v>
      </c>
      <c r="S5" s="10">
        <f>IF(INDEX(Period_Status!$B$2:$B$8,MATCH(C5,Period_Status!$A$2:$A$8,0))="ActualClosed",Cashflow!F5-I5,Cashflow!F5-(SUMIFS(tblSettlementSchedule[CashUSD],tblSettlementSchedule[Site],B5,tblSettlementSchedule[Period],C5,tblSettlementSchedule[EventType],"VendorSettlement",tblSettlementSchedule[PendingActualOrigin],1)+Assumptions!$K$9*(Operating_Costs!N5+Capex!D5)+(1-Assumptions!$K$9)*IF(INDEX(Period_Status!$B$2:$B$8,MATCH(C4,Period_Status!$A$2:$A$8,0))="Forecast",Operating_Costs!N4+Capex!D4,0)+IF(C5=EDATE(Settlement_Bridge!$C$2,1),MAX(0,SUMIFS(tblSettlementBridge[UnallocatedAPBookUSD],tblSettlementBridge[Site],B5)),0)))</f>
        <v>0</v>
      </c>
      <c r="T5" s="10">
        <f>IF(INDEX(Period_Status!$B$2:$B$8,MATCH(C5,Period_Status!$A$2:$A$8,0))="ActualClosed",Cashflow!G5-J5,Cashflow!G5-(SUMIFS(tblSettlementSchedule[FeeUSD],tblSettlementSchedule[Site],B5,tblSettlementSchedule[Period],C5,tblSettlementSchedule[EventType],"Collection",tblSettlementSchedule[PendingActualOrigin],1)+SUMIFS(tblSettlementSchedule[FeeUSD],tblSettlementSchedule[Site],B5,tblSettlementSchedule[Period],C5,tblSettlementSchedule[EventType],"VendorSettlement",tblSettlementSchedule[PendingActualOrigin],1)+(Assumptions!$K$8*Revenue!H5+(1-Assumptions!$K$8)*IF(INDEX(Period_Status!$B$2:$B$8,MATCH(C4,Period_Status!$A$2:$A$8,0))="Forecast",Revenue!H4,0)+IF(C5=EDATE(Settlement_Bridge!$C$2,1),MAX(0,SUMIFS(tblSettlementBridge[UnallocatedARBookUSD],tblSettlementBridge[Site],B5)),0))*0.0008+(Assumptions!$K$9*(Operating_Costs!N5+Capex!D5)+(1-Assumptions!$K$9)*IF(INDEX(Period_Status!$B$2:$B$8,MATCH(C4,Period_Status!$A$2:$A$8,0))="Forecast",Operating_Costs!N4+Capex!D4,0)+IF(C5=EDATE(Settlement_Bridge!$C$2,1),MAX(0,SUMIFS(tblSettlementBridge[UnallocatedAPBookUSD],tblSettlementBridge[Site],B5)),0))*0.00055))</f>
        <v>0</v>
      </c>
    </row>
    <row r="6" spans="1:20" x14ac:dyDescent="0.25">
      <c r="A6" s="2" t="s">
        <v>12437</v>
      </c>
      <c r="B6" s="2" t="s">
        <v>136</v>
      </c>
      <c r="C6" s="6">
        <v>46296</v>
      </c>
      <c r="D6" s="9">
        <v>0</v>
      </c>
      <c r="E6" s="9">
        <v>0</v>
      </c>
      <c r="F6" s="14">
        <v>0</v>
      </c>
      <c r="G6" s="9">
        <v>0</v>
      </c>
      <c r="H6" s="9">
        <v>0</v>
      </c>
      <c r="I6" s="9">
        <v>0</v>
      </c>
      <c r="J6" s="9">
        <v>0</v>
      </c>
      <c r="K6" s="12">
        <f>Operating_Costs!P6</f>
        <v>0</v>
      </c>
      <c r="L6" s="12">
        <f>Capex!G6</f>
        <v>0</v>
      </c>
      <c r="M6" s="17">
        <f>IF(INDEX(Period_Status!$B$2:$B$8,MATCH(C6,Period_Status!$A$2:$A$8,0))="ActualClosed",Gold_Stock!E6-F6,Forecast_Drivers!H6-Forecast_Drivers!D6*Forecast_Drivers!E6*Forecast_Drivers!F6*Forecast_Drivers!G6/31.1034768)</f>
        <v>0</v>
      </c>
      <c r="N6" s="12">
        <f>Revenue!J6</f>
        <v>0</v>
      </c>
      <c r="O6" s="19">
        <f>Gold_Stock!H6</f>
        <v>0</v>
      </c>
      <c r="P6" s="12">
        <f>Cashflow!O6</f>
        <v>0</v>
      </c>
      <c r="Q6" s="12">
        <f>0</f>
        <v>0</v>
      </c>
      <c r="R6" s="10" t="str">
        <f t="shared" si="0"/>
        <v>PASS</v>
      </c>
      <c r="S6" s="10">
        <f>IF(INDEX(Period_Status!$B$2:$B$8,MATCH(C6,Period_Status!$A$2:$A$8,0))="ActualClosed",Cashflow!F6-I6,Cashflow!F6-(SUMIFS(tblSettlementSchedule[CashUSD],tblSettlementSchedule[Site],B6,tblSettlementSchedule[Period],C6,tblSettlementSchedule[EventType],"VendorSettlement",tblSettlementSchedule[PendingActualOrigin],1)+Assumptions!$K$9*(Operating_Costs!N6+Capex!D6)+(1-Assumptions!$K$9)*IF(INDEX(Period_Status!$B$2:$B$8,MATCH(C5,Period_Status!$A$2:$A$8,0))="Forecast",Operating_Costs!N5+Capex!D5,0)+IF(C6=EDATE(Settlement_Bridge!$C$2,1),MAX(0,SUMIFS(tblSettlementBridge[UnallocatedAPBookUSD],tblSettlementBridge[Site],B6)),0)))</f>
        <v>0</v>
      </c>
      <c r="T6" s="10">
        <f>IF(INDEX(Period_Status!$B$2:$B$8,MATCH(C6,Period_Status!$A$2:$A$8,0))="ActualClosed",Cashflow!G6-J6,Cashflow!G6-(SUMIFS(tblSettlementSchedule[FeeUSD],tblSettlementSchedule[Site],B6,tblSettlementSchedule[Period],C6,tblSettlementSchedule[EventType],"Collection",tblSettlementSchedule[PendingActualOrigin],1)+SUMIFS(tblSettlementSchedule[FeeUSD],tblSettlementSchedule[Site],B6,tblSettlementSchedule[Period],C6,tblSettlementSchedule[EventType],"VendorSettlement",tblSettlementSchedule[PendingActualOrigin],1)+(Assumptions!$K$8*Revenue!H6+(1-Assumptions!$K$8)*IF(INDEX(Period_Status!$B$2:$B$8,MATCH(C5,Period_Status!$A$2:$A$8,0))="Forecast",Revenue!H5,0)+IF(C6=EDATE(Settlement_Bridge!$C$2,1),MAX(0,SUMIFS(tblSettlementBridge[UnallocatedARBookUSD],tblSettlementBridge[Site],B6)),0))*0.0008+(Assumptions!$K$9*(Operating_Costs!N6+Capex!D6)+(1-Assumptions!$K$9)*IF(INDEX(Period_Status!$B$2:$B$8,MATCH(C5,Period_Status!$A$2:$A$8,0))="Forecast",Operating_Costs!N5+Capex!D5,0)+IF(C6=EDATE(Settlement_Bridge!$C$2,1),MAX(0,SUMIFS(tblSettlementBridge[UnallocatedAPBookUSD],tblSettlementBridge[Site],B6)),0))*0.00055))</f>
        <v>0</v>
      </c>
    </row>
    <row r="7" spans="1:20" x14ac:dyDescent="0.25">
      <c r="A7" s="2" t="s">
        <v>12438</v>
      </c>
      <c r="B7" s="2" t="s">
        <v>136</v>
      </c>
      <c r="C7" s="6">
        <v>46327</v>
      </c>
      <c r="D7" s="9">
        <v>0</v>
      </c>
      <c r="E7" s="9">
        <v>0</v>
      </c>
      <c r="F7" s="14">
        <v>0</v>
      </c>
      <c r="G7" s="9">
        <v>0</v>
      </c>
      <c r="H7" s="9">
        <v>0</v>
      </c>
      <c r="I7" s="9">
        <v>0</v>
      </c>
      <c r="J7" s="9">
        <v>0</v>
      </c>
      <c r="K7" s="12">
        <f>Operating_Costs!P7</f>
        <v>0</v>
      </c>
      <c r="L7" s="12">
        <f>Capex!G7</f>
        <v>0</v>
      </c>
      <c r="M7" s="17">
        <f>IF(INDEX(Period_Status!$B$2:$B$8,MATCH(C7,Period_Status!$A$2:$A$8,0))="ActualClosed",Gold_Stock!E7-F7,Forecast_Drivers!H7-Forecast_Drivers!D7*Forecast_Drivers!E7*Forecast_Drivers!F7*Forecast_Drivers!G7/31.1034768)</f>
        <v>0</v>
      </c>
      <c r="N7" s="12">
        <f>Revenue!J7</f>
        <v>0</v>
      </c>
      <c r="O7" s="19">
        <f>Gold_Stock!H7</f>
        <v>0</v>
      </c>
      <c r="P7" s="12">
        <f>Cashflow!O7</f>
        <v>0</v>
      </c>
      <c r="Q7" s="12">
        <f>0</f>
        <v>0</v>
      </c>
      <c r="R7" s="10" t="str">
        <f t="shared" si="0"/>
        <v>PASS</v>
      </c>
      <c r="S7" s="10">
        <f>IF(INDEX(Period_Status!$B$2:$B$8,MATCH(C7,Period_Status!$A$2:$A$8,0))="ActualClosed",Cashflow!F7-I7,Cashflow!F7-(SUMIFS(tblSettlementSchedule[CashUSD],tblSettlementSchedule[Site],B7,tblSettlementSchedule[Period],C7,tblSettlementSchedule[EventType],"VendorSettlement",tblSettlementSchedule[PendingActualOrigin],1)+Assumptions!$K$9*(Operating_Costs!N7+Capex!D7)+(1-Assumptions!$K$9)*IF(INDEX(Period_Status!$B$2:$B$8,MATCH(C6,Period_Status!$A$2:$A$8,0))="Forecast",Operating_Costs!N6+Capex!D6,0)+IF(C7=EDATE(Settlement_Bridge!$C$2,1),MAX(0,SUMIFS(tblSettlementBridge[UnallocatedAPBookUSD],tblSettlementBridge[Site],B7)),0)))</f>
        <v>0</v>
      </c>
      <c r="T7" s="10">
        <f>IF(INDEX(Period_Status!$B$2:$B$8,MATCH(C7,Period_Status!$A$2:$A$8,0))="ActualClosed",Cashflow!G7-J7,Cashflow!G7-(SUMIFS(tblSettlementSchedule[FeeUSD],tblSettlementSchedule[Site],B7,tblSettlementSchedule[Period],C7,tblSettlementSchedule[EventType],"Collection",tblSettlementSchedule[PendingActualOrigin],1)+SUMIFS(tblSettlementSchedule[FeeUSD],tblSettlementSchedule[Site],B7,tblSettlementSchedule[Period],C7,tblSettlementSchedule[EventType],"VendorSettlement",tblSettlementSchedule[PendingActualOrigin],1)+(Assumptions!$K$8*Revenue!H7+(1-Assumptions!$K$8)*IF(INDEX(Period_Status!$B$2:$B$8,MATCH(C6,Period_Status!$A$2:$A$8,0))="Forecast",Revenue!H6,0)+IF(C7=EDATE(Settlement_Bridge!$C$2,1),MAX(0,SUMIFS(tblSettlementBridge[UnallocatedARBookUSD],tblSettlementBridge[Site],B7)),0))*0.0008+(Assumptions!$K$9*(Operating_Costs!N7+Capex!D7)+(1-Assumptions!$K$9)*IF(INDEX(Period_Status!$B$2:$B$8,MATCH(C6,Period_Status!$A$2:$A$8,0))="Forecast",Operating_Costs!N6+Capex!D6,0)+IF(C7=EDATE(Settlement_Bridge!$C$2,1),MAX(0,SUMIFS(tblSettlementBridge[UnallocatedAPBookUSD],tblSettlementBridge[Site],B7)),0))*0.00055))</f>
        <v>0</v>
      </c>
    </row>
    <row r="8" spans="1:20" x14ac:dyDescent="0.25">
      <c r="A8" s="2" t="s">
        <v>12439</v>
      </c>
      <c r="B8" s="2" t="s">
        <v>136</v>
      </c>
      <c r="C8" s="6">
        <v>46357</v>
      </c>
      <c r="D8" s="9">
        <v>0</v>
      </c>
      <c r="E8" s="9">
        <v>0</v>
      </c>
      <c r="F8" s="14">
        <v>0</v>
      </c>
      <c r="G8" s="9">
        <v>0</v>
      </c>
      <c r="H8" s="9">
        <v>0</v>
      </c>
      <c r="I8" s="9">
        <v>0</v>
      </c>
      <c r="J8" s="9">
        <v>0</v>
      </c>
      <c r="K8" s="12">
        <f>Operating_Costs!P8</f>
        <v>0</v>
      </c>
      <c r="L8" s="12">
        <f>Capex!G8</f>
        <v>0</v>
      </c>
      <c r="M8" s="17">
        <f>IF(INDEX(Period_Status!$B$2:$B$8,MATCH(C8,Period_Status!$A$2:$A$8,0))="ActualClosed",Gold_Stock!E8-F8,Forecast_Drivers!H8-Forecast_Drivers!D8*Forecast_Drivers!E8*Forecast_Drivers!F8*Forecast_Drivers!G8/31.1034768)</f>
        <v>0</v>
      </c>
      <c r="N8" s="12">
        <f>Revenue!J8</f>
        <v>0</v>
      </c>
      <c r="O8" s="19">
        <f>Gold_Stock!H8</f>
        <v>0</v>
      </c>
      <c r="P8" s="12">
        <f>Cashflow!O8</f>
        <v>0</v>
      </c>
      <c r="Q8" s="12">
        <f>0</f>
        <v>0</v>
      </c>
      <c r="R8" s="10" t="str">
        <f t="shared" si="0"/>
        <v>PASS</v>
      </c>
      <c r="S8" s="10">
        <f>IF(INDEX(Period_Status!$B$2:$B$8,MATCH(C8,Period_Status!$A$2:$A$8,0))="ActualClosed",Cashflow!F8-I8,Cashflow!F8-(SUMIFS(tblSettlementSchedule[CashUSD],tblSettlementSchedule[Site],B8,tblSettlementSchedule[Period],C8,tblSettlementSchedule[EventType],"VendorSettlement",tblSettlementSchedule[PendingActualOrigin],1)+Assumptions!$K$9*(Operating_Costs!N8+Capex!D8)+(1-Assumptions!$K$9)*IF(INDEX(Period_Status!$B$2:$B$8,MATCH(C7,Period_Status!$A$2:$A$8,0))="Forecast",Operating_Costs!N7+Capex!D7,0)+IF(C8=EDATE(Settlement_Bridge!$C$2,1),MAX(0,SUMIFS(tblSettlementBridge[UnallocatedAPBookUSD],tblSettlementBridge[Site],B8)),0)))</f>
        <v>0</v>
      </c>
      <c r="T8" s="10">
        <f>IF(INDEX(Period_Status!$B$2:$B$8,MATCH(C8,Period_Status!$A$2:$A$8,0))="ActualClosed",Cashflow!G8-J8,Cashflow!G8-(SUMIFS(tblSettlementSchedule[FeeUSD],tblSettlementSchedule[Site],B8,tblSettlementSchedule[Period],C8,tblSettlementSchedule[EventType],"Collection",tblSettlementSchedule[PendingActualOrigin],1)+SUMIFS(tblSettlementSchedule[FeeUSD],tblSettlementSchedule[Site],B8,tblSettlementSchedule[Period],C8,tblSettlementSchedule[EventType],"VendorSettlement",tblSettlementSchedule[PendingActualOrigin],1)+(Assumptions!$K$8*Revenue!H8+(1-Assumptions!$K$8)*IF(INDEX(Period_Status!$B$2:$B$8,MATCH(C7,Period_Status!$A$2:$A$8,0))="Forecast",Revenue!H7,0)+IF(C8=EDATE(Settlement_Bridge!$C$2,1),MAX(0,SUMIFS(tblSettlementBridge[UnallocatedARBookUSD],tblSettlementBridge[Site],B8)),0))*0.0008+(Assumptions!$K$9*(Operating_Costs!N8+Capex!D8)+(1-Assumptions!$K$9)*IF(INDEX(Period_Status!$B$2:$B$8,MATCH(C7,Period_Status!$A$2:$A$8,0))="Forecast",Operating_Costs!N7+Capex!D7,0)+IF(C8=EDATE(Settlement_Bridge!$C$2,1),MAX(0,SUMIFS(tblSettlementBridge[UnallocatedAPBookUSD],tblSettlementBridge[Site],B8)),0))*0.00055))</f>
        <v>0</v>
      </c>
    </row>
    <row r="9" spans="1:20" x14ac:dyDescent="0.25">
      <c r="A9" s="2" t="s">
        <v>12440</v>
      </c>
      <c r="B9" s="2" t="s">
        <v>199</v>
      </c>
      <c r="C9" s="6">
        <v>46174</v>
      </c>
      <c r="D9" s="9">
        <v>2461091.5299999989</v>
      </c>
      <c r="E9" s="9">
        <v>0</v>
      </c>
      <c r="F9" s="14">
        <v>1570.035104229891</v>
      </c>
      <c r="G9" s="9">
        <v>4453289.62</v>
      </c>
      <c r="H9" s="9">
        <v>1799168.57</v>
      </c>
      <c r="I9" s="9">
        <v>496568.88999999978</v>
      </c>
      <c r="J9" s="9">
        <v>1749.7499999999991</v>
      </c>
      <c r="K9" s="12">
        <f>Operating_Costs!P9</f>
        <v>0</v>
      </c>
      <c r="L9" s="12">
        <f>Capex!G9</f>
        <v>0</v>
      </c>
      <c r="M9" s="17">
        <f>IF(INDEX(Period_Status!$B$2:$B$8,MATCH(C9,Period_Status!$A$2:$A$8,0))="ActualClosed",Gold_Stock!E9-F9,Forecast_Drivers!H9-Forecast_Drivers!D9*Forecast_Drivers!E9*Forecast_Drivers!F9*Forecast_Drivers!G9/31.1034768)</f>
        <v>2.2737367544323206E-13</v>
      </c>
      <c r="N9" s="12">
        <f>Revenue!J9</f>
        <v>0</v>
      </c>
      <c r="O9" s="19">
        <f>Gold_Stock!H9</f>
        <v>0</v>
      </c>
      <c r="P9" s="12">
        <f>Cashflow!O9</f>
        <v>0</v>
      </c>
      <c r="Q9" s="10">
        <f>Revenue!H9-SUMIFS(tblSnapshot[RevenueUSD],tblSnapshot[Site],B9,tblSnapshot[Period],C9)</f>
        <v>0</v>
      </c>
      <c r="R9" s="10" t="str">
        <f t="shared" si="0"/>
        <v>PASS</v>
      </c>
      <c r="S9" s="10">
        <f>IF(INDEX(Period_Status!$B$2:$B$8,MATCH(C9,Period_Status!$A$2:$A$8,0))="ActualClosed",Cashflow!F9-I9,Cashflow!F9-(SUMIFS(tblSettlementSchedule[CashUSD],tblSettlementSchedule[Site],B9,tblSettlementSchedule[Period],C9,tblSettlementSchedule[EventType],"VendorSettlement",tblSettlementSchedule[PendingActualOrigin],1)+Assumptions!$K$9*(Operating_Costs!N9+Capex!D9)+(1-Assumptions!$K$9)*0+IF(C9=EDATE(Settlement_Bridge!$C$2,1),MAX(0,SUMIFS(tblSettlementBridge[UnallocatedAPBookUSD],tblSettlementBridge[Site],B9)),0)))</f>
        <v>0</v>
      </c>
      <c r="T9" s="10">
        <f>IF(INDEX(Period_Status!$B$2:$B$8,MATCH(C9,Period_Status!$A$2:$A$8,0))="ActualClosed",Cashflow!G9-J9,Cashflow!G9-(SUMIFS(tblSettlementSchedule[FeeUSD],tblSettlementSchedule[Site],B9,tblSettlementSchedule[Period],C9,tblSettlementSchedule[EventType],"Collection",tblSettlementSchedule[PendingActualOrigin],1)+SUMIFS(tblSettlementSchedule[FeeUSD],tblSettlementSchedule[Site],B9,tblSettlementSchedule[Period],C9,tblSettlementSchedule[EventType],"VendorSettlement",tblSettlementSchedule[PendingActualOrigin],1)+(Assumptions!$K$8*Revenue!H9+(1-Assumptions!$K$8)*0+IF(C9=EDATE(Settlement_Bridge!$C$2,1),MAX(0,SUMIFS(tblSettlementBridge[UnallocatedARBookUSD],tblSettlementBridge[Site],B9)),0))*0.0008+(Assumptions!$K$9*(Operating_Costs!N9+Capex!D9)+(1-Assumptions!$K$9)*0+IF(C9=EDATE(Settlement_Bridge!$C$2,1),MAX(0,SUMIFS(tblSettlementBridge[UnallocatedAPBookUSD],tblSettlementBridge[Site],B9)),0))*0.00055))</f>
        <v>1.3642420526593924E-12</v>
      </c>
    </row>
    <row r="10" spans="1:20" x14ac:dyDescent="0.25">
      <c r="A10" s="2" t="s">
        <v>12441</v>
      </c>
      <c r="B10" s="2" t="s">
        <v>199</v>
      </c>
      <c r="C10" s="6">
        <v>46204</v>
      </c>
      <c r="D10" s="9">
        <v>2481002.0699999989</v>
      </c>
      <c r="E10" s="9">
        <v>0</v>
      </c>
      <c r="F10" s="14">
        <v>1617.1964997848729</v>
      </c>
      <c r="G10" s="9">
        <v>4641948.0299999993</v>
      </c>
      <c r="H10" s="9">
        <v>4254932.2699999996</v>
      </c>
      <c r="I10" s="9">
        <v>2358176.850000001</v>
      </c>
      <c r="J10" s="9">
        <v>4817.4900000000243</v>
      </c>
      <c r="K10" s="12">
        <f>Operating_Costs!P10</f>
        <v>0</v>
      </c>
      <c r="L10" s="12">
        <f>Capex!G10</f>
        <v>0</v>
      </c>
      <c r="M10" s="17">
        <f>IF(INDEX(Period_Status!$B$2:$B$8,MATCH(C10,Period_Status!$A$2:$A$8,0))="ActualClosed",Gold_Stock!E10-F10,Forecast_Drivers!H10-Forecast_Drivers!D10*Forecast_Drivers!E10*Forecast_Drivers!F10*Forecast_Drivers!G10/31.1034768)</f>
        <v>4.5474735088646412E-13</v>
      </c>
      <c r="N10" s="12">
        <f>Revenue!J10</f>
        <v>0</v>
      </c>
      <c r="O10" s="19">
        <f>Gold_Stock!H10</f>
        <v>4.5474735088646412E-13</v>
      </c>
      <c r="P10" s="12">
        <f>Cashflow!O10</f>
        <v>0</v>
      </c>
      <c r="Q10" s="10">
        <f>Revenue!H10-SUMIFS(tblSnapshot[RevenueUSD],tblSnapshot[Site],B10,tblSnapshot[Period],C10)</f>
        <v>0</v>
      </c>
      <c r="R10" s="10" t="str">
        <f t="shared" si="0"/>
        <v>PASS</v>
      </c>
      <c r="S10" s="10">
        <f>IF(INDEX(Period_Status!$B$2:$B$8,MATCH(C10,Period_Status!$A$2:$A$8,0))="ActualClosed",Cashflow!F10-I10,Cashflow!F10-(SUMIFS(tblSettlementSchedule[CashUSD],tblSettlementSchedule[Site],B10,tblSettlementSchedule[Period],C10,tblSettlementSchedule[EventType],"VendorSettlement",tblSettlementSchedule[PendingActualOrigin],1)+Assumptions!$K$9*(Operating_Costs!N10+Capex!D10)+(1-Assumptions!$K$9)*IF(INDEX(Period_Status!$B$2:$B$8,MATCH(C9,Period_Status!$A$2:$A$8,0))="Forecast",Operating_Costs!N9+Capex!D9,0)+IF(C10=EDATE(Settlement_Bridge!$C$2,1),MAX(0,SUMIFS(tblSettlementBridge[UnallocatedAPBookUSD],tblSettlementBridge[Site],B10)),0)))</f>
        <v>0</v>
      </c>
      <c r="T10" s="10">
        <f>IF(INDEX(Period_Status!$B$2:$B$8,MATCH(C10,Period_Status!$A$2:$A$8,0))="ActualClosed",Cashflow!G10-J10,Cashflow!G10-(SUMIFS(tblSettlementSchedule[FeeUSD],tblSettlementSchedule[Site],B10,tblSettlementSchedule[Period],C10,tblSettlementSchedule[EventType],"Collection",tblSettlementSchedule[PendingActualOrigin],1)+SUMIFS(tblSettlementSchedule[FeeUSD],tblSettlementSchedule[Site],B10,tblSettlementSchedule[Period],C10,tblSettlementSchedule[EventType],"VendorSettlement",tblSettlementSchedule[PendingActualOrigin],1)+(Assumptions!$K$8*Revenue!H10+(1-Assumptions!$K$8)*IF(INDEX(Period_Status!$B$2:$B$8,MATCH(C9,Period_Status!$A$2:$A$8,0))="Forecast",Revenue!H9,0)+IF(C10=EDATE(Settlement_Bridge!$C$2,1),MAX(0,SUMIFS(tblSettlementBridge[UnallocatedARBookUSD],tblSettlementBridge[Site],B10)),0))*0.0008+(Assumptions!$K$9*(Operating_Costs!N10+Capex!D10)+(1-Assumptions!$K$9)*IF(INDEX(Period_Status!$B$2:$B$8,MATCH(C9,Period_Status!$A$2:$A$8,0))="Forecast",Operating_Costs!N9+Capex!D9,0)+IF(C10=EDATE(Settlement_Bridge!$C$2,1),MAX(0,SUMIFS(tblSettlementBridge[UnallocatedAPBookUSD],tblSettlementBridge[Site],B10)),0))*0.00055))</f>
        <v>-2.8194335754960775E-11</v>
      </c>
    </row>
    <row r="11" spans="1:20" x14ac:dyDescent="0.25">
      <c r="A11" s="2" t="s">
        <v>12442</v>
      </c>
      <c r="B11" s="2" t="s">
        <v>199</v>
      </c>
      <c r="C11" s="6">
        <v>46235</v>
      </c>
      <c r="D11" s="9">
        <v>2490917.7499999991</v>
      </c>
      <c r="E11" s="9">
        <v>0</v>
      </c>
      <c r="F11" s="14">
        <v>1628.2195163660931</v>
      </c>
      <c r="G11" s="9">
        <v>4605717.28</v>
      </c>
      <c r="H11" s="9">
        <v>4615249.97</v>
      </c>
      <c r="I11" s="9">
        <v>2488338.16</v>
      </c>
      <c r="J11" s="9">
        <v>5186.4100000000199</v>
      </c>
      <c r="K11" s="12">
        <f>Operating_Costs!P11</f>
        <v>0</v>
      </c>
      <c r="L11" s="12">
        <f>Capex!G11</f>
        <v>0</v>
      </c>
      <c r="M11" s="17">
        <f>IF(INDEX(Period_Status!$B$2:$B$8,MATCH(C11,Period_Status!$A$2:$A$8,0))="ActualClosed",Gold_Stock!E11-F11,Forecast_Drivers!H11-Forecast_Drivers!D11*Forecast_Drivers!E11*Forecast_Drivers!F11*Forecast_Drivers!G11/31.1034768)</f>
        <v>0</v>
      </c>
      <c r="N11" s="12">
        <f>Revenue!J11</f>
        <v>66312.569548421539</v>
      </c>
      <c r="O11" s="19">
        <f>Gold_Stock!H11</f>
        <v>0</v>
      </c>
      <c r="P11" s="12">
        <f>Cashflow!O11</f>
        <v>696114.07504453696</v>
      </c>
      <c r="Q11" s="12">
        <f>0</f>
        <v>0</v>
      </c>
      <c r="R11" s="10" t="str">
        <f t="shared" si="0"/>
        <v>REVIEW</v>
      </c>
      <c r="S11" s="10">
        <f>IF(INDEX(Period_Status!$B$2:$B$8,MATCH(C11,Period_Status!$A$2:$A$8,0))="ActualClosed",Cashflow!F11-I11,Cashflow!F11-(SUMIFS(tblSettlementSchedule[CashUSD],tblSettlementSchedule[Site],B11,tblSettlementSchedule[Period],C11,tblSettlementSchedule[EventType],"VendorSettlement",tblSettlementSchedule[PendingActualOrigin],1)+Assumptions!$K$9*(Operating_Costs!N11+Capex!D11)+(1-Assumptions!$K$9)*IF(INDEX(Period_Status!$B$2:$B$8,MATCH(C10,Period_Status!$A$2:$A$8,0))="Forecast",Operating_Costs!N10+Capex!D10,0)+IF(C11=EDATE(Settlement_Bridge!$C$2,1),MAX(0,SUMIFS(tblSettlementBridge[UnallocatedAPBookUSD],tblSettlementBridge[Site],B11)),0)))</f>
        <v>0</v>
      </c>
      <c r="T11" s="10">
        <f>IF(INDEX(Period_Status!$B$2:$B$8,MATCH(C11,Period_Status!$A$2:$A$8,0))="ActualClosed",Cashflow!G11-J11,Cashflow!G11-(SUMIFS(tblSettlementSchedule[FeeUSD],tblSettlementSchedule[Site],B11,tblSettlementSchedule[Period],C11,tblSettlementSchedule[EventType],"Collection",tblSettlementSchedule[PendingActualOrigin],1)+SUMIFS(tblSettlementSchedule[FeeUSD],tblSettlementSchedule[Site],B11,tblSettlementSchedule[Period],C11,tblSettlementSchedule[EventType],"VendorSettlement",tblSettlementSchedule[PendingActualOrigin],1)+(Assumptions!$K$8*Revenue!H11+(1-Assumptions!$K$8)*IF(INDEX(Period_Status!$B$2:$B$8,MATCH(C10,Period_Status!$A$2:$A$8,0))="Forecast",Revenue!H10,0)+IF(C11=EDATE(Settlement_Bridge!$C$2,1),MAX(0,SUMIFS(tblSettlementBridge[UnallocatedARBookUSD],tblSettlementBridge[Site],B11)),0))*0.0008+(Assumptions!$K$9*(Operating_Costs!N11+Capex!D11)+(1-Assumptions!$K$9)*IF(INDEX(Period_Status!$B$2:$B$8,MATCH(C10,Period_Status!$A$2:$A$8,0))="Forecast",Operating_Costs!N10+Capex!D10,0)+IF(C11=EDATE(Settlement_Bridge!$C$2,1),MAX(0,SUMIFS(tblSettlementBridge[UnallocatedAPBookUSD],tblSettlementBridge[Site],B11)),0))*0.00055))</f>
        <v>0</v>
      </c>
    </row>
    <row r="12" spans="1:20" x14ac:dyDescent="0.25">
      <c r="A12" s="2" t="s">
        <v>12443</v>
      </c>
      <c r="B12" s="2" t="s">
        <v>199</v>
      </c>
      <c r="C12" s="6">
        <v>46266</v>
      </c>
      <c r="D12" s="9">
        <v>0</v>
      </c>
      <c r="E12" s="9">
        <v>0</v>
      </c>
      <c r="F12" s="14">
        <v>0</v>
      </c>
      <c r="G12" s="9">
        <v>0</v>
      </c>
      <c r="H12" s="9">
        <v>0</v>
      </c>
      <c r="I12" s="9">
        <v>0</v>
      </c>
      <c r="J12" s="9">
        <v>0</v>
      </c>
      <c r="K12" s="12">
        <f>Operating_Costs!P12</f>
        <v>0</v>
      </c>
      <c r="L12" s="12">
        <f>Capex!G12</f>
        <v>0</v>
      </c>
      <c r="M12" s="17">
        <f>IF(INDEX(Period_Status!$B$2:$B$8,MATCH(C12,Period_Status!$A$2:$A$8,0))="ActualClosed",Gold_Stock!E12-F12,Forecast_Drivers!H12-Forecast_Drivers!D12*Forecast_Drivers!E12*Forecast_Drivers!F12*Forecast_Drivers!G12/31.1034768)</f>
        <v>0</v>
      </c>
      <c r="N12" s="12">
        <f>Revenue!J12</f>
        <v>0</v>
      </c>
      <c r="O12" s="19">
        <f>Gold_Stock!H12</f>
        <v>0</v>
      </c>
      <c r="P12" s="12">
        <f>Cashflow!O12</f>
        <v>0</v>
      </c>
      <c r="Q12" s="12">
        <f>0</f>
        <v>0</v>
      </c>
      <c r="R12" s="10" t="str">
        <f t="shared" si="0"/>
        <v>PASS</v>
      </c>
      <c r="S12" s="10">
        <f>IF(INDEX(Period_Status!$B$2:$B$8,MATCH(C12,Period_Status!$A$2:$A$8,0))="ActualClosed",Cashflow!F12-I12,Cashflow!F12-(SUMIFS(tblSettlementSchedule[CashUSD],tblSettlementSchedule[Site],B12,tblSettlementSchedule[Period],C12,tblSettlementSchedule[EventType],"VendorSettlement",tblSettlementSchedule[PendingActualOrigin],1)+Assumptions!$K$9*(Operating_Costs!N12+Capex!D12)+(1-Assumptions!$K$9)*IF(INDEX(Period_Status!$B$2:$B$8,MATCH(C11,Period_Status!$A$2:$A$8,0))="Forecast",Operating_Costs!N11+Capex!D11,0)+IF(C12=EDATE(Settlement_Bridge!$C$2,1),MAX(0,SUMIFS(tblSettlementBridge[UnallocatedAPBookUSD],tblSettlementBridge[Site],B12)),0)))</f>
        <v>0</v>
      </c>
      <c r="T12" s="10">
        <f>IF(INDEX(Period_Status!$B$2:$B$8,MATCH(C12,Period_Status!$A$2:$A$8,0))="ActualClosed",Cashflow!G12-J12,Cashflow!G12-(SUMIFS(tblSettlementSchedule[FeeUSD],tblSettlementSchedule[Site],B12,tblSettlementSchedule[Period],C12,tblSettlementSchedule[EventType],"Collection",tblSettlementSchedule[PendingActualOrigin],1)+SUMIFS(tblSettlementSchedule[FeeUSD],tblSettlementSchedule[Site],B12,tblSettlementSchedule[Period],C12,tblSettlementSchedule[EventType],"VendorSettlement",tblSettlementSchedule[PendingActualOrigin],1)+(Assumptions!$K$8*Revenue!H12+(1-Assumptions!$K$8)*IF(INDEX(Period_Status!$B$2:$B$8,MATCH(C11,Period_Status!$A$2:$A$8,0))="Forecast",Revenue!H11,0)+IF(C12=EDATE(Settlement_Bridge!$C$2,1),MAX(0,SUMIFS(tblSettlementBridge[UnallocatedARBookUSD],tblSettlementBridge[Site],B12)),0))*0.0008+(Assumptions!$K$9*(Operating_Costs!N12+Capex!D12)+(1-Assumptions!$K$9)*IF(INDEX(Period_Status!$B$2:$B$8,MATCH(C11,Period_Status!$A$2:$A$8,0))="Forecast",Operating_Costs!N11+Capex!D11,0)+IF(C12=EDATE(Settlement_Bridge!$C$2,1),MAX(0,SUMIFS(tblSettlementBridge[UnallocatedAPBookUSD],tblSettlementBridge[Site],B12)),0))*0.00055))</f>
        <v>0</v>
      </c>
    </row>
    <row r="13" spans="1:20" x14ac:dyDescent="0.25">
      <c r="A13" s="2" t="s">
        <v>12444</v>
      </c>
      <c r="B13" s="2" t="s">
        <v>199</v>
      </c>
      <c r="C13" s="6">
        <v>46296</v>
      </c>
      <c r="D13" s="9">
        <v>0</v>
      </c>
      <c r="E13" s="9">
        <v>0</v>
      </c>
      <c r="F13" s="14">
        <v>0</v>
      </c>
      <c r="G13" s="9">
        <v>0</v>
      </c>
      <c r="H13" s="9">
        <v>0</v>
      </c>
      <c r="I13" s="9">
        <v>0</v>
      </c>
      <c r="J13" s="9">
        <v>0</v>
      </c>
      <c r="K13" s="12">
        <f>Operating_Costs!P13</f>
        <v>0</v>
      </c>
      <c r="L13" s="12">
        <f>Capex!G13</f>
        <v>0</v>
      </c>
      <c r="M13" s="17">
        <f>IF(INDEX(Period_Status!$B$2:$B$8,MATCH(C13,Period_Status!$A$2:$A$8,0))="ActualClosed",Gold_Stock!E13-F13,Forecast_Drivers!H13-Forecast_Drivers!D13*Forecast_Drivers!E13*Forecast_Drivers!F13*Forecast_Drivers!G13/31.1034768)</f>
        <v>-1945.6899263428968</v>
      </c>
      <c r="N13" s="12">
        <f>Revenue!J13</f>
        <v>1053.5618577535297</v>
      </c>
      <c r="O13" s="19">
        <f>Gold_Stock!H13</f>
        <v>-0.34656640057681898</v>
      </c>
      <c r="P13" s="12">
        <f>Cashflow!O13</f>
        <v>0</v>
      </c>
      <c r="Q13" s="12">
        <f>0</f>
        <v>0</v>
      </c>
      <c r="R13" s="10" t="str">
        <f t="shared" si="0"/>
        <v>REVIEW</v>
      </c>
      <c r="S13" s="10">
        <f>IF(INDEX(Period_Status!$B$2:$B$8,MATCH(C13,Period_Status!$A$2:$A$8,0))="ActualClosed",Cashflow!F13-I13,Cashflow!F13-(SUMIFS(tblSettlementSchedule[CashUSD],tblSettlementSchedule[Site],B13,tblSettlementSchedule[Period],C13,tblSettlementSchedule[EventType],"VendorSettlement",tblSettlementSchedule[PendingActualOrigin],1)+Assumptions!$K$9*(Operating_Costs!N13+Capex!D13)+(1-Assumptions!$K$9)*IF(INDEX(Period_Status!$B$2:$B$8,MATCH(C12,Period_Status!$A$2:$A$8,0))="Forecast",Operating_Costs!N12+Capex!D12,0)+IF(C13=EDATE(Settlement_Bridge!$C$2,1),MAX(0,SUMIFS(tblSettlementBridge[UnallocatedAPBookUSD],tblSettlementBridge[Site],B13)),0)))</f>
        <v>0</v>
      </c>
      <c r="T13" s="10">
        <f>IF(INDEX(Period_Status!$B$2:$B$8,MATCH(C13,Period_Status!$A$2:$A$8,0))="ActualClosed",Cashflow!G13-J13,Cashflow!G13-(SUMIFS(tblSettlementSchedule[FeeUSD],tblSettlementSchedule[Site],B13,tblSettlementSchedule[Period],C13,tblSettlementSchedule[EventType],"Collection",tblSettlementSchedule[PendingActualOrigin],1)+SUMIFS(tblSettlementSchedule[FeeUSD],tblSettlementSchedule[Site],B13,tblSettlementSchedule[Period],C13,tblSettlementSchedule[EventType],"VendorSettlement",tblSettlementSchedule[PendingActualOrigin],1)+(Assumptions!$K$8*Revenue!H13+(1-Assumptions!$K$8)*IF(INDEX(Period_Status!$B$2:$B$8,MATCH(C12,Period_Status!$A$2:$A$8,0))="Forecast",Revenue!H12,0)+IF(C13=EDATE(Settlement_Bridge!$C$2,1),MAX(0,SUMIFS(tblSettlementBridge[UnallocatedARBookUSD],tblSettlementBridge[Site],B13)),0))*0.0008+(Assumptions!$K$9*(Operating_Costs!N13+Capex!D13)+(1-Assumptions!$K$9)*IF(INDEX(Period_Status!$B$2:$B$8,MATCH(C12,Period_Status!$A$2:$A$8,0))="Forecast",Operating_Costs!N12+Capex!D12,0)+IF(C13=EDATE(Settlement_Bridge!$C$2,1),MAX(0,SUMIFS(tblSettlementBridge[UnallocatedAPBookUSD],tblSettlementBridge[Site],B13)),0))*0.00055))</f>
        <v>0</v>
      </c>
    </row>
    <row r="14" spans="1:20" x14ac:dyDescent="0.25">
      <c r="A14" s="2" t="s">
        <v>12445</v>
      </c>
      <c r="B14" s="2" t="s">
        <v>199</v>
      </c>
      <c r="C14" s="6">
        <v>46327</v>
      </c>
      <c r="D14" s="9">
        <v>0</v>
      </c>
      <c r="E14" s="9">
        <v>0</v>
      </c>
      <c r="F14" s="14">
        <v>0</v>
      </c>
      <c r="G14" s="9">
        <v>0</v>
      </c>
      <c r="H14" s="9">
        <v>0</v>
      </c>
      <c r="I14" s="9">
        <v>0</v>
      </c>
      <c r="J14" s="9">
        <v>0</v>
      </c>
      <c r="K14" s="12">
        <f>Operating_Costs!P14</f>
        <v>0</v>
      </c>
      <c r="L14" s="12">
        <f>Capex!G14</f>
        <v>0</v>
      </c>
      <c r="M14" s="17">
        <f>IF(INDEX(Period_Status!$B$2:$B$8,MATCH(C14,Period_Status!$A$2:$A$8,0))="ActualClosed",Gold_Stock!E14-F14,Forecast_Drivers!H14-Forecast_Drivers!D14*Forecast_Drivers!E14*Forecast_Drivers!F14*Forecast_Drivers!G14/31.1034768)</f>
        <v>0</v>
      </c>
      <c r="N14" s="12">
        <f>Revenue!J14</f>
        <v>0</v>
      </c>
      <c r="O14" s="19">
        <f>Gold_Stock!H14</f>
        <v>0</v>
      </c>
      <c r="P14" s="12">
        <f>Cashflow!O14</f>
        <v>0</v>
      </c>
      <c r="Q14" s="12">
        <f>0</f>
        <v>0</v>
      </c>
      <c r="R14" s="10" t="str">
        <f t="shared" si="0"/>
        <v>PASS</v>
      </c>
      <c r="S14" s="10">
        <f>IF(INDEX(Period_Status!$B$2:$B$8,MATCH(C14,Period_Status!$A$2:$A$8,0))="ActualClosed",Cashflow!F14-I14,Cashflow!F14-(SUMIFS(tblSettlementSchedule[CashUSD],tblSettlementSchedule[Site],B14,tblSettlementSchedule[Period],C14,tblSettlementSchedule[EventType],"VendorSettlement",tblSettlementSchedule[PendingActualOrigin],1)+Assumptions!$K$9*(Operating_Costs!N14+Capex!D14)+(1-Assumptions!$K$9)*IF(INDEX(Period_Status!$B$2:$B$8,MATCH(C13,Period_Status!$A$2:$A$8,0))="Forecast",Operating_Costs!N13+Capex!D13,0)+IF(C14=EDATE(Settlement_Bridge!$C$2,1),MAX(0,SUMIFS(tblSettlementBridge[UnallocatedAPBookUSD],tblSettlementBridge[Site],B14)),0)))</f>
        <v>0</v>
      </c>
      <c r="T14" s="10">
        <f>IF(INDEX(Period_Status!$B$2:$B$8,MATCH(C14,Period_Status!$A$2:$A$8,0))="ActualClosed",Cashflow!G14-J14,Cashflow!G14-(SUMIFS(tblSettlementSchedule[FeeUSD],tblSettlementSchedule[Site],B14,tblSettlementSchedule[Period],C14,tblSettlementSchedule[EventType],"Collection",tblSettlementSchedule[PendingActualOrigin],1)+SUMIFS(tblSettlementSchedule[FeeUSD],tblSettlementSchedule[Site],B14,tblSettlementSchedule[Period],C14,tblSettlementSchedule[EventType],"VendorSettlement",tblSettlementSchedule[PendingActualOrigin],1)+(Assumptions!$K$8*Revenue!H14+(1-Assumptions!$K$8)*IF(INDEX(Period_Status!$B$2:$B$8,MATCH(C13,Period_Status!$A$2:$A$8,0))="Forecast",Revenue!H13,0)+IF(C14=EDATE(Settlement_Bridge!$C$2,1),MAX(0,SUMIFS(tblSettlementBridge[UnallocatedARBookUSD],tblSettlementBridge[Site],B14)),0))*0.0008+(Assumptions!$K$9*(Operating_Costs!N14+Capex!D14)+(1-Assumptions!$K$9)*IF(INDEX(Period_Status!$B$2:$B$8,MATCH(C13,Period_Status!$A$2:$A$8,0))="Forecast",Operating_Costs!N13+Capex!D13,0)+IF(C14=EDATE(Settlement_Bridge!$C$2,1),MAX(0,SUMIFS(tblSettlementBridge[UnallocatedAPBookUSD],tblSettlementBridge[Site],B14)),0))*0.00055))</f>
        <v>0</v>
      </c>
    </row>
    <row r="15" spans="1:20" x14ac:dyDescent="0.25">
      <c r="A15" s="2" t="s">
        <v>12446</v>
      </c>
      <c r="B15" s="2" t="s">
        <v>199</v>
      </c>
      <c r="C15" s="6">
        <v>46357</v>
      </c>
      <c r="D15" s="9">
        <v>0</v>
      </c>
      <c r="E15" s="9">
        <v>0</v>
      </c>
      <c r="F15" s="14">
        <v>0</v>
      </c>
      <c r="G15" s="9">
        <v>0</v>
      </c>
      <c r="H15" s="9">
        <v>0</v>
      </c>
      <c r="I15" s="9">
        <v>0</v>
      </c>
      <c r="J15" s="9">
        <v>0</v>
      </c>
      <c r="K15" s="12">
        <f>Operating_Costs!P15</f>
        <v>0</v>
      </c>
      <c r="L15" s="12">
        <f>Capex!G15</f>
        <v>0</v>
      </c>
      <c r="M15" s="17">
        <f>IF(INDEX(Period_Status!$B$2:$B$8,MATCH(C15,Period_Status!$A$2:$A$8,0))="ActualClosed",Gold_Stock!E15-F15,Forecast_Drivers!H15-Forecast_Drivers!D15*Forecast_Drivers!E15*Forecast_Drivers!F15*Forecast_Drivers!G15/31.1034768)</f>
        <v>0</v>
      </c>
      <c r="N15" s="12">
        <f>Revenue!J15</f>
        <v>0</v>
      </c>
      <c r="O15" s="19">
        <f>Gold_Stock!H15</f>
        <v>0</v>
      </c>
      <c r="P15" s="12">
        <f>Cashflow!O15</f>
        <v>0</v>
      </c>
      <c r="Q15" s="12">
        <f>0</f>
        <v>0</v>
      </c>
      <c r="R15" s="10" t="str">
        <f t="shared" si="0"/>
        <v>PASS</v>
      </c>
      <c r="S15" s="10">
        <f>IF(INDEX(Period_Status!$B$2:$B$8,MATCH(C15,Period_Status!$A$2:$A$8,0))="ActualClosed",Cashflow!F15-I15,Cashflow!F15-(SUMIFS(tblSettlementSchedule[CashUSD],tblSettlementSchedule[Site],B15,tblSettlementSchedule[Period],C15,tblSettlementSchedule[EventType],"VendorSettlement",tblSettlementSchedule[PendingActualOrigin],1)+Assumptions!$K$9*(Operating_Costs!N15+Capex!D15)+(1-Assumptions!$K$9)*IF(INDEX(Period_Status!$B$2:$B$8,MATCH(C14,Period_Status!$A$2:$A$8,0))="Forecast",Operating_Costs!N14+Capex!D14,0)+IF(C15=EDATE(Settlement_Bridge!$C$2,1),MAX(0,SUMIFS(tblSettlementBridge[UnallocatedAPBookUSD],tblSettlementBridge[Site],B15)),0)))</f>
        <v>0</v>
      </c>
      <c r="T15" s="10">
        <f>IF(INDEX(Period_Status!$B$2:$B$8,MATCH(C15,Period_Status!$A$2:$A$8,0))="ActualClosed",Cashflow!G15-J15,Cashflow!G15-(SUMIFS(tblSettlementSchedule[FeeUSD],tblSettlementSchedule[Site],B15,tblSettlementSchedule[Period],C15,tblSettlementSchedule[EventType],"Collection",tblSettlementSchedule[PendingActualOrigin],1)+SUMIFS(tblSettlementSchedule[FeeUSD],tblSettlementSchedule[Site],B15,tblSettlementSchedule[Period],C15,tblSettlementSchedule[EventType],"VendorSettlement",tblSettlementSchedule[PendingActualOrigin],1)+(Assumptions!$K$8*Revenue!H15+(1-Assumptions!$K$8)*IF(INDEX(Period_Status!$B$2:$B$8,MATCH(C14,Period_Status!$A$2:$A$8,0))="Forecast",Revenue!H14,0)+IF(C15=EDATE(Settlement_Bridge!$C$2,1),MAX(0,SUMIFS(tblSettlementBridge[UnallocatedARBookUSD],tblSettlementBridge[Site],B15)),0))*0.0008+(Assumptions!$K$9*(Operating_Costs!N15+Capex!D15)+(1-Assumptions!$K$9)*IF(INDEX(Period_Status!$B$2:$B$8,MATCH(C14,Period_Status!$A$2:$A$8,0))="Forecast",Operating_Costs!N14+Capex!D14,0)+IF(C15=EDATE(Settlement_Bridge!$C$2,1),MAX(0,SUMIFS(tblSettlementBridge[UnallocatedAPBookUSD],tblSettlementBridge[Site],B15)),0))*0.00055))</f>
        <v>0</v>
      </c>
    </row>
    <row r="16" spans="1:20" x14ac:dyDescent="0.25">
      <c r="A16" s="2" t="s">
        <v>12447</v>
      </c>
      <c r="B16" s="2" t="s">
        <v>7433</v>
      </c>
      <c r="C16" s="6">
        <v>46174</v>
      </c>
      <c r="D16" s="9">
        <v>0</v>
      </c>
      <c r="E16" s="9">
        <v>3958141.629999999</v>
      </c>
      <c r="F16" s="14">
        <v>0</v>
      </c>
      <c r="G16" s="9">
        <v>0</v>
      </c>
      <c r="H16" s="9">
        <v>0</v>
      </c>
      <c r="I16" s="9">
        <v>817042.43</v>
      </c>
      <c r="J16" s="9">
        <v>516.31000000000063</v>
      </c>
      <c r="K16" s="12">
        <f>Operating_Costs!P16</f>
        <v>0</v>
      </c>
      <c r="L16" s="12">
        <f>Capex!G16</f>
        <v>0</v>
      </c>
      <c r="M16" s="17">
        <f>IF(INDEX(Period_Status!$B$2:$B$8,MATCH(C16,Period_Status!$A$2:$A$8,0))="ActualClosed",Gold_Stock!E16-F16,Forecast_Drivers!H16-Forecast_Drivers!D16*Forecast_Drivers!E16*Forecast_Drivers!F16*Forecast_Drivers!G16/31.1034768)</f>
        <v>0</v>
      </c>
      <c r="N16" s="12">
        <f>Revenue!J16</f>
        <v>0</v>
      </c>
      <c r="O16" s="19">
        <f>Gold_Stock!H16</f>
        <v>0</v>
      </c>
      <c r="P16" s="12">
        <f>Cashflow!O16</f>
        <v>0</v>
      </c>
      <c r="Q16" s="10">
        <f>Revenue!H16-SUMIFS(tblSnapshot[RevenueUSD],tblSnapshot[Site],B16,tblSnapshot[Period],C16)</f>
        <v>0</v>
      </c>
      <c r="R16" s="10" t="str">
        <f t="shared" si="0"/>
        <v>PASS</v>
      </c>
      <c r="S16" s="10">
        <f>IF(INDEX(Period_Status!$B$2:$B$8,MATCH(C16,Period_Status!$A$2:$A$8,0))="ActualClosed",Cashflow!F16-I16,Cashflow!F16-(SUMIFS(tblSettlementSchedule[CashUSD],tblSettlementSchedule[Site],B16,tblSettlementSchedule[Period],C16,tblSettlementSchedule[EventType],"VendorSettlement",tblSettlementSchedule[PendingActualOrigin],1)+Assumptions!$K$9*(Operating_Costs!N16+Capex!D16)+(1-Assumptions!$K$9)*0+IF(C16=EDATE(Settlement_Bridge!$C$2,1),MAX(0,SUMIFS(tblSettlementBridge[UnallocatedAPBookUSD],tblSettlementBridge[Site],B16)),0)))</f>
        <v>0</v>
      </c>
      <c r="T16" s="10">
        <f>IF(INDEX(Period_Status!$B$2:$B$8,MATCH(C16,Period_Status!$A$2:$A$8,0))="ActualClosed",Cashflow!G16-J16,Cashflow!G16-(SUMIFS(tblSettlementSchedule[FeeUSD],tblSettlementSchedule[Site],B16,tblSettlementSchedule[Period],C16,tblSettlementSchedule[EventType],"Collection",tblSettlementSchedule[PendingActualOrigin],1)+SUMIFS(tblSettlementSchedule[FeeUSD],tblSettlementSchedule[Site],B16,tblSettlementSchedule[Period],C16,tblSettlementSchedule[EventType],"VendorSettlement",tblSettlementSchedule[PendingActualOrigin],1)+(Assumptions!$K$8*Revenue!H16+(1-Assumptions!$K$8)*0+IF(C16=EDATE(Settlement_Bridge!$C$2,1),MAX(0,SUMIFS(tblSettlementBridge[UnallocatedARBookUSD],tblSettlementBridge[Site],B16)),0))*0.0008+(Assumptions!$K$9*(Operating_Costs!N16+Capex!D16)+(1-Assumptions!$K$9)*0+IF(C16=EDATE(Settlement_Bridge!$C$2,1),MAX(0,SUMIFS(tblSettlementBridge[UnallocatedAPBookUSD],tblSettlementBridge[Site],B16)),0))*0.00055))</f>
        <v>0</v>
      </c>
    </row>
    <row r="17" spans="1:20" x14ac:dyDescent="0.25">
      <c r="A17" s="2" t="s">
        <v>12448</v>
      </c>
      <c r="B17" s="2" t="s">
        <v>7433</v>
      </c>
      <c r="C17" s="6">
        <v>46204</v>
      </c>
      <c r="D17" s="9">
        <v>0</v>
      </c>
      <c r="E17" s="9">
        <v>3922798.52</v>
      </c>
      <c r="F17" s="14">
        <v>0</v>
      </c>
      <c r="G17" s="9">
        <v>0</v>
      </c>
      <c r="H17" s="9">
        <v>0</v>
      </c>
      <c r="I17" s="9">
        <v>3334748.0999999968</v>
      </c>
      <c r="J17" s="9">
        <v>1989.6799999999951</v>
      </c>
      <c r="K17" s="12">
        <f>Operating_Costs!P17</f>
        <v>0</v>
      </c>
      <c r="L17" s="12">
        <f>Capex!G17</f>
        <v>0</v>
      </c>
      <c r="M17" s="17">
        <f>IF(INDEX(Period_Status!$B$2:$B$8,MATCH(C17,Period_Status!$A$2:$A$8,0))="ActualClosed",Gold_Stock!E17-F17,Forecast_Drivers!H17-Forecast_Drivers!D17*Forecast_Drivers!E17*Forecast_Drivers!F17*Forecast_Drivers!G17/31.1034768)</f>
        <v>0</v>
      </c>
      <c r="N17" s="12">
        <f>Revenue!J17</f>
        <v>0</v>
      </c>
      <c r="O17" s="19">
        <f>Gold_Stock!H17</f>
        <v>0</v>
      </c>
      <c r="P17" s="12">
        <f>Cashflow!O17</f>
        <v>0</v>
      </c>
      <c r="Q17" s="10">
        <f>Revenue!H17-SUMIFS(tblSnapshot[RevenueUSD],tblSnapshot[Site],B17,tblSnapshot[Period],C17)</f>
        <v>0</v>
      </c>
      <c r="R17" s="10" t="str">
        <f t="shared" si="0"/>
        <v>PASS</v>
      </c>
      <c r="S17" s="10">
        <f>IF(INDEX(Period_Status!$B$2:$B$8,MATCH(C17,Period_Status!$A$2:$A$8,0))="ActualClosed",Cashflow!F17-I17,Cashflow!F17-(SUMIFS(tblSettlementSchedule[CashUSD],tblSettlementSchedule[Site],B17,tblSettlementSchedule[Period],C17,tblSettlementSchedule[EventType],"VendorSettlement",tblSettlementSchedule[PendingActualOrigin],1)+Assumptions!$K$9*(Operating_Costs!N17+Capex!D17)+(1-Assumptions!$K$9)*IF(INDEX(Period_Status!$B$2:$B$8,MATCH(C16,Period_Status!$A$2:$A$8,0))="Forecast",Operating_Costs!N16+Capex!D16,0)+IF(C17=EDATE(Settlement_Bridge!$C$2,1),MAX(0,SUMIFS(tblSettlementBridge[UnallocatedAPBookUSD],tblSettlementBridge[Site],B17)),0)))</f>
        <v>4.6566128730773926E-10</v>
      </c>
      <c r="T17" s="10">
        <f>IF(INDEX(Period_Status!$B$2:$B$8,MATCH(C17,Period_Status!$A$2:$A$8,0))="ActualClosed",Cashflow!G17-J17,Cashflow!G17-(SUMIFS(tblSettlementSchedule[FeeUSD],tblSettlementSchedule[Site],B17,tblSettlementSchedule[Period],C17,tblSettlementSchedule[EventType],"Collection",tblSettlementSchedule[PendingActualOrigin],1)+SUMIFS(tblSettlementSchedule[FeeUSD],tblSettlementSchedule[Site],B17,tblSettlementSchedule[Period],C17,tblSettlementSchedule[EventType],"VendorSettlement",tblSettlementSchedule[PendingActualOrigin],1)+(Assumptions!$K$8*Revenue!H17+(1-Assumptions!$K$8)*IF(INDEX(Period_Status!$B$2:$B$8,MATCH(C16,Period_Status!$A$2:$A$8,0))="Forecast",Revenue!H16,0)+IF(C17=EDATE(Settlement_Bridge!$C$2,1),MAX(0,SUMIFS(tblSettlementBridge[UnallocatedARBookUSD],tblSettlementBridge[Site],B17)),0))*0.0008+(Assumptions!$K$9*(Operating_Costs!N17+Capex!D17)+(1-Assumptions!$K$9)*IF(INDEX(Period_Status!$B$2:$B$8,MATCH(C16,Period_Status!$A$2:$A$8,0))="Forecast",Operating_Costs!N16+Capex!D16,0)+IF(C17=EDATE(Settlement_Bridge!$C$2,1),MAX(0,SUMIFS(tblSettlementBridge[UnallocatedAPBookUSD],tblSettlementBridge[Site],B17)),0))*0.00055))</f>
        <v>0</v>
      </c>
    </row>
    <row r="18" spans="1:20" x14ac:dyDescent="0.25">
      <c r="A18" s="2" t="s">
        <v>12449</v>
      </c>
      <c r="B18" s="2" t="s">
        <v>7433</v>
      </c>
      <c r="C18" s="6">
        <v>46235</v>
      </c>
      <c r="D18" s="9">
        <v>0</v>
      </c>
      <c r="E18" s="9">
        <v>3976019.2200000011</v>
      </c>
      <c r="F18" s="14">
        <v>0</v>
      </c>
      <c r="G18" s="9">
        <v>0</v>
      </c>
      <c r="H18" s="9">
        <v>0</v>
      </c>
      <c r="I18" s="9">
        <v>3872561.949999996</v>
      </c>
      <c r="J18" s="9">
        <v>2318.3699999999981</v>
      </c>
      <c r="K18" s="12">
        <f>Operating_Costs!P18</f>
        <v>4282850.07</v>
      </c>
      <c r="L18" s="12">
        <f>Capex!G18</f>
        <v>0</v>
      </c>
      <c r="M18" s="17">
        <f>IF(INDEX(Period_Status!$B$2:$B$8,MATCH(C18,Period_Status!$A$2:$A$8,0))="ActualClosed",Gold_Stock!E18-F18,Forecast_Drivers!H18-Forecast_Drivers!D18*Forecast_Drivers!E18*Forecast_Drivers!F18*Forecast_Drivers!G18/31.1034768)</f>
        <v>0</v>
      </c>
      <c r="N18" s="12">
        <f>Revenue!J18</f>
        <v>0</v>
      </c>
      <c r="O18" s="19">
        <f>Gold_Stock!H18</f>
        <v>0</v>
      </c>
      <c r="P18" s="12">
        <f>Cashflow!O18</f>
        <v>0</v>
      </c>
      <c r="Q18" s="12">
        <f>0</f>
        <v>0</v>
      </c>
      <c r="R18" s="10" t="str">
        <f t="shared" si="0"/>
        <v>REVIEW</v>
      </c>
      <c r="S18" s="10">
        <f>IF(INDEX(Period_Status!$B$2:$B$8,MATCH(C18,Period_Status!$A$2:$A$8,0))="ActualClosed",Cashflow!F18-I18,Cashflow!F18-(SUMIFS(tblSettlementSchedule[CashUSD],tblSettlementSchedule[Site],B18,tblSettlementSchedule[Period],C18,tblSettlementSchedule[EventType],"VendorSettlement",tblSettlementSchedule[PendingActualOrigin],1)+Assumptions!$K$9*(Operating_Costs!N18+Capex!D18)+(1-Assumptions!$K$9)*IF(INDEX(Period_Status!$B$2:$B$8,MATCH(C17,Period_Status!$A$2:$A$8,0))="Forecast",Operating_Costs!N17+Capex!D17,0)+IF(C18=EDATE(Settlement_Bridge!$C$2,1),MAX(0,SUMIFS(tblSettlementBridge[UnallocatedAPBookUSD],tblSettlementBridge[Site],B18)),0)))</f>
        <v>0</v>
      </c>
      <c r="T18" s="10">
        <f>IF(INDEX(Period_Status!$B$2:$B$8,MATCH(C18,Period_Status!$A$2:$A$8,0))="ActualClosed",Cashflow!G18-J18,Cashflow!G18-(SUMIFS(tblSettlementSchedule[FeeUSD],tblSettlementSchedule[Site],B18,tblSettlementSchedule[Period],C18,tblSettlementSchedule[EventType],"Collection",tblSettlementSchedule[PendingActualOrigin],1)+SUMIFS(tblSettlementSchedule[FeeUSD],tblSettlementSchedule[Site],B18,tblSettlementSchedule[Period],C18,tblSettlementSchedule[EventType],"VendorSettlement",tblSettlementSchedule[PendingActualOrigin],1)+(Assumptions!$K$8*Revenue!H18+(1-Assumptions!$K$8)*IF(INDEX(Period_Status!$B$2:$B$8,MATCH(C17,Period_Status!$A$2:$A$8,0))="Forecast",Revenue!H17,0)+IF(C18=EDATE(Settlement_Bridge!$C$2,1),MAX(0,SUMIFS(tblSettlementBridge[UnallocatedARBookUSD],tblSettlementBridge[Site],B18)),0))*0.0008+(Assumptions!$K$9*(Operating_Costs!N18+Capex!D18)+(1-Assumptions!$K$9)*IF(INDEX(Period_Status!$B$2:$B$8,MATCH(C17,Period_Status!$A$2:$A$8,0))="Forecast",Operating_Costs!N17+Capex!D17,0)+IF(C18=EDATE(Settlement_Bridge!$C$2,1),MAX(0,SUMIFS(tblSettlementBridge[UnallocatedAPBookUSD],tblSettlementBridge[Site],B18)),0))*0.00055))</f>
        <v>0</v>
      </c>
    </row>
    <row r="19" spans="1:20" x14ac:dyDescent="0.25">
      <c r="A19" s="2" t="s">
        <v>12450</v>
      </c>
      <c r="B19" s="2" t="s">
        <v>7433</v>
      </c>
      <c r="C19" s="6">
        <v>46266</v>
      </c>
      <c r="D19" s="9">
        <v>0</v>
      </c>
      <c r="E19" s="9">
        <v>0</v>
      </c>
      <c r="F19" s="14">
        <v>0</v>
      </c>
      <c r="G19" s="9">
        <v>0</v>
      </c>
      <c r="H19" s="9">
        <v>0</v>
      </c>
      <c r="I19" s="9">
        <v>0</v>
      </c>
      <c r="J19" s="9">
        <v>0</v>
      </c>
      <c r="K19" s="12">
        <f>Operating_Costs!P19</f>
        <v>0</v>
      </c>
      <c r="L19" s="12">
        <f>Capex!G19</f>
        <v>0</v>
      </c>
      <c r="M19" s="17">
        <f>IF(INDEX(Period_Status!$B$2:$B$8,MATCH(C19,Period_Status!$A$2:$A$8,0))="ActualClosed",Gold_Stock!E19-F19,Forecast_Drivers!H19-Forecast_Drivers!D19*Forecast_Drivers!E19*Forecast_Drivers!F19*Forecast_Drivers!G19/31.1034768)</f>
        <v>0</v>
      </c>
      <c r="N19" s="12">
        <f>Revenue!J19</f>
        <v>0</v>
      </c>
      <c r="O19" s="19">
        <f>Gold_Stock!H19</f>
        <v>0</v>
      </c>
      <c r="P19" s="12">
        <f>Cashflow!O19</f>
        <v>0</v>
      </c>
      <c r="Q19" s="12">
        <f>0</f>
        <v>0</v>
      </c>
      <c r="R19" s="10" t="str">
        <f t="shared" si="0"/>
        <v>PASS</v>
      </c>
      <c r="S19" s="10">
        <f>IF(INDEX(Period_Status!$B$2:$B$8,MATCH(C19,Period_Status!$A$2:$A$8,0))="ActualClosed",Cashflow!F19-I19,Cashflow!F19-(SUMIFS(tblSettlementSchedule[CashUSD],tblSettlementSchedule[Site],B19,tblSettlementSchedule[Period],C19,tblSettlementSchedule[EventType],"VendorSettlement",tblSettlementSchedule[PendingActualOrigin],1)+Assumptions!$K$9*(Operating_Costs!N19+Capex!D19)+(1-Assumptions!$K$9)*IF(INDEX(Period_Status!$B$2:$B$8,MATCH(C18,Period_Status!$A$2:$A$8,0))="Forecast",Operating_Costs!N18+Capex!D18,0)+IF(C19=EDATE(Settlement_Bridge!$C$2,1),MAX(0,SUMIFS(tblSettlementBridge[UnallocatedAPBookUSD],tblSettlementBridge[Site],B19)),0)))</f>
        <v>0</v>
      </c>
      <c r="T19" s="10">
        <f>IF(INDEX(Period_Status!$B$2:$B$8,MATCH(C19,Period_Status!$A$2:$A$8,0))="ActualClosed",Cashflow!G19-J19,Cashflow!G19-(SUMIFS(tblSettlementSchedule[FeeUSD],tblSettlementSchedule[Site],B19,tblSettlementSchedule[Period],C19,tblSettlementSchedule[EventType],"Collection",tblSettlementSchedule[PendingActualOrigin],1)+SUMIFS(tblSettlementSchedule[FeeUSD],tblSettlementSchedule[Site],B19,tblSettlementSchedule[Period],C19,tblSettlementSchedule[EventType],"VendorSettlement",tblSettlementSchedule[PendingActualOrigin],1)+(Assumptions!$K$8*Revenue!H19+(1-Assumptions!$K$8)*IF(INDEX(Period_Status!$B$2:$B$8,MATCH(C18,Period_Status!$A$2:$A$8,0))="Forecast",Revenue!H18,0)+IF(C19=EDATE(Settlement_Bridge!$C$2,1),MAX(0,SUMIFS(tblSettlementBridge[UnallocatedARBookUSD],tblSettlementBridge[Site],B19)),0))*0.0008+(Assumptions!$K$9*(Operating_Costs!N19+Capex!D19)+(1-Assumptions!$K$9)*IF(INDEX(Period_Status!$B$2:$B$8,MATCH(C18,Period_Status!$A$2:$A$8,0))="Forecast",Operating_Costs!N18+Capex!D18,0)+IF(C19=EDATE(Settlement_Bridge!$C$2,1),MAX(0,SUMIFS(tblSettlementBridge[UnallocatedAPBookUSD],tblSettlementBridge[Site],B19)),0))*0.00055))</f>
        <v>0</v>
      </c>
    </row>
    <row r="20" spans="1:20" x14ac:dyDescent="0.25">
      <c r="A20" s="2" t="s">
        <v>12451</v>
      </c>
      <c r="B20" s="2" t="s">
        <v>7433</v>
      </c>
      <c r="C20" s="6">
        <v>46296</v>
      </c>
      <c r="D20" s="9">
        <v>0</v>
      </c>
      <c r="E20" s="9">
        <v>0</v>
      </c>
      <c r="F20" s="14">
        <v>0</v>
      </c>
      <c r="G20" s="9">
        <v>0</v>
      </c>
      <c r="H20" s="9">
        <v>0</v>
      </c>
      <c r="I20" s="9">
        <v>0</v>
      </c>
      <c r="J20" s="9">
        <v>0</v>
      </c>
      <c r="K20" s="12">
        <f>Operating_Costs!P20</f>
        <v>0</v>
      </c>
      <c r="L20" s="12">
        <f>Capex!G20</f>
        <v>0</v>
      </c>
      <c r="M20" s="17">
        <f>IF(INDEX(Period_Status!$B$2:$B$8,MATCH(C20,Period_Status!$A$2:$A$8,0))="ActualClosed",Gold_Stock!E20-F20,Forecast_Drivers!H20-Forecast_Drivers!D20*Forecast_Drivers!E20*Forecast_Drivers!F20*Forecast_Drivers!G20/31.1034768)</f>
        <v>0</v>
      </c>
      <c r="N20" s="12">
        <f>Revenue!J20</f>
        <v>0</v>
      </c>
      <c r="O20" s="19">
        <f>Gold_Stock!H20</f>
        <v>0</v>
      </c>
      <c r="P20" s="12">
        <f>Cashflow!O20</f>
        <v>0</v>
      </c>
      <c r="Q20" s="12">
        <f>0</f>
        <v>0</v>
      </c>
      <c r="R20" s="10" t="str">
        <f t="shared" si="0"/>
        <v>PASS</v>
      </c>
      <c r="S20" s="10">
        <f>IF(INDEX(Period_Status!$B$2:$B$8,MATCH(C20,Period_Status!$A$2:$A$8,0))="ActualClosed",Cashflow!F20-I20,Cashflow!F20-(SUMIFS(tblSettlementSchedule[CashUSD],tblSettlementSchedule[Site],B20,tblSettlementSchedule[Period],C20,tblSettlementSchedule[EventType],"VendorSettlement",tblSettlementSchedule[PendingActualOrigin],1)+Assumptions!$K$9*(Operating_Costs!N20+Capex!D20)+(1-Assumptions!$K$9)*IF(INDEX(Period_Status!$B$2:$B$8,MATCH(C19,Period_Status!$A$2:$A$8,0))="Forecast",Operating_Costs!N19+Capex!D19,0)+IF(C20=EDATE(Settlement_Bridge!$C$2,1),MAX(0,SUMIFS(tblSettlementBridge[UnallocatedAPBookUSD],tblSettlementBridge[Site],B20)),0)))</f>
        <v>0</v>
      </c>
      <c r="T20" s="10">
        <f>IF(INDEX(Period_Status!$B$2:$B$8,MATCH(C20,Period_Status!$A$2:$A$8,0))="ActualClosed",Cashflow!G20-J20,Cashflow!G20-(SUMIFS(tblSettlementSchedule[FeeUSD],tblSettlementSchedule[Site],B20,tblSettlementSchedule[Period],C20,tblSettlementSchedule[EventType],"Collection",tblSettlementSchedule[PendingActualOrigin],1)+SUMIFS(tblSettlementSchedule[FeeUSD],tblSettlementSchedule[Site],B20,tblSettlementSchedule[Period],C20,tblSettlementSchedule[EventType],"VendorSettlement",tblSettlementSchedule[PendingActualOrigin],1)+(Assumptions!$K$8*Revenue!H20+(1-Assumptions!$K$8)*IF(INDEX(Period_Status!$B$2:$B$8,MATCH(C19,Period_Status!$A$2:$A$8,0))="Forecast",Revenue!H19,0)+IF(C20=EDATE(Settlement_Bridge!$C$2,1),MAX(0,SUMIFS(tblSettlementBridge[UnallocatedARBookUSD],tblSettlementBridge[Site],B20)),0))*0.0008+(Assumptions!$K$9*(Operating_Costs!N20+Capex!D20)+(1-Assumptions!$K$9)*IF(INDEX(Period_Status!$B$2:$B$8,MATCH(C19,Period_Status!$A$2:$A$8,0))="Forecast",Operating_Costs!N19+Capex!D19,0)+IF(C20=EDATE(Settlement_Bridge!$C$2,1),MAX(0,SUMIFS(tblSettlementBridge[UnallocatedAPBookUSD],tblSettlementBridge[Site],B20)),0))*0.00055))</f>
        <v>0</v>
      </c>
    </row>
    <row r="21" spans="1:20" x14ac:dyDescent="0.25">
      <c r="A21" s="2" t="s">
        <v>12452</v>
      </c>
      <c r="B21" s="2" t="s">
        <v>7433</v>
      </c>
      <c r="C21" s="6">
        <v>46327</v>
      </c>
      <c r="D21" s="9">
        <v>0</v>
      </c>
      <c r="E21" s="9">
        <v>0</v>
      </c>
      <c r="F21" s="14">
        <v>0</v>
      </c>
      <c r="G21" s="9">
        <v>0</v>
      </c>
      <c r="H21" s="9">
        <v>0</v>
      </c>
      <c r="I21" s="9">
        <v>0</v>
      </c>
      <c r="J21" s="9">
        <v>0</v>
      </c>
      <c r="K21" s="12">
        <f>Operating_Costs!P21</f>
        <v>0</v>
      </c>
      <c r="L21" s="12">
        <f>Capex!G21</f>
        <v>0</v>
      </c>
      <c r="M21" s="17">
        <f>IF(INDEX(Period_Status!$B$2:$B$8,MATCH(C21,Period_Status!$A$2:$A$8,0))="ActualClosed",Gold_Stock!E21-F21,Forecast_Drivers!H21-Forecast_Drivers!D21*Forecast_Drivers!E21*Forecast_Drivers!F21*Forecast_Drivers!G21/31.1034768)</f>
        <v>0</v>
      </c>
      <c r="N21" s="12">
        <f>Revenue!J21</f>
        <v>0</v>
      </c>
      <c r="O21" s="19">
        <f>Gold_Stock!H21</f>
        <v>0</v>
      </c>
      <c r="P21" s="12">
        <f>Cashflow!O21</f>
        <v>0</v>
      </c>
      <c r="Q21" s="12">
        <f>0</f>
        <v>0</v>
      </c>
      <c r="R21" s="10" t="str">
        <f t="shared" si="0"/>
        <v>PASS</v>
      </c>
      <c r="S21" s="10">
        <f>IF(INDEX(Period_Status!$B$2:$B$8,MATCH(C21,Period_Status!$A$2:$A$8,0))="ActualClosed",Cashflow!F21-I21,Cashflow!F21-(SUMIFS(tblSettlementSchedule[CashUSD],tblSettlementSchedule[Site],B21,tblSettlementSchedule[Period],C21,tblSettlementSchedule[EventType],"VendorSettlement",tblSettlementSchedule[PendingActualOrigin],1)+Assumptions!$K$9*(Operating_Costs!N21+Capex!D21)+(1-Assumptions!$K$9)*IF(INDEX(Period_Status!$B$2:$B$8,MATCH(C20,Period_Status!$A$2:$A$8,0))="Forecast",Operating_Costs!N20+Capex!D20,0)+IF(C21=EDATE(Settlement_Bridge!$C$2,1),MAX(0,SUMIFS(tblSettlementBridge[UnallocatedAPBookUSD],tblSettlementBridge[Site],B21)),0)))</f>
        <v>0</v>
      </c>
      <c r="T21" s="10">
        <f>IF(INDEX(Period_Status!$B$2:$B$8,MATCH(C21,Period_Status!$A$2:$A$8,0))="ActualClosed",Cashflow!G21-J21,Cashflow!G21-(SUMIFS(tblSettlementSchedule[FeeUSD],tblSettlementSchedule[Site],B21,tblSettlementSchedule[Period],C21,tblSettlementSchedule[EventType],"Collection",tblSettlementSchedule[PendingActualOrigin],1)+SUMIFS(tblSettlementSchedule[FeeUSD],tblSettlementSchedule[Site],B21,tblSettlementSchedule[Period],C21,tblSettlementSchedule[EventType],"VendorSettlement",tblSettlementSchedule[PendingActualOrigin],1)+(Assumptions!$K$8*Revenue!H21+(1-Assumptions!$K$8)*IF(INDEX(Period_Status!$B$2:$B$8,MATCH(C20,Period_Status!$A$2:$A$8,0))="Forecast",Revenue!H20,0)+IF(C21=EDATE(Settlement_Bridge!$C$2,1),MAX(0,SUMIFS(tblSettlementBridge[UnallocatedARBookUSD],tblSettlementBridge[Site],B21)),0))*0.0008+(Assumptions!$K$9*(Operating_Costs!N21+Capex!D21)+(1-Assumptions!$K$9)*IF(INDEX(Period_Status!$B$2:$B$8,MATCH(C20,Period_Status!$A$2:$A$8,0))="Forecast",Operating_Costs!N20+Capex!D20,0)+IF(C21=EDATE(Settlement_Bridge!$C$2,1),MAX(0,SUMIFS(tblSettlementBridge[UnallocatedAPBookUSD],tblSettlementBridge[Site],B21)),0))*0.00055))</f>
        <v>0</v>
      </c>
    </row>
    <row r="22" spans="1:20" x14ac:dyDescent="0.25">
      <c r="A22" s="2" t="s">
        <v>12453</v>
      </c>
      <c r="B22" s="2" t="s">
        <v>7433</v>
      </c>
      <c r="C22" s="6">
        <v>46357</v>
      </c>
      <c r="D22" s="9">
        <v>0</v>
      </c>
      <c r="E22" s="9">
        <v>0</v>
      </c>
      <c r="F22" s="14">
        <v>0</v>
      </c>
      <c r="G22" s="9">
        <v>0</v>
      </c>
      <c r="H22" s="9">
        <v>0</v>
      </c>
      <c r="I22" s="9">
        <v>0</v>
      </c>
      <c r="J22" s="9">
        <v>0</v>
      </c>
      <c r="K22" s="12">
        <f>Operating_Costs!P22</f>
        <v>0</v>
      </c>
      <c r="L22" s="12">
        <f>Capex!G22</f>
        <v>0</v>
      </c>
      <c r="M22" s="17">
        <f>IF(INDEX(Period_Status!$B$2:$B$8,MATCH(C22,Period_Status!$A$2:$A$8,0))="ActualClosed",Gold_Stock!E22-F22,Forecast_Drivers!H22-Forecast_Drivers!D22*Forecast_Drivers!E22*Forecast_Drivers!F22*Forecast_Drivers!G22/31.1034768)</f>
        <v>0</v>
      </c>
      <c r="N22" s="12">
        <f>Revenue!J22</f>
        <v>0</v>
      </c>
      <c r="O22" s="19">
        <f>Gold_Stock!H22</f>
        <v>0</v>
      </c>
      <c r="P22" s="12">
        <f>Cashflow!O22</f>
        <v>0</v>
      </c>
      <c r="Q22" s="12">
        <f>0</f>
        <v>0</v>
      </c>
      <c r="R22" s="10" t="str">
        <f t="shared" si="0"/>
        <v>PASS</v>
      </c>
      <c r="S22" s="10">
        <f>IF(INDEX(Period_Status!$B$2:$B$8,MATCH(C22,Period_Status!$A$2:$A$8,0))="ActualClosed",Cashflow!F22-I22,Cashflow!F22-(SUMIFS(tblSettlementSchedule[CashUSD],tblSettlementSchedule[Site],B22,tblSettlementSchedule[Period],C22,tblSettlementSchedule[EventType],"VendorSettlement",tblSettlementSchedule[PendingActualOrigin],1)+Assumptions!$K$9*(Operating_Costs!N22+Capex!D22)+(1-Assumptions!$K$9)*IF(INDEX(Period_Status!$B$2:$B$8,MATCH(C21,Period_Status!$A$2:$A$8,0))="Forecast",Operating_Costs!N21+Capex!D21,0)+IF(C22=EDATE(Settlement_Bridge!$C$2,1),MAX(0,SUMIFS(tblSettlementBridge[UnallocatedAPBookUSD],tblSettlementBridge[Site],B22)),0)))</f>
        <v>0</v>
      </c>
      <c r="T22" s="10">
        <f>IF(INDEX(Period_Status!$B$2:$B$8,MATCH(C22,Period_Status!$A$2:$A$8,0))="ActualClosed",Cashflow!G22-J22,Cashflow!G22-(SUMIFS(tblSettlementSchedule[FeeUSD],tblSettlementSchedule[Site],B22,tblSettlementSchedule[Period],C22,tblSettlementSchedule[EventType],"Collection",tblSettlementSchedule[PendingActualOrigin],1)+SUMIFS(tblSettlementSchedule[FeeUSD],tblSettlementSchedule[Site],B22,tblSettlementSchedule[Period],C22,tblSettlementSchedule[EventType],"VendorSettlement",tblSettlementSchedule[PendingActualOrigin],1)+(Assumptions!$K$8*Revenue!H22+(1-Assumptions!$K$8)*IF(INDEX(Period_Status!$B$2:$B$8,MATCH(C21,Period_Status!$A$2:$A$8,0))="Forecast",Revenue!H21,0)+IF(C22=EDATE(Settlement_Bridge!$C$2,1),MAX(0,SUMIFS(tblSettlementBridge[UnallocatedARBookUSD],tblSettlementBridge[Site],B22)),0))*0.0008+(Assumptions!$K$9*(Operating_Costs!N22+Capex!D22)+(1-Assumptions!$K$9)*IF(INDEX(Period_Status!$B$2:$B$8,MATCH(C21,Period_Status!$A$2:$A$8,0))="Forecast",Operating_Costs!N21+Capex!D21,0)+IF(C22=EDATE(Settlement_Bridge!$C$2,1),MAX(0,SUMIFS(tblSettlementBridge[UnallocatedAPBookUSD],tblSettlementBridge[Site],B22)),0))*0.00055))</f>
        <v>0</v>
      </c>
    </row>
    <row r="25" spans="1:20" x14ac:dyDescent="0.25">
      <c r="A25" t="s">
        <v>12527</v>
      </c>
      <c r="B25">
        <f>Management_View!B26-SUM(Revenue!H2:H22)</f>
        <v>-16031842.401052728</v>
      </c>
      <c r="C25" t="str">
        <f>IF(ABS(B25)&lt;0.02,"PASS","REVIEW")</f>
        <v>REVIEW</v>
      </c>
    </row>
    <row r="26" spans="1:20" x14ac:dyDescent="0.25">
      <c r="A26" t="s">
        <v>12528</v>
      </c>
      <c r="B26">
        <f>COUNTIF(R2:R22,"REVIEW")</f>
        <v>5</v>
      </c>
      <c r="C26" t="str">
        <f>IF(B26=0,"PASS","REVIEW")</f>
        <v>REVIEW</v>
      </c>
    </row>
    <row r="27" spans="1:20" x14ac:dyDescent="0.25">
      <c r="A27" t="s">
        <v>12529</v>
      </c>
      <c r="B27">
        <f>COUNTIF(Settlement_Bridge!J2:J4,"REVIEW*")</f>
        <v>0</v>
      </c>
      <c r="C27" t="str">
        <f>IF(B27=0,"PASS","REVIEW")</f>
        <v>PASS</v>
      </c>
    </row>
  </sheetData>
  <conditionalFormatting sqref="K2:Q22">
    <cfRule type="cellIs" dxfId="0" priority="1" operator="notBetween">
      <formula>-0.02</formula>
      <formula>0.02</formula>
    </cfRule>
  </conditionalFormatting>
  <pageMargins left="0.75" right="0.75" top="1" bottom="1" header="0.5" footer="0.5"/>
  <pageSetup paperSize="8" fitToHeight="0"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F86"/>
    <pageSetUpPr fitToPage="1"/>
  </sheetPr>
  <dimension ref="A1:D10"/>
  <sheetViews>
    <sheetView showGridLines="0" zoomScale="85" workbookViewId="0">
      <pane ySplit="1" topLeftCell="A2" activePane="bottomLeft" state="frozen"/>
      <selection pane="bottomLeft"/>
    </sheetView>
  </sheetViews>
  <sheetFormatPr defaultRowHeight="15" x14ac:dyDescent="0.25"/>
  <cols>
    <col min="1" max="3" width="16" customWidth="1"/>
    <col min="4" max="4" width="75" customWidth="1"/>
  </cols>
  <sheetData>
    <row r="1" spans="1:4" ht="32.1" customHeight="1" x14ac:dyDescent="0.25">
      <c r="A1" s="1" t="s">
        <v>12530</v>
      </c>
      <c r="B1" s="1" t="s">
        <v>12531</v>
      </c>
      <c r="C1" s="1" t="s">
        <v>12532</v>
      </c>
      <c r="D1" s="1" t="s">
        <v>1</v>
      </c>
    </row>
    <row r="2" spans="1:4" x14ac:dyDescent="0.25">
      <c r="A2" s="2" t="s">
        <v>12533</v>
      </c>
      <c r="B2" s="2" t="s">
        <v>12534</v>
      </c>
      <c r="C2" s="9">
        <v>3000</v>
      </c>
      <c r="D2" s="2" t="s">
        <v>12535</v>
      </c>
    </row>
    <row r="3" spans="1:4" x14ac:dyDescent="0.25">
      <c r="A3" s="2" t="s">
        <v>12536</v>
      </c>
      <c r="B3" s="2" t="s">
        <v>12537</v>
      </c>
      <c r="C3" s="9">
        <v>3</v>
      </c>
      <c r="D3" s="2" t="s">
        <v>18298</v>
      </c>
    </row>
    <row r="4" spans="1:4" x14ac:dyDescent="0.25">
      <c r="A4" s="2" t="s">
        <v>12538</v>
      </c>
      <c r="B4" s="2" t="s">
        <v>12539</v>
      </c>
      <c r="C4" s="9">
        <v>90</v>
      </c>
      <c r="D4" s="2" t="s">
        <v>12540</v>
      </c>
    </row>
    <row r="5" spans="1:4" x14ac:dyDescent="0.25">
      <c r="A5" s="2" t="s">
        <v>12541</v>
      </c>
      <c r="B5" s="2" t="s">
        <v>12542</v>
      </c>
      <c r="C5" s="9">
        <v>184</v>
      </c>
      <c r="D5" s="2" t="s">
        <v>18299</v>
      </c>
    </row>
    <row r="6" spans="1:4" x14ac:dyDescent="0.25">
      <c r="A6" s="2" t="s">
        <v>72</v>
      </c>
      <c r="B6" s="2" t="s">
        <v>12543</v>
      </c>
      <c r="C6" s="9">
        <v>9</v>
      </c>
      <c r="D6" s="2" t="s">
        <v>18300</v>
      </c>
    </row>
    <row r="7" spans="1:4" x14ac:dyDescent="0.25">
      <c r="A7" s="2" t="s">
        <v>12544</v>
      </c>
      <c r="B7" s="2" t="s">
        <v>12545</v>
      </c>
      <c r="C7" s="9">
        <v>90</v>
      </c>
      <c r="D7" s="4" t="s">
        <v>18301</v>
      </c>
    </row>
    <row r="8" spans="1:4" x14ac:dyDescent="0.25">
      <c r="A8" s="2" t="s">
        <v>12546</v>
      </c>
      <c r="B8" s="2" t="s">
        <v>12547</v>
      </c>
      <c r="C8" s="9">
        <v>24</v>
      </c>
      <c r="D8" s="2" t="s">
        <v>18302</v>
      </c>
    </row>
    <row r="9" spans="1:4" x14ac:dyDescent="0.25">
      <c r="A9" s="2" t="s">
        <v>12548</v>
      </c>
      <c r="B9" s="2" t="s">
        <v>12549</v>
      </c>
      <c r="C9" s="9">
        <v>4615</v>
      </c>
      <c r="D9" s="2" t="s">
        <v>18303</v>
      </c>
    </row>
    <row r="10" spans="1:4" x14ac:dyDescent="0.25">
      <c r="A10" s="2" t="s">
        <v>12550</v>
      </c>
      <c r="B10" s="2" t="s">
        <v>12551</v>
      </c>
      <c r="C10" s="9">
        <v>1001</v>
      </c>
      <c r="D10" s="2" t="s">
        <v>18304</v>
      </c>
    </row>
  </sheetData>
  <pageMargins left="0.75" right="0.75" top="1" bottom="1" header="0.5" footer="0.5"/>
  <pageSetup paperSize="8"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F86"/>
    <pageSetUpPr fitToPage="1"/>
  </sheetPr>
  <dimension ref="A1:E2"/>
  <sheetViews>
    <sheetView showGridLines="0" zoomScale="85" workbookViewId="0">
      <pane ySplit="1" topLeftCell="A2" activePane="bottomLeft" state="frozen"/>
      <selection pane="bottomLeft"/>
    </sheetView>
  </sheetViews>
  <sheetFormatPr defaultRowHeight="15" x14ac:dyDescent="0.25"/>
  <cols>
    <col min="1" max="1" width="28" customWidth="1"/>
    <col min="2" max="4" width="16" customWidth="1"/>
    <col min="5" max="5" width="75" customWidth="1"/>
  </cols>
  <sheetData>
    <row r="1" spans="1:5" ht="32.1" customHeight="1" x14ac:dyDescent="0.25">
      <c r="A1" s="1" t="s">
        <v>12552</v>
      </c>
      <c r="B1" s="1" t="s">
        <v>12553</v>
      </c>
      <c r="C1" s="1" t="s">
        <v>12554</v>
      </c>
      <c r="D1" s="1" t="s">
        <v>115</v>
      </c>
      <c r="E1" s="1" t="s">
        <v>1</v>
      </c>
    </row>
    <row r="2" spans="1:5" x14ac:dyDescent="0.25">
      <c r="A2" s="2" t="s">
        <v>12555</v>
      </c>
      <c r="B2" s="8">
        <v>46275</v>
      </c>
      <c r="C2" s="2" t="s">
        <v>12556</v>
      </c>
      <c r="D2" s="2" t="s">
        <v>118</v>
      </c>
      <c r="E2" s="4" t="s">
        <v>12557</v>
      </c>
    </row>
  </sheetData>
  <pageMargins left="0.75" right="0.75" top="1" bottom="1" header="0.5" footer="0.5"/>
  <pageSetup paperSize="8" fitToHeight="0"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F86"/>
    <pageSetUpPr fitToPage="1"/>
  </sheetPr>
  <dimension ref="A1:C12"/>
  <sheetViews>
    <sheetView showGridLines="0" zoomScale="85" workbookViewId="0">
      <pane ySplit="1" topLeftCell="A2" activePane="bottomLeft" state="frozen"/>
      <selection pane="bottomLeft"/>
    </sheetView>
  </sheetViews>
  <sheetFormatPr defaultRowHeight="15" x14ac:dyDescent="0.25"/>
  <cols>
    <col min="1" max="2" width="16" customWidth="1"/>
    <col min="3" max="3" width="75" customWidth="1"/>
  </cols>
  <sheetData>
    <row r="1" spans="1:3" ht="32.1" customHeight="1" x14ac:dyDescent="0.25">
      <c r="A1" s="1" t="s">
        <v>12558</v>
      </c>
      <c r="B1" s="1" t="s">
        <v>12559</v>
      </c>
      <c r="C1" s="1" t="s">
        <v>12560</v>
      </c>
    </row>
    <row r="2" spans="1:3" ht="27" x14ac:dyDescent="0.25">
      <c r="A2" s="2" t="s">
        <v>12561</v>
      </c>
      <c r="B2" s="2" t="s">
        <v>12562</v>
      </c>
      <c r="C2" s="4" t="s">
        <v>12563</v>
      </c>
    </row>
    <row r="3" spans="1:3" x14ac:dyDescent="0.25">
      <c r="A3" s="2" t="s">
        <v>61</v>
      </c>
      <c r="B3" s="2" t="s">
        <v>12564</v>
      </c>
      <c r="C3" s="4" t="s">
        <v>12565</v>
      </c>
    </row>
    <row r="4" spans="1:3" ht="27" x14ac:dyDescent="0.25">
      <c r="A4" s="2" t="s">
        <v>12566</v>
      </c>
      <c r="B4" s="2" t="s">
        <v>12567</v>
      </c>
      <c r="C4" s="4" t="s">
        <v>12568</v>
      </c>
    </row>
    <row r="5" spans="1:3" ht="27" x14ac:dyDescent="0.25">
      <c r="A5" s="2" t="s">
        <v>12569</v>
      </c>
      <c r="B5" s="2" t="s">
        <v>12570</v>
      </c>
      <c r="C5" s="4" t="s">
        <v>12571</v>
      </c>
    </row>
    <row r="6" spans="1:3" x14ac:dyDescent="0.25">
      <c r="A6" s="2" t="s">
        <v>132</v>
      </c>
      <c r="B6" s="2" t="s">
        <v>12567</v>
      </c>
      <c r="C6" s="4" t="s">
        <v>12572</v>
      </c>
    </row>
    <row r="7" spans="1:3" ht="27" x14ac:dyDescent="0.25">
      <c r="A7" s="2" t="s">
        <v>12573</v>
      </c>
      <c r="B7" s="2" t="s">
        <v>12574</v>
      </c>
      <c r="C7" s="4" t="s">
        <v>12575</v>
      </c>
    </row>
    <row r="8" spans="1:3" ht="40.5" x14ac:dyDescent="0.25">
      <c r="A8" s="2" t="s">
        <v>133</v>
      </c>
      <c r="B8" s="2" t="s">
        <v>12576</v>
      </c>
      <c r="C8" s="4" t="s">
        <v>12577</v>
      </c>
    </row>
    <row r="9" spans="1:3" x14ac:dyDescent="0.25">
      <c r="A9" s="2" t="s">
        <v>64</v>
      </c>
      <c r="B9" s="2" t="s">
        <v>12578</v>
      </c>
      <c r="C9" s="2" t="s">
        <v>12579</v>
      </c>
    </row>
    <row r="10" spans="1:3" x14ac:dyDescent="0.25">
      <c r="A10" s="2" t="s">
        <v>12418</v>
      </c>
      <c r="B10" s="2" t="s">
        <v>12580</v>
      </c>
      <c r="C10" s="4" t="s">
        <v>12581</v>
      </c>
    </row>
    <row r="11" spans="1:3" x14ac:dyDescent="0.25">
      <c r="A11" s="2" t="s">
        <v>12458</v>
      </c>
      <c r="B11" s="2" t="s">
        <v>12582</v>
      </c>
      <c r="C11" s="2" t="s">
        <v>12583</v>
      </c>
    </row>
    <row r="12" spans="1:3" x14ac:dyDescent="0.25">
      <c r="A12" s="2" t="s">
        <v>123</v>
      </c>
      <c r="B12" s="2" t="s">
        <v>12584</v>
      </c>
      <c r="C12" s="2" t="s">
        <v>12585</v>
      </c>
    </row>
  </sheetData>
  <pageMargins left="0.75" right="0.75" top="1" bottom="1" header="0.5" footer="0.5"/>
  <pageSetup paperSize="8" fitToHeight="0" orientation="landscape"/>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F86"/>
    <pageSetUpPr fitToPage="1"/>
  </sheetPr>
  <dimension ref="A1:R4592"/>
  <sheetViews>
    <sheetView showGridLines="0" zoomScale="85" workbookViewId="0">
      <pane xSplit="3" ySplit="1" topLeftCell="D2" activePane="bottomRight" state="frozen"/>
      <selection pane="topRight"/>
      <selection pane="bottomLeft"/>
      <selection pane="bottomRight"/>
    </sheetView>
  </sheetViews>
  <sheetFormatPr defaultRowHeight="15" x14ac:dyDescent="0.25"/>
  <cols>
    <col min="1" max="1" width="28" customWidth="1"/>
    <col min="2" max="6" width="16" customWidth="1"/>
    <col min="7" max="7" width="28" customWidth="1"/>
    <col min="8" max="13" width="16" customWidth="1"/>
    <col min="14" max="15" width="28" customWidth="1"/>
    <col min="16" max="17" width="16" customWidth="1"/>
    <col min="18" max="18" width="28" customWidth="1"/>
  </cols>
  <sheetData>
    <row r="1" spans="1:18" ht="32.1" customHeight="1" x14ac:dyDescent="0.25">
      <c r="A1" s="1" t="s">
        <v>12561</v>
      </c>
      <c r="B1" s="1" t="s">
        <v>61</v>
      </c>
      <c r="C1" s="1" t="s">
        <v>12586</v>
      </c>
      <c r="D1" s="1" t="s">
        <v>123</v>
      </c>
      <c r="E1" s="1" t="s">
        <v>125</v>
      </c>
      <c r="F1" s="1" t="s">
        <v>12587</v>
      </c>
      <c r="G1" s="1" t="s">
        <v>134</v>
      </c>
      <c r="H1" s="1" t="s">
        <v>62</v>
      </c>
      <c r="I1" s="1" t="s">
        <v>12588</v>
      </c>
      <c r="J1" s="1" t="s">
        <v>12589</v>
      </c>
      <c r="K1" s="1" t="s">
        <v>12566</v>
      </c>
      <c r="L1" s="1" t="s">
        <v>12569</v>
      </c>
      <c r="M1" s="1" t="s">
        <v>64</v>
      </c>
      <c r="N1" s="1" t="s">
        <v>12590</v>
      </c>
      <c r="O1" s="1" t="s">
        <v>12591</v>
      </c>
      <c r="P1" s="1" t="s">
        <v>132</v>
      </c>
      <c r="Q1" s="1" t="s">
        <v>12573</v>
      </c>
      <c r="R1" s="1" t="s">
        <v>12592</v>
      </c>
    </row>
    <row r="2" spans="1:18" x14ac:dyDescent="0.25">
      <c r="A2" s="2" t="s">
        <v>261</v>
      </c>
      <c r="B2" s="6">
        <v>46174</v>
      </c>
      <c r="C2" s="8">
        <v>46174</v>
      </c>
      <c r="D2" s="2" t="s">
        <v>136</v>
      </c>
      <c r="E2" s="2" t="s">
        <v>12593</v>
      </c>
      <c r="F2" s="2" t="s">
        <v>12423</v>
      </c>
      <c r="G2" s="2" t="s">
        <v>12594</v>
      </c>
      <c r="H2" s="2" t="s">
        <v>39</v>
      </c>
      <c r="I2" s="9">
        <v>1814.01</v>
      </c>
      <c r="J2" s="7">
        <v>1</v>
      </c>
      <c r="K2" s="9">
        <v>1814.01</v>
      </c>
      <c r="L2" s="14">
        <v>0</v>
      </c>
      <c r="M2" s="2" t="s">
        <v>71</v>
      </c>
      <c r="N2" s="2" t="s">
        <v>12595</v>
      </c>
      <c r="O2" s="2" t="s">
        <v>12596</v>
      </c>
      <c r="P2" s="9">
        <v>0</v>
      </c>
      <c r="Q2" s="9">
        <v>0</v>
      </c>
      <c r="R2" s="2" t="s">
        <v>12597</v>
      </c>
    </row>
    <row r="3" spans="1:18" x14ac:dyDescent="0.25">
      <c r="A3" s="2" t="s">
        <v>264</v>
      </c>
      <c r="B3" s="6">
        <v>46174</v>
      </c>
      <c r="C3" s="8">
        <v>46175</v>
      </c>
      <c r="D3" s="2" t="s">
        <v>136</v>
      </c>
      <c r="E3" s="2" t="s">
        <v>12593</v>
      </c>
      <c r="F3" s="2" t="s">
        <v>12424</v>
      </c>
      <c r="G3" s="2" t="s">
        <v>12598</v>
      </c>
      <c r="H3" s="2" t="s">
        <v>76</v>
      </c>
      <c r="I3" s="9">
        <v>31792320</v>
      </c>
      <c r="J3" s="7">
        <v>6.2500000000000001E-5</v>
      </c>
      <c r="K3" s="9">
        <v>1987.02</v>
      </c>
      <c r="L3" s="14">
        <v>0</v>
      </c>
      <c r="M3" s="2" t="s">
        <v>71</v>
      </c>
      <c r="N3" s="2" t="s">
        <v>12595</v>
      </c>
      <c r="O3" s="2" t="s">
        <v>12599</v>
      </c>
      <c r="P3" s="9">
        <v>0</v>
      </c>
      <c r="Q3" s="9">
        <v>0</v>
      </c>
      <c r="R3" s="2" t="s">
        <v>12600</v>
      </c>
    </row>
    <row r="4" spans="1:18" x14ac:dyDescent="0.25">
      <c r="A4" s="2" t="s">
        <v>267</v>
      </c>
      <c r="B4" s="6">
        <v>46174</v>
      </c>
      <c r="C4" s="8">
        <v>46176</v>
      </c>
      <c r="D4" s="2" t="s">
        <v>136</v>
      </c>
      <c r="E4" s="2" t="s">
        <v>12593</v>
      </c>
      <c r="F4" s="2" t="s">
        <v>12425</v>
      </c>
      <c r="G4" s="2" t="s">
        <v>12601</v>
      </c>
      <c r="H4" s="2" t="s">
        <v>70</v>
      </c>
      <c r="I4" s="9">
        <v>3248.1654140000001</v>
      </c>
      <c r="J4" s="7">
        <v>0.66500000000000004</v>
      </c>
      <c r="K4" s="9">
        <v>2160.0300000000002</v>
      </c>
      <c r="L4" s="14">
        <v>0</v>
      </c>
      <c r="M4" s="2" t="s">
        <v>71</v>
      </c>
      <c r="N4" s="2" t="s">
        <v>12595</v>
      </c>
      <c r="O4" s="2" t="s">
        <v>12602</v>
      </c>
      <c r="P4" s="9">
        <v>0</v>
      </c>
      <c r="Q4" s="9">
        <v>0</v>
      </c>
      <c r="R4" s="2" t="s">
        <v>12603</v>
      </c>
    </row>
    <row r="5" spans="1:18" x14ac:dyDescent="0.25">
      <c r="A5" s="2" t="s">
        <v>270</v>
      </c>
      <c r="B5" s="6">
        <v>46174</v>
      </c>
      <c r="C5" s="8">
        <v>46177</v>
      </c>
      <c r="D5" s="2" t="s">
        <v>136</v>
      </c>
      <c r="E5" s="2" t="s">
        <v>12593</v>
      </c>
      <c r="F5" s="2" t="s">
        <v>12426</v>
      </c>
      <c r="G5" s="2" t="s">
        <v>12604</v>
      </c>
      <c r="H5" s="2" t="s">
        <v>39</v>
      </c>
      <c r="I5" s="9">
        <v>2333.04</v>
      </c>
      <c r="J5" s="7">
        <v>1</v>
      </c>
      <c r="K5" s="9">
        <v>2333.04</v>
      </c>
      <c r="L5" s="14">
        <v>0</v>
      </c>
      <c r="M5" s="2" t="s">
        <v>71</v>
      </c>
      <c r="N5" s="2" t="s">
        <v>12595</v>
      </c>
      <c r="O5" s="2" t="s">
        <v>12605</v>
      </c>
      <c r="P5" s="9">
        <v>0</v>
      </c>
      <c r="Q5" s="9">
        <v>0</v>
      </c>
      <c r="R5" s="2" t="s">
        <v>12606</v>
      </c>
    </row>
    <row r="6" spans="1:18" x14ac:dyDescent="0.25">
      <c r="A6" s="2" t="s">
        <v>275</v>
      </c>
      <c r="B6" s="6">
        <v>46174</v>
      </c>
      <c r="C6" s="8">
        <v>46178</v>
      </c>
      <c r="D6" s="2" t="s">
        <v>136</v>
      </c>
      <c r="E6" s="2" t="s">
        <v>12593</v>
      </c>
      <c r="F6" s="2" t="s">
        <v>12427</v>
      </c>
      <c r="G6" s="2" t="s">
        <v>12607</v>
      </c>
      <c r="H6" s="2" t="s">
        <v>76</v>
      </c>
      <c r="I6" s="9">
        <v>40096800</v>
      </c>
      <c r="J6" s="7">
        <v>6.2500000000000001E-5</v>
      </c>
      <c r="K6" s="9">
        <v>2506.0500000000002</v>
      </c>
      <c r="L6" s="14">
        <v>0</v>
      </c>
      <c r="M6" s="2" t="s">
        <v>71</v>
      </c>
      <c r="N6" s="2" t="s">
        <v>12595</v>
      </c>
      <c r="O6" s="2" t="s">
        <v>12608</v>
      </c>
      <c r="P6" s="9">
        <v>0</v>
      </c>
      <c r="Q6" s="9">
        <v>0</v>
      </c>
      <c r="R6" s="2" t="s">
        <v>12609</v>
      </c>
    </row>
    <row r="7" spans="1:18" x14ac:dyDescent="0.25">
      <c r="A7" s="2" t="s">
        <v>280</v>
      </c>
      <c r="B7" s="6">
        <v>46174</v>
      </c>
      <c r="C7" s="8">
        <v>46179</v>
      </c>
      <c r="D7" s="2" t="s">
        <v>136</v>
      </c>
      <c r="E7" s="2" t="s">
        <v>12593</v>
      </c>
      <c r="F7" s="2" t="s">
        <v>12428</v>
      </c>
      <c r="G7" s="2" t="s">
        <v>12610</v>
      </c>
      <c r="H7" s="2" t="s">
        <v>70</v>
      </c>
      <c r="I7" s="9">
        <v>4028.661654</v>
      </c>
      <c r="J7" s="7">
        <v>0.66500000000000004</v>
      </c>
      <c r="K7" s="9">
        <v>2679.06</v>
      </c>
      <c r="L7" s="14">
        <v>0</v>
      </c>
      <c r="M7" s="2" t="s">
        <v>71</v>
      </c>
      <c r="N7" s="2" t="s">
        <v>12595</v>
      </c>
      <c r="O7" s="2" t="s">
        <v>12611</v>
      </c>
      <c r="P7" s="9">
        <v>0</v>
      </c>
      <c r="Q7" s="9">
        <v>0</v>
      </c>
      <c r="R7" s="2" t="s">
        <v>12612</v>
      </c>
    </row>
    <row r="8" spans="1:18" x14ac:dyDescent="0.25">
      <c r="A8" s="2" t="s">
        <v>283</v>
      </c>
      <c r="B8" s="6">
        <v>46174</v>
      </c>
      <c r="C8" s="8">
        <v>46180</v>
      </c>
      <c r="D8" s="2" t="s">
        <v>136</v>
      </c>
      <c r="E8" s="2" t="s">
        <v>12593</v>
      </c>
      <c r="F8" s="2" t="s">
        <v>12429</v>
      </c>
      <c r="G8" s="2" t="s">
        <v>12613</v>
      </c>
      <c r="H8" s="2" t="s">
        <v>39</v>
      </c>
      <c r="I8" s="9">
        <v>2852.07</v>
      </c>
      <c r="J8" s="7">
        <v>1</v>
      </c>
      <c r="K8" s="9">
        <v>2852.07</v>
      </c>
      <c r="L8" s="14">
        <v>0</v>
      </c>
      <c r="M8" s="2" t="s">
        <v>71</v>
      </c>
      <c r="N8" s="2" t="s">
        <v>12595</v>
      </c>
      <c r="O8" s="2" t="s">
        <v>12614</v>
      </c>
      <c r="P8" s="9">
        <v>0</v>
      </c>
      <c r="Q8" s="9">
        <v>0</v>
      </c>
      <c r="R8" s="2" t="s">
        <v>12615</v>
      </c>
    </row>
    <row r="9" spans="1:18" x14ac:dyDescent="0.25">
      <c r="A9" s="2" t="s">
        <v>286</v>
      </c>
      <c r="B9" s="6">
        <v>46174</v>
      </c>
      <c r="C9" s="8">
        <v>46181</v>
      </c>
      <c r="D9" s="2" t="s">
        <v>136</v>
      </c>
      <c r="E9" s="2" t="s">
        <v>12593</v>
      </c>
      <c r="F9" s="2" t="s">
        <v>12430</v>
      </c>
      <c r="G9" s="2" t="s">
        <v>12616</v>
      </c>
      <c r="H9" s="2" t="s">
        <v>76</v>
      </c>
      <c r="I9" s="9">
        <v>48401280</v>
      </c>
      <c r="J9" s="7">
        <v>6.2500000000000001E-5</v>
      </c>
      <c r="K9" s="9">
        <v>3025.08</v>
      </c>
      <c r="L9" s="14">
        <v>0</v>
      </c>
      <c r="M9" s="2" t="s">
        <v>71</v>
      </c>
      <c r="N9" s="2" t="s">
        <v>12595</v>
      </c>
      <c r="O9" s="2" t="s">
        <v>12617</v>
      </c>
      <c r="P9" s="9">
        <v>0</v>
      </c>
      <c r="Q9" s="9">
        <v>0</v>
      </c>
      <c r="R9" s="2" t="s">
        <v>12618</v>
      </c>
    </row>
    <row r="10" spans="1:18" x14ac:dyDescent="0.25">
      <c r="A10" s="2" t="s">
        <v>291</v>
      </c>
      <c r="B10" s="6">
        <v>46174</v>
      </c>
      <c r="C10" s="8">
        <v>46182</v>
      </c>
      <c r="D10" s="2" t="s">
        <v>136</v>
      </c>
      <c r="E10" s="2" t="s">
        <v>12593</v>
      </c>
      <c r="F10" s="2" t="s">
        <v>12431</v>
      </c>
      <c r="G10" s="2" t="s">
        <v>12619</v>
      </c>
      <c r="H10" s="2" t="s">
        <v>70</v>
      </c>
      <c r="I10" s="9">
        <v>4809.1578950000003</v>
      </c>
      <c r="J10" s="7">
        <v>0.66500000000000004</v>
      </c>
      <c r="K10" s="9">
        <v>3198.09</v>
      </c>
      <c r="L10" s="14">
        <v>0</v>
      </c>
      <c r="M10" s="2" t="s">
        <v>71</v>
      </c>
      <c r="N10" s="2" t="s">
        <v>12595</v>
      </c>
      <c r="O10" s="2" t="s">
        <v>12620</v>
      </c>
      <c r="P10" s="9">
        <v>0</v>
      </c>
      <c r="Q10" s="9">
        <v>0</v>
      </c>
      <c r="R10" s="2" t="s">
        <v>12621</v>
      </c>
    </row>
    <row r="11" spans="1:18" x14ac:dyDescent="0.25">
      <c r="A11" s="2" t="s">
        <v>294</v>
      </c>
      <c r="B11" s="6">
        <v>46174</v>
      </c>
      <c r="C11" s="8">
        <v>46183</v>
      </c>
      <c r="D11" s="2" t="s">
        <v>136</v>
      </c>
      <c r="E11" s="2" t="s">
        <v>12593</v>
      </c>
      <c r="F11" s="2" t="s">
        <v>12432</v>
      </c>
      <c r="G11" s="2" t="s">
        <v>12622</v>
      </c>
      <c r="H11" s="2" t="s">
        <v>39</v>
      </c>
      <c r="I11" s="9">
        <v>3371.1</v>
      </c>
      <c r="J11" s="7">
        <v>1</v>
      </c>
      <c r="K11" s="9">
        <v>3371.1</v>
      </c>
      <c r="L11" s="14">
        <v>0</v>
      </c>
      <c r="M11" s="2" t="s">
        <v>71</v>
      </c>
      <c r="N11" s="2" t="s">
        <v>12595</v>
      </c>
      <c r="O11" s="2" t="s">
        <v>12623</v>
      </c>
      <c r="P11" s="9">
        <v>0</v>
      </c>
      <c r="Q11" s="9">
        <v>0</v>
      </c>
      <c r="R11" s="2" t="s">
        <v>12624</v>
      </c>
    </row>
    <row r="12" spans="1:18" x14ac:dyDescent="0.25">
      <c r="A12" s="2" t="s">
        <v>297</v>
      </c>
      <c r="B12" s="6">
        <v>46174</v>
      </c>
      <c r="C12" s="8">
        <v>46184</v>
      </c>
      <c r="D12" s="2" t="s">
        <v>136</v>
      </c>
      <c r="E12" s="2" t="s">
        <v>12593</v>
      </c>
      <c r="F12" s="2" t="s">
        <v>12423</v>
      </c>
      <c r="G12" s="2" t="s">
        <v>12625</v>
      </c>
      <c r="H12" s="2" t="s">
        <v>76</v>
      </c>
      <c r="I12" s="9">
        <v>56705760</v>
      </c>
      <c r="J12" s="7">
        <v>6.2500000000000001E-5</v>
      </c>
      <c r="K12" s="9">
        <v>3544.11</v>
      </c>
      <c r="L12" s="14">
        <v>0</v>
      </c>
      <c r="M12" s="2" t="s">
        <v>71</v>
      </c>
      <c r="N12" s="2" t="s">
        <v>12595</v>
      </c>
      <c r="O12" s="2" t="s">
        <v>12626</v>
      </c>
      <c r="P12" s="9">
        <v>0</v>
      </c>
      <c r="Q12" s="9">
        <v>0</v>
      </c>
      <c r="R12" s="2" t="s">
        <v>12597</v>
      </c>
    </row>
    <row r="13" spans="1:18" x14ac:dyDescent="0.25">
      <c r="A13" s="2" t="s">
        <v>300</v>
      </c>
      <c r="B13" s="6">
        <v>46174</v>
      </c>
      <c r="C13" s="8">
        <v>46185</v>
      </c>
      <c r="D13" s="2" t="s">
        <v>136</v>
      </c>
      <c r="E13" s="2" t="s">
        <v>12593</v>
      </c>
      <c r="F13" s="2" t="s">
        <v>12424</v>
      </c>
      <c r="G13" s="2" t="s">
        <v>12627</v>
      </c>
      <c r="H13" s="2" t="s">
        <v>70</v>
      </c>
      <c r="I13" s="9">
        <v>5589.6541349999998</v>
      </c>
      <c r="J13" s="7">
        <v>0.66500000000000004</v>
      </c>
      <c r="K13" s="9">
        <v>3717.12</v>
      </c>
      <c r="L13" s="14">
        <v>0</v>
      </c>
      <c r="M13" s="2" t="s">
        <v>71</v>
      </c>
      <c r="N13" s="2" t="s">
        <v>12595</v>
      </c>
      <c r="O13" s="2" t="s">
        <v>12628</v>
      </c>
      <c r="P13" s="9">
        <v>0</v>
      </c>
      <c r="Q13" s="9">
        <v>0</v>
      </c>
      <c r="R13" s="2" t="s">
        <v>12600</v>
      </c>
    </row>
    <row r="14" spans="1:18" x14ac:dyDescent="0.25">
      <c r="A14" s="2" t="s">
        <v>303</v>
      </c>
      <c r="B14" s="6">
        <v>46174</v>
      </c>
      <c r="C14" s="8">
        <v>46186</v>
      </c>
      <c r="D14" s="2" t="s">
        <v>136</v>
      </c>
      <c r="E14" s="2" t="s">
        <v>12593</v>
      </c>
      <c r="F14" s="2" t="s">
        <v>12425</v>
      </c>
      <c r="G14" s="2" t="s">
        <v>12629</v>
      </c>
      <c r="H14" s="2" t="s">
        <v>39</v>
      </c>
      <c r="I14" s="9">
        <v>3890.13</v>
      </c>
      <c r="J14" s="7">
        <v>1</v>
      </c>
      <c r="K14" s="9">
        <v>3890.13</v>
      </c>
      <c r="L14" s="14">
        <v>0</v>
      </c>
      <c r="M14" s="2" t="s">
        <v>71</v>
      </c>
      <c r="N14" s="2" t="s">
        <v>12595</v>
      </c>
      <c r="O14" s="2" t="s">
        <v>12630</v>
      </c>
      <c r="P14" s="9">
        <v>0</v>
      </c>
      <c r="Q14" s="9">
        <v>0</v>
      </c>
      <c r="R14" s="2" t="s">
        <v>12603</v>
      </c>
    </row>
    <row r="15" spans="1:18" x14ac:dyDescent="0.25">
      <c r="A15" s="2" t="s">
        <v>306</v>
      </c>
      <c r="B15" s="6">
        <v>46174</v>
      </c>
      <c r="C15" s="8">
        <v>46187</v>
      </c>
      <c r="D15" s="2" t="s">
        <v>136</v>
      </c>
      <c r="E15" s="2" t="s">
        <v>12593</v>
      </c>
      <c r="F15" s="2" t="s">
        <v>12426</v>
      </c>
      <c r="G15" s="2" t="s">
        <v>12631</v>
      </c>
      <c r="H15" s="2" t="s">
        <v>76</v>
      </c>
      <c r="I15" s="9">
        <v>65010240</v>
      </c>
      <c r="J15" s="7">
        <v>6.2500000000000001E-5</v>
      </c>
      <c r="K15" s="9">
        <v>4063.14</v>
      </c>
      <c r="L15" s="14">
        <v>0</v>
      </c>
      <c r="M15" s="2" t="s">
        <v>71</v>
      </c>
      <c r="N15" s="2" t="s">
        <v>12595</v>
      </c>
      <c r="O15" s="2" t="s">
        <v>12632</v>
      </c>
      <c r="P15" s="9">
        <v>0</v>
      </c>
      <c r="Q15" s="9">
        <v>0</v>
      </c>
      <c r="R15" s="2" t="s">
        <v>12606</v>
      </c>
    </row>
    <row r="16" spans="1:18" x14ac:dyDescent="0.25">
      <c r="A16" s="2" t="s">
        <v>311</v>
      </c>
      <c r="B16" s="6">
        <v>46174</v>
      </c>
      <c r="C16" s="8">
        <v>46188</v>
      </c>
      <c r="D16" s="2" t="s">
        <v>136</v>
      </c>
      <c r="E16" s="2" t="s">
        <v>12593</v>
      </c>
      <c r="F16" s="2" t="s">
        <v>12427</v>
      </c>
      <c r="G16" s="2" t="s">
        <v>12633</v>
      </c>
      <c r="H16" s="2" t="s">
        <v>70</v>
      </c>
      <c r="I16" s="9">
        <v>6370.1503759999996</v>
      </c>
      <c r="J16" s="7">
        <v>0.66500000000000004</v>
      </c>
      <c r="K16" s="9">
        <v>4236.1499999999996</v>
      </c>
      <c r="L16" s="14">
        <v>0</v>
      </c>
      <c r="M16" s="2" t="s">
        <v>71</v>
      </c>
      <c r="N16" s="2" t="s">
        <v>12595</v>
      </c>
      <c r="O16" s="2" t="s">
        <v>12634</v>
      </c>
      <c r="P16" s="9">
        <v>0</v>
      </c>
      <c r="Q16" s="9">
        <v>0</v>
      </c>
      <c r="R16" s="2" t="s">
        <v>12609</v>
      </c>
    </row>
    <row r="17" spans="1:18" x14ac:dyDescent="0.25">
      <c r="A17" s="2" t="s">
        <v>316</v>
      </c>
      <c r="B17" s="6">
        <v>46174</v>
      </c>
      <c r="C17" s="8">
        <v>46189</v>
      </c>
      <c r="D17" s="2" t="s">
        <v>136</v>
      </c>
      <c r="E17" s="2" t="s">
        <v>12593</v>
      </c>
      <c r="F17" s="2" t="s">
        <v>12428</v>
      </c>
      <c r="G17" s="2" t="s">
        <v>12635</v>
      </c>
      <c r="H17" s="2" t="s">
        <v>39</v>
      </c>
      <c r="I17" s="9">
        <v>4409.16</v>
      </c>
      <c r="J17" s="7">
        <v>1</v>
      </c>
      <c r="K17" s="9">
        <v>4409.16</v>
      </c>
      <c r="L17" s="14">
        <v>0</v>
      </c>
      <c r="M17" s="2" t="s">
        <v>71</v>
      </c>
      <c r="N17" s="2" t="s">
        <v>12595</v>
      </c>
      <c r="O17" s="2" t="s">
        <v>12636</v>
      </c>
      <c r="P17" s="9">
        <v>0</v>
      </c>
      <c r="Q17" s="9">
        <v>0</v>
      </c>
      <c r="R17" s="2" t="s">
        <v>12612</v>
      </c>
    </row>
    <row r="18" spans="1:18" x14ac:dyDescent="0.25">
      <c r="A18" s="2" t="s">
        <v>319</v>
      </c>
      <c r="B18" s="6">
        <v>46174</v>
      </c>
      <c r="C18" s="8">
        <v>46190</v>
      </c>
      <c r="D18" s="2" t="s">
        <v>136</v>
      </c>
      <c r="E18" s="2" t="s">
        <v>12593</v>
      </c>
      <c r="F18" s="2" t="s">
        <v>12429</v>
      </c>
      <c r="G18" s="2" t="s">
        <v>12637</v>
      </c>
      <c r="H18" s="2" t="s">
        <v>76</v>
      </c>
      <c r="I18" s="9">
        <v>73314720</v>
      </c>
      <c r="J18" s="7">
        <v>6.2500000000000001E-5</v>
      </c>
      <c r="K18" s="9">
        <v>4582.17</v>
      </c>
      <c r="L18" s="14">
        <v>0</v>
      </c>
      <c r="M18" s="2" t="s">
        <v>71</v>
      </c>
      <c r="N18" s="2" t="s">
        <v>12595</v>
      </c>
      <c r="O18" s="2" t="s">
        <v>12638</v>
      </c>
      <c r="P18" s="9">
        <v>0</v>
      </c>
      <c r="Q18" s="9">
        <v>0</v>
      </c>
      <c r="R18" s="2" t="s">
        <v>12615</v>
      </c>
    </row>
    <row r="19" spans="1:18" x14ac:dyDescent="0.25">
      <c r="A19" s="2" t="s">
        <v>322</v>
      </c>
      <c r="B19" s="6">
        <v>46174</v>
      </c>
      <c r="C19" s="8">
        <v>46191</v>
      </c>
      <c r="D19" s="2" t="s">
        <v>136</v>
      </c>
      <c r="E19" s="2" t="s">
        <v>12593</v>
      </c>
      <c r="F19" s="2" t="s">
        <v>12430</v>
      </c>
      <c r="G19" s="2" t="s">
        <v>12639</v>
      </c>
      <c r="H19" s="2" t="s">
        <v>70</v>
      </c>
      <c r="I19" s="9">
        <v>7150.6466170000003</v>
      </c>
      <c r="J19" s="7">
        <v>0.66500000000000004</v>
      </c>
      <c r="K19" s="9">
        <v>4755.18</v>
      </c>
      <c r="L19" s="14">
        <v>0</v>
      </c>
      <c r="M19" s="2" t="s">
        <v>71</v>
      </c>
      <c r="N19" s="2" t="s">
        <v>12595</v>
      </c>
      <c r="O19" s="2" t="s">
        <v>12640</v>
      </c>
      <c r="P19" s="9">
        <v>0</v>
      </c>
      <c r="Q19" s="9">
        <v>0</v>
      </c>
      <c r="R19" s="2" t="s">
        <v>12618</v>
      </c>
    </row>
    <row r="20" spans="1:18" x14ac:dyDescent="0.25">
      <c r="A20" s="2" t="s">
        <v>327</v>
      </c>
      <c r="B20" s="6">
        <v>46174</v>
      </c>
      <c r="C20" s="8">
        <v>46192</v>
      </c>
      <c r="D20" s="2" t="s">
        <v>136</v>
      </c>
      <c r="E20" s="2" t="s">
        <v>12593</v>
      </c>
      <c r="F20" s="2" t="s">
        <v>12431</v>
      </c>
      <c r="G20" s="2" t="s">
        <v>12641</v>
      </c>
      <c r="H20" s="2" t="s">
        <v>39</v>
      </c>
      <c r="I20" s="9">
        <v>4928.1899999999996</v>
      </c>
      <c r="J20" s="7">
        <v>1</v>
      </c>
      <c r="K20" s="9">
        <v>4928.1899999999996</v>
      </c>
      <c r="L20" s="14">
        <v>0</v>
      </c>
      <c r="M20" s="2" t="s">
        <v>71</v>
      </c>
      <c r="N20" s="2" t="s">
        <v>12595</v>
      </c>
      <c r="O20" s="2" t="s">
        <v>12642</v>
      </c>
      <c r="P20" s="9">
        <v>0</v>
      </c>
      <c r="Q20" s="9">
        <v>0</v>
      </c>
      <c r="R20" s="2" t="s">
        <v>12621</v>
      </c>
    </row>
    <row r="21" spans="1:18" x14ac:dyDescent="0.25">
      <c r="A21" s="2" t="s">
        <v>330</v>
      </c>
      <c r="B21" s="6">
        <v>46174</v>
      </c>
      <c r="C21" s="8">
        <v>46193</v>
      </c>
      <c r="D21" s="2" t="s">
        <v>136</v>
      </c>
      <c r="E21" s="2" t="s">
        <v>12593</v>
      </c>
      <c r="F21" s="2" t="s">
        <v>12432</v>
      </c>
      <c r="G21" s="2" t="s">
        <v>12643</v>
      </c>
      <c r="H21" s="2" t="s">
        <v>76</v>
      </c>
      <c r="I21" s="9">
        <v>81619200</v>
      </c>
      <c r="J21" s="7">
        <v>6.2500000000000001E-5</v>
      </c>
      <c r="K21" s="9">
        <v>5101.2</v>
      </c>
      <c r="L21" s="14">
        <v>0</v>
      </c>
      <c r="M21" s="2" t="s">
        <v>71</v>
      </c>
      <c r="N21" s="2" t="s">
        <v>12595</v>
      </c>
      <c r="O21" s="2" t="s">
        <v>12644</v>
      </c>
      <c r="P21" s="9">
        <v>0</v>
      </c>
      <c r="Q21" s="9">
        <v>0</v>
      </c>
      <c r="R21" s="2" t="s">
        <v>12624</v>
      </c>
    </row>
    <row r="22" spans="1:18" x14ac:dyDescent="0.25">
      <c r="A22" s="2" t="s">
        <v>333</v>
      </c>
      <c r="B22" s="6">
        <v>46174</v>
      </c>
      <c r="C22" s="8">
        <v>46194</v>
      </c>
      <c r="D22" s="2" t="s">
        <v>136</v>
      </c>
      <c r="E22" s="2" t="s">
        <v>12593</v>
      </c>
      <c r="F22" s="2" t="s">
        <v>12423</v>
      </c>
      <c r="G22" s="2" t="s">
        <v>12645</v>
      </c>
      <c r="H22" s="2" t="s">
        <v>70</v>
      </c>
      <c r="I22" s="9">
        <v>7931.1428569999998</v>
      </c>
      <c r="J22" s="7">
        <v>0.66500000000000004</v>
      </c>
      <c r="K22" s="9">
        <v>5274.21</v>
      </c>
      <c r="L22" s="14">
        <v>0</v>
      </c>
      <c r="M22" s="2" t="s">
        <v>71</v>
      </c>
      <c r="N22" s="2" t="s">
        <v>12595</v>
      </c>
      <c r="O22" s="2" t="s">
        <v>12646</v>
      </c>
      <c r="P22" s="9">
        <v>0</v>
      </c>
      <c r="Q22" s="9">
        <v>0</v>
      </c>
      <c r="R22" s="2" t="s">
        <v>12597</v>
      </c>
    </row>
    <row r="23" spans="1:18" x14ac:dyDescent="0.25">
      <c r="A23" s="2" t="s">
        <v>336</v>
      </c>
      <c r="B23" s="6">
        <v>46174</v>
      </c>
      <c r="C23" s="8">
        <v>46195</v>
      </c>
      <c r="D23" s="2" t="s">
        <v>136</v>
      </c>
      <c r="E23" s="2" t="s">
        <v>12593</v>
      </c>
      <c r="F23" s="2" t="s">
        <v>12424</v>
      </c>
      <c r="G23" s="2" t="s">
        <v>12647</v>
      </c>
      <c r="H23" s="2" t="s">
        <v>39</v>
      </c>
      <c r="I23" s="9">
        <v>5447.22</v>
      </c>
      <c r="J23" s="7">
        <v>1</v>
      </c>
      <c r="K23" s="9">
        <v>5447.22</v>
      </c>
      <c r="L23" s="14">
        <v>0</v>
      </c>
      <c r="M23" s="2" t="s">
        <v>71</v>
      </c>
      <c r="N23" s="2" t="s">
        <v>12595</v>
      </c>
      <c r="O23" s="2" t="s">
        <v>12648</v>
      </c>
      <c r="P23" s="9">
        <v>0</v>
      </c>
      <c r="Q23" s="9">
        <v>0</v>
      </c>
      <c r="R23" s="2" t="s">
        <v>12600</v>
      </c>
    </row>
    <row r="24" spans="1:18" x14ac:dyDescent="0.25">
      <c r="A24" s="2" t="s">
        <v>339</v>
      </c>
      <c r="B24" s="6">
        <v>46174</v>
      </c>
      <c r="C24" s="8">
        <v>46196</v>
      </c>
      <c r="D24" s="2" t="s">
        <v>136</v>
      </c>
      <c r="E24" s="2" t="s">
        <v>12593</v>
      </c>
      <c r="F24" s="2" t="s">
        <v>12425</v>
      </c>
      <c r="G24" s="2" t="s">
        <v>12649</v>
      </c>
      <c r="H24" s="2" t="s">
        <v>76</v>
      </c>
      <c r="I24" s="9">
        <v>89923680</v>
      </c>
      <c r="J24" s="7">
        <v>6.2500000000000001E-5</v>
      </c>
      <c r="K24" s="9">
        <v>5620.23</v>
      </c>
      <c r="L24" s="14">
        <v>0</v>
      </c>
      <c r="M24" s="2" t="s">
        <v>71</v>
      </c>
      <c r="N24" s="2" t="s">
        <v>12595</v>
      </c>
      <c r="O24" s="2" t="s">
        <v>12650</v>
      </c>
      <c r="P24" s="9">
        <v>0</v>
      </c>
      <c r="Q24" s="9">
        <v>0</v>
      </c>
      <c r="R24" s="2" t="s">
        <v>12603</v>
      </c>
    </row>
    <row r="25" spans="1:18" x14ac:dyDescent="0.25">
      <c r="A25" s="2" t="s">
        <v>342</v>
      </c>
      <c r="B25" s="6">
        <v>46174</v>
      </c>
      <c r="C25" s="8">
        <v>46197</v>
      </c>
      <c r="D25" s="2" t="s">
        <v>136</v>
      </c>
      <c r="E25" s="2" t="s">
        <v>12593</v>
      </c>
      <c r="F25" s="2" t="s">
        <v>12426</v>
      </c>
      <c r="G25" s="2" t="s">
        <v>12651</v>
      </c>
      <c r="H25" s="2" t="s">
        <v>70</v>
      </c>
      <c r="I25" s="9">
        <v>8711.6390979999996</v>
      </c>
      <c r="J25" s="7">
        <v>0.66500000000000004</v>
      </c>
      <c r="K25" s="9">
        <v>5793.24</v>
      </c>
      <c r="L25" s="14">
        <v>0</v>
      </c>
      <c r="M25" s="2" t="s">
        <v>71</v>
      </c>
      <c r="N25" s="2" t="s">
        <v>12595</v>
      </c>
      <c r="O25" s="2" t="s">
        <v>12652</v>
      </c>
      <c r="P25" s="9">
        <v>0</v>
      </c>
      <c r="Q25" s="9">
        <v>0</v>
      </c>
      <c r="R25" s="2" t="s">
        <v>12606</v>
      </c>
    </row>
    <row r="26" spans="1:18" x14ac:dyDescent="0.25">
      <c r="A26" s="2" t="s">
        <v>347</v>
      </c>
      <c r="B26" s="6">
        <v>46174</v>
      </c>
      <c r="C26" s="8">
        <v>46198</v>
      </c>
      <c r="D26" s="2" t="s">
        <v>136</v>
      </c>
      <c r="E26" s="2" t="s">
        <v>12593</v>
      </c>
      <c r="F26" s="2" t="s">
        <v>12427</v>
      </c>
      <c r="G26" s="2" t="s">
        <v>12653</v>
      </c>
      <c r="H26" s="2" t="s">
        <v>39</v>
      </c>
      <c r="I26" s="9">
        <v>5966.25</v>
      </c>
      <c r="J26" s="7">
        <v>1</v>
      </c>
      <c r="K26" s="9">
        <v>5966.25</v>
      </c>
      <c r="L26" s="14">
        <v>0</v>
      </c>
      <c r="M26" s="2" t="s">
        <v>71</v>
      </c>
      <c r="N26" s="2" t="s">
        <v>12595</v>
      </c>
      <c r="O26" s="2" t="s">
        <v>12654</v>
      </c>
      <c r="P26" s="9">
        <v>0</v>
      </c>
      <c r="Q26" s="9">
        <v>0</v>
      </c>
      <c r="R26" s="2" t="s">
        <v>12609</v>
      </c>
    </row>
    <row r="27" spans="1:18" x14ac:dyDescent="0.25">
      <c r="A27" s="2" t="s">
        <v>352</v>
      </c>
      <c r="B27" s="6">
        <v>46174</v>
      </c>
      <c r="C27" s="8">
        <v>46199</v>
      </c>
      <c r="D27" s="2" t="s">
        <v>136</v>
      </c>
      <c r="E27" s="2" t="s">
        <v>12593</v>
      </c>
      <c r="F27" s="2" t="s">
        <v>12428</v>
      </c>
      <c r="G27" s="2" t="s">
        <v>12655</v>
      </c>
      <c r="H27" s="2" t="s">
        <v>76</v>
      </c>
      <c r="I27" s="9">
        <v>98228160</v>
      </c>
      <c r="J27" s="7">
        <v>6.2500000000000001E-5</v>
      </c>
      <c r="K27" s="9">
        <v>6139.26</v>
      </c>
      <c r="L27" s="14">
        <v>0</v>
      </c>
      <c r="M27" s="2" t="s">
        <v>71</v>
      </c>
      <c r="N27" s="2" t="s">
        <v>12595</v>
      </c>
      <c r="O27" s="2" t="s">
        <v>12656</v>
      </c>
      <c r="P27" s="9">
        <v>0</v>
      </c>
      <c r="Q27" s="9">
        <v>0</v>
      </c>
      <c r="R27" s="2" t="s">
        <v>12612</v>
      </c>
    </row>
    <row r="28" spans="1:18" x14ac:dyDescent="0.25">
      <c r="A28" s="2" t="s">
        <v>355</v>
      </c>
      <c r="B28" s="6">
        <v>46174</v>
      </c>
      <c r="C28" s="8">
        <v>46200</v>
      </c>
      <c r="D28" s="2" t="s">
        <v>136</v>
      </c>
      <c r="E28" s="2" t="s">
        <v>12593</v>
      </c>
      <c r="F28" s="2" t="s">
        <v>12429</v>
      </c>
      <c r="G28" s="2" t="s">
        <v>12657</v>
      </c>
      <c r="H28" s="2" t="s">
        <v>70</v>
      </c>
      <c r="I28" s="9">
        <v>9492.135338</v>
      </c>
      <c r="J28" s="7">
        <v>0.66500000000000004</v>
      </c>
      <c r="K28" s="9">
        <v>6312.27</v>
      </c>
      <c r="L28" s="14">
        <v>0</v>
      </c>
      <c r="M28" s="2" t="s">
        <v>71</v>
      </c>
      <c r="N28" s="2" t="s">
        <v>12595</v>
      </c>
      <c r="O28" s="2" t="s">
        <v>12658</v>
      </c>
      <c r="P28" s="9">
        <v>0</v>
      </c>
      <c r="Q28" s="9">
        <v>0</v>
      </c>
      <c r="R28" s="2" t="s">
        <v>12615</v>
      </c>
    </row>
    <row r="29" spans="1:18" x14ac:dyDescent="0.25">
      <c r="A29" s="2" t="s">
        <v>358</v>
      </c>
      <c r="B29" s="6">
        <v>46174</v>
      </c>
      <c r="C29" s="8">
        <v>46201</v>
      </c>
      <c r="D29" s="2" t="s">
        <v>136</v>
      </c>
      <c r="E29" s="2" t="s">
        <v>12593</v>
      </c>
      <c r="F29" s="2" t="s">
        <v>12430</v>
      </c>
      <c r="G29" s="2" t="s">
        <v>12659</v>
      </c>
      <c r="H29" s="2" t="s">
        <v>39</v>
      </c>
      <c r="I29" s="9">
        <v>6485.28</v>
      </c>
      <c r="J29" s="7">
        <v>1</v>
      </c>
      <c r="K29" s="9">
        <v>6485.28</v>
      </c>
      <c r="L29" s="14">
        <v>0</v>
      </c>
      <c r="M29" s="2" t="s">
        <v>71</v>
      </c>
      <c r="N29" s="2" t="s">
        <v>12595</v>
      </c>
      <c r="O29" s="2" t="s">
        <v>12660</v>
      </c>
      <c r="P29" s="9">
        <v>0</v>
      </c>
      <c r="Q29" s="9">
        <v>0</v>
      </c>
      <c r="R29" s="2" t="s">
        <v>12618</v>
      </c>
    </row>
    <row r="30" spans="1:18" x14ac:dyDescent="0.25">
      <c r="A30" s="2" t="s">
        <v>363</v>
      </c>
      <c r="B30" s="6">
        <v>46174</v>
      </c>
      <c r="C30" s="8">
        <v>46202</v>
      </c>
      <c r="D30" s="2" t="s">
        <v>136</v>
      </c>
      <c r="E30" s="2" t="s">
        <v>12593</v>
      </c>
      <c r="F30" s="2" t="s">
        <v>12431</v>
      </c>
      <c r="G30" s="2" t="s">
        <v>12661</v>
      </c>
      <c r="H30" s="2" t="s">
        <v>76</v>
      </c>
      <c r="I30" s="9">
        <v>106532640</v>
      </c>
      <c r="J30" s="7">
        <v>6.2500000000000001E-5</v>
      </c>
      <c r="K30" s="9">
        <v>6658.29</v>
      </c>
      <c r="L30" s="14">
        <v>0</v>
      </c>
      <c r="M30" s="2" t="s">
        <v>71</v>
      </c>
      <c r="N30" s="2" t="s">
        <v>12595</v>
      </c>
      <c r="O30" s="2" t="s">
        <v>12662</v>
      </c>
      <c r="P30" s="9">
        <v>0</v>
      </c>
      <c r="Q30" s="9">
        <v>0</v>
      </c>
      <c r="R30" s="2" t="s">
        <v>12621</v>
      </c>
    </row>
    <row r="31" spans="1:18" x14ac:dyDescent="0.25">
      <c r="A31" s="2" t="s">
        <v>366</v>
      </c>
      <c r="B31" s="6">
        <v>46174</v>
      </c>
      <c r="C31" s="8">
        <v>46203</v>
      </c>
      <c r="D31" s="2" t="s">
        <v>136</v>
      </c>
      <c r="E31" s="2" t="s">
        <v>12593</v>
      </c>
      <c r="F31" s="2" t="s">
        <v>12432</v>
      </c>
      <c r="G31" s="2" t="s">
        <v>12663</v>
      </c>
      <c r="H31" s="2" t="s">
        <v>70</v>
      </c>
      <c r="I31" s="9">
        <v>10272.631579000001</v>
      </c>
      <c r="J31" s="7">
        <v>0.66500000000000004</v>
      </c>
      <c r="K31" s="9">
        <v>6831.3</v>
      </c>
      <c r="L31" s="14">
        <v>0</v>
      </c>
      <c r="M31" s="2" t="s">
        <v>71</v>
      </c>
      <c r="N31" s="2" t="s">
        <v>12595</v>
      </c>
      <c r="O31" s="2" t="s">
        <v>12664</v>
      </c>
      <c r="P31" s="9">
        <v>0</v>
      </c>
      <c r="Q31" s="9">
        <v>0</v>
      </c>
      <c r="R31" s="2" t="s">
        <v>12624</v>
      </c>
    </row>
    <row r="32" spans="1:18" x14ac:dyDescent="0.25">
      <c r="A32" s="2" t="s">
        <v>369</v>
      </c>
      <c r="B32" s="6">
        <v>46174</v>
      </c>
      <c r="C32" s="8">
        <v>46174</v>
      </c>
      <c r="D32" s="2" t="s">
        <v>136</v>
      </c>
      <c r="E32" s="2" t="s">
        <v>12593</v>
      </c>
      <c r="F32" s="2" t="s">
        <v>12423</v>
      </c>
      <c r="G32" s="2" t="s">
        <v>12665</v>
      </c>
      <c r="H32" s="2" t="s">
        <v>39</v>
      </c>
      <c r="I32" s="9">
        <v>7004.31</v>
      </c>
      <c r="J32" s="7">
        <v>1</v>
      </c>
      <c r="K32" s="9">
        <v>7004.31</v>
      </c>
      <c r="L32" s="14">
        <v>0</v>
      </c>
      <c r="M32" s="2" t="s">
        <v>71</v>
      </c>
      <c r="N32" s="2" t="s">
        <v>12595</v>
      </c>
      <c r="O32" s="2" t="s">
        <v>12666</v>
      </c>
      <c r="P32" s="9">
        <v>0</v>
      </c>
      <c r="Q32" s="9">
        <v>0</v>
      </c>
      <c r="R32" s="2" t="s">
        <v>12597</v>
      </c>
    </row>
    <row r="33" spans="1:18" x14ac:dyDescent="0.25">
      <c r="A33" s="2" t="s">
        <v>372</v>
      </c>
      <c r="B33" s="6">
        <v>46174</v>
      </c>
      <c r="C33" s="8">
        <v>46175</v>
      </c>
      <c r="D33" s="2" t="s">
        <v>136</v>
      </c>
      <c r="E33" s="2" t="s">
        <v>12593</v>
      </c>
      <c r="F33" s="2" t="s">
        <v>12424</v>
      </c>
      <c r="G33" s="2" t="s">
        <v>12667</v>
      </c>
      <c r="H33" s="2" t="s">
        <v>76</v>
      </c>
      <c r="I33" s="9">
        <v>114837120</v>
      </c>
      <c r="J33" s="7">
        <v>6.2500000000000001E-5</v>
      </c>
      <c r="K33" s="9">
        <v>7177.32</v>
      </c>
      <c r="L33" s="14">
        <v>0</v>
      </c>
      <c r="M33" s="2" t="s">
        <v>71</v>
      </c>
      <c r="N33" s="2" t="s">
        <v>12595</v>
      </c>
      <c r="O33" s="2" t="s">
        <v>12668</v>
      </c>
      <c r="P33" s="9">
        <v>0</v>
      </c>
      <c r="Q33" s="9">
        <v>0</v>
      </c>
      <c r="R33" s="2" t="s">
        <v>12600</v>
      </c>
    </row>
    <row r="34" spans="1:18" x14ac:dyDescent="0.25">
      <c r="A34" s="2" t="s">
        <v>375</v>
      </c>
      <c r="B34" s="6">
        <v>46174</v>
      </c>
      <c r="C34" s="8">
        <v>46176</v>
      </c>
      <c r="D34" s="2" t="s">
        <v>136</v>
      </c>
      <c r="E34" s="2" t="s">
        <v>12593</v>
      </c>
      <c r="F34" s="2" t="s">
        <v>12425</v>
      </c>
      <c r="G34" s="2" t="s">
        <v>12669</v>
      </c>
      <c r="H34" s="2" t="s">
        <v>70</v>
      </c>
      <c r="I34" s="9">
        <v>11053.12782</v>
      </c>
      <c r="J34" s="7">
        <v>0.66500000000000004</v>
      </c>
      <c r="K34" s="9">
        <v>7350.33</v>
      </c>
      <c r="L34" s="14">
        <v>0</v>
      </c>
      <c r="M34" s="2" t="s">
        <v>71</v>
      </c>
      <c r="N34" s="2" t="s">
        <v>12595</v>
      </c>
      <c r="O34" s="2" t="s">
        <v>12670</v>
      </c>
      <c r="P34" s="9">
        <v>0</v>
      </c>
      <c r="Q34" s="9">
        <v>0</v>
      </c>
      <c r="R34" s="2" t="s">
        <v>12603</v>
      </c>
    </row>
    <row r="35" spans="1:18" x14ac:dyDescent="0.25">
      <c r="A35" s="2" t="s">
        <v>378</v>
      </c>
      <c r="B35" s="6">
        <v>46174</v>
      </c>
      <c r="C35" s="8">
        <v>46177</v>
      </c>
      <c r="D35" s="2" t="s">
        <v>136</v>
      </c>
      <c r="E35" s="2" t="s">
        <v>12593</v>
      </c>
      <c r="F35" s="2" t="s">
        <v>12426</v>
      </c>
      <c r="G35" s="2" t="s">
        <v>12671</v>
      </c>
      <c r="H35" s="2" t="s">
        <v>39</v>
      </c>
      <c r="I35" s="9">
        <v>7523.34</v>
      </c>
      <c r="J35" s="7">
        <v>1</v>
      </c>
      <c r="K35" s="9">
        <v>7523.34</v>
      </c>
      <c r="L35" s="14">
        <v>0</v>
      </c>
      <c r="M35" s="2" t="s">
        <v>71</v>
      </c>
      <c r="N35" s="2" t="s">
        <v>12595</v>
      </c>
      <c r="O35" s="2" t="s">
        <v>12672</v>
      </c>
      <c r="P35" s="9">
        <v>0</v>
      </c>
      <c r="Q35" s="9">
        <v>0</v>
      </c>
      <c r="R35" s="2" t="s">
        <v>12606</v>
      </c>
    </row>
    <row r="36" spans="1:18" x14ac:dyDescent="0.25">
      <c r="A36" s="2" t="s">
        <v>383</v>
      </c>
      <c r="B36" s="6">
        <v>46174</v>
      </c>
      <c r="C36" s="8">
        <v>46178</v>
      </c>
      <c r="D36" s="2" t="s">
        <v>136</v>
      </c>
      <c r="E36" s="2" t="s">
        <v>12593</v>
      </c>
      <c r="F36" s="2" t="s">
        <v>12427</v>
      </c>
      <c r="G36" s="2" t="s">
        <v>12673</v>
      </c>
      <c r="H36" s="2" t="s">
        <v>76</v>
      </c>
      <c r="I36" s="9">
        <v>123141600</v>
      </c>
      <c r="J36" s="7">
        <v>6.2500000000000001E-5</v>
      </c>
      <c r="K36" s="9">
        <v>7696.35</v>
      </c>
      <c r="L36" s="14">
        <v>0</v>
      </c>
      <c r="M36" s="2" t="s">
        <v>71</v>
      </c>
      <c r="N36" s="2" t="s">
        <v>12595</v>
      </c>
      <c r="O36" s="2" t="s">
        <v>12674</v>
      </c>
      <c r="P36" s="9">
        <v>0</v>
      </c>
      <c r="Q36" s="9">
        <v>0</v>
      </c>
      <c r="R36" s="2" t="s">
        <v>12609</v>
      </c>
    </row>
    <row r="37" spans="1:18" x14ac:dyDescent="0.25">
      <c r="A37" s="2" t="s">
        <v>388</v>
      </c>
      <c r="B37" s="6">
        <v>46174</v>
      </c>
      <c r="C37" s="8">
        <v>46179</v>
      </c>
      <c r="D37" s="2" t="s">
        <v>136</v>
      </c>
      <c r="E37" s="2" t="s">
        <v>12593</v>
      </c>
      <c r="F37" s="2" t="s">
        <v>12428</v>
      </c>
      <c r="G37" s="2" t="s">
        <v>12675</v>
      </c>
      <c r="H37" s="2" t="s">
        <v>70</v>
      </c>
      <c r="I37" s="9">
        <v>11833.62406</v>
      </c>
      <c r="J37" s="7">
        <v>0.66500000000000004</v>
      </c>
      <c r="K37" s="9">
        <v>7869.36</v>
      </c>
      <c r="L37" s="14">
        <v>0</v>
      </c>
      <c r="M37" s="2" t="s">
        <v>71</v>
      </c>
      <c r="N37" s="2" t="s">
        <v>12595</v>
      </c>
      <c r="O37" s="2" t="s">
        <v>12676</v>
      </c>
      <c r="P37" s="9">
        <v>0</v>
      </c>
      <c r="Q37" s="9">
        <v>0</v>
      </c>
      <c r="R37" s="2" t="s">
        <v>12612</v>
      </c>
    </row>
    <row r="38" spans="1:18" x14ac:dyDescent="0.25">
      <c r="A38" s="2" t="s">
        <v>391</v>
      </c>
      <c r="B38" s="6">
        <v>46174</v>
      </c>
      <c r="C38" s="8">
        <v>46180</v>
      </c>
      <c r="D38" s="2" t="s">
        <v>136</v>
      </c>
      <c r="E38" s="2" t="s">
        <v>12593</v>
      </c>
      <c r="F38" s="2" t="s">
        <v>12429</v>
      </c>
      <c r="G38" s="2" t="s">
        <v>12677</v>
      </c>
      <c r="H38" s="2" t="s">
        <v>39</v>
      </c>
      <c r="I38" s="9">
        <v>8042.37</v>
      </c>
      <c r="J38" s="7">
        <v>1</v>
      </c>
      <c r="K38" s="9">
        <v>8042.37</v>
      </c>
      <c r="L38" s="14">
        <v>0</v>
      </c>
      <c r="M38" s="2" t="s">
        <v>71</v>
      </c>
      <c r="N38" s="2" t="s">
        <v>12595</v>
      </c>
      <c r="O38" s="2" t="s">
        <v>12678</v>
      </c>
      <c r="P38" s="9">
        <v>0</v>
      </c>
      <c r="Q38" s="9">
        <v>0</v>
      </c>
      <c r="R38" s="2" t="s">
        <v>12615</v>
      </c>
    </row>
    <row r="39" spans="1:18" x14ac:dyDescent="0.25">
      <c r="A39" s="2" t="s">
        <v>394</v>
      </c>
      <c r="B39" s="6">
        <v>46174</v>
      </c>
      <c r="C39" s="8">
        <v>46181</v>
      </c>
      <c r="D39" s="2" t="s">
        <v>136</v>
      </c>
      <c r="E39" s="2" t="s">
        <v>12593</v>
      </c>
      <c r="F39" s="2" t="s">
        <v>12430</v>
      </c>
      <c r="G39" s="2" t="s">
        <v>12679</v>
      </c>
      <c r="H39" s="2" t="s">
        <v>76</v>
      </c>
      <c r="I39" s="9">
        <v>131446080</v>
      </c>
      <c r="J39" s="7">
        <v>6.2500000000000001E-5</v>
      </c>
      <c r="K39" s="9">
        <v>8215.3799999999992</v>
      </c>
      <c r="L39" s="14">
        <v>0</v>
      </c>
      <c r="M39" s="2" t="s">
        <v>71</v>
      </c>
      <c r="N39" s="2" t="s">
        <v>12595</v>
      </c>
      <c r="O39" s="2" t="s">
        <v>12680</v>
      </c>
      <c r="P39" s="9">
        <v>0</v>
      </c>
      <c r="Q39" s="9">
        <v>0</v>
      </c>
      <c r="R39" s="2" t="s">
        <v>12618</v>
      </c>
    </row>
    <row r="40" spans="1:18" x14ac:dyDescent="0.25">
      <c r="A40" s="2" t="s">
        <v>399</v>
      </c>
      <c r="B40" s="6">
        <v>46174</v>
      </c>
      <c r="C40" s="8">
        <v>46182</v>
      </c>
      <c r="D40" s="2" t="s">
        <v>136</v>
      </c>
      <c r="E40" s="2" t="s">
        <v>12593</v>
      </c>
      <c r="F40" s="2" t="s">
        <v>12431</v>
      </c>
      <c r="G40" s="2" t="s">
        <v>12681</v>
      </c>
      <c r="H40" s="2" t="s">
        <v>70</v>
      </c>
      <c r="I40" s="9">
        <v>12614.120301000001</v>
      </c>
      <c r="J40" s="7">
        <v>0.66500000000000004</v>
      </c>
      <c r="K40" s="9">
        <v>8388.39</v>
      </c>
      <c r="L40" s="14">
        <v>0</v>
      </c>
      <c r="M40" s="2" t="s">
        <v>71</v>
      </c>
      <c r="N40" s="2" t="s">
        <v>12595</v>
      </c>
      <c r="O40" s="2" t="s">
        <v>12682</v>
      </c>
      <c r="P40" s="9">
        <v>0</v>
      </c>
      <c r="Q40" s="9">
        <v>0</v>
      </c>
      <c r="R40" s="2" t="s">
        <v>12621</v>
      </c>
    </row>
    <row r="41" spans="1:18" x14ac:dyDescent="0.25">
      <c r="A41" s="2" t="s">
        <v>402</v>
      </c>
      <c r="B41" s="6">
        <v>46174</v>
      </c>
      <c r="C41" s="8">
        <v>46183</v>
      </c>
      <c r="D41" s="2" t="s">
        <v>136</v>
      </c>
      <c r="E41" s="2" t="s">
        <v>12593</v>
      </c>
      <c r="F41" s="2" t="s">
        <v>12432</v>
      </c>
      <c r="G41" s="2" t="s">
        <v>12683</v>
      </c>
      <c r="H41" s="2" t="s">
        <v>39</v>
      </c>
      <c r="I41" s="9">
        <v>8561.4</v>
      </c>
      <c r="J41" s="7">
        <v>1</v>
      </c>
      <c r="K41" s="9">
        <v>8561.4</v>
      </c>
      <c r="L41" s="14">
        <v>0</v>
      </c>
      <c r="M41" s="2" t="s">
        <v>71</v>
      </c>
      <c r="N41" s="2" t="s">
        <v>12595</v>
      </c>
      <c r="O41" s="2" t="s">
        <v>12684</v>
      </c>
      <c r="P41" s="9">
        <v>0</v>
      </c>
      <c r="Q41" s="9">
        <v>0</v>
      </c>
      <c r="R41" s="2" t="s">
        <v>12624</v>
      </c>
    </row>
    <row r="42" spans="1:18" x14ac:dyDescent="0.25">
      <c r="A42" s="2" t="s">
        <v>405</v>
      </c>
      <c r="B42" s="6">
        <v>46174</v>
      </c>
      <c r="C42" s="8">
        <v>46184</v>
      </c>
      <c r="D42" s="2" t="s">
        <v>136</v>
      </c>
      <c r="E42" s="2" t="s">
        <v>12593</v>
      </c>
      <c r="F42" s="2" t="s">
        <v>12423</v>
      </c>
      <c r="G42" s="2" t="s">
        <v>12685</v>
      </c>
      <c r="H42" s="2" t="s">
        <v>76</v>
      </c>
      <c r="I42" s="9">
        <v>-139750560</v>
      </c>
      <c r="J42" s="7">
        <v>6.2500000000000001E-5</v>
      </c>
      <c r="K42" s="9">
        <v>-8734.41</v>
      </c>
      <c r="L42" s="14">
        <v>0</v>
      </c>
      <c r="M42" s="2" t="s">
        <v>71</v>
      </c>
      <c r="N42" s="2" t="s">
        <v>12595</v>
      </c>
      <c r="O42" s="2" t="s">
        <v>12686</v>
      </c>
      <c r="P42" s="9">
        <v>0</v>
      </c>
      <c r="Q42" s="9">
        <v>0</v>
      </c>
      <c r="R42" s="2" t="s">
        <v>12597</v>
      </c>
    </row>
    <row r="43" spans="1:18" x14ac:dyDescent="0.25">
      <c r="A43" s="2" t="s">
        <v>408</v>
      </c>
      <c r="B43" s="6">
        <v>46174</v>
      </c>
      <c r="C43" s="8">
        <v>46185</v>
      </c>
      <c r="D43" s="2" t="s">
        <v>136</v>
      </c>
      <c r="E43" s="2" t="s">
        <v>12593</v>
      </c>
      <c r="F43" s="2" t="s">
        <v>12424</v>
      </c>
      <c r="G43" s="2" t="s">
        <v>12687</v>
      </c>
      <c r="H43" s="2" t="s">
        <v>70</v>
      </c>
      <c r="I43" s="9">
        <v>13394.616540999999</v>
      </c>
      <c r="J43" s="7">
        <v>0.66500000000000004</v>
      </c>
      <c r="K43" s="9">
        <v>8907.42</v>
      </c>
      <c r="L43" s="14">
        <v>0</v>
      </c>
      <c r="M43" s="2" t="s">
        <v>71</v>
      </c>
      <c r="N43" s="2" t="s">
        <v>12595</v>
      </c>
      <c r="O43" s="2" t="s">
        <v>12688</v>
      </c>
      <c r="P43" s="9">
        <v>0</v>
      </c>
      <c r="Q43" s="9">
        <v>0</v>
      </c>
      <c r="R43" s="2" t="s">
        <v>12600</v>
      </c>
    </row>
    <row r="44" spans="1:18" x14ac:dyDescent="0.25">
      <c r="A44" s="2" t="s">
        <v>411</v>
      </c>
      <c r="B44" s="6">
        <v>46174</v>
      </c>
      <c r="C44" s="8">
        <v>46186</v>
      </c>
      <c r="D44" s="2" t="s">
        <v>136</v>
      </c>
      <c r="E44" s="2" t="s">
        <v>12593</v>
      </c>
      <c r="F44" s="2" t="s">
        <v>12425</v>
      </c>
      <c r="G44" s="2" t="s">
        <v>12689</v>
      </c>
      <c r="H44" s="2" t="s">
        <v>39</v>
      </c>
      <c r="I44" s="9">
        <v>9080.43</v>
      </c>
      <c r="J44" s="7">
        <v>1</v>
      </c>
      <c r="K44" s="9">
        <v>9080.43</v>
      </c>
      <c r="L44" s="14">
        <v>0</v>
      </c>
      <c r="M44" s="2" t="s">
        <v>71</v>
      </c>
      <c r="N44" s="2" t="s">
        <v>12595</v>
      </c>
      <c r="O44" s="2" t="s">
        <v>12690</v>
      </c>
      <c r="P44" s="9">
        <v>0</v>
      </c>
      <c r="Q44" s="9">
        <v>0</v>
      </c>
      <c r="R44" s="2" t="s">
        <v>12603</v>
      </c>
    </row>
    <row r="45" spans="1:18" x14ac:dyDescent="0.25">
      <c r="A45" s="2" t="s">
        <v>414</v>
      </c>
      <c r="B45" s="6">
        <v>46174</v>
      </c>
      <c r="C45" s="8">
        <v>46187</v>
      </c>
      <c r="D45" s="2" t="s">
        <v>136</v>
      </c>
      <c r="E45" s="2" t="s">
        <v>12593</v>
      </c>
      <c r="F45" s="2" t="s">
        <v>12426</v>
      </c>
      <c r="G45" s="2" t="s">
        <v>12691</v>
      </c>
      <c r="H45" s="2" t="s">
        <v>76</v>
      </c>
      <c r="I45" s="9">
        <v>148055040</v>
      </c>
      <c r="J45" s="7">
        <v>6.2500000000000001E-5</v>
      </c>
      <c r="K45" s="9">
        <v>9253.44</v>
      </c>
      <c r="L45" s="14">
        <v>0</v>
      </c>
      <c r="M45" s="2" t="s">
        <v>71</v>
      </c>
      <c r="N45" s="2" t="s">
        <v>12595</v>
      </c>
      <c r="O45" s="2" t="s">
        <v>12692</v>
      </c>
      <c r="P45" s="9">
        <v>0</v>
      </c>
      <c r="Q45" s="9">
        <v>0</v>
      </c>
      <c r="R45" s="2" t="s">
        <v>12606</v>
      </c>
    </row>
    <row r="46" spans="1:18" x14ac:dyDescent="0.25">
      <c r="A46" s="2" t="s">
        <v>419</v>
      </c>
      <c r="B46" s="6">
        <v>46174</v>
      </c>
      <c r="C46" s="8">
        <v>46188</v>
      </c>
      <c r="D46" s="2" t="s">
        <v>136</v>
      </c>
      <c r="E46" s="2" t="s">
        <v>12593</v>
      </c>
      <c r="F46" s="2" t="s">
        <v>12427</v>
      </c>
      <c r="G46" s="2" t="s">
        <v>12693</v>
      </c>
      <c r="H46" s="2" t="s">
        <v>70</v>
      </c>
      <c r="I46" s="9">
        <v>14175.112782</v>
      </c>
      <c r="J46" s="7">
        <v>0.66500000000000004</v>
      </c>
      <c r="K46" s="9">
        <v>9426.4500000000007</v>
      </c>
      <c r="L46" s="14">
        <v>0</v>
      </c>
      <c r="M46" s="2" t="s">
        <v>71</v>
      </c>
      <c r="N46" s="2" t="s">
        <v>12595</v>
      </c>
      <c r="O46" s="2" t="s">
        <v>12694</v>
      </c>
      <c r="P46" s="9">
        <v>0</v>
      </c>
      <c r="Q46" s="9">
        <v>0</v>
      </c>
      <c r="R46" s="2" t="s">
        <v>12609</v>
      </c>
    </row>
    <row r="47" spans="1:18" x14ac:dyDescent="0.25">
      <c r="A47" s="2" t="s">
        <v>424</v>
      </c>
      <c r="B47" s="6">
        <v>46174</v>
      </c>
      <c r="C47" s="8">
        <v>46189</v>
      </c>
      <c r="D47" s="2" t="s">
        <v>136</v>
      </c>
      <c r="E47" s="2" t="s">
        <v>12593</v>
      </c>
      <c r="F47" s="2" t="s">
        <v>12428</v>
      </c>
      <c r="G47" s="2" t="s">
        <v>12695</v>
      </c>
      <c r="H47" s="2" t="s">
        <v>39</v>
      </c>
      <c r="I47" s="9">
        <v>9599.4599999999991</v>
      </c>
      <c r="J47" s="7">
        <v>1</v>
      </c>
      <c r="K47" s="9">
        <v>9599.4599999999991</v>
      </c>
      <c r="L47" s="14">
        <v>0</v>
      </c>
      <c r="M47" s="2" t="s">
        <v>71</v>
      </c>
      <c r="N47" s="2" t="s">
        <v>12595</v>
      </c>
      <c r="O47" s="2" t="s">
        <v>12696</v>
      </c>
      <c r="P47" s="9">
        <v>0</v>
      </c>
      <c r="Q47" s="9">
        <v>0</v>
      </c>
      <c r="R47" s="2" t="s">
        <v>12612</v>
      </c>
    </row>
    <row r="48" spans="1:18" x14ac:dyDescent="0.25">
      <c r="A48" s="2" t="s">
        <v>427</v>
      </c>
      <c r="B48" s="6">
        <v>46174</v>
      </c>
      <c r="C48" s="8">
        <v>46190</v>
      </c>
      <c r="D48" s="2" t="s">
        <v>136</v>
      </c>
      <c r="E48" s="2" t="s">
        <v>12593</v>
      </c>
      <c r="F48" s="2" t="s">
        <v>12429</v>
      </c>
      <c r="G48" s="2" t="s">
        <v>12697</v>
      </c>
      <c r="H48" s="2" t="s">
        <v>76</v>
      </c>
      <c r="I48" s="9">
        <v>156359520</v>
      </c>
      <c r="J48" s="7">
        <v>6.2500000000000001E-5</v>
      </c>
      <c r="K48" s="9">
        <v>9772.4699999999993</v>
      </c>
      <c r="L48" s="14">
        <v>0</v>
      </c>
      <c r="M48" s="2" t="s">
        <v>71</v>
      </c>
      <c r="N48" s="2" t="s">
        <v>12595</v>
      </c>
      <c r="O48" s="2" t="s">
        <v>12698</v>
      </c>
      <c r="P48" s="9">
        <v>0</v>
      </c>
      <c r="Q48" s="9">
        <v>0</v>
      </c>
      <c r="R48" s="2" t="s">
        <v>12615</v>
      </c>
    </row>
    <row r="49" spans="1:18" x14ac:dyDescent="0.25">
      <c r="A49" s="2" t="s">
        <v>430</v>
      </c>
      <c r="B49" s="6">
        <v>46174</v>
      </c>
      <c r="C49" s="8">
        <v>46191</v>
      </c>
      <c r="D49" s="2" t="s">
        <v>136</v>
      </c>
      <c r="E49" s="2" t="s">
        <v>12593</v>
      </c>
      <c r="F49" s="2" t="s">
        <v>12430</v>
      </c>
      <c r="G49" s="2" t="s">
        <v>12699</v>
      </c>
      <c r="H49" s="2" t="s">
        <v>70</v>
      </c>
      <c r="I49" s="9">
        <v>14955.609023000001</v>
      </c>
      <c r="J49" s="7">
        <v>0.66500000000000004</v>
      </c>
      <c r="K49" s="9">
        <v>9945.48</v>
      </c>
      <c r="L49" s="14">
        <v>0</v>
      </c>
      <c r="M49" s="2" t="s">
        <v>71</v>
      </c>
      <c r="N49" s="2" t="s">
        <v>12595</v>
      </c>
      <c r="O49" s="2" t="s">
        <v>12700</v>
      </c>
      <c r="P49" s="9">
        <v>0</v>
      </c>
      <c r="Q49" s="9">
        <v>0</v>
      </c>
      <c r="R49" s="2" t="s">
        <v>12618</v>
      </c>
    </row>
    <row r="50" spans="1:18" x14ac:dyDescent="0.25">
      <c r="A50" s="2" t="s">
        <v>435</v>
      </c>
      <c r="B50" s="6">
        <v>46174</v>
      </c>
      <c r="C50" s="8">
        <v>46192</v>
      </c>
      <c r="D50" s="2" t="s">
        <v>136</v>
      </c>
      <c r="E50" s="2" t="s">
        <v>12593</v>
      </c>
      <c r="F50" s="2" t="s">
        <v>12431</v>
      </c>
      <c r="G50" s="2" t="s">
        <v>12701</v>
      </c>
      <c r="H50" s="2" t="s">
        <v>39</v>
      </c>
      <c r="I50" s="9">
        <v>10118.49</v>
      </c>
      <c r="J50" s="7">
        <v>1</v>
      </c>
      <c r="K50" s="9">
        <v>10118.49</v>
      </c>
      <c r="L50" s="14">
        <v>0</v>
      </c>
      <c r="M50" s="2" t="s">
        <v>71</v>
      </c>
      <c r="N50" s="2" t="s">
        <v>12595</v>
      </c>
      <c r="O50" s="2" t="s">
        <v>12702</v>
      </c>
      <c r="P50" s="9">
        <v>0</v>
      </c>
      <c r="Q50" s="9">
        <v>0</v>
      </c>
      <c r="R50" s="2" t="s">
        <v>12621</v>
      </c>
    </row>
    <row r="51" spans="1:18" x14ac:dyDescent="0.25">
      <c r="A51" s="2" t="s">
        <v>438</v>
      </c>
      <c r="B51" s="6">
        <v>46174</v>
      </c>
      <c r="C51" s="8">
        <v>46193</v>
      </c>
      <c r="D51" s="2" t="s">
        <v>136</v>
      </c>
      <c r="E51" s="2" t="s">
        <v>12593</v>
      </c>
      <c r="F51" s="2" t="s">
        <v>12432</v>
      </c>
      <c r="G51" s="2" t="s">
        <v>12703</v>
      </c>
      <c r="H51" s="2" t="s">
        <v>76</v>
      </c>
      <c r="I51" s="9">
        <v>164664000</v>
      </c>
      <c r="J51" s="7">
        <v>6.2500000000000001E-5</v>
      </c>
      <c r="K51" s="9">
        <v>10291.5</v>
      </c>
      <c r="L51" s="14">
        <v>0</v>
      </c>
      <c r="M51" s="2" t="s">
        <v>71</v>
      </c>
      <c r="N51" s="2" t="s">
        <v>12595</v>
      </c>
      <c r="O51" s="2" t="s">
        <v>12704</v>
      </c>
      <c r="P51" s="9">
        <v>0</v>
      </c>
      <c r="Q51" s="9">
        <v>0</v>
      </c>
      <c r="R51" s="2" t="s">
        <v>12624</v>
      </c>
    </row>
    <row r="52" spans="1:18" x14ac:dyDescent="0.25">
      <c r="A52" s="2" t="s">
        <v>441</v>
      </c>
      <c r="B52" s="6">
        <v>46174</v>
      </c>
      <c r="C52" s="8">
        <v>46194</v>
      </c>
      <c r="D52" s="2" t="s">
        <v>136</v>
      </c>
      <c r="E52" s="2" t="s">
        <v>12593</v>
      </c>
      <c r="F52" s="2" t="s">
        <v>12423</v>
      </c>
      <c r="G52" s="2" t="s">
        <v>12705</v>
      </c>
      <c r="H52" s="2" t="s">
        <v>70</v>
      </c>
      <c r="I52" s="9">
        <v>15736.105262999999</v>
      </c>
      <c r="J52" s="7">
        <v>0.66500000000000004</v>
      </c>
      <c r="K52" s="9">
        <v>10464.51</v>
      </c>
      <c r="L52" s="14">
        <v>0</v>
      </c>
      <c r="M52" s="2" t="s">
        <v>71</v>
      </c>
      <c r="N52" s="2" t="s">
        <v>12595</v>
      </c>
      <c r="O52" s="2" t="s">
        <v>12706</v>
      </c>
      <c r="P52" s="9">
        <v>0</v>
      </c>
      <c r="Q52" s="9">
        <v>0</v>
      </c>
      <c r="R52" s="2" t="s">
        <v>12597</v>
      </c>
    </row>
    <row r="53" spans="1:18" x14ac:dyDescent="0.25">
      <c r="A53" s="2" t="s">
        <v>444</v>
      </c>
      <c r="B53" s="6">
        <v>46174</v>
      </c>
      <c r="C53" s="8">
        <v>46195</v>
      </c>
      <c r="D53" s="2" t="s">
        <v>136</v>
      </c>
      <c r="E53" s="2" t="s">
        <v>12593</v>
      </c>
      <c r="F53" s="2" t="s">
        <v>12424</v>
      </c>
      <c r="G53" s="2" t="s">
        <v>12707</v>
      </c>
      <c r="H53" s="2" t="s">
        <v>39</v>
      </c>
      <c r="I53" s="9">
        <v>10637.52</v>
      </c>
      <c r="J53" s="7">
        <v>1</v>
      </c>
      <c r="K53" s="9">
        <v>10637.52</v>
      </c>
      <c r="L53" s="14">
        <v>0</v>
      </c>
      <c r="M53" s="2" t="s">
        <v>71</v>
      </c>
      <c r="N53" s="2" t="s">
        <v>12595</v>
      </c>
      <c r="O53" s="2" t="s">
        <v>12708</v>
      </c>
      <c r="P53" s="9">
        <v>0</v>
      </c>
      <c r="Q53" s="9">
        <v>0</v>
      </c>
      <c r="R53" s="2" t="s">
        <v>12600</v>
      </c>
    </row>
    <row r="54" spans="1:18" x14ac:dyDescent="0.25">
      <c r="A54" s="2" t="s">
        <v>447</v>
      </c>
      <c r="B54" s="6">
        <v>46174</v>
      </c>
      <c r="C54" s="8">
        <v>46196</v>
      </c>
      <c r="D54" s="2" t="s">
        <v>136</v>
      </c>
      <c r="E54" s="2" t="s">
        <v>12593</v>
      </c>
      <c r="F54" s="2" t="s">
        <v>12425</v>
      </c>
      <c r="G54" s="2" t="s">
        <v>12709</v>
      </c>
      <c r="H54" s="2" t="s">
        <v>76</v>
      </c>
      <c r="I54" s="9">
        <v>172968480</v>
      </c>
      <c r="J54" s="7">
        <v>6.2500000000000001E-5</v>
      </c>
      <c r="K54" s="9">
        <v>10810.53</v>
      </c>
      <c r="L54" s="14">
        <v>0</v>
      </c>
      <c r="M54" s="2" t="s">
        <v>71</v>
      </c>
      <c r="N54" s="2" t="s">
        <v>12595</v>
      </c>
      <c r="O54" s="2" t="s">
        <v>12710</v>
      </c>
      <c r="P54" s="9">
        <v>0</v>
      </c>
      <c r="Q54" s="9">
        <v>0</v>
      </c>
      <c r="R54" s="2" t="s">
        <v>12603</v>
      </c>
    </row>
    <row r="55" spans="1:18" x14ac:dyDescent="0.25">
      <c r="A55" s="2" t="s">
        <v>450</v>
      </c>
      <c r="B55" s="6">
        <v>46174</v>
      </c>
      <c r="C55" s="8">
        <v>46197</v>
      </c>
      <c r="D55" s="2" t="s">
        <v>136</v>
      </c>
      <c r="E55" s="2" t="s">
        <v>12593</v>
      </c>
      <c r="F55" s="2" t="s">
        <v>12426</v>
      </c>
      <c r="G55" s="2" t="s">
        <v>12711</v>
      </c>
      <c r="H55" s="2" t="s">
        <v>70</v>
      </c>
      <c r="I55" s="9">
        <v>16516.601503999998</v>
      </c>
      <c r="J55" s="7">
        <v>0.66500000000000004</v>
      </c>
      <c r="K55" s="9">
        <v>10983.54</v>
      </c>
      <c r="L55" s="14">
        <v>0</v>
      </c>
      <c r="M55" s="2" t="s">
        <v>71</v>
      </c>
      <c r="N55" s="2" t="s">
        <v>12595</v>
      </c>
      <c r="O55" s="2" t="s">
        <v>12712</v>
      </c>
      <c r="P55" s="9">
        <v>0</v>
      </c>
      <c r="Q55" s="9">
        <v>0</v>
      </c>
      <c r="R55" s="2" t="s">
        <v>12606</v>
      </c>
    </row>
    <row r="56" spans="1:18" x14ac:dyDescent="0.25">
      <c r="A56" s="2" t="s">
        <v>455</v>
      </c>
      <c r="B56" s="6">
        <v>46174</v>
      </c>
      <c r="C56" s="8">
        <v>46198</v>
      </c>
      <c r="D56" s="2" t="s">
        <v>136</v>
      </c>
      <c r="E56" s="2" t="s">
        <v>12593</v>
      </c>
      <c r="F56" s="2" t="s">
        <v>12427</v>
      </c>
      <c r="G56" s="2" t="s">
        <v>12713</v>
      </c>
      <c r="H56" s="2" t="s">
        <v>39</v>
      </c>
      <c r="I56" s="9">
        <v>11156.55</v>
      </c>
      <c r="J56" s="7">
        <v>1</v>
      </c>
      <c r="K56" s="9">
        <v>11156.55</v>
      </c>
      <c r="L56" s="14">
        <v>0</v>
      </c>
      <c r="M56" s="2" t="s">
        <v>71</v>
      </c>
      <c r="N56" s="2" t="s">
        <v>12595</v>
      </c>
      <c r="O56" s="2" t="s">
        <v>12714</v>
      </c>
      <c r="P56" s="9">
        <v>0</v>
      </c>
      <c r="Q56" s="9">
        <v>0</v>
      </c>
      <c r="R56" s="2" t="s">
        <v>12609</v>
      </c>
    </row>
    <row r="57" spans="1:18" x14ac:dyDescent="0.25">
      <c r="A57" s="2" t="s">
        <v>460</v>
      </c>
      <c r="B57" s="6">
        <v>46174</v>
      </c>
      <c r="C57" s="8">
        <v>46199</v>
      </c>
      <c r="D57" s="2" t="s">
        <v>136</v>
      </c>
      <c r="E57" s="2" t="s">
        <v>12593</v>
      </c>
      <c r="F57" s="2" t="s">
        <v>12428</v>
      </c>
      <c r="G57" s="2" t="s">
        <v>12715</v>
      </c>
      <c r="H57" s="2" t="s">
        <v>76</v>
      </c>
      <c r="I57" s="9">
        <v>181272960</v>
      </c>
      <c r="J57" s="7">
        <v>6.2500000000000001E-5</v>
      </c>
      <c r="K57" s="9">
        <v>11329.56</v>
      </c>
      <c r="L57" s="14">
        <v>0</v>
      </c>
      <c r="M57" s="2" t="s">
        <v>71</v>
      </c>
      <c r="N57" s="2" t="s">
        <v>12595</v>
      </c>
      <c r="O57" s="2" t="s">
        <v>12716</v>
      </c>
      <c r="P57" s="9">
        <v>0</v>
      </c>
      <c r="Q57" s="9">
        <v>0</v>
      </c>
      <c r="R57" s="2" t="s">
        <v>12612</v>
      </c>
    </row>
    <row r="58" spans="1:18" x14ac:dyDescent="0.25">
      <c r="A58" s="2" t="s">
        <v>463</v>
      </c>
      <c r="B58" s="6">
        <v>46174</v>
      </c>
      <c r="C58" s="8">
        <v>46200</v>
      </c>
      <c r="D58" s="2" t="s">
        <v>136</v>
      </c>
      <c r="E58" s="2" t="s">
        <v>12593</v>
      </c>
      <c r="F58" s="2" t="s">
        <v>12429</v>
      </c>
      <c r="G58" s="2" t="s">
        <v>12717</v>
      </c>
      <c r="H58" s="2" t="s">
        <v>70</v>
      </c>
      <c r="I58" s="9">
        <v>17297.097743999999</v>
      </c>
      <c r="J58" s="7">
        <v>0.66500000000000004</v>
      </c>
      <c r="K58" s="9">
        <v>11502.57</v>
      </c>
      <c r="L58" s="14">
        <v>0</v>
      </c>
      <c r="M58" s="2" t="s">
        <v>71</v>
      </c>
      <c r="N58" s="2" t="s">
        <v>12595</v>
      </c>
      <c r="O58" s="2" t="s">
        <v>12718</v>
      </c>
      <c r="P58" s="9">
        <v>0</v>
      </c>
      <c r="Q58" s="9">
        <v>0</v>
      </c>
      <c r="R58" s="2" t="s">
        <v>12615</v>
      </c>
    </row>
    <row r="59" spans="1:18" x14ac:dyDescent="0.25">
      <c r="A59" s="2" t="s">
        <v>466</v>
      </c>
      <c r="B59" s="6">
        <v>46174</v>
      </c>
      <c r="C59" s="8">
        <v>46201</v>
      </c>
      <c r="D59" s="2" t="s">
        <v>136</v>
      </c>
      <c r="E59" s="2" t="s">
        <v>12593</v>
      </c>
      <c r="F59" s="2" t="s">
        <v>12430</v>
      </c>
      <c r="G59" s="2" t="s">
        <v>12719</v>
      </c>
      <c r="H59" s="2" t="s">
        <v>39</v>
      </c>
      <c r="I59" s="9">
        <v>11675.58</v>
      </c>
      <c r="J59" s="7">
        <v>1</v>
      </c>
      <c r="K59" s="9">
        <v>11675.58</v>
      </c>
      <c r="L59" s="14">
        <v>0</v>
      </c>
      <c r="M59" s="2" t="s">
        <v>71</v>
      </c>
      <c r="N59" s="2" t="s">
        <v>12595</v>
      </c>
      <c r="O59" s="2" t="s">
        <v>12720</v>
      </c>
      <c r="P59" s="9">
        <v>0</v>
      </c>
      <c r="Q59" s="9">
        <v>0</v>
      </c>
      <c r="R59" s="2" t="s">
        <v>12618</v>
      </c>
    </row>
    <row r="60" spans="1:18" x14ac:dyDescent="0.25">
      <c r="A60" s="2" t="s">
        <v>471</v>
      </c>
      <c r="B60" s="6">
        <v>46174</v>
      </c>
      <c r="C60" s="8">
        <v>46202</v>
      </c>
      <c r="D60" s="2" t="s">
        <v>136</v>
      </c>
      <c r="E60" s="2" t="s">
        <v>12593</v>
      </c>
      <c r="F60" s="2" t="s">
        <v>12431</v>
      </c>
      <c r="G60" s="2" t="s">
        <v>12721</v>
      </c>
      <c r="H60" s="2" t="s">
        <v>76</v>
      </c>
      <c r="I60" s="9">
        <v>189577440</v>
      </c>
      <c r="J60" s="7">
        <v>6.2500000000000001E-5</v>
      </c>
      <c r="K60" s="9">
        <v>11848.59</v>
      </c>
      <c r="L60" s="14">
        <v>0</v>
      </c>
      <c r="M60" s="2" t="s">
        <v>71</v>
      </c>
      <c r="N60" s="2" t="s">
        <v>12595</v>
      </c>
      <c r="O60" s="2" t="s">
        <v>12722</v>
      </c>
      <c r="P60" s="9">
        <v>0</v>
      </c>
      <c r="Q60" s="9">
        <v>0</v>
      </c>
      <c r="R60" s="2" t="s">
        <v>12621</v>
      </c>
    </row>
    <row r="61" spans="1:18" x14ac:dyDescent="0.25">
      <c r="A61" s="2" t="s">
        <v>474</v>
      </c>
      <c r="B61" s="6">
        <v>46174</v>
      </c>
      <c r="C61" s="8">
        <v>46203</v>
      </c>
      <c r="D61" s="2" t="s">
        <v>136</v>
      </c>
      <c r="E61" s="2" t="s">
        <v>12593</v>
      </c>
      <c r="F61" s="2" t="s">
        <v>12432</v>
      </c>
      <c r="G61" s="2" t="s">
        <v>12723</v>
      </c>
      <c r="H61" s="2" t="s">
        <v>70</v>
      </c>
      <c r="I61" s="9">
        <v>18077.593985</v>
      </c>
      <c r="J61" s="7">
        <v>0.66500000000000004</v>
      </c>
      <c r="K61" s="9">
        <v>12021.6</v>
      </c>
      <c r="L61" s="14">
        <v>0</v>
      </c>
      <c r="M61" s="2" t="s">
        <v>71</v>
      </c>
      <c r="N61" s="2" t="s">
        <v>12595</v>
      </c>
      <c r="O61" s="2" t="s">
        <v>12724</v>
      </c>
      <c r="P61" s="9">
        <v>0</v>
      </c>
      <c r="Q61" s="9">
        <v>0</v>
      </c>
      <c r="R61" s="2" t="s">
        <v>12624</v>
      </c>
    </row>
    <row r="62" spans="1:18" x14ac:dyDescent="0.25">
      <c r="A62" s="2" t="s">
        <v>477</v>
      </c>
      <c r="B62" s="6">
        <v>46174</v>
      </c>
      <c r="C62" s="8">
        <v>46174</v>
      </c>
      <c r="D62" s="2" t="s">
        <v>136</v>
      </c>
      <c r="E62" s="2" t="s">
        <v>12593</v>
      </c>
      <c r="F62" s="2" t="s">
        <v>12423</v>
      </c>
      <c r="G62" s="2" t="s">
        <v>12725</v>
      </c>
      <c r="H62" s="2" t="s">
        <v>39</v>
      </c>
      <c r="I62" s="9">
        <v>12194.61</v>
      </c>
      <c r="J62" s="7">
        <v>1</v>
      </c>
      <c r="K62" s="9">
        <v>12194.61</v>
      </c>
      <c r="L62" s="14">
        <v>0</v>
      </c>
      <c r="M62" s="2" t="s">
        <v>71</v>
      </c>
      <c r="N62" s="2" t="s">
        <v>12595</v>
      </c>
      <c r="O62" s="2" t="s">
        <v>12726</v>
      </c>
      <c r="P62" s="9">
        <v>0</v>
      </c>
      <c r="Q62" s="9">
        <v>0</v>
      </c>
      <c r="R62" s="2" t="s">
        <v>12597</v>
      </c>
    </row>
    <row r="63" spans="1:18" x14ac:dyDescent="0.25">
      <c r="A63" s="2" t="s">
        <v>480</v>
      </c>
      <c r="B63" s="6">
        <v>46174</v>
      </c>
      <c r="C63" s="8">
        <v>46175</v>
      </c>
      <c r="D63" s="2" t="s">
        <v>136</v>
      </c>
      <c r="E63" s="2" t="s">
        <v>12593</v>
      </c>
      <c r="F63" s="2" t="s">
        <v>12424</v>
      </c>
      <c r="G63" s="2" t="s">
        <v>12727</v>
      </c>
      <c r="H63" s="2" t="s">
        <v>76</v>
      </c>
      <c r="I63" s="9">
        <v>197881920</v>
      </c>
      <c r="J63" s="7">
        <v>6.2500000000000001E-5</v>
      </c>
      <c r="K63" s="9">
        <v>12367.62</v>
      </c>
      <c r="L63" s="14">
        <v>0</v>
      </c>
      <c r="M63" s="2" t="s">
        <v>71</v>
      </c>
      <c r="N63" s="2" t="s">
        <v>12595</v>
      </c>
      <c r="O63" s="2" t="s">
        <v>12728</v>
      </c>
      <c r="P63" s="9">
        <v>0</v>
      </c>
      <c r="Q63" s="9">
        <v>0</v>
      </c>
      <c r="R63" s="2" t="s">
        <v>12600</v>
      </c>
    </row>
    <row r="64" spans="1:18" x14ac:dyDescent="0.25">
      <c r="A64" s="2" t="s">
        <v>483</v>
      </c>
      <c r="B64" s="6">
        <v>46174</v>
      </c>
      <c r="C64" s="8">
        <v>46176</v>
      </c>
      <c r="D64" s="2" t="s">
        <v>136</v>
      </c>
      <c r="E64" s="2" t="s">
        <v>12593</v>
      </c>
      <c r="F64" s="2" t="s">
        <v>12425</v>
      </c>
      <c r="G64" s="2" t="s">
        <v>12729</v>
      </c>
      <c r="H64" s="2" t="s">
        <v>70</v>
      </c>
      <c r="I64" s="9">
        <v>18858.090226</v>
      </c>
      <c r="J64" s="7">
        <v>0.66500000000000004</v>
      </c>
      <c r="K64" s="9">
        <v>12540.63</v>
      </c>
      <c r="L64" s="14">
        <v>0</v>
      </c>
      <c r="M64" s="2" t="s">
        <v>71</v>
      </c>
      <c r="N64" s="2" t="s">
        <v>12595</v>
      </c>
      <c r="O64" s="2" t="s">
        <v>12730</v>
      </c>
      <c r="P64" s="9">
        <v>0</v>
      </c>
      <c r="Q64" s="9">
        <v>0</v>
      </c>
      <c r="R64" s="2" t="s">
        <v>12603</v>
      </c>
    </row>
    <row r="65" spans="1:18" x14ac:dyDescent="0.25">
      <c r="A65" s="2" t="s">
        <v>486</v>
      </c>
      <c r="B65" s="6">
        <v>46174</v>
      </c>
      <c r="C65" s="8">
        <v>46177</v>
      </c>
      <c r="D65" s="2" t="s">
        <v>136</v>
      </c>
      <c r="E65" s="2" t="s">
        <v>12593</v>
      </c>
      <c r="F65" s="2" t="s">
        <v>12426</v>
      </c>
      <c r="G65" s="2" t="s">
        <v>12731</v>
      </c>
      <c r="H65" s="2" t="s">
        <v>39</v>
      </c>
      <c r="I65" s="9">
        <v>12713.64</v>
      </c>
      <c r="J65" s="7">
        <v>1</v>
      </c>
      <c r="K65" s="9">
        <v>12713.64</v>
      </c>
      <c r="L65" s="14">
        <v>0</v>
      </c>
      <c r="M65" s="2" t="s">
        <v>71</v>
      </c>
      <c r="N65" s="2" t="s">
        <v>12595</v>
      </c>
      <c r="O65" s="2" t="s">
        <v>12732</v>
      </c>
      <c r="P65" s="9">
        <v>0</v>
      </c>
      <c r="Q65" s="9">
        <v>0</v>
      </c>
      <c r="R65" s="2" t="s">
        <v>12606</v>
      </c>
    </row>
    <row r="66" spans="1:18" x14ac:dyDescent="0.25">
      <c r="A66" s="2" t="s">
        <v>491</v>
      </c>
      <c r="B66" s="6">
        <v>46174</v>
      </c>
      <c r="C66" s="8">
        <v>46178</v>
      </c>
      <c r="D66" s="2" t="s">
        <v>136</v>
      </c>
      <c r="E66" s="2" t="s">
        <v>12593</v>
      </c>
      <c r="F66" s="2" t="s">
        <v>12427</v>
      </c>
      <c r="G66" s="2" t="s">
        <v>12733</v>
      </c>
      <c r="H66" s="2" t="s">
        <v>76</v>
      </c>
      <c r="I66" s="9">
        <v>206186400</v>
      </c>
      <c r="J66" s="7">
        <v>6.2500000000000001E-5</v>
      </c>
      <c r="K66" s="9">
        <v>12886.65</v>
      </c>
      <c r="L66" s="14">
        <v>0</v>
      </c>
      <c r="M66" s="2" t="s">
        <v>71</v>
      </c>
      <c r="N66" s="2" t="s">
        <v>12595</v>
      </c>
      <c r="O66" s="2" t="s">
        <v>12734</v>
      </c>
      <c r="P66" s="9">
        <v>0</v>
      </c>
      <c r="Q66" s="9">
        <v>0</v>
      </c>
      <c r="R66" s="2" t="s">
        <v>12609</v>
      </c>
    </row>
    <row r="67" spans="1:18" x14ac:dyDescent="0.25">
      <c r="A67" s="2" t="s">
        <v>496</v>
      </c>
      <c r="B67" s="6">
        <v>46174</v>
      </c>
      <c r="C67" s="8">
        <v>46179</v>
      </c>
      <c r="D67" s="2" t="s">
        <v>136</v>
      </c>
      <c r="E67" s="2" t="s">
        <v>12593</v>
      </c>
      <c r="F67" s="2" t="s">
        <v>12428</v>
      </c>
      <c r="G67" s="2" t="s">
        <v>12735</v>
      </c>
      <c r="H67" s="2" t="s">
        <v>70</v>
      </c>
      <c r="I67" s="9">
        <v>19638.586466000001</v>
      </c>
      <c r="J67" s="7">
        <v>0.66500000000000004</v>
      </c>
      <c r="K67" s="9">
        <v>13059.66</v>
      </c>
      <c r="L67" s="14">
        <v>0</v>
      </c>
      <c r="M67" s="2" t="s">
        <v>71</v>
      </c>
      <c r="N67" s="2" t="s">
        <v>12595</v>
      </c>
      <c r="O67" s="2" t="s">
        <v>12736</v>
      </c>
      <c r="P67" s="9">
        <v>0</v>
      </c>
      <c r="Q67" s="9">
        <v>0</v>
      </c>
      <c r="R67" s="2" t="s">
        <v>12612</v>
      </c>
    </row>
    <row r="68" spans="1:18" x14ac:dyDescent="0.25">
      <c r="A68" s="2" t="s">
        <v>499</v>
      </c>
      <c r="B68" s="6">
        <v>46174</v>
      </c>
      <c r="C68" s="8">
        <v>46180</v>
      </c>
      <c r="D68" s="2" t="s">
        <v>136</v>
      </c>
      <c r="E68" s="2" t="s">
        <v>12593</v>
      </c>
      <c r="F68" s="2" t="s">
        <v>12429</v>
      </c>
      <c r="G68" s="2" t="s">
        <v>12737</v>
      </c>
      <c r="H68" s="2" t="s">
        <v>39</v>
      </c>
      <c r="I68" s="9">
        <v>13232.67</v>
      </c>
      <c r="J68" s="7">
        <v>1</v>
      </c>
      <c r="K68" s="9">
        <v>13232.67</v>
      </c>
      <c r="L68" s="14">
        <v>0</v>
      </c>
      <c r="M68" s="2" t="s">
        <v>71</v>
      </c>
      <c r="N68" s="2" t="s">
        <v>12595</v>
      </c>
      <c r="O68" s="2" t="s">
        <v>12738</v>
      </c>
      <c r="P68" s="9">
        <v>0</v>
      </c>
      <c r="Q68" s="9">
        <v>0</v>
      </c>
      <c r="R68" s="2" t="s">
        <v>12615</v>
      </c>
    </row>
    <row r="69" spans="1:18" x14ac:dyDescent="0.25">
      <c r="A69" s="2" t="s">
        <v>502</v>
      </c>
      <c r="B69" s="6">
        <v>46174</v>
      </c>
      <c r="C69" s="8">
        <v>46181</v>
      </c>
      <c r="D69" s="2" t="s">
        <v>136</v>
      </c>
      <c r="E69" s="2" t="s">
        <v>12593</v>
      </c>
      <c r="F69" s="2" t="s">
        <v>12430</v>
      </c>
      <c r="G69" s="2" t="s">
        <v>12739</v>
      </c>
      <c r="H69" s="2" t="s">
        <v>76</v>
      </c>
      <c r="I69" s="9">
        <v>214490880</v>
      </c>
      <c r="J69" s="7">
        <v>6.2500000000000001E-5</v>
      </c>
      <c r="K69" s="9">
        <v>13405.68</v>
      </c>
      <c r="L69" s="14">
        <v>0</v>
      </c>
      <c r="M69" s="2" t="s">
        <v>71</v>
      </c>
      <c r="N69" s="2" t="s">
        <v>12595</v>
      </c>
      <c r="O69" s="2" t="s">
        <v>12740</v>
      </c>
      <c r="P69" s="9">
        <v>0</v>
      </c>
      <c r="Q69" s="9">
        <v>0</v>
      </c>
      <c r="R69" s="2" t="s">
        <v>12618</v>
      </c>
    </row>
    <row r="70" spans="1:18" x14ac:dyDescent="0.25">
      <c r="A70" s="2" t="s">
        <v>507</v>
      </c>
      <c r="B70" s="6">
        <v>46174</v>
      </c>
      <c r="C70" s="8">
        <v>46182</v>
      </c>
      <c r="D70" s="2" t="s">
        <v>136</v>
      </c>
      <c r="E70" s="2" t="s">
        <v>12593</v>
      </c>
      <c r="F70" s="2" t="s">
        <v>12431</v>
      </c>
      <c r="G70" s="2" t="s">
        <v>12741</v>
      </c>
      <c r="H70" s="2" t="s">
        <v>70</v>
      </c>
      <c r="I70" s="9">
        <v>20419.082707000001</v>
      </c>
      <c r="J70" s="7">
        <v>0.66500000000000004</v>
      </c>
      <c r="K70" s="9">
        <v>13578.69</v>
      </c>
      <c r="L70" s="14">
        <v>0</v>
      </c>
      <c r="M70" s="2" t="s">
        <v>71</v>
      </c>
      <c r="N70" s="2" t="s">
        <v>12595</v>
      </c>
      <c r="O70" s="2" t="s">
        <v>12742</v>
      </c>
      <c r="P70" s="9">
        <v>0</v>
      </c>
      <c r="Q70" s="9">
        <v>0</v>
      </c>
      <c r="R70" s="2" t="s">
        <v>12621</v>
      </c>
    </row>
    <row r="71" spans="1:18" x14ac:dyDescent="0.25">
      <c r="A71" s="2" t="s">
        <v>510</v>
      </c>
      <c r="B71" s="6">
        <v>46174</v>
      </c>
      <c r="C71" s="8">
        <v>46183</v>
      </c>
      <c r="D71" s="2" t="s">
        <v>136</v>
      </c>
      <c r="E71" s="2" t="s">
        <v>12593</v>
      </c>
      <c r="F71" s="2" t="s">
        <v>12432</v>
      </c>
      <c r="G71" s="2" t="s">
        <v>12743</v>
      </c>
      <c r="H71" s="2" t="s">
        <v>39</v>
      </c>
      <c r="I71" s="9">
        <v>13751.7</v>
      </c>
      <c r="J71" s="7">
        <v>1</v>
      </c>
      <c r="K71" s="9">
        <v>13751.7</v>
      </c>
      <c r="L71" s="14">
        <v>0</v>
      </c>
      <c r="M71" s="2" t="s">
        <v>71</v>
      </c>
      <c r="N71" s="2" t="s">
        <v>12595</v>
      </c>
      <c r="O71" s="2" t="s">
        <v>12744</v>
      </c>
      <c r="P71" s="9">
        <v>0</v>
      </c>
      <c r="Q71" s="9">
        <v>0</v>
      </c>
      <c r="R71" s="2" t="s">
        <v>12624</v>
      </c>
    </row>
    <row r="72" spans="1:18" x14ac:dyDescent="0.25">
      <c r="A72" s="2" t="s">
        <v>513</v>
      </c>
      <c r="B72" s="6">
        <v>46174</v>
      </c>
      <c r="C72" s="8">
        <v>46184</v>
      </c>
      <c r="D72" s="2" t="s">
        <v>136</v>
      </c>
      <c r="E72" s="2" t="s">
        <v>12593</v>
      </c>
      <c r="F72" s="2" t="s">
        <v>12423</v>
      </c>
      <c r="G72" s="2" t="s">
        <v>12745</v>
      </c>
      <c r="H72" s="2" t="s">
        <v>76</v>
      </c>
      <c r="I72" s="9">
        <v>222795360</v>
      </c>
      <c r="J72" s="7">
        <v>6.2500000000000001E-5</v>
      </c>
      <c r="K72" s="9">
        <v>13924.71</v>
      </c>
      <c r="L72" s="14">
        <v>0</v>
      </c>
      <c r="M72" s="2" t="s">
        <v>71</v>
      </c>
      <c r="N72" s="2" t="s">
        <v>12595</v>
      </c>
      <c r="O72" s="2" t="s">
        <v>12746</v>
      </c>
      <c r="P72" s="9">
        <v>0</v>
      </c>
      <c r="Q72" s="9">
        <v>0</v>
      </c>
      <c r="R72" s="2" t="s">
        <v>12597</v>
      </c>
    </row>
    <row r="73" spans="1:18" x14ac:dyDescent="0.25">
      <c r="A73" s="2" t="s">
        <v>516</v>
      </c>
      <c r="B73" s="6">
        <v>46174</v>
      </c>
      <c r="C73" s="8">
        <v>46185</v>
      </c>
      <c r="D73" s="2" t="s">
        <v>136</v>
      </c>
      <c r="E73" s="2" t="s">
        <v>12593</v>
      </c>
      <c r="F73" s="2" t="s">
        <v>12424</v>
      </c>
      <c r="G73" s="2" t="s">
        <v>12747</v>
      </c>
      <c r="H73" s="2" t="s">
        <v>70</v>
      </c>
      <c r="I73" s="9">
        <v>21199.578947000002</v>
      </c>
      <c r="J73" s="7">
        <v>0.66500000000000004</v>
      </c>
      <c r="K73" s="9">
        <v>14097.72</v>
      </c>
      <c r="L73" s="14">
        <v>0</v>
      </c>
      <c r="M73" s="2" t="s">
        <v>71</v>
      </c>
      <c r="N73" s="2" t="s">
        <v>12595</v>
      </c>
      <c r="O73" s="2" t="s">
        <v>12748</v>
      </c>
      <c r="P73" s="9">
        <v>0</v>
      </c>
      <c r="Q73" s="9">
        <v>0</v>
      </c>
      <c r="R73" s="2" t="s">
        <v>12600</v>
      </c>
    </row>
    <row r="74" spans="1:18" x14ac:dyDescent="0.25">
      <c r="A74" s="2" t="s">
        <v>519</v>
      </c>
      <c r="B74" s="6">
        <v>46174</v>
      </c>
      <c r="C74" s="8">
        <v>46186</v>
      </c>
      <c r="D74" s="2" t="s">
        <v>136</v>
      </c>
      <c r="E74" s="2" t="s">
        <v>12593</v>
      </c>
      <c r="F74" s="2" t="s">
        <v>12425</v>
      </c>
      <c r="G74" s="2" t="s">
        <v>12749</v>
      </c>
      <c r="H74" s="2" t="s">
        <v>39</v>
      </c>
      <c r="I74" s="9">
        <v>14270.73</v>
      </c>
      <c r="J74" s="7">
        <v>1</v>
      </c>
      <c r="K74" s="9">
        <v>14270.73</v>
      </c>
      <c r="L74" s="14">
        <v>0</v>
      </c>
      <c r="M74" s="2" t="s">
        <v>71</v>
      </c>
      <c r="N74" s="2" t="s">
        <v>12595</v>
      </c>
      <c r="O74" s="2" t="s">
        <v>12750</v>
      </c>
      <c r="P74" s="9">
        <v>0</v>
      </c>
      <c r="Q74" s="9">
        <v>0</v>
      </c>
      <c r="R74" s="2" t="s">
        <v>12603</v>
      </c>
    </row>
    <row r="75" spans="1:18" x14ac:dyDescent="0.25">
      <c r="A75" s="2" t="s">
        <v>522</v>
      </c>
      <c r="B75" s="6">
        <v>46174</v>
      </c>
      <c r="C75" s="8">
        <v>46187</v>
      </c>
      <c r="D75" s="2" t="s">
        <v>136</v>
      </c>
      <c r="E75" s="2" t="s">
        <v>12593</v>
      </c>
      <c r="F75" s="2" t="s">
        <v>12426</v>
      </c>
      <c r="G75" s="2" t="s">
        <v>12751</v>
      </c>
      <c r="H75" s="2" t="s">
        <v>76</v>
      </c>
      <c r="I75" s="9">
        <v>231099840</v>
      </c>
      <c r="J75" s="7">
        <v>6.2500000000000001E-5</v>
      </c>
      <c r="K75" s="9">
        <v>14443.74</v>
      </c>
      <c r="L75" s="14">
        <v>0</v>
      </c>
      <c r="M75" s="2" t="s">
        <v>71</v>
      </c>
      <c r="N75" s="2" t="s">
        <v>12595</v>
      </c>
      <c r="O75" s="2" t="s">
        <v>12752</v>
      </c>
      <c r="P75" s="9">
        <v>0</v>
      </c>
      <c r="Q75" s="9">
        <v>0</v>
      </c>
      <c r="R75" s="2" t="s">
        <v>12606</v>
      </c>
    </row>
    <row r="76" spans="1:18" x14ac:dyDescent="0.25">
      <c r="A76" s="2" t="s">
        <v>527</v>
      </c>
      <c r="B76" s="6">
        <v>46174</v>
      </c>
      <c r="C76" s="8">
        <v>46188</v>
      </c>
      <c r="D76" s="2" t="s">
        <v>136</v>
      </c>
      <c r="E76" s="2" t="s">
        <v>12593</v>
      </c>
      <c r="F76" s="2" t="s">
        <v>12427</v>
      </c>
      <c r="G76" s="2" t="s">
        <v>12753</v>
      </c>
      <c r="H76" s="2" t="s">
        <v>70</v>
      </c>
      <c r="I76" s="9">
        <v>21980.075187999999</v>
      </c>
      <c r="J76" s="7">
        <v>0.66500000000000004</v>
      </c>
      <c r="K76" s="9">
        <v>14616.75</v>
      </c>
      <c r="L76" s="14">
        <v>0</v>
      </c>
      <c r="M76" s="2" t="s">
        <v>71</v>
      </c>
      <c r="N76" s="2" t="s">
        <v>12595</v>
      </c>
      <c r="O76" s="2" t="s">
        <v>12754</v>
      </c>
      <c r="P76" s="9">
        <v>0</v>
      </c>
      <c r="Q76" s="9">
        <v>0</v>
      </c>
      <c r="R76" s="2" t="s">
        <v>12609</v>
      </c>
    </row>
    <row r="77" spans="1:18" x14ac:dyDescent="0.25">
      <c r="A77" s="2" t="s">
        <v>532</v>
      </c>
      <c r="B77" s="6">
        <v>46174</v>
      </c>
      <c r="C77" s="8">
        <v>46189</v>
      </c>
      <c r="D77" s="2" t="s">
        <v>136</v>
      </c>
      <c r="E77" s="2" t="s">
        <v>12593</v>
      </c>
      <c r="F77" s="2" t="s">
        <v>12428</v>
      </c>
      <c r="G77" s="2" t="s">
        <v>12755</v>
      </c>
      <c r="H77" s="2" t="s">
        <v>39</v>
      </c>
      <c r="I77" s="9">
        <v>14789.76</v>
      </c>
      <c r="J77" s="7">
        <v>1</v>
      </c>
      <c r="K77" s="9">
        <v>14789.76</v>
      </c>
      <c r="L77" s="14">
        <v>0</v>
      </c>
      <c r="M77" s="2" t="s">
        <v>71</v>
      </c>
      <c r="N77" s="2" t="s">
        <v>12595</v>
      </c>
      <c r="O77" s="2" t="s">
        <v>12756</v>
      </c>
      <c r="P77" s="9">
        <v>0</v>
      </c>
      <c r="Q77" s="9">
        <v>0</v>
      </c>
      <c r="R77" s="2" t="s">
        <v>12612</v>
      </c>
    </row>
    <row r="78" spans="1:18" x14ac:dyDescent="0.25">
      <c r="A78" s="2" t="s">
        <v>535</v>
      </c>
      <c r="B78" s="6">
        <v>46174</v>
      </c>
      <c r="C78" s="8">
        <v>46190</v>
      </c>
      <c r="D78" s="2" t="s">
        <v>136</v>
      </c>
      <c r="E78" s="2" t="s">
        <v>12593</v>
      </c>
      <c r="F78" s="2" t="s">
        <v>12429</v>
      </c>
      <c r="G78" s="2" t="s">
        <v>12757</v>
      </c>
      <c r="H78" s="2" t="s">
        <v>76</v>
      </c>
      <c r="I78" s="9">
        <v>15404320</v>
      </c>
      <c r="J78" s="7">
        <v>6.2500000000000001E-5</v>
      </c>
      <c r="K78" s="9">
        <v>962.77</v>
      </c>
      <c r="L78" s="14">
        <v>0</v>
      </c>
      <c r="M78" s="2" t="s">
        <v>71</v>
      </c>
      <c r="N78" s="2" t="s">
        <v>12595</v>
      </c>
      <c r="O78" s="2" t="s">
        <v>12758</v>
      </c>
      <c r="P78" s="9">
        <v>0</v>
      </c>
      <c r="Q78" s="9">
        <v>0</v>
      </c>
      <c r="R78" s="2" t="s">
        <v>12615</v>
      </c>
    </row>
    <row r="79" spans="1:18" x14ac:dyDescent="0.25">
      <c r="A79" s="2" t="s">
        <v>538</v>
      </c>
      <c r="B79" s="6">
        <v>46174</v>
      </c>
      <c r="C79" s="8">
        <v>46191</v>
      </c>
      <c r="D79" s="2" t="s">
        <v>136</v>
      </c>
      <c r="E79" s="2" t="s">
        <v>12593</v>
      </c>
      <c r="F79" s="2" t="s">
        <v>12430</v>
      </c>
      <c r="G79" s="2" t="s">
        <v>12759</v>
      </c>
      <c r="H79" s="2" t="s">
        <v>70</v>
      </c>
      <c r="I79" s="9">
        <v>1707.93985</v>
      </c>
      <c r="J79" s="7">
        <v>0.66500000000000004</v>
      </c>
      <c r="K79" s="9">
        <v>1135.78</v>
      </c>
      <c r="L79" s="14">
        <v>0</v>
      </c>
      <c r="M79" s="2" t="s">
        <v>71</v>
      </c>
      <c r="N79" s="2" t="s">
        <v>12595</v>
      </c>
      <c r="O79" s="2" t="s">
        <v>12760</v>
      </c>
      <c r="P79" s="9">
        <v>0</v>
      </c>
      <c r="Q79" s="9">
        <v>0</v>
      </c>
      <c r="R79" s="2" t="s">
        <v>12618</v>
      </c>
    </row>
    <row r="80" spans="1:18" x14ac:dyDescent="0.25">
      <c r="A80" s="2" t="s">
        <v>543</v>
      </c>
      <c r="B80" s="6">
        <v>46174</v>
      </c>
      <c r="C80" s="8">
        <v>46192</v>
      </c>
      <c r="D80" s="2" t="s">
        <v>136</v>
      </c>
      <c r="E80" s="2" t="s">
        <v>12593</v>
      </c>
      <c r="F80" s="2" t="s">
        <v>12431</v>
      </c>
      <c r="G80" s="2" t="s">
        <v>12761</v>
      </c>
      <c r="H80" s="2" t="s">
        <v>39</v>
      </c>
      <c r="I80" s="9">
        <v>1308.79</v>
      </c>
      <c r="J80" s="7">
        <v>1</v>
      </c>
      <c r="K80" s="9">
        <v>1308.79</v>
      </c>
      <c r="L80" s="14">
        <v>0</v>
      </c>
      <c r="M80" s="2" t="s">
        <v>71</v>
      </c>
      <c r="N80" s="2" t="s">
        <v>12595</v>
      </c>
      <c r="O80" s="2" t="s">
        <v>12762</v>
      </c>
      <c r="P80" s="9">
        <v>0</v>
      </c>
      <c r="Q80" s="9">
        <v>0</v>
      </c>
      <c r="R80" s="2" t="s">
        <v>12621</v>
      </c>
    </row>
    <row r="81" spans="1:18" x14ac:dyDescent="0.25">
      <c r="A81" s="2" t="s">
        <v>546</v>
      </c>
      <c r="B81" s="6">
        <v>46174</v>
      </c>
      <c r="C81" s="8">
        <v>46193</v>
      </c>
      <c r="D81" s="2" t="s">
        <v>136</v>
      </c>
      <c r="E81" s="2" t="s">
        <v>12593</v>
      </c>
      <c r="F81" s="2" t="s">
        <v>12432</v>
      </c>
      <c r="G81" s="2" t="s">
        <v>12763</v>
      </c>
      <c r="H81" s="2" t="s">
        <v>76</v>
      </c>
      <c r="I81" s="9">
        <v>23708800</v>
      </c>
      <c r="J81" s="7">
        <v>6.2500000000000001E-5</v>
      </c>
      <c r="K81" s="9">
        <v>1481.8</v>
      </c>
      <c r="L81" s="14">
        <v>0</v>
      </c>
      <c r="M81" s="2" t="s">
        <v>71</v>
      </c>
      <c r="N81" s="2" t="s">
        <v>12595</v>
      </c>
      <c r="O81" s="2" t="s">
        <v>12764</v>
      </c>
      <c r="P81" s="9">
        <v>0</v>
      </c>
      <c r="Q81" s="9">
        <v>0</v>
      </c>
      <c r="R81" s="2" t="s">
        <v>12624</v>
      </c>
    </row>
    <row r="82" spans="1:18" x14ac:dyDescent="0.25">
      <c r="A82" s="2" t="s">
        <v>549</v>
      </c>
      <c r="B82" s="6">
        <v>46174</v>
      </c>
      <c r="C82" s="8">
        <v>46194</v>
      </c>
      <c r="D82" s="2" t="s">
        <v>136</v>
      </c>
      <c r="E82" s="2" t="s">
        <v>12593</v>
      </c>
      <c r="F82" s="2" t="s">
        <v>12423</v>
      </c>
      <c r="G82" s="2" t="s">
        <v>12765</v>
      </c>
      <c r="H82" s="2" t="s">
        <v>70</v>
      </c>
      <c r="I82" s="9">
        <v>2488.4360900000001</v>
      </c>
      <c r="J82" s="7">
        <v>0.66500000000000004</v>
      </c>
      <c r="K82" s="9">
        <v>1654.81</v>
      </c>
      <c r="L82" s="14">
        <v>0</v>
      </c>
      <c r="M82" s="2" t="s">
        <v>71</v>
      </c>
      <c r="N82" s="2" t="s">
        <v>12595</v>
      </c>
      <c r="O82" s="2" t="s">
        <v>12766</v>
      </c>
      <c r="P82" s="9">
        <v>0</v>
      </c>
      <c r="Q82" s="9">
        <v>0</v>
      </c>
      <c r="R82" s="2" t="s">
        <v>12597</v>
      </c>
    </row>
    <row r="83" spans="1:18" x14ac:dyDescent="0.25">
      <c r="A83" s="2" t="s">
        <v>552</v>
      </c>
      <c r="B83" s="6">
        <v>46174</v>
      </c>
      <c r="C83" s="8">
        <v>46195</v>
      </c>
      <c r="D83" s="2" t="s">
        <v>136</v>
      </c>
      <c r="E83" s="2" t="s">
        <v>12593</v>
      </c>
      <c r="F83" s="2" t="s">
        <v>12424</v>
      </c>
      <c r="G83" s="2" t="s">
        <v>12767</v>
      </c>
      <c r="H83" s="2" t="s">
        <v>39</v>
      </c>
      <c r="I83" s="9">
        <v>-1827.82</v>
      </c>
      <c r="J83" s="7">
        <v>1</v>
      </c>
      <c r="K83" s="9">
        <v>-1827.82</v>
      </c>
      <c r="L83" s="14">
        <v>0</v>
      </c>
      <c r="M83" s="2" t="s">
        <v>71</v>
      </c>
      <c r="N83" s="2" t="s">
        <v>12595</v>
      </c>
      <c r="O83" s="2" t="s">
        <v>12768</v>
      </c>
      <c r="P83" s="9">
        <v>0</v>
      </c>
      <c r="Q83" s="9">
        <v>0</v>
      </c>
      <c r="R83" s="2" t="s">
        <v>12600</v>
      </c>
    </row>
    <row r="84" spans="1:18" x14ac:dyDescent="0.25">
      <c r="A84" s="2" t="s">
        <v>555</v>
      </c>
      <c r="B84" s="6">
        <v>46174</v>
      </c>
      <c r="C84" s="8">
        <v>46196</v>
      </c>
      <c r="D84" s="2" t="s">
        <v>136</v>
      </c>
      <c r="E84" s="2" t="s">
        <v>12593</v>
      </c>
      <c r="F84" s="2" t="s">
        <v>12425</v>
      </c>
      <c r="G84" s="2" t="s">
        <v>12769</v>
      </c>
      <c r="H84" s="2" t="s">
        <v>76</v>
      </c>
      <c r="I84" s="9">
        <v>32013280</v>
      </c>
      <c r="J84" s="7">
        <v>6.2500000000000001E-5</v>
      </c>
      <c r="K84" s="9">
        <v>2000.83</v>
      </c>
      <c r="L84" s="14">
        <v>0</v>
      </c>
      <c r="M84" s="2" t="s">
        <v>71</v>
      </c>
      <c r="N84" s="2" t="s">
        <v>12595</v>
      </c>
      <c r="O84" s="2" t="s">
        <v>12770</v>
      </c>
      <c r="P84" s="9">
        <v>0</v>
      </c>
      <c r="Q84" s="9">
        <v>0</v>
      </c>
      <c r="R84" s="2" t="s">
        <v>12603</v>
      </c>
    </row>
    <row r="85" spans="1:18" x14ac:dyDescent="0.25">
      <c r="A85" s="2" t="s">
        <v>558</v>
      </c>
      <c r="B85" s="6">
        <v>46174</v>
      </c>
      <c r="C85" s="8">
        <v>46197</v>
      </c>
      <c r="D85" s="2" t="s">
        <v>136</v>
      </c>
      <c r="E85" s="2" t="s">
        <v>12593</v>
      </c>
      <c r="F85" s="2" t="s">
        <v>12426</v>
      </c>
      <c r="G85" s="2" t="s">
        <v>12771</v>
      </c>
      <c r="H85" s="2" t="s">
        <v>70</v>
      </c>
      <c r="I85" s="9">
        <v>3268.932331</v>
      </c>
      <c r="J85" s="7">
        <v>0.66500000000000004</v>
      </c>
      <c r="K85" s="9">
        <v>2173.84</v>
      </c>
      <c r="L85" s="14">
        <v>0</v>
      </c>
      <c r="M85" s="2" t="s">
        <v>71</v>
      </c>
      <c r="N85" s="2" t="s">
        <v>12595</v>
      </c>
      <c r="O85" s="2" t="s">
        <v>12772</v>
      </c>
      <c r="P85" s="9">
        <v>0</v>
      </c>
      <c r="Q85" s="9">
        <v>0</v>
      </c>
      <c r="R85" s="2" t="s">
        <v>12606</v>
      </c>
    </row>
    <row r="86" spans="1:18" x14ac:dyDescent="0.25">
      <c r="A86" s="2" t="s">
        <v>563</v>
      </c>
      <c r="B86" s="6">
        <v>46174</v>
      </c>
      <c r="C86" s="8">
        <v>46198</v>
      </c>
      <c r="D86" s="2" t="s">
        <v>136</v>
      </c>
      <c r="E86" s="2" t="s">
        <v>12593</v>
      </c>
      <c r="F86" s="2" t="s">
        <v>12427</v>
      </c>
      <c r="G86" s="2" t="s">
        <v>12773</v>
      </c>
      <c r="H86" s="2" t="s">
        <v>39</v>
      </c>
      <c r="I86" s="9">
        <v>2346.85</v>
      </c>
      <c r="J86" s="7">
        <v>1</v>
      </c>
      <c r="K86" s="9">
        <v>2346.85</v>
      </c>
      <c r="L86" s="14">
        <v>0</v>
      </c>
      <c r="M86" s="2" t="s">
        <v>71</v>
      </c>
      <c r="N86" s="2" t="s">
        <v>12595</v>
      </c>
      <c r="O86" s="2" t="s">
        <v>12774</v>
      </c>
      <c r="P86" s="9">
        <v>0</v>
      </c>
      <c r="Q86" s="9">
        <v>0</v>
      </c>
      <c r="R86" s="2" t="s">
        <v>12609</v>
      </c>
    </row>
    <row r="87" spans="1:18" x14ac:dyDescent="0.25">
      <c r="A87" s="2" t="s">
        <v>568</v>
      </c>
      <c r="B87" s="6">
        <v>46174</v>
      </c>
      <c r="C87" s="8">
        <v>46199</v>
      </c>
      <c r="D87" s="2" t="s">
        <v>136</v>
      </c>
      <c r="E87" s="2" t="s">
        <v>12593</v>
      </c>
      <c r="F87" s="2" t="s">
        <v>12428</v>
      </c>
      <c r="G87" s="2" t="s">
        <v>12775</v>
      </c>
      <c r="H87" s="2" t="s">
        <v>76</v>
      </c>
      <c r="I87" s="9">
        <v>40317760</v>
      </c>
      <c r="J87" s="7">
        <v>6.2500000000000001E-5</v>
      </c>
      <c r="K87" s="9">
        <v>2519.86</v>
      </c>
      <c r="L87" s="14">
        <v>0</v>
      </c>
      <c r="M87" s="2" t="s">
        <v>71</v>
      </c>
      <c r="N87" s="2" t="s">
        <v>12595</v>
      </c>
      <c r="O87" s="2" t="s">
        <v>12776</v>
      </c>
      <c r="P87" s="9">
        <v>0</v>
      </c>
      <c r="Q87" s="9">
        <v>0</v>
      </c>
      <c r="R87" s="2" t="s">
        <v>12612</v>
      </c>
    </row>
    <row r="88" spans="1:18" x14ac:dyDescent="0.25">
      <c r="A88" s="2" t="s">
        <v>571</v>
      </c>
      <c r="B88" s="6">
        <v>46174</v>
      </c>
      <c r="C88" s="8">
        <v>46200</v>
      </c>
      <c r="D88" s="2" t="s">
        <v>136</v>
      </c>
      <c r="E88" s="2" t="s">
        <v>12593</v>
      </c>
      <c r="F88" s="2" t="s">
        <v>12429</v>
      </c>
      <c r="G88" s="2" t="s">
        <v>12777</v>
      </c>
      <c r="H88" s="2" t="s">
        <v>70</v>
      </c>
      <c r="I88" s="9">
        <v>4049.4285709999999</v>
      </c>
      <c r="J88" s="7">
        <v>0.66500000000000004</v>
      </c>
      <c r="K88" s="9">
        <v>2692.87</v>
      </c>
      <c r="L88" s="14">
        <v>0</v>
      </c>
      <c r="M88" s="2" t="s">
        <v>71</v>
      </c>
      <c r="N88" s="2" t="s">
        <v>12595</v>
      </c>
      <c r="O88" s="2" t="s">
        <v>12778</v>
      </c>
      <c r="P88" s="9">
        <v>0</v>
      </c>
      <c r="Q88" s="9">
        <v>0</v>
      </c>
      <c r="R88" s="2" t="s">
        <v>12615</v>
      </c>
    </row>
    <row r="89" spans="1:18" x14ac:dyDescent="0.25">
      <c r="A89" s="2" t="s">
        <v>574</v>
      </c>
      <c r="B89" s="6">
        <v>46174</v>
      </c>
      <c r="C89" s="8">
        <v>46201</v>
      </c>
      <c r="D89" s="2" t="s">
        <v>136</v>
      </c>
      <c r="E89" s="2" t="s">
        <v>12593</v>
      </c>
      <c r="F89" s="2" t="s">
        <v>12430</v>
      </c>
      <c r="G89" s="2" t="s">
        <v>12779</v>
      </c>
      <c r="H89" s="2" t="s">
        <v>39</v>
      </c>
      <c r="I89" s="9">
        <v>2865.88</v>
      </c>
      <c r="J89" s="7">
        <v>1</v>
      </c>
      <c r="K89" s="9">
        <v>2865.88</v>
      </c>
      <c r="L89" s="14">
        <v>0</v>
      </c>
      <c r="M89" s="2" t="s">
        <v>71</v>
      </c>
      <c r="N89" s="2" t="s">
        <v>12595</v>
      </c>
      <c r="O89" s="2" t="s">
        <v>12780</v>
      </c>
      <c r="P89" s="9">
        <v>0</v>
      </c>
      <c r="Q89" s="9">
        <v>0</v>
      </c>
      <c r="R89" s="2" t="s">
        <v>12618</v>
      </c>
    </row>
    <row r="90" spans="1:18" x14ac:dyDescent="0.25">
      <c r="A90" s="2" t="s">
        <v>579</v>
      </c>
      <c r="B90" s="6">
        <v>46174</v>
      </c>
      <c r="C90" s="8">
        <v>46202</v>
      </c>
      <c r="D90" s="2" t="s">
        <v>136</v>
      </c>
      <c r="E90" s="2" t="s">
        <v>12593</v>
      </c>
      <c r="F90" s="2" t="s">
        <v>12431</v>
      </c>
      <c r="G90" s="2" t="s">
        <v>12781</v>
      </c>
      <c r="H90" s="2" t="s">
        <v>76</v>
      </c>
      <c r="I90" s="9">
        <v>48622240</v>
      </c>
      <c r="J90" s="7">
        <v>6.2500000000000001E-5</v>
      </c>
      <c r="K90" s="9">
        <v>3038.89</v>
      </c>
      <c r="L90" s="14">
        <v>0</v>
      </c>
      <c r="M90" s="2" t="s">
        <v>71</v>
      </c>
      <c r="N90" s="2" t="s">
        <v>12595</v>
      </c>
      <c r="O90" s="2" t="s">
        <v>12782</v>
      </c>
      <c r="P90" s="9">
        <v>0</v>
      </c>
      <c r="Q90" s="9">
        <v>0</v>
      </c>
      <c r="R90" s="2" t="s">
        <v>12621</v>
      </c>
    </row>
    <row r="91" spans="1:18" x14ac:dyDescent="0.25">
      <c r="A91" s="2" t="s">
        <v>582</v>
      </c>
      <c r="B91" s="6">
        <v>46174</v>
      </c>
      <c r="C91" s="8">
        <v>46203</v>
      </c>
      <c r="D91" s="2" t="s">
        <v>136</v>
      </c>
      <c r="E91" s="2" t="s">
        <v>12593</v>
      </c>
      <c r="F91" s="2" t="s">
        <v>12432</v>
      </c>
      <c r="G91" s="2" t="s">
        <v>12783</v>
      </c>
      <c r="H91" s="2" t="s">
        <v>70</v>
      </c>
      <c r="I91" s="9">
        <v>4829.9248120000002</v>
      </c>
      <c r="J91" s="7">
        <v>0.66500000000000004</v>
      </c>
      <c r="K91" s="9">
        <v>3211.9</v>
      </c>
      <c r="L91" s="14">
        <v>0</v>
      </c>
      <c r="M91" s="2" t="s">
        <v>71</v>
      </c>
      <c r="N91" s="2" t="s">
        <v>12595</v>
      </c>
      <c r="O91" s="2" t="s">
        <v>12784</v>
      </c>
      <c r="P91" s="9">
        <v>0</v>
      </c>
      <c r="Q91" s="9">
        <v>0</v>
      </c>
      <c r="R91" s="2" t="s">
        <v>12624</v>
      </c>
    </row>
    <row r="92" spans="1:18" x14ac:dyDescent="0.25">
      <c r="A92" s="2" t="s">
        <v>585</v>
      </c>
      <c r="B92" s="6">
        <v>46174</v>
      </c>
      <c r="C92" s="8">
        <v>46174</v>
      </c>
      <c r="D92" s="2" t="s">
        <v>136</v>
      </c>
      <c r="E92" s="2" t="s">
        <v>12593</v>
      </c>
      <c r="F92" s="2" t="s">
        <v>12423</v>
      </c>
      <c r="G92" s="2" t="s">
        <v>12785</v>
      </c>
      <c r="H92" s="2" t="s">
        <v>39</v>
      </c>
      <c r="I92" s="9">
        <v>3384.91</v>
      </c>
      <c r="J92" s="7">
        <v>1</v>
      </c>
      <c r="K92" s="9">
        <v>3384.91</v>
      </c>
      <c r="L92" s="14">
        <v>0</v>
      </c>
      <c r="M92" s="2" t="s">
        <v>71</v>
      </c>
      <c r="N92" s="2" t="s">
        <v>12595</v>
      </c>
      <c r="O92" s="2" t="s">
        <v>12786</v>
      </c>
      <c r="P92" s="9">
        <v>0</v>
      </c>
      <c r="Q92" s="9">
        <v>0</v>
      </c>
      <c r="R92" s="2" t="s">
        <v>12597</v>
      </c>
    </row>
    <row r="93" spans="1:18" x14ac:dyDescent="0.25">
      <c r="A93" s="2" t="s">
        <v>588</v>
      </c>
      <c r="B93" s="6">
        <v>46174</v>
      </c>
      <c r="C93" s="8">
        <v>46175</v>
      </c>
      <c r="D93" s="2" t="s">
        <v>136</v>
      </c>
      <c r="E93" s="2" t="s">
        <v>12593</v>
      </c>
      <c r="F93" s="2" t="s">
        <v>12424</v>
      </c>
      <c r="G93" s="2" t="s">
        <v>12787</v>
      </c>
      <c r="H93" s="2" t="s">
        <v>76</v>
      </c>
      <c r="I93" s="9">
        <v>56926720</v>
      </c>
      <c r="J93" s="7">
        <v>6.2500000000000001E-5</v>
      </c>
      <c r="K93" s="9">
        <v>3557.92</v>
      </c>
      <c r="L93" s="14">
        <v>0</v>
      </c>
      <c r="M93" s="2" t="s">
        <v>71</v>
      </c>
      <c r="N93" s="2" t="s">
        <v>12595</v>
      </c>
      <c r="O93" s="2" t="s">
        <v>12788</v>
      </c>
      <c r="P93" s="9">
        <v>0</v>
      </c>
      <c r="Q93" s="9">
        <v>0</v>
      </c>
      <c r="R93" s="2" t="s">
        <v>12600</v>
      </c>
    </row>
    <row r="94" spans="1:18" x14ac:dyDescent="0.25">
      <c r="A94" s="2" t="s">
        <v>591</v>
      </c>
      <c r="B94" s="6">
        <v>46174</v>
      </c>
      <c r="C94" s="8">
        <v>46176</v>
      </c>
      <c r="D94" s="2" t="s">
        <v>136</v>
      </c>
      <c r="E94" s="2" t="s">
        <v>12593</v>
      </c>
      <c r="F94" s="2" t="s">
        <v>12425</v>
      </c>
      <c r="G94" s="2" t="s">
        <v>12789</v>
      </c>
      <c r="H94" s="2" t="s">
        <v>70</v>
      </c>
      <c r="I94" s="9">
        <v>5610.421053</v>
      </c>
      <c r="J94" s="7">
        <v>0.66500000000000004</v>
      </c>
      <c r="K94" s="9">
        <v>3730.93</v>
      </c>
      <c r="L94" s="14">
        <v>0</v>
      </c>
      <c r="M94" s="2" t="s">
        <v>71</v>
      </c>
      <c r="N94" s="2" t="s">
        <v>12595</v>
      </c>
      <c r="O94" s="2" t="s">
        <v>12790</v>
      </c>
      <c r="P94" s="9">
        <v>0</v>
      </c>
      <c r="Q94" s="9">
        <v>0</v>
      </c>
      <c r="R94" s="2" t="s">
        <v>12603</v>
      </c>
    </row>
    <row r="95" spans="1:18" x14ac:dyDescent="0.25">
      <c r="A95" s="2" t="s">
        <v>594</v>
      </c>
      <c r="B95" s="6">
        <v>46174</v>
      </c>
      <c r="C95" s="8">
        <v>46177</v>
      </c>
      <c r="D95" s="2" t="s">
        <v>136</v>
      </c>
      <c r="E95" s="2" t="s">
        <v>12593</v>
      </c>
      <c r="F95" s="2" t="s">
        <v>12426</v>
      </c>
      <c r="G95" s="2" t="s">
        <v>12791</v>
      </c>
      <c r="H95" s="2" t="s">
        <v>39</v>
      </c>
      <c r="I95" s="9">
        <v>3903.94</v>
      </c>
      <c r="J95" s="7">
        <v>1</v>
      </c>
      <c r="K95" s="9">
        <v>3903.94</v>
      </c>
      <c r="L95" s="14">
        <v>0</v>
      </c>
      <c r="M95" s="2" t="s">
        <v>71</v>
      </c>
      <c r="N95" s="2" t="s">
        <v>12595</v>
      </c>
      <c r="O95" s="2" t="s">
        <v>12792</v>
      </c>
      <c r="P95" s="9">
        <v>0</v>
      </c>
      <c r="Q95" s="9">
        <v>0</v>
      </c>
      <c r="R95" s="2" t="s">
        <v>12606</v>
      </c>
    </row>
    <row r="96" spans="1:18" x14ac:dyDescent="0.25">
      <c r="A96" s="2" t="s">
        <v>599</v>
      </c>
      <c r="B96" s="6">
        <v>46174</v>
      </c>
      <c r="C96" s="8">
        <v>46178</v>
      </c>
      <c r="D96" s="2" t="s">
        <v>136</v>
      </c>
      <c r="E96" s="2" t="s">
        <v>12593</v>
      </c>
      <c r="F96" s="2" t="s">
        <v>12427</v>
      </c>
      <c r="G96" s="2" t="s">
        <v>12793</v>
      </c>
      <c r="H96" s="2" t="s">
        <v>76</v>
      </c>
      <c r="I96" s="9">
        <v>65231200</v>
      </c>
      <c r="J96" s="7">
        <v>6.2500000000000001E-5</v>
      </c>
      <c r="K96" s="9">
        <v>4076.95</v>
      </c>
      <c r="L96" s="14">
        <v>0</v>
      </c>
      <c r="M96" s="2" t="s">
        <v>71</v>
      </c>
      <c r="N96" s="2" t="s">
        <v>12595</v>
      </c>
      <c r="O96" s="2" t="s">
        <v>12794</v>
      </c>
      <c r="P96" s="9">
        <v>0</v>
      </c>
      <c r="Q96" s="9">
        <v>0</v>
      </c>
      <c r="R96" s="2" t="s">
        <v>12609</v>
      </c>
    </row>
    <row r="97" spans="1:18" x14ac:dyDescent="0.25">
      <c r="A97" s="2" t="s">
        <v>604</v>
      </c>
      <c r="B97" s="6">
        <v>46174</v>
      </c>
      <c r="C97" s="8">
        <v>46179</v>
      </c>
      <c r="D97" s="2" t="s">
        <v>136</v>
      </c>
      <c r="E97" s="2" t="s">
        <v>12593</v>
      </c>
      <c r="F97" s="2" t="s">
        <v>12428</v>
      </c>
      <c r="G97" s="2" t="s">
        <v>12795</v>
      </c>
      <c r="H97" s="2" t="s">
        <v>70</v>
      </c>
      <c r="I97" s="9">
        <v>6390.9172930000004</v>
      </c>
      <c r="J97" s="7">
        <v>0.66500000000000004</v>
      </c>
      <c r="K97" s="9">
        <v>4249.96</v>
      </c>
      <c r="L97" s="14">
        <v>0</v>
      </c>
      <c r="M97" s="2" t="s">
        <v>71</v>
      </c>
      <c r="N97" s="2" t="s">
        <v>12595</v>
      </c>
      <c r="O97" s="2" t="s">
        <v>12796</v>
      </c>
      <c r="P97" s="9">
        <v>0</v>
      </c>
      <c r="Q97" s="9">
        <v>0</v>
      </c>
      <c r="R97" s="2" t="s">
        <v>12612</v>
      </c>
    </row>
    <row r="98" spans="1:18" x14ac:dyDescent="0.25">
      <c r="A98" s="2" t="s">
        <v>607</v>
      </c>
      <c r="B98" s="6">
        <v>46174</v>
      </c>
      <c r="C98" s="8">
        <v>46180</v>
      </c>
      <c r="D98" s="2" t="s">
        <v>136</v>
      </c>
      <c r="E98" s="2" t="s">
        <v>12593</v>
      </c>
      <c r="F98" s="2" t="s">
        <v>12429</v>
      </c>
      <c r="G98" s="2" t="s">
        <v>12797</v>
      </c>
      <c r="H98" s="2" t="s">
        <v>39</v>
      </c>
      <c r="I98" s="9">
        <v>4422</v>
      </c>
      <c r="J98" s="7">
        <v>1</v>
      </c>
      <c r="K98" s="9">
        <v>4422</v>
      </c>
      <c r="L98" s="14">
        <v>0</v>
      </c>
      <c r="M98" s="2" t="s">
        <v>71</v>
      </c>
      <c r="N98" s="2" t="s">
        <v>12595</v>
      </c>
      <c r="O98" s="2" t="s">
        <v>12798</v>
      </c>
      <c r="P98" s="9">
        <v>0</v>
      </c>
      <c r="Q98" s="9">
        <v>0</v>
      </c>
      <c r="R98" s="2" t="s">
        <v>12615</v>
      </c>
    </row>
    <row r="99" spans="1:18" x14ac:dyDescent="0.25">
      <c r="A99" s="2" t="s">
        <v>610</v>
      </c>
      <c r="B99" s="6">
        <v>46174</v>
      </c>
      <c r="C99" s="8">
        <v>46181</v>
      </c>
      <c r="D99" s="2" t="s">
        <v>136</v>
      </c>
      <c r="E99" s="2" t="s">
        <v>12593</v>
      </c>
      <c r="F99" s="2" t="s">
        <v>12430</v>
      </c>
      <c r="G99" s="2" t="s">
        <v>12799</v>
      </c>
      <c r="H99" s="2" t="s">
        <v>76</v>
      </c>
      <c r="I99" s="9">
        <v>73520160</v>
      </c>
      <c r="J99" s="7">
        <v>6.2500000000000001E-5</v>
      </c>
      <c r="K99" s="9">
        <v>4595.01</v>
      </c>
      <c r="L99" s="14">
        <v>0</v>
      </c>
      <c r="M99" s="2" t="s">
        <v>71</v>
      </c>
      <c r="N99" s="2" t="s">
        <v>12595</v>
      </c>
      <c r="O99" s="2" t="s">
        <v>12800</v>
      </c>
      <c r="P99" s="9">
        <v>0</v>
      </c>
      <c r="Q99" s="9">
        <v>0</v>
      </c>
      <c r="R99" s="2" t="s">
        <v>12618</v>
      </c>
    </row>
    <row r="100" spans="1:18" x14ac:dyDescent="0.25">
      <c r="A100" s="2" t="s">
        <v>615</v>
      </c>
      <c r="B100" s="6">
        <v>46174</v>
      </c>
      <c r="C100" s="8">
        <v>46182</v>
      </c>
      <c r="D100" s="2" t="s">
        <v>136</v>
      </c>
      <c r="E100" s="2" t="s">
        <v>12593</v>
      </c>
      <c r="F100" s="2" t="s">
        <v>12431</v>
      </c>
      <c r="G100" s="2" t="s">
        <v>12801</v>
      </c>
      <c r="H100" s="2" t="s">
        <v>70</v>
      </c>
      <c r="I100" s="9">
        <v>7169.9548869999999</v>
      </c>
      <c r="J100" s="7">
        <v>0.66500000000000004</v>
      </c>
      <c r="K100" s="9">
        <v>4768.0200000000004</v>
      </c>
      <c r="L100" s="14">
        <v>0</v>
      </c>
      <c r="M100" s="2" t="s">
        <v>71</v>
      </c>
      <c r="N100" s="2" t="s">
        <v>12595</v>
      </c>
      <c r="O100" s="2" t="s">
        <v>12802</v>
      </c>
      <c r="P100" s="9">
        <v>0</v>
      </c>
      <c r="Q100" s="9">
        <v>0</v>
      </c>
      <c r="R100" s="2" t="s">
        <v>12621</v>
      </c>
    </row>
    <row r="101" spans="1:18" x14ac:dyDescent="0.25">
      <c r="A101" s="2" t="s">
        <v>618</v>
      </c>
      <c r="B101" s="6">
        <v>46174</v>
      </c>
      <c r="C101" s="8">
        <v>46183</v>
      </c>
      <c r="D101" s="2" t="s">
        <v>136</v>
      </c>
      <c r="E101" s="2" t="s">
        <v>12593</v>
      </c>
      <c r="F101" s="2" t="s">
        <v>12432</v>
      </c>
      <c r="G101" s="2" t="s">
        <v>12803</v>
      </c>
      <c r="H101" s="2" t="s">
        <v>39</v>
      </c>
      <c r="I101" s="9">
        <v>4941.03</v>
      </c>
      <c r="J101" s="7">
        <v>1</v>
      </c>
      <c r="K101" s="9">
        <v>4941.03</v>
      </c>
      <c r="L101" s="14">
        <v>0</v>
      </c>
      <c r="M101" s="2" t="s">
        <v>71</v>
      </c>
      <c r="N101" s="2" t="s">
        <v>12595</v>
      </c>
      <c r="O101" s="2" t="s">
        <v>12804</v>
      </c>
      <c r="P101" s="9">
        <v>0</v>
      </c>
      <c r="Q101" s="9">
        <v>0</v>
      </c>
      <c r="R101" s="2" t="s">
        <v>12624</v>
      </c>
    </row>
    <row r="102" spans="1:18" x14ac:dyDescent="0.25">
      <c r="A102" s="2" t="s">
        <v>621</v>
      </c>
      <c r="B102" s="6">
        <v>46174</v>
      </c>
      <c r="C102" s="8">
        <v>46184</v>
      </c>
      <c r="D102" s="2" t="s">
        <v>136</v>
      </c>
      <c r="E102" s="2" t="s">
        <v>12593</v>
      </c>
      <c r="F102" s="2" t="s">
        <v>12423</v>
      </c>
      <c r="G102" s="2" t="s">
        <v>12805</v>
      </c>
      <c r="H102" s="2" t="s">
        <v>76</v>
      </c>
      <c r="I102" s="9">
        <v>81824640</v>
      </c>
      <c r="J102" s="7">
        <v>6.2500000000000001E-5</v>
      </c>
      <c r="K102" s="9">
        <v>5114.04</v>
      </c>
      <c r="L102" s="14">
        <v>0</v>
      </c>
      <c r="M102" s="2" t="s">
        <v>71</v>
      </c>
      <c r="N102" s="2" t="s">
        <v>12595</v>
      </c>
      <c r="O102" s="2" t="s">
        <v>12806</v>
      </c>
      <c r="P102" s="9">
        <v>0</v>
      </c>
      <c r="Q102" s="9">
        <v>0</v>
      </c>
      <c r="R102" s="2" t="s">
        <v>12597</v>
      </c>
    </row>
    <row r="103" spans="1:18" x14ac:dyDescent="0.25">
      <c r="A103" s="2" t="s">
        <v>624</v>
      </c>
      <c r="B103" s="6">
        <v>46174</v>
      </c>
      <c r="C103" s="8">
        <v>46185</v>
      </c>
      <c r="D103" s="2" t="s">
        <v>136</v>
      </c>
      <c r="E103" s="2" t="s">
        <v>12593</v>
      </c>
      <c r="F103" s="2" t="s">
        <v>12424</v>
      </c>
      <c r="G103" s="2" t="s">
        <v>12807</v>
      </c>
      <c r="H103" s="2" t="s">
        <v>70</v>
      </c>
      <c r="I103" s="9">
        <v>7950.4511279999997</v>
      </c>
      <c r="J103" s="7">
        <v>0.66500000000000004</v>
      </c>
      <c r="K103" s="9">
        <v>5287.05</v>
      </c>
      <c r="L103" s="14">
        <v>0</v>
      </c>
      <c r="M103" s="2" t="s">
        <v>71</v>
      </c>
      <c r="N103" s="2" t="s">
        <v>12595</v>
      </c>
      <c r="O103" s="2" t="s">
        <v>12808</v>
      </c>
      <c r="P103" s="9">
        <v>0</v>
      </c>
      <c r="Q103" s="9">
        <v>0</v>
      </c>
      <c r="R103" s="2" t="s">
        <v>12600</v>
      </c>
    </row>
    <row r="104" spans="1:18" x14ac:dyDescent="0.25">
      <c r="A104" s="2" t="s">
        <v>627</v>
      </c>
      <c r="B104" s="6">
        <v>46174</v>
      </c>
      <c r="C104" s="8">
        <v>46186</v>
      </c>
      <c r="D104" s="2" t="s">
        <v>136</v>
      </c>
      <c r="E104" s="2" t="s">
        <v>12593</v>
      </c>
      <c r="F104" s="2" t="s">
        <v>12425</v>
      </c>
      <c r="G104" s="2" t="s">
        <v>12809</v>
      </c>
      <c r="H104" s="2" t="s">
        <v>39</v>
      </c>
      <c r="I104" s="9">
        <v>5460.06</v>
      </c>
      <c r="J104" s="7">
        <v>1</v>
      </c>
      <c r="K104" s="9">
        <v>5460.06</v>
      </c>
      <c r="L104" s="14">
        <v>0</v>
      </c>
      <c r="M104" s="2" t="s">
        <v>71</v>
      </c>
      <c r="N104" s="2" t="s">
        <v>12595</v>
      </c>
      <c r="O104" s="2" t="s">
        <v>12810</v>
      </c>
      <c r="P104" s="9">
        <v>0</v>
      </c>
      <c r="Q104" s="9">
        <v>0</v>
      </c>
      <c r="R104" s="2" t="s">
        <v>12603</v>
      </c>
    </row>
    <row r="105" spans="1:18" x14ac:dyDescent="0.25">
      <c r="A105" s="2" t="s">
        <v>630</v>
      </c>
      <c r="B105" s="6">
        <v>46174</v>
      </c>
      <c r="C105" s="8">
        <v>46187</v>
      </c>
      <c r="D105" s="2" t="s">
        <v>136</v>
      </c>
      <c r="E105" s="2" t="s">
        <v>12593</v>
      </c>
      <c r="F105" s="2" t="s">
        <v>12426</v>
      </c>
      <c r="G105" s="2" t="s">
        <v>12811</v>
      </c>
      <c r="H105" s="2" t="s">
        <v>76</v>
      </c>
      <c r="I105" s="9">
        <v>90129120</v>
      </c>
      <c r="J105" s="7">
        <v>6.2500000000000001E-5</v>
      </c>
      <c r="K105" s="9">
        <v>5633.07</v>
      </c>
      <c r="L105" s="14">
        <v>0</v>
      </c>
      <c r="M105" s="2" t="s">
        <v>71</v>
      </c>
      <c r="N105" s="2" t="s">
        <v>12595</v>
      </c>
      <c r="O105" s="2" t="s">
        <v>12812</v>
      </c>
      <c r="P105" s="9">
        <v>0</v>
      </c>
      <c r="Q105" s="9">
        <v>0</v>
      </c>
      <c r="R105" s="2" t="s">
        <v>12606</v>
      </c>
    </row>
    <row r="106" spans="1:18" x14ac:dyDescent="0.25">
      <c r="A106" s="2" t="s">
        <v>635</v>
      </c>
      <c r="B106" s="6">
        <v>46174</v>
      </c>
      <c r="C106" s="8">
        <v>46188</v>
      </c>
      <c r="D106" s="2" t="s">
        <v>136</v>
      </c>
      <c r="E106" s="2" t="s">
        <v>12593</v>
      </c>
      <c r="F106" s="2" t="s">
        <v>12427</v>
      </c>
      <c r="G106" s="2" t="s">
        <v>12813</v>
      </c>
      <c r="H106" s="2" t="s">
        <v>70</v>
      </c>
      <c r="I106" s="9">
        <v>8730.9473679999992</v>
      </c>
      <c r="J106" s="7">
        <v>0.66500000000000004</v>
      </c>
      <c r="K106" s="9">
        <v>5806.08</v>
      </c>
      <c r="L106" s="14">
        <v>0</v>
      </c>
      <c r="M106" s="2" t="s">
        <v>71</v>
      </c>
      <c r="N106" s="2" t="s">
        <v>12595</v>
      </c>
      <c r="O106" s="2" t="s">
        <v>12814</v>
      </c>
      <c r="P106" s="9">
        <v>0</v>
      </c>
      <c r="Q106" s="9">
        <v>0</v>
      </c>
      <c r="R106" s="2" t="s">
        <v>12609</v>
      </c>
    </row>
    <row r="107" spans="1:18" x14ac:dyDescent="0.25">
      <c r="A107" s="2" t="s">
        <v>640</v>
      </c>
      <c r="B107" s="6">
        <v>46174</v>
      </c>
      <c r="C107" s="8">
        <v>46189</v>
      </c>
      <c r="D107" s="2" t="s">
        <v>136</v>
      </c>
      <c r="E107" s="2" t="s">
        <v>12593</v>
      </c>
      <c r="F107" s="2" t="s">
        <v>12428</v>
      </c>
      <c r="G107" s="2" t="s">
        <v>12815</v>
      </c>
      <c r="H107" s="2" t="s">
        <v>39</v>
      </c>
      <c r="I107" s="9">
        <v>5979.09</v>
      </c>
      <c r="J107" s="7">
        <v>1</v>
      </c>
      <c r="K107" s="9">
        <v>5979.09</v>
      </c>
      <c r="L107" s="14">
        <v>0</v>
      </c>
      <c r="M107" s="2" t="s">
        <v>71</v>
      </c>
      <c r="N107" s="2" t="s">
        <v>12595</v>
      </c>
      <c r="O107" s="2" t="s">
        <v>12816</v>
      </c>
      <c r="P107" s="9">
        <v>0</v>
      </c>
      <c r="Q107" s="9">
        <v>0</v>
      </c>
      <c r="R107" s="2" t="s">
        <v>12612</v>
      </c>
    </row>
    <row r="108" spans="1:18" x14ac:dyDescent="0.25">
      <c r="A108" s="2" t="s">
        <v>643</v>
      </c>
      <c r="B108" s="6">
        <v>46174</v>
      </c>
      <c r="C108" s="8">
        <v>46190</v>
      </c>
      <c r="D108" s="2" t="s">
        <v>136</v>
      </c>
      <c r="E108" s="2" t="s">
        <v>12593</v>
      </c>
      <c r="F108" s="2" t="s">
        <v>12429</v>
      </c>
      <c r="G108" s="2" t="s">
        <v>12817</v>
      </c>
      <c r="H108" s="2" t="s">
        <v>76</v>
      </c>
      <c r="I108" s="9">
        <v>98433600</v>
      </c>
      <c r="J108" s="7">
        <v>6.2500000000000001E-5</v>
      </c>
      <c r="K108" s="9">
        <v>6152.1</v>
      </c>
      <c r="L108" s="14">
        <v>0</v>
      </c>
      <c r="M108" s="2" t="s">
        <v>71</v>
      </c>
      <c r="N108" s="2" t="s">
        <v>12595</v>
      </c>
      <c r="O108" s="2" t="s">
        <v>12818</v>
      </c>
      <c r="P108" s="9">
        <v>0</v>
      </c>
      <c r="Q108" s="9">
        <v>0</v>
      </c>
      <c r="R108" s="2" t="s">
        <v>12615</v>
      </c>
    </row>
    <row r="109" spans="1:18" x14ac:dyDescent="0.25">
      <c r="A109" s="2" t="s">
        <v>646</v>
      </c>
      <c r="B109" s="6">
        <v>46174</v>
      </c>
      <c r="C109" s="8">
        <v>46191</v>
      </c>
      <c r="D109" s="2" t="s">
        <v>136</v>
      </c>
      <c r="E109" s="2" t="s">
        <v>12593</v>
      </c>
      <c r="F109" s="2" t="s">
        <v>12430</v>
      </c>
      <c r="G109" s="2" t="s">
        <v>12819</v>
      </c>
      <c r="H109" s="2" t="s">
        <v>70</v>
      </c>
      <c r="I109" s="9">
        <v>9511.4436089999999</v>
      </c>
      <c r="J109" s="7">
        <v>0.66500000000000004</v>
      </c>
      <c r="K109" s="9">
        <v>6325.11</v>
      </c>
      <c r="L109" s="14">
        <v>0</v>
      </c>
      <c r="M109" s="2" t="s">
        <v>71</v>
      </c>
      <c r="N109" s="2" t="s">
        <v>12595</v>
      </c>
      <c r="O109" s="2" t="s">
        <v>12820</v>
      </c>
      <c r="P109" s="9">
        <v>0</v>
      </c>
      <c r="Q109" s="9">
        <v>0</v>
      </c>
      <c r="R109" s="2" t="s">
        <v>12618</v>
      </c>
    </row>
    <row r="110" spans="1:18" x14ac:dyDescent="0.25">
      <c r="A110" s="2" t="s">
        <v>651</v>
      </c>
      <c r="B110" s="6">
        <v>46174</v>
      </c>
      <c r="C110" s="8">
        <v>46192</v>
      </c>
      <c r="D110" s="2" t="s">
        <v>136</v>
      </c>
      <c r="E110" s="2" t="s">
        <v>12593</v>
      </c>
      <c r="F110" s="2" t="s">
        <v>12431</v>
      </c>
      <c r="G110" s="2" t="s">
        <v>12821</v>
      </c>
      <c r="H110" s="2" t="s">
        <v>39</v>
      </c>
      <c r="I110" s="9">
        <v>6498.12</v>
      </c>
      <c r="J110" s="7">
        <v>1</v>
      </c>
      <c r="K110" s="9">
        <v>6498.12</v>
      </c>
      <c r="L110" s="14">
        <v>0</v>
      </c>
      <c r="M110" s="2" t="s">
        <v>71</v>
      </c>
      <c r="N110" s="2" t="s">
        <v>12595</v>
      </c>
      <c r="O110" s="2" t="s">
        <v>12822</v>
      </c>
      <c r="P110" s="9">
        <v>0</v>
      </c>
      <c r="Q110" s="9">
        <v>0</v>
      </c>
      <c r="R110" s="2" t="s">
        <v>12621</v>
      </c>
    </row>
    <row r="111" spans="1:18" x14ac:dyDescent="0.25">
      <c r="A111" s="2" t="s">
        <v>654</v>
      </c>
      <c r="B111" s="6">
        <v>46174</v>
      </c>
      <c r="C111" s="8">
        <v>46193</v>
      </c>
      <c r="D111" s="2" t="s">
        <v>136</v>
      </c>
      <c r="E111" s="2" t="s">
        <v>12593</v>
      </c>
      <c r="F111" s="2" t="s">
        <v>12432</v>
      </c>
      <c r="G111" s="2" t="s">
        <v>12823</v>
      </c>
      <c r="H111" s="2" t="s">
        <v>76</v>
      </c>
      <c r="I111" s="9">
        <v>106738080</v>
      </c>
      <c r="J111" s="7">
        <v>6.2500000000000001E-5</v>
      </c>
      <c r="K111" s="9">
        <v>6671.13</v>
      </c>
      <c r="L111" s="14">
        <v>0</v>
      </c>
      <c r="M111" s="2" t="s">
        <v>71</v>
      </c>
      <c r="N111" s="2" t="s">
        <v>12595</v>
      </c>
      <c r="O111" s="2" t="s">
        <v>12824</v>
      </c>
      <c r="P111" s="9">
        <v>0</v>
      </c>
      <c r="Q111" s="9">
        <v>0</v>
      </c>
      <c r="R111" s="2" t="s">
        <v>12624</v>
      </c>
    </row>
    <row r="112" spans="1:18" x14ac:dyDescent="0.25">
      <c r="A112" s="2" t="s">
        <v>657</v>
      </c>
      <c r="B112" s="6">
        <v>46174</v>
      </c>
      <c r="C112" s="8">
        <v>46194</v>
      </c>
      <c r="D112" s="2" t="s">
        <v>136</v>
      </c>
      <c r="E112" s="2" t="s">
        <v>12593</v>
      </c>
      <c r="F112" s="2" t="s">
        <v>12423</v>
      </c>
      <c r="G112" s="2" t="s">
        <v>12825</v>
      </c>
      <c r="H112" s="2" t="s">
        <v>70</v>
      </c>
      <c r="I112" s="9">
        <v>10291.939850000001</v>
      </c>
      <c r="J112" s="7">
        <v>0.66500000000000004</v>
      </c>
      <c r="K112" s="9">
        <v>6844.14</v>
      </c>
      <c r="L112" s="14">
        <v>0</v>
      </c>
      <c r="M112" s="2" t="s">
        <v>71</v>
      </c>
      <c r="N112" s="2" t="s">
        <v>12595</v>
      </c>
      <c r="O112" s="2" t="s">
        <v>12826</v>
      </c>
      <c r="P112" s="9">
        <v>0</v>
      </c>
      <c r="Q112" s="9">
        <v>0</v>
      </c>
      <c r="R112" s="2" t="s">
        <v>12597</v>
      </c>
    </row>
    <row r="113" spans="1:18" x14ac:dyDescent="0.25">
      <c r="A113" s="2" t="s">
        <v>660</v>
      </c>
      <c r="B113" s="6">
        <v>46174</v>
      </c>
      <c r="C113" s="8">
        <v>46195</v>
      </c>
      <c r="D113" s="2" t="s">
        <v>136</v>
      </c>
      <c r="E113" s="2" t="s">
        <v>12593</v>
      </c>
      <c r="F113" s="2" t="s">
        <v>12424</v>
      </c>
      <c r="G113" s="2" t="s">
        <v>12827</v>
      </c>
      <c r="H113" s="2" t="s">
        <v>39</v>
      </c>
      <c r="I113" s="9">
        <v>7017.15</v>
      </c>
      <c r="J113" s="7">
        <v>1</v>
      </c>
      <c r="K113" s="9">
        <v>7017.15</v>
      </c>
      <c r="L113" s="14">
        <v>0</v>
      </c>
      <c r="M113" s="2" t="s">
        <v>71</v>
      </c>
      <c r="N113" s="2" t="s">
        <v>12595</v>
      </c>
      <c r="O113" s="2" t="s">
        <v>12828</v>
      </c>
      <c r="P113" s="9">
        <v>0</v>
      </c>
      <c r="Q113" s="9">
        <v>0</v>
      </c>
      <c r="R113" s="2" t="s">
        <v>12600</v>
      </c>
    </row>
    <row r="114" spans="1:18" x14ac:dyDescent="0.25">
      <c r="A114" s="2" t="s">
        <v>663</v>
      </c>
      <c r="B114" s="6">
        <v>46174</v>
      </c>
      <c r="C114" s="8">
        <v>46196</v>
      </c>
      <c r="D114" s="2" t="s">
        <v>136</v>
      </c>
      <c r="E114" s="2" t="s">
        <v>12593</v>
      </c>
      <c r="F114" s="2" t="s">
        <v>12425</v>
      </c>
      <c r="G114" s="2" t="s">
        <v>12829</v>
      </c>
      <c r="H114" s="2" t="s">
        <v>76</v>
      </c>
      <c r="I114" s="9">
        <v>115042560</v>
      </c>
      <c r="J114" s="7">
        <v>6.2500000000000001E-5</v>
      </c>
      <c r="K114" s="9">
        <v>7190.16</v>
      </c>
      <c r="L114" s="14">
        <v>0</v>
      </c>
      <c r="M114" s="2" t="s">
        <v>71</v>
      </c>
      <c r="N114" s="2" t="s">
        <v>12595</v>
      </c>
      <c r="O114" s="2" t="s">
        <v>12830</v>
      </c>
      <c r="P114" s="9">
        <v>0</v>
      </c>
      <c r="Q114" s="9">
        <v>0</v>
      </c>
      <c r="R114" s="2" t="s">
        <v>12603</v>
      </c>
    </row>
    <row r="115" spans="1:18" x14ac:dyDescent="0.25">
      <c r="A115" s="2" t="s">
        <v>666</v>
      </c>
      <c r="B115" s="6">
        <v>46174</v>
      </c>
      <c r="C115" s="8">
        <v>46197</v>
      </c>
      <c r="D115" s="2" t="s">
        <v>136</v>
      </c>
      <c r="E115" s="2" t="s">
        <v>12593</v>
      </c>
      <c r="F115" s="2" t="s">
        <v>12426</v>
      </c>
      <c r="G115" s="2" t="s">
        <v>12831</v>
      </c>
      <c r="H115" s="2" t="s">
        <v>70</v>
      </c>
      <c r="I115" s="9">
        <v>11072.436089999999</v>
      </c>
      <c r="J115" s="7">
        <v>0.66500000000000004</v>
      </c>
      <c r="K115" s="9">
        <v>7363.17</v>
      </c>
      <c r="L115" s="14">
        <v>0</v>
      </c>
      <c r="M115" s="2" t="s">
        <v>71</v>
      </c>
      <c r="N115" s="2" t="s">
        <v>12595</v>
      </c>
      <c r="O115" s="2" t="s">
        <v>12832</v>
      </c>
      <c r="P115" s="9">
        <v>0</v>
      </c>
      <c r="Q115" s="9">
        <v>0</v>
      </c>
      <c r="R115" s="2" t="s">
        <v>12606</v>
      </c>
    </row>
    <row r="116" spans="1:18" x14ac:dyDescent="0.25">
      <c r="A116" s="2" t="s">
        <v>671</v>
      </c>
      <c r="B116" s="6">
        <v>46174</v>
      </c>
      <c r="C116" s="8">
        <v>46198</v>
      </c>
      <c r="D116" s="2" t="s">
        <v>136</v>
      </c>
      <c r="E116" s="2" t="s">
        <v>12593</v>
      </c>
      <c r="F116" s="2" t="s">
        <v>12427</v>
      </c>
      <c r="G116" s="2" t="s">
        <v>12833</v>
      </c>
      <c r="H116" s="2" t="s">
        <v>39</v>
      </c>
      <c r="I116" s="9">
        <v>7536.18</v>
      </c>
      <c r="J116" s="7">
        <v>1</v>
      </c>
      <c r="K116" s="9">
        <v>7536.18</v>
      </c>
      <c r="L116" s="14">
        <v>0</v>
      </c>
      <c r="M116" s="2" t="s">
        <v>71</v>
      </c>
      <c r="N116" s="2" t="s">
        <v>12595</v>
      </c>
      <c r="O116" s="2" t="s">
        <v>12834</v>
      </c>
      <c r="P116" s="9">
        <v>0</v>
      </c>
      <c r="Q116" s="9">
        <v>0</v>
      </c>
      <c r="R116" s="2" t="s">
        <v>12609</v>
      </c>
    </row>
    <row r="117" spans="1:18" x14ac:dyDescent="0.25">
      <c r="A117" s="2" t="s">
        <v>676</v>
      </c>
      <c r="B117" s="6">
        <v>46174</v>
      </c>
      <c r="C117" s="8">
        <v>46199</v>
      </c>
      <c r="D117" s="2" t="s">
        <v>136</v>
      </c>
      <c r="E117" s="2" t="s">
        <v>12593</v>
      </c>
      <c r="F117" s="2" t="s">
        <v>12428</v>
      </c>
      <c r="G117" s="2" t="s">
        <v>12835</v>
      </c>
      <c r="H117" s="2" t="s">
        <v>76</v>
      </c>
      <c r="I117" s="9">
        <v>123347040</v>
      </c>
      <c r="J117" s="7">
        <v>6.2500000000000001E-5</v>
      </c>
      <c r="K117" s="9">
        <v>7709.19</v>
      </c>
      <c r="L117" s="14">
        <v>0</v>
      </c>
      <c r="M117" s="2" t="s">
        <v>71</v>
      </c>
      <c r="N117" s="2" t="s">
        <v>12595</v>
      </c>
      <c r="O117" s="2" t="s">
        <v>12836</v>
      </c>
      <c r="P117" s="9">
        <v>0</v>
      </c>
      <c r="Q117" s="9">
        <v>0</v>
      </c>
      <c r="R117" s="2" t="s">
        <v>12612</v>
      </c>
    </row>
    <row r="118" spans="1:18" x14ac:dyDescent="0.25">
      <c r="A118" s="2" t="s">
        <v>679</v>
      </c>
      <c r="B118" s="6">
        <v>46174</v>
      </c>
      <c r="C118" s="8">
        <v>46200</v>
      </c>
      <c r="D118" s="2" t="s">
        <v>136</v>
      </c>
      <c r="E118" s="2" t="s">
        <v>12593</v>
      </c>
      <c r="F118" s="2" t="s">
        <v>12429</v>
      </c>
      <c r="G118" s="2" t="s">
        <v>12837</v>
      </c>
      <c r="H118" s="2" t="s">
        <v>70</v>
      </c>
      <c r="I118" s="9">
        <v>11852.932331</v>
      </c>
      <c r="J118" s="7">
        <v>0.66500000000000004</v>
      </c>
      <c r="K118" s="9">
        <v>7882.2</v>
      </c>
      <c r="L118" s="14">
        <v>0</v>
      </c>
      <c r="M118" s="2" t="s">
        <v>71</v>
      </c>
      <c r="N118" s="2" t="s">
        <v>12595</v>
      </c>
      <c r="O118" s="2" t="s">
        <v>12838</v>
      </c>
      <c r="P118" s="9">
        <v>0</v>
      </c>
      <c r="Q118" s="9">
        <v>0</v>
      </c>
      <c r="R118" s="2" t="s">
        <v>12615</v>
      </c>
    </row>
    <row r="119" spans="1:18" x14ac:dyDescent="0.25">
      <c r="A119" s="2" t="s">
        <v>682</v>
      </c>
      <c r="B119" s="6">
        <v>46174</v>
      </c>
      <c r="C119" s="8">
        <v>46201</v>
      </c>
      <c r="D119" s="2" t="s">
        <v>136</v>
      </c>
      <c r="E119" s="2" t="s">
        <v>12593</v>
      </c>
      <c r="F119" s="2" t="s">
        <v>12430</v>
      </c>
      <c r="G119" s="2" t="s">
        <v>12839</v>
      </c>
      <c r="H119" s="2" t="s">
        <v>39</v>
      </c>
      <c r="I119" s="9">
        <v>8055.21</v>
      </c>
      <c r="J119" s="7">
        <v>1</v>
      </c>
      <c r="K119" s="9">
        <v>8055.21</v>
      </c>
      <c r="L119" s="14">
        <v>0</v>
      </c>
      <c r="M119" s="2" t="s">
        <v>71</v>
      </c>
      <c r="N119" s="2" t="s">
        <v>12595</v>
      </c>
      <c r="O119" s="2" t="s">
        <v>12840</v>
      </c>
      <c r="P119" s="9">
        <v>0</v>
      </c>
      <c r="Q119" s="9">
        <v>0</v>
      </c>
      <c r="R119" s="2" t="s">
        <v>12618</v>
      </c>
    </row>
    <row r="120" spans="1:18" x14ac:dyDescent="0.25">
      <c r="A120" s="2" t="s">
        <v>687</v>
      </c>
      <c r="B120" s="6">
        <v>46174</v>
      </c>
      <c r="C120" s="8">
        <v>46202</v>
      </c>
      <c r="D120" s="2" t="s">
        <v>136</v>
      </c>
      <c r="E120" s="2" t="s">
        <v>12593</v>
      </c>
      <c r="F120" s="2" t="s">
        <v>12431</v>
      </c>
      <c r="G120" s="2" t="s">
        <v>12841</v>
      </c>
      <c r="H120" s="2" t="s">
        <v>76</v>
      </c>
      <c r="I120" s="9">
        <v>131651520</v>
      </c>
      <c r="J120" s="7">
        <v>6.2500000000000001E-5</v>
      </c>
      <c r="K120" s="9">
        <v>8228.2199999999993</v>
      </c>
      <c r="L120" s="14">
        <v>0</v>
      </c>
      <c r="M120" s="2" t="s">
        <v>71</v>
      </c>
      <c r="N120" s="2" t="s">
        <v>12595</v>
      </c>
      <c r="O120" s="2" t="s">
        <v>12842</v>
      </c>
      <c r="P120" s="9">
        <v>0</v>
      </c>
      <c r="Q120" s="9">
        <v>0</v>
      </c>
      <c r="R120" s="2" t="s">
        <v>12621</v>
      </c>
    </row>
    <row r="121" spans="1:18" x14ac:dyDescent="0.25">
      <c r="A121" s="2" t="s">
        <v>690</v>
      </c>
      <c r="B121" s="6">
        <v>46174</v>
      </c>
      <c r="C121" s="8">
        <v>46203</v>
      </c>
      <c r="D121" s="2" t="s">
        <v>136</v>
      </c>
      <c r="E121" s="2" t="s">
        <v>12593</v>
      </c>
      <c r="F121" s="2" t="s">
        <v>12432</v>
      </c>
      <c r="G121" s="2" t="s">
        <v>12843</v>
      </c>
      <c r="H121" s="2" t="s">
        <v>70</v>
      </c>
      <c r="I121" s="9">
        <v>12633.428571</v>
      </c>
      <c r="J121" s="7">
        <v>0.66500000000000004</v>
      </c>
      <c r="K121" s="9">
        <v>8401.23</v>
      </c>
      <c r="L121" s="14">
        <v>0</v>
      </c>
      <c r="M121" s="2" t="s">
        <v>71</v>
      </c>
      <c r="N121" s="2" t="s">
        <v>12595</v>
      </c>
      <c r="O121" s="2" t="s">
        <v>12844</v>
      </c>
      <c r="P121" s="9">
        <v>0</v>
      </c>
      <c r="Q121" s="9">
        <v>0</v>
      </c>
      <c r="R121" s="2" t="s">
        <v>12624</v>
      </c>
    </row>
    <row r="122" spans="1:18" x14ac:dyDescent="0.25">
      <c r="A122" s="2" t="s">
        <v>693</v>
      </c>
      <c r="B122" s="6">
        <v>46174</v>
      </c>
      <c r="C122" s="8">
        <v>46174</v>
      </c>
      <c r="D122" s="2" t="s">
        <v>136</v>
      </c>
      <c r="E122" s="2" t="s">
        <v>12593</v>
      </c>
      <c r="F122" s="2" t="s">
        <v>12423</v>
      </c>
      <c r="G122" s="2" t="s">
        <v>12845</v>
      </c>
      <c r="H122" s="2" t="s">
        <v>39</v>
      </c>
      <c r="I122" s="9">
        <v>8574.24</v>
      </c>
      <c r="J122" s="7">
        <v>1</v>
      </c>
      <c r="K122" s="9">
        <v>8574.24</v>
      </c>
      <c r="L122" s="14">
        <v>0</v>
      </c>
      <c r="M122" s="2" t="s">
        <v>71</v>
      </c>
      <c r="N122" s="2" t="s">
        <v>12595</v>
      </c>
      <c r="O122" s="2" t="s">
        <v>12846</v>
      </c>
      <c r="P122" s="9">
        <v>0</v>
      </c>
      <c r="Q122" s="9">
        <v>0</v>
      </c>
      <c r="R122" s="2" t="s">
        <v>12597</v>
      </c>
    </row>
    <row r="123" spans="1:18" x14ac:dyDescent="0.25">
      <c r="A123" s="2" t="s">
        <v>696</v>
      </c>
      <c r="B123" s="6">
        <v>46174</v>
      </c>
      <c r="C123" s="8">
        <v>46175</v>
      </c>
      <c r="D123" s="2" t="s">
        <v>136</v>
      </c>
      <c r="E123" s="2" t="s">
        <v>12593</v>
      </c>
      <c r="F123" s="2" t="s">
        <v>12424</v>
      </c>
      <c r="G123" s="2" t="s">
        <v>12847</v>
      </c>
      <c r="H123" s="2" t="s">
        <v>76</v>
      </c>
      <c r="I123" s="9">
        <v>139956000</v>
      </c>
      <c r="J123" s="7">
        <v>6.2500000000000001E-5</v>
      </c>
      <c r="K123" s="9">
        <v>8747.25</v>
      </c>
      <c r="L123" s="14">
        <v>0</v>
      </c>
      <c r="M123" s="2" t="s">
        <v>71</v>
      </c>
      <c r="N123" s="2" t="s">
        <v>12595</v>
      </c>
      <c r="O123" s="2" t="s">
        <v>12848</v>
      </c>
      <c r="P123" s="9">
        <v>0</v>
      </c>
      <c r="Q123" s="9">
        <v>0</v>
      </c>
      <c r="R123" s="2" t="s">
        <v>12600</v>
      </c>
    </row>
    <row r="124" spans="1:18" x14ac:dyDescent="0.25">
      <c r="A124" s="2" t="s">
        <v>699</v>
      </c>
      <c r="B124" s="6">
        <v>46174</v>
      </c>
      <c r="C124" s="8">
        <v>46176</v>
      </c>
      <c r="D124" s="2" t="s">
        <v>136</v>
      </c>
      <c r="E124" s="2" t="s">
        <v>12593</v>
      </c>
      <c r="F124" s="2" t="s">
        <v>12425</v>
      </c>
      <c r="G124" s="2" t="s">
        <v>12849</v>
      </c>
      <c r="H124" s="2" t="s">
        <v>70</v>
      </c>
      <c r="I124" s="9">
        <v>-13413.924811999999</v>
      </c>
      <c r="J124" s="7">
        <v>0.66500000000000004</v>
      </c>
      <c r="K124" s="9">
        <v>-8920.26</v>
      </c>
      <c r="L124" s="14">
        <v>0</v>
      </c>
      <c r="M124" s="2" t="s">
        <v>71</v>
      </c>
      <c r="N124" s="2" t="s">
        <v>12595</v>
      </c>
      <c r="O124" s="2" t="s">
        <v>12850</v>
      </c>
      <c r="P124" s="9">
        <v>0</v>
      </c>
      <c r="Q124" s="9">
        <v>0</v>
      </c>
      <c r="R124" s="2" t="s">
        <v>12603</v>
      </c>
    </row>
    <row r="125" spans="1:18" x14ac:dyDescent="0.25">
      <c r="A125" s="2" t="s">
        <v>702</v>
      </c>
      <c r="B125" s="6">
        <v>46174</v>
      </c>
      <c r="C125" s="8">
        <v>46177</v>
      </c>
      <c r="D125" s="2" t="s">
        <v>136</v>
      </c>
      <c r="E125" s="2" t="s">
        <v>12593</v>
      </c>
      <c r="F125" s="2" t="s">
        <v>12426</v>
      </c>
      <c r="G125" s="2" t="s">
        <v>12851</v>
      </c>
      <c r="H125" s="2" t="s">
        <v>39</v>
      </c>
      <c r="I125" s="9">
        <v>9093.27</v>
      </c>
      <c r="J125" s="7">
        <v>1</v>
      </c>
      <c r="K125" s="9">
        <v>9093.27</v>
      </c>
      <c r="L125" s="14">
        <v>0</v>
      </c>
      <c r="M125" s="2" t="s">
        <v>71</v>
      </c>
      <c r="N125" s="2" t="s">
        <v>12595</v>
      </c>
      <c r="O125" s="2" t="s">
        <v>12852</v>
      </c>
      <c r="P125" s="9">
        <v>0</v>
      </c>
      <c r="Q125" s="9">
        <v>0</v>
      </c>
      <c r="R125" s="2" t="s">
        <v>12606</v>
      </c>
    </row>
    <row r="126" spans="1:18" x14ac:dyDescent="0.25">
      <c r="A126" s="2" t="s">
        <v>707</v>
      </c>
      <c r="B126" s="6">
        <v>46174</v>
      </c>
      <c r="C126" s="8">
        <v>46178</v>
      </c>
      <c r="D126" s="2" t="s">
        <v>136</v>
      </c>
      <c r="E126" s="2" t="s">
        <v>12593</v>
      </c>
      <c r="F126" s="2" t="s">
        <v>12427</v>
      </c>
      <c r="G126" s="2" t="s">
        <v>12853</v>
      </c>
      <c r="H126" s="2" t="s">
        <v>76</v>
      </c>
      <c r="I126" s="9">
        <v>148260480</v>
      </c>
      <c r="J126" s="7">
        <v>6.2500000000000001E-5</v>
      </c>
      <c r="K126" s="9">
        <v>9266.2800000000007</v>
      </c>
      <c r="L126" s="14">
        <v>0</v>
      </c>
      <c r="M126" s="2" t="s">
        <v>71</v>
      </c>
      <c r="N126" s="2" t="s">
        <v>12595</v>
      </c>
      <c r="O126" s="2" t="s">
        <v>12854</v>
      </c>
      <c r="P126" s="9">
        <v>0</v>
      </c>
      <c r="Q126" s="9">
        <v>0</v>
      </c>
      <c r="R126" s="2" t="s">
        <v>12609</v>
      </c>
    </row>
    <row r="127" spans="1:18" x14ac:dyDescent="0.25">
      <c r="A127" s="2" t="s">
        <v>712</v>
      </c>
      <c r="B127" s="6">
        <v>46174</v>
      </c>
      <c r="C127" s="8">
        <v>46179</v>
      </c>
      <c r="D127" s="2" t="s">
        <v>136</v>
      </c>
      <c r="E127" s="2" t="s">
        <v>12593</v>
      </c>
      <c r="F127" s="2" t="s">
        <v>12428</v>
      </c>
      <c r="G127" s="2" t="s">
        <v>12855</v>
      </c>
      <c r="H127" s="2" t="s">
        <v>70</v>
      </c>
      <c r="I127" s="9">
        <v>14194.421053</v>
      </c>
      <c r="J127" s="7">
        <v>0.66500000000000004</v>
      </c>
      <c r="K127" s="9">
        <v>9439.2900000000009</v>
      </c>
      <c r="L127" s="14">
        <v>0</v>
      </c>
      <c r="M127" s="2" t="s">
        <v>71</v>
      </c>
      <c r="N127" s="2" t="s">
        <v>12595</v>
      </c>
      <c r="O127" s="2" t="s">
        <v>12856</v>
      </c>
      <c r="P127" s="9">
        <v>0</v>
      </c>
      <c r="Q127" s="9">
        <v>0</v>
      </c>
      <c r="R127" s="2" t="s">
        <v>12612</v>
      </c>
    </row>
    <row r="128" spans="1:18" x14ac:dyDescent="0.25">
      <c r="A128" s="2" t="s">
        <v>715</v>
      </c>
      <c r="B128" s="6">
        <v>46174</v>
      </c>
      <c r="C128" s="8">
        <v>46180</v>
      </c>
      <c r="D128" s="2" t="s">
        <v>136</v>
      </c>
      <c r="E128" s="2" t="s">
        <v>12593</v>
      </c>
      <c r="F128" s="2" t="s">
        <v>12429</v>
      </c>
      <c r="G128" s="2" t="s">
        <v>12857</v>
      </c>
      <c r="H128" s="2" t="s">
        <v>39</v>
      </c>
      <c r="I128" s="9">
        <v>9612.2999999999993</v>
      </c>
      <c r="J128" s="7">
        <v>1</v>
      </c>
      <c r="K128" s="9">
        <v>9612.2999999999993</v>
      </c>
      <c r="L128" s="14">
        <v>0</v>
      </c>
      <c r="M128" s="2" t="s">
        <v>71</v>
      </c>
      <c r="N128" s="2" t="s">
        <v>12595</v>
      </c>
      <c r="O128" s="2" t="s">
        <v>12858</v>
      </c>
      <c r="P128" s="9">
        <v>0</v>
      </c>
      <c r="Q128" s="9">
        <v>0</v>
      </c>
      <c r="R128" s="2" t="s">
        <v>12615</v>
      </c>
    </row>
    <row r="129" spans="1:18" x14ac:dyDescent="0.25">
      <c r="A129" s="2" t="s">
        <v>718</v>
      </c>
      <c r="B129" s="6">
        <v>46174</v>
      </c>
      <c r="C129" s="8">
        <v>46181</v>
      </c>
      <c r="D129" s="2" t="s">
        <v>136</v>
      </c>
      <c r="E129" s="2" t="s">
        <v>12593</v>
      </c>
      <c r="F129" s="2" t="s">
        <v>12430</v>
      </c>
      <c r="G129" s="2" t="s">
        <v>12859</v>
      </c>
      <c r="H129" s="2" t="s">
        <v>76</v>
      </c>
      <c r="I129" s="9">
        <v>156564960</v>
      </c>
      <c r="J129" s="7">
        <v>6.2500000000000001E-5</v>
      </c>
      <c r="K129" s="9">
        <v>9785.31</v>
      </c>
      <c r="L129" s="14">
        <v>0</v>
      </c>
      <c r="M129" s="2" t="s">
        <v>71</v>
      </c>
      <c r="N129" s="2" t="s">
        <v>12595</v>
      </c>
      <c r="O129" s="2" t="s">
        <v>12860</v>
      </c>
      <c r="P129" s="9">
        <v>0</v>
      </c>
      <c r="Q129" s="9">
        <v>0</v>
      </c>
      <c r="R129" s="2" t="s">
        <v>12618</v>
      </c>
    </row>
    <row r="130" spans="1:18" x14ac:dyDescent="0.25">
      <c r="A130" s="2" t="s">
        <v>723</v>
      </c>
      <c r="B130" s="6">
        <v>46174</v>
      </c>
      <c r="C130" s="8">
        <v>46182</v>
      </c>
      <c r="D130" s="2" t="s">
        <v>136</v>
      </c>
      <c r="E130" s="2" t="s">
        <v>12593</v>
      </c>
      <c r="F130" s="2" t="s">
        <v>12431</v>
      </c>
      <c r="G130" s="2" t="s">
        <v>12861</v>
      </c>
      <c r="H130" s="2" t="s">
        <v>70</v>
      </c>
      <c r="I130" s="9">
        <v>14974.917293</v>
      </c>
      <c r="J130" s="7">
        <v>0.66500000000000004</v>
      </c>
      <c r="K130" s="9">
        <v>9958.32</v>
      </c>
      <c r="L130" s="14">
        <v>0</v>
      </c>
      <c r="M130" s="2" t="s">
        <v>71</v>
      </c>
      <c r="N130" s="2" t="s">
        <v>12595</v>
      </c>
      <c r="O130" s="2" t="s">
        <v>12862</v>
      </c>
      <c r="P130" s="9">
        <v>0</v>
      </c>
      <c r="Q130" s="9">
        <v>0</v>
      </c>
      <c r="R130" s="2" t="s">
        <v>12621</v>
      </c>
    </row>
    <row r="131" spans="1:18" x14ac:dyDescent="0.25">
      <c r="A131" s="2" t="s">
        <v>726</v>
      </c>
      <c r="B131" s="6">
        <v>46174</v>
      </c>
      <c r="C131" s="8">
        <v>46183</v>
      </c>
      <c r="D131" s="2" t="s">
        <v>136</v>
      </c>
      <c r="E131" s="2" t="s">
        <v>12593</v>
      </c>
      <c r="F131" s="2" t="s">
        <v>12432</v>
      </c>
      <c r="G131" s="2" t="s">
        <v>12863</v>
      </c>
      <c r="H131" s="2" t="s">
        <v>39</v>
      </c>
      <c r="I131" s="9">
        <v>10131.33</v>
      </c>
      <c r="J131" s="7">
        <v>1</v>
      </c>
      <c r="K131" s="9">
        <v>10131.33</v>
      </c>
      <c r="L131" s="14">
        <v>0</v>
      </c>
      <c r="M131" s="2" t="s">
        <v>71</v>
      </c>
      <c r="N131" s="2" t="s">
        <v>12595</v>
      </c>
      <c r="O131" s="2" t="s">
        <v>12864</v>
      </c>
      <c r="P131" s="9">
        <v>0</v>
      </c>
      <c r="Q131" s="9">
        <v>0</v>
      </c>
      <c r="R131" s="2" t="s">
        <v>12624</v>
      </c>
    </row>
    <row r="132" spans="1:18" x14ac:dyDescent="0.25">
      <c r="A132" s="2" t="s">
        <v>729</v>
      </c>
      <c r="B132" s="6">
        <v>46174</v>
      </c>
      <c r="C132" s="8">
        <v>46184</v>
      </c>
      <c r="D132" s="2" t="s">
        <v>136</v>
      </c>
      <c r="E132" s="2" t="s">
        <v>12593</v>
      </c>
      <c r="F132" s="2" t="s">
        <v>12423</v>
      </c>
      <c r="G132" s="2" t="s">
        <v>12865</v>
      </c>
      <c r="H132" s="2" t="s">
        <v>76</v>
      </c>
      <c r="I132" s="9">
        <v>164869440</v>
      </c>
      <c r="J132" s="7">
        <v>6.2500000000000001E-5</v>
      </c>
      <c r="K132" s="9">
        <v>10304.34</v>
      </c>
      <c r="L132" s="14">
        <v>0</v>
      </c>
      <c r="M132" s="2" t="s">
        <v>71</v>
      </c>
      <c r="N132" s="2" t="s">
        <v>12595</v>
      </c>
      <c r="O132" s="2" t="s">
        <v>12866</v>
      </c>
      <c r="P132" s="9">
        <v>0</v>
      </c>
      <c r="Q132" s="9">
        <v>0</v>
      </c>
      <c r="R132" s="2" t="s">
        <v>12597</v>
      </c>
    </row>
    <row r="133" spans="1:18" x14ac:dyDescent="0.25">
      <c r="A133" s="2" t="s">
        <v>732</v>
      </c>
      <c r="B133" s="6">
        <v>46174</v>
      </c>
      <c r="C133" s="8">
        <v>46185</v>
      </c>
      <c r="D133" s="2" t="s">
        <v>136</v>
      </c>
      <c r="E133" s="2" t="s">
        <v>12593</v>
      </c>
      <c r="F133" s="2" t="s">
        <v>12424</v>
      </c>
      <c r="G133" s="2" t="s">
        <v>12867</v>
      </c>
      <c r="H133" s="2" t="s">
        <v>70</v>
      </c>
      <c r="I133" s="9">
        <v>15755.413533999999</v>
      </c>
      <c r="J133" s="7">
        <v>0.66500000000000004</v>
      </c>
      <c r="K133" s="9">
        <v>10477.35</v>
      </c>
      <c r="L133" s="14">
        <v>0</v>
      </c>
      <c r="M133" s="2" t="s">
        <v>71</v>
      </c>
      <c r="N133" s="2" t="s">
        <v>12595</v>
      </c>
      <c r="O133" s="2" t="s">
        <v>12868</v>
      </c>
      <c r="P133" s="9">
        <v>0</v>
      </c>
      <c r="Q133" s="9">
        <v>0</v>
      </c>
      <c r="R133" s="2" t="s">
        <v>12600</v>
      </c>
    </row>
    <row r="134" spans="1:18" x14ac:dyDescent="0.25">
      <c r="A134" s="2" t="s">
        <v>735</v>
      </c>
      <c r="B134" s="6">
        <v>46174</v>
      </c>
      <c r="C134" s="8">
        <v>46186</v>
      </c>
      <c r="D134" s="2" t="s">
        <v>136</v>
      </c>
      <c r="E134" s="2" t="s">
        <v>12593</v>
      </c>
      <c r="F134" s="2" t="s">
        <v>12425</v>
      </c>
      <c r="G134" s="2" t="s">
        <v>12869</v>
      </c>
      <c r="H134" s="2" t="s">
        <v>39</v>
      </c>
      <c r="I134" s="9">
        <v>10650.36</v>
      </c>
      <c r="J134" s="7">
        <v>1</v>
      </c>
      <c r="K134" s="9">
        <v>10650.36</v>
      </c>
      <c r="L134" s="14">
        <v>0</v>
      </c>
      <c r="M134" s="2" t="s">
        <v>71</v>
      </c>
      <c r="N134" s="2" t="s">
        <v>12595</v>
      </c>
      <c r="O134" s="2" t="s">
        <v>12870</v>
      </c>
      <c r="P134" s="9">
        <v>0</v>
      </c>
      <c r="Q134" s="9">
        <v>0</v>
      </c>
      <c r="R134" s="2" t="s">
        <v>12603</v>
      </c>
    </row>
    <row r="135" spans="1:18" x14ac:dyDescent="0.25">
      <c r="A135" s="2" t="s">
        <v>738</v>
      </c>
      <c r="B135" s="6">
        <v>46174</v>
      </c>
      <c r="C135" s="8">
        <v>46187</v>
      </c>
      <c r="D135" s="2" t="s">
        <v>136</v>
      </c>
      <c r="E135" s="2" t="s">
        <v>12593</v>
      </c>
      <c r="F135" s="2" t="s">
        <v>12426</v>
      </c>
      <c r="G135" s="2" t="s">
        <v>12871</v>
      </c>
      <c r="H135" s="2" t="s">
        <v>76</v>
      </c>
      <c r="I135" s="9">
        <v>173173920</v>
      </c>
      <c r="J135" s="7">
        <v>6.2500000000000001E-5</v>
      </c>
      <c r="K135" s="9">
        <v>10823.37</v>
      </c>
      <c r="L135" s="14">
        <v>0</v>
      </c>
      <c r="M135" s="2" t="s">
        <v>71</v>
      </c>
      <c r="N135" s="2" t="s">
        <v>12595</v>
      </c>
      <c r="O135" s="2" t="s">
        <v>12872</v>
      </c>
      <c r="P135" s="9">
        <v>0</v>
      </c>
      <c r="Q135" s="9">
        <v>0</v>
      </c>
      <c r="R135" s="2" t="s">
        <v>12606</v>
      </c>
    </row>
    <row r="136" spans="1:18" x14ac:dyDescent="0.25">
      <c r="A136" s="2" t="s">
        <v>743</v>
      </c>
      <c r="B136" s="6">
        <v>46174</v>
      </c>
      <c r="C136" s="8">
        <v>46188</v>
      </c>
      <c r="D136" s="2" t="s">
        <v>136</v>
      </c>
      <c r="E136" s="2" t="s">
        <v>12593</v>
      </c>
      <c r="F136" s="2" t="s">
        <v>12427</v>
      </c>
      <c r="G136" s="2" t="s">
        <v>12873</v>
      </c>
      <c r="H136" s="2" t="s">
        <v>70</v>
      </c>
      <c r="I136" s="9">
        <v>16535.909774</v>
      </c>
      <c r="J136" s="7">
        <v>0.66500000000000004</v>
      </c>
      <c r="K136" s="9">
        <v>10996.38</v>
      </c>
      <c r="L136" s="14">
        <v>0</v>
      </c>
      <c r="M136" s="2" t="s">
        <v>71</v>
      </c>
      <c r="N136" s="2" t="s">
        <v>12595</v>
      </c>
      <c r="O136" s="2" t="s">
        <v>12874</v>
      </c>
      <c r="P136" s="9">
        <v>0</v>
      </c>
      <c r="Q136" s="9">
        <v>0</v>
      </c>
      <c r="R136" s="2" t="s">
        <v>12609</v>
      </c>
    </row>
    <row r="137" spans="1:18" x14ac:dyDescent="0.25">
      <c r="A137" s="2" t="s">
        <v>748</v>
      </c>
      <c r="B137" s="6">
        <v>46174</v>
      </c>
      <c r="C137" s="8">
        <v>46189</v>
      </c>
      <c r="D137" s="2" t="s">
        <v>136</v>
      </c>
      <c r="E137" s="2" t="s">
        <v>12593</v>
      </c>
      <c r="F137" s="2" t="s">
        <v>12428</v>
      </c>
      <c r="G137" s="2" t="s">
        <v>12875</v>
      </c>
      <c r="H137" s="2" t="s">
        <v>39</v>
      </c>
      <c r="I137" s="9">
        <v>11169.39</v>
      </c>
      <c r="J137" s="7">
        <v>1</v>
      </c>
      <c r="K137" s="9">
        <v>11169.39</v>
      </c>
      <c r="L137" s="14">
        <v>0</v>
      </c>
      <c r="M137" s="2" t="s">
        <v>71</v>
      </c>
      <c r="N137" s="2" t="s">
        <v>12595</v>
      </c>
      <c r="O137" s="2" t="s">
        <v>12876</v>
      </c>
      <c r="P137" s="9">
        <v>0</v>
      </c>
      <c r="Q137" s="9">
        <v>0</v>
      </c>
      <c r="R137" s="2" t="s">
        <v>12612</v>
      </c>
    </row>
    <row r="138" spans="1:18" x14ac:dyDescent="0.25">
      <c r="A138" s="2" t="s">
        <v>751</v>
      </c>
      <c r="B138" s="6">
        <v>46174</v>
      </c>
      <c r="C138" s="8">
        <v>46190</v>
      </c>
      <c r="D138" s="2" t="s">
        <v>136</v>
      </c>
      <c r="E138" s="2" t="s">
        <v>12593</v>
      </c>
      <c r="F138" s="2" t="s">
        <v>12429</v>
      </c>
      <c r="G138" s="2" t="s">
        <v>12877</v>
      </c>
      <c r="H138" s="2" t="s">
        <v>76</v>
      </c>
      <c r="I138" s="9">
        <v>181478400</v>
      </c>
      <c r="J138" s="7">
        <v>6.2500000000000001E-5</v>
      </c>
      <c r="K138" s="9">
        <v>11342.4</v>
      </c>
      <c r="L138" s="14">
        <v>0</v>
      </c>
      <c r="M138" s="2" t="s">
        <v>71</v>
      </c>
      <c r="N138" s="2" t="s">
        <v>12595</v>
      </c>
      <c r="O138" s="2" t="s">
        <v>12878</v>
      </c>
      <c r="P138" s="9">
        <v>0</v>
      </c>
      <c r="Q138" s="9">
        <v>0</v>
      </c>
      <c r="R138" s="2" t="s">
        <v>12615</v>
      </c>
    </row>
    <row r="139" spans="1:18" x14ac:dyDescent="0.25">
      <c r="A139" s="2" t="s">
        <v>754</v>
      </c>
      <c r="B139" s="6">
        <v>46174</v>
      </c>
      <c r="C139" s="8">
        <v>46191</v>
      </c>
      <c r="D139" s="2" t="s">
        <v>136</v>
      </c>
      <c r="E139" s="2" t="s">
        <v>12593</v>
      </c>
      <c r="F139" s="2" t="s">
        <v>12430</v>
      </c>
      <c r="G139" s="2" t="s">
        <v>12879</v>
      </c>
      <c r="H139" s="2" t="s">
        <v>70</v>
      </c>
      <c r="I139" s="9">
        <v>17316.406015</v>
      </c>
      <c r="J139" s="7">
        <v>0.66500000000000004</v>
      </c>
      <c r="K139" s="9">
        <v>11515.41</v>
      </c>
      <c r="L139" s="14">
        <v>0</v>
      </c>
      <c r="M139" s="2" t="s">
        <v>71</v>
      </c>
      <c r="N139" s="2" t="s">
        <v>12595</v>
      </c>
      <c r="O139" s="2" t="s">
        <v>12880</v>
      </c>
      <c r="P139" s="9">
        <v>0</v>
      </c>
      <c r="Q139" s="9">
        <v>0</v>
      </c>
      <c r="R139" s="2" t="s">
        <v>12618</v>
      </c>
    </row>
    <row r="140" spans="1:18" x14ac:dyDescent="0.25">
      <c r="A140" s="2" t="s">
        <v>759</v>
      </c>
      <c r="B140" s="6">
        <v>46174</v>
      </c>
      <c r="C140" s="8">
        <v>46192</v>
      </c>
      <c r="D140" s="2" t="s">
        <v>136</v>
      </c>
      <c r="E140" s="2" t="s">
        <v>12593</v>
      </c>
      <c r="F140" s="2" t="s">
        <v>12431</v>
      </c>
      <c r="G140" s="2" t="s">
        <v>12881</v>
      </c>
      <c r="H140" s="2" t="s">
        <v>39</v>
      </c>
      <c r="I140" s="9">
        <v>11688.42</v>
      </c>
      <c r="J140" s="7">
        <v>1</v>
      </c>
      <c r="K140" s="9">
        <v>11688.42</v>
      </c>
      <c r="L140" s="14">
        <v>0</v>
      </c>
      <c r="M140" s="2" t="s">
        <v>71</v>
      </c>
      <c r="N140" s="2" t="s">
        <v>12595</v>
      </c>
      <c r="O140" s="2" t="s">
        <v>12882</v>
      </c>
      <c r="P140" s="9">
        <v>0</v>
      </c>
      <c r="Q140" s="9">
        <v>0</v>
      </c>
      <c r="R140" s="2" t="s">
        <v>12621</v>
      </c>
    </row>
    <row r="141" spans="1:18" x14ac:dyDescent="0.25">
      <c r="A141" s="2" t="s">
        <v>762</v>
      </c>
      <c r="B141" s="6">
        <v>46174</v>
      </c>
      <c r="C141" s="8">
        <v>46193</v>
      </c>
      <c r="D141" s="2" t="s">
        <v>136</v>
      </c>
      <c r="E141" s="2" t="s">
        <v>12593</v>
      </c>
      <c r="F141" s="2" t="s">
        <v>12432</v>
      </c>
      <c r="G141" s="2" t="s">
        <v>12883</v>
      </c>
      <c r="H141" s="2" t="s">
        <v>76</v>
      </c>
      <c r="I141" s="9">
        <v>189782880</v>
      </c>
      <c r="J141" s="7">
        <v>6.2500000000000001E-5</v>
      </c>
      <c r="K141" s="9">
        <v>11861.43</v>
      </c>
      <c r="L141" s="14">
        <v>0</v>
      </c>
      <c r="M141" s="2" t="s">
        <v>71</v>
      </c>
      <c r="N141" s="2" t="s">
        <v>12595</v>
      </c>
      <c r="O141" s="2" t="s">
        <v>12884</v>
      </c>
      <c r="P141" s="9">
        <v>0</v>
      </c>
      <c r="Q141" s="9">
        <v>0</v>
      </c>
      <c r="R141" s="2" t="s">
        <v>12624</v>
      </c>
    </row>
    <row r="142" spans="1:18" x14ac:dyDescent="0.25">
      <c r="A142" s="2" t="s">
        <v>765</v>
      </c>
      <c r="B142" s="6">
        <v>46174</v>
      </c>
      <c r="C142" s="8">
        <v>46194</v>
      </c>
      <c r="D142" s="2" t="s">
        <v>136</v>
      </c>
      <c r="E142" s="2" t="s">
        <v>12593</v>
      </c>
      <c r="F142" s="2" t="s">
        <v>12423</v>
      </c>
      <c r="G142" s="2" t="s">
        <v>12885</v>
      </c>
      <c r="H142" s="2" t="s">
        <v>70</v>
      </c>
      <c r="I142" s="9">
        <v>18096.902256000001</v>
      </c>
      <c r="J142" s="7">
        <v>0.66500000000000004</v>
      </c>
      <c r="K142" s="9">
        <v>12034.44</v>
      </c>
      <c r="L142" s="14">
        <v>0</v>
      </c>
      <c r="M142" s="2" t="s">
        <v>71</v>
      </c>
      <c r="N142" s="2" t="s">
        <v>12595</v>
      </c>
      <c r="O142" s="2" t="s">
        <v>12886</v>
      </c>
      <c r="P142" s="9">
        <v>0</v>
      </c>
      <c r="Q142" s="9">
        <v>0</v>
      </c>
      <c r="R142" s="2" t="s">
        <v>12597</v>
      </c>
    </row>
    <row r="143" spans="1:18" x14ac:dyDescent="0.25">
      <c r="A143" s="2" t="s">
        <v>768</v>
      </c>
      <c r="B143" s="6">
        <v>46174</v>
      </c>
      <c r="C143" s="8">
        <v>46195</v>
      </c>
      <c r="D143" s="2" t="s">
        <v>136</v>
      </c>
      <c r="E143" s="2" t="s">
        <v>12593</v>
      </c>
      <c r="F143" s="2" t="s">
        <v>12424</v>
      </c>
      <c r="G143" s="2" t="s">
        <v>12887</v>
      </c>
      <c r="H143" s="2" t="s">
        <v>39</v>
      </c>
      <c r="I143" s="9">
        <v>12207.45</v>
      </c>
      <c r="J143" s="7">
        <v>1</v>
      </c>
      <c r="K143" s="9">
        <v>12207.45</v>
      </c>
      <c r="L143" s="14">
        <v>0</v>
      </c>
      <c r="M143" s="2" t="s">
        <v>71</v>
      </c>
      <c r="N143" s="2" t="s">
        <v>12595</v>
      </c>
      <c r="O143" s="2" t="s">
        <v>12888</v>
      </c>
      <c r="P143" s="9">
        <v>0</v>
      </c>
      <c r="Q143" s="9">
        <v>0</v>
      </c>
      <c r="R143" s="2" t="s">
        <v>12600</v>
      </c>
    </row>
    <row r="144" spans="1:18" x14ac:dyDescent="0.25">
      <c r="A144" s="2" t="s">
        <v>771</v>
      </c>
      <c r="B144" s="6">
        <v>46174</v>
      </c>
      <c r="C144" s="8">
        <v>46196</v>
      </c>
      <c r="D144" s="2" t="s">
        <v>136</v>
      </c>
      <c r="E144" s="2" t="s">
        <v>12593</v>
      </c>
      <c r="F144" s="2" t="s">
        <v>12425</v>
      </c>
      <c r="G144" s="2" t="s">
        <v>12889</v>
      </c>
      <c r="H144" s="2" t="s">
        <v>76</v>
      </c>
      <c r="I144" s="9">
        <v>198087360</v>
      </c>
      <c r="J144" s="7">
        <v>6.2500000000000001E-5</v>
      </c>
      <c r="K144" s="9">
        <v>12380.46</v>
      </c>
      <c r="L144" s="14">
        <v>0</v>
      </c>
      <c r="M144" s="2" t="s">
        <v>71</v>
      </c>
      <c r="N144" s="2" t="s">
        <v>12595</v>
      </c>
      <c r="O144" s="2" t="s">
        <v>12890</v>
      </c>
      <c r="P144" s="9">
        <v>0</v>
      </c>
      <c r="Q144" s="9">
        <v>0</v>
      </c>
      <c r="R144" s="2" t="s">
        <v>12603</v>
      </c>
    </row>
    <row r="145" spans="1:18" x14ac:dyDescent="0.25">
      <c r="A145" s="2" t="s">
        <v>774</v>
      </c>
      <c r="B145" s="6">
        <v>46174</v>
      </c>
      <c r="C145" s="8">
        <v>46197</v>
      </c>
      <c r="D145" s="2" t="s">
        <v>136</v>
      </c>
      <c r="E145" s="2" t="s">
        <v>12593</v>
      </c>
      <c r="F145" s="2" t="s">
        <v>12426</v>
      </c>
      <c r="G145" s="2" t="s">
        <v>12891</v>
      </c>
      <c r="H145" s="2" t="s">
        <v>70</v>
      </c>
      <c r="I145" s="9">
        <v>18877.398496000002</v>
      </c>
      <c r="J145" s="7">
        <v>0.66500000000000004</v>
      </c>
      <c r="K145" s="9">
        <v>12553.47</v>
      </c>
      <c r="L145" s="14">
        <v>0</v>
      </c>
      <c r="M145" s="2" t="s">
        <v>71</v>
      </c>
      <c r="N145" s="2" t="s">
        <v>12595</v>
      </c>
      <c r="O145" s="2" t="s">
        <v>12892</v>
      </c>
      <c r="P145" s="9">
        <v>0</v>
      </c>
      <c r="Q145" s="9">
        <v>0</v>
      </c>
      <c r="R145" s="2" t="s">
        <v>12606</v>
      </c>
    </row>
    <row r="146" spans="1:18" x14ac:dyDescent="0.25">
      <c r="A146" s="2" t="s">
        <v>779</v>
      </c>
      <c r="B146" s="6">
        <v>46174</v>
      </c>
      <c r="C146" s="8">
        <v>46198</v>
      </c>
      <c r="D146" s="2" t="s">
        <v>136</v>
      </c>
      <c r="E146" s="2" t="s">
        <v>12593</v>
      </c>
      <c r="F146" s="2" t="s">
        <v>12427</v>
      </c>
      <c r="G146" s="2" t="s">
        <v>12893</v>
      </c>
      <c r="H146" s="2" t="s">
        <v>39</v>
      </c>
      <c r="I146" s="9">
        <v>12726.48</v>
      </c>
      <c r="J146" s="7">
        <v>1</v>
      </c>
      <c r="K146" s="9">
        <v>12726.48</v>
      </c>
      <c r="L146" s="14">
        <v>0</v>
      </c>
      <c r="M146" s="2" t="s">
        <v>71</v>
      </c>
      <c r="N146" s="2" t="s">
        <v>12595</v>
      </c>
      <c r="O146" s="2" t="s">
        <v>12894</v>
      </c>
      <c r="P146" s="9">
        <v>0</v>
      </c>
      <c r="Q146" s="9">
        <v>0</v>
      </c>
      <c r="R146" s="2" t="s">
        <v>12609</v>
      </c>
    </row>
    <row r="147" spans="1:18" x14ac:dyDescent="0.25">
      <c r="A147" s="2" t="s">
        <v>784</v>
      </c>
      <c r="B147" s="6">
        <v>46174</v>
      </c>
      <c r="C147" s="8">
        <v>46199</v>
      </c>
      <c r="D147" s="2" t="s">
        <v>136</v>
      </c>
      <c r="E147" s="2" t="s">
        <v>12593</v>
      </c>
      <c r="F147" s="2" t="s">
        <v>12428</v>
      </c>
      <c r="G147" s="2" t="s">
        <v>12895</v>
      </c>
      <c r="H147" s="2" t="s">
        <v>76</v>
      </c>
      <c r="I147" s="9">
        <v>206391840</v>
      </c>
      <c r="J147" s="7">
        <v>6.2500000000000001E-5</v>
      </c>
      <c r="K147" s="9">
        <v>12899.49</v>
      </c>
      <c r="L147" s="14">
        <v>0</v>
      </c>
      <c r="M147" s="2" t="s">
        <v>71</v>
      </c>
      <c r="N147" s="2" t="s">
        <v>12595</v>
      </c>
      <c r="O147" s="2" t="s">
        <v>12896</v>
      </c>
      <c r="P147" s="9">
        <v>0</v>
      </c>
      <c r="Q147" s="9">
        <v>0</v>
      </c>
      <c r="R147" s="2" t="s">
        <v>12612</v>
      </c>
    </row>
    <row r="148" spans="1:18" x14ac:dyDescent="0.25">
      <c r="A148" s="2" t="s">
        <v>787</v>
      </c>
      <c r="B148" s="6">
        <v>46174</v>
      </c>
      <c r="C148" s="8">
        <v>46200</v>
      </c>
      <c r="D148" s="2" t="s">
        <v>136</v>
      </c>
      <c r="E148" s="2" t="s">
        <v>12593</v>
      </c>
      <c r="F148" s="2" t="s">
        <v>12429</v>
      </c>
      <c r="G148" s="2" t="s">
        <v>12897</v>
      </c>
      <c r="H148" s="2" t="s">
        <v>70</v>
      </c>
      <c r="I148" s="9">
        <v>19657.894736999999</v>
      </c>
      <c r="J148" s="7">
        <v>0.66500000000000004</v>
      </c>
      <c r="K148" s="9">
        <v>13072.5</v>
      </c>
      <c r="L148" s="14">
        <v>0</v>
      </c>
      <c r="M148" s="2" t="s">
        <v>71</v>
      </c>
      <c r="N148" s="2" t="s">
        <v>12595</v>
      </c>
      <c r="O148" s="2" t="s">
        <v>12898</v>
      </c>
      <c r="P148" s="9">
        <v>0</v>
      </c>
      <c r="Q148" s="9">
        <v>0</v>
      </c>
      <c r="R148" s="2" t="s">
        <v>12615</v>
      </c>
    </row>
    <row r="149" spans="1:18" x14ac:dyDescent="0.25">
      <c r="A149" s="2" t="s">
        <v>790</v>
      </c>
      <c r="B149" s="6">
        <v>46174</v>
      </c>
      <c r="C149" s="8">
        <v>46201</v>
      </c>
      <c r="D149" s="2" t="s">
        <v>136</v>
      </c>
      <c r="E149" s="2" t="s">
        <v>12593</v>
      </c>
      <c r="F149" s="2" t="s">
        <v>12430</v>
      </c>
      <c r="G149" s="2" t="s">
        <v>12899</v>
      </c>
      <c r="H149" s="2" t="s">
        <v>39</v>
      </c>
      <c r="I149" s="9">
        <v>13245.51</v>
      </c>
      <c r="J149" s="7">
        <v>1</v>
      </c>
      <c r="K149" s="9">
        <v>13245.51</v>
      </c>
      <c r="L149" s="14">
        <v>0</v>
      </c>
      <c r="M149" s="2" t="s">
        <v>71</v>
      </c>
      <c r="N149" s="2" t="s">
        <v>12595</v>
      </c>
      <c r="O149" s="2" t="s">
        <v>12900</v>
      </c>
      <c r="P149" s="9">
        <v>0</v>
      </c>
      <c r="Q149" s="9">
        <v>0</v>
      </c>
      <c r="R149" s="2" t="s">
        <v>12618</v>
      </c>
    </row>
    <row r="150" spans="1:18" x14ac:dyDescent="0.25">
      <c r="A150" s="2" t="s">
        <v>795</v>
      </c>
      <c r="B150" s="6">
        <v>46174</v>
      </c>
      <c r="C150" s="8">
        <v>46202</v>
      </c>
      <c r="D150" s="2" t="s">
        <v>136</v>
      </c>
      <c r="E150" s="2" t="s">
        <v>12593</v>
      </c>
      <c r="F150" s="2" t="s">
        <v>12431</v>
      </c>
      <c r="G150" s="2" t="s">
        <v>12901</v>
      </c>
      <c r="H150" s="2" t="s">
        <v>76</v>
      </c>
      <c r="I150" s="9">
        <v>214696320</v>
      </c>
      <c r="J150" s="7">
        <v>6.2500000000000001E-5</v>
      </c>
      <c r="K150" s="9">
        <v>13418.52</v>
      </c>
      <c r="L150" s="14">
        <v>0</v>
      </c>
      <c r="M150" s="2" t="s">
        <v>71</v>
      </c>
      <c r="N150" s="2" t="s">
        <v>12595</v>
      </c>
      <c r="O150" s="2" t="s">
        <v>12902</v>
      </c>
      <c r="P150" s="9">
        <v>0</v>
      </c>
      <c r="Q150" s="9">
        <v>0</v>
      </c>
      <c r="R150" s="2" t="s">
        <v>12621</v>
      </c>
    </row>
    <row r="151" spans="1:18" x14ac:dyDescent="0.25">
      <c r="A151" s="2" t="s">
        <v>798</v>
      </c>
      <c r="B151" s="6">
        <v>46174</v>
      </c>
      <c r="C151" s="8">
        <v>46203</v>
      </c>
      <c r="D151" s="2" t="s">
        <v>136</v>
      </c>
      <c r="E151" s="2" t="s">
        <v>12593</v>
      </c>
      <c r="F151" s="2" t="s">
        <v>12432</v>
      </c>
      <c r="G151" s="2" t="s">
        <v>12903</v>
      </c>
      <c r="H151" s="2" t="s">
        <v>70</v>
      </c>
      <c r="I151" s="9">
        <v>20438.390976999999</v>
      </c>
      <c r="J151" s="7">
        <v>0.66500000000000004</v>
      </c>
      <c r="K151" s="9">
        <v>13591.53</v>
      </c>
      <c r="L151" s="14">
        <v>0</v>
      </c>
      <c r="M151" s="2" t="s">
        <v>71</v>
      </c>
      <c r="N151" s="2" t="s">
        <v>12595</v>
      </c>
      <c r="O151" s="2" t="s">
        <v>12904</v>
      </c>
      <c r="P151" s="9">
        <v>0</v>
      </c>
      <c r="Q151" s="9">
        <v>0</v>
      </c>
      <c r="R151" s="2" t="s">
        <v>12624</v>
      </c>
    </row>
    <row r="152" spans="1:18" x14ac:dyDescent="0.25">
      <c r="A152" s="2" t="s">
        <v>801</v>
      </c>
      <c r="B152" s="6">
        <v>46174</v>
      </c>
      <c r="C152" s="8">
        <v>46174</v>
      </c>
      <c r="D152" s="2" t="s">
        <v>136</v>
      </c>
      <c r="E152" s="2" t="s">
        <v>12593</v>
      </c>
      <c r="F152" s="2" t="s">
        <v>12423</v>
      </c>
      <c r="G152" s="2" t="s">
        <v>12905</v>
      </c>
      <c r="H152" s="2" t="s">
        <v>39</v>
      </c>
      <c r="I152" s="9">
        <v>13764.54</v>
      </c>
      <c r="J152" s="7">
        <v>1</v>
      </c>
      <c r="K152" s="9">
        <v>13764.54</v>
      </c>
      <c r="L152" s="14">
        <v>0</v>
      </c>
      <c r="M152" s="2" t="s">
        <v>71</v>
      </c>
      <c r="N152" s="2" t="s">
        <v>12595</v>
      </c>
      <c r="O152" s="2" t="s">
        <v>12906</v>
      </c>
      <c r="P152" s="9">
        <v>0</v>
      </c>
      <c r="Q152" s="9">
        <v>0</v>
      </c>
      <c r="R152" s="2" t="s">
        <v>12597</v>
      </c>
    </row>
    <row r="153" spans="1:18" x14ac:dyDescent="0.25">
      <c r="A153" s="2" t="s">
        <v>804</v>
      </c>
      <c r="B153" s="6">
        <v>46174</v>
      </c>
      <c r="C153" s="8">
        <v>46175</v>
      </c>
      <c r="D153" s="2" t="s">
        <v>136</v>
      </c>
      <c r="E153" s="2" t="s">
        <v>12593</v>
      </c>
      <c r="F153" s="2" t="s">
        <v>12424</v>
      </c>
      <c r="G153" s="2" t="s">
        <v>12907</v>
      </c>
      <c r="H153" s="2" t="s">
        <v>76</v>
      </c>
      <c r="I153" s="9">
        <v>223000800</v>
      </c>
      <c r="J153" s="7">
        <v>6.2500000000000001E-5</v>
      </c>
      <c r="K153" s="9">
        <v>13937.55</v>
      </c>
      <c r="L153" s="14">
        <v>0</v>
      </c>
      <c r="M153" s="2" t="s">
        <v>71</v>
      </c>
      <c r="N153" s="2" t="s">
        <v>12595</v>
      </c>
      <c r="O153" s="2" t="s">
        <v>12908</v>
      </c>
      <c r="P153" s="9">
        <v>0</v>
      </c>
      <c r="Q153" s="9">
        <v>0</v>
      </c>
      <c r="R153" s="2" t="s">
        <v>12600</v>
      </c>
    </row>
    <row r="154" spans="1:18" x14ac:dyDescent="0.25">
      <c r="A154" s="2" t="s">
        <v>807</v>
      </c>
      <c r="B154" s="6">
        <v>46174</v>
      </c>
      <c r="C154" s="8">
        <v>46176</v>
      </c>
      <c r="D154" s="2" t="s">
        <v>136</v>
      </c>
      <c r="E154" s="2" t="s">
        <v>12593</v>
      </c>
      <c r="F154" s="2" t="s">
        <v>12425</v>
      </c>
      <c r="G154" s="2" t="s">
        <v>12909</v>
      </c>
      <c r="H154" s="2" t="s">
        <v>70</v>
      </c>
      <c r="I154" s="9">
        <v>21218.887218</v>
      </c>
      <c r="J154" s="7">
        <v>0.66500000000000004</v>
      </c>
      <c r="K154" s="9">
        <v>14110.56</v>
      </c>
      <c r="L154" s="14">
        <v>0</v>
      </c>
      <c r="M154" s="2" t="s">
        <v>71</v>
      </c>
      <c r="N154" s="2" t="s">
        <v>12595</v>
      </c>
      <c r="O154" s="2" t="s">
        <v>12910</v>
      </c>
      <c r="P154" s="9">
        <v>0</v>
      </c>
      <c r="Q154" s="9">
        <v>0</v>
      </c>
      <c r="R154" s="2" t="s">
        <v>12603</v>
      </c>
    </row>
    <row r="155" spans="1:18" x14ac:dyDescent="0.25">
      <c r="A155" s="2" t="s">
        <v>810</v>
      </c>
      <c r="B155" s="6">
        <v>46174</v>
      </c>
      <c r="C155" s="8">
        <v>46177</v>
      </c>
      <c r="D155" s="2" t="s">
        <v>136</v>
      </c>
      <c r="E155" s="2" t="s">
        <v>12593</v>
      </c>
      <c r="F155" s="2" t="s">
        <v>12426</v>
      </c>
      <c r="G155" s="2" t="s">
        <v>12911</v>
      </c>
      <c r="H155" s="2" t="s">
        <v>39</v>
      </c>
      <c r="I155" s="9">
        <v>14283.57</v>
      </c>
      <c r="J155" s="7">
        <v>1</v>
      </c>
      <c r="K155" s="9">
        <v>14283.57</v>
      </c>
      <c r="L155" s="14">
        <v>0</v>
      </c>
      <c r="M155" s="2" t="s">
        <v>71</v>
      </c>
      <c r="N155" s="2" t="s">
        <v>12595</v>
      </c>
      <c r="O155" s="2" t="s">
        <v>12912</v>
      </c>
      <c r="P155" s="9">
        <v>0</v>
      </c>
      <c r="Q155" s="9">
        <v>0</v>
      </c>
      <c r="R155" s="2" t="s">
        <v>12606</v>
      </c>
    </row>
    <row r="156" spans="1:18" x14ac:dyDescent="0.25">
      <c r="A156" s="2" t="s">
        <v>815</v>
      </c>
      <c r="B156" s="6">
        <v>46174</v>
      </c>
      <c r="C156" s="8">
        <v>46178</v>
      </c>
      <c r="D156" s="2" t="s">
        <v>136</v>
      </c>
      <c r="E156" s="2" t="s">
        <v>12593</v>
      </c>
      <c r="F156" s="2" t="s">
        <v>12427</v>
      </c>
      <c r="G156" s="2" t="s">
        <v>12913</v>
      </c>
      <c r="H156" s="2" t="s">
        <v>76</v>
      </c>
      <c r="I156" s="9">
        <v>231305280</v>
      </c>
      <c r="J156" s="7">
        <v>6.2500000000000001E-5</v>
      </c>
      <c r="K156" s="9">
        <v>14456.58</v>
      </c>
      <c r="L156" s="14">
        <v>0</v>
      </c>
      <c r="M156" s="2" t="s">
        <v>71</v>
      </c>
      <c r="N156" s="2" t="s">
        <v>12595</v>
      </c>
      <c r="O156" s="2" t="s">
        <v>12914</v>
      </c>
      <c r="P156" s="9">
        <v>0</v>
      </c>
      <c r="Q156" s="9">
        <v>0</v>
      </c>
      <c r="R156" s="2" t="s">
        <v>12609</v>
      </c>
    </row>
    <row r="157" spans="1:18" x14ac:dyDescent="0.25">
      <c r="A157" s="2" t="s">
        <v>820</v>
      </c>
      <c r="B157" s="6">
        <v>46174</v>
      </c>
      <c r="C157" s="8">
        <v>46179</v>
      </c>
      <c r="D157" s="2" t="s">
        <v>136</v>
      </c>
      <c r="E157" s="2" t="s">
        <v>12593</v>
      </c>
      <c r="F157" s="2" t="s">
        <v>12428</v>
      </c>
      <c r="G157" s="2" t="s">
        <v>12915</v>
      </c>
      <c r="H157" s="2" t="s">
        <v>70</v>
      </c>
      <c r="I157" s="9">
        <v>21999.383459000001</v>
      </c>
      <c r="J157" s="7">
        <v>0.66500000000000004</v>
      </c>
      <c r="K157" s="9">
        <v>14629.59</v>
      </c>
      <c r="L157" s="14">
        <v>0</v>
      </c>
      <c r="M157" s="2" t="s">
        <v>71</v>
      </c>
      <c r="N157" s="2" t="s">
        <v>12595</v>
      </c>
      <c r="O157" s="2" t="s">
        <v>12916</v>
      </c>
      <c r="P157" s="9">
        <v>0</v>
      </c>
      <c r="Q157" s="9">
        <v>0</v>
      </c>
      <c r="R157" s="2" t="s">
        <v>12612</v>
      </c>
    </row>
    <row r="158" spans="1:18" x14ac:dyDescent="0.25">
      <c r="A158" s="2" t="s">
        <v>823</v>
      </c>
      <c r="B158" s="6">
        <v>46174</v>
      </c>
      <c r="C158" s="8">
        <v>46180</v>
      </c>
      <c r="D158" s="2" t="s">
        <v>136</v>
      </c>
      <c r="E158" s="2" t="s">
        <v>12593</v>
      </c>
      <c r="F158" s="2" t="s">
        <v>12429</v>
      </c>
      <c r="G158" s="2" t="s">
        <v>12917</v>
      </c>
      <c r="H158" s="2" t="s">
        <v>39</v>
      </c>
      <c r="I158" s="9">
        <v>14802.6</v>
      </c>
      <c r="J158" s="7">
        <v>1</v>
      </c>
      <c r="K158" s="9">
        <v>14802.6</v>
      </c>
      <c r="L158" s="14">
        <v>0</v>
      </c>
      <c r="M158" s="2" t="s">
        <v>71</v>
      </c>
      <c r="N158" s="2" t="s">
        <v>12595</v>
      </c>
      <c r="O158" s="2" t="s">
        <v>12918</v>
      </c>
      <c r="P158" s="9">
        <v>0</v>
      </c>
      <c r="Q158" s="9">
        <v>0</v>
      </c>
      <c r="R158" s="2" t="s">
        <v>12615</v>
      </c>
    </row>
    <row r="159" spans="1:18" x14ac:dyDescent="0.25">
      <c r="A159" s="2" t="s">
        <v>826</v>
      </c>
      <c r="B159" s="6">
        <v>46174</v>
      </c>
      <c r="C159" s="8">
        <v>46181</v>
      </c>
      <c r="D159" s="2" t="s">
        <v>136</v>
      </c>
      <c r="E159" s="2" t="s">
        <v>12593</v>
      </c>
      <c r="F159" s="2" t="s">
        <v>12430</v>
      </c>
      <c r="G159" s="2" t="s">
        <v>12919</v>
      </c>
      <c r="H159" s="2" t="s">
        <v>76</v>
      </c>
      <c r="I159" s="9">
        <v>15609760</v>
      </c>
      <c r="J159" s="7">
        <v>6.2500000000000001E-5</v>
      </c>
      <c r="K159" s="9">
        <v>975.61</v>
      </c>
      <c r="L159" s="14">
        <v>0</v>
      </c>
      <c r="M159" s="2" t="s">
        <v>71</v>
      </c>
      <c r="N159" s="2" t="s">
        <v>12595</v>
      </c>
      <c r="O159" s="2" t="s">
        <v>12920</v>
      </c>
      <c r="P159" s="9">
        <v>0</v>
      </c>
      <c r="Q159" s="9">
        <v>0</v>
      </c>
      <c r="R159" s="2" t="s">
        <v>12618</v>
      </c>
    </row>
    <row r="160" spans="1:18" x14ac:dyDescent="0.25">
      <c r="A160" s="2" t="s">
        <v>831</v>
      </c>
      <c r="B160" s="6">
        <v>46174</v>
      </c>
      <c r="C160" s="8">
        <v>46182</v>
      </c>
      <c r="D160" s="2" t="s">
        <v>136</v>
      </c>
      <c r="E160" s="2" t="s">
        <v>12593</v>
      </c>
      <c r="F160" s="2" t="s">
        <v>12431</v>
      </c>
      <c r="G160" s="2" t="s">
        <v>12921</v>
      </c>
      <c r="H160" s="2" t="s">
        <v>70</v>
      </c>
      <c r="I160" s="9">
        <v>1727.24812</v>
      </c>
      <c r="J160" s="7">
        <v>0.66500000000000004</v>
      </c>
      <c r="K160" s="9">
        <v>1148.6199999999999</v>
      </c>
      <c r="L160" s="14">
        <v>0</v>
      </c>
      <c r="M160" s="2" t="s">
        <v>71</v>
      </c>
      <c r="N160" s="2" t="s">
        <v>12595</v>
      </c>
      <c r="O160" s="2" t="s">
        <v>12922</v>
      </c>
      <c r="P160" s="9">
        <v>0</v>
      </c>
      <c r="Q160" s="9">
        <v>0</v>
      </c>
      <c r="R160" s="2" t="s">
        <v>12621</v>
      </c>
    </row>
    <row r="161" spans="1:18" x14ac:dyDescent="0.25">
      <c r="A161" s="2" t="s">
        <v>834</v>
      </c>
      <c r="B161" s="6">
        <v>46174</v>
      </c>
      <c r="C161" s="8">
        <v>46183</v>
      </c>
      <c r="D161" s="2" t="s">
        <v>136</v>
      </c>
      <c r="E161" s="2" t="s">
        <v>12593</v>
      </c>
      <c r="F161" s="2" t="s">
        <v>12432</v>
      </c>
      <c r="G161" s="2" t="s">
        <v>12923</v>
      </c>
      <c r="H161" s="2" t="s">
        <v>39</v>
      </c>
      <c r="I161" s="9">
        <v>1321.63</v>
      </c>
      <c r="J161" s="7">
        <v>1</v>
      </c>
      <c r="K161" s="9">
        <v>1321.63</v>
      </c>
      <c r="L161" s="14">
        <v>0</v>
      </c>
      <c r="M161" s="2" t="s">
        <v>71</v>
      </c>
      <c r="N161" s="2" t="s">
        <v>12595</v>
      </c>
      <c r="O161" s="2" t="s">
        <v>12924</v>
      </c>
      <c r="P161" s="9">
        <v>0</v>
      </c>
      <c r="Q161" s="9">
        <v>0</v>
      </c>
      <c r="R161" s="2" t="s">
        <v>12624</v>
      </c>
    </row>
    <row r="162" spans="1:18" x14ac:dyDescent="0.25">
      <c r="A162" s="2" t="s">
        <v>837</v>
      </c>
      <c r="B162" s="6">
        <v>46174</v>
      </c>
      <c r="C162" s="8">
        <v>46184</v>
      </c>
      <c r="D162" s="2" t="s">
        <v>136</v>
      </c>
      <c r="E162" s="2" t="s">
        <v>12593</v>
      </c>
      <c r="F162" s="2" t="s">
        <v>12423</v>
      </c>
      <c r="G162" s="2" t="s">
        <v>12925</v>
      </c>
      <c r="H162" s="2" t="s">
        <v>76</v>
      </c>
      <c r="I162" s="9">
        <v>23914240</v>
      </c>
      <c r="J162" s="7">
        <v>6.2500000000000001E-5</v>
      </c>
      <c r="K162" s="9">
        <v>1494.64</v>
      </c>
      <c r="L162" s="14">
        <v>0</v>
      </c>
      <c r="M162" s="2" t="s">
        <v>71</v>
      </c>
      <c r="N162" s="2" t="s">
        <v>12595</v>
      </c>
      <c r="O162" s="2" t="s">
        <v>12926</v>
      </c>
      <c r="P162" s="9">
        <v>0</v>
      </c>
      <c r="Q162" s="9">
        <v>0</v>
      </c>
      <c r="R162" s="2" t="s">
        <v>12597</v>
      </c>
    </row>
    <row r="163" spans="1:18" x14ac:dyDescent="0.25">
      <c r="A163" s="2" t="s">
        <v>840</v>
      </c>
      <c r="B163" s="6">
        <v>46174</v>
      </c>
      <c r="C163" s="8">
        <v>46185</v>
      </c>
      <c r="D163" s="2" t="s">
        <v>136</v>
      </c>
      <c r="E163" s="2" t="s">
        <v>12593</v>
      </c>
      <c r="F163" s="2" t="s">
        <v>12424</v>
      </c>
      <c r="G163" s="2" t="s">
        <v>12927</v>
      </c>
      <c r="H163" s="2" t="s">
        <v>70</v>
      </c>
      <c r="I163" s="9">
        <v>2507.744361</v>
      </c>
      <c r="J163" s="7">
        <v>0.66500000000000004</v>
      </c>
      <c r="K163" s="9">
        <v>1667.65</v>
      </c>
      <c r="L163" s="14">
        <v>0</v>
      </c>
      <c r="M163" s="2" t="s">
        <v>71</v>
      </c>
      <c r="N163" s="2" t="s">
        <v>12595</v>
      </c>
      <c r="O163" s="2" t="s">
        <v>12928</v>
      </c>
      <c r="P163" s="9">
        <v>0</v>
      </c>
      <c r="Q163" s="9">
        <v>0</v>
      </c>
      <c r="R163" s="2" t="s">
        <v>12600</v>
      </c>
    </row>
    <row r="164" spans="1:18" x14ac:dyDescent="0.25">
      <c r="A164" s="2" t="s">
        <v>843</v>
      </c>
      <c r="B164" s="6">
        <v>46174</v>
      </c>
      <c r="C164" s="8">
        <v>46186</v>
      </c>
      <c r="D164" s="2" t="s">
        <v>136</v>
      </c>
      <c r="E164" s="2" t="s">
        <v>12593</v>
      </c>
      <c r="F164" s="2" t="s">
        <v>12425</v>
      </c>
      <c r="G164" s="2" t="s">
        <v>12929</v>
      </c>
      <c r="H164" s="2" t="s">
        <v>39</v>
      </c>
      <c r="I164" s="9">
        <v>1840.66</v>
      </c>
      <c r="J164" s="7">
        <v>1</v>
      </c>
      <c r="K164" s="9">
        <v>1840.66</v>
      </c>
      <c r="L164" s="14">
        <v>0</v>
      </c>
      <c r="M164" s="2" t="s">
        <v>71</v>
      </c>
      <c r="N164" s="2" t="s">
        <v>12595</v>
      </c>
      <c r="O164" s="2" t="s">
        <v>12930</v>
      </c>
      <c r="P164" s="9">
        <v>0</v>
      </c>
      <c r="Q164" s="9">
        <v>0</v>
      </c>
      <c r="R164" s="2" t="s">
        <v>12603</v>
      </c>
    </row>
    <row r="165" spans="1:18" x14ac:dyDescent="0.25">
      <c r="A165" s="2" t="s">
        <v>846</v>
      </c>
      <c r="B165" s="6">
        <v>46174</v>
      </c>
      <c r="C165" s="8">
        <v>46187</v>
      </c>
      <c r="D165" s="2" t="s">
        <v>136</v>
      </c>
      <c r="E165" s="2" t="s">
        <v>12593</v>
      </c>
      <c r="F165" s="2" t="s">
        <v>12426</v>
      </c>
      <c r="G165" s="2" t="s">
        <v>12931</v>
      </c>
      <c r="H165" s="2" t="s">
        <v>76</v>
      </c>
      <c r="I165" s="9">
        <v>-32218720</v>
      </c>
      <c r="J165" s="7">
        <v>6.2500000000000001E-5</v>
      </c>
      <c r="K165" s="9">
        <v>-2013.67</v>
      </c>
      <c r="L165" s="14">
        <v>0</v>
      </c>
      <c r="M165" s="2" t="s">
        <v>71</v>
      </c>
      <c r="N165" s="2" t="s">
        <v>12595</v>
      </c>
      <c r="O165" s="2" t="s">
        <v>12932</v>
      </c>
      <c r="P165" s="9">
        <v>0</v>
      </c>
      <c r="Q165" s="9">
        <v>0</v>
      </c>
      <c r="R165" s="2" t="s">
        <v>12606</v>
      </c>
    </row>
    <row r="166" spans="1:18" x14ac:dyDescent="0.25">
      <c r="A166" s="2" t="s">
        <v>849</v>
      </c>
      <c r="B166" s="6">
        <v>46174</v>
      </c>
      <c r="C166" s="8">
        <v>46188</v>
      </c>
      <c r="D166" s="2" t="s">
        <v>136</v>
      </c>
      <c r="E166" s="2" t="s">
        <v>12593</v>
      </c>
      <c r="F166" s="2" t="s">
        <v>12427</v>
      </c>
      <c r="G166" s="2" t="s">
        <v>12933</v>
      </c>
      <c r="H166" s="2" t="s">
        <v>70</v>
      </c>
      <c r="I166" s="9">
        <v>3288.2406019999999</v>
      </c>
      <c r="J166" s="7">
        <v>0.66500000000000004</v>
      </c>
      <c r="K166" s="9">
        <v>2186.6799999999998</v>
      </c>
      <c r="L166" s="14">
        <v>0</v>
      </c>
      <c r="M166" s="2" t="s">
        <v>71</v>
      </c>
      <c r="N166" s="2" t="s">
        <v>12595</v>
      </c>
      <c r="O166" s="2" t="s">
        <v>12934</v>
      </c>
      <c r="P166" s="9">
        <v>0</v>
      </c>
      <c r="Q166" s="9">
        <v>0</v>
      </c>
      <c r="R166" s="2" t="s">
        <v>12609</v>
      </c>
    </row>
    <row r="167" spans="1:18" x14ac:dyDescent="0.25">
      <c r="A167" s="2" t="s">
        <v>854</v>
      </c>
      <c r="B167" s="6">
        <v>46174</v>
      </c>
      <c r="C167" s="8">
        <v>46189</v>
      </c>
      <c r="D167" s="2" t="s">
        <v>136</v>
      </c>
      <c r="E167" s="2" t="s">
        <v>12593</v>
      </c>
      <c r="F167" s="2" t="s">
        <v>12428</v>
      </c>
      <c r="G167" s="2" t="s">
        <v>12935</v>
      </c>
      <c r="H167" s="2" t="s">
        <v>39</v>
      </c>
      <c r="I167" s="9">
        <v>2359.69</v>
      </c>
      <c r="J167" s="7">
        <v>1</v>
      </c>
      <c r="K167" s="9">
        <v>2359.69</v>
      </c>
      <c r="L167" s="14">
        <v>0</v>
      </c>
      <c r="M167" s="2" t="s">
        <v>71</v>
      </c>
      <c r="N167" s="2" t="s">
        <v>12595</v>
      </c>
      <c r="O167" s="2" t="s">
        <v>12936</v>
      </c>
      <c r="P167" s="9">
        <v>0</v>
      </c>
      <c r="Q167" s="9">
        <v>0</v>
      </c>
      <c r="R167" s="2" t="s">
        <v>12612</v>
      </c>
    </row>
    <row r="168" spans="1:18" x14ac:dyDescent="0.25">
      <c r="A168" s="2" t="s">
        <v>857</v>
      </c>
      <c r="B168" s="6">
        <v>46174</v>
      </c>
      <c r="C168" s="8">
        <v>46190</v>
      </c>
      <c r="D168" s="2" t="s">
        <v>136</v>
      </c>
      <c r="E168" s="2" t="s">
        <v>12593</v>
      </c>
      <c r="F168" s="2" t="s">
        <v>12429</v>
      </c>
      <c r="G168" s="2" t="s">
        <v>12937</v>
      </c>
      <c r="H168" s="2" t="s">
        <v>76</v>
      </c>
      <c r="I168" s="9">
        <v>40523200</v>
      </c>
      <c r="J168" s="7">
        <v>6.2500000000000001E-5</v>
      </c>
      <c r="K168" s="9">
        <v>2532.6999999999998</v>
      </c>
      <c r="L168" s="14">
        <v>0</v>
      </c>
      <c r="M168" s="2" t="s">
        <v>71</v>
      </c>
      <c r="N168" s="2" t="s">
        <v>12595</v>
      </c>
      <c r="O168" s="2" t="s">
        <v>12938</v>
      </c>
      <c r="P168" s="9">
        <v>0</v>
      </c>
      <c r="Q168" s="9">
        <v>0</v>
      </c>
      <c r="R168" s="2" t="s">
        <v>12615</v>
      </c>
    </row>
    <row r="169" spans="1:18" x14ac:dyDescent="0.25">
      <c r="A169" s="2" t="s">
        <v>860</v>
      </c>
      <c r="B169" s="6">
        <v>46174</v>
      </c>
      <c r="C169" s="8">
        <v>46191</v>
      </c>
      <c r="D169" s="2" t="s">
        <v>136</v>
      </c>
      <c r="E169" s="2" t="s">
        <v>12593</v>
      </c>
      <c r="F169" s="2" t="s">
        <v>12430</v>
      </c>
      <c r="G169" s="2" t="s">
        <v>12939</v>
      </c>
      <c r="H169" s="2" t="s">
        <v>70</v>
      </c>
      <c r="I169" s="9">
        <v>4068.7368419999998</v>
      </c>
      <c r="J169" s="7">
        <v>0.66500000000000004</v>
      </c>
      <c r="K169" s="9">
        <v>2705.71</v>
      </c>
      <c r="L169" s="14">
        <v>0</v>
      </c>
      <c r="M169" s="2" t="s">
        <v>71</v>
      </c>
      <c r="N169" s="2" t="s">
        <v>12595</v>
      </c>
      <c r="O169" s="2" t="s">
        <v>12940</v>
      </c>
      <c r="P169" s="9">
        <v>0</v>
      </c>
      <c r="Q169" s="9">
        <v>0</v>
      </c>
      <c r="R169" s="2" t="s">
        <v>12618</v>
      </c>
    </row>
    <row r="170" spans="1:18" x14ac:dyDescent="0.25">
      <c r="A170" s="2" t="s">
        <v>865</v>
      </c>
      <c r="B170" s="6">
        <v>46174</v>
      </c>
      <c r="C170" s="8">
        <v>46192</v>
      </c>
      <c r="D170" s="2" t="s">
        <v>136</v>
      </c>
      <c r="E170" s="2" t="s">
        <v>12593</v>
      </c>
      <c r="F170" s="2" t="s">
        <v>12431</v>
      </c>
      <c r="G170" s="2" t="s">
        <v>12941</v>
      </c>
      <c r="H170" s="2" t="s">
        <v>39</v>
      </c>
      <c r="I170" s="9">
        <v>2878.72</v>
      </c>
      <c r="J170" s="7">
        <v>1</v>
      </c>
      <c r="K170" s="9">
        <v>2878.72</v>
      </c>
      <c r="L170" s="14">
        <v>0</v>
      </c>
      <c r="M170" s="2" t="s">
        <v>71</v>
      </c>
      <c r="N170" s="2" t="s">
        <v>12595</v>
      </c>
      <c r="O170" s="2" t="s">
        <v>12942</v>
      </c>
      <c r="P170" s="9">
        <v>0</v>
      </c>
      <c r="Q170" s="9">
        <v>0</v>
      </c>
      <c r="R170" s="2" t="s">
        <v>12621</v>
      </c>
    </row>
    <row r="171" spans="1:18" x14ac:dyDescent="0.25">
      <c r="A171" s="2" t="s">
        <v>868</v>
      </c>
      <c r="B171" s="6">
        <v>46174</v>
      </c>
      <c r="C171" s="8">
        <v>46193</v>
      </c>
      <c r="D171" s="2" t="s">
        <v>136</v>
      </c>
      <c r="E171" s="2" t="s">
        <v>12593</v>
      </c>
      <c r="F171" s="2" t="s">
        <v>12432</v>
      </c>
      <c r="G171" s="2" t="s">
        <v>12943</v>
      </c>
      <c r="H171" s="2" t="s">
        <v>76</v>
      </c>
      <c r="I171" s="9">
        <v>48827680</v>
      </c>
      <c r="J171" s="7">
        <v>6.2500000000000001E-5</v>
      </c>
      <c r="K171" s="9">
        <v>3051.73</v>
      </c>
      <c r="L171" s="14">
        <v>0</v>
      </c>
      <c r="M171" s="2" t="s">
        <v>71</v>
      </c>
      <c r="N171" s="2" t="s">
        <v>12595</v>
      </c>
      <c r="O171" s="2" t="s">
        <v>12944</v>
      </c>
      <c r="P171" s="9">
        <v>0</v>
      </c>
      <c r="Q171" s="9">
        <v>0</v>
      </c>
      <c r="R171" s="2" t="s">
        <v>12624</v>
      </c>
    </row>
    <row r="172" spans="1:18" x14ac:dyDescent="0.25">
      <c r="A172" s="2" t="s">
        <v>871</v>
      </c>
      <c r="B172" s="6">
        <v>46174</v>
      </c>
      <c r="C172" s="8">
        <v>46194</v>
      </c>
      <c r="D172" s="2" t="s">
        <v>136</v>
      </c>
      <c r="E172" s="2" t="s">
        <v>12593</v>
      </c>
      <c r="F172" s="2" t="s">
        <v>12423</v>
      </c>
      <c r="G172" s="2" t="s">
        <v>12945</v>
      </c>
      <c r="H172" s="2" t="s">
        <v>70</v>
      </c>
      <c r="I172" s="9">
        <v>4849.2330830000001</v>
      </c>
      <c r="J172" s="7">
        <v>0.66500000000000004</v>
      </c>
      <c r="K172" s="9">
        <v>3224.74</v>
      </c>
      <c r="L172" s="14">
        <v>0</v>
      </c>
      <c r="M172" s="2" t="s">
        <v>71</v>
      </c>
      <c r="N172" s="2" t="s">
        <v>12595</v>
      </c>
      <c r="O172" s="2" t="s">
        <v>12946</v>
      </c>
      <c r="P172" s="9">
        <v>0</v>
      </c>
      <c r="Q172" s="9">
        <v>0</v>
      </c>
      <c r="R172" s="2" t="s">
        <v>12597</v>
      </c>
    </row>
    <row r="173" spans="1:18" x14ac:dyDescent="0.25">
      <c r="A173" s="2" t="s">
        <v>874</v>
      </c>
      <c r="B173" s="6">
        <v>46174</v>
      </c>
      <c r="C173" s="8">
        <v>46195</v>
      </c>
      <c r="D173" s="2" t="s">
        <v>136</v>
      </c>
      <c r="E173" s="2" t="s">
        <v>12593</v>
      </c>
      <c r="F173" s="2" t="s">
        <v>12424</v>
      </c>
      <c r="G173" s="2" t="s">
        <v>12947</v>
      </c>
      <c r="H173" s="2" t="s">
        <v>39</v>
      </c>
      <c r="I173" s="9">
        <v>3397.75</v>
      </c>
      <c r="J173" s="7">
        <v>1</v>
      </c>
      <c r="K173" s="9">
        <v>3397.75</v>
      </c>
      <c r="L173" s="14">
        <v>0</v>
      </c>
      <c r="M173" s="2" t="s">
        <v>71</v>
      </c>
      <c r="N173" s="2" t="s">
        <v>12595</v>
      </c>
      <c r="O173" s="2" t="s">
        <v>12948</v>
      </c>
      <c r="P173" s="9">
        <v>0</v>
      </c>
      <c r="Q173" s="9">
        <v>0</v>
      </c>
      <c r="R173" s="2" t="s">
        <v>12600</v>
      </c>
    </row>
    <row r="174" spans="1:18" x14ac:dyDescent="0.25">
      <c r="A174" s="2" t="s">
        <v>877</v>
      </c>
      <c r="B174" s="6">
        <v>46174</v>
      </c>
      <c r="C174" s="8">
        <v>46196</v>
      </c>
      <c r="D174" s="2" t="s">
        <v>136</v>
      </c>
      <c r="E174" s="2" t="s">
        <v>12593</v>
      </c>
      <c r="F174" s="2" t="s">
        <v>12425</v>
      </c>
      <c r="G174" s="2" t="s">
        <v>12949</v>
      </c>
      <c r="H174" s="2" t="s">
        <v>76</v>
      </c>
      <c r="I174" s="9">
        <v>57132160</v>
      </c>
      <c r="J174" s="7">
        <v>6.2500000000000001E-5</v>
      </c>
      <c r="K174" s="9">
        <v>3570.76</v>
      </c>
      <c r="L174" s="14">
        <v>0</v>
      </c>
      <c r="M174" s="2" t="s">
        <v>71</v>
      </c>
      <c r="N174" s="2" t="s">
        <v>12595</v>
      </c>
      <c r="O174" s="2" t="s">
        <v>12950</v>
      </c>
      <c r="P174" s="9">
        <v>0</v>
      </c>
      <c r="Q174" s="9">
        <v>0</v>
      </c>
      <c r="R174" s="2" t="s">
        <v>12603</v>
      </c>
    </row>
    <row r="175" spans="1:18" x14ac:dyDescent="0.25">
      <c r="A175" s="2" t="s">
        <v>880</v>
      </c>
      <c r="B175" s="6">
        <v>46174</v>
      </c>
      <c r="C175" s="8">
        <v>46197</v>
      </c>
      <c r="D175" s="2" t="s">
        <v>136</v>
      </c>
      <c r="E175" s="2" t="s">
        <v>12593</v>
      </c>
      <c r="F175" s="2" t="s">
        <v>12426</v>
      </c>
      <c r="G175" s="2" t="s">
        <v>12951</v>
      </c>
      <c r="H175" s="2" t="s">
        <v>70</v>
      </c>
      <c r="I175" s="9">
        <v>5629.7293229999996</v>
      </c>
      <c r="J175" s="7">
        <v>0.66500000000000004</v>
      </c>
      <c r="K175" s="9">
        <v>3743.77</v>
      </c>
      <c r="L175" s="14">
        <v>0</v>
      </c>
      <c r="M175" s="2" t="s">
        <v>71</v>
      </c>
      <c r="N175" s="2" t="s">
        <v>12595</v>
      </c>
      <c r="O175" s="2" t="s">
        <v>12952</v>
      </c>
      <c r="P175" s="9">
        <v>0</v>
      </c>
      <c r="Q175" s="9">
        <v>0</v>
      </c>
      <c r="R175" s="2" t="s">
        <v>12606</v>
      </c>
    </row>
    <row r="176" spans="1:18" x14ac:dyDescent="0.25">
      <c r="A176" s="2" t="s">
        <v>885</v>
      </c>
      <c r="B176" s="6">
        <v>46174</v>
      </c>
      <c r="C176" s="8">
        <v>46198</v>
      </c>
      <c r="D176" s="2" t="s">
        <v>136</v>
      </c>
      <c r="E176" s="2" t="s">
        <v>12593</v>
      </c>
      <c r="F176" s="2" t="s">
        <v>12427</v>
      </c>
      <c r="G176" s="2" t="s">
        <v>12953</v>
      </c>
      <c r="H176" s="2" t="s">
        <v>39</v>
      </c>
      <c r="I176" s="9">
        <v>3916.78</v>
      </c>
      <c r="J176" s="7">
        <v>1</v>
      </c>
      <c r="K176" s="9">
        <v>3916.78</v>
      </c>
      <c r="L176" s="14">
        <v>0</v>
      </c>
      <c r="M176" s="2" t="s">
        <v>71</v>
      </c>
      <c r="N176" s="2" t="s">
        <v>12595</v>
      </c>
      <c r="O176" s="2" t="s">
        <v>12954</v>
      </c>
      <c r="P176" s="9">
        <v>0</v>
      </c>
      <c r="Q176" s="9">
        <v>0</v>
      </c>
      <c r="R176" s="2" t="s">
        <v>12609</v>
      </c>
    </row>
    <row r="177" spans="1:18" x14ac:dyDescent="0.25">
      <c r="A177" s="2" t="s">
        <v>890</v>
      </c>
      <c r="B177" s="6">
        <v>46174</v>
      </c>
      <c r="C177" s="8">
        <v>46199</v>
      </c>
      <c r="D177" s="2" t="s">
        <v>136</v>
      </c>
      <c r="E177" s="2" t="s">
        <v>12593</v>
      </c>
      <c r="F177" s="2" t="s">
        <v>12428</v>
      </c>
      <c r="G177" s="2" t="s">
        <v>12955</v>
      </c>
      <c r="H177" s="2" t="s">
        <v>76</v>
      </c>
      <c r="I177" s="9">
        <v>65436640</v>
      </c>
      <c r="J177" s="7">
        <v>6.2500000000000001E-5</v>
      </c>
      <c r="K177" s="9">
        <v>4089.79</v>
      </c>
      <c r="L177" s="14">
        <v>0</v>
      </c>
      <c r="M177" s="2" t="s">
        <v>71</v>
      </c>
      <c r="N177" s="2" t="s">
        <v>12595</v>
      </c>
      <c r="O177" s="2" t="s">
        <v>12956</v>
      </c>
      <c r="P177" s="9">
        <v>0</v>
      </c>
      <c r="Q177" s="9">
        <v>0</v>
      </c>
      <c r="R177" s="2" t="s">
        <v>12612</v>
      </c>
    </row>
    <row r="178" spans="1:18" x14ac:dyDescent="0.25">
      <c r="A178" s="2" t="s">
        <v>893</v>
      </c>
      <c r="B178" s="6">
        <v>46174</v>
      </c>
      <c r="C178" s="8">
        <v>46200</v>
      </c>
      <c r="D178" s="2" t="s">
        <v>136</v>
      </c>
      <c r="E178" s="2" t="s">
        <v>12593</v>
      </c>
      <c r="F178" s="2" t="s">
        <v>12429</v>
      </c>
      <c r="G178" s="2" t="s">
        <v>12957</v>
      </c>
      <c r="H178" s="2" t="s">
        <v>70</v>
      </c>
      <c r="I178" s="9">
        <v>6410.2255640000003</v>
      </c>
      <c r="J178" s="7">
        <v>0.66500000000000004</v>
      </c>
      <c r="K178" s="9">
        <v>4262.8</v>
      </c>
      <c r="L178" s="14">
        <v>0</v>
      </c>
      <c r="M178" s="2" t="s">
        <v>71</v>
      </c>
      <c r="N178" s="2" t="s">
        <v>12595</v>
      </c>
      <c r="O178" s="2" t="s">
        <v>12958</v>
      </c>
      <c r="P178" s="9">
        <v>0</v>
      </c>
      <c r="Q178" s="9">
        <v>0</v>
      </c>
      <c r="R178" s="2" t="s">
        <v>12615</v>
      </c>
    </row>
    <row r="179" spans="1:18" x14ac:dyDescent="0.25">
      <c r="A179" s="2" t="s">
        <v>896</v>
      </c>
      <c r="B179" s="6">
        <v>46174</v>
      </c>
      <c r="C179" s="8">
        <v>46201</v>
      </c>
      <c r="D179" s="2" t="s">
        <v>136</v>
      </c>
      <c r="E179" s="2" t="s">
        <v>12593</v>
      </c>
      <c r="F179" s="2" t="s">
        <v>12430</v>
      </c>
      <c r="G179" s="2" t="s">
        <v>12959</v>
      </c>
      <c r="H179" s="2" t="s">
        <v>39</v>
      </c>
      <c r="I179" s="9">
        <v>4435.8100000000004</v>
      </c>
      <c r="J179" s="7">
        <v>1</v>
      </c>
      <c r="K179" s="9">
        <v>4435.8100000000004</v>
      </c>
      <c r="L179" s="14">
        <v>0</v>
      </c>
      <c r="M179" s="2" t="s">
        <v>71</v>
      </c>
      <c r="N179" s="2" t="s">
        <v>12595</v>
      </c>
      <c r="O179" s="2" t="s">
        <v>12960</v>
      </c>
      <c r="P179" s="9">
        <v>0</v>
      </c>
      <c r="Q179" s="9">
        <v>0</v>
      </c>
      <c r="R179" s="2" t="s">
        <v>12618</v>
      </c>
    </row>
    <row r="180" spans="1:18" x14ac:dyDescent="0.25">
      <c r="A180" s="2" t="s">
        <v>901</v>
      </c>
      <c r="B180" s="6">
        <v>46174</v>
      </c>
      <c r="C180" s="8">
        <v>46202</v>
      </c>
      <c r="D180" s="2" t="s">
        <v>136</v>
      </c>
      <c r="E180" s="2" t="s">
        <v>12593</v>
      </c>
      <c r="F180" s="2" t="s">
        <v>12431</v>
      </c>
      <c r="G180" s="2" t="s">
        <v>12961</v>
      </c>
      <c r="H180" s="2" t="s">
        <v>76</v>
      </c>
      <c r="I180" s="9">
        <v>73741120</v>
      </c>
      <c r="J180" s="7">
        <v>6.2500000000000001E-5</v>
      </c>
      <c r="K180" s="9">
        <v>4608.82</v>
      </c>
      <c r="L180" s="14">
        <v>0</v>
      </c>
      <c r="M180" s="2" t="s">
        <v>71</v>
      </c>
      <c r="N180" s="2" t="s">
        <v>12595</v>
      </c>
      <c r="O180" s="2" t="s">
        <v>12962</v>
      </c>
      <c r="P180" s="9">
        <v>0</v>
      </c>
      <c r="Q180" s="9">
        <v>0</v>
      </c>
      <c r="R180" s="2" t="s">
        <v>12621</v>
      </c>
    </row>
    <row r="181" spans="1:18" x14ac:dyDescent="0.25">
      <c r="A181" s="2" t="s">
        <v>904</v>
      </c>
      <c r="B181" s="6">
        <v>46174</v>
      </c>
      <c r="C181" s="8">
        <v>46203</v>
      </c>
      <c r="D181" s="2" t="s">
        <v>136</v>
      </c>
      <c r="E181" s="2" t="s">
        <v>12593</v>
      </c>
      <c r="F181" s="2" t="s">
        <v>12432</v>
      </c>
      <c r="G181" s="2" t="s">
        <v>12963</v>
      </c>
      <c r="H181" s="2" t="s">
        <v>70</v>
      </c>
      <c r="I181" s="9">
        <v>7190.7218050000001</v>
      </c>
      <c r="J181" s="7">
        <v>0.66500000000000004</v>
      </c>
      <c r="K181" s="9">
        <v>4781.83</v>
      </c>
      <c r="L181" s="14">
        <v>0</v>
      </c>
      <c r="M181" s="2" t="s">
        <v>71</v>
      </c>
      <c r="N181" s="2" t="s">
        <v>12595</v>
      </c>
      <c r="O181" s="2" t="s">
        <v>12964</v>
      </c>
      <c r="P181" s="9">
        <v>0</v>
      </c>
      <c r="Q181" s="9">
        <v>0</v>
      </c>
      <c r="R181" s="2" t="s">
        <v>12624</v>
      </c>
    </row>
    <row r="182" spans="1:18" x14ac:dyDescent="0.25">
      <c r="A182" s="2" t="s">
        <v>907</v>
      </c>
      <c r="B182" s="6">
        <v>46174</v>
      </c>
      <c r="C182" s="8">
        <v>46174</v>
      </c>
      <c r="D182" s="2" t="s">
        <v>136</v>
      </c>
      <c r="E182" s="2" t="s">
        <v>12593</v>
      </c>
      <c r="F182" s="2" t="s">
        <v>12423</v>
      </c>
      <c r="G182" s="2" t="s">
        <v>12965</v>
      </c>
      <c r="H182" s="2" t="s">
        <v>39</v>
      </c>
      <c r="I182" s="9">
        <v>4954.84</v>
      </c>
      <c r="J182" s="7">
        <v>1</v>
      </c>
      <c r="K182" s="9">
        <v>4954.84</v>
      </c>
      <c r="L182" s="14">
        <v>0</v>
      </c>
      <c r="M182" s="2" t="s">
        <v>71</v>
      </c>
      <c r="N182" s="2" t="s">
        <v>12595</v>
      </c>
      <c r="O182" s="2" t="s">
        <v>12966</v>
      </c>
      <c r="P182" s="9">
        <v>0</v>
      </c>
      <c r="Q182" s="9">
        <v>0</v>
      </c>
      <c r="R182" s="2" t="s">
        <v>12597</v>
      </c>
    </row>
    <row r="183" spans="1:18" x14ac:dyDescent="0.25">
      <c r="A183" s="2" t="s">
        <v>910</v>
      </c>
      <c r="B183" s="6">
        <v>46174</v>
      </c>
      <c r="C183" s="8">
        <v>46175</v>
      </c>
      <c r="D183" s="2" t="s">
        <v>136</v>
      </c>
      <c r="E183" s="2" t="s">
        <v>12593</v>
      </c>
      <c r="F183" s="2" t="s">
        <v>12424</v>
      </c>
      <c r="G183" s="2" t="s">
        <v>12967</v>
      </c>
      <c r="H183" s="2" t="s">
        <v>76</v>
      </c>
      <c r="I183" s="9">
        <v>82045600</v>
      </c>
      <c r="J183" s="7">
        <v>6.2500000000000001E-5</v>
      </c>
      <c r="K183" s="9">
        <v>5127.8500000000004</v>
      </c>
      <c r="L183" s="14">
        <v>0</v>
      </c>
      <c r="M183" s="2" t="s">
        <v>71</v>
      </c>
      <c r="N183" s="2" t="s">
        <v>12595</v>
      </c>
      <c r="O183" s="2" t="s">
        <v>12968</v>
      </c>
      <c r="P183" s="9">
        <v>0</v>
      </c>
      <c r="Q183" s="9">
        <v>0</v>
      </c>
      <c r="R183" s="2" t="s">
        <v>12600</v>
      </c>
    </row>
    <row r="184" spans="1:18" x14ac:dyDescent="0.25">
      <c r="A184" s="2" t="s">
        <v>913</v>
      </c>
      <c r="B184" s="6">
        <v>46174</v>
      </c>
      <c r="C184" s="8">
        <v>46176</v>
      </c>
      <c r="D184" s="2" t="s">
        <v>136</v>
      </c>
      <c r="E184" s="2" t="s">
        <v>12593</v>
      </c>
      <c r="F184" s="2" t="s">
        <v>12425</v>
      </c>
      <c r="G184" s="2" t="s">
        <v>12969</v>
      </c>
      <c r="H184" s="2" t="s">
        <v>70</v>
      </c>
      <c r="I184" s="9">
        <v>7971.2180449999996</v>
      </c>
      <c r="J184" s="7">
        <v>0.66500000000000004</v>
      </c>
      <c r="K184" s="9">
        <v>5300.86</v>
      </c>
      <c r="L184" s="14">
        <v>0</v>
      </c>
      <c r="M184" s="2" t="s">
        <v>71</v>
      </c>
      <c r="N184" s="2" t="s">
        <v>12595</v>
      </c>
      <c r="O184" s="2" t="s">
        <v>12970</v>
      </c>
      <c r="P184" s="9">
        <v>0</v>
      </c>
      <c r="Q184" s="9">
        <v>0</v>
      </c>
      <c r="R184" s="2" t="s">
        <v>12603</v>
      </c>
    </row>
    <row r="185" spans="1:18" x14ac:dyDescent="0.25">
      <c r="A185" s="2" t="s">
        <v>916</v>
      </c>
      <c r="B185" s="6">
        <v>46174</v>
      </c>
      <c r="C185" s="8">
        <v>46177</v>
      </c>
      <c r="D185" s="2" t="s">
        <v>136</v>
      </c>
      <c r="E185" s="2" t="s">
        <v>12593</v>
      </c>
      <c r="F185" s="2" t="s">
        <v>12426</v>
      </c>
      <c r="G185" s="2" t="s">
        <v>12971</v>
      </c>
      <c r="H185" s="2" t="s">
        <v>39</v>
      </c>
      <c r="I185" s="9">
        <v>5473.87</v>
      </c>
      <c r="J185" s="7">
        <v>1</v>
      </c>
      <c r="K185" s="9">
        <v>5473.87</v>
      </c>
      <c r="L185" s="14">
        <v>0</v>
      </c>
      <c r="M185" s="2" t="s">
        <v>71</v>
      </c>
      <c r="N185" s="2" t="s">
        <v>12595</v>
      </c>
      <c r="O185" s="2" t="s">
        <v>12972</v>
      </c>
      <c r="P185" s="9">
        <v>0</v>
      </c>
      <c r="Q185" s="9">
        <v>0</v>
      </c>
      <c r="R185" s="2" t="s">
        <v>12606</v>
      </c>
    </row>
    <row r="186" spans="1:18" x14ac:dyDescent="0.25">
      <c r="A186" s="2" t="s">
        <v>921</v>
      </c>
      <c r="B186" s="6">
        <v>46174</v>
      </c>
      <c r="C186" s="8">
        <v>46178</v>
      </c>
      <c r="D186" s="2" t="s">
        <v>136</v>
      </c>
      <c r="E186" s="2" t="s">
        <v>12593</v>
      </c>
      <c r="F186" s="2" t="s">
        <v>12427</v>
      </c>
      <c r="G186" s="2" t="s">
        <v>12973</v>
      </c>
      <c r="H186" s="2" t="s">
        <v>76</v>
      </c>
      <c r="I186" s="9">
        <v>90350080</v>
      </c>
      <c r="J186" s="7">
        <v>6.2500000000000001E-5</v>
      </c>
      <c r="K186" s="9">
        <v>5646.88</v>
      </c>
      <c r="L186" s="14">
        <v>0</v>
      </c>
      <c r="M186" s="2" t="s">
        <v>71</v>
      </c>
      <c r="N186" s="2" t="s">
        <v>12595</v>
      </c>
      <c r="O186" s="2" t="s">
        <v>12974</v>
      </c>
      <c r="P186" s="9">
        <v>0</v>
      </c>
      <c r="Q186" s="9">
        <v>0</v>
      </c>
      <c r="R186" s="2" t="s">
        <v>12609</v>
      </c>
    </row>
    <row r="187" spans="1:18" x14ac:dyDescent="0.25">
      <c r="A187" s="2" t="s">
        <v>926</v>
      </c>
      <c r="B187" s="6">
        <v>46174</v>
      </c>
      <c r="C187" s="8">
        <v>46179</v>
      </c>
      <c r="D187" s="2" t="s">
        <v>136</v>
      </c>
      <c r="E187" s="2" t="s">
        <v>12593</v>
      </c>
      <c r="F187" s="2" t="s">
        <v>12428</v>
      </c>
      <c r="G187" s="2" t="s">
        <v>12975</v>
      </c>
      <c r="H187" s="2" t="s">
        <v>70</v>
      </c>
      <c r="I187" s="9">
        <v>8751.7142860000004</v>
      </c>
      <c r="J187" s="7">
        <v>0.66500000000000004</v>
      </c>
      <c r="K187" s="9">
        <v>5819.89</v>
      </c>
      <c r="L187" s="14">
        <v>0</v>
      </c>
      <c r="M187" s="2" t="s">
        <v>71</v>
      </c>
      <c r="N187" s="2" t="s">
        <v>12595</v>
      </c>
      <c r="O187" s="2" t="s">
        <v>12976</v>
      </c>
      <c r="P187" s="9">
        <v>0</v>
      </c>
      <c r="Q187" s="9">
        <v>0</v>
      </c>
      <c r="R187" s="2" t="s">
        <v>12612</v>
      </c>
    </row>
    <row r="188" spans="1:18" x14ac:dyDescent="0.25">
      <c r="A188" s="2" t="s">
        <v>929</v>
      </c>
      <c r="B188" s="6">
        <v>46174</v>
      </c>
      <c r="C188" s="8">
        <v>46180</v>
      </c>
      <c r="D188" s="2" t="s">
        <v>136</v>
      </c>
      <c r="E188" s="2" t="s">
        <v>12593</v>
      </c>
      <c r="F188" s="2" t="s">
        <v>12429</v>
      </c>
      <c r="G188" s="2" t="s">
        <v>12977</v>
      </c>
      <c r="H188" s="2" t="s">
        <v>39</v>
      </c>
      <c r="I188" s="9">
        <v>5992.9</v>
      </c>
      <c r="J188" s="7">
        <v>1</v>
      </c>
      <c r="K188" s="9">
        <v>5992.9</v>
      </c>
      <c r="L188" s="14">
        <v>0</v>
      </c>
      <c r="M188" s="2" t="s">
        <v>71</v>
      </c>
      <c r="N188" s="2" t="s">
        <v>12595</v>
      </c>
      <c r="O188" s="2" t="s">
        <v>12978</v>
      </c>
      <c r="P188" s="9">
        <v>0</v>
      </c>
      <c r="Q188" s="9">
        <v>0</v>
      </c>
      <c r="R188" s="2" t="s">
        <v>12615</v>
      </c>
    </row>
    <row r="189" spans="1:18" x14ac:dyDescent="0.25">
      <c r="A189" s="2" t="s">
        <v>932</v>
      </c>
      <c r="B189" s="6">
        <v>46174</v>
      </c>
      <c r="C189" s="8">
        <v>46181</v>
      </c>
      <c r="D189" s="2" t="s">
        <v>136</v>
      </c>
      <c r="E189" s="2" t="s">
        <v>12593</v>
      </c>
      <c r="F189" s="2" t="s">
        <v>12430</v>
      </c>
      <c r="G189" s="2" t="s">
        <v>12979</v>
      </c>
      <c r="H189" s="2" t="s">
        <v>76</v>
      </c>
      <c r="I189" s="9">
        <v>98654560</v>
      </c>
      <c r="J189" s="7">
        <v>6.2500000000000001E-5</v>
      </c>
      <c r="K189" s="9">
        <v>6165.91</v>
      </c>
      <c r="L189" s="14">
        <v>0</v>
      </c>
      <c r="M189" s="2" t="s">
        <v>71</v>
      </c>
      <c r="N189" s="2" t="s">
        <v>12595</v>
      </c>
      <c r="O189" s="2" t="s">
        <v>12980</v>
      </c>
      <c r="P189" s="9">
        <v>0</v>
      </c>
      <c r="Q189" s="9">
        <v>0</v>
      </c>
      <c r="R189" s="2" t="s">
        <v>12618</v>
      </c>
    </row>
    <row r="190" spans="1:18" x14ac:dyDescent="0.25">
      <c r="A190" s="2" t="s">
        <v>937</v>
      </c>
      <c r="B190" s="6">
        <v>46174</v>
      </c>
      <c r="C190" s="8">
        <v>46182</v>
      </c>
      <c r="D190" s="2" t="s">
        <v>136</v>
      </c>
      <c r="E190" s="2" t="s">
        <v>12593</v>
      </c>
      <c r="F190" s="2" t="s">
        <v>12431</v>
      </c>
      <c r="G190" s="2" t="s">
        <v>12981</v>
      </c>
      <c r="H190" s="2" t="s">
        <v>70</v>
      </c>
      <c r="I190" s="9">
        <v>9532.2105260000008</v>
      </c>
      <c r="J190" s="7">
        <v>0.66500000000000004</v>
      </c>
      <c r="K190" s="9">
        <v>6338.92</v>
      </c>
      <c r="L190" s="14">
        <v>0</v>
      </c>
      <c r="M190" s="2" t="s">
        <v>71</v>
      </c>
      <c r="N190" s="2" t="s">
        <v>12595</v>
      </c>
      <c r="O190" s="2" t="s">
        <v>12982</v>
      </c>
      <c r="P190" s="9">
        <v>0</v>
      </c>
      <c r="Q190" s="9">
        <v>0</v>
      </c>
      <c r="R190" s="2" t="s">
        <v>12621</v>
      </c>
    </row>
    <row r="191" spans="1:18" x14ac:dyDescent="0.25">
      <c r="A191" s="2" t="s">
        <v>940</v>
      </c>
      <c r="B191" s="6">
        <v>46174</v>
      </c>
      <c r="C191" s="8">
        <v>46183</v>
      </c>
      <c r="D191" s="2" t="s">
        <v>136</v>
      </c>
      <c r="E191" s="2" t="s">
        <v>12593</v>
      </c>
      <c r="F191" s="2" t="s">
        <v>12432</v>
      </c>
      <c r="G191" s="2" t="s">
        <v>12983</v>
      </c>
      <c r="H191" s="2" t="s">
        <v>39</v>
      </c>
      <c r="I191" s="9">
        <v>6511.93</v>
      </c>
      <c r="J191" s="7">
        <v>1</v>
      </c>
      <c r="K191" s="9">
        <v>6511.93</v>
      </c>
      <c r="L191" s="14">
        <v>0</v>
      </c>
      <c r="M191" s="2" t="s">
        <v>71</v>
      </c>
      <c r="N191" s="2" t="s">
        <v>12595</v>
      </c>
      <c r="O191" s="2" t="s">
        <v>12984</v>
      </c>
      <c r="P191" s="9">
        <v>0</v>
      </c>
      <c r="Q191" s="9">
        <v>0</v>
      </c>
      <c r="R191" s="2" t="s">
        <v>12624</v>
      </c>
    </row>
    <row r="192" spans="1:18" x14ac:dyDescent="0.25">
      <c r="A192" s="2" t="s">
        <v>943</v>
      </c>
      <c r="B192" s="6">
        <v>46174</v>
      </c>
      <c r="C192" s="8">
        <v>46184</v>
      </c>
      <c r="D192" s="2" t="s">
        <v>136</v>
      </c>
      <c r="E192" s="2" t="s">
        <v>12593</v>
      </c>
      <c r="F192" s="2" t="s">
        <v>12423</v>
      </c>
      <c r="G192" s="2" t="s">
        <v>12985</v>
      </c>
      <c r="H192" s="2" t="s">
        <v>76</v>
      </c>
      <c r="I192" s="9">
        <v>106959040</v>
      </c>
      <c r="J192" s="7">
        <v>6.2500000000000001E-5</v>
      </c>
      <c r="K192" s="9">
        <v>6684.94</v>
      </c>
      <c r="L192" s="14">
        <v>0</v>
      </c>
      <c r="M192" s="2" t="s">
        <v>71</v>
      </c>
      <c r="N192" s="2" t="s">
        <v>12595</v>
      </c>
      <c r="O192" s="2" t="s">
        <v>12986</v>
      </c>
      <c r="P192" s="9">
        <v>0</v>
      </c>
      <c r="Q192" s="9">
        <v>0</v>
      </c>
      <c r="R192" s="2" t="s">
        <v>12597</v>
      </c>
    </row>
    <row r="193" spans="1:18" x14ac:dyDescent="0.25">
      <c r="A193" s="2" t="s">
        <v>946</v>
      </c>
      <c r="B193" s="6">
        <v>46174</v>
      </c>
      <c r="C193" s="8">
        <v>46185</v>
      </c>
      <c r="D193" s="2" t="s">
        <v>136</v>
      </c>
      <c r="E193" s="2" t="s">
        <v>12593</v>
      </c>
      <c r="F193" s="2" t="s">
        <v>12424</v>
      </c>
      <c r="G193" s="2" t="s">
        <v>12987</v>
      </c>
      <c r="H193" s="2" t="s">
        <v>70</v>
      </c>
      <c r="I193" s="9">
        <v>10312.706767</v>
      </c>
      <c r="J193" s="7">
        <v>0.66500000000000004</v>
      </c>
      <c r="K193" s="9">
        <v>6857.95</v>
      </c>
      <c r="L193" s="14">
        <v>0</v>
      </c>
      <c r="M193" s="2" t="s">
        <v>71</v>
      </c>
      <c r="N193" s="2" t="s">
        <v>12595</v>
      </c>
      <c r="O193" s="2" t="s">
        <v>12988</v>
      </c>
      <c r="P193" s="9">
        <v>0</v>
      </c>
      <c r="Q193" s="9">
        <v>0</v>
      </c>
      <c r="R193" s="2" t="s">
        <v>12600</v>
      </c>
    </row>
    <row r="194" spans="1:18" x14ac:dyDescent="0.25">
      <c r="A194" s="2" t="s">
        <v>949</v>
      </c>
      <c r="B194" s="6">
        <v>46174</v>
      </c>
      <c r="C194" s="8">
        <v>46186</v>
      </c>
      <c r="D194" s="2" t="s">
        <v>136</v>
      </c>
      <c r="E194" s="2" t="s">
        <v>12593</v>
      </c>
      <c r="F194" s="2" t="s">
        <v>12425</v>
      </c>
      <c r="G194" s="2" t="s">
        <v>12989</v>
      </c>
      <c r="H194" s="2" t="s">
        <v>39</v>
      </c>
      <c r="I194" s="9">
        <v>7030.96</v>
      </c>
      <c r="J194" s="7">
        <v>1</v>
      </c>
      <c r="K194" s="9">
        <v>7030.96</v>
      </c>
      <c r="L194" s="14">
        <v>0</v>
      </c>
      <c r="M194" s="2" t="s">
        <v>71</v>
      </c>
      <c r="N194" s="2" t="s">
        <v>12595</v>
      </c>
      <c r="O194" s="2" t="s">
        <v>12990</v>
      </c>
      <c r="P194" s="9">
        <v>0</v>
      </c>
      <c r="Q194" s="9">
        <v>0</v>
      </c>
      <c r="R194" s="2" t="s">
        <v>12603</v>
      </c>
    </row>
    <row r="195" spans="1:18" x14ac:dyDescent="0.25">
      <c r="A195" s="2" t="s">
        <v>952</v>
      </c>
      <c r="B195" s="6">
        <v>46174</v>
      </c>
      <c r="C195" s="8">
        <v>46187</v>
      </c>
      <c r="D195" s="2" t="s">
        <v>136</v>
      </c>
      <c r="E195" s="2" t="s">
        <v>12593</v>
      </c>
      <c r="F195" s="2" t="s">
        <v>12426</v>
      </c>
      <c r="G195" s="2" t="s">
        <v>12991</v>
      </c>
      <c r="H195" s="2" t="s">
        <v>76</v>
      </c>
      <c r="I195" s="9">
        <v>115248000</v>
      </c>
      <c r="J195" s="7">
        <v>6.2500000000000001E-5</v>
      </c>
      <c r="K195" s="9">
        <v>7203</v>
      </c>
      <c r="L195" s="14">
        <v>0</v>
      </c>
      <c r="M195" s="2" t="s">
        <v>71</v>
      </c>
      <c r="N195" s="2" t="s">
        <v>12595</v>
      </c>
      <c r="O195" s="2" t="s">
        <v>12992</v>
      </c>
      <c r="P195" s="9">
        <v>0</v>
      </c>
      <c r="Q195" s="9">
        <v>0</v>
      </c>
      <c r="R195" s="2" t="s">
        <v>12606</v>
      </c>
    </row>
    <row r="196" spans="1:18" x14ac:dyDescent="0.25">
      <c r="A196" s="2" t="s">
        <v>957</v>
      </c>
      <c r="B196" s="6">
        <v>46174</v>
      </c>
      <c r="C196" s="8">
        <v>46188</v>
      </c>
      <c r="D196" s="2" t="s">
        <v>136</v>
      </c>
      <c r="E196" s="2" t="s">
        <v>12593</v>
      </c>
      <c r="F196" s="2" t="s">
        <v>12427</v>
      </c>
      <c r="G196" s="2" t="s">
        <v>12993</v>
      </c>
      <c r="H196" s="2" t="s">
        <v>70</v>
      </c>
      <c r="I196" s="9">
        <v>11091.744360999999</v>
      </c>
      <c r="J196" s="7">
        <v>0.66500000000000004</v>
      </c>
      <c r="K196" s="9">
        <v>7376.01</v>
      </c>
      <c r="L196" s="14">
        <v>0</v>
      </c>
      <c r="M196" s="2" t="s">
        <v>71</v>
      </c>
      <c r="N196" s="2" t="s">
        <v>12595</v>
      </c>
      <c r="O196" s="2" t="s">
        <v>12994</v>
      </c>
      <c r="P196" s="9">
        <v>0</v>
      </c>
      <c r="Q196" s="9">
        <v>0</v>
      </c>
      <c r="R196" s="2" t="s">
        <v>12609</v>
      </c>
    </row>
    <row r="197" spans="1:18" x14ac:dyDescent="0.25">
      <c r="A197" s="2" t="s">
        <v>962</v>
      </c>
      <c r="B197" s="6">
        <v>46174</v>
      </c>
      <c r="C197" s="8">
        <v>46189</v>
      </c>
      <c r="D197" s="2" t="s">
        <v>136</v>
      </c>
      <c r="E197" s="2" t="s">
        <v>12593</v>
      </c>
      <c r="F197" s="2" t="s">
        <v>12428</v>
      </c>
      <c r="G197" s="2" t="s">
        <v>12995</v>
      </c>
      <c r="H197" s="2" t="s">
        <v>39</v>
      </c>
      <c r="I197" s="9">
        <v>7549.02</v>
      </c>
      <c r="J197" s="7">
        <v>1</v>
      </c>
      <c r="K197" s="9">
        <v>7549.02</v>
      </c>
      <c r="L197" s="14">
        <v>0</v>
      </c>
      <c r="M197" s="2" t="s">
        <v>71</v>
      </c>
      <c r="N197" s="2" t="s">
        <v>12595</v>
      </c>
      <c r="O197" s="2" t="s">
        <v>12996</v>
      </c>
      <c r="P197" s="9">
        <v>0</v>
      </c>
      <c r="Q197" s="9">
        <v>0</v>
      </c>
      <c r="R197" s="2" t="s">
        <v>12612</v>
      </c>
    </row>
    <row r="198" spans="1:18" x14ac:dyDescent="0.25">
      <c r="A198" s="2" t="s">
        <v>965</v>
      </c>
      <c r="B198" s="6">
        <v>46174</v>
      </c>
      <c r="C198" s="8">
        <v>46190</v>
      </c>
      <c r="D198" s="2" t="s">
        <v>136</v>
      </c>
      <c r="E198" s="2" t="s">
        <v>12593</v>
      </c>
      <c r="F198" s="2" t="s">
        <v>12429</v>
      </c>
      <c r="G198" s="2" t="s">
        <v>12997</v>
      </c>
      <c r="H198" s="2" t="s">
        <v>76</v>
      </c>
      <c r="I198" s="9">
        <v>123552480</v>
      </c>
      <c r="J198" s="7">
        <v>6.2500000000000001E-5</v>
      </c>
      <c r="K198" s="9">
        <v>7722.03</v>
      </c>
      <c r="L198" s="14">
        <v>0</v>
      </c>
      <c r="M198" s="2" t="s">
        <v>71</v>
      </c>
      <c r="N198" s="2" t="s">
        <v>12595</v>
      </c>
      <c r="O198" s="2" t="s">
        <v>12998</v>
      </c>
      <c r="P198" s="9">
        <v>0</v>
      </c>
      <c r="Q198" s="9">
        <v>0</v>
      </c>
      <c r="R198" s="2" t="s">
        <v>12615</v>
      </c>
    </row>
    <row r="199" spans="1:18" x14ac:dyDescent="0.25">
      <c r="A199" s="2" t="s">
        <v>968</v>
      </c>
      <c r="B199" s="6">
        <v>46174</v>
      </c>
      <c r="C199" s="8">
        <v>46191</v>
      </c>
      <c r="D199" s="2" t="s">
        <v>136</v>
      </c>
      <c r="E199" s="2" t="s">
        <v>12593</v>
      </c>
      <c r="F199" s="2" t="s">
        <v>12430</v>
      </c>
      <c r="G199" s="2" t="s">
        <v>12999</v>
      </c>
      <c r="H199" s="2" t="s">
        <v>70</v>
      </c>
      <c r="I199" s="9">
        <v>11872.240602</v>
      </c>
      <c r="J199" s="7">
        <v>0.66500000000000004</v>
      </c>
      <c r="K199" s="9">
        <v>7895.04</v>
      </c>
      <c r="L199" s="14">
        <v>0</v>
      </c>
      <c r="M199" s="2" t="s">
        <v>71</v>
      </c>
      <c r="N199" s="2" t="s">
        <v>12595</v>
      </c>
      <c r="O199" s="2" t="s">
        <v>13000</v>
      </c>
      <c r="P199" s="9">
        <v>0</v>
      </c>
      <c r="Q199" s="9">
        <v>0</v>
      </c>
      <c r="R199" s="2" t="s">
        <v>12618</v>
      </c>
    </row>
    <row r="200" spans="1:18" x14ac:dyDescent="0.25">
      <c r="A200" s="2" t="s">
        <v>973</v>
      </c>
      <c r="B200" s="6">
        <v>46174</v>
      </c>
      <c r="C200" s="8">
        <v>46192</v>
      </c>
      <c r="D200" s="2" t="s">
        <v>136</v>
      </c>
      <c r="E200" s="2" t="s">
        <v>12593</v>
      </c>
      <c r="F200" s="2" t="s">
        <v>12431</v>
      </c>
      <c r="G200" s="2" t="s">
        <v>13001</v>
      </c>
      <c r="H200" s="2" t="s">
        <v>39</v>
      </c>
      <c r="I200" s="9">
        <v>8068.05</v>
      </c>
      <c r="J200" s="7">
        <v>1</v>
      </c>
      <c r="K200" s="9">
        <v>8068.05</v>
      </c>
      <c r="L200" s="14">
        <v>0</v>
      </c>
      <c r="M200" s="2" t="s">
        <v>71</v>
      </c>
      <c r="N200" s="2" t="s">
        <v>12595</v>
      </c>
      <c r="O200" s="2" t="s">
        <v>13002</v>
      </c>
      <c r="P200" s="9">
        <v>0</v>
      </c>
      <c r="Q200" s="9">
        <v>0</v>
      </c>
      <c r="R200" s="2" t="s">
        <v>12621</v>
      </c>
    </row>
    <row r="201" spans="1:18" x14ac:dyDescent="0.25">
      <c r="A201" s="2" t="s">
        <v>976</v>
      </c>
      <c r="B201" s="6">
        <v>46174</v>
      </c>
      <c r="C201" s="8">
        <v>46193</v>
      </c>
      <c r="D201" s="2" t="s">
        <v>136</v>
      </c>
      <c r="E201" s="2" t="s">
        <v>12593</v>
      </c>
      <c r="F201" s="2" t="s">
        <v>12432</v>
      </c>
      <c r="G201" s="2" t="s">
        <v>13003</v>
      </c>
      <c r="H201" s="2" t="s">
        <v>76</v>
      </c>
      <c r="I201" s="9">
        <v>131856960</v>
      </c>
      <c r="J201" s="7">
        <v>6.2500000000000001E-5</v>
      </c>
      <c r="K201" s="9">
        <v>8241.06</v>
      </c>
      <c r="L201" s="14">
        <v>0</v>
      </c>
      <c r="M201" s="2" t="s">
        <v>71</v>
      </c>
      <c r="N201" s="2" t="s">
        <v>12595</v>
      </c>
      <c r="O201" s="2" t="s">
        <v>13004</v>
      </c>
      <c r="P201" s="9">
        <v>0</v>
      </c>
      <c r="Q201" s="9">
        <v>0</v>
      </c>
      <c r="R201" s="2" t="s">
        <v>12624</v>
      </c>
    </row>
    <row r="202" spans="1:18" x14ac:dyDescent="0.25">
      <c r="A202" s="2" t="s">
        <v>979</v>
      </c>
      <c r="B202" s="6">
        <v>46174</v>
      </c>
      <c r="C202" s="8">
        <v>46194</v>
      </c>
      <c r="D202" s="2" t="s">
        <v>136</v>
      </c>
      <c r="E202" s="2" t="s">
        <v>12593</v>
      </c>
      <c r="F202" s="2" t="s">
        <v>12423</v>
      </c>
      <c r="G202" s="2" t="s">
        <v>13005</v>
      </c>
      <c r="H202" s="2" t="s">
        <v>70</v>
      </c>
      <c r="I202" s="9">
        <v>12652.736842</v>
      </c>
      <c r="J202" s="7">
        <v>0.66500000000000004</v>
      </c>
      <c r="K202" s="9">
        <v>8414.07</v>
      </c>
      <c r="L202" s="14">
        <v>0</v>
      </c>
      <c r="M202" s="2" t="s">
        <v>71</v>
      </c>
      <c r="N202" s="2" t="s">
        <v>12595</v>
      </c>
      <c r="O202" s="2" t="s">
        <v>13006</v>
      </c>
      <c r="P202" s="9">
        <v>0</v>
      </c>
      <c r="Q202" s="9">
        <v>0</v>
      </c>
      <c r="R202" s="2" t="s">
        <v>12597</v>
      </c>
    </row>
    <row r="203" spans="1:18" x14ac:dyDescent="0.25">
      <c r="A203" s="2" t="s">
        <v>982</v>
      </c>
      <c r="B203" s="6">
        <v>46174</v>
      </c>
      <c r="C203" s="8">
        <v>46195</v>
      </c>
      <c r="D203" s="2" t="s">
        <v>136</v>
      </c>
      <c r="E203" s="2" t="s">
        <v>12593</v>
      </c>
      <c r="F203" s="2" t="s">
        <v>12424</v>
      </c>
      <c r="G203" s="2" t="s">
        <v>13007</v>
      </c>
      <c r="H203" s="2" t="s">
        <v>39</v>
      </c>
      <c r="I203" s="9">
        <v>8587.08</v>
      </c>
      <c r="J203" s="7">
        <v>1</v>
      </c>
      <c r="K203" s="9">
        <v>8587.08</v>
      </c>
      <c r="L203" s="14">
        <v>0</v>
      </c>
      <c r="M203" s="2" t="s">
        <v>71</v>
      </c>
      <c r="N203" s="2" t="s">
        <v>12595</v>
      </c>
      <c r="O203" s="2" t="s">
        <v>13008</v>
      </c>
      <c r="P203" s="9">
        <v>0</v>
      </c>
      <c r="Q203" s="9">
        <v>0</v>
      </c>
      <c r="R203" s="2" t="s">
        <v>12600</v>
      </c>
    </row>
    <row r="204" spans="1:18" x14ac:dyDescent="0.25">
      <c r="A204" s="2" t="s">
        <v>985</v>
      </c>
      <c r="B204" s="6">
        <v>46174</v>
      </c>
      <c r="C204" s="8">
        <v>46196</v>
      </c>
      <c r="D204" s="2" t="s">
        <v>136</v>
      </c>
      <c r="E204" s="2" t="s">
        <v>12593</v>
      </c>
      <c r="F204" s="2" t="s">
        <v>12425</v>
      </c>
      <c r="G204" s="2" t="s">
        <v>13009</v>
      </c>
      <c r="H204" s="2" t="s">
        <v>76</v>
      </c>
      <c r="I204" s="9">
        <v>140161440</v>
      </c>
      <c r="J204" s="7">
        <v>6.2500000000000001E-5</v>
      </c>
      <c r="K204" s="9">
        <v>8760.09</v>
      </c>
      <c r="L204" s="14">
        <v>0</v>
      </c>
      <c r="M204" s="2" t="s">
        <v>71</v>
      </c>
      <c r="N204" s="2" t="s">
        <v>12595</v>
      </c>
      <c r="O204" s="2" t="s">
        <v>13010</v>
      </c>
      <c r="P204" s="9">
        <v>0</v>
      </c>
      <c r="Q204" s="9">
        <v>0</v>
      </c>
      <c r="R204" s="2" t="s">
        <v>12603</v>
      </c>
    </row>
    <row r="205" spans="1:18" x14ac:dyDescent="0.25">
      <c r="A205" s="2" t="s">
        <v>988</v>
      </c>
      <c r="B205" s="6">
        <v>46174</v>
      </c>
      <c r="C205" s="8">
        <v>46197</v>
      </c>
      <c r="D205" s="2" t="s">
        <v>136</v>
      </c>
      <c r="E205" s="2" t="s">
        <v>12593</v>
      </c>
      <c r="F205" s="2" t="s">
        <v>12426</v>
      </c>
      <c r="G205" s="2" t="s">
        <v>13011</v>
      </c>
      <c r="H205" s="2" t="s">
        <v>70</v>
      </c>
      <c r="I205" s="9">
        <v>13433.233082999999</v>
      </c>
      <c r="J205" s="7">
        <v>0.66500000000000004</v>
      </c>
      <c r="K205" s="9">
        <v>8933.1</v>
      </c>
      <c r="L205" s="14">
        <v>0</v>
      </c>
      <c r="M205" s="2" t="s">
        <v>71</v>
      </c>
      <c r="N205" s="2" t="s">
        <v>12595</v>
      </c>
      <c r="O205" s="2" t="s">
        <v>13012</v>
      </c>
      <c r="P205" s="9">
        <v>0</v>
      </c>
      <c r="Q205" s="9">
        <v>0</v>
      </c>
      <c r="R205" s="2" t="s">
        <v>12606</v>
      </c>
    </row>
    <row r="206" spans="1:18" x14ac:dyDescent="0.25">
      <c r="A206" s="2" t="s">
        <v>993</v>
      </c>
      <c r="B206" s="6">
        <v>46174</v>
      </c>
      <c r="C206" s="8">
        <v>46198</v>
      </c>
      <c r="D206" s="2" t="s">
        <v>136</v>
      </c>
      <c r="E206" s="2" t="s">
        <v>12593</v>
      </c>
      <c r="F206" s="2" t="s">
        <v>12427</v>
      </c>
      <c r="G206" s="2" t="s">
        <v>13013</v>
      </c>
      <c r="H206" s="2" t="s">
        <v>39</v>
      </c>
      <c r="I206" s="9">
        <v>-9106.11</v>
      </c>
      <c r="J206" s="7">
        <v>1</v>
      </c>
      <c r="K206" s="9">
        <v>-9106.11</v>
      </c>
      <c r="L206" s="14">
        <v>0</v>
      </c>
      <c r="M206" s="2" t="s">
        <v>71</v>
      </c>
      <c r="N206" s="2" t="s">
        <v>12595</v>
      </c>
      <c r="O206" s="2" t="s">
        <v>13014</v>
      </c>
      <c r="P206" s="9">
        <v>0</v>
      </c>
      <c r="Q206" s="9">
        <v>0</v>
      </c>
      <c r="R206" s="2" t="s">
        <v>12609</v>
      </c>
    </row>
    <row r="207" spans="1:18" x14ac:dyDescent="0.25">
      <c r="A207" s="2" t="s">
        <v>996</v>
      </c>
      <c r="B207" s="6">
        <v>46174</v>
      </c>
      <c r="C207" s="8">
        <v>46199</v>
      </c>
      <c r="D207" s="2" t="s">
        <v>136</v>
      </c>
      <c r="E207" s="2" t="s">
        <v>12593</v>
      </c>
      <c r="F207" s="2" t="s">
        <v>12428</v>
      </c>
      <c r="G207" s="2" t="s">
        <v>13015</v>
      </c>
      <c r="H207" s="2" t="s">
        <v>76</v>
      </c>
      <c r="I207" s="9">
        <v>148465920</v>
      </c>
      <c r="J207" s="7">
        <v>6.2500000000000001E-5</v>
      </c>
      <c r="K207" s="9">
        <v>9279.1200000000008</v>
      </c>
      <c r="L207" s="14">
        <v>0</v>
      </c>
      <c r="M207" s="2" t="s">
        <v>71</v>
      </c>
      <c r="N207" s="2" t="s">
        <v>12595</v>
      </c>
      <c r="O207" s="2" t="s">
        <v>13016</v>
      </c>
      <c r="P207" s="9">
        <v>0</v>
      </c>
      <c r="Q207" s="9">
        <v>0</v>
      </c>
      <c r="R207" s="2" t="s">
        <v>12612</v>
      </c>
    </row>
    <row r="208" spans="1:18" x14ac:dyDescent="0.25">
      <c r="A208" s="2" t="s">
        <v>999</v>
      </c>
      <c r="B208" s="6">
        <v>46174</v>
      </c>
      <c r="C208" s="8">
        <v>46200</v>
      </c>
      <c r="D208" s="2" t="s">
        <v>136</v>
      </c>
      <c r="E208" s="2" t="s">
        <v>12593</v>
      </c>
      <c r="F208" s="2" t="s">
        <v>12429</v>
      </c>
      <c r="G208" s="2" t="s">
        <v>13017</v>
      </c>
      <c r="H208" s="2" t="s">
        <v>70</v>
      </c>
      <c r="I208" s="9">
        <v>14213.729323</v>
      </c>
      <c r="J208" s="7">
        <v>0.66500000000000004</v>
      </c>
      <c r="K208" s="9">
        <v>9452.1299999999992</v>
      </c>
      <c r="L208" s="14">
        <v>0</v>
      </c>
      <c r="M208" s="2" t="s">
        <v>71</v>
      </c>
      <c r="N208" s="2" t="s">
        <v>12595</v>
      </c>
      <c r="O208" s="2" t="s">
        <v>13018</v>
      </c>
      <c r="P208" s="9">
        <v>0</v>
      </c>
      <c r="Q208" s="9">
        <v>0</v>
      </c>
      <c r="R208" s="2" t="s">
        <v>12615</v>
      </c>
    </row>
    <row r="209" spans="1:18" x14ac:dyDescent="0.25">
      <c r="A209" s="2" t="s">
        <v>1002</v>
      </c>
      <c r="B209" s="6">
        <v>46174</v>
      </c>
      <c r="C209" s="8">
        <v>46201</v>
      </c>
      <c r="D209" s="2" t="s">
        <v>136</v>
      </c>
      <c r="E209" s="2" t="s">
        <v>12593</v>
      </c>
      <c r="F209" s="2" t="s">
        <v>12430</v>
      </c>
      <c r="G209" s="2" t="s">
        <v>13019</v>
      </c>
      <c r="H209" s="2" t="s">
        <v>39</v>
      </c>
      <c r="I209" s="9">
        <v>9625.14</v>
      </c>
      <c r="J209" s="7">
        <v>1</v>
      </c>
      <c r="K209" s="9">
        <v>9625.14</v>
      </c>
      <c r="L209" s="14">
        <v>0</v>
      </c>
      <c r="M209" s="2" t="s">
        <v>71</v>
      </c>
      <c r="N209" s="2" t="s">
        <v>12595</v>
      </c>
      <c r="O209" s="2" t="s">
        <v>13020</v>
      </c>
      <c r="P209" s="9">
        <v>0</v>
      </c>
      <c r="Q209" s="9">
        <v>0</v>
      </c>
      <c r="R209" s="2" t="s">
        <v>12618</v>
      </c>
    </row>
    <row r="210" spans="1:18" x14ac:dyDescent="0.25">
      <c r="A210" s="2" t="s">
        <v>1007</v>
      </c>
      <c r="B210" s="6">
        <v>46174</v>
      </c>
      <c r="C210" s="8">
        <v>46202</v>
      </c>
      <c r="D210" s="2" t="s">
        <v>136</v>
      </c>
      <c r="E210" s="2" t="s">
        <v>12593</v>
      </c>
      <c r="F210" s="2" t="s">
        <v>12431</v>
      </c>
      <c r="G210" s="2" t="s">
        <v>13021</v>
      </c>
      <c r="H210" s="2" t="s">
        <v>76</v>
      </c>
      <c r="I210" s="9">
        <v>156770400</v>
      </c>
      <c r="J210" s="7">
        <v>6.2500000000000001E-5</v>
      </c>
      <c r="K210" s="9">
        <v>9798.15</v>
      </c>
      <c r="L210" s="14">
        <v>0</v>
      </c>
      <c r="M210" s="2" t="s">
        <v>71</v>
      </c>
      <c r="N210" s="2" t="s">
        <v>12595</v>
      </c>
      <c r="O210" s="2" t="s">
        <v>13022</v>
      </c>
      <c r="P210" s="9">
        <v>0</v>
      </c>
      <c r="Q210" s="9">
        <v>0</v>
      </c>
      <c r="R210" s="2" t="s">
        <v>12621</v>
      </c>
    </row>
    <row r="211" spans="1:18" x14ac:dyDescent="0.25">
      <c r="A211" s="2" t="s">
        <v>1010</v>
      </c>
      <c r="B211" s="6">
        <v>46174</v>
      </c>
      <c r="C211" s="8">
        <v>46203</v>
      </c>
      <c r="D211" s="2" t="s">
        <v>136</v>
      </c>
      <c r="E211" s="2" t="s">
        <v>12593</v>
      </c>
      <c r="F211" s="2" t="s">
        <v>12432</v>
      </c>
      <c r="G211" s="2" t="s">
        <v>13023</v>
      </c>
      <c r="H211" s="2" t="s">
        <v>70</v>
      </c>
      <c r="I211" s="9">
        <v>14994.225564</v>
      </c>
      <c r="J211" s="7">
        <v>0.66500000000000004</v>
      </c>
      <c r="K211" s="9">
        <v>9971.16</v>
      </c>
      <c r="L211" s="14">
        <v>0</v>
      </c>
      <c r="M211" s="2" t="s">
        <v>71</v>
      </c>
      <c r="N211" s="2" t="s">
        <v>12595</v>
      </c>
      <c r="O211" s="2" t="s">
        <v>13024</v>
      </c>
      <c r="P211" s="9">
        <v>0</v>
      </c>
      <c r="Q211" s="9">
        <v>0</v>
      </c>
      <c r="R211" s="2" t="s">
        <v>12624</v>
      </c>
    </row>
    <row r="212" spans="1:18" x14ac:dyDescent="0.25">
      <c r="A212" s="2" t="s">
        <v>1013</v>
      </c>
      <c r="B212" s="6">
        <v>46174</v>
      </c>
      <c r="C212" s="8">
        <v>46174</v>
      </c>
      <c r="D212" s="2" t="s">
        <v>136</v>
      </c>
      <c r="E212" s="2" t="s">
        <v>12593</v>
      </c>
      <c r="F212" s="2" t="s">
        <v>12423</v>
      </c>
      <c r="G212" s="2" t="s">
        <v>13025</v>
      </c>
      <c r="H212" s="2" t="s">
        <v>39</v>
      </c>
      <c r="I212" s="9">
        <v>10144.17</v>
      </c>
      <c r="J212" s="7">
        <v>1</v>
      </c>
      <c r="K212" s="9">
        <v>10144.17</v>
      </c>
      <c r="L212" s="14">
        <v>0</v>
      </c>
      <c r="M212" s="2" t="s">
        <v>71</v>
      </c>
      <c r="N212" s="2" t="s">
        <v>12595</v>
      </c>
      <c r="O212" s="2" t="s">
        <v>13026</v>
      </c>
      <c r="P212" s="9">
        <v>0</v>
      </c>
      <c r="Q212" s="9">
        <v>0</v>
      </c>
      <c r="R212" s="2" t="s">
        <v>12597</v>
      </c>
    </row>
    <row r="213" spans="1:18" x14ac:dyDescent="0.25">
      <c r="A213" s="2" t="s">
        <v>1016</v>
      </c>
      <c r="B213" s="6">
        <v>46174</v>
      </c>
      <c r="C213" s="8">
        <v>46175</v>
      </c>
      <c r="D213" s="2" t="s">
        <v>136</v>
      </c>
      <c r="E213" s="2" t="s">
        <v>12593</v>
      </c>
      <c r="F213" s="2" t="s">
        <v>12424</v>
      </c>
      <c r="G213" s="2" t="s">
        <v>13027</v>
      </c>
      <c r="H213" s="2" t="s">
        <v>76</v>
      </c>
      <c r="I213" s="9">
        <v>165074880</v>
      </c>
      <c r="J213" s="7">
        <v>6.2500000000000001E-5</v>
      </c>
      <c r="K213" s="9">
        <v>10317.18</v>
      </c>
      <c r="L213" s="14">
        <v>0</v>
      </c>
      <c r="M213" s="2" t="s">
        <v>71</v>
      </c>
      <c r="N213" s="2" t="s">
        <v>12595</v>
      </c>
      <c r="O213" s="2" t="s">
        <v>13028</v>
      </c>
      <c r="P213" s="9">
        <v>0</v>
      </c>
      <c r="Q213" s="9">
        <v>0</v>
      </c>
      <c r="R213" s="2" t="s">
        <v>12600</v>
      </c>
    </row>
    <row r="214" spans="1:18" x14ac:dyDescent="0.25">
      <c r="A214" s="2" t="s">
        <v>1019</v>
      </c>
      <c r="B214" s="6">
        <v>46174</v>
      </c>
      <c r="C214" s="8">
        <v>46176</v>
      </c>
      <c r="D214" s="2" t="s">
        <v>136</v>
      </c>
      <c r="E214" s="2" t="s">
        <v>12593</v>
      </c>
      <c r="F214" s="2" t="s">
        <v>12425</v>
      </c>
      <c r="G214" s="2" t="s">
        <v>13029</v>
      </c>
      <c r="H214" s="2" t="s">
        <v>70</v>
      </c>
      <c r="I214" s="9">
        <v>15774.721804999999</v>
      </c>
      <c r="J214" s="7">
        <v>0.66500000000000004</v>
      </c>
      <c r="K214" s="9">
        <v>10490.19</v>
      </c>
      <c r="L214" s="14">
        <v>0</v>
      </c>
      <c r="M214" s="2" t="s">
        <v>71</v>
      </c>
      <c r="N214" s="2" t="s">
        <v>12595</v>
      </c>
      <c r="O214" s="2" t="s">
        <v>13030</v>
      </c>
      <c r="P214" s="9">
        <v>0</v>
      </c>
      <c r="Q214" s="9">
        <v>0</v>
      </c>
      <c r="R214" s="2" t="s">
        <v>12603</v>
      </c>
    </row>
    <row r="215" spans="1:18" x14ac:dyDescent="0.25">
      <c r="A215" s="2" t="s">
        <v>1022</v>
      </c>
      <c r="B215" s="6">
        <v>46174</v>
      </c>
      <c r="C215" s="8">
        <v>46177</v>
      </c>
      <c r="D215" s="2" t="s">
        <v>136</v>
      </c>
      <c r="E215" s="2" t="s">
        <v>12593</v>
      </c>
      <c r="F215" s="2" t="s">
        <v>12426</v>
      </c>
      <c r="G215" s="2" t="s">
        <v>13031</v>
      </c>
      <c r="H215" s="2" t="s">
        <v>39</v>
      </c>
      <c r="I215" s="9">
        <v>10663.2</v>
      </c>
      <c r="J215" s="7">
        <v>1</v>
      </c>
      <c r="K215" s="9">
        <v>10663.2</v>
      </c>
      <c r="L215" s="14">
        <v>0</v>
      </c>
      <c r="M215" s="2" t="s">
        <v>71</v>
      </c>
      <c r="N215" s="2" t="s">
        <v>12595</v>
      </c>
      <c r="O215" s="2" t="s">
        <v>13032</v>
      </c>
      <c r="P215" s="9">
        <v>0</v>
      </c>
      <c r="Q215" s="9">
        <v>0</v>
      </c>
      <c r="R215" s="2" t="s">
        <v>12606</v>
      </c>
    </row>
    <row r="216" spans="1:18" x14ac:dyDescent="0.25">
      <c r="A216" s="2" t="s">
        <v>1027</v>
      </c>
      <c r="B216" s="6">
        <v>46174</v>
      </c>
      <c r="C216" s="8">
        <v>46178</v>
      </c>
      <c r="D216" s="2" t="s">
        <v>136</v>
      </c>
      <c r="E216" s="2" t="s">
        <v>12593</v>
      </c>
      <c r="F216" s="2" t="s">
        <v>12427</v>
      </c>
      <c r="G216" s="2" t="s">
        <v>13033</v>
      </c>
      <c r="H216" s="2" t="s">
        <v>76</v>
      </c>
      <c r="I216" s="9">
        <v>173379360</v>
      </c>
      <c r="J216" s="7">
        <v>6.2500000000000001E-5</v>
      </c>
      <c r="K216" s="9">
        <v>10836.21</v>
      </c>
      <c r="L216" s="14">
        <v>0</v>
      </c>
      <c r="M216" s="2" t="s">
        <v>71</v>
      </c>
      <c r="N216" s="2" t="s">
        <v>12595</v>
      </c>
      <c r="O216" s="2" t="s">
        <v>13034</v>
      </c>
      <c r="P216" s="9">
        <v>0</v>
      </c>
      <c r="Q216" s="9">
        <v>0</v>
      </c>
      <c r="R216" s="2" t="s">
        <v>12609</v>
      </c>
    </row>
    <row r="217" spans="1:18" x14ac:dyDescent="0.25">
      <c r="A217" s="2" t="s">
        <v>1032</v>
      </c>
      <c r="B217" s="6">
        <v>46174</v>
      </c>
      <c r="C217" s="8">
        <v>46179</v>
      </c>
      <c r="D217" s="2" t="s">
        <v>136</v>
      </c>
      <c r="E217" s="2" t="s">
        <v>12593</v>
      </c>
      <c r="F217" s="2" t="s">
        <v>12428</v>
      </c>
      <c r="G217" s="2" t="s">
        <v>13035</v>
      </c>
      <c r="H217" s="2" t="s">
        <v>70</v>
      </c>
      <c r="I217" s="9">
        <v>16555.218045000001</v>
      </c>
      <c r="J217" s="7">
        <v>0.66500000000000004</v>
      </c>
      <c r="K217" s="9">
        <v>11009.22</v>
      </c>
      <c r="L217" s="14">
        <v>0</v>
      </c>
      <c r="M217" s="2" t="s">
        <v>71</v>
      </c>
      <c r="N217" s="2" t="s">
        <v>12595</v>
      </c>
      <c r="O217" s="2" t="s">
        <v>13036</v>
      </c>
      <c r="P217" s="9">
        <v>0</v>
      </c>
      <c r="Q217" s="9">
        <v>0</v>
      </c>
      <c r="R217" s="2" t="s">
        <v>12612</v>
      </c>
    </row>
    <row r="218" spans="1:18" x14ac:dyDescent="0.25">
      <c r="A218" s="2" t="s">
        <v>1035</v>
      </c>
      <c r="B218" s="6">
        <v>46174</v>
      </c>
      <c r="C218" s="8">
        <v>46180</v>
      </c>
      <c r="D218" s="2" t="s">
        <v>136</v>
      </c>
      <c r="E218" s="2" t="s">
        <v>12593</v>
      </c>
      <c r="F218" s="2" t="s">
        <v>12429</v>
      </c>
      <c r="G218" s="2" t="s">
        <v>13037</v>
      </c>
      <c r="H218" s="2" t="s">
        <v>39</v>
      </c>
      <c r="I218" s="9">
        <v>11182.23</v>
      </c>
      <c r="J218" s="7">
        <v>1</v>
      </c>
      <c r="K218" s="9">
        <v>11182.23</v>
      </c>
      <c r="L218" s="14">
        <v>0</v>
      </c>
      <c r="M218" s="2" t="s">
        <v>71</v>
      </c>
      <c r="N218" s="2" t="s">
        <v>12595</v>
      </c>
      <c r="O218" s="2" t="s">
        <v>13038</v>
      </c>
      <c r="P218" s="9">
        <v>0</v>
      </c>
      <c r="Q218" s="9">
        <v>0</v>
      </c>
      <c r="R218" s="2" t="s">
        <v>12615</v>
      </c>
    </row>
    <row r="219" spans="1:18" x14ac:dyDescent="0.25">
      <c r="A219" s="2" t="s">
        <v>1038</v>
      </c>
      <c r="B219" s="6">
        <v>46174</v>
      </c>
      <c r="C219" s="8">
        <v>46181</v>
      </c>
      <c r="D219" s="2" t="s">
        <v>136</v>
      </c>
      <c r="E219" s="2" t="s">
        <v>12593</v>
      </c>
      <c r="F219" s="2" t="s">
        <v>12430</v>
      </c>
      <c r="G219" s="2" t="s">
        <v>13039</v>
      </c>
      <c r="H219" s="2" t="s">
        <v>76</v>
      </c>
      <c r="I219" s="9">
        <v>181683840</v>
      </c>
      <c r="J219" s="7">
        <v>6.2500000000000001E-5</v>
      </c>
      <c r="K219" s="9">
        <v>11355.24</v>
      </c>
      <c r="L219" s="14">
        <v>0</v>
      </c>
      <c r="M219" s="2" t="s">
        <v>71</v>
      </c>
      <c r="N219" s="2" t="s">
        <v>12595</v>
      </c>
      <c r="O219" s="2" t="s">
        <v>13040</v>
      </c>
      <c r="P219" s="9">
        <v>0</v>
      </c>
      <c r="Q219" s="9">
        <v>0</v>
      </c>
      <c r="R219" s="2" t="s">
        <v>12618</v>
      </c>
    </row>
    <row r="220" spans="1:18" x14ac:dyDescent="0.25">
      <c r="A220" s="2" t="s">
        <v>1043</v>
      </c>
      <c r="B220" s="6">
        <v>46174</v>
      </c>
      <c r="C220" s="8">
        <v>46182</v>
      </c>
      <c r="D220" s="2" t="s">
        <v>136</v>
      </c>
      <c r="E220" s="2" t="s">
        <v>12593</v>
      </c>
      <c r="F220" s="2" t="s">
        <v>12431</v>
      </c>
      <c r="G220" s="2" t="s">
        <v>13041</v>
      </c>
      <c r="H220" s="2" t="s">
        <v>70</v>
      </c>
      <c r="I220" s="9">
        <v>17335.714285999999</v>
      </c>
      <c r="J220" s="7">
        <v>0.66500000000000004</v>
      </c>
      <c r="K220" s="9">
        <v>11528.25</v>
      </c>
      <c r="L220" s="14">
        <v>0</v>
      </c>
      <c r="M220" s="2" t="s">
        <v>71</v>
      </c>
      <c r="N220" s="2" t="s">
        <v>12595</v>
      </c>
      <c r="O220" s="2" t="s">
        <v>13042</v>
      </c>
      <c r="P220" s="9">
        <v>0</v>
      </c>
      <c r="Q220" s="9">
        <v>0</v>
      </c>
      <c r="R220" s="2" t="s">
        <v>12621</v>
      </c>
    </row>
    <row r="221" spans="1:18" x14ac:dyDescent="0.25">
      <c r="A221" s="2" t="s">
        <v>1046</v>
      </c>
      <c r="B221" s="6">
        <v>46174</v>
      </c>
      <c r="C221" s="8">
        <v>46183</v>
      </c>
      <c r="D221" s="2" t="s">
        <v>136</v>
      </c>
      <c r="E221" s="2" t="s">
        <v>12593</v>
      </c>
      <c r="F221" s="2" t="s">
        <v>12432</v>
      </c>
      <c r="G221" s="2" t="s">
        <v>13043</v>
      </c>
      <c r="H221" s="2" t="s">
        <v>39</v>
      </c>
      <c r="I221" s="9">
        <v>11701.26</v>
      </c>
      <c r="J221" s="7">
        <v>1</v>
      </c>
      <c r="K221" s="9">
        <v>11701.26</v>
      </c>
      <c r="L221" s="14">
        <v>0</v>
      </c>
      <c r="M221" s="2" t="s">
        <v>71</v>
      </c>
      <c r="N221" s="2" t="s">
        <v>12595</v>
      </c>
      <c r="O221" s="2" t="s">
        <v>13044</v>
      </c>
      <c r="P221" s="9">
        <v>0</v>
      </c>
      <c r="Q221" s="9">
        <v>0</v>
      </c>
      <c r="R221" s="2" t="s">
        <v>12624</v>
      </c>
    </row>
    <row r="222" spans="1:18" x14ac:dyDescent="0.25">
      <c r="A222" s="2" t="s">
        <v>1049</v>
      </c>
      <c r="B222" s="6">
        <v>46174</v>
      </c>
      <c r="C222" s="8">
        <v>46184</v>
      </c>
      <c r="D222" s="2" t="s">
        <v>136</v>
      </c>
      <c r="E222" s="2" t="s">
        <v>12593</v>
      </c>
      <c r="F222" s="2" t="s">
        <v>12423</v>
      </c>
      <c r="G222" s="2" t="s">
        <v>13045</v>
      </c>
      <c r="H222" s="2" t="s">
        <v>76</v>
      </c>
      <c r="I222" s="9">
        <v>189988320</v>
      </c>
      <c r="J222" s="7">
        <v>6.2500000000000001E-5</v>
      </c>
      <c r="K222" s="9">
        <v>11874.27</v>
      </c>
      <c r="L222" s="14">
        <v>0</v>
      </c>
      <c r="M222" s="2" t="s">
        <v>71</v>
      </c>
      <c r="N222" s="2" t="s">
        <v>12595</v>
      </c>
      <c r="O222" s="2" t="s">
        <v>13046</v>
      </c>
      <c r="P222" s="9">
        <v>0</v>
      </c>
      <c r="Q222" s="9">
        <v>0</v>
      </c>
      <c r="R222" s="2" t="s">
        <v>12597</v>
      </c>
    </row>
    <row r="223" spans="1:18" x14ac:dyDescent="0.25">
      <c r="A223" s="2" t="s">
        <v>1052</v>
      </c>
      <c r="B223" s="6">
        <v>46174</v>
      </c>
      <c r="C223" s="8">
        <v>46185</v>
      </c>
      <c r="D223" s="2" t="s">
        <v>136</v>
      </c>
      <c r="E223" s="2" t="s">
        <v>12593</v>
      </c>
      <c r="F223" s="2" t="s">
        <v>12424</v>
      </c>
      <c r="G223" s="2" t="s">
        <v>13047</v>
      </c>
      <c r="H223" s="2" t="s">
        <v>70</v>
      </c>
      <c r="I223" s="9">
        <v>18116.210525999999</v>
      </c>
      <c r="J223" s="7">
        <v>0.66500000000000004</v>
      </c>
      <c r="K223" s="9">
        <v>12047.28</v>
      </c>
      <c r="L223" s="14">
        <v>0</v>
      </c>
      <c r="M223" s="2" t="s">
        <v>71</v>
      </c>
      <c r="N223" s="2" t="s">
        <v>12595</v>
      </c>
      <c r="O223" s="2" t="s">
        <v>13048</v>
      </c>
      <c r="P223" s="9">
        <v>0</v>
      </c>
      <c r="Q223" s="9">
        <v>0</v>
      </c>
      <c r="R223" s="2" t="s">
        <v>12600</v>
      </c>
    </row>
    <row r="224" spans="1:18" x14ac:dyDescent="0.25">
      <c r="A224" s="2" t="s">
        <v>1055</v>
      </c>
      <c r="B224" s="6">
        <v>46174</v>
      </c>
      <c r="C224" s="8">
        <v>46186</v>
      </c>
      <c r="D224" s="2" t="s">
        <v>136</v>
      </c>
      <c r="E224" s="2" t="s">
        <v>12593</v>
      </c>
      <c r="F224" s="2" t="s">
        <v>12425</v>
      </c>
      <c r="G224" s="2" t="s">
        <v>13049</v>
      </c>
      <c r="H224" s="2" t="s">
        <v>39</v>
      </c>
      <c r="I224" s="9">
        <v>12220.29</v>
      </c>
      <c r="J224" s="7">
        <v>1</v>
      </c>
      <c r="K224" s="9">
        <v>12220.29</v>
      </c>
      <c r="L224" s="14">
        <v>0</v>
      </c>
      <c r="M224" s="2" t="s">
        <v>71</v>
      </c>
      <c r="N224" s="2" t="s">
        <v>12595</v>
      </c>
      <c r="O224" s="2" t="s">
        <v>13050</v>
      </c>
      <c r="P224" s="9">
        <v>0</v>
      </c>
      <c r="Q224" s="9">
        <v>0</v>
      </c>
      <c r="R224" s="2" t="s">
        <v>12603</v>
      </c>
    </row>
    <row r="225" spans="1:18" x14ac:dyDescent="0.25">
      <c r="A225" s="2" t="s">
        <v>1058</v>
      </c>
      <c r="B225" s="6">
        <v>46174</v>
      </c>
      <c r="C225" s="8">
        <v>46187</v>
      </c>
      <c r="D225" s="2" t="s">
        <v>136</v>
      </c>
      <c r="E225" s="2" t="s">
        <v>12593</v>
      </c>
      <c r="F225" s="2" t="s">
        <v>12426</v>
      </c>
      <c r="G225" s="2" t="s">
        <v>13051</v>
      </c>
      <c r="H225" s="2" t="s">
        <v>76</v>
      </c>
      <c r="I225" s="9">
        <v>198292800</v>
      </c>
      <c r="J225" s="7">
        <v>6.2500000000000001E-5</v>
      </c>
      <c r="K225" s="9">
        <v>12393.3</v>
      </c>
      <c r="L225" s="14">
        <v>0</v>
      </c>
      <c r="M225" s="2" t="s">
        <v>71</v>
      </c>
      <c r="N225" s="2" t="s">
        <v>12595</v>
      </c>
      <c r="O225" s="2" t="s">
        <v>13052</v>
      </c>
      <c r="P225" s="9">
        <v>0</v>
      </c>
      <c r="Q225" s="9">
        <v>0</v>
      </c>
      <c r="R225" s="2" t="s">
        <v>12606</v>
      </c>
    </row>
    <row r="226" spans="1:18" x14ac:dyDescent="0.25">
      <c r="A226" s="2" t="s">
        <v>1063</v>
      </c>
      <c r="B226" s="6">
        <v>46174</v>
      </c>
      <c r="C226" s="8">
        <v>46188</v>
      </c>
      <c r="D226" s="2" t="s">
        <v>136</v>
      </c>
      <c r="E226" s="2" t="s">
        <v>12593</v>
      </c>
      <c r="F226" s="2" t="s">
        <v>12427</v>
      </c>
      <c r="G226" s="2" t="s">
        <v>13053</v>
      </c>
      <c r="H226" s="2" t="s">
        <v>70</v>
      </c>
      <c r="I226" s="9">
        <v>18896.706767</v>
      </c>
      <c r="J226" s="7">
        <v>0.66500000000000004</v>
      </c>
      <c r="K226" s="9">
        <v>12566.31</v>
      </c>
      <c r="L226" s="14">
        <v>0</v>
      </c>
      <c r="M226" s="2" t="s">
        <v>71</v>
      </c>
      <c r="N226" s="2" t="s">
        <v>12595</v>
      </c>
      <c r="O226" s="2" t="s">
        <v>13054</v>
      </c>
      <c r="P226" s="9">
        <v>0</v>
      </c>
      <c r="Q226" s="9">
        <v>0</v>
      </c>
      <c r="R226" s="2" t="s">
        <v>12609</v>
      </c>
    </row>
    <row r="227" spans="1:18" x14ac:dyDescent="0.25">
      <c r="A227" s="2" t="s">
        <v>1068</v>
      </c>
      <c r="B227" s="6">
        <v>46174</v>
      </c>
      <c r="C227" s="8">
        <v>46189</v>
      </c>
      <c r="D227" s="2" t="s">
        <v>136</v>
      </c>
      <c r="E227" s="2" t="s">
        <v>12593</v>
      </c>
      <c r="F227" s="2" t="s">
        <v>12428</v>
      </c>
      <c r="G227" s="2" t="s">
        <v>13055</v>
      </c>
      <c r="H227" s="2" t="s">
        <v>39</v>
      </c>
      <c r="I227" s="9">
        <v>12739.32</v>
      </c>
      <c r="J227" s="7">
        <v>1</v>
      </c>
      <c r="K227" s="9">
        <v>12739.32</v>
      </c>
      <c r="L227" s="14">
        <v>0</v>
      </c>
      <c r="M227" s="2" t="s">
        <v>71</v>
      </c>
      <c r="N227" s="2" t="s">
        <v>12595</v>
      </c>
      <c r="O227" s="2" t="s">
        <v>13056</v>
      </c>
      <c r="P227" s="9">
        <v>0</v>
      </c>
      <c r="Q227" s="9">
        <v>0</v>
      </c>
      <c r="R227" s="2" t="s">
        <v>12612</v>
      </c>
    </row>
    <row r="228" spans="1:18" x14ac:dyDescent="0.25">
      <c r="A228" s="2" t="s">
        <v>1071</v>
      </c>
      <c r="B228" s="6">
        <v>46174</v>
      </c>
      <c r="C228" s="8">
        <v>46190</v>
      </c>
      <c r="D228" s="2" t="s">
        <v>136</v>
      </c>
      <c r="E228" s="2" t="s">
        <v>12593</v>
      </c>
      <c r="F228" s="2" t="s">
        <v>12429</v>
      </c>
      <c r="G228" s="2" t="s">
        <v>13057</v>
      </c>
      <c r="H228" s="2" t="s">
        <v>76</v>
      </c>
      <c r="I228" s="9">
        <v>206597280</v>
      </c>
      <c r="J228" s="7">
        <v>6.2500000000000001E-5</v>
      </c>
      <c r="K228" s="9">
        <v>12912.33</v>
      </c>
      <c r="L228" s="14">
        <v>0</v>
      </c>
      <c r="M228" s="2" t="s">
        <v>71</v>
      </c>
      <c r="N228" s="2" t="s">
        <v>12595</v>
      </c>
      <c r="O228" s="2" t="s">
        <v>13058</v>
      </c>
      <c r="P228" s="9">
        <v>0</v>
      </c>
      <c r="Q228" s="9">
        <v>0</v>
      </c>
      <c r="R228" s="2" t="s">
        <v>12615</v>
      </c>
    </row>
    <row r="229" spans="1:18" x14ac:dyDescent="0.25">
      <c r="A229" s="2" t="s">
        <v>1074</v>
      </c>
      <c r="B229" s="6">
        <v>46174</v>
      </c>
      <c r="C229" s="8">
        <v>46191</v>
      </c>
      <c r="D229" s="2" t="s">
        <v>136</v>
      </c>
      <c r="E229" s="2" t="s">
        <v>12593</v>
      </c>
      <c r="F229" s="2" t="s">
        <v>12430</v>
      </c>
      <c r="G229" s="2" t="s">
        <v>13059</v>
      </c>
      <c r="H229" s="2" t="s">
        <v>70</v>
      </c>
      <c r="I229" s="9">
        <v>19677.203008</v>
      </c>
      <c r="J229" s="7">
        <v>0.66500000000000004</v>
      </c>
      <c r="K229" s="9">
        <v>13085.34</v>
      </c>
      <c r="L229" s="14">
        <v>0</v>
      </c>
      <c r="M229" s="2" t="s">
        <v>71</v>
      </c>
      <c r="N229" s="2" t="s">
        <v>12595</v>
      </c>
      <c r="O229" s="2" t="s">
        <v>13060</v>
      </c>
      <c r="P229" s="9">
        <v>0</v>
      </c>
      <c r="Q229" s="9">
        <v>0</v>
      </c>
      <c r="R229" s="2" t="s">
        <v>12618</v>
      </c>
    </row>
    <row r="230" spans="1:18" x14ac:dyDescent="0.25">
      <c r="A230" s="2" t="s">
        <v>1079</v>
      </c>
      <c r="B230" s="6">
        <v>46174</v>
      </c>
      <c r="C230" s="8">
        <v>46192</v>
      </c>
      <c r="D230" s="2" t="s">
        <v>136</v>
      </c>
      <c r="E230" s="2" t="s">
        <v>12593</v>
      </c>
      <c r="F230" s="2" t="s">
        <v>12431</v>
      </c>
      <c r="G230" s="2" t="s">
        <v>13061</v>
      </c>
      <c r="H230" s="2" t="s">
        <v>39</v>
      </c>
      <c r="I230" s="9">
        <v>13258.35</v>
      </c>
      <c r="J230" s="7">
        <v>1</v>
      </c>
      <c r="K230" s="9">
        <v>13258.35</v>
      </c>
      <c r="L230" s="14">
        <v>0</v>
      </c>
      <c r="M230" s="2" t="s">
        <v>71</v>
      </c>
      <c r="N230" s="2" t="s">
        <v>12595</v>
      </c>
      <c r="O230" s="2" t="s">
        <v>13062</v>
      </c>
      <c r="P230" s="9">
        <v>0</v>
      </c>
      <c r="Q230" s="9">
        <v>0</v>
      </c>
      <c r="R230" s="2" t="s">
        <v>12621</v>
      </c>
    </row>
    <row r="231" spans="1:18" x14ac:dyDescent="0.25">
      <c r="A231" s="2" t="s">
        <v>1082</v>
      </c>
      <c r="B231" s="6">
        <v>46174</v>
      </c>
      <c r="C231" s="8">
        <v>46193</v>
      </c>
      <c r="D231" s="2" t="s">
        <v>136</v>
      </c>
      <c r="E231" s="2" t="s">
        <v>12593</v>
      </c>
      <c r="F231" s="2" t="s">
        <v>12432</v>
      </c>
      <c r="G231" s="2" t="s">
        <v>13063</v>
      </c>
      <c r="H231" s="2" t="s">
        <v>76</v>
      </c>
      <c r="I231" s="9">
        <v>214901760</v>
      </c>
      <c r="J231" s="7">
        <v>6.2500000000000001E-5</v>
      </c>
      <c r="K231" s="9">
        <v>13431.36</v>
      </c>
      <c r="L231" s="14">
        <v>0</v>
      </c>
      <c r="M231" s="2" t="s">
        <v>71</v>
      </c>
      <c r="N231" s="2" t="s">
        <v>12595</v>
      </c>
      <c r="O231" s="2" t="s">
        <v>13064</v>
      </c>
      <c r="P231" s="9">
        <v>0</v>
      </c>
      <c r="Q231" s="9">
        <v>0</v>
      </c>
      <c r="R231" s="2" t="s">
        <v>12624</v>
      </c>
    </row>
    <row r="232" spans="1:18" x14ac:dyDescent="0.25">
      <c r="A232" s="2" t="s">
        <v>1085</v>
      </c>
      <c r="B232" s="6">
        <v>46174</v>
      </c>
      <c r="C232" s="8">
        <v>46194</v>
      </c>
      <c r="D232" s="2" t="s">
        <v>136</v>
      </c>
      <c r="E232" s="2" t="s">
        <v>12593</v>
      </c>
      <c r="F232" s="2" t="s">
        <v>12423</v>
      </c>
      <c r="G232" s="2" t="s">
        <v>13065</v>
      </c>
      <c r="H232" s="2" t="s">
        <v>70</v>
      </c>
      <c r="I232" s="9">
        <v>20457.699248000001</v>
      </c>
      <c r="J232" s="7">
        <v>0.66500000000000004</v>
      </c>
      <c r="K232" s="9">
        <v>13604.37</v>
      </c>
      <c r="L232" s="14">
        <v>0</v>
      </c>
      <c r="M232" s="2" t="s">
        <v>71</v>
      </c>
      <c r="N232" s="2" t="s">
        <v>12595</v>
      </c>
      <c r="O232" s="2" t="s">
        <v>13066</v>
      </c>
      <c r="P232" s="9">
        <v>0</v>
      </c>
      <c r="Q232" s="9">
        <v>0</v>
      </c>
      <c r="R232" s="2" t="s">
        <v>12597</v>
      </c>
    </row>
    <row r="233" spans="1:18" x14ac:dyDescent="0.25">
      <c r="A233" s="2" t="s">
        <v>1088</v>
      </c>
      <c r="B233" s="6">
        <v>46174</v>
      </c>
      <c r="C233" s="8">
        <v>46195</v>
      </c>
      <c r="D233" s="2" t="s">
        <v>136</v>
      </c>
      <c r="E233" s="2" t="s">
        <v>12593</v>
      </c>
      <c r="F233" s="2" t="s">
        <v>12424</v>
      </c>
      <c r="G233" s="2" t="s">
        <v>13067</v>
      </c>
      <c r="H233" s="2" t="s">
        <v>39</v>
      </c>
      <c r="I233" s="9">
        <v>13777.38</v>
      </c>
      <c r="J233" s="7">
        <v>1</v>
      </c>
      <c r="K233" s="9">
        <v>13777.38</v>
      </c>
      <c r="L233" s="14">
        <v>0</v>
      </c>
      <c r="M233" s="2" t="s">
        <v>71</v>
      </c>
      <c r="N233" s="2" t="s">
        <v>12595</v>
      </c>
      <c r="O233" s="2" t="s">
        <v>13068</v>
      </c>
      <c r="P233" s="9">
        <v>0</v>
      </c>
      <c r="Q233" s="9">
        <v>0</v>
      </c>
      <c r="R233" s="2" t="s">
        <v>12600</v>
      </c>
    </row>
    <row r="234" spans="1:18" x14ac:dyDescent="0.25">
      <c r="A234" s="2" t="s">
        <v>1091</v>
      </c>
      <c r="B234" s="6">
        <v>46174</v>
      </c>
      <c r="C234" s="8">
        <v>46196</v>
      </c>
      <c r="D234" s="2" t="s">
        <v>136</v>
      </c>
      <c r="E234" s="2" t="s">
        <v>12593</v>
      </c>
      <c r="F234" s="2" t="s">
        <v>12425</v>
      </c>
      <c r="G234" s="2" t="s">
        <v>13069</v>
      </c>
      <c r="H234" s="2" t="s">
        <v>76</v>
      </c>
      <c r="I234" s="9">
        <v>223206240</v>
      </c>
      <c r="J234" s="7">
        <v>6.2500000000000001E-5</v>
      </c>
      <c r="K234" s="9">
        <v>13950.39</v>
      </c>
      <c r="L234" s="14">
        <v>0</v>
      </c>
      <c r="M234" s="2" t="s">
        <v>71</v>
      </c>
      <c r="N234" s="2" t="s">
        <v>12595</v>
      </c>
      <c r="O234" s="2" t="s">
        <v>13070</v>
      </c>
      <c r="P234" s="9">
        <v>0</v>
      </c>
      <c r="Q234" s="9">
        <v>0</v>
      </c>
      <c r="R234" s="2" t="s">
        <v>12603</v>
      </c>
    </row>
    <row r="235" spans="1:18" x14ac:dyDescent="0.25">
      <c r="A235" s="2" t="s">
        <v>1094</v>
      </c>
      <c r="B235" s="6">
        <v>46174</v>
      </c>
      <c r="C235" s="8">
        <v>46197</v>
      </c>
      <c r="D235" s="2" t="s">
        <v>136</v>
      </c>
      <c r="E235" s="2" t="s">
        <v>12593</v>
      </c>
      <c r="F235" s="2" t="s">
        <v>12426</v>
      </c>
      <c r="G235" s="2" t="s">
        <v>13071</v>
      </c>
      <c r="H235" s="2" t="s">
        <v>70</v>
      </c>
      <c r="I235" s="9">
        <v>21238.195489000002</v>
      </c>
      <c r="J235" s="7">
        <v>0.66500000000000004</v>
      </c>
      <c r="K235" s="9">
        <v>14123.4</v>
      </c>
      <c r="L235" s="14">
        <v>0</v>
      </c>
      <c r="M235" s="2" t="s">
        <v>71</v>
      </c>
      <c r="N235" s="2" t="s">
        <v>12595</v>
      </c>
      <c r="O235" s="2" t="s">
        <v>13072</v>
      </c>
      <c r="P235" s="9">
        <v>0</v>
      </c>
      <c r="Q235" s="9">
        <v>0</v>
      </c>
      <c r="R235" s="2" t="s">
        <v>12606</v>
      </c>
    </row>
    <row r="236" spans="1:18" x14ac:dyDescent="0.25">
      <c r="A236" s="2" t="s">
        <v>1099</v>
      </c>
      <c r="B236" s="6">
        <v>46174</v>
      </c>
      <c r="C236" s="8">
        <v>46198</v>
      </c>
      <c r="D236" s="2" t="s">
        <v>136</v>
      </c>
      <c r="E236" s="2" t="s">
        <v>12593</v>
      </c>
      <c r="F236" s="2" t="s">
        <v>12427</v>
      </c>
      <c r="G236" s="2" t="s">
        <v>13073</v>
      </c>
      <c r="H236" s="2" t="s">
        <v>39</v>
      </c>
      <c r="I236" s="9">
        <v>14296.41</v>
      </c>
      <c r="J236" s="7">
        <v>1</v>
      </c>
      <c r="K236" s="9">
        <v>14296.41</v>
      </c>
      <c r="L236" s="14">
        <v>0</v>
      </c>
      <c r="M236" s="2" t="s">
        <v>71</v>
      </c>
      <c r="N236" s="2" t="s">
        <v>12595</v>
      </c>
      <c r="O236" s="2" t="s">
        <v>13074</v>
      </c>
      <c r="P236" s="9">
        <v>0</v>
      </c>
      <c r="Q236" s="9">
        <v>0</v>
      </c>
      <c r="R236" s="2" t="s">
        <v>12609</v>
      </c>
    </row>
    <row r="237" spans="1:18" x14ac:dyDescent="0.25">
      <c r="A237" s="2" t="s">
        <v>1104</v>
      </c>
      <c r="B237" s="6">
        <v>46174</v>
      </c>
      <c r="C237" s="8">
        <v>46199</v>
      </c>
      <c r="D237" s="2" t="s">
        <v>136</v>
      </c>
      <c r="E237" s="2" t="s">
        <v>12593</v>
      </c>
      <c r="F237" s="2" t="s">
        <v>12428</v>
      </c>
      <c r="G237" s="2" t="s">
        <v>13075</v>
      </c>
      <c r="H237" s="2" t="s">
        <v>76</v>
      </c>
      <c r="I237" s="9">
        <v>231510720</v>
      </c>
      <c r="J237" s="7">
        <v>6.2500000000000001E-5</v>
      </c>
      <c r="K237" s="9">
        <v>14469.42</v>
      </c>
      <c r="L237" s="14">
        <v>0</v>
      </c>
      <c r="M237" s="2" t="s">
        <v>71</v>
      </c>
      <c r="N237" s="2" t="s">
        <v>12595</v>
      </c>
      <c r="O237" s="2" t="s">
        <v>13076</v>
      </c>
      <c r="P237" s="9">
        <v>0</v>
      </c>
      <c r="Q237" s="9">
        <v>0</v>
      </c>
      <c r="R237" s="2" t="s">
        <v>12612</v>
      </c>
    </row>
    <row r="238" spans="1:18" x14ac:dyDescent="0.25">
      <c r="A238" s="2" t="s">
        <v>1107</v>
      </c>
      <c r="B238" s="6">
        <v>46174</v>
      </c>
      <c r="C238" s="8">
        <v>46200</v>
      </c>
      <c r="D238" s="2" t="s">
        <v>136</v>
      </c>
      <c r="E238" s="2" t="s">
        <v>12593</v>
      </c>
      <c r="F238" s="2" t="s">
        <v>12429</v>
      </c>
      <c r="G238" s="2" t="s">
        <v>13077</v>
      </c>
      <c r="H238" s="2" t="s">
        <v>70</v>
      </c>
      <c r="I238" s="9">
        <v>22018.691728999998</v>
      </c>
      <c r="J238" s="7">
        <v>0.66500000000000004</v>
      </c>
      <c r="K238" s="9">
        <v>14642.43</v>
      </c>
      <c r="L238" s="14">
        <v>0</v>
      </c>
      <c r="M238" s="2" t="s">
        <v>71</v>
      </c>
      <c r="N238" s="2" t="s">
        <v>12595</v>
      </c>
      <c r="O238" s="2" t="s">
        <v>13078</v>
      </c>
      <c r="P238" s="9">
        <v>0</v>
      </c>
      <c r="Q238" s="9">
        <v>0</v>
      </c>
      <c r="R238" s="2" t="s">
        <v>12615</v>
      </c>
    </row>
    <row r="239" spans="1:18" x14ac:dyDescent="0.25">
      <c r="A239" s="2" t="s">
        <v>1110</v>
      </c>
      <c r="B239" s="6">
        <v>46174</v>
      </c>
      <c r="C239" s="8">
        <v>46201</v>
      </c>
      <c r="D239" s="2" t="s">
        <v>136</v>
      </c>
      <c r="E239" s="2" t="s">
        <v>12593</v>
      </c>
      <c r="F239" s="2" t="s">
        <v>12430</v>
      </c>
      <c r="G239" s="2" t="s">
        <v>13079</v>
      </c>
      <c r="H239" s="2" t="s">
        <v>39</v>
      </c>
      <c r="I239" s="9">
        <v>14815.44</v>
      </c>
      <c r="J239" s="7">
        <v>1</v>
      </c>
      <c r="K239" s="9">
        <v>14815.44</v>
      </c>
      <c r="L239" s="14">
        <v>0</v>
      </c>
      <c r="M239" s="2" t="s">
        <v>71</v>
      </c>
      <c r="N239" s="2" t="s">
        <v>12595</v>
      </c>
      <c r="O239" s="2" t="s">
        <v>13080</v>
      </c>
      <c r="P239" s="9">
        <v>0</v>
      </c>
      <c r="Q239" s="9">
        <v>0</v>
      </c>
      <c r="R239" s="2" t="s">
        <v>12618</v>
      </c>
    </row>
    <row r="240" spans="1:18" x14ac:dyDescent="0.25">
      <c r="A240" s="2" t="s">
        <v>1115</v>
      </c>
      <c r="B240" s="6">
        <v>46174</v>
      </c>
      <c r="C240" s="8">
        <v>46202</v>
      </c>
      <c r="D240" s="2" t="s">
        <v>136</v>
      </c>
      <c r="E240" s="2" t="s">
        <v>12593</v>
      </c>
      <c r="F240" s="2" t="s">
        <v>12431</v>
      </c>
      <c r="G240" s="2" t="s">
        <v>13081</v>
      </c>
      <c r="H240" s="2" t="s">
        <v>76</v>
      </c>
      <c r="I240" s="9">
        <v>15815200</v>
      </c>
      <c r="J240" s="7">
        <v>6.2500000000000001E-5</v>
      </c>
      <c r="K240" s="9">
        <v>988.45</v>
      </c>
      <c r="L240" s="14">
        <v>0</v>
      </c>
      <c r="M240" s="2" t="s">
        <v>71</v>
      </c>
      <c r="N240" s="2" t="s">
        <v>12595</v>
      </c>
      <c r="O240" s="2" t="s">
        <v>13082</v>
      </c>
      <c r="P240" s="9">
        <v>0</v>
      </c>
      <c r="Q240" s="9">
        <v>0</v>
      </c>
      <c r="R240" s="2" t="s">
        <v>12621</v>
      </c>
    </row>
    <row r="241" spans="1:18" x14ac:dyDescent="0.25">
      <c r="A241" s="2" t="s">
        <v>1118</v>
      </c>
      <c r="B241" s="6">
        <v>46174</v>
      </c>
      <c r="C241" s="8">
        <v>46203</v>
      </c>
      <c r="D241" s="2" t="s">
        <v>136</v>
      </c>
      <c r="E241" s="2" t="s">
        <v>12593</v>
      </c>
      <c r="F241" s="2" t="s">
        <v>12432</v>
      </c>
      <c r="G241" s="2" t="s">
        <v>13083</v>
      </c>
      <c r="H241" s="2" t="s">
        <v>70</v>
      </c>
      <c r="I241" s="9">
        <v>1746.5563910000001</v>
      </c>
      <c r="J241" s="7">
        <v>0.66500000000000004</v>
      </c>
      <c r="K241" s="9">
        <v>1161.46</v>
      </c>
      <c r="L241" s="14">
        <v>0</v>
      </c>
      <c r="M241" s="2" t="s">
        <v>71</v>
      </c>
      <c r="N241" s="2" t="s">
        <v>12595</v>
      </c>
      <c r="O241" s="2" t="s">
        <v>13084</v>
      </c>
      <c r="P241" s="9">
        <v>0</v>
      </c>
      <c r="Q241" s="9">
        <v>0</v>
      </c>
      <c r="R241" s="2" t="s">
        <v>12624</v>
      </c>
    </row>
    <row r="242" spans="1:18" x14ac:dyDescent="0.25">
      <c r="A242" s="2" t="s">
        <v>1121</v>
      </c>
      <c r="B242" s="6">
        <v>46174</v>
      </c>
      <c r="C242" s="8">
        <v>46174</v>
      </c>
      <c r="D242" s="2" t="s">
        <v>136</v>
      </c>
      <c r="E242" s="2" t="s">
        <v>12593</v>
      </c>
      <c r="F242" s="2" t="s">
        <v>12423</v>
      </c>
      <c r="G242" s="2" t="s">
        <v>13085</v>
      </c>
      <c r="H242" s="2" t="s">
        <v>39</v>
      </c>
      <c r="I242" s="9">
        <v>1334.47</v>
      </c>
      <c r="J242" s="7">
        <v>1</v>
      </c>
      <c r="K242" s="9">
        <v>1334.47</v>
      </c>
      <c r="L242" s="14">
        <v>0</v>
      </c>
      <c r="M242" s="2" t="s">
        <v>71</v>
      </c>
      <c r="N242" s="2" t="s">
        <v>12595</v>
      </c>
      <c r="O242" s="2" t="s">
        <v>13086</v>
      </c>
      <c r="P242" s="9">
        <v>0</v>
      </c>
      <c r="Q242" s="9">
        <v>0</v>
      </c>
      <c r="R242" s="2" t="s">
        <v>12597</v>
      </c>
    </row>
    <row r="243" spans="1:18" x14ac:dyDescent="0.25">
      <c r="A243" s="2" t="s">
        <v>1124</v>
      </c>
      <c r="B243" s="6">
        <v>46174</v>
      </c>
      <c r="C243" s="8">
        <v>46175</v>
      </c>
      <c r="D243" s="2" t="s">
        <v>136</v>
      </c>
      <c r="E243" s="2" t="s">
        <v>12593</v>
      </c>
      <c r="F243" s="2" t="s">
        <v>12424</v>
      </c>
      <c r="G243" s="2" t="s">
        <v>13087</v>
      </c>
      <c r="H243" s="2" t="s">
        <v>76</v>
      </c>
      <c r="I243" s="9">
        <v>24119680</v>
      </c>
      <c r="J243" s="7">
        <v>6.2500000000000001E-5</v>
      </c>
      <c r="K243" s="9">
        <v>1507.48</v>
      </c>
      <c r="L243" s="14">
        <v>0</v>
      </c>
      <c r="M243" s="2" t="s">
        <v>71</v>
      </c>
      <c r="N243" s="2" t="s">
        <v>12595</v>
      </c>
      <c r="O243" s="2" t="s">
        <v>13088</v>
      </c>
      <c r="P243" s="9">
        <v>0</v>
      </c>
      <c r="Q243" s="9">
        <v>0</v>
      </c>
      <c r="R243" s="2" t="s">
        <v>12600</v>
      </c>
    </row>
    <row r="244" spans="1:18" x14ac:dyDescent="0.25">
      <c r="A244" s="2" t="s">
        <v>1127</v>
      </c>
      <c r="B244" s="6">
        <v>46174</v>
      </c>
      <c r="C244" s="8">
        <v>46176</v>
      </c>
      <c r="D244" s="2" t="s">
        <v>136</v>
      </c>
      <c r="E244" s="2" t="s">
        <v>12593</v>
      </c>
      <c r="F244" s="2" t="s">
        <v>12425</v>
      </c>
      <c r="G244" s="2" t="s">
        <v>13089</v>
      </c>
      <c r="H244" s="2" t="s">
        <v>70</v>
      </c>
      <c r="I244" s="9">
        <v>2527.0526319999999</v>
      </c>
      <c r="J244" s="7">
        <v>0.66500000000000004</v>
      </c>
      <c r="K244" s="9">
        <v>1680.49</v>
      </c>
      <c r="L244" s="14">
        <v>0</v>
      </c>
      <c r="M244" s="2" t="s">
        <v>71</v>
      </c>
      <c r="N244" s="2" t="s">
        <v>12595</v>
      </c>
      <c r="O244" s="2" t="s">
        <v>13090</v>
      </c>
      <c r="P244" s="9">
        <v>0</v>
      </c>
      <c r="Q244" s="9">
        <v>0</v>
      </c>
      <c r="R244" s="2" t="s">
        <v>12603</v>
      </c>
    </row>
    <row r="245" spans="1:18" x14ac:dyDescent="0.25">
      <c r="A245" s="2" t="s">
        <v>1130</v>
      </c>
      <c r="B245" s="6">
        <v>46174</v>
      </c>
      <c r="C245" s="8">
        <v>46177</v>
      </c>
      <c r="D245" s="2" t="s">
        <v>136</v>
      </c>
      <c r="E245" s="2" t="s">
        <v>12593</v>
      </c>
      <c r="F245" s="2" t="s">
        <v>12426</v>
      </c>
      <c r="G245" s="2" t="s">
        <v>13091</v>
      </c>
      <c r="H245" s="2" t="s">
        <v>39</v>
      </c>
      <c r="I245" s="9">
        <v>1853.5</v>
      </c>
      <c r="J245" s="7">
        <v>1</v>
      </c>
      <c r="K245" s="9">
        <v>1853.5</v>
      </c>
      <c r="L245" s="14">
        <v>0</v>
      </c>
      <c r="M245" s="2" t="s">
        <v>71</v>
      </c>
      <c r="N245" s="2" t="s">
        <v>12595</v>
      </c>
      <c r="O245" s="2" t="s">
        <v>13092</v>
      </c>
      <c r="P245" s="9">
        <v>0</v>
      </c>
      <c r="Q245" s="9">
        <v>0</v>
      </c>
      <c r="R245" s="2" t="s">
        <v>12606</v>
      </c>
    </row>
    <row r="246" spans="1:18" x14ac:dyDescent="0.25">
      <c r="A246" s="2" t="s">
        <v>1135</v>
      </c>
      <c r="B246" s="6">
        <v>46174</v>
      </c>
      <c r="C246" s="8">
        <v>46178</v>
      </c>
      <c r="D246" s="2" t="s">
        <v>136</v>
      </c>
      <c r="E246" s="2" t="s">
        <v>12593</v>
      </c>
      <c r="F246" s="2" t="s">
        <v>12427</v>
      </c>
      <c r="G246" s="2" t="s">
        <v>13093</v>
      </c>
      <c r="H246" s="2" t="s">
        <v>76</v>
      </c>
      <c r="I246" s="9">
        <v>32424160</v>
      </c>
      <c r="J246" s="7">
        <v>6.2500000000000001E-5</v>
      </c>
      <c r="K246" s="9">
        <v>2026.51</v>
      </c>
      <c r="L246" s="14">
        <v>0</v>
      </c>
      <c r="M246" s="2" t="s">
        <v>71</v>
      </c>
      <c r="N246" s="2" t="s">
        <v>12595</v>
      </c>
      <c r="O246" s="2" t="s">
        <v>13094</v>
      </c>
      <c r="P246" s="9">
        <v>0</v>
      </c>
      <c r="Q246" s="9">
        <v>0</v>
      </c>
      <c r="R246" s="2" t="s">
        <v>12609</v>
      </c>
    </row>
    <row r="247" spans="1:18" x14ac:dyDescent="0.25">
      <c r="A247" s="2" t="s">
        <v>1140</v>
      </c>
      <c r="B247" s="6">
        <v>46174</v>
      </c>
      <c r="C247" s="8">
        <v>46179</v>
      </c>
      <c r="D247" s="2" t="s">
        <v>136</v>
      </c>
      <c r="E247" s="2" t="s">
        <v>12593</v>
      </c>
      <c r="F247" s="2" t="s">
        <v>12428</v>
      </c>
      <c r="G247" s="2" t="s">
        <v>13095</v>
      </c>
      <c r="H247" s="2" t="s">
        <v>70</v>
      </c>
      <c r="I247" s="9">
        <v>-3307.5488719999998</v>
      </c>
      <c r="J247" s="7">
        <v>0.66500000000000004</v>
      </c>
      <c r="K247" s="9">
        <v>-2199.52</v>
      </c>
      <c r="L247" s="14">
        <v>0</v>
      </c>
      <c r="M247" s="2" t="s">
        <v>71</v>
      </c>
      <c r="N247" s="2" t="s">
        <v>12595</v>
      </c>
      <c r="O247" s="2" t="s">
        <v>13096</v>
      </c>
      <c r="P247" s="9">
        <v>0</v>
      </c>
      <c r="Q247" s="9">
        <v>0</v>
      </c>
      <c r="R247" s="2" t="s">
        <v>12612</v>
      </c>
    </row>
    <row r="248" spans="1:18" x14ac:dyDescent="0.25">
      <c r="A248" s="2" t="s">
        <v>1143</v>
      </c>
      <c r="B248" s="6">
        <v>46174</v>
      </c>
      <c r="C248" s="8">
        <v>46180</v>
      </c>
      <c r="D248" s="2" t="s">
        <v>136</v>
      </c>
      <c r="E248" s="2" t="s">
        <v>12593</v>
      </c>
      <c r="F248" s="2" t="s">
        <v>12429</v>
      </c>
      <c r="G248" s="2" t="s">
        <v>13097</v>
      </c>
      <c r="H248" s="2" t="s">
        <v>39</v>
      </c>
      <c r="I248" s="9">
        <v>2372.5300000000002</v>
      </c>
      <c r="J248" s="7">
        <v>1</v>
      </c>
      <c r="K248" s="9">
        <v>2372.5300000000002</v>
      </c>
      <c r="L248" s="14">
        <v>0</v>
      </c>
      <c r="M248" s="2" t="s">
        <v>71</v>
      </c>
      <c r="N248" s="2" t="s">
        <v>12595</v>
      </c>
      <c r="O248" s="2" t="s">
        <v>13098</v>
      </c>
      <c r="P248" s="9">
        <v>0</v>
      </c>
      <c r="Q248" s="9">
        <v>0</v>
      </c>
      <c r="R248" s="2" t="s">
        <v>12615</v>
      </c>
    </row>
    <row r="249" spans="1:18" x14ac:dyDescent="0.25">
      <c r="A249" s="2" t="s">
        <v>1146</v>
      </c>
      <c r="B249" s="6">
        <v>46174</v>
      </c>
      <c r="C249" s="8">
        <v>46181</v>
      </c>
      <c r="D249" s="2" t="s">
        <v>136</v>
      </c>
      <c r="E249" s="2" t="s">
        <v>12593</v>
      </c>
      <c r="F249" s="2" t="s">
        <v>12430</v>
      </c>
      <c r="G249" s="2" t="s">
        <v>13099</v>
      </c>
      <c r="H249" s="2" t="s">
        <v>76</v>
      </c>
      <c r="I249" s="9">
        <v>40728640</v>
      </c>
      <c r="J249" s="7">
        <v>6.2500000000000001E-5</v>
      </c>
      <c r="K249" s="9">
        <v>2545.54</v>
      </c>
      <c r="L249" s="14">
        <v>0</v>
      </c>
      <c r="M249" s="2" t="s">
        <v>71</v>
      </c>
      <c r="N249" s="2" t="s">
        <v>12595</v>
      </c>
      <c r="O249" s="2" t="s">
        <v>13100</v>
      </c>
      <c r="P249" s="9">
        <v>0</v>
      </c>
      <c r="Q249" s="9">
        <v>0</v>
      </c>
      <c r="R249" s="2" t="s">
        <v>12618</v>
      </c>
    </row>
    <row r="250" spans="1:18" x14ac:dyDescent="0.25">
      <c r="A250" s="2" t="s">
        <v>1151</v>
      </c>
      <c r="B250" s="6">
        <v>46174</v>
      </c>
      <c r="C250" s="8">
        <v>46182</v>
      </c>
      <c r="D250" s="2" t="s">
        <v>136</v>
      </c>
      <c r="E250" s="2" t="s">
        <v>12593</v>
      </c>
      <c r="F250" s="2" t="s">
        <v>12431</v>
      </c>
      <c r="G250" s="2" t="s">
        <v>13101</v>
      </c>
      <c r="H250" s="2" t="s">
        <v>70</v>
      </c>
      <c r="I250" s="9">
        <v>4088.0451130000001</v>
      </c>
      <c r="J250" s="7">
        <v>0.66500000000000004</v>
      </c>
      <c r="K250" s="9">
        <v>2718.55</v>
      </c>
      <c r="L250" s="14">
        <v>0</v>
      </c>
      <c r="M250" s="2" t="s">
        <v>71</v>
      </c>
      <c r="N250" s="2" t="s">
        <v>12595</v>
      </c>
      <c r="O250" s="2" t="s">
        <v>13102</v>
      </c>
      <c r="P250" s="9">
        <v>0</v>
      </c>
      <c r="Q250" s="9">
        <v>0</v>
      </c>
      <c r="R250" s="2" t="s">
        <v>12621</v>
      </c>
    </row>
    <row r="251" spans="1:18" x14ac:dyDescent="0.25">
      <c r="A251" s="2" t="s">
        <v>1154</v>
      </c>
      <c r="B251" s="6">
        <v>46174</v>
      </c>
      <c r="C251" s="8">
        <v>46183</v>
      </c>
      <c r="D251" s="2" t="s">
        <v>136</v>
      </c>
      <c r="E251" s="2" t="s">
        <v>12593</v>
      </c>
      <c r="F251" s="2" t="s">
        <v>12432</v>
      </c>
      <c r="G251" s="2" t="s">
        <v>13103</v>
      </c>
      <c r="H251" s="2" t="s">
        <v>39</v>
      </c>
      <c r="I251" s="9">
        <v>2891.56</v>
      </c>
      <c r="J251" s="7">
        <v>1</v>
      </c>
      <c r="K251" s="9">
        <v>2891.56</v>
      </c>
      <c r="L251" s="14">
        <v>0</v>
      </c>
      <c r="M251" s="2" t="s">
        <v>71</v>
      </c>
      <c r="N251" s="2" t="s">
        <v>12595</v>
      </c>
      <c r="O251" s="2" t="s">
        <v>13104</v>
      </c>
      <c r="P251" s="9">
        <v>0</v>
      </c>
      <c r="Q251" s="9">
        <v>0</v>
      </c>
      <c r="R251" s="2" t="s">
        <v>12624</v>
      </c>
    </row>
    <row r="252" spans="1:18" x14ac:dyDescent="0.25">
      <c r="A252" s="2" t="s">
        <v>1157</v>
      </c>
      <c r="B252" s="6">
        <v>46174</v>
      </c>
      <c r="C252" s="8">
        <v>46184</v>
      </c>
      <c r="D252" s="2" t="s">
        <v>136</v>
      </c>
      <c r="E252" s="2" t="s">
        <v>12593</v>
      </c>
      <c r="F252" s="2" t="s">
        <v>12423</v>
      </c>
      <c r="G252" s="2" t="s">
        <v>13105</v>
      </c>
      <c r="H252" s="2" t="s">
        <v>76</v>
      </c>
      <c r="I252" s="9">
        <v>49033120</v>
      </c>
      <c r="J252" s="7">
        <v>6.2500000000000001E-5</v>
      </c>
      <c r="K252" s="9">
        <v>3064.57</v>
      </c>
      <c r="L252" s="14">
        <v>0</v>
      </c>
      <c r="M252" s="2" t="s">
        <v>71</v>
      </c>
      <c r="N252" s="2" t="s">
        <v>12595</v>
      </c>
      <c r="O252" s="2" t="s">
        <v>13106</v>
      </c>
      <c r="P252" s="9">
        <v>0</v>
      </c>
      <c r="Q252" s="9">
        <v>0</v>
      </c>
      <c r="R252" s="2" t="s">
        <v>12597</v>
      </c>
    </row>
    <row r="253" spans="1:18" x14ac:dyDescent="0.25">
      <c r="A253" s="2" t="s">
        <v>1160</v>
      </c>
      <c r="B253" s="6">
        <v>46174</v>
      </c>
      <c r="C253" s="8">
        <v>46185</v>
      </c>
      <c r="D253" s="2" t="s">
        <v>136</v>
      </c>
      <c r="E253" s="2" t="s">
        <v>12593</v>
      </c>
      <c r="F253" s="2" t="s">
        <v>12424</v>
      </c>
      <c r="G253" s="2" t="s">
        <v>13107</v>
      </c>
      <c r="H253" s="2" t="s">
        <v>70</v>
      </c>
      <c r="I253" s="9">
        <v>4868.5413529999996</v>
      </c>
      <c r="J253" s="7">
        <v>0.66500000000000004</v>
      </c>
      <c r="K253" s="9">
        <v>3237.58</v>
      </c>
      <c r="L253" s="14">
        <v>0</v>
      </c>
      <c r="M253" s="2" t="s">
        <v>71</v>
      </c>
      <c r="N253" s="2" t="s">
        <v>12595</v>
      </c>
      <c r="O253" s="2" t="s">
        <v>13108</v>
      </c>
      <c r="P253" s="9">
        <v>0</v>
      </c>
      <c r="Q253" s="9">
        <v>0</v>
      </c>
      <c r="R253" s="2" t="s">
        <v>12600</v>
      </c>
    </row>
    <row r="254" spans="1:18" x14ac:dyDescent="0.25">
      <c r="A254" s="2" t="s">
        <v>1163</v>
      </c>
      <c r="B254" s="6">
        <v>46174</v>
      </c>
      <c r="C254" s="8">
        <v>46186</v>
      </c>
      <c r="D254" s="2" t="s">
        <v>136</v>
      </c>
      <c r="E254" s="2" t="s">
        <v>12593</v>
      </c>
      <c r="F254" s="2" t="s">
        <v>12425</v>
      </c>
      <c r="G254" s="2" t="s">
        <v>13109</v>
      </c>
      <c r="H254" s="2" t="s">
        <v>39</v>
      </c>
      <c r="I254" s="9">
        <v>3410.59</v>
      </c>
      <c r="J254" s="7">
        <v>1</v>
      </c>
      <c r="K254" s="9">
        <v>3410.59</v>
      </c>
      <c r="L254" s="14">
        <v>0</v>
      </c>
      <c r="M254" s="2" t="s">
        <v>71</v>
      </c>
      <c r="N254" s="2" t="s">
        <v>12595</v>
      </c>
      <c r="O254" s="2" t="s">
        <v>13110</v>
      </c>
      <c r="P254" s="9">
        <v>0</v>
      </c>
      <c r="Q254" s="9">
        <v>0</v>
      </c>
      <c r="R254" s="2" t="s">
        <v>12603</v>
      </c>
    </row>
    <row r="255" spans="1:18" x14ac:dyDescent="0.25">
      <c r="A255" s="2" t="s">
        <v>1166</v>
      </c>
      <c r="B255" s="6">
        <v>46174</v>
      </c>
      <c r="C255" s="8">
        <v>46187</v>
      </c>
      <c r="D255" s="2" t="s">
        <v>136</v>
      </c>
      <c r="E255" s="2" t="s">
        <v>12593</v>
      </c>
      <c r="F255" s="2" t="s">
        <v>12426</v>
      </c>
      <c r="G255" s="2" t="s">
        <v>13111</v>
      </c>
      <c r="H255" s="2" t="s">
        <v>76</v>
      </c>
      <c r="I255" s="9">
        <v>57337600</v>
      </c>
      <c r="J255" s="7">
        <v>6.2500000000000001E-5</v>
      </c>
      <c r="K255" s="9">
        <v>3583.6</v>
      </c>
      <c r="L255" s="14">
        <v>0</v>
      </c>
      <c r="M255" s="2" t="s">
        <v>71</v>
      </c>
      <c r="N255" s="2" t="s">
        <v>12595</v>
      </c>
      <c r="O255" s="2" t="s">
        <v>13112</v>
      </c>
      <c r="P255" s="9">
        <v>0</v>
      </c>
      <c r="Q255" s="9">
        <v>0</v>
      </c>
      <c r="R255" s="2" t="s">
        <v>12606</v>
      </c>
    </row>
    <row r="256" spans="1:18" x14ac:dyDescent="0.25">
      <c r="A256" s="2" t="s">
        <v>1171</v>
      </c>
      <c r="B256" s="6">
        <v>46174</v>
      </c>
      <c r="C256" s="8">
        <v>46188</v>
      </c>
      <c r="D256" s="2" t="s">
        <v>136</v>
      </c>
      <c r="E256" s="2" t="s">
        <v>12593</v>
      </c>
      <c r="F256" s="2" t="s">
        <v>12427</v>
      </c>
      <c r="G256" s="2" t="s">
        <v>13113</v>
      </c>
      <c r="H256" s="2" t="s">
        <v>70</v>
      </c>
      <c r="I256" s="9">
        <v>5649.0375940000004</v>
      </c>
      <c r="J256" s="7">
        <v>0.66500000000000004</v>
      </c>
      <c r="K256" s="9">
        <v>3756.61</v>
      </c>
      <c r="L256" s="14">
        <v>0</v>
      </c>
      <c r="M256" s="2" t="s">
        <v>71</v>
      </c>
      <c r="N256" s="2" t="s">
        <v>12595</v>
      </c>
      <c r="O256" s="2" t="s">
        <v>13114</v>
      </c>
      <c r="P256" s="9">
        <v>0</v>
      </c>
      <c r="Q256" s="9">
        <v>0</v>
      </c>
      <c r="R256" s="2" t="s">
        <v>12609</v>
      </c>
    </row>
    <row r="257" spans="1:18" x14ac:dyDescent="0.25">
      <c r="A257" s="2" t="s">
        <v>1176</v>
      </c>
      <c r="B257" s="6">
        <v>46174</v>
      </c>
      <c r="C257" s="8">
        <v>46189</v>
      </c>
      <c r="D257" s="2" t="s">
        <v>136</v>
      </c>
      <c r="E257" s="2" t="s">
        <v>12593</v>
      </c>
      <c r="F257" s="2" t="s">
        <v>12428</v>
      </c>
      <c r="G257" s="2" t="s">
        <v>13115</v>
      </c>
      <c r="H257" s="2" t="s">
        <v>39</v>
      </c>
      <c r="I257" s="9">
        <v>3929.62</v>
      </c>
      <c r="J257" s="7">
        <v>1</v>
      </c>
      <c r="K257" s="9">
        <v>3929.62</v>
      </c>
      <c r="L257" s="14">
        <v>0</v>
      </c>
      <c r="M257" s="2" t="s">
        <v>71</v>
      </c>
      <c r="N257" s="2" t="s">
        <v>12595</v>
      </c>
      <c r="O257" s="2" t="s">
        <v>13116</v>
      </c>
      <c r="P257" s="9">
        <v>0</v>
      </c>
      <c r="Q257" s="9">
        <v>0</v>
      </c>
      <c r="R257" s="2" t="s">
        <v>12612</v>
      </c>
    </row>
    <row r="258" spans="1:18" x14ac:dyDescent="0.25">
      <c r="A258" s="2" t="s">
        <v>1179</v>
      </c>
      <c r="B258" s="6">
        <v>46174</v>
      </c>
      <c r="C258" s="8">
        <v>46190</v>
      </c>
      <c r="D258" s="2" t="s">
        <v>136</v>
      </c>
      <c r="E258" s="2" t="s">
        <v>12593</v>
      </c>
      <c r="F258" s="2" t="s">
        <v>12429</v>
      </c>
      <c r="G258" s="2" t="s">
        <v>13117</v>
      </c>
      <c r="H258" s="2" t="s">
        <v>76</v>
      </c>
      <c r="I258" s="9">
        <v>65642080</v>
      </c>
      <c r="J258" s="7">
        <v>6.2500000000000001E-5</v>
      </c>
      <c r="K258" s="9">
        <v>4102.63</v>
      </c>
      <c r="L258" s="14">
        <v>0</v>
      </c>
      <c r="M258" s="2" t="s">
        <v>71</v>
      </c>
      <c r="N258" s="2" t="s">
        <v>12595</v>
      </c>
      <c r="O258" s="2" t="s">
        <v>13118</v>
      </c>
      <c r="P258" s="9">
        <v>0</v>
      </c>
      <c r="Q258" s="9">
        <v>0</v>
      </c>
      <c r="R258" s="2" t="s">
        <v>12615</v>
      </c>
    </row>
    <row r="259" spans="1:18" x14ac:dyDescent="0.25">
      <c r="A259" s="2" t="s">
        <v>1182</v>
      </c>
      <c r="B259" s="6">
        <v>46174</v>
      </c>
      <c r="C259" s="8">
        <v>46191</v>
      </c>
      <c r="D259" s="2" t="s">
        <v>136</v>
      </c>
      <c r="E259" s="2" t="s">
        <v>12593</v>
      </c>
      <c r="F259" s="2" t="s">
        <v>12430</v>
      </c>
      <c r="G259" s="2" t="s">
        <v>13119</v>
      </c>
      <c r="H259" s="2" t="s">
        <v>70</v>
      </c>
      <c r="I259" s="9">
        <v>6429.5338350000002</v>
      </c>
      <c r="J259" s="7">
        <v>0.66500000000000004</v>
      </c>
      <c r="K259" s="9">
        <v>4275.6400000000003</v>
      </c>
      <c r="L259" s="14">
        <v>0</v>
      </c>
      <c r="M259" s="2" t="s">
        <v>71</v>
      </c>
      <c r="N259" s="2" t="s">
        <v>12595</v>
      </c>
      <c r="O259" s="2" t="s">
        <v>13120</v>
      </c>
      <c r="P259" s="9">
        <v>0</v>
      </c>
      <c r="Q259" s="9">
        <v>0</v>
      </c>
      <c r="R259" s="2" t="s">
        <v>12618</v>
      </c>
    </row>
    <row r="260" spans="1:18" x14ac:dyDescent="0.25">
      <c r="A260" s="2" t="s">
        <v>1187</v>
      </c>
      <c r="B260" s="6">
        <v>46174</v>
      </c>
      <c r="C260" s="8">
        <v>46192</v>
      </c>
      <c r="D260" s="2" t="s">
        <v>136</v>
      </c>
      <c r="E260" s="2" t="s">
        <v>12593</v>
      </c>
      <c r="F260" s="2" t="s">
        <v>12431</v>
      </c>
      <c r="G260" s="2" t="s">
        <v>13121</v>
      </c>
      <c r="H260" s="2" t="s">
        <v>39</v>
      </c>
      <c r="I260" s="9">
        <v>4448.6499999999996</v>
      </c>
      <c r="J260" s="7">
        <v>1</v>
      </c>
      <c r="K260" s="9">
        <v>4448.6499999999996</v>
      </c>
      <c r="L260" s="14">
        <v>0</v>
      </c>
      <c r="M260" s="2" t="s">
        <v>71</v>
      </c>
      <c r="N260" s="2" t="s">
        <v>12595</v>
      </c>
      <c r="O260" s="2" t="s">
        <v>13122</v>
      </c>
      <c r="P260" s="9">
        <v>0</v>
      </c>
      <c r="Q260" s="9">
        <v>0</v>
      </c>
      <c r="R260" s="2" t="s">
        <v>12621</v>
      </c>
    </row>
    <row r="261" spans="1:18" x14ac:dyDescent="0.25">
      <c r="A261" s="2" t="s">
        <v>1190</v>
      </c>
      <c r="B261" s="6">
        <v>46174</v>
      </c>
      <c r="C261" s="8">
        <v>46193</v>
      </c>
      <c r="D261" s="2" t="s">
        <v>136</v>
      </c>
      <c r="E261" s="2" t="s">
        <v>12593</v>
      </c>
      <c r="F261" s="2" t="s">
        <v>12432</v>
      </c>
      <c r="G261" s="2" t="s">
        <v>13123</v>
      </c>
      <c r="H261" s="2" t="s">
        <v>76</v>
      </c>
      <c r="I261" s="9">
        <v>73946560</v>
      </c>
      <c r="J261" s="7">
        <v>6.2500000000000001E-5</v>
      </c>
      <c r="K261" s="9">
        <v>4621.66</v>
      </c>
      <c r="L261" s="14">
        <v>0</v>
      </c>
      <c r="M261" s="2" t="s">
        <v>71</v>
      </c>
      <c r="N261" s="2" t="s">
        <v>12595</v>
      </c>
      <c r="O261" s="2" t="s">
        <v>13124</v>
      </c>
      <c r="P261" s="9">
        <v>0</v>
      </c>
      <c r="Q261" s="9">
        <v>0</v>
      </c>
      <c r="R261" s="2" t="s">
        <v>12624</v>
      </c>
    </row>
    <row r="262" spans="1:18" x14ac:dyDescent="0.25">
      <c r="A262" s="2" t="s">
        <v>1193</v>
      </c>
      <c r="B262" s="6">
        <v>46174</v>
      </c>
      <c r="C262" s="8">
        <v>46194</v>
      </c>
      <c r="D262" s="2" t="s">
        <v>136</v>
      </c>
      <c r="E262" s="2" t="s">
        <v>12593</v>
      </c>
      <c r="F262" s="2" t="s">
        <v>12423</v>
      </c>
      <c r="G262" s="2" t="s">
        <v>13125</v>
      </c>
      <c r="H262" s="2" t="s">
        <v>70</v>
      </c>
      <c r="I262" s="9">
        <v>7210.0300749999997</v>
      </c>
      <c r="J262" s="7">
        <v>0.66500000000000004</v>
      </c>
      <c r="K262" s="9">
        <v>4794.67</v>
      </c>
      <c r="L262" s="14">
        <v>0</v>
      </c>
      <c r="M262" s="2" t="s">
        <v>71</v>
      </c>
      <c r="N262" s="2" t="s">
        <v>12595</v>
      </c>
      <c r="O262" s="2" t="s">
        <v>13126</v>
      </c>
      <c r="P262" s="9">
        <v>0</v>
      </c>
      <c r="Q262" s="9">
        <v>0</v>
      </c>
      <c r="R262" s="2" t="s">
        <v>12597</v>
      </c>
    </row>
    <row r="263" spans="1:18" x14ac:dyDescent="0.25">
      <c r="A263" s="2" t="s">
        <v>1196</v>
      </c>
      <c r="B263" s="6">
        <v>46174</v>
      </c>
      <c r="C263" s="8">
        <v>46195</v>
      </c>
      <c r="D263" s="2" t="s">
        <v>136</v>
      </c>
      <c r="E263" s="2" t="s">
        <v>12593</v>
      </c>
      <c r="F263" s="2" t="s">
        <v>12424</v>
      </c>
      <c r="G263" s="2" t="s">
        <v>13127</v>
      </c>
      <c r="H263" s="2" t="s">
        <v>39</v>
      </c>
      <c r="I263" s="9">
        <v>4967.68</v>
      </c>
      <c r="J263" s="7">
        <v>1</v>
      </c>
      <c r="K263" s="9">
        <v>4967.68</v>
      </c>
      <c r="L263" s="14">
        <v>0</v>
      </c>
      <c r="M263" s="2" t="s">
        <v>71</v>
      </c>
      <c r="N263" s="2" t="s">
        <v>12595</v>
      </c>
      <c r="O263" s="2" t="s">
        <v>13128</v>
      </c>
      <c r="P263" s="9">
        <v>0</v>
      </c>
      <c r="Q263" s="9">
        <v>0</v>
      </c>
      <c r="R263" s="2" t="s">
        <v>12600</v>
      </c>
    </row>
    <row r="264" spans="1:18" x14ac:dyDescent="0.25">
      <c r="A264" s="2" t="s">
        <v>1199</v>
      </c>
      <c r="B264" s="6">
        <v>46174</v>
      </c>
      <c r="C264" s="8">
        <v>46196</v>
      </c>
      <c r="D264" s="2" t="s">
        <v>136</v>
      </c>
      <c r="E264" s="2" t="s">
        <v>12593</v>
      </c>
      <c r="F264" s="2" t="s">
        <v>12425</v>
      </c>
      <c r="G264" s="2" t="s">
        <v>13129</v>
      </c>
      <c r="H264" s="2" t="s">
        <v>76</v>
      </c>
      <c r="I264" s="9">
        <v>82251040</v>
      </c>
      <c r="J264" s="7">
        <v>6.2500000000000001E-5</v>
      </c>
      <c r="K264" s="9">
        <v>5140.6899999999996</v>
      </c>
      <c r="L264" s="14">
        <v>0</v>
      </c>
      <c r="M264" s="2" t="s">
        <v>71</v>
      </c>
      <c r="N264" s="2" t="s">
        <v>12595</v>
      </c>
      <c r="O264" s="2" t="s">
        <v>13130</v>
      </c>
      <c r="P264" s="9">
        <v>0</v>
      </c>
      <c r="Q264" s="9">
        <v>0</v>
      </c>
      <c r="R264" s="2" t="s">
        <v>12603</v>
      </c>
    </row>
    <row r="265" spans="1:18" x14ac:dyDescent="0.25">
      <c r="A265" s="2" t="s">
        <v>1202</v>
      </c>
      <c r="B265" s="6">
        <v>46174</v>
      </c>
      <c r="C265" s="8">
        <v>46197</v>
      </c>
      <c r="D265" s="2" t="s">
        <v>136</v>
      </c>
      <c r="E265" s="2" t="s">
        <v>12593</v>
      </c>
      <c r="F265" s="2" t="s">
        <v>12426</v>
      </c>
      <c r="G265" s="2" t="s">
        <v>13131</v>
      </c>
      <c r="H265" s="2" t="s">
        <v>70</v>
      </c>
      <c r="I265" s="9">
        <v>7990.5263160000004</v>
      </c>
      <c r="J265" s="7">
        <v>0.66500000000000004</v>
      </c>
      <c r="K265" s="9">
        <v>5313.7</v>
      </c>
      <c r="L265" s="14">
        <v>0</v>
      </c>
      <c r="M265" s="2" t="s">
        <v>71</v>
      </c>
      <c r="N265" s="2" t="s">
        <v>12595</v>
      </c>
      <c r="O265" s="2" t="s">
        <v>13132</v>
      </c>
      <c r="P265" s="9">
        <v>0</v>
      </c>
      <c r="Q265" s="9">
        <v>0</v>
      </c>
      <c r="R265" s="2" t="s">
        <v>12606</v>
      </c>
    </row>
    <row r="266" spans="1:18" x14ac:dyDescent="0.25">
      <c r="A266" s="2" t="s">
        <v>1207</v>
      </c>
      <c r="B266" s="6">
        <v>46174</v>
      </c>
      <c r="C266" s="8">
        <v>46198</v>
      </c>
      <c r="D266" s="2" t="s">
        <v>136</v>
      </c>
      <c r="E266" s="2" t="s">
        <v>12593</v>
      </c>
      <c r="F266" s="2" t="s">
        <v>12427</v>
      </c>
      <c r="G266" s="2" t="s">
        <v>13133</v>
      </c>
      <c r="H266" s="2" t="s">
        <v>39</v>
      </c>
      <c r="I266" s="9">
        <v>5486.71</v>
      </c>
      <c r="J266" s="7">
        <v>1</v>
      </c>
      <c r="K266" s="9">
        <v>5486.71</v>
      </c>
      <c r="L266" s="14">
        <v>0</v>
      </c>
      <c r="M266" s="2" t="s">
        <v>71</v>
      </c>
      <c r="N266" s="2" t="s">
        <v>12595</v>
      </c>
      <c r="O266" s="2" t="s">
        <v>13134</v>
      </c>
      <c r="P266" s="9">
        <v>0</v>
      </c>
      <c r="Q266" s="9">
        <v>0</v>
      </c>
      <c r="R266" s="2" t="s">
        <v>12609</v>
      </c>
    </row>
    <row r="267" spans="1:18" x14ac:dyDescent="0.25">
      <c r="A267" s="2" t="s">
        <v>1212</v>
      </c>
      <c r="B267" s="6">
        <v>46174</v>
      </c>
      <c r="C267" s="8">
        <v>46199</v>
      </c>
      <c r="D267" s="2" t="s">
        <v>136</v>
      </c>
      <c r="E267" s="2" t="s">
        <v>12593</v>
      </c>
      <c r="F267" s="2" t="s">
        <v>12428</v>
      </c>
      <c r="G267" s="2" t="s">
        <v>13135</v>
      </c>
      <c r="H267" s="2" t="s">
        <v>76</v>
      </c>
      <c r="I267" s="9">
        <v>90555520</v>
      </c>
      <c r="J267" s="7">
        <v>6.2500000000000001E-5</v>
      </c>
      <c r="K267" s="9">
        <v>5659.72</v>
      </c>
      <c r="L267" s="14">
        <v>0</v>
      </c>
      <c r="M267" s="2" t="s">
        <v>71</v>
      </c>
      <c r="N267" s="2" t="s">
        <v>12595</v>
      </c>
      <c r="O267" s="2" t="s">
        <v>13136</v>
      </c>
      <c r="P267" s="9">
        <v>0</v>
      </c>
      <c r="Q267" s="9">
        <v>0</v>
      </c>
      <c r="R267" s="2" t="s">
        <v>12612</v>
      </c>
    </row>
    <row r="268" spans="1:18" x14ac:dyDescent="0.25">
      <c r="A268" s="2" t="s">
        <v>1215</v>
      </c>
      <c r="B268" s="6">
        <v>46174</v>
      </c>
      <c r="C268" s="8">
        <v>46200</v>
      </c>
      <c r="D268" s="2" t="s">
        <v>136</v>
      </c>
      <c r="E268" s="2" t="s">
        <v>12593</v>
      </c>
      <c r="F268" s="2" t="s">
        <v>12429</v>
      </c>
      <c r="G268" s="2" t="s">
        <v>13137</v>
      </c>
      <c r="H268" s="2" t="s">
        <v>70</v>
      </c>
      <c r="I268" s="9">
        <v>8771.0225559999999</v>
      </c>
      <c r="J268" s="7">
        <v>0.66500000000000004</v>
      </c>
      <c r="K268" s="9">
        <v>5832.73</v>
      </c>
      <c r="L268" s="14">
        <v>0</v>
      </c>
      <c r="M268" s="2" t="s">
        <v>71</v>
      </c>
      <c r="N268" s="2" t="s">
        <v>12595</v>
      </c>
      <c r="O268" s="2" t="s">
        <v>13138</v>
      </c>
      <c r="P268" s="9">
        <v>0</v>
      </c>
      <c r="Q268" s="9">
        <v>0</v>
      </c>
      <c r="R268" s="2" t="s">
        <v>12615</v>
      </c>
    </row>
    <row r="269" spans="1:18" x14ac:dyDescent="0.25">
      <c r="A269" s="2" t="s">
        <v>1218</v>
      </c>
      <c r="B269" s="6">
        <v>46174</v>
      </c>
      <c r="C269" s="8">
        <v>46201</v>
      </c>
      <c r="D269" s="2" t="s">
        <v>136</v>
      </c>
      <c r="E269" s="2" t="s">
        <v>12593</v>
      </c>
      <c r="F269" s="2" t="s">
        <v>12430</v>
      </c>
      <c r="G269" s="2" t="s">
        <v>13139</v>
      </c>
      <c r="H269" s="2" t="s">
        <v>39</v>
      </c>
      <c r="I269" s="9">
        <v>6005.74</v>
      </c>
      <c r="J269" s="7">
        <v>1</v>
      </c>
      <c r="K269" s="9">
        <v>6005.74</v>
      </c>
      <c r="L269" s="14">
        <v>0</v>
      </c>
      <c r="M269" s="2" t="s">
        <v>71</v>
      </c>
      <c r="N269" s="2" t="s">
        <v>12595</v>
      </c>
      <c r="O269" s="2" t="s">
        <v>13140</v>
      </c>
      <c r="P269" s="9">
        <v>0</v>
      </c>
      <c r="Q269" s="9">
        <v>0</v>
      </c>
      <c r="R269" s="2" t="s">
        <v>12618</v>
      </c>
    </row>
    <row r="270" spans="1:18" x14ac:dyDescent="0.25">
      <c r="A270" s="2" t="s">
        <v>1223</v>
      </c>
      <c r="B270" s="6">
        <v>46174</v>
      </c>
      <c r="C270" s="8">
        <v>46202</v>
      </c>
      <c r="D270" s="2" t="s">
        <v>136</v>
      </c>
      <c r="E270" s="2" t="s">
        <v>12593</v>
      </c>
      <c r="F270" s="2" t="s">
        <v>12431</v>
      </c>
      <c r="G270" s="2" t="s">
        <v>13141</v>
      </c>
      <c r="H270" s="2" t="s">
        <v>76</v>
      </c>
      <c r="I270" s="9">
        <v>98860000</v>
      </c>
      <c r="J270" s="7">
        <v>6.2500000000000001E-5</v>
      </c>
      <c r="K270" s="9">
        <v>6178.75</v>
      </c>
      <c r="L270" s="14">
        <v>0</v>
      </c>
      <c r="M270" s="2" t="s">
        <v>71</v>
      </c>
      <c r="N270" s="2" t="s">
        <v>12595</v>
      </c>
      <c r="O270" s="2" t="s">
        <v>13142</v>
      </c>
      <c r="P270" s="9">
        <v>0</v>
      </c>
      <c r="Q270" s="9">
        <v>0</v>
      </c>
      <c r="R270" s="2" t="s">
        <v>12621</v>
      </c>
    </row>
    <row r="271" spans="1:18" x14ac:dyDescent="0.25">
      <c r="A271" s="2" t="s">
        <v>1226</v>
      </c>
      <c r="B271" s="6">
        <v>46174</v>
      </c>
      <c r="C271" s="8">
        <v>46203</v>
      </c>
      <c r="D271" s="2" t="s">
        <v>136</v>
      </c>
      <c r="E271" s="2" t="s">
        <v>12593</v>
      </c>
      <c r="F271" s="2" t="s">
        <v>12432</v>
      </c>
      <c r="G271" s="2" t="s">
        <v>13143</v>
      </c>
      <c r="H271" s="2" t="s">
        <v>70</v>
      </c>
      <c r="I271" s="9">
        <v>9551.5187970000006</v>
      </c>
      <c r="J271" s="7">
        <v>0.66500000000000004</v>
      </c>
      <c r="K271" s="9">
        <v>6351.76</v>
      </c>
      <c r="L271" s="14">
        <v>0</v>
      </c>
      <c r="M271" s="2" t="s">
        <v>71</v>
      </c>
      <c r="N271" s="2" t="s">
        <v>12595</v>
      </c>
      <c r="O271" s="2" t="s">
        <v>13144</v>
      </c>
      <c r="P271" s="9">
        <v>0</v>
      </c>
      <c r="Q271" s="9">
        <v>0</v>
      </c>
      <c r="R271" s="2" t="s">
        <v>12624</v>
      </c>
    </row>
    <row r="272" spans="1:18" x14ac:dyDescent="0.25">
      <c r="A272" s="2" t="s">
        <v>1229</v>
      </c>
      <c r="B272" s="6">
        <v>46174</v>
      </c>
      <c r="C272" s="8">
        <v>46174</v>
      </c>
      <c r="D272" s="2" t="s">
        <v>136</v>
      </c>
      <c r="E272" s="2" t="s">
        <v>12593</v>
      </c>
      <c r="F272" s="2" t="s">
        <v>12423</v>
      </c>
      <c r="G272" s="2" t="s">
        <v>13145</v>
      </c>
      <c r="H272" s="2" t="s">
        <v>39</v>
      </c>
      <c r="I272" s="9">
        <v>6524.77</v>
      </c>
      <c r="J272" s="7">
        <v>1</v>
      </c>
      <c r="K272" s="9">
        <v>6524.77</v>
      </c>
      <c r="L272" s="14">
        <v>0</v>
      </c>
      <c r="M272" s="2" t="s">
        <v>71</v>
      </c>
      <c r="N272" s="2" t="s">
        <v>12595</v>
      </c>
      <c r="O272" s="2" t="s">
        <v>13146</v>
      </c>
      <c r="P272" s="9">
        <v>0</v>
      </c>
      <c r="Q272" s="9">
        <v>0</v>
      </c>
      <c r="R272" s="2" t="s">
        <v>12597</v>
      </c>
    </row>
    <row r="273" spans="1:18" x14ac:dyDescent="0.25">
      <c r="A273" s="2" t="s">
        <v>1232</v>
      </c>
      <c r="B273" s="6">
        <v>46174</v>
      </c>
      <c r="C273" s="8">
        <v>46175</v>
      </c>
      <c r="D273" s="2" t="s">
        <v>136</v>
      </c>
      <c r="E273" s="2" t="s">
        <v>12593</v>
      </c>
      <c r="F273" s="2" t="s">
        <v>12424</v>
      </c>
      <c r="G273" s="2" t="s">
        <v>13147</v>
      </c>
      <c r="H273" s="2" t="s">
        <v>76</v>
      </c>
      <c r="I273" s="9">
        <v>107164480</v>
      </c>
      <c r="J273" s="7">
        <v>6.2500000000000001E-5</v>
      </c>
      <c r="K273" s="9">
        <v>6697.78</v>
      </c>
      <c r="L273" s="14">
        <v>0</v>
      </c>
      <c r="M273" s="2" t="s">
        <v>71</v>
      </c>
      <c r="N273" s="2" t="s">
        <v>12595</v>
      </c>
      <c r="O273" s="2" t="s">
        <v>13148</v>
      </c>
      <c r="P273" s="9">
        <v>0</v>
      </c>
      <c r="Q273" s="9">
        <v>0</v>
      </c>
      <c r="R273" s="2" t="s">
        <v>12600</v>
      </c>
    </row>
    <row r="274" spans="1:18" x14ac:dyDescent="0.25">
      <c r="A274" s="2" t="s">
        <v>1235</v>
      </c>
      <c r="B274" s="6">
        <v>46174</v>
      </c>
      <c r="C274" s="8">
        <v>46176</v>
      </c>
      <c r="D274" s="2" t="s">
        <v>136</v>
      </c>
      <c r="E274" s="2" t="s">
        <v>12593</v>
      </c>
      <c r="F274" s="2" t="s">
        <v>12425</v>
      </c>
      <c r="G274" s="2" t="s">
        <v>13149</v>
      </c>
      <c r="H274" s="2" t="s">
        <v>70</v>
      </c>
      <c r="I274" s="9">
        <v>10332.015038</v>
      </c>
      <c r="J274" s="7">
        <v>0.66500000000000004</v>
      </c>
      <c r="K274" s="9">
        <v>6870.79</v>
      </c>
      <c r="L274" s="14">
        <v>0</v>
      </c>
      <c r="M274" s="2" t="s">
        <v>71</v>
      </c>
      <c r="N274" s="2" t="s">
        <v>12595</v>
      </c>
      <c r="O274" s="2" t="s">
        <v>13150</v>
      </c>
      <c r="P274" s="9">
        <v>0</v>
      </c>
      <c r="Q274" s="9">
        <v>0</v>
      </c>
      <c r="R274" s="2" t="s">
        <v>12603</v>
      </c>
    </row>
    <row r="275" spans="1:18" x14ac:dyDescent="0.25">
      <c r="A275" s="2" t="s">
        <v>1238</v>
      </c>
      <c r="B275" s="6">
        <v>46174</v>
      </c>
      <c r="C275" s="8">
        <v>46177</v>
      </c>
      <c r="D275" s="2" t="s">
        <v>136</v>
      </c>
      <c r="E275" s="2" t="s">
        <v>12593</v>
      </c>
      <c r="F275" s="2" t="s">
        <v>12426</v>
      </c>
      <c r="G275" s="2" t="s">
        <v>13151</v>
      </c>
      <c r="H275" s="2" t="s">
        <v>39</v>
      </c>
      <c r="I275" s="9">
        <v>7043.8</v>
      </c>
      <c r="J275" s="7">
        <v>1</v>
      </c>
      <c r="K275" s="9">
        <v>7043.8</v>
      </c>
      <c r="L275" s="14">
        <v>0</v>
      </c>
      <c r="M275" s="2" t="s">
        <v>71</v>
      </c>
      <c r="N275" s="2" t="s">
        <v>12595</v>
      </c>
      <c r="O275" s="2" t="s">
        <v>13152</v>
      </c>
      <c r="P275" s="9">
        <v>0</v>
      </c>
      <c r="Q275" s="9">
        <v>0</v>
      </c>
      <c r="R275" s="2" t="s">
        <v>12606</v>
      </c>
    </row>
    <row r="276" spans="1:18" x14ac:dyDescent="0.25">
      <c r="A276" s="2" t="s">
        <v>1243</v>
      </c>
      <c r="B276" s="6">
        <v>46174</v>
      </c>
      <c r="C276" s="8">
        <v>46178</v>
      </c>
      <c r="D276" s="2" t="s">
        <v>136</v>
      </c>
      <c r="E276" s="2" t="s">
        <v>12593</v>
      </c>
      <c r="F276" s="2" t="s">
        <v>12427</v>
      </c>
      <c r="G276" s="2" t="s">
        <v>13153</v>
      </c>
      <c r="H276" s="2" t="s">
        <v>76</v>
      </c>
      <c r="I276" s="9">
        <v>115468960</v>
      </c>
      <c r="J276" s="7">
        <v>6.2500000000000001E-5</v>
      </c>
      <c r="K276" s="9">
        <v>7216.81</v>
      </c>
      <c r="L276" s="14">
        <v>0</v>
      </c>
      <c r="M276" s="2" t="s">
        <v>71</v>
      </c>
      <c r="N276" s="2" t="s">
        <v>12595</v>
      </c>
      <c r="O276" s="2" t="s">
        <v>13154</v>
      </c>
      <c r="P276" s="9">
        <v>0</v>
      </c>
      <c r="Q276" s="9">
        <v>0</v>
      </c>
      <c r="R276" s="2" t="s">
        <v>12609</v>
      </c>
    </row>
    <row r="277" spans="1:18" x14ac:dyDescent="0.25">
      <c r="A277" s="2" t="s">
        <v>1248</v>
      </c>
      <c r="B277" s="6">
        <v>46174</v>
      </c>
      <c r="C277" s="8">
        <v>46179</v>
      </c>
      <c r="D277" s="2" t="s">
        <v>136</v>
      </c>
      <c r="E277" s="2" t="s">
        <v>12593</v>
      </c>
      <c r="F277" s="2" t="s">
        <v>12428</v>
      </c>
      <c r="G277" s="2" t="s">
        <v>13155</v>
      </c>
      <c r="H277" s="2" t="s">
        <v>70</v>
      </c>
      <c r="I277" s="9">
        <v>11112.511278</v>
      </c>
      <c r="J277" s="7">
        <v>0.66500000000000004</v>
      </c>
      <c r="K277" s="9">
        <v>7389.82</v>
      </c>
      <c r="L277" s="14">
        <v>0</v>
      </c>
      <c r="M277" s="2" t="s">
        <v>71</v>
      </c>
      <c r="N277" s="2" t="s">
        <v>12595</v>
      </c>
      <c r="O277" s="2" t="s">
        <v>13156</v>
      </c>
      <c r="P277" s="9">
        <v>0</v>
      </c>
      <c r="Q277" s="9">
        <v>0</v>
      </c>
      <c r="R277" s="2" t="s">
        <v>12612</v>
      </c>
    </row>
    <row r="278" spans="1:18" x14ac:dyDescent="0.25">
      <c r="A278" s="2" t="s">
        <v>1251</v>
      </c>
      <c r="B278" s="6">
        <v>46174</v>
      </c>
      <c r="C278" s="8">
        <v>46180</v>
      </c>
      <c r="D278" s="2" t="s">
        <v>136</v>
      </c>
      <c r="E278" s="2" t="s">
        <v>12593</v>
      </c>
      <c r="F278" s="2" t="s">
        <v>12429</v>
      </c>
      <c r="G278" s="2" t="s">
        <v>13157</v>
      </c>
      <c r="H278" s="2" t="s">
        <v>39</v>
      </c>
      <c r="I278" s="9">
        <v>7562.83</v>
      </c>
      <c r="J278" s="7">
        <v>1</v>
      </c>
      <c r="K278" s="9">
        <v>7562.83</v>
      </c>
      <c r="L278" s="14">
        <v>0</v>
      </c>
      <c r="M278" s="2" t="s">
        <v>71</v>
      </c>
      <c r="N278" s="2" t="s">
        <v>12595</v>
      </c>
      <c r="O278" s="2" t="s">
        <v>13158</v>
      </c>
      <c r="P278" s="9">
        <v>0</v>
      </c>
      <c r="Q278" s="9">
        <v>0</v>
      </c>
      <c r="R278" s="2" t="s">
        <v>12615</v>
      </c>
    </row>
    <row r="279" spans="1:18" x14ac:dyDescent="0.25">
      <c r="A279" s="2" t="s">
        <v>1254</v>
      </c>
      <c r="B279" s="6">
        <v>46174</v>
      </c>
      <c r="C279" s="8">
        <v>46181</v>
      </c>
      <c r="D279" s="2" t="s">
        <v>136</v>
      </c>
      <c r="E279" s="2" t="s">
        <v>12593</v>
      </c>
      <c r="F279" s="2" t="s">
        <v>12430</v>
      </c>
      <c r="G279" s="2" t="s">
        <v>13159</v>
      </c>
      <c r="H279" s="2" t="s">
        <v>76</v>
      </c>
      <c r="I279" s="9">
        <v>123773440</v>
      </c>
      <c r="J279" s="7">
        <v>6.2500000000000001E-5</v>
      </c>
      <c r="K279" s="9">
        <v>7735.84</v>
      </c>
      <c r="L279" s="14">
        <v>0</v>
      </c>
      <c r="M279" s="2" t="s">
        <v>71</v>
      </c>
      <c r="N279" s="2" t="s">
        <v>12595</v>
      </c>
      <c r="O279" s="2" t="s">
        <v>13160</v>
      </c>
      <c r="P279" s="9">
        <v>0</v>
      </c>
      <c r="Q279" s="9">
        <v>0</v>
      </c>
      <c r="R279" s="2" t="s">
        <v>12618</v>
      </c>
    </row>
    <row r="280" spans="1:18" x14ac:dyDescent="0.25">
      <c r="A280" s="2" t="s">
        <v>1259</v>
      </c>
      <c r="B280" s="6">
        <v>46174</v>
      </c>
      <c r="C280" s="8">
        <v>46182</v>
      </c>
      <c r="D280" s="2" t="s">
        <v>136</v>
      </c>
      <c r="E280" s="2" t="s">
        <v>12593</v>
      </c>
      <c r="F280" s="2" t="s">
        <v>12431</v>
      </c>
      <c r="G280" s="2" t="s">
        <v>13161</v>
      </c>
      <c r="H280" s="2" t="s">
        <v>70</v>
      </c>
      <c r="I280" s="9">
        <v>11893.007519000001</v>
      </c>
      <c r="J280" s="7">
        <v>0.66500000000000004</v>
      </c>
      <c r="K280" s="9">
        <v>7908.85</v>
      </c>
      <c r="L280" s="14">
        <v>0</v>
      </c>
      <c r="M280" s="2" t="s">
        <v>71</v>
      </c>
      <c r="N280" s="2" t="s">
        <v>12595</v>
      </c>
      <c r="O280" s="2" t="s">
        <v>13162</v>
      </c>
      <c r="P280" s="9">
        <v>0</v>
      </c>
      <c r="Q280" s="9">
        <v>0</v>
      </c>
      <c r="R280" s="2" t="s">
        <v>12621</v>
      </c>
    </row>
    <row r="281" spans="1:18" x14ac:dyDescent="0.25">
      <c r="A281" s="2" t="s">
        <v>1262</v>
      </c>
      <c r="B281" s="6">
        <v>46174</v>
      </c>
      <c r="C281" s="8">
        <v>46183</v>
      </c>
      <c r="D281" s="2" t="s">
        <v>136</v>
      </c>
      <c r="E281" s="2" t="s">
        <v>12593</v>
      </c>
      <c r="F281" s="2" t="s">
        <v>12432</v>
      </c>
      <c r="G281" s="2" t="s">
        <v>13163</v>
      </c>
      <c r="H281" s="2" t="s">
        <v>39</v>
      </c>
      <c r="I281" s="9">
        <v>8081.86</v>
      </c>
      <c r="J281" s="7">
        <v>1</v>
      </c>
      <c r="K281" s="9">
        <v>8081.86</v>
      </c>
      <c r="L281" s="14">
        <v>0</v>
      </c>
      <c r="M281" s="2" t="s">
        <v>71</v>
      </c>
      <c r="N281" s="2" t="s">
        <v>12595</v>
      </c>
      <c r="O281" s="2" t="s">
        <v>13164</v>
      </c>
      <c r="P281" s="9">
        <v>0</v>
      </c>
      <c r="Q281" s="9">
        <v>0</v>
      </c>
      <c r="R281" s="2" t="s">
        <v>12624</v>
      </c>
    </row>
    <row r="282" spans="1:18" x14ac:dyDescent="0.25">
      <c r="A282" s="2" t="s">
        <v>1265</v>
      </c>
      <c r="B282" s="6">
        <v>46174</v>
      </c>
      <c r="C282" s="8">
        <v>46184</v>
      </c>
      <c r="D282" s="2" t="s">
        <v>136</v>
      </c>
      <c r="E282" s="2" t="s">
        <v>12593</v>
      </c>
      <c r="F282" s="2" t="s">
        <v>12423</v>
      </c>
      <c r="G282" s="2" t="s">
        <v>13165</v>
      </c>
      <c r="H282" s="2" t="s">
        <v>76</v>
      </c>
      <c r="I282" s="9">
        <v>132077920</v>
      </c>
      <c r="J282" s="7">
        <v>6.2500000000000001E-5</v>
      </c>
      <c r="K282" s="9">
        <v>8254.8700000000008</v>
      </c>
      <c r="L282" s="14">
        <v>0</v>
      </c>
      <c r="M282" s="2" t="s">
        <v>71</v>
      </c>
      <c r="N282" s="2" t="s">
        <v>12595</v>
      </c>
      <c r="O282" s="2" t="s">
        <v>13166</v>
      </c>
      <c r="P282" s="9">
        <v>0</v>
      </c>
      <c r="Q282" s="9">
        <v>0</v>
      </c>
      <c r="R282" s="2" t="s">
        <v>12597</v>
      </c>
    </row>
    <row r="283" spans="1:18" x14ac:dyDescent="0.25">
      <c r="A283" s="2" t="s">
        <v>1268</v>
      </c>
      <c r="B283" s="6">
        <v>46174</v>
      </c>
      <c r="C283" s="8">
        <v>46185</v>
      </c>
      <c r="D283" s="2" t="s">
        <v>136</v>
      </c>
      <c r="E283" s="2" t="s">
        <v>12593</v>
      </c>
      <c r="F283" s="2" t="s">
        <v>12424</v>
      </c>
      <c r="G283" s="2" t="s">
        <v>13167</v>
      </c>
      <c r="H283" s="2" t="s">
        <v>70</v>
      </c>
      <c r="I283" s="9">
        <v>12673.503758999999</v>
      </c>
      <c r="J283" s="7">
        <v>0.66500000000000004</v>
      </c>
      <c r="K283" s="9">
        <v>8427.8799999999992</v>
      </c>
      <c r="L283" s="14">
        <v>0</v>
      </c>
      <c r="M283" s="2" t="s">
        <v>71</v>
      </c>
      <c r="N283" s="2" t="s">
        <v>12595</v>
      </c>
      <c r="O283" s="2" t="s">
        <v>13168</v>
      </c>
      <c r="P283" s="9">
        <v>0</v>
      </c>
      <c r="Q283" s="9">
        <v>0</v>
      </c>
      <c r="R283" s="2" t="s">
        <v>12600</v>
      </c>
    </row>
    <row r="284" spans="1:18" x14ac:dyDescent="0.25">
      <c r="A284" s="2" t="s">
        <v>1271</v>
      </c>
      <c r="B284" s="6">
        <v>46174</v>
      </c>
      <c r="C284" s="8">
        <v>46186</v>
      </c>
      <c r="D284" s="2" t="s">
        <v>136</v>
      </c>
      <c r="E284" s="2" t="s">
        <v>12593</v>
      </c>
      <c r="F284" s="2" t="s">
        <v>12425</v>
      </c>
      <c r="G284" s="2" t="s">
        <v>13169</v>
      </c>
      <c r="H284" s="2" t="s">
        <v>39</v>
      </c>
      <c r="I284" s="9">
        <v>8600.89</v>
      </c>
      <c r="J284" s="7">
        <v>1</v>
      </c>
      <c r="K284" s="9">
        <v>8600.89</v>
      </c>
      <c r="L284" s="14">
        <v>0</v>
      </c>
      <c r="M284" s="2" t="s">
        <v>71</v>
      </c>
      <c r="N284" s="2" t="s">
        <v>12595</v>
      </c>
      <c r="O284" s="2" t="s">
        <v>13170</v>
      </c>
      <c r="P284" s="9">
        <v>0</v>
      </c>
      <c r="Q284" s="9">
        <v>0</v>
      </c>
      <c r="R284" s="2" t="s">
        <v>12603</v>
      </c>
    </row>
    <row r="285" spans="1:18" x14ac:dyDescent="0.25">
      <c r="A285" s="2" t="s">
        <v>1274</v>
      </c>
      <c r="B285" s="6">
        <v>46174</v>
      </c>
      <c r="C285" s="8">
        <v>46187</v>
      </c>
      <c r="D285" s="2" t="s">
        <v>136</v>
      </c>
      <c r="E285" s="2" t="s">
        <v>12593</v>
      </c>
      <c r="F285" s="2" t="s">
        <v>12426</v>
      </c>
      <c r="G285" s="2" t="s">
        <v>13171</v>
      </c>
      <c r="H285" s="2" t="s">
        <v>76</v>
      </c>
      <c r="I285" s="9">
        <v>140382400</v>
      </c>
      <c r="J285" s="7">
        <v>6.2500000000000001E-5</v>
      </c>
      <c r="K285" s="9">
        <v>8773.9</v>
      </c>
      <c r="L285" s="14">
        <v>0</v>
      </c>
      <c r="M285" s="2" t="s">
        <v>71</v>
      </c>
      <c r="N285" s="2" t="s">
        <v>12595</v>
      </c>
      <c r="O285" s="2" t="s">
        <v>13172</v>
      </c>
      <c r="P285" s="9">
        <v>0</v>
      </c>
      <c r="Q285" s="9">
        <v>0</v>
      </c>
      <c r="R285" s="2" t="s">
        <v>12606</v>
      </c>
    </row>
    <row r="286" spans="1:18" x14ac:dyDescent="0.25">
      <c r="A286" s="2" t="s">
        <v>1279</v>
      </c>
      <c r="B286" s="6">
        <v>46174</v>
      </c>
      <c r="C286" s="8">
        <v>46188</v>
      </c>
      <c r="D286" s="2" t="s">
        <v>136</v>
      </c>
      <c r="E286" s="2" t="s">
        <v>12593</v>
      </c>
      <c r="F286" s="2" t="s">
        <v>12427</v>
      </c>
      <c r="G286" s="2" t="s">
        <v>13173</v>
      </c>
      <c r="H286" s="2" t="s">
        <v>70</v>
      </c>
      <c r="I286" s="9">
        <v>13454</v>
      </c>
      <c r="J286" s="7">
        <v>0.66500000000000004</v>
      </c>
      <c r="K286" s="9">
        <v>8946.91</v>
      </c>
      <c r="L286" s="14">
        <v>0</v>
      </c>
      <c r="M286" s="2" t="s">
        <v>71</v>
      </c>
      <c r="N286" s="2" t="s">
        <v>12595</v>
      </c>
      <c r="O286" s="2" t="s">
        <v>13174</v>
      </c>
      <c r="P286" s="9">
        <v>0</v>
      </c>
      <c r="Q286" s="9">
        <v>0</v>
      </c>
      <c r="R286" s="2" t="s">
        <v>12609</v>
      </c>
    </row>
    <row r="287" spans="1:18" x14ac:dyDescent="0.25">
      <c r="A287" s="2" t="s">
        <v>1284</v>
      </c>
      <c r="B287" s="6">
        <v>46174</v>
      </c>
      <c r="C287" s="8">
        <v>46189</v>
      </c>
      <c r="D287" s="2" t="s">
        <v>136</v>
      </c>
      <c r="E287" s="2" t="s">
        <v>12593</v>
      </c>
      <c r="F287" s="2" t="s">
        <v>12428</v>
      </c>
      <c r="G287" s="2" t="s">
        <v>13175</v>
      </c>
      <c r="H287" s="2" t="s">
        <v>39</v>
      </c>
      <c r="I287" s="9">
        <v>9119.92</v>
      </c>
      <c r="J287" s="7">
        <v>1</v>
      </c>
      <c r="K287" s="9">
        <v>9119.92</v>
      </c>
      <c r="L287" s="14">
        <v>0</v>
      </c>
      <c r="M287" s="2" t="s">
        <v>71</v>
      </c>
      <c r="N287" s="2" t="s">
        <v>12595</v>
      </c>
      <c r="O287" s="2" t="s">
        <v>13176</v>
      </c>
      <c r="P287" s="9">
        <v>0</v>
      </c>
      <c r="Q287" s="9">
        <v>0</v>
      </c>
      <c r="R287" s="2" t="s">
        <v>12612</v>
      </c>
    </row>
    <row r="288" spans="1:18" x14ac:dyDescent="0.25">
      <c r="A288" s="2" t="s">
        <v>1287</v>
      </c>
      <c r="B288" s="6">
        <v>46174</v>
      </c>
      <c r="C288" s="8">
        <v>46190</v>
      </c>
      <c r="D288" s="2" t="s">
        <v>136</v>
      </c>
      <c r="E288" s="2" t="s">
        <v>12593</v>
      </c>
      <c r="F288" s="2" t="s">
        <v>12429</v>
      </c>
      <c r="G288" s="2" t="s">
        <v>13177</v>
      </c>
      <c r="H288" s="2" t="s">
        <v>76</v>
      </c>
      <c r="I288" s="9">
        <v>-148686880</v>
      </c>
      <c r="J288" s="7">
        <v>6.2500000000000001E-5</v>
      </c>
      <c r="K288" s="9">
        <v>-9292.93</v>
      </c>
      <c r="L288" s="14">
        <v>0</v>
      </c>
      <c r="M288" s="2" t="s">
        <v>71</v>
      </c>
      <c r="N288" s="2" t="s">
        <v>12595</v>
      </c>
      <c r="O288" s="2" t="s">
        <v>13178</v>
      </c>
      <c r="P288" s="9">
        <v>0</v>
      </c>
      <c r="Q288" s="9">
        <v>0</v>
      </c>
      <c r="R288" s="2" t="s">
        <v>12615</v>
      </c>
    </row>
    <row r="289" spans="1:18" x14ac:dyDescent="0.25">
      <c r="A289" s="2" t="s">
        <v>1290</v>
      </c>
      <c r="B289" s="6">
        <v>46174</v>
      </c>
      <c r="C289" s="8">
        <v>46191</v>
      </c>
      <c r="D289" s="2" t="s">
        <v>136</v>
      </c>
      <c r="E289" s="2" t="s">
        <v>12593</v>
      </c>
      <c r="F289" s="2" t="s">
        <v>12430</v>
      </c>
      <c r="G289" s="2" t="s">
        <v>13179</v>
      </c>
      <c r="H289" s="2" t="s">
        <v>70</v>
      </c>
      <c r="I289" s="9">
        <v>14234.496241000001</v>
      </c>
      <c r="J289" s="7">
        <v>0.66500000000000004</v>
      </c>
      <c r="K289" s="9">
        <v>9465.94</v>
      </c>
      <c r="L289" s="14">
        <v>0</v>
      </c>
      <c r="M289" s="2" t="s">
        <v>71</v>
      </c>
      <c r="N289" s="2" t="s">
        <v>12595</v>
      </c>
      <c r="O289" s="2" t="s">
        <v>13180</v>
      </c>
      <c r="P289" s="9">
        <v>0</v>
      </c>
      <c r="Q289" s="9">
        <v>0</v>
      </c>
      <c r="R289" s="2" t="s">
        <v>12618</v>
      </c>
    </row>
    <row r="290" spans="1:18" x14ac:dyDescent="0.25">
      <c r="A290" s="2" t="s">
        <v>1295</v>
      </c>
      <c r="B290" s="6">
        <v>46174</v>
      </c>
      <c r="C290" s="8">
        <v>46192</v>
      </c>
      <c r="D290" s="2" t="s">
        <v>136</v>
      </c>
      <c r="E290" s="2" t="s">
        <v>12593</v>
      </c>
      <c r="F290" s="2" t="s">
        <v>12431</v>
      </c>
      <c r="G290" s="2" t="s">
        <v>13181</v>
      </c>
      <c r="H290" s="2" t="s">
        <v>39</v>
      </c>
      <c r="I290" s="9">
        <v>9638.9500000000007</v>
      </c>
      <c r="J290" s="7">
        <v>1</v>
      </c>
      <c r="K290" s="9">
        <v>9638.9500000000007</v>
      </c>
      <c r="L290" s="14">
        <v>0</v>
      </c>
      <c r="M290" s="2" t="s">
        <v>71</v>
      </c>
      <c r="N290" s="2" t="s">
        <v>12595</v>
      </c>
      <c r="O290" s="2" t="s">
        <v>13182</v>
      </c>
      <c r="P290" s="9">
        <v>0</v>
      </c>
      <c r="Q290" s="9">
        <v>0</v>
      </c>
      <c r="R290" s="2" t="s">
        <v>12621</v>
      </c>
    </row>
    <row r="291" spans="1:18" x14ac:dyDescent="0.25">
      <c r="A291" s="2" t="s">
        <v>1298</v>
      </c>
      <c r="B291" s="6">
        <v>46174</v>
      </c>
      <c r="C291" s="8">
        <v>46193</v>
      </c>
      <c r="D291" s="2" t="s">
        <v>136</v>
      </c>
      <c r="E291" s="2" t="s">
        <v>12593</v>
      </c>
      <c r="F291" s="2" t="s">
        <v>12432</v>
      </c>
      <c r="G291" s="2" t="s">
        <v>13183</v>
      </c>
      <c r="H291" s="2" t="s">
        <v>76</v>
      </c>
      <c r="I291" s="9">
        <v>156991360</v>
      </c>
      <c r="J291" s="7">
        <v>6.2500000000000001E-5</v>
      </c>
      <c r="K291" s="9">
        <v>9811.9599999999991</v>
      </c>
      <c r="L291" s="14">
        <v>0</v>
      </c>
      <c r="M291" s="2" t="s">
        <v>71</v>
      </c>
      <c r="N291" s="2" t="s">
        <v>12595</v>
      </c>
      <c r="O291" s="2" t="s">
        <v>13184</v>
      </c>
      <c r="P291" s="9">
        <v>0</v>
      </c>
      <c r="Q291" s="9">
        <v>0</v>
      </c>
      <c r="R291" s="2" t="s">
        <v>12624</v>
      </c>
    </row>
    <row r="292" spans="1:18" x14ac:dyDescent="0.25">
      <c r="A292" s="2" t="s">
        <v>1301</v>
      </c>
      <c r="B292" s="6">
        <v>46174</v>
      </c>
      <c r="C292" s="8">
        <v>46194</v>
      </c>
      <c r="D292" s="2" t="s">
        <v>136</v>
      </c>
      <c r="E292" s="2" t="s">
        <v>12593</v>
      </c>
      <c r="F292" s="2" t="s">
        <v>12423</v>
      </c>
      <c r="G292" s="2" t="s">
        <v>13185</v>
      </c>
      <c r="H292" s="2" t="s">
        <v>70</v>
      </c>
      <c r="I292" s="9">
        <v>15013.533835</v>
      </c>
      <c r="J292" s="7">
        <v>0.66500000000000004</v>
      </c>
      <c r="K292" s="9">
        <v>9984</v>
      </c>
      <c r="L292" s="14">
        <v>0</v>
      </c>
      <c r="M292" s="2" t="s">
        <v>71</v>
      </c>
      <c r="N292" s="2" t="s">
        <v>12595</v>
      </c>
      <c r="O292" s="2" t="s">
        <v>13186</v>
      </c>
      <c r="P292" s="9">
        <v>0</v>
      </c>
      <c r="Q292" s="9">
        <v>0</v>
      </c>
      <c r="R292" s="2" t="s">
        <v>12597</v>
      </c>
    </row>
    <row r="293" spans="1:18" x14ac:dyDescent="0.25">
      <c r="A293" s="2" t="s">
        <v>1304</v>
      </c>
      <c r="B293" s="6">
        <v>46174</v>
      </c>
      <c r="C293" s="8">
        <v>46195</v>
      </c>
      <c r="D293" s="2" t="s">
        <v>136</v>
      </c>
      <c r="E293" s="2" t="s">
        <v>12593</v>
      </c>
      <c r="F293" s="2" t="s">
        <v>12424</v>
      </c>
      <c r="G293" s="2" t="s">
        <v>13187</v>
      </c>
      <c r="H293" s="2" t="s">
        <v>39</v>
      </c>
      <c r="I293" s="9">
        <v>10157.01</v>
      </c>
      <c r="J293" s="7">
        <v>1</v>
      </c>
      <c r="K293" s="9">
        <v>10157.01</v>
      </c>
      <c r="L293" s="14">
        <v>0</v>
      </c>
      <c r="M293" s="2" t="s">
        <v>71</v>
      </c>
      <c r="N293" s="2" t="s">
        <v>12595</v>
      </c>
      <c r="O293" s="2" t="s">
        <v>13188</v>
      </c>
      <c r="P293" s="9">
        <v>0</v>
      </c>
      <c r="Q293" s="9">
        <v>0</v>
      </c>
      <c r="R293" s="2" t="s">
        <v>12600</v>
      </c>
    </row>
    <row r="294" spans="1:18" x14ac:dyDescent="0.25">
      <c r="A294" s="2" t="s">
        <v>1307</v>
      </c>
      <c r="B294" s="6">
        <v>46174</v>
      </c>
      <c r="C294" s="8">
        <v>46196</v>
      </c>
      <c r="D294" s="2" t="s">
        <v>136</v>
      </c>
      <c r="E294" s="2" t="s">
        <v>12593</v>
      </c>
      <c r="F294" s="2" t="s">
        <v>12425</v>
      </c>
      <c r="G294" s="2" t="s">
        <v>13189</v>
      </c>
      <c r="H294" s="2" t="s">
        <v>76</v>
      </c>
      <c r="I294" s="9">
        <v>165280320</v>
      </c>
      <c r="J294" s="7">
        <v>6.2500000000000001E-5</v>
      </c>
      <c r="K294" s="9">
        <v>10330.02</v>
      </c>
      <c r="L294" s="14">
        <v>0</v>
      </c>
      <c r="M294" s="2" t="s">
        <v>71</v>
      </c>
      <c r="N294" s="2" t="s">
        <v>12595</v>
      </c>
      <c r="O294" s="2" t="s">
        <v>13190</v>
      </c>
      <c r="P294" s="9">
        <v>0</v>
      </c>
      <c r="Q294" s="9">
        <v>0</v>
      </c>
      <c r="R294" s="2" t="s">
        <v>12603</v>
      </c>
    </row>
    <row r="295" spans="1:18" x14ac:dyDescent="0.25">
      <c r="A295" s="2" t="s">
        <v>1310</v>
      </c>
      <c r="B295" s="6">
        <v>46174</v>
      </c>
      <c r="C295" s="8">
        <v>46197</v>
      </c>
      <c r="D295" s="2" t="s">
        <v>136</v>
      </c>
      <c r="E295" s="2" t="s">
        <v>12593</v>
      </c>
      <c r="F295" s="2" t="s">
        <v>12426</v>
      </c>
      <c r="G295" s="2" t="s">
        <v>13191</v>
      </c>
      <c r="H295" s="2" t="s">
        <v>70</v>
      </c>
      <c r="I295" s="9">
        <v>15794.030075000001</v>
      </c>
      <c r="J295" s="7">
        <v>0.66500000000000004</v>
      </c>
      <c r="K295" s="9">
        <v>10503.03</v>
      </c>
      <c r="L295" s="14">
        <v>0</v>
      </c>
      <c r="M295" s="2" t="s">
        <v>71</v>
      </c>
      <c r="N295" s="2" t="s">
        <v>12595</v>
      </c>
      <c r="O295" s="2" t="s">
        <v>13192</v>
      </c>
      <c r="P295" s="9">
        <v>0</v>
      </c>
      <c r="Q295" s="9">
        <v>0</v>
      </c>
      <c r="R295" s="2" t="s">
        <v>12606</v>
      </c>
    </row>
    <row r="296" spans="1:18" x14ac:dyDescent="0.25">
      <c r="A296" s="2" t="s">
        <v>1315</v>
      </c>
      <c r="B296" s="6">
        <v>46174</v>
      </c>
      <c r="C296" s="8">
        <v>46198</v>
      </c>
      <c r="D296" s="2" t="s">
        <v>136</v>
      </c>
      <c r="E296" s="2" t="s">
        <v>12593</v>
      </c>
      <c r="F296" s="2" t="s">
        <v>12427</v>
      </c>
      <c r="G296" s="2" t="s">
        <v>13193</v>
      </c>
      <c r="H296" s="2" t="s">
        <v>39</v>
      </c>
      <c r="I296" s="9">
        <v>10676.04</v>
      </c>
      <c r="J296" s="7">
        <v>1</v>
      </c>
      <c r="K296" s="9">
        <v>10676.04</v>
      </c>
      <c r="L296" s="14">
        <v>0</v>
      </c>
      <c r="M296" s="2" t="s">
        <v>71</v>
      </c>
      <c r="N296" s="2" t="s">
        <v>12595</v>
      </c>
      <c r="O296" s="2" t="s">
        <v>13194</v>
      </c>
      <c r="P296" s="9">
        <v>0</v>
      </c>
      <c r="Q296" s="9">
        <v>0</v>
      </c>
      <c r="R296" s="2" t="s">
        <v>12609</v>
      </c>
    </row>
    <row r="297" spans="1:18" x14ac:dyDescent="0.25">
      <c r="A297" s="2" t="s">
        <v>1320</v>
      </c>
      <c r="B297" s="6">
        <v>46174</v>
      </c>
      <c r="C297" s="8">
        <v>46199</v>
      </c>
      <c r="D297" s="2" t="s">
        <v>136</v>
      </c>
      <c r="E297" s="2" t="s">
        <v>12593</v>
      </c>
      <c r="F297" s="2" t="s">
        <v>12428</v>
      </c>
      <c r="G297" s="2" t="s">
        <v>13195</v>
      </c>
      <c r="H297" s="2" t="s">
        <v>76</v>
      </c>
      <c r="I297" s="9">
        <v>173584800</v>
      </c>
      <c r="J297" s="7">
        <v>6.2500000000000001E-5</v>
      </c>
      <c r="K297" s="9">
        <v>10849.05</v>
      </c>
      <c r="L297" s="14">
        <v>0</v>
      </c>
      <c r="M297" s="2" t="s">
        <v>71</v>
      </c>
      <c r="N297" s="2" t="s">
        <v>12595</v>
      </c>
      <c r="O297" s="2" t="s">
        <v>13196</v>
      </c>
      <c r="P297" s="9">
        <v>0</v>
      </c>
      <c r="Q297" s="9">
        <v>0</v>
      </c>
      <c r="R297" s="2" t="s">
        <v>12612</v>
      </c>
    </row>
    <row r="298" spans="1:18" x14ac:dyDescent="0.25">
      <c r="A298" s="2" t="s">
        <v>1323</v>
      </c>
      <c r="B298" s="6">
        <v>46174</v>
      </c>
      <c r="C298" s="8">
        <v>46200</v>
      </c>
      <c r="D298" s="2" t="s">
        <v>136</v>
      </c>
      <c r="E298" s="2" t="s">
        <v>12593</v>
      </c>
      <c r="F298" s="2" t="s">
        <v>12429</v>
      </c>
      <c r="G298" s="2" t="s">
        <v>13197</v>
      </c>
      <c r="H298" s="2" t="s">
        <v>70</v>
      </c>
      <c r="I298" s="9">
        <v>16574.526315999999</v>
      </c>
      <c r="J298" s="7">
        <v>0.66500000000000004</v>
      </c>
      <c r="K298" s="9">
        <v>11022.06</v>
      </c>
      <c r="L298" s="14">
        <v>0</v>
      </c>
      <c r="M298" s="2" t="s">
        <v>71</v>
      </c>
      <c r="N298" s="2" t="s">
        <v>12595</v>
      </c>
      <c r="O298" s="2" t="s">
        <v>13198</v>
      </c>
      <c r="P298" s="9">
        <v>0</v>
      </c>
      <c r="Q298" s="9">
        <v>0</v>
      </c>
      <c r="R298" s="2" t="s">
        <v>12615</v>
      </c>
    </row>
    <row r="299" spans="1:18" x14ac:dyDescent="0.25">
      <c r="A299" s="2" t="s">
        <v>1326</v>
      </c>
      <c r="B299" s="6">
        <v>46174</v>
      </c>
      <c r="C299" s="8">
        <v>46201</v>
      </c>
      <c r="D299" s="2" t="s">
        <v>136</v>
      </c>
      <c r="E299" s="2" t="s">
        <v>12593</v>
      </c>
      <c r="F299" s="2" t="s">
        <v>12430</v>
      </c>
      <c r="G299" s="2" t="s">
        <v>13199</v>
      </c>
      <c r="H299" s="2" t="s">
        <v>39</v>
      </c>
      <c r="I299" s="9">
        <v>11195.07</v>
      </c>
      <c r="J299" s="7">
        <v>1</v>
      </c>
      <c r="K299" s="9">
        <v>11195.07</v>
      </c>
      <c r="L299" s="14">
        <v>0</v>
      </c>
      <c r="M299" s="2" t="s">
        <v>71</v>
      </c>
      <c r="N299" s="2" t="s">
        <v>12595</v>
      </c>
      <c r="O299" s="2" t="s">
        <v>13200</v>
      </c>
      <c r="P299" s="9">
        <v>0</v>
      </c>
      <c r="Q299" s="9">
        <v>0</v>
      </c>
      <c r="R299" s="2" t="s">
        <v>12618</v>
      </c>
    </row>
    <row r="300" spans="1:18" x14ac:dyDescent="0.25">
      <c r="A300" s="2" t="s">
        <v>1331</v>
      </c>
      <c r="B300" s="6">
        <v>46174</v>
      </c>
      <c r="C300" s="8">
        <v>46202</v>
      </c>
      <c r="D300" s="2" t="s">
        <v>136</v>
      </c>
      <c r="E300" s="2" t="s">
        <v>12593</v>
      </c>
      <c r="F300" s="2" t="s">
        <v>12431</v>
      </c>
      <c r="G300" s="2" t="s">
        <v>13201</v>
      </c>
      <c r="H300" s="2" t="s">
        <v>76</v>
      </c>
      <c r="I300" s="9">
        <v>181889280</v>
      </c>
      <c r="J300" s="7">
        <v>6.2500000000000001E-5</v>
      </c>
      <c r="K300" s="9">
        <v>11368.08</v>
      </c>
      <c r="L300" s="14">
        <v>0</v>
      </c>
      <c r="M300" s="2" t="s">
        <v>71</v>
      </c>
      <c r="N300" s="2" t="s">
        <v>12595</v>
      </c>
      <c r="O300" s="2" t="s">
        <v>13202</v>
      </c>
      <c r="P300" s="9">
        <v>0</v>
      </c>
      <c r="Q300" s="9">
        <v>0</v>
      </c>
      <c r="R300" s="2" t="s">
        <v>12621</v>
      </c>
    </row>
    <row r="301" spans="1:18" x14ac:dyDescent="0.25">
      <c r="A301" s="2" t="s">
        <v>1334</v>
      </c>
      <c r="B301" s="6">
        <v>46174</v>
      </c>
      <c r="C301" s="8">
        <v>46203</v>
      </c>
      <c r="D301" s="2" t="s">
        <v>136</v>
      </c>
      <c r="E301" s="2" t="s">
        <v>12593</v>
      </c>
      <c r="F301" s="2" t="s">
        <v>12432</v>
      </c>
      <c r="G301" s="2" t="s">
        <v>13203</v>
      </c>
      <c r="H301" s="2" t="s">
        <v>70</v>
      </c>
      <c r="I301" s="9">
        <v>17355.022556</v>
      </c>
      <c r="J301" s="7">
        <v>0.66500000000000004</v>
      </c>
      <c r="K301" s="9">
        <v>11541.09</v>
      </c>
      <c r="L301" s="14">
        <v>0</v>
      </c>
      <c r="M301" s="2" t="s">
        <v>71</v>
      </c>
      <c r="N301" s="2" t="s">
        <v>12595</v>
      </c>
      <c r="O301" s="2" t="s">
        <v>13204</v>
      </c>
      <c r="P301" s="9">
        <v>0</v>
      </c>
      <c r="Q301" s="9">
        <v>0</v>
      </c>
      <c r="R301" s="2" t="s">
        <v>12624</v>
      </c>
    </row>
    <row r="302" spans="1:18" x14ac:dyDescent="0.25">
      <c r="A302" s="2" t="s">
        <v>1337</v>
      </c>
      <c r="B302" s="6">
        <v>46174</v>
      </c>
      <c r="C302" s="8">
        <v>46174</v>
      </c>
      <c r="D302" s="2" t="s">
        <v>136</v>
      </c>
      <c r="E302" s="2" t="s">
        <v>12593</v>
      </c>
      <c r="F302" s="2" t="s">
        <v>12423</v>
      </c>
      <c r="G302" s="2" t="s">
        <v>13205</v>
      </c>
      <c r="H302" s="2" t="s">
        <v>39</v>
      </c>
      <c r="I302" s="9">
        <v>11714.1</v>
      </c>
      <c r="J302" s="7">
        <v>1</v>
      </c>
      <c r="K302" s="9">
        <v>11714.1</v>
      </c>
      <c r="L302" s="14">
        <v>0</v>
      </c>
      <c r="M302" s="2" t="s">
        <v>71</v>
      </c>
      <c r="N302" s="2" t="s">
        <v>12595</v>
      </c>
      <c r="O302" s="2" t="s">
        <v>13206</v>
      </c>
      <c r="P302" s="9">
        <v>0</v>
      </c>
      <c r="Q302" s="9">
        <v>0</v>
      </c>
      <c r="R302" s="2" t="s">
        <v>12597</v>
      </c>
    </row>
    <row r="303" spans="1:18" x14ac:dyDescent="0.25">
      <c r="A303" s="2" t="s">
        <v>1340</v>
      </c>
      <c r="B303" s="6">
        <v>46174</v>
      </c>
      <c r="C303" s="8">
        <v>46175</v>
      </c>
      <c r="D303" s="2" t="s">
        <v>136</v>
      </c>
      <c r="E303" s="2" t="s">
        <v>12593</v>
      </c>
      <c r="F303" s="2" t="s">
        <v>12424</v>
      </c>
      <c r="G303" s="2" t="s">
        <v>13207</v>
      </c>
      <c r="H303" s="2" t="s">
        <v>76</v>
      </c>
      <c r="I303" s="9">
        <v>190193760</v>
      </c>
      <c r="J303" s="7">
        <v>6.2500000000000001E-5</v>
      </c>
      <c r="K303" s="9">
        <v>11887.11</v>
      </c>
      <c r="L303" s="14">
        <v>0</v>
      </c>
      <c r="M303" s="2" t="s">
        <v>71</v>
      </c>
      <c r="N303" s="2" t="s">
        <v>12595</v>
      </c>
      <c r="O303" s="2" t="s">
        <v>13208</v>
      </c>
      <c r="P303" s="9">
        <v>0</v>
      </c>
      <c r="Q303" s="9">
        <v>0</v>
      </c>
      <c r="R303" s="2" t="s">
        <v>12600</v>
      </c>
    </row>
    <row r="304" spans="1:18" x14ac:dyDescent="0.25">
      <c r="A304" s="2" t="s">
        <v>1343</v>
      </c>
      <c r="B304" s="6">
        <v>46174</v>
      </c>
      <c r="C304" s="8">
        <v>46176</v>
      </c>
      <c r="D304" s="2" t="s">
        <v>136</v>
      </c>
      <c r="E304" s="2" t="s">
        <v>12593</v>
      </c>
      <c r="F304" s="2" t="s">
        <v>12425</v>
      </c>
      <c r="G304" s="2" t="s">
        <v>13209</v>
      </c>
      <c r="H304" s="2" t="s">
        <v>70</v>
      </c>
      <c r="I304" s="9">
        <v>18135.518797000001</v>
      </c>
      <c r="J304" s="7">
        <v>0.66500000000000004</v>
      </c>
      <c r="K304" s="9">
        <v>12060.12</v>
      </c>
      <c r="L304" s="14">
        <v>0</v>
      </c>
      <c r="M304" s="2" t="s">
        <v>71</v>
      </c>
      <c r="N304" s="2" t="s">
        <v>12595</v>
      </c>
      <c r="O304" s="2" t="s">
        <v>13210</v>
      </c>
      <c r="P304" s="9">
        <v>0</v>
      </c>
      <c r="Q304" s="9">
        <v>0</v>
      </c>
      <c r="R304" s="2" t="s">
        <v>12603</v>
      </c>
    </row>
    <row r="305" spans="1:18" x14ac:dyDescent="0.25">
      <c r="A305" s="2" t="s">
        <v>1346</v>
      </c>
      <c r="B305" s="6">
        <v>46174</v>
      </c>
      <c r="C305" s="8">
        <v>46177</v>
      </c>
      <c r="D305" s="2" t="s">
        <v>136</v>
      </c>
      <c r="E305" s="2" t="s">
        <v>12593</v>
      </c>
      <c r="F305" s="2" t="s">
        <v>12426</v>
      </c>
      <c r="G305" s="2" t="s">
        <v>13211</v>
      </c>
      <c r="H305" s="2" t="s">
        <v>39</v>
      </c>
      <c r="I305" s="9">
        <v>12233.13</v>
      </c>
      <c r="J305" s="7">
        <v>1</v>
      </c>
      <c r="K305" s="9">
        <v>12233.13</v>
      </c>
      <c r="L305" s="14">
        <v>0</v>
      </c>
      <c r="M305" s="2" t="s">
        <v>71</v>
      </c>
      <c r="N305" s="2" t="s">
        <v>12595</v>
      </c>
      <c r="O305" s="2" t="s">
        <v>13212</v>
      </c>
      <c r="P305" s="9">
        <v>0</v>
      </c>
      <c r="Q305" s="9">
        <v>0</v>
      </c>
      <c r="R305" s="2" t="s">
        <v>12606</v>
      </c>
    </row>
    <row r="306" spans="1:18" x14ac:dyDescent="0.25">
      <c r="A306" s="2" t="s">
        <v>1351</v>
      </c>
      <c r="B306" s="6">
        <v>46174</v>
      </c>
      <c r="C306" s="8">
        <v>46178</v>
      </c>
      <c r="D306" s="2" t="s">
        <v>136</v>
      </c>
      <c r="E306" s="2" t="s">
        <v>12593</v>
      </c>
      <c r="F306" s="2" t="s">
        <v>12427</v>
      </c>
      <c r="G306" s="2" t="s">
        <v>13213</v>
      </c>
      <c r="H306" s="2" t="s">
        <v>76</v>
      </c>
      <c r="I306" s="9">
        <v>198498240</v>
      </c>
      <c r="J306" s="7">
        <v>6.2500000000000001E-5</v>
      </c>
      <c r="K306" s="9">
        <v>12406.14</v>
      </c>
      <c r="L306" s="14">
        <v>0</v>
      </c>
      <c r="M306" s="2" t="s">
        <v>71</v>
      </c>
      <c r="N306" s="2" t="s">
        <v>12595</v>
      </c>
      <c r="O306" s="2" t="s">
        <v>13214</v>
      </c>
      <c r="P306" s="9">
        <v>0</v>
      </c>
      <c r="Q306" s="9">
        <v>0</v>
      </c>
      <c r="R306" s="2" t="s">
        <v>12609</v>
      </c>
    </row>
    <row r="307" spans="1:18" x14ac:dyDescent="0.25">
      <c r="A307" s="2" t="s">
        <v>1356</v>
      </c>
      <c r="B307" s="6">
        <v>46174</v>
      </c>
      <c r="C307" s="8">
        <v>46179</v>
      </c>
      <c r="D307" s="2" t="s">
        <v>136</v>
      </c>
      <c r="E307" s="2" t="s">
        <v>12593</v>
      </c>
      <c r="F307" s="2" t="s">
        <v>12428</v>
      </c>
      <c r="G307" s="2" t="s">
        <v>13215</v>
      </c>
      <c r="H307" s="2" t="s">
        <v>70</v>
      </c>
      <c r="I307" s="9">
        <v>18916.015038000001</v>
      </c>
      <c r="J307" s="7">
        <v>0.66500000000000004</v>
      </c>
      <c r="K307" s="9">
        <v>12579.15</v>
      </c>
      <c r="L307" s="14">
        <v>0</v>
      </c>
      <c r="M307" s="2" t="s">
        <v>71</v>
      </c>
      <c r="N307" s="2" t="s">
        <v>12595</v>
      </c>
      <c r="O307" s="2" t="s">
        <v>13216</v>
      </c>
      <c r="P307" s="9">
        <v>0</v>
      </c>
      <c r="Q307" s="9">
        <v>0</v>
      </c>
      <c r="R307" s="2" t="s">
        <v>12612</v>
      </c>
    </row>
    <row r="308" spans="1:18" x14ac:dyDescent="0.25">
      <c r="A308" s="2" t="s">
        <v>1359</v>
      </c>
      <c r="B308" s="6">
        <v>46174</v>
      </c>
      <c r="C308" s="8">
        <v>46180</v>
      </c>
      <c r="D308" s="2" t="s">
        <v>136</v>
      </c>
      <c r="E308" s="2" t="s">
        <v>12593</v>
      </c>
      <c r="F308" s="2" t="s">
        <v>12429</v>
      </c>
      <c r="G308" s="2" t="s">
        <v>13217</v>
      </c>
      <c r="H308" s="2" t="s">
        <v>39</v>
      </c>
      <c r="I308" s="9">
        <v>12752.16</v>
      </c>
      <c r="J308" s="7">
        <v>1</v>
      </c>
      <c r="K308" s="9">
        <v>12752.16</v>
      </c>
      <c r="L308" s="14">
        <v>0</v>
      </c>
      <c r="M308" s="2" t="s">
        <v>71</v>
      </c>
      <c r="N308" s="2" t="s">
        <v>12595</v>
      </c>
      <c r="O308" s="2" t="s">
        <v>13218</v>
      </c>
      <c r="P308" s="9">
        <v>0</v>
      </c>
      <c r="Q308" s="9">
        <v>0</v>
      </c>
      <c r="R308" s="2" t="s">
        <v>12615</v>
      </c>
    </row>
    <row r="309" spans="1:18" x14ac:dyDescent="0.25">
      <c r="A309" s="2" t="s">
        <v>1362</v>
      </c>
      <c r="B309" s="6">
        <v>46174</v>
      </c>
      <c r="C309" s="8">
        <v>46181</v>
      </c>
      <c r="D309" s="2" t="s">
        <v>136</v>
      </c>
      <c r="E309" s="2" t="s">
        <v>12593</v>
      </c>
      <c r="F309" s="2" t="s">
        <v>12430</v>
      </c>
      <c r="G309" s="2" t="s">
        <v>13219</v>
      </c>
      <c r="H309" s="2" t="s">
        <v>76</v>
      </c>
      <c r="I309" s="9">
        <v>206802720</v>
      </c>
      <c r="J309" s="7">
        <v>6.2500000000000001E-5</v>
      </c>
      <c r="K309" s="9">
        <v>12925.17</v>
      </c>
      <c r="L309" s="14">
        <v>0</v>
      </c>
      <c r="M309" s="2" t="s">
        <v>71</v>
      </c>
      <c r="N309" s="2" t="s">
        <v>12595</v>
      </c>
      <c r="O309" s="2" t="s">
        <v>13220</v>
      </c>
      <c r="P309" s="9">
        <v>0</v>
      </c>
      <c r="Q309" s="9">
        <v>0</v>
      </c>
      <c r="R309" s="2" t="s">
        <v>12618</v>
      </c>
    </row>
    <row r="310" spans="1:18" x14ac:dyDescent="0.25">
      <c r="A310" s="2" t="s">
        <v>1367</v>
      </c>
      <c r="B310" s="6">
        <v>46174</v>
      </c>
      <c r="C310" s="8">
        <v>46182</v>
      </c>
      <c r="D310" s="2" t="s">
        <v>136</v>
      </c>
      <c r="E310" s="2" t="s">
        <v>12593</v>
      </c>
      <c r="F310" s="2" t="s">
        <v>12431</v>
      </c>
      <c r="G310" s="2" t="s">
        <v>13221</v>
      </c>
      <c r="H310" s="2" t="s">
        <v>70</v>
      </c>
      <c r="I310" s="9">
        <v>19696.511278000002</v>
      </c>
      <c r="J310" s="7">
        <v>0.66500000000000004</v>
      </c>
      <c r="K310" s="9">
        <v>13098.18</v>
      </c>
      <c r="L310" s="14">
        <v>0</v>
      </c>
      <c r="M310" s="2" t="s">
        <v>71</v>
      </c>
      <c r="N310" s="2" t="s">
        <v>12595</v>
      </c>
      <c r="O310" s="2" t="s">
        <v>13222</v>
      </c>
      <c r="P310" s="9">
        <v>0</v>
      </c>
      <c r="Q310" s="9">
        <v>0</v>
      </c>
      <c r="R310" s="2" t="s">
        <v>12621</v>
      </c>
    </row>
    <row r="311" spans="1:18" x14ac:dyDescent="0.25">
      <c r="A311" s="2" t="s">
        <v>1370</v>
      </c>
      <c r="B311" s="6">
        <v>46174</v>
      </c>
      <c r="C311" s="8">
        <v>46183</v>
      </c>
      <c r="D311" s="2" t="s">
        <v>136</v>
      </c>
      <c r="E311" s="2" t="s">
        <v>12593</v>
      </c>
      <c r="F311" s="2" t="s">
        <v>12432</v>
      </c>
      <c r="G311" s="2" t="s">
        <v>13223</v>
      </c>
      <c r="H311" s="2" t="s">
        <v>39</v>
      </c>
      <c r="I311" s="9">
        <v>13271.19</v>
      </c>
      <c r="J311" s="7">
        <v>1</v>
      </c>
      <c r="K311" s="9">
        <v>13271.19</v>
      </c>
      <c r="L311" s="14">
        <v>0</v>
      </c>
      <c r="M311" s="2" t="s">
        <v>71</v>
      </c>
      <c r="N311" s="2" t="s">
        <v>12595</v>
      </c>
      <c r="O311" s="2" t="s">
        <v>13224</v>
      </c>
      <c r="P311" s="9">
        <v>0</v>
      </c>
      <c r="Q311" s="9">
        <v>0</v>
      </c>
      <c r="R311" s="2" t="s">
        <v>12624</v>
      </c>
    </row>
    <row r="312" spans="1:18" x14ac:dyDescent="0.25">
      <c r="A312" s="2" t="s">
        <v>1373</v>
      </c>
      <c r="B312" s="6">
        <v>46174</v>
      </c>
      <c r="C312" s="8">
        <v>46184</v>
      </c>
      <c r="D312" s="2" t="s">
        <v>136</v>
      </c>
      <c r="E312" s="2" t="s">
        <v>12593</v>
      </c>
      <c r="F312" s="2" t="s">
        <v>12423</v>
      </c>
      <c r="G312" s="2" t="s">
        <v>13225</v>
      </c>
      <c r="H312" s="2" t="s">
        <v>76</v>
      </c>
      <c r="I312" s="9">
        <v>215107200</v>
      </c>
      <c r="J312" s="7">
        <v>6.2500000000000001E-5</v>
      </c>
      <c r="K312" s="9">
        <v>13444.2</v>
      </c>
      <c r="L312" s="14">
        <v>0</v>
      </c>
      <c r="M312" s="2" t="s">
        <v>71</v>
      </c>
      <c r="N312" s="2" t="s">
        <v>12595</v>
      </c>
      <c r="O312" s="2" t="s">
        <v>13226</v>
      </c>
      <c r="P312" s="9">
        <v>0</v>
      </c>
      <c r="Q312" s="9">
        <v>0</v>
      </c>
      <c r="R312" s="2" t="s">
        <v>12597</v>
      </c>
    </row>
    <row r="313" spans="1:18" x14ac:dyDescent="0.25">
      <c r="A313" s="2" t="s">
        <v>1376</v>
      </c>
      <c r="B313" s="6">
        <v>46174</v>
      </c>
      <c r="C313" s="8">
        <v>46185</v>
      </c>
      <c r="D313" s="2" t="s">
        <v>136</v>
      </c>
      <c r="E313" s="2" t="s">
        <v>12593</v>
      </c>
      <c r="F313" s="2" t="s">
        <v>12424</v>
      </c>
      <c r="G313" s="2" t="s">
        <v>13227</v>
      </c>
      <c r="H313" s="2" t="s">
        <v>70</v>
      </c>
      <c r="I313" s="9">
        <v>20477.007518999999</v>
      </c>
      <c r="J313" s="7">
        <v>0.66500000000000004</v>
      </c>
      <c r="K313" s="9">
        <v>13617.21</v>
      </c>
      <c r="L313" s="14">
        <v>0</v>
      </c>
      <c r="M313" s="2" t="s">
        <v>71</v>
      </c>
      <c r="N313" s="2" t="s">
        <v>12595</v>
      </c>
      <c r="O313" s="2" t="s">
        <v>13228</v>
      </c>
      <c r="P313" s="9">
        <v>0</v>
      </c>
      <c r="Q313" s="9">
        <v>0</v>
      </c>
      <c r="R313" s="2" t="s">
        <v>12600</v>
      </c>
    </row>
    <row r="314" spans="1:18" x14ac:dyDescent="0.25">
      <c r="A314" s="2" t="s">
        <v>1379</v>
      </c>
      <c r="B314" s="6">
        <v>46174</v>
      </c>
      <c r="C314" s="8">
        <v>46186</v>
      </c>
      <c r="D314" s="2" t="s">
        <v>136</v>
      </c>
      <c r="E314" s="2" t="s">
        <v>12593</v>
      </c>
      <c r="F314" s="2" t="s">
        <v>12425</v>
      </c>
      <c r="G314" s="2" t="s">
        <v>13229</v>
      </c>
      <c r="H314" s="2" t="s">
        <v>39</v>
      </c>
      <c r="I314" s="9">
        <v>13790.22</v>
      </c>
      <c r="J314" s="7">
        <v>1</v>
      </c>
      <c r="K314" s="9">
        <v>13790.22</v>
      </c>
      <c r="L314" s="14">
        <v>0</v>
      </c>
      <c r="M314" s="2" t="s">
        <v>71</v>
      </c>
      <c r="N314" s="2" t="s">
        <v>12595</v>
      </c>
      <c r="O314" s="2" t="s">
        <v>13230</v>
      </c>
      <c r="P314" s="9">
        <v>0</v>
      </c>
      <c r="Q314" s="9">
        <v>0</v>
      </c>
      <c r="R314" s="2" t="s">
        <v>12603</v>
      </c>
    </row>
    <row r="315" spans="1:18" x14ac:dyDescent="0.25">
      <c r="A315" s="2" t="s">
        <v>1382</v>
      </c>
      <c r="B315" s="6">
        <v>46174</v>
      </c>
      <c r="C315" s="8">
        <v>46187</v>
      </c>
      <c r="D315" s="2" t="s">
        <v>136</v>
      </c>
      <c r="E315" s="2" t="s">
        <v>12593</v>
      </c>
      <c r="F315" s="2" t="s">
        <v>12426</v>
      </c>
      <c r="G315" s="2" t="s">
        <v>13231</v>
      </c>
      <c r="H315" s="2" t="s">
        <v>76</v>
      </c>
      <c r="I315" s="9">
        <v>223411680</v>
      </c>
      <c r="J315" s="7">
        <v>6.2500000000000001E-5</v>
      </c>
      <c r="K315" s="9">
        <v>13963.23</v>
      </c>
      <c r="L315" s="14">
        <v>0</v>
      </c>
      <c r="M315" s="2" t="s">
        <v>71</v>
      </c>
      <c r="N315" s="2" t="s">
        <v>12595</v>
      </c>
      <c r="O315" s="2" t="s">
        <v>13232</v>
      </c>
      <c r="P315" s="9">
        <v>0</v>
      </c>
      <c r="Q315" s="9">
        <v>0</v>
      </c>
      <c r="R315" s="2" t="s">
        <v>12606</v>
      </c>
    </row>
    <row r="316" spans="1:18" x14ac:dyDescent="0.25">
      <c r="A316" s="2" t="s">
        <v>1387</v>
      </c>
      <c r="B316" s="6">
        <v>46174</v>
      </c>
      <c r="C316" s="8">
        <v>46188</v>
      </c>
      <c r="D316" s="2" t="s">
        <v>136</v>
      </c>
      <c r="E316" s="2" t="s">
        <v>12593</v>
      </c>
      <c r="F316" s="2" t="s">
        <v>12427</v>
      </c>
      <c r="G316" s="2" t="s">
        <v>13233</v>
      </c>
      <c r="H316" s="2" t="s">
        <v>70</v>
      </c>
      <c r="I316" s="9">
        <v>21257.503758999999</v>
      </c>
      <c r="J316" s="7">
        <v>0.66500000000000004</v>
      </c>
      <c r="K316" s="9">
        <v>14136.24</v>
      </c>
      <c r="L316" s="14">
        <v>0</v>
      </c>
      <c r="M316" s="2" t="s">
        <v>71</v>
      </c>
      <c r="N316" s="2" t="s">
        <v>12595</v>
      </c>
      <c r="O316" s="2" t="s">
        <v>13234</v>
      </c>
      <c r="P316" s="9">
        <v>0</v>
      </c>
      <c r="Q316" s="9">
        <v>0</v>
      </c>
      <c r="R316" s="2" t="s">
        <v>12609</v>
      </c>
    </row>
    <row r="317" spans="1:18" x14ac:dyDescent="0.25">
      <c r="A317" s="2" t="s">
        <v>1392</v>
      </c>
      <c r="B317" s="6">
        <v>46174</v>
      </c>
      <c r="C317" s="8">
        <v>46189</v>
      </c>
      <c r="D317" s="2" t="s">
        <v>136</v>
      </c>
      <c r="E317" s="2" t="s">
        <v>12593</v>
      </c>
      <c r="F317" s="2" t="s">
        <v>12428</v>
      </c>
      <c r="G317" s="2" t="s">
        <v>13235</v>
      </c>
      <c r="H317" s="2" t="s">
        <v>39</v>
      </c>
      <c r="I317" s="9">
        <v>14309.25</v>
      </c>
      <c r="J317" s="7">
        <v>1</v>
      </c>
      <c r="K317" s="9">
        <v>14309.25</v>
      </c>
      <c r="L317" s="14">
        <v>0</v>
      </c>
      <c r="M317" s="2" t="s">
        <v>71</v>
      </c>
      <c r="N317" s="2" t="s">
        <v>12595</v>
      </c>
      <c r="O317" s="2" t="s">
        <v>13236</v>
      </c>
      <c r="P317" s="9">
        <v>0</v>
      </c>
      <c r="Q317" s="9">
        <v>0</v>
      </c>
      <c r="R317" s="2" t="s">
        <v>12612</v>
      </c>
    </row>
    <row r="318" spans="1:18" x14ac:dyDescent="0.25">
      <c r="A318" s="2" t="s">
        <v>1395</v>
      </c>
      <c r="B318" s="6">
        <v>46174</v>
      </c>
      <c r="C318" s="8">
        <v>46190</v>
      </c>
      <c r="D318" s="2" t="s">
        <v>136</v>
      </c>
      <c r="E318" s="2" t="s">
        <v>12593</v>
      </c>
      <c r="F318" s="2" t="s">
        <v>12429</v>
      </c>
      <c r="G318" s="2" t="s">
        <v>13237</v>
      </c>
      <c r="H318" s="2" t="s">
        <v>76</v>
      </c>
      <c r="I318" s="9">
        <v>231716160</v>
      </c>
      <c r="J318" s="7">
        <v>6.2500000000000001E-5</v>
      </c>
      <c r="K318" s="9">
        <v>14482.26</v>
      </c>
      <c r="L318" s="14">
        <v>0</v>
      </c>
      <c r="M318" s="2" t="s">
        <v>71</v>
      </c>
      <c r="N318" s="2" t="s">
        <v>12595</v>
      </c>
      <c r="O318" s="2" t="s">
        <v>13238</v>
      </c>
      <c r="P318" s="9">
        <v>0</v>
      </c>
      <c r="Q318" s="9">
        <v>0</v>
      </c>
      <c r="R318" s="2" t="s">
        <v>12615</v>
      </c>
    </row>
    <row r="319" spans="1:18" x14ac:dyDescent="0.25">
      <c r="A319" s="2" t="s">
        <v>1398</v>
      </c>
      <c r="B319" s="6">
        <v>46174</v>
      </c>
      <c r="C319" s="8">
        <v>46191</v>
      </c>
      <c r="D319" s="2" t="s">
        <v>136</v>
      </c>
      <c r="E319" s="2" t="s">
        <v>12593</v>
      </c>
      <c r="F319" s="2" t="s">
        <v>12430</v>
      </c>
      <c r="G319" s="2" t="s">
        <v>13239</v>
      </c>
      <c r="H319" s="2" t="s">
        <v>70</v>
      </c>
      <c r="I319" s="9">
        <v>22038</v>
      </c>
      <c r="J319" s="7">
        <v>0.66500000000000004</v>
      </c>
      <c r="K319" s="9">
        <v>14655.27</v>
      </c>
      <c r="L319" s="14">
        <v>0</v>
      </c>
      <c r="M319" s="2" t="s">
        <v>71</v>
      </c>
      <c r="N319" s="2" t="s">
        <v>12595</v>
      </c>
      <c r="O319" s="2" t="s">
        <v>13240</v>
      </c>
      <c r="P319" s="9">
        <v>0</v>
      </c>
      <c r="Q319" s="9">
        <v>0</v>
      </c>
      <c r="R319" s="2" t="s">
        <v>12618</v>
      </c>
    </row>
    <row r="320" spans="1:18" x14ac:dyDescent="0.25">
      <c r="A320" s="2" t="s">
        <v>1403</v>
      </c>
      <c r="B320" s="6">
        <v>46174</v>
      </c>
      <c r="C320" s="8">
        <v>46192</v>
      </c>
      <c r="D320" s="2" t="s">
        <v>136</v>
      </c>
      <c r="E320" s="2" t="s">
        <v>12593</v>
      </c>
      <c r="F320" s="2" t="s">
        <v>12431</v>
      </c>
      <c r="G320" s="2" t="s">
        <v>13241</v>
      </c>
      <c r="H320" s="2" t="s">
        <v>39</v>
      </c>
      <c r="I320" s="9">
        <v>14828.28</v>
      </c>
      <c r="J320" s="7">
        <v>1</v>
      </c>
      <c r="K320" s="9">
        <v>14828.28</v>
      </c>
      <c r="L320" s="14">
        <v>0</v>
      </c>
      <c r="M320" s="2" t="s">
        <v>71</v>
      </c>
      <c r="N320" s="2" t="s">
        <v>12595</v>
      </c>
      <c r="O320" s="2" t="s">
        <v>13242</v>
      </c>
      <c r="P320" s="9">
        <v>0</v>
      </c>
      <c r="Q320" s="9">
        <v>0</v>
      </c>
      <c r="R320" s="2" t="s">
        <v>12621</v>
      </c>
    </row>
    <row r="321" spans="1:18" x14ac:dyDescent="0.25">
      <c r="A321" s="2" t="s">
        <v>1406</v>
      </c>
      <c r="B321" s="6">
        <v>46174</v>
      </c>
      <c r="C321" s="8">
        <v>46193</v>
      </c>
      <c r="D321" s="2" t="s">
        <v>136</v>
      </c>
      <c r="E321" s="2" t="s">
        <v>12593</v>
      </c>
      <c r="F321" s="2" t="s">
        <v>12432</v>
      </c>
      <c r="G321" s="2" t="s">
        <v>13243</v>
      </c>
      <c r="H321" s="2" t="s">
        <v>76</v>
      </c>
      <c r="I321" s="9">
        <v>16020640</v>
      </c>
      <c r="J321" s="7">
        <v>6.2500000000000001E-5</v>
      </c>
      <c r="K321" s="9">
        <v>1001.29</v>
      </c>
      <c r="L321" s="14">
        <v>0</v>
      </c>
      <c r="M321" s="2" t="s">
        <v>71</v>
      </c>
      <c r="N321" s="2" t="s">
        <v>12595</v>
      </c>
      <c r="O321" s="2" t="s">
        <v>13244</v>
      </c>
      <c r="P321" s="9">
        <v>0</v>
      </c>
      <c r="Q321" s="9">
        <v>0</v>
      </c>
      <c r="R321" s="2" t="s">
        <v>12624</v>
      </c>
    </row>
    <row r="322" spans="1:18" x14ac:dyDescent="0.25">
      <c r="A322" s="2" t="s">
        <v>1409</v>
      </c>
      <c r="B322" s="6">
        <v>46174</v>
      </c>
      <c r="C322" s="8">
        <v>46194</v>
      </c>
      <c r="D322" s="2" t="s">
        <v>136</v>
      </c>
      <c r="E322" s="2" t="s">
        <v>12593</v>
      </c>
      <c r="F322" s="2" t="s">
        <v>12423</v>
      </c>
      <c r="G322" s="2" t="s">
        <v>13245</v>
      </c>
      <c r="H322" s="2" t="s">
        <v>70</v>
      </c>
      <c r="I322" s="9">
        <v>1765.864662</v>
      </c>
      <c r="J322" s="7">
        <v>0.66500000000000004</v>
      </c>
      <c r="K322" s="9">
        <v>1174.3</v>
      </c>
      <c r="L322" s="14">
        <v>0</v>
      </c>
      <c r="M322" s="2" t="s">
        <v>71</v>
      </c>
      <c r="N322" s="2" t="s">
        <v>12595</v>
      </c>
      <c r="O322" s="2" t="s">
        <v>13246</v>
      </c>
      <c r="P322" s="9">
        <v>0</v>
      </c>
      <c r="Q322" s="9">
        <v>0</v>
      </c>
      <c r="R322" s="2" t="s">
        <v>12597</v>
      </c>
    </row>
    <row r="323" spans="1:18" x14ac:dyDescent="0.25">
      <c r="A323" s="2" t="s">
        <v>1412</v>
      </c>
      <c r="B323" s="6">
        <v>46174</v>
      </c>
      <c r="C323" s="8">
        <v>46195</v>
      </c>
      <c r="D323" s="2" t="s">
        <v>136</v>
      </c>
      <c r="E323" s="2" t="s">
        <v>12593</v>
      </c>
      <c r="F323" s="2" t="s">
        <v>12424</v>
      </c>
      <c r="G323" s="2" t="s">
        <v>13247</v>
      </c>
      <c r="H323" s="2" t="s">
        <v>39</v>
      </c>
      <c r="I323" s="9">
        <v>1347.31</v>
      </c>
      <c r="J323" s="7">
        <v>1</v>
      </c>
      <c r="K323" s="9">
        <v>1347.31</v>
      </c>
      <c r="L323" s="14">
        <v>0</v>
      </c>
      <c r="M323" s="2" t="s">
        <v>71</v>
      </c>
      <c r="N323" s="2" t="s">
        <v>12595</v>
      </c>
      <c r="O323" s="2" t="s">
        <v>13248</v>
      </c>
      <c r="P323" s="9">
        <v>0</v>
      </c>
      <c r="Q323" s="9">
        <v>0</v>
      </c>
      <c r="R323" s="2" t="s">
        <v>12600</v>
      </c>
    </row>
    <row r="324" spans="1:18" x14ac:dyDescent="0.25">
      <c r="A324" s="2" t="s">
        <v>1415</v>
      </c>
      <c r="B324" s="6">
        <v>46174</v>
      </c>
      <c r="C324" s="8">
        <v>46196</v>
      </c>
      <c r="D324" s="2" t="s">
        <v>136</v>
      </c>
      <c r="E324" s="2" t="s">
        <v>12593</v>
      </c>
      <c r="F324" s="2" t="s">
        <v>12425</v>
      </c>
      <c r="G324" s="2" t="s">
        <v>13249</v>
      </c>
      <c r="H324" s="2" t="s">
        <v>76</v>
      </c>
      <c r="I324" s="9">
        <v>24325120</v>
      </c>
      <c r="J324" s="7">
        <v>6.2500000000000001E-5</v>
      </c>
      <c r="K324" s="9">
        <v>1520.32</v>
      </c>
      <c r="L324" s="14">
        <v>0</v>
      </c>
      <c r="M324" s="2" t="s">
        <v>71</v>
      </c>
      <c r="N324" s="2" t="s">
        <v>12595</v>
      </c>
      <c r="O324" s="2" t="s">
        <v>13250</v>
      </c>
      <c r="P324" s="9">
        <v>0</v>
      </c>
      <c r="Q324" s="9">
        <v>0</v>
      </c>
      <c r="R324" s="2" t="s">
        <v>12603</v>
      </c>
    </row>
    <row r="325" spans="1:18" x14ac:dyDescent="0.25">
      <c r="A325" s="2" t="s">
        <v>1418</v>
      </c>
      <c r="B325" s="6">
        <v>46174</v>
      </c>
      <c r="C325" s="8">
        <v>46197</v>
      </c>
      <c r="D325" s="2" t="s">
        <v>136</v>
      </c>
      <c r="E325" s="2" t="s">
        <v>12593</v>
      </c>
      <c r="F325" s="2" t="s">
        <v>12426</v>
      </c>
      <c r="G325" s="2" t="s">
        <v>13251</v>
      </c>
      <c r="H325" s="2" t="s">
        <v>70</v>
      </c>
      <c r="I325" s="9">
        <v>2546.3609019999999</v>
      </c>
      <c r="J325" s="7">
        <v>0.66500000000000004</v>
      </c>
      <c r="K325" s="9">
        <v>1693.33</v>
      </c>
      <c r="L325" s="14">
        <v>0</v>
      </c>
      <c r="M325" s="2" t="s">
        <v>71</v>
      </c>
      <c r="N325" s="2" t="s">
        <v>12595</v>
      </c>
      <c r="O325" s="2" t="s">
        <v>13252</v>
      </c>
      <c r="P325" s="9">
        <v>0</v>
      </c>
      <c r="Q325" s="9">
        <v>0</v>
      </c>
      <c r="R325" s="2" t="s">
        <v>12606</v>
      </c>
    </row>
    <row r="326" spans="1:18" x14ac:dyDescent="0.25">
      <c r="A326" s="2" t="s">
        <v>1423</v>
      </c>
      <c r="B326" s="6">
        <v>46174</v>
      </c>
      <c r="C326" s="8">
        <v>46198</v>
      </c>
      <c r="D326" s="2" t="s">
        <v>136</v>
      </c>
      <c r="E326" s="2" t="s">
        <v>12593</v>
      </c>
      <c r="F326" s="2" t="s">
        <v>12427</v>
      </c>
      <c r="G326" s="2" t="s">
        <v>13253</v>
      </c>
      <c r="H326" s="2" t="s">
        <v>39</v>
      </c>
      <c r="I326" s="9">
        <v>1866.34</v>
      </c>
      <c r="J326" s="7">
        <v>1</v>
      </c>
      <c r="K326" s="9">
        <v>1866.34</v>
      </c>
      <c r="L326" s="14">
        <v>0</v>
      </c>
      <c r="M326" s="2" t="s">
        <v>71</v>
      </c>
      <c r="N326" s="2" t="s">
        <v>12595</v>
      </c>
      <c r="O326" s="2" t="s">
        <v>13254</v>
      </c>
      <c r="P326" s="9">
        <v>0</v>
      </c>
      <c r="Q326" s="9">
        <v>0</v>
      </c>
      <c r="R326" s="2" t="s">
        <v>12609</v>
      </c>
    </row>
    <row r="327" spans="1:18" x14ac:dyDescent="0.25">
      <c r="A327" s="2" t="s">
        <v>1428</v>
      </c>
      <c r="B327" s="6">
        <v>46174</v>
      </c>
      <c r="C327" s="8">
        <v>46199</v>
      </c>
      <c r="D327" s="2" t="s">
        <v>136</v>
      </c>
      <c r="E327" s="2" t="s">
        <v>12593</v>
      </c>
      <c r="F327" s="2" t="s">
        <v>12428</v>
      </c>
      <c r="G327" s="2" t="s">
        <v>13255</v>
      </c>
      <c r="H327" s="2" t="s">
        <v>76</v>
      </c>
      <c r="I327" s="9">
        <v>32629600</v>
      </c>
      <c r="J327" s="7">
        <v>6.2500000000000001E-5</v>
      </c>
      <c r="K327" s="9">
        <v>2039.35</v>
      </c>
      <c r="L327" s="14">
        <v>0</v>
      </c>
      <c r="M327" s="2" t="s">
        <v>71</v>
      </c>
      <c r="N327" s="2" t="s">
        <v>12595</v>
      </c>
      <c r="O327" s="2" t="s">
        <v>13256</v>
      </c>
      <c r="P327" s="9">
        <v>0</v>
      </c>
      <c r="Q327" s="9">
        <v>0</v>
      </c>
      <c r="R327" s="2" t="s">
        <v>12612</v>
      </c>
    </row>
    <row r="328" spans="1:18" x14ac:dyDescent="0.25">
      <c r="A328" s="2" t="s">
        <v>1431</v>
      </c>
      <c r="B328" s="6">
        <v>46174</v>
      </c>
      <c r="C328" s="8">
        <v>46200</v>
      </c>
      <c r="D328" s="2" t="s">
        <v>136</v>
      </c>
      <c r="E328" s="2" t="s">
        <v>12593</v>
      </c>
      <c r="F328" s="2" t="s">
        <v>12429</v>
      </c>
      <c r="G328" s="2" t="s">
        <v>13257</v>
      </c>
      <c r="H328" s="2" t="s">
        <v>70</v>
      </c>
      <c r="I328" s="9">
        <v>3326.8571430000002</v>
      </c>
      <c r="J328" s="7">
        <v>0.66500000000000004</v>
      </c>
      <c r="K328" s="9">
        <v>2212.36</v>
      </c>
      <c r="L328" s="14">
        <v>0</v>
      </c>
      <c r="M328" s="2" t="s">
        <v>71</v>
      </c>
      <c r="N328" s="2" t="s">
        <v>12595</v>
      </c>
      <c r="O328" s="2" t="s">
        <v>13258</v>
      </c>
      <c r="P328" s="9">
        <v>0</v>
      </c>
      <c r="Q328" s="9">
        <v>0</v>
      </c>
      <c r="R328" s="2" t="s">
        <v>12615</v>
      </c>
    </row>
    <row r="329" spans="1:18" x14ac:dyDescent="0.25">
      <c r="A329" s="2" t="s">
        <v>1434</v>
      </c>
      <c r="B329" s="6">
        <v>46174</v>
      </c>
      <c r="C329" s="8">
        <v>46201</v>
      </c>
      <c r="D329" s="2" t="s">
        <v>136</v>
      </c>
      <c r="E329" s="2" t="s">
        <v>12593</v>
      </c>
      <c r="F329" s="2" t="s">
        <v>12430</v>
      </c>
      <c r="G329" s="2" t="s">
        <v>13259</v>
      </c>
      <c r="H329" s="2" t="s">
        <v>39</v>
      </c>
      <c r="I329" s="9">
        <v>-2385.37</v>
      </c>
      <c r="J329" s="7">
        <v>1</v>
      </c>
      <c r="K329" s="9">
        <v>-2385.37</v>
      </c>
      <c r="L329" s="14">
        <v>0</v>
      </c>
      <c r="M329" s="2" t="s">
        <v>71</v>
      </c>
      <c r="N329" s="2" t="s">
        <v>12595</v>
      </c>
      <c r="O329" s="2" t="s">
        <v>13260</v>
      </c>
      <c r="P329" s="9">
        <v>0</v>
      </c>
      <c r="Q329" s="9">
        <v>0</v>
      </c>
      <c r="R329" s="2" t="s">
        <v>12618</v>
      </c>
    </row>
    <row r="330" spans="1:18" x14ac:dyDescent="0.25">
      <c r="A330" s="2" t="s">
        <v>1437</v>
      </c>
      <c r="B330" s="6">
        <v>46174</v>
      </c>
      <c r="C330" s="8">
        <v>46202</v>
      </c>
      <c r="D330" s="2" t="s">
        <v>136</v>
      </c>
      <c r="E330" s="2" t="s">
        <v>12593</v>
      </c>
      <c r="F330" s="2" t="s">
        <v>12431</v>
      </c>
      <c r="G330" s="2" t="s">
        <v>13261</v>
      </c>
      <c r="H330" s="2" t="s">
        <v>76</v>
      </c>
      <c r="I330" s="9">
        <v>40934080</v>
      </c>
      <c r="J330" s="7">
        <v>6.2500000000000001E-5</v>
      </c>
      <c r="K330" s="9">
        <v>2558.38</v>
      </c>
      <c r="L330" s="14">
        <v>0</v>
      </c>
      <c r="M330" s="2" t="s">
        <v>71</v>
      </c>
      <c r="N330" s="2" t="s">
        <v>12595</v>
      </c>
      <c r="O330" s="2" t="s">
        <v>13262</v>
      </c>
      <c r="P330" s="9">
        <v>0</v>
      </c>
      <c r="Q330" s="9">
        <v>0</v>
      </c>
      <c r="R330" s="2" t="s">
        <v>12621</v>
      </c>
    </row>
    <row r="331" spans="1:18" x14ac:dyDescent="0.25">
      <c r="A331" s="2" t="s">
        <v>1440</v>
      </c>
      <c r="B331" s="6">
        <v>46174</v>
      </c>
      <c r="C331" s="8">
        <v>46203</v>
      </c>
      <c r="D331" s="2" t="s">
        <v>136</v>
      </c>
      <c r="E331" s="2" t="s">
        <v>12593</v>
      </c>
      <c r="F331" s="2" t="s">
        <v>12432</v>
      </c>
      <c r="G331" s="2" t="s">
        <v>13263</v>
      </c>
      <c r="H331" s="2" t="s">
        <v>70</v>
      </c>
      <c r="I331" s="9">
        <v>4107.3533829999997</v>
      </c>
      <c r="J331" s="7">
        <v>0.66500000000000004</v>
      </c>
      <c r="K331" s="9">
        <v>2731.39</v>
      </c>
      <c r="L331" s="14">
        <v>0</v>
      </c>
      <c r="M331" s="2" t="s">
        <v>71</v>
      </c>
      <c r="N331" s="2" t="s">
        <v>12595</v>
      </c>
      <c r="O331" s="2" t="s">
        <v>13264</v>
      </c>
      <c r="P331" s="9">
        <v>0</v>
      </c>
      <c r="Q331" s="9">
        <v>0</v>
      </c>
      <c r="R331" s="2" t="s">
        <v>12624</v>
      </c>
    </row>
    <row r="332" spans="1:18" x14ac:dyDescent="0.25">
      <c r="A332" s="2" t="s">
        <v>1443</v>
      </c>
      <c r="B332" s="6">
        <v>46174</v>
      </c>
      <c r="C332" s="8">
        <v>46174</v>
      </c>
      <c r="D332" s="2" t="s">
        <v>136</v>
      </c>
      <c r="E332" s="2" t="s">
        <v>12593</v>
      </c>
      <c r="F332" s="2" t="s">
        <v>12423</v>
      </c>
      <c r="G332" s="2" t="s">
        <v>13265</v>
      </c>
      <c r="H332" s="2" t="s">
        <v>39</v>
      </c>
      <c r="I332" s="9">
        <v>2904.4</v>
      </c>
      <c r="J332" s="7">
        <v>1</v>
      </c>
      <c r="K332" s="9">
        <v>2904.4</v>
      </c>
      <c r="L332" s="14">
        <v>0</v>
      </c>
      <c r="M332" s="2" t="s">
        <v>71</v>
      </c>
      <c r="N332" s="2" t="s">
        <v>12595</v>
      </c>
      <c r="O332" s="2" t="s">
        <v>13266</v>
      </c>
      <c r="P332" s="9">
        <v>0</v>
      </c>
      <c r="Q332" s="9">
        <v>0</v>
      </c>
      <c r="R332" s="2" t="s">
        <v>12597</v>
      </c>
    </row>
    <row r="333" spans="1:18" x14ac:dyDescent="0.25">
      <c r="A333" s="2" t="s">
        <v>1446</v>
      </c>
      <c r="B333" s="6">
        <v>46174</v>
      </c>
      <c r="C333" s="8">
        <v>46175</v>
      </c>
      <c r="D333" s="2" t="s">
        <v>136</v>
      </c>
      <c r="E333" s="2" t="s">
        <v>12593</v>
      </c>
      <c r="F333" s="2" t="s">
        <v>12424</v>
      </c>
      <c r="G333" s="2" t="s">
        <v>13267</v>
      </c>
      <c r="H333" s="2" t="s">
        <v>76</v>
      </c>
      <c r="I333" s="9">
        <v>49238560</v>
      </c>
      <c r="J333" s="7">
        <v>6.2500000000000001E-5</v>
      </c>
      <c r="K333" s="9">
        <v>3077.41</v>
      </c>
      <c r="L333" s="14">
        <v>0</v>
      </c>
      <c r="M333" s="2" t="s">
        <v>71</v>
      </c>
      <c r="N333" s="2" t="s">
        <v>12595</v>
      </c>
      <c r="O333" s="2" t="s">
        <v>13268</v>
      </c>
      <c r="P333" s="9">
        <v>0</v>
      </c>
      <c r="Q333" s="9">
        <v>0</v>
      </c>
      <c r="R333" s="2" t="s">
        <v>12600</v>
      </c>
    </row>
    <row r="334" spans="1:18" x14ac:dyDescent="0.25">
      <c r="A334" s="2" t="s">
        <v>1449</v>
      </c>
      <c r="B334" s="6">
        <v>46174</v>
      </c>
      <c r="C334" s="8">
        <v>46176</v>
      </c>
      <c r="D334" s="2" t="s">
        <v>136</v>
      </c>
      <c r="E334" s="2" t="s">
        <v>12593</v>
      </c>
      <c r="F334" s="2" t="s">
        <v>12425</v>
      </c>
      <c r="G334" s="2" t="s">
        <v>13269</v>
      </c>
      <c r="H334" s="2" t="s">
        <v>70</v>
      </c>
      <c r="I334" s="9">
        <v>4887.8496240000004</v>
      </c>
      <c r="J334" s="7">
        <v>0.66500000000000004</v>
      </c>
      <c r="K334" s="9">
        <v>3250.42</v>
      </c>
      <c r="L334" s="14">
        <v>0</v>
      </c>
      <c r="M334" s="2" t="s">
        <v>71</v>
      </c>
      <c r="N334" s="2" t="s">
        <v>12595</v>
      </c>
      <c r="O334" s="2" t="s">
        <v>13270</v>
      </c>
      <c r="P334" s="9">
        <v>0</v>
      </c>
      <c r="Q334" s="9">
        <v>0</v>
      </c>
      <c r="R334" s="2" t="s">
        <v>12603</v>
      </c>
    </row>
    <row r="335" spans="1:18" x14ac:dyDescent="0.25">
      <c r="A335" s="2" t="s">
        <v>1452</v>
      </c>
      <c r="B335" s="6">
        <v>46204</v>
      </c>
      <c r="C335" s="8">
        <v>46227</v>
      </c>
      <c r="D335" s="2" t="s">
        <v>136</v>
      </c>
      <c r="E335" s="2" t="s">
        <v>12593</v>
      </c>
      <c r="F335" s="2" t="s">
        <v>12426</v>
      </c>
      <c r="G335" s="2" t="s">
        <v>13271</v>
      </c>
      <c r="H335" s="2" t="s">
        <v>39</v>
      </c>
      <c r="I335" s="9">
        <v>3423.43</v>
      </c>
      <c r="J335" s="7">
        <v>1</v>
      </c>
      <c r="K335" s="9">
        <v>3423.43</v>
      </c>
      <c r="L335" s="14">
        <v>0</v>
      </c>
      <c r="M335" s="2" t="s">
        <v>71</v>
      </c>
      <c r="N335" s="2" t="s">
        <v>13272</v>
      </c>
      <c r="O335" s="2" t="s">
        <v>13273</v>
      </c>
      <c r="P335" s="9">
        <v>0</v>
      </c>
      <c r="Q335" s="9">
        <v>0</v>
      </c>
      <c r="R335" s="2" t="s">
        <v>13274</v>
      </c>
    </row>
    <row r="336" spans="1:18" x14ac:dyDescent="0.25">
      <c r="A336" s="2" t="s">
        <v>1457</v>
      </c>
      <c r="B336" s="6">
        <v>46204</v>
      </c>
      <c r="C336" s="8">
        <v>46228</v>
      </c>
      <c r="D336" s="2" t="s">
        <v>136</v>
      </c>
      <c r="E336" s="2" t="s">
        <v>12593</v>
      </c>
      <c r="F336" s="2" t="s">
        <v>12427</v>
      </c>
      <c r="G336" s="2" t="s">
        <v>13275</v>
      </c>
      <c r="H336" s="2" t="s">
        <v>76</v>
      </c>
      <c r="I336" s="9">
        <v>58007096.774194002</v>
      </c>
      <c r="J336" s="7">
        <v>6.2000000000000003E-5</v>
      </c>
      <c r="K336" s="9">
        <v>3596.44</v>
      </c>
      <c r="L336" s="14">
        <v>0</v>
      </c>
      <c r="M336" s="2" t="s">
        <v>71</v>
      </c>
      <c r="N336" s="2" t="s">
        <v>13272</v>
      </c>
      <c r="O336" s="2" t="s">
        <v>13276</v>
      </c>
      <c r="P336" s="9">
        <v>0</v>
      </c>
      <c r="Q336" s="9">
        <v>0</v>
      </c>
      <c r="R336" s="2" t="s">
        <v>13277</v>
      </c>
    </row>
    <row r="337" spans="1:18" x14ac:dyDescent="0.25">
      <c r="A337" s="2" t="s">
        <v>1462</v>
      </c>
      <c r="B337" s="6">
        <v>46204</v>
      </c>
      <c r="C337" s="8">
        <v>46229</v>
      </c>
      <c r="D337" s="2" t="s">
        <v>136</v>
      </c>
      <c r="E337" s="2" t="s">
        <v>12593</v>
      </c>
      <c r="F337" s="2" t="s">
        <v>12428</v>
      </c>
      <c r="G337" s="2" t="s">
        <v>13278</v>
      </c>
      <c r="H337" s="2" t="s">
        <v>70</v>
      </c>
      <c r="I337" s="9">
        <v>5728.6474159999998</v>
      </c>
      <c r="J337" s="7">
        <v>0.65800000000000003</v>
      </c>
      <c r="K337" s="9">
        <v>3769.45</v>
      </c>
      <c r="L337" s="14">
        <v>0</v>
      </c>
      <c r="M337" s="2" t="s">
        <v>71</v>
      </c>
      <c r="N337" s="2" t="s">
        <v>13272</v>
      </c>
      <c r="O337" s="2" t="s">
        <v>13279</v>
      </c>
      <c r="P337" s="9">
        <v>0</v>
      </c>
      <c r="Q337" s="9">
        <v>0</v>
      </c>
      <c r="R337" s="2" t="s">
        <v>13280</v>
      </c>
    </row>
    <row r="338" spans="1:18" x14ac:dyDescent="0.25">
      <c r="A338" s="2" t="s">
        <v>1465</v>
      </c>
      <c r="B338" s="6">
        <v>46204</v>
      </c>
      <c r="C338" s="8">
        <v>46230</v>
      </c>
      <c r="D338" s="2" t="s">
        <v>136</v>
      </c>
      <c r="E338" s="2" t="s">
        <v>12593</v>
      </c>
      <c r="F338" s="2" t="s">
        <v>12429</v>
      </c>
      <c r="G338" s="2" t="s">
        <v>13281</v>
      </c>
      <c r="H338" s="2" t="s">
        <v>39</v>
      </c>
      <c r="I338" s="9">
        <v>3942.46</v>
      </c>
      <c r="J338" s="7">
        <v>1</v>
      </c>
      <c r="K338" s="9">
        <v>3942.46</v>
      </c>
      <c r="L338" s="14">
        <v>0</v>
      </c>
      <c r="M338" s="2" t="s">
        <v>71</v>
      </c>
      <c r="N338" s="2" t="s">
        <v>13272</v>
      </c>
      <c r="O338" s="2" t="s">
        <v>13282</v>
      </c>
      <c r="P338" s="9">
        <v>0</v>
      </c>
      <c r="Q338" s="9">
        <v>0</v>
      </c>
      <c r="R338" s="2" t="s">
        <v>13283</v>
      </c>
    </row>
    <row r="339" spans="1:18" x14ac:dyDescent="0.25">
      <c r="A339" s="2" t="s">
        <v>1468</v>
      </c>
      <c r="B339" s="6">
        <v>46204</v>
      </c>
      <c r="C339" s="8">
        <v>46231</v>
      </c>
      <c r="D339" s="2" t="s">
        <v>136</v>
      </c>
      <c r="E339" s="2" t="s">
        <v>12593</v>
      </c>
      <c r="F339" s="2" t="s">
        <v>12430</v>
      </c>
      <c r="G339" s="2" t="s">
        <v>13284</v>
      </c>
      <c r="H339" s="2" t="s">
        <v>76</v>
      </c>
      <c r="I339" s="9">
        <v>66378548.387097001</v>
      </c>
      <c r="J339" s="7">
        <v>6.2000000000000003E-5</v>
      </c>
      <c r="K339" s="9">
        <v>4115.47</v>
      </c>
      <c r="L339" s="14">
        <v>0</v>
      </c>
      <c r="M339" s="2" t="s">
        <v>71</v>
      </c>
      <c r="N339" s="2" t="s">
        <v>13272</v>
      </c>
      <c r="O339" s="2" t="s">
        <v>13285</v>
      </c>
      <c r="P339" s="9">
        <v>0</v>
      </c>
      <c r="Q339" s="9">
        <v>0</v>
      </c>
      <c r="R339" s="2" t="s">
        <v>13286</v>
      </c>
    </row>
    <row r="340" spans="1:18" x14ac:dyDescent="0.25">
      <c r="A340" s="2" t="s">
        <v>1473</v>
      </c>
      <c r="B340" s="6">
        <v>46204</v>
      </c>
      <c r="C340" s="8">
        <v>46232</v>
      </c>
      <c r="D340" s="2" t="s">
        <v>136</v>
      </c>
      <c r="E340" s="2" t="s">
        <v>12593</v>
      </c>
      <c r="F340" s="2" t="s">
        <v>12431</v>
      </c>
      <c r="G340" s="2" t="s">
        <v>13287</v>
      </c>
      <c r="H340" s="2" t="s">
        <v>70</v>
      </c>
      <c r="I340" s="9">
        <v>6517.446809</v>
      </c>
      <c r="J340" s="7">
        <v>0.65800000000000003</v>
      </c>
      <c r="K340" s="9">
        <v>4288.4799999999996</v>
      </c>
      <c r="L340" s="14">
        <v>0</v>
      </c>
      <c r="M340" s="2" t="s">
        <v>71</v>
      </c>
      <c r="N340" s="2" t="s">
        <v>13272</v>
      </c>
      <c r="O340" s="2" t="s">
        <v>13288</v>
      </c>
      <c r="P340" s="9">
        <v>0</v>
      </c>
      <c r="Q340" s="9">
        <v>0</v>
      </c>
      <c r="R340" s="2" t="s">
        <v>13289</v>
      </c>
    </row>
    <row r="341" spans="1:18" x14ac:dyDescent="0.25">
      <c r="A341" s="2" t="s">
        <v>1476</v>
      </c>
      <c r="B341" s="6">
        <v>46204</v>
      </c>
      <c r="C341" s="8">
        <v>46233</v>
      </c>
      <c r="D341" s="2" t="s">
        <v>136</v>
      </c>
      <c r="E341" s="2" t="s">
        <v>12593</v>
      </c>
      <c r="F341" s="2" t="s">
        <v>12432</v>
      </c>
      <c r="G341" s="2" t="s">
        <v>13290</v>
      </c>
      <c r="H341" s="2" t="s">
        <v>39</v>
      </c>
      <c r="I341" s="9">
        <v>4461.49</v>
      </c>
      <c r="J341" s="7">
        <v>1</v>
      </c>
      <c r="K341" s="9">
        <v>4461.49</v>
      </c>
      <c r="L341" s="14">
        <v>0</v>
      </c>
      <c r="M341" s="2" t="s">
        <v>71</v>
      </c>
      <c r="N341" s="2" t="s">
        <v>13272</v>
      </c>
      <c r="O341" s="2" t="s">
        <v>13291</v>
      </c>
      <c r="P341" s="9">
        <v>0</v>
      </c>
      <c r="Q341" s="9">
        <v>0</v>
      </c>
      <c r="R341" s="2" t="s">
        <v>13292</v>
      </c>
    </row>
    <row r="342" spans="1:18" x14ac:dyDescent="0.25">
      <c r="A342" s="2" t="s">
        <v>1479</v>
      </c>
      <c r="B342" s="6">
        <v>46204</v>
      </c>
      <c r="C342" s="8">
        <v>46234</v>
      </c>
      <c r="D342" s="2" t="s">
        <v>136</v>
      </c>
      <c r="E342" s="2" t="s">
        <v>12593</v>
      </c>
      <c r="F342" s="2" t="s">
        <v>12423</v>
      </c>
      <c r="G342" s="2" t="s">
        <v>13293</v>
      </c>
      <c r="H342" s="2" t="s">
        <v>76</v>
      </c>
      <c r="I342" s="9">
        <v>74750000</v>
      </c>
      <c r="J342" s="7">
        <v>6.2000000000000003E-5</v>
      </c>
      <c r="K342" s="9">
        <v>4634.5</v>
      </c>
      <c r="L342" s="14">
        <v>0</v>
      </c>
      <c r="M342" s="2" t="s">
        <v>71</v>
      </c>
      <c r="N342" s="2" t="s">
        <v>13272</v>
      </c>
      <c r="O342" s="2" t="s">
        <v>13294</v>
      </c>
      <c r="P342" s="9">
        <v>0</v>
      </c>
      <c r="Q342" s="9">
        <v>0</v>
      </c>
      <c r="R342" s="2" t="s">
        <v>13295</v>
      </c>
    </row>
    <row r="343" spans="1:18" x14ac:dyDescent="0.25">
      <c r="A343" s="2" t="s">
        <v>1482</v>
      </c>
      <c r="B343" s="6">
        <v>46204</v>
      </c>
      <c r="C343" s="8">
        <v>46204</v>
      </c>
      <c r="D343" s="2" t="s">
        <v>136</v>
      </c>
      <c r="E343" s="2" t="s">
        <v>12593</v>
      </c>
      <c r="F343" s="2" t="s">
        <v>12424</v>
      </c>
      <c r="G343" s="2" t="s">
        <v>13296</v>
      </c>
      <c r="H343" s="2" t="s">
        <v>70</v>
      </c>
      <c r="I343" s="9">
        <v>7306.2462009999999</v>
      </c>
      <c r="J343" s="7">
        <v>0.65800000000000003</v>
      </c>
      <c r="K343" s="9">
        <v>4807.51</v>
      </c>
      <c r="L343" s="14">
        <v>0</v>
      </c>
      <c r="M343" s="2" t="s">
        <v>71</v>
      </c>
      <c r="N343" s="2" t="s">
        <v>13272</v>
      </c>
      <c r="O343" s="2" t="s">
        <v>13297</v>
      </c>
      <c r="P343" s="9">
        <v>0</v>
      </c>
      <c r="Q343" s="9">
        <v>0</v>
      </c>
      <c r="R343" s="2" t="s">
        <v>13298</v>
      </c>
    </row>
    <row r="344" spans="1:18" x14ac:dyDescent="0.25">
      <c r="A344" s="2" t="s">
        <v>1485</v>
      </c>
      <c r="B344" s="6">
        <v>46204</v>
      </c>
      <c r="C344" s="8">
        <v>46205</v>
      </c>
      <c r="D344" s="2" t="s">
        <v>136</v>
      </c>
      <c r="E344" s="2" t="s">
        <v>12593</v>
      </c>
      <c r="F344" s="2" t="s">
        <v>12425</v>
      </c>
      <c r="G344" s="2" t="s">
        <v>13299</v>
      </c>
      <c r="H344" s="2" t="s">
        <v>39</v>
      </c>
      <c r="I344" s="9">
        <v>4980.5200000000004</v>
      </c>
      <c r="J344" s="7">
        <v>1</v>
      </c>
      <c r="K344" s="9">
        <v>4980.5200000000004</v>
      </c>
      <c r="L344" s="14">
        <v>0</v>
      </c>
      <c r="M344" s="2" t="s">
        <v>71</v>
      </c>
      <c r="N344" s="2" t="s">
        <v>13272</v>
      </c>
      <c r="O344" s="2" t="s">
        <v>13300</v>
      </c>
      <c r="P344" s="9">
        <v>0</v>
      </c>
      <c r="Q344" s="9">
        <v>0</v>
      </c>
      <c r="R344" s="2" t="s">
        <v>13301</v>
      </c>
    </row>
    <row r="345" spans="1:18" x14ac:dyDescent="0.25">
      <c r="A345" s="2" t="s">
        <v>1488</v>
      </c>
      <c r="B345" s="6">
        <v>46204</v>
      </c>
      <c r="C345" s="8">
        <v>46206</v>
      </c>
      <c r="D345" s="2" t="s">
        <v>136</v>
      </c>
      <c r="E345" s="2" t="s">
        <v>12593</v>
      </c>
      <c r="F345" s="2" t="s">
        <v>12426</v>
      </c>
      <c r="G345" s="2" t="s">
        <v>13302</v>
      </c>
      <c r="H345" s="2" t="s">
        <v>76</v>
      </c>
      <c r="I345" s="9">
        <v>83121451.612902999</v>
      </c>
      <c r="J345" s="7">
        <v>6.2000000000000003E-5</v>
      </c>
      <c r="K345" s="9">
        <v>5153.53</v>
      </c>
      <c r="L345" s="14">
        <v>0</v>
      </c>
      <c r="M345" s="2" t="s">
        <v>71</v>
      </c>
      <c r="N345" s="2" t="s">
        <v>13272</v>
      </c>
      <c r="O345" s="2" t="s">
        <v>13303</v>
      </c>
      <c r="P345" s="9">
        <v>0</v>
      </c>
      <c r="Q345" s="9">
        <v>0</v>
      </c>
      <c r="R345" s="2" t="s">
        <v>13274</v>
      </c>
    </row>
    <row r="346" spans="1:18" x14ac:dyDescent="0.25">
      <c r="A346" s="2" t="s">
        <v>1493</v>
      </c>
      <c r="B346" s="6">
        <v>46204</v>
      </c>
      <c r="C346" s="8">
        <v>46207</v>
      </c>
      <c r="D346" s="2" t="s">
        <v>136</v>
      </c>
      <c r="E346" s="2" t="s">
        <v>12593</v>
      </c>
      <c r="F346" s="2" t="s">
        <v>12427</v>
      </c>
      <c r="G346" s="2" t="s">
        <v>13304</v>
      </c>
      <c r="H346" s="2" t="s">
        <v>70</v>
      </c>
      <c r="I346" s="9">
        <v>8095.0455929999998</v>
      </c>
      <c r="J346" s="7">
        <v>0.65800000000000003</v>
      </c>
      <c r="K346" s="9">
        <v>5326.54</v>
      </c>
      <c r="L346" s="14">
        <v>0</v>
      </c>
      <c r="M346" s="2" t="s">
        <v>71</v>
      </c>
      <c r="N346" s="2" t="s">
        <v>13272</v>
      </c>
      <c r="O346" s="2" t="s">
        <v>13305</v>
      </c>
      <c r="P346" s="9">
        <v>0</v>
      </c>
      <c r="Q346" s="9">
        <v>0</v>
      </c>
      <c r="R346" s="2" t="s">
        <v>13277</v>
      </c>
    </row>
    <row r="347" spans="1:18" x14ac:dyDescent="0.25">
      <c r="A347" s="2" t="s">
        <v>1498</v>
      </c>
      <c r="B347" s="6">
        <v>46204</v>
      </c>
      <c r="C347" s="8">
        <v>46208</v>
      </c>
      <c r="D347" s="2" t="s">
        <v>136</v>
      </c>
      <c r="E347" s="2" t="s">
        <v>12593</v>
      </c>
      <c r="F347" s="2" t="s">
        <v>12428</v>
      </c>
      <c r="G347" s="2" t="s">
        <v>13306</v>
      </c>
      <c r="H347" s="2" t="s">
        <v>39</v>
      </c>
      <c r="I347" s="9">
        <v>5499.55</v>
      </c>
      <c r="J347" s="7">
        <v>1</v>
      </c>
      <c r="K347" s="9">
        <v>5499.55</v>
      </c>
      <c r="L347" s="14">
        <v>0</v>
      </c>
      <c r="M347" s="2" t="s">
        <v>71</v>
      </c>
      <c r="N347" s="2" t="s">
        <v>13272</v>
      </c>
      <c r="O347" s="2" t="s">
        <v>13307</v>
      </c>
      <c r="P347" s="9">
        <v>0</v>
      </c>
      <c r="Q347" s="9">
        <v>0</v>
      </c>
      <c r="R347" s="2" t="s">
        <v>13280</v>
      </c>
    </row>
    <row r="348" spans="1:18" x14ac:dyDescent="0.25">
      <c r="A348" s="2" t="s">
        <v>1501</v>
      </c>
      <c r="B348" s="6">
        <v>46204</v>
      </c>
      <c r="C348" s="8">
        <v>46209</v>
      </c>
      <c r="D348" s="2" t="s">
        <v>136</v>
      </c>
      <c r="E348" s="2" t="s">
        <v>12593</v>
      </c>
      <c r="F348" s="2" t="s">
        <v>12429</v>
      </c>
      <c r="G348" s="2" t="s">
        <v>13308</v>
      </c>
      <c r="H348" s="2" t="s">
        <v>76</v>
      </c>
      <c r="I348" s="9">
        <v>91492903.225805998</v>
      </c>
      <c r="J348" s="7">
        <v>6.2000000000000003E-5</v>
      </c>
      <c r="K348" s="9">
        <v>5672.56</v>
      </c>
      <c r="L348" s="14">
        <v>0</v>
      </c>
      <c r="M348" s="2" t="s">
        <v>71</v>
      </c>
      <c r="N348" s="2" t="s">
        <v>13272</v>
      </c>
      <c r="O348" s="2" t="s">
        <v>13309</v>
      </c>
      <c r="P348" s="9">
        <v>0</v>
      </c>
      <c r="Q348" s="9">
        <v>0</v>
      </c>
      <c r="R348" s="2" t="s">
        <v>13283</v>
      </c>
    </row>
    <row r="349" spans="1:18" x14ac:dyDescent="0.25">
      <c r="A349" s="2" t="s">
        <v>1504</v>
      </c>
      <c r="B349" s="6">
        <v>46204</v>
      </c>
      <c r="C349" s="8">
        <v>46210</v>
      </c>
      <c r="D349" s="2" t="s">
        <v>136</v>
      </c>
      <c r="E349" s="2" t="s">
        <v>12593</v>
      </c>
      <c r="F349" s="2" t="s">
        <v>12430</v>
      </c>
      <c r="G349" s="2" t="s">
        <v>13310</v>
      </c>
      <c r="H349" s="2" t="s">
        <v>70</v>
      </c>
      <c r="I349" s="9">
        <v>8883.8449849999997</v>
      </c>
      <c r="J349" s="7">
        <v>0.65800000000000003</v>
      </c>
      <c r="K349" s="9">
        <v>5845.57</v>
      </c>
      <c r="L349" s="14">
        <v>0</v>
      </c>
      <c r="M349" s="2" t="s">
        <v>71</v>
      </c>
      <c r="N349" s="2" t="s">
        <v>13272</v>
      </c>
      <c r="O349" s="2" t="s">
        <v>13311</v>
      </c>
      <c r="P349" s="9">
        <v>0</v>
      </c>
      <c r="Q349" s="9">
        <v>0</v>
      </c>
      <c r="R349" s="2" t="s">
        <v>13286</v>
      </c>
    </row>
    <row r="350" spans="1:18" x14ac:dyDescent="0.25">
      <c r="A350" s="2" t="s">
        <v>1509</v>
      </c>
      <c r="B350" s="6">
        <v>46204</v>
      </c>
      <c r="C350" s="8">
        <v>46211</v>
      </c>
      <c r="D350" s="2" t="s">
        <v>136</v>
      </c>
      <c r="E350" s="2" t="s">
        <v>12593</v>
      </c>
      <c r="F350" s="2" t="s">
        <v>12431</v>
      </c>
      <c r="G350" s="2" t="s">
        <v>13312</v>
      </c>
      <c r="H350" s="2" t="s">
        <v>39</v>
      </c>
      <c r="I350" s="9">
        <v>6018.58</v>
      </c>
      <c r="J350" s="7">
        <v>1</v>
      </c>
      <c r="K350" s="9">
        <v>6018.58</v>
      </c>
      <c r="L350" s="14">
        <v>0</v>
      </c>
      <c r="M350" s="2" t="s">
        <v>71</v>
      </c>
      <c r="N350" s="2" t="s">
        <v>13272</v>
      </c>
      <c r="O350" s="2" t="s">
        <v>13313</v>
      </c>
      <c r="P350" s="9">
        <v>0</v>
      </c>
      <c r="Q350" s="9">
        <v>0</v>
      </c>
      <c r="R350" s="2" t="s">
        <v>13289</v>
      </c>
    </row>
    <row r="351" spans="1:18" x14ac:dyDescent="0.25">
      <c r="A351" s="2" t="s">
        <v>1512</v>
      </c>
      <c r="B351" s="6">
        <v>46204</v>
      </c>
      <c r="C351" s="8">
        <v>46212</v>
      </c>
      <c r="D351" s="2" t="s">
        <v>136</v>
      </c>
      <c r="E351" s="2" t="s">
        <v>12593</v>
      </c>
      <c r="F351" s="2" t="s">
        <v>12432</v>
      </c>
      <c r="G351" s="2" t="s">
        <v>13314</v>
      </c>
      <c r="H351" s="2" t="s">
        <v>76</v>
      </c>
      <c r="I351" s="9">
        <v>99864354.838709995</v>
      </c>
      <c r="J351" s="7">
        <v>6.2000000000000003E-5</v>
      </c>
      <c r="K351" s="9">
        <v>6191.59</v>
      </c>
      <c r="L351" s="14">
        <v>0</v>
      </c>
      <c r="M351" s="2" t="s">
        <v>71</v>
      </c>
      <c r="N351" s="2" t="s">
        <v>13272</v>
      </c>
      <c r="O351" s="2" t="s">
        <v>13315</v>
      </c>
      <c r="P351" s="9">
        <v>0</v>
      </c>
      <c r="Q351" s="9">
        <v>0</v>
      </c>
      <c r="R351" s="2" t="s">
        <v>13292</v>
      </c>
    </row>
    <row r="352" spans="1:18" x14ac:dyDescent="0.25">
      <c r="A352" s="2" t="s">
        <v>1515</v>
      </c>
      <c r="B352" s="6">
        <v>46204</v>
      </c>
      <c r="C352" s="8">
        <v>46213</v>
      </c>
      <c r="D352" s="2" t="s">
        <v>136</v>
      </c>
      <c r="E352" s="2" t="s">
        <v>12593</v>
      </c>
      <c r="F352" s="2" t="s">
        <v>12423</v>
      </c>
      <c r="G352" s="2" t="s">
        <v>13316</v>
      </c>
      <c r="H352" s="2" t="s">
        <v>70</v>
      </c>
      <c r="I352" s="9">
        <v>9672.6443770000005</v>
      </c>
      <c r="J352" s="7">
        <v>0.65800000000000003</v>
      </c>
      <c r="K352" s="9">
        <v>6364.6</v>
      </c>
      <c r="L352" s="14">
        <v>0</v>
      </c>
      <c r="M352" s="2" t="s">
        <v>71</v>
      </c>
      <c r="N352" s="2" t="s">
        <v>13272</v>
      </c>
      <c r="O352" s="2" t="s">
        <v>13317</v>
      </c>
      <c r="P352" s="9">
        <v>0</v>
      </c>
      <c r="Q352" s="9">
        <v>0</v>
      </c>
      <c r="R352" s="2" t="s">
        <v>13295</v>
      </c>
    </row>
    <row r="353" spans="1:18" x14ac:dyDescent="0.25">
      <c r="A353" s="2" t="s">
        <v>1518</v>
      </c>
      <c r="B353" s="6">
        <v>46204</v>
      </c>
      <c r="C353" s="8">
        <v>46214</v>
      </c>
      <c r="D353" s="2" t="s">
        <v>136</v>
      </c>
      <c r="E353" s="2" t="s">
        <v>12593</v>
      </c>
      <c r="F353" s="2" t="s">
        <v>12424</v>
      </c>
      <c r="G353" s="2" t="s">
        <v>13318</v>
      </c>
      <c r="H353" s="2" t="s">
        <v>39</v>
      </c>
      <c r="I353" s="9">
        <v>6537.61</v>
      </c>
      <c r="J353" s="7">
        <v>1</v>
      </c>
      <c r="K353" s="9">
        <v>6537.61</v>
      </c>
      <c r="L353" s="14">
        <v>0</v>
      </c>
      <c r="M353" s="2" t="s">
        <v>71</v>
      </c>
      <c r="N353" s="2" t="s">
        <v>13272</v>
      </c>
      <c r="O353" s="2" t="s">
        <v>13319</v>
      </c>
      <c r="P353" s="9">
        <v>0</v>
      </c>
      <c r="Q353" s="9">
        <v>0</v>
      </c>
      <c r="R353" s="2" t="s">
        <v>13298</v>
      </c>
    </row>
    <row r="354" spans="1:18" x14ac:dyDescent="0.25">
      <c r="A354" s="2" t="s">
        <v>1521</v>
      </c>
      <c r="B354" s="6">
        <v>46204</v>
      </c>
      <c r="C354" s="8">
        <v>46215</v>
      </c>
      <c r="D354" s="2" t="s">
        <v>136</v>
      </c>
      <c r="E354" s="2" t="s">
        <v>12593</v>
      </c>
      <c r="F354" s="2" t="s">
        <v>12425</v>
      </c>
      <c r="G354" s="2" t="s">
        <v>13320</v>
      </c>
      <c r="H354" s="2" t="s">
        <v>76</v>
      </c>
      <c r="I354" s="9">
        <v>108235806.45161299</v>
      </c>
      <c r="J354" s="7">
        <v>6.2000000000000003E-5</v>
      </c>
      <c r="K354" s="9">
        <v>6710.62</v>
      </c>
      <c r="L354" s="14">
        <v>0</v>
      </c>
      <c r="M354" s="2" t="s">
        <v>71</v>
      </c>
      <c r="N354" s="2" t="s">
        <v>13272</v>
      </c>
      <c r="O354" s="2" t="s">
        <v>13321</v>
      </c>
      <c r="P354" s="9">
        <v>0</v>
      </c>
      <c r="Q354" s="9">
        <v>0</v>
      </c>
      <c r="R354" s="2" t="s">
        <v>13301</v>
      </c>
    </row>
    <row r="355" spans="1:18" x14ac:dyDescent="0.25">
      <c r="A355" s="2" t="s">
        <v>1524</v>
      </c>
      <c r="B355" s="6">
        <v>46204</v>
      </c>
      <c r="C355" s="8">
        <v>46216</v>
      </c>
      <c r="D355" s="2" t="s">
        <v>136</v>
      </c>
      <c r="E355" s="2" t="s">
        <v>12593</v>
      </c>
      <c r="F355" s="2" t="s">
        <v>12426</v>
      </c>
      <c r="G355" s="2" t="s">
        <v>13322</v>
      </c>
      <c r="H355" s="2" t="s">
        <v>70</v>
      </c>
      <c r="I355" s="9">
        <v>10461.443769</v>
      </c>
      <c r="J355" s="7">
        <v>0.65800000000000003</v>
      </c>
      <c r="K355" s="9">
        <v>6883.63</v>
      </c>
      <c r="L355" s="14">
        <v>0</v>
      </c>
      <c r="M355" s="2" t="s">
        <v>71</v>
      </c>
      <c r="N355" s="2" t="s">
        <v>13272</v>
      </c>
      <c r="O355" s="2" t="s">
        <v>13323</v>
      </c>
      <c r="P355" s="9">
        <v>0</v>
      </c>
      <c r="Q355" s="9">
        <v>0</v>
      </c>
      <c r="R355" s="2" t="s">
        <v>13274</v>
      </c>
    </row>
    <row r="356" spans="1:18" x14ac:dyDescent="0.25">
      <c r="A356" s="2" t="s">
        <v>1529</v>
      </c>
      <c r="B356" s="6">
        <v>46204</v>
      </c>
      <c r="C356" s="8">
        <v>46217</v>
      </c>
      <c r="D356" s="2" t="s">
        <v>136</v>
      </c>
      <c r="E356" s="2" t="s">
        <v>12593</v>
      </c>
      <c r="F356" s="2" t="s">
        <v>12427</v>
      </c>
      <c r="G356" s="2" t="s">
        <v>13324</v>
      </c>
      <c r="H356" s="2" t="s">
        <v>39</v>
      </c>
      <c r="I356" s="9">
        <v>7056.64</v>
      </c>
      <c r="J356" s="7">
        <v>1</v>
      </c>
      <c r="K356" s="9">
        <v>7056.64</v>
      </c>
      <c r="L356" s="14">
        <v>0</v>
      </c>
      <c r="M356" s="2" t="s">
        <v>71</v>
      </c>
      <c r="N356" s="2" t="s">
        <v>13272</v>
      </c>
      <c r="O356" s="2" t="s">
        <v>13325</v>
      </c>
      <c r="P356" s="9">
        <v>0</v>
      </c>
      <c r="Q356" s="9">
        <v>0</v>
      </c>
      <c r="R356" s="2" t="s">
        <v>13277</v>
      </c>
    </row>
    <row r="357" spans="1:18" x14ac:dyDescent="0.25">
      <c r="A357" s="2" t="s">
        <v>1534</v>
      </c>
      <c r="B357" s="6">
        <v>46204</v>
      </c>
      <c r="C357" s="8">
        <v>46218</v>
      </c>
      <c r="D357" s="2" t="s">
        <v>136</v>
      </c>
      <c r="E357" s="2" t="s">
        <v>12593</v>
      </c>
      <c r="F357" s="2" t="s">
        <v>12428</v>
      </c>
      <c r="G357" s="2" t="s">
        <v>13326</v>
      </c>
      <c r="H357" s="2" t="s">
        <v>76</v>
      </c>
      <c r="I357" s="9">
        <v>116607258.06451599</v>
      </c>
      <c r="J357" s="7">
        <v>6.2000000000000003E-5</v>
      </c>
      <c r="K357" s="9">
        <v>7229.65</v>
      </c>
      <c r="L357" s="14">
        <v>0</v>
      </c>
      <c r="M357" s="2" t="s">
        <v>71</v>
      </c>
      <c r="N357" s="2" t="s">
        <v>13272</v>
      </c>
      <c r="O357" s="2" t="s">
        <v>13327</v>
      </c>
      <c r="P357" s="9">
        <v>0</v>
      </c>
      <c r="Q357" s="9">
        <v>0</v>
      </c>
      <c r="R357" s="2" t="s">
        <v>13280</v>
      </c>
    </row>
    <row r="358" spans="1:18" x14ac:dyDescent="0.25">
      <c r="A358" s="2" t="s">
        <v>1537</v>
      </c>
      <c r="B358" s="6">
        <v>46204</v>
      </c>
      <c r="C358" s="8">
        <v>46219</v>
      </c>
      <c r="D358" s="2" t="s">
        <v>136</v>
      </c>
      <c r="E358" s="2" t="s">
        <v>12593</v>
      </c>
      <c r="F358" s="2" t="s">
        <v>12429</v>
      </c>
      <c r="G358" s="2" t="s">
        <v>13328</v>
      </c>
      <c r="H358" s="2" t="s">
        <v>70</v>
      </c>
      <c r="I358" s="9">
        <v>11250.243161</v>
      </c>
      <c r="J358" s="7">
        <v>0.65800000000000003</v>
      </c>
      <c r="K358" s="9">
        <v>7402.66</v>
      </c>
      <c r="L358" s="14">
        <v>0</v>
      </c>
      <c r="M358" s="2" t="s">
        <v>71</v>
      </c>
      <c r="N358" s="2" t="s">
        <v>13272</v>
      </c>
      <c r="O358" s="2" t="s">
        <v>13329</v>
      </c>
      <c r="P358" s="9">
        <v>0</v>
      </c>
      <c r="Q358" s="9">
        <v>0</v>
      </c>
      <c r="R358" s="2" t="s">
        <v>13283</v>
      </c>
    </row>
    <row r="359" spans="1:18" x14ac:dyDescent="0.25">
      <c r="A359" s="2" t="s">
        <v>1540</v>
      </c>
      <c r="B359" s="6">
        <v>46204</v>
      </c>
      <c r="C359" s="8">
        <v>46220</v>
      </c>
      <c r="D359" s="2" t="s">
        <v>136</v>
      </c>
      <c r="E359" s="2" t="s">
        <v>12593</v>
      </c>
      <c r="F359" s="2" t="s">
        <v>12430</v>
      </c>
      <c r="G359" s="2" t="s">
        <v>13330</v>
      </c>
      <c r="H359" s="2" t="s">
        <v>39</v>
      </c>
      <c r="I359" s="9">
        <v>7575.67</v>
      </c>
      <c r="J359" s="7">
        <v>1</v>
      </c>
      <c r="K359" s="9">
        <v>7575.67</v>
      </c>
      <c r="L359" s="14">
        <v>0</v>
      </c>
      <c r="M359" s="2" t="s">
        <v>71</v>
      </c>
      <c r="N359" s="2" t="s">
        <v>13272</v>
      </c>
      <c r="O359" s="2" t="s">
        <v>13331</v>
      </c>
      <c r="P359" s="9">
        <v>0</v>
      </c>
      <c r="Q359" s="9">
        <v>0</v>
      </c>
      <c r="R359" s="2" t="s">
        <v>13286</v>
      </c>
    </row>
    <row r="360" spans="1:18" x14ac:dyDescent="0.25">
      <c r="A360" s="2" t="s">
        <v>1545</v>
      </c>
      <c r="B360" s="6">
        <v>46204</v>
      </c>
      <c r="C360" s="8">
        <v>46221</v>
      </c>
      <c r="D360" s="2" t="s">
        <v>136</v>
      </c>
      <c r="E360" s="2" t="s">
        <v>12593</v>
      </c>
      <c r="F360" s="2" t="s">
        <v>12431</v>
      </c>
      <c r="G360" s="2" t="s">
        <v>13332</v>
      </c>
      <c r="H360" s="2" t="s">
        <v>76</v>
      </c>
      <c r="I360" s="9">
        <v>124978709.67741901</v>
      </c>
      <c r="J360" s="7">
        <v>6.2000000000000003E-5</v>
      </c>
      <c r="K360" s="9">
        <v>7748.68</v>
      </c>
      <c r="L360" s="14">
        <v>0</v>
      </c>
      <c r="M360" s="2" t="s">
        <v>71</v>
      </c>
      <c r="N360" s="2" t="s">
        <v>13272</v>
      </c>
      <c r="O360" s="2" t="s">
        <v>13333</v>
      </c>
      <c r="P360" s="9">
        <v>0</v>
      </c>
      <c r="Q360" s="9">
        <v>0</v>
      </c>
      <c r="R360" s="2" t="s">
        <v>13289</v>
      </c>
    </row>
    <row r="361" spans="1:18" x14ac:dyDescent="0.25">
      <c r="A361" s="2" t="s">
        <v>1548</v>
      </c>
      <c r="B361" s="6">
        <v>46204</v>
      </c>
      <c r="C361" s="8">
        <v>46222</v>
      </c>
      <c r="D361" s="2" t="s">
        <v>136</v>
      </c>
      <c r="E361" s="2" t="s">
        <v>12593</v>
      </c>
      <c r="F361" s="2" t="s">
        <v>12432</v>
      </c>
      <c r="G361" s="2" t="s">
        <v>13334</v>
      </c>
      <c r="H361" s="2" t="s">
        <v>70</v>
      </c>
      <c r="I361" s="9">
        <v>12039.042552999999</v>
      </c>
      <c r="J361" s="7">
        <v>0.65800000000000003</v>
      </c>
      <c r="K361" s="9">
        <v>7921.69</v>
      </c>
      <c r="L361" s="14">
        <v>0</v>
      </c>
      <c r="M361" s="2" t="s">
        <v>71</v>
      </c>
      <c r="N361" s="2" t="s">
        <v>13272</v>
      </c>
      <c r="O361" s="2" t="s">
        <v>13335</v>
      </c>
      <c r="P361" s="9">
        <v>0</v>
      </c>
      <c r="Q361" s="9">
        <v>0</v>
      </c>
      <c r="R361" s="2" t="s">
        <v>13292</v>
      </c>
    </row>
    <row r="362" spans="1:18" x14ac:dyDescent="0.25">
      <c r="A362" s="2" t="s">
        <v>1551</v>
      </c>
      <c r="B362" s="6">
        <v>46204</v>
      </c>
      <c r="C362" s="8">
        <v>46223</v>
      </c>
      <c r="D362" s="2" t="s">
        <v>136</v>
      </c>
      <c r="E362" s="2" t="s">
        <v>12593</v>
      </c>
      <c r="F362" s="2" t="s">
        <v>12423</v>
      </c>
      <c r="G362" s="2" t="s">
        <v>13336</v>
      </c>
      <c r="H362" s="2" t="s">
        <v>39</v>
      </c>
      <c r="I362" s="9">
        <v>8094.7</v>
      </c>
      <c r="J362" s="7">
        <v>1</v>
      </c>
      <c r="K362" s="9">
        <v>8094.7</v>
      </c>
      <c r="L362" s="14">
        <v>0</v>
      </c>
      <c r="M362" s="2" t="s">
        <v>71</v>
      </c>
      <c r="N362" s="2" t="s">
        <v>13272</v>
      </c>
      <c r="O362" s="2" t="s">
        <v>13337</v>
      </c>
      <c r="P362" s="9">
        <v>0</v>
      </c>
      <c r="Q362" s="9">
        <v>0</v>
      </c>
      <c r="R362" s="2" t="s">
        <v>13295</v>
      </c>
    </row>
    <row r="363" spans="1:18" x14ac:dyDescent="0.25">
      <c r="A363" s="2" t="s">
        <v>1554</v>
      </c>
      <c r="B363" s="6">
        <v>46204</v>
      </c>
      <c r="C363" s="8">
        <v>46224</v>
      </c>
      <c r="D363" s="2" t="s">
        <v>136</v>
      </c>
      <c r="E363" s="2" t="s">
        <v>12593</v>
      </c>
      <c r="F363" s="2" t="s">
        <v>12424</v>
      </c>
      <c r="G363" s="2" t="s">
        <v>13338</v>
      </c>
      <c r="H363" s="2" t="s">
        <v>76</v>
      </c>
      <c r="I363" s="9">
        <v>133350161.290323</v>
      </c>
      <c r="J363" s="7">
        <v>6.2000000000000003E-5</v>
      </c>
      <c r="K363" s="9">
        <v>8267.7099999999991</v>
      </c>
      <c r="L363" s="14">
        <v>0</v>
      </c>
      <c r="M363" s="2" t="s">
        <v>71</v>
      </c>
      <c r="N363" s="2" t="s">
        <v>13272</v>
      </c>
      <c r="O363" s="2" t="s">
        <v>13339</v>
      </c>
      <c r="P363" s="9">
        <v>0</v>
      </c>
      <c r="Q363" s="9">
        <v>0</v>
      </c>
      <c r="R363" s="2" t="s">
        <v>13298</v>
      </c>
    </row>
    <row r="364" spans="1:18" x14ac:dyDescent="0.25">
      <c r="A364" s="2" t="s">
        <v>1557</v>
      </c>
      <c r="B364" s="6">
        <v>46204</v>
      </c>
      <c r="C364" s="8">
        <v>46225</v>
      </c>
      <c r="D364" s="2" t="s">
        <v>136</v>
      </c>
      <c r="E364" s="2" t="s">
        <v>12593</v>
      </c>
      <c r="F364" s="2" t="s">
        <v>12425</v>
      </c>
      <c r="G364" s="2" t="s">
        <v>13340</v>
      </c>
      <c r="H364" s="2" t="s">
        <v>70</v>
      </c>
      <c r="I364" s="9">
        <v>12827.841945</v>
      </c>
      <c r="J364" s="7">
        <v>0.65800000000000003</v>
      </c>
      <c r="K364" s="9">
        <v>8440.7199999999993</v>
      </c>
      <c r="L364" s="14">
        <v>0</v>
      </c>
      <c r="M364" s="2" t="s">
        <v>71</v>
      </c>
      <c r="N364" s="2" t="s">
        <v>13272</v>
      </c>
      <c r="O364" s="2" t="s">
        <v>13341</v>
      </c>
      <c r="P364" s="9">
        <v>0</v>
      </c>
      <c r="Q364" s="9">
        <v>0</v>
      </c>
      <c r="R364" s="2" t="s">
        <v>13301</v>
      </c>
    </row>
    <row r="365" spans="1:18" x14ac:dyDescent="0.25">
      <c r="A365" s="2" t="s">
        <v>1560</v>
      </c>
      <c r="B365" s="6">
        <v>46204</v>
      </c>
      <c r="C365" s="8">
        <v>46226</v>
      </c>
      <c r="D365" s="2" t="s">
        <v>136</v>
      </c>
      <c r="E365" s="2" t="s">
        <v>12593</v>
      </c>
      <c r="F365" s="2" t="s">
        <v>12426</v>
      </c>
      <c r="G365" s="2" t="s">
        <v>13342</v>
      </c>
      <c r="H365" s="2" t="s">
        <v>39</v>
      </c>
      <c r="I365" s="9">
        <v>8613.73</v>
      </c>
      <c r="J365" s="7">
        <v>1</v>
      </c>
      <c r="K365" s="9">
        <v>8613.73</v>
      </c>
      <c r="L365" s="14">
        <v>0</v>
      </c>
      <c r="M365" s="2" t="s">
        <v>71</v>
      </c>
      <c r="N365" s="2" t="s">
        <v>13272</v>
      </c>
      <c r="O365" s="2" t="s">
        <v>13343</v>
      </c>
      <c r="P365" s="9">
        <v>0</v>
      </c>
      <c r="Q365" s="9">
        <v>0</v>
      </c>
      <c r="R365" s="2" t="s">
        <v>13274</v>
      </c>
    </row>
    <row r="366" spans="1:18" x14ac:dyDescent="0.25">
      <c r="A366" s="2" t="s">
        <v>1565</v>
      </c>
      <c r="B366" s="6">
        <v>46204</v>
      </c>
      <c r="C366" s="8">
        <v>46227</v>
      </c>
      <c r="D366" s="2" t="s">
        <v>136</v>
      </c>
      <c r="E366" s="2" t="s">
        <v>12593</v>
      </c>
      <c r="F366" s="2" t="s">
        <v>12427</v>
      </c>
      <c r="G366" s="2" t="s">
        <v>13344</v>
      </c>
      <c r="H366" s="2" t="s">
        <v>76</v>
      </c>
      <c r="I366" s="9">
        <v>141721612.90322599</v>
      </c>
      <c r="J366" s="7">
        <v>6.2000000000000003E-5</v>
      </c>
      <c r="K366" s="9">
        <v>8786.74</v>
      </c>
      <c r="L366" s="14">
        <v>0</v>
      </c>
      <c r="M366" s="2" t="s">
        <v>71</v>
      </c>
      <c r="N366" s="2" t="s">
        <v>13272</v>
      </c>
      <c r="O366" s="2" t="s">
        <v>13345</v>
      </c>
      <c r="P366" s="9">
        <v>0</v>
      </c>
      <c r="Q366" s="9">
        <v>0</v>
      </c>
      <c r="R366" s="2" t="s">
        <v>13277</v>
      </c>
    </row>
    <row r="367" spans="1:18" x14ac:dyDescent="0.25">
      <c r="A367" s="2" t="s">
        <v>1570</v>
      </c>
      <c r="B367" s="6">
        <v>46204</v>
      </c>
      <c r="C367" s="8">
        <v>46228</v>
      </c>
      <c r="D367" s="2" t="s">
        <v>136</v>
      </c>
      <c r="E367" s="2" t="s">
        <v>12593</v>
      </c>
      <c r="F367" s="2" t="s">
        <v>12428</v>
      </c>
      <c r="G367" s="2" t="s">
        <v>13346</v>
      </c>
      <c r="H367" s="2" t="s">
        <v>70</v>
      </c>
      <c r="I367" s="9">
        <v>13616.641336999999</v>
      </c>
      <c r="J367" s="7">
        <v>0.65800000000000003</v>
      </c>
      <c r="K367" s="9">
        <v>8959.75</v>
      </c>
      <c r="L367" s="14">
        <v>0</v>
      </c>
      <c r="M367" s="2" t="s">
        <v>71</v>
      </c>
      <c r="N367" s="2" t="s">
        <v>13272</v>
      </c>
      <c r="O367" s="2" t="s">
        <v>13347</v>
      </c>
      <c r="P367" s="9">
        <v>0</v>
      </c>
      <c r="Q367" s="9">
        <v>0</v>
      </c>
      <c r="R367" s="2" t="s">
        <v>13280</v>
      </c>
    </row>
    <row r="368" spans="1:18" x14ac:dyDescent="0.25">
      <c r="A368" s="2" t="s">
        <v>1573</v>
      </c>
      <c r="B368" s="6">
        <v>46204</v>
      </c>
      <c r="C368" s="8">
        <v>46229</v>
      </c>
      <c r="D368" s="2" t="s">
        <v>136</v>
      </c>
      <c r="E368" s="2" t="s">
        <v>12593</v>
      </c>
      <c r="F368" s="2" t="s">
        <v>12429</v>
      </c>
      <c r="G368" s="2" t="s">
        <v>13348</v>
      </c>
      <c r="H368" s="2" t="s">
        <v>39</v>
      </c>
      <c r="I368" s="9">
        <v>9132.76</v>
      </c>
      <c r="J368" s="7">
        <v>1</v>
      </c>
      <c r="K368" s="9">
        <v>9132.76</v>
      </c>
      <c r="L368" s="14">
        <v>0</v>
      </c>
      <c r="M368" s="2" t="s">
        <v>71</v>
      </c>
      <c r="N368" s="2" t="s">
        <v>13272</v>
      </c>
      <c r="O368" s="2" t="s">
        <v>13349</v>
      </c>
      <c r="P368" s="9">
        <v>0</v>
      </c>
      <c r="Q368" s="9">
        <v>0</v>
      </c>
      <c r="R368" s="2" t="s">
        <v>13283</v>
      </c>
    </row>
    <row r="369" spans="1:18" x14ac:dyDescent="0.25">
      <c r="A369" s="2" t="s">
        <v>1576</v>
      </c>
      <c r="B369" s="6">
        <v>46204</v>
      </c>
      <c r="C369" s="8">
        <v>46230</v>
      </c>
      <c r="D369" s="2" t="s">
        <v>136</v>
      </c>
      <c r="E369" s="2" t="s">
        <v>12593</v>
      </c>
      <c r="F369" s="2" t="s">
        <v>12430</v>
      </c>
      <c r="G369" s="2" t="s">
        <v>13350</v>
      </c>
      <c r="H369" s="2" t="s">
        <v>76</v>
      </c>
      <c r="I369" s="9">
        <v>150093064.51612899</v>
      </c>
      <c r="J369" s="7">
        <v>6.2000000000000003E-5</v>
      </c>
      <c r="K369" s="9">
        <v>9305.77</v>
      </c>
      <c r="L369" s="14">
        <v>0</v>
      </c>
      <c r="M369" s="2" t="s">
        <v>71</v>
      </c>
      <c r="N369" s="2" t="s">
        <v>13272</v>
      </c>
      <c r="O369" s="2" t="s">
        <v>13351</v>
      </c>
      <c r="P369" s="9">
        <v>0</v>
      </c>
      <c r="Q369" s="9">
        <v>0</v>
      </c>
      <c r="R369" s="2" t="s">
        <v>13286</v>
      </c>
    </row>
    <row r="370" spans="1:18" x14ac:dyDescent="0.25">
      <c r="A370" s="2" t="s">
        <v>1581</v>
      </c>
      <c r="B370" s="6">
        <v>46204</v>
      </c>
      <c r="C370" s="8">
        <v>46231</v>
      </c>
      <c r="D370" s="2" t="s">
        <v>136</v>
      </c>
      <c r="E370" s="2" t="s">
        <v>12593</v>
      </c>
      <c r="F370" s="2" t="s">
        <v>12431</v>
      </c>
      <c r="G370" s="2" t="s">
        <v>13352</v>
      </c>
      <c r="H370" s="2" t="s">
        <v>70</v>
      </c>
      <c r="I370" s="9">
        <v>-14405.440729</v>
      </c>
      <c r="J370" s="7">
        <v>0.65800000000000003</v>
      </c>
      <c r="K370" s="9">
        <v>-9478.7800000000007</v>
      </c>
      <c r="L370" s="14">
        <v>0</v>
      </c>
      <c r="M370" s="2" t="s">
        <v>71</v>
      </c>
      <c r="N370" s="2" t="s">
        <v>13272</v>
      </c>
      <c r="O370" s="2" t="s">
        <v>13353</v>
      </c>
      <c r="P370" s="9">
        <v>0</v>
      </c>
      <c r="Q370" s="9">
        <v>0</v>
      </c>
      <c r="R370" s="2" t="s">
        <v>13289</v>
      </c>
    </row>
    <row r="371" spans="1:18" x14ac:dyDescent="0.25">
      <c r="A371" s="2" t="s">
        <v>1584</v>
      </c>
      <c r="B371" s="6">
        <v>46204</v>
      </c>
      <c r="C371" s="8">
        <v>46232</v>
      </c>
      <c r="D371" s="2" t="s">
        <v>136</v>
      </c>
      <c r="E371" s="2" t="s">
        <v>12593</v>
      </c>
      <c r="F371" s="2" t="s">
        <v>12432</v>
      </c>
      <c r="G371" s="2" t="s">
        <v>13354</v>
      </c>
      <c r="H371" s="2" t="s">
        <v>39</v>
      </c>
      <c r="I371" s="9">
        <v>9651.7900000000009</v>
      </c>
      <c r="J371" s="7">
        <v>1</v>
      </c>
      <c r="K371" s="9">
        <v>9651.7900000000009</v>
      </c>
      <c r="L371" s="14">
        <v>0</v>
      </c>
      <c r="M371" s="2" t="s">
        <v>71</v>
      </c>
      <c r="N371" s="2" t="s">
        <v>13272</v>
      </c>
      <c r="O371" s="2" t="s">
        <v>13355</v>
      </c>
      <c r="P371" s="9">
        <v>0</v>
      </c>
      <c r="Q371" s="9">
        <v>0</v>
      </c>
      <c r="R371" s="2" t="s">
        <v>13292</v>
      </c>
    </row>
    <row r="372" spans="1:18" x14ac:dyDescent="0.25">
      <c r="A372" s="2" t="s">
        <v>1587</v>
      </c>
      <c r="B372" s="6">
        <v>46204</v>
      </c>
      <c r="C372" s="8">
        <v>46233</v>
      </c>
      <c r="D372" s="2" t="s">
        <v>136</v>
      </c>
      <c r="E372" s="2" t="s">
        <v>12593</v>
      </c>
      <c r="F372" s="2" t="s">
        <v>12423</v>
      </c>
      <c r="G372" s="2" t="s">
        <v>13356</v>
      </c>
      <c r="H372" s="2" t="s">
        <v>76</v>
      </c>
      <c r="I372" s="9">
        <v>158464516.12903199</v>
      </c>
      <c r="J372" s="7">
        <v>6.2000000000000003E-5</v>
      </c>
      <c r="K372" s="9">
        <v>9824.7999999999993</v>
      </c>
      <c r="L372" s="14">
        <v>0</v>
      </c>
      <c r="M372" s="2" t="s">
        <v>71</v>
      </c>
      <c r="N372" s="2" t="s">
        <v>13272</v>
      </c>
      <c r="O372" s="2" t="s">
        <v>13357</v>
      </c>
      <c r="P372" s="9">
        <v>0</v>
      </c>
      <c r="Q372" s="9">
        <v>0</v>
      </c>
      <c r="R372" s="2" t="s">
        <v>13295</v>
      </c>
    </row>
    <row r="373" spans="1:18" x14ac:dyDescent="0.25">
      <c r="A373" s="2" t="s">
        <v>1590</v>
      </c>
      <c r="B373" s="6">
        <v>46204</v>
      </c>
      <c r="C373" s="8">
        <v>46234</v>
      </c>
      <c r="D373" s="2" t="s">
        <v>136</v>
      </c>
      <c r="E373" s="2" t="s">
        <v>12593</v>
      </c>
      <c r="F373" s="2" t="s">
        <v>12424</v>
      </c>
      <c r="G373" s="2" t="s">
        <v>13358</v>
      </c>
      <c r="H373" s="2" t="s">
        <v>70</v>
      </c>
      <c r="I373" s="9">
        <v>15194.240121999999</v>
      </c>
      <c r="J373" s="7">
        <v>0.65800000000000003</v>
      </c>
      <c r="K373" s="9">
        <v>9997.81</v>
      </c>
      <c r="L373" s="14">
        <v>0</v>
      </c>
      <c r="M373" s="2" t="s">
        <v>71</v>
      </c>
      <c r="N373" s="2" t="s">
        <v>13272</v>
      </c>
      <c r="O373" s="2" t="s">
        <v>13359</v>
      </c>
      <c r="P373" s="9">
        <v>0</v>
      </c>
      <c r="Q373" s="9">
        <v>0</v>
      </c>
      <c r="R373" s="2" t="s">
        <v>13298</v>
      </c>
    </row>
    <row r="374" spans="1:18" x14ac:dyDescent="0.25">
      <c r="A374" s="2" t="s">
        <v>1593</v>
      </c>
      <c r="B374" s="6">
        <v>46204</v>
      </c>
      <c r="C374" s="8">
        <v>46204</v>
      </c>
      <c r="D374" s="2" t="s">
        <v>136</v>
      </c>
      <c r="E374" s="2" t="s">
        <v>12593</v>
      </c>
      <c r="F374" s="2" t="s">
        <v>12425</v>
      </c>
      <c r="G374" s="2" t="s">
        <v>13360</v>
      </c>
      <c r="H374" s="2" t="s">
        <v>39</v>
      </c>
      <c r="I374" s="9">
        <v>10170.82</v>
      </c>
      <c r="J374" s="7">
        <v>1</v>
      </c>
      <c r="K374" s="9">
        <v>10170.82</v>
      </c>
      <c r="L374" s="14">
        <v>0</v>
      </c>
      <c r="M374" s="2" t="s">
        <v>71</v>
      </c>
      <c r="N374" s="2" t="s">
        <v>13272</v>
      </c>
      <c r="O374" s="2" t="s">
        <v>13361</v>
      </c>
      <c r="P374" s="9">
        <v>0</v>
      </c>
      <c r="Q374" s="9">
        <v>0</v>
      </c>
      <c r="R374" s="2" t="s">
        <v>13301</v>
      </c>
    </row>
    <row r="375" spans="1:18" x14ac:dyDescent="0.25">
      <c r="A375" s="2" t="s">
        <v>1596</v>
      </c>
      <c r="B375" s="6">
        <v>46204</v>
      </c>
      <c r="C375" s="8">
        <v>46205</v>
      </c>
      <c r="D375" s="2" t="s">
        <v>136</v>
      </c>
      <c r="E375" s="2" t="s">
        <v>12593</v>
      </c>
      <c r="F375" s="2" t="s">
        <v>12426</v>
      </c>
      <c r="G375" s="2" t="s">
        <v>13362</v>
      </c>
      <c r="H375" s="2" t="s">
        <v>76</v>
      </c>
      <c r="I375" s="9">
        <v>166835967.74193501</v>
      </c>
      <c r="J375" s="7">
        <v>6.2000000000000003E-5</v>
      </c>
      <c r="K375" s="9">
        <v>10343.83</v>
      </c>
      <c r="L375" s="14">
        <v>0</v>
      </c>
      <c r="M375" s="2" t="s">
        <v>71</v>
      </c>
      <c r="N375" s="2" t="s">
        <v>13272</v>
      </c>
      <c r="O375" s="2" t="s">
        <v>13363</v>
      </c>
      <c r="P375" s="9">
        <v>0</v>
      </c>
      <c r="Q375" s="9">
        <v>0</v>
      </c>
      <c r="R375" s="2" t="s">
        <v>13274</v>
      </c>
    </row>
    <row r="376" spans="1:18" x14ac:dyDescent="0.25">
      <c r="A376" s="2" t="s">
        <v>1601</v>
      </c>
      <c r="B376" s="6">
        <v>46204</v>
      </c>
      <c r="C376" s="8">
        <v>46206</v>
      </c>
      <c r="D376" s="2" t="s">
        <v>136</v>
      </c>
      <c r="E376" s="2" t="s">
        <v>12593</v>
      </c>
      <c r="F376" s="2" t="s">
        <v>12427</v>
      </c>
      <c r="G376" s="2" t="s">
        <v>13364</v>
      </c>
      <c r="H376" s="2" t="s">
        <v>70</v>
      </c>
      <c r="I376" s="9">
        <v>15983.039514</v>
      </c>
      <c r="J376" s="7">
        <v>0.65800000000000003</v>
      </c>
      <c r="K376" s="9">
        <v>10516.84</v>
      </c>
      <c r="L376" s="14">
        <v>0</v>
      </c>
      <c r="M376" s="2" t="s">
        <v>71</v>
      </c>
      <c r="N376" s="2" t="s">
        <v>13272</v>
      </c>
      <c r="O376" s="2" t="s">
        <v>13365</v>
      </c>
      <c r="P376" s="9">
        <v>0</v>
      </c>
      <c r="Q376" s="9">
        <v>0</v>
      </c>
      <c r="R376" s="2" t="s">
        <v>13277</v>
      </c>
    </row>
    <row r="377" spans="1:18" x14ac:dyDescent="0.25">
      <c r="A377" s="2" t="s">
        <v>1606</v>
      </c>
      <c r="B377" s="6">
        <v>46204</v>
      </c>
      <c r="C377" s="8">
        <v>46207</v>
      </c>
      <c r="D377" s="2" t="s">
        <v>136</v>
      </c>
      <c r="E377" s="2" t="s">
        <v>12593</v>
      </c>
      <c r="F377" s="2" t="s">
        <v>12428</v>
      </c>
      <c r="G377" s="2" t="s">
        <v>13366</v>
      </c>
      <c r="H377" s="2" t="s">
        <v>39</v>
      </c>
      <c r="I377" s="9">
        <v>10689.85</v>
      </c>
      <c r="J377" s="7">
        <v>1</v>
      </c>
      <c r="K377" s="9">
        <v>10689.85</v>
      </c>
      <c r="L377" s="14">
        <v>0</v>
      </c>
      <c r="M377" s="2" t="s">
        <v>71</v>
      </c>
      <c r="N377" s="2" t="s">
        <v>13272</v>
      </c>
      <c r="O377" s="2" t="s">
        <v>13367</v>
      </c>
      <c r="P377" s="9">
        <v>0</v>
      </c>
      <c r="Q377" s="9">
        <v>0</v>
      </c>
      <c r="R377" s="2" t="s">
        <v>13280</v>
      </c>
    </row>
    <row r="378" spans="1:18" x14ac:dyDescent="0.25">
      <c r="A378" s="2" t="s">
        <v>1609</v>
      </c>
      <c r="B378" s="6">
        <v>46204</v>
      </c>
      <c r="C378" s="8">
        <v>46208</v>
      </c>
      <c r="D378" s="2" t="s">
        <v>136</v>
      </c>
      <c r="E378" s="2" t="s">
        <v>12593</v>
      </c>
      <c r="F378" s="2" t="s">
        <v>12429</v>
      </c>
      <c r="G378" s="2" t="s">
        <v>13368</v>
      </c>
      <c r="H378" s="2" t="s">
        <v>76</v>
      </c>
      <c r="I378" s="9">
        <v>175207419.354839</v>
      </c>
      <c r="J378" s="7">
        <v>6.2000000000000003E-5</v>
      </c>
      <c r="K378" s="9">
        <v>10862.86</v>
      </c>
      <c r="L378" s="14">
        <v>0</v>
      </c>
      <c r="M378" s="2" t="s">
        <v>71</v>
      </c>
      <c r="N378" s="2" t="s">
        <v>13272</v>
      </c>
      <c r="O378" s="2" t="s">
        <v>13369</v>
      </c>
      <c r="P378" s="9">
        <v>0</v>
      </c>
      <c r="Q378" s="9">
        <v>0</v>
      </c>
      <c r="R378" s="2" t="s">
        <v>13283</v>
      </c>
    </row>
    <row r="379" spans="1:18" x14ac:dyDescent="0.25">
      <c r="A379" s="2" t="s">
        <v>1612</v>
      </c>
      <c r="B379" s="6">
        <v>46204</v>
      </c>
      <c r="C379" s="8">
        <v>46209</v>
      </c>
      <c r="D379" s="2" t="s">
        <v>136</v>
      </c>
      <c r="E379" s="2" t="s">
        <v>12593</v>
      </c>
      <c r="F379" s="2" t="s">
        <v>12430</v>
      </c>
      <c r="G379" s="2" t="s">
        <v>13370</v>
      </c>
      <c r="H379" s="2" t="s">
        <v>70</v>
      </c>
      <c r="I379" s="9">
        <v>16771.838906000001</v>
      </c>
      <c r="J379" s="7">
        <v>0.65800000000000003</v>
      </c>
      <c r="K379" s="9">
        <v>11035.87</v>
      </c>
      <c r="L379" s="14">
        <v>0</v>
      </c>
      <c r="M379" s="2" t="s">
        <v>71</v>
      </c>
      <c r="N379" s="2" t="s">
        <v>13272</v>
      </c>
      <c r="O379" s="2" t="s">
        <v>13371</v>
      </c>
      <c r="P379" s="9">
        <v>0</v>
      </c>
      <c r="Q379" s="9">
        <v>0</v>
      </c>
      <c r="R379" s="2" t="s">
        <v>13286</v>
      </c>
    </row>
    <row r="380" spans="1:18" x14ac:dyDescent="0.25">
      <c r="A380" s="2" t="s">
        <v>1617</v>
      </c>
      <c r="B380" s="6">
        <v>46204</v>
      </c>
      <c r="C380" s="8">
        <v>46210</v>
      </c>
      <c r="D380" s="2" t="s">
        <v>136</v>
      </c>
      <c r="E380" s="2" t="s">
        <v>12593</v>
      </c>
      <c r="F380" s="2" t="s">
        <v>12431</v>
      </c>
      <c r="G380" s="2" t="s">
        <v>13372</v>
      </c>
      <c r="H380" s="2" t="s">
        <v>39</v>
      </c>
      <c r="I380" s="9">
        <v>11208.88</v>
      </c>
      <c r="J380" s="7">
        <v>1</v>
      </c>
      <c r="K380" s="9">
        <v>11208.88</v>
      </c>
      <c r="L380" s="14">
        <v>0</v>
      </c>
      <c r="M380" s="2" t="s">
        <v>71</v>
      </c>
      <c r="N380" s="2" t="s">
        <v>13272</v>
      </c>
      <c r="O380" s="2" t="s">
        <v>13373</v>
      </c>
      <c r="P380" s="9">
        <v>0</v>
      </c>
      <c r="Q380" s="9">
        <v>0</v>
      </c>
      <c r="R380" s="2" t="s">
        <v>13289</v>
      </c>
    </row>
    <row r="381" spans="1:18" x14ac:dyDescent="0.25">
      <c r="A381" s="2" t="s">
        <v>1620</v>
      </c>
      <c r="B381" s="6">
        <v>46204</v>
      </c>
      <c r="C381" s="8">
        <v>46211</v>
      </c>
      <c r="D381" s="2" t="s">
        <v>136</v>
      </c>
      <c r="E381" s="2" t="s">
        <v>12593</v>
      </c>
      <c r="F381" s="2" t="s">
        <v>12432</v>
      </c>
      <c r="G381" s="2" t="s">
        <v>13374</v>
      </c>
      <c r="H381" s="2" t="s">
        <v>76</v>
      </c>
      <c r="I381" s="9">
        <v>183578870.967742</v>
      </c>
      <c r="J381" s="7">
        <v>6.2000000000000003E-5</v>
      </c>
      <c r="K381" s="9">
        <v>11381.89</v>
      </c>
      <c r="L381" s="14">
        <v>0</v>
      </c>
      <c r="M381" s="2" t="s">
        <v>71</v>
      </c>
      <c r="N381" s="2" t="s">
        <v>13272</v>
      </c>
      <c r="O381" s="2" t="s">
        <v>13375</v>
      </c>
      <c r="P381" s="9">
        <v>0</v>
      </c>
      <c r="Q381" s="9">
        <v>0</v>
      </c>
      <c r="R381" s="2" t="s">
        <v>13292</v>
      </c>
    </row>
    <row r="382" spans="1:18" x14ac:dyDescent="0.25">
      <c r="A382" s="2" t="s">
        <v>1623</v>
      </c>
      <c r="B382" s="6">
        <v>46204</v>
      </c>
      <c r="C382" s="8">
        <v>46212</v>
      </c>
      <c r="D382" s="2" t="s">
        <v>136</v>
      </c>
      <c r="E382" s="2" t="s">
        <v>12593</v>
      </c>
      <c r="F382" s="2" t="s">
        <v>12423</v>
      </c>
      <c r="G382" s="2" t="s">
        <v>13376</v>
      </c>
      <c r="H382" s="2" t="s">
        <v>70</v>
      </c>
      <c r="I382" s="9">
        <v>17560.638298000002</v>
      </c>
      <c r="J382" s="7">
        <v>0.65800000000000003</v>
      </c>
      <c r="K382" s="9">
        <v>11554.9</v>
      </c>
      <c r="L382" s="14">
        <v>0</v>
      </c>
      <c r="M382" s="2" t="s">
        <v>71</v>
      </c>
      <c r="N382" s="2" t="s">
        <v>13272</v>
      </c>
      <c r="O382" s="2" t="s">
        <v>13377</v>
      </c>
      <c r="P382" s="9">
        <v>0</v>
      </c>
      <c r="Q382" s="9">
        <v>0</v>
      </c>
      <c r="R382" s="2" t="s">
        <v>13295</v>
      </c>
    </row>
    <row r="383" spans="1:18" x14ac:dyDescent="0.25">
      <c r="A383" s="2" t="s">
        <v>1626</v>
      </c>
      <c r="B383" s="6">
        <v>46204</v>
      </c>
      <c r="C383" s="8">
        <v>46213</v>
      </c>
      <c r="D383" s="2" t="s">
        <v>136</v>
      </c>
      <c r="E383" s="2" t="s">
        <v>12593</v>
      </c>
      <c r="F383" s="2" t="s">
        <v>12424</v>
      </c>
      <c r="G383" s="2" t="s">
        <v>13378</v>
      </c>
      <c r="H383" s="2" t="s">
        <v>39</v>
      </c>
      <c r="I383" s="9">
        <v>11727.91</v>
      </c>
      <c r="J383" s="7">
        <v>1</v>
      </c>
      <c r="K383" s="9">
        <v>11727.91</v>
      </c>
      <c r="L383" s="14">
        <v>0</v>
      </c>
      <c r="M383" s="2" t="s">
        <v>71</v>
      </c>
      <c r="N383" s="2" t="s">
        <v>13272</v>
      </c>
      <c r="O383" s="2" t="s">
        <v>13379</v>
      </c>
      <c r="P383" s="9">
        <v>0</v>
      </c>
      <c r="Q383" s="9">
        <v>0</v>
      </c>
      <c r="R383" s="2" t="s">
        <v>13298</v>
      </c>
    </row>
    <row r="384" spans="1:18" x14ac:dyDescent="0.25">
      <c r="A384" s="2" t="s">
        <v>1629</v>
      </c>
      <c r="B384" s="6">
        <v>46204</v>
      </c>
      <c r="C384" s="8">
        <v>46214</v>
      </c>
      <c r="D384" s="2" t="s">
        <v>136</v>
      </c>
      <c r="E384" s="2" t="s">
        <v>12593</v>
      </c>
      <c r="F384" s="2" t="s">
        <v>12425</v>
      </c>
      <c r="G384" s="2" t="s">
        <v>13380</v>
      </c>
      <c r="H384" s="2" t="s">
        <v>76</v>
      </c>
      <c r="I384" s="9">
        <v>191950322.58064499</v>
      </c>
      <c r="J384" s="7">
        <v>6.2000000000000003E-5</v>
      </c>
      <c r="K384" s="9">
        <v>11900.92</v>
      </c>
      <c r="L384" s="14">
        <v>0</v>
      </c>
      <c r="M384" s="2" t="s">
        <v>71</v>
      </c>
      <c r="N384" s="2" t="s">
        <v>13272</v>
      </c>
      <c r="O384" s="2" t="s">
        <v>13381</v>
      </c>
      <c r="P384" s="9">
        <v>0</v>
      </c>
      <c r="Q384" s="9">
        <v>0</v>
      </c>
      <c r="R384" s="2" t="s">
        <v>13301</v>
      </c>
    </row>
    <row r="385" spans="1:18" x14ac:dyDescent="0.25">
      <c r="A385" s="2" t="s">
        <v>1632</v>
      </c>
      <c r="B385" s="6">
        <v>46204</v>
      </c>
      <c r="C385" s="8">
        <v>46215</v>
      </c>
      <c r="D385" s="2" t="s">
        <v>136</v>
      </c>
      <c r="E385" s="2" t="s">
        <v>12593</v>
      </c>
      <c r="F385" s="2" t="s">
        <v>12426</v>
      </c>
      <c r="G385" s="2" t="s">
        <v>13382</v>
      </c>
      <c r="H385" s="2" t="s">
        <v>70</v>
      </c>
      <c r="I385" s="9">
        <v>18349.437689999999</v>
      </c>
      <c r="J385" s="7">
        <v>0.65800000000000003</v>
      </c>
      <c r="K385" s="9">
        <v>12073.93</v>
      </c>
      <c r="L385" s="14">
        <v>0</v>
      </c>
      <c r="M385" s="2" t="s">
        <v>71</v>
      </c>
      <c r="N385" s="2" t="s">
        <v>13272</v>
      </c>
      <c r="O385" s="2" t="s">
        <v>13383</v>
      </c>
      <c r="P385" s="9">
        <v>0</v>
      </c>
      <c r="Q385" s="9">
        <v>0</v>
      </c>
      <c r="R385" s="2" t="s">
        <v>13274</v>
      </c>
    </row>
    <row r="386" spans="1:18" x14ac:dyDescent="0.25">
      <c r="A386" s="2" t="s">
        <v>1637</v>
      </c>
      <c r="B386" s="6">
        <v>46204</v>
      </c>
      <c r="C386" s="8">
        <v>46216</v>
      </c>
      <c r="D386" s="2" t="s">
        <v>136</v>
      </c>
      <c r="E386" s="2" t="s">
        <v>12593</v>
      </c>
      <c r="F386" s="2" t="s">
        <v>12427</v>
      </c>
      <c r="G386" s="2" t="s">
        <v>13384</v>
      </c>
      <c r="H386" s="2" t="s">
        <v>39</v>
      </c>
      <c r="I386" s="9">
        <v>12246.94</v>
      </c>
      <c r="J386" s="7">
        <v>1</v>
      </c>
      <c r="K386" s="9">
        <v>12246.94</v>
      </c>
      <c r="L386" s="14">
        <v>0</v>
      </c>
      <c r="M386" s="2" t="s">
        <v>71</v>
      </c>
      <c r="N386" s="2" t="s">
        <v>13272</v>
      </c>
      <c r="O386" s="2" t="s">
        <v>13385</v>
      </c>
      <c r="P386" s="9">
        <v>0</v>
      </c>
      <c r="Q386" s="9">
        <v>0</v>
      </c>
      <c r="R386" s="2" t="s">
        <v>13277</v>
      </c>
    </row>
    <row r="387" spans="1:18" x14ac:dyDescent="0.25">
      <c r="A387" s="2" t="s">
        <v>1642</v>
      </c>
      <c r="B387" s="6">
        <v>46204</v>
      </c>
      <c r="C387" s="8">
        <v>46217</v>
      </c>
      <c r="D387" s="2" t="s">
        <v>136</v>
      </c>
      <c r="E387" s="2" t="s">
        <v>12593</v>
      </c>
      <c r="F387" s="2" t="s">
        <v>12428</v>
      </c>
      <c r="G387" s="2" t="s">
        <v>13386</v>
      </c>
      <c r="H387" s="2" t="s">
        <v>76</v>
      </c>
      <c r="I387" s="9">
        <v>200321774.19354799</v>
      </c>
      <c r="J387" s="7">
        <v>6.2000000000000003E-5</v>
      </c>
      <c r="K387" s="9">
        <v>12419.95</v>
      </c>
      <c r="L387" s="14">
        <v>0</v>
      </c>
      <c r="M387" s="2" t="s">
        <v>71</v>
      </c>
      <c r="N387" s="2" t="s">
        <v>13272</v>
      </c>
      <c r="O387" s="2" t="s">
        <v>13387</v>
      </c>
      <c r="P387" s="9">
        <v>0</v>
      </c>
      <c r="Q387" s="9">
        <v>0</v>
      </c>
      <c r="R387" s="2" t="s">
        <v>13280</v>
      </c>
    </row>
    <row r="388" spans="1:18" x14ac:dyDescent="0.25">
      <c r="A388" s="2" t="s">
        <v>1645</v>
      </c>
      <c r="B388" s="6">
        <v>46204</v>
      </c>
      <c r="C388" s="8">
        <v>46218</v>
      </c>
      <c r="D388" s="2" t="s">
        <v>136</v>
      </c>
      <c r="E388" s="2" t="s">
        <v>12593</v>
      </c>
      <c r="F388" s="2" t="s">
        <v>12429</v>
      </c>
      <c r="G388" s="2" t="s">
        <v>13388</v>
      </c>
      <c r="H388" s="2" t="s">
        <v>70</v>
      </c>
      <c r="I388" s="9">
        <v>19138.237082</v>
      </c>
      <c r="J388" s="7">
        <v>0.65800000000000003</v>
      </c>
      <c r="K388" s="9">
        <v>12592.96</v>
      </c>
      <c r="L388" s="14">
        <v>0</v>
      </c>
      <c r="M388" s="2" t="s">
        <v>71</v>
      </c>
      <c r="N388" s="2" t="s">
        <v>13272</v>
      </c>
      <c r="O388" s="2" t="s">
        <v>13389</v>
      </c>
      <c r="P388" s="9">
        <v>0</v>
      </c>
      <c r="Q388" s="9">
        <v>0</v>
      </c>
      <c r="R388" s="2" t="s">
        <v>13283</v>
      </c>
    </row>
    <row r="389" spans="1:18" x14ac:dyDescent="0.25">
      <c r="A389" s="2" t="s">
        <v>1648</v>
      </c>
      <c r="B389" s="6">
        <v>46204</v>
      </c>
      <c r="C389" s="8">
        <v>46219</v>
      </c>
      <c r="D389" s="2" t="s">
        <v>136</v>
      </c>
      <c r="E389" s="2" t="s">
        <v>12593</v>
      </c>
      <c r="F389" s="2" t="s">
        <v>12430</v>
      </c>
      <c r="G389" s="2" t="s">
        <v>13390</v>
      </c>
      <c r="H389" s="2" t="s">
        <v>39</v>
      </c>
      <c r="I389" s="9">
        <v>12765</v>
      </c>
      <c r="J389" s="7">
        <v>1</v>
      </c>
      <c r="K389" s="9">
        <v>12765</v>
      </c>
      <c r="L389" s="14">
        <v>0</v>
      </c>
      <c r="M389" s="2" t="s">
        <v>71</v>
      </c>
      <c r="N389" s="2" t="s">
        <v>13272</v>
      </c>
      <c r="O389" s="2" t="s">
        <v>13391</v>
      </c>
      <c r="P389" s="9">
        <v>0</v>
      </c>
      <c r="Q389" s="9">
        <v>0</v>
      </c>
      <c r="R389" s="2" t="s">
        <v>13286</v>
      </c>
    </row>
    <row r="390" spans="1:18" x14ac:dyDescent="0.25">
      <c r="A390" s="2" t="s">
        <v>1653</v>
      </c>
      <c r="B390" s="6">
        <v>46204</v>
      </c>
      <c r="C390" s="8">
        <v>46220</v>
      </c>
      <c r="D390" s="2" t="s">
        <v>136</v>
      </c>
      <c r="E390" s="2" t="s">
        <v>12593</v>
      </c>
      <c r="F390" s="2" t="s">
        <v>12431</v>
      </c>
      <c r="G390" s="2" t="s">
        <v>13392</v>
      </c>
      <c r="H390" s="2" t="s">
        <v>76</v>
      </c>
      <c r="I390" s="9">
        <v>208677580.645161</v>
      </c>
      <c r="J390" s="7">
        <v>6.2000000000000003E-5</v>
      </c>
      <c r="K390" s="9">
        <v>12938.01</v>
      </c>
      <c r="L390" s="14">
        <v>0</v>
      </c>
      <c r="M390" s="2" t="s">
        <v>71</v>
      </c>
      <c r="N390" s="2" t="s">
        <v>13272</v>
      </c>
      <c r="O390" s="2" t="s">
        <v>13393</v>
      </c>
      <c r="P390" s="9">
        <v>0</v>
      </c>
      <c r="Q390" s="9">
        <v>0</v>
      </c>
      <c r="R390" s="2" t="s">
        <v>13289</v>
      </c>
    </row>
    <row r="391" spans="1:18" x14ac:dyDescent="0.25">
      <c r="A391" s="2" t="s">
        <v>1656</v>
      </c>
      <c r="B391" s="6">
        <v>46204</v>
      </c>
      <c r="C391" s="8">
        <v>46221</v>
      </c>
      <c r="D391" s="2" t="s">
        <v>136</v>
      </c>
      <c r="E391" s="2" t="s">
        <v>12593</v>
      </c>
      <c r="F391" s="2" t="s">
        <v>12432</v>
      </c>
      <c r="G391" s="2" t="s">
        <v>13394</v>
      </c>
      <c r="H391" s="2" t="s">
        <v>70</v>
      </c>
      <c r="I391" s="9">
        <v>19925.562310000001</v>
      </c>
      <c r="J391" s="7">
        <v>0.65800000000000003</v>
      </c>
      <c r="K391" s="9">
        <v>13111.02</v>
      </c>
      <c r="L391" s="14">
        <v>0</v>
      </c>
      <c r="M391" s="2" t="s">
        <v>71</v>
      </c>
      <c r="N391" s="2" t="s">
        <v>13272</v>
      </c>
      <c r="O391" s="2" t="s">
        <v>13395</v>
      </c>
      <c r="P391" s="9">
        <v>0</v>
      </c>
      <c r="Q391" s="9">
        <v>0</v>
      </c>
      <c r="R391" s="2" t="s">
        <v>13292</v>
      </c>
    </row>
    <row r="392" spans="1:18" x14ac:dyDescent="0.25">
      <c r="A392" s="2" t="s">
        <v>1659</v>
      </c>
      <c r="B392" s="6">
        <v>46204</v>
      </c>
      <c r="C392" s="8">
        <v>46222</v>
      </c>
      <c r="D392" s="2" t="s">
        <v>136</v>
      </c>
      <c r="E392" s="2" t="s">
        <v>12593</v>
      </c>
      <c r="F392" s="2" t="s">
        <v>12423</v>
      </c>
      <c r="G392" s="2" t="s">
        <v>13396</v>
      </c>
      <c r="H392" s="2" t="s">
        <v>39</v>
      </c>
      <c r="I392" s="9">
        <v>13284.03</v>
      </c>
      <c r="J392" s="7">
        <v>1</v>
      </c>
      <c r="K392" s="9">
        <v>13284.03</v>
      </c>
      <c r="L392" s="14">
        <v>0</v>
      </c>
      <c r="M392" s="2" t="s">
        <v>71</v>
      </c>
      <c r="N392" s="2" t="s">
        <v>13272</v>
      </c>
      <c r="O392" s="2" t="s">
        <v>13397</v>
      </c>
      <c r="P392" s="9">
        <v>0</v>
      </c>
      <c r="Q392" s="9">
        <v>0</v>
      </c>
      <c r="R392" s="2" t="s">
        <v>13295</v>
      </c>
    </row>
    <row r="393" spans="1:18" x14ac:dyDescent="0.25">
      <c r="A393" s="2" t="s">
        <v>1662</v>
      </c>
      <c r="B393" s="6">
        <v>46204</v>
      </c>
      <c r="C393" s="8">
        <v>46223</v>
      </c>
      <c r="D393" s="2" t="s">
        <v>136</v>
      </c>
      <c r="E393" s="2" t="s">
        <v>12593</v>
      </c>
      <c r="F393" s="2" t="s">
        <v>12424</v>
      </c>
      <c r="G393" s="2" t="s">
        <v>13398</v>
      </c>
      <c r="H393" s="2" t="s">
        <v>76</v>
      </c>
      <c r="I393" s="9">
        <v>217049032.25806499</v>
      </c>
      <c r="J393" s="7">
        <v>6.2000000000000003E-5</v>
      </c>
      <c r="K393" s="9">
        <v>13457.04</v>
      </c>
      <c r="L393" s="14">
        <v>0</v>
      </c>
      <c r="M393" s="2" t="s">
        <v>71</v>
      </c>
      <c r="N393" s="2" t="s">
        <v>13272</v>
      </c>
      <c r="O393" s="2" t="s">
        <v>13399</v>
      </c>
      <c r="P393" s="9">
        <v>0</v>
      </c>
      <c r="Q393" s="9">
        <v>0</v>
      </c>
      <c r="R393" s="2" t="s">
        <v>13298</v>
      </c>
    </row>
    <row r="394" spans="1:18" x14ac:dyDescent="0.25">
      <c r="A394" s="2" t="s">
        <v>1665</v>
      </c>
      <c r="B394" s="6">
        <v>46204</v>
      </c>
      <c r="C394" s="8">
        <v>46224</v>
      </c>
      <c r="D394" s="2" t="s">
        <v>136</v>
      </c>
      <c r="E394" s="2" t="s">
        <v>12593</v>
      </c>
      <c r="F394" s="2" t="s">
        <v>12425</v>
      </c>
      <c r="G394" s="2" t="s">
        <v>13400</v>
      </c>
      <c r="H394" s="2" t="s">
        <v>70</v>
      </c>
      <c r="I394" s="9">
        <v>20714.361701999998</v>
      </c>
      <c r="J394" s="7">
        <v>0.65800000000000003</v>
      </c>
      <c r="K394" s="9">
        <v>13630.05</v>
      </c>
      <c r="L394" s="14">
        <v>0</v>
      </c>
      <c r="M394" s="2" t="s">
        <v>71</v>
      </c>
      <c r="N394" s="2" t="s">
        <v>13272</v>
      </c>
      <c r="O394" s="2" t="s">
        <v>13401</v>
      </c>
      <c r="P394" s="9">
        <v>0</v>
      </c>
      <c r="Q394" s="9">
        <v>0</v>
      </c>
      <c r="R394" s="2" t="s">
        <v>13301</v>
      </c>
    </row>
    <row r="395" spans="1:18" x14ac:dyDescent="0.25">
      <c r="A395" s="2" t="s">
        <v>1668</v>
      </c>
      <c r="B395" s="6">
        <v>46204</v>
      </c>
      <c r="C395" s="8">
        <v>46225</v>
      </c>
      <c r="D395" s="2" t="s">
        <v>136</v>
      </c>
      <c r="E395" s="2" t="s">
        <v>12593</v>
      </c>
      <c r="F395" s="2" t="s">
        <v>12426</v>
      </c>
      <c r="G395" s="2" t="s">
        <v>13402</v>
      </c>
      <c r="H395" s="2" t="s">
        <v>39</v>
      </c>
      <c r="I395" s="9">
        <v>13803.06</v>
      </c>
      <c r="J395" s="7">
        <v>1</v>
      </c>
      <c r="K395" s="9">
        <v>13803.06</v>
      </c>
      <c r="L395" s="14">
        <v>0</v>
      </c>
      <c r="M395" s="2" t="s">
        <v>71</v>
      </c>
      <c r="N395" s="2" t="s">
        <v>13272</v>
      </c>
      <c r="O395" s="2" t="s">
        <v>13403</v>
      </c>
      <c r="P395" s="9">
        <v>0</v>
      </c>
      <c r="Q395" s="9">
        <v>0</v>
      </c>
      <c r="R395" s="2" t="s">
        <v>13274</v>
      </c>
    </row>
    <row r="396" spans="1:18" x14ac:dyDescent="0.25">
      <c r="A396" s="2" t="s">
        <v>1673</v>
      </c>
      <c r="B396" s="6">
        <v>46204</v>
      </c>
      <c r="C396" s="8">
        <v>46226</v>
      </c>
      <c r="D396" s="2" t="s">
        <v>136</v>
      </c>
      <c r="E396" s="2" t="s">
        <v>12593</v>
      </c>
      <c r="F396" s="2" t="s">
        <v>12427</v>
      </c>
      <c r="G396" s="2" t="s">
        <v>13404</v>
      </c>
      <c r="H396" s="2" t="s">
        <v>76</v>
      </c>
      <c r="I396" s="9">
        <v>225420483.87096801</v>
      </c>
      <c r="J396" s="7">
        <v>6.2000000000000003E-5</v>
      </c>
      <c r="K396" s="9">
        <v>13976.07</v>
      </c>
      <c r="L396" s="14">
        <v>0</v>
      </c>
      <c r="M396" s="2" t="s">
        <v>71</v>
      </c>
      <c r="N396" s="2" t="s">
        <v>13272</v>
      </c>
      <c r="O396" s="2" t="s">
        <v>13405</v>
      </c>
      <c r="P396" s="9">
        <v>0</v>
      </c>
      <c r="Q396" s="9">
        <v>0</v>
      </c>
      <c r="R396" s="2" t="s">
        <v>13277</v>
      </c>
    </row>
    <row r="397" spans="1:18" x14ac:dyDescent="0.25">
      <c r="A397" s="2" t="s">
        <v>1678</v>
      </c>
      <c r="B397" s="6">
        <v>46204</v>
      </c>
      <c r="C397" s="8">
        <v>46227</v>
      </c>
      <c r="D397" s="2" t="s">
        <v>136</v>
      </c>
      <c r="E397" s="2" t="s">
        <v>12593</v>
      </c>
      <c r="F397" s="2" t="s">
        <v>12428</v>
      </c>
      <c r="G397" s="2" t="s">
        <v>13406</v>
      </c>
      <c r="H397" s="2" t="s">
        <v>70</v>
      </c>
      <c r="I397" s="9">
        <v>21503.161093999999</v>
      </c>
      <c r="J397" s="7">
        <v>0.65800000000000003</v>
      </c>
      <c r="K397" s="9">
        <v>14149.08</v>
      </c>
      <c r="L397" s="14">
        <v>0</v>
      </c>
      <c r="M397" s="2" t="s">
        <v>71</v>
      </c>
      <c r="N397" s="2" t="s">
        <v>13272</v>
      </c>
      <c r="O397" s="2" t="s">
        <v>13407</v>
      </c>
      <c r="P397" s="9">
        <v>0</v>
      </c>
      <c r="Q397" s="9">
        <v>0</v>
      </c>
      <c r="R397" s="2" t="s">
        <v>13280</v>
      </c>
    </row>
    <row r="398" spans="1:18" x14ac:dyDescent="0.25">
      <c r="A398" s="2" t="s">
        <v>1681</v>
      </c>
      <c r="B398" s="6">
        <v>46204</v>
      </c>
      <c r="C398" s="8">
        <v>46228</v>
      </c>
      <c r="D398" s="2" t="s">
        <v>136</v>
      </c>
      <c r="E398" s="2" t="s">
        <v>12593</v>
      </c>
      <c r="F398" s="2" t="s">
        <v>12429</v>
      </c>
      <c r="G398" s="2" t="s">
        <v>13408</v>
      </c>
      <c r="H398" s="2" t="s">
        <v>39</v>
      </c>
      <c r="I398" s="9">
        <v>14322.09</v>
      </c>
      <c r="J398" s="7">
        <v>1</v>
      </c>
      <c r="K398" s="9">
        <v>14322.09</v>
      </c>
      <c r="L398" s="14">
        <v>0</v>
      </c>
      <c r="M398" s="2" t="s">
        <v>71</v>
      </c>
      <c r="N398" s="2" t="s">
        <v>13272</v>
      </c>
      <c r="O398" s="2" t="s">
        <v>13409</v>
      </c>
      <c r="P398" s="9">
        <v>0</v>
      </c>
      <c r="Q398" s="9">
        <v>0</v>
      </c>
      <c r="R398" s="2" t="s">
        <v>13283</v>
      </c>
    </row>
    <row r="399" spans="1:18" x14ac:dyDescent="0.25">
      <c r="A399" s="2" t="s">
        <v>1684</v>
      </c>
      <c r="B399" s="6">
        <v>46204</v>
      </c>
      <c r="C399" s="8">
        <v>46229</v>
      </c>
      <c r="D399" s="2" t="s">
        <v>136</v>
      </c>
      <c r="E399" s="2" t="s">
        <v>12593</v>
      </c>
      <c r="F399" s="2" t="s">
        <v>12430</v>
      </c>
      <c r="G399" s="2" t="s">
        <v>13410</v>
      </c>
      <c r="H399" s="2" t="s">
        <v>76</v>
      </c>
      <c r="I399" s="9">
        <v>233791935.48387101</v>
      </c>
      <c r="J399" s="7">
        <v>6.2000000000000003E-5</v>
      </c>
      <c r="K399" s="9">
        <v>14495.1</v>
      </c>
      <c r="L399" s="14">
        <v>0</v>
      </c>
      <c r="M399" s="2" t="s">
        <v>71</v>
      </c>
      <c r="N399" s="2" t="s">
        <v>13272</v>
      </c>
      <c r="O399" s="2" t="s">
        <v>13411</v>
      </c>
      <c r="P399" s="9">
        <v>0</v>
      </c>
      <c r="Q399" s="9">
        <v>0</v>
      </c>
      <c r="R399" s="2" t="s">
        <v>13286</v>
      </c>
    </row>
    <row r="400" spans="1:18" x14ac:dyDescent="0.25">
      <c r="A400" s="2" t="s">
        <v>1689</v>
      </c>
      <c r="B400" s="6">
        <v>46204</v>
      </c>
      <c r="C400" s="8">
        <v>46230</v>
      </c>
      <c r="D400" s="2" t="s">
        <v>136</v>
      </c>
      <c r="E400" s="2" t="s">
        <v>12593</v>
      </c>
      <c r="F400" s="2" t="s">
        <v>12431</v>
      </c>
      <c r="G400" s="2" t="s">
        <v>13412</v>
      </c>
      <c r="H400" s="2" t="s">
        <v>70</v>
      </c>
      <c r="I400" s="9">
        <v>22291.960486</v>
      </c>
      <c r="J400" s="7">
        <v>0.65800000000000003</v>
      </c>
      <c r="K400" s="9">
        <v>14668.11</v>
      </c>
      <c r="L400" s="14">
        <v>0</v>
      </c>
      <c r="M400" s="2" t="s">
        <v>71</v>
      </c>
      <c r="N400" s="2" t="s">
        <v>13272</v>
      </c>
      <c r="O400" s="2" t="s">
        <v>13413</v>
      </c>
      <c r="P400" s="9">
        <v>0</v>
      </c>
      <c r="Q400" s="9">
        <v>0</v>
      </c>
      <c r="R400" s="2" t="s">
        <v>13289</v>
      </c>
    </row>
    <row r="401" spans="1:18" x14ac:dyDescent="0.25">
      <c r="A401" s="2" t="s">
        <v>1692</v>
      </c>
      <c r="B401" s="6">
        <v>46204</v>
      </c>
      <c r="C401" s="8">
        <v>46231</v>
      </c>
      <c r="D401" s="2" t="s">
        <v>136</v>
      </c>
      <c r="E401" s="2" t="s">
        <v>12593</v>
      </c>
      <c r="F401" s="2" t="s">
        <v>12432</v>
      </c>
      <c r="G401" s="2" t="s">
        <v>13414</v>
      </c>
      <c r="H401" s="2" t="s">
        <v>39</v>
      </c>
      <c r="I401" s="9">
        <v>14841.12</v>
      </c>
      <c r="J401" s="7">
        <v>1</v>
      </c>
      <c r="K401" s="9">
        <v>14841.12</v>
      </c>
      <c r="L401" s="14">
        <v>0</v>
      </c>
      <c r="M401" s="2" t="s">
        <v>71</v>
      </c>
      <c r="N401" s="2" t="s">
        <v>13272</v>
      </c>
      <c r="O401" s="2" t="s">
        <v>13415</v>
      </c>
      <c r="P401" s="9">
        <v>0</v>
      </c>
      <c r="Q401" s="9">
        <v>0</v>
      </c>
      <c r="R401" s="2" t="s">
        <v>13292</v>
      </c>
    </row>
    <row r="402" spans="1:18" x14ac:dyDescent="0.25">
      <c r="A402" s="2" t="s">
        <v>1695</v>
      </c>
      <c r="B402" s="6">
        <v>46204</v>
      </c>
      <c r="C402" s="8">
        <v>46232</v>
      </c>
      <c r="D402" s="2" t="s">
        <v>136</v>
      </c>
      <c r="E402" s="2" t="s">
        <v>12593</v>
      </c>
      <c r="F402" s="2" t="s">
        <v>12423</v>
      </c>
      <c r="G402" s="2" t="s">
        <v>13416</v>
      </c>
      <c r="H402" s="2" t="s">
        <v>76</v>
      </c>
      <c r="I402" s="9">
        <v>16356935.483871</v>
      </c>
      <c r="J402" s="7">
        <v>6.2000000000000003E-5</v>
      </c>
      <c r="K402" s="9">
        <v>1014.13</v>
      </c>
      <c r="L402" s="14">
        <v>0</v>
      </c>
      <c r="M402" s="2" t="s">
        <v>71</v>
      </c>
      <c r="N402" s="2" t="s">
        <v>13272</v>
      </c>
      <c r="O402" s="2" t="s">
        <v>13417</v>
      </c>
      <c r="P402" s="9">
        <v>0</v>
      </c>
      <c r="Q402" s="9">
        <v>0</v>
      </c>
      <c r="R402" s="2" t="s">
        <v>13295</v>
      </c>
    </row>
    <row r="403" spans="1:18" x14ac:dyDescent="0.25">
      <c r="A403" s="2" t="s">
        <v>1698</v>
      </c>
      <c r="B403" s="6">
        <v>46204</v>
      </c>
      <c r="C403" s="8">
        <v>46233</v>
      </c>
      <c r="D403" s="2" t="s">
        <v>136</v>
      </c>
      <c r="E403" s="2" t="s">
        <v>12593</v>
      </c>
      <c r="F403" s="2" t="s">
        <v>12424</v>
      </c>
      <c r="G403" s="2" t="s">
        <v>13418</v>
      </c>
      <c r="H403" s="2" t="s">
        <v>70</v>
      </c>
      <c r="I403" s="9">
        <v>1804.1641340000001</v>
      </c>
      <c r="J403" s="7">
        <v>0.65800000000000003</v>
      </c>
      <c r="K403" s="9">
        <v>1187.1400000000001</v>
      </c>
      <c r="L403" s="14">
        <v>0</v>
      </c>
      <c r="M403" s="2" t="s">
        <v>71</v>
      </c>
      <c r="N403" s="2" t="s">
        <v>13272</v>
      </c>
      <c r="O403" s="2" t="s">
        <v>13419</v>
      </c>
      <c r="P403" s="9">
        <v>0</v>
      </c>
      <c r="Q403" s="9">
        <v>0</v>
      </c>
      <c r="R403" s="2" t="s">
        <v>13298</v>
      </c>
    </row>
    <row r="404" spans="1:18" x14ac:dyDescent="0.25">
      <c r="A404" s="2" t="s">
        <v>1701</v>
      </c>
      <c r="B404" s="6">
        <v>46204</v>
      </c>
      <c r="C404" s="8">
        <v>46234</v>
      </c>
      <c r="D404" s="2" t="s">
        <v>136</v>
      </c>
      <c r="E404" s="2" t="s">
        <v>12593</v>
      </c>
      <c r="F404" s="2" t="s">
        <v>12425</v>
      </c>
      <c r="G404" s="2" t="s">
        <v>13420</v>
      </c>
      <c r="H404" s="2" t="s">
        <v>39</v>
      </c>
      <c r="I404" s="9">
        <v>1360.15</v>
      </c>
      <c r="J404" s="7">
        <v>1</v>
      </c>
      <c r="K404" s="9">
        <v>1360.15</v>
      </c>
      <c r="L404" s="14">
        <v>0</v>
      </c>
      <c r="M404" s="2" t="s">
        <v>71</v>
      </c>
      <c r="N404" s="2" t="s">
        <v>13272</v>
      </c>
      <c r="O404" s="2" t="s">
        <v>13421</v>
      </c>
      <c r="P404" s="9">
        <v>0</v>
      </c>
      <c r="Q404" s="9">
        <v>0</v>
      </c>
      <c r="R404" s="2" t="s">
        <v>13301</v>
      </c>
    </row>
    <row r="405" spans="1:18" x14ac:dyDescent="0.25">
      <c r="A405" s="2" t="s">
        <v>1704</v>
      </c>
      <c r="B405" s="6">
        <v>46204</v>
      </c>
      <c r="C405" s="8">
        <v>46204</v>
      </c>
      <c r="D405" s="2" t="s">
        <v>136</v>
      </c>
      <c r="E405" s="2" t="s">
        <v>12593</v>
      </c>
      <c r="F405" s="2" t="s">
        <v>12426</v>
      </c>
      <c r="G405" s="2" t="s">
        <v>13422</v>
      </c>
      <c r="H405" s="2" t="s">
        <v>76</v>
      </c>
      <c r="I405" s="9">
        <v>24728387.096774001</v>
      </c>
      <c r="J405" s="7">
        <v>6.2000000000000003E-5</v>
      </c>
      <c r="K405" s="9">
        <v>1533.16</v>
      </c>
      <c r="L405" s="14">
        <v>0</v>
      </c>
      <c r="M405" s="2" t="s">
        <v>71</v>
      </c>
      <c r="N405" s="2" t="s">
        <v>13272</v>
      </c>
      <c r="O405" s="2" t="s">
        <v>13423</v>
      </c>
      <c r="P405" s="9">
        <v>0</v>
      </c>
      <c r="Q405" s="9">
        <v>0</v>
      </c>
      <c r="R405" s="2" t="s">
        <v>13274</v>
      </c>
    </row>
    <row r="406" spans="1:18" x14ac:dyDescent="0.25">
      <c r="A406" s="2" t="s">
        <v>1709</v>
      </c>
      <c r="B406" s="6">
        <v>46204</v>
      </c>
      <c r="C406" s="8">
        <v>46205</v>
      </c>
      <c r="D406" s="2" t="s">
        <v>136</v>
      </c>
      <c r="E406" s="2" t="s">
        <v>12593</v>
      </c>
      <c r="F406" s="2" t="s">
        <v>12427</v>
      </c>
      <c r="G406" s="2" t="s">
        <v>13424</v>
      </c>
      <c r="H406" s="2" t="s">
        <v>70</v>
      </c>
      <c r="I406" s="9">
        <v>2592.963526</v>
      </c>
      <c r="J406" s="7">
        <v>0.65800000000000003</v>
      </c>
      <c r="K406" s="9">
        <v>1706.17</v>
      </c>
      <c r="L406" s="14">
        <v>0</v>
      </c>
      <c r="M406" s="2" t="s">
        <v>71</v>
      </c>
      <c r="N406" s="2" t="s">
        <v>13272</v>
      </c>
      <c r="O406" s="2" t="s">
        <v>13425</v>
      </c>
      <c r="P406" s="9">
        <v>0</v>
      </c>
      <c r="Q406" s="9">
        <v>0</v>
      </c>
      <c r="R406" s="2" t="s">
        <v>13277</v>
      </c>
    </row>
    <row r="407" spans="1:18" x14ac:dyDescent="0.25">
      <c r="A407" s="2" t="s">
        <v>1714</v>
      </c>
      <c r="B407" s="6">
        <v>46204</v>
      </c>
      <c r="C407" s="8">
        <v>46206</v>
      </c>
      <c r="D407" s="2" t="s">
        <v>136</v>
      </c>
      <c r="E407" s="2" t="s">
        <v>12593</v>
      </c>
      <c r="F407" s="2" t="s">
        <v>12428</v>
      </c>
      <c r="G407" s="2" t="s">
        <v>13426</v>
      </c>
      <c r="H407" s="2" t="s">
        <v>39</v>
      </c>
      <c r="I407" s="9">
        <v>1879.18</v>
      </c>
      <c r="J407" s="7">
        <v>1</v>
      </c>
      <c r="K407" s="9">
        <v>1879.18</v>
      </c>
      <c r="L407" s="14">
        <v>0</v>
      </c>
      <c r="M407" s="2" t="s">
        <v>71</v>
      </c>
      <c r="N407" s="2" t="s">
        <v>13272</v>
      </c>
      <c r="O407" s="2" t="s">
        <v>13427</v>
      </c>
      <c r="P407" s="9">
        <v>0</v>
      </c>
      <c r="Q407" s="9">
        <v>0</v>
      </c>
      <c r="R407" s="2" t="s">
        <v>13280</v>
      </c>
    </row>
    <row r="408" spans="1:18" x14ac:dyDescent="0.25">
      <c r="A408" s="2" t="s">
        <v>1717</v>
      </c>
      <c r="B408" s="6">
        <v>46204</v>
      </c>
      <c r="C408" s="8">
        <v>46207</v>
      </c>
      <c r="D408" s="2" t="s">
        <v>136</v>
      </c>
      <c r="E408" s="2" t="s">
        <v>12593</v>
      </c>
      <c r="F408" s="2" t="s">
        <v>12429</v>
      </c>
      <c r="G408" s="2" t="s">
        <v>13428</v>
      </c>
      <c r="H408" s="2" t="s">
        <v>76</v>
      </c>
      <c r="I408" s="9">
        <v>33099838.709677</v>
      </c>
      <c r="J408" s="7">
        <v>6.2000000000000003E-5</v>
      </c>
      <c r="K408" s="9">
        <v>2052.19</v>
      </c>
      <c r="L408" s="14">
        <v>0</v>
      </c>
      <c r="M408" s="2" t="s">
        <v>71</v>
      </c>
      <c r="N408" s="2" t="s">
        <v>13272</v>
      </c>
      <c r="O408" s="2" t="s">
        <v>13429</v>
      </c>
      <c r="P408" s="9">
        <v>0</v>
      </c>
      <c r="Q408" s="9">
        <v>0</v>
      </c>
      <c r="R408" s="2" t="s">
        <v>13283</v>
      </c>
    </row>
    <row r="409" spans="1:18" x14ac:dyDescent="0.25">
      <c r="A409" s="2" t="s">
        <v>1720</v>
      </c>
      <c r="B409" s="6">
        <v>46204</v>
      </c>
      <c r="C409" s="8">
        <v>46208</v>
      </c>
      <c r="D409" s="2" t="s">
        <v>136</v>
      </c>
      <c r="E409" s="2" t="s">
        <v>12593</v>
      </c>
      <c r="F409" s="2" t="s">
        <v>12430</v>
      </c>
      <c r="G409" s="2" t="s">
        <v>13430</v>
      </c>
      <c r="H409" s="2" t="s">
        <v>70</v>
      </c>
      <c r="I409" s="9">
        <v>3381.7629179999999</v>
      </c>
      <c r="J409" s="7">
        <v>0.65800000000000003</v>
      </c>
      <c r="K409" s="9">
        <v>2225.1999999999998</v>
      </c>
      <c r="L409" s="14">
        <v>0</v>
      </c>
      <c r="M409" s="2" t="s">
        <v>71</v>
      </c>
      <c r="N409" s="2" t="s">
        <v>13272</v>
      </c>
      <c r="O409" s="2" t="s">
        <v>13431</v>
      </c>
      <c r="P409" s="9">
        <v>0</v>
      </c>
      <c r="Q409" s="9">
        <v>0</v>
      </c>
      <c r="R409" s="2" t="s">
        <v>13286</v>
      </c>
    </row>
    <row r="410" spans="1:18" x14ac:dyDescent="0.25">
      <c r="A410" s="2" t="s">
        <v>1725</v>
      </c>
      <c r="B410" s="6">
        <v>46204</v>
      </c>
      <c r="C410" s="8">
        <v>46209</v>
      </c>
      <c r="D410" s="2" t="s">
        <v>136</v>
      </c>
      <c r="E410" s="2" t="s">
        <v>12593</v>
      </c>
      <c r="F410" s="2" t="s">
        <v>12431</v>
      </c>
      <c r="G410" s="2" t="s">
        <v>13432</v>
      </c>
      <c r="H410" s="2" t="s">
        <v>39</v>
      </c>
      <c r="I410" s="9">
        <v>2398.21</v>
      </c>
      <c r="J410" s="7">
        <v>1</v>
      </c>
      <c r="K410" s="9">
        <v>2398.21</v>
      </c>
      <c r="L410" s="14">
        <v>0</v>
      </c>
      <c r="M410" s="2" t="s">
        <v>71</v>
      </c>
      <c r="N410" s="2" t="s">
        <v>13272</v>
      </c>
      <c r="O410" s="2" t="s">
        <v>13433</v>
      </c>
      <c r="P410" s="9">
        <v>0</v>
      </c>
      <c r="Q410" s="9">
        <v>0</v>
      </c>
      <c r="R410" s="2" t="s">
        <v>13289</v>
      </c>
    </row>
    <row r="411" spans="1:18" x14ac:dyDescent="0.25">
      <c r="A411" s="2" t="s">
        <v>1728</v>
      </c>
      <c r="B411" s="6">
        <v>46204</v>
      </c>
      <c r="C411" s="8">
        <v>46210</v>
      </c>
      <c r="D411" s="2" t="s">
        <v>136</v>
      </c>
      <c r="E411" s="2" t="s">
        <v>12593</v>
      </c>
      <c r="F411" s="2" t="s">
        <v>12432</v>
      </c>
      <c r="G411" s="2" t="s">
        <v>13434</v>
      </c>
      <c r="H411" s="2" t="s">
        <v>76</v>
      </c>
      <c r="I411" s="9">
        <v>-41471290.322581001</v>
      </c>
      <c r="J411" s="7">
        <v>6.2000000000000003E-5</v>
      </c>
      <c r="K411" s="9">
        <v>-2571.2199999999998</v>
      </c>
      <c r="L411" s="14">
        <v>0</v>
      </c>
      <c r="M411" s="2" t="s">
        <v>71</v>
      </c>
      <c r="N411" s="2" t="s">
        <v>13272</v>
      </c>
      <c r="O411" s="2" t="s">
        <v>13435</v>
      </c>
      <c r="P411" s="9">
        <v>0</v>
      </c>
      <c r="Q411" s="9">
        <v>0</v>
      </c>
      <c r="R411" s="2" t="s">
        <v>13292</v>
      </c>
    </row>
    <row r="412" spans="1:18" x14ac:dyDescent="0.25">
      <c r="A412" s="2" t="s">
        <v>1731</v>
      </c>
      <c r="B412" s="6">
        <v>46204</v>
      </c>
      <c r="C412" s="8">
        <v>46211</v>
      </c>
      <c r="D412" s="2" t="s">
        <v>136</v>
      </c>
      <c r="E412" s="2" t="s">
        <v>12593</v>
      </c>
      <c r="F412" s="2" t="s">
        <v>12423</v>
      </c>
      <c r="G412" s="2" t="s">
        <v>13436</v>
      </c>
      <c r="H412" s="2" t="s">
        <v>70</v>
      </c>
      <c r="I412" s="9">
        <v>4170.5623100000003</v>
      </c>
      <c r="J412" s="7">
        <v>0.65800000000000003</v>
      </c>
      <c r="K412" s="9">
        <v>2744.23</v>
      </c>
      <c r="L412" s="14">
        <v>0</v>
      </c>
      <c r="M412" s="2" t="s">
        <v>71</v>
      </c>
      <c r="N412" s="2" t="s">
        <v>13272</v>
      </c>
      <c r="O412" s="2" t="s">
        <v>13437</v>
      </c>
      <c r="P412" s="9">
        <v>0</v>
      </c>
      <c r="Q412" s="9">
        <v>0</v>
      </c>
      <c r="R412" s="2" t="s">
        <v>13295</v>
      </c>
    </row>
    <row r="413" spans="1:18" x14ac:dyDescent="0.25">
      <c r="A413" s="2" t="s">
        <v>1734</v>
      </c>
      <c r="B413" s="6">
        <v>46204</v>
      </c>
      <c r="C413" s="8">
        <v>46212</v>
      </c>
      <c r="D413" s="2" t="s">
        <v>136</v>
      </c>
      <c r="E413" s="2" t="s">
        <v>12593</v>
      </c>
      <c r="F413" s="2" t="s">
        <v>12424</v>
      </c>
      <c r="G413" s="2" t="s">
        <v>13438</v>
      </c>
      <c r="H413" s="2" t="s">
        <v>39</v>
      </c>
      <c r="I413" s="9">
        <v>2917.24</v>
      </c>
      <c r="J413" s="7">
        <v>1</v>
      </c>
      <c r="K413" s="9">
        <v>2917.24</v>
      </c>
      <c r="L413" s="14">
        <v>0</v>
      </c>
      <c r="M413" s="2" t="s">
        <v>71</v>
      </c>
      <c r="N413" s="2" t="s">
        <v>13272</v>
      </c>
      <c r="O413" s="2" t="s">
        <v>13439</v>
      </c>
      <c r="P413" s="9">
        <v>0</v>
      </c>
      <c r="Q413" s="9">
        <v>0</v>
      </c>
      <c r="R413" s="2" t="s">
        <v>13298</v>
      </c>
    </row>
    <row r="414" spans="1:18" x14ac:dyDescent="0.25">
      <c r="A414" s="2" t="s">
        <v>1737</v>
      </c>
      <c r="B414" s="6">
        <v>46204</v>
      </c>
      <c r="C414" s="8">
        <v>46213</v>
      </c>
      <c r="D414" s="2" t="s">
        <v>136</v>
      </c>
      <c r="E414" s="2" t="s">
        <v>12593</v>
      </c>
      <c r="F414" s="2" t="s">
        <v>12425</v>
      </c>
      <c r="G414" s="2" t="s">
        <v>13440</v>
      </c>
      <c r="H414" s="2" t="s">
        <v>76</v>
      </c>
      <c r="I414" s="9">
        <v>49842741.935484</v>
      </c>
      <c r="J414" s="7">
        <v>6.2000000000000003E-5</v>
      </c>
      <c r="K414" s="9">
        <v>3090.25</v>
      </c>
      <c r="L414" s="14">
        <v>0</v>
      </c>
      <c r="M414" s="2" t="s">
        <v>71</v>
      </c>
      <c r="N414" s="2" t="s">
        <v>13272</v>
      </c>
      <c r="O414" s="2" t="s">
        <v>13441</v>
      </c>
      <c r="P414" s="9">
        <v>0</v>
      </c>
      <c r="Q414" s="9">
        <v>0</v>
      </c>
      <c r="R414" s="2" t="s">
        <v>13301</v>
      </c>
    </row>
    <row r="415" spans="1:18" x14ac:dyDescent="0.25">
      <c r="A415" s="2" t="s">
        <v>1740</v>
      </c>
      <c r="B415" s="6">
        <v>46204</v>
      </c>
      <c r="C415" s="8">
        <v>46214</v>
      </c>
      <c r="D415" s="2" t="s">
        <v>136</v>
      </c>
      <c r="E415" s="2" t="s">
        <v>12593</v>
      </c>
      <c r="F415" s="2" t="s">
        <v>12426</v>
      </c>
      <c r="G415" s="2" t="s">
        <v>13442</v>
      </c>
      <c r="H415" s="2" t="s">
        <v>70</v>
      </c>
      <c r="I415" s="9">
        <v>4959.3617020000002</v>
      </c>
      <c r="J415" s="7">
        <v>0.65800000000000003</v>
      </c>
      <c r="K415" s="9">
        <v>3263.26</v>
      </c>
      <c r="L415" s="14">
        <v>0</v>
      </c>
      <c r="M415" s="2" t="s">
        <v>71</v>
      </c>
      <c r="N415" s="2" t="s">
        <v>13272</v>
      </c>
      <c r="O415" s="2" t="s">
        <v>13443</v>
      </c>
      <c r="P415" s="9">
        <v>0</v>
      </c>
      <c r="Q415" s="9">
        <v>0</v>
      </c>
      <c r="R415" s="2" t="s">
        <v>13274</v>
      </c>
    </row>
    <row r="416" spans="1:18" x14ac:dyDescent="0.25">
      <c r="A416" s="2" t="s">
        <v>1745</v>
      </c>
      <c r="B416" s="6">
        <v>46204</v>
      </c>
      <c r="C416" s="8">
        <v>46215</v>
      </c>
      <c r="D416" s="2" t="s">
        <v>136</v>
      </c>
      <c r="E416" s="2" t="s">
        <v>12593</v>
      </c>
      <c r="F416" s="2" t="s">
        <v>12427</v>
      </c>
      <c r="G416" s="2" t="s">
        <v>13444</v>
      </c>
      <c r="H416" s="2" t="s">
        <v>39</v>
      </c>
      <c r="I416" s="9">
        <v>3436.27</v>
      </c>
      <c r="J416" s="7">
        <v>1</v>
      </c>
      <c r="K416" s="9">
        <v>3436.27</v>
      </c>
      <c r="L416" s="14">
        <v>0</v>
      </c>
      <c r="M416" s="2" t="s">
        <v>71</v>
      </c>
      <c r="N416" s="2" t="s">
        <v>13272</v>
      </c>
      <c r="O416" s="2" t="s">
        <v>13445</v>
      </c>
      <c r="P416" s="9">
        <v>0</v>
      </c>
      <c r="Q416" s="9">
        <v>0</v>
      </c>
      <c r="R416" s="2" t="s">
        <v>13277</v>
      </c>
    </row>
    <row r="417" spans="1:18" x14ac:dyDescent="0.25">
      <c r="A417" s="2" t="s">
        <v>1750</v>
      </c>
      <c r="B417" s="6">
        <v>46204</v>
      </c>
      <c r="C417" s="8">
        <v>46216</v>
      </c>
      <c r="D417" s="2" t="s">
        <v>136</v>
      </c>
      <c r="E417" s="2" t="s">
        <v>12593</v>
      </c>
      <c r="F417" s="2" t="s">
        <v>12428</v>
      </c>
      <c r="G417" s="2" t="s">
        <v>13446</v>
      </c>
      <c r="H417" s="2" t="s">
        <v>76</v>
      </c>
      <c r="I417" s="9">
        <v>58214193.548386998</v>
      </c>
      <c r="J417" s="7">
        <v>6.2000000000000003E-5</v>
      </c>
      <c r="K417" s="9">
        <v>3609.28</v>
      </c>
      <c r="L417" s="14">
        <v>0</v>
      </c>
      <c r="M417" s="2" t="s">
        <v>71</v>
      </c>
      <c r="N417" s="2" t="s">
        <v>13272</v>
      </c>
      <c r="O417" s="2" t="s">
        <v>13447</v>
      </c>
      <c r="P417" s="9">
        <v>0</v>
      </c>
      <c r="Q417" s="9">
        <v>0</v>
      </c>
      <c r="R417" s="2" t="s">
        <v>13280</v>
      </c>
    </row>
    <row r="418" spans="1:18" x14ac:dyDescent="0.25">
      <c r="A418" s="2" t="s">
        <v>1753</v>
      </c>
      <c r="B418" s="6">
        <v>46204</v>
      </c>
      <c r="C418" s="8">
        <v>46217</v>
      </c>
      <c r="D418" s="2" t="s">
        <v>136</v>
      </c>
      <c r="E418" s="2" t="s">
        <v>12593</v>
      </c>
      <c r="F418" s="2" t="s">
        <v>12429</v>
      </c>
      <c r="G418" s="2" t="s">
        <v>13448</v>
      </c>
      <c r="H418" s="2" t="s">
        <v>70</v>
      </c>
      <c r="I418" s="9">
        <v>5748.161094</v>
      </c>
      <c r="J418" s="7">
        <v>0.65800000000000003</v>
      </c>
      <c r="K418" s="9">
        <v>3782.29</v>
      </c>
      <c r="L418" s="14">
        <v>0</v>
      </c>
      <c r="M418" s="2" t="s">
        <v>71</v>
      </c>
      <c r="N418" s="2" t="s">
        <v>13272</v>
      </c>
      <c r="O418" s="2" t="s">
        <v>13449</v>
      </c>
      <c r="P418" s="9">
        <v>0</v>
      </c>
      <c r="Q418" s="9">
        <v>0</v>
      </c>
      <c r="R418" s="2" t="s">
        <v>13283</v>
      </c>
    </row>
    <row r="419" spans="1:18" x14ac:dyDescent="0.25">
      <c r="A419" s="2" t="s">
        <v>1756</v>
      </c>
      <c r="B419" s="6">
        <v>46204</v>
      </c>
      <c r="C419" s="8">
        <v>46218</v>
      </c>
      <c r="D419" s="2" t="s">
        <v>136</v>
      </c>
      <c r="E419" s="2" t="s">
        <v>12593</v>
      </c>
      <c r="F419" s="2" t="s">
        <v>12430</v>
      </c>
      <c r="G419" s="2" t="s">
        <v>13450</v>
      </c>
      <c r="H419" s="2" t="s">
        <v>39</v>
      </c>
      <c r="I419" s="9">
        <v>3955.3</v>
      </c>
      <c r="J419" s="7">
        <v>1</v>
      </c>
      <c r="K419" s="9">
        <v>3955.3</v>
      </c>
      <c r="L419" s="14">
        <v>0</v>
      </c>
      <c r="M419" s="2" t="s">
        <v>71</v>
      </c>
      <c r="N419" s="2" t="s">
        <v>13272</v>
      </c>
      <c r="O419" s="2" t="s">
        <v>13451</v>
      </c>
      <c r="P419" s="9">
        <v>0</v>
      </c>
      <c r="Q419" s="9">
        <v>0</v>
      </c>
      <c r="R419" s="2" t="s">
        <v>13286</v>
      </c>
    </row>
    <row r="420" spans="1:18" x14ac:dyDescent="0.25">
      <c r="A420" s="2" t="s">
        <v>1761</v>
      </c>
      <c r="B420" s="6">
        <v>46204</v>
      </c>
      <c r="C420" s="8">
        <v>46219</v>
      </c>
      <c r="D420" s="2" t="s">
        <v>136</v>
      </c>
      <c r="E420" s="2" t="s">
        <v>12593</v>
      </c>
      <c r="F420" s="2" t="s">
        <v>12431</v>
      </c>
      <c r="G420" s="2" t="s">
        <v>13452</v>
      </c>
      <c r="H420" s="2" t="s">
        <v>76</v>
      </c>
      <c r="I420" s="9">
        <v>66585645.161289997</v>
      </c>
      <c r="J420" s="7">
        <v>6.2000000000000003E-5</v>
      </c>
      <c r="K420" s="9">
        <v>4128.3100000000004</v>
      </c>
      <c r="L420" s="14">
        <v>0</v>
      </c>
      <c r="M420" s="2" t="s">
        <v>71</v>
      </c>
      <c r="N420" s="2" t="s">
        <v>13272</v>
      </c>
      <c r="O420" s="2" t="s">
        <v>13453</v>
      </c>
      <c r="P420" s="9">
        <v>0</v>
      </c>
      <c r="Q420" s="9">
        <v>0</v>
      </c>
      <c r="R420" s="2" t="s">
        <v>13289</v>
      </c>
    </row>
    <row r="421" spans="1:18" x14ac:dyDescent="0.25">
      <c r="A421" s="2" t="s">
        <v>1764</v>
      </c>
      <c r="B421" s="6">
        <v>46204</v>
      </c>
      <c r="C421" s="8">
        <v>46220</v>
      </c>
      <c r="D421" s="2" t="s">
        <v>136</v>
      </c>
      <c r="E421" s="2" t="s">
        <v>12593</v>
      </c>
      <c r="F421" s="2" t="s">
        <v>12432</v>
      </c>
      <c r="G421" s="2" t="s">
        <v>13454</v>
      </c>
      <c r="H421" s="2" t="s">
        <v>70</v>
      </c>
      <c r="I421" s="9">
        <v>6536.9604859999999</v>
      </c>
      <c r="J421" s="7">
        <v>0.65800000000000003</v>
      </c>
      <c r="K421" s="9">
        <v>4301.32</v>
      </c>
      <c r="L421" s="14">
        <v>0</v>
      </c>
      <c r="M421" s="2" t="s">
        <v>71</v>
      </c>
      <c r="N421" s="2" t="s">
        <v>13272</v>
      </c>
      <c r="O421" s="2" t="s">
        <v>13455</v>
      </c>
      <c r="P421" s="9">
        <v>0</v>
      </c>
      <c r="Q421" s="9">
        <v>0</v>
      </c>
      <c r="R421" s="2" t="s">
        <v>13292</v>
      </c>
    </row>
    <row r="422" spans="1:18" x14ac:dyDescent="0.25">
      <c r="A422" s="2" t="s">
        <v>1767</v>
      </c>
      <c r="B422" s="6">
        <v>46204</v>
      </c>
      <c r="C422" s="8">
        <v>46221</v>
      </c>
      <c r="D422" s="2" t="s">
        <v>136</v>
      </c>
      <c r="E422" s="2" t="s">
        <v>12593</v>
      </c>
      <c r="F422" s="2" t="s">
        <v>12423</v>
      </c>
      <c r="G422" s="2" t="s">
        <v>13456</v>
      </c>
      <c r="H422" s="2" t="s">
        <v>39</v>
      </c>
      <c r="I422" s="9">
        <v>4474.33</v>
      </c>
      <c r="J422" s="7">
        <v>1</v>
      </c>
      <c r="K422" s="9">
        <v>4474.33</v>
      </c>
      <c r="L422" s="14">
        <v>0</v>
      </c>
      <c r="M422" s="2" t="s">
        <v>71</v>
      </c>
      <c r="N422" s="2" t="s">
        <v>13272</v>
      </c>
      <c r="O422" s="2" t="s">
        <v>13457</v>
      </c>
      <c r="P422" s="9">
        <v>0</v>
      </c>
      <c r="Q422" s="9">
        <v>0</v>
      </c>
      <c r="R422" s="2" t="s">
        <v>13295</v>
      </c>
    </row>
    <row r="423" spans="1:18" x14ac:dyDescent="0.25">
      <c r="A423" s="2" t="s">
        <v>1770</v>
      </c>
      <c r="B423" s="6">
        <v>46204</v>
      </c>
      <c r="C423" s="8">
        <v>46222</v>
      </c>
      <c r="D423" s="2" t="s">
        <v>136</v>
      </c>
      <c r="E423" s="2" t="s">
        <v>12593</v>
      </c>
      <c r="F423" s="2" t="s">
        <v>12424</v>
      </c>
      <c r="G423" s="2" t="s">
        <v>13458</v>
      </c>
      <c r="H423" s="2" t="s">
        <v>76</v>
      </c>
      <c r="I423" s="9">
        <v>74957096.774194002</v>
      </c>
      <c r="J423" s="7">
        <v>6.2000000000000003E-5</v>
      </c>
      <c r="K423" s="9">
        <v>4647.34</v>
      </c>
      <c r="L423" s="14">
        <v>0</v>
      </c>
      <c r="M423" s="2" t="s">
        <v>71</v>
      </c>
      <c r="N423" s="2" t="s">
        <v>13272</v>
      </c>
      <c r="O423" s="2" t="s">
        <v>13459</v>
      </c>
      <c r="P423" s="9">
        <v>0</v>
      </c>
      <c r="Q423" s="9">
        <v>0</v>
      </c>
      <c r="R423" s="2" t="s">
        <v>13298</v>
      </c>
    </row>
    <row r="424" spans="1:18" x14ac:dyDescent="0.25">
      <c r="A424" s="2" t="s">
        <v>1773</v>
      </c>
      <c r="B424" s="6">
        <v>46204</v>
      </c>
      <c r="C424" s="8">
        <v>46223</v>
      </c>
      <c r="D424" s="2" t="s">
        <v>136</v>
      </c>
      <c r="E424" s="2" t="s">
        <v>12593</v>
      </c>
      <c r="F424" s="2" t="s">
        <v>12425</v>
      </c>
      <c r="G424" s="2" t="s">
        <v>13460</v>
      </c>
      <c r="H424" s="2" t="s">
        <v>70</v>
      </c>
      <c r="I424" s="9">
        <v>7325.7598779999998</v>
      </c>
      <c r="J424" s="7">
        <v>0.65800000000000003</v>
      </c>
      <c r="K424" s="9">
        <v>4820.3500000000004</v>
      </c>
      <c r="L424" s="14">
        <v>0</v>
      </c>
      <c r="M424" s="2" t="s">
        <v>71</v>
      </c>
      <c r="N424" s="2" t="s">
        <v>13272</v>
      </c>
      <c r="O424" s="2" t="s">
        <v>13461</v>
      </c>
      <c r="P424" s="9">
        <v>0</v>
      </c>
      <c r="Q424" s="9">
        <v>0</v>
      </c>
      <c r="R424" s="2" t="s">
        <v>13301</v>
      </c>
    </row>
    <row r="425" spans="1:18" x14ac:dyDescent="0.25">
      <c r="A425" s="2" t="s">
        <v>1776</v>
      </c>
      <c r="B425" s="6">
        <v>46204</v>
      </c>
      <c r="C425" s="8">
        <v>46224</v>
      </c>
      <c r="D425" s="2" t="s">
        <v>136</v>
      </c>
      <c r="E425" s="2" t="s">
        <v>12593</v>
      </c>
      <c r="F425" s="2" t="s">
        <v>12426</v>
      </c>
      <c r="G425" s="2" t="s">
        <v>13462</v>
      </c>
      <c r="H425" s="2" t="s">
        <v>39</v>
      </c>
      <c r="I425" s="9">
        <v>4993.3599999999997</v>
      </c>
      <c r="J425" s="7">
        <v>1</v>
      </c>
      <c r="K425" s="9">
        <v>4993.3599999999997</v>
      </c>
      <c r="L425" s="14">
        <v>0</v>
      </c>
      <c r="M425" s="2" t="s">
        <v>71</v>
      </c>
      <c r="N425" s="2" t="s">
        <v>13272</v>
      </c>
      <c r="O425" s="2" t="s">
        <v>13463</v>
      </c>
      <c r="P425" s="9">
        <v>0</v>
      </c>
      <c r="Q425" s="9">
        <v>0</v>
      </c>
      <c r="R425" s="2" t="s">
        <v>13274</v>
      </c>
    </row>
    <row r="426" spans="1:18" x14ac:dyDescent="0.25">
      <c r="A426" s="2" t="s">
        <v>1781</v>
      </c>
      <c r="B426" s="6">
        <v>46204</v>
      </c>
      <c r="C426" s="8">
        <v>46225</v>
      </c>
      <c r="D426" s="2" t="s">
        <v>136</v>
      </c>
      <c r="E426" s="2" t="s">
        <v>12593</v>
      </c>
      <c r="F426" s="2" t="s">
        <v>12427</v>
      </c>
      <c r="G426" s="2" t="s">
        <v>13464</v>
      </c>
      <c r="H426" s="2" t="s">
        <v>76</v>
      </c>
      <c r="I426" s="9">
        <v>83328548.387097001</v>
      </c>
      <c r="J426" s="7">
        <v>6.2000000000000003E-5</v>
      </c>
      <c r="K426" s="9">
        <v>5166.37</v>
      </c>
      <c r="L426" s="14">
        <v>0</v>
      </c>
      <c r="M426" s="2" t="s">
        <v>71</v>
      </c>
      <c r="N426" s="2" t="s">
        <v>13272</v>
      </c>
      <c r="O426" s="2" t="s">
        <v>13465</v>
      </c>
      <c r="P426" s="9">
        <v>0</v>
      </c>
      <c r="Q426" s="9">
        <v>0</v>
      </c>
      <c r="R426" s="2" t="s">
        <v>13277</v>
      </c>
    </row>
    <row r="427" spans="1:18" x14ac:dyDescent="0.25">
      <c r="A427" s="2" t="s">
        <v>1786</v>
      </c>
      <c r="B427" s="6">
        <v>46204</v>
      </c>
      <c r="C427" s="8">
        <v>46226</v>
      </c>
      <c r="D427" s="2" t="s">
        <v>136</v>
      </c>
      <c r="E427" s="2" t="s">
        <v>12593</v>
      </c>
      <c r="F427" s="2" t="s">
        <v>12428</v>
      </c>
      <c r="G427" s="2" t="s">
        <v>13466</v>
      </c>
      <c r="H427" s="2" t="s">
        <v>70</v>
      </c>
      <c r="I427" s="9">
        <v>8114.5592710000001</v>
      </c>
      <c r="J427" s="7">
        <v>0.65800000000000003</v>
      </c>
      <c r="K427" s="9">
        <v>5339.38</v>
      </c>
      <c r="L427" s="14">
        <v>0</v>
      </c>
      <c r="M427" s="2" t="s">
        <v>71</v>
      </c>
      <c r="N427" s="2" t="s">
        <v>13272</v>
      </c>
      <c r="O427" s="2" t="s">
        <v>13467</v>
      </c>
      <c r="P427" s="9">
        <v>0</v>
      </c>
      <c r="Q427" s="9">
        <v>0</v>
      </c>
      <c r="R427" s="2" t="s">
        <v>13280</v>
      </c>
    </row>
    <row r="428" spans="1:18" x14ac:dyDescent="0.25">
      <c r="A428" s="2" t="s">
        <v>1789</v>
      </c>
      <c r="B428" s="6">
        <v>46204</v>
      </c>
      <c r="C428" s="8">
        <v>46227</v>
      </c>
      <c r="D428" s="2" t="s">
        <v>136</v>
      </c>
      <c r="E428" s="2" t="s">
        <v>12593</v>
      </c>
      <c r="F428" s="2" t="s">
        <v>12429</v>
      </c>
      <c r="G428" s="2" t="s">
        <v>13468</v>
      </c>
      <c r="H428" s="2" t="s">
        <v>39</v>
      </c>
      <c r="I428" s="9">
        <v>5512.39</v>
      </c>
      <c r="J428" s="7">
        <v>1</v>
      </c>
      <c r="K428" s="9">
        <v>5512.39</v>
      </c>
      <c r="L428" s="14">
        <v>0</v>
      </c>
      <c r="M428" s="2" t="s">
        <v>71</v>
      </c>
      <c r="N428" s="2" t="s">
        <v>13272</v>
      </c>
      <c r="O428" s="2" t="s">
        <v>13469</v>
      </c>
      <c r="P428" s="9">
        <v>0</v>
      </c>
      <c r="Q428" s="9">
        <v>0</v>
      </c>
      <c r="R428" s="2" t="s">
        <v>13283</v>
      </c>
    </row>
    <row r="429" spans="1:18" x14ac:dyDescent="0.25">
      <c r="A429" s="2" t="s">
        <v>1792</v>
      </c>
      <c r="B429" s="6">
        <v>46204</v>
      </c>
      <c r="C429" s="8">
        <v>46228</v>
      </c>
      <c r="D429" s="2" t="s">
        <v>136</v>
      </c>
      <c r="E429" s="2" t="s">
        <v>12593</v>
      </c>
      <c r="F429" s="2" t="s">
        <v>12430</v>
      </c>
      <c r="G429" s="2" t="s">
        <v>13470</v>
      </c>
      <c r="H429" s="2" t="s">
        <v>76</v>
      </c>
      <c r="I429" s="9">
        <v>91700000</v>
      </c>
      <c r="J429" s="7">
        <v>6.2000000000000003E-5</v>
      </c>
      <c r="K429" s="9">
        <v>5685.4</v>
      </c>
      <c r="L429" s="14">
        <v>0</v>
      </c>
      <c r="M429" s="2" t="s">
        <v>71</v>
      </c>
      <c r="N429" s="2" t="s">
        <v>13272</v>
      </c>
      <c r="O429" s="2" t="s">
        <v>13471</v>
      </c>
      <c r="P429" s="9">
        <v>0</v>
      </c>
      <c r="Q429" s="9">
        <v>0</v>
      </c>
      <c r="R429" s="2" t="s">
        <v>13286</v>
      </c>
    </row>
    <row r="430" spans="1:18" x14ac:dyDescent="0.25">
      <c r="A430" s="2" t="s">
        <v>1797</v>
      </c>
      <c r="B430" s="6">
        <v>46204</v>
      </c>
      <c r="C430" s="8">
        <v>46229</v>
      </c>
      <c r="D430" s="2" t="s">
        <v>136</v>
      </c>
      <c r="E430" s="2" t="s">
        <v>12593</v>
      </c>
      <c r="F430" s="2" t="s">
        <v>12431</v>
      </c>
      <c r="G430" s="2" t="s">
        <v>13472</v>
      </c>
      <c r="H430" s="2" t="s">
        <v>70</v>
      </c>
      <c r="I430" s="9">
        <v>8903.3586630000009</v>
      </c>
      <c r="J430" s="7">
        <v>0.65800000000000003</v>
      </c>
      <c r="K430" s="9">
        <v>5858.41</v>
      </c>
      <c r="L430" s="14">
        <v>0</v>
      </c>
      <c r="M430" s="2" t="s">
        <v>71</v>
      </c>
      <c r="N430" s="2" t="s">
        <v>13272</v>
      </c>
      <c r="O430" s="2" t="s">
        <v>13473</v>
      </c>
      <c r="P430" s="9">
        <v>0</v>
      </c>
      <c r="Q430" s="9">
        <v>0</v>
      </c>
      <c r="R430" s="2" t="s">
        <v>13289</v>
      </c>
    </row>
    <row r="431" spans="1:18" x14ac:dyDescent="0.25">
      <c r="A431" s="2" t="s">
        <v>1800</v>
      </c>
      <c r="B431" s="6">
        <v>46204</v>
      </c>
      <c r="C431" s="8">
        <v>46230</v>
      </c>
      <c r="D431" s="2" t="s">
        <v>136</v>
      </c>
      <c r="E431" s="2" t="s">
        <v>12593</v>
      </c>
      <c r="F431" s="2" t="s">
        <v>12432</v>
      </c>
      <c r="G431" s="2" t="s">
        <v>13474</v>
      </c>
      <c r="H431" s="2" t="s">
        <v>39</v>
      </c>
      <c r="I431" s="9">
        <v>6031.42</v>
      </c>
      <c r="J431" s="7">
        <v>1</v>
      </c>
      <c r="K431" s="9">
        <v>6031.42</v>
      </c>
      <c r="L431" s="14">
        <v>0</v>
      </c>
      <c r="M431" s="2" t="s">
        <v>71</v>
      </c>
      <c r="N431" s="2" t="s">
        <v>13272</v>
      </c>
      <c r="O431" s="2" t="s">
        <v>13475</v>
      </c>
      <c r="P431" s="9">
        <v>0</v>
      </c>
      <c r="Q431" s="9">
        <v>0</v>
      </c>
      <c r="R431" s="2" t="s">
        <v>13292</v>
      </c>
    </row>
    <row r="432" spans="1:18" x14ac:dyDescent="0.25">
      <c r="A432" s="2" t="s">
        <v>1803</v>
      </c>
      <c r="B432" s="6">
        <v>46204</v>
      </c>
      <c r="C432" s="8">
        <v>46231</v>
      </c>
      <c r="D432" s="2" t="s">
        <v>136</v>
      </c>
      <c r="E432" s="2" t="s">
        <v>12593</v>
      </c>
      <c r="F432" s="2" t="s">
        <v>12423</v>
      </c>
      <c r="G432" s="2" t="s">
        <v>13476</v>
      </c>
      <c r="H432" s="2" t="s">
        <v>76</v>
      </c>
      <c r="I432" s="9">
        <v>100071451.612903</v>
      </c>
      <c r="J432" s="7">
        <v>6.2000000000000003E-5</v>
      </c>
      <c r="K432" s="9">
        <v>6204.43</v>
      </c>
      <c r="L432" s="14">
        <v>0</v>
      </c>
      <c r="M432" s="2" t="s">
        <v>71</v>
      </c>
      <c r="N432" s="2" t="s">
        <v>13272</v>
      </c>
      <c r="O432" s="2" t="s">
        <v>13477</v>
      </c>
      <c r="P432" s="9">
        <v>0</v>
      </c>
      <c r="Q432" s="9">
        <v>0</v>
      </c>
      <c r="R432" s="2" t="s">
        <v>13295</v>
      </c>
    </row>
    <row r="433" spans="1:18" x14ac:dyDescent="0.25">
      <c r="A433" s="2" t="s">
        <v>1806</v>
      </c>
      <c r="B433" s="6">
        <v>46204</v>
      </c>
      <c r="C433" s="8">
        <v>46232</v>
      </c>
      <c r="D433" s="2" t="s">
        <v>136</v>
      </c>
      <c r="E433" s="2" t="s">
        <v>12593</v>
      </c>
      <c r="F433" s="2" t="s">
        <v>12424</v>
      </c>
      <c r="G433" s="2" t="s">
        <v>13478</v>
      </c>
      <c r="H433" s="2" t="s">
        <v>70</v>
      </c>
      <c r="I433" s="9">
        <v>9692.1580549999999</v>
      </c>
      <c r="J433" s="7">
        <v>0.65800000000000003</v>
      </c>
      <c r="K433" s="9">
        <v>6377.44</v>
      </c>
      <c r="L433" s="14">
        <v>0</v>
      </c>
      <c r="M433" s="2" t="s">
        <v>71</v>
      </c>
      <c r="N433" s="2" t="s">
        <v>13272</v>
      </c>
      <c r="O433" s="2" t="s">
        <v>13479</v>
      </c>
      <c r="P433" s="9">
        <v>0</v>
      </c>
      <c r="Q433" s="9">
        <v>0</v>
      </c>
      <c r="R433" s="2" t="s">
        <v>13298</v>
      </c>
    </row>
    <row r="434" spans="1:18" x14ac:dyDescent="0.25">
      <c r="A434" s="2" t="s">
        <v>1809</v>
      </c>
      <c r="B434" s="6">
        <v>46204</v>
      </c>
      <c r="C434" s="8">
        <v>46233</v>
      </c>
      <c r="D434" s="2" t="s">
        <v>136</v>
      </c>
      <c r="E434" s="2" t="s">
        <v>12593</v>
      </c>
      <c r="F434" s="2" t="s">
        <v>12425</v>
      </c>
      <c r="G434" s="2" t="s">
        <v>13480</v>
      </c>
      <c r="H434" s="2" t="s">
        <v>39</v>
      </c>
      <c r="I434" s="9">
        <v>6550.45</v>
      </c>
      <c r="J434" s="7">
        <v>1</v>
      </c>
      <c r="K434" s="9">
        <v>6550.45</v>
      </c>
      <c r="L434" s="14">
        <v>0</v>
      </c>
      <c r="M434" s="2" t="s">
        <v>71</v>
      </c>
      <c r="N434" s="2" t="s">
        <v>13272</v>
      </c>
      <c r="O434" s="2" t="s">
        <v>13481</v>
      </c>
      <c r="P434" s="9">
        <v>0</v>
      </c>
      <c r="Q434" s="9">
        <v>0</v>
      </c>
      <c r="R434" s="2" t="s">
        <v>13301</v>
      </c>
    </row>
    <row r="435" spans="1:18" x14ac:dyDescent="0.25">
      <c r="A435" s="2" t="s">
        <v>1812</v>
      </c>
      <c r="B435" s="6">
        <v>46204</v>
      </c>
      <c r="C435" s="8">
        <v>46234</v>
      </c>
      <c r="D435" s="2" t="s">
        <v>136</v>
      </c>
      <c r="E435" s="2" t="s">
        <v>12593</v>
      </c>
      <c r="F435" s="2" t="s">
        <v>12426</v>
      </c>
      <c r="G435" s="2" t="s">
        <v>13482</v>
      </c>
      <c r="H435" s="2" t="s">
        <v>76</v>
      </c>
      <c r="I435" s="9">
        <v>108442903.225806</v>
      </c>
      <c r="J435" s="7">
        <v>6.2000000000000003E-5</v>
      </c>
      <c r="K435" s="9">
        <v>6723.46</v>
      </c>
      <c r="L435" s="14">
        <v>0</v>
      </c>
      <c r="M435" s="2" t="s">
        <v>71</v>
      </c>
      <c r="N435" s="2" t="s">
        <v>13272</v>
      </c>
      <c r="O435" s="2" t="s">
        <v>13483</v>
      </c>
      <c r="P435" s="9">
        <v>0</v>
      </c>
      <c r="Q435" s="9">
        <v>0</v>
      </c>
      <c r="R435" s="2" t="s">
        <v>13274</v>
      </c>
    </row>
    <row r="436" spans="1:18" x14ac:dyDescent="0.25">
      <c r="A436" s="2" t="s">
        <v>1817</v>
      </c>
      <c r="B436" s="6">
        <v>46204</v>
      </c>
      <c r="C436" s="8">
        <v>46204</v>
      </c>
      <c r="D436" s="2" t="s">
        <v>136</v>
      </c>
      <c r="E436" s="2" t="s">
        <v>12593</v>
      </c>
      <c r="F436" s="2" t="s">
        <v>12427</v>
      </c>
      <c r="G436" s="2" t="s">
        <v>13484</v>
      </c>
      <c r="H436" s="2" t="s">
        <v>70</v>
      </c>
      <c r="I436" s="9">
        <v>10480.957447000001</v>
      </c>
      <c r="J436" s="7">
        <v>0.65800000000000003</v>
      </c>
      <c r="K436" s="9">
        <v>6896.47</v>
      </c>
      <c r="L436" s="14">
        <v>0</v>
      </c>
      <c r="M436" s="2" t="s">
        <v>71</v>
      </c>
      <c r="N436" s="2" t="s">
        <v>13272</v>
      </c>
      <c r="O436" s="2" t="s">
        <v>13485</v>
      </c>
      <c r="P436" s="9">
        <v>0</v>
      </c>
      <c r="Q436" s="9">
        <v>0</v>
      </c>
      <c r="R436" s="2" t="s">
        <v>13277</v>
      </c>
    </row>
    <row r="437" spans="1:18" x14ac:dyDescent="0.25">
      <c r="A437" s="2" t="s">
        <v>1822</v>
      </c>
      <c r="B437" s="6">
        <v>46204</v>
      </c>
      <c r="C437" s="8">
        <v>46205</v>
      </c>
      <c r="D437" s="2" t="s">
        <v>136</v>
      </c>
      <c r="E437" s="2" t="s">
        <v>12593</v>
      </c>
      <c r="F437" s="2" t="s">
        <v>12428</v>
      </c>
      <c r="G437" s="2" t="s">
        <v>13486</v>
      </c>
      <c r="H437" s="2" t="s">
        <v>39</v>
      </c>
      <c r="I437" s="9">
        <v>7069.48</v>
      </c>
      <c r="J437" s="7">
        <v>1</v>
      </c>
      <c r="K437" s="9">
        <v>7069.48</v>
      </c>
      <c r="L437" s="14">
        <v>0</v>
      </c>
      <c r="M437" s="2" t="s">
        <v>71</v>
      </c>
      <c r="N437" s="2" t="s">
        <v>13272</v>
      </c>
      <c r="O437" s="2" t="s">
        <v>13487</v>
      </c>
      <c r="P437" s="9">
        <v>0</v>
      </c>
      <c r="Q437" s="9">
        <v>0</v>
      </c>
      <c r="R437" s="2" t="s">
        <v>13280</v>
      </c>
    </row>
    <row r="438" spans="1:18" x14ac:dyDescent="0.25">
      <c r="A438" s="2" t="s">
        <v>1825</v>
      </c>
      <c r="B438" s="6">
        <v>46204</v>
      </c>
      <c r="C438" s="8">
        <v>46206</v>
      </c>
      <c r="D438" s="2" t="s">
        <v>136</v>
      </c>
      <c r="E438" s="2" t="s">
        <v>12593</v>
      </c>
      <c r="F438" s="2" t="s">
        <v>12429</v>
      </c>
      <c r="G438" s="2" t="s">
        <v>13488</v>
      </c>
      <c r="H438" s="2" t="s">
        <v>76</v>
      </c>
      <c r="I438" s="9">
        <v>116814354.83871</v>
      </c>
      <c r="J438" s="7">
        <v>6.2000000000000003E-5</v>
      </c>
      <c r="K438" s="9">
        <v>7242.49</v>
      </c>
      <c r="L438" s="14">
        <v>0</v>
      </c>
      <c r="M438" s="2" t="s">
        <v>71</v>
      </c>
      <c r="N438" s="2" t="s">
        <v>13272</v>
      </c>
      <c r="O438" s="2" t="s">
        <v>13489</v>
      </c>
      <c r="P438" s="9">
        <v>0</v>
      </c>
      <c r="Q438" s="9">
        <v>0</v>
      </c>
      <c r="R438" s="2" t="s">
        <v>13283</v>
      </c>
    </row>
    <row r="439" spans="1:18" x14ac:dyDescent="0.25">
      <c r="A439" s="2" t="s">
        <v>1828</v>
      </c>
      <c r="B439" s="6">
        <v>46204</v>
      </c>
      <c r="C439" s="8">
        <v>46207</v>
      </c>
      <c r="D439" s="2" t="s">
        <v>136</v>
      </c>
      <c r="E439" s="2" t="s">
        <v>12593</v>
      </c>
      <c r="F439" s="2" t="s">
        <v>12430</v>
      </c>
      <c r="G439" s="2" t="s">
        <v>13490</v>
      </c>
      <c r="H439" s="2" t="s">
        <v>70</v>
      </c>
      <c r="I439" s="9">
        <v>11269.756839</v>
      </c>
      <c r="J439" s="7">
        <v>0.65800000000000003</v>
      </c>
      <c r="K439" s="9">
        <v>7415.5</v>
      </c>
      <c r="L439" s="14">
        <v>0</v>
      </c>
      <c r="M439" s="2" t="s">
        <v>71</v>
      </c>
      <c r="N439" s="2" t="s">
        <v>13272</v>
      </c>
      <c r="O439" s="2" t="s">
        <v>13491</v>
      </c>
      <c r="P439" s="9">
        <v>0</v>
      </c>
      <c r="Q439" s="9">
        <v>0</v>
      </c>
      <c r="R439" s="2" t="s">
        <v>13286</v>
      </c>
    </row>
    <row r="440" spans="1:18" x14ac:dyDescent="0.25">
      <c r="A440" s="2" t="s">
        <v>1833</v>
      </c>
      <c r="B440" s="6">
        <v>46204</v>
      </c>
      <c r="C440" s="8">
        <v>46208</v>
      </c>
      <c r="D440" s="2" t="s">
        <v>136</v>
      </c>
      <c r="E440" s="2" t="s">
        <v>12593</v>
      </c>
      <c r="F440" s="2" t="s">
        <v>12431</v>
      </c>
      <c r="G440" s="2" t="s">
        <v>13492</v>
      </c>
      <c r="H440" s="2" t="s">
        <v>39</v>
      </c>
      <c r="I440" s="9">
        <v>7588.51</v>
      </c>
      <c r="J440" s="7">
        <v>1</v>
      </c>
      <c r="K440" s="9">
        <v>7588.51</v>
      </c>
      <c r="L440" s="14">
        <v>0</v>
      </c>
      <c r="M440" s="2" t="s">
        <v>71</v>
      </c>
      <c r="N440" s="2" t="s">
        <v>13272</v>
      </c>
      <c r="O440" s="2" t="s">
        <v>13493</v>
      </c>
      <c r="P440" s="9">
        <v>0</v>
      </c>
      <c r="Q440" s="9">
        <v>0</v>
      </c>
      <c r="R440" s="2" t="s">
        <v>13289</v>
      </c>
    </row>
    <row r="441" spans="1:18" x14ac:dyDescent="0.25">
      <c r="A441" s="2" t="s">
        <v>1836</v>
      </c>
      <c r="B441" s="6">
        <v>46204</v>
      </c>
      <c r="C441" s="8">
        <v>46209</v>
      </c>
      <c r="D441" s="2" t="s">
        <v>136</v>
      </c>
      <c r="E441" s="2" t="s">
        <v>12593</v>
      </c>
      <c r="F441" s="2" t="s">
        <v>12432</v>
      </c>
      <c r="G441" s="2" t="s">
        <v>13494</v>
      </c>
      <c r="H441" s="2" t="s">
        <v>76</v>
      </c>
      <c r="I441" s="9">
        <v>125185806.45161299</v>
      </c>
      <c r="J441" s="7">
        <v>6.2000000000000003E-5</v>
      </c>
      <c r="K441" s="9">
        <v>7761.52</v>
      </c>
      <c r="L441" s="14">
        <v>0</v>
      </c>
      <c r="M441" s="2" t="s">
        <v>71</v>
      </c>
      <c r="N441" s="2" t="s">
        <v>13272</v>
      </c>
      <c r="O441" s="2" t="s">
        <v>13495</v>
      </c>
      <c r="P441" s="9">
        <v>0</v>
      </c>
      <c r="Q441" s="9">
        <v>0</v>
      </c>
      <c r="R441" s="2" t="s">
        <v>13292</v>
      </c>
    </row>
    <row r="442" spans="1:18" x14ac:dyDescent="0.25">
      <c r="A442" s="2" t="s">
        <v>1839</v>
      </c>
      <c r="B442" s="6">
        <v>46204</v>
      </c>
      <c r="C442" s="8">
        <v>46210</v>
      </c>
      <c r="D442" s="2" t="s">
        <v>136</v>
      </c>
      <c r="E442" s="2" t="s">
        <v>12593</v>
      </c>
      <c r="F442" s="2" t="s">
        <v>12423</v>
      </c>
      <c r="G442" s="2" t="s">
        <v>13496</v>
      </c>
      <c r="H442" s="2" t="s">
        <v>70</v>
      </c>
      <c r="I442" s="9">
        <v>12058.556231</v>
      </c>
      <c r="J442" s="7">
        <v>0.65800000000000003</v>
      </c>
      <c r="K442" s="9">
        <v>7934.53</v>
      </c>
      <c r="L442" s="14">
        <v>0</v>
      </c>
      <c r="M442" s="2" t="s">
        <v>71</v>
      </c>
      <c r="N442" s="2" t="s">
        <v>13272</v>
      </c>
      <c r="O442" s="2" t="s">
        <v>13497</v>
      </c>
      <c r="P442" s="9">
        <v>0</v>
      </c>
      <c r="Q442" s="9">
        <v>0</v>
      </c>
      <c r="R442" s="2" t="s">
        <v>13295</v>
      </c>
    </row>
    <row r="443" spans="1:18" x14ac:dyDescent="0.25">
      <c r="A443" s="2" t="s">
        <v>1842</v>
      </c>
      <c r="B443" s="6">
        <v>46204</v>
      </c>
      <c r="C443" s="8">
        <v>46211</v>
      </c>
      <c r="D443" s="2" t="s">
        <v>136</v>
      </c>
      <c r="E443" s="2" t="s">
        <v>12593</v>
      </c>
      <c r="F443" s="2" t="s">
        <v>12424</v>
      </c>
      <c r="G443" s="2" t="s">
        <v>13498</v>
      </c>
      <c r="H443" s="2" t="s">
        <v>39</v>
      </c>
      <c r="I443" s="9">
        <v>8107.54</v>
      </c>
      <c r="J443" s="7">
        <v>1</v>
      </c>
      <c r="K443" s="9">
        <v>8107.54</v>
      </c>
      <c r="L443" s="14">
        <v>0</v>
      </c>
      <c r="M443" s="2" t="s">
        <v>71</v>
      </c>
      <c r="N443" s="2" t="s">
        <v>13272</v>
      </c>
      <c r="O443" s="2" t="s">
        <v>13499</v>
      </c>
      <c r="P443" s="9">
        <v>0</v>
      </c>
      <c r="Q443" s="9">
        <v>0</v>
      </c>
      <c r="R443" s="2" t="s">
        <v>13298</v>
      </c>
    </row>
    <row r="444" spans="1:18" x14ac:dyDescent="0.25">
      <c r="A444" s="2" t="s">
        <v>1845</v>
      </c>
      <c r="B444" s="6">
        <v>46204</v>
      </c>
      <c r="C444" s="8">
        <v>46212</v>
      </c>
      <c r="D444" s="2" t="s">
        <v>136</v>
      </c>
      <c r="E444" s="2" t="s">
        <v>12593</v>
      </c>
      <c r="F444" s="2" t="s">
        <v>12425</v>
      </c>
      <c r="G444" s="2" t="s">
        <v>13500</v>
      </c>
      <c r="H444" s="2" t="s">
        <v>76</v>
      </c>
      <c r="I444" s="9">
        <v>133557258.06451599</v>
      </c>
      <c r="J444" s="7">
        <v>6.2000000000000003E-5</v>
      </c>
      <c r="K444" s="9">
        <v>8280.5499999999993</v>
      </c>
      <c r="L444" s="14">
        <v>0</v>
      </c>
      <c r="M444" s="2" t="s">
        <v>71</v>
      </c>
      <c r="N444" s="2" t="s">
        <v>13272</v>
      </c>
      <c r="O444" s="2" t="s">
        <v>13501</v>
      </c>
      <c r="P444" s="9">
        <v>0</v>
      </c>
      <c r="Q444" s="9">
        <v>0</v>
      </c>
      <c r="R444" s="2" t="s">
        <v>13301</v>
      </c>
    </row>
    <row r="445" spans="1:18" x14ac:dyDescent="0.25">
      <c r="A445" s="2" t="s">
        <v>1848</v>
      </c>
      <c r="B445" s="6">
        <v>46204</v>
      </c>
      <c r="C445" s="8">
        <v>46213</v>
      </c>
      <c r="D445" s="2" t="s">
        <v>136</v>
      </c>
      <c r="E445" s="2" t="s">
        <v>12593</v>
      </c>
      <c r="F445" s="2" t="s">
        <v>12426</v>
      </c>
      <c r="G445" s="2" t="s">
        <v>13502</v>
      </c>
      <c r="H445" s="2" t="s">
        <v>70</v>
      </c>
      <c r="I445" s="9">
        <v>12847.355622999999</v>
      </c>
      <c r="J445" s="7">
        <v>0.65800000000000003</v>
      </c>
      <c r="K445" s="9">
        <v>8453.56</v>
      </c>
      <c r="L445" s="14">
        <v>0</v>
      </c>
      <c r="M445" s="2" t="s">
        <v>71</v>
      </c>
      <c r="N445" s="2" t="s">
        <v>13272</v>
      </c>
      <c r="O445" s="2" t="s">
        <v>13503</v>
      </c>
      <c r="P445" s="9">
        <v>0</v>
      </c>
      <c r="Q445" s="9">
        <v>0</v>
      </c>
      <c r="R445" s="2" t="s">
        <v>13274</v>
      </c>
    </row>
    <row r="446" spans="1:18" x14ac:dyDescent="0.25">
      <c r="A446" s="2" t="s">
        <v>1853</v>
      </c>
      <c r="B446" s="6">
        <v>46204</v>
      </c>
      <c r="C446" s="8">
        <v>46214</v>
      </c>
      <c r="D446" s="2" t="s">
        <v>136</v>
      </c>
      <c r="E446" s="2" t="s">
        <v>12593</v>
      </c>
      <c r="F446" s="2" t="s">
        <v>12427</v>
      </c>
      <c r="G446" s="2" t="s">
        <v>13504</v>
      </c>
      <c r="H446" s="2" t="s">
        <v>39</v>
      </c>
      <c r="I446" s="9">
        <v>8626.57</v>
      </c>
      <c r="J446" s="7">
        <v>1</v>
      </c>
      <c r="K446" s="9">
        <v>8626.57</v>
      </c>
      <c r="L446" s="14">
        <v>0</v>
      </c>
      <c r="M446" s="2" t="s">
        <v>71</v>
      </c>
      <c r="N446" s="2" t="s">
        <v>13272</v>
      </c>
      <c r="O446" s="2" t="s">
        <v>13505</v>
      </c>
      <c r="P446" s="9">
        <v>0</v>
      </c>
      <c r="Q446" s="9">
        <v>0</v>
      </c>
      <c r="R446" s="2" t="s">
        <v>13277</v>
      </c>
    </row>
    <row r="447" spans="1:18" x14ac:dyDescent="0.25">
      <c r="A447" s="2" t="s">
        <v>1858</v>
      </c>
      <c r="B447" s="6">
        <v>46204</v>
      </c>
      <c r="C447" s="8">
        <v>46215</v>
      </c>
      <c r="D447" s="2" t="s">
        <v>136</v>
      </c>
      <c r="E447" s="2" t="s">
        <v>12593</v>
      </c>
      <c r="F447" s="2" t="s">
        <v>12428</v>
      </c>
      <c r="G447" s="2" t="s">
        <v>13506</v>
      </c>
      <c r="H447" s="2" t="s">
        <v>76</v>
      </c>
      <c r="I447" s="9">
        <v>141928709.67741901</v>
      </c>
      <c r="J447" s="7">
        <v>6.2000000000000003E-5</v>
      </c>
      <c r="K447" s="9">
        <v>8799.58</v>
      </c>
      <c r="L447" s="14">
        <v>0</v>
      </c>
      <c r="M447" s="2" t="s">
        <v>71</v>
      </c>
      <c r="N447" s="2" t="s">
        <v>13272</v>
      </c>
      <c r="O447" s="2" t="s">
        <v>13507</v>
      </c>
      <c r="P447" s="9">
        <v>0</v>
      </c>
      <c r="Q447" s="9">
        <v>0</v>
      </c>
      <c r="R447" s="2" t="s">
        <v>13280</v>
      </c>
    </row>
    <row r="448" spans="1:18" x14ac:dyDescent="0.25">
      <c r="A448" s="2" t="s">
        <v>1861</v>
      </c>
      <c r="B448" s="6">
        <v>46204</v>
      </c>
      <c r="C448" s="8">
        <v>46216</v>
      </c>
      <c r="D448" s="2" t="s">
        <v>136</v>
      </c>
      <c r="E448" s="2" t="s">
        <v>12593</v>
      </c>
      <c r="F448" s="2" t="s">
        <v>12429</v>
      </c>
      <c r="G448" s="2" t="s">
        <v>13508</v>
      </c>
      <c r="H448" s="2" t="s">
        <v>70</v>
      </c>
      <c r="I448" s="9">
        <v>13636.155015</v>
      </c>
      <c r="J448" s="7">
        <v>0.65800000000000003</v>
      </c>
      <c r="K448" s="9">
        <v>8972.59</v>
      </c>
      <c r="L448" s="14">
        <v>0</v>
      </c>
      <c r="M448" s="2" t="s">
        <v>71</v>
      </c>
      <c r="N448" s="2" t="s">
        <v>13272</v>
      </c>
      <c r="O448" s="2" t="s">
        <v>13509</v>
      </c>
      <c r="P448" s="9">
        <v>0</v>
      </c>
      <c r="Q448" s="9">
        <v>0</v>
      </c>
      <c r="R448" s="2" t="s">
        <v>13283</v>
      </c>
    </row>
    <row r="449" spans="1:18" x14ac:dyDescent="0.25">
      <c r="A449" s="2" t="s">
        <v>1864</v>
      </c>
      <c r="B449" s="6">
        <v>46204</v>
      </c>
      <c r="C449" s="8">
        <v>46217</v>
      </c>
      <c r="D449" s="2" t="s">
        <v>136</v>
      </c>
      <c r="E449" s="2" t="s">
        <v>12593</v>
      </c>
      <c r="F449" s="2" t="s">
        <v>12430</v>
      </c>
      <c r="G449" s="2" t="s">
        <v>13510</v>
      </c>
      <c r="H449" s="2" t="s">
        <v>39</v>
      </c>
      <c r="I449" s="9">
        <v>9145.6</v>
      </c>
      <c r="J449" s="7">
        <v>1</v>
      </c>
      <c r="K449" s="9">
        <v>9145.6</v>
      </c>
      <c r="L449" s="14">
        <v>0</v>
      </c>
      <c r="M449" s="2" t="s">
        <v>71</v>
      </c>
      <c r="N449" s="2" t="s">
        <v>13272</v>
      </c>
      <c r="O449" s="2" t="s">
        <v>13511</v>
      </c>
      <c r="P449" s="9">
        <v>0</v>
      </c>
      <c r="Q449" s="9">
        <v>0</v>
      </c>
      <c r="R449" s="2" t="s">
        <v>13286</v>
      </c>
    </row>
    <row r="450" spans="1:18" x14ac:dyDescent="0.25">
      <c r="A450" s="2" t="s">
        <v>1869</v>
      </c>
      <c r="B450" s="6">
        <v>46204</v>
      </c>
      <c r="C450" s="8">
        <v>46218</v>
      </c>
      <c r="D450" s="2" t="s">
        <v>136</v>
      </c>
      <c r="E450" s="2" t="s">
        <v>12593</v>
      </c>
      <c r="F450" s="2" t="s">
        <v>12431</v>
      </c>
      <c r="G450" s="2" t="s">
        <v>13512</v>
      </c>
      <c r="H450" s="2" t="s">
        <v>76</v>
      </c>
      <c r="I450" s="9">
        <v>150300161.29032299</v>
      </c>
      <c r="J450" s="7">
        <v>6.2000000000000003E-5</v>
      </c>
      <c r="K450" s="9">
        <v>9318.61</v>
      </c>
      <c r="L450" s="14">
        <v>0</v>
      </c>
      <c r="M450" s="2" t="s">
        <v>71</v>
      </c>
      <c r="N450" s="2" t="s">
        <v>13272</v>
      </c>
      <c r="O450" s="2" t="s">
        <v>13513</v>
      </c>
      <c r="P450" s="9">
        <v>0</v>
      </c>
      <c r="Q450" s="9">
        <v>0</v>
      </c>
      <c r="R450" s="2" t="s">
        <v>13289</v>
      </c>
    </row>
    <row r="451" spans="1:18" x14ac:dyDescent="0.25">
      <c r="A451" s="2" t="s">
        <v>1872</v>
      </c>
      <c r="B451" s="6">
        <v>46204</v>
      </c>
      <c r="C451" s="8">
        <v>46219</v>
      </c>
      <c r="D451" s="2" t="s">
        <v>136</v>
      </c>
      <c r="E451" s="2" t="s">
        <v>12593</v>
      </c>
      <c r="F451" s="2" t="s">
        <v>12432</v>
      </c>
      <c r="G451" s="2" t="s">
        <v>13514</v>
      </c>
      <c r="H451" s="2" t="s">
        <v>70</v>
      </c>
      <c r="I451" s="9">
        <v>14424.954406999999</v>
      </c>
      <c r="J451" s="7">
        <v>0.65800000000000003</v>
      </c>
      <c r="K451" s="9">
        <v>9491.6200000000008</v>
      </c>
      <c r="L451" s="14">
        <v>0</v>
      </c>
      <c r="M451" s="2" t="s">
        <v>71</v>
      </c>
      <c r="N451" s="2" t="s">
        <v>13272</v>
      </c>
      <c r="O451" s="2" t="s">
        <v>13515</v>
      </c>
      <c r="P451" s="9">
        <v>0</v>
      </c>
      <c r="Q451" s="9">
        <v>0</v>
      </c>
      <c r="R451" s="2" t="s">
        <v>13292</v>
      </c>
    </row>
    <row r="452" spans="1:18" x14ac:dyDescent="0.25">
      <c r="A452" s="2" t="s">
        <v>1875</v>
      </c>
      <c r="B452" s="6">
        <v>46204</v>
      </c>
      <c r="C452" s="8">
        <v>46220</v>
      </c>
      <c r="D452" s="2" t="s">
        <v>136</v>
      </c>
      <c r="E452" s="2" t="s">
        <v>12593</v>
      </c>
      <c r="F452" s="2" t="s">
        <v>12423</v>
      </c>
      <c r="G452" s="2" t="s">
        <v>13516</v>
      </c>
      <c r="H452" s="2" t="s">
        <v>39</v>
      </c>
      <c r="I452" s="9">
        <v>-9664.6299999999992</v>
      </c>
      <c r="J452" s="7">
        <v>1</v>
      </c>
      <c r="K452" s="9">
        <v>-9664.6299999999992</v>
      </c>
      <c r="L452" s="14">
        <v>0</v>
      </c>
      <c r="M452" s="2" t="s">
        <v>71</v>
      </c>
      <c r="N452" s="2" t="s">
        <v>13272</v>
      </c>
      <c r="O452" s="2" t="s">
        <v>13517</v>
      </c>
      <c r="P452" s="9">
        <v>0</v>
      </c>
      <c r="Q452" s="9">
        <v>0</v>
      </c>
      <c r="R452" s="2" t="s">
        <v>13295</v>
      </c>
    </row>
    <row r="453" spans="1:18" x14ac:dyDescent="0.25">
      <c r="A453" s="2" t="s">
        <v>1878</v>
      </c>
      <c r="B453" s="6">
        <v>46204</v>
      </c>
      <c r="C453" s="8">
        <v>46221</v>
      </c>
      <c r="D453" s="2" t="s">
        <v>136</v>
      </c>
      <c r="E453" s="2" t="s">
        <v>12593</v>
      </c>
      <c r="F453" s="2" t="s">
        <v>12424</v>
      </c>
      <c r="G453" s="2" t="s">
        <v>13518</v>
      </c>
      <c r="H453" s="2" t="s">
        <v>76</v>
      </c>
      <c r="I453" s="9">
        <v>158671612.90322599</v>
      </c>
      <c r="J453" s="7">
        <v>6.2000000000000003E-5</v>
      </c>
      <c r="K453" s="9">
        <v>9837.64</v>
      </c>
      <c r="L453" s="14">
        <v>0</v>
      </c>
      <c r="M453" s="2" t="s">
        <v>71</v>
      </c>
      <c r="N453" s="2" t="s">
        <v>13272</v>
      </c>
      <c r="O453" s="2" t="s">
        <v>13519</v>
      </c>
      <c r="P453" s="9">
        <v>0</v>
      </c>
      <c r="Q453" s="9">
        <v>0</v>
      </c>
      <c r="R453" s="2" t="s">
        <v>13298</v>
      </c>
    </row>
    <row r="454" spans="1:18" x14ac:dyDescent="0.25">
      <c r="A454" s="2" t="s">
        <v>1881</v>
      </c>
      <c r="B454" s="6">
        <v>46204</v>
      </c>
      <c r="C454" s="8">
        <v>46222</v>
      </c>
      <c r="D454" s="2" t="s">
        <v>136</v>
      </c>
      <c r="E454" s="2" t="s">
        <v>12593</v>
      </c>
      <c r="F454" s="2" t="s">
        <v>12425</v>
      </c>
      <c r="G454" s="2" t="s">
        <v>13520</v>
      </c>
      <c r="H454" s="2" t="s">
        <v>70</v>
      </c>
      <c r="I454" s="9">
        <v>15213.753799</v>
      </c>
      <c r="J454" s="7">
        <v>0.65800000000000003</v>
      </c>
      <c r="K454" s="9">
        <v>10010.65</v>
      </c>
      <c r="L454" s="14">
        <v>0</v>
      </c>
      <c r="M454" s="2" t="s">
        <v>71</v>
      </c>
      <c r="N454" s="2" t="s">
        <v>13272</v>
      </c>
      <c r="O454" s="2" t="s">
        <v>13521</v>
      </c>
      <c r="P454" s="9">
        <v>0</v>
      </c>
      <c r="Q454" s="9">
        <v>0</v>
      </c>
      <c r="R454" s="2" t="s">
        <v>13301</v>
      </c>
    </row>
    <row r="455" spans="1:18" x14ac:dyDescent="0.25">
      <c r="A455" s="2" t="s">
        <v>1884</v>
      </c>
      <c r="B455" s="6">
        <v>46204</v>
      </c>
      <c r="C455" s="8">
        <v>46223</v>
      </c>
      <c r="D455" s="2" t="s">
        <v>136</v>
      </c>
      <c r="E455" s="2" t="s">
        <v>12593</v>
      </c>
      <c r="F455" s="2" t="s">
        <v>12426</v>
      </c>
      <c r="G455" s="2" t="s">
        <v>13522</v>
      </c>
      <c r="H455" s="2" t="s">
        <v>39</v>
      </c>
      <c r="I455" s="9">
        <v>10183.66</v>
      </c>
      <c r="J455" s="7">
        <v>1</v>
      </c>
      <c r="K455" s="9">
        <v>10183.66</v>
      </c>
      <c r="L455" s="14">
        <v>0</v>
      </c>
      <c r="M455" s="2" t="s">
        <v>71</v>
      </c>
      <c r="N455" s="2" t="s">
        <v>13272</v>
      </c>
      <c r="O455" s="2" t="s">
        <v>13523</v>
      </c>
      <c r="P455" s="9">
        <v>0</v>
      </c>
      <c r="Q455" s="9">
        <v>0</v>
      </c>
      <c r="R455" s="2" t="s">
        <v>13274</v>
      </c>
    </row>
    <row r="456" spans="1:18" x14ac:dyDescent="0.25">
      <c r="A456" s="2" t="s">
        <v>1889</v>
      </c>
      <c r="B456" s="6">
        <v>46204</v>
      </c>
      <c r="C456" s="8">
        <v>46224</v>
      </c>
      <c r="D456" s="2" t="s">
        <v>136</v>
      </c>
      <c r="E456" s="2" t="s">
        <v>12593</v>
      </c>
      <c r="F456" s="2" t="s">
        <v>12427</v>
      </c>
      <c r="G456" s="2" t="s">
        <v>13524</v>
      </c>
      <c r="H456" s="2" t="s">
        <v>76</v>
      </c>
      <c r="I456" s="9">
        <v>167043064.51612899</v>
      </c>
      <c r="J456" s="7">
        <v>6.2000000000000003E-5</v>
      </c>
      <c r="K456" s="9">
        <v>10356.67</v>
      </c>
      <c r="L456" s="14">
        <v>0</v>
      </c>
      <c r="M456" s="2" t="s">
        <v>71</v>
      </c>
      <c r="N456" s="2" t="s">
        <v>13272</v>
      </c>
      <c r="O456" s="2" t="s">
        <v>13525</v>
      </c>
      <c r="P456" s="9">
        <v>0</v>
      </c>
      <c r="Q456" s="9">
        <v>0</v>
      </c>
      <c r="R456" s="2" t="s">
        <v>13277</v>
      </c>
    </row>
    <row r="457" spans="1:18" x14ac:dyDescent="0.25">
      <c r="A457" s="2" t="s">
        <v>1894</v>
      </c>
      <c r="B457" s="6">
        <v>46204</v>
      </c>
      <c r="C457" s="8">
        <v>46225</v>
      </c>
      <c r="D457" s="2" t="s">
        <v>136</v>
      </c>
      <c r="E457" s="2" t="s">
        <v>12593</v>
      </c>
      <c r="F457" s="2" t="s">
        <v>12428</v>
      </c>
      <c r="G457" s="2" t="s">
        <v>13526</v>
      </c>
      <c r="H457" s="2" t="s">
        <v>70</v>
      </c>
      <c r="I457" s="9">
        <v>16002.553191000001</v>
      </c>
      <c r="J457" s="7">
        <v>0.65800000000000003</v>
      </c>
      <c r="K457" s="9">
        <v>10529.68</v>
      </c>
      <c r="L457" s="14">
        <v>0</v>
      </c>
      <c r="M457" s="2" t="s">
        <v>71</v>
      </c>
      <c r="N457" s="2" t="s">
        <v>13272</v>
      </c>
      <c r="O457" s="2" t="s">
        <v>13527</v>
      </c>
      <c r="P457" s="9">
        <v>0</v>
      </c>
      <c r="Q457" s="9">
        <v>0</v>
      </c>
      <c r="R457" s="2" t="s">
        <v>13280</v>
      </c>
    </row>
    <row r="458" spans="1:18" x14ac:dyDescent="0.25">
      <c r="A458" s="2" t="s">
        <v>1897</v>
      </c>
      <c r="B458" s="6">
        <v>46204</v>
      </c>
      <c r="C458" s="8">
        <v>46226</v>
      </c>
      <c r="D458" s="2" t="s">
        <v>136</v>
      </c>
      <c r="E458" s="2" t="s">
        <v>12593</v>
      </c>
      <c r="F458" s="2" t="s">
        <v>12429</v>
      </c>
      <c r="G458" s="2" t="s">
        <v>13528</v>
      </c>
      <c r="H458" s="2" t="s">
        <v>39</v>
      </c>
      <c r="I458" s="9">
        <v>10702.69</v>
      </c>
      <c r="J458" s="7">
        <v>1</v>
      </c>
      <c r="K458" s="9">
        <v>10702.69</v>
      </c>
      <c r="L458" s="14">
        <v>0</v>
      </c>
      <c r="M458" s="2" t="s">
        <v>71</v>
      </c>
      <c r="N458" s="2" t="s">
        <v>13272</v>
      </c>
      <c r="O458" s="2" t="s">
        <v>13529</v>
      </c>
      <c r="P458" s="9">
        <v>0</v>
      </c>
      <c r="Q458" s="9">
        <v>0</v>
      </c>
      <c r="R458" s="2" t="s">
        <v>13283</v>
      </c>
    </row>
    <row r="459" spans="1:18" x14ac:dyDescent="0.25">
      <c r="A459" s="2" t="s">
        <v>1900</v>
      </c>
      <c r="B459" s="6">
        <v>46204</v>
      </c>
      <c r="C459" s="8">
        <v>46227</v>
      </c>
      <c r="D459" s="2" t="s">
        <v>136</v>
      </c>
      <c r="E459" s="2" t="s">
        <v>12593</v>
      </c>
      <c r="F459" s="2" t="s">
        <v>12430</v>
      </c>
      <c r="G459" s="2" t="s">
        <v>13530</v>
      </c>
      <c r="H459" s="2" t="s">
        <v>76</v>
      </c>
      <c r="I459" s="9">
        <v>175414516.12903199</v>
      </c>
      <c r="J459" s="7">
        <v>6.2000000000000003E-5</v>
      </c>
      <c r="K459" s="9">
        <v>10875.7</v>
      </c>
      <c r="L459" s="14">
        <v>0</v>
      </c>
      <c r="M459" s="2" t="s">
        <v>71</v>
      </c>
      <c r="N459" s="2" t="s">
        <v>13272</v>
      </c>
      <c r="O459" s="2" t="s">
        <v>13531</v>
      </c>
      <c r="P459" s="9">
        <v>0</v>
      </c>
      <c r="Q459" s="9">
        <v>0</v>
      </c>
      <c r="R459" s="2" t="s">
        <v>13286</v>
      </c>
    </row>
    <row r="460" spans="1:18" x14ac:dyDescent="0.25">
      <c r="A460" s="2" t="s">
        <v>1905</v>
      </c>
      <c r="B460" s="6">
        <v>46204</v>
      </c>
      <c r="C460" s="8">
        <v>46228</v>
      </c>
      <c r="D460" s="2" t="s">
        <v>136</v>
      </c>
      <c r="E460" s="2" t="s">
        <v>12593</v>
      </c>
      <c r="F460" s="2" t="s">
        <v>12431</v>
      </c>
      <c r="G460" s="2" t="s">
        <v>13532</v>
      </c>
      <c r="H460" s="2" t="s">
        <v>70</v>
      </c>
      <c r="I460" s="9">
        <v>16791.352584</v>
      </c>
      <c r="J460" s="7">
        <v>0.65800000000000003</v>
      </c>
      <c r="K460" s="9">
        <v>11048.71</v>
      </c>
      <c r="L460" s="14">
        <v>0</v>
      </c>
      <c r="M460" s="2" t="s">
        <v>71</v>
      </c>
      <c r="N460" s="2" t="s">
        <v>13272</v>
      </c>
      <c r="O460" s="2" t="s">
        <v>13533</v>
      </c>
      <c r="P460" s="9">
        <v>0</v>
      </c>
      <c r="Q460" s="9">
        <v>0</v>
      </c>
      <c r="R460" s="2" t="s">
        <v>13289</v>
      </c>
    </row>
    <row r="461" spans="1:18" x14ac:dyDescent="0.25">
      <c r="A461" s="2" t="s">
        <v>1908</v>
      </c>
      <c r="B461" s="6">
        <v>46204</v>
      </c>
      <c r="C461" s="8">
        <v>46229</v>
      </c>
      <c r="D461" s="2" t="s">
        <v>136</v>
      </c>
      <c r="E461" s="2" t="s">
        <v>12593</v>
      </c>
      <c r="F461" s="2" t="s">
        <v>12432</v>
      </c>
      <c r="G461" s="2" t="s">
        <v>13534</v>
      </c>
      <c r="H461" s="2" t="s">
        <v>39</v>
      </c>
      <c r="I461" s="9">
        <v>11221.72</v>
      </c>
      <c r="J461" s="7">
        <v>1</v>
      </c>
      <c r="K461" s="9">
        <v>11221.72</v>
      </c>
      <c r="L461" s="14">
        <v>0</v>
      </c>
      <c r="M461" s="2" t="s">
        <v>71</v>
      </c>
      <c r="N461" s="2" t="s">
        <v>13272</v>
      </c>
      <c r="O461" s="2" t="s">
        <v>13535</v>
      </c>
      <c r="P461" s="9">
        <v>0</v>
      </c>
      <c r="Q461" s="9">
        <v>0</v>
      </c>
      <c r="R461" s="2" t="s">
        <v>13292</v>
      </c>
    </row>
    <row r="462" spans="1:18" x14ac:dyDescent="0.25">
      <c r="A462" s="2" t="s">
        <v>1911</v>
      </c>
      <c r="B462" s="6">
        <v>46204</v>
      </c>
      <c r="C462" s="8">
        <v>46230</v>
      </c>
      <c r="D462" s="2" t="s">
        <v>136</v>
      </c>
      <c r="E462" s="2" t="s">
        <v>12593</v>
      </c>
      <c r="F462" s="2" t="s">
        <v>12423</v>
      </c>
      <c r="G462" s="2" t="s">
        <v>13536</v>
      </c>
      <c r="H462" s="2" t="s">
        <v>76</v>
      </c>
      <c r="I462" s="9">
        <v>183785967.74193501</v>
      </c>
      <c r="J462" s="7">
        <v>6.2000000000000003E-5</v>
      </c>
      <c r="K462" s="9">
        <v>11394.73</v>
      </c>
      <c r="L462" s="14">
        <v>0</v>
      </c>
      <c r="M462" s="2" t="s">
        <v>71</v>
      </c>
      <c r="N462" s="2" t="s">
        <v>13272</v>
      </c>
      <c r="O462" s="2" t="s">
        <v>13537</v>
      </c>
      <c r="P462" s="9">
        <v>0</v>
      </c>
      <c r="Q462" s="9">
        <v>0</v>
      </c>
      <c r="R462" s="2" t="s">
        <v>13295</v>
      </c>
    </row>
    <row r="463" spans="1:18" x14ac:dyDescent="0.25">
      <c r="A463" s="2" t="s">
        <v>1914</v>
      </c>
      <c r="B463" s="6">
        <v>46204</v>
      </c>
      <c r="C463" s="8">
        <v>46231</v>
      </c>
      <c r="D463" s="2" t="s">
        <v>136</v>
      </c>
      <c r="E463" s="2" t="s">
        <v>12593</v>
      </c>
      <c r="F463" s="2" t="s">
        <v>12424</v>
      </c>
      <c r="G463" s="2" t="s">
        <v>13538</v>
      </c>
      <c r="H463" s="2" t="s">
        <v>70</v>
      </c>
      <c r="I463" s="9">
        <v>17580.151976000001</v>
      </c>
      <c r="J463" s="7">
        <v>0.65800000000000003</v>
      </c>
      <c r="K463" s="9">
        <v>11567.74</v>
      </c>
      <c r="L463" s="14">
        <v>0</v>
      </c>
      <c r="M463" s="2" t="s">
        <v>71</v>
      </c>
      <c r="N463" s="2" t="s">
        <v>13272</v>
      </c>
      <c r="O463" s="2" t="s">
        <v>13539</v>
      </c>
      <c r="P463" s="9">
        <v>0</v>
      </c>
      <c r="Q463" s="9">
        <v>0</v>
      </c>
      <c r="R463" s="2" t="s">
        <v>13298</v>
      </c>
    </row>
    <row r="464" spans="1:18" x14ac:dyDescent="0.25">
      <c r="A464" s="2" t="s">
        <v>1917</v>
      </c>
      <c r="B464" s="6">
        <v>46204</v>
      </c>
      <c r="C464" s="8">
        <v>46232</v>
      </c>
      <c r="D464" s="2" t="s">
        <v>136</v>
      </c>
      <c r="E464" s="2" t="s">
        <v>12593</v>
      </c>
      <c r="F464" s="2" t="s">
        <v>12425</v>
      </c>
      <c r="G464" s="2" t="s">
        <v>13540</v>
      </c>
      <c r="H464" s="2" t="s">
        <v>39</v>
      </c>
      <c r="I464" s="9">
        <v>11740.75</v>
      </c>
      <c r="J464" s="7">
        <v>1</v>
      </c>
      <c r="K464" s="9">
        <v>11740.75</v>
      </c>
      <c r="L464" s="14">
        <v>0</v>
      </c>
      <c r="M464" s="2" t="s">
        <v>71</v>
      </c>
      <c r="N464" s="2" t="s">
        <v>13272</v>
      </c>
      <c r="O464" s="2" t="s">
        <v>13541</v>
      </c>
      <c r="P464" s="9">
        <v>0</v>
      </c>
      <c r="Q464" s="9">
        <v>0</v>
      </c>
      <c r="R464" s="2" t="s">
        <v>13301</v>
      </c>
    </row>
    <row r="465" spans="1:18" x14ac:dyDescent="0.25">
      <c r="A465" s="2" t="s">
        <v>1920</v>
      </c>
      <c r="B465" s="6">
        <v>46204</v>
      </c>
      <c r="C465" s="8">
        <v>46233</v>
      </c>
      <c r="D465" s="2" t="s">
        <v>136</v>
      </c>
      <c r="E465" s="2" t="s">
        <v>12593</v>
      </c>
      <c r="F465" s="2" t="s">
        <v>12426</v>
      </c>
      <c r="G465" s="2" t="s">
        <v>13542</v>
      </c>
      <c r="H465" s="2" t="s">
        <v>76</v>
      </c>
      <c r="I465" s="9">
        <v>192157419.354839</v>
      </c>
      <c r="J465" s="7">
        <v>6.2000000000000003E-5</v>
      </c>
      <c r="K465" s="9">
        <v>11913.76</v>
      </c>
      <c r="L465" s="14">
        <v>0</v>
      </c>
      <c r="M465" s="2" t="s">
        <v>71</v>
      </c>
      <c r="N465" s="2" t="s">
        <v>13272</v>
      </c>
      <c r="O465" s="2" t="s">
        <v>13543</v>
      </c>
      <c r="P465" s="9">
        <v>0</v>
      </c>
      <c r="Q465" s="9">
        <v>0</v>
      </c>
      <c r="R465" s="2" t="s">
        <v>13274</v>
      </c>
    </row>
    <row r="466" spans="1:18" x14ac:dyDescent="0.25">
      <c r="A466" s="2" t="s">
        <v>1925</v>
      </c>
      <c r="B466" s="6">
        <v>46204</v>
      </c>
      <c r="C466" s="8">
        <v>46234</v>
      </c>
      <c r="D466" s="2" t="s">
        <v>136</v>
      </c>
      <c r="E466" s="2" t="s">
        <v>12593</v>
      </c>
      <c r="F466" s="2" t="s">
        <v>12427</v>
      </c>
      <c r="G466" s="2" t="s">
        <v>13544</v>
      </c>
      <c r="H466" s="2" t="s">
        <v>70</v>
      </c>
      <c r="I466" s="9">
        <v>18368.951367999998</v>
      </c>
      <c r="J466" s="7">
        <v>0.65800000000000003</v>
      </c>
      <c r="K466" s="9">
        <v>12086.77</v>
      </c>
      <c r="L466" s="14">
        <v>0</v>
      </c>
      <c r="M466" s="2" t="s">
        <v>71</v>
      </c>
      <c r="N466" s="2" t="s">
        <v>13272</v>
      </c>
      <c r="O466" s="2" t="s">
        <v>13545</v>
      </c>
      <c r="P466" s="9">
        <v>0</v>
      </c>
      <c r="Q466" s="9">
        <v>0</v>
      </c>
      <c r="R466" s="2" t="s">
        <v>13277</v>
      </c>
    </row>
    <row r="467" spans="1:18" x14ac:dyDescent="0.25">
      <c r="A467" s="2" t="s">
        <v>1930</v>
      </c>
      <c r="B467" s="6">
        <v>46204</v>
      </c>
      <c r="C467" s="8">
        <v>46204</v>
      </c>
      <c r="D467" s="2" t="s">
        <v>136</v>
      </c>
      <c r="E467" s="2" t="s">
        <v>12593</v>
      </c>
      <c r="F467" s="2" t="s">
        <v>12428</v>
      </c>
      <c r="G467" s="2" t="s">
        <v>13546</v>
      </c>
      <c r="H467" s="2" t="s">
        <v>39</v>
      </c>
      <c r="I467" s="9">
        <v>12259.78</v>
      </c>
      <c r="J467" s="7">
        <v>1</v>
      </c>
      <c r="K467" s="9">
        <v>12259.78</v>
      </c>
      <c r="L467" s="14">
        <v>0</v>
      </c>
      <c r="M467" s="2" t="s">
        <v>71</v>
      </c>
      <c r="N467" s="2" t="s">
        <v>13272</v>
      </c>
      <c r="O467" s="2" t="s">
        <v>13547</v>
      </c>
      <c r="P467" s="9">
        <v>0</v>
      </c>
      <c r="Q467" s="9">
        <v>0</v>
      </c>
      <c r="R467" s="2" t="s">
        <v>13280</v>
      </c>
    </row>
    <row r="468" spans="1:18" x14ac:dyDescent="0.25">
      <c r="A468" s="2" t="s">
        <v>1933</v>
      </c>
      <c r="B468" s="6">
        <v>46204</v>
      </c>
      <c r="C468" s="8">
        <v>46205</v>
      </c>
      <c r="D468" s="2" t="s">
        <v>136</v>
      </c>
      <c r="E468" s="2" t="s">
        <v>12593</v>
      </c>
      <c r="F468" s="2" t="s">
        <v>12429</v>
      </c>
      <c r="G468" s="2" t="s">
        <v>13548</v>
      </c>
      <c r="H468" s="2" t="s">
        <v>76</v>
      </c>
      <c r="I468" s="9">
        <v>200528870.967742</v>
      </c>
      <c r="J468" s="7">
        <v>6.2000000000000003E-5</v>
      </c>
      <c r="K468" s="9">
        <v>12432.79</v>
      </c>
      <c r="L468" s="14">
        <v>0</v>
      </c>
      <c r="M468" s="2" t="s">
        <v>71</v>
      </c>
      <c r="N468" s="2" t="s">
        <v>13272</v>
      </c>
      <c r="O468" s="2" t="s">
        <v>13549</v>
      </c>
      <c r="P468" s="9">
        <v>0</v>
      </c>
      <c r="Q468" s="9">
        <v>0</v>
      </c>
      <c r="R468" s="2" t="s">
        <v>13283</v>
      </c>
    </row>
    <row r="469" spans="1:18" x14ac:dyDescent="0.25">
      <c r="A469" s="2" t="s">
        <v>1936</v>
      </c>
      <c r="B469" s="6">
        <v>46204</v>
      </c>
      <c r="C469" s="8">
        <v>46206</v>
      </c>
      <c r="D469" s="2" t="s">
        <v>136</v>
      </c>
      <c r="E469" s="2" t="s">
        <v>12593</v>
      </c>
      <c r="F469" s="2" t="s">
        <v>12430</v>
      </c>
      <c r="G469" s="2" t="s">
        <v>13550</v>
      </c>
      <c r="H469" s="2" t="s">
        <v>70</v>
      </c>
      <c r="I469" s="9">
        <v>19157.750759999999</v>
      </c>
      <c r="J469" s="7">
        <v>0.65800000000000003</v>
      </c>
      <c r="K469" s="9">
        <v>12605.8</v>
      </c>
      <c r="L469" s="14">
        <v>0</v>
      </c>
      <c r="M469" s="2" t="s">
        <v>71</v>
      </c>
      <c r="N469" s="2" t="s">
        <v>13272</v>
      </c>
      <c r="O469" s="2" t="s">
        <v>13551</v>
      </c>
      <c r="P469" s="9">
        <v>0</v>
      </c>
      <c r="Q469" s="9">
        <v>0</v>
      </c>
      <c r="R469" s="2" t="s">
        <v>13286</v>
      </c>
    </row>
    <row r="470" spans="1:18" x14ac:dyDescent="0.25">
      <c r="A470" s="2" t="s">
        <v>1941</v>
      </c>
      <c r="B470" s="6">
        <v>46204</v>
      </c>
      <c r="C470" s="8">
        <v>46207</v>
      </c>
      <c r="D470" s="2" t="s">
        <v>136</v>
      </c>
      <c r="E470" s="2" t="s">
        <v>12593</v>
      </c>
      <c r="F470" s="2" t="s">
        <v>12431</v>
      </c>
      <c r="G470" s="2" t="s">
        <v>13552</v>
      </c>
      <c r="H470" s="2" t="s">
        <v>39</v>
      </c>
      <c r="I470" s="9">
        <v>12778.81</v>
      </c>
      <c r="J470" s="7">
        <v>1</v>
      </c>
      <c r="K470" s="9">
        <v>12778.81</v>
      </c>
      <c r="L470" s="14">
        <v>0</v>
      </c>
      <c r="M470" s="2" t="s">
        <v>71</v>
      </c>
      <c r="N470" s="2" t="s">
        <v>13272</v>
      </c>
      <c r="O470" s="2" t="s">
        <v>13553</v>
      </c>
      <c r="P470" s="9">
        <v>0</v>
      </c>
      <c r="Q470" s="9">
        <v>0</v>
      </c>
      <c r="R470" s="2" t="s">
        <v>13289</v>
      </c>
    </row>
    <row r="471" spans="1:18" x14ac:dyDescent="0.25">
      <c r="A471" s="2" t="s">
        <v>1944</v>
      </c>
      <c r="B471" s="6">
        <v>46204</v>
      </c>
      <c r="C471" s="8">
        <v>46208</v>
      </c>
      <c r="D471" s="2" t="s">
        <v>136</v>
      </c>
      <c r="E471" s="2" t="s">
        <v>12593</v>
      </c>
      <c r="F471" s="2" t="s">
        <v>12432</v>
      </c>
      <c r="G471" s="2" t="s">
        <v>13554</v>
      </c>
      <c r="H471" s="2" t="s">
        <v>76</v>
      </c>
      <c r="I471" s="9">
        <v>208900322.58064499</v>
      </c>
      <c r="J471" s="7">
        <v>6.2000000000000003E-5</v>
      </c>
      <c r="K471" s="9">
        <v>12951.82</v>
      </c>
      <c r="L471" s="14">
        <v>0</v>
      </c>
      <c r="M471" s="2" t="s">
        <v>71</v>
      </c>
      <c r="N471" s="2" t="s">
        <v>13272</v>
      </c>
      <c r="O471" s="2" t="s">
        <v>13555</v>
      </c>
      <c r="P471" s="9">
        <v>0</v>
      </c>
      <c r="Q471" s="9">
        <v>0</v>
      </c>
      <c r="R471" s="2" t="s">
        <v>13292</v>
      </c>
    </row>
    <row r="472" spans="1:18" x14ac:dyDescent="0.25">
      <c r="A472" s="2" t="s">
        <v>1947</v>
      </c>
      <c r="B472" s="6">
        <v>46204</v>
      </c>
      <c r="C472" s="8">
        <v>46209</v>
      </c>
      <c r="D472" s="2" t="s">
        <v>136</v>
      </c>
      <c r="E472" s="2" t="s">
        <v>12593</v>
      </c>
      <c r="F472" s="2" t="s">
        <v>12423</v>
      </c>
      <c r="G472" s="2" t="s">
        <v>13556</v>
      </c>
      <c r="H472" s="2" t="s">
        <v>70</v>
      </c>
      <c r="I472" s="9">
        <v>19946.550152</v>
      </c>
      <c r="J472" s="7">
        <v>0.65800000000000003</v>
      </c>
      <c r="K472" s="9">
        <v>13124.83</v>
      </c>
      <c r="L472" s="14">
        <v>0</v>
      </c>
      <c r="M472" s="2" t="s">
        <v>71</v>
      </c>
      <c r="N472" s="2" t="s">
        <v>13272</v>
      </c>
      <c r="O472" s="2" t="s">
        <v>13557</v>
      </c>
      <c r="P472" s="9">
        <v>0</v>
      </c>
      <c r="Q472" s="9">
        <v>0</v>
      </c>
      <c r="R472" s="2" t="s">
        <v>13295</v>
      </c>
    </row>
    <row r="473" spans="1:18" x14ac:dyDescent="0.25">
      <c r="A473" s="2" t="s">
        <v>1950</v>
      </c>
      <c r="B473" s="6">
        <v>46204</v>
      </c>
      <c r="C473" s="8">
        <v>46210</v>
      </c>
      <c r="D473" s="2" t="s">
        <v>136</v>
      </c>
      <c r="E473" s="2" t="s">
        <v>12593</v>
      </c>
      <c r="F473" s="2" t="s">
        <v>12424</v>
      </c>
      <c r="G473" s="2" t="s">
        <v>13558</v>
      </c>
      <c r="H473" s="2" t="s">
        <v>39</v>
      </c>
      <c r="I473" s="9">
        <v>13297.84</v>
      </c>
      <c r="J473" s="7">
        <v>1</v>
      </c>
      <c r="K473" s="9">
        <v>13297.84</v>
      </c>
      <c r="L473" s="14">
        <v>0</v>
      </c>
      <c r="M473" s="2" t="s">
        <v>71</v>
      </c>
      <c r="N473" s="2" t="s">
        <v>13272</v>
      </c>
      <c r="O473" s="2" t="s">
        <v>13559</v>
      </c>
      <c r="P473" s="9">
        <v>0</v>
      </c>
      <c r="Q473" s="9">
        <v>0</v>
      </c>
      <c r="R473" s="2" t="s">
        <v>13298</v>
      </c>
    </row>
    <row r="474" spans="1:18" x14ac:dyDescent="0.25">
      <c r="A474" s="2" t="s">
        <v>1953</v>
      </c>
      <c r="B474" s="6">
        <v>46204</v>
      </c>
      <c r="C474" s="8">
        <v>46211</v>
      </c>
      <c r="D474" s="2" t="s">
        <v>136</v>
      </c>
      <c r="E474" s="2" t="s">
        <v>12593</v>
      </c>
      <c r="F474" s="2" t="s">
        <v>12425</v>
      </c>
      <c r="G474" s="2" t="s">
        <v>13560</v>
      </c>
      <c r="H474" s="2" t="s">
        <v>76</v>
      </c>
      <c r="I474" s="9">
        <v>217271774.19354799</v>
      </c>
      <c r="J474" s="7">
        <v>6.2000000000000003E-5</v>
      </c>
      <c r="K474" s="9">
        <v>13470.85</v>
      </c>
      <c r="L474" s="14">
        <v>0</v>
      </c>
      <c r="M474" s="2" t="s">
        <v>71</v>
      </c>
      <c r="N474" s="2" t="s">
        <v>13272</v>
      </c>
      <c r="O474" s="2" t="s">
        <v>13561</v>
      </c>
      <c r="P474" s="9">
        <v>0</v>
      </c>
      <c r="Q474" s="9">
        <v>0</v>
      </c>
      <c r="R474" s="2" t="s">
        <v>13301</v>
      </c>
    </row>
    <row r="475" spans="1:18" x14ac:dyDescent="0.25">
      <c r="A475" s="2" t="s">
        <v>1956</v>
      </c>
      <c r="B475" s="6">
        <v>46204</v>
      </c>
      <c r="C475" s="8">
        <v>46212</v>
      </c>
      <c r="D475" s="2" t="s">
        <v>136</v>
      </c>
      <c r="E475" s="2" t="s">
        <v>12593</v>
      </c>
      <c r="F475" s="2" t="s">
        <v>12426</v>
      </c>
      <c r="G475" s="2" t="s">
        <v>13562</v>
      </c>
      <c r="H475" s="2" t="s">
        <v>70</v>
      </c>
      <c r="I475" s="9">
        <v>20735.349544000001</v>
      </c>
      <c r="J475" s="7">
        <v>0.65800000000000003</v>
      </c>
      <c r="K475" s="9">
        <v>13643.86</v>
      </c>
      <c r="L475" s="14">
        <v>0</v>
      </c>
      <c r="M475" s="2" t="s">
        <v>71</v>
      </c>
      <c r="N475" s="2" t="s">
        <v>13272</v>
      </c>
      <c r="O475" s="2" t="s">
        <v>13563</v>
      </c>
      <c r="P475" s="9">
        <v>0</v>
      </c>
      <c r="Q475" s="9">
        <v>0</v>
      </c>
      <c r="R475" s="2" t="s">
        <v>13274</v>
      </c>
    </row>
    <row r="476" spans="1:18" x14ac:dyDescent="0.25">
      <c r="A476" s="2" t="s">
        <v>1961</v>
      </c>
      <c r="B476" s="6">
        <v>46204</v>
      </c>
      <c r="C476" s="8">
        <v>46213</v>
      </c>
      <c r="D476" s="2" t="s">
        <v>136</v>
      </c>
      <c r="E476" s="2" t="s">
        <v>12593</v>
      </c>
      <c r="F476" s="2" t="s">
        <v>12427</v>
      </c>
      <c r="G476" s="2" t="s">
        <v>13564</v>
      </c>
      <c r="H476" s="2" t="s">
        <v>39</v>
      </c>
      <c r="I476" s="9">
        <v>13816.87</v>
      </c>
      <c r="J476" s="7">
        <v>1</v>
      </c>
      <c r="K476" s="9">
        <v>13816.87</v>
      </c>
      <c r="L476" s="14">
        <v>0</v>
      </c>
      <c r="M476" s="2" t="s">
        <v>71</v>
      </c>
      <c r="N476" s="2" t="s">
        <v>13272</v>
      </c>
      <c r="O476" s="2" t="s">
        <v>13565</v>
      </c>
      <c r="P476" s="9">
        <v>0</v>
      </c>
      <c r="Q476" s="9">
        <v>0</v>
      </c>
      <c r="R476" s="2" t="s">
        <v>13277</v>
      </c>
    </row>
    <row r="477" spans="1:18" x14ac:dyDescent="0.25">
      <c r="A477" s="2" t="s">
        <v>1966</v>
      </c>
      <c r="B477" s="6">
        <v>46204</v>
      </c>
      <c r="C477" s="8">
        <v>46214</v>
      </c>
      <c r="D477" s="2" t="s">
        <v>136</v>
      </c>
      <c r="E477" s="2" t="s">
        <v>12593</v>
      </c>
      <c r="F477" s="2" t="s">
        <v>12428</v>
      </c>
      <c r="G477" s="2" t="s">
        <v>13566</v>
      </c>
      <c r="H477" s="2" t="s">
        <v>76</v>
      </c>
      <c r="I477" s="9">
        <v>225643225.80645201</v>
      </c>
      <c r="J477" s="7">
        <v>6.2000000000000003E-5</v>
      </c>
      <c r="K477" s="9">
        <v>13989.88</v>
      </c>
      <c r="L477" s="14">
        <v>0</v>
      </c>
      <c r="M477" s="2" t="s">
        <v>71</v>
      </c>
      <c r="N477" s="2" t="s">
        <v>13272</v>
      </c>
      <c r="O477" s="2" t="s">
        <v>13567</v>
      </c>
      <c r="P477" s="9">
        <v>0</v>
      </c>
      <c r="Q477" s="9">
        <v>0</v>
      </c>
      <c r="R477" s="2" t="s">
        <v>13280</v>
      </c>
    </row>
    <row r="478" spans="1:18" x14ac:dyDescent="0.25">
      <c r="A478" s="2" t="s">
        <v>1969</v>
      </c>
      <c r="B478" s="6">
        <v>46204</v>
      </c>
      <c r="C478" s="8">
        <v>46215</v>
      </c>
      <c r="D478" s="2" t="s">
        <v>136</v>
      </c>
      <c r="E478" s="2" t="s">
        <v>12593</v>
      </c>
      <c r="F478" s="2" t="s">
        <v>12429</v>
      </c>
      <c r="G478" s="2" t="s">
        <v>13568</v>
      </c>
      <c r="H478" s="2" t="s">
        <v>70</v>
      </c>
      <c r="I478" s="9">
        <v>21524.148936000001</v>
      </c>
      <c r="J478" s="7">
        <v>0.65800000000000003</v>
      </c>
      <c r="K478" s="9">
        <v>14162.89</v>
      </c>
      <c r="L478" s="14">
        <v>0</v>
      </c>
      <c r="M478" s="2" t="s">
        <v>71</v>
      </c>
      <c r="N478" s="2" t="s">
        <v>13272</v>
      </c>
      <c r="O478" s="2" t="s">
        <v>13569</v>
      </c>
      <c r="P478" s="9">
        <v>0</v>
      </c>
      <c r="Q478" s="9">
        <v>0</v>
      </c>
      <c r="R478" s="2" t="s">
        <v>13283</v>
      </c>
    </row>
    <row r="479" spans="1:18" x14ac:dyDescent="0.25">
      <c r="A479" s="2" t="s">
        <v>1972</v>
      </c>
      <c r="B479" s="6">
        <v>46204</v>
      </c>
      <c r="C479" s="8">
        <v>46216</v>
      </c>
      <c r="D479" s="2" t="s">
        <v>136</v>
      </c>
      <c r="E479" s="2" t="s">
        <v>12593</v>
      </c>
      <c r="F479" s="2" t="s">
        <v>12430</v>
      </c>
      <c r="G479" s="2" t="s">
        <v>13570</v>
      </c>
      <c r="H479" s="2" t="s">
        <v>39</v>
      </c>
      <c r="I479" s="9">
        <v>14335.9</v>
      </c>
      <c r="J479" s="7">
        <v>1</v>
      </c>
      <c r="K479" s="9">
        <v>14335.9</v>
      </c>
      <c r="L479" s="14">
        <v>0</v>
      </c>
      <c r="M479" s="2" t="s">
        <v>71</v>
      </c>
      <c r="N479" s="2" t="s">
        <v>13272</v>
      </c>
      <c r="O479" s="2" t="s">
        <v>13571</v>
      </c>
      <c r="P479" s="9">
        <v>0</v>
      </c>
      <c r="Q479" s="9">
        <v>0</v>
      </c>
      <c r="R479" s="2" t="s">
        <v>13286</v>
      </c>
    </row>
    <row r="480" spans="1:18" x14ac:dyDescent="0.25">
      <c r="A480" s="2" t="s">
        <v>1977</v>
      </c>
      <c r="B480" s="6">
        <v>46204</v>
      </c>
      <c r="C480" s="8">
        <v>46217</v>
      </c>
      <c r="D480" s="2" t="s">
        <v>136</v>
      </c>
      <c r="E480" s="2" t="s">
        <v>12593</v>
      </c>
      <c r="F480" s="2" t="s">
        <v>12431</v>
      </c>
      <c r="G480" s="2" t="s">
        <v>13572</v>
      </c>
      <c r="H480" s="2" t="s">
        <v>76</v>
      </c>
      <c r="I480" s="9">
        <v>234014677.41935501</v>
      </c>
      <c r="J480" s="7">
        <v>6.2000000000000003E-5</v>
      </c>
      <c r="K480" s="9">
        <v>14508.91</v>
      </c>
      <c r="L480" s="14">
        <v>0</v>
      </c>
      <c r="M480" s="2" t="s">
        <v>71</v>
      </c>
      <c r="N480" s="2" t="s">
        <v>13272</v>
      </c>
      <c r="O480" s="2" t="s">
        <v>13573</v>
      </c>
      <c r="P480" s="9">
        <v>0</v>
      </c>
      <c r="Q480" s="9">
        <v>0</v>
      </c>
      <c r="R480" s="2" t="s">
        <v>13289</v>
      </c>
    </row>
    <row r="481" spans="1:18" x14ac:dyDescent="0.25">
      <c r="A481" s="2" t="s">
        <v>1980</v>
      </c>
      <c r="B481" s="6">
        <v>46204</v>
      </c>
      <c r="C481" s="8">
        <v>46218</v>
      </c>
      <c r="D481" s="2" t="s">
        <v>136</v>
      </c>
      <c r="E481" s="2" t="s">
        <v>12593</v>
      </c>
      <c r="F481" s="2" t="s">
        <v>12432</v>
      </c>
      <c r="G481" s="2" t="s">
        <v>13574</v>
      </c>
      <c r="H481" s="2" t="s">
        <v>70</v>
      </c>
      <c r="I481" s="9">
        <v>22312.948327999999</v>
      </c>
      <c r="J481" s="7">
        <v>0.65800000000000003</v>
      </c>
      <c r="K481" s="9">
        <v>14681.92</v>
      </c>
      <c r="L481" s="14">
        <v>0</v>
      </c>
      <c r="M481" s="2" t="s">
        <v>71</v>
      </c>
      <c r="N481" s="2" t="s">
        <v>13272</v>
      </c>
      <c r="O481" s="2" t="s">
        <v>13575</v>
      </c>
      <c r="P481" s="9">
        <v>0</v>
      </c>
      <c r="Q481" s="9">
        <v>0</v>
      </c>
      <c r="R481" s="2" t="s">
        <v>13292</v>
      </c>
    </row>
    <row r="482" spans="1:18" x14ac:dyDescent="0.25">
      <c r="A482" s="2" t="s">
        <v>1983</v>
      </c>
      <c r="B482" s="6">
        <v>46204</v>
      </c>
      <c r="C482" s="8">
        <v>46219</v>
      </c>
      <c r="D482" s="2" t="s">
        <v>136</v>
      </c>
      <c r="E482" s="2" t="s">
        <v>12593</v>
      </c>
      <c r="F482" s="2" t="s">
        <v>12423</v>
      </c>
      <c r="G482" s="2" t="s">
        <v>13576</v>
      </c>
      <c r="H482" s="2" t="s">
        <v>39</v>
      </c>
      <c r="I482" s="9">
        <v>854.93</v>
      </c>
      <c r="J482" s="7">
        <v>1</v>
      </c>
      <c r="K482" s="9">
        <v>854.93</v>
      </c>
      <c r="L482" s="14">
        <v>0</v>
      </c>
      <c r="M482" s="2" t="s">
        <v>71</v>
      </c>
      <c r="N482" s="2" t="s">
        <v>13272</v>
      </c>
      <c r="O482" s="2" t="s">
        <v>13577</v>
      </c>
      <c r="P482" s="9">
        <v>0</v>
      </c>
      <c r="Q482" s="9">
        <v>0</v>
      </c>
      <c r="R482" s="2" t="s">
        <v>13295</v>
      </c>
    </row>
    <row r="483" spans="1:18" x14ac:dyDescent="0.25">
      <c r="A483" s="2" t="s">
        <v>1986</v>
      </c>
      <c r="B483" s="6">
        <v>46204</v>
      </c>
      <c r="C483" s="8">
        <v>46220</v>
      </c>
      <c r="D483" s="2" t="s">
        <v>136</v>
      </c>
      <c r="E483" s="2" t="s">
        <v>12593</v>
      </c>
      <c r="F483" s="2" t="s">
        <v>12424</v>
      </c>
      <c r="G483" s="2" t="s">
        <v>13578</v>
      </c>
      <c r="H483" s="2" t="s">
        <v>76</v>
      </c>
      <c r="I483" s="9">
        <v>16579677.419354999</v>
      </c>
      <c r="J483" s="7">
        <v>6.2000000000000003E-5</v>
      </c>
      <c r="K483" s="9">
        <v>1027.94</v>
      </c>
      <c r="L483" s="14">
        <v>0</v>
      </c>
      <c r="M483" s="2" t="s">
        <v>71</v>
      </c>
      <c r="N483" s="2" t="s">
        <v>13272</v>
      </c>
      <c r="O483" s="2" t="s">
        <v>13579</v>
      </c>
      <c r="P483" s="9">
        <v>0</v>
      </c>
      <c r="Q483" s="9">
        <v>0</v>
      </c>
      <c r="R483" s="2" t="s">
        <v>13298</v>
      </c>
    </row>
    <row r="484" spans="1:18" x14ac:dyDescent="0.25">
      <c r="A484" s="2" t="s">
        <v>1989</v>
      </c>
      <c r="B484" s="6">
        <v>46204</v>
      </c>
      <c r="C484" s="8">
        <v>46221</v>
      </c>
      <c r="D484" s="2" t="s">
        <v>136</v>
      </c>
      <c r="E484" s="2" t="s">
        <v>12593</v>
      </c>
      <c r="F484" s="2" t="s">
        <v>12425</v>
      </c>
      <c r="G484" s="2" t="s">
        <v>13580</v>
      </c>
      <c r="H484" s="2" t="s">
        <v>70</v>
      </c>
      <c r="I484" s="9">
        <v>1825.1519760000001</v>
      </c>
      <c r="J484" s="7">
        <v>0.65800000000000003</v>
      </c>
      <c r="K484" s="9">
        <v>1200.95</v>
      </c>
      <c r="L484" s="14">
        <v>0</v>
      </c>
      <c r="M484" s="2" t="s">
        <v>71</v>
      </c>
      <c r="N484" s="2" t="s">
        <v>13272</v>
      </c>
      <c r="O484" s="2" t="s">
        <v>13581</v>
      </c>
      <c r="P484" s="9">
        <v>0</v>
      </c>
      <c r="Q484" s="9">
        <v>0</v>
      </c>
      <c r="R484" s="2" t="s">
        <v>13301</v>
      </c>
    </row>
    <row r="485" spans="1:18" x14ac:dyDescent="0.25">
      <c r="A485" s="2" t="s">
        <v>1992</v>
      </c>
      <c r="B485" s="6">
        <v>46204</v>
      </c>
      <c r="C485" s="8">
        <v>46222</v>
      </c>
      <c r="D485" s="2" t="s">
        <v>136</v>
      </c>
      <c r="E485" s="2" t="s">
        <v>12593</v>
      </c>
      <c r="F485" s="2" t="s">
        <v>12426</v>
      </c>
      <c r="G485" s="2" t="s">
        <v>13582</v>
      </c>
      <c r="H485" s="2" t="s">
        <v>39</v>
      </c>
      <c r="I485" s="9">
        <v>1373.96</v>
      </c>
      <c r="J485" s="7">
        <v>1</v>
      </c>
      <c r="K485" s="9">
        <v>1373.96</v>
      </c>
      <c r="L485" s="14">
        <v>0</v>
      </c>
      <c r="M485" s="2" t="s">
        <v>71</v>
      </c>
      <c r="N485" s="2" t="s">
        <v>13272</v>
      </c>
      <c r="O485" s="2" t="s">
        <v>13583</v>
      </c>
      <c r="P485" s="9">
        <v>0</v>
      </c>
      <c r="Q485" s="9">
        <v>0</v>
      </c>
      <c r="R485" s="2" t="s">
        <v>13274</v>
      </c>
    </row>
    <row r="486" spans="1:18" x14ac:dyDescent="0.25">
      <c r="A486" s="2" t="s">
        <v>1997</v>
      </c>
      <c r="B486" s="6">
        <v>46204</v>
      </c>
      <c r="C486" s="8">
        <v>46223</v>
      </c>
      <c r="D486" s="2" t="s">
        <v>136</v>
      </c>
      <c r="E486" s="2" t="s">
        <v>12593</v>
      </c>
      <c r="F486" s="2" t="s">
        <v>12427</v>
      </c>
      <c r="G486" s="2" t="s">
        <v>13584</v>
      </c>
      <c r="H486" s="2" t="s">
        <v>76</v>
      </c>
      <c r="I486" s="9">
        <v>24935483.870967999</v>
      </c>
      <c r="J486" s="7">
        <v>6.2000000000000003E-5</v>
      </c>
      <c r="K486" s="9">
        <v>1546</v>
      </c>
      <c r="L486" s="14">
        <v>0</v>
      </c>
      <c r="M486" s="2" t="s">
        <v>71</v>
      </c>
      <c r="N486" s="2" t="s">
        <v>13272</v>
      </c>
      <c r="O486" s="2" t="s">
        <v>13585</v>
      </c>
      <c r="P486" s="9">
        <v>0</v>
      </c>
      <c r="Q486" s="9">
        <v>0</v>
      </c>
      <c r="R486" s="2" t="s">
        <v>13277</v>
      </c>
    </row>
    <row r="487" spans="1:18" x14ac:dyDescent="0.25">
      <c r="A487" s="2" t="s">
        <v>2002</v>
      </c>
      <c r="B487" s="6">
        <v>46204</v>
      </c>
      <c r="C487" s="8">
        <v>46224</v>
      </c>
      <c r="D487" s="2" t="s">
        <v>136</v>
      </c>
      <c r="E487" s="2" t="s">
        <v>12593</v>
      </c>
      <c r="F487" s="2" t="s">
        <v>12428</v>
      </c>
      <c r="G487" s="2" t="s">
        <v>13586</v>
      </c>
      <c r="H487" s="2" t="s">
        <v>70</v>
      </c>
      <c r="I487" s="9">
        <v>2612.4772039999998</v>
      </c>
      <c r="J487" s="7">
        <v>0.65800000000000003</v>
      </c>
      <c r="K487" s="9">
        <v>1719.01</v>
      </c>
      <c r="L487" s="14">
        <v>0</v>
      </c>
      <c r="M487" s="2" t="s">
        <v>71</v>
      </c>
      <c r="N487" s="2" t="s">
        <v>13272</v>
      </c>
      <c r="O487" s="2" t="s">
        <v>13587</v>
      </c>
      <c r="P487" s="9">
        <v>0</v>
      </c>
      <c r="Q487" s="9">
        <v>0</v>
      </c>
      <c r="R487" s="2" t="s">
        <v>13280</v>
      </c>
    </row>
    <row r="488" spans="1:18" x14ac:dyDescent="0.25">
      <c r="A488" s="2" t="s">
        <v>2005</v>
      </c>
      <c r="B488" s="6">
        <v>46204</v>
      </c>
      <c r="C488" s="8">
        <v>46225</v>
      </c>
      <c r="D488" s="2" t="s">
        <v>136</v>
      </c>
      <c r="E488" s="2" t="s">
        <v>12593</v>
      </c>
      <c r="F488" s="2" t="s">
        <v>12429</v>
      </c>
      <c r="G488" s="2" t="s">
        <v>13588</v>
      </c>
      <c r="H488" s="2" t="s">
        <v>39</v>
      </c>
      <c r="I488" s="9">
        <v>1892.02</v>
      </c>
      <c r="J488" s="7">
        <v>1</v>
      </c>
      <c r="K488" s="9">
        <v>1892.02</v>
      </c>
      <c r="L488" s="14">
        <v>0</v>
      </c>
      <c r="M488" s="2" t="s">
        <v>71</v>
      </c>
      <c r="N488" s="2" t="s">
        <v>13272</v>
      </c>
      <c r="O488" s="2" t="s">
        <v>13589</v>
      </c>
      <c r="P488" s="9">
        <v>0</v>
      </c>
      <c r="Q488" s="9">
        <v>0</v>
      </c>
      <c r="R488" s="2" t="s">
        <v>13283</v>
      </c>
    </row>
    <row r="489" spans="1:18" x14ac:dyDescent="0.25">
      <c r="A489" s="2" t="s">
        <v>2008</v>
      </c>
      <c r="B489" s="6">
        <v>46204</v>
      </c>
      <c r="C489" s="8">
        <v>46226</v>
      </c>
      <c r="D489" s="2" t="s">
        <v>136</v>
      </c>
      <c r="E489" s="2" t="s">
        <v>12593</v>
      </c>
      <c r="F489" s="2" t="s">
        <v>12430</v>
      </c>
      <c r="G489" s="2" t="s">
        <v>13590</v>
      </c>
      <c r="H489" s="2" t="s">
        <v>76</v>
      </c>
      <c r="I489" s="9">
        <v>33306935.483871002</v>
      </c>
      <c r="J489" s="7">
        <v>6.2000000000000003E-5</v>
      </c>
      <c r="K489" s="9">
        <v>2065.0300000000002</v>
      </c>
      <c r="L489" s="14">
        <v>0</v>
      </c>
      <c r="M489" s="2" t="s">
        <v>71</v>
      </c>
      <c r="N489" s="2" t="s">
        <v>13272</v>
      </c>
      <c r="O489" s="2" t="s">
        <v>13591</v>
      </c>
      <c r="P489" s="9">
        <v>0</v>
      </c>
      <c r="Q489" s="9">
        <v>0</v>
      </c>
      <c r="R489" s="2" t="s">
        <v>13286</v>
      </c>
    </row>
    <row r="490" spans="1:18" x14ac:dyDescent="0.25">
      <c r="A490" s="2" t="s">
        <v>2013</v>
      </c>
      <c r="B490" s="6">
        <v>46204</v>
      </c>
      <c r="C490" s="8">
        <v>46227</v>
      </c>
      <c r="D490" s="2" t="s">
        <v>136</v>
      </c>
      <c r="E490" s="2" t="s">
        <v>12593</v>
      </c>
      <c r="F490" s="2" t="s">
        <v>12431</v>
      </c>
      <c r="G490" s="2" t="s">
        <v>13592</v>
      </c>
      <c r="H490" s="2" t="s">
        <v>70</v>
      </c>
      <c r="I490" s="9">
        <v>3401.2765960000002</v>
      </c>
      <c r="J490" s="7">
        <v>0.65800000000000003</v>
      </c>
      <c r="K490" s="9">
        <v>2238.04</v>
      </c>
      <c r="L490" s="14">
        <v>0</v>
      </c>
      <c r="M490" s="2" t="s">
        <v>71</v>
      </c>
      <c r="N490" s="2" t="s">
        <v>13272</v>
      </c>
      <c r="O490" s="2" t="s">
        <v>13593</v>
      </c>
      <c r="P490" s="9">
        <v>0</v>
      </c>
      <c r="Q490" s="9">
        <v>0</v>
      </c>
      <c r="R490" s="2" t="s">
        <v>13289</v>
      </c>
    </row>
    <row r="491" spans="1:18" x14ac:dyDescent="0.25">
      <c r="A491" s="2" t="s">
        <v>2016</v>
      </c>
      <c r="B491" s="6">
        <v>46204</v>
      </c>
      <c r="C491" s="8">
        <v>46228</v>
      </c>
      <c r="D491" s="2" t="s">
        <v>136</v>
      </c>
      <c r="E491" s="2" t="s">
        <v>12593</v>
      </c>
      <c r="F491" s="2" t="s">
        <v>12432</v>
      </c>
      <c r="G491" s="2" t="s">
        <v>13594</v>
      </c>
      <c r="H491" s="2" t="s">
        <v>39</v>
      </c>
      <c r="I491" s="9">
        <v>2411.0500000000002</v>
      </c>
      <c r="J491" s="7">
        <v>1</v>
      </c>
      <c r="K491" s="9">
        <v>2411.0500000000002</v>
      </c>
      <c r="L491" s="14">
        <v>0</v>
      </c>
      <c r="M491" s="2" t="s">
        <v>71</v>
      </c>
      <c r="N491" s="2" t="s">
        <v>13272</v>
      </c>
      <c r="O491" s="2" t="s">
        <v>13595</v>
      </c>
      <c r="P491" s="9">
        <v>0</v>
      </c>
      <c r="Q491" s="9">
        <v>0</v>
      </c>
      <c r="R491" s="2" t="s">
        <v>13292</v>
      </c>
    </row>
    <row r="492" spans="1:18" x14ac:dyDescent="0.25">
      <c r="A492" s="2" t="s">
        <v>2019</v>
      </c>
      <c r="B492" s="6">
        <v>46204</v>
      </c>
      <c r="C492" s="8">
        <v>46229</v>
      </c>
      <c r="D492" s="2" t="s">
        <v>136</v>
      </c>
      <c r="E492" s="2" t="s">
        <v>12593</v>
      </c>
      <c r="F492" s="2" t="s">
        <v>12423</v>
      </c>
      <c r="G492" s="2" t="s">
        <v>13596</v>
      </c>
      <c r="H492" s="2" t="s">
        <v>76</v>
      </c>
      <c r="I492" s="9">
        <v>41678387.096773997</v>
      </c>
      <c r="J492" s="7">
        <v>6.2000000000000003E-5</v>
      </c>
      <c r="K492" s="9">
        <v>2584.06</v>
      </c>
      <c r="L492" s="14">
        <v>0</v>
      </c>
      <c r="M492" s="2" t="s">
        <v>71</v>
      </c>
      <c r="N492" s="2" t="s">
        <v>13272</v>
      </c>
      <c r="O492" s="2" t="s">
        <v>13597</v>
      </c>
      <c r="P492" s="9">
        <v>0</v>
      </c>
      <c r="Q492" s="9">
        <v>0</v>
      </c>
      <c r="R492" s="2" t="s">
        <v>13295</v>
      </c>
    </row>
    <row r="493" spans="1:18" x14ac:dyDescent="0.25">
      <c r="A493" s="2" t="s">
        <v>2022</v>
      </c>
      <c r="B493" s="6">
        <v>46204</v>
      </c>
      <c r="C493" s="8">
        <v>46230</v>
      </c>
      <c r="D493" s="2" t="s">
        <v>136</v>
      </c>
      <c r="E493" s="2" t="s">
        <v>12593</v>
      </c>
      <c r="F493" s="2" t="s">
        <v>12424</v>
      </c>
      <c r="G493" s="2" t="s">
        <v>13598</v>
      </c>
      <c r="H493" s="2" t="s">
        <v>70</v>
      </c>
      <c r="I493" s="9">
        <v>-4190.0759879999996</v>
      </c>
      <c r="J493" s="7">
        <v>0.65800000000000003</v>
      </c>
      <c r="K493" s="9">
        <v>-2757.07</v>
      </c>
      <c r="L493" s="14">
        <v>0</v>
      </c>
      <c r="M493" s="2" t="s">
        <v>71</v>
      </c>
      <c r="N493" s="2" t="s">
        <v>13272</v>
      </c>
      <c r="O493" s="2" t="s">
        <v>13599</v>
      </c>
      <c r="P493" s="9">
        <v>0</v>
      </c>
      <c r="Q493" s="9">
        <v>0</v>
      </c>
      <c r="R493" s="2" t="s">
        <v>13298</v>
      </c>
    </row>
    <row r="494" spans="1:18" x14ac:dyDescent="0.25">
      <c r="A494" s="2" t="s">
        <v>2025</v>
      </c>
      <c r="B494" s="6">
        <v>46204</v>
      </c>
      <c r="C494" s="8">
        <v>46231</v>
      </c>
      <c r="D494" s="2" t="s">
        <v>136</v>
      </c>
      <c r="E494" s="2" t="s">
        <v>12593</v>
      </c>
      <c r="F494" s="2" t="s">
        <v>12425</v>
      </c>
      <c r="G494" s="2" t="s">
        <v>13600</v>
      </c>
      <c r="H494" s="2" t="s">
        <v>39</v>
      </c>
      <c r="I494" s="9">
        <v>2930.08</v>
      </c>
      <c r="J494" s="7">
        <v>1</v>
      </c>
      <c r="K494" s="9">
        <v>2930.08</v>
      </c>
      <c r="L494" s="14">
        <v>0</v>
      </c>
      <c r="M494" s="2" t="s">
        <v>71</v>
      </c>
      <c r="N494" s="2" t="s">
        <v>13272</v>
      </c>
      <c r="O494" s="2" t="s">
        <v>13601</v>
      </c>
      <c r="P494" s="9">
        <v>0</v>
      </c>
      <c r="Q494" s="9">
        <v>0</v>
      </c>
      <c r="R494" s="2" t="s">
        <v>13301</v>
      </c>
    </row>
    <row r="495" spans="1:18" x14ac:dyDescent="0.25">
      <c r="A495" s="2" t="s">
        <v>2028</v>
      </c>
      <c r="B495" s="6">
        <v>46204</v>
      </c>
      <c r="C495" s="8">
        <v>46232</v>
      </c>
      <c r="D495" s="2" t="s">
        <v>136</v>
      </c>
      <c r="E495" s="2" t="s">
        <v>12593</v>
      </c>
      <c r="F495" s="2" t="s">
        <v>12426</v>
      </c>
      <c r="G495" s="2" t="s">
        <v>13602</v>
      </c>
      <c r="H495" s="2" t="s">
        <v>76</v>
      </c>
      <c r="I495" s="9">
        <v>50049838.709677003</v>
      </c>
      <c r="J495" s="7">
        <v>6.2000000000000003E-5</v>
      </c>
      <c r="K495" s="9">
        <v>3103.09</v>
      </c>
      <c r="L495" s="14">
        <v>0</v>
      </c>
      <c r="M495" s="2" t="s">
        <v>71</v>
      </c>
      <c r="N495" s="2" t="s">
        <v>13272</v>
      </c>
      <c r="O495" s="2" t="s">
        <v>13603</v>
      </c>
      <c r="P495" s="9">
        <v>0</v>
      </c>
      <c r="Q495" s="9">
        <v>0</v>
      </c>
      <c r="R495" s="2" t="s">
        <v>13274</v>
      </c>
    </row>
    <row r="496" spans="1:18" x14ac:dyDescent="0.25">
      <c r="A496" s="2" t="s">
        <v>2033</v>
      </c>
      <c r="B496" s="6">
        <v>46204</v>
      </c>
      <c r="C496" s="8">
        <v>46233</v>
      </c>
      <c r="D496" s="2" t="s">
        <v>136</v>
      </c>
      <c r="E496" s="2" t="s">
        <v>12593</v>
      </c>
      <c r="F496" s="2" t="s">
        <v>12427</v>
      </c>
      <c r="G496" s="2" t="s">
        <v>13604</v>
      </c>
      <c r="H496" s="2" t="s">
        <v>70</v>
      </c>
      <c r="I496" s="9">
        <v>4978.8753800000004</v>
      </c>
      <c r="J496" s="7">
        <v>0.65800000000000003</v>
      </c>
      <c r="K496" s="9">
        <v>3276.1</v>
      </c>
      <c r="L496" s="14">
        <v>0</v>
      </c>
      <c r="M496" s="2" t="s">
        <v>71</v>
      </c>
      <c r="N496" s="2" t="s">
        <v>13272</v>
      </c>
      <c r="O496" s="2" t="s">
        <v>13605</v>
      </c>
      <c r="P496" s="9">
        <v>0</v>
      </c>
      <c r="Q496" s="9">
        <v>0</v>
      </c>
      <c r="R496" s="2" t="s">
        <v>13277</v>
      </c>
    </row>
    <row r="497" spans="1:18" x14ac:dyDescent="0.25">
      <c r="A497" s="2" t="s">
        <v>2038</v>
      </c>
      <c r="B497" s="6">
        <v>46204</v>
      </c>
      <c r="C497" s="8">
        <v>46234</v>
      </c>
      <c r="D497" s="2" t="s">
        <v>136</v>
      </c>
      <c r="E497" s="2" t="s">
        <v>12593</v>
      </c>
      <c r="F497" s="2" t="s">
        <v>12428</v>
      </c>
      <c r="G497" s="2" t="s">
        <v>13606</v>
      </c>
      <c r="H497" s="2" t="s">
        <v>39</v>
      </c>
      <c r="I497" s="9">
        <v>3449.11</v>
      </c>
      <c r="J497" s="7">
        <v>1</v>
      </c>
      <c r="K497" s="9">
        <v>3449.11</v>
      </c>
      <c r="L497" s="14">
        <v>0</v>
      </c>
      <c r="M497" s="2" t="s">
        <v>71</v>
      </c>
      <c r="N497" s="2" t="s">
        <v>13272</v>
      </c>
      <c r="O497" s="2" t="s">
        <v>13607</v>
      </c>
      <c r="P497" s="9">
        <v>0</v>
      </c>
      <c r="Q497" s="9">
        <v>0</v>
      </c>
      <c r="R497" s="2" t="s">
        <v>13280</v>
      </c>
    </row>
    <row r="498" spans="1:18" x14ac:dyDescent="0.25">
      <c r="A498" s="2" t="s">
        <v>2041</v>
      </c>
      <c r="B498" s="6">
        <v>46204</v>
      </c>
      <c r="C498" s="8">
        <v>46204</v>
      </c>
      <c r="D498" s="2" t="s">
        <v>136</v>
      </c>
      <c r="E498" s="2" t="s">
        <v>12593</v>
      </c>
      <c r="F498" s="2" t="s">
        <v>12429</v>
      </c>
      <c r="G498" s="2" t="s">
        <v>13608</v>
      </c>
      <c r="H498" s="2" t="s">
        <v>76</v>
      </c>
      <c r="I498" s="9">
        <v>58421290.322581001</v>
      </c>
      <c r="J498" s="7">
        <v>6.2000000000000003E-5</v>
      </c>
      <c r="K498" s="9">
        <v>3622.12</v>
      </c>
      <c r="L498" s="14">
        <v>0</v>
      </c>
      <c r="M498" s="2" t="s">
        <v>71</v>
      </c>
      <c r="N498" s="2" t="s">
        <v>13272</v>
      </c>
      <c r="O498" s="2" t="s">
        <v>13609</v>
      </c>
      <c r="P498" s="9">
        <v>0</v>
      </c>
      <c r="Q498" s="9">
        <v>0</v>
      </c>
      <c r="R498" s="2" t="s">
        <v>13283</v>
      </c>
    </row>
    <row r="499" spans="1:18" x14ac:dyDescent="0.25">
      <c r="A499" s="2" t="s">
        <v>2044</v>
      </c>
      <c r="B499" s="6">
        <v>46204</v>
      </c>
      <c r="C499" s="8">
        <v>46205</v>
      </c>
      <c r="D499" s="2" t="s">
        <v>136</v>
      </c>
      <c r="E499" s="2" t="s">
        <v>12593</v>
      </c>
      <c r="F499" s="2" t="s">
        <v>12430</v>
      </c>
      <c r="G499" s="2" t="s">
        <v>13610</v>
      </c>
      <c r="H499" s="2" t="s">
        <v>70</v>
      </c>
      <c r="I499" s="9">
        <v>5767.6747720000003</v>
      </c>
      <c r="J499" s="7">
        <v>0.65800000000000003</v>
      </c>
      <c r="K499" s="9">
        <v>3795.13</v>
      </c>
      <c r="L499" s="14">
        <v>0</v>
      </c>
      <c r="M499" s="2" t="s">
        <v>71</v>
      </c>
      <c r="N499" s="2" t="s">
        <v>13272</v>
      </c>
      <c r="O499" s="2" t="s">
        <v>13611</v>
      </c>
      <c r="P499" s="9">
        <v>0</v>
      </c>
      <c r="Q499" s="9">
        <v>0</v>
      </c>
      <c r="R499" s="2" t="s">
        <v>13286</v>
      </c>
    </row>
    <row r="500" spans="1:18" x14ac:dyDescent="0.25">
      <c r="A500" s="2" t="s">
        <v>2049</v>
      </c>
      <c r="B500" s="6">
        <v>46204</v>
      </c>
      <c r="C500" s="8">
        <v>46206</v>
      </c>
      <c r="D500" s="2" t="s">
        <v>136</v>
      </c>
      <c r="E500" s="2" t="s">
        <v>12593</v>
      </c>
      <c r="F500" s="2" t="s">
        <v>12431</v>
      </c>
      <c r="G500" s="2" t="s">
        <v>13612</v>
      </c>
      <c r="H500" s="2" t="s">
        <v>39</v>
      </c>
      <c r="I500" s="9">
        <v>3968.14</v>
      </c>
      <c r="J500" s="7">
        <v>1</v>
      </c>
      <c r="K500" s="9">
        <v>3968.14</v>
      </c>
      <c r="L500" s="14">
        <v>0</v>
      </c>
      <c r="M500" s="2" t="s">
        <v>71</v>
      </c>
      <c r="N500" s="2" t="s">
        <v>13272</v>
      </c>
      <c r="O500" s="2" t="s">
        <v>13613</v>
      </c>
      <c r="P500" s="9">
        <v>0</v>
      </c>
      <c r="Q500" s="9">
        <v>0</v>
      </c>
      <c r="R500" s="2" t="s">
        <v>13289</v>
      </c>
    </row>
    <row r="501" spans="1:18" x14ac:dyDescent="0.25">
      <c r="A501" s="2" t="s">
        <v>2052</v>
      </c>
      <c r="B501" s="6">
        <v>46204</v>
      </c>
      <c r="C501" s="8">
        <v>46207</v>
      </c>
      <c r="D501" s="2" t="s">
        <v>136</v>
      </c>
      <c r="E501" s="2" t="s">
        <v>12593</v>
      </c>
      <c r="F501" s="2" t="s">
        <v>12432</v>
      </c>
      <c r="G501" s="2" t="s">
        <v>13614</v>
      </c>
      <c r="H501" s="2" t="s">
        <v>76</v>
      </c>
      <c r="I501" s="9">
        <v>66792741.935484</v>
      </c>
      <c r="J501" s="7">
        <v>6.2000000000000003E-5</v>
      </c>
      <c r="K501" s="9">
        <v>4141.1499999999996</v>
      </c>
      <c r="L501" s="14">
        <v>0</v>
      </c>
      <c r="M501" s="2" t="s">
        <v>71</v>
      </c>
      <c r="N501" s="2" t="s">
        <v>13272</v>
      </c>
      <c r="O501" s="2" t="s">
        <v>13615</v>
      </c>
      <c r="P501" s="9">
        <v>0</v>
      </c>
      <c r="Q501" s="9">
        <v>0</v>
      </c>
      <c r="R501" s="2" t="s">
        <v>13292</v>
      </c>
    </row>
    <row r="502" spans="1:18" x14ac:dyDescent="0.25">
      <c r="A502" s="2" t="s">
        <v>2055</v>
      </c>
      <c r="B502" s="6">
        <v>46204</v>
      </c>
      <c r="C502" s="8">
        <v>46208</v>
      </c>
      <c r="D502" s="2" t="s">
        <v>136</v>
      </c>
      <c r="E502" s="2" t="s">
        <v>12593</v>
      </c>
      <c r="F502" s="2" t="s">
        <v>12423</v>
      </c>
      <c r="G502" s="2" t="s">
        <v>13616</v>
      </c>
      <c r="H502" s="2" t="s">
        <v>70</v>
      </c>
      <c r="I502" s="9">
        <v>6556.4741640000002</v>
      </c>
      <c r="J502" s="7">
        <v>0.65800000000000003</v>
      </c>
      <c r="K502" s="9">
        <v>4314.16</v>
      </c>
      <c r="L502" s="14">
        <v>0</v>
      </c>
      <c r="M502" s="2" t="s">
        <v>71</v>
      </c>
      <c r="N502" s="2" t="s">
        <v>13272</v>
      </c>
      <c r="O502" s="2" t="s">
        <v>13617</v>
      </c>
      <c r="P502" s="9">
        <v>0</v>
      </c>
      <c r="Q502" s="9">
        <v>0</v>
      </c>
      <c r="R502" s="2" t="s">
        <v>13295</v>
      </c>
    </row>
    <row r="503" spans="1:18" x14ac:dyDescent="0.25">
      <c r="A503" s="2" t="s">
        <v>2058</v>
      </c>
      <c r="B503" s="6">
        <v>46204</v>
      </c>
      <c r="C503" s="8">
        <v>46209</v>
      </c>
      <c r="D503" s="2" t="s">
        <v>136</v>
      </c>
      <c r="E503" s="2" t="s">
        <v>12593</v>
      </c>
      <c r="F503" s="2" t="s">
        <v>12424</v>
      </c>
      <c r="G503" s="2" t="s">
        <v>13618</v>
      </c>
      <c r="H503" s="2" t="s">
        <v>39</v>
      </c>
      <c r="I503" s="9">
        <v>4487.17</v>
      </c>
      <c r="J503" s="7">
        <v>1</v>
      </c>
      <c r="K503" s="9">
        <v>4487.17</v>
      </c>
      <c r="L503" s="14">
        <v>0</v>
      </c>
      <c r="M503" s="2" t="s">
        <v>71</v>
      </c>
      <c r="N503" s="2" t="s">
        <v>13272</v>
      </c>
      <c r="O503" s="2" t="s">
        <v>13619</v>
      </c>
      <c r="P503" s="9">
        <v>0</v>
      </c>
      <c r="Q503" s="9">
        <v>0</v>
      </c>
      <c r="R503" s="2" t="s">
        <v>13298</v>
      </c>
    </row>
    <row r="504" spans="1:18" x14ac:dyDescent="0.25">
      <c r="A504" s="2" t="s">
        <v>2061</v>
      </c>
      <c r="B504" s="6">
        <v>46204</v>
      </c>
      <c r="C504" s="8">
        <v>46210</v>
      </c>
      <c r="D504" s="2" t="s">
        <v>136</v>
      </c>
      <c r="E504" s="2" t="s">
        <v>12593</v>
      </c>
      <c r="F504" s="2" t="s">
        <v>12425</v>
      </c>
      <c r="G504" s="2" t="s">
        <v>13620</v>
      </c>
      <c r="H504" s="2" t="s">
        <v>76</v>
      </c>
      <c r="I504" s="9">
        <v>75164193.548387006</v>
      </c>
      <c r="J504" s="7">
        <v>6.2000000000000003E-5</v>
      </c>
      <c r="K504" s="9">
        <v>4660.18</v>
      </c>
      <c r="L504" s="14">
        <v>0</v>
      </c>
      <c r="M504" s="2" t="s">
        <v>71</v>
      </c>
      <c r="N504" s="2" t="s">
        <v>13272</v>
      </c>
      <c r="O504" s="2" t="s">
        <v>13621</v>
      </c>
      <c r="P504" s="9">
        <v>0</v>
      </c>
      <c r="Q504" s="9">
        <v>0</v>
      </c>
      <c r="R504" s="2" t="s">
        <v>13301</v>
      </c>
    </row>
    <row r="505" spans="1:18" x14ac:dyDescent="0.25">
      <c r="A505" s="2" t="s">
        <v>2064</v>
      </c>
      <c r="B505" s="6">
        <v>46204</v>
      </c>
      <c r="C505" s="8">
        <v>46211</v>
      </c>
      <c r="D505" s="2" t="s">
        <v>136</v>
      </c>
      <c r="E505" s="2" t="s">
        <v>12593</v>
      </c>
      <c r="F505" s="2" t="s">
        <v>12426</v>
      </c>
      <c r="G505" s="2" t="s">
        <v>13622</v>
      </c>
      <c r="H505" s="2" t="s">
        <v>70</v>
      </c>
      <c r="I505" s="9">
        <v>7345.2735560000001</v>
      </c>
      <c r="J505" s="7">
        <v>0.65800000000000003</v>
      </c>
      <c r="K505" s="9">
        <v>4833.1899999999996</v>
      </c>
      <c r="L505" s="14">
        <v>0</v>
      </c>
      <c r="M505" s="2" t="s">
        <v>71</v>
      </c>
      <c r="N505" s="2" t="s">
        <v>13272</v>
      </c>
      <c r="O505" s="2" t="s">
        <v>13623</v>
      </c>
      <c r="P505" s="9">
        <v>0</v>
      </c>
      <c r="Q505" s="9">
        <v>0</v>
      </c>
      <c r="R505" s="2" t="s">
        <v>13274</v>
      </c>
    </row>
    <row r="506" spans="1:18" x14ac:dyDescent="0.25">
      <c r="A506" s="2" t="s">
        <v>2069</v>
      </c>
      <c r="B506" s="6">
        <v>46204</v>
      </c>
      <c r="C506" s="8">
        <v>46212</v>
      </c>
      <c r="D506" s="2" t="s">
        <v>136</v>
      </c>
      <c r="E506" s="2" t="s">
        <v>12593</v>
      </c>
      <c r="F506" s="2" t="s">
        <v>12427</v>
      </c>
      <c r="G506" s="2" t="s">
        <v>13624</v>
      </c>
      <c r="H506" s="2" t="s">
        <v>39</v>
      </c>
      <c r="I506" s="9">
        <v>5006.2</v>
      </c>
      <c r="J506" s="7">
        <v>1</v>
      </c>
      <c r="K506" s="9">
        <v>5006.2</v>
      </c>
      <c r="L506" s="14">
        <v>0</v>
      </c>
      <c r="M506" s="2" t="s">
        <v>71</v>
      </c>
      <c r="N506" s="2" t="s">
        <v>13272</v>
      </c>
      <c r="O506" s="2" t="s">
        <v>13625</v>
      </c>
      <c r="P506" s="9">
        <v>0</v>
      </c>
      <c r="Q506" s="9">
        <v>0</v>
      </c>
      <c r="R506" s="2" t="s">
        <v>13277</v>
      </c>
    </row>
    <row r="507" spans="1:18" x14ac:dyDescent="0.25">
      <c r="A507" s="2" t="s">
        <v>2074</v>
      </c>
      <c r="B507" s="6">
        <v>46204</v>
      </c>
      <c r="C507" s="8">
        <v>46213</v>
      </c>
      <c r="D507" s="2" t="s">
        <v>136</v>
      </c>
      <c r="E507" s="2" t="s">
        <v>12593</v>
      </c>
      <c r="F507" s="2" t="s">
        <v>12428</v>
      </c>
      <c r="G507" s="2" t="s">
        <v>13626</v>
      </c>
      <c r="H507" s="2" t="s">
        <v>76</v>
      </c>
      <c r="I507" s="9">
        <v>83535645.161290005</v>
      </c>
      <c r="J507" s="7">
        <v>6.2000000000000003E-5</v>
      </c>
      <c r="K507" s="9">
        <v>5179.21</v>
      </c>
      <c r="L507" s="14">
        <v>0</v>
      </c>
      <c r="M507" s="2" t="s">
        <v>71</v>
      </c>
      <c r="N507" s="2" t="s">
        <v>13272</v>
      </c>
      <c r="O507" s="2" t="s">
        <v>13627</v>
      </c>
      <c r="P507" s="9">
        <v>0</v>
      </c>
      <c r="Q507" s="9">
        <v>0</v>
      </c>
      <c r="R507" s="2" t="s">
        <v>13280</v>
      </c>
    </row>
    <row r="508" spans="1:18" x14ac:dyDescent="0.25">
      <c r="A508" s="2" t="s">
        <v>2077</v>
      </c>
      <c r="B508" s="6">
        <v>46204</v>
      </c>
      <c r="C508" s="8">
        <v>46214</v>
      </c>
      <c r="D508" s="2" t="s">
        <v>136</v>
      </c>
      <c r="E508" s="2" t="s">
        <v>12593</v>
      </c>
      <c r="F508" s="2" t="s">
        <v>12429</v>
      </c>
      <c r="G508" s="2" t="s">
        <v>13628</v>
      </c>
      <c r="H508" s="2" t="s">
        <v>70</v>
      </c>
      <c r="I508" s="9">
        <v>8134.072948</v>
      </c>
      <c r="J508" s="7">
        <v>0.65800000000000003</v>
      </c>
      <c r="K508" s="9">
        <v>5352.22</v>
      </c>
      <c r="L508" s="14">
        <v>0</v>
      </c>
      <c r="M508" s="2" t="s">
        <v>71</v>
      </c>
      <c r="N508" s="2" t="s">
        <v>13272</v>
      </c>
      <c r="O508" s="2" t="s">
        <v>13629</v>
      </c>
      <c r="P508" s="9">
        <v>0</v>
      </c>
      <c r="Q508" s="9">
        <v>0</v>
      </c>
      <c r="R508" s="2" t="s">
        <v>13283</v>
      </c>
    </row>
    <row r="509" spans="1:18" x14ac:dyDescent="0.25">
      <c r="A509" s="2" t="s">
        <v>2080</v>
      </c>
      <c r="B509" s="6">
        <v>46204</v>
      </c>
      <c r="C509" s="8">
        <v>46215</v>
      </c>
      <c r="D509" s="2" t="s">
        <v>136</v>
      </c>
      <c r="E509" s="2" t="s">
        <v>12593</v>
      </c>
      <c r="F509" s="2" t="s">
        <v>12430</v>
      </c>
      <c r="G509" s="2" t="s">
        <v>13630</v>
      </c>
      <c r="H509" s="2" t="s">
        <v>39</v>
      </c>
      <c r="I509" s="9">
        <v>5525.23</v>
      </c>
      <c r="J509" s="7">
        <v>1</v>
      </c>
      <c r="K509" s="9">
        <v>5525.23</v>
      </c>
      <c r="L509" s="14">
        <v>0</v>
      </c>
      <c r="M509" s="2" t="s">
        <v>71</v>
      </c>
      <c r="N509" s="2" t="s">
        <v>13272</v>
      </c>
      <c r="O509" s="2" t="s">
        <v>13631</v>
      </c>
      <c r="P509" s="9">
        <v>0</v>
      </c>
      <c r="Q509" s="9">
        <v>0</v>
      </c>
      <c r="R509" s="2" t="s">
        <v>13286</v>
      </c>
    </row>
    <row r="510" spans="1:18" x14ac:dyDescent="0.25">
      <c r="A510" s="2" t="s">
        <v>2085</v>
      </c>
      <c r="B510" s="6">
        <v>46204</v>
      </c>
      <c r="C510" s="8">
        <v>46216</v>
      </c>
      <c r="D510" s="2" t="s">
        <v>136</v>
      </c>
      <c r="E510" s="2" t="s">
        <v>12593</v>
      </c>
      <c r="F510" s="2" t="s">
        <v>12431</v>
      </c>
      <c r="G510" s="2" t="s">
        <v>13632</v>
      </c>
      <c r="H510" s="2" t="s">
        <v>76</v>
      </c>
      <c r="I510" s="9">
        <v>91907096.774194002</v>
      </c>
      <c r="J510" s="7">
        <v>6.2000000000000003E-5</v>
      </c>
      <c r="K510" s="9">
        <v>5698.24</v>
      </c>
      <c r="L510" s="14">
        <v>0</v>
      </c>
      <c r="M510" s="2" t="s">
        <v>71</v>
      </c>
      <c r="N510" s="2" t="s">
        <v>13272</v>
      </c>
      <c r="O510" s="2" t="s">
        <v>13633</v>
      </c>
      <c r="P510" s="9">
        <v>0</v>
      </c>
      <c r="Q510" s="9">
        <v>0</v>
      </c>
      <c r="R510" s="2" t="s">
        <v>13289</v>
      </c>
    </row>
    <row r="511" spans="1:18" x14ac:dyDescent="0.25">
      <c r="A511" s="2" t="s">
        <v>2088</v>
      </c>
      <c r="B511" s="6">
        <v>46204</v>
      </c>
      <c r="C511" s="8">
        <v>46217</v>
      </c>
      <c r="D511" s="2" t="s">
        <v>136</v>
      </c>
      <c r="E511" s="2" t="s">
        <v>12593</v>
      </c>
      <c r="F511" s="2" t="s">
        <v>12432</v>
      </c>
      <c r="G511" s="2" t="s">
        <v>13634</v>
      </c>
      <c r="H511" s="2" t="s">
        <v>70</v>
      </c>
      <c r="I511" s="9">
        <v>8922.8723399999999</v>
      </c>
      <c r="J511" s="7">
        <v>0.65800000000000003</v>
      </c>
      <c r="K511" s="9">
        <v>5871.25</v>
      </c>
      <c r="L511" s="14">
        <v>0</v>
      </c>
      <c r="M511" s="2" t="s">
        <v>71</v>
      </c>
      <c r="N511" s="2" t="s">
        <v>13272</v>
      </c>
      <c r="O511" s="2" t="s">
        <v>13635</v>
      </c>
      <c r="P511" s="9">
        <v>0</v>
      </c>
      <c r="Q511" s="9">
        <v>0</v>
      </c>
      <c r="R511" s="2" t="s">
        <v>13292</v>
      </c>
    </row>
    <row r="512" spans="1:18" x14ac:dyDescent="0.25">
      <c r="A512" s="2" t="s">
        <v>2091</v>
      </c>
      <c r="B512" s="6">
        <v>46204</v>
      </c>
      <c r="C512" s="8">
        <v>46218</v>
      </c>
      <c r="D512" s="2" t="s">
        <v>136</v>
      </c>
      <c r="E512" s="2" t="s">
        <v>12593</v>
      </c>
      <c r="F512" s="2" t="s">
        <v>12423</v>
      </c>
      <c r="G512" s="2" t="s">
        <v>13636</v>
      </c>
      <c r="H512" s="2" t="s">
        <v>39</v>
      </c>
      <c r="I512" s="9">
        <v>6044.26</v>
      </c>
      <c r="J512" s="7">
        <v>1</v>
      </c>
      <c r="K512" s="9">
        <v>6044.26</v>
      </c>
      <c r="L512" s="14">
        <v>0</v>
      </c>
      <c r="M512" s="2" t="s">
        <v>71</v>
      </c>
      <c r="N512" s="2" t="s">
        <v>13272</v>
      </c>
      <c r="O512" s="2" t="s">
        <v>13637</v>
      </c>
      <c r="P512" s="9">
        <v>0</v>
      </c>
      <c r="Q512" s="9">
        <v>0</v>
      </c>
      <c r="R512" s="2" t="s">
        <v>13295</v>
      </c>
    </row>
    <row r="513" spans="1:18" x14ac:dyDescent="0.25">
      <c r="A513" s="2" t="s">
        <v>2094</v>
      </c>
      <c r="B513" s="6">
        <v>46204</v>
      </c>
      <c r="C513" s="8">
        <v>46219</v>
      </c>
      <c r="D513" s="2" t="s">
        <v>136</v>
      </c>
      <c r="E513" s="2" t="s">
        <v>12593</v>
      </c>
      <c r="F513" s="2" t="s">
        <v>12424</v>
      </c>
      <c r="G513" s="2" t="s">
        <v>13638</v>
      </c>
      <c r="H513" s="2" t="s">
        <v>76</v>
      </c>
      <c r="I513" s="9">
        <v>100278548.387097</v>
      </c>
      <c r="J513" s="7">
        <v>6.2000000000000003E-5</v>
      </c>
      <c r="K513" s="9">
        <v>6217.27</v>
      </c>
      <c r="L513" s="14">
        <v>0</v>
      </c>
      <c r="M513" s="2" t="s">
        <v>71</v>
      </c>
      <c r="N513" s="2" t="s">
        <v>13272</v>
      </c>
      <c r="O513" s="2" t="s">
        <v>13639</v>
      </c>
      <c r="P513" s="9">
        <v>0</v>
      </c>
      <c r="Q513" s="9">
        <v>0</v>
      </c>
      <c r="R513" s="2" t="s">
        <v>13298</v>
      </c>
    </row>
    <row r="514" spans="1:18" x14ac:dyDescent="0.25">
      <c r="A514" s="2" t="s">
        <v>2097</v>
      </c>
      <c r="B514" s="6">
        <v>46204</v>
      </c>
      <c r="C514" s="8">
        <v>46220</v>
      </c>
      <c r="D514" s="2" t="s">
        <v>136</v>
      </c>
      <c r="E514" s="2" t="s">
        <v>12593</v>
      </c>
      <c r="F514" s="2" t="s">
        <v>12425</v>
      </c>
      <c r="G514" s="2" t="s">
        <v>13640</v>
      </c>
      <c r="H514" s="2" t="s">
        <v>70</v>
      </c>
      <c r="I514" s="9">
        <v>9711.6717329999992</v>
      </c>
      <c r="J514" s="7">
        <v>0.65800000000000003</v>
      </c>
      <c r="K514" s="9">
        <v>6390.28</v>
      </c>
      <c r="L514" s="14">
        <v>0</v>
      </c>
      <c r="M514" s="2" t="s">
        <v>71</v>
      </c>
      <c r="N514" s="2" t="s">
        <v>13272</v>
      </c>
      <c r="O514" s="2" t="s">
        <v>13641</v>
      </c>
      <c r="P514" s="9">
        <v>0</v>
      </c>
      <c r="Q514" s="9">
        <v>0</v>
      </c>
      <c r="R514" s="2" t="s">
        <v>13301</v>
      </c>
    </row>
    <row r="515" spans="1:18" x14ac:dyDescent="0.25">
      <c r="A515" s="2" t="s">
        <v>2100</v>
      </c>
      <c r="B515" s="6">
        <v>46204</v>
      </c>
      <c r="C515" s="8">
        <v>46221</v>
      </c>
      <c r="D515" s="2" t="s">
        <v>136</v>
      </c>
      <c r="E515" s="2" t="s">
        <v>12593</v>
      </c>
      <c r="F515" s="2" t="s">
        <v>12426</v>
      </c>
      <c r="G515" s="2" t="s">
        <v>13642</v>
      </c>
      <c r="H515" s="2" t="s">
        <v>39</v>
      </c>
      <c r="I515" s="9">
        <v>6563.29</v>
      </c>
      <c r="J515" s="7">
        <v>1</v>
      </c>
      <c r="K515" s="9">
        <v>6563.29</v>
      </c>
      <c r="L515" s="14">
        <v>0</v>
      </c>
      <c r="M515" s="2" t="s">
        <v>71</v>
      </c>
      <c r="N515" s="2" t="s">
        <v>13272</v>
      </c>
      <c r="O515" s="2" t="s">
        <v>13643</v>
      </c>
      <c r="P515" s="9">
        <v>0</v>
      </c>
      <c r="Q515" s="9">
        <v>0</v>
      </c>
      <c r="R515" s="2" t="s">
        <v>13274</v>
      </c>
    </row>
    <row r="516" spans="1:18" x14ac:dyDescent="0.25">
      <c r="A516" s="2" t="s">
        <v>2105</v>
      </c>
      <c r="B516" s="6">
        <v>46204</v>
      </c>
      <c r="C516" s="8">
        <v>46222</v>
      </c>
      <c r="D516" s="2" t="s">
        <v>136</v>
      </c>
      <c r="E516" s="2" t="s">
        <v>12593</v>
      </c>
      <c r="F516" s="2" t="s">
        <v>12427</v>
      </c>
      <c r="G516" s="2" t="s">
        <v>13644</v>
      </c>
      <c r="H516" s="2" t="s">
        <v>76</v>
      </c>
      <c r="I516" s="9">
        <v>108650000</v>
      </c>
      <c r="J516" s="7">
        <v>6.2000000000000003E-5</v>
      </c>
      <c r="K516" s="9">
        <v>6736.3</v>
      </c>
      <c r="L516" s="14">
        <v>0</v>
      </c>
      <c r="M516" s="2" t="s">
        <v>71</v>
      </c>
      <c r="N516" s="2" t="s">
        <v>13272</v>
      </c>
      <c r="O516" s="2" t="s">
        <v>13645</v>
      </c>
      <c r="P516" s="9">
        <v>0</v>
      </c>
      <c r="Q516" s="9">
        <v>0</v>
      </c>
      <c r="R516" s="2" t="s">
        <v>13277</v>
      </c>
    </row>
    <row r="517" spans="1:18" x14ac:dyDescent="0.25">
      <c r="A517" s="2" t="s">
        <v>2110</v>
      </c>
      <c r="B517" s="6">
        <v>46204</v>
      </c>
      <c r="C517" s="8">
        <v>46223</v>
      </c>
      <c r="D517" s="2" t="s">
        <v>136</v>
      </c>
      <c r="E517" s="2" t="s">
        <v>12593</v>
      </c>
      <c r="F517" s="2" t="s">
        <v>12428</v>
      </c>
      <c r="G517" s="2" t="s">
        <v>13646</v>
      </c>
      <c r="H517" s="2" t="s">
        <v>70</v>
      </c>
      <c r="I517" s="9">
        <v>10500.471125</v>
      </c>
      <c r="J517" s="7">
        <v>0.65800000000000003</v>
      </c>
      <c r="K517" s="9">
        <v>6909.31</v>
      </c>
      <c r="L517" s="14">
        <v>0</v>
      </c>
      <c r="M517" s="2" t="s">
        <v>71</v>
      </c>
      <c r="N517" s="2" t="s">
        <v>13272</v>
      </c>
      <c r="O517" s="2" t="s">
        <v>13647</v>
      </c>
      <c r="P517" s="9">
        <v>0</v>
      </c>
      <c r="Q517" s="9">
        <v>0</v>
      </c>
      <c r="R517" s="2" t="s">
        <v>13280</v>
      </c>
    </row>
    <row r="518" spans="1:18" x14ac:dyDescent="0.25">
      <c r="A518" s="2" t="s">
        <v>2113</v>
      </c>
      <c r="B518" s="6">
        <v>46204</v>
      </c>
      <c r="C518" s="8">
        <v>46224</v>
      </c>
      <c r="D518" s="2" t="s">
        <v>136</v>
      </c>
      <c r="E518" s="2" t="s">
        <v>12593</v>
      </c>
      <c r="F518" s="2" t="s">
        <v>12429</v>
      </c>
      <c r="G518" s="2" t="s">
        <v>13648</v>
      </c>
      <c r="H518" s="2" t="s">
        <v>39</v>
      </c>
      <c r="I518" s="9">
        <v>7082.32</v>
      </c>
      <c r="J518" s="7">
        <v>1</v>
      </c>
      <c r="K518" s="9">
        <v>7082.32</v>
      </c>
      <c r="L518" s="14">
        <v>0</v>
      </c>
      <c r="M518" s="2" t="s">
        <v>71</v>
      </c>
      <c r="N518" s="2" t="s">
        <v>13272</v>
      </c>
      <c r="O518" s="2" t="s">
        <v>13649</v>
      </c>
      <c r="P518" s="9">
        <v>0</v>
      </c>
      <c r="Q518" s="9">
        <v>0</v>
      </c>
      <c r="R518" s="2" t="s">
        <v>13283</v>
      </c>
    </row>
    <row r="519" spans="1:18" x14ac:dyDescent="0.25">
      <c r="A519" s="2" t="s">
        <v>2116</v>
      </c>
      <c r="B519" s="6">
        <v>46204</v>
      </c>
      <c r="C519" s="8">
        <v>46225</v>
      </c>
      <c r="D519" s="2" t="s">
        <v>136</v>
      </c>
      <c r="E519" s="2" t="s">
        <v>12593</v>
      </c>
      <c r="F519" s="2" t="s">
        <v>12430</v>
      </c>
      <c r="G519" s="2" t="s">
        <v>13650</v>
      </c>
      <c r="H519" s="2" t="s">
        <v>76</v>
      </c>
      <c r="I519" s="9">
        <v>117021451.612903</v>
      </c>
      <c r="J519" s="7">
        <v>6.2000000000000003E-5</v>
      </c>
      <c r="K519" s="9">
        <v>7255.33</v>
      </c>
      <c r="L519" s="14">
        <v>0</v>
      </c>
      <c r="M519" s="2" t="s">
        <v>71</v>
      </c>
      <c r="N519" s="2" t="s">
        <v>13272</v>
      </c>
      <c r="O519" s="2" t="s">
        <v>13651</v>
      </c>
      <c r="P519" s="9">
        <v>0</v>
      </c>
      <c r="Q519" s="9">
        <v>0</v>
      </c>
      <c r="R519" s="2" t="s">
        <v>13286</v>
      </c>
    </row>
    <row r="520" spans="1:18" x14ac:dyDescent="0.25">
      <c r="A520" s="2" t="s">
        <v>2121</v>
      </c>
      <c r="B520" s="6">
        <v>46204</v>
      </c>
      <c r="C520" s="8">
        <v>46226</v>
      </c>
      <c r="D520" s="2" t="s">
        <v>136</v>
      </c>
      <c r="E520" s="2" t="s">
        <v>12593</v>
      </c>
      <c r="F520" s="2" t="s">
        <v>12431</v>
      </c>
      <c r="G520" s="2" t="s">
        <v>13652</v>
      </c>
      <c r="H520" s="2" t="s">
        <v>70</v>
      </c>
      <c r="I520" s="9">
        <v>11289.270517000001</v>
      </c>
      <c r="J520" s="7">
        <v>0.65800000000000003</v>
      </c>
      <c r="K520" s="9">
        <v>7428.34</v>
      </c>
      <c r="L520" s="14">
        <v>0</v>
      </c>
      <c r="M520" s="2" t="s">
        <v>71</v>
      </c>
      <c r="N520" s="2" t="s">
        <v>13272</v>
      </c>
      <c r="O520" s="2" t="s">
        <v>13653</v>
      </c>
      <c r="P520" s="9">
        <v>0</v>
      </c>
      <c r="Q520" s="9">
        <v>0</v>
      </c>
      <c r="R520" s="2" t="s">
        <v>13289</v>
      </c>
    </row>
    <row r="521" spans="1:18" x14ac:dyDescent="0.25">
      <c r="A521" s="2" t="s">
        <v>2124</v>
      </c>
      <c r="B521" s="6">
        <v>46204</v>
      </c>
      <c r="C521" s="8">
        <v>46227</v>
      </c>
      <c r="D521" s="2" t="s">
        <v>136</v>
      </c>
      <c r="E521" s="2" t="s">
        <v>12593</v>
      </c>
      <c r="F521" s="2" t="s">
        <v>12432</v>
      </c>
      <c r="G521" s="2" t="s">
        <v>13654</v>
      </c>
      <c r="H521" s="2" t="s">
        <v>39</v>
      </c>
      <c r="I521" s="9">
        <v>7601.35</v>
      </c>
      <c r="J521" s="7">
        <v>1</v>
      </c>
      <c r="K521" s="9">
        <v>7601.35</v>
      </c>
      <c r="L521" s="14">
        <v>0</v>
      </c>
      <c r="M521" s="2" t="s">
        <v>71</v>
      </c>
      <c r="N521" s="2" t="s">
        <v>13272</v>
      </c>
      <c r="O521" s="2" t="s">
        <v>13655</v>
      </c>
      <c r="P521" s="9">
        <v>0</v>
      </c>
      <c r="Q521" s="9">
        <v>0</v>
      </c>
      <c r="R521" s="2" t="s">
        <v>13292</v>
      </c>
    </row>
    <row r="522" spans="1:18" x14ac:dyDescent="0.25">
      <c r="A522" s="2" t="s">
        <v>2127</v>
      </c>
      <c r="B522" s="6">
        <v>46204</v>
      </c>
      <c r="C522" s="8">
        <v>46228</v>
      </c>
      <c r="D522" s="2" t="s">
        <v>136</v>
      </c>
      <c r="E522" s="2" t="s">
        <v>12593</v>
      </c>
      <c r="F522" s="2" t="s">
        <v>12423</v>
      </c>
      <c r="G522" s="2" t="s">
        <v>13656</v>
      </c>
      <c r="H522" s="2" t="s">
        <v>76</v>
      </c>
      <c r="I522" s="9">
        <v>125392903.225806</v>
      </c>
      <c r="J522" s="7">
        <v>6.2000000000000003E-5</v>
      </c>
      <c r="K522" s="9">
        <v>7774.36</v>
      </c>
      <c r="L522" s="14">
        <v>0</v>
      </c>
      <c r="M522" s="2" t="s">
        <v>71</v>
      </c>
      <c r="N522" s="2" t="s">
        <v>13272</v>
      </c>
      <c r="O522" s="2" t="s">
        <v>13657</v>
      </c>
      <c r="P522" s="9">
        <v>0</v>
      </c>
      <c r="Q522" s="9">
        <v>0</v>
      </c>
      <c r="R522" s="2" t="s">
        <v>13295</v>
      </c>
    </row>
    <row r="523" spans="1:18" x14ac:dyDescent="0.25">
      <c r="A523" s="2" t="s">
        <v>2130</v>
      </c>
      <c r="B523" s="6">
        <v>46204</v>
      </c>
      <c r="C523" s="8">
        <v>46229</v>
      </c>
      <c r="D523" s="2" t="s">
        <v>136</v>
      </c>
      <c r="E523" s="2" t="s">
        <v>12593</v>
      </c>
      <c r="F523" s="2" t="s">
        <v>12424</v>
      </c>
      <c r="G523" s="2" t="s">
        <v>13658</v>
      </c>
      <c r="H523" s="2" t="s">
        <v>70</v>
      </c>
      <c r="I523" s="9">
        <v>12078.069909</v>
      </c>
      <c r="J523" s="7">
        <v>0.65800000000000003</v>
      </c>
      <c r="K523" s="9">
        <v>7947.37</v>
      </c>
      <c r="L523" s="14">
        <v>0</v>
      </c>
      <c r="M523" s="2" t="s">
        <v>71</v>
      </c>
      <c r="N523" s="2" t="s">
        <v>13272</v>
      </c>
      <c r="O523" s="2" t="s">
        <v>13659</v>
      </c>
      <c r="P523" s="9">
        <v>0</v>
      </c>
      <c r="Q523" s="9">
        <v>0</v>
      </c>
      <c r="R523" s="2" t="s">
        <v>13298</v>
      </c>
    </row>
    <row r="524" spans="1:18" x14ac:dyDescent="0.25">
      <c r="A524" s="2" t="s">
        <v>2133</v>
      </c>
      <c r="B524" s="6">
        <v>46204</v>
      </c>
      <c r="C524" s="8">
        <v>46230</v>
      </c>
      <c r="D524" s="2" t="s">
        <v>136</v>
      </c>
      <c r="E524" s="2" t="s">
        <v>12593</v>
      </c>
      <c r="F524" s="2" t="s">
        <v>12425</v>
      </c>
      <c r="G524" s="2" t="s">
        <v>13660</v>
      </c>
      <c r="H524" s="2" t="s">
        <v>39</v>
      </c>
      <c r="I524" s="9">
        <v>8120.38</v>
      </c>
      <c r="J524" s="7">
        <v>1</v>
      </c>
      <c r="K524" s="9">
        <v>8120.38</v>
      </c>
      <c r="L524" s="14">
        <v>0</v>
      </c>
      <c r="M524" s="2" t="s">
        <v>71</v>
      </c>
      <c r="N524" s="2" t="s">
        <v>13272</v>
      </c>
      <c r="O524" s="2" t="s">
        <v>13661</v>
      </c>
      <c r="P524" s="9">
        <v>0</v>
      </c>
      <c r="Q524" s="9">
        <v>0</v>
      </c>
      <c r="R524" s="2" t="s">
        <v>13301</v>
      </c>
    </row>
    <row r="525" spans="1:18" x14ac:dyDescent="0.25">
      <c r="A525" s="2" t="s">
        <v>2136</v>
      </c>
      <c r="B525" s="6">
        <v>46204</v>
      </c>
      <c r="C525" s="8">
        <v>46231</v>
      </c>
      <c r="D525" s="2" t="s">
        <v>136</v>
      </c>
      <c r="E525" s="2" t="s">
        <v>12593</v>
      </c>
      <c r="F525" s="2" t="s">
        <v>12426</v>
      </c>
      <c r="G525" s="2" t="s">
        <v>13662</v>
      </c>
      <c r="H525" s="2" t="s">
        <v>76</v>
      </c>
      <c r="I525" s="9">
        <v>133764354.83871</v>
      </c>
      <c r="J525" s="7">
        <v>6.2000000000000003E-5</v>
      </c>
      <c r="K525" s="9">
        <v>8293.39</v>
      </c>
      <c r="L525" s="14">
        <v>0</v>
      </c>
      <c r="M525" s="2" t="s">
        <v>71</v>
      </c>
      <c r="N525" s="2" t="s">
        <v>13272</v>
      </c>
      <c r="O525" s="2" t="s">
        <v>13663</v>
      </c>
      <c r="P525" s="9">
        <v>0</v>
      </c>
      <c r="Q525" s="9">
        <v>0</v>
      </c>
      <c r="R525" s="2" t="s">
        <v>13274</v>
      </c>
    </row>
    <row r="526" spans="1:18" x14ac:dyDescent="0.25">
      <c r="A526" s="2" t="s">
        <v>2141</v>
      </c>
      <c r="B526" s="6">
        <v>46204</v>
      </c>
      <c r="C526" s="8">
        <v>46232</v>
      </c>
      <c r="D526" s="2" t="s">
        <v>136</v>
      </c>
      <c r="E526" s="2" t="s">
        <v>12593</v>
      </c>
      <c r="F526" s="2" t="s">
        <v>12427</v>
      </c>
      <c r="G526" s="2" t="s">
        <v>13664</v>
      </c>
      <c r="H526" s="2" t="s">
        <v>70</v>
      </c>
      <c r="I526" s="9">
        <v>12866.869301000001</v>
      </c>
      <c r="J526" s="7">
        <v>0.65800000000000003</v>
      </c>
      <c r="K526" s="9">
        <v>8466.4</v>
      </c>
      <c r="L526" s="14">
        <v>0</v>
      </c>
      <c r="M526" s="2" t="s">
        <v>71</v>
      </c>
      <c r="N526" s="2" t="s">
        <v>13272</v>
      </c>
      <c r="O526" s="2" t="s">
        <v>13665</v>
      </c>
      <c r="P526" s="9">
        <v>0</v>
      </c>
      <c r="Q526" s="9">
        <v>0</v>
      </c>
      <c r="R526" s="2" t="s">
        <v>13277</v>
      </c>
    </row>
    <row r="527" spans="1:18" x14ac:dyDescent="0.25">
      <c r="A527" s="2" t="s">
        <v>2146</v>
      </c>
      <c r="B527" s="6">
        <v>46204</v>
      </c>
      <c r="C527" s="8">
        <v>46233</v>
      </c>
      <c r="D527" s="2" t="s">
        <v>136</v>
      </c>
      <c r="E527" s="2" t="s">
        <v>12593</v>
      </c>
      <c r="F527" s="2" t="s">
        <v>12428</v>
      </c>
      <c r="G527" s="2" t="s">
        <v>13666</v>
      </c>
      <c r="H527" s="2" t="s">
        <v>39</v>
      </c>
      <c r="I527" s="9">
        <v>8639.41</v>
      </c>
      <c r="J527" s="7">
        <v>1</v>
      </c>
      <c r="K527" s="9">
        <v>8639.41</v>
      </c>
      <c r="L527" s="14">
        <v>0</v>
      </c>
      <c r="M527" s="2" t="s">
        <v>71</v>
      </c>
      <c r="N527" s="2" t="s">
        <v>13272</v>
      </c>
      <c r="O527" s="2" t="s">
        <v>13667</v>
      </c>
      <c r="P527" s="9">
        <v>0</v>
      </c>
      <c r="Q527" s="9">
        <v>0</v>
      </c>
      <c r="R527" s="2" t="s">
        <v>13280</v>
      </c>
    </row>
    <row r="528" spans="1:18" x14ac:dyDescent="0.25">
      <c r="A528" s="2" t="s">
        <v>2149</v>
      </c>
      <c r="B528" s="6">
        <v>46204</v>
      </c>
      <c r="C528" s="8">
        <v>46234</v>
      </c>
      <c r="D528" s="2" t="s">
        <v>136</v>
      </c>
      <c r="E528" s="2" t="s">
        <v>12593</v>
      </c>
      <c r="F528" s="2" t="s">
        <v>12429</v>
      </c>
      <c r="G528" s="2" t="s">
        <v>13668</v>
      </c>
      <c r="H528" s="2" t="s">
        <v>76</v>
      </c>
      <c r="I528" s="9">
        <v>142135806.45161301</v>
      </c>
      <c r="J528" s="7">
        <v>6.2000000000000003E-5</v>
      </c>
      <c r="K528" s="9">
        <v>8812.42</v>
      </c>
      <c r="L528" s="14">
        <v>0</v>
      </c>
      <c r="M528" s="2" t="s">
        <v>71</v>
      </c>
      <c r="N528" s="2" t="s">
        <v>13272</v>
      </c>
      <c r="O528" s="2" t="s">
        <v>13669</v>
      </c>
      <c r="P528" s="9">
        <v>0</v>
      </c>
      <c r="Q528" s="9">
        <v>0</v>
      </c>
      <c r="R528" s="2" t="s">
        <v>13283</v>
      </c>
    </row>
    <row r="529" spans="1:18" x14ac:dyDescent="0.25">
      <c r="A529" s="2" t="s">
        <v>2152</v>
      </c>
      <c r="B529" s="6">
        <v>46204</v>
      </c>
      <c r="C529" s="8">
        <v>46204</v>
      </c>
      <c r="D529" s="2" t="s">
        <v>136</v>
      </c>
      <c r="E529" s="2" t="s">
        <v>12593</v>
      </c>
      <c r="F529" s="2" t="s">
        <v>12430</v>
      </c>
      <c r="G529" s="2" t="s">
        <v>13670</v>
      </c>
      <c r="H529" s="2" t="s">
        <v>70</v>
      </c>
      <c r="I529" s="9">
        <v>13655.668693</v>
      </c>
      <c r="J529" s="7">
        <v>0.65800000000000003</v>
      </c>
      <c r="K529" s="9">
        <v>8985.43</v>
      </c>
      <c r="L529" s="14">
        <v>0</v>
      </c>
      <c r="M529" s="2" t="s">
        <v>71</v>
      </c>
      <c r="N529" s="2" t="s">
        <v>13272</v>
      </c>
      <c r="O529" s="2" t="s">
        <v>13671</v>
      </c>
      <c r="P529" s="9">
        <v>0</v>
      </c>
      <c r="Q529" s="9">
        <v>0</v>
      </c>
      <c r="R529" s="2" t="s">
        <v>13286</v>
      </c>
    </row>
    <row r="530" spans="1:18" x14ac:dyDescent="0.25">
      <c r="A530" s="2" t="s">
        <v>2157</v>
      </c>
      <c r="B530" s="6">
        <v>46204</v>
      </c>
      <c r="C530" s="8">
        <v>46205</v>
      </c>
      <c r="D530" s="2" t="s">
        <v>136</v>
      </c>
      <c r="E530" s="2" t="s">
        <v>12593</v>
      </c>
      <c r="F530" s="2" t="s">
        <v>12431</v>
      </c>
      <c r="G530" s="2" t="s">
        <v>13672</v>
      </c>
      <c r="H530" s="2" t="s">
        <v>39</v>
      </c>
      <c r="I530" s="9">
        <v>9158.44</v>
      </c>
      <c r="J530" s="7">
        <v>1</v>
      </c>
      <c r="K530" s="9">
        <v>9158.44</v>
      </c>
      <c r="L530" s="14">
        <v>0</v>
      </c>
      <c r="M530" s="2" t="s">
        <v>71</v>
      </c>
      <c r="N530" s="2" t="s">
        <v>13272</v>
      </c>
      <c r="O530" s="2" t="s">
        <v>13673</v>
      </c>
      <c r="P530" s="9">
        <v>0</v>
      </c>
      <c r="Q530" s="9">
        <v>0</v>
      </c>
      <c r="R530" s="2" t="s">
        <v>13289</v>
      </c>
    </row>
    <row r="531" spans="1:18" x14ac:dyDescent="0.25">
      <c r="A531" s="2" t="s">
        <v>2160</v>
      </c>
      <c r="B531" s="6">
        <v>46204</v>
      </c>
      <c r="C531" s="8">
        <v>46206</v>
      </c>
      <c r="D531" s="2" t="s">
        <v>136</v>
      </c>
      <c r="E531" s="2" t="s">
        <v>12593</v>
      </c>
      <c r="F531" s="2" t="s">
        <v>12432</v>
      </c>
      <c r="G531" s="2" t="s">
        <v>13674</v>
      </c>
      <c r="H531" s="2" t="s">
        <v>76</v>
      </c>
      <c r="I531" s="9">
        <v>150507258.06451601</v>
      </c>
      <c r="J531" s="7">
        <v>6.2000000000000003E-5</v>
      </c>
      <c r="K531" s="9">
        <v>9331.4500000000007</v>
      </c>
      <c r="L531" s="14">
        <v>0</v>
      </c>
      <c r="M531" s="2" t="s">
        <v>71</v>
      </c>
      <c r="N531" s="2" t="s">
        <v>13272</v>
      </c>
      <c r="O531" s="2" t="s">
        <v>13675</v>
      </c>
      <c r="P531" s="9">
        <v>0</v>
      </c>
      <c r="Q531" s="9">
        <v>0</v>
      </c>
      <c r="R531" s="2" t="s">
        <v>13292</v>
      </c>
    </row>
    <row r="532" spans="1:18" x14ac:dyDescent="0.25">
      <c r="A532" s="2" t="s">
        <v>2163</v>
      </c>
      <c r="B532" s="6">
        <v>46204</v>
      </c>
      <c r="C532" s="8">
        <v>46207</v>
      </c>
      <c r="D532" s="2" t="s">
        <v>136</v>
      </c>
      <c r="E532" s="2" t="s">
        <v>12593</v>
      </c>
      <c r="F532" s="2" t="s">
        <v>12423</v>
      </c>
      <c r="G532" s="2" t="s">
        <v>13676</v>
      </c>
      <c r="H532" s="2" t="s">
        <v>70</v>
      </c>
      <c r="I532" s="9">
        <v>14444.468085</v>
      </c>
      <c r="J532" s="7">
        <v>0.65800000000000003</v>
      </c>
      <c r="K532" s="9">
        <v>9504.4599999999991</v>
      </c>
      <c r="L532" s="14">
        <v>0</v>
      </c>
      <c r="M532" s="2" t="s">
        <v>71</v>
      </c>
      <c r="N532" s="2" t="s">
        <v>13272</v>
      </c>
      <c r="O532" s="2" t="s">
        <v>13677</v>
      </c>
      <c r="P532" s="9">
        <v>0</v>
      </c>
      <c r="Q532" s="9">
        <v>0</v>
      </c>
      <c r="R532" s="2" t="s">
        <v>13295</v>
      </c>
    </row>
    <row r="533" spans="1:18" x14ac:dyDescent="0.25">
      <c r="A533" s="2" t="s">
        <v>2166</v>
      </c>
      <c r="B533" s="6">
        <v>46204</v>
      </c>
      <c r="C533" s="8">
        <v>46208</v>
      </c>
      <c r="D533" s="2" t="s">
        <v>136</v>
      </c>
      <c r="E533" s="2" t="s">
        <v>12593</v>
      </c>
      <c r="F533" s="2" t="s">
        <v>12424</v>
      </c>
      <c r="G533" s="2" t="s">
        <v>13678</v>
      </c>
      <c r="H533" s="2" t="s">
        <v>39</v>
      </c>
      <c r="I533" s="9">
        <v>9677.4699999999993</v>
      </c>
      <c r="J533" s="7">
        <v>1</v>
      </c>
      <c r="K533" s="9">
        <v>9677.4699999999993</v>
      </c>
      <c r="L533" s="14">
        <v>0</v>
      </c>
      <c r="M533" s="2" t="s">
        <v>71</v>
      </c>
      <c r="N533" s="2" t="s">
        <v>13272</v>
      </c>
      <c r="O533" s="2" t="s">
        <v>13679</v>
      </c>
      <c r="P533" s="9">
        <v>0</v>
      </c>
      <c r="Q533" s="9">
        <v>0</v>
      </c>
      <c r="R533" s="2" t="s">
        <v>13298</v>
      </c>
    </row>
    <row r="534" spans="1:18" x14ac:dyDescent="0.25">
      <c r="A534" s="2" t="s">
        <v>2169</v>
      </c>
      <c r="B534" s="6">
        <v>46204</v>
      </c>
      <c r="C534" s="8">
        <v>46209</v>
      </c>
      <c r="D534" s="2" t="s">
        <v>136</v>
      </c>
      <c r="E534" s="2" t="s">
        <v>12593</v>
      </c>
      <c r="F534" s="2" t="s">
        <v>12425</v>
      </c>
      <c r="G534" s="2" t="s">
        <v>13680</v>
      </c>
      <c r="H534" s="2" t="s">
        <v>76</v>
      </c>
      <c r="I534" s="9">
        <v>-158878709.67741901</v>
      </c>
      <c r="J534" s="7">
        <v>6.2000000000000003E-5</v>
      </c>
      <c r="K534" s="9">
        <v>-9850.48</v>
      </c>
      <c r="L534" s="14">
        <v>0</v>
      </c>
      <c r="M534" s="2" t="s">
        <v>71</v>
      </c>
      <c r="N534" s="2" t="s">
        <v>13272</v>
      </c>
      <c r="O534" s="2" t="s">
        <v>13681</v>
      </c>
      <c r="P534" s="9">
        <v>0</v>
      </c>
      <c r="Q534" s="9">
        <v>0</v>
      </c>
      <c r="R534" s="2" t="s">
        <v>13301</v>
      </c>
    </row>
    <row r="535" spans="1:18" x14ac:dyDescent="0.25">
      <c r="A535" s="2" t="s">
        <v>2172</v>
      </c>
      <c r="B535" s="6">
        <v>46204</v>
      </c>
      <c r="C535" s="8">
        <v>46210</v>
      </c>
      <c r="D535" s="2" t="s">
        <v>136</v>
      </c>
      <c r="E535" s="2" t="s">
        <v>12593</v>
      </c>
      <c r="F535" s="2" t="s">
        <v>12426</v>
      </c>
      <c r="G535" s="2" t="s">
        <v>13682</v>
      </c>
      <c r="H535" s="2" t="s">
        <v>70</v>
      </c>
      <c r="I535" s="9">
        <v>15233.267476999999</v>
      </c>
      <c r="J535" s="7">
        <v>0.65800000000000003</v>
      </c>
      <c r="K535" s="9">
        <v>10023.49</v>
      </c>
      <c r="L535" s="14">
        <v>0</v>
      </c>
      <c r="M535" s="2" t="s">
        <v>71</v>
      </c>
      <c r="N535" s="2" t="s">
        <v>13272</v>
      </c>
      <c r="O535" s="2" t="s">
        <v>13683</v>
      </c>
      <c r="P535" s="9">
        <v>0</v>
      </c>
      <c r="Q535" s="9">
        <v>0</v>
      </c>
      <c r="R535" s="2" t="s">
        <v>13274</v>
      </c>
    </row>
    <row r="536" spans="1:18" x14ac:dyDescent="0.25">
      <c r="A536" s="2" t="s">
        <v>2177</v>
      </c>
      <c r="B536" s="6">
        <v>46204</v>
      </c>
      <c r="C536" s="8">
        <v>46211</v>
      </c>
      <c r="D536" s="2" t="s">
        <v>136</v>
      </c>
      <c r="E536" s="2" t="s">
        <v>12593</v>
      </c>
      <c r="F536" s="2" t="s">
        <v>12427</v>
      </c>
      <c r="G536" s="2" t="s">
        <v>13684</v>
      </c>
      <c r="H536" s="2" t="s">
        <v>39</v>
      </c>
      <c r="I536" s="9">
        <v>10196.5</v>
      </c>
      <c r="J536" s="7">
        <v>1</v>
      </c>
      <c r="K536" s="9">
        <v>10196.5</v>
      </c>
      <c r="L536" s="14">
        <v>0</v>
      </c>
      <c r="M536" s="2" t="s">
        <v>71</v>
      </c>
      <c r="N536" s="2" t="s">
        <v>13272</v>
      </c>
      <c r="O536" s="2" t="s">
        <v>13685</v>
      </c>
      <c r="P536" s="9">
        <v>0</v>
      </c>
      <c r="Q536" s="9">
        <v>0</v>
      </c>
      <c r="R536" s="2" t="s">
        <v>13277</v>
      </c>
    </row>
    <row r="537" spans="1:18" x14ac:dyDescent="0.25">
      <c r="A537" s="2" t="s">
        <v>2182</v>
      </c>
      <c r="B537" s="6">
        <v>46204</v>
      </c>
      <c r="C537" s="8">
        <v>46212</v>
      </c>
      <c r="D537" s="2" t="s">
        <v>136</v>
      </c>
      <c r="E537" s="2" t="s">
        <v>12593</v>
      </c>
      <c r="F537" s="2" t="s">
        <v>12428</v>
      </c>
      <c r="G537" s="2" t="s">
        <v>13686</v>
      </c>
      <c r="H537" s="2" t="s">
        <v>76</v>
      </c>
      <c r="I537" s="9">
        <v>167250161.29032299</v>
      </c>
      <c r="J537" s="7">
        <v>6.2000000000000003E-5</v>
      </c>
      <c r="K537" s="9">
        <v>10369.51</v>
      </c>
      <c r="L537" s="14">
        <v>0</v>
      </c>
      <c r="M537" s="2" t="s">
        <v>71</v>
      </c>
      <c r="N537" s="2" t="s">
        <v>13272</v>
      </c>
      <c r="O537" s="2" t="s">
        <v>13687</v>
      </c>
      <c r="P537" s="9">
        <v>0</v>
      </c>
      <c r="Q537" s="9">
        <v>0</v>
      </c>
      <c r="R537" s="2" t="s">
        <v>13280</v>
      </c>
    </row>
    <row r="538" spans="1:18" x14ac:dyDescent="0.25">
      <c r="A538" s="2" t="s">
        <v>2185</v>
      </c>
      <c r="B538" s="6">
        <v>46204</v>
      </c>
      <c r="C538" s="8">
        <v>46213</v>
      </c>
      <c r="D538" s="2" t="s">
        <v>136</v>
      </c>
      <c r="E538" s="2" t="s">
        <v>12593</v>
      </c>
      <c r="F538" s="2" t="s">
        <v>12429</v>
      </c>
      <c r="G538" s="2" t="s">
        <v>13688</v>
      </c>
      <c r="H538" s="2" t="s">
        <v>70</v>
      </c>
      <c r="I538" s="9">
        <v>16022.066869</v>
      </c>
      <c r="J538" s="7">
        <v>0.65800000000000003</v>
      </c>
      <c r="K538" s="9">
        <v>10542.52</v>
      </c>
      <c r="L538" s="14">
        <v>0</v>
      </c>
      <c r="M538" s="2" t="s">
        <v>71</v>
      </c>
      <c r="N538" s="2" t="s">
        <v>13272</v>
      </c>
      <c r="O538" s="2" t="s">
        <v>13689</v>
      </c>
      <c r="P538" s="9">
        <v>0</v>
      </c>
      <c r="Q538" s="9">
        <v>0</v>
      </c>
      <c r="R538" s="2" t="s">
        <v>13283</v>
      </c>
    </row>
    <row r="539" spans="1:18" x14ac:dyDescent="0.25">
      <c r="A539" s="2" t="s">
        <v>2188</v>
      </c>
      <c r="B539" s="6">
        <v>46204</v>
      </c>
      <c r="C539" s="8">
        <v>46214</v>
      </c>
      <c r="D539" s="2" t="s">
        <v>136</v>
      </c>
      <c r="E539" s="2" t="s">
        <v>12593</v>
      </c>
      <c r="F539" s="2" t="s">
        <v>12430</v>
      </c>
      <c r="G539" s="2" t="s">
        <v>13690</v>
      </c>
      <c r="H539" s="2" t="s">
        <v>39</v>
      </c>
      <c r="I539" s="9">
        <v>10715.53</v>
      </c>
      <c r="J539" s="7">
        <v>1</v>
      </c>
      <c r="K539" s="9">
        <v>10715.53</v>
      </c>
      <c r="L539" s="14">
        <v>0</v>
      </c>
      <c r="M539" s="2" t="s">
        <v>71</v>
      </c>
      <c r="N539" s="2" t="s">
        <v>13272</v>
      </c>
      <c r="O539" s="2" t="s">
        <v>13691</v>
      </c>
      <c r="P539" s="9">
        <v>0</v>
      </c>
      <c r="Q539" s="9">
        <v>0</v>
      </c>
      <c r="R539" s="2" t="s">
        <v>13286</v>
      </c>
    </row>
    <row r="540" spans="1:18" x14ac:dyDescent="0.25">
      <c r="A540" s="2" t="s">
        <v>2193</v>
      </c>
      <c r="B540" s="6">
        <v>46204</v>
      </c>
      <c r="C540" s="8">
        <v>46215</v>
      </c>
      <c r="D540" s="2" t="s">
        <v>136</v>
      </c>
      <c r="E540" s="2" t="s">
        <v>12593</v>
      </c>
      <c r="F540" s="2" t="s">
        <v>12431</v>
      </c>
      <c r="G540" s="2" t="s">
        <v>13692</v>
      </c>
      <c r="H540" s="2" t="s">
        <v>76</v>
      </c>
      <c r="I540" s="9">
        <v>175621612.90322599</v>
      </c>
      <c r="J540" s="7">
        <v>6.2000000000000003E-5</v>
      </c>
      <c r="K540" s="9">
        <v>10888.54</v>
      </c>
      <c r="L540" s="14">
        <v>0</v>
      </c>
      <c r="M540" s="2" t="s">
        <v>71</v>
      </c>
      <c r="N540" s="2" t="s">
        <v>13272</v>
      </c>
      <c r="O540" s="2" t="s">
        <v>13693</v>
      </c>
      <c r="P540" s="9">
        <v>0</v>
      </c>
      <c r="Q540" s="9">
        <v>0</v>
      </c>
      <c r="R540" s="2" t="s">
        <v>13289</v>
      </c>
    </row>
    <row r="541" spans="1:18" x14ac:dyDescent="0.25">
      <c r="A541" s="2" t="s">
        <v>2196</v>
      </c>
      <c r="B541" s="6">
        <v>46204</v>
      </c>
      <c r="C541" s="8">
        <v>46216</v>
      </c>
      <c r="D541" s="2" t="s">
        <v>136</v>
      </c>
      <c r="E541" s="2" t="s">
        <v>12593</v>
      </c>
      <c r="F541" s="2" t="s">
        <v>12432</v>
      </c>
      <c r="G541" s="2" t="s">
        <v>13694</v>
      </c>
      <c r="H541" s="2" t="s">
        <v>70</v>
      </c>
      <c r="I541" s="9">
        <v>16810.866260999999</v>
      </c>
      <c r="J541" s="7">
        <v>0.65800000000000003</v>
      </c>
      <c r="K541" s="9">
        <v>11061.55</v>
      </c>
      <c r="L541" s="14">
        <v>0</v>
      </c>
      <c r="M541" s="2" t="s">
        <v>71</v>
      </c>
      <c r="N541" s="2" t="s">
        <v>13272</v>
      </c>
      <c r="O541" s="2" t="s">
        <v>13695</v>
      </c>
      <c r="P541" s="9">
        <v>0</v>
      </c>
      <c r="Q541" s="9">
        <v>0</v>
      </c>
      <c r="R541" s="2" t="s">
        <v>13292</v>
      </c>
    </row>
    <row r="542" spans="1:18" x14ac:dyDescent="0.25">
      <c r="A542" s="2" t="s">
        <v>2199</v>
      </c>
      <c r="B542" s="6">
        <v>46204</v>
      </c>
      <c r="C542" s="8">
        <v>46217</v>
      </c>
      <c r="D542" s="2" t="s">
        <v>136</v>
      </c>
      <c r="E542" s="2" t="s">
        <v>12593</v>
      </c>
      <c r="F542" s="2" t="s">
        <v>12423</v>
      </c>
      <c r="G542" s="2" t="s">
        <v>13696</v>
      </c>
      <c r="H542" s="2" t="s">
        <v>39</v>
      </c>
      <c r="I542" s="9">
        <v>11234.56</v>
      </c>
      <c r="J542" s="7">
        <v>1</v>
      </c>
      <c r="K542" s="9">
        <v>11234.56</v>
      </c>
      <c r="L542" s="14">
        <v>0</v>
      </c>
      <c r="M542" s="2" t="s">
        <v>71</v>
      </c>
      <c r="N542" s="2" t="s">
        <v>13272</v>
      </c>
      <c r="O542" s="2" t="s">
        <v>13697</v>
      </c>
      <c r="P542" s="9">
        <v>0</v>
      </c>
      <c r="Q542" s="9">
        <v>0</v>
      </c>
      <c r="R542" s="2" t="s">
        <v>13295</v>
      </c>
    </row>
    <row r="543" spans="1:18" x14ac:dyDescent="0.25">
      <c r="A543" s="2" t="s">
        <v>2202</v>
      </c>
      <c r="B543" s="6">
        <v>46204</v>
      </c>
      <c r="C543" s="8">
        <v>46218</v>
      </c>
      <c r="D543" s="2" t="s">
        <v>136</v>
      </c>
      <c r="E543" s="2" t="s">
        <v>12593</v>
      </c>
      <c r="F543" s="2" t="s">
        <v>12424</v>
      </c>
      <c r="G543" s="2" t="s">
        <v>13698</v>
      </c>
      <c r="H543" s="2" t="s">
        <v>76</v>
      </c>
      <c r="I543" s="9">
        <v>183993064.51612899</v>
      </c>
      <c r="J543" s="7">
        <v>6.2000000000000003E-5</v>
      </c>
      <c r="K543" s="9">
        <v>11407.57</v>
      </c>
      <c r="L543" s="14">
        <v>0</v>
      </c>
      <c r="M543" s="2" t="s">
        <v>71</v>
      </c>
      <c r="N543" s="2" t="s">
        <v>13272</v>
      </c>
      <c r="O543" s="2" t="s">
        <v>13699</v>
      </c>
      <c r="P543" s="9">
        <v>0</v>
      </c>
      <c r="Q543" s="9">
        <v>0</v>
      </c>
      <c r="R543" s="2" t="s">
        <v>13298</v>
      </c>
    </row>
    <row r="544" spans="1:18" x14ac:dyDescent="0.25">
      <c r="A544" s="2" t="s">
        <v>2205</v>
      </c>
      <c r="B544" s="6">
        <v>46204</v>
      </c>
      <c r="C544" s="8">
        <v>46219</v>
      </c>
      <c r="D544" s="2" t="s">
        <v>136</v>
      </c>
      <c r="E544" s="2" t="s">
        <v>12593</v>
      </c>
      <c r="F544" s="2" t="s">
        <v>12425</v>
      </c>
      <c r="G544" s="2" t="s">
        <v>13700</v>
      </c>
      <c r="H544" s="2" t="s">
        <v>70</v>
      </c>
      <c r="I544" s="9">
        <v>17599.665653</v>
      </c>
      <c r="J544" s="7">
        <v>0.65800000000000003</v>
      </c>
      <c r="K544" s="9">
        <v>11580.58</v>
      </c>
      <c r="L544" s="14">
        <v>0</v>
      </c>
      <c r="M544" s="2" t="s">
        <v>71</v>
      </c>
      <c r="N544" s="2" t="s">
        <v>13272</v>
      </c>
      <c r="O544" s="2" t="s">
        <v>13701</v>
      </c>
      <c r="P544" s="9">
        <v>0</v>
      </c>
      <c r="Q544" s="9">
        <v>0</v>
      </c>
      <c r="R544" s="2" t="s">
        <v>13301</v>
      </c>
    </row>
    <row r="545" spans="1:18" x14ac:dyDescent="0.25">
      <c r="A545" s="2" t="s">
        <v>2208</v>
      </c>
      <c r="B545" s="6">
        <v>46204</v>
      </c>
      <c r="C545" s="8">
        <v>46220</v>
      </c>
      <c r="D545" s="2" t="s">
        <v>136</v>
      </c>
      <c r="E545" s="2" t="s">
        <v>12593</v>
      </c>
      <c r="F545" s="2" t="s">
        <v>12426</v>
      </c>
      <c r="G545" s="2" t="s">
        <v>13702</v>
      </c>
      <c r="H545" s="2" t="s">
        <v>39</v>
      </c>
      <c r="I545" s="9">
        <v>11753.59</v>
      </c>
      <c r="J545" s="7">
        <v>1</v>
      </c>
      <c r="K545" s="9">
        <v>11753.59</v>
      </c>
      <c r="L545" s="14">
        <v>0</v>
      </c>
      <c r="M545" s="2" t="s">
        <v>71</v>
      </c>
      <c r="N545" s="2" t="s">
        <v>13272</v>
      </c>
      <c r="O545" s="2" t="s">
        <v>13703</v>
      </c>
      <c r="P545" s="9">
        <v>0</v>
      </c>
      <c r="Q545" s="9">
        <v>0</v>
      </c>
      <c r="R545" s="2" t="s">
        <v>13274</v>
      </c>
    </row>
    <row r="546" spans="1:18" x14ac:dyDescent="0.25">
      <c r="A546" s="2" t="s">
        <v>2213</v>
      </c>
      <c r="B546" s="6">
        <v>46204</v>
      </c>
      <c r="C546" s="8">
        <v>46221</v>
      </c>
      <c r="D546" s="2" t="s">
        <v>136</v>
      </c>
      <c r="E546" s="2" t="s">
        <v>12593</v>
      </c>
      <c r="F546" s="2" t="s">
        <v>12427</v>
      </c>
      <c r="G546" s="2" t="s">
        <v>13704</v>
      </c>
      <c r="H546" s="2" t="s">
        <v>76</v>
      </c>
      <c r="I546" s="9">
        <v>192364516.12903199</v>
      </c>
      <c r="J546" s="7">
        <v>6.2000000000000003E-5</v>
      </c>
      <c r="K546" s="9">
        <v>11926.6</v>
      </c>
      <c r="L546" s="14">
        <v>0</v>
      </c>
      <c r="M546" s="2" t="s">
        <v>71</v>
      </c>
      <c r="N546" s="2" t="s">
        <v>13272</v>
      </c>
      <c r="O546" s="2" t="s">
        <v>13705</v>
      </c>
      <c r="P546" s="9">
        <v>0</v>
      </c>
      <c r="Q546" s="9">
        <v>0</v>
      </c>
      <c r="R546" s="2" t="s">
        <v>13277</v>
      </c>
    </row>
    <row r="547" spans="1:18" x14ac:dyDescent="0.25">
      <c r="A547" s="2" t="s">
        <v>2218</v>
      </c>
      <c r="B547" s="6">
        <v>46204</v>
      </c>
      <c r="C547" s="8">
        <v>46222</v>
      </c>
      <c r="D547" s="2" t="s">
        <v>136</v>
      </c>
      <c r="E547" s="2" t="s">
        <v>12593</v>
      </c>
      <c r="F547" s="2" t="s">
        <v>12428</v>
      </c>
      <c r="G547" s="2" t="s">
        <v>13706</v>
      </c>
      <c r="H547" s="2" t="s">
        <v>70</v>
      </c>
      <c r="I547" s="9">
        <v>18388.465046000001</v>
      </c>
      <c r="J547" s="7">
        <v>0.65800000000000003</v>
      </c>
      <c r="K547" s="9">
        <v>12099.61</v>
      </c>
      <c r="L547" s="14">
        <v>0</v>
      </c>
      <c r="M547" s="2" t="s">
        <v>71</v>
      </c>
      <c r="N547" s="2" t="s">
        <v>13272</v>
      </c>
      <c r="O547" s="2" t="s">
        <v>13707</v>
      </c>
      <c r="P547" s="9">
        <v>0</v>
      </c>
      <c r="Q547" s="9">
        <v>0</v>
      </c>
      <c r="R547" s="2" t="s">
        <v>13280</v>
      </c>
    </row>
    <row r="548" spans="1:18" x14ac:dyDescent="0.25">
      <c r="A548" s="2" t="s">
        <v>2221</v>
      </c>
      <c r="B548" s="6">
        <v>46204</v>
      </c>
      <c r="C548" s="8">
        <v>46223</v>
      </c>
      <c r="D548" s="2" t="s">
        <v>136</v>
      </c>
      <c r="E548" s="2" t="s">
        <v>12593</v>
      </c>
      <c r="F548" s="2" t="s">
        <v>12429</v>
      </c>
      <c r="G548" s="2" t="s">
        <v>13708</v>
      </c>
      <c r="H548" s="2" t="s">
        <v>39</v>
      </c>
      <c r="I548" s="9">
        <v>12272.62</v>
      </c>
      <c r="J548" s="7">
        <v>1</v>
      </c>
      <c r="K548" s="9">
        <v>12272.62</v>
      </c>
      <c r="L548" s="14">
        <v>0</v>
      </c>
      <c r="M548" s="2" t="s">
        <v>71</v>
      </c>
      <c r="N548" s="2" t="s">
        <v>13272</v>
      </c>
      <c r="O548" s="2" t="s">
        <v>13709</v>
      </c>
      <c r="P548" s="9">
        <v>0</v>
      </c>
      <c r="Q548" s="9">
        <v>0</v>
      </c>
      <c r="R548" s="2" t="s">
        <v>13283</v>
      </c>
    </row>
    <row r="549" spans="1:18" x14ac:dyDescent="0.25">
      <c r="A549" s="2" t="s">
        <v>2224</v>
      </c>
      <c r="B549" s="6">
        <v>46204</v>
      </c>
      <c r="C549" s="8">
        <v>46224</v>
      </c>
      <c r="D549" s="2" t="s">
        <v>136</v>
      </c>
      <c r="E549" s="2" t="s">
        <v>12593</v>
      </c>
      <c r="F549" s="2" t="s">
        <v>12430</v>
      </c>
      <c r="G549" s="2" t="s">
        <v>13710</v>
      </c>
      <c r="H549" s="2" t="s">
        <v>76</v>
      </c>
      <c r="I549" s="9">
        <v>200735967.74193501</v>
      </c>
      <c r="J549" s="7">
        <v>6.2000000000000003E-5</v>
      </c>
      <c r="K549" s="9">
        <v>12445.63</v>
      </c>
      <c r="L549" s="14">
        <v>0</v>
      </c>
      <c r="M549" s="2" t="s">
        <v>71</v>
      </c>
      <c r="N549" s="2" t="s">
        <v>13272</v>
      </c>
      <c r="O549" s="2" t="s">
        <v>13711</v>
      </c>
      <c r="P549" s="9">
        <v>0</v>
      </c>
      <c r="Q549" s="9">
        <v>0</v>
      </c>
      <c r="R549" s="2" t="s">
        <v>13286</v>
      </c>
    </row>
    <row r="550" spans="1:18" x14ac:dyDescent="0.25">
      <c r="A550" s="2" t="s">
        <v>2229</v>
      </c>
      <c r="B550" s="6">
        <v>46204</v>
      </c>
      <c r="C550" s="8">
        <v>46225</v>
      </c>
      <c r="D550" s="2" t="s">
        <v>136</v>
      </c>
      <c r="E550" s="2" t="s">
        <v>12593</v>
      </c>
      <c r="F550" s="2" t="s">
        <v>12431</v>
      </c>
      <c r="G550" s="2" t="s">
        <v>13712</v>
      </c>
      <c r="H550" s="2" t="s">
        <v>70</v>
      </c>
      <c r="I550" s="9">
        <v>19177.264437999998</v>
      </c>
      <c r="J550" s="7">
        <v>0.65800000000000003</v>
      </c>
      <c r="K550" s="9">
        <v>12618.64</v>
      </c>
      <c r="L550" s="14">
        <v>0</v>
      </c>
      <c r="M550" s="2" t="s">
        <v>71</v>
      </c>
      <c r="N550" s="2" t="s">
        <v>13272</v>
      </c>
      <c r="O550" s="2" t="s">
        <v>13713</v>
      </c>
      <c r="P550" s="9">
        <v>0</v>
      </c>
      <c r="Q550" s="9">
        <v>0</v>
      </c>
      <c r="R550" s="2" t="s">
        <v>13289</v>
      </c>
    </row>
    <row r="551" spans="1:18" x14ac:dyDescent="0.25">
      <c r="A551" s="2" t="s">
        <v>2232</v>
      </c>
      <c r="B551" s="6">
        <v>46204</v>
      </c>
      <c r="C551" s="8">
        <v>46226</v>
      </c>
      <c r="D551" s="2" t="s">
        <v>136</v>
      </c>
      <c r="E551" s="2" t="s">
        <v>12593</v>
      </c>
      <c r="F551" s="2" t="s">
        <v>12432</v>
      </c>
      <c r="G551" s="2" t="s">
        <v>13714</v>
      </c>
      <c r="H551" s="2" t="s">
        <v>39</v>
      </c>
      <c r="I551" s="9">
        <v>12791.65</v>
      </c>
      <c r="J551" s="7">
        <v>1</v>
      </c>
      <c r="K551" s="9">
        <v>12791.65</v>
      </c>
      <c r="L551" s="14">
        <v>0</v>
      </c>
      <c r="M551" s="2" t="s">
        <v>71</v>
      </c>
      <c r="N551" s="2" t="s">
        <v>13272</v>
      </c>
      <c r="O551" s="2" t="s">
        <v>13715</v>
      </c>
      <c r="P551" s="9">
        <v>0</v>
      </c>
      <c r="Q551" s="9">
        <v>0</v>
      </c>
      <c r="R551" s="2" t="s">
        <v>13292</v>
      </c>
    </row>
    <row r="552" spans="1:18" x14ac:dyDescent="0.25">
      <c r="A552" s="2" t="s">
        <v>2235</v>
      </c>
      <c r="B552" s="6">
        <v>46204</v>
      </c>
      <c r="C552" s="8">
        <v>46227</v>
      </c>
      <c r="D552" s="2" t="s">
        <v>136</v>
      </c>
      <c r="E552" s="2" t="s">
        <v>12593</v>
      </c>
      <c r="F552" s="2" t="s">
        <v>12423</v>
      </c>
      <c r="G552" s="2" t="s">
        <v>13716</v>
      </c>
      <c r="H552" s="2" t="s">
        <v>76</v>
      </c>
      <c r="I552" s="9">
        <v>209107419.354839</v>
      </c>
      <c r="J552" s="7">
        <v>6.2000000000000003E-5</v>
      </c>
      <c r="K552" s="9">
        <v>12964.66</v>
      </c>
      <c r="L552" s="14">
        <v>0</v>
      </c>
      <c r="M552" s="2" t="s">
        <v>71</v>
      </c>
      <c r="N552" s="2" t="s">
        <v>13272</v>
      </c>
      <c r="O552" s="2" t="s">
        <v>13717</v>
      </c>
      <c r="P552" s="9">
        <v>0</v>
      </c>
      <c r="Q552" s="9">
        <v>0</v>
      </c>
      <c r="R552" s="2" t="s">
        <v>13295</v>
      </c>
    </row>
    <row r="553" spans="1:18" x14ac:dyDescent="0.25">
      <c r="A553" s="2" t="s">
        <v>2238</v>
      </c>
      <c r="B553" s="6">
        <v>46204</v>
      </c>
      <c r="C553" s="8">
        <v>46228</v>
      </c>
      <c r="D553" s="2" t="s">
        <v>136</v>
      </c>
      <c r="E553" s="2" t="s">
        <v>12593</v>
      </c>
      <c r="F553" s="2" t="s">
        <v>12424</v>
      </c>
      <c r="G553" s="2" t="s">
        <v>13718</v>
      </c>
      <c r="H553" s="2" t="s">
        <v>70</v>
      </c>
      <c r="I553" s="9">
        <v>19966.063829999999</v>
      </c>
      <c r="J553" s="7">
        <v>0.65800000000000003</v>
      </c>
      <c r="K553" s="9">
        <v>13137.67</v>
      </c>
      <c r="L553" s="14">
        <v>0</v>
      </c>
      <c r="M553" s="2" t="s">
        <v>71</v>
      </c>
      <c r="N553" s="2" t="s">
        <v>13272</v>
      </c>
      <c r="O553" s="2" t="s">
        <v>13719</v>
      </c>
      <c r="P553" s="9">
        <v>0</v>
      </c>
      <c r="Q553" s="9">
        <v>0</v>
      </c>
      <c r="R553" s="2" t="s">
        <v>13298</v>
      </c>
    </row>
    <row r="554" spans="1:18" x14ac:dyDescent="0.25">
      <c r="A554" s="2" t="s">
        <v>2241</v>
      </c>
      <c r="B554" s="6">
        <v>46204</v>
      </c>
      <c r="C554" s="8">
        <v>46229</v>
      </c>
      <c r="D554" s="2" t="s">
        <v>136</v>
      </c>
      <c r="E554" s="2" t="s">
        <v>12593</v>
      </c>
      <c r="F554" s="2" t="s">
        <v>12425</v>
      </c>
      <c r="G554" s="2" t="s">
        <v>13720</v>
      </c>
      <c r="H554" s="2" t="s">
        <v>39</v>
      </c>
      <c r="I554" s="9">
        <v>13310.68</v>
      </c>
      <c r="J554" s="7">
        <v>1</v>
      </c>
      <c r="K554" s="9">
        <v>13310.68</v>
      </c>
      <c r="L554" s="14">
        <v>0</v>
      </c>
      <c r="M554" s="2" t="s">
        <v>71</v>
      </c>
      <c r="N554" s="2" t="s">
        <v>13272</v>
      </c>
      <c r="O554" s="2" t="s">
        <v>13721</v>
      </c>
      <c r="P554" s="9">
        <v>0</v>
      </c>
      <c r="Q554" s="9">
        <v>0</v>
      </c>
      <c r="R554" s="2" t="s">
        <v>13301</v>
      </c>
    </row>
    <row r="555" spans="1:18" x14ac:dyDescent="0.25">
      <c r="A555" s="2" t="s">
        <v>2244</v>
      </c>
      <c r="B555" s="6">
        <v>46204</v>
      </c>
      <c r="C555" s="8">
        <v>46230</v>
      </c>
      <c r="D555" s="2" t="s">
        <v>136</v>
      </c>
      <c r="E555" s="2" t="s">
        <v>12593</v>
      </c>
      <c r="F555" s="2" t="s">
        <v>12426</v>
      </c>
      <c r="G555" s="2" t="s">
        <v>13722</v>
      </c>
      <c r="H555" s="2" t="s">
        <v>76</v>
      </c>
      <c r="I555" s="9">
        <v>217478870.967742</v>
      </c>
      <c r="J555" s="7">
        <v>6.2000000000000003E-5</v>
      </c>
      <c r="K555" s="9">
        <v>13483.69</v>
      </c>
      <c r="L555" s="14">
        <v>0</v>
      </c>
      <c r="M555" s="2" t="s">
        <v>71</v>
      </c>
      <c r="N555" s="2" t="s">
        <v>13272</v>
      </c>
      <c r="O555" s="2" t="s">
        <v>13723</v>
      </c>
      <c r="P555" s="9">
        <v>0</v>
      </c>
      <c r="Q555" s="9">
        <v>0</v>
      </c>
      <c r="R555" s="2" t="s">
        <v>13274</v>
      </c>
    </row>
    <row r="556" spans="1:18" x14ac:dyDescent="0.25">
      <c r="A556" s="2" t="s">
        <v>2249</v>
      </c>
      <c r="B556" s="6">
        <v>46204</v>
      </c>
      <c r="C556" s="8">
        <v>46231</v>
      </c>
      <c r="D556" s="2" t="s">
        <v>136</v>
      </c>
      <c r="E556" s="2" t="s">
        <v>12593</v>
      </c>
      <c r="F556" s="2" t="s">
        <v>12427</v>
      </c>
      <c r="G556" s="2" t="s">
        <v>13724</v>
      </c>
      <c r="H556" s="2" t="s">
        <v>70</v>
      </c>
      <c r="I556" s="9">
        <v>20754.863222</v>
      </c>
      <c r="J556" s="7">
        <v>0.65800000000000003</v>
      </c>
      <c r="K556" s="9">
        <v>13656.7</v>
      </c>
      <c r="L556" s="14">
        <v>0</v>
      </c>
      <c r="M556" s="2" t="s">
        <v>71</v>
      </c>
      <c r="N556" s="2" t="s">
        <v>13272</v>
      </c>
      <c r="O556" s="2" t="s">
        <v>13725</v>
      </c>
      <c r="P556" s="9">
        <v>0</v>
      </c>
      <c r="Q556" s="9">
        <v>0</v>
      </c>
      <c r="R556" s="2" t="s">
        <v>13277</v>
      </c>
    </row>
    <row r="557" spans="1:18" x14ac:dyDescent="0.25">
      <c r="A557" s="2" t="s">
        <v>2254</v>
      </c>
      <c r="B557" s="6">
        <v>46204</v>
      </c>
      <c r="C557" s="8">
        <v>46232</v>
      </c>
      <c r="D557" s="2" t="s">
        <v>136</v>
      </c>
      <c r="E557" s="2" t="s">
        <v>12593</v>
      </c>
      <c r="F557" s="2" t="s">
        <v>12428</v>
      </c>
      <c r="G557" s="2" t="s">
        <v>13726</v>
      </c>
      <c r="H557" s="2" t="s">
        <v>39</v>
      </c>
      <c r="I557" s="9">
        <v>13829.71</v>
      </c>
      <c r="J557" s="7">
        <v>1</v>
      </c>
      <c r="K557" s="9">
        <v>13829.71</v>
      </c>
      <c r="L557" s="14">
        <v>0</v>
      </c>
      <c r="M557" s="2" t="s">
        <v>71</v>
      </c>
      <c r="N557" s="2" t="s">
        <v>13272</v>
      </c>
      <c r="O557" s="2" t="s">
        <v>13727</v>
      </c>
      <c r="P557" s="9">
        <v>0</v>
      </c>
      <c r="Q557" s="9">
        <v>0</v>
      </c>
      <c r="R557" s="2" t="s">
        <v>13280</v>
      </c>
    </row>
    <row r="558" spans="1:18" x14ac:dyDescent="0.25">
      <c r="A558" s="2" t="s">
        <v>2257</v>
      </c>
      <c r="B558" s="6">
        <v>46204</v>
      </c>
      <c r="C558" s="8">
        <v>46233</v>
      </c>
      <c r="D558" s="2" t="s">
        <v>136</v>
      </c>
      <c r="E558" s="2" t="s">
        <v>12593</v>
      </c>
      <c r="F558" s="2" t="s">
        <v>12429</v>
      </c>
      <c r="G558" s="2" t="s">
        <v>13728</v>
      </c>
      <c r="H558" s="2" t="s">
        <v>76</v>
      </c>
      <c r="I558" s="9">
        <v>225850322.58064499</v>
      </c>
      <c r="J558" s="7">
        <v>6.2000000000000003E-5</v>
      </c>
      <c r="K558" s="9">
        <v>14002.72</v>
      </c>
      <c r="L558" s="14">
        <v>0</v>
      </c>
      <c r="M558" s="2" t="s">
        <v>71</v>
      </c>
      <c r="N558" s="2" t="s">
        <v>13272</v>
      </c>
      <c r="O558" s="2" t="s">
        <v>13729</v>
      </c>
      <c r="P558" s="9">
        <v>0</v>
      </c>
      <c r="Q558" s="9">
        <v>0</v>
      </c>
      <c r="R558" s="2" t="s">
        <v>13283</v>
      </c>
    </row>
    <row r="559" spans="1:18" x14ac:dyDescent="0.25">
      <c r="A559" s="2" t="s">
        <v>2260</v>
      </c>
      <c r="B559" s="6">
        <v>46204</v>
      </c>
      <c r="C559" s="8">
        <v>46234</v>
      </c>
      <c r="D559" s="2" t="s">
        <v>136</v>
      </c>
      <c r="E559" s="2" t="s">
        <v>12593</v>
      </c>
      <c r="F559" s="2" t="s">
        <v>12430</v>
      </c>
      <c r="G559" s="2" t="s">
        <v>13730</v>
      </c>
      <c r="H559" s="2" t="s">
        <v>70</v>
      </c>
      <c r="I559" s="9">
        <v>21543.662614000001</v>
      </c>
      <c r="J559" s="7">
        <v>0.65800000000000003</v>
      </c>
      <c r="K559" s="9">
        <v>14175.73</v>
      </c>
      <c r="L559" s="14">
        <v>0</v>
      </c>
      <c r="M559" s="2" t="s">
        <v>71</v>
      </c>
      <c r="N559" s="2" t="s">
        <v>13272</v>
      </c>
      <c r="O559" s="2" t="s">
        <v>13731</v>
      </c>
      <c r="P559" s="9">
        <v>0</v>
      </c>
      <c r="Q559" s="9">
        <v>0</v>
      </c>
      <c r="R559" s="2" t="s">
        <v>13286</v>
      </c>
    </row>
    <row r="560" spans="1:18" x14ac:dyDescent="0.25">
      <c r="A560" s="2" t="s">
        <v>2265</v>
      </c>
      <c r="B560" s="6">
        <v>46204</v>
      </c>
      <c r="C560" s="8">
        <v>46204</v>
      </c>
      <c r="D560" s="2" t="s">
        <v>136</v>
      </c>
      <c r="E560" s="2" t="s">
        <v>12593</v>
      </c>
      <c r="F560" s="2" t="s">
        <v>12431</v>
      </c>
      <c r="G560" s="2" t="s">
        <v>13732</v>
      </c>
      <c r="H560" s="2" t="s">
        <v>39</v>
      </c>
      <c r="I560" s="9">
        <v>14348.74</v>
      </c>
      <c r="J560" s="7">
        <v>1</v>
      </c>
      <c r="K560" s="9">
        <v>14348.74</v>
      </c>
      <c r="L560" s="14">
        <v>0</v>
      </c>
      <c r="M560" s="2" t="s">
        <v>71</v>
      </c>
      <c r="N560" s="2" t="s">
        <v>13272</v>
      </c>
      <c r="O560" s="2" t="s">
        <v>13733</v>
      </c>
      <c r="P560" s="9">
        <v>0</v>
      </c>
      <c r="Q560" s="9">
        <v>0</v>
      </c>
      <c r="R560" s="2" t="s">
        <v>13289</v>
      </c>
    </row>
    <row r="561" spans="1:18" x14ac:dyDescent="0.25">
      <c r="A561" s="2" t="s">
        <v>2268</v>
      </c>
      <c r="B561" s="6">
        <v>46204</v>
      </c>
      <c r="C561" s="8">
        <v>46205</v>
      </c>
      <c r="D561" s="2" t="s">
        <v>136</v>
      </c>
      <c r="E561" s="2" t="s">
        <v>12593</v>
      </c>
      <c r="F561" s="2" t="s">
        <v>12432</v>
      </c>
      <c r="G561" s="2" t="s">
        <v>13734</v>
      </c>
      <c r="H561" s="2" t="s">
        <v>76</v>
      </c>
      <c r="I561" s="9">
        <v>234221774.19354799</v>
      </c>
      <c r="J561" s="7">
        <v>6.2000000000000003E-5</v>
      </c>
      <c r="K561" s="9">
        <v>14521.75</v>
      </c>
      <c r="L561" s="14">
        <v>0</v>
      </c>
      <c r="M561" s="2" t="s">
        <v>71</v>
      </c>
      <c r="N561" s="2" t="s">
        <v>13272</v>
      </c>
      <c r="O561" s="2" t="s">
        <v>13735</v>
      </c>
      <c r="P561" s="9">
        <v>0</v>
      </c>
      <c r="Q561" s="9">
        <v>0</v>
      </c>
      <c r="R561" s="2" t="s">
        <v>13292</v>
      </c>
    </row>
    <row r="562" spans="1:18" x14ac:dyDescent="0.25">
      <c r="A562" s="2" t="s">
        <v>2271</v>
      </c>
      <c r="B562" s="6">
        <v>46204</v>
      </c>
      <c r="C562" s="8">
        <v>46206</v>
      </c>
      <c r="D562" s="2" t="s">
        <v>136</v>
      </c>
      <c r="E562" s="2" t="s">
        <v>12593</v>
      </c>
      <c r="F562" s="2" t="s">
        <v>12423</v>
      </c>
      <c r="G562" s="2" t="s">
        <v>13736</v>
      </c>
      <c r="H562" s="2" t="s">
        <v>70</v>
      </c>
      <c r="I562" s="9">
        <v>22332.462006000002</v>
      </c>
      <c r="J562" s="7">
        <v>0.65800000000000003</v>
      </c>
      <c r="K562" s="9">
        <v>14694.76</v>
      </c>
      <c r="L562" s="14">
        <v>0</v>
      </c>
      <c r="M562" s="2" t="s">
        <v>71</v>
      </c>
      <c r="N562" s="2" t="s">
        <v>13272</v>
      </c>
      <c r="O562" s="2" t="s">
        <v>13737</v>
      </c>
      <c r="P562" s="9">
        <v>0</v>
      </c>
      <c r="Q562" s="9">
        <v>0</v>
      </c>
      <c r="R562" s="2" t="s">
        <v>13295</v>
      </c>
    </row>
    <row r="563" spans="1:18" x14ac:dyDescent="0.25">
      <c r="A563" s="2" t="s">
        <v>2274</v>
      </c>
      <c r="B563" s="6">
        <v>46204</v>
      </c>
      <c r="C563" s="8">
        <v>46207</v>
      </c>
      <c r="D563" s="2" t="s">
        <v>136</v>
      </c>
      <c r="E563" s="2" t="s">
        <v>12593</v>
      </c>
      <c r="F563" s="2" t="s">
        <v>12424</v>
      </c>
      <c r="G563" s="2" t="s">
        <v>13738</v>
      </c>
      <c r="H563" s="2" t="s">
        <v>39</v>
      </c>
      <c r="I563" s="9">
        <v>867.77</v>
      </c>
      <c r="J563" s="7">
        <v>1</v>
      </c>
      <c r="K563" s="9">
        <v>867.77</v>
      </c>
      <c r="L563" s="14">
        <v>0</v>
      </c>
      <c r="M563" s="2" t="s">
        <v>71</v>
      </c>
      <c r="N563" s="2" t="s">
        <v>13272</v>
      </c>
      <c r="O563" s="2" t="s">
        <v>13739</v>
      </c>
      <c r="P563" s="9">
        <v>0</v>
      </c>
      <c r="Q563" s="9">
        <v>0</v>
      </c>
      <c r="R563" s="2" t="s">
        <v>13298</v>
      </c>
    </row>
    <row r="564" spans="1:18" x14ac:dyDescent="0.25">
      <c r="A564" s="2" t="s">
        <v>2277</v>
      </c>
      <c r="B564" s="6">
        <v>46204</v>
      </c>
      <c r="C564" s="8">
        <v>46208</v>
      </c>
      <c r="D564" s="2" t="s">
        <v>136</v>
      </c>
      <c r="E564" s="2" t="s">
        <v>12593</v>
      </c>
      <c r="F564" s="2" t="s">
        <v>12425</v>
      </c>
      <c r="G564" s="2" t="s">
        <v>13740</v>
      </c>
      <c r="H564" s="2" t="s">
        <v>76</v>
      </c>
      <c r="I564" s="9">
        <v>16786774.193548001</v>
      </c>
      <c r="J564" s="7">
        <v>6.2000000000000003E-5</v>
      </c>
      <c r="K564" s="9">
        <v>1040.78</v>
      </c>
      <c r="L564" s="14">
        <v>0</v>
      </c>
      <c r="M564" s="2" t="s">
        <v>71</v>
      </c>
      <c r="N564" s="2" t="s">
        <v>13272</v>
      </c>
      <c r="O564" s="2" t="s">
        <v>13741</v>
      </c>
      <c r="P564" s="9">
        <v>0</v>
      </c>
      <c r="Q564" s="9">
        <v>0</v>
      </c>
      <c r="R564" s="2" t="s">
        <v>13301</v>
      </c>
    </row>
    <row r="565" spans="1:18" x14ac:dyDescent="0.25">
      <c r="A565" s="2" t="s">
        <v>2280</v>
      </c>
      <c r="B565" s="6">
        <v>46204</v>
      </c>
      <c r="C565" s="8">
        <v>46209</v>
      </c>
      <c r="D565" s="2" t="s">
        <v>136</v>
      </c>
      <c r="E565" s="2" t="s">
        <v>12593</v>
      </c>
      <c r="F565" s="2" t="s">
        <v>12426</v>
      </c>
      <c r="G565" s="2" t="s">
        <v>13742</v>
      </c>
      <c r="H565" s="2" t="s">
        <v>70</v>
      </c>
      <c r="I565" s="9">
        <v>1844.665653</v>
      </c>
      <c r="J565" s="7">
        <v>0.65800000000000003</v>
      </c>
      <c r="K565" s="9">
        <v>1213.79</v>
      </c>
      <c r="L565" s="14">
        <v>0</v>
      </c>
      <c r="M565" s="2" t="s">
        <v>71</v>
      </c>
      <c r="N565" s="2" t="s">
        <v>13272</v>
      </c>
      <c r="O565" s="2" t="s">
        <v>13743</v>
      </c>
      <c r="P565" s="9">
        <v>0</v>
      </c>
      <c r="Q565" s="9">
        <v>0</v>
      </c>
      <c r="R565" s="2" t="s">
        <v>13274</v>
      </c>
    </row>
    <row r="566" spans="1:18" x14ac:dyDescent="0.25">
      <c r="A566" s="2" t="s">
        <v>2285</v>
      </c>
      <c r="B566" s="6">
        <v>46204</v>
      </c>
      <c r="C566" s="8">
        <v>46210</v>
      </c>
      <c r="D566" s="2" t="s">
        <v>136</v>
      </c>
      <c r="E566" s="2" t="s">
        <v>12593</v>
      </c>
      <c r="F566" s="2" t="s">
        <v>12427</v>
      </c>
      <c r="G566" s="2" t="s">
        <v>13744</v>
      </c>
      <c r="H566" s="2" t="s">
        <v>39</v>
      </c>
      <c r="I566" s="9">
        <v>1386.8</v>
      </c>
      <c r="J566" s="7">
        <v>1</v>
      </c>
      <c r="K566" s="9">
        <v>1386.8</v>
      </c>
      <c r="L566" s="14">
        <v>0</v>
      </c>
      <c r="M566" s="2" t="s">
        <v>71</v>
      </c>
      <c r="N566" s="2" t="s">
        <v>13272</v>
      </c>
      <c r="O566" s="2" t="s">
        <v>13745</v>
      </c>
      <c r="P566" s="9">
        <v>0</v>
      </c>
      <c r="Q566" s="9">
        <v>0</v>
      </c>
      <c r="R566" s="2" t="s">
        <v>13277</v>
      </c>
    </row>
    <row r="567" spans="1:18" x14ac:dyDescent="0.25">
      <c r="A567" s="2" t="s">
        <v>2290</v>
      </c>
      <c r="B567" s="6">
        <v>46204</v>
      </c>
      <c r="C567" s="8">
        <v>46211</v>
      </c>
      <c r="D567" s="2" t="s">
        <v>136</v>
      </c>
      <c r="E567" s="2" t="s">
        <v>12593</v>
      </c>
      <c r="F567" s="2" t="s">
        <v>12428</v>
      </c>
      <c r="G567" s="2" t="s">
        <v>13746</v>
      </c>
      <c r="H567" s="2" t="s">
        <v>76</v>
      </c>
      <c r="I567" s="9">
        <v>25158225.806451999</v>
      </c>
      <c r="J567" s="7">
        <v>6.2000000000000003E-5</v>
      </c>
      <c r="K567" s="9">
        <v>1559.81</v>
      </c>
      <c r="L567" s="14">
        <v>0</v>
      </c>
      <c r="M567" s="2" t="s">
        <v>71</v>
      </c>
      <c r="N567" s="2" t="s">
        <v>13272</v>
      </c>
      <c r="O567" s="2" t="s">
        <v>13747</v>
      </c>
      <c r="P567" s="9">
        <v>0</v>
      </c>
      <c r="Q567" s="9">
        <v>0</v>
      </c>
      <c r="R567" s="2" t="s">
        <v>13280</v>
      </c>
    </row>
    <row r="568" spans="1:18" x14ac:dyDescent="0.25">
      <c r="A568" s="2" t="s">
        <v>2293</v>
      </c>
      <c r="B568" s="6">
        <v>46204</v>
      </c>
      <c r="C568" s="8">
        <v>46212</v>
      </c>
      <c r="D568" s="2" t="s">
        <v>136</v>
      </c>
      <c r="E568" s="2" t="s">
        <v>12593</v>
      </c>
      <c r="F568" s="2" t="s">
        <v>12429</v>
      </c>
      <c r="G568" s="2" t="s">
        <v>13748</v>
      </c>
      <c r="H568" s="2" t="s">
        <v>70</v>
      </c>
      <c r="I568" s="9">
        <v>2633.4650459999998</v>
      </c>
      <c r="J568" s="7">
        <v>0.65800000000000003</v>
      </c>
      <c r="K568" s="9">
        <v>1732.82</v>
      </c>
      <c r="L568" s="14">
        <v>0</v>
      </c>
      <c r="M568" s="2" t="s">
        <v>71</v>
      </c>
      <c r="N568" s="2" t="s">
        <v>13272</v>
      </c>
      <c r="O568" s="2" t="s">
        <v>13749</v>
      </c>
      <c r="P568" s="9">
        <v>0</v>
      </c>
      <c r="Q568" s="9">
        <v>0</v>
      </c>
      <c r="R568" s="2" t="s">
        <v>13283</v>
      </c>
    </row>
    <row r="569" spans="1:18" x14ac:dyDescent="0.25">
      <c r="A569" s="2" t="s">
        <v>2296</v>
      </c>
      <c r="B569" s="6">
        <v>46204</v>
      </c>
      <c r="C569" s="8">
        <v>46213</v>
      </c>
      <c r="D569" s="2" t="s">
        <v>136</v>
      </c>
      <c r="E569" s="2" t="s">
        <v>12593</v>
      </c>
      <c r="F569" s="2" t="s">
        <v>12430</v>
      </c>
      <c r="G569" s="2" t="s">
        <v>13750</v>
      </c>
      <c r="H569" s="2" t="s">
        <v>39</v>
      </c>
      <c r="I569" s="9">
        <v>1905.83</v>
      </c>
      <c r="J569" s="7">
        <v>1</v>
      </c>
      <c r="K569" s="9">
        <v>1905.83</v>
      </c>
      <c r="L569" s="14">
        <v>0</v>
      </c>
      <c r="M569" s="2" t="s">
        <v>71</v>
      </c>
      <c r="N569" s="2" t="s">
        <v>13272</v>
      </c>
      <c r="O569" s="2" t="s">
        <v>13751</v>
      </c>
      <c r="P569" s="9">
        <v>0</v>
      </c>
      <c r="Q569" s="9">
        <v>0</v>
      </c>
      <c r="R569" s="2" t="s">
        <v>13286</v>
      </c>
    </row>
    <row r="570" spans="1:18" x14ac:dyDescent="0.25">
      <c r="A570" s="2" t="s">
        <v>2301</v>
      </c>
      <c r="B570" s="6">
        <v>46204</v>
      </c>
      <c r="C570" s="8">
        <v>46214</v>
      </c>
      <c r="D570" s="2" t="s">
        <v>136</v>
      </c>
      <c r="E570" s="2" t="s">
        <v>12593</v>
      </c>
      <c r="F570" s="2" t="s">
        <v>12431</v>
      </c>
      <c r="G570" s="2" t="s">
        <v>13752</v>
      </c>
      <c r="H570" s="2" t="s">
        <v>76</v>
      </c>
      <c r="I570" s="9">
        <v>33529677.419355001</v>
      </c>
      <c r="J570" s="7">
        <v>6.2000000000000003E-5</v>
      </c>
      <c r="K570" s="9">
        <v>2078.84</v>
      </c>
      <c r="L570" s="14">
        <v>0</v>
      </c>
      <c r="M570" s="2" t="s">
        <v>71</v>
      </c>
      <c r="N570" s="2" t="s">
        <v>13272</v>
      </c>
      <c r="O570" s="2" t="s">
        <v>13753</v>
      </c>
      <c r="P570" s="9">
        <v>0</v>
      </c>
      <c r="Q570" s="9">
        <v>0</v>
      </c>
      <c r="R570" s="2" t="s">
        <v>13289</v>
      </c>
    </row>
    <row r="571" spans="1:18" x14ac:dyDescent="0.25">
      <c r="A571" s="2" t="s">
        <v>2304</v>
      </c>
      <c r="B571" s="6">
        <v>46204</v>
      </c>
      <c r="C571" s="8">
        <v>46215</v>
      </c>
      <c r="D571" s="2" t="s">
        <v>136</v>
      </c>
      <c r="E571" s="2" t="s">
        <v>12593</v>
      </c>
      <c r="F571" s="2" t="s">
        <v>12432</v>
      </c>
      <c r="G571" s="2" t="s">
        <v>13754</v>
      </c>
      <c r="H571" s="2" t="s">
        <v>70</v>
      </c>
      <c r="I571" s="9">
        <v>3422.2644380000002</v>
      </c>
      <c r="J571" s="7">
        <v>0.65800000000000003</v>
      </c>
      <c r="K571" s="9">
        <v>2251.85</v>
      </c>
      <c r="L571" s="14">
        <v>0</v>
      </c>
      <c r="M571" s="2" t="s">
        <v>71</v>
      </c>
      <c r="N571" s="2" t="s">
        <v>13272</v>
      </c>
      <c r="O571" s="2" t="s">
        <v>13755</v>
      </c>
      <c r="P571" s="9">
        <v>0</v>
      </c>
      <c r="Q571" s="9">
        <v>0</v>
      </c>
      <c r="R571" s="2" t="s">
        <v>13292</v>
      </c>
    </row>
    <row r="572" spans="1:18" x14ac:dyDescent="0.25">
      <c r="A572" s="2" t="s">
        <v>2307</v>
      </c>
      <c r="B572" s="6">
        <v>46204</v>
      </c>
      <c r="C572" s="8">
        <v>46216</v>
      </c>
      <c r="D572" s="2" t="s">
        <v>136</v>
      </c>
      <c r="E572" s="2" t="s">
        <v>12593</v>
      </c>
      <c r="F572" s="2" t="s">
        <v>12423</v>
      </c>
      <c r="G572" s="2" t="s">
        <v>13756</v>
      </c>
      <c r="H572" s="2" t="s">
        <v>39</v>
      </c>
      <c r="I572" s="9">
        <v>2424.86</v>
      </c>
      <c r="J572" s="7">
        <v>1</v>
      </c>
      <c r="K572" s="9">
        <v>2424.86</v>
      </c>
      <c r="L572" s="14">
        <v>0</v>
      </c>
      <c r="M572" s="2" t="s">
        <v>71</v>
      </c>
      <c r="N572" s="2" t="s">
        <v>13272</v>
      </c>
      <c r="O572" s="2" t="s">
        <v>13757</v>
      </c>
      <c r="P572" s="9">
        <v>0</v>
      </c>
      <c r="Q572" s="9">
        <v>0</v>
      </c>
      <c r="R572" s="2" t="s">
        <v>13295</v>
      </c>
    </row>
    <row r="573" spans="1:18" x14ac:dyDescent="0.25">
      <c r="A573" s="2" t="s">
        <v>2310</v>
      </c>
      <c r="B573" s="6">
        <v>46204</v>
      </c>
      <c r="C573" s="8">
        <v>46217</v>
      </c>
      <c r="D573" s="2" t="s">
        <v>136</v>
      </c>
      <c r="E573" s="2" t="s">
        <v>12593</v>
      </c>
      <c r="F573" s="2" t="s">
        <v>12424</v>
      </c>
      <c r="G573" s="2" t="s">
        <v>13758</v>
      </c>
      <c r="H573" s="2" t="s">
        <v>76</v>
      </c>
      <c r="I573" s="9">
        <v>41901129.032257996</v>
      </c>
      <c r="J573" s="7">
        <v>6.2000000000000003E-5</v>
      </c>
      <c r="K573" s="9">
        <v>2597.87</v>
      </c>
      <c r="L573" s="14">
        <v>0</v>
      </c>
      <c r="M573" s="2" t="s">
        <v>71</v>
      </c>
      <c r="N573" s="2" t="s">
        <v>13272</v>
      </c>
      <c r="O573" s="2" t="s">
        <v>13759</v>
      </c>
      <c r="P573" s="9">
        <v>0</v>
      </c>
      <c r="Q573" s="9">
        <v>0</v>
      </c>
      <c r="R573" s="2" t="s">
        <v>13298</v>
      </c>
    </row>
    <row r="574" spans="1:18" x14ac:dyDescent="0.25">
      <c r="A574" s="2" t="s">
        <v>2313</v>
      </c>
      <c r="B574" s="6">
        <v>46204</v>
      </c>
      <c r="C574" s="8">
        <v>46218</v>
      </c>
      <c r="D574" s="2" t="s">
        <v>136</v>
      </c>
      <c r="E574" s="2" t="s">
        <v>12593</v>
      </c>
      <c r="F574" s="2" t="s">
        <v>12425</v>
      </c>
      <c r="G574" s="2" t="s">
        <v>13760</v>
      </c>
      <c r="H574" s="2" t="s">
        <v>70</v>
      </c>
      <c r="I574" s="9">
        <v>4211.0638300000001</v>
      </c>
      <c r="J574" s="7">
        <v>0.65800000000000003</v>
      </c>
      <c r="K574" s="9">
        <v>2770.88</v>
      </c>
      <c r="L574" s="14">
        <v>0</v>
      </c>
      <c r="M574" s="2" t="s">
        <v>71</v>
      </c>
      <c r="N574" s="2" t="s">
        <v>13272</v>
      </c>
      <c r="O574" s="2" t="s">
        <v>13761</v>
      </c>
      <c r="P574" s="9">
        <v>0</v>
      </c>
      <c r="Q574" s="9">
        <v>0</v>
      </c>
      <c r="R574" s="2" t="s">
        <v>13301</v>
      </c>
    </row>
    <row r="575" spans="1:18" x14ac:dyDescent="0.25">
      <c r="A575" s="2" t="s">
        <v>2316</v>
      </c>
      <c r="B575" s="6">
        <v>46204</v>
      </c>
      <c r="C575" s="8">
        <v>46219</v>
      </c>
      <c r="D575" s="2" t="s">
        <v>136</v>
      </c>
      <c r="E575" s="2" t="s">
        <v>12593</v>
      </c>
      <c r="F575" s="2" t="s">
        <v>12426</v>
      </c>
      <c r="G575" s="2" t="s">
        <v>13762</v>
      </c>
      <c r="H575" s="2" t="s">
        <v>39</v>
      </c>
      <c r="I575" s="9">
        <v>-2943.89</v>
      </c>
      <c r="J575" s="7">
        <v>1</v>
      </c>
      <c r="K575" s="9">
        <v>-2943.89</v>
      </c>
      <c r="L575" s="14">
        <v>0</v>
      </c>
      <c r="M575" s="2" t="s">
        <v>71</v>
      </c>
      <c r="N575" s="2" t="s">
        <v>13272</v>
      </c>
      <c r="O575" s="2" t="s">
        <v>13763</v>
      </c>
      <c r="P575" s="9">
        <v>0</v>
      </c>
      <c r="Q575" s="9">
        <v>0</v>
      </c>
      <c r="R575" s="2" t="s">
        <v>13274</v>
      </c>
    </row>
    <row r="576" spans="1:18" x14ac:dyDescent="0.25">
      <c r="A576" s="2" t="s">
        <v>2319</v>
      </c>
      <c r="B576" s="6">
        <v>46204</v>
      </c>
      <c r="C576" s="8">
        <v>46220</v>
      </c>
      <c r="D576" s="2" t="s">
        <v>136</v>
      </c>
      <c r="E576" s="2" t="s">
        <v>12593</v>
      </c>
      <c r="F576" s="2" t="s">
        <v>12427</v>
      </c>
      <c r="G576" s="2" t="s">
        <v>13764</v>
      </c>
      <c r="H576" s="2" t="s">
        <v>76</v>
      </c>
      <c r="I576" s="9">
        <v>50272580.645161003</v>
      </c>
      <c r="J576" s="7">
        <v>6.2000000000000003E-5</v>
      </c>
      <c r="K576" s="9">
        <v>3116.9</v>
      </c>
      <c r="L576" s="14">
        <v>0</v>
      </c>
      <c r="M576" s="2" t="s">
        <v>71</v>
      </c>
      <c r="N576" s="2" t="s">
        <v>13272</v>
      </c>
      <c r="O576" s="2" t="s">
        <v>13765</v>
      </c>
      <c r="P576" s="9">
        <v>0</v>
      </c>
      <c r="Q576" s="9">
        <v>0</v>
      </c>
      <c r="R576" s="2" t="s">
        <v>13277</v>
      </c>
    </row>
    <row r="577" spans="1:18" x14ac:dyDescent="0.25">
      <c r="A577" s="2" t="s">
        <v>2324</v>
      </c>
      <c r="B577" s="6">
        <v>46204</v>
      </c>
      <c r="C577" s="8">
        <v>46221</v>
      </c>
      <c r="D577" s="2" t="s">
        <v>136</v>
      </c>
      <c r="E577" s="2" t="s">
        <v>12593</v>
      </c>
      <c r="F577" s="2" t="s">
        <v>12428</v>
      </c>
      <c r="G577" s="2" t="s">
        <v>13766</v>
      </c>
      <c r="H577" s="2" t="s">
        <v>70</v>
      </c>
      <c r="I577" s="9">
        <v>4999.863222</v>
      </c>
      <c r="J577" s="7">
        <v>0.65800000000000003</v>
      </c>
      <c r="K577" s="9">
        <v>3289.91</v>
      </c>
      <c r="L577" s="14">
        <v>0</v>
      </c>
      <c r="M577" s="2" t="s">
        <v>71</v>
      </c>
      <c r="N577" s="2" t="s">
        <v>13272</v>
      </c>
      <c r="O577" s="2" t="s">
        <v>13767</v>
      </c>
      <c r="P577" s="9">
        <v>0</v>
      </c>
      <c r="Q577" s="9">
        <v>0</v>
      </c>
      <c r="R577" s="2" t="s">
        <v>13280</v>
      </c>
    </row>
    <row r="578" spans="1:18" x14ac:dyDescent="0.25">
      <c r="A578" s="2" t="s">
        <v>2327</v>
      </c>
      <c r="B578" s="6">
        <v>46204</v>
      </c>
      <c r="C578" s="8">
        <v>46222</v>
      </c>
      <c r="D578" s="2" t="s">
        <v>136</v>
      </c>
      <c r="E578" s="2" t="s">
        <v>12593</v>
      </c>
      <c r="F578" s="2" t="s">
        <v>12429</v>
      </c>
      <c r="G578" s="2" t="s">
        <v>13768</v>
      </c>
      <c r="H578" s="2" t="s">
        <v>39</v>
      </c>
      <c r="I578" s="9">
        <v>3462.92</v>
      </c>
      <c r="J578" s="7">
        <v>1</v>
      </c>
      <c r="K578" s="9">
        <v>3462.92</v>
      </c>
      <c r="L578" s="14">
        <v>0</v>
      </c>
      <c r="M578" s="2" t="s">
        <v>71</v>
      </c>
      <c r="N578" s="2" t="s">
        <v>13272</v>
      </c>
      <c r="O578" s="2" t="s">
        <v>13769</v>
      </c>
      <c r="P578" s="9">
        <v>0</v>
      </c>
      <c r="Q578" s="9">
        <v>0</v>
      </c>
      <c r="R578" s="2" t="s">
        <v>13283</v>
      </c>
    </row>
    <row r="579" spans="1:18" x14ac:dyDescent="0.25">
      <c r="A579" s="2" t="s">
        <v>2330</v>
      </c>
      <c r="B579" s="6">
        <v>46204</v>
      </c>
      <c r="C579" s="8">
        <v>46223</v>
      </c>
      <c r="D579" s="2" t="s">
        <v>136</v>
      </c>
      <c r="E579" s="2" t="s">
        <v>12593</v>
      </c>
      <c r="F579" s="2" t="s">
        <v>12430</v>
      </c>
      <c r="G579" s="2" t="s">
        <v>13770</v>
      </c>
      <c r="H579" s="2" t="s">
        <v>76</v>
      </c>
      <c r="I579" s="9">
        <v>58644032.258065</v>
      </c>
      <c r="J579" s="7">
        <v>6.2000000000000003E-5</v>
      </c>
      <c r="K579" s="9">
        <v>3635.93</v>
      </c>
      <c r="L579" s="14">
        <v>0</v>
      </c>
      <c r="M579" s="2" t="s">
        <v>71</v>
      </c>
      <c r="N579" s="2" t="s">
        <v>13272</v>
      </c>
      <c r="O579" s="2" t="s">
        <v>13771</v>
      </c>
      <c r="P579" s="9">
        <v>0</v>
      </c>
      <c r="Q579" s="9">
        <v>0</v>
      </c>
      <c r="R579" s="2" t="s">
        <v>13286</v>
      </c>
    </row>
    <row r="580" spans="1:18" x14ac:dyDescent="0.25">
      <c r="A580" s="2" t="s">
        <v>2335</v>
      </c>
      <c r="B580" s="6">
        <v>46204</v>
      </c>
      <c r="C580" s="8">
        <v>46224</v>
      </c>
      <c r="D580" s="2" t="s">
        <v>136</v>
      </c>
      <c r="E580" s="2" t="s">
        <v>12593</v>
      </c>
      <c r="F580" s="2" t="s">
        <v>12431</v>
      </c>
      <c r="G580" s="2" t="s">
        <v>13772</v>
      </c>
      <c r="H580" s="2" t="s">
        <v>70</v>
      </c>
      <c r="I580" s="9">
        <v>5788.6626139999998</v>
      </c>
      <c r="J580" s="7">
        <v>0.65800000000000003</v>
      </c>
      <c r="K580" s="9">
        <v>3808.94</v>
      </c>
      <c r="L580" s="14">
        <v>0</v>
      </c>
      <c r="M580" s="2" t="s">
        <v>71</v>
      </c>
      <c r="N580" s="2" t="s">
        <v>13272</v>
      </c>
      <c r="O580" s="2" t="s">
        <v>13773</v>
      </c>
      <c r="P580" s="9">
        <v>0</v>
      </c>
      <c r="Q580" s="9">
        <v>0</v>
      </c>
      <c r="R580" s="2" t="s">
        <v>13289</v>
      </c>
    </row>
    <row r="581" spans="1:18" x14ac:dyDescent="0.25">
      <c r="A581" s="2" t="s">
        <v>2338</v>
      </c>
      <c r="B581" s="6">
        <v>46204</v>
      </c>
      <c r="C581" s="8">
        <v>46225</v>
      </c>
      <c r="D581" s="2" t="s">
        <v>136</v>
      </c>
      <c r="E581" s="2" t="s">
        <v>12593</v>
      </c>
      <c r="F581" s="2" t="s">
        <v>12432</v>
      </c>
      <c r="G581" s="2" t="s">
        <v>13774</v>
      </c>
      <c r="H581" s="2" t="s">
        <v>39</v>
      </c>
      <c r="I581" s="9">
        <v>3981.95</v>
      </c>
      <c r="J581" s="7">
        <v>1</v>
      </c>
      <c r="K581" s="9">
        <v>3981.95</v>
      </c>
      <c r="L581" s="14">
        <v>0</v>
      </c>
      <c r="M581" s="2" t="s">
        <v>71</v>
      </c>
      <c r="N581" s="2" t="s">
        <v>13272</v>
      </c>
      <c r="O581" s="2" t="s">
        <v>13775</v>
      </c>
      <c r="P581" s="9">
        <v>0</v>
      </c>
      <c r="Q581" s="9">
        <v>0</v>
      </c>
      <c r="R581" s="2" t="s">
        <v>13292</v>
      </c>
    </row>
    <row r="582" spans="1:18" x14ac:dyDescent="0.25">
      <c r="A582" s="2" t="s">
        <v>2341</v>
      </c>
      <c r="B582" s="6">
        <v>46204</v>
      </c>
      <c r="C582" s="8">
        <v>46226</v>
      </c>
      <c r="D582" s="2" t="s">
        <v>136</v>
      </c>
      <c r="E582" s="2" t="s">
        <v>12593</v>
      </c>
      <c r="F582" s="2" t="s">
        <v>12423</v>
      </c>
      <c r="G582" s="2" t="s">
        <v>13776</v>
      </c>
      <c r="H582" s="2" t="s">
        <v>76</v>
      </c>
      <c r="I582" s="9">
        <v>67015483.870967999</v>
      </c>
      <c r="J582" s="7">
        <v>6.2000000000000003E-5</v>
      </c>
      <c r="K582" s="9">
        <v>4154.96</v>
      </c>
      <c r="L582" s="14">
        <v>0</v>
      </c>
      <c r="M582" s="2" t="s">
        <v>71</v>
      </c>
      <c r="N582" s="2" t="s">
        <v>13272</v>
      </c>
      <c r="O582" s="2" t="s">
        <v>13777</v>
      </c>
      <c r="P582" s="9">
        <v>0</v>
      </c>
      <c r="Q582" s="9">
        <v>0</v>
      </c>
      <c r="R582" s="2" t="s">
        <v>13295</v>
      </c>
    </row>
    <row r="583" spans="1:18" x14ac:dyDescent="0.25">
      <c r="A583" s="2" t="s">
        <v>2344</v>
      </c>
      <c r="B583" s="6">
        <v>46204</v>
      </c>
      <c r="C583" s="8">
        <v>46227</v>
      </c>
      <c r="D583" s="2" t="s">
        <v>136</v>
      </c>
      <c r="E583" s="2" t="s">
        <v>12593</v>
      </c>
      <c r="F583" s="2" t="s">
        <v>12424</v>
      </c>
      <c r="G583" s="2" t="s">
        <v>13778</v>
      </c>
      <c r="H583" s="2" t="s">
        <v>70</v>
      </c>
      <c r="I583" s="9">
        <v>6575.9878419999995</v>
      </c>
      <c r="J583" s="7">
        <v>0.65800000000000003</v>
      </c>
      <c r="K583" s="9">
        <v>4327</v>
      </c>
      <c r="L583" s="14">
        <v>0</v>
      </c>
      <c r="M583" s="2" t="s">
        <v>71</v>
      </c>
      <c r="N583" s="2" t="s">
        <v>13272</v>
      </c>
      <c r="O583" s="2" t="s">
        <v>13779</v>
      </c>
      <c r="P583" s="9">
        <v>0</v>
      </c>
      <c r="Q583" s="9">
        <v>0</v>
      </c>
      <c r="R583" s="2" t="s">
        <v>13298</v>
      </c>
    </row>
    <row r="584" spans="1:18" x14ac:dyDescent="0.25">
      <c r="A584" s="2" t="s">
        <v>2347</v>
      </c>
      <c r="B584" s="6">
        <v>46204</v>
      </c>
      <c r="C584" s="8">
        <v>46228</v>
      </c>
      <c r="D584" s="2" t="s">
        <v>136</v>
      </c>
      <c r="E584" s="2" t="s">
        <v>12593</v>
      </c>
      <c r="F584" s="2" t="s">
        <v>12425</v>
      </c>
      <c r="G584" s="2" t="s">
        <v>13780</v>
      </c>
      <c r="H584" s="2" t="s">
        <v>39</v>
      </c>
      <c r="I584" s="9">
        <v>4500.01</v>
      </c>
      <c r="J584" s="7">
        <v>1</v>
      </c>
      <c r="K584" s="9">
        <v>4500.01</v>
      </c>
      <c r="L584" s="14">
        <v>0</v>
      </c>
      <c r="M584" s="2" t="s">
        <v>71</v>
      </c>
      <c r="N584" s="2" t="s">
        <v>13272</v>
      </c>
      <c r="O584" s="2" t="s">
        <v>13781</v>
      </c>
      <c r="P584" s="9">
        <v>0</v>
      </c>
      <c r="Q584" s="9">
        <v>0</v>
      </c>
      <c r="R584" s="2" t="s">
        <v>13301</v>
      </c>
    </row>
    <row r="585" spans="1:18" x14ac:dyDescent="0.25">
      <c r="A585" s="2" t="s">
        <v>2350</v>
      </c>
      <c r="B585" s="6">
        <v>46204</v>
      </c>
      <c r="C585" s="8">
        <v>46229</v>
      </c>
      <c r="D585" s="2" t="s">
        <v>136</v>
      </c>
      <c r="E585" s="2" t="s">
        <v>12593</v>
      </c>
      <c r="F585" s="2" t="s">
        <v>12426</v>
      </c>
      <c r="G585" s="2" t="s">
        <v>13782</v>
      </c>
      <c r="H585" s="2" t="s">
        <v>76</v>
      </c>
      <c r="I585" s="9">
        <v>75371290.322580993</v>
      </c>
      <c r="J585" s="7">
        <v>6.2000000000000003E-5</v>
      </c>
      <c r="K585" s="9">
        <v>4673.0200000000004</v>
      </c>
      <c r="L585" s="14">
        <v>0</v>
      </c>
      <c r="M585" s="2" t="s">
        <v>71</v>
      </c>
      <c r="N585" s="2" t="s">
        <v>13272</v>
      </c>
      <c r="O585" s="2" t="s">
        <v>13783</v>
      </c>
      <c r="P585" s="9">
        <v>0</v>
      </c>
      <c r="Q585" s="9">
        <v>0</v>
      </c>
      <c r="R585" s="2" t="s">
        <v>13274</v>
      </c>
    </row>
    <row r="586" spans="1:18" x14ac:dyDescent="0.25">
      <c r="A586" s="2" t="s">
        <v>2355</v>
      </c>
      <c r="B586" s="6">
        <v>46204</v>
      </c>
      <c r="C586" s="8">
        <v>46230</v>
      </c>
      <c r="D586" s="2" t="s">
        <v>136</v>
      </c>
      <c r="E586" s="2" t="s">
        <v>12593</v>
      </c>
      <c r="F586" s="2" t="s">
        <v>12427</v>
      </c>
      <c r="G586" s="2" t="s">
        <v>13784</v>
      </c>
      <c r="H586" s="2" t="s">
        <v>70</v>
      </c>
      <c r="I586" s="9">
        <v>7364.7872340000004</v>
      </c>
      <c r="J586" s="7">
        <v>0.65800000000000003</v>
      </c>
      <c r="K586" s="9">
        <v>4846.03</v>
      </c>
      <c r="L586" s="14">
        <v>0</v>
      </c>
      <c r="M586" s="2" t="s">
        <v>71</v>
      </c>
      <c r="N586" s="2" t="s">
        <v>13272</v>
      </c>
      <c r="O586" s="2" t="s">
        <v>13785</v>
      </c>
      <c r="P586" s="9">
        <v>0</v>
      </c>
      <c r="Q586" s="9">
        <v>0</v>
      </c>
      <c r="R586" s="2" t="s">
        <v>13277</v>
      </c>
    </row>
    <row r="587" spans="1:18" x14ac:dyDescent="0.25">
      <c r="A587" s="2" t="s">
        <v>2360</v>
      </c>
      <c r="B587" s="6">
        <v>46204</v>
      </c>
      <c r="C587" s="8">
        <v>46231</v>
      </c>
      <c r="D587" s="2" t="s">
        <v>136</v>
      </c>
      <c r="E587" s="2" t="s">
        <v>12593</v>
      </c>
      <c r="F587" s="2" t="s">
        <v>12428</v>
      </c>
      <c r="G587" s="2" t="s">
        <v>13786</v>
      </c>
      <c r="H587" s="2" t="s">
        <v>39</v>
      </c>
      <c r="I587" s="9">
        <v>5019.04</v>
      </c>
      <c r="J587" s="7">
        <v>1</v>
      </c>
      <c r="K587" s="9">
        <v>5019.04</v>
      </c>
      <c r="L587" s="14">
        <v>0</v>
      </c>
      <c r="M587" s="2" t="s">
        <v>71</v>
      </c>
      <c r="N587" s="2" t="s">
        <v>13272</v>
      </c>
      <c r="O587" s="2" t="s">
        <v>13787</v>
      </c>
      <c r="P587" s="9">
        <v>0</v>
      </c>
      <c r="Q587" s="9">
        <v>0</v>
      </c>
      <c r="R587" s="2" t="s">
        <v>13280</v>
      </c>
    </row>
    <row r="588" spans="1:18" x14ac:dyDescent="0.25">
      <c r="A588" s="2" t="s">
        <v>2363</v>
      </c>
      <c r="B588" s="6">
        <v>46204</v>
      </c>
      <c r="C588" s="8">
        <v>46232</v>
      </c>
      <c r="D588" s="2" t="s">
        <v>136</v>
      </c>
      <c r="E588" s="2" t="s">
        <v>12593</v>
      </c>
      <c r="F588" s="2" t="s">
        <v>12429</v>
      </c>
      <c r="G588" s="2" t="s">
        <v>13788</v>
      </c>
      <c r="H588" s="2" t="s">
        <v>76</v>
      </c>
      <c r="I588" s="9">
        <v>83742741.935484007</v>
      </c>
      <c r="J588" s="7">
        <v>6.2000000000000003E-5</v>
      </c>
      <c r="K588" s="9">
        <v>5192.05</v>
      </c>
      <c r="L588" s="14">
        <v>0</v>
      </c>
      <c r="M588" s="2" t="s">
        <v>71</v>
      </c>
      <c r="N588" s="2" t="s">
        <v>13272</v>
      </c>
      <c r="O588" s="2" t="s">
        <v>13789</v>
      </c>
      <c r="P588" s="9">
        <v>0</v>
      </c>
      <c r="Q588" s="9">
        <v>0</v>
      </c>
      <c r="R588" s="2" t="s">
        <v>13283</v>
      </c>
    </row>
    <row r="589" spans="1:18" x14ac:dyDescent="0.25">
      <c r="A589" s="2" t="s">
        <v>2366</v>
      </c>
      <c r="B589" s="6">
        <v>46204</v>
      </c>
      <c r="C589" s="8">
        <v>46233</v>
      </c>
      <c r="D589" s="2" t="s">
        <v>136</v>
      </c>
      <c r="E589" s="2" t="s">
        <v>12593</v>
      </c>
      <c r="F589" s="2" t="s">
        <v>12430</v>
      </c>
      <c r="G589" s="2" t="s">
        <v>13790</v>
      </c>
      <c r="H589" s="2" t="s">
        <v>70</v>
      </c>
      <c r="I589" s="9">
        <v>8153.5866260000003</v>
      </c>
      <c r="J589" s="7">
        <v>0.65800000000000003</v>
      </c>
      <c r="K589" s="9">
        <v>5365.06</v>
      </c>
      <c r="L589" s="14">
        <v>0</v>
      </c>
      <c r="M589" s="2" t="s">
        <v>71</v>
      </c>
      <c r="N589" s="2" t="s">
        <v>13272</v>
      </c>
      <c r="O589" s="2" t="s">
        <v>13791</v>
      </c>
      <c r="P589" s="9">
        <v>0</v>
      </c>
      <c r="Q589" s="9">
        <v>0</v>
      </c>
      <c r="R589" s="2" t="s">
        <v>13286</v>
      </c>
    </row>
    <row r="590" spans="1:18" x14ac:dyDescent="0.25">
      <c r="A590" s="2" t="s">
        <v>2371</v>
      </c>
      <c r="B590" s="6">
        <v>46204</v>
      </c>
      <c r="C590" s="8">
        <v>46234</v>
      </c>
      <c r="D590" s="2" t="s">
        <v>136</v>
      </c>
      <c r="E590" s="2" t="s">
        <v>12593</v>
      </c>
      <c r="F590" s="2" t="s">
        <v>12431</v>
      </c>
      <c r="G590" s="2" t="s">
        <v>13792</v>
      </c>
      <c r="H590" s="2" t="s">
        <v>39</v>
      </c>
      <c r="I590" s="9">
        <v>5538.07</v>
      </c>
      <c r="J590" s="7">
        <v>1</v>
      </c>
      <c r="K590" s="9">
        <v>5538.07</v>
      </c>
      <c r="L590" s="14">
        <v>0</v>
      </c>
      <c r="M590" s="2" t="s">
        <v>71</v>
      </c>
      <c r="N590" s="2" t="s">
        <v>13272</v>
      </c>
      <c r="O590" s="2" t="s">
        <v>13793</v>
      </c>
      <c r="P590" s="9">
        <v>0</v>
      </c>
      <c r="Q590" s="9">
        <v>0</v>
      </c>
      <c r="R590" s="2" t="s">
        <v>13289</v>
      </c>
    </row>
    <row r="591" spans="1:18" x14ac:dyDescent="0.25">
      <c r="A591" s="2" t="s">
        <v>2374</v>
      </c>
      <c r="B591" s="6">
        <v>46204</v>
      </c>
      <c r="C591" s="8">
        <v>46204</v>
      </c>
      <c r="D591" s="2" t="s">
        <v>136</v>
      </c>
      <c r="E591" s="2" t="s">
        <v>12593</v>
      </c>
      <c r="F591" s="2" t="s">
        <v>12432</v>
      </c>
      <c r="G591" s="2" t="s">
        <v>13794</v>
      </c>
      <c r="H591" s="2" t="s">
        <v>76</v>
      </c>
      <c r="I591" s="9">
        <v>92114193.548387006</v>
      </c>
      <c r="J591" s="7">
        <v>6.2000000000000003E-5</v>
      </c>
      <c r="K591" s="9">
        <v>5711.08</v>
      </c>
      <c r="L591" s="14">
        <v>0</v>
      </c>
      <c r="M591" s="2" t="s">
        <v>71</v>
      </c>
      <c r="N591" s="2" t="s">
        <v>13272</v>
      </c>
      <c r="O591" s="2" t="s">
        <v>13795</v>
      </c>
      <c r="P591" s="9">
        <v>0</v>
      </c>
      <c r="Q591" s="9">
        <v>0</v>
      </c>
      <c r="R591" s="2" t="s">
        <v>13292</v>
      </c>
    </row>
    <row r="592" spans="1:18" x14ac:dyDescent="0.25">
      <c r="A592" s="2" t="s">
        <v>2377</v>
      </c>
      <c r="B592" s="6">
        <v>46204</v>
      </c>
      <c r="C592" s="8">
        <v>46205</v>
      </c>
      <c r="D592" s="2" t="s">
        <v>136</v>
      </c>
      <c r="E592" s="2" t="s">
        <v>12593</v>
      </c>
      <c r="F592" s="2" t="s">
        <v>12423</v>
      </c>
      <c r="G592" s="2" t="s">
        <v>13796</v>
      </c>
      <c r="H592" s="2" t="s">
        <v>70</v>
      </c>
      <c r="I592" s="9">
        <v>8942.3860179999992</v>
      </c>
      <c r="J592" s="7">
        <v>0.65800000000000003</v>
      </c>
      <c r="K592" s="9">
        <v>5884.09</v>
      </c>
      <c r="L592" s="14">
        <v>0</v>
      </c>
      <c r="M592" s="2" t="s">
        <v>71</v>
      </c>
      <c r="N592" s="2" t="s">
        <v>13272</v>
      </c>
      <c r="O592" s="2" t="s">
        <v>13797</v>
      </c>
      <c r="P592" s="9">
        <v>0</v>
      </c>
      <c r="Q592" s="9">
        <v>0</v>
      </c>
      <c r="R592" s="2" t="s">
        <v>13295</v>
      </c>
    </row>
    <row r="593" spans="1:18" x14ac:dyDescent="0.25">
      <c r="A593" s="2" t="s">
        <v>2380</v>
      </c>
      <c r="B593" s="6">
        <v>46204</v>
      </c>
      <c r="C593" s="8">
        <v>46206</v>
      </c>
      <c r="D593" s="2" t="s">
        <v>136</v>
      </c>
      <c r="E593" s="2" t="s">
        <v>12593</v>
      </c>
      <c r="F593" s="2" t="s">
        <v>12424</v>
      </c>
      <c r="G593" s="2" t="s">
        <v>13798</v>
      </c>
      <c r="H593" s="2" t="s">
        <v>39</v>
      </c>
      <c r="I593" s="9">
        <v>6057.1</v>
      </c>
      <c r="J593" s="7">
        <v>1</v>
      </c>
      <c r="K593" s="9">
        <v>6057.1</v>
      </c>
      <c r="L593" s="14">
        <v>0</v>
      </c>
      <c r="M593" s="2" t="s">
        <v>71</v>
      </c>
      <c r="N593" s="2" t="s">
        <v>13272</v>
      </c>
      <c r="O593" s="2" t="s">
        <v>13799</v>
      </c>
      <c r="P593" s="9">
        <v>0</v>
      </c>
      <c r="Q593" s="9">
        <v>0</v>
      </c>
      <c r="R593" s="2" t="s">
        <v>13298</v>
      </c>
    </row>
    <row r="594" spans="1:18" x14ac:dyDescent="0.25">
      <c r="A594" s="2" t="s">
        <v>2383</v>
      </c>
      <c r="B594" s="6">
        <v>46204</v>
      </c>
      <c r="C594" s="8">
        <v>46207</v>
      </c>
      <c r="D594" s="2" t="s">
        <v>136</v>
      </c>
      <c r="E594" s="2" t="s">
        <v>12593</v>
      </c>
      <c r="F594" s="2" t="s">
        <v>12425</v>
      </c>
      <c r="G594" s="2" t="s">
        <v>13800</v>
      </c>
      <c r="H594" s="2" t="s">
        <v>76</v>
      </c>
      <c r="I594" s="9">
        <v>100485645.16129</v>
      </c>
      <c r="J594" s="7">
        <v>6.2000000000000003E-5</v>
      </c>
      <c r="K594" s="9">
        <v>6230.11</v>
      </c>
      <c r="L594" s="14">
        <v>0</v>
      </c>
      <c r="M594" s="2" t="s">
        <v>71</v>
      </c>
      <c r="N594" s="2" t="s">
        <v>13272</v>
      </c>
      <c r="O594" s="2" t="s">
        <v>13801</v>
      </c>
      <c r="P594" s="9">
        <v>0</v>
      </c>
      <c r="Q594" s="9">
        <v>0</v>
      </c>
      <c r="R594" s="2" t="s">
        <v>13301</v>
      </c>
    </row>
    <row r="595" spans="1:18" x14ac:dyDescent="0.25">
      <c r="A595" s="2" t="s">
        <v>2386</v>
      </c>
      <c r="B595" s="6">
        <v>46204</v>
      </c>
      <c r="C595" s="8">
        <v>46208</v>
      </c>
      <c r="D595" s="2" t="s">
        <v>136</v>
      </c>
      <c r="E595" s="2" t="s">
        <v>12593</v>
      </c>
      <c r="F595" s="2" t="s">
        <v>12426</v>
      </c>
      <c r="G595" s="2" t="s">
        <v>13802</v>
      </c>
      <c r="H595" s="2" t="s">
        <v>70</v>
      </c>
      <c r="I595" s="9">
        <v>9731.18541</v>
      </c>
      <c r="J595" s="7">
        <v>0.65800000000000003</v>
      </c>
      <c r="K595" s="9">
        <v>6403.12</v>
      </c>
      <c r="L595" s="14">
        <v>0</v>
      </c>
      <c r="M595" s="2" t="s">
        <v>71</v>
      </c>
      <c r="N595" s="2" t="s">
        <v>13272</v>
      </c>
      <c r="O595" s="2" t="s">
        <v>13803</v>
      </c>
      <c r="P595" s="9">
        <v>0</v>
      </c>
      <c r="Q595" s="9">
        <v>0</v>
      </c>
      <c r="R595" s="2" t="s">
        <v>13274</v>
      </c>
    </row>
    <row r="596" spans="1:18" x14ac:dyDescent="0.25">
      <c r="A596" s="2" t="s">
        <v>2391</v>
      </c>
      <c r="B596" s="6">
        <v>46204</v>
      </c>
      <c r="C596" s="8">
        <v>46209</v>
      </c>
      <c r="D596" s="2" t="s">
        <v>136</v>
      </c>
      <c r="E596" s="2" t="s">
        <v>12593</v>
      </c>
      <c r="F596" s="2" t="s">
        <v>12427</v>
      </c>
      <c r="G596" s="2" t="s">
        <v>13804</v>
      </c>
      <c r="H596" s="2" t="s">
        <v>39</v>
      </c>
      <c r="I596" s="9">
        <v>6576.13</v>
      </c>
      <c r="J596" s="7">
        <v>1</v>
      </c>
      <c r="K596" s="9">
        <v>6576.13</v>
      </c>
      <c r="L596" s="14">
        <v>0</v>
      </c>
      <c r="M596" s="2" t="s">
        <v>71</v>
      </c>
      <c r="N596" s="2" t="s">
        <v>13272</v>
      </c>
      <c r="O596" s="2" t="s">
        <v>13805</v>
      </c>
      <c r="P596" s="9">
        <v>0</v>
      </c>
      <c r="Q596" s="9">
        <v>0</v>
      </c>
      <c r="R596" s="2" t="s">
        <v>13277</v>
      </c>
    </row>
    <row r="597" spans="1:18" x14ac:dyDescent="0.25">
      <c r="A597" s="2" t="s">
        <v>2396</v>
      </c>
      <c r="B597" s="6">
        <v>46204</v>
      </c>
      <c r="C597" s="8">
        <v>46210</v>
      </c>
      <c r="D597" s="2" t="s">
        <v>136</v>
      </c>
      <c r="E597" s="2" t="s">
        <v>12593</v>
      </c>
      <c r="F597" s="2" t="s">
        <v>12428</v>
      </c>
      <c r="G597" s="2" t="s">
        <v>13806</v>
      </c>
      <c r="H597" s="2" t="s">
        <v>76</v>
      </c>
      <c r="I597" s="9">
        <v>108857096.774194</v>
      </c>
      <c r="J597" s="7">
        <v>6.2000000000000003E-5</v>
      </c>
      <c r="K597" s="9">
        <v>6749.14</v>
      </c>
      <c r="L597" s="14">
        <v>0</v>
      </c>
      <c r="M597" s="2" t="s">
        <v>71</v>
      </c>
      <c r="N597" s="2" t="s">
        <v>13272</v>
      </c>
      <c r="O597" s="2" t="s">
        <v>13807</v>
      </c>
      <c r="P597" s="9">
        <v>0</v>
      </c>
      <c r="Q597" s="9">
        <v>0</v>
      </c>
      <c r="R597" s="2" t="s">
        <v>13280</v>
      </c>
    </row>
    <row r="598" spans="1:18" x14ac:dyDescent="0.25">
      <c r="A598" s="2" t="s">
        <v>2399</v>
      </c>
      <c r="B598" s="6">
        <v>46204</v>
      </c>
      <c r="C598" s="8">
        <v>46211</v>
      </c>
      <c r="D598" s="2" t="s">
        <v>136</v>
      </c>
      <c r="E598" s="2" t="s">
        <v>12593</v>
      </c>
      <c r="F598" s="2" t="s">
        <v>12429</v>
      </c>
      <c r="G598" s="2" t="s">
        <v>13808</v>
      </c>
      <c r="H598" s="2" t="s">
        <v>70</v>
      </c>
      <c r="I598" s="9">
        <v>10519.984802000001</v>
      </c>
      <c r="J598" s="7">
        <v>0.65800000000000003</v>
      </c>
      <c r="K598" s="9">
        <v>6922.15</v>
      </c>
      <c r="L598" s="14">
        <v>0</v>
      </c>
      <c r="M598" s="2" t="s">
        <v>71</v>
      </c>
      <c r="N598" s="2" t="s">
        <v>13272</v>
      </c>
      <c r="O598" s="2" t="s">
        <v>13809</v>
      </c>
      <c r="P598" s="9">
        <v>0</v>
      </c>
      <c r="Q598" s="9">
        <v>0</v>
      </c>
      <c r="R598" s="2" t="s">
        <v>13283</v>
      </c>
    </row>
    <row r="599" spans="1:18" x14ac:dyDescent="0.25">
      <c r="A599" s="2" t="s">
        <v>2402</v>
      </c>
      <c r="B599" s="6">
        <v>46204</v>
      </c>
      <c r="C599" s="8">
        <v>46212</v>
      </c>
      <c r="D599" s="2" t="s">
        <v>136</v>
      </c>
      <c r="E599" s="2" t="s">
        <v>12593</v>
      </c>
      <c r="F599" s="2" t="s">
        <v>12430</v>
      </c>
      <c r="G599" s="2" t="s">
        <v>13810</v>
      </c>
      <c r="H599" s="2" t="s">
        <v>39</v>
      </c>
      <c r="I599" s="9">
        <v>7095.16</v>
      </c>
      <c r="J599" s="7">
        <v>1</v>
      </c>
      <c r="K599" s="9">
        <v>7095.16</v>
      </c>
      <c r="L599" s="14">
        <v>0</v>
      </c>
      <c r="M599" s="2" t="s">
        <v>71</v>
      </c>
      <c r="N599" s="2" t="s">
        <v>13272</v>
      </c>
      <c r="O599" s="2" t="s">
        <v>13811</v>
      </c>
      <c r="P599" s="9">
        <v>0</v>
      </c>
      <c r="Q599" s="9">
        <v>0</v>
      </c>
      <c r="R599" s="2" t="s">
        <v>13286</v>
      </c>
    </row>
    <row r="600" spans="1:18" x14ac:dyDescent="0.25">
      <c r="A600" s="2" t="s">
        <v>2407</v>
      </c>
      <c r="B600" s="6">
        <v>46204</v>
      </c>
      <c r="C600" s="8">
        <v>46213</v>
      </c>
      <c r="D600" s="2" t="s">
        <v>136</v>
      </c>
      <c r="E600" s="2" t="s">
        <v>12593</v>
      </c>
      <c r="F600" s="2" t="s">
        <v>12431</v>
      </c>
      <c r="G600" s="2" t="s">
        <v>13812</v>
      </c>
      <c r="H600" s="2" t="s">
        <v>76</v>
      </c>
      <c r="I600" s="9">
        <v>117228548.387097</v>
      </c>
      <c r="J600" s="7">
        <v>6.2000000000000003E-5</v>
      </c>
      <c r="K600" s="9">
        <v>7268.17</v>
      </c>
      <c r="L600" s="14">
        <v>0</v>
      </c>
      <c r="M600" s="2" t="s">
        <v>71</v>
      </c>
      <c r="N600" s="2" t="s">
        <v>13272</v>
      </c>
      <c r="O600" s="2" t="s">
        <v>13813</v>
      </c>
      <c r="P600" s="9">
        <v>0</v>
      </c>
      <c r="Q600" s="9">
        <v>0</v>
      </c>
      <c r="R600" s="2" t="s">
        <v>13289</v>
      </c>
    </row>
    <row r="601" spans="1:18" x14ac:dyDescent="0.25">
      <c r="A601" s="2" t="s">
        <v>2410</v>
      </c>
      <c r="B601" s="6">
        <v>46204</v>
      </c>
      <c r="C601" s="8">
        <v>46214</v>
      </c>
      <c r="D601" s="2" t="s">
        <v>136</v>
      </c>
      <c r="E601" s="2" t="s">
        <v>12593</v>
      </c>
      <c r="F601" s="2" t="s">
        <v>12432</v>
      </c>
      <c r="G601" s="2" t="s">
        <v>13814</v>
      </c>
      <c r="H601" s="2" t="s">
        <v>70</v>
      </c>
      <c r="I601" s="9">
        <v>11308.784195</v>
      </c>
      <c r="J601" s="7">
        <v>0.65800000000000003</v>
      </c>
      <c r="K601" s="9">
        <v>7441.18</v>
      </c>
      <c r="L601" s="14">
        <v>0</v>
      </c>
      <c r="M601" s="2" t="s">
        <v>71</v>
      </c>
      <c r="N601" s="2" t="s">
        <v>13272</v>
      </c>
      <c r="O601" s="2" t="s">
        <v>13815</v>
      </c>
      <c r="P601" s="9">
        <v>0</v>
      </c>
      <c r="Q601" s="9">
        <v>0</v>
      </c>
      <c r="R601" s="2" t="s">
        <v>13292</v>
      </c>
    </row>
    <row r="602" spans="1:18" x14ac:dyDescent="0.25">
      <c r="A602" s="2" t="s">
        <v>2413</v>
      </c>
      <c r="B602" s="6">
        <v>46204</v>
      </c>
      <c r="C602" s="8">
        <v>46215</v>
      </c>
      <c r="D602" s="2" t="s">
        <v>136</v>
      </c>
      <c r="E602" s="2" t="s">
        <v>12593</v>
      </c>
      <c r="F602" s="2" t="s">
        <v>12423</v>
      </c>
      <c r="G602" s="2" t="s">
        <v>13816</v>
      </c>
      <c r="H602" s="2" t="s">
        <v>39</v>
      </c>
      <c r="I602" s="9">
        <v>7614.19</v>
      </c>
      <c r="J602" s="7">
        <v>1</v>
      </c>
      <c r="K602" s="9">
        <v>7614.19</v>
      </c>
      <c r="L602" s="14">
        <v>0</v>
      </c>
      <c r="M602" s="2" t="s">
        <v>71</v>
      </c>
      <c r="N602" s="2" t="s">
        <v>13272</v>
      </c>
      <c r="O602" s="2" t="s">
        <v>13817</v>
      </c>
      <c r="P602" s="9">
        <v>0</v>
      </c>
      <c r="Q602" s="9">
        <v>0</v>
      </c>
      <c r="R602" s="2" t="s">
        <v>13295</v>
      </c>
    </row>
    <row r="603" spans="1:18" x14ac:dyDescent="0.25">
      <c r="A603" s="2" t="s">
        <v>2416</v>
      </c>
      <c r="B603" s="6">
        <v>46204</v>
      </c>
      <c r="C603" s="8">
        <v>46216</v>
      </c>
      <c r="D603" s="2" t="s">
        <v>136</v>
      </c>
      <c r="E603" s="2" t="s">
        <v>12593</v>
      </c>
      <c r="F603" s="2" t="s">
        <v>12424</v>
      </c>
      <c r="G603" s="2" t="s">
        <v>13818</v>
      </c>
      <c r="H603" s="2" t="s">
        <v>76</v>
      </c>
      <c r="I603" s="9">
        <v>125600000</v>
      </c>
      <c r="J603" s="7">
        <v>6.2000000000000003E-5</v>
      </c>
      <c r="K603" s="9">
        <v>7787.2</v>
      </c>
      <c r="L603" s="14">
        <v>0</v>
      </c>
      <c r="M603" s="2" t="s">
        <v>71</v>
      </c>
      <c r="N603" s="2" t="s">
        <v>13272</v>
      </c>
      <c r="O603" s="2" t="s">
        <v>13819</v>
      </c>
      <c r="P603" s="9">
        <v>0</v>
      </c>
      <c r="Q603" s="9">
        <v>0</v>
      </c>
      <c r="R603" s="2" t="s">
        <v>13298</v>
      </c>
    </row>
    <row r="604" spans="1:18" x14ac:dyDescent="0.25">
      <c r="A604" s="2" t="s">
        <v>2419</v>
      </c>
      <c r="B604" s="6">
        <v>46204</v>
      </c>
      <c r="C604" s="8">
        <v>46217</v>
      </c>
      <c r="D604" s="2" t="s">
        <v>136</v>
      </c>
      <c r="E604" s="2" t="s">
        <v>12593</v>
      </c>
      <c r="F604" s="2" t="s">
        <v>12425</v>
      </c>
      <c r="G604" s="2" t="s">
        <v>13820</v>
      </c>
      <c r="H604" s="2" t="s">
        <v>70</v>
      </c>
      <c r="I604" s="9">
        <v>12097.583586999999</v>
      </c>
      <c r="J604" s="7">
        <v>0.65800000000000003</v>
      </c>
      <c r="K604" s="9">
        <v>7960.21</v>
      </c>
      <c r="L604" s="14">
        <v>0</v>
      </c>
      <c r="M604" s="2" t="s">
        <v>71</v>
      </c>
      <c r="N604" s="2" t="s">
        <v>13272</v>
      </c>
      <c r="O604" s="2" t="s">
        <v>13821</v>
      </c>
      <c r="P604" s="9">
        <v>0</v>
      </c>
      <c r="Q604" s="9">
        <v>0</v>
      </c>
      <c r="R604" s="2" t="s">
        <v>13301</v>
      </c>
    </row>
    <row r="605" spans="1:18" x14ac:dyDescent="0.25">
      <c r="A605" s="2" t="s">
        <v>2422</v>
      </c>
      <c r="B605" s="6">
        <v>46204</v>
      </c>
      <c r="C605" s="8">
        <v>46218</v>
      </c>
      <c r="D605" s="2" t="s">
        <v>136</v>
      </c>
      <c r="E605" s="2" t="s">
        <v>12593</v>
      </c>
      <c r="F605" s="2" t="s">
        <v>12426</v>
      </c>
      <c r="G605" s="2" t="s">
        <v>13822</v>
      </c>
      <c r="H605" s="2" t="s">
        <v>39</v>
      </c>
      <c r="I605" s="9">
        <v>8133.22</v>
      </c>
      <c r="J605" s="7">
        <v>1</v>
      </c>
      <c r="K605" s="9">
        <v>8133.22</v>
      </c>
      <c r="L605" s="14">
        <v>0</v>
      </c>
      <c r="M605" s="2" t="s">
        <v>71</v>
      </c>
      <c r="N605" s="2" t="s">
        <v>13272</v>
      </c>
      <c r="O605" s="2" t="s">
        <v>13823</v>
      </c>
      <c r="P605" s="9">
        <v>0</v>
      </c>
      <c r="Q605" s="9">
        <v>0</v>
      </c>
      <c r="R605" s="2" t="s">
        <v>13274</v>
      </c>
    </row>
    <row r="606" spans="1:18" x14ac:dyDescent="0.25">
      <c r="A606" s="2" t="s">
        <v>2427</v>
      </c>
      <c r="B606" s="6">
        <v>46204</v>
      </c>
      <c r="C606" s="8">
        <v>46219</v>
      </c>
      <c r="D606" s="2" t="s">
        <v>136</v>
      </c>
      <c r="E606" s="2" t="s">
        <v>12593</v>
      </c>
      <c r="F606" s="2" t="s">
        <v>12427</v>
      </c>
      <c r="G606" s="2" t="s">
        <v>13824</v>
      </c>
      <c r="H606" s="2" t="s">
        <v>76</v>
      </c>
      <c r="I606" s="9">
        <v>133971451.612903</v>
      </c>
      <c r="J606" s="7">
        <v>6.2000000000000003E-5</v>
      </c>
      <c r="K606" s="9">
        <v>8306.23</v>
      </c>
      <c r="L606" s="14">
        <v>0</v>
      </c>
      <c r="M606" s="2" t="s">
        <v>71</v>
      </c>
      <c r="N606" s="2" t="s">
        <v>13272</v>
      </c>
      <c r="O606" s="2" t="s">
        <v>13825</v>
      </c>
      <c r="P606" s="9">
        <v>0</v>
      </c>
      <c r="Q606" s="9">
        <v>0</v>
      </c>
      <c r="R606" s="2" t="s">
        <v>13277</v>
      </c>
    </row>
    <row r="607" spans="1:18" x14ac:dyDescent="0.25">
      <c r="A607" s="2" t="s">
        <v>2432</v>
      </c>
      <c r="B607" s="6">
        <v>46204</v>
      </c>
      <c r="C607" s="8">
        <v>46220</v>
      </c>
      <c r="D607" s="2" t="s">
        <v>136</v>
      </c>
      <c r="E607" s="2" t="s">
        <v>12593</v>
      </c>
      <c r="F607" s="2" t="s">
        <v>12428</v>
      </c>
      <c r="G607" s="2" t="s">
        <v>13826</v>
      </c>
      <c r="H607" s="2" t="s">
        <v>70</v>
      </c>
      <c r="I607" s="9">
        <v>12886.382979</v>
      </c>
      <c r="J607" s="7">
        <v>0.65800000000000003</v>
      </c>
      <c r="K607" s="9">
        <v>8479.24</v>
      </c>
      <c r="L607" s="14">
        <v>0</v>
      </c>
      <c r="M607" s="2" t="s">
        <v>71</v>
      </c>
      <c r="N607" s="2" t="s">
        <v>13272</v>
      </c>
      <c r="O607" s="2" t="s">
        <v>13827</v>
      </c>
      <c r="P607" s="9">
        <v>0</v>
      </c>
      <c r="Q607" s="9">
        <v>0</v>
      </c>
      <c r="R607" s="2" t="s">
        <v>13280</v>
      </c>
    </row>
    <row r="608" spans="1:18" x14ac:dyDescent="0.25">
      <c r="A608" s="2" t="s">
        <v>2435</v>
      </c>
      <c r="B608" s="6">
        <v>46204</v>
      </c>
      <c r="C608" s="8">
        <v>46221</v>
      </c>
      <c r="D608" s="2" t="s">
        <v>136</v>
      </c>
      <c r="E608" s="2" t="s">
        <v>12593</v>
      </c>
      <c r="F608" s="2" t="s">
        <v>12429</v>
      </c>
      <c r="G608" s="2" t="s">
        <v>13828</v>
      </c>
      <c r="H608" s="2" t="s">
        <v>39</v>
      </c>
      <c r="I608" s="9">
        <v>8652.25</v>
      </c>
      <c r="J608" s="7">
        <v>1</v>
      </c>
      <c r="K608" s="9">
        <v>8652.25</v>
      </c>
      <c r="L608" s="14">
        <v>0</v>
      </c>
      <c r="M608" s="2" t="s">
        <v>71</v>
      </c>
      <c r="N608" s="2" t="s">
        <v>13272</v>
      </c>
      <c r="O608" s="2" t="s">
        <v>13829</v>
      </c>
      <c r="P608" s="9">
        <v>0</v>
      </c>
      <c r="Q608" s="9">
        <v>0</v>
      </c>
      <c r="R608" s="2" t="s">
        <v>13283</v>
      </c>
    </row>
    <row r="609" spans="1:18" x14ac:dyDescent="0.25">
      <c r="A609" s="2" t="s">
        <v>2438</v>
      </c>
      <c r="B609" s="6">
        <v>46204</v>
      </c>
      <c r="C609" s="8">
        <v>46222</v>
      </c>
      <c r="D609" s="2" t="s">
        <v>136</v>
      </c>
      <c r="E609" s="2" t="s">
        <v>12593</v>
      </c>
      <c r="F609" s="2" t="s">
        <v>12430</v>
      </c>
      <c r="G609" s="2" t="s">
        <v>13830</v>
      </c>
      <c r="H609" s="2" t="s">
        <v>76</v>
      </c>
      <c r="I609" s="9">
        <v>142342903.225806</v>
      </c>
      <c r="J609" s="7">
        <v>6.2000000000000003E-5</v>
      </c>
      <c r="K609" s="9">
        <v>8825.26</v>
      </c>
      <c r="L609" s="14">
        <v>0</v>
      </c>
      <c r="M609" s="2" t="s">
        <v>71</v>
      </c>
      <c r="N609" s="2" t="s">
        <v>13272</v>
      </c>
      <c r="O609" s="2" t="s">
        <v>13831</v>
      </c>
      <c r="P609" s="9">
        <v>0</v>
      </c>
      <c r="Q609" s="9">
        <v>0</v>
      </c>
      <c r="R609" s="2" t="s">
        <v>13286</v>
      </c>
    </row>
    <row r="610" spans="1:18" x14ac:dyDescent="0.25">
      <c r="A610" s="2" t="s">
        <v>2443</v>
      </c>
      <c r="B610" s="6">
        <v>46204</v>
      </c>
      <c r="C610" s="8">
        <v>46223</v>
      </c>
      <c r="D610" s="2" t="s">
        <v>136</v>
      </c>
      <c r="E610" s="2" t="s">
        <v>12593</v>
      </c>
      <c r="F610" s="2" t="s">
        <v>12431</v>
      </c>
      <c r="G610" s="2" t="s">
        <v>13832</v>
      </c>
      <c r="H610" s="2" t="s">
        <v>70</v>
      </c>
      <c r="I610" s="9">
        <v>13675.182371000001</v>
      </c>
      <c r="J610" s="7">
        <v>0.65800000000000003</v>
      </c>
      <c r="K610" s="9">
        <v>8998.27</v>
      </c>
      <c r="L610" s="14">
        <v>0</v>
      </c>
      <c r="M610" s="2" t="s">
        <v>71</v>
      </c>
      <c r="N610" s="2" t="s">
        <v>13272</v>
      </c>
      <c r="O610" s="2" t="s">
        <v>13833</v>
      </c>
      <c r="P610" s="9">
        <v>0</v>
      </c>
      <c r="Q610" s="9">
        <v>0</v>
      </c>
      <c r="R610" s="2" t="s">
        <v>13289</v>
      </c>
    </row>
    <row r="611" spans="1:18" x14ac:dyDescent="0.25">
      <c r="A611" s="2" t="s">
        <v>2446</v>
      </c>
      <c r="B611" s="6">
        <v>46204</v>
      </c>
      <c r="C611" s="8">
        <v>46224</v>
      </c>
      <c r="D611" s="2" t="s">
        <v>136</v>
      </c>
      <c r="E611" s="2" t="s">
        <v>12593</v>
      </c>
      <c r="F611" s="2" t="s">
        <v>12432</v>
      </c>
      <c r="G611" s="2" t="s">
        <v>13834</v>
      </c>
      <c r="H611" s="2" t="s">
        <v>39</v>
      </c>
      <c r="I611" s="9">
        <v>9171.2800000000007</v>
      </c>
      <c r="J611" s="7">
        <v>1</v>
      </c>
      <c r="K611" s="9">
        <v>9171.2800000000007</v>
      </c>
      <c r="L611" s="14">
        <v>0</v>
      </c>
      <c r="M611" s="2" t="s">
        <v>71</v>
      </c>
      <c r="N611" s="2" t="s">
        <v>13272</v>
      </c>
      <c r="O611" s="2" t="s">
        <v>13835</v>
      </c>
      <c r="P611" s="9">
        <v>0</v>
      </c>
      <c r="Q611" s="9">
        <v>0</v>
      </c>
      <c r="R611" s="2" t="s">
        <v>13292</v>
      </c>
    </row>
    <row r="612" spans="1:18" x14ac:dyDescent="0.25">
      <c r="A612" s="2" t="s">
        <v>2449</v>
      </c>
      <c r="B612" s="6">
        <v>46204</v>
      </c>
      <c r="C612" s="8">
        <v>46225</v>
      </c>
      <c r="D612" s="2" t="s">
        <v>136</v>
      </c>
      <c r="E612" s="2" t="s">
        <v>12593</v>
      </c>
      <c r="F612" s="2" t="s">
        <v>12423</v>
      </c>
      <c r="G612" s="2" t="s">
        <v>13836</v>
      </c>
      <c r="H612" s="2" t="s">
        <v>76</v>
      </c>
      <c r="I612" s="9">
        <v>150714354.83871001</v>
      </c>
      <c r="J612" s="7">
        <v>6.2000000000000003E-5</v>
      </c>
      <c r="K612" s="9">
        <v>9344.2900000000009</v>
      </c>
      <c r="L612" s="14">
        <v>0</v>
      </c>
      <c r="M612" s="2" t="s">
        <v>71</v>
      </c>
      <c r="N612" s="2" t="s">
        <v>13272</v>
      </c>
      <c r="O612" s="2" t="s">
        <v>13837</v>
      </c>
      <c r="P612" s="9">
        <v>0</v>
      </c>
      <c r="Q612" s="9">
        <v>0</v>
      </c>
      <c r="R612" s="2" t="s">
        <v>13295</v>
      </c>
    </row>
    <row r="613" spans="1:18" x14ac:dyDescent="0.25">
      <c r="A613" s="2" t="s">
        <v>2452</v>
      </c>
      <c r="B613" s="6">
        <v>46204</v>
      </c>
      <c r="C613" s="8">
        <v>46226</v>
      </c>
      <c r="D613" s="2" t="s">
        <v>136</v>
      </c>
      <c r="E613" s="2" t="s">
        <v>12593</v>
      </c>
      <c r="F613" s="2" t="s">
        <v>12424</v>
      </c>
      <c r="G613" s="2" t="s">
        <v>13838</v>
      </c>
      <c r="H613" s="2" t="s">
        <v>70</v>
      </c>
      <c r="I613" s="9">
        <v>14463.981763</v>
      </c>
      <c r="J613" s="7">
        <v>0.65800000000000003</v>
      </c>
      <c r="K613" s="9">
        <v>9517.2999999999993</v>
      </c>
      <c r="L613" s="14">
        <v>0</v>
      </c>
      <c r="M613" s="2" t="s">
        <v>71</v>
      </c>
      <c r="N613" s="2" t="s">
        <v>13272</v>
      </c>
      <c r="O613" s="2" t="s">
        <v>13839</v>
      </c>
      <c r="P613" s="9">
        <v>0</v>
      </c>
      <c r="Q613" s="9">
        <v>0</v>
      </c>
      <c r="R613" s="2" t="s">
        <v>13298</v>
      </c>
    </row>
    <row r="614" spans="1:18" x14ac:dyDescent="0.25">
      <c r="A614" s="2" t="s">
        <v>2455</v>
      </c>
      <c r="B614" s="6">
        <v>46204</v>
      </c>
      <c r="C614" s="8">
        <v>46227</v>
      </c>
      <c r="D614" s="2" t="s">
        <v>136</v>
      </c>
      <c r="E614" s="2" t="s">
        <v>12593</v>
      </c>
      <c r="F614" s="2" t="s">
        <v>12425</v>
      </c>
      <c r="G614" s="2" t="s">
        <v>13840</v>
      </c>
      <c r="H614" s="2" t="s">
        <v>39</v>
      </c>
      <c r="I614" s="9">
        <v>9690.31</v>
      </c>
      <c r="J614" s="7">
        <v>1</v>
      </c>
      <c r="K614" s="9">
        <v>9690.31</v>
      </c>
      <c r="L614" s="14">
        <v>0</v>
      </c>
      <c r="M614" s="2" t="s">
        <v>71</v>
      </c>
      <c r="N614" s="2" t="s">
        <v>13272</v>
      </c>
      <c r="O614" s="2" t="s">
        <v>13841</v>
      </c>
      <c r="P614" s="9">
        <v>0</v>
      </c>
      <c r="Q614" s="9">
        <v>0</v>
      </c>
      <c r="R614" s="2" t="s">
        <v>13301</v>
      </c>
    </row>
    <row r="615" spans="1:18" x14ac:dyDescent="0.25">
      <c r="A615" s="2" t="s">
        <v>2458</v>
      </c>
      <c r="B615" s="6">
        <v>46204</v>
      </c>
      <c r="C615" s="8">
        <v>46228</v>
      </c>
      <c r="D615" s="2" t="s">
        <v>136</v>
      </c>
      <c r="E615" s="2" t="s">
        <v>12593</v>
      </c>
      <c r="F615" s="2" t="s">
        <v>12426</v>
      </c>
      <c r="G615" s="2" t="s">
        <v>13842</v>
      </c>
      <c r="H615" s="2" t="s">
        <v>76</v>
      </c>
      <c r="I615" s="9">
        <v>159085806.45161301</v>
      </c>
      <c r="J615" s="7">
        <v>6.2000000000000003E-5</v>
      </c>
      <c r="K615" s="9">
        <v>9863.32</v>
      </c>
      <c r="L615" s="14">
        <v>0</v>
      </c>
      <c r="M615" s="2" t="s">
        <v>71</v>
      </c>
      <c r="N615" s="2" t="s">
        <v>13272</v>
      </c>
      <c r="O615" s="2" t="s">
        <v>13843</v>
      </c>
      <c r="P615" s="9">
        <v>0</v>
      </c>
      <c r="Q615" s="9">
        <v>0</v>
      </c>
      <c r="R615" s="2" t="s">
        <v>13274</v>
      </c>
    </row>
    <row r="616" spans="1:18" x14ac:dyDescent="0.25">
      <c r="A616" s="2" t="s">
        <v>2463</v>
      </c>
      <c r="B616" s="6">
        <v>46204</v>
      </c>
      <c r="C616" s="8">
        <v>46229</v>
      </c>
      <c r="D616" s="2" t="s">
        <v>136</v>
      </c>
      <c r="E616" s="2" t="s">
        <v>12593</v>
      </c>
      <c r="F616" s="2" t="s">
        <v>12427</v>
      </c>
      <c r="G616" s="2" t="s">
        <v>13844</v>
      </c>
      <c r="H616" s="2" t="s">
        <v>70</v>
      </c>
      <c r="I616" s="9">
        <v>-15252.781155000001</v>
      </c>
      <c r="J616" s="7">
        <v>0.65800000000000003</v>
      </c>
      <c r="K616" s="9">
        <v>-10036.33</v>
      </c>
      <c r="L616" s="14">
        <v>0</v>
      </c>
      <c r="M616" s="2" t="s">
        <v>71</v>
      </c>
      <c r="N616" s="2" t="s">
        <v>13272</v>
      </c>
      <c r="O616" s="2" t="s">
        <v>13845</v>
      </c>
      <c r="P616" s="9">
        <v>0</v>
      </c>
      <c r="Q616" s="9">
        <v>0</v>
      </c>
      <c r="R616" s="2" t="s">
        <v>13277</v>
      </c>
    </row>
    <row r="617" spans="1:18" x14ac:dyDescent="0.25">
      <c r="A617" s="2" t="s">
        <v>2466</v>
      </c>
      <c r="B617" s="6">
        <v>46204</v>
      </c>
      <c r="C617" s="8">
        <v>46230</v>
      </c>
      <c r="D617" s="2" t="s">
        <v>136</v>
      </c>
      <c r="E617" s="2" t="s">
        <v>12593</v>
      </c>
      <c r="F617" s="2" t="s">
        <v>12428</v>
      </c>
      <c r="G617" s="2" t="s">
        <v>13846</v>
      </c>
      <c r="H617" s="2" t="s">
        <v>39</v>
      </c>
      <c r="I617" s="9">
        <v>10209.34</v>
      </c>
      <c r="J617" s="7">
        <v>1</v>
      </c>
      <c r="K617" s="9">
        <v>10209.34</v>
      </c>
      <c r="L617" s="14">
        <v>0</v>
      </c>
      <c r="M617" s="2" t="s">
        <v>71</v>
      </c>
      <c r="N617" s="2" t="s">
        <v>13272</v>
      </c>
      <c r="O617" s="2" t="s">
        <v>13847</v>
      </c>
      <c r="P617" s="9">
        <v>0</v>
      </c>
      <c r="Q617" s="9">
        <v>0</v>
      </c>
      <c r="R617" s="2" t="s">
        <v>13280</v>
      </c>
    </row>
    <row r="618" spans="1:18" x14ac:dyDescent="0.25">
      <c r="A618" s="2" t="s">
        <v>2469</v>
      </c>
      <c r="B618" s="6">
        <v>46204</v>
      </c>
      <c r="C618" s="8">
        <v>46231</v>
      </c>
      <c r="D618" s="2" t="s">
        <v>136</v>
      </c>
      <c r="E618" s="2" t="s">
        <v>12593</v>
      </c>
      <c r="F618" s="2" t="s">
        <v>12429</v>
      </c>
      <c r="G618" s="2" t="s">
        <v>13848</v>
      </c>
      <c r="H618" s="2" t="s">
        <v>76</v>
      </c>
      <c r="I618" s="9">
        <v>167457258.06451601</v>
      </c>
      <c r="J618" s="7">
        <v>6.2000000000000003E-5</v>
      </c>
      <c r="K618" s="9">
        <v>10382.35</v>
      </c>
      <c r="L618" s="14">
        <v>0</v>
      </c>
      <c r="M618" s="2" t="s">
        <v>71</v>
      </c>
      <c r="N618" s="2" t="s">
        <v>13272</v>
      </c>
      <c r="O618" s="2" t="s">
        <v>13849</v>
      </c>
      <c r="P618" s="9">
        <v>0</v>
      </c>
      <c r="Q618" s="9">
        <v>0</v>
      </c>
      <c r="R618" s="2" t="s">
        <v>13283</v>
      </c>
    </row>
    <row r="619" spans="1:18" x14ac:dyDescent="0.25">
      <c r="A619" s="2" t="s">
        <v>2472</v>
      </c>
      <c r="B619" s="6">
        <v>46204</v>
      </c>
      <c r="C619" s="8">
        <v>46232</v>
      </c>
      <c r="D619" s="2" t="s">
        <v>136</v>
      </c>
      <c r="E619" s="2" t="s">
        <v>12593</v>
      </c>
      <c r="F619" s="2" t="s">
        <v>12430</v>
      </c>
      <c r="G619" s="2" t="s">
        <v>13850</v>
      </c>
      <c r="H619" s="2" t="s">
        <v>70</v>
      </c>
      <c r="I619" s="9">
        <v>16041.580547</v>
      </c>
      <c r="J619" s="7">
        <v>0.65800000000000003</v>
      </c>
      <c r="K619" s="9">
        <v>10555.36</v>
      </c>
      <c r="L619" s="14">
        <v>0</v>
      </c>
      <c r="M619" s="2" t="s">
        <v>71</v>
      </c>
      <c r="N619" s="2" t="s">
        <v>13272</v>
      </c>
      <c r="O619" s="2" t="s">
        <v>13851</v>
      </c>
      <c r="P619" s="9">
        <v>0</v>
      </c>
      <c r="Q619" s="9">
        <v>0</v>
      </c>
      <c r="R619" s="2" t="s">
        <v>13286</v>
      </c>
    </row>
    <row r="620" spans="1:18" x14ac:dyDescent="0.25">
      <c r="A620" s="2" t="s">
        <v>2477</v>
      </c>
      <c r="B620" s="6">
        <v>46204</v>
      </c>
      <c r="C620" s="8">
        <v>46233</v>
      </c>
      <c r="D620" s="2" t="s">
        <v>136</v>
      </c>
      <c r="E620" s="2" t="s">
        <v>12593</v>
      </c>
      <c r="F620" s="2" t="s">
        <v>12431</v>
      </c>
      <c r="G620" s="2" t="s">
        <v>13852</v>
      </c>
      <c r="H620" s="2" t="s">
        <v>39</v>
      </c>
      <c r="I620" s="9">
        <v>10728.37</v>
      </c>
      <c r="J620" s="7">
        <v>1</v>
      </c>
      <c r="K620" s="9">
        <v>10728.37</v>
      </c>
      <c r="L620" s="14">
        <v>0</v>
      </c>
      <c r="M620" s="2" t="s">
        <v>71</v>
      </c>
      <c r="N620" s="2" t="s">
        <v>13272</v>
      </c>
      <c r="O620" s="2" t="s">
        <v>13853</v>
      </c>
      <c r="P620" s="9">
        <v>0</v>
      </c>
      <c r="Q620" s="9">
        <v>0</v>
      </c>
      <c r="R620" s="2" t="s">
        <v>13289</v>
      </c>
    </row>
    <row r="621" spans="1:18" x14ac:dyDescent="0.25">
      <c r="A621" s="2" t="s">
        <v>2480</v>
      </c>
      <c r="B621" s="6">
        <v>46204</v>
      </c>
      <c r="C621" s="8">
        <v>46234</v>
      </c>
      <c r="D621" s="2" t="s">
        <v>136</v>
      </c>
      <c r="E621" s="2" t="s">
        <v>12593</v>
      </c>
      <c r="F621" s="2" t="s">
        <v>12432</v>
      </c>
      <c r="G621" s="2" t="s">
        <v>13854</v>
      </c>
      <c r="H621" s="2" t="s">
        <v>76</v>
      </c>
      <c r="I621" s="9">
        <v>175828709.67741901</v>
      </c>
      <c r="J621" s="7">
        <v>6.2000000000000003E-5</v>
      </c>
      <c r="K621" s="9">
        <v>10901.38</v>
      </c>
      <c r="L621" s="14">
        <v>0</v>
      </c>
      <c r="M621" s="2" t="s">
        <v>71</v>
      </c>
      <c r="N621" s="2" t="s">
        <v>13272</v>
      </c>
      <c r="O621" s="2" t="s">
        <v>13855</v>
      </c>
      <c r="P621" s="9">
        <v>0</v>
      </c>
      <c r="Q621" s="9">
        <v>0</v>
      </c>
      <c r="R621" s="2" t="s">
        <v>13292</v>
      </c>
    </row>
    <row r="622" spans="1:18" x14ac:dyDescent="0.25">
      <c r="A622" s="2" t="s">
        <v>2483</v>
      </c>
      <c r="B622" s="6">
        <v>46204</v>
      </c>
      <c r="C622" s="8">
        <v>46204</v>
      </c>
      <c r="D622" s="2" t="s">
        <v>136</v>
      </c>
      <c r="E622" s="2" t="s">
        <v>12593</v>
      </c>
      <c r="F622" s="2" t="s">
        <v>12423</v>
      </c>
      <c r="G622" s="2" t="s">
        <v>13856</v>
      </c>
      <c r="H622" s="2" t="s">
        <v>70</v>
      </c>
      <c r="I622" s="9">
        <v>16830.379938999999</v>
      </c>
      <c r="J622" s="7">
        <v>0.65800000000000003</v>
      </c>
      <c r="K622" s="9">
        <v>11074.39</v>
      </c>
      <c r="L622" s="14">
        <v>0</v>
      </c>
      <c r="M622" s="2" t="s">
        <v>71</v>
      </c>
      <c r="N622" s="2" t="s">
        <v>13272</v>
      </c>
      <c r="O622" s="2" t="s">
        <v>13857</v>
      </c>
      <c r="P622" s="9">
        <v>0</v>
      </c>
      <c r="Q622" s="9">
        <v>0</v>
      </c>
      <c r="R622" s="2" t="s">
        <v>13295</v>
      </c>
    </row>
    <row r="623" spans="1:18" x14ac:dyDescent="0.25">
      <c r="A623" s="2" t="s">
        <v>2486</v>
      </c>
      <c r="B623" s="6">
        <v>46204</v>
      </c>
      <c r="C623" s="8">
        <v>46205</v>
      </c>
      <c r="D623" s="2" t="s">
        <v>136</v>
      </c>
      <c r="E623" s="2" t="s">
        <v>12593</v>
      </c>
      <c r="F623" s="2" t="s">
        <v>12424</v>
      </c>
      <c r="G623" s="2" t="s">
        <v>13858</v>
      </c>
      <c r="H623" s="2" t="s">
        <v>39</v>
      </c>
      <c r="I623" s="9">
        <v>11247.4</v>
      </c>
      <c r="J623" s="7">
        <v>1</v>
      </c>
      <c r="K623" s="9">
        <v>11247.4</v>
      </c>
      <c r="L623" s="14">
        <v>0</v>
      </c>
      <c r="M623" s="2" t="s">
        <v>71</v>
      </c>
      <c r="N623" s="2" t="s">
        <v>13272</v>
      </c>
      <c r="O623" s="2" t="s">
        <v>13859</v>
      </c>
      <c r="P623" s="9">
        <v>0</v>
      </c>
      <c r="Q623" s="9">
        <v>0</v>
      </c>
      <c r="R623" s="2" t="s">
        <v>13298</v>
      </c>
    </row>
    <row r="624" spans="1:18" x14ac:dyDescent="0.25">
      <c r="A624" s="2" t="s">
        <v>2489</v>
      </c>
      <c r="B624" s="6">
        <v>46204</v>
      </c>
      <c r="C624" s="8">
        <v>46206</v>
      </c>
      <c r="D624" s="2" t="s">
        <v>136</v>
      </c>
      <c r="E624" s="2" t="s">
        <v>12593</v>
      </c>
      <c r="F624" s="2" t="s">
        <v>12425</v>
      </c>
      <c r="G624" s="2" t="s">
        <v>13860</v>
      </c>
      <c r="H624" s="2" t="s">
        <v>76</v>
      </c>
      <c r="I624" s="9">
        <v>184200161.29032299</v>
      </c>
      <c r="J624" s="7">
        <v>6.2000000000000003E-5</v>
      </c>
      <c r="K624" s="9">
        <v>11420.41</v>
      </c>
      <c r="L624" s="14">
        <v>0</v>
      </c>
      <c r="M624" s="2" t="s">
        <v>71</v>
      </c>
      <c r="N624" s="2" t="s">
        <v>13272</v>
      </c>
      <c r="O624" s="2" t="s">
        <v>13861</v>
      </c>
      <c r="P624" s="9">
        <v>0</v>
      </c>
      <c r="Q624" s="9">
        <v>0</v>
      </c>
      <c r="R624" s="2" t="s">
        <v>13301</v>
      </c>
    </row>
    <row r="625" spans="1:18" x14ac:dyDescent="0.25">
      <c r="A625" s="2" t="s">
        <v>2492</v>
      </c>
      <c r="B625" s="6">
        <v>46204</v>
      </c>
      <c r="C625" s="8">
        <v>46207</v>
      </c>
      <c r="D625" s="2" t="s">
        <v>136</v>
      </c>
      <c r="E625" s="2" t="s">
        <v>12593</v>
      </c>
      <c r="F625" s="2" t="s">
        <v>12426</v>
      </c>
      <c r="G625" s="2" t="s">
        <v>13862</v>
      </c>
      <c r="H625" s="2" t="s">
        <v>70</v>
      </c>
      <c r="I625" s="9">
        <v>17619.179330999999</v>
      </c>
      <c r="J625" s="7">
        <v>0.65800000000000003</v>
      </c>
      <c r="K625" s="9">
        <v>11593.42</v>
      </c>
      <c r="L625" s="14">
        <v>0</v>
      </c>
      <c r="M625" s="2" t="s">
        <v>71</v>
      </c>
      <c r="N625" s="2" t="s">
        <v>13272</v>
      </c>
      <c r="O625" s="2" t="s">
        <v>13863</v>
      </c>
      <c r="P625" s="9">
        <v>0</v>
      </c>
      <c r="Q625" s="9">
        <v>0</v>
      </c>
      <c r="R625" s="2" t="s">
        <v>13274</v>
      </c>
    </row>
    <row r="626" spans="1:18" x14ac:dyDescent="0.25">
      <c r="A626" s="2" t="s">
        <v>2497</v>
      </c>
      <c r="B626" s="6">
        <v>46204</v>
      </c>
      <c r="C626" s="8">
        <v>46208</v>
      </c>
      <c r="D626" s="2" t="s">
        <v>136</v>
      </c>
      <c r="E626" s="2" t="s">
        <v>12593</v>
      </c>
      <c r="F626" s="2" t="s">
        <v>12427</v>
      </c>
      <c r="G626" s="2" t="s">
        <v>13864</v>
      </c>
      <c r="H626" s="2" t="s">
        <v>39</v>
      </c>
      <c r="I626" s="9">
        <v>11766.43</v>
      </c>
      <c r="J626" s="7">
        <v>1</v>
      </c>
      <c r="K626" s="9">
        <v>11766.43</v>
      </c>
      <c r="L626" s="14">
        <v>0</v>
      </c>
      <c r="M626" s="2" t="s">
        <v>71</v>
      </c>
      <c r="N626" s="2" t="s">
        <v>13272</v>
      </c>
      <c r="O626" s="2" t="s">
        <v>13865</v>
      </c>
      <c r="P626" s="9">
        <v>0</v>
      </c>
      <c r="Q626" s="9">
        <v>0</v>
      </c>
      <c r="R626" s="2" t="s">
        <v>13277</v>
      </c>
    </row>
    <row r="627" spans="1:18" x14ac:dyDescent="0.25">
      <c r="A627" s="2" t="s">
        <v>2502</v>
      </c>
      <c r="B627" s="6">
        <v>46204</v>
      </c>
      <c r="C627" s="8">
        <v>46209</v>
      </c>
      <c r="D627" s="2" t="s">
        <v>136</v>
      </c>
      <c r="E627" s="2" t="s">
        <v>12593</v>
      </c>
      <c r="F627" s="2" t="s">
        <v>12428</v>
      </c>
      <c r="G627" s="2" t="s">
        <v>13866</v>
      </c>
      <c r="H627" s="2" t="s">
        <v>76</v>
      </c>
      <c r="I627" s="9">
        <v>192571612.90322599</v>
      </c>
      <c r="J627" s="7">
        <v>6.2000000000000003E-5</v>
      </c>
      <c r="K627" s="9">
        <v>11939.44</v>
      </c>
      <c r="L627" s="14">
        <v>0</v>
      </c>
      <c r="M627" s="2" t="s">
        <v>71</v>
      </c>
      <c r="N627" s="2" t="s">
        <v>13272</v>
      </c>
      <c r="O627" s="2" t="s">
        <v>13867</v>
      </c>
      <c r="P627" s="9">
        <v>0</v>
      </c>
      <c r="Q627" s="9">
        <v>0</v>
      </c>
      <c r="R627" s="2" t="s">
        <v>13280</v>
      </c>
    </row>
    <row r="628" spans="1:18" x14ac:dyDescent="0.25">
      <c r="A628" s="2" t="s">
        <v>2505</v>
      </c>
      <c r="B628" s="6">
        <v>46204</v>
      </c>
      <c r="C628" s="8">
        <v>46210</v>
      </c>
      <c r="D628" s="2" t="s">
        <v>136</v>
      </c>
      <c r="E628" s="2" t="s">
        <v>12593</v>
      </c>
      <c r="F628" s="2" t="s">
        <v>12429</v>
      </c>
      <c r="G628" s="2" t="s">
        <v>13868</v>
      </c>
      <c r="H628" s="2" t="s">
        <v>70</v>
      </c>
      <c r="I628" s="9">
        <v>18407.978723</v>
      </c>
      <c r="J628" s="7">
        <v>0.65800000000000003</v>
      </c>
      <c r="K628" s="9">
        <v>12112.45</v>
      </c>
      <c r="L628" s="14">
        <v>0</v>
      </c>
      <c r="M628" s="2" t="s">
        <v>71</v>
      </c>
      <c r="N628" s="2" t="s">
        <v>13272</v>
      </c>
      <c r="O628" s="2" t="s">
        <v>13869</v>
      </c>
      <c r="P628" s="9">
        <v>0</v>
      </c>
      <c r="Q628" s="9">
        <v>0</v>
      </c>
      <c r="R628" s="2" t="s">
        <v>13283</v>
      </c>
    </row>
    <row r="629" spans="1:18" x14ac:dyDescent="0.25">
      <c r="A629" s="2" t="s">
        <v>2508</v>
      </c>
      <c r="B629" s="6">
        <v>46204</v>
      </c>
      <c r="C629" s="8">
        <v>46211</v>
      </c>
      <c r="D629" s="2" t="s">
        <v>136</v>
      </c>
      <c r="E629" s="2" t="s">
        <v>12593</v>
      </c>
      <c r="F629" s="2" t="s">
        <v>12430</v>
      </c>
      <c r="G629" s="2" t="s">
        <v>13870</v>
      </c>
      <c r="H629" s="2" t="s">
        <v>39</v>
      </c>
      <c r="I629" s="9">
        <v>12285.46</v>
      </c>
      <c r="J629" s="7">
        <v>1</v>
      </c>
      <c r="K629" s="9">
        <v>12285.46</v>
      </c>
      <c r="L629" s="14">
        <v>0</v>
      </c>
      <c r="M629" s="2" t="s">
        <v>71</v>
      </c>
      <c r="N629" s="2" t="s">
        <v>13272</v>
      </c>
      <c r="O629" s="2" t="s">
        <v>13871</v>
      </c>
      <c r="P629" s="9">
        <v>0</v>
      </c>
      <c r="Q629" s="9">
        <v>0</v>
      </c>
      <c r="R629" s="2" t="s">
        <v>13286</v>
      </c>
    </row>
    <row r="630" spans="1:18" x14ac:dyDescent="0.25">
      <c r="A630" s="2" t="s">
        <v>2513</v>
      </c>
      <c r="B630" s="6">
        <v>46204</v>
      </c>
      <c r="C630" s="8">
        <v>46212</v>
      </c>
      <c r="D630" s="2" t="s">
        <v>136</v>
      </c>
      <c r="E630" s="2" t="s">
        <v>12593</v>
      </c>
      <c r="F630" s="2" t="s">
        <v>12431</v>
      </c>
      <c r="G630" s="2" t="s">
        <v>13872</v>
      </c>
      <c r="H630" s="2" t="s">
        <v>76</v>
      </c>
      <c r="I630" s="9">
        <v>200943064.51612899</v>
      </c>
      <c r="J630" s="7">
        <v>6.2000000000000003E-5</v>
      </c>
      <c r="K630" s="9">
        <v>12458.47</v>
      </c>
      <c r="L630" s="14">
        <v>0</v>
      </c>
      <c r="M630" s="2" t="s">
        <v>71</v>
      </c>
      <c r="N630" s="2" t="s">
        <v>13272</v>
      </c>
      <c r="O630" s="2" t="s">
        <v>13873</v>
      </c>
      <c r="P630" s="9">
        <v>0</v>
      </c>
      <c r="Q630" s="9">
        <v>0</v>
      </c>
      <c r="R630" s="2" t="s">
        <v>13289</v>
      </c>
    </row>
    <row r="631" spans="1:18" x14ac:dyDescent="0.25">
      <c r="A631" s="2" t="s">
        <v>2516</v>
      </c>
      <c r="B631" s="6">
        <v>46204</v>
      </c>
      <c r="C631" s="8">
        <v>46213</v>
      </c>
      <c r="D631" s="2" t="s">
        <v>136</v>
      </c>
      <c r="E631" s="2" t="s">
        <v>12593</v>
      </c>
      <c r="F631" s="2" t="s">
        <v>12432</v>
      </c>
      <c r="G631" s="2" t="s">
        <v>13874</v>
      </c>
      <c r="H631" s="2" t="s">
        <v>70</v>
      </c>
      <c r="I631" s="9">
        <v>19196.778116000001</v>
      </c>
      <c r="J631" s="7">
        <v>0.65800000000000003</v>
      </c>
      <c r="K631" s="9">
        <v>12631.48</v>
      </c>
      <c r="L631" s="14">
        <v>0</v>
      </c>
      <c r="M631" s="2" t="s">
        <v>71</v>
      </c>
      <c r="N631" s="2" t="s">
        <v>13272</v>
      </c>
      <c r="O631" s="2" t="s">
        <v>13875</v>
      </c>
      <c r="P631" s="9">
        <v>0</v>
      </c>
      <c r="Q631" s="9">
        <v>0</v>
      </c>
      <c r="R631" s="2" t="s">
        <v>13292</v>
      </c>
    </row>
    <row r="632" spans="1:18" x14ac:dyDescent="0.25">
      <c r="A632" s="2" t="s">
        <v>2519</v>
      </c>
      <c r="B632" s="6">
        <v>46204</v>
      </c>
      <c r="C632" s="8">
        <v>46214</v>
      </c>
      <c r="D632" s="2" t="s">
        <v>136</v>
      </c>
      <c r="E632" s="2" t="s">
        <v>12593</v>
      </c>
      <c r="F632" s="2" t="s">
        <v>12423</v>
      </c>
      <c r="G632" s="2" t="s">
        <v>13876</v>
      </c>
      <c r="H632" s="2" t="s">
        <v>39</v>
      </c>
      <c r="I632" s="9">
        <v>12804.49</v>
      </c>
      <c r="J632" s="7">
        <v>1</v>
      </c>
      <c r="K632" s="9">
        <v>12804.49</v>
      </c>
      <c r="L632" s="14">
        <v>0</v>
      </c>
      <c r="M632" s="2" t="s">
        <v>71</v>
      </c>
      <c r="N632" s="2" t="s">
        <v>13272</v>
      </c>
      <c r="O632" s="2" t="s">
        <v>13877</v>
      </c>
      <c r="P632" s="9">
        <v>0</v>
      </c>
      <c r="Q632" s="9">
        <v>0</v>
      </c>
      <c r="R632" s="2" t="s">
        <v>13295</v>
      </c>
    </row>
    <row r="633" spans="1:18" x14ac:dyDescent="0.25">
      <c r="A633" s="2" t="s">
        <v>2522</v>
      </c>
      <c r="B633" s="6">
        <v>46204</v>
      </c>
      <c r="C633" s="8">
        <v>46215</v>
      </c>
      <c r="D633" s="2" t="s">
        <v>136</v>
      </c>
      <c r="E633" s="2" t="s">
        <v>12593</v>
      </c>
      <c r="F633" s="2" t="s">
        <v>12424</v>
      </c>
      <c r="G633" s="2" t="s">
        <v>13878</v>
      </c>
      <c r="H633" s="2" t="s">
        <v>76</v>
      </c>
      <c r="I633" s="9">
        <v>209314516.12903199</v>
      </c>
      <c r="J633" s="7">
        <v>6.2000000000000003E-5</v>
      </c>
      <c r="K633" s="9">
        <v>12977.5</v>
      </c>
      <c r="L633" s="14">
        <v>0</v>
      </c>
      <c r="M633" s="2" t="s">
        <v>71</v>
      </c>
      <c r="N633" s="2" t="s">
        <v>13272</v>
      </c>
      <c r="O633" s="2" t="s">
        <v>13879</v>
      </c>
      <c r="P633" s="9">
        <v>0</v>
      </c>
      <c r="Q633" s="9">
        <v>0</v>
      </c>
      <c r="R633" s="2" t="s">
        <v>13298</v>
      </c>
    </row>
    <row r="634" spans="1:18" x14ac:dyDescent="0.25">
      <c r="A634" s="2" t="s">
        <v>2525</v>
      </c>
      <c r="B634" s="6">
        <v>46204</v>
      </c>
      <c r="C634" s="8">
        <v>46216</v>
      </c>
      <c r="D634" s="2" t="s">
        <v>136</v>
      </c>
      <c r="E634" s="2" t="s">
        <v>12593</v>
      </c>
      <c r="F634" s="2" t="s">
        <v>12425</v>
      </c>
      <c r="G634" s="2" t="s">
        <v>13880</v>
      </c>
      <c r="H634" s="2" t="s">
        <v>70</v>
      </c>
      <c r="I634" s="9">
        <v>19985.577507999998</v>
      </c>
      <c r="J634" s="7">
        <v>0.65800000000000003</v>
      </c>
      <c r="K634" s="9">
        <v>13150.51</v>
      </c>
      <c r="L634" s="14">
        <v>0</v>
      </c>
      <c r="M634" s="2" t="s">
        <v>71</v>
      </c>
      <c r="N634" s="2" t="s">
        <v>13272</v>
      </c>
      <c r="O634" s="2" t="s">
        <v>13881</v>
      </c>
      <c r="P634" s="9">
        <v>0</v>
      </c>
      <c r="Q634" s="9">
        <v>0</v>
      </c>
      <c r="R634" s="2" t="s">
        <v>13301</v>
      </c>
    </row>
    <row r="635" spans="1:18" x14ac:dyDescent="0.25">
      <c r="A635" s="2" t="s">
        <v>2528</v>
      </c>
      <c r="B635" s="6">
        <v>46204</v>
      </c>
      <c r="C635" s="8">
        <v>46217</v>
      </c>
      <c r="D635" s="2" t="s">
        <v>136</v>
      </c>
      <c r="E635" s="2" t="s">
        <v>12593</v>
      </c>
      <c r="F635" s="2" t="s">
        <v>12426</v>
      </c>
      <c r="G635" s="2" t="s">
        <v>13882</v>
      </c>
      <c r="H635" s="2" t="s">
        <v>39</v>
      </c>
      <c r="I635" s="9">
        <v>13323.52</v>
      </c>
      <c r="J635" s="7">
        <v>1</v>
      </c>
      <c r="K635" s="9">
        <v>13323.52</v>
      </c>
      <c r="L635" s="14">
        <v>0</v>
      </c>
      <c r="M635" s="2" t="s">
        <v>71</v>
      </c>
      <c r="N635" s="2" t="s">
        <v>13272</v>
      </c>
      <c r="O635" s="2" t="s">
        <v>13883</v>
      </c>
      <c r="P635" s="9">
        <v>0</v>
      </c>
      <c r="Q635" s="9">
        <v>0</v>
      </c>
      <c r="R635" s="2" t="s">
        <v>13274</v>
      </c>
    </row>
    <row r="636" spans="1:18" x14ac:dyDescent="0.25">
      <c r="A636" s="2" t="s">
        <v>2533</v>
      </c>
      <c r="B636" s="6">
        <v>46204</v>
      </c>
      <c r="C636" s="8">
        <v>46218</v>
      </c>
      <c r="D636" s="2" t="s">
        <v>136</v>
      </c>
      <c r="E636" s="2" t="s">
        <v>12593</v>
      </c>
      <c r="F636" s="2" t="s">
        <v>12427</v>
      </c>
      <c r="G636" s="2" t="s">
        <v>13884</v>
      </c>
      <c r="H636" s="2" t="s">
        <v>76</v>
      </c>
      <c r="I636" s="9">
        <v>217685967.74193501</v>
      </c>
      <c r="J636" s="7">
        <v>6.2000000000000003E-5</v>
      </c>
      <c r="K636" s="9">
        <v>13496.53</v>
      </c>
      <c r="L636" s="14">
        <v>0</v>
      </c>
      <c r="M636" s="2" t="s">
        <v>71</v>
      </c>
      <c r="N636" s="2" t="s">
        <v>13272</v>
      </c>
      <c r="O636" s="2" t="s">
        <v>13885</v>
      </c>
      <c r="P636" s="9">
        <v>0</v>
      </c>
      <c r="Q636" s="9">
        <v>0</v>
      </c>
      <c r="R636" s="2" t="s">
        <v>13277</v>
      </c>
    </row>
    <row r="637" spans="1:18" x14ac:dyDescent="0.25">
      <c r="A637" s="2" t="s">
        <v>2538</v>
      </c>
      <c r="B637" s="6">
        <v>46204</v>
      </c>
      <c r="C637" s="8">
        <v>46219</v>
      </c>
      <c r="D637" s="2" t="s">
        <v>136</v>
      </c>
      <c r="E637" s="2" t="s">
        <v>12593</v>
      </c>
      <c r="F637" s="2" t="s">
        <v>12428</v>
      </c>
      <c r="G637" s="2" t="s">
        <v>13886</v>
      </c>
      <c r="H637" s="2" t="s">
        <v>70</v>
      </c>
      <c r="I637" s="9">
        <v>20774.376899999999</v>
      </c>
      <c r="J637" s="7">
        <v>0.65800000000000003</v>
      </c>
      <c r="K637" s="9">
        <v>13669.54</v>
      </c>
      <c r="L637" s="14">
        <v>0</v>
      </c>
      <c r="M637" s="2" t="s">
        <v>71</v>
      </c>
      <c r="N637" s="2" t="s">
        <v>13272</v>
      </c>
      <c r="O637" s="2" t="s">
        <v>13887</v>
      </c>
      <c r="P637" s="9">
        <v>0</v>
      </c>
      <c r="Q637" s="9">
        <v>0</v>
      </c>
      <c r="R637" s="2" t="s">
        <v>13280</v>
      </c>
    </row>
    <row r="638" spans="1:18" x14ac:dyDescent="0.25">
      <c r="A638" s="2" t="s">
        <v>2541</v>
      </c>
      <c r="B638" s="6">
        <v>46204</v>
      </c>
      <c r="C638" s="8">
        <v>46220</v>
      </c>
      <c r="D638" s="2" t="s">
        <v>136</v>
      </c>
      <c r="E638" s="2" t="s">
        <v>12593</v>
      </c>
      <c r="F638" s="2" t="s">
        <v>12429</v>
      </c>
      <c r="G638" s="2" t="s">
        <v>13888</v>
      </c>
      <c r="H638" s="2" t="s">
        <v>39</v>
      </c>
      <c r="I638" s="9">
        <v>13842.55</v>
      </c>
      <c r="J638" s="7">
        <v>1</v>
      </c>
      <c r="K638" s="9">
        <v>13842.55</v>
      </c>
      <c r="L638" s="14">
        <v>0</v>
      </c>
      <c r="M638" s="2" t="s">
        <v>71</v>
      </c>
      <c r="N638" s="2" t="s">
        <v>13272</v>
      </c>
      <c r="O638" s="2" t="s">
        <v>13889</v>
      </c>
      <c r="P638" s="9">
        <v>0</v>
      </c>
      <c r="Q638" s="9">
        <v>0</v>
      </c>
      <c r="R638" s="2" t="s">
        <v>13283</v>
      </c>
    </row>
    <row r="639" spans="1:18" x14ac:dyDescent="0.25">
      <c r="A639" s="2" t="s">
        <v>2544</v>
      </c>
      <c r="B639" s="6">
        <v>46204</v>
      </c>
      <c r="C639" s="8">
        <v>46221</v>
      </c>
      <c r="D639" s="2" t="s">
        <v>136</v>
      </c>
      <c r="E639" s="2" t="s">
        <v>12593</v>
      </c>
      <c r="F639" s="2" t="s">
        <v>12430</v>
      </c>
      <c r="G639" s="2" t="s">
        <v>13890</v>
      </c>
      <c r="H639" s="2" t="s">
        <v>76</v>
      </c>
      <c r="I639" s="9">
        <v>226057419.354839</v>
      </c>
      <c r="J639" s="7">
        <v>6.2000000000000003E-5</v>
      </c>
      <c r="K639" s="9">
        <v>14015.56</v>
      </c>
      <c r="L639" s="14">
        <v>0</v>
      </c>
      <c r="M639" s="2" t="s">
        <v>71</v>
      </c>
      <c r="N639" s="2" t="s">
        <v>13272</v>
      </c>
      <c r="O639" s="2" t="s">
        <v>13891</v>
      </c>
      <c r="P639" s="9">
        <v>0</v>
      </c>
      <c r="Q639" s="9">
        <v>0</v>
      </c>
      <c r="R639" s="2" t="s">
        <v>13286</v>
      </c>
    </row>
    <row r="640" spans="1:18" x14ac:dyDescent="0.25">
      <c r="A640" s="2" t="s">
        <v>2549</v>
      </c>
      <c r="B640" s="6">
        <v>46204</v>
      </c>
      <c r="C640" s="8">
        <v>46222</v>
      </c>
      <c r="D640" s="2" t="s">
        <v>136</v>
      </c>
      <c r="E640" s="2" t="s">
        <v>12593</v>
      </c>
      <c r="F640" s="2" t="s">
        <v>12431</v>
      </c>
      <c r="G640" s="2" t="s">
        <v>13892</v>
      </c>
      <c r="H640" s="2" t="s">
        <v>70</v>
      </c>
      <c r="I640" s="9">
        <v>21563.176292</v>
      </c>
      <c r="J640" s="7">
        <v>0.65800000000000003</v>
      </c>
      <c r="K640" s="9">
        <v>14188.57</v>
      </c>
      <c r="L640" s="14">
        <v>0</v>
      </c>
      <c r="M640" s="2" t="s">
        <v>71</v>
      </c>
      <c r="N640" s="2" t="s">
        <v>13272</v>
      </c>
      <c r="O640" s="2" t="s">
        <v>13893</v>
      </c>
      <c r="P640" s="9">
        <v>0</v>
      </c>
      <c r="Q640" s="9">
        <v>0</v>
      </c>
      <c r="R640" s="2" t="s">
        <v>13289</v>
      </c>
    </row>
    <row r="641" spans="1:18" x14ac:dyDescent="0.25">
      <c r="A641" s="2" t="s">
        <v>2552</v>
      </c>
      <c r="B641" s="6">
        <v>46204</v>
      </c>
      <c r="C641" s="8">
        <v>46223</v>
      </c>
      <c r="D641" s="2" t="s">
        <v>136</v>
      </c>
      <c r="E641" s="2" t="s">
        <v>12593</v>
      </c>
      <c r="F641" s="2" t="s">
        <v>12432</v>
      </c>
      <c r="G641" s="2" t="s">
        <v>13894</v>
      </c>
      <c r="H641" s="2" t="s">
        <v>39</v>
      </c>
      <c r="I641" s="9">
        <v>14361.58</v>
      </c>
      <c r="J641" s="7">
        <v>1</v>
      </c>
      <c r="K641" s="9">
        <v>14361.58</v>
      </c>
      <c r="L641" s="14">
        <v>0</v>
      </c>
      <c r="M641" s="2" t="s">
        <v>71</v>
      </c>
      <c r="N641" s="2" t="s">
        <v>13272</v>
      </c>
      <c r="O641" s="2" t="s">
        <v>13895</v>
      </c>
      <c r="P641" s="9">
        <v>0</v>
      </c>
      <c r="Q641" s="9">
        <v>0</v>
      </c>
      <c r="R641" s="2" t="s">
        <v>13292</v>
      </c>
    </row>
    <row r="642" spans="1:18" x14ac:dyDescent="0.25">
      <c r="A642" s="2" t="s">
        <v>2555</v>
      </c>
      <c r="B642" s="6">
        <v>46204</v>
      </c>
      <c r="C642" s="8">
        <v>46224</v>
      </c>
      <c r="D642" s="2" t="s">
        <v>136</v>
      </c>
      <c r="E642" s="2" t="s">
        <v>12593</v>
      </c>
      <c r="F642" s="2" t="s">
        <v>12423</v>
      </c>
      <c r="G642" s="2" t="s">
        <v>13896</v>
      </c>
      <c r="H642" s="2" t="s">
        <v>76</v>
      </c>
      <c r="I642" s="9">
        <v>234428870.967742</v>
      </c>
      <c r="J642" s="7">
        <v>6.2000000000000003E-5</v>
      </c>
      <c r="K642" s="9">
        <v>14534.59</v>
      </c>
      <c r="L642" s="14">
        <v>0</v>
      </c>
      <c r="M642" s="2" t="s">
        <v>71</v>
      </c>
      <c r="N642" s="2" t="s">
        <v>13272</v>
      </c>
      <c r="O642" s="2" t="s">
        <v>13897</v>
      </c>
      <c r="P642" s="9">
        <v>0</v>
      </c>
      <c r="Q642" s="9">
        <v>0</v>
      </c>
      <c r="R642" s="2" t="s">
        <v>13295</v>
      </c>
    </row>
    <row r="643" spans="1:18" x14ac:dyDescent="0.25">
      <c r="A643" s="2" t="s">
        <v>2558</v>
      </c>
      <c r="B643" s="6">
        <v>46204</v>
      </c>
      <c r="C643" s="8">
        <v>46225</v>
      </c>
      <c r="D643" s="2" t="s">
        <v>136</v>
      </c>
      <c r="E643" s="2" t="s">
        <v>12593</v>
      </c>
      <c r="F643" s="2" t="s">
        <v>12424</v>
      </c>
      <c r="G643" s="2" t="s">
        <v>13898</v>
      </c>
      <c r="H643" s="2" t="s">
        <v>70</v>
      </c>
      <c r="I643" s="9">
        <v>22351.975684000001</v>
      </c>
      <c r="J643" s="7">
        <v>0.65800000000000003</v>
      </c>
      <c r="K643" s="9">
        <v>14707.6</v>
      </c>
      <c r="L643" s="14">
        <v>0</v>
      </c>
      <c r="M643" s="2" t="s">
        <v>71</v>
      </c>
      <c r="N643" s="2" t="s">
        <v>13272</v>
      </c>
      <c r="O643" s="2" t="s">
        <v>13899</v>
      </c>
      <c r="P643" s="9">
        <v>0</v>
      </c>
      <c r="Q643" s="9">
        <v>0</v>
      </c>
      <c r="R643" s="2" t="s">
        <v>13298</v>
      </c>
    </row>
    <row r="644" spans="1:18" x14ac:dyDescent="0.25">
      <c r="A644" s="2" t="s">
        <v>2561</v>
      </c>
      <c r="B644" s="6">
        <v>46204</v>
      </c>
      <c r="C644" s="8">
        <v>46226</v>
      </c>
      <c r="D644" s="2" t="s">
        <v>136</v>
      </c>
      <c r="E644" s="2" t="s">
        <v>12593</v>
      </c>
      <c r="F644" s="2" t="s">
        <v>12425</v>
      </c>
      <c r="G644" s="2" t="s">
        <v>13900</v>
      </c>
      <c r="H644" s="2" t="s">
        <v>39</v>
      </c>
      <c r="I644" s="9">
        <v>880.61</v>
      </c>
      <c r="J644" s="7">
        <v>1</v>
      </c>
      <c r="K644" s="9">
        <v>880.61</v>
      </c>
      <c r="L644" s="14">
        <v>0</v>
      </c>
      <c r="M644" s="2" t="s">
        <v>71</v>
      </c>
      <c r="N644" s="2" t="s">
        <v>13272</v>
      </c>
      <c r="O644" s="2" t="s">
        <v>13901</v>
      </c>
      <c r="P644" s="9">
        <v>0</v>
      </c>
      <c r="Q644" s="9">
        <v>0</v>
      </c>
      <c r="R644" s="2" t="s">
        <v>13301</v>
      </c>
    </row>
    <row r="645" spans="1:18" x14ac:dyDescent="0.25">
      <c r="A645" s="2" t="s">
        <v>2564</v>
      </c>
      <c r="B645" s="6">
        <v>46204</v>
      </c>
      <c r="C645" s="8">
        <v>46227</v>
      </c>
      <c r="D645" s="2" t="s">
        <v>136</v>
      </c>
      <c r="E645" s="2" t="s">
        <v>12593</v>
      </c>
      <c r="F645" s="2" t="s">
        <v>12426</v>
      </c>
      <c r="G645" s="2" t="s">
        <v>13902</v>
      </c>
      <c r="H645" s="2" t="s">
        <v>76</v>
      </c>
      <c r="I645" s="9">
        <v>16993870.967742</v>
      </c>
      <c r="J645" s="7">
        <v>6.2000000000000003E-5</v>
      </c>
      <c r="K645" s="9">
        <v>1053.6199999999999</v>
      </c>
      <c r="L645" s="14">
        <v>0</v>
      </c>
      <c r="M645" s="2" t="s">
        <v>71</v>
      </c>
      <c r="N645" s="2" t="s">
        <v>13272</v>
      </c>
      <c r="O645" s="2" t="s">
        <v>13903</v>
      </c>
      <c r="P645" s="9">
        <v>0</v>
      </c>
      <c r="Q645" s="9">
        <v>0</v>
      </c>
      <c r="R645" s="2" t="s">
        <v>13274</v>
      </c>
    </row>
    <row r="646" spans="1:18" x14ac:dyDescent="0.25">
      <c r="A646" s="2" t="s">
        <v>2569</v>
      </c>
      <c r="B646" s="6">
        <v>46204</v>
      </c>
      <c r="C646" s="8">
        <v>46228</v>
      </c>
      <c r="D646" s="2" t="s">
        <v>136</v>
      </c>
      <c r="E646" s="2" t="s">
        <v>12593</v>
      </c>
      <c r="F646" s="2" t="s">
        <v>12427</v>
      </c>
      <c r="G646" s="2" t="s">
        <v>13904</v>
      </c>
      <c r="H646" s="2" t="s">
        <v>70</v>
      </c>
      <c r="I646" s="9">
        <v>1864.179331</v>
      </c>
      <c r="J646" s="7">
        <v>0.65800000000000003</v>
      </c>
      <c r="K646" s="9">
        <v>1226.6300000000001</v>
      </c>
      <c r="L646" s="14">
        <v>0</v>
      </c>
      <c r="M646" s="2" t="s">
        <v>71</v>
      </c>
      <c r="N646" s="2" t="s">
        <v>13272</v>
      </c>
      <c r="O646" s="2" t="s">
        <v>13905</v>
      </c>
      <c r="P646" s="9">
        <v>0</v>
      </c>
      <c r="Q646" s="9">
        <v>0</v>
      </c>
      <c r="R646" s="2" t="s">
        <v>13277</v>
      </c>
    </row>
    <row r="647" spans="1:18" x14ac:dyDescent="0.25">
      <c r="A647" s="2" t="s">
        <v>2574</v>
      </c>
      <c r="B647" s="6">
        <v>46204</v>
      </c>
      <c r="C647" s="8">
        <v>46229</v>
      </c>
      <c r="D647" s="2" t="s">
        <v>136</v>
      </c>
      <c r="E647" s="2" t="s">
        <v>12593</v>
      </c>
      <c r="F647" s="2" t="s">
        <v>12428</v>
      </c>
      <c r="G647" s="2" t="s">
        <v>13906</v>
      </c>
      <c r="H647" s="2" t="s">
        <v>39</v>
      </c>
      <c r="I647" s="9">
        <v>1399.64</v>
      </c>
      <c r="J647" s="7">
        <v>1</v>
      </c>
      <c r="K647" s="9">
        <v>1399.64</v>
      </c>
      <c r="L647" s="14">
        <v>0</v>
      </c>
      <c r="M647" s="2" t="s">
        <v>71</v>
      </c>
      <c r="N647" s="2" t="s">
        <v>13272</v>
      </c>
      <c r="O647" s="2" t="s">
        <v>13907</v>
      </c>
      <c r="P647" s="9">
        <v>0</v>
      </c>
      <c r="Q647" s="9">
        <v>0</v>
      </c>
      <c r="R647" s="2" t="s">
        <v>13280</v>
      </c>
    </row>
    <row r="648" spans="1:18" x14ac:dyDescent="0.25">
      <c r="A648" s="2" t="s">
        <v>2577</v>
      </c>
      <c r="B648" s="6">
        <v>46204</v>
      </c>
      <c r="C648" s="8">
        <v>46230</v>
      </c>
      <c r="D648" s="2" t="s">
        <v>136</v>
      </c>
      <c r="E648" s="2" t="s">
        <v>12593</v>
      </c>
      <c r="F648" s="2" t="s">
        <v>12429</v>
      </c>
      <c r="G648" s="2" t="s">
        <v>13908</v>
      </c>
      <c r="H648" s="2" t="s">
        <v>76</v>
      </c>
      <c r="I648" s="9">
        <v>25365322.580644999</v>
      </c>
      <c r="J648" s="7">
        <v>6.2000000000000003E-5</v>
      </c>
      <c r="K648" s="9">
        <v>1572.65</v>
      </c>
      <c r="L648" s="14">
        <v>0</v>
      </c>
      <c r="M648" s="2" t="s">
        <v>71</v>
      </c>
      <c r="N648" s="2" t="s">
        <v>13272</v>
      </c>
      <c r="O648" s="2" t="s">
        <v>13909</v>
      </c>
      <c r="P648" s="9">
        <v>0</v>
      </c>
      <c r="Q648" s="9">
        <v>0</v>
      </c>
      <c r="R648" s="2" t="s">
        <v>13283</v>
      </c>
    </row>
    <row r="649" spans="1:18" x14ac:dyDescent="0.25">
      <c r="A649" s="2" t="s">
        <v>2580</v>
      </c>
      <c r="B649" s="6">
        <v>46204</v>
      </c>
      <c r="C649" s="8">
        <v>46231</v>
      </c>
      <c r="D649" s="2" t="s">
        <v>136</v>
      </c>
      <c r="E649" s="2" t="s">
        <v>12593</v>
      </c>
      <c r="F649" s="2" t="s">
        <v>12430</v>
      </c>
      <c r="G649" s="2" t="s">
        <v>13910</v>
      </c>
      <c r="H649" s="2" t="s">
        <v>70</v>
      </c>
      <c r="I649" s="9">
        <v>2652.9787230000002</v>
      </c>
      <c r="J649" s="7">
        <v>0.65800000000000003</v>
      </c>
      <c r="K649" s="9">
        <v>1745.66</v>
      </c>
      <c r="L649" s="14">
        <v>0</v>
      </c>
      <c r="M649" s="2" t="s">
        <v>71</v>
      </c>
      <c r="N649" s="2" t="s">
        <v>13272</v>
      </c>
      <c r="O649" s="2" t="s">
        <v>13911</v>
      </c>
      <c r="P649" s="9">
        <v>0</v>
      </c>
      <c r="Q649" s="9">
        <v>0</v>
      </c>
      <c r="R649" s="2" t="s">
        <v>13286</v>
      </c>
    </row>
    <row r="650" spans="1:18" x14ac:dyDescent="0.25">
      <c r="A650" s="2" t="s">
        <v>2585</v>
      </c>
      <c r="B650" s="6">
        <v>46204</v>
      </c>
      <c r="C650" s="8">
        <v>46232</v>
      </c>
      <c r="D650" s="2" t="s">
        <v>136</v>
      </c>
      <c r="E650" s="2" t="s">
        <v>12593</v>
      </c>
      <c r="F650" s="2" t="s">
        <v>12431</v>
      </c>
      <c r="G650" s="2" t="s">
        <v>13912</v>
      </c>
      <c r="H650" s="2" t="s">
        <v>39</v>
      </c>
      <c r="I650" s="9">
        <v>1918.67</v>
      </c>
      <c r="J650" s="7">
        <v>1</v>
      </c>
      <c r="K650" s="9">
        <v>1918.67</v>
      </c>
      <c r="L650" s="14">
        <v>0</v>
      </c>
      <c r="M650" s="2" t="s">
        <v>71</v>
      </c>
      <c r="N650" s="2" t="s">
        <v>13272</v>
      </c>
      <c r="O650" s="2" t="s">
        <v>13913</v>
      </c>
      <c r="P650" s="9">
        <v>0</v>
      </c>
      <c r="Q650" s="9">
        <v>0</v>
      </c>
      <c r="R650" s="2" t="s">
        <v>13289</v>
      </c>
    </row>
    <row r="651" spans="1:18" x14ac:dyDescent="0.25">
      <c r="A651" s="2" t="s">
        <v>2588</v>
      </c>
      <c r="B651" s="6">
        <v>46204</v>
      </c>
      <c r="C651" s="8">
        <v>46233</v>
      </c>
      <c r="D651" s="2" t="s">
        <v>136</v>
      </c>
      <c r="E651" s="2" t="s">
        <v>12593</v>
      </c>
      <c r="F651" s="2" t="s">
        <v>12432</v>
      </c>
      <c r="G651" s="2" t="s">
        <v>13914</v>
      </c>
      <c r="H651" s="2" t="s">
        <v>76</v>
      </c>
      <c r="I651" s="9">
        <v>33736774.193548001</v>
      </c>
      <c r="J651" s="7">
        <v>6.2000000000000003E-5</v>
      </c>
      <c r="K651" s="9">
        <v>2091.6799999999998</v>
      </c>
      <c r="L651" s="14">
        <v>0</v>
      </c>
      <c r="M651" s="2" t="s">
        <v>71</v>
      </c>
      <c r="N651" s="2" t="s">
        <v>13272</v>
      </c>
      <c r="O651" s="2" t="s">
        <v>13915</v>
      </c>
      <c r="P651" s="9">
        <v>0</v>
      </c>
      <c r="Q651" s="9">
        <v>0</v>
      </c>
      <c r="R651" s="2" t="s">
        <v>13292</v>
      </c>
    </row>
    <row r="652" spans="1:18" x14ac:dyDescent="0.25">
      <c r="A652" s="2" t="s">
        <v>2591</v>
      </c>
      <c r="B652" s="6">
        <v>46204</v>
      </c>
      <c r="C652" s="8">
        <v>46234</v>
      </c>
      <c r="D652" s="2" t="s">
        <v>136</v>
      </c>
      <c r="E652" s="2" t="s">
        <v>12593</v>
      </c>
      <c r="F652" s="2" t="s">
        <v>12423</v>
      </c>
      <c r="G652" s="2" t="s">
        <v>13916</v>
      </c>
      <c r="H652" s="2" t="s">
        <v>70</v>
      </c>
      <c r="I652" s="9">
        <v>3441.778116</v>
      </c>
      <c r="J652" s="7">
        <v>0.65800000000000003</v>
      </c>
      <c r="K652" s="9">
        <v>2264.69</v>
      </c>
      <c r="L652" s="14">
        <v>0</v>
      </c>
      <c r="M652" s="2" t="s">
        <v>71</v>
      </c>
      <c r="N652" s="2" t="s">
        <v>13272</v>
      </c>
      <c r="O652" s="2" t="s">
        <v>13917</v>
      </c>
      <c r="P652" s="9">
        <v>0</v>
      </c>
      <c r="Q652" s="9">
        <v>0</v>
      </c>
      <c r="R652" s="2" t="s">
        <v>13295</v>
      </c>
    </row>
    <row r="653" spans="1:18" x14ac:dyDescent="0.25">
      <c r="A653" s="2" t="s">
        <v>2594</v>
      </c>
      <c r="B653" s="6">
        <v>46204</v>
      </c>
      <c r="C653" s="8">
        <v>46204</v>
      </c>
      <c r="D653" s="2" t="s">
        <v>136</v>
      </c>
      <c r="E653" s="2" t="s">
        <v>12593</v>
      </c>
      <c r="F653" s="2" t="s">
        <v>12424</v>
      </c>
      <c r="G653" s="2" t="s">
        <v>13918</v>
      </c>
      <c r="H653" s="2" t="s">
        <v>39</v>
      </c>
      <c r="I653" s="9">
        <v>2437.6999999999998</v>
      </c>
      <c r="J653" s="7">
        <v>1</v>
      </c>
      <c r="K653" s="9">
        <v>2437.6999999999998</v>
      </c>
      <c r="L653" s="14">
        <v>0</v>
      </c>
      <c r="M653" s="2" t="s">
        <v>71</v>
      </c>
      <c r="N653" s="2" t="s">
        <v>13272</v>
      </c>
      <c r="O653" s="2" t="s">
        <v>13919</v>
      </c>
      <c r="P653" s="9">
        <v>0</v>
      </c>
      <c r="Q653" s="9">
        <v>0</v>
      </c>
      <c r="R653" s="2" t="s">
        <v>13298</v>
      </c>
    </row>
    <row r="654" spans="1:18" x14ac:dyDescent="0.25">
      <c r="A654" s="2" t="s">
        <v>2597</v>
      </c>
      <c r="B654" s="6">
        <v>46204</v>
      </c>
      <c r="C654" s="8">
        <v>46205</v>
      </c>
      <c r="D654" s="2" t="s">
        <v>136</v>
      </c>
      <c r="E654" s="2" t="s">
        <v>12593</v>
      </c>
      <c r="F654" s="2" t="s">
        <v>12425</v>
      </c>
      <c r="G654" s="2" t="s">
        <v>13920</v>
      </c>
      <c r="H654" s="2" t="s">
        <v>76</v>
      </c>
      <c r="I654" s="9">
        <v>42108225.806451999</v>
      </c>
      <c r="J654" s="7">
        <v>6.2000000000000003E-5</v>
      </c>
      <c r="K654" s="9">
        <v>2610.71</v>
      </c>
      <c r="L654" s="14">
        <v>0</v>
      </c>
      <c r="M654" s="2" t="s">
        <v>71</v>
      </c>
      <c r="N654" s="2" t="s">
        <v>13272</v>
      </c>
      <c r="O654" s="2" t="s">
        <v>13921</v>
      </c>
      <c r="P654" s="9">
        <v>0</v>
      </c>
      <c r="Q654" s="9">
        <v>0</v>
      </c>
      <c r="R654" s="2" t="s">
        <v>13301</v>
      </c>
    </row>
    <row r="655" spans="1:18" x14ac:dyDescent="0.25">
      <c r="A655" s="2" t="s">
        <v>2600</v>
      </c>
      <c r="B655" s="6">
        <v>46204</v>
      </c>
      <c r="C655" s="8">
        <v>46206</v>
      </c>
      <c r="D655" s="2" t="s">
        <v>136</v>
      </c>
      <c r="E655" s="2" t="s">
        <v>12593</v>
      </c>
      <c r="F655" s="2" t="s">
        <v>12426</v>
      </c>
      <c r="G655" s="2" t="s">
        <v>13922</v>
      </c>
      <c r="H655" s="2" t="s">
        <v>70</v>
      </c>
      <c r="I655" s="9">
        <v>4230.5775080000003</v>
      </c>
      <c r="J655" s="7">
        <v>0.65800000000000003</v>
      </c>
      <c r="K655" s="9">
        <v>2783.72</v>
      </c>
      <c r="L655" s="14">
        <v>0</v>
      </c>
      <c r="M655" s="2" t="s">
        <v>71</v>
      </c>
      <c r="N655" s="2" t="s">
        <v>13272</v>
      </c>
      <c r="O655" s="2" t="s">
        <v>13923</v>
      </c>
      <c r="P655" s="9">
        <v>0</v>
      </c>
      <c r="Q655" s="9">
        <v>0</v>
      </c>
      <c r="R655" s="2" t="s">
        <v>13274</v>
      </c>
    </row>
    <row r="656" spans="1:18" x14ac:dyDescent="0.25">
      <c r="A656" s="2" t="s">
        <v>2605</v>
      </c>
      <c r="B656" s="6">
        <v>46204</v>
      </c>
      <c r="C656" s="8">
        <v>46207</v>
      </c>
      <c r="D656" s="2" t="s">
        <v>136</v>
      </c>
      <c r="E656" s="2" t="s">
        <v>12593</v>
      </c>
      <c r="F656" s="2" t="s">
        <v>12427</v>
      </c>
      <c r="G656" s="2" t="s">
        <v>13924</v>
      </c>
      <c r="H656" s="2" t="s">
        <v>39</v>
      </c>
      <c r="I656" s="9">
        <v>2956.73</v>
      </c>
      <c r="J656" s="7">
        <v>1</v>
      </c>
      <c r="K656" s="9">
        <v>2956.73</v>
      </c>
      <c r="L656" s="14">
        <v>0</v>
      </c>
      <c r="M656" s="2" t="s">
        <v>71</v>
      </c>
      <c r="N656" s="2" t="s">
        <v>13272</v>
      </c>
      <c r="O656" s="2" t="s">
        <v>13925</v>
      </c>
      <c r="P656" s="9">
        <v>0</v>
      </c>
      <c r="Q656" s="9">
        <v>0</v>
      </c>
      <c r="R656" s="2" t="s">
        <v>13277</v>
      </c>
    </row>
    <row r="657" spans="1:18" x14ac:dyDescent="0.25">
      <c r="A657" s="2" t="s">
        <v>2610</v>
      </c>
      <c r="B657" s="6">
        <v>46204</v>
      </c>
      <c r="C657" s="8">
        <v>46208</v>
      </c>
      <c r="D657" s="2" t="s">
        <v>136</v>
      </c>
      <c r="E657" s="2" t="s">
        <v>12593</v>
      </c>
      <c r="F657" s="2" t="s">
        <v>12428</v>
      </c>
      <c r="G657" s="2" t="s">
        <v>13926</v>
      </c>
      <c r="H657" s="2" t="s">
        <v>76</v>
      </c>
      <c r="I657" s="9">
        <v>-50479677.419354998</v>
      </c>
      <c r="J657" s="7">
        <v>6.2000000000000003E-5</v>
      </c>
      <c r="K657" s="9">
        <v>-3129.74</v>
      </c>
      <c r="L657" s="14">
        <v>0</v>
      </c>
      <c r="M657" s="2" t="s">
        <v>71</v>
      </c>
      <c r="N657" s="2" t="s">
        <v>13272</v>
      </c>
      <c r="O657" s="2" t="s">
        <v>13927</v>
      </c>
      <c r="P657" s="9">
        <v>0</v>
      </c>
      <c r="Q657" s="9">
        <v>0</v>
      </c>
      <c r="R657" s="2" t="s">
        <v>13280</v>
      </c>
    </row>
    <row r="658" spans="1:18" x14ac:dyDescent="0.25">
      <c r="A658" s="2" t="s">
        <v>2613</v>
      </c>
      <c r="B658" s="6">
        <v>46204</v>
      </c>
      <c r="C658" s="8">
        <v>46209</v>
      </c>
      <c r="D658" s="2" t="s">
        <v>136</v>
      </c>
      <c r="E658" s="2" t="s">
        <v>12593</v>
      </c>
      <c r="F658" s="2" t="s">
        <v>12429</v>
      </c>
      <c r="G658" s="2" t="s">
        <v>13928</v>
      </c>
      <c r="H658" s="2" t="s">
        <v>70</v>
      </c>
      <c r="I658" s="9">
        <v>5019.3769000000002</v>
      </c>
      <c r="J658" s="7">
        <v>0.65800000000000003</v>
      </c>
      <c r="K658" s="9">
        <v>3302.75</v>
      </c>
      <c r="L658" s="14">
        <v>0</v>
      </c>
      <c r="M658" s="2" t="s">
        <v>71</v>
      </c>
      <c r="N658" s="2" t="s">
        <v>13272</v>
      </c>
      <c r="O658" s="2" t="s">
        <v>13929</v>
      </c>
      <c r="P658" s="9">
        <v>0</v>
      </c>
      <c r="Q658" s="9">
        <v>0</v>
      </c>
      <c r="R658" s="2" t="s">
        <v>13283</v>
      </c>
    </row>
    <row r="659" spans="1:18" x14ac:dyDescent="0.25">
      <c r="A659" s="2" t="s">
        <v>2616</v>
      </c>
      <c r="B659" s="6">
        <v>46204</v>
      </c>
      <c r="C659" s="8">
        <v>46210</v>
      </c>
      <c r="D659" s="2" t="s">
        <v>136</v>
      </c>
      <c r="E659" s="2" t="s">
        <v>12593</v>
      </c>
      <c r="F659" s="2" t="s">
        <v>12430</v>
      </c>
      <c r="G659" s="2" t="s">
        <v>13930</v>
      </c>
      <c r="H659" s="2" t="s">
        <v>39</v>
      </c>
      <c r="I659" s="9">
        <v>3475.76</v>
      </c>
      <c r="J659" s="7">
        <v>1</v>
      </c>
      <c r="K659" s="9">
        <v>3475.76</v>
      </c>
      <c r="L659" s="14">
        <v>0</v>
      </c>
      <c r="M659" s="2" t="s">
        <v>71</v>
      </c>
      <c r="N659" s="2" t="s">
        <v>13272</v>
      </c>
      <c r="O659" s="2" t="s">
        <v>13931</v>
      </c>
      <c r="P659" s="9">
        <v>0</v>
      </c>
      <c r="Q659" s="9">
        <v>0</v>
      </c>
      <c r="R659" s="2" t="s">
        <v>13286</v>
      </c>
    </row>
    <row r="660" spans="1:18" x14ac:dyDescent="0.25">
      <c r="A660" s="2" t="s">
        <v>2621</v>
      </c>
      <c r="B660" s="6">
        <v>46204</v>
      </c>
      <c r="C660" s="8">
        <v>46211</v>
      </c>
      <c r="D660" s="2" t="s">
        <v>136</v>
      </c>
      <c r="E660" s="2" t="s">
        <v>12593</v>
      </c>
      <c r="F660" s="2" t="s">
        <v>12431</v>
      </c>
      <c r="G660" s="2" t="s">
        <v>13932</v>
      </c>
      <c r="H660" s="2" t="s">
        <v>76</v>
      </c>
      <c r="I660" s="9">
        <v>58851129.032257996</v>
      </c>
      <c r="J660" s="7">
        <v>6.2000000000000003E-5</v>
      </c>
      <c r="K660" s="9">
        <v>3648.77</v>
      </c>
      <c r="L660" s="14">
        <v>0</v>
      </c>
      <c r="M660" s="2" t="s">
        <v>71</v>
      </c>
      <c r="N660" s="2" t="s">
        <v>13272</v>
      </c>
      <c r="O660" s="2" t="s">
        <v>13933</v>
      </c>
      <c r="P660" s="9">
        <v>0</v>
      </c>
      <c r="Q660" s="9">
        <v>0</v>
      </c>
      <c r="R660" s="2" t="s">
        <v>13289</v>
      </c>
    </row>
    <row r="661" spans="1:18" x14ac:dyDescent="0.25">
      <c r="A661" s="2" t="s">
        <v>2624</v>
      </c>
      <c r="B661" s="6">
        <v>46204</v>
      </c>
      <c r="C661" s="8">
        <v>46212</v>
      </c>
      <c r="D661" s="2" t="s">
        <v>136</v>
      </c>
      <c r="E661" s="2" t="s">
        <v>12593</v>
      </c>
      <c r="F661" s="2" t="s">
        <v>12432</v>
      </c>
      <c r="G661" s="2" t="s">
        <v>13934</v>
      </c>
      <c r="H661" s="2" t="s">
        <v>70</v>
      </c>
      <c r="I661" s="9">
        <v>5808.1762920000001</v>
      </c>
      <c r="J661" s="7">
        <v>0.65800000000000003</v>
      </c>
      <c r="K661" s="9">
        <v>3821.78</v>
      </c>
      <c r="L661" s="14">
        <v>0</v>
      </c>
      <c r="M661" s="2" t="s">
        <v>71</v>
      </c>
      <c r="N661" s="2" t="s">
        <v>13272</v>
      </c>
      <c r="O661" s="2" t="s">
        <v>13935</v>
      </c>
      <c r="P661" s="9">
        <v>0</v>
      </c>
      <c r="Q661" s="9">
        <v>0</v>
      </c>
      <c r="R661" s="2" t="s">
        <v>13292</v>
      </c>
    </row>
    <row r="662" spans="1:18" x14ac:dyDescent="0.25">
      <c r="A662" s="2" t="s">
        <v>2627</v>
      </c>
      <c r="B662" s="6">
        <v>46204</v>
      </c>
      <c r="C662" s="8">
        <v>46213</v>
      </c>
      <c r="D662" s="2" t="s">
        <v>136</v>
      </c>
      <c r="E662" s="2" t="s">
        <v>12593</v>
      </c>
      <c r="F662" s="2" t="s">
        <v>12423</v>
      </c>
      <c r="G662" s="2" t="s">
        <v>13936</v>
      </c>
      <c r="H662" s="2" t="s">
        <v>39</v>
      </c>
      <c r="I662" s="9">
        <v>3994.79</v>
      </c>
      <c r="J662" s="7">
        <v>1</v>
      </c>
      <c r="K662" s="9">
        <v>3994.79</v>
      </c>
      <c r="L662" s="14">
        <v>0</v>
      </c>
      <c r="M662" s="2" t="s">
        <v>71</v>
      </c>
      <c r="N662" s="2" t="s">
        <v>13272</v>
      </c>
      <c r="O662" s="2" t="s">
        <v>13937</v>
      </c>
      <c r="P662" s="9">
        <v>0</v>
      </c>
      <c r="Q662" s="9">
        <v>0</v>
      </c>
      <c r="R662" s="2" t="s">
        <v>13295</v>
      </c>
    </row>
    <row r="663" spans="1:18" x14ac:dyDescent="0.25">
      <c r="A663" s="2" t="s">
        <v>2630</v>
      </c>
      <c r="B663" s="6">
        <v>46204</v>
      </c>
      <c r="C663" s="8">
        <v>46214</v>
      </c>
      <c r="D663" s="2" t="s">
        <v>136</v>
      </c>
      <c r="E663" s="2" t="s">
        <v>12593</v>
      </c>
      <c r="F663" s="2" t="s">
        <v>12424</v>
      </c>
      <c r="G663" s="2" t="s">
        <v>13938</v>
      </c>
      <c r="H663" s="2" t="s">
        <v>76</v>
      </c>
      <c r="I663" s="9">
        <v>67222580.645161003</v>
      </c>
      <c r="J663" s="7">
        <v>6.2000000000000003E-5</v>
      </c>
      <c r="K663" s="9">
        <v>4167.8</v>
      </c>
      <c r="L663" s="14">
        <v>0</v>
      </c>
      <c r="M663" s="2" t="s">
        <v>71</v>
      </c>
      <c r="N663" s="2" t="s">
        <v>13272</v>
      </c>
      <c r="O663" s="2" t="s">
        <v>13939</v>
      </c>
      <c r="P663" s="9">
        <v>0</v>
      </c>
      <c r="Q663" s="9">
        <v>0</v>
      </c>
      <c r="R663" s="2" t="s">
        <v>13298</v>
      </c>
    </row>
    <row r="664" spans="1:18" x14ac:dyDescent="0.25">
      <c r="A664" s="2" t="s">
        <v>2633</v>
      </c>
      <c r="B664" s="6">
        <v>46204</v>
      </c>
      <c r="C664" s="8">
        <v>46215</v>
      </c>
      <c r="D664" s="2" t="s">
        <v>136</v>
      </c>
      <c r="E664" s="2" t="s">
        <v>12593</v>
      </c>
      <c r="F664" s="2" t="s">
        <v>12425</v>
      </c>
      <c r="G664" s="2" t="s">
        <v>13940</v>
      </c>
      <c r="H664" s="2" t="s">
        <v>70</v>
      </c>
      <c r="I664" s="9">
        <v>6596.975684</v>
      </c>
      <c r="J664" s="7">
        <v>0.65800000000000003</v>
      </c>
      <c r="K664" s="9">
        <v>4340.8100000000004</v>
      </c>
      <c r="L664" s="14">
        <v>0</v>
      </c>
      <c r="M664" s="2" t="s">
        <v>71</v>
      </c>
      <c r="N664" s="2" t="s">
        <v>13272</v>
      </c>
      <c r="O664" s="2" t="s">
        <v>13941</v>
      </c>
      <c r="P664" s="9">
        <v>0</v>
      </c>
      <c r="Q664" s="9">
        <v>0</v>
      </c>
      <c r="R664" s="2" t="s">
        <v>13301</v>
      </c>
    </row>
    <row r="665" spans="1:18" x14ac:dyDescent="0.25">
      <c r="A665" s="2" t="s">
        <v>2636</v>
      </c>
      <c r="B665" s="6">
        <v>46204</v>
      </c>
      <c r="C665" s="8">
        <v>46216</v>
      </c>
      <c r="D665" s="2" t="s">
        <v>136</v>
      </c>
      <c r="E665" s="2" t="s">
        <v>12593</v>
      </c>
      <c r="F665" s="2" t="s">
        <v>12426</v>
      </c>
      <c r="G665" s="2" t="s">
        <v>13942</v>
      </c>
      <c r="H665" s="2" t="s">
        <v>39</v>
      </c>
      <c r="I665" s="9">
        <v>4513.82</v>
      </c>
      <c r="J665" s="7">
        <v>1</v>
      </c>
      <c r="K665" s="9">
        <v>4513.82</v>
      </c>
      <c r="L665" s="14">
        <v>0</v>
      </c>
      <c r="M665" s="2" t="s">
        <v>71</v>
      </c>
      <c r="N665" s="2" t="s">
        <v>13272</v>
      </c>
      <c r="O665" s="2" t="s">
        <v>13943</v>
      </c>
      <c r="P665" s="9">
        <v>0</v>
      </c>
      <c r="Q665" s="9">
        <v>0</v>
      </c>
      <c r="R665" s="2" t="s">
        <v>13274</v>
      </c>
    </row>
    <row r="666" spans="1:18" x14ac:dyDescent="0.25">
      <c r="A666" s="2" t="s">
        <v>2641</v>
      </c>
      <c r="B666" s="6">
        <v>46204</v>
      </c>
      <c r="C666" s="8">
        <v>46217</v>
      </c>
      <c r="D666" s="2" t="s">
        <v>136</v>
      </c>
      <c r="E666" s="2" t="s">
        <v>12593</v>
      </c>
      <c r="F666" s="2" t="s">
        <v>12427</v>
      </c>
      <c r="G666" s="2" t="s">
        <v>13944</v>
      </c>
      <c r="H666" s="2" t="s">
        <v>76</v>
      </c>
      <c r="I666" s="9">
        <v>75594032.258065</v>
      </c>
      <c r="J666" s="7">
        <v>6.2000000000000003E-5</v>
      </c>
      <c r="K666" s="9">
        <v>4686.83</v>
      </c>
      <c r="L666" s="14">
        <v>0</v>
      </c>
      <c r="M666" s="2" t="s">
        <v>71</v>
      </c>
      <c r="N666" s="2" t="s">
        <v>13272</v>
      </c>
      <c r="O666" s="2" t="s">
        <v>13945</v>
      </c>
      <c r="P666" s="9">
        <v>0</v>
      </c>
      <c r="Q666" s="9">
        <v>0</v>
      </c>
      <c r="R666" s="2" t="s">
        <v>13277</v>
      </c>
    </row>
    <row r="667" spans="1:18" x14ac:dyDescent="0.25">
      <c r="A667" s="2" t="s">
        <v>2646</v>
      </c>
      <c r="B667" s="6">
        <v>46204</v>
      </c>
      <c r="C667" s="8">
        <v>46218</v>
      </c>
      <c r="D667" s="2" t="s">
        <v>136</v>
      </c>
      <c r="E667" s="2" t="s">
        <v>12593</v>
      </c>
      <c r="F667" s="2" t="s">
        <v>12428</v>
      </c>
      <c r="G667" s="2" t="s">
        <v>13946</v>
      </c>
      <c r="H667" s="2" t="s">
        <v>70</v>
      </c>
      <c r="I667" s="9">
        <v>7385.7750759999999</v>
      </c>
      <c r="J667" s="7">
        <v>0.65800000000000003</v>
      </c>
      <c r="K667" s="9">
        <v>4859.84</v>
      </c>
      <c r="L667" s="14">
        <v>0</v>
      </c>
      <c r="M667" s="2" t="s">
        <v>71</v>
      </c>
      <c r="N667" s="2" t="s">
        <v>13272</v>
      </c>
      <c r="O667" s="2" t="s">
        <v>13947</v>
      </c>
      <c r="P667" s="9">
        <v>0</v>
      </c>
      <c r="Q667" s="9">
        <v>0</v>
      </c>
      <c r="R667" s="2" t="s">
        <v>13280</v>
      </c>
    </row>
    <row r="668" spans="1:18" x14ac:dyDescent="0.25">
      <c r="A668" s="2" t="s">
        <v>3847</v>
      </c>
      <c r="B668" s="6">
        <v>46174</v>
      </c>
      <c r="C668" s="8">
        <v>46174</v>
      </c>
      <c r="D668" s="2" t="s">
        <v>199</v>
      </c>
      <c r="E668" s="2" t="s">
        <v>12593</v>
      </c>
      <c r="F668" s="2" t="s">
        <v>12423</v>
      </c>
      <c r="G668" s="2" t="s">
        <v>13948</v>
      </c>
      <c r="H668" s="2" t="s">
        <v>39</v>
      </c>
      <c r="I668" s="9">
        <v>2605.0100000000002</v>
      </c>
      <c r="J668" s="7">
        <v>1</v>
      </c>
      <c r="K668" s="9">
        <v>2605.0100000000002</v>
      </c>
      <c r="L668" s="14">
        <v>0</v>
      </c>
      <c r="M668" s="2" t="s">
        <v>71</v>
      </c>
      <c r="N668" s="2" t="s">
        <v>12595</v>
      </c>
      <c r="O668" s="2" t="s">
        <v>13949</v>
      </c>
      <c r="P668" s="9">
        <v>0</v>
      </c>
      <c r="Q668" s="9">
        <v>0</v>
      </c>
      <c r="R668" s="2" t="s">
        <v>13950</v>
      </c>
    </row>
    <row r="669" spans="1:18" x14ac:dyDescent="0.25">
      <c r="A669" s="2" t="s">
        <v>3850</v>
      </c>
      <c r="B669" s="6">
        <v>46174</v>
      </c>
      <c r="C669" s="8">
        <v>46175</v>
      </c>
      <c r="D669" s="2" t="s">
        <v>199</v>
      </c>
      <c r="E669" s="2" t="s">
        <v>12593</v>
      </c>
      <c r="F669" s="2" t="s">
        <v>12424</v>
      </c>
      <c r="G669" s="2" t="s">
        <v>13951</v>
      </c>
      <c r="H669" s="2" t="s">
        <v>76</v>
      </c>
      <c r="I669" s="9">
        <v>44448320</v>
      </c>
      <c r="J669" s="7">
        <v>6.2500000000000001E-5</v>
      </c>
      <c r="K669" s="9">
        <v>2778.02</v>
      </c>
      <c r="L669" s="14">
        <v>0</v>
      </c>
      <c r="M669" s="2" t="s">
        <v>71</v>
      </c>
      <c r="N669" s="2" t="s">
        <v>12595</v>
      </c>
      <c r="O669" s="2" t="s">
        <v>13952</v>
      </c>
      <c r="P669" s="9">
        <v>0</v>
      </c>
      <c r="Q669" s="9">
        <v>0</v>
      </c>
      <c r="R669" s="2" t="s">
        <v>13953</v>
      </c>
    </row>
    <row r="670" spans="1:18" x14ac:dyDescent="0.25">
      <c r="A670" s="2" t="s">
        <v>3853</v>
      </c>
      <c r="B670" s="6">
        <v>46174</v>
      </c>
      <c r="C670" s="8">
        <v>46176</v>
      </c>
      <c r="D670" s="2" t="s">
        <v>199</v>
      </c>
      <c r="E670" s="2" t="s">
        <v>12593</v>
      </c>
      <c r="F670" s="2" t="s">
        <v>12425</v>
      </c>
      <c r="G670" s="2" t="s">
        <v>13954</v>
      </c>
      <c r="H670" s="2" t="s">
        <v>70</v>
      </c>
      <c r="I670" s="9">
        <v>4437.6390979999996</v>
      </c>
      <c r="J670" s="7">
        <v>0.66500000000000004</v>
      </c>
      <c r="K670" s="9">
        <v>2951.03</v>
      </c>
      <c r="L670" s="14">
        <v>0</v>
      </c>
      <c r="M670" s="2" t="s">
        <v>71</v>
      </c>
      <c r="N670" s="2" t="s">
        <v>12595</v>
      </c>
      <c r="O670" s="2" t="s">
        <v>13955</v>
      </c>
      <c r="P670" s="9">
        <v>0</v>
      </c>
      <c r="Q670" s="9">
        <v>0</v>
      </c>
      <c r="R670" s="2" t="s">
        <v>13956</v>
      </c>
    </row>
    <row r="671" spans="1:18" x14ac:dyDescent="0.25">
      <c r="A671" s="2" t="s">
        <v>3856</v>
      </c>
      <c r="B671" s="6">
        <v>46174</v>
      </c>
      <c r="C671" s="8">
        <v>46177</v>
      </c>
      <c r="D671" s="2" t="s">
        <v>199</v>
      </c>
      <c r="E671" s="2" t="s">
        <v>12593</v>
      </c>
      <c r="F671" s="2" t="s">
        <v>12426</v>
      </c>
      <c r="G671" s="2" t="s">
        <v>13957</v>
      </c>
      <c r="H671" s="2" t="s">
        <v>39</v>
      </c>
      <c r="I671" s="9">
        <v>3124.04</v>
      </c>
      <c r="J671" s="7">
        <v>1</v>
      </c>
      <c r="K671" s="9">
        <v>3124.04</v>
      </c>
      <c r="L671" s="14">
        <v>0</v>
      </c>
      <c r="M671" s="2" t="s">
        <v>71</v>
      </c>
      <c r="N671" s="2" t="s">
        <v>12595</v>
      </c>
      <c r="O671" s="2" t="s">
        <v>13958</v>
      </c>
      <c r="P671" s="9">
        <v>0</v>
      </c>
      <c r="Q671" s="9">
        <v>0</v>
      </c>
      <c r="R671" s="2" t="s">
        <v>13959</v>
      </c>
    </row>
    <row r="672" spans="1:18" x14ac:dyDescent="0.25">
      <c r="A672" s="2" t="s">
        <v>3861</v>
      </c>
      <c r="B672" s="6">
        <v>46174</v>
      </c>
      <c r="C672" s="8">
        <v>46178</v>
      </c>
      <c r="D672" s="2" t="s">
        <v>199</v>
      </c>
      <c r="E672" s="2" t="s">
        <v>12593</v>
      </c>
      <c r="F672" s="2" t="s">
        <v>12427</v>
      </c>
      <c r="G672" s="2" t="s">
        <v>13960</v>
      </c>
      <c r="H672" s="2" t="s">
        <v>76</v>
      </c>
      <c r="I672" s="9">
        <v>52752800</v>
      </c>
      <c r="J672" s="7">
        <v>6.2500000000000001E-5</v>
      </c>
      <c r="K672" s="9">
        <v>3297.05</v>
      </c>
      <c r="L672" s="14">
        <v>0</v>
      </c>
      <c r="M672" s="2" t="s">
        <v>71</v>
      </c>
      <c r="N672" s="2" t="s">
        <v>12595</v>
      </c>
      <c r="O672" s="2" t="s">
        <v>13961</v>
      </c>
      <c r="P672" s="9">
        <v>0</v>
      </c>
      <c r="Q672" s="9">
        <v>0</v>
      </c>
      <c r="R672" s="2" t="s">
        <v>13962</v>
      </c>
    </row>
    <row r="673" spans="1:18" x14ac:dyDescent="0.25">
      <c r="A673" s="2" t="s">
        <v>3866</v>
      </c>
      <c r="B673" s="6">
        <v>46174</v>
      </c>
      <c r="C673" s="8">
        <v>46179</v>
      </c>
      <c r="D673" s="2" t="s">
        <v>199</v>
      </c>
      <c r="E673" s="2" t="s">
        <v>12593</v>
      </c>
      <c r="F673" s="2" t="s">
        <v>12428</v>
      </c>
      <c r="G673" s="2" t="s">
        <v>13963</v>
      </c>
      <c r="H673" s="2" t="s">
        <v>70</v>
      </c>
      <c r="I673" s="9">
        <v>5218.135338</v>
      </c>
      <c r="J673" s="7">
        <v>0.66500000000000004</v>
      </c>
      <c r="K673" s="9">
        <v>3470.06</v>
      </c>
      <c r="L673" s="14">
        <v>0</v>
      </c>
      <c r="M673" s="2" t="s">
        <v>71</v>
      </c>
      <c r="N673" s="2" t="s">
        <v>12595</v>
      </c>
      <c r="O673" s="2" t="s">
        <v>13964</v>
      </c>
      <c r="P673" s="9">
        <v>0</v>
      </c>
      <c r="Q673" s="9">
        <v>0</v>
      </c>
      <c r="R673" s="2" t="s">
        <v>13965</v>
      </c>
    </row>
    <row r="674" spans="1:18" x14ac:dyDescent="0.25">
      <c r="A674" s="2" t="s">
        <v>3869</v>
      </c>
      <c r="B674" s="6">
        <v>46174</v>
      </c>
      <c r="C674" s="8">
        <v>46180</v>
      </c>
      <c r="D674" s="2" t="s">
        <v>199</v>
      </c>
      <c r="E674" s="2" t="s">
        <v>12593</v>
      </c>
      <c r="F674" s="2" t="s">
        <v>12429</v>
      </c>
      <c r="G674" s="2" t="s">
        <v>13966</v>
      </c>
      <c r="H674" s="2" t="s">
        <v>39</v>
      </c>
      <c r="I674" s="9">
        <v>3643.07</v>
      </c>
      <c r="J674" s="7">
        <v>1</v>
      </c>
      <c r="K674" s="9">
        <v>3643.07</v>
      </c>
      <c r="L674" s="14">
        <v>0</v>
      </c>
      <c r="M674" s="2" t="s">
        <v>71</v>
      </c>
      <c r="N674" s="2" t="s">
        <v>12595</v>
      </c>
      <c r="O674" s="2" t="s">
        <v>13967</v>
      </c>
      <c r="P674" s="9">
        <v>0</v>
      </c>
      <c r="Q674" s="9">
        <v>0</v>
      </c>
      <c r="R674" s="2" t="s">
        <v>13968</v>
      </c>
    </row>
    <row r="675" spans="1:18" x14ac:dyDescent="0.25">
      <c r="A675" s="2" t="s">
        <v>3872</v>
      </c>
      <c r="B675" s="6">
        <v>46174</v>
      </c>
      <c r="C675" s="8">
        <v>46181</v>
      </c>
      <c r="D675" s="2" t="s">
        <v>199</v>
      </c>
      <c r="E675" s="2" t="s">
        <v>12593</v>
      </c>
      <c r="F675" s="2" t="s">
        <v>12430</v>
      </c>
      <c r="G675" s="2" t="s">
        <v>13969</v>
      </c>
      <c r="H675" s="2" t="s">
        <v>76</v>
      </c>
      <c r="I675" s="9">
        <v>61057280</v>
      </c>
      <c r="J675" s="7">
        <v>6.2500000000000001E-5</v>
      </c>
      <c r="K675" s="9">
        <v>3816.08</v>
      </c>
      <c r="L675" s="14">
        <v>0</v>
      </c>
      <c r="M675" s="2" t="s">
        <v>71</v>
      </c>
      <c r="N675" s="2" t="s">
        <v>12595</v>
      </c>
      <c r="O675" s="2" t="s">
        <v>13970</v>
      </c>
      <c r="P675" s="9">
        <v>0</v>
      </c>
      <c r="Q675" s="9">
        <v>0</v>
      </c>
      <c r="R675" s="2" t="s">
        <v>13971</v>
      </c>
    </row>
    <row r="676" spans="1:18" x14ac:dyDescent="0.25">
      <c r="A676" s="2" t="s">
        <v>3877</v>
      </c>
      <c r="B676" s="6">
        <v>46174</v>
      </c>
      <c r="C676" s="8">
        <v>46182</v>
      </c>
      <c r="D676" s="2" t="s">
        <v>199</v>
      </c>
      <c r="E676" s="2" t="s">
        <v>12593</v>
      </c>
      <c r="F676" s="2" t="s">
        <v>12431</v>
      </c>
      <c r="G676" s="2" t="s">
        <v>13972</v>
      </c>
      <c r="H676" s="2" t="s">
        <v>70</v>
      </c>
      <c r="I676" s="9">
        <v>5998.6315789999999</v>
      </c>
      <c r="J676" s="7">
        <v>0.66500000000000004</v>
      </c>
      <c r="K676" s="9">
        <v>3989.09</v>
      </c>
      <c r="L676" s="14">
        <v>0</v>
      </c>
      <c r="M676" s="2" t="s">
        <v>71</v>
      </c>
      <c r="N676" s="2" t="s">
        <v>12595</v>
      </c>
      <c r="O676" s="2" t="s">
        <v>13973</v>
      </c>
      <c r="P676" s="9">
        <v>0</v>
      </c>
      <c r="Q676" s="9">
        <v>0</v>
      </c>
      <c r="R676" s="2" t="s">
        <v>13974</v>
      </c>
    </row>
    <row r="677" spans="1:18" x14ac:dyDescent="0.25">
      <c r="A677" s="2" t="s">
        <v>3880</v>
      </c>
      <c r="B677" s="6">
        <v>46174</v>
      </c>
      <c r="C677" s="8">
        <v>46183</v>
      </c>
      <c r="D677" s="2" t="s">
        <v>199</v>
      </c>
      <c r="E677" s="2" t="s">
        <v>12593</v>
      </c>
      <c r="F677" s="2" t="s">
        <v>12432</v>
      </c>
      <c r="G677" s="2" t="s">
        <v>13975</v>
      </c>
      <c r="H677" s="2" t="s">
        <v>39</v>
      </c>
      <c r="I677" s="9">
        <v>4162.1000000000004</v>
      </c>
      <c r="J677" s="7">
        <v>1</v>
      </c>
      <c r="K677" s="9">
        <v>4162.1000000000004</v>
      </c>
      <c r="L677" s="14">
        <v>0</v>
      </c>
      <c r="M677" s="2" t="s">
        <v>71</v>
      </c>
      <c r="N677" s="2" t="s">
        <v>12595</v>
      </c>
      <c r="O677" s="2" t="s">
        <v>13976</v>
      </c>
      <c r="P677" s="9">
        <v>0</v>
      </c>
      <c r="Q677" s="9">
        <v>0</v>
      </c>
      <c r="R677" s="2" t="s">
        <v>13977</v>
      </c>
    </row>
    <row r="678" spans="1:18" x14ac:dyDescent="0.25">
      <c r="A678" s="2" t="s">
        <v>3883</v>
      </c>
      <c r="B678" s="6">
        <v>46174</v>
      </c>
      <c r="C678" s="8">
        <v>46184</v>
      </c>
      <c r="D678" s="2" t="s">
        <v>199</v>
      </c>
      <c r="E678" s="2" t="s">
        <v>12593</v>
      </c>
      <c r="F678" s="2" t="s">
        <v>12423</v>
      </c>
      <c r="G678" s="2" t="s">
        <v>13978</v>
      </c>
      <c r="H678" s="2" t="s">
        <v>76</v>
      </c>
      <c r="I678" s="9">
        <v>69361760</v>
      </c>
      <c r="J678" s="7">
        <v>6.2500000000000001E-5</v>
      </c>
      <c r="K678" s="9">
        <v>4335.1099999999997</v>
      </c>
      <c r="L678" s="14">
        <v>0</v>
      </c>
      <c r="M678" s="2" t="s">
        <v>71</v>
      </c>
      <c r="N678" s="2" t="s">
        <v>12595</v>
      </c>
      <c r="O678" s="2" t="s">
        <v>13979</v>
      </c>
      <c r="P678" s="9">
        <v>0</v>
      </c>
      <c r="Q678" s="9">
        <v>0</v>
      </c>
      <c r="R678" s="2" t="s">
        <v>13950</v>
      </c>
    </row>
    <row r="679" spans="1:18" x14ac:dyDescent="0.25">
      <c r="A679" s="2" t="s">
        <v>3886</v>
      </c>
      <c r="B679" s="6">
        <v>46174</v>
      </c>
      <c r="C679" s="8">
        <v>46185</v>
      </c>
      <c r="D679" s="2" t="s">
        <v>199</v>
      </c>
      <c r="E679" s="2" t="s">
        <v>12593</v>
      </c>
      <c r="F679" s="2" t="s">
        <v>12424</v>
      </c>
      <c r="G679" s="2" t="s">
        <v>13980</v>
      </c>
      <c r="H679" s="2" t="s">
        <v>70</v>
      </c>
      <c r="I679" s="9">
        <v>6779.1278199999997</v>
      </c>
      <c r="J679" s="7">
        <v>0.66500000000000004</v>
      </c>
      <c r="K679" s="9">
        <v>4508.12</v>
      </c>
      <c r="L679" s="14">
        <v>0</v>
      </c>
      <c r="M679" s="2" t="s">
        <v>71</v>
      </c>
      <c r="N679" s="2" t="s">
        <v>12595</v>
      </c>
      <c r="O679" s="2" t="s">
        <v>13981</v>
      </c>
      <c r="P679" s="9">
        <v>0</v>
      </c>
      <c r="Q679" s="9">
        <v>0</v>
      </c>
      <c r="R679" s="2" t="s">
        <v>13953</v>
      </c>
    </row>
    <row r="680" spans="1:18" x14ac:dyDescent="0.25">
      <c r="A680" s="2" t="s">
        <v>3889</v>
      </c>
      <c r="B680" s="6">
        <v>46174</v>
      </c>
      <c r="C680" s="8">
        <v>46186</v>
      </c>
      <c r="D680" s="2" t="s">
        <v>199</v>
      </c>
      <c r="E680" s="2" t="s">
        <v>12593</v>
      </c>
      <c r="F680" s="2" t="s">
        <v>12425</v>
      </c>
      <c r="G680" s="2" t="s">
        <v>13982</v>
      </c>
      <c r="H680" s="2" t="s">
        <v>39</v>
      </c>
      <c r="I680" s="9">
        <v>4681.13</v>
      </c>
      <c r="J680" s="7">
        <v>1</v>
      </c>
      <c r="K680" s="9">
        <v>4681.13</v>
      </c>
      <c r="L680" s="14">
        <v>0</v>
      </c>
      <c r="M680" s="2" t="s">
        <v>71</v>
      </c>
      <c r="N680" s="2" t="s">
        <v>12595</v>
      </c>
      <c r="O680" s="2" t="s">
        <v>13983</v>
      </c>
      <c r="P680" s="9">
        <v>0</v>
      </c>
      <c r="Q680" s="9">
        <v>0</v>
      </c>
      <c r="R680" s="2" t="s">
        <v>13956</v>
      </c>
    </row>
    <row r="681" spans="1:18" x14ac:dyDescent="0.25">
      <c r="A681" s="2" t="s">
        <v>3892</v>
      </c>
      <c r="B681" s="6">
        <v>46174</v>
      </c>
      <c r="C681" s="8">
        <v>46187</v>
      </c>
      <c r="D681" s="2" t="s">
        <v>199</v>
      </c>
      <c r="E681" s="2" t="s">
        <v>12593</v>
      </c>
      <c r="F681" s="2" t="s">
        <v>12426</v>
      </c>
      <c r="G681" s="2" t="s">
        <v>13984</v>
      </c>
      <c r="H681" s="2" t="s">
        <v>76</v>
      </c>
      <c r="I681" s="9">
        <v>77666240</v>
      </c>
      <c r="J681" s="7">
        <v>6.2500000000000001E-5</v>
      </c>
      <c r="K681" s="9">
        <v>4854.1400000000003</v>
      </c>
      <c r="L681" s="14">
        <v>0</v>
      </c>
      <c r="M681" s="2" t="s">
        <v>71</v>
      </c>
      <c r="N681" s="2" t="s">
        <v>12595</v>
      </c>
      <c r="O681" s="2" t="s">
        <v>13985</v>
      </c>
      <c r="P681" s="9">
        <v>0</v>
      </c>
      <c r="Q681" s="9">
        <v>0</v>
      </c>
      <c r="R681" s="2" t="s">
        <v>13959</v>
      </c>
    </row>
    <row r="682" spans="1:18" x14ac:dyDescent="0.25">
      <c r="A682" s="2" t="s">
        <v>3897</v>
      </c>
      <c r="B682" s="6">
        <v>46174</v>
      </c>
      <c r="C682" s="8">
        <v>46188</v>
      </c>
      <c r="D682" s="2" t="s">
        <v>199</v>
      </c>
      <c r="E682" s="2" t="s">
        <v>12593</v>
      </c>
      <c r="F682" s="2" t="s">
        <v>12427</v>
      </c>
      <c r="G682" s="2" t="s">
        <v>13986</v>
      </c>
      <c r="H682" s="2" t="s">
        <v>70</v>
      </c>
      <c r="I682" s="9">
        <v>7559.6240600000001</v>
      </c>
      <c r="J682" s="7">
        <v>0.66500000000000004</v>
      </c>
      <c r="K682" s="9">
        <v>5027.1499999999996</v>
      </c>
      <c r="L682" s="14">
        <v>0</v>
      </c>
      <c r="M682" s="2" t="s">
        <v>71</v>
      </c>
      <c r="N682" s="2" t="s">
        <v>12595</v>
      </c>
      <c r="O682" s="2" t="s">
        <v>13987</v>
      </c>
      <c r="P682" s="9">
        <v>0</v>
      </c>
      <c r="Q682" s="9">
        <v>0</v>
      </c>
      <c r="R682" s="2" t="s">
        <v>13962</v>
      </c>
    </row>
    <row r="683" spans="1:18" x14ac:dyDescent="0.25">
      <c r="A683" s="2" t="s">
        <v>3902</v>
      </c>
      <c r="B683" s="6">
        <v>46174</v>
      </c>
      <c r="C683" s="8">
        <v>46189</v>
      </c>
      <c r="D683" s="2" t="s">
        <v>199</v>
      </c>
      <c r="E683" s="2" t="s">
        <v>12593</v>
      </c>
      <c r="F683" s="2" t="s">
        <v>12428</v>
      </c>
      <c r="G683" s="2" t="s">
        <v>13988</v>
      </c>
      <c r="H683" s="2" t="s">
        <v>39</v>
      </c>
      <c r="I683" s="9">
        <v>5200.16</v>
      </c>
      <c r="J683" s="7">
        <v>1</v>
      </c>
      <c r="K683" s="9">
        <v>5200.16</v>
      </c>
      <c r="L683" s="14">
        <v>0</v>
      </c>
      <c r="M683" s="2" t="s">
        <v>71</v>
      </c>
      <c r="N683" s="2" t="s">
        <v>12595</v>
      </c>
      <c r="O683" s="2" t="s">
        <v>13989</v>
      </c>
      <c r="P683" s="9">
        <v>0</v>
      </c>
      <c r="Q683" s="9">
        <v>0</v>
      </c>
      <c r="R683" s="2" t="s">
        <v>13965</v>
      </c>
    </row>
    <row r="684" spans="1:18" x14ac:dyDescent="0.25">
      <c r="A684" s="2" t="s">
        <v>3905</v>
      </c>
      <c r="B684" s="6">
        <v>46174</v>
      </c>
      <c r="C684" s="8">
        <v>46190</v>
      </c>
      <c r="D684" s="2" t="s">
        <v>199</v>
      </c>
      <c r="E684" s="2" t="s">
        <v>12593</v>
      </c>
      <c r="F684" s="2" t="s">
        <v>12429</v>
      </c>
      <c r="G684" s="2" t="s">
        <v>13990</v>
      </c>
      <c r="H684" s="2" t="s">
        <v>76</v>
      </c>
      <c r="I684" s="9">
        <v>85970720</v>
      </c>
      <c r="J684" s="7">
        <v>6.2500000000000001E-5</v>
      </c>
      <c r="K684" s="9">
        <v>5373.17</v>
      </c>
      <c r="L684" s="14">
        <v>0</v>
      </c>
      <c r="M684" s="2" t="s">
        <v>71</v>
      </c>
      <c r="N684" s="2" t="s">
        <v>12595</v>
      </c>
      <c r="O684" s="2" t="s">
        <v>13991</v>
      </c>
      <c r="P684" s="9">
        <v>0</v>
      </c>
      <c r="Q684" s="9">
        <v>0</v>
      </c>
      <c r="R684" s="2" t="s">
        <v>13968</v>
      </c>
    </row>
    <row r="685" spans="1:18" x14ac:dyDescent="0.25">
      <c r="A685" s="2" t="s">
        <v>3908</v>
      </c>
      <c r="B685" s="6">
        <v>46174</v>
      </c>
      <c r="C685" s="8">
        <v>46191</v>
      </c>
      <c r="D685" s="2" t="s">
        <v>199</v>
      </c>
      <c r="E685" s="2" t="s">
        <v>12593</v>
      </c>
      <c r="F685" s="2" t="s">
        <v>12430</v>
      </c>
      <c r="G685" s="2" t="s">
        <v>13992</v>
      </c>
      <c r="H685" s="2" t="s">
        <v>70</v>
      </c>
      <c r="I685" s="9">
        <v>8340.1203010000008</v>
      </c>
      <c r="J685" s="7">
        <v>0.66500000000000004</v>
      </c>
      <c r="K685" s="9">
        <v>5546.18</v>
      </c>
      <c r="L685" s="14">
        <v>0</v>
      </c>
      <c r="M685" s="2" t="s">
        <v>71</v>
      </c>
      <c r="N685" s="2" t="s">
        <v>12595</v>
      </c>
      <c r="O685" s="2" t="s">
        <v>13993</v>
      </c>
      <c r="P685" s="9">
        <v>0</v>
      </c>
      <c r="Q685" s="9">
        <v>0</v>
      </c>
      <c r="R685" s="2" t="s">
        <v>13971</v>
      </c>
    </row>
    <row r="686" spans="1:18" x14ac:dyDescent="0.25">
      <c r="A686" s="2" t="s">
        <v>3913</v>
      </c>
      <c r="B686" s="6">
        <v>46174</v>
      </c>
      <c r="C686" s="8">
        <v>46192</v>
      </c>
      <c r="D686" s="2" t="s">
        <v>199</v>
      </c>
      <c r="E686" s="2" t="s">
        <v>12593</v>
      </c>
      <c r="F686" s="2" t="s">
        <v>12431</v>
      </c>
      <c r="G686" s="2" t="s">
        <v>13994</v>
      </c>
      <c r="H686" s="2" t="s">
        <v>39</v>
      </c>
      <c r="I686" s="9">
        <v>5719.19</v>
      </c>
      <c r="J686" s="7">
        <v>1</v>
      </c>
      <c r="K686" s="9">
        <v>5719.19</v>
      </c>
      <c r="L686" s="14">
        <v>0</v>
      </c>
      <c r="M686" s="2" t="s">
        <v>71</v>
      </c>
      <c r="N686" s="2" t="s">
        <v>12595</v>
      </c>
      <c r="O686" s="2" t="s">
        <v>13995</v>
      </c>
      <c r="P686" s="9">
        <v>0</v>
      </c>
      <c r="Q686" s="9">
        <v>0</v>
      </c>
      <c r="R686" s="2" t="s">
        <v>13974</v>
      </c>
    </row>
    <row r="687" spans="1:18" x14ac:dyDescent="0.25">
      <c r="A687" s="2" t="s">
        <v>3916</v>
      </c>
      <c r="B687" s="6">
        <v>46174</v>
      </c>
      <c r="C687" s="8">
        <v>46193</v>
      </c>
      <c r="D687" s="2" t="s">
        <v>199</v>
      </c>
      <c r="E687" s="2" t="s">
        <v>12593</v>
      </c>
      <c r="F687" s="2" t="s">
        <v>12432</v>
      </c>
      <c r="G687" s="2" t="s">
        <v>13996</v>
      </c>
      <c r="H687" s="2" t="s">
        <v>76</v>
      </c>
      <c r="I687" s="9">
        <v>94275200</v>
      </c>
      <c r="J687" s="7">
        <v>6.2500000000000001E-5</v>
      </c>
      <c r="K687" s="9">
        <v>5892.2</v>
      </c>
      <c r="L687" s="14">
        <v>0</v>
      </c>
      <c r="M687" s="2" t="s">
        <v>71</v>
      </c>
      <c r="N687" s="2" t="s">
        <v>12595</v>
      </c>
      <c r="O687" s="2" t="s">
        <v>13997</v>
      </c>
      <c r="P687" s="9">
        <v>0</v>
      </c>
      <c r="Q687" s="9">
        <v>0</v>
      </c>
      <c r="R687" s="2" t="s">
        <v>13977</v>
      </c>
    </row>
    <row r="688" spans="1:18" x14ac:dyDescent="0.25">
      <c r="A688" s="2" t="s">
        <v>3919</v>
      </c>
      <c r="B688" s="6">
        <v>46174</v>
      </c>
      <c r="C688" s="8">
        <v>46194</v>
      </c>
      <c r="D688" s="2" t="s">
        <v>199</v>
      </c>
      <c r="E688" s="2" t="s">
        <v>12593</v>
      </c>
      <c r="F688" s="2" t="s">
        <v>12423</v>
      </c>
      <c r="G688" s="2" t="s">
        <v>13998</v>
      </c>
      <c r="H688" s="2" t="s">
        <v>70</v>
      </c>
      <c r="I688" s="9">
        <v>9120.6165409999994</v>
      </c>
      <c r="J688" s="7">
        <v>0.66500000000000004</v>
      </c>
      <c r="K688" s="9">
        <v>6065.21</v>
      </c>
      <c r="L688" s="14">
        <v>0</v>
      </c>
      <c r="M688" s="2" t="s">
        <v>71</v>
      </c>
      <c r="N688" s="2" t="s">
        <v>12595</v>
      </c>
      <c r="O688" s="2" t="s">
        <v>13999</v>
      </c>
      <c r="P688" s="9">
        <v>0</v>
      </c>
      <c r="Q688" s="9">
        <v>0</v>
      </c>
      <c r="R688" s="2" t="s">
        <v>13950</v>
      </c>
    </row>
    <row r="689" spans="1:18" x14ac:dyDescent="0.25">
      <c r="A689" s="2" t="s">
        <v>3922</v>
      </c>
      <c r="B689" s="6">
        <v>46174</v>
      </c>
      <c r="C689" s="8">
        <v>46195</v>
      </c>
      <c r="D689" s="2" t="s">
        <v>199</v>
      </c>
      <c r="E689" s="2" t="s">
        <v>12593</v>
      </c>
      <c r="F689" s="2" t="s">
        <v>12424</v>
      </c>
      <c r="G689" s="2" t="s">
        <v>14000</v>
      </c>
      <c r="H689" s="2" t="s">
        <v>39</v>
      </c>
      <c r="I689" s="9">
        <v>6238.22</v>
      </c>
      <c r="J689" s="7">
        <v>1</v>
      </c>
      <c r="K689" s="9">
        <v>6238.22</v>
      </c>
      <c r="L689" s="14">
        <v>0</v>
      </c>
      <c r="M689" s="2" t="s">
        <v>71</v>
      </c>
      <c r="N689" s="2" t="s">
        <v>12595</v>
      </c>
      <c r="O689" s="2" t="s">
        <v>14001</v>
      </c>
      <c r="P689" s="9">
        <v>0</v>
      </c>
      <c r="Q689" s="9">
        <v>0</v>
      </c>
      <c r="R689" s="2" t="s">
        <v>13953</v>
      </c>
    </row>
    <row r="690" spans="1:18" x14ac:dyDescent="0.25">
      <c r="A690" s="2" t="s">
        <v>3925</v>
      </c>
      <c r="B690" s="6">
        <v>46174</v>
      </c>
      <c r="C690" s="8">
        <v>46196</v>
      </c>
      <c r="D690" s="2" t="s">
        <v>199</v>
      </c>
      <c r="E690" s="2" t="s">
        <v>12593</v>
      </c>
      <c r="F690" s="2" t="s">
        <v>12425</v>
      </c>
      <c r="G690" s="2" t="s">
        <v>14002</v>
      </c>
      <c r="H690" s="2" t="s">
        <v>76</v>
      </c>
      <c r="I690" s="9">
        <v>102579680</v>
      </c>
      <c r="J690" s="7">
        <v>6.2500000000000001E-5</v>
      </c>
      <c r="K690" s="9">
        <v>6411.23</v>
      </c>
      <c r="L690" s="14">
        <v>0</v>
      </c>
      <c r="M690" s="2" t="s">
        <v>71</v>
      </c>
      <c r="N690" s="2" t="s">
        <v>12595</v>
      </c>
      <c r="O690" s="2" t="s">
        <v>14003</v>
      </c>
      <c r="P690" s="9">
        <v>0</v>
      </c>
      <c r="Q690" s="9">
        <v>0</v>
      </c>
      <c r="R690" s="2" t="s">
        <v>13956</v>
      </c>
    </row>
    <row r="691" spans="1:18" x14ac:dyDescent="0.25">
      <c r="A691" s="2" t="s">
        <v>3928</v>
      </c>
      <c r="B691" s="6">
        <v>46174</v>
      </c>
      <c r="C691" s="8">
        <v>46197</v>
      </c>
      <c r="D691" s="2" t="s">
        <v>199</v>
      </c>
      <c r="E691" s="2" t="s">
        <v>12593</v>
      </c>
      <c r="F691" s="2" t="s">
        <v>12426</v>
      </c>
      <c r="G691" s="2" t="s">
        <v>14004</v>
      </c>
      <c r="H691" s="2" t="s">
        <v>70</v>
      </c>
      <c r="I691" s="9">
        <v>9901.1127820000002</v>
      </c>
      <c r="J691" s="7">
        <v>0.66500000000000004</v>
      </c>
      <c r="K691" s="9">
        <v>6584.24</v>
      </c>
      <c r="L691" s="14">
        <v>0</v>
      </c>
      <c r="M691" s="2" t="s">
        <v>71</v>
      </c>
      <c r="N691" s="2" t="s">
        <v>12595</v>
      </c>
      <c r="O691" s="2" t="s">
        <v>14005</v>
      </c>
      <c r="P691" s="9">
        <v>0</v>
      </c>
      <c r="Q691" s="9">
        <v>0</v>
      </c>
      <c r="R691" s="2" t="s">
        <v>13959</v>
      </c>
    </row>
    <row r="692" spans="1:18" x14ac:dyDescent="0.25">
      <c r="A692" s="2" t="s">
        <v>3933</v>
      </c>
      <c r="B692" s="6">
        <v>46174</v>
      </c>
      <c r="C692" s="8">
        <v>46198</v>
      </c>
      <c r="D692" s="2" t="s">
        <v>199</v>
      </c>
      <c r="E692" s="2" t="s">
        <v>12593</v>
      </c>
      <c r="F692" s="2" t="s">
        <v>12427</v>
      </c>
      <c r="G692" s="2" t="s">
        <v>14006</v>
      </c>
      <c r="H692" s="2" t="s">
        <v>39</v>
      </c>
      <c r="I692" s="9">
        <v>6757.25</v>
      </c>
      <c r="J692" s="7">
        <v>1</v>
      </c>
      <c r="K692" s="9">
        <v>6757.25</v>
      </c>
      <c r="L692" s="14">
        <v>0</v>
      </c>
      <c r="M692" s="2" t="s">
        <v>71</v>
      </c>
      <c r="N692" s="2" t="s">
        <v>12595</v>
      </c>
      <c r="O692" s="2" t="s">
        <v>14007</v>
      </c>
      <c r="P692" s="9">
        <v>0</v>
      </c>
      <c r="Q692" s="9">
        <v>0</v>
      </c>
      <c r="R692" s="2" t="s">
        <v>13962</v>
      </c>
    </row>
    <row r="693" spans="1:18" x14ac:dyDescent="0.25">
      <c r="A693" s="2" t="s">
        <v>3938</v>
      </c>
      <c r="B693" s="6">
        <v>46174</v>
      </c>
      <c r="C693" s="8">
        <v>46199</v>
      </c>
      <c r="D693" s="2" t="s">
        <v>199</v>
      </c>
      <c r="E693" s="2" t="s">
        <v>12593</v>
      </c>
      <c r="F693" s="2" t="s">
        <v>12428</v>
      </c>
      <c r="G693" s="2" t="s">
        <v>14008</v>
      </c>
      <c r="H693" s="2" t="s">
        <v>76</v>
      </c>
      <c r="I693" s="9">
        <v>110884160</v>
      </c>
      <c r="J693" s="7">
        <v>6.2500000000000001E-5</v>
      </c>
      <c r="K693" s="9">
        <v>6930.26</v>
      </c>
      <c r="L693" s="14">
        <v>0</v>
      </c>
      <c r="M693" s="2" t="s">
        <v>71</v>
      </c>
      <c r="N693" s="2" t="s">
        <v>12595</v>
      </c>
      <c r="O693" s="2" t="s">
        <v>14009</v>
      </c>
      <c r="P693" s="9">
        <v>0</v>
      </c>
      <c r="Q693" s="9">
        <v>0</v>
      </c>
      <c r="R693" s="2" t="s">
        <v>13965</v>
      </c>
    </row>
    <row r="694" spans="1:18" x14ac:dyDescent="0.25">
      <c r="A694" s="2" t="s">
        <v>3941</v>
      </c>
      <c r="B694" s="6">
        <v>46174</v>
      </c>
      <c r="C694" s="8">
        <v>46200</v>
      </c>
      <c r="D694" s="2" t="s">
        <v>199</v>
      </c>
      <c r="E694" s="2" t="s">
        <v>12593</v>
      </c>
      <c r="F694" s="2" t="s">
        <v>12429</v>
      </c>
      <c r="G694" s="2" t="s">
        <v>14010</v>
      </c>
      <c r="H694" s="2" t="s">
        <v>70</v>
      </c>
      <c r="I694" s="9">
        <v>10681.609023000001</v>
      </c>
      <c r="J694" s="7">
        <v>0.66500000000000004</v>
      </c>
      <c r="K694" s="9">
        <v>7103.27</v>
      </c>
      <c r="L694" s="14">
        <v>0</v>
      </c>
      <c r="M694" s="2" t="s">
        <v>71</v>
      </c>
      <c r="N694" s="2" t="s">
        <v>12595</v>
      </c>
      <c r="O694" s="2" t="s">
        <v>14011</v>
      </c>
      <c r="P694" s="9">
        <v>0</v>
      </c>
      <c r="Q694" s="9">
        <v>0</v>
      </c>
      <c r="R694" s="2" t="s">
        <v>13968</v>
      </c>
    </row>
    <row r="695" spans="1:18" x14ac:dyDescent="0.25">
      <c r="A695" s="2" t="s">
        <v>3944</v>
      </c>
      <c r="B695" s="6">
        <v>46174</v>
      </c>
      <c r="C695" s="8">
        <v>46201</v>
      </c>
      <c r="D695" s="2" t="s">
        <v>199</v>
      </c>
      <c r="E695" s="2" t="s">
        <v>12593</v>
      </c>
      <c r="F695" s="2" t="s">
        <v>12430</v>
      </c>
      <c r="G695" s="2" t="s">
        <v>14012</v>
      </c>
      <c r="H695" s="2" t="s">
        <v>39</v>
      </c>
      <c r="I695" s="9">
        <v>7276.28</v>
      </c>
      <c r="J695" s="7">
        <v>1</v>
      </c>
      <c r="K695" s="9">
        <v>7276.28</v>
      </c>
      <c r="L695" s="14">
        <v>0</v>
      </c>
      <c r="M695" s="2" t="s">
        <v>71</v>
      </c>
      <c r="N695" s="2" t="s">
        <v>12595</v>
      </c>
      <c r="O695" s="2" t="s">
        <v>14013</v>
      </c>
      <c r="P695" s="9">
        <v>0</v>
      </c>
      <c r="Q695" s="9">
        <v>0</v>
      </c>
      <c r="R695" s="2" t="s">
        <v>13971</v>
      </c>
    </row>
    <row r="696" spans="1:18" x14ac:dyDescent="0.25">
      <c r="A696" s="2" t="s">
        <v>3949</v>
      </c>
      <c r="B696" s="6">
        <v>46174</v>
      </c>
      <c r="C696" s="8">
        <v>46202</v>
      </c>
      <c r="D696" s="2" t="s">
        <v>199</v>
      </c>
      <c r="E696" s="2" t="s">
        <v>12593</v>
      </c>
      <c r="F696" s="2" t="s">
        <v>12431</v>
      </c>
      <c r="G696" s="2" t="s">
        <v>14014</v>
      </c>
      <c r="H696" s="2" t="s">
        <v>76</v>
      </c>
      <c r="I696" s="9">
        <v>119188640</v>
      </c>
      <c r="J696" s="7">
        <v>6.2500000000000001E-5</v>
      </c>
      <c r="K696" s="9">
        <v>7449.29</v>
      </c>
      <c r="L696" s="14">
        <v>0</v>
      </c>
      <c r="M696" s="2" t="s">
        <v>71</v>
      </c>
      <c r="N696" s="2" t="s">
        <v>12595</v>
      </c>
      <c r="O696" s="2" t="s">
        <v>14015</v>
      </c>
      <c r="P696" s="9">
        <v>0</v>
      </c>
      <c r="Q696" s="9">
        <v>0</v>
      </c>
      <c r="R696" s="2" t="s">
        <v>13974</v>
      </c>
    </row>
    <row r="697" spans="1:18" x14ac:dyDescent="0.25">
      <c r="A697" s="2" t="s">
        <v>3952</v>
      </c>
      <c r="B697" s="6">
        <v>46174</v>
      </c>
      <c r="C697" s="8">
        <v>46203</v>
      </c>
      <c r="D697" s="2" t="s">
        <v>199</v>
      </c>
      <c r="E697" s="2" t="s">
        <v>12593</v>
      </c>
      <c r="F697" s="2" t="s">
        <v>12432</v>
      </c>
      <c r="G697" s="2" t="s">
        <v>14016</v>
      </c>
      <c r="H697" s="2" t="s">
        <v>70</v>
      </c>
      <c r="I697" s="9">
        <v>11462.105262999999</v>
      </c>
      <c r="J697" s="7">
        <v>0.66500000000000004</v>
      </c>
      <c r="K697" s="9">
        <v>7622.3</v>
      </c>
      <c r="L697" s="14">
        <v>0</v>
      </c>
      <c r="M697" s="2" t="s">
        <v>71</v>
      </c>
      <c r="N697" s="2" t="s">
        <v>12595</v>
      </c>
      <c r="O697" s="2" t="s">
        <v>14017</v>
      </c>
      <c r="P697" s="9">
        <v>0</v>
      </c>
      <c r="Q697" s="9">
        <v>0</v>
      </c>
      <c r="R697" s="2" t="s">
        <v>13977</v>
      </c>
    </row>
    <row r="698" spans="1:18" x14ac:dyDescent="0.25">
      <c r="A698" s="2" t="s">
        <v>3955</v>
      </c>
      <c r="B698" s="6">
        <v>46174</v>
      </c>
      <c r="C698" s="8">
        <v>46174</v>
      </c>
      <c r="D698" s="2" t="s">
        <v>199</v>
      </c>
      <c r="E698" s="2" t="s">
        <v>12593</v>
      </c>
      <c r="F698" s="2" t="s">
        <v>12423</v>
      </c>
      <c r="G698" s="2" t="s">
        <v>14018</v>
      </c>
      <c r="H698" s="2" t="s">
        <v>39</v>
      </c>
      <c r="I698" s="9">
        <v>7795.31</v>
      </c>
      <c r="J698" s="7">
        <v>1</v>
      </c>
      <c r="K698" s="9">
        <v>7795.31</v>
      </c>
      <c r="L698" s="14">
        <v>0</v>
      </c>
      <c r="M698" s="2" t="s">
        <v>71</v>
      </c>
      <c r="N698" s="2" t="s">
        <v>12595</v>
      </c>
      <c r="O698" s="2" t="s">
        <v>14019</v>
      </c>
      <c r="P698" s="9">
        <v>0</v>
      </c>
      <c r="Q698" s="9">
        <v>0</v>
      </c>
      <c r="R698" s="2" t="s">
        <v>13950</v>
      </c>
    </row>
    <row r="699" spans="1:18" x14ac:dyDescent="0.25">
      <c r="A699" s="2" t="s">
        <v>3958</v>
      </c>
      <c r="B699" s="6">
        <v>46174</v>
      </c>
      <c r="C699" s="8">
        <v>46175</v>
      </c>
      <c r="D699" s="2" t="s">
        <v>199</v>
      </c>
      <c r="E699" s="2" t="s">
        <v>12593</v>
      </c>
      <c r="F699" s="2" t="s">
        <v>12424</v>
      </c>
      <c r="G699" s="2" t="s">
        <v>14020</v>
      </c>
      <c r="H699" s="2" t="s">
        <v>76</v>
      </c>
      <c r="I699" s="9">
        <v>127493120</v>
      </c>
      <c r="J699" s="7">
        <v>6.2500000000000001E-5</v>
      </c>
      <c r="K699" s="9">
        <v>7968.32</v>
      </c>
      <c r="L699" s="14">
        <v>0</v>
      </c>
      <c r="M699" s="2" t="s">
        <v>71</v>
      </c>
      <c r="N699" s="2" t="s">
        <v>12595</v>
      </c>
      <c r="O699" s="2" t="s">
        <v>14021</v>
      </c>
      <c r="P699" s="9">
        <v>0</v>
      </c>
      <c r="Q699" s="9">
        <v>0</v>
      </c>
      <c r="R699" s="2" t="s">
        <v>13953</v>
      </c>
    </row>
    <row r="700" spans="1:18" x14ac:dyDescent="0.25">
      <c r="A700" s="2" t="s">
        <v>3961</v>
      </c>
      <c r="B700" s="6">
        <v>46174</v>
      </c>
      <c r="C700" s="8">
        <v>46176</v>
      </c>
      <c r="D700" s="2" t="s">
        <v>199</v>
      </c>
      <c r="E700" s="2" t="s">
        <v>12593</v>
      </c>
      <c r="F700" s="2" t="s">
        <v>12425</v>
      </c>
      <c r="G700" s="2" t="s">
        <v>14022</v>
      </c>
      <c r="H700" s="2" t="s">
        <v>70</v>
      </c>
      <c r="I700" s="9">
        <v>12242.601504</v>
      </c>
      <c r="J700" s="7">
        <v>0.66500000000000004</v>
      </c>
      <c r="K700" s="9">
        <v>8141.33</v>
      </c>
      <c r="L700" s="14">
        <v>0</v>
      </c>
      <c r="M700" s="2" t="s">
        <v>71</v>
      </c>
      <c r="N700" s="2" t="s">
        <v>12595</v>
      </c>
      <c r="O700" s="2" t="s">
        <v>14023</v>
      </c>
      <c r="P700" s="9">
        <v>0</v>
      </c>
      <c r="Q700" s="9">
        <v>0</v>
      </c>
      <c r="R700" s="2" t="s">
        <v>13956</v>
      </c>
    </row>
    <row r="701" spans="1:18" x14ac:dyDescent="0.25">
      <c r="A701" s="2" t="s">
        <v>3964</v>
      </c>
      <c r="B701" s="6">
        <v>46174</v>
      </c>
      <c r="C701" s="8">
        <v>46177</v>
      </c>
      <c r="D701" s="2" t="s">
        <v>199</v>
      </c>
      <c r="E701" s="2" t="s">
        <v>12593</v>
      </c>
      <c r="F701" s="2" t="s">
        <v>12426</v>
      </c>
      <c r="G701" s="2" t="s">
        <v>14024</v>
      </c>
      <c r="H701" s="2" t="s">
        <v>39</v>
      </c>
      <c r="I701" s="9">
        <v>8314.34</v>
      </c>
      <c r="J701" s="7">
        <v>1</v>
      </c>
      <c r="K701" s="9">
        <v>8314.34</v>
      </c>
      <c r="L701" s="14">
        <v>0</v>
      </c>
      <c r="M701" s="2" t="s">
        <v>71</v>
      </c>
      <c r="N701" s="2" t="s">
        <v>12595</v>
      </c>
      <c r="O701" s="2" t="s">
        <v>14025</v>
      </c>
      <c r="P701" s="9">
        <v>0</v>
      </c>
      <c r="Q701" s="9">
        <v>0</v>
      </c>
      <c r="R701" s="2" t="s">
        <v>13959</v>
      </c>
    </row>
    <row r="702" spans="1:18" x14ac:dyDescent="0.25">
      <c r="A702" s="2" t="s">
        <v>3969</v>
      </c>
      <c r="B702" s="6">
        <v>46174</v>
      </c>
      <c r="C702" s="8">
        <v>46178</v>
      </c>
      <c r="D702" s="2" t="s">
        <v>199</v>
      </c>
      <c r="E702" s="2" t="s">
        <v>12593</v>
      </c>
      <c r="F702" s="2" t="s">
        <v>12427</v>
      </c>
      <c r="G702" s="2" t="s">
        <v>14026</v>
      </c>
      <c r="H702" s="2" t="s">
        <v>76</v>
      </c>
      <c r="I702" s="9">
        <v>135797600</v>
      </c>
      <c r="J702" s="7">
        <v>6.2500000000000001E-5</v>
      </c>
      <c r="K702" s="9">
        <v>8487.35</v>
      </c>
      <c r="L702" s="14">
        <v>0</v>
      </c>
      <c r="M702" s="2" t="s">
        <v>71</v>
      </c>
      <c r="N702" s="2" t="s">
        <v>12595</v>
      </c>
      <c r="O702" s="2" t="s">
        <v>14027</v>
      </c>
      <c r="P702" s="9">
        <v>0</v>
      </c>
      <c r="Q702" s="9">
        <v>0</v>
      </c>
      <c r="R702" s="2" t="s">
        <v>13962</v>
      </c>
    </row>
    <row r="703" spans="1:18" x14ac:dyDescent="0.25">
      <c r="A703" s="2" t="s">
        <v>3974</v>
      </c>
      <c r="B703" s="6">
        <v>46174</v>
      </c>
      <c r="C703" s="8">
        <v>46179</v>
      </c>
      <c r="D703" s="2" t="s">
        <v>199</v>
      </c>
      <c r="E703" s="2" t="s">
        <v>12593</v>
      </c>
      <c r="F703" s="2" t="s">
        <v>12428</v>
      </c>
      <c r="G703" s="2" t="s">
        <v>14028</v>
      </c>
      <c r="H703" s="2" t="s">
        <v>70</v>
      </c>
      <c r="I703" s="9">
        <v>13023.097744000001</v>
      </c>
      <c r="J703" s="7">
        <v>0.66500000000000004</v>
      </c>
      <c r="K703" s="9">
        <v>8660.36</v>
      </c>
      <c r="L703" s="14">
        <v>0</v>
      </c>
      <c r="M703" s="2" t="s">
        <v>71</v>
      </c>
      <c r="N703" s="2" t="s">
        <v>12595</v>
      </c>
      <c r="O703" s="2" t="s">
        <v>14029</v>
      </c>
      <c r="P703" s="9">
        <v>0</v>
      </c>
      <c r="Q703" s="9">
        <v>0</v>
      </c>
      <c r="R703" s="2" t="s">
        <v>13965</v>
      </c>
    </row>
    <row r="704" spans="1:18" x14ac:dyDescent="0.25">
      <c r="A704" s="2" t="s">
        <v>3977</v>
      </c>
      <c r="B704" s="6">
        <v>46174</v>
      </c>
      <c r="C704" s="8">
        <v>46180</v>
      </c>
      <c r="D704" s="2" t="s">
        <v>199</v>
      </c>
      <c r="E704" s="2" t="s">
        <v>12593</v>
      </c>
      <c r="F704" s="2" t="s">
        <v>12429</v>
      </c>
      <c r="G704" s="2" t="s">
        <v>14030</v>
      </c>
      <c r="H704" s="2" t="s">
        <v>39</v>
      </c>
      <c r="I704" s="9">
        <v>8833.3700000000008</v>
      </c>
      <c r="J704" s="7">
        <v>1</v>
      </c>
      <c r="K704" s="9">
        <v>8833.3700000000008</v>
      </c>
      <c r="L704" s="14">
        <v>0</v>
      </c>
      <c r="M704" s="2" t="s">
        <v>71</v>
      </c>
      <c r="N704" s="2" t="s">
        <v>12595</v>
      </c>
      <c r="O704" s="2" t="s">
        <v>14031</v>
      </c>
      <c r="P704" s="9">
        <v>0</v>
      </c>
      <c r="Q704" s="9">
        <v>0</v>
      </c>
      <c r="R704" s="2" t="s">
        <v>13968</v>
      </c>
    </row>
    <row r="705" spans="1:18" x14ac:dyDescent="0.25">
      <c r="A705" s="2" t="s">
        <v>3980</v>
      </c>
      <c r="B705" s="6">
        <v>46174</v>
      </c>
      <c r="C705" s="8">
        <v>46181</v>
      </c>
      <c r="D705" s="2" t="s">
        <v>199</v>
      </c>
      <c r="E705" s="2" t="s">
        <v>12593</v>
      </c>
      <c r="F705" s="2" t="s">
        <v>12430</v>
      </c>
      <c r="G705" s="2" t="s">
        <v>14032</v>
      </c>
      <c r="H705" s="2" t="s">
        <v>76</v>
      </c>
      <c r="I705" s="9">
        <v>144102080</v>
      </c>
      <c r="J705" s="7">
        <v>6.2500000000000001E-5</v>
      </c>
      <c r="K705" s="9">
        <v>9006.3799999999992</v>
      </c>
      <c r="L705" s="14">
        <v>0</v>
      </c>
      <c r="M705" s="2" t="s">
        <v>71</v>
      </c>
      <c r="N705" s="2" t="s">
        <v>12595</v>
      </c>
      <c r="O705" s="2" t="s">
        <v>14033</v>
      </c>
      <c r="P705" s="9">
        <v>0</v>
      </c>
      <c r="Q705" s="9">
        <v>0</v>
      </c>
      <c r="R705" s="2" t="s">
        <v>13971</v>
      </c>
    </row>
    <row r="706" spans="1:18" x14ac:dyDescent="0.25">
      <c r="A706" s="2" t="s">
        <v>3985</v>
      </c>
      <c r="B706" s="6">
        <v>46174</v>
      </c>
      <c r="C706" s="8">
        <v>46182</v>
      </c>
      <c r="D706" s="2" t="s">
        <v>199</v>
      </c>
      <c r="E706" s="2" t="s">
        <v>12593</v>
      </c>
      <c r="F706" s="2" t="s">
        <v>12431</v>
      </c>
      <c r="G706" s="2" t="s">
        <v>14034</v>
      </c>
      <c r="H706" s="2" t="s">
        <v>70</v>
      </c>
      <c r="I706" s="9">
        <v>13803.593985</v>
      </c>
      <c r="J706" s="7">
        <v>0.66500000000000004</v>
      </c>
      <c r="K706" s="9">
        <v>9179.39</v>
      </c>
      <c r="L706" s="14">
        <v>0</v>
      </c>
      <c r="M706" s="2" t="s">
        <v>71</v>
      </c>
      <c r="N706" s="2" t="s">
        <v>12595</v>
      </c>
      <c r="O706" s="2" t="s">
        <v>14035</v>
      </c>
      <c r="P706" s="9">
        <v>0</v>
      </c>
      <c r="Q706" s="9">
        <v>0</v>
      </c>
      <c r="R706" s="2" t="s">
        <v>13974</v>
      </c>
    </row>
    <row r="707" spans="1:18" x14ac:dyDescent="0.25">
      <c r="A707" s="2" t="s">
        <v>3988</v>
      </c>
      <c r="B707" s="6">
        <v>46174</v>
      </c>
      <c r="C707" s="8">
        <v>46183</v>
      </c>
      <c r="D707" s="2" t="s">
        <v>199</v>
      </c>
      <c r="E707" s="2" t="s">
        <v>12593</v>
      </c>
      <c r="F707" s="2" t="s">
        <v>12432</v>
      </c>
      <c r="G707" s="2" t="s">
        <v>14036</v>
      </c>
      <c r="H707" s="2" t="s">
        <v>39</v>
      </c>
      <c r="I707" s="9">
        <v>9352.4</v>
      </c>
      <c r="J707" s="7">
        <v>1</v>
      </c>
      <c r="K707" s="9">
        <v>9352.4</v>
      </c>
      <c r="L707" s="14">
        <v>0</v>
      </c>
      <c r="M707" s="2" t="s">
        <v>71</v>
      </c>
      <c r="N707" s="2" t="s">
        <v>12595</v>
      </c>
      <c r="O707" s="2" t="s">
        <v>14037</v>
      </c>
      <c r="P707" s="9">
        <v>0</v>
      </c>
      <c r="Q707" s="9">
        <v>0</v>
      </c>
      <c r="R707" s="2" t="s">
        <v>13977</v>
      </c>
    </row>
    <row r="708" spans="1:18" x14ac:dyDescent="0.25">
      <c r="A708" s="2" t="s">
        <v>3991</v>
      </c>
      <c r="B708" s="6">
        <v>46174</v>
      </c>
      <c r="C708" s="8">
        <v>46184</v>
      </c>
      <c r="D708" s="2" t="s">
        <v>199</v>
      </c>
      <c r="E708" s="2" t="s">
        <v>12593</v>
      </c>
      <c r="F708" s="2" t="s">
        <v>12423</v>
      </c>
      <c r="G708" s="2" t="s">
        <v>14038</v>
      </c>
      <c r="H708" s="2" t="s">
        <v>76</v>
      </c>
      <c r="I708" s="9">
        <v>-152406560</v>
      </c>
      <c r="J708" s="7">
        <v>6.2500000000000001E-5</v>
      </c>
      <c r="K708" s="9">
        <v>-9525.41</v>
      </c>
      <c r="L708" s="14">
        <v>0</v>
      </c>
      <c r="M708" s="2" t="s">
        <v>71</v>
      </c>
      <c r="N708" s="2" t="s">
        <v>12595</v>
      </c>
      <c r="O708" s="2" t="s">
        <v>14039</v>
      </c>
      <c r="P708" s="9">
        <v>0</v>
      </c>
      <c r="Q708" s="9">
        <v>0</v>
      </c>
      <c r="R708" s="2" t="s">
        <v>13950</v>
      </c>
    </row>
    <row r="709" spans="1:18" x14ac:dyDescent="0.25">
      <c r="A709" s="2" t="s">
        <v>3994</v>
      </c>
      <c r="B709" s="6">
        <v>46174</v>
      </c>
      <c r="C709" s="8">
        <v>46185</v>
      </c>
      <c r="D709" s="2" t="s">
        <v>199</v>
      </c>
      <c r="E709" s="2" t="s">
        <v>12593</v>
      </c>
      <c r="F709" s="2" t="s">
        <v>12424</v>
      </c>
      <c r="G709" s="2" t="s">
        <v>14040</v>
      </c>
      <c r="H709" s="2" t="s">
        <v>70</v>
      </c>
      <c r="I709" s="9">
        <v>14584.090226</v>
      </c>
      <c r="J709" s="7">
        <v>0.66500000000000004</v>
      </c>
      <c r="K709" s="9">
        <v>9698.42</v>
      </c>
      <c r="L709" s="14">
        <v>0</v>
      </c>
      <c r="M709" s="2" t="s">
        <v>71</v>
      </c>
      <c r="N709" s="2" t="s">
        <v>12595</v>
      </c>
      <c r="O709" s="2" t="s">
        <v>14041</v>
      </c>
      <c r="P709" s="9">
        <v>0</v>
      </c>
      <c r="Q709" s="9">
        <v>0</v>
      </c>
      <c r="R709" s="2" t="s">
        <v>13953</v>
      </c>
    </row>
    <row r="710" spans="1:18" x14ac:dyDescent="0.25">
      <c r="A710" s="2" t="s">
        <v>3997</v>
      </c>
      <c r="B710" s="6">
        <v>46174</v>
      </c>
      <c r="C710" s="8">
        <v>46186</v>
      </c>
      <c r="D710" s="2" t="s">
        <v>199</v>
      </c>
      <c r="E710" s="2" t="s">
        <v>12593</v>
      </c>
      <c r="F710" s="2" t="s">
        <v>12425</v>
      </c>
      <c r="G710" s="2" t="s">
        <v>14042</v>
      </c>
      <c r="H710" s="2" t="s">
        <v>39</v>
      </c>
      <c r="I710" s="9">
        <v>9871.43</v>
      </c>
      <c r="J710" s="7">
        <v>1</v>
      </c>
      <c r="K710" s="9">
        <v>9871.43</v>
      </c>
      <c r="L710" s="14">
        <v>0</v>
      </c>
      <c r="M710" s="2" t="s">
        <v>71</v>
      </c>
      <c r="N710" s="2" t="s">
        <v>12595</v>
      </c>
      <c r="O710" s="2" t="s">
        <v>14043</v>
      </c>
      <c r="P710" s="9">
        <v>0</v>
      </c>
      <c r="Q710" s="9">
        <v>0</v>
      </c>
      <c r="R710" s="2" t="s">
        <v>13956</v>
      </c>
    </row>
    <row r="711" spans="1:18" x14ac:dyDescent="0.25">
      <c r="A711" s="2" t="s">
        <v>4000</v>
      </c>
      <c r="B711" s="6">
        <v>46174</v>
      </c>
      <c r="C711" s="8">
        <v>46187</v>
      </c>
      <c r="D711" s="2" t="s">
        <v>199</v>
      </c>
      <c r="E711" s="2" t="s">
        <v>12593</v>
      </c>
      <c r="F711" s="2" t="s">
        <v>12426</v>
      </c>
      <c r="G711" s="2" t="s">
        <v>14044</v>
      </c>
      <c r="H711" s="2" t="s">
        <v>76</v>
      </c>
      <c r="I711" s="9">
        <v>160711040</v>
      </c>
      <c r="J711" s="7">
        <v>6.2500000000000001E-5</v>
      </c>
      <c r="K711" s="9">
        <v>10044.44</v>
      </c>
      <c r="L711" s="14">
        <v>0</v>
      </c>
      <c r="M711" s="2" t="s">
        <v>71</v>
      </c>
      <c r="N711" s="2" t="s">
        <v>12595</v>
      </c>
      <c r="O711" s="2" t="s">
        <v>14045</v>
      </c>
      <c r="P711" s="9">
        <v>0</v>
      </c>
      <c r="Q711" s="9">
        <v>0</v>
      </c>
      <c r="R711" s="2" t="s">
        <v>13959</v>
      </c>
    </row>
    <row r="712" spans="1:18" x14ac:dyDescent="0.25">
      <c r="A712" s="2" t="s">
        <v>4005</v>
      </c>
      <c r="B712" s="6">
        <v>46174</v>
      </c>
      <c r="C712" s="8">
        <v>46188</v>
      </c>
      <c r="D712" s="2" t="s">
        <v>199</v>
      </c>
      <c r="E712" s="2" t="s">
        <v>12593</v>
      </c>
      <c r="F712" s="2" t="s">
        <v>12427</v>
      </c>
      <c r="G712" s="2" t="s">
        <v>14046</v>
      </c>
      <c r="H712" s="2" t="s">
        <v>70</v>
      </c>
      <c r="I712" s="9">
        <v>15364.586466000001</v>
      </c>
      <c r="J712" s="7">
        <v>0.66500000000000004</v>
      </c>
      <c r="K712" s="9">
        <v>10217.450000000001</v>
      </c>
      <c r="L712" s="14">
        <v>0</v>
      </c>
      <c r="M712" s="2" t="s">
        <v>71</v>
      </c>
      <c r="N712" s="2" t="s">
        <v>12595</v>
      </c>
      <c r="O712" s="2" t="s">
        <v>14047</v>
      </c>
      <c r="P712" s="9">
        <v>0</v>
      </c>
      <c r="Q712" s="9">
        <v>0</v>
      </c>
      <c r="R712" s="2" t="s">
        <v>13962</v>
      </c>
    </row>
    <row r="713" spans="1:18" x14ac:dyDescent="0.25">
      <c r="A713" s="2" t="s">
        <v>4010</v>
      </c>
      <c r="B713" s="6">
        <v>46174</v>
      </c>
      <c r="C713" s="8">
        <v>46189</v>
      </c>
      <c r="D713" s="2" t="s">
        <v>199</v>
      </c>
      <c r="E713" s="2" t="s">
        <v>12593</v>
      </c>
      <c r="F713" s="2" t="s">
        <v>12428</v>
      </c>
      <c r="G713" s="2" t="s">
        <v>14048</v>
      </c>
      <c r="H713" s="2" t="s">
        <v>39</v>
      </c>
      <c r="I713" s="9">
        <v>10390.459999999999</v>
      </c>
      <c r="J713" s="7">
        <v>1</v>
      </c>
      <c r="K713" s="9">
        <v>10390.459999999999</v>
      </c>
      <c r="L713" s="14">
        <v>0</v>
      </c>
      <c r="M713" s="2" t="s">
        <v>71</v>
      </c>
      <c r="N713" s="2" t="s">
        <v>12595</v>
      </c>
      <c r="O713" s="2" t="s">
        <v>14049</v>
      </c>
      <c r="P713" s="9">
        <v>0</v>
      </c>
      <c r="Q713" s="9">
        <v>0</v>
      </c>
      <c r="R713" s="2" t="s">
        <v>13965</v>
      </c>
    </row>
    <row r="714" spans="1:18" x14ac:dyDescent="0.25">
      <c r="A714" s="2" t="s">
        <v>4013</v>
      </c>
      <c r="B714" s="6">
        <v>46174</v>
      </c>
      <c r="C714" s="8">
        <v>46190</v>
      </c>
      <c r="D714" s="2" t="s">
        <v>199</v>
      </c>
      <c r="E714" s="2" t="s">
        <v>12593</v>
      </c>
      <c r="F714" s="2" t="s">
        <v>12429</v>
      </c>
      <c r="G714" s="2" t="s">
        <v>14050</v>
      </c>
      <c r="H714" s="2" t="s">
        <v>76</v>
      </c>
      <c r="I714" s="9">
        <v>169015520</v>
      </c>
      <c r="J714" s="7">
        <v>6.2500000000000001E-5</v>
      </c>
      <c r="K714" s="9">
        <v>10563.47</v>
      </c>
      <c r="L714" s="14">
        <v>0</v>
      </c>
      <c r="M714" s="2" t="s">
        <v>71</v>
      </c>
      <c r="N714" s="2" t="s">
        <v>12595</v>
      </c>
      <c r="O714" s="2" t="s">
        <v>14051</v>
      </c>
      <c r="P714" s="9">
        <v>0</v>
      </c>
      <c r="Q714" s="9">
        <v>0</v>
      </c>
      <c r="R714" s="2" t="s">
        <v>13968</v>
      </c>
    </row>
    <row r="715" spans="1:18" x14ac:dyDescent="0.25">
      <c r="A715" s="2" t="s">
        <v>4016</v>
      </c>
      <c r="B715" s="6">
        <v>46174</v>
      </c>
      <c r="C715" s="8">
        <v>46191</v>
      </c>
      <c r="D715" s="2" t="s">
        <v>199</v>
      </c>
      <c r="E715" s="2" t="s">
        <v>12593</v>
      </c>
      <c r="F715" s="2" t="s">
        <v>12430</v>
      </c>
      <c r="G715" s="2" t="s">
        <v>14052</v>
      </c>
      <c r="H715" s="2" t="s">
        <v>70</v>
      </c>
      <c r="I715" s="9">
        <v>16145.082707</v>
      </c>
      <c r="J715" s="7">
        <v>0.66500000000000004</v>
      </c>
      <c r="K715" s="9">
        <v>10736.48</v>
      </c>
      <c r="L715" s="14">
        <v>0</v>
      </c>
      <c r="M715" s="2" t="s">
        <v>71</v>
      </c>
      <c r="N715" s="2" t="s">
        <v>12595</v>
      </c>
      <c r="O715" s="2" t="s">
        <v>14053</v>
      </c>
      <c r="P715" s="9">
        <v>0</v>
      </c>
      <c r="Q715" s="9">
        <v>0</v>
      </c>
      <c r="R715" s="2" t="s">
        <v>13971</v>
      </c>
    </row>
    <row r="716" spans="1:18" x14ac:dyDescent="0.25">
      <c r="A716" s="2" t="s">
        <v>4021</v>
      </c>
      <c r="B716" s="6">
        <v>46174</v>
      </c>
      <c r="C716" s="8">
        <v>46192</v>
      </c>
      <c r="D716" s="2" t="s">
        <v>199</v>
      </c>
      <c r="E716" s="2" t="s">
        <v>12593</v>
      </c>
      <c r="F716" s="2" t="s">
        <v>12431</v>
      </c>
      <c r="G716" s="2" t="s">
        <v>14054</v>
      </c>
      <c r="H716" s="2" t="s">
        <v>39</v>
      </c>
      <c r="I716" s="9">
        <v>10909.49</v>
      </c>
      <c r="J716" s="7">
        <v>1</v>
      </c>
      <c r="K716" s="9">
        <v>10909.49</v>
      </c>
      <c r="L716" s="14">
        <v>0</v>
      </c>
      <c r="M716" s="2" t="s">
        <v>71</v>
      </c>
      <c r="N716" s="2" t="s">
        <v>12595</v>
      </c>
      <c r="O716" s="2" t="s">
        <v>14055</v>
      </c>
      <c r="P716" s="9">
        <v>0</v>
      </c>
      <c r="Q716" s="9">
        <v>0</v>
      </c>
      <c r="R716" s="2" t="s">
        <v>13974</v>
      </c>
    </row>
    <row r="717" spans="1:18" x14ac:dyDescent="0.25">
      <c r="A717" s="2" t="s">
        <v>4024</v>
      </c>
      <c r="B717" s="6">
        <v>46174</v>
      </c>
      <c r="C717" s="8">
        <v>46193</v>
      </c>
      <c r="D717" s="2" t="s">
        <v>199</v>
      </c>
      <c r="E717" s="2" t="s">
        <v>12593</v>
      </c>
      <c r="F717" s="2" t="s">
        <v>12432</v>
      </c>
      <c r="G717" s="2" t="s">
        <v>14056</v>
      </c>
      <c r="H717" s="2" t="s">
        <v>76</v>
      </c>
      <c r="I717" s="9">
        <v>177320000</v>
      </c>
      <c r="J717" s="7">
        <v>6.2500000000000001E-5</v>
      </c>
      <c r="K717" s="9">
        <v>11082.5</v>
      </c>
      <c r="L717" s="14">
        <v>0</v>
      </c>
      <c r="M717" s="2" t="s">
        <v>71</v>
      </c>
      <c r="N717" s="2" t="s">
        <v>12595</v>
      </c>
      <c r="O717" s="2" t="s">
        <v>14057</v>
      </c>
      <c r="P717" s="9">
        <v>0</v>
      </c>
      <c r="Q717" s="9">
        <v>0</v>
      </c>
      <c r="R717" s="2" t="s">
        <v>13977</v>
      </c>
    </row>
    <row r="718" spans="1:18" x14ac:dyDescent="0.25">
      <c r="A718" s="2" t="s">
        <v>4027</v>
      </c>
      <c r="B718" s="6">
        <v>46174</v>
      </c>
      <c r="C718" s="8">
        <v>46194</v>
      </c>
      <c r="D718" s="2" t="s">
        <v>199</v>
      </c>
      <c r="E718" s="2" t="s">
        <v>12593</v>
      </c>
      <c r="F718" s="2" t="s">
        <v>12423</v>
      </c>
      <c r="G718" s="2" t="s">
        <v>14058</v>
      </c>
      <c r="H718" s="2" t="s">
        <v>70</v>
      </c>
      <c r="I718" s="9">
        <v>16925.578947000002</v>
      </c>
      <c r="J718" s="7">
        <v>0.66500000000000004</v>
      </c>
      <c r="K718" s="9">
        <v>11255.51</v>
      </c>
      <c r="L718" s="14">
        <v>0</v>
      </c>
      <c r="M718" s="2" t="s">
        <v>71</v>
      </c>
      <c r="N718" s="2" t="s">
        <v>12595</v>
      </c>
      <c r="O718" s="2" t="s">
        <v>14059</v>
      </c>
      <c r="P718" s="9">
        <v>0</v>
      </c>
      <c r="Q718" s="9">
        <v>0</v>
      </c>
      <c r="R718" s="2" t="s">
        <v>13950</v>
      </c>
    </row>
    <row r="719" spans="1:18" x14ac:dyDescent="0.25">
      <c r="A719" s="2" t="s">
        <v>4030</v>
      </c>
      <c r="B719" s="6">
        <v>46174</v>
      </c>
      <c r="C719" s="8">
        <v>46195</v>
      </c>
      <c r="D719" s="2" t="s">
        <v>199</v>
      </c>
      <c r="E719" s="2" t="s">
        <v>12593</v>
      </c>
      <c r="F719" s="2" t="s">
        <v>12424</v>
      </c>
      <c r="G719" s="2" t="s">
        <v>14060</v>
      </c>
      <c r="H719" s="2" t="s">
        <v>39</v>
      </c>
      <c r="I719" s="9">
        <v>11428.52</v>
      </c>
      <c r="J719" s="7">
        <v>1</v>
      </c>
      <c r="K719" s="9">
        <v>11428.52</v>
      </c>
      <c r="L719" s="14">
        <v>0</v>
      </c>
      <c r="M719" s="2" t="s">
        <v>71</v>
      </c>
      <c r="N719" s="2" t="s">
        <v>12595</v>
      </c>
      <c r="O719" s="2" t="s">
        <v>14061</v>
      </c>
      <c r="P719" s="9">
        <v>0</v>
      </c>
      <c r="Q719" s="9">
        <v>0</v>
      </c>
      <c r="R719" s="2" t="s">
        <v>13953</v>
      </c>
    </row>
    <row r="720" spans="1:18" x14ac:dyDescent="0.25">
      <c r="A720" s="2" t="s">
        <v>4033</v>
      </c>
      <c r="B720" s="6">
        <v>46174</v>
      </c>
      <c r="C720" s="8">
        <v>46196</v>
      </c>
      <c r="D720" s="2" t="s">
        <v>199</v>
      </c>
      <c r="E720" s="2" t="s">
        <v>12593</v>
      </c>
      <c r="F720" s="2" t="s">
        <v>12425</v>
      </c>
      <c r="G720" s="2" t="s">
        <v>14062</v>
      </c>
      <c r="H720" s="2" t="s">
        <v>76</v>
      </c>
      <c r="I720" s="9">
        <v>185624480</v>
      </c>
      <c r="J720" s="7">
        <v>6.2500000000000001E-5</v>
      </c>
      <c r="K720" s="9">
        <v>11601.53</v>
      </c>
      <c r="L720" s="14">
        <v>0</v>
      </c>
      <c r="M720" s="2" t="s">
        <v>71</v>
      </c>
      <c r="N720" s="2" t="s">
        <v>12595</v>
      </c>
      <c r="O720" s="2" t="s">
        <v>14063</v>
      </c>
      <c r="P720" s="9">
        <v>0</v>
      </c>
      <c r="Q720" s="9">
        <v>0</v>
      </c>
      <c r="R720" s="2" t="s">
        <v>13956</v>
      </c>
    </row>
    <row r="721" spans="1:18" x14ac:dyDescent="0.25">
      <c r="A721" s="2" t="s">
        <v>4036</v>
      </c>
      <c r="B721" s="6">
        <v>46174</v>
      </c>
      <c r="C721" s="8">
        <v>46197</v>
      </c>
      <c r="D721" s="2" t="s">
        <v>199</v>
      </c>
      <c r="E721" s="2" t="s">
        <v>12593</v>
      </c>
      <c r="F721" s="2" t="s">
        <v>12426</v>
      </c>
      <c r="G721" s="2" t="s">
        <v>14064</v>
      </c>
      <c r="H721" s="2" t="s">
        <v>70</v>
      </c>
      <c r="I721" s="9">
        <v>17706.075187999999</v>
      </c>
      <c r="J721" s="7">
        <v>0.66500000000000004</v>
      </c>
      <c r="K721" s="9">
        <v>11774.54</v>
      </c>
      <c r="L721" s="14">
        <v>0</v>
      </c>
      <c r="M721" s="2" t="s">
        <v>71</v>
      </c>
      <c r="N721" s="2" t="s">
        <v>12595</v>
      </c>
      <c r="O721" s="2" t="s">
        <v>14065</v>
      </c>
      <c r="P721" s="9">
        <v>0</v>
      </c>
      <c r="Q721" s="9">
        <v>0</v>
      </c>
      <c r="R721" s="2" t="s">
        <v>13959</v>
      </c>
    </row>
    <row r="722" spans="1:18" x14ac:dyDescent="0.25">
      <c r="A722" s="2" t="s">
        <v>4041</v>
      </c>
      <c r="B722" s="6">
        <v>46174</v>
      </c>
      <c r="C722" s="8">
        <v>46198</v>
      </c>
      <c r="D722" s="2" t="s">
        <v>199</v>
      </c>
      <c r="E722" s="2" t="s">
        <v>12593</v>
      </c>
      <c r="F722" s="2" t="s">
        <v>12427</v>
      </c>
      <c r="G722" s="2" t="s">
        <v>14066</v>
      </c>
      <c r="H722" s="2" t="s">
        <v>39</v>
      </c>
      <c r="I722" s="9">
        <v>11947.55</v>
      </c>
      <c r="J722" s="7">
        <v>1</v>
      </c>
      <c r="K722" s="9">
        <v>11947.55</v>
      </c>
      <c r="L722" s="14">
        <v>0</v>
      </c>
      <c r="M722" s="2" t="s">
        <v>71</v>
      </c>
      <c r="N722" s="2" t="s">
        <v>12595</v>
      </c>
      <c r="O722" s="2" t="s">
        <v>14067</v>
      </c>
      <c r="P722" s="9">
        <v>0</v>
      </c>
      <c r="Q722" s="9">
        <v>0</v>
      </c>
      <c r="R722" s="2" t="s">
        <v>13962</v>
      </c>
    </row>
    <row r="723" spans="1:18" x14ac:dyDescent="0.25">
      <c r="A723" s="2" t="s">
        <v>4046</v>
      </c>
      <c r="B723" s="6">
        <v>46174</v>
      </c>
      <c r="C723" s="8">
        <v>46199</v>
      </c>
      <c r="D723" s="2" t="s">
        <v>199</v>
      </c>
      <c r="E723" s="2" t="s">
        <v>12593</v>
      </c>
      <c r="F723" s="2" t="s">
        <v>12428</v>
      </c>
      <c r="G723" s="2" t="s">
        <v>14068</v>
      </c>
      <c r="H723" s="2" t="s">
        <v>76</v>
      </c>
      <c r="I723" s="9">
        <v>193928960</v>
      </c>
      <c r="J723" s="7">
        <v>6.2500000000000001E-5</v>
      </c>
      <c r="K723" s="9">
        <v>12120.56</v>
      </c>
      <c r="L723" s="14">
        <v>0</v>
      </c>
      <c r="M723" s="2" t="s">
        <v>71</v>
      </c>
      <c r="N723" s="2" t="s">
        <v>12595</v>
      </c>
      <c r="O723" s="2" t="s">
        <v>14069</v>
      </c>
      <c r="P723" s="9">
        <v>0</v>
      </c>
      <c r="Q723" s="9">
        <v>0</v>
      </c>
      <c r="R723" s="2" t="s">
        <v>13965</v>
      </c>
    </row>
    <row r="724" spans="1:18" x14ac:dyDescent="0.25">
      <c r="A724" s="2" t="s">
        <v>4049</v>
      </c>
      <c r="B724" s="6">
        <v>46174</v>
      </c>
      <c r="C724" s="8">
        <v>46200</v>
      </c>
      <c r="D724" s="2" t="s">
        <v>199</v>
      </c>
      <c r="E724" s="2" t="s">
        <v>12593</v>
      </c>
      <c r="F724" s="2" t="s">
        <v>12429</v>
      </c>
      <c r="G724" s="2" t="s">
        <v>14070</v>
      </c>
      <c r="H724" s="2" t="s">
        <v>70</v>
      </c>
      <c r="I724" s="9">
        <v>18486.571429</v>
      </c>
      <c r="J724" s="7">
        <v>0.66500000000000004</v>
      </c>
      <c r="K724" s="9">
        <v>12293.57</v>
      </c>
      <c r="L724" s="14">
        <v>0</v>
      </c>
      <c r="M724" s="2" t="s">
        <v>71</v>
      </c>
      <c r="N724" s="2" t="s">
        <v>12595</v>
      </c>
      <c r="O724" s="2" t="s">
        <v>14071</v>
      </c>
      <c r="P724" s="9">
        <v>0</v>
      </c>
      <c r="Q724" s="9">
        <v>0</v>
      </c>
      <c r="R724" s="2" t="s">
        <v>13968</v>
      </c>
    </row>
    <row r="725" spans="1:18" x14ac:dyDescent="0.25">
      <c r="A725" s="2" t="s">
        <v>4052</v>
      </c>
      <c r="B725" s="6">
        <v>46174</v>
      </c>
      <c r="C725" s="8">
        <v>46201</v>
      </c>
      <c r="D725" s="2" t="s">
        <v>199</v>
      </c>
      <c r="E725" s="2" t="s">
        <v>12593</v>
      </c>
      <c r="F725" s="2" t="s">
        <v>12430</v>
      </c>
      <c r="G725" s="2" t="s">
        <v>14072</v>
      </c>
      <c r="H725" s="2" t="s">
        <v>39</v>
      </c>
      <c r="I725" s="9">
        <v>12466.58</v>
      </c>
      <c r="J725" s="7">
        <v>1</v>
      </c>
      <c r="K725" s="9">
        <v>12466.58</v>
      </c>
      <c r="L725" s="14">
        <v>0</v>
      </c>
      <c r="M725" s="2" t="s">
        <v>71</v>
      </c>
      <c r="N725" s="2" t="s">
        <v>12595</v>
      </c>
      <c r="O725" s="2" t="s">
        <v>14073</v>
      </c>
      <c r="P725" s="9">
        <v>0</v>
      </c>
      <c r="Q725" s="9">
        <v>0</v>
      </c>
      <c r="R725" s="2" t="s">
        <v>13971</v>
      </c>
    </row>
    <row r="726" spans="1:18" x14ac:dyDescent="0.25">
      <c r="A726" s="2" t="s">
        <v>4057</v>
      </c>
      <c r="B726" s="6">
        <v>46174</v>
      </c>
      <c r="C726" s="8">
        <v>46202</v>
      </c>
      <c r="D726" s="2" t="s">
        <v>199</v>
      </c>
      <c r="E726" s="2" t="s">
        <v>12593</v>
      </c>
      <c r="F726" s="2" t="s">
        <v>12431</v>
      </c>
      <c r="G726" s="2" t="s">
        <v>14074</v>
      </c>
      <c r="H726" s="2" t="s">
        <v>76</v>
      </c>
      <c r="I726" s="9">
        <v>202233440</v>
      </c>
      <c r="J726" s="7">
        <v>6.2500000000000001E-5</v>
      </c>
      <c r="K726" s="9">
        <v>12639.59</v>
      </c>
      <c r="L726" s="14">
        <v>0</v>
      </c>
      <c r="M726" s="2" t="s">
        <v>71</v>
      </c>
      <c r="N726" s="2" t="s">
        <v>12595</v>
      </c>
      <c r="O726" s="2" t="s">
        <v>14075</v>
      </c>
      <c r="P726" s="9">
        <v>0</v>
      </c>
      <c r="Q726" s="9">
        <v>0</v>
      </c>
      <c r="R726" s="2" t="s">
        <v>13974</v>
      </c>
    </row>
    <row r="727" spans="1:18" x14ac:dyDescent="0.25">
      <c r="A727" s="2" t="s">
        <v>4060</v>
      </c>
      <c r="B727" s="6">
        <v>46174</v>
      </c>
      <c r="C727" s="8">
        <v>46203</v>
      </c>
      <c r="D727" s="2" t="s">
        <v>199</v>
      </c>
      <c r="E727" s="2" t="s">
        <v>12593</v>
      </c>
      <c r="F727" s="2" t="s">
        <v>12432</v>
      </c>
      <c r="G727" s="2" t="s">
        <v>14076</v>
      </c>
      <c r="H727" s="2" t="s">
        <v>70</v>
      </c>
      <c r="I727" s="9">
        <v>19267.067669</v>
      </c>
      <c r="J727" s="7">
        <v>0.66500000000000004</v>
      </c>
      <c r="K727" s="9">
        <v>12812.6</v>
      </c>
      <c r="L727" s="14">
        <v>0</v>
      </c>
      <c r="M727" s="2" t="s">
        <v>71</v>
      </c>
      <c r="N727" s="2" t="s">
        <v>12595</v>
      </c>
      <c r="O727" s="2" t="s">
        <v>14077</v>
      </c>
      <c r="P727" s="9">
        <v>0</v>
      </c>
      <c r="Q727" s="9">
        <v>0</v>
      </c>
      <c r="R727" s="2" t="s">
        <v>13977</v>
      </c>
    </row>
    <row r="728" spans="1:18" x14ac:dyDescent="0.25">
      <c r="A728" s="2" t="s">
        <v>4063</v>
      </c>
      <c r="B728" s="6">
        <v>46174</v>
      </c>
      <c r="C728" s="8">
        <v>46174</v>
      </c>
      <c r="D728" s="2" t="s">
        <v>199</v>
      </c>
      <c r="E728" s="2" t="s">
        <v>12593</v>
      </c>
      <c r="F728" s="2" t="s">
        <v>12423</v>
      </c>
      <c r="G728" s="2" t="s">
        <v>14078</v>
      </c>
      <c r="H728" s="2" t="s">
        <v>39</v>
      </c>
      <c r="I728" s="9">
        <v>12985.61</v>
      </c>
      <c r="J728" s="7">
        <v>1</v>
      </c>
      <c r="K728" s="9">
        <v>12985.61</v>
      </c>
      <c r="L728" s="14">
        <v>0</v>
      </c>
      <c r="M728" s="2" t="s">
        <v>71</v>
      </c>
      <c r="N728" s="2" t="s">
        <v>12595</v>
      </c>
      <c r="O728" s="2" t="s">
        <v>14079</v>
      </c>
      <c r="P728" s="9">
        <v>0</v>
      </c>
      <c r="Q728" s="9">
        <v>0</v>
      </c>
      <c r="R728" s="2" t="s">
        <v>13950</v>
      </c>
    </row>
    <row r="729" spans="1:18" x14ac:dyDescent="0.25">
      <c r="A729" s="2" t="s">
        <v>4066</v>
      </c>
      <c r="B729" s="6">
        <v>46174</v>
      </c>
      <c r="C729" s="8">
        <v>46175</v>
      </c>
      <c r="D729" s="2" t="s">
        <v>199</v>
      </c>
      <c r="E729" s="2" t="s">
        <v>12593</v>
      </c>
      <c r="F729" s="2" t="s">
        <v>12424</v>
      </c>
      <c r="G729" s="2" t="s">
        <v>14080</v>
      </c>
      <c r="H729" s="2" t="s">
        <v>76</v>
      </c>
      <c r="I729" s="9">
        <v>210537920</v>
      </c>
      <c r="J729" s="7">
        <v>6.2500000000000001E-5</v>
      </c>
      <c r="K729" s="9">
        <v>13158.62</v>
      </c>
      <c r="L729" s="14">
        <v>0</v>
      </c>
      <c r="M729" s="2" t="s">
        <v>71</v>
      </c>
      <c r="N729" s="2" t="s">
        <v>12595</v>
      </c>
      <c r="O729" s="2" t="s">
        <v>14081</v>
      </c>
      <c r="P729" s="9">
        <v>0</v>
      </c>
      <c r="Q729" s="9">
        <v>0</v>
      </c>
      <c r="R729" s="2" t="s">
        <v>13953</v>
      </c>
    </row>
    <row r="730" spans="1:18" x14ac:dyDescent="0.25">
      <c r="A730" s="2" t="s">
        <v>4069</v>
      </c>
      <c r="B730" s="6">
        <v>46174</v>
      </c>
      <c r="C730" s="8">
        <v>46176</v>
      </c>
      <c r="D730" s="2" t="s">
        <v>199</v>
      </c>
      <c r="E730" s="2" t="s">
        <v>12593</v>
      </c>
      <c r="F730" s="2" t="s">
        <v>12425</v>
      </c>
      <c r="G730" s="2" t="s">
        <v>14082</v>
      </c>
      <c r="H730" s="2" t="s">
        <v>70</v>
      </c>
      <c r="I730" s="9">
        <v>20047.563910000001</v>
      </c>
      <c r="J730" s="7">
        <v>0.66500000000000004</v>
      </c>
      <c r="K730" s="9">
        <v>13331.63</v>
      </c>
      <c r="L730" s="14">
        <v>0</v>
      </c>
      <c r="M730" s="2" t="s">
        <v>71</v>
      </c>
      <c r="N730" s="2" t="s">
        <v>12595</v>
      </c>
      <c r="O730" s="2" t="s">
        <v>14083</v>
      </c>
      <c r="P730" s="9">
        <v>0</v>
      </c>
      <c r="Q730" s="9">
        <v>0</v>
      </c>
      <c r="R730" s="2" t="s">
        <v>13956</v>
      </c>
    </row>
    <row r="731" spans="1:18" x14ac:dyDescent="0.25">
      <c r="A731" s="2" t="s">
        <v>4072</v>
      </c>
      <c r="B731" s="6">
        <v>46174</v>
      </c>
      <c r="C731" s="8">
        <v>46177</v>
      </c>
      <c r="D731" s="2" t="s">
        <v>199</v>
      </c>
      <c r="E731" s="2" t="s">
        <v>12593</v>
      </c>
      <c r="F731" s="2" t="s">
        <v>12426</v>
      </c>
      <c r="G731" s="2" t="s">
        <v>14084</v>
      </c>
      <c r="H731" s="2" t="s">
        <v>39</v>
      </c>
      <c r="I731" s="9">
        <v>13504.64</v>
      </c>
      <c r="J731" s="7">
        <v>1</v>
      </c>
      <c r="K731" s="9">
        <v>13504.64</v>
      </c>
      <c r="L731" s="14">
        <v>0</v>
      </c>
      <c r="M731" s="2" t="s">
        <v>71</v>
      </c>
      <c r="N731" s="2" t="s">
        <v>12595</v>
      </c>
      <c r="O731" s="2" t="s">
        <v>14085</v>
      </c>
      <c r="P731" s="9">
        <v>0</v>
      </c>
      <c r="Q731" s="9">
        <v>0</v>
      </c>
      <c r="R731" s="2" t="s">
        <v>13959</v>
      </c>
    </row>
    <row r="732" spans="1:18" x14ac:dyDescent="0.25">
      <c r="A732" s="2" t="s">
        <v>4077</v>
      </c>
      <c r="B732" s="6">
        <v>46174</v>
      </c>
      <c r="C732" s="8">
        <v>46178</v>
      </c>
      <c r="D732" s="2" t="s">
        <v>199</v>
      </c>
      <c r="E732" s="2" t="s">
        <v>12593</v>
      </c>
      <c r="F732" s="2" t="s">
        <v>12427</v>
      </c>
      <c r="G732" s="2" t="s">
        <v>14086</v>
      </c>
      <c r="H732" s="2" t="s">
        <v>76</v>
      </c>
      <c r="I732" s="9">
        <v>218842400</v>
      </c>
      <c r="J732" s="7">
        <v>6.2500000000000001E-5</v>
      </c>
      <c r="K732" s="9">
        <v>13677.65</v>
      </c>
      <c r="L732" s="14">
        <v>0</v>
      </c>
      <c r="M732" s="2" t="s">
        <v>71</v>
      </c>
      <c r="N732" s="2" t="s">
        <v>12595</v>
      </c>
      <c r="O732" s="2" t="s">
        <v>14087</v>
      </c>
      <c r="P732" s="9">
        <v>0</v>
      </c>
      <c r="Q732" s="9">
        <v>0</v>
      </c>
      <c r="R732" s="2" t="s">
        <v>13962</v>
      </c>
    </row>
    <row r="733" spans="1:18" x14ac:dyDescent="0.25">
      <c r="A733" s="2" t="s">
        <v>4082</v>
      </c>
      <c r="B733" s="6">
        <v>46174</v>
      </c>
      <c r="C733" s="8">
        <v>46179</v>
      </c>
      <c r="D733" s="2" t="s">
        <v>199</v>
      </c>
      <c r="E733" s="2" t="s">
        <v>12593</v>
      </c>
      <c r="F733" s="2" t="s">
        <v>12428</v>
      </c>
      <c r="G733" s="2" t="s">
        <v>14088</v>
      </c>
      <c r="H733" s="2" t="s">
        <v>70</v>
      </c>
      <c r="I733" s="9">
        <v>20828.060150000001</v>
      </c>
      <c r="J733" s="7">
        <v>0.66500000000000004</v>
      </c>
      <c r="K733" s="9">
        <v>13850.66</v>
      </c>
      <c r="L733" s="14">
        <v>0</v>
      </c>
      <c r="M733" s="2" t="s">
        <v>71</v>
      </c>
      <c r="N733" s="2" t="s">
        <v>12595</v>
      </c>
      <c r="O733" s="2" t="s">
        <v>14089</v>
      </c>
      <c r="P733" s="9">
        <v>0</v>
      </c>
      <c r="Q733" s="9">
        <v>0</v>
      </c>
      <c r="R733" s="2" t="s">
        <v>13965</v>
      </c>
    </row>
    <row r="734" spans="1:18" x14ac:dyDescent="0.25">
      <c r="A734" s="2" t="s">
        <v>4085</v>
      </c>
      <c r="B734" s="6">
        <v>46174</v>
      </c>
      <c r="C734" s="8">
        <v>46180</v>
      </c>
      <c r="D734" s="2" t="s">
        <v>199</v>
      </c>
      <c r="E734" s="2" t="s">
        <v>12593</v>
      </c>
      <c r="F734" s="2" t="s">
        <v>12429</v>
      </c>
      <c r="G734" s="2" t="s">
        <v>14090</v>
      </c>
      <c r="H734" s="2" t="s">
        <v>39</v>
      </c>
      <c r="I734" s="9">
        <v>14023.67</v>
      </c>
      <c r="J734" s="7">
        <v>1</v>
      </c>
      <c r="K734" s="9">
        <v>14023.67</v>
      </c>
      <c r="L734" s="14">
        <v>0</v>
      </c>
      <c r="M734" s="2" t="s">
        <v>71</v>
      </c>
      <c r="N734" s="2" t="s">
        <v>12595</v>
      </c>
      <c r="O734" s="2" t="s">
        <v>14091</v>
      </c>
      <c r="P734" s="9">
        <v>0</v>
      </c>
      <c r="Q734" s="9">
        <v>0</v>
      </c>
      <c r="R734" s="2" t="s">
        <v>13968</v>
      </c>
    </row>
    <row r="735" spans="1:18" x14ac:dyDescent="0.25">
      <c r="A735" s="2" t="s">
        <v>4088</v>
      </c>
      <c r="B735" s="6">
        <v>46174</v>
      </c>
      <c r="C735" s="8">
        <v>46181</v>
      </c>
      <c r="D735" s="2" t="s">
        <v>199</v>
      </c>
      <c r="E735" s="2" t="s">
        <v>12593</v>
      </c>
      <c r="F735" s="2" t="s">
        <v>12430</v>
      </c>
      <c r="G735" s="2" t="s">
        <v>14092</v>
      </c>
      <c r="H735" s="2" t="s">
        <v>76</v>
      </c>
      <c r="I735" s="9">
        <v>227146880</v>
      </c>
      <c r="J735" s="7">
        <v>6.2500000000000001E-5</v>
      </c>
      <c r="K735" s="9">
        <v>14196.68</v>
      </c>
      <c r="L735" s="14">
        <v>0</v>
      </c>
      <c r="M735" s="2" t="s">
        <v>71</v>
      </c>
      <c r="N735" s="2" t="s">
        <v>12595</v>
      </c>
      <c r="O735" s="2" t="s">
        <v>14093</v>
      </c>
      <c r="P735" s="9">
        <v>0</v>
      </c>
      <c r="Q735" s="9">
        <v>0</v>
      </c>
      <c r="R735" s="2" t="s">
        <v>13971</v>
      </c>
    </row>
    <row r="736" spans="1:18" x14ac:dyDescent="0.25">
      <c r="A736" s="2" t="s">
        <v>4093</v>
      </c>
      <c r="B736" s="6">
        <v>46174</v>
      </c>
      <c r="C736" s="8">
        <v>46182</v>
      </c>
      <c r="D736" s="2" t="s">
        <v>199</v>
      </c>
      <c r="E736" s="2" t="s">
        <v>12593</v>
      </c>
      <c r="F736" s="2" t="s">
        <v>12431</v>
      </c>
      <c r="G736" s="2" t="s">
        <v>14094</v>
      </c>
      <c r="H736" s="2" t="s">
        <v>70</v>
      </c>
      <c r="I736" s="9">
        <v>21608.556390999998</v>
      </c>
      <c r="J736" s="7">
        <v>0.66500000000000004</v>
      </c>
      <c r="K736" s="9">
        <v>14369.69</v>
      </c>
      <c r="L736" s="14">
        <v>0</v>
      </c>
      <c r="M736" s="2" t="s">
        <v>71</v>
      </c>
      <c r="N736" s="2" t="s">
        <v>12595</v>
      </c>
      <c r="O736" s="2" t="s">
        <v>14095</v>
      </c>
      <c r="P736" s="9">
        <v>0</v>
      </c>
      <c r="Q736" s="9">
        <v>0</v>
      </c>
      <c r="R736" s="2" t="s">
        <v>13974</v>
      </c>
    </row>
    <row r="737" spans="1:18" x14ac:dyDescent="0.25">
      <c r="A737" s="2" t="s">
        <v>4096</v>
      </c>
      <c r="B737" s="6">
        <v>46174</v>
      </c>
      <c r="C737" s="8">
        <v>46183</v>
      </c>
      <c r="D737" s="2" t="s">
        <v>199</v>
      </c>
      <c r="E737" s="2" t="s">
        <v>12593</v>
      </c>
      <c r="F737" s="2" t="s">
        <v>12432</v>
      </c>
      <c r="G737" s="2" t="s">
        <v>14096</v>
      </c>
      <c r="H737" s="2" t="s">
        <v>39</v>
      </c>
      <c r="I737" s="9">
        <v>14542.7</v>
      </c>
      <c r="J737" s="7">
        <v>1</v>
      </c>
      <c r="K737" s="9">
        <v>14542.7</v>
      </c>
      <c r="L737" s="14">
        <v>0</v>
      </c>
      <c r="M737" s="2" t="s">
        <v>71</v>
      </c>
      <c r="N737" s="2" t="s">
        <v>12595</v>
      </c>
      <c r="O737" s="2" t="s">
        <v>14097</v>
      </c>
      <c r="P737" s="9">
        <v>0</v>
      </c>
      <c r="Q737" s="9">
        <v>0</v>
      </c>
      <c r="R737" s="2" t="s">
        <v>13977</v>
      </c>
    </row>
    <row r="738" spans="1:18" x14ac:dyDescent="0.25">
      <c r="A738" s="2" t="s">
        <v>4099</v>
      </c>
      <c r="B738" s="6">
        <v>46174</v>
      </c>
      <c r="C738" s="8">
        <v>46184</v>
      </c>
      <c r="D738" s="2" t="s">
        <v>199</v>
      </c>
      <c r="E738" s="2" t="s">
        <v>12593</v>
      </c>
      <c r="F738" s="2" t="s">
        <v>12423</v>
      </c>
      <c r="G738" s="2" t="s">
        <v>14098</v>
      </c>
      <c r="H738" s="2" t="s">
        <v>76</v>
      </c>
      <c r="I738" s="9">
        <v>235451360</v>
      </c>
      <c r="J738" s="7">
        <v>6.2500000000000001E-5</v>
      </c>
      <c r="K738" s="9">
        <v>14715.71</v>
      </c>
      <c r="L738" s="14">
        <v>0</v>
      </c>
      <c r="M738" s="2" t="s">
        <v>71</v>
      </c>
      <c r="N738" s="2" t="s">
        <v>12595</v>
      </c>
      <c r="O738" s="2" t="s">
        <v>14099</v>
      </c>
      <c r="P738" s="9">
        <v>0</v>
      </c>
      <c r="Q738" s="9">
        <v>0</v>
      </c>
      <c r="R738" s="2" t="s">
        <v>13950</v>
      </c>
    </row>
    <row r="739" spans="1:18" x14ac:dyDescent="0.25">
      <c r="A739" s="2" t="s">
        <v>4102</v>
      </c>
      <c r="B739" s="6">
        <v>46174</v>
      </c>
      <c r="C739" s="8">
        <v>46185</v>
      </c>
      <c r="D739" s="2" t="s">
        <v>199</v>
      </c>
      <c r="E739" s="2" t="s">
        <v>12593</v>
      </c>
      <c r="F739" s="2" t="s">
        <v>12424</v>
      </c>
      <c r="G739" s="2" t="s">
        <v>14100</v>
      </c>
      <c r="H739" s="2" t="s">
        <v>70</v>
      </c>
      <c r="I739" s="9">
        <v>1336.421053</v>
      </c>
      <c r="J739" s="7">
        <v>0.66500000000000004</v>
      </c>
      <c r="K739" s="9">
        <v>888.72</v>
      </c>
      <c r="L739" s="14">
        <v>0</v>
      </c>
      <c r="M739" s="2" t="s">
        <v>71</v>
      </c>
      <c r="N739" s="2" t="s">
        <v>12595</v>
      </c>
      <c r="O739" s="2" t="s">
        <v>14101</v>
      </c>
      <c r="P739" s="9">
        <v>0</v>
      </c>
      <c r="Q739" s="9">
        <v>0</v>
      </c>
      <c r="R739" s="2" t="s">
        <v>13953</v>
      </c>
    </row>
    <row r="740" spans="1:18" x14ac:dyDescent="0.25">
      <c r="A740" s="2" t="s">
        <v>4105</v>
      </c>
      <c r="B740" s="6">
        <v>46174</v>
      </c>
      <c r="C740" s="8">
        <v>46186</v>
      </c>
      <c r="D740" s="2" t="s">
        <v>199</v>
      </c>
      <c r="E740" s="2" t="s">
        <v>12593</v>
      </c>
      <c r="F740" s="2" t="s">
        <v>12425</v>
      </c>
      <c r="G740" s="2" t="s">
        <v>14102</v>
      </c>
      <c r="H740" s="2" t="s">
        <v>39</v>
      </c>
      <c r="I740" s="9">
        <v>1061.73</v>
      </c>
      <c r="J740" s="7">
        <v>1</v>
      </c>
      <c r="K740" s="9">
        <v>1061.73</v>
      </c>
      <c r="L740" s="14">
        <v>0</v>
      </c>
      <c r="M740" s="2" t="s">
        <v>71</v>
      </c>
      <c r="N740" s="2" t="s">
        <v>12595</v>
      </c>
      <c r="O740" s="2" t="s">
        <v>14103</v>
      </c>
      <c r="P740" s="9">
        <v>0</v>
      </c>
      <c r="Q740" s="9">
        <v>0</v>
      </c>
      <c r="R740" s="2" t="s">
        <v>13956</v>
      </c>
    </row>
    <row r="741" spans="1:18" x14ac:dyDescent="0.25">
      <c r="A741" s="2" t="s">
        <v>4108</v>
      </c>
      <c r="B741" s="6">
        <v>46174</v>
      </c>
      <c r="C741" s="8">
        <v>46187</v>
      </c>
      <c r="D741" s="2" t="s">
        <v>199</v>
      </c>
      <c r="E741" s="2" t="s">
        <v>12593</v>
      </c>
      <c r="F741" s="2" t="s">
        <v>12426</v>
      </c>
      <c r="G741" s="2" t="s">
        <v>14104</v>
      </c>
      <c r="H741" s="2" t="s">
        <v>76</v>
      </c>
      <c r="I741" s="9">
        <v>19755840</v>
      </c>
      <c r="J741" s="7">
        <v>6.2500000000000001E-5</v>
      </c>
      <c r="K741" s="9">
        <v>1234.74</v>
      </c>
      <c r="L741" s="14">
        <v>0</v>
      </c>
      <c r="M741" s="2" t="s">
        <v>71</v>
      </c>
      <c r="N741" s="2" t="s">
        <v>12595</v>
      </c>
      <c r="O741" s="2" t="s">
        <v>14105</v>
      </c>
      <c r="P741" s="9">
        <v>0</v>
      </c>
      <c r="Q741" s="9">
        <v>0</v>
      </c>
      <c r="R741" s="2" t="s">
        <v>13959</v>
      </c>
    </row>
    <row r="742" spans="1:18" x14ac:dyDescent="0.25">
      <c r="A742" s="2" t="s">
        <v>4113</v>
      </c>
      <c r="B742" s="6">
        <v>46174</v>
      </c>
      <c r="C742" s="8">
        <v>46188</v>
      </c>
      <c r="D742" s="2" t="s">
        <v>199</v>
      </c>
      <c r="E742" s="2" t="s">
        <v>12593</v>
      </c>
      <c r="F742" s="2" t="s">
        <v>12427</v>
      </c>
      <c r="G742" s="2" t="s">
        <v>14106</v>
      </c>
      <c r="H742" s="2" t="s">
        <v>70</v>
      </c>
      <c r="I742" s="9">
        <v>2116.917293</v>
      </c>
      <c r="J742" s="7">
        <v>0.66500000000000004</v>
      </c>
      <c r="K742" s="9">
        <v>1407.75</v>
      </c>
      <c r="L742" s="14">
        <v>0</v>
      </c>
      <c r="M742" s="2" t="s">
        <v>71</v>
      </c>
      <c r="N742" s="2" t="s">
        <v>12595</v>
      </c>
      <c r="O742" s="2" t="s">
        <v>14107</v>
      </c>
      <c r="P742" s="9">
        <v>0</v>
      </c>
      <c r="Q742" s="9">
        <v>0</v>
      </c>
      <c r="R742" s="2" t="s">
        <v>13962</v>
      </c>
    </row>
    <row r="743" spans="1:18" x14ac:dyDescent="0.25">
      <c r="A743" s="2" t="s">
        <v>4118</v>
      </c>
      <c r="B743" s="6">
        <v>46174</v>
      </c>
      <c r="C743" s="8">
        <v>46189</v>
      </c>
      <c r="D743" s="2" t="s">
        <v>199</v>
      </c>
      <c r="E743" s="2" t="s">
        <v>12593</v>
      </c>
      <c r="F743" s="2" t="s">
        <v>12428</v>
      </c>
      <c r="G743" s="2" t="s">
        <v>14108</v>
      </c>
      <c r="H743" s="2" t="s">
        <v>39</v>
      </c>
      <c r="I743" s="9">
        <v>1580.76</v>
      </c>
      <c r="J743" s="7">
        <v>1</v>
      </c>
      <c r="K743" s="9">
        <v>1580.76</v>
      </c>
      <c r="L743" s="14">
        <v>0</v>
      </c>
      <c r="M743" s="2" t="s">
        <v>71</v>
      </c>
      <c r="N743" s="2" t="s">
        <v>12595</v>
      </c>
      <c r="O743" s="2" t="s">
        <v>14109</v>
      </c>
      <c r="P743" s="9">
        <v>0</v>
      </c>
      <c r="Q743" s="9">
        <v>0</v>
      </c>
      <c r="R743" s="2" t="s">
        <v>13965</v>
      </c>
    </row>
    <row r="744" spans="1:18" x14ac:dyDescent="0.25">
      <c r="A744" s="2" t="s">
        <v>4121</v>
      </c>
      <c r="B744" s="6">
        <v>46174</v>
      </c>
      <c r="C744" s="8">
        <v>46190</v>
      </c>
      <c r="D744" s="2" t="s">
        <v>199</v>
      </c>
      <c r="E744" s="2" t="s">
        <v>12593</v>
      </c>
      <c r="F744" s="2" t="s">
        <v>12429</v>
      </c>
      <c r="G744" s="2" t="s">
        <v>14110</v>
      </c>
      <c r="H744" s="2" t="s">
        <v>76</v>
      </c>
      <c r="I744" s="9">
        <v>28060320</v>
      </c>
      <c r="J744" s="7">
        <v>6.2500000000000001E-5</v>
      </c>
      <c r="K744" s="9">
        <v>1753.77</v>
      </c>
      <c r="L744" s="14">
        <v>0</v>
      </c>
      <c r="M744" s="2" t="s">
        <v>71</v>
      </c>
      <c r="N744" s="2" t="s">
        <v>12595</v>
      </c>
      <c r="O744" s="2" t="s">
        <v>14111</v>
      </c>
      <c r="P744" s="9">
        <v>0</v>
      </c>
      <c r="Q744" s="9">
        <v>0</v>
      </c>
      <c r="R744" s="2" t="s">
        <v>13968</v>
      </c>
    </row>
    <row r="745" spans="1:18" x14ac:dyDescent="0.25">
      <c r="A745" s="2" t="s">
        <v>4124</v>
      </c>
      <c r="B745" s="6">
        <v>46174</v>
      </c>
      <c r="C745" s="8">
        <v>46191</v>
      </c>
      <c r="D745" s="2" t="s">
        <v>199</v>
      </c>
      <c r="E745" s="2" t="s">
        <v>12593</v>
      </c>
      <c r="F745" s="2" t="s">
        <v>12430</v>
      </c>
      <c r="G745" s="2" t="s">
        <v>14112</v>
      </c>
      <c r="H745" s="2" t="s">
        <v>70</v>
      </c>
      <c r="I745" s="9">
        <v>2897.4135339999998</v>
      </c>
      <c r="J745" s="7">
        <v>0.66500000000000004</v>
      </c>
      <c r="K745" s="9">
        <v>1926.78</v>
      </c>
      <c r="L745" s="14">
        <v>0</v>
      </c>
      <c r="M745" s="2" t="s">
        <v>71</v>
      </c>
      <c r="N745" s="2" t="s">
        <v>12595</v>
      </c>
      <c r="O745" s="2" t="s">
        <v>14113</v>
      </c>
      <c r="P745" s="9">
        <v>0</v>
      </c>
      <c r="Q745" s="9">
        <v>0</v>
      </c>
      <c r="R745" s="2" t="s">
        <v>13971</v>
      </c>
    </row>
    <row r="746" spans="1:18" x14ac:dyDescent="0.25">
      <c r="A746" s="2" t="s">
        <v>4129</v>
      </c>
      <c r="B746" s="6">
        <v>46174</v>
      </c>
      <c r="C746" s="8">
        <v>46192</v>
      </c>
      <c r="D746" s="2" t="s">
        <v>199</v>
      </c>
      <c r="E746" s="2" t="s">
        <v>12593</v>
      </c>
      <c r="F746" s="2" t="s">
        <v>12431</v>
      </c>
      <c r="G746" s="2" t="s">
        <v>14114</v>
      </c>
      <c r="H746" s="2" t="s">
        <v>39</v>
      </c>
      <c r="I746" s="9">
        <v>2099.79</v>
      </c>
      <c r="J746" s="7">
        <v>1</v>
      </c>
      <c r="K746" s="9">
        <v>2099.79</v>
      </c>
      <c r="L746" s="14">
        <v>0</v>
      </c>
      <c r="M746" s="2" t="s">
        <v>71</v>
      </c>
      <c r="N746" s="2" t="s">
        <v>12595</v>
      </c>
      <c r="O746" s="2" t="s">
        <v>14115</v>
      </c>
      <c r="P746" s="9">
        <v>0</v>
      </c>
      <c r="Q746" s="9">
        <v>0</v>
      </c>
      <c r="R746" s="2" t="s">
        <v>13974</v>
      </c>
    </row>
    <row r="747" spans="1:18" x14ac:dyDescent="0.25">
      <c r="A747" s="2" t="s">
        <v>4132</v>
      </c>
      <c r="B747" s="6">
        <v>46174</v>
      </c>
      <c r="C747" s="8">
        <v>46193</v>
      </c>
      <c r="D747" s="2" t="s">
        <v>199</v>
      </c>
      <c r="E747" s="2" t="s">
        <v>12593</v>
      </c>
      <c r="F747" s="2" t="s">
        <v>12432</v>
      </c>
      <c r="G747" s="2" t="s">
        <v>14116</v>
      </c>
      <c r="H747" s="2" t="s">
        <v>76</v>
      </c>
      <c r="I747" s="9">
        <v>36364800</v>
      </c>
      <c r="J747" s="7">
        <v>6.2500000000000001E-5</v>
      </c>
      <c r="K747" s="9">
        <v>2272.8000000000002</v>
      </c>
      <c r="L747" s="14">
        <v>0</v>
      </c>
      <c r="M747" s="2" t="s">
        <v>71</v>
      </c>
      <c r="N747" s="2" t="s">
        <v>12595</v>
      </c>
      <c r="O747" s="2" t="s">
        <v>14117</v>
      </c>
      <c r="P747" s="9">
        <v>0</v>
      </c>
      <c r="Q747" s="9">
        <v>0</v>
      </c>
      <c r="R747" s="2" t="s">
        <v>13977</v>
      </c>
    </row>
    <row r="748" spans="1:18" x14ac:dyDescent="0.25">
      <c r="A748" s="2" t="s">
        <v>4135</v>
      </c>
      <c r="B748" s="6">
        <v>46174</v>
      </c>
      <c r="C748" s="8">
        <v>46194</v>
      </c>
      <c r="D748" s="2" t="s">
        <v>199</v>
      </c>
      <c r="E748" s="2" t="s">
        <v>12593</v>
      </c>
      <c r="F748" s="2" t="s">
        <v>12423</v>
      </c>
      <c r="G748" s="2" t="s">
        <v>14118</v>
      </c>
      <c r="H748" s="2" t="s">
        <v>70</v>
      </c>
      <c r="I748" s="9">
        <v>3677.9097740000002</v>
      </c>
      <c r="J748" s="7">
        <v>0.66500000000000004</v>
      </c>
      <c r="K748" s="9">
        <v>2445.81</v>
      </c>
      <c r="L748" s="14">
        <v>0</v>
      </c>
      <c r="M748" s="2" t="s">
        <v>71</v>
      </c>
      <c r="N748" s="2" t="s">
        <v>12595</v>
      </c>
      <c r="O748" s="2" t="s">
        <v>14119</v>
      </c>
      <c r="P748" s="9">
        <v>0</v>
      </c>
      <c r="Q748" s="9">
        <v>0</v>
      </c>
      <c r="R748" s="2" t="s">
        <v>13950</v>
      </c>
    </row>
    <row r="749" spans="1:18" x14ac:dyDescent="0.25">
      <c r="A749" s="2" t="s">
        <v>4138</v>
      </c>
      <c r="B749" s="6">
        <v>46174</v>
      </c>
      <c r="C749" s="8">
        <v>46195</v>
      </c>
      <c r="D749" s="2" t="s">
        <v>199</v>
      </c>
      <c r="E749" s="2" t="s">
        <v>12593</v>
      </c>
      <c r="F749" s="2" t="s">
        <v>12424</v>
      </c>
      <c r="G749" s="2" t="s">
        <v>14120</v>
      </c>
      <c r="H749" s="2" t="s">
        <v>39</v>
      </c>
      <c r="I749" s="9">
        <v>-2618.8200000000002</v>
      </c>
      <c r="J749" s="7">
        <v>1</v>
      </c>
      <c r="K749" s="9">
        <v>-2618.8200000000002</v>
      </c>
      <c r="L749" s="14">
        <v>0</v>
      </c>
      <c r="M749" s="2" t="s">
        <v>71</v>
      </c>
      <c r="N749" s="2" t="s">
        <v>12595</v>
      </c>
      <c r="O749" s="2" t="s">
        <v>14121</v>
      </c>
      <c r="P749" s="9">
        <v>0</v>
      </c>
      <c r="Q749" s="9">
        <v>0</v>
      </c>
      <c r="R749" s="2" t="s">
        <v>13953</v>
      </c>
    </row>
    <row r="750" spans="1:18" x14ac:dyDescent="0.25">
      <c r="A750" s="2" t="s">
        <v>4141</v>
      </c>
      <c r="B750" s="6">
        <v>46174</v>
      </c>
      <c r="C750" s="8">
        <v>46196</v>
      </c>
      <c r="D750" s="2" t="s">
        <v>199</v>
      </c>
      <c r="E750" s="2" t="s">
        <v>12593</v>
      </c>
      <c r="F750" s="2" t="s">
        <v>12425</v>
      </c>
      <c r="G750" s="2" t="s">
        <v>14122</v>
      </c>
      <c r="H750" s="2" t="s">
        <v>76</v>
      </c>
      <c r="I750" s="9">
        <v>44669280</v>
      </c>
      <c r="J750" s="7">
        <v>6.2500000000000001E-5</v>
      </c>
      <c r="K750" s="9">
        <v>2791.83</v>
      </c>
      <c r="L750" s="14">
        <v>0</v>
      </c>
      <c r="M750" s="2" t="s">
        <v>71</v>
      </c>
      <c r="N750" s="2" t="s">
        <v>12595</v>
      </c>
      <c r="O750" s="2" t="s">
        <v>14123</v>
      </c>
      <c r="P750" s="9">
        <v>0</v>
      </c>
      <c r="Q750" s="9">
        <v>0</v>
      </c>
      <c r="R750" s="2" t="s">
        <v>13956</v>
      </c>
    </row>
    <row r="751" spans="1:18" x14ac:dyDescent="0.25">
      <c r="A751" s="2" t="s">
        <v>4144</v>
      </c>
      <c r="B751" s="6">
        <v>46174</v>
      </c>
      <c r="C751" s="8">
        <v>46197</v>
      </c>
      <c r="D751" s="2" t="s">
        <v>199</v>
      </c>
      <c r="E751" s="2" t="s">
        <v>12593</v>
      </c>
      <c r="F751" s="2" t="s">
        <v>12426</v>
      </c>
      <c r="G751" s="2" t="s">
        <v>14124</v>
      </c>
      <c r="H751" s="2" t="s">
        <v>70</v>
      </c>
      <c r="I751" s="9">
        <v>4458.4060149999996</v>
      </c>
      <c r="J751" s="7">
        <v>0.66500000000000004</v>
      </c>
      <c r="K751" s="9">
        <v>2964.84</v>
      </c>
      <c r="L751" s="14">
        <v>0</v>
      </c>
      <c r="M751" s="2" t="s">
        <v>71</v>
      </c>
      <c r="N751" s="2" t="s">
        <v>12595</v>
      </c>
      <c r="O751" s="2" t="s">
        <v>14125</v>
      </c>
      <c r="P751" s="9">
        <v>0</v>
      </c>
      <c r="Q751" s="9">
        <v>0</v>
      </c>
      <c r="R751" s="2" t="s">
        <v>13959</v>
      </c>
    </row>
    <row r="752" spans="1:18" x14ac:dyDescent="0.25">
      <c r="A752" s="2" t="s">
        <v>4149</v>
      </c>
      <c r="B752" s="6">
        <v>46174</v>
      </c>
      <c r="C752" s="8">
        <v>46198</v>
      </c>
      <c r="D752" s="2" t="s">
        <v>199</v>
      </c>
      <c r="E752" s="2" t="s">
        <v>12593</v>
      </c>
      <c r="F752" s="2" t="s">
        <v>12427</v>
      </c>
      <c r="G752" s="2" t="s">
        <v>14126</v>
      </c>
      <c r="H752" s="2" t="s">
        <v>39</v>
      </c>
      <c r="I752" s="9">
        <v>3137.85</v>
      </c>
      <c r="J752" s="7">
        <v>1</v>
      </c>
      <c r="K752" s="9">
        <v>3137.85</v>
      </c>
      <c r="L752" s="14">
        <v>0</v>
      </c>
      <c r="M752" s="2" t="s">
        <v>71</v>
      </c>
      <c r="N752" s="2" t="s">
        <v>12595</v>
      </c>
      <c r="O752" s="2" t="s">
        <v>14127</v>
      </c>
      <c r="P752" s="9">
        <v>0</v>
      </c>
      <c r="Q752" s="9">
        <v>0</v>
      </c>
      <c r="R752" s="2" t="s">
        <v>13962</v>
      </c>
    </row>
    <row r="753" spans="1:18" x14ac:dyDescent="0.25">
      <c r="A753" s="2" t="s">
        <v>4154</v>
      </c>
      <c r="B753" s="6">
        <v>46174</v>
      </c>
      <c r="C753" s="8">
        <v>46199</v>
      </c>
      <c r="D753" s="2" t="s">
        <v>199</v>
      </c>
      <c r="E753" s="2" t="s">
        <v>12593</v>
      </c>
      <c r="F753" s="2" t="s">
        <v>12428</v>
      </c>
      <c r="G753" s="2" t="s">
        <v>14128</v>
      </c>
      <c r="H753" s="2" t="s">
        <v>76</v>
      </c>
      <c r="I753" s="9">
        <v>52973760</v>
      </c>
      <c r="J753" s="7">
        <v>6.2500000000000001E-5</v>
      </c>
      <c r="K753" s="9">
        <v>3310.86</v>
      </c>
      <c r="L753" s="14">
        <v>0</v>
      </c>
      <c r="M753" s="2" t="s">
        <v>71</v>
      </c>
      <c r="N753" s="2" t="s">
        <v>12595</v>
      </c>
      <c r="O753" s="2" t="s">
        <v>14129</v>
      </c>
      <c r="P753" s="9">
        <v>0</v>
      </c>
      <c r="Q753" s="9">
        <v>0</v>
      </c>
      <c r="R753" s="2" t="s">
        <v>13965</v>
      </c>
    </row>
    <row r="754" spans="1:18" x14ac:dyDescent="0.25">
      <c r="A754" s="2" t="s">
        <v>4157</v>
      </c>
      <c r="B754" s="6">
        <v>46174</v>
      </c>
      <c r="C754" s="8">
        <v>46200</v>
      </c>
      <c r="D754" s="2" t="s">
        <v>199</v>
      </c>
      <c r="E754" s="2" t="s">
        <v>12593</v>
      </c>
      <c r="F754" s="2" t="s">
        <v>12429</v>
      </c>
      <c r="G754" s="2" t="s">
        <v>14130</v>
      </c>
      <c r="H754" s="2" t="s">
        <v>70</v>
      </c>
      <c r="I754" s="9">
        <v>5238.9022560000003</v>
      </c>
      <c r="J754" s="7">
        <v>0.66500000000000004</v>
      </c>
      <c r="K754" s="9">
        <v>3483.87</v>
      </c>
      <c r="L754" s="14">
        <v>0</v>
      </c>
      <c r="M754" s="2" t="s">
        <v>71</v>
      </c>
      <c r="N754" s="2" t="s">
        <v>12595</v>
      </c>
      <c r="O754" s="2" t="s">
        <v>14131</v>
      </c>
      <c r="P754" s="9">
        <v>0</v>
      </c>
      <c r="Q754" s="9">
        <v>0</v>
      </c>
      <c r="R754" s="2" t="s">
        <v>13968</v>
      </c>
    </row>
    <row r="755" spans="1:18" x14ac:dyDescent="0.25">
      <c r="A755" s="2" t="s">
        <v>4160</v>
      </c>
      <c r="B755" s="6">
        <v>46174</v>
      </c>
      <c r="C755" s="8">
        <v>46201</v>
      </c>
      <c r="D755" s="2" t="s">
        <v>199</v>
      </c>
      <c r="E755" s="2" t="s">
        <v>12593</v>
      </c>
      <c r="F755" s="2" t="s">
        <v>12430</v>
      </c>
      <c r="G755" s="2" t="s">
        <v>14132</v>
      </c>
      <c r="H755" s="2" t="s">
        <v>39</v>
      </c>
      <c r="I755" s="9">
        <v>3656.88</v>
      </c>
      <c r="J755" s="7">
        <v>1</v>
      </c>
      <c r="K755" s="9">
        <v>3656.88</v>
      </c>
      <c r="L755" s="14">
        <v>0</v>
      </c>
      <c r="M755" s="2" t="s">
        <v>71</v>
      </c>
      <c r="N755" s="2" t="s">
        <v>12595</v>
      </c>
      <c r="O755" s="2" t="s">
        <v>14133</v>
      </c>
      <c r="P755" s="9">
        <v>0</v>
      </c>
      <c r="Q755" s="9">
        <v>0</v>
      </c>
      <c r="R755" s="2" t="s">
        <v>13971</v>
      </c>
    </row>
    <row r="756" spans="1:18" x14ac:dyDescent="0.25">
      <c r="A756" s="2" t="s">
        <v>4165</v>
      </c>
      <c r="B756" s="6">
        <v>46174</v>
      </c>
      <c r="C756" s="8">
        <v>46202</v>
      </c>
      <c r="D756" s="2" t="s">
        <v>199</v>
      </c>
      <c r="E756" s="2" t="s">
        <v>12593</v>
      </c>
      <c r="F756" s="2" t="s">
        <v>12431</v>
      </c>
      <c r="G756" s="2" t="s">
        <v>14134</v>
      </c>
      <c r="H756" s="2" t="s">
        <v>76</v>
      </c>
      <c r="I756" s="9">
        <v>61278240</v>
      </c>
      <c r="J756" s="7">
        <v>6.2500000000000001E-5</v>
      </c>
      <c r="K756" s="9">
        <v>3829.89</v>
      </c>
      <c r="L756" s="14">
        <v>0</v>
      </c>
      <c r="M756" s="2" t="s">
        <v>71</v>
      </c>
      <c r="N756" s="2" t="s">
        <v>12595</v>
      </c>
      <c r="O756" s="2" t="s">
        <v>14135</v>
      </c>
      <c r="P756" s="9">
        <v>0</v>
      </c>
      <c r="Q756" s="9">
        <v>0</v>
      </c>
      <c r="R756" s="2" t="s">
        <v>13974</v>
      </c>
    </row>
    <row r="757" spans="1:18" x14ac:dyDescent="0.25">
      <c r="A757" s="2" t="s">
        <v>4168</v>
      </c>
      <c r="B757" s="6">
        <v>46174</v>
      </c>
      <c r="C757" s="8">
        <v>46203</v>
      </c>
      <c r="D757" s="2" t="s">
        <v>199</v>
      </c>
      <c r="E757" s="2" t="s">
        <v>12593</v>
      </c>
      <c r="F757" s="2" t="s">
        <v>12432</v>
      </c>
      <c r="G757" s="2" t="s">
        <v>14136</v>
      </c>
      <c r="H757" s="2" t="s">
        <v>70</v>
      </c>
      <c r="I757" s="9">
        <v>6019.3984959999998</v>
      </c>
      <c r="J757" s="7">
        <v>0.66500000000000004</v>
      </c>
      <c r="K757" s="9">
        <v>4002.9</v>
      </c>
      <c r="L757" s="14">
        <v>0</v>
      </c>
      <c r="M757" s="2" t="s">
        <v>71</v>
      </c>
      <c r="N757" s="2" t="s">
        <v>12595</v>
      </c>
      <c r="O757" s="2" t="s">
        <v>14137</v>
      </c>
      <c r="P757" s="9">
        <v>0</v>
      </c>
      <c r="Q757" s="9">
        <v>0</v>
      </c>
      <c r="R757" s="2" t="s">
        <v>13977</v>
      </c>
    </row>
    <row r="758" spans="1:18" x14ac:dyDescent="0.25">
      <c r="A758" s="2" t="s">
        <v>4171</v>
      </c>
      <c r="B758" s="6">
        <v>46174</v>
      </c>
      <c r="C758" s="8">
        <v>46174</v>
      </c>
      <c r="D758" s="2" t="s">
        <v>199</v>
      </c>
      <c r="E758" s="2" t="s">
        <v>12593</v>
      </c>
      <c r="F758" s="2" t="s">
        <v>12423</v>
      </c>
      <c r="G758" s="2" t="s">
        <v>14138</v>
      </c>
      <c r="H758" s="2" t="s">
        <v>39</v>
      </c>
      <c r="I758" s="9">
        <v>4175.91</v>
      </c>
      <c r="J758" s="7">
        <v>1</v>
      </c>
      <c r="K758" s="9">
        <v>4175.91</v>
      </c>
      <c r="L758" s="14">
        <v>0</v>
      </c>
      <c r="M758" s="2" t="s">
        <v>71</v>
      </c>
      <c r="N758" s="2" t="s">
        <v>12595</v>
      </c>
      <c r="O758" s="2" t="s">
        <v>14139</v>
      </c>
      <c r="P758" s="9">
        <v>0</v>
      </c>
      <c r="Q758" s="9">
        <v>0</v>
      </c>
      <c r="R758" s="2" t="s">
        <v>13950</v>
      </c>
    </row>
    <row r="759" spans="1:18" x14ac:dyDescent="0.25">
      <c r="A759" s="2" t="s">
        <v>4174</v>
      </c>
      <c r="B759" s="6">
        <v>46174</v>
      </c>
      <c r="C759" s="8">
        <v>46175</v>
      </c>
      <c r="D759" s="2" t="s">
        <v>199</v>
      </c>
      <c r="E759" s="2" t="s">
        <v>12593</v>
      </c>
      <c r="F759" s="2" t="s">
        <v>12424</v>
      </c>
      <c r="G759" s="2" t="s">
        <v>14140</v>
      </c>
      <c r="H759" s="2" t="s">
        <v>76</v>
      </c>
      <c r="I759" s="9">
        <v>69582720</v>
      </c>
      <c r="J759" s="7">
        <v>6.2500000000000001E-5</v>
      </c>
      <c r="K759" s="9">
        <v>4348.92</v>
      </c>
      <c r="L759" s="14">
        <v>0</v>
      </c>
      <c r="M759" s="2" t="s">
        <v>71</v>
      </c>
      <c r="N759" s="2" t="s">
        <v>12595</v>
      </c>
      <c r="O759" s="2" t="s">
        <v>14141</v>
      </c>
      <c r="P759" s="9">
        <v>0</v>
      </c>
      <c r="Q759" s="9">
        <v>0</v>
      </c>
      <c r="R759" s="2" t="s">
        <v>13953</v>
      </c>
    </row>
    <row r="760" spans="1:18" x14ac:dyDescent="0.25">
      <c r="A760" s="2" t="s">
        <v>4177</v>
      </c>
      <c r="B760" s="6">
        <v>46174</v>
      </c>
      <c r="C760" s="8">
        <v>46176</v>
      </c>
      <c r="D760" s="2" t="s">
        <v>199</v>
      </c>
      <c r="E760" s="2" t="s">
        <v>12593</v>
      </c>
      <c r="F760" s="2" t="s">
        <v>12425</v>
      </c>
      <c r="G760" s="2" t="s">
        <v>14142</v>
      </c>
      <c r="H760" s="2" t="s">
        <v>70</v>
      </c>
      <c r="I760" s="9">
        <v>6799.8947369999996</v>
      </c>
      <c r="J760" s="7">
        <v>0.66500000000000004</v>
      </c>
      <c r="K760" s="9">
        <v>4521.93</v>
      </c>
      <c r="L760" s="14">
        <v>0</v>
      </c>
      <c r="M760" s="2" t="s">
        <v>71</v>
      </c>
      <c r="N760" s="2" t="s">
        <v>12595</v>
      </c>
      <c r="O760" s="2" t="s">
        <v>14143</v>
      </c>
      <c r="P760" s="9">
        <v>0</v>
      </c>
      <c r="Q760" s="9">
        <v>0</v>
      </c>
      <c r="R760" s="2" t="s">
        <v>13956</v>
      </c>
    </row>
    <row r="761" spans="1:18" x14ac:dyDescent="0.25">
      <c r="A761" s="2" t="s">
        <v>4180</v>
      </c>
      <c r="B761" s="6">
        <v>46174</v>
      </c>
      <c r="C761" s="8">
        <v>46177</v>
      </c>
      <c r="D761" s="2" t="s">
        <v>199</v>
      </c>
      <c r="E761" s="2" t="s">
        <v>12593</v>
      </c>
      <c r="F761" s="2" t="s">
        <v>12426</v>
      </c>
      <c r="G761" s="2" t="s">
        <v>14144</v>
      </c>
      <c r="H761" s="2" t="s">
        <v>39</v>
      </c>
      <c r="I761" s="9">
        <v>4694.9399999999996</v>
      </c>
      <c r="J761" s="7">
        <v>1</v>
      </c>
      <c r="K761" s="9">
        <v>4694.9399999999996</v>
      </c>
      <c r="L761" s="14">
        <v>0</v>
      </c>
      <c r="M761" s="2" t="s">
        <v>71</v>
      </c>
      <c r="N761" s="2" t="s">
        <v>12595</v>
      </c>
      <c r="O761" s="2" t="s">
        <v>14145</v>
      </c>
      <c r="P761" s="9">
        <v>0</v>
      </c>
      <c r="Q761" s="9">
        <v>0</v>
      </c>
      <c r="R761" s="2" t="s">
        <v>13959</v>
      </c>
    </row>
    <row r="762" spans="1:18" x14ac:dyDescent="0.25">
      <c r="A762" s="2" t="s">
        <v>4185</v>
      </c>
      <c r="B762" s="6">
        <v>46174</v>
      </c>
      <c r="C762" s="8">
        <v>46178</v>
      </c>
      <c r="D762" s="2" t="s">
        <v>199</v>
      </c>
      <c r="E762" s="2" t="s">
        <v>12593</v>
      </c>
      <c r="F762" s="2" t="s">
        <v>12427</v>
      </c>
      <c r="G762" s="2" t="s">
        <v>14146</v>
      </c>
      <c r="H762" s="2" t="s">
        <v>76</v>
      </c>
      <c r="I762" s="9">
        <v>77887200</v>
      </c>
      <c r="J762" s="7">
        <v>6.2500000000000001E-5</v>
      </c>
      <c r="K762" s="9">
        <v>4867.95</v>
      </c>
      <c r="L762" s="14">
        <v>0</v>
      </c>
      <c r="M762" s="2" t="s">
        <v>71</v>
      </c>
      <c r="N762" s="2" t="s">
        <v>12595</v>
      </c>
      <c r="O762" s="2" t="s">
        <v>14147</v>
      </c>
      <c r="P762" s="9">
        <v>0</v>
      </c>
      <c r="Q762" s="9">
        <v>0</v>
      </c>
      <c r="R762" s="2" t="s">
        <v>13962</v>
      </c>
    </row>
    <row r="763" spans="1:18" x14ac:dyDescent="0.25">
      <c r="A763" s="2" t="s">
        <v>4190</v>
      </c>
      <c r="B763" s="6">
        <v>46174</v>
      </c>
      <c r="C763" s="8">
        <v>46179</v>
      </c>
      <c r="D763" s="2" t="s">
        <v>199</v>
      </c>
      <c r="E763" s="2" t="s">
        <v>12593</v>
      </c>
      <c r="F763" s="2" t="s">
        <v>12428</v>
      </c>
      <c r="G763" s="2" t="s">
        <v>14148</v>
      </c>
      <c r="H763" s="2" t="s">
        <v>70</v>
      </c>
      <c r="I763" s="9">
        <v>7580.390977</v>
      </c>
      <c r="J763" s="7">
        <v>0.66500000000000004</v>
      </c>
      <c r="K763" s="9">
        <v>5040.96</v>
      </c>
      <c r="L763" s="14">
        <v>0</v>
      </c>
      <c r="M763" s="2" t="s">
        <v>71</v>
      </c>
      <c r="N763" s="2" t="s">
        <v>12595</v>
      </c>
      <c r="O763" s="2" t="s">
        <v>14149</v>
      </c>
      <c r="P763" s="9">
        <v>0</v>
      </c>
      <c r="Q763" s="9">
        <v>0</v>
      </c>
      <c r="R763" s="2" t="s">
        <v>13965</v>
      </c>
    </row>
    <row r="764" spans="1:18" x14ac:dyDescent="0.25">
      <c r="A764" s="2" t="s">
        <v>4193</v>
      </c>
      <c r="B764" s="6">
        <v>46174</v>
      </c>
      <c r="C764" s="8">
        <v>46180</v>
      </c>
      <c r="D764" s="2" t="s">
        <v>199</v>
      </c>
      <c r="E764" s="2" t="s">
        <v>12593</v>
      </c>
      <c r="F764" s="2" t="s">
        <v>12429</v>
      </c>
      <c r="G764" s="2" t="s">
        <v>14150</v>
      </c>
      <c r="H764" s="2" t="s">
        <v>39</v>
      </c>
      <c r="I764" s="9">
        <v>5213</v>
      </c>
      <c r="J764" s="7">
        <v>1</v>
      </c>
      <c r="K764" s="9">
        <v>5213</v>
      </c>
      <c r="L764" s="14">
        <v>0</v>
      </c>
      <c r="M764" s="2" t="s">
        <v>71</v>
      </c>
      <c r="N764" s="2" t="s">
        <v>12595</v>
      </c>
      <c r="O764" s="2" t="s">
        <v>14151</v>
      </c>
      <c r="P764" s="9">
        <v>0</v>
      </c>
      <c r="Q764" s="9">
        <v>0</v>
      </c>
      <c r="R764" s="2" t="s">
        <v>13968</v>
      </c>
    </row>
    <row r="765" spans="1:18" x14ac:dyDescent="0.25">
      <c r="A765" s="2" t="s">
        <v>4196</v>
      </c>
      <c r="B765" s="6">
        <v>46174</v>
      </c>
      <c r="C765" s="8">
        <v>46181</v>
      </c>
      <c r="D765" s="2" t="s">
        <v>199</v>
      </c>
      <c r="E765" s="2" t="s">
        <v>12593</v>
      </c>
      <c r="F765" s="2" t="s">
        <v>12430</v>
      </c>
      <c r="G765" s="2" t="s">
        <v>14152</v>
      </c>
      <c r="H765" s="2" t="s">
        <v>76</v>
      </c>
      <c r="I765" s="9">
        <v>86176160</v>
      </c>
      <c r="J765" s="7">
        <v>6.2500000000000001E-5</v>
      </c>
      <c r="K765" s="9">
        <v>5386.01</v>
      </c>
      <c r="L765" s="14">
        <v>0</v>
      </c>
      <c r="M765" s="2" t="s">
        <v>71</v>
      </c>
      <c r="N765" s="2" t="s">
        <v>12595</v>
      </c>
      <c r="O765" s="2" t="s">
        <v>14153</v>
      </c>
      <c r="P765" s="9">
        <v>0</v>
      </c>
      <c r="Q765" s="9">
        <v>0</v>
      </c>
      <c r="R765" s="2" t="s">
        <v>13971</v>
      </c>
    </row>
    <row r="766" spans="1:18" x14ac:dyDescent="0.25">
      <c r="A766" s="2" t="s">
        <v>4201</v>
      </c>
      <c r="B766" s="6">
        <v>46174</v>
      </c>
      <c r="C766" s="8">
        <v>46182</v>
      </c>
      <c r="D766" s="2" t="s">
        <v>199</v>
      </c>
      <c r="E766" s="2" t="s">
        <v>12593</v>
      </c>
      <c r="F766" s="2" t="s">
        <v>12431</v>
      </c>
      <c r="G766" s="2" t="s">
        <v>14154</v>
      </c>
      <c r="H766" s="2" t="s">
        <v>70</v>
      </c>
      <c r="I766" s="9">
        <v>8359.4285710000004</v>
      </c>
      <c r="J766" s="7">
        <v>0.66500000000000004</v>
      </c>
      <c r="K766" s="9">
        <v>5559.02</v>
      </c>
      <c r="L766" s="14">
        <v>0</v>
      </c>
      <c r="M766" s="2" t="s">
        <v>71</v>
      </c>
      <c r="N766" s="2" t="s">
        <v>12595</v>
      </c>
      <c r="O766" s="2" t="s">
        <v>14155</v>
      </c>
      <c r="P766" s="9">
        <v>0</v>
      </c>
      <c r="Q766" s="9">
        <v>0</v>
      </c>
      <c r="R766" s="2" t="s">
        <v>13974</v>
      </c>
    </row>
    <row r="767" spans="1:18" x14ac:dyDescent="0.25">
      <c r="A767" s="2" t="s">
        <v>4204</v>
      </c>
      <c r="B767" s="6">
        <v>46174</v>
      </c>
      <c r="C767" s="8">
        <v>46183</v>
      </c>
      <c r="D767" s="2" t="s">
        <v>199</v>
      </c>
      <c r="E767" s="2" t="s">
        <v>12593</v>
      </c>
      <c r="F767" s="2" t="s">
        <v>12432</v>
      </c>
      <c r="G767" s="2" t="s">
        <v>14156</v>
      </c>
      <c r="H767" s="2" t="s">
        <v>39</v>
      </c>
      <c r="I767" s="9">
        <v>5732.03</v>
      </c>
      <c r="J767" s="7">
        <v>1</v>
      </c>
      <c r="K767" s="9">
        <v>5732.03</v>
      </c>
      <c r="L767" s="14">
        <v>0</v>
      </c>
      <c r="M767" s="2" t="s">
        <v>71</v>
      </c>
      <c r="N767" s="2" t="s">
        <v>12595</v>
      </c>
      <c r="O767" s="2" t="s">
        <v>14157</v>
      </c>
      <c r="P767" s="9">
        <v>0</v>
      </c>
      <c r="Q767" s="9">
        <v>0</v>
      </c>
      <c r="R767" s="2" t="s">
        <v>13977</v>
      </c>
    </row>
    <row r="768" spans="1:18" x14ac:dyDescent="0.25">
      <c r="A768" s="2" t="s">
        <v>4207</v>
      </c>
      <c r="B768" s="6">
        <v>46174</v>
      </c>
      <c r="C768" s="8">
        <v>46184</v>
      </c>
      <c r="D768" s="2" t="s">
        <v>199</v>
      </c>
      <c r="E768" s="2" t="s">
        <v>12593</v>
      </c>
      <c r="F768" s="2" t="s">
        <v>12423</v>
      </c>
      <c r="G768" s="2" t="s">
        <v>14158</v>
      </c>
      <c r="H768" s="2" t="s">
        <v>76</v>
      </c>
      <c r="I768" s="9">
        <v>94480640</v>
      </c>
      <c r="J768" s="7">
        <v>6.2500000000000001E-5</v>
      </c>
      <c r="K768" s="9">
        <v>5905.04</v>
      </c>
      <c r="L768" s="14">
        <v>0</v>
      </c>
      <c r="M768" s="2" t="s">
        <v>71</v>
      </c>
      <c r="N768" s="2" t="s">
        <v>12595</v>
      </c>
      <c r="O768" s="2" t="s">
        <v>14159</v>
      </c>
      <c r="P768" s="9">
        <v>0</v>
      </c>
      <c r="Q768" s="9">
        <v>0</v>
      </c>
      <c r="R768" s="2" t="s">
        <v>13950</v>
      </c>
    </row>
    <row r="769" spans="1:18" x14ac:dyDescent="0.25">
      <c r="A769" s="2" t="s">
        <v>4210</v>
      </c>
      <c r="B769" s="6">
        <v>46174</v>
      </c>
      <c r="C769" s="8">
        <v>46185</v>
      </c>
      <c r="D769" s="2" t="s">
        <v>199</v>
      </c>
      <c r="E769" s="2" t="s">
        <v>12593</v>
      </c>
      <c r="F769" s="2" t="s">
        <v>12424</v>
      </c>
      <c r="G769" s="2" t="s">
        <v>14160</v>
      </c>
      <c r="H769" s="2" t="s">
        <v>70</v>
      </c>
      <c r="I769" s="9">
        <v>9139.9248119999993</v>
      </c>
      <c r="J769" s="7">
        <v>0.66500000000000004</v>
      </c>
      <c r="K769" s="9">
        <v>6078.05</v>
      </c>
      <c r="L769" s="14">
        <v>0</v>
      </c>
      <c r="M769" s="2" t="s">
        <v>71</v>
      </c>
      <c r="N769" s="2" t="s">
        <v>12595</v>
      </c>
      <c r="O769" s="2" t="s">
        <v>14161</v>
      </c>
      <c r="P769" s="9">
        <v>0</v>
      </c>
      <c r="Q769" s="9">
        <v>0</v>
      </c>
      <c r="R769" s="2" t="s">
        <v>13953</v>
      </c>
    </row>
    <row r="770" spans="1:18" x14ac:dyDescent="0.25">
      <c r="A770" s="2" t="s">
        <v>4213</v>
      </c>
      <c r="B770" s="6">
        <v>46174</v>
      </c>
      <c r="C770" s="8">
        <v>46186</v>
      </c>
      <c r="D770" s="2" t="s">
        <v>199</v>
      </c>
      <c r="E770" s="2" t="s">
        <v>12593</v>
      </c>
      <c r="F770" s="2" t="s">
        <v>12425</v>
      </c>
      <c r="G770" s="2" t="s">
        <v>14162</v>
      </c>
      <c r="H770" s="2" t="s">
        <v>39</v>
      </c>
      <c r="I770" s="9">
        <v>6251.06</v>
      </c>
      <c r="J770" s="7">
        <v>1</v>
      </c>
      <c r="K770" s="9">
        <v>6251.06</v>
      </c>
      <c r="L770" s="14">
        <v>0</v>
      </c>
      <c r="M770" s="2" t="s">
        <v>71</v>
      </c>
      <c r="N770" s="2" t="s">
        <v>12595</v>
      </c>
      <c r="O770" s="2" t="s">
        <v>14163</v>
      </c>
      <c r="P770" s="9">
        <v>0</v>
      </c>
      <c r="Q770" s="9">
        <v>0</v>
      </c>
      <c r="R770" s="2" t="s">
        <v>13956</v>
      </c>
    </row>
    <row r="771" spans="1:18" x14ac:dyDescent="0.25">
      <c r="A771" s="2" t="s">
        <v>4216</v>
      </c>
      <c r="B771" s="6">
        <v>46174</v>
      </c>
      <c r="C771" s="8">
        <v>46187</v>
      </c>
      <c r="D771" s="2" t="s">
        <v>199</v>
      </c>
      <c r="E771" s="2" t="s">
        <v>12593</v>
      </c>
      <c r="F771" s="2" t="s">
        <v>12426</v>
      </c>
      <c r="G771" s="2" t="s">
        <v>14164</v>
      </c>
      <c r="H771" s="2" t="s">
        <v>76</v>
      </c>
      <c r="I771" s="9">
        <v>102785120</v>
      </c>
      <c r="J771" s="7">
        <v>6.2500000000000001E-5</v>
      </c>
      <c r="K771" s="9">
        <v>6424.07</v>
      </c>
      <c r="L771" s="14">
        <v>0</v>
      </c>
      <c r="M771" s="2" t="s">
        <v>71</v>
      </c>
      <c r="N771" s="2" t="s">
        <v>12595</v>
      </c>
      <c r="O771" s="2" t="s">
        <v>14165</v>
      </c>
      <c r="P771" s="9">
        <v>0</v>
      </c>
      <c r="Q771" s="9">
        <v>0</v>
      </c>
      <c r="R771" s="2" t="s">
        <v>13959</v>
      </c>
    </row>
    <row r="772" spans="1:18" x14ac:dyDescent="0.25">
      <c r="A772" s="2" t="s">
        <v>4221</v>
      </c>
      <c r="B772" s="6">
        <v>46174</v>
      </c>
      <c r="C772" s="8">
        <v>46188</v>
      </c>
      <c r="D772" s="2" t="s">
        <v>199</v>
      </c>
      <c r="E772" s="2" t="s">
        <v>12593</v>
      </c>
      <c r="F772" s="2" t="s">
        <v>12427</v>
      </c>
      <c r="G772" s="2" t="s">
        <v>14166</v>
      </c>
      <c r="H772" s="2" t="s">
        <v>70</v>
      </c>
      <c r="I772" s="9">
        <v>9920.421053</v>
      </c>
      <c r="J772" s="7">
        <v>0.66500000000000004</v>
      </c>
      <c r="K772" s="9">
        <v>6597.08</v>
      </c>
      <c r="L772" s="14">
        <v>0</v>
      </c>
      <c r="M772" s="2" t="s">
        <v>71</v>
      </c>
      <c r="N772" s="2" t="s">
        <v>12595</v>
      </c>
      <c r="O772" s="2" t="s">
        <v>14167</v>
      </c>
      <c r="P772" s="9">
        <v>0</v>
      </c>
      <c r="Q772" s="9">
        <v>0</v>
      </c>
      <c r="R772" s="2" t="s">
        <v>13962</v>
      </c>
    </row>
    <row r="773" spans="1:18" x14ac:dyDescent="0.25">
      <c r="A773" s="2" t="s">
        <v>4226</v>
      </c>
      <c r="B773" s="6">
        <v>46174</v>
      </c>
      <c r="C773" s="8">
        <v>46189</v>
      </c>
      <c r="D773" s="2" t="s">
        <v>199</v>
      </c>
      <c r="E773" s="2" t="s">
        <v>12593</v>
      </c>
      <c r="F773" s="2" t="s">
        <v>12428</v>
      </c>
      <c r="G773" s="2" t="s">
        <v>14168</v>
      </c>
      <c r="H773" s="2" t="s">
        <v>39</v>
      </c>
      <c r="I773" s="9">
        <v>6770.09</v>
      </c>
      <c r="J773" s="7">
        <v>1</v>
      </c>
      <c r="K773" s="9">
        <v>6770.09</v>
      </c>
      <c r="L773" s="14">
        <v>0</v>
      </c>
      <c r="M773" s="2" t="s">
        <v>71</v>
      </c>
      <c r="N773" s="2" t="s">
        <v>12595</v>
      </c>
      <c r="O773" s="2" t="s">
        <v>14169</v>
      </c>
      <c r="P773" s="9">
        <v>0</v>
      </c>
      <c r="Q773" s="9">
        <v>0</v>
      </c>
      <c r="R773" s="2" t="s">
        <v>13965</v>
      </c>
    </row>
    <row r="774" spans="1:18" x14ac:dyDescent="0.25">
      <c r="A774" s="2" t="s">
        <v>4229</v>
      </c>
      <c r="B774" s="6">
        <v>46174</v>
      </c>
      <c r="C774" s="8">
        <v>46190</v>
      </c>
      <c r="D774" s="2" t="s">
        <v>199</v>
      </c>
      <c r="E774" s="2" t="s">
        <v>12593</v>
      </c>
      <c r="F774" s="2" t="s">
        <v>12429</v>
      </c>
      <c r="G774" s="2" t="s">
        <v>14170</v>
      </c>
      <c r="H774" s="2" t="s">
        <v>76</v>
      </c>
      <c r="I774" s="9">
        <v>111089600</v>
      </c>
      <c r="J774" s="7">
        <v>6.2500000000000001E-5</v>
      </c>
      <c r="K774" s="9">
        <v>6943.1</v>
      </c>
      <c r="L774" s="14">
        <v>0</v>
      </c>
      <c r="M774" s="2" t="s">
        <v>71</v>
      </c>
      <c r="N774" s="2" t="s">
        <v>12595</v>
      </c>
      <c r="O774" s="2" t="s">
        <v>14171</v>
      </c>
      <c r="P774" s="9">
        <v>0</v>
      </c>
      <c r="Q774" s="9">
        <v>0</v>
      </c>
      <c r="R774" s="2" t="s">
        <v>13968</v>
      </c>
    </row>
    <row r="775" spans="1:18" x14ac:dyDescent="0.25">
      <c r="A775" s="2" t="s">
        <v>4232</v>
      </c>
      <c r="B775" s="6">
        <v>46174</v>
      </c>
      <c r="C775" s="8">
        <v>46191</v>
      </c>
      <c r="D775" s="2" t="s">
        <v>199</v>
      </c>
      <c r="E775" s="2" t="s">
        <v>12593</v>
      </c>
      <c r="F775" s="2" t="s">
        <v>12430</v>
      </c>
      <c r="G775" s="2" t="s">
        <v>14172</v>
      </c>
      <c r="H775" s="2" t="s">
        <v>70</v>
      </c>
      <c r="I775" s="9">
        <v>10700.917293</v>
      </c>
      <c r="J775" s="7">
        <v>0.66500000000000004</v>
      </c>
      <c r="K775" s="9">
        <v>7116.11</v>
      </c>
      <c r="L775" s="14">
        <v>0</v>
      </c>
      <c r="M775" s="2" t="s">
        <v>71</v>
      </c>
      <c r="N775" s="2" t="s">
        <v>12595</v>
      </c>
      <c r="O775" s="2" t="s">
        <v>14173</v>
      </c>
      <c r="P775" s="9">
        <v>0</v>
      </c>
      <c r="Q775" s="9">
        <v>0</v>
      </c>
      <c r="R775" s="2" t="s">
        <v>13971</v>
      </c>
    </row>
    <row r="776" spans="1:18" x14ac:dyDescent="0.25">
      <c r="A776" s="2" t="s">
        <v>4237</v>
      </c>
      <c r="B776" s="6">
        <v>46174</v>
      </c>
      <c r="C776" s="8">
        <v>46192</v>
      </c>
      <c r="D776" s="2" t="s">
        <v>199</v>
      </c>
      <c r="E776" s="2" t="s">
        <v>12593</v>
      </c>
      <c r="F776" s="2" t="s">
        <v>12431</v>
      </c>
      <c r="G776" s="2" t="s">
        <v>14174</v>
      </c>
      <c r="H776" s="2" t="s">
        <v>39</v>
      </c>
      <c r="I776" s="9">
        <v>7289.12</v>
      </c>
      <c r="J776" s="7">
        <v>1</v>
      </c>
      <c r="K776" s="9">
        <v>7289.12</v>
      </c>
      <c r="L776" s="14">
        <v>0</v>
      </c>
      <c r="M776" s="2" t="s">
        <v>71</v>
      </c>
      <c r="N776" s="2" t="s">
        <v>12595</v>
      </c>
      <c r="O776" s="2" t="s">
        <v>14175</v>
      </c>
      <c r="P776" s="9">
        <v>0</v>
      </c>
      <c r="Q776" s="9">
        <v>0</v>
      </c>
      <c r="R776" s="2" t="s">
        <v>13974</v>
      </c>
    </row>
    <row r="777" spans="1:18" x14ac:dyDescent="0.25">
      <c r="A777" s="2" t="s">
        <v>4240</v>
      </c>
      <c r="B777" s="6">
        <v>46174</v>
      </c>
      <c r="C777" s="8">
        <v>46193</v>
      </c>
      <c r="D777" s="2" t="s">
        <v>199</v>
      </c>
      <c r="E777" s="2" t="s">
        <v>12593</v>
      </c>
      <c r="F777" s="2" t="s">
        <v>12432</v>
      </c>
      <c r="G777" s="2" t="s">
        <v>14176</v>
      </c>
      <c r="H777" s="2" t="s">
        <v>76</v>
      </c>
      <c r="I777" s="9">
        <v>119394080</v>
      </c>
      <c r="J777" s="7">
        <v>6.2500000000000001E-5</v>
      </c>
      <c r="K777" s="9">
        <v>7462.13</v>
      </c>
      <c r="L777" s="14">
        <v>0</v>
      </c>
      <c r="M777" s="2" t="s">
        <v>71</v>
      </c>
      <c r="N777" s="2" t="s">
        <v>12595</v>
      </c>
      <c r="O777" s="2" t="s">
        <v>14177</v>
      </c>
      <c r="P777" s="9">
        <v>0</v>
      </c>
      <c r="Q777" s="9">
        <v>0</v>
      </c>
      <c r="R777" s="2" t="s">
        <v>13977</v>
      </c>
    </row>
    <row r="778" spans="1:18" x14ac:dyDescent="0.25">
      <c r="A778" s="2" t="s">
        <v>4243</v>
      </c>
      <c r="B778" s="6">
        <v>46174</v>
      </c>
      <c r="C778" s="8">
        <v>46194</v>
      </c>
      <c r="D778" s="2" t="s">
        <v>199</v>
      </c>
      <c r="E778" s="2" t="s">
        <v>12593</v>
      </c>
      <c r="F778" s="2" t="s">
        <v>12423</v>
      </c>
      <c r="G778" s="2" t="s">
        <v>14178</v>
      </c>
      <c r="H778" s="2" t="s">
        <v>70</v>
      </c>
      <c r="I778" s="9">
        <v>11481.413533999999</v>
      </c>
      <c r="J778" s="7">
        <v>0.66500000000000004</v>
      </c>
      <c r="K778" s="9">
        <v>7635.14</v>
      </c>
      <c r="L778" s="14">
        <v>0</v>
      </c>
      <c r="M778" s="2" t="s">
        <v>71</v>
      </c>
      <c r="N778" s="2" t="s">
        <v>12595</v>
      </c>
      <c r="O778" s="2" t="s">
        <v>14179</v>
      </c>
      <c r="P778" s="9">
        <v>0</v>
      </c>
      <c r="Q778" s="9">
        <v>0</v>
      </c>
      <c r="R778" s="2" t="s">
        <v>13950</v>
      </c>
    </row>
    <row r="779" spans="1:18" x14ac:dyDescent="0.25">
      <c r="A779" s="2" t="s">
        <v>4246</v>
      </c>
      <c r="B779" s="6">
        <v>46174</v>
      </c>
      <c r="C779" s="8">
        <v>46195</v>
      </c>
      <c r="D779" s="2" t="s">
        <v>199</v>
      </c>
      <c r="E779" s="2" t="s">
        <v>12593</v>
      </c>
      <c r="F779" s="2" t="s">
        <v>12424</v>
      </c>
      <c r="G779" s="2" t="s">
        <v>14180</v>
      </c>
      <c r="H779" s="2" t="s">
        <v>39</v>
      </c>
      <c r="I779" s="9">
        <v>7808.15</v>
      </c>
      <c r="J779" s="7">
        <v>1</v>
      </c>
      <c r="K779" s="9">
        <v>7808.15</v>
      </c>
      <c r="L779" s="14">
        <v>0</v>
      </c>
      <c r="M779" s="2" t="s">
        <v>71</v>
      </c>
      <c r="N779" s="2" t="s">
        <v>12595</v>
      </c>
      <c r="O779" s="2" t="s">
        <v>14181</v>
      </c>
      <c r="P779" s="9">
        <v>0</v>
      </c>
      <c r="Q779" s="9">
        <v>0</v>
      </c>
      <c r="R779" s="2" t="s">
        <v>13953</v>
      </c>
    </row>
    <row r="780" spans="1:18" x14ac:dyDescent="0.25">
      <c r="A780" s="2" t="s">
        <v>4249</v>
      </c>
      <c r="B780" s="6">
        <v>46174</v>
      </c>
      <c r="C780" s="8">
        <v>46196</v>
      </c>
      <c r="D780" s="2" t="s">
        <v>199</v>
      </c>
      <c r="E780" s="2" t="s">
        <v>12593</v>
      </c>
      <c r="F780" s="2" t="s">
        <v>12425</v>
      </c>
      <c r="G780" s="2" t="s">
        <v>14182</v>
      </c>
      <c r="H780" s="2" t="s">
        <v>76</v>
      </c>
      <c r="I780" s="9">
        <v>127698560</v>
      </c>
      <c r="J780" s="7">
        <v>6.2500000000000001E-5</v>
      </c>
      <c r="K780" s="9">
        <v>7981.16</v>
      </c>
      <c r="L780" s="14">
        <v>0</v>
      </c>
      <c r="M780" s="2" t="s">
        <v>71</v>
      </c>
      <c r="N780" s="2" t="s">
        <v>12595</v>
      </c>
      <c r="O780" s="2" t="s">
        <v>14183</v>
      </c>
      <c r="P780" s="9">
        <v>0</v>
      </c>
      <c r="Q780" s="9">
        <v>0</v>
      </c>
      <c r="R780" s="2" t="s">
        <v>13956</v>
      </c>
    </row>
    <row r="781" spans="1:18" x14ac:dyDescent="0.25">
      <c r="A781" s="2" t="s">
        <v>4252</v>
      </c>
      <c r="B781" s="6">
        <v>46174</v>
      </c>
      <c r="C781" s="8">
        <v>46197</v>
      </c>
      <c r="D781" s="2" t="s">
        <v>199</v>
      </c>
      <c r="E781" s="2" t="s">
        <v>12593</v>
      </c>
      <c r="F781" s="2" t="s">
        <v>12426</v>
      </c>
      <c r="G781" s="2" t="s">
        <v>14184</v>
      </c>
      <c r="H781" s="2" t="s">
        <v>70</v>
      </c>
      <c r="I781" s="9">
        <v>12261.909774</v>
      </c>
      <c r="J781" s="7">
        <v>0.66500000000000004</v>
      </c>
      <c r="K781" s="9">
        <v>8154.17</v>
      </c>
      <c r="L781" s="14">
        <v>0</v>
      </c>
      <c r="M781" s="2" t="s">
        <v>71</v>
      </c>
      <c r="N781" s="2" t="s">
        <v>12595</v>
      </c>
      <c r="O781" s="2" t="s">
        <v>14185</v>
      </c>
      <c r="P781" s="9">
        <v>0</v>
      </c>
      <c r="Q781" s="9">
        <v>0</v>
      </c>
      <c r="R781" s="2" t="s">
        <v>13959</v>
      </c>
    </row>
    <row r="782" spans="1:18" x14ac:dyDescent="0.25">
      <c r="A782" s="2" t="s">
        <v>4257</v>
      </c>
      <c r="B782" s="6">
        <v>46174</v>
      </c>
      <c r="C782" s="8">
        <v>46198</v>
      </c>
      <c r="D782" s="2" t="s">
        <v>199</v>
      </c>
      <c r="E782" s="2" t="s">
        <v>12593</v>
      </c>
      <c r="F782" s="2" t="s">
        <v>12427</v>
      </c>
      <c r="G782" s="2" t="s">
        <v>14186</v>
      </c>
      <c r="H782" s="2" t="s">
        <v>39</v>
      </c>
      <c r="I782" s="9">
        <v>8327.18</v>
      </c>
      <c r="J782" s="7">
        <v>1</v>
      </c>
      <c r="K782" s="9">
        <v>8327.18</v>
      </c>
      <c r="L782" s="14">
        <v>0</v>
      </c>
      <c r="M782" s="2" t="s">
        <v>71</v>
      </c>
      <c r="N782" s="2" t="s">
        <v>12595</v>
      </c>
      <c r="O782" s="2" t="s">
        <v>14187</v>
      </c>
      <c r="P782" s="9">
        <v>0</v>
      </c>
      <c r="Q782" s="9">
        <v>0</v>
      </c>
      <c r="R782" s="2" t="s">
        <v>13962</v>
      </c>
    </row>
    <row r="783" spans="1:18" x14ac:dyDescent="0.25">
      <c r="A783" s="2" t="s">
        <v>4262</v>
      </c>
      <c r="B783" s="6">
        <v>46174</v>
      </c>
      <c r="C783" s="8">
        <v>46199</v>
      </c>
      <c r="D783" s="2" t="s">
        <v>199</v>
      </c>
      <c r="E783" s="2" t="s">
        <v>12593</v>
      </c>
      <c r="F783" s="2" t="s">
        <v>12428</v>
      </c>
      <c r="G783" s="2" t="s">
        <v>14188</v>
      </c>
      <c r="H783" s="2" t="s">
        <v>76</v>
      </c>
      <c r="I783" s="9">
        <v>136003040</v>
      </c>
      <c r="J783" s="7">
        <v>6.2500000000000001E-5</v>
      </c>
      <c r="K783" s="9">
        <v>8500.19</v>
      </c>
      <c r="L783" s="14">
        <v>0</v>
      </c>
      <c r="M783" s="2" t="s">
        <v>71</v>
      </c>
      <c r="N783" s="2" t="s">
        <v>12595</v>
      </c>
      <c r="O783" s="2" t="s">
        <v>14189</v>
      </c>
      <c r="P783" s="9">
        <v>0</v>
      </c>
      <c r="Q783" s="9">
        <v>0</v>
      </c>
      <c r="R783" s="2" t="s">
        <v>13965</v>
      </c>
    </row>
    <row r="784" spans="1:18" x14ac:dyDescent="0.25">
      <c r="A784" s="2" t="s">
        <v>4265</v>
      </c>
      <c r="B784" s="6">
        <v>46174</v>
      </c>
      <c r="C784" s="8">
        <v>46200</v>
      </c>
      <c r="D784" s="2" t="s">
        <v>199</v>
      </c>
      <c r="E784" s="2" t="s">
        <v>12593</v>
      </c>
      <c r="F784" s="2" t="s">
        <v>12429</v>
      </c>
      <c r="G784" s="2" t="s">
        <v>14190</v>
      </c>
      <c r="H784" s="2" t="s">
        <v>70</v>
      </c>
      <c r="I784" s="9">
        <v>13042.406015</v>
      </c>
      <c r="J784" s="7">
        <v>0.66500000000000004</v>
      </c>
      <c r="K784" s="9">
        <v>8673.2000000000007</v>
      </c>
      <c r="L784" s="14">
        <v>0</v>
      </c>
      <c r="M784" s="2" t="s">
        <v>71</v>
      </c>
      <c r="N784" s="2" t="s">
        <v>12595</v>
      </c>
      <c r="O784" s="2" t="s">
        <v>14191</v>
      </c>
      <c r="P784" s="9">
        <v>0</v>
      </c>
      <c r="Q784" s="9">
        <v>0</v>
      </c>
      <c r="R784" s="2" t="s">
        <v>13968</v>
      </c>
    </row>
    <row r="785" spans="1:18" x14ac:dyDescent="0.25">
      <c r="A785" s="2" t="s">
        <v>4268</v>
      </c>
      <c r="B785" s="6">
        <v>46174</v>
      </c>
      <c r="C785" s="8">
        <v>46201</v>
      </c>
      <c r="D785" s="2" t="s">
        <v>199</v>
      </c>
      <c r="E785" s="2" t="s">
        <v>12593</v>
      </c>
      <c r="F785" s="2" t="s">
        <v>12430</v>
      </c>
      <c r="G785" s="2" t="s">
        <v>14192</v>
      </c>
      <c r="H785" s="2" t="s">
        <v>39</v>
      </c>
      <c r="I785" s="9">
        <v>8846.2099999999991</v>
      </c>
      <c r="J785" s="7">
        <v>1</v>
      </c>
      <c r="K785" s="9">
        <v>8846.2099999999991</v>
      </c>
      <c r="L785" s="14">
        <v>0</v>
      </c>
      <c r="M785" s="2" t="s">
        <v>71</v>
      </c>
      <c r="N785" s="2" t="s">
        <v>12595</v>
      </c>
      <c r="O785" s="2" t="s">
        <v>14193</v>
      </c>
      <c r="P785" s="9">
        <v>0</v>
      </c>
      <c r="Q785" s="9">
        <v>0</v>
      </c>
      <c r="R785" s="2" t="s">
        <v>13971</v>
      </c>
    </row>
    <row r="786" spans="1:18" x14ac:dyDescent="0.25">
      <c r="A786" s="2" t="s">
        <v>4273</v>
      </c>
      <c r="B786" s="6">
        <v>46174</v>
      </c>
      <c r="C786" s="8">
        <v>46202</v>
      </c>
      <c r="D786" s="2" t="s">
        <v>199</v>
      </c>
      <c r="E786" s="2" t="s">
        <v>12593</v>
      </c>
      <c r="F786" s="2" t="s">
        <v>12431</v>
      </c>
      <c r="G786" s="2" t="s">
        <v>14194</v>
      </c>
      <c r="H786" s="2" t="s">
        <v>76</v>
      </c>
      <c r="I786" s="9">
        <v>144307520</v>
      </c>
      <c r="J786" s="7">
        <v>6.2500000000000001E-5</v>
      </c>
      <c r="K786" s="9">
        <v>9019.2199999999993</v>
      </c>
      <c r="L786" s="14">
        <v>0</v>
      </c>
      <c r="M786" s="2" t="s">
        <v>71</v>
      </c>
      <c r="N786" s="2" t="s">
        <v>12595</v>
      </c>
      <c r="O786" s="2" t="s">
        <v>14195</v>
      </c>
      <c r="P786" s="9">
        <v>0</v>
      </c>
      <c r="Q786" s="9">
        <v>0</v>
      </c>
      <c r="R786" s="2" t="s">
        <v>13974</v>
      </c>
    </row>
    <row r="787" spans="1:18" x14ac:dyDescent="0.25">
      <c r="A787" s="2" t="s">
        <v>4276</v>
      </c>
      <c r="B787" s="6">
        <v>46174</v>
      </c>
      <c r="C787" s="8">
        <v>46203</v>
      </c>
      <c r="D787" s="2" t="s">
        <v>199</v>
      </c>
      <c r="E787" s="2" t="s">
        <v>12593</v>
      </c>
      <c r="F787" s="2" t="s">
        <v>12432</v>
      </c>
      <c r="G787" s="2" t="s">
        <v>14196</v>
      </c>
      <c r="H787" s="2" t="s">
        <v>70</v>
      </c>
      <c r="I787" s="9">
        <v>13822.902255999999</v>
      </c>
      <c r="J787" s="7">
        <v>0.66500000000000004</v>
      </c>
      <c r="K787" s="9">
        <v>9192.23</v>
      </c>
      <c r="L787" s="14">
        <v>0</v>
      </c>
      <c r="M787" s="2" t="s">
        <v>71</v>
      </c>
      <c r="N787" s="2" t="s">
        <v>12595</v>
      </c>
      <c r="O787" s="2" t="s">
        <v>14197</v>
      </c>
      <c r="P787" s="9">
        <v>0</v>
      </c>
      <c r="Q787" s="9">
        <v>0</v>
      </c>
      <c r="R787" s="2" t="s">
        <v>13977</v>
      </c>
    </row>
    <row r="788" spans="1:18" x14ac:dyDescent="0.25">
      <c r="A788" s="2" t="s">
        <v>4279</v>
      </c>
      <c r="B788" s="6">
        <v>46174</v>
      </c>
      <c r="C788" s="8">
        <v>46174</v>
      </c>
      <c r="D788" s="2" t="s">
        <v>199</v>
      </c>
      <c r="E788" s="2" t="s">
        <v>12593</v>
      </c>
      <c r="F788" s="2" t="s">
        <v>12423</v>
      </c>
      <c r="G788" s="2" t="s">
        <v>14198</v>
      </c>
      <c r="H788" s="2" t="s">
        <v>39</v>
      </c>
      <c r="I788" s="9">
        <v>9365.24</v>
      </c>
      <c r="J788" s="7">
        <v>1</v>
      </c>
      <c r="K788" s="9">
        <v>9365.24</v>
      </c>
      <c r="L788" s="14">
        <v>0</v>
      </c>
      <c r="M788" s="2" t="s">
        <v>71</v>
      </c>
      <c r="N788" s="2" t="s">
        <v>12595</v>
      </c>
      <c r="O788" s="2" t="s">
        <v>14199</v>
      </c>
      <c r="P788" s="9">
        <v>0</v>
      </c>
      <c r="Q788" s="9">
        <v>0</v>
      </c>
      <c r="R788" s="2" t="s">
        <v>13950</v>
      </c>
    </row>
    <row r="789" spans="1:18" x14ac:dyDescent="0.25">
      <c r="A789" s="2" t="s">
        <v>4282</v>
      </c>
      <c r="B789" s="6">
        <v>46174</v>
      </c>
      <c r="C789" s="8">
        <v>46175</v>
      </c>
      <c r="D789" s="2" t="s">
        <v>199</v>
      </c>
      <c r="E789" s="2" t="s">
        <v>12593</v>
      </c>
      <c r="F789" s="2" t="s">
        <v>12424</v>
      </c>
      <c r="G789" s="2" t="s">
        <v>14200</v>
      </c>
      <c r="H789" s="2" t="s">
        <v>76</v>
      </c>
      <c r="I789" s="9">
        <v>152612000</v>
      </c>
      <c r="J789" s="7">
        <v>6.2500000000000001E-5</v>
      </c>
      <c r="K789" s="9">
        <v>9538.25</v>
      </c>
      <c r="L789" s="14">
        <v>0</v>
      </c>
      <c r="M789" s="2" t="s">
        <v>71</v>
      </c>
      <c r="N789" s="2" t="s">
        <v>12595</v>
      </c>
      <c r="O789" s="2" t="s">
        <v>14201</v>
      </c>
      <c r="P789" s="9">
        <v>0</v>
      </c>
      <c r="Q789" s="9">
        <v>0</v>
      </c>
      <c r="R789" s="2" t="s">
        <v>13953</v>
      </c>
    </row>
    <row r="790" spans="1:18" x14ac:dyDescent="0.25">
      <c r="A790" s="2" t="s">
        <v>4285</v>
      </c>
      <c r="B790" s="6">
        <v>46174</v>
      </c>
      <c r="C790" s="8">
        <v>46176</v>
      </c>
      <c r="D790" s="2" t="s">
        <v>199</v>
      </c>
      <c r="E790" s="2" t="s">
        <v>12593</v>
      </c>
      <c r="F790" s="2" t="s">
        <v>12425</v>
      </c>
      <c r="G790" s="2" t="s">
        <v>14202</v>
      </c>
      <c r="H790" s="2" t="s">
        <v>70</v>
      </c>
      <c r="I790" s="9">
        <v>-14603.398496</v>
      </c>
      <c r="J790" s="7">
        <v>0.66500000000000004</v>
      </c>
      <c r="K790" s="9">
        <v>-9711.26</v>
      </c>
      <c r="L790" s="14">
        <v>0</v>
      </c>
      <c r="M790" s="2" t="s">
        <v>71</v>
      </c>
      <c r="N790" s="2" t="s">
        <v>12595</v>
      </c>
      <c r="O790" s="2" t="s">
        <v>14203</v>
      </c>
      <c r="P790" s="9">
        <v>0</v>
      </c>
      <c r="Q790" s="9">
        <v>0</v>
      </c>
      <c r="R790" s="2" t="s">
        <v>13956</v>
      </c>
    </row>
    <row r="791" spans="1:18" x14ac:dyDescent="0.25">
      <c r="A791" s="2" t="s">
        <v>4288</v>
      </c>
      <c r="B791" s="6">
        <v>46174</v>
      </c>
      <c r="C791" s="8">
        <v>46177</v>
      </c>
      <c r="D791" s="2" t="s">
        <v>199</v>
      </c>
      <c r="E791" s="2" t="s">
        <v>12593</v>
      </c>
      <c r="F791" s="2" t="s">
        <v>12426</v>
      </c>
      <c r="G791" s="2" t="s">
        <v>14204</v>
      </c>
      <c r="H791" s="2" t="s">
        <v>39</v>
      </c>
      <c r="I791" s="9">
        <v>9884.27</v>
      </c>
      <c r="J791" s="7">
        <v>1</v>
      </c>
      <c r="K791" s="9">
        <v>9884.27</v>
      </c>
      <c r="L791" s="14">
        <v>0</v>
      </c>
      <c r="M791" s="2" t="s">
        <v>71</v>
      </c>
      <c r="N791" s="2" t="s">
        <v>12595</v>
      </c>
      <c r="O791" s="2" t="s">
        <v>14205</v>
      </c>
      <c r="P791" s="9">
        <v>0</v>
      </c>
      <c r="Q791" s="9">
        <v>0</v>
      </c>
      <c r="R791" s="2" t="s">
        <v>13959</v>
      </c>
    </row>
    <row r="792" spans="1:18" x14ac:dyDescent="0.25">
      <c r="A792" s="2" t="s">
        <v>4293</v>
      </c>
      <c r="B792" s="6">
        <v>46174</v>
      </c>
      <c r="C792" s="8">
        <v>46178</v>
      </c>
      <c r="D792" s="2" t="s">
        <v>199</v>
      </c>
      <c r="E792" s="2" t="s">
        <v>12593</v>
      </c>
      <c r="F792" s="2" t="s">
        <v>12427</v>
      </c>
      <c r="G792" s="2" t="s">
        <v>14206</v>
      </c>
      <c r="H792" s="2" t="s">
        <v>76</v>
      </c>
      <c r="I792" s="9">
        <v>160916480</v>
      </c>
      <c r="J792" s="7">
        <v>6.2500000000000001E-5</v>
      </c>
      <c r="K792" s="9">
        <v>10057.280000000001</v>
      </c>
      <c r="L792" s="14">
        <v>0</v>
      </c>
      <c r="M792" s="2" t="s">
        <v>71</v>
      </c>
      <c r="N792" s="2" t="s">
        <v>12595</v>
      </c>
      <c r="O792" s="2" t="s">
        <v>14207</v>
      </c>
      <c r="P792" s="9">
        <v>0</v>
      </c>
      <c r="Q792" s="9">
        <v>0</v>
      </c>
      <c r="R792" s="2" t="s">
        <v>13962</v>
      </c>
    </row>
    <row r="793" spans="1:18" x14ac:dyDescent="0.25">
      <c r="A793" s="2" t="s">
        <v>4298</v>
      </c>
      <c r="B793" s="6">
        <v>46174</v>
      </c>
      <c r="C793" s="8">
        <v>46179</v>
      </c>
      <c r="D793" s="2" t="s">
        <v>199</v>
      </c>
      <c r="E793" s="2" t="s">
        <v>12593</v>
      </c>
      <c r="F793" s="2" t="s">
        <v>12428</v>
      </c>
      <c r="G793" s="2" t="s">
        <v>14208</v>
      </c>
      <c r="H793" s="2" t="s">
        <v>70</v>
      </c>
      <c r="I793" s="9">
        <v>15383.894737000001</v>
      </c>
      <c r="J793" s="7">
        <v>0.66500000000000004</v>
      </c>
      <c r="K793" s="9">
        <v>10230.290000000001</v>
      </c>
      <c r="L793" s="14">
        <v>0</v>
      </c>
      <c r="M793" s="2" t="s">
        <v>71</v>
      </c>
      <c r="N793" s="2" t="s">
        <v>12595</v>
      </c>
      <c r="O793" s="2" t="s">
        <v>14209</v>
      </c>
      <c r="P793" s="9">
        <v>0</v>
      </c>
      <c r="Q793" s="9">
        <v>0</v>
      </c>
      <c r="R793" s="2" t="s">
        <v>13965</v>
      </c>
    </row>
    <row r="794" spans="1:18" x14ac:dyDescent="0.25">
      <c r="A794" s="2" t="s">
        <v>4301</v>
      </c>
      <c r="B794" s="6">
        <v>46174</v>
      </c>
      <c r="C794" s="8">
        <v>46180</v>
      </c>
      <c r="D794" s="2" t="s">
        <v>199</v>
      </c>
      <c r="E794" s="2" t="s">
        <v>12593</v>
      </c>
      <c r="F794" s="2" t="s">
        <v>12429</v>
      </c>
      <c r="G794" s="2" t="s">
        <v>14210</v>
      </c>
      <c r="H794" s="2" t="s">
        <v>39</v>
      </c>
      <c r="I794" s="9">
        <v>10403.299999999999</v>
      </c>
      <c r="J794" s="7">
        <v>1</v>
      </c>
      <c r="K794" s="9">
        <v>10403.299999999999</v>
      </c>
      <c r="L794" s="14">
        <v>0</v>
      </c>
      <c r="M794" s="2" t="s">
        <v>71</v>
      </c>
      <c r="N794" s="2" t="s">
        <v>12595</v>
      </c>
      <c r="O794" s="2" t="s">
        <v>14211</v>
      </c>
      <c r="P794" s="9">
        <v>0</v>
      </c>
      <c r="Q794" s="9">
        <v>0</v>
      </c>
      <c r="R794" s="2" t="s">
        <v>13968</v>
      </c>
    </row>
    <row r="795" spans="1:18" x14ac:dyDescent="0.25">
      <c r="A795" s="2" t="s">
        <v>4304</v>
      </c>
      <c r="B795" s="6">
        <v>46174</v>
      </c>
      <c r="C795" s="8">
        <v>46181</v>
      </c>
      <c r="D795" s="2" t="s">
        <v>199</v>
      </c>
      <c r="E795" s="2" t="s">
        <v>12593</v>
      </c>
      <c r="F795" s="2" t="s">
        <v>12430</v>
      </c>
      <c r="G795" s="2" t="s">
        <v>14212</v>
      </c>
      <c r="H795" s="2" t="s">
        <v>76</v>
      </c>
      <c r="I795" s="9">
        <v>169220960</v>
      </c>
      <c r="J795" s="7">
        <v>6.2500000000000001E-5</v>
      </c>
      <c r="K795" s="9">
        <v>10576.31</v>
      </c>
      <c r="L795" s="14">
        <v>0</v>
      </c>
      <c r="M795" s="2" t="s">
        <v>71</v>
      </c>
      <c r="N795" s="2" t="s">
        <v>12595</v>
      </c>
      <c r="O795" s="2" t="s">
        <v>14213</v>
      </c>
      <c r="P795" s="9">
        <v>0</v>
      </c>
      <c r="Q795" s="9">
        <v>0</v>
      </c>
      <c r="R795" s="2" t="s">
        <v>13971</v>
      </c>
    </row>
    <row r="796" spans="1:18" x14ac:dyDescent="0.25">
      <c r="A796" s="2" t="s">
        <v>4309</v>
      </c>
      <c r="B796" s="6">
        <v>46174</v>
      </c>
      <c r="C796" s="8">
        <v>46182</v>
      </c>
      <c r="D796" s="2" t="s">
        <v>199</v>
      </c>
      <c r="E796" s="2" t="s">
        <v>12593</v>
      </c>
      <c r="F796" s="2" t="s">
        <v>12431</v>
      </c>
      <c r="G796" s="2" t="s">
        <v>14214</v>
      </c>
      <c r="H796" s="2" t="s">
        <v>70</v>
      </c>
      <c r="I796" s="9">
        <v>16164.390976999999</v>
      </c>
      <c r="J796" s="7">
        <v>0.66500000000000004</v>
      </c>
      <c r="K796" s="9">
        <v>10749.32</v>
      </c>
      <c r="L796" s="14">
        <v>0</v>
      </c>
      <c r="M796" s="2" t="s">
        <v>71</v>
      </c>
      <c r="N796" s="2" t="s">
        <v>12595</v>
      </c>
      <c r="O796" s="2" t="s">
        <v>14215</v>
      </c>
      <c r="P796" s="9">
        <v>0</v>
      </c>
      <c r="Q796" s="9">
        <v>0</v>
      </c>
      <c r="R796" s="2" t="s">
        <v>13974</v>
      </c>
    </row>
    <row r="797" spans="1:18" x14ac:dyDescent="0.25">
      <c r="A797" s="2" t="s">
        <v>4312</v>
      </c>
      <c r="B797" s="6">
        <v>46174</v>
      </c>
      <c r="C797" s="8">
        <v>46183</v>
      </c>
      <c r="D797" s="2" t="s">
        <v>199</v>
      </c>
      <c r="E797" s="2" t="s">
        <v>12593</v>
      </c>
      <c r="F797" s="2" t="s">
        <v>12432</v>
      </c>
      <c r="G797" s="2" t="s">
        <v>14216</v>
      </c>
      <c r="H797" s="2" t="s">
        <v>39</v>
      </c>
      <c r="I797" s="9">
        <v>10922.33</v>
      </c>
      <c r="J797" s="7">
        <v>1</v>
      </c>
      <c r="K797" s="9">
        <v>10922.33</v>
      </c>
      <c r="L797" s="14">
        <v>0</v>
      </c>
      <c r="M797" s="2" t="s">
        <v>71</v>
      </c>
      <c r="N797" s="2" t="s">
        <v>12595</v>
      </c>
      <c r="O797" s="2" t="s">
        <v>14217</v>
      </c>
      <c r="P797" s="9">
        <v>0</v>
      </c>
      <c r="Q797" s="9">
        <v>0</v>
      </c>
      <c r="R797" s="2" t="s">
        <v>13977</v>
      </c>
    </row>
    <row r="798" spans="1:18" x14ac:dyDescent="0.25">
      <c r="A798" s="2" t="s">
        <v>4315</v>
      </c>
      <c r="B798" s="6">
        <v>46174</v>
      </c>
      <c r="C798" s="8">
        <v>46184</v>
      </c>
      <c r="D798" s="2" t="s">
        <v>199</v>
      </c>
      <c r="E798" s="2" t="s">
        <v>12593</v>
      </c>
      <c r="F798" s="2" t="s">
        <v>12423</v>
      </c>
      <c r="G798" s="2" t="s">
        <v>14218</v>
      </c>
      <c r="H798" s="2" t="s">
        <v>76</v>
      </c>
      <c r="I798" s="9">
        <v>177525440</v>
      </c>
      <c r="J798" s="7">
        <v>6.2500000000000001E-5</v>
      </c>
      <c r="K798" s="9">
        <v>11095.34</v>
      </c>
      <c r="L798" s="14">
        <v>0</v>
      </c>
      <c r="M798" s="2" t="s">
        <v>71</v>
      </c>
      <c r="N798" s="2" t="s">
        <v>12595</v>
      </c>
      <c r="O798" s="2" t="s">
        <v>14219</v>
      </c>
      <c r="P798" s="9">
        <v>0</v>
      </c>
      <c r="Q798" s="9">
        <v>0</v>
      </c>
      <c r="R798" s="2" t="s">
        <v>13950</v>
      </c>
    </row>
    <row r="799" spans="1:18" x14ac:dyDescent="0.25">
      <c r="A799" s="2" t="s">
        <v>4318</v>
      </c>
      <c r="B799" s="6">
        <v>46174</v>
      </c>
      <c r="C799" s="8">
        <v>46185</v>
      </c>
      <c r="D799" s="2" t="s">
        <v>199</v>
      </c>
      <c r="E799" s="2" t="s">
        <v>12593</v>
      </c>
      <c r="F799" s="2" t="s">
        <v>12424</v>
      </c>
      <c r="G799" s="2" t="s">
        <v>14220</v>
      </c>
      <c r="H799" s="2" t="s">
        <v>70</v>
      </c>
      <c r="I799" s="9">
        <v>16944.887218</v>
      </c>
      <c r="J799" s="7">
        <v>0.66500000000000004</v>
      </c>
      <c r="K799" s="9">
        <v>11268.35</v>
      </c>
      <c r="L799" s="14">
        <v>0</v>
      </c>
      <c r="M799" s="2" t="s">
        <v>71</v>
      </c>
      <c r="N799" s="2" t="s">
        <v>12595</v>
      </c>
      <c r="O799" s="2" t="s">
        <v>14221</v>
      </c>
      <c r="P799" s="9">
        <v>0</v>
      </c>
      <c r="Q799" s="9">
        <v>0</v>
      </c>
      <c r="R799" s="2" t="s">
        <v>13953</v>
      </c>
    </row>
    <row r="800" spans="1:18" x14ac:dyDescent="0.25">
      <c r="A800" s="2" t="s">
        <v>4321</v>
      </c>
      <c r="B800" s="6">
        <v>46174</v>
      </c>
      <c r="C800" s="8">
        <v>46186</v>
      </c>
      <c r="D800" s="2" t="s">
        <v>199</v>
      </c>
      <c r="E800" s="2" t="s">
        <v>12593</v>
      </c>
      <c r="F800" s="2" t="s">
        <v>12425</v>
      </c>
      <c r="G800" s="2" t="s">
        <v>14222</v>
      </c>
      <c r="H800" s="2" t="s">
        <v>39</v>
      </c>
      <c r="I800" s="9">
        <v>11441.36</v>
      </c>
      <c r="J800" s="7">
        <v>1</v>
      </c>
      <c r="K800" s="9">
        <v>11441.36</v>
      </c>
      <c r="L800" s="14">
        <v>0</v>
      </c>
      <c r="M800" s="2" t="s">
        <v>71</v>
      </c>
      <c r="N800" s="2" t="s">
        <v>12595</v>
      </c>
      <c r="O800" s="2" t="s">
        <v>14223</v>
      </c>
      <c r="P800" s="9">
        <v>0</v>
      </c>
      <c r="Q800" s="9">
        <v>0</v>
      </c>
      <c r="R800" s="2" t="s">
        <v>13956</v>
      </c>
    </row>
    <row r="801" spans="1:18" x14ac:dyDescent="0.25">
      <c r="A801" s="2" t="s">
        <v>4324</v>
      </c>
      <c r="B801" s="6">
        <v>46174</v>
      </c>
      <c r="C801" s="8">
        <v>46187</v>
      </c>
      <c r="D801" s="2" t="s">
        <v>199</v>
      </c>
      <c r="E801" s="2" t="s">
        <v>12593</v>
      </c>
      <c r="F801" s="2" t="s">
        <v>12426</v>
      </c>
      <c r="G801" s="2" t="s">
        <v>14224</v>
      </c>
      <c r="H801" s="2" t="s">
        <v>76</v>
      </c>
      <c r="I801" s="9">
        <v>185829920</v>
      </c>
      <c r="J801" s="7">
        <v>6.2500000000000001E-5</v>
      </c>
      <c r="K801" s="9">
        <v>11614.37</v>
      </c>
      <c r="L801" s="14">
        <v>0</v>
      </c>
      <c r="M801" s="2" t="s">
        <v>71</v>
      </c>
      <c r="N801" s="2" t="s">
        <v>12595</v>
      </c>
      <c r="O801" s="2" t="s">
        <v>14225</v>
      </c>
      <c r="P801" s="9">
        <v>0</v>
      </c>
      <c r="Q801" s="9">
        <v>0</v>
      </c>
      <c r="R801" s="2" t="s">
        <v>13959</v>
      </c>
    </row>
    <row r="802" spans="1:18" x14ac:dyDescent="0.25">
      <c r="A802" s="2" t="s">
        <v>4329</v>
      </c>
      <c r="B802" s="6">
        <v>46174</v>
      </c>
      <c r="C802" s="8">
        <v>46188</v>
      </c>
      <c r="D802" s="2" t="s">
        <v>199</v>
      </c>
      <c r="E802" s="2" t="s">
        <v>12593</v>
      </c>
      <c r="F802" s="2" t="s">
        <v>12427</v>
      </c>
      <c r="G802" s="2" t="s">
        <v>14226</v>
      </c>
      <c r="H802" s="2" t="s">
        <v>70</v>
      </c>
      <c r="I802" s="9">
        <v>17725.383459000001</v>
      </c>
      <c r="J802" s="7">
        <v>0.66500000000000004</v>
      </c>
      <c r="K802" s="9">
        <v>11787.38</v>
      </c>
      <c r="L802" s="14">
        <v>0</v>
      </c>
      <c r="M802" s="2" t="s">
        <v>71</v>
      </c>
      <c r="N802" s="2" t="s">
        <v>12595</v>
      </c>
      <c r="O802" s="2" t="s">
        <v>14227</v>
      </c>
      <c r="P802" s="9">
        <v>0</v>
      </c>
      <c r="Q802" s="9">
        <v>0</v>
      </c>
      <c r="R802" s="2" t="s">
        <v>13962</v>
      </c>
    </row>
    <row r="803" spans="1:18" x14ac:dyDescent="0.25">
      <c r="A803" s="2" t="s">
        <v>4334</v>
      </c>
      <c r="B803" s="6">
        <v>46174</v>
      </c>
      <c r="C803" s="8">
        <v>46189</v>
      </c>
      <c r="D803" s="2" t="s">
        <v>199</v>
      </c>
      <c r="E803" s="2" t="s">
        <v>12593</v>
      </c>
      <c r="F803" s="2" t="s">
        <v>12428</v>
      </c>
      <c r="G803" s="2" t="s">
        <v>14228</v>
      </c>
      <c r="H803" s="2" t="s">
        <v>39</v>
      </c>
      <c r="I803" s="9">
        <v>11960.39</v>
      </c>
      <c r="J803" s="7">
        <v>1</v>
      </c>
      <c r="K803" s="9">
        <v>11960.39</v>
      </c>
      <c r="L803" s="14">
        <v>0</v>
      </c>
      <c r="M803" s="2" t="s">
        <v>71</v>
      </c>
      <c r="N803" s="2" t="s">
        <v>12595</v>
      </c>
      <c r="O803" s="2" t="s">
        <v>14229</v>
      </c>
      <c r="P803" s="9">
        <v>0</v>
      </c>
      <c r="Q803" s="9">
        <v>0</v>
      </c>
      <c r="R803" s="2" t="s">
        <v>13965</v>
      </c>
    </row>
    <row r="804" spans="1:18" x14ac:dyDescent="0.25">
      <c r="A804" s="2" t="s">
        <v>4337</v>
      </c>
      <c r="B804" s="6">
        <v>46174</v>
      </c>
      <c r="C804" s="8">
        <v>46190</v>
      </c>
      <c r="D804" s="2" t="s">
        <v>199</v>
      </c>
      <c r="E804" s="2" t="s">
        <v>12593</v>
      </c>
      <c r="F804" s="2" t="s">
        <v>12429</v>
      </c>
      <c r="G804" s="2" t="s">
        <v>14230</v>
      </c>
      <c r="H804" s="2" t="s">
        <v>76</v>
      </c>
      <c r="I804" s="9">
        <v>194134400</v>
      </c>
      <c r="J804" s="7">
        <v>6.2500000000000001E-5</v>
      </c>
      <c r="K804" s="9">
        <v>12133.4</v>
      </c>
      <c r="L804" s="14">
        <v>0</v>
      </c>
      <c r="M804" s="2" t="s">
        <v>71</v>
      </c>
      <c r="N804" s="2" t="s">
        <v>12595</v>
      </c>
      <c r="O804" s="2" t="s">
        <v>14231</v>
      </c>
      <c r="P804" s="9">
        <v>0</v>
      </c>
      <c r="Q804" s="9">
        <v>0</v>
      </c>
      <c r="R804" s="2" t="s">
        <v>13968</v>
      </c>
    </row>
    <row r="805" spans="1:18" x14ac:dyDescent="0.25">
      <c r="A805" s="2" t="s">
        <v>4340</v>
      </c>
      <c r="B805" s="6">
        <v>46174</v>
      </c>
      <c r="C805" s="8">
        <v>46191</v>
      </c>
      <c r="D805" s="2" t="s">
        <v>199</v>
      </c>
      <c r="E805" s="2" t="s">
        <v>12593</v>
      </c>
      <c r="F805" s="2" t="s">
        <v>12430</v>
      </c>
      <c r="G805" s="2" t="s">
        <v>14232</v>
      </c>
      <c r="H805" s="2" t="s">
        <v>70</v>
      </c>
      <c r="I805" s="9">
        <v>18505.879699000001</v>
      </c>
      <c r="J805" s="7">
        <v>0.66500000000000004</v>
      </c>
      <c r="K805" s="9">
        <v>12306.41</v>
      </c>
      <c r="L805" s="14">
        <v>0</v>
      </c>
      <c r="M805" s="2" t="s">
        <v>71</v>
      </c>
      <c r="N805" s="2" t="s">
        <v>12595</v>
      </c>
      <c r="O805" s="2" t="s">
        <v>14233</v>
      </c>
      <c r="P805" s="9">
        <v>0</v>
      </c>
      <c r="Q805" s="9">
        <v>0</v>
      </c>
      <c r="R805" s="2" t="s">
        <v>13971</v>
      </c>
    </row>
    <row r="806" spans="1:18" x14ac:dyDescent="0.25">
      <c r="A806" s="2" t="s">
        <v>4345</v>
      </c>
      <c r="B806" s="6">
        <v>46174</v>
      </c>
      <c r="C806" s="8">
        <v>46192</v>
      </c>
      <c r="D806" s="2" t="s">
        <v>199</v>
      </c>
      <c r="E806" s="2" t="s">
        <v>12593</v>
      </c>
      <c r="F806" s="2" t="s">
        <v>12431</v>
      </c>
      <c r="G806" s="2" t="s">
        <v>14234</v>
      </c>
      <c r="H806" s="2" t="s">
        <v>39</v>
      </c>
      <c r="I806" s="9">
        <v>12479.42</v>
      </c>
      <c r="J806" s="7">
        <v>1</v>
      </c>
      <c r="K806" s="9">
        <v>12479.42</v>
      </c>
      <c r="L806" s="14">
        <v>0</v>
      </c>
      <c r="M806" s="2" t="s">
        <v>71</v>
      </c>
      <c r="N806" s="2" t="s">
        <v>12595</v>
      </c>
      <c r="O806" s="2" t="s">
        <v>14235</v>
      </c>
      <c r="P806" s="9">
        <v>0</v>
      </c>
      <c r="Q806" s="9">
        <v>0</v>
      </c>
      <c r="R806" s="2" t="s">
        <v>13974</v>
      </c>
    </row>
    <row r="807" spans="1:18" x14ac:dyDescent="0.25">
      <c r="A807" s="2" t="s">
        <v>4348</v>
      </c>
      <c r="B807" s="6">
        <v>46174</v>
      </c>
      <c r="C807" s="8">
        <v>46193</v>
      </c>
      <c r="D807" s="2" t="s">
        <v>199</v>
      </c>
      <c r="E807" s="2" t="s">
        <v>12593</v>
      </c>
      <c r="F807" s="2" t="s">
        <v>12432</v>
      </c>
      <c r="G807" s="2" t="s">
        <v>14236</v>
      </c>
      <c r="H807" s="2" t="s">
        <v>76</v>
      </c>
      <c r="I807" s="9">
        <v>202438880</v>
      </c>
      <c r="J807" s="7">
        <v>6.2500000000000001E-5</v>
      </c>
      <c r="K807" s="9">
        <v>12652.43</v>
      </c>
      <c r="L807" s="14">
        <v>0</v>
      </c>
      <c r="M807" s="2" t="s">
        <v>71</v>
      </c>
      <c r="N807" s="2" t="s">
        <v>12595</v>
      </c>
      <c r="O807" s="2" t="s">
        <v>14237</v>
      </c>
      <c r="P807" s="9">
        <v>0</v>
      </c>
      <c r="Q807" s="9">
        <v>0</v>
      </c>
      <c r="R807" s="2" t="s">
        <v>13977</v>
      </c>
    </row>
    <row r="808" spans="1:18" x14ac:dyDescent="0.25">
      <c r="A808" s="2" t="s">
        <v>4351</v>
      </c>
      <c r="B808" s="6">
        <v>46174</v>
      </c>
      <c r="C808" s="8">
        <v>46194</v>
      </c>
      <c r="D808" s="2" t="s">
        <v>199</v>
      </c>
      <c r="E808" s="2" t="s">
        <v>12593</v>
      </c>
      <c r="F808" s="2" t="s">
        <v>12423</v>
      </c>
      <c r="G808" s="2" t="s">
        <v>14238</v>
      </c>
      <c r="H808" s="2" t="s">
        <v>70</v>
      </c>
      <c r="I808" s="9">
        <v>19286.375940000002</v>
      </c>
      <c r="J808" s="7">
        <v>0.66500000000000004</v>
      </c>
      <c r="K808" s="9">
        <v>12825.44</v>
      </c>
      <c r="L808" s="14">
        <v>0</v>
      </c>
      <c r="M808" s="2" t="s">
        <v>71</v>
      </c>
      <c r="N808" s="2" t="s">
        <v>12595</v>
      </c>
      <c r="O808" s="2" t="s">
        <v>14239</v>
      </c>
      <c r="P808" s="9">
        <v>0</v>
      </c>
      <c r="Q808" s="9">
        <v>0</v>
      </c>
      <c r="R808" s="2" t="s">
        <v>13950</v>
      </c>
    </row>
    <row r="809" spans="1:18" x14ac:dyDescent="0.25">
      <c r="A809" s="2" t="s">
        <v>4354</v>
      </c>
      <c r="B809" s="6">
        <v>46174</v>
      </c>
      <c r="C809" s="8">
        <v>46195</v>
      </c>
      <c r="D809" s="2" t="s">
        <v>199</v>
      </c>
      <c r="E809" s="2" t="s">
        <v>12593</v>
      </c>
      <c r="F809" s="2" t="s">
        <v>12424</v>
      </c>
      <c r="G809" s="2" t="s">
        <v>14240</v>
      </c>
      <c r="H809" s="2" t="s">
        <v>39</v>
      </c>
      <c r="I809" s="9">
        <v>12998.45</v>
      </c>
      <c r="J809" s="7">
        <v>1</v>
      </c>
      <c r="K809" s="9">
        <v>12998.45</v>
      </c>
      <c r="L809" s="14">
        <v>0</v>
      </c>
      <c r="M809" s="2" t="s">
        <v>71</v>
      </c>
      <c r="N809" s="2" t="s">
        <v>12595</v>
      </c>
      <c r="O809" s="2" t="s">
        <v>14241</v>
      </c>
      <c r="P809" s="9">
        <v>0</v>
      </c>
      <c r="Q809" s="9">
        <v>0</v>
      </c>
      <c r="R809" s="2" t="s">
        <v>13953</v>
      </c>
    </row>
    <row r="810" spans="1:18" x14ac:dyDescent="0.25">
      <c r="A810" s="2" t="s">
        <v>4357</v>
      </c>
      <c r="B810" s="6">
        <v>46174</v>
      </c>
      <c r="C810" s="8">
        <v>46196</v>
      </c>
      <c r="D810" s="2" t="s">
        <v>199</v>
      </c>
      <c r="E810" s="2" t="s">
        <v>12593</v>
      </c>
      <c r="F810" s="2" t="s">
        <v>12425</v>
      </c>
      <c r="G810" s="2" t="s">
        <v>14242</v>
      </c>
      <c r="H810" s="2" t="s">
        <v>76</v>
      </c>
      <c r="I810" s="9">
        <v>210743360</v>
      </c>
      <c r="J810" s="7">
        <v>6.2500000000000001E-5</v>
      </c>
      <c r="K810" s="9">
        <v>13171.46</v>
      </c>
      <c r="L810" s="14">
        <v>0</v>
      </c>
      <c r="M810" s="2" t="s">
        <v>71</v>
      </c>
      <c r="N810" s="2" t="s">
        <v>12595</v>
      </c>
      <c r="O810" s="2" t="s">
        <v>14243</v>
      </c>
      <c r="P810" s="9">
        <v>0</v>
      </c>
      <c r="Q810" s="9">
        <v>0</v>
      </c>
      <c r="R810" s="2" t="s">
        <v>13956</v>
      </c>
    </row>
    <row r="811" spans="1:18" x14ac:dyDescent="0.25">
      <c r="A811" s="2" t="s">
        <v>4360</v>
      </c>
      <c r="B811" s="6">
        <v>46174</v>
      </c>
      <c r="C811" s="8">
        <v>46197</v>
      </c>
      <c r="D811" s="2" t="s">
        <v>199</v>
      </c>
      <c r="E811" s="2" t="s">
        <v>12593</v>
      </c>
      <c r="F811" s="2" t="s">
        <v>12426</v>
      </c>
      <c r="G811" s="2" t="s">
        <v>14244</v>
      </c>
      <c r="H811" s="2" t="s">
        <v>70</v>
      </c>
      <c r="I811" s="9">
        <v>20066.872179999998</v>
      </c>
      <c r="J811" s="7">
        <v>0.66500000000000004</v>
      </c>
      <c r="K811" s="9">
        <v>13344.47</v>
      </c>
      <c r="L811" s="14">
        <v>0</v>
      </c>
      <c r="M811" s="2" t="s">
        <v>71</v>
      </c>
      <c r="N811" s="2" t="s">
        <v>12595</v>
      </c>
      <c r="O811" s="2" t="s">
        <v>14245</v>
      </c>
      <c r="P811" s="9">
        <v>0</v>
      </c>
      <c r="Q811" s="9">
        <v>0</v>
      </c>
      <c r="R811" s="2" t="s">
        <v>13959</v>
      </c>
    </row>
    <row r="812" spans="1:18" x14ac:dyDescent="0.25">
      <c r="A812" s="2" t="s">
        <v>4365</v>
      </c>
      <c r="B812" s="6">
        <v>46174</v>
      </c>
      <c r="C812" s="8">
        <v>46198</v>
      </c>
      <c r="D812" s="2" t="s">
        <v>199</v>
      </c>
      <c r="E812" s="2" t="s">
        <v>12593</v>
      </c>
      <c r="F812" s="2" t="s">
        <v>12427</v>
      </c>
      <c r="G812" s="2" t="s">
        <v>14246</v>
      </c>
      <c r="H812" s="2" t="s">
        <v>39</v>
      </c>
      <c r="I812" s="9">
        <v>13517.48</v>
      </c>
      <c r="J812" s="7">
        <v>1</v>
      </c>
      <c r="K812" s="9">
        <v>13517.48</v>
      </c>
      <c r="L812" s="14">
        <v>0</v>
      </c>
      <c r="M812" s="2" t="s">
        <v>71</v>
      </c>
      <c r="N812" s="2" t="s">
        <v>12595</v>
      </c>
      <c r="O812" s="2" t="s">
        <v>14247</v>
      </c>
      <c r="P812" s="9">
        <v>0</v>
      </c>
      <c r="Q812" s="9">
        <v>0</v>
      </c>
      <c r="R812" s="2" t="s">
        <v>13962</v>
      </c>
    </row>
    <row r="813" spans="1:18" x14ac:dyDescent="0.25">
      <c r="A813" s="2" t="s">
        <v>4370</v>
      </c>
      <c r="B813" s="6">
        <v>46174</v>
      </c>
      <c r="C813" s="8">
        <v>46199</v>
      </c>
      <c r="D813" s="2" t="s">
        <v>199</v>
      </c>
      <c r="E813" s="2" t="s">
        <v>12593</v>
      </c>
      <c r="F813" s="2" t="s">
        <v>12428</v>
      </c>
      <c r="G813" s="2" t="s">
        <v>14248</v>
      </c>
      <c r="H813" s="2" t="s">
        <v>76</v>
      </c>
      <c r="I813" s="9">
        <v>219047840</v>
      </c>
      <c r="J813" s="7">
        <v>6.2500000000000001E-5</v>
      </c>
      <c r="K813" s="9">
        <v>13690.49</v>
      </c>
      <c r="L813" s="14">
        <v>0</v>
      </c>
      <c r="M813" s="2" t="s">
        <v>71</v>
      </c>
      <c r="N813" s="2" t="s">
        <v>12595</v>
      </c>
      <c r="O813" s="2" t="s">
        <v>14249</v>
      </c>
      <c r="P813" s="9">
        <v>0</v>
      </c>
      <c r="Q813" s="9">
        <v>0</v>
      </c>
      <c r="R813" s="2" t="s">
        <v>13965</v>
      </c>
    </row>
    <row r="814" spans="1:18" x14ac:dyDescent="0.25">
      <c r="A814" s="2" t="s">
        <v>4373</v>
      </c>
      <c r="B814" s="6">
        <v>46174</v>
      </c>
      <c r="C814" s="8">
        <v>46200</v>
      </c>
      <c r="D814" s="2" t="s">
        <v>199</v>
      </c>
      <c r="E814" s="2" t="s">
        <v>12593</v>
      </c>
      <c r="F814" s="2" t="s">
        <v>12429</v>
      </c>
      <c r="G814" s="2" t="s">
        <v>14250</v>
      </c>
      <c r="H814" s="2" t="s">
        <v>70</v>
      </c>
      <c r="I814" s="9">
        <v>20847.368420999999</v>
      </c>
      <c r="J814" s="7">
        <v>0.66500000000000004</v>
      </c>
      <c r="K814" s="9">
        <v>13863.5</v>
      </c>
      <c r="L814" s="14">
        <v>0</v>
      </c>
      <c r="M814" s="2" t="s">
        <v>71</v>
      </c>
      <c r="N814" s="2" t="s">
        <v>12595</v>
      </c>
      <c r="O814" s="2" t="s">
        <v>14251</v>
      </c>
      <c r="P814" s="9">
        <v>0</v>
      </c>
      <c r="Q814" s="9">
        <v>0</v>
      </c>
      <c r="R814" s="2" t="s">
        <v>13968</v>
      </c>
    </row>
    <row r="815" spans="1:18" x14ac:dyDescent="0.25">
      <c r="A815" s="2" t="s">
        <v>4376</v>
      </c>
      <c r="B815" s="6">
        <v>46174</v>
      </c>
      <c r="C815" s="8">
        <v>46201</v>
      </c>
      <c r="D815" s="2" t="s">
        <v>199</v>
      </c>
      <c r="E815" s="2" t="s">
        <v>12593</v>
      </c>
      <c r="F815" s="2" t="s">
        <v>12430</v>
      </c>
      <c r="G815" s="2" t="s">
        <v>14252</v>
      </c>
      <c r="H815" s="2" t="s">
        <v>39</v>
      </c>
      <c r="I815" s="9">
        <v>14036.51</v>
      </c>
      <c r="J815" s="7">
        <v>1</v>
      </c>
      <c r="K815" s="9">
        <v>14036.51</v>
      </c>
      <c r="L815" s="14">
        <v>0</v>
      </c>
      <c r="M815" s="2" t="s">
        <v>71</v>
      </c>
      <c r="N815" s="2" t="s">
        <v>12595</v>
      </c>
      <c r="O815" s="2" t="s">
        <v>14253</v>
      </c>
      <c r="P815" s="9">
        <v>0</v>
      </c>
      <c r="Q815" s="9">
        <v>0</v>
      </c>
      <c r="R815" s="2" t="s">
        <v>13971</v>
      </c>
    </row>
    <row r="816" spans="1:18" x14ac:dyDescent="0.25">
      <c r="A816" s="2" t="s">
        <v>4381</v>
      </c>
      <c r="B816" s="6">
        <v>46174</v>
      </c>
      <c r="C816" s="8">
        <v>46202</v>
      </c>
      <c r="D816" s="2" t="s">
        <v>199</v>
      </c>
      <c r="E816" s="2" t="s">
        <v>12593</v>
      </c>
      <c r="F816" s="2" t="s">
        <v>12431</v>
      </c>
      <c r="G816" s="2" t="s">
        <v>14254</v>
      </c>
      <c r="H816" s="2" t="s">
        <v>76</v>
      </c>
      <c r="I816" s="9">
        <v>227352320</v>
      </c>
      <c r="J816" s="7">
        <v>6.2500000000000001E-5</v>
      </c>
      <c r="K816" s="9">
        <v>14209.52</v>
      </c>
      <c r="L816" s="14">
        <v>0</v>
      </c>
      <c r="M816" s="2" t="s">
        <v>71</v>
      </c>
      <c r="N816" s="2" t="s">
        <v>12595</v>
      </c>
      <c r="O816" s="2" t="s">
        <v>14255</v>
      </c>
      <c r="P816" s="9">
        <v>0</v>
      </c>
      <c r="Q816" s="9">
        <v>0</v>
      </c>
      <c r="R816" s="2" t="s">
        <v>13974</v>
      </c>
    </row>
    <row r="817" spans="1:18" x14ac:dyDescent="0.25">
      <c r="A817" s="2" t="s">
        <v>4384</v>
      </c>
      <c r="B817" s="6">
        <v>46174</v>
      </c>
      <c r="C817" s="8">
        <v>46203</v>
      </c>
      <c r="D817" s="2" t="s">
        <v>199</v>
      </c>
      <c r="E817" s="2" t="s">
        <v>12593</v>
      </c>
      <c r="F817" s="2" t="s">
        <v>12432</v>
      </c>
      <c r="G817" s="2" t="s">
        <v>14256</v>
      </c>
      <c r="H817" s="2" t="s">
        <v>70</v>
      </c>
      <c r="I817" s="9">
        <v>21627.864662</v>
      </c>
      <c r="J817" s="7">
        <v>0.66500000000000004</v>
      </c>
      <c r="K817" s="9">
        <v>14382.53</v>
      </c>
      <c r="L817" s="14">
        <v>0</v>
      </c>
      <c r="M817" s="2" t="s">
        <v>71</v>
      </c>
      <c r="N817" s="2" t="s">
        <v>12595</v>
      </c>
      <c r="O817" s="2" t="s">
        <v>14257</v>
      </c>
      <c r="P817" s="9">
        <v>0</v>
      </c>
      <c r="Q817" s="9">
        <v>0</v>
      </c>
      <c r="R817" s="2" t="s">
        <v>13977</v>
      </c>
    </row>
    <row r="818" spans="1:18" x14ac:dyDescent="0.25">
      <c r="A818" s="2" t="s">
        <v>4387</v>
      </c>
      <c r="B818" s="6">
        <v>46174</v>
      </c>
      <c r="C818" s="8">
        <v>46174</v>
      </c>
      <c r="D818" s="2" t="s">
        <v>199</v>
      </c>
      <c r="E818" s="2" t="s">
        <v>12593</v>
      </c>
      <c r="F818" s="2" t="s">
        <v>12423</v>
      </c>
      <c r="G818" s="2" t="s">
        <v>14258</v>
      </c>
      <c r="H818" s="2" t="s">
        <v>39</v>
      </c>
      <c r="I818" s="9">
        <v>14555.54</v>
      </c>
      <c r="J818" s="7">
        <v>1</v>
      </c>
      <c r="K818" s="9">
        <v>14555.54</v>
      </c>
      <c r="L818" s="14">
        <v>0</v>
      </c>
      <c r="M818" s="2" t="s">
        <v>71</v>
      </c>
      <c r="N818" s="2" t="s">
        <v>12595</v>
      </c>
      <c r="O818" s="2" t="s">
        <v>14259</v>
      </c>
      <c r="P818" s="9">
        <v>0</v>
      </c>
      <c r="Q818" s="9">
        <v>0</v>
      </c>
      <c r="R818" s="2" t="s">
        <v>13950</v>
      </c>
    </row>
    <row r="819" spans="1:18" x14ac:dyDescent="0.25">
      <c r="A819" s="2" t="s">
        <v>4390</v>
      </c>
      <c r="B819" s="6">
        <v>46174</v>
      </c>
      <c r="C819" s="8">
        <v>46175</v>
      </c>
      <c r="D819" s="2" t="s">
        <v>199</v>
      </c>
      <c r="E819" s="2" t="s">
        <v>12593</v>
      </c>
      <c r="F819" s="2" t="s">
        <v>12424</v>
      </c>
      <c r="G819" s="2" t="s">
        <v>14260</v>
      </c>
      <c r="H819" s="2" t="s">
        <v>76</v>
      </c>
      <c r="I819" s="9">
        <v>235656800</v>
      </c>
      <c r="J819" s="7">
        <v>6.2500000000000001E-5</v>
      </c>
      <c r="K819" s="9">
        <v>14728.55</v>
      </c>
      <c r="L819" s="14">
        <v>0</v>
      </c>
      <c r="M819" s="2" t="s">
        <v>71</v>
      </c>
      <c r="N819" s="2" t="s">
        <v>12595</v>
      </c>
      <c r="O819" s="2" t="s">
        <v>14261</v>
      </c>
      <c r="P819" s="9">
        <v>0</v>
      </c>
      <c r="Q819" s="9">
        <v>0</v>
      </c>
      <c r="R819" s="2" t="s">
        <v>13953</v>
      </c>
    </row>
    <row r="820" spans="1:18" x14ac:dyDescent="0.25">
      <c r="A820" s="2" t="s">
        <v>4393</v>
      </c>
      <c r="B820" s="6">
        <v>46174</v>
      </c>
      <c r="C820" s="8">
        <v>46176</v>
      </c>
      <c r="D820" s="2" t="s">
        <v>199</v>
      </c>
      <c r="E820" s="2" t="s">
        <v>12593</v>
      </c>
      <c r="F820" s="2" t="s">
        <v>12425</v>
      </c>
      <c r="G820" s="2" t="s">
        <v>14262</v>
      </c>
      <c r="H820" s="2" t="s">
        <v>70</v>
      </c>
      <c r="I820" s="9">
        <v>1355.729323</v>
      </c>
      <c r="J820" s="7">
        <v>0.66500000000000004</v>
      </c>
      <c r="K820" s="9">
        <v>901.56</v>
      </c>
      <c r="L820" s="14">
        <v>0</v>
      </c>
      <c r="M820" s="2" t="s">
        <v>71</v>
      </c>
      <c r="N820" s="2" t="s">
        <v>12595</v>
      </c>
      <c r="O820" s="2" t="s">
        <v>14263</v>
      </c>
      <c r="P820" s="9">
        <v>0</v>
      </c>
      <c r="Q820" s="9">
        <v>0</v>
      </c>
      <c r="R820" s="2" t="s">
        <v>13956</v>
      </c>
    </row>
    <row r="821" spans="1:18" x14ac:dyDescent="0.25">
      <c r="A821" s="2" t="s">
        <v>4396</v>
      </c>
      <c r="B821" s="6">
        <v>46174</v>
      </c>
      <c r="C821" s="8">
        <v>46177</v>
      </c>
      <c r="D821" s="2" t="s">
        <v>199</v>
      </c>
      <c r="E821" s="2" t="s">
        <v>12593</v>
      </c>
      <c r="F821" s="2" t="s">
        <v>12426</v>
      </c>
      <c r="G821" s="2" t="s">
        <v>14264</v>
      </c>
      <c r="H821" s="2" t="s">
        <v>39</v>
      </c>
      <c r="I821" s="9">
        <v>1074.57</v>
      </c>
      <c r="J821" s="7">
        <v>1</v>
      </c>
      <c r="K821" s="9">
        <v>1074.57</v>
      </c>
      <c r="L821" s="14">
        <v>0</v>
      </c>
      <c r="M821" s="2" t="s">
        <v>71</v>
      </c>
      <c r="N821" s="2" t="s">
        <v>12595</v>
      </c>
      <c r="O821" s="2" t="s">
        <v>14265</v>
      </c>
      <c r="P821" s="9">
        <v>0</v>
      </c>
      <c r="Q821" s="9">
        <v>0</v>
      </c>
      <c r="R821" s="2" t="s">
        <v>13959</v>
      </c>
    </row>
    <row r="822" spans="1:18" x14ac:dyDescent="0.25">
      <c r="A822" s="2" t="s">
        <v>4401</v>
      </c>
      <c r="B822" s="6">
        <v>46174</v>
      </c>
      <c r="C822" s="8">
        <v>46178</v>
      </c>
      <c r="D822" s="2" t="s">
        <v>199</v>
      </c>
      <c r="E822" s="2" t="s">
        <v>12593</v>
      </c>
      <c r="F822" s="2" t="s">
        <v>12427</v>
      </c>
      <c r="G822" s="2" t="s">
        <v>14266</v>
      </c>
      <c r="H822" s="2" t="s">
        <v>76</v>
      </c>
      <c r="I822" s="9">
        <v>19961280</v>
      </c>
      <c r="J822" s="7">
        <v>6.2500000000000001E-5</v>
      </c>
      <c r="K822" s="9">
        <v>1247.58</v>
      </c>
      <c r="L822" s="14">
        <v>0</v>
      </c>
      <c r="M822" s="2" t="s">
        <v>71</v>
      </c>
      <c r="N822" s="2" t="s">
        <v>12595</v>
      </c>
      <c r="O822" s="2" t="s">
        <v>14267</v>
      </c>
      <c r="P822" s="9">
        <v>0</v>
      </c>
      <c r="Q822" s="9">
        <v>0</v>
      </c>
      <c r="R822" s="2" t="s">
        <v>13962</v>
      </c>
    </row>
    <row r="823" spans="1:18" x14ac:dyDescent="0.25">
      <c r="A823" s="2" t="s">
        <v>4406</v>
      </c>
      <c r="B823" s="6">
        <v>46174</v>
      </c>
      <c r="C823" s="8">
        <v>46179</v>
      </c>
      <c r="D823" s="2" t="s">
        <v>199</v>
      </c>
      <c r="E823" s="2" t="s">
        <v>12593</v>
      </c>
      <c r="F823" s="2" t="s">
        <v>12428</v>
      </c>
      <c r="G823" s="2" t="s">
        <v>14268</v>
      </c>
      <c r="H823" s="2" t="s">
        <v>70</v>
      </c>
      <c r="I823" s="9">
        <v>2136.2255639999998</v>
      </c>
      <c r="J823" s="7">
        <v>0.66500000000000004</v>
      </c>
      <c r="K823" s="9">
        <v>1420.59</v>
      </c>
      <c r="L823" s="14">
        <v>0</v>
      </c>
      <c r="M823" s="2" t="s">
        <v>71</v>
      </c>
      <c r="N823" s="2" t="s">
        <v>12595</v>
      </c>
      <c r="O823" s="2" t="s">
        <v>14269</v>
      </c>
      <c r="P823" s="9">
        <v>0</v>
      </c>
      <c r="Q823" s="9">
        <v>0</v>
      </c>
      <c r="R823" s="2" t="s">
        <v>13965</v>
      </c>
    </row>
    <row r="824" spans="1:18" x14ac:dyDescent="0.25">
      <c r="A824" s="2" t="s">
        <v>4409</v>
      </c>
      <c r="B824" s="6">
        <v>46174</v>
      </c>
      <c r="C824" s="8">
        <v>46180</v>
      </c>
      <c r="D824" s="2" t="s">
        <v>199</v>
      </c>
      <c r="E824" s="2" t="s">
        <v>12593</v>
      </c>
      <c r="F824" s="2" t="s">
        <v>12429</v>
      </c>
      <c r="G824" s="2" t="s">
        <v>14270</v>
      </c>
      <c r="H824" s="2" t="s">
        <v>39</v>
      </c>
      <c r="I824" s="9">
        <v>1593.6</v>
      </c>
      <c r="J824" s="7">
        <v>1</v>
      </c>
      <c r="K824" s="9">
        <v>1593.6</v>
      </c>
      <c r="L824" s="14">
        <v>0</v>
      </c>
      <c r="M824" s="2" t="s">
        <v>71</v>
      </c>
      <c r="N824" s="2" t="s">
        <v>12595</v>
      </c>
      <c r="O824" s="2" t="s">
        <v>14271</v>
      </c>
      <c r="P824" s="9">
        <v>0</v>
      </c>
      <c r="Q824" s="9">
        <v>0</v>
      </c>
      <c r="R824" s="2" t="s">
        <v>13968</v>
      </c>
    </row>
    <row r="825" spans="1:18" x14ac:dyDescent="0.25">
      <c r="A825" s="2" t="s">
        <v>4412</v>
      </c>
      <c r="B825" s="6">
        <v>46174</v>
      </c>
      <c r="C825" s="8">
        <v>46181</v>
      </c>
      <c r="D825" s="2" t="s">
        <v>199</v>
      </c>
      <c r="E825" s="2" t="s">
        <v>12593</v>
      </c>
      <c r="F825" s="2" t="s">
        <v>12430</v>
      </c>
      <c r="G825" s="2" t="s">
        <v>14272</v>
      </c>
      <c r="H825" s="2" t="s">
        <v>76</v>
      </c>
      <c r="I825" s="9">
        <v>28265760</v>
      </c>
      <c r="J825" s="7">
        <v>6.2500000000000001E-5</v>
      </c>
      <c r="K825" s="9">
        <v>1766.61</v>
      </c>
      <c r="L825" s="14">
        <v>0</v>
      </c>
      <c r="M825" s="2" t="s">
        <v>71</v>
      </c>
      <c r="N825" s="2" t="s">
        <v>12595</v>
      </c>
      <c r="O825" s="2" t="s">
        <v>14273</v>
      </c>
      <c r="P825" s="9">
        <v>0</v>
      </c>
      <c r="Q825" s="9">
        <v>0</v>
      </c>
      <c r="R825" s="2" t="s">
        <v>13971</v>
      </c>
    </row>
    <row r="826" spans="1:18" x14ac:dyDescent="0.25">
      <c r="A826" s="2" t="s">
        <v>4417</v>
      </c>
      <c r="B826" s="6">
        <v>46174</v>
      </c>
      <c r="C826" s="8">
        <v>46182</v>
      </c>
      <c r="D826" s="2" t="s">
        <v>199</v>
      </c>
      <c r="E826" s="2" t="s">
        <v>12593</v>
      </c>
      <c r="F826" s="2" t="s">
        <v>12431</v>
      </c>
      <c r="G826" s="2" t="s">
        <v>14274</v>
      </c>
      <c r="H826" s="2" t="s">
        <v>70</v>
      </c>
      <c r="I826" s="9">
        <v>2916.7218050000001</v>
      </c>
      <c r="J826" s="7">
        <v>0.66500000000000004</v>
      </c>
      <c r="K826" s="9">
        <v>1939.62</v>
      </c>
      <c r="L826" s="14">
        <v>0</v>
      </c>
      <c r="M826" s="2" t="s">
        <v>71</v>
      </c>
      <c r="N826" s="2" t="s">
        <v>12595</v>
      </c>
      <c r="O826" s="2" t="s">
        <v>14275</v>
      </c>
      <c r="P826" s="9">
        <v>0</v>
      </c>
      <c r="Q826" s="9">
        <v>0</v>
      </c>
      <c r="R826" s="2" t="s">
        <v>13974</v>
      </c>
    </row>
    <row r="827" spans="1:18" x14ac:dyDescent="0.25">
      <c r="A827" s="2" t="s">
        <v>4420</v>
      </c>
      <c r="B827" s="6">
        <v>46174</v>
      </c>
      <c r="C827" s="8">
        <v>46183</v>
      </c>
      <c r="D827" s="2" t="s">
        <v>199</v>
      </c>
      <c r="E827" s="2" t="s">
        <v>12593</v>
      </c>
      <c r="F827" s="2" t="s">
        <v>12432</v>
      </c>
      <c r="G827" s="2" t="s">
        <v>14276</v>
      </c>
      <c r="H827" s="2" t="s">
        <v>39</v>
      </c>
      <c r="I827" s="9">
        <v>2112.63</v>
      </c>
      <c r="J827" s="7">
        <v>1</v>
      </c>
      <c r="K827" s="9">
        <v>2112.63</v>
      </c>
      <c r="L827" s="14">
        <v>0</v>
      </c>
      <c r="M827" s="2" t="s">
        <v>71</v>
      </c>
      <c r="N827" s="2" t="s">
        <v>12595</v>
      </c>
      <c r="O827" s="2" t="s">
        <v>14277</v>
      </c>
      <c r="P827" s="9">
        <v>0</v>
      </c>
      <c r="Q827" s="9">
        <v>0</v>
      </c>
      <c r="R827" s="2" t="s">
        <v>13977</v>
      </c>
    </row>
    <row r="828" spans="1:18" x14ac:dyDescent="0.25">
      <c r="A828" s="2" t="s">
        <v>4423</v>
      </c>
      <c r="B828" s="6">
        <v>46174</v>
      </c>
      <c r="C828" s="8">
        <v>46184</v>
      </c>
      <c r="D828" s="2" t="s">
        <v>199</v>
      </c>
      <c r="E828" s="2" t="s">
        <v>12593</v>
      </c>
      <c r="F828" s="2" t="s">
        <v>12423</v>
      </c>
      <c r="G828" s="2" t="s">
        <v>14278</v>
      </c>
      <c r="H828" s="2" t="s">
        <v>76</v>
      </c>
      <c r="I828" s="9">
        <v>36570240</v>
      </c>
      <c r="J828" s="7">
        <v>6.2500000000000001E-5</v>
      </c>
      <c r="K828" s="9">
        <v>2285.64</v>
      </c>
      <c r="L828" s="14">
        <v>0</v>
      </c>
      <c r="M828" s="2" t="s">
        <v>71</v>
      </c>
      <c r="N828" s="2" t="s">
        <v>12595</v>
      </c>
      <c r="O828" s="2" t="s">
        <v>14279</v>
      </c>
      <c r="P828" s="9">
        <v>0</v>
      </c>
      <c r="Q828" s="9">
        <v>0</v>
      </c>
      <c r="R828" s="2" t="s">
        <v>13950</v>
      </c>
    </row>
    <row r="829" spans="1:18" x14ac:dyDescent="0.25">
      <c r="A829" s="2" t="s">
        <v>4426</v>
      </c>
      <c r="B829" s="6">
        <v>46174</v>
      </c>
      <c r="C829" s="8">
        <v>46185</v>
      </c>
      <c r="D829" s="2" t="s">
        <v>199</v>
      </c>
      <c r="E829" s="2" t="s">
        <v>12593</v>
      </c>
      <c r="F829" s="2" t="s">
        <v>12424</v>
      </c>
      <c r="G829" s="2" t="s">
        <v>14280</v>
      </c>
      <c r="H829" s="2" t="s">
        <v>70</v>
      </c>
      <c r="I829" s="9">
        <v>3697.2180450000001</v>
      </c>
      <c r="J829" s="7">
        <v>0.66500000000000004</v>
      </c>
      <c r="K829" s="9">
        <v>2458.65</v>
      </c>
      <c r="L829" s="14">
        <v>0</v>
      </c>
      <c r="M829" s="2" t="s">
        <v>71</v>
      </c>
      <c r="N829" s="2" t="s">
        <v>12595</v>
      </c>
      <c r="O829" s="2" t="s">
        <v>14281</v>
      </c>
      <c r="P829" s="9">
        <v>0</v>
      </c>
      <c r="Q829" s="9">
        <v>0</v>
      </c>
      <c r="R829" s="2" t="s">
        <v>13953</v>
      </c>
    </row>
    <row r="830" spans="1:18" x14ac:dyDescent="0.25">
      <c r="A830" s="2" t="s">
        <v>4429</v>
      </c>
      <c r="B830" s="6">
        <v>46174</v>
      </c>
      <c r="C830" s="8">
        <v>46186</v>
      </c>
      <c r="D830" s="2" t="s">
        <v>199</v>
      </c>
      <c r="E830" s="2" t="s">
        <v>12593</v>
      </c>
      <c r="F830" s="2" t="s">
        <v>12425</v>
      </c>
      <c r="G830" s="2" t="s">
        <v>14282</v>
      </c>
      <c r="H830" s="2" t="s">
        <v>39</v>
      </c>
      <c r="I830" s="9">
        <v>2631.66</v>
      </c>
      <c r="J830" s="7">
        <v>1</v>
      </c>
      <c r="K830" s="9">
        <v>2631.66</v>
      </c>
      <c r="L830" s="14">
        <v>0</v>
      </c>
      <c r="M830" s="2" t="s">
        <v>71</v>
      </c>
      <c r="N830" s="2" t="s">
        <v>12595</v>
      </c>
      <c r="O830" s="2" t="s">
        <v>14283</v>
      </c>
      <c r="P830" s="9">
        <v>0</v>
      </c>
      <c r="Q830" s="9">
        <v>0</v>
      </c>
      <c r="R830" s="2" t="s">
        <v>13956</v>
      </c>
    </row>
    <row r="831" spans="1:18" x14ac:dyDescent="0.25">
      <c r="A831" s="2" t="s">
        <v>4432</v>
      </c>
      <c r="B831" s="6">
        <v>46174</v>
      </c>
      <c r="C831" s="8">
        <v>46187</v>
      </c>
      <c r="D831" s="2" t="s">
        <v>199</v>
      </c>
      <c r="E831" s="2" t="s">
        <v>12593</v>
      </c>
      <c r="F831" s="2" t="s">
        <v>12426</v>
      </c>
      <c r="G831" s="2" t="s">
        <v>14284</v>
      </c>
      <c r="H831" s="2" t="s">
        <v>76</v>
      </c>
      <c r="I831" s="9">
        <v>-44874720</v>
      </c>
      <c r="J831" s="7">
        <v>6.2500000000000001E-5</v>
      </c>
      <c r="K831" s="9">
        <v>-2804.67</v>
      </c>
      <c r="L831" s="14">
        <v>0</v>
      </c>
      <c r="M831" s="2" t="s">
        <v>71</v>
      </c>
      <c r="N831" s="2" t="s">
        <v>12595</v>
      </c>
      <c r="O831" s="2" t="s">
        <v>14285</v>
      </c>
      <c r="P831" s="9">
        <v>0</v>
      </c>
      <c r="Q831" s="9">
        <v>0</v>
      </c>
      <c r="R831" s="2" t="s">
        <v>13959</v>
      </c>
    </row>
    <row r="832" spans="1:18" x14ac:dyDescent="0.25">
      <c r="A832" s="2" t="s">
        <v>4435</v>
      </c>
      <c r="B832" s="6">
        <v>46174</v>
      </c>
      <c r="C832" s="8">
        <v>46188</v>
      </c>
      <c r="D832" s="2" t="s">
        <v>199</v>
      </c>
      <c r="E832" s="2" t="s">
        <v>12593</v>
      </c>
      <c r="F832" s="2" t="s">
        <v>12427</v>
      </c>
      <c r="G832" s="2" t="s">
        <v>14286</v>
      </c>
      <c r="H832" s="2" t="s">
        <v>70</v>
      </c>
      <c r="I832" s="9">
        <v>4477.7142860000004</v>
      </c>
      <c r="J832" s="7">
        <v>0.66500000000000004</v>
      </c>
      <c r="K832" s="9">
        <v>2977.68</v>
      </c>
      <c r="L832" s="14">
        <v>0</v>
      </c>
      <c r="M832" s="2" t="s">
        <v>71</v>
      </c>
      <c r="N832" s="2" t="s">
        <v>12595</v>
      </c>
      <c r="O832" s="2" t="s">
        <v>14287</v>
      </c>
      <c r="P832" s="9">
        <v>0</v>
      </c>
      <c r="Q832" s="9">
        <v>0</v>
      </c>
      <c r="R832" s="2" t="s">
        <v>13962</v>
      </c>
    </row>
    <row r="833" spans="1:18" x14ac:dyDescent="0.25">
      <c r="A833" s="2" t="s">
        <v>4440</v>
      </c>
      <c r="B833" s="6">
        <v>46174</v>
      </c>
      <c r="C833" s="8">
        <v>46189</v>
      </c>
      <c r="D833" s="2" t="s">
        <v>199</v>
      </c>
      <c r="E833" s="2" t="s">
        <v>12593</v>
      </c>
      <c r="F833" s="2" t="s">
        <v>12428</v>
      </c>
      <c r="G833" s="2" t="s">
        <v>14288</v>
      </c>
      <c r="H833" s="2" t="s">
        <v>39</v>
      </c>
      <c r="I833" s="9">
        <v>3150.69</v>
      </c>
      <c r="J833" s="7">
        <v>1</v>
      </c>
      <c r="K833" s="9">
        <v>3150.69</v>
      </c>
      <c r="L833" s="14">
        <v>0</v>
      </c>
      <c r="M833" s="2" t="s">
        <v>71</v>
      </c>
      <c r="N833" s="2" t="s">
        <v>12595</v>
      </c>
      <c r="O833" s="2" t="s">
        <v>14289</v>
      </c>
      <c r="P833" s="9">
        <v>0</v>
      </c>
      <c r="Q833" s="9">
        <v>0</v>
      </c>
      <c r="R833" s="2" t="s">
        <v>13965</v>
      </c>
    </row>
    <row r="834" spans="1:18" x14ac:dyDescent="0.25">
      <c r="A834" s="2" t="s">
        <v>4443</v>
      </c>
      <c r="B834" s="6">
        <v>46174</v>
      </c>
      <c r="C834" s="8">
        <v>46190</v>
      </c>
      <c r="D834" s="2" t="s">
        <v>199</v>
      </c>
      <c r="E834" s="2" t="s">
        <v>12593</v>
      </c>
      <c r="F834" s="2" t="s">
        <v>12429</v>
      </c>
      <c r="G834" s="2" t="s">
        <v>14290</v>
      </c>
      <c r="H834" s="2" t="s">
        <v>76</v>
      </c>
      <c r="I834" s="9">
        <v>53179200</v>
      </c>
      <c r="J834" s="7">
        <v>6.2500000000000001E-5</v>
      </c>
      <c r="K834" s="9">
        <v>3323.7</v>
      </c>
      <c r="L834" s="14">
        <v>0</v>
      </c>
      <c r="M834" s="2" t="s">
        <v>71</v>
      </c>
      <c r="N834" s="2" t="s">
        <v>12595</v>
      </c>
      <c r="O834" s="2" t="s">
        <v>14291</v>
      </c>
      <c r="P834" s="9">
        <v>0</v>
      </c>
      <c r="Q834" s="9">
        <v>0</v>
      </c>
      <c r="R834" s="2" t="s">
        <v>13968</v>
      </c>
    </row>
    <row r="835" spans="1:18" x14ac:dyDescent="0.25">
      <c r="A835" s="2" t="s">
        <v>4446</v>
      </c>
      <c r="B835" s="6">
        <v>46174</v>
      </c>
      <c r="C835" s="8">
        <v>46191</v>
      </c>
      <c r="D835" s="2" t="s">
        <v>199</v>
      </c>
      <c r="E835" s="2" t="s">
        <v>12593</v>
      </c>
      <c r="F835" s="2" t="s">
        <v>12430</v>
      </c>
      <c r="G835" s="2" t="s">
        <v>14292</v>
      </c>
      <c r="H835" s="2" t="s">
        <v>70</v>
      </c>
      <c r="I835" s="9">
        <v>5258.2105259999998</v>
      </c>
      <c r="J835" s="7">
        <v>0.66500000000000004</v>
      </c>
      <c r="K835" s="9">
        <v>3496.71</v>
      </c>
      <c r="L835" s="14">
        <v>0</v>
      </c>
      <c r="M835" s="2" t="s">
        <v>71</v>
      </c>
      <c r="N835" s="2" t="s">
        <v>12595</v>
      </c>
      <c r="O835" s="2" t="s">
        <v>14293</v>
      </c>
      <c r="P835" s="9">
        <v>0</v>
      </c>
      <c r="Q835" s="9">
        <v>0</v>
      </c>
      <c r="R835" s="2" t="s">
        <v>13971</v>
      </c>
    </row>
    <row r="836" spans="1:18" x14ac:dyDescent="0.25">
      <c r="A836" s="2" t="s">
        <v>4451</v>
      </c>
      <c r="B836" s="6">
        <v>46174</v>
      </c>
      <c r="C836" s="8">
        <v>46192</v>
      </c>
      <c r="D836" s="2" t="s">
        <v>199</v>
      </c>
      <c r="E836" s="2" t="s">
        <v>12593</v>
      </c>
      <c r="F836" s="2" t="s">
        <v>12431</v>
      </c>
      <c r="G836" s="2" t="s">
        <v>14294</v>
      </c>
      <c r="H836" s="2" t="s">
        <v>39</v>
      </c>
      <c r="I836" s="9">
        <v>3669.72</v>
      </c>
      <c r="J836" s="7">
        <v>1</v>
      </c>
      <c r="K836" s="9">
        <v>3669.72</v>
      </c>
      <c r="L836" s="14">
        <v>0</v>
      </c>
      <c r="M836" s="2" t="s">
        <v>71</v>
      </c>
      <c r="N836" s="2" t="s">
        <v>12595</v>
      </c>
      <c r="O836" s="2" t="s">
        <v>14295</v>
      </c>
      <c r="P836" s="9">
        <v>0</v>
      </c>
      <c r="Q836" s="9">
        <v>0</v>
      </c>
      <c r="R836" s="2" t="s">
        <v>13974</v>
      </c>
    </row>
    <row r="837" spans="1:18" x14ac:dyDescent="0.25">
      <c r="A837" s="2" t="s">
        <v>4454</v>
      </c>
      <c r="B837" s="6">
        <v>46174</v>
      </c>
      <c r="C837" s="8">
        <v>46193</v>
      </c>
      <c r="D837" s="2" t="s">
        <v>199</v>
      </c>
      <c r="E837" s="2" t="s">
        <v>12593</v>
      </c>
      <c r="F837" s="2" t="s">
        <v>12432</v>
      </c>
      <c r="G837" s="2" t="s">
        <v>14296</v>
      </c>
      <c r="H837" s="2" t="s">
        <v>76</v>
      </c>
      <c r="I837" s="9">
        <v>61483680</v>
      </c>
      <c r="J837" s="7">
        <v>6.2500000000000001E-5</v>
      </c>
      <c r="K837" s="9">
        <v>3842.73</v>
      </c>
      <c r="L837" s="14">
        <v>0</v>
      </c>
      <c r="M837" s="2" t="s">
        <v>71</v>
      </c>
      <c r="N837" s="2" t="s">
        <v>12595</v>
      </c>
      <c r="O837" s="2" t="s">
        <v>14297</v>
      </c>
      <c r="P837" s="9">
        <v>0</v>
      </c>
      <c r="Q837" s="9">
        <v>0</v>
      </c>
      <c r="R837" s="2" t="s">
        <v>13977</v>
      </c>
    </row>
    <row r="838" spans="1:18" x14ac:dyDescent="0.25">
      <c r="A838" s="2" t="s">
        <v>4457</v>
      </c>
      <c r="B838" s="6">
        <v>46174</v>
      </c>
      <c r="C838" s="8">
        <v>46194</v>
      </c>
      <c r="D838" s="2" t="s">
        <v>199</v>
      </c>
      <c r="E838" s="2" t="s">
        <v>12593</v>
      </c>
      <c r="F838" s="2" t="s">
        <v>12423</v>
      </c>
      <c r="G838" s="2" t="s">
        <v>14298</v>
      </c>
      <c r="H838" s="2" t="s">
        <v>70</v>
      </c>
      <c r="I838" s="9">
        <v>6038.7067669999997</v>
      </c>
      <c r="J838" s="7">
        <v>0.66500000000000004</v>
      </c>
      <c r="K838" s="9">
        <v>4015.74</v>
      </c>
      <c r="L838" s="14">
        <v>0</v>
      </c>
      <c r="M838" s="2" t="s">
        <v>71</v>
      </c>
      <c r="N838" s="2" t="s">
        <v>12595</v>
      </c>
      <c r="O838" s="2" t="s">
        <v>14299</v>
      </c>
      <c r="P838" s="9">
        <v>0</v>
      </c>
      <c r="Q838" s="9">
        <v>0</v>
      </c>
      <c r="R838" s="2" t="s">
        <v>13950</v>
      </c>
    </row>
    <row r="839" spans="1:18" x14ac:dyDescent="0.25">
      <c r="A839" s="2" t="s">
        <v>4460</v>
      </c>
      <c r="B839" s="6">
        <v>46174</v>
      </c>
      <c r="C839" s="8">
        <v>46195</v>
      </c>
      <c r="D839" s="2" t="s">
        <v>199</v>
      </c>
      <c r="E839" s="2" t="s">
        <v>12593</v>
      </c>
      <c r="F839" s="2" t="s">
        <v>12424</v>
      </c>
      <c r="G839" s="2" t="s">
        <v>14300</v>
      </c>
      <c r="H839" s="2" t="s">
        <v>39</v>
      </c>
      <c r="I839" s="9">
        <v>4188.75</v>
      </c>
      <c r="J839" s="7">
        <v>1</v>
      </c>
      <c r="K839" s="9">
        <v>4188.75</v>
      </c>
      <c r="L839" s="14">
        <v>0</v>
      </c>
      <c r="M839" s="2" t="s">
        <v>71</v>
      </c>
      <c r="N839" s="2" t="s">
        <v>12595</v>
      </c>
      <c r="O839" s="2" t="s">
        <v>14301</v>
      </c>
      <c r="P839" s="9">
        <v>0</v>
      </c>
      <c r="Q839" s="9">
        <v>0</v>
      </c>
      <c r="R839" s="2" t="s">
        <v>13953</v>
      </c>
    </row>
    <row r="840" spans="1:18" x14ac:dyDescent="0.25">
      <c r="A840" s="2" t="s">
        <v>4463</v>
      </c>
      <c r="B840" s="6">
        <v>46174</v>
      </c>
      <c r="C840" s="8">
        <v>46196</v>
      </c>
      <c r="D840" s="2" t="s">
        <v>199</v>
      </c>
      <c r="E840" s="2" t="s">
        <v>12593</v>
      </c>
      <c r="F840" s="2" t="s">
        <v>12425</v>
      </c>
      <c r="G840" s="2" t="s">
        <v>14302</v>
      </c>
      <c r="H840" s="2" t="s">
        <v>76</v>
      </c>
      <c r="I840" s="9">
        <v>69788160</v>
      </c>
      <c r="J840" s="7">
        <v>6.2500000000000001E-5</v>
      </c>
      <c r="K840" s="9">
        <v>4361.76</v>
      </c>
      <c r="L840" s="14">
        <v>0</v>
      </c>
      <c r="M840" s="2" t="s">
        <v>71</v>
      </c>
      <c r="N840" s="2" t="s">
        <v>12595</v>
      </c>
      <c r="O840" s="2" t="s">
        <v>14303</v>
      </c>
      <c r="P840" s="9">
        <v>0</v>
      </c>
      <c r="Q840" s="9">
        <v>0</v>
      </c>
      <c r="R840" s="2" t="s">
        <v>13956</v>
      </c>
    </row>
    <row r="841" spans="1:18" x14ac:dyDescent="0.25">
      <c r="A841" s="2" t="s">
        <v>4466</v>
      </c>
      <c r="B841" s="6">
        <v>46174</v>
      </c>
      <c r="C841" s="8">
        <v>46197</v>
      </c>
      <c r="D841" s="2" t="s">
        <v>199</v>
      </c>
      <c r="E841" s="2" t="s">
        <v>12593</v>
      </c>
      <c r="F841" s="2" t="s">
        <v>12426</v>
      </c>
      <c r="G841" s="2" t="s">
        <v>14304</v>
      </c>
      <c r="H841" s="2" t="s">
        <v>70</v>
      </c>
      <c r="I841" s="9">
        <v>6819.2030080000004</v>
      </c>
      <c r="J841" s="7">
        <v>0.66500000000000004</v>
      </c>
      <c r="K841" s="9">
        <v>4534.7700000000004</v>
      </c>
      <c r="L841" s="14">
        <v>0</v>
      </c>
      <c r="M841" s="2" t="s">
        <v>71</v>
      </c>
      <c r="N841" s="2" t="s">
        <v>12595</v>
      </c>
      <c r="O841" s="2" t="s">
        <v>14305</v>
      </c>
      <c r="P841" s="9">
        <v>0</v>
      </c>
      <c r="Q841" s="9">
        <v>0</v>
      </c>
      <c r="R841" s="2" t="s">
        <v>13959</v>
      </c>
    </row>
    <row r="842" spans="1:18" x14ac:dyDescent="0.25">
      <c r="A842" s="2" t="s">
        <v>4471</v>
      </c>
      <c r="B842" s="6">
        <v>46174</v>
      </c>
      <c r="C842" s="8">
        <v>46198</v>
      </c>
      <c r="D842" s="2" t="s">
        <v>199</v>
      </c>
      <c r="E842" s="2" t="s">
        <v>12593</v>
      </c>
      <c r="F842" s="2" t="s">
        <v>12427</v>
      </c>
      <c r="G842" s="2" t="s">
        <v>14306</v>
      </c>
      <c r="H842" s="2" t="s">
        <v>39</v>
      </c>
      <c r="I842" s="9">
        <v>4707.78</v>
      </c>
      <c r="J842" s="7">
        <v>1</v>
      </c>
      <c r="K842" s="9">
        <v>4707.78</v>
      </c>
      <c r="L842" s="14">
        <v>0</v>
      </c>
      <c r="M842" s="2" t="s">
        <v>71</v>
      </c>
      <c r="N842" s="2" t="s">
        <v>12595</v>
      </c>
      <c r="O842" s="2" t="s">
        <v>14307</v>
      </c>
      <c r="P842" s="9">
        <v>0</v>
      </c>
      <c r="Q842" s="9">
        <v>0</v>
      </c>
      <c r="R842" s="2" t="s">
        <v>13962</v>
      </c>
    </row>
    <row r="843" spans="1:18" x14ac:dyDescent="0.25">
      <c r="A843" s="2" t="s">
        <v>4476</v>
      </c>
      <c r="B843" s="6">
        <v>46174</v>
      </c>
      <c r="C843" s="8">
        <v>46199</v>
      </c>
      <c r="D843" s="2" t="s">
        <v>199</v>
      </c>
      <c r="E843" s="2" t="s">
        <v>12593</v>
      </c>
      <c r="F843" s="2" t="s">
        <v>12428</v>
      </c>
      <c r="G843" s="2" t="s">
        <v>14308</v>
      </c>
      <c r="H843" s="2" t="s">
        <v>76</v>
      </c>
      <c r="I843" s="9">
        <v>78092640</v>
      </c>
      <c r="J843" s="7">
        <v>6.2500000000000001E-5</v>
      </c>
      <c r="K843" s="9">
        <v>4880.79</v>
      </c>
      <c r="L843" s="14">
        <v>0</v>
      </c>
      <c r="M843" s="2" t="s">
        <v>71</v>
      </c>
      <c r="N843" s="2" t="s">
        <v>12595</v>
      </c>
      <c r="O843" s="2" t="s">
        <v>14309</v>
      </c>
      <c r="P843" s="9">
        <v>0</v>
      </c>
      <c r="Q843" s="9">
        <v>0</v>
      </c>
      <c r="R843" s="2" t="s">
        <v>13965</v>
      </c>
    </row>
    <row r="844" spans="1:18" x14ac:dyDescent="0.25">
      <c r="A844" s="2" t="s">
        <v>4479</v>
      </c>
      <c r="B844" s="6">
        <v>46174</v>
      </c>
      <c r="C844" s="8">
        <v>46200</v>
      </c>
      <c r="D844" s="2" t="s">
        <v>199</v>
      </c>
      <c r="E844" s="2" t="s">
        <v>12593</v>
      </c>
      <c r="F844" s="2" t="s">
        <v>12429</v>
      </c>
      <c r="G844" s="2" t="s">
        <v>14310</v>
      </c>
      <c r="H844" s="2" t="s">
        <v>70</v>
      </c>
      <c r="I844" s="9">
        <v>7599.6992479999999</v>
      </c>
      <c r="J844" s="7">
        <v>0.66500000000000004</v>
      </c>
      <c r="K844" s="9">
        <v>5053.8</v>
      </c>
      <c r="L844" s="14">
        <v>0</v>
      </c>
      <c r="M844" s="2" t="s">
        <v>71</v>
      </c>
      <c r="N844" s="2" t="s">
        <v>12595</v>
      </c>
      <c r="O844" s="2" t="s">
        <v>14311</v>
      </c>
      <c r="P844" s="9">
        <v>0</v>
      </c>
      <c r="Q844" s="9">
        <v>0</v>
      </c>
      <c r="R844" s="2" t="s">
        <v>13968</v>
      </c>
    </row>
    <row r="845" spans="1:18" x14ac:dyDescent="0.25">
      <c r="A845" s="2" t="s">
        <v>4482</v>
      </c>
      <c r="B845" s="6">
        <v>46174</v>
      </c>
      <c r="C845" s="8">
        <v>46201</v>
      </c>
      <c r="D845" s="2" t="s">
        <v>199</v>
      </c>
      <c r="E845" s="2" t="s">
        <v>12593</v>
      </c>
      <c r="F845" s="2" t="s">
        <v>12430</v>
      </c>
      <c r="G845" s="2" t="s">
        <v>14312</v>
      </c>
      <c r="H845" s="2" t="s">
        <v>39</v>
      </c>
      <c r="I845" s="9">
        <v>5226.8100000000004</v>
      </c>
      <c r="J845" s="7">
        <v>1</v>
      </c>
      <c r="K845" s="9">
        <v>5226.8100000000004</v>
      </c>
      <c r="L845" s="14">
        <v>0</v>
      </c>
      <c r="M845" s="2" t="s">
        <v>71</v>
      </c>
      <c r="N845" s="2" t="s">
        <v>12595</v>
      </c>
      <c r="O845" s="2" t="s">
        <v>14313</v>
      </c>
      <c r="P845" s="9">
        <v>0</v>
      </c>
      <c r="Q845" s="9">
        <v>0</v>
      </c>
      <c r="R845" s="2" t="s">
        <v>13971</v>
      </c>
    </row>
    <row r="846" spans="1:18" x14ac:dyDescent="0.25">
      <c r="A846" s="2" t="s">
        <v>4487</v>
      </c>
      <c r="B846" s="6">
        <v>46174</v>
      </c>
      <c r="C846" s="8">
        <v>46202</v>
      </c>
      <c r="D846" s="2" t="s">
        <v>199</v>
      </c>
      <c r="E846" s="2" t="s">
        <v>12593</v>
      </c>
      <c r="F846" s="2" t="s">
        <v>12431</v>
      </c>
      <c r="G846" s="2" t="s">
        <v>14314</v>
      </c>
      <c r="H846" s="2" t="s">
        <v>76</v>
      </c>
      <c r="I846" s="9">
        <v>86397120</v>
      </c>
      <c r="J846" s="7">
        <v>6.2500000000000001E-5</v>
      </c>
      <c r="K846" s="9">
        <v>5399.82</v>
      </c>
      <c r="L846" s="14">
        <v>0</v>
      </c>
      <c r="M846" s="2" t="s">
        <v>71</v>
      </c>
      <c r="N846" s="2" t="s">
        <v>12595</v>
      </c>
      <c r="O846" s="2" t="s">
        <v>14315</v>
      </c>
      <c r="P846" s="9">
        <v>0</v>
      </c>
      <c r="Q846" s="9">
        <v>0</v>
      </c>
      <c r="R846" s="2" t="s">
        <v>13974</v>
      </c>
    </row>
    <row r="847" spans="1:18" x14ac:dyDescent="0.25">
      <c r="A847" s="2" t="s">
        <v>4490</v>
      </c>
      <c r="B847" s="6">
        <v>46174</v>
      </c>
      <c r="C847" s="8">
        <v>46203</v>
      </c>
      <c r="D847" s="2" t="s">
        <v>199</v>
      </c>
      <c r="E847" s="2" t="s">
        <v>12593</v>
      </c>
      <c r="F847" s="2" t="s">
        <v>12432</v>
      </c>
      <c r="G847" s="2" t="s">
        <v>14316</v>
      </c>
      <c r="H847" s="2" t="s">
        <v>70</v>
      </c>
      <c r="I847" s="9">
        <v>8380.1954889999997</v>
      </c>
      <c r="J847" s="7">
        <v>0.66500000000000004</v>
      </c>
      <c r="K847" s="9">
        <v>5572.83</v>
      </c>
      <c r="L847" s="14">
        <v>0</v>
      </c>
      <c r="M847" s="2" t="s">
        <v>71</v>
      </c>
      <c r="N847" s="2" t="s">
        <v>12595</v>
      </c>
      <c r="O847" s="2" t="s">
        <v>14317</v>
      </c>
      <c r="P847" s="9">
        <v>0</v>
      </c>
      <c r="Q847" s="9">
        <v>0</v>
      </c>
      <c r="R847" s="2" t="s">
        <v>13977</v>
      </c>
    </row>
    <row r="848" spans="1:18" x14ac:dyDescent="0.25">
      <c r="A848" s="2" t="s">
        <v>4493</v>
      </c>
      <c r="B848" s="6">
        <v>46174</v>
      </c>
      <c r="C848" s="8">
        <v>46174</v>
      </c>
      <c r="D848" s="2" t="s">
        <v>199</v>
      </c>
      <c r="E848" s="2" t="s">
        <v>12593</v>
      </c>
      <c r="F848" s="2" t="s">
        <v>12423</v>
      </c>
      <c r="G848" s="2" t="s">
        <v>14318</v>
      </c>
      <c r="H848" s="2" t="s">
        <v>39</v>
      </c>
      <c r="I848" s="9">
        <v>5745.84</v>
      </c>
      <c r="J848" s="7">
        <v>1</v>
      </c>
      <c r="K848" s="9">
        <v>5745.84</v>
      </c>
      <c r="L848" s="14">
        <v>0</v>
      </c>
      <c r="M848" s="2" t="s">
        <v>71</v>
      </c>
      <c r="N848" s="2" t="s">
        <v>12595</v>
      </c>
      <c r="O848" s="2" t="s">
        <v>14319</v>
      </c>
      <c r="P848" s="9">
        <v>0</v>
      </c>
      <c r="Q848" s="9">
        <v>0</v>
      </c>
      <c r="R848" s="2" t="s">
        <v>13950</v>
      </c>
    </row>
    <row r="849" spans="1:18" x14ac:dyDescent="0.25">
      <c r="A849" s="2" t="s">
        <v>4496</v>
      </c>
      <c r="B849" s="6">
        <v>46174</v>
      </c>
      <c r="C849" s="8">
        <v>46175</v>
      </c>
      <c r="D849" s="2" t="s">
        <v>199</v>
      </c>
      <c r="E849" s="2" t="s">
        <v>12593</v>
      </c>
      <c r="F849" s="2" t="s">
        <v>12424</v>
      </c>
      <c r="G849" s="2" t="s">
        <v>14320</v>
      </c>
      <c r="H849" s="2" t="s">
        <v>76</v>
      </c>
      <c r="I849" s="9">
        <v>94701600</v>
      </c>
      <c r="J849" s="7">
        <v>6.2500000000000001E-5</v>
      </c>
      <c r="K849" s="9">
        <v>5918.85</v>
      </c>
      <c r="L849" s="14">
        <v>0</v>
      </c>
      <c r="M849" s="2" t="s">
        <v>71</v>
      </c>
      <c r="N849" s="2" t="s">
        <v>12595</v>
      </c>
      <c r="O849" s="2" t="s">
        <v>14321</v>
      </c>
      <c r="P849" s="9">
        <v>0</v>
      </c>
      <c r="Q849" s="9">
        <v>0</v>
      </c>
      <c r="R849" s="2" t="s">
        <v>13953</v>
      </c>
    </row>
    <row r="850" spans="1:18" x14ac:dyDescent="0.25">
      <c r="A850" s="2" t="s">
        <v>4499</v>
      </c>
      <c r="B850" s="6">
        <v>46174</v>
      </c>
      <c r="C850" s="8">
        <v>46176</v>
      </c>
      <c r="D850" s="2" t="s">
        <v>199</v>
      </c>
      <c r="E850" s="2" t="s">
        <v>12593</v>
      </c>
      <c r="F850" s="2" t="s">
        <v>12425</v>
      </c>
      <c r="G850" s="2" t="s">
        <v>14322</v>
      </c>
      <c r="H850" s="2" t="s">
        <v>70</v>
      </c>
      <c r="I850" s="9">
        <v>9160.6917290000001</v>
      </c>
      <c r="J850" s="7">
        <v>0.66500000000000004</v>
      </c>
      <c r="K850" s="9">
        <v>6091.86</v>
      </c>
      <c r="L850" s="14">
        <v>0</v>
      </c>
      <c r="M850" s="2" t="s">
        <v>71</v>
      </c>
      <c r="N850" s="2" t="s">
        <v>12595</v>
      </c>
      <c r="O850" s="2" t="s">
        <v>14323</v>
      </c>
      <c r="P850" s="9">
        <v>0</v>
      </c>
      <c r="Q850" s="9">
        <v>0</v>
      </c>
      <c r="R850" s="2" t="s">
        <v>13956</v>
      </c>
    </row>
    <row r="851" spans="1:18" x14ac:dyDescent="0.25">
      <c r="A851" s="2" t="s">
        <v>4502</v>
      </c>
      <c r="B851" s="6">
        <v>46174</v>
      </c>
      <c r="C851" s="8">
        <v>46177</v>
      </c>
      <c r="D851" s="2" t="s">
        <v>199</v>
      </c>
      <c r="E851" s="2" t="s">
        <v>12593</v>
      </c>
      <c r="F851" s="2" t="s">
        <v>12426</v>
      </c>
      <c r="G851" s="2" t="s">
        <v>14324</v>
      </c>
      <c r="H851" s="2" t="s">
        <v>39</v>
      </c>
      <c r="I851" s="9">
        <v>6264.87</v>
      </c>
      <c r="J851" s="7">
        <v>1</v>
      </c>
      <c r="K851" s="9">
        <v>6264.87</v>
      </c>
      <c r="L851" s="14">
        <v>0</v>
      </c>
      <c r="M851" s="2" t="s">
        <v>71</v>
      </c>
      <c r="N851" s="2" t="s">
        <v>12595</v>
      </c>
      <c r="O851" s="2" t="s">
        <v>14325</v>
      </c>
      <c r="P851" s="9">
        <v>0</v>
      </c>
      <c r="Q851" s="9">
        <v>0</v>
      </c>
      <c r="R851" s="2" t="s">
        <v>13959</v>
      </c>
    </row>
    <row r="852" spans="1:18" x14ac:dyDescent="0.25">
      <c r="A852" s="2" t="s">
        <v>4507</v>
      </c>
      <c r="B852" s="6">
        <v>46174</v>
      </c>
      <c r="C852" s="8">
        <v>46178</v>
      </c>
      <c r="D852" s="2" t="s">
        <v>199</v>
      </c>
      <c r="E852" s="2" t="s">
        <v>12593</v>
      </c>
      <c r="F852" s="2" t="s">
        <v>12427</v>
      </c>
      <c r="G852" s="2" t="s">
        <v>14326</v>
      </c>
      <c r="H852" s="2" t="s">
        <v>76</v>
      </c>
      <c r="I852" s="9">
        <v>103006080</v>
      </c>
      <c r="J852" s="7">
        <v>6.2500000000000001E-5</v>
      </c>
      <c r="K852" s="9">
        <v>6437.88</v>
      </c>
      <c r="L852" s="14">
        <v>0</v>
      </c>
      <c r="M852" s="2" t="s">
        <v>71</v>
      </c>
      <c r="N852" s="2" t="s">
        <v>12595</v>
      </c>
      <c r="O852" s="2" t="s">
        <v>14327</v>
      </c>
      <c r="P852" s="9">
        <v>0</v>
      </c>
      <c r="Q852" s="9">
        <v>0</v>
      </c>
      <c r="R852" s="2" t="s">
        <v>13962</v>
      </c>
    </row>
    <row r="853" spans="1:18" x14ac:dyDescent="0.25">
      <c r="A853" s="2" t="s">
        <v>4512</v>
      </c>
      <c r="B853" s="6">
        <v>46174</v>
      </c>
      <c r="C853" s="8">
        <v>46179</v>
      </c>
      <c r="D853" s="2" t="s">
        <v>199</v>
      </c>
      <c r="E853" s="2" t="s">
        <v>12593</v>
      </c>
      <c r="F853" s="2" t="s">
        <v>12428</v>
      </c>
      <c r="G853" s="2" t="s">
        <v>14328</v>
      </c>
      <c r="H853" s="2" t="s">
        <v>70</v>
      </c>
      <c r="I853" s="9">
        <v>9941.1879700000009</v>
      </c>
      <c r="J853" s="7">
        <v>0.66500000000000004</v>
      </c>
      <c r="K853" s="9">
        <v>6610.89</v>
      </c>
      <c r="L853" s="14">
        <v>0</v>
      </c>
      <c r="M853" s="2" t="s">
        <v>71</v>
      </c>
      <c r="N853" s="2" t="s">
        <v>12595</v>
      </c>
      <c r="O853" s="2" t="s">
        <v>14329</v>
      </c>
      <c r="P853" s="9">
        <v>0</v>
      </c>
      <c r="Q853" s="9">
        <v>0</v>
      </c>
      <c r="R853" s="2" t="s">
        <v>13965</v>
      </c>
    </row>
    <row r="854" spans="1:18" x14ac:dyDescent="0.25">
      <c r="A854" s="2" t="s">
        <v>4515</v>
      </c>
      <c r="B854" s="6">
        <v>46174</v>
      </c>
      <c r="C854" s="8">
        <v>46180</v>
      </c>
      <c r="D854" s="2" t="s">
        <v>199</v>
      </c>
      <c r="E854" s="2" t="s">
        <v>12593</v>
      </c>
      <c r="F854" s="2" t="s">
        <v>12429</v>
      </c>
      <c r="G854" s="2" t="s">
        <v>14330</v>
      </c>
      <c r="H854" s="2" t="s">
        <v>39</v>
      </c>
      <c r="I854" s="9">
        <v>6783.9</v>
      </c>
      <c r="J854" s="7">
        <v>1</v>
      </c>
      <c r="K854" s="9">
        <v>6783.9</v>
      </c>
      <c r="L854" s="14">
        <v>0</v>
      </c>
      <c r="M854" s="2" t="s">
        <v>71</v>
      </c>
      <c r="N854" s="2" t="s">
        <v>12595</v>
      </c>
      <c r="O854" s="2" t="s">
        <v>14331</v>
      </c>
      <c r="P854" s="9">
        <v>0</v>
      </c>
      <c r="Q854" s="9">
        <v>0</v>
      </c>
      <c r="R854" s="2" t="s">
        <v>13968</v>
      </c>
    </row>
    <row r="855" spans="1:18" x14ac:dyDescent="0.25">
      <c r="A855" s="2" t="s">
        <v>4518</v>
      </c>
      <c r="B855" s="6">
        <v>46174</v>
      </c>
      <c r="C855" s="8">
        <v>46181</v>
      </c>
      <c r="D855" s="2" t="s">
        <v>199</v>
      </c>
      <c r="E855" s="2" t="s">
        <v>12593</v>
      </c>
      <c r="F855" s="2" t="s">
        <v>12430</v>
      </c>
      <c r="G855" s="2" t="s">
        <v>14332</v>
      </c>
      <c r="H855" s="2" t="s">
        <v>76</v>
      </c>
      <c r="I855" s="9">
        <v>111310560</v>
      </c>
      <c r="J855" s="7">
        <v>6.2500000000000001E-5</v>
      </c>
      <c r="K855" s="9">
        <v>6956.91</v>
      </c>
      <c r="L855" s="14">
        <v>0</v>
      </c>
      <c r="M855" s="2" t="s">
        <v>71</v>
      </c>
      <c r="N855" s="2" t="s">
        <v>12595</v>
      </c>
      <c r="O855" s="2" t="s">
        <v>14333</v>
      </c>
      <c r="P855" s="9">
        <v>0</v>
      </c>
      <c r="Q855" s="9">
        <v>0</v>
      </c>
      <c r="R855" s="2" t="s">
        <v>13971</v>
      </c>
    </row>
    <row r="856" spans="1:18" x14ac:dyDescent="0.25">
      <c r="A856" s="2" t="s">
        <v>4523</v>
      </c>
      <c r="B856" s="6">
        <v>46174</v>
      </c>
      <c r="C856" s="8">
        <v>46182</v>
      </c>
      <c r="D856" s="2" t="s">
        <v>199</v>
      </c>
      <c r="E856" s="2" t="s">
        <v>12593</v>
      </c>
      <c r="F856" s="2" t="s">
        <v>12431</v>
      </c>
      <c r="G856" s="2" t="s">
        <v>14334</v>
      </c>
      <c r="H856" s="2" t="s">
        <v>70</v>
      </c>
      <c r="I856" s="9">
        <v>10721.684211</v>
      </c>
      <c r="J856" s="7">
        <v>0.66500000000000004</v>
      </c>
      <c r="K856" s="9">
        <v>7129.92</v>
      </c>
      <c r="L856" s="14">
        <v>0</v>
      </c>
      <c r="M856" s="2" t="s">
        <v>71</v>
      </c>
      <c r="N856" s="2" t="s">
        <v>12595</v>
      </c>
      <c r="O856" s="2" t="s">
        <v>14335</v>
      </c>
      <c r="P856" s="9">
        <v>0</v>
      </c>
      <c r="Q856" s="9">
        <v>0</v>
      </c>
      <c r="R856" s="2" t="s">
        <v>13974</v>
      </c>
    </row>
    <row r="857" spans="1:18" x14ac:dyDescent="0.25">
      <c r="A857" s="2" t="s">
        <v>4526</v>
      </c>
      <c r="B857" s="6">
        <v>46174</v>
      </c>
      <c r="C857" s="8">
        <v>46183</v>
      </c>
      <c r="D857" s="2" t="s">
        <v>199</v>
      </c>
      <c r="E857" s="2" t="s">
        <v>12593</v>
      </c>
      <c r="F857" s="2" t="s">
        <v>12432</v>
      </c>
      <c r="G857" s="2" t="s">
        <v>14336</v>
      </c>
      <c r="H857" s="2" t="s">
        <v>39</v>
      </c>
      <c r="I857" s="9">
        <v>7302.93</v>
      </c>
      <c r="J857" s="7">
        <v>1</v>
      </c>
      <c r="K857" s="9">
        <v>7302.93</v>
      </c>
      <c r="L857" s="14">
        <v>0</v>
      </c>
      <c r="M857" s="2" t="s">
        <v>71</v>
      </c>
      <c r="N857" s="2" t="s">
        <v>12595</v>
      </c>
      <c r="O857" s="2" t="s">
        <v>14337</v>
      </c>
      <c r="P857" s="9">
        <v>0</v>
      </c>
      <c r="Q857" s="9">
        <v>0</v>
      </c>
      <c r="R857" s="2" t="s">
        <v>13977</v>
      </c>
    </row>
    <row r="858" spans="1:18" x14ac:dyDescent="0.25">
      <c r="A858" s="2" t="s">
        <v>4529</v>
      </c>
      <c r="B858" s="6">
        <v>46174</v>
      </c>
      <c r="C858" s="8">
        <v>46184</v>
      </c>
      <c r="D858" s="2" t="s">
        <v>199</v>
      </c>
      <c r="E858" s="2" t="s">
        <v>12593</v>
      </c>
      <c r="F858" s="2" t="s">
        <v>12423</v>
      </c>
      <c r="G858" s="2" t="s">
        <v>14338</v>
      </c>
      <c r="H858" s="2" t="s">
        <v>76</v>
      </c>
      <c r="I858" s="9">
        <v>119615040</v>
      </c>
      <c r="J858" s="7">
        <v>6.2500000000000001E-5</v>
      </c>
      <c r="K858" s="9">
        <v>7475.94</v>
      </c>
      <c r="L858" s="14">
        <v>0</v>
      </c>
      <c r="M858" s="2" t="s">
        <v>71</v>
      </c>
      <c r="N858" s="2" t="s">
        <v>12595</v>
      </c>
      <c r="O858" s="2" t="s">
        <v>14339</v>
      </c>
      <c r="P858" s="9">
        <v>0</v>
      </c>
      <c r="Q858" s="9">
        <v>0</v>
      </c>
      <c r="R858" s="2" t="s">
        <v>13950</v>
      </c>
    </row>
    <row r="859" spans="1:18" x14ac:dyDescent="0.25">
      <c r="A859" s="2" t="s">
        <v>4532</v>
      </c>
      <c r="B859" s="6">
        <v>46174</v>
      </c>
      <c r="C859" s="8">
        <v>46185</v>
      </c>
      <c r="D859" s="2" t="s">
        <v>199</v>
      </c>
      <c r="E859" s="2" t="s">
        <v>12593</v>
      </c>
      <c r="F859" s="2" t="s">
        <v>12424</v>
      </c>
      <c r="G859" s="2" t="s">
        <v>14340</v>
      </c>
      <c r="H859" s="2" t="s">
        <v>70</v>
      </c>
      <c r="I859" s="9">
        <v>11502.180451</v>
      </c>
      <c r="J859" s="7">
        <v>0.66500000000000004</v>
      </c>
      <c r="K859" s="9">
        <v>7648.95</v>
      </c>
      <c r="L859" s="14">
        <v>0</v>
      </c>
      <c r="M859" s="2" t="s">
        <v>71</v>
      </c>
      <c r="N859" s="2" t="s">
        <v>12595</v>
      </c>
      <c r="O859" s="2" t="s">
        <v>14341</v>
      </c>
      <c r="P859" s="9">
        <v>0</v>
      </c>
      <c r="Q859" s="9">
        <v>0</v>
      </c>
      <c r="R859" s="2" t="s">
        <v>13953</v>
      </c>
    </row>
    <row r="860" spans="1:18" x14ac:dyDescent="0.25">
      <c r="A860" s="2" t="s">
        <v>4535</v>
      </c>
      <c r="B860" s="6">
        <v>46174</v>
      </c>
      <c r="C860" s="8">
        <v>46186</v>
      </c>
      <c r="D860" s="2" t="s">
        <v>199</v>
      </c>
      <c r="E860" s="2" t="s">
        <v>12593</v>
      </c>
      <c r="F860" s="2" t="s">
        <v>12425</v>
      </c>
      <c r="G860" s="2" t="s">
        <v>14342</v>
      </c>
      <c r="H860" s="2" t="s">
        <v>39</v>
      </c>
      <c r="I860" s="9">
        <v>7821.96</v>
      </c>
      <c r="J860" s="7">
        <v>1</v>
      </c>
      <c r="K860" s="9">
        <v>7821.96</v>
      </c>
      <c r="L860" s="14">
        <v>0</v>
      </c>
      <c r="M860" s="2" t="s">
        <v>71</v>
      </c>
      <c r="N860" s="2" t="s">
        <v>12595</v>
      </c>
      <c r="O860" s="2" t="s">
        <v>14343</v>
      </c>
      <c r="P860" s="9">
        <v>0</v>
      </c>
      <c r="Q860" s="9">
        <v>0</v>
      </c>
      <c r="R860" s="2" t="s">
        <v>13956</v>
      </c>
    </row>
    <row r="861" spans="1:18" x14ac:dyDescent="0.25">
      <c r="A861" s="2" t="s">
        <v>4538</v>
      </c>
      <c r="B861" s="6">
        <v>46174</v>
      </c>
      <c r="C861" s="8">
        <v>46187</v>
      </c>
      <c r="D861" s="2" t="s">
        <v>199</v>
      </c>
      <c r="E861" s="2" t="s">
        <v>12593</v>
      </c>
      <c r="F861" s="2" t="s">
        <v>12426</v>
      </c>
      <c r="G861" s="2" t="s">
        <v>14344</v>
      </c>
      <c r="H861" s="2" t="s">
        <v>76</v>
      </c>
      <c r="I861" s="9">
        <v>127904000</v>
      </c>
      <c r="J861" s="7">
        <v>6.2500000000000001E-5</v>
      </c>
      <c r="K861" s="9">
        <v>7994</v>
      </c>
      <c r="L861" s="14">
        <v>0</v>
      </c>
      <c r="M861" s="2" t="s">
        <v>71</v>
      </c>
      <c r="N861" s="2" t="s">
        <v>12595</v>
      </c>
      <c r="O861" s="2" t="s">
        <v>14345</v>
      </c>
      <c r="P861" s="9">
        <v>0</v>
      </c>
      <c r="Q861" s="9">
        <v>0</v>
      </c>
      <c r="R861" s="2" t="s">
        <v>13959</v>
      </c>
    </row>
    <row r="862" spans="1:18" x14ac:dyDescent="0.25">
      <c r="A862" s="2" t="s">
        <v>4543</v>
      </c>
      <c r="B862" s="6">
        <v>46174</v>
      </c>
      <c r="C862" s="8">
        <v>46188</v>
      </c>
      <c r="D862" s="2" t="s">
        <v>199</v>
      </c>
      <c r="E862" s="2" t="s">
        <v>12593</v>
      </c>
      <c r="F862" s="2" t="s">
        <v>12427</v>
      </c>
      <c r="G862" s="2" t="s">
        <v>14346</v>
      </c>
      <c r="H862" s="2" t="s">
        <v>70</v>
      </c>
      <c r="I862" s="9">
        <v>12281.218045</v>
      </c>
      <c r="J862" s="7">
        <v>0.66500000000000004</v>
      </c>
      <c r="K862" s="9">
        <v>8167.01</v>
      </c>
      <c r="L862" s="14">
        <v>0</v>
      </c>
      <c r="M862" s="2" t="s">
        <v>71</v>
      </c>
      <c r="N862" s="2" t="s">
        <v>12595</v>
      </c>
      <c r="O862" s="2" t="s">
        <v>14347</v>
      </c>
      <c r="P862" s="9">
        <v>0</v>
      </c>
      <c r="Q862" s="9">
        <v>0</v>
      </c>
      <c r="R862" s="2" t="s">
        <v>13962</v>
      </c>
    </row>
    <row r="863" spans="1:18" x14ac:dyDescent="0.25">
      <c r="A863" s="2" t="s">
        <v>4548</v>
      </c>
      <c r="B863" s="6">
        <v>46174</v>
      </c>
      <c r="C863" s="8">
        <v>46189</v>
      </c>
      <c r="D863" s="2" t="s">
        <v>199</v>
      </c>
      <c r="E863" s="2" t="s">
        <v>12593</v>
      </c>
      <c r="F863" s="2" t="s">
        <v>12428</v>
      </c>
      <c r="G863" s="2" t="s">
        <v>14348</v>
      </c>
      <c r="H863" s="2" t="s">
        <v>39</v>
      </c>
      <c r="I863" s="9">
        <v>8340.02</v>
      </c>
      <c r="J863" s="7">
        <v>1</v>
      </c>
      <c r="K863" s="9">
        <v>8340.02</v>
      </c>
      <c r="L863" s="14">
        <v>0</v>
      </c>
      <c r="M863" s="2" t="s">
        <v>71</v>
      </c>
      <c r="N863" s="2" t="s">
        <v>12595</v>
      </c>
      <c r="O863" s="2" t="s">
        <v>14349</v>
      </c>
      <c r="P863" s="9">
        <v>0</v>
      </c>
      <c r="Q863" s="9">
        <v>0</v>
      </c>
      <c r="R863" s="2" t="s">
        <v>13965</v>
      </c>
    </row>
    <row r="864" spans="1:18" x14ac:dyDescent="0.25">
      <c r="A864" s="2" t="s">
        <v>4551</v>
      </c>
      <c r="B864" s="6">
        <v>46174</v>
      </c>
      <c r="C864" s="8">
        <v>46190</v>
      </c>
      <c r="D864" s="2" t="s">
        <v>199</v>
      </c>
      <c r="E864" s="2" t="s">
        <v>12593</v>
      </c>
      <c r="F864" s="2" t="s">
        <v>12429</v>
      </c>
      <c r="G864" s="2" t="s">
        <v>14350</v>
      </c>
      <c r="H864" s="2" t="s">
        <v>76</v>
      </c>
      <c r="I864" s="9">
        <v>136208480</v>
      </c>
      <c r="J864" s="7">
        <v>6.2500000000000001E-5</v>
      </c>
      <c r="K864" s="9">
        <v>8513.0300000000007</v>
      </c>
      <c r="L864" s="14">
        <v>0</v>
      </c>
      <c r="M864" s="2" t="s">
        <v>71</v>
      </c>
      <c r="N864" s="2" t="s">
        <v>12595</v>
      </c>
      <c r="O864" s="2" t="s">
        <v>14351</v>
      </c>
      <c r="P864" s="9">
        <v>0</v>
      </c>
      <c r="Q864" s="9">
        <v>0</v>
      </c>
      <c r="R864" s="2" t="s">
        <v>13968</v>
      </c>
    </row>
    <row r="865" spans="1:18" x14ac:dyDescent="0.25">
      <c r="A865" s="2" t="s">
        <v>4554</v>
      </c>
      <c r="B865" s="6">
        <v>46174</v>
      </c>
      <c r="C865" s="8">
        <v>46191</v>
      </c>
      <c r="D865" s="2" t="s">
        <v>199</v>
      </c>
      <c r="E865" s="2" t="s">
        <v>12593</v>
      </c>
      <c r="F865" s="2" t="s">
        <v>12430</v>
      </c>
      <c r="G865" s="2" t="s">
        <v>14352</v>
      </c>
      <c r="H865" s="2" t="s">
        <v>70</v>
      </c>
      <c r="I865" s="9">
        <v>13061.714286</v>
      </c>
      <c r="J865" s="7">
        <v>0.66500000000000004</v>
      </c>
      <c r="K865" s="9">
        <v>8686.0400000000009</v>
      </c>
      <c r="L865" s="14">
        <v>0</v>
      </c>
      <c r="M865" s="2" t="s">
        <v>71</v>
      </c>
      <c r="N865" s="2" t="s">
        <v>12595</v>
      </c>
      <c r="O865" s="2" t="s">
        <v>14353</v>
      </c>
      <c r="P865" s="9">
        <v>0</v>
      </c>
      <c r="Q865" s="9">
        <v>0</v>
      </c>
      <c r="R865" s="2" t="s">
        <v>13971</v>
      </c>
    </row>
    <row r="866" spans="1:18" x14ac:dyDescent="0.25">
      <c r="A866" s="2" t="s">
        <v>4559</v>
      </c>
      <c r="B866" s="6">
        <v>46174</v>
      </c>
      <c r="C866" s="8">
        <v>46192</v>
      </c>
      <c r="D866" s="2" t="s">
        <v>199</v>
      </c>
      <c r="E866" s="2" t="s">
        <v>12593</v>
      </c>
      <c r="F866" s="2" t="s">
        <v>12431</v>
      </c>
      <c r="G866" s="2" t="s">
        <v>14354</v>
      </c>
      <c r="H866" s="2" t="s">
        <v>39</v>
      </c>
      <c r="I866" s="9">
        <v>8859.0499999999993</v>
      </c>
      <c r="J866" s="7">
        <v>1</v>
      </c>
      <c r="K866" s="9">
        <v>8859.0499999999993</v>
      </c>
      <c r="L866" s="14">
        <v>0</v>
      </c>
      <c r="M866" s="2" t="s">
        <v>71</v>
      </c>
      <c r="N866" s="2" t="s">
        <v>12595</v>
      </c>
      <c r="O866" s="2" t="s">
        <v>14355</v>
      </c>
      <c r="P866" s="9">
        <v>0</v>
      </c>
      <c r="Q866" s="9">
        <v>0</v>
      </c>
      <c r="R866" s="2" t="s">
        <v>13974</v>
      </c>
    </row>
    <row r="867" spans="1:18" x14ac:dyDescent="0.25">
      <c r="A867" s="2" t="s">
        <v>4562</v>
      </c>
      <c r="B867" s="6">
        <v>46174</v>
      </c>
      <c r="C867" s="8">
        <v>46193</v>
      </c>
      <c r="D867" s="2" t="s">
        <v>199</v>
      </c>
      <c r="E867" s="2" t="s">
        <v>12593</v>
      </c>
      <c r="F867" s="2" t="s">
        <v>12432</v>
      </c>
      <c r="G867" s="2" t="s">
        <v>14356</v>
      </c>
      <c r="H867" s="2" t="s">
        <v>76</v>
      </c>
      <c r="I867" s="9">
        <v>144512960</v>
      </c>
      <c r="J867" s="7">
        <v>6.2500000000000001E-5</v>
      </c>
      <c r="K867" s="9">
        <v>9032.06</v>
      </c>
      <c r="L867" s="14">
        <v>0</v>
      </c>
      <c r="M867" s="2" t="s">
        <v>71</v>
      </c>
      <c r="N867" s="2" t="s">
        <v>12595</v>
      </c>
      <c r="O867" s="2" t="s">
        <v>14357</v>
      </c>
      <c r="P867" s="9">
        <v>0</v>
      </c>
      <c r="Q867" s="9">
        <v>0</v>
      </c>
      <c r="R867" s="2" t="s">
        <v>13977</v>
      </c>
    </row>
    <row r="868" spans="1:18" x14ac:dyDescent="0.25">
      <c r="A868" s="2" t="s">
        <v>4565</v>
      </c>
      <c r="B868" s="6">
        <v>46174</v>
      </c>
      <c r="C868" s="8">
        <v>46194</v>
      </c>
      <c r="D868" s="2" t="s">
        <v>199</v>
      </c>
      <c r="E868" s="2" t="s">
        <v>12593</v>
      </c>
      <c r="F868" s="2" t="s">
        <v>12423</v>
      </c>
      <c r="G868" s="2" t="s">
        <v>14358</v>
      </c>
      <c r="H868" s="2" t="s">
        <v>70</v>
      </c>
      <c r="I868" s="9">
        <v>13842.210526000001</v>
      </c>
      <c r="J868" s="7">
        <v>0.66500000000000004</v>
      </c>
      <c r="K868" s="9">
        <v>9205.07</v>
      </c>
      <c r="L868" s="14">
        <v>0</v>
      </c>
      <c r="M868" s="2" t="s">
        <v>71</v>
      </c>
      <c r="N868" s="2" t="s">
        <v>12595</v>
      </c>
      <c r="O868" s="2" t="s">
        <v>14359</v>
      </c>
      <c r="P868" s="9">
        <v>0</v>
      </c>
      <c r="Q868" s="9">
        <v>0</v>
      </c>
      <c r="R868" s="2" t="s">
        <v>13950</v>
      </c>
    </row>
    <row r="869" spans="1:18" x14ac:dyDescent="0.25">
      <c r="A869" s="2" t="s">
        <v>4568</v>
      </c>
      <c r="B869" s="6">
        <v>46174</v>
      </c>
      <c r="C869" s="8">
        <v>46195</v>
      </c>
      <c r="D869" s="2" t="s">
        <v>199</v>
      </c>
      <c r="E869" s="2" t="s">
        <v>12593</v>
      </c>
      <c r="F869" s="2" t="s">
        <v>12424</v>
      </c>
      <c r="G869" s="2" t="s">
        <v>14360</v>
      </c>
      <c r="H869" s="2" t="s">
        <v>39</v>
      </c>
      <c r="I869" s="9">
        <v>9378.08</v>
      </c>
      <c r="J869" s="7">
        <v>1</v>
      </c>
      <c r="K869" s="9">
        <v>9378.08</v>
      </c>
      <c r="L869" s="14">
        <v>0</v>
      </c>
      <c r="M869" s="2" t="s">
        <v>71</v>
      </c>
      <c r="N869" s="2" t="s">
        <v>12595</v>
      </c>
      <c r="O869" s="2" t="s">
        <v>14361</v>
      </c>
      <c r="P869" s="9">
        <v>0</v>
      </c>
      <c r="Q869" s="9">
        <v>0</v>
      </c>
      <c r="R869" s="2" t="s">
        <v>13953</v>
      </c>
    </row>
    <row r="870" spans="1:18" x14ac:dyDescent="0.25">
      <c r="A870" s="2" t="s">
        <v>4571</v>
      </c>
      <c r="B870" s="6">
        <v>46174</v>
      </c>
      <c r="C870" s="8">
        <v>46196</v>
      </c>
      <c r="D870" s="2" t="s">
        <v>199</v>
      </c>
      <c r="E870" s="2" t="s">
        <v>12593</v>
      </c>
      <c r="F870" s="2" t="s">
        <v>12425</v>
      </c>
      <c r="G870" s="2" t="s">
        <v>14362</v>
      </c>
      <c r="H870" s="2" t="s">
        <v>76</v>
      </c>
      <c r="I870" s="9">
        <v>152817440</v>
      </c>
      <c r="J870" s="7">
        <v>6.2500000000000001E-5</v>
      </c>
      <c r="K870" s="9">
        <v>9551.09</v>
      </c>
      <c r="L870" s="14">
        <v>0</v>
      </c>
      <c r="M870" s="2" t="s">
        <v>71</v>
      </c>
      <c r="N870" s="2" t="s">
        <v>12595</v>
      </c>
      <c r="O870" s="2" t="s">
        <v>14363</v>
      </c>
      <c r="P870" s="9">
        <v>0</v>
      </c>
      <c r="Q870" s="9">
        <v>0</v>
      </c>
      <c r="R870" s="2" t="s">
        <v>13956</v>
      </c>
    </row>
    <row r="871" spans="1:18" x14ac:dyDescent="0.25">
      <c r="A871" s="2" t="s">
        <v>4574</v>
      </c>
      <c r="B871" s="6">
        <v>46174</v>
      </c>
      <c r="C871" s="8">
        <v>46197</v>
      </c>
      <c r="D871" s="2" t="s">
        <v>199</v>
      </c>
      <c r="E871" s="2" t="s">
        <v>12593</v>
      </c>
      <c r="F871" s="2" t="s">
        <v>12426</v>
      </c>
      <c r="G871" s="2" t="s">
        <v>14364</v>
      </c>
      <c r="H871" s="2" t="s">
        <v>70</v>
      </c>
      <c r="I871" s="9">
        <v>14622.706767</v>
      </c>
      <c r="J871" s="7">
        <v>0.66500000000000004</v>
      </c>
      <c r="K871" s="9">
        <v>9724.1</v>
      </c>
      <c r="L871" s="14">
        <v>0</v>
      </c>
      <c r="M871" s="2" t="s">
        <v>71</v>
      </c>
      <c r="N871" s="2" t="s">
        <v>12595</v>
      </c>
      <c r="O871" s="2" t="s">
        <v>14365</v>
      </c>
      <c r="P871" s="9">
        <v>0</v>
      </c>
      <c r="Q871" s="9">
        <v>0</v>
      </c>
      <c r="R871" s="2" t="s">
        <v>13959</v>
      </c>
    </row>
    <row r="872" spans="1:18" x14ac:dyDescent="0.25">
      <c r="A872" s="2" t="s">
        <v>4579</v>
      </c>
      <c r="B872" s="6">
        <v>46174</v>
      </c>
      <c r="C872" s="8">
        <v>46198</v>
      </c>
      <c r="D872" s="2" t="s">
        <v>199</v>
      </c>
      <c r="E872" s="2" t="s">
        <v>12593</v>
      </c>
      <c r="F872" s="2" t="s">
        <v>12427</v>
      </c>
      <c r="G872" s="2" t="s">
        <v>14366</v>
      </c>
      <c r="H872" s="2" t="s">
        <v>39</v>
      </c>
      <c r="I872" s="9">
        <v>-9897.11</v>
      </c>
      <c r="J872" s="7">
        <v>1</v>
      </c>
      <c r="K872" s="9">
        <v>-9897.11</v>
      </c>
      <c r="L872" s="14">
        <v>0</v>
      </c>
      <c r="M872" s="2" t="s">
        <v>71</v>
      </c>
      <c r="N872" s="2" t="s">
        <v>12595</v>
      </c>
      <c r="O872" s="2" t="s">
        <v>14367</v>
      </c>
      <c r="P872" s="9">
        <v>0</v>
      </c>
      <c r="Q872" s="9">
        <v>0</v>
      </c>
      <c r="R872" s="2" t="s">
        <v>13962</v>
      </c>
    </row>
    <row r="873" spans="1:18" x14ac:dyDescent="0.25">
      <c r="A873" s="2" t="s">
        <v>4582</v>
      </c>
      <c r="B873" s="6">
        <v>46174</v>
      </c>
      <c r="C873" s="8">
        <v>46199</v>
      </c>
      <c r="D873" s="2" t="s">
        <v>199</v>
      </c>
      <c r="E873" s="2" t="s">
        <v>12593</v>
      </c>
      <c r="F873" s="2" t="s">
        <v>12428</v>
      </c>
      <c r="G873" s="2" t="s">
        <v>14368</v>
      </c>
      <c r="H873" s="2" t="s">
        <v>76</v>
      </c>
      <c r="I873" s="9">
        <v>161121920</v>
      </c>
      <c r="J873" s="7">
        <v>6.2500000000000001E-5</v>
      </c>
      <c r="K873" s="9">
        <v>10070.120000000001</v>
      </c>
      <c r="L873" s="14">
        <v>0</v>
      </c>
      <c r="M873" s="2" t="s">
        <v>71</v>
      </c>
      <c r="N873" s="2" t="s">
        <v>12595</v>
      </c>
      <c r="O873" s="2" t="s">
        <v>14369</v>
      </c>
      <c r="P873" s="9">
        <v>0</v>
      </c>
      <c r="Q873" s="9">
        <v>0</v>
      </c>
      <c r="R873" s="2" t="s">
        <v>13965</v>
      </c>
    </row>
    <row r="874" spans="1:18" x14ac:dyDescent="0.25">
      <c r="A874" s="2" t="s">
        <v>4585</v>
      </c>
      <c r="B874" s="6">
        <v>46174</v>
      </c>
      <c r="C874" s="8">
        <v>46200</v>
      </c>
      <c r="D874" s="2" t="s">
        <v>199</v>
      </c>
      <c r="E874" s="2" t="s">
        <v>12593</v>
      </c>
      <c r="F874" s="2" t="s">
        <v>12429</v>
      </c>
      <c r="G874" s="2" t="s">
        <v>14370</v>
      </c>
      <c r="H874" s="2" t="s">
        <v>70</v>
      </c>
      <c r="I874" s="9">
        <v>15403.203008</v>
      </c>
      <c r="J874" s="7">
        <v>0.66500000000000004</v>
      </c>
      <c r="K874" s="9">
        <v>10243.129999999999</v>
      </c>
      <c r="L874" s="14">
        <v>0</v>
      </c>
      <c r="M874" s="2" t="s">
        <v>71</v>
      </c>
      <c r="N874" s="2" t="s">
        <v>12595</v>
      </c>
      <c r="O874" s="2" t="s">
        <v>14371</v>
      </c>
      <c r="P874" s="9">
        <v>0</v>
      </c>
      <c r="Q874" s="9">
        <v>0</v>
      </c>
      <c r="R874" s="2" t="s">
        <v>13968</v>
      </c>
    </row>
    <row r="875" spans="1:18" x14ac:dyDescent="0.25">
      <c r="A875" s="2" t="s">
        <v>4588</v>
      </c>
      <c r="B875" s="6">
        <v>46174</v>
      </c>
      <c r="C875" s="8">
        <v>46201</v>
      </c>
      <c r="D875" s="2" t="s">
        <v>199</v>
      </c>
      <c r="E875" s="2" t="s">
        <v>12593</v>
      </c>
      <c r="F875" s="2" t="s">
        <v>12430</v>
      </c>
      <c r="G875" s="2" t="s">
        <v>14372</v>
      </c>
      <c r="H875" s="2" t="s">
        <v>39</v>
      </c>
      <c r="I875" s="9">
        <v>10416.14</v>
      </c>
      <c r="J875" s="7">
        <v>1</v>
      </c>
      <c r="K875" s="9">
        <v>10416.14</v>
      </c>
      <c r="L875" s="14">
        <v>0</v>
      </c>
      <c r="M875" s="2" t="s">
        <v>71</v>
      </c>
      <c r="N875" s="2" t="s">
        <v>12595</v>
      </c>
      <c r="O875" s="2" t="s">
        <v>14373</v>
      </c>
      <c r="P875" s="9">
        <v>0</v>
      </c>
      <c r="Q875" s="9">
        <v>0</v>
      </c>
      <c r="R875" s="2" t="s">
        <v>13971</v>
      </c>
    </row>
    <row r="876" spans="1:18" x14ac:dyDescent="0.25">
      <c r="A876" s="2" t="s">
        <v>4593</v>
      </c>
      <c r="B876" s="6">
        <v>46174</v>
      </c>
      <c r="C876" s="8">
        <v>46202</v>
      </c>
      <c r="D876" s="2" t="s">
        <v>199</v>
      </c>
      <c r="E876" s="2" t="s">
        <v>12593</v>
      </c>
      <c r="F876" s="2" t="s">
        <v>12431</v>
      </c>
      <c r="G876" s="2" t="s">
        <v>14374</v>
      </c>
      <c r="H876" s="2" t="s">
        <v>76</v>
      </c>
      <c r="I876" s="9">
        <v>169426400</v>
      </c>
      <c r="J876" s="7">
        <v>6.2500000000000001E-5</v>
      </c>
      <c r="K876" s="9">
        <v>10589.15</v>
      </c>
      <c r="L876" s="14">
        <v>0</v>
      </c>
      <c r="M876" s="2" t="s">
        <v>71</v>
      </c>
      <c r="N876" s="2" t="s">
        <v>12595</v>
      </c>
      <c r="O876" s="2" t="s">
        <v>14375</v>
      </c>
      <c r="P876" s="9">
        <v>0</v>
      </c>
      <c r="Q876" s="9">
        <v>0</v>
      </c>
      <c r="R876" s="2" t="s">
        <v>13974</v>
      </c>
    </row>
    <row r="877" spans="1:18" x14ac:dyDescent="0.25">
      <c r="A877" s="2" t="s">
        <v>4596</v>
      </c>
      <c r="B877" s="6">
        <v>46174</v>
      </c>
      <c r="C877" s="8">
        <v>46203</v>
      </c>
      <c r="D877" s="2" t="s">
        <v>199</v>
      </c>
      <c r="E877" s="2" t="s">
        <v>12593</v>
      </c>
      <c r="F877" s="2" t="s">
        <v>12432</v>
      </c>
      <c r="G877" s="2" t="s">
        <v>14376</v>
      </c>
      <c r="H877" s="2" t="s">
        <v>70</v>
      </c>
      <c r="I877" s="9">
        <v>16183.699248000001</v>
      </c>
      <c r="J877" s="7">
        <v>0.66500000000000004</v>
      </c>
      <c r="K877" s="9">
        <v>10762.16</v>
      </c>
      <c r="L877" s="14">
        <v>0</v>
      </c>
      <c r="M877" s="2" t="s">
        <v>71</v>
      </c>
      <c r="N877" s="2" t="s">
        <v>12595</v>
      </c>
      <c r="O877" s="2" t="s">
        <v>14377</v>
      </c>
      <c r="P877" s="9">
        <v>0</v>
      </c>
      <c r="Q877" s="9">
        <v>0</v>
      </c>
      <c r="R877" s="2" t="s">
        <v>13977</v>
      </c>
    </row>
    <row r="878" spans="1:18" x14ac:dyDescent="0.25">
      <c r="A878" s="2" t="s">
        <v>4599</v>
      </c>
      <c r="B878" s="6">
        <v>46174</v>
      </c>
      <c r="C878" s="8">
        <v>46174</v>
      </c>
      <c r="D878" s="2" t="s">
        <v>199</v>
      </c>
      <c r="E878" s="2" t="s">
        <v>12593</v>
      </c>
      <c r="F878" s="2" t="s">
        <v>12423</v>
      </c>
      <c r="G878" s="2" t="s">
        <v>14378</v>
      </c>
      <c r="H878" s="2" t="s">
        <v>39</v>
      </c>
      <c r="I878" s="9">
        <v>10935.17</v>
      </c>
      <c r="J878" s="7">
        <v>1</v>
      </c>
      <c r="K878" s="9">
        <v>10935.17</v>
      </c>
      <c r="L878" s="14">
        <v>0</v>
      </c>
      <c r="M878" s="2" t="s">
        <v>71</v>
      </c>
      <c r="N878" s="2" t="s">
        <v>12595</v>
      </c>
      <c r="O878" s="2" t="s">
        <v>14379</v>
      </c>
      <c r="P878" s="9">
        <v>0</v>
      </c>
      <c r="Q878" s="9">
        <v>0</v>
      </c>
      <c r="R878" s="2" t="s">
        <v>13950</v>
      </c>
    </row>
    <row r="879" spans="1:18" x14ac:dyDescent="0.25">
      <c r="A879" s="2" t="s">
        <v>4602</v>
      </c>
      <c r="B879" s="6">
        <v>46174</v>
      </c>
      <c r="C879" s="8">
        <v>46175</v>
      </c>
      <c r="D879" s="2" t="s">
        <v>199</v>
      </c>
      <c r="E879" s="2" t="s">
        <v>12593</v>
      </c>
      <c r="F879" s="2" t="s">
        <v>12424</v>
      </c>
      <c r="G879" s="2" t="s">
        <v>14380</v>
      </c>
      <c r="H879" s="2" t="s">
        <v>76</v>
      </c>
      <c r="I879" s="9">
        <v>177730880</v>
      </c>
      <c r="J879" s="7">
        <v>6.2500000000000001E-5</v>
      </c>
      <c r="K879" s="9">
        <v>11108.18</v>
      </c>
      <c r="L879" s="14">
        <v>0</v>
      </c>
      <c r="M879" s="2" t="s">
        <v>71</v>
      </c>
      <c r="N879" s="2" t="s">
        <v>12595</v>
      </c>
      <c r="O879" s="2" t="s">
        <v>14381</v>
      </c>
      <c r="P879" s="9">
        <v>0</v>
      </c>
      <c r="Q879" s="9">
        <v>0</v>
      </c>
      <c r="R879" s="2" t="s">
        <v>13953</v>
      </c>
    </row>
    <row r="880" spans="1:18" x14ac:dyDescent="0.25">
      <c r="A880" s="2" t="s">
        <v>4605</v>
      </c>
      <c r="B880" s="6">
        <v>46174</v>
      </c>
      <c r="C880" s="8">
        <v>46176</v>
      </c>
      <c r="D880" s="2" t="s">
        <v>199</v>
      </c>
      <c r="E880" s="2" t="s">
        <v>12593</v>
      </c>
      <c r="F880" s="2" t="s">
        <v>12425</v>
      </c>
      <c r="G880" s="2" t="s">
        <v>14382</v>
      </c>
      <c r="H880" s="2" t="s">
        <v>70</v>
      </c>
      <c r="I880" s="9">
        <v>16964.195489000002</v>
      </c>
      <c r="J880" s="7">
        <v>0.66500000000000004</v>
      </c>
      <c r="K880" s="9">
        <v>11281.19</v>
      </c>
      <c r="L880" s="14">
        <v>0</v>
      </c>
      <c r="M880" s="2" t="s">
        <v>71</v>
      </c>
      <c r="N880" s="2" t="s">
        <v>12595</v>
      </c>
      <c r="O880" s="2" t="s">
        <v>14383</v>
      </c>
      <c r="P880" s="9">
        <v>0</v>
      </c>
      <c r="Q880" s="9">
        <v>0</v>
      </c>
      <c r="R880" s="2" t="s">
        <v>13956</v>
      </c>
    </row>
    <row r="881" spans="1:18" x14ac:dyDescent="0.25">
      <c r="A881" s="2" t="s">
        <v>4608</v>
      </c>
      <c r="B881" s="6">
        <v>46174</v>
      </c>
      <c r="C881" s="8">
        <v>46177</v>
      </c>
      <c r="D881" s="2" t="s">
        <v>199</v>
      </c>
      <c r="E881" s="2" t="s">
        <v>12593</v>
      </c>
      <c r="F881" s="2" t="s">
        <v>12426</v>
      </c>
      <c r="G881" s="2" t="s">
        <v>14384</v>
      </c>
      <c r="H881" s="2" t="s">
        <v>39</v>
      </c>
      <c r="I881" s="9">
        <v>11454.2</v>
      </c>
      <c r="J881" s="7">
        <v>1</v>
      </c>
      <c r="K881" s="9">
        <v>11454.2</v>
      </c>
      <c r="L881" s="14">
        <v>0</v>
      </c>
      <c r="M881" s="2" t="s">
        <v>71</v>
      </c>
      <c r="N881" s="2" t="s">
        <v>12595</v>
      </c>
      <c r="O881" s="2" t="s">
        <v>14385</v>
      </c>
      <c r="P881" s="9">
        <v>0</v>
      </c>
      <c r="Q881" s="9">
        <v>0</v>
      </c>
      <c r="R881" s="2" t="s">
        <v>13959</v>
      </c>
    </row>
    <row r="882" spans="1:18" x14ac:dyDescent="0.25">
      <c r="A882" s="2" t="s">
        <v>4613</v>
      </c>
      <c r="B882" s="6">
        <v>46174</v>
      </c>
      <c r="C882" s="8">
        <v>46178</v>
      </c>
      <c r="D882" s="2" t="s">
        <v>199</v>
      </c>
      <c r="E882" s="2" t="s">
        <v>12593</v>
      </c>
      <c r="F882" s="2" t="s">
        <v>12427</v>
      </c>
      <c r="G882" s="2" t="s">
        <v>14386</v>
      </c>
      <c r="H882" s="2" t="s">
        <v>76</v>
      </c>
      <c r="I882" s="9">
        <v>186035360</v>
      </c>
      <c r="J882" s="7">
        <v>6.2500000000000001E-5</v>
      </c>
      <c r="K882" s="9">
        <v>11627.21</v>
      </c>
      <c r="L882" s="14">
        <v>0</v>
      </c>
      <c r="M882" s="2" t="s">
        <v>71</v>
      </c>
      <c r="N882" s="2" t="s">
        <v>12595</v>
      </c>
      <c r="O882" s="2" t="s">
        <v>14387</v>
      </c>
      <c r="P882" s="9">
        <v>0</v>
      </c>
      <c r="Q882" s="9">
        <v>0</v>
      </c>
      <c r="R882" s="2" t="s">
        <v>13962</v>
      </c>
    </row>
    <row r="883" spans="1:18" x14ac:dyDescent="0.25">
      <c r="A883" s="2" t="s">
        <v>4618</v>
      </c>
      <c r="B883" s="6">
        <v>46174</v>
      </c>
      <c r="C883" s="8">
        <v>46179</v>
      </c>
      <c r="D883" s="2" t="s">
        <v>199</v>
      </c>
      <c r="E883" s="2" t="s">
        <v>12593</v>
      </c>
      <c r="F883" s="2" t="s">
        <v>12428</v>
      </c>
      <c r="G883" s="2" t="s">
        <v>14388</v>
      </c>
      <c r="H883" s="2" t="s">
        <v>70</v>
      </c>
      <c r="I883" s="9">
        <v>17744.691728999998</v>
      </c>
      <c r="J883" s="7">
        <v>0.66500000000000004</v>
      </c>
      <c r="K883" s="9">
        <v>11800.22</v>
      </c>
      <c r="L883" s="14">
        <v>0</v>
      </c>
      <c r="M883" s="2" t="s">
        <v>71</v>
      </c>
      <c r="N883" s="2" t="s">
        <v>12595</v>
      </c>
      <c r="O883" s="2" t="s">
        <v>14389</v>
      </c>
      <c r="P883" s="9">
        <v>0</v>
      </c>
      <c r="Q883" s="9">
        <v>0</v>
      </c>
      <c r="R883" s="2" t="s">
        <v>13965</v>
      </c>
    </row>
    <row r="884" spans="1:18" x14ac:dyDescent="0.25">
      <c r="A884" s="2" t="s">
        <v>4621</v>
      </c>
      <c r="B884" s="6">
        <v>46174</v>
      </c>
      <c r="C884" s="8">
        <v>46180</v>
      </c>
      <c r="D884" s="2" t="s">
        <v>199</v>
      </c>
      <c r="E884" s="2" t="s">
        <v>12593</v>
      </c>
      <c r="F884" s="2" t="s">
        <v>12429</v>
      </c>
      <c r="G884" s="2" t="s">
        <v>14390</v>
      </c>
      <c r="H884" s="2" t="s">
        <v>39</v>
      </c>
      <c r="I884" s="9">
        <v>11973.23</v>
      </c>
      <c r="J884" s="7">
        <v>1</v>
      </c>
      <c r="K884" s="9">
        <v>11973.23</v>
      </c>
      <c r="L884" s="14">
        <v>0</v>
      </c>
      <c r="M884" s="2" t="s">
        <v>71</v>
      </c>
      <c r="N884" s="2" t="s">
        <v>12595</v>
      </c>
      <c r="O884" s="2" t="s">
        <v>14391</v>
      </c>
      <c r="P884" s="9">
        <v>0</v>
      </c>
      <c r="Q884" s="9">
        <v>0</v>
      </c>
      <c r="R884" s="2" t="s">
        <v>13968</v>
      </c>
    </row>
    <row r="885" spans="1:18" x14ac:dyDescent="0.25">
      <c r="A885" s="2" t="s">
        <v>4624</v>
      </c>
      <c r="B885" s="6">
        <v>46174</v>
      </c>
      <c r="C885" s="8">
        <v>46181</v>
      </c>
      <c r="D885" s="2" t="s">
        <v>199</v>
      </c>
      <c r="E885" s="2" t="s">
        <v>12593</v>
      </c>
      <c r="F885" s="2" t="s">
        <v>12430</v>
      </c>
      <c r="G885" s="2" t="s">
        <v>14392</v>
      </c>
      <c r="H885" s="2" t="s">
        <v>76</v>
      </c>
      <c r="I885" s="9">
        <v>194339840</v>
      </c>
      <c r="J885" s="7">
        <v>6.2500000000000001E-5</v>
      </c>
      <c r="K885" s="9">
        <v>12146.24</v>
      </c>
      <c r="L885" s="14">
        <v>0</v>
      </c>
      <c r="M885" s="2" t="s">
        <v>71</v>
      </c>
      <c r="N885" s="2" t="s">
        <v>12595</v>
      </c>
      <c r="O885" s="2" t="s">
        <v>14393</v>
      </c>
      <c r="P885" s="9">
        <v>0</v>
      </c>
      <c r="Q885" s="9">
        <v>0</v>
      </c>
      <c r="R885" s="2" t="s">
        <v>13971</v>
      </c>
    </row>
    <row r="886" spans="1:18" x14ac:dyDescent="0.25">
      <c r="A886" s="2" t="s">
        <v>4629</v>
      </c>
      <c r="B886" s="6">
        <v>46174</v>
      </c>
      <c r="C886" s="8">
        <v>46182</v>
      </c>
      <c r="D886" s="2" t="s">
        <v>199</v>
      </c>
      <c r="E886" s="2" t="s">
        <v>12593</v>
      </c>
      <c r="F886" s="2" t="s">
        <v>12431</v>
      </c>
      <c r="G886" s="2" t="s">
        <v>14394</v>
      </c>
      <c r="H886" s="2" t="s">
        <v>70</v>
      </c>
      <c r="I886" s="9">
        <v>18525.187969999999</v>
      </c>
      <c r="J886" s="7">
        <v>0.66500000000000004</v>
      </c>
      <c r="K886" s="9">
        <v>12319.25</v>
      </c>
      <c r="L886" s="14">
        <v>0</v>
      </c>
      <c r="M886" s="2" t="s">
        <v>71</v>
      </c>
      <c r="N886" s="2" t="s">
        <v>12595</v>
      </c>
      <c r="O886" s="2" t="s">
        <v>14395</v>
      </c>
      <c r="P886" s="9">
        <v>0</v>
      </c>
      <c r="Q886" s="9">
        <v>0</v>
      </c>
      <c r="R886" s="2" t="s">
        <v>13974</v>
      </c>
    </row>
    <row r="887" spans="1:18" x14ac:dyDescent="0.25">
      <c r="A887" s="2" t="s">
        <v>4632</v>
      </c>
      <c r="B887" s="6">
        <v>46174</v>
      </c>
      <c r="C887" s="8">
        <v>46183</v>
      </c>
      <c r="D887" s="2" t="s">
        <v>199</v>
      </c>
      <c r="E887" s="2" t="s">
        <v>12593</v>
      </c>
      <c r="F887" s="2" t="s">
        <v>12432</v>
      </c>
      <c r="G887" s="2" t="s">
        <v>14396</v>
      </c>
      <c r="H887" s="2" t="s">
        <v>39</v>
      </c>
      <c r="I887" s="9">
        <v>12492.26</v>
      </c>
      <c r="J887" s="7">
        <v>1</v>
      </c>
      <c r="K887" s="9">
        <v>12492.26</v>
      </c>
      <c r="L887" s="14">
        <v>0</v>
      </c>
      <c r="M887" s="2" t="s">
        <v>71</v>
      </c>
      <c r="N887" s="2" t="s">
        <v>12595</v>
      </c>
      <c r="O887" s="2" t="s">
        <v>14397</v>
      </c>
      <c r="P887" s="9">
        <v>0</v>
      </c>
      <c r="Q887" s="9">
        <v>0</v>
      </c>
      <c r="R887" s="2" t="s">
        <v>13977</v>
      </c>
    </row>
    <row r="888" spans="1:18" x14ac:dyDescent="0.25">
      <c r="A888" s="2" t="s">
        <v>4635</v>
      </c>
      <c r="B888" s="6">
        <v>46174</v>
      </c>
      <c r="C888" s="8">
        <v>46184</v>
      </c>
      <c r="D888" s="2" t="s">
        <v>199</v>
      </c>
      <c r="E888" s="2" t="s">
        <v>12593</v>
      </c>
      <c r="F888" s="2" t="s">
        <v>12423</v>
      </c>
      <c r="G888" s="2" t="s">
        <v>14398</v>
      </c>
      <c r="H888" s="2" t="s">
        <v>76</v>
      </c>
      <c r="I888" s="9">
        <v>202644320</v>
      </c>
      <c r="J888" s="7">
        <v>6.2500000000000001E-5</v>
      </c>
      <c r="K888" s="9">
        <v>12665.27</v>
      </c>
      <c r="L888" s="14">
        <v>0</v>
      </c>
      <c r="M888" s="2" t="s">
        <v>71</v>
      </c>
      <c r="N888" s="2" t="s">
        <v>12595</v>
      </c>
      <c r="O888" s="2" t="s">
        <v>14399</v>
      </c>
      <c r="P888" s="9">
        <v>0</v>
      </c>
      <c r="Q888" s="9">
        <v>0</v>
      </c>
      <c r="R888" s="2" t="s">
        <v>13950</v>
      </c>
    </row>
    <row r="889" spans="1:18" x14ac:dyDescent="0.25">
      <c r="A889" s="2" t="s">
        <v>4638</v>
      </c>
      <c r="B889" s="6">
        <v>46174</v>
      </c>
      <c r="C889" s="8">
        <v>46185</v>
      </c>
      <c r="D889" s="2" t="s">
        <v>199</v>
      </c>
      <c r="E889" s="2" t="s">
        <v>12593</v>
      </c>
      <c r="F889" s="2" t="s">
        <v>12424</v>
      </c>
      <c r="G889" s="2" t="s">
        <v>14400</v>
      </c>
      <c r="H889" s="2" t="s">
        <v>70</v>
      </c>
      <c r="I889" s="9">
        <v>19305.684211</v>
      </c>
      <c r="J889" s="7">
        <v>0.66500000000000004</v>
      </c>
      <c r="K889" s="9">
        <v>12838.28</v>
      </c>
      <c r="L889" s="14">
        <v>0</v>
      </c>
      <c r="M889" s="2" t="s">
        <v>71</v>
      </c>
      <c r="N889" s="2" t="s">
        <v>12595</v>
      </c>
      <c r="O889" s="2" t="s">
        <v>14401</v>
      </c>
      <c r="P889" s="9">
        <v>0</v>
      </c>
      <c r="Q889" s="9">
        <v>0</v>
      </c>
      <c r="R889" s="2" t="s">
        <v>13953</v>
      </c>
    </row>
    <row r="890" spans="1:18" x14ac:dyDescent="0.25">
      <c r="A890" s="2" t="s">
        <v>4641</v>
      </c>
      <c r="B890" s="6">
        <v>46174</v>
      </c>
      <c r="C890" s="8">
        <v>46186</v>
      </c>
      <c r="D890" s="2" t="s">
        <v>199</v>
      </c>
      <c r="E890" s="2" t="s">
        <v>12593</v>
      </c>
      <c r="F890" s="2" t="s">
        <v>12425</v>
      </c>
      <c r="G890" s="2" t="s">
        <v>14402</v>
      </c>
      <c r="H890" s="2" t="s">
        <v>39</v>
      </c>
      <c r="I890" s="9">
        <v>13011.29</v>
      </c>
      <c r="J890" s="7">
        <v>1</v>
      </c>
      <c r="K890" s="9">
        <v>13011.29</v>
      </c>
      <c r="L890" s="14">
        <v>0</v>
      </c>
      <c r="M890" s="2" t="s">
        <v>71</v>
      </c>
      <c r="N890" s="2" t="s">
        <v>12595</v>
      </c>
      <c r="O890" s="2" t="s">
        <v>14403</v>
      </c>
      <c r="P890" s="9">
        <v>0</v>
      </c>
      <c r="Q890" s="9">
        <v>0</v>
      </c>
      <c r="R890" s="2" t="s">
        <v>13956</v>
      </c>
    </row>
    <row r="891" spans="1:18" x14ac:dyDescent="0.25">
      <c r="A891" s="2" t="s">
        <v>4644</v>
      </c>
      <c r="B891" s="6">
        <v>46174</v>
      </c>
      <c r="C891" s="8">
        <v>46187</v>
      </c>
      <c r="D891" s="2" t="s">
        <v>199</v>
      </c>
      <c r="E891" s="2" t="s">
        <v>12593</v>
      </c>
      <c r="F891" s="2" t="s">
        <v>12426</v>
      </c>
      <c r="G891" s="2" t="s">
        <v>14404</v>
      </c>
      <c r="H891" s="2" t="s">
        <v>76</v>
      </c>
      <c r="I891" s="9">
        <v>210948800</v>
      </c>
      <c r="J891" s="7">
        <v>6.2500000000000001E-5</v>
      </c>
      <c r="K891" s="9">
        <v>13184.3</v>
      </c>
      <c r="L891" s="14">
        <v>0</v>
      </c>
      <c r="M891" s="2" t="s">
        <v>71</v>
      </c>
      <c r="N891" s="2" t="s">
        <v>12595</v>
      </c>
      <c r="O891" s="2" t="s">
        <v>14405</v>
      </c>
      <c r="P891" s="9">
        <v>0</v>
      </c>
      <c r="Q891" s="9">
        <v>0</v>
      </c>
      <c r="R891" s="2" t="s">
        <v>13959</v>
      </c>
    </row>
    <row r="892" spans="1:18" x14ac:dyDescent="0.25">
      <c r="A892" s="2" t="s">
        <v>4649</v>
      </c>
      <c r="B892" s="6">
        <v>46174</v>
      </c>
      <c r="C892" s="8">
        <v>46188</v>
      </c>
      <c r="D892" s="2" t="s">
        <v>199</v>
      </c>
      <c r="E892" s="2" t="s">
        <v>12593</v>
      </c>
      <c r="F892" s="2" t="s">
        <v>12427</v>
      </c>
      <c r="G892" s="2" t="s">
        <v>14406</v>
      </c>
      <c r="H892" s="2" t="s">
        <v>70</v>
      </c>
      <c r="I892" s="9">
        <v>20086.180451</v>
      </c>
      <c r="J892" s="7">
        <v>0.66500000000000004</v>
      </c>
      <c r="K892" s="9">
        <v>13357.31</v>
      </c>
      <c r="L892" s="14">
        <v>0</v>
      </c>
      <c r="M892" s="2" t="s">
        <v>71</v>
      </c>
      <c r="N892" s="2" t="s">
        <v>12595</v>
      </c>
      <c r="O892" s="2" t="s">
        <v>14407</v>
      </c>
      <c r="P892" s="9">
        <v>0</v>
      </c>
      <c r="Q892" s="9">
        <v>0</v>
      </c>
      <c r="R892" s="2" t="s">
        <v>13962</v>
      </c>
    </row>
    <row r="893" spans="1:18" x14ac:dyDescent="0.25">
      <c r="A893" s="2" t="s">
        <v>4654</v>
      </c>
      <c r="B893" s="6">
        <v>46174</v>
      </c>
      <c r="C893" s="8">
        <v>46189</v>
      </c>
      <c r="D893" s="2" t="s">
        <v>199</v>
      </c>
      <c r="E893" s="2" t="s">
        <v>12593</v>
      </c>
      <c r="F893" s="2" t="s">
        <v>12428</v>
      </c>
      <c r="G893" s="2" t="s">
        <v>14408</v>
      </c>
      <c r="H893" s="2" t="s">
        <v>39</v>
      </c>
      <c r="I893" s="9">
        <v>13530.32</v>
      </c>
      <c r="J893" s="7">
        <v>1</v>
      </c>
      <c r="K893" s="9">
        <v>13530.32</v>
      </c>
      <c r="L893" s="14">
        <v>0</v>
      </c>
      <c r="M893" s="2" t="s">
        <v>71</v>
      </c>
      <c r="N893" s="2" t="s">
        <v>12595</v>
      </c>
      <c r="O893" s="2" t="s">
        <v>14409</v>
      </c>
      <c r="P893" s="9">
        <v>0</v>
      </c>
      <c r="Q893" s="9">
        <v>0</v>
      </c>
      <c r="R893" s="2" t="s">
        <v>13965</v>
      </c>
    </row>
    <row r="894" spans="1:18" x14ac:dyDescent="0.25">
      <c r="A894" s="2" t="s">
        <v>4657</v>
      </c>
      <c r="B894" s="6">
        <v>46174</v>
      </c>
      <c r="C894" s="8">
        <v>46190</v>
      </c>
      <c r="D894" s="2" t="s">
        <v>199</v>
      </c>
      <c r="E894" s="2" t="s">
        <v>12593</v>
      </c>
      <c r="F894" s="2" t="s">
        <v>12429</v>
      </c>
      <c r="G894" s="2" t="s">
        <v>14410</v>
      </c>
      <c r="H894" s="2" t="s">
        <v>76</v>
      </c>
      <c r="I894" s="9">
        <v>219253280</v>
      </c>
      <c r="J894" s="7">
        <v>6.2500000000000001E-5</v>
      </c>
      <c r="K894" s="9">
        <v>13703.33</v>
      </c>
      <c r="L894" s="14">
        <v>0</v>
      </c>
      <c r="M894" s="2" t="s">
        <v>71</v>
      </c>
      <c r="N894" s="2" t="s">
        <v>12595</v>
      </c>
      <c r="O894" s="2" t="s">
        <v>14411</v>
      </c>
      <c r="P894" s="9">
        <v>0</v>
      </c>
      <c r="Q894" s="9">
        <v>0</v>
      </c>
      <c r="R894" s="2" t="s">
        <v>13968</v>
      </c>
    </row>
    <row r="895" spans="1:18" x14ac:dyDescent="0.25">
      <c r="A895" s="2" t="s">
        <v>4660</v>
      </c>
      <c r="B895" s="6">
        <v>46174</v>
      </c>
      <c r="C895" s="8">
        <v>46191</v>
      </c>
      <c r="D895" s="2" t="s">
        <v>199</v>
      </c>
      <c r="E895" s="2" t="s">
        <v>12593</v>
      </c>
      <c r="F895" s="2" t="s">
        <v>12430</v>
      </c>
      <c r="G895" s="2" t="s">
        <v>14412</v>
      </c>
      <c r="H895" s="2" t="s">
        <v>70</v>
      </c>
      <c r="I895" s="9">
        <v>20866.676692000001</v>
      </c>
      <c r="J895" s="7">
        <v>0.66500000000000004</v>
      </c>
      <c r="K895" s="9">
        <v>13876.34</v>
      </c>
      <c r="L895" s="14">
        <v>0</v>
      </c>
      <c r="M895" s="2" t="s">
        <v>71</v>
      </c>
      <c r="N895" s="2" t="s">
        <v>12595</v>
      </c>
      <c r="O895" s="2" t="s">
        <v>14413</v>
      </c>
      <c r="P895" s="9">
        <v>0</v>
      </c>
      <c r="Q895" s="9">
        <v>0</v>
      </c>
      <c r="R895" s="2" t="s">
        <v>13971</v>
      </c>
    </row>
    <row r="896" spans="1:18" x14ac:dyDescent="0.25">
      <c r="A896" s="2" t="s">
        <v>4665</v>
      </c>
      <c r="B896" s="6">
        <v>46174</v>
      </c>
      <c r="C896" s="8">
        <v>46192</v>
      </c>
      <c r="D896" s="2" t="s">
        <v>199</v>
      </c>
      <c r="E896" s="2" t="s">
        <v>12593</v>
      </c>
      <c r="F896" s="2" t="s">
        <v>12431</v>
      </c>
      <c r="G896" s="2" t="s">
        <v>14414</v>
      </c>
      <c r="H896" s="2" t="s">
        <v>39</v>
      </c>
      <c r="I896" s="9">
        <v>14049.35</v>
      </c>
      <c r="J896" s="7">
        <v>1</v>
      </c>
      <c r="K896" s="9">
        <v>14049.35</v>
      </c>
      <c r="L896" s="14">
        <v>0</v>
      </c>
      <c r="M896" s="2" t="s">
        <v>71</v>
      </c>
      <c r="N896" s="2" t="s">
        <v>12595</v>
      </c>
      <c r="O896" s="2" t="s">
        <v>14415</v>
      </c>
      <c r="P896" s="9">
        <v>0</v>
      </c>
      <c r="Q896" s="9">
        <v>0</v>
      </c>
      <c r="R896" s="2" t="s">
        <v>13974</v>
      </c>
    </row>
    <row r="897" spans="1:18" x14ac:dyDescent="0.25">
      <c r="A897" s="2" t="s">
        <v>4668</v>
      </c>
      <c r="B897" s="6">
        <v>46174</v>
      </c>
      <c r="C897" s="8">
        <v>46193</v>
      </c>
      <c r="D897" s="2" t="s">
        <v>199</v>
      </c>
      <c r="E897" s="2" t="s">
        <v>12593</v>
      </c>
      <c r="F897" s="2" t="s">
        <v>12432</v>
      </c>
      <c r="G897" s="2" t="s">
        <v>14416</v>
      </c>
      <c r="H897" s="2" t="s">
        <v>76</v>
      </c>
      <c r="I897" s="9">
        <v>227557760</v>
      </c>
      <c r="J897" s="7">
        <v>6.2500000000000001E-5</v>
      </c>
      <c r="K897" s="9">
        <v>14222.36</v>
      </c>
      <c r="L897" s="14">
        <v>0</v>
      </c>
      <c r="M897" s="2" t="s">
        <v>71</v>
      </c>
      <c r="N897" s="2" t="s">
        <v>12595</v>
      </c>
      <c r="O897" s="2" t="s">
        <v>14417</v>
      </c>
      <c r="P897" s="9">
        <v>0</v>
      </c>
      <c r="Q897" s="9">
        <v>0</v>
      </c>
      <c r="R897" s="2" t="s">
        <v>13977</v>
      </c>
    </row>
    <row r="898" spans="1:18" x14ac:dyDescent="0.25">
      <c r="A898" s="2" t="s">
        <v>4671</v>
      </c>
      <c r="B898" s="6">
        <v>46174</v>
      </c>
      <c r="C898" s="8">
        <v>46194</v>
      </c>
      <c r="D898" s="2" t="s">
        <v>199</v>
      </c>
      <c r="E898" s="2" t="s">
        <v>12593</v>
      </c>
      <c r="F898" s="2" t="s">
        <v>12423</v>
      </c>
      <c r="G898" s="2" t="s">
        <v>14418</v>
      </c>
      <c r="H898" s="2" t="s">
        <v>70</v>
      </c>
      <c r="I898" s="9">
        <v>21647.172932000001</v>
      </c>
      <c r="J898" s="7">
        <v>0.66500000000000004</v>
      </c>
      <c r="K898" s="9">
        <v>14395.37</v>
      </c>
      <c r="L898" s="14">
        <v>0</v>
      </c>
      <c r="M898" s="2" t="s">
        <v>71</v>
      </c>
      <c r="N898" s="2" t="s">
        <v>12595</v>
      </c>
      <c r="O898" s="2" t="s">
        <v>14419</v>
      </c>
      <c r="P898" s="9">
        <v>0</v>
      </c>
      <c r="Q898" s="9">
        <v>0</v>
      </c>
      <c r="R898" s="2" t="s">
        <v>13950</v>
      </c>
    </row>
    <row r="899" spans="1:18" x14ac:dyDescent="0.25">
      <c r="A899" s="2" t="s">
        <v>4674</v>
      </c>
      <c r="B899" s="6">
        <v>46174</v>
      </c>
      <c r="C899" s="8">
        <v>46195</v>
      </c>
      <c r="D899" s="2" t="s">
        <v>199</v>
      </c>
      <c r="E899" s="2" t="s">
        <v>12593</v>
      </c>
      <c r="F899" s="2" t="s">
        <v>12424</v>
      </c>
      <c r="G899" s="2" t="s">
        <v>14420</v>
      </c>
      <c r="H899" s="2" t="s">
        <v>39</v>
      </c>
      <c r="I899" s="9">
        <v>14568.38</v>
      </c>
      <c r="J899" s="7">
        <v>1</v>
      </c>
      <c r="K899" s="9">
        <v>14568.38</v>
      </c>
      <c r="L899" s="14">
        <v>0</v>
      </c>
      <c r="M899" s="2" t="s">
        <v>71</v>
      </c>
      <c r="N899" s="2" t="s">
        <v>12595</v>
      </c>
      <c r="O899" s="2" t="s">
        <v>14421</v>
      </c>
      <c r="P899" s="9">
        <v>0</v>
      </c>
      <c r="Q899" s="9">
        <v>0</v>
      </c>
      <c r="R899" s="2" t="s">
        <v>13953</v>
      </c>
    </row>
    <row r="900" spans="1:18" x14ac:dyDescent="0.25">
      <c r="A900" s="2" t="s">
        <v>4677</v>
      </c>
      <c r="B900" s="6">
        <v>46174</v>
      </c>
      <c r="C900" s="8">
        <v>46196</v>
      </c>
      <c r="D900" s="2" t="s">
        <v>199</v>
      </c>
      <c r="E900" s="2" t="s">
        <v>12593</v>
      </c>
      <c r="F900" s="2" t="s">
        <v>12425</v>
      </c>
      <c r="G900" s="2" t="s">
        <v>14422</v>
      </c>
      <c r="H900" s="2" t="s">
        <v>76</v>
      </c>
      <c r="I900" s="9">
        <v>235862240</v>
      </c>
      <c r="J900" s="7">
        <v>6.2500000000000001E-5</v>
      </c>
      <c r="K900" s="9">
        <v>14741.39</v>
      </c>
      <c r="L900" s="14">
        <v>0</v>
      </c>
      <c r="M900" s="2" t="s">
        <v>71</v>
      </c>
      <c r="N900" s="2" t="s">
        <v>12595</v>
      </c>
      <c r="O900" s="2" t="s">
        <v>14423</v>
      </c>
      <c r="P900" s="9">
        <v>0</v>
      </c>
      <c r="Q900" s="9">
        <v>0</v>
      </c>
      <c r="R900" s="2" t="s">
        <v>13956</v>
      </c>
    </row>
    <row r="901" spans="1:18" x14ac:dyDescent="0.25">
      <c r="A901" s="2" t="s">
        <v>4680</v>
      </c>
      <c r="B901" s="6">
        <v>46174</v>
      </c>
      <c r="C901" s="8">
        <v>46197</v>
      </c>
      <c r="D901" s="2" t="s">
        <v>199</v>
      </c>
      <c r="E901" s="2" t="s">
        <v>12593</v>
      </c>
      <c r="F901" s="2" t="s">
        <v>12426</v>
      </c>
      <c r="G901" s="2" t="s">
        <v>14424</v>
      </c>
      <c r="H901" s="2" t="s">
        <v>70</v>
      </c>
      <c r="I901" s="9">
        <v>1375.0375939999999</v>
      </c>
      <c r="J901" s="7">
        <v>0.66500000000000004</v>
      </c>
      <c r="K901" s="9">
        <v>914.4</v>
      </c>
      <c r="L901" s="14">
        <v>0</v>
      </c>
      <c r="M901" s="2" t="s">
        <v>71</v>
      </c>
      <c r="N901" s="2" t="s">
        <v>12595</v>
      </c>
      <c r="O901" s="2" t="s">
        <v>14425</v>
      </c>
      <c r="P901" s="9">
        <v>0</v>
      </c>
      <c r="Q901" s="9">
        <v>0</v>
      </c>
      <c r="R901" s="2" t="s">
        <v>13959</v>
      </c>
    </row>
    <row r="902" spans="1:18" x14ac:dyDescent="0.25">
      <c r="A902" s="2" t="s">
        <v>4685</v>
      </c>
      <c r="B902" s="6">
        <v>46174</v>
      </c>
      <c r="C902" s="8">
        <v>46198</v>
      </c>
      <c r="D902" s="2" t="s">
        <v>199</v>
      </c>
      <c r="E902" s="2" t="s">
        <v>12593</v>
      </c>
      <c r="F902" s="2" t="s">
        <v>12427</v>
      </c>
      <c r="G902" s="2" t="s">
        <v>14426</v>
      </c>
      <c r="H902" s="2" t="s">
        <v>39</v>
      </c>
      <c r="I902" s="9">
        <v>1087.4100000000001</v>
      </c>
      <c r="J902" s="7">
        <v>1</v>
      </c>
      <c r="K902" s="9">
        <v>1087.4100000000001</v>
      </c>
      <c r="L902" s="14">
        <v>0</v>
      </c>
      <c r="M902" s="2" t="s">
        <v>71</v>
      </c>
      <c r="N902" s="2" t="s">
        <v>12595</v>
      </c>
      <c r="O902" s="2" t="s">
        <v>14427</v>
      </c>
      <c r="P902" s="9">
        <v>0</v>
      </c>
      <c r="Q902" s="9">
        <v>0</v>
      </c>
      <c r="R902" s="2" t="s">
        <v>13962</v>
      </c>
    </row>
    <row r="903" spans="1:18" x14ac:dyDescent="0.25">
      <c r="A903" s="2" t="s">
        <v>4690</v>
      </c>
      <c r="B903" s="6">
        <v>46174</v>
      </c>
      <c r="C903" s="8">
        <v>46199</v>
      </c>
      <c r="D903" s="2" t="s">
        <v>199</v>
      </c>
      <c r="E903" s="2" t="s">
        <v>12593</v>
      </c>
      <c r="F903" s="2" t="s">
        <v>12428</v>
      </c>
      <c r="G903" s="2" t="s">
        <v>14428</v>
      </c>
      <c r="H903" s="2" t="s">
        <v>76</v>
      </c>
      <c r="I903" s="9">
        <v>20166720</v>
      </c>
      <c r="J903" s="7">
        <v>6.2500000000000001E-5</v>
      </c>
      <c r="K903" s="9">
        <v>1260.42</v>
      </c>
      <c r="L903" s="14">
        <v>0</v>
      </c>
      <c r="M903" s="2" t="s">
        <v>71</v>
      </c>
      <c r="N903" s="2" t="s">
        <v>12595</v>
      </c>
      <c r="O903" s="2" t="s">
        <v>14429</v>
      </c>
      <c r="P903" s="9">
        <v>0</v>
      </c>
      <c r="Q903" s="9">
        <v>0</v>
      </c>
      <c r="R903" s="2" t="s">
        <v>13965</v>
      </c>
    </row>
    <row r="904" spans="1:18" x14ac:dyDescent="0.25">
      <c r="A904" s="2" t="s">
        <v>4693</v>
      </c>
      <c r="B904" s="6">
        <v>46174</v>
      </c>
      <c r="C904" s="8">
        <v>46200</v>
      </c>
      <c r="D904" s="2" t="s">
        <v>199</v>
      </c>
      <c r="E904" s="2" t="s">
        <v>12593</v>
      </c>
      <c r="F904" s="2" t="s">
        <v>12429</v>
      </c>
      <c r="G904" s="2" t="s">
        <v>14430</v>
      </c>
      <c r="H904" s="2" t="s">
        <v>70</v>
      </c>
      <c r="I904" s="9">
        <v>2155.5338350000002</v>
      </c>
      <c r="J904" s="7">
        <v>0.66500000000000004</v>
      </c>
      <c r="K904" s="9">
        <v>1433.43</v>
      </c>
      <c r="L904" s="14">
        <v>0</v>
      </c>
      <c r="M904" s="2" t="s">
        <v>71</v>
      </c>
      <c r="N904" s="2" t="s">
        <v>12595</v>
      </c>
      <c r="O904" s="2" t="s">
        <v>14431</v>
      </c>
      <c r="P904" s="9">
        <v>0</v>
      </c>
      <c r="Q904" s="9">
        <v>0</v>
      </c>
      <c r="R904" s="2" t="s">
        <v>13968</v>
      </c>
    </row>
    <row r="905" spans="1:18" x14ac:dyDescent="0.25">
      <c r="A905" s="2" t="s">
        <v>4696</v>
      </c>
      <c r="B905" s="6">
        <v>46174</v>
      </c>
      <c r="C905" s="8">
        <v>46201</v>
      </c>
      <c r="D905" s="2" t="s">
        <v>199</v>
      </c>
      <c r="E905" s="2" t="s">
        <v>12593</v>
      </c>
      <c r="F905" s="2" t="s">
        <v>12430</v>
      </c>
      <c r="G905" s="2" t="s">
        <v>14432</v>
      </c>
      <c r="H905" s="2" t="s">
        <v>39</v>
      </c>
      <c r="I905" s="9">
        <v>1606.44</v>
      </c>
      <c r="J905" s="7">
        <v>1</v>
      </c>
      <c r="K905" s="9">
        <v>1606.44</v>
      </c>
      <c r="L905" s="14">
        <v>0</v>
      </c>
      <c r="M905" s="2" t="s">
        <v>71</v>
      </c>
      <c r="N905" s="2" t="s">
        <v>12595</v>
      </c>
      <c r="O905" s="2" t="s">
        <v>14433</v>
      </c>
      <c r="P905" s="9">
        <v>0</v>
      </c>
      <c r="Q905" s="9">
        <v>0</v>
      </c>
      <c r="R905" s="2" t="s">
        <v>13971</v>
      </c>
    </row>
    <row r="906" spans="1:18" x14ac:dyDescent="0.25">
      <c r="A906" s="2" t="s">
        <v>4701</v>
      </c>
      <c r="B906" s="6">
        <v>46174</v>
      </c>
      <c r="C906" s="8">
        <v>46202</v>
      </c>
      <c r="D906" s="2" t="s">
        <v>199</v>
      </c>
      <c r="E906" s="2" t="s">
        <v>12593</v>
      </c>
      <c r="F906" s="2" t="s">
        <v>12431</v>
      </c>
      <c r="G906" s="2" t="s">
        <v>14434</v>
      </c>
      <c r="H906" s="2" t="s">
        <v>76</v>
      </c>
      <c r="I906" s="9">
        <v>28471200</v>
      </c>
      <c r="J906" s="7">
        <v>6.2500000000000001E-5</v>
      </c>
      <c r="K906" s="9">
        <v>1779.45</v>
      </c>
      <c r="L906" s="14">
        <v>0</v>
      </c>
      <c r="M906" s="2" t="s">
        <v>71</v>
      </c>
      <c r="N906" s="2" t="s">
        <v>12595</v>
      </c>
      <c r="O906" s="2" t="s">
        <v>14435</v>
      </c>
      <c r="P906" s="9">
        <v>0</v>
      </c>
      <c r="Q906" s="9">
        <v>0</v>
      </c>
      <c r="R906" s="2" t="s">
        <v>13974</v>
      </c>
    </row>
    <row r="907" spans="1:18" x14ac:dyDescent="0.25">
      <c r="A907" s="2" t="s">
        <v>4704</v>
      </c>
      <c r="B907" s="6">
        <v>46174</v>
      </c>
      <c r="C907" s="8">
        <v>46203</v>
      </c>
      <c r="D907" s="2" t="s">
        <v>199</v>
      </c>
      <c r="E907" s="2" t="s">
        <v>12593</v>
      </c>
      <c r="F907" s="2" t="s">
        <v>12432</v>
      </c>
      <c r="G907" s="2" t="s">
        <v>14436</v>
      </c>
      <c r="H907" s="2" t="s">
        <v>70</v>
      </c>
      <c r="I907" s="9">
        <v>2936.0300750000001</v>
      </c>
      <c r="J907" s="7">
        <v>0.66500000000000004</v>
      </c>
      <c r="K907" s="9">
        <v>1952.46</v>
      </c>
      <c r="L907" s="14">
        <v>0</v>
      </c>
      <c r="M907" s="2" t="s">
        <v>71</v>
      </c>
      <c r="N907" s="2" t="s">
        <v>12595</v>
      </c>
      <c r="O907" s="2" t="s">
        <v>14437</v>
      </c>
      <c r="P907" s="9">
        <v>0</v>
      </c>
      <c r="Q907" s="9">
        <v>0</v>
      </c>
      <c r="R907" s="2" t="s">
        <v>13977</v>
      </c>
    </row>
    <row r="908" spans="1:18" x14ac:dyDescent="0.25">
      <c r="A908" s="2" t="s">
        <v>4707</v>
      </c>
      <c r="B908" s="6">
        <v>46174</v>
      </c>
      <c r="C908" s="8">
        <v>46174</v>
      </c>
      <c r="D908" s="2" t="s">
        <v>199</v>
      </c>
      <c r="E908" s="2" t="s">
        <v>12593</v>
      </c>
      <c r="F908" s="2" t="s">
        <v>12423</v>
      </c>
      <c r="G908" s="2" t="s">
        <v>14438</v>
      </c>
      <c r="H908" s="2" t="s">
        <v>39</v>
      </c>
      <c r="I908" s="9">
        <v>2125.4699999999998</v>
      </c>
      <c r="J908" s="7">
        <v>1</v>
      </c>
      <c r="K908" s="9">
        <v>2125.4699999999998</v>
      </c>
      <c r="L908" s="14">
        <v>0</v>
      </c>
      <c r="M908" s="2" t="s">
        <v>71</v>
      </c>
      <c r="N908" s="2" t="s">
        <v>12595</v>
      </c>
      <c r="O908" s="2" t="s">
        <v>14439</v>
      </c>
      <c r="P908" s="9">
        <v>0</v>
      </c>
      <c r="Q908" s="9">
        <v>0</v>
      </c>
      <c r="R908" s="2" t="s">
        <v>13950</v>
      </c>
    </row>
    <row r="909" spans="1:18" x14ac:dyDescent="0.25">
      <c r="A909" s="2" t="s">
        <v>4710</v>
      </c>
      <c r="B909" s="6">
        <v>46174</v>
      </c>
      <c r="C909" s="8">
        <v>46175</v>
      </c>
      <c r="D909" s="2" t="s">
        <v>199</v>
      </c>
      <c r="E909" s="2" t="s">
        <v>12593</v>
      </c>
      <c r="F909" s="2" t="s">
        <v>12424</v>
      </c>
      <c r="G909" s="2" t="s">
        <v>14440</v>
      </c>
      <c r="H909" s="2" t="s">
        <v>76</v>
      </c>
      <c r="I909" s="9">
        <v>36775680</v>
      </c>
      <c r="J909" s="7">
        <v>6.2500000000000001E-5</v>
      </c>
      <c r="K909" s="9">
        <v>2298.48</v>
      </c>
      <c r="L909" s="14">
        <v>0</v>
      </c>
      <c r="M909" s="2" t="s">
        <v>71</v>
      </c>
      <c r="N909" s="2" t="s">
        <v>12595</v>
      </c>
      <c r="O909" s="2" t="s">
        <v>14441</v>
      </c>
      <c r="P909" s="9">
        <v>0</v>
      </c>
      <c r="Q909" s="9">
        <v>0</v>
      </c>
      <c r="R909" s="2" t="s">
        <v>13953</v>
      </c>
    </row>
    <row r="910" spans="1:18" x14ac:dyDescent="0.25">
      <c r="A910" s="2" t="s">
        <v>4713</v>
      </c>
      <c r="B910" s="6">
        <v>46174</v>
      </c>
      <c r="C910" s="8">
        <v>46176</v>
      </c>
      <c r="D910" s="2" t="s">
        <v>199</v>
      </c>
      <c r="E910" s="2" t="s">
        <v>12593</v>
      </c>
      <c r="F910" s="2" t="s">
        <v>12425</v>
      </c>
      <c r="G910" s="2" t="s">
        <v>14442</v>
      </c>
      <c r="H910" s="2" t="s">
        <v>70</v>
      </c>
      <c r="I910" s="9">
        <v>3716.526316</v>
      </c>
      <c r="J910" s="7">
        <v>0.66500000000000004</v>
      </c>
      <c r="K910" s="9">
        <v>2471.4899999999998</v>
      </c>
      <c r="L910" s="14">
        <v>0</v>
      </c>
      <c r="M910" s="2" t="s">
        <v>71</v>
      </c>
      <c r="N910" s="2" t="s">
        <v>12595</v>
      </c>
      <c r="O910" s="2" t="s">
        <v>14443</v>
      </c>
      <c r="P910" s="9">
        <v>0</v>
      </c>
      <c r="Q910" s="9">
        <v>0</v>
      </c>
      <c r="R910" s="2" t="s">
        <v>13956</v>
      </c>
    </row>
    <row r="911" spans="1:18" x14ac:dyDescent="0.25">
      <c r="A911" s="2" t="s">
        <v>4716</v>
      </c>
      <c r="B911" s="6">
        <v>46174</v>
      </c>
      <c r="C911" s="8">
        <v>46177</v>
      </c>
      <c r="D911" s="2" t="s">
        <v>199</v>
      </c>
      <c r="E911" s="2" t="s">
        <v>12593</v>
      </c>
      <c r="F911" s="2" t="s">
        <v>12426</v>
      </c>
      <c r="G911" s="2" t="s">
        <v>14444</v>
      </c>
      <c r="H911" s="2" t="s">
        <v>39</v>
      </c>
      <c r="I911" s="9">
        <v>2644.5</v>
      </c>
      <c r="J911" s="7">
        <v>1</v>
      </c>
      <c r="K911" s="9">
        <v>2644.5</v>
      </c>
      <c r="L911" s="14">
        <v>0</v>
      </c>
      <c r="M911" s="2" t="s">
        <v>71</v>
      </c>
      <c r="N911" s="2" t="s">
        <v>12595</v>
      </c>
      <c r="O911" s="2" t="s">
        <v>14445</v>
      </c>
      <c r="P911" s="9">
        <v>0</v>
      </c>
      <c r="Q911" s="9">
        <v>0</v>
      </c>
      <c r="R911" s="2" t="s">
        <v>13959</v>
      </c>
    </row>
    <row r="912" spans="1:18" x14ac:dyDescent="0.25">
      <c r="A912" s="2" t="s">
        <v>4721</v>
      </c>
      <c r="B912" s="6">
        <v>46174</v>
      </c>
      <c r="C912" s="8">
        <v>46178</v>
      </c>
      <c r="D912" s="2" t="s">
        <v>199</v>
      </c>
      <c r="E912" s="2" t="s">
        <v>12593</v>
      </c>
      <c r="F912" s="2" t="s">
        <v>12427</v>
      </c>
      <c r="G912" s="2" t="s">
        <v>14446</v>
      </c>
      <c r="H912" s="2" t="s">
        <v>76</v>
      </c>
      <c r="I912" s="9">
        <v>45080160</v>
      </c>
      <c r="J912" s="7">
        <v>6.2500000000000001E-5</v>
      </c>
      <c r="K912" s="9">
        <v>2817.51</v>
      </c>
      <c r="L912" s="14">
        <v>0</v>
      </c>
      <c r="M912" s="2" t="s">
        <v>71</v>
      </c>
      <c r="N912" s="2" t="s">
        <v>12595</v>
      </c>
      <c r="O912" s="2" t="s">
        <v>14447</v>
      </c>
      <c r="P912" s="9">
        <v>0</v>
      </c>
      <c r="Q912" s="9">
        <v>0</v>
      </c>
      <c r="R912" s="2" t="s">
        <v>13962</v>
      </c>
    </row>
    <row r="913" spans="1:18" x14ac:dyDescent="0.25">
      <c r="A913" s="2" t="s">
        <v>4726</v>
      </c>
      <c r="B913" s="6">
        <v>46174</v>
      </c>
      <c r="C913" s="8">
        <v>46179</v>
      </c>
      <c r="D913" s="2" t="s">
        <v>199</v>
      </c>
      <c r="E913" s="2" t="s">
        <v>12593</v>
      </c>
      <c r="F913" s="2" t="s">
        <v>12428</v>
      </c>
      <c r="G913" s="2" t="s">
        <v>14448</v>
      </c>
      <c r="H913" s="2" t="s">
        <v>70</v>
      </c>
      <c r="I913" s="9">
        <v>-4497.0225559999999</v>
      </c>
      <c r="J913" s="7">
        <v>0.66500000000000004</v>
      </c>
      <c r="K913" s="9">
        <v>-2990.52</v>
      </c>
      <c r="L913" s="14">
        <v>0</v>
      </c>
      <c r="M913" s="2" t="s">
        <v>71</v>
      </c>
      <c r="N913" s="2" t="s">
        <v>12595</v>
      </c>
      <c r="O913" s="2" t="s">
        <v>14449</v>
      </c>
      <c r="P913" s="9">
        <v>0</v>
      </c>
      <c r="Q913" s="9">
        <v>0</v>
      </c>
      <c r="R913" s="2" t="s">
        <v>13965</v>
      </c>
    </row>
    <row r="914" spans="1:18" x14ac:dyDescent="0.25">
      <c r="A914" s="2" t="s">
        <v>4729</v>
      </c>
      <c r="B914" s="6">
        <v>46174</v>
      </c>
      <c r="C914" s="8">
        <v>46180</v>
      </c>
      <c r="D914" s="2" t="s">
        <v>199</v>
      </c>
      <c r="E914" s="2" t="s">
        <v>12593</v>
      </c>
      <c r="F914" s="2" t="s">
        <v>12429</v>
      </c>
      <c r="G914" s="2" t="s">
        <v>14450</v>
      </c>
      <c r="H914" s="2" t="s">
        <v>39</v>
      </c>
      <c r="I914" s="9">
        <v>3163.53</v>
      </c>
      <c r="J914" s="7">
        <v>1</v>
      </c>
      <c r="K914" s="9">
        <v>3163.53</v>
      </c>
      <c r="L914" s="14">
        <v>0</v>
      </c>
      <c r="M914" s="2" t="s">
        <v>71</v>
      </c>
      <c r="N914" s="2" t="s">
        <v>12595</v>
      </c>
      <c r="O914" s="2" t="s">
        <v>14451</v>
      </c>
      <c r="P914" s="9">
        <v>0</v>
      </c>
      <c r="Q914" s="9">
        <v>0</v>
      </c>
      <c r="R914" s="2" t="s">
        <v>13968</v>
      </c>
    </row>
    <row r="915" spans="1:18" x14ac:dyDescent="0.25">
      <c r="A915" s="2" t="s">
        <v>4732</v>
      </c>
      <c r="B915" s="6">
        <v>46174</v>
      </c>
      <c r="C915" s="8">
        <v>46181</v>
      </c>
      <c r="D915" s="2" t="s">
        <v>199</v>
      </c>
      <c r="E915" s="2" t="s">
        <v>12593</v>
      </c>
      <c r="F915" s="2" t="s">
        <v>12430</v>
      </c>
      <c r="G915" s="2" t="s">
        <v>14452</v>
      </c>
      <c r="H915" s="2" t="s">
        <v>76</v>
      </c>
      <c r="I915" s="9">
        <v>53384640</v>
      </c>
      <c r="J915" s="7">
        <v>6.2500000000000001E-5</v>
      </c>
      <c r="K915" s="9">
        <v>3336.54</v>
      </c>
      <c r="L915" s="14">
        <v>0</v>
      </c>
      <c r="M915" s="2" t="s">
        <v>71</v>
      </c>
      <c r="N915" s="2" t="s">
        <v>12595</v>
      </c>
      <c r="O915" s="2" t="s">
        <v>14453</v>
      </c>
      <c r="P915" s="9">
        <v>0</v>
      </c>
      <c r="Q915" s="9">
        <v>0</v>
      </c>
      <c r="R915" s="2" t="s">
        <v>13971</v>
      </c>
    </row>
    <row r="916" spans="1:18" x14ac:dyDescent="0.25">
      <c r="A916" s="2" t="s">
        <v>4737</v>
      </c>
      <c r="B916" s="6">
        <v>46174</v>
      </c>
      <c r="C916" s="8">
        <v>46182</v>
      </c>
      <c r="D916" s="2" t="s">
        <v>199</v>
      </c>
      <c r="E916" s="2" t="s">
        <v>12593</v>
      </c>
      <c r="F916" s="2" t="s">
        <v>12431</v>
      </c>
      <c r="G916" s="2" t="s">
        <v>14454</v>
      </c>
      <c r="H916" s="2" t="s">
        <v>70</v>
      </c>
      <c r="I916" s="9">
        <v>5277.5187969999997</v>
      </c>
      <c r="J916" s="7">
        <v>0.66500000000000004</v>
      </c>
      <c r="K916" s="9">
        <v>3509.55</v>
      </c>
      <c r="L916" s="14">
        <v>0</v>
      </c>
      <c r="M916" s="2" t="s">
        <v>71</v>
      </c>
      <c r="N916" s="2" t="s">
        <v>12595</v>
      </c>
      <c r="O916" s="2" t="s">
        <v>14455</v>
      </c>
      <c r="P916" s="9">
        <v>0</v>
      </c>
      <c r="Q916" s="9">
        <v>0</v>
      </c>
      <c r="R916" s="2" t="s">
        <v>13974</v>
      </c>
    </row>
    <row r="917" spans="1:18" x14ac:dyDescent="0.25">
      <c r="A917" s="2" t="s">
        <v>4740</v>
      </c>
      <c r="B917" s="6">
        <v>46174</v>
      </c>
      <c r="C917" s="8">
        <v>46183</v>
      </c>
      <c r="D917" s="2" t="s">
        <v>199</v>
      </c>
      <c r="E917" s="2" t="s">
        <v>12593</v>
      </c>
      <c r="F917" s="2" t="s">
        <v>12432</v>
      </c>
      <c r="G917" s="2" t="s">
        <v>14456</v>
      </c>
      <c r="H917" s="2" t="s">
        <v>39</v>
      </c>
      <c r="I917" s="9">
        <v>3682.56</v>
      </c>
      <c r="J917" s="7">
        <v>1</v>
      </c>
      <c r="K917" s="9">
        <v>3682.56</v>
      </c>
      <c r="L917" s="14">
        <v>0</v>
      </c>
      <c r="M917" s="2" t="s">
        <v>71</v>
      </c>
      <c r="N917" s="2" t="s">
        <v>12595</v>
      </c>
      <c r="O917" s="2" t="s">
        <v>14457</v>
      </c>
      <c r="P917" s="9">
        <v>0</v>
      </c>
      <c r="Q917" s="9">
        <v>0</v>
      </c>
      <c r="R917" s="2" t="s">
        <v>13977</v>
      </c>
    </row>
    <row r="918" spans="1:18" x14ac:dyDescent="0.25">
      <c r="A918" s="2" t="s">
        <v>4743</v>
      </c>
      <c r="B918" s="6">
        <v>46174</v>
      </c>
      <c r="C918" s="8">
        <v>46184</v>
      </c>
      <c r="D918" s="2" t="s">
        <v>199</v>
      </c>
      <c r="E918" s="2" t="s">
        <v>12593</v>
      </c>
      <c r="F918" s="2" t="s">
        <v>12423</v>
      </c>
      <c r="G918" s="2" t="s">
        <v>14458</v>
      </c>
      <c r="H918" s="2" t="s">
        <v>76</v>
      </c>
      <c r="I918" s="9">
        <v>61689120</v>
      </c>
      <c r="J918" s="7">
        <v>6.2500000000000001E-5</v>
      </c>
      <c r="K918" s="9">
        <v>3855.57</v>
      </c>
      <c r="L918" s="14">
        <v>0</v>
      </c>
      <c r="M918" s="2" t="s">
        <v>71</v>
      </c>
      <c r="N918" s="2" t="s">
        <v>12595</v>
      </c>
      <c r="O918" s="2" t="s">
        <v>14459</v>
      </c>
      <c r="P918" s="9">
        <v>0</v>
      </c>
      <c r="Q918" s="9">
        <v>0</v>
      </c>
      <c r="R918" s="2" t="s">
        <v>13950</v>
      </c>
    </row>
    <row r="919" spans="1:18" x14ac:dyDescent="0.25">
      <c r="A919" s="2" t="s">
        <v>4746</v>
      </c>
      <c r="B919" s="6">
        <v>46174</v>
      </c>
      <c r="C919" s="8">
        <v>46185</v>
      </c>
      <c r="D919" s="2" t="s">
        <v>199</v>
      </c>
      <c r="E919" s="2" t="s">
        <v>12593</v>
      </c>
      <c r="F919" s="2" t="s">
        <v>12424</v>
      </c>
      <c r="G919" s="2" t="s">
        <v>14460</v>
      </c>
      <c r="H919" s="2" t="s">
        <v>70</v>
      </c>
      <c r="I919" s="9">
        <v>6058.0150379999995</v>
      </c>
      <c r="J919" s="7">
        <v>0.66500000000000004</v>
      </c>
      <c r="K919" s="9">
        <v>4028.58</v>
      </c>
      <c r="L919" s="14">
        <v>0</v>
      </c>
      <c r="M919" s="2" t="s">
        <v>71</v>
      </c>
      <c r="N919" s="2" t="s">
        <v>12595</v>
      </c>
      <c r="O919" s="2" t="s">
        <v>14461</v>
      </c>
      <c r="P919" s="9">
        <v>0</v>
      </c>
      <c r="Q919" s="9">
        <v>0</v>
      </c>
      <c r="R919" s="2" t="s">
        <v>13953</v>
      </c>
    </row>
    <row r="920" spans="1:18" x14ac:dyDescent="0.25">
      <c r="A920" s="2" t="s">
        <v>4749</v>
      </c>
      <c r="B920" s="6">
        <v>46174</v>
      </c>
      <c r="C920" s="8">
        <v>46186</v>
      </c>
      <c r="D920" s="2" t="s">
        <v>199</v>
      </c>
      <c r="E920" s="2" t="s">
        <v>12593</v>
      </c>
      <c r="F920" s="2" t="s">
        <v>12425</v>
      </c>
      <c r="G920" s="2" t="s">
        <v>14462</v>
      </c>
      <c r="H920" s="2" t="s">
        <v>39</v>
      </c>
      <c r="I920" s="9">
        <v>4201.59</v>
      </c>
      <c r="J920" s="7">
        <v>1</v>
      </c>
      <c r="K920" s="9">
        <v>4201.59</v>
      </c>
      <c r="L920" s="14">
        <v>0</v>
      </c>
      <c r="M920" s="2" t="s">
        <v>71</v>
      </c>
      <c r="N920" s="2" t="s">
        <v>12595</v>
      </c>
      <c r="O920" s="2" t="s">
        <v>14463</v>
      </c>
      <c r="P920" s="9">
        <v>0</v>
      </c>
      <c r="Q920" s="9">
        <v>0</v>
      </c>
      <c r="R920" s="2" t="s">
        <v>13956</v>
      </c>
    </row>
    <row r="921" spans="1:18" x14ac:dyDescent="0.25">
      <c r="A921" s="2" t="s">
        <v>4752</v>
      </c>
      <c r="B921" s="6">
        <v>46174</v>
      </c>
      <c r="C921" s="8">
        <v>46187</v>
      </c>
      <c r="D921" s="2" t="s">
        <v>199</v>
      </c>
      <c r="E921" s="2" t="s">
        <v>12593</v>
      </c>
      <c r="F921" s="2" t="s">
        <v>12426</v>
      </c>
      <c r="G921" s="2" t="s">
        <v>14464</v>
      </c>
      <c r="H921" s="2" t="s">
        <v>76</v>
      </c>
      <c r="I921" s="9">
        <v>69993600</v>
      </c>
      <c r="J921" s="7">
        <v>6.2500000000000001E-5</v>
      </c>
      <c r="K921" s="9">
        <v>4374.6000000000004</v>
      </c>
      <c r="L921" s="14">
        <v>0</v>
      </c>
      <c r="M921" s="2" t="s">
        <v>71</v>
      </c>
      <c r="N921" s="2" t="s">
        <v>12595</v>
      </c>
      <c r="O921" s="2" t="s">
        <v>14465</v>
      </c>
      <c r="P921" s="9">
        <v>0</v>
      </c>
      <c r="Q921" s="9">
        <v>0</v>
      </c>
      <c r="R921" s="2" t="s">
        <v>13959</v>
      </c>
    </row>
    <row r="922" spans="1:18" x14ac:dyDescent="0.25">
      <c r="A922" s="2" t="s">
        <v>4757</v>
      </c>
      <c r="B922" s="6">
        <v>46174</v>
      </c>
      <c r="C922" s="8">
        <v>46188</v>
      </c>
      <c r="D922" s="2" t="s">
        <v>199</v>
      </c>
      <c r="E922" s="2" t="s">
        <v>12593</v>
      </c>
      <c r="F922" s="2" t="s">
        <v>12427</v>
      </c>
      <c r="G922" s="2" t="s">
        <v>14466</v>
      </c>
      <c r="H922" s="2" t="s">
        <v>70</v>
      </c>
      <c r="I922" s="9">
        <v>6838.5112779999999</v>
      </c>
      <c r="J922" s="7">
        <v>0.66500000000000004</v>
      </c>
      <c r="K922" s="9">
        <v>4547.6099999999997</v>
      </c>
      <c r="L922" s="14">
        <v>0</v>
      </c>
      <c r="M922" s="2" t="s">
        <v>71</v>
      </c>
      <c r="N922" s="2" t="s">
        <v>12595</v>
      </c>
      <c r="O922" s="2" t="s">
        <v>14467</v>
      </c>
      <c r="P922" s="9">
        <v>0</v>
      </c>
      <c r="Q922" s="9">
        <v>0</v>
      </c>
      <c r="R922" s="2" t="s">
        <v>13962</v>
      </c>
    </row>
    <row r="923" spans="1:18" x14ac:dyDescent="0.25">
      <c r="A923" s="2" t="s">
        <v>4762</v>
      </c>
      <c r="B923" s="6">
        <v>46174</v>
      </c>
      <c r="C923" s="8">
        <v>46189</v>
      </c>
      <c r="D923" s="2" t="s">
        <v>199</v>
      </c>
      <c r="E923" s="2" t="s">
        <v>12593</v>
      </c>
      <c r="F923" s="2" t="s">
        <v>12428</v>
      </c>
      <c r="G923" s="2" t="s">
        <v>14468</v>
      </c>
      <c r="H923" s="2" t="s">
        <v>39</v>
      </c>
      <c r="I923" s="9">
        <v>4720.62</v>
      </c>
      <c r="J923" s="7">
        <v>1</v>
      </c>
      <c r="K923" s="9">
        <v>4720.62</v>
      </c>
      <c r="L923" s="14">
        <v>0</v>
      </c>
      <c r="M923" s="2" t="s">
        <v>71</v>
      </c>
      <c r="N923" s="2" t="s">
        <v>12595</v>
      </c>
      <c r="O923" s="2" t="s">
        <v>14469</v>
      </c>
      <c r="P923" s="9">
        <v>0</v>
      </c>
      <c r="Q923" s="9">
        <v>0</v>
      </c>
      <c r="R923" s="2" t="s">
        <v>13965</v>
      </c>
    </row>
    <row r="924" spans="1:18" x14ac:dyDescent="0.25">
      <c r="A924" s="2" t="s">
        <v>4765</v>
      </c>
      <c r="B924" s="6">
        <v>46174</v>
      </c>
      <c r="C924" s="8">
        <v>46190</v>
      </c>
      <c r="D924" s="2" t="s">
        <v>199</v>
      </c>
      <c r="E924" s="2" t="s">
        <v>12593</v>
      </c>
      <c r="F924" s="2" t="s">
        <v>12429</v>
      </c>
      <c r="G924" s="2" t="s">
        <v>14470</v>
      </c>
      <c r="H924" s="2" t="s">
        <v>76</v>
      </c>
      <c r="I924" s="9">
        <v>78298080</v>
      </c>
      <c r="J924" s="7">
        <v>6.2500000000000001E-5</v>
      </c>
      <c r="K924" s="9">
        <v>4893.63</v>
      </c>
      <c r="L924" s="14">
        <v>0</v>
      </c>
      <c r="M924" s="2" t="s">
        <v>71</v>
      </c>
      <c r="N924" s="2" t="s">
        <v>12595</v>
      </c>
      <c r="O924" s="2" t="s">
        <v>14471</v>
      </c>
      <c r="P924" s="9">
        <v>0</v>
      </c>
      <c r="Q924" s="9">
        <v>0</v>
      </c>
      <c r="R924" s="2" t="s">
        <v>13968</v>
      </c>
    </row>
    <row r="925" spans="1:18" x14ac:dyDescent="0.25">
      <c r="A925" s="2" t="s">
        <v>4768</v>
      </c>
      <c r="B925" s="6">
        <v>46174</v>
      </c>
      <c r="C925" s="8">
        <v>46191</v>
      </c>
      <c r="D925" s="2" t="s">
        <v>199</v>
      </c>
      <c r="E925" s="2" t="s">
        <v>12593</v>
      </c>
      <c r="F925" s="2" t="s">
        <v>12430</v>
      </c>
      <c r="G925" s="2" t="s">
        <v>14472</v>
      </c>
      <c r="H925" s="2" t="s">
        <v>70</v>
      </c>
      <c r="I925" s="9">
        <v>7619.0075189999998</v>
      </c>
      <c r="J925" s="7">
        <v>0.66500000000000004</v>
      </c>
      <c r="K925" s="9">
        <v>5066.6400000000003</v>
      </c>
      <c r="L925" s="14">
        <v>0</v>
      </c>
      <c r="M925" s="2" t="s">
        <v>71</v>
      </c>
      <c r="N925" s="2" t="s">
        <v>12595</v>
      </c>
      <c r="O925" s="2" t="s">
        <v>14473</v>
      </c>
      <c r="P925" s="9">
        <v>0</v>
      </c>
      <c r="Q925" s="9">
        <v>0</v>
      </c>
      <c r="R925" s="2" t="s">
        <v>13971</v>
      </c>
    </row>
    <row r="926" spans="1:18" x14ac:dyDescent="0.25">
      <c r="A926" s="2" t="s">
        <v>4773</v>
      </c>
      <c r="B926" s="6">
        <v>46174</v>
      </c>
      <c r="C926" s="8">
        <v>46192</v>
      </c>
      <c r="D926" s="2" t="s">
        <v>199</v>
      </c>
      <c r="E926" s="2" t="s">
        <v>12593</v>
      </c>
      <c r="F926" s="2" t="s">
        <v>12431</v>
      </c>
      <c r="G926" s="2" t="s">
        <v>14474</v>
      </c>
      <c r="H926" s="2" t="s">
        <v>39</v>
      </c>
      <c r="I926" s="9">
        <v>5239.6499999999996</v>
      </c>
      <c r="J926" s="7">
        <v>1</v>
      </c>
      <c r="K926" s="9">
        <v>5239.6499999999996</v>
      </c>
      <c r="L926" s="14">
        <v>0</v>
      </c>
      <c r="M926" s="2" t="s">
        <v>71</v>
      </c>
      <c r="N926" s="2" t="s">
        <v>12595</v>
      </c>
      <c r="O926" s="2" t="s">
        <v>14475</v>
      </c>
      <c r="P926" s="9">
        <v>0</v>
      </c>
      <c r="Q926" s="9">
        <v>0</v>
      </c>
      <c r="R926" s="2" t="s">
        <v>13974</v>
      </c>
    </row>
    <row r="927" spans="1:18" x14ac:dyDescent="0.25">
      <c r="A927" s="2" t="s">
        <v>4776</v>
      </c>
      <c r="B927" s="6">
        <v>46174</v>
      </c>
      <c r="C927" s="8">
        <v>46193</v>
      </c>
      <c r="D927" s="2" t="s">
        <v>199</v>
      </c>
      <c r="E927" s="2" t="s">
        <v>12593</v>
      </c>
      <c r="F927" s="2" t="s">
        <v>12432</v>
      </c>
      <c r="G927" s="2" t="s">
        <v>14476</v>
      </c>
      <c r="H927" s="2" t="s">
        <v>76</v>
      </c>
      <c r="I927" s="9">
        <v>86602560</v>
      </c>
      <c r="J927" s="7">
        <v>6.2500000000000001E-5</v>
      </c>
      <c r="K927" s="9">
        <v>5412.66</v>
      </c>
      <c r="L927" s="14">
        <v>0</v>
      </c>
      <c r="M927" s="2" t="s">
        <v>71</v>
      </c>
      <c r="N927" s="2" t="s">
        <v>12595</v>
      </c>
      <c r="O927" s="2" t="s">
        <v>14477</v>
      </c>
      <c r="P927" s="9">
        <v>0</v>
      </c>
      <c r="Q927" s="9">
        <v>0</v>
      </c>
      <c r="R927" s="2" t="s">
        <v>13977</v>
      </c>
    </row>
    <row r="928" spans="1:18" x14ac:dyDescent="0.25">
      <c r="A928" s="2" t="s">
        <v>4779</v>
      </c>
      <c r="B928" s="6">
        <v>46174</v>
      </c>
      <c r="C928" s="8">
        <v>46194</v>
      </c>
      <c r="D928" s="2" t="s">
        <v>199</v>
      </c>
      <c r="E928" s="2" t="s">
        <v>12593</v>
      </c>
      <c r="F928" s="2" t="s">
        <v>12423</v>
      </c>
      <c r="G928" s="2" t="s">
        <v>14478</v>
      </c>
      <c r="H928" s="2" t="s">
        <v>70</v>
      </c>
      <c r="I928" s="9">
        <v>8399.5037589999993</v>
      </c>
      <c r="J928" s="7">
        <v>0.66500000000000004</v>
      </c>
      <c r="K928" s="9">
        <v>5585.67</v>
      </c>
      <c r="L928" s="14">
        <v>0</v>
      </c>
      <c r="M928" s="2" t="s">
        <v>71</v>
      </c>
      <c r="N928" s="2" t="s">
        <v>12595</v>
      </c>
      <c r="O928" s="2" t="s">
        <v>14479</v>
      </c>
      <c r="P928" s="9">
        <v>0</v>
      </c>
      <c r="Q928" s="9">
        <v>0</v>
      </c>
      <c r="R928" s="2" t="s">
        <v>13950</v>
      </c>
    </row>
    <row r="929" spans="1:18" x14ac:dyDescent="0.25">
      <c r="A929" s="2" t="s">
        <v>4782</v>
      </c>
      <c r="B929" s="6">
        <v>46174</v>
      </c>
      <c r="C929" s="8">
        <v>46195</v>
      </c>
      <c r="D929" s="2" t="s">
        <v>199</v>
      </c>
      <c r="E929" s="2" t="s">
        <v>12593</v>
      </c>
      <c r="F929" s="2" t="s">
        <v>12424</v>
      </c>
      <c r="G929" s="2" t="s">
        <v>14480</v>
      </c>
      <c r="H929" s="2" t="s">
        <v>39</v>
      </c>
      <c r="I929" s="9">
        <v>5758.68</v>
      </c>
      <c r="J929" s="7">
        <v>1</v>
      </c>
      <c r="K929" s="9">
        <v>5758.68</v>
      </c>
      <c r="L929" s="14">
        <v>0</v>
      </c>
      <c r="M929" s="2" t="s">
        <v>71</v>
      </c>
      <c r="N929" s="2" t="s">
        <v>12595</v>
      </c>
      <c r="O929" s="2" t="s">
        <v>14481</v>
      </c>
      <c r="P929" s="9">
        <v>0</v>
      </c>
      <c r="Q929" s="9">
        <v>0</v>
      </c>
      <c r="R929" s="2" t="s">
        <v>13953</v>
      </c>
    </row>
    <row r="930" spans="1:18" x14ac:dyDescent="0.25">
      <c r="A930" s="2" t="s">
        <v>4785</v>
      </c>
      <c r="B930" s="6">
        <v>46174</v>
      </c>
      <c r="C930" s="8">
        <v>46196</v>
      </c>
      <c r="D930" s="2" t="s">
        <v>199</v>
      </c>
      <c r="E930" s="2" t="s">
        <v>12593</v>
      </c>
      <c r="F930" s="2" t="s">
        <v>12425</v>
      </c>
      <c r="G930" s="2" t="s">
        <v>14482</v>
      </c>
      <c r="H930" s="2" t="s">
        <v>76</v>
      </c>
      <c r="I930" s="9">
        <v>94907040</v>
      </c>
      <c r="J930" s="7">
        <v>6.2500000000000001E-5</v>
      </c>
      <c r="K930" s="9">
        <v>5931.69</v>
      </c>
      <c r="L930" s="14">
        <v>0</v>
      </c>
      <c r="M930" s="2" t="s">
        <v>71</v>
      </c>
      <c r="N930" s="2" t="s">
        <v>12595</v>
      </c>
      <c r="O930" s="2" t="s">
        <v>14483</v>
      </c>
      <c r="P930" s="9">
        <v>0</v>
      </c>
      <c r="Q930" s="9">
        <v>0</v>
      </c>
      <c r="R930" s="2" t="s">
        <v>13956</v>
      </c>
    </row>
    <row r="931" spans="1:18" x14ac:dyDescent="0.25">
      <c r="A931" s="2" t="s">
        <v>4788</v>
      </c>
      <c r="B931" s="6">
        <v>46174</v>
      </c>
      <c r="C931" s="8">
        <v>46197</v>
      </c>
      <c r="D931" s="2" t="s">
        <v>199</v>
      </c>
      <c r="E931" s="2" t="s">
        <v>12593</v>
      </c>
      <c r="F931" s="2" t="s">
        <v>12426</v>
      </c>
      <c r="G931" s="2" t="s">
        <v>14484</v>
      </c>
      <c r="H931" s="2" t="s">
        <v>70</v>
      </c>
      <c r="I931" s="9">
        <v>9180</v>
      </c>
      <c r="J931" s="7">
        <v>0.66500000000000004</v>
      </c>
      <c r="K931" s="9">
        <v>6104.7</v>
      </c>
      <c r="L931" s="14">
        <v>0</v>
      </c>
      <c r="M931" s="2" t="s">
        <v>71</v>
      </c>
      <c r="N931" s="2" t="s">
        <v>12595</v>
      </c>
      <c r="O931" s="2" t="s">
        <v>14485</v>
      </c>
      <c r="P931" s="9">
        <v>0</v>
      </c>
      <c r="Q931" s="9">
        <v>0</v>
      </c>
      <c r="R931" s="2" t="s">
        <v>13959</v>
      </c>
    </row>
    <row r="932" spans="1:18" x14ac:dyDescent="0.25">
      <c r="A932" s="2" t="s">
        <v>4793</v>
      </c>
      <c r="B932" s="6">
        <v>46174</v>
      </c>
      <c r="C932" s="8">
        <v>46198</v>
      </c>
      <c r="D932" s="2" t="s">
        <v>199</v>
      </c>
      <c r="E932" s="2" t="s">
        <v>12593</v>
      </c>
      <c r="F932" s="2" t="s">
        <v>12427</v>
      </c>
      <c r="G932" s="2" t="s">
        <v>14486</v>
      </c>
      <c r="H932" s="2" t="s">
        <v>39</v>
      </c>
      <c r="I932" s="9">
        <v>6277.71</v>
      </c>
      <c r="J932" s="7">
        <v>1</v>
      </c>
      <c r="K932" s="9">
        <v>6277.71</v>
      </c>
      <c r="L932" s="14">
        <v>0</v>
      </c>
      <c r="M932" s="2" t="s">
        <v>71</v>
      </c>
      <c r="N932" s="2" t="s">
        <v>12595</v>
      </c>
      <c r="O932" s="2" t="s">
        <v>14487</v>
      </c>
      <c r="P932" s="9">
        <v>0</v>
      </c>
      <c r="Q932" s="9">
        <v>0</v>
      </c>
      <c r="R932" s="2" t="s">
        <v>13962</v>
      </c>
    </row>
    <row r="933" spans="1:18" x14ac:dyDescent="0.25">
      <c r="A933" s="2" t="s">
        <v>4798</v>
      </c>
      <c r="B933" s="6">
        <v>46174</v>
      </c>
      <c r="C933" s="8">
        <v>46199</v>
      </c>
      <c r="D933" s="2" t="s">
        <v>199</v>
      </c>
      <c r="E933" s="2" t="s">
        <v>12593</v>
      </c>
      <c r="F933" s="2" t="s">
        <v>12428</v>
      </c>
      <c r="G933" s="2" t="s">
        <v>14488</v>
      </c>
      <c r="H933" s="2" t="s">
        <v>76</v>
      </c>
      <c r="I933" s="9">
        <v>103211520</v>
      </c>
      <c r="J933" s="7">
        <v>6.2500000000000001E-5</v>
      </c>
      <c r="K933" s="9">
        <v>6450.72</v>
      </c>
      <c r="L933" s="14">
        <v>0</v>
      </c>
      <c r="M933" s="2" t="s">
        <v>71</v>
      </c>
      <c r="N933" s="2" t="s">
        <v>12595</v>
      </c>
      <c r="O933" s="2" t="s">
        <v>14489</v>
      </c>
      <c r="P933" s="9">
        <v>0</v>
      </c>
      <c r="Q933" s="9">
        <v>0</v>
      </c>
      <c r="R933" s="2" t="s">
        <v>13965</v>
      </c>
    </row>
    <row r="934" spans="1:18" x14ac:dyDescent="0.25">
      <c r="A934" s="2" t="s">
        <v>4801</v>
      </c>
      <c r="B934" s="6">
        <v>46174</v>
      </c>
      <c r="C934" s="8">
        <v>46200</v>
      </c>
      <c r="D934" s="2" t="s">
        <v>199</v>
      </c>
      <c r="E934" s="2" t="s">
        <v>12593</v>
      </c>
      <c r="F934" s="2" t="s">
        <v>12429</v>
      </c>
      <c r="G934" s="2" t="s">
        <v>14490</v>
      </c>
      <c r="H934" s="2" t="s">
        <v>70</v>
      </c>
      <c r="I934" s="9">
        <v>9960.4962410000007</v>
      </c>
      <c r="J934" s="7">
        <v>0.66500000000000004</v>
      </c>
      <c r="K934" s="9">
        <v>6623.73</v>
      </c>
      <c r="L934" s="14">
        <v>0</v>
      </c>
      <c r="M934" s="2" t="s">
        <v>71</v>
      </c>
      <c r="N934" s="2" t="s">
        <v>12595</v>
      </c>
      <c r="O934" s="2" t="s">
        <v>14491</v>
      </c>
      <c r="P934" s="9">
        <v>0</v>
      </c>
      <c r="Q934" s="9">
        <v>0</v>
      </c>
      <c r="R934" s="2" t="s">
        <v>13968</v>
      </c>
    </row>
    <row r="935" spans="1:18" x14ac:dyDescent="0.25">
      <c r="A935" s="2" t="s">
        <v>4804</v>
      </c>
      <c r="B935" s="6">
        <v>46174</v>
      </c>
      <c r="C935" s="8">
        <v>46201</v>
      </c>
      <c r="D935" s="2" t="s">
        <v>199</v>
      </c>
      <c r="E935" s="2" t="s">
        <v>12593</v>
      </c>
      <c r="F935" s="2" t="s">
        <v>12430</v>
      </c>
      <c r="G935" s="2" t="s">
        <v>14492</v>
      </c>
      <c r="H935" s="2" t="s">
        <v>39</v>
      </c>
      <c r="I935" s="9">
        <v>6796.74</v>
      </c>
      <c r="J935" s="7">
        <v>1</v>
      </c>
      <c r="K935" s="9">
        <v>6796.74</v>
      </c>
      <c r="L935" s="14">
        <v>0</v>
      </c>
      <c r="M935" s="2" t="s">
        <v>71</v>
      </c>
      <c r="N935" s="2" t="s">
        <v>12595</v>
      </c>
      <c r="O935" s="2" t="s">
        <v>14493</v>
      </c>
      <c r="P935" s="9">
        <v>0</v>
      </c>
      <c r="Q935" s="9">
        <v>0</v>
      </c>
      <c r="R935" s="2" t="s">
        <v>13971</v>
      </c>
    </row>
    <row r="936" spans="1:18" x14ac:dyDescent="0.25">
      <c r="A936" s="2" t="s">
        <v>4809</v>
      </c>
      <c r="B936" s="6">
        <v>46174</v>
      </c>
      <c r="C936" s="8">
        <v>46202</v>
      </c>
      <c r="D936" s="2" t="s">
        <v>199</v>
      </c>
      <c r="E936" s="2" t="s">
        <v>12593</v>
      </c>
      <c r="F936" s="2" t="s">
        <v>12431</v>
      </c>
      <c r="G936" s="2" t="s">
        <v>14494</v>
      </c>
      <c r="H936" s="2" t="s">
        <v>76</v>
      </c>
      <c r="I936" s="9">
        <v>111516000</v>
      </c>
      <c r="J936" s="7">
        <v>6.2500000000000001E-5</v>
      </c>
      <c r="K936" s="9">
        <v>6969.75</v>
      </c>
      <c r="L936" s="14">
        <v>0</v>
      </c>
      <c r="M936" s="2" t="s">
        <v>71</v>
      </c>
      <c r="N936" s="2" t="s">
        <v>12595</v>
      </c>
      <c r="O936" s="2" t="s">
        <v>14495</v>
      </c>
      <c r="P936" s="9">
        <v>0</v>
      </c>
      <c r="Q936" s="9">
        <v>0</v>
      </c>
      <c r="R936" s="2" t="s">
        <v>13974</v>
      </c>
    </row>
    <row r="937" spans="1:18" x14ac:dyDescent="0.25">
      <c r="A937" s="2" t="s">
        <v>4812</v>
      </c>
      <c r="B937" s="6">
        <v>46174</v>
      </c>
      <c r="C937" s="8">
        <v>46203</v>
      </c>
      <c r="D937" s="2" t="s">
        <v>199</v>
      </c>
      <c r="E937" s="2" t="s">
        <v>12593</v>
      </c>
      <c r="F937" s="2" t="s">
        <v>12432</v>
      </c>
      <c r="G937" s="2" t="s">
        <v>14496</v>
      </c>
      <c r="H937" s="2" t="s">
        <v>70</v>
      </c>
      <c r="I937" s="9">
        <v>10740.992480999999</v>
      </c>
      <c r="J937" s="7">
        <v>0.66500000000000004</v>
      </c>
      <c r="K937" s="9">
        <v>7142.76</v>
      </c>
      <c r="L937" s="14">
        <v>0</v>
      </c>
      <c r="M937" s="2" t="s">
        <v>71</v>
      </c>
      <c r="N937" s="2" t="s">
        <v>12595</v>
      </c>
      <c r="O937" s="2" t="s">
        <v>14497</v>
      </c>
      <c r="P937" s="9">
        <v>0</v>
      </c>
      <c r="Q937" s="9">
        <v>0</v>
      </c>
      <c r="R937" s="2" t="s">
        <v>13977</v>
      </c>
    </row>
    <row r="938" spans="1:18" x14ac:dyDescent="0.25">
      <c r="A938" s="2" t="s">
        <v>4815</v>
      </c>
      <c r="B938" s="6">
        <v>46174</v>
      </c>
      <c r="C938" s="8">
        <v>46174</v>
      </c>
      <c r="D938" s="2" t="s">
        <v>199</v>
      </c>
      <c r="E938" s="2" t="s">
        <v>12593</v>
      </c>
      <c r="F938" s="2" t="s">
        <v>12423</v>
      </c>
      <c r="G938" s="2" t="s">
        <v>14498</v>
      </c>
      <c r="H938" s="2" t="s">
        <v>39</v>
      </c>
      <c r="I938" s="9">
        <v>7315.77</v>
      </c>
      <c r="J938" s="7">
        <v>1</v>
      </c>
      <c r="K938" s="9">
        <v>7315.77</v>
      </c>
      <c r="L938" s="14">
        <v>0</v>
      </c>
      <c r="M938" s="2" t="s">
        <v>71</v>
      </c>
      <c r="N938" s="2" t="s">
        <v>12595</v>
      </c>
      <c r="O938" s="2" t="s">
        <v>14499</v>
      </c>
      <c r="P938" s="9">
        <v>0</v>
      </c>
      <c r="Q938" s="9">
        <v>0</v>
      </c>
      <c r="R938" s="2" t="s">
        <v>13950</v>
      </c>
    </row>
    <row r="939" spans="1:18" x14ac:dyDescent="0.25">
      <c r="A939" s="2" t="s">
        <v>4818</v>
      </c>
      <c r="B939" s="6">
        <v>46174</v>
      </c>
      <c r="C939" s="8">
        <v>46175</v>
      </c>
      <c r="D939" s="2" t="s">
        <v>199</v>
      </c>
      <c r="E939" s="2" t="s">
        <v>12593</v>
      </c>
      <c r="F939" s="2" t="s">
        <v>12424</v>
      </c>
      <c r="G939" s="2" t="s">
        <v>14500</v>
      </c>
      <c r="H939" s="2" t="s">
        <v>76</v>
      </c>
      <c r="I939" s="9">
        <v>119820480</v>
      </c>
      <c r="J939" s="7">
        <v>6.2500000000000001E-5</v>
      </c>
      <c r="K939" s="9">
        <v>7488.78</v>
      </c>
      <c r="L939" s="14">
        <v>0</v>
      </c>
      <c r="M939" s="2" t="s">
        <v>71</v>
      </c>
      <c r="N939" s="2" t="s">
        <v>12595</v>
      </c>
      <c r="O939" s="2" t="s">
        <v>14501</v>
      </c>
      <c r="P939" s="9">
        <v>0</v>
      </c>
      <c r="Q939" s="9">
        <v>0</v>
      </c>
      <c r="R939" s="2" t="s">
        <v>13953</v>
      </c>
    </row>
    <row r="940" spans="1:18" x14ac:dyDescent="0.25">
      <c r="A940" s="2" t="s">
        <v>4821</v>
      </c>
      <c r="B940" s="6">
        <v>46174</v>
      </c>
      <c r="C940" s="8">
        <v>46176</v>
      </c>
      <c r="D940" s="2" t="s">
        <v>199</v>
      </c>
      <c r="E940" s="2" t="s">
        <v>12593</v>
      </c>
      <c r="F940" s="2" t="s">
        <v>12425</v>
      </c>
      <c r="G940" s="2" t="s">
        <v>14502</v>
      </c>
      <c r="H940" s="2" t="s">
        <v>70</v>
      </c>
      <c r="I940" s="9">
        <v>11521.488722</v>
      </c>
      <c r="J940" s="7">
        <v>0.66500000000000004</v>
      </c>
      <c r="K940" s="9">
        <v>7661.79</v>
      </c>
      <c r="L940" s="14">
        <v>0</v>
      </c>
      <c r="M940" s="2" t="s">
        <v>71</v>
      </c>
      <c r="N940" s="2" t="s">
        <v>12595</v>
      </c>
      <c r="O940" s="2" t="s">
        <v>14503</v>
      </c>
      <c r="P940" s="9">
        <v>0</v>
      </c>
      <c r="Q940" s="9">
        <v>0</v>
      </c>
      <c r="R940" s="2" t="s">
        <v>13956</v>
      </c>
    </row>
    <row r="941" spans="1:18" x14ac:dyDescent="0.25">
      <c r="A941" s="2" t="s">
        <v>4824</v>
      </c>
      <c r="B941" s="6">
        <v>46174</v>
      </c>
      <c r="C941" s="8">
        <v>46177</v>
      </c>
      <c r="D941" s="2" t="s">
        <v>199</v>
      </c>
      <c r="E941" s="2" t="s">
        <v>12593</v>
      </c>
      <c r="F941" s="2" t="s">
        <v>12426</v>
      </c>
      <c r="G941" s="2" t="s">
        <v>14504</v>
      </c>
      <c r="H941" s="2" t="s">
        <v>39</v>
      </c>
      <c r="I941" s="9">
        <v>7834.8</v>
      </c>
      <c r="J941" s="7">
        <v>1</v>
      </c>
      <c r="K941" s="9">
        <v>7834.8</v>
      </c>
      <c r="L941" s="14">
        <v>0</v>
      </c>
      <c r="M941" s="2" t="s">
        <v>71</v>
      </c>
      <c r="N941" s="2" t="s">
        <v>12595</v>
      </c>
      <c r="O941" s="2" t="s">
        <v>14505</v>
      </c>
      <c r="P941" s="9">
        <v>0</v>
      </c>
      <c r="Q941" s="9">
        <v>0</v>
      </c>
      <c r="R941" s="2" t="s">
        <v>13959</v>
      </c>
    </row>
    <row r="942" spans="1:18" x14ac:dyDescent="0.25">
      <c r="A942" s="2" t="s">
        <v>4829</v>
      </c>
      <c r="B942" s="6">
        <v>46174</v>
      </c>
      <c r="C942" s="8">
        <v>46178</v>
      </c>
      <c r="D942" s="2" t="s">
        <v>199</v>
      </c>
      <c r="E942" s="2" t="s">
        <v>12593</v>
      </c>
      <c r="F942" s="2" t="s">
        <v>12427</v>
      </c>
      <c r="G942" s="2" t="s">
        <v>14506</v>
      </c>
      <c r="H942" s="2" t="s">
        <v>76</v>
      </c>
      <c r="I942" s="9">
        <v>128124960</v>
      </c>
      <c r="J942" s="7">
        <v>6.2500000000000001E-5</v>
      </c>
      <c r="K942" s="9">
        <v>8007.81</v>
      </c>
      <c r="L942" s="14">
        <v>0</v>
      </c>
      <c r="M942" s="2" t="s">
        <v>71</v>
      </c>
      <c r="N942" s="2" t="s">
        <v>12595</v>
      </c>
      <c r="O942" s="2" t="s">
        <v>14507</v>
      </c>
      <c r="P942" s="9">
        <v>0</v>
      </c>
      <c r="Q942" s="9">
        <v>0</v>
      </c>
      <c r="R942" s="2" t="s">
        <v>13962</v>
      </c>
    </row>
    <row r="943" spans="1:18" x14ac:dyDescent="0.25">
      <c r="A943" s="2" t="s">
        <v>4834</v>
      </c>
      <c r="B943" s="6">
        <v>46174</v>
      </c>
      <c r="C943" s="8">
        <v>46179</v>
      </c>
      <c r="D943" s="2" t="s">
        <v>199</v>
      </c>
      <c r="E943" s="2" t="s">
        <v>12593</v>
      </c>
      <c r="F943" s="2" t="s">
        <v>12428</v>
      </c>
      <c r="G943" s="2" t="s">
        <v>14508</v>
      </c>
      <c r="H943" s="2" t="s">
        <v>70</v>
      </c>
      <c r="I943" s="9">
        <v>12301.984962</v>
      </c>
      <c r="J943" s="7">
        <v>0.66500000000000004</v>
      </c>
      <c r="K943" s="9">
        <v>8180.82</v>
      </c>
      <c r="L943" s="14">
        <v>0</v>
      </c>
      <c r="M943" s="2" t="s">
        <v>71</v>
      </c>
      <c r="N943" s="2" t="s">
        <v>12595</v>
      </c>
      <c r="O943" s="2" t="s">
        <v>14509</v>
      </c>
      <c r="P943" s="9">
        <v>0</v>
      </c>
      <c r="Q943" s="9">
        <v>0</v>
      </c>
      <c r="R943" s="2" t="s">
        <v>13965</v>
      </c>
    </row>
    <row r="944" spans="1:18" x14ac:dyDescent="0.25">
      <c r="A944" s="2" t="s">
        <v>4837</v>
      </c>
      <c r="B944" s="6">
        <v>46174</v>
      </c>
      <c r="C944" s="8">
        <v>46180</v>
      </c>
      <c r="D944" s="2" t="s">
        <v>199</v>
      </c>
      <c r="E944" s="2" t="s">
        <v>12593</v>
      </c>
      <c r="F944" s="2" t="s">
        <v>12429</v>
      </c>
      <c r="G944" s="2" t="s">
        <v>14510</v>
      </c>
      <c r="H944" s="2" t="s">
        <v>39</v>
      </c>
      <c r="I944" s="9">
        <v>8353.83</v>
      </c>
      <c r="J944" s="7">
        <v>1</v>
      </c>
      <c r="K944" s="9">
        <v>8353.83</v>
      </c>
      <c r="L944" s="14">
        <v>0</v>
      </c>
      <c r="M944" s="2" t="s">
        <v>71</v>
      </c>
      <c r="N944" s="2" t="s">
        <v>12595</v>
      </c>
      <c r="O944" s="2" t="s">
        <v>14511</v>
      </c>
      <c r="P944" s="9">
        <v>0</v>
      </c>
      <c r="Q944" s="9">
        <v>0</v>
      </c>
      <c r="R944" s="2" t="s">
        <v>13968</v>
      </c>
    </row>
    <row r="945" spans="1:18" x14ac:dyDescent="0.25">
      <c r="A945" s="2" t="s">
        <v>4840</v>
      </c>
      <c r="B945" s="6">
        <v>46174</v>
      </c>
      <c r="C945" s="8">
        <v>46181</v>
      </c>
      <c r="D945" s="2" t="s">
        <v>199</v>
      </c>
      <c r="E945" s="2" t="s">
        <v>12593</v>
      </c>
      <c r="F945" s="2" t="s">
        <v>12430</v>
      </c>
      <c r="G945" s="2" t="s">
        <v>14512</v>
      </c>
      <c r="H945" s="2" t="s">
        <v>76</v>
      </c>
      <c r="I945" s="9">
        <v>136429440</v>
      </c>
      <c r="J945" s="7">
        <v>6.2500000000000001E-5</v>
      </c>
      <c r="K945" s="9">
        <v>8526.84</v>
      </c>
      <c r="L945" s="14">
        <v>0</v>
      </c>
      <c r="M945" s="2" t="s">
        <v>71</v>
      </c>
      <c r="N945" s="2" t="s">
        <v>12595</v>
      </c>
      <c r="O945" s="2" t="s">
        <v>14513</v>
      </c>
      <c r="P945" s="9">
        <v>0</v>
      </c>
      <c r="Q945" s="9">
        <v>0</v>
      </c>
      <c r="R945" s="2" t="s">
        <v>13971</v>
      </c>
    </row>
    <row r="946" spans="1:18" x14ac:dyDescent="0.25">
      <c r="A946" s="2" t="s">
        <v>4845</v>
      </c>
      <c r="B946" s="6">
        <v>46174</v>
      </c>
      <c r="C946" s="8">
        <v>46182</v>
      </c>
      <c r="D946" s="2" t="s">
        <v>199</v>
      </c>
      <c r="E946" s="2" t="s">
        <v>12593</v>
      </c>
      <c r="F946" s="2" t="s">
        <v>12431</v>
      </c>
      <c r="G946" s="2" t="s">
        <v>14514</v>
      </c>
      <c r="H946" s="2" t="s">
        <v>70</v>
      </c>
      <c r="I946" s="9">
        <v>13082.481202999999</v>
      </c>
      <c r="J946" s="7">
        <v>0.66500000000000004</v>
      </c>
      <c r="K946" s="9">
        <v>8699.85</v>
      </c>
      <c r="L946" s="14">
        <v>0</v>
      </c>
      <c r="M946" s="2" t="s">
        <v>71</v>
      </c>
      <c r="N946" s="2" t="s">
        <v>12595</v>
      </c>
      <c r="O946" s="2" t="s">
        <v>14515</v>
      </c>
      <c r="P946" s="9">
        <v>0</v>
      </c>
      <c r="Q946" s="9">
        <v>0</v>
      </c>
      <c r="R946" s="2" t="s">
        <v>13974</v>
      </c>
    </row>
    <row r="947" spans="1:18" x14ac:dyDescent="0.25">
      <c r="A947" s="2" t="s">
        <v>4848</v>
      </c>
      <c r="B947" s="6">
        <v>46174</v>
      </c>
      <c r="C947" s="8">
        <v>46183</v>
      </c>
      <c r="D947" s="2" t="s">
        <v>199</v>
      </c>
      <c r="E947" s="2" t="s">
        <v>12593</v>
      </c>
      <c r="F947" s="2" t="s">
        <v>12432</v>
      </c>
      <c r="G947" s="2" t="s">
        <v>14516</v>
      </c>
      <c r="H947" s="2" t="s">
        <v>39</v>
      </c>
      <c r="I947" s="9">
        <v>8872.86</v>
      </c>
      <c r="J947" s="7">
        <v>1</v>
      </c>
      <c r="K947" s="9">
        <v>8872.86</v>
      </c>
      <c r="L947" s="14">
        <v>0</v>
      </c>
      <c r="M947" s="2" t="s">
        <v>71</v>
      </c>
      <c r="N947" s="2" t="s">
        <v>12595</v>
      </c>
      <c r="O947" s="2" t="s">
        <v>14517</v>
      </c>
      <c r="P947" s="9">
        <v>0</v>
      </c>
      <c r="Q947" s="9">
        <v>0</v>
      </c>
      <c r="R947" s="2" t="s">
        <v>13977</v>
      </c>
    </row>
    <row r="948" spans="1:18" x14ac:dyDescent="0.25">
      <c r="A948" s="2" t="s">
        <v>4851</v>
      </c>
      <c r="B948" s="6">
        <v>46174</v>
      </c>
      <c r="C948" s="8">
        <v>46184</v>
      </c>
      <c r="D948" s="2" t="s">
        <v>199</v>
      </c>
      <c r="E948" s="2" t="s">
        <v>12593</v>
      </c>
      <c r="F948" s="2" t="s">
        <v>12423</v>
      </c>
      <c r="G948" s="2" t="s">
        <v>14518</v>
      </c>
      <c r="H948" s="2" t="s">
        <v>76</v>
      </c>
      <c r="I948" s="9">
        <v>144733920</v>
      </c>
      <c r="J948" s="7">
        <v>6.2500000000000001E-5</v>
      </c>
      <c r="K948" s="9">
        <v>9045.8700000000008</v>
      </c>
      <c r="L948" s="14">
        <v>0</v>
      </c>
      <c r="M948" s="2" t="s">
        <v>71</v>
      </c>
      <c r="N948" s="2" t="s">
        <v>12595</v>
      </c>
      <c r="O948" s="2" t="s">
        <v>14519</v>
      </c>
      <c r="P948" s="9">
        <v>0</v>
      </c>
      <c r="Q948" s="9">
        <v>0</v>
      </c>
      <c r="R948" s="2" t="s">
        <v>13950</v>
      </c>
    </row>
    <row r="949" spans="1:18" x14ac:dyDescent="0.25">
      <c r="A949" s="2" t="s">
        <v>4854</v>
      </c>
      <c r="B949" s="6">
        <v>46174</v>
      </c>
      <c r="C949" s="8">
        <v>46185</v>
      </c>
      <c r="D949" s="2" t="s">
        <v>199</v>
      </c>
      <c r="E949" s="2" t="s">
        <v>12593</v>
      </c>
      <c r="F949" s="2" t="s">
        <v>12424</v>
      </c>
      <c r="G949" s="2" t="s">
        <v>14520</v>
      </c>
      <c r="H949" s="2" t="s">
        <v>70</v>
      </c>
      <c r="I949" s="9">
        <v>13862.977444</v>
      </c>
      <c r="J949" s="7">
        <v>0.66500000000000004</v>
      </c>
      <c r="K949" s="9">
        <v>9218.8799999999992</v>
      </c>
      <c r="L949" s="14">
        <v>0</v>
      </c>
      <c r="M949" s="2" t="s">
        <v>71</v>
      </c>
      <c r="N949" s="2" t="s">
        <v>12595</v>
      </c>
      <c r="O949" s="2" t="s">
        <v>14521</v>
      </c>
      <c r="P949" s="9">
        <v>0</v>
      </c>
      <c r="Q949" s="9">
        <v>0</v>
      </c>
      <c r="R949" s="2" t="s">
        <v>13953</v>
      </c>
    </row>
    <row r="950" spans="1:18" x14ac:dyDescent="0.25">
      <c r="A950" s="2" t="s">
        <v>4857</v>
      </c>
      <c r="B950" s="6">
        <v>46174</v>
      </c>
      <c r="C950" s="8">
        <v>46186</v>
      </c>
      <c r="D950" s="2" t="s">
        <v>199</v>
      </c>
      <c r="E950" s="2" t="s">
        <v>12593</v>
      </c>
      <c r="F950" s="2" t="s">
        <v>12425</v>
      </c>
      <c r="G950" s="2" t="s">
        <v>14522</v>
      </c>
      <c r="H950" s="2" t="s">
        <v>39</v>
      </c>
      <c r="I950" s="9">
        <v>9391.89</v>
      </c>
      <c r="J950" s="7">
        <v>1</v>
      </c>
      <c r="K950" s="9">
        <v>9391.89</v>
      </c>
      <c r="L950" s="14">
        <v>0</v>
      </c>
      <c r="M950" s="2" t="s">
        <v>71</v>
      </c>
      <c r="N950" s="2" t="s">
        <v>12595</v>
      </c>
      <c r="O950" s="2" t="s">
        <v>14523</v>
      </c>
      <c r="P950" s="9">
        <v>0</v>
      </c>
      <c r="Q950" s="9">
        <v>0</v>
      </c>
      <c r="R950" s="2" t="s">
        <v>13956</v>
      </c>
    </row>
    <row r="951" spans="1:18" x14ac:dyDescent="0.25">
      <c r="A951" s="2" t="s">
        <v>4860</v>
      </c>
      <c r="B951" s="6">
        <v>46174</v>
      </c>
      <c r="C951" s="8">
        <v>46187</v>
      </c>
      <c r="D951" s="2" t="s">
        <v>199</v>
      </c>
      <c r="E951" s="2" t="s">
        <v>12593</v>
      </c>
      <c r="F951" s="2" t="s">
        <v>12426</v>
      </c>
      <c r="G951" s="2" t="s">
        <v>14524</v>
      </c>
      <c r="H951" s="2" t="s">
        <v>76</v>
      </c>
      <c r="I951" s="9">
        <v>153038400</v>
      </c>
      <c r="J951" s="7">
        <v>6.2500000000000001E-5</v>
      </c>
      <c r="K951" s="9">
        <v>9564.9</v>
      </c>
      <c r="L951" s="14">
        <v>0</v>
      </c>
      <c r="M951" s="2" t="s">
        <v>71</v>
      </c>
      <c r="N951" s="2" t="s">
        <v>12595</v>
      </c>
      <c r="O951" s="2" t="s">
        <v>14525</v>
      </c>
      <c r="P951" s="9">
        <v>0</v>
      </c>
      <c r="Q951" s="9">
        <v>0</v>
      </c>
      <c r="R951" s="2" t="s">
        <v>13959</v>
      </c>
    </row>
    <row r="952" spans="1:18" x14ac:dyDescent="0.25">
      <c r="A952" s="2" t="s">
        <v>4865</v>
      </c>
      <c r="B952" s="6">
        <v>46174</v>
      </c>
      <c r="C952" s="8">
        <v>46188</v>
      </c>
      <c r="D952" s="2" t="s">
        <v>199</v>
      </c>
      <c r="E952" s="2" t="s">
        <v>12593</v>
      </c>
      <c r="F952" s="2" t="s">
        <v>12427</v>
      </c>
      <c r="G952" s="2" t="s">
        <v>14526</v>
      </c>
      <c r="H952" s="2" t="s">
        <v>70</v>
      </c>
      <c r="I952" s="9">
        <v>14643.473684000001</v>
      </c>
      <c r="J952" s="7">
        <v>0.66500000000000004</v>
      </c>
      <c r="K952" s="9">
        <v>9737.91</v>
      </c>
      <c r="L952" s="14">
        <v>0</v>
      </c>
      <c r="M952" s="2" t="s">
        <v>71</v>
      </c>
      <c r="N952" s="2" t="s">
        <v>12595</v>
      </c>
      <c r="O952" s="2" t="s">
        <v>14527</v>
      </c>
      <c r="P952" s="9">
        <v>0</v>
      </c>
      <c r="Q952" s="9">
        <v>0</v>
      </c>
      <c r="R952" s="2" t="s">
        <v>13962</v>
      </c>
    </row>
    <row r="953" spans="1:18" x14ac:dyDescent="0.25">
      <c r="A953" s="2" t="s">
        <v>4870</v>
      </c>
      <c r="B953" s="6">
        <v>46174</v>
      </c>
      <c r="C953" s="8">
        <v>46189</v>
      </c>
      <c r="D953" s="2" t="s">
        <v>199</v>
      </c>
      <c r="E953" s="2" t="s">
        <v>12593</v>
      </c>
      <c r="F953" s="2" t="s">
        <v>12428</v>
      </c>
      <c r="G953" s="2" t="s">
        <v>14528</v>
      </c>
      <c r="H953" s="2" t="s">
        <v>39</v>
      </c>
      <c r="I953" s="9">
        <v>9910.92</v>
      </c>
      <c r="J953" s="7">
        <v>1</v>
      </c>
      <c r="K953" s="9">
        <v>9910.92</v>
      </c>
      <c r="L953" s="14">
        <v>0</v>
      </c>
      <c r="M953" s="2" t="s">
        <v>71</v>
      </c>
      <c r="N953" s="2" t="s">
        <v>12595</v>
      </c>
      <c r="O953" s="2" t="s">
        <v>14529</v>
      </c>
      <c r="P953" s="9">
        <v>0</v>
      </c>
      <c r="Q953" s="9">
        <v>0</v>
      </c>
      <c r="R953" s="2" t="s">
        <v>13965</v>
      </c>
    </row>
    <row r="954" spans="1:18" x14ac:dyDescent="0.25">
      <c r="A954" s="2" t="s">
        <v>4873</v>
      </c>
      <c r="B954" s="6">
        <v>46174</v>
      </c>
      <c r="C954" s="8">
        <v>46190</v>
      </c>
      <c r="D954" s="2" t="s">
        <v>199</v>
      </c>
      <c r="E954" s="2" t="s">
        <v>12593</v>
      </c>
      <c r="F954" s="2" t="s">
        <v>12429</v>
      </c>
      <c r="G954" s="2" t="s">
        <v>14530</v>
      </c>
      <c r="H954" s="2" t="s">
        <v>76</v>
      </c>
      <c r="I954" s="9">
        <v>-161342880</v>
      </c>
      <c r="J954" s="7">
        <v>6.2500000000000001E-5</v>
      </c>
      <c r="K954" s="9">
        <v>-10083.93</v>
      </c>
      <c r="L954" s="14">
        <v>0</v>
      </c>
      <c r="M954" s="2" t="s">
        <v>71</v>
      </c>
      <c r="N954" s="2" t="s">
        <v>12595</v>
      </c>
      <c r="O954" s="2" t="s">
        <v>14531</v>
      </c>
      <c r="P954" s="9">
        <v>0</v>
      </c>
      <c r="Q954" s="9">
        <v>0</v>
      </c>
      <c r="R954" s="2" t="s">
        <v>13968</v>
      </c>
    </row>
    <row r="955" spans="1:18" x14ac:dyDescent="0.25">
      <c r="A955" s="2" t="s">
        <v>4876</v>
      </c>
      <c r="B955" s="6">
        <v>46174</v>
      </c>
      <c r="C955" s="8">
        <v>46191</v>
      </c>
      <c r="D955" s="2" t="s">
        <v>199</v>
      </c>
      <c r="E955" s="2" t="s">
        <v>12593</v>
      </c>
      <c r="F955" s="2" t="s">
        <v>12430</v>
      </c>
      <c r="G955" s="2" t="s">
        <v>14532</v>
      </c>
      <c r="H955" s="2" t="s">
        <v>70</v>
      </c>
      <c r="I955" s="9">
        <v>15423.969924999999</v>
      </c>
      <c r="J955" s="7">
        <v>0.66500000000000004</v>
      </c>
      <c r="K955" s="9">
        <v>10256.94</v>
      </c>
      <c r="L955" s="14">
        <v>0</v>
      </c>
      <c r="M955" s="2" t="s">
        <v>71</v>
      </c>
      <c r="N955" s="2" t="s">
        <v>12595</v>
      </c>
      <c r="O955" s="2" t="s">
        <v>14533</v>
      </c>
      <c r="P955" s="9">
        <v>0</v>
      </c>
      <c r="Q955" s="9">
        <v>0</v>
      </c>
      <c r="R955" s="2" t="s">
        <v>13971</v>
      </c>
    </row>
    <row r="956" spans="1:18" x14ac:dyDescent="0.25">
      <c r="A956" s="2" t="s">
        <v>4881</v>
      </c>
      <c r="B956" s="6">
        <v>46174</v>
      </c>
      <c r="C956" s="8">
        <v>46192</v>
      </c>
      <c r="D956" s="2" t="s">
        <v>199</v>
      </c>
      <c r="E956" s="2" t="s">
        <v>12593</v>
      </c>
      <c r="F956" s="2" t="s">
        <v>12431</v>
      </c>
      <c r="G956" s="2" t="s">
        <v>14534</v>
      </c>
      <c r="H956" s="2" t="s">
        <v>39</v>
      </c>
      <c r="I956" s="9">
        <v>10429.950000000001</v>
      </c>
      <c r="J956" s="7">
        <v>1</v>
      </c>
      <c r="K956" s="9">
        <v>10429.950000000001</v>
      </c>
      <c r="L956" s="14">
        <v>0</v>
      </c>
      <c r="M956" s="2" t="s">
        <v>71</v>
      </c>
      <c r="N956" s="2" t="s">
        <v>12595</v>
      </c>
      <c r="O956" s="2" t="s">
        <v>14535</v>
      </c>
      <c r="P956" s="9">
        <v>0</v>
      </c>
      <c r="Q956" s="9">
        <v>0</v>
      </c>
      <c r="R956" s="2" t="s">
        <v>13974</v>
      </c>
    </row>
    <row r="957" spans="1:18" x14ac:dyDescent="0.25">
      <c r="A957" s="2" t="s">
        <v>4884</v>
      </c>
      <c r="B957" s="6">
        <v>46174</v>
      </c>
      <c r="C957" s="8">
        <v>46193</v>
      </c>
      <c r="D957" s="2" t="s">
        <v>199</v>
      </c>
      <c r="E957" s="2" t="s">
        <v>12593</v>
      </c>
      <c r="F957" s="2" t="s">
        <v>12432</v>
      </c>
      <c r="G957" s="2" t="s">
        <v>14536</v>
      </c>
      <c r="H957" s="2" t="s">
        <v>76</v>
      </c>
      <c r="I957" s="9">
        <v>169647360</v>
      </c>
      <c r="J957" s="7">
        <v>6.2500000000000001E-5</v>
      </c>
      <c r="K957" s="9">
        <v>10602.96</v>
      </c>
      <c r="L957" s="14">
        <v>0</v>
      </c>
      <c r="M957" s="2" t="s">
        <v>71</v>
      </c>
      <c r="N957" s="2" t="s">
        <v>12595</v>
      </c>
      <c r="O957" s="2" t="s">
        <v>14537</v>
      </c>
      <c r="P957" s="9">
        <v>0</v>
      </c>
      <c r="Q957" s="9">
        <v>0</v>
      </c>
      <c r="R957" s="2" t="s">
        <v>13977</v>
      </c>
    </row>
    <row r="958" spans="1:18" x14ac:dyDescent="0.25">
      <c r="A958" s="2" t="s">
        <v>4887</v>
      </c>
      <c r="B958" s="6">
        <v>46174</v>
      </c>
      <c r="C958" s="8">
        <v>46194</v>
      </c>
      <c r="D958" s="2" t="s">
        <v>199</v>
      </c>
      <c r="E958" s="2" t="s">
        <v>12593</v>
      </c>
      <c r="F958" s="2" t="s">
        <v>12423</v>
      </c>
      <c r="G958" s="2" t="s">
        <v>14538</v>
      </c>
      <c r="H958" s="2" t="s">
        <v>70</v>
      </c>
      <c r="I958" s="9">
        <v>16203.007519000001</v>
      </c>
      <c r="J958" s="7">
        <v>0.66500000000000004</v>
      </c>
      <c r="K958" s="9">
        <v>10775</v>
      </c>
      <c r="L958" s="14">
        <v>0</v>
      </c>
      <c r="M958" s="2" t="s">
        <v>71</v>
      </c>
      <c r="N958" s="2" t="s">
        <v>12595</v>
      </c>
      <c r="O958" s="2" t="s">
        <v>14539</v>
      </c>
      <c r="P958" s="9">
        <v>0</v>
      </c>
      <c r="Q958" s="9">
        <v>0</v>
      </c>
      <c r="R958" s="2" t="s">
        <v>13950</v>
      </c>
    </row>
    <row r="959" spans="1:18" x14ac:dyDescent="0.25">
      <c r="A959" s="2" t="s">
        <v>4890</v>
      </c>
      <c r="B959" s="6">
        <v>46174</v>
      </c>
      <c r="C959" s="8">
        <v>46195</v>
      </c>
      <c r="D959" s="2" t="s">
        <v>199</v>
      </c>
      <c r="E959" s="2" t="s">
        <v>12593</v>
      </c>
      <c r="F959" s="2" t="s">
        <v>12424</v>
      </c>
      <c r="G959" s="2" t="s">
        <v>14540</v>
      </c>
      <c r="H959" s="2" t="s">
        <v>39</v>
      </c>
      <c r="I959" s="9">
        <v>10948.01</v>
      </c>
      <c r="J959" s="7">
        <v>1</v>
      </c>
      <c r="K959" s="9">
        <v>10948.01</v>
      </c>
      <c r="L959" s="14">
        <v>0</v>
      </c>
      <c r="M959" s="2" t="s">
        <v>71</v>
      </c>
      <c r="N959" s="2" t="s">
        <v>12595</v>
      </c>
      <c r="O959" s="2" t="s">
        <v>14541</v>
      </c>
      <c r="P959" s="9">
        <v>0</v>
      </c>
      <c r="Q959" s="9">
        <v>0</v>
      </c>
      <c r="R959" s="2" t="s">
        <v>13953</v>
      </c>
    </row>
    <row r="960" spans="1:18" x14ac:dyDescent="0.25">
      <c r="A960" s="2" t="s">
        <v>4893</v>
      </c>
      <c r="B960" s="6">
        <v>46174</v>
      </c>
      <c r="C960" s="8">
        <v>46196</v>
      </c>
      <c r="D960" s="2" t="s">
        <v>199</v>
      </c>
      <c r="E960" s="2" t="s">
        <v>12593</v>
      </c>
      <c r="F960" s="2" t="s">
        <v>12425</v>
      </c>
      <c r="G960" s="2" t="s">
        <v>14542</v>
      </c>
      <c r="H960" s="2" t="s">
        <v>76</v>
      </c>
      <c r="I960" s="9">
        <v>177936320</v>
      </c>
      <c r="J960" s="7">
        <v>6.2500000000000001E-5</v>
      </c>
      <c r="K960" s="9">
        <v>11121.02</v>
      </c>
      <c r="L960" s="14">
        <v>0</v>
      </c>
      <c r="M960" s="2" t="s">
        <v>71</v>
      </c>
      <c r="N960" s="2" t="s">
        <v>12595</v>
      </c>
      <c r="O960" s="2" t="s">
        <v>14543</v>
      </c>
      <c r="P960" s="9">
        <v>0</v>
      </c>
      <c r="Q960" s="9">
        <v>0</v>
      </c>
      <c r="R960" s="2" t="s">
        <v>13956</v>
      </c>
    </row>
    <row r="961" spans="1:18" x14ac:dyDescent="0.25">
      <c r="A961" s="2" t="s">
        <v>4896</v>
      </c>
      <c r="B961" s="6">
        <v>46174</v>
      </c>
      <c r="C961" s="8">
        <v>46197</v>
      </c>
      <c r="D961" s="2" t="s">
        <v>199</v>
      </c>
      <c r="E961" s="2" t="s">
        <v>12593</v>
      </c>
      <c r="F961" s="2" t="s">
        <v>12426</v>
      </c>
      <c r="G961" s="2" t="s">
        <v>14544</v>
      </c>
      <c r="H961" s="2" t="s">
        <v>70</v>
      </c>
      <c r="I961" s="9">
        <v>16983.503758999999</v>
      </c>
      <c r="J961" s="7">
        <v>0.66500000000000004</v>
      </c>
      <c r="K961" s="9">
        <v>11294.03</v>
      </c>
      <c r="L961" s="14">
        <v>0</v>
      </c>
      <c r="M961" s="2" t="s">
        <v>71</v>
      </c>
      <c r="N961" s="2" t="s">
        <v>12595</v>
      </c>
      <c r="O961" s="2" t="s">
        <v>14545</v>
      </c>
      <c r="P961" s="9">
        <v>0</v>
      </c>
      <c r="Q961" s="9">
        <v>0</v>
      </c>
      <c r="R961" s="2" t="s">
        <v>13959</v>
      </c>
    </row>
    <row r="962" spans="1:18" x14ac:dyDescent="0.25">
      <c r="A962" s="2" t="s">
        <v>4901</v>
      </c>
      <c r="B962" s="6">
        <v>46174</v>
      </c>
      <c r="C962" s="8">
        <v>46198</v>
      </c>
      <c r="D962" s="2" t="s">
        <v>199</v>
      </c>
      <c r="E962" s="2" t="s">
        <v>12593</v>
      </c>
      <c r="F962" s="2" t="s">
        <v>12427</v>
      </c>
      <c r="G962" s="2" t="s">
        <v>14546</v>
      </c>
      <c r="H962" s="2" t="s">
        <v>39</v>
      </c>
      <c r="I962" s="9">
        <v>11467.04</v>
      </c>
      <c r="J962" s="7">
        <v>1</v>
      </c>
      <c r="K962" s="9">
        <v>11467.04</v>
      </c>
      <c r="L962" s="14">
        <v>0</v>
      </c>
      <c r="M962" s="2" t="s">
        <v>71</v>
      </c>
      <c r="N962" s="2" t="s">
        <v>12595</v>
      </c>
      <c r="O962" s="2" t="s">
        <v>14547</v>
      </c>
      <c r="P962" s="9">
        <v>0</v>
      </c>
      <c r="Q962" s="9">
        <v>0</v>
      </c>
      <c r="R962" s="2" t="s">
        <v>13962</v>
      </c>
    </row>
    <row r="963" spans="1:18" x14ac:dyDescent="0.25">
      <c r="A963" s="2" t="s">
        <v>4906</v>
      </c>
      <c r="B963" s="6">
        <v>46174</v>
      </c>
      <c r="C963" s="8">
        <v>46199</v>
      </c>
      <c r="D963" s="2" t="s">
        <v>199</v>
      </c>
      <c r="E963" s="2" t="s">
        <v>12593</v>
      </c>
      <c r="F963" s="2" t="s">
        <v>12428</v>
      </c>
      <c r="G963" s="2" t="s">
        <v>14548</v>
      </c>
      <c r="H963" s="2" t="s">
        <v>76</v>
      </c>
      <c r="I963" s="9">
        <v>186240800</v>
      </c>
      <c r="J963" s="7">
        <v>6.2500000000000001E-5</v>
      </c>
      <c r="K963" s="9">
        <v>11640.05</v>
      </c>
      <c r="L963" s="14">
        <v>0</v>
      </c>
      <c r="M963" s="2" t="s">
        <v>71</v>
      </c>
      <c r="N963" s="2" t="s">
        <v>12595</v>
      </c>
      <c r="O963" s="2" t="s">
        <v>14549</v>
      </c>
      <c r="P963" s="9">
        <v>0</v>
      </c>
      <c r="Q963" s="9">
        <v>0</v>
      </c>
      <c r="R963" s="2" t="s">
        <v>13965</v>
      </c>
    </row>
    <row r="964" spans="1:18" x14ac:dyDescent="0.25">
      <c r="A964" s="2" t="s">
        <v>4909</v>
      </c>
      <c r="B964" s="6">
        <v>46174</v>
      </c>
      <c r="C964" s="8">
        <v>46200</v>
      </c>
      <c r="D964" s="2" t="s">
        <v>199</v>
      </c>
      <c r="E964" s="2" t="s">
        <v>12593</v>
      </c>
      <c r="F964" s="2" t="s">
        <v>12429</v>
      </c>
      <c r="G964" s="2" t="s">
        <v>14550</v>
      </c>
      <c r="H964" s="2" t="s">
        <v>70</v>
      </c>
      <c r="I964" s="9">
        <v>17764</v>
      </c>
      <c r="J964" s="7">
        <v>0.66500000000000004</v>
      </c>
      <c r="K964" s="9">
        <v>11813.06</v>
      </c>
      <c r="L964" s="14">
        <v>0</v>
      </c>
      <c r="M964" s="2" t="s">
        <v>71</v>
      </c>
      <c r="N964" s="2" t="s">
        <v>12595</v>
      </c>
      <c r="O964" s="2" t="s">
        <v>14551</v>
      </c>
      <c r="P964" s="9">
        <v>0</v>
      </c>
      <c r="Q964" s="9">
        <v>0</v>
      </c>
      <c r="R964" s="2" t="s">
        <v>13968</v>
      </c>
    </row>
    <row r="965" spans="1:18" x14ac:dyDescent="0.25">
      <c r="A965" s="2" t="s">
        <v>4912</v>
      </c>
      <c r="B965" s="6">
        <v>46174</v>
      </c>
      <c r="C965" s="8">
        <v>46201</v>
      </c>
      <c r="D965" s="2" t="s">
        <v>199</v>
      </c>
      <c r="E965" s="2" t="s">
        <v>12593</v>
      </c>
      <c r="F965" s="2" t="s">
        <v>12430</v>
      </c>
      <c r="G965" s="2" t="s">
        <v>14552</v>
      </c>
      <c r="H965" s="2" t="s">
        <v>39</v>
      </c>
      <c r="I965" s="9">
        <v>11986.07</v>
      </c>
      <c r="J965" s="7">
        <v>1</v>
      </c>
      <c r="K965" s="9">
        <v>11986.07</v>
      </c>
      <c r="L965" s="14">
        <v>0</v>
      </c>
      <c r="M965" s="2" t="s">
        <v>71</v>
      </c>
      <c r="N965" s="2" t="s">
        <v>12595</v>
      </c>
      <c r="O965" s="2" t="s">
        <v>14553</v>
      </c>
      <c r="P965" s="9">
        <v>0</v>
      </c>
      <c r="Q965" s="9">
        <v>0</v>
      </c>
      <c r="R965" s="2" t="s">
        <v>13971</v>
      </c>
    </row>
    <row r="966" spans="1:18" x14ac:dyDescent="0.25">
      <c r="A966" s="2" t="s">
        <v>4917</v>
      </c>
      <c r="B966" s="6">
        <v>46174</v>
      </c>
      <c r="C966" s="8">
        <v>46202</v>
      </c>
      <c r="D966" s="2" t="s">
        <v>199</v>
      </c>
      <c r="E966" s="2" t="s">
        <v>12593</v>
      </c>
      <c r="F966" s="2" t="s">
        <v>12431</v>
      </c>
      <c r="G966" s="2" t="s">
        <v>14554</v>
      </c>
      <c r="H966" s="2" t="s">
        <v>76</v>
      </c>
      <c r="I966" s="9">
        <v>194545280</v>
      </c>
      <c r="J966" s="7">
        <v>6.2500000000000001E-5</v>
      </c>
      <c r="K966" s="9">
        <v>12159.08</v>
      </c>
      <c r="L966" s="14">
        <v>0</v>
      </c>
      <c r="M966" s="2" t="s">
        <v>71</v>
      </c>
      <c r="N966" s="2" t="s">
        <v>12595</v>
      </c>
      <c r="O966" s="2" t="s">
        <v>14555</v>
      </c>
      <c r="P966" s="9">
        <v>0</v>
      </c>
      <c r="Q966" s="9">
        <v>0</v>
      </c>
      <c r="R966" s="2" t="s">
        <v>13974</v>
      </c>
    </row>
    <row r="967" spans="1:18" x14ac:dyDescent="0.25">
      <c r="A967" s="2" t="s">
        <v>4920</v>
      </c>
      <c r="B967" s="6">
        <v>46174</v>
      </c>
      <c r="C967" s="8">
        <v>46203</v>
      </c>
      <c r="D967" s="2" t="s">
        <v>199</v>
      </c>
      <c r="E967" s="2" t="s">
        <v>12593</v>
      </c>
      <c r="F967" s="2" t="s">
        <v>12432</v>
      </c>
      <c r="G967" s="2" t="s">
        <v>14556</v>
      </c>
      <c r="H967" s="2" t="s">
        <v>70</v>
      </c>
      <c r="I967" s="9">
        <v>18544.496241000001</v>
      </c>
      <c r="J967" s="7">
        <v>0.66500000000000004</v>
      </c>
      <c r="K967" s="9">
        <v>12332.09</v>
      </c>
      <c r="L967" s="14">
        <v>0</v>
      </c>
      <c r="M967" s="2" t="s">
        <v>71</v>
      </c>
      <c r="N967" s="2" t="s">
        <v>12595</v>
      </c>
      <c r="O967" s="2" t="s">
        <v>14557</v>
      </c>
      <c r="P967" s="9">
        <v>0</v>
      </c>
      <c r="Q967" s="9">
        <v>0</v>
      </c>
      <c r="R967" s="2" t="s">
        <v>13977</v>
      </c>
    </row>
    <row r="968" spans="1:18" x14ac:dyDescent="0.25">
      <c r="A968" s="2" t="s">
        <v>4923</v>
      </c>
      <c r="B968" s="6">
        <v>46174</v>
      </c>
      <c r="C968" s="8">
        <v>46174</v>
      </c>
      <c r="D968" s="2" t="s">
        <v>199</v>
      </c>
      <c r="E968" s="2" t="s">
        <v>12593</v>
      </c>
      <c r="F968" s="2" t="s">
        <v>12423</v>
      </c>
      <c r="G968" s="2" t="s">
        <v>14558</v>
      </c>
      <c r="H968" s="2" t="s">
        <v>39</v>
      </c>
      <c r="I968" s="9">
        <v>12505.1</v>
      </c>
      <c r="J968" s="7">
        <v>1</v>
      </c>
      <c r="K968" s="9">
        <v>12505.1</v>
      </c>
      <c r="L968" s="14">
        <v>0</v>
      </c>
      <c r="M968" s="2" t="s">
        <v>71</v>
      </c>
      <c r="N968" s="2" t="s">
        <v>12595</v>
      </c>
      <c r="O968" s="2" t="s">
        <v>14559</v>
      </c>
      <c r="P968" s="9">
        <v>0</v>
      </c>
      <c r="Q968" s="9">
        <v>0</v>
      </c>
      <c r="R968" s="2" t="s">
        <v>13950</v>
      </c>
    </row>
    <row r="969" spans="1:18" x14ac:dyDescent="0.25">
      <c r="A969" s="2" t="s">
        <v>4926</v>
      </c>
      <c r="B969" s="6">
        <v>46174</v>
      </c>
      <c r="C969" s="8">
        <v>46175</v>
      </c>
      <c r="D969" s="2" t="s">
        <v>199</v>
      </c>
      <c r="E969" s="2" t="s">
        <v>12593</v>
      </c>
      <c r="F969" s="2" t="s">
        <v>12424</v>
      </c>
      <c r="G969" s="2" t="s">
        <v>14560</v>
      </c>
      <c r="H969" s="2" t="s">
        <v>76</v>
      </c>
      <c r="I969" s="9">
        <v>202849760</v>
      </c>
      <c r="J969" s="7">
        <v>6.2500000000000001E-5</v>
      </c>
      <c r="K969" s="9">
        <v>12678.11</v>
      </c>
      <c r="L969" s="14">
        <v>0</v>
      </c>
      <c r="M969" s="2" t="s">
        <v>71</v>
      </c>
      <c r="N969" s="2" t="s">
        <v>12595</v>
      </c>
      <c r="O969" s="2" t="s">
        <v>14561</v>
      </c>
      <c r="P969" s="9">
        <v>0</v>
      </c>
      <c r="Q969" s="9">
        <v>0</v>
      </c>
      <c r="R969" s="2" t="s">
        <v>13953</v>
      </c>
    </row>
    <row r="970" spans="1:18" x14ac:dyDescent="0.25">
      <c r="A970" s="2" t="s">
        <v>4929</v>
      </c>
      <c r="B970" s="6">
        <v>46174</v>
      </c>
      <c r="C970" s="8">
        <v>46176</v>
      </c>
      <c r="D970" s="2" t="s">
        <v>199</v>
      </c>
      <c r="E970" s="2" t="s">
        <v>12593</v>
      </c>
      <c r="F970" s="2" t="s">
        <v>12425</v>
      </c>
      <c r="G970" s="2" t="s">
        <v>14562</v>
      </c>
      <c r="H970" s="2" t="s">
        <v>70</v>
      </c>
      <c r="I970" s="9">
        <v>19324.992481000001</v>
      </c>
      <c r="J970" s="7">
        <v>0.66500000000000004</v>
      </c>
      <c r="K970" s="9">
        <v>12851.12</v>
      </c>
      <c r="L970" s="14">
        <v>0</v>
      </c>
      <c r="M970" s="2" t="s">
        <v>71</v>
      </c>
      <c r="N970" s="2" t="s">
        <v>12595</v>
      </c>
      <c r="O970" s="2" t="s">
        <v>14563</v>
      </c>
      <c r="P970" s="9">
        <v>0</v>
      </c>
      <c r="Q970" s="9">
        <v>0</v>
      </c>
      <c r="R970" s="2" t="s">
        <v>13956</v>
      </c>
    </row>
    <row r="971" spans="1:18" x14ac:dyDescent="0.25">
      <c r="A971" s="2" t="s">
        <v>4932</v>
      </c>
      <c r="B971" s="6">
        <v>46174</v>
      </c>
      <c r="C971" s="8">
        <v>46177</v>
      </c>
      <c r="D971" s="2" t="s">
        <v>199</v>
      </c>
      <c r="E971" s="2" t="s">
        <v>12593</v>
      </c>
      <c r="F971" s="2" t="s">
        <v>12426</v>
      </c>
      <c r="G971" s="2" t="s">
        <v>14564</v>
      </c>
      <c r="H971" s="2" t="s">
        <v>39</v>
      </c>
      <c r="I971" s="9">
        <v>13024.13</v>
      </c>
      <c r="J971" s="7">
        <v>1</v>
      </c>
      <c r="K971" s="9">
        <v>13024.13</v>
      </c>
      <c r="L971" s="14">
        <v>0</v>
      </c>
      <c r="M971" s="2" t="s">
        <v>71</v>
      </c>
      <c r="N971" s="2" t="s">
        <v>12595</v>
      </c>
      <c r="O971" s="2" t="s">
        <v>14565</v>
      </c>
      <c r="P971" s="9">
        <v>0</v>
      </c>
      <c r="Q971" s="9">
        <v>0</v>
      </c>
      <c r="R971" s="2" t="s">
        <v>13959</v>
      </c>
    </row>
    <row r="972" spans="1:18" x14ac:dyDescent="0.25">
      <c r="A972" s="2" t="s">
        <v>4937</v>
      </c>
      <c r="B972" s="6">
        <v>46174</v>
      </c>
      <c r="C972" s="8">
        <v>46178</v>
      </c>
      <c r="D972" s="2" t="s">
        <v>199</v>
      </c>
      <c r="E972" s="2" t="s">
        <v>12593</v>
      </c>
      <c r="F972" s="2" t="s">
        <v>12427</v>
      </c>
      <c r="G972" s="2" t="s">
        <v>14566</v>
      </c>
      <c r="H972" s="2" t="s">
        <v>76</v>
      </c>
      <c r="I972" s="9">
        <v>211154240</v>
      </c>
      <c r="J972" s="7">
        <v>6.2500000000000001E-5</v>
      </c>
      <c r="K972" s="9">
        <v>13197.14</v>
      </c>
      <c r="L972" s="14">
        <v>0</v>
      </c>
      <c r="M972" s="2" t="s">
        <v>71</v>
      </c>
      <c r="N972" s="2" t="s">
        <v>12595</v>
      </c>
      <c r="O972" s="2" t="s">
        <v>14567</v>
      </c>
      <c r="P972" s="9">
        <v>0</v>
      </c>
      <c r="Q972" s="9">
        <v>0</v>
      </c>
      <c r="R972" s="2" t="s">
        <v>13962</v>
      </c>
    </row>
    <row r="973" spans="1:18" x14ac:dyDescent="0.25">
      <c r="A973" s="2" t="s">
        <v>4942</v>
      </c>
      <c r="B973" s="6">
        <v>46174</v>
      </c>
      <c r="C973" s="8">
        <v>46179</v>
      </c>
      <c r="D973" s="2" t="s">
        <v>199</v>
      </c>
      <c r="E973" s="2" t="s">
        <v>12593</v>
      </c>
      <c r="F973" s="2" t="s">
        <v>12428</v>
      </c>
      <c r="G973" s="2" t="s">
        <v>14568</v>
      </c>
      <c r="H973" s="2" t="s">
        <v>70</v>
      </c>
      <c r="I973" s="9">
        <v>20105.488721999998</v>
      </c>
      <c r="J973" s="7">
        <v>0.66500000000000004</v>
      </c>
      <c r="K973" s="9">
        <v>13370.15</v>
      </c>
      <c r="L973" s="14">
        <v>0</v>
      </c>
      <c r="M973" s="2" t="s">
        <v>71</v>
      </c>
      <c r="N973" s="2" t="s">
        <v>12595</v>
      </c>
      <c r="O973" s="2" t="s">
        <v>14569</v>
      </c>
      <c r="P973" s="9">
        <v>0</v>
      </c>
      <c r="Q973" s="9">
        <v>0</v>
      </c>
      <c r="R973" s="2" t="s">
        <v>13965</v>
      </c>
    </row>
    <row r="974" spans="1:18" x14ac:dyDescent="0.25">
      <c r="A974" s="2" t="s">
        <v>4945</v>
      </c>
      <c r="B974" s="6">
        <v>46174</v>
      </c>
      <c r="C974" s="8">
        <v>46180</v>
      </c>
      <c r="D974" s="2" t="s">
        <v>199</v>
      </c>
      <c r="E974" s="2" t="s">
        <v>12593</v>
      </c>
      <c r="F974" s="2" t="s">
        <v>12429</v>
      </c>
      <c r="G974" s="2" t="s">
        <v>14570</v>
      </c>
      <c r="H974" s="2" t="s">
        <v>39</v>
      </c>
      <c r="I974" s="9">
        <v>13543.16</v>
      </c>
      <c r="J974" s="7">
        <v>1</v>
      </c>
      <c r="K974" s="9">
        <v>13543.16</v>
      </c>
      <c r="L974" s="14">
        <v>0</v>
      </c>
      <c r="M974" s="2" t="s">
        <v>71</v>
      </c>
      <c r="N974" s="2" t="s">
        <v>12595</v>
      </c>
      <c r="O974" s="2" t="s">
        <v>14571</v>
      </c>
      <c r="P974" s="9">
        <v>0</v>
      </c>
      <c r="Q974" s="9">
        <v>0</v>
      </c>
      <c r="R974" s="2" t="s">
        <v>13968</v>
      </c>
    </row>
    <row r="975" spans="1:18" x14ac:dyDescent="0.25">
      <c r="A975" s="2" t="s">
        <v>4948</v>
      </c>
      <c r="B975" s="6">
        <v>46174</v>
      </c>
      <c r="C975" s="8">
        <v>46181</v>
      </c>
      <c r="D975" s="2" t="s">
        <v>199</v>
      </c>
      <c r="E975" s="2" t="s">
        <v>12593</v>
      </c>
      <c r="F975" s="2" t="s">
        <v>12430</v>
      </c>
      <c r="G975" s="2" t="s">
        <v>14572</v>
      </c>
      <c r="H975" s="2" t="s">
        <v>76</v>
      </c>
      <c r="I975" s="9">
        <v>219458720</v>
      </c>
      <c r="J975" s="7">
        <v>6.2500000000000001E-5</v>
      </c>
      <c r="K975" s="9">
        <v>13716.17</v>
      </c>
      <c r="L975" s="14">
        <v>0</v>
      </c>
      <c r="M975" s="2" t="s">
        <v>71</v>
      </c>
      <c r="N975" s="2" t="s">
        <v>12595</v>
      </c>
      <c r="O975" s="2" t="s">
        <v>14573</v>
      </c>
      <c r="P975" s="9">
        <v>0</v>
      </c>
      <c r="Q975" s="9">
        <v>0</v>
      </c>
      <c r="R975" s="2" t="s">
        <v>13971</v>
      </c>
    </row>
    <row r="976" spans="1:18" x14ac:dyDescent="0.25">
      <c r="A976" s="2" t="s">
        <v>4953</v>
      </c>
      <c r="B976" s="6">
        <v>46174</v>
      </c>
      <c r="C976" s="8">
        <v>46182</v>
      </c>
      <c r="D976" s="2" t="s">
        <v>199</v>
      </c>
      <c r="E976" s="2" t="s">
        <v>12593</v>
      </c>
      <c r="F976" s="2" t="s">
        <v>12431</v>
      </c>
      <c r="G976" s="2" t="s">
        <v>14574</v>
      </c>
      <c r="H976" s="2" t="s">
        <v>70</v>
      </c>
      <c r="I976" s="9">
        <v>20885.984961999999</v>
      </c>
      <c r="J976" s="7">
        <v>0.66500000000000004</v>
      </c>
      <c r="K976" s="9">
        <v>13889.18</v>
      </c>
      <c r="L976" s="14">
        <v>0</v>
      </c>
      <c r="M976" s="2" t="s">
        <v>71</v>
      </c>
      <c r="N976" s="2" t="s">
        <v>12595</v>
      </c>
      <c r="O976" s="2" t="s">
        <v>14575</v>
      </c>
      <c r="P976" s="9">
        <v>0</v>
      </c>
      <c r="Q976" s="9">
        <v>0</v>
      </c>
      <c r="R976" s="2" t="s">
        <v>13974</v>
      </c>
    </row>
    <row r="977" spans="1:18" x14ac:dyDescent="0.25">
      <c r="A977" s="2" t="s">
        <v>4956</v>
      </c>
      <c r="B977" s="6">
        <v>46174</v>
      </c>
      <c r="C977" s="8">
        <v>46183</v>
      </c>
      <c r="D977" s="2" t="s">
        <v>199</v>
      </c>
      <c r="E977" s="2" t="s">
        <v>12593</v>
      </c>
      <c r="F977" s="2" t="s">
        <v>12432</v>
      </c>
      <c r="G977" s="2" t="s">
        <v>14576</v>
      </c>
      <c r="H977" s="2" t="s">
        <v>39</v>
      </c>
      <c r="I977" s="9">
        <v>14062.19</v>
      </c>
      <c r="J977" s="7">
        <v>1</v>
      </c>
      <c r="K977" s="9">
        <v>14062.19</v>
      </c>
      <c r="L977" s="14">
        <v>0</v>
      </c>
      <c r="M977" s="2" t="s">
        <v>71</v>
      </c>
      <c r="N977" s="2" t="s">
        <v>12595</v>
      </c>
      <c r="O977" s="2" t="s">
        <v>14577</v>
      </c>
      <c r="P977" s="9">
        <v>0</v>
      </c>
      <c r="Q977" s="9">
        <v>0</v>
      </c>
      <c r="R977" s="2" t="s">
        <v>13977</v>
      </c>
    </row>
    <row r="978" spans="1:18" x14ac:dyDescent="0.25">
      <c r="A978" s="2" t="s">
        <v>4959</v>
      </c>
      <c r="B978" s="6">
        <v>46174</v>
      </c>
      <c r="C978" s="8">
        <v>46184</v>
      </c>
      <c r="D978" s="2" t="s">
        <v>199</v>
      </c>
      <c r="E978" s="2" t="s">
        <v>12593</v>
      </c>
      <c r="F978" s="2" t="s">
        <v>12423</v>
      </c>
      <c r="G978" s="2" t="s">
        <v>14578</v>
      </c>
      <c r="H978" s="2" t="s">
        <v>76</v>
      </c>
      <c r="I978" s="9">
        <v>227763200</v>
      </c>
      <c r="J978" s="7">
        <v>6.2500000000000001E-5</v>
      </c>
      <c r="K978" s="9">
        <v>14235.2</v>
      </c>
      <c r="L978" s="14">
        <v>0</v>
      </c>
      <c r="M978" s="2" t="s">
        <v>71</v>
      </c>
      <c r="N978" s="2" t="s">
        <v>12595</v>
      </c>
      <c r="O978" s="2" t="s">
        <v>14579</v>
      </c>
      <c r="P978" s="9">
        <v>0</v>
      </c>
      <c r="Q978" s="9">
        <v>0</v>
      </c>
      <c r="R978" s="2" t="s">
        <v>13950</v>
      </c>
    </row>
    <row r="979" spans="1:18" x14ac:dyDescent="0.25">
      <c r="A979" s="2" t="s">
        <v>4962</v>
      </c>
      <c r="B979" s="6">
        <v>46174</v>
      </c>
      <c r="C979" s="8">
        <v>46185</v>
      </c>
      <c r="D979" s="2" t="s">
        <v>199</v>
      </c>
      <c r="E979" s="2" t="s">
        <v>12593</v>
      </c>
      <c r="F979" s="2" t="s">
        <v>12424</v>
      </c>
      <c r="G979" s="2" t="s">
        <v>14580</v>
      </c>
      <c r="H979" s="2" t="s">
        <v>70</v>
      </c>
      <c r="I979" s="9">
        <v>21666.481202999999</v>
      </c>
      <c r="J979" s="7">
        <v>0.66500000000000004</v>
      </c>
      <c r="K979" s="9">
        <v>14408.21</v>
      </c>
      <c r="L979" s="14">
        <v>0</v>
      </c>
      <c r="M979" s="2" t="s">
        <v>71</v>
      </c>
      <c r="N979" s="2" t="s">
        <v>12595</v>
      </c>
      <c r="O979" s="2" t="s">
        <v>14581</v>
      </c>
      <c r="P979" s="9">
        <v>0</v>
      </c>
      <c r="Q979" s="9">
        <v>0</v>
      </c>
      <c r="R979" s="2" t="s">
        <v>13953</v>
      </c>
    </row>
    <row r="980" spans="1:18" x14ac:dyDescent="0.25">
      <c r="A980" s="2" t="s">
        <v>4965</v>
      </c>
      <c r="B980" s="6">
        <v>46174</v>
      </c>
      <c r="C980" s="8">
        <v>46186</v>
      </c>
      <c r="D980" s="2" t="s">
        <v>199</v>
      </c>
      <c r="E980" s="2" t="s">
        <v>12593</v>
      </c>
      <c r="F980" s="2" t="s">
        <v>12425</v>
      </c>
      <c r="G980" s="2" t="s">
        <v>14582</v>
      </c>
      <c r="H980" s="2" t="s">
        <v>39</v>
      </c>
      <c r="I980" s="9">
        <v>14581.22</v>
      </c>
      <c r="J980" s="7">
        <v>1</v>
      </c>
      <c r="K980" s="9">
        <v>14581.22</v>
      </c>
      <c r="L980" s="14">
        <v>0</v>
      </c>
      <c r="M980" s="2" t="s">
        <v>71</v>
      </c>
      <c r="N980" s="2" t="s">
        <v>12595</v>
      </c>
      <c r="O980" s="2" t="s">
        <v>14583</v>
      </c>
      <c r="P980" s="9">
        <v>0</v>
      </c>
      <c r="Q980" s="9">
        <v>0</v>
      </c>
      <c r="R980" s="2" t="s">
        <v>13956</v>
      </c>
    </row>
    <row r="981" spans="1:18" x14ac:dyDescent="0.25">
      <c r="A981" s="2" t="s">
        <v>4968</v>
      </c>
      <c r="B981" s="6">
        <v>46174</v>
      </c>
      <c r="C981" s="8">
        <v>46187</v>
      </c>
      <c r="D981" s="2" t="s">
        <v>199</v>
      </c>
      <c r="E981" s="2" t="s">
        <v>12593</v>
      </c>
      <c r="F981" s="2" t="s">
        <v>12426</v>
      </c>
      <c r="G981" s="2" t="s">
        <v>14584</v>
      </c>
      <c r="H981" s="2" t="s">
        <v>76</v>
      </c>
      <c r="I981" s="9">
        <v>236067680</v>
      </c>
      <c r="J981" s="7">
        <v>6.2500000000000001E-5</v>
      </c>
      <c r="K981" s="9">
        <v>14754.23</v>
      </c>
      <c r="L981" s="14">
        <v>0</v>
      </c>
      <c r="M981" s="2" t="s">
        <v>71</v>
      </c>
      <c r="N981" s="2" t="s">
        <v>12595</v>
      </c>
      <c r="O981" s="2" t="s">
        <v>14585</v>
      </c>
      <c r="P981" s="9">
        <v>0</v>
      </c>
      <c r="Q981" s="9">
        <v>0</v>
      </c>
      <c r="R981" s="2" t="s">
        <v>13959</v>
      </c>
    </row>
    <row r="982" spans="1:18" x14ac:dyDescent="0.25">
      <c r="A982" s="2" t="s">
        <v>4973</v>
      </c>
      <c r="B982" s="6">
        <v>46174</v>
      </c>
      <c r="C982" s="8">
        <v>46188</v>
      </c>
      <c r="D982" s="2" t="s">
        <v>199</v>
      </c>
      <c r="E982" s="2" t="s">
        <v>12593</v>
      </c>
      <c r="F982" s="2" t="s">
        <v>12427</v>
      </c>
      <c r="G982" s="2" t="s">
        <v>14586</v>
      </c>
      <c r="H982" s="2" t="s">
        <v>70</v>
      </c>
      <c r="I982" s="9">
        <v>1394.345865</v>
      </c>
      <c r="J982" s="7">
        <v>0.66500000000000004</v>
      </c>
      <c r="K982" s="9">
        <v>927.24</v>
      </c>
      <c r="L982" s="14">
        <v>0</v>
      </c>
      <c r="M982" s="2" t="s">
        <v>71</v>
      </c>
      <c r="N982" s="2" t="s">
        <v>12595</v>
      </c>
      <c r="O982" s="2" t="s">
        <v>14587</v>
      </c>
      <c r="P982" s="9">
        <v>0</v>
      </c>
      <c r="Q982" s="9">
        <v>0</v>
      </c>
      <c r="R982" s="2" t="s">
        <v>13962</v>
      </c>
    </row>
    <row r="983" spans="1:18" x14ac:dyDescent="0.25">
      <c r="A983" s="2" t="s">
        <v>4978</v>
      </c>
      <c r="B983" s="6">
        <v>46174</v>
      </c>
      <c r="C983" s="8">
        <v>46189</v>
      </c>
      <c r="D983" s="2" t="s">
        <v>199</v>
      </c>
      <c r="E983" s="2" t="s">
        <v>12593</v>
      </c>
      <c r="F983" s="2" t="s">
        <v>12428</v>
      </c>
      <c r="G983" s="2" t="s">
        <v>14588</v>
      </c>
      <c r="H983" s="2" t="s">
        <v>39</v>
      </c>
      <c r="I983" s="9">
        <v>1100.25</v>
      </c>
      <c r="J983" s="7">
        <v>1</v>
      </c>
      <c r="K983" s="9">
        <v>1100.25</v>
      </c>
      <c r="L983" s="14">
        <v>0</v>
      </c>
      <c r="M983" s="2" t="s">
        <v>71</v>
      </c>
      <c r="N983" s="2" t="s">
        <v>12595</v>
      </c>
      <c r="O983" s="2" t="s">
        <v>14589</v>
      </c>
      <c r="P983" s="9">
        <v>0</v>
      </c>
      <c r="Q983" s="9">
        <v>0</v>
      </c>
      <c r="R983" s="2" t="s">
        <v>13965</v>
      </c>
    </row>
    <row r="984" spans="1:18" x14ac:dyDescent="0.25">
      <c r="A984" s="2" t="s">
        <v>4981</v>
      </c>
      <c r="B984" s="6">
        <v>46174</v>
      </c>
      <c r="C984" s="8">
        <v>46190</v>
      </c>
      <c r="D984" s="2" t="s">
        <v>199</v>
      </c>
      <c r="E984" s="2" t="s">
        <v>12593</v>
      </c>
      <c r="F984" s="2" t="s">
        <v>12429</v>
      </c>
      <c r="G984" s="2" t="s">
        <v>14590</v>
      </c>
      <c r="H984" s="2" t="s">
        <v>76</v>
      </c>
      <c r="I984" s="9">
        <v>20372160</v>
      </c>
      <c r="J984" s="7">
        <v>6.2500000000000001E-5</v>
      </c>
      <c r="K984" s="9">
        <v>1273.26</v>
      </c>
      <c r="L984" s="14">
        <v>0</v>
      </c>
      <c r="M984" s="2" t="s">
        <v>71</v>
      </c>
      <c r="N984" s="2" t="s">
        <v>12595</v>
      </c>
      <c r="O984" s="2" t="s">
        <v>14591</v>
      </c>
      <c r="P984" s="9">
        <v>0</v>
      </c>
      <c r="Q984" s="9">
        <v>0</v>
      </c>
      <c r="R984" s="2" t="s">
        <v>13968</v>
      </c>
    </row>
    <row r="985" spans="1:18" x14ac:dyDescent="0.25">
      <c r="A985" s="2" t="s">
        <v>4984</v>
      </c>
      <c r="B985" s="6">
        <v>46174</v>
      </c>
      <c r="C985" s="8">
        <v>46191</v>
      </c>
      <c r="D985" s="2" t="s">
        <v>199</v>
      </c>
      <c r="E985" s="2" t="s">
        <v>12593</v>
      </c>
      <c r="F985" s="2" t="s">
        <v>12430</v>
      </c>
      <c r="G985" s="2" t="s">
        <v>14592</v>
      </c>
      <c r="H985" s="2" t="s">
        <v>70</v>
      </c>
      <c r="I985" s="9">
        <v>2174.8421050000002</v>
      </c>
      <c r="J985" s="7">
        <v>0.66500000000000004</v>
      </c>
      <c r="K985" s="9">
        <v>1446.27</v>
      </c>
      <c r="L985" s="14">
        <v>0</v>
      </c>
      <c r="M985" s="2" t="s">
        <v>71</v>
      </c>
      <c r="N985" s="2" t="s">
        <v>12595</v>
      </c>
      <c r="O985" s="2" t="s">
        <v>14593</v>
      </c>
      <c r="P985" s="9">
        <v>0</v>
      </c>
      <c r="Q985" s="9">
        <v>0</v>
      </c>
      <c r="R985" s="2" t="s">
        <v>13971</v>
      </c>
    </row>
    <row r="986" spans="1:18" x14ac:dyDescent="0.25">
      <c r="A986" s="2" t="s">
        <v>4989</v>
      </c>
      <c r="B986" s="6">
        <v>46174</v>
      </c>
      <c r="C986" s="8">
        <v>46192</v>
      </c>
      <c r="D986" s="2" t="s">
        <v>199</v>
      </c>
      <c r="E986" s="2" t="s">
        <v>12593</v>
      </c>
      <c r="F986" s="2" t="s">
        <v>12431</v>
      </c>
      <c r="G986" s="2" t="s">
        <v>14594</v>
      </c>
      <c r="H986" s="2" t="s">
        <v>39</v>
      </c>
      <c r="I986" s="9">
        <v>1619.28</v>
      </c>
      <c r="J986" s="7">
        <v>1</v>
      </c>
      <c r="K986" s="9">
        <v>1619.28</v>
      </c>
      <c r="L986" s="14">
        <v>0</v>
      </c>
      <c r="M986" s="2" t="s">
        <v>71</v>
      </c>
      <c r="N986" s="2" t="s">
        <v>12595</v>
      </c>
      <c r="O986" s="2" t="s">
        <v>14595</v>
      </c>
      <c r="P986" s="9">
        <v>0</v>
      </c>
      <c r="Q986" s="9">
        <v>0</v>
      </c>
      <c r="R986" s="2" t="s">
        <v>13974</v>
      </c>
    </row>
    <row r="987" spans="1:18" x14ac:dyDescent="0.25">
      <c r="A987" s="2" t="s">
        <v>4992</v>
      </c>
      <c r="B987" s="6">
        <v>46174</v>
      </c>
      <c r="C987" s="8">
        <v>46193</v>
      </c>
      <c r="D987" s="2" t="s">
        <v>199</v>
      </c>
      <c r="E987" s="2" t="s">
        <v>12593</v>
      </c>
      <c r="F987" s="2" t="s">
        <v>12432</v>
      </c>
      <c r="G987" s="2" t="s">
        <v>14596</v>
      </c>
      <c r="H987" s="2" t="s">
        <v>76</v>
      </c>
      <c r="I987" s="9">
        <v>28676640</v>
      </c>
      <c r="J987" s="7">
        <v>6.2500000000000001E-5</v>
      </c>
      <c r="K987" s="9">
        <v>1792.29</v>
      </c>
      <c r="L987" s="14">
        <v>0</v>
      </c>
      <c r="M987" s="2" t="s">
        <v>71</v>
      </c>
      <c r="N987" s="2" t="s">
        <v>12595</v>
      </c>
      <c r="O987" s="2" t="s">
        <v>14597</v>
      </c>
      <c r="P987" s="9">
        <v>0</v>
      </c>
      <c r="Q987" s="9">
        <v>0</v>
      </c>
      <c r="R987" s="2" t="s">
        <v>13977</v>
      </c>
    </row>
    <row r="988" spans="1:18" x14ac:dyDescent="0.25">
      <c r="A988" s="2" t="s">
        <v>4995</v>
      </c>
      <c r="B988" s="6">
        <v>46174</v>
      </c>
      <c r="C988" s="8">
        <v>46194</v>
      </c>
      <c r="D988" s="2" t="s">
        <v>199</v>
      </c>
      <c r="E988" s="2" t="s">
        <v>12593</v>
      </c>
      <c r="F988" s="2" t="s">
        <v>12423</v>
      </c>
      <c r="G988" s="2" t="s">
        <v>14598</v>
      </c>
      <c r="H988" s="2" t="s">
        <v>70</v>
      </c>
      <c r="I988" s="9">
        <v>2955.338346</v>
      </c>
      <c r="J988" s="7">
        <v>0.66500000000000004</v>
      </c>
      <c r="K988" s="9">
        <v>1965.3</v>
      </c>
      <c r="L988" s="14">
        <v>0</v>
      </c>
      <c r="M988" s="2" t="s">
        <v>71</v>
      </c>
      <c r="N988" s="2" t="s">
        <v>12595</v>
      </c>
      <c r="O988" s="2" t="s">
        <v>14599</v>
      </c>
      <c r="P988" s="9">
        <v>0</v>
      </c>
      <c r="Q988" s="9">
        <v>0</v>
      </c>
      <c r="R988" s="2" t="s">
        <v>13950</v>
      </c>
    </row>
    <row r="989" spans="1:18" x14ac:dyDescent="0.25">
      <c r="A989" s="2" t="s">
        <v>4998</v>
      </c>
      <c r="B989" s="6">
        <v>46174</v>
      </c>
      <c r="C989" s="8">
        <v>46195</v>
      </c>
      <c r="D989" s="2" t="s">
        <v>199</v>
      </c>
      <c r="E989" s="2" t="s">
        <v>12593</v>
      </c>
      <c r="F989" s="2" t="s">
        <v>12424</v>
      </c>
      <c r="G989" s="2" t="s">
        <v>14600</v>
      </c>
      <c r="H989" s="2" t="s">
        <v>39</v>
      </c>
      <c r="I989" s="9">
        <v>2138.31</v>
      </c>
      <c r="J989" s="7">
        <v>1</v>
      </c>
      <c r="K989" s="9">
        <v>2138.31</v>
      </c>
      <c r="L989" s="14">
        <v>0</v>
      </c>
      <c r="M989" s="2" t="s">
        <v>71</v>
      </c>
      <c r="N989" s="2" t="s">
        <v>12595</v>
      </c>
      <c r="O989" s="2" t="s">
        <v>14601</v>
      </c>
      <c r="P989" s="9">
        <v>0</v>
      </c>
      <c r="Q989" s="9">
        <v>0</v>
      </c>
      <c r="R989" s="2" t="s">
        <v>13953</v>
      </c>
    </row>
    <row r="990" spans="1:18" x14ac:dyDescent="0.25">
      <c r="A990" s="2" t="s">
        <v>5001</v>
      </c>
      <c r="B990" s="6">
        <v>46174</v>
      </c>
      <c r="C990" s="8">
        <v>46196</v>
      </c>
      <c r="D990" s="2" t="s">
        <v>199</v>
      </c>
      <c r="E990" s="2" t="s">
        <v>12593</v>
      </c>
      <c r="F990" s="2" t="s">
        <v>12425</v>
      </c>
      <c r="G990" s="2" t="s">
        <v>14602</v>
      </c>
      <c r="H990" s="2" t="s">
        <v>76</v>
      </c>
      <c r="I990" s="9">
        <v>36981120</v>
      </c>
      <c r="J990" s="7">
        <v>6.2500000000000001E-5</v>
      </c>
      <c r="K990" s="9">
        <v>2311.3200000000002</v>
      </c>
      <c r="L990" s="14">
        <v>0</v>
      </c>
      <c r="M990" s="2" t="s">
        <v>71</v>
      </c>
      <c r="N990" s="2" t="s">
        <v>12595</v>
      </c>
      <c r="O990" s="2" t="s">
        <v>14603</v>
      </c>
      <c r="P990" s="9">
        <v>0</v>
      </c>
      <c r="Q990" s="9">
        <v>0</v>
      </c>
      <c r="R990" s="2" t="s">
        <v>13956</v>
      </c>
    </row>
    <row r="991" spans="1:18" x14ac:dyDescent="0.25">
      <c r="A991" s="2" t="s">
        <v>5004</v>
      </c>
      <c r="B991" s="6">
        <v>46174</v>
      </c>
      <c r="C991" s="8">
        <v>46197</v>
      </c>
      <c r="D991" s="2" t="s">
        <v>199</v>
      </c>
      <c r="E991" s="2" t="s">
        <v>12593</v>
      </c>
      <c r="F991" s="2" t="s">
        <v>12426</v>
      </c>
      <c r="G991" s="2" t="s">
        <v>14604</v>
      </c>
      <c r="H991" s="2" t="s">
        <v>70</v>
      </c>
      <c r="I991" s="9">
        <v>3735.8345859999999</v>
      </c>
      <c r="J991" s="7">
        <v>0.66500000000000004</v>
      </c>
      <c r="K991" s="9">
        <v>2484.33</v>
      </c>
      <c r="L991" s="14">
        <v>0</v>
      </c>
      <c r="M991" s="2" t="s">
        <v>71</v>
      </c>
      <c r="N991" s="2" t="s">
        <v>12595</v>
      </c>
      <c r="O991" s="2" t="s">
        <v>14605</v>
      </c>
      <c r="P991" s="9">
        <v>0</v>
      </c>
      <c r="Q991" s="9">
        <v>0</v>
      </c>
      <c r="R991" s="2" t="s">
        <v>13959</v>
      </c>
    </row>
    <row r="992" spans="1:18" x14ac:dyDescent="0.25">
      <c r="A992" s="2" t="s">
        <v>5009</v>
      </c>
      <c r="B992" s="6">
        <v>46174</v>
      </c>
      <c r="C992" s="8">
        <v>46198</v>
      </c>
      <c r="D992" s="2" t="s">
        <v>199</v>
      </c>
      <c r="E992" s="2" t="s">
        <v>12593</v>
      </c>
      <c r="F992" s="2" t="s">
        <v>12427</v>
      </c>
      <c r="G992" s="2" t="s">
        <v>14606</v>
      </c>
      <c r="H992" s="2" t="s">
        <v>39</v>
      </c>
      <c r="I992" s="9">
        <v>2657.34</v>
      </c>
      <c r="J992" s="7">
        <v>1</v>
      </c>
      <c r="K992" s="9">
        <v>2657.34</v>
      </c>
      <c r="L992" s="14">
        <v>0</v>
      </c>
      <c r="M992" s="2" t="s">
        <v>71</v>
      </c>
      <c r="N992" s="2" t="s">
        <v>12595</v>
      </c>
      <c r="O992" s="2" t="s">
        <v>14607</v>
      </c>
      <c r="P992" s="9">
        <v>0</v>
      </c>
      <c r="Q992" s="9">
        <v>0</v>
      </c>
      <c r="R992" s="2" t="s">
        <v>13962</v>
      </c>
    </row>
    <row r="993" spans="1:18" x14ac:dyDescent="0.25">
      <c r="A993" s="2" t="s">
        <v>5014</v>
      </c>
      <c r="B993" s="6">
        <v>46174</v>
      </c>
      <c r="C993" s="8">
        <v>46199</v>
      </c>
      <c r="D993" s="2" t="s">
        <v>199</v>
      </c>
      <c r="E993" s="2" t="s">
        <v>12593</v>
      </c>
      <c r="F993" s="2" t="s">
        <v>12428</v>
      </c>
      <c r="G993" s="2" t="s">
        <v>14608</v>
      </c>
      <c r="H993" s="2" t="s">
        <v>76</v>
      </c>
      <c r="I993" s="9">
        <v>45285600</v>
      </c>
      <c r="J993" s="7">
        <v>6.2500000000000001E-5</v>
      </c>
      <c r="K993" s="9">
        <v>2830.35</v>
      </c>
      <c r="L993" s="14">
        <v>0</v>
      </c>
      <c r="M993" s="2" t="s">
        <v>71</v>
      </c>
      <c r="N993" s="2" t="s">
        <v>12595</v>
      </c>
      <c r="O993" s="2" t="s">
        <v>14609</v>
      </c>
      <c r="P993" s="9">
        <v>0</v>
      </c>
      <c r="Q993" s="9">
        <v>0</v>
      </c>
      <c r="R993" s="2" t="s">
        <v>13965</v>
      </c>
    </row>
    <row r="994" spans="1:18" x14ac:dyDescent="0.25">
      <c r="A994" s="2" t="s">
        <v>5017</v>
      </c>
      <c r="B994" s="6">
        <v>46174</v>
      </c>
      <c r="C994" s="8">
        <v>46200</v>
      </c>
      <c r="D994" s="2" t="s">
        <v>199</v>
      </c>
      <c r="E994" s="2" t="s">
        <v>12593</v>
      </c>
      <c r="F994" s="2" t="s">
        <v>12429</v>
      </c>
      <c r="G994" s="2" t="s">
        <v>14610</v>
      </c>
      <c r="H994" s="2" t="s">
        <v>70</v>
      </c>
      <c r="I994" s="9">
        <v>4516.3308269999998</v>
      </c>
      <c r="J994" s="7">
        <v>0.66500000000000004</v>
      </c>
      <c r="K994" s="9">
        <v>3003.36</v>
      </c>
      <c r="L994" s="14">
        <v>0</v>
      </c>
      <c r="M994" s="2" t="s">
        <v>71</v>
      </c>
      <c r="N994" s="2" t="s">
        <v>12595</v>
      </c>
      <c r="O994" s="2" t="s">
        <v>14611</v>
      </c>
      <c r="P994" s="9">
        <v>0</v>
      </c>
      <c r="Q994" s="9">
        <v>0</v>
      </c>
      <c r="R994" s="2" t="s">
        <v>13968</v>
      </c>
    </row>
    <row r="995" spans="1:18" x14ac:dyDescent="0.25">
      <c r="A995" s="2" t="s">
        <v>5020</v>
      </c>
      <c r="B995" s="6">
        <v>46174</v>
      </c>
      <c r="C995" s="8">
        <v>46201</v>
      </c>
      <c r="D995" s="2" t="s">
        <v>199</v>
      </c>
      <c r="E995" s="2" t="s">
        <v>12593</v>
      </c>
      <c r="F995" s="2" t="s">
        <v>12430</v>
      </c>
      <c r="G995" s="2" t="s">
        <v>14612</v>
      </c>
      <c r="H995" s="2" t="s">
        <v>39</v>
      </c>
      <c r="I995" s="9">
        <v>-3176.37</v>
      </c>
      <c r="J995" s="7">
        <v>1</v>
      </c>
      <c r="K995" s="9">
        <v>-3176.37</v>
      </c>
      <c r="L995" s="14">
        <v>0</v>
      </c>
      <c r="M995" s="2" t="s">
        <v>71</v>
      </c>
      <c r="N995" s="2" t="s">
        <v>12595</v>
      </c>
      <c r="O995" s="2" t="s">
        <v>14613</v>
      </c>
      <c r="P995" s="9">
        <v>0</v>
      </c>
      <c r="Q995" s="9">
        <v>0</v>
      </c>
      <c r="R995" s="2" t="s">
        <v>13971</v>
      </c>
    </row>
    <row r="996" spans="1:18" x14ac:dyDescent="0.25">
      <c r="A996" s="2" t="s">
        <v>5023</v>
      </c>
      <c r="B996" s="6">
        <v>46174</v>
      </c>
      <c r="C996" s="8">
        <v>46202</v>
      </c>
      <c r="D996" s="2" t="s">
        <v>199</v>
      </c>
      <c r="E996" s="2" t="s">
        <v>12593</v>
      </c>
      <c r="F996" s="2" t="s">
        <v>12431</v>
      </c>
      <c r="G996" s="2" t="s">
        <v>14614</v>
      </c>
      <c r="H996" s="2" t="s">
        <v>76</v>
      </c>
      <c r="I996" s="9">
        <v>53590080</v>
      </c>
      <c r="J996" s="7">
        <v>6.2500000000000001E-5</v>
      </c>
      <c r="K996" s="9">
        <v>3349.38</v>
      </c>
      <c r="L996" s="14">
        <v>0</v>
      </c>
      <c r="M996" s="2" t="s">
        <v>71</v>
      </c>
      <c r="N996" s="2" t="s">
        <v>12595</v>
      </c>
      <c r="O996" s="2" t="s">
        <v>14615</v>
      </c>
      <c r="P996" s="9">
        <v>0</v>
      </c>
      <c r="Q996" s="9">
        <v>0</v>
      </c>
      <c r="R996" s="2" t="s">
        <v>13974</v>
      </c>
    </row>
    <row r="997" spans="1:18" x14ac:dyDescent="0.25">
      <c r="A997" s="2" t="s">
        <v>5026</v>
      </c>
      <c r="B997" s="6">
        <v>46174</v>
      </c>
      <c r="C997" s="8">
        <v>46203</v>
      </c>
      <c r="D997" s="2" t="s">
        <v>199</v>
      </c>
      <c r="E997" s="2" t="s">
        <v>12593</v>
      </c>
      <c r="F997" s="2" t="s">
        <v>12432</v>
      </c>
      <c r="G997" s="2" t="s">
        <v>14616</v>
      </c>
      <c r="H997" s="2" t="s">
        <v>70</v>
      </c>
      <c r="I997" s="9">
        <v>5296.8270679999996</v>
      </c>
      <c r="J997" s="7">
        <v>0.66500000000000004</v>
      </c>
      <c r="K997" s="9">
        <v>3522.39</v>
      </c>
      <c r="L997" s="14">
        <v>0</v>
      </c>
      <c r="M997" s="2" t="s">
        <v>71</v>
      </c>
      <c r="N997" s="2" t="s">
        <v>12595</v>
      </c>
      <c r="O997" s="2" t="s">
        <v>14617</v>
      </c>
      <c r="P997" s="9">
        <v>0</v>
      </c>
      <c r="Q997" s="9">
        <v>0</v>
      </c>
      <c r="R997" s="2" t="s">
        <v>13977</v>
      </c>
    </row>
    <row r="998" spans="1:18" x14ac:dyDescent="0.25">
      <c r="A998" s="2" t="s">
        <v>5029</v>
      </c>
      <c r="B998" s="6">
        <v>46174</v>
      </c>
      <c r="C998" s="8">
        <v>46174</v>
      </c>
      <c r="D998" s="2" t="s">
        <v>199</v>
      </c>
      <c r="E998" s="2" t="s">
        <v>12593</v>
      </c>
      <c r="F998" s="2" t="s">
        <v>12423</v>
      </c>
      <c r="G998" s="2" t="s">
        <v>14618</v>
      </c>
      <c r="H998" s="2" t="s">
        <v>39</v>
      </c>
      <c r="I998" s="9">
        <v>3695.4</v>
      </c>
      <c r="J998" s="7">
        <v>1</v>
      </c>
      <c r="K998" s="9">
        <v>3695.4</v>
      </c>
      <c r="L998" s="14">
        <v>0</v>
      </c>
      <c r="M998" s="2" t="s">
        <v>71</v>
      </c>
      <c r="N998" s="2" t="s">
        <v>12595</v>
      </c>
      <c r="O998" s="2" t="s">
        <v>14619</v>
      </c>
      <c r="P998" s="9">
        <v>0</v>
      </c>
      <c r="Q998" s="9">
        <v>0</v>
      </c>
      <c r="R998" s="2" t="s">
        <v>13950</v>
      </c>
    </row>
    <row r="999" spans="1:18" x14ac:dyDescent="0.25">
      <c r="A999" s="2" t="s">
        <v>5032</v>
      </c>
      <c r="B999" s="6">
        <v>46174</v>
      </c>
      <c r="C999" s="8">
        <v>46175</v>
      </c>
      <c r="D999" s="2" t="s">
        <v>199</v>
      </c>
      <c r="E999" s="2" t="s">
        <v>12593</v>
      </c>
      <c r="F999" s="2" t="s">
        <v>12424</v>
      </c>
      <c r="G999" s="2" t="s">
        <v>14620</v>
      </c>
      <c r="H999" s="2" t="s">
        <v>76</v>
      </c>
      <c r="I999" s="9">
        <v>61894560</v>
      </c>
      <c r="J999" s="7">
        <v>6.2500000000000001E-5</v>
      </c>
      <c r="K999" s="9">
        <v>3868.41</v>
      </c>
      <c r="L999" s="14">
        <v>0</v>
      </c>
      <c r="M999" s="2" t="s">
        <v>71</v>
      </c>
      <c r="N999" s="2" t="s">
        <v>12595</v>
      </c>
      <c r="O999" s="2" t="s">
        <v>14621</v>
      </c>
      <c r="P999" s="9">
        <v>0</v>
      </c>
      <c r="Q999" s="9">
        <v>0</v>
      </c>
      <c r="R999" s="2" t="s">
        <v>13953</v>
      </c>
    </row>
    <row r="1000" spans="1:18" x14ac:dyDescent="0.25">
      <c r="A1000" s="2" t="s">
        <v>5035</v>
      </c>
      <c r="B1000" s="6">
        <v>46174</v>
      </c>
      <c r="C1000" s="8">
        <v>46176</v>
      </c>
      <c r="D1000" s="2" t="s">
        <v>199</v>
      </c>
      <c r="E1000" s="2" t="s">
        <v>12593</v>
      </c>
      <c r="F1000" s="2" t="s">
        <v>12425</v>
      </c>
      <c r="G1000" s="2" t="s">
        <v>14622</v>
      </c>
      <c r="H1000" s="2" t="s">
        <v>70</v>
      </c>
      <c r="I1000" s="9">
        <v>6077.323308</v>
      </c>
      <c r="J1000" s="7">
        <v>0.66500000000000004</v>
      </c>
      <c r="K1000" s="9">
        <v>4041.42</v>
      </c>
      <c r="L1000" s="14">
        <v>0</v>
      </c>
      <c r="M1000" s="2" t="s">
        <v>71</v>
      </c>
      <c r="N1000" s="2" t="s">
        <v>12595</v>
      </c>
      <c r="O1000" s="2" t="s">
        <v>14623</v>
      </c>
      <c r="P1000" s="9">
        <v>0</v>
      </c>
      <c r="Q1000" s="9">
        <v>0</v>
      </c>
      <c r="R1000" s="2" t="s">
        <v>13956</v>
      </c>
    </row>
    <row r="1001" spans="1:18" x14ac:dyDescent="0.25">
      <c r="A1001" s="2" t="s">
        <v>5038</v>
      </c>
      <c r="B1001" s="6">
        <v>46204</v>
      </c>
      <c r="C1001" s="8">
        <v>46227</v>
      </c>
      <c r="D1001" s="2" t="s">
        <v>199</v>
      </c>
      <c r="E1001" s="2" t="s">
        <v>12593</v>
      </c>
      <c r="F1001" s="2" t="s">
        <v>12426</v>
      </c>
      <c r="G1001" s="2" t="s">
        <v>14624</v>
      </c>
      <c r="H1001" s="2" t="s">
        <v>39</v>
      </c>
      <c r="I1001" s="9">
        <v>4214.43</v>
      </c>
      <c r="J1001" s="7">
        <v>1</v>
      </c>
      <c r="K1001" s="9">
        <v>4214.43</v>
      </c>
      <c r="L1001" s="14">
        <v>0</v>
      </c>
      <c r="M1001" s="2" t="s">
        <v>71</v>
      </c>
      <c r="N1001" s="2" t="s">
        <v>13272</v>
      </c>
      <c r="O1001" s="2" t="s">
        <v>14625</v>
      </c>
      <c r="P1001" s="9">
        <v>0</v>
      </c>
      <c r="Q1001" s="9">
        <v>0</v>
      </c>
      <c r="R1001" s="2" t="s">
        <v>14626</v>
      </c>
    </row>
    <row r="1002" spans="1:18" x14ac:dyDescent="0.25">
      <c r="A1002" s="2" t="s">
        <v>5043</v>
      </c>
      <c r="B1002" s="6">
        <v>46204</v>
      </c>
      <c r="C1002" s="8">
        <v>46228</v>
      </c>
      <c r="D1002" s="2" t="s">
        <v>199</v>
      </c>
      <c r="E1002" s="2" t="s">
        <v>12593</v>
      </c>
      <c r="F1002" s="2" t="s">
        <v>12427</v>
      </c>
      <c r="G1002" s="2" t="s">
        <v>14627</v>
      </c>
      <c r="H1002" s="2" t="s">
        <v>76</v>
      </c>
      <c r="I1002" s="9">
        <v>70765161.290323004</v>
      </c>
      <c r="J1002" s="7">
        <v>6.2000000000000003E-5</v>
      </c>
      <c r="K1002" s="9">
        <v>4387.4399999999996</v>
      </c>
      <c r="L1002" s="14">
        <v>0</v>
      </c>
      <c r="M1002" s="2" t="s">
        <v>71</v>
      </c>
      <c r="N1002" s="2" t="s">
        <v>13272</v>
      </c>
      <c r="O1002" s="2" t="s">
        <v>14628</v>
      </c>
      <c r="P1002" s="9">
        <v>0</v>
      </c>
      <c r="Q1002" s="9">
        <v>0</v>
      </c>
      <c r="R1002" s="2" t="s">
        <v>14629</v>
      </c>
    </row>
    <row r="1003" spans="1:18" x14ac:dyDescent="0.25">
      <c r="A1003" s="2" t="s">
        <v>5048</v>
      </c>
      <c r="B1003" s="6">
        <v>46204</v>
      </c>
      <c r="C1003" s="8">
        <v>46229</v>
      </c>
      <c r="D1003" s="2" t="s">
        <v>199</v>
      </c>
      <c r="E1003" s="2" t="s">
        <v>12593</v>
      </c>
      <c r="F1003" s="2" t="s">
        <v>12428</v>
      </c>
      <c r="G1003" s="2" t="s">
        <v>14630</v>
      </c>
      <c r="H1003" s="2" t="s">
        <v>70</v>
      </c>
      <c r="I1003" s="9">
        <v>6930.7750759999999</v>
      </c>
      <c r="J1003" s="7">
        <v>0.65800000000000003</v>
      </c>
      <c r="K1003" s="9">
        <v>4560.45</v>
      </c>
      <c r="L1003" s="14">
        <v>0</v>
      </c>
      <c r="M1003" s="2" t="s">
        <v>71</v>
      </c>
      <c r="N1003" s="2" t="s">
        <v>13272</v>
      </c>
      <c r="O1003" s="2" t="s">
        <v>14631</v>
      </c>
      <c r="P1003" s="9">
        <v>0</v>
      </c>
      <c r="Q1003" s="9">
        <v>0</v>
      </c>
      <c r="R1003" s="2" t="s">
        <v>14632</v>
      </c>
    </row>
    <row r="1004" spans="1:18" x14ac:dyDescent="0.25">
      <c r="A1004" s="2" t="s">
        <v>5051</v>
      </c>
      <c r="B1004" s="6">
        <v>46204</v>
      </c>
      <c r="C1004" s="8">
        <v>46230</v>
      </c>
      <c r="D1004" s="2" t="s">
        <v>199</v>
      </c>
      <c r="E1004" s="2" t="s">
        <v>12593</v>
      </c>
      <c r="F1004" s="2" t="s">
        <v>12429</v>
      </c>
      <c r="G1004" s="2" t="s">
        <v>14633</v>
      </c>
      <c r="H1004" s="2" t="s">
        <v>39</v>
      </c>
      <c r="I1004" s="9">
        <v>4733.46</v>
      </c>
      <c r="J1004" s="7">
        <v>1</v>
      </c>
      <c r="K1004" s="9">
        <v>4733.46</v>
      </c>
      <c r="L1004" s="14">
        <v>0</v>
      </c>
      <c r="M1004" s="2" t="s">
        <v>71</v>
      </c>
      <c r="N1004" s="2" t="s">
        <v>13272</v>
      </c>
      <c r="O1004" s="2" t="s">
        <v>14634</v>
      </c>
      <c r="P1004" s="9">
        <v>0</v>
      </c>
      <c r="Q1004" s="9">
        <v>0</v>
      </c>
      <c r="R1004" s="2" t="s">
        <v>14635</v>
      </c>
    </row>
    <row r="1005" spans="1:18" x14ac:dyDescent="0.25">
      <c r="A1005" s="2" t="s">
        <v>5054</v>
      </c>
      <c r="B1005" s="6">
        <v>46204</v>
      </c>
      <c r="C1005" s="8">
        <v>46231</v>
      </c>
      <c r="D1005" s="2" t="s">
        <v>199</v>
      </c>
      <c r="E1005" s="2" t="s">
        <v>12593</v>
      </c>
      <c r="F1005" s="2" t="s">
        <v>12430</v>
      </c>
      <c r="G1005" s="2" t="s">
        <v>14636</v>
      </c>
      <c r="H1005" s="2" t="s">
        <v>76</v>
      </c>
      <c r="I1005" s="9">
        <v>79136612.903226003</v>
      </c>
      <c r="J1005" s="7">
        <v>6.2000000000000003E-5</v>
      </c>
      <c r="K1005" s="9">
        <v>4906.47</v>
      </c>
      <c r="L1005" s="14">
        <v>0</v>
      </c>
      <c r="M1005" s="2" t="s">
        <v>71</v>
      </c>
      <c r="N1005" s="2" t="s">
        <v>13272</v>
      </c>
      <c r="O1005" s="2" t="s">
        <v>14637</v>
      </c>
      <c r="P1005" s="9">
        <v>0</v>
      </c>
      <c r="Q1005" s="9">
        <v>0</v>
      </c>
      <c r="R1005" s="2" t="s">
        <v>14638</v>
      </c>
    </row>
    <row r="1006" spans="1:18" x14ac:dyDescent="0.25">
      <c r="A1006" s="2" t="s">
        <v>5059</v>
      </c>
      <c r="B1006" s="6">
        <v>46204</v>
      </c>
      <c r="C1006" s="8">
        <v>46232</v>
      </c>
      <c r="D1006" s="2" t="s">
        <v>199</v>
      </c>
      <c r="E1006" s="2" t="s">
        <v>12593</v>
      </c>
      <c r="F1006" s="2" t="s">
        <v>12431</v>
      </c>
      <c r="G1006" s="2" t="s">
        <v>14639</v>
      </c>
      <c r="H1006" s="2" t="s">
        <v>70</v>
      </c>
      <c r="I1006" s="9">
        <v>7719.5744679999998</v>
      </c>
      <c r="J1006" s="7">
        <v>0.65800000000000003</v>
      </c>
      <c r="K1006" s="9">
        <v>5079.4799999999996</v>
      </c>
      <c r="L1006" s="14">
        <v>0</v>
      </c>
      <c r="M1006" s="2" t="s">
        <v>71</v>
      </c>
      <c r="N1006" s="2" t="s">
        <v>13272</v>
      </c>
      <c r="O1006" s="2" t="s">
        <v>14640</v>
      </c>
      <c r="P1006" s="9">
        <v>0</v>
      </c>
      <c r="Q1006" s="9">
        <v>0</v>
      </c>
      <c r="R1006" s="2" t="s">
        <v>14641</v>
      </c>
    </row>
    <row r="1007" spans="1:18" x14ac:dyDescent="0.25">
      <c r="A1007" s="2" t="s">
        <v>5062</v>
      </c>
      <c r="B1007" s="6">
        <v>46204</v>
      </c>
      <c r="C1007" s="8">
        <v>46233</v>
      </c>
      <c r="D1007" s="2" t="s">
        <v>199</v>
      </c>
      <c r="E1007" s="2" t="s">
        <v>12593</v>
      </c>
      <c r="F1007" s="2" t="s">
        <v>12432</v>
      </c>
      <c r="G1007" s="2" t="s">
        <v>14642</v>
      </c>
      <c r="H1007" s="2" t="s">
        <v>39</v>
      </c>
      <c r="I1007" s="9">
        <v>5252.49</v>
      </c>
      <c r="J1007" s="7">
        <v>1</v>
      </c>
      <c r="K1007" s="9">
        <v>5252.49</v>
      </c>
      <c r="L1007" s="14">
        <v>0</v>
      </c>
      <c r="M1007" s="2" t="s">
        <v>71</v>
      </c>
      <c r="N1007" s="2" t="s">
        <v>13272</v>
      </c>
      <c r="O1007" s="2" t="s">
        <v>14643</v>
      </c>
      <c r="P1007" s="9">
        <v>0</v>
      </c>
      <c r="Q1007" s="9">
        <v>0</v>
      </c>
      <c r="R1007" s="2" t="s">
        <v>14644</v>
      </c>
    </row>
    <row r="1008" spans="1:18" x14ac:dyDescent="0.25">
      <c r="A1008" s="2" t="s">
        <v>5065</v>
      </c>
      <c r="B1008" s="6">
        <v>46204</v>
      </c>
      <c r="C1008" s="8">
        <v>46234</v>
      </c>
      <c r="D1008" s="2" t="s">
        <v>199</v>
      </c>
      <c r="E1008" s="2" t="s">
        <v>12593</v>
      </c>
      <c r="F1008" s="2" t="s">
        <v>12423</v>
      </c>
      <c r="G1008" s="2" t="s">
        <v>14645</v>
      </c>
      <c r="H1008" s="2" t="s">
        <v>76</v>
      </c>
      <c r="I1008" s="9">
        <v>87508064.516129002</v>
      </c>
      <c r="J1008" s="7">
        <v>6.2000000000000003E-5</v>
      </c>
      <c r="K1008" s="9">
        <v>5425.5</v>
      </c>
      <c r="L1008" s="14">
        <v>0</v>
      </c>
      <c r="M1008" s="2" t="s">
        <v>71</v>
      </c>
      <c r="N1008" s="2" t="s">
        <v>13272</v>
      </c>
      <c r="O1008" s="2" t="s">
        <v>14646</v>
      </c>
      <c r="P1008" s="9">
        <v>0</v>
      </c>
      <c r="Q1008" s="9">
        <v>0</v>
      </c>
      <c r="R1008" s="2" t="s">
        <v>14647</v>
      </c>
    </row>
    <row r="1009" spans="1:18" x14ac:dyDescent="0.25">
      <c r="A1009" s="2" t="s">
        <v>5068</v>
      </c>
      <c r="B1009" s="6">
        <v>46204</v>
      </c>
      <c r="C1009" s="8">
        <v>46204</v>
      </c>
      <c r="D1009" s="2" t="s">
        <v>199</v>
      </c>
      <c r="E1009" s="2" t="s">
        <v>12593</v>
      </c>
      <c r="F1009" s="2" t="s">
        <v>12424</v>
      </c>
      <c r="G1009" s="2" t="s">
        <v>14648</v>
      </c>
      <c r="H1009" s="2" t="s">
        <v>70</v>
      </c>
      <c r="I1009" s="9">
        <v>8508.3738599999997</v>
      </c>
      <c r="J1009" s="7">
        <v>0.65800000000000003</v>
      </c>
      <c r="K1009" s="9">
        <v>5598.51</v>
      </c>
      <c r="L1009" s="14">
        <v>0</v>
      </c>
      <c r="M1009" s="2" t="s">
        <v>71</v>
      </c>
      <c r="N1009" s="2" t="s">
        <v>13272</v>
      </c>
      <c r="O1009" s="2" t="s">
        <v>14649</v>
      </c>
      <c r="P1009" s="9">
        <v>0</v>
      </c>
      <c r="Q1009" s="9">
        <v>0</v>
      </c>
      <c r="R1009" s="2" t="s">
        <v>14650</v>
      </c>
    </row>
    <row r="1010" spans="1:18" x14ac:dyDescent="0.25">
      <c r="A1010" s="2" t="s">
        <v>5071</v>
      </c>
      <c r="B1010" s="6">
        <v>46204</v>
      </c>
      <c r="C1010" s="8">
        <v>46205</v>
      </c>
      <c r="D1010" s="2" t="s">
        <v>199</v>
      </c>
      <c r="E1010" s="2" t="s">
        <v>12593</v>
      </c>
      <c r="F1010" s="2" t="s">
        <v>12425</v>
      </c>
      <c r="G1010" s="2" t="s">
        <v>14651</v>
      </c>
      <c r="H1010" s="2" t="s">
        <v>39</v>
      </c>
      <c r="I1010" s="9">
        <v>5771.52</v>
      </c>
      <c r="J1010" s="7">
        <v>1</v>
      </c>
      <c r="K1010" s="9">
        <v>5771.52</v>
      </c>
      <c r="L1010" s="14">
        <v>0</v>
      </c>
      <c r="M1010" s="2" t="s">
        <v>71</v>
      </c>
      <c r="N1010" s="2" t="s">
        <v>13272</v>
      </c>
      <c r="O1010" s="2" t="s">
        <v>14652</v>
      </c>
      <c r="P1010" s="9">
        <v>0</v>
      </c>
      <c r="Q1010" s="9">
        <v>0</v>
      </c>
      <c r="R1010" s="2" t="s">
        <v>14653</v>
      </c>
    </row>
    <row r="1011" spans="1:18" x14ac:dyDescent="0.25">
      <c r="A1011" s="2" t="s">
        <v>5074</v>
      </c>
      <c r="B1011" s="6">
        <v>46204</v>
      </c>
      <c r="C1011" s="8">
        <v>46206</v>
      </c>
      <c r="D1011" s="2" t="s">
        <v>199</v>
      </c>
      <c r="E1011" s="2" t="s">
        <v>12593</v>
      </c>
      <c r="F1011" s="2" t="s">
        <v>12426</v>
      </c>
      <c r="G1011" s="2" t="s">
        <v>14654</v>
      </c>
      <c r="H1011" s="2" t="s">
        <v>76</v>
      </c>
      <c r="I1011" s="9">
        <v>95879516.129032001</v>
      </c>
      <c r="J1011" s="7">
        <v>6.2000000000000003E-5</v>
      </c>
      <c r="K1011" s="9">
        <v>5944.53</v>
      </c>
      <c r="L1011" s="14">
        <v>0</v>
      </c>
      <c r="M1011" s="2" t="s">
        <v>71</v>
      </c>
      <c r="N1011" s="2" t="s">
        <v>13272</v>
      </c>
      <c r="O1011" s="2" t="s">
        <v>14655</v>
      </c>
      <c r="P1011" s="9">
        <v>0</v>
      </c>
      <c r="Q1011" s="9">
        <v>0</v>
      </c>
      <c r="R1011" s="2" t="s">
        <v>14626</v>
      </c>
    </row>
    <row r="1012" spans="1:18" x14ac:dyDescent="0.25">
      <c r="A1012" s="2" t="s">
        <v>5079</v>
      </c>
      <c r="B1012" s="6">
        <v>46204</v>
      </c>
      <c r="C1012" s="8">
        <v>46207</v>
      </c>
      <c r="D1012" s="2" t="s">
        <v>199</v>
      </c>
      <c r="E1012" s="2" t="s">
        <v>12593</v>
      </c>
      <c r="F1012" s="2" t="s">
        <v>12427</v>
      </c>
      <c r="G1012" s="2" t="s">
        <v>14656</v>
      </c>
      <c r="H1012" s="2" t="s">
        <v>70</v>
      </c>
      <c r="I1012" s="9">
        <v>9297.1732520000005</v>
      </c>
      <c r="J1012" s="7">
        <v>0.65800000000000003</v>
      </c>
      <c r="K1012" s="9">
        <v>6117.54</v>
      </c>
      <c r="L1012" s="14">
        <v>0</v>
      </c>
      <c r="M1012" s="2" t="s">
        <v>71</v>
      </c>
      <c r="N1012" s="2" t="s">
        <v>13272</v>
      </c>
      <c r="O1012" s="2" t="s">
        <v>14657</v>
      </c>
      <c r="P1012" s="9">
        <v>0</v>
      </c>
      <c r="Q1012" s="9">
        <v>0</v>
      </c>
      <c r="R1012" s="2" t="s">
        <v>14629</v>
      </c>
    </row>
    <row r="1013" spans="1:18" x14ac:dyDescent="0.25">
      <c r="A1013" s="2" t="s">
        <v>5084</v>
      </c>
      <c r="B1013" s="6">
        <v>46204</v>
      </c>
      <c r="C1013" s="8">
        <v>46208</v>
      </c>
      <c r="D1013" s="2" t="s">
        <v>199</v>
      </c>
      <c r="E1013" s="2" t="s">
        <v>12593</v>
      </c>
      <c r="F1013" s="2" t="s">
        <v>12428</v>
      </c>
      <c r="G1013" s="2" t="s">
        <v>14658</v>
      </c>
      <c r="H1013" s="2" t="s">
        <v>39</v>
      </c>
      <c r="I1013" s="9">
        <v>6290.55</v>
      </c>
      <c r="J1013" s="7">
        <v>1</v>
      </c>
      <c r="K1013" s="9">
        <v>6290.55</v>
      </c>
      <c r="L1013" s="14">
        <v>0</v>
      </c>
      <c r="M1013" s="2" t="s">
        <v>71</v>
      </c>
      <c r="N1013" s="2" t="s">
        <v>13272</v>
      </c>
      <c r="O1013" s="2" t="s">
        <v>14659</v>
      </c>
      <c r="P1013" s="9">
        <v>0</v>
      </c>
      <c r="Q1013" s="9">
        <v>0</v>
      </c>
      <c r="R1013" s="2" t="s">
        <v>14632</v>
      </c>
    </row>
    <row r="1014" spans="1:18" x14ac:dyDescent="0.25">
      <c r="A1014" s="2" t="s">
        <v>5087</v>
      </c>
      <c r="B1014" s="6">
        <v>46204</v>
      </c>
      <c r="C1014" s="8">
        <v>46209</v>
      </c>
      <c r="D1014" s="2" t="s">
        <v>199</v>
      </c>
      <c r="E1014" s="2" t="s">
        <v>12593</v>
      </c>
      <c r="F1014" s="2" t="s">
        <v>12429</v>
      </c>
      <c r="G1014" s="2" t="s">
        <v>14660</v>
      </c>
      <c r="H1014" s="2" t="s">
        <v>76</v>
      </c>
      <c r="I1014" s="9">
        <v>104250967.741935</v>
      </c>
      <c r="J1014" s="7">
        <v>6.2000000000000003E-5</v>
      </c>
      <c r="K1014" s="9">
        <v>6463.56</v>
      </c>
      <c r="L1014" s="14">
        <v>0</v>
      </c>
      <c r="M1014" s="2" t="s">
        <v>71</v>
      </c>
      <c r="N1014" s="2" t="s">
        <v>13272</v>
      </c>
      <c r="O1014" s="2" t="s">
        <v>14661</v>
      </c>
      <c r="P1014" s="9">
        <v>0</v>
      </c>
      <c r="Q1014" s="9">
        <v>0</v>
      </c>
      <c r="R1014" s="2" t="s">
        <v>14635</v>
      </c>
    </row>
    <row r="1015" spans="1:18" x14ac:dyDescent="0.25">
      <c r="A1015" s="2" t="s">
        <v>5090</v>
      </c>
      <c r="B1015" s="6">
        <v>46204</v>
      </c>
      <c r="C1015" s="8">
        <v>46210</v>
      </c>
      <c r="D1015" s="2" t="s">
        <v>199</v>
      </c>
      <c r="E1015" s="2" t="s">
        <v>12593</v>
      </c>
      <c r="F1015" s="2" t="s">
        <v>12430</v>
      </c>
      <c r="G1015" s="2" t="s">
        <v>14662</v>
      </c>
      <c r="H1015" s="2" t="s">
        <v>70</v>
      </c>
      <c r="I1015" s="9">
        <v>10085.972643999999</v>
      </c>
      <c r="J1015" s="7">
        <v>0.65800000000000003</v>
      </c>
      <c r="K1015" s="9">
        <v>6636.57</v>
      </c>
      <c r="L1015" s="14">
        <v>0</v>
      </c>
      <c r="M1015" s="2" t="s">
        <v>71</v>
      </c>
      <c r="N1015" s="2" t="s">
        <v>13272</v>
      </c>
      <c r="O1015" s="2" t="s">
        <v>14663</v>
      </c>
      <c r="P1015" s="9">
        <v>0</v>
      </c>
      <c r="Q1015" s="9">
        <v>0</v>
      </c>
      <c r="R1015" s="2" t="s">
        <v>14638</v>
      </c>
    </row>
    <row r="1016" spans="1:18" x14ac:dyDescent="0.25">
      <c r="A1016" s="2" t="s">
        <v>5095</v>
      </c>
      <c r="B1016" s="6">
        <v>46204</v>
      </c>
      <c r="C1016" s="8">
        <v>46211</v>
      </c>
      <c r="D1016" s="2" t="s">
        <v>199</v>
      </c>
      <c r="E1016" s="2" t="s">
        <v>12593</v>
      </c>
      <c r="F1016" s="2" t="s">
        <v>12431</v>
      </c>
      <c r="G1016" s="2" t="s">
        <v>14664</v>
      </c>
      <c r="H1016" s="2" t="s">
        <v>39</v>
      </c>
      <c r="I1016" s="9">
        <v>6809.58</v>
      </c>
      <c r="J1016" s="7">
        <v>1</v>
      </c>
      <c r="K1016" s="9">
        <v>6809.58</v>
      </c>
      <c r="L1016" s="14">
        <v>0</v>
      </c>
      <c r="M1016" s="2" t="s">
        <v>71</v>
      </c>
      <c r="N1016" s="2" t="s">
        <v>13272</v>
      </c>
      <c r="O1016" s="2" t="s">
        <v>14665</v>
      </c>
      <c r="P1016" s="9">
        <v>0</v>
      </c>
      <c r="Q1016" s="9">
        <v>0</v>
      </c>
      <c r="R1016" s="2" t="s">
        <v>14641</v>
      </c>
    </row>
    <row r="1017" spans="1:18" x14ac:dyDescent="0.25">
      <c r="A1017" s="2" t="s">
        <v>5098</v>
      </c>
      <c r="B1017" s="6">
        <v>46204</v>
      </c>
      <c r="C1017" s="8">
        <v>46212</v>
      </c>
      <c r="D1017" s="2" t="s">
        <v>199</v>
      </c>
      <c r="E1017" s="2" t="s">
        <v>12593</v>
      </c>
      <c r="F1017" s="2" t="s">
        <v>12432</v>
      </c>
      <c r="G1017" s="2" t="s">
        <v>14666</v>
      </c>
      <c r="H1017" s="2" t="s">
        <v>76</v>
      </c>
      <c r="I1017" s="9">
        <v>112622419.354839</v>
      </c>
      <c r="J1017" s="7">
        <v>6.2000000000000003E-5</v>
      </c>
      <c r="K1017" s="9">
        <v>6982.59</v>
      </c>
      <c r="L1017" s="14">
        <v>0</v>
      </c>
      <c r="M1017" s="2" t="s">
        <v>71</v>
      </c>
      <c r="N1017" s="2" t="s">
        <v>13272</v>
      </c>
      <c r="O1017" s="2" t="s">
        <v>14667</v>
      </c>
      <c r="P1017" s="9">
        <v>0</v>
      </c>
      <c r="Q1017" s="9">
        <v>0</v>
      </c>
      <c r="R1017" s="2" t="s">
        <v>14644</v>
      </c>
    </row>
    <row r="1018" spans="1:18" x14ac:dyDescent="0.25">
      <c r="A1018" s="2" t="s">
        <v>5101</v>
      </c>
      <c r="B1018" s="6">
        <v>46204</v>
      </c>
      <c r="C1018" s="8">
        <v>46213</v>
      </c>
      <c r="D1018" s="2" t="s">
        <v>199</v>
      </c>
      <c r="E1018" s="2" t="s">
        <v>12593</v>
      </c>
      <c r="F1018" s="2" t="s">
        <v>12423</v>
      </c>
      <c r="G1018" s="2" t="s">
        <v>14668</v>
      </c>
      <c r="H1018" s="2" t="s">
        <v>70</v>
      </c>
      <c r="I1018" s="9">
        <v>10874.772036</v>
      </c>
      <c r="J1018" s="7">
        <v>0.65800000000000003</v>
      </c>
      <c r="K1018" s="9">
        <v>7155.6</v>
      </c>
      <c r="L1018" s="14">
        <v>0</v>
      </c>
      <c r="M1018" s="2" t="s">
        <v>71</v>
      </c>
      <c r="N1018" s="2" t="s">
        <v>13272</v>
      </c>
      <c r="O1018" s="2" t="s">
        <v>14669</v>
      </c>
      <c r="P1018" s="9">
        <v>0</v>
      </c>
      <c r="Q1018" s="9">
        <v>0</v>
      </c>
      <c r="R1018" s="2" t="s">
        <v>14647</v>
      </c>
    </row>
    <row r="1019" spans="1:18" x14ac:dyDescent="0.25">
      <c r="A1019" s="2" t="s">
        <v>5104</v>
      </c>
      <c r="B1019" s="6">
        <v>46204</v>
      </c>
      <c r="C1019" s="8">
        <v>46214</v>
      </c>
      <c r="D1019" s="2" t="s">
        <v>199</v>
      </c>
      <c r="E1019" s="2" t="s">
        <v>12593</v>
      </c>
      <c r="F1019" s="2" t="s">
        <v>12424</v>
      </c>
      <c r="G1019" s="2" t="s">
        <v>14670</v>
      </c>
      <c r="H1019" s="2" t="s">
        <v>39</v>
      </c>
      <c r="I1019" s="9">
        <v>7328.61</v>
      </c>
      <c r="J1019" s="7">
        <v>1</v>
      </c>
      <c r="K1019" s="9">
        <v>7328.61</v>
      </c>
      <c r="L1019" s="14">
        <v>0</v>
      </c>
      <c r="M1019" s="2" t="s">
        <v>71</v>
      </c>
      <c r="N1019" s="2" t="s">
        <v>13272</v>
      </c>
      <c r="O1019" s="2" t="s">
        <v>14671</v>
      </c>
      <c r="P1019" s="9">
        <v>0</v>
      </c>
      <c r="Q1019" s="9">
        <v>0</v>
      </c>
      <c r="R1019" s="2" t="s">
        <v>14650</v>
      </c>
    </row>
    <row r="1020" spans="1:18" x14ac:dyDescent="0.25">
      <c r="A1020" s="2" t="s">
        <v>5107</v>
      </c>
      <c r="B1020" s="6">
        <v>46204</v>
      </c>
      <c r="C1020" s="8">
        <v>46215</v>
      </c>
      <c r="D1020" s="2" t="s">
        <v>199</v>
      </c>
      <c r="E1020" s="2" t="s">
        <v>12593</v>
      </c>
      <c r="F1020" s="2" t="s">
        <v>12425</v>
      </c>
      <c r="G1020" s="2" t="s">
        <v>14672</v>
      </c>
      <c r="H1020" s="2" t="s">
        <v>76</v>
      </c>
      <c r="I1020" s="9">
        <v>120993870.967742</v>
      </c>
      <c r="J1020" s="7">
        <v>6.2000000000000003E-5</v>
      </c>
      <c r="K1020" s="9">
        <v>7501.62</v>
      </c>
      <c r="L1020" s="14">
        <v>0</v>
      </c>
      <c r="M1020" s="2" t="s">
        <v>71</v>
      </c>
      <c r="N1020" s="2" t="s">
        <v>13272</v>
      </c>
      <c r="O1020" s="2" t="s">
        <v>14673</v>
      </c>
      <c r="P1020" s="9">
        <v>0</v>
      </c>
      <c r="Q1020" s="9">
        <v>0</v>
      </c>
      <c r="R1020" s="2" t="s">
        <v>14653</v>
      </c>
    </row>
    <row r="1021" spans="1:18" x14ac:dyDescent="0.25">
      <c r="A1021" s="2" t="s">
        <v>5110</v>
      </c>
      <c r="B1021" s="6">
        <v>46204</v>
      </c>
      <c r="C1021" s="8">
        <v>46216</v>
      </c>
      <c r="D1021" s="2" t="s">
        <v>199</v>
      </c>
      <c r="E1021" s="2" t="s">
        <v>12593</v>
      </c>
      <c r="F1021" s="2" t="s">
        <v>12426</v>
      </c>
      <c r="G1021" s="2" t="s">
        <v>14674</v>
      </c>
      <c r="H1021" s="2" t="s">
        <v>70</v>
      </c>
      <c r="I1021" s="9">
        <v>11663.571429</v>
      </c>
      <c r="J1021" s="7">
        <v>0.65800000000000003</v>
      </c>
      <c r="K1021" s="9">
        <v>7674.63</v>
      </c>
      <c r="L1021" s="14">
        <v>0</v>
      </c>
      <c r="M1021" s="2" t="s">
        <v>71</v>
      </c>
      <c r="N1021" s="2" t="s">
        <v>13272</v>
      </c>
      <c r="O1021" s="2" t="s">
        <v>14675</v>
      </c>
      <c r="P1021" s="9">
        <v>0</v>
      </c>
      <c r="Q1021" s="9">
        <v>0</v>
      </c>
      <c r="R1021" s="2" t="s">
        <v>14626</v>
      </c>
    </row>
    <row r="1022" spans="1:18" x14ac:dyDescent="0.25">
      <c r="A1022" s="2" t="s">
        <v>5115</v>
      </c>
      <c r="B1022" s="6">
        <v>46204</v>
      </c>
      <c r="C1022" s="8">
        <v>46217</v>
      </c>
      <c r="D1022" s="2" t="s">
        <v>199</v>
      </c>
      <c r="E1022" s="2" t="s">
        <v>12593</v>
      </c>
      <c r="F1022" s="2" t="s">
        <v>12427</v>
      </c>
      <c r="G1022" s="2" t="s">
        <v>14676</v>
      </c>
      <c r="H1022" s="2" t="s">
        <v>39</v>
      </c>
      <c r="I1022" s="9">
        <v>7847.64</v>
      </c>
      <c r="J1022" s="7">
        <v>1</v>
      </c>
      <c r="K1022" s="9">
        <v>7847.64</v>
      </c>
      <c r="L1022" s="14">
        <v>0</v>
      </c>
      <c r="M1022" s="2" t="s">
        <v>71</v>
      </c>
      <c r="N1022" s="2" t="s">
        <v>13272</v>
      </c>
      <c r="O1022" s="2" t="s">
        <v>14677</v>
      </c>
      <c r="P1022" s="9">
        <v>0</v>
      </c>
      <c r="Q1022" s="9">
        <v>0</v>
      </c>
      <c r="R1022" s="2" t="s">
        <v>14629</v>
      </c>
    </row>
    <row r="1023" spans="1:18" x14ac:dyDescent="0.25">
      <c r="A1023" s="2" t="s">
        <v>5120</v>
      </c>
      <c r="B1023" s="6">
        <v>46204</v>
      </c>
      <c r="C1023" s="8">
        <v>46218</v>
      </c>
      <c r="D1023" s="2" t="s">
        <v>199</v>
      </c>
      <c r="E1023" s="2" t="s">
        <v>12593</v>
      </c>
      <c r="F1023" s="2" t="s">
        <v>12428</v>
      </c>
      <c r="G1023" s="2" t="s">
        <v>14678</v>
      </c>
      <c r="H1023" s="2" t="s">
        <v>76</v>
      </c>
      <c r="I1023" s="9">
        <v>129365322.58064499</v>
      </c>
      <c r="J1023" s="7">
        <v>6.2000000000000003E-5</v>
      </c>
      <c r="K1023" s="9">
        <v>8020.65</v>
      </c>
      <c r="L1023" s="14">
        <v>0</v>
      </c>
      <c r="M1023" s="2" t="s">
        <v>71</v>
      </c>
      <c r="N1023" s="2" t="s">
        <v>13272</v>
      </c>
      <c r="O1023" s="2" t="s">
        <v>14679</v>
      </c>
      <c r="P1023" s="9">
        <v>0</v>
      </c>
      <c r="Q1023" s="9">
        <v>0</v>
      </c>
      <c r="R1023" s="2" t="s">
        <v>14632</v>
      </c>
    </row>
    <row r="1024" spans="1:18" x14ac:dyDescent="0.25">
      <c r="A1024" s="2" t="s">
        <v>5123</v>
      </c>
      <c r="B1024" s="6">
        <v>46204</v>
      </c>
      <c r="C1024" s="8">
        <v>46219</v>
      </c>
      <c r="D1024" s="2" t="s">
        <v>199</v>
      </c>
      <c r="E1024" s="2" t="s">
        <v>12593</v>
      </c>
      <c r="F1024" s="2" t="s">
        <v>12429</v>
      </c>
      <c r="G1024" s="2" t="s">
        <v>14680</v>
      </c>
      <c r="H1024" s="2" t="s">
        <v>70</v>
      </c>
      <c r="I1024" s="9">
        <v>12452.370821</v>
      </c>
      <c r="J1024" s="7">
        <v>0.65800000000000003</v>
      </c>
      <c r="K1024" s="9">
        <v>8193.66</v>
      </c>
      <c r="L1024" s="14">
        <v>0</v>
      </c>
      <c r="M1024" s="2" t="s">
        <v>71</v>
      </c>
      <c r="N1024" s="2" t="s">
        <v>13272</v>
      </c>
      <c r="O1024" s="2" t="s">
        <v>14681</v>
      </c>
      <c r="P1024" s="9">
        <v>0</v>
      </c>
      <c r="Q1024" s="9">
        <v>0</v>
      </c>
      <c r="R1024" s="2" t="s">
        <v>14635</v>
      </c>
    </row>
    <row r="1025" spans="1:18" x14ac:dyDescent="0.25">
      <c r="A1025" s="2" t="s">
        <v>5126</v>
      </c>
      <c r="B1025" s="6">
        <v>46204</v>
      </c>
      <c r="C1025" s="8">
        <v>46220</v>
      </c>
      <c r="D1025" s="2" t="s">
        <v>199</v>
      </c>
      <c r="E1025" s="2" t="s">
        <v>12593</v>
      </c>
      <c r="F1025" s="2" t="s">
        <v>12430</v>
      </c>
      <c r="G1025" s="2" t="s">
        <v>14682</v>
      </c>
      <c r="H1025" s="2" t="s">
        <v>39</v>
      </c>
      <c r="I1025" s="9">
        <v>8366.67</v>
      </c>
      <c r="J1025" s="7">
        <v>1</v>
      </c>
      <c r="K1025" s="9">
        <v>8366.67</v>
      </c>
      <c r="L1025" s="14">
        <v>0</v>
      </c>
      <c r="M1025" s="2" t="s">
        <v>71</v>
      </c>
      <c r="N1025" s="2" t="s">
        <v>13272</v>
      </c>
      <c r="O1025" s="2" t="s">
        <v>14683</v>
      </c>
      <c r="P1025" s="9">
        <v>0</v>
      </c>
      <c r="Q1025" s="9">
        <v>0</v>
      </c>
      <c r="R1025" s="2" t="s">
        <v>14638</v>
      </c>
    </row>
    <row r="1026" spans="1:18" x14ac:dyDescent="0.25">
      <c r="A1026" s="2" t="s">
        <v>5131</v>
      </c>
      <c r="B1026" s="6">
        <v>46204</v>
      </c>
      <c r="C1026" s="8">
        <v>46221</v>
      </c>
      <c r="D1026" s="2" t="s">
        <v>199</v>
      </c>
      <c r="E1026" s="2" t="s">
        <v>12593</v>
      </c>
      <c r="F1026" s="2" t="s">
        <v>12431</v>
      </c>
      <c r="G1026" s="2" t="s">
        <v>14684</v>
      </c>
      <c r="H1026" s="2" t="s">
        <v>76</v>
      </c>
      <c r="I1026" s="9">
        <v>137736774.19354799</v>
      </c>
      <c r="J1026" s="7">
        <v>6.2000000000000003E-5</v>
      </c>
      <c r="K1026" s="9">
        <v>8539.68</v>
      </c>
      <c r="L1026" s="14">
        <v>0</v>
      </c>
      <c r="M1026" s="2" t="s">
        <v>71</v>
      </c>
      <c r="N1026" s="2" t="s">
        <v>13272</v>
      </c>
      <c r="O1026" s="2" t="s">
        <v>14685</v>
      </c>
      <c r="P1026" s="9">
        <v>0</v>
      </c>
      <c r="Q1026" s="9">
        <v>0</v>
      </c>
      <c r="R1026" s="2" t="s">
        <v>14641</v>
      </c>
    </row>
    <row r="1027" spans="1:18" x14ac:dyDescent="0.25">
      <c r="A1027" s="2" t="s">
        <v>5134</v>
      </c>
      <c r="B1027" s="6">
        <v>46204</v>
      </c>
      <c r="C1027" s="8">
        <v>46222</v>
      </c>
      <c r="D1027" s="2" t="s">
        <v>199</v>
      </c>
      <c r="E1027" s="2" t="s">
        <v>12593</v>
      </c>
      <c r="F1027" s="2" t="s">
        <v>12432</v>
      </c>
      <c r="G1027" s="2" t="s">
        <v>14686</v>
      </c>
      <c r="H1027" s="2" t="s">
        <v>70</v>
      </c>
      <c r="I1027" s="9">
        <v>13241.170212999999</v>
      </c>
      <c r="J1027" s="7">
        <v>0.65800000000000003</v>
      </c>
      <c r="K1027" s="9">
        <v>8712.69</v>
      </c>
      <c r="L1027" s="14">
        <v>0</v>
      </c>
      <c r="M1027" s="2" t="s">
        <v>71</v>
      </c>
      <c r="N1027" s="2" t="s">
        <v>13272</v>
      </c>
      <c r="O1027" s="2" t="s">
        <v>14687</v>
      </c>
      <c r="P1027" s="9">
        <v>0</v>
      </c>
      <c r="Q1027" s="9">
        <v>0</v>
      </c>
      <c r="R1027" s="2" t="s">
        <v>14644</v>
      </c>
    </row>
    <row r="1028" spans="1:18" x14ac:dyDescent="0.25">
      <c r="A1028" s="2" t="s">
        <v>5137</v>
      </c>
      <c r="B1028" s="6">
        <v>46204</v>
      </c>
      <c r="C1028" s="8">
        <v>46223</v>
      </c>
      <c r="D1028" s="2" t="s">
        <v>199</v>
      </c>
      <c r="E1028" s="2" t="s">
        <v>12593</v>
      </c>
      <c r="F1028" s="2" t="s">
        <v>12423</v>
      </c>
      <c r="G1028" s="2" t="s">
        <v>14688</v>
      </c>
      <c r="H1028" s="2" t="s">
        <v>39</v>
      </c>
      <c r="I1028" s="9">
        <v>8885.7000000000007</v>
      </c>
      <c r="J1028" s="7">
        <v>1</v>
      </c>
      <c r="K1028" s="9">
        <v>8885.7000000000007</v>
      </c>
      <c r="L1028" s="14">
        <v>0</v>
      </c>
      <c r="M1028" s="2" t="s">
        <v>71</v>
      </c>
      <c r="N1028" s="2" t="s">
        <v>13272</v>
      </c>
      <c r="O1028" s="2" t="s">
        <v>14689</v>
      </c>
      <c r="P1028" s="9">
        <v>0</v>
      </c>
      <c r="Q1028" s="9">
        <v>0</v>
      </c>
      <c r="R1028" s="2" t="s">
        <v>14647</v>
      </c>
    </row>
    <row r="1029" spans="1:18" x14ac:dyDescent="0.25">
      <c r="A1029" s="2" t="s">
        <v>5140</v>
      </c>
      <c r="B1029" s="6">
        <v>46204</v>
      </c>
      <c r="C1029" s="8">
        <v>46224</v>
      </c>
      <c r="D1029" s="2" t="s">
        <v>199</v>
      </c>
      <c r="E1029" s="2" t="s">
        <v>12593</v>
      </c>
      <c r="F1029" s="2" t="s">
        <v>12424</v>
      </c>
      <c r="G1029" s="2" t="s">
        <v>14690</v>
      </c>
      <c r="H1029" s="2" t="s">
        <v>76</v>
      </c>
      <c r="I1029" s="9">
        <v>146108225.80645201</v>
      </c>
      <c r="J1029" s="7">
        <v>6.2000000000000003E-5</v>
      </c>
      <c r="K1029" s="9">
        <v>9058.7099999999991</v>
      </c>
      <c r="L1029" s="14">
        <v>0</v>
      </c>
      <c r="M1029" s="2" t="s">
        <v>71</v>
      </c>
      <c r="N1029" s="2" t="s">
        <v>13272</v>
      </c>
      <c r="O1029" s="2" t="s">
        <v>14691</v>
      </c>
      <c r="P1029" s="9">
        <v>0</v>
      </c>
      <c r="Q1029" s="9">
        <v>0</v>
      </c>
      <c r="R1029" s="2" t="s">
        <v>14650</v>
      </c>
    </row>
    <row r="1030" spans="1:18" x14ac:dyDescent="0.25">
      <c r="A1030" s="2" t="s">
        <v>5143</v>
      </c>
      <c r="B1030" s="6">
        <v>46204</v>
      </c>
      <c r="C1030" s="8">
        <v>46225</v>
      </c>
      <c r="D1030" s="2" t="s">
        <v>199</v>
      </c>
      <c r="E1030" s="2" t="s">
        <v>12593</v>
      </c>
      <c r="F1030" s="2" t="s">
        <v>12425</v>
      </c>
      <c r="G1030" s="2" t="s">
        <v>14692</v>
      </c>
      <c r="H1030" s="2" t="s">
        <v>70</v>
      </c>
      <c r="I1030" s="9">
        <v>14029.969605</v>
      </c>
      <c r="J1030" s="7">
        <v>0.65800000000000003</v>
      </c>
      <c r="K1030" s="9">
        <v>9231.7199999999993</v>
      </c>
      <c r="L1030" s="14">
        <v>0</v>
      </c>
      <c r="M1030" s="2" t="s">
        <v>71</v>
      </c>
      <c r="N1030" s="2" t="s">
        <v>13272</v>
      </c>
      <c r="O1030" s="2" t="s">
        <v>14693</v>
      </c>
      <c r="P1030" s="9">
        <v>0</v>
      </c>
      <c r="Q1030" s="9">
        <v>0</v>
      </c>
      <c r="R1030" s="2" t="s">
        <v>14653</v>
      </c>
    </row>
    <row r="1031" spans="1:18" x14ac:dyDescent="0.25">
      <c r="A1031" s="2" t="s">
        <v>5146</v>
      </c>
      <c r="B1031" s="6">
        <v>46204</v>
      </c>
      <c r="C1031" s="8">
        <v>46226</v>
      </c>
      <c r="D1031" s="2" t="s">
        <v>199</v>
      </c>
      <c r="E1031" s="2" t="s">
        <v>12593</v>
      </c>
      <c r="F1031" s="2" t="s">
        <v>12426</v>
      </c>
      <c r="G1031" s="2" t="s">
        <v>14694</v>
      </c>
      <c r="H1031" s="2" t="s">
        <v>39</v>
      </c>
      <c r="I1031" s="9">
        <v>9404.73</v>
      </c>
      <c r="J1031" s="7">
        <v>1</v>
      </c>
      <c r="K1031" s="9">
        <v>9404.73</v>
      </c>
      <c r="L1031" s="14">
        <v>0</v>
      </c>
      <c r="M1031" s="2" t="s">
        <v>71</v>
      </c>
      <c r="N1031" s="2" t="s">
        <v>13272</v>
      </c>
      <c r="O1031" s="2" t="s">
        <v>14695</v>
      </c>
      <c r="P1031" s="9">
        <v>0</v>
      </c>
      <c r="Q1031" s="9">
        <v>0</v>
      </c>
      <c r="R1031" s="2" t="s">
        <v>14626</v>
      </c>
    </row>
    <row r="1032" spans="1:18" x14ac:dyDescent="0.25">
      <c r="A1032" s="2" t="s">
        <v>5151</v>
      </c>
      <c r="B1032" s="6">
        <v>46204</v>
      </c>
      <c r="C1032" s="8">
        <v>46227</v>
      </c>
      <c r="D1032" s="2" t="s">
        <v>199</v>
      </c>
      <c r="E1032" s="2" t="s">
        <v>12593</v>
      </c>
      <c r="F1032" s="2" t="s">
        <v>12427</v>
      </c>
      <c r="G1032" s="2" t="s">
        <v>14696</v>
      </c>
      <c r="H1032" s="2" t="s">
        <v>76</v>
      </c>
      <c r="I1032" s="9">
        <v>154479677.41935501</v>
      </c>
      <c r="J1032" s="7">
        <v>6.2000000000000003E-5</v>
      </c>
      <c r="K1032" s="9">
        <v>9577.74</v>
      </c>
      <c r="L1032" s="14">
        <v>0</v>
      </c>
      <c r="M1032" s="2" t="s">
        <v>71</v>
      </c>
      <c r="N1032" s="2" t="s">
        <v>13272</v>
      </c>
      <c r="O1032" s="2" t="s">
        <v>14697</v>
      </c>
      <c r="P1032" s="9">
        <v>0</v>
      </c>
      <c r="Q1032" s="9">
        <v>0</v>
      </c>
      <c r="R1032" s="2" t="s">
        <v>14629</v>
      </c>
    </row>
    <row r="1033" spans="1:18" x14ac:dyDescent="0.25">
      <c r="A1033" s="2" t="s">
        <v>5156</v>
      </c>
      <c r="B1033" s="6">
        <v>46204</v>
      </c>
      <c r="C1033" s="8">
        <v>46228</v>
      </c>
      <c r="D1033" s="2" t="s">
        <v>199</v>
      </c>
      <c r="E1033" s="2" t="s">
        <v>12593</v>
      </c>
      <c r="F1033" s="2" t="s">
        <v>12428</v>
      </c>
      <c r="G1033" s="2" t="s">
        <v>14698</v>
      </c>
      <c r="H1033" s="2" t="s">
        <v>70</v>
      </c>
      <c r="I1033" s="9">
        <v>14818.768996999999</v>
      </c>
      <c r="J1033" s="7">
        <v>0.65800000000000003</v>
      </c>
      <c r="K1033" s="9">
        <v>9750.75</v>
      </c>
      <c r="L1033" s="14">
        <v>0</v>
      </c>
      <c r="M1033" s="2" t="s">
        <v>71</v>
      </c>
      <c r="N1033" s="2" t="s">
        <v>13272</v>
      </c>
      <c r="O1033" s="2" t="s">
        <v>14699</v>
      </c>
      <c r="P1033" s="9">
        <v>0</v>
      </c>
      <c r="Q1033" s="9">
        <v>0</v>
      </c>
      <c r="R1033" s="2" t="s">
        <v>14632</v>
      </c>
    </row>
    <row r="1034" spans="1:18" x14ac:dyDescent="0.25">
      <c r="A1034" s="2" t="s">
        <v>5159</v>
      </c>
      <c r="B1034" s="6">
        <v>46204</v>
      </c>
      <c r="C1034" s="8">
        <v>46229</v>
      </c>
      <c r="D1034" s="2" t="s">
        <v>199</v>
      </c>
      <c r="E1034" s="2" t="s">
        <v>12593</v>
      </c>
      <c r="F1034" s="2" t="s">
        <v>12429</v>
      </c>
      <c r="G1034" s="2" t="s">
        <v>14700</v>
      </c>
      <c r="H1034" s="2" t="s">
        <v>39</v>
      </c>
      <c r="I1034" s="9">
        <v>9923.76</v>
      </c>
      <c r="J1034" s="7">
        <v>1</v>
      </c>
      <c r="K1034" s="9">
        <v>9923.76</v>
      </c>
      <c r="L1034" s="14">
        <v>0</v>
      </c>
      <c r="M1034" s="2" t="s">
        <v>71</v>
      </c>
      <c r="N1034" s="2" t="s">
        <v>13272</v>
      </c>
      <c r="O1034" s="2" t="s">
        <v>14701</v>
      </c>
      <c r="P1034" s="9">
        <v>0</v>
      </c>
      <c r="Q1034" s="9">
        <v>0</v>
      </c>
      <c r="R1034" s="2" t="s">
        <v>14635</v>
      </c>
    </row>
    <row r="1035" spans="1:18" x14ac:dyDescent="0.25">
      <c r="A1035" s="2" t="s">
        <v>5162</v>
      </c>
      <c r="B1035" s="6">
        <v>46204</v>
      </c>
      <c r="C1035" s="8">
        <v>46230</v>
      </c>
      <c r="D1035" s="2" t="s">
        <v>199</v>
      </c>
      <c r="E1035" s="2" t="s">
        <v>12593</v>
      </c>
      <c r="F1035" s="2" t="s">
        <v>12430</v>
      </c>
      <c r="G1035" s="2" t="s">
        <v>14702</v>
      </c>
      <c r="H1035" s="2" t="s">
        <v>76</v>
      </c>
      <c r="I1035" s="9">
        <v>162851129.032258</v>
      </c>
      <c r="J1035" s="7">
        <v>6.2000000000000003E-5</v>
      </c>
      <c r="K1035" s="9">
        <v>10096.77</v>
      </c>
      <c r="L1035" s="14">
        <v>0</v>
      </c>
      <c r="M1035" s="2" t="s">
        <v>71</v>
      </c>
      <c r="N1035" s="2" t="s">
        <v>13272</v>
      </c>
      <c r="O1035" s="2" t="s">
        <v>14703</v>
      </c>
      <c r="P1035" s="9">
        <v>0</v>
      </c>
      <c r="Q1035" s="9">
        <v>0</v>
      </c>
      <c r="R1035" s="2" t="s">
        <v>14638</v>
      </c>
    </row>
    <row r="1036" spans="1:18" x14ac:dyDescent="0.25">
      <c r="A1036" s="2" t="s">
        <v>5167</v>
      </c>
      <c r="B1036" s="6">
        <v>46204</v>
      </c>
      <c r="C1036" s="8">
        <v>46231</v>
      </c>
      <c r="D1036" s="2" t="s">
        <v>199</v>
      </c>
      <c r="E1036" s="2" t="s">
        <v>12593</v>
      </c>
      <c r="F1036" s="2" t="s">
        <v>12431</v>
      </c>
      <c r="G1036" s="2" t="s">
        <v>14704</v>
      </c>
      <c r="H1036" s="2" t="s">
        <v>70</v>
      </c>
      <c r="I1036" s="9">
        <v>-15607.568389</v>
      </c>
      <c r="J1036" s="7">
        <v>0.65800000000000003</v>
      </c>
      <c r="K1036" s="9">
        <v>-10269.780000000001</v>
      </c>
      <c r="L1036" s="14">
        <v>0</v>
      </c>
      <c r="M1036" s="2" t="s">
        <v>71</v>
      </c>
      <c r="N1036" s="2" t="s">
        <v>13272</v>
      </c>
      <c r="O1036" s="2" t="s">
        <v>14705</v>
      </c>
      <c r="P1036" s="9">
        <v>0</v>
      </c>
      <c r="Q1036" s="9">
        <v>0</v>
      </c>
      <c r="R1036" s="2" t="s">
        <v>14641</v>
      </c>
    </row>
    <row r="1037" spans="1:18" x14ac:dyDescent="0.25">
      <c r="A1037" s="2" t="s">
        <v>5170</v>
      </c>
      <c r="B1037" s="6">
        <v>46204</v>
      </c>
      <c r="C1037" s="8">
        <v>46232</v>
      </c>
      <c r="D1037" s="2" t="s">
        <v>199</v>
      </c>
      <c r="E1037" s="2" t="s">
        <v>12593</v>
      </c>
      <c r="F1037" s="2" t="s">
        <v>12432</v>
      </c>
      <c r="G1037" s="2" t="s">
        <v>14706</v>
      </c>
      <c r="H1037" s="2" t="s">
        <v>39</v>
      </c>
      <c r="I1037" s="9">
        <v>10442.790000000001</v>
      </c>
      <c r="J1037" s="7">
        <v>1</v>
      </c>
      <c r="K1037" s="9">
        <v>10442.790000000001</v>
      </c>
      <c r="L1037" s="14">
        <v>0</v>
      </c>
      <c r="M1037" s="2" t="s">
        <v>71</v>
      </c>
      <c r="N1037" s="2" t="s">
        <v>13272</v>
      </c>
      <c r="O1037" s="2" t="s">
        <v>14707</v>
      </c>
      <c r="P1037" s="9">
        <v>0</v>
      </c>
      <c r="Q1037" s="9">
        <v>0</v>
      </c>
      <c r="R1037" s="2" t="s">
        <v>14644</v>
      </c>
    </row>
    <row r="1038" spans="1:18" x14ac:dyDescent="0.25">
      <c r="A1038" s="2" t="s">
        <v>5173</v>
      </c>
      <c r="B1038" s="6">
        <v>46204</v>
      </c>
      <c r="C1038" s="8">
        <v>46233</v>
      </c>
      <c r="D1038" s="2" t="s">
        <v>199</v>
      </c>
      <c r="E1038" s="2" t="s">
        <v>12593</v>
      </c>
      <c r="F1038" s="2" t="s">
        <v>12423</v>
      </c>
      <c r="G1038" s="2" t="s">
        <v>14708</v>
      </c>
      <c r="H1038" s="2" t="s">
        <v>76</v>
      </c>
      <c r="I1038" s="9">
        <v>171222580.645161</v>
      </c>
      <c r="J1038" s="7">
        <v>6.2000000000000003E-5</v>
      </c>
      <c r="K1038" s="9">
        <v>10615.8</v>
      </c>
      <c r="L1038" s="14">
        <v>0</v>
      </c>
      <c r="M1038" s="2" t="s">
        <v>71</v>
      </c>
      <c r="N1038" s="2" t="s">
        <v>13272</v>
      </c>
      <c r="O1038" s="2" t="s">
        <v>14709</v>
      </c>
      <c r="P1038" s="9">
        <v>0</v>
      </c>
      <c r="Q1038" s="9">
        <v>0</v>
      </c>
      <c r="R1038" s="2" t="s">
        <v>14647</v>
      </c>
    </row>
    <row r="1039" spans="1:18" x14ac:dyDescent="0.25">
      <c r="A1039" s="2" t="s">
        <v>5176</v>
      </c>
      <c r="B1039" s="6">
        <v>46204</v>
      </c>
      <c r="C1039" s="8">
        <v>46234</v>
      </c>
      <c r="D1039" s="2" t="s">
        <v>199</v>
      </c>
      <c r="E1039" s="2" t="s">
        <v>12593</v>
      </c>
      <c r="F1039" s="2" t="s">
        <v>12424</v>
      </c>
      <c r="G1039" s="2" t="s">
        <v>14710</v>
      </c>
      <c r="H1039" s="2" t="s">
        <v>70</v>
      </c>
      <c r="I1039" s="9">
        <v>16396.367781000001</v>
      </c>
      <c r="J1039" s="7">
        <v>0.65800000000000003</v>
      </c>
      <c r="K1039" s="9">
        <v>10788.81</v>
      </c>
      <c r="L1039" s="14">
        <v>0</v>
      </c>
      <c r="M1039" s="2" t="s">
        <v>71</v>
      </c>
      <c r="N1039" s="2" t="s">
        <v>13272</v>
      </c>
      <c r="O1039" s="2" t="s">
        <v>14711</v>
      </c>
      <c r="P1039" s="9">
        <v>0</v>
      </c>
      <c r="Q1039" s="9">
        <v>0</v>
      </c>
      <c r="R1039" s="2" t="s">
        <v>14650</v>
      </c>
    </row>
    <row r="1040" spans="1:18" x14ac:dyDescent="0.25">
      <c r="A1040" s="2" t="s">
        <v>5179</v>
      </c>
      <c r="B1040" s="6">
        <v>46204</v>
      </c>
      <c r="C1040" s="8">
        <v>46204</v>
      </c>
      <c r="D1040" s="2" t="s">
        <v>199</v>
      </c>
      <c r="E1040" s="2" t="s">
        <v>12593</v>
      </c>
      <c r="F1040" s="2" t="s">
        <v>12425</v>
      </c>
      <c r="G1040" s="2" t="s">
        <v>14712</v>
      </c>
      <c r="H1040" s="2" t="s">
        <v>39</v>
      </c>
      <c r="I1040" s="9">
        <v>10961.82</v>
      </c>
      <c r="J1040" s="7">
        <v>1</v>
      </c>
      <c r="K1040" s="9">
        <v>10961.82</v>
      </c>
      <c r="L1040" s="14">
        <v>0</v>
      </c>
      <c r="M1040" s="2" t="s">
        <v>71</v>
      </c>
      <c r="N1040" s="2" t="s">
        <v>13272</v>
      </c>
      <c r="O1040" s="2" t="s">
        <v>14713</v>
      </c>
      <c r="P1040" s="9">
        <v>0</v>
      </c>
      <c r="Q1040" s="9">
        <v>0</v>
      </c>
      <c r="R1040" s="2" t="s">
        <v>14653</v>
      </c>
    </row>
    <row r="1041" spans="1:18" x14ac:dyDescent="0.25">
      <c r="A1041" s="2" t="s">
        <v>5182</v>
      </c>
      <c r="B1041" s="6">
        <v>46204</v>
      </c>
      <c r="C1041" s="8">
        <v>46205</v>
      </c>
      <c r="D1041" s="2" t="s">
        <v>199</v>
      </c>
      <c r="E1041" s="2" t="s">
        <v>12593</v>
      </c>
      <c r="F1041" s="2" t="s">
        <v>12426</v>
      </c>
      <c r="G1041" s="2" t="s">
        <v>14714</v>
      </c>
      <c r="H1041" s="2" t="s">
        <v>76</v>
      </c>
      <c r="I1041" s="9">
        <v>179594032.25806499</v>
      </c>
      <c r="J1041" s="7">
        <v>6.2000000000000003E-5</v>
      </c>
      <c r="K1041" s="9">
        <v>11134.83</v>
      </c>
      <c r="L1041" s="14">
        <v>0</v>
      </c>
      <c r="M1041" s="2" t="s">
        <v>71</v>
      </c>
      <c r="N1041" s="2" t="s">
        <v>13272</v>
      </c>
      <c r="O1041" s="2" t="s">
        <v>14715</v>
      </c>
      <c r="P1041" s="9">
        <v>0</v>
      </c>
      <c r="Q1041" s="9">
        <v>0</v>
      </c>
      <c r="R1041" s="2" t="s">
        <v>14626</v>
      </c>
    </row>
    <row r="1042" spans="1:18" x14ac:dyDescent="0.25">
      <c r="A1042" s="2" t="s">
        <v>5187</v>
      </c>
      <c r="B1042" s="6">
        <v>46204</v>
      </c>
      <c r="C1042" s="8">
        <v>46206</v>
      </c>
      <c r="D1042" s="2" t="s">
        <v>199</v>
      </c>
      <c r="E1042" s="2" t="s">
        <v>12593</v>
      </c>
      <c r="F1042" s="2" t="s">
        <v>12427</v>
      </c>
      <c r="G1042" s="2" t="s">
        <v>14716</v>
      </c>
      <c r="H1042" s="2" t="s">
        <v>70</v>
      </c>
      <c r="I1042" s="9">
        <v>17185.167173000002</v>
      </c>
      <c r="J1042" s="7">
        <v>0.65800000000000003</v>
      </c>
      <c r="K1042" s="9">
        <v>11307.84</v>
      </c>
      <c r="L1042" s="14">
        <v>0</v>
      </c>
      <c r="M1042" s="2" t="s">
        <v>71</v>
      </c>
      <c r="N1042" s="2" t="s">
        <v>13272</v>
      </c>
      <c r="O1042" s="2" t="s">
        <v>14717</v>
      </c>
      <c r="P1042" s="9">
        <v>0</v>
      </c>
      <c r="Q1042" s="9">
        <v>0</v>
      </c>
      <c r="R1042" s="2" t="s">
        <v>14629</v>
      </c>
    </row>
    <row r="1043" spans="1:18" x14ac:dyDescent="0.25">
      <c r="A1043" s="2" t="s">
        <v>5192</v>
      </c>
      <c r="B1043" s="6">
        <v>46204</v>
      </c>
      <c r="C1043" s="8">
        <v>46207</v>
      </c>
      <c r="D1043" s="2" t="s">
        <v>199</v>
      </c>
      <c r="E1043" s="2" t="s">
        <v>12593</v>
      </c>
      <c r="F1043" s="2" t="s">
        <v>12428</v>
      </c>
      <c r="G1043" s="2" t="s">
        <v>14718</v>
      </c>
      <c r="H1043" s="2" t="s">
        <v>39</v>
      </c>
      <c r="I1043" s="9">
        <v>11480.85</v>
      </c>
      <c r="J1043" s="7">
        <v>1</v>
      </c>
      <c r="K1043" s="9">
        <v>11480.85</v>
      </c>
      <c r="L1043" s="14">
        <v>0</v>
      </c>
      <c r="M1043" s="2" t="s">
        <v>71</v>
      </c>
      <c r="N1043" s="2" t="s">
        <v>13272</v>
      </c>
      <c r="O1043" s="2" t="s">
        <v>14719</v>
      </c>
      <c r="P1043" s="9">
        <v>0</v>
      </c>
      <c r="Q1043" s="9">
        <v>0</v>
      </c>
      <c r="R1043" s="2" t="s">
        <v>14632</v>
      </c>
    </row>
    <row r="1044" spans="1:18" x14ac:dyDescent="0.25">
      <c r="A1044" s="2" t="s">
        <v>5195</v>
      </c>
      <c r="B1044" s="6">
        <v>46204</v>
      </c>
      <c r="C1044" s="8">
        <v>46208</v>
      </c>
      <c r="D1044" s="2" t="s">
        <v>199</v>
      </c>
      <c r="E1044" s="2" t="s">
        <v>12593</v>
      </c>
      <c r="F1044" s="2" t="s">
        <v>12429</v>
      </c>
      <c r="G1044" s="2" t="s">
        <v>14720</v>
      </c>
      <c r="H1044" s="2" t="s">
        <v>76</v>
      </c>
      <c r="I1044" s="9">
        <v>187965483.87096801</v>
      </c>
      <c r="J1044" s="7">
        <v>6.2000000000000003E-5</v>
      </c>
      <c r="K1044" s="9">
        <v>11653.86</v>
      </c>
      <c r="L1044" s="14">
        <v>0</v>
      </c>
      <c r="M1044" s="2" t="s">
        <v>71</v>
      </c>
      <c r="N1044" s="2" t="s">
        <v>13272</v>
      </c>
      <c r="O1044" s="2" t="s">
        <v>14721</v>
      </c>
      <c r="P1044" s="9">
        <v>0</v>
      </c>
      <c r="Q1044" s="9">
        <v>0</v>
      </c>
      <c r="R1044" s="2" t="s">
        <v>14635</v>
      </c>
    </row>
    <row r="1045" spans="1:18" x14ac:dyDescent="0.25">
      <c r="A1045" s="2" t="s">
        <v>5198</v>
      </c>
      <c r="B1045" s="6">
        <v>46204</v>
      </c>
      <c r="C1045" s="8">
        <v>46209</v>
      </c>
      <c r="D1045" s="2" t="s">
        <v>199</v>
      </c>
      <c r="E1045" s="2" t="s">
        <v>12593</v>
      </c>
      <c r="F1045" s="2" t="s">
        <v>12430</v>
      </c>
      <c r="G1045" s="2" t="s">
        <v>14722</v>
      </c>
      <c r="H1045" s="2" t="s">
        <v>70</v>
      </c>
      <c r="I1045" s="9">
        <v>17973.966564999999</v>
      </c>
      <c r="J1045" s="7">
        <v>0.65800000000000003</v>
      </c>
      <c r="K1045" s="9">
        <v>11826.87</v>
      </c>
      <c r="L1045" s="14">
        <v>0</v>
      </c>
      <c r="M1045" s="2" t="s">
        <v>71</v>
      </c>
      <c r="N1045" s="2" t="s">
        <v>13272</v>
      </c>
      <c r="O1045" s="2" t="s">
        <v>14723</v>
      </c>
      <c r="P1045" s="9">
        <v>0</v>
      </c>
      <c r="Q1045" s="9">
        <v>0</v>
      </c>
      <c r="R1045" s="2" t="s">
        <v>14638</v>
      </c>
    </row>
    <row r="1046" spans="1:18" x14ac:dyDescent="0.25">
      <c r="A1046" s="2" t="s">
        <v>5203</v>
      </c>
      <c r="B1046" s="6">
        <v>46204</v>
      </c>
      <c r="C1046" s="8">
        <v>46210</v>
      </c>
      <c r="D1046" s="2" t="s">
        <v>199</v>
      </c>
      <c r="E1046" s="2" t="s">
        <v>12593</v>
      </c>
      <c r="F1046" s="2" t="s">
        <v>12431</v>
      </c>
      <c r="G1046" s="2" t="s">
        <v>14724</v>
      </c>
      <c r="H1046" s="2" t="s">
        <v>39</v>
      </c>
      <c r="I1046" s="9">
        <v>11999.88</v>
      </c>
      <c r="J1046" s="7">
        <v>1</v>
      </c>
      <c r="K1046" s="9">
        <v>11999.88</v>
      </c>
      <c r="L1046" s="14">
        <v>0</v>
      </c>
      <c r="M1046" s="2" t="s">
        <v>71</v>
      </c>
      <c r="N1046" s="2" t="s">
        <v>13272</v>
      </c>
      <c r="O1046" s="2" t="s">
        <v>14725</v>
      </c>
      <c r="P1046" s="9">
        <v>0</v>
      </c>
      <c r="Q1046" s="9">
        <v>0</v>
      </c>
      <c r="R1046" s="2" t="s">
        <v>14641</v>
      </c>
    </row>
    <row r="1047" spans="1:18" x14ac:dyDescent="0.25">
      <c r="A1047" s="2" t="s">
        <v>5206</v>
      </c>
      <c r="B1047" s="6">
        <v>46204</v>
      </c>
      <c r="C1047" s="8">
        <v>46211</v>
      </c>
      <c r="D1047" s="2" t="s">
        <v>199</v>
      </c>
      <c r="E1047" s="2" t="s">
        <v>12593</v>
      </c>
      <c r="F1047" s="2" t="s">
        <v>12432</v>
      </c>
      <c r="G1047" s="2" t="s">
        <v>14726</v>
      </c>
      <c r="H1047" s="2" t="s">
        <v>76</v>
      </c>
      <c r="I1047" s="9">
        <v>196336935.48387101</v>
      </c>
      <c r="J1047" s="7">
        <v>6.2000000000000003E-5</v>
      </c>
      <c r="K1047" s="9">
        <v>12172.89</v>
      </c>
      <c r="L1047" s="14">
        <v>0</v>
      </c>
      <c r="M1047" s="2" t="s">
        <v>71</v>
      </c>
      <c r="N1047" s="2" t="s">
        <v>13272</v>
      </c>
      <c r="O1047" s="2" t="s">
        <v>14727</v>
      </c>
      <c r="P1047" s="9">
        <v>0</v>
      </c>
      <c r="Q1047" s="9">
        <v>0</v>
      </c>
      <c r="R1047" s="2" t="s">
        <v>14644</v>
      </c>
    </row>
    <row r="1048" spans="1:18" x14ac:dyDescent="0.25">
      <c r="A1048" s="2" t="s">
        <v>5209</v>
      </c>
      <c r="B1048" s="6">
        <v>46204</v>
      </c>
      <c r="C1048" s="8">
        <v>46212</v>
      </c>
      <c r="D1048" s="2" t="s">
        <v>199</v>
      </c>
      <c r="E1048" s="2" t="s">
        <v>12593</v>
      </c>
      <c r="F1048" s="2" t="s">
        <v>12423</v>
      </c>
      <c r="G1048" s="2" t="s">
        <v>14728</v>
      </c>
      <c r="H1048" s="2" t="s">
        <v>70</v>
      </c>
      <c r="I1048" s="9">
        <v>18762.765957</v>
      </c>
      <c r="J1048" s="7">
        <v>0.65800000000000003</v>
      </c>
      <c r="K1048" s="9">
        <v>12345.9</v>
      </c>
      <c r="L1048" s="14">
        <v>0</v>
      </c>
      <c r="M1048" s="2" t="s">
        <v>71</v>
      </c>
      <c r="N1048" s="2" t="s">
        <v>13272</v>
      </c>
      <c r="O1048" s="2" t="s">
        <v>14729</v>
      </c>
      <c r="P1048" s="9">
        <v>0</v>
      </c>
      <c r="Q1048" s="9">
        <v>0</v>
      </c>
      <c r="R1048" s="2" t="s">
        <v>14647</v>
      </c>
    </row>
    <row r="1049" spans="1:18" x14ac:dyDescent="0.25">
      <c r="A1049" s="2" t="s">
        <v>5212</v>
      </c>
      <c r="B1049" s="6">
        <v>46204</v>
      </c>
      <c r="C1049" s="8">
        <v>46213</v>
      </c>
      <c r="D1049" s="2" t="s">
        <v>199</v>
      </c>
      <c r="E1049" s="2" t="s">
        <v>12593</v>
      </c>
      <c r="F1049" s="2" t="s">
        <v>12424</v>
      </c>
      <c r="G1049" s="2" t="s">
        <v>14730</v>
      </c>
      <c r="H1049" s="2" t="s">
        <v>39</v>
      </c>
      <c r="I1049" s="9">
        <v>12518.91</v>
      </c>
      <c r="J1049" s="7">
        <v>1</v>
      </c>
      <c r="K1049" s="9">
        <v>12518.91</v>
      </c>
      <c r="L1049" s="14">
        <v>0</v>
      </c>
      <c r="M1049" s="2" t="s">
        <v>71</v>
      </c>
      <c r="N1049" s="2" t="s">
        <v>13272</v>
      </c>
      <c r="O1049" s="2" t="s">
        <v>14731</v>
      </c>
      <c r="P1049" s="9">
        <v>0</v>
      </c>
      <c r="Q1049" s="9">
        <v>0</v>
      </c>
      <c r="R1049" s="2" t="s">
        <v>14650</v>
      </c>
    </row>
    <row r="1050" spans="1:18" x14ac:dyDescent="0.25">
      <c r="A1050" s="2" t="s">
        <v>5215</v>
      </c>
      <c r="B1050" s="6">
        <v>46204</v>
      </c>
      <c r="C1050" s="8">
        <v>46214</v>
      </c>
      <c r="D1050" s="2" t="s">
        <v>199</v>
      </c>
      <c r="E1050" s="2" t="s">
        <v>12593</v>
      </c>
      <c r="F1050" s="2" t="s">
        <v>12425</v>
      </c>
      <c r="G1050" s="2" t="s">
        <v>14732</v>
      </c>
      <c r="H1050" s="2" t="s">
        <v>76</v>
      </c>
      <c r="I1050" s="9">
        <v>204708387.09677401</v>
      </c>
      <c r="J1050" s="7">
        <v>6.2000000000000003E-5</v>
      </c>
      <c r="K1050" s="9">
        <v>12691.92</v>
      </c>
      <c r="L1050" s="14">
        <v>0</v>
      </c>
      <c r="M1050" s="2" t="s">
        <v>71</v>
      </c>
      <c r="N1050" s="2" t="s">
        <v>13272</v>
      </c>
      <c r="O1050" s="2" t="s">
        <v>14733</v>
      </c>
      <c r="P1050" s="9">
        <v>0</v>
      </c>
      <c r="Q1050" s="9">
        <v>0</v>
      </c>
      <c r="R1050" s="2" t="s">
        <v>14653</v>
      </c>
    </row>
    <row r="1051" spans="1:18" x14ac:dyDescent="0.25">
      <c r="A1051" s="2" t="s">
        <v>5218</v>
      </c>
      <c r="B1051" s="6">
        <v>46204</v>
      </c>
      <c r="C1051" s="8">
        <v>46215</v>
      </c>
      <c r="D1051" s="2" t="s">
        <v>199</v>
      </c>
      <c r="E1051" s="2" t="s">
        <v>12593</v>
      </c>
      <c r="F1051" s="2" t="s">
        <v>12426</v>
      </c>
      <c r="G1051" s="2" t="s">
        <v>14734</v>
      </c>
      <c r="H1051" s="2" t="s">
        <v>70</v>
      </c>
      <c r="I1051" s="9">
        <v>19551.565350000001</v>
      </c>
      <c r="J1051" s="7">
        <v>0.65800000000000003</v>
      </c>
      <c r="K1051" s="9">
        <v>12864.93</v>
      </c>
      <c r="L1051" s="14">
        <v>0</v>
      </c>
      <c r="M1051" s="2" t="s">
        <v>71</v>
      </c>
      <c r="N1051" s="2" t="s">
        <v>13272</v>
      </c>
      <c r="O1051" s="2" t="s">
        <v>14735</v>
      </c>
      <c r="P1051" s="9">
        <v>0</v>
      </c>
      <c r="Q1051" s="9">
        <v>0</v>
      </c>
      <c r="R1051" s="2" t="s">
        <v>14626</v>
      </c>
    </row>
    <row r="1052" spans="1:18" x14ac:dyDescent="0.25">
      <c r="A1052" s="2" t="s">
        <v>5223</v>
      </c>
      <c r="B1052" s="6">
        <v>46204</v>
      </c>
      <c r="C1052" s="8">
        <v>46216</v>
      </c>
      <c r="D1052" s="2" t="s">
        <v>199</v>
      </c>
      <c r="E1052" s="2" t="s">
        <v>12593</v>
      </c>
      <c r="F1052" s="2" t="s">
        <v>12427</v>
      </c>
      <c r="G1052" s="2" t="s">
        <v>14736</v>
      </c>
      <c r="H1052" s="2" t="s">
        <v>39</v>
      </c>
      <c r="I1052" s="9">
        <v>13037.94</v>
      </c>
      <c r="J1052" s="7">
        <v>1</v>
      </c>
      <c r="K1052" s="9">
        <v>13037.94</v>
      </c>
      <c r="L1052" s="14">
        <v>0</v>
      </c>
      <c r="M1052" s="2" t="s">
        <v>71</v>
      </c>
      <c r="N1052" s="2" t="s">
        <v>13272</v>
      </c>
      <c r="O1052" s="2" t="s">
        <v>14737</v>
      </c>
      <c r="P1052" s="9">
        <v>0</v>
      </c>
      <c r="Q1052" s="9">
        <v>0</v>
      </c>
      <c r="R1052" s="2" t="s">
        <v>14629</v>
      </c>
    </row>
    <row r="1053" spans="1:18" x14ac:dyDescent="0.25">
      <c r="A1053" s="2" t="s">
        <v>5228</v>
      </c>
      <c r="B1053" s="6">
        <v>46204</v>
      </c>
      <c r="C1053" s="8">
        <v>46217</v>
      </c>
      <c r="D1053" s="2" t="s">
        <v>199</v>
      </c>
      <c r="E1053" s="2" t="s">
        <v>12593</v>
      </c>
      <c r="F1053" s="2" t="s">
        <v>12428</v>
      </c>
      <c r="G1053" s="2" t="s">
        <v>14738</v>
      </c>
      <c r="H1053" s="2" t="s">
        <v>76</v>
      </c>
      <c r="I1053" s="9">
        <v>213079838.70967701</v>
      </c>
      <c r="J1053" s="7">
        <v>6.2000000000000003E-5</v>
      </c>
      <c r="K1053" s="9">
        <v>13210.95</v>
      </c>
      <c r="L1053" s="14">
        <v>0</v>
      </c>
      <c r="M1053" s="2" t="s">
        <v>71</v>
      </c>
      <c r="N1053" s="2" t="s">
        <v>13272</v>
      </c>
      <c r="O1053" s="2" t="s">
        <v>14739</v>
      </c>
      <c r="P1053" s="9">
        <v>0</v>
      </c>
      <c r="Q1053" s="9">
        <v>0</v>
      </c>
      <c r="R1053" s="2" t="s">
        <v>14632</v>
      </c>
    </row>
    <row r="1054" spans="1:18" x14ac:dyDescent="0.25">
      <c r="A1054" s="2" t="s">
        <v>5231</v>
      </c>
      <c r="B1054" s="6">
        <v>46204</v>
      </c>
      <c r="C1054" s="8">
        <v>46218</v>
      </c>
      <c r="D1054" s="2" t="s">
        <v>199</v>
      </c>
      <c r="E1054" s="2" t="s">
        <v>12593</v>
      </c>
      <c r="F1054" s="2" t="s">
        <v>12429</v>
      </c>
      <c r="G1054" s="2" t="s">
        <v>14740</v>
      </c>
      <c r="H1054" s="2" t="s">
        <v>70</v>
      </c>
      <c r="I1054" s="9">
        <v>20340.364742000002</v>
      </c>
      <c r="J1054" s="7">
        <v>0.65800000000000003</v>
      </c>
      <c r="K1054" s="9">
        <v>13383.96</v>
      </c>
      <c r="L1054" s="14">
        <v>0</v>
      </c>
      <c r="M1054" s="2" t="s">
        <v>71</v>
      </c>
      <c r="N1054" s="2" t="s">
        <v>13272</v>
      </c>
      <c r="O1054" s="2" t="s">
        <v>14741</v>
      </c>
      <c r="P1054" s="9">
        <v>0</v>
      </c>
      <c r="Q1054" s="9">
        <v>0</v>
      </c>
      <c r="R1054" s="2" t="s">
        <v>14635</v>
      </c>
    </row>
    <row r="1055" spans="1:18" x14ac:dyDescent="0.25">
      <c r="A1055" s="2" t="s">
        <v>5234</v>
      </c>
      <c r="B1055" s="6">
        <v>46204</v>
      </c>
      <c r="C1055" s="8">
        <v>46219</v>
      </c>
      <c r="D1055" s="2" t="s">
        <v>199</v>
      </c>
      <c r="E1055" s="2" t="s">
        <v>12593</v>
      </c>
      <c r="F1055" s="2" t="s">
        <v>12430</v>
      </c>
      <c r="G1055" s="2" t="s">
        <v>14742</v>
      </c>
      <c r="H1055" s="2" t="s">
        <v>39</v>
      </c>
      <c r="I1055" s="9">
        <v>13556</v>
      </c>
      <c r="J1055" s="7">
        <v>1</v>
      </c>
      <c r="K1055" s="9">
        <v>13556</v>
      </c>
      <c r="L1055" s="14">
        <v>0</v>
      </c>
      <c r="M1055" s="2" t="s">
        <v>71</v>
      </c>
      <c r="N1055" s="2" t="s">
        <v>13272</v>
      </c>
      <c r="O1055" s="2" t="s">
        <v>14743</v>
      </c>
      <c r="P1055" s="9">
        <v>0</v>
      </c>
      <c r="Q1055" s="9">
        <v>0</v>
      </c>
      <c r="R1055" s="2" t="s">
        <v>14638</v>
      </c>
    </row>
    <row r="1056" spans="1:18" x14ac:dyDescent="0.25">
      <c r="A1056" s="2" t="s">
        <v>5239</v>
      </c>
      <c r="B1056" s="6">
        <v>46204</v>
      </c>
      <c r="C1056" s="8">
        <v>46220</v>
      </c>
      <c r="D1056" s="2" t="s">
        <v>199</v>
      </c>
      <c r="E1056" s="2" t="s">
        <v>12593</v>
      </c>
      <c r="F1056" s="2" t="s">
        <v>12431</v>
      </c>
      <c r="G1056" s="2" t="s">
        <v>14744</v>
      </c>
      <c r="H1056" s="2" t="s">
        <v>76</v>
      </c>
      <c r="I1056" s="9">
        <v>221435645.16128999</v>
      </c>
      <c r="J1056" s="7">
        <v>6.2000000000000003E-5</v>
      </c>
      <c r="K1056" s="9">
        <v>13729.01</v>
      </c>
      <c r="L1056" s="14">
        <v>0</v>
      </c>
      <c r="M1056" s="2" t="s">
        <v>71</v>
      </c>
      <c r="N1056" s="2" t="s">
        <v>13272</v>
      </c>
      <c r="O1056" s="2" t="s">
        <v>14745</v>
      </c>
      <c r="P1056" s="9">
        <v>0</v>
      </c>
      <c r="Q1056" s="9">
        <v>0</v>
      </c>
      <c r="R1056" s="2" t="s">
        <v>14641</v>
      </c>
    </row>
    <row r="1057" spans="1:18" x14ac:dyDescent="0.25">
      <c r="A1057" s="2" t="s">
        <v>5242</v>
      </c>
      <c r="B1057" s="6">
        <v>46204</v>
      </c>
      <c r="C1057" s="8">
        <v>46221</v>
      </c>
      <c r="D1057" s="2" t="s">
        <v>199</v>
      </c>
      <c r="E1057" s="2" t="s">
        <v>12593</v>
      </c>
      <c r="F1057" s="2" t="s">
        <v>12432</v>
      </c>
      <c r="G1057" s="2" t="s">
        <v>14746</v>
      </c>
      <c r="H1057" s="2" t="s">
        <v>70</v>
      </c>
      <c r="I1057" s="9">
        <v>21127.689969999999</v>
      </c>
      <c r="J1057" s="7">
        <v>0.65800000000000003</v>
      </c>
      <c r="K1057" s="9">
        <v>13902.02</v>
      </c>
      <c r="L1057" s="14">
        <v>0</v>
      </c>
      <c r="M1057" s="2" t="s">
        <v>71</v>
      </c>
      <c r="N1057" s="2" t="s">
        <v>13272</v>
      </c>
      <c r="O1057" s="2" t="s">
        <v>14747</v>
      </c>
      <c r="P1057" s="9">
        <v>0</v>
      </c>
      <c r="Q1057" s="9">
        <v>0</v>
      </c>
      <c r="R1057" s="2" t="s">
        <v>14644</v>
      </c>
    </row>
    <row r="1058" spans="1:18" x14ac:dyDescent="0.25">
      <c r="A1058" s="2" t="s">
        <v>5245</v>
      </c>
      <c r="B1058" s="6">
        <v>46204</v>
      </c>
      <c r="C1058" s="8">
        <v>46222</v>
      </c>
      <c r="D1058" s="2" t="s">
        <v>199</v>
      </c>
      <c r="E1058" s="2" t="s">
        <v>12593</v>
      </c>
      <c r="F1058" s="2" t="s">
        <v>12423</v>
      </c>
      <c r="G1058" s="2" t="s">
        <v>14748</v>
      </c>
      <c r="H1058" s="2" t="s">
        <v>39</v>
      </c>
      <c r="I1058" s="9">
        <v>14075.03</v>
      </c>
      <c r="J1058" s="7">
        <v>1</v>
      </c>
      <c r="K1058" s="9">
        <v>14075.03</v>
      </c>
      <c r="L1058" s="14">
        <v>0</v>
      </c>
      <c r="M1058" s="2" t="s">
        <v>71</v>
      </c>
      <c r="N1058" s="2" t="s">
        <v>13272</v>
      </c>
      <c r="O1058" s="2" t="s">
        <v>14749</v>
      </c>
      <c r="P1058" s="9">
        <v>0</v>
      </c>
      <c r="Q1058" s="9">
        <v>0</v>
      </c>
      <c r="R1058" s="2" t="s">
        <v>14647</v>
      </c>
    </row>
    <row r="1059" spans="1:18" x14ac:dyDescent="0.25">
      <c r="A1059" s="2" t="s">
        <v>5248</v>
      </c>
      <c r="B1059" s="6">
        <v>46204</v>
      </c>
      <c r="C1059" s="8">
        <v>46223</v>
      </c>
      <c r="D1059" s="2" t="s">
        <v>199</v>
      </c>
      <c r="E1059" s="2" t="s">
        <v>12593</v>
      </c>
      <c r="F1059" s="2" t="s">
        <v>12424</v>
      </c>
      <c r="G1059" s="2" t="s">
        <v>14750</v>
      </c>
      <c r="H1059" s="2" t="s">
        <v>76</v>
      </c>
      <c r="I1059" s="9">
        <v>229807096.774194</v>
      </c>
      <c r="J1059" s="7">
        <v>6.2000000000000003E-5</v>
      </c>
      <c r="K1059" s="9">
        <v>14248.04</v>
      </c>
      <c r="L1059" s="14">
        <v>0</v>
      </c>
      <c r="M1059" s="2" t="s">
        <v>71</v>
      </c>
      <c r="N1059" s="2" t="s">
        <v>13272</v>
      </c>
      <c r="O1059" s="2" t="s">
        <v>14751</v>
      </c>
      <c r="P1059" s="9">
        <v>0</v>
      </c>
      <c r="Q1059" s="9">
        <v>0</v>
      </c>
      <c r="R1059" s="2" t="s">
        <v>14650</v>
      </c>
    </row>
    <row r="1060" spans="1:18" x14ac:dyDescent="0.25">
      <c r="A1060" s="2" t="s">
        <v>5251</v>
      </c>
      <c r="B1060" s="6">
        <v>46204</v>
      </c>
      <c r="C1060" s="8">
        <v>46224</v>
      </c>
      <c r="D1060" s="2" t="s">
        <v>199</v>
      </c>
      <c r="E1060" s="2" t="s">
        <v>12593</v>
      </c>
      <c r="F1060" s="2" t="s">
        <v>12425</v>
      </c>
      <c r="G1060" s="2" t="s">
        <v>14752</v>
      </c>
      <c r="H1060" s="2" t="s">
        <v>70</v>
      </c>
      <c r="I1060" s="9">
        <v>21916.489362</v>
      </c>
      <c r="J1060" s="7">
        <v>0.65800000000000003</v>
      </c>
      <c r="K1060" s="9">
        <v>14421.05</v>
      </c>
      <c r="L1060" s="14">
        <v>0</v>
      </c>
      <c r="M1060" s="2" t="s">
        <v>71</v>
      </c>
      <c r="N1060" s="2" t="s">
        <v>13272</v>
      </c>
      <c r="O1060" s="2" t="s">
        <v>14753</v>
      </c>
      <c r="P1060" s="9">
        <v>0</v>
      </c>
      <c r="Q1060" s="9">
        <v>0</v>
      </c>
      <c r="R1060" s="2" t="s">
        <v>14653</v>
      </c>
    </row>
    <row r="1061" spans="1:18" x14ac:dyDescent="0.25">
      <c r="A1061" s="2" t="s">
        <v>5254</v>
      </c>
      <c r="B1061" s="6">
        <v>46204</v>
      </c>
      <c r="C1061" s="8">
        <v>46225</v>
      </c>
      <c r="D1061" s="2" t="s">
        <v>199</v>
      </c>
      <c r="E1061" s="2" t="s">
        <v>12593</v>
      </c>
      <c r="F1061" s="2" t="s">
        <v>12426</v>
      </c>
      <c r="G1061" s="2" t="s">
        <v>14754</v>
      </c>
      <c r="H1061" s="2" t="s">
        <v>39</v>
      </c>
      <c r="I1061" s="9">
        <v>14594.06</v>
      </c>
      <c r="J1061" s="7">
        <v>1</v>
      </c>
      <c r="K1061" s="9">
        <v>14594.06</v>
      </c>
      <c r="L1061" s="14">
        <v>0</v>
      </c>
      <c r="M1061" s="2" t="s">
        <v>71</v>
      </c>
      <c r="N1061" s="2" t="s">
        <v>13272</v>
      </c>
      <c r="O1061" s="2" t="s">
        <v>14755</v>
      </c>
      <c r="P1061" s="9">
        <v>0</v>
      </c>
      <c r="Q1061" s="9">
        <v>0</v>
      </c>
      <c r="R1061" s="2" t="s">
        <v>14626</v>
      </c>
    </row>
    <row r="1062" spans="1:18" x14ac:dyDescent="0.25">
      <c r="A1062" s="2" t="s">
        <v>5259</v>
      </c>
      <c r="B1062" s="6">
        <v>46204</v>
      </c>
      <c r="C1062" s="8">
        <v>46226</v>
      </c>
      <c r="D1062" s="2" t="s">
        <v>199</v>
      </c>
      <c r="E1062" s="2" t="s">
        <v>12593</v>
      </c>
      <c r="F1062" s="2" t="s">
        <v>12427</v>
      </c>
      <c r="G1062" s="2" t="s">
        <v>14756</v>
      </c>
      <c r="H1062" s="2" t="s">
        <v>76</v>
      </c>
      <c r="I1062" s="9">
        <v>238178548.387097</v>
      </c>
      <c r="J1062" s="7">
        <v>6.2000000000000003E-5</v>
      </c>
      <c r="K1062" s="9">
        <v>14767.07</v>
      </c>
      <c r="L1062" s="14">
        <v>0</v>
      </c>
      <c r="M1062" s="2" t="s">
        <v>71</v>
      </c>
      <c r="N1062" s="2" t="s">
        <v>13272</v>
      </c>
      <c r="O1062" s="2" t="s">
        <v>14757</v>
      </c>
      <c r="P1062" s="9">
        <v>0</v>
      </c>
      <c r="Q1062" s="9">
        <v>0</v>
      </c>
      <c r="R1062" s="2" t="s">
        <v>14629</v>
      </c>
    </row>
    <row r="1063" spans="1:18" x14ac:dyDescent="0.25">
      <c r="A1063" s="2" t="s">
        <v>5264</v>
      </c>
      <c r="B1063" s="6">
        <v>46204</v>
      </c>
      <c r="C1063" s="8">
        <v>46227</v>
      </c>
      <c r="D1063" s="2" t="s">
        <v>199</v>
      </c>
      <c r="E1063" s="2" t="s">
        <v>12593</v>
      </c>
      <c r="F1063" s="2" t="s">
        <v>12428</v>
      </c>
      <c r="G1063" s="2" t="s">
        <v>14758</v>
      </c>
      <c r="H1063" s="2" t="s">
        <v>70</v>
      </c>
      <c r="I1063" s="9">
        <v>1428.6930090000001</v>
      </c>
      <c r="J1063" s="7">
        <v>0.65800000000000003</v>
      </c>
      <c r="K1063" s="9">
        <v>940.08</v>
      </c>
      <c r="L1063" s="14">
        <v>0</v>
      </c>
      <c r="M1063" s="2" t="s">
        <v>71</v>
      </c>
      <c r="N1063" s="2" t="s">
        <v>13272</v>
      </c>
      <c r="O1063" s="2" t="s">
        <v>14759</v>
      </c>
      <c r="P1063" s="9">
        <v>0</v>
      </c>
      <c r="Q1063" s="9">
        <v>0</v>
      </c>
      <c r="R1063" s="2" t="s">
        <v>14632</v>
      </c>
    </row>
    <row r="1064" spans="1:18" x14ac:dyDescent="0.25">
      <c r="A1064" s="2" t="s">
        <v>5267</v>
      </c>
      <c r="B1064" s="6">
        <v>46204</v>
      </c>
      <c r="C1064" s="8">
        <v>46228</v>
      </c>
      <c r="D1064" s="2" t="s">
        <v>199</v>
      </c>
      <c r="E1064" s="2" t="s">
        <v>12593</v>
      </c>
      <c r="F1064" s="2" t="s">
        <v>12429</v>
      </c>
      <c r="G1064" s="2" t="s">
        <v>14760</v>
      </c>
      <c r="H1064" s="2" t="s">
        <v>39</v>
      </c>
      <c r="I1064" s="9">
        <v>1113.0899999999999</v>
      </c>
      <c r="J1064" s="7">
        <v>1</v>
      </c>
      <c r="K1064" s="9">
        <v>1113.0899999999999</v>
      </c>
      <c r="L1064" s="14">
        <v>0</v>
      </c>
      <c r="M1064" s="2" t="s">
        <v>71</v>
      </c>
      <c r="N1064" s="2" t="s">
        <v>13272</v>
      </c>
      <c r="O1064" s="2" t="s">
        <v>14761</v>
      </c>
      <c r="P1064" s="9">
        <v>0</v>
      </c>
      <c r="Q1064" s="9">
        <v>0</v>
      </c>
      <c r="R1064" s="2" t="s">
        <v>14635</v>
      </c>
    </row>
    <row r="1065" spans="1:18" x14ac:dyDescent="0.25">
      <c r="A1065" s="2" t="s">
        <v>5270</v>
      </c>
      <c r="B1065" s="6">
        <v>46204</v>
      </c>
      <c r="C1065" s="8">
        <v>46229</v>
      </c>
      <c r="D1065" s="2" t="s">
        <v>199</v>
      </c>
      <c r="E1065" s="2" t="s">
        <v>12593</v>
      </c>
      <c r="F1065" s="2" t="s">
        <v>12430</v>
      </c>
      <c r="G1065" s="2" t="s">
        <v>14762</v>
      </c>
      <c r="H1065" s="2" t="s">
        <v>76</v>
      </c>
      <c r="I1065" s="9">
        <v>20743548.387097001</v>
      </c>
      <c r="J1065" s="7">
        <v>6.2000000000000003E-5</v>
      </c>
      <c r="K1065" s="9">
        <v>1286.0999999999999</v>
      </c>
      <c r="L1065" s="14">
        <v>0</v>
      </c>
      <c r="M1065" s="2" t="s">
        <v>71</v>
      </c>
      <c r="N1065" s="2" t="s">
        <v>13272</v>
      </c>
      <c r="O1065" s="2" t="s">
        <v>14763</v>
      </c>
      <c r="P1065" s="9">
        <v>0</v>
      </c>
      <c r="Q1065" s="9">
        <v>0</v>
      </c>
      <c r="R1065" s="2" t="s">
        <v>14638</v>
      </c>
    </row>
    <row r="1066" spans="1:18" x14ac:dyDescent="0.25">
      <c r="A1066" s="2" t="s">
        <v>5275</v>
      </c>
      <c r="B1066" s="6">
        <v>46204</v>
      </c>
      <c r="C1066" s="8">
        <v>46230</v>
      </c>
      <c r="D1066" s="2" t="s">
        <v>199</v>
      </c>
      <c r="E1066" s="2" t="s">
        <v>12593</v>
      </c>
      <c r="F1066" s="2" t="s">
        <v>12431</v>
      </c>
      <c r="G1066" s="2" t="s">
        <v>14764</v>
      </c>
      <c r="H1066" s="2" t="s">
        <v>70</v>
      </c>
      <c r="I1066" s="9">
        <v>2217.492401</v>
      </c>
      <c r="J1066" s="7">
        <v>0.65800000000000003</v>
      </c>
      <c r="K1066" s="9">
        <v>1459.11</v>
      </c>
      <c r="L1066" s="14">
        <v>0</v>
      </c>
      <c r="M1066" s="2" t="s">
        <v>71</v>
      </c>
      <c r="N1066" s="2" t="s">
        <v>13272</v>
      </c>
      <c r="O1066" s="2" t="s">
        <v>14765</v>
      </c>
      <c r="P1066" s="9">
        <v>0</v>
      </c>
      <c r="Q1066" s="9">
        <v>0</v>
      </c>
      <c r="R1066" s="2" t="s">
        <v>14641</v>
      </c>
    </row>
    <row r="1067" spans="1:18" x14ac:dyDescent="0.25">
      <c r="A1067" s="2" t="s">
        <v>5278</v>
      </c>
      <c r="B1067" s="6">
        <v>46204</v>
      </c>
      <c r="C1067" s="8">
        <v>46231</v>
      </c>
      <c r="D1067" s="2" t="s">
        <v>199</v>
      </c>
      <c r="E1067" s="2" t="s">
        <v>12593</v>
      </c>
      <c r="F1067" s="2" t="s">
        <v>12432</v>
      </c>
      <c r="G1067" s="2" t="s">
        <v>14766</v>
      </c>
      <c r="H1067" s="2" t="s">
        <v>39</v>
      </c>
      <c r="I1067" s="9">
        <v>1632.12</v>
      </c>
      <c r="J1067" s="7">
        <v>1</v>
      </c>
      <c r="K1067" s="9">
        <v>1632.12</v>
      </c>
      <c r="L1067" s="14">
        <v>0</v>
      </c>
      <c r="M1067" s="2" t="s">
        <v>71</v>
      </c>
      <c r="N1067" s="2" t="s">
        <v>13272</v>
      </c>
      <c r="O1067" s="2" t="s">
        <v>14767</v>
      </c>
      <c r="P1067" s="9">
        <v>0</v>
      </c>
      <c r="Q1067" s="9">
        <v>0</v>
      </c>
      <c r="R1067" s="2" t="s">
        <v>14644</v>
      </c>
    </row>
    <row r="1068" spans="1:18" x14ac:dyDescent="0.25">
      <c r="A1068" s="2" t="s">
        <v>5281</v>
      </c>
      <c r="B1068" s="6">
        <v>46204</v>
      </c>
      <c r="C1068" s="8">
        <v>46232</v>
      </c>
      <c r="D1068" s="2" t="s">
        <v>199</v>
      </c>
      <c r="E1068" s="2" t="s">
        <v>12593</v>
      </c>
      <c r="F1068" s="2" t="s">
        <v>12423</v>
      </c>
      <c r="G1068" s="2" t="s">
        <v>14768</v>
      </c>
      <c r="H1068" s="2" t="s">
        <v>76</v>
      </c>
      <c r="I1068" s="9">
        <v>29115000</v>
      </c>
      <c r="J1068" s="7">
        <v>6.2000000000000003E-5</v>
      </c>
      <c r="K1068" s="9">
        <v>1805.13</v>
      </c>
      <c r="L1068" s="14">
        <v>0</v>
      </c>
      <c r="M1068" s="2" t="s">
        <v>71</v>
      </c>
      <c r="N1068" s="2" t="s">
        <v>13272</v>
      </c>
      <c r="O1068" s="2" t="s">
        <v>14769</v>
      </c>
      <c r="P1068" s="9">
        <v>0</v>
      </c>
      <c r="Q1068" s="9">
        <v>0</v>
      </c>
      <c r="R1068" s="2" t="s">
        <v>14647</v>
      </c>
    </row>
    <row r="1069" spans="1:18" x14ac:dyDescent="0.25">
      <c r="A1069" s="2" t="s">
        <v>5284</v>
      </c>
      <c r="B1069" s="6">
        <v>46204</v>
      </c>
      <c r="C1069" s="8">
        <v>46233</v>
      </c>
      <c r="D1069" s="2" t="s">
        <v>199</v>
      </c>
      <c r="E1069" s="2" t="s">
        <v>12593</v>
      </c>
      <c r="F1069" s="2" t="s">
        <v>12424</v>
      </c>
      <c r="G1069" s="2" t="s">
        <v>14770</v>
      </c>
      <c r="H1069" s="2" t="s">
        <v>70</v>
      </c>
      <c r="I1069" s="9">
        <v>3006.2917929999999</v>
      </c>
      <c r="J1069" s="7">
        <v>0.65800000000000003</v>
      </c>
      <c r="K1069" s="9">
        <v>1978.14</v>
      </c>
      <c r="L1069" s="14">
        <v>0</v>
      </c>
      <c r="M1069" s="2" t="s">
        <v>71</v>
      </c>
      <c r="N1069" s="2" t="s">
        <v>13272</v>
      </c>
      <c r="O1069" s="2" t="s">
        <v>14771</v>
      </c>
      <c r="P1069" s="9">
        <v>0</v>
      </c>
      <c r="Q1069" s="9">
        <v>0</v>
      </c>
      <c r="R1069" s="2" t="s">
        <v>14650</v>
      </c>
    </row>
    <row r="1070" spans="1:18" x14ac:dyDescent="0.25">
      <c r="A1070" s="2" t="s">
        <v>5287</v>
      </c>
      <c r="B1070" s="6">
        <v>46204</v>
      </c>
      <c r="C1070" s="8">
        <v>46234</v>
      </c>
      <c r="D1070" s="2" t="s">
        <v>199</v>
      </c>
      <c r="E1070" s="2" t="s">
        <v>12593</v>
      </c>
      <c r="F1070" s="2" t="s">
        <v>12425</v>
      </c>
      <c r="G1070" s="2" t="s">
        <v>14772</v>
      </c>
      <c r="H1070" s="2" t="s">
        <v>39</v>
      </c>
      <c r="I1070" s="9">
        <v>2151.15</v>
      </c>
      <c r="J1070" s="7">
        <v>1</v>
      </c>
      <c r="K1070" s="9">
        <v>2151.15</v>
      </c>
      <c r="L1070" s="14">
        <v>0</v>
      </c>
      <c r="M1070" s="2" t="s">
        <v>71</v>
      </c>
      <c r="N1070" s="2" t="s">
        <v>13272</v>
      </c>
      <c r="O1070" s="2" t="s">
        <v>14773</v>
      </c>
      <c r="P1070" s="9">
        <v>0</v>
      </c>
      <c r="Q1070" s="9">
        <v>0</v>
      </c>
      <c r="R1070" s="2" t="s">
        <v>14653</v>
      </c>
    </row>
    <row r="1071" spans="1:18" x14ac:dyDescent="0.25">
      <c r="A1071" s="2" t="s">
        <v>5290</v>
      </c>
      <c r="B1071" s="6">
        <v>46204</v>
      </c>
      <c r="C1071" s="8">
        <v>46204</v>
      </c>
      <c r="D1071" s="2" t="s">
        <v>199</v>
      </c>
      <c r="E1071" s="2" t="s">
        <v>12593</v>
      </c>
      <c r="F1071" s="2" t="s">
        <v>12426</v>
      </c>
      <c r="G1071" s="2" t="s">
        <v>14774</v>
      </c>
      <c r="H1071" s="2" t="s">
        <v>76</v>
      </c>
      <c r="I1071" s="9">
        <v>37486451.612902999</v>
      </c>
      <c r="J1071" s="7">
        <v>6.2000000000000003E-5</v>
      </c>
      <c r="K1071" s="9">
        <v>2324.16</v>
      </c>
      <c r="L1071" s="14">
        <v>0</v>
      </c>
      <c r="M1071" s="2" t="s">
        <v>71</v>
      </c>
      <c r="N1071" s="2" t="s">
        <v>13272</v>
      </c>
      <c r="O1071" s="2" t="s">
        <v>14775</v>
      </c>
      <c r="P1071" s="9">
        <v>0</v>
      </c>
      <c r="Q1071" s="9">
        <v>0</v>
      </c>
      <c r="R1071" s="2" t="s">
        <v>14626</v>
      </c>
    </row>
    <row r="1072" spans="1:18" x14ac:dyDescent="0.25">
      <c r="A1072" s="2" t="s">
        <v>5295</v>
      </c>
      <c r="B1072" s="6">
        <v>46204</v>
      </c>
      <c r="C1072" s="8">
        <v>46205</v>
      </c>
      <c r="D1072" s="2" t="s">
        <v>199</v>
      </c>
      <c r="E1072" s="2" t="s">
        <v>12593</v>
      </c>
      <c r="F1072" s="2" t="s">
        <v>12427</v>
      </c>
      <c r="G1072" s="2" t="s">
        <v>14776</v>
      </c>
      <c r="H1072" s="2" t="s">
        <v>70</v>
      </c>
      <c r="I1072" s="9">
        <v>3795.0911850000002</v>
      </c>
      <c r="J1072" s="7">
        <v>0.65800000000000003</v>
      </c>
      <c r="K1072" s="9">
        <v>2497.17</v>
      </c>
      <c r="L1072" s="14">
        <v>0</v>
      </c>
      <c r="M1072" s="2" t="s">
        <v>71</v>
      </c>
      <c r="N1072" s="2" t="s">
        <v>13272</v>
      </c>
      <c r="O1072" s="2" t="s">
        <v>14777</v>
      </c>
      <c r="P1072" s="9">
        <v>0</v>
      </c>
      <c r="Q1072" s="9">
        <v>0</v>
      </c>
      <c r="R1072" s="2" t="s">
        <v>14629</v>
      </c>
    </row>
    <row r="1073" spans="1:18" x14ac:dyDescent="0.25">
      <c r="A1073" s="2" t="s">
        <v>5300</v>
      </c>
      <c r="B1073" s="6">
        <v>46204</v>
      </c>
      <c r="C1073" s="8">
        <v>46206</v>
      </c>
      <c r="D1073" s="2" t="s">
        <v>199</v>
      </c>
      <c r="E1073" s="2" t="s">
        <v>12593</v>
      </c>
      <c r="F1073" s="2" t="s">
        <v>12428</v>
      </c>
      <c r="G1073" s="2" t="s">
        <v>14778</v>
      </c>
      <c r="H1073" s="2" t="s">
        <v>39</v>
      </c>
      <c r="I1073" s="9">
        <v>2670.18</v>
      </c>
      <c r="J1073" s="7">
        <v>1</v>
      </c>
      <c r="K1073" s="9">
        <v>2670.18</v>
      </c>
      <c r="L1073" s="14">
        <v>0</v>
      </c>
      <c r="M1073" s="2" t="s">
        <v>71</v>
      </c>
      <c r="N1073" s="2" t="s">
        <v>13272</v>
      </c>
      <c r="O1073" s="2" t="s">
        <v>14779</v>
      </c>
      <c r="P1073" s="9">
        <v>0</v>
      </c>
      <c r="Q1073" s="9">
        <v>0</v>
      </c>
      <c r="R1073" s="2" t="s">
        <v>14632</v>
      </c>
    </row>
    <row r="1074" spans="1:18" x14ac:dyDescent="0.25">
      <c r="A1074" s="2" t="s">
        <v>5303</v>
      </c>
      <c r="B1074" s="6">
        <v>46204</v>
      </c>
      <c r="C1074" s="8">
        <v>46207</v>
      </c>
      <c r="D1074" s="2" t="s">
        <v>199</v>
      </c>
      <c r="E1074" s="2" t="s">
        <v>12593</v>
      </c>
      <c r="F1074" s="2" t="s">
        <v>12429</v>
      </c>
      <c r="G1074" s="2" t="s">
        <v>14780</v>
      </c>
      <c r="H1074" s="2" t="s">
        <v>76</v>
      </c>
      <c r="I1074" s="9">
        <v>45857903.225805998</v>
      </c>
      <c r="J1074" s="7">
        <v>6.2000000000000003E-5</v>
      </c>
      <c r="K1074" s="9">
        <v>2843.19</v>
      </c>
      <c r="L1074" s="14">
        <v>0</v>
      </c>
      <c r="M1074" s="2" t="s">
        <v>71</v>
      </c>
      <c r="N1074" s="2" t="s">
        <v>13272</v>
      </c>
      <c r="O1074" s="2" t="s">
        <v>14781</v>
      </c>
      <c r="P1074" s="9">
        <v>0</v>
      </c>
      <c r="Q1074" s="9">
        <v>0</v>
      </c>
      <c r="R1074" s="2" t="s">
        <v>14635</v>
      </c>
    </row>
    <row r="1075" spans="1:18" x14ac:dyDescent="0.25">
      <c r="A1075" s="2" t="s">
        <v>5306</v>
      </c>
      <c r="B1075" s="6">
        <v>46204</v>
      </c>
      <c r="C1075" s="8">
        <v>46208</v>
      </c>
      <c r="D1075" s="2" t="s">
        <v>199</v>
      </c>
      <c r="E1075" s="2" t="s">
        <v>12593</v>
      </c>
      <c r="F1075" s="2" t="s">
        <v>12430</v>
      </c>
      <c r="G1075" s="2" t="s">
        <v>14782</v>
      </c>
      <c r="H1075" s="2" t="s">
        <v>70</v>
      </c>
      <c r="I1075" s="9">
        <v>4583.8905779999996</v>
      </c>
      <c r="J1075" s="7">
        <v>0.65800000000000003</v>
      </c>
      <c r="K1075" s="9">
        <v>3016.2</v>
      </c>
      <c r="L1075" s="14">
        <v>0</v>
      </c>
      <c r="M1075" s="2" t="s">
        <v>71</v>
      </c>
      <c r="N1075" s="2" t="s">
        <v>13272</v>
      </c>
      <c r="O1075" s="2" t="s">
        <v>14783</v>
      </c>
      <c r="P1075" s="9">
        <v>0</v>
      </c>
      <c r="Q1075" s="9">
        <v>0</v>
      </c>
      <c r="R1075" s="2" t="s">
        <v>14638</v>
      </c>
    </row>
    <row r="1076" spans="1:18" x14ac:dyDescent="0.25">
      <c r="A1076" s="2" t="s">
        <v>5311</v>
      </c>
      <c r="B1076" s="6">
        <v>46204</v>
      </c>
      <c r="C1076" s="8">
        <v>46209</v>
      </c>
      <c r="D1076" s="2" t="s">
        <v>199</v>
      </c>
      <c r="E1076" s="2" t="s">
        <v>12593</v>
      </c>
      <c r="F1076" s="2" t="s">
        <v>12431</v>
      </c>
      <c r="G1076" s="2" t="s">
        <v>14784</v>
      </c>
      <c r="H1076" s="2" t="s">
        <v>39</v>
      </c>
      <c r="I1076" s="9">
        <v>3189.21</v>
      </c>
      <c r="J1076" s="7">
        <v>1</v>
      </c>
      <c r="K1076" s="9">
        <v>3189.21</v>
      </c>
      <c r="L1076" s="14">
        <v>0</v>
      </c>
      <c r="M1076" s="2" t="s">
        <v>71</v>
      </c>
      <c r="N1076" s="2" t="s">
        <v>13272</v>
      </c>
      <c r="O1076" s="2" t="s">
        <v>14785</v>
      </c>
      <c r="P1076" s="9">
        <v>0</v>
      </c>
      <c r="Q1076" s="9">
        <v>0</v>
      </c>
      <c r="R1076" s="2" t="s">
        <v>14641</v>
      </c>
    </row>
    <row r="1077" spans="1:18" x14ac:dyDescent="0.25">
      <c r="A1077" s="2" t="s">
        <v>5314</v>
      </c>
      <c r="B1077" s="6">
        <v>46204</v>
      </c>
      <c r="C1077" s="8">
        <v>46210</v>
      </c>
      <c r="D1077" s="2" t="s">
        <v>199</v>
      </c>
      <c r="E1077" s="2" t="s">
        <v>12593</v>
      </c>
      <c r="F1077" s="2" t="s">
        <v>12432</v>
      </c>
      <c r="G1077" s="2" t="s">
        <v>14786</v>
      </c>
      <c r="H1077" s="2" t="s">
        <v>76</v>
      </c>
      <c r="I1077" s="9">
        <v>-54229354.838710003</v>
      </c>
      <c r="J1077" s="7">
        <v>6.2000000000000003E-5</v>
      </c>
      <c r="K1077" s="9">
        <v>-3362.22</v>
      </c>
      <c r="L1077" s="14">
        <v>0</v>
      </c>
      <c r="M1077" s="2" t="s">
        <v>71</v>
      </c>
      <c r="N1077" s="2" t="s">
        <v>13272</v>
      </c>
      <c r="O1077" s="2" t="s">
        <v>14787</v>
      </c>
      <c r="P1077" s="9">
        <v>0</v>
      </c>
      <c r="Q1077" s="9">
        <v>0</v>
      </c>
      <c r="R1077" s="2" t="s">
        <v>14644</v>
      </c>
    </row>
    <row r="1078" spans="1:18" x14ac:dyDescent="0.25">
      <c r="A1078" s="2" t="s">
        <v>5317</v>
      </c>
      <c r="B1078" s="6">
        <v>46204</v>
      </c>
      <c r="C1078" s="8">
        <v>46211</v>
      </c>
      <c r="D1078" s="2" t="s">
        <v>199</v>
      </c>
      <c r="E1078" s="2" t="s">
        <v>12593</v>
      </c>
      <c r="F1078" s="2" t="s">
        <v>12423</v>
      </c>
      <c r="G1078" s="2" t="s">
        <v>14788</v>
      </c>
      <c r="H1078" s="2" t="s">
        <v>70</v>
      </c>
      <c r="I1078" s="9">
        <v>5372.6899700000004</v>
      </c>
      <c r="J1078" s="7">
        <v>0.65800000000000003</v>
      </c>
      <c r="K1078" s="9">
        <v>3535.23</v>
      </c>
      <c r="L1078" s="14">
        <v>0</v>
      </c>
      <c r="M1078" s="2" t="s">
        <v>71</v>
      </c>
      <c r="N1078" s="2" t="s">
        <v>13272</v>
      </c>
      <c r="O1078" s="2" t="s">
        <v>14789</v>
      </c>
      <c r="P1078" s="9">
        <v>0</v>
      </c>
      <c r="Q1078" s="9">
        <v>0</v>
      </c>
      <c r="R1078" s="2" t="s">
        <v>14647</v>
      </c>
    </row>
    <row r="1079" spans="1:18" x14ac:dyDescent="0.25">
      <c r="A1079" s="2" t="s">
        <v>5320</v>
      </c>
      <c r="B1079" s="6">
        <v>46204</v>
      </c>
      <c r="C1079" s="8">
        <v>46212</v>
      </c>
      <c r="D1079" s="2" t="s">
        <v>199</v>
      </c>
      <c r="E1079" s="2" t="s">
        <v>12593</v>
      </c>
      <c r="F1079" s="2" t="s">
        <v>12424</v>
      </c>
      <c r="G1079" s="2" t="s">
        <v>14790</v>
      </c>
      <c r="H1079" s="2" t="s">
        <v>39</v>
      </c>
      <c r="I1079" s="9">
        <v>3708.24</v>
      </c>
      <c r="J1079" s="7">
        <v>1</v>
      </c>
      <c r="K1079" s="9">
        <v>3708.24</v>
      </c>
      <c r="L1079" s="14">
        <v>0</v>
      </c>
      <c r="M1079" s="2" t="s">
        <v>71</v>
      </c>
      <c r="N1079" s="2" t="s">
        <v>13272</v>
      </c>
      <c r="O1079" s="2" t="s">
        <v>14791</v>
      </c>
      <c r="P1079" s="9">
        <v>0</v>
      </c>
      <c r="Q1079" s="9">
        <v>0</v>
      </c>
      <c r="R1079" s="2" t="s">
        <v>14650</v>
      </c>
    </row>
    <row r="1080" spans="1:18" x14ac:dyDescent="0.25">
      <c r="A1080" s="2" t="s">
        <v>5323</v>
      </c>
      <c r="B1080" s="6">
        <v>46204</v>
      </c>
      <c r="C1080" s="8">
        <v>46213</v>
      </c>
      <c r="D1080" s="2" t="s">
        <v>199</v>
      </c>
      <c r="E1080" s="2" t="s">
        <v>12593</v>
      </c>
      <c r="F1080" s="2" t="s">
        <v>12425</v>
      </c>
      <c r="G1080" s="2" t="s">
        <v>14792</v>
      </c>
      <c r="H1080" s="2" t="s">
        <v>76</v>
      </c>
      <c r="I1080" s="9">
        <v>62600806.451613002</v>
      </c>
      <c r="J1080" s="7">
        <v>6.2000000000000003E-5</v>
      </c>
      <c r="K1080" s="9">
        <v>3881.25</v>
      </c>
      <c r="L1080" s="14">
        <v>0</v>
      </c>
      <c r="M1080" s="2" t="s">
        <v>71</v>
      </c>
      <c r="N1080" s="2" t="s">
        <v>13272</v>
      </c>
      <c r="O1080" s="2" t="s">
        <v>14793</v>
      </c>
      <c r="P1080" s="9">
        <v>0</v>
      </c>
      <c r="Q1080" s="9">
        <v>0</v>
      </c>
      <c r="R1080" s="2" t="s">
        <v>14653</v>
      </c>
    </row>
    <row r="1081" spans="1:18" x14ac:dyDescent="0.25">
      <c r="A1081" s="2" t="s">
        <v>5326</v>
      </c>
      <c r="B1081" s="6">
        <v>46204</v>
      </c>
      <c r="C1081" s="8">
        <v>46214</v>
      </c>
      <c r="D1081" s="2" t="s">
        <v>199</v>
      </c>
      <c r="E1081" s="2" t="s">
        <v>12593</v>
      </c>
      <c r="F1081" s="2" t="s">
        <v>12426</v>
      </c>
      <c r="G1081" s="2" t="s">
        <v>14794</v>
      </c>
      <c r="H1081" s="2" t="s">
        <v>70</v>
      </c>
      <c r="I1081" s="9">
        <v>6161.4893620000003</v>
      </c>
      <c r="J1081" s="7">
        <v>0.65800000000000003</v>
      </c>
      <c r="K1081" s="9">
        <v>4054.26</v>
      </c>
      <c r="L1081" s="14">
        <v>0</v>
      </c>
      <c r="M1081" s="2" t="s">
        <v>71</v>
      </c>
      <c r="N1081" s="2" t="s">
        <v>13272</v>
      </c>
      <c r="O1081" s="2" t="s">
        <v>14795</v>
      </c>
      <c r="P1081" s="9">
        <v>0</v>
      </c>
      <c r="Q1081" s="9">
        <v>0</v>
      </c>
      <c r="R1081" s="2" t="s">
        <v>14626</v>
      </c>
    </row>
    <row r="1082" spans="1:18" x14ac:dyDescent="0.25">
      <c r="A1082" s="2" t="s">
        <v>5331</v>
      </c>
      <c r="B1082" s="6">
        <v>46204</v>
      </c>
      <c r="C1082" s="8">
        <v>46215</v>
      </c>
      <c r="D1082" s="2" t="s">
        <v>199</v>
      </c>
      <c r="E1082" s="2" t="s">
        <v>12593</v>
      </c>
      <c r="F1082" s="2" t="s">
        <v>12427</v>
      </c>
      <c r="G1082" s="2" t="s">
        <v>14796</v>
      </c>
      <c r="H1082" s="2" t="s">
        <v>39</v>
      </c>
      <c r="I1082" s="9">
        <v>4227.2700000000004</v>
      </c>
      <c r="J1082" s="7">
        <v>1</v>
      </c>
      <c r="K1082" s="9">
        <v>4227.2700000000004</v>
      </c>
      <c r="L1082" s="14">
        <v>0</v>
      </c>
      <c r="M1082" s="2" t="s">
        <v>71</v>
      </c>
      <c r="N1082" s="2" t="s">
        <v>13272</v>
      </c>
      <c r="O1082" s="2" t="s">
        <v>14797</v>
      </c>
      <c r="P1082" s="9">
        <v>0</v>
      </c>
      <c r="Q1082" s="9">
        <v>0</v>
      </c>
      <c r="R1082" s="2" t="s">
        <v>14629</v>
      </c>
    </row>
    <row r="1083" spans="1:18" x14ac:dyDescent="0.25">
      <c r="A1083" s="2" t="s">
        <v>5336</v>
      </c>
      <c r="B1083" s="6">
        <v>46204</v>
      </c>
      <c r="C1083" s="8">
        <v>46216</v>
      </c>
      <c r="D1083" s="2" t="s">
        <v>199</v>
      </c>
      <c r="E1083" s="2" t="s">
        <v>12593</v>
      </c>
      <c r="F1083" s="2" t="s">
        <v>12428</v>
      </c>
      <c r="G1083" s="2" t="s">
        <v>14798</v>
      </c>
      <c r="H1083" s="2" t="s">
        <v>76</v>
      </c>
      <c r="I1083" s="9">
        <v>70972258.064515993</v>
      </c>
      <c r="J1083" s="7">
        <v>6.2000000000000003E-5</v>
      </c>
      <c r="K1083" s="9">
        <v>4400.28</v>
      </c>
      <c r="L1083" s="14">
        <v>0</v>
      </c>
      <c r="M1083" s="2" t="s">
        <v>71</v>
      </c>
      <c r="N1083" s="2" t="s">
        <v>13272</v>
      </c>
      <c r="O1083" s="2" t="s">
        <v>14799</v>
      </c>
      <c r="P1083" s="9">
        <v>0</v>
      </c>
      <c r="Q1083" s="9">
        <v>0</v>
      </c>
      <c r="R1083" s="2" t="s">
        <v>14632</v>
      </c>
    </row>
    <row r="1084" spans="1:18" x14ac:dyDescent="0.25">
      <c r="A1084" s="2" t="s">
        <v>5339</v>
      </c>
      <c r="B1084" s="6">
        <v>46204</v>
      </c>
      <c r="C1084" s="8">
        <v>46217</v>
      </c>
      <c r="D1084" s="2" t="s">
        <v>199</v>
      </c>
      <c r="E1084" s="2" t="s">
        <v>12593</v>
      </c>
      <c r="F1084" s="2" t="s">
        <v>12429</v>
      </c>
      <c r="G1084" s="2" t="s">
        <v>14800</v>
      </c>
      <c r="H1084" s="2" t="s">
        <v>70</v>
      </c>
      <c r="I1084" s="9">
        <v>6950.2887540000002</v>
      </c>
      <c r="J1084" s="7">
        <v>0.65800000000000003</v>
      </c>
      <c r="K1084" s="9">
        <v>4573.29</v>
      </c>
      <c r="L1084" s="14">
        <v>0</v>
      </c>
      <c r="M1084" s="2" t="s">
        <v>71</v>
      </c>
      <c r="N1084" s="2" t="s">
        <v>13272</v>
      </c>
      <c r="O1084" s="2" t="s">
        <v>14801</v>
      </c>
      <c r="P1084" s="9">
        <v>0</v>
      </c>
      <c r="Q1084" s="9">
        <v>0</v>
      </c>
      <c r="R1084" s="2" t="s">
        <v>14635</v>
      </c>
    </row>
    <row r="1085" spans="1:18" x14ac:dyDescent="0.25">
      <c r="A1085" s="2" t="s">
        <v>5342</v>
      </c>
      <c r="B1085" s="6">
        <v>46204</v>
      </c>
      <c r="C1085" s="8">
        <v>46218</v>
      </c>
      <c r="D1085" s="2" t="s">
        <v>199</v>
      </c>
      <c r="E1085" s="2" t="s">
        <v>12593</v>
      </c>
      <c r="F1085" s="2" t="s">
        <v>12430</v>
      </c>
      <c r="G1085" s="2" t="s">
        <v>14802</v>
      </c>
      <c r="H1085" s="2" t="s">
        <v>39</v>
      </c>
      <c r="I1085" s="9">
        <v>4746.3</v>
      </c>
      <c r="J1085" s="7">
        <v>1</v>
      </c>
      <c r="K1085" s="9">
        <v>4746.3</v>
      </c>
      <c r="L1085" s="14">
        <v>0</v>
      </c>
      <c r="M1085" s="2" t="s">
        <v>71</v>
      </c>
      <c r="N1085" s="2" t="s">
        <v>13272</v>
      </c>
      <c r="O1085" s="2" t="s">
        <v>14803</v>
      </c>
      <c r="P1085" s="9">
        <v>0</v>
      </c>
      <c r="Q1085" s="9">
        <v>0</v>
      </c>
      <c r="R1085" s="2" t="s">
        <v>14638</v>
      </c>
    </row>
    <row r="1086" spans="1:18" x14ac:dyDescent="0.25">
      <c r="A1086" s="2" t="s">
        <v>5347</v>
      </c>
      <c r="B1086" s="6">
        <v>46204</v>
      </c>
      <c r="C1086" s="8">
        <v>46219</v>
      </c>
      <c r="D1086" s="2" t="s">
        <v>199</v>
      </c>
      <c r="E1086" s="2" t="s">
        <v>12593</v>
      </c>
      <c r="F1086" s="2" t="s">
        <v>12431</v>
      </c>
      <c r="G1086" s="2" t="s">
        <v>14804</v>
      </c>
      <c r="H1086" s="2" t="s">
        <v>76</v>
      </c>
      <c r="I1086" s="9">
        <v>79343709.677419007</v>
      </c>
      <c r="J1086" s="7">
        <v>6.2000000000000003E-5</v>
      </c>
      <c r="K1086" s="9">
        <v>4919.3100000000004</v>
      </c>
      <c r="L1086" s="14">
        <v>0</v>
      </c>
      <c r="M1086" s="2" t="s">
        <v>71</v>
      </c>
      <c r="N1086" s="2" t="s">
        <v>13272</v>
      </c>
      <c r="O1086" s="2" t="s">
        <v>14805</v>
      </c>
      <c r="P1086" s="9">
        <v>0</v>
      </c>
      <c r="Q1086" s="9">
        <v>0</v>
      </c>
      <c r="R1086" s="2" t="s">
        <v>14641</v>
      </c>
    </row>
    <row r="1087" spans="1:18" x14ac:dyDescent="0.25">
      <c r="A1087" s="2" t="s">
        <v>5350</v>
      </c>
      <c r="B1087" s="6">
        <v>46204</v>
      </c>
      <c r="C1087" s="8">
        <v>46220</v>
      </c>
      <c r="D1087" s="2" t="s">
        <v>199</v>
      </c>
      <c r="E1087" s="2" t="s">
        <v>12593</v>
      </c>
      <c r="F1087" s="2" t="s">
        <v>12432</v>
      </c>
      <c r="G1087" s="2" t="s">
        <v>14806</v>
      </c>
      <c r="H1087" s="2" t="s">
        <v>70</v>
      </c>
      <c r="I1087" s="9">
        <v>7739.0881460000001</v>
      </c>
      <c r="J1087" s="7">
        <v>0.65800000000000003</v>
      </c>
      <c r="K1087" s="9">
        <v>5092.32</v>
      </c>
      <c r="L1087" s="14">
        <v>0</v>
      </c>
      <c r="M1087" s="2" t="s">
        <v>71</v>
      </c>
      <c r="N1087" s="2" t="s">
        <v>13272</v>
      </c>
      <c r="O1087" s="2" t="s">
        <v>14807</v>
      </c>
      <c r="P1087" s="9">
        <v>0</v>
      </c>
      <c r="Q1087" s="9">
        <v>0</v>
      </c>
      <c r="R1087" s="2" t="s">
        <v>14644</v>
      </c>
    </row>
    <row r="1088" spans="1:18" x14ac:dyDescent="0.25">
      <c r="A1088" s="2" t="s">
        <v>5353</v>
      </c>
      <c r="B1088" s="6">
        <v>46204</v>
      </c>
      <c r="C1088" s="8">
        <v>46221</v>
      </c>
      <c r="D1088" s="2" t="s">
        <v>199</v>
      </c>
      <c r="E1088" s="2" t="s">
        <v>12593</v>
      </c>
      <c r="F1088" s="2" t="s">
        <v>12423</v>
      </c>
      <c r="G1088" s="2" t="s">
        <v>14808</v>
      </c>
      <c r="H1088" s="2" t="s">
        <v>39</v>
      </c>
      <c r="I1088" s="9">
        <v>5265.33</v>
      </c>
      <c r="J1088" s="7">
        <v>1</v>
      </c>
      <c r="K1088" s="9">
        <v>5265.33</v>
      </c>
      <c r="L1088" s="14">
        <v>0</v>
      </c>
      <c r="M1088" s="2" t="s">
        <v>71</v>
      </c>
      <c r="N1088" s="2" t="s">
        <v>13272</v>
      </c>
      <c r="O1088" s="2" t="s">
        <v>14809</v>
      </c>
      <c r="P1088" s="9">
        <v>0</v>
      </c>
      <c r="Q1088" s="9">
        <v>0</v>
      </c>
      <c r="R1088" s="2" t="s">
        <v>14647</v>
      </c>
    </row>
    <row r="1089" spans="1:18" x14ac:dyDescent="0.25">
      <c r="A1089" s="2" t="s">
        <v>5356</v>
      </c>
      <c r="B1089" s="6">
        <v>46204</v>
      </c>
      <c r="C1089" s="8">
        <v>46222</v>
      </c>
      <c r="D1089" s="2" t="s">
        <v>199</v>
      </c>
      <c r="E1089" s="2" t="s">
        <v>12593</v>
      </c>
      <c r="F1089" s="2" t="s">
        <v>12424</v>
      </c>
      <c r="G1089" s="2" t="s">
        <v>14810</v>
      </c>
      <c r="H1089" s="2" t="s">
        <v>76</v>
      </c>
      <c r="I1089" s="9">
        <v>87715161.290323004</v>
      </c>
      <c r="J1089" s="7">
        <v>6.2000000000000003E-5</v>
      </c>
      <c r="K1089" s="9">
        <v>5438.34</v>
      </c>
      <c r="L1089" s="14">
        <v>0</v>
      </c>
      <c r="M1089" s="2" t="s">
        <v>71</v>
      </c>
      <c r="N1089" s="2" t="s">
        <v>13272</v>
      </c>
      <c r="O1089" s="2" t="s">
        <v>14811</v>
      </c>
      <c r="P1089" s="9">
        <v>0</v>
      </c>
      <c r="Q1089" s="9">
        <v>0</v>
      </c>
      <c r="R1089" s="2" t="s">
        <v>14650</v>
      </c>
    </row>
    <row r="1090" spans="1:18" x14ac:dyDescent="0.25">
      <c r="A1090" s="2" t="s">
        <v>5359</v>
      </c>
      <c r="B1090" s="6">
        <v>46204</v>
      </c>
      <c r="C1090" s="8">
        <v>46223</v>
      </c>
      <c r="D1090" s="2" t="s">
        <v>199</v>
      </c>
      <c r="E1090" s="2" t="s">
        <v>12593</v>
      </c>
      <c r="F1090" s="2" t="s">
        <v>12425</v>
      </c>
      <c r="G1090" s="2" t="s">
        <v>14812</v>
      </c>
      <c r="H1090" s="2" t="s">
        <v>70</v>
      </c>
      <c r="I1090" s="9">
        <v>8527.8875380000009</v>
      </c>
      <c r="J1090" s="7">
        <v>0.65800000000000003</v>
      </c>
      <c r="K1090" s="9">
        <v>5611.35</v>
      </c>
      <c r="L1090" s="14">
        <v>0</v>
      </c>
      <c r="M1090" s="2" t="s">
        <v>71</v>
      </c>
      <c r="N1090" s="2" t="s">
        <v>13272</v>
      </c>
      <c r="O1090" s="2" t="s">
        <v>14813</v>
      </c>
      <c r="P1090" s="9">
        <v>0</v>
      </c>
      <c r="Q1090" s="9">
        <v>0</v>
      </c>
      <c r="R1090" s="2" t="s">
        <v>14653</v>
      </c>
    </row>
    <row r="1091" spans="1:18" x14ac:dyDescent="0.25">
      <c r="A1091" s="2" t="s">
        <v>5362</v>
      </c>
      <c r="B1091" s="6">
        <v>46204</v>
      </c>
      <c r="C1091" s="8">
        <v>46224</v>
      </c>
      <c r="D1091" s="2" t="s">
        <v>199</v>
      </c>
      <c r="E1091" s="2" t="s">
        <v>12593</v>
      </c>
      <c r="F1091" s="2" t="s">
        <v>12426</v>
      </c>
      <c r="G1091" s="2" t="s">
        <v>14814</v>
      </c>
      <c r="H1091" s="2" t="s">
        <v>39</v>
      </c>
      <c r="I1091" s="9">
        <v>5784.36</v>
      </c>
      <c r="J1091" s="7">
        <v>1</v>
      </c>
      <c r="K1091" s="9">
        <v>5784.36</v>
      </c>
      <c r="L1091" s="14">
        <v>0</v>
      </c>
      <c r="M1091" s="2" t="s">
        <v>71</v>
      </c>
      <c r="N1091" s="2" t="s">
        <v>13272</v>
      </c>
      <c r="O1091" s="2" t="s">
        <v>14815</v>
      </c>
      <c r="P1091" s="9">
        <v>0</v>
      </c>
      <c r="Q1091" s="9">
        <v>0</v>
      </c>
      <c r="R1091" s="2" t="s">
        <v>14626</v>
      </c>
    </row>
    <row r="1092" spans="1:18" x14ac:dyDescent="0.25">
      <c r="A1092" s="2" t="s">
        <v>5367</v>
      </c>
      <c r="B1092" s="6">
        <v>46204</v>
      </c>
      <c r="C1092" s="8">
        <v>46225</v>
      </c>
      <c r="D1092" s="2" t="s">
        <v>199</v>
      </c>
      <c r="E1092" s="2" t="s">
        <v>12593</v>
      </c>
      <c r="F1092" s="2" t="s">
        <v>12427</v>
      </c>
      <c r="G1092" s="2" t="s">
        <v>14816</v>
      </c>
      <c r="H1092" s="2" t="s">
        <v>76</v>
      </c>
      <c r="I1092" s="9">
        <v>96086612.903226003</v>
      </c>
      <c r="J1092" s="7">
        <v>6.2000000000000003E-5</v>
      </c>
      <c r="K1092" s="9">
        <v>5957.37</v>
      </c>
      <c r="L1092" s="14">
        <v>0</v>
      </c>
      <c r="M1092" s="2" t="s">
        <v>71</v>
      </c>
      <c r="N1092" s="2" t="s">
        <v>13272</v>
      </c>
      <c r="O1092" s="2" t="s">
        <v>14817</v>
      </c>
      <c r="P1092" s="9">
        <v>0</v>
      </c>
      <c r="Q1092" s="9">
        <v>0</v>
      </c>
      <c r="R1092" s="2" t="s">
        <v>14629</v>
      </c>
    </row>
    <row r="1093" spans="1:18" x14ac:dyDescent="0.25">
      <c r="A1093" s="2" t="s">
        <v>5372</v>
      </c>
      <c r="B1093" s="6">
        <v>46204</v>
      </c>
      <c r="C1093" s="8">
        <v>46226</v>
      </c>
      <c r="D1093" s="2" t="s">
        <v>199</v>
      </c>
      <c r="E1093" s="2" t="s">
        <v>12593</v>
      </c>
      <c r="F1093" s="2" t="s">
        <v>12428</v>
      </c>
      <c r="G1093" s="2" t="s">
        <v>14818</v>
      </c>
      <c r="H1093" s="2" t="s">
        <v>70</v>
      </c>
      <c r="I1093" s="9">
        <v>9316.6869299999998</v>
      </c>
      <c r="J1093" s="7">
        <v>0.65800000000000003</v>
      </c>
      <c r="K1093" s="9">
        <v>6130.38</v>
      </c>
      <c r="L1093" s="14">
        <v>0</v>
      </c>
      <c r="M1093" s="2" t="s">
        <v>71</v>
      </c>
      <c r="N1093" s="2" t="s">
        <v>13272</v>
      </c>
      <c r="O1093" s="2" t="s">
        <v>14819</v>
      </c>
      <c r="P1093" s="9">
        <v>0</v>
      </c>
      <c r="Q1093" s="9">
        <v>0</v>
      </c>
      <c r="R1093" s="2" t="s">
        <v>14632</v>
      </c>
    </row>
    <row r="1094" spans="1:18" x14ac:dyDescent="0.25">
      <c r="A1094" s="2" t="s">
        <v>5375</v>
      </c>
      <c r="B1094" s="6">
        <v>46204</v>
      </c>
      <c r="C1094" s="8">
        <v>46227</v>
      </c>
      <c r="D1094" s="2" t="s">
        <v>199</v>
      </c>
      <c r="E1094" s="2" t="s">
        <v>12593</v>
      </c>
      <c r="F1094" s="2" t="s">
        <v>12429</v>
      </c>
      <c r="G1094" s="2" t="s">
        <v>14820</v>
      </c>
      <c r="H1094" s="2" t="s">
        <v>39</v>
      </c>
      <c r="I1094" s="9">
        <v>6303.39</v>
      </c>
      <c r="J1094" s="7">
        <v>1</v>
      </c>
      <c r="K1094" s="9">
        <v>6303.39</v>
      </c>
      <c r="L1094" s="14">
        <v>0</v>
      </c>
      <c r="M1094" s="2" t="s">
        <v>71</v>
      </c>
      <c r="N1094" s="2" t="s">
        <v>13272</v>
      </c>
      <c r="O1094" s="2" t="s">
        <v>14821</v>
      </c>
      <c r="P1094" s="9">
        <v>0</v>
      </c>
      <c r="Q1094" s="9">
        <v>0</v>
      </c>
      <c r="R1094" s="2" t="s">
        <v>14635</v>
      </c>
    </row>
    <row r="1095" spans="1:18" x14ac:dyDescent="0.25">
      <c r="A1095" s="2" t="s">
        <v>5378</v>
      </c>
      <c r="B1095" s="6">
        <v>46204</v>
      </c>
      <c r="C1095" s="8">
        <v>46228</v>
      </c>
      <c r="D1095" s="2" t="s">
        <v>199</v>
      </c>
      <c r="E1095" s="2" t="s">
        <v>12593</v>
      </c>
      <c r="F1095" s="2" t="s">
        <v>12430</v>
      </c>
      <c r="G1095" s="2" t="s">
        <v>14822</v>
      </c>
      <c r="H1095" s="2" t="s">
        <v>76</v>
      </c>
      <c r="I1095" s="9">
        <v>104458064.516129</v>
      </c>
      <c r="J1095" s="7">
        <v>6.2000000000000003E-5</v>
      </c>
      <c r="K1095" s="9">
        <v>6476.4</v>
      </c>
      <c r="L1095" s="14">
        <v>0</v>
      </c>
      <c r="M1095" s="2" t="s">
        <v>71</v>
      </c>
      <c r="N1095" s="2" t="s">
        <v>13272</v>
      </c>
      <c r="O1095" s="2" t="s">
        <v>14823</v>
      </c>
      <c r="P1095" s="9">
        <v>0</v>
      </c>
      <c r="Q1095" s="9">
        <v>0</v>
      </c>
      <c r="R1095" s="2" t="s">
        <v>14638</v>
      </c>
    </row>
    <row r="1096" spans="1:18" x14ac:dyDescent="0.25">
      <c r="A1096" s="2" t="s">
        <v>5383</v>
      </c>
      <c r="B1096" s="6">
        <v>46204</v>
      </c>
      <c r="C1096" s="8">
        <v>46229</v>
      </c>
      <c r="D1096" s="2" t="s">
        <v>199</v>
      </c>
      <c r="E1096" s="2" t="s">
        <v>12593</v>
      </c>
      <c r="F1096" s="2" t="s">
        <v>12431</v>
      </c>
      <c r="G1096" s="2" t="s">
        <v>14824</v>
      </c>
      <c r="H1096" s="2" t="s">
        <v>70</v>
      </c>
      <c r="I1096" s="9">
        <v>10105.486322000001</v>
      </c>
      <c r="J1096" s="7">
        <v>0.65800000000000003</v>
      </c>
      <c r="K1096" s="9">
        <v>6649.41</v>
      </c>
      <c r="L1096" s="14">
        <v>0</v>
      </c>
      <c r="M1096" s="2" t="s">
        <v>71</v>
      </c>
      <c r="N1096" s="2" t="s">
        <v>13272</v>
      </c>
      <c r="O1096" s="2" t="s">
        <v>14825</v>
      </c>
      <c r="P1096" s="9">
        <v>0</v>
      </c>
      <c r="Q1096" s="9">
        <v>0</v>
      </c>
      <c r="R1096" s="2" t="s">
        <v>14641</v>
      </c>
    </row>
    <row r="1097" spans="1:18" x14ac:dyDescent="0.25">
      <c r="A1097" s="2" t="s">
        <v>5386</v>
      </c>
      <c r="B1097" s="6">
        <v>46204</v>
      </c>
      <c r="C1097" s="8">
        <v>46230</v>
      </c>
      <c r="D1097" s="2" t="s">
        <v>199</v>
      </c>
      <c r="E1097" s="2" t="s">
        <v>12593</v>
      </c>
      <c r="F1097" s="2" t="s">
        <v>12432</v>
      </c>
      <c r="G1097" s="2" t="s">
        <v>14826</v>
      </c>
      <c r="H1097" s="2" t="s">
        <v>39</v>
      </c>
      <c r="I1097" s="9">
        <v>6822.42</v>
      </c>
      <c r="J1097" s="7">
        <v>1</v>
      </c>
      <c r="K1097" s="9">
        <v>6822.42</v>
      </c>
      <c r="L1097" s="14">
        <v>0</v>
      </c>
      <c r="M1097" s="2" t="s">
        <v>71</v>
      </c>
      <c r="N1097" s="2" t="s">
        <v>13272</v>
      </c>
      <c r="O1097" s="2" t="s">
        <v>14827</v>
      </c>
      <c r="P1097" s="9">
        <v>0</v>
      </c>
      <c r="Q1097" s="9">
        <v>0</v>
      </c>
      <c r="R1097" s="2" t="s">
        <v>14644</v>
      </c>
    </row>
    <row r="1098" spans="1:18" x14ac:dyDescent="0.25">
      <c r="A1098" s="2" t="s">
        <v>5389</v>
      </c>
      <c r="B1098" s="6">
        <v>46204</v>
      </c>
      <c r="C1098" s="8">
        <v>46231</v>
      </c>
      <c r="D1098" s="2" t="s">
        <v>199</v>
      </c>
      <c r="E1098" s="2" t="s">
        <v>12593</v>
      </c>
      <c r="F1098" s="2" t="s">
        <v>12423</v>
      </c>
      <c r="G1098" s="2" t="s">
        <v>14828</v>
      </c>
      <c r="H1098" s="2" t="s">
        <v>76</v>
      </c>
      <c r="I1098" s="9">
        <v>112829516.129032</v>
      </c>
      <c r="J1098" s="7">
        <v>6.2000000000000003E-5</v>
      </c>
      <c r="K1098" s="9">
        <v>6995.43</v>
      </c>
      <c r="L1098" s="14">
        <v>0</v>
      </c>
      <c r="M1098" s="2" t="s">
        <v>71</v>
      </c>
      <c r="N1098" s="2" t="s">
        <v>13272</v>
      </c>
      <c r="O1098" s="2" t="s">
        <v>14829</v>
      </c>
      <c r="P1098" s="9">
        <v>0</v>
      </c>
      <c r="Q1098" s="9">
        <v>0</v>
      </c>
      <c r="R1098" s="2" t="s">
        <v>14647</v>
      </c>
    </row>
    <row r="1099" spans="1:18" x14ac:dyDescent="0.25">
      <c r="A1099" s="2" t="s">
        <v>5392</v>
      </c>
      <c r="B1099" s="6">
        <v>46204</v>
      </c>
      <c r="C1099" s="8">
        <v>46232</v>
      </c>
      <c r="D1099" s="2" t="s">
        <v>199</v>
      </c>
      <c r="E1099" s="2" t="s">
        <v>12593</v>
      </c>
      <c r="F1099" s="2" t="s">
        <v>12424</v>
      </c>
      <c r="G1099" s="2" t="s">
        <v>14830</v>
      </c>
      <c r="H1099" s="2" t="s">
        <v>70</v>
      </c>
      <c r="I1099" s="9">
        <v>10894.285714</v>
      </c>
      <c r="J1099" s="7">
        <v>0.65800000000000003</v>
      </c>
      <c r="K1099" s="9">
        <v>7168.44</v>
      </c>
      <c r="L1099" s="14">
        <v>0</v>
      </c>
      <c r="M1099" s="2" t="s">
        <v>71</v>
      </c>
      <c r="N1099" s="2" t="s">
        <v>13272</v>
      </c>
      <c r="O1099" s="2" t="s">
        <v>14831</v>
      </c>
      <c r="P1099" s="9">
        <v>0</v>
      </c>
      <c r="Q1099" s="9">
        <v>0</v>
      </c>
      <c r="R1099" s="2" t="s">
        <v>14650</v>
      </c>
    </row>
    <row r="1100" spans="1:18" x14ac:dyDescent="0.25">
      <c r="A1100" s="2" t="s">
        <v>5395</v>
      </c>
      <c r="B1100" s="6">
        <v>46204</v>
      </c>
      <c r="C1100" s="8">
        <v>46233</v>
      </c>
      <c r="D1100" s="2" t="s">
        <v>199</v>
      </c>
      <c r="E1100" s="2" t="s">
        <v>12593</v>
      </c>
      <c r="F1100" s="2" t="s">
        <v>12425</v>
      </c>
      <c r="G1100" s="2" t="s">
        <v>14832</v>
      </c>
      <c r="H1100" s="2" t="s">
        <v>39</v>
      </c>
      <c r="I1100" s="9">
        <v>7341.45</v>
      </c>
      <c r="J1100" s="7">
        <v>1</v>
      </c>
      <c r="K1100" s="9">
        <v>7341.45</v>
      </c>
      <c r="L1100" s="14">
        <v>0</v>
      </c>
      <c r="M1100" s="2" t="s">
        <v>71</v>
      </c>
      <c r="N1100" s="2" t="s">
        <v>13272</v>
      </c>
      <c r="O1100" s="2" t="s">
        <v>14833</v>
      </c>
      <c r="P1100" s="9">
        <v>0</v>
      </c>
      <c r="Q1100" s="9">
        <v>0</v>
      </c>
      <c r="R1100" s="2" t="s">
        <v>14653</v>
      </c>
    </row>
    <row r="1101" spans="1:18" x14ac:dyDescent="0.25">
      <c r="A1101" s="2" t="s">
        <v>5398</v>
      </c>
      <c r="B1101" s="6">
        <v>46204</v>
      </c>
      <c r="C1101" s="8">
        <v>46234</v>
      </c>
      <c r="D1101" s="2" t="s">
        <v>199</v>
      </c>
      <c r="E1101" s="2" t="s">
        <v>12593</v>
      </c>
      <c r="F1101" s="2" t="s">
        <v>12426</v>
      </c>
      <c r="G1101" s="2" t="s">
        <v>14834</v>
      </c>
      <c r="H1101" s="2" t="s">
        <v>76</v>
      </c>
      <c r="I1101" s="9">
        <v>121200967.741935</v>
      </c>
      <c r="J1101" s="7">
        <v>6.2000000000000003E-5</v>
      </c>
      <c r="K1101" s="9">
        <v>7514.46</v>
      </c>
      <c r="L1101" s="14">
        <v>0</v>
      </c>
      <c r="M1101" s="2" t="s">
        <v>71</v>
      </c>
      <c r="N1101" s="2" t="s">
        <v>13272</v>
      </c>
      <c r="O1101" s="2" t="s">
        <v>14835</v>
      </c>
      <c r="P1101" s="9">
        <v>0</v>
      </c>
      <c r="Q1101" s="9">
        <v>0</v>
      </c>
      <c r="R1101" s="2" t="s">
        <v>14626</v>
      </c>
    </row>
    <row r="1102" spans="1:18" x14ac:dyDescent="0.25">
      <c r="A1102" s="2" t="s">
        <v>5403</v>
      </c>
      <c r="B1102" s="6">
        <v>46204</v>
      </c>
      <c r="C1102" s="8">
        <v>46204</v>
      </c>
      <c r="D1102" s="2" t="s">
        <v>199</v>
      </c>
      <c r="E1102" s="2" t="s">
        <v>12593</v>
      </c>
      <c r="F1102" s="2" t="s">
        <v>12427</v>
      </c>
      <c r="G1102" s="2" t="s">
        <v>14836</v>
      </c>
      <c r="H1102" s="2" t="s">
        <v>70</v>
      </c>
      <c r="I1102" s="9">
        <v>11683.085106</v>
      </c>
      <c r="J1102" s="7">
        <v>0.65800000000000003</v>
      </c>
      <c r="K1102" s="9">
        <v>7687.47</v>
      </c>
      <c r="L1102" s="14">
        <v>0</v>
      </c>
      <c r="M1102" s="2" t="s">
        <v>71</v>
      </c>
      <c r="N1102" s="2" t="s">
        <v>13272</v>
      </c>
      <c r="O1102" s="2" t="s">
        <v>14837</v>
      </c>
      <c r="P1102" s="9">
        <v>0</v>
      </c>
      <c r="Q1102" s="9">
        <v>0</v>
      </c>
      <c r="R1102" s="2" t="s">
        <v>14629</v>
      </c>
    </row>
    <row r="1103" spans="1:18" x14ac:dyDescent="0.25">
      <c r="A1103" s="2" t="s">
        <v>5408</v>
      </c>
      <c r="B1103" s="6">
        <v>46204</v>
      </c>
      <c r="C1103" s="8">
        <v>46205</v>
      </c>
      <c r="D1103" s="2" t="s">
        <v>199</v>
      </c>
      <c r="E1103" s="2" t="s">
        <v>12593</v>
      </c>
      <c r="F1103" s="2" t="s">
        <v>12428</v>
      </c>
      <c r="G1103" s="2" t="s">
        <v>14838</v>
      </c>
      <c r="H1103" s="2" t="s">
        <v>39</v>
      </c>
      <c r="I1103" s="9">
        <v>7860.48</v>
      </c>
      <c r="J1103" s="7">
        <v>1</v>
      </c>
      <c r="K1103" s="9">
        <v>7860.48</v>
      </c>
      <c r="L1103" s="14">
        <v>0</v>
      </c>
      <c r="M1103" s="2" t="s">
        <v>71</v>
      </c>
      <c r="N1103" s="2" t="s">
        <v>13272</v>
      </c>
      <c r="O1103" s="2" t="s">
        <v>14839</v>
      </c>
      <c r="P1103" s="9">
        <v>0</v>
      </c>
      <c r="Q1103" s="9">
        <v>0</v>
      </c>
      <c r="R1103" s="2" t="s">
        <v>14632</v>
      </c>
    </row>
    <row r="1104" spans="1:18" x14ac:dyDescent="0.25">
      <c r="A1104" s="2" t="s">
        <v>5411</v>
      </c>
      <c r="B1104" s="6">
        <v>46204</v>
      </c>
      <c r="C1104" s="8">
        <v>46206</v>
      </c>
      <c r="D1104" s="2" t="s">
        <v>199</v>
      </c>
      <c r="E1104" s="2" t="s">
        <v>12593</v>
      </c>
      <c r="F1104" s="2" t="s">
        <v>12429</v>
      </c>
      <c r="G1104" s="2" t="s">
        <v>14840</v>
      </c>
      <c r="H1104" s="2" t="s">
        <v>76</v>
      </c>
      <c r="I1104" s="9">
        <v>129572419.354839</v>
      </c>
      <c r="J1104" s="7">
        <v>6.2000000000000003E-5</v>
      </c>
      <c r="K1104" s="9">
        <v>8033.49</v>
      </c>
      <c r="L1104" s="14">
        <v>0</v>
      </c>
      <c r="M1104" s="2" t="s">
        <v>71</v>
      </c>
      <c r="N1104" s="2" t="s">
        <v>13272</v>
      </c>
      <c r="O1104" s="2" t="s">
        <v>14841</v>
      </c>
      <c r="P1104" s="9">
        <v>0</v>
      </c>
      <c r="Q1104" s="9">
        <v>0</v>
      </c>
      <c r="R1104" s="2" t="s">
        <v>14635</v>
      </c>
    </row>
    <row r="1105" spans="1:18" x14ac:dyDescent="0.25">
      <c r="A1105" s="2" t="s">
        <v>5414</v>
      </c>
      <c r="B1105" s="6">
        <v>46204</v>
      </c>
      <c r="C1105" s="8">
        <v>46207</v>
      </c>
      <c r="D1105" s="2" t="s">
        <v>199</v>
      </c>
      <c r="E1105" s="2" t="s">
        <v>12593</v>
      </c>
      <c r="F1105" s="2" t="s">
        <v>12430</v>
      </c>
      <c r="G1105" s="2" t="s">
        <v>14842</v>
      </c>
      <c r="H1105" s="2" t="s">
        <v>70</v>
      </c>
      <c r="I1105" s="9">
        <v>12471.884497999999</v>
      </c>
      <c r="J1105" s="7">
        <v>0.65800000000000003</v>
      </c>
      <c r="K1105" s="9">
        <v>8206.5</v>
      </c>
      <c r="L1105" s="14">
        <v>0</v>
      </c>
      <c r="M1105" s="2" t="s">
        <v>71</v>
      </c>
      <c r="N1105" s="2" t="s">
        <v>13272</v>
      </c>
      <c r="O1105" s="2" t="s">
        <v>14843</v>
      </c>
      <c r="P1105" s="9">
        <v>0</v>
      </c>
      <c r="Q1105" s="9">
        <v>0</v>
      </c>
      <c r="R1105" s="2" t="s">
        <v>14638</v>
      </c>
    </row>
    <row r="1106" spans="1:18" x14ac:dyDescent="0.25">
      <c r="A1106" s="2" t="s">
        <v>5419</v>
      </c>
      <c r="B1106" s="6">
        <v>46204</v>
      </c>
      <c r="C1106" s="8">
        <v>46208</v>
      </c>
      <c r="D1106" s="2" t="s">
        <v>199</v>
      </c>
      <c r="E1106" s="2" t="s">
        <v>12593</v>
      </c>
      <c r="F1106" s="2" t="s">
        <v>12431</v>
      </c>
      <c r="G1106" s="2" t="s">
        <v>14844</v>
      </c>
      <c r="H1106" s="2" t="s">
        <v>39</v>
      </c>
      <c r="I1106" s="9">
        <v>8379.51</v>
      </c>
      <c r="J1106" s="7">
        <v>1</v>
      </c>
      <c r="K1106" s="9">
        <v>8379.51</v>
      </c>
      <c r="L1106" s="14">
        <v>0</v>
      </c>
      <c r="M1106" s="2" t="s">
        <v>71</v>
      </c>
      <c r="N1106" s="2" t="s">
        <v>13272</v>
      </c>
      <c r="O1106" s="2" t="s">
        <v>14845</v>
      </c>
      <c r="P1106" s="9">
        <v>0</v>
      </c>
      <c r="Q1106" s="9">
        <v>0</v>
      </c>
      <c r="R1106" s="2" t="s">
        <v>14641</v>
      </c>
    </row>
    <row r="1107" spans="1:18" x14ac:dyDescent="0.25">
      <c r="A1107" s="2" t="s">
        <v>5422</v>
      </c>
      <c r="B1107" s="6">
        <v>46204</v>
      </c>
      <c r="C1107" s="8">
        <v>46209</v>
      </c>
      <c r="D1107" s="2" t="s">
        <v>199</v>
      </c>
      <c r="E1107" s="2" t="s">
        <v>12593</v>
      </c>
      <c r="F1107" s="2" t="s">
        <v>12432</v>
      </c>
      <c r="G1107" s="2" t="s">
        <v>14846</v>
      </c>
      <c r="H1107" s="2" t="s">
        <v>76</v>
      </c>
      <c r="I1107" s="9">
        <v>137943870.967742</v>
      </c>
      <c r="J1107" s="7">
        <v>6.2000000000000003E-5</v>
      </c>
      <c r="K1107" s="9">
        <v>8552.52</v>
      </c>
      <c r="L1107" s="14">
        <v>0</v>
      </c>
      <c r="M1107" s="2" t="s">
        <v>71</v>
      </c>
      <c r="N1107" s="2" t="s">
        <v>13272</v>
      </c>
      <c r="O1107" s="2" t="s">
        <v>14847</v>
      </c>
      <c r="P1107" s="9">
        <v>0</v>
      </c>
      <c r="Q1107" s="9">
        <v>0</v>
      </c>
      <c r="R1107" s="2" t="s">
        <v>14644</v>
      </c>
    </row>
    <row r="1108" spans="1:18" x14ac:dyDescent="0.25">
      <c r="A1108" s="2" t="s">
        <v>5425</v>
      </c>
      <c r="B1108" s="6">
        <v>46204</v>
      </c>
      <c r="C1108" s="8">
        <v>46210</v>
      </c>
      <c r="D1108" s="2" t="s">
        <v>199</v>
      </c>
      <c r="E1108" s="2" t="s">
        <v>12593</v>
      </c>
      <c r="F1108" s="2" t="s">
        <v>12423</v>
      </c>
      <c r="G1108" s="2" t="s">
        <v>14848</v>
      </c>
      <c r="H1108" s="2" t="s">
        <v>70</v>
      </c>
      <c r="I1108" s="9">
        <v>13260.683891000001</v>
      </c>
      <c r="J1108" s="7">
        <v>0.65800000000000003</v>
      </c>
      <c r="K1108" s="9">
        <v>8725.5300000000007</v>
      </c>
      <c r="L1108" s="14">
        <v>0</v>
      </c>
      <c r="M1108" s="2" t="s">
        <v>71</v>
      </c>
      <c r="N1108" s="2" t="s">
        <v>13272</v>
      </c>
      <c r="O1108" s="2" t="s">
        <v>14849</v>
      </c>
      <c r="P1108" s="9">
        <v>0</v>
      </c>
      <c r="Q1108" s="9">
        <v>0</v>
      </c>
      <c r="R1108" s="2" t="s">
        <v>14647</v>
      </c>
    </row>
    <row r="1109" spans="1:18" x14ac:dyDescent="0.25">
      <c r="A1109" s="2" t="s">
        <v>5428</v>
      </c>
      <c r="B1109" s="6">
        <v>46204</v>
      </c>
      <c r="C1109" s="8">
        <v>46211</v>
      </c>
      <c r="D1109" s="2" t="s">
        <v>199</v>
      </c>
      <c r="E1109" s="2" t="s">
        <v>12593</v>
      </c>
      <c r="F1109" s="2" t="s">
        <v>12424</v>
      </c>
      <c r="G1109" s="2" t="s">
        <v>14850</v>
      </c>
      <c r="H1109" s="2" t="s">
        <v>39</v>
      </c>
      <c r="I1109" s="9">
        <v>8898.5400000000009</v>
      </c>
      <c r="J1109" s="7">
        <v>1</v>
      </c>
      <c r="K1109" s="9">
        <v>8898.5400000000009</v>
      </c>
      <c r="L1109" s="14">
        <v>0</v>
      </c>
      <c r="M1109" s="2" t="s">
        <v>71</v>
      </c>
      <c r="N1109" s="2" t="s">
        <v>13272</v>
      </c>
      <c r="O1109" s="2" t="s">
        <v>14851</v>
      </c>
      <c r="P1109" s="9">
        <v>0</v>
      </c>
      <c r="Q1109" s="9">
        <v>0</v>
      </c>
      <c r="R1109" s="2" t="s">
        <v>14650</v>
      </c>
    </row>
    <row r="1110" spans="1:18" x14ac:dyDescent="0.25">
      <c r="A1110" s="2" t="s">
        <v>5431</v>
      </c>
      <c r="B1110" s="6">
        <v>46204</v>
      </c>
      <c r="C1110" s="8">
        <v>46212</v>
      </c>
      <c r="D1110" s="2" t="s">
        <v>199</v>
      </c>
      <c r="E1110" s="2" t="s">
        <v>12593</v>
      </c>
      <c r="F1110" s="2" t="s">
        <v>12425</v>
      </c>
      <c r="G1110" s="2" t="s">
        <v>14852</v>
      </c>
      <c r="H1110" s="2" t="s">
        <v>76</v>
      </c>
      <c r="I1110" s="9">
        <v>146315322.58064499</v>
      </c>
      <c r="J1110" s="7">
        <v>6.2000000000000003E-5</v>
      </c>
      <c r="K1110" s="9">
        <v>9071.5499999999993</v>
      </c>
      <c r="L1110" s="14">
        <v>0</v>
      </c>
      <c r="M1110" s="2" t="s">
        <v>71</v>
      </c>
      <c r="N1110" s="2" t="s">
        <v>13272</v>
      </c>
      <c r="O1110" s="2" t="s">
        <v>14853</v>
      </c>
      <c r="P1110" s="9">
        <v>0</v>
      </c>
      <c r="Q1110" s="9">
        <v>0</v>
      </c>
      <c r="R1110" s="2" t="s">
        <v>14653</v>
      </c>
    </row>
    <row r="1111" spans="1:18" x14ac:dyDescent="0.25">
      <c r="A1111" s="2" t="s">
        <v>5434</v>
      </c>
      <c r="B1111" s="6">
        <v>46204</v>
      </c>
      <c r="C1111" s="8">
        <v>46213</v>
      </c>
      <c r="D1111" s="2" t="s">
        <v>199</v>
      </c>
      <c r="E1111" s="2" t="s">
        <v>12593</v>
      </c>
      <c r="F1111" s="2" t="s">
        <v>12426</v>
      </c>
      <c r="G1111" s="2" t="s">
        <v>14854</v>
      </c>
      <c r="H1111" s="2" t="s">
        <v>70</v>
      </c>
      <c r="I1111" s="9">
        <v>14049.483283</v>
      </c>
      <c r="J1111" s="7">
        <v>0.65800000000000003</v>
      </c>
      <c r="K1111" s="9">
        <v>9244.56</v>
      </c>
      <c r="L1111" s="14">
        <v>0</v>
      </c>
      <c r="M1111" s="2" t="s">
        <v>71</v>
      </c>
      <c r="N1111" s="2" t="s">
        <v>13272</v>
      </c>
      <c r="O1111" s="2" t="s">
        <v>14855</v>
      </c>
      <c r="P1111" s="9">
        <v>0</v>
      </c>
      <c r="Q1111" s="9">
        <v>0</v>
      </c>
      <c r="R1111" s="2" t="s">
        <v>14626</v>
      </c>
    </row>
    <row r="1112" spans="1:18" x14ac:dyDescent="0.25">
      <c r="A1112" s="2" t="s">
        <v>5439</v>
      </c>
      <c r="B1112" s="6">
        <v>46204</v>
      </c>
      <c r="C1112" s="8">
        <v>46214</v>
      </c>
      <c r="D1112" s="2" t="s">
        <v>199</v>
      </c>
      <c r="E1112" s="2" t="s">
        <v>12593</v>
      </c>
      <c r="F1112" s="2" t="s">
        <v>12427</v>
      </c>
      <c r="G1112" s="2" t="s">
        <v>14856</v>
      </c>
      <c r="H1112" s="2" t="s">
        <v>39</v>
      </c>
      <c r="I1112" s="9">
        <v>9417.57</v>
      </c>
      <c r="J1112" s="7">
        <v>1</v>
      </c>
      <c r="K1112" s="9">
        <v>9417.57</v>
      </c>
      <c r="L1112" s="14">
        <v>0</v>
      </c>
      <c r="M1112" s="2" t="s">
        <v>71</v>
      </c>
      <c r="N1112" s="2" t="s">
        <v>13272</v>
      </c>
      <c r="O1112" s="2" t="s">
        <v>14857</v>
      </c>
      <c r="P1112" s="9">
        <v>0</v>
      </c>
      <c r="Q1112" s="9">
        <v>0</v>
      </c>
      <c r="R1112" s="2" t="s">
        <v>14629</v>
      </c>
    </row>
    <row r="1113" spans="1:18" x14ac:dyDescent="0.25">
      <c r="A1113" s="2" t="s">
        <v>5444</v>
      </c>
      <c r="B1113" s="6">
        <v>46204</v>
      </c>
      <c r="C1113" s="8">
        <v>46215</v>
      </c>
      <c r="D1113" s="2" t="s">
        <v>199</v>
      </c>
      <c r="E1113" s="2" t="s">
        <v>12593</v>
      </c>
      <c r="F1113" s="2" t="s">
        <v>12428</v>
      </c>
      <c r="G1113" s="2" t="s">
        <v>14858</v>
      </c>
      <c r="H1113" s="2" t="s">
        <v>76</v>
      </c>
      <c r="I1113" s="9">
        <v>154686774.19354799</v>
      </c>
      <c r="J1113" s="7">
        <v>6.2000000000000003E-5</v>
      </c>
      <c r="K1113" s="9">
        <v>9590.58</v>
      </c>
      <c r="L1113" s="14">
        <v>0</v>
      </c>
      <c r="M1113" s="2" t="s">
        <v>71</v>
      </c>
      <c r="N1113" s="2" t="s">
        <v>13272</v>
      </c>
      <c r="O1113" s="2" t="s">
        <v>14859</v>
      </c>
      <c r="P1113" s="9">
        <v>0</v>
      </c>
      <c r="Q1113" s="9">
        <v>0</v>
      </c>
      <c r="R1113" s="2" t="s">
        <v>14632</v>
      </c>
    </row>
    <row r="1114" spans="1:18" x14ac:dyDescent="0.25">
      <c r="A1114" s="2" t="s">
        <v>5447</v>
      </c>
      <c r="B1114" s="6">
        <v>46204</v>
      </c>
      <c r="C1114" s="8">
        <v>46216</v>
      </c>
      <c r="D1114" s="2" t="s">
        <v>199</v>
      </c>
      <c r="E1114" s="2" t="s">
        <v>12593</v>
      </c>
      <c r="F1114" s="2" t="s">
        <v>12429</v>
      </c>
      <c r="G1114" s="2" t="s">
        <v>14860</v>
      </c>
      <c r="H1114" s="2" t="s">
        <v>70</v>
      </c>
      <c r="I1114" s="9">
        <v>14838.282675</v>
      </c>
      <c r="J1114" s="7">
        <v>0.65800000000000003</v>
      </c>
      <c r="K1114" s="9">
        <v>9763.59</v>
      </c>
      <c r="L1114" s="14">
        <v>0</v>
      </c>
      <c r="M1114" s="2" t="s">
        <v>71</v>
      </c>
      <c r="N1114" s="2" t="s">
        <v>13272</v>
      </c>
      <c r="O1114" s="2" t="s">
        <v>14861</v>
      </c>
      <c r="P1114" s="9">
        <v>0</v>
      </c>
      <c r="Q1114" s="9">
        <v>0</v>
      </c>
      <c r="R1114" s="2" t="s">
        <v>14635</v>
      </c>
    </row>
    <row r="1115" spans="1:18" x14ac:dyDescent="0.25">
      <c r="A1115" s="2" t="s">
        <v>5450</v>
      </c>
      <c r="B1115" s="6">
        <v>46204</v>
      </c>
      <c r="C1115" s="8">
        <v>46217</v>
      </c>
      <c r="D1115" s="2" t="s">
        <v>199</v>
      </c>
      <c r="E1115" s="2" t="s">
        <v>12593</v>
      </c>
      <c r="F1115" s="2" t="s">
        <v>12430</v>
      </c>
      <c r="G1115" s="2" t="s">
        <v>14862</v>
      </c>
      <c r="H1115" s="2" t="s">
        <v>39</v>
      </c>
      <c r="I1115" s="9">
        <v>9936.6</v>
      </c>
      <c r="J1115" s="7">
        <v>1</v>
      </c>
      <c r="K1115" s="9">
        <v>9936.6</v>
      </c>
      <c r="L1115" s="14">
        <v>0</v>
      </c>
      <c r="M1115" s="2" t="s">
        <v>71</v>
      </c>
      <c r="N1115" s="2" t="s">
        <v>13272</v>
      </c>
      <c r="O1115" s="2" t="s">
        <v>14863</v>
      </c>
      <c r="P1115" s="9">
        <v>0</v>
      </c>
      <c r="Q1115" s="9">
        <v>0</v>
      </c>
      <c r="R1115" s="2" t="s">
        <v>14638</v>
      </c>
    </row>
    <row r="1116" spans="1:18" x14ac:dyDescent="0.25">
      <c r="A1116" s="2" t="s">
        <v>5455</v>
      </c>
      <c r="B1116" s="6">
        <v>46204</v>
      </c>
      <c r="C1116" s="8">
        <v>46218</v>
      </c>
      <c r="D1116" s="2" t="s">
        <v>199</v>
      </c>
      <c r="E1116" s="2" t="s">
        <v>12593</v>
      </c>
      <c r="F1116" s="2" t="s">
        <v>12431</v>
      </c>
      <c r="G1116" s="2" t="s">
        <v>14864</v>
      </c>
      <c r="H1116" s="2" t="s">
        <v>76</v>
      </c>
      <c r="I1116" s="9">
        <v>163058225.80645201</v>
      </c>
      <c r="J1116" s="7">
        <v>6.2000000000000003E-5</v>
      </c>
      <c r="K1116" s="9">
        <v>10109.61</v>
      </c>
      <c r="L1116" s="14">
        <v>0</v>
      </c>
      <c r="M1116" s="2" t="s">
        <v>71</v>
      </c>
      <c r="N1116" s="2" t="s">
        <v>13272</v>
      </c>
      <c r="O1116" s="2" t="s">
        <v>14865</v>
      </c>
      <c r="P1116" s="9">
        <v>0</v>
      </c>
      <c r="Q1116" s="9">
        <v>0</v>
      </c>
      <c r="R1116" s="2" t="s">
        <v>14641</v>
      </c>
    </row>
    <row r="1117" spans="1:18" x14ac:dyDescent="0.25">
      <c r="A1117" s="2" t="s">
        <v>5458</v>
      </c>
      <c r="B1117" s="6">
        <v>46204</v>
      </c>
      <c r="C1117" s="8">
        <v>46219</v>
      </c>
      <c r="D1117" s="2" t="s">
        <v>199</v>
      </c>
      <c r="E1117" s="2" t="s">
        <v>12593</v>
      </c>
      <c r="F1117" s="2" t="s">
        <v>12432</v>
      </c>
      <c r="G1117" s="2" t="s">
        <v>14866</v>
      </c>
      <c r="H1117" s="2" t="s">
        <v>70</v>
      </c>
      <c r="I1117" s="9">
        <v>15627.082066999999</v>
      </c>
      <c r="J1117" s="7">
        <v>0.65800000000000003</v>
      </c>
      <c r="K1117" s="9">
        <v>10282.620000000001</v>
      </c>
      <c r="L1117" s="14">
        <v>0</v>
      </c>
      <c r="M1117" s="2" t="s">
        <v>71</v>
      </c>
      <c r="N1117" s="2" t="s">
        <v>13272</v>
      </c>
      <c r="O1117" s="2" t="s">
        <v>14867</v>
      </c>
      <c r="P1117" s="9">
        <v>0</v>
      </c>
      <c r="Q1117" s="9">
        <v>0</v>
      </c>
      <c r="R1117" s="2" t="s">
        <v>14644</v>
      </c>
    </row>
    <row r="1118" spans="1:18" x14ac:dyDescent="0.25">
      <c r="A1118" s="2" t="s">
        <v>5461</v>
      </c>
      <c r="B1118" s="6">
        <v>46204</v>
      </c>
      <c r="C1118" s="8">
        <v>46220</v>
      </c>
      <c r="D1118" s="2" t="s">
        <v>199</v>
      </c>
      <c r="E1118" s="2" t="s">
        <v>12593</v>
      </c>
      <c r="F1118" s="2" t="s">
        <v>12423</v>
      </c>
      <c r="G1118" s="2" t="s">
        <v>14868</v>
      </c>
      <c r="H1118" s="2" t="s">
        <v>39</v>
      </c>
      <c r="I1118" s="9">
        <v>-10455.629999999999</v>
      </c>
      <c r="J1118" s="7">
        <v>1</v>
      </c>
      <c r="K1118" s="9">
        <v>-10455.629999999999</v>
      </c>
      <c r="L1118" s="14">
        <v>0</v>
      </c>
      <c r="M1118" s="2" t="s">
        <v>71</v>
      </c>
      <c r="N1118" s="2" t="s">
        <v>13272</v>
      </c>
      <c r="O1118" s="2" t="s">
        <v>14869</v>
      </c>
      <c r="P1118" s="9">
        <v>0</v>
      </c>
      <c r="Q1118" s="9">
        <v>0</v>
      </c>
      <c r="R1118" s="2" t="s">
        <v>14647</v>
      </c>
    </row>
    <row r="1119" spans="1:18" x14ac:dyDescent="0.25">
      <c r="A1119" s="2" t="s">
        <v>5464</v>
      </c>
      <c r="B1119" s="6">
        <v>46204</v>
      </c>
      <c r="C1119" s="8">
        <v>46221</v>
      </c>
      <c r="D1119" s="2" t="s">
        <v>199</v>
      </c>
      <c r="E1119" s="2" t="s">
        <v>12593</v>
      </c>
      <c r="F1119" s="2" t="s">
        <v>12424</v>
      </c>
      <c r="G1119" s="2" t="s">
        <v>14870</v>
      </c>
      <c r="H1119" s="2" t="s">
        <v>76</v>
      </c>
      <c r="I1119" s="9">
        <v>171429677.41935501</v>
      </c>
      <c r="J1119" s="7">
        <v>6.2000000000000003E-5</v>
      </c>
      <c r="K1119" s="9">
        <v>10628.64</v>
      </c>
      <c r="L1119" s="14">
        <v>0</v>
      </c>
      <c r="M1119" s="2" t="s">
        <v>71</v>
      </c>
      <c r="N1119" s="2" t="s">
        <v>13272</v>
      </c>
      <c r="O1119" s="2" t="s">
        <v>14871</v>
      </c>
      <c r="P1119" s="9">
        <v>0</v>
      </c>
      <c r="Q1119" s="9">
        <v>0</v>
      </c>
      <c r="R1119" s="2" t="s">
        <v>14650</v>
      </c>
    </row>
    <row r="1120" spans="1:18" x14ac:dyDescent="0.25">
      <c r="A1120" s="2" t="s">
        <v>5467</v>
      </c>
      <c r="B1120" s="6">
        <v>46204</v>
      </c>
      <c r="C1120" s="8">
        <v>46222</v>
      </c>
      <c r="D1120" s="2" t="s">
        <v>199</v>
      </c>
      <c r="E1120" s="2" t="s">
        <v>12593</v>
      </c>
      <c r="F1120" s="2" t="s">
        <v>12425</v>
      </c>
      <c r="G1120" s="2" t="s">
        <v>14872</v>
      </c>
      <c r="H1120" s="2" t="s">
        <v>70</v>
      </c>
      <c r="I1120" s="9">
        <v>16415.881459</v>
      </c>
      <c r="J1120" s="7">
        <v>0.65800000000000003</v>
      </c>
      <c r="K1120" s="9">
        <v>10801.65</v>
      </c>
      <c r="L1120" s="14">
        <v>0</v>
      </c>
      <c r="M1120" s="2" t="s">
        <v>71</v>
      </c>
      <c r="N1120" s="2" t="s">
        <v>13272</v>
      </c>
      <c r="O1120" s="2" t="s">
        <v>14873</v>
      </c>
      <c r="P1120" s="9">
        <v>0</v>
      </c>
      <c r="Q1120" s="9">
        <v>0</v>
      </c>
      <c r="R1120" s="2" t="s">
        <v>14653</v>
      </c>
    </row>
    <row r="1121" spans="1:18" x14ac:dyDescent="0.25">
      <c r="A1121" s="2" t="s">
        <v>5470</v>
      </c>
      <c r="B1121" s="6">
        <v>46204</v>
      </c>
      <c r="C1121" s="8">
        <v>46223</v>
      </c>
      <c r="D1121" s="2" t="s">
        <v>199</v>
      </c>
      <c r="E1121" s="2" t="s">
        <v>12593</v>
      </c>
      <c r="F1121" s="2" t="s">
        <v>12426</v>
      </c>
      <c r="G1121" s="2" t="s">
        <v>14874</v>
      </c>
      <c r="H1121" s="2" t="s">
        <v>39</v>
      </c>
      <c r="I1121" s="9">
        <v>10974.66</v>
      </c>
      <c r="J1121" s="7">
        <v>1</v>
      </c>
      <c r="K1121" s="9">
        <v>10974.66</v>
      </c>
      <c r="L1121" s="14">
        <v>0</v>
      </c>
      <c r="M1121" s="2" t="s">
        <v>71</v>
      </c>
      <c r="N1121" s="2" t="s">
        <v>13272</v>
      </c>
      <c r="O1121" s="2" t="s">
        <v>14875</v>
      </c>
      <c r="P1121" s="9">
        <v>0</v>
      </c>
      <c r="Q1121" s="9">
        <v>0</v>
      </c>
      <c r="R1121" s="2" t="s">
        <v>14626</v>
      </c>
    </row>
    <row r="1122" spans="1:18" x14ac:dyDescent="0.25">
      <c r="A1122" s="2" t="s">
        <v>5475</v>
      </c>
      <c r="B1122" s="6">
        <v>46204</v>
      </c>
      <c r="C1122" s="8">
        <v>46224</v>
      </c>
      <c r="D1122" s="2" t="s">
        <v>199</v>
      </c>
      <c r="E1122" s="2" t="s">
        <v>12593</v>
      </c>
      <c r="F1122" s="2" t="s">
        <v>12427</v>
      </c>
      <c r="G1122" s="2" t="s">
        <v>14876</v>
      </c>
      <c r="H1122" s="2" t="s">
        <v>76</v>
      </c>
      <c r="I1122" s="9">
        <v>179801129.032258</v>
      </c>
      <c r="J1122" s="7">
        <v>6.2000000000000003E-5</v>
      </c>
      <c r="K1122" s="9">
        <v>11147.67</v>
      </c>
      <c r="L1122" s="14">
        <v>0</v>
      </c>
      <c r="M1122" s="2" t="s">
        <v>71</v>
      </c>
      <c r="N1122" s="2" t="s">
        <v>13272</v>
      </c>
      <c r="O1122" s="2" t="s">
        <v>14877</v>
      </c>
      <c r="P1122" s="9">
        <v>0</v>
      </c>
      <c r="Q1122" s="9">
        <v>0</v>
      </c>
      <c r="R1122" s="2" t="s">
        <v>14629</v>
      </c>
    </row>
    <row r="1123" spans="1:18" x14ac:dyDescent="0.25">
      <c r="A1123" s="2" t="s">
        <v>5480</v>
      </c>
      <c r="B1123" s="6">
        <v>46204</v>
      </c>
      <c r="C1123" s="8">
        <v>46225</v>
      </c>
      <c r="D1123" s="2" t="s">
        <v>199</v>
      </c>
      <c r="E1123" s="2" t="s">
        <v>12593</v>
      </c>
      <c r="F1123" s="2" t="s">
        <v>12428</v>
      </c>
      <c r="G1123" s="2" t="s">
        <v>14878</v>
      </c>
      <c r="H1123" s="2" t="s">
        <v>70</v>
      </c>
      <c r="I1123" s="9">
        <v>17204.680851000001</v>
      </c>
      <c r="J1123" s="7">
        <v>0.65800000000000003</v>
      </c>
      <c r="K1123" s="9">
        <v>11320.68</v>
      </c>
      <c r="L1123" s="14">
        <v>0</v>
      </c>
      <c r="M1123" s="2" t="s">
        <v>71</v>
      </c>
      <c r="N1123" s="2" t="s">
        <v>13272</v>
      </c>
      <c r="O1123" s="2" t="s">
        <v>14879</v>
      </c>
      <c r="P1123" s="9">
        <v>0</v>
      </c>
      <c r="Q1123" s="9">
        <v>0</v>
      </c>
      <c r="R1123" s="2" t="s">
        <v>14632</v>
      </c>
    </row>
    <row r="1124" spans="1:18" x14ac:dyDescent="0.25">
      <c r="A1124" s="2" t="s">
        <v>5483</v>
      </c>
      <c r="B1124" s="6">
        <v>46204</v>
      </c>
      <c r="C1124" s="8">
        <v>46226</v>
      </c>
      <c r="D1124" s="2" t="s">
        <v>199</v>
      </c>
      <c r="E1124" s="2" t="s">
        <v>12593</v>
      </c>
      <c r="F1124" s="2" t="s">
        <v>12429</v>
      </c>
      <c r="G1124" s="2" t="s">
        <v>14880</v>
      </c>
      <c r="H1124" s="2" t="s">
        <v>39</v>
      </c>
      <c r="I1124" s="9">
        <v>11493.69</v>
      </c>
      <c r="J1124" s="7">
        <v>1</v>
      </c>
      <c r="K1124" s="9">
        <v>11493.69</v>
      </c>
      <c r="L1124" s="14">
        <v>0</v>
      </c>
      <c r="M1124" s="2" t="s">
        <v>71</v>
      </c>
      <c r="N1124" s="2" t="s">
        <v>13272</v>
      </c>
      <c r="O1124" s="2" t="s">
        <v>14881</v>
      </c>
      <c r="P1124" s="9">
        <v>0</v>
      </c>
      <c r="Q1124" s="9">
        <v>0</v>
      </c>
      <c r="R1124" s="2" t="s">
        <v>14635</v>
      </c>
    </row>
    <row r="1125" spans="1:18" x14ac:dyDescent="0.25">
      <c r="A1125" s="2" t="s">
        <v>5486</v>
      </c>
      <c r="B1125" s="6">
        <v>46204</v>
      </c>
      <c r="C1125" s="8">
        <v>46227</v>
      </c>
      <c r="D1125" s="2" t="s">
        <v>199</v>
      </c>
      <c r="E1125" s="2" t="s">
        <v>12593</v>
      </c>
      <c r="F1125" s="2" t="s">
        <v>12430</v>
      </c>
      <c r="G1125" s="2" t="s">
        <v>14882</v>
      </c>
      <c r="H1125" s="2" t="s">
        <v>76</v>
      </c>
      <c r="I1125" s="9">
        <v>188172580.645161</v>
      </c>
      <c r="J1125" s="7">
        <v>6.2000000000000003E-5</v>
      </c>
      <c r="K1125" s="9">
        <v>11666.7</v>
      </c>
      <c r="L1125" s="14">
        <v>0</v>
      </c>
      <c r="M1125" s="2" t="s">
        <v>71</v>
      </c>
      <c r="N1125" s="2" t="s">
        <v>13272</v>
      </c>
      <c r="O1125" s="2" t="s">
        <v>14883</v>
      </c>
      <c r="P1125" s="9">
        <v>0</v>
      </c>
      <c r="Q1125" s="9">
        <v>0</v>
      </c>
      <c r="R1125" s="2" t="s">
        <v>14638</v>
      </c>
    </row>
    <row r="1126" spans="1:18" x14ac:dyDescent="0.25">
      <c r="A1126" s="2" t="s">
        <v>5491</v>
      </c>
      <c r="B1126" s="6">
        <v>46204</v>
      </c>
      <c r="C1126" s="8">
        <v>46228</v>
      </c>
      <c r="D1126" s="2" t="s">
        <v>199</v>
      </c>
      <c r="E1126" s="2" t="s">
        <v>12593</v>
      </c>
      <c r="F1126" s="2" t="s">
        <v>12431</v>
      </c>
      <c r="G1126" s="2" t="s">
        <v>14884</v>
      </c>
      <c r="H1126" s="2" t="s">
        <v>70</v>
      </c>
      <c r="I1126" s="9">
        <v>17993.480243000002</v>
      </c>
      <c r="J1126" s="7">
        <v>0.65800000000000003</v>
      </c>
      <c r="K1126" s="9">
        <v>11839.71</v>
      </c>
      <c r="L1126" s="14">
        <v>0</v>
      </c>
      <c r="M1126" s="2" t="s">
        <v>71</v>
      </c>
      <c r="N1126" s="2" t="s">
        <v>13272</v>
      </c>
      <c r="O1126" s="2" t="s">
        <v>14885</v>
      </c>
      <c r="P1126" s="9">
        <v>0</v>
      </c>
      <c r="Q1126" s="9">
        <v>0</v>
      </c>
      <c r="R1126" s="2" t="s">
        <v>14641</v>
      </c>
    </row>
    <row r="1127" spans="1:18" x14ac:dyDescent="0.25">
      <c r="A1127" s="2" t="s">
        <v>5494</v>
      </c>
      <c r="B1127" s="6">
        <v>46204</v>
      </c>
      <c r="C1127" s="8">
        <v>46229</v>
      </c>
      <c r="D1127" s="2" t="s">
        <v>199</v>
      </c>
      <c r="E1127" s="2" t="s">
        <v>12593</v>
      </c>
      <c r="F1127" s="2" t="s">
        <v>12432</v>
      </c>
      <c r="G1127" s="2" t="s">
        <v>14886</v>
      </c>
      <c r="H1127" s="2" t="s">
        <v>39</v>
      </c>
      <c r="I1127" s="9">
        <v>12012.72</v>
      </c>
      <c r="J1127" s="7">
        <v>1</v>
      </c>
      <c r="K1127" s="9">
        <v>12012.72</v>
      </c>
      <c r="L1127" s="14">
        <v>0</v>
      </c>
      <c r="M1127" s="2" t="s">
        <v>71</v>
      </c>
      <c r="N1127" s="2" t="s">
        <v>13272</v>
      </c>
      <c r="O1127" s="2" t="s">
        <v>14887</v>
      </c>
      <c r="P1127" s="9">
        <v>0</v>
      </c>
      <c r="Q1127" s="9">
        <v>0</v>
      </c>
      <c r="R1127" s="2" t="s">
        <v>14644</v>
      </c>
    </row>
    <row r="1128" spans="1:18" x14ac:dyDescent="0.25">
      <c r="A1128" s="2" t="s">
        <v>5497</v>
      </c>
      <c r="B1128" s="6">
        <v>46204</v>
      </c>
      <c r="C1128" s="8">
        <v>46230</v>
      </c>
      <c r="D1128" s="2" t="s">
        <v>199</v>
      </c>
      <c r="E1128" s="2" t="s">
        <v>12593</v>
      </c>
      <c r="F1128" s="2" t="s">
        <v>12423</v>
      </c>
      <c r="G1128" s="2" t="s">
        <v>14888</v>
      </c>
      <c r="H1128" s="2" t="s">
        <v>76</v>
      </c>
      <c r="I1128" s="9">
        <v>196544032.25806499</v>
      </c>
      <c r="J1128" s="7">
        <v>6.2000000000000003E-5</v>
      </c>
      <c r="K1128" s="9">
        <v>12185.73</v>
      </c>
      <c r="L1128" s="14">
        <v>0</v>
      </c>
      <c r="M1128" s="2" t="s">
        <v>71</v>
      </c>
      <c r="N1128" s="2" t="s">
        <v>13272</v>
      </c>
      <c r="O1128" s="2" t="s">
        <v>14889</v>
      </c>
      <c r="P1128" s="9">
        <v>0</v>
      </c>
      <c r="Q1128" s="9">
        <v>0</v>
      </c>
      <c r="R1128" s="2" t="s">
        <v>14647</v>
      </c>
    </row>
    <row r="1129" spans="1:18" x14ac:dyDescent="0.25">
      <c r="A1129" s="2" t="s">
        <v>5500</v>
      </c>
      <c r="B1129" s="6">
        <v>46204</v>
      </c>
      <c r="C1129" s="8">
        <v>46231</v>
      </c>
      <c r="D1129" s="2" t="s">
        <v>199</v>
      </c>
      <c r="E1129" s="2" t="s">
        <v>12593</v>
      </c>
      <c r="F1129" s="2" t="s">
        <v>12424</v>
      </c>
      <c r="G1129" s="2" t="s">
        <v>14890</v>
      </c>
      <c r="H1129" s="2" t="s">
        <v>70</v>
      </c>
      <c r="I1129" s="9">
        <v>18782.279634999999</v>
      </c>
      <c r="J1129" s="7">
        <v>0.65800000000000003</v>
      </c>
      <c r="K1129" s="9">
        <v>12358.74</v>
      </c>
      <c r="L1129" s="14">
        <v>0</v>
      </c>
      <c r="M1129" s="2" t="s">
        <v>71</v>
      </c>
      <c r="N1129" s="2" t="s">
        <v>13272</v>
      </c>
      <c r="O1129" s="2" t="s">
        <v>14891</v>
      </c>
      <c r="P1129" s="9">
        <v>0</v>
      </c>
      <c r="Q1129" s="9">
        <v>0</v>
      </c>
      <c r="R1129" s="2" t="s">
        <v>14650</v>
      </c>
    </row>
    <row r="1130" spans="1:18" x14ac:dyDescent="0.25">
      <c r="A1130" s="2" t="s">
        <v>5503</v>
      </c>
      <c r="B1130" s="6">
        <v>46204</v>
      </c>
      <c r="C1130" s="8">
        <v>46232</v>
      </c>
      <c r="D1130" s="2" t="s">
        <v>199</v>
      </c>
      <c r="E1130" s="2" t="s">
        <v>12593</v>
      </c>
      <c r="F1130" s="2" t="s">
        <v>12425</v>
      </c>
      <c r="G1130" s="2" t="s">
        <v>14892</v>
      </c>
      <c r="H1130" s="2" t="s">
        <v>39</v>
      </c>
      <c r="I1130" s="9">
        <v>12531.75</v>
      </c>
      <c r="J1130" s="7">
        <v>1</v>
      </c>
      <c r="K1130" s="9">
        <v>12531.75</v>
      </c>
      <c r="L1130" s="14">
        <v>0</v>
      </c>
      <c r="M1130" s="2" t="s">
        <v>71</v>
      </c>
      <c r="N1130" s="2" t="s">
        <v>13272</v>
      </c>
      <c r="O1130" s="2" t="s">
        <v>14893</v>
      </c>
      <c r="P1130" s="9">
        <v>0</v>
      </c>
      <c r="Q1130" s="9">
        <v>0</v>
      </c>
      <c r="R1130" s="2" t="s">
        <v>14653</v>
      </c>
    </row>
    <row r="1131" spans="1:18" x14ac:dyDescent="0.25">
      <c r="A1131" s="2" t="s">
        <v>5506</v>
      </c>
      <c r="B1131" s="6">
        <v>46204</v>
      </c>
      <c r="C1131" s="8">
        <v>46233</v>
      </c>
      <c r="D1131" s="2" t="s">
        <v>199</v>
      </c>
      <c r="E1131" s="2" t="s">
        <v>12593</v>
      </c>
      <c r="F1131" s="2" t="s">
        <v>12426</v>
      </c>
      <c r="G1131" s="2" t="s">
        <v>14894</v>
      </c>
      <c r="H1131" s="2" t="s">
        <v>76</v>
      </c>
      <c r="I1131" s="9">
        <v>204915483.87096801</v>
      </c>
      <c r="J1131" s="7">
        <v>6.2000000000000003E-5</v>
      </c>
      <c r="K1131" s="9">
        <v>12704.76</v>
      </c>
      <c r="L1131" s="14">
        <v>0</v>
      </c>
      <c r="M1131" s="2" t="s">
        <v>71</v>
      </c>
      <c r="N1131" s="2" t="s">
        <v>13272</v>
      </c>
      <c r="O1131" s="2" t="s">
        <v>14895</v>
      </c>
      <c r="P1131" s="9">
        <v>0</v>
      </c>
      <c r="Q1131" s="9">
        <v>0</v>
      </c>
      <c r="R1131" s="2" t="s">
        <v>14626</v>
      </c>
    </row>
    <row r="1132" spans="1:18" x14ac:dyDescent="0.25">
      <c r="A1132" s="2" t="s">
        <v>5511</v>
      </c>
      <c r="B1132" s="6">
        <v>46204</v>
      </c>
      <c r="C1132" s="8">
        <v>46234</v>
      </c>
      <c r="D1132" s="2" t="s">
        <v>199</v>
      </c>
      <c r="E1132" s="2" t="s">
        <v>12593</v>
      </c>
      <c r="F1132" s="2" t="s">
        <v>12427</v>
      </c>
      <c r="G1132" s="2" t="s">
        <v>14896</v>
      </c>
      <c r="H1132" s="2" t="s">
        <v>70</v>
      </c>
      <c r="I1132" s="9">
        <v>19571.079027</v>
      </c>
      <c r="J1132" s="7">
        <v>0.65800000000000003</v>
      </c>
      <c r="K1132" s="9">
        <v>12877.77</v>
      </c>
      <c r="L1132" s="14">
        <v>0</v>
      </c>
      <c r="M1132" s="2" t="s">
        <v>71</v>
      </c>
      <c r="N1132" s="2" t="s">
        <v>13272</v>
      </c>
      <c r="O1132" s="2" t="s">
        <v>14897</v>
      </c>
      <c r="P1132" s="9">
        <v>0</v>
      </c>
      <c r="Q1132" s="9">
        <v>0</v>
      </c>
      <c r="R1132" s="2" t="s">
        <v>14629</v>
      </c>
    </row>
    <row r="1133" spans="1:18" x14ac:dyDescent="0.25">
      <c r="A1133" s="2" t="s">
        <v>5516</v>
      </c>
      <c r="B1133" s="6">
        <v>46204</v>
      </c>
      <c r="C1133" s="8">
        <v>46204</v>
      </c>
      <c r="D1133" s="2" t="s">
        <v>199</v>
      </c>
      <c r="E1133" s="2" t="s">
        <v>12593</v>
      </c>
      <c r="F1133" s="2" t="s">
        <v>12428</v>
      </c>
      <c r="G1133" s="2" t="s">
        <v>14898</v>
      </c>
      <c r="H1133" s="2" t="s">
        <v>39</v>
      </c>
      <c r="I1133" s="9">
        <v>13050.78</v>
      </c>
      <c r="J1133" s="7">
        <v>1</v>
      </c>
      <c r="K1133" s="9">
        <v>13050.78</v>
      </c>
      <c r="L1133" s="14">
        <v>0</v>
      </c>
      <c r="M1133" s="2" t="s">
        <v>71</v>
      </c>
      <c r="N1133" s="2" t="s">
        <v>13272</v>
      </c>
      <c r="O1133" s="2" t="s">
        <v>14899</v>
      </c>
      <c r="P1133" s="9">
        <v>0</v>
      </c>
      <c r="Q1133" s="9">
        <v>0</v>
      </c>
      <c r="R1133" s="2" t="s">
        <v>14632</v>
      </c>
    </row>
    <row r="1134" spans="1:18" x14ac:dyDescent="0.25">
      <c r="A1134" s="2" t="s">
        <v>5519</v>
      </c>
      <c r="B1134" s="6">
        <v>46204</v>
      </c>
      <c r="C1134" s="8">
        <v>46205</v>
      </c>
      <c r="D1134" s="2" t="s">
        <v>199</v>
      </c>
      <c r="E1134" s="2" t="s">
        <v>12593</v>
      </c>
      <c r="F1134" s="2" t="s">
        <v>12429</v>
      </c>
      <c r="G1134" s="2" t="s">
        <v>14900</v>
      </c>
      <c r="H1134" s="2" t="s">
        <v>76</v>
      </c>
      <c r="I1134" s="9">
        <v>213286935.48387101</v>
      </c>
      <c r="J1134" s="7">
        <v>6.2000000000000003E-5</v>
      </c>
      <c r="K1134" s="9">
        <v>13223.79</v>
      </c>
      <c r="L1134" s="14">
        <v>0</v>
      </c>
      <c r="M1134" s="2" t="s">
        <v>71</v>
      </c>
      <c r="N1134" s="2" t="s">
        <v>13272</v>
      </c>
      <c r="O1134" s="2" t="s">
        <v>14901</v>
      </c>
      <c r="P1134" s="9">
        <v>0</v>
      </c>
      <c r="Q1134" s="9">
        <v>0</v>
      </c>
      <c r="R1134" s="2" t="s">
        <v>14635</v>
      </c>
    </row>
    <row r="1135" spans="1:18" x14ac:dyDescent="0.25">
      <c r="A1135" s="2" t="s">
        <v>5522</v>
      </c>
      <c r="B1135" s="6">
        <v>46204</v>
      </c>
      <c r="C1135" s="8">
        <v>46206</v>
      </c>
      <c r="D1135" s="2" t="s">
        <v>199</v>
      </c>
      <c r="E1135" s="2" t="s">
        <v>12593</v>
      </c>
      <c r="F1135" s="2" t="s">
        <v>12430</v>
      </c>
      <c r="G1135" s="2" t="s">
        <v>14902</v>
      </c>
      <c r="H1135" s="2" t="s">
        <v>70</v>
      </c>
      <c r="I1135" s="9">
        <v>20359.878419000001</v>
      </c>
      <c r="J1135" s="7">
        <v>0.65800000000000003</v>
      </c>
      <c r="K1135" s="9">
        <v>13396.8</v>
      </c>
      <c r="L1135" s="14">
        <v>0</v>
      </c>
      <c r="M1135" s="2" t="s">
        <v>71</v>
      </c>
      <c r="N1135" s="2" t="s">
        <v>13272</v>
      </c>
      <c r="O1135" s="2" t="s">
        <v>14903</v>
      </c>
      <c r="P1135" s="9">
        <v>0</v>
      </c>
      <c r="Q1135" s="9">
        <v>0</v>
      </c>
      <c r="R1135" s="2" t="s">
        <v>14638</v>
      </c>
    </row>
    <row r="1136" spans="1:18" x14ac:dyDescent="0.25">
      <c r="A1136" s="2" t="s">
        <v>5527</v>
      </c>
      <c r="B1136" s="6">
        <v>46204</v>
      </c>
      <c r="C1136" s="8">
        <v>46207</v>
      </c>
      <c r="D1136" s="2" t="s">
        <v>199</v>
      </c>
      <c r="E1136" s="2" t="s">
        <v>12593</v>
      </c>
      <c r="F1136" s="2" t="s">
        <v>12431</v>
      </c>
      <c r="G1136" s="2" t="s">
        <v>14904</v>
      </c>
      <c r="H1136" s="2" t="s">
        <v>39</v>
      </c>
      <c r="I1136" s="9">
        <v>13569.81</v>
      </c>
      <c r="J1136" s="7">
        <v>1</v>
      </c>
      <c r="K1136" s="9">
        <v>13569.81</v>
      </c>
      <c r="L1136" s="14">
        <v>0</v>
      </c>
      <c r="M1136" s="2" t="s">
        <v>71</v>
      </c>
      <c r="N1136" s="2" t="s">
        <v>13272</v>
      </c>
      <c r="O1136" s="2" t="s">
        <v>14905</v>
      </c>
      <c r="P1136" s="9">
        <v>0</v>
      </c>
      <c r="Q1136" s="9">
        <v>0</v>
      </c>
      <c r="R1136" s="2" t="s">
        <v>14641</v>
      </c>
    </row>
    <row r="1137" spans="1:18" x14ac:dyDescent="0.25">
      <c r="A1137" s="2" t="s">
        <v>5530</v>
      </c>
      <c r="B1137" s="6">
        <v>46204</v>
      </c>
      <c r="C1137" s="8">
        <v>46208</v>
      </c>
      <c r="D1137" s="2" t="s">
        <v>199</v>
      </c>
      <c r="E1137" s="2" t="s">
        <v>12593</v>
      </c>
      <c r="F1137" s="2" t="s">
        <v>12432</v>
      </c>
      <c r="G1137" s="2" t="s">
        <v>14906</v>
      </c>
      <c r="H1137" s="2" t="s">
        <v>76</v>
      </c>
      <c r="I1137" s="9">
        <v>221658387.09677401</v>
      </c>
      <c r="J1137" s="7">
        <v>6.2000000000000003E-5</v>
      </c>
      <c r="K1137" s="9">
        <v>13742.82</v>
      </c>
      <c r="L1137" s="14">
        <v>0</v>
      </c>
      <c r="M1137" s="2" t="s">
        <v>71</v>
      </c>
      <c r="N1137" s="2" t="s">
        <v>13272</v>
      </c>
      <c r="O1137" s="2" t="s">
        <v>14907</v>
      </c>
      <c r="P1137" s="9">
        <v>0</v>
      </c>
      <c r="Q1137" s="9">
        <v>0</v>
      </c>
      <c r="R1137" s="2" t="s">
        <v>14644</v>
      </c>
    </row>
    <row r="1138" spans="1:18" x14ac:dyDescent="0.25">
      <c r="A1138" s="2" t="s">
        <v>5533</v>
      </c>
      <c r="B1138" s="6">
        <v>46204</v>
      </c>
      <c r="C1138" s="8">
        <v>46209</v>
      </c>
      <c r="D1138" s="2" t="s">
        <v>199</v>
      </c>
      <c r="E1138" s="2" t="s">
        <v>12593</v>
      </c>
      <c r="F1138" s="2" t="s">
        <v>12423</v>
      </c>
      <c r="G1138" s="2" t="s">
        <v>14908</v>
      </c>
      <c r="H1138" s="2" t="s">
        <v>70</v>
      </c>
      <c r="I1138" s="9">
        <v>21148.677812000002</v>
      </c>
      <c r="J1138" s="7">
        <v>0.65800000000000003</v>
      </c>
      <c r="K1138" s="9">
        <v>13915.83</v>
      </c>
      <c r="L1138" s="14">
        <v>0</v>
      </c>
      <c r="M1138" s="2" t="s">
        <v>71</v>
      </c>
      <c r="N1138" s="2" t="s">
        <v>13272</v>
      </c>
      <c r="O1138" s="2" t="s">
        <v>14909</v>
      </c>
      <c r="P1138" s="9">
        <v>0</v>
      </c>
      <c r="Q1138" s="9">
        <v>0</v>
      </c>
      <c r="R1138" s="2" t="s">
        <v>14647</v>
      </c>
    </row>
    <row r="1139" spans="1:18" x14ac:dyDescent="0.25">
      <c r="A1139" s="2" t="s">
        <v>5536</v>
      </c>
      <c r="B1139" s="6">
        <v>46204</v>
      </c>
      <c r="C1139" s="8">
        <v>46210</v>
      </c>
      <c r="D1139" s="2" t="s">
        <v>199</v>
      </c>
      <c r="E1139" s="2" t="s">
        <v>12593</v>
      </c>
      <c r="F1139" s="2" t="s">
        <v>12424</v>
      </c>
      <c r="G1139" s="2" t="s">
        <v>14910</v>
      </c>
      <c r="H1139" s="2" t="s">
        <v>39</v>
      </c>
      <c r="I1139" s="9">
        <v>14088.84</v>
      </c>
      <c r="J1139" s="7">
        <v>1</v>
      </c>
      <c r="K1139" s="9">
        <v>14088.84</v>
      </c>
      <c r="L1139" s="14">
        <v>0</v>
      </c>
      <c r="M1139" s="2" t="s">
        <v>71</v>
      </c>
      <c r="N1139" s="2" t="s">
        <v>13272</v>
      </c>
      <c r="O1139" s="2" t="s">
        <v>14911</v>
      </c>
      <c r="P1139" s="9">
        <v>0</v>
      </c>
      <c r="Q1139" s="9">
        <v>0</v>
      </c>
      <c r="R1139" s="2" t="s">
        <v>14650</v>
      </c>
    </row>
    <row r="1140" spans="1:18" x14ac:dyDescent="0.25">
      <c r="A1140" s="2" t="s">
        <v>5539</v>
      </c>
      <c r="B1140" s="6">
        <v>46204</v>
      </c>
      <c r="C1140" s="8">
        <v>46211</v>
      </c>
      <c r="D1140" s="2" t="s">
        <v>199</v>
      </c>
      <c r="E1140" s="2" t="s">
        <v>12593</v>
      </c>
      <c r="F1140" s="2" t="s">
        <v>12425</v>
      </c>
      <c r="G1140" s="2" t="s">
        <v>14912</v>
      </c>
      <c r="H1140" s="2" t="s">
        <v>76</v>
      </c>
      <c r="I1140" s="9">
        <v>230029838.70967701</v>
      </c>
      <c r="J1140" s="7">
        <v>6.2000000000000003E-5</v>
      </c>
      <c r="K1140" s="9">
        <v>14261.85</v>
      </c>
      <c r="L1140" s="14">
        <v>0</v>
      </c>
      <c r="M1140" s="2" t="s">
        <v>71</v>
      </c>
      <c r="N1140" s="2" t="s">
        <v>13272</v>
      </c>
      <c r="O1140" s="2" t="s">
        <v>14913</v>
      </c>
      <c r="P1140" s="9">
        <v>0</v>
      </c>
      <c r="Q1140" s="9">
        <v>0</v>
      </c>
      <c r="R1140" s="2" t="s">
        <v>14653</v>
      </c>
    </row>
    <row r="1141" spans="1:18" x14ac:dyDescent="0.25">
      <c r="A1141" s="2" t="s">
        <v>5542</v>
      </c>
      <c r="B1141" s="6">
        <v>46204</v>
      </c>
      <c r="C1141" s="8">
        <v>46212</v>
      </c>
      <c r="D1141" s="2" t="s">
        <v>199</v>
      </c>
      <c r="E1141" s="2" t="s">
        <v>12593</v>
      </c>
      <c r="F1141" s="2" t="s">
        <v>12426</v>
      </c>
      <c r="G1141" s="2" t="s">
        <v>14914</v>
      </c>
      <c r="H1141" s="2" t="s">
        <v>70</v>
      </c>
      <c r="I1141" s="9">
        <v>21937.477203999999</v>
      </c>
      <c r="J1141" s="7">
        <v>0.65800000000000003</v>
      </c>
      <c r="K1141" s="9">
        <v>14434.86</v>
      </c>
      <c r="L1141" s="14">
        <v>0</v>
      </c>
      <c r="M1141" s="2" t="s">
        <v>71</v>
      </c>
      <c r="N1141" s="2" t="s">
        <v>13272</v>
      </c>
      <c r="O1141" s="2" t="s">
        <v>14915</v>
      </c>
      <c r="P1141" s="9">
        <v>0</v>
      </c>
      <c r="Q1141" s="9">
        <v>0</v>
      </c>
      <c r="R1141" s="2" t="s">
        <v>14626</v>
      </c>
    </row>
    <row r="1142" spans="1:18" x14ac:dyDescent="0.25">
      <c r="A1142" s="2" t="s">
        <v>5547</v>
      </c>
      <c r="B1142" s="6">
        <v>46204</v>
      </c>
      <c r="C1142" s="8">
        <v>46213</v>
      </c>
      <c r="D1142" s="2" t="s">
        <v>199</v>
      </c>
      <c r="E1142" s="2" t="s">
        <v>12593</v>
      </c>
      <c r="F1142" s="2" t="s">
        <v>12427</v>
      </c>
      <c r="G1142" s="2" t="s">
        <v>14916</v>
      </c>
      <c r="H1142" s="2" t="s">
        <v>39</v>
      </c>
      <c r="I1142" s="9">
        <v>14607.87</v>
      </c>
      <c r="J1142" s="7">
        <v>1</v>
      </c>
      <c r="K1142" s="9">
        <v>14607.87</v>
      </c>
      <c r="L1142" s="14">
        <v>0</v>
      </c>
      <c r="M1142" s="2" t="s">
        <v>71</v>
      </c>
      <c r="N1142" s="2" t="s">
        <v>13272</v>
      </c>
      <c r="O1142" s="2" t="s">
        <v>14917</v>
      </c>
      <c r="P1142" s="9">
        <v>0</v>
      </c>
      <c r="Q1142" s="9">
        <v>0</v>
      </c>
      <c r="R1142" s="2" t="s">
        <v>14629</v>
      </c>
    </row>
    <row r="1143" spans="1:18" x14ac:dyDescent="0.25">
      <c r="A1143" s="2" t="s">
        <v>5552</v>
      </c>
      <c r="B1143" s="6">
        <v>46204</v>
      </c>
      <c r="C1143" s="8">
        <v>46214</v>
      </c>
      <c r="D1143" s="2" t="s">
        <v>199</v>
      </c>
      <c r="E1143" s="2" t="s">
        <v>12593</v>
      </c>
      <c r="F1143" s="2" t="s">
        <v>12428</v>
      </c>
      <c r="G1143" s="2" t="s">
        <v>14918</v>
      </c>
      <c r="H1143" s="2" t="s">
        <v>76</v>
      </c>
      <c r="I1143" s="9">
        <v>238401290.32258099</v>
      </c>
      <c r="J1143" s="7">
        <v>6.2000000000000003E-5</v>
      </c>
      <c r="K1143" s="9">
        <v>14780.88</v>
      </c>
      <c r="L1143" s="14">
        <v>0</v>
      </c>
      <c r="M1143" s="2" t="s">
        <v>71</v>
      </c>
      <c r="N1143" s="2" t="s">
        <v>13272</v>
      </c>
      <c r="O1143" s="2" t="s">
        <v>14919</v>
      </c>
      <c r="P1143" s="9">
        <v>0</v>
      </c>
      <c r="Q1143" s="9">
        <v>0</v>
      </c>
      <c r="R1143" s="2" t="s">
        <v>14632</v>
      </c>
    </row>
    <row r="1144" spans="1:18" x14ac:dyDescent="0.25">
      <c r="A1144" s="2" t="s">
        <v>5555</v>
      </c>
      <c r="B1144" s="6">
        <v>46204</v>
      </c>
      <c r="C1144" s="8">
        <v>46215</v>
      </c>
      <c r="D1144" s="2" t="s">
        <v>199</v>
      </c>
      <c r="E1144" s="2" t="s">
        <v>12593</v>
      </c>
      <c r="F1144" s="2" t="s">
        <v>12429</v>
      </c>
      <c r="G1144" s="2" t="s">
        <v>14920</v>
      </c>
      <c r="H1144" s="2" t="s">
        <v>70</v>
      </c>
      <c r="I1144" s="9">
        <v>1449.6808510000001</v>
      </c>
      <c r="J1144" s="7">
        <v>0.65800000000000003</v>
      </c>
      <c r="K1144" s="9">
        <v>953.89</v>
      </c>
      <c r="L1144" s="14">
        <v>0</v>
      </c>
      <c r="M1144" s="2" t="s">
        <v>71</v>
      </c>
      <c r="N1144" s="2" t="s">
        <v>13272</v>
      </c>
      <c r="O1144" s="2" t="s">
        <v>14921</v>
      </c>
      <c r="P1144" s="9">
        <v>0</v>
      </c>
      <c r="Q1144" s="9">
        <v>0</v>
      </c>
      <c r="R1144" s="2" t="s">
        <v>14635</v>
      </c>
    </row>
    <row r="1145" spans="1:18" x14ac:dyDescent="0.25">
      <c r="A1145" s="2" t="s">
        <v>5558</v>
      </c>
      <c r="B1145" s="6">
        <v>46204</v>
      </c>
      <c r="C1145" s="8">
        <v>46216</v>
      </c>
      <c r="D1145" s="2" t="s">
        <v>199</v>
      </c>
      <c r="E1145" s="2" t="s">
        <v>12593</v>
      </c>
      <c r="F1145" s="2" t="s">
        <v>12430</v>
      </c>
      <c r="G1145" s="2" t="s">
        <v>14922</v>
      </c>
      <c r="H1145" s="2" t="s">
        <v>39</v>
      </c>
      <c r="I1145" s="9">
        <v>1126.9000000000001</v>
      </c>
      <c r="J1145" s="7">
        <v>1</v>
      </c>
      <c r="K1145" s="9">
        <v>1126.9000000000001</v>
      </c>
      <c r="L1145" s="14">
        <v>0</v>
      </c>
      <c r="M1145" s="2" t="s">
        <v>71</v>
      </c>
      <c r="N1145" s="2" t="s">
        <v>13272</v>
      </c>
      <c r="O1145" s="2" t="s">
        <v>14923</v>
      </c>
      <c r="P1145" s="9">
        <v>0</v>
      </c>
      <c r="Q1145" s="9">
        <v>0</v>
      </c>
      <c r="R1145" s="2" t="s">
        <v>14638</v>
      </c>
    </row>
    <row r="1146" spans="1:18" x14ac:dyDescent="0.25">
      <c r="A1146" s="2" t="s">
        <v>5563</v>
      </c>
      <c r="B1146" s="6">
        <v>46204</v>
      </c>
      <c r="C1146" s="8">
        <v>46217</v>
      </c>
      <c r="D1146" s="2" t="s">
        <v>199</v>
      </c>
      <c r="E1146" s="2" t="s">
        <v>12593</v>
      </c>
      <c r="F1146" s="2" t="s">
        <v>12431</v>
      </c>
      <c r="G1146" s="2" t="s">
        <v>14924</v>
      </c>
      <c r="H1146" s="2" t="s">
        <v>76</v>
      </c>
      <c r="I1146" s="9">
        <v>20966290.322581001</v>
      </c>
      <c r="J1146" s="7">
        <v>6.2000000000000003E-5</v>
      </c>
      <c r="K1146" s="9">
        <v>1299.9100000000001</v>
      </c>
      <c r="L1146" s="14">
        <v>0</v>
      </c>
      <c r="M1146" s="2" t="s">
        <v>71</v>
      </c>
      <c r="N1146" s="2" t="s">
        <v>13272</v>
      </c>
      <c r="O1146" s="2" t="s">
        <v>14925</v>
      </c>
      <c r="P1146" s="9">
        <v>0</v>
      </c>
      <c r="Q1146" s="9">
        <v>0</v>
      </c>
      <c r="R1146" s="2" t="s">
        <v>14641</v>
      </c>
    </row>
    <row r="1147" spans="1:18" x14ac:dyDescent="0.25">
      <c r="A1147" s="2" t="s">
        <v>5566</v>
      </c>
      <c r="B1147" s="6">
        <v>46204</v>
      </c>
      <c r="C1147" s="8">
        <v>46218</v>
      </c>
      <c r="D1147" s="2" t="s">
        <v>199</v>
      </c>
      <c r="E1147" s="2" t="s">
        <v>12593</v>
      </c>
      <c r="F1147" s="2" t="s">
        <v>12432</v>
      </c>
      <c r="G1147" s="2" t="s">
        <v>14926</v>
      </c>
      <c r="H1147" s="2" t="s">
        <v>70</v>
      </c>
      <c r="I1147" s="9">
        <v>2238.480243</v>
      </c>
      <c r="J1147" s="7">
        <v>0.65800000000000003</v>
      </c>
      <c r="K1147" s="9">
        <v>1472.92</v>
      </c>
      <c r="L1147" s="14">
        <v>0</v>
      </c>
      <c r="M1147" s="2" t="s">
        <v>71</v>
      </c>
      <c r="N1147" s="2" t="s">
        <v>13272</v>
      </c>
      <c r="O1147" s="2" t="s">
        <v>14927</v>
      </c>
      <c r="P1147" s="9">
        <v>0</v>
      </c>
      <c r="Q1147" s="9">
        <v>0</v>
      </c>
      <c r="R1147" s="2" t="s">
        <v>14644</v>
      </c>
    </row>
    <row r="1148" spans="1:18" x14ac:dyDescent="0.25">
      <c r="A1148" s="2" t="s">
        <v>5569</v>
      </c>
      <c r="B1148" s="6">
        <v>46204</v>
      </c>
      <c r="C1148" s="8">
        <v>46219</v>
      </c>
      <c r="D1148" s="2" t="s">
        <v>199</v>
      </c>
      <c r="E1148" s="2" t="s">
        <v>12593</v>
      </c>
      <c r="F1148" s="2" t="s">
        <v>12423</v>
      </c>
      <c r="G1148" s="2" t="s">
        <v>14928</v>
      </c>
      <c r="H1148" s="2" t="s">
        <v>39</v>
      </c>
      <c r="I1148" s="9">
        <v>1645.93</v>
      </c>
      <c r="J1148" s="7">
        <v>1</v>
      </c>
      <c r="K1148" s="9">
        <v>1645.93</v>
      </c>
      <c r="L1148" s="14">
        <v>0</v>
      </c>
      <c r="M1148" s="2" t="s">
        <v>71</v>
      </c>
      <c r="N1148" s="2" t="s">
        <v>13272</v>
      </c>
      <c r="O1148" s="2" t="s">
        <v>14929</v>
      </c>
      <c r="P1148" s="9">
        <v>0</v>
      </c>
      <c r="Q1148" s="9">
        <v>0</v>
      </c>
      <c r="R1148" s="2" t="s">
        <v>14647</v>
      </c>
    </row>
    <row r="1149" spans="1:18" x14ac:dyDescent="0.25">
      <c r="A1149" s="2" t="s">
        <v>5572</v>
      </c>
      <c r="B1149" s="6">
        <v>46204</v>
      </c>
      <c r="C1149" s="8">
        <v>46220</v>
      </c>
      <c r="D1149" s="2" t="s">
        <v>199</v>
      </c>
      <c r="E1149" s="2" t="s">
        <v>12593</v>
      </c>
      <c r="F1149" s="2" t="s">
        <v>12424</v>
      </c>
      <c r="G1149" s="2" t="s">
        <v>14930</v>
      </c>
      <c r="H1149" s="2" t="s">
        <v>76</v>
      </c>
      <c r="I1149" s="9">
        <v>29337741.935484</v>
      </c>
      <c r="J1149" s="7">
        <v>6.2000000000000003E-5</v>
      </c>
      <c r="K1149" s="9">
        <v>1818.94</v>
      </c>
      <c r="L1149" s="14">
        <v>0</v>
      </c>
      <c r="M1149" s="2" t="s">
        <v>71</v>
      </c>
      <c r="N1149" s="2" t="s">
        <v>13272</v>
      </c>
      <c r="O1149" s="2" t="s">
        <v>14931</v>
      </c>
      <c r="P1149" s="9">
        <v>0</v>
      </c>
      <c r="Q1149" s="9">
        <v>0</v>
      </c>
      <c r="R1149" s="2" t="s">
        <v>14650</v>
      </c>
    </row>
    <row r="1150" spans="1:18" x14ac:dyDescent="0.25">
      <c r="A1150" s="2" t="s">
        <v>5575</v>
      </c>
      <c r="B1150" s="6">
        <v>46204</v>
      </c>
      <c r="C1150" s="8">
        <v>46221</v>
      </c>
      <c r="D1150" s="2" t="s">
        <v>199</v>
      </c>
      <c r="E1150" s="2" t="s">
        <v>12593</v>
      </c>
      <c r="F1150" s="2" t="s">
        <v>12425</v>
      </c>
      <c r="G1150" s="2" t="s">
        <v>14932</v>
      </c>
      <c r="H1150" s="2" t="s">
        <v>70</v>
      </c>
      <c r="I1150" s="9">
        <v>3027.2796349999999</v>
      </c>
      <c r="J1150" s="7">
        <v>0.65800000000000003</v>
      </c>
      <c r="K1150" s="9">
        <v>1991.95</v>
      </c>
      <c r="L1150" s="14">
        <v>0</v>
      </c>
      <c r="M1150" s="2" t="s">
        <v>71</v>
      </c>
      <c r="N1150" s="2" t="s">
        <v>13272</v>
      </c>
      <c r="O1150" s="2" t="s">
        <v>14933</v>
      </c>
      <c r="P1150" s="9">
        <v>0</v>
      </c>
      <c r="Q1150" s="9">
        <v>0</v>
      </c>
      <c r="R1150" s="2" t="s">
        <v>14653</v>
      </c>
    </row>
    <row r="1151" spans="1:18" x14ac:dyDescent="0.25">
      <c r="A1151" s="2" t="s">
        <v>5578</v>
      </c>
      <c r="B1151" s="6">
        <v>46204</v>
      </c>
      <c r="C1151" s="8">
        <v>46222</v>
      </c>
      <c r="D1151" s="2" t="s">
        <v>199</v>
      </c>
      <c r="E1151" s="2" t="s">
        <v>12593</v>
      </c>
      <c r="F1151" s="2" t="s">
        <v>12426</v>
      </c>
      <c r="G1151" s="2" t="s">
        <v>14934</v>
      </c>
      <c r="H1151" s="2" t="s">
        <v>39</v>
      </c>
      <c r="I1151" s="9">
        <v>2164.96</v>
      </c>
      <c r="J1151" s="7">
        <v>1</v>
      </c>
      <c r="K1151" s="9">
        <v>2164.96</v>
      </c>
      <c r="L1151" s="14">
        <v>0</v>
      </c>
      <c r="M1151" s="2" t="s">
        <v>71</v>
      </c>
      <c r="N1151" s="2" t="s">
        <v>13272</v>
      </c>
      <c r="O1151" s="2" t="s">
        <v>14935</v>
      </c>
      <c r="P1151" s="9">
        <v>0</v>
      </c>
      <c r="Q1151" s="9">
        <v>0</v>
      </c>
      <c r="R1151" s="2" t="s">
        <v>14626</v>
      </c>
    </row>
    <row r="1152" spans="1:18" x14ac:dyDescent="0.25">
      <c r="A1152" s="2" t="s">
        <v>5583</v>
      </c>
      <c r="B1152" s="6">
        <v>46204</v>
      </c>
      <c r="C1152" s="8">
        <v>46223</v>
      </c>
      <c r="D1152" s="2" t="s">
        <v>199</v>
      </c>
      <c r="E1152" s="2" t="s">
        <v>12593</v>
      </c>
      <c r="F1152" s="2" t="s">
        <v>12427</v>
      </c>
      <c r="G1152" s="2" t="s">
        <v>14936</v>
      </c>
      <c r="H1152" s="2" t="s">
        <v>76</v>
      </c>
      <c r="I1152" s="9">
        <v>37693548.387097001</v>
      </c>
      <c r="J1152" s="7">
        <v>6.2000000000000003E-5</v>
      </c>
      <c r="K1152" s="9">
        <v>2337</v>
      </c>
      <c r="L1152" s="14">
        <v>0</v>
      </c>
      <c r="M1152" s="2" t="s">
        <v>71</v>
      </c>
      <c r="N1152" s="2" t="s">
        <v>13272</v>
      </c>
      <c r="O1152" s="2" t="s">
        <v>14937</v>
      </c>
      <c r="P1152" s="9">
        <v>0</v>
      </c>
      <c r="Q1152" s="9">
        <v>0</v>
      </c>
      <c r="R1152" s="2" t="s">
        <v>14629</v>
      </c>
    </row>
    <row r="1153" spans="1:18" x14ac:dyDescent="0.25">
      <c r="A1153" s="2" t="s">
        <v>5588</v>
      </c>
      <c r="B1153" s="6">
        <v>46204</v>
      </c>
      <c r="C1153" s="8">
        <v>46224</v>
      </c>
      <c r="D1153" s="2" t="s">
        <v>199</v>
      </c>
      <c r="E1153" s="2" t="s">
        <v>12593</v>
      </c>
      <c r="F1153" s="2" t="s">
        <v>12428</v>
      </c>
      <c r="G1153" s="2" t="s">
        <v>14938</v>
      </c>
      <c r="H1153" s="2" t="s">
        <v>70</v>
      </c>
      <c r="I1153" s="9">
        <v>3814.604863</v>
      </c>
      <c r="J1153" s="7">
        <v>0.65800000000000003</v>
      </c>
      <c r="K1153" s="9">
        <v>2510.0100000000002</v>
      </c>
      <c r="L1153" s="14">
        <v>0</v>
      </c>
      <c r="M1153" s="2" t="s">
        <v>71</v>
      </c>
      <c r="N1153" s="2" t="s">
        <v>13272</v>
      </c>
      <c r="O1153" s="2" t="s">
        <v>14939</v>
      </c>
      <c r="P1153" s="9">
        <v>0</v>
      </c>
      <c r="Q1153" s="9">
        <v>0</v>
      </c>
      <c r="R1153" s="2" t="s">
        <v>14632</v>
      </c>
    </row>
    <row r="1154" spans="1:18" x14ac:dyDescent="0.25">
      <c r="A1154" s="2" t="s">
        <v>5591</v>
      </c>
      <c r="B1154" s="6">
        <v>46204</v>
      </c>
      <c r="C1154" s="8">
        <v>46225</v>
      </c>
      <c r="D1154" s="2" t="s">
        <v>199</v>
      </c>
      <c r="E1154" s="2" t="s">
        <v>12593</v>
      </c>
      <c r="F1154" s="2" t="s">
        <v>12429</v>
      </c>
      <c r="G1154" s="2" t="s">
        <v>14940</v>
      </c>
      <c r="H1154" s="2" t="s">
        <v>39</v>
      </c>
      <c r="I1154" s="9">
        <v>2683.02</v>
      </c>
      <c r="J1154" s="7">
        <v>1</v>
      </c>
      <c r="K1154" s="9">
        <v>2683.02</v>
      </c>
      <c r="L1154" s="14">
        <v>0</v>
      </c>
      <c r="M1154" s="2" t="s">
        <v>71</v>
      </c>
      <c r="N1154" s="2" t="s">
        <v>13272</v>
      </c>
      <c r="O1154" s="2" t="s">
        <v>14941</v>
      </c>
      <c r="P1154" s="9">
        <v>0</v>
      </c>
      <c r="Q1154" s="9">
        <v>0</v>
      </c>
      <c r="R1154" s="2" t="s">
        <v>14635</v>
      </c>
    </row>
    <row r="1155" spans="1:18" x14ac:dyDescent="0.25">
      <c r="A1155" s="2" t="s">
        <v>5594</v>
      </c>
      <c r="B1155" s="6">
        <v>46204</v>
      </c>
      <c r="C1155" s="8">
        <v>46226</v>
      </c>
      <c r="D1155" s="2" t="s">
        <v>199</v>
      </c>
      <c r="E1155" s="2" t="s">
        <v>12593</v>
      </c>
      <c r="F1155" s="2" t="s">
        <v>12430</v>
      </c>
      <c r="G1155" s="2" t="s">
        <v>14942</v>
      </c>
      <c r="H1155" s="2" t="s">
        <v>76</v>
      </c>
      <c r="I1155" s="9">
        <v>46065000</v>
      </c>
      <c r="J1155" s="7">
        <v>6.2000000000000003E-5</v>
      </c>
      <c r="K1155" s="9">
        <v>2856.03</v>
      </c>
      <c r="L1155" s="14">
        <v>0</v>
      </c>
      <c r="M1155" s="2" t="s">
        <v>71</v>
      </c>
      <c r="N1155" s="2" t="s">
        <v>13272</v>
      </c>
      <c r="O1155" s="2" t="s">
        <v>14943</v>
      </c>
      <c r="P1155" s="9">
        <v>0</v>
      </c>
      <c r="Q1155" s="9">
        <v>0</v>
      </c>
      <c r="R1155" s="2" t="s">
        <v>14638</v>
      </c>
    </row>
    <row r="1156" spans="1:18" x14ac:dyDescent="0.25">
      <c r="A1156" s="2" t="s">
        <v>5599</v>
      </c>
      <c r="B1156" s="6">
        <v>46204</v>
      </c>
      <c r="C1156" s="8">
        <v>46227</v>
      </c>
      <c r="D1156" s="2" t="s">
        <v>199</v>
      </c>
      <c r="E1156" s="2" t="s">
        <v>12593</v>
      </c>
      <c r="F1156" s="2" t="s">
        <v>12431</v>
      </c>
      <c r="G1156" s="2" t="s">
        <v>14944</v>
      </c>
      <c r="H1156" s="2" t="s">
        <v>70</v>
      </c>
      <c r="I1156" s="9">
        <v>4603.4042550000004</v>
      </c>
      <c r="J1156" s="7">
        <v>0.65800000000000003</v>
      </c>
      <c r="K1156" s="9">
        <v>3029.04</v>
      </c>
      <c r="L1156" s="14">
        <v>0</v>
      </c>
      <c r="M1156" s="2" t="s">
        <v>71</v>
      </c>
      <c r="N1156" s="2" t="s">
        <v>13272</v>
      </c>
      <c r="O1156" s="2" t="s">
        <v>14945</v>
      </c>
      <c r="P1156" s="9">
        <v>0</v>
      </c>
      <c r="Q1156" s="9">
        <v>0</v>
      </c>
      <c r="R1156" s="2" t="s">
        <v>14641</v>
      </c>
    </row>
    <row r="1157" spans="1:18" x14ac:dyDescent="0.25">
      <c r="A1157" s="2" t="s">
        <v>5602</v>
      </c>
      <c r="B1157" s="6">
        <v>46204</v>
      </c>
      <c r="C1157" s="8">
        <v>46228</v>
      </c>
      <c r="D1157" s="2" t="s">
        <v>199</v>
      </c>
      <c r="E1157" s="2" t="s">
        <v>12593</v>
      </c>
      <c r="F1157" s="2" t="s">
        <v>12432</v>
      </c>
      <c r="G1157" s="2" t="s">
        <v>14946</v>
      </c>
      <c r="H1157" s="2" t="s">
        <v>39</v>
      </c>
      <c r="I1157" s="9">
        <v>3202.05</v>
      </c>
      <c r="J1157" s="7">
        <v>1</v>
      </c>
      <c r="K1157" s="9">
        <v>3202.05</v>
      </c>
      <c r="L1157" s="14">
        <v>0</v>
      </c>
      <c r="M1157" s="2" t="s">
        <v>71</v>
      </c>
      <c r="N1157" s="2" t="s">
        <v>13272</v>
      </c>
      <c r="O1157" s="2" t="s">
        <v>14947</v>
      </c>
      <c r="P1157" s="9">
        <v>0</v>
      </c>
      <c r="Q1157" s="9">
        <v>0</v>
      </c>
      <c r="R1157" s="2" t="s">
        <v>14644</v>
      </c>
    </row>
    <row r="1158" spans="1:18" x14ac:dyDescent="0.25">
      <c r="A1158" s="2" t="s">
        <v>5605</v>
      </c>
      <c r="B1158" s="6">
        <v>46204</v>
      </c>
      <c r="C1158" s="8">
        <v>46229</v>
      </c>
      <c r="D1158" s="2" t="s">
        <v>199</v>
      </c>
      <c r="E1158" s="2" t="s">
        <v>12593</v>
      </c>
      <c r="F1158" s="2" t="s">
        <v>12423</v>
      </c>
      <c r="G1158" s="2" t="s">
        <v>14948</v>
      </c>
      <c r="H1158" s="2" t="s">
        <v>76</v>
      </c>
      <c r="I1158" s="9">
        <v>54436451.612902999</v>
      </c>
      <c r="J1158" s="7">
        <v>6.2000000000000003E-5</v>
      </c>
      <c r="K1158" s="9">
        <v>3375.06</v>
      </c>
      <c r="L1158" s="14">
        <v>0</v>
      </c>
      <c r="M1158" s="2" t="s">
        <v>71</v>
      </c>
      <c r="N1158" s="2" t="s">
        <v>13272</v>
      </c>
      <c r="O1158" s="2" t="s">
        <v>14949</v>
      </c>
      <c r="P1158" s="9">
        <v>0</v>
      </c>
      <c r="Q1158" s="9">
        <v>0</v>
      </c>
      <c r="R1158" s="2" t="s">
        <v>14647</v>
      </c>
    </row>
    <row r="1159" spans="1:18" x14ac:dyDescent="0.25">
      <c r="A1159" s="2" t="s">
        <v>5608</v>
      </c>
      <c r="B1159" s="6">
        <v>46204</v>
      </c>
      <c r="C1159" s="8">
        <v>46230</v>
      </c>
      <c r="D1159" s="2" t="s">
        <v>199</v>
      </c>
      <c r="E1159" s="2" t="s">
        <v>12593</v>
      </c>
      <c r="F1159" s="2" t="s">
        <v>12424</v>
      </c>
      <c r="G1159" s="2" t="s">
        <v>14950</v>
      </c>
      <c r="H1159" s="2" t="s">
        <v>70</v>
      </c>
      <c r="I1159" s="9">
        <v>-5392.2036470000003</v>
      </c>
      <c r="J1159" s="7">
        <v>0.65800000000000003</v>
      </c>
      <c r="K1159" s="9">
        <v>-3548.07</v>
      </c>
      <c r="L1159" s="14">
        <v>0</v>
      </c>
      <c r="M1159" s="2" t="s">
        <v>71</v>
      </c>
      <c r="N1159" s="2" t="s">
        <v>13272</v>
      </c>
      <c r="O1159" s="2" t="s">
        <v>14951</v>
      </c>
      <c r="P1159" s="9">
        <v>0</v>
      </c>
      <c r="Q1159" s="9">
        <v>0</v>
      </c>
      <c r="R1159" s="2" t="s">
        <v>14650</v>
      </c>
    </row>
    <row r="1160" spans="1:18" x14ac:dyDescent="0.25">
      <c r="A1160" s="2" t="s">
        <v>5611</v>
      </c>
      <c r="B1160" s="6">
        <v>46204</v>
      </c>
      <c r="C1160" s="8">
        <v>46231</v>
      </c>
      <c r="D1160" s="2" t="s">
        <v>199</v>
      </c>
      <c r="E1160" s="2" t="s">
        <v>12593</v>
      </c>
      <c r="F1160" s="2" t="s">
        <v>12425</v>
      </c>
      <c r="G1160" s="2" t="s">
        <v>14952</v>
      </c>
      <c r="H1160" s="2" t="s">
        <v>39</v>
      </c>
      <c r="I1160" s="9">
        <v>3721.08</v>
      </c>
      <c r="J1160" s="7">
        <v>1</v>
      </c>
      <c r="K1160" s="9">
        <v>3721.08</v>
      </c>
      <c r="L1160" s="14">
        <v>0</v>
      </c>
      <c r="M1160" s="2" t="s">
        <v>71</v>
      </c>
      <c r="N1160" s="2" t="s">
        <v>13272</v>
      </c>
      <c r="O1160" s="2" t="s">
        <v>14953</v>
      </c>
      <c r="P1160" s="9">
        <v>0</v>
      </c>
      <c r="Q1160" s="9">
        <v>0</v>
      </c>
      <c r="R1160" s="2" t="s">
        <v>14653</v>
      </c>
    </row>
    <row r="1161" spans="1:18" x14ac:dyDescent="0.25">
      <c r="A1161" s="2" t="s">
        <v>5614</v>
      </c>
      <c r="B1161" s="6">
        <v>46204</v>
      </c>
      <c r="C1161" s="8">
        <v>46232</v>
      </c>
      <c r="D1161" s="2" t="s">
        <v>199</v>
      </c>
      <c r="E1161" s="2" t="s">
        <v>12593</v>
      </c>
      <c r="F1161" s="2" t="s">
        <v>12426</v>
      </c>
      <c r="G1161" s="2" t="s">
        <v>14954</v>
      </c>
      <c r="H1161" s="2" t="s">
        <v>76</v>
      </c>
      <c r="I1161" s="9">
        <v>62807903.225805998</v>
      </c>
      <c r="J1161" s="7">
        <v>6.2000000000000003E-5</v>
      </c>
      <c r="K1161" s="9">
        <v>3894.09</v>
      </c>
      <c r="L1161" s="14">
        <v>0</v>
      </c>
      <c r="M1161" s="2" t="s">
        <v>71</v>
      </c>
      <c r="N1161" s="2" t="s">
        <v>13272</v>
      </c>
      <c r="O1161" s="2" t="s">
        <v>14955</v>
      </c>
      <c r="P1161" s="9">
        <v>0</v>
      </c>
      <c r="Q1161" s="9">
        <v>0</v>
      </c>
      <c r="R1161" s="2" t="s">
        <v>14626</v>
      </c>
    </row>
    <row r="1162" spans="1:18" x14ac:dyDescent="0.25">
      <c r="A1162" s="2" t="s">
        <v>5619</v>
      </c>
      <c r="B1162" s="6">
        <v>46204</v>
      </c>
      <c r="C1162" s="8">
        <v>46233</v>
      </c>
      <c r="D1162" s="2" t="s">
        <v>199</v>
      </c>
      <c r="E1162" s="2" t="s">
        <v>12593</v>
      </c>
      <c r="F1162" s="2" t="s">
        <v>12427</v>
      </c>
      <c r="G1162" s="2" t="s">
        <v>14956</v>
      </c>
      <c r="H1162" s="2" t="s">
        <v>70</v>
      </c>
      <c r="I1162" s="9">
        <v>6181.0030399999996</v>
      </c>
      <c r="J1162" s="7">
        <v>0.65800000000000003</v>
      </c>
      <c r="K1162" s="9">
        <v>4067.1</v>
      </c>
      <c r="L1162" s="14">
        <v>0</v>
      </c>
      <c r="M1162" s="2" t="s">
        <v>71</v>
      </c>
      <c r="N1162" s="2" t="s">
        <v>13272</v>
      </c>
      <c r="O1162" s="2" t="s">
        <v>14957</v>
      </c>
      <c r="P1162" s="9">
        <v>0</v>
      </c>
      <c r="Q1162" s="9">
        <v>0</v>
      </c>
      <c r="R1162" s="2" t="s">
        <v>14629</v>
      </c>
    </row>
    <row r="1163" spans="1:18" x14ac:dyDescent="0.25">
      <c r="A1163" s="2" t="s">
        <v>5624</v>
      </c>
      <c r="B1163" s="6">
        <v>46204</v>
      </c>
      <c r="C1163" s="8">
        <v>46234</v>
      </c>
      <c r="D1163" s="2" t="s">
        <v>199</v>
      </c>
      <c r="E1163" s="2" t="s">
        <v>12593</v>
      </c>
      <c r="F1163" s="2" t="s">
        <v>12428</v>
      </c>
      <c r="G1163" s="2" t="s">
        <v>14958</v>
      </c>
      <c r="H1163" s="2" t="s">
        <v>39</v>
      </c>
      <c r="I1163" s="9">
        <v>4240.1099999999997</v>
      </c>
      <c r="J1163" s="7">
        <v>1</v>
      </c>
      <c r="K1163" s="9">
        <v>4240.1099999999997</v>
      </c>
      <c r="L1163" s="14">
        <v>0</v>
      </c>
      <c r="M1163" s="2" t="s">
        <v>71</v>
      </c>
      <c r="N1163" s="2" t="s">
        <v>13272</v>
      </c>
      <c r="O1163" s="2" t="s">
        <v>14959</v>
      </c>
      <c r="P1163" s="9">
        <v>0</v>
      </c>
      <c r="Q1163" s="9">
        <v>0</v>
      </c>
      <c r="R1163" s="2" t="s">
        <v>14632</v>
      </c>
    </row>
    <row r="1164" spans="1:18" x14ac:dyDescent="0.25">
      <c r="A1164" s="2" t="s">
        <v>5627</v>
      </c>
      <c r="B1164" s="6">
        <v>46204</v>
      </c>
      <c r="C1164" s="8">
        <v>46204</v>
      </c>
      <c r="D1164" s="2" t="s">
        <v>199</v>
      </c>
      <c r="E1164" s="2" t="s">
        <v>12593</v>
      </c>
      <c r="F1164" s="2" t="s">
        <v>12429</v>
      </c>
      <c r="G1164" s="2" t="s">
        <v>14960</v>
      </c>
      <c r="H1164" s="2" t="s">
        <v>76</v>
      </c>
      <c r="I1164" s="9">
        <v>71179354.838709995</v>
      </c>
      <c r="J1164" s="7">
        <v>6.2000000000000003E-5</v>
      </c>
      <c r="K1164" s="9">
        <v>4413.12</v>
      </c>
      <c r="L1164" s="14">
        <v>0</v>
      </c>
      <c r="M1164" s="2" t="s">
        <v>71</v>
      </c>
      <c r="N1164" s="2" t="s">
        <v>13272</v>
      </c>
      <c r="O1164" s="2" t="s">
        <v>14961</v>
      </c>
      <c r="P1164" s="9">
        <v>0</v>
      </c>
      <c r="Q1164" s="9">
        <v>0</v>
      </c>
      <c r="R1164" s="2" t="s">
        <v>14635</v>
      </c>
    </row>
    <row r="1165" spans="1:18" x14ac:dyDescent="0.25">
      <c r="A1165" s="2" t="s">
        <v>5630</v>
      </c>
      <c r="B1165" s="6">
        <v>46204</v>
      </c>
      <c r="C1165" s="8">
        <v>46205</v>
      </c>
      <c r="D1165" s="2" t="s">
        <v>199</v>
      </c>
      <c r="E1165" s="2" t="s">
        <v>12593</v>
      </c>
      <c r="F1165" s="2" t="s">
        <v>12430</v>
      </c>
      <c r="G1165" s="2" t="s">
        <v>14962</v>
      </c>
      <c r="H1165" s="2" t="s">
        <v>70</v>
      </c>
      <c r="I1165" s="9">
        <v>6969.8024320000004</v>
      </c>
      <c r="J1165" s="7">
        <v>0.65800000000000003</v>
      </c>
      <c r="K1165" s="9">
        <v>4586.13</v>
      </c>
      <c r="L1165" s="14">
        <v>0</v>
      </c>
      <c r="M1165" s="2" t="s">
        <v>71</v>
      </c>
      <c r="N1165" s="2" t="s">
        <v>13272</v>
      </c>
      <c r="O1165" s="2" t="s">
        <v>14963</v>
      </c>
      <c r="P1165" s="9">
        <v>0</v>
      </c>
      <c r="Q1165" s="9">
        <v>0</v>
      </c>
      <c r="R1165" s="2" t="s">
        <v>14638</v>
      </c>
    </row>
    <row r="1166" spans="1:18" x14ac:dyDescent="0.25">
      <c r="A1166" s="2" t="s">
        <v>5635</v>
      </c>
      <c r="B1166" s="6">
        <v>46204</v>
      </c>
      <c r="C1166" s="8">
        <v>46206</v>
      </c>
      <c r="D1166" s="2" t="s">
        <v>199</v>
      </c>
      <c r="E1166" s="2" t="s">
        <v>12593</v>
      </c>
      <c r="F1166" s="2" t="s">
        <v>12431</v>
      </c>
      <c r="G1166" s="2" t="s">
        <v>14964</v>
      </c>
      <c r="H1166" s="2" t="s">
        <v>39</v>
      </c>
      <c r="I1166" s="9">
        <v>4759.1400000000003</v>
      </c>
      <c r="J1166" s="7">
        <v>1</v>
      </c>
      <c r="K1166" s="9">
        <v>4759.1400000000003</v>
      </c>
      <c r="L1166" s="14">
        <v>0</v>
      </c>
      <c r="M1166" s="2" t="s">
        <v>71</v>
      </c>
      <c r="N1166" s="2" t="s">
        <v>13272</v>
      </c>
      <c r="O1166" s="2" t="s">
        <v>14965</v>
      </c>
      <c r="P1166" s="9">
        <v>0</v>
      </c>
      <c r="Q1166" s="9">
        <v>0</v>
      </c>
      <c r="R1166" s="2" t="s">
        <v>14641</v>
      </c>
    </row>
    <row r="1167" spans="1:18" x14ac:dyDescent="0.25">
      <c r="A1167" s="2" t="s">
        <v>5638</v>
      </c>
      <c r="B1167" s="6">
        <v>46204</v>
      </c>
      <c r="C1167" s="8">
        <v>46207</v>
      </c>
      <c r="D1167" s="2" t="s">
        <v>199</v>
      </c>
      <c r="E1167" s="2" t="s">
        <v>12593</v>
      </c>
      <c r="F1167" s="2" t="s">
        <v>12432</v>
      </c>
      <c r="G1167" s="2" t="s">
        <v>14966</v>
      </c>
      <c r="H1167" s="2" t="s">
        <v>76</v>
      </c>
      <c r="I1167" s="9">
        <v>79550806.451612994</v>
      </c>
      <c r="J1167" s="7">
        <v>6.2000000000000003E-5</v>
      </c>
      <c r="K1167" s="9">
        <v>4932.1499999999996</v>
      </c>
      <c r="L1167" s="14">
        <v>0</v>
      </c>
      <c r="M1167" s="2" t="s">
        <v>71</v>
      </c>
      <c r="N1167" s="2" t="s">
        <v>13272</v>
      </c>
      <c r="O1167" s="2" t="s">
        <v>14967</v>
      </c>
      <c r="P1167" s="9">
        <v>0</v>
      </c>
      <c r="Q1167" s="9">
        <v>0</v>
      </c>
      <c r="R1167" s="2" t="s">
        <v>14644</v>
      </c>
    </row>
    <row r="1168" spans="1:18" x14ac:dyDescent="0.25">
      <c r="A1168" s="2" t="s">
        <v>5641</v>
      </c>
      <c r="B1168" s="6">
        <v>46204</v>
      </c>
      <c r="C1168" s="8">
        <v>46208</v>
      </c>
      <c r="D1168" s="2" t="s">
        <v>199</v>
      </c>
      <c r="E1168" s="2" t="s">
        <v>12593</v>
      </c>
      <c r="F1168" s="2" t="s">
        <v>12423</v>
      </c>
      <c r="G1168" s="2" t="s">
        <v>14968</v>
      </c>
      <c r="H1168" s="2" t="s">
        <v>70</v>
      </c>
      <c r="I1168" s="9">
        <v>7758.6018240000003</v>
      </c>
      <c r="J1168" s="7">
        <v>0.65800000000000003</v>
      </c>
      <c r="K1168" s="9">
        <v>5105.16</v>
      </c>
      <c r="L1168" s="14">
        <v>0</v>
      </c>
      <c r="M1168" s="2" t="s">
        <v>71</v>
      </c>
      <c r="N1168" s="2" t="s">
        <v>13272</v>
      </c>
      <c r="O1168" s="2" t="s">
        <v>14969</v>
      </c>
      <c r="P1168" s="9">
        <v>0</v>
      </c>
      <c r="Q1168" s="9">
        <v>0</v>
      </c>
      <c r="R1168" s="2" t="s">
        <v>14647</v>
      </c>
    </row>
    <row r="1169" spans="1:18" x14ac:dyDescent="0.25">
      <c r="A1169" s="2" t="s">
        <v>5644</v>
      </c>
      <c r="B1169" s="6">
        <v>46204</v>
      </c>
      <c r="C1169" s="8">
        <v>46209</v>
      </c>
      <c r="D1169" s="2" t="s">
        <v>199</v>
      </c>
      <c r="E1169" s="2" t="s">
        <v>12593</v>
      </c>
      <c r="F1169" s="2" t="s">
        <v>12424</v>
      </c>
      <c r="G1169" s="2" t="s">
        <v>14970</v>
      </c>
      <c r="H1169" s="2" t="s">
        <v>39</v>
      </c>
      <c r="I1169" s="9">
        <v>5278.17</v>
      </c>
      <c r="J1169" s="7">
        <v>1</v>
      </c>
      <c r="K1169" s="9">
        <v>5278.17</v>
      </c>
      <c r="L1169" s="14">
        <v>0</v>
      </c>
      <c r="M1169" s="2" t="s">
        <v>71</v>
      </c>
      <c r="N1169" s="2" t="s">
        <v>13272</v>
      </c>
      <c r="O1169" s="2" t="s">
        <v>14971</v>
      </c>
      <c r="P1169" s="9">
        <v>0</v>
      </c>
      <c r="Q1169" s="9">
        <v>0</v>
      </c>
      <c r="R1169" s="2" t="s">
        <v>14650</v>
      </c>
    </row>
    <row r="1170" spans="1:18" x14ac:dyDescent="0.25">
      <c r="A1170" s="2" t="s">
        <v>5647</v>
      </c>
      <c r="B1170" s="6">
        <v>46204</v>
      </c>
      <c r="C1170" s="8">
        <v>46210</v>
      </c>
      <c r="D1170" s="2" t="s">
        <v>199</v>
      </c>
      <c r="E1170" s="2" t="s">
        <v>12593</v>
      </c>
      <c r="F1170" s="2" t="s">
        <v>12425</v>
      </c>
      <c r="G1170" s="2" t="s">
        <v>14972</v>
      </c>
      <c r="H1170" s="2" t="s">
        <v>76</v>
      </c>
      <c r="I1170" s="9">
        <v>87922258.064515993</v>
      </c>
      <c r="J1170" s="7">
        <v>6.2000000000000003E-5</v>
      </c>
      <c r="K1170" s="9">
        <v>5451.18</v>
      </c>
      <c r="L1170" s="14">
        <v>0</v>
      </c>
      <c r="M1170" s="2" t="s">
        <v>71</v>
      </c>
      <c r="N1170" s="2" t="s">
        <v>13272</v>
      </c>
      <c r="O1170" s="2" t="s">
        <v>14973</v>
      </c>
      <c r="P1170" s="9">
        <v>0</v>
      </c>
      <c r="Q1170" s="9">
        <v>0</v>
      </c>
      <c r="R1170" s="2" t="s">
        <v>14653</v>
      </c>
    </row>
    <row r="1171" spans="1:18" x14ac:dyDescent="0.25">
      <c r="A1171" s="2" t="s">
        <v>5650</v>
      </c>
      <c r="B1171" s="6">
        <v>46204</v>
      </c>
      <c r="C1171" s="8">
        <v>46211</v>
      </c>
      <c r="D1171" s="2" t="s">
        <v>199</v>
      </c>
      <c r="E1171" s="2" t="s">
        <v>12593</v>
      </c>
      <c r="F1171" s="2" t="s">
        <v>12426</v>
      </c>
      <c r="G1171" s="2" t="s">
        <v>14974</v>
      </c>
      <c r="H1171" s="2" t="s">
        <v>70</v>
      </c>
      <c r="I1171" s="9">
        <v>8547.4012160000002</v>
      </c>
      <c r="J1171" s="7">
        <v>0.65800000000000003</v>
      </c>
      <c r="K1171" s="9">
        <v>5624.19</v>
      </c>
      <c r="L1171" s="14">
        <v>0</v>
      </c>
      <c r="M1171" s="2" t="s">
        <v>71</v>
      </c>
      <c r="N1171" s="2" t="s">
        <v>13272</v>
      </c>
      <c r="O1171" s="2" t="s">
        <v>14975</v>
      </c>
      <c r="P1171" s="9">
        <v>0</v>
      </c>
      <c r="Q1171" s="9">
        <v>0</v>
      </c>
      <c r="R1171" s="2" t="s">
        <v>14626</v>
      </c>
    </row>
    <row r="1172" spans="1:18" x14ac:dyDescent="0.25">
      <c r="A1172" s="2" t="s">
        <v>5655</v>
      </c>
      <c r="B1172" s="6">
        <v>46204</v>
      </c>
      <c r="C1172" s="8">
        <v>46212</v>
      </c>
      <c r="D1172" s="2" t="s">
        <v>199</v>
      </c>
      <c r="E1172" s="2" t="s">
        <v>12593</v>
      </c>
      <c r="F1172" s="2" t="s">
        <v>12427</v>
      </c>
      <c r="G1172" s="2" t="s">
        <v>14976</v>
      </c>
      <c r="H1172" s="2" t="s">
        <v>39</v>
      </c>
      <c r="I1172" s="9">
        <v>5797.2</v>
      </c>
      <c r="J1172" s="7">
        <v>1</v>
      </c>
      <c r="K1172" s="9">
        <v>5797.2</v>
      </c>
      <c r="L1172" s="14">
        <v>0</v>
      </c>
      <c r="M1172" s="2" t="s">
        <v>71</v>
      </c>
      <c r="N1172" s="2" t="s">
        <v>13272</v>
      </c>
      <c r="O1172" s="2" t="s">
        <v>14977</v>
      </c>
      <c r="P1172" s="9">
        <v>0</v>
      </c>
      <c r="Q1172" s="9">
        <v>0</v>
      </c>
      <c r="R1172" s="2" t="s">
        <v>14629</v>
      </c>
    </row>
    <row r="1173" spans="1:18" x14ac:dyDescent="0.25">
      <c r="A1173" s="2" t="s">
        <v>5660</v>
      </c>
      <c r="B1173" s="6">
        <v>46204</v>
      </c>
      <c r="C1173" s="8">
        <v>46213</v>
      </c>
      <c r="D1173" s="2" t="s">
        <v>199</v>
      </c>
      <c r="E1173" s="2" t="s">
        <v>12593</v>
      </c>
      <c r="F1173" s="2" t="s">
        <v>12428</v>
      </c>
      <c r="G1173" s="2" t="s">
        <v>14978</v>
      </c>
      <c r="H1173" s="2" t="s">
        <v>76</v>
      </c>
      <c r="I1173" s="9">
        <v>96293709.677419007</v>
      </c>
      <c r="J1173" s="7">
        <v>6.2000000000000003E-5</v>
      </c>
      <c r="K1173" s="9">
        <v>5970.21</v>
      </c>
      <c r="L1173" s="14">
        <v>0</v>
      </c>
      <c r="M1173" s="2" t="s">
        <v>71</v>
      </c>
      <c r="N1173" s="2" t="s">
        <v>13272</v>
      </c>
      <c r="O1173" s="2" t="s">
        <v>14979</v>
      </c>
      <c r="P1173" s="9">
        <v>0</v>
      </c>
      <c r="Q1173" s="9">
        <v>0</v>
      </c>
      <c r="R1173" s="2" t="s">
        <v>14632</v>
      </c>
    </row>
    <row r="1174" spans="1:18" x14ac:dyDescent="0.25">
      <c r="A1174" s="2" t="s">
        <v>5663</v>
      </c>
      <c r="B1174" s="6">
        <v>46204</v>
      </c>
      <c r="C1174" s="8">
        <v>46214</v>
      </c>
      <c r="D1174" s="2" t="s">
        <v>199</v>
      </c>
      <c r="E1174" s="2" t="s">
        <v>12593</v>
      </c>
      <c r="F1174" s="2" t="s">
        <v>12429</v>
      </c>
      <c r="G1174" s="2" t="s">
        <v>14980</v>
      </c>
      <c r="H1174" s="2" t="s">
        <v>70</v>
      </c>
      <c r="I1174" s="9">
        <v>9336.2006079999992</v>
      </c>
      <c r="J1174" s="7">
        <v>0.65800000000000003</v>
      </c>
      <c r="K1174" s="9">
        <v>6143.22</v>
      </c>
      <c r="L1174" s="14">
        <v>0</v>
      </c>
      <c r="M1174" s="2" t="s">
        <v>71</v>
      </c>
      <c r="N1174" s="2" t="s">
        <v>13272</v>
      </c>
      <c r="O1174" s="2" t="s">
        <v>14981</v>
      </c>
      <c r="P1174" s="9">
        <v>0</v>
      </c>
      <c r="Q1174" s="9">
        <v>0</v>
      </c>
      <c r="R1174" s="2" t="s">
        <v>14635</v>
      </c>
    </row>
    <row r="1175" spans="1:18" x14ac:dyDescent="0.25">
      <c r="A1175" s="2" t="s">
        <v>5666</v>
      </c>
      <c r="B1175" s="6">
        <v>46204</v>
      </c>
      <c r="C1175" s="8">
        <v>46215</v>
      </c>
      <c r="D1175" s="2" t="s">
        <v>199</v>
      </c>
      <c r="E1175" s="2" t="s">
        <v>12593</v>
      </c>
      <c r="F1175" s="2" t="s">
        <v>12430</v>
      </c>
      <c r="G1175" s="2" t="s">
        <v>14982</v>
      </c>
      <c r="H1175" s="2" t="s">
        <v>39</v>
      </c>
      <c r="I1175" s="9">
        <v>6316.23</v>
      </c>
      <c r="J1175" s="7">
        <v>1</v>
      </c>
      <c r="K1175" s="9">
        <v>6316.23</v>
      </c>
      <c r="L1175" s="14">
        <v>0</v>
      </c>
      <c r="M1175" s="2" t="s">
        <v>71</v>
      </c>
      <c r="N1175" s="2" t="s">
        <v>13272</v>
      </c>
      <c r="O1175" s="2" t="s">
        <v>14983</v>
      </c>
      <c r="P1175" s="9">
        <v>0</v>
      </c>
      <c r="Q1175" s="9">
        <v>0</v>
      </c>
      <c r="R1175" s="2" t="s">
        <v>14638</v>
      </c>
    </row>
    <row r="1176" spans="1:18" x14ac:dyDescent="0.25">
      <c r="A1176" s="2" t="s">
        <v>5671</v>
      </c>
      <c r="B1176" s="6">
        <v>46204</v>
      </c>
      <c r="C1176" s="8">
        <v>46216</v>
      </c>
      <c r="D1176" s="2" t="s">
        <v>199</v>
      </c>
      <c r="E1176" s="2" t="s">
        <v>12593</v>
      </c>
      <c r="F1176" s="2" t="s">
        <v>12431</v>
      </c>
      <c r="G1176" s="2" t="s">
        <v>14984</v>
      </c>
      <c r="H1176" s="2" t="s">
        <v>76</v>
      </c>
      <c r="I1176" s="9">
        <v>104665161.290323</v>
      </c>
      <c r="J1176" s="7">
        <v>6.2000000000000003E-5</v>
      </c>
      <c r="K1176" s="9">
        <v>6489.24</v>
      </c>
      <c r="L1176" s="14">
        <v>0</v>
      </c>
      <c r="M1176" s="2" t="s">
        <v>71</v>
      </c>
      <c r="N1176" s="2" t="s">
        <v>13272</v>
      </c>
      <c r="O1176" s="2" t="s">
        <v>14985</v>
      </c>
      <c r="P1176" s="9">
        <v>0</v>
      </c>
      <c r="Q1176" s="9">
        <v>0</v>
      </c>
      <c r="R1176" s="2" t="s">
        <v>14641</v>
      </c>
    </row>
    <row r="1177" spans="1:18" x14ac:dyDescent="0.25">
      <c r="A1177" s="2" t="s">
        <v>5674</v>
      </c>
      <c r="B1177" s="6">
        <v>46204</v>
      </c>
      <c r="C1177" s="8">
        <v>46217</v>
      </c>
      <c r="D1177" s="2" t="s">
        <v>199</v>
      </c>
      <c r="E1177" s="2" t="s">
        <v>12593</v>
      </c>
      <c r="F1177" s="2" t="s">
        <v>12432</v>
      </c>
      <c r="G1177" s="2" t="s">
        <v>14986</v>
      </c>
      <c r="H1177" s="2" t="s">
        <v>70</v>
      </c>
      <c r="I1177" s="9">
        <v>10125</v>
      </c>
      <c r="J1177" s="7">
        <v>0.65800000000000003</v>
      </c>
      <c r="K1177" s="9">
        <v>6662.25</v>
      </c>
      <c r="L1177" s="14">
        <v>0</v>
      </c>
      <c r="M1177" s="2" t="s">
        <v>71</v>
      </c>
      <c r="N1177" s="2" t="s">
        <v>13272</v>
      </c>
      <c r="O1177" s="2" t="s">
        <v>14987</v>
      </c>
      <c r="P1177" s="9">
        <v>0</v>
      </c>
      <c r="Q1177" s="9">
        <v>0</v>
      </c>
      <c r="R1177" s="2" t="s">
        <v>14644</v>
      </c>
    </row>
    <row r="1178" spans="1:18" x14ac:dyDescent="0.25">
      <c r="A1178" s="2" t="s">
        <v>5677</v>
      </c>
      <c r="B1178" s="6">
        <v>46204</v>
      </c>
      <c r="C1178" s="8">
        <v>46218</v>
      </c>
      <c r="D1178" s="2" t="s">
        <v>199</v>
      </c>
      <c r="E1178" s="2" t="s">
        <v>12593</v>
      </c>
      <c r="F1178" s="2" t="s">
        <v>12423</v>
      </c>
      <c r="G1178" s="2" t="s">
        <v>14988</v>
      </c>
      <c r="H1178" s="2" t="s">
        <v>39</v>
      </c>
      <c r="I1178" s="9">
        <v>6835.26</v>
      </c>
      <c r="J1178" s="7">
        <v>1</v>
      </c>
      <c r="K1178" s="9">
        <v>6835.26</v>
      </c>
      <c r="L1178" s="14">
        <v>0</v>
      </c>
      <c r="M1178" s="2" t="s">
        <v>71</v>
      </c>
      <c r="N1178" s="2" t="s">
        <v>13272</v>
      </c>
      <c r="O1178" s="2" t="s">
        <v>14989</v>
      </c>
      <c r="P1178" s="9">
        <v>0</v>
      </c>
      <c r="Q1178" s="9">
        <v>0</v>
      </c>
      <c r="R1178" s="2" t="s">
        <v>14647</v>
      </c>
    </row>
    <row r="1179" spans="1:18" x14ac:dyDescent="0.25">
      <c r="A1179" s="2" t="s">
        <v>5680</v>
      </c>
      <c r="B1179" s="6">
        <v>46204</v>
      </c>
      <c r="C1179" s="8">
        <v>46219</v>
      </c>
      <c r="D1179" s="2" t="s">
        <v>199</v>
      </c>
      <c r="E1179" s="2" t="s">
        <v>12593</v>
      </c>
      <c r="F1179" s="2" t="s">
        <v>12424</v>
      </c>
      <c r="G1179" s="2" t="s">
        <v>14990</v>
      </c>
      <c r="H1179" s="2" t="s">
        <v>76</v>
      </c>
      <c r="I1179" s="9">
        <v>113036612.903226</v>
      </c>
      <c r="J1179" s="7">
        <v>6.2000000000000003E-5</v>
      </c>
      <c r="K1179" s="9">
        <v>7008.27</v>
      </c>
      <c r="L1179" s="14">
        <v>0</v>
      </c>
      <c r="M1179" s="2" t="s">
        <v>71</v>
      </c>
      <c r="N1179" s="2" t="s">
        <v>13272</v>
      </c>
      <c r="O1179" s="2" t="s">
        <v>14991</v>
      </c>
      <c r="P1179" s="9">
        <v>0</v>
      </c>
      <c r="Q1179" s="9">
        <v>0</v>
      </c>
      <c r="R1179" s="2" t="s">
        <v>14650</v>
      </c>
    </row>
    <row r="1180" spans="1:18" x14ac:dyDescent="0.25">
      <c r="A1180" s="2" t="s">
        <v>5683</v>
      </c>
      <c r="B1180" s="6">
        <v>46204</v>
      </c>
      <c r="C1180" s="8">
        <v>46220</v>
      </c>
      <c r="D1180" s="2" t="s">
        <v>199</v>
      </c>
      <c r="E1180" s="2" t="s">
        <v>12593</v>
      </c>
      <c r="F1180" s="2" t="s">
        <v>12425</v>
      </c>
      <c r="G1180" s="2" t="s">
        <v>14992</v>
      </c>
      <c r="H1180" s="2" t="s">
        <v>70</v>
      </c>
      <c r="I1180" s="9">
        <v>10913.799392000001</v>
      </c>
      <c r="J1180" s="7">
        <v>0.65800000000000003</v>
      </c>
      <c r="K1180" s="9">
        <v>7181.28</v>
      </c>
      <c r="L1180" s="14">
        <v>0</v>
      </c>
      <c r="M1180" s="2" t="s">
        <v>71</v>
      </c>
      <c r="N1180" s="2" t="s">
        <v>13272</v>
      </c>
      <c r="O1180" s="2" t="s">
        <v>14993</v>
      </c>
      <c r="P1180" s="9">
        <v>0</v>
      </c>
      <c r="Q1180" s="9">
        <v>0</v>
      </c>
      <c r="R1180" s="2" t="s">
        <v>14653</v>
      </c>
    </row>
    <row r="1181" spans="1:18" x14ac:dyDescent="0.25">
      <c r="A1181" s="2" t="s">
        <v>5686</v>
      </c>
      <c r="B1181" s="6">
        <v>46204</v>
      </c>
      <c r="C1181" s="8">
        <v>46221</v>
      </c>
      <c r="D1181" s="2" t="s">
        <v>199</v>
      </c>
      <c r="E1181" s="2" t="s">
        <v>12593</v>
      </c>
      <c r="F1181" s="2" t="s">
        <v>12426</v>
      </c>
      <c r="G1181" s="2" t="s">
        <v>14994</v>
      </c>
      <c r="H1181" s="2" t="s">
        <v>39</v>
      </c>
      <c r="I1181" s="9">
        <v>7354.29</v>
      </c>
      <c r="J1181" s="7">
        <v>1</v>
      </c>
      <c r="K1181" s="9">
        <v>7354.29</v>
      </c>
      <c r="L1181" s="14">
        <v>0</v>
      </c>
      <c r="M1181" s="2" t="s">
        <v>71</v>
      </c>
      <c r="N1181" s="2" t="s">
        <v>13272</v>
      </c>
      <c r="O1181" s="2" t="s">
        <v>14995</v>
      </c>
      <c r="P1181" s="9">
        <v>0</v>
      </c>
      <c r="Q1181" s="9">
        <v>0</v>
      </c>
      <c r="R1181" s="2" t="s">
        <v>14626</v>
      </c>
    </row>
    <row r="1182" spans="1:18" x14ac:dyDescent="0.25">
      <c r="A1182" s="2" t="s">
        <v>5691</v>
      </c>
      <c r="B1182" s="6">
        <v>46204</v>
      </c>
      <c r="C1182" s="8">
        <v>46222</v>
      </c>
      <c r="D1182" s="2" t="s">
        <v>199</v>
      </c>
      <c r="E1182" s="2" t="s">
        <v>12593</v>
      </c>
      <c r="F1182" s="2" t="s">
        <v>12427</v>
      </c>
      <c r="G1182" s="2" t="s">
        <v>14996</v>
      </c>
      <c r="H1182" s="2" t="s">
        <v>76</v>
      </c>
      <c r="I1182" s="9">
        <v>121408064.516129</v>
      </c>
      <c r="J1182" s="7">
        <v>6.2000000000000003E-5</v>
      </c>
      <c r="K1182" s="9">
        <v>7527.3</v>
      </c>
      <c r="L1182" s="14">
        <v>0</v>
      </c>
      <c r="M1182" s="2" t="s">
        <v>71</v>
      </c>
      <c r="N1182" s="2" t="s">
        <v>13272</v>
      </c>
      <c r="O1182" s="2" t="s">
        <v>14997</v>
      </c>
      <c r="P1182" s="9">
        <v>0</v>
      </c>
      <c r="Q1182" s="9">
        <v>0</v>
      </c>
      <c r="R1182" s="2" t="s">
        <v>14629</v>
      </c>
    </row>
    <row r="1183" spans="1:18" x14ac:dyDescent="0.25">
      <c r="A1183" s="2" t="s">
        <v>5696</v>
      </c>
      <c r="B1183" s="6">
        <v>46204</v>
      </c>
      <c r="C1183" s="8">
        <v>46223</v>
      </c>
      <c r="D1183" s="2" t="s">
        <v>199</v>
      </c>
      <c r="E1183" s="2" t="s">
        <v>12593</v>
      </c>
      <c r="F1183" s="2" t="s">
        <v>12428</v>
      </c>
      <c r="G1183" s="2" t="s">
        <v>14998</v>
      </c>
      <c r="H1183" s="2" t="s">
        <v>70</v>
      </c>
      <c r="I1183" s="9">
        <v>11702.598784</v>
      </c>
      <c r="J1183" s="7">
        <v>0.65800000000000003</v>
      </c>
      <c r="K1183" s="9">
        <v>7700.31</v>
      </c>
      <c r="L1183" s="14">
        <v>0</v>
      </c>
      <c r="M1183" s="2" t="s">
        <v>71</v>
      </c>
      <c r="N1183" s="2" t="s">
        <v>13272</v>
      </c>
      <c r="O1183" s="2" t="s">
        <v>14999</v>
      </c>
      <c r="P1183" s="9">
        <v>0</v>
      </c>
      <c r="Q1183" s="9">
        <v>0</v>
      </c>
      <c r="R1183" s="2" t="s">
        <v>14632</v>
      </c>
    </row>
    <row r="1184" spans="1:18" x14ac:dyDescent="0.25">
      <c r="A1184" s="2" t="s">
        <v>5699</v>
      </c>
      <c r="B1184" s="6">
        <v>46204</v>
      </c>
      <c r="C1184" s="8">
        <v>46224</v>
      </c>
      <c r="D1184" s="2" t="s">
        <v>199</v>
      </c>
      <c r="E1184" s="2" t="s">
        <v>12593</v>
      </c>
      <c r="F1184" s="2" t="s">
        <v>12429</v>
      </c>
      <c r="G1184" s="2" t="s">
        <v>15000</v>
      </c>
      <c r="H1184" s="2" t="s">
        <v>39</v>
      </c>
      <c r="I1184" s="9">
        <v>7873.32</v>
      </c>
      <c r="J1184" s="7">
        <v>1</v>
      </c>
      <c r="K1184" s="9">
        <v>7873.32</v>
      </c>
      <c r="L1184" s="14">
        <v>0</v>
      </c>
      <c r="M1184" s="2" t="s">
        <v>71</v>
      </c>
      <c r="N1184" s="2" t="s">
        <v>13272</v>
      </c>
      <c r="O1184" s="2" t="s">
        <v>15001</v>
      </c>
      <c r="P1184" s="9">
        <v>0</v>
      </c>
      <c r="Q1184" s="9">
        <v>0</v>
      </c>
      <c r="R1184" s="2" t="s">
        <v>14635</v>
      </c>
    </row>
    <row r="1185" spans="1:18" x14ac:dyDescent="0.25">
      <c r="A1185" s="2" t="s">
        <v>5702</v>
      </c>
      <c r="B1185" s="6">
        <v>46204</v>
      </c>
      <c r="C1185" s="8">
        <v>46225</v>
      </c>
      <c r="D1185" s="2" t="s">
        <v>199</v>
      </c>
      <c r="E1185" s="2" t="s">
        <v>12593</v>
      </c>
      <c r="F1185" s="2" t="s">
        <v>12430</v>
      </c>
      <c r="G1185" s="2" t="s">
        <v>15002</v>
      </c>
      <c r="H1185" s="2" t="s">
        <v>76</v>
      </c>
      <c r="I1185" s="9">
        <v>129779516.129032</v>
      </c>
      <c r="J1185" s="7">
        <v>6.2000000000000003E-5</v>
      </c>
      <c r="K1185" s="9">
        <v>8046.33</v>
      </c>
      <c r="L1185" s="14">
        <v>0</v>
      </c>
      <c r="M1185" s="2" t="s">
        <v>71</v>
      </c>
      <c r="N1185" s="2" t="s">
        <v>13272</v>
      </c>
      <c r="O1185" s="2" t="s">
        <v>15003</v>
      </c>
      <c r="P1185" s="9">
        <v>0</v>
      </c>
      <c r="Q1185" s="9">
        <v>0</v>
      </c>
      <c r="R1185" s="2" t="s">
        <v>14638</v>
      </c>
    </row>
    <row r="1186" spans="1:18" x14ac:dyDescent="0.25">
      <c r="A1186" s="2" t="s">
        <v>5707</v>
      </c>
      <c r="B1186" s="6">
        <v>46204</v>
      </c>
      <c r="C1186" s="8">
        <v>46226</v>
      </c>
      <c r="D1186" s="2" t="s">
        <v>199</v>
      </c>
      <c r="E1186" s="2" t="s">
        <v>12593</v>
      </c>
      <c r="F1186" s="2" t="s">
        <v>12431</v>
      </c>
      <c r="G1186" s="2" t="s">
        <v>15004</v>
      </c>
      <c r="H1186" s="2" t="s">
        <v>70</v>
      </c>
      <c r="I1186" s="9">
        <v>12491.398176000001</v>
      </c>
      <c r="J1186" s="7">
        <v>0.65800000000000003</v>
      </c>
      <c r="K1186" s="9">
        <v>8219.34</v>
      </c>
      <c r="L1186" s="14">
        <v>0</v>
      </c>
      <c r="M1186" s="2" t="s">
        <v>71</v>
      </c>
      <c r="N1186" s="2" t="s">
        <v>13272</v>
      </c>
      <c r="O1186" s="2" t="s">
        <v>15005</v>
      </c>
      <c r="P1186" s="9">
        <v>0</v>
      </c>
      <c r="Q1186" s="9">
        <v>0</v>
      </c>
      <c r="R1186" s="2" t="s">
        <v>14641</v>
      </c>
    </row>
    <row r="1187" spans="1:18" x14ac:dyDescent="0.25">
      <c r="A1187" s="2" t="s">
        <v>5710</v>
      </c>
      <c r="B1187" s="6">
        <v>46204</v>
      </c>
      <c r="C1187" s="8">
        <v>46227</v>
      </c>
      <c r="D1187" s="2" t="s">
        <v>199</v>
      </c>
      <c r="E1187" s="2" t="s">
        <v>12593</v>
      </c>
      <c r="F1187" s="2" t="s">
        <v>12432</v>
      </c>
      <c r="G1187" s="2" t="s">
        <v>15006</v>
      </c>
      <c r="H1187" s="2" t="s">
        <v>39</v>
      </c>
      <c r="I1187" s="9">
        <v>8392.35</v>
      </c>
      <c r="J1187" s="7">
        <v>1</v>
      </c>
      <c r="K1187" s="9">
        <v>8392.35</v>
      </c>
      <c r="L1187" s="14">
        <v>0</v>
      </c>
      <c r="M1187" s="2" t="s">
        <v>71</v>
      </c>
      <c r="N1187" s="2" t="s">
        <v>13272</v>
      </c>
      <c r="O1187" s="2" t="s">
        <v>15007</v>
      </c>
      <c r="P1187" s="9">
        <v>0</v>
      </c>
      <c r="Q1187" s="9">
        <v>0</v>
      </c>
      <c r="R1187" s="2" t="s">
        <v>14644</v>
      </c>
    </row>
    <row r="1188" spans="1:18" x14ac:dyDescent="0.25">
      <c r="A1188" s="2" t="s">
        <v>5713</v>
      </c>
      <c r="B1188" s="6">
        <v>46204</v>
      </c>
      <c r="C1188" s="8">
        <v>46228</v>
      </c>
      <c r="D1188" s="2" t="s">
        <v>199</v>
      </c>
      <c r="E1188" s="2" t="s">
        <v>12593</v>
      </c>
      <c r="F1188" s="2" t="s">
        <v>12423</v>
      </c>
      <c r="G1188" s="2" t="s">
        <v>15008</v>
      </c>
      <c r="H1188" s="2" t="s">
        <v>76</v>
      </c>
      <c r="I1188" s="9">
        <v>138150967.74193501</v>
      </c>
      <c r="J1188" s="7">
        <v>6.2000000000000003E-5</v>
      </c>
      <c r="K1188" s="9">
        <v>8565.36</v>
      </c>
      <c r="L1188" s="14">
        <v>0</v>
      </c>
      <c r="M1188" s="2" t="s">
        <v>71</v>
      </c>
      <c r="N1188" s="2" t="s">
        <v>13272</v>
      </c>
      <c r="O1188" s="2" t="s">
        <v>15009</v>
      </c>
      <c r="P1188" s="9">
        <v>0</v>
      </c>
      <c r="Q1188" s="9">
        <v>0</v>
      </c>
      <c r="R1188" s="2" t="s">
        <v>14647</v>
      </c>
    </row>
    <row r="1189" spans="1:18" x14ac:dyDescent="0.25">
      <c r="A1189" s="2" t="s">
        <v>5716</v>
      </c>
      <c r="B1189" s="6">
        <v>46204</v>
      </c>
      <c r="C1189" s="8">
        <v>46229</v>
      </c>
      <c r="D1189" s="2" t="s">
        <v>199</v>
      </c>
      <c r="E1189" s="2" t="s">
        <v>12593</v>
      </c>
      <c r="F1189" s="2" t="s">
        <v>12424</v>
      </c>
      <c r="G1189" s="2" t="s">
        <v>15010</v>
      </c>
      <c r="H1189" s="2" t="s">
        <v>70</v>
      </c>
      <c r="I1189" s="9">
        <v>13280.197568</v>
      </c>
      <c r="J1189" s="7">
        <v>0.65800000000000003</v>
      </c>
      <c r="K1189" s="9">
        <v>8738.3700000000008</v>
      </c>
      <c r="L1189" s="14">
        <v>0</v>
      </c>
      <c r="M1189" s="2" t="s">
        <v>71</v>
      </c>
      <c r="N1189" s="2" t="s">
        <v>13272</v>
      </c>
      <c r="O1189" s="2" t="s">
        <v>15011</v>
      </c>
      <c r="P1189" s="9">
        <v>0</v>
      </c>
      <c r="Q1189" s="9">
        <v>0</v>
      </c>
      <c r="R1189" s="2" t="s">
        <v>14650</v>
      </c>
    </row>
    <row r="1190" spans="1:18" x14ac:dyDescent="0.25">
      <c r="A1190" s="2" t="s">
        <v>5719</v>
      </c>
      <c r="B1190" s="6">
        <v>46204</v>
      </c>
      <c r="C1190" s="8">
        <v>46230</v>
      </c>
      <c r="D1190" s="2" t="s">
        <v>199</v>
      </c>
      <c r="E1190" s="2" t="s">
        <v>12593</v>
      </c>
      <c r="F1190" s="2" t="s">
        <v>12425</v>
      </c>
      <c r="G1190" s="2" t="s">
        <v>15012</v>
      </c>
      <c r="H1190" s="2" t="s">
        <v>39</v>
      </c>
      <c r="I1190" s="9">
        <v>8911.3799999999992</v>
      </c>
      <c r="J1190" s="7">
        <v>1</v>
      </c>
      <c r="K1190" s="9">
        <v>8911.3799999999992</v>
      </c>
      <c r="L1190" s="14">
        <v>0</v>
      </c>
      <c r="M1190" s="2" t="s">
        <v>71</v>
      </c>
      <c r="N1190" s="2" t="s">
        <v>13272</v>
      </c>
      <c r="O1190" s="2" t="s">
        <v>15013</v>
      </c>
      <c r="P1190" s="9">
        <v>0</v>
      </c>
      <c r="Q1190" s="9">
        <v>0</v>
      </c>
      <c r="R1190" s="2" t="s">
        <v>14653</v>
      </c>
    </row>
    <row r="1191" spans="1:18" x14ac:dyDescent="0.25">
      <c r="A1191" s="2" t="s">
        <v>5722</v>
      </c>
      <c r="B1191" s="6">
        <v>46204</v>
      </c>
      <c r="C1191" s="8">
        <v>46231</v>
      </c>
      <c r="D1191" s="2" t="s">
        <v>199</v>
      </c>
      <c r="E1191" s="2" t="s">
        <v>12593</v>
      </c>
      <c r="F1191" s="2" t="s">
        <v>12426</v>
      </c>
      <c r="G1191" s="2" t="s">
        <v>15014</v>
      </c>
      <c r="H1191" s="2" t="s">
        <v>76</v>
      </c>
      <c r="I1191" s="9">
        <v>146522419.354839</v>
      </c>
      <c r="J1191" s="7">
        <v>6.2000000000000003E-5</v>
      </c>
      <c r="K1191" s="9">
        <v>9084.39</v>
      </c>
      <c r="L1191" s="14">
        <v>0</v>
      </c>
      <c r="M1191" s="2" t="s">
        <v>71</v>
      </c>
      <c r="N1191" s="2" t="s">
        <v>13272</v>
      </c>
      <c r="O1191" s="2" t="s">
        <v>15015</v>
      </c>
      <c r="P1191" s="9">
        <v>0</v>
      </c>
      <c r="Q1191" s="9">
        <v>0</v>
      </c>
      <c r="R1191" s="2" t="s">
        <v>14626</v>
      </c>
    </row>
    <row r="1192" spans="1:18" x14ac:dyDescent="0.25">
      <c r="A1192" s="2" t="s">
        <v>5727</v>
      </c>
      <c r="B1192" s="6">
        <v>46204</v>
      </c>
      <c r="C1192" s="8">
        <v>46232</v>
      </c>
      <c r="D1192" s="2" t="s">
        <v>199</v>
      </c>
      <c r="E1192" s="2" t="s">
        <v>12593</v>
      </c>
      <c r="F1192" s="2" t="s">
        <v>12427</v>
      </c>
      <c r="G1192" s="2" t="s">
        <v>15016</v>
      </c>
      <c r="H1192" s="2" t="s">
        <v>70</v>
      </c>
      <c r="I1192" s="9">
        <v>14068.99696</v>
      </c>
      <c r="J1192" s="7">
        <v>0.65800000000000003</v>
      </c>
      <c r="K1192" s="9">
        <v>9257.4</v>
      </c>
      <c r="L1192" s="14">
        <v>0</v>
      </c>
      <c r="M1192" s="2" t="s">
        <v>71</v>
      </c>
      <c r="N1192" s="2" t="s">
        <v>13272</v>
      </c>
      <c r="O1192" s="2" t="s">
        <v>15017</v>
      </c>
      <c r="P1192" s="9">
        <v>0</v>
      </c>
      <c r="Q1192" s="9">
        <v>0</v>
      </c>
      <c r="R1192" s="2" t="s">
        <v>14629</v>
      </c>
    </row>
    <row r="1193" spans="1:18" x14ac:dyDescent="0.25">
      <c r="A1193" s="2" t="s">
        <v>5732</v>
      </c>
      <c r="B1193" s="6">
        <v>46204</v>
      </c>
      <c r="C1193" s="8">
        <v>46233</v>
      </c>
      <c r="D1193" s="2" t="s">
        <v>199</v>
      </c>
      <c r="E1193" s="2" t="s">
        <v>12593</v>
      </c>
      <c r="F1193" s="2" t="s">
        <v>12428</v>
      </c>
      <c r="G1193" s="2" t="s">
        <v>15018</v>
      </c>
      <c r="H1193" s="2" t="s">
        <v>39</v>
      </c>
      <c r="I1193" s="9">
        <v>9430.41</v>
      </c>
      <c r="J1193" s="7">
        <v>1</v>
      </c>
      <c r="K1193" s="9">
        <v>9430.41</v>
      </c>
      <c r="L1193" s="14">
        <v>0</v>
      </c>
      <c r="M1193" s="2" t="s">
        <v>71</v>
      </c>
      <c r="N1193" s="2" t="s">
        <v>13272</v>
      </c>
      <c r="O1193" s="2" t="s">
        <v>15019</v>
      </c>
      <c r="P1193" s="9">
        <v>0</v>
      </c>
      <c r="Q1193" s="9">
        <v>0</v>
      </c>
      <c r="R1193" s="2" t="s">
        <v>14632</v>
      </c>
    </row>
    <row r="1194" spans="1:18" x14ac:dyDescent="0.25">
      <c r="A1194" s="2" t="s">
        <v>5735</v>
      </c>
      <c r="B1194" s="6">
        <v>46204</v>
      </c>
      <c r="C1194" s="8">
        <v>46234</v>
      </c>
      <c r="D1194" s="2" t="s">
        <v>199</v>
      </c>
      <c r="E1194" s="2" t="s">
        <v>12593</v>
      </c>
      <c r="F1194" s="2" t="s">
        <v>12429</v>
      </c>
      <c r="G1194" s="2" t="s">
        <v>15020</v>
      </c>
      <c r="H1194" s="2" t="s">
        <v>76</v>
      </c>
      <c r="I1194" s="9">
        <v>154893870.967742</v>
      </c>
      <c r="J1194" s="7">
        <v>6.2000000000000003E-5</v>
      </c>
      <c r="K1194" s="9">
        <v>9603.42</v>
      </c>
      <c r="L1194" s="14">
        <v>0</v>
      </c>
      <c r="M1194" s="2" t="s">
        <v>71</v>
      </c>
      <c r="N1194" s="2" t="s">
        <v>13272</v>
      </c>
      <c r="O1194" s="2" t="s">
        <v>15021</v>
      </c>
      <c r="P1194" s="9">
        <v>0</v>
      </c>
      <c r="Q1194" s="9">
        <v>0</v>
      </c>
      <c r="R1194" s="2" t="s">
        <v>14635</v>
      </c>
    </row>
    <row r="1195" spans="1:18" x14ac:dyDescent="0.25">
      <c r="A1195" s="2" t="s">
        <v>5738</v>
      </c>
      <c r="B1195" s="6">
        <v>46204</v>
      </c>
      <c r="C1195" s="8">
        <v>46204</v>
      </c>
      <c r="D1195" s="2" t="s">
        <v>199</v>
      </c>
      <c r="E1195" s="2" t="s">
        <v>12593</v>
      </c>
      <c r="F1195" s="2" t="s">
        <v>12430</v>
      </c>
      <c r="G1195" s="2" t="s">
        <v>15022</v>
      </c>
      <c r="H1195" s="2" t="s">
        <v>70</v>
      </c>
      <c r="I1195" s="9">
        <v>14857.796353</v>
      </c>
      <c r="J1195" s="7">
        <v>0.65800000000000003</v>
      </c>
      <c r="K1195" s="9">
        <v>9776.43</v>
      </c>
      <c r="L1195" s="14">
        <v>0</v>
      </c>
      <c r="M1195" s="2" t="s">
        <v>71</v>
      </c>
      <c r="N1195" s="2" t="s">
        <v>13272</v>
      </c>
      <c r="O1195" s="2" t="s">
        <v>15023</v>
      </c>
      <c r="P1195" s="9">
        <v>0</v>
      </c>
      <c r="Q1195" s="9">
        <v>0</v>
      </c>
      <c r="R1195" s="2" t="s">
        <v>14638</v>
      </c>
    </row>
    <row r="1196" spans="1:18" x14ac:dyDescent="0.25">
      <c r="A1196" s="2" t="s">
        <v>5743</v>
      </c>
      <c r="B1196" s="6">
        <v>46204</v>
      </c>
      <c r="C1196" s="8">
        <v>46205</v>
      </c>
      <c r="D1196" s="2" t="s">
        <v>199</v>
      </c>
      <c r="E1196" s="2" t="s">
        <v>12593</v>
      </c>
      <c r="F1196" s="2" t="s">
        <v>12431</v>
      </c>
      <c r="G1196" s="2" t="s">
        <v>15024</v>
      </c>
      <c r="H1196" s="2" t="s">
        <v>39</v>
      </c>
      <c r="I1196" s="9">
        <v>9949.44</v>
      </c>
      <c r="J1196" s="7">
        <v>1</v>
      </c>
      <c r="K1196" s="9">
        <v>9949.44</v>
      </c>
      <c r="L1196" s="14">
        <v>0</v>
      </c>
      <c r="M1196" s="2" t="s">
        <v>71</v>
      </c>
      <c r="N1196" s="2" t="s">
        <v>13272</v>
      </c>
      <c r="O1196" s="2" t="s">
        <v>15025</v>
      </c>
      <c r="P1196" s="9">
        <v>0</v>
      </c>
      <c r="Q1196" s="9">
        <v>0</v>
      </c>
      <c r="R1196" s="2" t="s">
        <v>14641</v>
      </c>
    </row>
    <row r="1197" spans="1:18" x14ac:dyDescent="0.25">
      <c r="A1197" s="2" t="s">
        <v>5746</v>
      </c>
      <c r="B1197" s="6">
        <v>46204</v>
      </c>
      <c r="C1197" s="8">
        <v>46206</v>
      </c>
      <c r="D1197" s="2" t="s">
        <v>199</v>
      </c>
      <c r="E1197" s="2" t="s">
        <v>12593</v>
      </c>
      <c r="F1197" s="2" t="s">
        <v>12432</v>
      </c>
      <c r="G1197" s="2" t="s">
        <v>15026</v>
      </c>
      <c r="H1197" s="2" t="s">
        <v>76</v>
      </c>
      <c r="I1197" s="9">
        <v>163265322.58064499</v>
      </c>
      <c r="J1197" s="7">
        <v>6.2000000000000003E-5</v>
      </c>
      <c r="K1197" s="9">
        <v>10122.450000000001</v>
      </c>
      <c r="L1197" s="14">
        <v>0</v>
      </c>
      <c r="M1197" s="2" t="s">
        <v>71</v>
      </c>
      <c r="N1197" s="2" t="s">
        <v>13272</v>
      </c>
      <c r="O1197" s="2" t="s">
        <v>15027</v>
      </c>
      <c r="P1197" s="9">
        <v>0</v>
      </c>
      <c r="Q1197" s="9">
        <v>0</v>
      </c>
      <c r="R1197" s="2" t="s">
        <v>14644</v>
      </c>
    </row>
    <row r="1198" spans="1:18" x14ac:dyDescent="0.25">
      <c r="A1198" s="2" t="s">
        <v>5749</v>
      </c>
      <c r="B1198" s="6">
        <v>46204</v>
      </c>
      <c r="C1198" s="8">
        <v>46207</v>
      </c>
      <c r="D1198" s="2" t="s">
        <v>199</v>
      </c>
      <c r="E1198" s="2" t="s">
        <v>12593</v>
      </c>
      <c r="F1198" s="2" t="s">
        <v>12423</v>
      </c>
      <c r="G1198" s="2" t="s">
        <v>15028</v>
      </c>
      <c r="H1198" s="2" t="s">
        <v>70</v>
      </c>
      <c r="I1198" s="9">
        <v>15646.595745000001</v>
      </c>
      <c r="J1198" s="7">
        <v>0.65800000000000003</v>
      </c>
      <c r="K1198" s="9">
        <v>10295.459999999999</v>
      </c>
      <c r="L1198" s="14">
        <v>0</v>
      </c>
      <c r="M1198" s="2" t="s">
        <v>71</v>
      </c>
      <c r="N1198" s="2" t="s">
        <v>13272</v>
      </c>
      <c r="O1198" s="2" t="s">
        <v>15029</v>
      </c>
      <c r="P1198" s="9">
        <v>0</v>
      </c>
      <c r="Q1198" s="9">
        <v>0</v>
      </c>
      <c r="R1198" s="2" t="s">
        <v>14647</v>
      </c>
    </row>
    <row r="1199" spans="1:18" x14ac:dyDescent="0.25">
      <c r="A1199" s="2" t="s">
        <v>5752</v>
      </c>
      <c r="B1199" s="6">
        <v>46204</v>
      </c>
      <c r="C1199" s="8">
        <v>46208</v>
      </c>
      <c r="D1199" s="2" t="s">
        <v>199</v>
      </c>
      <c r="E1199" s="2" t="s">
        <v>12593</v>
      </c>
      <c r="F1199" s="2" t="s">
        <v>12424</v>
      </c>
      <c r="G1199" s="2" t="s">
        <v>15030</v>
      </c>
      <c r="H1199" s="2" t="s">
        <v>39</v>
      </c>
      <c r="I1199" s="9">
        <v>10468.469999999999</v>
      </c>
      <c r="J1199" s="7">
        <v>1</v>
      </c>
      <c r="K1199" s="9">
        <v>10468.469999999999</v>
      </c>
      <c r="L1199" s="14">
        <v>0</v>
      </c>
      <c r="M1199" s="2" t="s">
        <v>71</v>
      </c>
      <c r="N1199" s="2" t="s">
        <v>13272</v>
      </c>
      <c r="O1199" s="2" t="s">
        <v>15031</v>
      </c>
      <c r="P1199" s="9">
        <v>0</v>
      </c>
      <c r="Q1199" s="9">
        <v>0</v>
      </c>
      <c r="R1199" s="2" t="s">
        <v>14650</v>
      </c>
    </row>
    <row r="1200" spans="1:18" x14ac:dyDescent="0.25">
      <c r="A1200" s="2" t="s">
        <v>5755</v>
      </c>
      <c r="B1200" s="6">
        <v>46204</v>
      </c>
      <c r="C1200" s="8">
        <v>46209</v>
      </c>
      <c r="D1200" s="2" t="s">
        <v>199</v>
      </c>
      <c r="E1200" s="2" t="s">
        <v>12593</v>
      </c>
      <c r="F1200" s="2" t="s">
        <v>12425</v>
      </c>
      <c r="G1200" s="2" t="s">
        <v>15032</v>
      </c>
      <c r="H1200" s="2" t="s">
        <v>76</v>
      </c>
      <c r="I1200" s="9">
        <v>-171636774.19354799</v>
      </c>
      <c r="J1200" s="7">
        <v>6.2000000000000003E-5</v>
      </c>
      <c r="K1200" s="9">
        <v>-10641.48</v>
      </c>
      <c r="L1200" s="14">
        <v>0</v>
      </c>
      <c r="M1200" s="2" t="s">
        <v>71</v>
      </c>
      <c r="N1200" s="2" t="s">
        <v>13272</v>
      </c>
      <c r="O1200" s="2" t="s">
        <v>15033</v>
      </c>
      <c r="P1200" s="9">
        <v>0</v>
      </c>
      <c r="Q1200" s="9">
        <v>0</v>
      </c>
      <c r="R1200" s="2" t="s">
        <v>14653</v>
      </c>
    </row>
    <row r="1201" spans="1:18" x14ac:dyDescent="0.25">
      <c r="A1201" s="2" t="s">
        <v>5758</v>
      </c>
      <c r="B1201" s="6">
        <v>46204</v>
      </c>
      <c r="C1201" s="8">
        <v>46210</v>
      </c>
      <c r="D1201" s="2" t="s">
        <v>199</v>
      </c>
      <c r="E1201" s="2" t="s">
        <v>12593</v>
      </c>
      <c r="F1201" s="2" t="s">
        <v>12426</v>
      </c>
      <c r="G1201" s="2" t="s">
        <v>15034</v>
      </c>
      <c r="H1201" s="2" t="s">
        <v>70</v>
      </c>
      <c r="I1201" s="9">
        <v>16435.395137</v>
      </c>
      <c r="J1201" s="7">
        <v>0.65800000000000003</v>
      </c>
      <c r="K1201" s="9">
        <v>10814.49</v>
      </c>
      <c r="L1201" s="14">
        <v>0</v>
      </c>
      <c r="M1201" s="2" t="s">
        <v>71</v>
      </c>
      <c r="N1201" s="2" t="s">
        <v>13272</v>
      </c>
      <c r="O1201" s="2" t="s">
        <v>15035</v>
      </c>
      <c r="P1201" s="9">
        <v>0</v>
      </c>
      <c r="Q1201" s="9">
        <v>0</v>
      </c>
      <c r="R1201" s="2" t="s">
        <v>14626</v>
      </c>
    </row>
    <row r="1202" spans="1:18" x14ac:dyDescent="0.25">
      <c r="A1202" s="2" t="s">
        <v>5763</v>
      </c>
      <c r="B1202" s="6">
        <v>46204</v>
      </c>
      <c r="C1202" s="8">
        <v>46211</v>
      </c>
      <c r="D1202" s="2" t="s">
        <v>199</v>
      </c>
      <c r="E1202" s="2" t="s">
        <v>12593</v>
      </c>
      <c r="F1202" s="2" t="s">
        <v>12427</v>
      </c>
      <c r="G1202" s="2" t="s">
        <v>15036</v>
      </c>
      <c r="H1202" s="2" t="s">
        <v>39</v>
      </c>
      <c r="I1202" s="9">
        <v>10987.5</v>
      </c>
      <c r="J1202" s="7">
        <v>1</v>
      </c>
      <c r="K1202" s="9">
        <v>10987.5</v>
      </c>
      <c r="L1202" s="14">
        <v>0</v>
      </c>
      <c r="M1202" s="2" t="s">
        <v>71</v>
      </c>
      <c r="N1202" s="2" t="s">
        <v>13272</v>
      </c>
      <c r="O1202" s="2" t="s">
        <v>15037</v>
      </c>
      <c r="P1202" s="9">
        <v>0</v>
      </c>
      <c r="Q1202" s="9">
        <v>0</v>
      </c>
      <c r="R1202" s="2" t="s">
        <v>14629</v>
      </c>
    </row>
    <row r="1203" spans="1:18" x14ac:dyDescent="0.25">
      <c r="A1203" s="2" t="s">
        <v>5768</v>
      </c>
      <c r="B1203" s="6">
        <v>46204</v>
      </c>
      <c r="C1203" s="8">
        <v>46212</v>
      </c>
      <c r="D1203" s="2" t="s">
        <v>199</v>
      </c>
      <c r="E1203" s="2" t="s">
        <v>12593</v>
      </c>
      <c r="F1203" s="2" t="s">
        <v>12428</v>
      </c>
      <c r="G1203" s="2" t="s">
        <v>15038</v>
      </c>
      <c r="H1203" s="2" t="s">
        <v>76</v>
      </c>
      <c r="I1203" s="9">
        <v>180008225.80645201</v>
      </c>
      <c r="J1203" s="7">
        <v>6.2000000000000003E-5</v>
      </c>
      <c r="K1203" s="9">
        <v>11160.51</v>
      </c>
      <c r="L1203" s="14">
        <v>0</v>
      </c>
      <c r="M1203" s="2" t="s">
        <v>71</v>
      </c>
      <c r="N1203" s="2" t="s">
        <v>13272</v>
      </c>
      <c r="O1203" s="2" t="s">
        <v>15039</v>
      </c>
      <c r="P1203" s="9">
        <v>0</v>
      </c>
      <c r="Q1203" s="9">
        <v>0</v>
      </c>
      <c r="R1203" s="2" t="s">
        <v>14632</v>
      </c>
    </row>
    <row r="1204" spans="1:18" x14ac:dyDescent="0.25">
      <c r="A1204" s="2" t="s">
        <v>5771</v>
      </c>
      <c r="B1204" s="6">
        <v>46204</v>
      </c>
      <c r="C1204" s="8">
        <v>46213</v>
      </c>
      <c r="D1204" s="2" t="s">
        <v>199</v>
      </c>
      <c r="E1204" s="2" t="s">
        <v>12593</v>
      </c>
      <c r="F1204" s="2" t="s">
        <v>12429</v>
      </c>
      <c r="G1204" s="2" t="s">
        <v>15040</v>
      </c>
      <c r="H1204" s="2" t="s">
        <v>70</v>
      </c>
      <c r="I1204" s="9">
        <v>17224.194529</v>
      </c>
      <c r="J1204" s="7">
        <v>0.65800000000000003</v>
      </c>
      <c r="K1204" s="9">
        <v>11333.52</v>
      </c>
      <c r="L1204" s="14">
        <v>0</v>
      </c>
      <c r="M1204" s="2" t="s">
        <v>71</v>
      </c>
      <c r="N1204" s="2" t="s">
        <v>13272</v>
      </c>
      <c r="O1204" s="2" t="s">
        <v>15041</v>
      </c>
      <c r="P1204" s="9">
        <v>0</v>
      </c>
      <c r="Q1204" s="9">
        <v>0</v>
      </c>
      <c r="R1204" s="2" t="s">
        <v>14635</v>
      </c>
    </row>
    <row r="1205" spans="1:18" x14ac:dyDescent="0.25">
      <c r="A1205" s="2" t="s">
        <v>5774</v>
      </c>
      <c r="B1205" s="6">
        <v>46204</v>
      </c>
      <c r="C1205" s="8">
        <v>46214</v>
      </c>
      <c r="D1205" s="2" t="s">
        <v>199</v>
      </c>
      <c r="E1205" s="2" t="s">
        <v>12593</v>
      </c>
      <c r="F1205" s="2" t="s">
        <v>12430</v>
      </c>
      <c r="G1205" s="2" t="s">
        <v>15042</v>
      </c>
      <c r="H1205" s="2" t="s">
        <v>39</v>
      </c>
      <c r="I1205" s="9">
        <v>11506.53</v>
      </c>
      <c r="J1205" s="7">
        <v>1</v>
      </c>
      <c r="K1205" s="9">
        <v>11506.53</v>
      </c>
      <c r="L1205" s="14">
        <v>0</v>
      </c>
      <c r="M1205" s="2" t="s">
        <v>71</v>
      </c>
      <c r="N1205" s="2" t="s">
        <v>13272</v>
      </c>
      <c r="O1205" s="2" t="s">
        <v>15043</v>
      </c>
      <c r="P1205" s="9">
        <v>0</v>
      </c>
      <c r="Q1205" s="9">
        <v>0</v>
      </c>
      <c r="R1205" s="2" t="s">
        <v>14638</v>
      </c>
    </row>
    <row r="1206" spans="1:18" x14ac:dyDescent="0.25">
      <c r="A1206" s="2" t="s">
        <v>5779</v>
      </c>
      <c r="B1206" s="6">
        <v>46204</v>
      </c>
      <c r="C1206" s="8">
        <v>46215</v>
      </c>
      <c r="D1206" s="2" t="s">
        <v>199</v>
      </c>
      <c r="E1206" s="2" t="s">
        <v>12593</v>
      </c>
      <c r="F1206" s="2" t="s">
        <v>12431</v>
      </c>
      <c r="G1206" s="2" t="s">
        <v>15044</v>
      </c>
      <c r="H1206" s="2" t="s">
        <v>76</v>
      </c>
      <c r="I1206" s="9">
        <v>188379677.41935501</v>
      </c>
      <c r="J1206" s="7">
        <v>6.2000000000000003E-5</v>
      </c>
      <c r="K1206" s="9">
        <v>11679.54</v>
      </c>
      <c r="L1206" s="14">
        <v>0</v>
      </c>
      <c r="M1206" s="2" t="s">
        <v>71</v>
      </c>
      <c r="N1206" s="2" t="s">
        <v>13272</v>
      </c>
      <c r="O1206" s="2" t="s">
        <v>15045</v>
      </c>
      <c r="P1206" s="9">
        <v>0</v>
      </c>
      <c r="Q1206" s="9">
        <v>0</v>
      </c>
      <c r="R1206" s="2" t="s">
        <v>14641</v>
      </c>
    </row>
    <row r="1207" spans="1:18" x14ac:dyDescent="0.25">
      <c r="A1207" s="2" t="s">
        <v>5782</v>
      </c>
      <c r="B1207" s="6">
        <v>46204</v>
      </c>
      <c r="C1207" s="8">
        <v>46216</v>
      </c>
      <c r="D1207" s="2" t="s">
        <v>199</v>
      </c>
      <c r="E1207" s="2" t="s">
        <v>12593</v>
      </c>
      <c r="F1207" s="2" t="s">
        <v>12432</v>
      </c>
      <c r="G1207" s="2" t="s">
        <v>15046</v>
      </c>
      <c r="H1207" s="2" t="s">
        <v>70</v>
      </c>
      <c r="I1207" s="9">
        <v>18012.993921000001</v>
      </c>
      <c r="J1207" s="7">
        <v>0.65800000000000003</v>
      </c>
      <c r="K1207" s="9">
        <v>11852.55</v>
      </c>
      <c r="L1207" s="14">
        <v>0</v>
      </c>
      <c r="M1207" s="2" t="s">
        <v>71</v>
      </c>
      <c r="N1207" s="2" t="s">
        <v>13272</v>
      </c>
      <c r="O1207" s="2" t="s">
        <v>15047</v>
      </c>
      <c r="P1207" s="9">
        <v>0</v>
      </c>
      <c r="Q1207" s="9">
        <v>0</v>
      </c>
      <c r="R1207" s="2" t="s">
        <v>14644</v>
      </c>
    </row>
    <row r="1208" spans="1:18" x14ac:dyDescent="0.25">
      <c r="A1208" s="2" t="s">
        <v>5785</v>
      </c>
      <c r="B1208" s="6">
        <v>46204</v>
      </c>
      <c r="C1208" s="8">
        <v>46217</v>
      </c>
      <c r="D1208" s="2" t="s">
        <v>199</v>
      </c>
      <c r="E1208" s="2" t="s">
        <v>12593</v>
      </c>
      <c r="F1208" s="2" t="s">
        <v>12423</v>
      </c>
      <c r="G1208" s="2" t="s">
        <v>15048</v>
      </c>
      <c r="H1208" s="2" t="s">
        <v>39</v>
      </c>
      <c r="I1208" s="9">
        <v>12025.56</v>
      </c>
      <c r="J1208" s="7">
        <v>1</v>
      </c>
      <c r="K1208" s="9">
        <v>12025.56</v>
      </c>
      <c r="L1208" s="14">
        <v>0</v>
      </c>
      <c r="M1208" s="2" t="s">
        <v>71</v>
      </c>
      <c r="N1208" s="2" t="s">
        <v>13272</v>
      </c>
      <c r="O1208" s="2" t="s">
        <v>15049</v>
      </c>
      <c r="P1208" s="9">
        <v>0</v>
      </c>
      <c r="Q1208" s="9">
        <v>0</v>
      </c>
      <c r="R1208" s="2" t="s">
        <v>14647</v>
      </c>
    </row>
    <row r="1209" spans="1:18" x14ac:dyDescent="0.25">
      <c r="A1209" s="2" t="s">
        <v>5788</v>
      </c>
      <c r="B1209" s="6">
        <v>46204</v>
      </c>
      <c r="C1209" s="8">
        <v>46218</v>
      </c>
      <c r="D1209" s="2" t="s">
        <v>199</v>
      </c>
      <c r="E1209" s="2" t="s">
        <v>12593</v>
      </c>
      <c r="F1209" s="2" t="s">
        <v>12424</v>
      </c>
      <c r="G1209" s="2" t="s">
        <v>15050</v>
      </c>
      <c r="H1209" s="2" t="s">
        <v>76</v>
      </c>
      <c r="I1209" s="9">
        <v>196751129.032258</v>
      </c>
      <c r="J1209" s="7">
        <v>6.2000000000000003E-5</v>
      </c>
      <c r="K1209" s="9">
        <v>12198.57</v>
      </c>
      <c r="L1209" s="14">
        <v>0</v>
      </c>
      <c r="M1209" s="2" t="s">
        <v>71</v>
      </c>
      <c r="N1209" s="2" t="s">
        <v>13272</v>
      </c>
      <c r="O1209" s="2" t="s">
        <v>15051</v>
      </c>
      <c r="P1209" s="9">
        <v>0</v>
      </c>
      <c r="Q1209" s="9">
        <v>0</v>
      </c>
      <c r="R1209" s="2" t="s">
        <v>14650</v>
      </c>
    </row>
    <row r="1210" spans="1:18" x14ac:dyDescent="0.25">
      <c r="A1210" s="2" t="s">
        <v>5791</v>
      </c>
      <c r="B1210" s="6">
        <v>46204</v>
      </c>
      <c r="C1210" s="8">
        <v>46219</v>
      </c>
      <c r="D1210" s="2" t="s">
        <v>199</v>
      </c>
      <c r="E1210" s="2" t="s">
        <v>12593</v>
      </c>
      <c r="F1210" s="2" t="s">
        <v>12425</v>
      </c>
      <c r="G1210" s="2" t="s">
        <v>15052</v>
      </c>
      <c r="H1210" s="2" t="s">
        <v>70</v>
      </c>
      <c r="I1210" s="9">
        <v>18801.793312999998</v>
      </c>
      <c r="J1210" s="7">
        <v>0.65800000000000003</v>
      </c>
      <c r="K1210" s="9">
        <v>12371.58</v>
      </c>
      <c r="L1210" s="14">
        <v>0</v>
      </c>
      <c r="M1210" s="2" t="s">
        <v>71</v>
      </c>
      <c r="N1210" s="2" t="s">
        <v>13272</v>
      </c>
      <c r="O1210" s="2" t="s">
        <v>15053</v>
      </c>
      <c r="P1210" s="9">
        <v>0</v>
      </c>
      <c r="Q1210" s="9">
        <v>0</v>
      </c>
      <c r="R1210" s="2" t="s">
        <v>14653</v>
      </c>
    </row>
    <row r="1211" spans="1:18" x14ac:dyDescent="0.25">
      <c r="A1211" s="2" t="s">
        <v>5794</v>
      </c>
      <c r="B1211" s="6">
        <v>46204</v>
      </c>
      <c r="C1211" s="8">
        <v>46220</v>
      </c>
      <c r="D1211" s="2" t="s">
        <v>199</v>
      </c>
      <c r="E1211" s="2" t="s">
        <v>12593</v>
      </c>
      <c r="F1211" s="2" t="s">
        <v>12426</v>
      </c>
      <c r="G1211" s="2" t="s">
        <v>15054</v>
      </c>
      <c r="H1211" s="2" t="s">
        <v>39</v>
      </c>
      <c r="I1211" s="9">
        <v>12544.59</v>
      </c>
      <c r="J1211" s="7">
        <v>1</v>
      </c>
      <c r="K1211" s="9">
        <v>12544.59</v>
      </c>
      <c r="L1211" s="14">
        <v>0</v>
      </c>
      <c r="M1211" s="2" t="s">
        <v>71</v>
      </c>
      <c r="N1211" s="2" t="s">
        <v>13272</v>
      </c>
      <c r="O1211" s="2" t="s">
        <v>15055</v>
      </c>
      <c r="P1211" s="9">
        <v>0</v>
      </c>
      <c r="Q1211" s="9">
        <v>0</v>
      </c>
      <c r="R1211" s="2" t="s">
        <v>14626</v>
      </c>
    </row>
    <row r="1212" spans="1:18" x14ac:dyDescent="0.25">
      <c r="A1212" s="2" t="s">
        <v>5799</v>
      </c>
      <c r="B1212" s="6">
        <v>46204</v>
      </c>
      <c r="C1212" s="8">
        <v>46221</v>
      </c>
      <c r="D1212" s="2" t="s">
        <v>199</v>
      </c>
      <c r="E1212" s="2" t="s">
        <v>12593</v>
      </c>
      <c r="F1212" s="2" t="s">
        <v>12427</v>
      </c>
      <c r="G1212" s="2" t="s">
        <v>15056</v>
      </c>
      <c r="H1212" s="2" t="s">
        <v>76</v>
      </c>
      <c r="I1212" s="9">
        <v>205122580.645161</v>
      </c>
      <c r="J1212" s="7">
        <v>6.2000000000000003E-5</v>
      </c>
      <c r="K1212" s="9">
        <v>12717.6</v>
      </c>
      <c r="L1212" s="14">
        <v>0</v>
      </c>
      <c r="M1212" s="2" t="s">
        <v>71</v>
      </c>
      <c r="N1212" s="2" t="s">
        <v>13272</v>
      </c>
      <c r="O1212" s="2" t="s">
        <v>15057</v>
      </c>
      <c r="P1212" s="9">
        <v>0</v>
      </c>
      <c r="Q1212" s="9">
        <v>0</v>
      </c>
      <c r="R1212" s="2" t="s">
        <v>14629</v>
      </c>
    </row>
    <row r="1213" spans="1:18" x14ac:dyDescent="0.25">
      <c r="A1213" s="2" t="s">
        <v>5804</v>
      </c>
      <c r="B1213" s="6">
        <v>46204</v>
      </c>
      <c r="C1213" s="8">
        <v>46222</v>
      </c>
      <c r="D1213" s="2" t="s">
        <v>199</v>
      </c>
      <c r="E1213" s="2" t="s">
        <v>12593</v>
      </c>
      <c r="F1213" s="2" t="s">
        <v>12428</v>
      </c>
      <c r="G1213" s="2" t="s">
        <v>15058</v>
      </c>
      <c r="H1213" s="2" t="s">
        <v>70</v>
      </c>
      <c r="I1213" s="9">
        <v>19590.592704999999</v>
      </c>
      <c r="J1213" s="7">
        <v>0.65800000000000003</v>
      </c>
      <c r="K1213" s="9">
        <v>12890.61</v>
      </c>
      <c r="L1213" s="14">
        <v>0</v>
      </c>
      <c r="M1213" s="2" t="s">
        <v>71</v>
      </c>
      <c r="N1213" s="2" t="s">
        <v>13272</v>
      </c>
      <c r="O1213" s="2" t="s">
        <v>15059</v>
      </c>
      <c r="P1213" s="9">
        <v>0</v>
      </c>
      <c r="Q1213" s="9">
        <v>0</v>
      </c>
      <c r="R1213" s="2" t="s">
        <v>14632</v>
      </c>
    </row>
    <row r="1214" spans="1:18" x14ac:dyDescent="0.25">
      <c r="A1214" s="2" t="s">
        <v>5807</v>
      </c>
      <c r="B1214" s="6">
        <v>46204</v>
      </c>
      <c r="C1214" s="8">
        <v>46223</v>
      </c>
      <c r="D1214" s="2" t="s">
        <v>199</v>
      </c>
      <c r="E1214" s="2" t="s">
        <v>12593</v>
      </c>
      <c r="F1214" s="2" t="s">
        <v>12429</v>
      </c>
      <c r="G1214" s="2" t="s">
        <v>15060</v>
      </c>
      <c r="H1214" s="2" t="s">
        <v>39</v>
      </c>
      <c r="I1214" s="9">
        <v>13063.62</v>
      </c>
      <c r="J1214" s="7">
        <v>1</v>
      </c>
      <c r="K1214" s="9">
        <v>13063.62</v>
      </c>
      <c r="L1214" s="14">
        <v>0</v>
      </c>
      <c r="M1214" s="2" t="s">
        <v>71</v>
      </c>
      <c r="N1214" s="2" t="s">
        <v>13272</v>
      </c>
      <c r="O1214" s="2" t="s">
        <v>15061</v>
      </c>
      <c r="P1214" s="9">
        <v>0</v>
      </c>
      <c r="Q1214" s="9">
        <v>0</v>
      </c>
      <c r="R1214" s="2" t="s">
        <v>14635</v>
      </c>
    </row>
    <row r="1215" spans="1:18" x14ac:dyDescent="0.25">
      <c r="A1215" s="2" t="s">
        <v>5810</v>
      </c>
      <c r="B1215" s="6">
        <v>46204</v>
      </c>
      <c r="C1215" s="8">
        <v>46224</v>
      </c>
      <c r="D1215" s="2" t="s">
        <v>199</v>
      </c>
      <c r="E1215" s="2" t="s">
        <v>12593</v>
      </c>
      <c r="F1215" s="2" t="s">
        <v>12430</v>
      </c>
      <c r="G1215" s="2" t="s">
        <v>15062</v>
      </c>
      <c r="H1215" s="2" t="s">
        <v>76</v>
      </c>
      <c r="I1215" s="9">
        <v>213494032.25806499</v>
      </c>
      <c r="J1215" s="7">
        <v>6.2000000000000003E-5</v>
      </c>
      <c r="K1215" s="9">
        <v>13236.63</v>
      </c>
      <c r="L1215" s="14">
        <v>0</v>
      </c>
      <c r="M1215" s="2" t="s">
        <v>71</v>
      </c>
      <c r="N1215" s="2" t="s">
        <v>13272</v>
      </c>
      <c r="O1215" s="2" t="s">
        <v>15063</v>
      </c>
      <c r="P1215" s="9">
        <v>0</v>
      </c>
      <c r="Q1215" s="9">
        <v>0</v>
      </c>
      <c r="R1215" s="2" t="s">
        <v>14638</v>
      </c>
    </row>
    <row r="1216" spans="1:18" x14ac:dyDescent="0.25">
      <c r="A1216" s="2" t="s">
        <v>5815</v>
      </c>
      <c r="B1216" s="6">
        <v>46204</v>
      </c>
      <c r="C1216" s="8">
        <v>46225</v>
      </c>
      <c r="D1216" s="2" t="s">
        <v>199</v>
      </c>
      <c r="E1216" s="2" t="s">
        <v>12593</v>
      </c>
      <c r="F1216" s="2" t="s">
        <v>12431</v>
      </c>
      <c r="G1216" s="2" t="s">
        <v>15064</v>
      </c>
      <c r="H1216" s="2" t="s">
        <v>70</v>
      </c>
      <c r="I1216" s="9">
        <v>20379.392097</v>
      </c>
      <c r="J1216" s="7">
        <v>0.65800000000000003</v>
      </c>
      <c r="K1216" s="9">
        <v>13409.64</v>
      </c>
      <c r="L1216" s="14">
        <v>0</v>
      </c>
      <c r="M1216" s="2" t="s">
        <v>71</v>
      </c>
      <c r="N1216" s="2" t="s">
        <v>13272</v>
      </c>
      <c r="O1216" s="2" t="s">
        <v>15065</v>
      </c>
      <c r="P1216" s="9">
        <v>0</v>
      </c>
      <c r="Q1216" s="9">
        <v>0</v>
      </c>
      <c r="R1216" s="2" t="s">
        <v>14641</v>
      </c>
    </row>
    <row r="1217" spans="1:18" x14ac:dyDescent="0.25">
      <c r="A1217" s="2" t="s">
        <v>5818</v>
      </c>
      <c r="B1217" s="6">
        <v>46204</v>
      </c>
      <c r="C1217" s="8">
        <v>46226</v>
      </c>
      <c r="D1217" s="2" t="s">
        <v>199</v>
      </c>
      <c r="E1217" s="2" t="s">
        <v>12593</v>
      </c>
      <c r="F1217" s="2" t="s">
        <v>12432</v>
      </c>
      <c r="G1217" s="2" t="s">
        <v>15066</v>
      </c>
      <c r="H1217" s="2" t="s">
        <v>39</v>
      </c>
      <c r="I1217" s="9">
        <v>13582.65</v>
      </c>
      <c r="J1217" s="7">
        <v>1</v>
      </c>
      <c r="K1217" s="9">
        <v>13582.65</v>
      </c>
      <c r="L1217" s="14">
        <v>0</v>
      </c>
      <c r="M1217" s="2" t="s">
        <v>71</v>
      </c>
      <c r="N1217" s="2" t="s">
        <v>13272</v>
      </c>
      <c r="O1217" s="2" t="s">
        <v>15067</v>
      </c>
      <c r="P1217" s="9">
        <v>0</v>
      </c>
      <c r="Q1217" s="9">
        <v>0</v>
      </c>
      <c r="R1217" s="2" t="s">
        <v>14644</v>
      </c>
    </row>
    <row r="1218" spans="1:18" x14ac:dyDescent="0.25">
      <c r="A1218" s="2" t="s">
        <v>5821</v>
      </c>
      <c r="B1218" s="6">
        <v>46204</v>
      </c>
      <c r="C1218" s="8">
        <v>46227</v>
      </c>
      <c r="D1218" s="2" t="s">
        <v>199</v>
      </c>
      <c r="E1218" s="2" t="s">
        <v>12593</v>
      </c>
      <c r="F1218" s="2" t="s">
        <v>12423</v>
      </c>
      <c r="G1218" s="2" t="s">
        <v>15068</v>
      </c>
      <c r="H1218" s="2" t="s">
        <v>76</v>
      </c>
      <c r="I1218" s="9">
        <v>221865483.87096801</v>
      </c>
      <c r="J1218" s="7">
        <v>6.2000000000000003E-5</v>
      </c>
      <c r="K1218" s="9">
        <v>13755.66</v>
      </c>
      <c r="L1218" s="14">
        <v>0</v>
      </c>
      <c r="M1218" s="2" t="s">
        <v>71</v>
      </c>
      <c r="N1218" s="2" t="s">
        <v>13272</v>
      </c>
      <c r="O1218" s="2" t="s">
        <v>15069</v>
      </c>
      <c r="P1218" s="9">
        <v>0</v>
      </c>
      <c r="Q1218" s="9">
        <v>0</v>
      </c>
      <c r="R1218" s="2" t="s">
        <v>14647</v>
      </c>
    </row>
    <row r="1219" spans="1:18" x14ac:dyDescent="0.25">
      <c r="A1219" s="2" t="s">
        <v>5824</v>
      </c>
      <c r="B1219" s="6">
        <v>46204</v>
      </c>
      <c r="C1219" s="8">
        <v>46228</v>
      </c>
      <c r="D1219" s="2" t="s">
        <v>199</v>
      </c>
      <c r="E1219" s="2" t="s">
        <v>12593</v>
      </c>
      <c r="F1219" s="2" t="s">
        <v>12424</v>
      </c>
      <c r="G1219" s="2" t="s">
        <v>15070</v>
      </c>
      <c r="H1219" s="2" t="s">
        <v>70</v>
      </c>
      <c r="I1219" s="9">
        <v>21168.191489000001</v>
      </c>
      <c r="J1219" s="7">
        <v>0.65800000000000003</v>
      </c>
      <c r="K1219" s="9">
        <v>13928.67</v>
      </c>
      <c r="L1219" s="14">
        <v>0</v>
      </c>
      <c r="M1219" s="2" t="s">
        <v>71</v>
      </c>
      <c r="N1219" s="2" t="s">
        <v>13272</v>
      </c>
      <c r="O1219" s="2" t="s">
        <v>15071</v>
      </c>
      <c r="P1219" s="9">
        <v>0</v>
      </c>
      <c r="Q1219" s="9">
        <v>0</v>
      </c>
      <c r="R1219" s="2" t="s">
        <v>14650</v>
      </c>
    </row>
    <row r="1220" spans="1:18" x14ac:dyDescent="0.25">
      <c r="A1220" s="2" t="s">
        <v>5827</v>
      </c>
      <c r="B1220" s="6">
        <v>46204</v>
      </c>
      <c r="C1220" s="8">
        <v>46229</v>
      </c>
      <c r="D1220" s="2" t="s">
        <v>199</v>
      </c>
      <c r="E1220" s="2" t="s">
        <v>12593</v>
      </c>
      <c r="F1220" s="2" t="s">
        <v>12425</v>
      </c>
      <c r="G1220" s="2" t="s">
        <v>15072</v>
      </c>
      <c r="H1220" s="2" t="s">
        <v>39</v>
      </c>
      <c r="I1220" s="9">
        <v>14101.68</v>
      </c>
      <c r="J1220" s="7">
        <v>1</v>
      </c>
      <c r="K1220" s="9">
        <v>14101.68</v>
      </c>
      <c r="L1220" s="14">
        <v>0</v>
      </c>
      <c r="M1220" s="2" t="s">
        <v>71</v>
      </c>
      <c r="N1220" s="2" t="s">
        <v>13272</v>
      </c>
      <c r="O1220" s="2" t="s">
        <v>15073</v>
      </c>
      <c r="P1220" s="9">
        <v>0</v>
      </c>
      <c r="Q1220" s="9">
        <v>0</v>
      </c>
      <c r="R1220" s="2" t="s">
        <v>14653</v>
      </c>
    </row>
    <row r="1221" spans="1:18" x14ac:dyDescent="0.25">
      <c r="A1221" s="2" t="s">
        <v>5830</v>
      </c>
      <c r="B1221" s="6">
        <v>46204</v>
      </c>
      <c r="C1221" s="8">
        <v>46230</v>
      </c>
      <c r="D1221" s="2" t="s">
        <v>199</v>
      </c>
      <c r="E1221" s="2" t="s">
        <v>12593</v>
      </c>
      <c r="F1221" s="2" t="s">
        <v>12426</v>
      </c>
      <c r="G1221" s="2" t="s">
        <v>15074</v>
      </c>
      <c r="H1221" s="2" t="s">
        <v>76</v>
      </c>
      <c r="I1221" s="9">
        <v>230236935.48387101</v>
      </c>
      <c r="J1221" s="7">
        <v>6.2000000000000003E-5</v>
      </c>
      <c r="K1221" s="9">
        <v>14274.69</v>
      </c>
      <c r="L1221" s="14">
        <v>0</v>
      </c>
      <c r="M1221" s="2" t="s">
        <v>71</v>
      </c>
      <c r="N1221" s="2" t="s">
        <v>13272</v>
      </c>
      <c r="O1221" s="2" t="s">
        <v>15075</v>
      </c>
      <c r="P1221" s="9">
        <v>0</v>
      </c>
      <c r="Q1221" s="9">
        <v>0</v>
      </c>
      <c r="R1221" s="2" t="s">
        <v>14626</v>
      </c>
    </row>
    <row r="1222" spans="1:18" x14ac:dyDescent="0.25">
      <c r="A1222" s="2" t="s">
        <v>5835</v>
      </c>
      <c r="B1222" s="6">
        <v>46204</v>
      </c>
      <c r="C1222" s="8">
        <v>46231</v>
      </c>
      <c r="D1222" s="2" t="s">
        <v>199</v>
      </c>
      <c r="E1222" s="2" t="s">
        <v>12593</v>
      </c>
      <c r="F1222" s="2" t="s">
        <v>12427</v>
      </c>
      <c r="G1222" s="2" t="s">
        <v>15076</v>
      </c>
      <c r="H1222" s="2" t="s">
        <v>70</v>
      </c>
      <c r="I1222" s="9">
        <v>21956.990881000002</v>
      </c>
      <c r="J1222" s="7">
        <v>0.65800000000000003</v>
      </c>
      <c r="K1222" s="9">
        <v>14447.7</v>
      </c>
      <c r="L1222" s="14">
        <v>0</v>
      </c>
      <c r="M1222" s="2" t="s">
        <v>71</v>
      </c>
      <c r="N1222" s="2" t="s">
        <v>13272</v>
      </c>
      <c r="O1222" s="2" t="s">
        <v>15077</v>
      </c>
      <c r="P1222" s="9">
        <v>0</v>
      </c>
      <c r="Q1222" s="9">
        <v>0</v>
      </c>
      <c r="R1222" s="2" t="s">
        <v>14629</v>
      </c>
    </row>
    <row r="1223" spans="1:18" x14ac:dyDescent="0.25">
      <c r="A1223" s="2" t="s">
        <v>5840</v>
      </c>
      <c r="B1223" s="6">
        <v>46204</v>
      </c>
      <c r="C1223" s="8">
        <v>46232</v>
      </c>
      <c r="D1223" s="2" t="s">
        <v>199</v>
      </c>
      <c r="E1223" s="2" t="s">
        <v>12593</v>
      </c>
      <c r="F1223" s="2" t="s">
        <v>12428</v>
      </c>
      <c r="G1223" s="2" t="s">
        <v>15078</v>
      </c>
      <c r="H1223" s="2" t="s">
        <v>39</v>
      </c>
      <c r="I1223" s="9">
        <v>14620.71</v>
      </c>
      <c r="J1223" s="7">
        <v>1</v>
      </c>
      <c r="K1223" s="9">
        <v>14620.71</v>
      </c>
      <c r="L1223" s="14">
        <v>0</v>
      </c>
      <c r="M1223" s="2" t="s">
        <v>71</v>
      </c>
      <c r="N1223" s="2" t="s">
        <v>13272</v>
      </c>
      <c r="O1223" s="2" t="s">
        <v>15079</v>
      </c>
      <c r="P1223" s="9">
        <v>0</v>
      </c>
      <c r="Q1223" s="9">
        <v>0</v>
      </c>
      <c r="R1223" s="2" t="s">
        <v>14632</v>
      </c>
    </row>
    <row r="1224" spans="1:18" x14ac:dyDescent="0.25">
      <c r="A1224" s="2" t="s">
        <v>5843</v>
      </c>
      <c r="B1224" s="6">
        <v>46204</v>
      </c>
      <c r="C1224" s="8">
        <v>46233</v>
      </c>
      <c r="D1224" s="2" t="s">
        <v>199</v>
      </c>
      <c r="E1224" s="2" t="s">
        <v>12593</v>
      </c>
      <c r="F1224" s="2" t="s">
        <v>12429</v>
      </c>
      <c r="G1224" s="2" t="s">
        <v>15080</v>
      </c>
      <c r="H1224" s="2" t="s">
        <v>76</v>
      </c>
      <c r="I1224" s="9">
        <v>238608387.09677401</v>
      </c>
      <c r="J1224" s="7">
        <v>6.2000000000000003E-5</v>
      </c>
      <c r="K1224" s="9">
        <v>14793.72</v>
      </c>
      <c r="L1224" s="14">
        <v>0</v>
      </c>
      <c r="M1224" s="2" t="s">
        <v>71</v>
      </c>
      <c r="N1224" s="2" t="s">
        <v>13272</v>
      </c>
      <c r="O1224" s="2" t="s">
        <v>15081</v>
      </c>
      <c r="P1224" s="9">
        <v>0</v>
      </c>
      <c r="Q1224" s="9">
        <v>0</v>
      </c>
      <c r="R1224" s="2" t="s">
        <v>14635</v>
      </c>
    </row>
    <row r="1225" spans="1:18" x14ac:dyDescent="0.25">
      <c r="A1225" s="2" t="s">
        <v>5846</v>
      </c>
      <c r="B1225" s="6">
        <v>46204</v>
      </c>
      <c r="C1225" s="8">
        <v>46234</v>
      </c>
      <c r="D1225" s="2" t="s">
        <v>199</v>
      </c>
      <c r="E1225" s="2" t="s">
        <v>12593</v>
      </c>
      <c r="F1225" s="2" t="s">
        <v>12430</v>
      </c>
      <c r="G1225" s="2" t="s">
        <v>15082</v>
      </c>
      <c r="H1225" s="2" t="s">
        <v>70</v>
      </c>
      <c r="I1225" s="9">
        <v>1469.1945290000001</v>
      </c>
      <c r="J1225" s="7">
        <v>0.65800000000000003</v>
      </c>
      <c r="K1225" s="9">
        <v>966.73</v>
      </c>
      <c r="L1225" s="14">
        <v>0</v>
      </c>
      <c r="M1225" s="2" t="s">
        <v>71</v>
      </c>
      <c r="N1225" s="2" t="s">
        <v>13272</v>
      </c>
      <c r="O1225" s="2" t="s">
        <v>15083</v>
      </c>
      <c r="P1225" s="9">
        <v>0</v>
      </c>
      <c r="Q1225" s="9">
        <v>0</v>
      </c>
      <c r="R1225" s="2" t="s">
        <v>14638</v>
      </c>
    </row>
    <row r="1226" spans="1:18" x14ac:dyDescent="0.25">
      <c r="A1226" s="2" t="s">
        <v>5851</v>
      </c>
      <c r="B1226" s="6">
        <v>46204</v>
      </c>
      <c r="C1226" s="8">
        <v>46204</v>
      </c>
      <c r="D1226" s="2" t="s">
        <v>199</v>
      </c>
      <c r="E1226" s="2" t="s">
        <v>12593</v>
      </c>
      <c r="F1226" s="2" t="s">
        <v>12431</v>
      </c>
      <c r="G1226" s="2" t="s">
        <v>15084</v>
      </c>
      <c r="H1226" s="2" t="s">
        <v>39</v>
      </c>
      <c r="I1226" s="9">
        <v>1139.74</v>
      </c>
      <c r="J1226" s="7">
        <v>1</v>
      </c>
      <c r="K1226" s="9">
        <v>1139.74</v>
      </c>
      <c r="L1226" s="14">
        <v>0</v>
      </c>
      <c r="M1226" s="2" t="s">
        <v>71</v>
      </c>
      <c r="N1226" s="2" t="s">
        <v>13272</v>
      </c>
      <c r="O1226" s="2" t="s">
        <v>15085</v>
      </c>
      <c r="P1226" s="9">
        <v>0</v>
      </c>
      <c r="Q1226" s="9">
        <v>0</v>
      </c>
      <c r="R1226" s="2" t="s">
        <v>14641</v>
      </c>
    </row>
    <row r="1227" spans="1:18" x14ac:dyDescent="0.25">
      <c r="A1227" s="2" t="s">
        <v>5854</v>
      </c>
      <c r="B1227" s="6">
        <v>46204</v>
      </c>
      <c r="C1227" s="8">
        <v>46205</v>
      </c>
      <c r="D1227" s="2" t="s">
        <v>199</v>
      </c>
      <c r="E1227" s="2" t="s">
        <v>12593</v>
      </c>
      <c r="F1227" s="2" t="s">
        <v>12432</v>
      </c>
      <c r="G1227" s="2" t="s">
        <v>15086</v>
      </c>
      <c r="H1227" s="2" t="s">
        <v>76</v>
      </c>
      <c r="I1227" s="9">
        <v>21173387.096774001</v>
      </c>
      <c r="J1227" s="7">
        <v>6.2000000000000003E-5</v>
      </c>
      <c r="K1227" s="9">
        <v>1312.75</v>
      </c>
      <c r="L1227" s="14">
        <v>0</v>
      </c>
      <c r="M1227" s="2" t="s">
        <v>71</v>
      </c>
      <c r="N1227" s="2" t="s">
        <v>13272</v>
      </c>
      <c r="O1227" s="2" t="s">
        <v>15087</v>
      </c>
      <c r="P1227" s="9">
        <v>0</v>
      </c>
      <c r="Q1227" s="9">
        <v>0</v>
      </c>
      <c r="R1227" s="2" t="s">
        <v>14644</v>
      </c>
    </row>
    <row r="1228" spans="1:18" x14ac:dyDescent="0.25">
      <c r="A1228" s="2" t="s">
        <v>5857</v>
      </c>
      <c r="B1228" s="6">
        <v>46204</v>
      </c>
      <c r="C1228" s="8">
        <v>46206</v>
      </c>
      <c r="D1228" s="2" t="s">
        <v>199</v>
      </c>
      <c r="E1228" s="2" t="s">
        <v>12593</v>
      </c>
      <c r="F1228" s="2" t="s">
        <v>12423</v>
      </c>
      <c r="G1228" s="2" t="s">
        <v>15088</v>
      </c>
      <c r="H1228" s="2" t="s">
        <v>70</v>
      </c>
      <c r="I1228" s="9">
        <v>2257.9939209999998</v>
      </c>
      <c r="J1228" s="7">
        <v>0.65800000000000003</v>
      </c>
      <c r="K1228" s="9">
        <v>1485.76</v>
      </c>
      <c r="L1228" s="14">
        <v>0</v>
      </c>
      <c r="M1228" s="2" t="s">
        <v>71</v>
      </c>
      <c r="N1228" s="2" t="s">
        <v>13272</v>
      </c>
      <c r="O1228" s="2" t="s">
        <v>15089</v>
      </c>
      <c r="P1228" s="9">
        <v>0</v>
      </c>
      <c r="Q1228" s="9">
        <v>0</v>
      </c>
      <c r="R1228" s="2" t="s">
        <v>14647</v>
      </c>
    </row>
    <row r="1229" spans="1:18" x14ac:dyDescent="0.25">
      <c r="A1229" s="2" t="s">
        <v>5860</v>
      </c>
      <c r="B1229" s="6">
        <v>46204</v>
      </c>
      <c r="C1229" s="8">
        <v>46207</v>
      </c>
      <c r="D1229" s="2" t="s">
        <v>199</v>
      </c>
      <c r="E1229" s="2" t="s">
        <v>12593</v>
      </c>
      <c r="F1229" s="2" t="s">
        <v>12424</v>
      </c>
      <c r="G1229" s="2" t="s">
        <v>15090</v>
      </c>
      <c r="H1229" s="2" t="s">
        <v>39</v>
      </c>
      <c r="I1229" s="9">
        <v>1658.77</v>
      </c>
      <c r="J1229" s="7">
        <v>1</v>
      </c>
      <c r="K1229" s="9">
        <v>1658.77</v>
      </c>
      <c r="L1229" s="14">
        <v>0</v>
      </c>
      <c r="M1229" s="2" t="s">
        <v>71</v>
      </c>
      <c r="N1229" s="2" t="s">
        <v>13272</v>
      </c>
      <c r="O1229" s="2" t="s">
        <v>15091</v>
      </c>
      <c r="P1229" s="9">
        <v>0</v>
      </c>
      <c r="Q1229" s="9">
        <v>0</v>
      </c>
      <c r="R1229" s="2" t="s">
        <v>14650</v>
      </c>
    </row>
    <row r="1230" spans="1:18" x14ac:dyDescent="0.25">
      <c r="A1230" s="2" t="s">
        <v>5863</v>
      </c>
      <c r="B1230" s="6">
        <v>46204</v>
      </c>
      <c r="C1230" s="8">
        <v>46208</v>
      </c>
      <c r="D1230" s="2" t="s">
        <v>199</v>
      </c>
      <c r="E1230" s="2" t="s">
        <v>12593</v>
      </c>
      <c r="F1230" s="2" t="s">
        <v>12425</v>
      </c>
      <c r="G1230" s="2" t="s">
        <v>15092</v>
      </c>
      <c r="H1230" s="2" t="s">
        <v>76</v>
      </c>
      <c r="I1230" s="9">
        <v>29544838.709677</v>
      </c>
      <c r="J1230" s="7">
        <v>6.2000000000000003E-5</v>
      </c>
      <c r="K1230" s="9">
        <v>1831.78</v>
      </c>
      <c r="L1230" s="14">
        <v>0</v>
      </c>
      <c r="M1230" s="2" t="s">
        <v>71</v>
      </c>
      <c r="N1230" s="2" t="s">
        <v>13272</v>
      </c>
      <c r="O1230" s="2" t="s">
        <v>15093</v>
      </c>
      <c r="P1230" s="9">
        <v>0</v>
      </c>
      <c r="Q1230" s="9">
        <v>0</v>
      </c>
      <c r="R1230" s="2" t="s">
        <v>14653</v>
      </c>
    </row>
    <row r="1231" spans="1:18" x14ac:dyDescent="0.25">
      <c r="A1231" s="2" t="s">
        <v>5866</v>
      </c>
      <c r="B1231" s="6">
        <v>46204</v>
      </c>
      <c r="C1231" s="8">
        <v>46209</v>
      </c>
      <c r="D1231" s="2" t="s">
        <v>199</v>
      </c>
      <c r="E1231" s="2" t="s">
        <v>12593</v>
      </c>
      <c r="F1231" s="2" t="s">
        <v>12426</v>
      </c>
      <c r="G1231" s="2" t="s">
        <v>15094</v>
      </c>
      <c r="H1231" s="2" t="s">
        <v>70</v>
      </c>
      <c r="I1231" s="9">
        <v>3046.7933130000001</v>
      </c>
      <c r="J1231" s="7">
        <v>0.65800000000000003</v>
      </c>
      <c r="K1231" s="9">
        <v>2004.79</v>
      </c>
      <c r="L1231" s="14">
        <v>0</v>
      </c>
      <c r="M1231" s="2" t="s">
        <v>71</v>
      </c>
      <c r="N1231" s="2" t="s">
        <v>13272</v>
      </c>
      <c r="O1231" s="2" t="s">
        <v>15095</v>
      </c>
      <c r="P1231" s="9">
        <v>0</v>
      </c>
      <c r="Q1231" s="9">
        <v>0</v>
      </c>
      <c r="R1231" s="2" t="s">
        <v>14626</v>
      </c>
    </row>
    <row r="1232" spans="1:18" x14ac:dyDescent="0.25">
      <c r="A1232" s="2" t="s">
        <v>5871</v>
      </c>
      <c r="B1232" s="6">
        <v>46204</v>
      </c>
      <c r="C1232" s="8">
        <v>46210</v>
      </c>
      <c r="D1232" s="2" t="s">
        <v>199</v>
      </c>
      <c r="E1232" s="2" t="s">
        <v>12593</v>
      </c>
      <c r="F1232" s="2" t="s">
        <v>12427</v>
      </c>
      <c r="G1232" s="2" t="s">
        <v>15096</v>
      </c>
      <c r="H1232" s="2" t="s">
        <v>39</v>
      </c>
      <c r="I1232" s="9">
        <v>2177.8000000000002</v>
      </c>
      <c r="J1232" s="7">
        <v>1</v>
      </c>
      <c r="K1232" s="9">
        <v>2177.8000000000002</v>
      </c>
      <c r="L1232" s="14">
        <v>0</v>
      </c>
      <c r="M1232" s="2" t="s">
        <v>71</v>
      </c>
      <c r="N1232" s="2" t="s">
        <v>13272</v>
      </c>
      <c r="O1232" s="2" t="s">
        <v>15097</v>
      </c>
      <c r="P1232" s="9">
        <v>0</v>
      </c>
      <c r="Q1232" s="9">
        <v>0</v>
      </c>
      <c r="R1232" s="2" t="s">
        <v>14629</v>
      </c>
    </row>
    <row r="1233" spans="1:18" x14ac:dyDescent="0.25">
      <c r="A1233" s="2" t="s">
        <v>5876</v>
      </c>
      <c r="B1233" s="6">
        <v>46204</v>
      </c>
      <c r="C1233" s="8">
        <v>46211</v>
      </c>
      <c r="D1233" s="2" t="s">
        <v>199</v>
      </c>
      <c r="E1233" s="2" t="s">
        <v>12593</v>
      </c>
      <c r="F1233" s="2" t="s">
        <v>12428</v>
      </c>
      <c r="G1233" s="2" t="s">
        <v>15098</v>
      </c>
      <c r="H1233" s="2" t="s">
        <v>76</v>
      </c>
      <c r="I1233" s="9">
        <v>37916290.322581001</v>
      </c>
      <c r="J1233" s="7">
        <v>6.2000000000000003E-5</v>
      </c>
      <c r="K1233" s="9">
        <v>2350.81</v>
      </c>
      <c r="L1233" s="14">
        <v>0</v>
      </c>
      <c r="M1233" s="2" t="s">
        <v>71</v>
      </c>
      <c r="N1233" s="2" t="s">
        <v>13272</v>
      </c>
      <c r="O1233" s="2" t="s">
        <v>15099</v>
      </c>
      <c r="P1233" s="9">
        <v>0</v>
      </c>
      <c r="Q1233" s="9">
        <v>0</v>
      </c>
      <c r="R1233" s="2" t="s">
        <v>14632</v>
      </c>
    </row>
    <row r="1234" spans="1:18" x14ac:dyDescent="0.25">
      <c r="A1234" s="2" t="s">
        <v>5879</v>
      </c>
      <c r="B1234" s="6">
        <v>46204</v>
      </c>
      <c r="C1234" s="8">
        <v>46212</v>
      </c>
      <c r="D1234" s="2" t="s">
        <v>199</v>
      </c>
      <c r="E1234" s="2" t="s">
        <v>12593</v>
      </c>
      <c r="F1234" s="2" t="s">
        <v>12429</v>
      </c>
      <c r="G1234" s="2" t="s">
        <v>15100</v>
      </c>
      <c r="H1234" s="2" t="s">
        <v>70</v>
      </c>
      <c r="I1234" s="9">
        <v>3835.592705</v>
      </c>
      <c r="J1234" s="7">
        <v>0.65800000000000003</v>
      </c>
      <c r="K1234" s="9">
        <v>2523.8200000000002</v>
      </c>
      <c r="L1234" s="14">
        <v>0</v>
      </c>
      <c r="M1234" s="2" t="s">
        <v>71</v>
      </c>
      <c r="N1234" s="2" t="s">
        <v>13272</v>
      </c>
      <c r="O1234" s="2" t="s">
        <v>15101</v>
      </c>
      <c r="P1234" s="9">
        <v>0</v>
      </c>
      <c r="Q1234" s="9">
        <v>0</v>
      </c>
      <c r="R1234" s="2" t="s">
        <v>14635</v>
      </c>
    </row>
    <row r="1235" spans="1:18" x14ac:dyDescent="0.25">
      <c r="A1235" s="2" t="s">
        <v>5882</v>
      </c>
      <c r="B1235" s="6">
        <v>46204</v>
      </c>
      <c r="C1235" s="8">
        <v>46213</v>
      </c>
      <c r="D1235" s="2" t="s">
        <v>199</v>
      </c>
      <c r="E1235" s="2" t="s">
        <v>12593</v>
      </c>
      <c r="F1235" s="2" t="s">
        <v>12430</v>
      </c>
      <c r="G1235" s="2" t="s">
        <v>15102</v>
      </c>
      <c r="H1235" s="2" t="s">
        <v>39</v>
      </c>
      <c r="I1235" s="9">
        <v>2696.83</v>
      </c>
      <c r="J1235" s="7">
        <v>1</v>
      </c>
      <c r="K1235" s="9">
        <v>2696.83</v>
      </c>
      <c r="L1235" s="14">
        <v>0</v>
      </c>
      <c r="M1235" s="2" t="s">
        <v>71</v>
      </c>
      <c r="N1235" s="2" t="s">
        <v>13272</v>
      </c>
      <c r="O1235" s="2" t="s">
        <v>15103</v>
      </c>
      <c r="P1235" s="9">
        <v>0</v>
      </c>
      <c r="Q1235" s="9">
        <v>0</v>
      </c>
      <c r="R1235" s="2" t="s">
        <v>14638</v>
      </c>
    </row>
    <row r="1236" spans="1:18" x14ac:dyDescent="0.25">
      <c r="A1236" s="2" t="s">
        <v>5887</v>
      </c>
      <c r="B1236" s="6">
        <v>46204</v>
      </c>
      <c r="C1236" s="8">
        <v>46214</v>
      </c>
      <c r="D1236" s="2" t="s">
        <v>199</v>
      </c>
      <c r="E1236" s="2" t="s">
        <v>12593</v>
      </c>
      <c r="F1236" s="2" t="s">
        <v>12431</v>
      </c>
      <c r="G1236" s="2" t="s">
        <v>15104</v>
      </c>
      <c r="H1236" s="2" t="s">
        <v>76</v>
      </c>
      <c r="I1236" s="9">
        <v>46287741.935484</v>
      </c>
      <c r="J1236" s="7">
        <v>6.2000000000000003E-5</v>
      </c>
      <c r="K1236" s="9">
        <v>2869.84</v>
      </c>
      <c r="L1236" s="14">
        <v>0</v>
      </c>
      <c r="M1236" s="2" t="s">
        <v>71</v>
      </c>
      <c r="N1236" s="2" t="s">
        <v>13272</v>
      </c>
      <c r="O1236" s="2" t="s">
        <v>15105</v>
      </c>
      <c r="P1236" s="9">
        <v>0</v>
      </c>
      <c r="Q1236" s="9">
        <v>0</v>
      </c>
      <c r="R1236" s="2" t="s">
        <v>14641</v>
      </c>
    </row>
    <row r="1237" spans="1:18" x14ac:dyDescent="0.25">
      <c r="A1237" s="2" t="s">
        <v>5890</v>
      </c>
      <c r="B1237" s="6">
        <v>46204</v>
      </c>
      <c r="C1237" s="8">
        <v>46215</v>
      </c>
      <c r="D1237" s="2" t="s">
        <v>199</v>
      </c>
      <c r="E1237" s="2" t="s">
        <v>12593</v>
      </c>
      <c r="F1237" s="2" t="s">
        <v>12432</v>
      </c>
      <c r="G1237" s="2" t="s">
        <v>15106</v>
      </c>
      <c r="H1237" s="2" t="s">
        <v>70</v>
      </c>
      <c r="I1237" s="9">
        <v>4624.3920969999999</v>
      </c>
      <c r="J1237" s="7">
        <v>0.65800000000000003</v>
      </c>
      <c r="K1237" s="9">
        <v>3042.85</v>
      </c>
      <c r="L1237" s="14">
        <v>0</v>
      </c>
      <c r="M1237" s="2" t="s">
        <v>71</v>
      </c>
      <c r="N1237" s="2" t="s">
        <v>13272</v>
      </c>
      <c r="O1237" s="2" t="s">
        <v>15107</v>
      </c>
      <c r="P1237" s="9">
        <v>0</v>
      </c>
      <c r="Q1237" s="9">
        <v>0</v>
      </c>
      <c r="R1237" s="2" t="s">
        <v>14644</v>
      </c>
    </row>
    <row r="1238" spans="1:18" x14ac:dyDescent="0.25">
      <c r="A1238" s="2" t="s">
        <v>5893</v>
      </c>
      <c r="B1238" s="6">
        <v>46204</v>
      </c>
      <c r="C1238" s="8">
        <v>46216</v>
      </c>
      <c r="D1238" s="2" t="s">
        <v>199</v>
      </c>
      <c r="E1238" s="2" t="s">
        <v>12593</v>
      </c>
      <c r="F1238" s="2" t="s">
        <v>12423</v>
      </c>
      <c r="G1238" s="2" t="s">
        <v>15108</v>
      </c>
      <c r="H1238" s="2" t="s">
        <v>39</v>
      </c>
      <c r="I1238" s="9">
        <v>3215.86</v>
      </c>
      <c r="J1238" s="7">
        <v>1</v>
      </c>
      <c r="K1238" s="9">
        <v>3215.86</v>
      </c>
      <c r="L1238" s="14">
        <v>0</v>
      </c>
      <c r="M1238" s="2" t="s">
        <v>71</v>
      </c>
      <c r="N1238" s="2" t="s">
        <v>13272</v>
      </c>
      <c r="O1238" s="2" t="s">
        <v>15109</v>
      </c>
      <c r="P1238" s="9">
        <v>0</v>
      </c>
      <c r="Q1238" s="9">
        <v>0</v>
      </c>
      <c r="R1238" s="2" t="s">
        <v>14647</v>
      </c>
    </row>
    <row r="1239" spans="1:18" x14ac:dyDescent="0.25">
      <c r="A1239" s="2" t="s">
        <v>5896</v>
      </c>
      <c r="B1239" s="6">
        <v>46204</v>
      </c>
      <c r="C1239" s="8">
        <v>46217</v>
      </c>
      <c r="D1239" s="2" t="s">
        <v>199</v>
      </c>
      <c r="E1239" s="2" t="s">
        <v>12593</v>
      </c>
      <c r="F1239" s="2" t="s">
        <v>12424</v>
      </c>
      <c r="G1239" s="2" t="s">
        <v>15110</v>
      </c>
      <c r="H1239" s="2" t="s">
        <v>76</v>
      </c>
      <c r="I1239" s="9">
        <v>54659193.548386998</v>
      </c>
      <c r="J1239" s="7">
        <v>6.2000000000000003E-5</v>
      </c>
      <c r="K1239" s="9">
        <v>3388.87</v>
      </c>
      <c r="L1239" s="14">
        <v>0</v>
      </c>
      <c r="M1239" s="2" t="s">
        <v>71</v>
      </c>
      <c r="N1239" s="2" t="s">
        <v>13272</v>
      </c>
      <c r="O1239" s="2" t="s">
        <v>15111</v>
      </c>
      <c r="P1239" s="9">
        <v>0</v>
      </c>
      <c r="Q1239" s="9">
        <v>0</v>
      </c>
      <c r="R1239" s="2" t="s">
        <v>14650</v>
      </c>
    </row>
    <row r="1240" spans="1:18" x14ac:dyDescent="0.25">
      <c r="A1240" s="2" t="s">
        <v>5899</v>
      </c>
      <c r="B1240" s="6">
        <v>46204</v>
      </c>
      <c r="C1240" s="8">
        <v>46218</v>
      </c>
      <c r="D1240" s="2" t="s">
        <v>199</v>
      </c>
      <c r="E1240" s="2" t="s">
        <v>12593</v>
      </c>
      <c r="F1240" s="2" t="s">
        <v>12425</v>
      </c>
      <c r="G1240" s="2" t="s">
        <v>15112</v>
      </c>
      <c r="H1240" s="2" t="s">
        <v>70</v>
      </c>
      <c r="I1240" s="9">
        <v>5413.1914889999998</v>
      </c>
      <c r="J1240" s="7">
        <v>0.65800000000000003</v>
      </c>
      <c r="K1240" s="9">
        <v>3561.88</v>
      </c>
      <c r="L1240" s="14">
        <v>0</v>
      </c>
      <c r="M1240" s="2" t="s">
        <v>71</v>
      </c>
      <c r="N1240" s="2" t="s">
        <v>13272</v>
      </c>
      <c r="O1240" s="2" t="s">
        <v>15113</v>
      </c>
      <c r="P1240" s="9">
        <v>0</v>
      </c>
      <c r="Q1240" s="9">
        <v>0</v>
      </c>
      <c r="R1240" s="2" t="s">
        <v>14653</v>
      </c>
    </row>
    <row r="1241" spans="1:18" x14ac:dyDescent="0.25">
      <c r="A1241" s="2" t="s">
        <v>5902</v>
      </c>
      <c r="B1241" s="6">
        <v>46204</v>
      </c>
      <c r="C1241" s="8">
        <v>46219</v>
      </c>
      <c r="D1241" s="2" t="s">
        <v>199</v>
      </c>
      <c r="E1241" s="2" t="s">
        <v>12593</v>
      </c>
      <c r="F1241" s="2" t="s">
        <v>12426</v>
      </c>
      <c r="G1241" s="2" t="s">
        <v>15114</v>
      </c>
      <c r="H1241" s="2" t="s">
        <v>39</v>
      </c>
      <c r="I1241" s="9">
        <v>-3734.89</v>
      </c>
      <c r="J1241" s="7">
        <v>1</v>
      </c>
      <c r="K1241" s="9">
        <v>-3734.89</v>
      </c>
      <c r="L1241" s="14">
        <v>0</v>
      </c>
      <c r="M1241" s="2" t="s">
        <v>71</v>
      </c>
      <c r="N1241" s="2" t="s">
        <v>13272</v>
      </c>
      <c r="O1241" s="2" t="s">
        <v>15115</v>
      </c>
      <c r="P1241" s="9">
        <v>0</v>
      </c>
      <c r="Q1241" s="9">
        <v>0</v>
      </c>
      <c r="R1241" s="2" t="s">
        <v>14626</v>
      </c>
    </row>
    <row r="1242" spans="1:18" x14ac:dyDescent="0.25">
      <c r="A1242" s="2" t="s">
        <v>5905</v>
      </c>
      <c r="B1242" s="6">
        <v>46204</v>
      </c>
      <c r="C1242" s="8">
        <v>46220</v>
      </c>
      <c r="D1242" s="2" t="s">
        <v>199</v>
      </c>
      <c r="E1242" s="2" t="s">
        <v>12593</v>
      </c>
      <c r="F1242" s="2" t="s">
        <v>12427</v>
      </c>
      <c r="G1242" s="2" t="s">
        <v>15116</v>
      </c>
      <c r="H1242" s="2" t="s">
        <v>76</v>
      </c>
      <c r="I1242" s="9">
        <v>63030645.161289997</v>
      </c>
      <c r="J1242" s="7">
        <v>6.2000000000000003E-5</v>
      </c>
      <c r="K1242" s="9">
        <v>3907.9</v>
      </c>
      <c r="L1242" s="14">
        <v>0</v>
      </c>
      <c r="M1242" s="2" t="s">
        <v>71</v>
      </c>
      <c r="N1242" s="2" t="s">
        <v>13272</v>
      </c>
      <c r="O1242" s="2" t="s">
        <v>15117</v>
      </c>
      <c r="P1242" s="9">
        <v>0</v>
      </c>
      <c r="Q1242" s="9">
        <v>0</v>
      </c>
      <c r="R1242" s="2" t="s">
        <v>14629</v>
      </c>
    </row>
    <row r="1243" spans="1:18" x14ac:dyDescent="0.25">
      <c r="A1243" s="2" t="s">
        <v>5910</v>
      </c>
      <c r="B1243" s="6">
        <v>46204</v>
      </c>
      <c r="C1243" s="8">
        <v>46221</v>
      </c>
      <c r="D1243" s="2" t="s">
        <v>199</v>
      </c>
      <c r="E1243" s="2" t="s">
        <v>12593</v>
      </c>
      <c r="F1243" s="2" t="s">
        <v>12428</v>
      </c>
      <c r="G1243" s="2" t="s">
        <v>15118</v>
      </c>
      <c r="H1243" s="2" t="s">
        <v>70</v>
      </c>
      <c r="I1243" s="9">
        <v>6201.9908809999997</v>
      </c>
      <c r="J1243" s="7">
        <v>0.65800000000000003</v>
      </c>
      <c r="K1243" s="9">
        <v>4080.91</v>
      </c>
      <c r="L1243" s="14">
        <v>0</v>
      </c>
      <c r="M1243" s="2" t="s">
        <v>71</v>
      </c>
      <c r="N1243" s="2" t="s">
        <v>13272</v>
      </c>
      <c r="O1243" s="2" t="s">
        <v>15119</v>
      </c>
      <c r="P1243" s="9">
        <v>0</v>
      </c>
      <c r="Q1243" s="9">
        <v>0</v>
      </c>
      <c r="R1243" s="2" t="s">
        <v>14632</v>
      </c>
    </row>
    <row r="1244" spans="1:18" x14ac:dyDescent="0.25">
      <c r="A1244" s="2" t="s">
        <v>5913</v>
      </c>
      <c r="B1244" s="6">
        <v>46204</v>
      </c>
      <c r="C1244" s="8">
        <v>46222</v>
      </c>
      <c r="D1244" s="2" t="s">
        <v>199</v>
      </c>
      <c r="E1244" s="2" t="s">
        <v>12593</v>
      </c>
      <c r="F1244" s="2" t="s">
        <v>12429</v>
      </c>
      <c r="G1244" s="2" t="s">
        <v>15120</v>
      </c>
      <c r="H1244" s="2" t="s">
        <v>39</v>
      </c>
      <c r="I1244" s="9">
        <v>4253.92</v>
      </c>
      <c r="J1244" s="7">
        <v>1</v>
      </c>
      <c r="K1244" s="9">
        <v>4253.92</v>
      </c>
      <c r="L1244" s="14">
        <v>0</v>
      </c>
      <c r="M1244" s="2" t="s">
        <v>71</v>
      </c>
      <c r="N1244" s="2" t="s">
        <v>13272</v>
      </c>
      <c r="O1244" s="2" t="s">
        <v>15121</v>
      </c>
      <c r="P1244" s="9">
        <v>0</v>
      </c>
      <c r="Q1244" s="9">
        <v>0</v>
      </c>
      <c r="R1244" s="2" t="s">
        <v>14635</v>
      </c>
    </row>
    <row r="1245" spans="1:18" x14ac:dyDescent="0.25">
      <c r="A1245" s="2" t="s">
        <v>5916</v>
      </c>
      <c r="B1245" s="6">
        <v>46204</v>
      </c>
      <c r="C1245" s="8">
        <v>46223</v>
      </c>
      <c r="D1245" s="2" t="s">
        <v>199</v>
      </c>
      <c r="E1245" s="2" t="s">
        <v>12593</v>
      </c>
      <c r="F1245" s="2" t="s">
        <v>12430</v>
      </c>
      <c r="G1245" s="2" t="s">
        <v>15122</v>
      </c>
      <c r="H1245" s="2" t="s">
        <v>76</v>
      </c>
      <c r="I1245" s="9">
        <v>71402096.774194002</v>
      </c>
      <c r="J1245" s="7">
        <v>6.2000000000000003E-5</v>
      </c>
      <c r="K1245" s="9">
        <v>4426.93</v>
      </c>
      <c r="L1245" s="14">
        <v>0</v>
      </c>
      <c r="M1245" s="2" t="s">
        <v>71</v>
      </c>
      <c r="N1245" s="2" t="s">
        <v>13272</v>
      </c>
      <c r="O1245" s="2" t="s">
        <v>15123</v>
      </c>
      <c r="P1245" s="9">
        <v>0</v>
      </c>
      <c r="Q1245" s="9">
        <v>0</v>
      </c>
      <c r="R1245" s="2" t="s">
        <v>14638</v>
      </c>
    </row>
    <row r="1246" spans="1:18" x14ac:dyDescent="0.25">
      <c r="A1246" s="2" t="s">
        <v>5921</v>
      </c>
      <c r="B1246" s="6">
        <v>46204</v>
      </c>
      <c r="C1246" s="8">
        <v>46224</v>
      </c>
      <c r="D1246" s="2" t="s">
        <v>199</v>
      </c>
      <c r="E1246" s="2" t="s">
        <v>12593</v>
      </c>
      <c r="F1246" s="2" t="s">
        <v>12431</v>
      </c>
      <c r="G1246" s="2" t="s">
        <v>15124</v>
      </c>
      <c r="H1246" s="2" t="s">
        <v>70</v>
      </c>
      <c r="I1246" s="9">
        <v>6990.790274</v>
      </c>
      <c r="J1246" s="7">
        <v>0.65800000000000003</v>
      </c>
      <c r="K1246" s="9">
        <v>4599.9399999999996</v>
      </c>
      <c r="L1246" s="14">
        <v>0</v>
      </c>
      <c r="M1246" s="2" t="s">
        <v>71</v>
      </c>
      <c r="N1246" s="2" t="s">
        <v>13272</v>
      </c>
      <c r="O1246" s="2" t="s">
        <v>15125</v>
      </c>
      <c r="P1246" s="9">
        <v>0</v>
      </c>
      <c r="Q1246" s="9">
        <v>0</v>
      </c>
      <c r="R1246" s="2" t="s">
        <v>14641</v>
      </c>
    </row>
    <row r="1247" spans="1:18" x14ac:dyDescent="0.25">
      <c r="A1247" s="2" t="s">
        <v>5924</v>
      </c>
      <c r="B1247" s="6">
        <v>46204</v>
      </c>
      <c r="C1247" s="8">
        <v>46225</v>
      </c>
      <c r="D1247" s="2" t="s">
        <v>199</v>
      </c>
      <c r="E1247" s="2" t="s">
        <v>12593</v>
      </c>
      <c r="F1247" s="2" t="s">
        <v>12432</v>
      </c>
      <c r="G1247" s="2" t="s">
        <v>15126</v>
      </c>
      <c r="H1247" s="2" t="s">
        <v>39</v>
      </c>
      <c r="I1247" s="9">
        <v>4772.95</v>
      </c>
      <c r="J1247" s="7">
        <v>1</v>
      </c>
      <c r="K1247" s="9">
        <v>4772.95</v>
      </c>
      <c r="L1247" s="14">
        <v>0</v>
      </c>
      <c r="M1247" s="2" t="s">
        <v>71</v>
      </c>
      <c r="N1247" s="2" t="s">
        <v>13272</v>
      </c>
      <c r="O1247" s="2" t="s">
        <v>15127</v>
      </c>
      <c r="P1247" s="9">
        <v>0</v>
      </c>
      <c r="Q1247" s="9">
        <v>0</v>
      </c>
      <c r="R1247" s="2" t="s">
        <v>14644</v>
      </c>
    </row>
    <row r="1248" spans="1:18" x14ac:dyDescent="0.25">
      <c r="A1248" s="2" t="s">
        <v>5927</v>
      </c>
      <c r="B1248" s="6">
        <v>46204</v>
      </c>
      <c r="C1248" s="8">
        <v>46226</v>
      </c>
      <c r="D1248" s="2" t="s">
        <v>199</v>
      </c>
      <c r="E1248" s="2" t="s">
        <v>12593</v>
      </c>
      <c r="F1248" s="2" t="s">
        <v>12423</v>
      </c>
      <c r="G1248" s="2" t="s">
        <v>15128</v>
      </c>
      <c r="H1248" s="2" t="s">
        <v>76</v>
      </c>
      <c r="I1248" s="9">
        <v>79773548.387097001</v>
      </c>
      <c r="J1248" s="7">
        <v>6.2000000000000003E-5</v>
      </c>
      <c r="K1248" s="9">
        <v>4945.96</v>
      </c>
      <c r="L1248" s="14">
        <v>0</v>
      </c>
      <c r="M1248" s="2" t="s">
        <v>71</v>
      </c>
      <c r="N1248" s="2" t="s">
        <v>13272</v>
      </c>
      <c r="O1248" s="2" t="s">
        <v>15129</v>
      </c>
      <c r="P1248" s="9">
        <v>0</v>
      </c>
      <c r="Q1248" s="9">
        <v>0</v>
      </c>
      <c r="R1248" s="2" t="s">
        <v>14647</v>
      </c>
    </row>
    <row r="1249" spans="1:18" x14ac:dyDescent="0.25">
      <c r="A1249" s="2" t="s">
        <v>5930</v>
      </c>
      <c r="B1249" s="6">
        <v>46204</v>
      </c>
      <c r="C1249" s="8">
        <v>46227</v>
      </c>
      <c r="D1249" s="2" t="s">
        <v>199</v>
      </c>
      <c r="E1249" s="2" t="s">
        <v>12593</v>
      </c>
      <c r="F1249" s="2" t="s">
        <v>12424</v>
      </c>
      <c r="G1249" s="2" t="s">
        <v>15130</v>
      </c>
      <c r="H1249" s="2" t="s">
        <v>70</v>
      </c>
      <c r="I1249" s="9">
        <v>7778.1155019999997</v>
      </c>
      <c r="J1249" s="7">
        <v>0.65800000000000003</v>
      </c>
      <c r="K1249" s="9">
        <v>5118</v>
      </c>
      <c r="L1249" s="14">
        <v>0</v>
      </c>
      <c r="M1249" s="2" t="s">
        <v>71</v>
      </c>
      <c r="N1249" s="2" t="s">
        <v>13272</v>
      </c>
      <c r="O1249" s="2" t="s">
        <v>15131</v>
      </c>
      <c r="P1249" s="9">
        <v>0</v>
      </c>
      <c r="Q1249" s="9">
        <v>0</v>
      </c>
      <c r="R1249" s="2" t="s">
        <v>14650</v>
      </c>
    </row>
    <row r="1250" spans="1:18" x14ac:dyDescent="0.25">
      <c r="A1250" s="2" t="s">
        <v>5933</v>
      </c>
      <c r="B1250" s="6">
        <v>46204</v>
      </c>
      <c r="C1250" s="8">
        <v>46228</v>
      </c>
      <c r="D1250" s="2" t="s">
        <v>199</v>
      </c>
      <c r="E1250" s="2" t="s">
        <v>12593</v>
      </c>
      <c r="F1250" s="2" t="s">
        <v>12425</v>
      </c>
      <c r="G1250" s="2" t="s">
        <v>15132</v>
      </c>
      <c r="H1250" s="2" t="s">
        <v>39</v>
      </c>
      <c r="I1250" s="9">
        <v>5291.01</v>
      </c>
      <c r="J1250" s="7">
        <v>1</v>
      </c>
      <c r="K1250" s="9">
        <v>5291.01</v>
      </c>
      <c r="L1250" s="14">
        <v>0</v>
      </c>
      <c r="M1250" s="2" t="s">
        <v>71</v>
      </c>
      <c r="N1250" s="2" t="s">
        <v>13272</v>
      </c>
      <c r="O1250" s="2" t="s">
        <v>15133</v>
      </c>
      <c r="P1250" s="9">
        <v>0</v>
      </c>
      <c r="Q1250" s="9">
        <v>0</v>
      </c>
      <c r="R1250" s="2" t="s">
        <v>14653</v>
      </c>
    </row>
    <row r="1251" spans="1:18" x14ac:dyDescent="0.25">
      <c r="A1251" s="2" t="s">
        <v>5936</v>
      </c>
      <c r="B1251" s="6">
        <v>46204</v>
      </c>
      <c r="C1251" s="8">
        <v>46229</v>
      </c>
      <c r="D1251" s="2" t="s">
        <v>199</v>
      </c>
      <c r="E1251" s="2" t="s">
        <v>12593</v>
      </c>
      <c r="F1251" s="2" t="s">
        <v>12426</v>
      </c>
      <c r="G1251" s="2" t="s">
        <v>15134</v>
      </c>
      <c r="H1251" s="2" t="s">
        <v>76</v>
      </c>
      <c r="I1251" s="9">
        <v>88129354.838709995</v>
      </c>
      <c r="J1251" s="7">
        <v>6.2000000000000003E-5</v>
      </c>
      <c r="K1251" s="9">
        <v>5464.02</v>
      </c>
      <c r="L1251" s="14">
        <v>0</v>
      </c>
      <c r="M1251" s="2" t="s">
        <v>71</v>
      </c>
      <c r="N1251" s="2" t="s">
        <v>13272</v>
      </c>
      <c r="O1251" s="2" t="s">
        <v>15135</v>
      </c>
      <c r="P1251" s="9">
        <v>0</v>
      </c>
      <c r="Q1251" s="9">
        <v>0</v>
      </c>
      <c r="R1251" s="2" t="s">
        <v>14626</v>
      </c>
    </row>
    <row r="1252" spans="1:18" x14ac:dyDescent="0.25">
      <c r="A1252" s="2" t="s">
        <v>5941</v>
      </c>
      <c r="B1252" s="6">
        <v>46204</v>
      </c>
      <c r="C1252" s="8">
        <v>46230</v>
      </c>
      <c r="D1252" s="2" t="s">
        <v>199</v>
      </c>
      <c r="E1252" s="2" t="s">
        <v>12593</v>
      </c>
      <c r="F1252" s="2" t="s">
        <v>12427</v>
      </c>
      <c r="G1252" s="2" t="s">
        <v>15136</v>
      </c>
      <c r="H1252" s="2" t="s">
        <v>70</v>
      </c>
      <c r="I1252" s="9">
        <v>8566.9148939999995</v>
      </c>
      <c r="J1252" s="7">
        <v>0.65800000000000003</v>
      </c>
      <c r="K1252" s="9">
        <v>5637.03</v>
      </c>
      <c r="L1252" s="14">
        <v>0</v>
      </c>
      <c r="M1252" s="2" t="s">
        <v>71</v>
      </c>
      <c r="N1252" s="2" t="s">
        <v>13272</v>
      </c>
      <c r="O1252" s="2" t="s">
        <v>15137</v>
      </c>
      <c r="P1252" s="9">
        <v>0</v>
      </c>
      <c r="Q1252" s="9">
        <v>0</v>
      </c>
      <c r="R1252" s="2" t="s">
        <v>14629</v>
      </c>
    </row>
    <row r="1253" spans="1:18" x14ac:dyDescent="0.25">
      <c r="A1253" s="2" t="s">
        <v>5946</v>
      </c>
      <c r="B1253" s="6">
        <v>46204</v>
      </c>
      <c r="C1253" s="8">
        <v>46231</v>
      </c>
      <c r="D1253" s="2" t="s">
        <v>199</v>
      </c>
      <c r="E1253" s="2" t="s">
        <v>12593</v>
      </c>
      <c r="F1253" s="2" t="s">
        <v>12428</v>
      </c>
      <c r="G1253" s="2" t="s">
        <v>15138</v>
      </c>
      <c r="H1253" s="2" t="s">
        <v>39</v>
      </c>
      <c r="I1253" s="9">
        <v>5810.04</v>
      </c>
      <c r="J1253" s="7">
        <v>1</v>
      </c>
      <c r="K1253" s="9">
        <v>5810.04</v>
      </c>
      <c r="L1253" s="14">
        <v>0</v>
      </c>
      <c r="M1253" s="2" t="s">
        <v>71</v>
      </c>
      <c r="N1253" s="2" t="s">
        <v>13272</v>
      </c>
      <c r="O1253" s="2" t="s">
        <v>15139</v>
      </c>
      <c r="P1253" s="9">
        <v>0</v>
      </c>
      <c r="Q1253" s="9">
        <v>0</v>
      </c>
      <c r="R1253" s="2" t="s">
        <v>14632</v>
      </c>
    </row>
    <row r="1254" spans="1:18" x14ac:dyDescent="0.25">
      <c r="A1254" s="2" t="s">
        <v>5949</v>
      </c>
      <c r="B1254" s="6">
        <v>46204</v>
      </c>
      <c r="C1254" s="8">
        <v>46232</v>
      </c>
      <c r="D1254" s="2" t="s">
        <v>199</v>
      </c>
      <c r="E1254" s="2" t="s">
        <v>12593</v>
      </c>
      <c r="F1254" s="2" t="s">
        <v>12429</v>
      </c>
      <c r="G1254" s="2" t="s">
        <v>15140</v>
      </c>
      <c r="H1254" s="2" t="s">
        <v>76</v>
      </c>
      <c r="I1254" s="9">
        <v>96500806.451612994</v>
      </c>
      <c r="J1254" s="7">
        <v>6.2000000000000003E-5</v>
      </c>
      <c r="K1254" s="9">
        <v>5983.05</v>
      </c>
      <c r="L1254" s="14">
        <v>0</v>
      </c>
      <c r="M1254" s="2" t="s">
        <v>71</v>
      </c>
      <c r="N1254" s="2" t="s">
        <v>13272</v>
      </c>
      <c r="O1254" s="2" t="s">
        <v>15141</v>
      </c>
      <c r="P1254" s="9">
        <v>0</v>
      </c>
      <c r="Q1254" s="9">
        <v>0</v>
      </c>
      <c r="R1254" s="2" t="s">
        <v>14635</v>
      </c>
    </row>
    <row r="1255" spans="1:18" x14ac:dyDescent="0.25">
      <c r="A1255" s="2" t="s">
        <v>5952</v>
      </c>
      <c r="B1255" s="6">
        <v>46204</v>
      </c>
      <c r="C1255" s="8">
        <v>46233</v>
      </c>
      <c r="D1255" s="2" t="s">
        <v>199</v>
      </c>
      <c r="E1255" s="2" t="s">
        <v>12593</v>
      </c>
      <c r="F1255" s="2" t="s">
        <v>12430</v>
      </c>
      <c r="G1255" s="2" t="s">
        <v>15142</v>
      </c>
      <c r="H1255" s="2" t="s">
        <v>70</v>
      </c>
      <c r="I1255" s="9">
        <v>9355.7142860000004</v>
      </c>
      <c r="J1255" s="7">
        <v>0.65800000000000003</v>
      </c>
      <c r="K1255" s="9">
        <v>6156.06</v>
      </c>
      <c r="L1255" s="14">
        <v>0</v>
      </c>
      <c r="M1255" s="2" t="s">
        <v>71</v>
      </c>
      <c r="N1255" s="2" t="s">
        <v>13272</v>
      </c>
      <c r="O1255" s="2" t="s">
        <v>15143</v>
      </c>
      <c r="P1255" s="9">
        <v>0</v>
      </c>
      <c r="Q1255" s="9">
        <v>0</v>
      </c>
      <c r="R1255" s="2" t="s">
        <v>14638</v>
      </c>
    </row>
    <row r="1256" spans="1:18" x14ac:dyDescent="0.25">
      <c r="A1256" s="2" t="s">
        <v>5957</v>
      </c>
      <c r="B1256" s="6">
        <v>46204</v>
      </c>
      <c r="C1256" s="8">
        <v>46234</v>
      </c>
      <c r="D1256" s="2" t="s">
        <v>199</v>
      </c>
      <c r="E1256" s="2" t="s">
        <v>12593</v>
      </c>
      <c r="F1256" s="2" t="s">
        <v>12431</v>
      </c>
      <c r="G1256" s="2" t="s">
        <v>15144</v>
      </c>
      <c r="H1256" s="2" t="s">
        <v>39</v>
      </c>
      <c r="I1256" s="9">
        <v>6329.07</v>
      </c>
      <c r="J1256" s="7">
        <v>1</v>
      </c>
      <c r="K1256" s="9">
        <v>6329.07</v>
      </c>
      <c r="L1256" s="14">
        <v>0</v>
      </c>
      <c r="M1256" s="2" t="s">
        <v>71</v>
      </c>
      <c r="N1256" s="2" t="s">
        <v>13272</v>
      </c>
      <c r="O1256" s="2" t="s">
        <v>15145</v>
      </c>
      <c r="P1256" s="9">
        <v>0</v>
      </c>
      <c r="Q1256" s="9">
        <v>0</v>
      </c>
      <c r="R1256" s="2" t="s">
        <v>14641</v>
      </c>
    </row>
    <row r="1257" spans="1:18" x14ac:dyDescent="0.25">
      <c r="A1257" s="2" t="s">
        <v>5960</v>
      </c>
      <c r="B1257" s="6">
        <v>46204</v>
      </c>
      <c r="C1257" s="8">
        <v>46204</v>
      </c>
      <c r="D1257" s="2" t="s">
        <v>199</v>
      </c>
      <c r="E1257" s="2" t="s">
        <v>12593</v>
      </c>
      <c r="F1257" s="2" t="s">
        <v>12432</v>
      </c>
      <c r="G1257" s="2" t="s">
        <v>15146</v>
      </c>
      <c r="H1257" s="2" t="s">
        <v>76</v>
      </c>
      <c r="I1257" s="9">
        <v>104872258.06451599</v>
      </c>
      <c r="J1257" s="7">
        <v>6.2000000000000003E-5</v>
      </c>
      <c r="K1257" s="9">
        <v>6502.08</v>
      </c>
      <c r="L1257" s="14">
        <v>0</v>
      </c>
      <c r="M1257" s="2" t="s">
        <v>71</v>
      </c>
      <c r="N1257" s="2" t="s">
        <v>13272</v>
      </c>
      <c r="O1257" s="2" t="s">
        <v>15147</v>
      </c>
      <c r="P1257" s="9">
        <v>0</v>
      </c>
      <c r="Q1257" s="9">
        <v>0</v>
      </c>
      <c r="R1257" s="2" t="s">
        <v>14644</v>
      </c>
    </row>
    <row r="1258" spans="1:18" x14ac:dyDescent="0.25">
      <c r="A1258" s="2" t="s">
        <v>5963</v>
      </c>
      <c r="B1258" s="6">
        <v>46204</v>
      </c>
      <c r="C1258" s="8">
        <v>46205</v>
      </c>
      <c r="D1258" s="2" t="s">
        <v>199</v>
      </c>
      <c r="E1258" s="2" t="s">
        <v>12593</v>
      </c>
      <c r="F1258" s="2" t="s">
        <v>12423</v>
      </c>
      <c r="G1258" s="2" t="s">
        <v>15148</v>
      </c>
      <c r="H1258" s="2" t="s">
        <v>70</v>
      </c>
      <c r="I1258" s="9">
        <v>10144.513677999999</v>
      </c>
      <c r="J1258" s="7">
        <v>0.65800000000000003</v>
      </c>
      <c r="K1258" s="9">
        <v>6675.09</v>
      </c>
      <c r="L1258" s="14">
        <v>0</v>
      </c>
      <c r="M1258" s="2" t="s">
        <v>71</v>
      </c>
      <c r="N1258" s="2" t="s">
        <v>13272</v>
      </c>
      <c r="O1258" s="2" t="s">
        <v>15149</v>
      </c>
      <c r="P1258" s="9">
        <v>0</v>
      </c>
      <c r="Q1258" s="9">
        <v>0</v>
      </c>
      <c r="R1258" s="2" t="s">
        <v>14647</v>
      </c>
    </row>
    <row r="1259" spans="1:18" x14ac:dyDescent="0.25">
      <c r="A1259" s="2" t="s">
        <v>5966</v>
      </c>
      <c r="B1259" s="6">
        <v>46204</v>
      </c>
      <c r="C1259" s="8">
        <v>46206</v>
      </c>
      <c r="D1259" s="2" t="s">
        <v>199</v>
      </c>
      <c r="E1259" s="2" t="s">
        <v>12593</v>
      </c>
      <c r="F1259" s="2" t="s">
        <v>12424</v>
      </c>
      <c r="G1259" s="2" t="s">
        <v>15150</v>
      </c>
      <c r="H1259" s="2" t="s">
        <v>39</v>
      </c>
      <c r="I1259" s="9">
        <v>6848.1</v>
      </c>
      <c r="J1259" s="7">
        <v>1</v>
      </c>
      <c r="K1259" s="9">
        <v>6848.1</v>
      </c>
      <c r="L1259" s="14">
        <v>0</v>
      </c>
      <c r="M1259" s="2" t="s">
        <v>71</v>
      </c>
      <c r="N1259" s="2" t="s">
        <v>13272</v>
      </c>
      <c r="O1259" s="2" t="s">
        <v>15151</v>
      </c>
      <c r="P1259" s="9">
        <v>0</v>
      </c>
      <c r="Q1259" s="9">
        <v>0</v>
      </c>
      <c r="R1259" s="2" t="s">
        <v>14650</v>
      </c>
    </row>
    <row r="1260" spans="1:18" x14ac:dyDescent="0.25">
      <c r="A1260" s="2" t="s">
        <v>5969</v>
      </c>
      <c r="B1260" s="6">
        <v>46204</v>
      </c>
      <c r="C1260" s="8">
        <v>46207</v>
      </c>
      <c r="D1260" s="2" t="s">
        <v>199</v>
      </c>
      <c r="E1260" s="2" t="s">
        <v>12593</v>
      </c>
      <c r="F1260" s="2" t="s">
        <v>12425</v>
      </c>
      <c r="G1260" s="2" t="s">
        <v>15152</v>
      </c>
      <c r="H1260" s="2" t="s">
        <v>76</v>
      </c>
      <c r="I1260" s="9">
        <v>113243709.67741901</v>
      </c>
      <c r="J1260" s="7">
        <v>6.2000000000000003E-5</v>
      </c>
      <c r="K1260" s="9">
        <v>7021.11</v>
      </c>
      <c r="L1260" s="14">
        <v>0</v>
      </c>
      <c r="M1260" s="2" t="s">
        <v>71</v>
      </c>
      <c r="N1260" s="2" t="s">
        <v>13272</v>
      </c>
      <c r="O1260" s="2" t="s">
        <v>15153</v>
      </c>
      <c r="P1260" s="9">
        <v>0</v>
      </c>
      <c r="Q1260" s="9">
        <v>0</v>
      </c>
      <c r="R1260" s="2" t="s">
        <v>14653</v>
      </c>
    </row>
    <row r="1261" spans="1:18" x14ac:dyDescent="0.25">
      <c r="A1261" s="2" t="s">
        <v>5972</v>
      </c>
      <c r="B1261" s="6">
        <v>46204</v>
      </c>
      <c r="C1261" s="8">
        <v>46208</v>
      </c>
      <c r="D1261" s="2" t="s">
        <v>199</v>
      </c>
      <c r="E1261" s="2" t="s">
        <v>12593</v>
      </c>
      <c r="F1261" s="2" t="s">
        <v>12426</v>
      </c>
      <c r="G1261" s="2" t="s">
        <v>15154</v>
      </c>
      <c r="H1261" s="2" t="s">
        <v>70</v>
      </c>
      <c r="I1261" s="9">
        <v>10933.31307</v>
      </c>
      <c r="J1261" s="7">
        <v>0.65800000000000003</v>
      </c>
      <c r="K1261" s="9">
        <v>7194.12</v>
      </c>
      <c r="L1261" s="14">
        <v>0</v>
      </c>
      <c r="M1261" s="2" t="s">
        <v>71</v>
      </c>
      <c r="N1261" s="2" t="s">
        <v>13272</v>
      </c>
      <c r="O1261" s="2" t="s">
        <v>15155</v>
      </c>
      <c r="P1261" s="9">
        <v>0</v>
      </c>
      <c r="Q1261" s="9">
        <v>0</v>
      </c>
      <c r="R1261" s="2" t="s">
        <v>14626</v>
      </c>
    </row>
    <row r="1262" spans="1:18" x14ac:dyDescent="0.25">
      <c r="A1262" s="2" t="s">
        <v>5977</v>
      </c>
      <c r="B1262" s="6">
        <v>46204</v>
      </c>
      <c r="C1262" s="8">
        <v>46209</v>
      </c>
      <c r="D1262" s="2" t="s">
        <v>199</v>
      </c>
      <c r="E1262" s="2" t="s">
        <v>12593</v>
      </c>
      <c r="F1262" s="2" t="s">
        <v>12427</v>
      </c>
      <c r="G1262" s="2" t="s">
        <v>15156</v>
      </c>
      <c r="H1262" s="2" t="s">
        <v>39</v>
      </c>
      <c r="I1262" s="9">
        <v>7367.13</v>
      </c>
      <c r="J1262" s="7">
        <v>1</v>
      </c>
      <c r="K1262" s="9">
        <v>7367.13</v>
      </c>
      <c r="L1262" s="14">
        <v>0</v>
      </c>
      <c r="M1262" s="2" t="s">
        <v>71</v>
      </c>
      <c r="N1262" s="2" t="s">
        <v>13272</v>
      </c>
      <c r="O1262" s="2" t="s">
        <v>15157</v>
      </c>
      <c r="P1262" s="9">
        <v>0</v>
      </c>
      <c r="Q1262" s="9">
        <v>0</v>
      </c>
      <c r="R1262" s="2" t="s">
        <v>14629</v>
      </c>
    </row>
    <row r="1263" spans="1:18" x14ac:dyDescent="0.25">
      <c r="A1263" s="2" t="s">
        <v>5982</v>
      </c>
      <c r="B1263" s="6">
        <v>46204</v>
      </c>
      <c r="C1263" s="8">
        <v>46210</v>
      </c>
      <c r="D1263" s="2" t="s">
        <v>199</v>
      </c>
      <c r="E1263" s="2" t="s">
        <v>12593</v>
      </c>
      <c r="F1263" s="2" t="s">
        <v>12428</v>
      </c>
      <c r="G1263" s="2" t="s">
        <v>15158</v>
      </c>
      <c r="H1263" s="2" t="s">
        <v>76</v>
      </c>
      <c r="I1263" s="9">
        <v>121615161.290323</v>
      </c>
      <c r="J1263" s="7">
        <v>6.2000000000000003E-5</v>
      </c>
      <c r="K1263" s="9">
        <v>7540.14</v>
      </c>
      <c r="L1263" s="14">
        <v>0</v>
      </c>
      <c r="M1263" s="2" t="s">
        <v>71</v>
      </c>
      <c r="N1263" s="2" t="s">
        <v>13272</v>
      </c>
      <c r="O1263" s="2" t="s">
        <v>15159</v>
      </c>
      <c r="P1263" s="9">
        <v>0</v>
      </c>
      <c r="Q1263" s="9">
        <v>0</v>
      </c>
      <c r="R1263" s="2" t="s">
        <v>14632</v>
      </c>
    </row>
    <row r="1264" spans="1:18" x14ac:dyDescent="0.25">
      <c r="A1264" s="2" t="s">
        <v>5985</v>
      </c>
      <c r="B1264" s="6">
        <v>46204</v>
      </c>
      <c r="C1264" s="8">
        <v>46211</v>
      </c>
      <c r="D1264" s="2" t="s">
        <v>199</v>
      </c>
      <c r="E1264" s="2" t="s">
        <v>12593</v>
      </c>
      <c r="F1264" s="2" t="s">
        <v>12429</v>
      </c>
      <c r="G1264" s="2" t="s">
        <v>15160</v>
      </c>
      <c r="H1264" s="2" t="s">
        <v>70</v>
      </c>
      <c r="I1264" s="9">
        <v>11722.112461999999</v>
      </c>
      <c r="J1264" s="7">
        <v>0.65800000000000003</v>
      </c>
      <c r="K1264" s="9">
        <v>7713.15</v>
      </c>
      <c r="L1264" s="14">
        <v>0</v>
      </c>
      <c r="M1264" s="2" t="s">
        <v>71</v>
      </c>
      <c r="N1264" s="2" t="s">
        <v>13272</v>
      </c>
      <c r="O1264" s="2" t="s">
        <v>15161</v>
      </c>
      <c r="P1264" s="9">
        <v>0</v>
      </c>
      <c r="Q1264" s="9">
        <v>0</v>
      </c>
      <c r="R1264" s="2" t="s">
        <v>14635</v>
      </c>
    </row>
    <row r="1265" spans="1:18" x14ac:dyDescent="0.25">
      <c r="A1265" s="2" t="s">
        <v>5988</v>
      </c>
      <c r="B1265" s="6">
        <v>46204</v>
      </c>
      <c r="C1265" s="8">
        <v>46212</v>
      </c>
      <c r="D1265" s="2" t="s">
        <v>199</v>
      </c>
      <c r="E1265" s="2" t="s">
        <v>12593</v>
      </c>
      <c r="F1265" s="2" t="s">
        <v>12430</v>
      </c>
      <c r="G1265" s="2" t="s">
        <v>15162</v>
      </c>
      <c r="H1265" s="2" t="s">
        <v>39</v>
      </c>
      <c r="I1265" s="9">
        <v>7886.16</v>
      </c>
      <c r="J1265" s="7">
        <v>1</v>
      </c>
      <c r="K1265" s="9">
        <v>7886.16</v>
      </c>
      <c r="L1265" s="14">
        <v>0</v>
      </c>
      <c r="M1265" s="2" t="s">
        <v>71</v>
      </c>
      <c r="N1265" s="2" t="s">
        <v>13272</v>
      </c>
      <c r="O1265" s="2" t="s">
        <v>15163</v>
      </c>
      <c r="P1265" s="9">
        <v>0</v>
      </c>
      <c r="Q1265" s="9">
        <v>0</v>
      </c>
      <c r="R1265" s="2" t="s">
        <v>14638</v>
      </c>
    </row>
    <row r="1266" spans="1:18" x14ac:dyDescent="0.25">
      <c r="A1266" s="2" t="s">
        <v>5993</v>
      </c>
      <c r="B1266" s="6">
        <v>46204</v>
      </c>
      <c r="C1266" s="8">
        <v>46213</v>
      </c>
      <c r="D1266" s="2" t="s">
        <v>199</v>
      </c>
      <c r="E1266" s="2" t="s">
        <v>12593</v>
      </c>
      <c r="F1266" s="2" t="s">
        <v>12431</v>
      </c>
      <c r="G1266" s="2" t="s">
        <v>15164</v>
      </c>
      <c r="H1266" s="2" t="s">
        <v>76</v>
      </c>
      <c r="I1266" s="9">
        <v>129986612.903226</v>
      </c>
      <c r="J1266" s="7">
        <v>6.2000000000000003E-5</v>
      </c>
      <c r="K1266" s="9">
        <v>8059.17</v>
      </c>
      <c r="L1266" s="14">
        <v>0</v>
      </c>
      <c r="M1266" s="2" t="s">
        <v>71</v>
      </c>
      <c r="N1266" s="2" t="s">
        <v>13272</v>
      </c>
      <c r="O1266" s="2" t="s">
        <v>15165</v>
      </c>
      <c r="P1266" s="9">
        <v>0</v>
      </c>
      <c r="Q1266" s="9">
        <v>0</v>
      </c>
      <c r="R1266" s="2" t="s">
        <v>14641</v>
      </c>
    </row>
    <row r="1267" spans="1:18" x14ac:dyDescent="0.25">
      <c r="A1267" s="2" t="s">
        <v>5996</v>
      </c>
      <c r="B1267" s="6">
        <v>46204</v>
      </c>
      <c r="C1267" s="8">
        <v>46214</v>
      </c>
      <c r="D1267" s="2" t="s">
        <v>199</v>
      </c>
      <c r="E1267" s="2" t="s">
        <v>12593</v>
      </c>
      <c r="F1267" s="2" t="s">
        <v>12432</v>
      </c>
      <c r="G1267" s="2" t="s">
        <v>15166</v>
      </c>
      <c r="H1267" s="2" t="s">
        <v>70</v>
      </c>
      <c r="I1267" s="9">
        <v>12510.911854</v>
      </c>
      <c r="J1267" s="7">
        <v>0.65800000000000003</v>
      </c>
      <c r="K1267" s="9">
        <v>8232.18</v>
      </c>
      <c r="L1267" s="14">
        <v>0</v>
      </c>
      <c r="M1267" s="2" t="s">
        <v>71</v>
      </c>
      <c r="N1267" s="2" t="s">
        <v>13272</v>
      </c>
      <c r="O1267" s="2" t="s">
        <v>15167</v>
      </c>
      <c r="P1267" s="9">
        <v>0</v>
      </c>
      <c r="Q1267" s="9">
        <v>0</v>
      </c>
      <c r="R1267" s="2" t="s">
        <v>14644</v>
      </c>
    </row>
    <row r="1268" spans="1:18" x14ac:dyDescent="0.25">
      <c r="A1268" s="2" t="s">
        <v>5999</v>
      </c>
      <c r="B1268" s="6">
        <v>46204</v>
      </c>
      <c r="C1268" s="8">
        <v>46215</v>
      </c>
      <c r="D1268" s="2" t="s">
        <v>199</v>
      </c>
      <c r="E1268" s="2" t="s">
        <v>12593</v>
      </c>
      <c r="F1268" s="2" t="s">
        <v>12423</v>
      </c>
      <c r="G1268" s="2" t="s">
        <v>15168</v>
      </c>
      <c r="H1268" s="2" t="s">
        <v>39</v>
      </c>
      <c r="I1268" s="9">
        <v>8405.19</v>
      </c>
      <c r="J1268" s="7">
        <v>1</v>
      </c>
      <c r="K1268" s="9">
        <v>8405.19</v>
      </c>
      <c r="L1268" s="14">
        <v>0</v>
      </c>
      <c r="M1268" s="2" t="s">
        <v>71</v>
      </c>
      <c r="N1268" s="2" t="s">
        <v>13272</v>
      </c>
      <c r="O1268" s="2" t="s">
        <v>15169</v>
      </c>
      <c r="P1268" s="9">
        <v>0</v>
      </c>
      <c r="Q1268" s="9">
        <v>0</v>
      </c>
      <c r="R1268" s="2" t="s">
        <v>14647</v>
      </c>
    </row>
    <row r="1269" spans="1:18" x14ac:dyDescent="0.25">
      <c r="A1269" s="2" t="s">
        <v>6002</v>
      </c>
      <c r="B1269" s="6">
        <v>46204</v>
      </c>
      <c r="C1269" s="8">
        <v>46216</v>
      </c>
      <c r="D1269" s="2" t="s">
        <v>199</v>
      </c>
      <c r="E1269" s="2" t="s">
        <v>12593</v>
      </c>
      <c r="F1269" s="2" t="s">
        <v>12424</v>
      </c>
      <c r="G1269" s="2" t="s">
        <v>15170</v>
      </c>
      <c r="H1269" s="2" t="s">
        <v>76</v>
      </c>
      <c r="I1269" s="9">
        <v>138358064.51612899</v>
      </c>
      <c r="J1269" s="7">
        <v>6.2000000000000003E-5</v>
      </c>
      <c r="K1269" s="9">
        <v>8578.2000000000007</v>
      </c>
      <c r="L1269" s="14">
        <v>0</v>
      </c>
      <c r="M1269" s="2" t="s">
        <v>71</v>
      </c>
      <c r="N1269" s="2" t="s">
        <v>13272</v>
      </c>
      <c r="O1269" s="2" t="s">
        <v>15171</v>
      </c>
      <c r="P1269" s="9">
        <v>0</v>
      </c>
      <c r="Q1269" s="9">
        <v>0</v>
      </c>
      <c r="R1269" s="2" t="s">
        <v>14650</v>
      </c>
    </row>
    <row r="1270" spans="1:18" x14ac:dyDescent="0.25">
      <c r="A1270" s="2" t="s">
        <v>6005</v>
      </c>
      <c r="B1270" s="6">
        <v>46204</v>
      </c>
      <c r="C1270" s="8">
        <v>46217</v>
      </c>
      <c r="D1270" s="2" t="s">
        <v>199</v>
      </c>
      <c r="E1270" s="2" t="s">
        <v>12593</v>
      </c>
      <c r="F1270" s="2" t="s">
        <v>12425</v>
      </c>
      <c r="G1270" s="2" t="s">
        <v>15172</v>
      </c>
      <c r="H1270" s="2" t="s">
        <v>70</v>
      </c>
      <c r="I1270" s="9">
        <v>13299.711246000001</v>
      </c>
      <c r="J1270" s="7">
        <v>0.65800000000000003</v>
      </c>
      <c r="K1270" s="9">
        <v>8751.2099999999991</v>
      </c>
      <c r="L1270" s="14">
        <v>0</v>
      </c>
      <c r="M1270" s="2" t="s">
        <v>71</v>
      </c>
      <c r="N1270" s="2" t="s">
        <v>13272</v>
      </c>
      <c r="O1270" s="2" t="s">
        <v>15173</v>
      </c>
      <c r="P1270" s="9">
        <v>0</v>
      </c>
      <c r="Q1270" s="9">
        <v>0</v>
      </c>
      <c r="R1270" s="2" t="s">
        <v>14653</v>
      </c>
    </row>
    <row r="1271" spans="1:18" x14ac:dyDescent="0.25">
      <c r="A1271" s="2" t="s">
        <v>6008</v>
      </c>
      <c r="B1271" s="6">
        <v>46204</v>
      </c>
      <c r="C1271" s="8">
        <v>46218</v>
      </c>
      <c r="D1271" s="2" t="s">
        <v>199</v>
      </c>
      <c r="E1271" s="2" t="s">
        <v>12593</v>
      </c>
      <c r="F1271" s="2" t="s">
        <v>12426</v>
      </c>
      <c r="G1271" s="2" t="s">
        <v>15174</v>
      </c>
      <c r="H1271" s="2" t="s">
        <v>39</v>
      </c>
      <c r="I1271" s="9">
        <v>8924.2199999999993</v>
      </c>
      <c r="J1271" s="7">
        <v>1</v>
      </c>
      <c r="K1271" s="9">
        <v>8924.2199999999993</v>
      </c>
      <c r="L1271" s="14">
        <v>0</v>
      </c>
      <c r="M1271" s="2" t="s">
        <v>71</v>
      </c>
      <c r="N1271" s="2" t="s">
        <v>13272</v>
      </c>
      <c r="O1271" s="2" t="s">
        <v>15175</v>
      </c>
      <c r="P1271" s="9">
        <v>0</v>
      </c>
      <c r="Q1271" s="9">
        <v>0</v>
      </c>
      <c r="R1271" s="2" t="s">
        <v>14626</v>
      </c>
    </row>
    <row r="1272" spans="1:18" x14ac:dyDescent="0.25">
      <c r="A1272" s="2" t="s">
        <v>6013</v>
      </c>
      <c r="B1272" s="6">
        <v>46204</v>
      </c>
      <c r="C1272" s="8">
        <v>46219</v>
      </c>
      <c r="D1272" s="2" t="s">
        <v>199</v>
      </c>
      <c r="E1272" s="2" t="s">
        <v>12593</v>
      </c>
      <c r="F1272" s="2" t="s">
        <v>12427</v>
      </c>
      <c r="G1272" s="2" t="s">
        <v>15176</v>
      </c>
      <c r="H1272" s="2" t="s">
        <v>76</v>
      </c>
      <c r="I1272" s="9">
        <v>146729516.12903199</v>
      </c>
      <c r="J1272" s="7">
        <v>6.2000000000000003E-5</v>
      </c>
      <c r="K1272" s="9">
        <v>9097.23</v>
      </c>
      <c r="L1272" s="14">
        <v>0</v>
      </c>
      <c r="M1272" s="2" t="s">
        <v>71</v>
      </c>
      <c r="N1272" s="2" t="s">
        <v>13272</v>
      </c>
      <c r="O1272" s="2" t="s">
        <v>15177</v>
      </c>
      <c r="P1272" s="9">
        <v>0</v>
      </c>
      <c r="Q1272" s="9">
        <v>0</v>
      </c>
      <c r="R1272" s="2" t="s">
        <v>14629</v>
      </c>
    </row>
    <row r="1273" spans="1:18" x14ac:dyDescent="0.25">
      <c r="A1273" s="2" t="s">
        <v>6018</v>
      </c>
      <c r="B1273" s="6">
        <v>46204</v>
      </c>
      <c r="C1273" s="8">
        <v>46220</v>
      </c>
      <c r="D1273" s="2" t="s">
        <v>199</v>
      </c>
      <c r="E1273" s="2" t="s">
        <v>12593</v>
      </c>
      <c r="F1273" s="2" t="s">
        <v>12428</v>
      </c>
      <c r="G1273" s="2" t="s">
        <v>15178</v>
      </c>
      <c r="H1273" s="2" t="s">
        <v>70</v>
      </c>
      <c r="I1273" s="9">
        <v>14088.510638</v>
      </c>
      <c r="J1273" s="7">
        <v>0.65800000000000003</v>
      </c>
      <c r="K1273" s="9">
        <v>9270.24</v>
      </c>
      <c r="L1273" s="14">
        <v>0</v>
      </c>
      <c r="M1273" s="2" t="s">
        <v>71</v>
      </c>
      <c r="N1273" s="2" t="s">
        <v>13272</v>
      </c>
      <c r="O1273" s="2" t="s">
        <v>15179</v>
      </c>
      <c r="P1273" s="9">
        <v>0</v>
      </c>
      <c r="Q1273" s="9">
        <v>0</v>
      </c>
      <c r="R1273" s="2" t="s">
        <v>14632</v>
      </c>
    </row>
    <row r="1274" spans="1:18" x14ac:dyDescent="0.25">
      <c r="A1274" s="2" t="s">
        <v>6021</v>
      </c>
      <c r="B1274" s="6">
        <v>46204</v>
      </c>
      <c r="C1274" s="8">
        <v>46221</v>
      </c>
      <c r="D1274" s="2" t="s">
        <v>199</v>
      </c>
      <c r="E1274" s="2" t="s">
        <v>12593</v>
      </c>
      <c r="F1274" s="2" t="s">
        <v>12429</v>
      </c>
      <c r="G1274" s="2" t="s">
        <v>15180</v>
      </c>
      <c r="H1274" s="2" t="s">
        <v>39</v>
      </c>
      <c r="I1274" s="9">
        <v>9443.25</v>
      </c>
      <c r="J1274" s="7">
        <v>1</v>
      </c>
      <c r="K1274" s="9">
        <v>9443.25</v>
      </c>
      <c r="L1274" s="14">
        <v>0</v>
      </c>
      <c r="M1274" s="2" t="s">
        <v>71</v>
      </c>
      <c r="N1274" s="2" t="s">
        <v>13272</v>
      </c>
      <c r="O1274" s="2" t="s">
        <v>15181</v>
      </c>
      <c r="P1274" s="9">
        <v>0</v>
      </c>
      <c r="Q1274" s="9">
        <v>0</v>
      </c>
      <c r="R1274" s="2" t="s">
        <v>14635</v>
      </c>
    </row>
    <row r="1275" spans="1:18" x14ac:dyDescent="0.25">
      <c r="A1275" s="2" t="s">
        <v>6024</v>
      </c>
      <c r="B1275" s="6">
        <v>46204</v>
      </c>
      <c r="C1275" s="8">
        <v>46222</v>
      </c>
      <c r="D1275" s="2" t="s">
        <v>199</v>
      </c>
      <c r="E1275" s="2" t="s">
        <v>12593</v>
      </c>
      <c r="F1275" s="2" t="s">
        <v>12430</v>
      </c>
      <c r="G1275" s="2" t="s">
        <v>15182</v>
      </c>
      <c r="H1275" s="2" t="s">
        <v>76</v>
      </c>
      <c r="I1275" s="9">
        <v>155100967.74193501</v>
      </c>
      <c r="J1275" s="7">
        <v>6.2000000000000003E-5</v>
      </c>
      <c r="K1275" s="9">
        <v>9616.26</v>
      </c>
      <c r="L1275" s="14">
        <v>0</v>
      </c>
      <c r="M1275" s="2" t="s">
        <v>71</v>
      </c>
      <c r="N1275" s="2" t="s">
        <v>13272</v>
      </c>
      <c r="O1275" s="2" t="s">
        <v>15183</v>
      </c>
      <c r="P1275" s="9">
        <v>0</v>
      </c>
      <c r="Q1275" s="9">
        <v>0</v>
      </c>
      <c r="R1275" s="2" t="s">
        <v>14638</v>
      </c>
    </row>
    <row r="1276" spans="1:18" x14ac:dyDescent="0.25">
      <c r="A1276" s="2" t="s">
        <v>6029</v>
      </c>
      <c r="B1276" s="6">
        <v>46204</v>
      </c>
      <c r="C1276" s="8">
        <v>46223</v>
      </c>
      <c r="D1276" s="2" t="s">
        <v>199</v>
      </c>
      <c r="E1276" s="2" t="s">
        <v>12593</v>
      </c>
      <c r="F1276" s="2" t="s">
        <v>12431</v>
      </c>
      <c r="G1276" s="2" t="s">
        <v>15184</v>
      </c>
      <c r="H1276" s="2" t="s">
        <v>70</v>
      </c>
      <c r="I1276" s="9">
        <v>14877.310030000001</v>
      </c>
      <c r="J1276" s="7">
        <v>0.65800000000000003</v>
      </c>
      <c r="K1276" s="9">
        <v>9789.27</v>
      </c>
      <c r="L1276" s="14">
        <v>0</v>
      </c>
      <c r="M1276" s="2" t="s">
        <v>71</v>
      </c>
      <c r="N1276" s="2" t="s">
        <v>13272</v>
      </c>
      <c r="O1276" s="2" t="s">
        <v>15185</v>
      </c>
      <c r="P1276" s="9">
        <v>0</v>
      </c>
      <c r="Q1276" s="9">
        <v>0</v>
      </c>
      <c r="R1276" s="2" t="s">
        <v>14641</v>
      </c>
    </row>
    <row r="1277" spans="1:18" x14ac:dyDescent="0.25">
      <c r="A1277" s="2" t="s">
        <v>6032</v>
      </c>
      <c r="B1277" s="6">
        <v>46204</v>
      </c>
      <c r="C1277" s="8">
        <v>46224</v>
      </c>
      <c r="D1277" s="2" t="s">
        <v>199</v>
      </c>
      <c r="E1277" s="2" t="s">
        <v>12593</v>
      </c>
      <c r="F1277" s="2" t="s">
        <v>12432</v>
      </c>
      <c r="G1277" s="2" t="s">
        <v>15186</v>
      </c>
      <c r="H1277" s="2" t="s">
        <v>39</v>
      </c>
      <c r="I1277" s="9">
        <v>9962.2800000000007</v>
      </c>
      <c r="J1277" s="7">
        <v>1</v>
      </c>
      <c r="K1277" s="9">
        <v>9962.2800000000007</v>
      </c>
      <c r="L1277" s="14">
        <v>0</v>
      </c>
      <c r="M1277" s="2" t="s">
        <v>71</v>
      </c>
      <c r="N1277" s="2" t="s">
        <v>13272</v>
      </c>
      <c r="O1277" s="2" t="s">
        <v>15187</v>
      </c>
      <c r="P1277" s="9">
        <v>0</v>
      </c>
      <c r="Q1277" s="9">
        <v>0</v>
      </c>
      <c r="R1277" s="2" t="s">
        <v>14644</v>
      </c>
    </row>
    <row r="1278" spans="1:18" x14ac:dyDescent="0.25">
      <c r="A1278" s="2" t="s">
        <v>6035</v>
      </c>
      <c r="B1278" s="6">
        <v>46204</v>
      </c>
      <c r="C1278" s="8">
        <v>46225</v>
      </c>
      <c r="D1278" s="2" t="s">
        <v>199</v>
      </c>
      <c r="E1278" s="2" t="s">
        <v>12593</v>
      </c>
      <c r="F1278" s="2" t="s">
        <v>12423</v>
      </c>
      <c r="G1278" s="2" t="s">
        <v>15188</v>
      </c>
      <c r="H1278" s="2" t="s">
        <v>76</v>
      </c>
      <c r="I1278" s="9">
        <v>163472419.354839</v>
      </c>
      <c r="J1278" s="7">
        <v>6.2000000000000003E-5</v>
      </c>
      <c r="K1278" s="9">
        <v>10135.290000000001</v>
      </c>
      <c r="L1278" s="14">
        <v>0</v>
      </c>
      <c r="M1278" s="2" t="s">
        <v>71</v>
      </c>
      <c r="N1278" s="2" t="s">
        <v>13272</v>
      </c>
      <c r="O1278" s="2" t="s">
        <v>15189</v>
      </c>
      <c r="P1278" s="9">
        <v>0</v>
      </c>
      <c r="Q1278" s="9">
        <v>0</v>
      </c>
      <c r="R1278" s="2" t="s">
        <v>14647</v>
      </c>
    </row>
    <row r="1279" spans="1:18" x14ac:dyDescent="0.25">
      <c r="A1279" s="2" t="s">
        <v>6038</v>
      </c>
      <c r="B1279" s="6">
        <v>46204</v>
      </c>
      <c r="C1279" s="8">
        <v>46226</v>
      </c>
      <c r="D1279" s="2" t="s">
        <v>199</v>
      </c>
      <c r="E1279" s="2" t="s">
        <v>12593</v>
      </c>
      <c r="F1279" s="2" t="s">
        <v>12424</v>
      </c>
      <c r="G1279" s="2" t="s">
        <v>15190</v>
      </c>
      <c r="H1279" s="2" t="s">
        <v>70</v>
      </c>
      <c r="I1279" s="9">
        <v>15666.109422</v>
      </c>
      <c r="J1279" s="7">
        <v>0.65800000000000003</v>
      </c>
      <c r="K1279" s="9">
        <v>10308.299999999999</v>
      </c>
      <c r="L1279" s="14">
        <v>0</v>
      </c>
      <c r="M1279" s="2" t="s">
        <v>71</v>
      </c>
      <c r="N1279" s="2" t="s">
        <v>13272</v>
      </c>
      <c r="O1279" s="2" t="s">
        <v>15191</v>
      </c>
      <c r="P1279" s="9">
        <v>0</v>
      </c>
      <c r="Q1279" s="9">
        <v>0</v>
      </c>
      <c r="R1279" s="2" t="s">
        <v>14650</v>
      </c>
    </row>
    <row r="1280" spans="1:18" x14ac:dyDescent="0.25">
      <c r="A1280" s="2" t="s">
        <v>6041</v>
      </c>
      <c r="B1280" s="6">
        <v>46204</v>
      </c>
      <c r="C1280" s="8">
        <v>46227</v>
      </c>
      <c r="D1280" s="2" t="s">
        <v>199</v>
      </c>
      <c r="E1280" s="2" t="s">
        <v>12593</v>
      </c>
      <c r="F1280" s="2" t="s">
        <v>12425</v>
      </c>
      <c r="G1280" s="2" t="s">
        <v>15192</v>
      </c>
      <c r="H1280" s="2" t="s">
        <v>39</v>
      </c>
      <c r="I1280" s="9">
        <v>10481.31</v>
      </c>
      <c r="J1280" s="7">
        <v>1</v>
      </c>
      <c r="K1280" s="9">
        <v>10481.31</v>
      </c>
      <c r="L1280" s="14">
        <v>0</v>
      </c>
      <c r="M1280" s="2" t="s">
        <v>71</v>
      </c>
      <c r="N1280" s="2" t="s">
        <v>13272</v>
      </c>
      <c r="O1280" s="2" t="s">
        <v>15193</v>
      </c>
      <c r="P1280" s="9">
        <v>0</v>
      </c>
      <c r="Q1280" s="9">
        <v>0</v>
      </c>
      <c r="R1280" s="2" t="s">
        <v>14653</v>
      </c>
    </row>
    <row r="1281" spans="1:18" x14ac:dyDescent="0.25">
      <c r="A1281" s="2" t="s">
        <v>6044</v>
      </c>
      <c r="B1281" s="6">
        <v>46204</v>
      </c>
      <c r="C1281" s="8">
        <v>46228</v>
      </c>
      <c r="D1281" s="2" t="s">
        <v>199</v>
      </c>
      <c r="E1281" s="2" t="s">
        <v>12593</v>
      </c>
      <c r="F1281" s="2" t="s">
        <v>12426</v>
      </c>
      <c r="G1281" s="2" t="s">
        <v>15194</v>
      </c>
      <c r="H1281" s="2" t="s">
        <v>76</v>
      </c>
      <c r="I1281" s="9">
        <v>171843870.967742</v>
      </c>
      <c r="J1281" s="7">
        <v>6.2000000000000003E-5</v>
      </c>
      <c r="K1281" s="9">
        <v>10654.32</v>
      </c>
      <c r="L1281" s="14">
        <v>0</v>
      </c>
      <c r="M1281" s="2" t="s">
        <v>71</v>
      </c>
      <c r="N1281" s="2" t="s">
        <v>13272</v>
      </c>
      <c r="O1281" s="2" t="s">
        <v>15195</v>
      </c>
      <c r="P1281" s="9">
        <v>0</v>
      </c>
      <c r="Q1281" s="9">
        <v>0</v>
      </c>
      <c r="R1281" s="2" t="s">
        <v>14626</v>
      </c>
    </row>
    <row r="1282" spans="1:18" x14ac:dyDescent="0.25">
      <c r="A1282" s="2" t="s">
        <v>6049</v>
      </c>
      <c r="B1282" s="6">
        <v>46204</v>
      </c>
      <c r="C1282" s="8">
        <v>46229</v>
      </c>
      <c r="D1282" s="2" t="s">
        <v>199</v>
      </c>
      <c r="E1282" s="2" t="s">
        <v>12593</v>
      </c>
      <c r="F1282" s="2" t="s">
        <v>12427</v>
      </c>
      <c r="G1282" s="2" t="s">
        <v>15196</v>
      </c>
      <c r="H1282" s="2" t="s">
        <v>70</v>
      </c>
      <c r="I1282" s="9">
        <v>-16454.908814999999</v>
      </c>
      <c r="J1282" s="7">
        <v>0.65800000000000003</v>
      </c>
      <c r="K1282" s="9">
        <v>-10827.33</v>
      </c>
      <c r="L1282" s="14">
        <v>0</v>
      </c>
      <c r="M1282" s="2" t="s">
        <v>71</v>
      </c>
      <c r="N1282" s="2" t="s">
        <v>13272</v>
      </c>
      <c r="O1282" s="2" t="s">
        <v>15197</v>
      </c>
      <c r="P1282" s="9">
        <v>0</v>
      </c>
      <c r="Q1282" s="9">
        <v>0</v>
      </c>
      <c r="R1282" s="2" t="s">
        <v>14629</v>
      </c>
    </row>
    <row r="1283" spans="1:18" x14ac:dyDescent="0.25">
      <c r="A1283" s="2" t="s">
        <v>6052</v>
      </c>
      <c r="B1283" s="6">
        <v>46204</v>
      </c>
      <c r="C1283" s="8">
        <v>46230</v>
      </c>
      <c r="D1283" s="2" t="s">
        <v>199</v>
      </c>
      <c r="E1283" s="2" t="s">
        <v>12593</v>
      </c>
      <c r="F1283" s="2" t="s">
        <v>12428</v>
      </c>
      <c r="G1283" s="2" t="s">
        <v>15198</v>
      </c>
      <c r="H1283" s="2" t="s">
        <v>39</v>
      </c>
      <c r="I1283" s="9">
        <v>11000.34</v>
      </c>
      <c r="J1283" s="7">
        <v>1</v>
      </c>
      <c r="K1283" s="9">
        <v>11000.34</v>
      </c>
      <c r="L1283" s="14">
        <v>0</v>
      </c>
      <c r="M1283" s="2" t="s">
        <v>71</v>
      </c>
      <c r="N1283" s="2" t="s">
        <v>13272</v>
      </c>
      <c r="O1283" s="2" t="s">
        <v>15199</v>
      </c>
      <c r="P1283" s="9">
        <v>0</v>
      </c>
      <c r="Q1283" s="9">
        <v>0</v>
      </c>
      <c r="R1283" s="2" t="s">
        <v>14632</v>
      </c>
    </row>
    <row r="1284" spans="1:18" x14ac:dyDescent="0.25">
      <c r="A1284" s="2" t="s">
        <v>6055</v>
      </c>
      <c r="B1284" s="6">
        <v>46204</v>
      </c>
      <c r="C1284" s="8">
        <v>46231</v>
      </c>
      <c r="D1284" s="2" t="s">
        <v>199</v>
      </c>
      <c r="E1284" s="2" t="s">
        <v>12593</v>
      </c>
      <c r="F1284" s="2" t="s">
        <v>12429</v>
      </c>
      <c r="G1284" s="2" t="s">
        <v>15200</v>
      </c>
      <c r="H1284" s="2" t="s">
        <v>76</v>
      </c>
      <c r="I1284" s="9">
        <v>180215322.58064499</v>
      </c>
      <c r="J1284" s="7">
        <v>6.2000000000000003E-5</v>
      </c>
      <c r="K1284" s="9">
        <v>11173.35</v>
      </c>
      <c r="L1284" s="14">
        <v>0</v>
      </c>
      <c r="M1284" s="2" t="s">
        <v>71</v>
      </c>
      <c r="N1284" s="2" t="s">
        <v>13272</v>
      </c>
      <c r="O1284" s="2" t="s">
        <v>15201</v>
      </c>
      <c r="P1284" s="9">
        <v>0</v>
      </c>
      <c r="Q1284" s="9">
        <v>0</v>
      </c>
      <c r="R1284" s="2" t="s">
        <v>14635</v>
      </c>
    </row>
    <row r="1285" spans="1:18" x14ac:dyDescent="0.25">
      <c r="A1285" s="2" t="s">
        <v>6058</v>
      </c>
      <c r="B1285" s="6">
        <v>46204</v>
      </c>
      <c r="C1285" s="8">
        <v>46232</v>
      </c>
      <c r="D1285" s="2" t="s">
        <v>199</v>
      </c>
      <c r="E1285" s="2" t="s">
        <v>12593</v>
      </c>
      <c r="F1285" s="2" t="s">
        <v>12430</v>
      </c>
      <c r="G1285" s="2" t="s">
        <v>15202</v>
      </c>
      <c r="H1285" s="2" t="s">
        <v>70</v>
      </c>
      <c r="I1285" s="9">
        <v>17243.708207</v>
      </c>
      <c r="J1285" s="7">
        <v>0.65800000000000003</v>
      </c>
      <c r="K1285" s="9">
        <v>11346.36</v>
      </c>
      <c r="L1285" s="14">
        <v>0</v>
      </c>
      <c r="M1285" s="2" t="s">
        <v>71</v>
      </c>
      <c r="N1285" s="2" t="s">
        <v>13272</v>
      </c>
      <c r="O1285" s="2" t="s">
        <v>15203</v>
      </c>
      <c r="P1285" s="9">
        <v>0</v>
      </c>
      <c r="Q1285" s="9">
        <v>0</v>
      </c>
      <c r="R1285" s="2" t="s">
        <v>14638</v>
      </c>
    </row>
    <row r="1286" spans="1:18" x14ac:dyDescent="0.25">
      <c r="A1286" s="2" t="s">
        <v>6063</v>
      </c>
      <c r="B1286" s="6">
        <v>46204</v>
      </c>
      <c r="C1286" s="8">
        <v>46233</v>
      </c>
      <c r="D1286" s="2" t="s">
        <v>199</v>
      </c>
      <c r="E1286" s="2" t="s">
        <v>12593</v>
      </c>
      <c r="F1286" s="2" t="s">
        <v>12431</v>
      </c>
      <c r="G1286" s="2" t="s">
        <v>15204</v>
      </c>
      <c r="H1286" s="2" t="s">
        <v>39</v>
      </c>
      <c r="I1286" s="9">
        <v>11519.37</v>
      </c>
      <c r="J1286" s="7">
        <v>1</v>
      </c>
      <c r="K1286" s="9">
        <v>11519.37</v>
      </c>
      <c r="L1286" s="14">
        <v>0</v>
      </c>
      <c r="M1286" s="2" t="s">
        <v>71</v>
      </c>
      <c r="N1286" s="2" t="s">
        <v>13272</v>
      </c>
      <c r="O1286" s="2" t="s">
        <v>15205</v>
      </c>
      <c r="P1286" s="9">
        <v>0</v>
      </c>
      <c r="Q1286" s="9">
        <v>0</v>
      </c>
      <c r="R1286" s="2" t="s">
        <v>14641</v>
      </c>
    </row>
    <row r="1287" spans="1:18" x14ac:dyDescent="0.25">
      <c r="A1287" s="2" t="s">
        <v>6066</v>
      </c>
      <c r="B1287" s="6">
        <v>46204</v>
      </c>
      <c r="C1287" s="8">
        <v>46234</v>
      </c>
      <c r="D1287" s="2" t="s">
        <v>199</v>
      </c>
      <c r="E1287" s="2" t="s">
        <v>12593</v>
      </c>
      <c r="F1287" s="2" t="s">
        <v>12432</v>
      </c>
      <c r="G1287" s="2" t="s">
        <v>15206</v>
      </c>
      <c r="H1287" s="2" t="s">
        <v>76</v>
      </c>
      <c r="I1287" s="9">
        <v>188586774.19354799</v>
      </c>
      <c r="J1287" s="7">
        <v>6.2000000000000003E-5</v>
      </c>
      <c r="K1287" s="9">
        <v>11692.38</v>
      </c>
      <c r="L1287" s="14">
        <v>0</v>
      </c>
      <c r="M1287" s="2" t="s">
        <v>71</v>
      </c>
      <c r="N1287" s="2" t="s">
        <v>13272</v>
      </c>
      <c r="O1287" s="2" t="s">
        <v>15207</v>
      </c>
      <c r="P1287" s="9">
        <v>0</v>
      </c>
      <c r="Q1287" s="9">
        <v>0</v>
      </c>
      <c r="R1287" s="2" t="s">
        <v>14644</v>
      </c>
    </row>
    <row r="1288" spans="1:18" x14ac:dyDescent="0.25">
      <c r="A1288" s="2" t="s">
        <v>6069</v>
      </c>
      <c r="B1288" s="6">
        <v>46204</v>
      </c>
      <c r="C1288" s="8">
        <v>46204</v>
      </c>
      <c r="D1288" s="2" t="s">
        <v>199</v>
      </c>
      <c r="E1288" s="2" t="s">
        <v>12593</v>
      </c>
      <c r="F1288" s="2" t="s">
        <v>12423</v>
      </c>
      <c r="G1288" s="2" t="s">
        <v>15208</v>
      </c>
      <c r="H1288" s="2" t="s">
        <v>70</v>
      </c>
      <c r="I1288" s="9">
        <v>18032.507599</v>
      </c>
      <c r="J1288" s="7">
        <v>0.65800000000000003</v>
      </c>
      <c r="K1288" s="9">
        <v>11865.39</v>
      </c>
      <c r="L1288" s="14">
        <v>0</v>
      </c>
      <c r="M1288" s="2" t="s">
        <v>71</v>
      </c>
      <c r="N1288" s="2" t="s">
        <v>13272</v>
      </c>
      <c r="O1288" s="2" t="s">
        <v>15209</v>
      </c>
      <c r="P1288" s="9">
        <v>0</v>
      </c>
      <c r="Q1288" s="9">
        <v>0</v>
      </c>
      <c r="R1288" s="2" t="s">
        <v>14647</v>
      </c>
    </row>
    <row r="1289" spans="1:18" x14ac:dyDescent="0.25">
      <c r="A1289" s="2" t="s">
        <v>6072</v>
      </c>
      <c r="B1289" s="6">
        <v>46204</v>
      </c>
      <c r="C1289" s="8">
        <v>46205</v>
      </c>
      <c r="D1289" s="2" t="s">
        <v>199</v>
      </c>
      <c r="E1289" s="2" t="s">
        <v>12593</v>
      </c>
      <c r="F1289" s="2" t="s">
        <v>12424</v>
      </c>
      <c r="G1289" s="2" t="s">
        <v>15210</v>
      </c>
      <c r="H1289" s="2" t="s">
        <v>39</v>
      </c>
      <c r="I1289" s="9">
        <v>12038.4</v>
      </c>
      <c r="J1289" s="7">
        <v>1</v>
      </c>
      <c r="K1289" s="9">
        <v>12038.4</v>
      </c>
      <c r="L1289" s="14">
        <v>0</v>
      </c>
      <c r="M1289" s="2" t="s">
        <v>71</v>
      </c>
      <c r="N1289" s="2" t="s">
        <v>13272</v>
      </c>
      <c r="O1289" s="2" t="s">
        <v>15211</v>
      </c>
      <c r="P1289" s="9">
        <v>0</v>
      </c>
      <c r="Q1289" s="9">
        <v>0</v>
      </c>
      <c r="R1289" s="2" t="s">
        <v>14650</v>
      </c>
    </row>
    <row r="1290" spans="1:18" x14ac:dyDescent="0.25">
      <c r="A1290" s="2" t="s">
        <v>6075</v>
      </c>
      <c r="B1290" s="6">
        <v>46204</v>
      </c>
      <c r="C1290" s="8">
        <v>46206</v>
      </c>
      <c r="D1290" s="2" t="s">
        <v>199</v>
      </c>
      <c r="E1290" s="2" t="s">
        <v>12593</v>
      </c>
      <c r="F1290" s="2" t="s">
        <v>12425</v>
      </c>
      <c r="G1290" s="2" t="s">
        <v>15212</v>
      </c>
      <c r="H1290" s="2" t="s">
        <v>76</v>
      </c>
      <c r="I1290" s="9">
        <v>196958225.80645201</v>
      </c>
      <c r="J1290" s="7">
        <v>6.2000000000000003E-5</v>
      </c>
      <c r="K1290" s="9">
        <v>12211.41</v>
      </c>
      <c r="L1290" s="14">
        <v>0</v>
      </c>
      <c r="M1290" s="2" t="s">
        <v>71</v>
      </c>
      <c r="N1290" s="2" t="s">
        <v>13272</v>
      </c>
      <c r="O1290" s="2" t="s">
        <v>15213</v>
      </c>
      <c r="P1290" s="9">
        <v>0</v>
      </c>
      <c r="Q1290" s="9">
        <v>0</v>
      </c>
      <c r="R1290" s="2" t="s">
        <v>14653</v>
      </c>
    </row>
    <row r="1291" spans="1:18" x14ac:dyDescent="0.25">
      <c r="A1291" s="2" t="s">
        <v>6078</v>
      </c>
      <c r="B1291" s="6">
        <v>46204</v>
      </c>
      <c r="C1291" s="8">
        <v>46207</v>
      </c>
      <c r="D1291" s="2" t="s">
        <v>199</v>
      </c>
      <c r="E1291" s="2" t="s">
        <v>12593</v>
      </c>
      <c r="F1291" s="2" t="s">
        <v>12426</v>
      </c>
      <c r="G1291" s="2" t="s">
        <v>15214</v>
      </c>
      <c r="H1291" s="2" t="s">
        <v>70</v>
      </c>
      <c r="I1291" s="9">
        <v>18821.306991000001</v>
      </c>
      <c r="J1291" s="7">
        <v>0.65800000000000003</v>
      </c>
      <c r="K1291" s="9">
        <v>12384.42</v>
      </c>
      <c r="L1291" s="14">
        <v>0</v>
      </c>
      <c r="M1291" s="2" t="s">
        <v>71</v>
      </c>
      <c r="N1291" s="2" t="s">
        <v>13272</v>
      </c>
      <c r="O1291" s="2" t="s">
        <v>15215</v>
      </c>
      <c r="P1291" s="9">
        <v>0</v>
      </c>
      <c r="Q1291" s="9">
        <v>0</v>
      </c>
      <c r="R1291" s="2" t="s">
        <v>14626</v>
      </c>
    </row>
    <row r="1292" spans="1:18" x14ac:dyDescent="0.25">
      <c r="A1292" s="2" t="s">
        <v>6083</v>
      </c>
      <c r="B1292" s="6">
        <v>46204</v>
      </c>
      <c r="C1292" s="8">
        <v>46208</v>
      </c>
      <c r="D1292" s="2" t="s">
        <v>199</v>
      </c>
      <c r="E1292" s="2" t="s">
        <v>12593</v>
      </c>
      <c r="F1292" s="2" t="s">
        <v>12427</v>
      </c>
      <c r="G1292" s="2" t="s">
        <v>15216</v>
      </c>
      <c r="H1292" s="2" t="s">
        <v>39</v>
      </c>
      <c r="I1292" s="9">
        <v>12557.43</v>
      </c>
      <c r="J1292" s="7">
        <v>1</v>
      </c>
      <c r="K1292" s="9">
        <v>12557.43</v>
      </c>
      <c r="L1292" s="14">
        <v>0</v>
      </c>
      <c r="M1292" s="2" t="s">
        <v>71</v>
      </c>
      <c r="N1292" s="2" t="s">
        <v>13272</v>
      </c>
      <c r="O1292" s="2" t="s">
        <v>15217</v>
      </c>
      <c r="P1292" s="9">
        <v>0</v>
      </c>
      <c r="Q1292" s="9">
        <v>0</v>
      </c>
      <c r="R1292" s="2" t="s">
        <v>14629</v>
      </c>
    </row>
    <row r="1293" spans="1:18" x14ac:dyDescent="0.25">
      <c r="A1293" s="2" t="s">
        <v>6088</v>
      </c>
      <c r="B1293" s="6">
        <v>46204</v>
      </c>
      <c r="C1293" s="8">
        <v>46209</v>
      </c>
      <c r="D1293" s="2" t="s">
        <v>199</v>
      </c>
      <c r="E1293" s="2" t="s">
        <v>12593</v>
      </c>
      <c r="F1293" s="2" t="s">
        <v>12428</v>
      </c>
      <c r="G1293" s="2" t="s">
        <v>15218</v>
      </c>
      <c r="H1293" s="2" t="s">
        <v>76</v>
      </c>
      <c r="I1293" s="9">
        <v>205329677.41935501</v>
      </c>
      <c r="J1293" s="7">
        <v>6.2000000000000003E-5</v>
      </c>
      <c r="K1293" s="9">
        <v>12730.44</v>
      </c>
      <c r="L1293" s="14">
        <v>0</v>
      </c>
      <c r="M1293" s="2" t="s">
        <v>71</v>
      </c>
      <c r="N1293" s="2" t="s">
        <v>13272</v>
      </c>
      <c r="O1293" s="2" t="s">
        <v>15219</v>
      </c>
      <c r="P1293" s="9">
        <v>0</v>
      </c>
      <c r="Q1293" s="9">
        <v>0</v>
      </c>
      <c r="R1293" s="2" t="s">
        <v>14632</v>
      </c>
    </row>
    <row r="1294" spans="1:18" x14ac:dyDescent="0.25">
      <c r="A1294" s="2" t="s">
        <v>6091</v>
      </c>
      <c r="B1294" s="6">
        <v>46204</v>
      </c>
      <c r="C1294" s="8">
        <v>46210</v>
      </c>
      <c r="D1294" s="2" t="s">
        <v>199</v>
      </c>
      <c r="E1294" s="2" t="s">
        <v>12593</v>
      </c>
      <c r="F1294" s="2" t="s">
        <v>12429</v>
      </c>
      <c r="G1294" s="2" t="s">
        <v>15220</v>
      </c>
      <c r="H1294" s="2" t="s">
        <v>70</v>
      </c>
      <c r="I1294" s="9">
        <v>19610.106382999998</v>
      </c>
      <c r="J1294" s="7">
        <v>0.65800000000000003</v>
      </c>
      <c r="K1294" s="9">
        <v>12903.45</v>
      </c>
      <c r="L1294" s="14">
        <v>0</v>
      </c>
      <c r="M1294" s="2" t="s">
        <v>71</v>
      </c>
      <c r="N1294" s="2" t="s">
        <v>13272</v>
      </c>
      <c r="O1294" s="2" t="s">
        <v>15221</v>
      </c>
      <c r="P1294" s="9">
        <v>0</v>
      </c>
      <c r="Q1294" s="9">
        <v>0</v>
      </c>
      <c r="R1294" s="2" t="s">
        <v>14635</v>
      </c>
    </row>
    <row r="1295" spans="1:18" x14ac:dyDescent="0.25">
      <c r="A1295" s="2" t="s">
        <v>6094</v>
      </c>
      <c r="B1295" s="6">
        <v>46204</v>
      </c>
      <c r="C1295" s="8">
        <v>46211</v>
      </c>
      <c r="D1295" s="2" t="s">
        <v>199</v>
      </c>
      <c r="E1295" s="2" t="s">
        <v>12593</v>
      </c>
      <c r="F1295" s="2" t="s">
        <v>12430</v>
      </c>
      <c r="G1295" s="2" t="s">
        <v>15222</v>
      </c>
      <c r="H1295" s="2" t="s">
        <v>39</v>
      </c>
      <c r="I1295" s="9">
        <v>13076.46</v>
      </c>
      <c r="J1295" s="7">
        <v>1</v>
      </c>
      <c r="K1295" s="9">
        <v>13076.46</v>
      </c>
      <c r="L1295" s="14">
        <v>0</v>
      </c>
      <c r="M1295" s="2" t="s">
        <v>71</v>
      </c>
      <c r="N1295" s="2" t="s">
        <v>13272</v>
      </c>
      <c r="O1295" s="2" t="s">
        <v>15223</v>
      </c>
      <c r="P1295" s="9">
        <v>0</v>
      </c>
      <c r="Q1295" s="9">
        <v>0</v>
      </c>
      <c r="R1295" s="2" t="s">
        <v>14638</v>
      </c>
    </row>
    <row r="1296" spans="1:18" x14ac:dyDescent="0.25">
      <c r="A1296" s="2" t="s">
        <v>6099</v>
      </c>
      <c r="B1296" s="6">
        <v>46204</v>
      </c>
      <c r="C1296" s="8">
        <v>46212</v>
      </c>
      <c r="D1296" s="2" t="s">
        <v>199</v>
      </c>
      <c r="E1296" s="2" t="s">
        <v>12593</v>
      </c>
      <c r="F1296" s="2" t="s">
        <v>12431</v>
      </c>
      <c r="G1296" s="2" t="s">
        <v>15224</v>
      </c>
      <c r="H1296" s="2" t="s">
        <v>76</v>
      </c>
      <c r="I1296" s="9">
        <v>213701129.032258</v>
      </c>
      <c r="J1296" s="7">
        <v>6.2000000000000003E-5</v>
      </c>
      <c r="K1296" s="9">
        <v>13249.47</v>
      </c>
      <c r="L1296" s="14">
        <v>0</v>
      </c>
      <c r="M1296" s="2" t="s">
        <v>71</v>
      </c>
      <c r="N1296" s="2" t="s">
        <v>13272</v>
      </c>
      <c r="O1296" s="2" t="s">
        <v>15225</v>
      </c>
      <c r="P1296" s="9">
        <v>0</v>
      </c>
      <c r="Q1296" s="9">
        <v>0</v>
      </c>
      <c r="R1296" s="2" t="s">
        <v>14641</v>
      </c>
    </row>
    <row r="1297" spans="1:18" x14ac:dyDescent="0.25">
      <c r="A1297" s="2" t="s">
        <v>6102</v>
      </c>
      <c r="B1297" s="6">
        <v>46204</v>
      </c>
      <c r="C1297" s="8">
        <v>46213</v>
      </c>
      <c r="D1297" s="2" t="s">
        <v>199</v>
      </c>
      <c r="E1297" s="2" t="s">
        <v>12593</v>
      </c>
      <c r="F1297" s="2" t="s">
        <v>12432</v>
      </c>
      <c r="G1297" s="2" t="s">
        <v>15226</v>
      </c>
      <c r="H1297" s="2" t="s">
        <v>70</v>
      </c>
      <c r="I1297" s="9">
        <v>20398.905774999999</v>
      </c>
      <c r="J1297" s="7">
        <v>0.65800000000000003</v>
      </c>
      <c r="K1297" s="9">
        <v>13422.48</v>
      </c>
      <c r="L1297" s="14">
        <v>0</v>
      </c>
      <c r="M1297" s="2" t="s">
        <v>71</v>
      </c>
      <c r="N1297" s="2" t="s">
        <v>13272</v>
      </c>
      <c r="O1297" s="2" t="s">
        <v>15227</v>
      </c>
      <c r="P1297" s="9">
        <v>0</v>
      </c>
      <c r="Q1297" s="9">
        <v>0</v>
      </c>
      <c r="R1297" s="2" t="s">
        <v>14644</v>
      </c>
    </row>
    <row r="1298" spans="1:18" x14ac:dyDescent="0.25">
      <c r="A1298" s="2" t="s">
        <v>6105</v>
      </c>
      <c r="B1298" s="6">
        <v>46204</v>
      </c>
      <c r="C1298" s="8">
        <v>46214</v>
      </c>
      <c r="D1298" s="2" t="s">
        <v>199</v>
      </c>
      <c r="E1298" s="2" t="s">
        <v>12593</v>
      </c>
      <c r="F1298" s="2" t="s">
        <v>12423</v>
      </c>
      <c r="G1298" s="2" t="s">
        <v>15228</v>
      </c>
      <c r="H1298" s="2" t="s">
        <v>39</v>
      </c>
      <c r="I1298" s="9">
        <v>13595.49</v>
      </c>
      <c r="J1298" s="7">
        <v>1</v>
      </c>
      <c r="K1298" s="9">
        <v>13595.49</v>
      </c>
      <c r="L1298" s="14">
        <v>0</v>
      </c>
      <c r="M1298" s="2" t="s">
        <v>71</v>
      </c>
      <c r="N1298" s="2" t="s">
        <v>13272</v>
      </c>
      <c r="O1298" s="2" t="s">
        <v>15229</v>
      </c>
      <c r="P1298" s="9">
        <v>0</v>
      </c>
      <c r="Q1298" s="9">
        <v>0</v>
      </c>
      <c r="R1298" s="2" t="s">
        <v>14647</v>
      </c>
    </row>
    <row r="1299" spans="1:18" x14ac:dyDescent="0.25">
      <c r="A1299" s="2" t="s">
        <v>6108</v>
      </c>
      <c r="B1299" s="6">
        <v>46204</v>
      </c>
      <c r="C1299" s="8">
        <v>46215</v>
      </c>
      <c r="D1299" s="2" t="s">
        <v>199</v>
      </c>
      <c r="E1299" s="2" t="s">
        <v>12593</v>
      </c>
      <c r="F1299" s="2" t="s">
        <v>12424</v>
      </c>
      <c r="G1299" s="2" t="s">
        <v>15230</v>
      </c>
      <c r="H1299" s="2" t="s">
        <v>76</v>
      </c>
      <c r="I1299" s="9">
        <v>222072580.645161</v>
      </c>
      <c r="J1299" s="7">
        <v>6.2000000000000003E-5</v>
      </c>
      <c r="K1299" s="9">
        <v>13768.5</v>
      </c>
      <c r="L1299" s="14">
        <v>0</v>
      </c>
      <c r="M1299" s="2" t="s">
        <v>71</v>
      </c>
      <c r="N1299" s="2" t="s">
        <v>13272</v>
      </c>
      <c r="O1299" s="2" t="s">
        <v>15231</v>
      </c>
      <c r="P1299" s="9">
        <v>0</v>
      </c>
      <c r="Q1299" s="9">
        <v>0</v>
      </c>
      <c r="R1299" s="2" t="s">
        <v>14650</v>
      </c>
    </row>
    <row r="1300" spans="1:18" x14ac:dyDescent="0.25">
      <c r="A1300" s="2" t="s">
        <v>6111</v>
      </c>
      <c r="B1300" s="6">
        <v>46204</v>
      </c>
      <c r="C1300" s="8">
        <v>46216</v>
      </c>
      <c r="D1300" s="2" t="s">
        <v>199</v>
      </c>
      <c r="E1300" s="2" t="s">
        <v>12593</v>
      </c>
      <c r="F1300" s="2" t="s">
        <v>12425</v>
      </c>
      <c r="G1300" s="2" t="s">
        <v>15232</v>
      </c>
      <c r="H1300" s="2" t="s">
        <v>70</v>
      </c>
      <c r="I1300" s="9">
        <v>21187.705167</v>
      </c>
      <c r="J1300" s="7">
        <v>0.65800000000000003</v>
      </c>
      <c r="K1300" s="9">
        <v>13941.51</v>
      </c>
      <c r="L1300" s="14">
        <v>0</v>
      </c>
      <c r="M1300" s="2" t="s">
        <v>71</v>
      </c>
      <c r="N1300" s="2" t="s">
        <v>13272</v>
      </c>
      <c r="O1300" s="2" t="s">
        <v>15233</v>
      </c>
      <c r="P1300" s="9">
        <v>0</v>
      </c>
      <c r="Q1300" s="9">
        <v>0</v>
      </c>
      <c r="R1300" s="2" t="s">
        <v>14653</v>
      </c>
    </row>
    <row r="1301" spans="1:18" x14ac:dyDescent="0.25">
      <c r="A1301" s="2" t="s">
        <v>6114</v>
      </c>
      <c r="B1301" s="6">
        <v>46204</v>
      </c>
      <c r="C1301" s="8">
        <v>46217</v>
      </c>
      <c r="D1301" s="2" t="s">
        <v>199</v>
      </c>
      <c r="E1301" s="2" t="s">
        <v>12593</v>
      </c>
      <c r="F1301" s="2" t="s">
        <v>12426</v>
      </c>
      <c r="G1301" s="2" t="s">
        <v>15234</v>
      </c>
      <c r="H1301" s="2" t="s">
        <v>39</v>
      </c>
      <c r="I1301" s="9">
        <v>14114.52</v>
      </c>
      <c r="J1301" s="7">
        <v>1</v>
      </c>
      <c r="K1301" s="9">
        <v>14114.52</v>
      </c>
      <c r="L1301" s="14">
        <v>0</v>
      </c>
      <c r="M1301" s="2" t="s">
        <v>71</v>
      </c>
      <c r="N1301" s="2" t="s">
        <v>13272</v>
      </c>
      <c r="O1301" s="2" t="s">
        <v>15235</v>
      </c>
      <c r="P1301" s="9">
        <v>0</v>
      </c>
      <c r="Q1301" s="9">
        <v>0</v>
      </c>
      <c r="R1301" s="2" t="s">
        <v>14626</v>
      </c>
    </row>
    <row r="1302" spans="1:18" x14ac:dyDescent="0.25">
      <c r="A1302" s="2" t="s">
        <v>6119</v>
      </c>
      <c r="B1302" s="6">
        <v>46204</v>
      </c>
      <c r="C1302" s="8">
        <v>46218</v>
      </c>
      <c r="D1302" s="2" t="s">
        <v>199</v>
      </c>
      <c r="E1302" s="2" t="s">
        <v>12593</v>
      </c>
      <c r="F1302" s="2" t="s">
        <v>12427</v>
      </c>
      <c r="G1302" s="2" t="s">
        <v>15236</v>
      </c>
      <c r="H1302" s="2" t="s">
        <v>76</v>
      </c>
      <c r="I1302" s="9">
        <v>230444032.25806499</v>
      </c>
      <c r="J1302" s="7">
        <v>6.2000000000000003E-5</v>
      </c>
      <c r="K1302" s="9">
        <v>14287.53</v>
      </c>
      <c r="L1302" s="14">
        <v>0</v>
      </c>
      <c r="M1302" s="2" t="s">
        <v>71</v>
      </c>
      <c r="N1302" s="2" t="s">
        <v>13272</v>
      </c>
      <c r="O1302" s="2" t="s">
        <v>15237</v>
      </c>
      <c r="P1302" s="9">
        <v>0</v>
      </c>
      <c r="Q1302" s="9">
        <v>0</v>
      </c>
      <c r="R1302" s="2" t="s">
        <v>14629</v>
      </c>
    </row>
    <row r="1303" spans="1:18" x14ac:dyDescent="0.25">
      <c r="A1303" s="2" t="s">
        <v>6124</v>
      </c>
      <c r="B1303" s="6">
        <v>46204</v>
      </c>
      <c r="C1303" s="8">
        <v>46219</v>
      </c>
      <c r="D1303" s="2" t="s">
        <v>199</v>
      </c>
      <c r="E1303" s="2" t="s">
        <v>12593</v>
      </c>
      <c r="F1303" s="2" t="s">
        <v>12428</v>
      </c>
      <c r="G1303" s="2" t="s">
        <v>15238</v>
      </c>
      <c r="H1303" s="2" t="s">
        <v>70</v>
      </c>
      <c r="I1303" s="9">
        <v>21976.504559000001</v>
      </c>
      <c r="J1303" s="7">
        <v>0.65800000000000003</v>
      </c>
      <c r="K1303" s="9">
        <v>14460.54</v>
      </c>
      <c r="L1303" s="14">
        <v>0</v>
      </c>
      <c r="M1303" s="2" t="s">
        <v>71</v>
      </c>
      <c r="N1303" s="2" t="s">
        <v>13272</v>
      </c>
      <c r="O1303" s="2" t="s">
        <v>15239</v>
      </c>
      <c r="P1303" s="9">
        <v>0</v>
      </c>
      <c r="Q1303" s="9">
        <v>0</v>
      </c>
      <c r="R1303" s="2" t="s">
        <v>14632</v>
      </c>
    </row>
    <row r="1304" spans="1:18" x14ac:dyDescent="0.25">
      <c r="A1304" s="2" t="s">
        <v>6127</v>
      </c>
      <c r="B1304" s="6">
        <v>46204</v>
      </c>
      <c r="C1304" s="8">
        <v>46220</v>
      </c>
      <c r="D1304" s="2" t="s">
        <v>199</v>
      </c>
      <c r="E1304" s="2" t="s">
        <v>12593</v>
      </c>
      <c r="F1304" s="2" t="s">
        <v>12429</v>
      </c>
      <c r="G1304" s="2" t="s">
        <v>15240</v>
      </c>
      <c r="H1304" s="2" t="s">
        <v>39</v>
      </c>
      <c r="I1304" s="9">
        <v>14633.55</v>
      </c>
      <c r="J1304" s="7">
        <v>1</v>
      </c>
      <c r="K1304" s="9">
        <v>14633.55</v>
      </c>
      <c r="L1304" s="14">
        <v>0</v>
      </c>
      <c r="M1304" s="2" t="s">
        <v>71</v>
      </c>
      <c r="N1304" s="2" t="s">
        <v>13272</v>
      </c>
      <c r="O1304" s="2" t="s">
        <v>15241</v>
      </c>
      <c r="P1304" s="9">
        <v>0</v>
      </c>
      <c r="Q1304" s="9">
        <v>0</v>
      </c>
      <c r="R1304" s="2" t="s">
        <v>14635</v>
      </c>
    </row>
    <row r="1305" spans="1:18" x14ac:dyDescent="0.25">
      <c r="A1305" s="2" t="s">
        <v>6130</v>
      </c>
      <c r="B1305" s="6">
        <v>46204</v>
      </c>
      <c r="C1305" s="8">
        <v>46221</v>
      </c>
      <c r="D1305" s="2" t="s">
        <v>199</v>
      </c>
      <c r="E1305" s="2" t="s">
        <v>12593</v>
      </c>
      <c r="F1305" s="2" t="s">
        <v>12430</v>
      </c>
      <c r="G1305" s="2" t="s">
        <v>15242</v>
      </c>
      <c r="H1305" s="2" t="s">
        <v>76</v>
      </c>
      <c r="I1305" s="9">
        <v>238815483.87096801</v>
      </c>
      <c r="J1305" s="7">
        <v>6.2000000000000003E-5</v>
      </c>
      <c r="K1305" s="9">
        <v>14806.56</v>
      </c>
      <c r="L1305" s="14">
        <v>0</v>
      </c>
      <c r="M1305" s="2" t="s">
        <v>71</v>
      </c>
      <c r="N1305" s="2" t="s">
        <v>13272</v>
      </c>
      <c r="O1305" s="2" t="s">
        <v>15243</v>
      </c>
      <c r="P1305" s="9">
        <v>0</v>
      </c>
      <c r="Q1305" s="9">
        <v>0</v>
      </c>
      <c r="R1305" s="2" t="s">
        <v>14638</v>
      </c>
    </row>
    <row r="1306" spans="1:18" x14ac:dyDescent="0.25">
      <c r="A1306" s="2" t="s">
        <v>6135</v>
      </c>
      <c r="B1306" s="6">
        <v>46204</v>
      </c>
      <c r="C1306" s="8">
        <v>46222</v>
      </c>
      <c r="D1306" s="2" t="s">
        <v>199</v>
      </c>
      <c r="E1306" s="2" t="s">
        <v>12593</v>
      </c>
      <c r="F1306" s="2" t="s">
        <v>12431</v>
      </c>
      <c r="G1306" s="2" t="s">
        <v>15244</v>
      </c>
      <c r="H1306" s="2" t="s">
        <v>70</v>
      </c>
      <c r="I1306" s="9">
        <v>1488.7082069999999</v>
      </c>
      <c r="J1306" s="7">
        <v>0.65800000000000003</v>
      </c>
      <c r="K1306" s="9">
        <v>979.57</v>
      </c>
      <c r="L1306" s="14">
        <v>0</v>
      </c>
      <c r="M1306" s="2" t="s">
        <v>71</v>
      </c>
      <c r="N1306" s="2" t="s">
        <v>13272</v>
      </c>
      <c r="O1306" s="2" t="s">
        <v>15245</v>
      </c>
      <c r="P1306" s="9">
        <v>0</v>
      </c>
      <c r="Q1306" s="9">
        <v>0</v>
      </c>
      <c r="R1306" s="2" t="s">
        <v>14641</v>
      </c>
    </row>
    <row r="1307" spans="1:18" x14ac:dyDescent="0.25">
      <c r="A1307" s="2" t="s">
        <v>6138</v>
      </c>
      <c r="B1307" s="6">
        <v>46204</v>
      </c>
      <c r="C1307" s="8">
        <v>46223</v>
      </c>
      <c r="D1307" s="2" t="s">
        <v>199</v>
      </c>
      <c r="E1307" s="2" t="s">
        <v>12593</v>
      </c>
      <c r="F1307" s="2" t="s">
        <v>12432</v>
      </c>
      <c r="G1307" s="2" t="s">
        <v>15246</v>
      </c>
      <c r="H1307" s="2" t="s">
        <v>39</v>
      </c>
      <c r="I1307" s="9">
        <v>1152.58</v>
      </c>
      <c r="J1307" s="7">
        <v>1</v>
      </c>
      <c r="K1307" s="9">
        <v>1152.58</v>
      </c>
      <c r="L1307" s="14">
        <v>0</v>
      </c>
      <c r="M1307" s="2" t="s">
        <v>71</v>
      </c>
      <c r="N1307" s="2" t="s">
        <v>13272</v>
      </c>
      <c r="O1307" s="2" t="s">
        <v>15247</v>
      </c>
      <c r="P1307" s="9">
        <v>0</v>
      </c>
      <c r="Q1307" s="9">
        <v>0</v>
      </c>
      <c r="R1307" s="2" t="s">
        <v>14644</v>
      </c>
    </row>
    <row r="1308" spans="1:18" x14ac:dyDescent="0.25">
      <c r="A1308" s="2" t="s">
        <v>6141</v>
      </c>
      <c r="B1308" s="6">
        <v>46204</v>
      </c>
      <c r="C1308" s="8">
        <v>46224</v>
      </c>
      <c r="D1308" s="2" t="s">
        <v>199</v>
      </c>
      <c r="E1308" s="2" t="s">
        <v>12593</v>
      </c>
      <c r="F1308" s="2" t="s">
        <v>12423</v>
      </c>
      <c r="G1308" s="2" t="s">
        <v>15248</v>
      </c>
      <c r="H1308" s="2" t="s">
        <v>76</v>
      </c>
      <c r="I1308" s="9">
        <v>21380483.870967999</v>
      </c>
      <c r="J1308" s="7">
        <v>6.2000000000000003E-5</v>
      </c>
      <c r="K1308" s="9">
        <v>1325.59</v>
      </c>
      <c r="L1308" s="14">
        <v>0</v>
      </c>
      <c r="M1308" s="2" t="s">
        <v>71</v>
      </c>
      <c r="N1308" s="2" t="s">
        <v>13272</v>
      </c>
      <c r="O1308" s="2" t="s">
        <v>15249</v>
      </c>
      <c r="P1308" s="9">
        <v>0</v>
      </c>
      <c r="Q1308" s="9">
        <v>0</v>
      </c>
      <c r="R1308" s="2" t="s">
        <v>14647</v>
      </c>
    </row>
    <row r="1309" spans="1:18" x14ac:dyDescent="0.25">
      <c r="A1309" s="2" t="s">
        <v>6144</v>
      </c>
      <c r="B1309" s="6">
        <v>46204</v>
      </c>
      <c r="C1309" s="8">
        <v>46225</v>
      </c>
      <c r="D1309" s="2" t="s">
        <v>199</v>
      </c>
      <c r="E1309" s="2" t="s">
        <v>12593</v>
      </c>
      <c r="F1309" s="2" t="s">
        <v>12424</v>
      </c>
      <c r="G1309" s="2" t="s">
        <v>15250</v>
      </c>
      <c r="H1309" s="2" t="s">
        <v>70</v>
      </c>
      <c r="I1309" s="9">
        <v>2277.507599</v>
      </c>
      <c r="J1309" s="7">
        <v>0.65800000000000003</v>
      </c>
      <c r="K1309" s="9">
        <v>1498.6</v>
      </c>
      <c r="L1309" s="14">
        <v>0</v>
      </c>
      <c r="M1309" s="2" t="s">
        <v>71</v>
      </c>
      <c r="N1309" s="2" t="s">
        <v>13272</v>
      </c>
      <c r="O1309" s="2" t="s">
        <v>15251</v>
      </c>
      <c r="P1309" s="9">
        <v>0</v>
      </c>
      <c r="Q1309" s="9">
        <v>0</v>
      </c>
      <c r="R1309" s="2" t="s">
        <v>14650</v>
      </c>
    </row>
    <row r="1310" spans="1:18" x14ac:dyDescent="0.25">
      <c r="A1310" s="2" t="s">
        <v>6147</v>
      </c>
      <c r="B1310" s="6">
        <v>46204</v>
      </c>
      <c r="C1310" s="8">
        <v>46226</v>
      </c>
      <c r="D1310" s="2" t="s">
        <v>199</v>
      </c>
      <c r="E1310" s="2" t="s">
        <v>12593</v>
      </c>
      <c r="F1310" s="2" t="s">
        <v>12425</v>
      </c>
      <c r="G1310" s="2" t="s">
        <v>15252</v>
      </c>
      <c r="H1310" s="2" t="s">
        <v>39</v>
      </c>
      <c r="I1310" s="9">
        <v>1671.61</v>
      </c>
      <c r="J1310" s="7">
        <v>1</v>
      </c>
      <c r="K1310" s="9">
        <v>1671.61</v>
      </c>
      <c r="L1310" s="14">
        <v>0</v>
      </c>
      <c r="M1310" s="2" t="s">
        <v>71</v>
      </c>
      <c r="N1310" s="2" t="s">
        <v>13272</v>
      </c>
      <c r="O1310" s="2" t="s">
        <v>15253</v>
      </c>
      <c r="P1310" s="9">
        <v>0</v>
      </c>
      <c r="Q1310" s="9">
        <v>0</v>
      </c>
      <c r="R1310" s="2" t="s">
        <v>14653</v>
      </c>
    </row>
    <row r="1311" spans="1:18" x14ac:dyDescent="0.25">
      <c r="A1311" s="2" t="s">
        <v>6150</v>
      </c>
      <c r="B1311" s="6">
        <v>46204</v>
      </c>
      <c r="C1311" s="8">
        <v>46227</v>
      </c>
      <c r="D1311" s="2" t="s">
        <v>199</v>
      </c>
      <c r="E1311" s="2" t="s">
        <v>12593</v>
      </c>
      <c r="F1311" s="2" t="s">
        <v>12426</v>
      </c>
      <c r="G1311" s="2" t="s">
        <v>15254</v>
      </c>
      <c r="H1311" s="2" t="s">
        <v>76</v>
      </c>
      <c r="I1311" s="9">
        <v>29751935.483871002</v>
      </c>
      <c r="J1311" s="7">
        <v>6.2000000000000003E-5</v>
      </c>
      <c r="K1311" s="9">
        <v>1844.62</v>
      </c>
      <c r="L1311" s="14">
        <v>0</v>
      </c>
      <c r="M1311" s="2" t="s">
        <v>71</v>
      </c>
      <c r="N1311" s="2" t="s">
        <v>13272</v>
      </c>
      <c r="O1311" s="2" t="s">
        <v>15255</v>
      </c>
      <c r="P1311" s="9">
        <v>0</v>
      </c>
      <c r="Q1311" s="9">
        <v>0</v>
      </c>
      <c r="R1311" s="2" t="s">
        <v>14626</v>
      </c>
    </row>
    <row r="1312" spans="1:18" x14ac:dyDescent="0.25">
      <c r="A1312" s="2" t="s">
        <v>6155</v>
      </c>
      <c r="B1312" s="6">
        <v>46204</v>
      </c>
      <c r="C1312" s="8">
        <v>46228</v>
      </c>
      <c r="D1312" s="2" t="s">
        <v>199</v>
      </c>
      <c r="E1312" s="2" t="s">
        <v>12593</v>
      </c>
      <c r="F1312" s="2" t="s">
        <v>12427</v>
      </c>
      <c r="G1312" s="2" t="s">
        <v>15256</v>
      </c>
      <c r="H1312" s="2" t="s">
        <v>70</v>
      </c>
      <c r="I1312" s="9">
        <v>3066.3069909999999</v>
      </c>
      <c r="J1312" s="7">
        <v>0.65800000000000003</v>
      </c>
      <c r="K1312" s="9">
        <v>2017.63</v>
      </c>
      <c r="L1312" s="14">
        <v>0</v>
      </c>
      <c r="M1312" s="2" t="s">
        <v>71</v>
      </c>
      <c r="N1312" s="2" t="s">
        <v>13272</v>
      </c>
      <c r="O1312" s="2" t="s">
        <v>15257</v>
      </c>
      <c r="P1312" s="9">
        <v>0</v>
      </c>
      <c r="Q1312" s="9">
        <v>0</v>
      </c>
      <c r="R1312" s="2" t="s">
        <v>14629</v>
      </c>
    </row>
    <row r="1313" spans="1:18" x14ac:dyDescent="0.25">
      <c r="A1313" s="2" t="s">
        <v>6160</v>
      </c>
      <c r="B1313" s="6">
        <v>46204</v>
      </c>
      <c r="C1313" s="8">
        <v>46229</v>
      </c>
      <c r="D1313" s="2" t="s">
        <v>199</v>
      </c>
      <c r="E1313" s="2" t="s">
        <v>12593</v>
      </c>
      <c r="F1313" s="2" t="s">
        <v>12428</v>
      </c>
      <c r="G1313" s="2" t="s">
        <v>15258</v>
      </c>
      <c r="H1313" s="2" t="s">
        <v>39</v>
      </c>
      <c r="I1313" s="9">
        <v>2190.64</v>
      </c>
      <c r="J1313" s="7">
        <v>1</v>
      </c>
      <c r="K1313" s="9">
        <v>2190.64</v>
      </c>
      <c r="L1313" s="14">
        <v>0</v>
      </c>
      <c r="M1313" s="2" t="s">
        <v>71</v>
      </c>
      <c r="N1313" s="2" t="s">
        <v>13272</v>
      </c>
      <c r="O1313" s="2" t="s">
        <v>15259</v>
      </c>
      <c r="P1313" s="9">
        <v>0</v>
      </c>
      <c r="Q1313" s="9">
        <v>0</v>
      </c>
      <c r="R1313" s="2" t="s">
        <v>14632</v>
      </c>
    </row>
    <row r="1314" spans="1:18" x14ac:dyDescent="0.25">
      <c r="A1314" s="2" t="s">
        <v>6163</v>
      </c>
      <c r="B1314" s="6">
        <v>46204</v>
      </c>
      <c r="C1314" s="8">
        <v>46230</v>
      </c>
      <c r="D1314" s="2" t="s">
        <v>199</v>
      </c>
      <c r="E1314" s="2" t="s">
        <v>12593</v>
      </c>
      <c r="F1314" s="2" t="s">
        <v>12429</v>
      </c>
      <c r="G1314" s="2" t="s">
        <v>15260</v>
      </c>
      <c r="H1314" s="2" t="s">
        <v>76</v>
      </c>
      <c r="I1314" s="9">
        <v>38123387.096773997</v>
      </c>
      <c r="J1314" s="7">
        <v>6.2000000000000003E-5</v>
      </c>
      <c r="K1314" s="9">
        <v>2363.65</v>
      </c>
      <c r="L1314" s="14">
        <v>0</v>
      </c>
      <c r="M1314" s="2" t="s">
        <v>71</v>
      </c>
      <c r="N1314" s="2" t="s">
        <v>13272</v>
      </c>
      <c r="O1314" s="2" t="s">
        <v>15261</v>
      </c>
      <c r="P1314" s="9">
        <v>0</v>
      </c>
      <c r="Q1314" s="9">
        <v>0</v>
      </c>
      <c r="R1314" s="2" t="s">
        <v>14635</v>
      </c>
    </row>
    <row r="1315" spans="1:18" x14ac:dyDescent="0.25">
      <c r="A1315" s="2" t="s">
        <v>6166</v>
      </c>
      <c r="B1315" s="6">
        <v>46204</v>
      </c>
      <c r="C1315" s="8">
        <v>46231</v>
      </c>
      <c r="D1315" s="2" t="s">
        <v>199</v>
      </c>
      <c r="E1315" s="2" t="s">
        <v>12593</v>
      </c>
      <c r="F1315" s="2" t="s">
        <v>12430</v>
      </c>
      <c r="G1315" s="2" t="s">
        <v>15262</v>
      </c>
      <c r="H1315" s="2" t="s">
        <v>70</v>
      </c>
      <c r="I1315" s="9">
        <v>3855.1063829999998</v>
      </c>
      <c r="J1315" s="7">
        <v>0.65800000000000003</v>
      </c>
      <c r="K1315" s="9">
        <v>2536.66</v>
      </c>
      <c r="L1315" s="14">
        <v>0</v>
      </c>
      <c r="M1315" s="2" t="s">
        <v>71</v>
      </c>
      <c r="N1315" s="2" t="s">
        <v>13272</v>
      </c>
      <c r="O1315" s="2" t="s">
        <v>15263</v>
      </c>
      <c r="P1315" s="9">
        <v>0</v>
      </c>
      <c r="Q1315" s="9">
        <v>0</v>
      </c>
      <c r="R1315" s="2" t="s">
        <v>14638</v>
      </c>
    </row>
    <row r="1316" spans="1:18" x14ac:dyDescent="0.25">
      <c r="A1316" s="2" t="s">
        <v>6171</v>
      </c>
      <c r="B1316" s="6">
        <v>46204</v>
      </c>
      <c r="C1316" s="8">
        <v>46232</v>
      </c>
      <c r="D1316" s="2" t="s">
        <v>199</v>
      </c>
      <c r="E1316" s="2" t="s">
        <v>12593</v>
      </c>
      <c r="F1316" s="2" t="s">
        <v>12431</v>
      </c>
      <c r="G1316" s="2" t="s">
        <v>15264</v>
      </c>
      <c r="H1316" s="2" t="s">
        <v>39</v>
      </c>
      <c r="I1316" s="9">
        <v>2709.67</v>
      </c>
      <c r="J1316" s="7">
        <v>1</v>
      </c>
      <c r="K1316" s="9">
        <v>2709.67</v>
      </c>
      <c r="L1316" s="14">
        <v>0</v>
      </c>
      <c r="M1316" s="2" t="s">
        <v>71</v>
      </c>
      <c r="N1316" s="2" t="s">
        <v>13272</v>
      </c>
      <c r="O1316" s="2" t="s">
        <v>15265</v>
      </c>
      <c r="P1316" s="9">
        <v>0</v>
      </c>
      <c r="Q1316" s="9">
        <v>0</v>
      </c>
      <c r="R1316" s="2" t="s">
        <v>14641</v>
      </c>
    </row>
    <row r="1317" spans="1:18" x14ac:dyDescent="0.25">
      <c r="A1317" s="2" t="s">
        <v>6174</v>
      </c>
      <c r="B1317" s="6">
        <v>46204</v>
      </c>
      <c r="C1317" s="8">
        <v>46233</v>
      </c>
      <c r="D1317" s="2" t="s">
        <v>199</v>
      </c>
      <c r="E1317" s="2" t="s">
        <v>12593</v>
      </c>
      <c r="F1317" s="2" t="s">
        <v>12432</v>
      </c>
      <c r="G1317" s="2" t="s">
        <v>15266</v>
      </c>
      <c r="H1317" s="2" t="s">
        <v>76</v>
      </c>
      <c r="I1317" s="9">
        <v>46494838.709677003</v>
      </c>
      <c r="J1317" s="7">
        <v>6.2000000000000003E-5</v>
      </c>
      <c r="K1317" s="9">
        <v>2882.68</v>
      </c>
      <c r="L1317" s="14">
        <v>0</v>
      </c>
      <c r="M1317" s="2" t="s">
        <v>71</v>
      </c>
      <c r="N1317" s="2" t="s">
        <v>13272</v>
      </c>
      <c r="O1317" s="2" t="s">
        <v>15267</v>
      </c>
      <c r="P1317" s="9">
        <v>0</v>
      </c>
      <c r="Q1317" s="9">
        <v>0</v>
      </c>
      <c r="R1317" s="2" t="s">
        <v>14644</v>
      </c>
    </row>
    <row r="1318" spans="1:18" x14ac:dyDescent="0.25">
      <c r="A1318" s="2" t="s">
        <v>6177</v>
      </c>
      <c r="B1318" s="6">
        <v>46204</v>
      </c>
      <c r="C1318" s="8">
        <v>46234</v>
      </c>
      <c r="D1318" s="2" t="s">
        <v>199</v>
      </c>
      <c r="E1318" s="2" t="s">
        <v>12593</v>
      </c>
      <c r="F1318" s="2" t="s">
        <v>12423</v>
      </c>
      <c r="G1318" s="2" t="s">
        <v>15268</v>
      </c>
      <c r="H1318" s="2" t="s">
        <v>70</v>
      </c>
      <c r="I1318" s="9">
        <v>4643.9057750000002</v>
      </c>
      <c r="J1318" s="7">
        <v>0.65800000000000003</v>
      </c>
      <c r="K1318" s="9">
        <v>3055.69</v>
      </c>
      <c r="L1318" s="14">
        <v>0</v>
      </c>
      <c r="M1318" s="2" t="s">
        <v>71</v>
      </c>
      <c r="N1318" s="2" t="s">
        <v>13272</v>
      </c>
      <c r="O1318" s="2" t="s">
        <v>15269</v>
      </c>
      <c r="P1318" s="9">
        <v>0</v>
      </c>
      <c r="Q1318" s="9">
        <v>0</v>
      </c>
      <c r="R1318" s="2" t="s">
        <v>14647</v>
      </c>
    </row>
    <row r="1319" spans="1:18" x14ac:dyDescent="0.25">
      <c r="A1319" s="2" t="s">
        <v>6180</v>
      </c>
      <c r="B1319" s="6">
        <v>46204</v>
      </c>
      <c r="C1319" s="8">
        <v>46204</v>
      </c>
      <c r="D1319" s="2" t="s">
        <v>199</v>
      </c>
      <c r="E1319" s="2" t="s">
        <v>12593</v>
      </c>
      <c r="F1319" s="2" t="s">
        <v>12424</v>
      </c>
      <c r="G1319" s="2" t="s">
        <v>15270</v>
      </c>
      <c r="H1319" s="2" t="s">
        <v>39</v>
      </c>
      <c r="I1319" s="9">
        <v>3228.7</v>
      </c>
      <c r="J1319" s="7">
        <v>1</v>
      </c>
      <c r="K1319" s="9">
        <v>3228.7</v>
      </c>
      <c r="L1319" s="14">
        <v>0</v>
      </c>
      <c r="M1319" s="2" t="s">
        <v>71</v>
      </c>
      <c r="N1319" s="2" t="s">
        <v>13272</v>
      </c>
      <c r="O1319" s="2" t="s">
        <v>15271</v>
      </c>
      <c r="P1319" s="9">
        <v>0</v>
      </c>
      <c r="Q1319" s="9">
        <v>0</v>
      </c>
      <c r="R1319" s="2" t="s">
        <v>14650</v>
      </c>
    </row>
    <row r="1320" spans="1:18" x14ac:dyDescent="0.25">
      <c r="A1320" s="2" t="s">
        <v>6183</v>
      </c>
      <c r="B1320" s="6">
        <v>46204</v>
      </c>
      <c r="C1320" s="8">
        <v>46205</v>
      </c>
      <c r="D1320" s="2" t="s">
        <v>199</v>
      </c>
      <c r="E1320" s="2" t="s">
        <v>12593</v>
      </c>
      <c r="F1320" s="2" t="s">
        <v>12425</v>
      </c>
      <c r="G1320" s="2" t="s">
        <v>15272</v>
      </c>
      <c r="H1320" s="2" t="s">
        <v>76</v>
      </c>
      <c r="I1320" s="9">
        <v>54866290.322581001</v>
      </c>
      <c r="J1320" s="7">
        <v>6.2000000000000003E-5</v>
      </c>
      <c r="K1320" s="9">
        <v>3401.71</v>
      </c>
      <c r="L1320" s="14">
        <v>0</v>
      </c>
      <c r="M1320" s="2" t="s">
        <v>71</v>
      </c>
      <c r="N1320" s="2" t="s">
        <v>13272</v>
      </c>
      <c r="O1320" s="2" t="s">
        <v>15273</v>
      </c>
      <c r="P1320" s="9">
        <v>0</v>
      </c>
      <c r="Q1320" s="9">
        <v>0</v>
      </c>
      <c r="R1320" s="2" t="s">
        <v>14653</v>
      </c>
    </row>
    <row r="1321" spans="1:18" x14ac:dyDescent="0.25">
      <c r="A1321" s="2" t="s">
        <v>6186</v>
      </c>
      <c r="B1321" s="6">
        <v>46204</v>
      </c>
      <c r="C1321" s="8">
        <v>46206</v>
      </c>
      <c r="D1321" s="2" t="s">
        <v>199</v>
      </c>
      <c r="E1321" s="2" t="s">
        <v>12593</v>
      </c>
      <c r="F1321" s="2" t="s">
        <v>12426</v>
      </c>
      <c r="G1321" s="2" t="s">
        <v>15274</v>
      </c>
      <c r="H1321" s="2" t="s">
        <v>70</v>
      </c>
      <c r="I1321" s="9">
        <v>5432.7051670000001</v>
      </c>
      <c r="J1321" s="7">
        <v>0.65800000000000003</v>
      </c>
      <c r="K1321" s="9">
        <v>3574.72</v>
      </c>
      <c r="L1321" s="14">
        <v>0</v>
      </c>
      <c r="M1321" s="2" t="s">
        <v>71</v>
      </c>
      <c r="N1321" s="2" t="s">
        <v>13272</v>
      </c>
      <c r="O1321" s="2" t="s">
        <v>15275</v>
      </c>
      <c r="P1321" s="9">
        <v>0</v>
      </c>
      <c r="Q1321" s="9">
        <v>0</v>
      </c>
      <c r="R1321" s="2" t="s">
        <v>14626</v>
      </c>
    </row>
    <row r="1322" spans="1:18" x14ac:dyDescent="0.25">
      <c r="A1322" s="2" t="s">
        <v>6191</v>
      </c>
      <c r="B1322" s="6">
        <v>46204</v>
      </c>
      <c r="C1322" s="8">
        <v>46207</v>
      </c>
      <c r="D1322" s="2" t="s">
        <v>199</v>
      </c>
      <c r="E1322" s="2" t="s">
        <v>12593</v>
      </c>
      <c r="F1322" s="2" t="s">
        <v>12427</v>
      </c>
      <c r="G1322" s="2" t="s">
        <v>15276</v>
      </c>
      <c r="H1322" s="2" t="s">
        <v>39</v>
      </c>
      <c r="I1322" s="9">
        <v>3747.73</v>
      </c>
      <c r="J1322" s="7">
        <v>1</v>
      </c>
      <c r="K1322" s="9">
        <v>3747.73</v>
      </c>
      <c r="L1322" s="14">
        <v>0</v>
      </c>
      <c r="M1322" s="2" t="s">
        <v>71</v>
      </c>
      <c r="N1322" s="2" t="s">
        <v>13272</v>
      </c>
      <c r="O1322" s="2" t="s">
        <v>15277</v>
      </c>
      <c r="P1322" s="9">
        <v>0</v>
      </c>
      <c r="Q1322" s="9">
        <v>0</v>
      </c>
      <c r="R1322" s="2" t="s">
        <v>14629</v>
      </c>
    </row>
    <row r="1323" spans="1:18" x14ac:dyDescent="0.25">
      <c r="A1323" s="2" t="s">
        <v>6196</v>
      </c>
      <c r="B1323" s="6">
        <v>46204</v>
      </c>
      <c r="C1323" s="8">
        <v>46208</v>
      </c>
      <c r="D1323" s="2" t="s">
        <v>199</v>
      </c>
      <c r="E1323" s="2" t="s">
        <v>12593</v>
      </c>
      <c r="F1323" s="2" t="s">
        <v>12428</v>
      </c>
      <c r="G1323" s="2" t="s">
        <v>15278</v>
      </c>
      <c r="H1323" s="2" t="s">
        <v>76</v>
      </c>
      <c r="I1323" s="9">
        <v>-63237741.935484</v>
      </c>
      <c r="J1323" s="7">
        <v>6.2000000000000003E-5</v>
      </c>
      <c r="K1323" s="9">
        <v>-3920.74</v>
      </c>
      <c r="L1323" s="14">
        <v>0</v>
      </c>
      <c r="M1323" s="2" t="s">
        <v>71</v>
      </c>
      <c r="N1323" s="2" t="s">
        <v>13272</v>
      </c>
      <c r="O1323" s="2" t="s">
        <v>15279</v>
      </c>
      <c r="P1323" s="9">
        <v>0</v>
      </c>
      <c r="Q1323" s="9">
        <v>0</v>
      </c>
      <c r="R1323" s="2" t="s">
        <v>14632</v>
      </c>
    </row>
    <row r="1324" spans="1:18" x14ac:dyDescent="0.25">
      <c r="A1324" s="2" t="s">
        <v>6199</v>
      </c>
      <c r="B1324" s="6">
        <v>46204</v>
      </c>
      <c r="C1324" s="8">
        <v>46209</v>
      </c>
      <c r="D1324" s="2" t="s">
        <v>199</v>
      </c>
      <c r="E1324" s="2" t="s">
        <v>12593</v>
      </c>
      <c r="F1324" s="2" t="s">
        <v>12429</v>
      </c>
      <c r="G1324" s="2" t="s">
        <v>15280</v>
      </c>
      <c r="H1324" s="2" t="s">
        <v>70</v>
      </c>
      <c r="I1324" s="9">
        <v>6221.504559</v>
      </c>
      <c r="J1324" s="7">
        <v>0.65800000000000003</v>
      </c>
      <c r="K1324" s="9">
        <v>4093.75</v>
      </c>
      <c r="L1324" s="14">
        <v>0</v>
      </c>
      <c r="M1324" s="2" t="s">
        <v>71</v>
      </c>
      <c r="N1324" s="2" t="s">
        <v>13272</v>
      </c>
      <c r="O1324" s="2" t="s">
        <v>15281</v>
      </c>
      <c r="P1324" s="9">
        <v>0</v>
      </c>
      <c r="Q1324" s="9">
        <v>0</v>
      </c>
      <c r="R1324" s="2" t="s">
        <v>14635</v>
      </c>
    </row>
    <row r="1325" spans="1:18" x14ac:dyDescent="0.25">
      <c r="A1325" s="2" t="s">
        <v>6202</v>
      </c>
      <c r="B1325" s="6">
        <v>46204</v>
      </c>
      <c r="C1325" s="8">
        <v>46210</v>
      </c>
      <c r="D1325" s="2" t="s">
        <v>199</v>
      </c>
      <c r="E1325" s="2" t="s">
        <v>12593</v>
      </c>
      <c r="F1325" s="2" t="s">
        <v>12430</v>
      </c>
      <c r="G1325" s="2" t="s">
        <v>15282</v>
      </c>
      <c r="H1325" s="2" t="s">
        <v>39</v>
      </c>
      <c r="I1325" s="9">
        <v>4266.76</v>
      </c>
      <c r="J1325" s="7">
        <v>1</v>
      </c>
      <c r="K1325" s="9">
        <v>4266.76</v>
      </c>
      <c r="L1325" s="14">
        <v>0</v>
      </c>
      <c r="M1325" s="2" t="s">
        <v>71</v>
      </c>
      <c r="N1325" s="2" t="s">
        <v>13272</v>
      </c>
      <c r="O1325" s="2" t="s">
        <v>15283</v>
      </c>
      <c r="P1325" s="9">
        <v>0</v>
      </c>
      <c r="Q1325" s="9">
        <v>0</v>
      </c>
      <c r="R1325" s="2" t="s">
        <v>14638</v>
      </c>
    </row>
    <row r="1326" spans="1:18" x14ac:dyDescent="0.25">
      <c r="A1326" s="2" t="s">
        <v>6207</v>
      </c>
      <c r="B1326" s="6">
        <v>46204</v>
      </c>
      <c r="C1326" s="8">
        <v>46211</v>
      </c>
      <c r="D1326" s="2" t="s">
        <v>199</v>
      </c>
      <c r="E1326" s="2" t="s">
        <v>12593</v>
      </c>
      <c r="F1326" s="2" t="s">
        <v>12431</v>
      </c>
      <c r="G1326" s="2" t="s">
        <v>15284</v>
      </c>
      <c r="H1326" s="2" t="s">
        <v>76</v>
      </c>
      <c r="I1326" s="9">
        <v>71609193.548387006</v>
      </c>
      <c r="J1326" s="7">
        <v>6.2000000000000003E-5</v>
      </c>
      <c r="K1326" s="9">
        <v>4439.7700000000004</v>
      </c>
      <c r="L1326" s="14">
        <v>0</v>
      </c>
      <c r="M1326" s="2" t="s">
        <v>71</v>
      </c>
      <c r="N1326" s="2" t="s">
        <v>13272</v>
      </c>
      <c r="O1326" s="2" t="s">
        <v>15285</v>
      </c>
      <c r="P1326" s="9">
        <v>0</v>
      </c>
      <c r="Q1326" s="9">
        <v>0</v>
      </c>
      <c r="R1326" s="2" t="s">
        <v>14641</v>
      </c>
    </row>
    <row r="1327" spans="1:18" x14ac:dyDescent="0.25">
      <c r="A1327" s="2" t="s">
        <v>6210</v>
      </c>
      <c r="B1327" s="6">
        <v>46204</v>
      </c>
      <c r="C1327" s="8">
        <v>46212</v>
      </c>
      <c r="D1327" s="2" t="s">
        <v>199</v>
      </c>
      <c r="E1327" s="2" t="s">
        <v>12593</v>
      </c>
      <c r="F1327" s="2" t="s">
        <v>12432</v>
      </c>
      <c r="G1327" s="2" t="s">
        <v>15286</v>
      </c>
      <c r="H1327" s="2" t="s">
        <v>70</v>
      </c>
      <c r="I1327" s="9">
        <v>7010.3039509999999</v>
      </c>
      <c r="J1327" s="7">
        <v>0.65800000000000003</v>
      </c>
      <c r="K1327" s="9">
        <v>4612.78</v>
      </c>
      <c r="L1327" s="14">
        <v>0</v>
      </c>
      <c r="M1327" s="2" t="s">
        <v>71</v>
      </c>
      <c r="N1327" s="2" t="s">
        <v>13272</v>
      </c>
      <c r="O1327" s="2" t="s">
        <v>15287</v>
      </c>
      <c r="P1327" s="9">
        <v>0</v>
      </c>
      <c r="Q1327" s="9">
        <v>0</v>
      </c>
      <c r="R1327" s="2" t="s">
        <v>14644</v>
      </c>
    </row>
    <row r="1328" spans="1:18" x14ac:dyDescent="0.25">
      <c r="A1328" s="2" t="s">
        <v>6213</v>
      </c>
      <c r="B1328" s="6">
        <v>46204</v>
      </c>
      <c r="C1328" s="8">
        <v>46213</v>
      </c>
      <c r="D1328" s="2" t="s">
        <v>199</v>
      </c>
      <c r="E1328" s="2" t="s">
        <v>12593</v>
      </c>
      <c r="F1328" s="2" t="s">
        <v>12423</v>
      </c>
      <c r="G1328" s="2" t="s">
        <v>15288</v>
      </c>
      <c r="H1328" s="2" t="s">
        <v>39</v>
      </c>
      <c r="I1328" s="9">
        <v>4785.79</v>
      </c>
      <c r="J1328" s="7">
        <v>1</v>
      </c>
      <c r="K1328" s="9">
        <v>4785.79</v>
      </c>
      <c r="L1328" s="14">
        <v>0</v>
      </c>
      <c r="M1328" s="2" t="s">
        <v>71</v>
      </c>
      <c r="N1328" s="2" t="s">
        <v>13272</v>
      </c>
      <c r="O1328" s="2" t="s">
        <v>15289</v>
      </c>
      <c r="P1328" s="9">
        <v>0</v>
      </c>
      <c r="Q1328" s="9">
        <v>0</v>
      </c>
      <c r="R1328" s="2" t="s">
        <v>14647</v>
      </c>
    </row>
    <row r="1329" spans="1:18" x14ac:dyDescent="0.25">
      <c r="A1329" s="2" t="s">
        <v>6216</v>
      </c>
      <c r="B1329" s="6">
        <v>46204</v>
      </c>
      <c r="C1329" s="8">
        <v>46214</v>
      </c>
      <c r="D1329" s="2" t="s">
        <v>199</v>
      </c>
      <c r="E1329" s="2" t="s">
        <v>12593</v>
      </c>
      <c r="F1329" s="2" t="s">
        <v>12424</v>
      </c>
      <c r="G1329" s="2" t="s">
        <v>15290</v>
      </c>
      <c r="H1329" s="2" t="s">
        <v>76</v>
      </c>
      <c r="I1329" s="9">
        <v>79980645.161290005</v>
      </c>
      <c r="J1329" s="7">
        <v>6.2000000000000003E-5</v>
      </c>
      <c r="K1329" s="9">
        <v>4958.8</v>
      </c>
      <c r="L1329" s="14">
        <v>0</v>
      </c>
      <c r="M1329" s="2" t="s">
        <v>71</v>
      </c>
      <c r="N1329" s="2" t="s">
        <v>13272</v>
      </c>
      <c r="O1329" s="2" t="s">
        <v>15291</v>
      </c>
      <c r="P1329" s="9">
        <v>0</v>
      </c>
      <c r="Q1329" s="9">
        <v>0</v>
      </c>
      <c r="R1329" s="2" t="s">
        <v>14650</v>
      </c>
    </row>
    <row r="1330" spans="1:18" x14ac:dyDescent="0.25">
      <c r="A1330" s="2" t="s">
        <v>6219</v>
      </c>
      <c r="B1330" s="6">
        <v>46204</v>
      </c>
      <c r="C1330" s="8">
        <v>46215</v>
      </c>
      <c r="D1330" s="2" t="s">
        <v>199</v>
      </c>
      <c r="E1330" s="2" t="s">
        <v>12593</v>
      </c>
      <c r="F1330" s="2" t="s">
        <v>12425</v>
      </c>
      <c r="G1330" s="2" t="s">
        <v>15292</v>
      </c>
      <c r="H1330" s="2" t="s">
        <v>70</v>
      </c>
      <c r="I1330" s="9">
        <v>7799.1033429999998</v>
      </c>
      <c r="J1330" s="7">
        <v>0.65800000000000003</v>
      </c>
      <c r="K1330" s="9">
        <v>5131.8100000000004</v>
      </c>
      <c r="L1330" s="14">
        <v>0</v>
      </c>
      <c r="M1330" s="2" t="s">
        <v>71</v>
      </c>
      <c r="N1330" s="2" t="s">
        <v>13272</v>
      </c>
      <c r="O1330" s="2" t="s">
        <v>15293</v>
      </c>
      <c r="P1330" s="9">
        <v>0</v>
      </c>
      <c r="Q1330" s="9">
        <v>0</v>
      </c>
      <c r="R1330" s="2" t="s">
        <v>14653</v>
      </c>
    </row>
    <row r="1331" spans="1:18" x14ac:dyDescent="0.25">
      <c r="A1331" s="2" t="s">
        <v>6222</v>
      </c>
      <c r="B1331" s="6">
        <v>46204</v>
      </c>
      <c r="C1331" s="8">
        <v>46216</v>
      </c>
      <c r="D1331" s="2" t="s">
        <v>199</v>
      </c>
      <c r="E1331" s="2" t="s">
        <v>12593</v>
      </c>
      <c r="F1331" s="2" t="s">
        <v>12426</v>
      </c>
      <c r="G1331" s="2" t="s">
        <v>15294</v>
      </c>
      <c r="H1331" s="2" t="s">
        <v>39</v>
      </c>
      <c r="I1331" s="9">
        <v>5304.82</v>
      </c>
      <c r="J1331" s="7">
        <v>1</v>
      </c>
      <c r="K1331" s="9">
        <v>5304.82</v>
      </c>
      <c r="L1331" s="14">
        <v>0</v>
      </c>
      <c r="M1331" s="2" t="s">
        <v>71</v>
      </c>
      <c r="N1331" s="2" t="s">
        <v>13272</v>
      </c>
      <c r="O1331" s="2" t="s">
        <v>15295</v>
      </c>
      <c r="P1331" s="9">
        <v>0</v>
      </c>
      <c r="Q1331" s="9">
        <v>0</v>
      </c>
      <c r="R1331" s="2" t="s">
        <v>14626</v>
      </c>
    </row>
    <row r="1332" spans="1:18" x14ac:dyDescent="0.25">
      <c r="A1332" s="2" t="s">
        <v>6227</v>
      </c>
      <c r="B1332" s="6">
        <v>46204</v>
      </c>
      <c r="C1332" s="8">
        <v>46217</v>
      </c>
      <c r="D1332" s="2" t="s">
        <v>199</v>
      </c>
      <c r="E1332" s="2" t="s">
        <v>12593</v>
      </c>
      <c r="F1332" s="2" t="s">
        <v>12427</v>
      </c>
      <c r="G1332" s="2" t="s">
        <v>15296</v>
      </c>
      <c r="H1332" s="2" t="s">
        <v>76</v>
      </c>
      <c r="I1332" s="9">
        <v>88352096.774194002</v>
      </c>
      <c r="J1332" s="7">
        <v>6.2000000000000003E-5</v>
      </c>
      <c r="K1332" s="9">
        <v>5477.83</v>
      </c>
      <c r="L1332" s="14">
        <v>0</v>
      </c>
      <c r="M1332" s="2" t="s">
        <v>71</v>
      </c>
      <c r="N1332" s="2" t="s">
        <v>13272</v>
      </c>
      <c r="O1332" s="2" t="s">
        <v>15297</v>
      </c>
      <c r="P1332" s="9">
        <v>0</v>
      </c>
      <c r="Q1332" s="9">
        <v>0</v>
      </c>
      <c r="R1332" s="2" t="s">
        <v>14629</v>
      </c>
    </row>
    <row r="1333" spans="1:18" x14ac:dyDescent="0.25">
      <c r="A1333" s="2" t="s">
        <v>6232</v>
      </c>
      <c r="B1333" s="6">
        <v>46204</v>
      </c>
      <c r="C1333" s="8">
        <v>46218</v>
      </c>
      <c r="D1333" s="2" t="s">
        <v>199</v>
      </c>
      <c r="E1333" s="2" t="s">
        <v>12593</v>
      </c>
      <c r="F1333" s="2" t="s">
        <v>12428</v>
      </c>
      <c r="G1333" s="2" t="s">
        <v>15298</v>
      </c>
      <c r="H1333" s="2" t="s">
        <v>70</v>
      </c>
      <c r="I1333" s="9">
        <v>8587.902736</v>
      </c>
      <c r="J1333" s="7">
        <v>0.65800000000000003</v>
      </c>
      <c r="K1333" s="9">
        <v>5650.84</v>
      </c>
      <c r="L1333" s="14">
        <v>0</v>
      </c>
      <c r="M1333" s="2" t="s">
        <v>71</v>
      </c>
      <c r="N1333" s="2" t="s">
        <v>13272</v>
      </c>
      <c r="O1333" s="2" t="s">
        <v>15299</v>
      </c>
      <c r="P1333" s="9">
        <v>0</v>
      </c>
      <c r="Q1333" s="9">
        <v>0</v>
      </c>
      <c r="R1333" s="2" t="s">
        <v>14632</v>
      </c>
    </row>
    <row r="1334" spans="1:18" x14ac:dyDescent="0.25">
      <c r="A1334" s="2" t="s">
        <v>7434</v>
      </c>
      <c r="B1334" s="6">
        <v>46174</v>
      </c>
      <c r="C1334" s="8">
        <v>46174</v>
      </c>
      <c r="D1334" s="2" t="s">
        <v>7433</v>
      </c>
      <c r="E1334" s="2" t="s">
        <v>12593</v>
      </c>
      <c r="F1334" s="2" t="s">
        <v>15300</v>
      </c>
      <c r="G1334" s="2" t="s">
        <v>15301</v>
      </c>
      <c r="H1334" s="2" t="s">
        <v>39</v>
      </c>
      <c r="I1334" s="9">
        <v>5433.62</v>
      </c>
      <c r="J1334" s="7">
        <v>1</v>
      </c>
      <c r="K1334" s="9">
        <v>5433.62</v>
      </c>
      <c r="L1334" s="14">
        <v>0</v>
      </c>
      <c r="M1334" s="2" t="s">
        <v>71</v>
      </c>
      <c r="N1334" s="2" t="s">
        <v>12595</v>
      </c>
      <c r="O1334" s="2" t="s">
        <v>15302</v>
      </c>
      <c r="P1334" s="9">
        <v>0</v>
      </c>
      <c r="Q1334" s="9">
        <v>0</v>
      </c>
      <c r="R1334" s="2" t="s">
        <v>15303</v>
      </c>
    </row>
    <row r="1335" spans="1:18" x14ac:dyDescent="0.25">
      <c r="A1335" s="2" t="s">
        <v>7439</v>
      </c>
      <c r="B1335" s="6">
        <v>46174</v>
      </c>
      <c r="C1335" s="8">
        <v>46175</v>
      </c>
      <c r="D1335" s="2" t="s">
        <v>7433</v>
      </c>
      <c r="E1335" s="2" t="s">
        <v>12593</v>
      </c>
      <c r="F1335" s="2" t="s">
        <v>15304</v>
      </c>
      <c r="G1335" s="2" t="s">
        <v>15305</v>
      </c>
      <c r="H1335" s="2" t="s">
        <v>76</v>
      </c>
      <c r="I1335" s="9">
        <v>91366880</v>
      </c>
      <c r="J1335" s="7">
        <v>6.2500000000000001E-5</v>
      </c>
      <c r="K1335" s="9">
        <v>5710.43</v>
      </c>
      <c r="L1335" s="14">
        <v>0</v>
      </c>
      <c r="M1335" s="2" t="s">
        <v>71</v>
      </c>
      <c r="N1335" s="2" t="s">
        <v>12595</v>
      </c>
      <c r="O1335" s="2" t="s">
        <v>15306</v>
      </c>
      <c r="P1335" s="9">
        <v>0</v>
      </c>
      <c r="Q1335" s="9">
        <v>0</v>
      </c>
      <c r="R1335" s="2" t="s">
        <v>15307</v>
      </c>
    </row>
    <row r="1336" spans="1:18" x14ac:dyDescent="0.25">
      <c r="A1336" s="2" t="s">
        <v>7444</v>
      </c>
      <c r="B1336" s="6">
        <v>46174</v>
      </c>
      <c r="C1336" s="8">
        <v>46176</v>
      </c>
      <c r="D1336" s="2" t="s">
        <v>7433</v>
      </c>
      <c r="E1336" s="2" t="s">
        <v>12593</v>
      </c>
      <c r="F1336" s="2" t="s">
        <v>15308</v>
      </c>
      <c r="G1336" s="2" t="s">
        <v>15309</v>
      </c>
      <c r="H1336" s="2" t="s">
        <v>70</v>
      </c>
      <c r="I1336" s="9">
        <v>9003.3834590000006</v>
      </c>
      <c r="J1336" s="7">
        <v>0.66500000000000004</v>
      </c>
      <c r="K1336" s="9">
        <v>5987.25</v>
      </c>
      <c r="L1336" s="14">
        <v>0</v>
      </c>
      <c r="M1336" s="2" t="s">
        <v>71</v>
      </c>
      <c r="N1336" s="2" t="s">
        <v>12595</v>
      </c>
      <c r="O1336" s="2" t="s">
        <v>15310</v>
      </c>
      <c r="P1336" s="9">
        <v>0</v>
      </c>
      <c r="Q1336" s="9">
        <v>0</v>
      </c>
      <c r="R1336" s="2" t="s">
        <v>15311</v>
      </c>
    </row>
    <row r="1337" spans="1:18" x14ac:dyDescent="0.25">
      <c r="A1337" s="2" t="s">
        <v>7449</v>
      </c>
      <c r="B1337" s="6">
        <v>46174</v>
      </c>
      <c r="C1337" s="8">
        <v>46177</v>
      </c>
      <c r="D1337" s="2" t="s">
        <v>7433</v>
      </c>
      <c r="E1337" s="2" t="s">
        <v>12593</v>
      </c>
      <c r="F1337" s="2" t="s">
        <v>15312</v>
      </c>
      <c r="G1337" s="2" t="s">
        <v>15313</v>
      </c>
      <c r="H1337" s="2" t="s">
        <v>39</v>
      </c>
      <c r="I1337" s="9">
        <v>6264.06</v>
      </c>
      <c r="J1337" s="7">
        <v>1</v>
      </c>
      <c r="K1337" s="9">
        <v>6264.06</v>
      </c>
      <c r="L1337" s="14">
        <v>0</v>
      </c>
      <c r="M1337" s="2" t="s">
        <v>71</v>
      </c>
      <c r="N1337" s="2" t="s">
        <v>12595</v>
      </c>
      <c r="O1337" s="2" t="s">
        <v>15314</v>
      </c>
      <c r="P1337" s="9">
        <v>0</v>
      </c>
      <c r="Q1337" s="9">
        <v>0</v>
      </c>
      <c r="R1337" s="2" t="s">
        <v>15315</v>
      </c>
    </row>
    <row r="1338" spans="1:18" x14ac:dyDescent="0.25">
      <c r="A1338" s="2" t="s">
        <v>7454</v>
      </c>
      <c r="B1338" s="6">
        <v>46174</v>
      </c>
      <c r="C1338" s="8">
        <v>46178</v>
      </c>
      <c r="D1338" s="2" t="s">
        <v>7433</v>
      </c>
      <c r="E1338" s="2" t="s">
        <v>12593</v>
      </c>
      <c r="F1338" s="2" t="s">
        <v>15316</v>
      </c>
      <c r="G1338" s="2" t="s">
        <v>15317</v>
      </c>
      <c r="H1338" s="2" t="s">
        <v>76</v>
      </c>
      <c r="I1338" s="9">
        <v>104654080</v>
      </c>
      <c r="J1338" s="7">
        <v>6.2500000000000001E-5</v>
      </c>
      <c r="K1338" s="9">
        <v>6540.88</v>
      </c>
      <c r="L1338" s="14">
        <v>0</v>
      </c>
      <c r="M1338" s="2" t="s">
        <v>71</v>
      </c>
      <c r="N1338" s="2" t="s">
        <v>12595</v>
      </c>
      <c r="O1338" s="2" t="s">
        <v>15318</v>
      </c>
      <c r="P1338" s="9">
        <v>0</v>
      </c>
      <c r="Q1338" s="9">
        <v>0</v>
      </c>
      <c r="R1338" s="2" t="s">
        <v>15319</v>
      </c>
    </row>
    <row r="1339" spans="1:18" x14ac:dyDescent="0.25">
      <c r="A1339" s="2" t="s">
        <v>7459</v>
      </c>
      <c r="B1339" s="6">
        <v>46174</v>
      </c>
      <c r="C1339" s="8">
        <v>46179</v>
      </c>
      <c r="D1339" s="2" t="s">
        <v>7433</v>
      </c>
      <c r="E1339" s="2" t="s">
        <v>12593</v>
      </c>
      <c r="F1339" s="2" t="s">
        <v>15320</v>
      </c>
      <c r="G1339" s="2" t="s">
        <v>15321</v>
      </c>
      <c r="H1339" s="2" t="s">
        <v>70</v>
      </c>
      <c r="I1339" s="9">
        <v>10252.165413999999</v>
      </c>
      <c r="J1339" s="7">
        <v>0.66500000000000004</v>
      </c>
      <c r="K1339" s="9">
        <v>6817.69</v>
      </c>
      <c r="L1339" s="14">
        <v>0</v>
      </c>
      <c r="M1339" s="2" t="s">
        <v>71</v>
      </c>
      <c r="N1339" s="2" t="s">
        <v>12595</v>
      </c>
      <c r="O1339" s="2" t="s">
        <v>15322</v>
      </c>
      <c r="P1339" s="9">
        <v>0</v>
      </c>
      <c r="Q1339" s="9">
        <v>0</v>
      </c>
      <c r="R1339" s="2" t="s">
        <v>15323</v>
      </c>
    </row>
    <row r="1340" spans="1:18" x14ac:dyDescent="0.25">
      <c r="A1340" s="2" t="s">
        <v>7464</v>
      </c>
      <c r="B1340" s="6">
        <v>46174</v>
      </c>
      <c r="C1340" s="8">
        <v>46180</v>
      </c>
      <c r="D1340" s="2" t="s">
        <v>7433</v>
      </c>
      <c r="E1340" s="2" t="s">
        <v>12593</v>
      </c>
      <c r="F1340" s="2" t="s">
        <v>15324</v>
      </c>
      <c r="G1340" s="2" t="s">
        <v>15325</v>
      </c>
      <c r="H1340" s="2" t="s">
        <v>39</v>
      </c>
      <c r="I1340" s="9">
        <v>7094.51</v>
      </c>
      <c r="J1340" s="7">
        <v>1</v>
      </c>
      <c r="K1340" s="9">
        <v>7094.51</v>
      </c>
      <c r="L1340" s="14">
        <v>0</v>
      </c>
      <c r="M1340" s="2" t="s">
        <v>71</v>
      </c>
      <c r="N1340" s="2" t="s">
        <v>12595</v>
      </c>
      <c r="O1340" s="2" t="s">
        <v>15326</v>
      </c>
      <c r="P1340" s="9">
        <v>0</v>
      </c>
      <c r="Q1340" s="9">
        <v>0</v>
      </c>
      <c r="R1340" s="2" t="s">
        <v>15327</v>
      </c>
    </row>
    <row r="1341" spans="1:18" x14ac:dyDescent="0.25">
      <c r="A1341" s="2" t="s">
        <v>7469</v>
      </c>
      <c r="B1341" s="6">
        <v>46174</v>
      </c>
      <c r="C1341" s="8">
        <v>46181</v>
      </c>
      <c r="D1341" s="2" t="s">
        <v>7433</v>
      </c>
      <c r="E1341" s="2" t="s">
        <v>12593</v>
      </c>
      <c r="F1341" s="2" t="s">
        <v>15328</v>
      </c>
      <c r="G1341" s="2" t="s">
        <v>15329</v>
      </c>
      <c r="H1341" s="2" t="s">
        <v>76</v>
      </c>
      <c r="I1341" s="9">
        <v>117941280</v>
      </c>
      <c r="J1341" s="7">
        <v>6.2500000000000001E-5</v>
      </c>
      <c r="K1341" s="9">
        <v>7371.33</v>
      </c>
      <c r="L1341" s="14">
        <v>0</v>
      </c>
      <c r="M1341" s="2" t="s">
        <v>71</v>
      </c>
      <c r="N1341" s="2" t="s">
        <v>12595</v>
      </c>
      <c r="O1341" s="2" t="s">
        <v>15330</v>
      </c>
      <c r="P1341" s="9">
        <v>0</v>
      </c>
      <c r="Q1341" s="9">
        <v>0</v>
      </c>
      <c r="R1341" s="2" t="s">
        <v>15331</v>
      </c>
    </row>
    <row r="1342" spans="1:18" x14ac:dyDescent="0.25">
      <c r="A1342" s="2" t="s">
        <v>7474</v>
      </c>
      <c r="B1342" s="6">
        <v>46174</v>
      </c>
      <c r="C1342" s="8">
        <v>46182</v>
      </c>
      <c r="D1342" s="2" t="s">
        <v>7433</v>
      </c>
      <c r="E1342" s="2" t="s">
        <v>12593</v>
      </c>
      <c r="F1342" s="2" t="s">
        <v>15332</v>
      </c>
      <c r="G1342" s="2" t="s">
        <v>15333</v>
      </c>
      <c r="H1342" s="2" t="s">
        <v>70</v>
      </c>
      <c r="I1342" s="9">
        <v>11500.977444</v>
      </c>
      <c r="J1342" s="7">
        <v>0.66500000000000004</v>
      </c>
      <c r="K1342" s="9">
        <v>7648.15</v>
      </c>
      <c r="L1342" s="14">
        <v>0</v>
      </c>
      <c r="M1342" s="2" t="s">
        <v>71</v>
      </c>
      <c r="N1342" s="2" t="s">
        <v>12595</v>
      </c>
      <c r="O1342" s="2" t="s">
        <v>15334</v>
      </c>
      <c r="P1342" s="9">
        <v>0</v>
      </c>
      <c r="Q1342" s="9">
        <v>0</v>
      </c>
      <c r="R1342" s="2" t="s">
        <v>15335</v>
      </c>
    </row>
    <row r="1343" spans="1:18" x14ac:dyDescent="0.25">
      <c r="A1343" s="2" t="s">
        <v>7479</v>
      </c>
      <c r="B1343" s="6">
        <v>46174</v>
      </c>
      <c r="C1343" s="8">
        <v>46183</v>
      </c>
      <c r="D1343" s="2" t="s">
        <v>7433</v>
      </c>
      <c r="E1343" s="2" t="s">
        <v>12593</v>
      </c>
      <c r="F1343" s="2" t="s">
        <v>15336</v>
      </c>
      <c r="G1343" s="2" t="s">
        <v>15337</v>
      </c>
      <c r="H1343" s="2" t="s">
        <v>39</v>
      </c>
      <c r="I1343" s="9">
        <v>7924.96</v>
      </c>
      <c r="J1343" s="7">
        <v>1</v>
      </c>
      <c r="K1343" s="9">
        <v>7924.96</v>
      </c>
      <c r="L1343" s="14">
        <v>0</v>
      </c>
      <c r="M1343" s="2" t="s">
        <v>71</v>
      </c>
      <c r="N1343" s="2" t="s">
        <v>12595</v>
      </c>
      <c r="O1343" s="2" t="s">
        <v>15338</v>
      </c>
      <c r="P1343" s="9">
        <v>0</v>
      </c>
      <c r="Q1343" s="9">
        <v>0</v>
      </c>
      <c r="R1343" s="2" t="s">
        <v>15339</v>
      </c>
    </row>
    <row r="1344" spans="1:18" x14ac:dyDescent="0.25">
      <c r="A1344" s="2" t="s">
        <v>7484</v>
      </c>
      <c r="B1344" s="6">
        <v>46174</v>
      </c>
      <c r="C1344" s="8">
        <v>46184</v>
      </c>
      <c r="D1344" s="2" t="s">
        <v>7433</v>
      </c>
      <c r="E1344" s="2" t="s">
        <v>12593</v>
      </c>
      <c r="F1344" s="2" t="s">
        <v>15300</v>
      </c>
      <c r="G1344" s="2" t="s">
        <v>15340</v>
      </c>
      <c r="H1344" s="2" t="s">
        <v>76</v>
      </c>
      <c r="I1344" s="9">
        <v>131228480</v>
      </c>
      <c r="J1344" s="7">
        <v>6.2500000000000001E-5</v>
      </c>
      <c r="K1344" s="9">
        <v>8201.7800000000007</v>
      </c>
      <c r="L1344" s="14">
        <v>0</v>
      </c>
      <c r="M1344" s="2" t="s">
        <v>71</v>
      </c>
      <c r="N1344" s="2" t="s">
        <v>12595</v>
      </c>
      <c r="O1344" s="2" t="s">
        <v>15341</v>
      </c>
      <c r="P1344" s="9">
        <v>0</v>
      </c>
      <c r="Q1344" s="9">
        <v>0</v>
      </c>
      <c r="R1344" s="2" t="s">
        <v>15303</v>
      </c>
    </row>
    <row r="1345" spans="1:18" x14ac:dyDescent="0.25">
      <c r="A1345" s="2" t="s">
        <v>7489</v>
      </c>
      <c r="B1345" s="6">
        <v>46174</v>
      </c>
      <c r="C1345" s="8">
        <v>46185</v>
      </c>
      <c r="D1345" s="2" t="s">
        <v>7433</v>
      </c>
      <c r="E1345" s="2" t="s">
        <v>12593</v>
      </c>
      <c r="F1345" s="2" t="s">
        <v>15304</v>
      </c>
      <c r="G1345" s="2" t="s">
        <v>15342</v>
      </c>
      <c r="H1345" s="2" t="s">
        <v>70</v>
      </c>
      <c r="I1345" s="9">
        <v>12749.759398</v>
      </c>
      <c r="J1345" s="7">
        <v>0.66500000000000004</v>
      </c>
      <c r="K1345" s="9">
        <v>8478.59</v>
      </c>
      <c r="L1345" s="14">
        <v>0</v>
      </c>
      <c r="M1345" s="2" t="s">
        <v>71</v>
      </c>
      <c r="N1345" s="2" t="s">
        <v>12595</v>
      </c>
      <c r="O1345" s="2" t="s">
        <v>15343</v>
      </c>
      <c r="P1345" s="9">
        <v>0</v>
      </c>
      <c r="Q1345" s="9">
        <v>0</v>
      </c>
      <c r="R1345" s="2" t="s">
        <v>15307</v>
      </c>
    </row>
    <row r="1346" spans="1:18" x14ac:dyDescent="0.25">
      <c r="A1346" s="2" t="s">
        <v>7494</v>
      </c>
      <c r="B1346" s="6">
        <v>46174</v>
      </c>
      <c r="C1346" s="8">
        <v>46186</v>
      </c>
      <c r="D1346" s="2" t="s">
        <v>7433</v>
      </c>
      <c r="E1346" s="2" t="s">
        <v>12593</v>
      </c>
      <c r="F1346" s="2" t="s">
        <v>15308</v>
      </c>
      <c r="G1346" s="2" t="s">
        <v>15344</v>
      </c>
      <c r="H1346" s="2" t="s">
        <v>39</v>
      </c>
      <c r="I1346" s="9">
        <v>8755.41</v>
      </c>
      <c r="J1346" s="7">
        <v>1</v>
      </c>
      <c r="K1346" s="9">
        <v>8755.41</v>
      </c>
      <c r="L1346" s="14">
        <v>0</v>
      </c>
      <c r="M1346" s="2" t="s">
        <v>71</v>
      </c>
      <c r="N1346" s="2" t="s">
        <v>12595</v>
      </c>
      <c r="O1346" s="2" t="s">
        <v>15345</v>
      </c>
      <c r="P1346" s="9">
        <v>0</v>
      </c>
      <c r="Q1346" s="9">
        <v>0</v>
      </c>
      <c r="R1346" s="2" t="s">
        <v>15311</v>
      </c>
    </row>
    <row r="1347" spans="1:18" x14ac:dyDescent="0.25">
      <c r="A1347" s="2" t="s">
        <v>7499</v>
      </c>
      <c r="B1347" s="6">
        <v>46174</v>
      </c>
      <c r="C1347" s="8">
        <v>46187</v>
      </c>
      <c r="D1347" s="2" t="s">
        <v>7433</v>
      </c>
      <c r="E1347" s="2" t="s">
        <v>12593</v>
      </c>
      <c r="F1347" s="2" t="s">
        <v>15312</v>
      </c>
      <c r="G1347" s="2" t="s">
        <v>15346</v>
      </c>
      <c r="H1347" s="2" t="s">
        <v>76</v>
      </c>
      <c r="I1347" s="9">
        <v>144515520</v>
      </c>
      <c r="J1347" s="7">
        <v>6.2500000000000001E-5</v>
      </c>
      <c r="K1347" s="9">
        <v>9032.2199999999993</v>
      </c>
      <c r="L1347" s="14">
        <v>0</v>
      </c>
      <c r="M1347" s="2" t="s">
        <v>71</v>
      </c>
      <c r="N1347" s="2" t="s">
        <v>12595</v>
      </c>
      <c r="O1347" s="2" t="s">
        <v>15347</v>
      </c>
      <c r="P1347" s="9">
        <v>0</v>
      </c>
      <c r="Q1347" s="9">
        <v>0</v>
      </c>
      <c r="R1347" s="2" t="s">
        <v>15315</v>
      </c>
    </row>
    <row r="1348" spans="1:18" x14ac:dyDescent="0.25">
      <c r="A1348" s="2" t="s">
        <v>7504</v>
      </c>
      <c r="B1348" s="6">
        <v>46174</v>
      </c>
      <c r="C1348" s="8">
        <v>46188</v>
      </c>
      <c r="D1348" s="2" t="s">
        <v>7433</v>
      </c>
      <c r="E1348" s="2" t="s">
        <v>12593</v>
      </c>
      <c r="F1348" s="2" t="s">
        <v>15316</v>
      </c>
      <c r="G1348" s="2" t="s">
        <v>15348</v>
      </c>
      <c r="H1348" s="2" t="s">
        <v>70</v>
      </c>
      <c r="I1348" s="9">
        <v>13998.556391</v>
      </c>
      <c r="J1348" s="7">
        <v>0.66500000000000004</v>
      </c>
      <c r="K1348" s="9">
        <v>9309.0400000000009</v>
      </c>
      <c r="L1348" s="14">
        <v>0</v>
      </c>
      <c r="M1348" s="2" t="s">
        <v>71</v>
      </c>
      <c r="N1348" s="2" t="s">
        <v>12595</v>
      </c>
      <c r="O1348" s="2" t="s">
        <v>15349</v>
      </c>
      <c r="P1348" s="9">
        <v>0</v>
      </c>
      <c r="Q1348" s="9">
        <v>0</v>
      </c>
      <c r="R1348" s="2" t="s">
        <v>15319</v>
      </c>
    </row>
    <row r="1349" spans="1:18" x14ac:dyDescent="0.25">
      <c r="A1349" s="2" t="s">
        <v>7509</v>
      </c>
      <c r="B1349" s="6">
        <v>46174</v>
      </c>
      <c r="C1349" s="8">
        <v>46189</v>
      </c>
      <c r="D1349" s="2" t="s">
        <v>7433</v>
      </c>
      <c r="E1349" s="2" t="s">
        <v>12593</v>
      </c>
      <c r="F1349" s="2" t="s">
        <v>15320</v>
      </c>
      <c r="G1349" s="2" t="s">
        <v>15350</v>
      </c>
      <c r="H1349" s="2" t="s">
        <v>39</v>
      </c>
      <c r="I1349" s="9">
        <v>9585.86</v>
      </c>
      <c r="J1349" s="7">
        <v>1</v>
      </c>
      <c r="K1349" s="9">
        <v>9585.86</v>
      </c>
      <c r="L1349" s="14">
        <v>0</v>
      </c>
      <c r="M1349" s="2" t="s">
        <v>71</v>
      </c>
      <c r="N1349" s="2" t="s">
        <v>12595</v>
      </c>
      <c r="O1349" s="2" t="s">
        <v>15351</v>
      </c>
      <c r="P1349" s="9">
        <v>0</v>
      </c>
      <c r="Q1349" s="9">
        <v>0</v>
      </c>
      <c r="R1349" s="2" t="s">
        <v>15323</v>
      </c>
    </row>
    <row r="1350" spans="1:18" x14ac:dyDescent="0.25">
      <c r="A1350" s="2" t="s">
        <v>7514</v>
      </c>
      <c r="B1350" s="6">
        <v>46174</v>
      </c>
      <c r="C1350" s="8">
        <v>46190</v>
      </c>
      <c r="D1350" s="2" t="s">
        <v>7433</v>
      </c>
      <c r="E1350" s="2" t="s">
        <v>12593</v>
      </c>
      <c r="F1350" s="2" t="s">
        <v>15324</v>
      </c>
      <c r="G1350" s="2" t="s">
        <v>15352</v>
      </c>
      <c r="H1350" s="2" t="s">
        <v>76</v>
      </c>
      <c r="I1350" s="9">
        <v>157802720</v>
      </c>
      <c r="J1350" s="7">
        <v>6.2500000000000001E-5</v>
      </c>
      <c r="K1350" s="9">
        <v>9862.67</v>
      </c>
      <c r="L1350" s="14">
        <v>0</v>
      </c>
      <c r="M1350" s="2" t="s">
        <v>71</v>
      </c>
      <c r="N1350" s="2" t="s">
        <v>12595</v>
      </c>
      <c r="O1350" s="2" t="s">
        <v>15353</v>
      </c>
      <c r="P1350" s="9">
        <v>0</v>
      </c>
      <c r="Q1350" s="9">
        <v>0</v>
      </c>
      <c r="R1350" s="2" t="s">
        <v>15327</v>
      </c>
    </row>
    <row r="1351" spans="1:18" x14ac:dyDescent="0.25">
      <c r="A1351" s="2" t="s">
        <v>7519</v>
      </c>
      <c r="B1351" s="6">
        <v>46174</v>
      </c>
      <c r="C1351" s="8">
        <v>46191</v>
      </c>
      <c r="D1351" s="2" t="s">
        <v>7433</v>
      </c>
      <c r="E1351" s="2" t="s">
        <v>12593</v>
      </c>
      <c r="F1351" s="2" t="s">
        <v>15328</v>
      </c>
      <c r="G1351" s="2" t="s">
        <v>15354</v>
      </c>
      <c r="H1351" s="2" t="s">
        <v>70</v>
      </c>
      <c r="I1351" s="9">
        <v>15247.353383</v>
      </c>
      <c r="J1351" s="7">
        <v>0.66500000000000004</v>
      </c>
      <c r="K1351" s="9">
        <v>10139.49</v>
      </c>
      <c r="L1351" s="14">
        <v>0</v>
      </c>
      <c r="M1351" s="2" t="s">
        <v>71</v>
      </c>
      <c r="N1351" s="2" t="s">
        <v>12595</v>
      </c>
      <c r="O1351" s="2" t="s">
        <v>15355</v>
      </c>
      <c r="P1351" s="9">
        <v>0</v>
      </c>
      <c r="Q1351" s="9">
        <v>0</v>
      </c>
      <c r="R1351" s="2" t="s">
        <v>15331</v>
      </c>
    </row>
    <row r="1352" spans="1:18" x14ac:dyDescent="0.25">
      <c r="A1352" s="2" t="s">
        <v>7524</v>
      </c>
      <c r="B1352" s="6">
        <v>46174</v>
      </c>
      <c r="C1352" s="8">
        <v>46192</v>
      </c>
      <c r="D1352" s="2" t="s">
        <v>7433</v>
      </c>
      <c r="E1352" s="2" t="s">
        <v>12593</v>
      </c>
      <c r="F1352" s="2" t="s">
        <v>15332</v>
      </c>
      <c r="G1352" s="2" t="s">
        <v>15356</v>
      </c>
      <c r="H1352" s="2" t="s">
        <v>39</v>
      </c>
      <c r="I1352" s="9">
        <v>10416.299999999999</v>
      </c>
      <c r="J1352" s="7">
        <v>1</v>
      </c>
      <c r="K1352" s="9">
        <v>10416.299999999999</v>
      </c>
      <c r="L1352" s="14">
        <v>0</v>
      </c>
      <c r="M1352" s="2" t="s">
        <v>71</v>
      </c>
      <c r="N1352" s="2" t="s">
        <v>12595</v>
      </c>
      <c r="O1352" s="2" t="s">
        <v>15357</v>
      </c>
      <c r="P1352" s="9">
        <v>0</v>
      </c>
      <c r="Q1352" s="9">
        <v>0</v>
      </c>
      <c r="R1352" s="2" t="s">
        <v>15335</v>
      </c>
    </row>
    <row r="1353" spans="1:18" x14ac:dyDescent="0.25">
      <c r="A1353" s="2" t="s">
        <v>7529</v>
      </c>
      <c r="B1353" s="6">
        <v>46174</v>
      </c>
      <c r="C1353" s="8">
        <v>46193</v>
      </c>
      <c r="D1353" s="2" t="s">
        <v>7433</v>
      </c>
      <c r="E1353" s="2" t="s">
        <v>12593</v>
      </c>
      <c r="F1353" s="2" t="s">
        <v>15336</v>
      </c>
      <c r="G1353" s="2" t="s">
        <v>15358</v>
      </c>
      <c r="H1353" s="2" t="s">
        <v>76</v>
      </c>
      <c r="I1353" s="9">
        <v>171089920</v>
      </c>
      <c r="J1353" s="7">
        <v>6.2500000000000001E-5</v>
      </c>
      <c r="K1353" s="9">
        <v>10693.12</v>
      </c>
      <c r="L1353" s="14">
        <v>0</v>
      </c>
      <c r="M1353" s="2" t="s">
        <v>71</v>
      </c>
      <c r="N1353" s="2" t="s">
        <v>12595</v>
      </c>
      <c r="O1353" s="2" t="s">
        <v>15359</v>
      </c>
      <c r="P1353" s="9">
        <v>0</v>
      </c>
      <c r="Q1353" s="9">
        <v>0</v>
      </c>
      <c r="R1353" s="2" t="s">
        <v>15339</v>
      </c>
    </row>
    <row r="1354" spans="1:18" x14ac:dyDescent="0.25">
      <c r="A1354" s="2" t="s">
        <v>7534</v>
      </c>
      <c r="B1354" s="6">
        <v>46174</v>
      </c>
      <c r="C1354" s="8">
        <v>46194</v>
      </c>
      <c r="D1354" s="2" t="s">
        <v>7433</v>
      </c>
      <c r="E1354" s="2" t="s">
        <v>12593</v>
      </c>
      <c r="F1354" s="2" t="s">
        <v>15300</v>
      </c>
      <c r="G1354" s="2" t="s">
        <v>15360</v>
      </c>
      <c r="H1354" s="2" t="s">
        <v>70</v>
      </c>
      <c r="I1354" s="9">
        <v>16496.135338</v>
      </c>
      <c r="J1354" s="7">
        <v>0.66500000000000004</v>
      </c>
      <c r="K1354" s="9">
        <v>10969.93</v>
      </c>
      <c r="L1354" s="14">
        <v>0</v>
      </c>
      <c r="M1354" s="2" t="s">
        <v>71</v>
      </c>
      <c r="N1354" s="2" t="s">
        <v>12595</v>
      </c>
      <c r="O1354" s="2" t="s">
        <v>15361</v>
      </c>
      <c r="P1354" s="9">
        <v>0</v>
      </c>
      <c r="Q1354" s="9">
        <v>0</v>
      </c>
      <c r="R1354" s="2" t="s">
        <v>15303</v>
      </c>
    </row>
    <row r="1355" spans="1:18" x14ac:dyDescent="0.25">
      <c r="A1355" s="2" t="s">
        <v>7539</v>
      </c>
      <c r="B1355" s="6">
        <v>46174</v>
      </c>
      <c r="C1355" s="8">
        <v>46195</v>
      </c>
      <c r="D1355" s="2" t="s">
        <v>7433</v>
      </c>
      <c r="E1355" s="2" t="s">
        <v>12593</v>
      </c>
      <c r="F1355" s="2" t="s">
        <v>15304</v>
      </c>
      <c r="G1355" s="2" t="s">
        <v>15362</v>
      </c>
      <c r="H1355" s="2" t="s">
        <v>39</v>
      </c>
      <c r="I1355" s="9">
        <v>11246.75</v>
      </c>
      <c r="J1355" s="7">
        <v>1</v>
      </c>
      <c r="K1355" s="9">
        <v>11246.75</v>
      </c>
      <c r="L1355" s="14">
        <v>0</v>
      </c>
      <c r="M1355" s="2" t="s">
        <v>71</v>
      </c>
      <c r="N1355" s="2" t="s">
        <v>12595</v>
      </c>
      <c r="O1355" s="2" t="s">
        <v>15363</v>
      </c>
      <c r="P1355" s="9">
        <v>0</v>
      </c>
      <c r="Q1355" s="9">
        <v>0</v>
      </c>
      <c r="R1355" s="2" t="s">
        <v>15307</v>
      </c>
    </row>
    <row r="1356" spans="1:18" x14ac:dyDescent="0.25">
      <c r="A1356" s="2" t="s">
        <v>7544</v>
      </c>
      <c r="B1356" s="6">
        <v>46174</v>
      </c>
      <c r="C1356" s="8">
        <v>46196</v>
      </c>
      <c r="D1356" s="2" t="s">
        <v>7433</v>
      </c>
      <c r="E1356" s="2" t="s">
        <v>12593</v>
      </c>
      <c r="F1356" s="2" t="s">
        <v>15308</v>
      </c>
      <c r="G1356" s="2" t="s">
        <v>15364</v>
      </c>
      <c r="H1356" s="2" t="s">
        <v>76</v>
      </c>
      <c r="I1356" s="9">
        <v>184377120</v>
      </c>
      <c r="J1356" s="7">
        <v>6.2500000000000001E-5</v>
      </c>
      <c r="K1356" s="9">
        <v>11523.57</v>
      </c>
      <c r="L1356" s="14">
        <v>0</v>
      </c>
      <c r="M1356" s="2" t="s">
        <v>71</v>
      </c>
      <c r="N1356" s="2" t="s">
        <v>12595</v>
      </c>
      <c r="O1356" s="2" t="s">
        <v>15365</v>
      </c>
      <c r="P1356" s="9">
        <v>0</v>
      </c>
      <c r="Q1356" s="9">
        <v>0</v>
      </c>
      <c r="R1356" s="2" t="s">
        <v>15311</v>
      </c>
    </row>
    <row r="1357" spans="1:18" x14ac:dyDescent="0.25">
      <c r="A1357" s="2" t="s">
        <v>7549</v>
      </c>
      <c r="B1357" s="6">
        <v>46174</v>
      </c>
      <c r="C1357" s="8">
        <v>46197</v>
      </c>
      <c r="D1357" s="2" t="s">
        <v>7433</v>
      </c>
      <c r="E1357" s="2" t="s">
        <v>12593</v>
      </c>
      <c r="F1357" s="2" t="s">
        <v>15312</v>
      </c>
      <c r="G1357" s="2" t="s">
        <v>15366</v>
      </c>
      <c r="H1357" s="2" t="s">
        <v>70</v>
      </c>
      <c r="I1357" s="9">
        <v>17744.947368000001</v>
      </c>
      <c r="J1357" s="7">
        <v>0.66500000000000004</v>
      </c>
      <c r="K1357" s="9">
        <v>11800.39</v>
      </c>
      <c r="L1357" s="14">
        <v>0</v>
      </c>
      <c r="M1357" s="2" t="s">
        <v>71</v>
      </c>
      <c r="N1357" s="2" t="s">
        <v>12595</v>
      </c>
      <c r="O1357" s="2" t="s">
        <v>15367</v>
      </c>
      <c r="P1357" s="9">
        <v>0</v>
      </c>
      <c r="Q1357" s="9">
        <v>0</v>
      </c>
      <c r="R1357" s="2" t="s">
        <v>15315</v>
      </c>
    </row>
    <row r="1358" spans="1:18" x14ac:dyDescent="0.25">
      <c r="A1358" s="2" t="s">
        <v>7554</v>
      </c>
      <c r="B1358" s="6">
        <v>46174</v>
      </c>
      <c r="C1358" s="8">
        <v>46198</v>
      </c>
      <c r="D1358" s="2" t="s">
        <v>7433</v>
      </c>
      <c r="E1358" s="2" t="s">
        <v>12593</v>
      </c>
      <c r="F1358" s="2" t="s">
        <v>15316</v>
      </c>
      <c r="G1358" s="2" t="s">
        <v>15368</v>
      </c>
      <c r="H1358" s="2" t="s">
        <v>39</v>
      </c>
      <c r="I1358" s="9">
        <v>12077.2</v>
      </c>
      <c r="J1358" s="7">
        <v>1</v>
      </c>
      <c r="K1358" s="9">
        <v>12077.2</v>
      </c>
      <c r="L1358" s="14">
        <v>0</v>
      </c>
      <c r="M1358" s="2" t="s">
        <v>71</v>
      </c>
      <c r="N1358" s="2" t="s">
        <v>12595</v>
      </c>
      <c r="O1358" s="2" t="s">
        <v>15369</v>
      </c>
      <c r="P1358" s="9">
        <v>0</v>
      </c>
      <c r="Q1358" s="9">
        <v>0</v>
      </c>
      <c r="R1358" s="2" t="s">
        <v>15319</v>
      </c>
    </row>
    <row r="1359" spans="1:18" x14ac:dyDescent="0.25">
      <c r="A1359" s="2" t="s">
        <v>7559</v>
      </c>
      <c r="B1359" s="6">
        <v>46174</v>
      </c>
      <c r="C1359" s="8">
        <v>46199</v>
      </c>
      <c r="D1359" s="2" t="s">
        <v>7433</v>
      </c>
      <c r="E1359" s="2" t="s">
        <v>12593</v>
      </c>
      <c r="F1359" s="2" t="s">
        <v>15320</v>
      </c>
      <c r="G1359" s="2" t="s">
        <v>15370</v>
      </c>
      <c r="H1359" s="2" t="s">
        <v>76</v>
      </c>
      <c r="I1359" s="9">
        <v>197664320</v>
      </c>
      <c r="J1359" s="7">
        <v>6.2500000000000001E-5</v>
      </c>
      <c r="K1359" s="9">
        <v>12354.02</v>
      </c>
      <c r="L1359" s="14">
        <v>0</v>
      </c>
      <c r="M1359" s="2" t="s">
        <v>71</v>
      </c>
      <c r="N1359" s="2" t="s">
        <v>12595</v>
      </c>
      <c r="O1359" s="2" t="s">
        <v>15371</v>
      </c>
      <c r="P1359" s="9">
        <v>0</v>
      </c>
      <c r="Q1359" s="9">
        <v>0</v>
      </c>
      <c r="R1359" s="2" t="s">
        <v>15323</v>
      </c>
    </row>
    <row r="1360" spans="1:18" x14ac:dyDescent="0.25">
      <c r="A1360" s="2" t="s">
        <v>7564</v>
      </c>
      <c r="B1360" s="6">
        <v>46174</v>
      </c>
      <c r="C1360" s="8">
        <v>46200</v>
      </c>
      <c r="D1360" s="2" t="s">
        <v>7433</v>
      </c>
      <c r="E1360" s="2" t="s">
        <v>12593</v>
      </c>
      <c r="F1360" s="2" t="s">
        <v>15324</v>
      </c>
      <c r="G1360" s="2" t="s">
        <v>15372</v>
      </c>
      <c r="H1360" s="2" t="s">
        <v>70</v>
      </c>
      <c r="I1360" s="9">
        <v>18993.729323</v>
      </c>
      <c r="J1360" s="7">
        <v>0.66500000000000004</v>
      </c>
      <c r="K1360" s="9">
        <v>12630.83</v>
      </c>
      <c r="L1360" s="14">
        <v>0</v>
      </c>
      <c r="M1360" s="2" t="s">
        <v>71</v>
      </c>
      <c r="N1360" s="2" t="s">
        <v>12595</v>
      </c>
      <c r="O1360" s="2" t="s">
        <v>15373</v>
      </c>
      <c r="P1360" s="9">
        <v>0</v>
      </c>
      <c r="Q1360" s="9">
        <v>0</v>
      </c>
      <c r="R1360" s="2" t="s">
        <v>15327</v>
      </c>
    </row>
    <row r="1361" spans="1:18" x14ac:dyDescent="0.25">
      <c r="A1361" s="2" t="s">
        <v>7569</v>
      </c>
      <c r="B1361" s="6">
        <v>46174</v>
      </c>
      <c r="C1361" s="8">
        <v>46201</v>
      </c>
      <c r="D1361" s="2" t="s">
        <v>7433</v>
      </c>
      <c r="E1361" s="2" t="s">
        <v>12593</v>
      </c>
      <c r="F1361" s="2" t="s">
        <v>15328</v>
      </c>
      <c r="G1361" s="2" t="s">
        <v>15374</v>
      </c>
      <c r="H1361" s="2" t="s">
        <v>39</v>
      </c>
      <c r="I1361" s="9">
        <v>12907.65</v>
      </c>
      <c r="J1361" s="7">
        <v>1</v>
      </c>
      <c r="K1361" s="9">
        <v>12907.65</v>
      </c>
      <c r="L1361" s="14">
        <v>0</v>
      </c>
      <c r="M1361" s="2" t="s">
        <v>71</v>
      </c>
      <c r="N1361" s="2" t="s">
        <v>12595</v>
      </c>
      <c r="O1361" s="2" t="s">
        <v>15375</v>
      </c>
      <c r="P1361" s="9">
        <v>0</v>
      </c>
      <c r="Q1361" s="9">
        <v>0</v>
      </c>
      <c r="R1361" s="2" t="s">
        <v>15331</v>
      </c>
    </row>
    <row r="1362" spans="1:18" x14ac:dyDescent="0.25">
      <c r="A1362" s="2" t="s">
        <v>7574</v>
      </c>
      <c r="B1362" s="6">
        <v>46174</v>
      </c>
      <c r="C1362" s="8">
        <v>46202</v>
      </c>
      <c r="D1362" s="2" t="s">
        <v>7433</v>
      </c>
      <c r="E1362" s="2" t="s">
        <v>12593</v>
      </c>
      <c r="F1362" s="2" t="s">
        <v>15332</v>
      </c>
      <c r="G1362" s="2" t="s">
        <v>15376</v>
      </c>
      <c r="H1362" s="2" t="s">
        <v>76</v>
      </c>
      <c r="I1362" s="9">
        <v>210951360</v>
      </c>
      <c r="J1362" s="7">
        <v>6.2500000000000001E-5</v>
      </c>
      <c r="K1362" s="9">
        <v>13184.46</v>
      </c>
      <c r="L1362" s="14">
        <v>0</v>
      </c>
      <c r="M1362" s="2" t="s">
        <v>71</v>
      </c>
      <c r="N1362" s="2" t="s">
        <v>12595</v>
      </c>
      <c r="O1362" s="2" t="s">
        <v>15377</v>
      </c>
      <c r="P1362" s="9">
        <v>0</v>
      </c>
      <c r="Q1362" s="9">
        <v>0</v>
      </c>
      <c r="R1362" s="2" t="s">
        <v>15335</v>
      </c>
    </row>
    <row r="1363" spans="1:18" x14ac:dyDescent="0.25">
      <c r="A1363" s="2" t="s">
        <v>7579</v>
      </c>
      <c r="B1363" s="6">
        <v>46174</v>
      </c>
      <c r="C1363" s="8">
        <v>46203</v>
      </c>
      <c r="D1363" s="2" t="s">
        <v>7433</v>
      </c>
      <c r="E1363" s="2" t="s">
        <v>12593</v>
      </c>
      <c r="F1363" s="2" t="s">
        <v>15336</v>
      </c>
      <c r="G1363" s="2" t="s">
        <v>15378</v>
      </c>
      <c r="H1363" s="2" t="s">
        <v>70</v>
      </c>
      <c r="I1363" s="9">
        <v>20242.526315999999</v>
      </c>
      <c r="J1363" s="7">
        <v>0.66500000000000004</v>
      </c>
      <c r="K1363" s="9">
        <v>13461.28</v>
      </c>
      <c r="L1363" s="14">
        <v>0</v>
      </c>
      <c r="M1363" s="2" t="s">
        <v>71</v>
      </c>
      <c r="N1363" s="2" t="s">
        <v>12595</v>
      </c>
      <c r="O1363" s="2" t="s">
        <v>15379</v>
      </c>
      <c r="P1363" s="9">
        <v>0</v>
      </c>
      <c r="Q1363" s="9">
        <v>0</v>
      </c>
      <c r="R1363" s="2" t="s">
        <v>15339</v>
      </c>
    </row>
    <row r="1364" spans="1:18" x14ac:dyDescent="0.25">
      <c r="A1364" s="2" t="s">
        <v>7584</v>
      </c>
      <c r="B1364" s="6">
        <v>46174</v>
      </c>
      <c r="C1364" s="8">
        <v>46174</v>
      </c>
      <c r="D1364" s="2" t="s">
        <v>7433</v>
      </c>
      <c r="E1364" s="2" t="s">
        <v>12593</v>
      </c>
      <c r="F1364" s="2" t="s">
        <v>15300</v>
      </c>
      <c r="G1364" s="2" t="s">
        <v>15380</v>
      </c>
      <c r="H1364" s="2" t="s">
        <v>39</v>
      </c>
      <c r="I1364" s="9">
        <v>13738.1</v>
      </c>
      <c r="J1364" s="7">
        <v>1</v>
      </c>
      <c r="K1364" s="9">
        <v>13738.1</v>
      </c>
      <c r="L1364" s="14">
        <v>0</v>
      </c>
      <c r="M1364" s="2" t="s">
        <v>71</v>
      </c>
      <c r="N1364" s="2" t="s">
        <v>12595</v>
      </c>
      <c r="O1364" s="2" t="s">
        <v>15381</v>
      </c>
      <c r="P1364" s="9">
        <v>0</v>
      </c>
      <c r="Q1364" s="9">
        <v>0</v>
      </c>
      <c r="R1364" s="2" t="s">
        <v>15303</v>
      </c>
    </row>
    <row r="1365" spans="1:18" x14ac:dyDescent="0.25">
      <c r="A1365" s="2" t="s">
        <v>7589</v>
      </c>
      <c r="B1365" s="6">
        <v>46174</v>
      </c>
      <c r="C1365" s="8">
        <v>46175</v>
      </c>
      <c r="D1365" s="2" t="s">
        <v>7433</v>
      </c>
      <c r="E1365" s="2" t="s">
        <v>12593</v>
      </c>
      <c r="F1365" s="2" t="s">
        <v>15304</v>
      </c>
      <c r="G1365" s="2" t="s">
        <v>15382</v>
      </c>
      <c r="H1365" s="2" t="s">
        <v>76</v>
      </c>
      <c r="I1365" s="9">
        <v>224238560</v>
      </c>
      <c r="J1365" s="7">
        <v>6.2500000000000001E-5</v>
      </c>
      <c r="K1365" s="9">
        <v>14014.91</v>
      </c>
      <c r="L1365" s="14">
        <v>0</v>
      </c>
      <c r="M1365" s="2" t="s">
        <v>71</v>
      </c>
      <c r="N1365" s="2" t="s">
        <v>12595</v>
      </c>
      <c r="O1365" s="2" t="s">
        <v>15383</v>
      </c>
      <c r="P1365" s="9">
        <v>0</v>
      </c>
      <c r="Q1365" s="9">
        <v>0</v>
      </c>
      <c r="R1365" s="2" t="s">
        <v>15307</v>
      </c>
    </row>
    <row r="1366" spans="1:18" x14ac:dyDescent="0.25">
      <c r="A1366" s="2" t="s">
        <v>7594</v>
      </c>
      <c r="B1366" s="6">
        <v>46174</v>
      </c>
      <c r="C1366" s="8">
        <v>46176</v>
      </c>
      <c r="D1366" s="2" t="s">
        <v>7433</v>
      </c>
      <c r="E1366" s="2" t="s">
        <v>12593</v>
      </c>
      <c r="F1366" s="2" t="s">
        <v>15308</v>
      </c>
      <c r="G1366" s="2" t="s">
        <v>15384</v>
      </c>
      <c r="H1366" s="2" t="s">
        <v>70</v>
      </c>
      <c r="I1366" s="9">
        <v>21491.323307999999</v>
      </c>
      <c r="J1366" s="7">
        <v>0.66500000000000004</v>
      </c>
      <c r="K1366" s="9">
        <v>14291.73</v>
      </c>
      <c r="L1366" s="14">
        <v>0</v>
      </c>
      <c r="M1366" s="2" t="s">
        <v>71</v>
      </c>
      <c r="N1366" s="2" t="s">
        <v>12595</v>
      </c>
      <c r="O1366" s="2" t="s">
        <v>15385</v>
      </c>
      <c r="P1366" s="9">
        <v>0</v>
      </c>
      <c r="Q1366" s="9">
        <v>0</v>
      </c>
      <c r="R1366" s="2" t="s">
        <v>15311</v>
      </c>
    </row>
    <row r="1367" spans="1:18" x14ac:dyDescent="0.25">
      <c r="A1367" s="2" t="s">
        <v>7599</v>
      </c>
      <c r="B1367" s="6">
        <v>46174</v>
      </c>
      <c r="C1367" s="8">
        <v>46177</v>
      </c>
      <c r="D1367" s="2" t="s">
        <v>7433</v>
      </c>
      <c r="E1367" s="2" t="s">
        <v>12593</v>
      </c>
      <c r="F1367" s="2" t="s">
        <v>15312</v>
      </c>
      <c r="G1367" s="2" t="s">
        <v>15386</v>
      </c>
      <c r="H1367" s="2" t="s">
        <v>39</v>
      </c>
      <c r="I1367" s="9">
        <v>14568.54</v>
      </c>
      <c r="J1367" s="7">
        <v>1</v>
      </c>
      <c r="K1367" s="9">
        <v>14568.54</v>
      </c>
      <c r="L1367" s="14">
        <v>0</v>
      </c>
      <c r="M1367" s="2" t="s">
        <v>71</v>
      </c>
      <c r="N1367" s="2" t="s">
        <v>12595</v>
      </c>
      <c r="O1367" s="2" t="s">
        <v>15387</v>
      </c>
      <c r="P1367" s="9">
        <v>0</v>
      </c>
      <c r="Q1367" s="9">
        <v>0</v>
      </c>
      <c r="R1367" s="2" t="s">
        <v>15315</v>
      </c>
    </row>
    <row r="1368" spans="1:18" x14ac:dyDescent="0.25">
      <c r="A1368" s="2" t="s">
        <v>7604</v>
      </c>
      <c r="B1368" s="6">
        <v>46174</v>
      </c>
      <c r="C1368" s="8">
        <v>46178</v>
      </c>
      <c r="D1368" s="2" t="s">
        <v>7433</v>
      </c>
      <c r="E1368" s="2" t="s">
        <v>12593</v>
      </c>
      <c r="F1368" s="2" t="s">
        <v>15316</v>
      </c>
      <c r="G1368" s="2" t="s">
        <v>15388</v>
      </c>
      <c r="H1368" s="2" t="s">
        <v>76</v>
      </c>
      <c r="I1368" s="9">
        <v>237525760</v>
      </c>
      <c r="J1368" s="7">
        <v>6.2500000000000001E-5</v>
      </c>
      <c r="K1368" s="9">
        <v>14845.36</v>
      </c>
      <c r="L1368" s="14">
        <v>0</v>
      </c>
      <c r="M1368" s="2" t="s">
        <v>71</v>
      </c>
      <c r="N1368" s="2" t="s">
        <v>12595</v>
      </c>
      <c r="O1368" s="2" t="s">
        <v>15389</v>
      </c>
      <c r="P1368" s="9">
        <v>0</v>
      </c>
      <c r="Q1368" s="9">
        <v>0</v>
      </c>
      <c r="R1368" s="2" t="s">
        <v>15319</v>
      </c>
    </row>
    <row r="1369" spans="1:18" x14ac:dyDescent="0.25">
      <c r="A1369" s="2" t="s">
        <v>7609</v>
      </c>
      <c r="B1369" s="6">
        <v>46174</v>
      </c>
      <c r="C1369" s="8">
        <v>46179</v>
      </c>
      <c r="D1369" s="2" t="s">
        <v>7433</v>
      </c>
      <c r="E1369" s="2" t="s">
        <v>12593</v>
      </c>
      <c r="F1369" s="2" t="s">
        <v>15320</v>
      </c>
      <c r="G1369" s="2" t="s">
        <v>15390</v>
      </c>
      <c r="H1369" s="2" t="s">
        <v>70</v>
      </c>
      <c r="I1369" s="9">
        <v>22740.105263000001</v>
      </c>
      <c r="J1369" s="7">
        <v>0.66500000000000004</v>
      </c>
      <c r="K1369" s="9">
        <v>15122.17</v>
      </c>
      <c r="L1369" s="14">
        <v>0</v>
      </c>
      <c r="M1369" s="2" t="s">
        <v>71</v>
      </c>
      <c r="N1369" s="2" t="s">
        <v>12595</v>
      </c>
      <c r="O1369" s="2" t="s">
        <v>15391</v>
      </c>
      <c r="P1369" s="9">
        <v>0</v>
      </c>
      <c r="Q1369" s="9">
        <v>0</v>
      </c>
      <c r="R1369" s="2" t="s">
        <v>15323</v>
      </c>
    </row>
    <row r="1370" spans="1:18" x14ac:dyDescent="0.25">
      <c r="A1370" s="2" t="s">
        <v>7614</v>
      </c>
      <c r="B1370" s="6">
        <v>46174</v>
      </c>
      <c r="C1370" s="8">
        <v>46180</v>
      </c>
      <c r="D1370" s="2" t="s">
        <v>7433</v>
      </c>
      <c r="E1370" s="2" t="s">
        <v>12593</v>
      </c>
      <c r="F1370" s="2" t="s">
        <v>15324</v>
      </c>
      <c r="G1370" s="2" t="s">
        <v>15392</v>
      </c>
      <c r="H1370" s="2" t="s">
        <v>39</v>
      </c>
      <c r="I1370" s="9">
        <v>15398.99</v>
      </c>
      <c r="J1370" s="7">
        <v>1</v>
      </c>
      <c r="K1370" s="9">
        <v>15398.99</v>
      </c>
      <c r="L1370" s="14">
        <v>0</v>
      </c>
      <c r="M1370" s="2" t="s">
        <v>71</v>
      </c>
      <c r="N1370" s="2" t="s">
        <v>12595</v>
      </c>
      <c r="O1370" s="2" t="s">
        <v>15393</v>
      </c>
      <c r="P1370" s="9">
        <v>0</v>
      </c>
      <c r="Q1370" s="9">
        <v>0</v>
      </c>
      <c r="R1370" s="2" t="s">
        <v>15327</v>
      </c>
    </row>
    <row r="1371" spans="1:18" x14ac:dyDescent="0.25">
      <c r="A1371" s="2" t="s">
        <v>7619</v>
      </c>
      <c r="B1371" s="6">
        <v>46174</v>
      </c>
      <c r="C1371" s="8">
        <v>46181</v>
      </c>
      <c r="D1371" s="2" t="s">
        <v>7433</v>
      </c>
      <c r="E1371" s="2" t="s">
        <v>12593</v>
      </c>
      <c r="F1371" s="2" t="s">
        <v>15328</v>
      </c>
      <c r="G1371" s="2" t="s">
        <v>15394</v>
      </c>
      <c r="H1371" s="2" t="s">
        <v>76</v>
      </c>
      <c r="I1371" s="9">
        <v>250812960</v>
      </c>
      <c r="J1371" s="7">
        <v>6.2500000000000001E-5</v>
      </c>
      <c r="K1371" s="9">
        <v>15675.81</v>
      </c>
      <c r="L1371" s="14">
        <v>0</v>
      </c>
      <c r="M1371" s="2" t="s">
        <v>71</v>
      </c>
      <c r="N1371" s="2" t="s">
        <v>12595</v>
      </c>
      <c r="O1371" s="2" t="s">
        <v>15395</v>
      </c>
      <c r="P1371" s="9">
        <v>0</v>
      </c>
      <c r="Q1371" s="9">
        <v>0</v>
      </c>
      <c r="R1371" s="2" t="s">
        <v>15331</v>
      </c>
    </row>
    <row r="1372" spans="1:18" x14ac:dyDescent="0.25">
      <c r="A1372" s="2" t="s">
        <v>7624</v>
      </c>
      <c r="B1372" s="6">
        <v>46174</v>
      </c>
      <c r="C1372" s="8">
        <v>46182</v>
      </c>
      <c r="D1372" s="2" t="s">
        <v>7433</v>
      </c>
      <c r="E1372" s="2" t="s">
        <v>12593</v>
      </c>
      <c r="F1372" s="2" t="s">
        <v>15332</v>
      </c>
      <c r="G1372" s="2" t="s">
        <v>15396</v>
      </c>
      <c r="H1372" s="2" t="s">
        <v>70</v>
      </c>
      <c r="I1372" s="9">
        <v>23988.917292999999</v>
      </c>
      <c r="J1372" s="7">
        <v>0.66500000000000004</v>
      </c>
      <c r="K1372" s="9">
        <v>15952.63</v>
      </c>
      <c r="L1372" s="14">
        <v>0</v>
      </c>
      <c r="M1372" s="2" t="s">
        <v>71</v>
      </c>
      <c r="N1372" s="2" t="s">
        <v>12595</v>
      </c>
      <c r="O1372" s="2" t="s">
        <v>15397</v>
      </c>
      <c r="P1372" s="9">
        <v>0</v>
      </c>
      <c r="Q1372" s="9">
        <v>0</v>
      </c>
      <c r="R1372" s="2" t="s">
        <v>15335</v>
      </c>
    </row>
    <row r="1373" spans="1:18" x14ac:dyDescent="0.25">
      <c r="A1373" s="2" t="s">
        <v>7629</v>
      </c>
      <c r="B1373" s="6">
        <v>46174</v>
      </c>
      <c r="C1373" s="8">
        <v>46183</v>
      </c>
      <c r="D1373" s="2" t="s">
        <v>7433</v>
      </c>
      <c r="E1373" s="2" t="s">
        <v>12593</v>
      </c>
      <c r="F1373" s="2" t="s">
        <v>15336</v>
      </c>
      <c r="G1373" s="2" t="s">
        <v>15398</v>
      </c>
      <c r="H1373" s="2" t="s">
        <v>39</v>
      </c>
      <c r="I1373" s="9">
        <v>16229.44</v>
      </c>
      <c r="J1373" s="7">
        <v>1</v>
      </c>
      <c r="K1373" s="9">
        <v>16229.44</v>
      </c>
      <c r="L1373" s="14">
        <v>0</v>
      </c>
      <c r="M1373" s="2" t="s">
        <v>71</v>
      </c>
      <c r="N1373" s="2" t="s">
        <v>12595</v>
      </c>
      <c r="O1373" s="2" t="s">
        <v>15399</v>
      </c>
      <c r="P1373" s="9">
        <v>0</v>
      </c>
      <c r="Q1373" s="9">
        <v>0</v>
      </c>
      <c r="R1373" s="2" t="s">
        <v>15339</v>
      </c>
    </row>
    <row r="1374" spans="1:18" x14ac:dyDescent="0.25">
      <c r="A1374" s="2" t="s">
        <v>7634</v>
      </c>
      <c r="B1374" s="6">
        <v>46174</v>
      </c>
      <c r="C1374" s="8">
        <v>46184</v>
      </c>
      <c r="D1374" s="2" t="s">
        <v>7433</v>
      </c>
      <c r="E1374" s="2" t="s">
        <v>12593</v>
      </c>
      <c r="F1374" s="2" t="s">
        <v>15300</v>
      </c>
      <c r="G1374" s="2" t="s">
        <v>15400</v>
      </c>
      <c r="H1374" s="2" t="s">
        <v>76</v>
      </c>
      <c r="I1374" s="9">
        <v>-264100160</v>
      </c>
      <c r="J1374" s="7">
        <v>6.2500000000000001E-5</v>
      </c>
      <c r="K1374" s="9">
        <v>-16506.259999999998</v>
      </c>
      <c r="L1374" s="14">
        <v>0</v>
      </c>
      <c r="M1374" s="2" t="s">
        <v>71</v>
      </c>
      <c r="N1374" s="2" t="s">
        <v>12595</v>
      </c>
      <c r="O1374" s="2" t="s">
        <v>15401</v>
      </c>
      <c r="P1374" s="9">
        <v>0</v>
      </c>
      <c r="Q1374" s="9">
        <v>0</v>
      </c>
      <c r="R1374" s="2" t="s">
        <v>15303</v>
      </c>
    </row>
    <row r="1375" spans="1:18" x14ac:dyDescent="0.25">
      <c r="A1375" s="2" t="s">
        <v>7637</v>
      </c>
      <c r="B1375" s="6">
        <v>46174</v>
      </c>
      <c r="C1375" s="8">
        <v>46185</v>
      </c>
      <c r="D1375" s="2" t="s">
        <v>7433</v>
      </c>
      <c r="E1375" s="2" t="s">
        <v>12593</v>
      </c>
      <c r="F1375" s="2" t="s">
        <v>15304</v>
      </c>
      <c r="G1375" s="2" t="s">
        <v>15402</v>
      </c>
      <c r="H1375" s="2" t="s">
        <v>70</v>
      </c>
      <c r="I1375" s="9">
        <v>25237.699248000001</v>
      </c>
      <c r="J1375" s="7">
        <v>0.66500000000000004</v>
      </c>
      <c r="K1375" s="9">
        <v>16783.07</v>
      </c>
      <c r="L1375" s="14">
        <v>0</v>
      </c>
      <c r="M1375" s="2" t="s">
        <v>71</v>
      </c>
      <c r="N1375" s="2" t="s">
        <v>12595</v>
      </c>
      <c r="O1375" s="2" t="s">
        <v>15403</v>
      </c>
      <c r="P1375" s="9">
        <v>0</v>
      </c>
      <c r="Q1375" s="9">
        <v>0</v>
      </c>
      <c r="R1375" s="2" t="s">
        <v>15307</v>
      </c>
    </row>
    <row r="1376" spans="1:18" x14ac:dyDescent="0.25">
      <c r="A1376" s="2" t="s">
        <v>7642</v>
      </c>
      <c r="B1376" s="6">
        <v>46174</v>
      </c>
      <c r="C1376" s="8">
        <v>46186</v>
      </c>
      <c r="D1376" s="2" t="s">
        <v>7433</v>
      </c>
      <c r="E1376" s="2" t="s">
        <v>12593</v>
      </c>
      <c r="F1376" s="2" t="s">
        <v>15308</v>
      </c>
      <c r="G1376" s="2" t="s">
        <v>15404</v>
      </c>
      <c r="H1376" s="2" t="s">
        <v>39</v>
      </c>
      <c r="I1376" s="9">
        <v>17059.89</v>
      </c>
      <c r="J1376" s="7">
        <v>1</v>
      </c>
      <c r="K1376" s="9">
        <v>17059.89</v>
      </c>
      <c r="L1376" s="14">
        <v>0</v>
      </c>
      <c r="M1376" s="2" t="s">
        <v>71</v>
      </c>
      <c r="N1376" s="2" t="s">
        <v>12595</v>
      </c>
      <c r="O1376" s="2" t="s">
        <v>15405</v>
      </c>
      <c r="P1376" s="9">
        <v>0</v>
      </c>
      <c r="Q1376" s="9">
        <v>0</v>
      </c>
      <c r="R1376" s="2" t="s">
        <v>15311</v>
      </c>
    </row>
    <row r="1377" spans="1:18" x14ac:dyDescent="0.25">
      <c r="A1377" s="2" t="s">
        <v>7647</v>
      </c>
      <c r="B1377" s="6">
        <v>46174</v>
      </c>
      <c r="C1377" s="8">
        <v>46187</v>
      </c>
      <c r="D1377" s="2" t="s">
        <v>7433</v>
      </c>
      <c r="E1377" s="2" t="s">
        <v>12593</v>
      </c>
      <c r="F1377" s="2" t="s">
        <v>15312</v>
      </c>
      <c r="G1377" s="2" t="s">
        <v>15406</v>
      </c>
      <c r="H1377" s="2" t="s">
        <v>76</v>
      </c>
      <c r="I1377" s="9">
        <v>277387200</v>
      </c>
      <c r="J1377" s="7">
        <v>6.2500000000000001E-5</v>
      </c>
      <c r="K1377" s="9">
        <v>17336.7</v>
      </c>
      <c r="L1377" s="14">
        <v>0</v>
      </c>
      <c r="M1377" s="2" t="s">
        <v>71</v>
      </c>
      <c r="N1377" s="2" t="s">
        <v>12595</v>
      </c>
      <c r="O1377" s="2" t="s">
        <v>15407</v>
      </c>
      <c r="P1377" s="9">
        <v>0</v>
      </c>
      <c r="Q1377" s="9">
        <v>0</v>
      </c>
      <c r="R1377" s="2" t="s">
        <v>15315</v>
      </c>
    </row>
    <row r="1378" spans="1:18" x14ac:dyDescent="0.25">
      <c r="A1378" s="2" t="s">
        <v>7652</v>
      </c>
      <c r="B1378" s="6">
        <v>46174</v>
      </c>
      <c r="C1378" s="8">
        <v>46188</v>
      </c>
      <c r="D1378" s="2" t="s">
        <v>7433</v>
      </c>
      <c r="E1378" s="2" t="s">
        <v>12593</v>
      </c>
      <c r="F1378" s="2" t="s">
        <v>15316</v>
      </c>
      <c r="G1378" s="2" t="s">
        <v>15408</v>
      </c>
      <c r="H1378" s="2" t="s">
        <v>70</v>
      </c>
      <c r="I1378" s="9">
        <v>26486.496241000001</v>
      </c>
      <c r="J1378" s="7">
        <v>0.66500000000000004</v>
      </c>
      <c r="K1378" s="9">
        <v>17613.52</v>
      </c>
      <c r="L1378" s="14">
        <v>0</v>
      </c>
      <c r="M1378" s="2" t="s">
        <v>71</v>
      </c>
      <c r="N1378" s="2" t="s">
        <v>12595</v>
      </c>
      <c r="O1378" s="2" t="s">
        <v>15409</v>
      </c>
      <c r="P1378" s="9">
        <v>0</v>
      </c>
      <c r="Q1378" s="9">
        <v>0</v>
      </c>
      <c r="R1378" s="2" t="s">
        <v>15319</v>
      </c>
    </row>
    <row r="1379" spans="1:18" x14ac:dyDescent="0.25">
      <c r="A1379" s="2" t="s">
        <v>7657</v>
      </c>
      <c r="B1379" s="6">
        <v>46174</v>
      </c>
      <c r="C1379" s="8">
        <v>46189</v>
      </c>
      <c r="D1379" s="2" t="s">
        <v>7433</v>
      </c>
      <c r="E1379" s="2" t="s">
        <v>12593</v>
      </c>
      <c r="F1379" s="2" t="s">
        <v>15320</v>
      </c>
      <c r="G1379" s="2" t="s">
        <v>15410</v>
      </c>
      <c r="H1379" s="2" t="s">
        <v>39</v>
      </c>
      <c r="I1379" s="9">
        <v>17890.34</v>
      </c>
      <c r="J1379" s="7">
        <v>1</v>
      </c>
      <c r="K1379" s="9">
        <v>17890.34</v>
      </c>
      <c r="L1379" s="14">
        <v>0</v>
      </c>
      <c r="M1379" s="2" t="s">
        <v>71</v>
      </c>
      <c r="N1379" s="2" t="s">
        <v>12595</v>
      </c>
      <c r="O1379" s="2" t="s">
        <v>15411</v>
      </c>
      <c r="P1379" s="9">
        <v>0</v>
      </c>
      <c r="Q1379" s="9">
        <v>0</v>
      </c>
      <c r="R1379" s="2" t="s">
        <v>15323</v>
      </c>
    </row>
    <row r="1380" spans="1:18" x14ac:dyDescent="0.25">
      <c r="A1380" s="2" t="s">
        <v>7662</v>
      </c>
      <c r="B1380" s="6">
        <v>46174</v>
      </c>
      <c r="C1380" s="8">
        <v>46190</v>
      </c>
      <c r="D1380" s="2" t="s">
        <v>7433</v>
      </c>
      <c r="E1380" s="2" t="s">
        <v>12593</v>
      </c>
      <c r="F1380" s="2" t="s">
        <v>15324</v>
      </c>
      <c r="G1380" s="2" t="s">
        <v>15412</v>
      </c>
      <c r="H1380" s="2" t="s">
        <v>76</v>
      </c>
      <c r="I1380" s="9">
        <v>290674400</v>
      </c>
      <c r="J1380" s="7">
        <v>6.2500000000000001E-5</v>
      </c>
      <c r="K1380" s="9">
        <v>18167.150000000001</v>
      </c>
      <c r="L1380" s="14">
        <v>0</v>
      </c>
      <c r="M1380" s="2" t="s">
        <v>71</v>
      </c>
      <c r="N1380" s="2" t="s">
        <v>12595</v>
      </c>
      <c r="O1380" s="2" t="s">
        <v>15413</v>
      </c>
      <c r="P1380" s="9">
        <v>0</v>
      </c>
      <c r="Q1380" s="9">
        <v>0</v>
      </c>
      <c r="R1380" s="2" t="s">
        <v>15327</v>
      </c>
    </row>
    <row r="1381" spans="1:18" x14ac:dyDescent="0.25">
      <c r="A1381" s="2" t="s">
        <v>7667</v>
      </c>
      <c r="B1381" s="6">
        <v>46174</v>
      </c>
      <c r="C1381" s="8">
        <v>46191</v>
      </c>
      <c r="D1381" s="2" t="s">
        <v>7433</v>
      </c>
      <c r="E1381" s="2" t="s">
        <v>12593</v>
      </c>
      <c r="F1381" s="2" t="s">
        <v>15328</v>
      </c>
      <c r="G1381" s="2" t="s">
        <v>15414</v>
      </c>
      <c r="H1381" s="2" t="s">
        <v>70</v>
      </c>
      <c r="I1381" s="9">
        <v>27735.293233</v>
      </c>
      <c r="J1381" s="7">
        <v>0.66500000000000004</v>
      </c>
      <c r="K1381" s="9">
        <v>18443.97</v>
      </c>
      <c r="L1381" s="14">
        <v>0</v>
      </c>
      <c r="M1381" s="2" t="s">
        <v>71</v>
      </c>
      <c r="N1381" s="2" t="s">
        <v>12595</v>
      </c>
      <c r="O1381" s="2" t="s">
        <v>15415</v>
      </c>
      <c r="P1381" s="9">
        <v>0</v>
      </c>
      <c r="Q1381" s="9">
        <v>0</v>
      </c>
      <c r="R1381" s="2" t="s">
        <v>15331</v>
      </c>
    </row>
    <row r="1382" spans="1:18" x14ac:dyDescent="0.25">
      <c r="A1382" s="2" t="s">
        <v>7672</v>
      </c>
      <c r="B1382" s="6">
        <v>46174</v>
      </c>
      <c r="C1382" s="8">
        <v>46192</v>
      </c>
      <c r="D1382" s="2" t="s">
        <v>7433</v>
      </c>
      <c r="E1382" s="2" t="s">
        <v>12593</v>
      </c>
      <c r="F1382" s="2" t="s">
        <v>15332</v>
      </c>
      <c r="G1382" s="2" t="s">
        <v>15416</v>
      </c>
      <c r="H1382" s="2" t="s">
        <v>39</v>
      </c>
      <c r="I1382" s="9">
        <v>18720.78</v>
      </c>
      <c r="J1382" s="7">
        <v>1</v>
      </c>
      <c r="K1382" s="9">
        <v>18720.78</v>
      </c>
      <c r="L1382" s="14">
        <v>0</v>
      </c>
      <c r="M1382" s="2" t="s">
        <v>71</v>
      </c>
      <c r="N1382" s="2" t="s">
        <v>12595</v>
      </c>
      <c r="O1382" s="2" t="s">
        <v>15417</v>
      </c>
      <c r="P1382" s="9">
        <v>0</v>
      </c>
      <c r="Q1382" s="9">
        <v>0</v>
      </c>
      <c r="R1382" s="2" t="s">
        <v>15335</v>
      </c>
    </row>
    <row r="1383" spans="1:18" x14ac:dyDescent="0.25">
      <c r="A1383" s="2" t="s">
        <v>7677</v>
      </c>
      <c r="B1383" s="6">
        <v>46174</v>
      </c>
      <c r="C1383" s="8">
        <v>46193</v>
      </c>
      <c r="D1383" s="2" t="s">
        <v>7433</v>
      </c>
      <c r="E1383" s="2" t="s">
        <v>12593</v>
      </c>
      <c r="F1383" s="2" t="s">
        <v>15336</v>
      </c>
      <c r="G1383" s="2" t="s">
        <v>15418</v>
      </c>
      <c r="H1383" s="2" t="s">
        <v>76</v>
      </c>
      <c r="I1383" s="9">
        <v>303961600</v>
      </c>
      <c r="J1383" s="7">
        <v>6.2500000000000001E-5</v>
      </c>
      <c r="K1383" s="9">
        <v>18997.599999999999</v>
      </c>
      <c r="L1383" s="14">
        <v>0</v>
      </c>
      <c r="M1383" s="2" t="s">
        <v>71</v>
      </c>
      <c r="N1383" s="2" t="s">
        <v>12595</v>
      </c>
      <c r="O1383" s="2" t="s">
        <v>15419</v>
      </c>
      <c r="P1383" s="9">
        <v>0</v>
      </c>
      <c r="Q1383" s="9">
        <v>0</v>
      </c>
      <c r="R1383" s="2" t="s">
        <v>15339</v>
      </c>
    </row>
    <row r="1384" spans="1:18" x14ac:dyDescent="0.25">
      <c r="A1384" s="2" t="s">
        <v>7682</v>
      </c>
      <c r="B1384" s="6">
        <v>46174</v>
      </c>
      <c r="C1384" s="8">
        <v>46194</v>
      </c>
      <c r="D1384" s="2" t="s">
        <v>7433</v>
      </c>
      <c r="E1384" s="2" t="s">
        <v>12593</v>
      </c>
      <c r="F1384" s="2" t="s">
        <v>15300</v>
      </c>
      <c r="G1384" s="2" t="s">
        <v>15420</v>
      </c>
      <c r="H1384" s="2" t="s">
        <v>70</v>
      </c>
      <c r="I1384" s="9">
        <v>28984.075187999999</v>
      </c>
      <c r="J1384" s="7">
        <v>0.66500000000000004</v>
      </c>
      <c r="K1384" s="9">
        <v>19274.41</v>
      </c>
      <c r="L1384" s="14">
        <v>0</v>
      </c>
      <c r="M1384" s="2" t="s">
        <v>71</v>
      </c>
      <c r="N1384" s="2" t="s">
        <v>12595</v>
      </c>
      <c r="O1384" s="2" t="s">
        <v>15421</v>
      </c>
      <c r="P1384" s="9">
        <v>0</v>
      </c>
      <c r="Q1384" s="9">
        <v>0</v>
      </c>
      <c r="R1384" s="2" t="s">
        <v>15303</v>
      </c>
    </row>
    <row r="1385" spans="1:18" x14ac:dyDescent="0.25">
      <c r="A1385" s="2" t="s">
        <v>7687</v>
      </c>
      <c r="B1385" s="6">
        <v>46174</v>
      </c>
      <c r="C1385" s="8">
        <v>46195</v>
      </c>
      <c r="D1385" s="2" t="s">
        <v>7433</v>
      </c>
      <c r="E1385" s="2" t="s">
        <v>12593</v>
      </c>
      <c r="F1385" s="2" t="s">
        <v>15304</v>
      </c>
      <c r="G1385" s="2" t="s">
        <v>15422</v>
      </c>
      <c r="H1385" s="2" t="s">
        <v>39</v>
      </c>
      <c r="I1385" s="9">
        <v>19551.23</v>
      </c>
      <c r="J1385" s="7">
        <v>1</v>
      </c>
      <c r="K1385" s="9">
        <v>19551.23</v>
      </c>
      <c r="L1385" s="14">
        <v>0</v>
      </c>
      <c r="M1385" s="2" t="s">
        <v>71</v>
      </c>
      <c r="N1385" s="2" t="s">
        <v>12595</v>
      </c>
      <c r="O1385" s="2" t="s">
        <v>15423</v>
      </c>
      <c r="P1385" s="9">
        <v>0</v>
      </c>
      <c r="Q1385" s="9">
        <v>0</v>
      </c>
      <c r="R1385" s="2" t="s">
        <v>15307</v>
      </c>
    </row>
    <row r="1386" spans="1:18" x14ac:dyDescent="0.25">
      <c r="A1386" s="2" t="s">
        <v>7692</v>
      </c>
      <c r="B1386" s="6">
        <v>46174</v>
      </c>
      <c r="C1386" s="8">
        <v>46196</v>
      </c>
      <c r="D1386" s="2" t="s">
        <v>7433</v>
      </c>
      <c r="E1386" s="2" t="s">
        <v>12593</v>
      </c>
      <c r="F1386" s="2" t="s">
        <v>15308</v>
      </c>
      <c r="G1386" s="2" t="s">
        <v>15424</v>
      </c>
      <c r="H1386" s="2" t="s">
        <v>76</v>
      </c>
      <c r="I1386" s="9">
        <v>317248800</v>
      </c>
      <c r="J1386" s="7">
        <v>6.2500000000000001E-5</v>
      </c>
      <c r="K1386" s="9">
        <v>19828.05</v>
      </c>
      <c r="L1386" s="14">
        <v>0</v>
      </c>
      <c r="M1386" s="2" t="s">
        <v>71</v>
      </c>
      <c r="N1386" s="2" t="s">
        <v>12595</v>
      </c>
      <c r="O1386" s="2" t="s">
        <v>15425</v>
      </c>
      <c r="P1386" s="9">
        <v>0</v>
      </c>
      <c r="Q1386" s="9">
        <v>0</v>
      </c>
      <c r="R1386" s="2" t="s">
        <v>15311</v>
      </c>
    </row>
    <row r="1387" spans="1:18" x14ac:dyDescent="0.25">
      <c r="A1387" s="2" t="s">
        <v>7697</v>
      </c>
      <c r="B1387" s="6">
        <v>46174</v>
      </c>
      <c r="C1387" s="8">
        <v>46197</v>
      </c>
      <c r="D1387" s="2" t="s">
        <v>7433</v>
      </c>
      <c r="E1387" s="2" t="s">
        <v>12593</v>
      </c>
      <c r="F1387" s="2" t="s">
        <v>15312</v>
      </c>
      <c r="G1387" s="2" t="s">
        <v>15426</v>
      </c>
      <c r="H1387" s="2" t="s">
        <v>70</v>
      </c>
      <c r="I1387" s="9">
        <v>30232.887218</v>
      </c>
      <c r="J1387" s="7">
        <v>0.66500000000000004</v>
      </c>
      <c r="K1387" s="9">
        <v>20104.87</v>
      </c>
      <c r="L1387" s="14">
        <v>0</v>
      </c>
      <c r="M1387" s="2" t="s">
        <v>71</v>
      </c>
      <c r="N1387" s="2" t="s">
        <v>12595</v>
      </c>
      <c r="O1387" s="2" t="s">
        <v>15427</v>
      </c>
      <c r="P1387" s="9">
        <v>0</v>
      </c>
      <c r="Q1387" s="9">
        <v>0</v>
      </c>
      <c r="R1387" s="2" t="s">
        <v>15315</v>
      </c>
    </row>
    <row r="1388" spans="1:18" x14ac:dyDescent="0.25">
      <c r="A1388" s="2" t="s">
        <v>7702</v>
      </c>
      <c r="B1388" s="6">
        <v>46174</v>
      </c>
      <c r="C1388" s="8">
        <v>46198</v>
      </c>
      <c r="D1388" s="2" t="s">
        <v>7433</v>
      </c>
      <c r="E1388" s="2" t="s">
        <v>12593</v>
      </c>
      <c r="F1388" s="2" t="s">
        <v>15316</v>
      </c>
      <c r="G1388" s="2" t="s">
        <v>15428</v>
      </c>
      <c r="H1388" s="2" t="s">
        <v>39</v>
      </c>
      <c r="I1388" s="9">
        <v>20381.68</v>
      </c>
      <c r="J1388" s="7">
        <v>1</v>
      </c>
      <c r="K1388" s="9">
        <v>20381.68</v>
      </c>
      <c r="L1388" s="14">
        <v>0</v>
      </c>
      <c r="M1388" s="2" t="s">
        <v>71</v>
      </c>
      <c r="N1388" s="2" t="s">
        <v>12595</v>
      </c>
      <c r="O1388" s="2" t="s">
        <v>15429</v>
      </c>
      <c r="P1388" s="9">
        <v>0</v>
      </c>
      <c r="Q1388" s="9">
        <v>0</v>
      </c>
      <c r="R1388" s="2" t="s">
        <v>15319</v>
      </c>
    </row>
    <row r="1389" spans="1:18" x14ac:dyDescent="0.25">
      <c r="A1389" s="2" t="s">
        <v>7707</v>
      </c>
      <c r="B1389" s="6">
        <v>46174</v>
      </c>
      <c r="C1389" s="8">
        <v>46199</v>
      </c>
      <c r="D1389" s="2" t="s">
        <v>7433</v>
      </c>
      <c r="E1389" s="2" t="s">
        <v>12593</v>
      </c>
      <c r="F1389" s="2" t="s">
        <v>15320</v>
      </c>
      <c r="G1389" s="2" t="s">
        <v>15430</v>
      </c>
      <c r="H1389" s="2" t="s">
        <v>76</v>
      </c>
      <c r="I1389" s="9">
        <v>330536000</v>
      </c>
      <c r="J1389" s="7">
        <v>6.2500000000000001E-5</v>
      </c>
      <c r="K1389" s="9">
        <v>20658.5</v>
      </c>
      <c r="L1389" s="14">
        <v>0</v>
      </c>
      <c r="M1389" s="2" t="s">
        <v>71</v>
      </c>
      <c r="N1389" s="2" t="s">
        <v>12595</v>
      </c>
      <c r="O1389" s="2" t="s">
        <v>15431</v>
      </c>
      <c r="P1389" s="9">
        <v>0</v>
      </c>
      <c r="Q1389" s="9">
        <v>0</v>
      </c>
      <c r="R1389" s="2" t="s">
        <v>15323</v>
      </c>
    </row>
    <row r="1390" spans="1:18" x14ac:dyDescent="0.25">
      <c r="A1390" s="2" t="s">
        <v>7712</v>
      </c>
      <c r="B1390" s="6">
        <v>46174</v>
      </c>
      <c r="C1390" s="8">
        <v>46200</v>
      </c>
      <c r="D1390" s="2" t="s">
        <v>7433</v>
      </c>
      <c r="E1390" s="2" t="s">
        <v>12593</v>
      </c>
      <c r="F1390" s="2" t="s">
        <v>15324</v>
      </c>
      <c r="G1390" s="2" t="s">
        <v>15432</v>
      </c>
      <c r="H1390" s="2" t="s">
        <v>70</v>
      </c>
      <c r="I1390" s="9">
        <v>31481.669172999998</v>
      </c>
      <c r="J1390" s="7">
        <v>0.66500000000000004</v>
      </c>
      <c r="K1390" s="9">
        <v>20935.310000000001</v>
      </c>
      <c r="L1390" s="14">
        <v>0</v>
      </c>
      <c r="M1390" s="2" t="s">
        <v>71</v>
      </c>
      <c r="N1390" s="2" t="s">
        <v>12595</v>
      </c>
      <c r="O1390" s="2" t="s">
        <v>15433</v>
      </c>
      <c r="P1390" s="9">
        <v>0</v>
      </c>
      <c r="Q1390" s="9">
        <v>0</v>
      </c>
      <c r="R1390" s="2" t="s">
        <v>15327</v>
      </c>
    </row>
    <row r="1391" spans="1:18" x14ac:dyDescent="0.25">
      <c r="A1391" s="2" t="s">
        <v>7717</v>
      </c>
      <c r="B1391" s="6">
        <v>46174</v>
      </c>
      <c r="C1391" s="8">
        <v>46201</v>
      </c>
      <c r="D1391" s="2" t="s">
        <v>7433</v>
      </c>
      <c r="E1391" s="2" t="s">
        <v>12593</v>
      </c>
      <c r="F1391" s="2" t="s">
        <v>15328</v>
      </c>
      <c r="G1391" s="2" t="s">
        <v>15434</v>
      </c>
      <c r="H1391" s="2" t="s">
        <v>39</v>
      </c>
      <c r="I1391" s="9">
        <v>21212.13</v>
      </c>
      <c r="J1391" s="7">
        <v>1</v>
      </c>
      <c r="K1391" s="9">
        <v>21212.13</v>
      </c>
      <c r="L1391" s="14">
        <v>0</v>
      </c>
      <c r="M1391" s="2" t="s">
        <v>71</v>
      </c>
      <c r="N1391" s="2" t="s">
        <v>12595</v>
      </c>
      <c r="O1391" s="2" t="s">
        <v>15435</v>
      </c>
      <c r="P1391" s="9">
        <v>0</v>
      </c>
      <c r="Q1391" s="9">
        <v>0</v>
      </c>
      <c r="R1391" s="2" t="s">
        <v>15331</v>
      </c>
    </row>
    <row r="1392" spans="1:18" x14ac:dyDescent="0.25">
      <c r="A1392" s="2" t="s">
        <v>7722</v>
      </c>
      <c r="B1392" s="6">
        <v>46174</v>
      </c>
      <c r="C1392" s="8">
        <v>46202</v>
      </c>
      <c r="D1392" s="2" t="s">
        <v>7433</v>
      </c>
      <c r="E1392" s="2" t="s">
        <v>12593</v>
      </c>
      <c r="F1392" s="2" t="s">
        <v>15332</v>
      </c>
      <c r="G1392" s="2" t="s">
        <v>15436</v>
      </c>
      <c r="H1392" s="2" t="s">
        <v>76</v>
      </c>
      <c r="I1392" s="9">
        <v>343823040</v>
      </c>
      <c r="J1392" s="7">
        <v>6.2500000000000001E-5</v>
      </c>
      <c r="K1392" s="9">
        <v>21488.94</v>
      </c>
      <c r="L1392" s="14">
        <v>0</v>
      </c>
      <c r="M1392" s="2" t="s">
        <v>71</v>
      </c>
      <c r="N1392" s="2" t="s">
        <v>12595</v>
      </c>
      <c r="O1392" s="2" t="s">
        <v>15437</v>
      </c>
      <c r="P1392" s="9">
        <v>0</v>
      </c>
      <c r="Q1392" s="9">
        <v>0</v>
      </c>
      <c r="R1392" s="2" t="s">
        <v>15335</v>
      </c>
    </row>
    <row r="1393" spans="1:18" x14ac:dyDescent="0.25">
      <c r="A1393" s="2" t="s">
        <v>7727</v>
      </c>
      <c r="B1393" s="6">
        <v>46174</v>
      </c>
      <c r="C1393" s="8">
        <v>46203</v>
      </c>
      <c r="D1393" s="2" t="s">
        <v>7433</v>
      </c>
      <c r="E1393" s="2" t="s">
        <v>12593</v>
      </c>
      <c r="F1393" s="2" t="s">
        <v>15336</v>
      </c>
      <c r="G1393" s="2" t="s">
        <v>15438</v>
      </c>
      <c r="H1393" s="2" t="s">
        <v>70</v>
      </c>
      <c r="I1393" s="9">
        <v>32730.466165000002</v>
      </c>
      <c r="J1393" s="7">
        <v>0.66500000000000004</v>
      </c>
      <c r="K1393" s="9">
        <v>21765.759999999998</v>
      </c>
      <c r="L1393" s="14">
        <v>0</v>
      </c>
      <c r="M1393" s="2" t="s">
        <v>71</v>
      </c>
      <c r="N1393" s="2" t="s">
        <v>12595</v>
      </c>
      <c r="O1393" s="2" t="s">
        <v>15439</v>
      </c>
      <c r="P1393" s="9">
        <v>0</v>
      </c>
      <c r="Q1393" s="9">
        <v>0</v>
      </c>
      <c r="R1393" s="2" t="s">
        <v>15339</v>
      </c>
    </row>
    <row r="1394" spans="1:18" x14ac:dyDescent="0.25">
      <c r="A1394" s="2" t="s">
        <v>7732</v>
      </c>
      <c r="B1394" s="6">
        <v>46174</v>
      </c>
      <c r="C1394" s="8">
        <v>46174</v>
      </c>
      <c r="D1394" s="2" t="s">
        <v>7433</v>
      </c>
      <c r="E1394" s="2" t="s">
        <v>12593</v>
      </c>
      <c r="F1394" s="2" t="s">
        <v>15300</v>
      </c>
      <c r="G1394" s="2" t="s">
        <v>15440</v>
      </c>
      <c r="H1394" s="2" t="s">
        <v>39</v>
      </c>
      <c r="I1394" s="9">
        <v>22042.58</v>
      </c>
      <c r="J1394" s="7">
        <v>1</v>
      </c>
      <c r="K1394" s="9">
        <v>22042.58</v>
      </c>
      <c r="L1394" s="14">
        <v>0</v>
      </c>
      <c r="M1394" s="2" t="s">
        <v>71</v>
      </c>
      <c r="N1394" s="2" t="s">
        <v>12595</v>
      </c>
      <c r="O1394" s="2" t="s">
        <v>15441</v>
      </c>
      <c r="P1394" s="9">
        <v>0</v>
      </c>
      <c r="Q1394" s="9">
        <v>0</v>
      </c>
      <c r="R1394" s="2" t="s">
        <v>15303</v>
      </c>
    </row>
    <row r="1395" spans="1:18" x14ac:dyDescent="0.25">
      <c r="A1395" s="2" t="s">
        <v>7737</v>
      </c>
      <c r="B1395" s="6">
        <v>46174</v>
      </c>
      <c r="C1395" s="8">
        <v>46175</v>
      </c>
      <c r="D1395" s="2" t="s">
        <v>7433</v>
      </c>
      <c r="E1395" s="2" t="s">
        <v>12593</v>
      </c>
      <c r="F1395" s="2" t="s">
        <v>15304</v>
      </c>
      <c r="G1395" s="2" t="s">
        <v>15442</v>
      </c>
      <c r="H1395" s="2" t="s">
        <v>76</v>
      </c>
      <c r="I1395" s="9">
        <v>357110240</v>
      </c>
      <c r="J1395" s="7">
        <v>6.2500000000000001E-5</v>
      </c>
      <c r="K1395" s="9">
        <v>22319.39</v>
      </c>
      <c r="L1395" s="14">
        <v>0</v>
      </c>
      <c r="M1395" s="2" t="s">
        <v>71</v>
      </c>
      <c r="N1395" s="2" t="s">
        <v>12595</v>
      </c>
      <c r="O1395" s="2" t="s">
        <v>15443</v>
      </c>
      <c r="P1395" s="9">
        <v>0</v>
      </c>
      <c r="Q1395" s="9">
        <v>0</v>
      </c>
      <c r="R1395" s="2" t="s">
        <v>15307</v>
      </c>
    </row>
    <row r="1396" spans="1:18" x14ac:dyDescent="0.25">
      <c r="A1396" s="2" t="s">
        <v>7742</v>
      </c>
      <c r="B1396" s="6">
        <v>46174</v>
      </c>
      <c r="C1396" s="8">
        <v>46176</v>
      </c>
      <c r="D1396" s="2" t="s">
        <v>7433</v>
      </c>
      <c r="E1396" s="2" t="s">
        <v>12593</v>
      </c>
      <c r="F1396" s="2" t="s">
        <v>15308</v>
      </c>
      <c r="G1396" s="2" t="s">
        <v>15444</v>
      </c>
      <c r="H1396" s="2" t="s">
        <v>70</v>
      </c>
      <c r="I1396" s="9">
        <v>33979.263158000002</v>
      </c>
      <c r="J1396" s="7">
        <v>0.66500000000000004</v>
      </c>
      <c r="K1396" s="9">
        <v>22596.21</v>
      </c>
      <c r="L1396" s="14">
        <v>0</v>
      </c>
      <c r="M1396" s="2" t="s">
        <v>71</v>
      </c>
      <c r="N1396" s="2" t="s">
        <v>12595</v>
      </c>
      <c r="O1396" s="2" t="s">
        <v>15445</v>
      </c>
      <c r="P1396" s="9">
        <v>0</v>
      </c>
      <c r="Q1396" s="9">
        <v>0</v>
      </c>
      <c r="R1396" s="2" t="s">
        <v>15311</v>
      </c>
    </row>
    <row r="1397" spans="1:18" x14ac:dyDescent="0.25">
      <c r="A1397" s="2" t="s">
        <v>7747</v>
      </c>
      <c r="B1397" s="6">
        <v>46174</v>
      </c>
      <c r="C1397" s="8">
        <v>46177</v>
      </c>
      <c r="D1397" s="2" t="s">
        <v>7433</v>
      </c>
      <c r="E1397" s="2" t="s">
        <v>12593</v>
      </c>
      <c r="F1397" s="2" t="s">
        <v>15312</v>
      </c>
      <c r="G1397" s="2" t="s">
        <v>15446</v>
      </c>
      <c r="H1397" s="2" t="s">
        <v>39</v>
      </c>
      <c r="I1397" s="9">
        <v>22873.02</v>
      </c>
      <c r="J1397" s="7">
        <v>1</v>
      </c>
      <c r="K1397" s="9">
        <v>22873.02</v>
      </c>
      <c r="L1397" s="14">
        <v>0</v>
      </c>
      <c r="M1397" s="2" t="s">
        <v>71</v>
      </c>
      <c r="N1397" s="2" t="s">
        <v>12595</v>
      </c>
      <c r="O1397" s="2" t="s">
        <v>15447</v>
      </c>
      <c r="P1397" s="9">
        <v>0</v>
      </c>
      <c r="Q1397" s="9">
        <v>0</v>
      </c>
      <c r="R1397" s="2" t="s">
        <v>15315</v>
      </c>
    </row>
    <row r="1398" spans="1:18" x14ac:dyDescent="0.25">
      <c r="A1398" s="2" t="s">
        <v>7752</v>
      </c>
      <c r="B1398" s="6">
        <v>46174</v>
      </c>
      <c r="C1398" s="8">
        <v>46178</v>
      </c>
      <c r="D1398" s="2" t="s">
        <v>7433</v>
      </c>
      <c r="E1398" s="2" t="s">
        <v>12593</v>
      </c>
      <c r="F1398" s="2" t="s">
        <v>15316</v>
      </c>
      <c r="G1398" s="2" t="s">
        <v>15448</v>
      </c>
      <c r="H1398" s="2" t="s">
        <v>76</v>
      </c>
      <c r="I1398" s="9">
        <v>370397440</v>
      </c>
      <c r="J1398" s="7">
        <v>6.2500000000000001E-5</v>
      </c>
      <c r="K1398" s="9">
        <v>23149.84</v>
      </c>
      <c r="L1398" s="14">
        <v>0</v>
      </c>
      <c r="M1398" s="2" t="s">
        <v>71</v>
      </c>
      <c r="N1398" s="2" t="s">
        <v>12595</v>
      </c>
      <c r="O1398" s="2" t="s">
        <v>15449</v>
      </c>
      <c r="P1398" s="9">
        <v>0</v>
      </c>
      <c r="Q1398" s="9">
        <v>0</v>
      </c>
      <c r="R1398" s="2" t="s">
        <v>15319</v>
      </c>
    </row>
    <row r="1399" spans="1:18" x14ac:dyDescent="0.25">
      <c r="A1399" s="2" t="s">
        <v>7757</v>
      </c>
      <c r="B1399" s="6">
        <v>46174</v>
      </c>
      <c r="C1399" s="8">
        <v>46179</v>
      </c>
      <c r="D1399" s="2" t="s">
        <v>7433</v>
      </c>
      <c r="E1399" s="2" t="s">
        <v>12593</v>
      </c>
      <c r="F1399" s="2" t="s">
        <v>15320</v>
      </c>
      <c r="G1399" s="2" t="s">
        <v>15450</v>
      </c>
      <c r="H1399" s="2" t="s">
        <v>70</v>
      </c>
      <c r="I1399" s="9">
        <v>35228.045113</v>
      </c>
      <c r="J1399" s="7">
        <v>0.66500000000000004</v>
      </c>
      <c r="K1399" s="9">
        <v>23426.65</v>
      </c>
      <c r="L1399" s="14">
        <v>0</v>
      </c>
      <c r="M1399" s="2" t="s">
        <v>71</v>
      </c>
      <c r="N1399" s="2" t="s">
        <v>12595</v>
      </c>
      <c r="O1399" s="2" t="s">
        <v>15451</v>
      </c>
      <c r="P1399" s="9">
        <v>0</v>
      </c>
      <c r="Q1399" s="9">
        <v>0</v>
      </c>
      <c r="R1399" s="2" t="s">
        <v>15323</v>
      </c>
    </row>
    <row r="1400" spans="1:18" x14ac:dyDescent="0.25">
      <c r="A1400" s="2" t="s">
        <v>7762</v>
      </c>
      <c r="B1400" s="6">
        <v>46174</v>
      </c>
      <c r="C1400" s="8">
        <v>46180</v>
      </c>
      <c r="D1400" s="2" t="s">
        <v>7433</v>
      </c>
      <c r="E1400" s="2" t="s">
        <v>12593</v>
      </c>
      <c r="F1400" s="2" t="s">
        <v>15324</v>
      </c>
      <c r="G1400" s="2" t="s">
        <v>15452</v>
      </c>
      <c r="H1400" s="2" t="s">
        <v>39</v>
      </c>
      <c r="I1400" s="9">
        <v>23703.47</v>
      </c>
      <c r="J1400" s="7">
        <v>1</v>
      </c>
      <c r="K1400" s="9">
        <v>23703.47</v>
      </c>
      <c r="L1400" s="14">
        <v>0</v>
      </c>
      <c r="M1400" s="2" t="s">
        <v>71</v>
      </c>
      <c r="N1400" s="2" t="s">
        <v>12595</v>
      </c>
      <c r="O1400" s="2" t="s">
        <v>15453</v>
      </c>
      <c r="P1400" s="9">
        <v>0</v>
      </c>
      <c r="Q1400" s="9">
        <v>0</v>
      </c>
      <c r="R1400" s="2" t="s">
        <v>15327</v>
      </c>
    </row>
    <row r="1401" spans="1:18" x14ac:dyDescent="0.25">
      <c r="A1401" s="2" t="s">
        <v>7767</v>
      </c>
      <c r="B1401" s="6">
        <v>46174</v>
      </c>
      <c r="C1401" s="8">
        <v>46181</v>
      </c>
      <c r="D1401" s="2" t="s">
        <v>7433</v>
      </c>
      <c r="E1401" s="2" t="s">
        <v>12593</v>
      </c>
      <c r="F1401" s="2" t="s">
        <v>15328</v>
      </c>
      <c r="G1401" s="2" t="s">
        <v>15454</v>
      </c>
      <c r="H1401" s="2" t="s">
        <v>76</v>
      </c>
      <c r="I1401" s="9">
        <v>25284640</v>
      </c>
      <c r="J1401" s="7">
        <v>6.2500000000000001E-5</v>
      </c>
      <c r="K1401" s="9">
        <v>1580.29</v>
      </c>
      <c r="L1401" s="14">
        <v>0</v>
      </c>
      <c r="M1401" s="2" t="s">
        <v>71</v>
      </c>
      <c r="N1401" s="2" t="s">
        <v>12595</v>
      </c>
      <c r="O1401" s="2" t="s">
        <v>15455</v>
      </c>
      <c r="P1401" s="9">
        <v>0</v>
      </c>
      <c r="Q1401" s="9">
        <v>0</v>
      </c>
      <c r="R1401" s="2" t="s">
        <v>15331</v>
      </c>
    </row>
    <row r="1402" spans="1:18" x14ac:dyDescent="0.25">
      <c r="A1402" s="2" t="s">
        <v>7772</v>
      </c>
      <c r="B1402" s="6">
        <v>46174</v>
      </c>
      <c r="C1402" s="8">
        <v>46182</v>
      </c>
      <c r="D1402" s="2" t="s">
        <v>7433</v>
      </c>
      <c r="E1402" s="2" t="s">
        <v>12593</v>
      </c>
      <c r="F1402" s="2" t="s">
        <v>15332</v>
      </c>
      <c r="G1402" s="2" t="s">
        <v>15456</v>
      </c>
      <c r="H1402" s="2" t="s">
        <v>70</v>
      </c>
      <c r="I1402" s="9">
        <v>2792.6466169999999</v>
      </c>
      <c r="J1402" s="7">
        <v>0.66500000000000004</v>
      </c>
      <c r="K1402" s="9">
        <v>1857.11</v>
      </c>
      <c r="L1402" s="14">
        <v>0</v>
      </c>
      <c r="M1402" s="2" t="s">
        <v>71</v>
      </c>
      <c r="N1402" s="2" t="s">
        <v>12595</v>
      </c>
      <c r="O1402" s="2" t="s">
        <v>15457</v>
      </c>
      <c r="P1402" s="9">
        <v>0</v>
      </c>
      <c r="Q1402" s="9">
        <v>0</v>
      </c>
      <c r="R1402" s="2" t="s">
        <v>15335</v>
      </c>
    </row>
    <row r="1403" spans="1:18" x14ac:dyDescent="0.25">
      <c r="A1403" s="2" t="s">
        <v>7777</v>
      </c>
      <c r="B1403" s="6">
        <v>46174</v>
      </c>
      <c r="C1403" s="8">
        <v>46183</v>
      </c>
      <c r="D1403" s="2" t="s">
        <v>7433</v>
      </c>
      <c r="E1403" s="2" t="s">
        <v>12593</v>
      </c>
      <c r="F1403" s="2" t="s">
        <v>15336</v>
      </c>
      <c r="G1403" s="2" t="s">
        <v>15458</v>
      </c>
      <c r="H1403" s="2" t="s">
        <v>39</v>
      </c>
      <c r="I1403" s="9">
        <v>2133.92</v>
      </c>
      <c r="J1403" s="7">
        <v>1</v>
      </c>
      <c r="K1403" s="9">
        <v>2133.92</v>
      </c>
      <c r="L1403" s="14">
        <v>0</v>
      </c>
      <c r="M1403" s="2" t="s">
        <v>71</v>
      </c>
      <c r="N1403" s="2" t="s">
        <v>12595</v>
      </c>
      <c r="O1403" s="2" t="s">
        <v>15459</v>
      </c>
      <c r="P1403" s="9">
        <v>0</v>
      </c>
      <c r="Q1403" s="9">
        <v>0</v>
      </c>
      <c r="R1403" s="2" t="s">
        <v>15339</v>
      </c>
    </row>
    <row r="1404" spans="1:18" x14ac:dyDescent="0.25">
      <c r="A1404" s="2" t="s">
        <v>7782</v>
      </c>
      <c r="B1404" s="6">
        <v>46174</v>
      </c>
      <c r="C1404" s="8">
        <v>46184</v>
      </c>
      <c r="D1404" s="2" t="s">
        <v>7433</v>
      </c>
      <c r="E1404" s="2" t="s">
        <v>12593</v>
      </c>
      <c r="F1404" s="2" t="s">
        <v>15300</v>
      </c>
      <c r="G1404" s="2" t="s">
        <v>15460</v>
      </c>
      <c r="H1404" s="2" t="s">
        <v>76</v>
      </c>
      <c r="I1404" s="9">
        <v>38571840</v>
      </c>
      <c r="J1404" s="7">
        <v>6.2500000000000001E-5</v>
      </c>
      <c r="K1404" s="9">
        <v>2410.7399999999998</v>
      </c>
      <c r="L1404" s="14">
        <v>0</v>
      </c>
      <c r="M1404" s="2" t="s">
        <v>71</v>
      </c>
      <c r="N1404" s="2" t="s">
        <v>12595</v>
      </c>
      <c r="O1404" s="2" t="s">
        <v>15461</v>
      </c>
      <c r="P1404" s="9">
        <v>0</v>
      </c>
      <c r="Q1404" s="9">
        <v>0</v>
      </c>
      <c r="R1404" s="2" t="s">
        <v>15303</v>
      </c>
    </row>
    <row r="1405" spans="1:18" x14ac:dyDescent="0.25">
      <c r="A1405" s="2" t="s">
        <v>7787</v>
      </c>
      <c r="B1405" s="6">
        <v>46174</v>
      </c>
      <c r="C1405" s="8">
        <v>46185</v>
      </c>
      <c r="D1405" s="2" t="s">
        <v>7433</v>
      </c>
      <c r="E1405" s="2" t="s">
        <v>12593</v>
      </c>
      <c r="F1405" s="2" t="s">
        <v>15304</v>
      </c>
      <c r="G1405" s="2" t="s">
        <v>15462</v>
      </c>
      <c r="H1405" s="2" t="s">
        <v>70</v>
      </c>
      <c r="I1405" s="9">
        <v>4041.4285709999999</v>
      </c>
      <c r="J1405" s="7">
        <v>0.66500000000000004</v>
      </c>
      <c r="K1405" s="9">
        <v>2687.55</v>
      </c>
      <c r="L1405" s="14">
        <v>0</v>
      </c>
      <c r="M1405" s="2" t="s">
        <v>71</v>
      </c>
      <c r="N1405" s="2" t="s">
        <v>12595</v>
      </c>
      <c r="O1405" s="2" t="s">
        <v>15463</v>
      </c>
      <c r="P1405" s="9">
        <v>0</v>
      </c>
      <c r="Q1405" s="9">
        <v>0</v>
      </c>
      <c r="R1405" s="2" t="s">
        <v>15307</v>
      </c>
    </row>
    <row r="1406" spans="1:18" x14ac:dyDescent="0.25">
      <c r="A1406" s="2" t="s">
        <v>7792</v>
      </c>
      <c r="B1406" s="6">
        <v>46174</v>
      </c>
      <c r="C1406" s="8">
        <v>46186</v>
      </c>
      <c r="D1406" s="2" t="s">
        <v>7433</v>
      </c>
      <c r="E1406" s="2" t="s">
        <v>12593</v>
      </c>
      <c r="F1406" s="2" t="s">
        <v>15308</v>
      </c>
      <c r="G1406" s="2" t="s">
        <v>15464</v>
      </c>
      <c r="H1406" s="2" t="s">
        <v>39</v>
      </c>
      <c r="I1406" s="9">
        <v>2964.37</v>
      </c>
      <c r="J1406" s="7">
        <v>1</v>
      </c>
      <c r="K1406" s="9">
        <v>2964.37</v>
      </c>
      <c r="L1406" s="14">
        <v>0</v>
      </c>
      <c r="M1406" s="2" t="s">
        <v>71</v>
      </c>
      <c r="N1406" s="2" t="s">
        <v>12595</v>
      </c>
      <c r="O1406" s="2" t="s">
        <v>15465</v>
      </c>
      <c r="P1406" s="9">
        <v>0</v>
      </c>
      <c r="Q1406" s="9">
        <v>0</v>
      </c>
      <c r="R1406" s="2" t="s">
        <v>15311</v>
      </c>
    </row>
    <row r="1407" spans="1:18" x14ac:dyDescent="0.25">
      <c r="A1407" s="2" t="s">
        <v>7797</v>
      </c>
      <c r="B1407" s="6">
        <v>46174</v>
      </c>
      <c r="C1407" s="8">
        <v>46187</v>
      </c>
      <c r="D1407" s="2" t="s">
        <v>7433</v>
      </c>
      <c r="E1407" s="2" t="s">
        <v>12593</v>
      </c>
      <c r="F1407" s="2" t="s">
        <v>15312</v>
      </c>
      <c r="G1407" s="2" t="s">
        <v>15466</v>
      </c>
      <c r="H1407" s="2" t="s">
        <v>76</v>
      </c>
      <c r="I1407" s="9">
        <v>51858880</v>
      </c>
      <c r="J1407" s="7">
        <v>6.2500000000000001E-5</v>
      </c>
      <c r="K1407" s="9">
        <v>3241.18</v>
      </c>
      <c r="L1407" s="14">
        <v>0</v>
      </c>
      <c r="M1407" s="2" t="s">
        <v>71</v>
      </c>
      <c r="N1407" s="2" t="s">
        <v>12595</v>
      </c>
      <c r="O1407" s="2" t="s">
        <v>15467</v>
      </c>
      <c r="P1407" s="9">
        <v>0</v>
      </c>
      <c r="Q1407" s="9">
        <v>0</v>
      </c>
      <c r="R1407" s="2" t="s">
        <v>15315</v>
      </c>
    </row>
    <row r="1408" spans="1:18" x14ac:dyDescent="0.25">
      <c r="A1408" s="2" t="s">
        <v>7802</v>
      </c>
      <c r="B1408" s="6">
        <v>46174</v>
      </c>
      <c r="C1408" s="8">
        <v>46188</v>
      </c>
      <c r="D1408" s="2" t="s">
        <v>7433</v>
      </c>
      <c r="E1408" s="2" t="s">
        <v>12593</v>
      </c>
      <c r="F1408" s="2" t="s">
        <v>15316</v>
      </c>
      <c r="G1408" s="2" t="s">
        <v>15468</v>
      </c>
      <c r="H1408" s="2" t="s">
        <v>70</v>
      </c>
      <c r="I1408" s="9">
        <v>5290.2255640000003</v>
      </c>
      <c r="J1408" s="7">
        <v>0.66500000000000004</v>
      </c>
      <c r="K1408" s="9">
        <v>3518</v>
      </c>
      <c r="L1408" s="14">
        <v>0</v>
      </c>
      <c r="M1408" s="2" t="s">
        <v>71</v>
      </c>
      <c r="N1408" s="2" t="s">
        <v>12595</v>
      </c>
      <c r="O1408" s="2" t="s">
        <v>15469</v>
      </c>
      <c r="P1408" s="9">
        <v>0</v>
      </c>
      <c r="Q1408" s="9">
        <v>0</v>
      </c>
      <c r="R1408" s="2" t="s">
        <v>15319</v>
      </c>
    </row>
    <row r="1409" spans="1:18" x14ac:dyDescent="0.25">
      <c r="A1409" s="2" t="s">
        <v>7807</v>
      </c>
      <c r="B1409" s="6">
        <v>46174</v>
      </c>
      <c r="C1409" s="8">
        <v>46189</v>
      </c>
      <c r="D1409" s="2" t="s">
        <v>7433</v>
      </c>
      <c r="E1409" s="2" t="s">
        <v>12593</v>
      </c>
      <c r="F1409" s="2" t="s">
        <v>15320</v>
      </c>
      <c r="G1409" s="2" t="s">
        <v>15470</v>
      </c>
      <c r="H1409" s="2" t="s">
        <v>39</v>
      </c>
      <c r="I1409" s="9">
        <v>3794.82</v>
      </c>
      <c r="J1409" s="7">
        <v>1</v>
      </c>
      <c r="K1409" s="9">
        <v>3794.82</v>
      </c>
      <c r="L1409" s="14">
        <v>0</v>
      </c>
      <c r="M1409" s="2" t="s">
        <v>71</v>
      </c>
      <c r="N1409" s="2" t="s">
        <v>12595</v>
      </c>
      <c r="O1409" s="2" t="s">
        <v>15471</v>
      </c>
      <c r="P1409" s="9">
        <v>0</v>
      </c>
      <c r="Q1409" s="9">
        <v>0</v>
      </c>
      <c r="R1409" s="2" t="s">
        <v>15323</v>
      </c>
    </row>
    <row r="1410" spans="1:18" x14ac:dyDescent="0.25">
      <c r="A1410" s="2" t="s">
        <v>7812</v>
      </c>
      <c r="B1410" s="6">
        <v>46174</v>
      </c>
      <c r="C1410" s="8">
        <v>46190</v>
      </c>
      <c r="D1410" s="2" t="s">
        <v>7433</v>
      </c>
      <c r="E1410" s="2" t="s">
        <v>12593</v>
      </c>
      <c r="F1410" s="2" t="s">
        <v>15324</v>
      </c>
      <c r="G1410" s="2" t="s">
        <v>15472</v>
      </c>
      <c r="H1410" s="2" t="s">
        <v>76</v>
      </c>
      <c r="I1410" s="9">
        <v>65146080</v>
      </c>
      <c r="J1410" s="7">
        <v>6.2500000000000001E-5</v>
      </c>
      <c r="K1410" s="9">
        <v>4071.63</v>
      </c>
      <c r="L1410" s="14">
        <v>0</v>
      </c>
      <c r="M1410" s="2" t="s">
        <v>71</v>
      </c>
      <c r="N1410" s="2" t="s">
        <v>12595</v>
      </c>
      <c r="O1410" s="2" t="s">
        <v>15473</v>
      </c>
      <c r="P1410" s="9">
        <v>0</v>
      </c>
      <c r="Q1410" s="9">
        <v>0</v>
      </c>
      <c r="R1410" s="2" t="s">
        <v>15327</v>
      </c>
    </row>
    <row r="1411" spans="1:18" x14ac:dyDescent="0.25">
      <c r="A1411" s="2" t="s">
        <v>7817</v>
      </c>
      <c r="B1411" s="6">
        <v>46174</v>
      </c>
      <c r="C1411" s="8">
        <v>46191</v>
      </c>
      <c r="D1411" s="2" t="s">
        <v>7433</v>
      </c>
      <c r="E1411" s="2" t="s">
        <v>12593</v>
      </c>
      <c r="F1411" s="2" t="s">
        <v>15328</v>
      </c>
      <c r="G1411" s="2" t="s">
        <v>15474</v>
      </c>
      <c r="H1411" s="2" t="s">
        <v>70</v>
      </c>
      <c r="I1411" s="9">
        <v>6539.0225559999999</v>
      </c>
      <c r="J1411" s="7">
        <v>0.66500000000000004</v>
      </c>
      <c r="K1411" s="9">
        <v>4348.45</v>
      </c>
      <c r="L1411" s="14">
        <v>0</v>
      </c>
      <c r="M1411" s="2" t="s">
        <v>71</v>
      </c>
      <c r="N1411" s="2" t="s">
        <v>12595</v>
      </c>
      <c r="O1411" s="2" t="s">
        <v>15475</v>
      </c>
      <c r="P1411" s="9">
        <v>0</v>
      </c>
      <c r="Q1411" s="9">
        <v>0</v>
      </c>
      <c r="R1411" s="2" t="s">
        <v>15331</v>
      </c>
    </row>
    <row r="1412" spans="1:18" x14ac:dyDescent="0.25">
      <c r="A1412" s="2" t="s">
        <v>7822</v>
      </c>
      <c r="B1412" s="6">
        <v>46174</v>
      </c>
      <c r="C1412" s="8">
        <v>46192</v>
      </c>
      <c r="D1412" s="2" t="s">
        <v>7433</v>
      </c>
      <c r="E1412" s="2" t="s">
        <v>12593</v>
      </c>
      <c r="F1412" s="2" t="s">
        <v>15332</v>
      </c>
      <c r="G1412" s="2" t="s">
        <v>15476</v>
      </c>
      <c r="H1412" s="2" t="s">
        <v>39</v>
      </c>
      <c r="I1412" s="9">
        <v>4625.26</v>
      </c>
      <c r="J1412" s="7">
        <v>1</v>
      </c>
      <c r="K1412" s="9">
        <v>4625.26</v>
      </c>
      <c r="L1412" s="14">
        <v>0</v>
      </c>
      <c r="M1412" s="2" t="s">
        <v>71</v>
      </c>
      <c r="N1412" s="2" t="s">
        <v>12595</v>
      </c>
      <c r="O1412" s="2" t="s">
        <v>15477</v>
      </c>
      <c r="P1412" s="9">
        <v>0</v>
      </c>
      <c r="Q1412" s="9">
        <v>0</v>
      </c>
      <c r="R1412" s="2" t="s">
        <v>15335</v>
      </c>
    </row>
    <row r="1413" spans="1:18" x14ac:dyDescent="0.25">
      <c r="A1413" s="2" t="s">
        <v>7827</v>
      </c>
      <c r="B1413" s="6">
        <v>46174</v>
      </c>
      <c r="C1413" s="8">
        <v>46193</v>
      </c>
      <c r="D1413" s="2" t="s">
        <v>7433</v>
      </c>
      <c r="E1413" s="2" t="s">
        <v>12593</v>
      </c>
      <c r="F1413" s="2" t="s">
        <v>15336</v>
      </c>
      <c r="G1413" s="2" t="s">
        <v>15478</v>
      </c>
      <c r="H1413" s="2" t="s">
        <v>76</v>
      </c>
      <c r="I1413" s="9">
        <v>78433280</v>
      </c>
      <c r="J1413" s="7">
        <v>6.2500000000000001E-5</v>
      </c>
      <c r="K1413" s="9">
        <v>4902.08</v>
      </c>
      <c r="L1413" s="14">
        <v>0</v>
      </c>
      <c r="M1413" s="2" t="s">
        <v>71</v>
      </c>
      <c r="N1413" s="2" t="s">
        <v>12595</v>
      </c>
      <c r="O1413" s="2" t="s">
        <v>15479</v>
      </c>
      <c r="P1413" s="9">
        <v>0</v>
      </c>
      <c r="Q1413" s="9">
        <v>0</v>
      </c>
      <c r="R1413" s="2" t="s">
        <v>15339</v>
      </c>
    </row>
    <row r="1414" spans="1:18" x14ac:dyDescent="0.25">
      <c r="A1414" s="2" t="s">
        <v>7832</v>
      </c>
      <c r="B1414" s="6">
        <v>46174</v>
      </c>
      <c r="C1414" s="8">
        <v>46194</v>
      </c>
      <c r="D1414" s="2" t="s">
        <v>7433</v>
      </c>
      <c r="E1414" s="2" t="s">
        <v>12593</v>
      </c>
      <c r="F1414" s="2" t="s">
        <v>15300</v>
      </c>
      <c r="G1414" s="2" t="s">
        <v>15480</v>
      </c>
      <c r="H1414" s="2" t="s">
        <v>70</v>
      </c>
      <c r="I1414" s="9">
        <v>7787.8045110000003</v>
      </c>
      <c r="J1414" s="7">
        <v>0.66500000000000004</v>
      </c>
      <c r="K1414" s="9">
        <v>5178.8900000000003</v>
      </c>
      <c r="L1414" s="14">
        <v>0</v>
      </c>
      <c r="M1414" s="2" t="s">
        <v>71</v>
      </c>
      <c r="N1414" s="2" t="s">
        <v>12595</v>
      </c>
      <c r="O1414" s="2" t="s">
        <v>15481</v>
      </c>
      <c r="P1414" s="9">
        <v>0</v>
      </c>
      <c r="Q1414" s="9">
        <v>0</v>
      </c>
      <c r="R1414" s="2" t="s">
        <v>15303</v>
      </c>
    </row>
    <row r="1415" spans="1:18" x14ac:dyDescent="0.25">
      <c r="A1415" s="2" t="s">
        <v>7837</v>
      </c>
      <c r="B1415" s="6">
        <v>46174</v>
      </c>
      <c r="C1415" s="8">
        <v>46195</v>
      </c>
      <c r="D1415" s="2" t="s">
        <v>7433</v>
      </c>
      <c r="E1415" s="2" t="s">
        <v>12593</v>
      </c>
      <c r="F1415" s="2" t="s">
        <v>15304</v>
      </c>
      <c r="G1415" s="2" t="s">
        <v>15482</v>
      </c>
      <c r="H1415" s="2" t="s">
        <v>39</v>
      </c>
      <c r="I1415" s="9">
        <v>-5455.71</v>
      </c>
      <c r="J1415" s="7">
        <v>1</v>
      </c>
      <c r="K1415" s="9">
        <v>-5455.71</v>
      </c>
      <c r="L1415" s="14">
        <v>0</v>
      </c>
      <c r="M1415" s="2" t="s">
        <v>71</v>
      </c>
      <c r="N1415" s="2" t="s">
        <v>12595</v>
      </c>
      <c r="O1415" s="2" t="s">
        <v>15483</v>
      </c>
      <c r="P1415" s="9">
        <v>0</v>
      </c>
      <c r="Q1415" s="9">
        <v>0</v>
      </c>
      <c r="R1415" s="2" t="s">
        <v>15307</v>
      </c>
    </row>
    <row r="1416" spans="1:18" x14ac:dyDescent="0.25">
      <c r="A1416" s="2" t="s">
        <v>7840</v>
      </c>
      <c r="B1416" s="6">
        <v>46174</v>
      </c>
      <c r="C1416" s="8">
        <v>46196</v>
      </c>
      <c r="D1416" s="2" t="s">
        <v>7433</v>
      </c>
      <c r="E1416" s="2" t="s">
        <v>12593</v>
      </c>
      <c r="F1416" s="2" t="s">
        <v>15308</v>
      </c>
      <c r="G1416" s="2" t="s">
        <v>15484</v>
      </c>
      <c r="H1416" s="2" t="s">
        <v>76</v>
      </c>
      <c r="I1416" s="9">
        <v>91720480</v>
      </c>
      <c r="J1416" s="7">
        <v>6.2500000000000001E-5</v>
      </c>
      <c r="K1416" s="9">
        <v>5732.53</v>
      </c>
      <c r="L1416" s="14">
        <v>0</v>
      </c>
      <c r="M1416" s="2" t="s">
        <v>71</v>
      </c>
      <c r="N1416" s="2" t="s">
        <v>12595</v>
      </c>
      <c r="O1416" s="2" t="s">
        <v>15485</v>
      </c>
      <c r="P1416" s="9">
        <v>0</v>
      </c>
      <c r="Q1416" s="9">
        <v>0</v>
      </c>
      <c r="R1416" s="2" t="s">
        <v>15311</v>
      </c>
    </row>
    <row r="1417" spans="1:18" x14ac:dyDescent="0.25">
      <c r="A1417" s="2" t="s">
        <v>7845</v>
      </c>
      <c r="B1417" s="6">
        <v>46174</v>
      </c>
      <c r="C1417" s="8">
        <v>46197</v>
      </c>
      <c r="D1417" s="2" t="s">
        <v>7433</v>
      </c>
      <c r="E1417" s="2" t="s">
        <v>12593</v>
      </c>
      <c r="F1417" s="2" t="s">
        <v>15312</v>
      </c>
      <c r="G1417" s="2" t="s">
        <v>15486</v>
      </c>
      <c r="H1417" s="2" t="s">
        <v>70</v>
      </c>
      <c r="I1417" s="9">
        <v>9036.6165409999994</v>
      </c>
      <c r="J1417" s="7">
        <v>0.66500000000000004</v>
      </c>
      <c r="K1417" s="9">
        <v>6009.35</v>
      </c>
      <c r="L1417" s="14">
        <v>0</v>
      </c>
      <c r="M1417" s="2" t="s">
        <v>71</v>
      </c>
      <c r="N1417" s="2" t="s">
        <v>12595</v>
      </c>
      <c r="O1417" s="2" t="s">
        <v>15487</v>
      </c>
      <c r="P1417" s="9">
        <v>0</v>
      </c>
      <c r="Q1417" s="9">
        <v>0</v>
      </c>
      <c r="R1417" s="2" t="s">
        <v>15315</v>
      </c>
    </row>
    <row r="1418" spans="1:18" x14ac:dyDescent="0.25">
      <c r="A1418" s="2" t="s">
        <v>7850</v>
      </c>
      <c r="B1418" s="6">
        <v>46174</v>
      </c>
      <c r="C1418" s="8">
        <v>46198</v>
      </c>
      <c r="D1418" s="2" t="s">
        <v>7433</v>
      </c>
      <c r="E1418" s="2" t="s">
        <v>12593</v>
      </c>
      <c r="F1418" s="2" t="s">
        <v>15316</v>
      </c>
      <c r="G1418" s="2" t="s">
        <v>15488</v>
      </c>
      <c r="H1418" s="2" t="s">
        <v>39</v>
      </c>
      <c r="I1418" s="9">
        <v>6286.16</v>
      </c>
      <c r="J1418" s="7">
        <v>1</v>
      </c>
      <c r="K1418" s="9">
        <v>6286.16</v>
      </c>
      <c r="L1418" s="14">
        <v>0</v>
      </c>
      <c r="M1418" s="2" t="s">
        <v>71</v>
      </c>
      <c r="N1418" s="2" t="s">
        <v>12595</v>
      </c>
      <c r="O1418" s="2" t="s">
        <v>15489</v>
      </c>
      <c r="P1418" s="9">
        <v>0</v>
      </c>
      <c r="Q1418" s="9">
        <v>0</v>
      </c>
      <c r="R1418" s="2" t="s">
        <v>15319</v>
      </c>
    </row>
    <row r="1419" spans="1:18" x14ac:dyDescent="0.25">
      <c r="A1419" s="2" t="s">
        <v>7855</v>
      </c>
      <c r="B1419" s="6">
        <v>46174</v>
      </c>
      <c r="C1419" s="8">
        <v>46199</v>
      </c>
      <c r="D1419" s="2" t="s">
        <v>7433</v>
      </c>
      <c r="E1419" s="2" t="s">
        <v>12593</v>
      </c>
      <c r="F1419" s="2" t="s">
        <v>15320</v>
      </c>
      <c r="G1419" s="2" t="s">
        <v>15490</v>
      </c>
      <c r="H1419" s="2" t="s">
        <v>76</v>
      </c>
      <c r="I1419" s="9">
        <v>105007680</v>
      </c>
      <c r="J1419" s="7">
        <v>6.2500000000000001E-5</v>
      </c>
      <c r="K1419" s="9">
        <v>6562.98</v>
      </c>
      <c r="L1419" s="14">
        <v>0</v>
      </c>
      <c r="M1419" s="2" t="s">
        <v>71</v>
      </c>
      <c r="N1419" s="2" t="s">
        <v>12595</v>
      </c>
      <c r="O1419" s="2" t="s">
        <v>15491</v>
      </c>
      <c r="P1419" s="9">
        <v>0</v>
      </c>
      <c r="Q1419" s="9">
        <v>0</v>
      </c>
      <c r="R1419" s="2" t="s">
        <v>15323</v>
      </c>
    </row>
    <row r="1420" spans="1:18" x14ac:dyDescent="0.25">
      <c r="A1420" s="2" t="s">
        <v>7860</v>
      </c>
      <c r="B1420" s="6">
        <v>46174</v>
      </c>
      <c r="C1420" s="8">
        <v>46200</v>
      </c>
      <c r="D1420" s="2" t="s">
        <v>7433</v>
      </c>
      <c r="E1420" s="2" t="s">
        <v>12593</v>
      </c>
      <c r="F1420" s="2" t="s">
        <v>15324</v>
      </c>
      <c r="G1420" s="2" t="s">
        <v>15492</v>
      </c>
      <c r="H1420" s="2" t="s">
        <v>70</v>
      </c>
      <c r="I1420" s="9">
        <v>10285.398496</v>
      </c>
      <c r="J1420" s="7">
        <v>0.66500000000000004</v>
      </c>
      <c r="K1420" s="9">
        <v>6839.79</v>
      </c>
      <c r="L1420" s="14">
        <v>0</v>
      </c>
      <c r="M1420" s="2" t="s">
        <v>71</v>
      </c>
      <c r="N1420" s="2" t="s">
        <v>12595</v>
      </c>
      <c r="O1420" s="2" t="s">
        <v>15493</v>
      </c>
      <c r="P1420" s="9">
        <v>0</v>
      </c>
      <c r="Q1420" s="9">
        <v>0</v>
      </c>
      <c r="R1420" s="2" t="s">
        <v>15327</v>
      </c>
    </row>
    <row r="1421" spans="1:18" x14ac:dyDescent="0.25">
      <c r="A1421" s="2" t="s">
        <v>7865</v>
      </c>
      <c r="B1421" s="6">
        <v>46174</v>
      </c>
      <c r="C1421" s="8">
        <v>46201</v>
      </c>
      <c r="D1421" s="2" t="s">
        <v>7433</v>
      </c>
      <c r="E1421" s="2" t="s">
        <v>12593</v>
      </c>
      <c r="F1421" s="2" t="s">
        <v>15328</v>
      </c>
      <c r="G1421" s="2" t="s">
        <v>15494</v>
      </c>
      <c r="H1421" s="2" t="s">
        <v>39</v>
      </c>
      <c r="I1421" s="9">
        <v>7116.61</v>
      </c>
      <c r="J1421" s="7">
        <v>1</v>
      </c>
      <c r="K1421" s="9">
        <v>7116.61</v>
      </c>
      <c r="L1421" s="14">
        <v>0</v>
      </c>
      <c r="M1421" s="2" t="s">
        <v>71</v>
      </c>
      <c r="N1421" s="2" t="s">
        <v>12595</v>
      </c>
      <c r="O1421" s="2" t="s">
        <v>15495</v>
      </c>
      <c r="P1421" s="9">
        <v>0</v>
      </c>
      <c r="Q1421" s="9">
        <v>0</v>
      </c>
      <c r="R1421" s="2" t="s">
        <v>15331</v>
      </c>
    </row>
    <row r="1422" spans="1:18" x14ac:dyDescent="0.25">
      <c r="A1422" s="2" t="s">
        <v>7870</v>
      </c>
      <c r="B1422" s="6">
        <v>46174</v>
      </c>
      <c r="C1422" s="8">
        <v>46202</v>
      </c>
      <c r="D1422" s="2" t="s">
        <v>7433</v>
      </c>
      <c r="E1422" s="2" t="s">
        <v>12593</v>
      </c>
      <c r="F1422" s="2" t="s">
        <v>15332</v>
      </c>
      <c r="G1422" s="2" t="s">
        <v>15496</v>
      </c>
      <c r="H1422" s="2" t="s">
        <v>76</v>
      </c>
      <c r="I1422" s="9">
        <v>118294720</v>
      </c>
      <c r="J1422" s="7">
        <v>6.2500000000000001E-5</v>
      </c>
      <c r="K1422" s="9">
        <v>7393.42</v>
      </c>
      <c r="L1422" s="14">
        <v>0</v>
      </c>
      <c r="M1422" s="2" t="s">
        <v>71</v>
      </c>
      <c r="N1422" s="2" t="s">
        <v>12595</v>
      </c>
      <c r="O1422" s="2" t="s">
        <v>15497</v>
      </c>
      <c r="P1422" s="9">
        <v>0</v>
      </c>
      <c r="Q1422" s="9">
        <v>0</v>
      </c>
      <c r="R1422" s="2" t="s">
        <v>15335</v>
      </c>
    </row>
    <row r="1423" spans="1:18" x14ac:dyDescent="0.25">
      <c r="A1423" s="2" t="s">
        <v>7875</v>
      </c>
      <c r="B1423" s="6">
        <v>46174</v>
      </c>
      <c r="C1423" s="8">
        <v>46203</v>
      </c>
      <c r="D1423" s="2" t="s">
        <v>7433</v>
      </c>
      <c r="E1423" s="2" t="s">
        <v>12593</v>
      </c>
      <c r="F1423" s="2" t="s">
        <v>15336</v>
      </c>
      <c r="G1423" s="2" t="s">
        <v>15498</v>
      </c>
      <c r="H1423" s="2" t="s">
        <v>70</v>
      </c>
      <c r="I1423" s="9">
        <v>11534.195489</v>
      </c>
      <c r="J1423" s="7">
        <v>0.66500000000000004</v>
      </c>
      <c r="K1423" s="9">
        <v>7670.24</v>
      </c>
      <c r="L1423" s="14">
        <v>0</v>
      </c>
      <c r="M1423" s="2" t="s">
        <v>71</v>
      </c>
      <c r="N1423" s="2" t="s">
        <v>12595</v>
      </c>
      <c r="O1423" s="2" t="s">
        <v>15499</v>
      </c>
      <c r="P1423" s="9">
        <v>0</v>
      </c>
      <c r="Q1423" s="9">
        <v>0</v>
      </c>
      <c r="R1423" s="2" t="s">
        <v>15339</v>
      </c>
    </row>
    <row r="1424" spans="1:18" x14ac:dyDescent="0.25">
      <c r="A1424" s="2" t="s">
        <v>7880</v>
      </c>
      <c r="B1424" s="6">
        <v>46174</v>
      </c>
      <c r="C1424" s="8">
        <v>46174</v>
      </c>
      <c r="D1424" s="2" t="s">
        <v>7433</v>
      </c>
      <c r="E1424" s="2" t="s">
        <v>12593</v>
      </c>
      <c r="F1424" s="2" t="s">
        <v>15300</v>
      </c>
      <c r="G1424" s="2" t="s">
        <v>15500</v>
      </c>
      <c r="H1424" s="2" t="s">
        <v>39</v>
      </c>
      <c r="I1424" s="9">
        <v>7947.06</v>
      </c>
      <c r="J1424" s="7">
        <v>1</v>
      </c>
      <c r="K1424" s="9">
        <v>7947.06</v>
      </c>
      <c r="L1424" s="14">
        <v>0</v>
      </c>
      <c r="M1424" s="2" t="s">
        <v>71</v>
      </c>
      <c r="N1424" s="2" t="s">
        <v>12595</v>
      </c>
      <c r="O1424" s="2" t="s">
        <v>15501</v>
      </c>
      <c r="P1424" s="9">
        <v>0</v>
      </c>
      <c r="Q1424" s="9">
        <v>0</v>
      </c>
      <c r="R1424" s="2" t="s">
        <v>15303</v>
      </c>
    </row>
    <row r="1425" spans="1:18" x14ac:dyDescent="0.25">
      <c r="A1425" s="2" t="s">
        <v>7885</v>
      </c>
      <c r="B1425" s="6">
        <v>46174</v>
      </c>
      <c r="C1425" s="8">
        <v>46175</v>
      </c>
      <c r="D1425" s="2" t="s">
        <v>7433</v>
      </c>
      <c r="E1425" s="2" t="s">
        <v>12593</v>
      </c>
      <c r="F1425" s="2" t="s">
        <v>15304</v>
      </c>
      <c r="G1425" s="2" t="s">
        <v>15502</v>
      </c>
      <c r="H1425" s="2" t="s">
        <v>76</v>
      </c>
      <c r="I1425" s="9">
        <v>131581920</v>
      </c>
      <c r="J1425" s="7">
        <v>6.2500000000000001E-5</v>
      </c>
      <c r="K1425" s="9">
        <v>8223.8700000000008</v>
      </c>
      <c r="L1425" s="14">
        <v>0</v>
      </c>
      <c r="M1425" s="2" t="s">
        <v>71</v>
      </c>
      <c r="N1425" s="2" t="s">
        <v>12595</v>
      </c>
      <c r="O1425" s="2" t="s">
        <v>15503</v>
      </c>
      <c r="P1425" s="9">
        <v>0</v>
      </c>
      <c r="Q1425" s="9">
        <v>0</v>
      </c>
      <c r="R1425" s="2" t="s">
        <v>15307</v>
      </c>
    </row>
    <row r="1426" spans="1:18" x14ac:dyDescent="0.25">
      <c r="A1426" s="2" t="s">
        <v>7890</v>
      </c>
      <c r="B1426" s="6">
        <v>46174</v>
      </c>
      <c r="C1426" s="8">
        <v>46176</v>
      </c>
      <c r="D1426" s="2" t="s">
        <v>7433</v>
      </c>
      <c r="E1426" s="2" t="s">
        <v>12593</v>
      </c>
      <c r="F1426" s="2" t="s">
        <v>15308</v>
      </c>
      <c r="G1426" s="2" t="s">
        <v>15504</v>
      </c>
      <c r="H1426" s="2" t="s">
        <v>70</v>
      </c>
      <c r="I1426" s="9">
        <v>12782.992480999999</v>
      </c>
      <c r="J1426" s="7">
        <v>0.66500000000000004</v>
      </c>
      <c r="K1426" s="9">
        <v>8500.69</v>
      </c>
      <c r="L1426" s="14">
        <v>0</v>
      </c>
      <c r="M1426" s="2" t="s">
        <v>71</v>
      </c>
      <c r="N1426" s="2" t="s">
        <v>12595</v>
      </c>
      <c r="O1426" s="2" t="s">
        <v>15505</v>
      </c>
      <c r="P1426" s="9">
        <v>0</v>
      </c>
      <c r="Q1426" s="9">
        <v>0</v>
      </c>
      <c r="R1426" s="2" t="s">
        <v>15311</v>
      </c>
    </row>
    <row r="1427" spans="1:18" x14ac:dyDescent="0.25">
      <c r="A1427" s="2" t="s">
        <v>7895</v>
      </c>
      <c r="B1427" s="6">
        <v>46174</v>
      </c>
      <c r="C1427" s="8">
        <v>46177</v>
      </c>
      <c r="D1427" s="2" t="s">
        <v>7433</v>
      </c>
      <c r="E1427" s="2" t="s">
        <v>12593</v>
      </c>
      <c r="F1427" s="2" t="s">
        <v>15312</v>
      </c>
      <c r="G1427" s="2" t="s">
        <v>15506</v>
      </c>
      <c r="H1427" s="2" t="s">
        <v>39</v>
      </c>
      <c r="I1427" s="9">
        <v>8777.5</v>
      </c>
      <c r="J1427" s="7">
        <v>1</v>
      </c>
      <c r="K1427" s="9">
        <v>8777.5</v>
      </c>
      <c r="L1427" s="14">
        <v>0</v>
      </c>
      <c r="M1427" s="2" t="s">
        <v>71</v>
      </c>
      <c r="N1427" s="2" t="s">
        <v>12595</v>
      </c>
      <c r="O1427" s="2" t="s">
        <v>15507</v>
      </c>
      <c r="P1427" s="9">
        <v>0</v>
      </c>
      <c r="Q1427" s="9">
        <v>0</v>
      </c>
      <c r="R1427" s="2" t="s">
        <v>15315</v>
      </c>
    </row>
    <row r="1428" spans="1:18" x14ac:dyDescent="0.25">
      <c r="A1428" s="2" t="s">
        <v>7900</v>
      </c>
      <c r="B1428" s="6">
        <v>46174</v>
      </c>
      <c r="C1428" s="8">
        <v>46178</v>
      </c>
      <c r="D1428" s="2" t="s">
        <v>7433</v>
      </c>
      <c r="E1428" s="2" t="s">
        <v>12593</v>
      </c>
      <c r="F1428" s="2" t="s">
        <v>15316</v>
      </c>
      <c r="G1428" s="2" t="s">
        <v>15508</v>
      </c>
      <c r="H1428" s="2" t="s">
        <v>76</v>
      </c>
      <c r="I1428" s="9">
        <v>144869120</v>
      </c>
      <c r="J1428" s="7">
        <v>6.2500000000000001E-5</v>
      </c>
      <c r="K1428" s="9">
        <v>9054.32</v>
      </c>
      <c r="L1428" s="14">
        <v>0</v>
      </c>
      <c r="M1428" s="2" t="s">
        <v>71</v>
      </c>
      <c r="N1428" s="2" t="s">
        <v>12595</v>
      </c>
      <c r="O1428" s="2" t="s">
        <v>15509</v>
      </c>
      <c r="P1428" s="9">
        <v>0</v>
      </c>
      <c r="Q1428" s="9">
        <v>0</v>
      </c>
      <c r="R1428" s="2" t="s">
        <v>15319</v>
      </c>
    </row>
    <row r="1429" spans="1:18" x14ac:dyDescent="0.25">
      <c r="A1429" s="2" t="s">
        <v>7905</v>
      </c>
      <c r="B1429" s="6">
        <v>46174</v>
      </c>
      <c r="C1429" s="8">
        <v>46179</v>
      </c>
      <c r="D1429" s="2" t="s">
        <v>7433</v>
      </c>
      <c r="E1429" s="2" t="s">
        <v>12593</v>
      </c>
      <c r="F1429" s="2" t="s">
        <v>15320</v>
      </c>
      <c r="G1429" s="2" t="s">
        <v>15510</v>
      </c>
      <c r="H1429" s="2" t="s">
        <v>70</v>
      </c>
      <c r="I1429" s="9">
        <v>14031.774436</v>
      </c>
      <c r="J1429" s="7">
        <v>0.66500000000000004</v>
      </c>
      <c r="K1429" s="9">
        <v>9331.1299999999992</v>
      </c>
      <c r="L1429" s="14">
        <v>0</v>
      </c>
      <c r="M1429" s="2" t="s">
        <v>71</v>
      </c>
      <c r="N1429" s="2" t="s">
        <v>12595</v>
      </c>
      <c r="O1429" s="2" t="s">
        <v>15511</v>
      </c>
      <c r="P1429" s="9">
        <v>0</v>
      </c>
      <c r="Q1429" s="9">
        <v>0</v>
      </c>
      <c r="R1429" s="2" t="s">
        <v>15323</v>
      </c>
    </row>
    <row r="1430" spans="1:18" x14ac:dyDescent="0.25">
      <c r="A1430" s="2" t="s">
        <v>7910</v>
      </c>
      <c r="B1430" s="6">
        <v>46174</v>
      </c>
      <c r="C1430" s="8">
        <v>46180</v>
      </c>
      <c r="D1430" s="2" t="s">
        <v>7433</v>
      </c>
      <c r="E1430" s="2" t="s">
        <v>12593</v>
      </c>
      <c r="F1430" s="2" t="s">
        <v>15324</v>
      </c>
      <c r="G1430" s="2" t="s">
        <v>15512</v>
      </c>
      <c r="H1430" s="2" t="s">
        <v>39</v>
      </c>
      <c r="I1430" s="9">
        <v>9606.4</v>
      </c>
      <c r="J1430" s="7">
        <v>1</v>
      </c>
      <c r="K1430" s="9">
        <v>9606.4</v>
      </c>
      <c r="L1430" s="14">
        <v>0</v>
      </c>
      <c r="M1430" s="2" t="s">
        <v>71</v>
      </c>
      <c r="N1430" s="2" t="s">
        <v>12595</v>
      </c>
      <c r="O1430" s="2" t="s">
        <v>15513</v>
      </c>
      <c r="P1430" s="9">
        <v>0</v>
      </c>
      <c r="Q1430" s="9">
        <v>0</v>
      </c>
      <c r="R1430" s="2" t="s">
        <v>15327</v>
      </c>
    </row>
    <row r="1431" spans="1:18" x14ac:dyDescent="0.25">
      <c r="A1431" s="2" t="s">
        <v>7915</v>
      </c>
      <c r="B1431" s="6">
        <v>46174</v>
      </c>
      <c r="C1431" s="8">
        <v>46181</v>
      </c>
      <c r="D1431" s="2" t="s">
        <v>7433</v>
      </c>
      <c r="E1431" s="2" t="s">
        <v>12593</v>
      </c>
      <c r="F1431" s="2" t="s">
        <v>15328</v>
      </c>
      <c r="G1431" s="2" t="s">
        <v>15514</v>
      </c>
      <c r="H1431" s="2" t="s">
        <v>76</v>
      </c>
      <c r="I1431" s="9">
        <v>158131520</v>
      </c>
      <c r="J1431" s="7">
        <v>6.2500000000000001E-5</v>
      </c>
      <c r="K1431" s="9">
        <v>9883.2199999999993</v>
      </c>
      <c r="L1431" s="14">
        <v>0</v>
      </c>
      <c r="M1431" s="2" t="s">
        <v>71</v>
      </c>
      <c r="N1431" s="2" t="s">
        <v>12595</v>
      </c>
      <c r="O1431" s="2" t="s">
        <v>15515</v>
      </c>
      <c r="P1431" s="9">
        <v>0</v>
      </c>
      <c r="Q1431" s="9">
        <v>0</v>
      </c>
      <c r="R1431" s="2" t="s">
        <v>15331</v>
      </c>
    </row>
    <row r="1432" spans="1:18" x14ac:dyDescent="0.25">
      <c r="A1432" s="2" t="s">
        <v>7920</v>
      </c>
      <c r="B1432" s="6">
        <v>46174</v>
      </c>
      <c r="C1432" s="8">
        <v>46182</v>
      </c>
      <c r="D1432" s="2" t="s">
        <v>7433</v>
      </c>
      <c r="E1432" s="2" t="s">
        <v>12593</v>
      </c>
      <c r="F1432" s="2" t="s">
        <v>15332</v>
      </c>
      <c r="G1432" s="2" t="s">
        <v>15516</v>
      </c>
      <c r="H1432" s="2" t="s">
        <v>70</v>
      </c>
      <c r="I1432" s="9">
        <v>15278.240602</v>
      </c>
      <c r="J1432" s="7">
        <v>0.66500000000000004</v>
      </c>
      <c r="K1432" s="9">
        <v>10160.030000000001</v>
      </c>
      <c r="L1432" s="14">
        <v>0</v>
      </c>
      <c r="M1432" s="2" t="s">
        <v>71</v>
      </c>
      <c r="N1432" s="2" t="s">
        <v>12595</v>
      </c>
      <c r="O1432" s="2" t="s">
        <v>15517</v>
      </c>
      <c r="P1432" s="9">
        <v>0</v>
      </c>
      <c r="Q1432" s="9">
        <v>0</v>
      </c>
      <c r="R1432" s="2" t="s">
        <v>15335</v>
      </c>
    </row>
    <row r="1433" spans="1:18" x14ac:dyDescent="0.25">
      <c r="A1433" s="2" t="s">
        <v>7925</v>
      </c>
      <c r="B1433" s="6">
        <v>46174</v>
      </c>
      <c r="C1433" s="8">
        <v>46183</v>
      </c>
      <c r="D1433" s="2" t="s">
        <v>7433</v>
      </c>
      <c r="E1433" s="2" t="s">
        <v>12593</v>
      </c>
      <c r="F1433" s="2" t="s">
        <v>15336</v>
      </c>
      <c r="G1433" s="2" t="s">
        <v>15518</v>
      </c>
      <c r="H1433" s="2" t="s">
        <v>39</v>
      </c>
      <c r="I1433" s="9">
        <v>10436.85</v>
      </c>
      <c r="J1433" s="7">
        <v>1</v>
      </c>
      <c r="K1433" s="9">
        <v>10436.85</v>
      </c>
      <c r="L1433" s="14">
        <v>0</v>
      </c>
      <c r="M1433" s="2" t="s">
        <v>71</v>
      </c>
      <c r="N1433" s="2" t="s">
        <v>12595</v>
      </c>
      <c r="O1433" s="2" t="s">
        <v>15519</v>
      </c>
      <c r="P1433" s="9">
        <v>0</v>
      </c>
      <c r="Q1433" s="9">
        <v>0</v>
      </c>
      <c r="R1433" s="2" t="s">
        <v>15339</v>
      </c>
    </row>
    <row r="1434" spans="1:18" x14ac:dyDescent="0.25">
      <c r="A1434" s="2" t="s">
        <v>7930</v>
      </c>
      <c r="B1434" s="6">
        <v>46174</v>
      </c>
      <c r="C1434" s="8">
        <v>46184</v>
      </c>
      <c r="D1434" s="2" t="s">
        <v>7433</v>
      </c>
      <c r="E1434" s="2" t="s">
        <v>12593</v>
      </c>
      <c r="F1434" s="2" t="s">
        <v>15300</v>
      </c>
      <c r="G1434" s="2" t="s">
        <v>15520</v>
      </c>
      <c r="H1434" s="2" t="s">
        <v>76</v>
      </c>
      <c r="I1434" s="9">
        <v>171418560</v>
      </c>
      <c r="J1434" s="7">
        <v>6.2500000000000001E-5</v>
      </c>
      <c r="K1434" s="9">
        <v>10713.66</v>
      </c>
      <c r="L1434" s="14">
        <v>0</v>
      </c>
      <c r="M1434" s="2" t="s">
        <v>71</v>
      </c>
      <c r="N1434" s="2" t="s">
        <v>12595</v>
      </c>
      <c r="O1434" s="2" t="s">
        <v>15521</v>
      </c>
      <c r="P1434" s="9">
        <v>0</v>
      </c>
      <c r="Q1434" s="9">
        <v>0</v>
      </c>
      <c r="R1434" s="2" t="s">
        <v>15303</v>
      </c>
    </row>
    <row r="1435" spans="1:18" x14ac:dyDescent="0.25">
      <c r="A1435" s="2" t="s">
        <v>7935</v>
      </c>
      <c r="B1435" s="6">
        <v>46174</v>
      </c>
      <c r="C1435" s="8">
        <v>46185</v>
      </c>
      <c r="D1435" s="2" t="s">
        <v>7433</v>
      </c>
      <c r="E1435" s="2" t="s">
        <v>12593</v>
      </c>
      <c r="F1435" s="2" t="s">
        <v>15304</v>
      </c>
      <c r="G1435" s="2" t="s">
        <v>15522</v>
      </c>
      <c r="H1435" s="2" t="s">
        <v>70</v>
      </c>
      <c r="I1435" s="9">
        <v>16527.037594000001</v>
      </c>
      <c r="J1435" s="7">
        <v>0.66500000000000004</v>
      </c>
      <c r="K1435" s="9">
        <v>10990.48</v>
      </c>
      <c r="L1435" s="14">
        <v>0</v>
      </c>
      <c r="M1435" s="2" t="s">
        <v>71</v>
      </c>
      <c r="N1435" s="2" t="s">
        <v>12595</v>
      </c>
      <c r="O1435" s="2" t="s">
        <v>15523</v>
      </c>
      <c r="P1435" s="9">
        <v>0</v>
      </c>
      <c r="Q1435" s="9">
        <v>0</v>
      </c>
      <c r="R1435" s="2" t="s">
        <v>15307</v>
      </c>
    </row>
    <row r="1436" spans="1:18" x14ac:dyDescent="0.25">
      <c r="A1436" s="2" t="s">
        <v>7940</v>
      </c>
      <c r="B1436" s="6">
        <v>46174</v>
      </c>
      <c r="C1436" s="8">
        <v>46186</v>
      </c>
      <c r="D1436" s="2" t="s">
        <v>7433</v>
      </c>
      <c r="E1436" s="2" t="s">
        <v>12593</v>
      </c>
      <c r="F1436" s="2" t="s">
        <v>15308</v>
      </c>
      <c r="G1436" s="2" t="s">
        <v>15524</v>
      </c>
      <c r="H1436" s="2" t="s">
        <v>39</v>
      </c>
      <c r="I1436" s="9">
        <v>11267.3</v>
      </c>
      <c r="J1436" s="7">
        <v>1</v>
      </c>
      <c r="K1436" s="9">
        <v>11267.3</v>
      </c>
      <c r="L1436" s="14">
        <v>0</v>
      </c>
      <c r="M1436" s="2" t="s">
        <v>71</v>
      </c>
      <c r="N1436" s="2" t="s">
        <v>12595</v>
      </c>
      <c r="O1436" s="2" t="s">
        <v>15525</v>
      </c>
      <c r="P1436" s="9">
        <v>0</v>
      </c>
      <c r="Q1436" s="9">
        <v>0</v>
      </c>
      <c r="R1436" s="2" t="s">
        <v>15311</v>
      </c>
    </row>
    <row r="1437" spans="1:18" x14ac:dyDescent="0.25">
      <c r="A1437" s="2" t="s">
        <v>7945</v>
      </c>
      <c r="B1437" s="6">
        <v>46174</v>
      </c>
      <c r="C1437" s="8">
        <v>46187</v>
      </c>
      <c r="D1437" s="2" t="s">
        <v>7433</v>
      </c>
      <c r="E1437" s="2" t="s">
        <v>12593</v>
      </c>
      <c r="F1437" s="2" t="s">
        <v>15312</v>
      </c>
      <c r="G1437" s="2" t="s">
        <v>15526</v>
      </c>
      <c r="H1437" s="2" t="s">
        <v>76</v>
      </c>
      <c r="I1437" s="9">
        <v>184705760</v>
      </c>
      <c r="J1437" s="7">
        <v>6.2500000000000001E-5</v>
      </c>
      <c r="K1437" s="9">
        <v>11544.11</v>
      </c>
      <c r="L1437" s="14">
        <v>0</v>
      </c>
      <c r="M1437" s="2" t="s">
        <v>71</v>
      </c>
      <c r="N1437" s="2" t="s">
        <v>12595</v>
      </c>
      <c r="O1437" s="2" t="s">
        <v>15527</v>
      </c>
      <c r="P1437" s="9">
        <v>0</v>
      </c>
      <c r="Q1437" s="9">
        <v>0</v>
      </c>
      <c r="R1437" s="2" t="s">
        <v>15315</v>
      </c>
    </row>
    <row r="1438" spans="1:18" x14ac:dyDescent="0.25">
      <c r="A1438" s="2" t="s">
        <v>7950</v>
      </c>
      <c r="B1438" s="6">
        <v>46174</v>
      </c>
      <c r="C1438" s="8">
        <v>46188</v>
      </c>
      <c r="D1438" s="2" t="s">
        <v>7433</v>
      </c>
      <c r="E1438" s="2" t="s">
        <v>12593</v>
      </c>
      <c r="F1438" s="2" t="s">
        <v>15316</v>
      </c>
      <c r="G1438" s="2" t="s">
        <v>15528</v>
      </c>
      <c r="H1438" s="2" t="s">
        <v>70</v>
      </c>
      <c r="I1438" s="9">
        <v>17775.834586000001</v>
      </c>
      <c r="J1438" s="7">
        <v>0.66500000000000004</v>
      </c>
      <c r="K1438" s="9">
        <v>11820.93</v>
      </c>
      <c r="L1438" s="14">
        <v>0</v>
      </c>
      <c r="M1438" s="2" t="s">
        <v>71</v>
      </c>
      <c r="N1438" s="2" t="s">
        <v>12595</v>
      </c>
      <c r="O1438" s="2" t="s">
        <v>15529</v>
      </c>
      <c r="P1438" s="9">
        <v>0</v>
      </c>
      <c r="Q1438" s="9">
        <v>0</v>
      </c>
      <c r="R1438" s="2" t="s">
        <v>15319</v>
      </c>
    </row>
    <row r="1439" spans="1:18" x14ac:dyDescent="0.25">
      <c r="A1439" s="2" t="s">
        <v>7955</v>
      </c>
      <c r="B1439" s="6">
        <v>46174</v>
      </c>
      <c r="C1439" s="8">
        <v>46189</v>
      </c>
      <c r="D1439" s="2" t="s">
        <v>7433</v>
      </c>
      <c r="E1439" s="2" t="s">
        <v>12593</v>
      </c>
      <c r="F1439" s="2" t="s">
        <v>15320</v>
      </c>
      <c r="G1439" s="2" t="s">
        <v>15530</v>
      </c>
      <c r="H1439" s="2" t="s">
        <v>39</v>
      </c>
      <c r="I1439" s="9">
        <v>12097.74</v>
      </c>
      <c r="J1439" s="7">
        <v>1</v>
      </c>
      <c r="K1439" s="9">
        <v>12097.74</v>
      </c>
      <c r="L1439" s="14">
        <v>0</v>
      </c>
      <c r="M1439" s="2" t="s">
        <v>71</v>
      </c>
      <c r="N1439" s="2" t="s">
        <v>12595</v>
      </c>
      <c r="O1439" s="2" t="s">
        <v>15531</v>
      </c>
      <c r="P1439" s="9">
        <v>0</v>
      </c>
      <c r="Q1439" s="9">
        <v>0</v>
      </c>
      <c r="R1439" s="2" t="s">
        <v>15323</v>
      </c>
    </row>
    <row r="1440" spans="1:18" x14ac:dyDescent="0.25">
      <c r="A1440" s="2" t="s">
        <v>7960</v>
      </c>
      <c r="B1440" s="6">
        <v>46174</v>
      </c>
      <c r="C1440" s="8">
        <v>46190</v>
      </c>
      <c r="D1440" s="2" t="s">
        <v>7433</v>
      </c>
      <c r="E1440" s="2" t="s">
        <v>12593</v>
      </c>
      <c r="F1440" s="2" t="s">
        <v>15324</v>
      </c>
      <c r="G1440" s="2" t="s">
        <v>15532</v>
      </c>
      <c r="H1440" s="2" t="s">
        <v>76</v>
      </c>
      <c r="I1440" s="9">
        <v>197992960</v>
      </c>
      <c r="J1440" s="7">
        <v>6.2500000000000001E-5</v>
      </c>
      <c r="K1440" s="9">
        <v>12374.56</v>
      </c>
      <c r="L1440" s="14">
        <v>0</v>
      </c>
      <c r="M1440" s="2" t="s">
        <v>71</v>
      </c>
      <c r="N1440" s="2" t="s">
        <v>12595</v>
      </c>
      <c r="O1440" s="2" t="s">
        <v>15533</v>
      </c>
      <c r="P1440" s="9">
        <v>0</v>
      </c>
      <c r="Q1440" s="9">
        <v>0</v>
      </c>
      <c r="R1440" s="2" t="s">
        <v>15327</v>
      </c>
    </row>
    <row r="1441" spans="1:18" x14ac:dyDescent="0.25">
      <c r="A1441" s="2" t="s">
        <v>7965</v>
      </c>
      <c r="B1441" s="6">
        <v>46174</v>
      </c>
      <c r="C1441" s="8">
        <v>46191</v>
      </c>
      <c r="D1441" s="2" t="s">
        <v>7433</v>
      </c>
      <c r="E1441" s="2" t="s">
        <v>12593</v>
      </c>
      <c r="F1441" s="2" t="s">
        <v>15328</v>
      </c>
      <c r="G1441" s="2" t="s">
        <v>15534</v>
      </c>
      <c r="H1441" s="2" t="s">
        <v>70</v>
      </c>
      <c r="I1441" s="9">
        <v>19024.631579000001</v>
      </c>
      <c r="J1441" s="7">
        <v>0.66500000000000004</v>
      </c>
      <c r="K1441" s="9">
        <v>12651.38</v>
      </c>
      <c r="L1441" s="14">
        <v>0</v>
      </c>
      <c r="M1441" s="2" t="s">
        <v>71</v>
      </c>
      <c r="N1441" s="2" t="s">
        <v>12595</v>
      </c>
      <c r="O1441" s="2" t="s">
        <v>15535</v>
      </c>
      <c r="P1441" s="9">
        <v>0</v>
      </c>
      <c r="Q1441" s="9">
        <v>0</v>
      </c>
      <c r="R1441" s="2" t="s">
        <v>15331</v>
      </c>
    </row>
    <row r="1442" spans="1:18" x14ac:dyDescent="0.25">
      <c r="A1442" s="2" t="s">
        <v>7970</v>
      </c>
      <c r="B1442" s="6">
        <v>46174</v>
      </c>
      <c r="C1442" s="8">
        <v>46192</v>
      </c>
      <c r="D1442" s="2" t="s">
        <v>7433</v>
      </c>
      <c r="E1442" s="2" t="s">
        <v>12593</v>
      </c>
      <c r="F1442" s="2" t="s">
        <v>15332</v>
      </c>
      <c r="G1442" s="2" t="s">
        <v>15536</v>
      </c>
      <c r="H1442" s="2" t="s">
        <v>39</v>
      </c>
      <c r="I1442" s="9">
        <v>12928.19</v>
      </c>
      <c r="J1442" s="7">
        <v>1</v>
      </c>
      <c r="K1442" s="9">
        <v>12928.19</v>
      </c>
      <c r="L1442" s="14">
        <v>0</v>
      </c>
      <c r="M1442" s="2" t="s">
        <v>71</v>
      </c>
      <c r="N1442" s="2" t="s">
        <v>12595</v>
      </c>
      <c r="O1442" s="2" t="s">
        <v>15537</v>
      </c>
      <c r="P1442" s="9">
        <v>0</v>
      </c>
      <c r="Q1442" s="9">
        <v>0</v>
      </c>
      <c r="R1442" s="2" t="s">
        <v>15335</v>
      </c>
    </row>
    <row r="1443" spans="1:18" x14ac:dyDescent="0.25">
      <c r="A1443" s="2" t="s">
        <v>7975</v>
      </c>
      <c r="B1443" s="6">
        <v>46174</v>
      </c>
      <c r="C1443" s="8">
        <v>46193</v>
      </c>
      <c r="D1443" s="2" t="s">
        <v>7433</v>
      </c>
      <c r="E1443" s="2" t="s">
        <v>12593</v>
      </c>
      <c r="F1443" s="2" t="s">
        <v>15336</v>
      </c>
      <c r="G1443" s="2" t="s">
        <v>15538</v>
      </c>
      <c r="H1443" s="2" t="s">
        <v>76</v>
      </c>
      <c r="I1443" s="9">
        <v>211280160</v>
      </c>
      <c r="J1443" s="7">
        <v>6.2500000000000001E-5</v>
      </c>
      <c r="K1443" s="9">
        <v>13205.01</v>
      </c>
      <c r="L1443" s="14">
        <v>0</v>
      </c>
      <c r="M1443" s="2" t="s">
        <v>71</v>
      </c>
      <c r="N1443" s="2" t="s">
        <v>12595</v>
      </c>
      <c r="O1443" s="2" t="s">
        <v>15539</v>
      </c>
      <c r="P1443" s="9">
        <v>0</v>
      </c>
      <c r="Q1443" s="9">
        <v>0</v>
      </c>
      <c r="R1443" s="2" t="s">
        <v>15339</v>
      </c>
    </row>
    <row r="1444" spans="1:18" x14ac:dyDescent="0.25">
      <c r="A1444" s="2" t="s">
        <v>7980</v>
      </c>
      <c r="B1444" s="6">
        <v>46174</v>
      </c>
      <c r="C1444" s="8">
        <v>46194</v>
      </c>
      <c r="D1444" s="2" t="s">
        <v>7433</v>
      </c>
      <c r="E1444" s="2" t="s">
        <v>12593</v>
      </c>
      <c r="F1444" s="2" t="s">
        <v>15300</v>
      </c>
      <c r="G1444" s="2" t="s">
        <v>15540</v>
      </c>
      <c r="H1444" s="2" t="s">
        <v>70</v>
      </c>
      <c r="I1444" s="9">
        <v>20273.413533999999</v>
      </c>
      <c r="J1444" s="7">
        <v>0.66500000000000004</v>
      </c>
      <c r="K1444" s="9">
        <v>13481.82</v>
      </c>
      <c r="L1444" s="14">
        <v>0</v>
      </c>
      <c r="M1444" s="2" t="s">
        <v>71</v>
      </c>
      <c r="N1444" s="2" t="s">
        <v>12595</v>
      </c>
      <c r="O1444" s="2" t="s">
        <v>15541</v>
      </c>
      <c r="P1444" s="9">
        <v>0</v>
      </c>
      <c r="Q1444" s="9">
        <v>0</v>
      </c>
      <c r="R1444" s="2" t="s">
        <v>15303</v>
      </c>
    </row>
    <row r="1445" spans="1:18" x14ac:dyDescent="0.25">
      <c r="A1445" s="2" t="s">
        <v>7985</v>
      </c>
      <c r="B1445" s="6">
        <v>46174</v>
      </c>
      <c r="C1445" s="8">
        <v>46195</v>
      </c>
      <c r="D1445" s="2" t="s">
        <v>7433</v>
      </c>
      <c r="E1445" s="2" t="s">
        <v>12593</v>
      </c>
      <c r="F1445" s="2" t="s">
        <v>15304</v>
      </c>
      <c r="G1445" s="2" t="s">
        <v>15542</v>
      </c>
      <c r="H1445" s="2" t="s">
        <v>39</v>
      </c>
      <c r="I1445" s="9">
        <v>13758.64</v>
      </c>
      <c r="J1445" s="7">
        <v>1</v>
      </c>
      <c r="K1445" s="9">
        <v>13758.64</v>
      </c>
      <c r="L1445" s="14">
        <v>0</v>
      </c>
      <c r="M1445" s="2" t="s">
        <v>71</v>
      </c>
      <c r="N1445" s="2" t="s">
        <v>12595</v>
      </c>
      <c r="O1445" s="2" t="s">
        <v>15543</v>
      </c>
      <c r="P1445" s="9">
        <v>0</v>
      </c>
      <c r="Q1445" s="9">
        <v>0</v>
      </c>
      <c r="R1445" s="2" t="s">
        <v>15307</v>
      </c>
    </row>
    <row r="1446" spans="1:18" x14ac:dyDescent="0.25">
      <c r="A1446" s="2" t="s">
        <v>7990</v>
      </c>
      <c r="B1446" s="6">
        <v>46174</v>
      </c>
      <c r="C1446" s="8">
        <v>46196</v>
      </c>
      <c r="D1446" s="2" t="s">
        <v>7433</v>
      </c>
      <c r="E1446" s="2" t="s">
        <v>12593</v>
      </c>
      <c r="F1446" s="2" t="s">
        <v>15308</v>
      </c>
      <c r="G1446" s="2" t="s">
        <v>15544</v>
      </c>
      <c r="H1446" s="2" t="s">
        <v>76</v>
      </c>
      <c r="I1446" s="9">
        <v>224567360</v>
      </c>
      <c r="J1446" s="7">
        <v>6.2500000000000001E-5</v>
      </c>
      <c r="K1446" s="9">
        <v>14035.46</v>
      </c>
      <c r="L1446" s="14">
        <v>0</v>
      </c>
      <c r="M1446" s="2" t="s">
        <v>71</v>
      </c>
      <c r="N1446" s="2" t="s">
        <v>12595</v>
      </c>
      <c r="O1446" s="2" t="s">
        <v>15545</v>
      </c>
      <c r="P1446" s="9">
        <v>0</v>
      </c>
      <c r="Q1446" s="9">
        <v>0</v>
      </c>
      <c r="R1446" s="2" t="s">
        <v>15311</v>
      </c>
    </row>
    <row r="1447" spans="1:18" x14ac:dyDescent="0.25">
      <c r="A1447" s="2" t="s">
        <v>7995</v>
      </c>
      <c r="B1447" s="6">
        <v>46174</v>
      </c>
      <c r="C1447" s="8">
        <v>46197</v>
      </c>
      <c r="D1447" s="2" t="s">
        <v>7433</v>
      </c>
      <c r="E1447" s="2" t="s">
        <v>12593</v>
      </c>
      <c r="F1447" s="2" t="s">
        <v>15312</v>
      </c>
      <c r="G1447" s="2" t="s">
        <v>15546</v>
      </c>
      <c r="H1447" s="2" t="s">
        <v>70</v>
      </c>
      <c r="I1447" s="9">
        <v>21522.210525999999</v>
      </c>
      <c r="J1447" s="7">
        <v>0.66500000000000004</v>
      </c>
      <c r="K1447" s="9">
        <v>14312.27</v>
      </c>
      <c r="L1447" s="14">
        <v>0</v>
      </c>
      <c r="M1447" s="2" t="s">
        <v>71</v>
      </c>
      <c r="N1447" s="2" t="s">
        <v>12595</v>
      </c>
      <c r="O1447" s="2" t="s">
        <v>15547</v>
      </c>
      <c r="P1447" s="9">
        <v>0</v>
      </c>
      <c r="Q1447" s="9">
        <v>0</v>
      </c>
      <c r="R1447" s="2" t="s">
        <v>15315</v>
      </c>
    </row>
    <row r="1448" spans="1:18" x14ac:dyDescent="0.25">
      <c r="A1448" s="2" t="s">
        <v>8000</v>
      </c>
      <c r="B1448" s="6">
        <v>46174</v>
      </c>
      <c r="C1448" s="8">
        <v>46198</v>
      </c>
      <c r="D1448" s="2" t="s">
        <v>7433</v>
      </c>
      <c r="E1448" s="2" t="s">
        <v>12593</v>
      </c>
      <c r="F1448" s="2" t="s">
        <v>15316</v>
      </c>
      <c r="G1448" s="2" t="s">
        <v>15548</v>
      </c>
      <c r="H1448" s="2" t="s">
        <v>39</v>
      </c>
      <c r="I1448" s="9">
        <v>14589.09</v>
      </c>
      <c r="J1448" s="7">
        <v>1</v>
      </c>
      <c r="K1448" s="9">
        <v>14589.09</v>
      </c>
      <c r="L1448" s="14">
        <v>0</v>
      </c>
      <c r="M1448" s="2" t="s">
        <v>71</v>
      </c>
      <c r="N1448" s="2" t="s">
        <v>12595</v>
      </c>
      <c r="O1448" s="2" t="s">
        <v>15549</v>
      </c>
      <c r="P1448" s="9">
        <v>0</v>
      </c>
      <c r="Q1448" s="9">
        <v>0</v>
      </c>
      <c r="R1448" s="2" t="s">
        <v>15319</v>
      </c>
    </row>
    <row r="1449" spans="1:18" x14ac:dyDescent="0.25">
      <c r="A1449" s="2" t="s">
        <v>8005</v>
      </c>
      <c r="B1449" s="6">
        <v>46174</v>
      </c>
      <c r="C1449" s="8">
        <v>46199</v>
      </c>
      <c r="D1449" s="2" t="s">
        <v>7433</v>
      </c>
      <c r="E1449" s="2" t="s">
        <v>12593</v>
      </c>
      <c r="F1449" s="2" t="s">
        <v>15320</v>
      </c>
      <c r="G1449" s="2" t="s">
        <v>15550</v>
      </c>
      <c r="H1449" s="2" t="s">
        <v>76</v>
      </c>
      <c r="I1449" s="9">
        <v>237854400</v>
      </c>
      <c r="J1449" s="7">
        <v>6.2500000000000001E-5</v>
      </c>
      <c r="K1449" s="9">
        <v>14865.9</v>
      </c>
      <c r="L1449" s="14">
        <v>0</v>
      </c>
      <c r="M1449" s="2" t="s">
        <v>71</v>
      </c>
      <c r="N1449" s="2" t="s">
        <v>12595</v>
      </c>
      <c r="O1449" s="2" t="s">
        <v>15551</v>
      </c>
      <c r="P1449" s="9">
        <v>0</v>
      </c>
      <c r="Q1449" s="9">
        <v>0</v>
      </c>
      <c r="R1449" s="2" t="s">
        <v>15323</v>
      </c>
    </row>
    <row r="1450" spans="1:18" x14ac:dyDescent="0.25">
      <c r="A1450" s="2" t="s">
        <v>8010</v>
      </c>
      <c r="B1450" s="6">
        <v>46174</v>
      </c>
      <c r="C1450" s="8">
        <v>46200</v>
      </c>
      <c r="D1450" s="2" t="s">
        <v>7433</v>
      </c>
      <c r="E1450" s="2" t="s">
        <v>12593</v>
      </c>
      <c r="F1450" s="2" t="s">
        <v>15324</v>
      </c>
      <c r="G1450" s="2" t="s">
        <v>15552</v>
      </c>
      <c r="H1450" s="2" t="s">
        <v>70</v>
      </c>
      <c r="I1450" s="9">
        <v>22771.007518999999</v>
      </c>
      <c r="J1450" s="7">
        <v>0.66500000000000004</v>
      </c>
      <c r="K1450" s="9">
        <v>15142.72</v>
      </c>
      <c r="L1450" s="14">
        <v>0</v>
      </c>
      <c r="M1450" s="2" t="s">
        <v>71</v>
      </c>
      <c r="N1450" s="2" t="s">
        <v>12595</v>
      </c>
      <c r="O1450" s="2" t="s">
        <v>15553</v>
      </c>
      <c r="P1450" s="9">
        <v>0</v>
      </c>
      <c r="Q1450" s="9">
        <v>0</v>
      </c>
      <c r="R1450" s="2" t="s">
        <v>15327</v>
      </c>
    </row>
    <row r="1451" spans="1:18" x14ac:dyDescent="0.25">
      <c r="A1451" s="2" t="s">
        <v>8015</v>
      </c>
      <c r="B1451" s="6">
        <v>46174</v>
      </c>
      <c r="C1451" s="8">
        <v>46201</v>
      </c>
      <c r="D1451" s="2" t="s">
        <v>7433</v>
      </c>
      <c r="E1451" s="2" t="s">
        <v>12593</v>
      </c>
      <c r="F1451" s="2" t="s">
        <v>15328</v>
      </c>
      <c r="G1451" s="2" t="s">
        <v>15554</v>
      </c>
      <c r="H1451" s="2" t="s">
        <v>39</v>
      </c>
      <c r="I1451" s="9">
        <v>15419.54</v>
      </c>
      <c r="J1451" s="7">
        <v>1</v>
      </c>
      <c r="K1451" s="9">
        <v>15419.54</v>
      </c>
      <c r="L1451" s="14">
        <v>0</v>
      </c>
      <c r="M1451" s="2" t="s">
        <v>71</v>
      </c>
      <c r="N1451" s="2" t="s">
        <v>12595</v>
      </c>
      <c r="O1451" s="2" t="s">
        <v>15555</v>
      </c>
      <c r="P1451" s="9">
        <v>0</v>
      </c>
      <c r="Q1451" s="9">
        <v>0</v>
      </c>
      <c r="R1451" s="2" t="s">
        <v>15331</v>
      </c>
    </row>
    <row r="1452" spans="1:18" x14ac:dyDescent="0.25">
      <c r="A1452" s="2" t="s">
        <v>8020</v>
      </c>
      <c r="B1452" s="6">
        <v>46174</v>
      </c>
      <c r="C1452" s="8">
        <v>46202</v>
      </c>
      <c r="D1452" s="2" t="s">
        <v>7433</v>
      </c>
      <c r="E1452" s="2" t="s">
        <v>12593</v>
      </c>
      <c r="F1452" s="2" t="s">
        <v>15332</v>
      </c>
      <c r="G1452" s="2" t="s">
        <v>15556</v>
      </c>
      <c r="H1452" s="2" t="s">
        <v>76</v>
      </c>
      <c r="I1452" s="9">
        <v>251141600</v>
      </c>
      <c r="J1452" s="7">
        <v>6.2500000000000001E-5</v>
      </c>
      <c r="K1452" s="9">
        <v>15696.35</v>
      </c>
      <c r="L1452" s="14">
        <v>0</v>
      </c>
      <c r="M1452" s="2" t="s">
        <v>71</v>
      </c>
      <c r="N1452" s="2" t="s">
        <v>12595</v>
      </c>
      <c r="O1452" s="2" t="s">
        <v>15557</v>
      </c>
      <c r="P1452" s="9">
        <v>0</v>
      </c>
      <c r="Q1452" s="9">
        <v>0</v>
      </c>
      <c r="R1452" s="2" t="s">
        <v>15335</v>
      </c>
    </row>
    <row r="1453" spans="1:18" x14ac:dyDescent="0.25">
      <c r="A1453" s="2" t="s">
        <v>8025</v>
      </c>
      <c r="B1453" s="6">
        <v>46174</v>
      </c>
      <c r="C1453" s="8">
        <v>46203</v>
      </c>
      <c r="D1453" s="2" t="s">
        <v>7433</v>
      </c>
      <c r="E1453" s="2" t="s">
        <v>12593</v>
      </c>
      <c r="F1453" s="2" t="s">
        <v>15336</v>
      </c>
      <c r="G1453" s="2" t="s">
        <v>15558</v>
      </c>
      <c r="H1453" s="2" t="s">
        <v>70</v>
      </c>
      <c r="I1453" s="9">
        <v>24019.804510999998</v>
      </c>
      <c r="J1453" s="7">
        <v>0.66500000000000004</v>
      </c>
      <c r="K1453" s="9">
        <v>15973.17</v>
      </c>
      <c r="L1453" s="14">
        <v>0</v>
      </c>
      <c r="M1453" s="2" t="s">
        <v>71</v>
      </c>
      <c r="N1453" s="2" t="s">
        <v>12595</v>
      </c>
      <c r="O1453" s="2" t="s">
        <v>15559</v>
      </c>
      <c r="P1453" s="9">
        <v>0</v>
      </c>
      <c r="Q1453" s="9">
        <v>0</v>
      </c>
      <c r="R1453" s="2" t="s">
        <v>15339</v>
      </c>
    </row>
    <row r="1454" spans="1:18" x14ac:dyDescent="0.25">
      <c r="A1454" s="2" t="s">
        <v>8030</v>
      </c>
      <c r="B1454" s="6">
        <v>46174</v>
      </c>
      <c r="C1454" s="8">
        <v>46174</v>
      </c>
      <c r="D1454" s="2" t="s">
        <v>7433</v>
      </c>
      <c r="E1454" s="2" t="s">
        <v>12593</v>
      </c>
      <c r="F1454" s="2" t="s">
        <v>15300</v>
      </c>
      <c r="G1454" s="2" t="s">
        <v>15560</v>
      </c>
      <c r="H1454" s="2" t="s">
        <v>39</v>
      </c>
      <c r="I1454" s="9">
        <v>16249.98</v>
      </c>
      <c r="J1454" s="7">
        <v>1</v>
      </c>
      <c r="K1454" s="9">
        <v>16249.98</v>
      </c>
      <c r="L1454" s="14">
        <v>0</v>
      </c>
      <c r="M1454" s="2" t="s">
        <v>71</v>
      </c>
      <c r="N1454" s="2" t="s">
        <v>12595</v>
      </c>
      <c r="O1454" s="2" t="s">
        <v>15561</v>
      </c>
      <c r="P1454" s="9">
        <v>0</v>
      </c>
      <c r="Q1454" s="9">
        <v>0</v>
      </c>
      <c r="R1454" s="2" t="s">
        <v>15303</v>
      </c>
    </row>
    <row r="1455" spans="1:18" x14ac:dyDescent="0.25">
      <c r="A1455" s="2" t="s">
        <v>8035</v>
      </c>
      <c r="B1455" s="6">
        <v>46174</v>
      </c>
      <c r="C1455" s="8">
        <v>46175</v>
      </c>
      <c r="D1455" s="2" t="s">
        <v>7433</v>
      </c>
      <c r="E1455" s="2" t="s">
        <v>12593</v>
      </c>
      <c r="F1455" s="2" t="s">
        <v>15304</v>
      </c>
      <c r="G1455" s="2" t="s">
        <v>15562</v>
      </c>
      <c r="H1455" s="2" t="s">
        <v>76</v>
      </c>
      <c r="I1455" s="9">
        <v>264428800</v>
      </c>
      <c r="J1455" s="7">
        <v>6.2500000000000001E-5</v>
      </c>
      <c r="K1455" s="9">
        <v>16526.8</v>
      </c>
      <c r="L1455" s="14">
        <v>0</v>
      </c>
      <c r="M1455" s="2" t="s">
        <v>71</v>
      </c>
      <c r="N1455" s="2" t="s">
        <v>12595</v>
      </c>
      <c r="O1455" s="2" t="s">
        <v>15563</v>
      </c>
      <c r="P1455" s="9">
        <v>0</v>
      </c>
      <c r="Q1455" s="9">
        <v>0</v>
      </c>
      <c r="R1455" s="2" t="s">
        <v>15307</v>
      </c>
    </row>
    <row r="1456" spans="1:18" x14ac:dyDescent="0.25">
      <c r="A1456" s="2" t="s">
        <v>8040</v>
      </c>
      <c r="B1456" s="6">
        <v>46174</v>
      </c>
      <c r="C1456" s="8">
        <v>46176</v>
      </c>
      <c r="D1456" s="2" t="s">
        <v>7433</v>
      </c>
      <c r="E1456" s="2" t="s">
        <v>12593</v>
      </c>
      <c r="F1456" s="2" t="s">
        <v>15308</v>
      </c>
      <c r="G1456" s="2" t="s">
        <v>15564</v>
      </c>
      <c r="H1456" s="2" t="s">
        <v>70</v>
      </c>
      <c r="I1456" s="9">
        <v>-25268.601503999998</v>
      </c>
      <c r="J1456" s="7">
        <v>0.66500000000000004</v>
      </c>
      <c r="K1456" s="9">
        <v>-16803.62</v>
      </c>
      <c r="L1456" s="14">
        <v>0</v>
      </c>
      <c r="M1456" s="2" t="s">
        <v>71</v>
      </c>
      <c r="N1456" s="2" t="s">
        <v>12595</v>
      </c>
      <c r="O1456" s="2" t="s">
        <v>15565</v>
      </c>
      <c r="P1456" s="9">
        <v>0</v>
      </c>
      <c r="Q1456" s="9">
        <v>0</v>
      </c>
      <c r="R1456" s="2" t="s">
        <v>15311</v>
      </c>
    </row>
    <row r="1457" spans="1:18" x14ac:dyDescent="0.25">
      <c r="A1457" s="2" t="s">
        <v>8043</v>
      </c>
      <c r="B1457" s="6">
        <v>46174</v>
      </c>
      <c r="C1457" s="8">
        <v>46177</v>
      </c>
      <c r="D1457" s="2" t="s">
        <v>7433</v>
      </c>
      <c r="E1457" s="2" t="s">
        <v>12593</v>
      </c>
      <c r="F1457" s="2" t="s">
        <v>15312</v>
      </c>
      <c r="G1457" s="2" t="s">
        <v>15566</v>
      </c>
      <c r="H1457" s="2" t="s">
        <v>39</v>
      </c>
      <c r="I1457" s="9">
        <v>17080.43</v>
      </c>
      <c r="J1457" s="7">
        <v>1</v>
      </c>
      <c r="K1457" s="9">
        <v>17080.43</v>
      </c>
      <c r="L1457" s="14">
        <v>0</v>
      </c>
      <c r="M1457" s="2" t="s">
        <v>71</v>
      </c>
      <c r="N1457" s="2" t="s">
        <v>12595</v>
      </c>
      <c r="O1457" s="2" t="s">
        <v>15567</v>
      </c>
      <c r="P1457" s="9">
        <v>0</v>
      </c>
      <c r="Q1457" s="9">
        <v>0</v>
      </c>
      <c r="R1457" s="2" t="s">
        <v>15315</v>
      </c>
    </row>
    <row r="1458" spans="1:18" x14ac:dyDescent="0.25">
      <c r="A1458" s="2" t="s">
        <v>8048</v>
      </c>
      <c r="B1458" s="6">
        <v>46174</v>
      </c>
      <c r="C1458" s="8">
        <v>46178</v>
      </c>
      <c r="D1458" s="2" t="s">
        <v>7433</v>
      </c>
      <c r="E1458" s="2" t="s">
        <v>12593</v>
      </c>
      <c r="F1458" s="2" t="s">
        <v>15316</v>
      </c>
      <c r="G1458" s="2" t="s">
        <v>15568</v>
      </c>
      <c r="H1458" s="2" t="s">
        <v>76</v>
      </c>
      <c r="I1458" s="9">
        <v>277716000</v>
      </c>
      <c r="J1458" s="7">
        <v>6.2500000000000001E-5</v>
      </c>
      <c r="K1458" s="9">
        <v>17357.25</v>
      </c>
      <c r="L1458" s="14">
        <v>0</v>
      </c>
      <c r="M1458" s="2" t="s">
        <v>71</v>
      </c>
      <c r="N1458" s="2" t="s">
        <v>12595</v>
      </c>
      <c r="O1458" s="2" t="s">
        <v>15569</v>
      </c>
      <c r="P1458" s="9">
        <v>0</v>
      </c>
      <c r="Q1458" s="9">
        <v>0</v>
      </c>
      <c r="R1458" s="2" t="s">
        <v>15319</v>
      </c>
    </row>
    <row r="1459" spans="1:18" x14ac:dyDescent="0.25">
      <c r="A1459" s="2" t="s">
        <v>8053</v>
      </c>
      <c r="B1459" s="6">
        <v>46174</v>
      </c>
      <c r="C1459" s="8">
        <v>46179</v>
      </c>
      <c r="D1459" s="2" t="s">
        <v>7433</v>
      </c>
      <c r="E1459" s="2" t="s">
        <v>12593</v>
      </c>
      <c r="F1459" s="2" t="s">
        <v>15320</v>
      </c>
      <c r="G1459" s="2" t="s">
        <v>15570</v>
      </c>
      <c r="H1459" s="2" t="s">
        <v>70</v>
      </c>
      <c r="I1459" s="9">
        <v>26517.383459000001</v>
      </c>
      <c r="J1459" s="7">
        <v>0.66500000000000004</v>
      </c>
      <c r="K1459" s="9">
        <v>17634.060000000001</v>
      </c>
      <c r="L1459" s="14">
        <v>0</v>
      </c>
      <c r="M1459" s="2" t="s">
        <v>71</v>
      </c>
      <c r="N1459" s="2" t="s">
        <v>12595</v>
      </c>
      <c r="O1459" s="2" t="s">
        <v>15571</v>
      </c>
      <c r="P1459" s="9">
        <v>0</v>
      </c>
      <c r="Q1459" s="9">
        <v>0</v>
      </c>
      <c r="R1459" s="2" t="s">
        <v>15323</v>
      </c>
    </row>
    <row r="1460" spans="1:18" x14ac:dyDescent="0.25">
      <c r="A1460" s="2" t="s">
        <v>8058</v>
      </c>
      <c r="B1460" s="6">
        <v>46174</v>
      </c>
      <c r="C1460" s="8">
        <v>46180</v>
      </c>
      <c r="D1460" s="2" t="s">
        <v>7433</v>
      </c>
      <c r="E1460" s="2" t="s">
        <v>12593</v>
      </c>
      <c r="F1460" s="2" t="s">
        <v>15324</v>
      </c>
      <c r="G1460" s="2" t="s">
        <v>15572</v>
      </c>
      <c r="H1460" s="2" t="s">
        <v>39</v>
      </c>
      <c r="I1460" s="9">
        <v>17910.88</v>
      </c>
      <c r="J1460" s="7">
        <v>1</v>
      </c>
      <c r="K1460" s="9">
        <v>17910.88</v>
      </c>
      <c r="L1460" s="14">
        <v>0</v>
      </c>
      <c r="M1460" s="2" t="s">
        <v>71</v>
      </c>
      <c r="N1460" s="2" t="s">
        <v>12595</v>
      </c>
      <c r="O1460" s="2" t="s">
        <v>15573</v>
      </c>
      <c r="P1460" s="9">
        <v>0</v>
      </c>
      <c r="Q1460" s="9">
        <v>0</v>
      </c>
      <c r="R1460" s="2" t="s">
        <v>15327</v>
      </c>
    </row>
    <row r="1461" spans="1:18" x14ac:dyDescent="0.25">
      <c r="A1461" s="2" t="s">
        <v>8063</v>
      </c>
      <c r="B1461" s="6">
        <v>46174</v>
      </c>
      <c r="C1461" s="8">
        <v>46181</v>
      </c>
      <c r="D1461" s="2" t="s">
        <v>7433</v>
      </c>
      <c r="E1461" s="2" t="s">
        <v>12593</v>
      </c>
      <c r="F1461" s="2" t="s">
        <v>15328</v>
      </c>
      <c r="G1461" s="2" t="s">
        <v>15574</v>
      </c>
      <c r="H1461" s="2" t="s">
        <v>76</v>
      </c>
      <c r="I1461" s="9">
        <v>291003200</v>
      </c>
      <c r="J1461" s="7">
        <v>6.2500000000000001E-5</v>
      </c>
      <c r="K1461" s="9">
        <v>18187.7</v>
      </c>
      <c r="L1461" s="14">
        <v>0</v>
      </c>
      <c r="M1461" s="2" t="s">
        <v>71</v>
      </c>
      <c r="N1461" s="2" t="s">
        <v>12595</v>
      </c>
      <c r="O1461" s="2" t="s">
        <v>15575</v>
      </c>
      <c r="P1461" s="9">
        <v>0</v>
      </c>
      <c r="Q1461" s="9">
        <v>0</v>
      </c>
      <c r="R1461" s="2" t="s">
        <v>15331</v>
      </c>
    </row>
    <row r="1462" spans="1:18" x14ac:dyDescent="0.25">
      <c r="A1462" s="2" t="s">
        <v>8068</v>
      </c>
      <c r="B1462" s="6">
        <v>46174</v>
      </c>
      <c r="C1462" s="8">
        <v>46182</v>
      </c>
      <c r="D1462" s="2" t="s">
        <v>7433</v>
      </c>
      <c r="E1462" s="2" t="s">
        <v>12593</v>
      </c>
      <c r="F1462" s="2" t="s">
        <v>15332</v>
      </c>
      <c r="G1462" s="2" t="s">
        <v>15576</v>
      </c>
      <c r="H1462" s="2" t="s">
        <v>70</v>
      </c>
      <c r="I1462" s="9">
        <v>27766.180451</v>
      </c>
      <c r="J1462" s="7">
        <v>0.66500000000000004</v>
      </c>
      <c r="K1462" s="9">
        <v>18464.509999999998</v>
      </c>
      <c r="L1462" s="14">
        <v>0</v>
      </c>
      <c r="M1462" s="2" t="s">
        <v>71</v>
      </c>
      <c r="N1462" s="2" t="s">
        <v>12595</v>
      </c>
      <c r="O1462" s="2" t="s">
        <v>15577</v>
      </c>
      <c r="P1462" s="9">
        <v>0</v>
      </c>
      <c r="Q1462" s="9">
        <v>0</v>
      </c>
      <c r="R1462" s="2" t="s">
        <v>15335</v>
      </c>
    </row>
    <row r="1463" spans="1:18" x14ac:dyDescent="0.25">
      <c r="A1463" s="2" t="s">
        <v>8073</v>
      </c>
      <c r="B1463" s="6">
        <v>46174</v>
      </c>
      <c r="C1463" s="8">
        <v>46183</v>
      </c>
      <c r="D1463" s="2" t="s">
        <v>7433</v>
      </c>
      <c r="E1463" s="2" t="s">
        <v>12593</v>
      </c>
      <c r="F1463" s="2" t="s">
        <v>15336</v>
      </c>
      <c r="G1463" s="2" t="s">
        <v>15578</v>
      </c>
      <c r="H1463" s="2" t="s">
        <v>39</v>
      </c>
      <c r="I1463" s="9">
        <v>18741.330000000002</v>
      </c>
      <c r="J1463" s="7">
        <v>1</v>
      </c>
      <c r="K1463" s="9">
        <v>18741.330000000002</v>
      </c>
      <c r="L1463" s="14">
        <v>0</v>
      </c>
      <c r="M1463" s="2" t="s">
        <v>71</v>
      </c>
      <c r="N1463" s="2" t="s">
        <v>12595</v>
      </c>
      <c r="O1463" s="2" t="s">
        <v>15579</v>
      </c>
      <c r="P1463" s="9">
        <v>0</v>
      </c>
      <c r="Q1463" s="9">
        <v>0</v>
      </c>
      <c r="R1463" s="2" t="s">
        <v>15339</v>
      </c>
    </row>
    <row r="1464" spans="1:18" x14ac:dyDescent="0.25">
      <c r="A1464" s="2" t="s">
        <v>8078</v>
      </c>
      <c r="B1464" s="6">
        <v>46174</v>
      </c>
      <c r="C1464" s="8">
        <v>46184</v>
      </c>
      <c r="D1464" s="2" t="s">
        <v>7433</v>
      </c>
      <c r="E1464" s="2" t="s">
        <v>12593</v>
      </c>
      <c r="F1464" s="2" t="s">
        <v>15300</v>
      </c>
      <c r="G1464" s="2" t="s">
        <v>15580</v>
      </c>
      <c r="H1464" s="2" t="s">
        <v>76</v>
      </c>
      <c r="I1464" s="9">
        <v>304290240</v>
      </c>
      <c r="J1464" s="7">
        <v>6.2500000000000001E-5</v>
      </c>
      <c r="K1464" s="9">
        <v>19018.14</v>
      </c>
      <c r="L1464" s="14">
        <v>0</v>
      </c>
      <c r="M1464" s="2" t="s">
        <v>71</v>
      </c>
      <c r="N1464" s="2" t="s">
        <v>12595</v>
      </c>
      <c r="O1464" s="2" t="s">
        <v>15581</v>
      </c>
      <c r="P1464" s="9">
        <v>0</v>
      </c>
      <c r="Q1464" s="9">
        <v>0</v>
      </c>
      <c r="R1464" s="2" t="s">
        <v>15303</v>
      </c>
    </row>
    <row r="1465" spans="1:18" x14ac:dyDescent="0.25">
      <c r="A1465" s="2" t="s">
        <v>8083</v>
      </c>
      <c r="B1465" s="6">
        <v>46174</v>
      </c>
      <c r="C1465" s="8">
        <v>46185</v>
      </c>
      <c r="D1465" s="2" t="s">
        <v>7433</v>
      </c>
      <c r="E1465" s="2" t="s">
        <v>12593</v>
      </c>
      <c r="F1465" s="2" t="s">
        <v>15304</v>
      </c>
      <c r="G1465" s="2" t="s">
        <v>15582</v>
      </c>
      <c r="H1465" s="2" t="s">
        <v>70</v>
      </c>
      <c r="I1465" s="9">
        <v>29014.977444</v>
      </c>
      <c r="J1465" s="7">
        <v>0.66500000000000004</v>
      </c>
      <c r="K1465" s="9">
        <v>19294.96</v>
      </c>
      <c r="L1465" s="14">
        <v>0</v>
      </c>
      <c r="M1465" s="2" t="s">
        <v>71</v>
      </c>
      <c r="N1465" s="2" t="s">
        <v>12595</v>
      </c>
      <c r="O1465" s="2" t="s">
        <v>15583</v>
      </c>
      <c r="P1465" s="9">
        <v>0</v>
      </c>
      <c r="Q1465" s="9">
        <v>0</v>
      </c>
      <c r="R1465" s="2" t="s">
        <v>15307</v>
      </c>
    </row>
    <row r="1466" spans="1:18" x14ac:dyDescent="0.25">
      <c r="A1466" s="2" t="s">
        <v>8088</v>
      </c>
      <c r="B1466" s="6">
        <v>46174</v>
      </c>
      <c r="C1466" s="8">
        <v>46186</v>
      </c>
      <c r="D1466" s="2" t="s">
        <v>7433</v>
      </c>
      <c r="E1466" s="2" t="s">
        <v>12593</v>
      </c>
      <c r="F1466" s="2" t="s">
        <v>15308</v>
      </c>
      <c r="G1466" s="2" t="s">
        <v>15584</v>
      </c>
      <c r="H1466" s="2" t="s">
        <v>39</v>
      </c>
      <c r="I1466" s="9">
        <v>19571.78</v>
      </c>
      <c r="J1466" s="7">
        <v>1</v>
      </c>
      <c r="K1466" s="9">
        <v>19571.78</v>
      </c>
      <c r="L1466" s="14">
        <v>0</v>
      </c>
      <c r="M1466" s="2" t="s">
        <v>71</v>
      </c>
      <c r="N1466" s="2" t="s">
        <v>12595</v>
      </c>
      <c r="O1466" s="2" t="s">
        <v>15585</v>
      </c>
      <c r="P1466" s="9">
        <v>0</v>
      </c>
      <c r="Q1466" s="9">
        <v>0</v>
      </c>
      <c r="R1466" s="2" t="s">
        <v>15311</v>
      </c>
    </row>
    <row r="1467" spans="1:18" x14ac:dyDescent="0.25">
      <c r="A1467" s="2" t="s">
        <v>8093</v>
      </c>
      <c r="B1467" s="6">
        <v>46174</v>
      </c>
      <c r="C1467" s="8">
        <v>46187</v>
      </c>
      <c r="D1467" s="2" t="s">
        <v>7433</v>
      </c>
      <c r="E1467" s="2" t="s">
        <v>12593</v>
      </c>
      <c r="F1467" s="2" t="s">
        <v>15312</v>
      </c>
      <c r="G1467" s="2" t="s">
        <v>15586</v>
      </c>
      <c r="H1467" s="2" t="s">
        <v>76</v>
      </c>
      <c r="I1467" s="9">
        <v>317577440</v>
      </c>
      <c r="J1467" s="7">
        <v>6.2500000000000001E-5</v>
      </c>
      <c r="K1467" s="9">
        <v>19848.59</v>
      </c>
      <c r="L1467" s="14">
        <v>0</v>
      </c>
      <c r="M1467" s="2" t="s">
        <v>71</v>
      </c>
      <c r="N1467" s="2" t="s">
        <v>12595</v>
      </c>
      <c r="O1467" s="2" t="s">
        <v>15587</v>
      </c>
      <c r="P1467" s="9">
        <v>0</v>
      </c>
      <c r="Q1467" s="9">
        <v>0</v>
      </c>
      <c r="R1467" s="2" t="s">
        <v>15315</v>
      </c>
    </row>
    <row r="1468" spans="1:18" x14ac:dyDescent="0.25">
      <c r="A1468" s="2" t="s">
        <v>8098</v>
      </c>
      <c r="B1468" s="6">
        <v>46174</v>
      </c>
      <c r="C1468" s="8">
        <v>46188</v>
      </c>
      <c r="D1468" s="2" t="s">
        <v>7433</v>
      </c>
      <c r="E1468" s="2" t="s">
        <v>12593</v>
      </c>
      <c r="F1468" s="2" t="s">
        <v>15316</v>
      </c>
      <c r="G1468" s="2" t="s">
        <v>15588</v>
      </c>
      <c r="H1468" s="2" t="s">
        <v>70</v>
      </c>
      <c r="I1468" s="9">
        <v>30263.774436</v>
      </c>
      <c r="J1468" s="7">
        <v>0.66500000000000004</v>
      </c>
      <c r="K1468" s="9">
        <v>20125.41</v>
      </c>
      <c r="L1468" s="14">
        <v>0</v>
      </c>
      <c r="M1468" s="2" t="s">
        <v>71</v>
      </c>
      <c r="N1468" s="2" t="s">
        <v>12595</v>
      </c>
      <c r="O1468" s="2" t="s">
        <v>15589</v>
      </c>
      <c r="P1468" s="9">
        <v>0</v>
      </c>
      <c r="Q1468" s="9">
        <v>0</v>
      </c>
      <c r="R1468" s="2" t="s">
        <v>15319</v>
      </c>
    </row>
    <row r="1469" spans="1:18" x14ac:dyDescent="0.25">
      <c r="A1469" s="2" t="s">
        <v>8103</v>
      </c>
      <c r="B1469" s="6">
        <v>46174</v>
      </c>
      <c r="C1469" s="8">
        <v>46189</v>
      </c>
      <c r="D1469" s="2" t="s">
        <v>7433</v>
      </c>
      <c r="E1469" s="2" t="s">
        <v>12593</v>
      </c>
      <c r="F1469" s="2" t="s">
        <v>15320</v>
      </c>
      <c r="G1469" s="2" t="s">
        <v>15590</v>
      </c>
      <c r="H1469" s="2" t="s">
        <v>39</v>
      </c>
      <c r="I1469" s="9">
        <v>20402.22</v>
      </c>
      <c r="J1469" s="7">
        <v>1</v>
      </c>
      <c r="K1469" s="9">
        <v>20402.22</v>
      </c>
      <c r="L1469" s="14">
        <v>0</v>
      </c>
      <c r="M1469" s="2" t="s">
        <v>71</v>
      </c>
      <c r="N1469" s="2" t="s">
        <v>12595</v>
      </c>
      <c r="O1469" s="2" t="s">
        <v>15591</v>
      </c>
      <c r="P1469" s="9">
        <v>0</v>
      </c>
      <c r="Q1469" s="9">
        <v>0</v>
      </c>
      <c r="R1469" s="2" t="s">
        <v>15323</v>
      </c>
    </row>
    <row r="1470" spans="1:18" x14ac:dyDescent="0.25">
      <c r="A1470" s="2" t="s">
        <v>8108</v>
      </c>
      <c r="B1470" s="6">
        <v>46174</v>
      </c>
      <c r="C1470" s="8">
        <v>46190</v>
      </c>
      <c r="D1470" s="2" t="s">
        <v>7433</v>
      </c>
      <c r="E1470" s="2" t="s">
        <v>12593</v>
      </c>
      <c r="F1470" s="2" t="s">
        <v>15324</v>
      </c>
      <c r="G1470" s="2" t="s">
        <v>15592</v>
      </c>
      <c r="H1470" s="2" t="s">
        <v>76</v>
      </c>
      <c r="I1470" s="9">
        <v>330864640</v>
      </c>
      <c r="J1470" s="7">
        <v>6.2500000000000001E-5</v>
      </c>
      <c r="K1470" s="9">
        <v>20679.04</v>
      </c>
      <c r="L1470" s="14">
        <v>0</v>
      </c>
      <c r="M1470" s="2" t="s">
        <v>71</v>
      </c>
      <c r="N1470" s="2" t="s">
        <v>12595</v>
      </c>
      <c r="O1470" s="2" t="s">
        <v>15593</v>
      </c>
      <c r="P1470" s="9">
        <v>0</v>
      </c>
      <c r="Q1470" s="9">
        <v>0</v>
      </c>
      <c r="R1470" s="2" t="s">
        <v>15327</v>
      </c>
    </row>
    <row r="1471" spans="1:18" x14ac:dyDescent="0.25">
      <c r="A1471" s="2" t="s">
        <v>8113</v>
      </c>
      <c r="B1471" s="6">
        <v>46174</v>
      </c>
      <c r="C1471" s="8">
        <v>46191</v>
      </c>
      <c r="D1471" s="2" t="s">
        <v>7433</v>
      </c>
      <c r="E1471" s="2" t="s">
        <v>12593</v>
      </c>
      <c r="F1471" s="2" t="s">
        <v>15328</v>
      </c>
      <c r="G1471" s="2" t="s">
        <v>15594</v>
      </c>
      <c r="H1471" s="2" t="s">
        <v>70</v>
      </c>
      <c r="I1471" s="9">
        <v>31512.571429</v>
      </c>
      <c r="J1471" s="7">
        <v>0.66500000000000004</v>
      </c>
      <c r="K1471" s="9">
        <v>20955.86</v>
      </c>
      <c r="L1471" s="14">
        <v>0</v>
      </c>
      <c r="M1471" s="2" t="s">
        <v>71</v>
      </c>
      <c r="N1471" s="2" t="s">
        <v>12595</v>
      </c>
      <c r="O1471" s="2" t="s">
        <v>15595</v>
      </c>
      <c r="P1471" s="9">
        <v>0</v>
      </c>
      <c r="Q1471" s="9">
        <v>0</v>
      </c>
      <c r="R1471" s="2" t="s">
        <v>15331</v>
      </c>
    </row>
    <row r="1472" spans="1:18" x14ac:dyDescent="0.25">
      <c r="A1472" s="2" t="s">
        <v>8118</v>
      </c>
      <c r="B1472" s="6">
        <v>46174</v>
      </c>
      <c r="C1472" s="8">
        <v>46192</v>
      </c>
      <c r="D1472" s="2" t="s">
        <v>7433</v>
      </c>
      <c r="E1472" s="2" t="s">
        <v>12593</v>
      </c>
      <c r="F1472" s="2" t="s">
        <v>15332</v>
      </c>
      <c r="G1472" s="2" t="s">
        <v>15596</v>
      </c>
      <c r="H1472" s="2" t="s">
        <v>39</v>
      </c>
      <c r="I1472" s="9">
        <v>21232.67</v>
      </c>
      <c r="J1472" s="7">
        <v>1</v>
      </c>
      <c r="K1472" s="9">
        <v>21232.67</v>
      </c>
      <c r="L1472" s="14">
        <v>0</v>
      </c>
      <c r="M1472" s="2" t="s">
        <v>71</v>
      </c>
      <c r="N1472" s="2" t="s">
        <v>12595</v>
      </c>
      <c r="O1472" s="2" t="s">
        <v>15597</v>
      </c>
      <c r="P1472" s="9">
        <v>0</v>
      </c>
      <c r="Q1472" s="9">
        <v>0</v>
      </c>
      <c r="R1472" s="2" t="s">
        <v>15335</v>
      </c>
    </row>
    <row r="1473" spans="1:18" x14ac:dyDescent="0.25">
      <c r="A1473" s="2" t="s">
        <v>8123</v>
      </c>
      <c r="B1473" s="6">
        <v>46174</v>
      </c>
      <c r="C1473" s="8">
        <v>46193</v>
      </c>
      <c r="D1473" s="2" t="s">
        <v>7433</v>
      </c>
      <c r="E1473" s="2" t="s">
        <v>12593</v>
      </c>
      <c r="F1473" s="2" t="s">
        <v>15336</v>
      </c>
      <c r="G1473" s="2" t="s">
        <v>15598</v>
      </c>
      <c r="H1473" s="2" t="s">
        <v>76</v>
      </c>
      <c r="I1473" s="9">
        <v>344151840</v>
      </c>
      <c r="J1473" s="7">
        <v>6.2500000000000001E-5</v>
      </c>
      <c r="K1473" s="9">
        <v>21509.49</v>
      </c>
      <c r="L1473" s="14">
        <v>0</v>
      </c>
      <c r="M1473" s="2" t="s">
        <v>71</v>
      </c>
      <c r="N1473" s="2" t="s">
        <v>12595</v>
      </c>
      <c r="O1473" s="2" t="s">
        <v>15599</v>
      </c>
      <c r="P1473" s="9">
        <v>0</v>
      </c>
      <c r="Q1473" s="9">
        <v>0</v>
      </c>
      <c r="R1473" s="2" t="s">
        <v>15339</v>
      </c>
    </row>
    <row r="1474" spans="1:18" x14ac:dyDescent="0.25">
      <c r="A1474" s="2" t="s">
        <v>8128</v>
      </c>
      <c r="B1474" s="6">
        <v>46174</v>
      </c>
      <c r="C1474" s="8">
        <v>46194</v>
      </c>
      <c r="D1474" s="2" t="s">
        <v>7433</v>
      </c>
      <c r="E1474" s="2" t="s">
        <v>12593</v>
      </c>
      <c r="F1474" s="2" t="s">
        <v>15300</v>
      </c>
      <c r="G1474" s="2" t="s">
        <v>15600</v>
      </c>
      <c r="H1474" s="2" t="s">
        <v>70</v>
      </c>
      <c r="I1474" s="9">
        <v>32761.353383000001</v>
      </c>
      <c r="J1474" s="7">
        <v>0.66500000000000004</v>
      </c>
      <c r="K1474" s="9">
        <v>21786.3</v>
      </c>
      <c r="L1474" s="14">
        <v>0</v>
      </c>
      <c r="M1474" s="2" t="s">
        <v>71</v>
      </c>
      <c r="N1474" s="2" t="s">
        <v>12595</v>
      </c>
      <c r="O1474" s="2" t="s">
        <v>15601</v>
      </c>
      <c r="P1474" s="9">
        <v>0</v>
      </c>
      <c r="Q1474" s="9">
        <v>0</v>
      </c>
      <c r="R1474" s="2" t="s">
        <v>15303</v>
      </c>
    </row>
    <row r="1475" spans="1:18" x14ac:dyDescent="0.25">
      <c r="A1475" s="2" t="s">
        <v>8133</v>
      </c>
      <c r="B1475" s="6">
        <v>46174</v>
      </c>
      <c r="C1475" s="8">
        <v>46195</v>
      </c>
      <c r="D1475" s="2" t="s">
        <v>7433</v>
      </c>
      <c r="E1475" s="2" t="s">
        <v>12593</v>
      </c>
      <c r="F1475" s="2" t="s">
        <v>15304</v>
      </c>
      <c r="G1475" s="2" t="s">
        <v>15602</v>
      </c>
      <c r="H1475" s="2" t="s">
        <v>39</v>
      </c>
      <c r="I1475" s="9">
        <v>22063.119999999999</v>
      </c>
      <c r="J1475" s="7">
        <v>1</v>
      </c>
      <c r="K1475" s="9">
        <v>22063.119999999999</v>
      </c>
      <c r="L1475" s="14">
        <v>0</v>
      </c>
      <c r="M1475" s="2" t="s">
        <v>71</v>
      </c>
      <c r="N1475" s="2" t="s">
        <v>12595</v>
      </c>
      <c r="O1475" s="2" t="s">
        <v>15603</v>
      </c>
      <c r="P1475" s="9">
        <v>0</v>
      </c>
      <c r="Q1475" s="9">
        <v>0</v>
      </c>
      <c r="R1475" s="2" t="s">
        <v>15307</v>
      </c>
    </row>
    <row r="1476" spans="1:18" x14ac:dyDescent="0.25">
      <c r="A1476" s="2" t="s">
        <v>8138</v>
      </c>
      <c r="B1476" s="6">
        <v>46174</v>
      </c>
      <c r="C1476" s="8">
        <v>46196</v>
      </c>
      <c r="D1476" s="2" t="s">
        <v>7433</v>
      </c>
      <c r="E1476" s="2" t="s">
        <v>12593</v>
      </c>
      <c r="F1476" s="2" t="s">
        <v>15308</v>
      </c>
      <c r="G1476" s="2" t="s">
        <v>15604</v>
      </c>
      <c r="H1476" s="2" t="s">
        <v>76</v>
      </c>
      <c r="I1476" s="9">
        <v>357439040</v>
      </c>
      <c r="J1476" s="7">
        <v>6.2500000000000001E-5</v>
      </c>
      <c r="K1476" s="9">
        <v>22339.94</v>
      </c>
      <c r="L1476" s="14">
        <v>0</v>
      </c>
      <c r="M1476" s="2" t="s">
        <v>71</v>
      </c>
      <c r="N1476" s="2" t="s">
        <v>12595</v>
      </c>
      <c r="O1476" s="2" t="s">
        <v>15605</v>
      </c>
      <c r="P1476" s="9">
        <v>0</v>
      </c>
      <c r="Q1476" s="9">
        <v>0</v>
      </c>
      <c r="R1476" s="2" t="s">
        <v>15311</v>
      </c>
    </row>
    <row r="1477" spans="1:18" x14ac:dyDescent="0.25">
      <c r="A1477" s="2" t="s">
        <v>8143</v>
      </c>
      <c r="B1477" s="6">
        <v>46174</v>
      </c>
      <c r="C1477" s="8">
        <v>46197</v>
      </c>
      <c r="D1477" s="2" t="s">
        <v>7433</v>
      </c>
      <c r="E1477" s="2" t="s">
        <v>12593</v>
      </c>
      <c r="F1477" s="2" t="s">
        <v>15312</v>
      </c>
      <c r="G1477" s="2" t="s">
        <v>15606</v>
      </c>
      <c r="H1477" s="2" t="s">
        <v>70</v>
      </c>
      <c r="I1477" s="9">
        <v>34010.150375999998</v>
      </c>
      <c r="J1477" s="7">
        <v>0.66500000000000004</v>
      </c>
      <c r="K1477" s="9">
        <v>22616.75</v>
      </c>
      <c r="L1477" s="14">
        <v>0</v>
      </c>
      <c r="M1477" s="2" t="s">
        <v>71</v>
      </c>
      <c r="N1477" s="2" t="s">
        <v>12595</v>
      </c>
      <c r="O1477" s="2" t="s">
        <v>15607</v>
      </c>
      <c r="P1477" s="9">
        <v>0</v>
      </c>
      <c r="Q1477" s="9">
        <v>0</v>
      </c>
      <c r="R1477" s="2" t="s">
        <v>15315</v>
      </c>
    </row>
    <row r="1478" spans="1:18" x14ac:dyDescent="0.25">
      <c r="A1478" s="2" t="s">
        <v>8148</v>
      </c>
      <c r="B1478" s="6">
        <v>46174</v>
      </c>
      <c r="C1478" s="8">
        <v>46198</v>
      </c>
      <c r="D1478" s="2" t="s">
        <v>7433</v>
      </c>
      <c r="E1478" s="2" t="s">
        <v>12593</v>
      </c>
      <c r="F1478" s="2" t="s">
        <v>15316</v>
      </c>
      <c r="G1478" s="2" t="s">
        <v>15608</v>
      </c>
      <c r="H1478" s="2" t="s">
        <v>39</v>
      </c>
      <c r="I1478" s="9">
        <v>22893.57</v>
      </c>
      <c r="J1478" s="7">
        <v>1</v>
      </c>
      <c r="K1478" s="9">
        <v>22893.57</v>
      </c>
      <c r="L1478" s="14">
        <v>0</v>
      </c>
      <c r="M1478" s="2" t="s">
        <v>71</v>
      </c>
      <c r="N1478" s="2" t="s">
        <v>12595</v>
      </c>
      <c r="O1478" s="2" t="s">
        <v>15609</v>
      </c>
      <c r="P1478" s="9">
        <v>0</v>
      </c>
      <c r="Q1478" s="9">
        <v>0</v>
      </c>
      <c r="R1478" s="2" t="s">
        <v>15319</v>
      </c>
    </row>
    <row r="1479" spans="1:18" x14ac:dyDescent="0.25">
      <c r="A1479" s="2" t="s">
        <v>8153</v>
      </c>
      <c r="B1479" s="6">
        <v>46174</v>
      </c>
      <c r="C1479" s="8">
        <v>46199</v>
      </c>
      <c r="D1479" s="2" t="s">
        <v>7433</v>
      </c>
      <c r="E1479" s="2" t="s">
        <v>12593</v>
      </c>
      <c r="F1479" s="2" t="s">
        <v>15320</v>
      </c>
      <c r="G1479" s="2" t="s">
        <v>15610</v>
      </c>
      <c r="H1479" s="2" t="s">
        <v>76</v>
      </c>
      <c r="I1479" s="9">
        <v>370726080</v>
      </c>
      <c r="J1479" s="7">
        <v>6.2500000000000001E-5</v>
      </c>
      <c r="K1479" s="9">
        <v>23170.38</v>
      </c>
      <c r="L1479" s="14">
        <v>0</v>
      </c>
      <c r="M1479" s="2" t="s">
        <v>71</v>
      </c>
      <c r="N1479" s="2" t="s">
        <v>12595</v>
      </c>
      <c r="O1479" s="2" t="s">
        <v>15611</v>
      </c>
      <c r="P1479" s="9">
        <v>0</v>
      </c>
      <c r="Q1479" s="9">
        <v>0</v>
      </c>
      <c r="R1479" s="2" t="s">
        <v>15323</v>
      </c>
    </row>
    <row r="1480" spans="1:18" x14ac:dyDescent="0.25">
      <c r="A1480" s="2" t="s">
        <v>8158</v>
      </c>
      <c r="B1480" s="6">
        <v>46174</v>
      </c>
      <c r="C1480" s="8">
        <v>46200</v>
      </c>
      <c r="D1480" s="2" t="s">
        <v>7433</v>
      </c>
      <c r="E1480" s="2" t="s">
        <v>12593</v>
      </c>
      <c r="F1480" s="2" t="s">
        <v>15324</v>
      </c>
      <c r="G1480" s="2" t="s">
        <v>15612</v>
      </c>
      <c r="H1480" s="2" t="s">
        <v>70</v>
      </c>
      <c r="I1480" s="9">
        <v>35258.947368000001</v>
      </c>
      <c r="J1480" s="7">
        <v>0.66500000000000004</v>
      </c>
      <c r="K1480" s="9">
        <v>23447.200000000001</v>
      </c>
      <c r="L1480" s="14">
        <v>0</v>
      </c>
      <c r="M1480" s="2" t="s">
        <v>71</v>
      </c>
      <c r="N1480" s="2" t="s">
        <v>12595</v>
      </c>
      <c r="O1480" s="2" t="s">
        <v>15613</v>
      </c>
      <c r="P1480" s="9">
        <v>0</v>
      </c>
      <c r="Q1480" s="9">
        <v>0</v>
      </c>
      <c r="R1480" s="2" t="s">
        <v>15327</v>
      </c>
    </row>
    <row r="1481" spans="1:18" x14ac:dyDescent="0.25">
      <c r="A1481" s="2" t="s">
        <v>8163</v>
      </c>
      <c r="B1481" s="6">
        <v>46174</v>
      </c>
      <c r="C1481" s="8">
        <v>46201</v>
      </c>
      <c r="D1481" s="2" t="s">
        <v>7433</v>
      </c>
      <c r="E1481" s="2" t="s">
        <v>12593</v>
      </c>
      <c r="F1481" s="2" t="s">
        <v>15328</v>
      </c>
      <c r="G1481" s="2" t="s">
        <v>15614</v>
      </c>
      <c r="H1481" s="2" t="s">
        <v>39</v>
      </c>
      <c r="I1481" s="9">
        <v>23724.02</v>
      </c>
      <c r="J1481" s="7">
        <v>1</v>
      </c>
      <c r="K1481" s="9">
        <v>23724.02</v>
      </c>
      <c r="L1481" s="14">
        <v>0</v>
      </c>
      <c r="M1481" s="2" t="s">
        <v>71</v>
      </c>
      <c r="N1481" s="2" t="s">
        <v>12595</v>
      </c>
      <c r="O1481" s="2" t="s">
        <v>15615</v>
      </c>
      <c r="P1481" s="9">
        <v>0</v>
      </c>
      <c r="Q1481" s="9">
        <v>0</v>
      </c>
      <c r="R1481" s="2" t="s">
        <v>15331</v>
      </c>
    </row>
    <row r="1482" spans="1:18" x14ac:dyDescent="0.25">
      <c r="A1482" s="2" t="s">
        <v>8168</v>
      </c>
      <c r="B1482" s="6">
        <v>46174</v>
      </c>
      <c r="C1482" s="8">
        <v>46202</v>
      </c>
      <c r="D1482" s="2" t="s">
        <v>7433</v>
      </c>
      <c r="E1482" s="2" t="s">
        <v>12593</v>
      </c>
      <c r="F1482" s="2" t="s">
        <v>15332</v>
      </c>
      <c r="G1482" s="2" t="s">
        <v>15616</v>
      </c>
      <c r="H1482" s="2" t="s">
        <v>76</v>
      </c>
      <c r="I1482" s="9">
        <v>25613280</v>
      </c>
      <c r="J1482" s="7">
        <v>6.2500000000000001E-5</v>
      </c>
      <c r="K1482" s="9">
        <v>1600.83</v>
      </c>
      <c r="L1482" s="14">
        <v>0</v>
      </c>
      <c r="M1482" s="2" t="s">
        <v>71</v>
      </c>
      <c r="N1482" s="2" t="s">
        <v>12595</v>
      </c>
      <c r="O1482" s="2" t="s">
        <v>15617</v>
      </c>
      <c r="P1482" s="9">
        <v>0</v>
      </c>
      <c r="Q1482" s="9">
        <v>0</v>
      </c>
      <c r="R1482" s="2" t="s">
        <v>15335</v>
      </c>
    </row>
    <row r="1483" spans="1:18" x14ac:dyDescent="0.25">
      <c r="A1483" s="2" t="s">
        <v>8173</v>
      </c>
      <c r="B1483" s="6">
        <v>46174</v>
      </c>
      <c r="C1483" s="8">
        <v>46203</v>
      </c>
      <c r="D1483" s="2" t="s">
        <v>7433</v>
      </c>
      <c r="E1483" s="2" t="s">
        <v>12593</v>
      </c>
      <c r="F1483" s="2" t="s">
        <v>15336</v>
      </c>
      <c r="G1483" s="2" t="s">
        <v>15618</v>
      </c>
      <c r="H1483" s="2" t="s">
        <v>70</v>
      </c>
      <c r="I1483" s="9">
        <v>2823.5338350000002</v>
      </c>
      <c r="J1483" s="7">
        <v>0.66500000000000004</v>
      </c>
      <c r="K1483" s="9">
        <v>1877.65</v>
      </c>
      <c r="L1483" s="14">
        <v>0</v>
      </c>
      <c r="M1483" s="2" t="s">
        <v>71</v>
      </c>
      <c r="N1483" s="2" t="s">
        <v>12595</v>
      </c>
      <c r="O1483" s="2" t="s">
        <v>15619</v>
      </c>
      <c r="P1483" s="9">
        <v>0</v>
      </c>
      <c r="Q1483" s="9">
        <v>0</v>
      </c>
      <c r="R1483" s="2" t="s">
        <v>15339</v>
      </c>
    </row>
    <row r="1484" spans="1:18" x14ac:dyDescent="0.25">
      <c r="A1484" s="2" t="s">
        <v>8178</v>
      </c>
      <c r="B1484" s="6">
        <v>46174</v>
      </c>
      <c r="C1484" s="8">
        <v>46174</v>
      </c>
      <c r="D1484" s="2" t="s">
        <v>7433</v>
      </c>
      <c r="E1484" s="2" t="s">
        <v>12593</v>
      </c>
      <c r="F1484" s="2" t="s">
        <v>15300</v>
      </c>
      <c r="G1484" s="2" t="s">
        <v>15620</v>
      </c>
      <c r="H1484" s="2" t="s">
        <v>39</v>
      </c>
      <c r="I1484" s="9">
        <v>2154.46</v>
      </c>
      <c r="J1484" s="7">
        <v>1</v>
      </c>
      <c r="K1484" s="9">
        <v>2154.46</v>
      </c>
      <c r="L1484" s="14">
        <v>0</v>
      </c>
      <c r="M1484" s="2" t="s">
        <v>71</v>
      </c>
      <c r="N1484" s="2" t="s">
        <v>12595</v>
      </c>
      <c r="O1484" s="2" t="s">
        <v>15621</v>
      </c>
      <c r="P1484" s="9">
        <v>0</v>
      </c>
      <c r="Q1484" s="9">
        <v>0</v>
      </c>
      <c r="R1484" s="2" t="s">
        <v>15303</v>
      </c>
    </row>
    <row r="1485" spans="1:18" x14ac:dyDescent="0.25">
      <c r="A1485" s="2" t="s">
        <v>8183</v>
      </c>
      <c r="B1485" s="6">
        <v>46174</v>
      </c>
      <c r="C1485" s="8">
        <v>46175</v>
      </c>
      <c r="D1485" s="2" t="s">
        <v>7433</v>
      </c>
      <c r="E1485" s="2" t="s">
        <v>12593</v>
      </c>
      <c r="F1485" s="2" t="s">
        <v>15304</v>
      </c>
      <c r="G1485" s="2" t="s">
        <v>15622</v>
      </c>
      <c r="H1485" s="2" t="s">
        <v>76</v>
      </c>
      <c r="I1485" s="9">
        <v>38900480</v>
      </c>
      <c r="J1485" s="7">
        <v>6.2500000000000001E-5</v>
      </c>
      <c r="K1485" s="9">
        <v>2431.2800000000002</v>
      </c>
      <c r="L1485" s="14">
        <v>0</v>
      </c>
      <c r="M1485" s="2" t="s">
        <v>71</v>
      </c>
      <c r="N1485" s="2" t="s">
        <v>12595</v>
      </c>
      <c r="O1485" s="2" t="s">
        <v>15623</v>
      </c>
      <c r="P1485" s="9">
        <v>0</v>
      </c>
      <c r="Q1485" s="9">
        <v>0</v>
      </c>
      <c r="R1485" s="2" t="s">
        <v>15307</v>
      </c>
    </row>
    <row r="1486" spans="1:18" x14ac:dyDescent="0.25">
      <c r="A1486" s="2" t="s">
        <v>8188</v>
      </c>
      <c r="B1486" s="6">
        <v>46174</v>
      </c>
      <c r="C1486" s="8">
        <v>46176</v>
      </c>
      <c r="D1486" s="2" t="s">
        <v>7433</v>
      </c>
      <c r="E1486" s="2" t="s">
        <v>12593</v>
      </c>
      <c r="F1486" s="2" t="s">
        <v>15308</v>
      </c>
      <c r="G1486" s="2" t="s">
        <v>15624</v>
      </c>
      <c r="H1486" s="2" t="s">
        <v>70</v>
      </c>
      <c r="I1486" s="9">
        <v>4072.3157890000002</v>
      </c>
      <c r="J1486" s="7">
        <v>0.66500000000000004</v>
      </c>
      <c r="K1486" s="9">
        <v>2708.09</v>
      </c>
      <c r="L1486" s="14">
        <v>0</v>
      </c>
      <c r="M1486" s="2" t="s">
        <v>71</v>
      </c>
      <c r="N1486" s="2" t="s">
        <v>12595</v>
      </c>
      <c r="O1486" s="2" t="s">
        <v>15625</v>
      </c>
      <c r="P1486" s="9">
        <v>0</v>
      </c>
      <c r="Q1486" s="9">
        <v>0</v>
      </c>
      <c r="R1486" s="2" t="s">
        <v>15311</v>
      </c>
    </row>
    <row r="1487" spans="1:18" x14ac:dyDescent="0.25">
      <c r="A1487" s="2" t="s">
        <v>8193</v>
      </c>
      <c r="B1487" s="6">
        <v>46174</v>
      </c>
      <c r="C1487" s="8">
        <v>46177</v>
      </c>
      <c r="D1487" s="2" t="s">
        <v>7433</v>
      </c>
      <c r="E1487" s="2" t="s">
        <v>12593</v>
      </c>
      <c r="F1487" s="2" t="s">
        <v>15312</v>
      </c>
      <c r="G1487" s="2" t="s">
        <v>15626</v>
      </c>
      <c r="H1487" s="2" t="s">
        <v>39</v>
      </c>
      <c r="I1487" s="9">
        <v>2984.91</v>
      </c>
      <c r="J1487" s="7">
        <v>1</v>
      </c>
      <c r="K1487" s="9">
        <v>2984.91</v>
      </c>
      <c r="L1487" s="14">
        <v>0</v>
      </c>
      <c r="M1487" s="2" t="s">
        <v>71</v>
      </c>
      <c r="N1487" s="2" t="s">
        <v>12595</v>
      </c>
      <c r="O1487" s="2" t="s">
        <v>15627</v>
      </c>
      <c r="P1487" s="9">
        <v>0</v>
      </c>
      <c r="Q1487" s="9">
        <v>0</v>
      </c>
      <c r="R1487" s="2" t="s">
        <v>15315</v>
      </c>
    </row>
    <row r="1488" spans="1:18" x14ac:dyDescent="0.25">
      <c r="A1488" s="2" t="s">
        <v>8198</v>
      </c>
      <c r="B1488" s="6">
        <v>46174</v>
      </c>
      <c r="C1488" s="8">
        <v>46178</v>
      </c>
      <c r="D1488" s="2" t="s">
        <v>7433</v>
      </c>
      <c r="E1488" s="2" t="s">
        <v>12593</v>
      </c>
      <c r="F1488" s="2" t="s">
        <v>15316</v>
      </c>
      <c r="G1488" s="2" t="s">
        <v>15628</v>
      </c>
      <c r="H1488" s="2" t="s">
        <v>76</v>
      </c>
      <c r="I1488" s="9">
        <v>52187680</v>
      </c>
      <c r="J1488" s="7">
        <v>6.2500000000000001E-5</v>
      </c>
      <c r="K1488" s="9">
        <v>3261.73</v>
      </c>
      <c r="L1488" s="14">
        <v>0</v>
      </c>
      <c r="M1488" s="2" t="s">
        <v>71</v>
      </c>
      <c r="N1488" s="2" t="s">
        <v>12595</v>
      </c>
      <c r="O1488" s="2" t="s">
        <v>15629</v>
      </c>
      <c r="P1488" s="9">
        <v>0</v>
      </c>
      <c r="Q1488" s="9">
        <v>0</v>
      </c>
      <c r="R1488" s="2" t="s">
        <v>15319</v>
      </c>
    </row>
    <row r="1489" spans="1:18" x14ac:dyDescent="0.25">
      <c r="A1489" s="2" t="s">
        <v>8203</v>
      </c>
      <c r="B1489" s="6">
        <v>46174</v>
      </c>
      <c r="C1489" s="8">
        <v>46179</v>
      </c>
      <c r="D1489" s="2" t="s">
        <v>7433</v>
      </c>
      <c r="E1489" s="2" t="s">
        <v>12593</v>
      </c>
      <c r="F1489" s="2" t="s">
        <v>15320</v>
      </c>
      <c r="G1489" s="2" t="s">
        <v>15630</v>
      </c>
      <c r="H1489" s="2" t="s">
        <v>70</v>
      </c>
      <c r="I1489" s="9">
        <v>5321.1127820000002</v>
      </c>
      <c r="J1489" s="7">
        <v>0.66500000000000004</v>
      </c>
      <c r="K1489" s="9">
        <v>3538.54</v>
      </c>
      <c r="L1489" s="14">
        <v>0</v>
      </c>
      <c r="M1489" s="2" t="s">
        <v>71</v>
      </c>
      <c r="N1489" s="2" t="s">
        <v>12595</v>
      </c>
      <c r="O1489" s="2" t="s">
        <v>15631</v>
      </c>
      <c r="P1489" s="9">
        <v>0</v>
      </c>
      <c r="Q1489" s="9">
        <v>0</v>
      </c>
      <c r="R1489" s="2" t="s">
        <v>15323</v>
      </c>
    </row>
    <row r="1490" spans="1:18" x14ac:dyDescent="0.25">
      <c r="A1490" s="2" t="s">
        <v>8208</v>
      </c>
      <c r="B1490" s="6">
        <v>46174</v>
      </c>
      <c r="C1490" s="8">
        <v>46180</v>
      </c>
      <c r="D1490" s="2" t="s">
        <v>7433</v>
      </c>
      <c r="E1490" s="2" t="s">
        <v>12593</v>
      </c>
      <c r="F1490" s="2" t="s">
        <v>15324</v>
      </c>
      <c r="G1490" s="2" t="s">
        <v>15632</v>
      </c>
      <c r="H1490" s="2" t="s">
        <v>39</v>
      </c>
      <c r="I1490" s="9">
        <v>3815.36</v>
      </c>
      <c r="J1490" s="7">
        <v>1</v>
      </c>
      <c r="K1490" s="9">
        <v>3815.36</v>
      </c>
      <c r="L1490" s="14">
        <v>0</v>
      </c>
      <c r="M1490" s="2" t="s">
        <v>71</v>
      </c>
      <c r="N1490" s="2" t="s">
        <v>12595</v>
      </c>
      <c r="O1490" s="2" t="s">
        <v>15633</v>
      </c>
      <c r="P1490" s="9">
        <v>0</v>
      </c>
      <c r="Q1490" s="9">
        <v>0</v>
      </c>
      <c r="R1490" s="2" t="s">
        <v>15327</v>
      </c>
    </row>
    <row r="1491" spans="1:18" x14ac:dyDescent="0.25">
      <c r="A1491" s="2" t="s">
        <v>8213</v>
      </c>
      <c r="B1491" s="6">
        <v>46174</v>
      </c>
      <c r="C1491" s="8">
        <v>46181</v>
      </c>
      <c r="D1491" s="2" t="s">
        <v>7433</v>
      </c>
      <c r="E1491" s="2" t="s">
        <v>12593</v>
      </c>
      <c r="F1491" s="2" t="s">
        <v>15328</v>
      </c>
      <c r="G1491" s="2" t="s">
        <v>15634</v>
      </c>
      <c r="H1491" s="2" t="s">
        <v>76</v>
      </c>
      <c r="I1491" s="9">
        <v>65474880</v>
      </c>
      <c r="J1491" s="7">
        <v>6.2500000000000001E-5</v>
      </c>
      <c r="K1491" s="9">
        <v>4092.18</v>
      </c>
      <c r="L1491" s="14">
        <v>0</v>
      </c>
      <c r="M1491" s="2" t="s">
        <v>71</v>
      </c>
      <c r="N1491" s="2" t="s">
        <v>12595</v>
      </c>
      <c r="O1491" s="2" t="s">
        <v>15635</v>
      </c>
      <c r="P1491" s="9">
        <v>0</v>
      </c>
      <c r="Q1491" s="9">
        <v>0</v>
      </c>
      <c r="R1491" s="2" t="s">
        <v>15331</v>
      </c>
    </row>
    <row r="1492" spans="1:18" x14ac:dyDescent="0.25">
      <c r="A1492" s="2" t="s">
        <v>8218</v>
      </c>
      <c r="B1492" s="6">
        <v>46174</v>
      </c>
      <c r="C1492" s="8">
        <v>46182</v>
      </c>
      <c r="D1492" s="2" t="s">
        <v>7433</v>
      </c>
      <c r="E1492" s="2" t="s">
        <v>12593</v>
      </c>
      <c r="F1492" s="2" t="s">
        <v>15332</v>
      </c>
      <c r="G1492" s="2" t="s">
        <v>15636</v>
      </c>
      <c r="H1492" s="2" t="s">
        <v>70</v>
      </c>
      <c r="I1492" s="9">
        <v>6569.9097739999997</v>
      </c>
      <c r="J1492" s="7">
        <v>0.66500000000000004</v>
      </c>
      <c r="K1492" s="9">
        <v>4368.99</v>
      </c>
      <c r="L1492" s="14">
        <v>0</v>
      </c>
      <c r="M1492" s="2" t="s">
        <v>71</v>
      </c>
      <c r="N1492" s="2" t="s">
        <v>12595</v>
      </c>
      <c r="O1492" s="2" t="s">
        <v>15637</v>
      </c>
      <c r="P1492" s="9">
        <v>0</v>
      </c>
      <c r="Q1492" s="9">
        <v>0</v>
      </c>
      <c r="R1492" s="2" t="s">
        <v>15335</v>
      </c>
    </row>
    <row r="1493" spans="1:18" x14ac:dyDescent="0.25">
      <c r="A1493" s="2" t="s">
        <v>8223</v>
      </c>
      <c r="B1493" s="6">
        <v>46174</v>
      </c>
      <c r="C1493" s="8">
        <v>46183</v>
      </c>
      <c r="D1493" s="2" t="s">
        <v>7433</v>
      </c>
      <c r="E1493" s="2" t="s">
        <v>12593</v>
      </c>
      <c r="F1493" s="2" t="s">
        <v>15336</v>
      </c>
      <c r="G1493" s="2" t="s">
        <v>15638</v>
      </c>
      <c r="H1493" s="2" t="s">
        <v>39</v>
      </c>
      <c r="I1493" s="9">
        <v>4645.8100000000004</v>
      </c>
      <c r="J1493" s="7">
        <v>1</v>
      </c>
      <c r="K1493" s="9">
        <v>4645.8100000000004</v>
      </c>
      <c r="L1493" s="14">
        <v>0</v>
      </c>
      <c r="M1493" s="2" t="s">
        <v>71</v>
      </c>
      <c r="N1493" s="2" t="s">
        <v>12595</v>
      </c>
      <c r="O1493" s="2" t="s">
        <v>15639</v>
      </c>
      <c r="P1493" s="9">
        <v>0</v>
      </c>
      <c r="Q1493" s="9">
        <v>0</v>
      </c>
      <c r="R1493" s="2" t="s">
        <v>15339</v>
      </c>
    </row>
    <row r="1494" spans="1:18" x14ac:dyDescent="0.25">
      <c r="A1494" s="2" t="s">
        <v>8228</v>
      </c>
      <c r="B1494" s="6">
        <v>46174</v>
      </c>
      <c r="C1494" s="8">
        <v>46184</v>
      </c>
      <c r="D1494" s="2" t="s">
        <v>7433</v>
      </c>
      <c r="E1494" s="2" t="s">
        <v>12593</v>
      </c>
      <c r="F1494" s="2" t="s">
        <v>15300</v>
      </c>
      <c r="G1494" s="2" t="s">
        <v>15640</v>
      </c>
      <c r="H1494" s="2" t="s">
        <v>76</v>
      </c>
      <c r="I1494" s="9">
        <v>78761920</v>
      </c>
      <c r="J1494" s="7">
        <v>6.2500000000000001E-5</v>
      </c>
      <c r="K1494" s="9">
        <v>4922.62</v>
      </c>
      <c r="L1494" s="14">
        <v>0</v>
      </c>
      <c r="M1494" s="2" t="s">
        <v>71</v>
      </c>
      <c r="N1494" s="2" t="s">
        <v>12595</v>
      </c>
      <c r="O1494" s="2" t="s">
        <v>15641</v>
      </c>
      <c r="P1494" s="9">
        <v>0</v>
      </c>
      <c r="Q1494" s="9">
        <v>0</v>
      </c>
      <c r="R1494" s="2" t="s">
        <v>15303</v>
      </c>
    </row>
    <row r="1495" spans="1:18" x14ac:dyDescent="0.25">
      <c r="A1495" s="2" t="s">
        <v>8233</v>
      </c>
      <c r="B1495" s="6">
        <v>46174</v>
      </c>
      <c r="C1495" s="8">
        <v>46185</v>
      </c>
      <c r="D1495" s="2" t="s">
        <v>7433</v>
      </c>
      <c r="E1495" s="2" t="s">
        <v>12593</v>
      </c>
      <c r="F1495" s="2" t="s">
        <v>15304</v>
      </c>
      <c r="G1495" s="2" t="s">
        <v>15642</v>
      </c>
      <c r="H1495" s="2" t="s">
        <v>70</v>
      </c>
      <c r="I1495" s="9">
        <v>7818.7067669999997</v>
      </c>
      <c r="J1495" s="7">
        <v>0.66500000000000004</v>
      </c>
      <c r="K1495" s="9">
        <v>5199.4399999999996</v>
      </c>
      <c r="L1495" s="14">
        <v>0</v>
      </c>
      <c r="M1495" s="2" t="s">
        <v>71</v>
      </c>
      <c r="N1495" s="2" t="s">
        <v>12595</v>
      </c>
      <c r="O1495" s="2" t="s">
        <v>15643</v>
      </c>
      <c r="P1495" s="9">
        <v>0</v>
      </c>
      <c r="Q1495" s="9">
        <v>0</v>
      </c>
      <c r="R1495" s="2" t="s">
        <v>15307</v>
      </c>
    </row>
    <row r="1496" spans="1:18" x14ac:dyDescent="0.25">
      <c r="A1496" s="2" t="s">
        <v>8238</v>
      </c>
      <c r="B1496" s="6">
        <v>46174</v>
      </c>
      <c r="C1496" s="8">
        <v>46186</v>
      </c>
      <c r="D1496" s="2" t="s">
        <v>7433</v>
      </c>
      <c r="E1496" s="2" t="s">
        <v>12593</v>
      </c>
      <c r="F1496" s="2" t="s">
        <v>15308</v>
      </c>
      <c r="G1496" s="2" t="s">
        <v>15644</v>
      </c>
      <c r="H1496" s="2" t="s">
        <v>39</v>
      </c>
      <c r="I1496" s="9">
        <v>5476.26</v>
      </c>
      <c r="J1496" s="7">
        <v>1</v>
      </c>
      <c r="K1496" s="9">
        <v>5476.26</v>
      </c>
      <c r="L1496" s="14">
        <v>0</v>
      </c>
      <c r="M1496" s="2" t="s">
        <v>71</v>
      </c>
      <c r="N1496" s="2" t="s">
        <v>12595</v>
      </c>
      <c r="O1496" s="2" t="s">
        <v>15645</v>
      </c>
      <c r="P1496" s="9">
        <v>0</v>
      </c>
      <c r="Q1496" s="9">
        <v>0</v>
      </c>
      <c r="R1496" s="2" t="s">
        <v>15311</v>
      </c>
    </row>
    <row r="1497" spans="1:18" x14ac:dyDescent="0.25">
      <c r="A1497" s="2" t="s">
        <v>8243</v>
      </c>
      <c r="B1497" s="6">
        <v>46174</v>
      </c>
      <c r="C1497" s="8">
        <v>46187</v>
      </c>
      <c r="D1497" s="2" t="s">
        <v>7433</v>
      </c>
      <c r="E1497" s="2" t="s">
        <v>12593</v>
      </c>
      <c r="F1497" s="2" t="s">
        <v>15312</v>
      </c>
      <c r="G1497" s="2" t="s">
        <v>15646</v>
      </c>
      <c r="H1497" s="2" t="s">
        <v>76</v>
      </c>
      <c r="I1497" s="9">
        <v>-92049120</v>
      </c>
      <c r="J1497" s="7">
        <v>6.2500000000000001E-5</v>
      </c>
      <c r="K1497" s="9">
        <v>-5753.07</v>
      </c>
      <c r="L1497" s="14">
        <v>0</v>
      </c>
      <c r="M1497" s="2" t="s">
        <v>71</v>
      </c>
      <c r="N1497" s="2" t="s">
        <v>12595</v>
      </c>
      <c r="O1497" s="2" t="s">
        <v>15647</v>
      </c>
      <c r="P1497" s="9">
        <v>0</v>
      </c>
      <c r="Q1497" s="9">
        <v>0</v>
      </c>
      <c r="R1497" s="2" t="s">
        <v>15315</v>
      </c>
    </row>
    <row r="1498" spans="1:18" x14ac:dyDescent="0.25">
      <c r="A1498" s="2" t="s">
        <v>8246</v>
      </c>
      <c r="B1498" s="6">
        <v>46174</v>
      </c>
      <c r="C1498" s="8">
        <v>46188</v>
      </c>
      <c r="D1498" s="2" t="s">
        <v>7433</v>
      </c>
      <c r="E1498" s="2" t="s">
        <v>12593</v>
      </c>
      <c r="F1498" s="2" t="s">
        <v>15316</v>
      </c>
      <c r="G1498" s="2" t="s">
        <v>15648</v>
      </c>
      <c r="H1498" s="2" t="s">
        <v>70</v>
      </c>
      <c r="I1498" s="9">
        <v>9067.5037589999993</v>
      </c>
      <c r="J1498" s="7">
        <v>0.66500000000000004</v>
      </c>
      <c r="K1498" s="9">
        <v>6029.89</v>
      </c>
      <c r="L1498" s="14">
        <v>0</v>
      </c>
      <c r="M1498" s="2" t="s">
        <v>71</v>
      </c>
      <c r="N1498" s="2" t="s">
        <v>12595</v>
      </c>
      <c r="O1498" s="2" t="s">
        <v>15649</v>
      </c>
      <c r="P1498" s="9">
        <v>0</v>
      </c>
      <c r="Q1498" s="9">
        <v>0</v>
      </c>
      <c r="R1498" s="2" t="s">
        <v>15319</v>
      </c>
    </row>
    <row r="1499" spans="1:18" x14ac:dyDescent="0.25">
      <c r="A1499" s="2" t="s">
        <v>8251</v>
      </c>
      <c r="B1499" s="6">
        <v>46174</v>
      </c>
      <c r="C1499" s="8">
        <v>46189</v>
      </c>
      <c r="D1499" s="2" t="s">
        <v>7433</v>
      </c>
      <c r="E1499" s="2" t="s">
        <v>12593</v>
      </c>
      <c r="F1499" s="2" t="s">
        <v>15320</v>
      </c>
      <c r="G1499" s="2" t="s">
        <v>15650</v>
      </c>
      <c r="H1499" s="2" t="s">
        <v>39</v>
      </c>
      <c r="I1499" s="9">
        <v>6306.7</v>
      </c>
      <c r="J1499" s="7">
        <v>1</v>
      </c>
      <c r="K1499" s="9">
        <v>6306.7</v>
      </c>
      <c r="L1499" s="14">
        <v>0</v>
      </c>
      <c r="M1499" s="2" t="s">
        <v>71</v>
      </c>
      <c r="N1499" s="2" t="s">
        <v>12595</v>
      </c>
      <c r="O1499" s="2" t="s">
        <v>15651</v>
      </c>
      <c r="P1499" s="9">
        <v>0</v>
      </c>
      <c r="Q1499" s="9">
        <v>0</v>
      </c>
      <c r="R1499" s="2" t="s">
        <v>15323</v>
      </c>
    </row>
    <row r="1500" spans="1:18" x14ac:dyDescent="0.25">
      <c r="A1500" s="2" t="s">
        <v>8256</v>
      </c>
      <c r="B1500" s="6">
        <v>46174</v>
      </c>
      <c r="C1500" s="8">
        <v>46190</v>
      </c>
      <c r="D1500" s="2" t="s">
        <v>7433</v>
      </c>
      <c r="E1500" s="2" t="s">
        <v>12593</v>
      </c>
      <c r="F1500" s="2" t="s">
        <v>15324</v>
      </c>
      <c r="G1500" s="2" t="s">
        <v>15652</v>
      </c>
      <c r="H1500" s="2" t="s">
        <v>76</v>
      </c>
      <c r="I1500" s="9">
        <v>105336320</v>
      </c>
      <c r="J1500" s="7">
        <v>6.2500000000000001E-5</v>
      </c>
      <c r="K1500" s="9">
        <v>6583.52</v>
      </c>
      <c r="L1500" s="14">
        <v>0</v>
      </c>
      <c r="M1500" s="2" t="s">
        <v>71</v>
      </c>
      <c r="N1500" s="2" t="s">
        <v>12595</v>
      </c>
      <c r="O1500" s="2" t="s">
        <v>15653</v>
      </c>
      <c r="P1500" s="9">
        <v>0</v>
      </c>
      <c r="Q1500" s="9">
        <v>0</v>
      </c>
      <c r="R1500" s="2" t="s">
        <v>15327</v>
      </c>
    </row>
    <row r="1501" spans="1:18" x14ac:dyDescent="0.25">
      <c r="A1501" s="2" t="s">
        <v>8261</v>
      </c>
      <c r="B1501" s="6">
        <v>46174</v>
      </c>
      <c r="C1501" s="8">
        <v>46191</v>
      </c>
      <c r="D1501" s="2" t="s">
        <v>7433</v>
      </c>
      <c r="E1501" s="2" t="s">
        <v>12593</v>
      </c>
      <c r="F1501" s="2" t="s">
        <v>15328</v>
      </c>
      <c r="G1501" s="2" t="s">
        <v>15654</v>
      </c>
      <c r="H1501" s="2" t="s">
        <v>70</v>
      </c>
      <c r="I1501" s="9">
        <v>10316.285714</v>
      </c>
      <c r="J1501" s="7">
        <v>0.66500000000000004</v>
      </c>
      <c r="K1501" s="9">
        <v>6860.33</v>
      </c>
      <c r="L1501" s="14">
        <v>0</v>
      </c>
      <c r="M1501" s="2" t="s">
        <v>71</v>
      </c>
      <c r="N1501" s="2" t="s">
        <v>12595</v>
      </c>
      <c r="O1501" s="2" t="s">
        <v>15655</v>
      </c>
      <c r="P1501" s="9">
        <v>0</v>
      </c>
      <c r="Q1501" s="9">
        <v>0</v>
      </c>
      <c r="R1501" s="2" t="s">
        <v>15331</v>
      </c>
    </row>
    <row r="1502" spans="1:18" x14ac:dyDescent="0.25">
      <c r="A1502" s="2" t="s">
        <v>8266</v>
      </c>
      <c r="B1502" s="6">
        <v>46174</v>
      </c>
      <c r="C1502" s="8">
        <v>46192</v>
      </c>
      <c r="D1502" s="2" t="s">
        <v>7433</v>
      </c>
      <c r="E1502" s="2" t="s">
        <v>12593</v>
      </c>
      <c r="F1502" s="2" t="s">
        <v>15332</v>
      </c>
      <c r="G1502" s="2" t="s">
        <v>15656</v>
      </c>
      <c r="H1502" s="2" t="s">
        <v>39</v>
      </c>
      <c r="I1502" s="9">
        <v>7137.15</v>
      </c>
      <c r="J1502" s="7">
        <v>1</v>
      </c>
      <c r="K1502" s="9">
        <v>7137.15</v>
      </c>
      <c r="L1502" s="14">
        <v>0</v>
      </c>
      <c r="M1502" s="2" t="s">
        <v>71</v>
      </c>
      <c r="N1502" s="2" t="s">
        <v>12595</v>
      </c>
      <c r="O1502" s="2" t="s">
        <v>15657</v>
      </c>
      <c r="P1502" s="9">
        <v>0</v>
      </c>
      <c r="Q1502" s="9">
        <v>0</v>
      </c>
      <c r="R1502" s="2" t="s">
        <v>15335</v>
      </c>
    </row>
    <row r="1503" spans="1:18" x14ac:dyDescent="0.25">
      <c r="A1503" s="2" t="s">
        <v>8271</v>
      </c>
      <c r="B1503" s="6">
        <v>46174</v>
      </c>
      <c r="C1503" s="8">
        <v>46193</v>
      </c>
      <c r="D1503" s="2" t="s">
        <v>7433</v>
      </c>
      <c r="E1503" s="2" t="s">
        <v>12593</v>
      </c>
      <c r="F1503" s="2" t="s">
        <v>15336</v>
      </c>
      <c r="G1503" s="2" t="s">
        <v>15658</v>
      </c>
      <c r="H1503" s="2" t="s">
        <v>76</v>
      </c>
      <c r="I1503" s="9">
        <v>118623520</v>
      </c>
      <c r="J1503" s="7">
        <v>6.2500000000000001E-5</v>
      </c>
      <c r="K1503" s="9">
        <v>7413.97</v>
      </c>
      <c r="L1503" s="14">
        <v>0</v>
      </c>
      <c r="M1503" s="2" t="s">
        <v>71</v>
      </c>
      <c r="N1503" s="2" t="s">
        <v>12595</v>
      </c>
      <c r="O1503" s="2" t="s">
        <v>15659</v>
      </c>
      <c r="P1503" s="9">
        <v>0</v>
      </c>
      <c r="Q1503" s="9">
        <v>0</v>
      </c>
      <c r="R1503" s="2" t="s">
        <v>15339</v>
      </c>
    </row>
    <row r="1504" spans="1:18" x14ac:dyDescent="0.25">
      <c r="A1504" s="2" t="s">
        <v>8276</v>
      </c>
      <c r="B1504" s="6">
        <v>46174</v>
      </c>
      <c r="C1504" s="8">
        <v>46194</v>
      </c>
      <c r="D1504" s="2" t="s">
        <v>7433</v>
      </c>
      <c r="E1504" s="2" t="s">
        <v>12593</v>
      </c>
      <c r="F1504" s="2" t="s">
        <v>15300</v>
      </c>
      <c r="G1504" s="2" t="s">
        <v>15660</v>
      </c>
      <c r="H1504" s="2" t="s">
        <v>70</v>
      </c>
      <c r="I1504" s="9">
        <v>11565.082707</v>
      </c>
      <c r="J1504" s="7">
        <v>0.66500000000000004</v>
      </c>
      <c r="K1504" s="9">
        <v>7690.78</v>
      </c>
      <c r="L1504" s="14">
        <v>0</v>
      </c>
      <c r="M1504" s="2" t="s">
        <v>71</v>
      </c>
      <c r="N1504" s="2" t="s">
        <v>12595</v>
      </c>
      <c r="O1504" s="2" t="s">
        <v>15661</v>
      </c>
      <c r="P1504" s="9">
        <v>0</v>
      </c>
      <c r="Q1504" s="9">
        <v>0</v>
      </c>
      <c r="R1504" s="2" t="s">
        <v>15303</v>
      </c>
    </row>
    <row r="1505" spans="1:18" x14ac:dyDescent="0.25">
      <c r="A1505" s="2" t="s">
        <v>8281</v>
      </c>
      <c r="B1505" s="6">
        <v>46174</v>
      </c>
      <c r="C1505" s="8">
        <v>46195</v>
      </c>
      <c r="D1505" s="2" t="s">
        <v>7433</v>
      </c>
      <c r="E1505" s="2" t="s">
        <v>12593</v>
      </c>
      <c r="F1505" s="2" t="s">
        <v>15304</v>
      </c>
      <c r="G1505" s="2" t="s">
        <v>15662</v>
      </c>
      <c r="H1505" s="2" t="s">
        <v>39</v>
      </c>
      <c r="I1505" s="9">
        <v>7967.6</v>
      </c>
      <c r="J1505" s="7">
        <v>1</v>
      </c>
      <c r="K1505" s="9">
        <v>7967.6</v>
      </c>
      <c r="L1505" s="14">
        <v>0</v>
      </c>
      <c r="M1505" s="2" t="s">
        <v>71</v>
      </c>
      <c r="N1505" s="2" t="s">
        <v>12595</v>
      </c>
      <c r="O1505" s="2" t="s">
        <v>15663</v>
      </c>
      <c r="P1505" s="9">
        <v>0</v>
      </c>
      <c r="Q1505" s="9">
        <v>0</v>
      </c>
      <c r="R1505" s="2" t="s">
        <v>15307</v>
      </c>
    </row>
    <row r="1506" spans="1:18" x14ac:dyDescent="0.25">
      <c r="A1506" s="2" t="s">
        <v>8286</v>
      </c>
      <c r="B1506" s="6">
        <v>46174</v>
      </c>
      <c r="C1506" s="8">
        <v>46196</v>
      </c>
      <c r="D1506" s="2" t="s">
        <v>7433</v>
      </c>
      <c r="E1506" s="2" t="s">
        <v>12593</v>
      </c>
      <c r="F1506" s="2" t="s">
        <v>15308</v>
      </c>
      <c r="G1506" s="2" t="s">
        <v>15664</v>
      </c>
      <c r="H1506" s="2" t="s">
        <v>76</v>
      </c>
      <c r="I1506" s="9">
        <v>131910720</v>
      </c>
      <c r="J1506" s="7">
        <v>6.2500000000000001E-5</v>
      </c>
      <c r="K1506" s="9">
        <v>8244.42</v>
      </c>
      <c r="L1506" s="14">
        <v>0</v>
      </c>
      <c r="M1506" s="2" t="s">
        <v>71</v>
      </c>
      <c r="N1506" s="2" t="s">
        <v>12595</v>
      </c>
      <c r="O1506" s="2" t="s">
        <v>15665</v>
      </c>
      <c r="P1506" s="9">
        <v>0</v>
      </c>
      <c r="Q1506" s="9">
        <v>0</v>
      </c>
      <c r="R1506" s="2" t="s">
        <v>15311</v>
      </c>
    </row>
    <row r="1507" spans="1:18" x14ac:dyDescent="0.25">
      <c r="A1507" s="2" t="s">
        <v>8291</v>
      </c>
      <c r="B1507" s="6">
        <v>46174</v>
      </c>
      <c r="C1507" s="8">
        <v>46197</v>
      </c>
      <c r="D1507" s="2" t="s">
        <v>7433</v>
      </c>
      <c r="E1507" s="2" t="s">
        <v>12593</v>
      </c>
      <c r="F1507" s="2" t="s">
        <v>15312</v>
      </c>
      <c r="G1507" s="2" t="s">
        <v>15666</v>
      </c>
      <c r="H1507" s="2" t="s">
        <v>70</v>
      </c>
      <c r="I1507" s="9">
        <v>12813.879698999999</v>
      </c>
      <c r="J1507" s="7">
        <v>0.66500000000000004</v>
      </c>
      <c r="K1507" s="9">
        <v>8521.23</v>
      </c>
      <c r="L1507" s="14">
        <v>0</v>
      </c>
      <c r="M1507" s="2" t="s">
        <v>71</v>
      </c>
      <c r="N1507" s="2" t="s">
        <v>12595</v>
      </c>
      <c r="O1507" s="2" t="s">
        <v>15667</v>
      </c>
      <c r="P1507" s="9">
        <v>0</v>
      </c>
      <c r="Q1507" s="9">
        <v>0</v>
      </c>
      <c r="R1507" s="2" t="s">
        <v>15315</v>
      </c>
    </row>
    <row r="1508" spans="1:18" x14ac:dyDescent="0.25">
      <c r="A1508" s="2" t="s">
        <v>8296</v>
      </c>
      <c r="B1508" s="6">
        <v>46174</v>
      </c>
      <c r="C1508" s="8">
        <v>46198</v>
      </c>
      <c r="D1508" s="2" t="s">
        <v>7433</v>
      </c>
      <c r="E1508" s="2" t="s">
        <v>12593</v>
      </c>
      <c r="F1508" s="2" t="s">
        <v>15316</v>
      </c>
      <c r="G1508" s="2" t="s">
        <v>15668</v>
      </c>
      <c r="H1508" s="2" t="s">
        <v>39</v>
      </c>
      <c r="I1508" s="9">
        <v>8798.0499999999993</v>
      </c>
      <c r="J1508" s="7">
        <v>1</v>
      </c>
      <c r="K1508" s="9">
        <v>8798.0499999999993</v>
      </c>
      <c r="L1508" s="14">
        <v>0</v>
      </c>
      <c r="M1508" s="2" t="s">
        <v>71</v>
      </c>
      <c r="N1508" s="2" t="s">
        <v>12595</v>
      </c>
      <c r="O1508" s="2" t="s">
        <v>15669</v>
      </c>
      <c r="P1508" s="9">
        <v>0</v>
      </c>
      <c r="Q1508" s="9">
        <v>0</v>
      </c>
      <c r="R1508" s="2" t="s">
        <v>15319</v>
      </c>
    </row>
    <row r="1509" spans="1:18" x14ac:dyDescent="0.25">
      <c r="A1509" s="2" t="s">
        <v>8301</v>
      </c>
      <c r="B1509" s="6">
        <v>46174</v>
      </c>
      <c r="C1509" s="8">
        <v>46199</v>
      </c>
      <c r="D1509" s="2" t="s">
        <v>7433</v>
      </c>
      <c r="E1509" s="2" t="s">
        <v>12593</v>
      </c>
      <c r="F1509" s="2" t="s">
        <v>15320</v>
      </c>
      <c r="G1509" s="2" t="s">
        <v>15670</v>
      </c>
      <c r="H1509" s="2" t="s">
        <v>76</v>
      </c>
      <c r="I1509" s="9">
        <v>145197760</v>
      </c>
      <c r="J1509" s="7">
        <v>6.2500000000000001E-5</v>
      </c>
      <c r="K1509" s="9">
        <v>9074.86</v>
      </c>
      <c r="L1509" s="14">
        <v>0</v>
      </c>
      <c r="M1509" s="2" t="s">
        <v>71</v>
      </c>
      <c r="N1509" s="2" t="s">
        <v>12595</v>
      </c>
      <c r="O1509" s="2" t="s">
        <v>15671</v>
      </c>
      <c r="P1509" s="9">
        <v>0</v>
      </c>
      <c r="Q1509" s="9">
        <v>0</v>
      </c>
      <c r="R1509" s="2" t="s">
        <v>15323</v>
      </c>
    </row>
    <row r="1510" spans="1:18" x14ac:dyDescent="0.25">
      <c r="A1510" s="2" t="s">
        <v>8306</v>
      </c>
      <c r="B1510" s="6">
        <v>46174</v>
      </c>
      <c r="C1510" s="8">
        <v>46200</v>
      </c>
      <c r="D1510" s="2" t="s">
        <v>7433</v>
      </c>
      <c r="E1510" s="2" t="s">
        <v>12593</v>
      </c>
      <c r="F1510" s="2" t="s">
        <v>15324</v>
      </c>
      <c r="G1510" s="2" t="s">
        <v>15672</v>
      </c>
      <c r="H1510" s="2" t="s">
        <v>70</v>
      </c>
      <c r="I1510" s="9">
        <v>14062.676691999999</v>
      </c>
      <c r="J1510" s="7">
        <v>0.66500000000000004</v>
      </c>
      <c r="K1510" s="9">
        <v>9351.68</v>
      </c>
      <c r="L1510" s="14">
        <v>0</v>
      </c>
      <c r="M1510" s="2" t="s">
        <v>71</v>
      </c>
      <c r="N1510" s="2" t="s">
        <v>12595</v>
      </c>
      <c r="O1510" s="2" t="s">
        <v>15673</v>
      </c>
      <c r="P1510" s="9">
        <v>0</v>
      </c>
      <c r="Q1510" s="9">
        <v>0</v>
      </c>
      <c r="R1510" s="2" t="s">
        <v>15327</v>
      </c>
    </row>
    <row r="1511" spans="1:18" x14ac:dyDescent="0.25">
      <c r="A1511" s="2" t="s">
        <v>8311</v>
      </c>
      <c r="B1511" s="6">
        <v>46174</v>
      </c>
      <c r="C1511" s="8">
        <v>46201</v>
      </c>
      <c r="D1511" s="2" t="s">
        <v>7433</v>
      </c>
      <c r="E1511" s="2" t="s">
        <v>12593</v>
      </c>
      <c r="F1511" s="2" t="s">
        <v>15328</v>
      </c>
      <c r="G1511" s="2" t="s">
        <v>15674</v>
      </c>
      <c r="H1511" s="2" t="s">
        <v>39</v>
      </c>
      <c r="I1511" s="9">
        <v>9628.5</v>
      </c>
      <c r="J1511" s="7">
        <v>1</v>
      </c>
      <c r="K1511" s="9">
        <v>9628.5</v>
      </c>
      <c r="L1511" s="14">
        <v>0</v>
      </c>
      <c r="M1511" s="2" t="s">
        <v>71</v>
      </c>
      <c r="N1511" s="2" t="s">
        <v>12595</v>
      </c>
      <c r="O1511" s="2" t="s">
        <v>15675</v>
      </c>
      <c r="P1511" s="9">
        <v>0</v>
      </c>
      <c r="Q1511" s="9">
        <v>0</v>
      </c>
      <c r="R1511" s="2" t="s">
        <v>15331</v>
      </c>
    </row>
    <row r="1512" spans="1:18" x14ac:dyDescent="0.25">
      <c r="A1512" s="2" t="s">
        <v>8316</v>
      </c>
      <c r="B1512" s="6">
        <v>46174</v>
      </c>
      <c r="C1512" s="8">
        <v>46202</v>
      </c>
      <c r="D1512" s="2" t="s">
        <v>7433</v>
      </c>
      <c r="E1512" s="2" t="s">
        <v>12593</v>
      </c>
      <c r="F1512" s="2" t="s">
        <v>15332</v>
      </c>
      <c r="G1512" s="2" t="s">
        <v>15676</v>
      </c>
      <c r="H1512" s="2" t="s">
        <v>76</v>
      </c>
      <c r="I1512" s="9">
        <v>158484960</v>
      </c>
      <c r="J1512" s="7">
        <v>6.2500000000000001E-5</v>
      </c>
      <c r="K1512" s="9">
        <v>9905.31</v>
      </c>
      <c r="L1512" s="14">
        <v>0</v>
      </c>
      <c r="M1512" s="2" t="s">
        <v>71</v>
      </c>
      <c r="N1512" s="2" t="s">
        <v>12595</v>
      </c>
      <c r="O1512" s="2" t="s">
        <v>15677</v>
      </c>
      <c r="P1512" s="9">
        <v>0</v>
      </c>
      <c r="Q1512" s="9">
        <v>0</v>
      </c>
      <c r="R1512" s="2" t="s">
        <v>15335</v>
      </c>
    </row>
    <row r="1513" spans="1:18" x14ac:dyDescent="0.25">
      <c r="A1513" s="2" t="s">
        <v>8321</v>
      </c>
      <c r="B1513" s="6">
        <v>46174</v>
      </c>
      <c r="C1513" s="8">
        <v>46203</v>
      </c>
      <c r="D1513" s="2" t="s">
        <v>7433</v>
      </c>
      <c r="E1513" s="2" t="s">
        <v>12593</v>
      </c>
      <c r="F1513" s="2" t="s">
        <v>15336</v>
      </c>
      <c r="G1513" s="2" t="s">
        <v>15678</v>
      </c>
      <c r="H1513" s="2" t="s">
        <v>70</v>
      </c>
      <c r="I1513" s="9">
        <v>15311.473684000001</v>
      </c>
      <c r="J1513" s="7">
        <v>0.66500000000000004</v>
      </c>
      <c r="K1513" s="9">
        <v>10182.129999999999</v>
      </c>
      <c r="L1513" s="14">
        <v>0</v>
      </c>
      <c r="M1513" s="2" t="s">
        <v>71</v>
      </c>
      <c r="N1513" s="2" t="s">
        <v>12595</v>
      </c>
      <c r="O1513" s="2" t="s">
        <v>15679</v>
      </c>
      <c r="P1513" s="9">
        <v>0</v>
      </c>
      <c r="Q1513" s="9">
        <v>0</v>
      </c>
      <c r="R1513" s="2" t="s">
        <v>15339</v>
      </c>
    </row>
    <row r="1514" spans="1:18" x14ac:dyDescent="0.25">
      <c r="A1514" s="2" t="s">
        <v>8326</v>
      </c>
      <c r="B1514" s="6">
        <v>46174</v>
      </c>
      <c r="C1514" s="8">
        <v>46174</v>
      </c>
      <c r="D1514" s="2" t="s">
        <v>7433</v>
      </c>
      <c r="E1514" s="2" t="s">
        <v>12593</v>
      </c>
      <c r="F1514" s="2" t="s">
        <v>15300</v>
      </c>
      <c r="G1514" s="2" t="s">
        <v>15680</v>
      </c>
      <c r="H1514" s="2" t="s">
        <v>39</v>
      </c>
      <c r="I1514" s="9">
        <v>10458.94</v>
      </c>
      <c r="J1514" s="7">
        <v>1</v>
      </c>
      <c r="K1514" s="9">
        <v>10458.94</v>
      </c>
      <c r="L1514" s="14">
        <v>0</v>
      </c>
      <c r="M1514" s="2" t="s">
        <v>71</v>
      </c>
      <c r="N1514" s="2" t="s">
        <v>12595</v>
      </c>
      <c r="O1514" s="2" t="s">
        <v>15681</v>
      </c>
      <c r="P1514" s="9">
        <v>0</v>
      </c>
      <c r="Q1514" s="9">
        <v>0</v>
      </c>
      <c r="R1514" s="2" t="s">
        <v>15303</v>
      </c>
    </row>
    <row r="1515" spans="1:18" x14ac:dyDescent="0.25">
      <c r="A1515" s="2" t="s">
        <v>8331</v>
      </c>
      <c r="B1515" s="6">
        <v>46174</v>
      </c>
      <c r="C1515" s="8">
        <v>46175</v>
      </c>
      <c r="D1515" s="2" t="s">
        <v>7433</v>
      </c>
      <c r="E1515" s="2" t="s">
        <v>12593</v>
      </c>
      <c r="F1515" s="2" t="s">
        <v>15304</v>
      </c>
      <c r="G1515" s="2" t="s">
        <v>15682</v>
      </c>
      <c r="H1515" s="2" t="s">
        <v>76</v>
      </c>
      <c r="I1515" s="9">
        <v>171772160</v>
      </c>
      <c r="J1515" s="7">
        <v>6.2500000000000001E-5</v>
      </c>
      <c r="K1515" s="9">
        <v>10735.76</v>
      </c>
      <c r="L1515" s="14">
        <v>0</v>
      </c>
      <c r="M1515" s="2" t="s">
        <v>71</v>
      </c>
      <c r="N1515" s="2" t="s">
        <v>12595</v>
      </c>
      <c r="O1515" s="2" t="s">
        <v>15683</v>
      </c>
      <c r="P1515" s="9">
        <v>0</v>
      </c>
      <c r="Q1515" s="9">
        <v>0</v>
      </c>
      <c r="R1515" s="2" t="s">
        <v>15307</v>
      </c>
    </row>
    <row r="1516" spans="1:18" x14ac:dyDescent="0.25">
      <c r="A1516" s="2" t="s">
        <v>8336</v>
      </c>
      <c r="B1516" s="6">
        <v>46174</v>
      </c>
      <c r="C1516" s="8">
        <v>46176</v>
      </c>
      <c r="D1516" s="2" t="s">
        <v>7433</v>
      </c>
      <c r="E1516" s="2" t="s">
        <v>12593</v>
      </c>
      <c r="F1516" s="2" t="s">
        <v>15308</v>
      </c>
      <c r="G1516" s="2" t="s">
        <v>15684</v>
      </c>
      <c r="H1516" s="2" t="s">
        <v>70</v>
      </c>
      <c r="I1516" s="9">
        <v>16560.255638999999</v>
      </c>
      <c r="J1516" s="7">
        <v>0.66500000000000004</v>
      </c>
      <c r="K1516" s="9">
        <v>11012.57</v>
      </c>
      <c r="L1516" s="14">
        <v>0</v>
      </c>
      <c r="M1516" s="2" t="s">
        <v>71</v>
      </c>
      <c r="N1516" s="2" t="s">
        <v>12595</v>
      </c>
      <c r="O1516" s="2" t="s">
        <v>15685</v>
      </c>
      <c r="P1516" s="9">
        <v>0</v>
      </c>
      <c r="Q1516" s="9">
        <v>0</v>
      </c>
      <c r="R1516" s="2" t="s">
        <v>15311</v>
      </c>
    </row>
    <row r="1517" spans="1:18" x14ac:dyDescent="0.25">
      <c r="A1517" s="2" t="s">
        <v>8341</v>
      </c>
      <c r="B1517" s="6">
        <v>46174</v>
      </c>
      <c r="C1517" s="8">
        <v>46177</v>
      </c>
      <c r="D1517" s="2" t="s">
        <v>7433</v>
      </c>
      <c r="E1517" s="2" t="s">
        <v>12593</v>
      </c>
      <c r="F1517" s="2" t="s">
        <v>15312</v>
      </c>
      <c r="G1517" s="2" t="s">
        <v>15686</v>
      </c>
      <c r="H1517" s="2" t="s">
        <v>39</v>
      </c>
      <c r="I1517" s="9">
        <v>11289.39</v>
      </c>
      <c r="J1517" s="7">
        <v>1</v>
      </c>
      <c r="K1517" s="9">
        <v>11289.39</v>
      </c>
      <c r="L1517" s="14">
        <v>0</v>
      </c>
      <c r="M1517" s="2" t="s">
        <v>71</v>
      </c>
      <c r="N1517" s="2" t="s">
        <v>12595</v>
      </c>
      <c r="O1517" s="2" t="s">
        <v>15687</v>
      </c>
      <c r="P1517" s="9">
        <v>0</v>
      </c>
      <c r="Q1517" s="9">
        <v>0</v>
      </c>
      <c r="R1517" s="2" t="s">
        <v>15315</v>
      </c>
    </row>
    <row r="1518" spans="1:18" x14ac:dyDescent="0.25">
      <c r="A1518" s="2" t="s">
        <v>8346</v>
      </c>
      <c r="B1518" s="6">
        <v>46174</v>
      </c>
      <c r="C1518" s="8">
        <v>46178</v>
      </c>
      <c r="D1518" s="2" t="s">
        <v>7433</v>
      </c>
      <c r="E1518" s="2" t="s">
        <v>12593</v>
      </c>
      <c r="F1518" s="2" t="s">
        <v>15316</v>
      </c>
      <c r="G1518" s="2" t="s">
        <v>15688</v>
      </c>
      <c r="H1518" s="2" t="s">
        <v>76</v>
      </c>
      <c r="I1518" s="9">
        <v>185059360</v>
      </c>
      <c r="J1518" s="7">
        <v>6.2500000000000001E-5</v>
      </c>
      <c r="K1518" s="9">
        <v>11566.21</v>
      </c>
      <c r="L1518" s="14">
        <v>0</v>
      </c>
      <c r="M1518" s="2" t="s">
        <v>71</v>
      </c>
      <c r="N1518" s="2" t="s">
        <v>12595</v>
      </c>
      <c r="O1518" s="2" t="s">
        <v>15689</v>
      </c>
      <c r="P1518" s="9">
        <v>0</v>
      </c>
      <c r="Q1518" s="9">
        <v>0</v>
      </c>
      <c r="R1518" s="2" t="s">
        <v>15319</v>
      </c>
    </row>
    <row r="1519" spans="1:18" x14ac:dyDescent="0.25">
      <c r="A1519" s="2" t="s">
        <v>8351</v>
      </c>
      <c r="B1519" s="6">
        <v>46174</v>
      </c>
      <c r="C1519" s="8">
        <v>46179</v>
      </c>
      <c r="D1519" s="2" t="s">
        <v>7433</v>
      </c>
      <c r="E1519" s="2" t="s">
        <v>12593</v>
      </c>
      <c r="F1519" s="2" t="s">
        <v>15320</v>
      </c>
      <c r="G1519" s="2" t="s">
        <v>15690</v>
      </c>
      <c r="H1519" s="2" t="s">
        <v>70</v>
      </c>
      <c r="I1519" s="9">
        <v>17809.052631999999</v>
      </c>
      <c r="J1519" s="7">
        <v>0.66500000000000004</v>
      </c>
      <c r="K1519" s="9">
        <v>11843.02</v>
      </c>
      <c r="L1519" s="14">
        <v>0</v>
      </c>
      <c r="M1519" s="2" t="s">
        <v>71</v>
      </c>
      <c r="N1519" s="2" t="s">
        <v>12595</v>
      </c>
      <c r="O1519" s="2" t="s">
        <v>15691</v>
      </c>
      <c r="P1519" s="9">
        <v>0</v>
      </c>
      <c r="Q1519" s="9">
        <v>0</v>
      </c>
      <c r="R1519" s="2" t="s">
        <v>15323</v>
      </c>
    </row>
    <row r="1520" spans="1:18" x14ac:dyDescent="0.25">
      <c r="A1520" s="2" t="s">
        <v>8356</v>
      </c>
      <c r="B1520" s="6">
        <v>46174</v>
      </c>
      <c r="C1520" s="8">
        <v>46180</v>
      </c>
      <c r="D1520" s="2" t="s">
        <v>7433</v>
      </c>
      <c r="E1520" s="2" t="s">
        <v>12593</v>
      </c>
      <c r="F1520" s="2" t="s">
        <v>15324</v>
      </c>
      <c r="G1520" s="2" t="s">
        <v>15692</v>
      </c>
      <c r="H1520" s="2" t="s">
        <v>39</v>
      </c>
      <c r="I1520" s="9">
        <v>12119.84</v>
      </c>
      <c r="J1520" s="7">
        <v>1</v>
      </c>
      <c r="K1520" s="9">
        <v>12119.84</v>
      </c>
      <c r="L1520" s="14">
        <v>0</v>
      </c>
      <c r="M1520" s="2" t="s">
        <v>71</v>
      </c>
      <c r="N1520" s="2" t="s">
        <v>12595</v>
      </c>
      <c r="O1520" s="2" t="s">
        <v>15693</v>
      </c>
      <c r="P1520" s="9">
        <v>0</v>
      </c>
      <c r="Q1520" s="9">
        <v>0</v>
      </c>
      <c r="R1520" s="2" t="s">
        <v>15327</v>
      </c>
    </row>
    <row r="1521" spans="1:18" x14ac:dyDescent="0.25">
      <c r="A1521" s="2" t="s">
        <v>8361</v>
      </c>
      <c r="B1521" s="6">
        <v>46174</v>
      </c>
      <c r="C1521" s="8">
        <v>46181</v>
      </c>
      <c r="D1521" s="2" t="s">
        <v>7433</v>
      </c>
      <c r="E1521" s="2" t="s">
        <v>12593</v>
      </c>
      <c r="F1521" s="2" t="s">
        <v>15328</v>
      </c>
      <c r="G1521" s="2" t="s">
        <v>15694</v>
      </c>
      <c r="H1521" s="2" t="s">
        <v>76</v>
      </c>
      <c r="I1521" s="9">
        <v>198346560</v>
      </c>
      <c r="J1521" s="7">
        <v>6.2500000000000001E-5</v>
      </c>
      <c r="K1521" s="9">
        <v>12396.66</v>
      </c>
      <c r="L1521" s="14">
        <v>0</v>
      </c>
      <c r="M1521" s="2" t="s">
        <v>71</v>
      </c>
      <c r="N1521" s="2" t="s">
        <v>12595</v>
      </c>
      <c r="O1521" s="2" t="s">
        <v>15695</v>
      </c>
      <c r="P1521" s="9">
        <v>0</v>
      </c>
      <c r="Q1521" s="9">
        <v>0</v>
      </c>
      <c r="R1521" s="2" t="s">
        <v>15331</v>
      </c>
    </row>
    <row r="1522" spans="1:18" x14ac:dyDescent="0.25">
      <c r="A1522" s="2" t="s">
        <v>8366</v>
      </c>
      <c r="B1522" s="6">
        <v>46174</v>
      </c>
      <c r="C1522" s="8">
        <v>46182</v>
      </c>
      <c r="D1522" s="2" t="s">
        <v>7433</v>
      </c>
      <c r="E1522" s="2" t="s">
        <v>12593</v>
      </c>
      <c r="F1522" s="2" t="s">
        <v>15332</v>
      </c>
      <c r="G1522" s="2" t="s">
        <v>15696</v>
      </c>
      <c r="H1522" s="2" t="s">
        <v>70</v>
      </c>
      <c r="I1522" s="9">
        <v>19057.849623999999</v>
      </c>
      <c r="J1522" s="7">
        <v>0.66500000000000004</v>
      </c>
      <c r="K1522" s="9">
        <v>12673.47</v>
      </c>
      <c r="L1522" s="14">
        <v>0</v>
      </c>
      <c r="M1522" s="2" t="s">
        <v>71</v>
      </c>
      <c r="N1522" s="2" t="s">
        <v>12595</v>
      </c>
      <c r="O1522" s="2" t="s">
        <v>15697</v>
      </c>
      <c r="P1522" s="9">
        <v>0</v>
      </c>
      <c r="Q1522" s="9">
        <v>0</v>
      </c>
      <c r="R1522" s="2" t="s">
        <v>15335</v>
      </c>
    </row>
    <row r="1523" spans="1:18" x14ac:dyDescent="0.25">
      <c r="A1523" s="2" t="s">
        <v>8371</v>
      </c>
      <c r="B1523" s="6">
        <v>46174</v>
      </c>
      <c r="C1523" s="8">
        <v>46183</v>
      </c>
      <c r="D1523" s="2" t="s">
        <v>7433</v>
      </c>
      <c r="E1523" s="2" t="s">
        <v>12593</v>
      </c>
      <c r="F1523" s="2" t="s">
        <v>15336</v>
      </c>
      <c r="G1523" s="2" t="s">
        <v>15698</v>
      </c>
      <c r="H1523" s="2" t="s">
        <v>39</v>
      </c>
      <c r="I1523" s="9">
        <v>12950.29</v>
      </c>
      <c r="J1523" s="7">
        <v>1</v>
      </c>
      <c r="K1523" s="9">
        <v>12950.29</v>
      </c>
      <c r="L1523" s="14">
        <v>0</v>
      </c>
      <c r="M1523" s="2" t="s">
        <v>71</v>
      </c>
      <c r="N1523" s="2" t="s">
        <v>12595</v>
      </c>
      <c r="O1523" s="2" t="s">
        <v>15699</v>
      </c>
      <c r="P1523" s="9">
        <v>0</v>
      </c>
      <c r="Q1523" s="9">
        <v>0</v>
      </c>
      <c r="R1523" s="2" t="s">
        <v>15339</v>
      </c>
    </row>
    <row r="1524" spans="1:18" x14ac:dyDescent="0.25">
      <c r="A1524" s="2" t="s">
        <v>8376</v>
      </c>
      <c r="B1524" s="6">
        <v>46174</v>
      </c>
      <c r="C1524" s="8">
        <v>46184</v>
      </c>
      <c r="D1524" s="2" t="s">
        <v>7433</v>
      </c>
      <c r="E1524" s="2" t="s">
        <v>12593</v>
      </c>
      <c r="F1524" s="2" t="s">
        <v>15300</v>
      </c>
      <c r="G1524" s="2" t="s">
        <v>15700</v>
      </c>
      <c r="H1524" s="2" t="s">
        <v>76</v>
      </c>
      <c r="I1524" s="9">
        <v>211633600</v>
      </c>
      <c r="J1524" s="7">
        <v>6.2500000000000001E-5</v>
      </c>
      <c r="K1524" s="9">
        <v>13227.1</v>
      </c>
      <c r="L1524" s="14">
        <v>0</v>
      </c>
      <c r="M1524" s="2" t="s">
        <v>71</v>
      </c>
      <c r="N1524" s="2" t="s">
        <v>12595</v>
      </c>
      <c r="O1524" s="2" t="s">
        <v>15701</v>
      </c>
      <c r="P1524" s="9">
        <v>0</v>
      </c>
      <c r="Q1524" s="9">
        <v>0</v>
      </c>
      <c r="R1524" s="2" t="s">
        <v>15303</v>
      </c>
    </row>
    <row r="1525" spans="1:18" x14ac:dyDescent="0.25">
      <c r="A1525" s="2" t="s">
        <v>8381</v>
      </c>
      <c r="B1525" s="6">
        <v>46174</v>
      </c>
      <c r="C1525" s="8">
        <v>46185</v>
      </c>
      <c r="D1525" s="2" t="s">
        <v>7433</v>
      </c>
      <c r="E1525" s="2" t="s">
        <v>12593</v>
      </c>
      <c r="F1525" s="2" t="s">
        <v>15304</v>
      </c>
      <c r="G1525" s="2" t="s">
        <v>15702</v>
      </c>
      <c r="H1525" s="2" t="s">
        <v>70</v>
      </c>
      <c r="I1525" s="9">
        <v>20306.646616999999</v>
      </c>
      <c r="J1525" s="7">
        <v>0.66500000000000004</v>
      </c>
      <c r="K1525" s="9">
        <v>13503.92</v>
      </c>
      <c r="L1525" s="14">
        <v>0</v>
      </c>
      <c r="M1525" s="2" t="s">
        <v>71</v>
      </c>
      <c r="N1525" s="2" t="s">
        <v>12595</v>
      </c>
      <c r="O1525" s="2" t="s">
        <v>15703</v>
      </c>
      <c r="P1525" s="9">
        <v>0</v>
      </c>
      <c r="Q1525" s="9">
        <v>0</v>
      </c>
      <c r="R1525" s="2" t="s">
        <v>15307</v>
      </c>
    </row>
    <row r="1526" spans="1:18" x14ac:dyDescent="0.25">
      <c r="A1526" s="2" t="s">
        <v>8386</v>
      </c>
      <c r="B1526" s="6">
        <v>46174</v>
      </c>
      <c r="C1526" s="8">
        <v>46186</v>
      </c>
      <c r="D1526" s="2" t="s">
        <v>7433</v>
      </c>
      <c r="E1526" s="2" t="s">
        <v>12593</v>
      </c>
      <c r="F1526" s="2" t="s">
        <v>15308</v>
      </c>
      <c r="G1526" s="2" t="s">
        <v>15704</v>
      </c>
      <c r="H1526" s="2" t="s">
        <v>39</v>
      </c>
      <c r="I1526" s="9">
        <v>13780.74</v>
      </c>
      <c r="J1526" s="7">
        <v>1</v>
      </c>
      <c r="K1526" s="9">
        <v>13780.74</v>
      </c>
      <c r="L1526" s="14">
        <v>0</v>
      </c>
      <c r="M1526" s="2" t="s">
        <v>71</v>
      </c>
      <c r="N1526" s="2" t="s">
        <v>12595</v>
      </c>
      <c r="O1526" s="2" t="s">
        <v>15705</v>
      </c>
      <c r="P1526" s="9">
        <v>0</v>
      </c>
      <c r="Q1526" s="9">
        <v>0</v>
      </c>
      <c r="R1526" s="2" t="s">
        <v>15311</v>
      </c>
    </row>
    <row r="1527" spans="1:18" x14ac:dyDescent="0.25">
      <c r="A1527" s="2" t="s">
        <v>8391</v>
      </c>
      <c r="B1527" s="6">
        <v>46174</v>
      </c>
      <c r="C1527" s="8">
        <v>46187</v>
      </c>
      <c r="D1527" s="2" t="s">
        <v>7433</v>
      </c>
      <c r="E1527" s="2" t="s">
        <v>12593</v>
      </c>
      <c r="F1527" s="2" t="s">
        <v>15312</v>
      </c>
      <c r="G1527" s="2" t="s">
        <v>15706</v>
      </c>
      <c r="H1527" s="2" t="s">
        <v>76</v>
      </c>
      <c r="I1527" s="9">
        <v>224896000</v>
      </c>
      <c r="J1527" s="7">
        <v>6.2500000000000001E-5</v>
      </c>
      <c r="K1527" s="9">
        <v>14056</v>
      </c>
      <c r="L1527" s="14">
        <v>0</v>
      </c>
      <c r="M1527" s="2" t="s">
        <v>71</v>
      </c>
      <c r="N1527" s="2" t="s">
        <v>12595</v>
      </c>
      <c r="O1527" s="2" t="s">
        <v>15707</v>
      </c>
      <c r="P1527" s="9">
        <v>0</v>
      </c>
      <c r="Q1527" s="9">
        <v>0</v>
      </c>
      <c r="R1527" s="2" t="s">
        <v>15315</v>
      </c>
    </row>
    <row r="1528" spans="1:18" x14ac:dyDescent="0.25">
      <c r="A1528" s="2" t="s">
        <v>8396</v>
      </c>
      <c r="B1528" s="6">
        <v>46174</v>
      </c>
      <c r="C1528" s="8">
        <v>46188</v>
      </c>
      <c r="D1528" s="2" t="s">
        <v>7433</v>
      </c>
      <c r="E1528" s="2" t="s">
        <v>12593</v>
      </c>
      <c r="F1528" s="2" t="s">
        <v>15316</v>
      </c>
      <c r="G1528" s="2" t="s">
        <v>15708</v>
      </c>
      <c r="H1528" s="2" t="s">
        <v>70</v>
      </c>
      <c r="I1528" s="9">
        <v>21553.112782</v>
      </c>
      <c r="J1528" s="7">
        <v>0.66500000000000004</v>
      </c>
      <c r="K1528" s="9">
        <v>14332.82</v>
      </c>
      <c r="L1528" s="14">
        <v>0</v>
      </c>
      <c r="M1528" s="2" t="s">
        <v>71</v>
      </c>
      <c r="N1528" s="2" t="s">
        <v>12595</v>
      </c>
      <c r="O1528" s="2" t="s">
        <v>15709</v>
      </c>
      <c r="P1528" s="9">
        <v>0</v>
      </c>
      <c r="Q1528" s="9">
        <v>0</v>
      </c>
      <c r="R1528" s="2" t="s">
        <v>15319</v>
      </c>
    </row>
    <row r="1529" spans="1:18" x14ac:dyDescent="0.25">
      <c r="A1529" s="2" t="s">
        <v>8401</v>
      </c>
      <c r="B1529" s="6">
        <v>46174</v>
      </c>
      <c r="C1529" s="8">
        <v>46189</v>
      </c>
      <c r="D1529" s="2" t="s">
        <v>7433</v>
      </c>
      <c r="E1529" s="2" t="s">
        <v>12593</v>
      </c>
      <c r="F1529" s="2" t="s">
        <v>15320</v>
      </c>
      <c r="G1529" s="2" t="s">
        <v>15710</v>
      </c>
      <c r="H1529" s="2" t="s">
        <v>39</v>
      </c>
      <c r="I1529" s="9">
        <v>14609.63</v>
      </c>
      <c r="J1529" s="7">
        <v>1</v>
      </c>
      <c r="K1529" s="9">
        <v>14609.63</v>
      </c>
      <c r="L1529" s="14">
        <v>0</v>
      </c>
      <c r="M1529" s="2" t="s">
        <v>71</v>
      </c>
      <c r="N1529" s="2" t="s">
        <v>12595</v>
      </c>
      <c r="O1529" s="2" t="s">
        <v>15711</v>
      </c>
      <c r="P1529" s="9">
        <v>0</v>
      </c>
      <c r="Q1529" s="9">
        <v>0</v>
      </c>
      <c r="R1529" s="2" t="s">
        <v>15323</v>
      </c>
    </row>
    <row r="1530" spans="1:18" x14ac:dyDescent="0.25">
      <c r="A1530" s="2" t="s">
        <v>8406</v>
      </c>
      <c r="B1530" s="6">
        <v>46174</v>
      </c>
      <c r="C1530" s="8">
        <v>46190</v>
      </c>
      <c r="D1530" s="2" t="s">
        <v>7433</v>
      </c>
      <c r="E1530" s="2" t="s">
        <v>12593</v>
      </c>
      <c r="F1530" s="2" t="s">
        <v>15324</v>
      </c>
      <c r="G1530" s="2" t="s">
        <v>15712</v>
      </c>
      <c r="H1530" s="2" t="s">
        <v>76</v>
      </c>
      <c r="I1530" s="9">
        <v>238183200</v>
      </c>
      <c r="J1530" s="7">
        <v>6.2500000000000001E-5</v>
      </c>
      <c r="K1530" s="9">
        <v>14886.45</v>
      </c>
      <c r="L1530" s="14">
        <v>0</v>
      </c>
      <c r="M1530" s="2" t="s">
        <v>71</v>
      </c>
      <c r="N1530" s="2" t="s">
        <v>12595</v>
      </c>
      <c r="O1530" s="2" t="s">
        <v>15713</v>
      </c>
      <c r="P1530" s="9">
        <v>0</v>
      </c>
      <c r="Q1530" s="9">
        <v>0</v>
      </c>
      <c r="R1530" s="2" t="s">
        <v>15327</v>
      </c>
    </row>
    <row r="1531" spans="1:18" x14ac:dyDescent="0.25">
      <c r="A1531" s="2" t="s">
        <v>8411</v>
      </c>
      <c r="B1531" s="6">
        <v>46174</v>
      </c>
      <c r="C1531" s="8">
        <v>46191</v>
      </c>
      <c r="D1531" s="2" t="s">
        <v>7433</v>
      </c>
      <c r="E1531" s="2" t="s">
        <v>12593</v>
      </c>
      <c r="F1531" s="2" t="s">
        <v>15328</v>
      </c>
      <c r="G1531" s="2" t="s">
        <v>15714</v>
      </c>
      <c r="H1531" s="2" t="s">
        <v>70</v>
      </c>
      <c r="I1531" s="9">
        <v>22801.894736999999</v>
      </c>
      <c r="J1531" s="7">
        <v>0.66500000000000004</v>
      </c>
      <c r="K1531" s="9">
        <v>15163.26</v>
      </c>
      <c r="L1531" s="14">
        <v>0</v>
      </c>
      <c r="M1531" s="2" t="s">
        <v>71</v>
      </c>
      <c r="N1531" s="2" t="s">
        <v>12595</v>
      </c>
      <c r="O1531" s="2" t="s">
        <v>15715</v>
      </c>
      <c r="P1531" s="9">
        <v>0</v>
      </c>
      <c r="Q1531" s="9">
        <v>0</v>
      </c>
      <c r="R1531" s="2" t="s">
        <v>15331</v>
      </c>
    </row>
    <row r="1532" spans="1:18" x14ac:dyDescent="0.25">
      <c r="A1532" s="2" t="s">
        <v>8416</v>
      </c>
      <c r="B1532" s="6">
        <v>46174</v>
      </c>
      <c r="C1532" s="8">
        <v>46192</v>
      </c>
      <c r="D1532" s="2" t="s">
        <v>7433</v>
      </c>
      <c r="E1532" s="2" t="s">
        <v>12593</v>
      </c>
      <c r="F1532" s="2" t="s">
        <v>15332</v>
      </c>
      <c r="G1532" s="2" t="s">
        <v>15716</v>
      </c>
      <c r="H1532" s="2" t="s">
        <v>39</v>
      </c>
      <c r="I1532" s="9">
        <v>15440.08</v>
      </c>
      <c r="J1532" s="7">
        <v>1</v>
      </c>
      <c r="K1532" s="9">
        <v>15440.08</v>
      </c>
      <c r="L1532" s="14">
        <v>0</v>
      </c>
      <c r="M1532" s="2" t="s">
        <v>71</v>
      </c>
      <c r="N1532" s="2" t="s">
        <v>12595</v>
      </c>
      <c r="O1532" s="2" t="s">
        <v>15717</v>
      </c>
      <c r="P1532" s="9">
        <v>0</v>
      </c>
      <c r="Q1532" s="9">
        <v>0</v>
      </c>
      <c r="R1532" s="2" t="s">
        <v>15335</v>
      </c>
    </row>
    <row r="1533" spans="1:18" x14ac:dyDescent="0.25">
      <c r="A1533" s="2" t="s">
        <v>8421</v>
      </c>
      <c r="B1533" s="6">
        <v>46174</v>
      </c>
      <c r="C1533" s="8">
        <v>46193</v>
      </c>
      <c r="D1533" s="2" t="s">
        <v>7433</v>
      </c>
      <c r="E1533" s="2" t="s">
        <v>12593</v>
      </c>
      <c r="F1533" s="2" t="s">
        <v>15336</v>
      </c>
      <c r="G1533" s="2" t="s">
        <v>15718</v>
      </c>
      <c r="H1533" s="2" t="s">
        <v>76</v>
      </c>
      <c r="I1533" s="9">
        <v>251470400</v>
      </c>
      <c r="J1533" s="7">
        <v>6.2500000000000001E-5</v>
      </c>
      <c r="K1533" s="9">
        <v>15716.9</v>
      </c>
      <c r="L1533" s="14">
        <v>0</v>
      </c>
      <c r="M1533" s="2" t="s">
        <v>71</v>
      </c>
      <c r="N1533" s="2" t="s">
        <v>12595</v>
      </c>
      <c r="O1533" s="2" t="s">
        <v>15719</v>
      </c>
      <c r="P1533" s="9">
        <v>0</v>
      </c>
      <c r="Q1533" s="9">
        <v>0</v>
      </c>
      <c r="R1533" s="2" t="s">
        <v>15339</v>
      </c>
    </row>
    <row r="1534" spans="1:18" x14ac:dyDescent="0.25">
      <c r="A1534" s="2" t="s">
        <v>8426</v>
      </c>
      <c r="B1534" s="6">
        <v>46174</v>
      </c>
      <c r="C1534" s="8">
        <v>46194</v>
      </c>
      <c r="D1534" s="2" t="s">
        <v>7433</v>
      </c>
      <c r="E1534" s="2" t="s">
        <v>12593</v>
      </c>
      <c r="F1534" s="2" t="s">
        <v>15300</v>
      </c>
      <c r="G1534" s="2" t="s">
        <v>15720</v>
      </c>
      <c r="H1534" s="2" t="s">
        <v>70</v>
      </c>
      <c r="I1534" s="9">
        <v>24050.691728999998</v>
      </c>
      <c r="J1534" s="7">
        <v>0.66500000000000004</v>
      </c>
      <c r="K1534" s="9">
        <v>15993.71</v>
      </c>
      <c r="L1534" s="14">
        <v>0</v>
      </c>
      <c r="M1534" s="2" t="s">
        <v>71</v>
      </c>
      <c r="N1534" s="2" t="s">
        <v>12595</v>
      </c>
      <c r="O1534" s="2" t="s">
        <v>15721</v>
      </c>
      <c r="P1534" s="9">
        <v>0</v>
      </c>
      <c r="Q1534" s="9">
        <v>0</v>
      </c>
      <c r="R1534" s="2" t="s">
        <v>15303</v>
      </c>
    </row>
    <row r="1535" spans="1:18" x14ac:dyDescent="0.25">
      <c r="A1535" s="2" t="s">
        <v>8431</v>
      </c>
      <c r="B1535" s="6">
        <v>46174</v>
      </c>
      <c r="C1535" s="8">
        <v>46195</v>
      </c>
      <c r="D1535" s="2" t="s">
        <v>7433</v>
      </c>
      <c r="E1535" s="2" t="s">
        <v>12593</v>
      </c>
      <c r="F1535" s="2" t="s">
        <v>15304</v>
      </c>
      <c r="G1535" s="2" t="s">
        <v>15722</v>
      </c>
      <c r="H1535" s="2" t="s">
        <v>39</v>
      </c>
      <c r="I1535" s="9">
        <v>16270.53</v>
      </c>
      <c r="J1535" s="7">
        <v>1</v>
      </c>
      <c r="K1535" s="9">
        <v>16270.53</v>
      </c>
      <c r="L1535" s="14">
        <v>0</v>
      </c>
      <c r="M1535" s="2" t="s">
        <v>71</v>
      </c>
      <c r="N1535" s="2" t="s">
        <v>12595</v>
      </c>
      <c r="O1535" s="2" t="s">
        <v>15723</v>
      </c>
      <c r="P1535" s="9">
        <v>0</v>
      </c>
      <c r="Q1535" s="9">
        <v>0</v>
      </c>
      <c r="R1535" s="2" t="s">
        <v>15307</v>
      </c>
    </row>
    <row r="1536" spans="1:18" x14ac:dyDescent="0.25">
      <c r="A1536" s="2" t="s">
        <v>8436</v>
      </c>
      <c r="B1536" s="6">
        <v>46174</v>
      </c>
      <c r="C1536" s="8">
        <v>46196</v>
      </c>
      <c r="D1536" s="2" t="s">
        <v>7433</v>
      </c>
      <c r="E1536" s="2" t="s">
        <v>12593</v>
      </c>
      <c r="F1536" s="2" t="s">
        <v>15308</v>
      </c>
      <c r="G1536" s="2" t="s">
        <v>15724</v>
      </c>
      <c r="H1536" s="2" t="s">
        <v>76</v>
      </c>
      <c r="I1536" s="9">
        <v>264757440</v>
      </c>
      <c r="J1536" s="7">
        <v>6.2500000000000001E-5</v>
      </c>
      <c r="K1536" s="9">
        <v>16547.34</v>
      </c>
      <c r="L1536" s="14">
        <v>0</v>
      </c>
      <c r="M1536" s="2" t="s">
        <v>71</v>
      </c>
      <c r="N1536" s="2" t="s">
        <v>12595</v>
      </c>
      <c r="O1536" s="2" t="s">
        <v>15725</v>
      </c>
      <c r="P1536" s="9">
        <v>0</v>
      </c>
      <c r="Q1536" s="9">
        <v>0</v>
      </c>
      <c r="R1536" s="2" t="s">
        <v>15311</v>
      </c>
    </row>
    <row r="1537" spans="1:18" x14ac:dyDescent="0.25">
      <c r="A1537" s="2" t="s">
        <v>8441</v>
      </c>
      <c r="B1537" s="6">
        <v>46174</v>
      </c>
      <c r="C1537" s="8">
        <v>46197</v>
      </c>
      <c r="D1537" s="2" t="s">
        <v>7433</v>
      </c>
      <c r="E1537" s="2" t="s">
        <v>12593</v>
      </c>
      <c r="F1537" s="2" t="s">
        <v>15312</v>
      </c>
      <c r="G1537" s="2" t="s">
        <v>15726</v>
      </c>
      <c r="H1537" s="2" t="s">
        <v>70</v>
      </c>
      <c r="I1537" s="9">
        <v>25299.488721999998</v>
      </c>
      <c r="J1537" s="7">
        <v>0.66500000000000004</v>
      </c>
      <c r="K1537" s="9">
        <v>16824.16</v>
      </c>
      <c r="L1537" s="14">
        <v>0</v>
      </c>
      <c r="M1537" s="2" t="s">
        <v>71</v>
      </c>
      <c r="N1537" s="2" t="s">
        <v>12595</v>
      </c>
      <c r="O1537" s="2" t="s">
        <v>15727</v>
      </c>
      <c r="P1537" s="9">
        <v>0</v>
      </c>
      <c r="Q1537" s="9">
        <v>0</v>
      </c>
      <c r="R1537" s="2" t="s">
        <v>15315</v>
      </c>
    </row>
    <row r="1538" spans="1:18" x14ac:dyDescent="0.25">
      <c r="A1538" s="2" t="s">
        <v>8446</v>
      </c>
      <c r="B1538" s="6">
        <v>46174</v>
      </c>
      <c r="C1538" s="8">
        <v>46198</v>
      </c>
      <c r="D1538" s="2" t="s">
        <v>7433</v>
      </c>
      <c r="E1538" s="2" t="s">
        <v>12593</v>
      </c>
      <c r="F1538" s="2" t="s">
        <v>15316</v>
      </c>
      <c r="G1538" s="2" t="s">
        <v>15728</v>
      </c>
      <c r="H1538" s="2" t="s">
        <v>39</v>
      </c>
      <c r="I1538" s="9">
        <v>-17100.98</v>
      </c>
      <c r="J1538" s="7">
        <v>1</v>
      </c>
      <c r="K1538" s="9">
        <v>-17100.98</v>
      </c>
      <c r="L1538" s="14">
        <v>0</v>
      </c>
      <c r="M1538" s="2" t="s">
        <v>71</v>
      </c>
      <c r="N1538" s="2" t="s">
        <v>12595</v>
      </c>
      <c r="O1538" s="2" t="s">
        <v>15729</v>
      </c>
      <c r="P1538" s="9">
        <v>0</v>
      </c>
      <c r="Q1538" s="9">
        <v>0</v>
      </c>
      <c r="R1538" s="2" t="s">
        <v>15319</v>
      </c>
    </row>
    <row r="1539" spans="1:18" x14ac:dyDescent="0.25">
      <c r="A1539" s="2" t="s">
        <v>8449</v>
      </c>
      <c r="B1539" s="6">
        <v>46174</v>
      </c>
      <c r="C1539" s="8">
        <v>46199</v>
      </c>
      <c r="D1539" s="2" t="s">
        <v>7433</v>
      </c>
      <c r="E1539" s="2" t="s">
        <v>12593</v>
      </c>
      <c r="F1539" s="2" t="s">
        <v>15320</v>
      </c>
      <c r="G1539" s="2" t="s">
        <v>15730</v>
      </c>
      <c r="H1539" s="2" t="s">
        <v>76</v>
      </c>
      <c r="I1539" s="9">
        <v>278044640</v>
      </c>
      <c r="J1539" s="7">
        <v>6.2500000000000001E-5</v>
      </c>
      <c r="K1539" s="9">
        <v>17377.79</v>
      </c>
      <c r="L1539" s="14">
        <v>0</v>
      </c>
      <c r="M1539" s="2" t="s">
        <v>71</v>
      </c>
      <c r="N1539" s="2" t="s">
        <v>12595</v>
      </c>
      <c r="O1539" s="2" t="s">
        <v>15731</v>
      </c>
      <c r="P1539" s="9">
        <v>0</v>
      </c>
      <c r="Q1539" s="9">
        <v>0</v>
      </c>
      <c r="R1539" s="2" t="s">
        <v>15323</v>
      </c>
    </row>
    <row r="1540" spans="1:18" x14ac:dyDescent="0.25">
      <c r="A1540" s="2" t="s">
        <v>8454</v>
      </c>
      <c r="B1540" s="6">
        <v>46174</v>
      </c>
      <c r="C1540" s="8">
        <v>46200</v>
      </c>
      <c r="D1540" s="2" t="s">
        <v>7433</v>
      </c>
      <c r="E1540" s="2" t="s">
        <v>12593</v>
      </c>
      <c r="F1540" s="2" t="s">
        <v>15324</v>
      </c>
      <c r="G1540" s="2" t="s">
        <v>15732</v>
      </c>
      <c r="H1540" s="2" t="s">
        <v>70</v>
      </c>
      <c r="I1540" s="9">
        <v>26548.285714000001</v>
      </c>
      <c r="J1540" s="7">
        <v>0.66500000000000004</v>
      </c>
      <c r="K1540" s="9">
        <v>17654.61</v>
      </c>
      <c r="L1540" s="14">
        <v>0</v>
      </c>
      <c r="M1540" s="2" t="s">
        <v>71</v>
      </c>
      <c r="N1540" s="2" t="s">
        <v>12595</v>
      </c>
      <c r="O1540" s="2" t="s">
        <v>15733</v>
      </c>
      <c r="P1540" s="9">
        <v>0</v>
      </c>
      <c r="Q1540" s="9">
        <v>0</v>
      </c>
      <c r="R1540" s="2" t="s">
        <v>15327</v>
      </c>
    </row>
    <row r="1541" spans="1:18" x14ac:dyDescent="0.25">
      <c r="A1541" s="2" t="s">
        <v>8459</v>
      </c>
      <c r="B1541" s="6">
        <v>46174</v>
      </c>
      <c r="C1541" s="8">
        <v>46201</v>
      </c>
      <c r="D1541" s="2" t="s">
        <v>7433</v>
      </c>
      <c r="E1541" s="2" t="s">
        <v>12593</v>
      </c>
      <c r="F1541" s="2" t="s">
        <v>15328</v>
      </c>
      <c r="G1541" s="2" t="s">
        <v>15734</v>
      </c>
      <c r="H1541" s="2" t="s">
        <v>39</v>
      </c>
      <c r="I1541" s="9">
        <v>17931.419999999998</v>
      </c>
      <c r="J1541" s="7">
        <v>1</v>
      </c>
      <c r="K1541" s="9">
        <v>17931.419999999998</v>
      </c>
      <c r="L1541" s="14">
        <v>0</v>
      </c>
      <c r="M1541" s="2" t="s">
        <v>71</v>
      </c>
      <c r="N1541" s="2" t="s">
        <v>12595</v>
      </c>
      <c r="O1541" s="2" t="s">
        <v>15735</v>
      </c>
      <c r="P1541" s="9">
        <v>0</v>
      </c>
      <c r="Q1541" s="9">
        <v>0</v>
      </c>
      <c r="R1541" s="2" t="s">
        <v>15331</v>
      </c>
    </row>
    <row r="1542" spans="1:18" x14ac:dyDescent="0.25">
      <c r="A1542" s="2" t="s">
        <v>8464</v>
      </c>
      <c r="B1542" s="6">
        <v>46174</v>
      </c>
      <c r="C1542" s="8">
        <v>46202</v>
      </c>
      <c r="D1542" s="2" t="s">
        <v>7433</v>
      </c>
      <c r="E1542" s="2" t="s">
        <v>12593</v>
      </c>
      <c r="F1542" s="2" t="s">
        <v>15332</v>
      </c>
      <c r="G1542" s="2" t="s">
        <v>15736</v>
      </c>
      <c r="H1542" s="2" t="s">
        <v>76</v>
      </c>
      <c r="I1542" s="9">
        <v>291331840</v>
      </c>
      <c r="J1542" s="7">
        <v>6.2500000000000001E-5</v>
      </c>
      <c r="K1542" s="9">
        <v>18208.240000000002</v>
      </c>
      <c r="L1542" s="14">
        <v>0</v>
      </c>
      <c r="M1542" s="2" t="s">
        <v>71</v>
      </c>
      <c r="N1542" s="2" t="s">
        <v>12595</v>
      </c>
      <c r="O1542" s="2" t="s">
        <v>15737</v>
      </c>
      <c r="P1542" s="9">
        <v>0</v>
      </c>
      <c r="Q1542" s="9">
        <v>0</v>
      </c>
      <c r="R1542" s="2" t="s">
        <v>15335</v>
      </c>
    </row>
    <row r="1543" spans="1:18" x14ac:dyDescent="0.25">
      <c r="A1543" s="2" t="s">
        <v>8469</v>
      </c>
      <c r="B1543" s="6">
        <v>46174</v>
      </c>
      <c r="C1543" s="8">
        <v>46203</v>
      </c>
      <c r="D1543" s="2" t="s">
        <v>7433</v>
      </c>
      <c r="E1543" s="2" t="s">
        <v>12593</v>
      </c>
      <c r="F1543" s="2" t="s">
        <v>15336</v>
      </c>
      <c r="G1543" s="2" t="s">
        <v>15738</v>
      </c>
      <c r="H1543" s="2" t="s">
        <v>70</v>
      </c>
      <c r="I1543" s="9">
        <v>27797.082707000001</v>
      </c>
      <c r="J1543" s="7">
        <v>0.66500000000000004</v>
      </c>
      <c r="K1543" s="9">
        <v>18485.060000000001</v>
      </c>
      <c r="L1543" s="14">
        <v>0</v>
      </c>
      <c r="M1543" s="2" t="s">
        <v>71</v>
      </c>
      <c r="N1543" s="2" t="s">
        <v>12595</v>
      </c>
      <c r="O1543" s="2" t="s">
        <v>15739</v>
      </c>
      <c r="P1543" s="9">
        <v>0</v>
      </c>
      <c r="Q1543" s="9">
        <v>0</v>
      </c>
      <c r="R1543" s="2" t="s">
        <v>15339</v>
      </c>
    </row>
    <row r="1544" spans="1:18" x14ac:dyDescent="0.25">
      <c r="A1544" s="2" t="s">
        <v>8474</v>
      </c>
      <c r="B1544" s="6">
        <v>46174</v>
      </c>
      <c r="C1544" s="8">
        <v>46174</v>
      </c>
      <c r="D1544" s="2" t="s">
        <v>7433</v>
      </c>
      <c r="E1544" s="2" t="s">
        <v>12593</v>
      </c>
      <c r="F1544" s="2" t="s">
        <v>15300</v>
      </c>
      <c r="G1544" s="2" t="s">
        <v>15740</v>
      </c>
      <c r="H1544" s="2" t="s">
        <v>39</v>
      </c>
      <c r="I1544" s="9">
        <v>18761.87</v>
      </c>
      <c r="J1544" s="7">
        <v>1</v>
      </c>
      <c r="K1544" s="9">
        <v>18761.87</v>
      </c>
      <c r="L1544" s="14">
        <v>0</v>
      </c>
      <c r="M1544" s="2" t="s">
        <v>71</v>
      </c>
      <c r="N1544" s="2" t="s">
        <v>12595</v>
      </c>
      <c r="O1544" s="2" t="s">
        <v>15741</v>
      </c>
      <c r="P1544" s="9">
        <v>0</v>
      </c>
      <c r="Q1544" s="9">
        <v>0</v>
      </c>
      <c r="R1544" s="2" t="s">
        <v>15303</v>
      </c>
    </row>
    <row r="1545" spans="1:18" x14ac:dyDescent="0.25">
      <c r="A1545" s="2" t="s">
        <v>8479</v>
      </c>
      <c r="B1545" s="6">
        <v>46174</v>
      </c>
      <c r="C1545" s="8">
        <v>46175</v>
      </c>
      <c r="D1545" s="2" t="s">
        <v>7433</v>
      </c>
      <c r="E1545" s="2" t="s">
        <v>12593</v>
      </c>
      <c r="F1545" s="2" t="s">
        <v>15304</v>
      </c>
      <c r="G1545" s="2" t="s">
        <v>15742</v>
      </c>
      <c r="H1545" s="2" t="s">
        <v>76</v>
      </c>
      <c r="I1545" s="9">
        <v>304619040</v>
      </c>
      <c r="J1545" s="7">
        <v>6.2500000000000001E-5</v>
      </c>
      <c r="K1545" s="9">
        <v>19038.689999999999</v>
      </c>
      <c r="L1545" s="14">
        <v>0</v>
      </c>
      <c r="M1545" s="2" t="s">
        <v>71</v>
      </c>
      <c r="N1545" s="2" t="s">
        <v>12595</v>
      </c>
      <c r="O1545" s="2" t="s">
        <v>15743</v>
      </c>
      <c r="P1545" s="9">
        <v>0</v>
      </c>
      <c r="Q1545" s="9">
        <v>0</v>
      </c>
      <c r="R1545" s="2" t="s">
        <v>15307</v>
      </c>
    </row>
    <row r="1546" spans="1:18" x14ac:dyDescent="0.25">
      <c r="A1546" s="2" t="s">
        <v>8484</v>
      </c>
      <c r="B1546" s="6">
        <v>46174</v>
      </c>
      <c r="C1546" s="8">
        <v>46176</v>
      </c>
      <c r="D1546" s="2" t="s">
        <v>7433</v>
      </c>
      <c r="E1546" s="2" t="s">
        <v>12593</v>
      </c>
      <c r="F1546" s="2" t="s">
        <v>15308</v>
      </c>
      <c r="G1546" s="2" t="s">
        <v>15744</v>
      </c>
      <c r="H1546" s="2" t="s">
        <v>70</v>
      </c>
      <c r="I1546" s="9">
        <v>29045.864662</v>
      </c>
      <c r="J1546" s="7">
        <v>0.66500000000000004</v>
      </c>
      <c r="K1546" s="9">
        <v>19315.5</v>
      </c>
      <c r="L1546" s="14">
        <v>0</v>
      </c>
      <c r="M1546" s="2" t="s">
        <v>71</v>
      </c>
      <c r="N1546" s="2" t="s">
        <v>12595</v>
      </c>
      <c r="O1546" s="2" t="s">
        <v>15745</v>
      </c>
      <c r="P1546" s="9">
        <v>0</v>
      </c>
      <c r="Q1546" s="9">
        <v>0</v>
      </c>
      <c r="R1546" s="2" t="s">
        <v>15311</v>
      </c>
    </row>
    <row r="1547" spans="1:18" x14ac:dyDescent="0.25">
      <c r="A1547" s="2" t="s">
        <v>8489</v>
      </c>
      <c r="B1547" s="6">
        <v>46174</v>
      </c>
      <c r="C1547" s="8">
        <v>46177</v>
      </c>
      <c r="D1547" s="2" t="s">
        <v>7433</v>
      </c>
      <c r="E1547" s="2" t="s">
        <v>12593</v>
      </c>
      <c r="F1547" s="2" t="s">
        <v>15312</v>
      </c>
      <c r="G1547" s="2" t="s">
        <v>15746</v>
      </c>
      <c r="H1547" s="2" t="s">
        <v>39</v>
      </c>
      <c r="I1547" s="9">
        <v>19592.32</v>
      </c>
      <c r="J1547" s="7">
        <v>1</v>
      </c>
      <c r="K1547" s="9">
        <v>19592.32</v>
      </c>
      <c r="L1547" s="14">
        <v>0</v>
      </c>
      <c r="M1547" s="2" t="s">
        <v>71</v>
      </c>
      <c r="N1547" s="2" t="s">
        <v>12595</v>
      </c>
      <c r="O1547" s="2" t="s">
        <v>15747</v>
      </c>
      <c r="P1547" s="9">
        <v>0</v>
      </c>
      <c r="Q1547" s="9">
        <v>0</v>
      </c>
      <c r="R1547" s="2" t="s">
        <v>15315</v>
      </c>
    </row>
    <row r="1548" spans="1:18" x14ac:dyDescent="0.25">
      <c r="A1548" s="2" t="s">
        <v>8494</v>
      </c>
      <c r="B1548" s="6">
        <v>46174</v>
      </c>
      <c r="C1548" s="8">
        <v>46178</v>
      </c>
      <c r="D1548" s="2" t="s">
        <v>7433</v>
      </c>
      <c r="E1548" s="2" t="s">
        <v>12593</v>
      </c>
      <c r="F1548" s="2" t="s">
        <v>15316</v>
      </c>
      <c r="G1548" s="2" t="s">
        <v>15748</v>
      </c>
      <c r="H1548" s="2" t="s">
        <v>76</v>
      </c>
      <c r="I1548" s="9">
        <v>317906240</v>
      </c>
      <c r="J1548" s="7">
        <v>6.2500000000000001E-5</v>
      </c>
      <c r="K1548" s="9">
        <v>19869.14</v>
      </c>
      <c r="L1548" s="14">
        <v>0</v>
      </c>
      <c r="M1548" s="2" t="s">
        <v>71</v>
      </c>
      <c r="N1548" s="2" t="s">
        <v>12595</v>
      </c>
      <c r="O1548" s="2" t="s">
        <v>15749</v>
      </c>
      <c r="P1548" s="9">
        <v>0</v>
      </c>
      <c r="Q1548" s="9">
        <v>0</v>
      </c>
      <c r="R1548" s="2" t="s">
        <v>15319</v>
      </c>
    </row>
    <row r="1549" spans="1:18" x14ac:dyDescent="0.25">
      <c r="A1549" s="2" t="s">
        <v>8499</v>
      </c>
      <c r="B1549" s="6">
        <v>46174</v>
      </c>
      <c r="C1549" s="8">
        <v>46179</v>
      </c>
      <c r="D1549" s="2" t="s">
        <v>7433</v>
      </c>
      <c r="E1549" s="2" t="s">
        <v>12593</v>
      </c>
      <c r="F1549" s="2" t="s">
        <v>15320</v>
      </c>
      <c r="G1549" s="2" t="s">
        <v>15750</v>
      </c>
      <c r="H1549" s="2" t="s">
        <v>70</v>
      </c>
      <c r="I1549" s="9">
        <v>30294.661654</v>
      </c>
      <c r="J1549" s="7">
        <v>0.66500000000000004</v>
      </c>
      <c r="K1549" s="9">
        <v>20145.95</v>
      </c>
      <c r="L1549" s="14">
        <v>0</v>
      </c>
      <c r="M1549" s="2" t="s">
        <v>71</v>
      </c>
      <c r="N1549" s="2" t="s">
        <v>12595</v>
      </c>
      <c r="O1549" s="2" t="s">
        <v>15751</v>
      </c>
      <c r="P1549" s="9">
        <v>0</v>
      </c>
      <c r="Q1549" s="9">
        <v>0</v>
      </c>
      <c r="R1549" s="2" t="s">
        <v>15323</v>
      </c>
    </row>
    <row r="1550" spans="1:18" x14ac:dyDescent="0.25">
      <c r="A1550" s="2" t="s">
        <v>8504</v>
      </c>
      <c r="B1550" s="6">
        <v>46174</v>
      </c>
      <c r="C1550" s="8">
        <v>46180</v>
      </c>
      <c r="D1550" s="2" t="s">
        <v>7433</v>
      </c>
      <c r="E1550" s="2" t="s">
        <v>12593</v>
      </c>
      <c r="F1550" s="2" t="s">
        <v>15324</v>
      </c>
      <c r="G1550" s="2" t="s">
        <v>15752</v>
      </c>
      <c r="H1550" s="2" t="s">
        <v>39</v>
      </c>
      <c r="I1550" s="9">
        <v>20422.77</v>
      </c>
      <c r="J1550" s="7">
        <v>1</v>
      </c>
      <c r="K1550" s="9">
        <v>20422.77</v>
      </c>
      <c r="L1550" s="14">
        <v>0</v>
      </c>
      <c r="M1550" s="2" t="s">
        <v>71</v>
      </c>
      <c r="N1550" s="2" t="s">
        <v>12595</v>
      </c>
      <c r="O1550" s="2" t="s">
        <v>15753</v>
      </c>
      <c r="P1550" s="9">
        <v>0</v>
      </c>
      <c r="Q1550" s="9">
        <v>0</v>
      </c>
      <c r="R1550" s="2" t="s">
        <v>15327</v>
      </c>
    </row>
    <row r="1551" spans="1:18" x14ac:dyDescent="0.25">
      <c r="A1551" s="2" t="s">
        <v>8509</v>
      </c>
      <c r="B1551" s="6">
        <v>46174</v>
      </c>
      <c r="C1551" s="8">
        <v>46181</v>
      </c>
      <c r="D1551" s="2" t="s">
        <v>7433</v>
      </c>
      <c r="E1551" s="2" t="s">
        <v>12593</v>
      </c>
      <c r="F1551" s="2" t="s">
        <v>15328</v>
      </c>
      <c r="G1551" s="2" t="s">
        <v>15754</v>
      </c>
      <c r="H1551" s="2" t="s">
        <v>76</v>
      </c>
      <c r="I1551" s="9">
        <v>331193280</v>
      </c>
      <c r="J1551" s="7">
        <v>6.2500000000000001E-5</v>
      </c>
      <c r="K1551" s="9">
        <v>20699.580000000002</v>
      </c>
      <c r="L1551" s="14">
        <v>0</v>
      </c>
      <c r="M1551" s="2" t="s">
        <v>71</v>
      </c>
      <c r="N1551" s="2" t="s">
        <v>12595</v>
      </c>
      <c r="O1551" s="2" t="s">
        <v>15755</v>
      </c>
      <c r="P1551" s="9">
        <v>0</v>
      </c>
      <c r="Q1551" s="9">
        <v>0</v>
      </c>
      <c r="R1551" s="2" t="s">
        <v>15331</v>
      </c>
    </row>
    <row r="1552" spans="1:18" x14ac:dyDescent="0.25">
      <c r="A1552" s="2" t="s">
        <v>8514</v>
      </c>
      <c r="B1552" s="6">
        <v>46174</v>
      </c>
      <c r="C1552" s="8">
        <v>46182</v>
      </c>
      <c r="D1552" s="2" t="s">
        <v>7433</v>
      </c>
      <c r="E1552" s="2" t="s">
        <v>12593</v>
      </c>
      <c r="F1552" s="2" t="s">
        <v>15332</v>
      </c>
      <c r="G1552" s="2" t="s">
        <v>15756</v>
      </c>
      <c r="H1552" s="2" t="s">
        <v>70</v>
      </c>
      <c r="I1552" s="9">
        <v>31543.458646999999</v>
      </c>
      <c r="J1552" s="7">
        <v>0.66500000000000004</v>
      </c>
      <c r="K1552" s="9">
        <v>20976.400000000001</v>
      </c>
      <c r="L1552" s="14">
        <v>0</v>
      </c>
      <c r="M1552" s="2" t="s">
        <v>71</v>
      </c>
      <c r="N1552" s="2" t="s">
        <v>12595</v>
      </c>
      <c r="O1552" s="2" t="s">
        <v>15757</v>
      </c>
      <c r="P1552" s="9">
        <v>0</v>
      </c>
      <c r="Q1552" s="9">
        <v>0</v>
      </c>
      <c r="R1552" s="2" t="s">
        <v>15335</v>
      </c>
    </row>
    <row r="1553" spans="1:18" x14ac:dyDescent="0.25">
      <c r="A1553" s="2" t="s">
        <v>8519</v>
      </c>
      <c r="B1553" s="6">
        <v>46174</v>
      </c>
      <c r="C1553" s="8">
        <v>46183</v>
      </c>
      <c r="D1553" s="2" t="s">
        <v>7433</v>
      </c>
      <c r="E1553" s="2" t="s">
        <v>12593</v>
      </c>
      <c r="F1553" s="2" t="s">
        <v>15336</v>
      </c>
      <c r="G1553" s="2" t="s">
        <v>15758</v>
      </c>
      <c r="H1553" s="2" t="s">
        <v>39</v>
      </c>
      <c r="I1553" s="9">
        <v>21253.22</v>
      </c>
      <c r="J1553" s="7">
        <v>1</v>
      </c>
      <c r="K1553" s="9">
        <v>21253.22</v>
      </c>
      <c r="L1553" s="14">
        <v>0</v>
      </c>
      <c r="M1553" s="2" t="s">
        <v>71</v>
      </c>
      <c r="N1553" s="2" t="s">
        <v>12595</v>
      </c>
      <c r="O1553" s="2" t="s">
        <v>15759</v>
      </c>
      <c r="P1553" s="9">
        <v>0</v>
      </c>
      <c r="Q1553" s="9">
        <v>0</v>
      </c>
      <c r="R1553" s="2" t="s">
        <v>15339</v>
      </c>
    </row>
    <row r="1554" spans="1:18" x14ac:dyDescent="0.25">
      <c r="A1554" s="2" t="s">
        <v>8524</v>
      </c>
      <c r="B1554" s="6">
        <v>46174</v>
      </c>
      <c r="C1554" s="8">
        <v>46184</v>
      </c>
      <c r="D1554" s="2" t="s">
        <v>7433</v>
      </c>
      <c r="E1554" s="2" t="s">
        <v>12593</v>
      </c>
      <c r="F1554" s="2" t="s">
        <v>15300</v>
      </c>
      <c r="G1554" s="2" t="s">
        <v>15760</v>
      </c>
      <c r="H1554" s="2" t="s">
        <v>76</v>
      </c>
      <c r="I1554" s="9">
        <v>344480480</v>
      </c>
      <c r="J1554" s="7">
        <v>6.2500000000000001E-5</v>
      </c>
      <c r="K1554" s="9">
        <v>21530.03</v>
      </c>
      <c r="L1554" s="14">
        <v>0</v>
      </c>
      <c r="M1554" s="2" t="s">
        <v>71</v>
      </c>
      <c r="N1554" s="2" t="s">
        <v>12595</v>
      </c>
      <c r="O1554" s="2" t="s">
        <v>15761</v>
      </c>
      <c r="P1554" s="9">
        <v>0</v>
      </c>
      <c r="Q1554" s="9">
        <v>0</v>
      </c>
      <c r="R1554" s="2" t="s">
        <v>15303</v>
      </c>
    </row>
    <row r="1555" spans="1:18" x14ac:dyDescent="0.25">
      <c r="A1555" s="2" t="s">
        <v>8529</v>
      </c>
      <c r="B1555" s="6">
        <v>46174</v>
      </c>
      <c r="C1555" s="8">
        <v>46185</v>
      </c>
      <c r="D1555" s="2" t="s">
        <v>7433</v>
      </c>
      <c r="E1555" s="2" t="s">
        <v>12593</v>
      </c>
      <c r="F1555" s="2" t="s">
        <v>15304</v>
      </c>
      <c r="G1555" s="2" t="s">
        <v>15762</v>
      </c>
      <c r="H1555" s="2" t="s">
        <v>70</v>
      </c>
      <c r="I1555" s="9">
        <v>32792.255639000003</v>
      </c>
      <c r="J1555" s="7">
        <v>0.66500000000000004</v>
      </c>
      <c r="K1555" s="9">
        <v>21806.85</v>
      </c>
      <c r="L1555" s="14">
        <v>0</v>
      </c>
      <c r="M1555" s="2" t="s">
        <v>71</v>
      </c>
      <c r="N1555" s="2" t="s">
        <v>12595</v>
      </c>
      <c r="O1555" s="2" t="s">
        <v>15763</v>
      </c>
      <c r="P1555" s="9">
        <v>0</v>
      </c>
      <c r="Q1555" s="9">
        <v>0</v>
      </c>
      <c r="R1555" s="2" t="s">
        <v>15307</v>
      </c>
    </row>
    <row r="1556" spans="1:18" x14ac:dyDescent="0.25">
      <c r="A1556" s="2" t="s">
        <v>8534</v>
      </c>
      <c r="B1556" s="6">
        <v>46174</v>
      </c>
      <c r="C1556" s="8">
        <v>46186</v>
      </c>
      <c r="D1556" s="2" t="s">
        <v>7433</v>
      </c>
      <c r="E1556" s="2" t="s">
        <v>12593</v>
      </c>
      <c r="F1556" s="2" t="s">
        <v>15308</v>
      </c>
      <c r="G1556" s="2" t="s">
        <v>15764</v>
      </c>
      <c r="H1556" s="2" t="s">
        <v>39</v>
      </c>
      <c r="I1556" s="9">
        <v>22083.66</v>
      </c>
      <c r="J1556" s="7">
        <v>1</v>
      </c>
      <c r="K1556" s="9">
        <v>22083.66</v>
      </c>
      <c r="L1556" s="14">
        <v>0</v>
      </c>
      <c r="M1556" s="2" t="s">
        <v>71</v>
      </c>
      <c r="N1556" s="2" t="s">
        <v>12595</v>
      </c>
      <c r="O1556" s="2" t="s">
        <v>15765</v>
      </c>
      <c r="P1556" s="9">
        <v>0</v>
      </c>
      <c r="Q1556" s="9">
        <v>0</v>
      </c>
      <c r="R1556" s="2" t="s">
        <v>15311</v>
      </c>
    </row>
    <row r="1557" spans="1:18" x14ac:dyDescent="0.25">
      <c r="A1557" s="2" t="s">
        <v>8539</v>
      </c>
      <c r="B1557" s="6">
        <v>46174</v>
      </c>
      <c r="C1557" s="8">
        <v>46187</v>
      </c>
      <c r="D1557" s="2" t="s">
        <v>7433</v>
      </c>
      <c r="E1557" s="2" t="s">
        <v>12593</v>
      </c>
      <c r="F1557" s="2" t="s">
        <v>15312</v>
      </c>
      <c r="G1557" s="2" t="s">
        <v>15766</v>
      </c>
      <c r="H1557" s="2" t="s">
        <v>76</v>
      </c>
      <c r="I1557" s="9">
        <v>357767680</v>
      </c>
      <c r="J1557" s="7">
        <v>6.2500000000000001E-5</v>
      </c>
      <c r="K1557" s="9">
        <v>22360.48</v>
      </c>
      <c r="L1557" s="14">
        <v>0</v>
      </c>
      <c r="M1557" s="2" t="s">
        <v>71</v>
      </c>
      <c r="N1557" s="2" t="s">
        <v>12595</v>
      </c>
      <c r="O1557" s="2" t="s">
        <v>15767</v>
      </c>
      <c r="P1557" s="9">
        <v>0</v>
      </c>
      <c r="Q1557" s="9">
        <v>0</v>
      </c>
      <c r="R1557" s="2" t="s">
        <v>15315</v>
      </c>
    </row>
    <row r="1558" spans="1:18" x14ac:dyDescent="0.25">
      <c r="A1558" s="2" t="s">
        <v>8544</v>
      </c>
      <c r="B1558" s="6">
        <v>46174</v>
      </c>
      <c r="C1558" s="8">
        <v>46188</v>
      </c>
      <c r="D1558" s="2" t="s">
        <v>7433</v>
      </c>
      <c r="E1558" s="2" t="s">
        <v>12593</v>
      </c>
      <c r="F1558" s="2" t="s">
        <v>15316</v>
      </c>
      <c r="G1558" s="2" t="s">
        <v>15768</v>
      </c>
      <c r="H1558" s="2" t="s">
        <v>70</v>
      </c>
      <c r="I1558" s="9">
        <v>34041.052631999999</v>
      </c>
      <c r="J1558" s="7">
        <v>0.66500000000000004</v>
      </c>
      <c r="K1558" s="9">
        <v>22637.3</v>
      </c>
      <c r="L1558" s="14">
        <v>0</v>
      </c>
      <c r="M1558" s="2" t="s">
        <v>71</v>
      </c>
      <c r="N1558" s="2" t="s">
        <v>12595</v>
      </c>
      <c r="O1558" s="2" t="s">
        <v>15769</v>
      </c>
      <c r="P1558" s="9">
        <v>0</v>
      </c>
      <c r="Q1558" s="9">
        <v>0</v>
      </c>
      <c r="R1558" s="2" t="s">
        <v>15319</v>
      </c>
    </row>
    <row r="1559" spans="1:18" x14ac:dyDescent="0.25">
      <c r="A1559" s="2" t="s">
        <v>8549</v>
      </c>
      <c r="B1559" s="6">
        <v>46174</v>
      </c>
      <c r="C1559" s="8">
        <v>46189</v>
      </c>
      <c r="D1559" s="2" t="s">
        <v>7433</v>
      </c>
      <c r="E1559" s="2" t="s">
        <v>12593</v>
      </c>
      <c r="F1559" s="2" t="s">
        <v>15320</v>
      </c>
      <c r="G1559" s="2" t="s">
        <v>15770</v>
      </c>
      <c r="H1559" s="2" t="s">
        <v>39</v>
      </c>
      <c r="I1559" s="9">
        <v>22914.11</v>
      </c>
      <c r="J1559" s="7">
        <v>1</v>
      </c>
      <c r="K1559" s="9">
        <v>22914.11</v>
      </c>
      <c r="L1559" s="14">
        <v>0</v>
      </c>
      <c r="M1559" s="2" t="s">
        <v>71</v>
      </c>
      <c r="N1559" s="2" t="s">
        <v>12595</v>
      </c>
      <c r="O1559" s="2" t="s">
        <v>15771</v>
      </c>
      <c r="P1559" s="9">
        <v>0</v>
      </c>
      <c r="Q1559" s="9">
        <v>0</v>
      </c>
      <c r="R1559" s="2" t="s">
        <v>15323</v>
      </c>
    </row>
    <row r="1560" spans="1:18" x14ac:dyDescent="0.25">
      <c r="A1560" s="2" t="s">
        <v>8554</v>
      </c>
      <c r="B1560" s="6">
        <v>46174</v>
      </c>
      <c r="C1560" s="8">
        <v>46190</v>
      </c>
      <c r="D1560" s="2" t="s">
        <v>7433</v>
      </c>
      <c r="E1560" s="2" t="s">
        <v>12593</v>
      </c>
      <c r="F1560" s="2" t="s">
        <v>15324</v>
      </c>
      <c r="G1560" s="2" t="s">
        <v>15772</v>
      </c>
      <c r="H1560" s="2" t="s">
        <v>76</v>
      </c>
      <c r="I1560" s="9">
        <v>371054880</v>
      </c>
      <c r="J1560" s="7">
        <v>6.2500000000000001E-5</v>
      </c>
      <c r="K1560" s="9">
        <v>23190.93</v>
      </c>
      <c r="L1560" s="14">
        <v>0</v>
      </c>
      <c r="M1560" s="2" t="s">
        <v>71</v>
      </c>
      <c r="N1560" s="2" t="s">
        <v>12595</v>
      </c>
      <c r="O1560" s="2" t="s">
        <v>15773</v>
      </c>
      <c r="P1560" s="9">
        <v>0</v>
      </c>
      <c r="Q1560" s="9">
        <v>0</v>
      </c>
      <c r="R1560" s="2" t="s">
        <v>15327</v>
      </c>
    </row>
    <row r="1561" spans="1:18" x14ac:dyDescent="0.25">
      <c r="A1561" s="2" t="s">
        <v>8559</v>
      </c>
      <c r="B1561" s="6">
        <v>46174</v>
      </c>
      <c r="C1561" s="8">
        <v>46191</v>
      </c>
      <c r="D1561" s="2" t="s">
        <v>7433</v>
      </c>
      <c r="E1561" s="2" t="s">
        <v>12593</v>
      </c>
      <c r="F1561" s="2" t="s">
        <v>15328</v>
      </c>
      <c r="G1561" s="2" t="s">
        <v>15774</v>
      </c>
      <c r="H1561" s="2" t="s">
        <v>70</v>
      </c>
      <c r="I1561" s="9">
        <v>35289.834585999997</v>
      </c>
      <c r="J1561" s="7">
        <v>0.66500000000000004</v>
      </c>
      <c r="K1561" s="9">
        <v>23467.74</v>
      </c>
      <c r="L1561" s="14">
        <v>0</v>
      </c>
      <c r="M1561" s="2" t="s">
        <v>71</v>
      </c>
      <c r="N1561" s="2" t="s">
        <v>12595</v>
      </c>
      <c r="O1561" s="2" t="s">
        <v>15775</v>
      </c>
      <c r="P1561" s="9">
        <v>0</v>
      </c>
      <c r="Q1561" s="9">
        <v>0</v>
      </c>
      <c r="R1561" s="2" t="s">
        <v>15331</v>
      </c>
    </row>
    <row r="1562" spans="1:18" x14ac:dyDescent="0.25">
      <c r="A1562" s="2" t="s">
        <v>8564</v>
      </c>
      <c r="B1562" s="6">
        <v>46174</v>
      </c>
      <c r="C1562" s="8">
        <v>46192</v>
      </c>
      <c r="D1562" s="2" t="s">
        <v>7433</v>
      </c>
      <c r="E1562" s="2" t="s">
        <v>12593</v>
      </c>
      <c r="F1562" s="2" t="s">
        <v>15332</v>
      </c>
      <c r="G1562" s="2" t="s">
        <v>15776</v>
      </c>
      <c r="H1562" s="2" t="s">
        <v>39</v>
      </c>
      <c r="I1562" s="9">
        <v>23744.560000000001</v>
      </c>
      <c r="J1562" s="7">
        <v>1</v>
      </c>
      <c r="K1562" s="9">
        <v>23744.560000000001</v>
      </c>
      <c r="L1562" s="14">
        <v>0</v>
      </c>
      <c r="M1562" s="2" t="s">
        <v>71</v>
      </c>
      <c r="N1562" s="2" t="s">
        <v>12595</v>
      </c>
      <c r="O1562" s="2" t="s">
        <v>15777</v>
      </c>
      <c r="P1562" s="9">
        <v>0</v>
      </c>
      <c r="Q1562" s="9">
        <v>0</v>
      </c>
      <c r="R1562" s="2" t="s">
        <v>15335</v>
      </c>
    </row>
    <row r="1563" spans="1:18" x14ac:dyDescent="0.25">
      <c r="A1563" s="2" t="s">
        <v>8569</v>
      </c>
      <c r="B1563" s="6">
        <v>46174</v>
      </c>
      <c r="C1563" s="8">
        <v>46193</v>
      </c>
      <c r="D1563" s="2" t="s">
        <v>7433</v>
      </c>
      <c r="E1563" s="2" t="s">
        <v>12593</v>
      </c>
      <c r="F1563" s="2" t="s">
        <v>15336</v>
      </c>
      <c r="G1563" s="2" t="s">
        <v>15778</v>
      </c>
      <c r="H1563" s="2" t="s">
        <v>76</v>
      </c>
      <c r="I1563" s="9">
        <v>25942080</v>
      </c>
      <c r="J1563" s="7">
        <v>6.2500000000000001E-5</v>
      </c>
      <c r="K1563" s="9">
        <v>1621.38</v>
      </c>
      <c r="L1563" s="14">
        <v>0</v>
      </c>
      <c r="M1563" s="2" t="s">
        <v>71</v>
      </c>
      <c r="N1563" s="2" t="s">
        <v>12595</v>
      </c>
      <c r="O1563" s="2" t="s">
        <v>15779</v>
      </c>
      <c r="P1563" s="9">
        <v>0</v>
      </c>
      <c r="Q1563" s="9">
        <v>0</v>
      </c>
      <c r="R1563" s="2" t="s">
        <v>15339</v>
      </c>
    </row>
    <row r="1564" spans="1:18" x14ac:dyDescent="0.25">
      <c r="A1564" s="2" t="s">
        <v>8574</v>
      </c>
      <c r="B1564" s="6">
        <v>46174</v>
      </c>
      <c r="C1564" s="8">
        <v>46194</v>
      </c>
      <c r="D1564" s="2" t="s">
        <v>7433</v>
      </c>
      <c r="E1564" s="2" t="s">
        <v>12593</v>
      </c>
      <c r="F1564" s="2" t="s">
        <v>15300</v>
      </c>
      <c r="G1564" s="2" t="s">
        <v>15780</v>
      </c>
      <c r="H1564" s="2" t="s">
        <v>70</v>
      </c>
      <c r="I1564" s="9">
        <v>2854.421053</v>
      </c>
      <c r="J1564" s="7">
        <v>0.66500000000000004</v>
      </c>
      <c r="K1564" s="9">
        <v>1898.19</v>
      </c>
      <c r="L1564" s="14">
        <v>0</v>
      </c>
      <c r="M1564" s="2" t="s">
        <v>71</v>
      </c>
      <c r="N1564" s="2" t="s">
        <v>12595</v>
      </c>
      <c r="O1564" s="2" t="s">
        <v>15781</v>
      </c>
      <c r="P1564" s="9">
        <v>0</v>
      </c>
      <c r="Q1564" s="9">
        <v>0</v>
      </c>
      <c r="R1564" s="2" t="s">
        <v>15303</v>
      </c>
    </row>
    <row r="1565" spans="1:18" x14ac:dyDescent="0.25">
      <c r="A1565" s="2" t="s">
        <v>8579</v>
      </c>
      <c r="B1565" s="6">
        <v>46174</v>
      </c>
      <c r="C1565" s="8">
        <v>46195</v>
      </c>
      <c r="D1565" s="2" t="s">
        <v>7433</v>
      </c>
      <c r="E1565" s="2" t="s">
        <v>12593</v>
      </c>
      <c r="F1565" s="2" t="s">
        <v>15304</v>
      </c>
      <c r="G1565" s="2" t="s">
        <v>15782</v>
      </c>
      <c r="H1565" s="2" t="s">
        <v>39</v>
      </c>
      <c r="I1565" s="9">
        <v>2175.0100000000002</v>
      </c>
      <c r="J1565" s="7">
        <v>1</v>
      </c>
      <c r="K1565" s="9">
        <v>2175.0100000000002</v>
      </c>
      <c r="L1565" s="14">
        <v>0</v>
      </c>
      <c r="M1565" s="2" t="s">
        <v>71</v>
      </c>
      <c r="N1565" s="2" t="s">
        <v>12595</v>
      </c>
      <c r="O1565" s="2" t="s">
        <v>15783</v>
      </c>
      <c r="P1565" s="9">
        <v>0</v>
      </c>
      <c r="Q1565" s="9">
        <v>0</v>
      </c>
      <c r="R1565" s="2" t="s">
        <v>15307</v>
      </c>
    </row>
    <row r="1566" spans="1:18" x14ac:dyDescent="0.25">
      <c r="A1566" s="2" t="s">
        <v>8584</v>
      </c>
      <c r="B1566" s="6">
        <v>46174</v>
      </c>
      <c r="C1566" s="8">
        <v>46196</v>
      </c>
      <c r="D1566" s="2" t="s">
        <v>7433</v>
      </c>
      <c r="E1566" s="2" t="s">
        <v>12593</v>
      </c>
      <c r="F1566" s="2" t="s">
        <v>15308</v>
      </c>
      <c r="G1566" s="2" t="s">
        <v>15784</v>
      </c>
      <c r="H1566" s="2" t="s">
        <v>76</v>
      </c>
      <c r="I1566" s="9">
        <v>39229120</v>
      </c>
      <c r="J1566" s="7">
        <v>6.2500000000000001E-5</v>
      </c>
      <c r="K1566" s="9">
        <v>2451.8200000000002</v>
      </c>
      <c r="L1566" s="14">
        <v>0</v>
      </c>
      <c r="M1566" s="2" t="s">
        <v>71</v>
      </c>
      <c r="N1566" s="2" t="s">
        <v>12595</v>
      </c>
      <c r="O1566" s="2" t="s">
        <v>15785</v>
      </c>
      <c r="P1566" s="9">
        <v>0</v>
      </c>
      <c r="Q1566" s="9">
        <v>0</v>
      </c>
      <c r="R1566" s="2" t="s">
        <v>15311</v>
      </c>
    </row>
    <row r="1567" spans="1:18" x14ac:dyDescent="0.25">
      <c r="A1567" s="2" t="s">
        <v>8589</v>
      </c>
      <c r="B1567" s="6">
        <v>46174</v>
      </c>
      <c r="C1567" s="8">
        <v>46197</v>
      </c>
      <c r="D1567" s="2" t="s">
        <v>7433</v>
      </c>
      <c r="E1567" s="2" t="s">
        <v>12593</v>
      </c>
      <c r="F1567" s="2" t="s">
        <v>15312</v>
      </c>
      <c r="G1567" s="2" t="s">
        <v>15786</v>
      </c>
      <c r="H1567" s="2" t="s">
        <v>70</v>
      </c>
      <c r="I1567" s="9">
        <v>4103.2180449999996</v>
      </c>
      <c r="J1567" s="7">
        <v>0.66500000000000004</v>
      </c>
      <c r="K1567" s="9">
        <v>2728.64</v>
      </c>
      <c r="L1567" s="14">
        <v>0</v>
      </c>
      <c r="M1567" s="2" t="s">
        <v>71</v>
      </c>
      <c r="N1567" s="2" t="s">
        <v>12595</v>
      </c>
      <c r="O1567" s="2" t="s">
        <v>15787</v>
      </c>
      <c r="P1567" s="9">
        <v>0</v>
      </c>
      <c r="Q1567" s="9">
        <v>0</v>
      </c>
      <c r="R1567" s="2" t="s">
        <v>15315</v>
      </c>
    </row>
    <row r="1568" spans="1:18" x14ac:dyDescent="0.25">
      <c r="A1568" s="2" t="s">
        <v>8594</v>
      </c>
      <c r="B1568" s="6">
        <v>46174</v>
      </c>
      <c r="C1568" s="8">
        <v>46198</v>
      </c>
      <c r="D1568" s="2" t="s">
        <v>7433</v>
      </c>
      <c r="E1568" s="2" t="s">
        <v>12593</v>
      </c>
      <c r="F1568" s="2" t="s">
        <v>15316</v>
      </c>
      <c r="G1568" s="2" t="s">
        <v>15788</v>
      </c>
      <c r="H1568" s="2" t="s">
        <v>39</v>
      </c>
      <c r="I1568" s="9">
        <v>3005.46</v>
      </c>
      <c r="J1568" s="7">
        <v>1</v>
      </c>
      <c r="K1568" s="9">
        <v>3005.46</v>
      </c>
      <c r="L1568" s="14">
        <v>0</v>
      </c>
      <c r="M1568" s="2" t="s">
        <v>71</v>
      </c>
      <c r="N1568" s="2" t="s">
        <v>12595</v>
      </c>
      <c r="O1568" s="2" t="s">
        <v>15789</v>
      </c>
      <c r="P1568" s="9">
        <v>0</v>
      </c>
      <c r="Q1568" s="9">
        <v>0</v>
      </c>
      <c r="R1568" s="2" t="s">
        <v>15319</v>
      </c>
    </row>
    <row r="1569" spans="1:18" x14ac:dyDescent="0.25">
      <c r="A1569" s="2" t="s">
        <v>8599</v>
      </c>
      <c r="B1569" s="6">
        <v>46174</v>
      </c>
      <c r="C1569" s="8">
        <v>46199</v>
      </c>
      <c r="D1569" s="2" t="s">
        <v>7433</v>
      </c>
      <c r="E1569" s="2" t="s">
        <v>12593</v>
      </c>
      <c r="F1569" s="2" t="s">
        <v>15320</v>
      </c>
      <c r="G1569" s="2" t="s">
        <v>15790</v>
      </c>
      <c r="H1569" s="2" t="s">
        <v>76</v>
      </c>
      <c r="I1569" s="9">
        <v>52516320</v>
      </c>
      <c r="J1569" s="7">
        <v>6.2500000000000001E-5</v>
      </c>
      <c r="K1569" s="9">
        <v>3282.27</v>
      </c>
      <c r="L1569" s="14">
        <v>0</v>
      </c>
      <c r="M1569" s="2" t="s">
        <v>71</v>
      </c>
      <c r="N1569" s="2" t="s">
        <v>12595</v>
      </c>
      <c r="O1569" s="2" t="s">
        <v>15791</v>
      </c>
      <c r="P1569" s="9">
        <v>0</v>
      </c>
      <c r="Q1569" s="9">
        <v>0</v>
      </c>
      <c r="R1569" s="2" t="s">
        <v>15323</v>
      </c>
    </row>
    <row r="1570" spans="1:18" x14ac:dyDescent="0.25">
      <c r="A1570" s="2" t="s">
        <v>8604</v>
      </c>
      <c r="B1570" s="6">
        <v>46174</v>
      </c>
      <c r="C1570" s="8">
        <v>46200</v>
      </c>
      <c r="D1570" s="2" t="s">
        <v>7433</v>
      </c>
      <c r="E1570" s="2" t="s">
        <v>12593</v>
      </c>
      <c r="F1570" s="2" t="s">
        <v>15324</v>
      </c>
      <c r="G1570" s="2" t="s">
        <v>15792</v>
      </c>
      <c r="H1570" s="2" t="s">
        <v>70</v>
      </c>
      <c r="I1570" s="9">
        <v>5352.0150379999995</v>
      </c>
      <c r="J1570" s="7">
        <v>0.66500000000000004</v>
      </c>
      <c r="K1570" s="9">
        <v>3559.09</v>
      </c>
      <c r="L1570" s="14">
        <v>0</v>
      </c>
      <c r="M1570" s="2" t="s">
        <v>71</v>
      </c>
      <c r="N1570" s="2" t="s">
        <v>12595</v>
      </c>
      <c r="O1570" s="2" t="s">
        <v>15793</v>
      </c>
      <c r="P1570" s="9">
        <v>0</v>
      </c>
      <c r="Q1570" s="9">
        <v>0</v>
      </c>
      <c r="R1570" s="2" t="s">
        <v>15327</v>
      </c>
    </row>
    <row r="1571" spans="1:18" x14ac:dyDescent="0.25">
      <c r="A1571" s="2" t="s">
        <v>8609</v>
      </c>
      <c r="B1571" s="6">
        <v>46174</v>
      </c>
      <c r="C1571" s="8">
        <v>46201</v>
      </c>
      <c r="D1571" s="2" t="s">
        <v>7433</v>
      </c>
      <c r="E1571" s="2" t="s">
        <v>12593</v>
      </c>
      <c r="F1571" s="2" t="s">
        <v>15328</v>
      </c>
      <c r="G1571" s="2" t="s">
        <v>15794</v>
      </c>
      <c r="H1571" s="2" t="s">
        <v>39</v>
      </c>
      <c r="I1571" s="9">
        <v>3835.9</v>
      </c>
      <c r="J1571" s="7">
        <v>1</v>
      </c>
      <c r="K1571" s="9">
        <v>3835.9</v>
      </c>
      <c r="L1571" s="14">
        <v>0</v>
      </c>
      <c r="M1571" s="2" t="s">
        <v>71</v>
      </c>
      <c r="N1571" s="2" t="s">
        <v>12595</v>
      </c>
      <c r="O1571" s="2" t="s">
        <v>15795</v>
      </c>
      <c r="P1571" s="9">
        <v>0</v>
      </c>
      <c r="Q1571" s="9">
        <v>0</v>
      </c>
      <c r="R1571" s="2" t="s">
        <v>15331</v>
      </c>
    </row>
    <row r="1572" spans="1:18" x14ac:dyDescent="0.25">
      <c r="A1572" s="2" t="s">
        <v>8614</v>
      </c>
      <c r="B1572" s="6">
        <v>46174</v>
      </c>
      <c r="C1572" s="8">
        <v>46202</v>
      </c>
      <c r="D1572" s="2" t="s">
        <v>7433</v>
      </c>
      <c r="E1572" s="2" t="s">
        <v>12593</v>
      </c>
      <c r="F1572" s="2" t="s">
        <v>15332</v>
      </c>
      <c r="G1572" s="2" t="s">
        <v>15796</v>
      </c>
      <c r="H1572" s="2" t="s">
        <v>76</v>
      </c>
      <c r="I1572" s="9">
        <v>65803520</v>
      </c>
      <c r="J1572" s="7">
        <v>6.2500000000000001E-5</v>
      </c>
      <c r="K1572" s="9">
        <v>4112.72</v>
      </c>
      <c r="L1572" s="14">
        <v>0</v>
      </c>
      <c r="M1572" s="2" t="s">
        <v>71</v>
      </c>
      <c r="N1572" s="2" t="s">
        <v>12595</v>
      </c>
      <c r="O1572" s="2" t="s">
        <v>15797</v>
      </c>
      <c r="P1572" s="9">
        <v>0</v>
      </c>
      <c r="Q1572" s="9">
        <v>0</v>
      </c>
      <c r="R1572" s="2" t="s">
        <v>15335</v>
      </c>
    </row>
    <row r="1573" spans="1:18" x14ac:dyDescent="0.25">
      <c r="A1573" s="2" t="s">
        <v>8619</v>
      </c>
      <c r="B1573" s="6">
        <v>46174</v>
      </c>
      <c r="C1573" s="8">
        <v>46203</v>
      </c>
      <c r="D1573" s="2" t="s">
        <v>7433</v>
      </c>
      <c r="E1573" s="2" t="s">
        <v>12593</v>
      </c>
      <c r="F1573" s="2" t="s">
        <v>15336</v>
      </c>
      <c r="G1573" s="2" t="s">
        <v>15798</v>
      </c>
      <c r="H1573" s="2" t="s">
        <v>70</v>
      </c>
      <c r="I1573" s="9">
        <v>6600.81203</v>
      </c>
      <c r="J1573" s="7">
        <v>0.66500000000000004</v>
      </c>
      <c r="K1573" s="9">
        <v>4389.54</v>
      </c>
      <c r="L1573" s="14">
        <v>0</v>
      </c>
      <c r="M1573" s="2" t="s">
        <v>71</v>
      </c>
      <c r="N1573" s="2" t="s">
        <v>12595</v>
      </c>
      <c r="O1573" s="2" t="s">
        <v>15799</v>
      </c>
      <c r="P1573" s="9">
        <v>0</v>
      </c>
      <c r="Q1573" s="9">
        <v>0</v>
      </c>
      <c r="R1573" s="2" t="s">
        <v>15339</v>
      </c>
    </row>
    <row r="1574" spans="1:18" x14ac:dyDescent="0.25">
      <c r="A1574" s="2" t="s">
        <v>8624</v>
      </c>
      <c r="B1574" s="6">
        <v>46174</v>
      </c>
      <c r="C1574" s="8">
        <v>46174</v>
      </c>
      <c r="D1574" s="2" t="s">
        <v>7433</v>
      </c>
      <c r="E1574" s="2" t="s">
        <v>12593</v>
      </c>
      <c r="F1574" s="2" t="s">
        <v>15300</v>
      </c>
      <c r="G1574" s="2" t="s">
        <v>15800</v>
      </c>
      <c r="H1574" s="2" t="s">
        <v>39</v>
      </c>
      <c r="I1574" s="9">
        <v>4666.3500000000004</v>
      </c>
      <c r="J1574" s="7">
        <v>1</v>
      </c>
      <c r="K1574" s="9">
        <v>4666.3500000000004</v>
      </c>
      <c r="L1574" s="14">
        <v>0</v>
      </c>
      <c r="M1574" s="2" t="s">
        <v>71</v>
      </c>
      <c r="N1574" s="2" t="s">
        <v>12595</v>
      </c>
      <c r="O1574" s="2" t="s">
        <v>15801</v>
      </c>
      <c r="P1574" s="9">
        <v>0</v>
      </c>
      <c r="Q1574" s="9">
        <v>0</v>
      </c>
      <c r="R1574" s="2" t="s">
        <v>15303</v>
      </c>
    </row>
    <row r="1575" spans="1:18" x14ac:dyDescent="0.25">
      <c r="A1575" s="2" t="s">
        <v>8629</v>
      </c>
      <c r="B1575" s="6">
        <v>46174</v>
      </c>
      <c r="C1575" s="8">
        <v>46175</v>
      </c>
      <c r="D1575" s="2" t="s">
        <v>7433</v>
      </c>
      <c r="E1575" s="2" t="s">
        <v>12593</v>
      </c>
      <c r="F1575" s="2" t="s">
        <v>15304</v>
      </c>
      <c r="G1575" s="2" t="s">
        <v>15802</v>
      </c>
      <c r="H1575" s="2" t="s">
        <v>76</v>
      </c>
      <c r="I1575" s="9">
        <v>79090720</v>
      </c>
      <c r="J1575" s="7">
        <v>6.2500000000000001E-5</v>
      </c>
      <c r="K1575" s="9">
        <v>4943.17</v>
      </c>
      <c r="L1575" s="14">
        <v>0</v>
      </c>
      <c r="M1575" s="2" t="s">
        <v>71</v>
      </c>
      <c r="N1575" s="2" t="s">
        <v>12595</v>
      </c>
      <c r="O1575" s="2" t="s">
        <v>15803</v>
      </c>
      <c r="P1575" s="9">
        <v>0</v>
      </c>
      <c r="Q1575" s="9">
        <v>0</v>
      </c>
      <c r="R1575" s="2" t="s">
        <v>15307</v>
      </c>
    </row>
    <row r="1576" spans="1:18" x14ac:dyDescent="0.25">
      <c r="A1576" s="2" t="s">
        <v>8634</v>
      </c>
      <c r="B1576" s="6">
        <v>46174</v>
      </c>
      <c r="C1576" s="8">
        <v>46176</v>
      </c>
      <c r="D1576" s="2" t="s">
        <v>7433</v>
      </c>
      <c r="E1576" s="2" t="s">
        <v>12593</v>
      </c>
      <c r="F1576" s="2" t="s">
        <v>15308</v>
      </c>
      <c r="G1576" s="2" t="s">
        <v>15804</v>
      </c>
      <c r="H1576" s="2" t="s">
        <v>70</v>
      </c>
      <c r="I1576" s="9">
        <v>7849.5939850000004</v>
      </c>
      <c r="J1576" s="7">
        <v>0.66500000000000004</v>
      </c>
      <c r="K1576" s="9">
        <v>5219.9799999999996</v>
      </c>
      <c r="L1576" s="14">
        <v>0</v>
      </c>
      <c r="M1576" s="2" t="s">
        <v>71</v>
      </c>
      <c r="N1576" s="2" t="s">
        <v>12595</v>
      </c>
      <c r="O1576" s="2" t="s">
        <v>15805</v>
      </c>
      <c r="P1576" s="9">
        <v>0</v>
      </c>
      <c r="Q1576" s="9">
        <v>0</v>
      </c>
      <c r="R1576" s="2" t="s">
        <v>15311</v>
      </c>
    </row>
    <row r="1577" spans="1:18" x14ac:dyDescent="0.25">
      <c r="A1577" s="2" t="s">
        <v>8639</v>
      </c>
      <c r="B1577" s="6">
        <v>46174</v>
      </c>
      <c r="C1577" s="8">
        <v>46177</v>
      </c>
      <c r="D1577" s="2" t="s">
        <v>7433</v>
      </c>
      <c r="E1577" s="2" t="s">
        <v>12593</v>
      </c>
      <c r="F1577" s="2" t="s">
        <v>15312</v>
      </c>
      <c r="G1577" s="2" t="s">
        <v>15806</v>
      </c>
      <c r="H1577" s="2" t="s">
        <v>39</v>
      </c>
      <c r="I1577" s="9">
        <v>5496.8</v>
      </c>
      <c r="J1577" s="7">
        <v>1</v>
      </c>
      <c r="K1577" s="9">
        <v>5496.8</v>
      </c>
      <c r="L1577" s="14">
        <v>0</v>
      </c>
      <c r="M1577" s="2" t="s">
        <v>71</v>
      </c>
      <c r="N1577" s="2" t="s">
        <v>12595</v>
      </c>
      <c r="O1577" s="2" t="s">
        <v>15807</v>
      </c>
      <c r="P1577" s="9">
        <v>0</v>
      </c>
      <c r="Q1577" s="9">
        <v>0</v>
      </c>
      <c r="R1577" s="2" t="s">
        <v>15315</v>
      </c>
    </row>
    <row r="1578" spans="1:18" x14ac:dyDescent="0.25">
      <c r="A1578" s="2" t="s">
        <v>8644</v>
      </c>
      <c r="B1578" s="6">
        <v>46174</v>
      </c>
      <c r="C1578" s="8">
        <v>46178</v>
      </c>
      <c r="D1578" s="2" t="s">
        <v>7433</v>
      </c>
      <c r="E1578" s="2" t="s">
        <v>12593</v>
      </c>
      <c r="F1578" s="2" t="s">
        <v>15316</v>
      </c>
      <c r="G1578" s="2" t="s">
        <v>15808</v>
      </c>
      <c r="H1578" s="2" t="s">
        <v>76</v>
      </c>
      <c r="I1578" s="9">
        <v>92377920</v>
      </c>
      <c r="J1578" s="7">
        <v>6.2500000000000001E-5</v>
      </c>
      <c r="K1578" s="9">
        <v>5773.62</v>
      </c>
      <c r="L1578" s="14">
        <v>0</v>
      </c>
      <c r="M1578" s="2" t="s">
        <v>71</v>
      </c>
      <c r="N1578" s="2" t="s">
        <v>12595</v>
      </c>
      <c r="O1578" s="2" t="s">
        <v>15809</v>
      </c>
      <c r="P1578" s="9">
        <v>0</v>
      </c>
      <c r="Q1578" s="9">
        <v>0</v>
      </c>
      <c r="R1578" s="2" t="s">
        <v>15319</v>
      </c>
    </row>
    <row r="1579" spans="1:18" x14ac:dyDescent="0.25">
      <c r="A1579" s="2" t="s">
        <v>8649</v>
      </c>
      <c r="B1579" s="6">
        <v>46174</v>
      </c>
      <c r="C1579" s="8">
        <v>46179</v>
      </c>
      <c r="D1579" s="2" t="s">
        <v>7433</v>
      </c>
      <c r="E1579" s="2" t="s">
        <v>12593</v>
      </c>
      <c r="F1579" s="2" t="s">
        <v>15320</v>
      </c>
      <c r="G1579" s="2" t="s">
        <v>15810</v>
      </c>
      <c r="H1579" s="2" t="s">
        <v>70</v>
      </c>
      <c r="I1579" s="9">
        <v>-9098.3909769999991</v>
      </c>
      <c r="J1579" s="7">
        <v>0.66500000000000004</v>
      </c>
      <c r="K1579" s="9">
        <v>-6050.43</v>
      </c>
      <c r="L1579" s="14">
        <v>0</v>
      </c>
      <c r="M1579" s="2" t="s">
        <v>71</v>
      </c>
      <c r="N1579" s="2" t="s">
        <v>12595</v>
      </c>
      <c r="O1579" s="2" t="s">
        <v>15811</v>
      </c>
      <c r="P1579" s="9">
        <v>0</v>
      </c>
      <c r="Q1579" s="9">
        <v>0</v>
      </c>
      <c r="R1579" s="2" t="s">
        <v>15323</v>
      </c>
    </row>
    <row r="1580" spans="1:18" x14ac:dyDescent="0.25">
      <c r="A1580" s="2" t="s">
        <v>8652</v>
      </c>
      <c r="B1580" s="6">
        <v>46174</v>
      </c>
      <c r="C1580" s="8">
        <v>46180</v>
      </c>
      <c r="D1580" s="2" t="s">
        <v>7433</v>
      </c>
      <c r="E1580" s="2" t="s">
        <v>12593</v>
      </c>
      <c r="F1580" s="2" t="s">
        <v>15324</v>
      </c>
      <c r="G1580" s="2" t="s">
        <v>15812</v>
      </c>
      <c r="H1580" s="2" t="s">
        <v>39</v>
      </c>
      <c r="I1580" s="9">
        <v>6327.25</v>
      </c>
      <c r="J1580" s="7">
        <v>1</v>
      </c>
      <c r="K1580" s="9">
        <v>6327.25</v>
      </c>
      <c r="L1580" s="14">
        <v>0</v>
      </c>
      <c r="M1580" s="2" t="s">
        <v>71</v>
      </c>
      <c r="N1580" s="2" t="s">
        <v>12595</v>
      </c>
      <c r="O1580" s="2" t="s">
        <v>15813</v>
      </c>
      <c r="P1580" s="9">
        <v>0</v>
      </c>
      <c r="Q1580" s="9">
        <v>0</v>
      </c>
      <c r="R1580" s="2" t="s">
        <v>15327</v>
      </c>
    </row>
    <row r="1581" spans="1:18" x14ac:dyDescent="0.25">
      <c r="A1581" s="2" t="s">
        <v>8657</v>
      </c>
      <c r="B1581" s="6">
        <v>46174</v>
      </c>
      <c r="C1581" s="8">
        <v>46181</v>
      </c>
      <c r="D1581" s="2" t="s">
        <v>7433</v>
      </c>
      <c r="E1581" s="2" t="s">
        <v>12593</v>
      </c>
      <c r="F1581" s="2" t="s">
        <v>15328</v>
      </c>
      <c r="G1581" s="2" t="s">
        <v>15814</v>
      </c>
      <c r="H1581" s="2" t="s">
        <v>76</v>
      </c>
      <c r="I1581" s="9">
        <v>105664960</v>
      </c>
      <c r="J1581" s="7">
        <v>6.2500000000000001E-5</v>
      </c>
      <c r="K1581" s="9">
        <v>6604.06</v>
      </c>
      <c r="L1581" s="14">
        <v>0</v>
      </c>
      <c r="M1581" s="2" t="s">
        <v>71</v>
      </c>
      <c r="N1581" s="2" t="s">
        <v>12595</v>
      </c>
      <c r="O1581" s="2" t="s">
        <v>15815</v>
      </c>
      <c r="P1581" s="9">
        <v>0</v>
      </c>
      <c r="Q1581" s="9">
        <v>0</v>
      </c>
      <c r="R1581" s="2" t="s">
        <v>15331</v>
      </c>
    </row>
    <row r="1582" spans="1:18" x14ac:dyDescent="0.25">
      <c r="A1582" s="2" t="s">
        <v>8662</v>
      </c>
      <c r="B1582" s="6">
        <v>46174</v>
      </c>
      <c r="C1582" s="8">
        <v>46182</v>
      </c>
      <c r="D1582" s="2" t="s">
        <v>7433</v>
      </c>
      <c r="E1582" s="2" t="s">
        <v>12593</v>
      </c>
      <c r="F1582" s="2" t="s">
        <v>15332</v>
      </c>
      <c r="G1582" s="2" t="s">
        <v>15816</v>
      </c>
      <c r="H1582" s="2" t="s">
        <v>70</v>
      </c>
      <c r="I1582" s="9">
        <v>10347.187970000001</v>
      </c>
      <c r="J1582" s="7">
        <v>0.66500000000000004</v>
      </c>
      <c r="K1582" s="9">
        <v>6880.88</v>
      </c>
      <c r="L1582" s="14">
        <v>0</v>
      </c>
      <c r="M1582" s="2" t="s">
        <v>71</v>
      </c>
      <c r="N1582" s="2" t="s">
        <v>12595</v>
      </c>
      <c r="O1582" s="2" t="s">
        <v>15817</v>
      </c>
      <c r="P1582" s="9">
        <v>0</v>
      </c>
      <c r="Q1582" s="9">
        <v>0</v>
      </c>
      <c r="R1582" s="2" t="s">
        <v>15335</v>
      </c>
    </row>
    <row r="1583" spans="1:18" x14ac:dyDescent="0.25">
      <c r="A1583" s="2" t="s">
        <v>8667</v>
      </c>
      <c r="B1583" s="6">
        <v>46174</v>
      </c>
      <c r="C1583" s="8">
        <v>46183</v>
      </c>
      <c r="D1583" s="2" t="s">
        <v>7433</v>
      </c>
      <c r="E1583" s="2" t="s">
        <v>12593</v>
      </c>
      <c r="F1583" s="2" t="s">
        <v>15336</v>
      </c>
      <c r="G1583" s="2" t="s">
        <v>15818</v>
      </c>
      <c r="H1583" s="2" t="s">
        <v>39</v>
      </c>
      <c r="I1583" s="9">
        <v>7157.7</v>
      </c>
      <c r="J1583" s="7">
        <v>1</v>
      </c>
      <c r="K1583" s="9">
        <v>7157.7</v>
      </c>
      <c r="L1583" s="14">
        <v>0</v>
      </c>
      <c r="M1583" s="2" t="s">
        <v>71</v>
      </c>
      <c r="N1583" s="2" t="s">
        <v>12595</v>
      </c>
      <c r="O1583" s="2" t="s">
        <v>15819</v>
      </c>
      <c r="P1583" s="9">
        <v>0</v>
      </c>
      <c r="Q1583" s="9">
        <v>0</v>
      </c>
      <c r="R1583" s="2" t="s">
        <v>15339</v>
      </c>
    </row>
    <row r="1584" spans="1:18" x14ac:dyDescent="0.25">
      <c r="A1584" s="2" t="s">
        <v>8672</v>
      </c>
      <c r="B1584" s="6">
        <v>46174</v>
      </c>
      <c r="C1584" s="8">
        <v>46184</v>
      </c>
      <c r="D1584" s="2" t="s">
        <v>7433</v>
      </c>
      <c r="E1584" s="2" t="s">
        <v>12593</v>
      </c>
      <c r="F1584" s="2" t="s">
        <v>15300</v>
      </c>
      <c r="G1584" s="2" t="s">
        <v>15820</v>
      </c>
      <c r="H1584" s="2" t="s">
        <v>76</v>
      </c>
      <c r="I1584" s="9">
        <v>118952160</v>
      </c>
      <c r="J1584" s="7">
        <v>6.2500000000000001E-5</v>
      </c>
      <c r="K1584" s="9">
        <v>7434.51</v>
      </c>
      <c r="L1584" s="14">
        <v>0</v>
      </c>
      <c r="M1584" s="2" t="s">
        <v>71</v>
      </c>
      <c r="N1584" s="2" t="s">
        <v>12595</v>
      </c>
      <c r="O1584" s="2" t="s">
        <v>15821</v>
      </c>
      <c r="P1584" s="9">
        <v>0</v>
      </c>
      <c r="Q1584" s="9">
        <v>0</v>
      </c>
      <c r="R1584" s="2" t="s">
        <v>15303</v>
      </c>
    </row>
    <row r="1585" spans="1:18" x14ac:dyDescent="0.25">
      <c r="A1585" s="2" t="s">
        <v>8677</v>
      </c>
      <c r="B1585" s="6">
        <v>46174</v>
      </c>
      <c r="C1585" s="8">
        <v>46185</v>
      </c>
      <c r="D1585" s="2" t="s">
        <v>7433</v>
      </c>
      <c r="E1585" s="2" t="s">
        <v>12593</v>
      </c>
      <c r="F1585" s="2" t="s">
        <v>15304</v>
      </c>
      <c r="G1585" s="2" t="s">
        <v>15822</v>
      </c>
      <c r="H1585" s="2" t="s">
        <v>70</v>
      </c>
      <c r="I1585" s="9">
        <v>11595.984962</v>
      </c>
      <c r="J1585" s="7">
        <v>0.66500000000000004</v>
      </c>
      <c r="K1585" s="9">
        <v>7711.33</v>
      </c>
      <c r="L1585" s="14">
        <v>0</v>
      </c>
      <c r="M1585" s="2" t="s">
        <v>71</v>
      </c>
      <c r="N1585" s="2" t="s">
        <v>12595</v>
      </c>
      <c r="O1585" s="2" t="s">
        <v>15823</v>
      </c>
      <c r="P1585" s="9">
        <v>0</v>
      </c>
      <c r="Q1585" s="9">
        <v>0</v>
      </c>
      <c r="R1585" s="2" t="s">
        <v>15307</v>
      </c>
    </row>
    <row r="1586" spans="1:18" x14ac:dyDescent="0.25">
      <c r="A1586" s="2" t="s">
        <v>8682</v>
      </c>
      <c r="B1586" s="6">
        <v>46174</v>
      </c>
      <c r="C1586" s="8">
        <v>46186</v>
      </c>
      <c r="D1586" s="2" t="s">
        <v>7433</v>
      </c>
      <c r="E1586" s="2" t="s">
        <v>12593</v>
      </c>
      <c r="F1586" s="2" t="s">
        <v>15308</v>
      </c>
      <c r="G1586" s="2" t="s">
        <v>15824</v>
      </c>
      <c r="H1586" s="2" t="s">
        <v>39</v>
      </c>
      <c r="I1586" s="9">
        <v>7988.14</v>
      </c>
      <c r="J1586" s="7">
        <v>1</v>
      </c>
      <c r="K1586" s="9">
        <v>7988.14</v>
      </c>
      <c r="L1586" s="14">
        <v>0</v>
      </c>
      <c r="M1586" s="2" t="s">
        <v>71</v>
      </c>
      <c r="N1586" s="2" t="s">
        <v>12595</v>
      </c>
      <c r="O1586" s="2" t="s">
        <v>15825</v>
      </c>
      <c r="P1586" s="9">
        <v>0</v>
      </c>
      <c r="Q1586" s="9">
        <v>0</v>
      </c>
      <c r="R1586" s="2" t="s">
        <v>15311</v>
      </c>
    </row>
    <row r="1587" spans="1:18" x14ac:dyDescent="0.25">
      <c r="A1587" s="2" t="s">
        <v>8687</v>
      </c>
      <c r="B1587" s="6">
        <v>46174</v>
      </c>
      <c r="C1587" s="8">
        <v>46187</v>
      </c>
      <c r="D1587" s="2" t="s">
        <v>7433</v>
      </c>
      <c r="E1587" s="2" t="s">
        <v>12593</v>
      </c>
      <c r="F1587" s="2" t="s">
        <v>15312</v>
      </c>
      <c r="G1587" s="2" t="s">
        <v>15826</v>
      </c>
      <c r="H1587" s="2" t="s">
        <v>76</v>
      </c>
      <c r="I1587" s="9">
        <v>132239360</v>
      </c>
      <c r="J1587" s="7">
        <v>6.2500000000000001E-5</v>
      </c>
      <c r="K1587" s="9">
        <v>8264.9599999999991</v>
      </c>
      <c r="L1587" s="14">
        <v>0</v>
      </c>
      <c r="M1587" s="2" t="s">
        <v>71</v>
      </c>
      <c r="N1587" s="2" t="s">
        <v>12595</v>
      </c>
      <c r="O1587" s="2" t="s">
        <v>15827</v>
      </c>
      <c r="P1587" s="9">
        <v>0</v>
      </c>
      <c r="Q1587" s="9">
        <v>0</v>
      </c>
      <c r="R1587" s="2" t="s">
        <v>15315</v>
      </c>
    </row>
    <row r="1588" spans="1:18" x14ac:dyDescent="0.25">
      <c r="A1588" s="2" t="s">
        <v>8692</v>
      </c>
      <c r="B1588" s="6">
        <v>46174</v>
      </c>
      <c r="C1588" s="8">
        <v>46188</v>
      </c>
      <c r="D1588" s="2" t="s">
        <v>7433</v>
      </c>
      <c r="E1588" s="2" t="s">
        <v>12593</v>
      </c>
      <c r="F1588" s="2" t="s">
        <v>15316</v>
      </c>
      <c r="G1588" s="2" t="s">
        <v>15828</v>
      </c>
      <c r="H1588" s="2" t="s">
        <v>70</v>
      </c>
      <c r="I1588" s="9">
        <v>12844.781955</v>
      </c>
      <c r="J1588" s="7">
        <v>0.66500000000000004</v>
      </c>
      <c r="K1588" s="9">
        <v>8541.7800000000007</v>
      </c>
      <c r="L1588" s="14">
        <v>0</v>
      </c>
      <c r="M1588" s="2" t="s">
        <v>71</v>
      </c>
      <c r="N1588" s="2" t="s">
        <v>12595</v>
      </c>
      <c r="O1588" s="2" t="s">
        <v>15829</v>
      </c>
      <c r="P1588" s="9">
        <v>0</v>
      </c>
      <c r="Q1588" s="9">
        <v>0</v>
      </c>
      <c r="R1588" s="2" t="s">
        <v>15319</v>
      </c>
    </row>
    <row r="1589" spans="1:18" x14ac:dyDescent="0.25">
      <c r="A1589" s="2" t="s">
        <v>8697</v>
      </c>
      <c r="B1589" s="6">
        <v>46174</v>
      </c>
      <c r="C1589" s="8">
        <v>46189</v>
      </c>
      <c r="D1589" s="2" t="s">
        <v>7433</v>
      </c>
      <c r="E1589" s="2" t="s">
        <v>12593</v>
      </c>
      <c r="F1589" s="2" t="s">
        <v>15320</v>
      </c>
      <c r="G1589" s="2" t="s">
        <v>15830</v>
      </c>
      <c r="H1589" s="2" t="s">
        <v>39</v>
      </c>
      <c r="I1589" s="9">
        <v>8818.59</v>
      </c>
      <c r="J1589" s="7">
        <v>1</v>
      </c>
      <c r="K1589" s="9">
        <v>8818.59</v>
      </c>
      <c r="L1589" s="14">
        <v>0</v>
      </c>
      <c r="M1589" s="2" t="s">
        <v>71</v>
      </c>
      <c r="N1589" s="2" t="s">
        <v>12595</v>
      </c>
      <c r="O1589" s="2" t="s">
        <v>15831</v>
      </c>
      <c r="P1589" s="9">
        <v>0</v>
      </c>
      <c r="Q1589" s="9">
        <v>0</v>
      </c>
      <c r="R1589" s="2" t="s">
        <v>15323</v>
      </c>
    </row>
    <row r="1590" spans="1:18" x14ac:dyDescent="0.25">
      <c r="A1590" s="2" t="s">
        <v>8702</v>
      </c>
      <c r="B1590" s="6">
        <v>46174</v>
      </c>
      <c r="C1590" s="8">
        <v>46190</v>
      </c>
      <c r="D1590" s="2" t="s">
        <v>7433</v>
      </c>
      <c r="E1590" s="2" t="s">
        <v>12593</v>
      </c>
      <c r="F1590" s="2" t="s">
        <v>15324</v>
      </c>
      <c r="G1590" s="2" t="s">
        <v>15832</v>
      </c>
      <c r="H1590" s="2" t="s">
        <v>76</v>
      </c>
      <c r="I1590" s="9">
        <v>145526560</v>
      </c>
      <c r="J1590" s="7">
        <v>6.2500000000000001E-5</v>
      </c>
      <c r="K1590" s="9">
        <v>9095.41</v>
      </c>
      <c r="L1590" s="14">
        <v>0</v>
      </c>
      <c r="M1590" s="2" t="s">
        <v>71</v>
      </c>
      <c r="N1590" s="2" t="s">
        <v>12595</v>
      </c>
      <c r="O1590" s="2" t="s">
        <v>15833</v>
      </c>
      <c r="P1590" s="9">
        <v>0</v>
      </c>
      <c r="Q1590" s="9">
        <v>0</v>
      </c>
      <c r="R1590" s="2" t="s">
        <v>15327</v>
      </c>
    </row>
    <row r="1591" spans="1:18" x14ac:dyDescent="0.25">
      <c r="A1591" s="2" t="s">
        <v>8707</v>
      </c>
      <c r="B1591" s="6">
        <v>46174</v>
      </c>
      <c r="C1591" s="8">
        <v>46191</v>
      </c>
      <c r="D1591" s="2" t="s">
        <v>7433</v>
      </c>
      <c r="E1591" s="2" t="s">
        <v>12593</v>
      </c>
      <c r="F1591" s="2" t="s">
        <v>15328</v>
      </c>
      <c r="G1591" s="2" t="s">
        <v>15834</v>
      </c>
      <c r="H1591" s="2" t="s">
        <v>70</v>
      </c>
      <c r="I1591" s="9">
        <v>14093.563910000001</v>
      </c>
      <c r="J1591" s="7">
        <v>0.66500000000000004</v>
      </c>
      <c r="K1591" s="9">
        <v>9372.2199999999993</v>
      </c>
      <c r="L1591" s="14">
        <v>0</v>
      </c>
      <c r="M1591" s="2" t="s">
        <v>71</v>
      </c>
      <c r="N1591" s="2" t="s">
        <v>12595</v>
      </c>
      <c r="O1591" s="2" t="s">
        <v>15835</v>
      </c>
      <c r="P1591" s="9">
        <v>0</v>
      </c>
      <c r="Q1591" s="9">
        <v>0</v>
      </c>
      <c r="R1591" s="2" t="s">
        <v>15331</v>
      </c>
    </row>
    <row r="1592" spans="1:18" x14ac:dyDescent="0.25">
      <c r="A1592" s="2" t="s">
        <v>8712</v>
      </c>
      <c r="B1592" s="6">
        <v>46174</v>
      </c>
      <c r="C1592" s="8">
        <v>46192</v>
      </c>
      <c r="D1592" s="2" t="s">
        <v>7433</v>
      </c>
      <c r="E1592" s="2" t="s">
        <v>12593</v>
      </c>
      <c r="F1592" s="2" t="s">
        <v>15332</v>
      </c>
      <c r="G1592" s="2" t="s">
        <v>15836</v>
      </c>
      <c r="H1592" s="2" t="s">
        <v>39</v>
      </c>
      <c r="I1592" s="9">
        <v>9649.0400000000009</v>
      </c>
      <c r="J1592" s="7">
        <v>1</v>
      </c>
      <c r="K1592" s="9">
        <v>9649.0400000000009</v>
      </c>
      <c r="L1592" s="14">
        <v>0</v>
      </c>
      <c r="M1592" s="2" t="s">
        <v>71</v>
      </c>
      <c r="N1592" s="2" t="s">
        <v>12595</v>
      </c>
      <c r="O1592" s="2" t="s">
        <v>15837</v>
      </c>
      <c r="P1592" s="9">
        <v>0</v>
      </c>
      <c r="Q1592" s="9">
        <v>0</v>
      </c>
      <c r="R1592" s="2" t="s">
        <v>15335</v>
      </c>
    </row>
    <row r="1593" spans="1:18" x14ac:dyDescent="0.25">
      <c r="A1593" s="2" t="s">
        <v>8717</v>
      </c>
      <c r="B1593" s="6">
        <v>46174</v>
      </c>
      <c r="C1593" s="8">
        <v>46193</v>
      </c>
      <c r="D1593" s="2" t="s">
        <v>7433</v>
      </c>
      <c r="E1593" s="2" t="s">
        <v>12593</v>
      </c>
      <c r="F1593" s="2" t="s">
        <v>15336</v>
      </c>
      <c r="G1593" s="2" t="s">
        <v>15838</v>
      </c>
      <c r="H1593" s="2" t="s">
        <v>76</v>
      </c>
      <c r="I1593" s="9">
        <v>158813760</v>
      </c>
      <c r="J1593" s="7">
        <v>6.2500000000000001E-5</v>
      </c>
      <c r="K1593" s="9">
        <v>9925.86</v>
      </c>
      <c r="L1593" s="14">
        <v>0</v>
      </c>
      <c r="M1593" s="2" t="s">
        <v>71</v>
      </c>
      <c r="N1593" s="2" t="s">
        <v>12595</v>
      </c>
      <c r="O1593" s="2" t="s">
        <v>15839</v>
      </c>
      <c r="P1593" s="9">
        <v>0</v>
      </c>
      <c r="Q1593" s="9">
        <v>0</v>
      </c>
      <c r="R1593" s="2" t="s">
        <v>15339</v>
      </c>
    </row>
    <row r="1594" spans="1:18" x14ac:dyDescent="0.25">
      <c r="A1594" s="2" t="s">
        <v>8722</v>
      </c>
      <c r="B1594" s="6">
        <v>46174</v>
      </c>
      <c r="C1594" s="8">
        <v>46194</v>
      </c>
      <c r="D1594" s="2" t="s">
        <v>7433</v>
      </c>
      <c r="E1594" s="2" t="s">
        <v>12593</v>
      </c>
      <c r="F1594" s="2" t="s">
        <v>15300</v>
      </c>
      <c r="G1594" s="2" t="s">
        <v>15840</v>
      </c>
      <c r="H1594" s="2" t="s">
        <v>70</v>
      </c>
      <c r="I1594" s="9">
        <v>15342.360902</v>
      </c>
      <c r="J1594" s="7">
        <v>0.66500000000000004</v>
      </c>
      <c r="K1594" s="9">
        <v>10202.67</v>
      </c>
      <c r="L1594" s="14">
        <v>0</v>
      </c>
      <c r="M1594" s="2" t="s">
        <v>71</v>
      </c>
      <c r="N1594" s="2" t="s">
        <v>12595</v>
      </c>
      <c r="O1594" s="2" t="s">
        <v>15841</v>
      </c>
      <c r="P1594" s="9">
        <v>0</v>
      </c>
      <c r="Q1594" s="9">
        <v>0</v>
      </c>
      <c r="R1594" s="2" t="s">
        <v>15303</v>
      </c>
    </row>
    <row r="1595" spans="1:18" x14ac:dyDescent="0.25">
      <c r="A1595" s="2" t="s">
        <v>8727</v>
      </c>
      <c r="B1595" s="6">
        <v>46174</v>
      </c>
      <c r="C1595" s="8">
        <v>46195</v>
      </c>
      <c r="D1595" s="2" t="s">
        <v>7433</v>
      </c>
      <c r="E1595" s="2" t="s">
        <v>12593</v>
      </c>
      <c r="F1595" s="2" t="s">
        <v>15304</v>
      </c>
      <c r="G1595" s="2" t="s">
        <v>15842</v>
      </c>
      <c r="H1595" s="2" t="s">
        <v>39</v>
      </c>
      <c r="I1595" s="9">
        <v>10479.49</v>
      </c>
      <c r="J1595" s="7">
        <v>1</v>
      </c>
      <c r="K1595" s="9">
        <v>10479.49</v>
      </c>
      <c r="L1595" s="14">
        <v>0</v>
      </c>
      <c r="M1595" s="2" t="s">
        <v>71</v>
      </c>
      <c r="N1595" s="2" t="s">
        <v>12595</v>
      </c>
      <c r="O1595" s="2" t="s">
        <v>15843</v>
      </c>
      <c r="P1595" s="9">
        <v>0</v>
      </c>
      <c r="Q1595" s="9">
        <v>0</v>
      </c>
      <c r="R1595" s="2" t="s">
        <v>15307</v>
      </c>
    </row>
    <row r="1596" spans="1:18" x14ac:dyDescent="0.25">
      <c r="A1596" s="2" t="s">
        <v>8732</v>
      </c>
      <c r="B1596" s="6">
        <v>46174</v>
      </c>
      <c r="C1596" s="8">
        <v>46196</v>
      </c>
      <c r="D1596" s="2" t="s">
        <v>7433</v>
      </c>
      <c r="E1596" s="2" t="s">
        <v>12593</v>
      </c>
      <c r="F1596" s="2" t="s">
        <v>15308</v>
      </c>
      <c r="G1596" s="2" t="s">
        <v>15844</v>
      </c>
      <c r="H1596" s="2" t="s">
        <v>76</v>
      </c>
      <c r="I1596" s="9">
        <v>172100800</v>
      </c>
      <c r="J1596" s="7">
        <v>6.2500000000000001E-5</v>
      </c>
      <c r="K1596" s="9">
        <v>10756.3</v>
      </c>
      <c r="L1596" s="14">
        <v>0</v>
      </c>
      <c r="M1596" s="2" t="s">
        <v>71</v>
      </c>
      <c r="N1596" s="2" t="s">
        <v>12595</v>
      </c>
      <c r="O1596" s="2" t="s">
        <v>15845</v>
      </c>
      <c r="P1596" s="9">
        <v>0</v>
      </c>
      <c r="Q1596" s="9">
        <v>0</v>
      </c>
      <c r="R1596" s="2" t="s">
        <v>15311</v>
      </c>
    </row>
    <row r="1597" spans="1:18" x14ac:dyDescent="0.25">
      <c r="A1597" s="2" t="s">
        <v>8737</v>
      </c>
      <c r="B1597" s="6">
        <v>46174</v>
      </c>
      <c r="C1597" s="8">
        <v>46197</v>
      </c>
      <c r="D1597" s="2" t="s">
        <v>7433</v>
      </c>
      <c r="E1597" s="2" t="s">
        <v>12593</v>
      </c>
      <c r="F1597" s="2" t="s">
        <v>15312</v>
      </c>
      <c r="G1597" s="2" t="s">
        <v>15846</v>
      </c>
      <c r="H1597" s="2" t="s">
        <v>70</v>
      </c>
      <c r="I1597" s="9">
        <v>16591.157895</v>
      </c>
      <c r="J1597" s="7">
        <v>0.66500000000000004</v>
      </c>
      <c r="K1597" s="9">
        <v>11033.12</v>
      </c>
      <c r="L1597" s="14">
        <v>0</v>
      </c>
      <c r="M1597" s="2" t="s">
        <v>71</v>
      </c>
      <c r="N1597" s="2" t="s">
        <v>12595</v>
      </c>
      <c r="O1597" s="2" t="s">
        <v>15847</v>
      </c>
      <c r="P1597" s="9">
        <v>0</v>
      </c>
      <c r="Q1597" s="9">
        <v>0</v>
      </c>
      <c r="R1597" s="2" t="s">
        <v>15315</v>
      </c>
    </row>
    <row r="1598" spans="1:18" x14ac:dyDescent="0.25">
      <c r="A1598" s="2" t="s">
        <v>8742</v>
      </c>
      <c r="B1598" s="6">
        <v>46174</v>
      </c>
      <c r="C1598" s="8">
        <v>46198</v>
      </c>
      <c r="D1598" s="2" t="s">
        <v>7433</v>
      </c>
      <c r="E1598" s="2" t="s">
        <v>12593</v>
      </c>
      <c r="F1598" s="2" t="s">
        <v>15316</v>
      </c>
      <c r="G1598" s="2" t="s">
        <v>15848</v>
      </c>
      <c r="H1598" s="2" t="s">
        <v>39</v>
      </c>
      <c r="I1598" s="9">
        <v>11309.94</v>
      </c>
      <c r="J1598" s="7">
        <v>1</v>
      </c>
      <c r="K1598" s="9">
        <v>11309.94</v>
      </c>
      <c r="L1598" s="14">
        <v>0</v>
      </c>
      <c r="M1598" s="2" t="s">
        <v>71</v>
      </c>
      <c r="N1598" s="2" t="s">
        <v>12595</v>
      </c>
      <c r="O1598" s="2" t="s">
        <v>15849</v>
      </c>
      <c r="P1598" s="9">
        <v>0</v>
      </c>
      <c r="Q1598" s="9">
        <v>0</v>
      </c>
      <c r="R1598" s="2" t="s">
        <v>15319</v>
      </c>
    </row>
    <row r="1599" spans="1:18" x14ac:dyDescent="0.25">
      <c r="A1599" s="2" t="s">
        <v>8747</v>
      </c>
      <c r="B1599" s="6">
        <v>46174</v>
      </c>
      <c r="C1599" s="8">
        <v>46199</v>
      </c>
      <c r="D1599" s="2" t="s">
        <v>7433</v>
      </c>
      <c r="E1599" s="2" t="s">
        <v>12593</v>
      </c>
      <c r="F1599" s="2" t="s">
        <v>15320</v>
      </c>
      <c r="G1599" s="2" t="s">
        <v>15850</v>
      </c>
      <c r="H1599" s="2" t="s">
        <v>76</v>
      </c>
      <c r="I1599" s="9">
        <v>185388000</v>
      </c>
      <c r="J1599" s="7">
        <v>6.2500000000000001E-5</v>
      </c>
      <c r="K1599" s="9">
        <v>11586.75</v>
      </c>
      <c r="L1599" s="14">
        <v>0</v>
      </c>
      <c r="M1599" s="2" t="s">
        <v>71</v>
      </c>
      <c r="N1599" s="2" t="s">
        <v>12595</v>
      </c>
      <c r="O1599" s="2" t="s">
        <v>15851</v>
      </c>
      <c r="P1599" s="9">
        <v>0</v>
      </c>
      <c r="Q1599" s="9">
        <v>0</v>
      </c>
      <c r="R1599" s="2" t="s">
        <v>15323</v>
      </c>
    </row>
    <row r="1600" spans="1:18" x14ac:dyDescent="0.25">
      <c r="A1600" s="2" t="s">
        <v>8752</v>
      </c>
      <c r="B1600" s="6">
        <v>46174</v>
      </c>
      <c r="C1600" s="8">
        <v>46200</v>
      </c>
      <c r="D1600" s="2" t="s">
        <v>7433</v>
      </c>
      <c r="E1600" s="2" t="s">
        <v>12593</v>
      </c>
      <c r="F1600" s="2" t="s">
        <v>15324</v>
      </c>
      <c r="G1600" s="2" t="s">
        <v>15852</v>
      </c>
      <c r="H1600" s="2" t="s">
        <v>70</v>
      </c>
      <c r="I1600" s="9">
        <v>17839.954887</v>
      </c>
      <c r="J1600" s="7">
        <v>0.66500000000000004</v>
      </c>
      <c r="K1600" s="9">
        <v>11863.57</v>
      </c>
      <c r="L1600" s="14">
        <v>0</v>
      </c>
      <c r="M1600" s="2" t="s">
        <v>71</v>
      </c>
      <c r="N1600" s="2" t="s">
        <v>12595</v>
      </c>
      <c r="O1600" s="2" t="s">
        <v>15853</v>
      </c>
      <c r="P1600" s="9">
        <v>0</v>
      </c>
      <c r="Q1600" s="9">
        <v>0</v>
      </c>
      <c r="R1600" s="2" t="s">
        <v>15327</v>
      </c>
    </row>
    <row r="1601" spans="1:18" x14ac:dyDescent="0.25">
      <c r="A1601" s="2" t="s">
        <v>8757</v>
      </c>
      <c r="B1601" s="6">
        <v>46174</v>
      </c>
      <c r="C1601" s="8">
        <v>46201</v>
      </c>
      <c r="D1601" s="2" t="s">
        <v>7433</v>
      </c>
      <c r="E1601" s="2" t="s">
        <v>12593</v>
      </c>
      <c r="F1601" s="2" t="s">
        <v>15328</v>
      </c>
      <c r="G1601" s="2" t="s">
        <v>15854</v>
      </c>
      <c r="H1601" s="2" t="s">
        <v>39</v>
      </c>
      <c r="I1601" s="9">
        <v>12140.38</v>
      </c>
      <c r="J1601" s="7">
        <v>1</v>
      </c>
      <c r="K1601" s="9">
        <v>12140.38</v>
      </c>
      <c r="L1601" s="14">
        <v>0</v>
      </c>
      <c r="M1601" s="2" t="s">
        <v>71</v>
      </c>
      <c r="N1601" s="2" t="s">
        <v>12595</v>
      </c>
      <c r="O1601" s="2" t="s">
        <v>15855</v>
      </c>
      <c r="P1601" s="9">
        <v>0</v>
      </c>
      <c r="Q1601" s="9">
        <v>0</v>
      </c>
      <c r="R1601" s="2" t="s">
        <v>15331</v>
      </c>
    </row>
    <row r="1602" spans="1:18" x14ac:dyDescent="0.25">
      <c r="A1602" s="2" t="s">
        <v>8762</v>
      </c>
      <c r="B1602" s="6">
        <v>46174</v>
      </c>
      <c r="C1602" s="8">
        <v>46202</v>
      </c>
      <c r="D1602" s="2" t="s">
        <v>7433</v>
      </c>
      <c r="E1602" s="2" t="s">
        <v>12593</v>
      </c>
      <c r="F1602" s="2" t="s">
        <v>15332</v>
      </c>
      <c r="G1602" s="2" t="s">
        <v>15856</v>
      </c>
      <c r="H1602" s="2" t="s">
        <v>76</v>
      </c>
      <c r="I1602" s="9">
        <v>198675200</v>
      </c>
      <c r="J1602" s="7">
        <v>6.2500000000000001E-5</v>
      </c>
      <c r="K1602" s="9">
        <v>12417.2</v>
      </c>
      <c r="L1602" s="14">
        <v>0</v>
      </c>
      <c r="M1602" s="2" t="s">
        <v>71</v>
      </c>
      <c r="N1602" s="2" t="s">
        <v>12595</v>
      </c>
      <c r="O1602" s="2" t="s">
        <v>15857</v>
      </c>
      <c r="P1602" s="9">
        <v>0</v>
      </c>
      <c r="Q1602" s="9">
        <v>0</v>
      </c>
      <c r="R1602" s="2" t="s">
        <v>15335</v>
      </c>
    </row>
    <row r="1603" spans="1:18" x14ac:dyDescent="0.25">
      <c r="A1603" s="2" t="s">
        <v>8767</v>
      </c>
      <c r="B1603" s="6">
        <v>46174</v>
      </c>
      <c r="C1603" s="8">
        <v>46203</v>
      </c>
      <c r="D1603" s="2" t="s">
        <v>7433</v>
      </c>
      <c r="E1603" s="2" t="s">
        <v>12593</v>
      </c>
      <c r="F1603" s="2" t="s">
        <v>15336</v>
      </c>
      <c r="G1603" s="2" t="s">
        <v>15858</v>
      </c>
      <c r="H1603" s="2" t="s">
        <v>70</v>
      </c>
      <c r="I1603" s="9">
        <v>19088.75188</v>
      </c>
      <c r="J1603" s="7">
        <v>0.66500000000000004</v>
      </c>
      <c r="K1603" s="9">
        <v>12694.02</v>
      </c>
      <c r="L1603" s="14">
        <v>0</v>
      </c>
      <c r="M1603" s="2" t="s">
        <v>71</v>
      </c>
      <c r="N1603" s="2" t="s">
        <v>12595</v>
      </c>
      <c r="O1603" s="2" t="s">
        <v>15859</v>
      </c>
      <c r="P1603" s="9">
        <v>0</v>
      </c>
      <c r="Q1603" s="9">
        <v>0</v>
      </c>
      <c r="R1603" s="2" t="s">
        <v>15339</v>
      </c>
    </row>
    <row r="1604" spans="1:18" x14ac:dyDescent="0.25">
      <c r="A1604" s="2" t="s">
        <v>8772</v>
      </c>
      <c r="B1604" s="6">
        <v>46174</v>
      </c>
      <c r="C1604" s="8">
        <v>46174</v>
      </c>
      <c r="D1604" s="2" t="s">
        <v>7433</v>
      </c>
      <c r="E1604" s="2" t="s">
        <v>12593</v>
      </c>
      <c r="F1604" s="2" t="s">
        <v>15300</v>
      </c>
      <c r="G1604" s="2" t="s">
        <v>15860</v>
      </c>
      <c r="H1604" s="2" t="s">
        <v>39</v>
      </c>
      <c r="I1604" s="9">
        <v>12970.83</v>
      </c>
      <c r="J1604" s="7">
        <v>1</v>
      </c>
      <c r="K1604" s="9">
        <v>12970.83</v>
      </c>
      <c r="L1604" s="14">
        <v>0</v>
      </c>
      <c r="M1604" s="2" t="s">
        <v>71</v>
      </c>
      <c r="N1604" s="2" t="s">
        <v>12595</v>
      </c>
      <c r="O1604" s="2" t="s">
        <v>15861</v>
      </c>
      <c r="P1604" s="9">
        <v>0</v>
      </c>
      <c r="Q1604" s="9">
        <v>0</v>
      </c>
      <c r="R1604" s="2" t="s">
        <v>15303</v>
      </c>
    </row>
    <row r="1605" spans="1:18" x14ac:dyDescent="0.25">
      <c r="A1605" s="2" t="s">
        <v>8777</v>
      </c>
      <c r="B1605" s="6">
        <v>46174</v>
      </c>
      <c r="C1605" s="8">
        <v>46175</v>
      </c>
      <c r="D1605" s="2" t="s">
        <v>7433</v>
      </c>
      <c r="E1605" s="2" t="s">
        <v>12593</v>
      </c>
      <c r="F1605" s="2" t="s">
        <v>15304</v>
      </c>
      <c r="G1605" s="2" t="s">
        <v>15862</v>
      </c>
      <c r="H1605" s="2" t="s">
        <v>76</v>
      </c>
      <c r="I1605" s="9">
        <v>211962400</v>
      </c>
      <c r="J1605" s="7">
        <v>6.2500000000000001E-5</v>
      </c>
      <c r="K1605" s="9">
        <v>13247.65</v>
      </c>
      <c r="L1605" s="14">
        <v>0</v>
      </c>
      <c r="M1605" s="2" t="s">
        <v>71</v>
      </c>
      <c r="N1605" s="2" t="s">
        <v>12595</v>
      </c>
      <c r="O1605" s="2" t="s">
        <v>15863</v>
      </c>
      <c r="P1605" s="9">
        <v>0</v>
      </c>
      <c r="Q1605" s="9">
        <v>0</v>
      </c>
      <c r="R1605" s="2" t="s">
        <v>15307</v>
      </c>
    </row>
    <row r="1606" spans="1:18" x14ac:dyDescent="0.25">
      <c r="A1606" s="2" t="s">
        <v>8782</v>
      </c>
      <c r="B1606" s="6">
        <v>46174</v>
      </c>
      <c r="C1606" s="8">
        <v>46176</v>
      </c>
      <c r="D1606" s="2" t="s">
        <v>7433</v>
      </c>
      <c r="E1606" s="2" t="s">
        <v>12593</v>
      </c>
      <c r="F1606" s="2" t="s">
        <v>15308</v>
      </c>
      <c r="G1606" s="2" t="s">
        <v>15864</v>
      </c>
      <c r="H1606" s="2" t="s">
        <v>70</v>
      </c>
      <c r="I1606" s="9">
        <v>20337.533834999998</v>
      </c>
      <c r="J1606" s="7">
        <v>0.66500000000000004</v>
      </c>
      <c r="K1606" s="9">
        <v>13524.46</v>
      </c>
      <c r="L1606" s="14">
        <v>0</v>
      </c>
      <c r="M1606" s="2" t="s">
        <v>71</v>
      </c>
      <c r="N1606" s="2" t="s">
        <v>12595</v>
      </c>
      <c r="O1606" s="2" t="s">
        <v>15865</v>
      </c>
      <c r="P1606" s="9">
        <v>0</v>
      </c>
      <c r="Q1606" s="9">
        <v>0</v>
      </c>
      <c r="R1606" s="2" t="s">
        <v>15311</v>
      </c>
    </row>
    <row r="1607" spans="1:18" x14ac:dyDescent="0.25">
      <c r="A1607" s="2" t="s">
        <v>8787</v>
      </c>
      <c r="B1607" s="6">
        <v>46174</v>
      </c>
      <c r="C1607" s="8">
        <v>46177</v>
      </c>
      <c r="D1607" s="2" t="s">
        <v>7433</v>
      </c>
      <c r="E1607" s="2" t="s">
        <v>12593</v>
      </c>
      <c r="F1607" s="2" t="s">
        <v>15312</v>
      </c>
      <c r="G1607" s="2" t="s">
        <v>15866</v>
      </c>
      <c r="H1607" s="2" t="s">
        <v>39</v>
      </c>
      <c r="I1607" s="9">
        <v>13801.28</v>
      </c>
      <c r="J1607" s="7">
        <v>1</v>
      </c>
      <c r="K1607" s="9">
        <v>13801.28</v>
      </c>
      <c r="L1607" s="14">
        <v>0</v>
      </c>
      <c r="M1607" s="2" t="s">
        <v>71</v>
      </c>
      <c r="N1607" s="2" t="s">
        <v>12595</v>
      </c>
      <c r="O1607" s="2" t="s">
        <v>15867</v>
      </c>
      <c r="P1607" s="9">
        <v>0</v>
      </c>
      <c r="Q1607" s="9">
        <v>0</v>
      </c>
      <c r="R1607" s="2" t="s">
        <v>15315</v>
      </c>
    </row>
    <row r="1608" spans="1:18" x14ac:dyDescent="0.25">
      <c r="A1608" s="2" t="s">
        <v>8792</v>
      </c>
      <c r="B1608" s="6">
        <v>46174</v>
      </c>
      <c r="C1608" s="8">
        <v>46178</v>
      </c>
      <c r="D1608" s="2" t="s">
        <v>7433</v>
      </c>
      <c r="E1608" s="2" t="s">
        <v>12593</v>
      </c>
      <c r="F1608" s="2" t="s">
        <v>15316</v>
      </c>
      <c r="G1608" s="2" t="s">
        <v>15868</v>
      </c>
      <c r="H1608" s="2" t="s">
        <v>76</v>
      </c>
      <c r="I1608" s="9">
        <v>225249600</v>
      </c>
      <c r="J1608" s="7">
        <v>6.2500000000000001E-5</v>
      </c>
      <c r="K1608" s="9">
        <v>14078.1</v>
      </c>
      <c r="L1608" s="14">
        <v>0</v>
      </c>
      <c r="M1608" s="2" t="s">
        <v>71</v>
      </c>
      <c r="N1608" s="2" t="s">
        <v>12595</v>
      </c>
      <c r="O1608" s="2" t="s">
        <v>15869</v>
      </c>
      <c r="P1608" s="9">
        <v>0</v>
      </c>
      <c r="Q1608" s="9">
        <v>0</v>
      </c>
      <c r="R1608" s="2" t="s">
        <v>15319</v>
      </c>
    </row>
    <row r="1609" spans="1:18" x14ac:dyDescent="0.25">
      <c r="A1609" s="2" t="s">
        <v>8797</v>
      </c>
      <c r="B1609" s="6">
        <v>46174</v>
      </c>
      <c r="C1609" s="8">
        <v>46179</v>
      </c>
      <c r="D1609" s="2" t="s">
        <v>7433</v>
      </c>
      <c r="E1609" s="2" t="s">
        <v>12593</v>
      </c>
      <c r="F1609" s="2" t="s">
        <v>15320</v>
      </c>
      <c r="G1609" s="2" t="s">
        <v>15870</v>
      </c>
      <c r="H1609" s="2" t="s">
        <v>70</v>
      </c>
      <c r="I1609" s="9">
        <v>21586.330827000002</v>
      </c>
      <c r="J1609" s="7">
        <v>0.66500000000000004</v>
      </c>
      <c r="K1609" s="9">
        <v>14354.91</v>
      </c>
      <c r="L1609" s="14">
        <v>0</v>
      </c>
      <c r="M1609" s="2" t="s">
        <v>71</v>
      </c>
      <c r="N1609" s="2" t="s">
        <v>12595</v>
      </c>
      <c r="O1609" s="2" t="s">
        <v>15871</v>
      </c>
      <c r="P1609" s="9">
        <v>0</v>
      </c>
      <c r="Q1609" s="9">
        <v>0</v>
      </c>
      <c r="R1609" s="2" t="s">
        <v>15323</v>
      </c>
    </row>
    <row r="1610" spans="1:18" x14ac:dyDescent="0.25">
      <c r="A1610" s="2" t="s">
        <v>8802</v>
      </c>
      <c r="B1610" s="6">
        <v>46174</v>
      </c>
      <c r="C1610" s="8">
        <v>46180</v>
      </c>
      <c r="D1610" s="2" t="s">
        <v>7433</v>
      </c>
      <c r="E1610" s="2" t="s">
        <v>12593</v>
      </c>
      <c r="F1610" s="2" t="s">
        <v>15324</v>
      </c>
      <c r="G1610" s="2" t="s">
        <v>15872</v>
      </c>
      <c r="H1610" s="2" t="s">
        <v>39</v>
      </c>
      <c r="I1610" s="9">
        <v>14631.73</v>
      </c>
      <c r="J1610" s="7">
        <v>1</v>
      </c>
      <c r="K1610" s="9">
        <v>14631.73</v>
      </c>
      <c r="L1610" s="14">
        <v>0</v>
      </c>
      <c r="M1610" s="2" t="s">
        <v>71</v>
      </c>
      <c r="N1610" s="2" t="s">
        <v>12595</v>
      </c>
      <c r="O1610" s="2" t="s">
        <v>15873</v>
      </c>
      <c r="P1610" s="9">
        <v>0</v>
      </c>
      <c r="Q1610" s="9">
        <v>0</v>
      </c>
      <c r="R1610" s="2" t="s">
        <v>15327</v>
      </c>
    </row>
    <row r="1611" spans="1:18" x14ac:dyDescent="0.25">
      <c r="A1611" s="2" t="s">
        <v>8807</v>
      </c>
      <c r="B1611" s="6">
        <v>46174</v>
      </c>
      <c r="C1611" s="8">
        <v>46181</v>
      </c>
      <c r="D1611" s="2" t="s">
        <v>7433</v>
      </c>
      <c r="E1611" s="2" t="s">
        <v>12593</v>
      </c>
      <c r="F1611" s="2" t="s">
        <v>15328</v>
      </c>
      <c r="G1611" s="2" t="s">
        <v>15874</v>
      </c>
      <c r="H1611" s="2" t="s">
        <v>76</v>
      </c>
      <c r="I1611" s="9">
        <v>238536640</v>
      </c>
      <c r="J1611" s="7">
        <v>6.2500000000000001E-5</v>
      </c>
      <c r="K1611" s="9">
        <v>14908.54</v>
      </c>
      <c r="L1611" s="14">
        <v>0</v>
      </c>
      <c r="M1611" s="2" t="s">
        <v>71</v>
      </c>
      <c r="N1611" s="2" t="s">
        <v>12595</v>
      </c>
      <c r="O1611" s="2" t="s">
        <v>15875</v>
      </c>
      <c r="P1611" s="9">
        <v>0</v>
      </c>
      <c r="Q1611" s="9">
        <v>0</v>
      </c>
      <c r="R1611" s="2" t="s">
        <v>15331</v>
      </c>
    </row>
    <row r="1612" spans="1:18" x14ac:dyDescent="0.25">
      <c r="A1612" s="2" t="s">
        <v>8812</v>
      </c>
      <c r="B1612" s="6">
        <v>46174</v>
      </c>
      <c r="C1612" s="8">
        <v>46182</v>
      </c>
      <c r="D1612" s="2" t="s">
        <v>7433</v>
      </c>
      <c r="E1612" s="2" t="s">
        <v>12593</v>
      </c>
      <c r="F1612" s="2" t="s">
        <v>15332</v>
      </c>
      <c r="G1612" s="2" t="s">
        <v>15876</v>
      </c>
      <c r="H1612" s="2" t="s">
        <v>70</v>
      </c>
      <c r="I1612" s="9">
        <v>22835.127820000002</v>
      </c>
      <c r="J1612" s="7">
        <v>0.66500000000000004</v>
      </c>
      <c r="K1612" s="9">
        <v>15185.36</v>
      </c>
      <c r="L1612" s="14">
        <v>0</v>
      </c>
      <c r="M1612" s="2" t="s">
        <v>71</v>
      </c>
      <c r="N1612" s="2" t="s">
        <v>12595</v>
      </c>
      <c r="O1612" s="2" t="s">
        <v>15877</v>
      </c>
      <c r="P1612" s="9">
        <v>0</v>
      </c>
      <c r="Q1612" s="9">
        <v>0</v>
      </c>
      <c r="R1612" s="2" t="s">
        <v>15335</v>
      </c>
    </row>
    <row r="1613" spans="1:18" x14ac:dyDescent="0.25">
      <c r="A1613" s="2" t="s">
        <v>8817</v>
      </c>
      <c r="B1613" s="6">
        <v>46174</v>
      </c>
      <c r="C1613" s="8">
        <v>46183</v>
      </c>
      <c r="D1613" s="2" t="s">
        <v>7433</v>
      </c>
      <c r="E1613" s="2" t="s">
        <v>12593</v>
      </c>
      <c r="F1613" s="2" t="s">
        <v>15336</v>
      </c>
      <c r="G1613" s="2" t="s">
        <v>15878</v>
      </c>
      <c r="H1613" s="2" t="s">
        <v>39</v>
      </c>
      <c r="I1613" s="9">
        <v>15462.18</v>
      </c>
      <c r="J1613" s="7">
        <v>1</v>
      </c>
      <c r="K1613" s="9">
        <v>15462.18</v>
      </c>
      <c r="L1613" s="14">
        <v>0</v>
      </c>
      <c r="M1613" s="2" t="s">
        <v>71</v>
      </c>
      <c r="N1613" s="2" t="s">
        <v>12595</v>
      </c>
      <c r="O1613" s="2" t="s">
        <v>15879</v>
      </c>
      <c r="P1613" s="9">
        <v>0</v>
      </c>
      <c r="Q1613" s="9">
        <v>0</v>
      </c>
      <c r="R1613" s="2" t="s">
        <v>15339</v>
      </c>
    </row>
    <row r="1614" spans="1:18" x14ac:dyDescent="0.25">
      <c r="A1614" s="2" t="s">
        <v>8822</v>
      </c>
      <c r="B1614" s="6">
        <v>46174</v>
      </c>
      <c r="C1614" s="8">
        <v>46184</v>
      </c>
      <c r="D1614" s="2" t="s">
        <v>7433</v>
      </c>
      <c r="E1614" s="2" t="s">
        <v>12593</v>
      </c>
      <c r="F1614" s="2" t="s">
        <v>15300</v>
      </c>
      <c r="G1614" s="2" t="s">
        <v>15880</v>
      </c>
      <c r="H1614" s="2" t="s">
        <v>76</v>
      </c>
      <c r="I1614" s="9">
        <v>251823840</v>
      </c>
      <c r="J1614" s="7">
        <v>6.2500000000000001E-5</v>
      </c>
      <c r="K1614" s="9">
        <v>15738.99</v>
      </c>
      <c r="L1614" s="14">
        <v>0</v>
      </c>
      <c r="M1614" s="2" t="s">
        <v>71</v>
      </c>
      <c r="N1614" s="2" t="s">
        <v>12595</v>
      </c>
      <c r="O1614" s="2" t="s">
        <v>15881</v>
      </c>
      <c r="P1614" s="9">
        <v>0</v>
      </c>
      <c r="Q1614" s="9">
        <v>0</v>
      </c>
      <c r="R1614" s="2" t="s">
        <v>15303</v>
      </c>
    </row>
    <row r="1615" spans="1:18" x14ac:dyDescent="0.25">
      <c r="A1615" s="2" t="s">
        <v>8827</v>
      </c>
      <c r="B1615" s="6">
        <v>46174</v>
      </c>
      <c r="C1615" s="8">
        <v>46185</v>
      </c>
      <c r="D1615" s="2" t="s">
        <v>7433</v>
      </c>
      <c r="E1615" s="2" t="s">
        <v>12593</v>
      </c>
      <c r="F1615" s="2" t="s">
        <v>15304</v>
      </c>
      <c r="G1615" s="2" t="s">
        <v>15882</v>
      </c>
      <c r="H1615" s="2" t="s">
        <v>70</v>
      </c>
      <c r="I1615" s="9">
        <v>24083.924812000001</v>
      </c>
      <c r="J1615" s="7">
        <v>0.66500000000000004</v>
      </c>
      <c r="K1615" s="9">
        <v>16015.81</v>
      </c>
      <c r="L1615" s="14">
        <v>0</v>
      </c>
      <c r="M1615" s="2" t="s">
        <v>71</v>
      </c>
      <c r="N1615" s="2" t="s">
        <v>12595</v>
      </c>
      <c r="O1615" s="2" t="s">
        <v>15883</v>
      </c>
      <c r="P1615" s="9">
        <v>0</v>
      </c>
      <c r="Q1615" s="9">
        <v>0</v>
      </c>
      <c r="R1615" s="2" t="s">
        <v>15307</v>
      </c>
    </row>
    <row r="1616" spans="1:18" x14ac:dyDescent="0.25">
      <c r="A1616" s="2" t="s">
        <v>8832</v>
      </c>
      <c r="B1616" s="6">
        <v>46174</v>
      </c>
      <c r="C1616" s="8">
        <v>46186</v>
      </c>
      <c r="D1616" s="2" t="s">
        <v>7433</v>
      </c>
      <c r="E1616" s="2" t="s">
        <v>12593</v>
      </c>
      <c r="F1616" s="2" t="s">
        <v>15308</v>
      </c>
      <c r="G1616" s="2" t="s">
        <v>15884</v>
      </c>
      <c r="H1616" s="2" t="s">
        <v>39</v>
      </c>
      <c r="I1616" s="9">
        <v>16292.62</v>
      </c>
      <c r="J1616" s="7">
        <v>1</v>
      </c>
      <c r="K1616" s="9">
        <v>16292.62</v>
      </c>
      <c r="L1616" s="14">
        <v>0</v>
      </c>
      <c r="M1616" s="2" t="s">
        <v>71</v>
      </c>
      <c r="N1616" s="2" t="s">
        <v>12595</v>
      </c>
      <c r="O1616" s="2" t="s">
        <v>15885</v>
      </c>
      <c r="P1616" s="9">
        <v>0</v>
      </c>
      <c r="Q1616" s="9">
        <v>0</v>
      </c>
      <c r="R1616" s="2" t="s">
        <v>15311</v>
      </c>
    </row>
    <row r="1617" spans="1:18" x14ac:dyDescent="0.25">
      <c r="A1617" s="2" t="s">
        <v>8837</v>
      </c>
      <c r="B1617" s="6">
        <v>46174</v>
      </c>
      <c r="C1617" s="8">
        <v>46187</v>
      </c>
      <c r="D1617" s="2" t="s">
        <v>7433</v>
      </c>
      <c r="E1617" s="2" t="s">
        <v>12593</v>
      </c>
      <c r="F1617" s="2" t="s">
        <v>15312</v>
      </c>
      <c r="G1617" s="2" t="s">
        <v>15886</v>
      </c>
      <c r="H1617" s="2" t="s">
        <v>76</v>
      </c>
      <c r="I1617" s="9">
        <v>265111040</v>
      </c>
      <c r="J1617" s="7">
        <v>6.2500000000000001E-5</v>
      </c>
      <c r="K1617" s="9">
        <v>16569.439999999999</v>
      </c>
      <c r="L1617" s="14">
        <v>0</v>
      </c>
      <c r="M1617" s="2" t="s">
        <v>71</v>
      </c>
      <c r="N1617" s="2" t="s">
        <v>12595</v>
      </c>
      <c r="O1617" s="2" t="s">
        <v>15887</v>
      </c>
      <c r="P1617" s="9">
        <v>0</v>
      </c>
      <c r="Q1617" s="9">
        <v>0</v>
      </c>
      <c r="R1617" s="2" t="s">
        <v>15315</v>
      </c>
    </row>
    <row r="1618" spans="1:18" x14ac:dyDescent="0.25">
      <c r="A1618" s="2" t="s">
        <v>8842</v>
      </c>
      <c r="B1618" s="6">
        <v>46174</v>
      </c>
      <c r="C1618" s="8">
        <v>46188</v>
      </c>
      <c r="D1618" s="2" t="s">
        <v>7433</v>
      </c>
      <c r="E1618" s="2" t="s">
        <v>12593</v>
      </c>
      <c r="F1618" s="2" t="s">
        <v>15316</v>
      </c>
      <c r="G1618" s="2" t="s">
        <v>15888</v>
      </c>
      <c r="H1618" s="2" t="s">
        <v>70</v>
      </c>
      <c r="I1618" s="9">
        <v>25332.721805000001</v>
      </c>
      <c r="J1618" s="7">
        <v>0.66500000000000004</v>
      </c>
      <c r="K1618" s="9">
        <v>16846.259999999998</v>
      </c>
      <c r="L1618" s="14">
        <v>0</v>
      </c>
      <c r="M1618" s="2" t="s">
        <v>71</v>
      </c>
      <c r="N1618" s="2" t="s">
        <v>12595</v>
      </c>
      <c r="O1618" s="2" t="s">
        <v>15889</v>
      </c>
      <c r="P1618" s="9">
        <v>0</v>
      </c>
      <c r="Q1618" s="9">
        <v>0</v>
      </c>
      <c r="R1618" s="2" t="s">
        <v>15319</v>
      </c>
    </row>
    <row r="1619" spans="1:18" x14ac:dyDescent="0.25">
      <c r="A1619" s="2" t="s">
        <v>8847</v>
      </c>
      <c r="B1619" s="6">
        <v>46174</v>
      </c>
      <c r="C1619" s="8">
        <v>46189</v>
      </c>
      <c r="D1619" s="2" t="s">
        <v>7433</v>
      </c>
      <c r="E1619" s="2" t="s">
        <v>12593</v>
      </c>
      <c r="F1619" s="2" t="s">
        <v>15320</v>
      </c>
      <c r="G1619" s="2" t="s">
        <v>15890</v>
      </c>
      <c r="H1619" s="2" t="s">
        <v>39</v>
      </c>
      <c r="I1619" s="9">
        <v>17123.07</v>
      </c>
      <c r="J1619" s="7">
        <v>1</v>
      </c>
      <c r="K1619" s="9">
        <v>17123.07</v>
      </c>
      <c r="L1619" s="14">
        <v>0</v>
      </c>
      <c r="M1619" s="2" t="s">
        <v>71</v>
      </c>
      <c r="N1619" s="2" t="s">
        <v>12595</v>
      </c>
      <c r="O1619" s="2" t="s">
        <v>15891</v>
      </c>
      <c r="P1619" s="9">
        <v>0</v>
      </c>
      <c r="Q1619" s="9">
        <v>0</v>
      </c>
      <c r="R1619" s="2" t="s">
        <v>15323</v>
      </c>
    </row>
    <row r="1620" spans="1:18" x14ac:dyDescent="0.25">
      <c r="A1620" s="2" t="s">
        <v>8852</v>
      </c>
      <c r="B1620" s="6">
        <v>46174</v>
      </c>
      <c r="C1620" s="8">
        <v>46190</v>
      </c>
      <c r="D1620" s="2" t="s">
        <v>7433</v>
      </c>
      <c r="E1620" s="2" t="s">
        <v>12593</v>
      </c>
      <c r="F1620" s="2" t="s">
        <v>15324</v>
      </c>
      <c r="G1620" s="2" t="s">
        <v>15892</v>
      </c>
      <c r="H1620" s="2" t="s">
        <v>76</v>
      </c>
      <c r="I1620" s="9">
        <v>-278398240</v>
      </c>
      <c r="J1620" s="7">
        <v>6.2500000000000001E-5</v>
      </c>
      <c r="K1620" s="9">
        <v>-17399.89</v>
      </c>
      <c r="L1620" s="14">
        <v>0</v>
      </c>
      <c r="M1620" s="2" t="s">
        <v>71</v>
      </c>
      <c r="N1620" s="2" t="s">
        <v>12595</v>
      </c>
      <c r="O1620" s="2" t="s">
        <v>15893</v>
      </c>
      <c r="P1620" s="9">
        <v>0</v>
      </c>
      <c r="Q1620" s="9">
        <v>0</v>
      </c>
      <c r="R1620" s="2" t="s">
        <v>15327</v>
      </c>
    </row>
    <row r="1621" spans="1:18" x14ac:dyDescent="0.25">
      <c r="A1621" s="2" t="s">
        <v>8855</v>
      </c>
      <c r="B1621" s="6">
        <v>46174</v>
      </c>
      <c r="C1621" s="8">
        <v>46191</v>
      </c>
      <c r="D1621" s="2" t="s">
        <v>7433</v>
      </c>
      <c r="E1621" s="2" t="s">
        <v>12593</v>
      </c>
      <c r="F1621" s="2" t="s">
        <v>15328</v>
      </c>
      <c r="G1621" s="2" t="s">
        <v>15894</v>
      </c>
      <c r="H1621" s="2" t="s">
        <v>70</v>
      </c>
      <c r="I1621" s="9">
        <v>26581.503758999999</v>
      </c>
      <c r="J1621" s="7">
        <v>0.66500000000000004</v>
      </c>
      <c r="K1621" s="9">
        <v>17676.7</v>
      </c>
      <c r="L1621" s="14">
        <v>0</v>
      </c>
      <c r="M1621" s="2" t="s">
        <v>71</v>
      </c>
      <c r="N1621" s="2" t="s">
        <v>12595</v>
      </c>
      <c r="O1621" s="2" t="s">
        <v>15895</v>
      </c>
      <c r="P1621" s="9">
        <v>0</v>
      </c>
      <c r="Q1621" s="9">
        <v>0</v>
      </c>
      <c r="R1621" s="2" t="s">
        <v>15331</v>
      </c>
    </row>
    <row r="1622" spans="1:18" x14ac:dyDescent="0.25">
      <c r="A1622" s="2" t="s">
        <v>8860</v>
      </c>
      <c r="B1622" s="6">
        <v>46174</v>
      </c>
      <c r="C1622" s="8">
        <v>46192</v>
      </c>
      <c r="D1622" s="2" t="s">
        <v>7433</v>
      </c>
      <c r="E1622" s="2" t="s">
        <v>12593</v>
      </c>
      <c r="F1622" s="2" t="s">
        <v>15332</v>
      </c>
      <c r="G1622" s="2" t="s">
        <v>15896</v>
      </c>
      <c r="H1622" s="2" t="s">
        <v>39</v>
      </c>
      <c r="I1622" s="9">
        <v>17953.52</v>
      </c>
      <c r="J1622" s="7">
        <v>1</v>
      </c>
      <c r="K1622" s="9">
        <v>17953.52</v>
      </c>
      <c r="L1622" s="14">
        <v>0</v>
      </c>
      <c r="M1622" s="2" t="s">
        <v>71</v>
      </c>
      <c r="N1622" s="2" t="s">
        <v>12595</v>
      </c>
      <c r="O1622" s="2" t="s">
        <v>15897</v>
      </c>
      <c r="P1622" s="9">
        <v>0</v>
      </c>
      <c r="Q1622" s="9">
        <v>0</v>
      </c>
      <c r="R1622" s="2" t="s">
        <v>15335</v>
      </c>
    </row>
    <row r="1623" spans="1:18" x14ac:dyDescent="0.25">
      <c r="A1623" s="2" t="s">
        <v>8865</v>
      </c>
      <c r="B1623" s="6">
        <v>46174</v>
      </c>
      <c r="C1623" s="8">
        <v>46193</v>
      </c>
      <c r="D1623" s="2" t="s">
        <v>7433</v>
      </c>
      <c r="E1623" s="2" t="s">
        <v>12593</v>
      </c>
      <c r="F1623" s="2" t="s">
        <v>15336</v>
      </c>
      <c r="G1623" s="2" t="s">
        <v>15898</v>
      </c>
      <c r="H1623" s="2" t="s">
        <v>76</v>
      </c>
      <c r="I1623" s="9">
        <v>291685440</v>
      </c>
      <c r="J1623" s="7">
        <v>6.2500000000000001E-5</v>
      </c>
      <c r="K1623" s="9">
        <v>18230.34</v>
      </c>
      <c r="L1623" s="14">
        <v>0</v>
      </c>
      <c r="M1623" s="2" t="s">
        <v>71</v>
      </c>
      <c r="N1623" s="2" t="s">
        <v>12595</v>
      </c>
      <c r="O1623" s="2" t="s">
        <v>15899</v>
      </c>
      <c r="P1623" s="9">
        <v>0</v>
      </c>
      <c r="Q1623" s="9">
        <v>0</v>
      </c>
      <c r="R1623" s="2" t="s">
        <v>15339</v>
      </c>
    </row>
    <row r="1624" spans="1:18" x14ac:dyDescent="0.25">
      <c r="A1624" s="2" t="s">
        <v>8870</v>
      </c>
      <c r="B1624" s="6">
        <v>46174</v>
      </c>
      <c r="C1624" s="8">
        <v>46194</v>
      </c>
      <c r="D1624" s="2" t="s">
        <v>7433</v>
      </c>
      <c r="E1624" s="2" t="s">
        <v>12593</v>
      </c>
      <c r="F1624" s="2" t="s">
        <v>15300</v>
      </c>
      <c r="G1624" s="2" t="s">
        <v>15900</v>
      </c>
      <c r="H1624" s="2" t="s">
        <v>70</v>
      </c>
      <c r="I1624" s="9">
        <v>27827.969925000001</v>
      </c>
      <c r="J1624" s="7">
        <v>0.66500000000000004</v>
      </c>
      <c r="K1624" s="9">
        <v>18505.599999999999</v>
      </c>
      <c r="L1624" s="14">
        <v>0</v>
      </c>
      <c r="M1624" s="2" t="s">
        <v>71</v>
      </c>
      <c r="N1624" s="2" t="s">
        <v>12595</v>
      </c>
      <c r="O1624" s="2" t="s">
        <v>15901</v>
      </c>
      <c r="P1624" s="9">
        <v>0</v>
      </c>
      <c r="Q1624" s="9">
        <v>0</v>
      </c>
      <c r="R1624" s="2" t="s">
        <v>15303</v>
      </c>
    </row>
    <row r="1625" spans="1:18" x14ac:dyDescent="0.25">
      <c r="A1625" s="2" t="s">
        <v>8875</v>
      </c>
      <c r="B1625" s="6">
        <v>46174</v>
      </c>
      <c r="C1625" s="8">
        <v>46195</v>
      </c>
      <c r="D1625" s="2" t="s">
        <v>7433</v>
      </c>
      <c r="E1625" s="2" t="s">
        <v>12593</v>
      </c>
      <c r="F1625" s="2" t="s">
        <v>15304</v>
      </c>
      <c r="G1625" s="2" t="s">
        <v>15902</v>
      </c>
      <c r="H1625" s="2" t="s">
        <v>39</v>
      </c>
      <c r="I1625" s="9">
        <v>18782.419999999998</v>
      </c>
      <c r="J1625" s="7">
        <v>1</v>
      </c>
      <c r="K1625" s="9">
        <v>18782.419999999998</v>
      </c>
      <c r="L1625" s="14">
        <v>0</v>
      </c>
      <c r="M1625" s="2" t="s">
        <v>71</v>
      </c>
      <c r="N1625" s="2" t="s">
        <v>12595</v>
      </c>
      <c r="O1625" s="2" t="s">
        <v>15903</v>
      </c>
      <c r="P1625" s="9">
        <v>0</v>
      </c>
      <c r="Q1625" s="9">
        <v>0</v>
      </c>
      <c r="R1625" s="2" t="s">
        <v>15307</v>
      </c>
    </row>
    <row r="1626" spans="1:18" x14ac:dyDescent="0.25">
      <c r="A1626" s="2" t="s">
        <v>8880</v>
      </c>
      <c r="B1626" s="6">
        <v>46174</v>
      </c>
      <c r="C1626" s="8">
        <v>46196</v>
      </c>
      <c r="D1626" s="2" t="s">
        <v>7433</v>
      </c>
      <c r="E1626" s="2" t="s">
        <v>12593</v>
      </c>
      <c r="F1626" s="2" t="s">
        <v>15308</v>
      </c>
      <c r="G1626" s="2" t="s">
        <v>15904</v>
      </c>
      <c r="H1626" s="2" t="s">
        <v>76</v>
      </c>
      <c r="I1626" s="9">
        <v>304947680</v>
      </c>
      <c r="J1626" s="7">
        <v>6.2500000000000001E-5</v>
      </c>
      <c r="K1626" s="9">
        <v>19059.23</v>
      </c>
      <c r="L1626" s="14">
        <v>0</v>
      </c>
      <c r="M1626" s="2" t="s">
        <v>71</v>
      </c>
      <c r="N1626" s="2" t="s">
        <v>12595</v>
      </c>
      <c r="O1626" s="2" t="s">
        <v>15905</v>
      </c>
      <c r="P1626" s="9">
        <v>0</v>
      </c>
      <c r="Q1626" s="9">
        <v>0</v>
      </c>
      <c r="R1626" s="2" t="s">
        <v>15311</v>
      </c>
    </row>
    <row r="1627" spans="1:18" x14ac:dyDescent="0.25">
      <c r="A1627" s="2" t="s">
        <v>8885</v>
      </c>
      <c r="B1627" s="6">
        <v>46174</v>
      </c>
      <c r="C1627" s="8">
        <v>46197</v>
      </c>
      <c r="D1627" s="2" t="s">
        <v>7433</v>
      </c>
      <c r="E1627" s="2" t="s">
        <v>12593</v>
      </c>
      <c r="F1627" s="2" t="s">
        <v>15312</v>
      </c>
      <c r="G1627" s="2" t="s">
        <v>15906</v>
      </c>
      <c r="H1627" s="2" t="s">
        <v>70</v>
      </c>
      <c r="I1627" s="9">
        <v>29076.766917000001</v>
      </c>
      <c r="J1627" s="7">
        <v>0.66500000000000004</v>
      </c>
      <c r="K1627" s="9">
        <v>19336.05</v>
      </c>
      <c r="L1627" s="14">
        <v>0</v>
      </c>
      <c r="M1627" s="2" t="s">
        <v>71</v>
      </c>
      <c r="N1627" s="2" t="s">
        <v>12595</v>
      </c>
      <c r="O1627" s="2" t="s">
        <v>15907</v>
      </c>
      <c r="P1627" s="9">
        <v>0</v>
      </c>
      <c r="Q1627" s="9">
        <v>0</v>
      </c>
      <c r="R1627" s="2" t="s">
        <v>15315</v>
      </c>
    </row>
    <row r="1628" spans="1:18" x14ac:dyDescent="0.25">
      <c r="A1628" s="2" t="s">
        <v>8890</v>
      </c>
      <c r="B1628" s="6">
        <v>46174</v>
      </c>
      <c r="C1628" s="8">
        <v>46198</v>
      </c>
      <c r="D1628" s="2" t="s">
        <v>7433</v>
      </c>
      <c r="E1628" s="2" t="s">
        <v>12593</v>
      </c>
      <c r="F1628" s="2" t="s">
        <v>15316</v>
      </c>
      <c r="G1628" s="2" t="s">
        <v>15908</v>
      </c>
      <c r="H1628" s="2" t="s">
        <v>39</v>
      </c>
      <c r="I1628" s="9">
        <v>19612.86</v>
      </c>
      <c r="J1628" s="7">
        <v>1</v>
      </c>
      <c r="K1628" s="9">
        <v>19612.86</v>
      </c>
      <c r="L1628" s="14">
        <v>0</v>
      </c>
      <c r="M1628" s="2" t="s">
        <v>71</v>
      </c>
      <c r="N1628" s="2" t="s">
        <v>12595</v>
      </c>
      <c r="O1628" s="2" t="s">
        <v>15909</v>
      </c>
      <c r="P1628" s="9">
        <v>0</v>
      </c>
      <c r="Q1628" s="9">
        <v>0</v>
      </c>
      <c r="R1628" s="2" t="s">
        <v>15319</v>
      </c>
    </row>
    <row r="1629" spans="1:18" x14ac:dyDescent="0.25">
      <c r="A1629" s="2" t="s">
        <v>8895</v>
      </c>
      <c r="B1629" s="6">
        <v>46174</v>
      </c>
      <c r="C1629" s="8">
        <v>46199</v>
      </c>
      <c r="D1629" s="2" t="s">
        <v>7433</v>
      </c>
      <c r="E1629" s="2" t="s">
        <v>12593</v>
      </c>
      <c r="F1629" s="2" t="s">
        <v>15320</v>
      </c>
      <c r="G1629" s="2" t="s">
        <v>15910</v>
      </c>
      <c r="H1629" s="2" t="s">
        <v>76</v>
      </c>
      <c r="I1629" s="9">
        <v>318234880</v>
      </c>
      <c r="J1629" s="7">
        <v>6.2500000000000001E-5</v>
      </c>
      <c r="K1629" s="9">
        <v>19889.68</v>
      </c>
      <c r="L1629" s="14">
        <v>0</v>
      </c>
      <c r="M1629" s="2" t="s">
        <v>71</v>
      </c>
      <c r="N1629" s="2" t="s">
        <v>12595</v>
      </c>
      <c r="O1629" s="2" t="s">
        <v>15911</v>
      </c>
      <c r="P1629" s="9">
        <v>0</v>
      </c>
      <c r="Q1629" s="9">
        <v>0</v>
      </c>
      <c r="R1629" s="2" t="s">
        <v>15323</v>
      </c>
    </row>
    <row r="1630" spans="1:18" x14ac:dyDescent="0.25">
      <c r="A1630" s="2" t="s">
        <v>8900</v>
      </c>
      <c r="B1630" s="6">
        <v>46174</v>
      </c>
      <c r="C1630" s="8">
        <v>46200</v>
      </c>
      <c r="D1630" s="2" t="s">
        <v>7433</v>
      </c>
      <c r="E1630" s="2" t="s">
        <v>12593</v>
      </c>
      <c r="F1630" s="2" t="s">
        <v>15324</v>
      </c>
      <c r="G1630" s="2" t="s">
        <v>15912</v>
      </c>
      <c r="H1630" s="2" t="s">
        <v>70</v>
      </c>
      <c r="I1630" s="9">
        <v>30325.563910000001</v>
      </c>
      <c r="J1630" s="7">
        <v>0.66500000000000004</v>
      </c>
      <c r="K1630" s="9">
        <v>20166.5</v>
      </c>
      <c r="L1630" s="14">
        <v>0</v>
      </c>
      <c r="M1630" s="2" t="s">
        <v>71</v>
      </c>
      <c r="N1630" s="2" t="s">
        <v>12595</v>
      </c>
      <c r="O1630" s="2" t="s">
        <v>15913</v>
      </c>
      <c r="P1630" s="9">
        <v>0</v>
      </c>
      <c r="Q1630" s="9">
        <v>0</v>
      </c>
      <c r="R1630" s="2" t="s">
        <v>15327</v>
      </c>
    </row>
    <row r="1631" spans="1:18" x14ac:dyDescent="0.25">
      <c r="A1631" s="2" t="s">
        <v>8905</v>
      </c>
      <c r="B1631" s="6">
        <v>46174</v>
      </c>
      <c r="C1631" s="8">
        <v>46201</v>
      </c>
      <c r="D1631" s="2" t="s">
        <v>7433</v>
      </c>
      <c r="E1631" s="2" t="s">
        <v>12593</v>
      </c>
      <c r="F1631" s="2" t="s">
        <v>15328</v>
      </c>
      <c r="G1631" s="2" t="s">
        <v>15914</v>
      </c>
      <c r="H1631" s="2" t="s">
        <v>39</v>
      </c>
      <c r="I1631" s="9">
        <v>20443.310000000001</v>
      </c>
      <c r="J1631" s="7">
        <v>1</v>
      </c>
      <c r="K1631" s="9">
        <v>20443.310000000001</v>
      </c>
      <c r="L1631" s="14">
        <v>0</v>
      </c>
      <c r="M1631" s="2" t="s">
        <v>71</v>
      </c>
      <c r="N1631" s="2" t="s">
        <v>12595</v>
      </c>
      <c r="O1631" s="2" t="s">
        <v>15915</v>
      </c>
      <c r="P1631" s="9">
        <v>0</v>
      </c>
      <c r="Q1631" s="9">
        <v>0</v>
      </c>
      <c r="R1631" s="2" t="s">
        <v>15331</v>
      </c>
    </row>
    <row r="1632" spans="1:18" x14ac:dyDescent="0.25">
      <c r="A1632" s="2" t="s">
        <v>8910</v>
      </c>
      <c r="B1632" s="6">
        <v>46174</v>
      </c>
      <c r="C1632" s="8">
        <v>46202</v>
      </c>
      <c r="D1632" s="2" t="s">
        <v>7433</v>
      </c>
      <c r="E1632" s="2" t="s">
        <v>12593</v>
      </c>
      <c r="F1632" s="2" t="s">
        <v>15332</v>
      </c>
      <c r="G1632" s="2" t="s">
        <v>15916</v>
      </c>
      <c r="H1632" s="2" t="s">
        <v>76</v>
      </c>
      <c r="I1632" s="9">
        <v>331522080</v>
      </c>
      <c r="J1632" s="7">
        <v>6.2500000000000001E-5</v>
      </c>
      <c r="K1632" s="9">
        <v>20720.13</v>
      </c>
      <c r="L1632" s="14">
        <v>0</v>
      </c>
      <c r="M1632" s="2" t="s">
        <v>71</v>
      </c>
      <c r="N1632" s="2" t="s">
        <v>12595</v>
      </c>
      <c r="O1632" s="2" t="s">
        <v>15917</v>
      </c>
      <c r="P1632" s="9">
        <v>0</v>
      </c>
      <c r="Q1632" s="9">
        <v>0</v>
      </c>
      <c r="R1632" s="2" t="s">
        <v>15335</v>
      </c>
    </row>
    <row r="1633" spans="1:18" x14ac:dyDescent="0.25">
      <c r="A1633" s="2" t="s">
        <v>8915</v>
      </c>
      <c r="B1633" s="6">
        <v>46174</v>
      </c>
      <c r="C1633" s="8">
        <v>46203</v>
      </c>
      <c r="D1633" s="2" t="s">
        <v>7433</v>
      </c>
      <c r="E1633" s="2" t="s">
        <v>12593</v>
      </c>
      <c r="F1633" s="2" t="s">
        <v>15336</v>
      </c>
      <c r="G1633" s="2" t="s">
        <v>15918</v>
      </c>
      <c r="H1633" s="2" t="s">
        <v>70</v>
      </c>
      <c r="I1633" s="9">
        <v>31574.345864999999</v>
      </c>
      <c r="J1633" s="7">
        <v>0.66500000000000004</v>
      </c>
      <c r="K1633" s="9">
        <v>20996.94</v>
      </c>
      <c r="L1633" s="14">
        <v>0</v>
      </c>
      <c r="M1633" s="2" t="s">
        <v>71</v>
      </c>
      <c r="N1633" s="2" t="s">
        <v>12595</v>
      </c>
      <c r="O1633" s="2" t="s">
        <v>15919</v>
      </c>
      <c r="P1633" s="9">
        <v>0</v>
      </c>
      <c r="Q1633" s="9">
        <v>0</v>
      </c>
      <c r="R1633" s="2" t="s">
        <v>15339</v>
      </c>
    </row>
    <row r="1634" spans="1:18" x14ac:dyDescent="0.25">
      <c r="A1634" s="2" t="s">
        <v>8920</v>
      </c>
      <c r="B1634" s="6">
        <v>46174</v>
      </c>
      <c r="C1634" s="8">
        <v>46174</v>
      </c>
      <c r="D1634" s="2" t="s">
        <v>7433</v>
      </c>
      <c r="E1634" s="2" t="s">
        <v>12593</v>
      </c>
      <c r="F1634" s="2" t="s">
        <v>15300</v>
      </c>
      <c r="G1634" s="2" t="s">
        <v>15920</v>
      </c>
      <c r="H1634" s="2" t="s">
        <v>39</v>
      </c>
      <c r="I1634" s="9">
        <v>21273.759999999998</v>
      </c>
      <c r="J1634" s="7">
        <v>1</v>
      </c>
      <c r="K1634" s="9">
        <v>21273.759999999998</v>
      </c>
      <c r="L1634" s="14">
        <v>0</v>
      </c>
      <c r="M1634" s="2" t="s">
        <v>71</v>
      </c>
      <c r="N1634" s="2" t="s">
        <v>12595</v>
      </c>
      <c r="O1634" s="2" t="s">
        <v>15921</v>
      </c>
      <c r="P1634" s="9">
        <v>0</v>
      </c>
      <c r="Q1634" s="9">
        <v>0</v>
      </c>
      <c r="R1634" s="2" t="s">
        <v>15303</v>
      </c>
    </row>
    <row r="1635" spans="1:18" x14ac:dyDescent="0.25">
      <c r="A1635" s="2" t="s">
        <v>8925</v>
      </c>
      <c r="B1635" s="6">
        <v>46174</v>
      </c>
      <c r="C1635" s="8">
        <v>46175</v>
      </c>
      <c r="D1635" s="2" t="s">
        <v>7433</v>
      </c>
      <c r="E1635" s="2" t="s">
        <v>12593</v>
      </c>
      <c r="F1635" s="2" t="s">
        <v>15304</v>
      </c>
      <c r="G1635" s="2" t="s">
        <v>15922</v>
      </c>
      <c r="H1635" s="2" t="s">
        <v>76</v>
      </c>
      <c r="I1635" s="9">
        <v>344809280</v>
      </c>
      <c r="J1635" s="7">
        <v>6.2500000000000001E-5</v>
      </c>
      <c r="K1635" s="9">
        <v>21550.58</v>
      </c>
      <c r="L1635" s="14">
        <v>0</v>
      </c>
      <c r="M1635" s="2" t="s">
        <v>71</v>
      </c>
      <c r="N1635" s="2" t="s">
        <v>12595</v>
      </c>
      <c r="O1635" s="2" t="s">
        <v>15923</v>
      </c>
      <c r="P1635" s="9">
        <v>0</v>
      </c>
      <c r="Q1635" s="9">
        <v>0</v>
      </c>
      <c r="R1635" s="2" t="s">
        <v>15307</v>
      </c>
    </row>
    <row r="1636" spans="1:18" x14ac:dyDescent="0.25">
      <c r="A1636" s="2" t="s">
        <v>8930</v>
      </c>
      <c r="B1636" s="6">
        <v>46174</v>
      </c>
      <c r="C1636" s="8">
        <v>46176</v>
      </c>
      <c r="D1636" s="2" t="s">
        <v>7433</v>
      </c>
      <c r="E1636" s="2" t="s">
        <v>12593</v>
      </c>
      <c r="F1636" s="2" t="s">
        <v>15308</v>
      </c>
      <c r="G1636" s="2" t="s">
        <v>15924</v>
      </c>
      <c r="H1636" s="2" t="s">
        <v>70</v>
      </c>
      <c r="I1636" s="9">
        <v>32823.142856999999</v>
      </c>
      <c r="J1636" s="7">
        <v>0.66500000000000004</v>
      </c>
      <c r="K1636" s="9">
        <v>21827.39</v>
      </c>
      <c r="L1636" s="14">
        <v>0</v>
      </c>
      <c r="M1636" s="2" t="s">
        <v>71</v>
      </c>
      <c r="N1636" s="2" t="s">
        <v>12595</v>
      </c>
      <c r="O1636" s="2" t="s">
        <v>15925</v>
      </c>
      <c r="P1636" s="9">
        <v>0</v>
      </c>
      <c r="Q1636" s="9">
        <v>0</v>
      </c>
      <c r="R1636" s="2" t="s">
        <v>15311</v>
      </c>
    </row>
    <row r="1637" spans="1:18" x14ac:dyDescent="0.25">
      <c r="A1637" s="2" t="s">
        <v>8935</v>
      </c>
      <c r="B1637" s="6">
        <v>46174</v>
      </c>
      <c r="C1637" s="8">
        <v>46177</v>
      </c>
      <c r="D1637" s="2" t="s">
        <v>7433</v>
      </c>
      <c r="E1637" s="2" t="s">
        <v>12593</v>
      </c>
      <c r="F1637" s="2" t="s">
        <v>15312</v>
      </c>
      <c r="G1637" s="2" t="s">
        <v>15926</v>
      </c>
      <c r="H1637" s="2" t="s">
        <v>39</v>
      </c>
      <c r="I1637" s="9">
        <v>22104.21</v>
      </c>
      <c r="J1637" s="7">
        <v>1</v>
      </c>
      <c r="K1637" s="9">
        <v>22104.21</v>
      </c>
      <c r="L1637" s="14">
        <v>0</v>
      </c>
      <c r="M1637" s="2" t="s">
        <v>71</v>
      </c>
      <c r="N1637" s="2" t="s">
        <v>12595</v>
      </c>
      <c r="O1637" s="2" t="s">
        <v>15927</v>
      </c>
      <c r="P1637" s="9">
        <v>0</v>
      </c>
      <c r="Q1637" s="9">
        <v>0</v>
      </c>
      <c r="R1637" s="2" t="s">
        <v>15315</v>
      </c>
    </row>
    <row r="1638" spans="1:18" x14ac:dyDescent="0.25">
      <c r="A1638" s="2" t="s">
        <v>8940</v>
      </c>
      <c r="B1638" s="6">
        <v>46174</v>
      </c>
      <c r="C1638" s="8">
        <v>46178</v>
      </c>
      <c r="D1638" s="2" t="s">
        <v>7433</v>
      </c>
      <c r="E1638" s="2" t="s">
        <v>12593</v>
      </c>
      <c r="F1638" s="2" t="s">
        <v>15316</v>
      </c>
      <c r="G1638" s="2" t="s">
        <v>15928</v>
      </c>
      <c r="H1638" s="2" t="s">
        <v>76</v>
      </c>
      <c r="I1638" s="9">
        <v>358096320</v>
      </c>
      <c r="J1638" s="7">
        <v>6.2500000000000001E-5</v>
      </c>
      <c r="K1638" s="9">
        <v>22381.02</v>
      </c>
      <c r="L1638" s="14">
        <v>0</v>
      </c>
      <c r="M1638" s="2" t="s">
        <v>71</v>
      </c>
      <c r="N1638" s="2" t="s">
        <v>12595</v>
      </c>
      <c r="O1638" s="2" t="s">
        <v>15929</v>
      </c>
      <c r="P1638" s="9">
        <v>0</v>
      </c>
      <c r="Q1638" s="9">
        <v>0</v>
      </c>
      <c r="R1638" s="2" t="s">
        <v>15319</v>
      </c>
    </row>
    <row r="1639" spans="1:18" x14ac:dyDescent="0.25">
      <c r="A1639" s="2" t="s">
        <v>8945</v>
      </c>
      <c r="B1639" s="6">
        <v>46174</v>
      </c>
      <c r="C1639" s="8">
        <v>46179</v>
      </c>
      <c r="D1639" s="2" t="s">
        <v>7433</v>
      </c>
      <c r="E1639" s="2" t="s">
        <v>12593</v>
      </c>
      <c r="F1639" s="2" t="s">
        <v>15320</v>
      </c>
      <c r="G1639" s="2" t="s">
        <v>15930</v>
      </c>
      <c r="H1639" s="2" t="s">
        <v>70</v>
      </c>
      <c r="I1639" s="9">
        <v>34071.939850000002</v>
      </c>
      <c r="J1639" s="7">
        <v>0.66500000000000004</v>
      </c>
      <c r="K1639" s="9">
        <v>22657.84</v>
      </c>
      <c r="L1639" s="14">
        <v>0</v>
      </c>
      <c r="M1639" s="2" t="s">
        <v>71</v>
      </c>
      <c r="N1639" s="2" t="s">
        <v>12595</v>
      </c>
      <c r="O1639" s="2" t="s">
        <v>15931</v>
      </c>
      <c r="P1639" s="9">
        <v>0</v>
      </c>
      <c r="Q1639" s="9">
        <v>0</v>
      </c>
      <c r="R1639" s="2" t="s">
        <v>15323</v>
      </c>
    </row>
    <row r="1640" spans="1:18" x14ac:dyDescent="0.25">
      <c r="A1640" s="2" t="s">
        <v>8950</v>
      </c>
      <c r="B1640" s="6">
        <v>46174</v>
      </c>
      <c r="C1640" s="8">
        <v>46180</v>
      </c>
      <c r="D1640" s="2" t="s">
        <v>7433</v>
      </c>
      <c r="E1640" s="2" t="s">
        <v>12593</v>
      </c>
      <c r="F1640" s="2" t="s">
        <v>15324</v>
      </c>
      <c r="G1640" s="2" t="s">
        <v>15932</v>
      </c>
      <c r="H1640" s="2" t="s">
        <v>39</v>
      </c>
      <c r="I1640" s="9">
        <v>22934.66</v>
      </c>
      <c r="J1640" s="7">
        <v>1</v>
      </c>
      <c r="K1640" s="9">
        <v>22934.66</v>
      </c>
      <c r="L1640" s="14">
        <v>0</v>
      </c>
      <c r="M1640" s="2" t="s">
        <v>71</v>
      </c>
      <c r="N1640" s="2" t="s">
        <v>12595</v>
      </c>
      <c r="O1640" s="2" t="s">
        <v>15933</v>
      </c>
      <c r="P1640" s="9">
        <v>0</v>
      </c>
      <c r="Q1640" s="9">
        <v>0</v>
      </c>
      <c r="R1640" s="2" t="s">
        <v>15327</v>
      </c>
    </row>
    <row r="1641" spans="1:18" x14ac:dyDescent="0.25">
      <c r="A1641" s="2" t="s">
        <v>8955</v>
      </c>
      <c r="B1641" s="6">
        <v>46174</v>
      </c>
      <c r="C1641" s="8">
        <v>46181</v>
      </c>
      <c r="D1641" s="2" t="s">
        <v>7433</v>
      </c>
      <c r="E1641" s="2" t="s">
        <v>12593</v>
      </c>
      <c r="F1641" s="2" t="s">
        <v>15328</v>
      </c>
      <c r="G1641" s="2" t="s">
        <v>15934</v>
      </c>
      <c r="H1641" s="2" t="s">
        <v>76</v>
      </c>
      <c r="I1641" s="9">
        <v>371383520</v>
      </c>
      <c r="J1641" s="7">
        <v>6.2500000000000001E-5</v>
      </c>
      <c r="K1641" s="9">
        <v>23211.47</v>
      </c>
      <c r="L1641" s="14">
        <v>0</v>
      </c>
      <c r="M1641" s="2" t="s">
        <v>71</v>
      </c>
      <c r="N1641" s="2" t="s">
        <v>12595</v>
      </c>
      <c r="O1641" s="2" t="s">
        <v>15935</v>
      </c>
      <c r="P1641" s="9">
        <v>0</v>
      </c>
      <c r="Q1641" s="9">
        <v>0</v>
      </c>
      <c r="R1641" s="2" t="s">
        <v>15331</v>
      </c>
    </row>
    <row r="1642" spans="1:18" x14ac:dyDescent="0.25">
      <c r="A1642" s="2" t="s">
        <v>8960</v>
      </c>
      <c r="B1642" s="6">
        <v>46174</v>
      </c>
      <c r="C1642" s="8">
        <v>46182</v>
      </c>
      <c r="D1642" s="2" t="s">
        <v>7433</v>
      </c>
      <c r="E1642" s="2" t="s">
        <v>12593</v>
      </c>
      <c r="F1642" s="2" t="s">
        <v>15332</v>
      </c>
      <c r="G1642" s="2" t="s">
        <v>15936</v>
      </c>
      <c r="H1642" s="2" t="s">
        <v>70</v>
      </c>
      <c r="I1642" s="9">
        <v>35320.736841999998</v>
      </c>
      <c r="J1642" s="7">
        <v>0.66500000000000004</v>
      </c>
      <c r="K1642" s="9">
        <v>23488.29</v>
      </c>
      <c r="L1642" s="14">
        <v>0</v>
      </c>
      <c r="M1642" s="2" t="s">
        <v>71</v>
      </c>
      <c r="N1642" s="2" t="s">
        <v>12595</v>
      </c>
      <c r="O1642" s="2" t="s">
        <v>15937</v>
      </c>
      <c r="P1642" s="9">
        <v>0</v>
      </c>
      <c r="Q1642" s="9">
        <v>0</v>
      </c>
      <c r="R1642" s="2" t="s">
        <v>15335</v>
      </c>
    </row>
    <row r="1643" spans="1:18" x14ac:dyDescent="0.25">
      <c r="A1643" s="2" t="s">
        <v>8965</v>
      </c>
      <c r="B1643" s="6">
        <v>46174</v>
      </c>
      <c r="C1643" s="8">
        <v>46183</v>
      </c>
      <c r="D1643" s="2" t="s">
        <v>7433</v>
      </c>
      <c r="E1643" s="2" t="s">
        <v>12593</v>
      </c>
      <c r="F1643" s="2" t="s">
        <v>15336</v>
      </c>
      <c r="G1643" s="2" t="s">
        <v>15938</v>
      </c>
      <c r="H1643" s="2" t="s">
        <v>39</v>
      </c>
      <c r="I1643" s="9">
        <v>1365.1</v>
      </c>
      <c r="J1643" s="7">
        <v>1</v>
      </c>
      <c r="K1643" s="9">
        <v>1365.1</v>
      </c>
      <c r="L1643" s="14">
        <v>0</v>
      </c>
      <c r="M1643" s="2" t="s">
        <v>71</v>
      </c>
      <c r="N1643" s="2" t="s">
        <v>12595</v>
      </c>
      <c r="O1643" s="2" t="s">
        <v>15939</v>
      </c>
      <c r="P1643" s="9">
        <v>0</v>
      </c>
      <c r="Q1643" s="9">
        <v>0</v>
      </c>
      <c r="R1643" s="2" t="s">
        <v>15339</v>
      </c>
    </row>
    <row r="1644" spans="1:18" x14ac:dyDescent="0.25">
      <c r="A1644" s="2" t="s">
        <v>8970</v>
      </c>
      <c r="B1644" s="6">
        <v>46174</v>
      </c>
      <c r="C1644" s="8">
        <v>46184</v>
      </c>
      <c r="D1644" s="2" t="s">
        <v>7433</v>
      </c>
      <c r="E1644" s="2" t="s">
        <v>12593</v>
      </c>
      <c r="F1644" s="2" t="s">
        <v>15300</v>
      </c>
      <c r="G1644" s="2" t="s">
        <v>15940</v>
      </c>
      <c r="H1644" s="2" t="s">
        <v>76</v>
      </c>
      <c r="I1644" s="9">
        <v>26270720</v>
      </c>
      <c r="J1644" s="7">
        <v>6.2500000000000001E-5</v>
      </c>
      <c r="K1644" s="9">
        <v>1641.92</v>
      </c>
      <c r="L1644" s="14">
        <v>0</v>
      </c>
      <c r="M1644" s="2" t="s">
        <v>71</v>
      </c>
      <c r="N1644" s="2" t="s">
        <v>12595</v>
      </c>
      <c r="O1644" s="2" t="s">
        <v>15941</v>
      </c>
      <c r="P1644" s="9">
        <v>0</v>
      </c>
      <c r="Q1644" s="9">
        <v>0</v>
      </c>
      <c r="R1644" s="2" t="s">
        <v>15303</v>
      </c>
    </row>
    <row r="1645" spans="1:18" x14ac:dyDescent="0.25">
      <c r="A1645" s="2" t="s">
        <v>8975</v>
      </c>
      <c r="B1645" s="6">
        <v>46174</v>
      </c>
      <c r="C1645" s="8">
        <v>46185</v>
      </c>
      <c r="D1645" s="2" t="s">
        <v>7433</v>
      </c>
      <c r="E1645" s="2" t="s">
        <v>12593</v>
      </c>
      <c r="F1645" s="2" t="s">
        <v>15304</v>
      </c>
      <c r="G1645" s="2" t="s">
        <v>15942</v>
      </c>
      <c r="H1645" s="2" t="s">
        <v>70</v>
      </c>
      <c r="I1645" s="9">
        <v>2885.323308</v>
      </c>
      <c r="J1645" s="7">
        <v>0.66500000000000004</v>
      </c>
      <c r="K1645" s="9">
        <v>1918.74</v>
      </c>
      <c r="L1645" s="14">
        <v>0</v>
      </c>
      <c r="M1645" s="2" t="s">
        <v>71</v>
      </c>
      <c r="N1645" s="2" t="s">
        <v>12595</v>
      </c>
      <c r="O1645" s="2" t="s">
        <v>15943</v>
      </c>
      <c r="P1645" s="9">
        <v>0</v>
      </c>
      <c r="Q1645" s="9">
        <v>0</v>
      </c>
      <c r="R1645" s="2" t="s">
        <v>15307</v>
      </c>
    </row>
    <row r="1646" spans="1:18" x14ac:dyDescent="0.25">
      <c r="A1646" s="2" t="s">
        <v>8980</v>
      </c>
      <c r="B1646" s="6">
        <v>46174</v>
      </c>
      <c r="C1646" s="8">
        <v>46186</v>
      </c>
      <c r="D1646" s="2" t="s">
        <v>7433</v>
      </c>
      <c r="E1646" s="2" t="s">
        <v>12593</v>
      </c>
      <c r="F1646" s="2" t="s">
        <v>15308</v>
      </c>
      <c r="G1646" s="2" t="s">
        <v>15944</v>
      </c>
      <c r="H1646" s="2" t="s">
        <v>39</v>
      </c>
      <c r="I1646" s="9">
        <v>2195.5500000000002</v>
      </c>
      <c r="J1646" s="7">
        <v>1</v>
      </c>
      <c r="K1646" s="9">
        <v>2195.5500000000002</v>
      </c>
      <c r="L1646" s="14">
        <v>0</v>
      </c>
      <c r="M1646" s="2" t="s">
        <v>71</v>
      </c>
      <c r="N1646" s="2" t="s">
        <v>12595</v>
      </c>
      <c r="O1646" s="2" t="s">
        <v>15945</v>
      </c>
      <c r="P1646" s="9">
        <v>0</v>
      </c>
      <c r="Q1646" s="9">
        <v>0</v>
      </c>
      <c r="R1646" s="2" t="s">
        <v>15311</v>
      </c>
    </row>
    <row r="1647" spans="1:18" x14ac:dyDescent="0.25">
      <c r="A1647" s="2" t="s">
        <v>8985</v>
      </c>
      <c r="B1647" s="6">
        <v>46174</v>
      </c>
      <c r="C1647" s="8">
        <v>46187</v>
      </c>
      <c r="D1647" s="2" t="s">
        <v>7433</v>
      </c>
      <c r="E1647" s="2" t="s">
        <v>12593</v>
      </c>
      <c r="F1647" s="2" t="s">
        <v>15312</v>
      </c>
      <c r="G1647" s="2" t="s">
        <v>15946</v>
      </c>
      <c r="H1647" s="2" t="s">
        <v>76</v>
      </c>
      <c r="I1647" s="9">
        <v>39557920</v>
      </c>
      <c r="J1647" s="7">
        <v>6.2500000000000001E-5</v>
      </c>
      <c r="K1647" s="9">
        <v>2472.37</v>
      </c>
      <c r="L1647" s="14">
        <v>0</v>
      </c>
      <c r="M1647" s="2" t="s">
        <v>71</v>
      </c>
      <c r="N1647" s="2" t="s">
        <v>12595</v>
      </c>
      <c r="O1647" s="2" t="s">
        <v>15947</v>
      </c>
      <c r="P1647" s="9">
        <v>0</v>
      </c>
      <c r="Q1647" s="9">
        <v>0</v>
      </c>
      <c r="R1647" s="2" t="s">
        <v>15315</v>
      </c>
    </row>
    <row r="1648" spans="1:18" x14ac:dyDescent="0.25">
      <c r="A1648" s="2" t="s">
        <v>8990</v>
      </c>
      <c r="B1648" s="6">
        <v>46174</v>
      </c>
      <c r="C1648" s="8">
        <v>46188</v>
      </c>
      <c r="D1648" s="2" t="s">
        <v>7433</v>
      </c>
      <c r="E1648" s="2" t="s">
        <v>12593</v>
      </c>
      <c r="F1648" s="2" t="s">
        <v>15316</v>
      </c>
      <c r="G1648" s="2" t="s">
        <v>15948</v>
      </c>
      <c r="H1648" s="2" t="s">
        <v>70</v>
      </c>
      <c r="I1648" s="9">
        <v>4134.1052630000004</v>
      </c>
      <c r="J1648" s="7">
        <v>0.66500000000000004</v>
      </c>
      <c r="K1648" s="9">
        <v>2749.18</v>
      </c>
      <c r="L1648" s="14">
        <v>0</v>
      </c>
      <c r="M1648" s="2" t="s">
        <v>71</v>
      </c>
      <c r="N1648" s="2" t="s">
        <v>12595</v>
      </c>
      <c r="O1648" s="2" t="s">
        <v>15949</v>
      </c>
      <c r="P1648" s="9">
        <v>0</v>
      </c>
      <c r="Q1648" s="9">
        <v>0</v>
      </c>
      <c r="R1648" s="2" t="s">
        <v>15319</v>
      </c>
    </row>
    <row r="1649" spans="1:18" x14ac:dyDescent="0.25">
      <c r="A1649" s="2" t="s">
        <v>8995</v>
      </c>
      <c r="B1649" s="6">
        <v>46174</v>
      </c>
      <c r="C1649" s="8">
        <v>46189</v>
      </c>
      <c r="D1649" s="2" t="s">
        <v>7433</v>
      </c>
      <c r="E1649" s="2" t="s">
        <v>12593</v>
      </c>
      <c r="F1649" s="2" t="s">
        <v>15320</v>
      </c>
      <c r="G1649" s="2" t="s">
        <v>15950</v>
      </c>
      <c r="H1649" s="2" t="s">
        <v>39</v>
      </c>
      <c r="I1649" s="9">
        <v>3026</v>
      </c>
      <c r="J1649" s="7">
        <v>1</v>
      </c>
      <c r="K1649" s="9">
        <v>3026</v>
      </c>
      <c r="L1649" s="14">
        <v>0</v>
      </c>
      <c r="M1649" s="2" t="s">
        <v>71</v>
      </c>
      <c r="N1649" s="2" t="s">
        <v>12595</v>
      </c>
      <c r="O1649" s="2" t="s">
        <v>15951</v>
      </c>
      <c r="P1649" s="9">
        <v>0</v>
      </c>
      <c r="Q1649" s="9">
        <v>0</v>
      </c>
      <c r="R1649" s="2" t="s">
        <v>15323</v>
      </c>
    </row>
    <row r="1650" spans="1:18" x14ac:dyDescent="0.25">
      <c r="A1650" s="2" t="s">
        <v>9000</v>
      </c>
      <c r="B1650" s="6">
        <v>46174</v>
      </c>
      <c r="C1650" s="8">
        <v>46190</v>
      </c>
      <c r="D1650" s="2" t="s">
        <v>7433</v>
      </c>
      <c r="E1650" s="2" t="s">
        <v>12593</v>
      </c>
      <c r="F1650" s="2" t="s">
        <v>15324</v>
      </c>
      <c r="G1650" s="2" t="s">
        <v>15952</v>
      </c>
      <c r="H1650" s="2" t="s">
        <v>76</v>
      </c>
      <c r="I1650" s="9">
        <v>52845120</v>
      </c>
      <c r="J1650" s="7">
        <v>6.2500000000000001E-5</v>
      </c>
      <c r="K1650" s="9">
        <v>3302.82</v>
      </c>
      <c r="L1650" s="14">
        <v>0</v>
      </c>
      <c r="M1650" s="2" t="s">
        <v>71</v>
      </c>
      <c r="N1650" s="2" t="s">
        <v>12595</v>
      </c>
      <c r="O1650" s="2" t="s">
        <v>15953</v>
      </c>
      <c r="P1650" s="9">
        <v>0</v>
      </c>
      <c r="Q1650" s="9">
        <v>0</v>
      </c>
      <c r="R1650" s="2" t="s">
        <v>15327</v>
      </c>
    </row>
    <row r="1651" spans="1:18" x14ac:dyDescent="0.25">
      <c r="A1651" s="2" t="s">
        <v>9005</v>
      </c>
      <c r="B1651" s="6">
        <v>46174</v>
      </c>
      <c r="C1651" s="8">
        <v>46191</v>
      </c>
      <c r="D1651" s="2" t="s">
        <v>7433</v>
      </c>
      <c r="E1651" s="2" t="s">
        <v>12593</v>
      </c>
      <c r="F1651" s="2" t="s">
        <v>15328</v>
      </c>
      <c r="G1651" s="2" t="s">
        <v>15954</v>
      </c>
      <c r="H1651" s="2" t="s">
        <v>70</v>
      </c>
      <c r="I1651" s="9">
        <v>5382.9172930000004</v>
      </c>
      <c r="J1651" s="7">
        <v>0.66500000000000004</v>
      </c>
      <c r="K1651" s="9">
        <v>3579.64</v>
      </c>
      <c r="L1651" s="14">
        <v>0</v>
      </c>
      <c r="M1651" s="2" t="s">
        <v>71</v>
      </c>
      <c r="N1651" s="2" t="s">
        <v>12595</v>
      </c>
      <c r="O1651" s="2" t="s">
        <v>15955</v>
      </c>
      <c r="P1651" s="9">
        <v>0</v>
      </c>
      <c r="Q1651" s="9">
        <v>0</v>
      </c>
      <c r="R1651" s="2" t="s">
        <v>15331</v>
      </c>
    </row>
    <row r="1652" spans="1:18" x14ac:dyDescent="0.25">
      <c r="A1652" s="2" t="s">
        <v>9010</v>
      </c>
      <c r="B1652" s="6">
        <v>46174</v>
      </c>
      <c r="C1652" s="8">
        <v>46192</v>
      </c>
      <c r="D1652" s="2" t="s">
        <v>7433</v>
      </c>
      <c r="E1652" s="2" t="s">
        <v>12593</v>
      </c>
      <c r="F1652" s="2" t="s">
        <v>15332</v>
      </c>
      <c r="G1652" s="2" t="s">
        <v>15956</v>
      </c>
      <c r="H1652" s="2" t="s">
        <v>39</v>
      </c>
      <c r="I1652" s="9">
        <v>3856.45</v>
      </c>
      <c r="J1652" s="7">
        <v>1</v>
      </c>
      <c r="K1652" s="9">
        <v>3856.45</v>
      </c>
      <c r="L1652" s="14">
        <v>0</v>
      </c>
      <c r="M1652" s="2" t="s">
        <v>71</v>
      </c>
      <c r="N1652" s="2" t="s">
        <v>12595</v>
      </c>
      <c r="O1652" s="2" t="s">
        <v>15957</v>
      </c>
      <c r="P1652" s="9">
        <v>0</v>
      </c>
      <c r="Q1652" s="9">
        <v>0</v>
      </c>
      <c r="R1652" s="2" t="s">
        <v>15335</v>
      </c>
    </row>
    <row r="1653" spans="1:18" x14ac:dyDescent="0.25">
      <c r="A1653" s="2" t="s">
        <v>9015</v>
      </c>
      <c r="B1653" s="6">
        <v>46174</v>
      </c>
      <c r="C1653" s="8">
        <v>46193</v>
      </c>
      <c r="D1653" s="2" t="s">
        <v>7433</v>
      </c>
      <c r="E1653" s="2" t="s">
        <v>12593</v>
      </c>
      <c r="F1653" s="2" t="s">
        <v>15336</v>
      </c>
      <c r="G1653" s="2" t="s">
        <v>15958</v>
      </c>
      <c r="H1653" s="2" t="s">
        <v>76</v>
      </c>
      <c r="I1653" s="9">
        <v>66132160</v>
      </c>
      <c r="J1653" s="7">
        <v>6.2500000000000001E-5</v>
      </c>
      <c r="K1653" s="9">
        <v>4133.26</v>
      </c>
      <c r="L1653" s="14">
        <v>0</v>
      </c>
      <c r="M1653" s="2" t="s">
        <v>71</v>
      </c>
      <c r="N1653" s="2" t="s">
        <v>12595</v>
      </c>
      <c r="O1653" s="2" t="s">
        <v>15959</v>
      </c>
      <c r="P1653" s="9">
        <v>0</v>
      </c>
      <c r="Q1653" s="9">
        <v>0</v>
      </c>
      <c r="R1653" s="2" t="s">
        <v>15339</v>
      </c>
    </row>
    <row r="1654" spans="1:18" x14ac:dyDescent="0.25">
      <c r="A1654" s="2" t="s">
        <v>9020</v>
      </c>
      <c r="B1654" s="6">
        <v>46174</v>
      </c>
      <c r="C1654" s="8">
        <v>46194</v>
      </c>
      <c r="D1654" s="2" t="s">
        <v>7433</v>
      </c>
      <c r="E1654" s="2" t="s">
        <v>12593</v>
      </c>
      <c r="F1654" s="2" t="s">
        <v>15300</v>
      </c>
      <c r="G1654" s="2" t="s">
        <v>15960</v>
      </c>
      <c r="H1654" s="2" t="s">
        <v>70</v>
      </c>
      <c r="I1654" s="9">
        <v>6631.6992479999999</v>
      </c>
      <c r="J1654" s="7">
        <v>0.66500000000000004</v>
      </c>
      <c r="K1654" s="9">
        <v>4410.08</v>
      </c>
      <c r="L1654" s="14">
        <v>0</v>
      </c>
      <c r="M1654" s="2" t="s">
        <v>71</v>
      </c>
      <c r="N1654" s="2" t="s">
        <v>12595</v>
      </c>
      <c r="O1654" s="2" t="s">
        <v>15961</v>
      </c>
      <c r="P1654" s="9">
        <v>0</v>
      </c>
      <c r="Q1654" s="9">
        <v>0</v>
      </c>
      <c r="R1654" s="2" t="s">
        <v>15303</v>
      </c>
    </row>
    <row r="1655" spans="1:18" x14ac:dyDescent="0.25">
      <c r="A1655" s="2" t="s">
        <v>9025</v>
      </c>
      <c r="B1655" s="6">
        <v>46174</v>
      </c>
      <c r="C1655" s="8">
        <v>46195</v>
      </c>
      <c r="D1655" s="2" t="s">
        <v>7433</v>
      </c>
      <c r="E1655" s="2" t="s">
        <v>12593</v>
      </c>
      <c r="F1655" s="2" t="s">
        <v>15304</v>
      </c>
      <c r="G1655" s="2" t="s">
        <v>15962</v>
      </c>
      <c r="H1655" s="2" t="s">
        <v>39</v>
      </c>
      <c r="I1655" s="9">
        <v>4686.8999999999996</v>
      </c>
      <c r="J1655" s="7">
        <v>1</v>
      </c>
      <c r="K1655" s="9">
        <v>4686.8999999999996</v>
      </c>
      <c r="L1655" s="14">
        <v>0</v>
      </c>
      <c r="M1655" s="2" t="s">
        <v>71</v>
      </c>
      <c r="N1655" s="2" t="s">
        <v>12595</v>
      </c>
      <c r="O1655" s="2" t="s">
        <v>15963</v>
      </c>
      <c r="P1655" s="9">
        <v>0</v>
      </c>
      <c r="Q1655" s="9">
        <v>0</v>
      </c>
      <c r="R1655" s="2" t="s">
        <v>15307</v>
      </c>
    </row>
    <row r="1656" spans="1:18" x14ac:dyDescent="0.25">
      <c r="A1656" s="2" t="s">
        <v>9030</v>
      </c>
      <c r="B1656" s="6">
        <v>46174</v>
      </c>
      <c r="C1656" s="8">
        <v>46196</v>
      </c>
      <c r="D1656" s="2" t="s">
        <v>7433</v>
      </c>
      <c r="E1656" s="2" t="s">
        <v>12593</v>
      </c>
      <c r="F1656" s="2" t="s">
        <v>15308</v>
      </c>
      <c r="G1656" s="2" t="s">
        <v>15964</v>
      </c>
      <c r="H1656" s="2" t="s">
        <v>76</v>
      </c>
      <c r="I1656" s="9">
        <v>79419360</v>
      </c>
      <c r="J1656" s="7">
        <v>6.2500000000000001E-5</v>
      </c>
      <c r="K1656" s="9">
        <v>4963.71</v>
      </c>
      <c r="L1656" s="14">
        <v>0</v>
      </c>
      <c r="M1656" s="2" t="s">
        <v>71</v>
      </c>
      <c r="N1656" s="2" t="s">
        <v>12595</v>
      </c>
      <c r="O1656" s="2" t="s">
        <v>15965</v>
      </c>
      <c r="P1656" s="9">
        <v>0</v>
      </c>
      <c r="Q1656" s="9">
        <v>0</v>
      </c>
      <c r="R1656" s="2" t="s">
        <v>15311</v>
      </c>
    </row>
    <row r="1657" spans="1:18" x14ac:dyDescent="0.25">
      <c r="A1657" s="2" t="s">
        <v>9035</v>
      </c>
      <c r="B1657" s="6">
        <v>46174</v>
      </c>
      <c r="C1657" s="8">
        <v>46197</v>
      </c>
      <c r="D1657" s="2" t="s">
        <v>7433</v>
      </c>
      <c r="E1657" s="2" t="s">
        <v>12593</v>
      </c>
      <c r="F1657" s="2" t="s">
        <v>15312</v>
      </c>
      <c r="G1657" s="2" t="s">
        <v>15966</v>
      </c>
      <c r="H1657" s="2" t="s">
        <v>70</v>
      </c>
      <c r="I1657" s="9">
        <v>7880.4962409999998</v>
      </c>
      <c r="J1657" s="7">
        <v>0.66500000000000004</v>
      </c>
      <c r="K1657" s="9">
        <v>5240.53</v>
      </c>
      <c r="L1657" s="14">
        <v>0</v>
      </c>
      <c r="M1657" s="2" t="s">
        <v>71</v>
      </c>
      <c r="N1657" s="2" t="s">
        <v>12595</v>
      </c>
      <c r="O1657" s="2" t="s">
        <v>15967</v>
      </c>
      <c r="P1657" s="9">
        <v>0</v>
      </c>
      <c r="Q1657" s="9">
        <v>0</v>
      </c>
      <c r="R1657" s="2" t="s">
        <v>15315</v>
      </c>
    </row>
    <row r="1658" spans="1:18" x14ac:dyDescent="0.25">
      <c r="A1658" s="2" t="s">
        <v>9040</v>
      </c>
      <c r="B1658" s="6">
        <v>46174</v>
      </c>
      <c r="C1658" s="8">
        <v>46198</v>
      </c>
      <c r="D1658" s="2" t="s">
        <v>7433</v>
      </c>
      <c r="E1658" s="2" t="s">
        <v>12593</v>
      </c>
      <c r="F1658" s="2" t="s">
        <v>15316</v>
      </c>
      <c r="G1658" s="2" t="s">
        <v>15968</v>
      </c>
      <c r="H1658" s="2" t="s">
        <v>39</v>
      </c>
      <c r="I1658" s="9">
        <v>5517.34</v>
      </c>
      <c r="J1658" s="7">
        <v>1</v>
      </c>
      <c r="K1658" s="9">
        <v>5517.34</v>
      </c>
      <c r="L1658" s="14">
        <v>0</v>
      </c>
      <c r="M1658" s="2" t="s">
        <v>71</v>
      </c>
      <c r="N1658" s="2" t="s">
        <v>12595</v>
      </c>
      <c r="O1658" s="2" t="s">
        <v>15969</v>
      </c>
      <c r="P1658" s="9">
        <v>0</v>
      </c>
      <c r="Q1658" s="9">
        <v>0</v>
      </c>
      <c r="R1658" s="2" t="s">
        <v>15319</v>
      </c>
    </row>
    <row r="1659" spans="1:18" x14ac:dyDescent="0.25">
      <c r="A1659" s="2" t="s">
        <v>9045</v>
      </c>
      <c r="B1659" s="6">
        <v>46174</v>
      </c>
      <c r="C1659" s="8">
        <v>46199</v>
      </c>
      <c r="D1659" s="2" t="s">
        <v>7433</v>
      </c>
      <c r="E1659" s="2" t="s">
        <v>12593</v>
      </c>
      <c r="F1659" s="2" t="s">
        <v>15320</v>
      </c>
      <c r="G1659" s="2" t="s">
        <v>15970</v>
      </c>
      <c r="H1659" s="2" t="s">
        <v>76</v>
      </c>
      <c r="I1659" s="9">
        <v>92706560</v>
      </c>
      <c r="J1659" s="7">
        <v>6.2500000000000001E-5</v>
      </c>
      <c r="K1659" s="9">
        <v>5794.16</v>
      </c>
      <c r="L1659" s="14">
        <v>0</v>
      </c>
      <c r="M1659" s="2" t="s">
        <v>71</v>
      </c>
      <c r="N1659" s="2" t="s">
        <v>12595</v>
      </c>
      <c r="O1659" s="2" t="s">
        <v>15971</v>
      </c>
      <c r="P1659" s="9">
        <v>0</v>
      </c>
      <c r="Q1659" s="9">
        <v>0</v>
      </c>
      <c r="R1659" s="2" t="s">
        <v>15323</v>
      </c>
    </row>
    <row r="1660" spans="1:18" x14ac:dyDescent="0.25">
      <c r="A1660" s="2" t="s">
        <v>9050</v>
      </c>
      <c r="B1660" s="6">
        <v>46174</v>
      </c>
      <c r="C1660" s="8">
        <v>46200</v>
      </c>
      <c r="D1660" s="2" t="s">
        <v>7433</v>
      </c>
      <c r="E1660" s="2" t="s">
        <v>12593</v>
      </c>
      <c r="F1660" s="2" t="s">
        <v>15324</v>
      </c>
      <c r="G1660" s="2" t="s">
        <v>15972</v>
      </c>
      <c r="H1660" s="2" t="s">
        <v>70</v>
      </c>
      <c r="I1660" s="9">
        <v>9129.2932330000003</v>
      </c>
      <c r="J1660" s="7">
        <v>0.66500000000000004</v>
      </c>
      <c r="K1660" s="9">
        <v>6070.98</v>
      </c>
      <c r="L1660" s="14">
        <v>0</v>
      </c>
      <c r="M1660" s="2" t="s">
        <v>71</v>
      </c>
      <c r="N1660" s="2" t="s">
        <v>12595</v>
      </c>
      <c r="O1660" s="2" t="s">
        <v>15973</v>
      </c>
      <c r="P1660" s="9">
        <v>0</v>
      </c>
      <c r="Q1660" s="9">
        <v>0</v>
      </c>
      <c r="R1660" s="2" t="s">
        <v>15327</v>
      </c>
    </row>
    <row r="1661" spans="1:18" x14ac:dyDescent="0.25">
      <c r="A1661" s="2" t="s">
        <v>9055</v>
      </c>
      <c r="B1661" s="6">
        <v>46174</v>
      </c>
      <c r="C1661" s="8">
        <v>46201</v>
      </c>
      <c r="D1661" s="2" t="s">
        <v>7433</v>
      </c>
      <c r="E1661" s="2" t="s">
        <v>12593</v>
      </c>
      <c r="F1661" s="2" t="s">
        <v>15328</v>
      </c>
      <c r="G1661" s="2" t="s">
        <v>15974</v>
      </c>
      <c r="H1661" s="2" t="s">
        <v>39</v>
      </c>
      <c r="I1661" s="9">
        <v>-6347.79</v>
      </c>
      <c r="J1661" s="7">
        <v>1</v>
      </c>
      <c r="K1661" s="9">
        <v>-6347.79</v>
      </c>
      <c r="L1661" s="14">
        <v>0</v>
      </c>
      <c r="M1661" s="2" t="s">
        <v>71</v>
      </c>
      <c r="N1661" s="2" t="s">
        <v>12595</v>
      </c>
      <c r="O1661" s="2" t="s">
        <v>15975</v>
      </c>
      <c r="P1661" s="9">
        <v>0</v>
      </c>
      <c r="Q1661" s="9">
        <v>0</v>
      </c>
      <c r="R1661" s="2" t="s">
        <v>15331</v>
      </c>
    </row>
    <row r="1662" spans="1:18" x14ac:dyDescent="0.25">
      <c r="A1662" s="2" t="s">
        <v>9058</v>
      </c>
      <c r="B1662" s="6">
        <v>46174</v>
      </c>
      <c r="C1662" s="8">
        <v>46202</v>
      </c>
      <c r="D1662" s="2" t="s">
        <v>7433</v>
      </c>
      <c r="E1662" s="2" t="s">
        <v>12593</v>
      </c>
      <c r="F1662" s="2" t="s">
        <v>15332</v>
      </c>
      <c r="G1662" s="2" t="s">
        <v>15976</v>
      </c>
      <c r="H1662" s="2" t="s">
        <v>76</v>
      </c>
      <c r="I1662" s="9">
        <v>105993760</v>
      </c>
      <c r="J1662" s="7">
        <v>6.2500000000000001E-5</v>
      </c>
      <c r="K1662" s="9">
        <v>6624.61</v>
      </c>
      <c r="L1662" s="14">
        <v>0</v>
      </c>
      <c r="M1662" s="2" t="s">
        <v>71</v>
      </c>
      <c r="N1662" s="2" t="s">
        <v>12595</v>
      </c>
      <c r="O1662" s="2" t="s">
        <v>15977</v>
      </c>
      <c r="P1662" s="9">
        <v>0</v>
      </c>
      <c r="Q1662" s="9">
        <v>0</v>
      </c>
      <c r="R1662" s="2" t="s">
        <v>15335</v>
      </c>
    </row>
    <row r="1663" spans="1:18" x14ac:dyDescent="0.25">
      <c r="A1663" s="2" t="s">
        <v>9063</v>
      </c>
      <c r="B1663" s="6">
        <v>46174</v>
      </c>
      <c r="C1663" s="8">
        <v>46203</v>
      </c>
      <c r="D1663" s="2" t="s">
        <v>7433</v>
      </c>
      <c r="E1663" s="2" t="s">
        <v>12593</v>
      </c>
      <c r="F1663" s="2" t="s">
        <v>15336</v>
      </c>
      <c r="G1663" s="2" t="s">
        <v>15978</v>
      </c>
      <c r="H1663" s="2" t="s">
        <v>70</v>
      </c>
      <c r="I1663" s="9">
        <v>10378.075188000001</v>
      </c>
      <c r="J1663" s="7">
        <v>0.66500000000000004</v>
      </c>
      <c r="K1663" s="9">
        <v>6901.42</v>
      </c>
      <c r="L1663" s="14">
        <v>0</v>
      </c>
      <c r="M1663" s="2" t="s">
        <v>71</v>
      </c>
      <c r="N1663" s="2" t="s">
        <v>12595</v>
      </c>
      <c r="O1663" s="2" t="s">
        <v>15979</v>
      </c>
      <c r="P1663" s="9">
        <v>0</v>
      </c>
      <c r="Q1663" s="9">
        <v>0</v>
      </c>
      <c r="R1663" s="2" t="s">
        <v>15339</v>
      </c>
    </row>
    <row r="1664" spans="1:18" x14ac:dyDescent="0.25">
      <c r="A1664" s="2" t="s">
        <v>9068</v>
      </c>
      <c r="B1664" s="6">
        <v>46174</v>
      </c>
      <c r="C1664" s="8">
        <v>46174</v>
      </c>
      <c r="D1664" s="2" t="s">
        <v>7433</v>
      </c>
      <c r="E1664" s="2" t="s">
        <v>12593</v>
      </c>
      <c r="F1664" s="2" t="s">
        <v>15300</v>
      </c>
      <c r="G1664" s="2" t="s">
        <v>15980</v>
      </c>
      <c r="H1664" s="2" t="s">
        <v>39</v>
      </c>
      <c r="I1664" s="9">
        <v>7178.24</v>
      </c>
      <c r="J1664" s="7">
        <v>1</v>
      </c>
      <c r="K1664" s="9">
        <v>7178.24</v>
      </c>
      <c r="L1664" s="14">
        <v>0</v>
      </c>
      <c r="M1664" s="2" t="s">
        <v>71</v>
      </c>
      <c r="N1664" s="2" t="s">
        <v>12595</v>
      </c>
      <c r="O1664" s="2" t="s">
        <v>15981</v>
      </c>
      <c r="P1664" s="9">
        <v>0</v>
      </c>
      <c r="Q1664" s="9">
        <v>0</v>
      </c>
      <c r="R1664" s="2" t="s">
        <v>15303</v>
      </c>
    </row>
    <row r="1665" spans="1:18" x14ac:dyDescent="0.25">
      <c r="A1665" s="2" t="s">
        <v>9073</v>
      </c>
      <c r="B1665" s="6">
        <v>46174</v>
      </c>
      <c r="C1665" s="8">
        <v>46175</v>
      </c>
      <c r="D1665" s="2" t="s">
        <v>7433</v>
      </c>
      <c r="E1665" s="2" t="s">
        <v>12593</v>
      </c>
      <c r="F1665" s="2" t="s">
        <v>15304</v>
      </c>
      <c r="G1665" s="2" t="s">
        <v>15982</v>
      </c>
      <c r="H1665" s="2" t="s">
        <v>76</v>
      </c>
      <c r="I1665" s="9">
        <v>119280960</v>
      </c>
      <c r="J1665" s="7">
        <v>6.2500000000000001E-5</v>
      </c>
      <c r="K1665" s="9">
        <v>7455.06</v>
      </c>
      <c r="L1665" s="14">
        <v>0</v>
      </c>
      <c r="M1665" s="2" t="s">
        <v>71</v>
      </c>
      <c r="N1665" s="2" t="s">
        <v>12595</v>
      </c>
      <c r="O1665" s="2" t="s">
        <v>15983</v>
      </c>
      <c r="P1665" s="9">
        <v>0</v>
      </c>
      <c r="Q1665" s="9">
        <v>0</v>
      </c>
      <c r="R1665" s="2" t="s">
        <v>15307</v>
      </c>
    </row>
    <row r="1666" spans="1:18" x14ac:dyDescent="0.25">
      <c r="A1666" s="2" t="s">
        <v>9078</v>
      </c>
      <c r="B1666" s="6">
        <v>46174</v>
      </c>
      <c r="C1666" s="8">
        <v>46176</v>
      </c>
      <c r="D1666" s="2" t="s">
        <v>7433</v>
      </c>
      <c r="E1666" s="2" t="s">
        <v>12593</v>
      </c>
      <c r="F1666" s="2" t="s">
        <v>15308</v>
      </c>
      <c r="G1666" s="2" t="s">
        <v>15984</v>
      </c>
      <c r="H1666" s="2" t="s">
        <v>70</v>
      </c>
      <c r="I1666" s="9">
        <v>11626.887218</v>
      </c>
      <c r="J1666" s="7">
        <v>0.66500000000000004</v>
      </c>
      <c r="K1666" s="9">
        <v>7731.88</v>
      </c>
      <c r="L1666" s="14">
        <v>0</v>
      </c>
      <c r="M1666" s="2" t="s">
        <v>71</v>
      </c>
      <c r="N1666" s="2" t="s">
        <v>12595</v>
      </c>
      <c r="O1666" s="2" t="s">
        <v>15985</v>
      </c>
      <c r="P1666" s="9">
        <v>0</v>
      </c>
      <c r="Q1666" s="9">
        <v>0</v>
      </c>
      <c r="R1666" s="2" t="s">
        <v>15311</v>
      </c>
    </row>
    <row r="1667" spans="1:18" x14ac:dyDescent="0.25">
      <c r="A1667" s="2" t="s">
        <v>9083</v>
      </c>
      <c r="B1667" s="6">
        <v>46204</v>
      </c>
      <c r="C1667" s="8">
        <v>46227</v>
      </c>
      <c r="D1667" s="2" t="s">
        <v>7433</v>
      </c>
      <c r="E1667" s="2" t="s">
        <v>12593</v>
      </c>
      <c r="F1667" s="2" t="s">
        <v>15312</v>
      </c>
      <c r="G1667" s="2" t="s">
        <v>15986</v>
      </c>
      <c r="H1667" s="2" t="s">
        <v>39</v>
      </c>
      <c r="I1667" s="9">
        <v>8008.69</v>
      </c>
      <c r="J1667" s="7">
        <v>1</v>
      </c>
      <c r="K1667" s="9">
        <v>8008.69</v>
      </c>
      <c r="L1667" s="14">
        <v>0</v>
      </c>
      <c r="M1667" s="2" t="s">
        <v>71</v>
      </c>
      <c r="N1667" s="2" t="s">
        <v>13272</v>
      </c>
      <c r="O1667" s="2" t="s">
        <v>15987</v>
      </c>
      <c r="P1667" s="9">
        <v>0</v>
      </c>
      <c r="Q1667" s="9">
        <v>0</v>
      </c>
      <c r="R1667" s="2" t="s">
        <v>15988</v>
      </c>
    </row>
    <row r="1668" spans="1:18" x14ac:dyDescent="0.25">
      <c r="A1668" s="2" t="s">
        <v>9088</v>
      </c>
      <c r="B1668" s="6">
        <v>46204</v>
      </c>
      <c r="C1668" s="8">
        <v>46228</v>
      </c>
      <c r="D1668" s="2" t="s">
        <v>7433</v>
      </c>
      <c r="E1668" s="2" t="s">
        <v>12593</v>
      </c>
      <c r="F1668" s="2" t="s">
        <v>15316</v>
      </c>
      <c r="G1668" s="2" t="s">
        <v>15989</v>
      </c>
      <c r="H1668" s="2" t="s">
        <v>76</v>
      </c>
      <c r="I1668" s="9">
        <v>133637096.774194</v>
      </c>
      <c r="J1668" s="7">
        <v>6.2000000000000003E-5</v>
      </c>
      <c r="K1668" s="9">
        <v>8285.5</v>
      </c>
      <c r="L1668" s="14">
        <v>0</v>
      </c>
      <c r="M1668" s="2" t="s">
        <v>71</v>
      </c>
      <c r="N1668" s="2" t="s">
        <v>13272</v>
      </c>
      <c r="O1668" s="2" t="s">
        <v>15990</v>
      </c>
      <c r="P1668" s="9">
        <v>0</v>
      </c>
      <c r="Q1668" s="9">
        <v>0</v>
      </c>
      <c r="R1668" s="2" t="s">
        <v>15991</v>
      </c>
    </row>
    <row r="1669" spans="1:18" x14ac:dyDescent="0.25">
      <c r="A1669" s="2" t="s">
        <v>9093</v>
      </c>
      <c r="B1669" s="6">
        <v>46204</v>
      </c>
      <c r="C1669" s="8">
        <v>46229</v>
      </c>
      <c r="D1669" s="2" t="s">
        <v>7433</v>
      </c>
      <c r="E1669" s="2" t="s">
        <v>12593</v>
      </c>
      <c r="F1669" s="2" t="s">
        <v>15320</v>
      </c>
      <c r="G1669" s="2" t="s">
        <v>15992</v>
      </c>
      <c r="H1669" s="2" t="s">
        <v>70</v>
      </c>
      <c r="I1669" s="9">
        <v>13012.644377000001</v>
      </c>
      <c r="J1669" s="7">
        <v>0.65800000000000003</v>
      </c>
      <c r="K1669" s="9">
        <v>8562.32</v>
      </c>
      <c r="L1669" s="14">
        <v>0</v>
      </c>
      <c r="M1669" s="2" t="s">
        <v>71</v>
      </c>
      <c r="N1669" s="2" t="s">
        <v>13272</v>
      </c>
      <c r="O1669" s="2" t="s">
        <v>15993</v>
      </c>
      <c r="P1669" s="9">
        <v>0</v>
      </c>
      <c r="Q1669" s="9">
        <v>0</v>
      </c>
      <c r="R1669" s="2" t="s">
        <v>15994</v>
      </c>
    </row>
    <row r="1670" spans="1:18" x14ac:dyDescent="0.25">
      <c r="A1670" s="2" t="s">
        <v>9098</v>
      </c>
      <c r="B1670" s="6">
        <v>46204</v>
      </c>
      <c r="C1670" s="8">
        <v>46230</v>
      </c>
      <c r="D1670" s="2" t="s">
        <v>7433</v>
      </c>
      <c r="E1670" s="2" t="s">
        <v>12593</v>
      </c>
      <c r="F1670" s="2" t="s">
        <v>15324</v>
      </c>
      <c r="G1670" s="2" t="s">
        <v>15995</v>
      </c>
      <c r="H1670" s="2" t="s">
        <v>39</v>
      </c>
      <c r="I1670" s="9">
        <v>8839.14</v>
      </c>
      <c r="J1670" s="7">
        <v>1</v>
      </c>
      <c r="K1670" s="9">
        <v>8839.14</v>
      </c>
      <c r="L1670" s="14">
        <v>0</v>
      </c>
      <c r="M1670" s="2" t="s">
        <v>71</v>
      </c>
      <c r="N1670" s="2" t="s">
        <v>13272</v>
      </c>
      <c r="O1670" s="2" t="s">
        <v>15996</v>
      </c>
      <c r="P1670" s="9">
        <v>0</v>
      </c>
      <c r="Q1670" s="9">
        <v>0</v>
      </c>
      <c r="R1670" s="2" t="s">
        <v>15997</v>
      </c>
    </row>
    <row r="1671" spans="1:18" x14ac:dyDescent="0.25">
      <c r="A1671" s="2" t="s">
        <v>9103</v>
      </c>
      <c r="B1671" s="6">
        <v>46204</v>
      </c>
      <c r="C1671" s="8">
        <v>46231</v>
      </c>
      <c r="D1671" s="2" t="s">
        <v>7433</v>
      </c>
      <c r="E1671" s="2" t="s">
        <v>12593</v>
      </c>
      <c r="F1671" s="2" t="s">
        <v>15328</v>
      </c>
      <c r="G1671" s="2" t="s">
        <v>15998</v>
      </c>
      <c r="H1671" s="2" t="s">
        <v>76</v>
      </c>
      <c r="I1671" s="9">
        <v>147031451.612903</v>
      </c>
      <c r="J1671" s="7">
        <v>6.2000000000000003E-5</v>
      </c>
      <c r="K1671" s="9">
        <v>9115.9500000000007</v>
      </c>
      <c r="L1671" s="14">
        <v>0</v>
      </c>
      <c r="M1671" s="2" t="s">
        <v>71</v>
      </c>
      <c r="N1671" s="2" t="s">
        <v>13272</v>
      </c>
      <c r="O1671" s="2" t="s">
        <v>15999</v>
      </c>
      <c r="P1671" s="9">
        <v>0</v>
      </c>
      <c r="Q1671" s="9">
        <v>0</v>
      </c>
      <c r="R1671" s="2" t="s">
        <v>16000</v>
      </c>
    </row>
    <row r="1672" spans="1:18" x14ac:dyDescent="0.25">
      <c r="A1672" s="2" t="s">
        <v>9108</v>
      </c>
      <c r="B1672" s="6">
        <v>46204</v>
      </c>
      <c r="C1672" s="8">
        <v>46232</v>
      </c>
      <c r="D1672" s="2" t="s">
        <v>7433</v>
      </c>
      <c r="E1672" s="2" t="s">
        <v>12593</v>
      </c>
      <c r="F1672" s="2" t="s">
        <v>15332</v>
      </c>
      <c r="G1672" s="2" t="s">
        <v>16001</v>
      </c>
      <c r="H1672" s="2" t="s">
        <v>70</v>
      </c>
      <c r="I1672" s="9">
        <v>14274.726444</v>
      </c>
      <c r="J1672" s="7">
        <v>0.65800000000000003</v>
      </c>
      <c r="K1672" s="9">
        <v>9392.77</v>
      </c>
      <c r="L1672" s="14">
        <v>0</v>
      </c>
      <c r="M1672" s="2" t="s">
        <v>71</v>
      </c>
      <c r="N1672" s="2" t="s">
        <v>13272</v>
      </c>
      <c r="O1672" s="2" t="s">
        <v>16002</v>
      </c>
      <c r="P1672" s="9">
        <v>0</v>
      </c>
      <c r="Q1672" s="9">
        <v>0</v>
      </c>
      <c r="R1672" s="2" t="s">
        <v>16003</v>
      </c>
    </row>
    <row r="1673" spans="1:18" x14ac:dyDescent="0.25">
      <c r="A1673" s="2" t="s">
        <v>9113</v>
      </c>
      <c r="B1673" s="6">
        <v>46204</v>
      </c>
      <c r="C1673" s="8">
        <v>46233</v>
      </c>
      <c r="D1673" s="2" t="s">
        <v>7433</v>
      </c>
      <c r="E1673" s="2" t="s">
        <v>12593</v>
      </c>
      <c r="F1673" s="2" t="s">
        <v>15336</v>
      </c>
      <c r="G1673" s="2" t="s">
        <v>16004</v>
      </c>
      <c r="H1673" s="2" t="s">
        <v>39</v>
      </c>
      <c r="I1673" s="9">
        <v>9669.58</v>
      </c>
      <c r="J1673" s="7">
        <v>1</v>
      </c>
      <c r="K1673" s="9">
        <v>9669.58</v>
      </c>
      <c r="L1673" s="14">
        <v>0</v>
      </c>
      <c r="M1673" s="2" t="s">
        <v>71</v>
      </c>
      <c r="N1673" s="2" t="s">
        <v>13272</v>
      </c>
      <c r="O1673" s="2" t="s">
        <v>16005</v>
      </c>
      <c r="P1673" s="9">
        <v>0</v>
      </c>
      <c r="Q1673" s="9">
        <v>0</v>
      </c>
      <c r="R1673" s="2" t="s">
        <v>16006</v>
      </c>
    </row>
    <row r="1674" spans="1:18" x14ac:dyDescent="0.25">
      <c r="A1674" s="2" t="s">
        <v>9118</v>
      </c>
      <c r="B1674" s="6">
        <v>46204</v>
      </c>
      <c r="C1674" s="8">
        <v>46234</v>
      </c>
      <c r="D1674" s="2" t="s">
        <v>7433</v>
      </c>
      <c r="E1674" s="2" t="s">
        <v>12593</v>
      </c>
      <c r="F1674" s="2" t="s">
        <v>15300</v>
      </c>
      <c r="G1674" s="2" t="s">
        <v>16007</v>
      </c>
      <c r="H1674" s="2" t="s">
        <v>76</v>
      </c>
      <c r="I1674" s="9">
        <v>160425806.45161301</v>
      </c>
      <c r="J1674" s="7">
        <v>6.2000000000000003E-5</v>
      </c>
      <c r="K1674" s="9">
        <v>9946.4</v>
      </c>
      <c r="L1674" s="14">
        <v>0</v>
      </c>
      <c r="M1674" s="2" t="s">
        <v>71</v>
      </c>
      <c r="N1674" s="2" t="s">
        <v>13272</v>
      </c>
      <c r="O1674" s="2" t="s">
        <v>16008</v>
      </c>
      <c r="P1674" s="9">
        <v>0</v>
      </c>
      <c r="Q1674" s="9">
        <v>0</v>
      </c>
      <c r="R1674" s="2" t="s">
        <v>16009</v>
      </c>
    </row>
    <row r="1675" spans="1:18" x14ac:dyDescent="0.25">
      <c r="A1675" s="2" t="s">
        <v>9123</v>
      </c>
      <c r="B1675" s="6">
        <v>46204</v>
      </c>
      <c r="C1675" s="8">
        <v>46204</v>
      </c>
      <c r="D1675" s="2" t="s">
        <v>7433</v>
      </c>
      <c r="E1675" s="2" t="s">
        <v>12593</v>
      </c>
      <c r="F1675" s="2" t="s">
        <v>15304</v>
      </c>
      <c r="G1675" s="2" t="s">
        <v>16010</v>
      </c>
      <c r="H1675" s="2" t="s">
        <v>70</v>
      </c>
      <c r="I1675" s="9">
        <v>15536.793313</v>
      </c>
      <c r="J1675" s="7">
        <v>0.65800000000000003</v>
      </c>
      <c r="K1675" s="9">
        <v>10223.209999999999</v>
      </c>
      <c r="L1675" s="14">
        <v>0</v>
      </c>
      <c r="M1675" s="2" t="s">
        <v>71</v>
      </c>
      <c r="N1675" s="2" t="s">
        <v>13272</v>
      </c>
      <c r="O1675" s="2" t="s">
        <v>16011</v>
      </c>
      <c r="P1675" s="9">
        <v>0</v>
      </c>
      <c r="Q1675" s="9">
        <v>0</v>
      </c>
      <c r="R1675" s="2" t="s">
        <v>16012</v>
      </c>
    </row>
    <row r="1676" spans="1:18" x14ac:dyDescent="0.25">
      <c r="A1676" s="2" t="s">
        <v>9128</v>
      </c>
      <c r="B1676" s="6">
        <v>46204</v>
      </c>
      <c r="C1676" s="8">
        <v>46205</v>
      </c>
      <c r="D1676" s="2" t="s">
        <v>7433</v>
      </c>
      <c r="E1676" s="2" t="s">
        <v>12593</v>
      </c>
      <c r="F1676" s="2" t="s">
        <v>15308</v>
      </c>
      <c r="G1676" s="2" t="s">
        <v>16013</v>
      </c>
      <c r="H1676" s="2" t="s">
        <v>39</v>
      </c>
      <c r="I1676" s="9">
        <v>10500.03</v>
      </c>
      <c r="J1676" s="7">
        <v>1</v>
      </c>
      <c r="K1676" s="9">
        <v>10500.03</v>
      </c>
      <c r="L1676" s="14">
        <v>0</v>
      </c>
      <c r="M1676" s="2" t="s">
        <v>71</v>
      </c>
      <c r="N1676" s="2" t="s">
        <v>13272</v>
      </c>
      <c r="O1676" s="2" t="s">
        <v>16014</v>
      </c>
      <c r="P1676" s="9">
        <v>0</v>
      </c>
      <c r="Q1676" s="9">
        <v>0</v>
      </c>
      <c r="R1676" s="2" t="s">
        <v>16015</v>
      </c>
    </row>
    <row r="1677" spans="1:18" x14ac:dyDescent="0.25">
      <c r="A1677" s="2" t="s">
        <v>9133</v>
      </c>
      <c r="B1677" s="6">
        <v>46204</v>
      </c>
      <c r="C1677" s="8">
        <v>46206</v>
      </c>
      <c r="D1677" s="2" t="s">
        <v>7433</v>
      </c>
      <c r="E1677" s="2" t="s">
        <v>12593</v>
      </c>
      <c r="F1677" s="2" t="s">
        <v>15312</v>
      </c>
      <c r="G1677" s="2" t="s">
        <v>16016</v>
      </c>
      <c r="H1677" s="2" t="s">
        <v>76</v>
      </c>
      <c r="I1677" s="9">
        <v>173820161.29032299</v>
      </c>
      <c r="J1677" s="7">
        <v>6.2000000000000003E-5</v>
      </c>
      <c r="K1677" s="9">
        <v>10776.85</v>
      </c>
      <c r="L1677" s="14">
        <v>0</v>
      </c>
      <c r="M1677" s="2" t="s">
        <v>71</v>
      </c>
      <c r="N1677" s="2" t="s">
        <v>13272</v>
      </c>
      <c r="O1677" s="2" t="s">
        <v>16017</v>
      </c>
      <c r="P1677" s="9">
        <v>0</v>
      </c>
      <c r="Q1677" s="9">
        <v>0</v>
      </c>
      <c r="R1677" s="2" t="s">
        <v>15988</v>
      </c>
    </row>
    <row r="1678" spans="1:18" x14ac:dyDescent="0.25">
      <c r="A1678" s="2" t="s">
        <v>9138</v>
      </c>
      <c r="B1678" s="6">
        <v>46204</v>
      </c>
      <c r="C1678" s="8">
        <v>46207</v>
      </c>
      <c r="D1678" s="2" t="s">
        <v>7433</v>
      </c>
      <c r="E1678" s="2" t="s">
        <v>12593</v>
      </c>
      <c r="F1678" s="2" t="s">
        <v>15316</v>
      </c>
      <c r="G1678" s="2" t="s">
        <v>16018</v>
      </c>
      <c r="H1678" s="2" t="s">
        <v>70</v>
      </c>
      <c r="I1678" s="9">
        <v>16798.875380000001</v>
      </c>
      <c r="J1678" s="7">
        <v>0.65800000000000003</v>
      </c>
      <c r="K1678" s="9">
        <v>11053.66</v>
      </c>
      <c r="L1678" s="14">
        <v>0</v>
      </c>
      <c r="M1678" s="2" t="s">
        <v>71</v>
      </c>
      <c r="N1678" s="2" t="s">
        <v>13272</v>
      </c>
      <c r="O1678" s="2" t="s">
        <v>16019</v>
      </c>
      <c r="P1678" s="9">
        <v>0</v>
      </c>
      <c r="Q1678" s="9">
        <v>0</v>
      </c>
      <c r="R1678" s="2" t="s">
        <v>15991</v>
      </c>
    </row>
    <row r="1679" spans="1:18" x14ac:dyDescent="0.25">
      <c r="A1679" s="2" t="s">
        <v>9143</v>
      </c>
      <c r="B1679" s="6">
        <v>46204</v>
      </c>
      <c r="C1679" s="8">
        <v>46208</v>
      </c>
      <c r="D1679" s="2" t="s">
        <v>7433</v>
      </c>
      <c r="E1679" s="2" t="s">
        <v>12593</v>
      </c>
      <c r="F1679" s="2" t="s">
        <v>15320</v>
      </c>
      <c r="G1679" s="2" t="s">
        <v>16020</v>
      </c>
      <c r="H1679" s="2" t="s">
        <v>39</v>
      </c>
      <c r="I1679" s="9">
        <v>11330.48</v>
      </c>
      <c r="J1679" s="7">
        <v>1</v>
      </c>
      <c r="K1679" s="9">
        <v>11330.48</v>
      </c>
      <c r="L1679" s="14">
        <v>0</v>
      </c>
      <c r="M1679" s="2" t="s">
        <v>71</v>
      </c>
      <c r="N1679" s="2" t="s">
        <v>13272</v>
      </c>
      <c r="O1679" s="2" t="s">
        <v>16021</v>
      </c>
      <c r="P1679" s="9">
        <v>0</v>
      </c>
      <c r="Q1679" s="9">
        <v>0</v>
      </c>
      <c r="R1679" s="2" t="s">
        <v>15994</v>
      </c>
    </row>
    <row r="1680" spans="1:18" x14ac:dyDescent="0.25">
      <c r="A1680" s="2" t="s">
        <v>9148</v>
      </c>
      <c r="B1680" s="6">
        <v>46204</v>
      </c>
      <c r="C1680" s="8">
        <v>46209</v>
      </c>
      <c r="D1680" s="2" t="s">
        <v>7433</v>
      </c>
      <c r="E1680" s="2" t="s">
        <v>12593</v>
      </c>
      <c r="F1680" s="2" t="s">
        <v>15324</v>
      </c>
      <c r="G1680" s="2" t="s">
        <v>16022</v>
      </c>
      <c r="H1680" s="2" t="s">
        <v>76</v>
      </c>
      <c r="I1680" s="9">
        <v>187214516.12903199</v>
      </c>
      <c r="J1680" s="7">
        <v>6.2000000000000003E-5</v>
      </c>
      <c r="K1680" s="9">
        <v>11607.3</v>
      </c>
      <c r="L1680" s="14">
        <v>0</v>
      </c>
      <c r="M1680" s="2" t="s">
        <v>71</v>
      </c>
      <c r="N1680" s="2" t="s">
        <v>13272</v>
      </c>
      <c r="O1680" s="2" t="s">
        <v>16023</v>
      </c>
      <c r="P1680" s="9">
        <v>0</v>
      </c>
      <c r="Q1680" s="9">
        <v>0</v>
      </c>
      <c r="R1680" s="2" t="s">
        <v>15997</v>
      </c>
    </row>
    <row r="1681" spans="1:18" x14ac:dyDescent="0.25">
      <c r="A1681" s="2" t="s">
        <v>9153</v>
      </c>
      <c r="B1681" s="6">
        <v>46204</v>
      </c>
      <c r="C1681" s="8">
        <v>46210</v>
      </c>
      <c r="D1681" s="2" t="s">
        <v>7433</v>
      </c>
      <c r="E1681" s="2" t="s">
        <v>12593</v>
      </c>
      <c r="F1681" s="2" t="s">
        <v>15328</v>
      </c>
      <c r="G1681" s="2" t="s">
        <v>16024</v>
      </c>
      <c r="H1681" s="2" t="s">
        <v>70</v>
      </c>
      <c r="I1681" s="9">
        <v>18060.957447000001</v>
      </c>
      <c r="J1681" s="7">
        <v>0.65800000000000003</v>
      </c>
      <c r="K1681" s="9">
        <v>11884.11</v>
      </c>
      <c r="L1681" s="14">
        <v>0</v>
      </c>
      <c r="M1681" s="2" t="s">
        <v>71</v>
      </c>
      <c r="N1681" s="2" t="s">
        <v>13272</v>
      </c>
      <c r="O1681" s="2" t="s">
        <v>16025</v>
      </c>
      <c r="P1681" s="9">
        <v>0</v>
      </c>
      <c r="Q1681" s="9">
        <v>0</v>
      </c>
      <c r="R1681" s="2" t="s">
        <v>16000</v>
      </c>
    </row>
    <row r="1682" spans="1:18" x14ac:dyDescent="0.25">
      <c r="A1682" s="2" t="s">
        <v>9158</v>
      </c>
      <c r="B1682" s="6">
        <v>46204</v>
      </c>
      <c r="C1682" s="8">
        <v>46211</v>
      </c>
      <c r="D1682" s="2" t="s">
        <v>7433</v>
      </c>
      <c r="E1682" s="2" t="s">
        <v>12593</v>
      </c>
      <c r="F1682" s="2" t="s">
        <v>15332</v>
      </c>
      <c r="G1682" s="2" t="s">
        <v>16026</v>
      </c>
      <c r="H1682" s="2" t="s">
        <v>39</v>
      </c>
      <c r="I1682" s="9">
        <v>12160.93</v>
      </c>
      <c r="J1682" s="7">
        <v>1</v>
      </c>
      <c r="K1682" s="9">
        <v>12160.93</v>
      </c>
      <c r="L1682" s="14">
        <v>0</v>
      </c>
      <c r="M1682" s="2" t="s">
        <v>71</v>
      </c>
      <c r="N1682" s="2" t="s">
        <v>13272</v>
      </c>
      <c r="O1682" s="2" t="s">
        <v>16027</v>
      </c>
      <c r="P1682" s="9">
        <v>0</v>
      </c>
      <c r="Q1682" s="9">
        <v>0</v>
      </c>
      <c r="R1682" s="2" t="s">
        <v>16003</v>
      </c>
    </row>
    <row r="1683" spans="1:18" x14ac:dyDescent="0.25">
      <c r="A1683" s="2" t="s">
        <v>9163</v>
      </c>
      <c r="B1683" s="6">
        <v>46204</v>
      </c>
      <c r="C1683" s="8">
        <v>46212</v>
      </c>
      <c r="D1683" s="2" t="s">
        <v>7433</v>
      </c>
      <c r="E1683" s="2" t="s">
        <v>12593</v>
      </c>
      <c r="F1683" s="2" t="s">
        <v>15336</v>
      </c>
      <c r="G1683" s="2" t="s">
        <v>16028</v>
      </c>
      <c r="H1683" s="2" t="s">
        <v>76</v>
      </c>
      <c r="I1683" s="9">
        <v>200608709.67741901</v>
      </c>
      <c r="J1683" s="7">
        <v>6.2000000000000003E-5</v>
      </c>
      <c r="K1683" s="9">
        <v>12437.74</v>
      </c>
      <c r="L1683" s="14">
        <v>0</v>
      </c>
      <c r="M1683" s="2" t="s">
        <v>71</v>
      </c>
      <c r="N1683" s="2" t="s">
        <v>13272</v>
      </c>
      <c r="O1683" s="2" t="s">
        <v>16029</v>
      </c>
      <c r="P1683" s="9">
        <v>0</v>
      </c>
      <c r="Q1683" s="9">
        <v>0</v>
      </c>
      <c r="R1683" s="2" t="s">
        <v>16006</v>
      </c>
    </row>
    <row r="1684" spans="1:18" x14ac:dyDescent="0.25">
      <c r="A1684" s="2" t="s">
        <v>9168</v>
      </c>
      <c r="B1684" s="6">
        <v>46204</v>
      </c>
      <c r="C1684" s="8">
        <v>46213</v>
      </c>
      <c r="D1684" s="2" t="s">
        <v>7433</v>
      </c>
      <c r="E1684" s="2" t="s">
        <v>12593</v>
      </c>
      <c r="F1684" s="2" t="s">
        <v>15300</v>
      </c>
      <c r="G1684" s="2" t="s">
        <v>16030</v>
      </c>
      <c r="H1684" s="2" t="s">
        <v>70</v>
      </c>
      <c r="I1684" s="9">
        <v>19323.039514</v>
      </c>
      <c r="J1684" s="7">
        <v>0.65800000000000003</v>
      </c>
      <c r="K1684" s="9">
        <v>12714.56</v>
      </c>
      <c r="L1684" s="14">
        <v>0</v>
      </c>
      <c r="M1684" s="2" t="s">
        <v>71</v>
      </c>
      <c r="N1684" s="2" t="s">
        <v>13272</v>
      </c>
      <c r="O1684" s="2" t="s">
        <v>16031</v>
      </c>
      <c r="P1684" s="9">
        <v>0</v>
      </c>
      <c r="Q1684" s="9">
        <v>0</v>
      </c>
      <c r="R1684" s="2" t="s">
        <v>16009</v>
      </c>
    </row>
    <row r="1685" spans="1:18" x14ac:dyDescent="0.25">
      <c r="A1685" s="2" t="s">
        <v>9173</v>
      </c>
      <c r="B1685" s="6">
        <v>46204</v>
      </c>
      <c r="C1685" s="8">
        <v>46214</v>
      </c>
      <c r="D1685" s="2" t="s">
        <v>7433</v>
      </c>
      <c r="E1685" s="2" t="s">
        <v>12593</v>
      </c>
      <c r="F1685" s="2" t="s">
        <v>15304</v>
      </c>
      <c r="G1685" s="2" t="s">
        <v>16032</v>
      </c>
      <c r="H1685" s="2" t="s">
        <v>39</v>
      </c>
      <c r="I1685" s="9">
        <v>12991.38</v>
      </c>
      <c r="J1685" s="7">
        <v>1</v>
      </c>
      <c r="K1685" s="9">
        <v>12991.38</v>
      </c>
      <c r="L1685" s="14">
        <v>0</v>
      </c>
      <c r="M1685" s="2" t="s">
        <v>71</v>
      </c>
      <c r="N1685" s="2" t="s">
        <v>13272</v>
      </c>
      <c r="O1685" s="2" t="s">
        <v>16033</v>
      </c>
      <c r="P1685" s="9">
        <v>0</v>
      </c>
      <c r="Q1685" s="9">
        <v>0</v>
      </c>
      <c r="R1685" s="2" t="s">
        <v>16012</v>
      </c>
    </row>
    <row r="1686" spans="1:18" x14ac:dyDescent="0.25">
      <c r="A1686" s="2" t="s">
        <v>9178</v>
      </c>
      <c r="B1686" s="6">
        <v>46204</v>
      </c>
      <c r="C1686" s="8">
        <v>46215</v>
      </c>
      <c r="D1686" s="2" t="s">
        <v>7433</v>
      </c>
      <c r="E1686" s="2" t="s">
        <v>12593</v>
      </c>
      <c r="F1686" s="2" t="s">
        <v>15308</v>
      </c>
      <c r="G1686" s="2" t="s">
        <v>16034</v>
      </c>
      <c r="H1686" s="2" t="s">
        <v>76</v>
      </c>
      <c r="I1686" s="9">
        <v>214003064.51612899</v>
      </c>
      <c r="J1686" s="7">
        <v>6.2000000000000003E-5</v>
      </c>
      <c r="K1686" s="9">
        <v>13268.19</v>
      </c>
      <c r="L1686" s="14">
        <v>0</v>
      </c>
      <c r="M1686" s="2" t="s">
        <v>71</v>
      </c>
      <c r="N1686" s="2" t="s">
        <v>13272</v>
      </c>
      <c r="O1686" s="2" t="s">
        <v>16035</v>
      </c>
      <c r="P1686" s="9">
        <v>0</v>
      </c>
      <c r="Q1686" s="9">
        <v>0</v>
      </c>
      <c r="R1686" s="2" t="s">
        <v>16015</v>
      </c>
    </row>
    <row r="1687" spans="1:18" x14ac:dyDescent="0.25">
      <c r="A1687" s="2" t="s">
        <v>9183</v>
      </c>
      <c r="B1687" s="6">
        <v>46204</v>
      </c>
      <c r="C1687" s="8">
        <v>46216</v>
      </c>
      <c r="D1687" s="2" t="s">
        <v>7433</v>
      </c>
      <c r="E1687" s="2" t="s">
        <v>12593</v>
      </c>
      <c r="F1687" s="2" t="s">
        <v>15312</v>
      </c>
      <c r="G1687" s="2" t="s">
        <v>16036</v>
      </c>
      <c r="H1687" s="2" t="s">
        <v>70</v>
      </c>
      <c r="I1687" s="9">
        <v>20585.121580999999</v>
      </c>
      <c r="J1687" s="7">
        <v>0.65800000000000003</v>
      </c>
      <c r="K1687" s="9">
        <v>13545.01</v>
      </c>
      <c r="L1687" s="14">
        <v>0</v>
      </c>
      <c r="M1687" s="2" t="s">
        <v>71</v>
      </c>
      <c r="N1687" s="2" t="s">
        <v>13272</v>
      </c>
      <c r="O1687" s="2" t="s">
        <v>16037</v>
      </c>
      <c r="P1687" s="9">
        <v>0</v>
      </c>
      <c r="Q1687" s="9">
        <v>0</v>
      </c>
      <c r="R1687" s="2" t="s">
        <v>15988</v>
      </c>
    </row>
    <row r="1688" spans="1:18" x14ac:dyDescent="0.25">
      <c r="A1688" s="2" t="s">
        <v>9188</v>
      </c>
      <c r="B1688" s="6">
        <v>46204</v>
      </c>
      <c r="C1688" s="8">
        <v>46217</v>
      </c>
      <c r="D1688" s="2" t="s">
        <v>7433</v>
      </c>
      <c r="E1688" s="2" t="s">
        <v>12593</v>
      </c>
      <c r="F1688" s="2" t="s">
        <v>15316</v>
      </c>
      <c r="G1688" s="2" t="s">
        <v>16038</v>
      </c>
      <c r="H1688" s="2" t="s">
        <v>39</v>
      </c>
      <c r="I1688" s="9">
        <v>13821.82</v>
      </c>
      <c r="J1688" s="7">
        <v>1</v>
      </c>
      <c r="K1688" s="9">
        <v>13821.82</v>
      </c>
      <c r="L1688" s="14">
        <v>0</v>
      </c>
      <c r="M1688" s="2" t="s">
        <v>71</v>
      </c>
      <c r="N1688" s="2" t="s">
        <v>13272</v>
      </c>
      <c r="O1688" s="2" t="s">
        <v>16039</v>
      </c>
      <c r="P1688" s="9">
        <v>0</v>
      </c>
      <c r="Q1688" s="9">
        <v>0</v>
      </c>
      <c r="R1688" s="2" t="s">
        <v>15991</v>
      </c>
    </row>
    <row r="1689" spans="1:18" x14ac:dyDescent="0.25">
      <c r="A1689" s="2" t="s">
        <v>9193</v>
      </c>
      <c r="B1689" s="6">
        <v>46204</v>
      </c>
      <c r="C1689" s="8">
        <v>46218</v>
      </c>
      <c r="D1689" s="2" t="s">
        <v>7433</v>
      </c>
      <c r="E1689" s="2" t="s">
        <v>12593</v>
      </c>
      <c r="F1689" s="2" t="s">
        <v>15320</v>
      </c>
      <c r="G1689" s="2" t="s">
        <v>16040</v>
      </c>
      <c r="H1689" s="2" t="s">
        <v>76</v>
      </c>
      <c r="I1689" s="9">
        <v>227397419.354839</v>
      </c>
      <c r="J1689" s="7">
        <v>6.2000000000000003E-5</v>
      </c>
      <c r="K1689" s="9">
        <v>14098.64</v>
      </c>
      <c r="L1689" s="14">
        <v>0</v>
      </c>
      <c r="M1689" s="2" t="s">
        <v>71</v>
      </c>
      <c r="N1689" s="2" t="s">
        <v>13272</v>
      </c>
      <c r="O1689" s="2" t="s">
        <v>16041</v>
      </c>
      <c r="P1689" s="9">
        <v>0</v>
      </c>
      <c r="Q1689" s="9">
        <v>0</v>
      </c>
      <c r="R1689" s="2" t="s">
        <v>15994</v>
      </c>
    </row>
    <row r="1690" spans="1:18" x14ac:dyDescent="0.25">
      <c r="A1690" s="2" t="s">
        <v>9198</v>
      </c>
      <c r="B1690" s="6">
        <v>46204</v>
      </c>
      <c r="C1690" s="8">
        <v>46219</v>
      </c>
      <c r="D1690" s="2" t="s">
        <v>7433</v>
      </c>
      <c r="E1690" s="2" t="s">
        <v>12593</v>
      </c>
      <c r="F1690" s="2" t="s">
        <v>15324</v>
      </c>
      <c r="G1690" s="2" t="s">
        <v>16042</v>
      </c>
      <c r="H1690" s="2" t="s">
        <v>70</v>
      </c>
      <c r="I1690" s="9">
        <v>21847.203646999998</v>
      </c>
      <c r="J1690" s="7">
        <v>0.65800000000000003</v>
      </c>
      <c r="K1690" s="9">
        <v>14375.46</v>
      </c>
      <c r="L1690" s="14">
        <v>0</v>
      </c>
      <c r="M1690" s="2" t="s">
        <v>71</v>
      </c>
      <c r="N1690" s="2" t="s">
        <v>13272</v>
      </c>
      <c r="O1690" s="2" t="s">
        <v>16043</v>
      </c>
      <c r="P1690" s="9">
        <v>0</v>
      </c>
      <c r="Q1690" s="9">
        <v>0</v>
      </c>
      <c r="R1690" s="2" t="s">
        <v>15997</v>
      </c>
    </row>
    <row r="1691" spans="1:18" x14ac:dyDescent="0.25">
      <c r="A1691" s="2" t="s">
        <v>9203</v>
      </c>
      <c r="B1691" s="6">
        <v>46204</v>
      </c>
      <c r="C1691" s="8">
        <v>46220</v>
      </c>
      <c r="D1691" s="2" t="s">
        <v>7433</v>
      </c>
      <c r="E1691" s="2" t="s">
        <v>12593</v>
      </c>
      <c r="F1691" s="2" t="s">
        <v>15328</v>
      </c>
      <c r="G1691" s="2" t="s">
        <v>16044</v>
      </c>
      <c r="H1691" s="2" t="s">
        <v>39</v>
      </c>
      <c r="I1691" s="9">
        <v>14652.27</v>
      </c>
      <c r="J1691" s="7">
        <v>1</v>
      </c>
      <c r="K1691" s="9">
        <v>14652.27</v>
      </c>
      <c r="L1691" s="14">
        <v>0</v>
      </c>
      <c r="M1691" s="2" t="s">
        <v>71</v>
      </c>
      <c r="N1691" s="2" t="s">
        <v>13272</v>
      </c>
      <c r="O1691" s="2" t="s">
        <v>16045</v>
      </c>
      <c r="P1691" s="9">
        <v>0</v>
      </c>
      <c r="Q1691" s="9">
        <v>0</v>
      </c>
      <c r="R1691" s="2" t="s">
        <v>16000</v>
      </c>
    </row>
    <row r="1692" spans="1:18" x14ac:dyDescent="0.25">
      <c r="A1692" s="2" t="s">
        <v>9208</v>
      </c>
      <c r="B1692" s="6">
        <v>46204</v>
      </c>
      <c r="C1692" s="8">
        <v>46221</v>
      </c>
      <c r="D1692" s="2" t="s">
        <v>7433</v>
      </c>
      <c r="E1692" s="2" t="s">
        <v>12593</v>
      </c>
      <c r="F1692" s="2" t="s">
        <v>15332</v>
      </c>
      <c r="G1692" s="2" t="s">
        <v>16046</v>
      </c>
      <c r="H1692" s="2" t="s">
        <v>76</v>
      </c>
      <c r="I1692" s="9">
        <v>240791774.19354799</v>
      </c>
      <c r="J1692" s="7">
        <v>6.2000000000000003E-5</v>
      </c>
      <c r="K1692" s="9">
        <v>14929.09</v>
      </c>
      <c r="L1692" s="14">
        <v>0</v>
      </c>
      <c r="M1692" s="2" t="s">
        <v>71</v>
      </c>
      <c r="N1692" s="2" t="s">
        <v>13272</v>
      </c>
      <c r="O1692" s="2" t="s">
        <v>16047</v>
      </c>
      <c r="P1692" s="9">
        <v>0</v>
      </c>
      <c r="Q1692" s="9">
        <v>0</v>
      </c>
      <c r="R1692" s="2" t="s">
        <v>16003</v>
      </c>
    </row>
    <row r="1693" spans="1:18" x14ac:dyDescent="0.25">
      <c r="A1693" s="2" t="s">
        <v>9213</v>
      </c>
      <c r="B1693" s="6">
        <v>46204</v>
      </c>
      <c r="C1693" s="8">
        <v>46222</v>
      </c>
      <c r="D1693" s="2" t="s">
        <v>7433</v>
      </c>
      <c r="E1693" s="2" t="s">
        <v>12593</v>
      </c>
      <c r="F1693" s="2" t="s">
        <v>15336</v>
      </c>
      <c r="G1693" s="2" t="s">
        <v>16048</v>
      </c>
      <c r="H1693" s="2" t="s">
        <v>70</v>
      </c>
      <c r="I1693" s="9">
        <v>23109.285714000001</v>
      </c>
      <c r="J1693" s="7">
        <v>0.65800000000000003</v>
      </c>
      <c r="K1693" s="9">
        <v>15205.91</v>
      </c>
      <c r="L1693" s="14">
        <v>0</v>
      </c>
      <c r="M1693" s="2" t="s">
        <v>71</v>
      </c>
      <c r="N1693" s="2" t="s">
        <v>13272</v>
      </c>
      <c r="O1693" s="2" t="s">
        <v>16049</v>
      </c>
      <c r="P1693" s="9">
        <v>0</v>
      </c>
      <c r="Q1693" s="9">
        <v>0</v>
      </c>
      <c r="R1693" s="2" t="s">
        <v>16006</v>
      </c>
    </row>
    <row r="1694" spans="1:18" x14ac:dyDescent="0.25">
      <c r="A1694" s="2" t="s">
        <v>9218</v>
      </c>
      <c r="B1694" s="6">
        <v>46204</v>
      </c>
      <c r="C1694" s="8">
        <v>46223</v>
      </c>
      <c r="D1694" s="2" t="s">
        <v>7433</v>
      </c>
      <c r="E1694" s="2" t="s">
        <v>12593</v>
      </c>
      <c r="F1694" s="2" t="s">
        <v>15300</v>
      </c>
      <c r="G1694" s="2" t="s">
        <v>16050</v>
      </c>
      <c r="H1694" s="2" t="s">
        <v>39</v>
      </c>
      <c r="I1694" s="9">
        <v>15482.72</v>
      </c>
      <c r="J1694" s="7">
        <v>1</v>
      </c>
      <c r="K1694" s="9">
        <v>15482.72</v>
      </c>
      <c r="L1694" s="14">
        <v>0</v>
      </c>
      <c r="M1694" s="2" t="s">
        <v>71</v>
      </c>
      <c r="N1694" s="2" t="s">
        <v>13272</v>
      </c>
      <c r="O1694" s="2" t="s">
        <v>16051</v>
      </c>
      <c r="P1694" s="9">
        <v>0</v>
      </c>
      <c r="Q1694" s="9">
        <v>0</v>
      </c>
      <c r="R1694" s="2" t="s">
        <v>16009</v>
      </c>
    </row>
    <row r="1695" spans="1:18" x14ac:dyDescent="0.25">
      <c r="A1695" s="2" t="s">
        <v>9223</v>
      </c>
      <c r="B1695" s="6">
        <v>46204</v>
      </c>
      <c r="C1695" s="8">
        <v>46224</v>
      </c>
      <c r="D1695" s="2" t="s">
        <v>7433</v>
      </c>
      <c r="E1695" s="2" t="s">
        <v>12593</v>
      </c>
      <c r="F1695" s="2" t="s">
        <v>15304</v>
      </c>
      <c r="G1695" s="2" t="s">
        <v>16052</v>
      </c>
      <c r="H1695" s="2" t="s">
        <v>76</v>
      </c>
      <c r="I1695" s="9">
        <v>254186129.032258</v>
      </c>
      <c r="J1695" s="7">
        <v>6.2000000000000003E-5</v>
      </c>
      <c r="K1695" s="9">
        <v>15759.54</v>
      </c>
      <c r="L1695" s="14">
        <v>0</v>
      </c>
      <c r="M1695" s="2" t="s">
        <v>71</v>
      </c>
      <c r="N1695" s="2" t="s">
        <v>13272</v>
      </c>
      <c r="O1695" s="2" t="s">
        <v>16053</v>
      </c>
      <c r="P1695" s="9">
        <v>0</v>
      </c>
      <c r="Q1695" s="9">
        <v>0</v>
      </c>
      <c r="R1695" s="2" t="s">
        <v>16012</v>
      </c>
    </row>
    <row r="1696" spans="1:18" x14ac:dyDescent="0.25">
      <c r="A1696" s="2" t="s">
        <v>9228</v>
      </c>
      <c r="B1696" s="6">
        <v>46204</v>
      </c>
      <c r="C1696" s="8">
        <v>46225</v>
      </c>
      <c r="D1696" s="2" t="s">
        <v>7433</v>
      </c>
      <c r="E1696" s="2" t="s">
        <v>12593</v>
      </c>
      <c r="F1696" s="2" t="s">
        <v>15308</v>
      </c>
      <c r="G1696" s="2" t="s">
        <v>16054</v>
      </c>
      <c r="H1696" s="2" t="s">
        <v>70</v>
      </c>
      <c r="I1696" s="9">
        <v>24371.352584</v>
      </c>
      <c r="J1696" s="7">
        <v>0.65800000000000003</v>
      </c>
      <c r="K1696" s="9">
        <v>16036.35</v>
      </c>
      <c r="L1696" s="14">
        <v>0</v>
      </c>
      <c r="M1696" s="2" t="s">
        <v>71</v>
      </c>
      <c r="N1696" s="2" t="s">
        <v>13272</v>
      </c>
      <c r="O1696" s="2" t="s">
        <v>16055</v>
      </c>
      <c r="P1696" s="9">
        <v>0</v>
      </c>
      <c r="Q1696" s="9">
        <v>0</v>
      </c>
      <c r="R1696" s="2" t="s">
        <v>16015</v>
      </c>
    </row>
    <row r="1697" spans="1:18" x14ac:dyDescent="0.25">
      <c r="A1697" s="2" t="s">
        <v>9233</v>
      </c>
      <c r="B1697" s="6">
        <v>46204</v>
      </c>
      <c r="C1697" s="8">
        <v>46226</v>
      </c>
      <c r="D1697" s="2" t="s">
        <v>7433</v>
      </c>
      <c r="E1697" s="2" t="s">
        <v>12593</v>
      </c>
      <c r="F1697" s="2" t="s">
        <v>15312</v>
      </c>
      <c r="G1697" s="2" t="s">
        <v>16056</v>
      </c>
      <c r="H1697" s="2" t="s">
        <v>39</v>
      </c>
      <c r="I1697" s="9">
        <v>16313.17</v>
      </c>
      <c r="J1697" s="7">
        <v>1</v>
      </c>
      <c r="K1697" s="9">
        <v>16313.17</v>
      </c>
      <c r="L1697" s="14">
        <v>0</v>
      </c>
      <c r="M1697" s="2" t="s">
        <v>71</v>
      </c>
      <c r="N1697" s="2" t="s">
        <v>13272</v>
      </c>
      <c r="O1697" s="2" t="s">
        <v>16057</v>
      </c>
      <c r="P1697" s="9">
        <v>0</v>
      </c>
      <c r="Q1697" s="9">
        <v>0</v>
      </c>
      <c r="R1697" s="2" t="s">
        <v>15988</v>
      </c>
    </row>
    <row r="1698" spans="1:18" x14ac:dyDescent="0.25">
      <c r="A1698" s="2" t="s">
        <v>9238</v>
      </c>
      <c r="B1698" s="6">
        <v>46204</v>
      </c>
      <c r="C1698" s="8">
        <v>46227</v>
      </c>
      <c r="D1698" s="2" t="s">
        <v>7433</v>
      </c>
      <c r="E1698" s="2" t="s">
        <v>12593</v>
      </c>
      <c r="F1698" s="2" t="s">
        <v>15316</v>
      </c>
      <c r="G1698" s="2" t="s">
        <v>16058</v>
      </c>
      <c r="H1698" s="2" t="s">
        <v>76</v>
      </c>
      <c r="I1698" s="9">
        <v>267580322.58064499</v>
      </c>
      <c r="J1698" s="7">
        <v>6.2000000000000003E-5</v>
      </c>
      <c r="K1698" s="9">
        <v>16589.98</v>
      </c>
      <c r="L1698" s="14">
        <v>0</v>
      </c>
      <c r="M1698" s="2" t="s">
        <v>71</v>
      </c>
      <c r="N1698" s="2" t="s">
        <v>13272</v>
      </c>
      <c r="O1698" s="2" t="s">
        <v>16059</v>
      </c>
      <c r="P1698" s="9">
        <v>0</v>
      </c>
      <c r="Q1698" s="9">
        <v>0</v>
      </c>
      <c r="R1698" s="2" t="s">
        <v>15991</v>
      </c>
    </row>
    <row r="1699" spans="1:18" x14ac:dyDescent="0.25">
      <c r="A1699" s="2" t="s">
        <v>9243</v>
      </c>
      <c r="B1699" s="6">
        <v>46204</v>
      </c>
      <c r="C1699" s="8">
        <v>46228</v>
      </c>
      <c r="D1699" s="2" t="s">
        <v>7433</v>
      </c>
      <c r="E1699" s="2" t="s">
        <v>12593</v>
      </c>
      <c r="F1699" s="2" t="s">
        <v>15320</v>
      </c>
      <c r="G1699" s="2" t="s">
        <v>16060</v>
      </c>
      <c r="H1699" s="2" t="s">
        <v>70</v>
      </c>
      <c r="I1699" s="9">
        <v>25633.434649999999</v>
      </c>
      <c r="J1699" s="7">
        <v>0.65800000000000003</v>
      </c>
      <c r="K1699" s="9">
        <v>16866.8</v>
      </c>
      <c r="L1699" s="14">
        <v>0</v>
      </c>
      <c r="M1699" s="2" t="s">
        <v>71</v>
      </c>
      <c r="N1699" s="2" t="s">
        <v>13272</v>
      </c>
      <c r="O1699" s="2" t="s">
        <v>16061</v>
      </c>
      <c r="P1699" s="9">
        <v>0</v>
      </c>
      <c r="Q1699" s="9">
        <v>0</v>
      </c>
      <c r="R1699" s="2" t="s">
        <v>15994</v>
      </c>
    </row>
    <row r="1700" spans="1:18" x14ac:dyDescent="0.25">
      <c r="A1700" s="2" t="s">
        <v>9248</v>
      </c>
      <c r="B1700" s="6">
        <v>46204</v>
      </c>
      <c r="C1700" s="8">
        <v>46229</v>
      </c>
      <c r="D1700" s="2" t="s">
        <v>7433</v>
      </c>
      <c r="E1700" s="2" t="s">
        <v>12593</v>
      </c>
      <c r="F1700" s="2" t="s">
        <v>15324</v>
      </c>
      <c r="G1700" s="2" t="s">
        <v>16062</v>
      </c>
      <c r="H1700" s="2" t="s">
        <v>39</v>
      </c>
      <c r="I1700" s="9">
        <v>17143.62</v>
      </c>
      <c r="J1700" s="7">
        <v>1</v>
      </c>
      <c r="K1700" s="9">
        <v>17143.62</v>
      </c>
      <c r="L1700" s="14">
        <v>0</v>
      </c>
      <c r="M1700" s="2" t="s">
        <v>71</v>
      </c>
      <c r="N1700" s="2" t="s">
        <v>13272</v>
      </c>
      <c r="O1700" s="2" t="s">
        <v>16063</v>
      </c>
      <c r="P1700" s="9">
        <v>0</v>
      </c>
      <c r="Q1700" s="9">
        <v>0</v>
      </c>
      <c r="R1700" s="2" t="s">
        <v>15997</v>
      </c>
    </row>
    <row r="1701" spans="1:18" x14ac:dyDescent="0.25">
      <c r="A1701" s="2" t="s">
        <v>9253</v>
      </c>
      <c r="B1701" s="6">
        <v>46204</v>
      </c>
      <c r="C1701" s="8">
        <v>46230</v>
      </c>
      <c r="D1701" s="2" t="s">
        <v>7433</v>
      </c>
      <c r="E1701" s="2" t="s">
        <v>12593</v>
      </c>
      <c r="F1701" s="2" t="s">
        <v>15328</v>
      </c>
      <c r="G1701" s="2" t="s">
        <v>16064</v>
      </c>
      <c r="H1701" s="2" t="s">
        <v>76</v>
      </c>
      <c r="I1701" s="9">
        <v>280974677.41935498</v>
      </c>
      <c r="J1701" s="7">
        <v>6.2000000000000003E-5</v>
      </c>
      <c r="K1701" s="9">
        <v>17420.43</v>
      </c>
      <c r="L1701" s="14">
        <v>0</v>
      </c>
      <c r="M1701" s="2" t="s">
        <v>71</v>
      </c>
      <c r="N1701" s="2" t="s">
        <v>13272</v>
      </c>
      <c r="O1701" s="2" t="s">
        <v>16065</v>
      </c>
      <c r="P1701" s="9">
        <v>0</v>
      </c>
      <c r="Q1701" s="9">
        <v>0</v>
      </c>
      <c r="R1701" s="2" t="s">
        <v>16000</v>
      </c>
    </row>
    <row r="1702" spans="1:18" x14ac:dyDescent="0.25">
      <c r="A1702" s="2" t="s">
        <v>9258</v>
      </c>
      <c r="B1702" s="6">
        <v>46204</v>
      </c>
      <c r="C1702" s="8">
        <v>46231</v>
      </c>
      <c r="D1702" s="2" t="s">
        <v>7433</v>
      </c>
      <c r="E1702" s="2" t="s">
        <v>12593</v>
      </c>
      <c r="F1702" s="2" t="s">
        <v>15332</v>
      </c>
      <c r="G1702" s="2" t="s">
        <v>16066</v>
      </c>
      <c r="H1702" s="2" t="s">
        <v>70</v>
      </c>
      <c r="I1702" s="9">
        <v>-26895.516716999999</v>
      </c>
      <c r="J1702" s="7">
        <v>0.65800000000000003</v>
      </c>
      <c r="K1702" s="9">
        <v>-17697.25</v>
      </c>
      <c r="L1702" s="14">
        <v>0</v>
      </c>
      <c r="M1702" s="2" t="s">
        <v>71</v>
      </c>
      <c r="N1702" s="2" t="s">
        <v>13272</v>
      </c>
      <c r="O1702" s="2" t="s">
        <v>16067</v>
      </c>
      <c r="P1702" s="9">
        <v>0</v>
      </c>
      <c r="Q1702" s="9">
        <v>0</v>
      </c>
      <c r="R1702" s="2" t="s">
        <v>16003</v>
      </c>
    </row>
    <row r="1703" spans="1:18" x14ac:dyDescent="0.25">
      <c r="A1703" s="2" t="s">
        <v>9261</v>
      </c>
      <c r="B1703" s="6">
        <v>46204</v>
      </c>
      <c r="C1703" s="8">
        <v>46232</v>
      </c>
      <c r="D1703" s="2" t="s">
        <v>7433</v>
      </c>
      <c r="E1703" s="2" t="s">
        <v>12593</v>
      </c>
      <c r="F1703" s="2" t="s">
        <v>15336</v>
      </c>
      <c r="G1703" s="2" t="s">
        <v>16068</v>
      </c>
      <c r="H1703" s="2" t="s">
        <v>39</v>
      </c>
      <c r="I1703" s="9">
        <v>17974.060000000001</v>
      </c>
      <c r="J1703" s="7">
        <v>1</v>
      </c>
      <c r="K1703" s="9">
        <v>17974.060000000001</v>
      </c>
      <c r="L1703" s="14">
        <v>0</v>
      </c>
      <c r="M1703" s="2" t="s">
        <v>71</v>
      </c>
      <c r="N1703" s="2" t="s">
        <v>13272</v>
      </c>
      <c r="O1703" s="2" t="s">
        <v>16069</v>
      </c>
      <c r="P1703" s="9">
        <v>0</v>
      </c>
      <c r="Q1703" s="9">
        <v>0</v>
      </c>
      <c r="R1703" s="2" t="s">
        <v>16006</v>
      </c>
    </row>
    <row r="1704" spans="1:18" x14ac:dyDescent="0.25">
      <c r="A1704" s="2" t="s">
        <v>9266</v>
      </c>
      <c r="B1704" s="6">
        <v>46204</v>
      </c>
      <c r="C1704" s="8">
        <v>46233</v>
      </c>
      <c r="D1704" s="2" t="s">
        <v>7433</v>
      </c>
      <c r="E1704" s="2" t="s">
        <v>12593</v>
      </c>
      <c r="F1704" s="2" t="s">
        <v>15300</v>
      </c>
      <c r="G1704" s="2" t="s">
        <v>16070</v>
      </c>
      <c r="H1704" s="2" t="s">
        <v>76</v>
      </c>
      <c r="I1704" s="9">
        <v>294369032.25806499</v>
      </c>
      <c r="J1704" s="7">
        <v>6.2000000000000003E-5</v>
      </c>
      <c r="K1704" s="9">
        <v>18250.88</v>
      </c>
      <c r="L1704" s="14">
        <v>0</v>
      </c>
      <c r="M1704" s="2" t="s">
        <v>71</v>
      </c>
      <c r="N1704" s="2" t="s">
        <v>13272</v>
      </c>
      <c r="O1704" s="2" t="s">
        <v>16071</v>
      </c>
      <c r="P1704" s="9">
        <v>0</v>
      </c>
      <c r="Q1704" s="9">
        <v>0</v>
      </c>
      <c r="R1704" s="2" t="s">
        <v>16009</v>
      </c>
    </row>
    <row r="1705" spans="1:18" x14ac:dyDescent="0.25">
      <c r="A1705" s="2" t="s">
        <v>9271</v>
      </c>
      <c r="B1705" s="6">
        <v>46204</v>
      </c>
      <c r="C1705" s="8">
        <v>46234</v>
      </c>
      <c r="D1705" s="2" t="s">
        <v>7433</v>
      </c>
      <c r="E1705" s="2" t="s">
        <v>12593</v>
      </c>
      <c r="F1705" s="2" t="s">
        <v>15304</v>
      </c>
      <c r="G1705" s="2" t="s">
        <v>16072</v>
      </c>
      <c r="H1705" s="2" t="s">
        <v>70</v>
      </c>
      <c r="I1705" s="9">
        <v>28157.583587000001</v>
      </c>
      <c r="J1705" s="7">
        <v>0.65800000000000003</v>
      </c>
      <c r="K1705" s="9">
        <v>18527.689999999999</v>
      </c>
      <c r="L1705" s="14">
        <v>0</v>
      </c>
      <c r="M1705" s="2" t="s">
        <v>71</v>
      </c>
      <c r="N1705" s="2" t="s">
        <v>13272</v>
      </c>
      <c r="O1705" s="2" t="s">
        <v>16073</v>
      </c>
      <c r="P1705" s="9">
        <v>0</v>
      </c>
      <c r="Q1705" s="9">
        <v>0</v>
      </c>
      <c r="R1705" s="2" t="s">
        <v>16012</v>
      </c>
    </row>
    <row r="1706" spans="1:18" x14ac:dyDescent="0.25">
      <c r="A1706" s="2" t="s">
        <v>9276</v>
      </c>
      <c r="B1706" s="6">
        <v>46204</v>
      </c>
      <c r="C1706" s="8">
        <v>46204</v>
      </c>
      <c r="D1706" s="2" t="s">
        <v>7433</v>
      </c>
      <c r="E1706" s="2" t="s">
        <v>12593</v>
      </c>
      <c r="F1706" s="2" t="s">
        <v>15308</v>
      </c>
      <c r="G1706" s="2" t="s">
        <v>16074</v>
      </c>
      <c r="H1706" s="2" t="s">
        <v>39</v>
      </c>
      <c r="I1706" s="9">
        <v>18804.509999999998</v>
      </c>
      <c r="J1706" s="7">
        <v>1</v>
      </c>
      <c r="K1706" s="9">
        <v>18804.509999999998</v>
      </c>
      <c r="L1706" s="14">
        <v>0</v>
      </c>
      <c r="M1706" s="2" t="s">
        <v>71</v>
      </c>
      <c r="N1706" s="2" t="s">
        <v>13272</v>
      </c>
      <c r="O1706" s="2" t="s">
        <v>16075</v>
      </c>
      <c r="P1706" s="9">
        <v>0</v>
      </c>
      <c r="Q1706" s="9">
        <v>0</v>
      </c>
      <c r="R1706" s="2" t="s">
        <v>16015</v>
      </c>
    </row>
    <row r="1707" spans="1:18" x14ac:dyDescent="0.25">
      <c r="A1707" s="2" t="s">
        <v>9281</v>
      </c>
      <c r="B1707" s="6">
        <v>46204</v>
      </c>
      <c r="C1707" s="8">
        <v>46205</v>
      </c>
      <c r="D1707" s="2" t="s">
        <v>7433</v>
      </c>
      <c r="E1707" s="2" t="s">
        <v>12593</v>
      </c>
      <c r="F1707" s="2" t="s">
        <v>15312</v>
      </c>
      <c r="G1707" s="2" t="s">
        <v>16076</v>
      </c>
      <c r="H1707" s="2" t="s">
        <v>76</v>
      </c>
      <c r="I1707" s="9">
        <v>307763387.09677398</v>
      </c>
      <c r="J1707" s="7">
        <v>6.2000000000000003E-5</v>
      </c>
      <c r="K1707" s="9">
        <v>19081.330000000002</v>
      </c>
      <c r="L1707" s="14">
        <v>0</v>
      </c>
      <c r="M1707" s="2" t="s">
        <v>71</v>
      </c>
      <c r="N1707" s="2" t="s">
        <v>13272</v>
      </c>
      <c r="O1707" s="2" t="s">
        <v>16077</v>
      </c>
      <c r="P1707" s="9">
        <v>0</v>
      </c>
      <c r="Q1707" s="9">
        <v>0</v>
      </c>
      <c r="R1707" s="2" t="s">
        <v>15988</v>
      </c>
    </row>
    <row r="1708" spans="1:18" x14ac:dyDescent="0.25">
      <c r="A1708" s="2" t="s">
        <v>9286</v>
      </c>
      <c r="B1708" s="6">
        <v>46204</v>
      </c>
      <c r="C1708" s="8">
        <v>46206</v>
      </c>
      <c r="D1708" s="2" t="s">
        <v>7433</v>
      </c>
      <c r="E1708" s="2" t="s">
        <v>12593</v>
      </c>
      <c r="F1708" s="2" t="s">
        <v>15316</v>
      </c>
      <c r="G1708" s="2" t="s">
        <v>16078</v>
      </c>
      <c r="H1708" s="2" t="s">
        <v>70</v>
      </c>
      <c r="I1708" s="9">
        <v>29419.665653</v>
      </c>
      <c r="J1708" s="7">
        <v>0.65800000000000003</v>
      </c>
      <c r="K1708" s="9">
        <v>19358.14</v>
      </c>
      <c r="L1708" s="14">
        <v>0</v>
      </c>
      <c r="M1708" s="2" t="s">
        <v>71</v>
      </c>
      <c r="N1708" s="2" t="s">
        <v>13272</v>
      </c>
      <c r="O1708" s="2" t="s">
        <v>16079</v>
      </c>
      <c r="P1708" s="9">
        <v>0</v>
      </c>
      <c r="Q1708" s="9">
        <v>0</v>
      </c>
      <c r="R1708" s="2" t="s">
        <v>15991</v>
      </c>
    </row>
    <row r="1709" spans="1:18" x14ac:dyDescent="0.25">
      <c r="A1709" s="2" t="s">
        <v>9291</v>
      </c>
      <c r="B1709" s="6">
        <v>46204</v>
      </c>
      <c r="C1709" s="8">
        <v>46207</v>
      </c>
      <c r="D1709" s="2" t="s">
        <v>7433</v>
      </c>
      <c r="E1709" s="2" t="s">
        <v>12593</v>
      </c>
      <c r="F1709" s="2" t="s">
        <v>15320</v>
      </c>
      <c r="G1709" s="2" t="s">
        <v>16080</v>
      </c>
      <c r="H1709" s="2" t="s">
        <v>39</v>
      </c>
      <c r="I1709" s="9">
        <v>19634.96</v>
      </c>
      <c r="J1709" s="7">
        <v>1</v>
      </c>
      <c r="K1709" s="9">
        <v>19634.96</v>
      </c>
      <c r="L1709" s="14">
        <v>0</v>
      </c>
      <c r="M1709" s="2" t="s">
        <v>71</v>
      </c>
      <c r="N1709" s="2" t="s">
        <v>13272</v>
      </c>
      <c r="O1709" s="2" t="s">
        <v>16081</v>
      </c>
      <c r="P1709" s="9">
        <v>0</v>
      </c>
      <c r="Q1709" s="9">
        <v>0</v>
      </c>
      <c r="R1709" s="2" t="s">
        <v>15994</v>
      </c>
    </row>
    <row r="1710" spans="1:18" x14ac:dyDescent="0.25">
      <c r="A1710" s="2" t="s">
        <v>9296</v>
      </c>
      <c r="B1710" s="6">
        <v>46204</v>
      </c>
      <c r="C1710" s="8">
        <v>46208</v>
      </c>
      <c r="D1710" s="2" t="s">
        <v>7433</v>
      </c>
      <c r="E1710" s="2" t="s">
        <v>12593</v>
      </c>
      <c r="F1710" s="2" t="s">
        <v>15324</v>
      </c>
      <c r="G1710" s="2" t="s">
        <v>16082</v>
      </c>
      <c r="H1710" s="2" t="s">
        <v>76</v>
      </c>
      <c r="I1710" s="9">
        <v>321157741.93548399</v>
      </c>
      <c r="J1710" s="7">
        <v>6.2000000000000003E-5</v>
      </c>
      <c r="K1710" s="9">
        <v>19911.78</v>
      </c>
      <c r="L1710" s="14">
        <v>0</v>
      </c>
      <c r="M1710" s="2" t="s">
        <v>71</v>
      </c>
      <c r="N1710" s="2" t="s">
        <v>13272</v>
      </c>
      <c r="O1710" s="2" t="s">
        <v>16083</v>
      </c>
      <c r="P1710" s="9">
        <v>0</v>
      </c>
      <c r="Q1710" s="9">
        <v>0</v>
      </c>
      <c r="R1710" s="2" t="s">
        <v>15997</v>
      </c>
    </row>
    <row r="1711" spans="1:18" x14ac:dyDescent="0.25">
      <c r="A1711" s="2" t="s">
        <v>9301</v>
      </c>
      <c r="B1711" s="6">
        <v>46204</v>
      </c>
      <c r="C1711" s="8">
        <v>46209</v>
      </c>
      <c r="D1711" s="2" t="s">
        <v>7433</v>
      </c>
      <c r="E1711" s="2" t="s">
        <v>12593</v>
      </c>
      <c r="F1711" s="2" t="s">
        <v>15328</v>
      </c>
      <c r="G1711" s="2" t="s">
        <v>16084</v>
      </c>
      <c r="H1711" s="2" t="s">
        <v>70</v>
      </c>
      <c r="I1711" s="9">
        <v>30681.747719999999</v>
      </c>
      <c r="J1711" s="7">
        <v>0.65800000000000003</v>
      </c>
      <c r="K1711" s="9">
        <v>20188.59</v>
      </c>
      <c r="L1711" s="14">
        <v>0</v>
      </c>
      <c r="M1711" s="2" t="s">
        <v>71</v>
      </c>
      <c r="N1711" s="2" t="s">
        <v>13272</v>
      </c>
      <c r="O1711" s="2" t="s">
        <v>16085</v>
      </c>
      <c r="P1711" s="9">
        <v>0</v>
      </c>
      <c r="Q1711" s="9">
        <v>0</v>
      </c>
      <c r="R1711" s="2" t="s">
        <v>16000</v>
      </c>
    </row>
    <row r="1712" spans="1:18" x14ac:dyDescent="0.25">
      <c r="A1712" s="2" t="s">
        <v>9306</v>
      </c>
      <c r="B1712" s="6">
        <v>46204</v>
      </c>
      <c r="C1712" s="8">
        <v>46210</v>
      </c>
      <c r="D1712" s="2" t="s">
        <v>7433</v>
      </c>
      <c r="E1712" s="2" t="s">
        <v>12593</v>
      </c>
      <c r="F1712" s="2" t="s">
        <v>15332</v>
      </c>
      <c r="G1712" s="2" t="s">
        <v>16086</v>
      </c>
      <c r="H1712" s="2" t="s">
        <v>39</v>
      </c>
      <c r="I1712" s="9">
        <v>20465.41</v>
      </c>
      <c r="J1712" s="7">
        <v>1</v>
      </c>
      <c r="K1712" s="9">
        <v>20465.41</v>
      </c>
      <c r="L1712" s="14">
        <v>0</v>
      </c>
      <c r="M1712" s="2" t="s">
        <v>71</v>
      </c>
      <c r="N1712" s="2" t="s">
        <v>13272</v>
      </c>
      <c r="O1712" s="2" t="s">
        <v>16087</v>
      </c>
      <c r="P1712" s="9">
        <v>0</v>
      </c>
      <c r="Q1712" s="9">
        <v>0</v>
      </c>
      <c r="R1712" s="2" t="s">
        <v>16003</v>
      </c>
    </row>
    <row r="1713" spans="1:18" x14ac:dyDescent="0.25">
      <c r="A1713" s="2" t="s">
        <v>9311</v>
      </c>
      <c r="B1713" s="6">
        <v>46204</v>
      </c>
      <c r="C1713" s="8">
        <v>46211</v>
      </c>
      <c r="D1713" s="2" t="s">
        <v>7433</v>
      </c>
      <c r="E1713" s="2" t="s">
        <v>12593</v>
      </c>
      <c r="F1713" s="2" t="s">
        <v>15336</v>
      </c>
      <c r="G1713" s="2" t="s">
        <v>16088</v>
      </c>
      <c r="H1713" s="2" t="s">
        <v>76</v>
      </c>
      <c r="I1713" s="9">
        <v>334551935.48387098</v>
      </c>
      <c r="J1713" s="7">
        <v>6.2000000000000003E-5</v>
      </c>
      <c r="K1713" s="9">
        <v>20742.22</v>
      </c>
      <c r="L1713" s="14">
        <v>0</v>
      </c>
      <c r="M1713" s="2" t="s">
        <v>71</v>
      </c>
      <c r="N1713" s="2" t="s">
        <v>13272</v>
      </c>
      <c r="O1713" s="2" t="s">
        <v>16089</v>
      </c>
      <c r="P1713" s="9">
        <v>0</v>
      </c>
      <c r="Q1713" s="9">
        <v>0</v>
      </c>
      <c r="R1713" s="2" t="s">
        <v>16006</v>
      </c>
    </row>
    <row r="1714" spans="1:18" x14ac:dyDescent="0.25">
      <c r="A1714" s="2" t="s">
        <v>9316</v>
      </c>
      <c r="B1714" s="6">
        <v>46204</v>
      </c>
      <c r="C1714" s="8">
        <v>46212</v>
      </c>
      <c r="D1714" s="2" t="s">
        <v>7433</v>
      </c>
      <c r="E1714" s="2" t="s">
        <v>12593</v>
      </c>
      <c r="F1714" s="2" t="s">
        <v>15300</v>
      </c>
      <c r="G1714" s="2" t="s">
        <v>16090</v>
      </c>
      <c r="H1714" s="2" t="s">
        <v>70</v>
      </c>
      <c r="I1714" s="9">
        <v>31943.829786999999</v>
      </c>
      <c r="J1714" s="7">
        <v>0.65800000000000003</v>
      </c>
      <c r="K1714" s="9">
        <v>21019.040000000001</v>
      </c>
      <c r="L1714" s="14">
        <v>0</v>
      </c>
      <c r="M1714" s="2" t="s">
        <v>71</v>
      </c>
      <c r="N1714" s="2" t="s">
        <v>13272</v>
      </c>
      <c r="O1714" s="2" t="s">
        <v>16091</v>
      </c>
      <c r="P1714" s="9">
        <v>0</v>
      </c>
      <c r="Q1714" s="9">
        <v>0</v>
      </c>
      <c r="R1714" s="2" t="s">
        <v>16009</v>
      </c>
    </row>
    <row r="1715" spans="1:18" x14ac:dyDescent="0.25">
      <c r="A1715" s="2" t="s">
        <v>9321</v>
      </c>
      <c r="B1715" s="6">
        <v>46204</v>
      </c>
      <c r="C1715" s="8">
        <v>46213</v>
      </c>
      <c r="D1715" s="2" t="s">
        <v>7433</v>
      </c>
      <c r="E1715" s="2" t="s">
        <v>12593</v>
      </c>
      <c r="F1715" s="2" t="s">
        <v>15304</v>
      </c>
      <c r="G1715" s="2" t="s">
        <v>16092</v>
      </c>
      <c r="H1715" s="2" t="s">
        <v>39</v>
      </c>
      <c r="I1715" s="9">
        <v>21295.86</v>
      </c>
      <c r="J1715" s="7">
        <v>1</v>
      </c>
      <c r="K1715" s="9">
        <v>21295.86</v>
      </c>
      <c r="L1715" s="14">
        <v>0</v>
      </c>
      <c r="M1715" s="2" t="s">
        <v>71</v>
      </c>
      <c r="N1715" s="2" t="s">
        <v>13272</v>
      </c>
      <c r="O1715" s="2" t="s">
        <v>16093</v>
      </c>
      <c r="P1715" s="9">
        <v>0</v>
      </c>
      <c r="Q1715" s="9">
        <v>0</v>
      </c>
      <c r="R1715" s="2" t="s">
        <v>16012</v>
      </c>
    </row>
    <row r="1716" spans="1:18" x14ac:dyDescent="0.25">
      <c r="A1716" s="2" t="s">
        <v>9326</v>
      </c>
      <c r="B1716" s="6">
        <v>46204</v>
      </c>
      <c r="C1716" s="8">
        <v>46214</v>
      </c>
      <c r="D1716" s="2" t="s">
        <v>7433</v>
      </c>
      <c r="E1716" s="2" t="s">
        <v>12593</v>
      </c>
      <c r="F1716" s="2" t="s">
        <v>15308</v>
      </c>
      <c r="G1716" s="2" t="s">
        <v>16094</v>
      </c>
      <c r="H1716" s="2" t="s">
        <v>76</v>
      </c>
      <c r="I1716" s="9">
        <v>347946290.32258099</v>
      </c>
      <c r="J1716" s="7">
        <v>6.2000000000000003E-5</v>
      </c>
      <c r="K1716" s="9">
        <v>21572.67</v>
      </c>
      <c r="L1716" s="14">
        <v>0</v>
      </c>
      <c r="M1716" s="2" t="s">
        <v>71</v>
      </c>
      <c r="N1716" s="2" t="s">
        <v>13272</v>
      </c>
      <c r="O1716" s="2" t="s">
        <v>16095</v>
      </c>
      <c r="P1716" s="9">
        <v>0</v>
      </c>
      <c r="Q1716" s="9">
        <v>0</v>
      </c>
      <c r="R1716" s="2" t="s">
        <v>16015</v>
      </c>
    </row>
    <row r="1717" spans="1:18" x14ac:dyDescent="0.25">
      <c r="A1717" s="2" t="s">
        <v>9331</v>
      </c>
      <c r="B1717" s="6">
        <v>46204</v>
      </c>
      <c r="C1717" s="8">
        <v>46215</v>
      </c>
      <c r="D1717" s="2" t="s">
        <v>7433</v>
      </c>
      <c r="E1717" s="2" t="s">
        <v>12593</v>
      </c>
      <c r="F1717" s="2" t="s">
        <v>15312</v>
      </c>
      <c r="G1717" s="2" t="s">
        <v>16096</v>
      </c>
      <c r="H1717" s="2" t="s">
        <v>70</v>
      </c>
      <c r="I1717" s="9">
        <v>33205.911853999998</v>
      </c>
      <c r="J1717" s="7">
        <v>0.65800000000000003</v>
      </c>
      <c r="K1717" s="9">
        <v>21849.49</v>
      </c>
      <c r="L1717" s="14">
        <v>0</v>
      </c>
      <c r="M1717" s="2" t="s">
        <v>71</v>
      </c>
      <c r="N1717" s="2" t="s">
        <v>13272</v>
      </c>
      <c r="O1717" s="2" t="s">
        <v>16097</v>
      </c>
      <c r="P1717" s="9">
        <v>0</v>
      </c>
      <c r="Q1717" s="9">
        <v>0</v>
      </c>
      <c r="R1717" s="2" t="s">
        <v>15988</v>
      </c>
    </row>
    <row r="1718" spans="1:18" x14ac:dyDescent="0.25">
      <c r="A1718" s="2" t="s">
        <v>9336</v>
      </c>
      <c r="B1718" s="6">
        <v>46204</v>
      </c>
      <c r="C1718" s="8">
        <v>46216</v>
      </c>
      <c r="D1718" s="2" t="s">
        <v>7433</v>
      </c>
      <c r="E1718" s="2" t="s">
        <v>12593</v>
      </c>
      <c r="F1718" s="2" t="s">
        <v>15316</v>
      </c>
      <c r="G1718" s="2" t="s">
        <v>16098</v>
      </c>
      <c r="H1718" s="2" t="s">
        <v>39</v>
      </c>
      <c r="I1718" s="9">
        <v>22126.3</v>
      </c>
      <c r="J1718" s="7">
        <v>1</v>
      </c>
      <c r="K1718" s="9">
        <v>22126.3</v>
      </c>
      <c r="L1718" s="14">
        <v>0</v>
      </c>
      <c r="M1718" s="2" t="s">
        <v>71</v>
      </c>
      <c r="N1718" s="2" t="s">
        <v>13272</v>
      </c>
      <c r="O1718" s="2" t="s">
        <v>16099</v>
      </c>
      <c r="P1718" s="9">
        <v>0</v>
      </c>
      <c r="Q1718" s="9">
        <v>0</v>
      </c>
      <c r="R1718" s="2" t="s">
        <v>15991</v>
      </c>
    </row>
    <row r="1719" spans="1:18" x14ac:dyDescent="0.25">
      <c r="A1719" s="2" t="s">
        <v>9341</v>
      </c>
      <c r="B1719" s="6">
        <v>46204</v>
      </c>
      <c r="C1719" s="8">
        <v>46217</v>
      </c>
      <c r="D1719" s="2" t="s">
        <v>7433</v>
      </c>
      <c r="E1719" s="2" t="s">
        <v>12593</v>
      </c>
      <c r="F1719" s="2" t="s">
        <v>15320</v>
      </c>
      <c r="G1719" s="2" t="s">
        <v>16100</v>
      </c>
      <c r="H1719" s="2" t="s">
        <v>76</v>
      </c>
      <c r="I1719" s="9">
        <v>361340645.16128999</v>
      </c>
      <c r="J1719" s="7">
        <v>6.2000000000000003E-5</v>
      </c>
      <c r="K1719" s="9">
        <v>22403.119999999999</v>
      </c>
      <c r="L1719" s="14">
        <v>0</v>
      </c>
      <c r="M1719" s="2" t="s">
        <v>71</v>
      </c>
      <c r="N1719" s="2" t="s">
        <v>13272</v>
      </c>
      <c r="O1719" s="2" t="s">
        <v>16101</v>
      </c>
      <c r="P1719" s="9">
        <v>0</v>
      </c>
      <c r="Q1719" s="9">
        <v>0</v>
      </c>
      <c r="R1719" s="2" t="s">
        <v>15994</v>
      </c>
    </row>
    <row r="1720" spans="1:18" x14ac:dyDescent="0.25">
      <c r="A1720" s="2" t="s">
        <v>9346</v>
      </c>
      <c r="B1720" s="6">
        <v>46204</v>
      </c>
      <c r="C1720" s="8">
        <v>46218</v>
      </c>
      <c r="D1720" s="2" t="s">
        <v>7433</v>
      </c>
      <c r="E1720" s="2" t="s">
        <v>12593</v>
      </c>
      <c r="F1720" s="2" t="s">
        <v>15324</v>
      </c>
      <c r="G1720" s="2" t="s">
        <v>16102</v>
      </c>
      <c r="H1720" s="2" t="s">
        <v>70</v>
      </c>
      <c r="I1720" s="9">
        <v>34467.993921000001</v>
      </c>
      <c r="J1720" s="7">
        <v>0.65800000000000003</v>
      </c>
      <c r="K1720" s="9">
        <v>22679.94</v>
      </c>
      <c r="L1720" s="14">
        <v>0</v>
      </c>
      <c r="M1720" s="2" t="s">
        <v>71</v>
      </c>
      <c r="N1720" s="2" t="s">
        <v>13272</v>
      </c>
      <c r="O1720" s="2" t="s">
        <v>16103</v>
      </c>
      <c r="P1720" s="9">
        <v>0</v>
      </c>
      <c r="Q1720" s="9">
        <v>0</v>
      </c>
      <c r="R1720" s="2" t="s">
        <v>15997</v>
      </c>
    </row>
    <row r="1721" spans="1:18" x14ac:dyDescent="0.25">
      <c r="A1721" s="2" t="s">
        <v>9351</v>
      </c>
      <c r="B1721" s="6">
        <v>46204</v>
      </c>
      <c r="C1721" s="8">
        <v>46219</v>
      </c>
      <c r="D1721" s="2" t="s">
        <v>7433</v>
      </c>
      <c r="E1721" s="2" t="s">
        <v>12593</v>
      </c>
      <c r="F1721" s="2" t="s">
        <v>15328</v>
      </c>
      <c r="G1721" s="2" t="s">
        <v>16104</v>
      </c>
      <c r="H1721" s="2" t="s">
        <v>39</v>
      </c>
      <c r="I1721" s="9">
        <v>22955.200000000001</v>
      </c>
      <c r="J1721" s="7">
        <v>1</v>
      </c>
      <c r="K1721" s="9">
        <v>22955.200000000001</v>
      </c>
      <c r="L1721" s="14">
        <v>0</v>
      </c>
      <c r="M1721" s="2" t="s">
        <v>71</v>
      </c>
      <c r="N1721" s="2" t="s">
        <v>13272</v>
      </c>
      <c r="O1721" s="2" t="s">
        <v>16105</v>
      </c>
      <c r="P1721" s="9">
        <v>0</v>
      </c>
      <c r="Q1721" s="9">
        <v>0</v>
      </c>
      <c r="R1721" s="2" t="s">
        <v>16000</v>
      </c>
    </row>
    <row r="1722" spans="1:18" x14ac:dyDescent="0.25">
      <c r="A1722" s="2" t="s">
        <v>9356</v>
      </c>
      <c r="B1722" s="6">
        <v>46204</v>
      </c>
      <c r="C1722" s="8">
        <v>46220</v>
      </c>
      <c r="D1722" s="2" t="s">
        <v>7433</v>
      </c>
      <c r="E1722" s="2" t="s">
        <v>12593</v>
      </c>
      <c r="F1722" s="2" t="s">
        <v>15332</v>
      </c>
      <c r="G1722" s="2" t="s">
        <v>16106</v>
      </c>
      <c r="H1722" s="2" t="s">
        <v>76</v>
      </c>
      <c r="I1722" s="9">
        <v>374710000</v>
      </c>
      <c r="J1722" s="7">
        <v>6.2000000000000003E-5</v>
      </c>
      <c r="K1722" s="9">
        <v>23232.02</v>
      </c>
      <c r="L1722" s="14">
        <v>0</v>
      </c>
      <c r="M1722" s="2" t="s">
        <v>71</v>
      </c>
      <c r="N1722" s="2" t="s">
        <v>13272</v>
      </c>
      <c r="O1722" s="2" t="s">
        <v>16107</v>
      </c>
      <c r="P1722" s="9">
        <v>0</v>
      </c>
      <c r="Q1722" s="9">
        <v>0</v>
      </c>
      <c r="R1722" s="2" t="s">
        <v>16003</v>
      </c>
    </row>
    <row r="1723" spans="1:18" x14ac:dyDescent="0.25">
      <c r="A1723" s="2" t="s">
        <v>9361</v>
      </c>
      <c r="B1723" s="6">
        <v>46204</v>
      </c>
      <c r="C1723" s="8">
        <v>46221</v>
      </c>
      <c r="D1723" s="2" t="s">
        <v>7433</v>
      </c>
      <c r="E1723" s="2" t="s">
        <v>12593</v>
      </c>
      <c r="F1723" s="2" t="s">
        <v>15336</v>
      </c>
      <c r="G1723" s="2" t="s">
        <v>16108</v>
      </c>
      <c r="H1723" s="2" t="s">
        <v>70</v>
      </c>
      <c r="I1723" s="9">
        <v>35727.705167</v>
      </c>
      <c r="J1723" s="7">
        <v>0.65800000000000003</v>
      </c>
      <c r="K1723" s="9">
        <v>23508.83</v>
      </c>
      <c r="L1723" s="14">
        <v>0</v>
      </c>
      <c r="M1723" s="2" t="s">
        <v>71</v>
      </c>
      <c r="N1723" s="2" t="s">
        <v>13272</v>
      </c>
      <c r="O1723" s="2" t="s">
        <v>16109</v>
      </c>
      <c r="P1723" s="9">
        <v>0</v>
      </c>
      <c r="Q1723" s="9">
        <v>0</v>
      </c>
      <c r="R1723" s="2" t="s">
        <v>16006</v>
      </c>
    </row>
    <row r="1724" spans="1:18" x14ac:dyDescent="0.25">
      <c r="A1724" s="2" t="s">
        <v>9366</v>
      </c>
      <c r="B1724" s="6">
        <v>46204</v>
      </c>
      <c r="C1724" s="8">
        <v>46222</v>
      </c>
      <c r="D1724" s="2" t="s">
        <v>7433</v>
      </c>
      <c r="E1724" s="2" t="s">
        <v>12593</v>
      </c>
      <c r="F1724" s="2" t="s">
        <v>15300</v>
      </c>
      <c r="G1724" s="2" t="s">
        <v>16110</v>
      </c>
      <c r="H1724" s="2" t="s">
        <v>39</v>
      </c>
      <c r="I1724" s="9">
        <v>1385.65</v>
      </c>
      <c r="J1724" s="7">
        <v>1</v>
      </c>
      <c r="K1724" s="9">
        <v>1385.65</v>
      </c>
      <c r="L1724" s="14">
        <v>0</v>
      </c>
      <c r="M1724" s="2" t="s">
        <v>71</v>
      </c>
      <c r="N1724" s="2" t="s">
        <v>13272</v>
      </c>
      <c r="O1724" s="2" t="s">
        <v>16111</v>
      </c>
      <c r="P1724" s="9">
        <v>0</v>
      </c>
      <c r="Q1724" s="9">
        <v>0</v>
      </c>
      <c r="R1724" s="2" t="s">
        <v>16009</v>
      </c>
    </row>
    <row r="1725" spans="1:18" x14ac:dyDescent="0.25">
      <c r="A1725" s="2" t="s">
        <v>9371</v>
      </c>
      <c r="B1725" s="6">
        <v>46204</v>
      </c>
      <c r="C1725" s="8">
        <v>46223</v>
      </c>
      <c r="D1725" s="2" t="s">
        <v>7433</v>
      </c>
      <c r="E1725" s="2" t="s">
        <v>12593</v>
      </c>
      <c r="F1725" s="2" t="s">
        <v>15304</v>
      </c>
      <c r="G1725" s="2" t="s">
        <v>16112</v>
      </c>
      <c r="H1725" s="2" t="s">
        <v>76</v>
      </c>
      <c r="I1725" s="9">
        <v>26813870.967742</v>
      </c>
      <c r="J1725" s="7">
        <v>6.2000000000000003E-5</v>
      </c>
      <c r="K1725" s="9">
        <v>1662.46</v>
      </c>
      <c r="L1725" s="14">
        <v>0</v>
      </c>
      <c r="M1725" s="2" t="s">
        <v>71</v>
      </c>
      <c r="N1725" s="2" t="s">
        <v>13272</v>
      </c>
      <c r="O1725" s="2" t="s">
        <v>16113</v>
      </c>
      <c r="P1725" s="9">
        <v>0</v>
      </c>
      <c r="Q1725" s="9">
        <v>0</v>
      </c>
      <c r="R1725" s="2" t="s">
        <v>16012</v>
      </c>
    </row>
    <row r="1726" spans="1:18" x14ac:dyDescent="0.25">
      <c r="A1726" s="2" t="s">
        <v>9376</v>
      </c>
      <c r="B1726" s="6">
        <v>46204</v>
      </c>
      <c r="C1726" s="8">
        <v>46224</v>
      </c>
      <c r="D1726" s="2" t="s">
        <v>7433</v>
      </c>
      <c r="E1726" s="2" t="s">
        <v>12593</v>
      </c>
      <c r="F1726" s="2" t="s">
        <v>15308</v>
      </c>
      <c r="G1726" s="2" t="s">
        <v>16114</v>
      </c>
      <c r="H1726" s="2" t="s">
        <v>70</v>
      </c>
      <c r="I1726" s="9">
        <v>2947.2340429999999</v>
      </c>
      <c r="J1726" s="7">
        <v>0.65800000000000003</v>
      </c>
      <c r="K1726" s="9">
        <v>1939.28</v>
      </c>
      <c r="L1726" s="14">
        <v>0</v>
      </c>
      <c r="M1726" s="2" t="s">
        <v>71</v>
      </c>
      <c r="N1726" s="2" t="s">
        <v>13272</v>
      </c>
      <c r="O1726" s="2" t="s">
        <v>16115</v>
      </c>
      <c r="P1726" s="9">
        <v>0</v>
      </c>
      <c r="Q1726" s="9">
        <v>0</v>
      </c>
      <c r="R1726" s="2" t="s">
        <v>16015</v>
      </c>
    </row>
    <row r="1727" spans="1:18" x14ac:dyDescent="0.25">
      <c r="A1727" s="2" t="s">
        <v>9381</v>
      </c>
      <c r="B1727" s="6">
        <v>46204</v>
      </c>
      <c r="C1727" s="8">
        <v>46225</v>
      </c>
      <c r="D1727" s="2" t="s">
        <v>7433</v>
      </c>
      <c r="E1727" s="2" t="s">
        <v>12593</v>
      </c>
      <c r="F1727" s="2" t="s">
        <v>15312</v>
      </c>
      <c r="G1727" s="2" t="s">
        <v>16116</v>
      </c>
      <c r="H1727" s="2" t="s">
        <v>39</v>
      </c>
      <c r="I1727" s="9">
        <v>2216.1</v>
      </c>
      <c r="J1727" s="7">
        <v>1</v>
      </c>
      <c r="K1727" s="9">
        <v>2216.1</v>
      </c>
      <c r="L1727" s="14">
        <v>0</v>
      </c>
      <c r="M1727" s="2" t="s">
        <v>71</v>
      </c>
      <c r="N1727" s="2" t="s">
        <v>13272</v>
      </c>
      <c r="O1727" s="2" t="s">
        <v>16117</v>
      </c>
      <c r="P1727" s="9">
        <v>0</v>
      </c>
      <c r="Q1727" s="9">
        <v>0</v>
      </c>
      <c r="R1727" s="2" t="s">
        <v>15988</v>
      </c>
    </row>
    <row r="1728" spans="1:18" x14ac:dyDescent="0.25">
      <c r="A1728" s="2" t="s">
        <v>9386</v>
      </c>
      <c r="B1728" s="6">
        <v>46204</v>
      </c>
      <c r="C1728" s="8">
        <v>46226</v>
      </c>
      <c r="D1728" s="2" t="s">
        <v>7433</v>
      </c>
      <c r="E1728" s="2" t="s">
        <v>12593</v>
      </c>
      <c r="F1728" s="2" t="s">
        <v>15316</v>
      </c>
      <c r="G1728" s="2" t="s">
        <v>16118</v>
      </c>
      <c r="H1728" s="2" t="s">
        <v>76</v>
      </c>
      <c r="I1728" s="9">
        <v>40208225.806451999</v>
      </c>
      <c r="J1728" s="7">
        <v>6.2000000000000003E-5</v>
      </c>
      <c r="K1728" s="9">
        <v>2492.91</v>
      </c>
      <c r="L1728" s="14">
        <v>0</v>
      </c>
      <c r="M1728" s="2" t="s">
        <v>71</v>
      </c>
      <c r="N1728" s="2" t="s">
        <v>13272</v>
      </c>
      <c r="O1728" s="2" t="s">
        <v>16119</v>
      </c>
      <c r="P1728" s="9">
        <v>0</v>
      </c>
      <c r="Q1728" s="9">
        <v>0</v>
      </c>
      <c r="R1728" s="2" t="s">
        <v>15991</v>
      </c>
    </row>
    <row r="1729" spans="1:18" x14ac:dyDescent="0.25">
      <c r="A1729" s="2" t="s">
        <v>9391</v>
      </c>
      <c r="B1729" s="6">
        <v>46204</v>
      </c>
      <c r="C1729" s="8">
        <v>46227</v>
      </c>
      <c r="D1729" s="2" t="s">
        <v>7433</v>
      </c>
      <c r="E1729" s="2" t="s">
        <v>12593</v>
      </c>
      <c r="F1729" s="2" t="s">
        <v>15320</v>
      </c>
      <c r="G1729" s="2" t="s">
        <v>16120</v>
      </c>
      <c r="H1729" s="2" t="s">
        <v>70</v>
      </c>
      <c r="I1729" s="9">
        <v>4209.3161090000003</v>
      </c>
      <c r="J1729" s="7">
        <v>0.65800000000000003</v>
      </c>
      <c r="K1729" s="9">
        <v>2769.73</v>
      </c>
      <c r="L1729" s="14">
        <v>0</v>
      </c>
      <c r="M1729" s="2" t="s">
        <v>71</v>
      </c>
      <c r="N1729" s="2" t="s">
        <v>13272</v>
      </c>
      <c r="O1729" s="2" t="s">
        <v>16121</v>
      </c>
      <c r="P1729" s="9">
        <v>0</v>
      </c>
      <c r="Q1729" s="9">
        <v>0</v>
      </c>
      <c r="R1729" s="2" t="s">
        <v>15994</v>
      </c>
    </row>
    <row r="1730" spans="1:18" x14ac:dyDescent="0.25">
      <c r="A1730" s="2" t="s">
        <v>9396</v>
      </c>
      <c r="B1730" s="6">
        <v>46204</v>
      </c>
      <c r="C1730" s="8">
        <v>46228</v>
      </c>
      <c r="D1730" s="2" t="s">
        <v>7433</v>
      </c>
      <c r="E1730" s="2" t="s">
        <v>12593</v>
      </c>
      <c r="F1730" s="2" t="s">
        <v>15324</v>
      </c>
      <c r="G1730" s="2" t="s">
        <v>16122</v>
      </c>
      <c r="H1730" s="2" t="s">
        <v>39</v>
      </c>
      <c r="I1730" s="9">
        <v>3046.54</v>
      </c>
      <c r="J1730" s="7">
        <v>1</v>
      </c>
      <c r="K1730" s="9">
        <v>3046.54</v>
      </c>
      <c r="L1730" s="14">
        <v>0</v>
      </c>
      <c r="M1730" s="2" t="s">
        <v>71</v>
      </c>
      <c r="N1730" s="2" t="s">
        <v>13272</v>
      </c>
      <c r="O1730" s="2" t="s">
        <v>16123</v>
      </c>
      <c r="P1730" s="9">
        <v>0</v>
      </c>
      <c r="Q1730" s="9">
        <v>0</v>
      </c>
      <c r="R1730" s="2" t="s">
        <v>15997</v>
      </c>
    </row>
    <row r="1731" spans="1:18" x14ac:dyDescent="0.25">
      <c r="A1731" s="2" t="s">
        <v>9401</v>
      </c>
      <c r="B1731" s="6">
        <v>46204</v>
      </c>
      <c r="C1731" s="8">
        <v>46229</v>
      </c>
      <c r="D1731" s="2" t="s">
        <v>7433</v>
      </c>
      <c r="E1731" s="2" t="s">
        <v>12593</v>
      </c>
      <c r="F1731" s="2" t="s">
        <v>15328</v>
      </c>
      <c r="G1731" s="2" t="s">
        <v>16124</v>
      </c>
      <c r="H1731" s="2" t="s">
        <v>76</v>
      </c>
      <c r="I1731" s="9">
        <v>53602580.645161003</v>
      </c>
      <c r="J1731" s="7">
        <v>6.2000000000000003E-5</v>
      </c>
      <c r="K1731" s="9">
        <v>3323.36</v>
      </c>
      <c r="L1731" s="14">
        <v>0</v>
      </c>
      <c r="M1731" s="2" t="s">
        <v>71</v>
      </c>
      <c r="N1731" s="2" t="s">
        <v>13272</v>
      </c>
      <c r="O1731" s="2" t="s">
        <v>16125</v>
      </c>
      <c r="P1731" s="9">
        <v>0</v>
      </c>
      <c r="Q1731" s="9">
        <v>0</v>
      </c>
      <c r="R1731" s="2" t="s">
        <v>16000</v>
      </c>
    </row>
    <row r="1732" spans="1:18" x14ac:dyDescent="0.25">
      <c r="A1732" s="2" t="s">
        <v>9406</v>
      </c>
      <c r="B1732" s="6">
        <v>46204</v>
      </c>
      <c r="C1732" s="8">
        <v>46230</v>
      </c>
      <c r="D1732" s="2" t="s">
        <v>7433</v>
      </c>
      <c r="E1732" s="2" t="s">
        <v>12593</v>
      </c>
      <c r="F1732" s="2" t="s">
        <v>15332</v>
      </c>
      <c r="G1732" s="2" t="s">
        <v>16126</v>
      </c>
      <c r="H1732" s="2" t="s">
        <v>70</v>
      </c>
      <c r="I1732" s="9">
        <v>5471.382979</v>
      </c>
      <c r="J1732" s="7">
        <v>0.65800000000000003</v>
      </c>
      <c r="K1732" s="9">
        <v>3600.17</v>
      </c>
      <c r="L1732" s="14">
        <v>0</v>
      </c>
      <c r="M1732" s="2" t="s">
        <v>71</v>
      </c>
      <c r="N1732" s="2" t="s">
        <v>13272</v>
      </c>
      <c r="O1732" s="2" t="s">
        <v>16127</v>
      </c>
      <c r="P1732" s="9">
        <v>0</v>
      </c>
      <c r="Q1732" s="9">
        <v>0</v>
      </c>
      <c r="R1732" s="2" t="s">
        <v>16003</v>
      </c>
    </row>
    <row r="1733" spans="1:18" x14ac:dyDescent="0.25">
      <c r="A1733" s="2" t="s">
        <v>9411</v>
      </c>
      <c r="B1733" s="6">
        <v>46204</v>
      </c>
      <c r="C1733" s="8">
        <v>46231</v>
      </c>
      <c r="D1733" s="2" t="s">
        <v>7433</v>
      </c>
      <c r="E1733" s="2" t="s">
        <v>12593</v>
      </c>
      <c r="F1733" s="2" t="s">
        <v>15336</v>
      </c>
      <c r="G1733" s="2" t="s">
        <v>16128</v>
      </c>
      <c r="H1733" s="2" t="s">
        <v>39</v>
      </c>
      <c r="I1733" s="9">
        <v>3876.99</v>
      </c>
      <c r="J1733" s="7">
        <v>1</v>
      </c>
      <c r="K1733" s="9">
        <v>3876.99</v>
      </c>
      <c r="L1733" s="14">
        <v>0</v>
      </c>
      <c r="M1733" s="2" t="s">
        <v>71</v>
      </c>
      <c r="N1733" s="2" t="s">
        <v>13272</v>
      </c>
      <c r="O1733" s="2" t="s">
        <v>16129</v>
      </c>
      <c r="P1733" s="9">
        <v>0</v>
      </c>
      <c r="Q1733" s="9">
        <v>0</v>
      </c>
      <c r="R1733" s="2" t="s">
        <v>16006</v>
      </c>
    </row>
    <row r="1734" spans="1:18" x14ac:dyDescent="0.25">
      <c r="A1734" s="2" t="s">
        <v>9416</v>
      </c>
      <c r="B1734" s="6">
        <v>46204</v>
      </c>
      <c r="C1734" s="8">
        <v>46232</v>
      </c>
      <c r="D1734" s="2" t="s">
        <v>7433</v>
      </c>
      <c r="E1734" s="2" t="s">
        <v>12593</v>
      </c>
      <c r="F1734" s="2" t="s">
        <v>15300</v>
      </c>
      <c r="G1734" s="2" t="s">
        <v>16130</v>
      </c>
      <c r="H1734" s="2" t="s">
        <v>76</v>
      </c>
      <c r="I1734" s="9">
        <v>66996935.483870998</v>
      </c>
      <c r="J1734" s="7">
        <v>6.2000000000000003E-5</v>
      </c>
      <c r="K1734" s="9">
        <v>4153.8100000000004</v>
      </c>
      <c r="L1734" s="14">
        <v>0</v>
      </c>
      <c r="M1734" s="2" t="s">
        <v>71</v>
      </c>
      <c r="N1734" s="2" t="s">
        <v>13272</v>
      </c>
      <c r="O1734" s="2" t="s">
        <v>16131</v>
      </c>
      <c r="P1734" s="9">
        <v>0</v>
      </c>
      <c r="Q1734" s="9">
        <v>0</v>
      </c>
      <c r="R1734" s="2" t="s">
        <v>16009</v>
      </c>
    </row>
    <row r="1735" spans="1:18" x14ac:dyDescent="0.25">
      <c r="A1735" s="2" t="s">
        <v>9421</v>
      </c>
      <c r="B1735" s="6">
        <v>46204</v>
      </c>
      <c r="C1735" s="8">
        <v>46233</v>
      </c>
      <c r="D1735" s="2" t="s">
        <v>7433</v>
      </c>
      <c r="E1735" s="2" t="s">
        <v>12593</v>
      </c>
      <c r="F1735" s="2" t="s">
        <v>15304</v>
      </c>
      <c r="G1735" s="2" t="s">
        <v>16132</v>
      </c>
      <c r="H1735" s="2" t="s">
        <v>70</v>
      </c>
      <c r="I1735" s="9">
        <v>6733.4650460000003</v>
      </c>
      <c r="J1735" s="7">
        <v>0.65800000000000003</v>
      </c>
      <c r="K1735" s="9">
        <v>4430.62</v>
      </c>
      <c r="L1735" s="14">
        <v>0</v>
      </c>
      <c r="M1735" s="2" t="s">
        <v>71</v>
      </c>
      <c r="N1735" s="2" t="s">
        <v>13272</v>
      </c>
      <c r="O1735" s="2" t="s">
        <v>16133</v>
      </c>
      <c r="P1735" s="9">
        <v>0</v>
      </c>
      <c r="Q1735" s="9">
        <v>0</v>
      </c>
      <c r="R1735" s="2" t="s">
        <v>16012</v>
      </c>
    </row>
    <row r="1736" spans="1:18" x14ac:dyDescent="0.25">
      <c r="A1736" s="2" t="s">
        <v>9426</v>
      </c>
      <c r="B1736" s="6">
        <v>46204</v>
      </c>
      <c r="C1736" s="8">
        <v>46234</v>
      </c>
      <c r="D1736" s="2" t="s">
        <v>7433</v>
      </c>
      <c r="E1736" s="2" t="s">
        <v>12593</v>
      </c>
      <c r="F1736" s="2" t="s">
        <v>15308</v>
      </c>
      <c r="G1736" s="2" t="s">
        <v>16134</v>
      </c>
      <c r="H1736" s="2" t="s">
        <v>39</v>
      </c>
      <c r="I1736" s="9">
        <v>4707.4399999999996</v>
      </c>
      <c r="J1736" s="7">
        <v>1</v>
      </c>
      <c r="K1736" s="9">
        <v>4707.4399999999996</v>
      </c>
      <c r="L1736" s="14">
        <v>0</v>
      </c>
      <c r="M1736" s="2" t="s">
        <v>71</v>
      </c>
      <c r="N1736" s="2" t="s">
        <v>13272</v>
      </c>
      <c r="O1736" s="2" t="s">
        <v>16135</v>
      </c>
      <c r="P1736" s="9">
        <v>0</v>
      </c>
      <c r="Q1736" s="9">
        <v>0</v>
      </c>
      <c r="R1736" s="2" t="s">
        <v>16015</v>
      </c>
    </row>
    <row r="1737" spans="1:18" x14ac:dyDescent="0.25">
      <c r="A1737" s="2" t="s">
        <v>9431</v>
      </c>
      <c r="B1737" s="6">
        <v>46204</v>
      </c>
      <c r="C1737" s="8">
        <v>46204</v>
      </c>
      <c r="D1737" s="2" t="s">
        <v>7433</v>
      </c>
      <c r="E1737" s="2" t="s">
        <v>12593</v>
      </c>
      <c r="F1737" s="2" t="s">
        <v>15312</v>
      </c>
      <c r="G1737" s="2" t="s">
        <v>16136</v>
      </c>
      <c r="H1737" s="2" t="s">
        <v>76</v>
      </c>
      <c r="I1737" s="9">
        <v>80391290.322580993</v>
      </c>
      <c r="J1737" s="7">
        <v>6.2000000000000003E-5</v>
      </c>
      <c r="K1737" s="9">
        <v>4984.26</v>
      </c>
      <c r="L1737" s="14">
        <v>0</v>
      </c>
      <c r="M1737" s="2" t="s">
        <v>71</v>
      </c>
      <c r="N1737" s="2" t="s">
        <v>13272</v>
      </c>
      <c r="O1737" s="2" t="s">
        <v>16137</v>
      </c>
      <c r="P1737" s="9">
        <v>0</v>
      </c>
      <c r="Q1737" s="9">
        <v>0</v>
      </c>
      <c r="R1737" s="2" t="s">
        <v>15988</v>
      </c>
    </row>
    <row r="1738" spans="1:18" x14ac:dyDescent="0.25">
      <c r="A1738" s="2" t="s">
        <v>9436</v>
      </c>
      <c r="B1738" s="6">
        <v>46204</v>
      </c>
      <c r="C1738" s="8">
        <v>46205</v>
      </c>
      <c r="D1738" s="2" t="s">
        <v>7433</v>
      </c>
      <c r="E1738" s="2" t="s">
        <v>12593</v>
      </c>
      <c r="F1738" s="2" t="s">
        <v>15316</v>
      </c>
      <c r="G1738" s="2" t="s">
        <v>16138</v>
      </c>
      <c r="H1738" s="2" t="s">
        <v>70</v>
      </c>
      <c r="I1738" s="9">
        <v>7995.5471120000002</v>
      </c>
      <c r="J1738" s="7">
        <v>0.65800000000000003</v>
      </c>
      <c r="K1738" s="9">
        <v>5261.07</v>
      </c>
      <c r="L1738" s="14">
        <v>0</v>
      </c>
      <c r="M1738" s="2" t="s">
        <v>71</v>
      </c>
      <c r="N1738" s="2" t="s">
        <v>13272</v>
      </c>
      <c r="O1738" s="2" t="s">
        <v>16139</v>
      </c>
      <c r="P1738" s="9">
        <v>0</v>
      </c>
      <c r="Q1738" s="9">
        <v>0</v>
      </c>
      <c r="R1738" s="2" t="s">
        <v>15991</v>
      </c>
    </row>
    <row r="1739" spans="1:18" x14ac:dyDescent="0.25">
      <c r="A1739" s="2" t="s">
        <v>9441</v>
      </c>
      <c r="B1739" s="6">
        <v>46204</v>
      </c>
      <c r="C1739" s="8">
        <v>46206</v>
      </c>
      <c r="D1739" s="2" t="s">
        <v>7433</v>
      </c>
      <c r="E1739" s="2" t="s">
        <v>12593</v>
      </c>
      <c r="F1739" s="2" t="s">
        <v>15320</v>
      </c>
      <c r="G1739" s="2" t="s">
        <v>16140</v>
      </c>
      <c r="H1739" s="2" t="s">
        <v>39</v>
      </c>
      <c r="I1739" s="9">
        <v>5537.89</v>
      </c>
      <c r="J1739" s="7">
        <v>1</v>
      </c>
      <c r="K1739" s="9">
        <v>5537.89</v>
      </c>
      <c r="L1739" s="14">
        <v>0</v>
      </c>
      <c r="M1739" s="2" t="s">
        <v>71</v>
      </c>
      <c r="N1739" s="2" t="s">
        <v>13272</v>
      </c>
      <c r="O1739" s="2" t="s">
        <v>16141</v>
      </c>
      <c r="P1739" s="9">
        <v>0</v>
      </c>
      <c r="Q1739" s="9">
        <v>0</v>
      </c>
      <c r="R1739" s="2" t="s">
        <v>15994</v>
      </c>
    </row>
    <row r="1740" spans="1:18" x14ac:dyDescent="0.25">
      <c r="A1740" s="2" t="s">
        <v>9446</v>
      </c>
      <c r="B1740" s="6">
        <v>46204</v>
      </c>
      <c r="C1740" s="8">
        <v>46207</v>
      </c>
      <c r="D1740" s="2" t="s">
        <v>7433</v>
      </c>
      <c r="E1740" s="2" t="s">
        <v>12593</v>
      </c>
      <c r="F1740" s="2" t="s">
        <v>15324</v>
      </c>
      <c r="G1740" s="2" t="s">
        <v>16142</v>
      </c>
      <c r="H1740" s="2" t="s">
        <v>76</v>
      </c>
      <c r="I1740" s="9">
        <v>93785483.870967999</v>
      </c>
      <c r="J1740" s="7">
        <v>6.2000000000000003E-5</v>
      </c>
      <c r="K1740" s="9">
        <v>5814.7</v>
      </c>
      <c r="L1740" s="14">
        <v>0</v>
      </c>
      <c r="M1740" s="2" t="s">
        <v>71</v>
      </c>
      <c r="N1740" s="2" t="s">
        <v>13272</v>
      </c>
      <c r="O1740" s="2" t="s">
        <v>16143</v>
      </c>
      <c r="P1740" s="9">
        <v>0</v>
      </c>
      <c r="Q1740" s="9">
        <v>0</v>
      </c>
      <c r="R1740" s="2" t="s">
        <v>15997</v>
      </c>
    </row>
    <row r="1741" spans="1:18" x14ac:dyDescent="0.25">
      <c r="A1741" s="2" t="s">
        <v>9451</v>
      </c>
      <c r="B1741" s="6">
        <v>46204</v>
      </c>
      <c r="C1741" s="8">
        <v>46208</v>
      </c>
      <c r="D1741" s="2" t="s">
        <v>7433</v>
      </c>
      <c r="E1741" s="2" t="s">
        <v>12593</v>
      </c>
      <c r="F1741" s="2" t="s">
        <v>15328</v>
      </c>
      <c r="G1741" s="2" t="s">
        <v>16144</v>
      </c>
      <c r="H1741" s="2" t="s">
        <v>70</v>
      </c>
      <c r="I1741" s="9">
        <v>9257.6291789999996</v>
      </c>
      <c r="J1741" s="7">
        <v>0.65800000000000003</v>
      </c>
      <c r="K1741" s="9">
        <v>6091.52</v>
      </c>
      <c r="L1741" s="14">
        <v>0</v>
      </c>
      <c r="M1741" s="2" t="s">
        <v>71</v>
      </c>
      <c r="N1741" s="2" t="s">
        <v>13272</v>
      </c>
      <c r="O1741" s="2" t="s">
        <v>16145</v>
      </c>
      <c r="P1741" s="9">
        <v>0</v>
      </c>
      <c r="Q1741" s="9">
        <v>0</v>
      </c>
      <c r="R1741" s="2" t="s">
        <v>16000</v>
      </c>
    </row>
    <row r="1742" spans="1:18" x14ac:dyDescent="0.25">
      <c r="A1742" s="2" t="s">
        <v>9456</v>
      </c>
      <c r="B1742" s="6">
        <v>46204</v>
      </c>
      <c r="C1742" s="8">
        <v>46209</v>
      </c>
      <c r="D1742" s="2" t="s">
        <v>7433</v>
      </c>
      <c r="E1742" s="2" t="s">
        <v>12593</v>
      </c>
      <c r="F1742" s="2" t="s">
        <v>15332</v>
      </c>
      <c r="G1742" s="2" t="s">
        <v>16146</v>
      </c>
      <c r="H1742" s="2" t="s">
        <v>39</v>
      </c>
      <c r="I1742" s="9">
        <v>6368.34</v>
      </c>
      <c r="J1742" s="7">
        <v>1</v>
      </c>
      <c r="K1742" s="9">
        <v>6368.34</v>
      </c>
      <c r="L1742" s="14">
        <v>0</v>
      </c>
      <c r="M1742" s="2" t="s">
        <v>71</v>
      </c>
      <c r="N1742" s="2" t="s">
        <v>13272</v>
      </c>
      <c r="O1742" s="2" t="s">
        <v>16147</v>
      </c>
      <c r="P1742" s="9">
        <v>0</v>
      </c>
      <c r="Q1742" s="9">
        <v>0</v>
      </c>
      <c r="R1742" s="2" t="s">
        <v>16003</v>
      </c>
    </row>
    <row r="1743" spans="1:18" x14ac:dyDescent="0.25">
      <c r="A1743" s="2" t="s">
        <v>9461</v>
      </c>
      <c r="B1743" s="6">
        <v>46204</v>
      </c>
      <c r="C1743" s="8">
        <v>46210</v>
      </c>
      <c r="D1743" s="2" t="s">
        <v>7433</v>
      </c>
      <c r="E1743" s="2" t="s">
        <v>12593</v>
      </c>
      <c r="F1743" s="2" t="s">
        <v>15336</v>
      </c>
      <c r="G1743" s="2" t="s">
        <v>16148</v>
      </c>
      <c r="H1743" s="2" t="s">
        <v>76</v>
      </c>
      <c r="I1743" s="9">
        <v>-107179838.709677</v>
      </c>
      <c r="J1743" s="7">
        <v>6.2000000000000003E-5</v>
      </c>
      <c r="K1743" s="9">
        <v>-6645.15</v>
      </c>
      <c r="L1743" s="14">
        <v>0</v>
      </c>
      <c r="M1743" s="2" t="s">
        <v>71</v>
      </c>
      <c r="N1743" s="2" t="s">
        <v>13272</v>
      </c>
      <c r="O1743" s="2" t="s">
        <v>16149</v>
      </c>
      <c r="P1743" s="9">
        <v>0</v>
      </c>
      <c r="Q1743" s="9">
        <v>0</v>
      </c>
      <c r="R1743" s="2" t="s">
        <v>16006</v>
      </c>
    </row>
    <row r="1744" spans="1:18" x14ac:dyDescent="0.25">
      <c r="A1744" s="2" t="s">
        <v>9464</v>
      </c>
      <c r="B1744" s="6">
        <v>46204</v>
      </c>
      <c r="C1744" s="8">
        <v>46211</v>
      </c>
      <c r="D1744" s="2" t="s">
        <v>7433</v>
      </c>
      <c r="E1744" s="2" t="s">
        <v>12593</v>
      </c>
      <c r="F1744" s="2" t="s">
        <v>15300</v>
      </c>
      <c r="G1744" s="2" t="s">
        <v>16150</v>
      </c>
      <c r="H1744" s="2" t="s">
        <v>70</v>
      </c>
      <c r="I1744" s="9">
        <v>10519.711246000001</v>
      </c>
      <c r="J1744" s="7">
        <v>0.65800000000000003</v>
      </c>
      <c r="K1744" s="9">
        <v>6921.97</v>
      </c>
      <c r="L1744" s="14">
        <v>0</v>
      </c>
      <c r="M1744" s="2" t="s">
        <v>71</v>
      </c>
      <c r="N1744" s="2" t="s">
        <v>13272</v>
      </c>
      <c r="O1744" s="2" t="s">
        <v>16151</v>
      </c>
      <c r="P1744" s="9">
        <v>0</v>
      </c>
      <c r="Q1744" s="9">
        <v>0</v>
      </c>
      <c r="R1744" s="2" t="s">
        <v>16009</v>
      </c>
    </row>
    <row r="1745" spans="1:18" x14ac:dyDescent="0.25">
      <c r="A1745" s="2" t="s">
        <v>9469</v>
      </c>
      <c r="B1745" s="6">
        <v>46204</v>
      </c>
      <c r="C1745" s="8">
        <v>46212</v>
      </c>
      <c r="D1745" s="2" t="s">
        <v>7433</v>
      </c>
      <c r="E1745" s="2" t="s">
        <v>12593</v>
      </c>
      <c r="F1745" s="2" t="s">
        <v>15304</v>
      </c>
      <c r="G1745" s="2" t="s">
        <v>16152</v>
      </c>
      <c r="H1745" s="2" t="s">
        <v>39</v>
      </c>
      <c r="I1745" s="9">
        <v>7198.78</v>
      </c>
      <c r="J1745" s="7">
        <v>1</v>
      </c>
      <c r="K1745" s="9">
        <v>7198.78</v>
      </c>
      <c r="L1745" s="14">
        <v>0</v>
      </c>
      <c r="M1745" s="2" t="s">
        <v>71</v>
      </c>
      <c r="N1745" s="2" t="s">
        <v>13272</v>
      </c>
      <c r="O1745" s="2" t="s">
        <v>16153</v>
      </c>
      <c r="P1745" s="9">
        <v>0</v>
      </c>
      <c r="Q1745" s="9">
        <v>0</v>
      </c>
      <c r="R1745" s="2" t="s">
        <v>16012</v>
      </c>
    </row>
    <row r="1746" spans="1:18" x14ac:dyDescent="0.25">
      <c r="A1746" s="2" t="s">
        <v>9474</v>
      </c>
      <c r="B1746" s="6">
        <v>46204</v>
      </c>
      <c r="C1746" s="8">
        <v>46213</v>
      </c>
      <c r="D1746" s="2" t="s">
        <v>7433</v>
      </c>
      <c r="E1746" s="2" t="s">
        <v>12593</v>
      </c>
      <c r="F1746" s="2" t="s">
        <v>15308</v>
      </c>
      <c r="G1746" s="2" t="s">
        <v>16154</v>
      </c>
      <c r="H1746" s="2" t="s">
        <v>76</v>
      </c>
      <c r="I1746" s="9">
        <v>120574193.54838701</v>
      </c>
      <c r="J1746" s="7">
        <v>6.2000000000000003E-5</v>
      </c>
      <c r="K1746" s="9">
        <v>7475.6</v>
      </c>
      <c r="L1746" s="14">
        <v>0</v>
      </c>
      <c r="M1746" s="2" t="s">
        <v>71</v>
      </c>
      <c r="N1746" s="2" t="s">
        <v>13272</v>
      </c>
      <c r="O1746" s="2" t="s">
        <v>16155</v>
      </c>
      <c r="P1746" s="9">
        <v>0</v>
      </c>
      <c r="Q1746" s="9">
        <v>0</v>
      </c>
      <c r="R1746" s="2" t="s">
        <v>16015</v>
      </c>
    </row>
    <row r="1747" spans="1:18" x14ac:dyDescent="0.25">
      <c r="A1747" s="2" t="s">
        <v>9479</v>
      </c>
      <c r="B1747" s="6">
        <v>46204</v>
      </c>
      <c r="C1747" s="8">
        <v>46214</v>
      </c>
      <c r="D1747" s="2" t="s">
        <v>7433</v>
      </c>
      <c r="E1747" s="2" t="s">
        <v>12593</v>
      </c>
      <c r="F1747" s="2" t="s">
        <v>15312</v>
      </c>
      <c r="G1747" s="2" t="s">
        <v>16156</v>
      </c>
      <c r="H1747" s="2" t="s">
        <v>70</v>
      </c>
      <c r="I1747" s="9">
        <v>11781.793313</v>
      </c>
      <c r="J1747" s="7">
        <v>0.65800000000000003</v>
      </c>
      <c r="K1747" s="9">
        <v>7752.42</v>
      </c>
      <c r="L1747" s="14">
        <v>0</v>
      </c>
      <c r="M1747" s="2" t="s">
        <v>71</v>
      </c>
      <c r="N1747" s="2" t="s">
        <v>13272</v>
      </c>
      <c r="O1747" s="2" t="s">
        <v>16157</v>
      </c>
      <c r="P1747" s="9">
        <v>0</v>
      </c>
      <c r="Q1747" s="9">
        <v>0</v>
      </c>
      <c r="R1747" s="2" t="s">
        <v>15988</v>
      </c>
    </row>
    <row r="1748" spans="1:18" x14ac:dyDescent="0.25">
      <c r="A1748" s="2" t="s">
        <v>9484</v>
      </c>
      <c r="B1748" s="6">
        <v>46204</v>
      </c>
      <c r="C1748" s="8">
        <v>46215</v>
      </c>
      <c r="D1748" s="2" t="s">
        <v>7433</v>
      </c>
      <c r="E1748" s="2" t="s">
        <v>12593</v>
      </c>
      <c r="F1748" s="2" t="s">
        <v>15316</v>
      </c>
      <c r="G1748" s="2" t="s">
        <v>16158</v>
      </c>
      <c r="H1748" s="2" t="s">
        <v>39</v>
      </c>
      <c r="I1748" s="9">
        <v>8029.23</v>
      </c>
      <c r="J1748" s="7">
        <v>1</v>
      </c>
      <c r="K1748" s="9">
        <v>8029.23</v>
      </c>
      <c r="L1748" s="14">
        <v>0</v>
      </c>
      <c r="M1748" s="2" t="s">
        <v>71</v>
      </c>
      <c r="N1748" s="2" t="s">
        <v>13272</v>
      </c>
      <c r="O1748" s="2" t="s">
        <v>16159</v>
      </c>
      <c r="P1748" s="9">
        <v>0</v>
      </c>
      <c r="Q1748" s="9">
        <v>0</v>
      </c>
      <c r="R1748" s="2" t="s">
        <v>15991</v>
      </c>
    </row>
    <row r="1749" spans="1:18" x14ac:dyDescent="0.25">
      <c r="A1749" s="2" t="s">
        <v>9489</v>
      </c>
      <c r="B1749" s="6">
        <v>46204</v>
      </c>
      <c r="C1749" s="8">
        <v>46216</v>
      </c>
      <c r="D1749" s="2" t="s">
        <v>7433</v>
      </c>
      <c r="E1749" s="2" t="s">
        <v>12593</v>
      </c>
      <c r="F1749" s="2" t="s">
        <v>15320</v>
      </c>
      <c r="G1749" s="2" t="s">
        <v>16160</v>
      </c>
      <c r="H1749" s="2" t="s">
        <v>76</v>
      </c>
      <c r="I1749" s="9">
        <v>133968548.387097</v>
      </c>
      <c r="J1749" s="7">
        <v>6.2000000000000003E-5</v>
      </c>
      <c r="K1749" s="9">
        <v>8306.0499999999993</v>
      </c>
      <c r="L1749" s="14">
        <v>0</v>
      </c>
      <c r="M1749" s="2" t="s">
        <v>71</v>
      </c>
      <c r="N1749" s="2" t="s">
        <v>13272</v>
      </c>
      <c r="O1749" s="2" t="s">
        <v>16161</v>
      </c>
      <c r="P1749" s="9">
        <v>0</v>
      </c>
      <c r="Q1749" s="9">
        <v>0</v>
      </c>
      <c r="R1749" s="2" t="s">
        <v>15994</v>
      </c>
    </row>
    <row r="1750" spans="1:18" x14ac:dyDescent="0.25">
      <c r="A1750" s="2" t="s">
        <v>9494</v>
      </c>
      <c r="B1750" s="6">
        <v>46204</v>
      </c>
      <c r="C1750" s="8">
        <v>46217</v>
      </c>
      <c r="D1750" s="2" t="s">
        <v>7433</v>
      </c>
      <c r="E1750" s="2" t="s">
        <v>12593</v>
      </c>
      <c r="F1750" s="2" t="s">
        <v>15324</v>
      </c>
      <c r="G1750" s="2" t="s">
        <v>16162</v>
      </c>
      <c r="H1750" s="2" t="s">
        <v>70</v>
      </c>
      <c r="I1750" s="9">
        <v>13043.875379999999</v>
      </c>
      <c r="J1750" s="7">
        <v>0.65800000000000003</v>
      </c>
      <c r="K1750" s="9">
        <v>8582.8700000000008</v>
      </c>
      <c r="L1750" s="14">
        <v>0</v>
      </c>
      <c r="M1750" s="2" t="s">
        <v>71</v>
      </c>
      <c r="N1750" s="2" t="s">
        <v>13272</v>
      </c>
      <c r="O1750" s="2" t="s">
        <v>16163</v>
      </c>
      <c r="P1750" s="9">
        <v>0</v>
      </c>
      <c r="Q1750" s="9">
        <v>0</v>
      </c>
      <c r="R1750" s="2" t="s">
        <v>15997</v>
      </c>
    </row>
    <row r="1751" spans="1:18" x14ac:dyDescent="0.25">
      <c r="A1751" s="2" t="s">
        <v>9499</v>
      </c>
      <c r="B1751" s="6">
        <v>46204</v>
      </c>
      <c r="C1751" s="8">
        <v>46218</v>
      </c>
      <c r="D1751" s="2" t="s">
        <v>7433</v>
      </c>
      <c r="E1751" s="2" t="s">
        <v>12593</v>
      </c>
      <c r="F1751" s="2" t="s">
        <v>15328</v>
      </c>
      <c r="G1751" s="2" t="s">
        <v>16164</v>
      </c>
      <c r="H1751" s="2" t="s">
        <v>39</v>
      </c>
      <c r="I1751" s="9">
        <v>8859.68</v>
      </c>
      <c r="J1751" s="7">
        <v>1</v>
      </c>
      <c r="K1751" s="9">
        <v>8859.68</v>
      </c>
      <c r="L1751" s="14">
        <v>0</v>
      </c>
      <c r="M1751" s="2" t="s">
        <v>71</v>
      </c>
      <c r="N1751" s="2" t="s">
        <v>13272</v>
      </c>
      <c r="O1751" s="2" t="s">
        <v>16165</v>
      </c>
      <c r="P1751" s="9">
        <v>0</v>
      </c>
      <c r="Q1751" s="9">
        <v>0</v>
      </c>
      <c r="R1751" s="2" t="s">
        <v>16000</v>
      </c>
    </row>
    <row r="1752" spans="1:18" x14ac:dyDescent="0.25">
      <c r="A1752" s="2" t="s">
        <v>9504</v>
      </c>
      <c r="B1752" s="6">
        <v>46204</v>
      </c>
      <c r="C1752" s="8">
        <v>46219</v>
      </c>
      <c r="D1752" s="2" t="s">
        <v>7433</v>
      </c>
      <c r="E1752" s="2" t="s">
        <v>12593</v>
      </c>
      <c r="F1752" s="2" t="s">
        <v>15332</v>
      </c>
      <c r="G1752" s="2" t="s">
        <v>16166</v>
      </c>
      <c r="H1752" s="2" t="s">
        <v>76</v>
      </c>
      <c r="I1752" s="9">
        <v>147362903.225806</v>
      </c>
      <c r="J1752" s="7">
        <v>6.2000000000000003E-5</v>
      </c>
      <c r="K1752" s="9">
        <v>9136.5</v>
      </c>
      <c r="L1752" s="14">
        <v>0</v>
      </c>
      <c r="M1752" s="2" t="s">
        <v>71</v>
      </c>
      <c r="N1752" s="2" t="s">
        <v>13272</v>
      </c>
      <c r="O1752" s="2" t="s">
        <v>16167</v>
      </c>
      <c r="P1752" s="9">
        <v>0</v>
      </c>
      <c r="Q1752" s="9">
        <v>0</v>
      </c>
      <c r="R1752" s="2" t="s">
        <v>16003</v>
      </c>
    </row>
    <row r="1753" spans="1:18" x14ac:dyDescent="0.25">
      <c r="A1753" s="2" t="s">
        <v>9509</v>
      </c>
      <c r="B1753" s="6">
        <v>46204</v>
      </c>
      <c r="C1753" s="8">
        <v>46220</v>
      </c>
      <c r="D1753" s="2" t="s">
        <v>7433</v>
      </c>
      <c r="E1753" s="2" t="s">
        <v>12593</v>
      </c>
      <c r="F1753" s="2" t="s">
        <v>15336</v>
      </c>
      <c r="G1753" s="2" t="s">
        <v>16168</v>
      </c>
      <c r="H1753" s="2" t="s">
        <v>70</v>
      </c>
      <c r="I1753" s="9">
        <v>14305.957447000001</v>
      </c>
      <c r="J1753" s="7">
        <v>0.65800000000000003</v>
      </c>
      <c r="K1753" s="9">
        <v>9413.32</v>
      </c>
      <c r="L1753" s="14">
        <v>0</v>
      </c>
      <c r="M1753" s="2" t="s">
        <v>71</v>
      </c>
      <c r="N1753" s="2" t="s">
        <v>13272</v>
      </c>
      <c r="O1753" s="2" t="s">
        <v>16169</v>
      </c>
      <c r="P1753" s="9">
        <v>0</v>
      </c>
      <c r="Q1753" s="9">
        <v>0</v>
      </c>
      <c r="R1753" s="2" t="s">
        <v>16006</v>
      </c>
    </row>
    <row r="1754" spans="1:18" x14ac:dyDescent="0.25">
      <c r="A1754" s="2" t="s">
        <v>9514</v>
      </c>
      <c r="B1754" s="6">
        <v>46204</v>
      </c>
      <c r="C1754" s="8">
        <v>46221</v>
      </c>
      <c r="D1754" s="2" t="s">
        <v>7433</v>
      </c>
      <c r="E1754" s="2" t="s">
        <v>12593</v>
      </c>
      <c r="F1754" s="2" t="s">
        <v>15300</v>
      </c>
      <c r="G1754" s="2" t="s">
        <v>16170</v>
      </c>
      <c r="H1754" s="2" t="s">
        <v>39</v>
      </c>
      <c r="I1754" s="9">
        <v>9690.1299999999992</v>
      </c>
      <c r="J1754" s="7">
        <v>1</v>
      </c>
      <c r="K1754" s="9">
        <v>9690.1299999999992</v>
      </c>
      <c r="L1754" s="14">
        <v>0</v>
      </c>
      <c r="M1754" s="2" t="s">
        <v>71</v>
      </c>
      <c r="N1754" s="2" t="s">
        <v>13272</v>
      </c>
      <c r="O1754" s="2" t="s">
        <v>16171</v>
      </c>
      <c r="P1754" s="9">
        <v>0</v>
      </c>
      <c r="Q1754" s="9">
        <v>0</v>
      </c>
      <c r="R1754" s="2" t="s">
        <v>16009</v>
      </c>
    </row>
    <row r="1755" spans="1:18" x14ac:dyDescent="0.25">
      <c r="A1755" s="2" t="s">
        <v>9519</v>
      </c>
      <c r="B1755" s="6">
        <v>46204</v>
      </c>
      <c r="C1755" s="8">
        <v>46222</v>
      </c>
      <c r="D1755" s="2" t="s">
        <v>7433</v>
      </c>
      <c r="E1755" s="2" t="s">
        <v>12593</v>
      </c>
      <c r="F1755" s="2" t="s">
        <v>15304</v>
      </c>
      <c r="G1755" s="2" t="s">
        <v>16172</v>
      </c>
      <c r="H1755" s="2" t="s">
        <v>76</v>
      </c>
      <c r="I1755" s="9">
        <v>160757096.774194</v>
      </c>
      <c r="J1755" s="7">
        <v>6.2000000000000003E-5</v>
      </c>
      <c r="K1755" s="9">
        <v>9966.94</v>
      </c>
      <c r="L1755" s="14">
        <v>0</v>
      </c>
      <c r="M1755" s="2" t="s">
        <v>71</v>
      </c>
      <c r="N1755" s="2" t="s">
        <v>13272</v>
      </c>
      <c r="O1755" s="2" t="s">
        <v>16173</v>
      </c>
      <c r="P1755" s="9">
        <v>0</v>
      </c>
      <c r="Q1755" s="9">
        <v>0</v>
      </c>
      <c r="R1755" s="2" t="s">
        <v>16012</v>
      </c>
    </row>
    <row r="1756" spans="1:18" x14ac:dyDescent="0.25">
      <c r="A1756" s="2" t="s">
        <v>9524</v>
      </c>
      <c r="B1756" s="6">
        <v>46204</v>
      </c>
      <c r="C1756" s="8">
        <v>46223</v>
      </c>
      <c r="D1756" s="2" t="s">
        <v>7433</v>
      </c>
      <c r="E1756" s="2" t="s">
        <v>12593</v>
      </c>
      <c r="F1756" s="2" t="s">
        <v>15308</v>
      </c>
      <c r="G1756" s="2" t="s">
        <v>16174</v>
      </c>
      <c r="H1756" s="2" t="s">
        <v>70</v>
      </c>
      <c r="I1756" s="9">
        <v>15568.024316000001</v>
      </c>
      <c r="J1756" s="7">
        <v>0.65800000000000003</v>
      </c>
      <c r="K1756" s="9">
        <v>10243.76</v>
      </c>
      <c r="L1756" s="14">
        <v>0</v>
      </c>
      <c r="M1756" s="2" t="s">
        <v>71</v>
      </c>
      <c r="N1756" s="2" t="s">
        <v>13272</v>
      </c>
      <c r="O1756" s="2" t="s">
        <v>16175</v>
      </c>
      <c r="P1756" s="9">
        <v>0</v>
      </c>
      <c r="Q1756" s="9">
        <v>0</v>
      </c>
      <c r="R1756" s="2" t="s">
        <v>16015</v>
      </c>
    </row>
    <row r="1757" spans="1:18" x14ac:dyDescent="0.25">
      <c r="A1757" s="2" t="s">
        <v>9529</v>
      </c>
      <c r="B1757" s="6">
        <v>46204</v>
      </c>
      <c r="C1757" s="8">
        <v>46224</v>
      </c>
      <c r="D1757" s="2" t="s">
        <v>7433</v>
      </c>
      <c r="E1757" s="2" t="s">
        <v>12593</v>
      </c>
      <c r="F1757" s="2" t="s">
        <v>15312</v>
      </c>
      <c r="G1757" s="2" t="s">
        <v>16176</v>
      </c>
      <c r="H1757" s="2" t="s">
        <v>39</v>
      </c>
      <c r="I1757" s="9">
        <v>10520.58</v>
      </c>
      <c r="J1757" s="7">
        <v>1</v>
      </c>
      <c r="K1757" s="9">
        <v>10520.58</v>
      </c>
      <c r="L1757" s="14">
        <v>0</v>
      </c>
      <c r="M1757" s="2" t="s">
        <v>71</v>
      </c>
      <c r="N1757" s="2" t="s">
        <v>13272</v>
      </c>
      <c r="O1757" s="2" t="s">
        <v>16177</v>
      </c>
      <c r="P1757" s="9">
        <v>0</v>
      </c>
      <c r="Q1757" s="9">
        <v>0</v>
      </c>
      <c r="R1757" s="2" t="s">
        <v>15988</v>
      </c>
    </row>
    <row r="1758" spans="1:18" x14ac:dyDescent="0.25">
      <c r="A1758" s="2" t="s">
        <v>9534</v>
      </c>
      <c r="B1758" s="6">
        <v>46204</v>
      </c>
      <c r="C1758" s="8">
        <v>46225</v>
      </c>
      <c r="D1758" s="2" t="s">
        <v>7433</v>
      </c>
      <c r="E1758" s="2" t="s">
        <v>12593</v>
      </c>
      <c r="F1758" s="2" t="s">
        <v>15316</v>
      </c>
      <c r="G1758" s="2" t="s">
        <v>16178</v>
      </c>
      <c r="H1758" s="2" t="s">
        <v>76</v>
      </c>
      <c r="I1758" s="9">
        <v>174151451.612903</v>
      </c>
      <c r="J1758" s="7">
        <v>6.2000000000000003E-5</v>
      </c>
      <c r="K1758" s="9">
        <v>10797.39</v>
      </c>
      <c r="L1758" s="14">
        <v>0</v>
      </c>
      <c r="M1758" s="2" t="s">
        <v>71</v>
      </c>
      <c r="N1758" s="2" t="s">
        <v>13272</v>
      </c>
      <c r="O1758" s="2" t="s">
        <v>16179</v>
      </c>
      <c r="P1758" s="9">
        <v>0</v>
      </c>
      <c r="Q1758" s="9">
        <v>0</v>
      </c>
      <c r="R1758" s="2" t="s">
        <v>15991</v>
      </c>
    </row>
    <row r="1759" spans="1:18" x14ac:dyDescent="0.25">
      <c r="A1759" s="2" t="s">
        <v>9539</v>
      </c>
      <c r="B1759" s="6">
        <v>46204</v>
      </c>
      <c r="C1759" s="8">
        <v>46226</v>
      </c>
      <c r="D1759" s="2" t="s">
        <v>7433</v>
      </c>
      <c r="E1759" s="2" t="s">
        <v>12593</v>
      </c>
      <c r="F1759" s="2" t="s">
        <v>15320</v>
      </c>
      <c r="G1759" s="2" t="s">
        <v>16180</v>
      </c>
      <c r="H1759" s="2" t="s">
        <v>70</v>
      </c>
      <c r="I1759" s="9">
        <v>16830.106382999998</v>
      </c>
      <c r="J1759" s="7">
        <v>0.65800000000000003</v>
      </c>
      <c r="K1759" s="9">
        <v>11074.21</v>
      </c>
      <c r="L1759" s="14">
        <v>0</v>
      </c>
      <c r="M1759" s="2" t="s">
        <v>71</v>
      </c>
      <c r="N1759" s="2" t="s">
        <v>13272</v>
      </c>
      <c r="O1759" s="2" t="s">
        <v>16181</v>
      </c>
      <c r="P1759" s="9">
        <v>0</v>
      </c>
      <c r="Q1759" s="9">
        <v>0</v>
      </c>
      <c r="R1759" s="2" t="s">
        <v>15994</v>
      </c>
    </row>
    <row r="1760" spans="1:18" x14ac:dyDescent="0.25">
      <c r="A1760" s="2" t="s">
        <v>9544</v>
      </c>
      <c r="B1760" s="6">
        <v>46204</v>
      </c>
      <c r="C1760" s="8">
        <v>46227</v>
      </c>
      <c r="D1760" s="2" t="s">
        <v>7433</v>
      </c>
      <c r="E1760" s="2" t="s">
        <v>12593</v>
      </c>
      <c r="F1760" s="2" t="s">
        <v>15324</v>
      </c>
      <c r="G1760" s="2" t="s">
        <v>16182</v>
      </c>
      <c r="H1760" s="2" t="s">
        <v>39</v>
      </c>
      <c r="I1760" s="9">
        <v>11351.02</v>
      </c>
      <c r="J1760" s="7">
        <v>1</v>
      </c>
      <c r="K1760" s="9">
        <v>11351.02</v>
      </c>
      <c r="L1760" s="14">
        <v>0</v>
      </c>
      <c r="M1760" s="2" t="s">
        <v>71</v>
      </c>
      <c r="N1760" s="2" t="s">
        <v>13272</v>
      </c>
      <c r="O1760" s="2" t="s">
        <v>16183</v>
      </c>
      <c r="P1760" s="9">
        <v>0</v>
      </c>
      <c r="Q1760" s="9">
        <v>0</v>
      </c>
      <c r="R1760" s="2" t="s">
        <v>15997</v>
      </c>
    </row>
    <row r="1761" spans="1:18" x14ac:dyDescent="0.25">
      <c r="A1761" s="2" t="s">
        <v>9549</v>
      </c>
      <c r="B1761" s="6">
        <v>46204</v>
      </c>
      <c r="C1761" s="8">
        <v>46228</v>
      </c>
      <c r="D1761" s="2" t="s">
        <v>7433</v>
      </c>
      <c r="E1761" s="2" t="s">
        <v>12593</v>
      </c>
      <c r="F1761" s="2" t="s">
        <v>15328</v>
      </c>
      <c r="G1761" s="2" t="s">
        <v>16184</v>
      </c>
      <c r="H1761" s="2" t="s">
        <v>76</v>
      </c>
      <c r="I1761" s="9">
        <v>187545806.45161301</v>
      </c>
      <c r="J1761" s="7">
        <v>6.2000000000000003E-5</v>
      </c>
      <c r="K1761" s="9">
        <v>11627.84</v>
      </c>
      <c r="L1761" s="14">
        <v>0</v>
      </c>
      <c r="M1761" s="2" t="s">
        <v>71</v>
      </c>
      <c r="N1761" s="2" t="s">
        <v>13272</v>
      </c>
      <c r="O1761" s="2" t="s">
        <v>16185</v>
      </c>
      <c r="P1761" s="9">
        <v>0</v>
      </c>
      <c r="Q1761" s="9">
        <v>0</v>
      </c>
      <c r="R1761" s="2" t="s">
        <v>16000</v>
      </c>
    </row>
    <row r="1762" spans="1:18" x14ac:dyDescent="0.25">
      <c r="A1762" s="2" t="s">
        <v>9554</v>
      </c>
      <c r="B1762" s="6">
        <v>46204</v>
      </c>
      <c r="C1762" s="8">
        <v>46229</v>
      </c>
      <c r="D1762" s="2" t="s">
        <v>7433</v>
      </c>
      <c r="E1762" s="2" t="s">
        <v>12593</v>
      </c>
      <c r="F1762" s="2" t="s">
        <v>15332</v>
      </c>
      <c r="G1762" s="2" t="s">
        <v>16186</v>
      </c>
      <c r="H1762" s="2" t="s">
        <v>70</v>
      </c>
      <c r="I1762" s="9">
        <v>18092.173252000001</v>
      </c>
      <c r="J1762" s="7">
        <v>0.65800000000000003</v>
      </c>
      <c r="K1762" s="9">
        <v>11904.65</v>
      </c>
      <c r="L1762" s="14">
        <v>0</v>
      </c>
      <c r="M1762" s="2" t="s">
        <v>71</v>
      </c>
      <c r="N1762" s="2" t="s">
        <v>13272</v>
      </c>
      <c r="O1762" s="2" t="s">
        <v>16187</v>
      </c>
      <c r="P1762" s="9">
        <v>0</v>
      </c>
      <c r="Q1762" s="9">
        <v>0</v>
      </c>
      <c r="R1762" s="2" t="s">
        <v>16003</v>
      </c>
    </row>
    <row r="1763" spans="1:18" x14ac:dyDescent="0.25">
      <c r="A1763" s="2" t="s">
        <v>9559</v>
      </c>
      <c r="B1763" s="6">
        <v>46204</v>
      </c>
      <c r="C1763" s="8">
        <v>46230</v>
      </c>
      <c r="D1763" s="2" t="s">
        <v>7433</v>
      </c>
      <c r="E1763" s="2" t="s">
        <v>12593</v>
      </c>
      <c r="F1763" s="2" t="s">
        <v>15336</v>
      </c>
      <c r="G1763" s="2" t="s">
        <v>16188</v>
      </c>
      <c r="H1763" s="2" t="s">
        <v>39</v>
      </c>
      <c r="I1763" s="9">
        <v>12181.47</v>
      </c>
      <c r="J1763" s="7">
        <v>1</v>
      </c>
      <c r="K1763" s="9">
        <v>12181.47</v>
      </c>
      <c r="L1763" s="14">
        <v>0</v>
      </c>
      <c r="M1763" s="2" t="s">
        <v>71</v>
      </c>
      <c r="N1763" s="2" t="s">
        <v>13272</v>
      </c>
      <c r="O1763" s="2" t="s">
        <v>16189</v>
      </c>
      <c r="P1763" s="9">
        <v>0</v>
      </c>
      <c r="Q1763" s="9">
        <v>0</v>
      </c>
      <c r="R1763" s="2" t="s">
        <v>16006</v>
      </c>
    </row>
    <row r="1764" spans="1:18" x14ac:dyDescent="0.25">
      <c r="A1764" s="2" t="s">
        <v>9564</v>
      </c>
      <c r="B1764" s="6">
        <v>46204</v>
      </c>
      <c r="C1764" s="8">
        <v>46231</v>
      </c>
      <c r="D1764" s="2" t="s">
        <v>7433</v>
      </c>
      <c r="E1764" s="2" t="s">
        <v>12593</v>
      </c>
      <c r="F1764" s="2" t="s">
        <v>15300</v>
      </c>
      <c r="G1764" s="2" t="s">
        <v>16190</v>
      </c>
      <c r="H1764" s="2" t="s">
        <v>76</v>
      </c>
      <c r="I1764" s="9">
        <v>200940161.29032299</v>
      </c>
      <c r="J1764" s="7">
        <v>6.2000000000000003E-5</v>
      </c>
      <c r="K1764" s="9">
        <v>12458.29</v>
      </c>
      <c r="L1764" s="14">
        <v>0</v>
      </c>
      <c r="M1764" s="2" t="s">
        <v>71</v>
      </c>
      <c r="N1764" s="2" t="s">
        <v>13272</v>
      </c>
      <c r="O1764" s="2" t="s">
        <v>16191</v>
      </c>
      <c r="P1764" s="9">
        <v>0</v>
      </c>
      <c r="Q1764" s="9">
        <v>0</v>
      </c>
      <c r="R1764" s="2" t="s">
        <v>16009</v>
      </c>
    </row>
    <row r="1765" spans="1:18" x14ac:dyDescent="0.25">
      <c r="A1765" s="2" t="s">
        <v>9569</v>
      </c>
      <c r="B1765" s="6">
        <v>46204</v>
      </c>
      <c r="C1765" s="8">
        <v>46232</v>
      </c>
      <c r="D1765" s="2" t="s">
        <v>7433</v>
      </c>
      <c r="E1765" s="2" t="s">
        <v>12593</v>
      </c>
      <c r="F1765" s="2" t="s">
        <v>15304</v>
      </c>
      <c r="G1765" s="2" t="s">
        <v>16192</v>
      </c>
      <c r="H1765" s="2" t="s">
        <v>70</v>
      </c>
      <c r="I1765" s="9">
        <v>19354.255319</v>
      </c>
      <c r="J1765" s="7">
        <v>0.65800000000000003</v>
      </c>
      <c r="K1765" s="9">
        <v>12735.1</v>
      </c>
      <c r="L1765" s="14">
        <v>0</v>
      </c>
      <c r="M1765" s="2" t="s">
        <v>71</v>
      </c>
      <c r="N1765" s="2" t="s">
        <v>13272</v>
      </c>
      <c r="O1765" s="2" t="s">
        <v>16193</v>
      </c>
      <c r="P1765" s="9">
        <v>0</v>
      </c>
      <c r="Q1765" s="9">
        <v>0</v>
      </c>
      <c r="R1765" s="2" t="s">
        <v>16012</v>
      </c>
    </row>
    <row r="1766" spans="1:18" x14ac:dyDescent="0.25">
      <c r="A1766" s="2" t="s">
        <v>9574</v>
      </c>
      <c r="B1766" s="6">
        <v>46204</v>
      </c>
      <c r="C1766" s="8">
        <v>46233</v>
      </c>
      <c r="D1766" s="2" t="s">
        <v>7433</v>
      </c>
      <c r="E1766" s="2" t="s">
        <v>12593</v>
      </c>
      <c r="F1766" s="2" t="s">
        <v>15308</v>
      </c>
      <c r="G1766" s="2" t="s">
        <v>16194</v>
      </c>
      <c r="H1766" s="2" t="s">
        <v>39</v>
      </c>
      <c r="I1766" s="9">
        <v>13011.92</v>
      </c>
      <c r="J1766" s="7">
        <v>1</v>
      </c>
      <c r="K1766" s="9">
        <v>13011.92</v>
      </c>
      <c r="L1766" s="14">
        <v>0</v>
      </c>
      <c r="M1766" s="2" t="s">
        <v>71</v>
      </c>
      <c r="N1766" s="2" t="s">
        <v>13272</v>
      </c>
      <c r="O1766" s="2" t="s">
        <v>16195</v>
      </c>
      <c r="P1766" s="9">
        <v>0</v>
      </c>
      <c r="Q1766" s="9">
        <v>0</v>
      </c>
      <c r="R1766" s="2" t="s">
        <v>16015</v>
      </c>
    </row>
    <row r="1767" spans="1:18" x14ac:dyDescent="0.25">
      <c r="A1767" s="2" t="s">
        <v>9579</v>
      </c>
      <c r="B1767" s="6">
        <v>46204</v>
      </c>
      <c r="C1767" s="8">
        <v>46234</v>
      </c>
      <c r="D1767" s="2" t="s">
        <v>7433</v>
      </c>
      <c r="E1767" s="2" t="s">
        <v>12593</v>
      </c>
      <c r="F1767" s="2" t="s">
        <v>15312</v>
      </c>
      <c r="G1767" s="2" t="s">
        <v>16196</v>
      </c>
      <c r="H1767" s="2" t="s">
        <v>76</v>
      </c>
      <c r="I1767" s="9">
        <v>214334516.12903199</v>
      </c>
      <c r="J1767" s="7">
        <v>6.2000000000000003E-5</v>
      </c>
      <c r="K1767" s="9">
        <v>13288.74</v>
      </c>
      <c r="L1767" s="14">
        <v>0</v>
      </c>
      <c r="M1767" s="2" t="s">
        <v>71</v>
      </c>
      <c r="N1767" s="2" t="s">
        <v>13272</v>
      </c>
      <c r="O1767" s="2" t="s">
        <v>16197</v>
      </c>
      <c r="P1767" s="9">
        <v>0</v>
      </c>
      <c r="Q1767" s="9">
        <v>0</v>
      </c>
      <c r="R1767" s="2" t="s">
        <v>15988</v>
      </c>
    </row>
    <row r="1768" spans="1:18" x14ac:dyDescent="0.25">
      <c r="A1768" s="2" t="s">
        <v>9584</v>
      </c>
      <c r="B1768" s="6">
        <v>46204</v>
      </c>
      <c r="C1768" s="8">
        <v>46204</v>
      </c>
      <c r="D1768" s="2" t="s">
        <v>7433</v>
      </c>
      <c r="E1768" s="2" t="s">
        <v>12593</v>
      </c>
      <c r="F1768" s="2" t="s">
        <v>15316</v>
      </c>
      <c r="G1768" s="2" t="s">
        <v>16198</v>
      </c>
      <c r="H1768" s="2" t="s">
        <v>70</v>
      </c>
      <c r="I1768" s="9">
        <v>20616.337385999999</v>
      </c>
      <c r="J1768" s="7">
        <v>0.65800000000000003</v>
      </c>
      <c r="K1768" s="9">
        <v>13565.55</v>
      </c>
      <c r="L1768" s="14">
        <v>0</v>
      </c>
      <c r="M1768" s="2" t="s">
        <v>71</v>
      </c>
      <c r="N1768" s="2" t="s">
        <v>13272</v>
      </c>
      <c r="O1768" s="2" t="s">
        <v>16199</v>
      </c>
      <c r="P1768" s="9">
        <v>0</v>
      </c>
      <c r="Q1768" s="9">
        <v>0</v>
      </c>
      <c r="R1768" s="2" t="s">
        <v>15991</v>
      </c>
    </row>
    <row r="1769" spans="1:18" x14ac:dyDescent="0.25">
      <c r="A1769" s="2" t="s">
        <v>9589</v>
      </c>
      <c r="B1769" s="6">
        <v>46204</v>
      </c>
      <c r="C1769" s="8">
        <v>46205</v>
      </c>
      <c r="D1769" s="2" t="s">
        <v>7433</v>
      </c>
      <c r="E1769" s="2" t="s">
        <v>12593</v>
      </c>
      <c r="F1769" s="2" t="s">
        <v>15320</v>
      </c>
      <c r="G1769" s="2" t="s">
        <v>16200</v>
      </c>
      <c r="H1769" s="2" t="s">
        <v>39</v>
      </c>
      <c r="I1769" s="9">
        <v>13842.37</v>
      </c>
      <c r="J1769" s="7">
        <v>1</v>
      </c>
      <c r="K1769" s="9">
        <v>13842.37</v>
      </c>
      <c r="L1769" s="14">
        <v>0</v>
      </c>
      <c r="M1769" s="2" t="s">
        <v>71</v>
      </c>
      <c r="N1769" s="2" t="s">
        <v>13272</v>
      </c>
      <c r="O1769" s="2" t="s">
        <v>16201</v>
      </c>
      <c r="P1769" s="9">
        <v>0</v>
      </c>
      <c r="Q1769" s="9">
        <v>0</v>
      </c>
      <c r="R1769" s="2" t="s">
        <v>15994</v>
      </c>
    </row>
    <row r="1770" spans="1:18" x14ac:dyDescent="0.25">
      <c r="A1770" s="2" t="s">
        <v>9594</v>
      </c>
      <c r="B1770" s="6">
        <v>46204</v>
      </c>
      <c r="C1770" s="8">
        <v>46206</v>
      </c>
      <c r="D1770" s="2" t="s">
        <v>7433</v>
      </c>
      <c r="E1770" s="2" t="s">
        <v>12593</v>
      </c>
      <c r="F1770" s="2" t="s">
        <v>15324</v>
      </c>
      <c r="G1770" s="2" t="s">
        <v>16202</v>
      </c>
      <c r="H1770" s="2" t="s">
        <v>76</v>
      </c>
      <c r="I1770" s="9">
        <v>227728709.67741901</v>
      </c>
      <c r="J1770" s="7">
        <v>6.2000000000000003E-5</v>
      </c>
      <c r="K1770" s="9">
        <v>14119.18</v>
      </c>
      <c r="L1770" s="14">
        <v>0</v>
      </c>
      <c r="M1770" s="2" t="s">
        <v>71</v>
      </c>
      <c r="N1770" s="2" t="s">
        <v>13272</v>
      </c>
      <c r="O1770" s="2" t="s">
        <v>16203</v>
      </c>
      <c r="P1770" s="9">
        <v>0</v>
      </c>
      <c r="Q1770" s="9">
        <v>0</v>
      </c>
      <c r="R1770" s="2" t="s">
        <v>15997</v>
      </c>
    </row>
    <row r="1771" spans="1:18" x14ac:dyDescent="0.25">
      <c r="A1771" s="2" t="s">
        <v>9599</v>
      </c>
      <c r="B1771" s="6">
        <v>46204</v>
      </c>
      <c r="C1771" s="8">
        <v>46207</v>
      </c>
      <c r="D1771" s="2" t="s">
        <v>7433</v>
      </c>
      <c r="E1771" s="2" t="s">
        <v>12593</v>
      </c>
      <c r="F1771" s="2" t="s">
        <v>15328</v>
      </c>
      <c r="G1771" s="2" t="s">
        <v>16204</v>
      </c>
      <c r="H1771" s="2" t="s">
        <v>70</v>
      </c>
      <c r="I1771" s="9">
        <v>21878.419452999999</v>
      </c>
      <c r="J1771" s="7">
        <v>0.65800000000000003</v>
      </c>
      <c r="K1771" s="9">
        <v>14396</v>
      </c>
      <c r="L1771" s="14">
        <v>0</v>
      </c>
      <c r="M1771" s="2" t="s">
        <v>71</v>
      </c>
      <c r="N1771" s="2" t="s">
        <v>13272</v>
      </c>
      <c r="O1771" s="2" t="s">
        <v>16205</v>
      </c>
      <c r="P1771" s="9">
        <v>0</v>
      </c>
      <c r="Q1771" s="9">
        <v>0</v>
      </c>
      <c r="R1771" s="2" t="s">
        <v>16000</v>
      </c>
    </row>
    <row r="1772" spans="1:18" x14ac:dyDescent="0.25">
      <c r="A1772" s="2" t="s">
        <v>9604</v>
      </c>
      <c r="B1772" s="6">
        <v>46204</v>
      </c>
      <c r="C1772" s="8">
        <v>46208</v>
      </c>
      <c r="D1772" s="2" t="s">
        <v>7433</v>
      </c>
      <c r="E1772" s="2" t="s">
        <v>12593</v>
      </c>
      <c r="F1772" s="2" t="s">
        <v>15332</v>
      </c>
      <c r="G1772" s="2" t="s">
        <v>16206</v>
      </c>
      <c r="H1772" s="2" t="s">
        <v>39</v>
      </c>
      <c r="I1772" s="9">
        <v>14672.82</v>
      </c>
      <c r="J1772" s="7">
        <v>1</v>
      </c>
      <c r="K1772" s="9">
        <v>14672.82</v>
      </c>
      <c r="L1772" s="14">
        <v>0</v>
      </c>
      <c r="M1772" s="2" t="s">
        <v>71</v>
      </c>
      <c r="N1772" s="2" t="s">
        <v>13272</v>
      </c>
      <c r="O1772" s="2" t="s">
        <v>16207</v>
      </c>
      <c r="P1772" s="9">
        <v>0</v>
      </c>
      <c r="Q1772" s="9">
        <v>0</v>
      </c>
      <c r="R1772" s="2" t="s">
        <v>16003</v>
      </c>
    </row>
    <row r="1773" spans="1:18" x14ac:dyDescent="0.25">
      <c r="A1773" s="2" t="s">
        <v>9609</v>
      </c>
      <c r="B1773" s="6">
        <v>46204</v>
      </c>
      <c r="C1773" s="8">
        <v>46209</v>
      </c>
      <c r="D1773" s="2" t="s">
        <v>7433</v>
      </c>
      <c r="E1773" s="2" t="s">
        <v>12593</v>
      </c>
      <c r="F1773" s="2" t="s">
        <v>15336</v>
      </c>
      <c r="G1773" s="2" t="s">
        <v>16208</v>
      </c>
      <c r="H1773" s="2" t="s">
        <v>76</v>
      </c>
      <c r="I1773" s="9">
        <v>241123064.51612899</v>
      </c>
      <c r="J1773" s="7">
        <v>6.2000000000000003E-5</v>
      </c>
      <c r="K1773" s="9">
        <v>14949.63</v>
      </c>
      <c r="L1773" s="14">
        <v>0</v>
      </c>
      <c r="M1773" s="2" t="s">
        <v>71</v>
      </c>
      <c r="N1773" s="2" t="s">
        <v>13272</v>
      </c>
      <c r="O1773" s="2" t="s">
        <v>16209</v>
      </c>
      <c r="P1773" s="9">
        <v>0</v>
      </c>
      <c r="Q1773" s="9">
        <v>0</v>
      </c>
      <c r="R1773" s="2" t="s">
        <v>16006</v>
      </c>
    </row>
    <row r="1774" spans="1:18" x14ac:dyDescent="0.25">
      <c r="A1774" s="2" t="s">
        <v>9614</v>
      </c>
      <c r="B1774" s="6">
        <v>46204</v>
      </c>
      <c r="C1774" s="8">
        <v>46210</v>
      </c>
      <c r="D1774" s="2" t="s">
        <v>7433</v>
      </c>
      <c r="E1774" s="2" t="s">
        <v>12593</v>
      </c>
      <c r="F1774" s="2" t="s">
        <v>15300</v>
      </c>
      <c r="G1774" s="2" t="s">
        <v>16210</v>
      </c>
      <c r="H1774" s="2" t="s">
        <v>70</v>
      </c>
      <c r="I1774" s="9">
        <v>23140.501520000002</v>
      </c>
      <c r="J1774" s="7">
        <v>0.65800000000000003</v>
      </c>
      <c r="K1774" s="9">
        <v>15226.45</v>
      </c>
      <c r="L1774" s="14">
        <v>0</v>
      </c>
      <c r="M1774" s="2" t="s">
        <v>71</v>
      </c>
      <c r="N1774" s="2" t="s">
        <v>13272</v>
      </c>
      <c r="O1774" s="2" t="s">
        <v>16211</v>
      </c>
      <c r="P1774" s="9">
        <v>0</v>
      </c>
      <c r="Q1774" s="9">
        <v>0</v>
      </c>
      <c r="R1774" s="2" t="s">
        <v>16009</v>
      </c>
    </row>
    <row r="1775" spans="1:18" x14ac:dyDescent="0.25">
      <c r="A1775" s="2" t="s">
        <v>9619</v>
      </c>
      <c r="B1775" s="6">
        <v>46204</v>
      </c>
      <c r="C1775" s="8">
        <v>46211</v>
      </c>
      <c r="D1775" s="2" t="s">
        <v>7433</v>
      </c>
      <c r="E1775" s="2" t="s">
        <v>12593</v>
      </c>
      <c r="F1775" s="2" t="s">
        <v>15304</v>
      </c>
      <c r="G1775" s="2" t="s">
        <v>16212</v>
      </c>
      <c r="H1775" s="2" t="s">
        <v>39</v>
      </c>
      <c r="I1775" s="9">
        <v>15503.26</v>
      </c>
      <c r="J1775" s="7">
        <v>1</v>
      </c>
      <c r="K1775" s="9">
        <v>15503.26</v>
      </c>
      <c r="L1775" s="14">
        <v>0</v>
      </c>
      <c r="M1775" s="2" t="s">
        <v>71</v>
      </c>
      <c r="N1775" s="2" t="s">
        <v>13272</v>
      </c>
      <c r="O1775" s="2" t="s">
        <v>16213</v>
      </c>
      <c r="P1775" s="9">
        <v>0</v>
      </c>
      <c r="Q1775" s="9">
        <v>0</v>
      </c>
      <c r="R1775" s="2" t="s">
        <v>16012</v>
      </c>
    </row>
    <row r="1776" spans="1:18" x14ac:dyDescent="0.25">
      <c r="A1776" s="2" t="s">
        <v>9624</v>
      </c>
      <c r="B1776" s="6">
        <v>46204</v>
      </c>
      <c r="C1776" s="8">
        <v>46212</v>
      </c>
      <c r="D1776" s="2" t="s">
        <v>7433</v>
      </c>
      <c r="E1776" s="2" t="s">
        <v>12593</v>
      </c>
      <c r="F1776" s="2" t="s">
        <v>15308</v>
      </c>
      <c r="G1776" s="2" t="s">
        <v>16214</v>
      </c>
      <c r="H1776" s="2" t="s">
        <v>76</v>
      </c>
      <c r="I1776" s="9">
        <v>254517419.354839</v>
      </c>
      <c r="J1776" s="7">
        <v>6.2000000000000003E-5</v>
      </c>
      <c r="K1776" s="9">
        <v>15780.08</v>
      </c>
      <c r="L1776" s="14">
        <v>0</v>
      </c>
      <c r="M1776" s="2" t="s">
        <v>71</v>
      </c>
      <c r="N1776" s="2" t="s">
        <v>13272</v>
      </c>
      <c r="O1776" s="2" t="s">
        <v>16215</v>
      </c>
      <c r="P1776" s="9">
        <v>0</v>
      </c>
      <c r="Q1776" s="9">
        <v>0</v>
      </c>
      <c r="R1776" s="2" t="s">
        <v>16015</v>
      </c>
    </row>
    <row r="1777" spans="1:18" x14ac:dyDescent="0.25">
      <c r="A1777" s="2" t="s">
        <v>9629</v>
      </c>
      <c r="B1777" s="6">
        <v>46204</v>
      </c>
      <c r="C1777" s="8">
        <v>46213</v>
      </c>
      <c r="D1777" s="2" t="s">
        <v>7433</v>
      </c>
      <c r="E1777" s="2" t="s">
        <v>12593</v>
      </c>
      <c r="F1777" s="2" t="s">
        <v>15312</v>
      </c>
      <c r="G1777" s="2" t="s">
        <v>16216</v>
      </c>
      <c r="H1777" s="2" t="s">
        <v>70</v>
      </c>
      <c r="I1777" s="9">
        <v>24402.583587000001</v>
      </c>
      <c r="J1777" s="7">
        <v>0.65800000000000003</v>
      </c>
      <c r="K1777" s="9">
        <v>16056.9</v>
      </c>
      <c r="L1777" s="14">
        <v>0</v>
      </c>
      <c r="M1777" s="2" t="s">
        <v>71</v>
      </c>
      <c r="N1777" s="2" t="s">
        <v>13272</v>
      </c>
      <c r="O1777" s="2" t="s">
        <v>16217</v>
      </c>
      <c r="P1777" s="9">
        <v>0</v>
      </c>
      <c r="Q1777" s="9">
        <v>0</v>
      </c>
      <c r="R1777" s="2" t="s">
        <v>15988</v>
      </c>
    </row>
    <row r="1778" spans="1:18" x14ac:dyDescent="0.25">
      <c r="A1778" s="2" t="s">
        <v>9634</v>
      </c>
      <c r="B1778" s="6">
        <v>46204</v>
      </c>
      <c r="C1778" s="8">
        <v>46214</v>
      </c>
      <c r="D1778" s="2" t="s">
        <v>7433</v>
      </c>
      <c r="E1778" s="2" t="s">
        <v>12593</v>
      </c>
      <c r="F1778" s="2" t="s">
        <v>15316</v>
      </c>
      <c r="G1778" s="2" t="s">
        <v>16218</v>
      </c>
      <c r="H1778" s="2" t="s">
        <v>39</v>
      </c>
      <c r="I1778" s="9">
        <v>16333.71</v>
      </c>
      <c r="J1778" s="7">
        <v>1</v>
      </c>
      <c r="K1778" s="9">
        <v>16333.71</v>
      </c>
      <c r="L1778" s="14">
        <v>0</v>
      </c>
      <c r="M1778" s="2" t="s">
        <v>71</v>
      </c>
      <c r="N1778" s="2" t="s">
        <v>13272</v>
      </c>
      <c r="O1778" s="2" t="s">
        <v>16219</v>
      </c>
      <c r="P1778" s="9">
        <v>0</v>
      </c>
      <c r="Q1778" s="9">
        <v>0</v>
      </c>
      <c r="R1778" s="2" t="s">
        <v>15991</v>
      </c>
    </row>
    <row r="1779" spans="1:18" x14ac:dyDescent="0.25">
      <c r="A1779" s="2" t="s">
        <v>9639</v>
      </c>
      <c r="B1779" s="6">
        <v>46204</v>
      </c>
      <c r="C1779" s="8">
        <v>46215</v>
      </c>
      <c r="D1779" s="2" t="s">
        <v>7433</v>
      </c>
      <c r="E1779" s="2" t="s">
        <v>12593</v>
      </c>
      <c r="F1779" s="2" t="s">
        <v>15320</v>
      </c>
      <c r="G1779" s="2" t="s">
        <v>16220</v>
      </c>
      <c r="H1779" s="2" t="s">
        <v>76</v>
      </c>
      <c r="I1779" s="9">
        <v>267911774.19354799</v>
      </c>
      <c r="J1779" s="7">
        <v>6.2000000000000003E-5</v>
      </c>
      <c r="K1779" s="9">
        <v>16610.53</v>
      </c>
      <c r="L1779" s="14">
        <v>0</v>
      </c>
      <c r="M1779" s="2" t="s">
        <v>71</v>
      </c>
      <c r="N1779" s="2" t="s">
        <v>13272</v>
      </c>
      <c r="O1779" s="2" t="s">
        <v>16221</v>
      </c>
      <c r="P1779" s="9">
        <v>0</v>
      </c>
      <c r="Q1779" s="9">
        <v>0</v>
      </c>
      <c r="R1779" s="2" t="s">
        <v>15994</v>
      </c>
    </row>
    <row r="1780" spans="1:18" x14ac:dyDescent="0.25">
      <c r="A1780" s="2" t="s">
        <v>9644</v>
      </c>
      <c r="B1780" s="6">
        <v>46204</v>
      </c>
      <c r="C1780" s="8">
        <v>46216</v>
      </c>
      <c r="D1780" s="2" t="s">
        <v>7433</v>
      </c>
      <c r="E1780" s="2" t="s">
        <v>12593</v>
      </c>
      <c r="F1780" s="2" t="s">
        <v>15324</v>
      </c>
      <c r="G1780" s="2" t="s">
        <v>16222</v>
      </c>
      <c r="H1780" s="2" t="s">
        <v>70</v>
      </c>
      <c r="I1780" s="9">
        <v>25664.665653</v>
      </c>
      <c r="J1780" s="7">
        <v>0.65800000000000003</v>
      </c>
      <c r="K1780" s="9">
        <v>16887.349999999999</v>
      </c>
      <c r="L1780" s="14">
        <v>0</v>
      </c>
      <c r="M1780" s="2" t="s">
        <v>71</v>
      </c>
      <c r="N1780" s="2" t="s">
        <v>13272</v>
      </c>
      <c r="O1780" s="2" t="s">
        <v>16223</v>
      </c>
      <c r="P1780" s="9">
        <v>0</v>
      </c>
      <c r="Q1780" s="9">
        <v>0</v>
      </c>
      <c r="R1780" s="2" t="s">
        <v>15997</v>
      </c>
    </row>
    <row r="1781" spans="1:18" x14ac:dyDescent="0.25">
      <c r="A1781" s="2" t="s">
        <v>9649</v>
      </c>
      <c r="B1781" s="6">
        <v>46204</v>
      </c>
      <c r="C1781" s="8">
        <v>46217</v>
      </c>
      <c r="D1781" s="2" t="s">
        <v>7433</v>
      </c>
      <c r="E1781" s="2" t="s">
        <v>12593</v>
      </c>
      <c r="F1781" s="2" t="s">
        <v>15328</v>
      </c>
      <c r="G1781" s="2" t="s">
        <v>16224</v>
      </c>
      <c r="H1781" s="2" t="s">
        <v>39</v>
      </c>
      <c r="I1781" s="9">
        <v>17164.16</v>
      </c>
      <c r="J1781" s="7">
        <v>1</v>
      </c>
      <c r="K1781" s="9">
        <v>17164.16</v>
      </c>
      <c r="L1781" s="14">
        <v>0</v>
      </c>
      <c r="M1781" s="2" t="s">
        <v>71</v>
      </c>
      <c r="N1781" s="2" t="s">
        <v>13272</v>
      </c>
      <c r="O1781" s="2" t="s">
        <v>16225</v>
      </c>
      <c r="P1781" s="9">
        <v>0</v>
      </c>
      <c r="Q1781" s="9">
        <v>0</v>
      </c>
      <c r="R1781" s="2" t="s">
        <v>16000</v>
      </c>
    </row>
    <row r="1782" spans="1:18" x14ac:dyDescent="0.25">
      <c r="A1782" s="2" t="s">
        <v>9654</v>
      </c>
      <c r="B1782" s="6">
        <v>46204</v>
      </c>
      <c r="C1782" s="8">
        <v>46218</v>
      </c>
      <c r="D1782" s="2" t="s">
        <v>7433</v>
      </c>
      <c r="E1782" s="2" t="s">
        <v>12593</v>
      </c>
      <c r="F1782" s="2" t="s">
        <v>15332</v>
      </c>
      <c r="G1782" s="2" t="s">
        <v>16226</v>
      </c>
      <c r="H1782" s="2" t="s">
        <v>76</v>
      </c>
      <c r="I1782" s="9">
        <v>281306129.03225797</v>
      </c>
      <c r="J1782" s="7">
        <v>6.2000000000000003E-5</v>
      </c>
      <c r="K1782" s="9">
        <v>17440.98</v>
      </c>
      <c r="L1782" s="14">
        <v>0</v>
      </c>
      <c r="M1782" s="2" t="s">
        <v>71</v>
      </c>
      <c r="N1782" s="2" t="s">
        <v>13272</v>
      </c>
      <c r="O1782" s="2" t="s">
        <v>16227</v>
      </c>
      <c r="P1782" s="9">
        <v>0</v>
      </c>
      <c r="Q1782" s="9">
        <v>0</v>
      </c>
      <c r="R1782" s="2" t="s">
        <v>16003</v>
      </c>
    </row>
    <row r="1783" spans="1:18" x14ac:dyDescent="0.25">
      <c r="A1783" s="2" t="s">
        <v>9659</v>
      </c>
      <c r="B1783" s="6">
        <v>46204</v>
      </c>
      <c r="C1783" s="8">
        <v>46219</v>
      </c>
      <c r="D1783" s="2" t="s">
        <v>7433</v>
      </c>
      <c r="E1783" s="2" t="s">
        <v>12593</v>
      </c>
      <c r="F1783" s="2" t="s">
        <v>15336</v>
      </c>
      <c r="G1783" s="2" t="s">
        <v>16228</v>
      </c>
      <c r="H1783" s="2" t="s">
        <v>70</v>
      </c>
      <c r="I1783" s="9">
        <v>26926.732522999999</v>
      </c>
      <c r="J1783" s="7">
        <v>0.65800000000000003</v>
      </c>
      <c r="K1783" s="9">
        <v>17717.79</v>
      </c>
      <c r="L1783" s="14">
        <v>0</v>
      </c>
      <c r="M1783" s="2" t="s">
        <v>71</v>
      </c>
      <c r="N1783" s="2" t="s">
        <v>13272</v>
      </c>
      <c r="O1783" s="2" t="s">
        <v>16229</v>
      </c>
      <c r="P1783" s="9">
        <v>0</v>
      </c>
      <c r="Q1783" s="9">
        <v>0</v>
      </c>
      <c r="R1783" s="2" t="s">
        <v>16006</v>
      </c>
    </row>
    <row r="1784" spans="1:18" x14ac:dyDescent="0.25">
      <c r="A1784" s="2" t="s">
        <v>9664</v>
      </c>
      <c r="B1784" s="6">
        <v>46204</v>
      </c>
      <c r="C1784" s="8">
        <v>46220</v>
      </c>
      <c r="D1784" s="2" t="s">
        <v>7433</v>
      </c>
      <c r="E1784" s="2" t="s">
        <v>12593</v>
      </c>
      <c r="F1784" s="2" t="s">
        <v>15300</v>
      </c>
      <c r="G1784" s="2" t="s">
        <v>16230</v>
      </c>
      <c r="H1784" s="2" t="s">
        <v>39</v>
      </c>
      <c r="I1784" s="9">
        <v>-17994.61</v>
      </c>
      <c r="J1784" s="7">
        <v>1</v>
      </c>
      <c r="K1784" s="9">
        <v>-17994.61</v>
      </c>
      <c r="L1784" s="14">
        <v>0</v>
      </c>
      <c r="M1784" s="2" t="s">
        <v>71</v>
      </c>
      <c r="N1784" s="2" t="s">
        <v>13272</v>
      </c>
      <c r="O1784" s="2" t="s">
        <v>16231</v>
      </c>
      <c r="P1784" s="9">
        <v>0</v>
      </c>
      <c r="Q1784" s="9">
        <v>0</v>
      </c>
      <c r="R1784" s="2" t="s">
        <v>16009</v>
      </c>
    </row>
    <row r="1785" spans="1:18" x14ac:dyDescent="0.25">
      <c r="A1785" s="2" t="s">
        <v>9667</v>
      </c>
      <c r="B1785" s="6">
        <v>46204</v>
      </c>
      <c r="C1785" s="8">
        <v>46221</v>
      </c>
      <c r="D1785" s="2" t="s">
        <v>7433</v>
      </c>
      <c r="E1785" s="2" t="s">
        <v>12593</v>
      </c>
      <c r="F1785" s="2" t="s">
        <v>15304</v>
      </c>
      <c r="G1785" s="2" t="s">
        <v>16232</v>
      </c>
      <c r="H1785" s="2" t="s">
        <v>76</v>
      </c>
      <c r="I1785" s="9">
        <v>294700322.58064502</v>
      </c>
      <c r="J1785" s="7">
        <v>6.2000000000000003E-5</v>
      </c>
      <c r="K1785" s="9">
        <v>18271.419999999998</v>
      </c>
      <c r="L1785" s="14">
        <v>0</v>
      </c>
      <c r="M1785" s="2" t="s">
        <v>71</v>
      </c>
      <c r="N1785" s="2" t="s">
        <v>13272</v>
      </c>
      <c r="O1785" s="2" t="s">
        <v>16233</v>
      </c>
      <c r="P1785" s="9">
        <v>0</v>
      </c>
      <c r="Q1785" s="9">
        <v>0</v>
      </c>
      <c r="R1785" s="2" t="s">
        <v>16012</v>
      </c>
    </row>
    <row r="1786" spans="1:18" x14ac:dyDescent="0.25">
      <c r="A1786" s="2" t="s">
        <v>9672</v>
      </c>
      <c r="B1786" s="6">
        <v>46204</v>
      </c>
      <c r="C1786" s="8">
        <v>46222</v>
      </c>
      <c r="D1786" s="2" t="s">
        <v>7433</v>
      </c>
      <c r="E1786" s="2" t="s">
        <v>12593</v>
      </c>
      <c r="F1786" s="2" t="s">
        <v>15308</v>
      </c>
      <c r="G1786" s="2" t="s">
        <v>16234</v>
      </c>
      <c r="H1786" s="2" t="s">
        <v>70</v>
      </c>
      <c r="I1786" s="9">
        <v>28188.814590000002</v>
      </c>
      <c r="J1786" s="7">
        <v>0.65800000000000003</v>
      </c>
      <c r="K1786" s="9">
        <v>18548.240000000002</v>
      </c>
      <c r="L1786" s="14">
        <v>0</v>
      </c>
      <c r="M1786" s="2" t="s">
        <v>71</v>
      </c>
      <c r="N1786" s="2" t="s">
        <v>13272</v>
      </c>
      <c r="O1786" s="2" t="s">
        <v>16235</v>
      </c>
      <c r="P1786" s="9">
        <v>0</v>
      </c>
      <c r="Q1786" s="9">
        <v>0</v>
      </c>
      <c r="R1786" s="2" t="s">
        <v>16015</v>
      </c>
    </row>
    <row r="1787" spans="1:18" x14ac:dyDescent="0.25">
      <c r="A1787" s="2" t="s">
        <v>9677</v>
      </c>
      <c r="B1787" s="6">
        <v>46204</v>
      </c>
      <c r="C1787" s="8">
        <v>46223</v>
      </c>
      <c r="D1787" s="2" t="s">
        <v>7433</v>
      </c>
      <c r="E1787" s="2" t="s">
        <v>12593</v>
      </c>
      <c r="F1787" s="2" t="s">
        <v>15312</v>
      </c>
      <c r="G1787" s="2" t="s">
        <v>16236</v>
      </c>
      <c r="H1787" s="2" t="s">
        <v>39</v>
      </c>
      <c r="I1787" s="9">
        <v>18825.060000000001</v>
      </c>
      <c r="J1787" s="7">
        <v>1</v>
      </c>
      <c r="K1787" s="9">
        <v>18825.060000000001</v>
      </c>
      <c r="L1787" s="14">
        <v>0</v>
      </c>
      <c r="M1787" s="2" t="s">
        <v>71</v>
      </c>
      <c r="N1787" s="2" t="s">
        <v>13272</v>
      </c>
      <c r="O1787" s="2" t="s">
        <v>16237</v>
      </c>
      <c r="P1787" s="9">
        <v>0</v>
      </c>
      <c r="Q1787" s="9">
        <v>0</v>
      </c>
      <c r="R1787" s="2" t="s">
        <v>15988</v>
      </c>
    </row>
    <row r="1788" spans="1:18" x14ac:dyDescent="0.25">
      <c r="A1788" s="2" t="s">
        <v>9682</v>
      </c>
      <c r="B1788" s="6">
        <v>46204</v>
      </c>
      <c r="C1788" s="8">
        <v>46224</v>
      </c>
      <c r="D1788" s="2" t="s">
        <v>7433</v>
      </c>
      <c r="E1788" s="2" t="s">
        <v>12593</v>
      </c>
      <c r="F1788" s="2" t="s">
        <v>15316</v>
      </c>
      <c r="G1788" s="2" t="s">
        <v>16238</v>
      </c>
      <c r="H1788" s="2" t="s">
        <v>76</v>
      </c>
      <c r="I1788" s="9">
        <v>308094677.41935498</v>
      </c>
      <c r="J1788" s="7">
        <v>6.2000000000000003E-5</v>
      </c>
      <c r="K1788" s="9">
        <v>19101.87</v>
      </c>
      <c r="L1788" s="14">
        <v>0</v>
      </c>
      <c r="M1788" s="2" t="s">
        <v>71</v>
      </c>
      <c r="N1788" s="2" t="s">
        <v>13272</v>
      </c>
      <c r="O1788" s="2" t="s">
        <v>16239</v>
      </c>
      <c r="P1788" s="9">
        <v>0</v>
      </c>
      <c r="Q1788" s="9">
        <v>0</v>
      </c>
      <c r="R1788" s="2" t="s">
        <v>15991</v>
      </c>
    </row>
    <row r="1789" spans="1:18" x14ac:dyDescent="0.25">
      <c r="A1789" s="2" t="s">
        <v>9687</v>
      </c>
      <c r="B1789" s="6">
        <v>46204</v>
      </c>
      <c r="C1789" s="8">
        <v>46225</v>
      </c>
      <c r="D1789" s="2" t="s">
        <v>7433</v>
      </c>
      <c r="E1789" s="2" t="s">
        <v>12593</v>
      </c>
      <c r="F1789" s="2" t="s">
        <v>15320</v>
      </c>
      <c r="G1789" s="2" t="s">
        <v>16240</v>
      </c>
      <c r="H1789" s="2" t="s">
        <v>70</v>
      </c>
      <c r="I1789" s="9">
        <v>29450.896657000001</v>
      </c>
      <c r="J1789" s="7">
        <v>0.65800000000000003</v>
      </c>
      <c r="K1789" s="9">
        <v>19378.689999999999</v>
      </c>
      <c r="L1789" s="14">
        <v>0</v>
      </c>
      <c r="M1789" s="2" t="s">
        <v>71</v>
      </c>
      <c r="N1789" s="2" t="s">
        <v>13272</v>
      </c>
      <c r="O1789" s="2" t="s">
        <v>16241</v>
      </c>
      <c r="P1789" s="9">
        <v>0</v>
      </c>
      <c r="Q1789" s="9">
        <v>0</v>
      </c>
      <c r="R1789" s="2" t="s">
        <v>15994</v>
      </c>
    </row>
    <row r="1790" spans="1:18" x14ac:dyDescent="0.25">
      <c r="A1790" s="2" t="s">
        <v>9692</v>
      </c>
      <c r="B1790" s="6">
        <v>46204</v>
      </c>
      <c r="C1790" s="8">
        <v>46226</v>
      </c>
      <c r="D1790" s="2" t="s">
        <v>7433</v>
      </c>
      <c r="E1790" s="2" t="s">
        <v>12593</v>
      </c>
      <c r="F1790" s="2" t="s">
        <v>15324</v>
      </c>
      <c r="G1790" s="2" t="s">
        <v>16242</v>
      </c>
      <c r="H1790" s="2" t="s">
        <v>39</v>
      </c>
      <c r="I1790" s="9">
        <v>19655.5</v>
      </c>
      <c r="J1790" s="7">
        <v>1</v>
      </c>
      <c r="K1790" s="9">
        <v>19655.5</v>
      </c>
      <c r="L1790" s="14">
        <v>0</v>
      </c>
      <c r="M1790" s="2" t="s">
        <v>71</v>
      </c>
      <c r="N1790" s="2" t="s">
        <v>13272</v>
      </c>
      <c r="O1790" s="2" t="s">
        <v>16243</v>
      </c>
      <c r="P1790" s="9">
        <v>0</v>
      </c>
      <c r="Q1790" s="9">
        <v>0</v>
      </c>
      <c r="R1790" s="2" t="s">
        <v>15997</v>
      </c>
    </row>
    <row r="1791" spans="1:18" x14ac:dyDescent="0.25">
      <c r="A1791" s="2" t="s">
        <v>9697</v>
      </c>
      <c r="B1791" s="6">
        <v>46204</v>
      </c>
      <c r="C1791" s="8">
        <v>46227</v>
      </c>
      <c r="D1791" s="2" t="s">
        <v>7433</v>
      </c>
      <c r="E1791" s="2" t="s">
        <v>12593</v>
      </c>
      <c r="F1791" s="2" t="s">
        <v>15328</v>
      </c>
      <c r="G1791" s="2" t="s">
        <v>16244</v>
      </c>
      <c r="H1791" s="2" t="s">
        <v>76</v>
      </c>
      <c r="I1791" s="9">
        <v>321489032.25806499</v>
      </c>
      <c r="J1791" s="7">
        <v>6.2000000000000003E-5</v>
      </c>
      <c r="K1791" s="9">
        <v>19932.32</v>
      </c>
      <c r="L1791" s="14">
        <v>0</v>
      </c>
      <c r="M1791" s="2" t="s">
        <v>71</v>
      </c>
      <c r="N1791" s="2" t="s">
        <v>13272</v>
      </c>
      <c r="O1791" s="2" t="s">
        <v>16245</v>
      </c>
      <c r="P1791" s="9">
        <v>0</v>
      </c>
      <c r="Q1791" s="9">
        <v>0</v>
      </c>
      <c r="R1791" s="2" t="s">
        <v>16000</v>
      </c>
    </row>
    <row r="1792" spans="1:18" x14ac:dyDescent="0.25">
      <c r="A1792" s="2" t="s">
        <v>9702</v>
      </c>
      <c r="B1792" s="6">
        <v>46204</v>
      </c>
      <c r="C1792" s="8">
        <v>46228</v>
      </c>
      <c r="D1792" s="2" t="s">
        <v>7433</v>
      </c>
      <c r="E1792" s="2" t="s">
        <v>12593</v>
      </c>
      <c r="F1792" s="2" t="s">
        <v>15332</v>
      </c>
      <c r="G1792" s="2" t="s">
        <v>16246</v>
      </c>
      <c r="H1792" s="2" t="s">
        <v>70</v>
      </c>
      <c r="I1792" s="9">
        <v>30712.963526</v>
      </c>
      <c r="J1792" s="7">
        <v>0.65800000000000003</v>
      </c>
      <c r="K1792" s="9">
        <v>20209.13</v>
      </c>
      <c r="L1792" s="14">
        <v>0</v>
      </c>
      <c r="M1792" s="2" t="s">
        <v>71</v>
      </c>
      <c r="N1792" s="2" t="s">
        <v>13272</v>
      </c>
      <c r="O1792" s="2" t="s">
        <v>16247</v>
      </c>
      <c r="P1792" s="9">
        <v>0</v>
      </c>
      <c r="Q1792" s="9">
        <v>0</v>
      </c>
      <c r="R1792" s="2" t="s">
        <v>16003</v>
      </c>
    </row>
    <row r="1793" spans="1:18" x14ac:dyDescent="0.25">
      <c r="A1793" s="2" t="s">
        <v>9707</v>
      </c>
      <c r="B1793" s="6">
        <v>46204</v>
      </c>
      <c r="C1793" s="8">
        <v>46229</v>
      </c>
      <c r="D1793" s="2" t="s">
        <v>7433</v>
      </c>
      <c r="E1793" s="2" t="s">
        <v>12593</v>
      </c>
      <c r="F1793" s="2" t="s">
        <v>15336</v>
      </c>
      <c r="G1793" s="2" t="s">
        <v>16248</v>
      </c>
      <c r="H1793" s="2" t="s">
        <v>39</v>
      </c>
      <c r="I1793" s="9">
        <v>20485.95</v>
      </c>
      <c r="J1793" s="7">
        <v>1</v>
      </c>
      <c r="K1793" s="9">
        <v>20485.95</v>
      </c>
      <c r="L1793" s="14">
        <v>0</v>
      </c>
      <c r="M1793" s="2" t="s">
        <v>71</v>
      </c>
      <c r="N1793" s="2" t="s">
        <v>13272</v>
      </c>
      <c r="O1793" s="2" t="s">
        <v>16249</v>
      </c>
      <c r="P1793" s="9">
        <v>0</v>
      </c>
      <c r="Q1793" s="9">
        <v>0</v>
      </c>
      <c r="R1793" s="2" t="s">
        <v>16006</v>
      </c>
    </row>
    <row r="1794" spans="1:18" x14ac:dyDescent="0.25">
      <c r="A1794" s="2" t="s">
        <v>9712</v>
      </c>
      <c r="B1794" s="6">
        <v>46204</v>
      </c>
      <c r="C1794" s="8">
        <v>46230</v>
      </c>
      <c r="D1794" s="2" t="s">
        <v>7433</v>
      </c>
      <c r="E1794" s="2" t="s">
        <v>12593</v>
      </c>
      <c r="F1794" s="2" t="s">
        <v>15300</v>
      </c>
      <c r="G1794" s="2" t="s">
        <v>16250</v>
      </c>
      <c r="H1794" s="2" t="s">
        <v>76</v>
      </c>
      <c r="I1794" s="9">
        <v>334883387.09677398</v>
      </c>
      <c r="J1794" s="7">
        <v>6.2000000000000003E-5</v>
      </c>
      <c r="K1794" s="9">
        <v>20762.77</v>
      </c>
      <c r="L1794" s="14">
        <v>0</v>
      </c>
      <c r="M1794" s="2" t="s">
        <v>71</v>
      </c>
      <c r="N1794" s="2" t="s">
        <v>13272</v>
      </c>
      <c r="O1794" s="2" t="s">
        <v>16251</v>
      </c>
      <c r="P1794" s="9">
        <v>0</v>
      </c>
      <c r="Q1794" s="9">
        <v>0</v>
      </c>
      <c r="R1794" s="2" t="s">
        <v>16009</v>
      </c>
    </row>
    <row r="1795" spans="1:18" x14ac:dyDescent="0.25">
      <c r="A1795" s="2" t="s">
        <v>9717</v>
      </c>
      <c r="B1795" s="6">
        <v>46204</v>
      </c>
      <c r="C1795" s="8">
        <v>46231</v>
      </c>
      <c r="D1795" s="2" t="s">
        <v>7433</v>
      </c>
      <c r="E1795" s="2" t="s">
        <v>12593</v>
      </c>
      <c r="F1795" s="2" t="s">
        <v>15304</v>
      </c>
      <c r="G1795" s="2" t="s">
        <v>16252</v>
      </c>
      <c r="H1795" s="2" t="s">
        <v>70</v>
      </c>
      <c r="I1795" s="9">
        <v>31975.045592999999</v>
      </c>
      <c r="J1795" s="7">
        <v>0.65800000000000003</v>
      </c>
      <c r="K1795" s="9">
        <v>21039.58</v>
      </c>
      <c r="L1795" s="14">
        <v>0</v>
      </c>
      <c r="M1795" s="2" t="s">
        <v>71</v>
      </c>
      <c r="N1795" s="2" t="s">
        <v>13272</v>
      </c>
      <c r="O1795" s="2" t="s">
        <v>16253</v>
      </c>
      <c r="P1795" s="9">
        <v>0</v>
      </c>
      <c r="Q1795" s="9">
        <v>0</v>
      </c>
      <c r="R1795" s="2" t="s">
        <v>16012</v>
      </c>
    </row>
    <row r="1796" spans="1:18" x14ac:dyDescent="0.25">
      <c r="A1796" s="2" t="s">
        <v>9722</v>
      </c>
      <c r="B1796" s="6">
        <v>46204</v>
      </c>
      <c r="C1796" s="8">
        <v>46232</v>
      </c>
      <c r="D1796" s="2" t="s">
        <v>7433</v>
      </c>
      <c r="E1796" s="2" t="s">
        <v>12593</v>
      </c>
      <c r="F1796" s="2" t="s">
        <v>15308</v>
      </c>
      <c r="G1796" s="2" t="s">
        <v>16254</v>
      </c>
      <c r="H1796" s="2" t="s">
        <v>39</v>
      </c>
      <c r="I1796" s="9">
        <v>21316.400000000001</v>
      </c>
      <c r="J1796" s="7">
        <v>1</v>
      </c>
      <c r="K1796" s="9">
        <v>21316.400000000001</v>
      </c>
      <c r="L1796" s="14">
        <v>0</v>
      </c>
      <c r="M1796" s="2" t="s">
        <v>71</v>
      </c>
      <c r="N1796" s="2" t="s">
        <v>13272</v>
      </c>
      <c r="O1796" s="2" t="s">
        <v>16255</v>
      </c>
      <c r="P1796" s="9">
        <v>0</v>
      </c>
      <c r="Q1796" s="9">
        <v>0</v>
      </c>
      <c r="R1796" s="2" t="s">
        <v>16015</v>
      </c>
    </row>
    <row r="1797" spans="1:18" x14ac:dyDescent="0.25">
      <c r="A1797" s="2" t="s">
        <v>9727</v>
      </c>
      <c r="B1797" s="6">
        <v>46204</v>
      </c>
      <c r="C1797" s="8">
        <v>46233</v>
      </c>
      <c r="D1797" s="2" t="s">
        <v>7433</v>
      </c>
      <c r="E1797" s="2" t="s">
        <v>12593</v>
      </c>
      <c r="F1797" s="2" t="s">
        <v>15312</v>
      </c>
      <c r="G1797" s="2" t="s">
        <v>16256</v>
      </c>
      <c r="H1797" s="2" t="s">
        <v>76</v>
      </c>
      <c r="I1797" s="9">
        <v>348277741.93548399</v>
      </c>
      <c r="J1797" s="7">
        <v>6.2000000000000003E-5</v>
      </c>
      <c r="K1797" s="9">
        <v>21593.22</v>
      </c>
      <c r="L1797" s="14">
        <v>0</v>
      </c>
      <c r="M1797" s="2" t="s">
        <v>71</v>
      </c>
      <c r="N1797" s="2" t="s">
        <v>13272</v>
      </c>
      <c r="O1797" s="2" t="s">
        <v>16257</v>
      </c>
      <c r="P1797" s="9">
        <v>0</v>
      </c>
      <c r="Q1797" s="9">
        <v>0</v>
      </c>
      <c r="R1797" s="2" t="s">
        <v>15988</v>
      </c>
    </row>
    <row r="1798" spans="1:18" x14ac:dyDescent="0.25">
      <c r="A1798" s="2" t="s">
        <v>9732</v>
      </c>
      <c r="B1798" s="6">
        <v>46204</v>
      </c>
      <c r="C1798" s="8">
        <v>46234</v>
      </c>
      <c r="D1798" s="2" t="s">
        <v>7433</v>
      </c>
      <c r="E1798" s="2" t="s">
        <v>12593</v>
      </c>
      <c r="F1798" s="2" t="s">
        <v>15316</v>
      </c>
      <c r="G1798" s="2" t="s">
        <v>16258</v>
      </c>
      <c r="H1798" s="2" t="s">
        <v>70</v>
      </c>
      <c r="I1798" s="9">
        <v>33237.127659999998</v>
      </c>
      <c r="J1798" s="7">
        <v>0.65800000000000003</v>
      </c>
      <c r="K1798" s="9">
        <v>21870.03</v>
      </c>
      <c r="L1798" s="14">
        <v>0</v>
      </c>
      <c r="M1798" s="2" t="s">
        <v>71</v>
      </c>
      <c r="N1798" s="2" t="s">
        <v>13272</v>
      </c>
      <c r="O1798" s="2" t="s">
        <v>16259</v>
      </c>
      <c r="P1798" s="9">
        <v>0</v>
      </c>
      <c r="Q1798" s="9">
        <v>0</v>
      </c>
      <c r="R1798" s="2" t="s">
        <v>15991</v>
      </c>
    </row>
    <row r="1799" spans="1:18" x14ac:dyDescent="0.25">
      <c r="A1799" s="2" t="s">
        <v>9737</v>
      </c>
      <c r="B1799" s="6">
        <v>46204</v>
      </c>
      <c r="C1799" s="8">
        <v>46204</v>
      </c>
      <c r="D1799" s="2" t="s">
        <v>7433</v>
      </c>
      <c r="E1799" s="2" t="s">
        <v>12593</v>
      </c>
      <c r="F1799" s="2" t="s">
        <v>15320</v>
      </c>
      <c r="G1799" s="2" t="s">
        <v>16260</v>
      </c>
      <c r="H1799" s="2" t="s">
        <v>39</v>
      </c>
      <c r="I1799" s="9">
        <v>22146.85</v>
      </c>
      <c r="J1799" s="7">
        <v>1</v>
      </c>
      <c r="K1799" s="9">
        <v>22146.85</v>
      </c>
      <c r="L1799" s="14">
        <v>0</v>
      </c>
      <c r="M1799" s="2" t="s">
        <v>71</v>
      </c>
      <c r="N1799" s="2" t="s">
        <v>13272</v>
      </c>
      <c r="O1799" s="2" t="s">
        <v>16261</v>
      </c>
      <c r="P1799" s="9">
        <v>0</v>
      </c>
      <c r="Q1799" s="9">
        <v>0</v>
      </c>
      <c r="R1799" s="2" t="s">
        <v>15994</v>
      </c>
    </row>
    <row r="1800" spans="1:18" x14ac:dyDescent="0.25">
      <c r="A1800" s="2" t="s">
        <v>9742</v>
      </c>
      <c r="B1800" s="6">
        <v>46204</v>
      </c>
      <c r="C1800" s="8">
        <v>46205</v>
      </c>
      <c r="D1800" s="2" t="s">
        <v>7433</v>
      </c>
      <c r="E1800" s="2" t="s">
        <v>12593</v>
      </c>
      <c r="F1800" s="2" t="s">
        <v>15324</v>
      </c>
      <c r="G1800" s="2" t="s">
        <v>16262</v>
      </c>
      <c r="H1800" s="2" t="s">
        <v>76</v>
      </c>
      <c r="I1800" s="9">
        <v>361671935.48387098</v>
      </c>
      <c r="J1800" s="7">
        <v>6.2000000000000003E-5</v>
      </c>
      <c r="K1800" s="9">
        <v>22423.66</v>
      </c>
      <c r="L1800" s="14">
        <v>0</v>
      </c>
      <c r="M1800" s="2" t="s">
        <v>71</v>
      </c>
      <c r="N1800" s="2" t="s">
        <v>13272</v>
      </c>
      <c r="O1800" s="2" t="s">
        <v>16263</v>
      </c>
      <c r="P1800" s="9">
        <v>0</v>
      </c>
      <c r="Q1800" s="9">
        <v>0</v>
      </c>
      <c r="R1800" s="2" t="s">
        <v>15997</v>
      </c>
    </row>
    <row r="1801" spans="1:18" x14ac:dyDescent="0.25">
      <c r="A1801" s="2" t="s">
        <v>9747</v>
      </c>
      <c r="B1801" s="6">
        <v>46204</v>
      </c>
      <c r="C1801" s="8">
        <v>46206</v>
      </c>
      <c r="D1801" s="2" t="s">
        <v>7433</v>
      </c>
      <c r="E1801" s="2" t="s">
        <v>12593</v>
      </c>
      <c r="F1801" s="2" t="s">
        <v>15328</v>
      </c>
      <c r="G1801" s="2" t="s">
        <v>16264</v>
      </c>
      <c r="H1801" s="2" t="s">
        <v>70</v>
      </c>
      <c r="I1801" s="9">
        <v>34499.209726000001</v>
      </c>
      <c r="J1801" s="7">
        <v>0.65800000000000003</v>
      </c>
      <c r="K1801" s="9">
        <v>22700.48</v>
      </c>
      <c r="L1801" s="14">
        <v>0</v>
      </c>
      <c r="M1801" s="2" t="s">
        <v>71</v>
      </c>
      <c r="N1801" s="2" t="s">
        <v>13272</v>
      </c>
      <c r="O1801" s="2" t="s">
        <v>16265</v>
      </c>
      <c r="P1801" s="9">
        <v>0</v>
      </c>
      <c r="Q1801" s="9">
        <v>0</v>
      </c>
      <c r="R1801" s="2" t="s">
        <v>16000</v>
      </c>
    </row>
    <row r="1802" spans="1:18" x14ac:dyDescent="0.25">
      <c r="A1802" s="2" t="s">
        <v>9752</v>
      </c>
      <c r="B1802" s="6">
        <v>46204</v>
      </c>
      <c r="C1802" s="8">
        <v>46207</v>
      </c>
      <c r="D1802" s="2" t="s">
        <v>7433</v>
      </c>
      <c r="E1802" s="2" t="s">
        <v>12593</v>
      </c>
      <c r="F1802" s="2" t="s">
        <v>15332</v>
      </c>
      <c r="G1802" s="2" t="s">
        <v>16266</v>
      </c>
      <c r="H1802" s="2" t="s">
        <v>39</v>
      </c>
      <c r="I1802" s="9">
        <v>22977.3</v>
      </c>
      <c r="J1802" s="7">
        <v>1</v>
      </c>
      <c r="K1802" s="9">
        <v>22977.3</v>
      </c>
      <c r="L1802" s="14">
        <v>0</v>
      </c>
      <c r="M1802" s="2" t="s">
        <v>71</v>
      </c>
      <c r="N1802" s="2" t="s">
        <v>13272</v>
      </c>
      <c r="O1802" s="2" t="s">
        <v>16267</v>
      </c>
      <c r="P1802" s="9">
        <v>0</v>
      </c>
      <c r="Q1802" s="9">
        <v>0</v>
      </c>
      <c r="R1802" s="2" t="s">
        <v>16003</v>
      </c>
    </row>
    <row r="1803" spans="1:18" x14ac:dyDescent="0.25">
      <c r="A1803" s="2" t="s">
        <v>9757</v>
      </c>
      <c r="B1803" s="6">
        <v>46204</v>
      </c>
      <c r="C1803" s="8">
        <v>46208</v>
      </c>
      <c r="D1803" s="2" t="s">
        <v>7433</v>
      </c>
      <c r="E1803" s="2" t="s">
        <v>12593</v>
      </c>
      <c r="F1803" s="2" t="s">
        <v>15336</v>
      </c>
      <c r="G1803" s="2" t="s">
        <v>16268</v>
      </c>
      <c r="H1803" s="2" t="s">
        <v>76</v>
      </c>
      <c r="I1803" s="9">
        <v>375066290.32258099</v>
      </c>
      <c r="J1803" s="7">
        <v>6.2000000000000003E-5</v>
      </c>
      <c r="K1803" s="9">
        <v>23254.11</v>
      </c>
      <c r="L1803" s="14">
        <v>0</v>
      </c>
      <c r="M1803" s="2" t="s">
        <v>71</v>
      </c>
      <c r="N1803" s="2" t="s">
        <v>13272</v>
      </c>
      <c r="O1803" s="2" t="s">
        <v>16269</v>
      </c>
      <c r="P1803" s="9">
        <v>0</v>
      </c>
      <c r="Q1803" s="9">
        <v>0</v>
      </c>
      <c r="R1803" s="2" t="s">
        <v>16006</v>
      </c>
    </row>
    <row r="1804" spans="1:18" x14ac:dyDescent="0.25">
      <c r="A1804" s="2" t="s">
        <v>9762</v>
      </c>
      <c r="B1804" s="6">
        <v>46204</v>
      </c>
      <c r="C1804" s="8">
        <v>46209</v>
      </c>
      <c r="D1804" s="2" t="s">
        <v>7433</v>
      </c>
      <c r="E1804" s="2" t="s">
        <v>12593</v>
      </c>
      <c r="F1804" s="2" t="s">
        <v>15300</v>
      </c>
      <c r="G1804" s="2" t="s">
        <v>16270</v>
      </c>
      <c r="H1804" s="2" t="s">
        <v>70</v>
      </c>
      <c r="I1804" s="9">
        <v>35761.291792999997</v>
      </c>
      <c r="J1804" s="7">
        <v>0.65800000000000003</v>
      </c>
      <c r="K1804" s="9">
        <v>23530.93</v>
      </c>
      <c r="L1804" s="14">
        <v>0</v>
      </c>
      <c r="M1804" s="2" t="s">
        <v>71</v>
      </c>
      <c r="N1804" s="2" t="s">
        <v>13272</v>
      </c>
      <c r="O1804" s="2" t="s">
        <v>16271</v>
      </c>
      <c r="P1804" s="9">
        <v>0</v>
      </c>
      <c r="Q1804" s="9">
        <v>0</v>
      </c>
      <c r="R1804" s="2" t="s">
        <v>16009</v>
      </c>
    </row>
    <row r="1805" spans="1:18" x14ac:dyDescent="0.25">
      <c r="A1805" s="2" t="s">
        <v>9767</v>
      </c>
      <c r="B1805" s="6">
        <v>46204</v>
      </c>
      <c r="C1805" s="8">
        <v>46210</v>
      </c>
      <c r="D1805" s="2" t="s">
        <v>7433</v>
      </c>
      <c r="E1805" s="2" t="s">
        <v>12593</v>
      </c>
      <c r="F1805" s="2" t="s">
        <v>15304</v>
      </c>
      <c r="G1805" s="2" t="s">
        <v>16272</v>
      </c>
      <c r="H1805" s="2" t="s">
        <v>39</v>
      </c>
      <c r="I1805" s="9">
        <v>1407.74</v>
      </c>
      <c r="J1805" s="7">
        <v>1</v>
      </c>
      <c r="K1805" s="9">
        <v>1407.74</v>
      </c>
      <c r="L1805" s="14">
        <v>0</v>
      </c>
      <c r="M1805" s="2" t="s">
        <v>71</v>
      </c>
      <c r="N1805" s="2" t="s">
        <v>13272</v>
      </c>
      <c r="O1805" s="2" t="s">
        <v>16273</v>
      </c>
      <c r="P1805" s="9">
        <v>0</v>
      </c>
      <c r="Q1805" s="9">
        <v>0</v>
      </c>
      <c r="R1805" s="2" t="s">
        <v>16012</v>
      </c>
    </row>
    <row r="1806" spans="1:18" x14ac:dyDescent="0.25">
      <c r="A1806" s="2" t="s">
        <v>9772</v>
      </c>
      <c r="B1806" s="6">
        <v>46204</v>
      </c>
      <c r="C1806" s="8">
        <v>46211</v>
      </c>
      <c r="D1806" s="2" t="s">
        <v>7433</v>
      </c>
      <c r="E1806" s="2" t="s">
        <v>12593</v>
      </c>
      <c r="F1806" s="2" t="s">
        <v>15308</v>
      </c>
      <c r="G1806" s="2" t="s">
        <v>16274</v>
      </c>
      <c r="H1806" s="2" t="s">
        <v>76</v>
      </c>
      <c r="I1806" s="9">
        <v>27170322.580644999</v>
      </c>
      <c r="J1806" s="7">
        <v>6.2000000000000003E-5</v>
      </c>
      <c r="K1806" s="9">
        <v>1684.56</v>
      </c>
      <c r="L1806" s="14">
        <v>0</v>
      </c>
      <c r="M1806" s="2" t="s">
        <v>71</v>
      </c>
      <c r="N1806" s="2" t="s">
        <v>13272</v>
      </c>
      <c r="O1806" s="2" t="s">
        <v>16275</v>
      </c>
      <c r="P1806" s="9">
        <v>0</v>
      </c>
      <c r="Q1806" s="9">
        <v>0</v>
      </c>
      <c r="R1806" s="2" t="s">
        <v>16015</v>
      </c>
    </row>
    <row r="1807" spans="1:18" x14ac:dyDescent="0.25">
      <c r="A1807" s="2" t="s">
        <v>9777</v>
      </c>
      <c r="B1807" s="6">
        <v>46204</v>
      </c>
      <c r="C1807" s="8">
        <v>46212</v>
      </c>
      <c r="D1807" s="2" t="s">
        <v>7433</v>
      </c>
      <c r="E1807" s="2" t="s">
        <v>12593</v>
      </c>
      <c r="F1807" s="2" t="s">
        <v>15312</v>
      </c>
      <c r="G1807" s="2" t="s">
        <v>16276</v>
      </c>
      <c r="H1807" s="2" t="s">
        <v>70</v>
      </c>
      <c r="I1807" s="9">
        <v>2980.8054710000001</v>
      </c>
      <c r="J1807" s="7">
        <v>0.65800000000000003</v>
      </c>
      <c r="K1807" s="9">
        <v>1961.37</v>
      </c>
      <c r="L1807" s="14">
        <v>0</v>
      </c>
      <c r="M1807" s="2" t="s">
        <v>71</v>
      </c>
      <c r="N1807" s="2" t="s">
        <v>13272</v>
      </c>
      <c r="O1807" s="2" t="s">
        <v>16277</v>
      </c>
      <c r="P1807" s="9">
        <v>0</v>
      </c>
      <c r="Q1807" s="9">
        <v>0</v>
      </c>
      <c r="R1807" s="2" t="s">
        <v>15988</v>
      </c>
    </row>
    <row r="1808" spans="1:18" x14ac:dyDescent="0.25">
      <c r="A1808" s="2" t="s">
        <v>9782</v>
      </c>
      <c r="B1808" s="6">
        <v>46204</v>
      </c>
      <c r="C1808" s="8">
        <v>46213</v>
      </c>
      <c r="D1808" s="2" t="s">
        <v>7433</v>
      </c>
      <c r="E1808" s="2" t="s">
        <v>12593</v>
      </c>
      <c r="F1808" s="2" t="s">
        <v>15316</v>
      </c>
      <c r="G1808" s="2" t="s">
        <v>16278</v>
      </c>
      <c r="H1808" s="2" t="s">
        <v>39</v>
      </c>
      <c r="I1808" s="9">
        <v>2238.19</v>
      </c>
      <c r="J1808" s="7">
        <v>1</v>
      </c>
      <c r="K1808" s="9">
        <v>2238.19</v>
      </c>
      <c r="L1808" s="14">
        <v>0</v>
      </c>
      <c r="M1808" s="2" t="s">
        <v>71</v>
      </c>
      <c r="N1808" s="2" t="s">
        <v>13272</v>
      </c>
      <c r="O1808" s="2" t="s">
        <v>16279</v>
      </c>
      <c r="P1808" s="9">
        <v>0</v>
      </c>
      <c r="Q1808" s="9">
        <v>0</v>
      </c>
      <c r="R1808" s="2" t="s">
        <v>15991</v>
      </c>
    </row>
    <row r="1809" spans="1:18" x14ac:dyDescent="0.25">
      <c r="A1809" s="2" t="s">
        <v>9787</v>
      </c>
      <c r="B1809" s="6">
        <v>46204</v>
      </c>
      <c r="C1809" s="8">
        <v>46214</v>
      </c>
      <c r="D1809" s="2" t="s">
        <v>7433</v>
      </c>
      <c r="E1809" s="2" t="s">
        <v>12593</v>
      </c>
      <c r="F1809" s="2" t="s">
        <v>15320</v>
      </c>
      <c r="G1809" s="2" t="s">
        <v>16280</v>
      </c>
      <c r="H1809" s="2" t="s">
        <v>76</v>
      </c>
      <c r="I1809" s="9">
        <v>40564677.419354998</v>
      </c>
      <c r="J1809" s="7">
        <v>6.2000000000000003E-5</v>
      </c>
      <c r="K1809" s="9">
        <v>2515.0100000000002</v>
      </c>
      <c r="L1809" s="14">
        <v>0</v>
      </c>
      <c r="M1809" s="2" t="s">
        <v>71</v>
      </c>
      <c r="N1809" s="2" t="s">
        <v>13272</v>
      </c>
      <c r="O1809" s="2" t="s">
        <v>16281</v>
      </c>
      <c r="P1809" s="9">
        <v>0</v>
      </c>
      <c r="Q1809" s="9">
        <v>0</v>
      </c>
      <c r="R1809" s="2" t="s">
        <v>15994</v>
      </c>
    </row>
    <row r="1810" spans="1:18" x14ac:dyDescent="0.25">
      <c r="A1810" s="2" t="s">
        <v>9792</v>
      </c>
      <c r="B1810" s="6">
        <v>46204</v>
      </c>
      <c r="C1810" s="8">
        <v>46215</v>
      </c>
      <c r="D1810" s="2" t="s">
        <v>7433</v>
      </c>
      <c r="E1810" s="2" t="s">
        <v>12593</v>
      </c>
      <c r="F1810" s="2" t="s">
        <v>15324</v>
      </c>
      <c r="G1810" s="2" t="s">
        <v>16282</v>
      </c>
      <c r="H1810" s="2" t="s">
        <v>70</v>
      </c>
      <c r="I1810" s="9">
        <v>4242.8875379999999</v>
      </c>
      <c r="J1810" s="7">
        <v>0.65800000000000003</v>
      </c>
      <c r="K1810" s="9">
        <v>2791.82</v>
      </c>
      <c r="L1810" s="14">
        <v>0</v>
      </c>
      <c r="M1810" s="2" t="s">
        <v>71</v>
      </c>
      <c r="N1810" s="2" t="s">
        <v>13272</v>
      </c>
      <c r="O1810" s="2" t="s">
        <v>16283</v>
      </c>
      <c r="P1810" s="9">
        <v>0</v>
      </c>
      <c r="Q1810" s="9">
        <v>0</v>
      </c>
      <c r="R1810" s="2" t="s">
        <v>15997</v>
      </c>
    </row>
    <row r="1811" spans="1:18" x14ac:dyDescent="0.25">
      <c r="A1811" s="2" t="s">
        <v>9797</v>
      </c>
      <c r="B1811" s="6">
        <v>46204</v>
      </c>
      <c r="C1811" s="8">
        <v>46216</v>
      </c>
      <c r="D1811" s="2" t="s">
        <v>7433</v>
      </c>
      <c r="E1811" s="2" t="s">
        <v>12593</v>
      </c>
      <c r="F1811" s="2" t="s">
        <v>15328</v>
      </c>
      <c r="G1811" s="2" t="s">
        <v>16284</v>
      </c>
      <c r="H1811" s="2" t="s">
        <v>39</v>
      </c>
      <c r="I1811" s="9">
        <v>3068.64</v>
      </c>
      <c r="J1811" s="7">
        <v>1</v>
      </c>
      <c r="K1811" s="9">
        <v>3068.64</v>
      </c>
      <c r="L1811" s="14">
        <v>0</v>
      </c>
      <c r="M1811" s="2" t="s">
        <v>71</v>
      </c>
      <c r="N1811" s="2" t="s">
        <v>13272</v>
      </c>
      <c r="O1811" s="2" t="s">
        <v>16285</v>
      </c>
      <c r="P1811" s="9">
        <v>0</v>
      </c>
      <c r="Q1811" s="9">
        <v>0</v>
      </c>
      <c r="R1811" s="2" t="s">
        <v>16000</v>
      </c>
    </row>
    <row r="1812" spans="1:18" x14ac:dyDescent="0.25">
      <c r="A1812" s="2" t="s">
        <v>9802</v>
      </c>
      <c r="B1812" s="6">
        <v>46204</v>
      </c>
      <c r="C1812" s="8">
        <v>46217</v>
      </c>
      <c r="D1812" s="2" t="s">
        <v>7433</v>
      </c>
      <c r="E1812" s="2" t="s">
        <v>12593</v>
      </c>
      <c r="F1812" s="2" t="s">
        <v>15332</v>
      </c>
      <c r="G1812" s="2" t="s">
        <v>16286</v>
      </c>
      <c r="H1812" s="2" t="s">
        <v>76</v>
      </c>
      <c r="I1812" s="9">
        <v>53959032.258065</v>
      </c>
      <c r="J1812" s="7">
        <v>6.2000000000000003E-5</v>
      </c>
      <c r="K1812" s="9">
        <v>3345.46</v>
      </c>
      <c r="L1812" s="14">
        <v>0</v>
      </c>
      <c r="M1812" s="2" t="s">
        <v>71</v>
      </c>
      <c r="N1812" s="2" t="s">
        <v>13272</v>
      </c>
      <c r="O1812" s="2" t="s">
        <v>16287</v>
      </c>
      <c r="P1812" s="9">
        <v>0</v>
      </c>
      <c r="Q1812" s="9">
        <v>0</v>
      </c>
      <c r="R1812" s="2" t="s">
        <v>16003</v>
      </c>
    </row>
    <row r="1813" spans="1:18" x14ac:dyDescent="0.25">
      <c r="A1813" s="2" t="s">
        <v>9807</v>
      </c>
      <c r="B1813" s="6">
        <v>46204</v>
      </c>
      <c r="C1813" s="8">
        <v>46218</v>
      </c>
      <c r="D1813" s="2" t="s">
        <v>7433</v>
      </c>
      <c r="E1813" s="2" t="s">
        <v>12593</v>
      </c>
      <c r="F1813" s="2" t="s">
        <v>15336</v>
      </c>
      <c r="G1813" s="2" t="s">
        <v>16288</v>
      </c>
      <c r="H1813" s="2" t="s">
        <v>70</v>
      </c>
      <c r="I1813" s="9">
        <v>5504.9696050000002</v>
      </c>
      <c r="J1813" s="7">
        <v>0.65800000000000003</v>
      </c>
      <c r="K1813" s="9">
        <v>3622.27</v>
      </c>
      <c r="L1813" s="14">
        <v>0</v>
      </c>
      <c r="M1813" s="2" t="s">
        <v>71</v>
      </c>
      <c r="N1813" s="2" t="s">
        <v>13272</v>
      </c>
      <c r="O1813" s="2" t="s">
        <v>16289</v>
      </c>
      <c r="P1813" s="9">
        <v>0</v>
      </c>
      <c r="Q1813" s="9">
        <v>0</v>
      </c>
      <c r="R1813" s="2" t="s">
        <v>16006</v>
      </c>
    </row>
    <row r="1814" spans="1:18" x14ac:dyDescent="0.25">
      <c r="A1814" s="2" t="s">
        <v>9812</v>
      </c>
      <c r="B1814" s="6">
        <v>46204</v>
      </c>
      <c r="C1814" s="8">
        <v>46219</v>
      </c>
      <c r="D1814" s="2" t="s">
        <v>7433</v>
      </c>
      <c r="E1814" s="2" t="s">
        <v>12593</v>
      </c>
      <c r="F1814" s="2" t="s">
        <v>15300</v>
      </c>
      <c r="G1814" s="2" t="s">
        <v>16290</v>
      </c>
      <c r="H1814" s="2" t="s">
        <v>39</v>
      </c>
      <c r="I1814" s="9">
        <v>3899.09</v>
      </c>
      <c r="J1814" s="7">
        <v>1</v>
      </c>
      <c r="K1814" s="9">
        <v>3899.09</v>
      </c>
      <c r="L1814" s="14">
        <v>0</v>
      </c>
      <c r="M1814" s="2" t="s">
        <v>71</v>
      </c>
      <c r="N1814" s="2" t="s">
        <v>13272</v>
      </c>
      <c r="O1814" s="2" t="s">
        <v>16291</v>
      </c>
      <c r="P1814" s="9">
        <v>0</v>
      </c>
      <c r="Q1814" s="9">
        <v>0</v>
      </c>
      <c r="R1814" s="2" t="s">
        <v>16009</v>
      </c>
    </row>
    <row r="1815" spans="1:18" x14ac:dyDescent="0.25">
      <c r="A1815" s="2" t="s">
        <v>9817</v>
      </c>
      <c r="B1815" s="6">
        <v>46204</v>
      </c>
      <c r="C1815" s="8">
        <v>46220</v>
      </c>
      <c r="D1815" s="2" t="s">
        <v>7433</v>
      </c>
      <c r="E1815" s="2" t="s">
        <v>12593</v>
      </c>
      <c r="F1815" s="2" t="s">
        <v>15304</v>
      </c>
      <c r="G1815" s="2" t="s">
        <v>16292</v>
      </c>
      <c r="H1815" s="2" t="s">
        <v>76</v>
      </c>
      <c r="I1815" s="9">
        <v>67353225.806452006</v>
      </c>
      <c r="J1815" s="7">
        <v>6.2000000000000003E-5</v>
      </c>
      <c r="K1815" s="9">
        <v>4175.8999999999996</v>
      </c>
      <c r="L1815" s="14">
        <v>0</v>
      </c>
      <c r="M1815" s="2" t="s">
        <v>71</v>
      </c>
      <c r="N1815" s="2" t="s">
        <v>13272</v>
      </c>
      <c r="O1815" s="2" t="s">
        <v>16293</v>
      </c>
      <c r="P1815" s="9">
        <v>0</v>
      </c>
      <c r="Q1815" s="9">
        <v>0</v>
      </c>
      <c r="R1815" s="2" t="s">
        <v>16012</v>
      </c>
    </row>
    <row r="1816" spans="1:18" x14ac:dyDescent="0.25">
      <c r="A1816" s="2" t="s">
        <v>9822</v>
      </c>
      <c r="B1816" s="6">
        <v>46204</v>
      </c>
      <c r="C1816" s="8">
        <v>46221</v>
      </c>
      <c r="D1816" s="2" t="s">
        <v>7433</v>
      </c>
      <c r="E1816" s="2" t="s">
        <v>12593</v>
      </c>
      <c r="F1816" s="2" t="s">
        <v>15308</v>
      </c>
      <c r="G1816" s="2" t="s">
        <v>16294</v>
      </c>
      <c r="H1816" s="2" t="s">
        <v>70</v>
      </c>
      <c r="I1816" s="9">
        <v>6767.0516719999996</v>
      </c>
      <c r="J1816" s="7">
        <v>0.65800000000000003</v>
      </c>
      <c r="K1816" s="9">
        <v>4452.72</v>
      </c>
      <c r="L1816" s="14">
        <v>0</v>
      </c>
      <c r="M1816" s="2" t="s">
        <v>71</v>
      </c>
      <c r="N1816" s="2" t="s">
        <v>13272</v>
      </c>
      <c r="O1816" s="2" t="s">
        <v>16295</v>
      </c>
      <c r="P1816" s="9">
        <v>0</v>
      </c>
      <c r="Q1816" s="9">
        <v>0</v>
      </c>
      <c r="R1816" s="2" t="s">
        <v>16015</v>
      </c>
    </row>
    <row r="1817" spans="1:18" x14ac:dyDescent="0.25">
      <c r="A1817" s="2" t="s">
        <v>9827</v>
      </c>
      <c r="B1817" s="6">
        <v>46204</v>
      </c>
      <c r="C1817" s="8">
        <v>46222</v>
      </c>
      <c r="D1817" s="2" t="s">
        <v>7433</v>
      </c>
      <c r="E1817" s="2" t="s">
        <v>12593</v>
      </c>
      <c r="F1817" s="2" t="s">
        <v>15312</v>
      </c>
      <c r="G1817" s="2" t="s">
        <v>16296</v>
      </c>
      <c r="H1817" s="2" t="s">
        <v>39</v>
      </c>
      <c r="I1817" s="9">
        <v>4729.54</v>
      </c>
      <c r="J1817" s="7">
        <v>1</v>
      </c>
      <c r="K1817" s="9">
        <v>4729.54</v>
      </c>
      <c r="L1817" s="14">
        <v>0</v>
      </c>
      <c r="M1817" s="2" t="s">
        <v>71</v>
      </c>
      <c r="N1817" s="2" t="s">
        <v>13272</v>
      </c>
      <c r="O1817" s="2" t="s">
        <v>16297</v>
      </c>
      <c r="P1817" s="9">
        <v>0</v>
      </c>
      <c r="Q1817" s="9">
        <v>0</v>
      </c>
      <c r="R1817" s="2" t="s">
        <v>15988</v>
      </c>
    </row>
    <row r="1818" spans="1:18" x14ac:dyDescent="0.25">
      <c r="A1818" s="2" t="s">
        <v>9832</v>
      </c>
      <c r="B1818" s="6">
        <v>46204</v>
      </c>
      <c r="C1818" s="8">
        <v>46223</v>
      </c>
      <c r="D1818" s="2" t="s">
        <v>7433</v>
      </c>
      <c r="E1818" s="2" t="s">
        <v>12593</v>
      </c>
      <c r="F1818" s="2" t="s">
        <v>15316</v>
      </c>
      <c r="G1818" s="2" t="s">
        <v>16298</v>
      </c>
      <c r="H1818" s="2" t="s">
        <v>76</v>
      </c>
      <c r="I1818" s="9">
        <v>80722580.645161003</v>
      </c>
      <c r="J1818" s="7">
        <v>6.2000000000000003E-5</v>
      </c>
      <c r="K1818" s="9">
        <v>5004.8</v>
      </c>
      <c r="L1818" s="14">
        <v>0</v>
      </c>
      <c r="M1818" s="2" t="s">
        <v>71</v>
      </c>
      <c r="N1818" s="2" t="s">
        <v>13272</v>
      </c>
      <c r="O1818" s="2" t="s">
        <v>16299</v>
      </c>
      <c r="P1818" s="9">
        <v>0</v>
      </c>
      <c r="Q1818" s="9">
        <v>0</v>
      </c>
      <c r="R1818" s="2" t="s">
        <v>15991</v>
      </c>
    </row>
    <row r="1819" spans="1:18" x14ac:dyDescent="0.25">
      <c r="A1819" s="2" t="s">
        <v>9837</v>
      </c>
      <c r="B1819" s="6">
        <v>46204</v>
      </c>
      <c r="C1819" s="8">
        <v>46224</v>
      </c>
      <c r="D1819" s="2" t="s">
        <v>7433</v>
      </c>
      <c r="E1819" s="2" t="s">
        <v>12593</v>
      </c>
      <c r="F1819" s="2" t="s">
        <v>15320</v>
      </c>
      <c r="G1819" s="2" t="s">
        <v>16300</v>
      </c>
      <c r="H1819" s="2" t="s">
        <v>70</v>
      </c>
      <c r="I1819" s="9">
        <v>8026.7629180000004</v>
      </c>
      <c r="J1819" s="7">
        <v>0.65800000000000003</v>
      </c>
      <c r="K1819" s="9">
        <v>5281.61</v>
      </c>
      <c r="L1819" s="14">
        <v>0</v>
      </c>
      <c r="M1819" s="2" t="s">
        <v>71</v>
      </c>
      <c r="N1819" s="2" t="s">
        <v>13272</v>
      </c>
      <c r="O1819" s="2" t="s">
        <v>16301</v>
      </c>
      <c r="P1819" s="9">
        <v>0</v>
      </c>
      <c r="Q1819" s="9">
        <v>0</v>
      </c>
      <c r="R1819" s="2" t="s">
        <v>15994</v>
      </c>
    </row>
    <row r="1820" spans="1:18" x14ac:dyDescent="0.25">
      <c r="A1820" s="2" t="s">
        <v>9842</v>
      </c>
      <c r="B1820" s="6">
        <v>46204</v>
      </c>
      <c r="C1820" s="8">
        <v>46225</v>
      </c>
      <c r="D1820" s="2" t="s">
        <v>7433</v>
      </c>
      <c r="E1820" s="2" t="s">
        <v>12593</v>
      </c>
      <c r="F1820" s="2" t="s">
        <v>15324</v>
      </c>
      <c r="G1820" s="2" t="s">
        <v>16302</v>
      </c>
      <c r="H1820" s="2" t="s">
        <v>39</v>
      </c>
      <c r="I1820" s="9">
        <v>5558.43</v>
      </c>
      <c r="J1820" s="7">
        <v>1</v>
      </c>
      <c r="K1820" s="9">
        <v>5558.43</v>
      </c>
      <c r="L1820" s="14">
        <v>0</v>
      </c>
      <c r="M1820" s="2" t="s">
        <v>71</v>
      </c>
      <c r="N1820" s="2" t="s">
        <v>13272</v>
      </c>
      <c r="O1820" s="2" t="s">
        <v>16303</v>
      </c>
      <c r="P1820" s="9">
        <v>0</v>
      </c>
      <c r="Q1820" s="9">
        <v>0</v>
      </c>
      <c r="R1820" s="2" t="s">
        <v>15997</v>
      </c>
    </row>
    <row r="1821" spans="1:18" x14ac:dyDescent="0.25">
      <c r="A1821" s="2" t="s">
        <v>9847</v>
      </c>
      <c r="B1821" s="6">
        <v>46204</v>
      </c>
      <c r="C1821" s="8">
        <v>46226</v>
      </c>
      <c r="D1821" s="2" t="s">
        <v>7433</v>
      </c>
      <c r="E1821" s="2" t="s">
        <v>12593</v>
      </c>
      <c r="F1821" s="2" t="s">
        <v>15328</v>
      </c>
      <c r="G1821" s="2" t="s">
        <v>16304</v>
      </c>
      <c r="H1821" s="2" t="s">
        <v>76</v>
      </c>
      <c r="I1821" s="9">
        <v>94116935.483870998</v>
      </c>
      <c r="J1821" s="7">
        <v>6.2000000000000003E-5</v>
      </c>
      <c r="K1821" s="9">
        <v>5835.25</v>
      </c>
      <c r="L1821" s="14">
        <v>0</v>
      </c>
      <c r="M1821" s="2" t="s">
        <v>71</v>
      </c>
      <c r="N1821" s="2" t="s">
        <v>13272</v>
      </c>
      <c r="O1821" s="2" t="s">
        <v>16305</v>
      </c>
      <c r="P1821" s="9">
        <v>0</v>
      </c>
      <c r="Q1821" s="9">
        <v>0</v>
      </c>
      <c r="R1821" s="2" t="s">
        <v>16000</v>
      </c>
    </row>
    <row r="1822" spans="1:18" x14ac:dyDescent="0.25">
      <c r="A1822" s="2" t="s">
        <v>9852</v>
      </c>
      <c r="B1822" s="6">
        <v>46204</v>
      </c>
      <c r="C1822" s="8">
        <v>46227</v>
      </c>
      <c r="D1822" s="2" t="s">
        <v>7433</v>
      </c>
      <c r="E1822" s="2" t="s">
        <v>12593</v>
      </c>
      <c r="F1822" s="2" t="s">
        <v>15332</v>
      </c>
      <c r="G1822" s="2" t="s">
        <v>16306</v>
      </c>
      <c r="H1822" s="2" t="s">
        <v>70</v>
      </c>
      <c r="I1822" s="9">
        <v>9288.8449849999997</v>
      </c>
      <c r="J1822" s="7">
        <v>0.65800000000000003</v>
      </c>
      <c r="K1822" s="9">
        <v>6112.06</v>
      </c>
      <c r="L1822" s="14">
        <v>0</v>
      </c>
      <c r="M1822" s="2" t="s">
        <v>71</v>
      </c>
      <c r="N1822" s="2" t="s">
        <v>13272</v>
      </c>
      <c r="O1822" s="2" t="s">
        <v>16307</v>
      </c>
      <c r="P1822" s="9">
        <v>0</v>
      </c>
      <c r="Q1822" s="9">
        <v>0</v>
      </c>
      <c r="R1822" s="2" t="s">
        <v>16003</v>
      </c>
    </row>
    <row r="1823" spans="1:18" x14ac:dyDescent="0.25">
      <c r="A1823" s="2" t="s">
        <v>9857</v>
      </c>
      <c r="B1823" s="6">
        <v>46204</v>
      </c>
      <c r="C1823" s="8">
        <v>46228</v>
      </c>
      <c r="D1823" s="2" t="s">
        <v>7433</v>
      </c>
      <c r="E1823" s="2" t="s">
        <v>12593</v>
      </c>
      <c r="F1823" s="2" t="s">
        <v>15336</v>
      </c>
      <c r="G1823" s="2" t="s">
        <v>16308</v>
      </c>
      <c r="H1823" s="2" t="s">
        <v>39</v>
      </c>
      <c r="I1823" s="9">
        <v>6388.88</v>
      </c>
      <c r="J1823" s="7">
        <v>1</v>
      </c>
      <c r="K1823" s="9">
        <v>6388.88</v>
      </c>
      <c r="L1823" s="14">
        <v>0</v>
      </c>
      <c r="M1823" s="2" t="s">
        <v>71</v>
      </c>
      <c r="N1823" s="2" t="s">
        <v>13272</v>
      </c>
      <c r="O1823" s="2" t="s">
        <v>16309</v>
      </c>
      <c r="P1823" s="9">
        <v>0</v>
      </c>
      <c r="Q1823" s="9">
        <v>0</v>
      </c>
      <c r="R1823" s="2" t="s">
        <v>16006</v>
      </c>
    </row>
    <row r="1824" spans="1:18" x14ac:dyDescent="0.25">
      <c r="A1824" s="2" t="s">
        <v>9862</v>
      </c>
      <c r="B1824" s="6">
        <v>46204</v>
      </c>
      <c r="C1824" s="8">
        <v>46229</v>
      </c>
      <c r="D1824" s="2" t="s">
        <v>7433</v>
      </c>
      <c r="E1824" s="2" t="s">
        <v>12593</v>
      </c>
      <c r="F1824" s="2" t="s">
        <v>15300</v>
      </c>
      <c r="G1824" s="2" t="s">
        <v>16310</v>
      </c>
      <c r="H1824" s="2" t="s">
        <v>76</v>
      </c>
      <c r="I1824" s="9">
        <v>107511290.32258099</v>
      </c>
      <c r="J1824" s="7">
        <v>6.2000000000000003E-5</v>
      </c>
      <c r="K1824" s="9">
        <v>6665.7</v>
      </c>
      <c r="L1824" s="14">
        <v>0</v>
      </c>
      <c r="M1824" s="2" t="s">
        <v>71</v>
      </c>
      <c r="N1824" s="2" t="s">
        <v>13272</v>
      </c>
      <c r="O1824" s="2" t="s">
        <v>16311</v>
      </c>
      <c r="P1824" s="9">
        <v>0</v>
      </c>
      <c r="Q1824" s="9">
        <v>0</v>
      </c>
      <c r="R1824" s="2" t="s">
        <v>16009</v>
      </c>
    </row>
    <row r="1825" spans="1:18" x14ac:dyDescent="0.25">
      <c r="A1825" s="2" t="s">
        <v>9867</v>
      </c>
      <c r="B1825" s="6">
        <v>46204</v>
      </c>
      <c r="C1825" s="8">
        <v>46230</v>
      </c>
      <c r="D1825" s="2" t="s">
        <v>7433</v>
      </c>
      <c r="E1825" s="2" t="s">
        <v>12593</v>
      </c>
      <c r="F1825" s="2" t="s">
        <v>15304</v>
      </c>
      <c r="G1825" s="2" t="s">
        <v>16312</v>
      </c>
      <c r="H1825" s="2" t="s">
        <v>70</v>
      </c>
      <c r="I1825" s="9">
        <v>-10550.927051999999</v>
      </c>
      <c r="J1825" s="7">
        <v>0.65800000000000003</v>
      </c>
      <c r="K1825" s="9">
        <v>-6942.51</v>
      </c>
      <c r="L1825" s="14">
        <v>0</v>
      </c>
      <c r="M1825" s="2" t="s">
        <v>71</v>
      </c>
      <c r="N1825" s="2" t="s">
        <v>13272</v>
      </c>
      <c r="O1825" s="2" t="s">
        <v>16313</v>
      </c>
      <c r="P1825" s="9">
        <v>0</v>
      </c>
      <c r="Q1825" s="9">
        <v>0</v>
      </c>
      <c r="R1825" s="2" t="s">
        <v>16012</v>
      </c>
    </row>
    <row r="1826" spans="1:18" x14ac:dyDescent="0.25">
      <c r="A1826" s="2" t="s">
        <v>9870</v>
      </c>
      <c r="B1826" s="6">
        <v>46204</v>
      </c>
      <c r="C1826" s="8">
        <v>46231</v>
      </c>
      <c r="D1826" s="2" t="s">
        <v>7433</v>
      </c>
      <c r="E1826" s="2" t="s">
        <v>12593</v>
      </c>
      <c r="F1826" s="2" t="s">
        <v>15308</v>
      </c>
      <c r="G1826" s="2" t="s">
        <v>16314</v>
      </c>
      <c r="H1826" s="2" t="s">
        <v>39</v>
      </c>
      <c r="I1826" s="9">
        <v>7219.33</v>
      </c>
      <c r="J1826" s="7">
        <v>1</v>
      </c>
      <c r="K1826" s="9">
        <v>7219.33</v>
      </c>
      <c r="L1826" s="14">
        <v>0</v>
      </c>
      <c r="M1826" s="2" t="s">
        <v>71</v>
      </c>
      <c r="N1826" s="2" t="s">
        <v>13272</v>
      </c>
      <c r="O1826" s="2" t="s">
        <v>16315</v>
      </c>
      <c r="P1826" s="9">
        <v>0</v>
      </c>
      <c r="Q1826" s="9">
        <v>0</v>
      </c>
      <c r="R1826" s="2" t="s">
        <v>16015</v>
      </c>
    </row>
    <row r="1827" spans="1:18" x14ac:dyDescent="0.25">
      <c r="A1827" s="2" t="s">
        <v>9875</v>
      </c>
      <c r="B1827" s="6">
        <v>46204</v>
      </c>
      <c r="C1827" s="8">
        <v>46232</v>
      </c>
      <c r="D1827" s="2" t="s">
        <v>7433</v>
      </c>
      <c r="E1827" s="2" t="s">
        <v>12593</v>
      </c>
      <c r="F1827" s="2" t="s">
        <v>15312</v>
      </c>
      <c r="G1827" s="2" t="s">
        <v>16316</v>
      </c>
      <c r="H1827" s="2" t="s">
        <v>76</v>
      </c>
      <c r="I1827" s="9">
        <v>120905483.870968</v>
      </c>
      <c r="J1827" s="7">
        <v>6.2000000000000003E-5</v>
      </c>
      <c r="K1827" s="9">
        <v>7496.14</v>
      </c>
      <c r="L1827" s="14">
        <v>0</v>
      </c>
      <c r="M1827" s="2" t="s">
        <v>71</v>
      </c>
      <c r="N1827" s="2" t="s">
        <v>13272</v>
      </c>
      <c r="O1827" s="2" t="s">
        <v>16317</v>
      </c>
      <c r="P1827" s="9">
        <v>0</v>
      </c>
      <c r="Q1827" s="9">
        <v>0</v>
      </c>
      <c r="R1827" s="2" t="s">
        <v>15988</v>
      </c>
    </row>
    <row r="1828" spans="1:18" x14ac:dyDescent="0.25">
      <c r="A1828" s="2" t="s">
        <v>9880</v>
      </c>
      <c r="B1828" s="6">
        <v>46204</v>
      </c>
      <c r="C1828" s="8">
        <v>46233</v>
      </c>
      <c r="D1828" s="2" t="s">
        <v>7433</v>
      </c>
      <c r="E1828" s="2" t="s">
        <v>12593</v>
      </c>
      <c r="F1828" s="2" t="s">
        <v>15316</v>
      </c>
      <c r="G1828" s="2" t="s">
        <v>16318</v>
      </c>
      <c r="H1828" s="2" t="s">
        <v>70</v>
      </c>
      <c r="I1828" s="9">
        <v>11813.009119</v>
      </c>
      <c r="J1828" s="7">
        <v>0.65800000000000003</v>
      </c>
      <c r="K1828" s="9">
        <v>7772.96</v>
      </c>
      <c r="L1828" s="14">
        <v>0</v>
      </c>
      <c r="M1828" s="2" t="s">
        <v>71</v>
      </c>
      <c r="N1828" s="2" t="s">
        <v>13272</v>
      </c>
      <c r="O1828" s="2" t="s">
        <v>16319</v>
      </c>
      <c r="P1828" s="9">
        <v>0</v>
      </c>
      <c r="Q1828" s="9">
        <v>0</v>
      </c>
      <c r="R1828" s="2" t="s">
        <v>15991</v>
      </c>
    </row>
    <row r="1829" spans="1:18" x14ac:dyDescent="0.25">
      <c r="A1829" s="2" t="s">
        <v>9885</v>
      </c>
      <c r="B1829" s="6">
        <v>46204</v>
      </c>
      <c r="C1829" s="8">
        <v>46234</v>
      </c>
      <c r="D1829" s="2" t="s">
        <v>7433</v>
      </c>
      <c r="E1829" s="2" t="s">
        <v>12593</v>
      </c>
      <c r="F1829" s="2" t="s">
        <v>15320</v>
      </c>
      <c r="G1829" s="2" t="s">
        <v>16320</v>
      </c>
      <c r="H1829" s="2" t="s">
        <v>39</v>
      </c>
      <c r="I1829" s="9">
        <v>8049.78</v>
      </c>
      <c r="J1829" s="7">
        <v>1</v>
      </c>
      <c r="K1829" s="9">
        <v>8049.78</v>
      </c>
      <c r="L1829" s="14">
        <v>0</v>
      </c>
      <c r="M1829" s="2" t="s">
        <v>71</v>
      </c>
      <c r="N1829" s="2" t="s">
        <v>13272</v>
      </c>
      <c r="O1829" s="2" t="s">
        <v>16321</v>
      </c>
      <c r="P1829" s="9">
        <v>0</v>
      </c>
      <c r="Q1829" s="9">
        <v>0</v>
      </c>
      <c r="R1829" s="2" t="s">
        <v>15994</v>
      </c>
    </row>
    <row r="1830" spans="1:18" x14ac:dyDescent="0.25">
      <c r="A1830" s="2" t="s">
        <v>9890</v>
      </c>
      <c r="B1830" s="6">
        <v>46204</v>
      </c>
      <c r="C1830" s="8">
        <v>46204</v>
      </c>
      <c r="D1830" s="2" t="s">
        <v>7433</v>
      </c>
      <c r="E1830" s="2" t="s">
        <v>12593</v>
      </c>
      <c r="F1830" s="2" t="s">
        <v>15324</v>
      </c>
      <c r="G1830" s="2" t="s">
        <v>16322</v>
      </c>
      <c r="H1830" s="2" t="s">
        <v>76</v>
      </c>
      <c r="I1830" s="9">
        <v>134299838.70967701</v>
      </c>
      <c r="J1830" s="7">
        <v>6.2000000000000003E-5</v>
      </c>
      <c r="K1830" s="9">
        <v>8326.59</v>
      </c>
      <c r="L1830" s="14">
        <v>0</v>
      </c>
      <c r="M1830" s="2" t="s">
        <v>71</v>
      </c>
      <c r="N1830" s="2" t="s">
        <v>13272</v>
      </c>
      <c r="O1830" s="2" t="s">
        <v>16323</v>
      </c>
      <c r="P1830" s="9">
        <v>0</v>
      </c>
      <c r="Q1830" s="9">
        <v>0</v>
      </c>
      <c r="R1830" s="2" t="s">
        <v>15997</v>
      </c>
    </row>
    <row r="1831" spans="1:18" x14ac:dyDescent="0.25">
      <c r="A1831" s="2" t="s">
        <v>9895</v>
      </c>
      <c r="B1831" s="6">
        <v>46204</v>
      </c>
      <c r="C1831" s="8">
        <v>46205</v>
      </c>
      <c r="D1831" s="2" t="s">
        <v>7433</v>
      </c>
      <c r="E1831" s="2" t="s">
        <v>12593</v>
      </c>
      <c r="F1831" s="2" t="s">
        <v>15328</v>
      </c>
      <c r="G1831" s="2" t="s">
        <v>16324</v>
      </c>
      <c r="H1831" s="2" t="s">
        <v>70</v>
      </c>
      <c r="I1831" s="9">
        <v>13075.091184999999</v>
      </c>
      <c r="J1831" s="7">
        <v>0.65800000000000003</v>
      </c>
      <c r="K1831" s="9">
        <v>8603.41</v>
      </c>
      <c r="L1831" s="14">
        <v>0</v>
      </c>
      <c r="M1831" s="2" t="s">
        <v>71</v>
      </c>
      <c r="N1831" s="2" t="s">
        <v>13272</v>
      </c>
      <c r="O1831" s="2" t="s">
        <v>16325</v>
      </c>
      <c r="P1831" s="9">
        <v>0</v>
      </c>
      <c r="Q1831" s="9">
        <v>0</v>
      </c>
      <c r="R1831" s="2" t="s">
        <v>16000</v>
      </c>
    </row>
    <row r="1832" spans="1:18" x14ac:dyDescent="0.25">
      <c r="A1832" s="2" t="s">
        <v>9900</v>
      </c>
      <c r="B1832" s="6">
        <v>46204</v>
      </c>
      <c r="C1832" s="8">
        <v>46206</v>
      </c>
      <c r="D1832" s="2" t="s">
        <v>7433</v>
      </c>
      <c r="E1832" s="2" t="s">
        <v>12593</v>
      </c>
      <c r="F1832" s="2" t="s">
        <v>15332</v>
      </c>
      <c r="G1832" s="2" t="s">
        <v>16326</v>
      </c>
      <c r="H1832" s="2" t="s">
        <v>39</v>
      </c>
      <c r="I1832" s="9">
        <v>8880.2199999999993</v>
      </c>
      <c r="J1832" s="7">
        <v>1</v>
      </c>
      <c r="K1832" s="9">
        <v>8880.2199999999993</v>
      </c>
      <c r="L1832" s="14">
        <v>0</v>
      </c>
      <c r="M1832" s="2" t="s">
        <v>71</v>
      </c>
      <c r="N1832" s="2" t="s">
        <v>13272</v>
      </c>
      <c r="O1832" s="2" t="s">
        <v>16327</v>
      </c>
      <c r="P1832" s="9">
        <v>0</v>
      </c>
      <c r="Q1832" s="9">
        <v>0</v>
      </c>
      <c r="R1832" s="2" t="s">
        <v>16003</v>
      </c>
    </row>
    <row r="1833" spans="1:18" x14ac:dyDescent="0.25">
      <c r="A1833" s="2" t="s">
        <v>9905</v>
      </c>
      <c r="B1833" s="6">
        <v>46204</v>
      </c>
      <c r="C1833" s="8">
        <v>46207</v>
      </c>
      <c r="D1833" s="2" t="s">
        <v>7433</v>
      </c>
      <c r="E1833" s="2" t="s">
        <v>12593</v>
      </c>
      <c r="F1833" s="2" t="s">
        <v>15336</v>
      </c>
      <c r="G1833" s="2" t="s">
        <v>16328</v>
      </c>
      <c r="H1833" s="2" t="s">
        <v>76</v>
      </c>
      <c r="I1833" s="9">
        <v>147694193.54838699</v>
      </c>
      <c r="J1833" s="7">
        <v>6.2000000000000003E-5</v>
      </c>
      <c r="K1833" s="9">
        <v>9157.0400000000009</v>
      </c>
      <c r="L1833" s="14">
        <v>0</v>
      </c>
      <c r="M1833" s="2" t="s">
        <v>71</v>
      </c>
      <c r="N1833" s="2" t="s">
        <v>13272</v>
      </c>
      <c r="O1833" s="2" t="s">
        <v>16329</v>
      </c>
      <c r="P1833" s="9">
        <v>0</v>
      </c>
      <c r="Q1833" s="9">
        <v>0</v>
      </c>
      <c r="R1833" s="2" t="s">
        <v>16006</v>
      </c>
    </row>
    <row r="1834" spans="1:18" x14ac:dyDescent="0.25">
      <c r="A1834" s="2" t="s">
        <v>9910</v>
      </c>
      <c r="B1834" s="6">
        <v>46204</v>
      </c>
      <c r="C1834" s="8">
        <v>46208</v>
      </c>
      <c r="D1834" s="2" t="s">
        <v>7433</v>
      </c>
      <c r="E1834" s="2" t="s">
        <v>12593</v>
      </c>
      <c r="F1834" s="2" t="s">
        <v>15300</v>
      </c>
      <c r="G1834" s="2" t="s">
        <v>16330</v>
      </c>
      <c r="H1834" s="2" t="s">
        <v>70</v>
      </c>
      <c r="I1834" s="9">
        <v>14337.173252000001</v>
      </c>
      <c r="J1834" s="7">
        <v>0.65800000000000003</v>
      </c>
      <c r="K1834" s="9">
        <v>9433.86</v>
      </c>
      <c r="L1834" s="14">
        <v>0</v>
      </c>
      <c r="M1834" s="2" t="s">
        <v>71</v>
      </c>
      <c r="N1834" s="2" t="s">
        <v>13272</v>
      </c>
      <c r="O1834" s="2" t="s">
        <v>16331</v>
      </c>
      <c r="P1834" s="9">
        <v>0</v>
      </c>
      <c r="Q1834" s="9">
        <v>0</v>
      </c>
      <c r="R1834" s="2" t="s">
        <v>16009</v>
      </c>
    </row>
    <row r="1835" spans="1:18" x14ac:dyDescent="0.25">
      <c r="A1835" s="2" t="s">
        <v>9915</v>
      </c>
      <c r="B1835" s="6">
        <v>46204</v>
      </c>
      <c r="C1835" s="8">
        <v>46209</v>
      </c>
      <c r="D1835" s="2" t="s">
        <v>7433</v>
      </c>
      <c r="E1835" s="2" t="s">
        <v>12593</v>
      </c>
      <c r="F1835" s="2" t="s">
        <v>15304</v>
      </c>
      <c r="G1835" s="2" t="s">
        <v>16332</v>
      </c>
      <c r="H1835" s="2" t="s">
        <v>39</v>
      </c>
      <c r="I1835" s="9">
        <v>9710.67</v>
      </c>
      <c r="J1835" s="7">
        <v>1</v>
      </c>
      <c r="K1835" s="9">
        <v>9710.67</v>
      </c>
      <c r="L1835" s="14">
        <v>0</v>
      </c>
      <c r="M1835" s="2" t="s">
        <v>71</v>
      </c>
      <c r="N1835" s="2" t="s">
        <v>13272</v>
      </c>
      <c r="O1835" s="2" t="s">
        <v>16333</v>
      </c>
      <c r="P1835" s="9">
        <v>0</v>
      </c>
      <c r="Q1835" s="9">
        <v>0</v>
      </c>
      <c r="R1835" s="2" t="s">
        <v>16012</v>
      </c>
    </row>
    <row r="1836" spans="1:18" x14ac:dyDescent="0.25">
      <c r="A1836" s="2" t="s">
        <v>9920</v>
      </c>
      <c r="B1836" s="6">
        <v>46204</v>
      </c>
      <c r="C1836" s="8">
        <v>46210</v>
      </c>
      <c r="D1836" s="2" t="s">
        <v>7433</v>
      </c>
      <c r="E1836" s="2" t="s">
        <v>12593</v>
      </c>
      <c r="F1836" s="2" t="s">
        <v>15308</v>
      </c>
      <c r="G1836" s="2" t="s">
        <v>16334</v>
      </c>
      <c r="H1836" s="2" t="s">
        <v>76</v>
      </c>
      <c r="I1836" s="9">
        <v>161088548.387097</v>
      </c>
      <c r="J1836" s="7">
        <v>6.2000000000000003E-5</v>
      </c>
      <c r="K1836" s="9">
        <v>9987.49</v>
      </c>
      <c r="L1836" s="14">
        <v>0</v>
      </c>
      <c r="M1836" s="2" t="s">
        <v>71</v>
      </c>
      <c r="N1836" s="2" t="s">
        <v>13272</v>
      </c>
      <c r="O1836" s="2" t="s">
        <v>16335</v>
      </c>
      <c r="P1836" s="9">
        <v>0</v>
      </c>
      <c r="Q1836" s="9">
        <v>0</v>
      </c>
      <c r="R1836" s="2" t="s">
        <v>16015</v>
      </c>
    </row>
    <row r="1837" spans="1:18" x14ac:dyDescent="0.25">
      <c r="A1837" s="2" t="s">
        <v>9925</v>
      </c>
      <c r="B1837" s="6">
        <v>46204</v>
      </c>
      <c r="C1837" s="8">
        <v>46211</v>
      </c>
      <c r="D1837" s="2" t="s">
        <v>7433</v>
      </c>
      <c r="E1837" s="2" t="s">
        <v>12593</v>
      </c>
      <c r="F1837" s="2" t="s">
        <v>15312</v>
      </c>
      <c r="G1837" s="2" t="s">
        <v>16336</v>
      </c>
      <c r="H1837" s="2" t="s">
        <v>70</v>
      </c>
      <c r="I1837" s="9">
        <v>15599.255319</v>
      </c>
      <c r="J1837" s="7">
        <v>0.65800000000000003</v>
      </c>
      <c r="K1837" s="9">
        <v>10264.31</v>
      </c>
      <c r="L1837" s="14">
        <v>0</v>
      </c>
      <c r="M1837" s="2" t="s">
        <v>71</v>
      </c>
      <c r="N1837" s="2" t="s">
        <v>13272</v>
      </c>
      <c r="O1837" s="2" t="s">
        <v>16337</v>
      </c>
      <c r="P1837" s="9">
        <v>0</v>
      </c>
      <c r="Q1837" s="9">
        <v>0</v>
      </c>
      <c r="R1837" s="2" t="s">
        <v>15988</v>
      </c>
    </row>
    <row r="1838" spans="1:18" x14ac:dyDescent="0.25">
      <c r="A1838" s="2" t="s">
        <v>9930</v>
      </c>
      <c r="B1838" s="6">
        <v>46204</v>
      </c>
      <c r="C1838" s="8">
        <v>46212</v>
      </c>
      <c r="D1838" s="2" t="s">
        <v>7433</v>
      </c>
      <c r="E1838" s="2" t="s">
        <v>12593</v>
      </c>
      <c r="F1838" s="2" t="s">
        <v>15316</v>
      </c>
      <c r="G1838" s="2" t="s">
        <v>16338</v>
      </c>
      <c r="H1838" s="2" t="s">
        <v>39</v>
      </c>
      <c r="I1838" s="9">
        <v>10541.12</v>
      </c>
      <c r="J1838" s="7">
        <v>1</v>
      </c>
      <c r="K1838" s="9">
        <v>10541.12</v>
      </c>
      <c r="L1838" s="14">
        <v>0</v>
      </c>
      <c r="M1838" s="2" t="s">
        <v>71</v>
      </c>
      <c r="N1838" s="2" t="s">
        <v>13272</v>
      </c>
      <c r="O1838" s="2" t="s">
        <v>16339</v>
      </c>
      <c r="P1838" s="9">
        <v>0</v>
      </c>
      <c r="Q1838" s="9">
        <v>0</v>
      </c>
      <c r="R1838" s="2" t="s">
        <v>15991</v>
      </c>
    </row>
    <row r="1839" spans="1:18" x14ac:dyDescent="0.25">
      <c r="A1839" s="2" t="s">
        <v>9935</v>
      </c>
      <c r="B1839" s="6">
        <v>46204</v>
      </c>
      <c r="C1839" s="8">
        <v>46213</v>
      </c>
      <c r="D1839" s="2" t="s">
        <v>7433</v>
      </c>
      <c r="E1839" s="2" t="s">
        <v>12593</v>
      </c>
      <c r="F1839" s="2" t="s">
        <v>15320</v>
      </c>
      <c r="G1839" s="2" t="s">
        <v>16340</v>
      </c>
      <c r="H1839" s="2" t="s">
        <v>76</v>
      </c>
      <c r="I1839" s="9">
        <v>174482903.225806</v>
      </c>
      <c r="J1839" s="7">
        <v>6.2000000000000003E-5</v>
      </c>
      <c r="K1839" s="9">
        <v>10817.94</v>
      </c>
      <c r="L1839" s="14">
        <v>0</v>
      </c>
      <c r="M1839" s="2" t="s">
        <v>71</v>
      </c>
      <c r="N1839" s="2" t="s">
        <v>13272</v>
      </c>
      <c r="O1839" s="2" t="s">
        <v>16341</v>
      </c>
      <c r="P1839" s="9">
        <v>0</v>
      </c>
      <c r="Q1839" s="9">
        <v>0</v>
      </c>
      <c r="R1839" s="2" t="s">
        <v>15994</v>
      </c>
    </row>
    <row r="1840" spans="1:18" x14ac:dyDescent="0.25">
      <c r="A1840" s="2" t="s">
        <v>9940</v>
      </c>
      <c r="B1840" s="6">
        <v>46204</v>
      </c>
      <c r="C1840" s="8">
        <v>46214</v>
      </c>
      <c r="D1840" s="2" t="s">
        <v>7433</v>
      </c>
      <c r="E1840" s="2" t="s">
        <v>12593</v>
      </c>
      <c r="F1840" s="2" t="s">
        <v>15324</v>
      </c>
      <c r="G1840" s="2" t="s">
        <v>16342</v>
      </c>
      <c r="H1840" s="2" t="s">
        <v>70</v>
      </c>
      <c r="I1840" s="9">
        <v>16861.337385999999</v>
      </c>
      <c r="J1840" s="7">
        <v>0.65800000000000003</v>
      </c>
      <c r="K1840" s="9">
        <v>11094.76</v>
      </c>
      <c r="L1840" s="14">
        <v>0</v>
      </c>
      <c r="M1840" s="2" t="s">
        <v>71</v>
      </c>
      <c r="N1840" s="2" t="s">
        <v>13272</v>
      </c>
      <c r="O1840" s="2" t="s">
        <v>16343</v>
      </c>
      <c r="P1840" s="9">
        <v>0</v>
      </c>
      <c r="Q1840" s="9">
        <v>0</v>
      </c>
      <c r="R1840" s="2" t="s">
        <v>15997</v>
      </c>
    </row>
    <row r="1841" spans="1:18" x14ac:dyDescent="0.25">
      <c r="A1841" s="2" t="s">
        <v>9945</v>
      </c>
      <c r="B1841" s="6">
        <v>46204</v>
      </c>
      <c r="C1841" s="8">
        <v>46215</v>
      </c>
      <c r="D1841" s="2" t="s">
        <v>7433</v>
      </c>
      <c r="E1841" s="2" t="s">
        <v>12593</v>
      </c>
      <c r="F1841" s="2" t="s">
        <v>15328</v>
      </c>
      <c r="G1841" s="2" t="s">
        <v>16344</v>
      </c>
      <c r="H1841" s="2" t="s">
        <v>39</v>
      </c>
      <c r="I1841" s="9">
        <v>11371.57</v>
      </c>
      <c r="J1841" s="7">
        <v>1</v>
      </c>
      <c r="K1841" s="9">
        <v>11371.57</v>
      </c>
      <c r="L1841" s="14">
        <v>0</v>
      </c>
      <c r="M1841" s="2" t="s">
        <v>71</v>
      </c>
      <c r="N1841" s="2" t="s">
        <v>13272</v>
      </c>
      <c r="O1841" s="2" t="s">
        <v>16345</v>
      </c>
      <c r="P1841" s="9">
        <v>0</v>
      </c>
      <c r="Q1841" s="9">
        <v>0</v>
      </c>
      <c r="R1841" s="2" t="s">
        <v>16000</v>
      </c>
    </row>
    <row r="1842" spans="1:18" x14ac:dyDescent="0.25">
      <c r="A1842" s="2" t="s">
        <v>9950</v>
      </c>
      <c r="B1842" s="6">
        <v>46204</v>
      </c>
      <c r="C1842" s="8">
        <v>46216</v>
      </c>
      <c r="D1842" s="2" t="s">
        <v>7433</v>
      </c>
      <c r="E1842" s="2" t="s">
        <v>12593</v>
      </c>
      <c r="F1842" s="2" t="s">
        <v>15332</v>
      </c>
      <c r="G1842" s="2" t="s">
        <v>16346</v>
      </c>
      <c r="H1842" s="2" t="s">
        <v>76</v>
      </c>
      <c r="I1842" s="9">
        <v>187877096.774194</v>
      </c>
      <c r="J1842" s="7">
        <v>6.2000000000000003E-5</v>
      </c>
      <c r="K1842" s="9">
        <v>11648.38</v>
      </c>
      <c r="L1842" s="14">
        <v>0</v>
      </c>
      <c r="M1842" s="2" t="s">
        <v>71</v>
      </c>
      <c r="N1842" s="2" t="s">
        <v>13272</v>
      </c>
      <c r="O1842" s="2" t="s">
        <v>16347</v>
      </c>
      <c r="P1842" s="9">
        <v>0</v>
      </c>
      <c r="Q1842" s="9">
        <v>0</v>
      </c>
      <c r="R1842" s="2" t="s">
        <v>16003</v>
      </c>
    </row>
    <row r="1843" spans="1:18" x14ac:dyDescent="0.25">
      <c r="A1843" s="2" t="s">
        <v>9955</v>
      </c>
      <c r="B1843" s="6">
        <v>46204</v>
      </c>
      <c r="C1843" s="8">
        <v>46217</v>
      </c>
      <c r="D1843" s="2" t="s">
        <v>7433</v>
      </c>
      <c r="E1843" s="2" t="s">
        <v>12593</v>
      </c>
      <c r="F1843" s="2" t="s">
        <v>15336</v>
      </c>
      <c r="G1843" s="2" t="s">
        <v>16348</v>
      </c>
      <c r="H1843" s="2" t="s">
        <v>70</v>
      </c>
      <c r="I1843" s="9">
        <v>18123.404255000001</v>
      </c>
      <c r="J1843" s="7">
        <v>0.65800000000000003</v>
      </c>
      <c r="K1843" s="9">
        <v>11925.2</v>
      </c>
      <c r="L1843" s="14">
        <v>0</v>
      </c>
      <c r="M1843" s="2" t="s">
        <v>71</v>
      </c>
      <c r="N1843" s="2" t="s">
        <v>13272</v>
      </c>
      <c r="O1843" s="2" t="s">
        <v>16349</v>
      </c>
      <c r="P1843" s="9">
        <v>0</v>
      </c>
      <c r="Q1843" s="9">
        <v>0</v>
      </c>
      <c r="R1843" s="2" t="s">
        <v>16006</v>
      </c>
    </row>
    <row r="1844" spans="1:18" x14ac:dyDescent="0.25">
      <c r="A1844" s="2" t="s">
        <v>9960</v>
      </c>
      <c r="B1844" s="6">
        <v>46204</v>
      </c>
      <c r="C1844" s="8">
        <v>46218</v>
      </c>
      <c r="D1844" s="2" t="s">
        <v>7433</v>
      </c>
      <c r="E1844" s="2" t="s">
        <v>12593</v>
      </c>
      <c r="F1844" s="2" t="s">
        <v>15300</v>
      </c>
      <c r="G1844" s="2" t="s">
        <v>16350</v>
      </c>
      <c r="H1844" s="2" t="s">
        <v>39</v>
      </c>
      <c r="I1844" s="9">
        <v>12202.02</v>
      </c>
      <c r="J1844" s="7">
        <v>1</v>
      </c>
      <c r="K1844" s="9">
        <v>12202.02</v>
      </c>
      <c r="L1844" s="14">
        <v>0</v>
      </c>
      <c r="M1844" s="2" t="s">
        <v>71</v>
      </c>
      <c r="N1844" s="2" t="s">
        <v>13272</v>
      </c>
      <c r="O1844" s="2" t="s">
        <v>16351</v>
      </c>
      <c r="P1844" s="9">
        <v>0</v>
      </c>
      <c r="Q1844" s="9">
        <v>0</v>
      </c>
      <c r="R1844" s="2" t="s">
        <v>16009</v>
      </c>
    </row>
    <row r="1845" spans="1:18" x14ac:dyDescent="0.25">
      <c r="A1845" s="2" t="s">
        <v>9965</v>
      </c>
      <c r="B1845" s="6">
        <v>46204</v>
      </c>
      <c r="C1845" s="8">
        <v>46219</v>
      </c>
      <c r="D1845" s="2" t="s">
        <v>7433</v>
      </c>
      <c r="E1845" s="2" t="s">
        <v>12593</v>
      </c>
      <c r="F1845" s="2" t="s">
        <v>15304</v>
      </c>
      <c r="G1845" s="2" t="s">
        <v>16352</v>
      </c>
      <c r="H1845" s="2" t="s">
        <v>76</v>
      </c>
      <c r="I1845" s="9">
        <v>201271451.612903</v>
      </c>
      <c r="J1845" s="7">
        <v>6.2000000000000003E-5</v>
      </c>
      <c r="K1845" s="9">
        <v>12478.83</v>
      </c>
      <c r="L1845" s="14">
        <v>0</v>
      </c>
      <c r="M1845" s="2" t="s">
        <v>71</v>
      </c>
      <c r="N1845" s="2" t="s">
        <v>13272</v>
      </c>
      <c r="O1845" s="2" t="s">
        <v>16353</v>
      </c>
      <c r="P1845" s="9">
        <v>0</v>
      </c>
      <c r="Q1845" s="9">
        <v>0</v>
      </c>
      <c r="R1845" s="2" t="s">
        <v>16012</v>
      </c>
    </row>
    <row r="1846" spans="1:18" x14ac:dyDescent="0.25">
      <c r="A1846" s="2" t="s">
        <v>9970</v>
      </c>
      <c r="B1846" s="6">
        <v>46204</v>
      </c>
      <c r="C1846" s="8">
        <v>46220</v>
      </c>
      <c r="D1846" s="2" t="s">
        <v>7433</v>
      </c>
      <c r="E1846" s="2" t="s">
        <v>12593</v>
      </c>
      <c r="F1846" s="2" t="s">
        <v>15308</v>
      </c>
      <c r="G1846" s="2" t="s">
        <v>16354</v>
      </c>
      <c r="H1846" s="2" t="s">
        <v>70</v>
      </c>
      <c r="I1846" s="9">
        <v>19385.486322000001</v>
      </c>
      <c r="J1846" s="7">
        <v>0.65800000000000003</v>
      </c>
      <c r="K1846" s="9">
        <v>12755.65</v>
      </c>
      <c r="L1846" s="14">
        <v>0</v>
      </c>
      <c r="M1846" s="2" t="s">
        <v>71</v>
      </c>
      <c r="N1846" s="2" t="s">
        <v>13272</v>
      </c>
      <c r="O1846" s="2" t="s">
        <v>16355</v>
      </c>
      <c r="P1846" s="9">
        <v>0</v>
      </c>
      <c r="Q1846" s="9">
        <v>0</v>
      </c>
      <c r="R1846" s="2" t="s">
        <v>16015</v>
      </c>
    </row>
    <row r="1847" spans="1:18" x14ac:dyDescent="0.25">
      <c r="A1847" s="2" t="s">
        <v>9975</v>
      </c>
      <c r="B1847" s="6">
        <v>46204</v>
      </c>
      <c r="C1847" s="8">
        <v>46221</v>
      </c>
      <c r="D1847" s="2" t="s">
        <v>7433</v>
      </c>
      <c r="E1847" s="2" t="s">
        <v>12593</v>
      </c>
      <c r="F1847" s="2" t="s">
        <v>15312</v>
      </c>
      <c r="G1847" s="2" t="s">
        <v>16356</v>
      </c>
      <c r="H1847" s="2" t="s">
        <v>39</v>
      </c>
      <c r="I1847" s="9">
        <v>13032.46</v>
      </c>
      <c r="J1847" s="7">
        <v>1</v>
      </c>
      <c r="K1847" s="9">
        <v>13032.46</v>
      </c>
      <c r="L1847" s="14">
        <v>0</v>
      </c>
      <c r="M1847" s="2" t="s">
        <v>71</v>
      </c>
      <c r="N1847" s="2" t="s">
        <v>13272</v>
      </c>
      <c r="O1847" s="2" t="s">
        <v>16357</v>
      </c>
      <c r="P1847" s="9">
        <v>0</v>
      </c>
      <c r="Q1847" s="9">
        <v>0</v>
      </c>
      <c r="R1847" s="2" t="s">
        <v>15988</v>
      </c>
    </row>
    <row r="1848" spans="1:18" x14ac:dyDescent="0.25">
      <c r="A1848" s="2" t="s">
        <v>9980</v>
      </c>
      <c r="B1848" s="6">
        <v>46204</v>
      </c>
      <c r="C1848" s="8">
        <v>46222</v>
      </c>
      <c r="D1848" s="2" t="s">
        <v>7433</v>
      </c>
      <c r="E1848" s="2" t="s">
        <v>12593</v>
      </c>
      <c r="F1848" s="2" t="s">
        <v>15316</v>
      </c>
      <c r="G1848" s="2" t="s">
        <v>16358</v>
      </c>
      <c r="H1848" s="2" t="s">
        <v>76</v>
      </c>
      <c r="I1848" s="9">
        <v>214665806.45161301</v>
      </c>
      <c r="J1848" s="7">
        <v>6.2000000000000003E-5</v>
      </c>
      <c r="K1848" s="9">
        <v>13309.28</v>
      </c>
      <c r="L1848" s="14">
        <v>0</v>
      </c>
      <c r="M1848" s="2" t="s">
        <v>71</v>
      </c>
      <c r="N1848" s="2" t="s">
        <v>13272</v>
      </c>
      <c r="O1848" s="2" t="s">
        <v>16359</v>
      </c>
      <c r="P1848" s="9">
        <v>0</v>
      </c>
      <c r="Q1848" s="9">
        <v>0</v>
      </c>
      <c r="R1848" s="2" t="s">
        <v>15991</v>
      </c>
    </row>
    <row r="1849" spans="1:18" x14ac:dyDescent="0.25">
      <c r="A1849" s="2" t="s">
        <v>9985</v>
      </c>
      <c r="B1849" s="6">
        <v>46204</v>
      </c>
      <c r="C1849" s="8">
        <v>46223</v>
      </c>
      <c r="D1849" s="2" t="s">
        <v>7433</v>
      </c>
      <c r="E1849" s="2" t="s">
        <v>12593</v>
      </c>
      <c r="F1849" s="2" t="s">
        <v>15320</v>
      </c>
      <c r="G1849" s="2" t="s">
        <v>16360</v>
      </c>
      <c r="H1849" s="2" t="s">
        <v>70</v>
      </c>
      <c r="I1849" s="9">
        <v>20647.553190999999</v>
      </c>
      <c r="J1849" s="7">
        <v>0.65800000000000003</v>
      </c>
      <c r="K1849" s="9">
        <v>13586.09</v>
      </c>
      <c r="L1849" s="14">
        <v>0</v>
      </c>
      <c r="M1849" s="2" t="s">
        <v>71</v>
      </c>
      <c r="N1849" s="2" t="s">
        <v>13272</v>
      </c>
      <c r="O1849" s="2" t="s">
        <v>16361</v>
      </c>
      <c r="P1849" s="9">
        <v>0</v>
      </c>
      <c r="Q1849" s="9">
        <v>0</v>
      </c>
      <c r="R1849" s="2" t="s">
        <v>15994</v>
      </c>
    </row>
    <row r="1850" spans="1:18" x14ac:dyDescent="0.25">
      <c r="A1850" s="2" t="s">
        <v>9990</v>
      </c>
      <c r="B1850" s="6">
        <v>46204</v>
      </c>
      <c r="C1850" s="8">
        <v>46224</v>
      </c>
      <c r="D1850" s="2" t="s">
        <v>7433</v>
      </c>
      <c r="E1850" s="2" t="s">
        <v>12593</v>
      </c>
      <c r="F1850" s="2" t="s">
        <v>15324</v>
      </c>
      <c r="G1850" s="2" t="s">
        <v>16362</v>
      </c>
      <c r="H1850" s="2" t="s">
        <v>39</v>
      </c>
      <c r="I1850" s="9">
        <v>13862.91</v>
      </c>
      <c r="J1850" s="7">
        <v>1</v>
      </c>
      <c r="K1850" s="9">
        <v>13862.91</v>
      </c>
      <c r="L1850" s="14">
        <v>0</v>
      </c>
      <c r="M1850" s="2" t="s">
        <v>71</v>
      </c>
      <c r="N1850" s="2" t="s">
        <v>13272</v>
      </c>
      <c r="O1850" s="2" t="s">
        <v>16363</v>
      </c>
      <c r="P1850" s="9">
        <v>0</v>
      </c>
      <c r="Q1850" s="9">
        <v>0</v>
      </c>
      <c r="R1850" s="2" t="s">
        <v>15997</v>
      </c>
    </row>
    <row r="1851" spans="1:18" x14ac:dyDescent="0.25">
      <c r="A1851" s="2" t="s">
        <v>9995</v>
      </c>
      <c r="B1851" s="6">
        <v>46204</v>
      </c>
      <c r="C1851" s="8">
        <v>46225</v>
      </c>
      <c r="D1851" s="2" t="s">
        <v>7433</v>
      </c>
      <c r="E1851" s="2" t="s">
        <v>12593</v>
      </c>
      <c r="F1851" s="2" t="s">
        <v>15328</v>
      </c>
      <c r="G1851" s="2" t="s">
        <v>16364</v>
      </c>
      <c r="H1851" s="2" t="s">
        <v>76</v>
      </c>
      <c r="I1851" s="9">
        <v>228060161.29032299</v>
      </c>
      <c r="J1851" s="7">
        <v>6.2000000000000003E-5</v>
      </c>
      <c r="K1851" s="9">
        <v>14139.73</v>
      </c>
      <c r="L1851" s="14">
        <v>0</v>
      </c>
      <c r="M1851" s="2" t="s">
        <v>71</v>
      </c>
      <c r="N1851" s="2" t="s">
        <v>13272</v>
      </c>
      <c r="O1851" s="2" t="s">
        <v>16365</v>
      </c>
      <c r="P1851" s="9">
        <v>0</v>
      </c>
      <c r="Q1851" s="9">
        <v>0</v>
      </c>
      <c r="R1851" s="2" t="s">
        <v>16000</v>
      </c>
    </row>
    <row r="1852" spans="1:18" x14ac:dyDescent="0.25">
      <c r="A1852" s="2" t="s">
        <v>10000</v>
      </c>
      <c r="B1852" s="6">
        <v>46204</v>
      </c>
      <c r="C1852" s="8">
        <v>46226</v>
      </c>
      <c r="D1852" s="2" t="s">
        <v>7433</v>
      </c>
      <c r="E1852" s="2" t="s">
        <v>12593</v>
      </c>
      <c r="F1852" s="2" t="s">
        <v>15332</v>
      </c>
      <c r="G1852" s="2" t="s">
        <v>16366</v>
      </c>
      <c r="H1852" s="2" t="s">
        <v>70</v>
      </c>
      <c r="I1852" s="9">
        <v>21909.635257999998</v>
      </c>
      <c r="J1852" s="7">
        <v>0.65800000000000003</v>
      </c>
      <c r="K1852" s="9">
        <v>14416.54</v>
      </c>
      <c r="L1852" s="14">
        <v>0</v>
      </c>
      <c r="M1852" s="2" t="s">
        <v>71</v>
      </c>
      <c r="N1852" s="2" t="s">
        <v>13272</v>
      </c>
      <c r="O1852" s="2" t="s">
        <v>16367</v>
      </c>
      <c r="P1852" s="9">
        <v>0</v>
      </c>
      <c r="Q1852" s="9">
        <v>0</v>
      </c>
      <c r="R1852" s="2" t="s">
        <v>16003</v>
      </c>
    </row>
    <row r="1853" spans="1:18" x14ac:dyDescent="0.25">
      <c r="A1853" s="2" t="s">
        <v>10005</v>
      </c>
      <c r="B1853" s="6">
        <v>46204</v>
      </c>
      <c r="C1853" s="8">
        <v>46227</v>
      </c>
      <c r="D1853" s="2" t="s">
        <v>7433</v>
      </c>
      <c r="E1853" s="2" t="s">
        <v>12593</v>
      </c>
      <c r="F1853" s="2" t="s">
        <v>15336</v>
      </c>
      <c r="G1853" s="2" t="s">
        <v>16368</v>
      </c>
      <c r="H1853" s="2" t="s">
        <v>39</v>
      </c>
      <c r="I1853" s="9">
        <v>14693.36</v>
      </c>
      <c r="J1853" s="7">
        <v>1</v>
      </c>
      <c r="K1853" s="9">
        <v>14693.36</v>
      </c>
      <c r="L1853" s="14">
        <v>0</v>
      </c>
      <c r="M1853" s="2" t="s">
        <v>71</v>
      </c>
      <c r="N1853" s="2" t="s">
        <v>13272</v>
      </c>
      <c r="O1853" s="2" t="s">
        <v>16369</v>
      </c>
      <c r="P1853" s="9">
        <v>0</v>
      </c>
      <c r="Q1853" s="9">
        <v>0</v>
      </c>
      <c r="R1853" s="2" t="s">
        <v>16006</v>
      </c>
    </row>
    <row r="1854" spans="1:18" x14ac:dyDescent="0.25">
      <c r="A1854" s="2" t="s">
        <v>10010</v>
      </c>
      <c r="B1854" s="6">
        <v>46204</v>
      </c>
      <c r="C1854" s="8">
        <v>46228</v>
      </c>
      <c r="D1854" s="2" t="s">
        <v>7433</v>
      </c>
      <c r="E1854" s="2" t="s">
        <v>12593</v>
      </c>
      <c r="F1854" s="2" t="s">
        <v>15300</v>
      </c>
      <c r="G1854" s="2" t="s">
        <v>16370</v>
      </c>
      <c r="H1854" s="2" t="s">
        <v>76</v>
      </c>
      <c r="I1854" s="9">
        <v>241454516.12903199</v>
      </c>
      <c r="J1854" s="7">
        <v>6.2000000000000003E-5</v>
      </c>
      <c r="K1854" s="9">
        <v>14970.18</v>
      </c>
      <c r="L1854" s="14">
        <v>0</v>
      </c>
      <c r="M1854" s="2" t="s">
        <v>71</v>
      </c>
      <c r="N1854" s="2" t="s">
        <v>13272</v>
      </c>
      <c r="O1854" s="2" t="s">
        <v>16371</v>
      </c>
      <c r="P1854" s="9">
        <v>0</v>
      </c>
      <c r="Q1854" s="9">
        <v>0</v>
      </c>
      <c r="R1854" s="2" t="s">
        <v>16009</v>
      </c>
    </row>
    <row r="1855" spans="1:18" x14ac:dyDescent="0.25">
      <c r="A1855" s="2" t="s">
        <v>10015</v>
      </c>
      <c r="B1855" s="6">
        <v>46204</v>
      </c>
      <c r="C1855" s="8">
        <v>46229</v>
      </c>
      <c r="D1855" s="2" t="s">
        <v>7433</v>
      </c>
      <c r="E1855" s="2" t="s">
        <v>12593</v>
      </c>
      <c r="F1855" s="2" t="s">
        <v>15304</v>
      </c>
      <c r="G1855" s="2" t="s">
        <v>16372</v>
      </c>
      <c r="H1855" s="2" t="s">
        <v>70</v>
      </c>
      <c r="I1855" s="9">
        <v>23171.717325000001</v>
      </c>
      <c r="J1855" s="7">
        <v>0.65800000000000003</v>
      </c>
      <c r="K1855" s="9">
        <v>15246.99</v>
      </c>
      <c r="L1855" s="14">
        <v>0</v>
      </c>
      <c r="M1855" s="2" t="s">
        <v>71</v>
      </c>
      <c r="N1855" s="2" t="s">
        <v>13272</v>
      </c>
      <c r="O1855" s="2" t="s">
        <v>16373</v>
      </c>
      <c r="P1855" s="9">
        <v>0</v>
      </c>
      <c r="Q1855" s="9">
        <v>0</v>
      </c>
      <c r="R1855" s="2" t="s">
        <v>16012</v>
      </c>
    </row>
    <row r="1856" spans="1:18" x14ac:dyDescent="0.25">
      <c r="A1856" s="2" t="s">
        <v>10020</v>
      </c>
      <c r="B1856" s="6">
        <v>46204</v>
      </c>
      <c r="C1856" s="8">
        <v>46230</v>
      </c>
      <c r="D1856" s="2" t="s">
        <v>7433</v>
      </c>
      <c r="E1856" s="2" t="s">
        <v>12593</v>
      </c>
      <c r="F1856" s="2" t="s">
        <v>15308</v>
      </c>
      <c r="G1856" s="2" t="s">
        <v>16374</v>
      </c>
      <c r="H1856" s="2" t="s">
        <v>39</v>
      </c>
      <c r="I1856" s="9">
        <v>15523.81</v>
      </c>
      <c r="J1856" s="7">
        <v>1</v>
      </c>
      <c r="K1856" s="9">
        <v>15523.81</v>
      </c>
      <c r="L1856" s="14">
        <v>0</v>
      </c>
      <c r="M1856" s="2" t="s">
        <v>71</v>
      </c>
      <c r="N1856" s="2" t="s">
        <v>13272</v>
      </c>
      <c r="O1856" s="2" t="s">
        <v>16375</v>
      </c>
      <c r="P1856" s="9">
        <v>0</v>
      </c>
      <c r="Q1856" s="9">
        <v>0</v>
      </c>
      <c r="R1856" s="2" t="s">
        <v>16015</v>
      </c>
    </row>
    <row r="1857" spans="1:18" x14ac:dyDescent="0.25">
      <c r="A1857" s="2" t="s">
        <v>10025</v>
      </c>
      <c r="B1857" s="6">
        <v>46204</v>
      </c>
      <c r="C1857" s="8">
        <v>46231</v>
      </c>
      <c r="D1857" s="2" t="s">
        <v>7433</v>
      </c>
      <c r="E1857" s="2" t="s">
        <v>12593</v>
      </c>
      <c r="F1857" s="2" t="s">
        <v>15312</v>
      </c>
      <c r="G1857" s="2" t="s">
        <v>16376</v>
      </c>
      <c r="H1857" s="2" t="s">
        <v>76</v>
      </c>
      <c r="I1857" s="9">
        <v>254848709.67741901</v>
      </c>
      <c r="J1857" s="7">
        <v>6.2000000000000003E-5</v>
      </c>
      <c r="K1857" s="9">
        <v>15800.62</v>
      </c>
      <c r="L1857" s="14">
        <v>0</v>
      </c>
      <c r="M1857" s="2" t="s">
        <v>71</v>
      </c>
      <c r="N1857" s="2" t="s">
        <v>13272</v>
      </c>
      <c r="O1857" s="2" t="s">
        <v>16377</v>
      </c>
      <c r="P1857" s="9">
        <v>0</v>
      </c>
      <c r="Q1857" s="9">
        <v>0</v>
      </c>
      <c r="R1857" s="2" t="s">
        <v>15988</v>
      </c>
    </row>
    <row r="1858" spans="1:18" x14ac:dyDescent="0.25">
      <c r="A1858" s="2" t="s">
        <v>10030</v>
      </c>
      <c r="B1858" s="6">
        <v>46204</v>
      </c>
      <c r="C1858" s="8">
        <v>46232</v>
      </c>
      <c r="D1858" s="2" t="s">
        <v>7433</v>
      </c>
      <c r="E1858" s="2" t="s">
        <v>12593</v>
      </c>
      <c r="F1858" s="2" t="s">
        <v>15316</v>
      </c>
      <c r="G1858" s="2" t="s">
        <v>16378</v>
      </c>
      <c r="H1858" s="2" t="s">
        <v>70</v>
      </c>
      <c r="I1858" s="9">
        <v>24433.799392000001</v>
      </c>
      <c r="J1858" s="7">
        <v>0.65800000000000003</v>
      </c>
      <c r="K1858" s="9">
        <v>16077.44</v>
      </c>
      <c r="L1858" s="14">
        <v>0</v>
      </c>
      <c r="M1858" s="2" t="s">
        <v>71</v>
      </c>
      <c r="N1858" s="2" t="s">
        <v>13272</v>
      </c>
      <c r="O1858" s="2" t="s">
        <v>16379</v>
      </c>
      <c r="P1858" s="9">
        <v>0</v>
      </c>
      <c r="Q1858" s="9">
        <v>0</v>
      </c>
      <c r="R1858" s="2" t="s">
        <v>15991</v>
      </c>
    </row>
    <row r="1859" spans="1:18" x14ac:dyDescent="0.25">
      <c r="A1859" s="2" t="s">
        <v>10035</v>
      </c>
      <c r="B1859" s="6">
        <v>46204</v>
      </c>
      <c r="C1859" s="8">
        <v>46233</v>
      </c>
      <c r="D1859" s="2" t="s">
        <v>7433</v>
      </c>
      <c r="E1859" s="2" t="s">
        <v>12593</v>
      </c>
      <c r="F1859" s="2" t="s">
        <v>15320</v>
      </c>
      <c r="G1859" s="2" t="s">
        <v>16380</v>
      </c>
      <c r="H1859" s="2" t="s">
        <v>39</v>
      </c>
      <c r="I1859" s="9">
        <v>16354.26</v>
      </c>
      <c r="J1859" s="7">
        <v>1</v>
      </c>
      <c r="K1859" s="9">
        <v>16354.26</v>
      </c>
      <c r="L1859" s="14">
        <v>0</v>
      </c>
      <c r="M1859" s="2" t="s">
        <v>71</v>
      </c>
      <c r="N1859" s="2" t="s">
        <v>13272</v>
      </c>
      <c r="O1859" s="2" t="s">
        <v>16381</v>
      </c>
      <c r="P1859" s="9">
        <v>0</v>
      </c>
      <c r="Q1859" s="9">
        <v>0</v>
      </c>
      <c r="R1859" s="2" t="s">
        <v>15994</v>
      </c>
    </row>
    <row r="1860" spans="1:18" x14ac:dyDescent="0.25">
      <c r="A1860" s="2" t="s">
        <v>10040</v>
      </c>
      <c r="B1860" s="6">
        <v>46204</v>
      </c>
      <c r="C1860" s="8">
        <v>46234</v>
      </c>
      <c r="D1860" s="2" t="s">
        <v>7433</v>
      </c>
      <c r="E1860" s="2" t="s">
        <v>12593</v>
      </c>
      <c r="F1860" s="2" t="s">
        <v>15324</v>
      </c>
      <c r="G1860" s="2" t="s">
        <v>16382</v>
      </c>
      <c r="H1860" s="2" t="s">
        <v>76</v>
      </c>
      <c r="I1860" s="9">
        <v>268243064.51612899</v>
      </c>
      <c r="J1860" s="7">
        <v>6.2000000000000003E-5</v>
      </c>
      <c r="K1860" s="9">
        <v>16631.07</v>
      </c>
      <c r="L1860" s="14">
        <v>0</v>
      </c>
      <c r="M1860" s="2" t="s">
        <v>71</v>
      </c>
      <c r="N1860" s="2" t="s">
        <v>13272</v>
      </c>
      <c r="O1860" s="2" t="s">
        <v>16383</v>
      </c>
      <c r="P1860" s="9">
        <v>0</v>
      </c>
      <c r="Q1860" s="9">
        <v>0</v>
      </c>
      <c r="R1860" s="2" t="s">
        <v>15997</v>
      </c>
    </row>
    <row r="1861" spans="1:18" x14ac:dyDescent="0.25">
      <c r="A1861" s="2" t="s">
        <v>10045</v>
      </c>
      <c r="B1861" s="6">
        <v>46204</v>
      </c>
      <c r="C1861" s="8">
        <v>46204</v>
      </c>
      <c r="D1861" s="2" t="s">
        <v>7433</v>
      </c>
      <c r="E1861" s="2" t="s">
        <v>12593</v>
      </c>
      <c r="F1861" s="2" t="s">
        <v>15328</v>
      </c>
      <c r="G1861" s="2" t="s">
        <v>16384</v>
      </c>
      <c r="H1861" s="2" t="s">
        <v>70</v>
      </c>
      <c r="I1861" s="9">
        <v>25695.881459</v>
      </c>
      <c r="J1861" s="7">
        <v>0.65800000000000003</v>
      </c>
      <c r="K1861" s="9">
        <v>16907.89</v>
      </c>
      <c r="L1861" s="14">
        <v>0</v>
      </c>
      <c r="M1861" s="2" t="s">
        <v>71</v>
      </c>
      <c r="N1861" s="2" t="s">
        <v>13272</v>
      </c>
      <c r="O1861" s="2" t="s">
        <v>16385</v>
      </c>
      <c r="P1861" s="9">
        <v>0</v>
      </c>
      <c r="Q1861" s="9">
        <v>0</v>
      </c>
      <c r="R1861" s="2" t="s">
        <v>16000</v>
      </c>
    </row>
    <row r="1862" spans="1:18" x14ac:dyDescent="0.25">
      <c r="A1862" s="2" t="s">
        <v>10050</v>
      </c>
      <c r="B1862" s="6">
        <v>46204</v>
      </c>
      <c r="C1862" s="8">
        <v>46205</v>
      </c>
      <c r="D1862" s="2" t="s">
        <v>7433</v>
      </c>
      <c r="E1862" s="2" t="s">
        <v>12593</v>
      </c>
      <c r="F1862" s="2" t="s">
        <v>15332</v>
      </c>
      <c r="G1862" s="2" t="s">
        <v>16386</v>
      </c>
      <c r="H1862" s="2" t="s">
        <v>39</v>
      </c>
      <c r="I1862" s="9">
        <v>17184.7</v>
      </c>
      <c r="J1862" s="7">
        <v>1</v>
      </c>
      <c r="K1862" s="9">
        <v>17184.7</v>
      </c>
      <c r="L1862" s="14">
        <v>0</v>
      </c>
      <c r="M1862" s="2" t="s">
        <v>71</v>
      </c>
      <c r="N1862" s="2" t="s">
        <v>13272</v>
      </c>
      <c r="O1862" s="2" t="s">
        <v>16387</v>
      </c>
      <c r="P1862" s="9">
        <v>0</v>
      </c>
      <c r="Q1862" s="9">
        <v>0</v>
      </c>
      <c r="R1862" s="2" t="s">
        <v>16003</v>
      </c>
    </row>
    <row r="1863" spans="1:18" x14ac:dyDescent="0.25">
      <c r="A1863" s="2" t="s">
        <v>10055</v>
      </c>
      <c r="B1863" s="6">
        <v>46204</v>
      </c>
      <c r="C1863" s="8">
        <v>46206</v>
      </c>
      <c r="D1863" s="2" t="s">
        <v>7433</v>
      </c>
      <c r="E1863" s="2" t="s">
        <v>12593</v>
      </c>
      <c r="F1863" s="2" t="s">
        <v>15336</v>
      </c>
      <c r="G1863" s="2" t="s">
        <v>16388</v>
      </c>
      <c r="H1863" s="2" t="s">
        <v>76</v>
      </c>
      <c r="I1863" s="9">
        <v>281637419.35483903</v>
      </c>
      <c r="J1863" s="7">
        <v>6.2000000000000003E-5</v>
      </c>
      <c r="K1863" s="9">
        <v>17461.52</v>
      </c>
      <c r="L1863" s="14">
        <v>0</v>
      </c>
      <c r="M1863" s="2" t="s">
        <v>71</v>
      </c>
      <c r="N1863" s="2" t="s">
        <v>13272</v>
      </c>
      <c r="O1863" s="2" t="s">
        <v>16389</v>
      </c>
      <c r="P1863" s="9">
        <v>0</v>
      </c>
      <c r="Q1863" s="9">
        <v>0</v>
      </c>
      <c r="R1863" s="2" t="s">
        <v>16006</v>
      </c>
    </row>
    <row r="1864" spans="1:18" x14ac:dyDescent="0.25">
      <c r="A1864" s="2" t="s">
        <v>10060</v>
      </c>
      <c r="B1864" s="6">
        <v>46204</v>
      </c>
      <c r="C1864" s="8">
        <v>46207</v>
      </c>
      <c r="D1864" s="2" t="s">
        <v>7433</v>
      </c>
      <c r="E1864" s="2" t="s">
        <v>12593</v>
      </c>
      <c r="F1864" s="2" t="s">
        <v>15300</v>
      </c>
      <c r="G1864" s="2" t="s">
        <v>16390</v>
      </c>
      <c r="H1864" s="2" t="s">
        <v>70</v>
      </c>
      <c r="I1864" s="9">
        <v>26957.963526</v>
      </c>
      <c r="J1864" s="7">
        <v>0.65800000000000003</v>
      </c>
      <c r="K1864" s="9">
        <v>17738.34</v>
      </c>
      <c r="L1864" s="14">
        <v>0</v>
      </c>
      <c r="M1864" s="2" t="s">
        <v>71</v>
      </c>
      <c r="N1864" s="2" t="s">
        <v>13272</v>
      </c>
      <c r="O1864" s="2" t="s">
        <v>16391</v>
      </c>
      <c r="P1864" s="9">
        <v>0</v>
      </c>
      <c r="Q1864" s="9">
        <v>0</v>
      </c>
      <c r="R1864" s="2" t="s">
        <v>16009</v>
      </c>
    </row>
    <row r="1865" spans="1:18" x14ac:dyDescent="0.25">
      <c r="A1865" s="2" t="s">
        <v>10065</v>
      </c>
      <c r="B1865" s="6">
        <v>46204</v>
      </c>
      <c r="C1865" s="8">
        <v>46208</v>
      </c>
      <c r="D1865" s="2" t="s">
        <v>7433</v>
      </c>
      <c r="E1865" s="2" t="s">
        <v>12593</v>
      </c>
      <c r="F1865" s="2" t="s">
        <v>15304</v>
      </c>
      <c r="G1865" s="2" t="s">
        <v>16392</v>
      </c>
      <c r="H1865" s="2" t="s">
        <v>39</v>
      </c>
      <c r="I1865" s="9">
        <v>18015.150000000001</v>
      </c>
      <c r="J1865" s="7">
        <v>1</v>
      </c>
      <c r="K1865" s="9">
        <v>18015.150000000001</v>
      </c>
      <c r="L1865" s="14">
        <v>0</v>
      </c>
      <c r="M1865" s="2" t="s">
        <v>71</v>
      </c>
      <c r="N1865" s="2" t="s">
        <v>13272</v>
      </c>
      <c r="O1865" s="2" t="s">
        <v>16393</v>
      </c>
      <c r="P1865" s="9">
        <v>0</v>
      </c>
      <c r="Q1865" s="9">
        <v>0</v>
      </c>
      <c r="R1865" s="2" t="s">
        <v>16012</v>
      </c>
    </row>
    <row r="1866" spans="1:18" x14ac:dyDescent="0.25">
      <c r="A1866" s="2" t="s">
        <v>10070</v>
      </c>
      <c r="B1866" s="6">
        <v>46204</v>
      </c>
      <c r="C1866" s="8">
        <v>46209</v>
      </c>
      <c r="D1866" s="2" t="s">
        <v>7433</v>
      </c>
      <c r="E1866" s="2" t="s">
        <v>12593</v>
      </c>
      <c r="F1866" s="2" t="s">
        <v>15308</v>
      </c>
      <c r="G1866" s="2" t="s">
        <v>16394</v>
      </c>
      <c r="H1866" s="2" t="s">
        <v>76</v>
      </c>
      <c r="I1866" s="9">
        <v>-295031774.19354802</v>
      </c>
      <c r="J1866" s="7">
        <v>6.2000000000000003E-5</v>
      </c>
      <c r="K1866" s="9">
        <v>-18291.97</v>
      </c>
      <c r="L1866" s="14">
        <v>0</v>
      </c>
      <c r="M1866" s="2" t="s">
        <v>71</v>
      </c>
      <c r="N1866" s="2" t="s">
        <v>13272</v>
      </c>
      <c r="O1866" s="2" t="s">
        <v>16395</v>
      </c>
      <c r="P1866" s="9">
        <v>0</v>
      </c>
      <c r="Q1866" s="9">
        <v>0</v>
      </c>
      <c r="R1866" s="2" t="s">
        <v>16015</v>
      </c>
    </row>
    <row r="1867" spans="1:18" x14ac:dyDescent="0.25">
      <c r="A1867" s="2" t="s">
        <v>10073</v>
      </c>
      <c r="B1867" s="6">
        <v>46204</v>
      </c>
      <c r="C1867" s="8">
        <v>46210</v>
      </c>
      <c r="D1867" s="2" t="s">
        <v>7433</v>
      </c>
      <c r="E1867" s="2" t="s">
        <v>12593</v>
      </c>
      <c r="F1867" s="2" t="s">
        <v>15312</v>
      </c>
      <c r="G1867" s="2" t="s">
        <v>16396</v>
      </c>
      <c r="H1867" s="2" t="s">
        <v>70</v>
      </c>
      <c r="I1867" s="9">
        <v>28220.045592999999</v>
      </c>
      <c r="J1867" s="7">
        <v>0.65800000000000003</v>
      </c>
      <c r="K1867" s="9">
        <v>18568.79</v>
      </c>
      <c r="L1867" s="14">
        <v>0</v>
      </c>
      <c r="M1867" s="2" t="s">
        <v>71</v>
      </c>
      <c r="N1867" s="2" t="s">
        <v>13272</v>
      </c>
      <c r="O1867" s="2" t="s">
        <v>16397</v>
      </c>
      <c r="P1867" s="9">
        <v>0</v>
      </c>
      <c r="Q1867" s="9">
        <v>0</v>
      </c>
      <c r="R1867" s="2" t="s">
        <v>15988</v>
      </c>
    </row>
    <row r="1868" spans="1:18" x14ac:dyDescent="0.25">
      <c r="A1868" s="2" t="s">
        <v>10078</v>
      </c>
      <c r="B1868" s="6">
        <v>46204</v>
      </c>
      <c r="C1868" s="8">
        <v>46211</v>
      </c>
      <c r="D1868" s="2" t="s">
        <v>7433</v>
      </c>
      <c r="E1868" s="2" t="s">
        <v>12593</v>
      </c>
      <c r="F1868" s="2" t="s">
        <v>15316</v>
      </c>
      <c r="G1868" s="2" t="s">
        <v>16398</v>
      </c>
      <c r="H1868" s="2" t="s">
        <v>39</v>
      </c>
      <c r="I1868" s="9">
        <v>18845.599999999999</v>
      </c>
      <c r="J1868" s="7">
        <v>1</v>
      </c>
      <c r="K1868" s="9">
        <v>18845.599999999999</v>
      </c>
      <c r="L1868" s="14">
        <v>0</v>
      </c>
      <c r="M1868" s="2" t="s">
        <v>71</v>
      </c>
      <c r="N1868" s="2" t="s">
        <v>13272</v>
      </c>
      <c r="O1868" s="2" t="s">
        <v>16399</v>
      </c>
      <c r="P1868" s="9">
        <v>0</v>
      </c>
      <c r="Q1868" s="9">
        <v>0</v>
      </c>
      <c r="R1868" s="2" t="s">
        <v>15991</v>
      </c>
    </row>
    <row r="1869" spans="1:18" x14ac:dyDescent="0.25">
      <c r="A1869" s="2" t="s">
        <v>10083</v>
      </c>
      <c r="B1869" s="6">
        <v>46204</v>
      </c>
      <c r="C1869" s="8">
        <v>46212</v>
      </c>
      <c r="D1869" s="2" t="s">
        <v>7433</v>
      </c>
      <c r="E1869" s="2" t="s">
        <v>12593</v>
      </c>
      <c r="F1869" s="2" t="s">
        <v>15320</v>
      </c>
      <c r="G1869" s="2" t="s">
        <v>16400</v>
      </c>
      <c r="H1869" s="2" t="s">
        <v>76</v>
      </c>
      <c r="I1869" s="9">
        <v>308426129.03225797</v>
      </c>
      <c r="J1869" s="7">
        <v>6.2000000000000003E-5</v>
      </c>
      <c r="K1869" s="9">
        <v>19122.419999999998</v>
      </c>
      <c r="L1869" s="14">
        <v>0</v>
      </c>
      <c r="M1869" s="2" t="s">
        <v>71</v>
      </c>
      <c r="N1869" s="2" t="s">
        <v>13272</v>
      </c>
      <c r="O1869" s="2" t="s">
        <v>16401</v>
      </c>
      <c r="P1869" s="9">
        <v>0</v>
      </c>
      <c r="Q1869" s="9">
        <v>0</v>
      </c>
      <c r="R1869" s="2" t="s">
        <v>15994</v>
      </c>
    </row>
    <row r="1870" spans="1:18" x14ac:dyDescent="0.25">
      <c r="A1870" s="2" t="s">
        <v>10088</v>
      </c>
      <c r="B1870" s="6">
        <v>46204</v>
      </c>
      <c r="C1870" s="8">
        <v>46213</v>
      </c>
      <c r="D1870" s="2" t="s">
        <v>7433</v>
      </c>
      <c r="E1870" s="2" t="s">
        <v>12593</v>
      </c>
      <c r="F1870" s="2" t="s">
        <v>15324</v>
      </c>
      <c r="G1870" s="2" t="s">
        <v>16402</v>
      </c>
      <c r="H1870" s="2" t="s">
        <v>70</v>
      </c>
      <c r="I1870" s="9">
        <v>29482.112462000001</v>
      </c>
      <c r="J1870" s="7">
        <v>0.65800000000000003</v>
      </c>
      <c r="K1870" s="9">
        <v>19399.23</v>
      </c>
      <c r="L1870" s="14">
        <v>0</v>
      </c>
      <c r="M1870" s="2" t="s">
        <v>71</v>
      </c>
      <c r="N1870" s="2" t="s">
        <v>13272</v>
      </c>
      <c r="O1870" s="2" t="s">
        <v>16403</v>
      </c>
      <c r="P1870" s="9">
        <v>0</v>
      </c>
      <c r="Q1870" s="9">
        <v>0</v>
      </c>
      <c r="R1870" s="2" t="s">
        <v>15997</v>
      </c>
    </row>
    <row r="1871" spans="1:18" x14ac:dyDescent="0.25">
      <c r="A1871" s="2" t="s">
        <v>10093</v>
      </c>
      <c r="B1871" s="6">
        <v>46204</v>
      </c>
      <c r="C1871" s="8">
        <v>46214</v>
      </c>
      <c r="D1871" s="2" t="s">
        <v>7433</v>
      </c>
      <c r="E1871" s="2" t="s">
        <v>12593</v>
      </c>
      <c r="F1871" s="2" t="s">
        <v>15328</v>
      </c>
      <c r="G1871" s="2" t="s">
        <v>16404</v>
      </c>
      <c r="H1871" s="2" t="s">
        <v>39</v>
      </c>
      <c r="I1871" s="9">
        <v>19676.05</v>
      </c>
      <c r="J1871" s="7">
        <v>1</v>
      </c>
      <c r="K1871" s="9">
        <v>19676.05</v>
      </c>
      <c r="L1871" s="14">
        <v>0</v>
      </c>
      <c r="M1871" s="2" t="s">
        <v>71</v>
      </c>
      <c r="N1871" s="2" t="s">
        <v>13272</v>
      </c>
      <c r="O1871" s="2" t="s">
        <v>16405</v>
      </c>
      <c r="P1871" s="9">
        <v>0</v>
      </c>
      <c r="Q1871" s="9">
        <v>0</v>
      </c>
      <c r="R1871" s="2" t="s">
        <v>16000</v>
      </c>
    </row>
    <row r="1872" spans="1:18" x14ac:dyDescent="0.25">
      <c r="A1872" s="2" t="s">
        <v>10098</v>
      </c>
      <c r="B1872" s="6">
        <v>46204</v>
      </c>
      <c r="C1872" s="8">
        <v>46215</v>
      </c>
      <c r="D1872" s="2" t="s">
        <v>7433</v>
      </c>
      <c r="E1872" s="2" t="s">
        <v>12593</v>
      </c>
      <c r="F1872" s="2" t="s">
        <v>15332</v>
      </c>
      <c r="G1872" s="2" t="s">
        <v>16406</v>
      </c>
      <c r="H1872" s="2" t="s">
        <v>76</v>
      </c>
      <c r="I1872" s="9">
        <v>321820322.58064502</v>
      </c>
      <c r="J1872" s="7">
        <v>6.2000000000000003E-5</v>
      </c>
      <c r="K1872" s="9">
        <v>19952.86</v>
      </c>
      <c r="L1872" s="14">
        <v>0</v>
      </c>
      <c r="M1872" s="2" t="s">
        <v>71</v>
      </c>
      <c r="N1872" s="2" t="s">
        <v>13272</v>
      </c>
      <c r="O1872" s="2" t="s">
        <v>16407</v>
      </c>
      <c r="P1872" s="9">
        <v>0</v>
      </c>
      <c r="Q1872" s="9">
        <v>0</v>
      </c>
      <c r="R1872" s="2" t="s">
        <v>16003</v>
      </c>
    </row>
    <row r="1873" spans="1:18" x14ac:dyDescent="0.25">
      <c r="A1873" s="2" t="s">
        <v>10103</v>
      </c>
      <c r="B1873" s="6">
        <v>46204</v>
      </c>
      <c r="C1873" s="8">
        <v>46216</v>
      </c>
      <c r="D1873" s="2" t="s">
        <v>7433</v>
      </c>
      <c r="E1873" s="2" t="s">
        <v>12593</v>
      </c>
      <c r="F1873" s="2" t="s">
        <v>15336</v>
      </c>
      <c r="G1873" s="2" t="s">
        <v>16408</v>
      </c>
      <c r="H1873" s="2" t="s">
        <v>70</v>
      </c>
      <c r="I1873" s="9">
        <v>30744.194529</v>
      </c>
      <c r="J1873" s="7">
        <v>0.65800000000000003</v>
      </c>
      <c r="K1873" s="9">
        <v>20229.68</v>
      </c>
      <c r="L1873" s="14">
        <v>0</v>
      </c>
      <c r="M1873" s="2" t="s">
        <v>71</v>
      </c>
      <c r="N1873" s="2" t="s">
        <v>13272</v>
      </c>
      <c r="O1873" s="2" t="s">
        <v>16409</v>
      </c>
      <c r="P1873" s="9">
        <v>0</v>
      </c>
      <c r="Q1873" s="9">
        <v>0</v>
      </c>
      <c r="R1873" s="2" t="s">
        <v>16006</v>
      </c>
    </row>
    <row r="1874" spans="1:18" x14ac:dyDescent="0.25">
      <c r="A1874" s="2" t="s">
        <v>10108</v>
      </c>
      <c r="B1874" s="6">
        <v>46204</v>
      </c>
      <c r="C1874" s="8">
        <v>46217</v>
      </c>
      <c r="D1874" s="2" t="s">
        <v>7433</v>
      </c>
      <c r="E1874" s="2" t="s">
        <v>12593</v>
      </c>
      <c r="F1874" s="2" t="s">
        <v>15300</v>
      </c>
      <c r="G1874" s="2" t="s">
        <v>16410</v>
      </c>
      <c r="H1874" s="2" t="s">
        <v>39</v>
      </c>
      <c r="I1874" s="9">
        <v>20506.5</v>
      </c>
      <c r="J1874" s="7">
        <v>1</v>
      </c>
      <c r="K1874" s="9">
        <v>20506.5</v>
      </c>
      <c r="L1874" s="14">
        <v>0</v>
      </c>
      <c r="M1874" s="2" t="s">
        <v>71</v>
      </c>
      <c r="N1874" s="2" t="s">
        <v>13272</v>
      </c>
      <c r="O1874" s="2" t="s">
        <v>16411</v>
      </c>
      <c r="P1874" s="9">
        <v>0</v>
      </c>
      <c r="Q1874" s="9">
        <v>0</v>
      </c>
      <c r="R1874" s="2" t="s">
        <v>16009</v>
      </c>
    </row>
    <row r="1875" spans="1:18" x14ac:dyDescent="0.25">
      <c r="A1875" s="2" t="s">
        <v>10113</v>
      </c>
      <c r="B1875" s="6">
        <v>46204</v>
      </c>
      <c r="C1875" s="8">
        <v>46218</v>
      </c>
      <c r="D1875" s="2" t="s">
        <v>7433</v>
      </c>
      <c r="E1875" s="2" t="s">
        <v>12593</v>
      </c>
      <c r="F1875" s="2" t="s">
        <v>15304</v>
      </c>
      <c r="G1875" s="2" t="s">
        <v>16412</v>
      </c>
      <c r="H1875" s="2" t="s">
        <v>76</v>
      </c>
      <c r="I1875" s="9">
        <v>335214677.41935498</v>
      </c>
      <c r="J1875" s="7">
        <v>6.2000000000000003E-5</v>
      </c>
      <c r="K1875" s="9">
        <v>20783.310000000001</v>
      </c>
      <c r="L1875" s="14">
        <v>0</v>
      </c>
      <c r="M1875" s="2" t="s">
        <v>71</v>
      </c>
      <c r="N1875" s="2" t="s">
        <v>13272</v>
      </c>
      <c r="O1875" s="2" t="s">
        <v>16413</v>
      </c>
      <c r="P1875" s="9">
        <v>0</v>
      </c>
      <c r="Q1875" s="9">
        <v>0</v>
      </c>
      <c r="R1875" s="2" t="s">
        <v>16012</v>
      </c>
    </row>
    <row r="1876" spans="1:18" x14ac:dyDescent="0.25">
      <c r="A1876" s="2" t="s">
        <v>10118</v>
      </c>
      <c r="B1876" s="6">
        <v>46204</v>
      </c>
      <c r="C1876" s="8">
        <v>46219</v>
      </c>
      <c r="D1876" s="2" t="s">
        <v>7433</v>
      </c>
      <c r="E1876" s="2" t="s">
        <v>12593</v>
      </c>
      <c r="F1876" s="2" t="s">
        <v>15308</v>
      </c>
      <c r="G1876" s="2" t="s">
        <v>16414</v>
      </c>
      <c r="H1876" s="2" t="s">
        <v>70</v>
      </c>
      <c r="I1876" s="9">
        <v>32006.276596</v>
      </c>
      <c r="J1876" s="7">
        <v>0.65800000000000003</v>
      </c>
      <c r="K1876" s="9">
        <v>21060.13</v>
      </c>
      <c r="L1876" s="14">
        <v>0</v>
      </c>
      <c r="M1876" s="2" t="s">
        <v>71</v>
      </c>
      <c r="N1876" s="2" t="s">
        <v>13272</v>
      </c>
      <c r="O1876" s="2" t="s">
        <v>16415</v>
      </c>
      <c r="P1876" s="9">
        <v>0</v>
      </c>
      <c r="Q1876" s="9">
        <v>0</v>
      </c>
      <c r="R1876" s="2" t="s">
        <v>16015</v>
      </c>
    </row>
    <row r="1877" spans="1:18" x14ac:dyDescent="0.25">
      <c r="A1877" s="2" t="s">
        <v>10123</v>
      </c>
      <c r="B1877" s="6">
        <v>46204</v>
      </c>
      <c r="C1877" s="8">
        <v>46220</v>
      </c>
      <c r="D1877" s="2" t="s">
        <v>7433</v>
      </c>
      <c r="E1877" s="2" t="s">
        <v>12593</v>
      </c>
      <c r="F1877" s="2" t="s">
        <v>15312</v>
      </c>
      <c r="G1877" s="2" t="s">
        <v>16416</v>
      </c>
      <c r="H1877" s="2" t="s">
        <v>39</v>
      </c>
      <c r="I1877" s="9">
        <v>21336.94</v>
      </c>
      <c r="J1877" s="7">
        <v>1</v>
      </c>
      <c r="K1877" s="9">
        <v>21336.94</v>
      </c>
      <c r="L1877" s="14">
        <v>0</v>
      </c>
      <c r="M1877" s="2" t="s">
        <v>71</v>
      </c>
      <c r="N1877" s="2" t="s">
        <v>13272</v>
      </c>
      <c r="O1877" s="2" t="s">
        <v>16417</v>
      </c>
      <c r="P1877" s="9">
        <v>0</v>
      </c>
      <c r="Q1877" s="9">
        <v>0</v>
      </c>
      <c r="R1877" s="2" t="s">
        <v>15988</v>
      </c>
    </row>
    <row r="1878" spans="1:18" x14ac:dyDescent="0.25">
      <c r="A1878" s="2" t="s">
        <v>10128</v>
      </c>
      <c r="B1878" s="6">
        <v>46204</v>
      </c>
      <c r="C1878" s="8">
        <v>46221</v>
      </c>
      <c r="D1878" s="2" t="s">
        <v>7433</v>
      </c>
      <c r="E1878" s="2" t="s">
        <v>12593</v>
      </c>
      <c r="F1878" s="2" t="s">
        <v>15316</v>
      </c>
      <c r="G1878" s="2" t="s">
        <v>16418</v>
      </c>
      <c r="H1878" s="2" t="s">
        <v>76</v>
      </c>
      <c r="I1878" s="9">
        <v>348609032.25806397</v>
      </c>
      <c r="J1878" s="7">
        <v>6.2000000000000003E-5</v>
      </c>
      <c r="K1878" s="9">
        <v>21613.759999999998</v>
      </c>
      <c r="L1878" s="14">
        <v>0</v>
      </c>
      <c r="M1878" s="2" t="s">
        <v>71</v>
      </c>
      <c r="N1878" s="2" t="s">
        <v>13272</v>
      </c>
      <c r="O1878" s="2" t="s">
        <v>16419</v>
      </c>
      <c r="P1878" s="9">
        <v>0</v>
      </c>
      <c r="Q1878" s="9">
        <v>0</v>
      </c>
      <c r="R1878" s="2" t="s">
        <v>15991</v>
      </c>
    </row>
    <row r="1879" spans="1:18" x14ac:dyDescent="0.25">
      <c r="A1879" s="2" t="s">
        <v>10133</v>
      </c>
      <c r="B1879" s="6">
        <v>46204</v>
      </c>
      <c r="C1879" s="8">
        <v>46222</v>
      </c>
      <c r="D1879" s="2" t="s">
        <v>7433</v>
      </c>
      <c r="E1879" s="2" t="s">
        <v>12593</v>
      </c>
      <c r="F1879" s="2" t="s">
        <v>15320</v>
      </c>
      <c r="G1879" s="2" t="s">
        <v>16420</v>
      </c>
      <c r="H1879" s="2" t="s">
        <v>70</v>
      </c>
      <c r="I1879" s="9">
        <v>33268.343464999998</v>
      </c>
      <c r="J1879" s="7">
        <v>0.65800000000000003</v>
      </c>
      <c r="K1879" s="9">
        <v>21890.57</v>
      </c>
      <c r="L1879" s="14">
        <v>0</v>
      </c>
      <c r="M1879" s="2" t="s">
        <v>71</v>
      </c>
      <c r="N1879" s="2" t="s">
        <v>13272</v>
      </c>
      <c r="O1879" s="2" t="s">
        <v>16421</v>
      </c>
      <c r="P1879" s="9">
        <v>0</v>
      </c>
      <c r="Q1879" s="9">
        <v>0</v>
      </c>
      <c r="R1879" s="2" t="s">
        <v>15994</v>
      </c>
    </row>
    <row r="1880" spans="1:18" x14ac:dyDescent="0.25">
      <c r="A1880" s="2" t="s">
        <v>10138</v>
      </c>
      <c r="B1880" s="6">
        <v>46204</v>
      </c>
      <c r="C1880" s="8">
        <v>46223</v>
      </c>
      <c r="D1880" s="2" t="s">
        <v>7433</v>
      </c>
      <c r="E1880" s="2" t="s">
        <v>12593</v>
      </c>
      <c r="F1880" s="2" t="s">
        <v>15324</v>
      </c>
      <c r="G1880" s="2" t="s">
        <v>16422</v>
      </c>
      <c r="H1880" s="2" t="s">
        <v>39</v>
      </c>
      <c r="I1880" s="9">
        <v>22167.39</v>
      </c>
      <c r="J1880" s="7">
        <v>1</v>
      </c>
      <c r="K1880" s="9">
        <v>22167.39</v>
      </c>
      <c r="L1880" s="14">
        <v>0</v>
      </c>
      <c r="M1880" s="2" t="s">
        <v>71</v>
      </c>
      <c r="N1880" s="2" t="s">
        <v>13272</v>
      </c>
      <c r="O1880" s="2" t="s">
        <v>16423</v>
      </c>
      <c r="P1880" s="9">
        <v>0</v>
      </c>
      <c r="Q1880" s="9">
        <v>0</v>
      </c>
      <c r="R1880" s="2" t="s">
        <v>15997</v>
      </c>
    </row>
    <row r="1881" spans="1:18" x14ac:dyDescent="0.25">
      <c r="A1881" s="2" t="s">
        <v>10143</v>
      </c>
      <c r="B1881" s="6">
        <v>46204</v>
      </c>
      <c r="C1881" s="8">
        <v>46224</v>
      </c>
      <c r="D1881" s="2" t="s">
        <v>7433</v>
      </c>
      <c r="E1881" s="2" t="s">
        <v>12593</v>
      </c>
      <c r="F1881" s="2" t="s">
        <v>15328</v>
      </c>
      <c r="G1881" s="2" t="s">
        <v>16424</v>
      </c>
      <c r="H1881" s="2" t="s">
        <v>76</v>
      </c>
      <c r="I1881" s="9">
        <v>362003387.09677398</v>
      </c>
      <c r="J1881" s="7">
        <v>6.2000000000000003E-5</v>
      </c>
      <c r="K1881" s="9">
        <v>22444.21</v>
      </c>
      <c r="L1881" s="14">
        <v>0</v>
      </c>
      <c r="M1881" s="2" t="s">
        <v>71</v>
      </c>
      <c r="N1881" s="2" t="s">
        <v>13272</v>
      </c>
      <c r="O1881" s="2" t="s">
        <v>16425</v>
      </c>
      <c r="P1881" s="9">
        <v>0</v>
      </c>
      <c r="Q1881" s="9">
        <v>0</v>
      </c>
      <c r="R1881" s="2" t="s">
        <v>16000</v>
      </c>
    </row>
    <row r="1882" spans="1:18" x14ac:dyDescent="0.25">
      <c r="A1882" s="2" t="s">
        <v>10148</v>
      </c>
      <c r="B1882" s="6">
        <v>46204</v>
      </c>
      <c r="C1882" s="8">
        <v>46225</v>
      </c>
      <c r="D1882" s="2" t="s">
        <v>7433</v>
      </c>
      <c r="E1882" s="2" t="s">
        <v>12593</v>
      </c>
      <c r="F1882" s="2" t="s">
        <v>15332</v>
      </c>
      <c r="G1882" s="2" t="s">
        <v>16426</v>
      </c>
      <c r="H1882" s="2" t="s">
        <v>70</v>
      </c>
      <c r="I1882" s="9">
        <v>34530.425532000001</v>
      </c>
      <c r="J1882" s="7">
        <v>0.65800000000000003</v>
      </c>
      <c r="K1882" s="9">
        <v>22721.02</v>
      </c>
      <c r="L1882" s="14">
        <v>0</v>
      </c>
      <c r="M1882" s="2" t="s">
        <v>71</v>
      </c>
      <c r="N1882" s="2" t="s">
        <v>13272</v>
      </c>
      <c r="O1882" s="2" t="s">
        <v>16427</v>
      </c>
      <c r="P1882" s="9">
        <v>0</v>
      </c>
      <c r="Q1882" s="9">
        <v>0</v>
      </c>
      <c r="R1882" s="2" t="s">
        <v>16003</v>
      </c>
    </row>
    <row r="1883" spans="1:18" x14ac:dyDescent="0.25">
      <c r="A1883" s="2" t="s">
        <v>10153</v>
      </c>
      <c r="B1883" s="6">
        <v>46204</v>
      </c>
      <c r="C1883" s="8">
        <v>46226</v>
      </c>
      <c r="D1883" s="2" t="s">
        <v>7433</v>
      </c>
      <c r="E1883" s="2" t="s">
        <v>12593</v>
      </c>
      <c r="F1883" s="2" t="s">
        <v>15336</v>
      </c>
      <c r="G1883" s="2" t="s">
        <v>16428</v>
      </c>
      <c r="H1883" s="2" t="s">
        <v>39</v>
      </c>
      <c r="I1883" s="9">
        <v>22997.84</v>
      </c>
      <c r="J1883" s="7">
        <v>1</v>
      </c>
      <c r="K1883" s="9">
        <v>22997.84</v>
      </c>
      <c r="L1883" s="14">
        <v>0</v>
      </c>
      <c r="M1883" s="2" t="s">
        <v>71</v>
      </c>
      <c r="N1883" s="2" t="s">
        <v>13272</v>
      </c>
      <c r="O1883" s="2" t="s">
        <v>16429</v>
      </c>
      <c r="P1883" s="9">
        <v>0</v>
      </c>
      <c r="Q1883" s="9">
        <v>0</v>
      </c>
      <c r="R1883" s="2" t="s">
        <v>16006</v>
      </c>
    </row>
    <row r="1884" spans="1:18" x14ac:dyDescent="0.25">
      <c r="A1884" s="2" t="s">
        <v>10158</v>
      </c>
      <c r="B1884" s="6">
        <v>46204</v>
      </c>
      <c r="C1884" s="8">
        <v>46227</v>
      </c>
      <c r="D1884" s="2" t="s">
        <v>7433</v>
      </c>
      <c r="E1884" s="2" t="s">
        <v>12593</v>
      </c>
      <c r="F1884" s="2" t="s">
        <v>15300</v>
      </c>
      <c r="G1884" s="2" t="s">
        <v>16430</v>
      </c>
      <c r="H1884" s="2" t="s">
        <v>76</v>
      </c>
      <c r="I1884" s="9">
        <v>375397741.93548399</v>
      </c>
      <c r="J1884" s="7">
        <v>6.2000000000000003E-5</v>
      </c>
      <c r="K1884" s="9">
        <v>23274.66</v>
      </c>
      <c r="L1884" s="14">
        <v>0</v>
      </c>
      <c r="M1884" s="2" t="s">
        <v>71</v>
      </c>
      <c r="N1884" s="2" t="s">
        <v>13272</v>
      </c>
      <c r="O1884" s="2" t="s">
        <v>16431</v>
      </c>
      <c r="P1884" s="9">
        <v>0</v>
      </c>
      <c r="Q1884" s="9">
        <v>0</v>
      </c>
      <c r="R1884" s="2" t="s">
        <v>16009</v>
      </c>
    </row>
    <row r="1885" spans="1:18" x14ac:dyDescent="0.25">
      <c r="A1885" s="2" t="s">
        <v>10163</v>
      </c>
      <c r="B1885" s="6">
        <v>46204</v>
      </c>
      <c r="C1885" s="8">
        <v>46228</v>
      </c>
      <c r="D1885" s="2" t="s">
        <v>7433</v>
      </c>
      <c r="E1885" s="2" t="s">
        <v>12593</v>
      </c>
      <c r="F1885" s="2" t="s">
        <v>15304</v>
      </c>
      <c r="G1885" s="2" t="s">
        <v>16432</v>
      </c>
      <c r="H1885" s="2" t="s">
        <v>70</v>
      </c>
      <c r="I1885" s="9">
        <v>35792.507598999997</v>
      </c>
      <c r="J1885" s="7">
        <v>0.65800000000000003</v>
      </c>
      <c r="K1885" s="9">
        <v>23551.47</v>
      </c>
      <c r="L1885" s="14">
        <v>0</v>
      </c>
      <c r="M1885" s="2" t="s">
        <v>71</v>
      </c>
      <c r="N1885" s="2" t="s">
        <v>13272</v>
      </c>
      <c r="O1885" s="2" t="s">
        <v>16433</v>
      </c>
      <c r="P1885" s="9">
        <v>0</v>
      </c>
      <c r="Q1885" s="9">
        <v>0</v>
      </c>
      <c r="R1885" s="2" t="s">
        <v>16012</v>
      </c>
    </row>
    <row r="1886" spans="1:18" x14ac:dyDescent="0.25">
      <c r="A1886" s="2" t="s">
        <v>10168</v>
      </c>
      <c r="B1886" s="6">
        <v>46204</v>
      </c>
      <c r="C1886" s="8">
        <v>46229</v>
      </c>
      <c r="D1886" s="2" t="s">
        <v>7433</v>
      </c>
      <c r="E1886" s="2" t="s">
        <v>12593</v>
      </c>
      <c r="F1886" s="2" t="s">
        <v>15308</v>
      </c>
      <c r="G1886" s="2" t="s">
        <v>16434</v>
      </c>
      <c r="H1886" s="2" t="s">
        <v>39</v>
      </c>
      <c r="I1886" s="9">
        <v>1428.29</v>
      </c>
      <c r="J1886" s="7">
        <v>1</v>
      </c>
      <c r="K1886" s="9">
        <v>1428.29</v>
      </c>
      <c r="L1886" s="14">
        <v>0</v>
      </c>
      <c r="M1886" s="2" t="s">
        <v>71</v>
      </c>
      <c r="N1886" s="2" t="s">
        <v>13272</v>
      </c>
      <c r="O1886" s="2" t="s">
        <v>16435</v>
      </c>
      <c r="P1886" s="9">
        <v>0</v>
      </c>
      <c r="Q1886" s="9">
        <v>0</v>
      </c>
      <c r="R1886" s="2" t="s">
        <v>16015</v>
      </c>
    </row>
    <row r="1887" spans="1:18" x14ac:dyDescent="0.25">
      <c r="A1887" s="2" t="s">
        <v>10173</v>
      </c>
      <c r="B1887" s="6">
        <v>46204</v>
      </c>
      <c r="C1887" s="8">
        <v>46230</v>
      </c>
      <c r="D1887" s="2" t="s">
        <v>7433</v>
      </c>
      <c r="E1887" s="2" t="s">
        <v>12593</v>
      </c>
      <c r="F1887" s="2" t="s">
        <v>15312</v>
      </c>
      <c r="G1887" s="2" t="s">
        <v>16436</v>
      </c>
      <c r="H1887" s="2" t="s">
        <v>76</v>
      </c>
      <c r="I1887" s="9">
        <v>27501612.903225999</v>
      </c>
      <c r="J1887" s="7">
        <v>6.2000000000000003E-5</v>
      </c>
      <c r="K1887" s="9">
        <v>1705.1</v>
      </c>
      <c r="L1887" s="14">
        <v>0</v>
      </c>
      <c r="M1887" s="2" t="s">
        <v>71</v>
      </c>
      <c r="N1887" s="2" t="s">
        <v>13272</v>
      </c>
      <c r="O1887" s="2" t="s">
        <v>16437</v>
      </c>
      <c r="P1887" s="9">
        <v>0</v>
      </c>
      <c r="Q1887" s="9">
        <v>0</v>
      </c>
      <c r="R1887" s="2" t="s">
        <v>15988</v>
      </c>
    </row>
    <row r="1888" spans="1:18" x14ac:dyDescent="0.25">
      <c r="A1888" s="2" t="s">
        <v>10178</v>
      </c>
      <c r="B1888" s="6">
        <v>46204</v>
      </c>
      <c r="C1888" s="8">
        <v>46231</v>
      </c>
      <c r="D1888" s="2" t="s">
        <v>7433</v>
      </c>
      <c r="E1888" s="2" t="s">
        <v>12593</v>
      </c>
      <c r="F1888" s="2" t="s">
        <v>15316</v>
      </c>
      <c r="G1888" s="2" t="s">
        <v>16438</v>
      </c>
      <c r="H1888" s="2" t="s">
        <v>70</v>
      </c>
      <c r="I1888" s="9">
        <v>3012.036474</v>
      </c>
      <c r="J1888" s="7">
        <v>0.65800000000000003</v>
      </c>
      <c r="K1888" s="9">
        <v>1981.92</v>
      </c>
      <c r="L1888" s="14">
        <v>0</v>
      </c>
      <c r="M1888" s="2" t="s">
        <v>71</v>
      </c>
      <c r="N1888" s="2" t="s">
        <v>13272</v>
      </c>
      <c r="O1888" s="2" t="s">
        <v>16439</v>
      </c>
      <c r="P1888" s="9">
        <v>0</v>
      </c>
      <c r="Q1888" s="9">
        <v>0</v>
      </c>
      <c r="R1888" s="2" t="s">
        <v>15991</v>
      </c>
    </row>
    <row r="1889" spans="1:18" x14ac:dyDescent="0.25">
      <c r="A1889" s="2" t="s">
        <v>10183</v>
      </c>
      <c r="B1889" s="6">
        <v>46204</v>
      </c>
      <c r="C1889" s="8">
        <v>46232</v>
      </c>
      <c r="D1889" s="2" t="s">
        <v>7433</v>
      </c>
      <c r="E1889" s="2" t="s">
        <v>12593</v>
      </c>
      <c r="F1889" s="2" t="s">
        <v>15320</v>
      </c>
      <c r="G1889" s="2" t="s">
        <v>16440</v>
      </c>
      <c r="H1889" s="2" t="s">
        <v>39</v>
      </c>
      <c r="I1889" s="9">
        <v>2258.7399999999998</v>
      </c>
      <c r="J1889" s="7">
        <v>1</v>
      </c>
      <c r="K1889" s="9">
        <v>2258.7399999999998</v>
      </c>
      <c r="L1889" s="14">
        <v>0</v>
      </c>
      <c r="M1889" s="2" t="s">
        <v>71</v>
      </c>
      <c r="N1889" s="2" t="s">
        <v>13272</v>
      </c>
      <c r="O1889" s="2" t="s">
        <v>16441</v>
      </c>
      <c r="P1889" s="9">
        <v>0</v>
      </c>
      <c r="Q1889" s="9">
        <v>0</v>
      </c>
      <c r="R1889" s="2" t="s">
        <v>15994</v>
      </c>
    </row>
    <row r="1890" spans="1:18" x14ac:dyDescent="0.25">
      <c r="A1890" s="2" t="s">
        <v>10188</v>
      </c>
      <c r="B1890" s="6">
        <v>46204</v>
      </c>
      <c r="C1890" s="8">
        <v>46233</v>
      </c>
      <c r="D1890" s="2" t="s">
        <v>7433</v>
      </c>
      <c r="E1890" s="2" t="s">
        <v>12593</v>
      </c>
      <c r="F1890" s="2" t="s">
        <v>15324</v>
      </c>
      <c r="G1890" s="2" t="s">
        <v>16442</v>
      </c>
      <c r="H1890" s="2" t="s">
        <v>76</v>
      </c>
      <c r="I1890" s="9">
        <v>40895967.741935</v>
      </c>
      <c r="J1890" s="7">
        <v>6.2000000000000003E-5</v>
      </c>
      <c r="K1890" s="9">
        <v>2535.5500000000002</v>
      </c>
      <c r="L1890" s="14">
        <v>0</v>
      </c>
      <c r="M1890" s="2" t="s">
        <v>71</v>
      </c>
      <c r="N1890" s="2" t="s">
        <v>13272</v>
      </c>
      <c r="O1890" s="2" t="s">
        <v>16443</v>
      </c>
      <c r="P1890" s="9">
        <v>0</v>
      </c>
      <c r="Q1890" s="9">
        <v>0</v>
      </c>
      <c r="R1890" s="2" t="s">
        <v>15997</v>
      </c>
    </row>
    <row r="1891" spans="1:18" x14ac:dyDescent="0.25">
      <c r="A1891" s="2" t="s">
        <v>10193</v>
      </c>
      <c r="B1891" s="6">
        <v>46204</v>
      </c>
      <c r="C1891" s="8">
        <v>46234</v>
      </c>
      <c r="D1891" s="2" t="s">
        <v>7433</v>
      </c>
      <c r="E1891" s="2" t="s">
        <v>12593</v>
      </c>
      <c r="F1891" s="2" t="s">
        <v>15328</v>
      </c>
      <c r="G1891" s="2" t="s">
        <v>16444</v>
      </c>
      <c r="H1891" s="2" t="s">
        <v>70</v>
      </c>
      <c r="I1891" s="9">
        <v>4274.1185409999998</v>
      </c>
      <c r="J1891" s="7">
        <v>0.65800000000000003</v>
      </c>
      <c r="K1891" s="9">
        <v>2812.37</v>
      </c>
      <c r="L1891" s="14">
        <v>0</v>
      </c>
      <c r="M1891" s="2" t="s">
        <v>71</v>
      </c>
      <c r="N1891" s="2" t="s">
        <v>13272</v>
      </c>
      <c r="O1891" s="2" t="s">
        <v>16445</v>
      </c>
      <c r="P1891" s="9">
        <v>0</v>
      </c>
      <c r="Q1891" s="9">
        <v>0</v>
      </c>
      <c r="R1891" s="2" t="s">
        <v>16000</v>
      </c>
    </row>
    <row r="1892" spans="1:18" x14ac:dyDescent="0.25">
      <c r="A1892" s="2" t="s">
        <v>10198</v>
      </c>
      <c r="B1892" s="6">
        <v>46204</v>
      </c>
      <c r="C1892" s="8">
        <v>46204</v>
      </c>
      <c r="D1892" s="2" t="s">
        <v>7433</v>
      </c>
      <c r="E1892" s="2" t="s">
        <v>12593</v>
      </c>
      <c r="F1892" s="2" t="s">
        <v>15332</v>
      </c>
      <c r="G1892" s="2" t="s">
        <v>16446</v>
      </c>
      <c r="H1892" s="2" t="s">
        <v>39</v>
      </c>
      <c r="I1892" s="9">
        <v>3089.18</v>
      </c>
      <c r="J1892" s="7">
        <v>1</v>
      </c>
      <c r="K1892" s="9">
        <v>3089.18</v>
      </c>
      <c r="L1892" s="14">
        <v>0</v>
      </c>
      <c r="M1892" s="2" t="s">
        <v>71</v>
      </c>
      <c r="N1892" s="2" t="s">
        <v>13272</v>
      </c>
      <c r="O1892" s="2" t="s">
        <v>16447</v>
      </c>
      <c r="P1892" s="9">
        <v>0</v>
      </c>
      <c r="Q1892" s="9">
        <v>0</v>
      </c>
      <c r="R1892" s="2" t="s">
        <v>16003</v>
      </c>
    </row>
    <row r="1893" spans="1:18" x14ac:dyDescent="0.25">
      <c r="A1893" s="2" t="s">
        <v>10203</v>
      </c>
      <c r="B1893" s="6">
        <v>46204</v>
      </c>
      <c r="C1893" s="8">
        <v>46205</v>
      </c>
      <c r="D1893" s="2" t="s">
        <v>7433</v>
      </c>
      <c r="E1893" s="2" t="s">
        <v>12593</v>
      </c>
      <c r="F1893" s="2" t="s">
        <v>15336</v>
      </c>
      <c r="G1893" s="2" t="s">
        <v>16448</v>
      </c>
      <c r="H1893" s="2" t="s">
        <v>76</v>
      </c>
      <c r="I1893" s="9">
        <v>54290322.580645002</v>
      </c>
      <c r="J1893" s="7">
        <v>6.2000000000000003E-5</v>
      </c>
      <c r="K1893" s="9">
        <v>3366</v>
      </c>
      <c r="L1893" s="14">
        <v>0</v>
      </c>
      <c r="M1893" s="2" t="s">
        <v>71</v>
      </c>
      <c r="N1893" s="2" t="s">
        <v>13272</v>
      </c>
      <c r="O1893" s="2" t="s">
        <v>16449</v>
      </c>
      <c r="P1893" s="9">
        <v>0</v>
      </c>
      <c r="Q1893" s="9">
        <v>0</v>
      </c>
      <c r="R1893" s="2" t="s">
        <v>16006</v>
      </c>
    </row>
    <row r="1894" spans="1:18" x14ac:dyDescent="0.25">
      <c r="A1894" s="2" t="s">
        <v>10208</v>
      </c>
      <c r="B1894" s="6">
        <v>46204</v>
      </c>
      <c r="C1894" s="8">
        <v>46206</v>
      </c>
      <c r="D1894" s="2" t="s">
        <v>7433</v>
      </c>
      <c r="E1894" s="2" t="s">
        <v>12593</v>
      </c>
      <c r="F1894" s="2" t="s">
        <v>15300</v>
      </c>
      <c r="G1894" s="2" t="s">
        <v>16450</v>
      </c>
      <c r="H1894" s="2" t="s">
        <v>70</v>
      </c>
      <c r="I1894" s="9">
        <v>5536.18541</v>
      </c>
      <c r="J1894" s="7">
        <v>0.65800000000000003</v>
      </c>
      <c r="K1894" s="9">
        <v>3642.81</v>
      </c>
      <c r="L1894" s="14">
        <v>0</v>
      </c>
      <c r="M1894" s="2" t="s">
        <v>71</v>
      </c>
      <c r="N1894" s="2" t="s">
        <v>13272</v>
      </c>
      <c r="O1894" s="2" t="s">
        <v>16451</v>
      </c>
      <c r="P1894" s="9">
        <v>0</v>
      </c>
      <c r="Q1894" s="9">
        <v>0</v>
      </c>
      <c r="R1894" s="2" t="s">
        <v>16009</v>
      </c>
    </row>
    <row r="1895" spans="1:18" x14ac:dyDescent="0.25">
      <c r="A1895" s="2" t="s">
        <v>10213</v>
      </c>
      <c r="B1895" s="6">
        <v>46204</v>
      </c>
      <c r="C1895" s="8">
        <v>46207</v>
      </c>
      <c r="D1895" s="2" t="s">
        <v>7433</v>
      </c>
      <c r="E1895" s="2" t="s">
        <v>12593</v>
      </c>
      <c r="F1895" s="2" t="s">
        <v>15304</v>
      </c>
      <c r="G1895" s="2" t="s">
        <v>16452</v>
      </c>
      <c r="H1895" s="2" t="s">
        <v>39</v>
      </c>
      <c r="I1895" s="9">
        <v>3919.63</v>
      </c>
      <c r="J1895" s="7">
        <v>1</v>
      </c>
      <c r="K1895" s="9">
        <v>3919.63</v>
      </c>
      <c r="L1895" s="14">
        <v>0</v>
      </c>
      <c r="M1895" s="2" t="s">
        <v>71</v>
      </c>
      <c r="N1895" s="2" t="s">
        <v>13272</v>
      </c>
      <c r="O1895" s="2" t="s">
        <v>16453</v>
      </c>
      <c r="P1895" s="9">
        <v>0</v>
      </c>
      <c r="Q1895" s="9">
        <v>0</v>
      </c>
      <c r="R1895" s="2" t="s">
        <v>16012</v>
      </c>
    </row>
    <row r="1896" spans="1:18" x14ac:dyDescent="0.25">
      <c r="A1896" s="2" t="s">
        <v>10218</v>
      </c>
      <c r="B1896" s="6">
        <v>46204</v>
      </c>
      <c r="C1896" s="8">
        <v>46208</v>
      </c>
      <c r="D1896" s="2" t="s">
        <v>7433</v>
      </c>
      <c r="E1896" s="2" t="s">
        <v>12593</v>
      </c>
      <c r="F1896" s="2" t="s">
        <v>15308</v>
      </c>
      <c r="G1896" s="2" t="s">
        <v>16454</v>
      </c>
      <c r="H1896" s="2" t="s">
        <v>76</v>
      </c>
      <c r="I1896" s="9">
        <v>67684677.419355005</v>
      </c>
      <c r="J1896" s="7">
        <v>6.2000000000000003E-5</v>
      </c>
      <c r="K1896" s="9">
        <v>4196.45</v>
      </c>
      <c r="L1896" s="14">
        <v>0</v>
      </c>
      <c r="M1896" s="2" t="s">
        <v>71</v>
      </c>
      <c r="N1896" s="2" t="s">
        <v>13272</v>
      </c>
      <c r="O1896" s="2" t="s">
        <v>16455</v>
      </c>
      <c r="P1896" s="9">
        <v>0</v>
      </c>
      <c r="Q1896" s="9">
        <v>0</v>
      </c>
      <c r="R1896" s="2" t="s">
        <v>16015</v>
      </c>
    </row>
    <row r="1897" spans="1:18" x14ac:dyDescent="0.25">
      <c r="A1897" s="2" t="s">
        <v>10223</v>
      </c>
      <c r="B1897" s="6">
        <v>46204</v>
      </c>
      <c r="C1897" s="8">
        <v>46209</v>
      </c>
      <c r="D1897" s="2" t="s">
        <v>7433</v>
      </c>
      <c r="E1897" s="2" t="s">
        <v>12593</v>
      </c>
      <c r="F1897" s="2" t="s">
        <v>15312</v>
      </c>
      <c r="G1897" s="2" t="s">
        <v>16456</v>
      </c>
      <c r="H1897" s="2" t="s">
        <v>70</v>
      </c>
      <c r="I1897" s="9">
        <v>6798.2674770000003</v>
      </c>
      <c r="J1897" s="7">
        <v>0.65800000000000003</v>
      </c>
      <c r="K1897" s="9">
        <v>4473.26</v>
      </c>
      <c r="L1897" s="14">
        <v>0</v>
      </c>
      <c r="M1897" s="2" t="s">
        <v>71</v>
      </c>
      <c r="N1897" s="2" t="s">
        <v>13272</v>
      </c>
      <c r="O1897" s="2" t="s">
        <v>16457</v>
      </c>
      <c r="P1897" s="9">
        <v>0</v>
      </c>
      <c r="Q1897" s="9">
        <v>0</v>
      </c>
      <c r="R1897" s="2" t="s">
        <v>15988</v>
      </c>
    </row>
    <row r="1898" spans="1:18" x14ac:dyDescent="0.25">
      <c r="A1898" s="2" t="s">
        <v>10228</v>
      </c>
      <c r="B1898" s="6">
        <v>46204</v>
      </c>
      <c r="C1898" s="8">
        <v>46210</v>
      </c>
      <c r="D1898" s="2" t="s">
        <v>7433</v>
      </c>
      <c r="E1898" s="2" t="s">
        <v>12593</v>
      </c>
      <c r="F1898" s="2" t="s">
        <v>15316</v>
      </c>
      <c r="G1898" s="2" t="s">
        <v>16458</v>
      </c>
      <c r="H1898" s="2" t="s">
        <v>39</v>
      </c>
      <c r="I1898" s="9">
        <v>4750.08</v>
      </c>
      <c r="J1898" s="7">
        <v>1</v>
      </c>
      <c r="K1898" s="9">
        <v>4750.08</v>
      </c>
      <c r="L1898" s="14">
        <v>0</v>
      </c>
      <c r="M1898" s="2" t="s">
        <v>71</v>
      </c>
      <c r="N1898" s="2" t="s">
        <v>13272</v>
      </c>
      <c r="O1898" s="2" t="s">
        <v>16459</v>
      </c>
      <c r="P1898" s="9">
        <v>0</v>
      </c>
      <c r="Q1898" s="9">
        <v>0</v>
      </c>
      <c r="R1898" s="2" t="s">
        <v>15991</v>
      </c>
    </row>
    <row r="1899" spans="1:18" x14ac:dyDescent="0.25">
      <c r="A1899" s="2" t="s">
        <v>10233</v>
      </c>
      <c r="B1899" s="6">
        <v>46204</v>
      </c>
      <c r="C1899" s="8">
        <v>46211</v>
      </c>
      <c r="D1899" s="2" t="s">
        <v>7433</v>
      </c>
      <c r="E1899" s="2" t="s">
        <v>12593</v>
      </c>
      <c r="F1899" s="2" t="s">
        <v>15320</v>
      </c>
      <c r="G1899" s="2" t="s">
        <v>16460</v>
      </c>
      <c r="H1899" s="2" t="s">
        <v>76</v>
      </c>
      <c r="I1899" s="9">
        <v>81079032.258065</v>
      </c>
      <c r="J1899" s="7">
        <v>6.2000000000000003E-5</v>
      </c>
      <c r="K1899" s="9">
        <v>5026.8999999999996</v>
      </c>
      <c r="L1899" s="14">
        <v>0</v>
      </c>
      <c r="M1899" s="2" t="s">
        <v>71</v>
      </c>
      <c r="N1899" s="2" t="s">
        <v>13272</v>
      </c>
      <c r="O1899" s="2" t="s">
        <v>16461</v>
      </c>
      <c r="P1899" s="9">
        <v>0</v>
      </c>
      <c r="Q1899" s="9">
        <v>0</v>
      </c>
      <c r="R1899" s="2" t="s">
        <v>15994</v>
      </c>
    </row>
    <row r="1900" spans="1:18" x14ac:dyDescent="0.25">
      <c r="A1900" s="2" t="s">
        <v>10238</v>
      </c>
      <c r="B1900" s="6">
        <v>46204</v>
      </c>
      <c r="C1900" s="8">
        <v>46212</v>
      </c>
      <c r="D1900" s="2" t="s">
        <v>7433</v>
      </c>
      <c r="E1900" s="2" t="s">
        <v>12593</v>
      </c>
      <c r="F1900" s="2" t="s">
        <v>15324</v>
      </c>
      <c r="G1900" s="2" t="s">
        <v>16462</v>
      </c>
      <c r="H1900" s="2" t="s">
        <v>70</v>
      </c>
      <c r="I1900" s="9">
        <v>8060.3495439999997</v>
      </c>
      <c r="J1900" s="7">
        <v>0.65800000000000003</v>
      </c>
      <c r="K1900" s="9">
        <v>5303.71</v>
      </c>
      <c r="L1900" s="14">
        <v>0</v>
      </c>
      <c r="M1900" s="2" t="s">
        <v>71</v>
      </c>
      <c r="N1900" s="2" t="s">
        <v>13272</v>
      </c>
      <c r="O1900" s="2" t="s">
        <v>16463</v>
      </c>
      <c r="P1900" s="9">
        <v>0</v>
      </c>
      <c r="Q1900" s="9">
        <v>0</v>
      </c>
      <c r="R1900" s="2" t="s">
        <v>15997</v>
      </c>
    </row>
    <row r="1901" spans="1:18" x14ac:dyDescent="0.25">
      <c r="A1901" s="2" t="s">
        <v>10243</v>
      </c>
      <c r="B1901" s="6">
        <v>46204</v>
      </c>
      <c r="C1901" s="8">
        <v>46213</v>
      </c>
      <c r="D1901" s="2" t="s">
        <v>7433</v>
      </c>
      <c r="E1901" s="2" t="s">
        <v>12593</v>
      </c>
      <c r="F1901" s="2" t="s">
        <v>15328</v>
      </c>
      <c r="G1901" s="2" t="s">
        <v>16464</v>
      </c>
      <c r="H1901" s="2" t="s">
        <v>39</v>
      </c>
      <c r="I1901" s="9">
        <v>5580.53</v>
      </c>
      <c r="J1901" s="7">
        <v>1</v>
      </c>
      <c r="K1901" s="9">
        <v>5580.53</v>
      </c>
      <c r="L1901" s="14">
        <v>0</v>
      </c>
      <c r="M1901" s="2" t="s">
        <v>71</v>
      </c>
      <c r="N1901" s="2" t="s">
        <v>13272</v>
      </c>
      <c r="O1901" s="2" t="s">
        <v>16465</v>
      </c>
      <c r="P1901" s="9">
        <v>0</v>
      </c>
      <c r="Q1901" s="9">
        <v>0</v>
      </c>
      <c r="R1901" s="2" t="s">
        <v>16000</v>
      </c>
    </row>
    <row r="1902" spans="1:18" x14ac:dyDescent="0.25">
      <c r="A1902" s="2" t="s">
        <v>10248</v>
      </c>
      <c r="B1902" s="6">
        <v>46204</v>
      </c>
      <c r="C1902" s="8">
        <v>46214</v>
      </c>
      <c r="D1902" s="2" t="s">
        <v>7433</v>
      </c>
      <c r="E1902" s="2" t="s">
        <v>12593</v>
      </c>
      <c r="F1902" s="2" t="s">
        <v>15332</v>
      </c>
      <c r="G1902" s="2" t="s">
        <v>16466</v>
      </c>
      <c r="H1902" s="2" t="s">
        <v>76</v>
      </c>
      <c r="I1902" s="9">
        <v>94473225.806452006</v>
      </c>
      <c r="J1902" s="7">
        <v>6.2000000000000003E-5</v>
      </c>
      <c r="K1902" s="9">
        <v>5857.34</v>
      </c>
      <c r="L1902" s="14">
        <v>0</v>
      </c>
      <c r="M1902" s="2" t="s">
        <v>71</v>
      </c>
      <c r="N1902" s="2" t="s">
        <v>13272</v>
      </c>
      <c r="O1902" s="2" t="s">
        <v>16467</v>
      </c>
      <c r="P1902" s="9">
        <v>0</v>
      </c>
      <c r="Q1902" s="9">
        <v>0</v>
      </c>
      <c r="R1902" s="2" t="s">
        <v>16003</v>
      </c>
    </row>
    <row r="1903" spans="1:18" x14ac:dyDescent="0.25">
      <c r="A1903" s="2" t="s">
        <v>10253</v>
      </c>
      <c r="B1903" s="6">
        <v>46204</v>
      </c>
      <c r="C1903" s="8">
        <v>46215</v>
      </c>
      <c r="D1903" s="2" t="s">
        <v>7433</v>
      </c>
      <c r="E1903" s="2" t="s">
        <v>12593</v>
      </c>
      <c r="F1903" s="2" t="s">
        <v>15336</v>
      </c>
      <c r="G1903" s="2" t="s">
        <v>16468</v>
      </c>
      <c r="H1903" s="2" t="s">
        <v>70</v>
      </c>
      <c r="I1903" s="9">
        <v>9322.431611</v>
      </c>
      <c r="J1903" s="7">
        <v>0.65800000000000003</v>
      </c>
      <c r="K1903" s="9">
        <v>6134.16</v>
      </c>
      <c r="L1903" s="14">
        <v>0</v>
      </c>
      <c r="M1903" s="2" t="s">
        <v>71</v>
      </c>
      <c r="N1903" s="2" t="s">
        <v>13272</v>
      </c>
      <c r="O1903" s="2" t="s">
        <v>16469</v>
      </c>
      <c r="P1903" s="9">
        <v>0</v>
      </c>
      <c r="Q1903" s="9">
        <v>0</v>
      </c>
      <c r="R1903" s="2" t="s">
        <v>16006</v>
      </c>
    </row>
    <row r="1904" spans="1:18" x14ac:dyDescent="0.25">
      <c r="A1904" s="2" t="s">
        <v>10258</v>
      </c>
      <c r="B1904" s="6">
        <v>46204</v>
      </c>
      <c r="C1904" s="8">
        <v>46216</v>
      </c>
      <c r="D1904" s="2" t="s">
        <v>7433</v>
      </c>
      <c r="E1904" s="2" t="s">
        <v>12593</v>
      </c>
      <c r="F1904" s="2" t="s">
        <v>15300</v>
      </c>
      <c r="G1904" s="2" t="s">
        <v>16470</v>
      </c>
      <c r="H1904" s="2" t="s">
        <v>39</v>
      </c>
      <c r="I1904" s="9">
        <v>6410.98</v>
      </c>
      <c r="J1904" s="7">
        <v>1</v>
      </c>
      <c r="K1904" s="9">
        <v>6410.98</v>
      </c>
      <c r="L1904" s="14">
        <v>0</v>
      </c>
      <c r="M1904" s="2" t="s">
        <v>71</v>
      </c>
      <c r="N1904" s="2" t="s">
        <v>13272</v>
      </c>
      <c r="O1904" s="2" t="s">
        <v>16471</v>
      </c>
      <c r="P1904" s="9">
        <v>0</v>
      </c>
      <c r="Q1904" s="9">
        <v>0</v>
      </c>
      <c r="R1904" s="2" t="s">
        <v>16009</v>
      </c>
    </row>
    <row r="1905" spans="1:18" x14ac:dyDescent="0.25">
      <c r="A1905" s="2" t="s">
        <v>10263</v>
      </c>
      <c r="B1905" s="6">
        <v>46204</v>
      </c>
      <c r="C1905" s="8">
        <v>46217</v>
      </c>
      <c r="D1905" s="2" t="s">
        <v>7433</v>
      </c>
      <c r="E1905" s="2" t="s">
        <v>12593</v>
      </c>
      <c r="F1905" s="2" t="s">
        <v>15304</v>
      </c>
      <c r="G1905" s="2" t="s">
        <v>16472</v>
      </c>
      <c r="H1905" s="2" t="s">
        <v>76</v>
      </c>
      <c r="I1905" s="9">
        <v>107867580.645161</v>
      </c>
      <c r="J1905" s="7">
        <v>6.2000000000000003E-5</v>
      </c>
      <c r="K1905" s="9">
        <v>6687.79</v>
      </c>
      <c r="L1905" s="14">
        <v>0</v>
      </c>
      <c r="M1905" s="2" t="s">
        <v>71</v>
      </c>
      <c r="N1905" s="2" t="s">
        <v>13272</v>
      </c>
      <c r="O1905" s="2" t="s">
        <v>16473</v>
      </c>
      <c r="P1905" s="9">
        <v>0</v>
      </c>
      <c r="Q1905" s="9">
        <v>0</v>
      </c>
      <c r="R1905" s="2" t="s">
        <v>16012</v>
      </c>
    </row>
    <row r="1906" spans="1:18" x14ac:dyDescent="0.25">
      <c r="A1906" s="2" t="s">
        <v>10268</v>
      </c>
      <c r="B1906" s="6">
        <v>46204</v>
      </c>
      <c r="C1906" s="8">
        <v>46218</v>
      </c>
      <c r="D1906" s="2" t="s">
        <v>7433</v>
      </c>
      <c r="E1906" s="2" t="s">
        <v>12593</v>
      </c>
      <c r="F1906" s="2" t="s">
        <v>15308</v>
      </c>
      <c r="G1906" s="2" t="s">
        <v>16474</v>
      </c>
      <c r="H1906" s="2" t="s">
        <v>70</v>
      </c>
      <c r="I1906" s="9">
        <v>10584.513677999999</v>
      </c>
      <c r="J1906" s="7">
        <v>0.65800000000000003</v>
      </c>
      <c r="K1906" s="9">
        <v>6964.61</v>
      </c>
      <c r="L1906" s="14">
        <v>0</v>
      </c>
      <c r="M1906" s="2" t="s">
        <v>71</v>
      </c>
      <c r="N1906" s="2" t="s">
        <v>13272</v>
      </c>
      <c r="O1906" s="2" t="s">
        <v>16475</v>
      </c>
      <c r="P1906" s="9">
        <v>0</v>
      </c>
      <c r="Q1906" s="9">
        <v>0</v>
      </c>
      <c r="R1906" s="2" t="s">
        <v>16015</v>
      </c>
    </row>
    <row r="1907" spans="1:18" x14ac:dyDescent="0.25">
      <c r="A1907" s="2" t="s">
        <v>10273</v>
      </c>
      <c r="B1907" s="6">
        <v>46204</v>
      </c>
      <c r="C1907" s="8">
        <v>46219</v>
      </c>
      <c r="D1907" s="2" t="s">
        <v>7433</v>
      </c>
      <c r="E1907" s="2" t="s">
        <v>12593</v>
      </c>
      <c r="F1907" s="2" t="s">
        <v>15312</v>
      </c>
      <c r="G1907" s="2" t="s">
        <v>16476</v>
      </c>
      <c r="H1907" s="2" t="s">
        <v>39</v>
      </c>
      <c r="I1907" s="9">
        <v>-7241.42</v>
      </c>
      <c r="J1907" s="7">
        <v>1</v>
      </c>
      <c r="K1907" s="9">
        <v>-7241.42</v>
      </c>
      <c r="L1907" s="14">
        <v>0</v>
      </c>
      <c r="M1907" s="2" t="s">
        <v>71</v>
      </c>
      <c r="N1907" s="2" t="s">
        <v>13272</v>
      </c>
      <c r="O1907" s="2" t="s">
        <v>16477</v>
      </c>
      <c r="P1907" s="9">
        <v>0</v>
      </c>
      <c r="Q1907" s="9">
        <v>0</v>
      </c>
      <c r="R1907" s="2" t="s">
        <v>15988</v>
      </c>
    </row>
    <row r="1908" spans="1:18" x14ac:dyDescent="0.25">
      <c r="A1908" s="2" t="s">
        <v>10276</v>
      </c>
      <c r="B1908" s="6">
        <v>46204</v>
      </c>
      <c r="C1908" s="8">
        <v>46220</v>
      </c>
      <c r="D1908" s="2" t="s">
        <v>7433</v>
      </c>
      <c r="E1908" s="2" t="s">
        <v>12593</v>
      </c>
      <c r="F1908" s="2" t="s">
        <v>15316</v>
      </c>
      <c r="G1908" s="2" t="s">
        <v>16478</v>
      </c>
      <c r="H1908" s="2" t="s">
        <v>76</v>
      </c>
      <c r="I1908" s="9">
        <v>121261935.483871</v>
      </c>
      <c r="J1908" s="7">
        <v>6.2000000000000003E-5</v>
      </c>
      <c r="K1908" s="9">
        <v>7518.24</v>
      </c>
      <c r="L1908" s="14">
        <v>0</v>
      </c>
      <c r="M1908" s="2" t="s">
        <v>71</v>
      </c>
      <c r="N1908" s="2" t="s">
        <v>13272</v>
      </c>
      <c r="O1908" s="2" t="s">
        <v>16479</v>
      </c>
      <c r="P1908" s="9">
        <v>0</v>
      </c>
      <c r="Q1908" s="9">
        <v>0</v>
      </c>
      <c r="R1908" s="2" t="s">
        <v>15991</v>
      </c>
    </row>
    <row r="1909" spans="1:18" x14ac:dyDescent="0.25">
      <c r="A1909" s="2" t="s">
        <v>10281</v>
      </c>
      <c r="B1909" s="6">
        <v>46204</v>
      </c>
      <c r="C1909" s="8">
        <v>46221</v>
      </c>
      <c r="D1909" s="2" t="s">
        <v>7433</v>
      </c>
      <c r="E1909" s="2" t="s">
        <v>12593</v>
      </c>
      <c r="F1909" s="2" t="s">
        <v>15320</v>
      </c>
      <c r="G1909" s="2" t="s">
        <v>16480</v>
      </c>
      <c r="H1909" s="2" t="s">
        <v>70</v>
      </c>
      <c r="I1909" s="9">
        <v>11846.595745000001</v>
      </c>
      <c r="J1909" s="7">
        <v>0.65800000000000003</v>
      </c>
      <c r="K1909" s="9">
        <v>7795.06</v>
      </c>
      <c r="L1909" s="14">
        <v>0</v>
      </c>
      <c r="M1909" s="2" t="s">
        <v>71</v>
      </c>
      <c r="N1909" s="2" t="s">
        <v>13272</v>
      </c>
      <c r="O1909" s="2" t="s">
        <v>16481</v>
      </c>
      <c r="P1909" s="9">
        <v>0</v>
      </c>
      <c r="Q1909" s="9">
        <v>0</v>
      </c>
      <c r="R1909" s="2" t="s">
        <v>15994</v>
      </c>
    </row>
    <row r="1910" spans="1:18" x14ac:dyDescent="0.25">
      <c r="A1910" s="2" t="s">
        <v>10286</v>
      </c>
      <c r="B1910" s="6">
        <v>46204</v>
      </c>
      <c r="C1910" s="8">
        <v>46222</v>
      </c>
      <c r="D1910" s="2" t="s">
        <v>7433</v>
      </c>
      <c r="E1910" s="2" t="s">
        <v>12593</v>
      </c>
      <c r="F1910" s="2" t="s">
        <v>15324</v>
      </c>
      <c r="G1910" s="2" t="s">
        <v>16482</v>
      </c>
      <c r="H1910" s="2" t="s">
        <v>39</v>
      </c>
      <c r="I1910" s="9">
        <v>8071.87</v>
      </c>
      <c r="J1910" s="7">
        <v>1</v>
      </c>
      <c r="K1910" s="9">
        <v>8071.87</v>
      </c>
      <c r="L1910" s="14">
        <v>0</v>
      </c>
      <c r="M1910" s="2" t="s">
        <v>71</v>
      </c>
      <c r="N1910" s="2" t="s">
        <v>13272</v>
      </c>
      <c r="O1910" s="2" t="s">
        <v>16483</v>
      </c>
      <c r="P1910" s="9">
        <v>0</v>
      </c>
      <c r="Q1910" s="9">
        <v>0</v>
      </c>
      <c r="R1910" s="2" t="s">
        <v>15997</v>
      </c>
    </row>
    <row r="1911" spans="1:18" x14ac:dyDescent="0.25">
      <c r="A1911" s="2" t="s">
        <v>10291</v>
      </c>
      <c r="B1911" s="6">
        <v>46204</v>
      </c>
      <c r="C1911" s="8">
        <v>46223</v>
      </c>
      <c r="D1911" s="2" t="s">
        <v>7433</v>
      </c>
      <c r="E1911" s="2" t="s">
        <v>12593</v>
      </c>
      <c r="F1911" s="2" t="s">
        <v>15328</v>
      </c>
      <c r="G1911" s="2" t="s">
        <v>16484</v>
      </c>
      <c r="H1911" s="2" t="s">
        <v>76</v>
      </c>
      <c r="I1911" s="9">
        <v>134656290.32258099</v>
      </c>
      <c r="J1911" s="7">
        <v>6.2000000000000003E-5</v>
      </c>
      <c r="K1911" s="9">
        <v>8348.69</v>
      </c>
      <c r="L1911" s="14">
        <v>0</v>
      </c>
      <c r="M1911" s="2" t="s">
        <v>71</v>
      </c>
      <c r="N1911" s="2" t="s">
        <v>13272</v>
      </c>
      <c r="O1911" s="2" t="s">
        <v>16485</v>
      </c>
      <c r="P1911" s="9">
        <v>0</v>
      </c>
      <c r="Q1911" s="9">
        <v>0</v>
      </c>
      <c r="R1911" s="2" t="s">
        <v>16000</v>
      </c>
    </row>
    <row r="1912" spans="1:18" x14ac:dyDescent="0.25">
      <c r="A1912" s="2" t="s">
        <v>10296</v>
      </c>
      <c r="B1912" s="6">
        <v>46204</v>
      </c>
      <c r="C1912" s="8">
        <v>46224</v>
      </c>
      <c r="D1912" s="2" t="s">
        <v>7433</v>
      </c>
      <c r="E1912" s="2" t="s">
        <v>12593</v>
      </c>
      <c r="F1912" s="2" t="s">
        <v>15332</v>
      </c>
      <c r="G1912" s="2" t="s">
        <v>16486</v>
      </c>
      <c r="H1912" s="2" t="s">
        <v>70</v>
      </c>
      <c r="I1912" s="9">
        <v>13108.662614000001</v>
      </c>
      <c r="J1912" s="7">
        <v>0.65800000000000003</v>
      </c>
      <c r="K1912" s="9">
        <v>8625.5</v>
      </c>
      <c r="L1912" s="14">
        <v>0</v>
      </c>
      <c r="M1912" s="2" t="s">
        <v>71</v>
      </c>
      <c r="N1912" s="2" t="s">
        <v>13272</v>
      </c>
      <c r="O1912" s="2" t="s">
        <v>16487</v>
      </c>
      <c r="P1912" s="9">
        <v>0</v>
      </c>
      <c r="Q1912" s="9">
        <v>0</v>
      </c>
      <c r="R1912" s="2" t="s">
        <v>16003</v>
      </c>
    </row>
    <row r="1913" spans="1:18" x14ac:dyDescent="0.25">
      <c r="A1913" s="2" t="s">
        <v>10301</v>
      </c>
      <c r="B1913" s="6">
        <v>46204</v>
      </c>
      <c r="C1913" s="8">
        <v>46225</v>
      </c>
      <c r="D1913" s="2" t="s">
        <v>7433</v>
      </c>
      <c r="E1913" s="2" t="s">
        <v>12593</v>
      </c>
      <c r="F1913" s="2" t="s">
        <v>15336</v>
      </c>
      <c r="G1913" s="2" t="s">
        <v>16488</v>
      </c>
      <c r="H1913" s="2" t="s">
        <v>39</v>
      </c>
      <c r="I1913" s="9">
        <v>8902.32</v>
      </c>
      <c r="J1913" s="7">
        <v>1</v>
      </c>
      <c r="K1913" s="9">
        <v>8902.32</v>
      </c>
      <c r="L1913" s="14">
        <v>0</v>
      </c>
      <c r="M1913" s="2" t="s">
        <v>71</v>
      </c>
      <c r="N1913" s="2" t="s">
        <v>13272</v>
      </c>
      <c r="O1913" s="2" t="s">
        <v>16489</v>
      </c>
      <c r="P1913" s="9">
        <v>0</v>
      </c>
      <c r="Q1913" s="9">
        <v>0</v>
      </c>
      <c r="R1913" s="2" t="s">
        <v>16006</v>
      </c>
    </row>
    <row r="1914" spans="1:18" x14ac:dyDescent="0.25">
      <c r="A1914" s="2" t="s">
        <v>10306</v>
      </c>
      <c r="B1914" s="6">
        <v>46204</v>
      </c>
      <c r="C1914" s="8">
        <v>46226</v>
      </c>
      <c r="D1914" s="2" t="s">
        <v>7433</v>
      </c>
      <c r="E1914" s="2" t="s">
        <v>12593</v>
      </c>
      <c r="F1914" s="2" t="s">
        <v>15300</v>
      </c>
      <c r="G1914" s="2" t="s">
        <v>16490</v>
      </c>
      <c r="H1914" s="2" t="s">
        <v>76</v>
      </c>
      <c r="I1914" s="9">
        <v>148050645.16128999</v>
      </c>
      <c r="J1914" s="7">
        <v>6.2000000000000003E-5</v>
      </c>
      <c r="K1914" s="9">
        <v>9179.14</v>
      </c>
      <c r="L1914" s="14">
        <v>0</v>
      </c>
      <c r="M1914" s="2" t="s">
        <v>71</v>
      </c>
      <c r="N1914" s="2" t="s">
        <v>13272</v>
      </c>
      <c r="O1914" s="2" t="s">
        <v>16491</v>
      </c>
      <c r="P1914" s="9">
        <v>0</v>
      </c>
      <c r="Q1914" s="9">
        <v>0</v>
      </c>
      <c r="R1914" s="2" t="s">
        <v>16009</v>
      </c>
    </row>
    <row r="1915" spans="1:18" x14ac:dyDescent="0.25">
      <c r="A1915" s="2" t="s">
        <v>10311</v>
      </c>
      <c r="B1915" s="6">
        <v>46204</v>
      </c>
      <c r="C1915" s="8">
        <v>46227</v>
      </c>
      <c r="D1915" s="2" t="s">
        <v>7433</v>
      </c>
      <c r="E1915" s="2" t="s">
        <v>12593</v>
      </c>
      <c r="F1915" s="2" t="s">
        <v>15304</v>
      </c>
      <c r="G1915" s="2" t="s">
        <v>16492</v>
      </c>
      <c r="H1915" s="2" t="s">
        <v>70</v>
      </c>
      <c r="I1915" s="9">
        <v>14368.389058000001</v>
      </c>
      <c r="J1915" s="7">
        <v>0.65800000000000003</v>
      </c>
      <c r="K1915" s="9">
        <v>9454.4</v>
      </c>
      <c r="L1915" s="14">
        <v>0</v>
      </c>
      <c r="M1915" s="2" t="s">
        <v>71</v>
      </c>
      <c r="N1915" s="2" t="s">
        <v>13272</v>
      </c>
      <c r="O1915" s="2" t="s">
        <v>16493</v>
      </c>
      <c r="P1915" s="9">
        <v>0</v>
      </c>
      <c r="Q1915" s="9">
        <v>0</v>
      </c>
      <c r="R1915" s="2" t="s">
        <v>16012</v>
      </c>
    </row>
    <row r="1916" spans="1:18" x14ac:dyDescent="0.25">
      <c r="A1916" s="2" t="s">
        <v>10316</v>
      </c>
      <c r="B1916" s="6">
        <v>46204</v>
      </c>
      <c r="C1916" s="8">
        <v>46228</v>
      </c>
      <c r="D1916" s="2" t="s">
        <v>7433</v>
      </c>
      <c r="E1916" s="2" t="s">
        <v>12593</v>
      </c>
      <c r="F1916" s="2" t="s">
        <v>15308</v>
      </c>
      <c r="G1916" s="2" t="s">
        <v>16494</v>
      </c>
      <c r="H1916" s="2" t="s">
        <v>39</v>
      </c>
      <c r="I1916" s="9">
        <v>9731.2199999999993</v>
      </c>
      <c r="J1916" s="7">
        <v>1</v>
      </c>
      <c r="K1916" s="9">
        <v>9731.2199999999993</v>
      </c>
      <c r="L1916" s="14">
        <v>0</v>
      </c>
      <c r="M1916" s="2" t="s">
        <v>71</v>
      </c>
      <c r="N1916" s="2" t="s">
        <v>13272</v>
      </c>
      <c r="O1916" s="2" t="s">
        <v>16495</v>
      </c>
      <c r="P1916" s="9">
        <v>0</v>
      </c>
      <c r="Q1916" s="9">
        <v>0</v>
      </c>
      <c r="R1916" s="2" t="s">
        <v>16015</v>
      </c>
    </row>
    <row r="1917" spans="1:18" x14ac:dyDescent="0.25">
      <c r="A1917" s="2" t="s">
        <v>10321</v>
      </c>
      <c r="B1917" s="6">
        <v>46204</v>
      </c>
      <c r="C1917" s="8">
        <v>46229</v>
      </c>
      <c r="D1917" s="2" t="s">
        <v>7433</v>
      </c>
      <c r="E1917" s="2" t="s">
        <v>12593</v>
      </c>
      <c r="F1917" s="2" t="s">
        <v>15312</v>
      </c>
      <c r="G1917" s="2" t="s">
        <v>16496</v>
      </c>
      <c r="H1917" s="2" t="s">
        <v>76</v>
      </c>
      <c r="I1917" s="9">
        <v>161419838.70967701</v>
      </c>
      <c r="J1917" s="7">
        <v>6.2000000000000003E-5</v>
      </c>
      <c r="K1917" s="9">
        <v>10008.030000000001</v>
      </c>
      <c r="L1917" s="14">
        <v>0</v>
      </c>
      <c r="M1917" s="2" t="s">
        <v>71</v>
      </c>
      <c r="N1917" s="2" t="s">
        <v>13272</v>
      </c>
      <c r="O1917" s="2" t="s">
        <v>16497</v>
      </c>
      <c r="P1917" s="9">
        <v>0</v>
      </c>
      <c r="Q1917" s="9">
        <v>0</v>
      </c>
      <c r="R1917" s="2" t="s">
        <v>15988</v>
      </c>
    </row>
    <row r="1918" spans="1:18" x14ac:dyDescent="0.25">
      <c r="A1918" s="2" t="s">
        <v>10326</v>
      </c>
      <c r="B1918" s="6">
        <v>46204</v>
      </c>
      <c r="C1918" s="8">
        <v>46230</v>
      </c>
      <c r="D1918" s="2" t="s">
        <v>7433</v>
      </c>
      <c r="E1918" s="2" t="s">
        <v>12593</v>
      </c>
      <c r="F1918" s="2" t="s">
        <v>15316</v>
      </c>
      <c r="G1918" s="2" t="s">
        <v>16498</v>
      </c>
      <c r="H1918" s="2" t="s">
        <v>70</v>
      </c>
      <c r="I1918" s="9">
        <v>15630.471125</v>
      </c>
      <c r="J1918" s="7">
        <v>0.65800000000000003</v>
      </c>
      <c r="K1918" s="9">
        <v>10284.85</v>
      </c>
      <c r="L1918" s="14">
        <v>0</v>
      </c>
      <c r="M1918" s="2" t="s">
        <v>71</v>
      </c>
      <c r="N1918" s="2" t="s">
        <v>13272</v>
      </c>
      <c r="O1918" s="2" t="s">
        <v>16499</v>
      </c>
      <c r="P1918" s="9">
        <v>0</v>
      </c>
      <c r="Q1918" s="9">
        <v>0</v>
      </c>
      <c r="R1918" s="2" t="s">
        <v>15991</v>
      </c>
    </row>
    <row r="1919" spans="1:18" x14ac:dyDescent="0.25">
      <c r="A1919" s="2" t="s">
        <v>10331</v>
      </c>
      <c r="B1919" s="6">
        <v>46204</v>
      </c>
      <c r="C1919" s="8">
        <v>46231</v>
      </c>
      <c r="D1919" s="2" t="s">
        <v>7433</v>
      </c>
      <c r="E1919" s="2" t="s">
        <v>12593</v>
      </c>
      <c r="F1919" s="2" t="s">
        <v>15320</v>
      </c>
      <c r="G1919" s="2" t="s">
        <v>16500</v>
      </c>
      <c r="H1919" s="2" t="s">
        <v>39</v>
      </c>
      <c r="I1919" s="9">
        <v>10561.66</v>
      </c>
      <c r="J1919" s="7">
        <v>1</v>
      </c>
      <c r="K1919" s="9">
        <v>10561.66</v>
      </c>
      <c r="L1919" s="14">
        <v>0</v>
      </c>
      <c r="M1919" s="2" t="s">
        <v>71</v>
      </c>
      <c r="N1919" s="2" t="s">
        <v>13272</v>
      </c>
      <c r="O1919" s="2" t="s">
        <v>16501</v>
      </c>
      <c r="P1919" s="9">
        <v>0</v>
      </c>
      <c r="Q1919" s="9">
        <v>0</v>
      </c>
      <c r="R1919" s="2" t="s">
        <v>15994</v>
      </c>
    </row>
    <row r="1920" spans="1:18" x14ac:dyDescent="0.25">
      <c r="A1920" s="2" t="s">
        <v>10336</v>
      </c>
      <c r="B1920" s="6">
        <v>46204</v>
      </c>
      <c r="C1920" s="8">
        <v>46232</v>
      </c>
      <c r="D1920" s="2" t="s">
        <v>7433</v>
      </c>
      <c r="E1920" s="2" t="s">
        <v>12593</v>
      </c>
      <c r="F1920" s="2" t="s">
        <v>15324</v>
      </c>
      <c r="G1920" s="2" t="s">
        <v>16502</v>
      </c>
      <c r="H1920" s="2" t="s">
        <v>76</v>
      </c>
      <c r="I1920" s="9">
        <v>174814193.54838699</v>
      </c>
      <c r="J1920" s="7">
        <v>6.2000000000000003E-5</v>
      </c>
      <c r="K1920" s="9">
        <v>10838.48</v>
      </c>
      <c r="L1920" s="14">
        <v>0</v>
      </c>
      <c r="M1920" s="2" t="s">
        <v>71</v>
      </c>
      <c r="N1920" s="2" t="s">
        <v>13272</v>
      </c>
      <c r="O1920" s="2" t="s">
        <v>16503</v>
      </c>
      <c r="P1920" s="9">
        <v>0</v>
      </c>
      <c r="Q1920" s="9">
        <v>0</v>
      </c>
      <c r="R1920" s="2" t="s">
        <v>15997</v>
      </c>
    </row>
    <row r="1921" spans="1:18" x14ac:dyDescent="0.25">
      <c r="A1921" s="2" t="s">
        <v>10341</v>
      </c>
      <c r="B1921" s="6">
        <v>46204</v>
      </c>
      <c r="C1921" s="8">
        <v>46233</v>
      </c>
      <c r="D1921" s="2" t="s">
        <v>7433</v>
      </c>
      <c r="E1921" s="2" t="s">
        <v>12593</v>
      </c>
      <c r="F1921" s="2" t="s">
        <v>15328</v>
      </c>
      <c r="G1921" s="2" t="s">
        <v>16504</v>
      </c>
      <c r="H1921" s="2" t="s">
        <v>70</v>
      </c>
      <c r="I1921" s="9">
        <v>16892.553190999999</v>
      </c>
      <c r="J1921" s="7">
        <v>0.65800000000000003</v>
      </c>
      <c r="K1921" s="9">
        <v>11115.3</v>
      </c>
      <c r="L1921" s="14">
        <v>0</v>
      </c>
      <c r="M1921" s="2" t="s">
        <v>71</v>
      </c>
      <c r="N1921" s="2" t="s">
        <v>13272</v>
      </c>
      <c r="O1921" s="2" t="s">
        <v>16505</v>
      </c>
      <c r="P1921" s="9">
        <v>0</v>
      </c>
      <c r="Q1921" s="9">
        <v>0</v>
      </c>
      <c r="R1921" s="2" t="s">
        <v>16000</v>
      </c>
    </row>
    <row r="1922" spans="1:18" x14ac:dyDescent="0.25">
      <c r="A1922" s="2" t="s">
        <v>10346</v>
      </c>
      <c r="B1922" s="6">
        <v>46204</v>
      </c>
      <c r="C1922" s="8">
        <v>46234</v>
      </c>
      <c r="D1922" s="2" t="s">
        <v>7433</v>
      </c>
      <c r="E1922" s="2" t="s">
        <v>12593</v>
      </c>
      <c r="F1922" s="2" t="s">
        <v>15332</v>
      </c>
      <c r="G1922" s="2" t="s">
        <v>16506</v>
      </c>
      <c r="H1922" s="2" t="s">
        <v>39</v>
      </c>
      <c r="I1922" s="9">
        <v>11392.11</v>
      </c>
      <c r="J1922" s="7">
        <v>1</v>
      </c>
      <c r="K1922" s="9">
        <v>11392.11</v>
      </c>
      <c r="L1922" s="14">
        <v>0</v>
      </c>
      <c r="M1922" s="2" t="s">
        <v>71</v>
      </c>
      <c r="N1922" s="2" t="s">
        <v>13272</v>
      </c>
      <c r="O1922" s="2" t="s">
        <v>16507</v>
      </c>
      <c r="P1922" s="9">
        <v>0</v>
      </c>
      <c r="Q1922" s="9">
        <v>0</v>
      </c>
      <c r="R1922" s="2" t="s">
        <v>16003</v>
      </c>
    </row>
    <row r="1923" spans="1:18" x14ac:dyDescent="0.25">
      <c r="A1923" s="2" t="s">
        <v>10351</v>
      </c>
      <c r="B1923" s="6">
        <v>46204</v>
      </c>
      <c r="C1923" s="8">
        <v>46204</v>
      </c>
      <c r="D1923" s="2" t="s">
        <v>7433</v>
      </c>
      <c r="E1923" s="2" t="s">
        <v>12593</v>
      </c>
      <c r="F1923" s="2" t="s">
        <v>15336</v>
      </c>
      <c r="G1923" s="2" t="s">
        <v>16508</v>
      </c>
      <c r="H1923" s="2" t="s">
        <v>76</v>
      </c>
      <c r="I1923" s="9">
        <v>188208548.387097</v>
      </c>
      <c r="J1923" s="7">
        <v>6.2000000000000003E-5</v>
      </c>
      <c r="K1923" s="9">
        <v>11668.93</v>
      </c>
      <c r="L1923" s="14">
        <v>0</v>
      </c>
      <c r="M1923" s="2" t="s">
        <v>71</v>
      </c>
      <c r="N1923" s="2" t="s">
        <v>13272</v>
      </c>
      <c r="O1923" s="2" t="s">
        <v>16509</v>
      </c>
      <c r="P1923" s="9">
        <v>0</v>
      </c>
      <c r="Q1923" s="9">
        <v>0</v>
      </c>
      <c r="R1923" s="2" t="s">
        <v>16006</v>
      </c>
    </row>
    <row r="1924" spans="1:18" x14ac:dyDescent="0.25">
      <c r="A1924" s="2" t="s">
        <v>10356</v>
      </c>
      <c r="B1924" s="6">
        <v>46204</v>
      </c>
      <c r="C1924" s="8">
        <v>46205</v>
      </c>
      <c r="D1924" s="2" t="s">
        <v>7433</v>
      </c>
      <c r="E1924" s="2" t="s">
        <v>12593</v>
      </c>
      <c r="F1924" s="2" t="s">
        <v>15300</v>
      </c>
      <c r="G1924" s="2" t="s">
        <v>16510</v>
      </c>
      <c r="H1924" s="2" t="s">
        <v>70</v>
      </c>
      <c r="I1924" s="9">
        <v>18154.635257999998</v>
      </c>
      <c r="J1924" s="7">
        <v>0.65800000000000003</v>
      </c>
      <c r="K1924" s="9">
        <v>11945.75</v>
      </c>
      <c r="L1924" s="14">
        <v>0</v>
      </c>
      <c r="M1924" s="2" t="s">
        <v>71</v>
      </c>
      <c r="N1924" s="2" t="s">
        <v>13272</v>
      </c>
      <c r="O1924" s="2" t="s">
        <v>16511</v>
      </c>
      <c r="P1924" s="9">
        <v>0</v>
      </c>
      <c r="Q1924" s="9">
        <v>0</v>
      </c>
      <c r="R1924" s="2" t="s">
        <v>16009</v>
      </c>
    </row>
    <row r="1925" spans="1:18" x14ac:dyDescent="0.25">
      <c r="A1925" s="2" t="s">
        <v>10361</v>
      </c>
      <c r="B1925" s="6">
        <v>46204</v>
      </c>
      <c r="C1925" s="8">
        <v>46206</v>
      </c>
      <c r="D1925" s="2" t="s">
        <v>7433</v>
      </c>
      <c r="E1925" s="2" t="s">
        <v>12593</v>
      </c>
      <c r="F1925" s="2" t="s">
        <v>15304</v>
      </c>
      <c r="G1925" s="2" t="s">
        <v>16512</v>
      </c>
      <c r="H1925" s="2" t="s">
        <v>39</v>
      </c>
      <c r="I1925" s="9">
        <v>12222.56</v>
      </c>
      <c r="J1925" s="7">
        <v>1</v>
      </c>
      <c r="K1925" s="9">
        <v>12222.56</v>
      </c>
      <c r="L1925" s="14">
        <v>0</v>
      </c>
      <c r="M1925" s="2" t="s">
        <v>71</v>
      </c>
      <c r="N1925" s="2" t="s">
        <v>13272</v>
      </c>
      <c r="O1925" s="2" t="s">
        <v>16513</v>
      </c>
      <c r="P1925" s="9">
        <v>0</v>
      </c>
      <c r="Q1925" s="9">
        <v>0</v>
      </c>
      <c r="R1925" s="2" t="s">
        <v>16012</v>
      </c>
    </row>
    <row r="1926" spans="1:18" x14ac:dyDescent="0.25">
      <c r="A1926" s="2" t="s">
        <v>10366</v>
      </c>
      <c r="B1926" s="6">
        <v>46204</v>
      </c>
      <c r="C1926" s="8">
        <v>46207</v>
      </c>
      <c r="D1926" s="2" t="s">
        <v>7433</v>
      </c>
      <c r="E1926" s="2" t="s">
        <v>12593</v>
      </c>
      <c r="F1926" s="2" t="s">
        <v>15308</v>
      </c>
      <c r="G1926" s="2" t="s">
        <v>16514</v>
      </c>
      <c r="H1926" s="2" t="s">
        <v>76</v>
      </c>
      <c r="I1926" s="9">
        <v>201602903.225806</v>
      </c>
      <c r="J1926" s="7">
        <v>6.2000000000000003E-5</v>
      </c>
      <c r="K1926" s="9">
        <v>12499.38</v>
      </c>
      <c r="L1926" s="14">
        <v>0</v>
      </c>
      <c r="M1926" s="2" t="s">
        <v>71</v>
      </c>
      <c r="N1926" s="2" t="s">
        <v>13272</v>
      </c>
      <c r="O1926" s="2" t="s">
        <v>16515</v>
      </c>
      <c r="P1926" s="9">
        <v>0</v>
      </c>
      <c r="Q1926" s="9">
        <v>0</v>
      </c>
      <c r="R1926" s="2" t="s">
        <v>16015</v>
      </c>
    </row>
    <row r="1927" spans="1:18" x14ac:dyDescent="0.25">
      <c r="A1927" s="2" t="s">
        <v>10371</v>
      </c>
      <c r="B1927" s="6">
        <v>46204</v>
      </c>
      <c r="C1927" s="8">
        <v>46208</v>
      </c>
      <c r="D1927" s="2" t="s">
        <v>7433</v>
      </c>
      <c r="E1927" s="2" t="s">
        <v>12593</v>
      </c>
      <c r="F1927" s="2" t="s">
        <v>15312</v>
      </c>
      <c r="G1927" s="2" t="s">
        <v>16516</v>
      </c>
      <c r="H1927" s="2" t="s">
        <v>70</v>
      </c>
      <c r="I1927" s="9">
        <v>19416.717325000001</v>
      </c>
      <c r="J1927" s="7">
        <v>0.65800000000000003</v>
      </c>
      <c r="K1927" s="9">
        <v>12776.2</v>
      </c>
      <c r="L1927" s="14">
        <v>0</v>
      </c>
      <c r="M1927" s="2" t="s">
        <v>71</v>
      </c>
      <c r="N1927" s="2" t="s">
        <v>13272</v>
      </c>
      <c r="O1927" s="2" t="s">
        <v>16517</v>
      </c>
      <c r="P1927" s="9">
        <v>0</v>
      </c>
      <c r="Q1927" s="9">
        <v>0</v>
      </c>
      <c r="R1927" s="2" t="s">
        <v>15988</v>
      </c>
    </row>
    <row r="1928" spans="1:18" x14ac:dyDescent="0.25">
      <c r="A1928" s="2" t="s">
        <v>10376</v>
      </c>
      <c r="B1928" s="6">
        <v>46204</v>
      </c>
      <c r="C1928" s="8">
        <v>46209</v>
      </c>
      <c r="D1928" s="2" t="s">
        <v>7433</v>
      </c>
      <c r="E1928" s="2" t="s">
        <v>12593</v>
      </c>
      <c r="F1928" s="2" t="s">
        <v>15316</v>
      </c>
      <c r="G1928" s="2" t="s">
        <v>16518</v>
      </c>
      <c r="H1928" s="2" t="s">
        <v>39</v>
      </c>
      <c r="I1928" s="9">
        <v>13053.01</v>
      </c>
      <c r="J1928" s="7">
        <v>1</v>
      </c>
      <c r="K1928" s="9">
        <v>13053.01</v>
      </c>
      <c r="L1928" s="14">
        <v>0</v>
      </c>
      <c r="M1928" s="2" t="s">
        <v>71</v>
      </c>
      <c r="N1928" s="2" t="s">
        <v>13272</v>
      </c>
      <c r="O1928" s="2" t="s">
        <v>16519</v>
      </c>
      <c r="P1928" s="9">
        <v>0</v>
      </c>
      <c r="Q1928" s="9">
        <v>0</v>
      </c>
      <c r="R1928" s="2" t="s">
        <v>15991</v>
      </c>
    </row>
    <row r="1929" spans="1:18" x14ac:dyDescent="0.25">
      <c r="A1929" s="2" t="s">
        <v>10381</v>
      </c>
      <c r="B1929" s="6">
        <v>46204</v>
      </c>
      <c r="C1929" s="8">
        <v>46210</v>
      </c>
      <c r="D1929" s="2" t="s">
        <v>7433</v>
      </c>
      <c r="E1929" s="2" t="s">
        <v>12593</v>
      </c>
      <c r="F1929" s="2" t="s">
        <v>15320</v>
      </c>
      <c r="G1929" s="2" t="s">
        <v>16520</v>
      </c>
      <c r="H1929" s="2" t="s">
        <v>76</v>
      </c>
      <c r="I1929" s="9">
        <v>214997096.774194</v>
      </c>
      <c r="J1929" s="7">
        <v>6.2000000000000003E-5</v>
      </c>
      <c r="K1929" s="9">
        <v>13329.82</v>
      </c>
      <c r="L1929" s="14">
        <v>0</v>
      </c>
      <c r="M1929" s="2" t="s">
        <v>71</v>
      </c>
      <c r="N1929" s="2" t="s">
        <v>13272</v>
      </c>
      <c r="O1929" s="2" t="s">
        <v>16521</v>
      </c>
      <c r="P1929" s="9">
        <v>0</v>
      </c>
      <c r="Q1929" s="9">
        <v>0</v>
      </c>
      <c r="R1929" s="2" t="s">
        <v>15994</v>
      </c>
    </row>
    <row r="1930" spans="1:18" x14ac:dyDescent="0.25">
      <c r="A1930" s="2" t="s">
        <v>10386</v>
      </c>
      <c r="B1930" s="6">
        <v>46204</v>
      </c>
      <c r="C1930" s="8">
        <v>46211</v>
      </c>
      <c r="D1930" s="2" t="s">
        <v>7433</v>
      </c>
      <c r="E1930" s="2" t="s">
        <v>12593</v>
      </c>
      <c r="F1930" s="2" t="s">
        <v>15324</v>
      </c>
      <c r="G1930" s="2" t="s">
        <v>16522</v>
      </c>
      <c r="H1930" s="2" t="s">
        <v>70</v>
      </c>
      <c r="I1930" s="9">
        <v>20678.784195</v>
      </c>
      <c r="J1930" s="7">
        <v>0.65800000000000003</v>
      </c>
      <c r="K1930" s="9">
        <v>13606.64</v>
      </c>
      <c r="L1930" s="14">
        <v>0</v>
      </c>
      <c r="M1930" s="2" t="s">
        <v>71</v>
      </c>
      <c r="N1930" s="2" t="s">
        <v>13272</v>
      </c>
      <c r="O1930" s="2" t="s">
        <v>16523</v>
      </c>
      <c r="P1930" s="9">
        <v>0</v>
      </c>
      <c r="Q1930" s="9">
        <v>0</v>
      </c>
      <c r="R1930" s="2" t="s">
        <v>15997</v>
      </c>
    </row>
    <row r="1931" spans="1:18" x14ac:dyDescent="0.25">
      <c r="A1931" s="2" t="s">
        <v>10391</v>
      </c>
      <c r="B1931" s="6">
        <v>46204</v>
      </c>
      <c r="C1931" s="8">
        <v>46212</v>
      </c>
      <c r="D1931" s="2" t="s">
        <v>7433</v>
      </c>
      <c r="E1931" s="2" t="s">
        <v>12593</v>
      </c>
      <c r="F1931" s="2" t="s">
        <v>15328</v>
      </c>
      <c r="G1931" s="2" t="s">
        <v>16524</v>
      </c>
      <c r="H1931" s="2" t="s">
        <v>39</v>
      </c>
      <c r="I1931" s="9">
        <v>13883.46</v>
      </c>
      <c r="J1931" s="7">
        <v>1</v>
      </c>
      <c r="K1931" s="9">
        <v>13883.46</v>
      </c>
      <c r="L1931" s="14">
        <v>0</v>
      </c>
      <c r="M1931" s="2" t="s">
        <v>71</v>
      </c>
      <c r="N1931" s="2" t="s">
        <v>13272</v>
      </c>
      <c r="O1931" s="2" t="s">
        <v>16525</v>
      </c>
      <c r="P1931" s="9">
        <v>0</v>
      </c>
      <c r="Q1931" s="9">
        <v>0</v>
      </c>
      <c r="R1931" s="2" t="s">
        <v>16000</v>
      </c>
    </row>
    <row r="1932" spans="1:18" x14ac:dyDescent="0.25">
      <c r="A1932" s="2" t="s">
        <v>10396</v>
      </c>
      <c r="B1932" s="6">
        <v>46204</v>
      </c>
      <c r="C1932" s="8">
        <v>46213</v>
      </c>
      <c r="D1932" s="2" t="s">
        <v>7433</v>
      </c>
      <c r="E1932" s="2" t="s">
        <v>12593</v>
      </c>
      <c r="F1932" s="2" t="s">
        <v>15332</v>
      </c>
      <c r="G1932" s="2" t="s">
        <v>16526</v>
      </c>
      <c r="H1932" s="2" t="s">
        <v>76</v>
      </c>
      <c r="I1932" s="9">
        <v>228391451.612903</v>
      </c>
      <c r="J1932" s="7">
        <v>6.2000000000000003E-5</v>
      </c>
      <c r="K1932" s="9">
        <v>14160.27</v>
      </c>
      <c r="L1932" s="14">
        <v>0</v>
      </c>
      <c r="M1932" s="2" t="s">
        <v>71</v>
      </c>
      <c r="N1932" s="2" t="s">
        <v>13272</v>
      </c>
      <c r="O1932" s="2" t="s">
        <v>16527</v>
      </c>
      <c r="P1932" s="9">
        <v>0</v>
      </c>
      <c r="Q1932" s="9">
        <v>0</v>
      </c>
      <c r="R1932" s="2" t="s">
        <v>16003</v>
      </c>
    </row>
    <row r="1933" spans="1:18" x14ac:dyDescent="0.25">
      <c r="A1933" s="2" t="s">
        <v>10401</v>
      </c>
      <c r="B1933" s="6">
        <v>46204</v>
      </c>
      <c r="C1933" s="8">
        <v>46214</v>
      </c>
      <c r="D1933" s="2" t="s">
        <v>7433</v>
      </c>
      <c r="E1933" s="2" t="s">
        <v>12593</v>
      </c>
      <c r="F1933" s="2" t="s">
        <v>15336</v>
      </c>
      <c r="G1933" s="2" t="s">
        <v>16528</v>
      </c>
      <c r="H1933" s="2" t="s">
        <v>70</v>
      </c>
      <c r="I1933" s="9">
        <v>21940.866260999999</v>
      </c>
      <c r="J1933" s="7">
        <v>0.65800000000000003</v>
      </c>
      <c r="K1933" s="9">
        <v>14437.09</v>
      </c>
      <c r="L1933" s="14">
        <v>0</v>
      </c>
      <c r="M1933" s="2" t="s">
        <v>71</v>
      </c>
      <c r="N1933" s="2" t="s">
        <v>13272</v>
      </c>
      <c r="O1933" s="2" t="s">
        <v>16529</v>
      </c>
      <c r="P1933" s="9">
        <v>0</v>
      </c>
      <c r="Q1933" s="9">
        <v>0</v>
      </c>
      <c r="R1933" s="2" t="s">
        <v>16006</v>
      </c>
    </row>
    <row r="1934" spans="1:18" x14ac:dyDescent="0.25">
      <c r="A1934" s="2" t="s">
        <v>10406</v>
      </c>
      <c r="B1934" s="6">
        <v>46204</v>
      </c>
      <c r="C1934" s="8">
        <v>46215</v>
      </c>
      <c r="D1934" s="2" t="s">
        <v>7433</v>
      </c>
      <c r="E1934" s="2" t="s">
        <v>12593</v>
      </c>
      <c r="F1934" s="2" t="s">
        <v>15300</v>
      </c>
      <c r="G1934" s="2" t="s">
        <v>16530</v>
      </c>
      <c r="H1934" s="2" t="s">
        <v>39</v>
      </c>
      <c r="I1934" s="9">
        <v>14713.9</v>
      </c>
      <c r="J1934" s="7">
        <v>1</v>
      </c>
      <c r="K1934" s="9">
        <v>14713.9</v>
      </c>
      <c r="L1934" s="14">
        <v>0</v>
      </c>
      <c r="M1934" s="2" t="s">
        <v>71</v>
      </c>
      <c r="N1934" s="2" t="s">
        <v>13272</v>
      </c>
      <c r="O1934" s="2" t="s">
        <v>16531</v>
      </c>
      <c r="P1934" s="9">
        <v>0</v>
      </c>
      <c r="Q1934" s="9">
        <v>0</v>
      </c>
      <c r="R1934" s="2" t="s">
        <v>16009</v>
      </c>
    </row>
    <row r="1935" spans="1:18" x14ac:dyDescent="0.25">
      <c r="A1935" s="2" t="s">
        <v>10411</v>
      </c>
      <c r="B1935" s="6">
        <v>46204</v>
      </c>
      <c r="C1935" s="8">
        <v>46216</v>
      </c>
      <c r="D1935" s="2" t="s">
        <v>7433</v>
      </c>
      <c r="E1935" s="2" t="s">
        <v>12593</v>
      </c>
      <c r="F1935" s="2" t="s">
        <v>15304</v>
      </c>
      <c r="G1935" s="2" t="s">
        <v>16532</v>
      </c>
      <c r="H1935" s="2" t="s">
        <v>76</v>
      </c>
      <c r="I1935" s="9">
        <v>241785806.45161301</v>
      </c>
      <c r="J1935" s="7">
        <v>6.2000000000000003E-5</v>
      </c>
      <c r="K1935" s="9">
        <v>14990.72</v>
      </c>
      <c r="L1935" s="14">
        <v>0</v>
      </c>
      <c r="M1935" s="2" t="s">
        <v>71</v>
      </c>
      <c r="N1935" s="2" t="s">
        <v>13272</v>
      </c>
      <c r="O1935" s="2" t="s">
        <v>16533</v>
      </c>
      <c r="P1935" s="9">
        <v>0</v>
      </c>
      <c r="Q1935" s="9">
        <v>0</v>
      </c>
      <c r="R1935" s="2" t="s">
        <v>16012</v>
      </c>
    </row>
    <row r="1936" spans="1:18" x14ac:dyDescent="0.25">
      <c r="A1936" s="2" t="s">
        <v>10416</v>
      </c>
      <c r="B1936" s="6">
        <v>46204</v>
      </c>
      <c r="C1936" s="8">
        <v>46217</v>
      </c>
      <c r="D1936" s="2" t="s">
        <v>7433</v>
      </c>
      <c r="E1936" s="2" t="s">
        <v>12593</v>
      </c>
      <c r="F1936" s="2" t="s">
        <v>15308</v>
      </c>
      <c r="G1936" s="2" t="s">
        <v>16534</v>
      </c>
      <c r="H1936" s="2" t="s">
        <v>70</v>
      </c>
      <c r="I1936" s="9">
        <v>23202.933131000002</v>
      </c>
      <c r="J1936" s="7">
        <v>0.65800000000000003</v>
      </c>
      <c r="K1936" s="9">
        <v>15267.53</v>
      </c>
      <c r="L1936" s="14">
        <v>0</v>
      </c>
      <c r="M1936" s="2" t="s">
        <v>71</v>
      </c>
      <c r="N1936" s="2" t="s">
        <v>13272</v>
      </c>
      <c r="O1936" s="2" t="s">
        <v>16535</v>
      </c>
      <c r="P1936" s="9">
        <v>0</v>
      </c>
      <c r="Q1936" s="9">
        <v>0</v>
      </c>
      <c r="R1936" s="2" t="s">
        <v>16015</v>
      </c>
    </row>
    <row r="1937" spans="1:18" x14ac:dyDescent="0.25">
      <c r="A1937" s="2" t="s">
        <v>10421</v>
      </c>
      <c r="B1937" s="6">
        <v>46204</v>
      </c>
      <c r="C1937" s="8">
        <v>46218</v>
      </c>
      <c r="D1937" s="2" t="s">
        <v>7433</v>
      </c>
      <c r="E1937" s="2" t="s">
        <v>12593</v>
      </c>
      <c r="F1937" s="2" t="s">
        <v>15312</v>
      </c>
      <c r="G1937" s="2" t="s">
        <v>16536</v>
      </c>
      <c r="H1937" s="2" t="s">
        <v>39</v>
      </c>
      <c r="I1937" s="9">
        <v>15544.35</v>
      </c>
      <c r="J1937" s="7">
        <v>1</v>
      </c>
      <c r="K1937" s="9">
        <v>15544.35</v>
      </c>
      <c r="L1937" s="14">
        <v>0</v>
      </c>
      <c r="M1937" s="2" t="s">
        <v>71</v>
      </c>
      <c r="N1937" s="2" t="s">
        <v>13272</v>
      </c>
      <c r="O1937" s="2" t="s">
        <v>16537</v>
      </c>
      <c r="P1937" s="9">
        <v>0</v>
      </c>
      <c r="Q1937" s="9">
        <v>0</v>
      </c>
      <c r="R1937" s="2" t="s">
        <v>15988</v>
      </c>
    </row>
    <row r="1938" spans="1:18" x14ac:dyDescent="0.25">
      <c r="A1938" s="2" t="s">
        <v>10426</v>
      </c>
      <c r="B1938" s="6">
        <v>46204</v>
      </c>
      <c r="C1938" s="8">
        <v>46219</v>
      </c>
      <c r="D1938" s="2" t="s">
        <v>7433</v>
      </c>
      <c r="E1938" s="2" t="s">
        <v>12593</v>
      </c>
      <c r="F1938" s="2" t="s">
        <v>15316</v>
      </c>
      <c r="G1938" s="2" t="s">
        <v>16538</v>
      </c>
      <c r="H1938" s="2" t="s">
        <v>76</v>
      </c>
      <c r="I1938" s="9">
        <v>255180161.29032299</v>
      </c>
      <c r="J1938" s="7">
        <v>6.2000000000000003E-5</v>
      </c>
      <c r="K1938" s="9">
        <v>15821.17</v>
      </c>
      <c r="L1938" s="14">
        <v>0</v>
      </c>
      <c r="M1938" s="2" t="s">
        <v>71</v>
      </c>
      <c r="N1938" s="2" t="s">
        <v>13272</v>
      </c>
      <c r="O1938" s="2" t="s">
        <v>16539</v>
      </c>
      <c r="P1938" s="9">
        <v>0</v>
      </c>
      <c r="Q1938" s="9">
        <v>0</v>
      </c>
      <c r="R1938" s="2" t="s">
        <v>15991</v>
      </c>
    </row>
    <row r="1939" spans="1:18" x14ac:dyDescent="0.25">
      <c r="A1939" s="2" t="s">
        <v>10431</v>
      </c>
      <c r="B1939" s="6">
        <v>46204</v>
      </c>
      <c r="C1939" s="8">
        <v>46220</v>
      </c>
      <c r="D1939" s="2" t="s">
        <v>7433</v>
      </c>
      <c r="E1939" s="2" t="s">
        <v>12593</v>
      </c>
      <c r="F1939" s="2" t="s">
        <v>15320</v>
      </c>
      <c r="G1939" s="2" t="s">
        <v>16540</v>
      </c>
      <c r="H1939" s="2" t="s">
        <v>70</v>
      </c>
      <c r="I1939" s="9">
        <v>24465.015198000001</v>
      </c>
      <c r="J1939" s="7">
        <v>0.65800000000000003</v>
      </c>
      <c r="K1939" s="9">
        <v>16097.98</v>
      </c>
      <c r="L1939" s="14">
        <v>0</v>
      </c>
      <c r="M1939" s="2" t="s">
        <v>71</v>
      </c>
      <c r="N1939" s="2" t="s">
        <v>13272</v>
      </c>
      <c r="O1939" s="2" t="s">
        <v>16541</v>
      </c>
      <c r="P1939" s="9">
        <v>0</v>
      </c>
      <c r="Q1939" s="9">
        <v>0</v>
      </c>
      <c r="R1939" s="2" t="s">
        <v>15994</v>
      </c>
    </row>
    <row r="1940" spans="1:18" x14ac:dyDescent="0.25">
      <c r="A1940" s="2" t="s">
        <v>10436</v>
      </c>
      <c r="B1940" s="6">
        <v>46204</v>
      </c>
      <c r="C1940" s="8">
        <v>46221</v>
      </c>
      <c r="D1940" s="2" t="s">
        <v>7433</v>
      </c>
      <c r="E1940" s="2" t="s">
        <v>12593</v>
      </c>
      <c r="F1940" s="2" t="s">
        <v>15324</v>
      </c>
      <c r="G1940" s="2" t="s">
        <v>16542</v>
      </c>
      <c r="H1940" s="2" t="s">
        <v>39</v>
      </c>
      <c r="I1940" s="9">
        <v>16374.8</v>
      </c>
      <c r="J1940" s="7">
        <v>1</v>
      </c>
      <c r="K1940" s="9">
        <v>16374.8</v>
      </c>
      <c r="L1940" s="14">
        <v>0</v>
      </c>
      <c r="M1940" s="2" t="s">
        <v>71</v>
      </c>
      <c r="N1940" s="2" t="s">
        <v>13272</v>
      </c>
      <c r="O1940" s="2" t="s">
        <v>16543</v>
      </c>
      <c r="P1940" s="9">
        <v>0</v>
      </c>
      <c r="Q1940" s="9">
        <v>0</v>
      </c>
      <c r="R1940" s="2" t="s">
        <v>15997</v>
      </c>
    </row>
    <row r="1941" spans="1:18" x14ac:dyDescent="0.25">
      <c r="A1941" s="2" t="s">
        <v>10441</v>
      </c>
      <c r="B1941" s="6">
        <v>46204</v>
      </c>
      <c r="C1941" s="8">
        <v>46222</v>
      </c>
      <c r="D1941" s="2" t="s">
        <v>7433</v>
      </c>
      <c r="E1941" s="2" t="s">
        <v>12593</v>
      </c>
      <c r="F1941" s="2" t="s">
        <v>15328</v>
      </c>
      <c r="G1941" s="2" t="s">
        <v>16544</v>
      </c>
      <c r="H1941" s="2" t="s">
        <v>76</v>
      </c>
      <c r="I1941" s="9">
        <v>268574516.12903202</v>
      </c>
      <c r="J1941" s="7">
        <v>6.2000000000000003E-5</v>
      </c>
      <c r="K1941" s="9">
        <v>16651.62</v>
      </c>
      <c r="L1941" s="14">
        <v>0</v>
      </c>
      <c r="M1941" s="2" t="s">
        <v>71</v>
      </c>
      <c r="N1941" s="2" t="s">
        <v>13272</v>
      </c>
      <c r="O1941" s="2" t="s">
        <v>16545</v>
      </c>
      <c r="P1941" s="9">
        <v>0</v>
      </c>
      <c r="Q1941" s="9">
        <v>0</v>
      </c>
      <c r="R1941" s="2" t="s">
        <v>16000</v>
      </c>
    </row>
    <row r="1942" spans="1:18" x14ac:dyDescent="0.25">
      <c r="A1942" s="2" t="s">
        <v>10446</v>
      </c>
      <c r="B1942" s="6">
        <v>46204</v>
      </c>
      <c r="C1942" s="8">
        <v>46223</v>
      </c>
      <c r="D1942" s="2" t="s">
        <v>7433</v>
      </c>
      <c r="E1942" s="2" t="s">
        <v>12593</v>
      </c>
      <c r="F1942" s="2" t="s">
        <v>15332</v>
      </c>
      <c r="G1942" s="2" t="s">
        <v>16546</v>
      </c>
      <c r="H1942" s="2" t="s">
        <v>70</v>
      </c>
      <c r="I1942" s="9">
        <v>25727.097264</v>
      </c>
      <c r="J1942" s="7">
        <v>0.65800000000000003</v>
      </c>
      <c r="K1942" s="9">
        <v>16928.43</v>
      </c>
      <c r="L1942" s="14">
        <v>0</v>
      </c>
      <c r="M1942" s="2" t="s">
        <v>71</v>
      </c>
      <c r="N1942" s="2" t="s">
        <v>13272</v>
      </c>
      <c r="O1942" s="2" t="s">
        <v>16547</v>
      </c>
      <c r="P1942" s="9">
        <v>0</v>
      </c>
      <c r="Q1942" s="9">
        <v>0</v>
      </c>
      <c r="R1942" s="2" t="s">
        <v>16003</v>
      </c>
    </row>
    <row r="1943" spans="1:18" x14ac:dyDescent="0.25">
      <c r="A1943" s="2" t="s">
        <v>10451</v>
      </c>
      <c r="B1943" s="6">
        <v>46204</v>
      </c>
      <c r="C1943" s="8">
        <v>46224</v>
      </c>
      <c r="D1943" s="2" t="s">
        <v>7433</v>
      </c>
      <c r="E1943" s="2" t="s">
        <v>12593</v>
      </c>
      <c r="F1943" s="2" t="s">
        <v>15336</v>
      </c>
      <c r="G1943" s="2" t="s">
        <v>16548</v>
      </c>
      <c r="H1943" s="2" t="s">
        <v>39</v>
      </c>
      <c r="I1943" s="9">
        <v>17205.25</v>
      </c>
      <c r="J1943" s="7">
        <v>1</v>
      </c>
      <c r="K1943" s="9">
        <v>17205.25</v>
      </c>
      <c r="L1943" s="14">
        <v>0</v>
      </c>
      <c r="M1943" s="2" t="s">
        <v>71</v>
      </c>
      <c r="N1943" s="2" t="s">
        <v>13272</v>
      </c>
      <c r="O1943" s="2" t="s">
        <v>16549</v>
      </c>
      <c r="P1943" s="9">
        <v>0</v>
      </c>
      <c r="Q1943" s="9">
        <v>0</v>
      </c>
      <c r="R1943" s="2" t="s">
        <v>16006</v>
      </c>
    </row>
    <row r="1944" spans="1:18" x14ac:dyDescent="0.25">
      <c r="A1944" s="2" t="s">
        <v>10456</v>
      </c>
      <c r="B1944" s="6">
        <v>46204</v>
      </c>
      <c r="C1944" s="8">
        <v>46225</v>
      </c>
      <c r="D1944" s="2" t="s">
        <v>7433</v>
      </c>
      <c r="E1944" s="2" t="s">
        <v>12593</v>
      </c>
      <c r="F1944" s="2" t="s">
        <v>15300</v>
      </c>
      <c r="G1944" s="2" t="s">
        <v>16550</v>
      </c>
      <c r="H1944" s="2" t="s">
        <v>76</v>
      </c>
      <c r="I1944" s="9">
        <v>281968709.67741901</v>
      </c>
      <c r="J1944" s="7">
        <v>6.2000000000000003E-5</v>
      </c>
      <c r="K1944" s="9">
        <v>17482.060000000001</v>
      </c>
      <c r="L1944" s="14">
        <v>0</v>
      </c>
      <c r="M1944" s="2" t="s">
        <v>71</v>
      </c>
      <c r="N1944" s="2" t="s">
        <v>13272</v>
      </c>
      <c r="O1944" s="2" t="s">
        <v>16551</v>
      </c>
      <c r="P1944" s="9">
        <v>0</v>
      </c>
      <c r="Q1944" s="9">
        <v>0</v>
      </c>
      <c r="R1944" s="2" t="s">
        <v>16009</v>
      </c>
    </row>
    <row r="1945" spans="1:18" x14ac:dyDescent="0.25">
      <c r="A1945" s="2" t="s">
        <v>10461</v>
      </c>
      <c r="B1945" s="6">
        <v>46204</v>
      </c>
      <c r="C1945" s="8">
        <v>46226</v>
      </c>
      <c r="D1945" s="2" t="s">
        <v>7433</v>
      </c>
      <c r="E1945" s="2" t="s">
        <v>12593</v>
      </c>
      <c r="F1945" s="2" t="s">
        <v>15304</v>
      </c>
      <c r="G1945" s="2" t="s">
        <v>16552</v>
      </c>
      <c r="H1945" s="2" t="s">
        <v>70</v>
      </c>
      <c r="I1945" s="9">
        <v>26989.179330999999</v>
      </c>
      <c r="J1945" s="7">
        <v>0.65800000000000003</v>
      </c>
      <c r="K1945" s="9">
        <v>17758.88</v>
      </c>
      <c r="L1945" s="14">
        <v>0</v>
      </c>
      <c r="M1945" s="2" t="s">
        <v>71</v>
      </c>
      <c r="N1945" s="2" t="s">
        <v>13272</v>
      </c>
      <c r="O1945" s="2" t="s">
        <v>16553</v>
      </c>
      <c r="P1945" s="9">
        <v>0</v>
      </c>
      <c r="Q1945" s="9">
        <v>0</v>
      </c>
      <c r="R1945" s="2" t="s">
        <v>16012</v>
      </c>
    </row>
    <row r="1946" spans="1:18" x14ac:dyDescent="0.25">
      <c r="A1946" s="2" t="s">
        <v>10466</v>
      </c>
      <c r="B1946" s="6">
        <v>46204</v>
      </c>
      <c r="C1946" s="8">
        <v>46227</v>
      </c>
      <c r="D1946" s="2" t="s">
        <v>7433</v>
      </c>
      <c r="E1946" s="2" t="s">
        <v>12593</v>
      </c>
      <c r="F1946" s="2" t="s">
        <v>15308</v>
      </c>
      <c r="G1946" s="2" t="s">
        <v>16554</v>
      </c>
      <c r="H1946" s="2" t="s">
        <v>39</v>
      </c>
      <c r="I1946" s="9">
        <v>18035.7</v>
      </c>
      <c r="J1946" s="7">
        <v>1</v>
      </c>
      <c r="K1946" s="9">
        <v>18035.7</v>
      </c>
      <c r="L1946" s="14">
        <v>0</v>
      </c>
      <c r="M1946" s="2" t="s">
        <v>71</v>
      </c>
      <c r="N1946" s="2" t="s">
        <v>13272</v>
      </c>
      <c r="O1946" s="2" t="s">
        <v>16555</v>
      </c>
      <c r="P1946" s="9">
        <v>0</v>
      </c>
      <c r="Q1946" s="9">
        <v>0</v>
      </c>
      <c r="R1946" s="2" t="s">
        <v>16015</v>
      </c>
    </row>
    <row r="1947" spans="1:18" x14ac:dyDescent="0.25">
      <c r="A1947" s="2" t="s">
        <v>10471</v>
      </c>
      <c r="B1947" s="6">
        <v>46204</v>
      </c>
      <c r="C1947" s="8">
        <v>46228</v>
      </c>
      <c r="D1947" s="2" t="s">
        <v>7433</v>
      </c>
      <c r="E1947" s="2" t="s">
        <v>12593</v>
      </c>
      <c r="F1947" s="2" t="s">
        <v>15312</v>
      </c>
      <c r="G1947" s="2" t="s">
        <v>16556</v>
      </c>
      <c r="H1947" s="2" t="s">
        <v>76</v>
      </c>
      <c r="I1947" s="9">
        <v>295363064.51612902</v>
      </c>
      <c r="J1947" s="7">
        <v>6.2000000000000003E-5</v>
      </c>
      <c r="K1947" s="9">
        <v>18312.509999999998</v>
      </c>
      <c r="L1947" s="14">
        <v>0</v>
      </c>
      <c r="M1947" s="2" t="s">
        <v>71</v>
      </c>
      <c r="N1947" s="2" t="s">
        <v>13272</v>
      </c>
      <c r="O1947" s="2" t="s">
        <v>16557</v>
      </c>
      <c r="P1947" s="9">
        <v>0</v>
      </c>
      <c r="Q1947" s="9">
        <v>0</v>
      </c>
      <c r="R1947" s="2" t="s">
        <v>15988</v>
      </c>
    </row>
    <row r="1948" spans="1:18" x14ac:dyDescent="0.25">
      <c r="A1948" s="2" t="s">
        <v>10476</v>
      </c>
      <c r="B1948" s="6">
        <v>46204</v>
      </c>
      <c r="C1948" s="8">
        <v>46229</v>
      </c>
      <c r="D1948" s="2" t="s">
        <v>7433</v>
      </c>
      <c r="E1948" s="2" t="s">
        <v>12593</v>
      </c>
      <c r="F1948" s="2" t="s">
        <v>15316</v>
      </c>
      <c r="G1948" s="2" t="s">
        <v>16558</v>
      </c>
      <c r="H1948" s="2" t="s">
        <v>70</v>
      </c>
      <c r="I1948" s="9">
        <v>-28251.261397999999</v>
      </c>
      <c r="J1948" s="7">
        <v>0.65800000000000003</v>
      </c>
      <c r="K1948" s="9">
        <v>-18589.330000000002</v>
      </c>
      <c r="L1948" s="14">
        <v>0</v>
      </c>
      <c r="M1948" s="2" t="s">
        <v>71</v>
      </c>
      <c r="N1948" s="2" t="s">
        <v>13272</v>
      </c>
      <c r="O1948" s="2" t="s">
        <v>16559</v>
      </c>
      <c r="P1948" s="9">
        <v>0</v>
      </c>
      <c r="Q1948" s="9">
        <v>0</v>
      </c>
      <c r="R1948" s="2" t="s">
        <v>15991</v>
      </c>
    </row>
    <row r="1949" spans="1:18" x14ac:dyDescent="0.25">
      <c r="A1949" s="2" t="s">
        <v>10479</v>
      </c>
      <c r="B1949" s="6">
        <v>46204</v>
      </c>
      <c r="C1949" s="8">
        <v>46230</v>
      </c>
      <c r="D1949" s="2" t="s">
        <v>7433</v>
      </c>
      <c r="E1949" s="2" t="s">
        <v>12593</v>
      </c>
      <c r="F1949" s="2" t="s">
        <v>15320</v>
      </c>
      <c r="G1949" s="2" t="s">
        <v>16560</v>
      </c>
      <c r="H1949" s="2" t="s">
        <v>39</v>
      </c>
      <c r="I1949" s="9">
        <v>18866.14</v>
      </c>
      <c r="J1949" s="7">
        <v>1</v>
      </c>
      <c r="K1949" s="9">
        <v>18866.14</v>
      </c>
      <c r="L1949" s="14">
        <v>0</v>
      </c>
      <c r="M1949" s="2" t="s">
        <v>71</v>
      </c>
      <c r="N1949" s="2" t="s">
        <v>13272</v>
      </c>
      <c r="O1949" s="2" t="s">
        <v>16561</v>
      </c>
      <c r="P1949" s="9">
        <v>0</v>
      </c>
      <c r="Q1949" s="9">
        <v>0</v>
      </c>
      <c r="R1949" s="2" t="s">
        <v>15994</v>
      </c>
    </row>
    <row r="1950" spans="1:18" x14ac:dyDescent="0.25">
      <c r="A1950" s="2" t="s">
        <v>10484</v>
      </c>
      <c r="B1950" s="6">
        <v>46204</v>
      </c>
      <c r="C1950" s="8">
        <v>46231</v>
      </c>
      <c r="D1950" s="2" t="s">
        <v>7433</v>
      </c>
      <c r="E1950" s="2" t="s">
        <v>12593</v>
      </c>
      <c r="F1950" s="2" t="s">
        <v>15324</v>
      </c>
      <c r="G1950" s="2" t="s">
        <v>16562</v>
      </c>
      <c r="H1950" s="2" t="s">
        <v>76</v>
      </c>
      <c r="I1950" s="9">
        <v>308757419.35483903</v>
      </c>
      <c r="J1950" s="7">
        <v>6.2000000000000003E-5</v>
      </c>
      <c r="K1950" s="9">
        <v>19142.96</v>
      </c>
      <c r="L1950" s="14">
        <v>0</v>
      </c>
      <c r="M1950" s="2" t="s">
        <v>71</v>
      </c>
      <c r="N1950" s="2" t="s">
        <v>13272</v>
      </c>
      <c r="O1950" s="2" t="s">
        <v>16563</v>
      </c>
      <c r="P1950" s="9">
        <v>0</v>
      </c>
      <c r="Q1950" s="9">
        <v>0</v>
      </c>
      <c r="R1950" s="2" t="s">
        <v>15997</v>
      </c>
    </row>
    <row r="1951" spans="1:18" x14ac:dyDescent="0.25">
      <c r="A1951" s="2" t="s">
        <v>10489</v>
      </c>
      <c r="B1951" s="6">
        <v>46204</v>
      </c>
      <c r="C1951" s="8">
        <v>46232</v>
      </c>
      <c r="D1951" s="2" t="s">
        <v>7433</v>
      </c>
      <c r="E1951" s="2" t="s">
        <v>12593</v>
      </c>
      <c r="F1951" s="2" t="s">
        <v>15328</v>
      </c>
      <c r="G1951" s="2" t="s">
        <v>16564</v>
      </c>
      <c r="H1951" s="2" t="s">
        <v>70</v>
      </c>
      <c r="I1951" s="9">
        <v>29513.343465000002</v>
      </c>
      <c r="J1951" s="7">
        <v>0.65800000000000003</v>
      </c>
      <c r="K1951" s="9">
        <v>19419.78</v>
      </c>
      <c r="L1951" s="14">
        <v>0</v>
      </c>
      <c r="M1951" s="2" t="s">
        <v>71</v>
      </c>
      <c r="N1951" s="2" t="s">
        <v>13272</v>
      </c>
      <c r="O1951" s="2" t="s">
        <v>16565</v>
      </c>
      <c r="P1951" s="9">
        <v>0</v>
      </c>
      <c r="Q1951" s="9">
        <v>0</v>
      </c>
      <c r="R1951" s="2" t="s">
        <v>16000</v>
      </c>
    </row>
    <row r="1952" spans="1:18" x14ac:dyDescent="0.25">
      <c r="A1952" s="2" t="s">
        <v>10494</v>
      </c>
      <c r="B1952" s="6">
        <v>46204</v>
      </c>
      <c r="C1952" s="8">
        <v>46233</v>
      </c>
      <c r="D1952" s="2" t="s">
        <v>7433</v>
      </c>
      <c r="E1952" s="2" t="s">
        <v>12593</v>
      </c>
      <c r="F1952" s="2" t="s">
        <v>15332</v>
      </c>
      <c r="G1952" s="2" t="s">
        <v>16566</v>
      </c>
      <c r="H1952" s="2" t="s">
        <v>39</v>
      </c>
      <c r="I1952" s="9">
        <v>19696.59</v>
      </c>
      <c r="J1952" s="7">
        <v>1</v>
      </c>
      <c r="K1952" s="9">
        <v>19696.59</v>
      </c>
      <c r="L1952" s="14">
        <v>0</v>
      </c>
      <c r="M1952" s="2" t="s">
        <v>71</v>
      </c>
      <c r="N1952" s="2" t="s">
        <v>13272</v>
      </c>
      <c r="O1952" s="2" t="s">
        <v>16567</v>
      </c>
      <c r="P1952" s="9">
        <v>0</v>
      </c>
      <c r="Q1952" s="9">
        <v>0</v>
      </c>
      <c r="R1952" s="2" t="s">
        <v>16003</v>
      </c>
    </row>
    <row r="1953" spans="1:18" x14ac:dyDescent="0.25">
      <c r="A1953" s="2" t="s">
        <v>10499</v>
      </c>
      <c r="B1953" s="6">
        <v>46204</v>
      </c>
      <c r="C1953" s="8">
        <v>46234</v>
      </c>
      <c r="D1953" s="2" t="s">
        <v>7433</v>
      </c>
      <c r="E1953" s="2" t="s">
        <v>12593</v>
      </c>
      <c r="F1953" s="2" t="s">
        <v>15336</v>
      </c>
      <c r="G1953" s="2" t="s">
        <v>16568</v>
      </c>
      <c r="H1953" s="2" t="s">
        <v>76</v>
      </c>
      <c r="I1953" s="9">
        <v>322151774.19354802</v>
      </c>
      <c r="J1953" s="7">
        <v>6.2000000000000003E-5</v>
      </c>
      <c r="K1953" s="9">
        <v>19973.41</v>
      </c>
      <c r="L1953" s="14">
        <v>0</v>
      </c>
      <c r="M1953" s="2" t="s">
        <v>71</v>
      </c>
      <c r="N1953" s="2" t="s">
        <v>13272</v>
      </c>
      <c r="O1953" s="2" t="s">
        <v>16569</v>
      </c>
      <c r="P1953" s="9">
        <v>0</v>
      </c>
      <c r="Q1953" s="9">
        <v>0</v>
      </c>
      <c r="R1953" s="2" t="s">
        <v>16006</v>
      </c>
    </row>
    <row r="1954" spans="1:18" x14ac:dyDescent="0.25">
      <c r="A1954" s="2" t="s">
        <v>10504</v>
      </c>
      <c r="B1954" s="6">
        <v>46204</v>
      </c>
      <c r="C1954" s="8">
        <v>46204</v>
      </c>
      <c r="D1954" s="2" t="s">
        <v>7433</v>
      </c>
      <c r="E1954" s="2" t="s">
        <v>12593</v>
      </c>
      <c r="F1954" s="2" t="s">
        <v>15300</v>
      </c>
      <c r="G1954" s="2" t="s">
        <v>16570</v>
      </c>
      <c r="H1954" s="2" t="s">
        <v>70</v>
      </c>
      <c r="I1954" s="9">
        <v>30775.425532000001</v>
      </c>
      <c r="J1954" s="7">
        <v>0.65800000000000003</v>
      </c>
      <c r="K1954" s="9">
        <v>20250.23</v>
      </c>
      <c r="L1954" s="14">
        <v>0</v>
      </c>
      <c r="M1954" s="2" t="s">
        <v>71</v>
      </c>
      <c r="N1954" s="2" t="s">
        <v>13272</v>
      </c>
      <c r="O1954" s="2" t="s">
        <v>16571</v>
      </c>
      <c r="P1954" s="9">
        <v>0</v>
      </c>
      <c r="Q1954" s="9">
        <v>0</v>
      </c>
      <c r="R1954" s="2" t="s">
        <v>16009</v>
      </c>
    </row>
    <row r="1955" spans="1:18" x14ac:dyDescent="0.25">
      <c r="A1955" s="2" t="s">
        <v>10509</v>
      </c>
      <c r="B1955" s="6">
        <v>46204</v>
      </c>
      <c r="C1955" s="8">
        <v>46205</v>
      </c>
      <c r="D1955" s="2" t="s">
        <v>7433</v>
      </c>
      <c r="E1955" s="2" t="s">
        <v>12593</v>
      </c>
      <c r="F1955" s="2" t="s">
        <v>15304</v>
      </c>
      <c r="G1955" s="2" t="s">
        <v>16572</v>
      </c>
      <c r="H1955" s="2" t="s">
        <v>39</v>
      </c>
      <c r="I1955" s="9">
        <v>20527.04</v>
      </c>
      <c r="J1955" s="7">
        <v>1</v>
      </c>
      <c r="K1955" s="9">
        <v>20527.04</v>
      </c>
      <c r="L1955" s="14">
        <v>0</v>
      </c>
      <c r="M1955" s="2" t="s">
        <v>71</v>
      </c>
      <c r="N1955" s="2" t="s">
        <v>13272</v>
      </c>
      <c r="O1955" s="2" t="s">
        <v>16573</v>
      </c>
      <c r="P1955" s="9">
        <v>0</v>
      </c>
      <c r="Q1955" s="9">
        <v>0</v>
      </c>
      <c r="R1955" s="2" t="s">
        <v>16012</v>
      </c>
    </row>
    <row r="1956" spans="1:18" x14ac:dyDescent="0.25">
      <c r="A1956" s="2" t="s">
        <v>10514</v>
      </c>
      <c r="B1956" s="6">
        <v>46204</v>
      </c>
      <c r="C1956" s="8">
        <v>46206</v>
      </c>
      <c r="D1956" s="2" t="s">
        <v>7433</v>
      </c>
      <c r="E1956" s="2" t="s">
        <v>12593</v>
      </c>
      <c r="F1956" s="2" t="s">
        <v>15308</v>
      </c>
      <c r="G1956" s="2" t="s">
        <v>16574</v>
      </c>
      <c r="H1956" s="2" t="s">
        <v>76</v>
      </c>
      <c r="I1956" s="9">
        <v>335546129.03225797</v>
      </c>
      <c r="J1956" s="7">
        <v>6.2000000000000003E-5</v>
      </c>
      <c r="K1956" s="9">
        <v>20803.86</v>
      </c>
      <c r="L1956" s="14">
        <v>0</v>
      </c>
      <c r="M1956" s="2" t="s">
        <v>71</v>
      </c>
      <c r="N1956" s="2" t="s">
        <v>13272</v>
      </c>
      <c r="O1956" s="2" t="s">
        <v>16575</v>
      </c>
      <c r="P1956" s="9">
        <v>0</v>
      </c>
      <c r="Q1956" s="9">
        <v>0</v>
      </c>
      <c r="R1956" s="2" t="s">
        <v>16015</v>
      </c>
    </row>
    <row r="1957" spans="1:18" x14ac:dyDescent="0.25">
      <c r="A1957" s="2" t="s">
        <v>10519</v>
      </c>
      <c r="B1957" s="6">
        <v>46204</v>
      </c>
      <c r="C1957" s="8">
        <v>46207</v>
      </c>
      <c r="D1957" s="2" t="s">
        <v>7433</v>
      </c>
      <c r="E1957" s="2" t="s">
        <v>12593</v>
      </c>
      <c r="F1957" s="2" t="s">
        <v>15312</v>
      </c>
      <c r="G1957" s="2" t="s">
        <v>16576</v>
      </c>
      <c r="H1957" s="2" t="s">
        <v>70</v>
      </c>
      <c r="I1957" s="9">
        <v>32037.507599</v>
      </c>
      <c r="J1957" s="7">
        <v>0.65800000000000003</v>
      </c>
      <c r="K1957" s="9">
        <v>21080.68</v>
      </c>
      <c r="L1957" s="14">
        <v>0</v>
      </c>
      <c r="M1957" s="2" t="s">
        <v>71</v>
      </c>
      <c r="N1957" s="2" t="s">
        <v>13272</v>
      </c>
      <c r="O1957" s="2" t="s">
        <v>16577</v>
      </c>
      <c r="P1957" s="9">
        <v>0</v>
      </c>
      <c r="Q1957" s="9">
        <v>0</v>
      </c>
      <c r="R1957" s="2" t="s">
        <v>15988</v>
      </c>
    </row>
    <row r="1958" spans="1:18" x14ac:dyDescent="0.25">
      <c r="A1958" s="2" t="s">
        <v>10524</v>
      </c>
      <c r="B1958" s="6">
        <v>46204</v>
      </c>
      <c r="C1958" s="8">
        <v>46208</v>
      </c>
      <c r="D1958" s="2" t="s">
        <v>7433</v>
      </c>
      <c r="E1958" s="2" t="s">
        <v>12593</v>
      </c>
      <c r="F1958" s="2" t="s">
        <v>15316</v>
      </c>
      <c r="G1958" s="2" t="s">
        <v>16578</v>
      </c>
      <c r="H1958" s="2" t="s">
        <v>39</v>
      </c>
      <c r="I1958" s="9">
        <v>21357.49</v>
      </c>
      <c r="J1958" s="7">
        <v>1</v>
      </c>
      <c r="K1958" s="9">
        <v>21357.49</v>
      </c>
      <c r="L1958" s="14">
        <v>0</v>
      </c>
      <c r="M1958" s="2" t="s">
        <v>71</v>
      </c>
      <c r="N1958" s="2" t="s">
        <v>13272</v>
      </c>
      <c r="O1958" s="2" t="s">
        <v>16579</v>
      </c>
      <c r="P1958" s="9">
        <v>0</v>
      </c>
      <c r="Q1958" s="9">
        <v>0</v>
      </c>
      <c r="R1958" s="2" t="s">
        <v>15991</v>
      </c>
    </row>
    <row r="1959" spans="1:18" x14ac:dyDescent="0.25">
      <c r="A1959" s="2" t="s">
        <v>10529</v>
      </c>
      <c r="B1959" s="6">
        <v>46204</v>
      </c>
      <c r="C1959" s="8">
        <v>46209</v>
      </c>
      <c r="D1959" s="2" t="s">
        <v>7433</v>
      </c>
      <c r="E1959" s="2" t="s">
        <v>12593</v>
      </c>
      <c r="F1959" s="2" t="s">
        <v>15320</v>
      </c>
      <c r="G1959" s="2" t="s">
        <v>16580</v>
      </c>
      <c r="H1959" s="2" t="s">
        <v>76</v>
      </c>
      <c r="I1959" s="9">
        <v>348940322.58064502</v>
      </c>
      <c r="J1959" s="7">
        <v>6.2000000000000003E-5</v>
      </c>
      <c r="K1959" s="9">
        <v>21634.3</v>
      </c>
      <c r="L1959" s="14">
        <v>0</v>
      </c>
      <c r="M1959" s="2" t="s">
        <v>71</v>
      </c>
      <c r="N1959" s="2" t="s">
        <v>13272</v>
      </c>
      <c r="O1959" s="2" t="s">
        <v>16581</v>
      </c>
      <c r="P1959" s="9">
        <v>0</v>
      </c>
      <c r="Q1959" s="9">
        <v>0</v>
      </c>
      <c r="R1959" s="2" t="s">
        <v>15994</v>
      </c>
    </row>
    <row r="1960" spans="1:18" x14ac:dyDescent="0.25">
      <c r="A1960" s="2" t="s">
        <v>10534</v>
      </c>
      <c r="B1960" s="6">
        <v>46204</v>
      </c>
      <c r="C1960" s="8">
        <v>46210</v>
      </c>
      <c r="D1960" s="2" t="s">
        <v>7433</v>
      </c>
      <c r="E1960" s="2" t="s">
        <v>12593</v>
      </c>
      <c r="F1960" s="2" t="s">
        <v>15324</v>
      </c>
      <c r="G1960" s="2" t="s">
        <v>16582</v>
      </c>
      <c r="H1960" s="2" t="s">
        <v>70</v>
      </c>
      <c r="I1960" s="9">
        <v>33299.574467999999</v>
      </c>
      <c r="J1960" s="7">
        <v>0.65800000000000003</v>
      </c>
      <c r="K1960" s="9">
        <v>21911.119999999999</v>
      </c>
      <c r="L1960" s="14">
        <v>0</v>
      </c>
      <c r="M1960" s="2" t="s">
        <v>71</v>
      </c>
      <c r="N1960" s="2" t="s">
        <v>13272</v>
      </c>
      <c r="O1960" s="2" t="s">
        <v>16583</v>
      </c>
      <c r="P1960" s="9">
        <v>0</v>
      </c>
      <c r="Q1960" s="9">
        <v>0</v>
      </c>
      <c r="R1960" s="2" t="s">
        <v>15997</v>
      </c>
    </row>
    <row r="1961" spans="1:18" x14ac:dyDescent="0.25">
      <c r="A1961" s="2" t="s">
        <v>10539</v>
      </c>
      <c r="B1961" s="6">
        <v>46204</v>
      </c>
      <c r="C1961" s="8">
        <v>46211</v>
      </c>
      <c r="D1961" s="2" t="s">
        <v>7433</v>
      </c>
      <c r="E1961" s="2" t="s">
        <v>12593</v>
      </c>
      <c r="F1961" s="2" t="s">
        <v>15328</v>
      </c>
      <c r="G1961" s="2" t="s">
        <v>16584</v>
      </c>
      <c r="H1961" s="2" t="s">
        <v>39</v>
      </c>
      <c r="I1961" s="9">
        <v>22187.94</v>
      </c>
      <c r="J1961" s="7">
        <v>1</v>
      </c>
      <c r="K1961" s="9">
        <v>22187.94</v>
      </c>
      <c r="L1961" s="14">
        <v>0</v>
      </c>
      <c r="M1961" s="2" t="s">
        <v>71</v>
      </c>
      <c r="N1961" s="2" t="s">
        <v>13272</v>
      </c>
      <c r="O1961" s="2" t="s">
        <v>16585</v>
      </c>
      <c r="P1961" s="9">
        <v>0</v>
      </c>
      <c r="Q1961" s="9">
        <v>0</v>
      </c>
      <c r="R1961" s="2" t="s">
        <v>16000</v>
      </c>
    </row>
    <row r="1962" spans="1:18" x14ac:dyDescent="0.25">
      <c r="A1962" s="2" t="s">
        <v>10544</v>
      </c>
      <c r="B1962" s="6">
        <v>46204</v>
      </c>
      <c r="C1962" s="8">
        <v>46212</v>
      </c>
      <c r="D1962" s="2" t="s">
        <v>7433</v>
      </c>
      <c r="E1962" s="2" t="s">
        <v>12593</v>
      </c>
      <c r="F1962" s="2" t="s">
        <v>15332</v>
      </c>
      <c r="G1962" s="2" t="s">
        <v>16586</v>
      </c>
      <c r="H1962" s="2" t="s">
        <v>76</v>
      </c>
      <c r="I1962" s="9">
        <v>362334677.41935498</v>
      </c>
      <c r="J1962" s="7">
        <v>6.2000000000000003E-5</v>
      </c>
      <c r="K1962" s="9">
        <v>22464.75</v>
      </c>
      <c r="L1962" s="14">
        <v>0</v>
      </c>
      <c r="M1962" s="2" t="s">
        <v>71</v>
      </c>
      <c r="N1962" s="2" t="s">
        <v>13272</v>
      </c>
      <c r="O1962" s="2" t="s">
        <v>16587</v>
      </c>
      <c r="P1962" s="9">
        <v>0</v>
      </c>
      <c r="Q1962" s="9">
        <v>0</v>
      </c>
      <c r="R1962" s="2" t="s">
        <v>16003</v>
      </c>
    </row>
    <row r="1963" spans="1:18" x14ac:dyDescent="0.25">
      <c r="A1963" s="2" t="s">
        <v>10549</v>
      </c>
      <c r="B1963" s="6">
        <v>46204</v>
      </c>
      <c r="C1963" s="8">
        <v>46213</v>
      </c>
      <c r="D1963" s="2" t="s">
        <v>7433</v>
      </c>
      <c r="E1963" s="2" t="s">
        <v>12593</v>
      </c>
      <c r="F1963" s="2" t="s">
        <v>15336</v>
      </c>
      <c r="G1963" s="2" t="s">
        <v>16588</v>
      </c>
      <c r="H1963" s="2" t="s">
        <v>70</v>
      </c>
      <c r="I1963" s="9">
        <v>34561.656535000002</v>
      </c>
      <c r="J1963" s="7">
        <v>0.65800000000000003</v>
      </c>
      <c r="K1963" s="9">
        <v>22741.57</v>
      </c>
      <c r="L1963" s="14">
        <v>0</v>
      </c>
      <c r="M1963" s="2" t="s">
        <v>71</v>
      </c>
      <c r="N1963" s="2" t="s">
        <v>13272</v>
      </c>
      <c r="O1963" s="2" t="s">
        <v>16589</v>
      </c>
      <c r="P1963" s="9">
        <v>0</v>
      </c>
      <c r="Q1963" s="9">
        <v>0</v>
      </c>
      <c r="R1963" s="2" t="s">
        <v>16006</v>
      </c>
    </row>
    <row r="1964" spans="1:18" x14ac:dyDescent="0.25">
      <c r="A1964" s="2" t="s">
        <v>10554</v>
      </c>
      <c r="B1964" s="6">
        <v>46204</v>
      </c>
      <c r="C1964" s="8">
        <v>46214</v>
      </c>
      <c r="D1964" s="2" t="s">
        <v>7433</v>
      </c>
      <c r="E1964" s="2" t="s">
        <v>12593</v>
      </c>
      <c r="F1964" s="2" t="s">
        <v>15300</v>
      </c>
      <c r="G1964" s="2" t="s">
        <v>16590</v>
      </c>
      <c r="H1964" s="2" t="s">
        <v>39</v>
      </c>
      <c r="I1964" s="9">
        <v>23018.38</v>
      </c>
      <c r="J1964" s="7">
        <v>1</v>
      </c>
      <c r="K1964" s="9">
        <v>23018.38</v>
      </c>
      <c r="L1964" s="14">
        <v>0</v>
      </c>
      <c r="M1964" s="2" t="s">
        <v>71</v>
      </c>
      <c r="N1964" s="2" t="s">
        <v>13272</v>
      </c>
      <c r="O1964" s="2" t="s">
        <v>16591</v>
      </c>
      <c r="P1964" s="9">
        <v>0</v>
      </c>
      <c r="Q1964" s="9">
        <v>0</v>
      </c>
      <c r="R1964" s="2" t="s">
        <v>16009</v>
      </c>
    </row>
    <row r="1965" spans="1:18" x14ac:dyDescent="0.25">
      <c r="A1965" s="2" t="s">
        <v>10559</v>
      </c>
      <c r="B1965" s="6">
        <v>46204</v>
      </c>
      <c r="C1965" s="8">
        <v>46215</v>
      </c>
      <c r="D1965" s="2" t="s">
        <v>7433</v>
      </c>
      <c r="E1965" s="2" t="s">
        <v>12593</v>
      </c>
      <c r="F1965" s="2" t="s">
        <v>15304</v>
      </c>
      <c r="G1965" s="2" t="s">
        <v>16592</v>
      </c>
      <c r="H1965" s="2" t="s">
        <v>76</v>
      </c>
      <c r="I1965" s="9">
        <v>375729032.25806499</v>
      </c>
      <c r="J1965" s="7">
        <v>6.2000000000000003E-5</v>
      </c>
      <c r="K1965" s="9">
        <v>23295.200000000001</v>
      </c>
      <c r="L1965" s="14">
        <v>0</v>
      </c>
      <c r="M1965" s="2" t="s">
        <v>71</v>
      </c>
      <c r="N1965" s="2" t="s">
        <v>13272</v>
      </c>
      <c r="O1965" s="2" t="s">
        <v>16593</v>
      </c>
      <c r="P1965" s="9">
        <v>0</v>
      </c>
      <c r="Q1965" s="9">
        <v>0</v>
      </c>
      <c r="R1965" s="2" t="s">
        <v>16012</v>
      </c>
    </row>
    <row r="1966" spans="1:18" x14ac:dyDescent="0.25">
      <c r="A1966" s="2" t="s">
        <v>10564</v>
      </c>
      <c r="B1966" s="6">
        <v>46204</v>
      </c>
      <c r="C1966" s="8">
        <v>46216</v>
      </c>
      <c r="D1966" s="2" t="s">
        <v>7433</v>
      </c>
      <c r="E1966" s="2" t="s">
        <v>12593</v>
      </c>
      <c r="F1966" s="2" t="s">
        <v>15308</v>
      </c>
      <c r="G1966" s="2" t="s">
        <v>16594</v>
      </c>
      <c r="H1966" s="2" t="s">
        <v>70</v>
      </c>
      <c r="I1966" s="9">
        <v>35823.723403999997</v>
      </c>
      <c r="J1966" s="7">
        <v>0.65800000000000003</v>
      </c>
      <c r="K1966" s="9">
        <v>23572.01</v>
      </c>
      <c r="L1966" s="14">
        <v>0</v>
      </c>
      <c r="M1966" s="2" t="s">
        <v>71</v>
      </c>
      <c r="N1966" s="2" t="s">
        <v>13272</v>
      </c>
      <c r="O1966" s="2" t="s">
        <v>16595</v>
      </c>
      <c r="P1966" s="9">
        <v>0</v>
      </c>
      <c r="Q1966" s="9">
        <v>0</v>
      </c>
      <c r="R1966" s="2" t="s">
        <v>16015</v>
      </c>
    </row>
    <row r="1967" spans="1:18" x14ac:dyDescent="0.25">
      <c r="A1967" s="2" t="s">
        <v>10569</v>
      </c>
      <c r="B1967" s="6">
        <v>46204</v>
      </c>
      <c r="C1967" s="8">
        <v>46217</v>
      </c>
      <c r="D1967" s="2" t="s">
        <v>7433</v>
      </c>
      <c r="E1967" s="2" t="s">
        <v>12593</v>
      </c>
      <c r="F1967" s="2" t="s">
        <v>15312</v>
      </c>
      <c r="G1967" s="2" t="s">
        <v>16596</v>
      </c>
      <c r="H1967" s="2" t="s">
        <v>39</v>
      </c>
      <c r="I1967" s="9">
        <v>1448.83</v>
      </c>
      <c r="J1967" s="7">
        <v>1</v>
      </c>
      <c r="K1967" s="9">
        <v>1448.83</v>
      </c>
      <c r="L1967" s="14">
        <v>0</v>
      </c>
      <c r="M1967" s="2" t="s">
        <v>71</v>
      </c>
      <c r="N1967" s="2" t="s">
        <v>13272</v>
      </c>
      <c r="O1967" s="2" t="s">
        <v>16597</v>
      </c>
      <c r="P1967" s="9">
        <v>0</v>
      </c>
      <c r="Q1967" s="9">
        <v>0</v>
      </c>
      <c r="R1967" s="2" t="s">
        <v>15988</v>
      </c>
    </row>
    <row r="1968" spans="1:18" x14ac:dyDescent="0.25">
      <c r="A1968" s="2" t="s">
        <v>10574</v>
      </c>
      <c r="B1968" s="6">
        <v>46204</v>
      </c>
      <c r="C1968" s="8">
        <v>46218</v>
      </c>
      <c r="D1968" s="2" t="s">
        <v>7433</v>
      </c>
      <c r="E1968" s="2" t="s">
        <v>12593</v>
      </c>
      <c r="F1968" s="2" t="s">
        <v>15316</v>
      </c>
      <c r="G1968" s="2" t="s">
        <v>16598</v>
      </c>
      <c r="H1968" s="2" t="s">
        <v>76</v>
      </c>
      <c r="I1968" s="9">
        <v>27833064.516128998</v>
      </c>
      <c r="J1968" s="7">
        <v>6.2000000000000003E-5</v>
      </c>
      <c r="K1968" s="9">
        <v>1725.65</v>
      </c>
      <c r="L1968" s="14">
        <v>0</v>
      </c>
      <c r="M1968" s="2" t="s">
        <v>71</v>
      </c>
      <c r="N1968" s="2" t="s">
        <v>13272</v>
      </c>
      <c r="O1968" s="2" t="s">
        <v>16599</v>
      </c>
      <c r="P1968" s="9">
        <v>0</v>
      </c>
      <c r="Q1968" s="9">
        <v>0</v>
      </c>
      <c r="R1968" s="2" t="s">
        <v>15991</v>
      </c>
    </row>
    <row r="1969" spans="1:18" x14ac:dyDescent="0.25">
      <c r="A1969" s="2" t="s">
        <v>10579</v>
      </c>
      <c r="B1969" s="6">
        <v>46204</v>
      </c>
      <c r="C1969" s="8">
        <v>46219</v>
      </c>
      <c r="D1969" s="2" t="s">
        <v>7433</v>
      </c>
      <c r="E1969" s="2" t="s">
        <v>12593</v>
      </c>
      <c r="F1969" s="2" t="s">
        <v>15320</v>
      </c>
      <c r="G1969" s="2" t="s">
        <v>16600</v>
      </c>
      <c r="H1969" s="2" t="s">
        <v>70</v>
      </c>
      <c r="I1969" s="9">
        <v>3043.2674769999999</v>
      </c>
      <c r="J1969" s="7">
        <v>0.65800000000000003</v>
      </c>
      <c r="K1969" s="9">
        <v>2002.47</v>
      </c>
      <c r="L1969" s="14">
        <v>0</v>
      </c>
      <c r="M1969" s="2" t="s">
        <v>71</v>
      </c>
      <c r="N1969" s="2" t="s">
        <v>13272</v>
      </c>
      <c r="O1969" s="2" t="s">
        <v>16601</v>
      </c>
      <c r="P1969" s="9">
        <v>0</v>
      </c>
      <c r="Q1969" s="9">
        <v>0</v>
      </c>
      <c r="R1969" s="2" t="s">
        <v>15994</v>
      </c>
    </row>
    <row r="1970" spans="1:18" x14ac:dyDescent="0.25">
      <c r="A1970" s="2" t="s">
        <v>10584</v>
      </c>
      <c r="B1970" s="6">
        <v>46204</v>
      </c>
      <c r="C1970" s="8">
        <v>46220</v>
      </c>
      <c r="D1970" s="2" t="s">
        <v>7433</v>
      </c>
      <c r="E1970" s="2" t="s">
        <v>12593</v>
      </c>
      <c r="F1970" s="2" t="s">
        <v>15324</v>
      </c>
      <c r="G1970" s="2" t="s">
        <v>16602</v>
      </c>
      <c r="H1970" s="2" t="s">
        <v>39</v>
      </c>
      <c r="I1970" s="9">
        <v>2279.2800000000002</v>
      </c>
      <c r="J1970" s="7">
        <v>1</v>
      </c>
      <c r="K1970" s="9">
        <v>2279.2800000000002</v>
      </c>
      <c r="L1970" s="14">
        <v>0</v>
      </c>
      <c r="M1970" s="2" t="s">
        <v>71</v>
      </c>
      <c r="N1970" s="2" t="s">
        <v>13272</v>
      </c>
      <c r="O1970" s="2" t="s">
        <v>16603</v>
      </c>
      <c r="P1970" s="9">
        <v>0</v>
      </c>
      <c r="Q1970" s="9">
        <v>0</v>
      </c>
      <c r="R1970" s="2" t="s">
        <v>15997</v>
      </c>
    </row>
    <row r="1971" spans="1:18" x14ac:dyDescent="0.25">
      <c r="A1971" s="2" t="s">
        <v>10589</v>
      </c>
      <c r="B1971" s="6">
        <v>46204</v>
      </c>
      <c r="C1971" s="8">
        <v>46221</v>
      </c>
      <c r="D1971" s="2" t="s">
        <v>7433</v>
      </c>
      <c r="E1971" s="2" t="s">
        <v>12593</v>
      </c>
      <c r="F1971" s="2" t="s">
        <v>15328</v>
      </c>
      <c r="G1971" s="2" t="s">
        <v>16604</v>
      </c>
      <c r="H1971" s="2" t="s">
        <v>76</v>
      </c>
      <c r="I1971" s="9">
        <v>41227419.354838997</v>
      </c>
      <c r="J1971" s="7">
        <v>6.2000000000000003E-5</v>
      </c>
      <c r="K1971" s="9">
        <v>2556.1</v>
      </c>
      <c r="L1971" s="14">
        <v>0</v>
      </c>
      <c r="M1971" s="2" t="s">
        <v>71</v>
      </c>
      <c r="N1971" s="2" t="s">
        <v>13272</v>
      </c>
      <c r="O1971" s="2" t="s">
        <v>16605</v>
      </c>
      <c r="P1971" s="9">
        <v>0</v>
      </c>
      <c r="Q1971" s="9">
        <v>0</v>
      </c>
      <c r="R1971" s="2" t="s">
        <v>16000</v>
      </c>
    </row>
    <row r="1972" spans="1:18" x14ac:dyDescent="0.25">
      <c r="A1972" s="2" t="s">
        <v>10594</v>
      </c>
      <c r="B1972" s="6">
        <v>46204</v>
      </c>
      <c r="C1972" s="8">
        <v>46222</v>
      </c>
      <c r="D1972" s="2" t="s">
        <v>7433</v>
      </c>
      <c r="E1972" s="2" t="s">
        <v>12593</v>
      </c>
      <c r="F1972" s="2" t="s">
        <v>15332</v>
      </c>
      <c r="G1972" s="2" t="s">
        <v>16606</v>
      </c>
      <c r="H1972" s="2" t="s">
        <v>70</v>
      </c>
      <c r="I1972" s="9">
        <v>4305.334347</v>
      </c>
      <c r="J1972" s="7">
        <v>0.65800000000000003</v>
      </c>
      <c r="K1972" s="9">
        <v>2832.91</v>
      </c>
      <c r="L1972" s="14">
        <v>0</v>
      </c>
      <c r="M1972" s="2" t="s">
        <v>71</v>
      </c>
      <c r="N1972" s="2" t="s">
        <v>13272</v>
      </c>
      <c r="O1972" s="2" t="s">
        <v>16607</v>
      </c>
      <c r="P1972" s="9">
        <v>0</v>
      </c>
      <c r="Q1972" s="9">
        <v>0</v>
      </c>
      <c r="R1972" s="2" t="s">
        <v>16003</v>
      </c>
    </row>
    <row r="1973" spans="1:18" x14ac:dyDescent="0.25">
      <c r="A1973" s="2" t="s">
        <v>10599</v>
      </c>
      <c r="B1973" s="6">
        <v>46204</v>
      </c>
      <c r="C1973" s="8">
        <v>46223</v>
      </c>
      <c r="D1973" s="2" t="s">
        <v>7433</v>
      </c>
      <c r="E1973" s="2" t="s">
        <v>12593</v>
      </c>
      <c r="F1973" s="2" t="s">
        <v>15336</v>
      </c>
      <c r="G1973" s="2" t="s">
        <v>16608</v>
      </c>
      <c r="H1973" s="2" t="s">
        <v>39</v>
      </c>
      <c r="I1973" s="9">
        <v>3109.73</v>
      </c>
      <c r="J1973" s="7">
        <v>1</v>
      </c>
      <c r="K1973" s="9">
        <v>3109.73</v>
      </c>
      <c r="L1973" s="14">
        <v>0</v>
      </c>
      <c r="M1973" s="2" t="s">
        <v>71</v>
      </c>
      <c r="N1973" s="2" t="s">
        <v>13272</v>
      </c>
      <c r="O1973" s="2" t="s">
        <v>16609</v>
      </c>
      <c r="P1973" s="9">
        <v>0</v>
      </c>
      <c r="Q1973" s="9">
        <v>0</v>
      </c>
      <c r="R1973" s="2" t="s">
        <v>16006</v>
      </c>
    </row>
    <row r="1974" spans="1:18" x14ac:dyDescent="0.25">
      <c r="A1974" s="2" t="s">
        <v>10604</v>
      </c>
      <c r="B1974" s="6">
        <v>46204</v>
      </c>
      <c r="C1974" s="8">
        <v>46224</v>
      </c>
      <c r="D1974" s="2" t="s">
        <v>7433</v>
      </c>
      <c r="E1974" s="2" t="s">
        <v>12593</v>
      </c>
      <c r="F1974" s="2" t="s">
        <v>15300</v>
      </c>
      <c r="G1974" s="2" t="s">
        <v>16610</v>
      </c>
      <c r="H1974" s="2" t="s">
        <v>76</v>
      </c>
      <c r="I1974" s="9">
        <v>54621612.903226003</v>
      </c>
      <c r="J1974" s="7">
        <v>6.2000000000000003E-5</v>
      </c>
      <c r="K1974" s="9">
        <v>3386.54</v>
      </c>
      <c r="L1974" s="14">
        <v>0</v>
      </c>
      <c r="M1974" s="2" t="s">
        <v>71</v>
      </c>
      <c r="N1974" s="2" t="s">
        <v>13272</v>
      </c>
      <c r="O1974" s="2" t="s">
        <v>16611</v>
      </c>
      <c r="P1974" s="9">
        <v>0</v>
      </c>
      <c r="Q1974" s="9">
        <v>0</v>
      </c>
      <c r="R1974" s="2" t="s">
        <v>16009</v>
      </c>
    </row>
    <row r="1975" spans="1:18" x14ac:dyDescent="0.25">
      <c r="A1975" s="2" t="s">
        <v>10609</v>
      </c>
      <c r="B1975" s="6">
        <v>46204</v>
      </c>
      <c r="C1975" s="8">
        <v>46225</v>
      </c>
      <c r="D1975" s="2" t="s">
        <v>7433</v>
      </c>
      <c r="E1975" s="2" t="s">
        <v>12593</v>
      </c>
      <c r="F1975" s="2" t="s">
        <v>15304</v>
      </c>
      <c r="G1975" s="2" t="s">
        <v>16612</v>
      </c>
      <c r="H1975" s="2" t="s">
        <v>70</v>
      </c>
      <c r="I1975" s="9">
        <v>5567.4164129999999</v>
      </c>
      <c r="J1975" s="7">
        <v>0.65800000000000003</v>
      </c>
      <c r="K1975" s="9">
        <v>3663.36</v>
      </c>
      <c r="L1975" s="14">
        <v>0</v>
      </c>
      <c r="M1975" s="2" t="s">
        <v>71</v>
      </c>
      <c r="N1975" s="2" t="s">
        <v>13272</v>
      </c>
      <c r="O1975" s="2" t="s">
        <v>16613</v>
      </c>
      <c r="P1975" s="9">
        <v>0</v>
      </c>
      <c r="Q1975" s="9">
        <v>0</v>
      </c>
      <c r="R1975" s="2" t="s">
        <v>16012</v>
      </c>
    </row>
    <row r="1976" spans="1:18" x14ac:dyDescent="0.25">
      <c r="A1976" s="2" t="s">
        <v>10614</v>
      </c>
      <c r="B1976" s="6">
        <v>46204</v>
      </c>
      <c r="C1976" s="8">
        <v>46226</v>
      </c>
      <c r="D1976" s="2" t="s">
        <v>7433</v>
      </c>
      <c r="E1976" s="2" t="s">
        <v>12593</v>
      </c>
      <c r="F1976" s="2" t="s">
        <v>15308</v>
      </c>
      <c r="G1976" s="2" t="s">
        <v>16614</v>
      </c>
      <c r="H1976" s="2" t="s">
        <v>39</v>
      </c>
      <c r="I1976" s="9">
        <v>3940.18</v>
      </c>
      <c r="J1976" s="7">
        <v>1</v>
      </c>
      <c r="K1976" s="9">
        <v>3940.18</v>
      </c>
      <c r="L1976" s="14">
        <v>0</v>
      </c>
      <c r="M1976" s="2" t="s">
        <v>71</v>
      </c>
      <c r="N1976" s="2" t="s">
        <v>13272</v>
      </c>
      <c r="O1976" s="2" t="s">
        <v>16615</v>
      </c>
      <c r="P1976" s="9">
        <v>0</v>
      </c>
      <c r="Q1976" s="9">
        <v>0</v>
      </c>
      <c r="R1976" s="2" t="s">
        <v>16015</v>
      </c>
    </row>
    <row r="1977" spans="1:18" x14ac:dyDescent="0.25">
      <c r="A1977" s="2" t="s">
        <v>10619</v>
      </c>
      <c r="B1977" s="6">
        <v>46204</v>
      </c>
      <c r="C1977" s="8">
        <v>46227</v>
      </c>
      <c r="D1977" s="2" t="s">
        <v>7433</v>
      </c>
      <c r="E1977" s="2" t="s">
        <v>12593</v>
      </c>
      <c r="F1977" s="2" t="s">
        <v>15312</v>
      </c>
      <c r="G1977" s="2" t="s">
        <v>16616</v>
      </c>
      <c r="H1977" s="2" t="s">
        <v>76</v>
      </c>
      <c r="I1977" s="9">
        <v>68015967.741935</v>
      </c>
      <c r="J1977" s="7">
        <v>6.2000000000000003E-5</v>
      </c>
      <c r="K1977" s="9">
        <v>4216.99</v>
      </c>
      <c r="L1977" s="14">
        <v>0</v>
      </c>
      <c r="M1977" s="2" t="s">
        <v>71</v>
      </c>
      <c r="N1977" s="2" t="s">
        <v>13272</v>
      </c>
      <c r="O1977" s="2" t="s">
        <v>16617</v>
      </c>
      <c r="P1977" s="9">
        <v>0</v>
      </c>
      <c r="Q1977" s="9">
        <v>0</v>
      </c>
      <c r="R1977" s="2" t="s">
        <v>15988</v>
      </c>
    </row>
    <row r="1978" spans="1:18" x14ac:dyDescent="0.25">
      <c r="A1978" s="2" t="s">
        <v>10624</v>
      </c>
      <c r="B1978" s="6">
        <v>46204</v>
      </c>
      <c r="C1978" s="8">
        <v>46228</v>
      </c>
      <c r="D1978" s="2" t="s">
        <v>7433</v>
      </c>
      <c r="E1978" s="2" t="s">
        <v>12593</v>
      </c>
      <c r="F1978" s="2" t="s">
        <v>15316</v>
      </c>
      <c r="G1978" s="2" t="s">
        <v>16618</v>
      </c>
      <c r="H1978" s="2" t="s">
        <v>70</v>
      </c>
      <c r="I1978" s="9">
        <v>6829.4984800000002</v>
      </c>
      <c r="J1978" s="7">
        <v>0.65800000000000003</v>
      </c>
      <c r="K1978" s="9">
        <v>4493.8100000000004</v>
      </c>
      <c r="L1978" s="14">
        <v>0</v>
      </c>
      <c r="M1978" s="2" t="s">
        <v>71</v>
      </c>
      <c r="N1978" s="2" t="s">
        <v>13272</v>
      </c>
      <c r="O1978" s="2" t="s">
        <v>16619</v>
      </c>
      <c r="P1978" s="9">
        <v>0</v>
      </c>
      <c r="Q1978" s="9">
        <v>0</v>
      </c>
      <c r="R1978" s="2" t="s">
        <v>15991</v>
      </c>
    </row>
    <row r="1979" spans="1:18" x14ac:dyDescent="0.25">
      <c r="A1979" s="2" t="s">
        <v>10629</v>
      </c>
      <c r="B1979" s="6">
        <v>46204</v>
      </c>
      <c r="C1979" s="8">
        <v>46229</v>
      </c>
      <c r="D1979" s="2" t="s">
        <v>7433</v>
      </c>
      <c r="E1979" s="2" t="s">
        <v>12593</v>
      </c>
      <c r="F1979" s="2" t="s">
        <v>15320</v>
      </c>
      <c r="G1979" s="2" t="s">
        <v>16620</v>
      </c>
      <c r="H1979" s="2" t="s">
        <v>39</v>
      </c>
      <c r="I1979" s="9">
        <v>4770.62</v>
      </c>
      <c r="J1979" s="7">
        <v>1</v>
      </c>
      <c r="K1979" s="9">
        <v>4770.62</v>
      </c>
      <c r="L1979" s="14">
        <v>0</v>
      </c>
      <c r="M1979" s="2" t="s">
        <v>71</v>
      </c>
      <c r="N1979" s="2" t="s">
        <v>13272</v>
      </c>
      <c r="O1979" s="2" t="s">
        <v>16621</v>
      </c>
      <c r="P1979" s="9">
        <v>0</v>
      </c>
      <c r="Q1979" s="9">
        <v>0</v>
      </c>
      <c r="R1979" s="2" t="s">
        <v>15994</v>
      </c>
    </row>
    <row r="1980" spans="1:18" x14ac:dyDescent="0.25">
      <c r="A1980" s="2" t="s">
        <v>10634</v>
      </c>
      <c r="B1980" s="6">
        <v>46204</v>
      </c>
      <c r="C1980" s="8">
        <v>46230</v>
      </c>
      <c r="D1980" s="2" t="s">
        <v>7433</v>
      </c>
      <c r="E1980" s="2" t="s">
        <v>12593</v>
      </c>
      <c r="F1980" s="2" t="s">
        <v>15324</v>
      </c>
      <c r="G1980" s="2" t="s">
        <v>16622</v>
      </c>
      <c r="H1980" s="2" t="s">
        <v>76</v>
      </c>
      <c r="I1980" s="9">
        <v>81410322.580644995</v>
      </c>
      <c r="J1980" s="7">
        <v>6.2000000000000003E-5</v>
      </c>
      <c r="K1980" s="9">
        <v>5047.4399999999996</v>
      </c>
      <c r="L1980" s="14">
        <v>0</v>
      </c>
      <c r="M1980" s="2" t="s">
        <v>71</v>
      </c>
      <c r="N1980" s="2" t="s">
        <v>13272</v>
      </c>
      <c r="O1980" s="2" t="s">
        <v>16623</v>
      </c>
      <c r="P1980" s="9">
        <v>0</v>
      </c>
      <c r="Q1980" s="9">
        <v>0</v>
      </c>
      <c r="R1980" s="2" t="s">
        <v>15997</v>
      </c>
    </row>
    <row r="1981" spans="1:18" x14ac:dyDescent="0.25">
      <c r="A1981" s="2" t="s">
        <v>10639</v>
      </c>
      <c r="B1981" s="6">
        <v>46204</v>
      </c>
      <c r="C1981" s="8">
        <v>46231</v>
      </c>
      <c r="D1981" s="2" t="s">
        <v>7433</v>
      </c>
      <c r="E1981" s="2" t="s">
        <v>12593</v>
      </c>
      <c r="F1981" s="2" t="s">
        <v>15328</v>
      </c>
      <c r="G1981" s="2" t="s">
        <v>16624</v>
      </c>
      <c r="H1981" s="2" t="s">
        <v>70</v>
      </c>
      <c r="I1981" s="9">
        <v>8091.5653499999999</v>
      </c>
      <c r="J1981" s="7">
        <v>0.65800000000000003</v>
      </c>
      <c r="K1981" s="9">
        <v>5324.25</v>
      </c>
      <c r="L1981" s="14">
        <v>0</v>
      </c>
      <c r="M1981" s="2" t="s">
        <v>71</v>
      </c>
      <c r="N1981" s="2" t="s">
        <v>13272</v>
      </c>
      <c r="O1981" s="2" t="s">
        <v>16625</v>
      </c>
      <c r="P1981" s="9">
        <v>0</v>
      </c>
      <c r="Q1981" s="9">
        <v>0</v>
      </c>
      <c r="R1981" s="2" t="s">
        <v>16000</v>
      </c>
    </row>
    <row r="1982" spans="1:18" x14ac:dyDescent="0.25">
      <c r="A1982" s="2" t="s">
        <v>10644</v>
      </c>
      <c r="B1982" s="6">
        <v>46204</v>
      </c>
      <c r="C1982" s="8">
        <v>46232</v>
      </c>
      <c r="D1982" s="2" t="s">
        <v>7433</v>
      </c>
      <c r="E1982" s="2" t="s">
        <v>12593</v>
      </c>
      <c r="F1982" s="2" t="s">
        <v>15332</v>
      </c>
      <c r="G1982" s="2" t="s">
        <v>16626</v>
      </c>
      <c r="H1982" s="2" t="s">
        <v>39</v>
      </c>
      <c r="I1982" s="9">
        <v>5601.07</v>
      </c>
      <c r="J1982" s="7">
        <v>1</v>
      </c>
      <c r="K1982" s="9">
        <v>5601.07</v>
      </c>
      <c r="L1982" s="14">
        <v>0</v>
      </c>
      <c r="M1982" s="2" t="s">
        <v>71</v>
      </c>
      <c r="N1982" s="2" t="s">
        <v>13272</v>
      </c>
      <c r="O1982" s="2" t="s">
        <v>16627</v>
      </c>
      <c r="P1982" s="9">
        <v>0</v>
      </c>
      <c r="Q1982" s="9">
        <v>0</v>
      </c>
      <c r="R1982" s="2" t="s">
        <v>16003</v>
      </c>
    </row>
    <row r="1983" spans="1:18" x14ac:dyDescent="0.25">
      <c r="A1983" s="2" t="s">
        <v>10649</v>
      </c>
      <c r="B1983" s="6">
        <v>46204</v>
      </c>
      <c r="C1983" s="8">
        <v>46233</v>
      </c>
      <c r="D1983" s="2" t="s">
        <v>7433</v>
      </c>
      <c r="E1983" s="2" t="s">
        <v>12593</v>
      </c>
      <c r="F1983" s="2" t="s">
        <v>15336</v>
      </c>
      <c r="G1983" s="2" t="s">
        <v>16628</v>
      </c>
      <c r="H1983" s="2" t="s">
        <v>76</v>
      </c>
      <c r="I1983" s="9">
        <v>94804677.419355005</v>
      </c>
      <c r="J1983" s="7">
        <v>6.2000000000000003E-5</v>
      </c>
      <c r="K1983" s="9">
        <v>5877.89</v>
      </c>
      <c r="L1983" s="14">
        <v>0</v>
      </c>
      <c r="M1983" s="2" t="s">
        <v>71</v>
      </c>
      <c r="N1983" s="2" t="s">
        <v>13272</v>
      </c>
      <c r="O1983" s="2" t="s">
        <v>16629</v>
      </c>
      <c r="P1983" s="9">
        <v>0</v>
      </c>
      <c r="Q1983" s="9">
        <v>0</v>
      </c>
      <c r="R1983" s="2" t="s">
        <v>16006</v>
      </c>
    </row>
    <row r="1984" spans="1:18" x14ac:dyDescent="0.25">
      <c r="A1984" s="2" t="s">
        <v>10654</v>
      </c>
      <c r="B1984" s="6">
        <v>46204</v>
      </c>
      <c r="C1984" s="8">
        <v>46234</v>
      </c>
      <c r="D1984" s="2" t="s">
        <v>7433</v>
      </c>
      <c r="E1984" s="2" t="s">
        <v>12593</v>
      </c>
      <c r="F1984" s="2" t="s">
        <v>15300</v>
      </c>
      <c r="G1984" s="2" t="s">
        <v>16630</v>
      </c>
      <c r="H1984" s="2" t="s">
        <v>70</v>
      </c>
      <c r="I1984" s="9">
        <v>9353.6474159999998</v>
      </c>
      <c r="J1984" s="7">
        <v>0.65800000000000003</v>
      </c>
      <c r="K1984" s="9">
        <v>6154.7</v>
      </c>
      <c r="L1984" s="14">
        <v>0</v>
      </c>
      <c r="M1984" s="2" t="s">
        <v>71</v>
      </c>
      <c r="N1984" s="2" t="s">
        <v>13272</v>
      </c>
      <c r="O1984" s="2" t="s">
        <v>16631</v>
      </c>
      <c r="P1984" s="9">
        <v>0</v>
      </c>
      <c r="Q1984" s="9">
        <v>0</v>
      </c>
      <c r="R1984" s="2" t="s">
        <v>16009</v>
      </c>
    </row>
    <row r="1985" spans="1:18" x14ac:dyDescent="0.25">
      <c r="A1985" s="2" t="s">
        <v>10659</v>
      </c>
      <c r="B1985" s="6">
        <v>46204</v>
      </c>
      <c r="C1985" s="8">
        <v>46204</v>
      </c>
      <c r="D1985" s="2" t="s">
        <v>7433</v>
      </c>
      <c r="E1985" s="2" t="s">
        <v>12593</v>
      </c>
      <c r="F1985" s="2" t="s">
        <v>15304</v>
      </c>
      <c r="G1985" s="2" t="s">
        <v>16632</v>
      </c>
      <c r="H1985" s="2" t="s">
        <v>39</v>
      </c>
      <c r="I1985" s="9">
        <v>6431.52</v>
      </c>
      <c r="J1985" s="7">
        <v>1</v>
      </c>
      <c r="K1985" s="9">
        <v>6431.52</v>
      </c>
      <c r="L1985" s="14">
        <v>0</v>
      </c>
      <c r="M1985" s="2" t="s">
        <v>71</v>
      </c>
      <c r="N1985" s="2" t="s">
        <v>13272</v>
      </c>
      <c r="O1985" s="2" t="s">
        <v>16633</v>
      </c>
      <c r="P1985" s="9">
        <v>0</v>
      </c>
      <c r="Q1985" s="9">
        <v>0</v>
      </c>
      <c r="R1985" s="2" t="s">
        <v>16012</v>
      </c>
    </row>
    <row r="1986" spans="1:18" x14ac:dyDescent="0.25">
      <c r="A1986" s="2" t="s">
        <v>10664</v>
      </c>
      <c r="B1986" s="6">
        <v>46204</v>
      </c>
      <c r="C1986" s="8">
        <v>46205</v>
      </c>
      <c r="D1986" s="2" t="s">
        <v>7433</v>
      </c>
      <c r="E1986" s="2" t="s">
        <v>12593</v>
      </c>
      <c r="F1986" s="2" t="s">
        <v>15308</v>
      </c>
      <c r="G1986" s="2" t="s">
        <v>16634</v>
      </c>
      <c r="H1986" s="2" t="s">
        <v>76</v>
      </c>
      <c r="I1986" s="9">
        <v>108199032.258065</v>
      </c>
      <c r="J1986" s="7">
        <v>6.2000000000000003E-5</v>
      </c>
      <c r="K1986" s="9">
        <v>6708.34</v>
      </c>
      <c r="L1986" s="14">
        <v>0</v>
      </c>
      <c r="M1986" s="2" t="s">
        <v>71</v>
      </c>
      <c r="N1986" s="2" t="s">
        <v>13272</v>
      </c>
      <c r="O1986" s="2" t="s">
        <v>16635</v>
      </c>
      <c r="P1986" s="9">
        <v>0</v>
      </c>
      <c r="Q1986" s="9">
        <v>0</v>
      </c>
      <c r="R1986" s="2" t="s">
        <v>16015</v>
      </c>
    </row>
    <row r="1987" spans="1:18" x14ac:dyDescent="0.25">
      <c r="A1987" s="2" t="s">
        <v>10669</v>
      </c>
      <c r="B1987" s="6">
        <v>46204</v>
      </c>
      <c r="C1987" s="8">
        <v>46206</v>
      </c>
      <c r="D1987" s="2" t="s">
        <v>7433</v>
      </c>
      <c r="E1987" s="2" t="s">
        <v>12593</v>
      </c>
      <c r="F1987" s="2" t="s">
        <v>15312</v>
      </c>
      <c r="G1987" s="2" t="s">
        <v>16636</v>
      </c>
      <c r="H1987" s="2" t="s">
        <v>70</v>
      </c>
      <c r="I1987" s="9">
        <v>10615.729482999999</v>
      </c>
      <c r="J1987" s="7">
        <v>0.65800000000000003</v>
      </c>
      <c r="K1987" s="9">
        <v>6985.15</v>
      </c>
      <c r="L1987" s="14">
        <v>0</v>
      </c>
      <c r="M1987" s="2" t="s">
        <v>71</v>
      </c>
      <c r="N1987" s="2" t="s">
        <v>13272</v>
      </c>
      <c r="O1987" s="2" t="s">
        <v>16637</v>
      </c>
      <c r="P1987" s="9">
        <v>0</v>
      </c>
      <c r="Q1987" s="9">
        <v>0</v>
      </c>
      <c r="R1987" s="2" t="s">
        <v>15988</v>
      </c>
    </row>
    <row r="1988" spans="1:18" x14ac:dyDescent="0.25">
      <c r="A1988" s="2" t="s">
        <v>10674</v>
      </c>
      <c r="B1988" s="6">
        <v>46204</v>
      </c>
      <c r="C1988" s="8">
        <v>46207</v>
      </c>
      <c r="D1988" s="2" t="s">
        <v>7433</v>
      </c>
      <c r="E1988" s="2" t="s">
        <v>12593</v>
      </c>
      <c r="F1988" s="2" t="s">
        <v>15316</v>
      </c>
      <c r="G1988" s="2" t="s">
        <v>16638</v>
      </c>
      <c r="H1988" s="2" t="s">
        <v>39</v>
      </c>
      <c r="I1988" s="9">
        <v>7261.97</v>
      </c>
      <c r="J1988" s="7">
        <v>1</v>
      </c>
      <c r="K1988" s="9">
        <v>7261.97</v>
      </c>
      <c r="L1988" s="14">
        <v>0</v>
      </c>
      <c r="M1988" s="2" t="s">
        <v>71</v>
      </c>
      <c r="N1988" s="2" t="s">
        <v>13272</v>
      </c>
      <c r="O1988" s="2" t="s">
        <v>16639</v>
      </c>
      <c r="P1988" s="9">
        <v>0</v>
      </c>
      <c r="Q1988" s="9">
        <v>0</v>
      </c>
      <c r="R1988" s="2" t="s">
        <v>15991</v>
      </c>
    </row>
    <row r="1989" spans="1:18" x14ac:dyDescent="0.25">
      <c r="A1989" s="2" t="s">
        <v>10679</v>
      </c>
      <c r="B1989" s="6">
        <v>46204</v>
      </c>
      <c r="C1989" s="8">
        <v>46208</v>
      </c>
      <c r="D1989" s="2" t="s">
        <v>7433</v>
      </c>
      <c r="E1989" s="2" t="s">
        <v>12593</v>
      </c>
      <c r="F1989" s="2" t="s">
        <v>15320</v>
      </c>
      <c r="G1989" s="2" t="s">
        <v>16640</v>
      </c>
      <c r="H1989" s="2" t="s">
        <v>76</v>
      </c>
      <c r="I1989" s="9">
        <v>-121593225.80645201</v>
      </c>
      <c r="J1989" s="7">
        <v>6.2000000000000003E-5</v>
      </c>
      <c r="K1989" s="9">
        <v>-7538.78</v>
      </c>
      <c r="L1989" s="14">
        <v>0</v>
      </c>
      <c r="M1989" s="2" t="s">
        <v>71</v>
      </c>
      <c r="N1989" s="2" t="s">
        <v>13272</v>
      </c>
      <c r="O1989" s="2" t="s">
        <v>16641</v>
      </c>
      <c r="P1989" s="9">
        <v>0</v>
      </c>
      <c r="Q1989" s="9">
        <v>0</v>
      </c>
      <c r="R1989" s="2" t="s">
        <v>15994</v>
      </c>
    </row>
    <row r="1990" spans="1:18" x14ac:dyDescent="0.25">
      <c r="A1990" s="2" t="s">
        <v>10682</v>
      </c>
      <c r="B1990" s="6">
        <v>46204</v>
      </c>
      <c r="C1990" s="8">
        <v>46209</v>
      </c>
      <c r="D1990" s="2" t="s">
        <v>7433</v>
      </c>
      <c r="E1990" s="2" t="s">
        <v>12593</v>
      </c>
      <c r="F1990" s="2" t="s">
        <v>15324</v>
      </c>
      <c r="G1990" s="2" t="s">
        <v>16642</v>
      </c>
      <c r="H1990" s="2" t="s">
        <v>70</v>
      </c>
      <c r="I1990" s="9">
        <v>11877.81155</v>
      </c>
      <c r="J1990" s="7">
        <v>0.65800000000000003</v>
      </c>
      <c r="K1990" s="9">
        <v>7815.6</v>
      </c>
      <c r="L1990" s="14">
        <v>0</v>
      </c>
      <c r="M1990" s="2" t="s">
        <v>71</v>
      </c>
      <c r="N1990" s="2" t="s">
        <v>13272</v>
      </c>
      <c r="O1990" s="2" t="s">
        <v>16643</v>
      </c>
      <c r="P1990" s="9">
        <v>0</v>
      </c>
      <c r="Q1990" s="9">
        <v>0</v>
      </c>
      <c r="R1990" s="2" t="s">
        <v>15997</v>
      </c>
    </row>
    <row r="1991" spans="1:18" x14ac:dyDescent="0.25">
      <c r="A1991" s="2" t="s">
        <v>10687</v>
      </c>
      <c r="B1991" s="6">
        <v>46204</v>
      </c>
      <c r="C1991" s="8">
        <v>46210</v>
      </c>
      <c r="D1991" s="2" t="s">
        <v>7433</v>
      </c>
      <c r="E1991" s="2" t="s">
        <v>12593</v>
      </c>
      <c r="F1991" s="2" t="s">
        <v>15328</v>
      </c>
      <c r="G1991" s="2" t="s">
        <v>16644</v>
      </c>
      <c r="H1991" s="2" t="s">
        <v>39</v>
      </c>
      <c r="I1991" s="9">
        <v>8092.42</v>
      </c>
      <c r="J1991" s="7">
        <v>1</v>
      </c>
      <c r="K1991" s="9">
        <v>8092.42</v>
      </c>
      <c r="L1991" s="14">
        <v>0</v>
      </c>
      <c r="M1991" s="2" t="s">
        <v>71</v>
      </c>
      <c r="N1991" s="2" t="s">
        <v>13272</v>
      </c>
      <c r="O1991" s="2" t="s">
        <v>16645</v>
      </c>
      <c r="P1991" s="9">
        <v>0</v>
      </c>
      <c r="Q1991" s="9">
        <v>0</v>
      </c>
      <c r="R1991" s="2" t="s">
        <v>16000</v>
      </c>
    </row>
    <row r="1992" spans="1:18" x14ac:dyDescent="0.25">
      <c r="A1992" s="2" t="s">
        <v>10692</v>
      </c>
      <c r="B1992" s="6">
        <v>46204</v>
      </c>
      <c r="C1992" s="8">
        <v>46211</v>
      </c>
      <c r="D1992" s="2" t="s">
        <v>7433</v>
      </c>
      <c r="E1992" s="2" t="s">
        <v>12593</v>
      </c>
      <c r="F1992" s="2" t="s">
        <v>15332</v>
      </c>
      <c r="G1992" s="2" t="s">
        <v>16646</v>
      </c>
      <c r="H1992" s="2" t="s">
        <v>76</v>
      </c>
      <c r="I1992" s="9">
        <v>134987580.645161</v>
      </c>
      <c r="J1992" s="7">
        <v>6.2000000000000003E-5</v>
      </c>
      <c r="K1992" s="9">
        <v>8369.23</v>
      </c>
      <c r="L1992" s="14">
        <v>0</v>
      </c>
      <c r="M1992" s="2" t="s">
        <v>71</v>
      </c>
      <c r="N1992" s="2" t="s">
        <v>13272</v>
      </c>
      <c r="O1992" s="2" t="s">
        <v>16647</v>
      </c>
      <c r="P1992" s="9">
        <v>0</v>
      </c>
      <c r="Q1992" s="9">
        <v>0</v>
      </c>
      <c r="R1992" s="2" t="s">
        <v>16003</v>
      </c>
    </row>
    <row r="1993" spans="1:18" x14ac:dyDescent="0.25">
      <c r="A1993" s="2" t="s">
        <v>10697</v>
      </c>
      <c r="B1993" s="6">
        <v>46204</v>
      </c>
      <c r="C1993" s="8">
        <v>46212</v>
      </c>
      <c r="D1993" s="2" t="s">
        <v>7433</v>
      </c>
      <c r="E1993" s="2" t="s">
        <v>12593</v>
      </c>
      <c r="F1993" s="2" t="s">
        <v>15336</v>
      </c>
      <c r="G1993" s="2" t="s">
        <v>16648</v>
      </c>
      <c r="H1993" s="2" t="s">
        <v>70</v>
      </c>
      <c r="I1993" s="9">
        <v>13139.893617</v>
      </c>
      <c r="J1993" s="7">
        <v>0.65800000000000003</v>
      </c>
      <c r="K1993" s="9">
        <v>8646.0499999999993</v>
      </c>
      <c r="L1993" s="14">
        <v>0</v>
      </c>
      <c r="M1993" s="2" t="s">
        <v>71</v>
      </c>
      <c r="N1993" s="2" t="s">
        <v>13272</v>
      </c>
      <c r="O1993" s="2" t="s">
        <v>16649</v>
      </c>
      <c r="P1993" s="9">
        <v>0</v>
      </c>
      <c r="Q1993" s="9">
        <v>0</v>
      </c>
      <c r="R1993" s="2" t="s">
        <v>16006</v>
      </c>
    </row>
    <row r="1994" spans="1:18" x14ac:dyDescent="0.25">
      <c r="A1994" s="2" t="s">
        <v>10702</v>
      </c>
      <c r="B1994" s="6">
        <v>46204</v>
      </c>
      <c r="C1994" s="8">
        <v>46213</v>
      </c>
      <c r="D1994" s="2" t="s">
        <v>7433</v>
      </c>
      <c r="E1994" s="2" t="s">
        <v>12593</v>
      </c>
      <c r="F1994" s="2" t="s">
        <v>15300</v>
      </c>
      <c r="G1994" s="2" t="s">
        <v>16650</v>
      </c>
      <c r="H1994" s="2" t="s">
        <v>39</v>
      </c>
      <c r="I1994" s="9">
        <v>8922.86</v>
      </c>
      <c r="J1994" s="7">
        <v>1</v>
      </c>
      <c r="K1994" s="9">
        <v>8922.86</v>
      </c>
      <c r="L1994" s="14">
        <v>0</v>
      </c>
      <c r="M1994" s="2" t="s">
        <v>71</v>
      </c>
      <c r="N1994" s="2" t="s">
        <v>13272</v>
      </c>
      <c r="O1994" s="2" t="s">
        <v>16651</v>
      </c>
      <c r="P1994" s="9">
        <v>0</v>
      </c>
      <c r="Q1994" s="9">
        <v>0</v>
      </c>
      <c r="R1994" s="2" t="s">
        <v>16009</v>
      </c>
    </row>
    <row r="1995" spans="1:18" x14ac:dyDescent="0.25">
      <c r="A1995" s="2" t="s">
        <v>10707</v>
      </c>
      <c r="B1995" s="6">
        <v>46204</v>
      </c>
      <c r="C1995" s="8">
        <v>46214</v>
      </c>
      <c r="D1995" s="2" t="s">
        <v>7433</v>
      </c>
      <c r="E1995" s="2" t="s">
        <v>12593</v>
      </c>
      <c r="F1995" s="2" t="s">
        <v>15304</v>
      </c>
      <c r="G1995" s="2" t="s">
        <v>16652</v>
      </c>
      <c r="H1995" s="2" t="s">
        <v>76</v>
      </c>
      <c r="I1995" s="9">
        <v>148381935.48387101</v>
      </c>
      <c r="J1995" s="7">
        <v>6.2000000000000003E-5</v>
      </c>
      <c r="K1995" s="9">
        <v>9199.68</v>
      </c>
      <c r="L1995" s="14">
        <v>0</v>
      </c>
      <c r="M1995" s="2" t="s">
        <v>71</v>
      </c>
      <c r="N1995" s="2" t="s">
        <v>13272</v>
      </c>
      <c r="O1995" s="2" t="s">
        <v>16653</v>
      </c>
      <c r="P1995" s="9">
        <v>0</v>
      </c>
      <c r="Q1995" s="9">
        <v>0</v>
      </c>
      <c r="R1995" s="2" t="s">
        <v>16012</v>
      </c>
    </row>
    <row r="1996" spans="1:18" x14ac:dyDescent="0.25">
      <c r="A1996" s="2" t="s">
        <v>10712</v>
      </c>
      <c r="B1996" s="6">
        <v>46204</v>
      </c>
      <c r="C1996" s="8">
        <v>46215</v>
      </c>
      <c r="D1996" s="2" t="s">
        <v>7433</v>
      </c>
      <c r="E1996" s="2" t="s">
        <v>12593</v>
      </c>
      <c r="F1996" s="2" t="s">
        <v>15308</v>
      </c>
      <c r="G1996" s="2" t="s">
        <v>16654</v>
      </c>
      <c r="H1996" s="2" t="s">
        <v>70</v>
      </c>
      <c r="I1996" s="9">
        <v>14401.975683999999</v>
      </c>
      <c r="J1996" s="7">
        <v>0.65800000000000003</v>
      </c>
      <c r="K1996" s="9">
        <v>9476.5</v>
      </c>
      <c r="L1996" s="14">
        <v>0</v>
      </c>
      <c r="M1996" s="2" t="s">
        <v>71</v>
      </c>
      <c r="N1996" s="2" t="s">
        <v>13272</v>
      </c>
      <c r="O1996" s="2" t="s">
        <v>16655</v>
      </c>
      <c r="P1996" s="9">
        <v>0</v>
      </c>
      <c r="Q1996" s="9">
        <v>0</v>
      </c>
      <c r="R1996" s="2" t="s">
        <v>16015</v>
      </c>
    </row>
    <row r="1997" spans="1:18" x14ac:dyDescent="0.25">
      <c r="A1997" s="2" t="s">
        <v>10717</v>
      </c>
      <c r="B1997" s="6">
        <v>46204</v>
      </c>
      <c r="C1997" s="8">
        <v>46216</v>
      </c>
      <c r="D1997" s="2" t="s">
        <v>7433</v>
      </c>
      <c r="E1997" s="2" t="s">
        <v>12593</v>
      </c>
      <c r="F1997" s="2" t="s">
        <v>15312</v>
      </c>
      <c r="G1997" s="2" t="s">
        <v>16656</v>
      </c>
      <c r="H1997" s="2" t="s">
        <v>39</v>
      </c>
      <c r="I1997" s="9">
        <v>9753.31</v>
      </c>
      <c r="J1997" s="7">
        <v>1</v>
      </c>
      <c r="K1997" s="9">
        <v>9753.31</v>
      </c>
      <c r="L1997" s="14">
        <v>0</v>
      </c>
      <c r="M1997" s="2" t="s">
        <v>71</v>
      </c>
      <c r="N1997" s="2" t="s">
        <v>13272</v>
      </c>
      <c r="O1997" s="2" t="s">
        <v>16657</v>
      </c>
      <c r="P1997" s="9">
        <v>0</v>
      </c>
      <c r="Q1997" s="9">
        <v>0</v>
      </c>
      <c r="R1997" s="2" t="s">
        <v>15988</v>
      </c>
    </row>
    <row r="1998" spans="1:18" x14ac:dyDescent="0.25">
      <c r="A1998" s="2" t="s">
        <v>10722</v>
      </c>
      <c r="B1998" s="6">
        <v>46204</v>
      </c>
      <c r="C1998" s="8">
        <v>46217</v>
      </c>
      <c r="D1998" s="2" t="s">
        <v>7433</v>
      </c>
      <c r="E1998" s="2" t="s">
        <v>12593</v>
      </c>
      <c r="F1998" s="2" t="s">
        <v>15316</v>
      </c>
      <c r="G1998" s="2" t="s">
        <v>16658</v>
      </c>
      <c r="H1998" s="2" t="s">
        <v>76</v>
      </c>
      <c r="I1998" s="9">
        <v>161776290.32258099</v>
      </c>
      <c r="J1998" s="7">
        <v>6.2000000000000003E-5</v>
      </c>
      <c r="K1998" s="9">
        <v>10030.129999999999</v>
      </c>
      <c r="L1998" s="14">
        <v>0</v>
      </c>
      <c r="M1998" s="2" t="s">
        <v>71</v>
      </c>
      <c r="N1998" s="2" t="s">
        <v>13272</v>
      </c>
      <c r="O1998" s="2" t="s">
        <v>16659</v>
      </c>
      <c r="P1998" s="9">
        <v>0</v>
      </c>
      <c r="Q1998" s="9">
        <v>0</v>
      </c>
      <c r="R1998" s="2" t="s">
        <v>15991</v>
      </c>
    </row>
    <row r="1999" spans="1:18" x14ac:dyDescent="0.25">
      <c r="A1999" s="2" t="s">
        <v>10727</v>
      </c>
      <c r="B1999" s="6">
        <v>46204</v>
      </c>
      <c r="C1999" s="8">
        <v>46218</v>
      </c>
      <c r="D1999" s="2" t="s">
        <v>7433</v>
      </c>
      <c r="E1999" s="2" t="s">
        <v>12593</v>
      </c>
      <c r="F1999" s="2" t="s">
        <v>15320</v>
      </c>
      <c r="G1999" s="2" t="s">
        <v>16660</v>
      </c>
      <c r="H1999" s="2" t="s">
        <v>70</v>
      </c>
      <c r="I1999" s="9">
        <v>15664.042552999999</v>
      </c>
      <c r="J1999" s="7">
        <v>0.65800000000000003</v>
      </c>
      <c r="K1999" s="9">
        <v>10306.94</v>
      </c>
      <c r="L1999" s="14">
        <v>0</v>
      </c>
      <c r="M1999" s="2" t="s">
        <v>71</v>
      </c>
      <c r="N1999" s="2" t="s">
        <v>13272</v>
      </c>
      <c r="O1999" s="2" t="s">
        <v>16661</v>
      </c>
      <c r="P1999" s="9">
        <v>0</v>
      </c>
      <c r="Q1999" s="9">
        <v>0</v>
      </c>
      <c r="R1999" s="2" t="s">
        <v>15994</v>
      </c>
    </row>
    <row r="2000" spans="1:18" x14ac:dyDescent="0.25">
      <c r="A2000" s="2" t="s">
        <v>138</v>
      </c>
      <c r="B2000" s="6">
        <v>46174</v>
      </c>
      <c r="C2000" s="8">
        <v>46181</v>
      </c>
      <c r="D2000" s="2" t="s">
        <v>136</v>
      </c>
      <c r="E2000" s="2" t="s">
        <v>16662</v>
      </c>
      <c r="F2000" s="2" t="s">
        <v>16663</v>
      </c>
      <c r="G2000" s="2" t="s">
        <v>16664</v>
      </c>
      <c r="H2000" s="2" t="s">
        <v>39</v>
      </c>
      <c r="I2000" s="9">
        <v>1792005.63002</v>
      </c>
      <c r="J2000" s="7">
        <v>1</v>
      </c>
      <c r="K2000" s="9">
        <v>1792005.63</v>
      </c>
      <c r="L2000" s="14">
        <v>619.00021762337133</v>
      </c>
      <c r="M2000" s="2" t="s">
        <v>71</v>
      </c>
      <c r="N2000" s="2" t="s">
        <v>16665</v>
      </c>
      <c r="O2000" s="2" t="s">
        <v>16666</v>
      </c>
      <c r="P2000" s="9">
        <v>0</v>
      </c>
      <c r="Q2000" s="9">
        <v>0</v>
      </c>
      <c r="R2000" s="2"/>
    </row>
    <row r="2001" spans="1:18" x14ac:dyDescent="0.25">
      <c r="A2001" s="2" t="s">
        <v>143</v>
      </c>
      <c r="B2001" s="6">
        <v>46174</v>
      </c>
      <c r="C2001" s="8">
        <v>46188</v>
      </c>
      <c r="D2001" s="2" t="s">
        <v>136</v>
      </c>
      <c r="E2001" s="2" t="s">
        <v>16662</v>
      </c>
      <c r="F2001" s="2" t="s">
        <v>16663</v>
      </c>
      <c r="G2001" s="2" t="s">
        <v>16667</v>
      </c>
      <c r="H2001" s="2" t="s">
        <v>70</v>
      </c>
      <c r="I2001" s="9">
        <v>2599252.9481250001</v>
      </c>
      <c r="J2001" s="7">
        <v>0.66500000000000004</v>
      </c>
      <c r="K2001" s="9">
        <v>1728503.21</v>
      </c>
      <c r="L2001" s="14">
        <v>595.2146041676499</v>
      </c>
      <c r="M2001" s="2" t="s">
        <v>71</v>
      </c>
      <c r="N2001" s="2" t="s">
        <v>16665</v>
      </c>
      <c r="O2001" s="2" t="s">
        <v>16668</v>
      </c>
      <c r="P2001" s="9">
        <v>0</v>
      </c>
      <c r="Q2001" s="9">
        <v>0</v>
      </c>
      <c r="R2001" s="2"/>
    </row>
    <row r="2002" spans="1:18" x14ac:dyDescent="0.25">
      <c r="A2002" s="2" t="s">
        <v>148</v>
      </c>
      <c r="B2002" s="6">
        <v>46174</v>
      </c>
      <c r="C2002" s="8">
        <v>46195</v>
      </c>
      <c r="D2002" s="2" t="s">
        <v>136</v>
      </c>
      <c r="E2002" s="2" t="s">
        <v>16662</v>
      </c>
      <c r="F2002" s="2" t="s">
        <v>16663</v>
      </c>
      <c r="G2002" s="2" t="s">
        <v>16669</v>
      </c>
      <c r="H2002" s="2" t="s">
        <v>39</v>
      </c>
      <c r="I2002" s="9">
        <v>1689794.299967</v>
      </c>
      <c r="J2002" s="7">
        <v>1</v>
      </c>
      <c r="K2002" s="9">
        <v>1689794.3</v>
      </c>
      <c r="L2002" s="14">
        <v>580.08729830656398</v>
      </c>
      <c r="M2002" s="2" t="s">
        <v>71</v>
      </c>
      <c r="N2002" s="2" t="s">
        <v>16665</v>
      </c>
      <c r="O2002" s="2" t="s">
        <v>16670</v>
      </c>
      <c r="P2002" s="9">
        <v>0</v>
      </c>
      <c r="Q2002" s="9">
        <v>0</v>
      </c>
      <c r="R2002" s="2"/>
    </row>
    <row r="2003" spans="1:18" x14ac:dyDescent="0.25">
      <c r="A2003" s="2" t="s">
        <v>153</v>
      </c>
      <c r="B2003" s="6">
        <v>46174</v>
      </c>
      <c r="C2003" s="8">
        <v>46203</v>
      </c>
      <c r="D2003" s="2" t="s">
        <v>136</v>
      </c>
      <c r="E2003" s="2" t="s">
        <v>16662</v>
      </c>
      <c r="F2003" s="2" t="s">
        <v>16663</v>
      </c>
      <c r="G2003" s="2" t="s">
        <v>16671</v>
      </c>
      <c r="H2003" s="2" t="s">
        <v>70</v>
      </c>
      <c r="I2003" s="9">
        <v>3237711.6599249998</v>
      </c>
      <c r="J2003" s="7">
        <v>0.66500000000000004</v>
      </c>
      <c r="K2003" s="9">
        <v>2153078.25</v>
      </c>
      <c r="L2003" s="14">
        <v>736.85087400756242</v>
      </c>
      <c r="M2003" s="2" t="s">
        <v>71</v>
      </c>
      <c r="N2003" s="2" t="s">
        <v>16665</v>
      </c>
      <c r="O2003" s="2" t="s">
        <v>16672</v>
      </c>
      <c r="P2003" s="9">
        <v>0</v>
      </c>
      <c r="Q2003" s="9">
        <v>0</v>
      </c>
      <c r="R2003" s="2"/>
    </row>
    <row r="2004" spans="1:18" x14ac:dyDescent="0.25">
      <c r="A2004" s="2" t="s">
        <v>158</v>
      </c>
      <c r="B2004" s="6">
        <v>46204</v>
      </c>
      <c r="C2004" s="8">
        <v>46211</v>
      </c>
      <c r="D2004" s="2" t="s">
        <v>136</v>
      </c>
      <c r="E2004" s="2" t="s">
        <v>16662</v>
      </c>
      <c r="F2004" s="2" t="s">
        <v>16663</v>
      </c>
      <c r="G2004" s="2" t="s">
        <v>16673</v>
      </c>
      <c r="H2004" s="2" t="s">
        <v>39</v>
      </c>
      <c r="I2004" s="9">
        <v>1774413.4329880001</v>
      </c>
      <c r="J2004" s="7">
        <v>1</v>
      </c>
      <c r="K2004" s="9">
        <v>1774413.43</v>
      </c>
      <c r="L2004" s="14">
        <v>606.22255995504315</v>
      </c>
      <c r="M2004" s="2" t="s">
        <v>71</v>
      </c>
      <c r="N2004" s="2" t="s">
        <v>16674</v>
      </c>
      <c r="O2004" s="2" t="s">
        <v>16675</v>
      </c>
      <c r="P2004" s="9">
        <v>0</v>
      </c>
      <c r="Q2004" s="9">
        <v>0</v>
      </c>
      <c r="R2004" s="2"/>
    </row>
    <row r="2005" spans="1:18" x14ac:dyDescent="0.25">
      <c r="A2005" s="2" t="s">
        <v>163</v>
      </c>
      <c r="B2005" s="6">
        <v>46204</v>
      </c>
      <c r="C2005" s="8">
        <v>46218</v>
      </c>
      <c r="D2005" s="2" t="s">
        <v>136</v>
      </c>
      <c r="E2005" s="2" t="s">
        <v>16662</v>
      </c>
      <c r="F2005" s="2" t="s">
        <v>16663</v>
      </c>
      <c r="G2005" s="2" t="s">
        <v>16676</v>
      </c>
      <c r="H2005" s="2" t="s">
        <v>70</v>
      </c>
      <c r="I2005" s="9">
        <v>2670896.3762039999</v>
      </c>
      <c r="J2005" s="7">
        <v>0.65800000000000003</v>
      </c>
      <c r="K2005" s="9">
        <v>1757449.82</v>
      </c>
      <c r="L2005" s="14">
        <v>598.58644943546665</v>
      </c>
      <c r="M2005" s="2" t="s">
        <v>71</v>
      </c>
      <c r="N2005" s="2" t="s">
        <v>16674</v>
      </c>
      <c r="O2005" s="2" t="s">
        <v>16677</v>
      </c>
      <c r="P2005" s="9">
        <v>0</v>
      </c>
      <c r="Q2005" s="9">
        <v>0</v>
      </c>
      <c r="R2005" s="2"/>
    </row>
    <row r="2006" spans="1:18" x14ac:dyDescent="0.25">
      <c r="A2006" s="2" t="s">
        <v>168</v>
      </c>
      <c r="B2006" s="6">
        <v>46204</v>
      </c>
      <c r="C2006" s="8">
        <v>46225</v>
      </c>
      <c r="D2006" s="2" t="s">
        <v>136</v>
      </c>
      <c r="E2006" s="2" t="s">
        <v>16662</v>
      </c>
      <c r="F2006" s="2" t="s">
        <v>16663</v>
      </c>
      <c r="G2006" s="2" t="s">
        <v>16678</v>
      </c>
      <c r="H2006" s="2" t="s">
        <v>39</v>
      </c>
      <c r="I2006" s="9">
        <v>1677133.307085</v>
      </c>
      <c r="J2006" s="7">
        <v>1</v>
      </c>
      <c r="K2006" s="9">
        <v>1677133.31</v>
      </c>
      <c r="L2006" s="14">
        <v>569.48499391690689</v>
      </c>
      <c r="M2006" s="2" t="s">
        <v>71</v>
      </c>
      <c r="N2006" s="2" t="s">
        <v>16674</v>
      </c>
      <c r="O2006" s="2" t="s">
        <v>16679</v>
      </c>
      <c r="P2006" s="9">
        <v>0</v>
      </c>
      <c r="Q2006" s="9">
        <v>0</v>
      </c>
      <c r="R2006" s="2"/>
    </row>
    <row r="2007" spans="1:18" x14ac:dyDescent="0.25">
      <c r="A2007" s="2" t="s">
        <v>200</v>
      </c>
      <c r="B2007" s="6">
        <v>46174</v>
      </c>
      <c r="C2007" s="8">
        <v>46181</v>
      </c>
      <c r="D2007" s="2" t="s">
        <v>199</v>
      </c>
      <c r="E2007" s="2" t="s">
        <v>16662</v>
      </c>
      <c r="F2007" s="2" t="s">
        <v>16663</v>
      </c>
      <c r="G2007" s="2" t="s">
        <v>16680</v>
      </c>
      <c r="H2007" s="2" t="s">
        <v>39</v>
      </c>
      <c r="I2007" s="9">
        <v>1064440.066534</v>
      </c>
      <c r="J2007" s="7">
        <v>1</v>
      </c>
      <c r="K2007" s="9">
        <v>1064440.07</v>
      </c>
      <c r="L2007" s="14">
        <v>366.29045648106882</v>
      </c>
      <c r="M2007" s="2" t="s">
        <v>71</v>
      </c>
      <c r="N2007" s="2" t="s">
        <v>16665</v>
      </c>
      <c r="O2007" s="2" t="s">
        <v>16681</v>
      </c>
      <c r="P2007" s="9">
        <v>0</v>
      </c>
      <c r="Q2007" s="9">
        <v>0</v>
      </c>
      <c r="R2007" s="2"/>
    </row>
    <row r="2008" spans="1:18" x14ac:dyDescent="0.25">
      <c r="A2008" s="2" t="s">
        <v>205</v>
      </c>
      <c r="B2008" s="6">
        <v>46174</v>
      </c>
      <c r="C2008" s="8">
        <v>46188</v>
      </c>
      <c r="D2008" s="2" t="s">
        <v>199</v>
      </c>
      <c r="E2008" s="2" t="s">
        <v>16662</v>
      </c>
      <c r="F2008" s="2" t="s">
        <v>16663</v>
      </c>
      <c r="G2008" s="2" t="s">
        <v>16682</v>
      </c>
      <c r="H2008" s="2" t="s">
        <v>70</v>
      </c>
      <c r="I2008" s="9">
        <v>1582298.993241</v>
      </c>
      <c r="J2008" s="7">
        <v>0.66500000000000004</v>
      </c>
      <c r="K2008" s="9">
        <v>1052228.83</v>
      </c>
      <c r="L2008" s="14">
        <v>360.97043928145399</v>
      </c>
      <c r="M2008" s="2" t="s">
        <v>71</v>
      </c>
      <c r="N2008" s="2" t="s">
        <v>16665</v>
      </c>
      <c r="O2008" s="2" t="s">
        <v>16683</v>
      </c>
      <c r="P2008" s="9">
        <v>0</v>
      </c>
      <c r="Q2008" s="9">
        <v>0</v>
      </c>
      <c r="R2008" s="2"/>
    </row>
    <row r="2009" spans="1:18" x14ac:dyDescent="0.25">
      <c r="A2009" s="2" t="s">
        <v>210</v>
      </c>
      <c r="B2009" s="6">
        <v>46174</v>
      </c>
      <c r="C2009" s="8">
        <v>46195</v>
      </c>
      <c r="D2009" s="2" t="s">
        <v>199</v>
      </c>
      <c r="E2009" s="2" t="s">
        <v>16662</v>
      </c>
      <c r="F2009" s="2" t="s">
        <v>16663</v>
      </c>
      <c r="G2009" s="2" t="s">
        <v>16684</v>
      </c>
      <c r="H2009" s="2" t="s">
        <v>39</v>
      </c>
      <c r="I2009" s="9">
        <v>1056222.98122</v>
      </c>
      <c r="J2009" s="7">
        <v>1</v>
      </c>
      <c r="K2009" s="9">
        <v>1056222.98</v>
      </c>
      <c r="L2009" s="14">
        <v>361.22536977413068</v>
      </c>
      <c r="M2009" s="2" t="s">
        <v>71</v>
      </c>
      <c r="N2009" s="2" t="s">
        <v>16665</v>
      </c>
      <c r="O2009" s="2" t="s">
        <v>16685</v>
      </c>
      <c r="P2009" s="9">
        <v>0</v>
      </c>
      <c r="Q2009" s="9">
        <v>0</v>
      </c>
      <c r="R2009" s="2"/>
    </row>
    <row r="2010" spans="1:18" x14ac:dyDescent="0.25">
      <c r="A2010" s="2" t="s">
        <v>215</v>
      </c>
      <c r="B2010" s="6">
        <v>46174</v>
      </c>
      <c r="C2010" s="8">
        <v>46203</v>
      </c>
      <c r="D2010" s="2" t="s">
        <v>199</v>
      </c>
      <c r="E2010" s="2" t="s">
        <v>16662</v>
      </c>
      <c r="F2010" s="2" t="s">
        <v>16663</v>
      </c>
      <c r="G2010" s="2" t="s">
        <v>16686</v>
      </c>
      <c r="H2010" s="2" t="s">
        <v>70</v>
      </c>
      <c r="I2010" s="9">
        <v>1925410.1411840001</v>
      </c>
      <c r="J2010" s="7">
        <v>0.66500000000000004</v>
      </c>
      <c r="K2010" s="9">
        <v>1280397.74</v>
      </c>
      <c r="L2010" s="14">
        <v>436.54883869323771</v>
      </c>
      <c r="M2010" s="2" t="s">
        <v>71</v>
      </c>
      <c r="N2010" s="2" t="s">
        <v>16665</v>
      </c>
      <c r="O2010" s="2" t="s">
        <v>16687</v>
      </c>
      <c r="P2010" s="9">
        <v>0</v>
      </c>
      <c r="Q2010" s="9">
        <v>0</v>
      </c>
      <c r="R2010" s="2"/>
    </row>
    <row r="2011" spans="1:18" x14ac:dyDescent="0.25">
      <c r="A2011" s="2" t="s">
        <v>220</v>
      </c>
      <c r="B2011" s="6">
        <v>46204</v>
      </c>
      <c r="C2011" s="8">
        <v>46211</v>
      </c>
      <c r="D2011" s="2" t="s">
        <v>199</v>
      </c>
      <c r="E2011" s="2" t="s">
        <v>16662</v>
      </c>
      <c r="F2011" s="2" t="s">
        <v>16663</v>
      </c>
      <c r="G2011" s="2" t="s">
        <v>16688</v>
      </c>
      <c r="H2011" s="2" t="s">
        <v>39</v>
      </c>
      <c r="I2011" s="9">
        <v>1111373.2151210001</v>
      </c>
      <c r="J2011" s="7">
        <v>1</v>
      </c>
      <c r="K2011" s="9">
        <v>1111373.22</v>
      </c>
      <c r="L2011" s="14">
        <v>378.27543060610088</v>
      </c>
      <c r="M2011" s="2" t="s">
        <v>71</v>
      </c>
      <c r="N2011" s="2" t="s">
        <v>16674</v>
      </c>
      <c r="O2011" s="2" t="s">
        <v>16689</v>
      </c>
      <c r="P2011" s="9">
        <v>0</v>
      </c>
      <c r="Q2011" s="9">
        <v>0</v>
      </c>
      <c r="R2011" s="2"/>
    </row>
    <row r="2012" spans="1:18" x14ac:dyDescent="0.25">
      <c r="A2012" s="2" t="s">
        <v>225</v>
      </c>
      <c r="B2012" s="6">
        <v>46204</v>
      </c>
      <c r="C2012" s="8">
        <v>46218</v>
      </c>
      <c r="D2012" s="2" t="s">
        <v>199</v>
      </c>
      <c r="E2012" s="2" t="s">
        <v>16662</v>
      </c>
      <c r="F2012" s="2" t="s">
        <v>16663</v>
      </c>
      <c r="G2012" s="2" t="s">
        <v>16690</v>
      </c>
      <c r="H2012" s="2" t="s">
        <v>70</v>
      </c>
      <c r="I2012" s="9">
        <v>1539998.6577029999</v>
      </c>
      <c r="J2012" s="7">
        <v>0.65800000000000003</v>
      </c>
      <c r="K2012" s="9">
        <v>1013319.12</v>
      </c>
      <c r="L2012" s="14">
        <v>343.84768129229099</v>
      </c>
      <c r="M2012" s="2" t="s">
        <v>71</v>
      </c>
      <c r="N2012" s="2" t="s">
        <v>16674</v>
      </c>
      <c r="O2012" s="2" t="s">
        <v>16691</v>
      </c>
      <c r="P2012" s="9">
        <v>0</v>
      </c>
      <c r="Q2012" s="9">
        <v>0</v>
      </c>
      <c r="R2012" s="2"/>
    </row>
    <row r="2013" spans="1:18" x14ac:dyDescent="0.25">
      <c r="A2013" s="2" t="s">
        <v>230</v>
      </c>
      <c r="B2013" s="6">
        <v>46204</v>
      </c>
      <c r="C2013" s="8">
        <v>46225</v>
      </c>
      <c r="D2013" s="2" t="s">
        <v>199</v>
      </c>
      <c r="E2013" s="2" t="s">
        <v>16662</v>
      </c>
      <c r="F2013" s="2" t="s">
        <v>16663</v>
      </c>
      <c r="G2013" s="2" t="s">
        <v>16692</v>
      </c>
      <c r="H2013" s="2" t="s">
        <v>39</v>
      </c>
      <c r="I2013" s="9">
        <v>1054929.344787</v>
      </c>
      <c r="J2013" s="7">
        <v>1</v>
      </c>
      <c r="K2013" s="9">
        <v>1054929.3400000001</v>
      </c>
      <c r="L2013" s="14">
        <v>356.87731555712662</v>
      </c>
      <c r="M2013" s="2" t="s">
        <v>71</v>
      </c>
      <c r="N2013" s="2" t="s">
        <v>16674</v>
      </c>
      <c r="O2013" s="2" t="s">
        <v>16693</v>
      </c>
      <c r="P2013" s="9">
        <v>0</v>
      </c>
      <c r="Q2013" s="9">
        <v>0</v>
      </c>
      <c r="R2013" s="2"/>
    </row>
    <row r="2014" spans="1:18" x14ac:dyDescent="0.25">
      <c r="A2014" s="2" t="s">
        <v>235</v>
      </c>
      <c r="B2014" s="6">
        <v>46204</v>
      </c>
      <c r="C2014" s="8">
        <v>46234</v>
      </c>
      <c r="D2014" s="2" t="s">
        <v>199</v>
      </c>
      <c r="E2014" s="2" t="s">
        <v>16662</v>
      </c>
      <c r="F2014" s="2" t="s">
        <v>16663</v>
      </c>
      <c r="G2014" s="2" t="s">
        <v>16694</v>
      </c>
      <c r="H2014" s="2" t="s">
        <v>70</v>
      </c>
      <c r="I2014" s="9">
        <v>2222380.477897</v>
      </c>
      <c r="J2014" s="7">
        <v>0.65800000000000003</v>
      </c>
      <c r="K2014" s="9">
        <v>1462326.35</v>
      </c>
      <c r="L2014" s="14">
        <v>493.19607232935442</v>
      </c>
      <c r="M2014" s="2" t="s">
        <v>71</v>
      </c>
      <c r="N2014" s="2" t="s">
        <v>16674</v>
      </c>
      <c r="O2014" s="2" t="s">
        <v>16695</v>
      </c>
      <c r="P2014" s="9">
        <v>0</v>
      </c>
      <c r="Q2014" s="9">
        <v>0</v>
      </c>
      <c r="R2014" s="2"/>
    </row>
    <row r="2015" spans="1:18" x14ac:dyDescent="0.25">
      <c r="A2015" s="2" t="s">
        <v>135</v>
      </c>
      <c r="B2015" s="6">
        <v>46174</v>
      </c>
      <c r="C2015" s="8">
        <v>46191</v>
      </c>
      <c r="D2015" s="2" t="s">
        <v>136</v>
      </c>
      <c r="E2015" s="2" t="s">
        <v>137</v>
      </c>
      <c r="F2015" s="2" t="s">
        <v>16696</v>
      </c>
      <c r="G2015" s="2" t="s">
        <v>139</v>
      </c>
      <c r="H2015" s="2" t="s">
        <v>39</v>
      </c>
      <c r="I2015" s="9">
        <v>1523204.7855169999</v>
      </c>
      <c r="J2015" s="7">
        <v>1</v>
      </c>
      <c r="K2015" s="9">
        <v>1523204.79</v>
      </c>
      <c r="L2015" s="14">
        <v>0</v>
      </c>
      <c r="M2015" s="2" t="s">
        <v>71</v>
      </c>
      <c r="N2015" s="2" t="s">
        <v>16697</v>
      </c>
      <c r="O2015" s="2" t="s">
        <v>16666</v>
      </c>
      <c r="P2015" s="9">
        <v>1218.56</v>
      </c>
      <c r="Q2015" s="9">
        <v>1523204.79</v>
      </c>
      <c r="R2015" s="2" t="s">
        <v>16698</v>
      </c>
    </row>
    <row r="2016" spans="1:18" x14ac:dyDescent="0.25">
      <c r="A2016" s="2" t="s">
        <v>140</v>
      </c>
      <c r="B2016" s="6">
        <v>46204</v>
      </c>
      <c r="C2016" s="8">
        <v>46211</v>
      </c>
      <c r="D2016" s="2" t="s">
        <v>136</v>
      </c>
      <c r="E2016" s="2" t="s">
        <v>137</v>
      </c>
      <c r="F2016" s="2" t="s">
        <v>16696</v>
      </c>
      <c r="G2016" s="2" t="s">
        <v>141</v>
      </c>
      <c r="H2016" s="2" t="s">
        <v>39</v>
      </c>
      <c r="I2016" s="9">
        <v>268800.84450299997</v>
      </c>
      <c r="J2016" s="7">
        <v>1</v>
      </c>
      <c r="K2016" s="9">
        <v>268800.84000000003</v>
      </c>
      <c r="L2016" s="14">
        <v>0</v>
      </c>
      <c r="M2016" s="2" t="s">
        <v>71</v>
      </c>
      <c r="N2016" s="2" t="s">
        <v>16699</v>
      </c>
      <c r="O2016" s="2" t="s">
        <v>16666</v>
      </c>
      <c r="P2016" s="9">
        <v>215.04</v>
      </c>
      <c r="Q2016" s="9">
        <v>268800.84000000003</v>
      </c>
      <c r="R2016" s="2" t="s">
        <v>16700</v>
      </c>
    </row>
    <row r="2017" spans="1:18" x14ac:dyDescent="0.25">
      <c r="A2017" s="2" t="s">
        <v>142</v>
      </c>
      <c r="B2017" s="6">
        <v>46174</v>
      </c>
      <c r="C2017" s="8">
        <v>46198</v>
      </c>
      <c r="D2017" s="2" t="s">
        <v>136</v>
      </c>
      <c r="E2017" s="2" t="s">
        <v>137</v>
      </c>
      <c r="F2017" s="2" t="s">
        <v>16696</v>
      </c>
      <c r="G2017" s="2" t="s">
        <v>144</v>
      </c>
      <c r="H2017" s="2" t="s">
        <v>70</v>
      </c>
      <c r="I2017" s="9">
        <v>2209365.0059059998</v>
      </c>
      <c r="J2017" s="7">
        <v>0.66500000000000004</v>
      </c>
      <c r="K2017" s="9">
        <v>1469227.73</v>
      </c>
      <c r="L2017" s="14">
        <v>0</v>
      </c>
      <c r="M2017" s="2" t="s">
        <v>71</v>
      </c>
      <c r="N2017" s="2" t="s">
        <v>16697</v>
      </c>
      <c r="O2017" s="2" t="s">
        <v>16668</v>
      </c>
      <c r="P2017" s="9">
        <v>1175.3800000000001</v>
      </c>
      <c r="Q2017" s="9">
        <v>1469227.73</v>
      </c>
      <c r="R2017" s="2" t="s">
        <v>16698</v>
      </c>
    </row>
    <row r="2018" spans="1:18" x14ac:dyDescent="0.25">
      <c r="A2018" s="2" t="s">
        <v>145</v>
      </c>
      <c r="B2018" s="6">
        <v>46204</v>
      </c>
      <c r="C2018" s="8">
        <v>46218</v>
      </c>
      <c r="D2018" s="2" t="s">
        <v>136</v>
      </c>
      <c r="E2018" s="2" t="s">
        <v>137</v>
      </c>
      <c r="F2018" s="2" t="s">
        <v>16696</v>
      </c>
      <c r="G2018" s="2" t="s">
        <v>146</v>
      </c>
      <c r="H2018" s="2" t="s">
        <v>70</v>
      </c>
      <c r="I2018" s="9">
        <v>389887.94221900002</v>
      </c>
      <c r="J2018" s="7">
        <v>0.65800000000000003</v>
      </c>
      <c r="K2018" s="9">
        <v>256546.27</v>
      </c>
      <c r="L2018" s="14">
        <v>0</v>
      </c>
      <c r="M2018" s="2" t="s">
        <v>71</v>
      </c>
      <c r="N2018" s="2" t="s">
        <v>16699</v>
      </c>
      <c r="O2018" s="2" t="s">
        <v>16668</v>
      </c>
      <c r="P2018" s="9">
        <v>205.24</v>
      </c>
      <c r="Q2018" s="9">
        <v>259275.48</v>
      </c>
      <c r="R2018" s="2" t="s">
        <v>16700</v>
      </c>
    </row>
    <row r="2019" spans="1:18" x14ac:dyDescent="0.25">
      <c r="A2019" s="2" t="s">
        <v>147</v>
      </c>
      <c r="B2019" s="6">
        <v>46204</v>
      </c>
      <c r="C2019" s="8">
        <v>46205</v>
      </c>
      <c r="D2019" s="2" t="s">
        <v>136</v>
      </c>
      <c r="E2019" s="2" t="s">
        <v>137</v>
      </c>
      <c r="F2019" s="2" t="s">
        <v>16696</v>
      </c>
      <c r="G2019" s="2" t="s">
        <v>149</v>
      </c>
      <c r="H2019" s="2" t="s">
        <v>39</v>
      </c>
      <c r="I2019" s="9">
        <v>1436325.154972</v>
      </c>
      <c r="J2019" s="7">
        <v>1</v>
      </c>
      <c r="K2019" s="9">
        <v>1436325.15</v>
      </c>
      <c r="L2019" s="14">
        <v>0</v>
      </c>
      <c r="M2019" s="2" t="s">
        <v>71</v>
      </c>
      <c r="N2019" s="2" t="s">
        <v>16699</v>
      </c>
      <c r="O2019" s="2" t="s">
        <v>16670</v>
      </c>
      <c r="P2019" s="9">
        <v>1149.06</v>
      </c>
      <c r="Q2019" s="9">
        <v>1436325.16</v>
      </c>
      <c r="R2019" s="2" t="s">
        <v>16700</v>
      </c>
    </row>
    <row r="2020" spans="1:18" x14ac:dyDescent="0.25">
      <c r="A2020" s="2" t="s">
        <v>150</v>
      </c>
      <c r="B2020" s="6">
        <v>46204</v>
      </c>
      <c r="C2020" s="8">
        <v>46225</v>
      </c>
      <c r="D2020" s="2" t="s">
        <v>136</v>
      </c>
      <c r="E2020" s="2" t="s">
        <v>137</v>
      </c>
      <c r="F2020" s="2" t="s">
        <v>16696</v>
      </c>
      <c r="G2020" s="2" t="s">
        <v>151</v>
      </c>
      <c r="H2020" s="2" t="s">
        <v>39</v>
      </c>
      <c r="I2020" s="9">
        <v>253469.14499500001</v>
      </c>
      <c r="J2020" s="7">
        <v>1</v>
      </c>
      <c r="K2020" s="9">
        <v>253469.14</v>
      </c>
      <c r="L2020" s="14">
        <v>0</v>
      </c>
      <c r="M2020" s="2" t="s">
        <v>71</v>
      </c>
      <c r="N2020" s="2" t="s">
        <v>16699</v>
      </c>
      <c r="O2020" s="2" t="s">
        <v>16670</v>
      </c>
      <c r="P2020" s="9">
        <v>202.78</v>
      </c>
      <c r="Q2020" s="9">
        <v>253469.14</v>
      </c>
      <c r="R2020" s="2" t="s">
        <v>16700</v>
      </c>
    </row>
    <row r="2021" spans="1:18" x14ac:dyDescent="0.25">
      <c r="A2021" s="2" t="s">
        <v>152</v>
      </c>
      <c r="B2021" s="6">
        <v>46204</v>
      </c>
      <c r="C2021" s="8">
        <v>46218</v>
      </c>
      <c r="D2021" s="2" t="s">
        <v>136</v>
      </c>
      <c r="E2021" s="2" t="s">
        <v>137</v>
      </c>
      <c r="F2021" s="2" t="s">
        <v>16696</v>
      </c>
      <c r="G2021" s="2" t="s">
        <v>154</v>
      </c>
      <c r="H2021" s="2" t="s">
        <v>70</v>
      </c>
      <c r="I2021" s="9">
        <v>2752054.9109359998</v>
      </c>
      <c r="J2021" s="7">
        <v>0.65800000000000003</v>
      </c>
      <c r="K2021" s="9">
        <v>1810852.13</v>
      </c>
      <c r="L2021" s="14">
        <v>0</v>
      </c>
      <c r="M2021" s="2" t="s">
        <v>71</v>
      </c>
      <c r="N2021" s="2" t="s">
        <v>16699</v>
      </c>
      <c r="O2021" s="2" t="s">
        <v>16672</v>
      </c>
      <c r="P2021" s="9">
        <v>1448.68</v>
      </c>
      <c r="Q2021" s="9">
        <v>1830116.51</v>
      </c>
      <c r="R2021" s="2" t="s">
        <v>16700</v>
      </c>
    </row>
    <row r="2022" spans="1:18" x14ac:dyDescent="0.25">
      <c r="A2022" s="2" t="s">
        <v>157</v>
      </c>
      <c r="B2022" s="6">
        <v>46204</v>
      </c>
      <c r="C2022" s="8">
        <v>46221</v>
      </c>
      <c r="D2022" s="2" t="s">
        <v>136</v>
      </c>
      <c r="E2022" s="2" t="s">
        <v>137</v>
      </c>
      <c r="F2022" s="2" t="s">
        <v>16696</v>
      </c>
      <c r="G2022" s="2" t="s">
        <v>159</v>
      </c>
      <c r="H2022" s="2" t="s">
        <v>39</v>
      </c>
      <c r="I2022" s="9">
        <v>1508251.4180399999</v>
      </c>
      <c r="J2022" s="7">
        <v>1</v>
      </c>
      <c r="K2022" s="9">
        <v>1508251.42</v>
      </c>
      <c r="L2022" s="14">
        <v>0</v>
      </c>
      <c r="M2022" s="2" t="s">
        <v>71</v>
      </c>
      <c r="N2022" s="2" t="s">
        <v>16699</v>
      </c>
      <c r="O2022" s="2" t="s">
        <v>16675</v>
      </c>
      <c r="P2022" s="9">
        <v>1206.5999999999999</v>
      </c>
      <c r="Q2022" s="9">
        <v>1508251.42</v>
      </c>
      <c r="R2022" s="2" t="s">
        <v>16700</v>
      </c>
    </row>
    <row r="2023" spans="1:18" x14ac:dyDescent="0.25">
      <c r="A2023" s="2" t="s">
        <v>162</v>
      </c>
      <c r="B2023" s="6">
        <v>46204</v>
      </c>
      <c r="C2023" s="8">
        <v>46228</v>
      </c>
      <c r="D2023" s="2" t="s">
        <v>136</v>
      </c>
      <c r="E2023" s="2" t="s">
        <v>137</v>
      </c>
      <c r="F2023" s="2" t="s">
        <v>16696</v>
      </c>
      <c r="G2023" s="2" t="s">
        <v>164</v>
      </c>
      <c r="H2023" s="2" t="s">
        <v>70</v>
      </c>
      <c r="I2023" s="9">
        <v>2270261.9197729998</v>
      </c>
      <c r="J2023" s="7">
        <v>0.65800000000000003</v>
      </c>
      <c r="K2023" s="9">
        <v>1493832.34</v>
      </c>
      <c r="L2023" s="14">
        <v>0</v>
      </c>
      <c r="M2023" s="2" t="s">
        <v>71</v>
      </c>
      <c r="N2023" s="2" t="s">
        <v>16699</v>
      </c>
      <c r="O2023" s="2" t="s">
        <v>16677</v>
      </c>
      <c r="P2023" s="9">
        <v>1195.07</v>
      </c>
      <c r="Q2023" s="9">
        <v>1493832.35</v>
      </c>
      <c r="R2023" s="2" t="s">
        <v>16700</v>
      </c>
    </row>
    <row r="2024" spans="1:18" x14ac:dyDescent="0.25">
      <c r="A2024" s="2" t="s">
        <v>198</v>
      </c>
      <c r="B2024" s="6">
        <v>46174</v>
      </c>
      <c r="C2024" s="8">
        <v>46191</v>
      </c>
      <c r="D2024" s="2" t="s">
        <v>199</v>
      </c>
      <c r="E2024" s="2" t="s">
        <v>137</v>
      </c>
      <c r="F2024" s="2" t="s">
        <v>16696</v>
      </c>
      <c r="G2024" s="2" t="s">
        <v>201</v>
      </c>
      <c r="H2024" s="2" t="s">
        <v>39</v>
      </c>
      <c r="I2024" s="9">
        <v>904774.05655400001</v>
      </c>
      <c r="J2024" s="7">
        <v>1</v>
      </c>
      <c r="K2024" s="9">
        <v>904774.06</v>
      </c>
      <c r="L2024" s="14">
        <v>0</v>
      </c>
      <c r="M2024" s="2" t="s">
        <v>71</v>
      </c>
      <c r="N2024" s="2" t="s">
        <v>16697</v>
      </c>
      <c r="O2024" s="2" t="s">
        <v>16681</v>
      </c>
      <c r="P2024" s="9">
        <v>723.82</v>
      </c>
      <c r="Q2024" s="9">
        <v>904774.06</v>
      </c>
      <c r="R2024" s="2" t="s">
        <v>16701</v>
      </c>
    </row>
    <row r="2025" spans="1:18" x14ac:dyDescent="0.25">
      <c r="A2025" s="2" t="s">
        <v>202</v>
      </c>
      <c r="B2025" s="6">
        <v>46204</v>
      </c>
      <c r="C2025" s="8">
        <v>46211</v>
      </c>
      <c r="D2025" s="2" t="s">
        <v>199</v>
      </c>
      <c r="E2025" s="2" t="s">
        <v>137</v>
      </c>
      <c r="F2025" s="2" t="s">
        <v>16696</v>
      </c>
      <c r="G2025" s="2" t="s">
        <v>203</v>
      </c>
      <c r="H2025" s="2" t="s">
        <v>39</v>
      </c>
      <c r="I2025" s="9">
        <v>159666.00998</v>
      </c>
      <c r="J2025" s="7">
        <v>1</v>
      </c>
      <c r="K2025" s="9">
        <v>159666.01</v>
      </c>
      <c r="L2025" s="14">
        <v>0</v>
      </c>
      <c r="M2025" s="2" t="s">
        <v>71</v>
      </c>
      <c r="N2025" s="2" t="s">
        <v>16699</v>
      </c>
      <c r="O2025" s="2" t="s">
        <v>16681</v>
      </c>
      <c r="P2025" s="9">
        <v>127.73</v>
      </c>
      <c r="Q2025" s="9">
        <v>159666.01</v>
      </c>
      <c r="R2025" s="2" t="s">
        <v>16702</v>
      </c>
    </row>
    <row r="2026" spans="1:18" x14ac:dyDescent="0.25">
      <c r="A2026" s="2" t="s">
        <v>204</v>
      </c>
      <c r="B2026" s="6">
        <v>46174</v>
      </c>
      <c r="C2026" s="8">
        <v>46198</v>
      </c>
      <c r="D2026" s="2" t="s">
        <v>199</v>
      </c>
      <c r="E2026" s="2" t="s">
        <v>137</v>
      </c>
      <c r="F2026" s="2" t="s">
        <v>16696</v>
      </c>
      <c r="G2026" s="2" t="s">
        <v>206</v>
      </c>
      <c r="H2026" s="2" t="s">
        <v>70</v>
      </c>
      <c r="I2026" s="9">
        <v>1344954.1442549999</v>
      </c>
      <c r="J2026" s="7">
        <v>0.66500000000000004</v>
      </c>
      <c r="K2026" s="9">
        <v>894394.51</v>
      </c>
      <c r="L2026" s="14">
        <v>0</v>
      </c>
      <c r="M2026" s="2" t="s">
        <v>71</v>
      </c>
      <c r="N2026" s="2" t="s">
        <v>16697</v>
      </c>
      <c r="O2026" s="2" t="s">
        <v>16683</v>
      </c>
      <c r="P2026" s="9">
        <v>715.52</v>
      </c>
      <c r="Q2026" s="9">
        <v>894394.51</v>
      </c>
      <c r="R2026" s="2" t="s">
        <v>16701</v>
      </c>
    </row>
    <row r="2027" spans="1:18" x14ac:dyDescent="0.25">
      <c r="A2027" s="2" t="s">
        <v>207</v>
      </c>
      <c r="B2027" s="6">
        <v>46204</v>
      </c>
      <c r="C2027" s="8">
        <v>46218</v>
      </c>
      <c r="D2027" s="2" t="s">
        <v>199</v>
      </c>
      <c r="E2027" s="2" t="s">
        <v>137</v>
      </c>
      <c r="F2027" s="2" t="s">
        <v>16696</v>
      </c>
      <c r="G2027" s="2" t="s">
        <v>208</v>
      </c>
      <c r="H2027" s="2" t="s">
        <v>70</v>
      </c>
      <c r="I2027" s="9">
        <v>237344.848986</v>
      </c>
      <c r="J2027" s="7">
        <v>0.65800000000000003</v>
      </c>
      <c r="K2027" s="9">
        <v>156172.91</v>
      </c>
      <c r="L2027" s="14">
        <v>0</v>
      </c>
      <c r="M2027" s="2" t="s">
        <v>71</v>
      </c>
      <c r="N2027" s="2" t="s">
        <v>16699</v>
      </c>
      <c r="O2027" s="2" t="s">
        <v>16683</v>
      </c>
      <c r="P2027" s="9">
        <v>124.94</v>
      </c>
      <c r="Q2027" s="9">
        <v>157834.32</v>
      </c>
      <c r="R2027" s="2" t="s">
        <v>16702</v>
      </c>
    </row>
    <row r="2028" spans="1:18" x14ac:dyDescent="0.25">
      <c r="A2028" s="2" t="s">
        <v>209</v>
      </c>
      <c r="B2028" s="6">
        <v>46204</v>
      </c>
      <c r="C2028" s="8">
        <v>46205</v>
      </c>
      <c r="D2028" s="2" t="s">
        <v>199</v>
      </c>
      <c r="E2028" s="2" t="s">
        <v>137</v>
      </c>
      <c r="F2028" s="2" t="s">
        <v>16696</v>
      </c>
      <c r="G2028" s="2" t="s">
        <v>211</v>
      </c>
      <c r="H2028" s="2" t="s">
        <v>39</v>
      </c>
      <c r="I2028" s="9">
        <v>897789.53403700003</v>
      </c>
      <c r="J2028" s="7">
        <v>1</v>
      </c>
      <c r="K2028" s="9">
        <v>897789.53</v>
      </c>
      <c r="L2028" s="14">
        <v>0</v>
      </c>
      <c r="M2028" s="2" t="s">
        <v>71</v>
      </c>
      <c r="N2028" s="2" t="s">
        <v>16699</v>
      </c>
      <c r="O2028" s="2" t="s">
        <v>16685</v>
      </c>
      <c r="P2028" s="9">
        <v>718.23</v>
      </c>
      <c r="Q2028" s="9">
        <v>897789.53</v>
      </c>
      <c r="R2028" s="2" t="s">
        <v>16702</v>
      </c>
    </row>
    <row r="2029" spans="1:18" x14ac:dyDescent="0.25">
      <c r="A2029" s="2" t="s">
        <v>212</v>
      </c>
      <c r="B2029" s="6">
        <v>46204</v>
      </c>
      <c r="C2029" s="8">
        <v>46225</v>
      </c>
      <c r="D2029" s="2" t="s">
        <v>199</v>
      </c>
      <c r="E2029" s="2" t="s">
        <v>137</v>
      </c>
      <c r="F2029" s="2" t="s">
        <v>16696</v>
      </c>
      <c r="G2029" s="2" t="s">
        <v>213</v>
      </c>
      <c r="H2029" s="2" t="s">
        <v>39</v>
      </c>
      <c r="I2029" s="9">
        <v>158433.44718300001</v>
      </c>
      <c r="J2029" s="7">
        <v>1</v>
      </c>
      <c r="K2029" s="9">
        <v>158433.45000000001</v>
      </c>
      <c r="L2029" s="14">
        <v>0</v>
      </c>
      <c r="M2029" s="2" t="s">
        <v>71</v>
      </c>
      <c r="N2029" s="2" t="s">
        <v>16699</v>
      </c>
      <c r="O2029" s="2" t="s">
        <v>16685</v>
      </c>
      <c r="P2029" s="9">
        <v>126.75</v>
      </c>
      <c r="Q2029" s="9">
        <v>158433.45000000001</v>
      </c>
      <c r="R2029" s="2" t="s">
        <v>16702</v>
      </c>
    </row>
    <row r="2030" spans="1:18" x14ac:dyDescent="0.25">
      <c r="A2030" s="2" t="s">
        <v>214</v>
      </c>
      <c r="B2030" s="6">
        <v>46204</v>
      </c>
      <c r="C2030" s="8">
        <v>46218</v>
      </c>
      <c r="D2030" s="2" t="s">
        <v>199</v>
      </c>
      <c r="E2030" s="2" t="s">
        <v>137</v>
      </c>
      <c r="F2030" s="2" t="s">
        <v>16696</v>
      </c>
      <c r="G2030" s="2" t="s">
        <v>216</v>
      </c>
      <c r="H2030" s="2" t="s">
        <v>70</v>
      </c>
      <c r="I2030" s="9">
        <v>1636598.6200059999</v>
      </c>
      <c r="J2030" s="7">
        <v>0.65800000000000003</v>
      </c>
      <c r="K2030" s="9">
        <v>1076881.8899999999</v>
      </c>
      <c r="L2030" s="14">
        <v>0</v>
      </c>
      <c r="M2030" s="2" t="s">
        <v>71</v>
      </c>
      <c r="N2030" s="2" t="s">
        <v>16699</v>
      </c>
      <c r="O2030" s="2" t="s">
        <v>16687</v>
      </c>
      <c r="P2030" s="9">
        <v>861.51</v>
      </c>
      <c r="Q2030" s="9">
        <v>1088338.08</v>
      </c>
      <c r="R2030" s="2" t="s">
        <v>16702</v>
      </c>
    </row>
    <row r="2031" spans="1:18" x14ac:dyDescent="0.25">
      <c r="A2031" s="2" t="s">
        <v>219</v>
      </c>
      <c r="B2031" s="6">
        <v>46204</v>
      </c>
      <c r="C2031" s="8">
        <v>46221</v>
      </c>
      <c r="D2031" s="2" t="s">
        <v>199</v>
      </c>
      <c r="E2031" s="2" t="s">
        <v>137</v>
      </c>
      <c r="F2031" s="2" t="s">
        <v>16696</v>
      </c>
      <c r="G2031" s="2" t="s">
        <v>221</v>
      </c>
      <c r="H2031" s="2" t="s">
        <v>39</v>
      </c>
      <c r="I2031" s="9">
        <v>944667.23285300005</v>
      </c>
      <c r="J2031" s="7">
        <v>1</v>
      </c>
      <c r="K2031" s="9">
        <v>944667.23</v>
      </c>
      <c r="L2031" s="14">
        <v>0</v>
      </c>
      <c r="M2031" s="2" t="s">
        <v>71</v>
      </c>
      <c r="N2031" s="2" t="s">
        <v>16699</v>
      </c>
      <c r="O2031" s="2" t="s">
        <v>16689</v>
      </c>
      <c r="P2031" s="9">
        <v>755.73</v>
      </c>
      <c r="Q2031" s="9">
        <v>944667.24</v>
      </c>
      <c r="R2031" s="2" t="s">
        <v>16702</v>
      </c>
    </row>
    <row r="2032" spans="1:18" x14ac:dyDescent="0.25">
      <c r="A2032" s="2" t="s">
        <v>224</v>
      </c>
      <c r="B2032" s="6">
        <v>46204</v>
      </c>
      <c r="C2032" s="8">
        <v>46228</v>
      </c>
      <c r="D2032" s="2" t="s">
        <v>199</v>
      </c>
      <c r="E2032" s="2" t="s">
        <v>137</v>
      </c>
      <c r="F2032" s="2" t="s">
        <v>16696</v>
      </c>
      <c r="G2032" s="2" t="s">
        <v>226</v>
      </c>
      <c r="H2032" s="2" t="s">
        <v>70</v>
      </c>
      <c r="I2032" s="9">
        <v>1308998.8590480001</v>
      </c>
      <c r="J2032" s="7">
        <v>0.65800000000000003</v>
      </c>
      <c r="K2032" s="9">
        <v>861321.25</v>
      </c>
      <c r="L2032" s="14">
        <v>0</v>
      </c>
      <c r="M2032" s="2" t="s">
        <v>71</v>
      </c>
      <c r="N2032" s="2" t="s">
        <v>16699</v>
      </c>
      <c r="O2032" s="2" t="s">
        <v>16691</v>
      </c>
      <c r="P2032" s="9">
        <v>689.06</v>
      </c>
      <c r="Q2032" s="9">
        <v>861321.25</v>
      </c>
      <c r="R2032" s="2" t="s">
        <v>16702</v>
      </c>
    </row>
    <row r="2033" spans="1:18" x14ac:dyDescent="0.25">
      <c r="A2033" s="2" t="s">
        <v>259</v>
      </c>
      <c r="B2033" s="6">
        <v>46174</v>
      </c>
      <c r="C2033" s="8">
        <v>46198</v>
      </c>
      <c r="D2033" s="2" t="s">
        <v>136</v>
      </c>
      <c r="E2033" s="2" t="s">
        <v>260</v>
      </c>
      <c r="F2033" s="2" t="s">
        <v>16703</v>
      </c>
      <c r="G2033" s="2" t="s">
        <v>262</v>
      </c>
      <c r="H2033" s="2" t="s">
        <v>39</v>
      </c>
      <c r="I2033" s="9">
        <v>1814.01</v>
      </c>
      <c r="J2033" s="7">
        <v>1</v>
      </c>
      <c r="K2033" s="9">
        <v>1814.01</v>
      </c>
      <c r="L2033" s="14">
        <v>0</v>
      </c>
      <c r="M2033" s="2" t="s">
        <v>71</v>
      </c>
      <c r="N2033" s="2" t="s">
        <v>16704</v>
      </c>
      <c r="O2033" s="2" t="s">
        <v>261</v>
      </c>
      <c r="P2033" s="9">
        <v>1.8</v>
      </c>
      <c r="Q2033" s="9">
        <v>1814.01</v>
      </c>
      <c r="R2033" s="2" t="s">
        <v>16705</v>
      </c>
    </row>
    <row r="2034" spans="1:18" x14ac:dyDescent="0.25">
      <c r="A2034" s="2" t="s">
        <v>263</v>
      </c>
      <c r="B2034" s="6">
        <v>46174</v>
      </c>
      <c r="C2034" s="8">
        <v>46199</v>
      </c>
      <c r="D2034" s="2" t="s">
        <v>136</v>
      </c>
      <c r="E2034" s="2" t="s">
        <v>260</v>
      </c>
      <c r="F2034" s="2" t="s">
        <v>16703</v>
      </c>
      <c r="G2034" s="2" t="s">
        <v>265</v>
      </c>
      <c r="H2034" s="2" t="s">
        <v>76</v>
      </c>
      <c r="I2034" s="9">
        <v>31792320</v>
      </c>
      <c r="J2034" s="7">
        <v>6.2500000000000001E-5</v>
      </c>
      <c r="K2034" s="9">
        <v>1987.02</v>
      </c>
      <c r="L2034" s="14">
        <v>0</v>
      </c>
      <c r="M2034" s="2" t="s">
        <v>71</v>
      </c>
      <c r="N2034" s="2" t="s">
        <v>16704</v>
      </c>
      <c r="O2034" s="2" t="s">
        <v>264</v>
      </c>
      <c r="P2034" s="9">
        <v>1.8</v>
      </c>
      <c r="Q2034" s="9">
        <v>1987.02</v>
      </c>
      <c r="R2034" s="2" t="s">
        <v>16705</v>
      </c>
    </row>
    <row r="2035" spans="1:18" x14ac:dyDescent="0.25">
      <c r="A2035" s="2" t="s">
        <v>266</v>
      </c>
      <c r="B2035" s="6">
        <v>46174</v>
      </c>
      <c r="C2035" s="8">
        <v>46200</v>
      </c>
      <c r="D2035" s="2" t="s">
        <v>136</v>
      </c>
      <c r="E2035" s="2" t="s">
        <v>260</v>
      </c>
      <c r="F2035" s="2" t="s">
        <v>16703</v>
      </c>
      <c r="G2035" s="2" t="s">
        <v>268</v>
      </c>
      <c r="H2035" s="2" t="s">
        <v>70</v>
      </c>
      <c r="I2035" s="9">
        <v>3248.1654140000001</v>
      </c>
      <c r="J2035" s="7">
        <v>0.66500000000000004</v>
      </c>
      <c r="K2035" s="9">
        <v>2160.0300000000002</v>
      </c>
      <c r="L2035" s="14">
        <v>0</v>
      </c>
      <c r="M2035" s="2" t="s">
        <v>71</v>
      </c>
      <c r="N2035" s="2" t="s">
        <v>16704</v>
      </c>
      <c r="O2035" s="2" t="s">
        <v>267</v>
      </c>
      <c r="P2035" s="9">
        <v>1.8</v>
      </c>
      <c r="Q2035" s="9">
        <v>2160.0300000000002</v>
      </c>
      <c r="R2035" s="2" t="s">
        <v>16705</v>
      </c>
    </row>
    <row r="2036" spans="1:18" x14ac:dyDescent="0.25">
      <c r="A2036" s="2" t="s">
        <v>269</v>
      </c>
      <c r="B2036" s="6">
        <v>46174</v>
      </c>
      <c r="C2036" s="8">
        <v>46191</v>
      </c>
      <c r="D2036" s="2" t="s">
        <v>136</v>
      </c>
      <c r="E2036" s="2" t="s">
        <v>260</v>
      </c>
      <c r="F2036" s="2" t="s">
        <v>16703</v>
      </c>
      <c r="G2036" s="2" t="s">
        <v>271</v>
      </c>
      <c r="H2036" s="2" t="s">
        <v>39</v>
      </c>
      <c r="I2036" s="9">
        <v>933.21600000000001</v>
      </c>
      <c r="J2036" s="7">
        <v>1</v>
      </c>
      <c r="K2036" s="9">
        <v>933.22</v>
      </c>
      <c r="L2036" s="14">
        <v>0</v>
      </c>
      <c r="M2036" s="2" t="s">
        <v>71</v>
      </c>
      <c r="N2036" s="2" t="s">
        <v>16704</v>
      </c>
      <c r="O2036" s="2" t="s">
        <v>270</v>
      </c>
      <c r="P2036" s="9">
        <v>1.8</v>
      </c>
      <c r="Q2036" s="9">
        <v>933.22</v>
      </c>
      <c r="R2036" s="2" t="s">
        <v>16705</v>
      </c>
    </row>
    <row r="2037" spans="1:18" x14ac:dyDescent="0.25">
      <c r="A2037" s="2" t="s">
        <v>272</v>
      </c>
      <c r="B2037" s="6">
        <v>46204</v>
      </c>
      <c r="C2037" s="8">
        <v>46216</v>
      </c>
      <c r="D2037" s="2" t="s">
        <v>136</v>
      </c>
      <c r="E2037" s="2" t="s">
        <v>260</v>
      </c>
      <c r="F2037" s="2" t="s">
        <v>16703</v>
      </c>
      <c r="G2037" s="2" t="s">
        <v>273</v>
      </c>
      <c r="H2037" s="2" t="s">
        <v>39</v>
      </c>
      <c r="I2037" s="9">
        <v>1399.8240000000001</v>
      </c>
      <c r="J2037" s="7">
        <v>1</v>
      </c>
      <c r="K2037" s="9">
        <v>1399.82</v>
      </c>
      <c r="L2037" s="14">
        <v>0</v>
      </c>
      <c r="M2037" s="2" t="s">
        <v>71</v>
      </c>
      <c r="N2037" s="2" t="s">
        <v>16706</v>
      </c>
      <c r="O2037" s="2" t="s">
        <v>270</v>
      </c>
      <c r="P2037" s="9">
        <v>1.8</v>
      </c>
      <c r="Q2037" s="9">
        <v>1399.82</v>
      </c>
      <c r="R2037" s="2" t="s">
        <v>16707</v>
      </c>
    </row>
    <row r="2038" spans="1:18" x14ac:dyDescent="0.25">
      <c r="A2038" s="2" t="s">
        <v>274</v>
      </c>
      <c r="B2038" s="6">
        <v>46174</v>
      </c>
      <c r="C2038" s="8">
        <v>46192</v>
      </c>
      <c r="D2038" s="2" t="s">
        <v>136</v>
      </c>
      <c r="E2038" s="2" t="s">
        <v>260</v>
      </c>
      <c r="F2038" s="2" t="s">
        <v>16703</v>
      </c>
      <c r="G2038" s="2" t="s">
        <v>276</v>
      </c>
      <c r="H2038" s="2" t="s">
        <v>76</v>
      </c>
      <c r="I2038" s="9">
        <v>16038720</v>
      </c>
      <c r="J2038" s="7">
        <v>6.2500000000000001E-5</v>
      </c>
      <c r="K2038" s="9">
        <v>1002.42</v>
      </c>
      <c r="L2038" s="14">
        <v>0</v>
      </c>
      <c r="M2038" s="2" t="s">
        <v>71</v>
      </c>
      <c r="N2038" s="2" t="s">
        <v>16704</v>
      </c>
      <c r="O2038" s="2" t="s">
        <v>275</v>
      </c>
      <c r="P2038" s="9">
        <v>1.8</v>
      </c>
      <c r="Q2038" s="9">
        <v>1002.42</v>
      </c>
      <c r="R2038" s="2" t="s">
        <v>16705</v>
      </c>
    </row>
    <row r="2039" spans="1:18" x14ac:dyDescent="0.25">
      <c r="A2039" s="2" t="s">
        <v>277</v>
      </c>
      <c r="B2039" s="6">
        <v>46204</v>
      </c>
      <c r="C2039" s="8">
        <v>46217</v>
      </c>
      <c r="D2039" s="2" t="s">
        <v>136</v>
      </c>
      <c r="E2039" s="2" t="s">
        <v>260</v>
      </c>
      <c r="F2039" s="2" t="s">
        <v>16703</v>
      </c>
      <c r="G2039" s="2" t="s">
        <v>278</v>
      </c>
      <c r="H2039" s="2" t="s">
        <v>76</v>
      </c>
      <c r="I2039" s="9">
        <v>24058080</v>
      </c>
      <c r="J2039" s="7">
        <v>6.2000000000000003E-5</v>
      </c>
      <c r="K2039" s="9">
        <v>1491.6</v>
      </c>
      <c r="L2039" s="14">
        <v>0</v>
      </c>
      <c r="M2039" s="2" t="s">
        <v>71</v>
      </c>
      <c r="N2039" s="2" t="s">
        <v>16706</v>
      </c>
      <c r="O2039" s="2" t="s">
        <v>275</v>
      </c>
      <c r="P2039" s="9">
        <v>1.8</v>
      </c>
      <c r="Q2039" s="9">
        <v>1503.63</v>
      </c>
      <c r="R2039" s="2" t="s">
        <v>16707</v>
      </c>
    </row>
    <row r="2040" spans="1:18" x14ac:dyDescent="0.25">
      <c r="A2040" s="2" t="s">
        <v>279</v>
      </c>
      <c r="B2040" s="6">
        <v>46174</v>
      </c>
      <c r="C2040" s="8">
        <v>46203</v>
      </c>
      <c r="D2040" s="2" t="s">
        <v>136</v>
      </c>
      <c r="E2040" s="2" t="s">
        <v>260</v>
      </c>
      <c r="F2040" s="2" t="s">
        <v>16703</v>
      </c>
      <c r="G2040" s="2" t="s">
        <v>281</v>
      </c>
      <c r="H2040" s="2" t="s">
        <v>70</v>
      </c>
      <c r="I2040" s="9">
        <v>4028.661654</v>
      </c>
      <c r="J2040" s="7">
        <v>0.66500000000000004</v>
      </c>
      <c r="K2040" s="9">
        <v>2679.06</v>
      </c>
      <c r="L2040" s="14">
        <v>0</v>
      </c>
      <c r="M2040" s="2" t="s">
        <v>71</v>
      </c>
      <c r="N2040" s="2" t="s">
        <v>16704</v>
      </c>
      <c r="O2040" s="2" t="s">
        <v>280</v>
      </c>
      <c r="P2040" s="9">
        <v>1.8</v>
      </c>
      <c r="Q2040" s="9">
        <v>2679.06</v>
      </c>
      <c r="R2040" s="2" t="s">
        <v>16705</v>
      </c>
    </row>
    <row r="2041" spans="1:18" x14ac:dyDescent="0.25">
      <c r="A2041" s="2" t="s">
        <v>282</v>
      </c>
      <c r="B2041" s="6">
        <v>46204</v>
      </c>
      <c r="C2041" s="8">
        <v>46204</v>
      </c>
      <c r="D2041" s="2" t="s">
        <v>136</v>
      </c>
      <c r="E2041" s="2" t="s">
        <v>260</v>
      </c>
      <c r="F2041" s="2" t="s">
        <v>16703</v>
      </c>
      <c r="G2041" s="2" t="s">
        <v>284</v>
      </c>
      <c r="H2041" s="2" t="s">
        <v>39</v>
      </c>
      <c r="I2041" s="9">
        <v>2852.07</v>
      </c>
      <c r="J2041" s="7">
        <v>1</v>
      </c>
      <c r="K2041" s="9">
        <v>2852.07</v>
      </c>
      <c r="L2041" s="14">
        <v>0</v>
      </c>
      <c r="M2041" s="2" t="s">
        <v>71</v>
      </c>
      <c r="N2041" s="2" t="s">
        <v>16706</v>
      </c>
      <c r="O2041" s="2" t="s">
        <v>283</v>
      </c>
      <c r="P2041" s="9">
        <v>1.8</v>
      </c>
      <c r="Q2041" s="9">
        <v>2852.07</v>
      </c>
      <c r="R2041" s="2" t="s">
        <v>16707</v>
      </c>
    </row>
    <row r="2042" spans="1:18" x14ac:dyDescent="0.25">
      <c r="A2042" s="2" t="s">
        <v>285</v>
      </c>
      <c r="B2042" s="6">
        <v>46174</v>
      </c>
      <c r="C2042" s="8">
        <v>46195</v>
      </c>
      <c r="D2042" s="2" t="s">
        <v>136</v>
      </c>
      <c r="E2042" s="2" t="s">
        <v>260</v>
      </c>
      <c r="F2042" s="2" t="s">
        <v>16703</v>
      </c>
      <c r="G2042" s="2" t="s">
        <v>287</v>
      </c>
      <c r="H2042" s="2" t="s">
        <v>76</v>
      </c>
      <c r="I2042" s="9">
        <v>19360512</v>
      </c>
      <c r="J2042" s="7">
        <v>6.2500000000000001E-5</v>
      </c>
      <c r="K2042" s="9">
        <v>1210.03</v>
      </c>
      <c r="L2042" s="14">
        <v>0</v>
      </c>
      <c r="M2042" s="2" t="s">
        <v>71</v>
      </c>
      <c r="N2042" s="2" t="s">
        <v>16704</v>
      </c>
      <c r="O2042" s="2" t="s">
        <v>286</v>
      </c>
      <c r="P2042" s="9">
        <v>1.8</v>
      </c>
      <c r="Q2042" s="9">
        <v>1210.03</v>
      </c>
      <c r="R2042" s="2" t="s">
        <v>16705</v>
      </c>
    </row>
    <row r="2043" spans="1:18" x14ac:dyDescent="0.25">
      <c r="A2043" s="2" t="s">
        <v>288</v>
      </c>
      <c r="B2043" s="6">
        <v>46204</v>
      </c>
      <c r="C2043" s="8">
        <v>46220</v>
      </c>
      <c r="D2043" s="2" t="s">
        <v>136</v>
      </c>
      <c r="E2043" s="2" t="s">
        <v>260</v>
      </c>
      <c r="F2043" s="2" t="s">
        <v>16703</v>
      </c>
      <c r="G2043" s="2" t="s">
        <v>289</v>
      </c>
      <c r="H2043" s="2" t="s">
        <v>76</v>
      </c>
      <c r="I2043" s="9">
        <v>29040768</v>
      </c>
      <c r="J2043" s="7">
        <v>6.2000000000000003E-5</v>
      </c>
      <c r="K2043" s="9">
        <v>1800.53</v>
      </c>
      <c r="L2043" s="14">
        <v>0</v>
      </c>
      <c r="M2043" s="2" t="s">
        <v>71</v>
      </c>
      <c r="N2043" s="2" t="s">
        <v>16706</v>
      </c>
      <c r="O2043" s="2" t="s">
        <v>286</v>
      </c>
      <c r="P2043" s="9">
        <v>1.8</v>
      </c>
      <c r="Q2043" s="9">
        <v>1815.05</v>
      </c>
      <c r="R2043" s="2" t="s">
        <v>16707</v>
      </c>
    </row>
    <row r="2044" spans="1:18" x14ac:dyDescent="0.25">
      <c r="A2044" s="2" t="s">
        <v>290</v>
      </c>
      <c r="B2044" s="6">
        <v>46204</v>
      </c>
      <c r="C2044" s="8">
        <v>46206</v>
      </c>
      <c r="D2044" s="2" t="s">
        <v>136</v>
      </c>
      <c r="E2044" s="2" t="s">
        <v>260</v>
      </c>
      <c r="F2044" s="2" t="s">
        <v>16703</v>
      </c>
      <c r="G2044" s="2" t="s">
        <v>292</v>
      </c>
      <c r="H2044" s="2" t="s">
        <v>70</v>
      </c>
      <c r="I2044" s="9">
        <v>4809.1578950000003</v>
      </c>
      <c r="J2044" s="7">
        <v>0.65800000000000003</v>
      </c>
      <c r="K2044" s="9">
        <v>3164.43</v>
      </c>
      <c r="L2044" s="14">
        <v>0</v>
      </c>
      <c r="M2044" s="2" t="s">
        <v>71</v>
      </c>
      <c r="N2044" s="2" t="s">
        <v>16706</v>
      </c>
      <c r="O2044" s="2" t="s">
        <v>291</v>
      </c>
      <c r="P2044" s="9">
        <v>1.8</v>
      </c>
      <c r="Q2044" s="9">
        <v>3198.09</v>
      </c>
      <c r="R2044" s="2" t="s">
        <v>16707</v>
      </c>
    </row>
    <row r="2045" spans="1:18" x14ac:dyDescent="0.25">
      <c r="A2045" s="2" t="s">
        <v>293</v>
      </c>
      <c r="B2045" s="6">
        <v>46204</v>
      </c>
      <c r="C2045" s="8">
        <v>46207</v>
      </c>
      <c r="D2045" s="2" t="s">
        <v>136</v>
      </c>
      <c r="E2045" s="2" t="s">
        <v>260</v>
      </c>
      <c r="F2045" s="2" t="s">
        <v>16703</v>
      </c>
      <c r="G2045" s="2" t="s">
        <v>295</v>
      </c>
      <c r="H2045" s="2" t="s">
        <v>39</v>
      </c>
      <c r="I2045" s="9">
        <v>3371.1</v>
      </c>
      <c r="J2045" s="7">
        <v>1</v>
      </c>
      <c r="K2045" s="9">
        <v>3371.1</v>
      </c>
      <c r="L2045" s="14">
        <v>0</v>
      </c>
      <c r="M2045" s="2" t="s">
        <v>71</v>
      </c>
      <c r="N2045" s="2" t="s">
        <v>16706</v>
      </c>
      <c r="O2045" s="2" t="s">
        <v>294</v>
      </c>
      <c r="P2045" s="9">
        <v>1.85</v>
      </c>
      <c r="Q2045" s="9">
        <v>3371.1</v>
      </c>
      <c r="R2045" s="2" t="s">
        <v>16707</v>
      </c>
    </row>
    <row r="2046" spans="1:18" x14ac:dyDescent="0.25">
      <c r="A2046" s="2" t="s">
        <v>296</v>
      </c>
      <c r="B2046" s="6">
        <v>46204</v>
      </c>
      <c r="C2046" s="8">
        <v>46208</v>
      </c>
      <c r="D2046" s="2" t="s">
        <v>136</v>
      </c>
      <c r="E2046" s="2" t="s">
        <v>260</v>
      </c>
      <c r="F2046" s="2" t="s">
        <v>16703</v>
      </c>
      <c r="G2046" s="2" t="s">
        <v>298</v>
      </c>
      <c r="H2046" s="2" t="s">
        <v>76</v>
      </c>
      <c r="I2046" s="9">
        <v>56705760</v>
      </c>
      <c r="J2046" s="7">
        <v>6.2000000000000003E-5</v>
      </c>
      <c r="K2046" s="9">
        <v>3515.76</v>
      </c>
      <c r="L2046" s="14">
        <v>0</v>
      </c>
      <c r="M2046" s="2" t="s">
        <v>71</v>
      </c>
      <c r="N2046" s="2" t="s">
        <v>16706</v>
      </c>
      <c r="O2046" s="2" t="s">
        <v>297</v>
      </c>
      <c r="P2046" s="9">
        <v>1.93</v>
      </c>
      <c r="Q2046" s="9">
        <v>3544.11</v>
      </c>
      <c r="R2046" s="2" t="s">
        <v>16707</v>
      </c>
    </row>
    <row r="2047" spans="1:18" x14ac:dyDescent="0.25">
      <c r="A2047" s="2" t="s">
        <v>299</v>
      </c>
      <c r="B2047" s="6">
        <v>46204</v>
      </c>
      <c r="C2047" s="8">
        <v>46209</v>
      </c>
      <c r="D2047" s="2" t="s">
        <v>136</v>
      </c>
      <c r="E2047" s="2" t="s">
        <v>260</v>
      </c>
      <c r="F2047" s="2" t="s">
        <v>16703</v>
      </c>
      <c r="G2047" s="2" t="s">
        <v>301</v>
      </c>
      <c r="H2047" s="2" t="s">
        <v>70</v>
      </c>
      <c r="I2047" s="9">
        <v>5589.6541349999998</v>
      </c>
      <c r="J2047" s="7">
        <v>0.65800000000000003</v>
      </c>
      <c r="K2047" s="9">
        <v>3677.99</v>
      </c>
      <c r="L2047" s="14">
        <v>0</v>
      </c>
      <c r="M2047" s="2" t="s">
        <v>71</v>
      </c>
      <c r="N2047" s="2" t="s">
        <v>16706</v>
      </c>
      <c r="O2047" s="2" t="s">
        <v>300</v>
      </c>
      <c r="P2047" s="9">
        <v>2.02</v>
      </c>
      <c r="Q2047" s="9">
        <v>3717.12</v>
      </c>
      <c r="R2047" s="2" t="s">
        <v>16707</v>
      </c>
    </row>
    <row r="2048" spans="1:18" x14ac:dyDescent="0.25">
      <c r="A2048" s="2" t="s">
        <v>302</v>
      </c>
      <c r="B2048" s="6">
        <v>46204</v>
      </c>
      <c r="C2048" s="8">
        <v>46210</v>
      </c>
      <c r="D2048" s="2" t="s">
        <v>136</v>
      </c>
      <c r="E2048" s="2" t="s">
        <v>260</v>
      </c>
      <c r="F2048" s="2" t="s">
        <v>16703</v>
      </c>
      <c r="G2048" s="2" t="s">
        <v>304</v>
      </c>
      <c r="H2048" s="2" t="s">
        <v>39</v>
      </c>
      <c r="I2048" s="9">
        <v>3890.13</v>
      </c>
      <c r="J2048" s="7">
        <v>1</v>
      </c>
      <c r="K2048" s="9">
        <v>3890.13</v>
      </c>
      <c r="L2048" s="14">
        <v>0</v>
      </c>
      <c r="M2048" s="2" t="s">
        <v>71</v>
      </c>
      <c r="N2048" s="2" t="s">
        <v>16706</v>
      </c>
      <c r="O2048" s="2" t="s">
        <v>303</v>
      </c>
      <c r="P2048" s="9">
        <v>2.14</v>
      </c>
      <c r="Q2048" s="9">
        <v>3890.13</v>
      </c>
      <c r="R2048" s="2" t="s">
        <v>16707</v>
      </c>
    </row>
    <row r="2049" spans="1:18" x14ac:dyDescent="0.25">
      <c r="A2049" s="2" t="s">
        <v>305</v>
      </c>
      <c r="B2049" s="6">
        <v>46174</v>
      </c>
      <c r="C2049" s="8">
        <v>46201</v>
      </c>
      <c r="D2049" s="2" t="s">
        <v>136</v>
      </c>
      <c r="E2049" s="2" t="s">
        <v>260</v>
      </c>
      <c r="F2049" s="2" t="s">
        <v>16703</v>
      </c>
      <c r="G2049" s="2" t="s">
        <v>307</v>
      </c>
      <c r="H2049" s="2" t="s">
        <v>76</v>
      </c>
      <c r="I2049" s="9">
        <v>26004096</v>
      </c>
      <c r="J2049" s="7">
        <v>6.2500000000000001E-5</v>
      </c>
      <c r="K2049" s="9">
        <v>1625.26</v>
      </c>
      <c r="L2049" s="14">
        <v>0</v>
      </c>
      <c r="M2049" s="2" t="s">
        <v>71</v>
      </c>
      <c r="N2049" s="2" t="s">
        <v>16704</v>
      </c>
      <c r="O2049" s="2" t="s">
        <v>306</v>
      </c>
      <c r="P2049" s="9">
        <v>1.8</v>
      </c>
      <c r="Q2049" s="9">
        <v>1625.26</v>
      </c>
      <c r="R2049" s="2" t="s">
        <v>16705</v>
      </c>
    </row>
    <row r="2050" spans="1:18" x14ac:dyDescent="0.25">
      <c r="A2050" s="2" t="s">
        <v>308</v>
      </c>
      <c r="B2050" s="6">
        <v>46204</v>
      </c>
      <c r="C2050" s="8">
        <v>46226</v>
      </c>
      <c r="D2050" s="2" t="s">
        <v>136</v>
      </c>
      <c r="E2050" s="2" t="s">
        <v>260</v>
      </c>
      <c r="F2050" s="2" t="s">
        <v>16703</v>
      </c>
      <c r="G2050" s="2" t="s">
        <v>309</v>
      </c>
      <c r="H2050" s="2" t="s">
        <v>76</v>
      </c>
      <c r="I2050" s="9">
        <v>39006144</v>
      </c>
      <c r="J2050" s="7">
        <v>6.2000000000000003E-5</v>
      </c>
      <c r="K2050" s="9">
        <v>2418.38</v>
      </c>
      <c r="L2050" s="14">
        <v>0</v>
      </c>
      <c r="M2050" s="2" t="s">
        <v>71</v>
      </c>
      <c r="N2050" s="2" t="s">
        <v>16706</v>
      </c>
      <c r="O2050" s="2" t="s">
        <v>306</v>
      </c>
      <c r="P2050" s="9">
        <v>1.8</v>
      </c>
      <c r="Q2050" s="9">
        <v>2437.88</v>
      </c>
      <c r="R2050" s="2" t="s">
        <v>16707</v>
      </c>
    </row>
    <row r="2051" spans="1:18" x14ac:dyDescent="0.25">
      <c r="A2051" s="2" t="s">
        <v>310</v>
      </c>
      <c r="B2051" s="6">
        <v>46174</v>
      </c>
      <c r="C2051" s="8">
        <v>46202</v>
      </c>
      <c r="D2051" s="2" t="s">
        <v>136</v>
      </c>
      <c r="E2051" s="2" t="s">
        <v>260</v>
      </c>
      <c r="F2051" s="2" t="s">
        <v>16703</v>
      </c>
      <c r="G2051" s="2" t="s">
        <v>312</v>
      </c>
      <c r="H2051" s="2" t="s">
        <v>70</v>
      </c>
      <c r="I2051" s="9">
        <v>2548.0601499999998</v>
      </c>
      <c r="J2051" s="7">
        <v>0.66500000000000004</v>
      </c>
      <c r="K2051" s="9">
        <v>1694.46</v>
      </c>
      <c r="L2051" s="14">
        <v>0</v>
      </c>
      <c r="M2051" s="2" t="s">
        <v>71</v>
      </c>
      <c r="N2051" s="2" t="s">
        <v>16704</v>
      </c>
      <c r="O2051" s="2" t="s">
        <v>311</v>
      </c>
      <c r="P2051" s="9">
        <v>1.8</v>
      </c>
      <c r="Q2051" s="9">
        <v>1694.46</v>
      </c>
      <c r="R2051" s="2" t="s">
        <v>16705</v>
      </c>
    </row>
    <row r="2052" spans="1:18" x14ac:dyDescent="0.25">
      <c r="A2052" s="2" t="s">
        <v>313</v>
      </c>
      <c r="B2052" s="6">
        <v>46204</v>
      </c>
      <c r="C2052" s="8">
        <v>46227</v>
      </c>
      <c r="D2052" s="2" t="s">
        <v>136</v>
      </c>
      <c r="E2052" s="2" t="s">
        <v>260</v>
      </c>
      <c r="F2052" s="2" t="s">
        <v>16703</v>
      </c>
      <c r="G2052" s="2" t="s">
        <v>314</v>
      </c>
      <c r="H2052" s="2" t="s">
        <v>70</v>
      </c>
      <c r="I2052" s="9">
        <v>3822.0902259999998</v>
      </c>
      <c r="J2052" s="7">
        <v>0.65800000000000003</v>
      </c>
      <c r="K2052" s="9">
        <v>2514.94</v>
      </c>
      <c r="L2052" s="14">
        <v>0</v>
      </c>
      <c r="M2052" s="2" t="s">
        <v>71</v>
      </c>
      <c r="N2052" s="2" t="s">
        <v>16706</v>
      </c>
      <c r="O2052" s="2" t="s">
        <v>311</v>
      </c>
      <c r="P2052" s="9">
        <v>1.8</v>
      </c>
      <c r="Q2052" s="9">
        <v>2541.69</v>
      </c>
      <c r="R2052" s="2" t="s">
        <v>16707</v>
      </c>
    </row>
    <row r="2053" spans="1:18" x14ac:dyDescent="0.25">
      <c r="A2053" s="2" t="s">
        <v>315</v>
      </c>
      <c r="B2053" s="6">
        <v>46204</v>
      </c>
      <c r="C2053" s="8">
        <v>46213</v>
      </c>
      <c r="D2053" s="2" t="s">
        <v>136</v>
      </c>
      <c r="E2053" s="2" t="s">
        <v>260</v>
      </c>
      <c r="F2053" s="2" t="s">
        <v>16703</v>
      </c>
      <c r="G2053" s="2" t="s">
        <v>317</v>
      </c>
      <c r="H2053" s="2" t="s">
        <v>39</v>
      </c>
      <c r="I2053" s="9">
        <v>4409.16</v>
      </c>
      <c r="J2053" s="7">
        <v>1</v>
      </c>
      <c r="K2053" s="9">
        <v>4409.16</v>
      </c>
      <c r="L2053" s="14">
        <v>0</v>
      </c>
      <c r="M2053" s="2" t="s">
        <v>71</v>
      </c>
      <c r="N2053" s="2" t="s">
        <v>16706</v>
      </c>
      <c r="O2053" s="2" t="s">
        <v>316</v>
      </c>
      <c r="P2053" s="9">
        <v>2.4300000000000002</v>
      </c>
      <c r="Q2053" s="9">
        <v>4409.16</v>
      </c>
      <c r="R2053" s="2" t="s">
        <v>16707</v>
      </c>
    </row>
    <row r="2054" spans="1:18" x14ac:dyDescent="0.25">
      <c r="A2054" s="2" t="s">
        <v>318</v>
      </c>
      <c r="B2054" s="6">
        <v>46204</v>
      </c>
      <c r="C2054" s="8">
        <v>46214</v>
      </c>
      <c r="D2054" s="2" t="s">
        <v>136</v>
      </c>
      <c r="E2054" s="2" t="s">
        <v>260</v>
      </c>
      <c r="F2054" s="2" t="s">
        <v>16703</v>
      </c>
      <c r="G2054" s="2" t="s">
        <v>320</v>
      </c>
      <c r="H2054" s="2" t="s">
        <v>76</v>
      </c>
      <c r="I2054" s="9">
        <v>73314720</v>
      </c>
      <c r="J2054" s="7">
        <v>6.2000000000000003E-5</v>
      </c>
      <c r="K2054" s="9">
        <v>4545.51</v>
      </c>
      <c r="L2054" s="14">
        <v>0</v>
      </c>
      <c r="M2054" s="2" t="s">
        <v>71</v>
      </c>
      <c r="N2054" s="2" t="s">
        <v>16706</v>
      </c>
      <c r="O2054" s="2" t="s">
        <v>319</v>
      </c>
      <c r="P2054" s="9">
        <v>2.5</v>
      </c>
      <c r="Q2054" s="9">
        <v>4582.17</v>
      </c>
      <c r="R2054" s="2" t="s">
        <v>16707</v>
      </c>
    </row>
    <row r="2055" spans="1:18" x14ac:dyDescent="0.25">
      <c r="A2055" s="2" t="s">
        <v>321</v>
      </c>
      <c r="B2055" s="6">
        <v>46204</v>
      </c>
      <c r="C2055" s="8">
        <v>46205</v>
      </c>
      <c r="D2055" s="2" t="s">
        <v>136</v>
      </c>
      <c r="E2055" s="2" t="s">
        <v>260</v>
      </c>
      <c r="F2055" s="2" t="s">
        <v>16703</v>
      </c>
      <c r="G2055" s="2" t="s">
        <v>323</v>
      </c>
      <c r="H2055" s="2" t="s">
        <v>70</v>
      </c>
      <c r="I2055" s="9">
        <v>2860.2586470000001</v>
      </c>
      <c r="J2055" s="7">
        <v>0.65800000000000003</v>
      </c>
      <c r="K2055" s="9">
        <v>1882.05</v>
      </c>
      <c r="L2055" s="14">
        <v>0</v>
      </c>
      <c r="M2055" s="2" t="s">
        <v>71</v>
      </c>
      <c r="N2055" s="2" t="s">
        <v>16706</v>
      </c>
      <c r="O2055" s="2" t="s">
        <v>322</v>
      </c>
      <c r="P2055" s="9">
        <v>1.8</v>
      </c>
      <c r="Q2055" s="9">
        <v>1902.07</v>
      </c>
      <c r="R2055" s="2" t="s">
        <v>16707</v>
      </c>
    </row>
    <row r="2056" spans="1:18" x14ac:dyDescent="0.25">
      <c r="A2056" s="2" t="s">
        <v>324</v>
      </c>
      <c r="B2056" s="6">
        <v>46204</v>
      </c>
      <c r="C2056" s="8">
        <v>46230</v>
      </c>
      <c r="D2056" s="2" t="s">
        <v>136</v>
      </c>
      <c r="E2056" s="2" t="s">
        <v>260</v>
      </c>
      <c r="F2056" s="2" t="s">
        <v>16703</v>
      </c>
      <c r="G2056" s="2" t="s">
        <v>325</v>
      </c>
      <c r="H2056" s="2" t="s">
        <v>70</v>
      </c>
      <c r="I2056" s="9">
        <v>4290.3879699999998</v>
      </c>
      <c r="J2056" s="7">
        <v>0.65800000000000003</v>
      </c>
      <c r="K2056" s="9">
        <v>2823.08</v>
      </c>
      <c r="L2056" s="14">
        <v>0</v>
      </c>
      <c r="M2056" s="2" t="s">
        <v>71</v>
      </c>
      <c r="N2056" s="2" t="s">
        <v>16706</v>
      </c>
      <c r="O2056" s="2" t="s">
        <v>322</v>
      </c>
      <c r="P2056" s="9">
        <v>1.8</v>
      </c>
      <c r="Q2056" s="9">
        <v>2853.11</v>
      </c>
      <c r="R2056" s="2" t="s">
        <v>16707</v>
      </c>
    </row>
    <row r="2057" spans="1:18" x14ac:dyDescent="0.25">
      <c r="A2057" s="2" t="s">
        <v>326</v>
      </c>
      <c r="B2057" s="6">
        <v>46204</v>
      </c>
      <c r="C2057" s="8">
        <v>46216</v>
      </c>
      <c r="D2057" s="2" t="s">
        <v>136</v>
      </c>
      <c r="E2057" s="2" t="s">
        <v>260</v>
      </c>
      <c r="F2057" s="2" t="s">
        <v>16703</v>
      </c>
      <c r="G2057" s="2" t="s">
        <v>328</v>
      </c>
      <c r="H2057" s="2" t="s">
        <v>39</v>
      </c>
      <c r="I2057" s="9">
        <v>4928.1899999999996</v>
      </c>
      <c r="J2057" s="7">
        <v>1</v>
      </c>
      <c r="K2057" s="9">
        <v>4928.1899999999996</v>
      </c>
      <c r="L2057" s="14">
        <v>0</v>
      </c>
      <c r="M2057" s="2" t="s">
        <v>71</v>
      </c>
      <c r="N2057" s="2" t="s">
        <v>16706</v>
      </c>
      <c r="O2057" s="2" t="s">
        <v>327</v>
      </c>
      <c r="P2057" s="9">
        <v>2.71</v>
      </c>
      <c r="Q2057" s="9">
        <v>4928.1899999999996</v>
      </c>
      <c r="R2057" s="2" t="s">
        <v>16707</v>
      </c>
    </row>
    <row r="2058" spans="1:18" x14ac:dyDescent="0.25">
      <c r="A2058" s="2" t="s">
        <v>329</v>
      </c>
      <c r="B2058" s="6">
        <v>46204</v>
      </c>
      <c r="C2058" s="8">
        <v>46217</v>
      </c>
      <c r="D2058" s="2" t="s">
        <v>136</v>
      </c>
      <c r="E2058" s="2" t="s">
        <v>260</v>
      </c>
      <c r="F2058" s="2" t="s">
        <v>16703</v>
      </c>
      <c r="G2058" s="2" t="s">
        <v>331</v>
      </c>
      <c r="H2058" s="2" t="s">
        <v>76</v>
      </c>
      <c r="I2058" s="9">
        <v>81619200</v>
      </c>
      <c r="J2058" s="7">
        <v>6.2000000000000003E-5</v>
      </c>
      <c r="K2058" s="9">
        <v>5060.3900000000003</v>
      </c>
      <c r="L2058" s="14">
        <v>0</v>
      </c>
      <c r="M2058" s="2" t="s">
        <v>71</v>
      </c>
      <c r="N2058" s="2" t="s">
        <v>16706</v>
      </c>
      <c r="O2058" s="2" t="s">
        <v>330</v>
      </c>
      <c r="P2058" s="9">
        <v>2.78</v>
      </c>
      <c r="Q2058" s="9">
        <v>5101.2</v>
      </c>
      <c r="R2058" s="2" t="s">
        <v>16707</v>
      </c>
    </row>
    <row r="2059" spans="1:18" x14ac:dyDescent="0.25">
      <c r="A2059" s="2" t="s">
        <v>332</v>
      </c>
      <c r="B2059" s="6">
        <v>46204</v>
      </c>
      <c r="C2059" s="8">
        <v>46218</v>
      </c>
      <c r="D2059" s="2" t="s">
        <v>136</v>
      </c>
      <c r="E2059" s="2" t="s">
        <v>260</v>
      </c>
      <c r="F2059" s="2" t="s">
        <v>16703</v>
      </c>
      <c r="G2059" s="2" t="s">
        <v>334</v>
      </c>
      <c r="H2059" s="2" t="s">
        <v>70</v>
      </c>
      <c r="I2059" s="9">
        <v>7931.1428569999998</v>
      </c>
      <c r="J2059" s="7">
        <v>0.65800000000000003</v>
      </c>
      <c r="K2059" s="9">
        <v>5218.6899999999996</v>
      </c>
      <c r="L2059" s="14">
        <v>0</v>
      </c>
      <c r="M2059" s="2" t="s">
        <v>71</v>
      </c>
      <c r="N2059" s="2" t="s">
        <v>16706</v>
      </c>
      <c r="O2059" s="2" t="s">
        <v>333</v>
      </c>
      <c r="P2059" s="9">
        <v>2.87</v>
      </c>
      <c r="Q2059" s="9">
        <v>5274.21</v>
      </c>
      <c r="R2059" s="2" t="s">
        <v>16707</v>
      </c>
    </row>
    <row r="2060" spans="1:18" x14ac:dyDescent="0.25">
      <c r="A2060" s="2" t="s">
        <v>335</v>
      </c>
      <c r="B2060" s="6">
        <v>46204</v>
      </c>
      <c r="C2060" s="8">
        <v>46219</v>
      </c>
      <c r="D2060" s="2" t="s">
        <v>136</v>
      </c>
      <c r="E2060" s="2" t="s">
        <v>260</v>
      </c>
      <c r="F2060" s="2" t="s">
        <v>16703</v>
      </c>
      <c r="G2060" s="2" t="s">
        <v>337</v>
      </c>
      <c r="H2060" s="2" t="s">
        <v>39</v>
      </c>
      <c r="I2060" s="9">
        <v>5447.22</v>
      </c>
      <c r="J2060" s="7">
        <v>1</v>
      </c>
      <c r="K2060" s="9">
        <v>5447.22</v>
      </c>
      <c r="L2060" s="14">
        <v>0</v>
      </c>
      <c r="M2060" s="2" t="s">
        <v>71</v>
      </c>
      <c r="N2060" s="2" t="s">
        <v>16706</v>
      </c>
      <c r="O2060" s="2" t="s">
        <v>336</v>
      </c>
      <c r="P2060" s="9">
        <v>3</v>
      </c>
      <c r="Q2060" s="9">
        <v>5447.22</v>
      </c>
      <c r="R2060" s="2" t="s">
        <v>16707</v>
      </c>
    </row>
    <row r="2061" spans="1:18" x14ac:dyDescent="0.25">
      <c r="A2061" s="2" t="s">
        <v>338</v>
      </c>
      <c r="B2061" s="6">
        <v>46204</v>
      </c>
      <c r="C2061" s="8">
        <v>46220</v>
      </c>
      <c r="D2061" s="2" t="s">
        <v>136</v>
      </c>
      <c r="E2061" s="2" t="s">
        <v>260</v>
      </c>
      <c r="F2061" s="2" t="s">
        <v>16703</v>
      </c>
      <c r="G2061" s="2" t="s">
        <v>340</v>
      </c>
      <c r="H2061" s="2" t="s">
        <v>76</v>
      </c>
      <c r="I2061" s="9">
        <v>89923680</v>
      </c>
      <c r="J2061" s="7">
        <v>6.2000000000000003E-5</v>
      </c>
      <c r="K2061" s="9">
        <v>5575.27</v>
      </c>
      <c r="L2061" s="14">
        <v>0</v>
      </c>
      <c r="M2061" s="2" t="s">
        <v>71</v>
      </c>
      <c r="N2061" s="2" t="s">
        <v>16706</v>
      </c>
      <c r="O2061" s="2" t="s">
        <v>339</v>
      </c>
      <c r="P2061" s="9">
        <v>3.07</v>
      </c>
      <c r="Q2061" s="9">
        <v>5620.23</v>
      </c>
      <c r="R2061" s="2" t="s">
        <v>16707</v>
      </c>
    </row>
    <row r="2062" spans="1:18" x14ac:dyDescent="0.25">
      <c r="A2062" s="2" t="s">
        <v>341</v>
      </c>
      <c r="B2062" s="6">
        <v>46204</v>
      </c>
      <c r="C2062" s="8">
        <v>46211</v>
      </c>
      <c r="D2062" s="2" t="s">
        <v>136</v>
      </c>
      <c r="E2062" s="2" t="s">
        <v>260</v>
      </c>
      <c r="F2062" s="2" t="s">
        <v>16703</v>
      </c>
      <c r="G2062" s="2" t="s">
        <v>343</v>
      </c>
      <c r="H2062" s="2" t="s">
        <v>70</v>
      </c>
      <c r="I2062" s="9">
        <v>3484.6556390000001</v>
      </c>
      <c r="J2062" s="7">
        <v>0.65800000000000003</v>
      </c>
      <c r="K2062" s="9">
        <v>2292.9</v>
      </c>
      <c r="L2062" s="14">
        <v>0</v>
      </c>
      <c r="M2062" s="2" t="s">
        <v>71</v>
      </c>
      <c r="N2062" s="2" t="s">
        <v>16706</v>
      </c>
      <c r="O2062" s="2" t="s">
        <v>342</v>
      </c>
      <c r="P2062" s="9">
        <v>1.8</v>
      </c>
      <c r="Q2062" s="9">
        <v>2317.3000000000002</v>
      </c>
      <c r="R2062" s="2" t="s">
        <v>16707</v>
      </c>
    </row>
    <row r="2063" spans="1:18" x14ac:dyDescent="0.25">
      <c r="A2063" s="2" t="s">
        <v>346</v>
      </c>
      <c r="B2063" s="6">
        <v>46204</v>
      </c>
      <c r="C2063" s="8">
        <v>46212</v>
      </c>
      <c r="D2063" s="2" t="s">
        <v>136</v>
      </c>
      <c r="E2063" s="2" t="s">
        <v>260</v>
      </c>
      <c r="F2063" s="2" t="s">
        <v>16703</v>
      </c>
      <c r="G2063" s="2" t="s">
        <v>348</v>
      </c>
      <c r="H2063" s="2" t="s">
        <v>39</v>
      </c>
      <c r="I2063" s="9">
        <v>2386.5</v>
      </c>
      <c r="J2063" s="7">
        <v>1</v>
      </c>
      <c r="K2063" s="9">
        <v>2386.5</v>
      </c>
      <c r="L2063" s="14">
        <v>0</v>
      </c>
      <c r="M2063" s="2" t="s">
        <v>71</v>
      </c>
      <c r="N2063" s="2" t="s">
        <v>16706</v>
      </c>
      <c r="O2063" s="2" t="s">
        <v>347</v>
      </c>
      <c r="P2063" s="9">
        <v>1.8</v>
      </c>
      <c r="Q2063" s="9">
        <v>2386.5</v>
      </c>
      <c r="R2063" s="2" t="s">
        <v>16707</v>
      </c>
    </row>
    <row r="2064" spans="1:18" x14ac:dyDescent="0.25">
      <c r="A2064" s="2" t="s">
        <v>351</v>
      </c>
      <c r="B2064" s="6">
        <v>46204</v>
      </c>
      <c r="C2064" s="8">
        <v>46223</v>
      </c>
      <c r="D2064" s="2" t="s">
        <v>136</v>
      </c>
      <c r="E2064" s="2" t="s">
        <v>260</v>
      </c>
      <c r="F2064" s="2" t="s">
        <v>16703</v>
      </c>
      <c r="G2064" s="2" t="s">
        <v>353</v>
      </c>
      <c r="H2064" s="2" t="s">
        <v>76</v>
      </c>
      <c r="I2064" s="9">
        <v>98228160</v>
      </c>
      <c r="J2064" s="7">
        <v>6.2000000000000003E-5</v>
      </c>
      <c r="K2064" s="9">
        <v>6090.15</v>
      </c>
      <c r="L2064" s="14">
        <v>0</v>
      </c>
      <c r="M2064" s="2" t="s">
        <v>71</v>
      </c>
      <c r="N2064" s="2" t="s">
        <v>16706</v>
      </c>
      <c r="O2064" s="2" t="s">
        <v>352</v>
      </c>
      <c r="P2064" s="9">
        <v>3.35</v>
      </c>
      <c r="Q2064" s="9">
        <v>6139.26</v>
      </c>
      <c r="R2064" s="2" t="s">
        <v>16707</v>
      </c>
    </row>
    <row r="2065" spans="1:18" x14ac:dyDescent="0.25">
      <c r="A2065" s="2" t="s">
        <v>354</v>
      </c>
      <c r="B2065" s="6">
        <v>46204</v>
      </c>
      <c r="C2065" s="8">
        <v>46224</v>
      </c>
      <c r="D2065" s="2" t="s">
        <v>136</v>
      </c>
      <c r="E2065" s="2" t="s">
        <v>260</v>
      </c>
      <c r="F2065" s="2" t="s">
        <v>16703</v>
      </c>
      <c r="G2065" s="2" t="s">
        <v>356</v>
      </c>
      <c r="H2065" s="2" t="s">
        <v>70</v>
      </c>
      <c r="I2065" s="9">
        <v>9492.135338</v>
      </c>
      <c r="J2065" s="7">
        <v>0.65800000000000003</v>
      </c>
      <c r="K2065" s="9">
        <v>6245.83</v>
      </c>
      <c r="L2065" s="14">
        <v>0</v>
      </c>
      <c r="M2065" s="2" t="s">
        <v>71</v>
      </c>
      <c r="N2065" s="2" t="s">
        <v>16706</v>
      </c>
      <c r="O2065" s="2" t="s">
        <v>355</v>
      </c>
      <c r="P2065" s="9">
        <v>3.44</v>
      </c>
      <c r="Q2065" s="9">
        <v>6312.27</v>
      </c>
      <c r="R2065" s="2" t="s">
        <v>16707</v>
      </c>
    </row>
    <row r="2066" spans="1:18" x14ac:dyDescent="0.25">
      <c r="A2066" s="2" t="s">
        <v>357</v>
      </c>
      <c r="B2066" s="6">
        <v>46204</v>
      </c>
      <c r="C2066" s="8">
        <v>46215</v>
      </c>
      <c r="D2066" s="2" t="s">
        <v>136</v>
      </c>
      <c r="E2066" s="2" t="s">
        <v>260</v>
      </c>
      <c r="F2066" s="2" t="s">
        <v>16703</v>
      </c>
      <c r="G2066" s="2" t="s">
        <v>359</v>
      </c>
      <c r="H2066" s="2" t="s">
        <v>39</v>
      </c>
      <c r="I2066" s="9">
        <v>2594.1120000000001</v>
      </c>
      <c r="J2066" s="7">
        <v>1</v>
      </c>
      <c r="K2066" s="9">
        <v>2594.11</v>
      </c>
      <c r="L2066" s="14">
        <v>0</v>
      </c>
      <c r="M2066" s="2" t="s">
        <v>71</v>
      </c>
      <c r="N2066" s="2" t="s">
        <v>16706</v>
      </c>
      <c r="O2066" s="2" t="s">
        <v>358</v>
      </c>
      <c r="P2066" s="9">
        <v>1.8</v>
      </c>
      <c r="Q2066" s="9">
        <v>2594.11</v>
      </c>
      <c r="R2066" s="2" t="s">
        <v>16707</v>
      </c>
    </row>
    <row r="2067" spans="1:18" x14ac:dyDescent="0.25">
      <c r="A2067" s="2" t="s">
        <v>362</v>
      </c>
      <c r="B2067" s="6">
        <v>46204</v>
      </c>
      <c r="C2067" s="8">
        <v>46226</v>
      </c>
      <c r="D2067" s="2" t="s">
        <v>136</v>
      </c>
      <c r="E2067" s="2" t="s">
        <v>260</v>
      </c>
      <c r="F2067" s="2" t="s">
        <v>16703</v>
      </c>
      <c r="G2067" s="2" t="s">
        <v>364</v>
      </c>
      <c r="H2067" s="2" t="s">
        <v>76</v>
      </c>
      <c r="I2067" s="9">
        <v>106532640</v>
      </c>
      <c r="J2067" s="7">
        <v>6.2000000000000003E-5</v>
      </c>
      <c r="K2067" s="9">
        <v>6605.02</v>
      </c>
      <c r="L2067" s="14">
        <v>0</v>
      </c>
      <c r="M2067" s="2" t="s">
        <v>71</v>
      </c>
      <c r="N2067" s="2" t="s">
        <v>16706</v>
      </c>
      <c r="O2067" s="2" t="s">
        <v>363</v>
      </c>
      <c r="P2067" s="9">
        <v>3.63</v>
      </c>
      <c r="Q2067" s="9">
        <v>6658.29</v>
      </c>
      <c r="R2067" s="2" t="s">
        <v>16707</v>
      </c>
    </row>
    <row r="2068" spans="1:18" x14ac:dyDescent="0.25">
      <c r="A2068" s="2" t="s">
        <v>365</v>
      </c>
      <c r="B2068" s="6">
        <v>46204</v>
      </c>
      <c r="C2068" s="8">
        <v>46227</v>
      </c>
      <c r="D2068" s="2" t="s">
        <v>136</v>
      </c>
      <c r="E2068" s="2" t="s">
        <v>260</v>
      </c>
      <c r="F2068" s="2" t="s">
        <v>16703</v>
      </c>
      <c r="G2068" s="2" t="s">
        <v>367</v>
      </c>
      <c r="H2068" s="2" t="s">
        <v>70</v>
      </c>
      <c r="I2068" s="9">
        <v>10272.631579000001</v>
      </c>
      <c r="J2068" s="7">
        <v>0.65800000000000003</v>
      </c>
      <c r="K2068" s="9">
        <v>6759.39</v>
      </c>
      <c r="L2068" s="14">
        <v>0</v>
      </c>
      <c r="M2068" s="2" t="s">
        <v>71</v>
      </c>
      <c r="N2068" s="2" t="s">
        <v>16706</v>
      </c>
      <c r="O2068" s="2" t="s">
        <v>366</v>
      </c>
      <c r="P2068" s="9">
        <v>3.72</v>
      </c>
      <c r="Q2068" s="9">
        <v>6831.3</v>
      </c>
      <c r="R2068" s="2" t="s">
        <v>16707</v>
      </c>
    </row>
    <row r="2069" spans="1:18" x14ac:dyDescent="0.25">
      <c r="A2069" s="2" t="s">
        <v>368</v>
      </c>
      <c r="B2069" s="6">
        <v>46174</v>
      </c>
      <c r="C2069" s="8">
        <v>46198</v>
      </c>
      <c r="D2069" s="2" t="s">
        <v>136</v>
      </c>
      <c r="E2069" s="2" t="s">
        <v>260</v>
      </c>
      <c r="F2069" s="2" t="s">
        <v>16703</v>
      </c>
      <c r="G2069" s="2" t="s">
        <v>370</v>
      </c>
      <c r="H2069" s="2" t="s">
        <v>39</v>
      </c>
      <c r="I2069" s="9">
        <v>7004.31</v>
      </c>
      <c r="J2069" s="7">
        <v>1</v>
      </c>
      <c r="K2069" s="9">
        <v>7004.31</v>
      </c>
      <c r="L2069" s="14">
        <v>0</v>
      </c>
      <c r="M2069" s="2" t="s">
        <v>71</v>
      </c>
      <c r="N2069" s="2" t="s">
        <v>16704</v>
      </c>
      <c r="O2069" s="2" t="s">
        <v>369</v>
      </c>
      <c r="P2069" s="9">
        <v>3.85</v>
      </c>
      <c r="Q2069" s="9">
        <v>7004.31</v>
      </c>
      <c r="R2069" s="2" t="s">
        <v>16705</v>
      </c>
    </row>
    <row r="2070" spans="1:18" x14ac:dyDescent="0.25">
      <c r="A2070" s="2" t="s">
        <v>371</v>
      </c>
      <c r="B2070" s="6">
        <v>46174</v>
      </c>
      <c r="C2070" s="8">
        <v>46199</v>
      </c>
      <c r="D2070" s="2" t="s">
        <v>136</v>
      </c>
      <c r="E2070" s="2" t="s">
        <v>260</v>
      </c>
      <c r="F2070" s="2" t="s">
        <v>16703</v>
      </c>
      <c r="G2070" s="2" t="s">
        <v>373</v>
      </c>
      <c r="H2070" s="2" t="s">
        <v>76</v>
      </c>
      <c r="I2070" s="9">
        <v>114837120</v>
      </c>
      <c r="J2070" s="7">
        <v>6.2500000000000001E-5</v>
      </c>
      <c r="K2070" s="9">
        <v>7177.32</v>
      </c>
      <c r="L2070" s="14">
        <v>0</v>
      </c>
      <c r="M2070" s="2" t="s">
        <v>71</v>
      </c>
      <c r="N2070" s="2" t="s">
        <v>16704</v>
      </c>
      <c r="O2070" s="2" t="s">
        <v>372</v>
      </c>
      <c r="P2070" s="9">
        <v>3.95</v>
      </c>
      <c r="Q2070" s="9">
        <v>7177.32</v>
      </c>
      <c r="R2070" s="2" t="s">
        <v>16705</v>
      </c>
    </row>
    <row r="2071" spans="1:18" x14ac:dyDescent="0.25">
      <c r="A2071" s="2" t="s">
        <v>374</v>
      </c>
      <c r="B2071" s="6">
        <v>46174</v>
      </c>
      <c r="C2071" s="8">
        <v>46200</v>
      </c>
      <c r="D2071" s="2" t="s">
        <v>136</v>
      </c>
      <c r="E2071" s="2" t="s">
        <v>260</v>
      </c>
      <c r="F2071" s="2" t="s">
        <v>16703</v>
      </c>
      <c r="G2071" s="2" t="s">
        <v>376</v>
      </c>
      <c r="H2071" s="2" t="s">
        <v>70</v>
      </c>
      <c r="I2071" s="9">
        <v>11053.12782</v>
      </c>
      <c r="J2071" s="7">
        <v>0.66500000000000004</v>
      </c>
      <c r="K2071" s="9">
        <v>7350.33</v>
      </c>
      <c r="L2071" s="14">
        <v>0</v>
      </c>
      <c r="M2071" s="2" t="s">
        <v>71</v>
      </c>
      <c r="N2071" s="2" t="s">
        <v>16704</v>
      </c>
      <c r="O2071" s="2" t="s">
        <v>375</v>
      </c>
      <c r="P2071" s="9">
        <v>4.04</v>
      </c>
      <c r="Q2071" s="9">
        <v>7350.33</v>
      </c>
      <c r="R2071" s="2" t="s">
        <v>16705</v>
      </c>
    </row>
    <row r="2072" spans="1:18" x14ac:dyDescent="0.25">
      <c r="A2072" s="2" t="s">
        <v>377</v>
      </c>
      <c r="B2072" s="6">
        <v>46174</v>
      </c>
      <c r="C2072" s="8">
        <v>46191</v>
      </c>
      <c r="D2072" s="2" t="s">
        <v>136</v>
      </c>
      <c r="E2072" s="2" t="s">
        <v>260</v>
      </c>
      <c r="F2072" s="2" t="s">
        <v>16703</v>
      </c>
      <c r="G2072" s="2" t="s">
        <v>379</v>
      </c>
      <c r="H2072" s="2" t="s">
        <v>39</v>
      </c>
      <c r="I2072" s="9">
        <v>3009.3359999999998</v>
      </c>
      <c r="J2072" s="7">
        <v>1</v>
      </c>
      <c r="K2072" s="9">
        <v>3009.34</v>
      </c>
      <c r="L2072" s="14">
        <v>0</v>
      </c>
      <c r="M2072" s="2" t="s">
        <v>71</v>
      </c>
      <c r="N2072" s="2" t="s">
        <v>16704</v>
      </c>
      <c r="O2072" s="2" t="s">
        <v>378</v>
      </c>
      <c r="P2072" s="9">
        <v>1.8</v>
      </c>
      <c r="Q2072" s="9">
        <v>3009.34</v>
      </c>
      <c r="R2072" s="2" t="s">
        <v>16705</v>
      </c>
    </row>
    <row r="2073" spans="1:18" x14ac:dyDescent="0.25">
      <c r="A2073" s="2" t="s">
        <v>380</v>
      </c>
      <c r="B2073" s="6">
        <v>46204</v>
      </c>
      <c r="C2073" s="8">
        <v>46216</v>
      </c>
      <c r="D2073" s="2" t="s">
        <v>136</v>
      </c>
      <c r="E2073" s="2" t="s">
        <v>260</v>
      </c>
      <c r="F2073" s="2" t="s">
        <v>16703</v>
      </c>
      <c r="G2073" s="2" t="s">
        <v>381</v>
      </c>
      <c r="H2073" s="2" t="s">
        <v>39</v>
      </c>
      <c r="I2073" s="9">
        <v>4514.0039999999999</v>
      </c>
      <c r="J2073" s="7">
        <v>1</v>
      </c>
      <c r="K2073" s="9">
        <v>4514</v>
      </c>
      <c r="L2073" s="14">
        <v>0</v>
      </c>
      <c r="M2073" s="2" t="s">
        <v>71</v>
      </c>
      <c r="N2073" s="2" t="s">
        <v>16706</v>
      </c>
      <c r="O2073" s="2" t="s">
        <v>378</v>
      </c>
      <c r="P2073" s="9">
        <v>2.48</v>
      </c>
      <c r="Q2073" s="9">
        <v>4514</v>
      </c>
      <c r="R2073" s="2" t="s">
        <v>16707</v>
      </c>
    </row>
    <row r="2074" spans="1:18" x14ac:dyDescent="0.25">
      <c r="A2074" s="2" t="s">
        <v>382</v>
      </c>
      <c r="B2074" s="6">
        <v>46174</v>
      </c>
      <c r="C2074" s="8">
        <v>46192</v>
      </c>
      <c r="D2074" s="2" t="s">
        <v>136</v>
      </c>
      <c r="E2074" s="2" t="s">
        <v>260</v>
      </c>
      <c r="F2074" s="2" t="s">
        <v>16703</v>
      </c>
      <c r="G2074" s="2" t="s">
        <v>384</v>
      </c>
      <c r="H2074" s="2" t="s">
        <v>76</v>
      </c>
      <c r="I2074" s="9">
        <v>49256640</v>
      </c>
      <c r="J2074" s="7">
        <v>6.2500000000000001E-5</v>
      </c>
      <c r="K2074" s="9">
        <v>3078.54</v>
      </c>
      <c r="L2074" s="14">
        <v>0</v>
      </c>
      <c r="M2074" s="2" t="s">
        <v>71</v>
      </c>
      <c r="N2074" s="2" t="s">
        <v>16704</v>
      </c>
      <c r="O2074" s="2" t="s">
        <v>383</v>
      </c>
      <c r="P2074" s="9">
        <v>1.8</v>
      </c>
      <c r="Q2074" s="9">
        <v>3078.54</v>
      </c>
      <c r="R2074" s="2" t="s">
        <v>16705</v>
      </c>
    </row>
    <row r="2075" spans="1:18" x14ac:dyDescent="0.25">
      <c r="A2075" s="2" t="s">
        <v>385</v>
      </c>
      <c r="B2075" s="6">
        <v>46204</v>
      </c>
      <c r="C2075" s="8">
        <v>46217</v>
      </c>
      <c r="D2075" s="2" t="s">
        <v>136</v>
      </c>
      <c r="E2075" s="2" t="s">
        <v>260</v>
      </c>
      <c r="F2075" s="2" t="s">
        <v>16703</v>
      </c>
      <c r="G2075" s="2" t="s">
        <v>386</v>
      </c>
      <c r="H2075" s="2" t="s">
        <v>76</v>
      </c>
      <c r="I2075" s="9">
        <v>73884960</v>
      </c>
      <c r="J2075" s="7">
        <v>6.2000000000000003E-5</v>
      </c>
      <c r="K2075" s="9">
        <v>4580.87</v>
      </c>
      <c r="L2075" s="14">
        <v>0</v>
      </c>
      <c r="M2075" s="2" t="s">
        <v>71</v>
      </c>
      <c r="N2075" s="2" t="s">
        <v>16706</v>
      </c>
      <c r="O2075" s="2" t="s">
        <v>383</v>
      </c>
      <c r="P2075" s="9">
        <v>2.52</v>
      </c>
      <c r="Q2075" s="9">
        <v>4617.8100000000004</v>
      </c>
      <c r="R2075" s="2" t="s">
        <v>16707</v>
      </c>
    </row>
    <row r="2076" spans="1:18" x14ac:dyDescent="0.25">
      <c r="A2076" s="2" t="s">
        <v>387</v>
      </c>
      <c r="B2076" s="6">
        <v>46174</v>
      </c>
      <c r="C2076" s="8">
        <v>46203</v>
      </c>
      <c r="D2076" s="2" t="s">
        <v>136</v>
      </c>
      <c r="E2076" s="2" t="s">
        <v>260</v>
      </c>
      <c r="F2076" s="2" t="s">
        <v>16703</v>
      </c>
      <c r="G2076" s="2" t="s">
        <v>389</v>
      </c>
      <c r="H2076" s="2" t="s">
        <v>70</v>
      </c>
      <c r="I2076" s="9">
        <v>11833.62406</v>
      </c>
      <c r="J2076" s="7">
        <v>0.66500000000000004</v>
      </c>
      <c r="K2076" s="9">
        <v>7869.36</v>
      </c>
      <c r="L2076" s="14">
        <v>0</v>
      </c>
      <c r="M2076" s="2" t="s">
        <v>71</v>
      </c>
      <c r="N2076" s="2" t="s">
        <v>16704</v>
      </c>
      <c r="O2076" s="2" t="s">
        <v>388</v>
      </c>
      <c r="P2076" s="9">
        <v>4.33</v>
      </c>
      <c r="Q2076" s="9">
        <v>7869.36</v>
      </c>
      <c r="R2076" s="2" t="s">
        <v>16705</v>
      </c>
    </row>
    <row r="2077" spans="1:18" x14ac:dyDescent="0.25">
      <c r="A2077" s="2" t="s">
        <v>390</v>
      </c>
      <c r="B2077" s="6">
        <v>46204</v>
      </c>
      <c r="C2077" s="8">
        <v>46204</v>
      </c>
      <c r="D2077" s="2" t="s">
        <v>136</v>
      </c>
      <c r="E2077" s="2" t="s">
        <v>260</v>
      </c>
      <c r="F2077" s="2" t="s">
        <v>16703</v>
      </c>
      <c r="G2077" s="2" t="s">
        <v>392</v>
      </c>
      <c r="H2077" s="2" t="s">
        <v>39</v>
      </c>
      <c r="I2077" s="9">
        <v>8042.37</v>
      </c>
      <c r="J2077" s="7">
        <v>1</v>
      </c>
      <c r="K2077" s="9">
        <v>8042.37</v>
      </c>
      <c r="L2077" s="14">
        <v>0</v>
      </c>
      <c r="M2077" s="2" t="s">
        <v>71</v>
      </c>
      <c r="N2077" s="2" t="s">
        <v>16706</v>
      </c>
      <c r="O2077" s="2" t="s">
        <v>391</v>
      </c>
      <c r="P2077" s="9">
        <v>4.42</v>
      </c>
      <c r="Q2077" s="9">
        <v>8042.37</v>
      </c>
      <c r="R2077" s="2" t="s">
        <v>16707</v>
      </c>
    </row>
    <row r="2078" spans="1:18" x14ac:dyDescent="0.25">
      <c r="A2078" s="2" t="s">
        <v>393</v>
      </c>
      <c r="B2078" s="6">
        <v>46174</v>
      </c>
      <c r="C2078" s="8">
        <v>46195</v>
      </c>
      <c r="D2078" s="2" t="s">
        <v>136</v>
      </c>
      <c r="E2078" s="2" t="s">
        <v>260</v>
      </c>
      <c r="F2078" s="2" t="s">
        <v>16703</v>
      </c>
      <c r="G2078" s="2" t="s">
        <v>395</v>
      </c>
      <c r="H2078" s="2" t="s">
        <v>76</v>
      </c>
      <c r="I2078" s="9">
        <v>52578432</v>
      </c>
      <c r="J2078" s="7">
        <v>6.2500000000000001E-5</v>
      </c>
      <c r="K2078" s="9">
        <v>3286.15</v>
      </c>
      <c r="L2078" s="14">
        <v>0</v>
      </c>
      <c r="M2078" s="2" t="s">
        <v>71</v>
      </c>
      <c r="N2078" s="2" t="s">
        <v>16704</v>
      </c>
      <c r="O2078" s="2" t="s">
        <v>394</v>
      </c>
      <c r="P2078" s="9">
        <v>1.81</v>
      </c>
      <c r="Q2078" s="9">
        <v>3286.15</v>
      </c>
      <c r="R2078" s="2" t="s">
        <v>16705</v>
      </c>
    </row>
    <row r="2079" spans="1:18" x14ac:dyDescent="0.25">
      <c r="A2079" s="2" t="s">
        <v>396</v>
      </c>
      <c r="B2079" s="6">
        <v>46204</v>
      </c>
      <c r="C2079" s="8">
        <v>46220</v>
      </c>
      <c r="D2079" s="2" t="s">
        <v>136</v>
      </c>
      <c r="E2079" s="2" t="s">
        <v>260</v>
      </c>
      <c r="F2079" s="2" t="s">
        <v>16703</v>
      </c>
      <c r="G2079" s="2" t="s">
        <v>397</v>
      </c>
      <c r="H2079" s="2" t="s">
        <v>76</v>
      </c>
      <c r="I2079" s="9">
        <v>78867648</v>
      </c>
      <c r="J2079" s="7">
        <v>6.2000000000000003E-5</v>
      </c>
      <c r="K2079" s="9">
        <v>4889.79</v>
      </c>
      <c r="L2079" s="14">
        <v>0</v>
      </c>
      <c r="M2079" s="2" t="s">
        <v>71</v>
      </c>
      <c r="N2079" s="2" t="s">
        <v>16706</v>
      </c>
      <c r="O2079" s="2" t="s">
        <v>394</v>
      </c>
      <c r="P2079" s="9">
        <v>2.69</v>
      </c>
      <c r="Q2079" s="9">
        <v>4929.2299999999996</v>
      </c>
      <c r="R2079" s="2" t="s">
        <v>16707</v>
      </c>
    </row>
    <row r="2080" spans="1:18" x14ac:dyDescent="0.25">
      <c r="A2080" s="2" t="s">
        <v>398</v>
      </c>
      <c r="B2080" s="6">
        <v>46204</v>
      </c>
      <c r="C2080" s="8">
        <v>46206</v>
      </c>
      <c r="D2080" s="2" t="s">
        <v>136</v>
      </c>
      <c r="E2080" s="2" t="s">
        <v>260</v>
      </c>
      <c r="F2080" s="2" t="s">
        <v>16703</v>
      </c>
      <c r="G2080" s="2" t="s">
        <v>400</v>
      </c>
      <c r="H2080" s="2" t="s">
        <v>70</v>
      </c>
      <c r="I2080" s="9">
        <v>12614.120301000001</v>
      </c>
      <c r="J2080" s="7">
        <v>0.65800000000000003</v>
      </c>
      <c r="K2080" s="9">
        <v>8300.09</v>
      </c>
      <c r="L2080" s="14">
        <v>0</v>
      </c>
      <c r="M2080" s="2" t="s">
        <v>71</v>
      </c>
      <c r="N2080" s="2" t="s">
        <v>16706</v>
      </c>
      <c r="O2080" s="2" t="s">
        <v>399</v>
      </c>
      <c r="P2080" s="9">
        <v>4.57</v>
      </c>
      <c r="Q2080" s="9">
        <v>8388.39</v>
      </c>
      <c r="R2080" s="2" t="s">
        <v>16707</v>
      </c>
    </row>
    <row r="2081" spans="1:18" x14ac:dyDescent="0.25">
      <c r="A2081" s="2" t="s">
        <v>401</v>
      </c>
      <c r="B2081" s="6">
        <v>46204</v>
      </c>
      <c r="C2081" s="8">
        <v>46207</v>
      </c>
      <c r="D2081" s="2" t="s">
        <v>136</v>
      </c>
      <c r="E2081" s="2" t="s">
        <v>260</v>
      </c>
      <c r="F2081" s="2" t="s">
        <v>16703</v>
      </c>
      <c r="G2081" s="2" t="s">
        <v>403</v>
      </c>
      <c r="H2081" s="2" t="s">
        <v>39</v>
      </c>
      <c r="I2081" s="9">
        <v>8561.4</v>
      </c>
      <c r="J2081" s="7">
        <v>1</v>
      </c>
      <c r="K2081" s="9">
        <v>8561.4</v>
      </c>
      <c r="L2081" s="14">
        <v>0</v>
      </c>
      <c r="M2081" s="2" t="s">
        <v>71</v>
      </c>
      <c r="N2081" s="2" t="s">
        <v>16706</v>
      </c>
      <c r="O2081" s="2" t="s">
        <v>402</v>
      </c>
      <c r="P2081" s="9">
        <v>4.71</v>
      </c>
      <c r="Q2081" s="9">
        <v>8561.4</v>
      </c>
      <c r="R2081" s="2" t="s">
        <v>16707</v>
      </c>
    </row>
    <row r="2082" spans="1:18" x14ac:dyDescent="0.25">
      <c r="A2082" s="2" t="s">
        <v>404</v>
      </c>
      <c r="B2082" s="6">
        <v>46204</v>
      </c>
      <c r="C2082" s="8">
        <v>46208</v>
      </c>
      <c r="D2082" s="2" t="s">
        <v>136</v>
      </c>
      <c r="E2082" s="2" t="s">
        <v>260</v>
      </c>
      <c r="F2082" s="2" t="s">
        <v>16703</v>
      </c>
      <c r="G2082" s="2" t="s">
        <v>406</v>
      </c>
      <c r="H2082" s="2" t="s">
        <v>76</v>
      </c>
      <c r="I2082" s="9">
        <v>-139750560</v>
      </c>
      <c r="J2082" s="7">
        <v>6.2000000000000003E-5</v>
      </c>
      <c r="K2082" s="9">
        <v>-8664.5300000000007</v>
      </c>
      <c r="L2082" s="14">
        <v>0</v>
      </c>
      <c r="M2082" s="2" t="s">
        <v>71</v>
      </c>
      <c r="N2082" s="2" t="s">
        <v>16706</v>
      </c>
      <c r="O2082" s="2" t="s">
        <v>405</v>
      </c>
      <c r="P2082" s="9">
        <v>0</v>
      </c>
      <c r="Q2082" s="9">
        <v>-8734.41</v>
      </c>
      <c r="R2082" s="2" t="s">
        <v>16707</v>
      </c>
    </row>
    <row r="2083" spans="1:18" x14ac:dyDescent="0.25">
      <c r="A2083" s="2" t="s">
        <v>407</v>
      </c>
      <c r="B2083" s="6">
        <v>46204</v>
      </c>
      <c r="C2083" s="8">
        <v>46209</v>
      </c>
      <c r="D2083" s="2" t="s">
        <v>136</v>
      </c>
      <c r="E2083" s="2" t="s">
        <v>260</v>
      </c>
      <c r="F2083" s="2" t="s">
        <v>16703</v>
      </c>
      <c r="G2083" s="2" t="s">
        <v>409</v>
      </c>
      <c r="H2083" s="2" t="s">
        <v>70</v>
      </c>
      <c r="I2083" s="9">
        <v>13394.616540999999</v>
      </c>
      <c r="J2083" s="7">
        <v>0.65800000000000003</v>
      </c>
      <c r="K2083" s="9">
        <v>8813.66</v>
      </c>
      <c r="L2083" s="14">
        <v>0</v>
      </c>
      <c r="M2083" s="2" t="s">
        <v>71</v>
      </c>
      <c r="N2083" s="2" t="s">
        <v>16706</v>
      </c>
      <c r="O2083" s="2" t="s">
        <v>408</v>
      </c>
      <c r="P2083" s="9">
        <v>4.8499999999999996</v>
      </c>
      <c r="Q2083" s="9">
        <v>8907.42</v>
      </c>
      <c r="R2083" s="2" t="s">
        <v>16707</v>
      </c>
    </row>
    <row r="2084" spans="1:18" x14ac:dyDescent="0.25">
      <c r="A2084" s="2" t="s">
        <v>410</v>
      </c>
      <c r="B2084" s="6">
        <v>46204</v>
      </c>
      <c r="C2084" s="8">
        <v>46210</v>
      </c>
      <c r="D2084" s="2" t="s">
        <v>136</v>
      </c>
      <c r="E2084" s="2" t="s">
        <v>260</v>
      </c>
      <c r="F2084" s="2" t="s">
        <v>16703</v>
      </c>
      <c r="G2084" s="2" t="s">
        <v>412</v>
      </c>
      <c r="H2084" s="2" t="s">
        <v>39</v>
      </c>
      <c r="I2084" s="9">
        <v>9080.43</v>
      </c>
      <c r="J2084" s="7">
        <v>1</v>
      </c>
      <c r="K2084" s="9">
        <v>9080.43</v>
      </c>
      <c r="L2084" s="14">
        <v>0</v>
      </c>
      <c r="M2084" s="2" t="s">
        <v>71</v>
      </c>
      <c r="N2084" s="2" t="s">
        <v>16706</v>
      </c>
      <c r="O2084" s="2" t="s">
        <v>411</v>
      </c>
      <c r="P2084" s="9">
        <v>4.99</v>
      </c>
      <c r="Q2084" s="9">
        <v>9080.43</v>
      </c>
      <c r="R2084" s="2" t="s">
        <v>16707</v>
      </c>
    </row>
    <row r="2085" spans="1:18" x14ac:dyDescent="0.25">
      <c r="A2085" s="2" t="s">
        <v>413</v>
      </c>
      <c r="B2085" s="6">
        <v>46174</v>
      </c>
      <c r="C2085" s="8">
        <v>46201</v>
      </c>
      <c r="D2085" s="2" t="s">
        <v>136</v>
      </c>
      <c r="E2085" s="2" t="s">
        <v>260</v>
      </c>
      <c r="F2085" s="2" t="s">
        <v>16703</v>
      </c>
      <c r="G2085" s="2" t="s">
        <v>415</v>
      </c>
      <c r="H2085" s="2" t="s">
        <v>76</v>
      </c>
      <c r="I2085" s="9">
        <v>59222016</v>
      </c>
      <c r="J2085" s="7">
        <v>6.2500000000000001E-5</v>
      </c>
      <c r="K2085" s="9">
        <v>3701.38</v>
      </c>
      <c r="L2085" s="14">
        <v>0</v>
      </c>
      <c r="M2085" s="2" t="s">
        <v>71</v>
      </c>
      <c r="N2085" s="2" t="s">
        <v>16704</v>
      </c>
      <c r="O2085" s="2" t="s">
        <v>414</v>
      </c>
      <c r="P2085" s="9">
        <v>2.04</v>
      </c>
      <c r="Q2085" s="9">
        <v>3701.38</v>
      </c>
      <c r="R2085" s="2" t="s">
        <v>16705</v>
      </c>
    </row>
    <row r="2086" spans="1:18" x14ac:dyDescent="0.25">
      <c r="A2086" s="2" t="s">
        <v>416</v>
      </c>
      <c r="B2086" s="6">
        <v>46204</v>
      </c>
      <c r="C2086" s="8">
        <v>46226</v>
      </c>
      <c r="D2086" s="2" t="s">
        <v>136</v>
      </c>
      <c r="E2086" s="2" t="s">
        <v>260</v>
      </c>
      <c r="F2086" s="2" t="s">
        <v>16703</v>
      </c>
      <c r="G2086" s="2" t="s">
        <v>417</v>
      </c>
      <c r="H2086" s="2" t="s">
        <v>76</v>
      </c>
      <c r="I2086" s="9">
        <v>88833024</v>
      </c>
      <c r="J2086" s="7">
        <v>6.2000000000000003E-5</v>
      </c>
      <c r="K2086" s="9">
        <v>5507.65</v>
      </c>
      <c r="L2086" s="14">
        <v>0</v>
      </c>
      <c r="M2086" s="2" t="s">
        <v>71</v>
      </c>
      <c r="N2086" s="2" t="s">
        <v>16706</v>
      </c>
      <c r="O2086" s="2" t="s">
        <v>414</v>
      </c>
      <c r="P2086" s="9">
        <v>3.03</v>
      </c>
      <c r="Q2086" s="9">
        <v>5552.06</v>
      </c>
      <c r="R2086" s="2" t="s">
        <v>16707</v>
      </c>
    </row>
    <row r="2087" spans="1:18" x14ac:dyDescent="0.25">
      <c r="A2087" s="2" t="s">
        <v>418</v>
      </c>
      <c r="B2087" s="6">
        <v>46174</v>
      </c>
      <c r="C2087" s="8">
        <v>46202</v>
      </c>
      <c r="D2087" s="2" t="s">
        <v>136</v>
      </c>
      <c r="E2087" s="2" t="s">
        <v>260</v>
      </c>
      <c r="F2087" s="2" t="s">
        <v>16703</v>
      </c>
      <c r="G2087" s="2" t="s">
        <v>420</v>
      </c>
      <c r="H2087" s="2" t="s">
        <v>70</v>
      </c>
      <c r="I2087" s="9">
        <v>5670.0451130000001</v>
      </c>
      <c r="J2087" s="7">
        <v>0.66500000000000004</v>
      </c>
      <c r="K2087" s="9">
        <v>3770.58</v>
      </c>
      <c r="L2087" s="14">
        <v>0</v>
      </c>
      <c r="M2087" s="2" t="s">
        <v>71</v>
      </c>
      <c r="N2087" s="2" t="s">
        <v>16704</v>
      </c>
      <c r="O2087" s="2" t="s">
        <v>419</v>
      </c>
      <c r="P2087" s="9">
        <v>2.0699999999999998</v>
      </c>
      <c r="Q2087" s="9">
        <v>3770.58</v>
      </c>
      <c r="R2087" s="2" t="s">
        <v>16705</v>
      </c>
    </row>
    <row r="2088" spans="1:18" x14ac:dyDescent="0.25">
      <c r="A2088" s="2" t="s">
        <v>421</v>
      </c>
      <c r="B2088" s="6">
        <v>46204</v>
      </c>
      <c r="C2088" s="8">
        <v>46227</v>
      </c>
      <c r="D2088" s="2" t="s">
        <v>136</v>
      </c>
      <c r="E2088" s="2" t="s">
        <v>260</v>
      </c>
      <c r="F2088" s="2" t="s">
        <v>16703</v>
      </c>
      <c r="G2088" s="2" t="s">
        <v>422</v>
      </c>
      <c r="H2088" s="2" t="s">
        <v>70</v>
      </c>
      <c r="I2088" s="9">
        <v>8505.067669</v>
      </c>
      <c r="J2088" s="7">
        <v>0.65800000000000003</v>
      </c>
      <c r="K2088" s="9">
        <v>5596.33</v>
      </c>
      <c r="L2088" s="14">
        <v>0</v>
      </c>
      <c r="M2088" s="2" t="s">
        <v>71</v>
      </c>
      <c r="N2088" s="2" t="s">
        <v>16706</v>
      </c>
      <c r="O2088" s="2" t="s">
        <v>419</v>
      </c>
      <c r="P2088" s="9">
        <v>3.08</v>
      </c>
      <c r="Q2088" s="9">
        <v>5655.87</v>
      </c>
      <c r="R2088" s="2" t="s">
        <v>16707</v>
      </c>
    </row>
    <row r="2089" spans="1:18" x14ac:dyDescent="0.25">
      <c r="A2089" s="2" t="s">
        <v>423</v>
      </c>
      <c r="B2089" s="6">
        <v>46204</v>
      </c>
      <c r="C2089" s="8">
        <v>46213</v>
      </c>
      <c r="D2089" s="2" t="s">
        <v>136</v>
      </c>
      <c r="E2089" s="2" t="s">
        <v>260</v>
      </c>
      <c r="F2089" s="2" t="s">
        <v>16703</v>
      </c>
      <c r="G2089" s="2" t="s">
        <v>425</v>
      </c>
      <c r="H2089" s="2" t="s">
        <v>39</v>
      </c>
      <c r="I2089" s="9">
        <v>9599.4599999999991</v>
      </c>
      <c r="J2089" s="7">
        <v>1</v>
      </c>
      <c r="K2089" s="9">
        <v>9599.4599999999991</v>
      </c>
      <c r="L2089" s="14">
        <v>0</v>
      </c>
      <c r="M2089" s="2" t="s">
        <v>71</v>
      </c>
      <c r="N2089" s="2" t="s">
        <v>16706</v>
      </c>
      <c r="O2089" s="2" t="s">
        <v>424</v>
      </c>
      <c r="P2089" s="9">
        <v>5.28</v>
      </c>
      <c r="Q2089" s="9">
        <v>9599.4599999999991</v>
      </c>
      <c r="R2089" s="2" t="s">
        <v>16707</v>
      </c>
    </row>
    <row r="2090" spans="1:18" x14ac:dyDescent="0.25">
      <c r="A2090" s="2" t="s">
        <v>426</v>
      </c>
      <c r="B2090" s="6">
        <v>46204</v>
      </c>
      <c r="C2090" s="8">
        <v>46214</v>
      </c>
      <c r="D2090" s="2" t="s">
        <v>136</v>
      </c>
      <c r="E2090" s="2" t="s">
        <v>260</v>
      </c>
      <c r="F2090" s="2" t="s">
        <v>16703</v>
      </c>
      <c r="G2090" s="2" t="s">
        <v>428</v>
      </c>
      <c r="H2090" s="2" t="s">
        <v>76</v>
      </c>
      <c r="I2090" s="9">
        <v>156359520</v>
      </c>
      <c r="J2090" s="7">
        <v>6.2000000000000003E-5</v>
      </c>
      <c r="K2090" s="9">
        <v>9694.2900000000009</v>
      </c>
      <c r="L2090" s="14">
        <v>0</v>
      </c>
      <c r="M2090" s="2" t="s">
        <v>71</v>
      </c>
      <c r="N2090" s="2" t="s">
        <v>16706</v>
      </c>
      <c r="O2090" s="2" t="s">
        <v>427</v>
      </c>
      <c r="P2090" s="9">
        <v>5.33</v>
      </c>
      <c r="Q2090" s="9">
        <v>9772.4699999999993</v>
      </c>
      <c r="R2090" s="2" t="s">
        <v>16707</v>
      </c>
    </row>
    <row r="2091" spans="1:18" x14ac:dyDescent="0.25">
      <c r="A2091" s="2" t="s">
        <v>429</v>
      </c>
      <c r="B2091" s="6">
        <v>46204</v>
      </c>
      <c r="C2091" s="8">
        <v>46205</v>
      </c>
      <c r="D2091" s="2" t="s">
        <v>136</v>
      </c>
      <c r="E2091" s="2" t="s">
        <v>260</v>
      </c>
      <c r="F2091" s="2" t="s">
        <v>16703</v>
      </c>
      <c r="G2091" s="2" t="s">
        <v>431</v>
      </c>
      <c r="H2091" s="2" t="s">
        <v>70</v>
      </c>
      <c r="I2091" s="9">
        <v>5982.2436090000001</v>
      </c>
      <c r="J2091" s="7">
        <v>0.65800000000000003</v>
      </c>
      <c r="K2091" s="9">
        <v>3936.32</v>
      </c>
      <c r="L2091" s="14">
        <v>0</v>
      </c>
      <c r="M2091" s="2" t="s">
        <v>71</v>
      </c>
      <c r="N2091" s="2" t="s">
        <v>16706</v>
      </c>
      <c r="O2091" s="2" t="s">
        <v>430</v>
      </c>
      <c r="P2091" s="9">
        <v>2.16</v>
      </c>
      <c r="Q2091" s="9">
        <v>3978.19</v>
      </c>
      <c r="R2091" s="2" t="s">
        <v>16707</v>
      </c>
    </row>
    <row r="2092" spans="1:18" x14ac:dyDescent="0.25">
      <c r="A2092" s="2" t="s">
        <v>432</v>
      </c>
      <c r="B2092" s="6">
        <v>46204</v>
      </c>
      <c r="C2092" s="8">
        <v>46230</v>
      </c>
      <c r="D2092" s="2" t="s">
        <v>136</v>
      </c>
      <c r="E2092" s="2" t="s">
        <v>260</v>
      </c>
      <c r="F2092" s="2" t="s">
        <v>16703</v>
      </c>
      <c r="G2092" s="2" t="s">
        <v>433</v>
      </c>
      <c r="H2092" s="2" t="s">
        <v>70</v>
      </c>
      <c r="I2092" s="9">
        <v>8973.3654139999999</v>
      </c>
      <c r="J2092" s="7">
        <v>0.65800000000000003</v>
      </c>
      <c r="K2092" s="9">
        <v>5904.47</v>
      </c>
      <c r="L2092" s="14">
        <v>0</v>
      </c>
      <c r="M2092" s="2" t="s">
        <v>71</v>
      </c>
      <c r="N2092" s="2" t="s">
        <v>16706</v>
      </c>
      <c r="O2092" s="2" t="s">
        <v>430</v>
      </c>
      <c r="P2092" s="9">
        <v>3.25</v>
      </c>
      <c r="Q2092" s="9">
        <v>5967.29</v>
      </c>
      <c r="R2092" s="2" t="s">
        <v>16707</v>
      </c>
    </row>
    <row r="2093" spans="1:18" x14ac:dyDescent="0.25">
      <c r="A2093" s="2" t="s">
        <v>434</v>
      </c>
      <c r="B2093" s="6">
        <v>46204</v>
      </c>
      <c r="C2093" s="8">
        <v>46216</v>
      </c>
      <c r="D2093" s="2" t="s">
        <v>136</v>
      </c>
      <c r="E2093" s="2" t="s">
        <v>260</v>
      </c>
      <c r="F2093" s="2" t="s">
        <v>16703</v>
      </c>
      <c r="G2093" s="2" t="s">
        <v>436</v>
      </c>
      <c r="H2093" s="2" t="s">
        <v>39</v>
      </c>
      <c r="I2093" s="9">
        <v>10118.49</v>
      </c>
      <c r="J2093" s="7">
        <v>1</v>
      </c>
      <c r="K2093" s="9">
        <v>10118.49</v>
      </c>
      <c r="L2093" s="14">
        <v>0</v>
      </c>
      <c r="M2093" s="2" t="s">
        <v>71</v>
      </c>
      <c r="N2093" s="2" t="s">
        <v>16706</v>
      </c>
      <c r="O2093" s="2" t="s">
        <v>435</v>
      </c>
      <c r="P2093" s="9">
        <v>5.57</v>
      </c>
      <c r="Q2093" s="9">
        <v>10118.49</v>
      </c>
      <c r="R2093" s="2" t="s">
        <v>16707</v>
      </c>
    </row>
    <row r="2094" spans="1:18" x14ac:dyDescent="0.25">
      <c r="A2094" s="2" t="s">
        <v>437</v>
      </c>
      <c r="B2094" s="6">
        <v>46204</v>
      </c>
      <c r="C2094" s="8">
        <v>46217</v>
      </c>
      <c r="D2094" s="2" t="s">
        <v>136</v>
      </c>
      <c r="E2094" s="2" t="s">
        <v>260</v>
      </c>
      <c r="F2094" s="2" t="s">
        <v>16703</v>
      </c>
      <c r="G2094" s="2" t="s">
        <v>439</v>
      </c>
      <c r="H2094" s="2" t="s">
        <v>76</v>
      </c>
      <c r="I2094" s="9">
        <v>164664000</v>
      </c>
      <c r="J2094" s="7">
        <v>6.2000000000000003E-5</v>
      </c>
      <c r="K2094" s="9">
        <v>10209.17</v>
      </c>
      <c r="L2094" s="14">
        <v>0</v>
      </c>
      <c r="M2094" s="2" t="s">
        <v>71</v>
      </c>
      <c r="N2094" s="2" t="s">
        <v>16706</v>
      </c>
      <c r="O2094" s="2" t="s">
        <v>438</v>
      </c>
      <c r="P2094" s="9">
        <v>5.62</v>
      </c>
      <c r="Q2094" s="9">
        <v>10291.5</v>
      </c>
      <c r="R2094" s="2" t="s">
        <v>16707</v>
      </c>
    </row>
    <row r="2095" spans="1:18" x14ac:dyDescent="0.25">
      <c r="A2095" s="2" t="s">
        <v>440</v>
      </c>
      <c r="B2095" s="6">
        <v>46204</v>
      </c>
      <c r="C2095" s="8">
        <v>46218</v>
      </c>
      <c r="D2095" s="2" t="s">
        <v>136</v>
      </c>
      <c r="E2095" s="2" t="s">
        <v>260</v>
      </c>
      <c r="F2095" s="2" t="s">
        <v>16703</v>
      </c>
      <c r="G2095" s="2" t="s">
        <v>442</v>
      </c>
      <c r="H2095" s="2" t="s">
        <v>70</v>
      </c>
      <c r="I2095" s="9">
        <v>15736.105262999999</v>
      </c>
      <c r="J2095" s="7">
        <v>0.65800000000000003</v>
      </c>
      <c r="K2095" s="9">
        <v>10354.36</v>
      </c>
      <c r="L2095" s="14">
        <v>0</v>
      </c>
      <c r="M2095" s="2" t="s">
        <v>71</v>
      </c>
      <c r="N2095" s="2" t="s">
        <v>16706</v>
      </c>
      <c r="O2095" s="2" t="s">
        <v>441</v>
      </c>
      <c r="P2095" s="9">
        <v>5.69</v>
      </c>
      <c r="Q2095" s="9">
        <v>10464.51</v>
      </c>
      <c r="R2095" s="2" t="s">
        <v>16707</v>
      </c>
    </row>
    <row r="2096" spans="1:18" x14ac:dyDescent="0.25">
      <c r="A2096" s="2" t="s">
        <v>443</v>
      </c>
      <c r="B2096" s="6">
        <v>46204</v>
      </c>
      <c r="C2096" s="8">
        <v>46219</v>
      </c>
      <c r="D2096" s="2" t="s">
        <v>136</v>
      </c>
      <c r="E2096" s="2" t="s">
        <v>260</v>
      </c>
      <c r="F2096" s="2" t="s">
        <v>16703</v>
      </c>
      <c r="G2096" s="2" t="s">
        <v>445</v>
      </c>
      <c r="H2096" s="2" t="s">
        <v>39</v>
      </c>
      <c r="I2096" s="9">
        <v>10637.52</v>
      </c>
      <c r="J2096" s="7">
        <v>1</v>
      </c>
      <c r="K2096" s="9">
        <v>10637.52</v>
      </c>
      <c r="L2096" s="14">
        <v>0</v>
      </c>
      <c r="M2096" s="2" t="s">
        <v>71</v>
      </c>
      <c r="N2096" s="2" t="s">
        <v>16706</v>
      </c>
      <c r="O2096" s="2" t="s">
        <v>444</v>
      </c>
      <c r="P2096" s="9">
        <v>5.85</v>
      </c>
      <c r="Q2096" s="9">
        <v>10637.52</v>
      </c>
      <c r="R2096" s="2" t="s">
        <v>16707</v>
      </c>
    </row>
    <row r="2097" spans="1:18" x14ac:dyDescent="0.25">
      <c r="A2097" s="2" t="s">
        <v>446</v>
      </c>
      <c r="B2097" s="6">
        <v>46204</v>
      </c>
      <c r="C2097" s="8">
        <v>46220</v>
      </c>
      <c r="D2097" s="2" t="s">
        <v>136</v>
      </c>
      <c r="E2097" s="2" t="s">
        <v>260</v>
      </c>
      <c r="F2097" s="2" t="s">
        <v>16703</v>
      </c>
      <c r="G2097" s="2" t="s">
        <v>448</v>
      </c>
      <c r="H2097" s="2" t="s">
        <v>76</v>
      </c>
      <c r="I2097" s="9">
        <v>172968480</v>
      </c>
      <c r="J2097" s="7">
        <v>6.2000000000000003E-5</v>
      </c>
      <c r="K2097" s="9">
        <v>10724.05</v>
      </c>
      <c r="L2097" s="14">
        <v>0</v>
      </c>
      <c r="M2097" s="2" t="s">
        <v>71</v>
      </c>
      <c r="N2097" s="2" t="s">
        <v>16706</v>
      </c>
      <c r="O2097" s="2" t="s">
        <v>447</v>
      </c>
      <c r="P2097" s="9">
        <v>5.9</v>
      </c>
      <c r="Q2097" s="9">
        <v>10810.53</v>
      </c>
      <c r="R2097" s="2" t="s">
        <v>16707</v>
      </c>
    </row>
    <row r="2098" spans="1:18" x14ac:dyDescent="0.25">
      <c r="A2098" s="2" t="s">
        <v>449</v>
      </c>
      <c r="B2098" s="6">
        <v>46204</v>
      </c>
      <c r="C2098" s="8">
        <v>46211</v>
      </c>
      <c r="D2098" s="2" t="s">
        <v>136</v>
      </c>
      <c r="E2098" s="2" t="s">
        <v>260</v>
      </c>
      <c r="F2098" s="2" t="s">
        <v>16703</v>
      </c>
      <c r="G2098" s="2" t="s">
        <v>451</v>
      </c>
      <c r="H2098" s="2" t="s">
        <v>70</v>
      </c>
      <c r="I2098" s="9">
        <v>6606.6406020000004</v>
      </c>
      <c r="J2098" s="7">
        <v>0.65800000000000003</v>
      </c>
      <c r="K2098" s="9">
        <v>4347.17</v>
      </c>
      <c r="L2098" s="14">
        <v>0</v>
      </c>
      <c r="M2098" s="2" t="s">
        <v>71</v>
      </c>
      <c r="N2098" s="2" t="s">
        <v>16706</v>
      </c>
      <c r="O2098" s="2" t="s">
        <v>450</v>
      </c>
      <c r="P2098" s="9">
        <v>2.39</v>
      </c>
      <c r="Q2098" s="9">
        <v>4393.42</v>
      </c>
      <c r="R2098" s="2" t="s">
        <v>16707</v>
      </c>
    </row>
    <row r="2099" spans="1:18" x14ac:dyDescent="0.25">
      <c r="A2099" s="2" t="s">
        <v>454</v>
      </c>
      <c r="B2099" s="6">
        <v>46204</v>
      </c>
      <c r="C2099" s="8">
        <v>46212</v>
      </c>
      <c r="D2099" s="2" t="s">
        <v>136</v>
      </c>
      <c r="E2099" s="2" t="s">
        <v>260</v>
      </c>
      <c r="F2099" s="2" t="s">
        <v>16703</v>
      </c>
      <c r="G2099" s="2" t="s">
        <v>456</v>
      </c>
      <c r="H2099" s="2" t="s">
        <v>39</v>
      </c>
      <c r="I2099" s="9">
        <v>4462.62</v>
      </c>
      <c r="J2099" s="7">
        <v>1</v>
      </c>
      <c r="K2099" s="9">
        <v>4462.62</v>
      </c>
      <c r="L2099" s="14">
        <v>0</v>
      </c>
      <c r="M2099" s="2" t="s">
        <v>71</v>
      </c>
      <c r="N2099" s="2" t="s">
        <v>16706</v>
      </c>
      <c r="O2099" s="2" t="s">
        <v>455</v>
      </c>
      <c r="P2099" s="9">
        <v>2.4500000000000002</v>
      </c>
      <c r="Q2099" s="9">
        <v>4462.62</v>
      </c>
      <c r="R2099" s="2" t="s">
        <v>16707</v>
      </c>
    </row>
    <row r="2100" spans="1:18" x14ac:dyDescent="0.25">
      <c r="A2100" s="2" t="s">
        <v>459</v>
      </c>
      <c r="B2100" s="6">
        <v>46204</v>
      </c>
      <c r="C2100" s="8">
        <v>46223</v>
      </c>
      <c r="D2100" s="2" t="s">
        <v>136</v>
      </c>
      <c r="E2100" s="2" t="s">
        <v>260</v>
      </c>
      <c r="F2100" s="2" t="s">
        <v>16703</v>
      </c>
      <c r="G2100" s="2" t="s">
        <v>461</v>
      </c>
      <c r="H2100" s="2" t="s">
        <v>76</v>
      </c>
      <c r="I2100" s="9">
        <v>181272960</v>
      </c>
      <c r="J2100" s="7">
        <v>6.2000000000000003E-5</v>
      </c>
      <c r="K2100" s="9">
        <v>11238.92</v>
      </c>
      <c r="L2100" s="14">
        <v>0</v>
      </c>
      <c r="M2100" s="2" t="s">
        <v>71</v>
      </c>
      <c r="N2100" s="2" t="s">
        <v>16706</v>
      </c>
      <c r="O2100" s="2" t="s">
        <v>460</v>
      </c>
      <c r="P2100" s="9">
        <v>6.18</v>
      </c>
      <c r="Q2100" s="9">
        <v>11329.56</v>
      </c>
      <c r="R2100" s="2" t="s">
        <v>16707</v>
      </c>
    </row>
    <row r="2101" spans="1:18" x14ac:dyDescent="0.25">
      <c r="A2101" s="2" t="s">
        <v>462</v>
      </c>
      <c r="B2101" s="6">
        <v>46204</v>
      </c>
      <c r="C2101" s="8">
        <v>46224</v>
      </c>
      <c r="D2101" s="2" t="s">
        <v>136</v>
      </c>
      <c r="E2101" s="2" t="s">
        <v>260</v>
      </c>
      <c r="F2101" s="2" t="s">
        <v>16703</v>
      </c>
      <c r="G2101" s="2" t="s">
        <v>464</v>
      </c>
      <c r="H2101" s="2" t="s">
        <v>70</v>
      </c>
      <c r="I2101" s="9">
        <v>17297.097743999999</v>
      </c>
      <c r="J2101" s="7">
        <v>0.65800000000000003</v>
      </c>
      <c r="K2101" s="9">
        <v>11381.49</v>
      </c>
      <c r="L2101" s="14">
        <v>0</v>
      </c>
      <c r="M2101" s="2" t="s">
        <v>71</v>
      </c>
      <c r="N2101" s="2" t="s">
        <v>16706</v>
      </c>
      <c r="O2101" s="2" t="s">
        <v>463</v>
      </c>
      <c r="P2101" s="9">
        <v>6.26</v>
      </c>
      <c r="Q2101" s="9">
        <v>11502.57</v>
      </c>
      <c r="R2101" s="2" t="s">
        <v>16707</v>
      </c>
    </row>
    <row r="2102" spans="1:18" x14ac:dyDescent="0.25">
      <c r="A2102" s="2" t="s">
        <v>465</v>
      </c>
      <c r="B2102" s="6">
        <v>46204</v>
      </c>
      <c r="C2102" s="8">
        <v>46215</v>
      </c>
      <c r="D2102" s="2" t="s">
        <v>136</v>
      </c>
      <c r="E2102" s="2" t="s">
        <v>260</v>
      </c>
      <c r="F2102" s="2" t="s">
        <v>16703</v>
      </c>
      <c r="G2102" s="2" t="s">
        <v>467</v>
      </c>
      <c r="H2102" s="2" t="s">
        <v>39</v>
      </c>
      <c r="I2102" s="9">
        <v>4670.232</v>
      </c>
      <c r="J2102" s="7">
        <v>1</v>
      </c>
      <c r="K2102" s="9">
        <v>4670.2299999999996</v>
      </c>
      <c r="L2102" s="14">
        <v>0</v>
      </c>
      <c r="M2102" s="2" t="s">
        <v>71</v>
      </c>
      <c r="N2102" s="2" t="s">
        <v>16706</v>
      </c>
      <c r="O2102" s="2" t="s">
        <v>466</v>
      </c>
      <c r="P2102" s="9">
        <v>2.57</v>
      </c>
      <c r="Q2102" s="9">
        <v>4670.2299999999996</v>
      </c>
      <c r="R2102" s="2" t="s">
        <v>16707</v>
      </c>
    </row>
    <row r="2103" spans="1:18" x14ac:dyDescent="0.25">
      <c r="A2103" s="2" t="s">
        <v>470</v>
      </c>
      <c r="B2103" s="6">
        <v>46204</v>
      </c>
      <c r="C2103" s="8">
        <v>46226</v>
      </c>
      <c r="D2103" s="2" t="s">
        <v>136</v>
      </c>
      <c r="E2103" s="2" t="s">
        <v>260</v>
      </c>
      <c r="F2103" s="2" t="s">
        <v>16703</v>
      </c>
      <c r="G2103" s="2" t="s">
        <v>472</v>
      </c>
      <c r="H2103" s="2" t="s">
        <v>76</v>
      </c>
      <c r="I2103" s="9">
        <v>189577440</v>
      </c>
      <c r="J2103" s="7">
        <v>6.2000000000000003E-5</v>
      </c>
      <c r="K2103" s="9">
        <v>11753.8</v>
      </c>
      <c r="L2103" s="14">
        <v>0</v>
      </c>
      <c r="M2103" s="2" t="s">
        <v>71</v>
      </c>
      <c r="N2103" s="2" t="s">
        <v>16706</v>
      </c>
      <c r="O2103" s="2" t="s">
        <v>471</v>
      </c>
      <c r="P2103" s="9">
        <v>6.46</v>
      </c>
      <c r="Q2103" s="9">
        <v>11848.59</v>
      </c>
      <c r="R2103" s="2" t="s">
        <v>16707</v>
      </c>
    </row>
    <row r="2104" spans="1:18" x14ac:dyDescent="0.25">
      <c r="A2104" s="2" t="s">
        <v>473</v>
      </c>
      <c r="B2104" s="6">
        <v>46204</v>
      </c>
      <c r="C2104" s="8">
        <v>46227</v>
      </c>
      <c r="D2104" s="2" t="s">
        <v>136</v>
      </c>
      <c r="E2104" s="2" t="s">
        <v>260</v>
      </c>
      <c r="F2104" s="2" t="s">
        <v>16703</v>
      </c>
      <c r="G2104" s="2" t="s">
        <v>475</v>
      </c>
      <c r="H2104" s="2" t="s">
        <v>70</v>
      </c>
      <c r="I2104" s="9">
        <v>18077.593985</v>
      </c>
      <c r="J2104" s="7">
        <v>0.65800000000000003</v>
      </c>
      <c r="K2104" s="9">
        <v>11895.06</v>
      </c>
      <c r="L2104" s="14">
        <v>0</v>
      </c>
      <c r="M2104" s="2" t="s">
        <v>71</v>
      </c>
      <c r="N2104" s="2" t="s">
        <v>16706</v>
      </c>
      <c r="O2104" s="2" t="s">
        <v>474</v>
      </c>
      <c r="P2104" s="9">
        <v>6.54</v>
      </c>
      <c r="Q2104" s="9">
        <v>12021.6</v>
      </c>
      <c r="R2104" s="2" t="s">
        <v>16707</v>
      </c>
    </row>
    <row r="2105" spans="1:18" x14ac:dyDescent="0.25">
      <c r="A2105" s="2" t="s">
        <v>476</v>
      </c>
      <c r="B2105" s="6">
        <v>46174</v>
      </c>
      <c r="C2105" s="8">
        <v>46198</v>
      </c>
      <c r="D2105" s="2" t="s">
        <v>136</v>
      </c>
      <c r="E2105" s="2" t="s">
        <v>260</v>
      </c>
      <c r="F2105" s="2" t="s">
        <v>16703</v>
      </c>
      <c r="G2105" s="2" t="s">
        <v>478</v>
      </c>
      <c r="H2105" s="2" t="s">
        <v>39</v>
      </c>
      <c r="I2105" s="9">
        <v>12194.61</v>
      </c>
      <c r="J2105" s="7">
        <v>1</v>
      </c>
      <c r="K2105" s="9">
        <v>12194.61</v>
      </c>
      <c r="L2105" s="14">
        <v>0</v>
      </c>
      <c r="M2105" s="2" t="s">
        <v>71</v>
      </c>
      <c r="N2105" s="2" t="s">
        <v>16704</v>
      </c>
      <c r="O2105" s="2" t="s">
        <v>477</v>
      </c>
      <c r="P2105" s="9">
        <v>6.71</v>
      </c>
      <c r="Q2105" s="9">
        <v>12194.61</v>
      </c>
      <c r="R2105" s="2" t="s">
        <v>16705</v>
      </c>
    </row>
    <row r="2106" spans="1:18" x14ac:dyDescent="0.25">
      <c r="A2106" s="2" t="s">
        <v>479</v>
      </c>
      <c r="B2106" s="6">
        <v>46174</v>
      </c>
      <c r="C2106" s="8">
        <v>46199</v>
      </c>
      <c r="D2106" s="2" t="s">
        <v>136</v>
      </c>
      <c r="E2106" s="2" t="s">
        <v>260</v>
      </c>
      <c r="F2106" s="2" t="s">
        <v>16703</v>
      </c>
      <c r="G2106" s="2" t="s">
        <v>481</v>
      </c>
      <c r="H2106" s="2" t="s">
        <v>76</v>
      </c>
      <c r="I2106" s="9">
        <v>197881920</v>
      </c>
      <c r="J2106" s="7">
        <v>6.2500000000000001E-5</v>
      </c>
      <c r="K2106" s="9">
        <v>12367.62</v>
      </c>
      <c r="L2106" s="14">
        <v>0</v>
      </c>
      <c r="M2106" s="2" t="s">
        <v>71</v>
      </c>
      <c r="N2106" s="2" t="s">
        <v>16704</v>
      </c>
      <c r="O2106" s="2" t="s">
        <v>480</v>
      </c>
      <c r="P2106" s="9">
        <v>6.8</v>
      </c>
      <c r="Q2106" s="9">
        <v>12367.62</v>
      </c>
      <c r="R2106" s="2" t="s">
        <v>16705</v>
      </c>
    </row>
    <row r="2107" spans="1:18" x14ac:dyDescent="0.25">
      <c r="A2107" s="2" t="s">
        <v>482</v>
      </c>
      <c r="B2107" s="6">
        <v>46174</v>
      </c>
      <c r="C2107" s="8">
        <v>46200</v>
      </c>
      <c r="D2107" s="2" t="s">
        <v>136</v>
      </c>
      <c r="E2107" s="2" t="s">
        <v>260</v>
      </c>
      <c r="F2107" s="2" t="s">
        <v>16703</v>
      </c>
      <c r="G2107" s="2" t="s">
        <v>484</v>
      </c>
      <c r="H2107" s="2" t="s">
        <v>70</v>
      </c>
      <c r="I2107" s="9">
        <v>18858.090226</v>
      </c>
      <c r="J2107" s="7">
        <v>0.66500000000000004</v>
      </c>
      <c r="K2107" s="9">
        <v>12540.63</v>
      </c>
      <c r="L2107" s="14">
        <v>0</v>
      </c>
      <c r="M2107" s="2" t="s">
        <v>71</v>
      </c>
      <c r="N2107" s="2" t="s">
        <v>16704</v>
      </c>
      <c r="O2107" s="2" t="s">
        <v>483</v>
      </c>
      <c r="P2107" s="9">
        <v>6.9</v>
      </c>
      <c r="Q2107" s="9">
        <v>12540.63</v>
      </c>
      <c r="R2107" s="2" t="s">
        <v>16705</v>
      </c>
    </row>
    <row r="2108" spans="1:18" x14ac:dyDescent="0.25">
      <c r="A2108" s="2" t="s">
        <v>485</v>
      </c>
      <c r="B2108" s="6">
        <v>46174</v>
      </c>
      <c r="C2108" s="8">
        <v>46191</v>
      </c>
      <c r="D2108" s="2" t="s">
        <v>136</v>
      </c>
      <c r="E2108" s="2" t="s">
        <v>260</v>
      </c>
      <c r="F2108" s="2" t="s">
        <v>16703</v>
      </c>
      <c r="G2108" s="2" t="s">
        <v>487</v>
      </c>
      <c r="H2108" s="2" t="s">
        <v>39</v>
      </c>
      <c r="I2108" s="9">
        <v>5085.4560000000001</v>
      </c>
      <c r="J2108" s="7">
        <v>1</v>
      </c>
      <c r="K2108" s="9">
        <v>5085.46</v>
      </c>
      <c r="L2108" s="14">
        <v>0</v>
      </c>
      <c r="M2108" s="2" t="s">
        <v>71</v>
      </c>
      <c r="N2108" s="2" t="s">
        <v>16704</v>
      </c>
      <c r="O2108" s="2" t="s">
        <v>486</v>
      </c>
      <c r="P2108" s="9">
        <v>2.8</v>
      </c>
      <c r="Q2108" s="9">
        <v>5085.46</v>
      </c>
      <c r="R2108" s="2" t="s">
        <v>16705</v>
      </c>
    </row>
    <row r="2109" spans="1:18" x14ac:dyDescent="0.25">
      <c r="A2109" s="2" t="s">
        <v>488</v>
      </c>
      <c r="B2109" s="6">
        <v>46204</v>
      </c>
      <c r="C2109" s="8">
        <v>46216</v>
      </c>
      <c r="D2109" s="2" t="s">
        <v>136</v>
      </c>
      <c r="E2109" s="2" t="s">
        <v>260</v>
      </c>
      <c r="F2109" s="2" t="s">
        <v>16703</v>
      </c>
      <c r="G2109" s="2" t="s">
        <v>489</v>
      </c>
      <c r="H2109" s="2" t="s">
        <v>39</v>
      </c>
      <c r="I2109" s="9">
        <v>7628.1840000000002</v>
      </c>
      <c r="J2109" s="7">
        <v>1</v>
      </c>
      <c r="K2109" s="9">
        <v>7628.18</v>
      </c>
      <c r="L2109" s="14">
        <v>0</v>
      </c>
      <c r="M2109" s="2" t="s">
        <v>71</v>
      </c>
      <c r="N2109" s="2" t="s">
        <v>16706</v>
      </c>
      <c r="O2109" s="2" t="s">
        <v>486</v>
      </c>
      <c r="P2109" s="9">
        <v>4.2</v>
      </c>
      <c r="Q2109" s="9">
        <v>7628.18</v>
      </c>
      <c r="R2109" s="2" t="s">
        <v>16707</v>
      </c>
    </row>
    <row r="2110" spans="1:18" x14ac:dyDescent="0.25">
      <c r="A2110" s="2" t="s">
        <v>490</v>
      </c>
      <c r="B2110" s="6">
        <v>46174</v>
      </c>
      <c r="C2110" s="8">
        <v>46192</v>
      </c>
      <c r="D2110" s="2" t="s">
        <v>136</v>
      </c>
      <c r="E2110" s="2" t="s">
        <v>260</v>
      </c>
      <c r="F2110" s="2" t="s">
        <v>16703</v>
      </c>
      <c r="G2110" s="2" t="s">
        <v>492</v>
      </c>
      <c r="H2110" s="2" t="s">
        <v>76</v>
      </c>
      <c r="I2110" s="9">
        <v>82474560</v>
      </c>
      <c r="J2110" s="7">
        <v>6.2500000000000001E-5</v>
      </c>
      <c r="K2110" s="9">
        <v>5154.66</v>
      </c>
      <c r="L2110" s="14">
        <v>0</v>
      </c>
      <c r="M2110" s="2" t="s">
        <v>71</v>
      </c>
      <c r="N2110" s="2" t="s">
        <v>16704</v>
      </c>
      <c r="O2110" s="2" t="s">
        <v>491</v>
      </c>
      <c r="P2110" s="9">
        <v>2.84</v>
      </c>
      <c r="Q2110" s="9">
        <v>5154.66</v>
      </c>
      <c r="R2110" s="2" t="s">
        <v>16705</v>
      </c>
    </row>
    <row r="2111" spans="1:18" x14ac:dyDescent="0.25">
      <c r="A2111" s="2" t="s">
        <v>493</v>
      </c>
      <c r="B2111" s="6">
        <v>46204</v>
      </c>
      <c r="C2111" s="8">
        <v>46217</v>
      </c>
      <c r="D2111" s="2" t="s">
        <v>136</v>
      </c>
      <c r="E2111" s="2" t="s">
        <v>260</v>
      </c>
      <c r="F2111" s="2" t="s">
        <v>16703</v>
      </c>
      <c r="G2111" s="2" t="s">
        <v>494</v>
      </c>
      <c r="H2111" s="2" t="s">
        <v>76</v>
      </c>
      <c r="I2111" s="9">
        <v>123711840</v>
      </c>
      <c r="J2111" s="7">
        <v>6.2000000000000003E-5</v>
      </c>
      <c r="K2111" s="9">
        <v>7670.13</v>
      </c>
      <c r="L2111" s="14">
        <v>0</v>
      </c>
      <c r="M2111" s="2" t="s">
        <v>71</v>
      </c>
      <c r="N2111" s="2" t="s">
        <v>16706</v>
      </c>
      <c r="O2111" s="2" t="s">
        <v>491</v>
      </c>
      <c r="P2111" s="9">
        <v>4.22</v>
      </c>
      <c r="Q2111" s="9">
        <v>7731.99</v>
      </c>
      <c r="R2111" s="2" t="s">
        <v>16707</v>
      </c>
    </row>
    <row r="2112" spans="1:18" x14ac:dyDescent="0.25">
      <c r="A2112" s="2" t="s">
        <v>495</v>
      </c>
      <c r="B2112" s="6">
        <v>46174</v>
      </c>
      <c r="C2112" s="8">
        <v>46203</v>
      </c>
      <c r="D2112" s="2" t="s">
        <v>136</v>
      </c>
      <c r="E2112" s="2" t="s">
        <v>260</v>
      </c>
      <c r="F2112" s="2" t="s">
        <v>16703</v>
      </c>
      <c r="G2112" s="2" t="s">
        <v>497</v>
      </c>
      <c r="H2112" s="2" t="s">
        <v>70</v>
      </c>
      <c r="I2112" s="9">
        <v>19638.586466000001</v>
      </c>
      <c r="J2112" s="7">
        <v>0.66500000000000004</v>
      </c>
      <c r="K2112" s="9">
        <v>13059.66</v>
      </c>
      <c r="L2112" s="14">
        <v>0</v>
      </c>
      <c r="M2112" s="2" t="s">
        <v>71</v>
      </c>
      <c r="N2112" s="2" t="s">
        <v>16704</v>
      </c>
      <c r="O2112" s="2" t="s">
        <v>496</v>
      </c>
      <c r="P2112" s="9">
        <v>7.18</v>
      </c>
      <c r="Q2112" s="9">
        <v>13059.66</v>
      </c>
      <c r="R2112" s="2" t="s">
        <v>16705</v>
      </c>
    </row>
    <row r="2113" spans="1:18" x14ac:dyDescent="0.25">
      <c r="A2113" s="2" t="s">
        <v>498</v>
      </c>
      <c r="B2113" s="6">
        <v>46204</v>
      </c>
      <c r="C2113" s="8">
        <v>46204</v>
      </c>
      <c r="D2113" s="2" t="s">
        <v>136</v>
      </c>
      <c r="E2113" s="2" t="s">
        <v>260</v>
      </c>
      <c r="F2113" s="2" t="s">
        <v>16703</v>
      </c>
      <c r="G2113" s="2" t="s">
        <v>500</v>
      </c>
      <c r="H2113" s="2" t="s">
        <v>39</v>
      </c>
      <c r="I2113" s="9">
        <v>13232.67</v>
      </c>
      <c r="J2113" s="7">
        <v>1</v>
      </c>
      <c r="K2113" s="9">
        <v>13232.67</v>
      </c>
      <c r="L2113" s="14">
        <v>0</v>
      </c>
      <c r="M2113" s="2" t="s">
        <v>71</v>
      </c>
      <c r="N2113" s="2" t="s">
        <v>16706</v>
      </c>
      <c r="O2113" s="2" t="s">
        <v>499</v>
      </c>
      <c r="P2113" s="9">
        <v>7.28</v>
      </c>
      <c r="Q2113" s="9">
        <v>13232.67</v>
      </c>
      <c r="R2113" s="2" t="s">
        <v>16707</v>
      </c>
    </row>
    <row r="2114" spans="1:18" x14ac:dyDescent="0.25">
      <c r="A2114" s="2" t="s">
        <v>501</v>
      </c>
      <c r="B2114" s="6">
        <v>46174</v>
      </c>
      <c r="C2114" s="8">
        <v>46195</v>
      </c>
      <c r="D2114" s="2" t="s">
        <v>136</v>
      </c>
      <c r="E2114" s="2" t="s">
        <v>260</v>
      </c>
      <c r="F2114" s="2" t="s">
        <v>16703</v>
      </c>
      <c r="G2114" s="2" t="s">
        <v>503</v>
      </c>
      <c r="H2114" s="2" t="s">
        <v>76</v>
      </c>
      <c r="I2114" s="9">
        <v>85796352</v>
      </c>
      <c r="J2114" s="7">
        <v>6.2500000000000001E-5</v>
      </c>
      <c r="K2114" s="9">
        <v>5362.27</v>
      </c>
      <c r="L2114" s="14">
        <v>0</v>
      </c>
      <c r="M2114" s="2" t="s">
        <v>71</v>
      </c>
      <c r="N2114" s="2" t="s">
        <v>16704</v>
      </c>
      <c r="O2114" s="2" t="s">
        <v>502</v>
      </c>
      <c r="P2114" s="9">
        <v>2.95</v>
      </c>
      <c r="Q2114" s="9">
        <v>5362.27</v>
      </c>
      <c r="R2114" s="2" t="s">
        <v>16705</v>
      </c>
    </row>
    <row r="2115" spans="1:18" x14ac:dyDescent="0.25">
      <c r="A2115" s="2" t="s">
        <v>504</v>
      </c>
      <c r="B2115" s="6">
        <v>46204</v>
      </c>
      <c r="C2115" s="8">
        <v>46220</v>
      </c>
      <c r="D2115" s="2" t="s">
        <v>136</v>
      </c>
      <c r="E2115" s="2" t="s">
        <v>260</v>
      </c>
      <c r="F2115" s="2" t="s">
        <v>16703</v>
      </c>
      <c r="G2115" s="2" t="s">
        <v>505</v>
      </c>
      <c r="H2115" s="2" t="s">
        <v>76</v>
      </c>
      <c r="I2115" s="9">
        <v>128694528</v>
      </c>
      <c r="J2115" s="7">
        <v>6.2000000000000003E-5</v>
      </c>
      <c r="K2115" s="9">
        <v>7979.06</v>
      </c>
      <c r="L2115" s="14">
        <v>0</v>
      </c>
      <c r="M2115" s="2" t="s">
        <v>71</v>
      </c>
      <c r="N2115" s="2" t="s">
        <v>16706</v>
      </c>
      <c r="O2115" s="2" t="s">
        <v>502</v>
      </c>
      <c r="P2115" s="9">
        <v>4.3899999999999997</v>
      </c>
      <c r="Q2115" s="9">
        <v>8043.41</v>
      </c>
      <c r="R2115" s="2" t="s">
        <v>16707</v>
      </c>
    </row>
    <row r="2116" spans="1:18" x14ac:dyDescent="0.25">
      <c r="A2116" s="2" t="s">
        <v>506</v>
      </c>
      <c r="B2116" s="6">
        <v>46204</v>
      </c>
      <c r="C2116" s="8">
        <v>46206</v>
      </c>
      <c r="D2116" s="2" t="s">
        <v>136</v>
      </c>
      <c r="E2116" s="2" t="s">
        <v>260</v>
      </c>
      <c r="F2116" s="2" t="s">
        <v>16703</v>
      </c>
      <c r="G2116" s="2" t="s">
        <v>508</v>
      </c>
      <c r="H2116" s="2" t="s">
        <v>70</v>
      </c>
      <c r="I2116" s="9">
        <v>20419.082707000001</v>
      </c>
      <c r="J2116" s="7">
        <v>0.65800000000000003</v>
      </c>
      <c r="K2116" s="9">
        <v>13435.76</v>
      </c>
      <c r="L2116" s="14">
        <v>0</v>
      </c>
      <c r="M2116" s="2" t="s">
        <v>71</v>
      </c>
      <c r="N2116" s="2" t="s">
        <v>16706</v>
      </c>
      <c r="O2116" s="2" t="s">
        <v>507</v>
      </c>
      <c r="P2116" s="9">
        <v>7.39</v>
      </c>
      <c r="Q2116" s="9">
        <v>13578.69</v>
      </c>
      <c r="R2116" s="2" t="s">
        <v>16707</v>
      </c>
    </row>
    <row r="2117" spans="1:18" x14ac:dyDescent="0.25">
      <c r="A2117" s="2" t="s">
        <v>509</v>
      </c>
      <c r="B2117" s="6">
        <v>46204</v>
      </c>
      <c r="C2117" s="8">
        <v>46207</v>
      </c>
      <c r="D2117" s="2" t="s">
        <v>136</v>
      </c>
      <c r="E2117" s="2" t="s">
        <v>260</v>
      </c>
      <c r="F2117" s="2" t="s">
        <v>16703</v>
      </c>
      <c r="G2117" s="2" t="s">
        <v>511</v>
      </c>
      <c r="H2117" s="2" t="s">
        <v>39</v>
      </c>
      <c r="I2117" s="9">
        <v>13751.7</v>
      </c>
      <c r="J2117" s="7">
        <v>1</v>
      </c>
      <c r="K2117" s="9">
        <v>13751.7</v>
      </c>
      <c r="L2117" s="14">
        <v>0</v>
      </c>
      <c r="M2117" s="2" t="s">
        <v>71</v>
      </c>
      <c r="N2117" s="2" t="s">
        <v>16706</v>
      </c>
      <c r="O2117" s="2" t="s">
        <v>510</v>
      </c>
      <c r="P2117" s="9">
        <v>7.56</v>
      </c>
      <c r="Q2117" s="9">
        <v>13751.7</v>
      </c>
      <c r="R2117" s="2" t="s">
        <v>16707</v>
      </c>
    </row>
    <row r="2118" spans="1:18" x14ac:dyDescent="0.25">
      <c r="A2118" s="2" t="s">
        <v>512</v>
      </c>
      <c r="B2118" s="6">
        <v>46204</v>
      </c>
      <c r="C2118" s="8">
        <v>46208</v>
      </c>
      <c r="D2118" s="2" t="s">
        <v>136</v>
      </c>
      <c r="E2118" s="2" t="s">
        <v>260</v>
      </c>
      <c r="F2118" s="2" t="s">
        <v>16703</v>
      </c>
      <c r="G2118" s="2" t="s">
        <v>514</v>
      </c>
      <c r="H2118" s="2" t="s">
        <v>76</v>
      </c>
      <c r="I2118" s="9">
        <v>222795360</v>
      </c>
      <c r="J2118" s="7">
        <v>6.2000000000000003E-5</v>
      </c>
      <c r="K2118" s="9">
        <v>13813.31</v>
      </c>
      <c r="L2118" s="14">
        <v>0</v>
      </c>
      <c r="M2118" s="2" t="s">
        <v>71</v>
      </c>
      <c r="N2118" s="2" t="s">
        <v>16706</v>
      </c>
      <c r="O2118" s="2" t="s">
        <v>513</v>
      </c>
      <c r="P2118" s="9">
        <v>7.6</v>
      </c>
      <c r="Q2118" s="9">
        <v>13924.71</v>
      </c>
      <c r="R2118" s="2" t="s">
        <v>16707</v>
      </c>
    </row>
    <row r="2119" spans="1:18" x14ac:dyDescent="0.25">
      <c r="A2119" s="2" t="s">
        <v>515</v>
      </c>
      <c r="B2119" s="6">
        <v>46204</v>
      </c>
      <c r="C2119" s="8">
        <v>46209</v>
      </c>
      <c r="D2119" s="2" t="s">
        <v>136</v>
      </c>
      <c r="E2119" s="2" t="s">
        <v>260</v>
      </c>
      <c r="F2119" s="2" t="s">
        <v>16703</v>
      </c>
      <c r="G2119" s="2" t="s">
        <v>517</v>
      </c>
      <c r="H2119" s="2" t="s">
        <v>70</v>
      </c>
      <c r="I2119" s="9">
        <v>21199.578947000002</v>
      </c>
      <c r="J2119" s="7">
        <v>0.65800000000000003</v>
      </c>
      <c r="K2119" s="9">
        <v>13949.32</v>
      </c>
      <c r="L2119" s="14">
        <v>0</v>
      </c>
      <c r="M2119" s="2" t="s">
        <v>71</v>
      </c>
      <c r="N2119" s="2" t="s">
        <v>16706</v>
      </c>
      <c r="O2119" s="2" t="s">
        <v>516</v>
      </c>
      <c r="P2119" s="9">
        <v>7.67</v>
      </c>
      <c r="Q2119" s="9">
        <v>14097.72</v>
      </c>
      <c r="R2119" s="2" t="s">
        <v>16707</v>
      </c>
    </row>
    <row r="2120" spans="1:18" x14ac:dyDescent="0.25">
      <c r="A2120" s="2" t="s">
        <v>518</v>
      </c>
      <c r="B2120" s="6">
        <v>46204</v>
      </c>
      <c r="C2120" s="8">
        <v>46210</v>
      </c>
      <c r="D2120" s="2" t="s">
        <v>136</v>
      </c>
      <c r="E2120" s="2" t="s">
        <v>260</v>
      </c>
      <c r="F2120" s="2" t="s">
        <v>16703</v>
      </c>
      <c r="G2120" s="2" t="s">
        <v>520</v>
      </c>
      <c r="H2120" s="2" t="s">
        <v>39</v>
      </c>
      <c r="I2120" s="9">
        <v>14270.73</v>
      </c>
      <c r="J2120" s="7">
        <v>1</v>
      </c>
      <c r="K2120" s="9">
        <v>14270.73</v>
      </c>
      <c r="L2120" s="14">
        <v>0</v>
      </c>
      <c r="M2120" s="2" t="s">
        <v>71</v>
      </c>
      <c r="N2120" s="2" t="s">
        <v>16706</v>
      </c>
      <c r="O2120" s="2" t="s">
        <v>519</v>
      </c>
      <c r="P2120" s="9">
        <v>7.85</v>
      </c>
      <c r="Q2120" s="9">
        <v>14270.73</v>
      </c>
      <c r="R2120" s="2" t="s">
        <v>16707</v>
      </c>
    </row>
    <row r="2121" spans="1:18" x14ac:dyDescent="0.25">
      <c r="A2121" s="2" t="s">
        <v>521</v>
      </c>
      <c r="B2121" s="6">
        <v>46174</v>
      </c>
      <c r="C2121" s="8">
        <v>46201</v>
      </c>
      <c r="D2121" s="2" t="s">
        <v>136</v>
      </c>
      <c r="E2121" s="2" t="s">
        <v>260</v>
      </c>
      <c r="F2121" s="2" t="s">
        <v>16703</v>
      </c>
      <c r="G2121" s="2" t="s">
        <v>523</v>
      </c>
      <c r="H2121" s="2" t="s">
        <v>76</v>
      </c>
      <c r="I2121" s="9">
        <v>92439936</v>
      </c>
      <c r="J2121" s="7">
        <v>6.2500000000000001E-5</v>
      </c>
      <c r="K2121" s="9">
        <v>5777.5</v>
      </c>
      <c r="L2121" s="14">
        <v>0</v>
      </c>
      <c r="M2121" s="2" t="s">
        <v>71</v>
      </c>
      <c r="N2121" s="2" t="s">
        <v>16704</v>
      </c>
      <c r="O2121" s="2" t="s">
        <v>522</v>
      </c>
      <c r="P2121" s="9">
        <v>3.18</v>
      </c>
      <c r="Q2121" s="9">
        <v>5777.5</v>
      </c>
      <c r="R2121" s="2" t="s">
        <v>16705</v>
      </c>
    </row>
    <row r="2122" spans="1:18" x14ac:dyDescent="0.25">
      <c r="A2122" s="2" t="s">
        <v>524</v>
      </c>
      <c r="B2122" s="6">
        <v>46204</v>
      </c>
      <c r="C2122" s="8">
        <v>46226</v>
      </c>
      <c r="D2122" s="2" t="s">
        <v>136</v>
      </c>
      <c r="E2122" s="2" t="s">
        <v>260</v>
      </c>
      <c r="F2122" s="2" t="s">
        <v>16703</v>
      </c>
      <c r="G2122" s="2" t="s">
        <v>525</v>
      </c>
      <c r="H2122" s="2" t="s">
        <v>76</v>
      </c>
      <c r="I2122" s="9">
        <v>138659904</v>
      </c>
      <c r="J2122" s="7">
        <v>6.2000000000000003E-5</v>
      </c>
      <c r="K2122" s="9">
        <v>8596.91</v>
      </c>
      <c r="L2122" s="14">
        <v>0</v>
      </c>
      <c r="M2122" s="2" t="s">
        <v>71</v>
      </c>
      <c r="N2122" s="2" t="s">
        <v>16706</v>
      </c>
      <c r="O2122" s="2" t="s">
        <v>522</v>
      </c>
      <c r="P2122" s="9">
        <v>4.7300000000000004</v>
      </c>
      <c r="Q2122" s="9">
        <v>8666.24</v>
      </c>
      <c r="R2122" s="2" t="s">
        <v>16707</v>
      </c>
    </row>
    <row r="2123" spans="1:18" x14ac:dyDescent="0.25">
      <c r="A2123" s="2" t="s">
        <v>526</v>
      </c>
      <c r="B2123" s="6">
        <v>46174</v>
      </c>
      <c r="C2123" s="8">
        <v>46202</v>
      </c>
      <c r="D2123" s="2" t="s">
        <v>136</v>
      </c>
      <c r="E2123" s="2" t="s">
        <v>260</v>
      </c>
      <c r="F2123" s="2" t="s">
        <v>16703</v>
      </c>
      <c r="G2123" s="2" t="s">
        <v>528</v>
      </c>
      <c r="H2123" s="2" t="s">
        <v>70</v>
      </c>
      <c r="I2123" s="9">
        <v>8792.0300750000006</v>
      </c>
      <c r="J2123" s="7">
        <v>0.66500000000000004</v>
      </c>
      <c r="K2123" s="9">
        <v>5846.7</v>
      </c>
      <c r="L2123" s="14">
        <v>0</v>
      </c>
      <c r="M2123" s="2" t="s">
        <v>71</v>
      </c>
      <c r="N2123" s="2" t="s">
        <v>16704</v>
      </c>
      <c r="O2123" s="2" t="s">
        <v>527</v>
      </c>
      <c r="P2123" s="9">
        <v>3.22</v>
      </c>
      <c r="Q2123" s="9">
        <v>5846.7</v>
      </c>
      <c r="R2123" s="2" t="s">
        <v>16705</v>
      </c>
    </row>
    <row r="2124" spans="1:18" x14ac:dyDescent="0.25">
      <c r="A2124" s="2" t="s">
        <v>529</v>
      </c>
      <c r="B2124" s="6">
        <v>46204</v>
      </c>
      <c r="C2124" s="8">
        <v>46227</v>
      </c>
      <c r="D2124" s="2" t="s">
        <v>136</v>
      </c>
      <c r="E2124" s="2" t="s">
        <v>260</v>
      </c>
      <c r="F2124" s="2" t="s">
        <v>16703</v>
      </c>
      <c r="G2124" s="2" t="s">
        <v>530</v>
      </c>
      <c r="H2124" s="2" t="s">
        <v>70</v>
      </c>
      <c r="I2124" s="9">
        <v>13188.045113</v>
      </c>
      <c r="J2124" s="7">
        <v>0.65800000000000003</v>
      </c>
      <c r="K2124" s="9">
        <v>8677.73</v>
      </c>
      <c r="L2124" s="14">
        <v>0</v>
      </c>
      <c r="M2124" s="2" t="s">
        <v>71</v>
      </c>
      <c r="N2124" s="2" t="s">
        <v>16706</v>
      </c>
      <c r="O2124" s="2" t="s">
        <v>527</v>
      </c>
      <c r="P2124" s="9">
        <v>4.7699999999999996</v>
      </c>
      <c r="Q2124" s="9">
        <v>8770.0499999999993</v>
      </c>
      <c r="R2124" s="2" t="s">
        <v>16707</v>
      </c>
    </row>
    <row r="2125" spans="1:18" x14ac:dyDescent="0.25">
      <c r="A2125" s="2" t="s">
        <v>531</v>
      </c>
      <c r="B2125" s="6">
        <v>46204</v>
      </c>
      <c r="C2125" s="8">
        <v>46213</v>
      </c>
      <c r="D2125" s="2" t="s">
        <v>136</v>
      </c>
      <c r="E2125" s="2" t="s">
        <v>260</v>
      </c>
      <c r="F2125" s="2" t="s">
        <v>16703</v>
      </c>
      <c r="G2125" s="2" t="s">
        <v>533</v>
      </c>
      <c r="H2125" s="2" t="s">
        <v>39</v>
      </c>
      <c r="I2125" s="9">
        <v>14789.76</v>
      </c>
      <c r="J2125" s="7">
        <v>1</v>
      </c>
      <c r="K2125" s="9">
        <v>14789.76</v>
      </c>
      <c r="L2125" s="14">
        <v>0</v>
      </c>
      <c r="M2125" s="2" t="s">
        <v>71</v>
      </c>
      <c r="N2125" s="2" t="s">
        <v>16706</v>
      </c>
      <c r="O2125" s="2" t="s">
        <v>532</v>
      </c>
      <c r="P2125" s="9">
        <v>8.1300000000000008</v>
      </c>
      <c r="Q2125" s="9">
        <v>14789.76</v>
      </c>
      <c r="R2125" s="2" t="s">
        <v>16707</v>
      </c>
    </row>
    <row r="2126" spans="1:18" x14ac:dyDescent="0.25">
      <c r="A2126" s="2" t="s">
        <v>534</v>
      </c>
      <c r="B2126" s="6">
        <v>46204</v>
      </c>
      <c r="C2126" s="8">
        <v>46214</v>
      </c>
      <c r="D2126" s="2" t="s">
        <v>136</v>
      </c>
      <c r="E2126" s="2" t="s">
        <v>260</v>
      </c>
      <c r="F2126" s="2" t="s">
        <v>16703</v>
      </c>
      <c r="G2126" s="2" t="s">
        <v>536</v>
      </c>
      <c r="H2126" s="2" t="s">
        <v>76</v>
      </c>
      <c r="I2126" s="9">
        <v>15404320</v>
      </c>
      <c r="J2126" s="7">
        <v>6.2000000000000003E-5</v>
      </c>
      <c r="K2126" s="9">
        <v>955.07</v>
      </c>
      <c r="L2126" s="14">
        <v>0</v>
      </c>
      <c r="M2126" s="2" t="s">
        <v>71</v>
      </c>
      <c r="N2126" s="2" t="s">
        <v>16706</v>
      </c>
      <c r="O2126" s="2" t="s">
        <v>535</v>
      </c>
      <c r="P2126" s="9">
        <v>1.8</v>
      </c>
      <c r="Q2126" s="9">
        <v>962.77</v>
      </c>
      <c r="R2126" s="2" t="s">
        <v>16707</v>
      </c>
    </row>
    <row r="2127" spans="1:18" x14ac:dyDescent="0.25">
      <c r="A2127" s="2" t="s">
        <v>537</v>
      </c>
      <c r="B2127" s="6">
        <v>46204</v>
      </c>
      <c r="C2127" s="8">
        <v>46205</v>
      </c>
      <c r="D2127" s="2" t="s">
        <v>136</v>
      </c>
      <c r="E2127" s="2" t="s">
        <v>260</v>
      </c>
      <c r="F2127" s="2" t="s">
        <v>16703</v>
      </c>
      <c r="G2127" s="2" t="s">
        <v>539</v>
      </c>
      <c r="H2127" s="2" t="s">
        <v>70</v>
      </c>
      <c r="I2127" s="9">
        <v>683.17593999999997</v>
      </c>
      <c r="J2127" s="7">
        <v>0.65800000000000003</v>
      </c>
      <c r="K2127" s="9">
        <v>449.53</v>
      </c>
      <c r="L2127" s="14">
        <v>0</v>
      </c>
      <c r="M2127" s="2" t="s">
        <v>71</v>
      </c>
      <c r="N2127" s="2" t="s">
        <v>16706</v>
      </c>
      <c r="O2127" s="2" t="s">
        <v>538</v>
      </c>
      <c r="P2127" s="9">
        <v>1.8</v>
      </c>
      <c r="Q2127" s="9">
        <v>454.31</v>
      </c>
      <c r="R2127" s="2" t="s">
        <v>16707</v>
      </c>
    </row>
    <row r="2128" spans="1:18" x14ac:dyDescent="0.25">
      <c r="A2128" s="2" t="s">
        <v>540</v>
      </c>
      <c r="B2128" s="6">
        <v>46204</v>
      </c>
      <c r="C2128" s="8">
        <v>46230</v>
      </c>
      <c r="D2128" s="2" t="s">
        <v>136</v>
      </c>
      <c r="E2128" s="2" t="s">
        <v>260</v>
      </c>
      <c r="F2128" s="2" t="s">
        <v>16703</v>
      </c>
      <c r="G2128" s="2" t="s">
        <v>541</v>
      </c>
      <c r="H2128" s="2" t="s">
        <v>70</v>
      </c>
      <c r="I2128" s="9">
        <v>1024.7639099999999</v>
      </c>
      <c r="J2128" s="7">
        <v>0.65800000000000003</v>
      </c>
      <c r="K2128" s="9">
        <v>674.29</v>
      </c>
      <c r="L2128" s="14">
        <v>0</v>
      </c>
      <c r="M2128" s="2" t="s">
        <v>71</v>
      </c>
      <c r="N2128" s="2" t="s">
        <v>16706</v>
      </c>
      <c r="O2128" s="2" t="s">
        <v>538</v>
      </c>
      <c r="P2128" s="9">
        <v>1.8</v>
      </c>
      <c r="Q2128" s="9">
        <v>681.47</v>
      </c>
      <c r="R2128" s="2" t="s">
        <v>16707</v>
      </c>
    </row>
    <row r="2129" spans="1:18" x14ac:dyDescent="0.25">
      <c r="A2129" s="2" t="s">
        <v>542</v>
      </c>
      <c r="B2129" s="6">
        <v>46204</v>
      </c>
      <c r="C2129" s="8">
        <v>46216</v>
      </c>
      <c r="D2129" s="2" t="s">
        <v>136</v>
      </c>
      <c r="E2129" s="2" t="s">
        <v>260</v>
      </c>
      <c r="F2129" s="2" t="s">
        <v>16703</v>
      </c>
      <c r="G2129" s="2" t="s">
        <v>544</v>
      </c>
      <c r="H2129" s="2" t="s">
        <v>39</v>
      </c>
      <c r="I2129" s="9">
        <v>1308.79</v>
      </c>
      <c r="J2129" s="7">
        <v>1</v>
      </c>
      <c r="K2129" s="9">
        <v>1308.79</v>
      </c>
      <c r="L2129" s="14">
        <v>0</v>
      </c>
      <c r="M2129" s="2" t="s">
        <v>71</v>
      </c>
      <c r="N2129" s="2" t="s">
        <v>16706</v>
      </c>
      <c r="O2129" s="2" t="s">
        <v>543</v>
      </c>
      <c r="P2129" s="9">
        <v>1.8</v>
      </c>
      <c r="Q2129" s="9">
        <v>1308.79</v>
      </c>
      <c r="R2129" s="2" t="s">
        <v>16707</v>
      </c>
    </row>
    <row r="2130" spans="1:18" x14ac:dyDescent="0.25">
      <c r="A2130" s="2" t="s">
        <v>545</v>
      </c>
      <c r="B2130" s="6">
        <v>46204</v>
      </c>
      <c r="C2130" s="8">
        <v>46217</v>
      </c>
      <c r="D2130" s="2" t="s">
        <v>136</v>
      </c>
      <c r="E2130" s="2" t="s">
        <v>260</v>
      </c>
      <c r="F2130" s="2" t="s">
        <v>16703</v>
      </c>
      <c r="G2130" s="2" t="s">
        <v>547</v>
      </c>
      <c r="H2130" s="2" t="s">
        <v>76</v>
      </c>
      <c r="I2130" s="9">
        <v>23708800</v>
      </c>
      <c r="J2130" s="7">
        <v>6.2000000000000003E-5</v>
      </c>
      <c r="K2130" s="9">
        <v>1469.95</v>
      </c>
      <c r="L2130" s="14">
        <v>0</v>
      </c>
      <c r="M2130" s="2" t="s">
        <v>71</v>
      </c>
      <c r="N2130" s="2" t="s">
        <v>16706</v>
      </c>
      <c r="O2130" s="2" t="s">
        <v>546</v>
      </c>
      <c r="P2130" s="9">
        <v>1.8</v>
      </c>
      <c r="Q2130" s="9">
        <v>1481.8</v>
      </c>
      <c r="R2130" s="2" t="s">
        <v>16707</v>
      </c>
    </row>
    <row r="2131" spans="1:18" x14ac:dyDescent="0.25">
      <c r="A2131" s="2" t="s">
        <v>548</v>
      </c>
      <c r="B2131" s="6">
        <v>46204</v>
      </c>
      <c r="C2131" s="8">
        <v>46218</v>
      </c>
      <c r="D2131" s="2" t="s">
        <v>136</v>
      </c>
      <c r="E2131" s="2" t="s">
        <v>260</v>
      </c>
      <c r="F2131" s="2" t="s">
        <v>16703</v>
      </c>
      <c r="G2131" s="2" t="s">
        <v>550</v>
      </c>
      <c r="H2131" s="2" t="s">
        <v>70</v>
      </c>
      <c r="I2131" s="9">
        <v>2488.4360900000001</v>
      </c>
      <c r="J2131" s="7">
        <v>0.65800000000000003</v>
      </c>
      <c r="K2131" s="9">
        <v>1637.39</v>
      </c>
      <c r="L2131" s="14">
        <v>0</v>
      </c>
      <c r="M2131" s="2" t="s">
        <v>71</v>
      </c>
      <c r="N2131" s="2" t="s">
        <v>16706</v>
      </c>
      <c r="O2131" s="2" t="s">
        <v>549</v>
      </c>
      <c r="P2131" s="9">
        <v>1.8</v>
      </c>
      <c r="Q2131" s="9">
        <v>1654.81</v>
      </c>
      <c r="R2131" s="2" t="s">
        <v>16707</v>
      </c>
    </row>
    <row r="2132" spans="1:18" x14ac:dyDescent="0.25">
      <c r="A2132" s="2" t="s">
        <v>551</v>
      </c>
      <c r="B2132" s="6">
        <v>46204</v>
      </c>
      <c r="C2132" s="8">
        <v>46219</v>
      </c>
      <c r="D2132" s="2" t="s">
        <v>136</v>
      </c>
      <c r="E2132" s="2" t="s">
        <v>260</v>
      </c>
      <c r="F2132" s="2" t="s">
        <v>16703</v>
      </c>
      <c r="G2132" s="2" t="s">
        <v>553</v>
      </c>
      <c r="H2132" s="2" t="s">
        <v>39</v>
      </c>
      <c r="I2132" s="9">
        <v>-1827.82</v>
      </c>
      <c r="J2132" s="7">
        <v>1</v>
      </c>
      <c r="K2132" s="9">
        <v>-1827.82</v>
      </c>
      <c r="L2132" s="14">
        <v>0</v>
      </c>
      <c r="M2132" s="2" t="s">
        <v>71</v>
      </c>
      <c r="N2132" s="2" t="s">
        <v>16706</v>
      </c>
      <c r="O2132" s="2" t="s">
        <v>552</v>
      </c>
      <c r="P2132" s="9">
        <v>0</v>
      </c>
      <c r="Q2132" s="9">
        <v>-1827.82</v>
      </c>
      <c r="R2132" s="2" t="s">
        <v>16707</v>
      </c>
    </row>
    <row r="2133" spans="1:18" x14ac:dyDescent="0.25">
      <c r="A2133" s="2" t="s">
        <v>554</v>
      </c>
      <c r="B2133" s="6">
        <v>46204</v>
      </c>
      <c r="C2133" s="8">
        <v>46220</v>
      </c>
      <c r="D2133" s="2" t="s">
        <v>136</v>
      </c>
      <c r="E2133" s="2" t="s">
        <v>260</v>
      </c>
      <c r="F2133" s="2" t="s">
        <v>16703</v>
      </c>
      <c r="G2133" s="2" t="s">
        <v>556</v>
      </c>
      <c r="H2133" s="2" t="s">
        <v>76</v>
      </c>
      <c r="I2133" s="9">
        <v>32013280</v>
      </c>
      <c r="J2133" s="7">
        <v>6.2000000000000003E-5</v>
      </c>
      <c r="K2133" s="9">
        <v>1984.82</v>
      </c>
      <c r="L2133" s="14">
        <v>0</v>
      </c>
      <c r="M2133" s="2" t="s">
        <v>71</v>
      </c>
      <c r="N2133" s="2" t="s">
        <v>16706</v>
      </c>
      <c r="O2133" s="2" t="s">
        <v>555</v>
      </c>
      <c r="P2133" s="9">
        <v>1.8</v>
      </c>
      <c r="Q2133" s="9">
        <v>2000.83</v>
      </c>
      <c r="R2133" s="2" t="s">
        <v>16707</v>
      </c>
    </row>
    <row r="2134" spans="1:18" x14ac:dyDescent="0.25">
      <c r="A2134" s="2" t="s">
        <v>557</v>
      </c>
      <c r="B2134" s="6">
        <v>46204</v>
      </c>
      <c r="C2134" s="8">
        <v>46211</v>
      </c>
      <c r="D2134" s="2" t="s">
        <v>136</v>
      </c>
      <c r="E2134" s="2" t="s">
        <v>260</v>
      </c>
      <c r="F2134" s="2" t="s">
        <v>16703</v>
      </c>
      <c r="G2134" s="2" t="s">
        <v>559</v>
      </c>
      <c r="H2134" s="2" t="s">
        <v>70</v>
      </c>
      <c r="I2134" s="9">
        <v>1307.572932</v>
      </c>
      <c r="J2134" s="7">
        <v>0.65800000000000003</v>
      </c>
      <c r="K2134" s="9">
        <v>860.38</v>
      </c>
      <c r="L2134" s="14">
        <v>0</v>
      </c>
      <c r="M2134" s="2" t="s">
        <v>71</v>
      </c>
      <c r="N2134" s="2" t="s">
        <v>16706</v>
      </c>
      <c r="O2134" s="2" t="s">
        <v>558</v>
      </c>
      <c r="P2134" s="9">
        <v>1.8</v>
      </c>
      <c r="Q2134" s="9">
        <v>869.54</v>
      </c>
      <c r="R2134" s="2" t="s">
        <v>16707</v>
      </c>
    </row>
    <row r="2135" spans="1:18" x14ac:dyDescent="0.25">
      <c r="A2135" s="2" t="s">
        <v>562</v>
      </c>
      <c r="B2135" s="6">
        <v>46204</v>
      </c>
      <c r="C2135" s="8">
        <v>46212</v>
      </c>
      <c r="D2135" s="2" t="s">
        <v>136</v>
      </c>
      <c r="E2135" s="2" t="s">
        <v>260</v>
      </c>
      <c r="F2135" s="2" t="s">
        <v>16703</v>
      </c>
      <c r="G2135" s="2" t="s">
        <v>564</v>
      </c>
      <c r="H2135" s="2" t="s">
        <v>39</v>
      </c>
      <c r="I2135" s="9">
        <v>938.74</v>
      </c>
      <c r="J2135" s="7">
        <v>1</v>
      </c>
      <c r="K2135" s="9">
        <v>938.74</v>
      </c>
      <c r="L2135" s="14">
        <v>0</v>
      </c>
      <c r="M2135" s="2" t="s">
        <v>71</v>
      </c>
      <c r="N2135" s="2" t="s">
        <v>16706</v>
      </c>
      <c r="O2135" s="2" t="s">
        <v>563</v>
      </c>
      <c r="P2135" s="9">
        <v>1.8</v>
      </c>
      <c r="Q2135" s="9">
        <v>938.74</v>
      </c>
      <c r="R2135" s="2" t="s">
        <v>16707</v>
      </c>
    </row>
    <row r="2136" spans="1:18" x14ac:dyDescent="0.25">
      <c r="A2136" s="2" t="s">
        <v>567</v>
      </c>
      <c r="B2136" s="6">
        <v>46204</v>
      </c>
      <c r="C2136" s="8">
        <v>46223</v>
      </c>
      <c r="D2136" s="2" t="s">
        <v>136</v>
      </c>
      <c r="E2136" s="2" t="s">
        <v>260</v>
      </c>
      <c r="F2136" s="2" t="s">
        <v>16703</v>
      </c>
      <c r="G2136" s="2" t="s">
        <v>569</v>
      </c>
      <c r="H2136" s="2" t="s">
        <v>76</v>
      </c>
      <c r="I2136" s="9">
        <v>40317760</v>
      </c>
      <c r="J2136" s="7">
        <v>6.2000000000000003E-5</v>
      </c>
      <c r="K2136" s="9">
        <v>2499.6999999999998</v>
      </c>
      <c r="L2136" s="14">
        <v>0</v>
      </c>
      <c r="M2136" s="2" t="s">
        <v>71</v>
      </c>
      <c r="N2136" s="2" t="s">
        <v>16706</v>
      </c>
      <c r="O2136" s="2" t="s">
        <v>568</v>
      </c>
      <c r="P2136" s="9">
        <v>1.8</v>
      </c>
      <c r="Q2136" s="9">
        <v>2519.86</v>
      </c>
      <c r="R2136" s="2" t="s">
        <v>16707</v>
      </c>
    </row>
    <row r="2137" spans="1:18" x14ac:dyDescent="0.25">
      <c r="A2137" s="2" t="s">
        <v>570</v>
      </c>
      <c r="B2137" s="6">
        <v>46204</v>
      </c>
      <c r="C2137" s="8">
        <v>46224</v>
      </c>
      <c r="D2137" s="2" t="s">
        <v>136</v>
      </c>
      <c r="E2137" s="2" t="s">
        <v>260</v>
      </c>
      <c r="F2137" s="2" t="s">
        <v>16703</v>
      </c>
      <c r="G2137" s="2" t="s">
        <v>572</v>
      </c>
      <c r="H2137" s="2" t="s">
        <v>70</v>
      </c>
      <c r="I2137" s="9">
        <v>4049.4285709999999</v>
      </c>
      <c r="J2137" s="7">
        <v>0.65800000000000003</v>
      </c>
      <c r="K2137" s="9">
        <v>2664.52</v>
      </c>
      <c r="L2137" s="14">
        <v>0</v>
      </c>
      <c r="M2137" s="2" t="s">
        <v>71</v>
      </c>
      <c r="N2137" s="2" t="s">
        <v>16706</v>
      </c>
      <c r="O2137" s="2" t="s">
        <v>571</v>
      </c>
      <c r="P2137" s="9">
        <v>1.8</v>
      </c>
      <c r="Q2137" s="9">
        <v>2692.87</v>
      </c>
      <c r="R2137" s="2" t="s">
        <v>16707</v>
      </c>
    </row>
    <row r="2138" spans="1:18" x14ac:dyDescent="0.25">
      <c r="A2138" s="2" t="s">
        <v>573</v>
      </c>
      <c r="B2138" s="6">
        <v>46204</v>
      </c>
      <c r="C2138" s="8">
        <v>46215</v>
      </c>
      <c r="D2138" s="2" t="s">
        <v>136</v>
      </c>
      <c r="E2138" s="2" t="s">
        <v>260</v>
      </c>
      <c r="F2138" s="2" t="s">
        <v>16703</v>
      </c>
      <c r="G2138" s="2" t="s">
        <v>575</v>
      </c>
      <c r="H2138" s="2" t="s">
        <v>39</v>
      </c>
      <c r="I2138" s="9">
        <v>1146.3520000000001</v>
      </c>
      <c r="J2138" s="7">
        <v>1</v>
      </c>
      <c r="K2138" s="9">
        <v>1146.3499999999999</v>
      </c>
      <c r="L2138" s="14">
        <v>0</v>
      </c>
      <c r="M2138" s="2" t="s">
        <v>71</v>
      </c>
      <c r="N2138" s="2" t="s">
        <v>16706</v>
      </c>
      <c r="O2138" s="2" t="s">
        <v>574</v>
      </c>
      <c r="P2138" s="9">
        <v>1.8</v>
      </c>
      <c r="Q2138" s="9">
        <v>1146.3499999999999</v>
      </c>
      <c r="R2138" s="2" t="s">
        <v>16707</v>
      </c>
    </row>
    <row r="2139" spans="1:18" x14ac:dyDescent="0.25">
      <c r="A2139" s="2" t="s">
        <v>578</v>
      </c>
      <c r="B2139" s="6">
        <v>46204</v>
      </c>
      <c r="C2139" s="8">
        <v>46226</v>
      </c>
      <c r="D2139" s="2" t="s">
        <v>136</v>
      </c>
      <c r="E2139" s="2" t="s">
        <v>260</v>
      </c>
      <c r="F2139" s="2" t="s">
        <v>16703</v>
      </c>
      <c r="G2139" s="2" t="s">
        <v>580</v>
      </c>
      <c r="H2139" s="2" t="s">
        <v>76</v>
      </c>
      <c r="I2139" s="9">
        <v>48622240</v>
      </c>
      <c r="J2139" s="7">
        <v>6.2000000000000003E-5</v>
      </c>
      <c r="K2139" s="9">
        <v>3014.58</v>
      </c>
      <c r="L2139" s="14">
        <v>0</v>
      </c>
      <c r="M2139" s="2" t="s">
        <v>71</v>
      </c>
      <c r="N2139" s="2" t="s">
        <v>16706</v>
      </c>
      <c r="O2139" s="2" t="s">
        <v>579</v>
      </c>
      <c r="P2139" s="9">
        <v>1.8</v>
      </c>
      <c r="Q2139" s="9">
        <v>3038.89</v>
      </c>
      <c r="R2139" s="2" t="s">
        <v>16707</v>
      </c>
    </row>
    <row r="2140" spans="1:18" x14ac:dyDescent="0.25">
      <c r="A2140" s="2" t="s">
        <v>581</v>
      </c>
      <c r="B2140" s="6">
        <v>46204</v>
      </c>
      <c r="C2140" s="8">
        <v>46227</v>
      </c>
      <c r="D2140" s="2" t="s">
        <v>136</v>
      </c>
      <c r="E2140" s="2" t="s">
        <v>260</v>
      </c>
      <c r="F2140" s="2" t="s">
        <v>16703</v>
      </c>
      <c r="G2140" s="2" t="s">
        <v>583</v>
      </c>
      <c r="H2140" s="2" t="s">
        <v>70</v>
      </c>
      <c r="I2140" s="9">
        <v>4829.9248120000002</v>
      </c>
      <c r="J2140" s="7">
        <v>0.65800000000000003</v>
      </c>
      <c r="K2140" s="9">
        <v>3178.09</v>
      </c>
      <c r="L2140" s="14">
        <v>0</v>
      </c>
      <c r="M2140" s="2" t="s">
        <v>71</v>
      </c>
      <c r="N2140" s="2" t="s">
        <v>16706</v>
      </c>
      <c r="O2140" s="2" t="s">
        <v>582</v>
      </c>
      <c r="P2140" s="9">
        <v>1.8</v>
      </c>
      <c r="Q2140" s="9">
        <v>3211.9</v>
      </c>
      <c r="R2140" s="2" t="s">
        <v>16707</v>
      </c>
    </row>
    <row r="2141" spans="1:18" x14ac:dyDescent="0.25">
      <c r="A2141" s="2" t="s">
        <v>584</v>
      </c>
      <c r="B2141" s="6">
        <v>46174</v>
      </c>
      <c r="C2141" s="8">
        <v>46198</v>
      </c>
      <c r="D2141" s="2" t="s">
        <v>136</v>
      </c>
      <c r="E2141" s="2" t="s">
        <v>260</v>
      </c>
      <c r="F2141" s="2" t="s">
        <v>16703</v>
      </c>
      <c r="G2141" s="2" t="s">
        <v>586</v>
      </c>
      <c r="H2141" s="2" t="s">
        <v>39</v>
      </c>
      <c r="I2141" s="9">
        <v>3384.91</v>
      </c>
      <c r="J2141" s="7">
        <v>1</v>
      </c>
      <c r="K2141" s="9">
        <v>3384.91</v>
      </c>
      <c r="L2141" s="14">
        <v>0</v>
      </c>
      <c r="M2141" s="2" t="s">
        <v>71</v>
      </c>
      <c r="N2141" s="2" t="s">
        <v>16704</v>
      </c>
      <c r="O2141" s="2" t="s">
        <v>585</v>
      </c>
      <c r="P2141" s="9">
        <v>1.86</v>
      </c>
      <c r="Q2141" s="9">
        <v>3384.91</v>
      </c>
      <c r="R2141" s="2" t="s">
        <v>16705</v>
      </c>
    </row>
    <row r="2142" spans="1:18" x14ac:dyDescent="0.25">
      <c r="A2142" s="2" t="s">
        <v>587</v>
      </c>
      <c r="B2142" s="6">
        <v>46174</v>
      </c>
      <c r="C2142" s="8">
        <v>46199</v>
      </c>
      <c r="D2142" s="2" t="s">
        <v>136</v>
      </c>
      <c r="E2142" s="2" t="s">
        <v>260</v>
      </c>
      <c r="F2142" s="2" t="s">
        <v>16703</v>
      </c>
      <c r="G2142" s="2" t="s">
        <v>589</v>
      </c>
      <c r="H2142" s="2" t="s">
        <v>76</v>
      </c>
      <c r="I2142" s="9">
        <v>56926720</v>
      </c>
      <c r="J2142" s="7">
        <v>6.2500000000000001E-5</v>
      </c>
      <c r="K2142" s="9">
        <v>3557.92</v>
      </c>
      <c r="L2142" s="14">
        <v>0</v>
      </c>
      <c r="M2142" s="2" t="s">
        <v>71</v>
      </c>
      <c r="N2142" s="2" t="s">
        <v>16704</v>
      </c>
      <c r="O2142" s="2" t="s">
        <v>588</v>
      </c>
      <c r="P2142" s="9">
        <v>1.96</v>
      </c>
      <c r="Q2142" s="9">
        <v>3557.92</v>
      </c>
      <c r="R2142" s="2" t="s">
        <v>16705</v>
      </c>
    </row>
    <row r="2143" spans="1:18" x14ac:dyDescent="0.25">
      <c r="A2143" s="2" t="s">
        <v>590</v>
      </c>
      <c r="B2143" s="6">
        <v>46174</v>
      </c>
      <c r="C2143" s="8">
        <v>46200</v>
      </c>
      <c r="D2143" s="2" t="s">
        <v>136</v>
      </c>
      <c r="E2143" s="2" t="s">
        <v>260</v>
      </c>
      <c r="F2143" s="2" t="s">
        <v>16703</v>
      </c>
      <c r="G2143" s="2" t="s">
        <v>592</v>
      </c>
      <c r="H2143" s="2" t="s">
        <v>70</v>
      </c>
      <c r="I2143" s="9">
        <v>5610.421053</v>
      </c>
      <c r="J2143" s="7">
        <v>0.66500000000000004</v>
      </c>
      <c r="K2143" s="9">
        <v>3730.93</v>
      </c>
      <c r="L2143" s="14">
        <v>0</v>
      </c>
      <c r="M2143" s="2" t="s">
        <v>71</v>
      </c>
      <c r="N2143" s="2" t="s">
        <v>16704</v>
      </c>
      <c r="O2143" s="2" t="s">
        <v>591</v>
      </c>
      <c r="P2143" s="9">
        <v>2.0499999999999998</v>
      </c>
      <c r="Q2143" s="9">
        <v>3730.93</v>
      </c>
      <c r="R2143" s="2" t="s">
        <v>16705</v>
      </c>
    </row>
    <row r="2144" spans="1:18" x14ac:dyDescent="0.25">
      <c r="A2144" s="2" t="s">
        <v>593</v>
      </c>
      <c r="B2144" s="6">
        <v>46174</v>
      </c>
      <c r="C2144" s="8">
        <v>46191</v>
      </c>
      <c r="D2144" s="2" t="s">
        <v>136</v>
      </c>
      <c r="E2144" s="2" t="s">
        <v>260</v>
      </c>
      <c r="F2144" s="2" t="s">
        <v>16703</v>
      </c>
      <c r="G2144" s="2" t="s">
        <v>595</v>
      </c>
      <c r="H2144" s="2" t="s">
        <v>39</v>
      </c>
      <c r="I2144" s="9">
        <v>1561.576</v>
      </c>
      <c r="J2144" s="7">
        <v>1</v>
      </c>
      <c r="K2144" s="9">
        <v>1561.58</v>
      </c>
      <c r="L2144" s="14">
        <v>0</v>
      </c>
      <c r="M2144" s="2" t="s">
        <v>71</v>
      </c>
      <c r="N2144" s="2" t="s">
        <v>16704</v>
      </c>
      <c r="O2144" s="2" t="s">
        <v>594</v>
      </c>
      <c r="P2144" s="9">
        <v>1.8</v>
      </c>
      <c r="Q2144" s="9">
        <v>1561.58</v>
      </c>
      <c r="R2144" s="2" t="s">
        <v>16705</v>
      </c>
    </row>
    <row r="2145" spans="1:18" x14ac:dyDescent="0.25">
      <c r="A2145" s="2" t="s">
        <v>596</v>
      </c>
      <c r="B2145" s="6">
        <v>46204</v>
      </c>
      <c r="C2145" s="8">
        <v>46216</v>
      </c>
      <c r="D2145" s="2" t="s">
        <v>136</v>
      </c>
      <c r="E2145" s="2" t="s">
        <v>260</v>
      </c>
      <c r="F2145" s="2" t="s">
        <v>16703</v>
      </c>
      <c r="G2145" s="2" t="s">
        <v>597</v>
      </c>
      <c r="H2145" s="2" t="s">
        <v>39</v>
      </c>
      <c r="I2145" s="9">
        <v>2342.364</v>
      </c>
      <c r="J2145" s="7">
        <v>1</v>
      </c>
      <c r="K2145" s="9">
        <v>2342.36</v>
      </c>
      <c r="L2145" s="14">
        <v>0</v>
      </c>
      <c r="M2145" s="2" t="s">
        <v>71</v>
      </c>
      <c r="N2145" s="2" t="s">
        <v>16706</v>
      </c>
      <c r="O2145" s="2" t="s">
        <v>594</v>
      </c>
      <c r="P2145" s="9">
        <v>1.8</v>
      </c>
      <c r="Q2145" s="9">
        <v>2342.36</v>
      </c>
      <c r="R2145" s="2" t="s">
        <v>16707</v>
      </c>
    </row>
    <row r="2146" spans="1:18" x14ac:dyDescent="0.25">
      <c r="A2146" s="2" t="s">
        <v>598</v>
      </c>
      <c r="B2146" s="6">
        <v>46174</v>
      </c>
      <c r="C2146" s="8">
        <v>46192</v>
      </c>
      <c r="D2146" s="2" t="s">
        <v>136</v>
      </c>
      <c r="E2146" s="2" t="s">
        <v>260</v>
      </c>
      <c r="F2146" s="2" t="s">
        <v>16703</v>
      </c>
      <c r="G2146" s="2" t="s">
        <v>600</v>
      </c>
      <c r="H2146" s="2" t="s">
        <v>76</v>
      </c>
      <c r="I2146" s="9">
        <v>26092480</v>
      </c>
      <c r="J2146" s="7">
        <v>6.2500000000000001E-5</v>
      </c>
      <c r="K2146" s="9">
        <v>1630.78</v>
      </c>
      <c r="L2146" s="14">
        <v>0</v>
      </c>
      <c r="M2146" s="2" t="s">
        <v>71</v>
      </c>
      <c r="N2146" s="2" t="s">
        <v>16704</v>
      </c>
      <c r="O2146" s="2" t="s">
        <v>599</v>
      </c>
      <c r="P2146" s="9">
        <v>1.8</v>
      </c>
      <c r="Q2146" s="9">
        <v>1630.78</v>
      </c>
      <c r="R2146" s="2" t="s">
        <v>16705</v>
      </c>
    </row>
    <row r="2147" spans="1:18" x14ac:dyDescent="0.25">
      <c r="A2147" s="2" t="s">
        <v>601</v>
      </c>
      <c r="B2147" s="6">
        <v>46204</v>
      </c>
      <c r="C2147" s="8">
        <v>46217</v>
      </c>
      <c r="D2147" s="2" t="s">
        <v>136</v>
      </c>
      <c r="E2147" s="2" t="s">
        <v>260</v>
      </c>
      <c r="F2147" s="2" t="s">
        <v>16703</v>
      </c>
      <c r="G2147" s="2" t="s">
        <v>602</v>
      </c>
      <c r="H2147" s="2" t="s">
        <v>76</v>
      </c>
      <c r="I2147" s="9">
        <v>39138720</v>
      </c>
      <c r="J2147" s="7">
        <v>6.2000000000000003E-5</v>
      </c>
      <c r="K2147" s="9">
        <v>2426.6</v>
      </c>
      <c r="L2147" s="14">
        <v>0</v>
      </c>
      <c r="M2147" s="2" t="s">
        <v>71</v>
      </c>
      <c r="N2147" s="2" t="s">
        <v>16706</v>
      </c>
      <c r="O2147" s="2" t="s">
        <v>599</v>
      </c>
      <c r="P2147" s="9">
        <v>1.8</v>
      </c>
      <c r="Q2147" s="9">
        <v>2446.17</v>
      </c>
      <c r="R2147" s="2" t="s">
        <v>16707</v>
      </c>
    </row>
    <row r="2148" spans="1:18" x14ac:dyDescent="0.25">
      <c r="A2148" s="2" t="s">
        <v>603</v>
      </c>
      <c r="B2148" s="6">
        <v>46174</v>
      </c>
      <c r="C2148" s="8">
        <v>46203</v>
      </c>
      <c r="D2148" s="2" t="s">
        <v>136</v>
      </c>
      <c r="E2148" s="2" t="s">
        <v>260</v>
      </c>
      <c r="F2148" s="2" t="s">
        <v>16703</v>
      </c>
      <c r="G2148" s="2" t="s">
        <v>605</v>
      </c>
      <c r="H2148" s="2" t="s">
        <v>70</v>
      </c>
      <c r="I2148" s="9">
        <v>6390.9172930000004</v>
      </c>
      <c r="J2148" s="7">
        <v>0.66500000000000004</v>
      </c>
      <c r="K2148" s="9">
        <v>4249.96</v>
      </c>
      <c r="L2148" s="14">
        <v>0</v>
      </c>
      <c r="M2148" s="2" t="s">
        <v>71</v>
      </c>
      <c r="N2148" s="2" t="s">
        <v>16704</v>
      </c>
      <c r="O2148" s="2" t="s">
        <v>604</v>
      </c>
      <c r="P2148" s="9">
        <v>2.34</v>
      </c>
      <c r="Q2148" s="9">
        <v>4249.96</v>
      </c>
      <c r="R2148" s="2" t="s">
        <v>16705</v>
      </c>
    </row>
    <row r="2149" spans="1:18" x14ac:dyDescent="0.25">
      <c r="A2149" s="2" t="s">
        <v>606</v>
      </c>
      <c r="B2149" s="6">
        <v>46204</v>
      </c>
      <c r="C2149" s="8">
        <v>46204</v>
      </c>
      <c r="D2149" s="2" t="s">
        <v>136</v>
      </c>
      <c r="E2149" s="2" t="s">
        <v>260</v>
      </c>
      <c r="F2149" s="2" t="s">
        <v>16703</v>
      </c>
      <c r="G2149" s="2" t="s">
        <v>608</v>
      </c>
      <c r="H2149" s="2" t="s">
        <v>39</v>
      </c>
      <c r="I2149" s="9">
        <v>4422</v>
      </c>
      <c r="J2149" s="7">
        <v>1</v>
      </c>
      <c r="K2149" s="9">
        <v>4422</v>
      </c>
      <c r="L2149" s="14">
        <v>0</v>
      </c>
      <c r="M2149" s="2" t="s">
        <v>71</v>
      </c>
      <c r="N2149" s="2" t="s">
        <v>16706</v>
      </c>
      <c r="O2149" s="2" t="s">
        <v>607</v>
      </c>
      <c r="P2149" s="9">
        <v>2.4300000000000002</v>
      </c>
      <c r="Q2149" s="9">
        <v>4422</v>
      </c>
      <c r="R2149" s="2" t="s">
        <v>16707</v>
      </c>
    </row>
    <row r="2150" spans="1:18" x14ac:dyDescent="0.25">
      <c r="A2150" s="2" t="s">
        <v>609</v>
      </c>
      <c r="B2150" s="6">
        <v>46174</v>
      </c>
      <c r="C2150" s="8">
        <v>46195</v>
      </c>
      <c r="D2150" s="2" t="s">
        <v>136</v>
      </c>
      <c r="E2150" s="2" t="s">
        <v>260</v>
      </c>
      <c r="F2150" s="2" t="s">
        <v>16703</v>
      </c>
      <c r="G2150" s="2" t="s">
        <v>611</v>
      </c>
      <c r="H2150" s="2" t="s">
        <v>76</v>
      </c>
      <c r="I2150" s="9">
        <v>29408064</v>
      </c>
      <c r="J2150" s="7">
        <v>6.2500000000000001E-5</v>
      </c>
      <c r="K2150" s="9">
        <v>1838</v>
      </c>
      <c r="L2150" s="14">
        <v>0</v>
      </c>
      <c r="M2150" s="2" t="s">
        <v>71</v>
      </c>
      <c r="N2150" s="2" t="s">
        <v>16704</v>
      </c>
      <c r="O2150" s="2" t="s">
        <v>610</v>
      </c>
      <c r="P2150" s="9">
        <v>1.8</v>
      </c>
      <c r="Q2150" s="9">
        <v>1838</v>
      </c>
      <c r="R2150" s="2" t="s">
        <v>16705</v>
      </c>
    </row>
    <row r="2151" spans="1:18" x14ac:dyDescent="0.25">
      <c r="A2151" s="2" t="s">
        <v>612</v>
      </c>
      <c r="B2151" s="6">
        <v>46204</v>
      </c>
      <c r="C2151" s="8">
        <v>46220</v>
      </c>
      <c r="D2151" s="2" t="s">
        <v>136</v>
      </c>
      <c r="E2151" s="2" t="s">
        <v>260</v>
      </c>
      <c r="F2151" s="2" t="s">
        <v>16703</v>
      </c>
      <c r="G2151" s="2" t="s">
        <v>613</v>
      </c>
      <c r="H2151" s="2" t="s">
        <v>76</v>
      </c>
      <c r="I2151" s="9">
        <v>44112096</v>
      </c>
      <c r="J2151" s="7">
        <v>6.2000000000000003E-5</v>
      </c>
      <c r="K2151" s="9">
        <v>2734.95</v>
      </c>
      <c r="L2151" s="14">
        <v>0</v>
      </c>
      <c r="M2151" s="2" t="s">
        <v>71</v>
      </c>
      <c r="N2151" s="2" t="s">
        <v>16706</v>
      </c>
      <c r="O2151" s="2" t="s">
        <v>610</v>
      </c>
      <c r="P2151" s="9">
        <v>1.8</v>
      </c>
      <c r="Q2151" s="9">
        <v>2757.01</v>
      </c>
      <c r="R2151" s="2" t="s">
        <v>16707</v>
      </c>
    </row>
    <row r="2152" spans="1:18" x14ac:dyDescent="0.25">
      <c r="A2152" s="2" t="s">
        <v>614</v>
      </c>
      <c r="B2152" s="6">
        <v>46204</v>
      </c>
      <c r="C2152" s="8">
        <v>46206</v>
      </c>
      <c r="D2152" s="2" t="s">
        <v>136</v>
      </c>
      <c r="E2152" s="2" t="s">
        <v>260</v>
      </c>
      <c r="F2152" s="2" t="s">
        <v>16703</v>
      </c>
      <c r="G2152" s="2" t="s">
        <v>616</v>
      </c>
      <c r="H2152" s="2" t="s">
        <v>70</v>
      </c>
      <c r="I2152" s="9">
        <v>7169.9548869999999</v>
      </c>
      <c r="J2152" s="7">
        <v>0.65800000000000003</v>
      </c>
      <c r="K2152" s="9">
        <v>4717.83</v>
      </c>
      <c r="L2152" s="14">
        <v>0</v>
      </c>
      <c r="M2152" s="2" t="s">
        <v>71</v>
      </c>
      <c r="N2152" s="2" t="s">
        <v>16706</v>
      </c>
      <c r="O2152" s="2" t="s">
        <v>615</v>
      </c>
      <c r="P2152" s="9">
        <v>2.59</v>
      </c>
      <c r="Q2152" s="9">
        <v>4768.0200000000004</v>
      </c>
      <c r="R2152" s="2" t="s">
        <v>16707</v>
      </c>
    </row>
    <row r="2153" spans="1:18" x14ac:dyDescent="0.25">
      <c r="A2153" s="2" t="s">
        <v>617</v>
      </c>
      <c r="B2153" s="6">
        <v>46204</v>
      </c>
      <c r="C2153" s="8">
        <v>46207</v>
      </c>
      <c r="D2153" s="2" t="s">
        <v>136</v>
      </c>
      <c r="E2153" s="2" t="s">
        <v>260</v>
      </c>
      <c r="F2153" s="2" t="s">
        <v>16703</v>
      </c>
      <c r="G2153" s="2" t="s">
        <v>619</v>
      </c>
      <c r="H2153" s="2" t="s">
        <v>39</v>
      </c>
      <c r="I2153" s="9">
        <v>4941.03</v>
      </c>
      <c r="J2153" s="7">
        <v>1</v>
      </c>
      <c r="K2153" s="9">
        <v>4941.03</v>
      </c>
      <c r="L2153" s="14">
        <v>0</v>
      </c>
      <c r="M2153" s="2" t="s">
        <v>71</v>
      </c>
      <c r="N2153" s="2" t="s">
        <v>16706</v>
      </c>
      <c r="O2153" s="2" t="s">
        <v>618</v>
      </c>
      <c r="P2153" s="9">
        <v>2.72</v>
      </c>
      <c r="Q2153" s="9">
        <v>4941.03</v>
      </c>
      <c r="R2153" s="2" t="s">
        <v>16707</v>
      </c>
    </row>
    <row r="2154" spans="1:18" x14ac:dyDescent="0.25">
      <c r="A2154" s="2" t="s">
        <v>620</v>
      </c>
      <c r="B2154" s="6">
        <v>46204</v>
      </c>
      <c r="C2154" s="8">
        <v>46208</v>
      </c>
      <c r="D2154" s="2" t="s">
        <v>136</v>
      </c>
      <c r="E2154" s="2" t="s">
        <v>260</v>
      </c>
      <c r="F2154" s="2" t="s">
        <v>16703</v>
      </c>
      <c r="G2154" s="2" t="s">
        <v>622</v>
      </c>
      <c r="H2154" s="2" t="s">
        <v>76</v>
      </c>
      <c r="I2154" s="9">
        <v>81824640</v>
      </c>
      <c r="J2154" s="7">
        <v>6.2000000000000003E-5</v>
      </c>
      <c r="K2154" s="9">
        <v>5073.13</v>
      </c>
      <c r="L2154" s="14">
        <v>0</v>
      </c>
      <c r="M2154" s="2" t="s">
        <v>71</v>
      </c>
      <c r="N2154" s="2" t="s">
        <v>16706</v>
      </c>
      <c r="O2154" s="2" t="s">
        <v>621</v>
      </c>
      <c r="P2154" s="9">
        <v>2.79</v>
      </c>
      <c r="Q2154" s="9">
        <v>5114.04</v>
      </c>
      <c r="R2154" s="2" t="s">
        <v>16707</v>
      </c>
    </row>
    <row r="2155" spans="1:18" x14ac:dyDescent="0.25">
      <c r="A2155" s="2" t="s">
        <v>623</v>
      </c>
      <c r="B2155" s="6">
        <v>46204</v>
      </c>
      <c r="C2155" s="8">
        <v>46209</v>
      </c>
      <c r="D2155" s="2" t="s">
        <v>136</v>
      </c>
      <c r="E2155" s="2" t="s">
        <v>260</v>
      </c>
      <c r="F2155" s="2" t="s">
        <v>16703</v>
      </c>
      <c r="G2155" s="2" t="s">
        <v>625</v>
      </c>
      <c r="H2155" s="2" t="s">
        <v>70</v>
      </c>
      <c r="I2155" s="9">
        <v>7950.4511279999997</v>
      </c>
      <c r="J2155" s="7">
        <v>0.65800000000000003</v>
      </c>
      <c r="K2155" s="9">
        <v>5231.3999999999996</v>
      </c>
      <c r="L2155" s="14">
        <v>0</v>
      </c>
      <c r="M2155" s="2" t="s">
        <v>71</v>
      </c>
      <c r="N2155" s="2" t="s">
        <v>16706</v>
      </c>
      <c r="O2155" s="2" t="s">
        <v>624</v>
      </c>
      <c r="P2155" s="9">
        <v>2.88</v>
      </c>
      <c r="Q2155" s="9">
        <v>5287.05</v>
      </c>
      <c r="R2155" s="2" t="s">
        <v>16707</v>
      </c>
    </row>
    <row r="2156" spans="1:18" x14ac:dyDescent="0.25">
      <c r="A2156" s="2" t="s">
        <v>626</v>
      </c>
      <c r="B2156" s="6">
        <v>46204</v>
      </c>
      <c r="C2156" s="8">
        <v>46210</v>
      </c>
      <c r="D2156" s="2" t="s">
        <v>136</v>
      </c>
      <c r="E2156" s="2" t="s">
        <v>260</v>
      </c>
      <c r="F2156" s="2" t="s">
        <v>16703</v>
      </c>
      <c r="G2156" s="2" t="s">
        <v>628</v>
      </c>
      <c r="H2156" s="2" t="s">
        <v>39</v>
      </c>
      <c r="I2156" s="9">
        <v>5460.06</v>
      </c>
      <c r="J2156" s="7">
        <v>1</v>
      </c>
      <c r="K2156" s="9">
        <v>5460.06</v>
      </c>
      <c r="L2156" s="14">
        <v>0</v>
      </c>
      <c r="M2156" s="2" t="s">
        <v>71</v>
      </c>
      <c r="N2156" s="2" t="s">
        <v>16706</v>
      </c>
      <c r="O2156" s="2" t="s">
        <v>627</v>
      </c>
      <c r="P2156" s="9">
        <v>3</v>
      </c>
      <c r="Q2156" s="9">
        <v>5460.06</v>
      </c>
      <c r="R2156" s="2" t="s">
        <v>16707</v>
      </c>
    </row>
    <row r="2157" spans="1:18" x14ac:dyDescent="0.25">
      <c r="A2157" s="2" t="s">
        <v>629</v>
      </c>
      <c r="B2157" s="6">
        <v>46174</v>
      </c>
      <c r="C2157" s="8">
        <v>46201</v>
      </c>
      <c r="D2157" s="2" t="s">
        <v>136</v>
      </c>
      <c r="E2157" s="2" t="s">
        <v>260</v>
      </c>
      <c r="F2157" s="2" t="s">
        <v>16703</v>
      </c>
      <c r="G2157" s="2" t="s">
        <v>631</v>
      </c>
      <c r="H2157" s="2" t="s">
        <v>76</v>
      </c>
      <c r="I2157" s="9">
        <v>36051648</v>
      </c>
      <c r="J2157" s="7">
        <v>6.2500000000000001E-5</v>
      </c>
      <c r="K2157" s="9">
        <v>2253.23</v>
      </c>
      <c r="L2157" s="14">
        <v>0</v>
      </c>
      <c r="M2157" s="2" t="s">
        <v>71</v>
      </c>
      <c r="N2157" s="2" t="s">
        <v>16704</v>
      </c>
      <c r="O2157" s="2" t="s">
        <v>630</v>
      </c>
      <c r="P2157" s="9">
        <v>1.8</v>
      </c>
      <c r="Q2157" s="9">
        <v>2253.23</v>
      </c>
      <c r="R2157" s="2" t="s">
        <v>16705</v>
      </c>
    </row>
    <row r="2158" spans="1:18" x14ac:dyDescent="0.25">
      <c r="A2158" s="2" t="s">
        <v>632</v>
      </c>
      <c r="B2158" s="6">
        <v>46204</v>
      </c>
      <c r="C2158" s="8">
        <v>46226</v>
      </c>
      <c r="D2158" s="2" t="s">
        <v>136</v>
      </c>
      <c r="E2158" s="2" t="s">
        <v>260</v>
      </c>
      <c r="F2158" s="2" t="s">
        <v>16703</v>
      </c>
      <c r="G2158" s="2" t="s">
        <v>633</v>
      </c>
      <c r="H2158" s="2" t="s">
        <v>76</v>
      </c>
      <c r="I2158" s="9">
        <v>54077472</v>
      </c>
      <c r="J2158" s="7">
        <v>6.2000000000000003E-5</v>
      </c>
      <c r="K2158" s="9">
        <v>3352.8</v>
      </c>
      <c r="L2158" s="14">
        <v>0</v>
      </c>
      <c r="M2158" s="2" t="s">
        <v>71</v>
      </c>
      <c r="N2158" s="2" t="s">
        <v>16706</v>
      </c>
      <c r="O2158" s="2" t="s">
        <v>630</v>
      </c>
      <c r="P2158" s="9">
        <v>1.84</v>
      </c>
      <c r="Q2158" s="9">
        <v>3379.84</v>
      </c>
      <c r="R2158" s="2" t="s">
        <v>16707</v>
      </c>
    </row>
    <row r="2159" spans="1:18" x14ac:dyDescent="0.25">
      <c r="A2159" s="2" t="s">
        <v>634</v>
      </c>
      <c r="B2159" s="6">
        <v>46174</v>
      </c>
      <c r="C2159" s="8">
        <v>46202</v>
      </c>
      <c r="D2159" s="2" t="s">
        <v>136</v>
      </c>
      <c r="E2159" s="2" t="s">
        <v>260</v>
      </c>
      <c r="F2159" s="2" t="s">
        <v>16703</v>
      </c>
      <c r="G2159" s="2" t="s">
        <v>636</v>
      </c>
      <c r="H2159" s="2" t="s">
        <v>70</v>
      </c>
      <c r="I2159" s="9">
        <v>3492.3789470000002</v>
      </c>
      <c r="J2159" s="7">
        <v>0.66500000000000004</v>
      </c>
      <c r="K2159" s="9">
        <v>2322.4299999999998</v>
      </c>
      <c r="L2159" s="14">
        <v>0</v>
      </c>
      <c r="M2159" s="2" t="s">
        <v>71</v>
      </c>
      <c r="N2159" s="2" t="s">
        <v>16704</v>
      </c>
      <c r="O2159" s="2" t="s">
        <v>635</v>
      </c>
      <c r="P2159" s="9">
        <v>1.8</v>
      </c>
      <c r="Q2159" s="9">
        <v>2322.4299999999998</v>
      </c>
      <c r="R2159" s="2" t="s">
        <v>16705</v>
      </c>
    </row>
    <row r="2160" spans="1:18" x14ac:dyDescent="0.25">
      <c r="A2160" s="2" t="s">
        <v>637</v>
      </c>
      <c r="B2160" s="6">
        <v>46204</v>
      </c>
      <c r="C2160" s="8">
        <v>46227</v>
      </c>
      <c r="D2160" s="2" t="s">
        <v>136</v>
      </c>
      <c r="E2160" s="2" t="s">
        <v>260</v>
      </c>
      <c r="F2160" s="2" t="s">
        <v>16703</v>
      </c>
      <c r="G2160" s="2" t="s">
        <v>638</v>
      </c>
      <c r="H2160" s="2" t="s">
        <v>70</v>
      </c>
      <c r="I2160" s="9">
        <v>5238.5684209999999</v>
      </c>
      <c r="J2160" s="7">
        <v>0.65800000000000003</v>
      </c>
      <c r="K2160" s="9">
        <v>3446.98</v>
      </c>
      <c r="L2160" s="14">
        <v>0</v>
      </c>
      <c r="M2160" s="2" t="s">
        <v>71</v>
      </c>
      <c r="N2160" s="2" t="s">
        <v>16706</v>
      </c>
      <c r="O2160" s="2" t="s">
        <v>635</v>
      </c>
      <c r="P2160" s="9">
        <v>1.9</v>
      </c>
      <c r="Q2160" s="9">
        <v>3483.65</v>
      </c>
      <c r="R2160" s="2" t="s">
        <v>16707</v>
      </c>
    </row>
    <row r="2161" spans="1:18" x14ac:dyDescent="0.25">
      <c r="A2161" s="2" t="s">
        <v>639</v>
      </c>
      <c r="B2161" s="6">
        <v>46204</v>
      </c>
      <c r="C2161" s="8">
        <v>46213</v>
      </c>
      <c r="D2161" s="2" t="s">
        <v>136</v>
      </c>
      <c r="E2161" s="2" t="s">
        <v>260</v>
      </c>
      <c r="F2161" s="2" t="s">
        <v>16703</v>
      </c>
      <c r="G2161" s="2" t="s">
        <v>641</v>
      </c>
      <c r="H2161" s="2" t="s">
        <v>39</v>
      </c>
      <c r="I2161" s="9">
        <v>5979.09</v>
      </c>
      <c r="J2161" s="7">
        <v>1</v>
      </c>
      <c r="K2161" s="9">
        <v>5979.09</v>
      </c>
      <c r="L2161" s="14">
        <v>0</v>
      </c>
      <c r="M2161" s="2" t="s">
        <v>71</v>
      </c>
      <c r="N2161" s="2" t="s">
        <v>16706</v>
      </c>
      <c r="O2161" s="2" t="s">
        <v>640</v>
      </c>
      <c r="P2161" s="9">
        <v>3.29</v>
      </c>
      <c r="Q2161" s="9">
        <v>5979.09</v>
      </c>
      <c r="R2161" s="2" t="s">
        <v>16707</v>
      </c>
    </row>
    <row r="2162" spans="1:18" x14ac:dyDescent="0.25">
      <c r="A2162" s="2" t="s">
        <v>642</v>
      </c>
      <c r="B2162" s="6">
        <v>46204</v>
      </c>
      <c r="C2162" s="8">
        <v>46214</v>
      </c>
      <c r="D2162" s="2" t="s">
        <v>136</v>
      </c>
      <c r="E2162" s="2" t="s">
        <v>260</v>
      </c>
      <c r="F2162" s="2" t="s">
        <v>16703</v>
      </c>
      <c r="G2162" s="2" t="s">
        <v>644</v>
      </c>
      <c r="H2162" s="2" t="s">
        <v>76</v>
      </c>
      <c r="I2162" s="9">
        <v>98433600</v>
      </c>
      <c r="J2162" s="7">
        <v>6.2000000000000003E-5</v>
      </c>
      <c r="K2162" s="9">
        <v>6102.88</v>
      </c>
      <c r="L2162" s="14">
        <v>0</v>
      </c>
      <c r="M2162" s="2" t="s">
        <v>71</v>
      </c>
      <c r="N2162" s="2" t="s">
        <v>16706</v>
      </c>
      <c r="O2162" s="2" t="s">
        <v>643</v>
      </c>
      <c r="P2162" s="9">
        <v>3.36</v>
      </c>
      <c r="Q2162" s="9">
        <v>6152.1</v>
      </c>
      <c r="R2162" s="2" t="s">
        <v>16707</v>
      </c>
    </row>
    <row r="2163" spans="1:18" x14ac:dyDescent="0.25">
      <c r="A2163" s="2" t="s">
        <v>645</v>
      </c>
      <c r="B2163" s="6">
        <v>46204</v>
      </c>
      <c r="C2163" s="8">
        <v>46205</v>
      </c>
      <c r="D2163" s="2" t="s">
        <v>136</v>
      </c>
      <c r="E2163" s="2" t="s">
        <v>260</v>
      </c>
      <c r="F2163" s="2" t="s">
        <v>16703</v>
      </c>
      <c r="G2163" s="2" t="s">
        <v>647</v>
      </c>
      <c r="H2163" s="2" t="s">
        <v>70</v>
      </c>
      <c r="I2163" s="9">
        <v>3804.577444</v>
      </c>
      <c r="J2163" s="7">
        <v>0.65800000000000003</v>
      </c>
      <c r="K2163" s="9">
        <v>2503.41</v>
      </c>
      <c r="L2163" s="14">
        <v>0</v>
      </c>
      <c r="M2163" s="2" t="s">
        <v>71</v>
      </c>
      <c r="N2163" s="2" t="s">
        <v>16706</v>
      </c>
      <c r="O2163" s="2" t="s">
        <v>646</v>
      </c>
      <c r="P2163" s="9">
        <v>1.8</v>
      </c>
      <c r="Q2163" s="9">
        <v>2530.04</v>
      </c>
      <c r="R2163" s="2" t="s">
        <v>16707</v>
      </c>
    </row>
    <row r="2164" spans="1:18" x14ac:dyDescent="0.25">
      <c r="A2164" s="2" t="s">
        <v>648</v>
      </c>
      <c r="B2164" s="6">
        <v>46204</v>
      </c>
      <c r="C2164" s="8">
        <v>46230</v>
      </c>
      <c r="D2164" s="2" t="s">
        <v>136</v>
      </c>
      <c r="E2164" s="2" t="s">
        <v>260</v>
      </c>
      <c r="F2164" s="2" t="s">
        <v>16703</v>
      </c>
      <c r="G2164" s="2" t="s">
        <v>649</v>
      </c>
      <c r="H2164" s="2" t="s">
        <v>70</v>
      </c>
      <c r="I2164" s="9">
        <v>5706.8661650000004</v>
      </c>
      <c r="J2164" s="7">
        <v>0.65800000000000003</v>
      </c>
      <c r="K2164" s="9">
        <v>3755.12</v>
      </c>
      <c r="L2164" s="14">
        <v>0</v>
      </c>
      <c r="M2164" s="2" t="s">
        <v>71</v>
      </c>
      <c r="N2164" s="2" t="s">
        <v>16706</v>
      </c>
      <c r="O2164" s="2" t="s">
        <v>646</v>
      </c>
      <c r="P2164" s="9">
        <v>2.0699999999999998</v>
      </c>
      <c r="Q2164" s="9">
        <v>3795.07</v>
      </c>
      <c r="R2164" s="2" t="s">
        <v>16707</v>
      </c>
    </row>
    <row r="2165" spans="1:18" x14ac:dyDescent="0.25">
      <c r="A2165" s="2" t="s">
        <v>650</v>
      </c>
      <c r="B2165" s="6">
        <v>46204</v>
      </c>
      <c r="C2165" s="8">
        <v>46216</v>
      </c>
      <c r="D2165" s="2" t="s">
        <v>136</v>
      </c>
      <c r="E2165" s="2" t="s">
        <v>260</v>
      </c>
      <c r="F2165" s="2" t="s">
        <v>16703</v>
      </c>
      <c r="G2165" s="2" t="s">
        <v>652</v>
      </c>
      <c r="H2165" s="2" t="s">
        <v>39</v>
      </c>
      <c r="I2165" s="9">
        <v>6498.12</v>
      </c>
      <c r="J2165" s="7">
        <v>1</v>
      </c>
      <c r="K2165" s="9">
        <v>6498.12</v>
      </c>
      <c r="L2165" s="14">
        <v>0</v>
      </c>
      <c r="M2165" s="2" t="s">
        <v>71</v>
      </c>
      <c r="N2165" s="2" t="s">
        <v>16706</v>
      </c>
      <c r="O2165" s="2" t="s">
        <v>651</v>
      </c>
      <c r="P2165" s="9">
        <v>3.57</v>
      </c>
      <c r="Q2165" s="9">
        <v>6498.12</v>
      </c>
      <c r="R2165" s="2" t="s">
        <v>16707</v>
      </c>
    </row>
    <row r="2166" spans="1:18" x14ac:dyDescent="0.25">
      <c r="A2166" s="2" t="s">
        <v>653</v>
      </c>
      <c r="B2166" s="6">
        <v>46204</v>
      </c>
      <c r="C2166" s="8">
        <v>46217</v>
      </c>
      <c r="D2166" s="2" t="s">
        <v>136</v>
      </c>
      <c r="E2166" s="2" t="s">
        <v>260</v>
      </c>
      <c r="F2166" s="2" t="s">
        <v>16703</v>
      </c>
      <c r="G2166" s="2" t="s">
        <v>655</v>
      </c>
      <c r="H2166" s="2" t="s">
        <v>76</v>
      </c>
      <c r="I2166" s="9">
        <v>106738080</v>
      </c>
      <c r="J2166" s="7">
        <v>6.2000000000000003E-5</v>
      </c>
      <c r="K2166" s="9">
        <v>6617.76</v>
      </c>
      <c r="L2166" s="14">
        <v>0</v>
      </c>
      <c r="M2166" s="2" t="s">
        <v>71</v>
      </c>
      <c r="N2166" s="2" t="s">
        <v>16706</v>
      </c>
      <c r="O2166" s="2" t="s">
        <v>654</v>
      </c>
      <c r="P2166" s="9">
        <v>3.64</v>
      </c>
      <c r="Q2166" s="9">
        <v>6671.13</v>
      </c>
      <c r="R2166" s="2" t="s">
        <v>16707</v>
      </c>
    </row>
    <row r="2167" spans="1:18" x14ac:dyDescent="0.25">
      <c r="A2167" s="2" t="s">
        <v>656</v>
      </c>
      <c r="B2167" s="6">
        <v>46204</v>
      </c>
      <c r="C2167" s="8">
        <v>46218</v>
      </c>
      <c r="D2167" s="2" t="s">
        <v>136</v>
      </c>
      <c r="E2167" s="2" t="s">
        <v>260</v>
      </c>
      <c r="F2167" s="2" t="s">
        <v>16703</v>
      </c>
      <c r="G2167" s="2" t="s">
        <v>658</v>
      </c>
      <c r="H2167" s="2" t="s">
        <v>70</v>
      </c>
      <c r="I2167" s="9">
        <v>10291.939850000001</v>
      </c>
      <c r="J2167" s="7">
        <v>0.65800000000000003</v>
      </c>
      <c r="K2167" s="9">
        <v>6772.1</v>
      </c>
      <c r="L2167" s="14">
        <v>0</v>
      </c>
      <c r="M2167" s="2" t="s">
        <v>71</v>
      </c>
      <c r="N2167" s="2" t="s">
        <v>16706</v>
      </c>
      <c r="O2167" s="2" t="s">
        <v>657</v>
      </c>
      <c r="P2167" s="9">
        <v>3.72</v>
      </c>
      <c r="Q2167" s="9">
        <v>6844.14</v>
      </c>
      <c r="R2167" s="2" t="s">
        <v>16707</v>
      </c>
    </row>
    <row r="2168" spans="1:18" x14ac:dyDescent="0.25">
      <c r="A2168" s="2" t="s">
        <v>659</v>
      </c>
      <c r="B2168" s="6">
        <v>46204</v>
      </c>
      <c r="C2168" s="8">
        <v>46219</v>
      </c>
      <c r="D2168" s="2" t="s">
        <v>136</v>
      </c>
      <c r="E2168" s="2" t="s">
        <v>260</v>
      </c>
      <c r="F2168" s="2" t="s">
        <v>16703</v>
      </c>
      <c r="G2168" s="2" t="s">
        <v>661</v>
      </c>
      <c r="H2168" s="2" t="s">
        <v>39</v>
      </c>
      <c r="I2168" s="9">
        <v>7017.15</v>
      </c>
      <c r="J2168" s="7">
        <v>1</v>
      </c>
      <c r="K2168" s="9">
        <v>7017.15</v>
      </c>
      <c r="L2168" s="14">
        <v>0</v>
      </c>
      <c r="M2168" s="2" t="s">
        <v>71</v>
      </c>
      <c r="N2168" s="2" t="s">
        <v>16706</v>
      </c>
      <c r="O2168" s="2" t="s">
        <v>660</v>
      </c>
      <c r="P2168" s="9">
        <v>3.86</v>
      </c>
      <c r="Q2168" s="9">
        <v>7017.15</v>
      </c>
      <c r="R2168" s="2" t="s">
        <v>16707</v>
      </c>
    </row>
    <row r="2169" spans="1:18" x14ac:dyDescent="0.25">
      <c r="A2169" s="2" t="s">
        <v>662</v>
      </c>
      <c r="B2169" s="6">
        <v>46204</v>
      </c>
      <c r="C2169" s="8">
        <v>46220</v>
      </c>
      <c r="D2169" s="2" t="s">
        <v>136</v>
      </c>
      <c r="E2169" s="2" t="s">
        <v>260</v>
      </c>
      <c r="F2169" s="2" t="s">
        <v>16703</v>
      </c>
      <c r="G2169" s="2" t="s">
        <v>664</v>
      </c>
      <c r="H2169" s="2" t="s">
        <v>76</v>
      </c>
      <c r="I2169" s="9">
        <v>115042560</v>
      </c>
      <c r="J2169" s="7">
        <v>6.2000000000000003E-5</v>
      </c>
      <c r="K2169" s="9">
        <v>7132.64</v>
      </c>
      <c r="L2169" s="14">
        <v>0</v>
      </c>
      <c r="M2169" s="2" t="s">
        <v>71</v>
      </c>
      <c r="N2169" s="2" t="s">
        <v>16706</v>
      </c>
      <c r="O2169" s="2" t="s">
        <v>663</v>
      </c>
      <c r="P2169" s="9">
        <v>3.92</v>
      </c>
      <c r="Q2169" s="9">
        <v>7190.16</v>
      </c>
      <c r="R2169" s="2" t="s">
        <v>16707</v>
      </c>
    </row>
    <row r="2170" spans="1:18" x14ac:dyDescent="0.25">
      <c r="A2170" s="2" t="s">
        <v>665</v>
      </c>
      <c r="B2170" s="6">
        <v>46204</v>
      </c>
      <c r="C2170" s="8">
        <v>46211</v>
      </c>
      <c r="D2170" s="2" t="s">
        <v>136</v>
      </c>
      <c r="E2170" s="2" t="s">
        <v>260</v>
      </c>
      <c r="F2170" s="2" t="s">
        <v>16703</v>
      </c>
      <c r="G2170" s="2" t="s">
        <v>667</v>
      </c>
      <c r="H2170" s="2" t="s">
        <v>70</v>
      </c>
      <c r="I2170" s="9">
        <v>4428.9744360000004</v>
      </c>
      <c r="J2170" s="7">
        <v>0.65800000000000003</v>
      </c>
      <c r="K2170" s="9">
        <v>2914.27</v>
      </c>
      <c r="L2170" s="14">
        <v>0</v>
      </c>
      <c r="M2170" s="2" t="s">
        <v>71</v>
      </c>
      <c r="N2170" s="2" t="s">
        <v>16706</v>
      </c>
      <c r="O2170" s="2" t="s">
        <v>666</v>
      </c>
      <c r="P2170" s="9">
        <v>1.8</v>
      </c>
      <c r="Q2170" s="9">
        <v>2945.27</v>
      </c>
      <c r="R2170" s="2" t="s">
        <v>16707</v>
      </c>
    </row>
    <row r="2171" spans="1:18" x14ac:dyDescent="0.25">
      <c r="A2171" s="2" t="s">
        <v>670</v>
      </c>
      <c r="B2171" s="6">
        <v>46204</v>
      </c>
      <c r="C2171" s="8">
        <v>46212</v>
      </c>
      <c r="D2171" s="2" t="s">
        <v>136</v>
      </c>
      <c r="E2171" s="2" t="s">
        <v>260</v>
      </c>
      <c r="F2171" s="2" t="s">
        <v>16703</v>
      </c>
      <c r="G2171" s="2" t="s">
        <v>672</v>
      </c>
      <c r="H2171" s="2" t="s">
        <v>39</v>
      </c>
      <c r="I2171" s="9">
        <v>3014.4720000000002</v>
      </c>
      <c r="J2171" s="7">
        <v>1</v>
      </c>
      <c r="K2171" s="9">
        <v>3014.47</v>
      </c>
      <c r="L2171" s="14">
        <v>0</v>
      </c>
      <c r="M2171" s="2" t="s">
        <v>71</v>
      </c>
      <c r="N2171" s="2" t="s">
        <v>16706</v>
      </c>
      <c r="O2171" s="2" t="s">
        <v>671</v>
      </c>
      <c r="P2171" s="9">
        <v>1.8</v>
      </c>
      <c r="Q2171" s="9">
        <v>3014.47</v>
      </c>
      <c r="R2171" s="2" t="s">
        <v>16707</v>
      </c>
    </row>
    <row r="2172" spans="1:18" x14ac:dyDescent="0.25">
      <c r="A2172" s="2" t="s">
        <v>675</v>
      </c>
      <c r="B2172" s="6">
        <v>46204</v>
      </c>
      <c r="C2172" s="8">
        <v>46223</v>
      </c>
      <c r="D2172" s="2" t="s">
        <v>136</v>
      </c>
      <c r="E2172" s="2" t="s">
        <v>260</v>
      </c>
      <c r="F2172" s="2" t="s">
        <v>16703</v>
      </c>
      <c r="G2172" s="2" t="s">
        <v>677</v>
      </c>
      <c r="H2172" s="2" t="s">
        <v>76</v>
      </c>
      <c r="I2172" s="9">
        <v>123347040</v>
      </c>
      <c r="J2172" s="7">
        <v>6.2000000000000003E-5</v>
      </c>
      <c r="K2172" s="9">
        <v>7647.52</v>
      </c>
      <c r="L2172" s="14">
        <v>0</v>
      </c>
      <c r="M2172" s="2" t="s">
        <v>71</v>
      </c>
      <c r="N2172" s="2" t="s">
        <v>16706</v>
      </c>
      <c r="O2172" s="2" t="s">
        <v>676</v>
      </c>
      <c r="P2172" s="9">
        <v>4.21</v>
      </c>
      <c r="Q2172" s="9">
        <v>7709.19</v>
      </c>
      <c r="R2172" s="2" t="s">
        <v>16707</v>
      </c>
    </row>
    <row r="2173" spans="1:18" x14ac:dyDescent="0.25">
      <c r="A2173" s="2" t="s">
        <v>678</v>
      </c>
      <c r="B2173" s="6">
        <v>46204</v>
      </c>
      <c r="C2173" s="8">
        <v>46224</v>
      </c>
      <c r="D2173" s="2" t="s">
        <v>136</v>
      </c>
      <c r="E2173" s="2" t="s">
        <v>260</v>
      </c>
      <c r="F2173" s="2" t="s">
        <v>16703</v>
      </c>
      <c r="G2173" s="2" t="s">
        <v>680</v>
      </c>
      <c r="H2173" s="2" t="s">
        <v>70</v>
      </c>
      <c r="I2173" s="9">
        <v>11852.932331</v>
      </c>
      <c r="J2173" s="7">
        <v>0.65800000000000003</v>
      </c>
      <c r="K2173" s="9">
        <v>7799.23</v>
      </c>
      <c r="L2173" s="14">
        <v>0</v>
      </c>
      <c r="M2173" s="2" t="s">
        <v>71</v>
      </c>
      <c r="N2173" s="2" t="s">
        <v>16706</v>
      </c>
      <c r="O2173" s="2" t="s">
        <v>679</v>
      </c>
      <c r="P2173" s="9">
        <v>4.29</v>
      </c>
      <c r="Q2173" s="9">
        <v>7882.2</v>
      </c>
      <c r="R2173" s="2" t="s">
        <v>16707</v>
      </c>
    </row>
    <row r="2174" spans="1:18" x14ac:dyDescent="0.25">
      <c r="A2174" s="2" t="s">
        <v>681</v>
      </c>
      <c r="B2174" s="6">
        <v>46204</v>
      </c>
      <c r="C2174" s="8">
        <v>46215</v>
      </c>
      <c r="D2174" s="2" t="s">
        <v>136</v>
      </c>
      <c r="E2174" s="2" t="s">
        <v>260</v>
      </c>
      <c r="F2174" s="2" t="s">
        <v>16703</v>
      </c>
      <c r="G2174" s="2" t="s">
        <v>683</v>
      </c>
      <c r="H2174" s="2" t="s">
        <v>39</v>
      </c>
      <c r="I2174" s="9">
        <v>3222.0839999999998</v>
      </c>
      <c r="J2174" s="7">
        <v>1</v>
      </c>
      <c r="K2174" s="9">
        <v>3222.08</v>
      </c>
      <c r="L2174" s="14">
        <v>0</v>
      </c>
      <c r="M2174" s="2" t="s">
        <v>71</v>
      </c>
      <c r="N2174" s="2" t="s">
        <v>16706</v>
      </c>
      <c r="O2174" s="2" t="s">
        <v>682</v>
      </c>
      <c r="P2174" s="9">
        <v>1.8</v>
      </c>
      <c r="Q2174" s="9">
        <v>3222.08</v>
      </c>
      <c r="R2174" s="2" t="s">
        <v>16707</v>
      </c>
    </row>
    <row r="2175" spans="1:18" x14ac:dyDescent="0.25">
      <c r="A2175" s="2" t="s">
        <v>686</v>
      </c>
      <c r="B2175" s="6">
        <v>46204</v>
      </c>
      <c r="C2175" s="8">
        <v>46226</v>
      </c>
      <c r="D2175" s="2" t="s">
        <v>136</v>
      </c>
      <c r="E2175" s="2" t="s">
        <v>260</v>
      </c>
      <c r="F2175" s="2" t="s">
        <v>16703</v>
      </c>
      <c r="G2175" s="2" t="s">
        <v>688</v>
      </c>
      <c r="H2175" s="2" t="s">
        <v>76</v>
      </c>
      <c r="I2175" s="9">
        <v>131651520</v>
      </c>
      <c r="J2175" s="7">
        <v>6.2000000000000003E-5</v>
      </c>
      <c r="K2175" s="9">
        <v>8162.39</v>
      </c>
      <c r="L2175" s="14">
        <v>0</v>
      </c>
      <c r="M2175" s="2" t="s">
        <v>71</v>
      </c>
      <c r="N2175" s="2" t="s">
        <v>16706</v>
      </c>
      <c r="O2175" s="2" t="s">
        <v>687</v>
      </c>
      <c r="P2175" s="9">
        <v>4.49</v>
      </c>
      <c r="Q2175" s="9">
        <v>8228.2199999999993</v>
      </c>
      <c r="R2175" s="2" t="s">
        <v>16707</v>
      </c>
    </row>
    <row r="2176" spans="1:18" x14ac:dyDescent="0.25">
      <c r="A2176" s="2" t="s">
        <v>689</v>
      </c>
      <c r="B2176" s="6">
        <v>46204</v>
      </c>
      <c r="C2176" s="8">
        <v>46227</v>
      </c>
      <c r="D2176" s="2" t="s">
        <v>136</v>
      </c>
      <c r="E2176" s="2" t="s">
        <v>260</v>
      </c>
      <c r="F2176" s="2" t="s">
        <v>16703</v>
      </c>
      <c r="G2176" s="2" t="s">
        <v>691</v>
      </c>
      <c r="H2176" s="2" t="s">
        <v>70</v>
      </c>
      <c r="I2176" s="9">
        <v>12633.428571</v>
      </c>
      <c r="J2176" s="7">
        <v>0.65800000000000003</v>
      </c>
      <c r="K2176" s="9">
        <v>8312.7999999999993</v>
      </c>
      <c r="L2176" s="14">
        <v>0</v>
      </c>
      <c r="M2176" s="2" t="s">
        <v>71</v>
      </c>
      <c r="N2176" s="2" t="s">
        <v>16706</v>
      </c>
      <c r="O2176" s="2" t="s">
        <v>690</v>
      </c>
      <c r="P2176" s="9">
        <v>4.57</v>
      </c>
      <c r="Q2176" s="9">
        <v>8401.23</v>
      </c>
      <c r="R2176" s="2" t="s">
        <v>16707</v>
      </c>
    </row>
    <row r="2177" spans="1:18" x14ac:dyDescent="0.25">
      <c r="A2177" s="2" t="s">
        <v>692</v>
      </c>
      <c r="B2177" s="6">
        <v>46174</v>
      </c>
      <c r="C2177" s="8">
        <v>46198</v>
      </c>
      <c r="D2177" s="2" t="s">
        <v>136</v>
      </c>
      <c r="E2177" s="2" t="s">
        <v>260</v>
      </c>
      <c r="F2177" s="2" t="s">
        <v>16703</v>
      </c>
      <c r="G2177" s="2" t="s">
        <v>694</v>
      </c>
      <c r="H2177" s="2" t="s">
        <v>39</v>
      </c>
      <c r="I2177" s="9">
        <v>8574.24</v>
      </c>
      <c r="J2177" s="7">
        <v>1</v>
      </c>
      <c r="K2177" s="9">
        <v>8574.24</v>
      </c>
      <c r="L2177" s="14">
        <v>0</v>
      </c>
      <c r="M2177" s="2" t="s">
        <v>71</v>
      </c>
      <c r="N2177" s="2" t="s">
        <v>16704</v>
      </c>
      <c r="O2177" s="2" t="s">
        <v>693</v>
      </c>
      <c r="P2177" s="9">
        <v>4.72</v>
      </c>
      <c r="Q2177" s="9">
        <v>8574.24</v>
      </c>
      <c r="R2177" s="2" t="s">
        <v>16705</v>
      </c>
    </row>
    <row r="2178" spans="1:18" x14ac:dyDescent="0.25">
      <c r="A2178" s="2" t="s">
        <v>695</v>
      </c>
      <c r="B2178" s="6">
        <v>46174</v>
      </c>
      <c r="C2178" s="8">
        <v>46199</v>
      </c>
      <c r="D2178" s="2" t="s">
        <v>136</v>
      </c>
      <c r="E2178" s="2" t="s">
        <v>260</v>
      </c>
      <c r="F2178" s="2" t="s">
        <v>16703</v>
      </c>
      <c r="G2178" s="2" t="s">
        <v>697</v>
      </c>
      <c r="H2178" s="2" t="s">
        <v>76</v>
      </c>
      <c r="I2178" s="9">
        <v>139956000</v>
      </c>
      <c r="J2178" s="7">
        <v>6.2500000000000001E-5</v>
      </c>
      <c r="K2178" s="9">
        <v>8747.25</v>
      </c>
      <c r="L2178" s="14">
        <v>0</v>
      </c>
      <c r="M2178" s="2" t="s">
        <v>71</v>
      </c>
      <c r="N2178" s="2" t="s">
        <v>16704</v>
      </c>
      <c r="O2178" s="2" t="s">
        <v>696</v>
      </c>
      <c r="P2178" s="9">
        <v>4.8099999999999996</v>
      </c>
      <c r="Q2178" s="9">
        <v>8747.25</v>
      </c>
      <c r="R2178" s="2" t="s">
        <v>16705</v>
      </c>
    </row>
    <row r="2179" spans="1:18" x14ac:dyDescent="0.25">
      <c r="A2179" s="2" t="s">
        <v>698</v>
      </c>
      <c r="B2179" s="6">
        <v>46174</v>
      </c>
      <c r="C2179" s="8">
        <v>46200</v>
      </c>
      <c r="D2179" s="2" t="s">
        <v>136</v>
      </c>
      <c r="E2179" s="2" t="s">
        <v>260</v>
      </c>
      <c r="F2179" s="2" t="s">
        <v>16703</v>
      </c>
      <c r="G2179" s="2" t="s">
        <v>700</v>
      </c>
      <c r="H2179" s="2" t="s">
        <v>70</v>
      </c>
      <c r="I2179" s="9">
        <v>-13413.924811999999</v>
      </c>
      <c r="J2179" s="7">
        <v>0.66500000000000004</v>
      </c>
      <c r="K2179" s="9">
        <v>-8920.26</v>
      </c>
      <c r="L2179" s="14">
        <v>0</v>
      </c>
      <c r="M2179" s="2" t="s">
        <v>71</v>
      </c>
      <c r="N2179" s="2" t="s">
        <v>16704</v>
      </c>
      <c r="O2179" s="2" t="s">
        <v>699</v>
      </c>
      <c r="P2179" s="9">
        <v>0</v>
      </c>
      <c r="Q2179" s="9">
        <v>-8920.26</v>
      </c>
      <c r="R2179" s="2" t="s">
        <v>16705</v>
      </c>
    </row>
    <row r="2180" spans="1:18" x14ac:dyDescent="0.25">
      <c r="A2180" s="2" t="s">
        <v>701</v>
      </c>
      <c r="B2180" s="6">
        <v>46174</v>
      </c>
      <c r="C2180" s="8">
        <v>46191</v>
      </c>
      <c r="D2180" s="2" t="s">
        <v>136</v>
      </c>
      <c r="E2180" s="2" t="s">
        <v>260</v>
      </c>
      <c r="F2180" s="2" t="s">
        <v>16703</v>
      </c>
      <c r="G2180" s="2" t="s">
        <v>703</v>
      </c>
      <c r="H2180" s="2" t="s">
        <v>39</v>
      </c>
      <c r="I2180" s="9">
        <v>3637.308</v>
      </c>
      <c r="J2180" s="7">
        <v>1</v>
      </c>
      <c r="K2180" s="9">
        <v>3637.31</v>
      </c>
      <c r="L2180" s="14">
        <v>0</v>
      </c>
      <c r="M2180" s="2" t="s">
        <v>71</v>
      </c>
      <c r="N2180" s="2" t="s">
        <v>16704</v>
      </c>
      <c r="O2180" s="2" t="s">
        <v>702</v>
      </c>
      <c r="P2180" s="9">
        <v>2</v>
      </c>
      <c r="Q2180" s="9">
        <v>3637.31</v>
      </c>
      <c r="R2180" s="2" t="s">
        <v>16705</v>
      </c>
    </row>
    <row r="2181" spans="1:18" x14ac:dyDescent="0.25">
      <c r="A2181" s="2" t="s">
        <v>704</v>
      </c>
      <c r="B2181" s="6">
        <v>46204</v>
      </c>
      <c r="C2181" s="8">
        <v>46216</v>
      </c>
      <c r="D2181" s="2" t="s">
        <v>136</v>
      </c>
      <c r="E2181" s="2" t="s">
        <v>260</v>
      </c>
      <c r="F2181" s="2" t="s">
        <v>16703</v>
      </c>
      <c r="G2181" s="2" t="s">
        <v>705</v>
      </c>
      <c r="H2181" s="2" t="s">
        <v>39</v>
      </c>
      <c r="I2181" s="9">
        <v>5455.9620000000004</v>
      </c>
      <c r="J2181" s="7">
        <v>1</v>
      </c>
      <c r="K2181" s="9">
        <v>5455.96</v>
      </c>
      <c r="L2181" s="14">
        <v>0</v>
      </c>
      <c r="M2181" s="2" t="s">
        <v>71</v>
      </c>
      <c r="N2181" s="2" t="s">
        <v>16706</v>
      </c>
      <c r="O2181" s="2" t="s">
        <v>702</v>
      </c>
      <c r="P2181" s="9">
        <v>3</v>
      </c>
      <c r="Q2181" s="9">
        <v>5455.96</v>
      </c>
      <c r="R2181" s="2" t="s">
        <v>16707</v>
      </c>
    </row>
    <row r="2182" spans="1:18" x14ac:dyDescent="0.25">
      <c r="A2182" s="2" t="s">
        <v>706</v>
      </c>
      <c r="B2182" s="6">
        <v>46174</v>
      </c>
      <c r="C2182" s="8">
        <v>46192</v>
      </c>
      <c r="D2182" s="2" t="s">
        <v>136</v>
      </c>
      <c r="E2182" s="2" t="s">
        <v>260</v>
      </c>
      <c r="F2182" s="2" t="s">
        <v>16703</v>
      </c>
      <c r="G2182" s="2" t="s">
        <v>708</v>
      </c>
      <c r="H2182" s="2" t="s">
        <v>76</v>
      </c>
      <c r="I2182" s="9">
        <v>59304192</v>
      </c>
      <c r="J2182" s="7">
        <v>6.2500000000000001E-5</v>
      </c>
      <c r="K2182" s="9">
        <v>3706.51</v>
      </c>
      <c r="L2182" s="14">
        <v>0</v>
      </c>
      <c r="M2182" s="2" t="s">
        <v>71</v>
      </c>
      <c r="N2182" s="2" t="s">
        <v>16704</v>
      </c>
      <c r="O2182" s="2" t="s">
        <v>707</v>
      </c>
      <c r="P2182" s="9">
        <v>2.04</v>
      </c>
      <c r="Q2182" s="9">
        <v>3706.51</v>
      </c>
      <c r="R2182" s="2" t="s">
        <v>16705</v>
      </c>
    </row>
    <row r="2183" spans="1:18" x14ac:dyDescent="0.25">
      <c r="A2183" s="2" t="s">
        <v>709</v>
      </c>
      <c r="B2183" s="6">
        <v>46204</v>
      </c>
      <c r="C2183" s="8">
        <v>46217</v>
      </c>
      <c r="D2183" s="2" t="s">
        <v>136</v>
      </c>
      <c r="E2183" s="2" t="s">
        <v>260</v>
      </c>
      <c r="F2183" s="2" t="s">
        <v>16703</v>
      </c>
      <c r="G2183" s="2" t="s">
        <v>710</v>
      </c>
      <c r="H2183" s="2" t="s">
        <v>76</v>
      </c>
      <c r="I2183" s="9">
        <v>88956288</v>
      </c>
      <c r="J2183" s="7">
        <v>6.2000000000000003E-5</v>
      </c>
      <c r="K2183" s="9">
        <v>5515.29</v>
      </c>
      <c r="L2183" s="14">
        <v>0</v>
      </c>
      <c r="M2183" s="2" t="s">
        <v>71</v>
      </c>
      <c r="N2183" s="2" t="s">
        <v>16706</v>
      </c>
      <c r="O2183" s="2" t="s">
        <v>707</v>
      </c>
      <c r="P2183" s="9">
        <v>3.03</v>
      </c>
      <c r="Q2183" s="9">
        <v>5559.77</v>
      </c>
      <c r="R2183" s="2" t="s">
        <v>16707</v>
      </c>
    </row>
    <row r="2184" spans="1:18" x14ac:dyDescent="0.25">
      <c r="A2184" s="2" t="s">
        <v>711</v>
      </c>
      <c r="B2184" s="6">
        <v>46174</v>
      </c>
      <c r="C2184" s="8">
        <v>46203</v>
      </c>
      <c r="D2184" s="2" t="s">
        <v>136</v>
      </c>
      <c r="E2184" s="2" t="s">
        <v>260</v>
      </c>
      <c r="F2184" s="2" t="s">
        <v>16703</v>
      </c>
      <c r="G2184" s="2" t="s">
        <v>713</v>
      </c>
      <c r="H2184" s="2" t="s">
        <v>70</v>
      </c>
      <c r="I2184" s="9">
        <v>14194.421053</v>
      </c>
      <c r="J2184" s="7">
        <v>0.66500000000000004</v>
      </c>
      <c r="K2184" s="9">
        <v>9439.2900000000009</v>
      </c>
      <c r="L2184" s="14">
        <v>0</v>
      </c>
      <c r="M2184" s="2" t="s">
        <v>71</v>
      </c>
      <c r="N2184" s="2" t="s">
        <v>16704</v>
      </c>
      <c r="O2184" s="2" t="s">
        <v>712</v>
      </c>
      <c r="P2184" s="9">
        <v>5.19</v>
      </c>
      <c r="Q2184" s="9">
        <v>9439.2900000000009</v>
      </c>
      <c r="R2184" s="2" t="s">
        <v>16705</v>
      </c>
    </row>
    <row r="2185" spans="1:18" x14ac:dyDescent="0.25">
      <c r="A2185" s="2" t="s">
        <v>714</v>
      </c>
      <c r="B2185" s="6">
        <v>46204</v>
      </c>
      <c r="C2185" s="8">
        <v>46204</v>
      </c>
      <c r="D2185" s="2" t="s">
        <v>136</v>
      </c>
      <c r="E2185" s="2" t="s">
        <v>260</v>
      </c>
      <c r="F2185" s="2" t="s">
        <v>16703</v>
      </c>
      <c r="G2185" s="2" t="s">
        <v>716</v>
      </c>
      <c r="H2185" s="2" t="s">
        <v>39</v>
      </c>
      <c r="I2185" s="9">
        <v>9612.2999999999993</v>
      </c>
      <c r="J2185" s="7">
        <v>1</v>
      </c>
      <c r="K2185" s="9">
        <v>9612.2999999999993</v>
      </c>
      <c r="L2185" s="14">
        <v>0</v>
      </c>
      <c r="M2185" s="2" t="s">
        <v>71</v>
      </c>
      <c r="N2185" s="2" t="s">
        <v>16706</v>
      </c>
      <c r="O2185" s="2" t="s">
        <v>715</v>
      </c>
      <c r="P2185" s="9">
        <v>5.29</v>
      </c>
      <c r="Q2185" s="9">
        <v>9612.2999999999993</v>
      </c>
      <c r="R2185" s="2" t="s">
        <v>16707</v>
      </c>
    </row>
    <row r="2186" spans="1:18" x14ac:dyDescent="0.25">
      <c r="A2186" s="2" t="s">
        <v>717</v>
      </c>
      <c r="B2186" s="6">
        <v>46174</v>
      </c>
      <c r="C2186" s="8">
        <v>46195</v>
      </c>
      <c r="D2186" s="2" t="s">
        <v>136</v>
      </c>
      <c r="E2186" s="2" t="s">
        <v>260</v>
      </c>
      <c r="F2186" s="2" t="s">
        <v>16703</v>
      </c>
      <c r="G2186" s="2" t="s">
        <v>719</v>
      </c>
      <c r="H2186" s="2" t="s">
        <v>76</v>
      </c>
      <c r="I2186" s="9">
        <v>62625984</v>
      </c>
      <c r="J2186" s="7">
        <v>6.2500000000000001E-5</v>
      </c>
      <c r="K2186" s="9">
        <v>3914.12</v>
      </c>
      <c r="L2186" s="14">
        <v>0</v>
      </c>
      <c r="M2186" s="2" t="s">
        <v>71</v>
      </c>
      <c r="N2186" s="2" t="s">
        <v>16704</v>
      </c>
      <c r="O2186" s="2" t="s">
        <v>718</v>
      </c>
      <c r="P2186" s="9">
        <v>2.15</v>
      </c>
      <c r="Q2186" s="9">
        <v>3914.12</v>
      </c>
      <c r="R2186" s="2" t="s">
        <v>16705</v>
      </c>
    </row>
    <row r="2187" spans="1:18" x14ac:dyDescent="0.25">
      <c r="A2187" s="2" t="s">
        <v>720</v>
      </c>
      <c r="B2187" s="6">
        <v>46204</v>
      </c>
      <c r="C2187" s="8">
        <v>46220</v>
      </c>
      <c r="D2187" s="2" t="s">
        <v>136</v>
      </c>
      <c r="E2187" s="2" t="s">
        <v>260</v>
      </c>
      <c r="F2187" s="2" t="s">
        <v>16703</v>
      </c>
      <c r="G2187" s="2" t="s">
        <v>721</v>
      </c>
      <c r="H2187" s="2" t="s">
        <v>76</v>
      </c>
      <c r="I2187" s="9">
        <v>93938976</v>
      </c>
      <c r="J2187" s="7">
        <v>6.2000000000000003E-5</v>
      </c>
      <c r="K2187" s="9">
        <v>5824.22</v>
      </c>
      <c r="L2187" s="14">
        <v>0</v>
      </c>
      <c r="M2187" s="2" t="s">
        <v>71</v>
      </c>
      <c r="N2187" s="2" t="s">
        <v>16706</v>
      </c>
      <c r="O2187" s="2" t="s">
        <v>718</v>
      </c>
      <c r="P2187" s="9">
        <v>3.2</v>
      </c>
      <c r="Q2187" s="9">
        <v>5871.19</v>
      </c>
      <c r="R2187" s="2" t="s">
        <v>16707</v>
      </c>
    </row>
    <row r="2188" spans="1:18" x14ac:dyDescent="0.25">
      <c r="A2188" s="2" t="s">
        <v>722</v>
      </c>
      <c r="B2188" s="6">
        <v>46204</v>
      </c>
      <c r="C2188" s="8">
        <v>46206</v>
      </c>
      <c r="D2188" s="2" t="s">
        <v>136</v>
      </c>
      <c r="E2188" s="2" t="s">
        <v>260</v>
      </c>
      <c r="F2188" s="2" t="s">
        <v>16703</v>
      </c>
      <c r="G2188" s="2" t="s">
        <v>724</v>
      </c>
      <c r="H2188" s="2" t="s">
        <v>70</v>
      </c>
      <c r="I2188" s="9">
        <v>14974.917293</v>
      </c>
      <c r="J2188" s="7">
        <v>0.65800000000000003</v>
      </c>
      <c r="K2188" s="9">
        <v>9853.5</v>
      </c>
      <c r="L2188" s="14">
        <v>0</v>
      </c>
      <c r="M2188" s="2" t="s">
        <v>71</v>
      </c>
      <c r="N2188" s="2" t="s">
        <v>16706</v>
      </c>
      <c r="O2188" s="2" t="s">
        <v>723</v>
      </c>
      <c r="P2188" s="9">
        <v>5.42</v>
      </c>
      <c r="Q2188" s="9">
        <v>9958.32</v>
      </c>
      <c r="R2188" s="2" t="s">
        <v>16707</v>
      </c>
    </row>
    <row r="2189" spans="1:18" x14ac:dyDescent="0.25">
      <c r="A2189" s="2" t="s">
        <v>725</v>
      </c>
      <c r="B2189" s="6">
        <v>46204</v>
      </c>
      <c r="C2189" s="8">
        <v>46207</v>
      </c>
      <c r="D2189" s="2" t="s">
        <v>136</v>
      </c>
      <c r="E2189" s="2" t="s">
        <v>260</v>
      </c>
      <c r="F2189" s="2" t="s">
        <v>16703</v>
      </c>
      <c r="G2189" s="2" t="s">
        <v>727</v>
      </c>
      <c r="H2189" s="2" t="s">
        <v>39</v>
      </c>
      <c r="I2189" s="9">
        <v>10131.33</v>
      </c>
      <c r="J2189" s="7">
        <v>1</v>
      </c>
      <c r="K2189" s="9">
        <v>10131.33</v>
      </c>
      <c r="L2189" s="14">
        <v>0</v>
      </c>
      <c r="M2189" s="2" t="s">
        <v>71</v>
      </c>
      <c r="N2189" s="2" t="s">
        <v>16706</v>
      </c>
      <c r="O2189" s="2" t="s">
        <v>726</v>
      </c>
      <c r="P2189" s="9">
        <v>5.57</v>
      </c>
      <c r="Q2189" s="9">
        <v>10131.33</v>
      </c>
      <c r="R2189" s="2" t="s">
        <v>16707</v>
      </c>
    </row>
    <row r="2190" spans="1:18" x14ac:dyDescent="0.25">
      <c r="A2190" s="2" t="s">
        <v>728</v>
      </c>
      <c r="B2190" s="6">
        <v>46204</v>
      </c>
      <c r="C2190" s="8">
        <v>46208</v>
      </c>
      <c r="D2190" s="2" t="s">
        <v>136</v>
      </c>
      <c r="E2190" s="2" t="s">
        <v>260</v>
      </c>
      <c r="F2190" s="2" t="s">
        <v>16703</v>
      </c>
      <c r="G2190" s="2" t="s">
        <v>730</v>
      </c>
      <c r="H2190" s="2" t="s">
        <v>76</v>
      </c>
      <c r="I2190" s="9">
        <v>164869440</v>
      </c>
      <c r="J2190" s="7">
        <v>6.2000000000000003E-5</v>
      </c>
      <c r="K2190" s="9">
        <v>10221.91</v>
      </c>
      <c r="L2190" s="14">
        <v>0</v>
      </c>
      <c r="M2190" s="2" t="s">
        <v>71</v>
      </c>
      <c r="N2190" s="2" t="s">
        <v>16706</v>
      </c>
      <c r="O2190" s="2" t="s">
        <v>729</v>
      </c>
      <c r="P2190" s="9">
        <v>5.62</v>
      </c>
      <c r="Q2190" s="9">
        <v>10304.34</v>
      </c>
      <c r="R2190" s="2" t="s">
        <v>16707</v>
      </c>
    </row>
    <row r="2191" spans="1:18" x14ac:dyDescent="0.25">
      <c r="A2191" s="2" t="s">
        <v>731</v>
      </c>
      <c r="B2191" s="6">
        <v>46204</v>
      </c>
      <c r="C2191" s="8">
        <v>46209</v>
      </c>
      <c r="D2191" s="2" t="s">
        <v>136</v>
      </c>
      <c r="E2191" s="2" t="s">
        <v>260</v>
      </c>
      <c r="F2191" s="2" t="s">
        <v>16703</v>
      </c>
      <c r="G2191" s="2" t="s">
        <v>733</v>
      </c>
      <c r="H2191" s="2" t="s">
        <v>70</v>
      </c>
      <c r="I2191" s="9">
        <v>15755.413533999999</v>
      </c>
      <c r="J2191" s="7">
        <v>0.65800000000000003</v>
      </c>
      <c r="K2191" s="9">
        <v>10367.06</v>
      </c>
      <c r="L2191" s="14">
        <v>0</v>
      </c>
      <c r="M2191" s="2" t="s">
        <v>71</v>
      </c>
      <c r="N2191" s="2" t="s">
        <v>16706</v>
      </c>
      <c r="O2191" s="2" t="s">
        <v>732</v>
      </c>
      <c r="P2191" s="9">
        <v>5.7</v>
      </c>
      <c r="Q2191" s="9">
        <v>10477.35</v>
      </c>
      <c r="R2191" s="2" t="s">
        <v>16707</v>
      </c>
    </row>
    <row r="2192" spans="1:18" x14ac:dyDescent="0.25">
      <c r="A2192" s="2" t="s">
        <v>734</v>
      </c>
      <c r="B2192" s="6">
        <v>46204</v>
      </c>
      <c r="C2192" s="8">
        <v>46210</v>
      </c>
      <c r="D2192" s="2" t="s">
        <v>136</v>
      </c>
      <c r="E2192" s="2" t="s">
        <v>260</v>
      </c>
      <c r="F2192" s="2" t="s">
        <v>16703</v>
      </c>
      <c r="G2192" s="2" t="s">
        <v>736</v>
      </c>
      <c r="H2192" s="2" t="s">
        <v>39</v>
      </c>
      <c r="I2192" s="9">
        <v>10650.36</v>
      </c>
      <c r="J2192" s="7">
        <v>1</v>
      </c>
      <c r="K2192" s="9">
        <v>10650.36</v>
      </c>
      <c r="L2192" s="14">
        <v>0</v>
      </c>
      <c r="M2192" s="2" t="s">
        <v>71</v>
      </c>
      <c r="N2192" s="2" t="s">
        <v>16706</v>
      </c>
      <c r="O2192" s="2" t="s">
        <v>735</v>
      </c>
      <c r="P2192" s="9">
        <v>5.86</v>
      </c>
      <c r="Q2192" s="9">
        <v>10650.36</v>
      </c>
      <c r="R2192" s="2" t="s">
        <v>16707</v>
      </c>
    </row>
    <row r="2193" spans="1:18" x14ac:dyDescent="0.25">
      <c r="A2193" s="2" t="s">
        <v>737</v>
      </c>
      <c r="B2193" s="6">
        <v>46174</v>
      </c>
      <c r="C2193" s="8">
        <v>46201</v>
      </c>
      <c r="D2193" s="2" t="s">
        <v>136</v>
      </c>
      <c r="E2193" s="2" t="s">
        <v>260</v>
      </c>
      <c r="F2193" s="2" t="s">
        <v>16703</v>
      </c>
      <c r="G2193" s="2" t="s">
        <v>739</v>
      </c>
      <c r="H2193" s="2" t="s">
        <v>76</v>
      </c>
      <c r="I2193" s="9">
        <v>69269568</v>
      </c>
      <c r="J2193" s="7">
        <v>6.2500000000000001E-5</v>
      </c>
      <c r="K2193" s="9">
        <v>4329.3500000000004</v>
      </c>
      <c r="L2193" s="14">
        <v>0</v>
      </c>
      <c r="M2193" s="2" t="s">
        <v>71</v>
      </c>
      <c r="N2193" s="2" t="s">
        <v>16704</v>
      </c>
      <c r="O2193" s="2" t="s">
        <v>738</v>
      </c>
      <c r="P2193" s="9">
        <v>2.38</v>
      </c>
      <c r="Q2193" s="9">
        <v>4329.3500000000004</v>
      </c>
      <c r="R2193" s="2" t="s">
        <v>16705</v>
      </c>
    </row>
    <row r="2194" spans="1:18" x14ac:dyDescent="0.25">
      <c r="A2194" s="2" t="s">
        <v>740</v>
      </c>
      <c r="B2194" s="6">
        <v>46204</v>
      </c>
      <c r="C2194" s="8">
        <v>46226</v>
      </c>
      <c r="D2194" s="2" t="s">
        <v>136</v>
      </c>
      <c r="E2194" s="2" t="s">
        <v>260</v>
      </c>
      <c r="F2194" s="2" t="s">
        <v>16703</v>
      </c>
      <c r="G2194" s="2" t="s">
        <v>741</v>
      </c>
      <c r="H2194" s="2" t="s">
        <v>76</v>
      </c>
      <c r="I2194" s="9">
        <v>103904352</v>
      </c>
      <c r="J2194" s="7">
        <v>6.2000000000000003E-5</v>
      </c>
      <c r="K2194" s="9">
        <v>6442.07</v>
      </c>
      <c r="L2194" s="14">
        <v>0</v>
      </c>
      <c r="M2194" s="2" t="s">
        <v>71</v>
      </c>
      <c r="N2194" s="2" t="s">
        <v>16706</v>
      </c>
      <c r="O2194" s="2" t="s">
        <v>738</v>
      </c>
      <c r="P2194" s="9">
        <v>3.54</v>
      </c>
      <c r="Q2194" s="9">
        <v>6494.02</v>
      </c>
      <c r="R2194" s="2" t="s">
        <v>16707</v>
      </c>
    </row>
    <row r="2195" spans="1:18" x14ac:dyDescent="0.25">
      <c r="A2195" s="2" t="s">
        <v>742</v>
      </c>
      <c r="B2195" s="6">
        <v>46174</v>
      </c>
      <c r="C2195" s="8">
        <v>46202</v>
      </c>
      <c r="D2195" s="2" t="s">
        <v>136</v>
      </c>
      <c r="E2195" s="2" t="s">
        <v>260</v>
      </c>
      <c r="F2195" s="2" t="s">
        <v>16703</v>
      </c>
      <c r="G2195" s="2" t="s">
        <v>744</v>
      </c>
      <c r="H2195" s="2" t="s">
        <v>70</v>
      </c>
      <c r="I2195" s="9">
        <v>6614.36391</v>
      </c>
      <c r="J2195" s="7">
        <v>0.66500000000000004</v>
      </c>
      <c r="K2195" s="9">
        <v>4398.55</v>
      </c>
      <c r="L2195" s="14">
        <v>0</v>
      </c>
      <c r="M2195" s="2" t="s">
        <v>71</v>
      </c>
      <c r="N2195" s="2" t="s">
        <v>16704</v>
      </c>
      <c r="O2195" s="2" t="s">
        <v>743</v>
      </c>
      <c r="P2195" s="9">
        <v>2.42</v>
      </c>
      <c r="Q2195" s="9">
        <v>4398.55</v>
      </c>
      <c r="R2195" s="2" t="s">
        <v>16705</v>
      </c>
    </row>
    <row r="2196" spans="1:18" x14ac:dyDescent="0.25">
      <c r="A2196" s="2" t="s">
        <v>745</v>
      </c>
      <c r="B2196" s="6">
        <v>46204</v>
      </c>
      <c r="C2196" s="8">
        <v>46227</v>
      </c>
      <c r="D2196" s="2" t="s">
        <v>136</v>
      </c>
      <c r="E2196" s="2" t="s">
        <v>260</v>
      </c>
      <c r="F2196" s="2" t="s">
        <v>16703</v>
      </c>
      <c r="G2196" s="2" t="s">
        <v>746</v>
      </c>
      <c r="H2196" s="2" t="s">
        <v>70</v>
      </c>
      <c r="I2196" s="9">
        <v>9921.5458639999997</v>
      </c>
      <c r="J2196" s="7">
        <v>0.65800000000000003</v>
      </c>
      <c r="K2196" s="9">
        <v>6528.38</v>
      </c>
      <c r="L2196" s="14">
        <v>0</v>
      </c>
      <c r="M2196" s="2" t="s">
        <v>71</v>
      </c>
      <c r="N2196" s="2" t="s">
        <v>16706</v>
      </c>
      <c r="O2196" s="2" t="s">
        <v>743</v>
      </c>
      <c r="P2196" s="9">
        <v>3.59</v>
      </c>
      <c r="Q2196" s="9">
        <v>6597.83</v>
      </c>
      <c r="R2196" s="2" t="s">
        <v>16707</v>
      </c>
    </row>
    <row r="2197" spans="1:18" x14ac:dyDescent="0.25">
      <c r="A2197" s="2" t="s">
        <v>747</v>
      </c>
      <c r="B2197" s="6">
        <v>46204</v>
      </c>
      <c r="C2197" s="8">
        <v>46213</v>
      </c>
      <c r="D2197" s="2" t="s">
        <v>136</v>
      </c>
      <c r="E2197" s="2" t="s">
        <v>260</v>
      </c>
      <c r="F2197" s="2" t="s">
        <v>16703</v>
      </c>
      <c r="G2197" s="2" t="s">
        <v>749</v>
      </c>
      <c r="H2197" s="2" t="s">
        <v>39</v>
      </c>
      <c r="I2197" s="9">
        <v>11169.39</v>
      </c>
      <c r="J2197" s="7">
        <v>1</v>
      </c>
      <c r="K2197" s="9">
        <v>11169.39</v>
      </c>
      <c r="L2197" s="14">
        <v>0</v>
      </c>
      <c r="M2197" s="2" t="s">
        <v>71</v>
      </c>
      <c r="N2197" s="2" t="s">
        <v>16706</v>
      </c>
      <c r="O2197" s="2" t="s">
        <v>748</v>
      </c>
      <c r="P2197" s="9">
        <v>6.14</v>
      </c>
      <c r="Q2197" s="9">
        <v>11169.39</v>
      </c>
      <c r="R2197" s="2" t="s">
        <v>16707</v>
      </c>
    </row>
    <row r="2198" spans="1:18" x14ac:dyDescent="0.25">
      <c r="A2198" s="2" t="s">
        <v>750</v>
      </c>
      <c r="B2198" s="6">
        <v>46204</v>
      </c>
      <c r="C2198" s="8">
        <v>46214</v>
      </c>
      <c r="D2198" s="2" t="s">
        <v>136</v>
      </c>
      <c r="E2198" s="2" t="s">
        <v>260</v>
      </c>
      <c r="F2198" s="2" t="s">
        <v>16703</v>
      </c>
      <c r="G2198" s="2" t="s">
        <v>752</v>
      </c>
      <c r="H2198" s="2" t="s">
        <v>76</v>
      </c>
      <c r="I2198" s="9">
        <v>181478400</v>
      </c>
      <c r="J2198" s="7">
        <v>6.2000000000000003E-5</v>
      </c>
      <c r="K2198" s="9">
        <v>11251.66</v>
      </c>
      <c r="L2198" s="14">
        <v>0</v>
      </c>
      <c r="M2198" s="2" t="s">
        <v>71</v>
      </c>
      <c r="N2198" s="2" t="s">
        <v>16706</v>
      </c>
      <c r="O2198" s="2" t="s">
        <v>751</v>
      </c>
      <c r="P2198" s="9">
        <v>6.19</v>
      </c>
      <c r="Q2198" s="9">
        <v>11342.4</v>
      </c>
      <c r="R2198" s="2" t="s">
        <v>16707</v>
      </c>
    </row>
    <row r="2199" spans="1:18" x14ac:dyDescent="0.25">
      <c r="A2199" s="2" t="s">
        <v>753</v>
      </c>
      <c r="B2199" s="6">
        <v>46204</v>
      </c>
      <c r="C2199" s="8">
        <v>46205</v>
      </c>
      <c r="D2199" s="2" t="s">
        <v>136</v>
      </c>
      <c r="E2199" s="2" t="s">
        <v>260</v>
      </c>
      <c r="F2199" s="2" t="s">
        <v>16703</v>
      </c>
      <c r="G2199" s="2" t="s">
        <v>755</v>
      </c>
      <c r="H2199" s="2" t="s">
        <v>70</v>
      </c>
      <c r="I2199" s="9">
        <v>6926.562406</v>
      </c>
      <c r="J2199" s="7">
        <v>0.65800000000000003</v>
      </c>
      <c r="K2199" s="9">
        <v>4557.68</v>
      </c>
      <c r="L2199" s="14">
        <v>0</v>
      </c>
      <c r="M2199" s="2" t="s">
        <v>71</v>
      </c>
      <c r="N2199" s="2" t="s">
        <v>16706</v>
      </c>
      <c r="O2199" s="2" t="s">
        <v>754</v>
      </c>
      <c r="P2199" s="9">
        <v>2.5099999999999998</v>
      </c>
      <c r="Q2199" s="9">
        <v>4606.16</v>
      </c>
      <c r="R2199" s="2" t="s">
        <v>16707</v>
      </c>
    </row>
    <row r="2200" spans="1:18" x14ac:dyDescent="0.25">
      <c r="A2200" s="2" t="s">
        <v>756</v>
      </c>
      <c r="B2200" s="6">
        <v>46204</v>
      </c>
      <c r="C2200" s="8">
        <v>46230</v>
      </c>
      <c r="D2200" s="2" t="s">
        <v>136</v>
      </c>
      <c r="E2200" s="2" t="s">
        <v>260</v>
      </c>
      <c r="F2200" s="2" t="s">
        <v>16703</v>
      </c>
      <c r="G2200" s="2" t="s">
        <v>757</v>
      </c>
      <c r="H2200" s="2" t="s">
        <v>70</v>
      </c>
      <c r="I2200" s="9">
        <v>10389.843609</v>
      </c>
      <c r="J2200" s="7">
        <v>0.65800000000000003</v>
      </c>
      <c r="K2200" s="9">
        <v>6836.52</v>
      </c>
      <c r="L2200" s="14">
        <v>0</v>
      </c>
      <c r="M2200" s="2" t="s">
        <v>71</v>
      </c>
      <c r="N2200" s="2" t="s">
        <v>16706</v>
      </c>
      <c r="O2200" s="2" t="s">
        <v>754</v>
      </c>
      <c r="P2200" s="9">
        <v>3.76</v>
      </c>
      <c r="Q2200" s="9">
        <v>6909.25</v>
      </c>
      <c r="R2200" s="2" t="s">
        <v>16707</v>
      </c>
    </row>
    <row r="2201" spans="1:18" x14ac:dyDescent="0.25">
      <c r="A2201" s="2" t="s">
        <v>758</v>
      </c>
      <c r="B2201" s="6">
        <v>46204</v>
      </c>
      <c r="C2201" s="8">
        <v>46216</v>
      </c>
      <c r="D2201" s="2" t="s">
        <v>136</v>
      </c>
      <c r="E2201" s="2" t="s">
        <v>260</v>
      </c>
      <c r="F2201" s="2" t="s">
        <v>16703</v>
      </c>
      <c r="G2201" s="2" t="s">
        <v>760</v>
      </c>
      <c r="H2201" s="2" t="s">
        <v>39</v>
      </c>
      <c r="I2201" s="9">
        <v>11688.42</v>
      </c>
      <c r="J2201" s="7">
        <v>1</v>
      </c>
      <c r="K2201" s="9">
        <v>11688.42</v>
      </c>
      <c r="L2201" s="14">
        <v>0</v>
      </c>
      <c r="M2201" s="2" t="s">
        <v>71</v>
      </c>
      <c r="N2201" s="2" t="s">
        <v>16706</v>
      </c>
      <c r="O2201" s="2" t="s">
        <v>759</v>
      </c>
      <c r="P2201" s="9">
        <v>6.43</v>
      </c>
      <c r="Q2201" s="9">
        <v>11688.42</v>
      </c>
      <c r="R2201" s="2" t="s">
        <v>16707</v>
      </c>
    </row>
    <row r="2202" spans="1:18" x14ac:dyDescent="0.25">
      <c r="A2202" s="2" t="s">
        <v>761</v>
      </c>
      <c r="B2202" s="6">
        <v>46204</v>
      </c>
      <c r="C2202" s="8">
        <v>46217</v>
      </c>
      <c r="D2202" s="2" t="s">
        <v>136</v>
      </c>
      <c r="E2202" s="2" t="s">
        <v>260</v>
      </c>
      <c r="F2202" s="2" t="s">
        <v>16703</v>
      </c>
      <c r="G2202" s="2" t="s">
        <v>763</v>
      </c>
      <c r="H2202" s="2" t="s">
        <v>76</v>
      </c>
      <c r="I2202" s="9">
        <v>189782880</v>
      </c>
      <c r="J2202" s="7">
        <v>6.2000000000000003E-5</v>
      </c>
      <c r="K2202" s="9">
        <v>11766.54</v>
      </c>
      <c r="L2202" s="14">
        <v>0</v>
      </c>
      <c r="M2202" s="2" t="s">
        <v>71</v>
      </c>
      <c r="N2202" s="2" t="s">
        <v>16706</v>
      </c>
      <c r="O2202" s="2" t="s">
        <v>762</v>
      </c>
      <c r="P2202" s="9">
        <v>6.47</v>
      </c>
      <c r="Q2202" s="9">
        <v>11861.43</v>
      </c>
      <c r="R2202" s="2" t="s">
        <v>16707</v>
      </c>
    </row>
    <row r="2203" spans="1:18" x14ac:dyDescent="0.25">
      <c r="A2203" s="2" t="s">
        <v>764</v>
      </c>
      <c r="B2203" s="6">
        <v>46204</v>
      </c>
      <c r="C2203" s="8">
        <v>46218</v>
      </c>
      <c r="D2203" s="2" t="s">
        <v>136</v>
      </c>
      <c r="E2203" s="2" t="s">
        <v>260</v>
      </c>
      <c r="F2203" s="2" t="s">
        <v>16703</v>
      </c>
      <c r="G2203" s="2" t="s">
        <v>766</v>
      </c>
      <c r="H2203" s="2" t="s">
        <v>70</v>
      </c>
      <c r="I2203" s="9">
        <v>18096.902256000001</v>
      </c>
      <c r="J2203" s="7">
        <v>0.65800000000000003</v>
      </c>
      <c r="K2203" s="9">
        <v>11907.76</v>
      </c>
      <c r="L2203" s="14">
        <v>0</v>
      </c>
      <c r="M2203" s="2" t="s">
        <v>71</v>
      </c>
      <c r="N2203" s="2" t="s">
        <v>16706</v>
      </c>
      <c r="O2203" s="2" t="s">
        <v>765</v>
      </c>
      <c r="P2203" s="9">
        <v>6.55</v>
      </c>
      <c r="Q2203" s="9">
        <v>12034.44</v>
      </c>
      <c r="R2203" s="2" t="s">
        <v>16707</v>
      </c>
    </row>
    <row r="2204" spans="1:18" x14ac:dyDescent="0.25">
      <c r="A2204" s="2" t="s">
        <v>767</v>
      </c>
      <c r="B2204" s="6">
        <v>46204</v>
      </c>
      <c r="C2204" s="8">
        <v>46219</v>
      </c>
      <c r="D2204" s="2" t="s">
        <v>136</v>
      </c>
      <c r="E2204" s="2" t="s">
        <v>260</v>
      </c>
      <c r="F2204" s="2" t="s">
        <v>16703</v>
      </c>
      <c r="G2204" s="2" t="s">
        <v>769</v>
      </c>
      <c r="H2204" s="2" t="s">
        <v>39</v>
      </c>
      <c r="I2204" s="9">
        <v>12207.45</v>
      </c>
      <c r="J2204" s="7">
        <v>1</v>
      </c>
      <c r="K2204" s="9">
        <v>12207.45</v>
      </c>
      <c r="L2204" s="14">
        <v>0</v>
      </c>
      <c r="M2204" s="2" t="s">
        <v>71</v>
      </c>
      <c r="N2204" s="2" t="s">
        <v>16706</v>
      </c>
      <c r="O2204" s="2" t="s">
        <v>768</v>
      </c>
      <c r="P2204" s="9">
        <v>6.71</v>
      </c>
      <c r="Q2204" s="9">
        <v>12207.45</v>
      </c>
      <c r="R2204" s="2" t="s">
        <v>16707</v>
      </c>
    </row>
    <row r="2205" spans="1:18" x14ac:dyDescent="0.25">
      <c r="A2205" s="2" t="s">
        <v>770</v>
      </c>
      <c r="B2205" s="6">
        <v>46204</v>
      </c>
      <c r="C2205" s="8">
        <v>46220</v>
      </c>
      <c r="D2205" s="2" t="s">
        <v>136</v>
      </c>
      <c r="E2205" s="2" t="s">
        <v>260</v>
      </c>
      <c r="F2205" s="2" t="s">
        <v>16703</v>
      </c>
      <c r="G2205" s="2" t="s">
        <v>772</v>
      </c>
      <c r="H2205" s="2" t="s">
        <v>76</v>
      </c>
      <c r="I2205" s="9">
        <v>198087360</v>
      </c>
      <c r="J2205" s="7">
        <v>6.2000000000000003E-5</v>
      </c>
      <c r="K2205" s="9">
        <v>12281.42</v>
      </c>
      <c r="L2205" s="14">
        <v>0</v>
      </c>
      <c r="M2205" s="2" t="s">
        <v>71</v>
      </c>
      <c r="N2205" s="2" t="s">
        <v>16706</v>
      </c>
      <c r="O2205" s="2" t="s">
        <v>771</v>
      </c>
      <c r="P2205" s="9">
        <v>6.75</v>
      </c>
      <c r="Q2205" s="9">
        <v>12380.46</v>
      </c>
      <c r="R2205" s="2" t="s">
        <v>16707</v>
      </c>
    </row>
    <row r="2206" spans="1:18" x14ac:dyDescent="0.25">
      <c r="A2206" s="2" t="s">
        <v>773</v>
      </c>
      <c r="B2206" s="6">
        <v>46204</v>
      </c>
      <c r="C2206" s="8">
        <v>46211</v>
      </c>
      <c r="D2206" s="2" t="s">
        <v>136</v>
      </c>
      <c r="E2206" s="2" t="s">
        <v>260</v>
      </c>
      <c r="F2206" s="2" t="s">
        <v>16703</v>
      </c>
      <c r="G2206" s="2" t="s">
        <v>775</v>
      </c>
      <c r="H2206" s="2" t="s">
        <v>70</v>
      </c>
      <c r="I2206" s="9">
        <v>7550.959398</v>
      </c>
      <c r="J2206" s="7">
        <v>0.65800000000000003</v>
      </c>
      <c r="K2206" s="9">
        <v>4968.53</v>
      </c>
      <c r="L2206" s="14">
        <v>0</v>
      </c>
      <c r="M2206" s="2" t="s">
        <v>71</v>
      </c>
      <c r="N2206" s="2" t="s">
        <v>16706</v>
      </c>
      <c r="O2206" s="2" t="s">
        <v>774</v>
      </c>
      <c r="P2206" s="9">
        <v>2.73</v>
      </c>
      <c r="Q2206" s="9">
        <v>5021.3900000000003</v>
      </c>
      <c r="R2206" s="2" t="s">
        <v>16707</v>
      </c>
    </row>
    <row r="2207" spans="1:18" x14ac:dyDescent="0.25">
      <c r="A2207" s="2" t="s">
        <v>778</v>
      </c>
      <c r="B2207" s="6">
        <v>46204</v>
      </c>
      <c r="C2207" s="8">
        <v>46212</v>
      </c>
      <c r="D2207" s="2" t="s">
        <v>136</v>
      </c>
      <c r="E2207" s="2" t="s">
        <v>260</v>
      </c>
      <c r="F2207" s="2" t="s">
        <v>16703</v>
      </c>
      <c r="G2207" s="2" t="s">
        <v>780</v>
      </c>
      <c r="H2207" s="2" t="s">
        <v>39</v>
      </c>
      <c r="I2207" s="9">
        <v>5090.5919999999996</v>
      </c>
      <c r="J2207" s="7">
        <v>1</v>
      </c>
      <c r="K2207" s="9">
        <v>5090.59</v>
      </c>
      <c r="L2207" s="14">
        <v>0</v>
      </c>
      <c r="M2207" s="2" t="s">
        <v>71</v>
      </c>
      <c r="N2207" s="2" t="s">
        <v>16706</v>
      </c>
      <c r="O2207" s="2" t="s">
        <v>779</v>
      </c>
      <c r="P2207" s="9">
        <v>2.8</v>
      </c>
      <c r="Q2207" s="9">
        <v>5090.59</v>
      </c>
      <c r="R2207" s="2" t="s">
        <v>16707</v>
      </c>
    </row>
    <row r="2208" spans="1:18" x14ac:dyDescent="0.25">
      <c r="A2208" s="2" t="s">
        <v>783</v>
      </c>
      <c r="B2208" s="6">
        <v>46204</v>
      </c>
      <c r="C2208" s="8">
        <v>46223</v>
      </c>
      <c r="D2208" s="2" t="s">
        <v>136</v>
      </c>
      <c r="E2208" s="2" t="s">
        <v>260</v>
      </c>
      <c r="F2208" s="2" t="s">
        <v>16703</v>
      </c>
      <c r="G2208" s="2" t="s">
        <v>785</v>
      </c>
      <c r="H2208" s="2" t="s">
        <v>76</v>
      </c>
      <c r="I2208" s="9">
        <v>206391840</v>
      </c>
      <c r="J2208" s="7">
        <v>6.2000000000000003E-5</v>
      </c>
      <c r="K2208" s="9">
        <v>12796.29</v>
      </c>
      <c r="L2208" s="14">
        <v>0</v>
      </c>
      <c r="M2208" s="2" t="s">
        <v>71</v>
      </c>
      <c r="N2208" s="2" t="s">
        <v>16706</v>
      </c>
      <c r="O2208" s="2" t="s">
        <v>784</v>
      </c>
      <c r="P2208" s="9">
        <v>7.04</v>
      </c>
      <c r="Q2208" s="9">
        <v>12899.49</v>
      </c>
      <c r="R2208" s="2" t="s">
        <v>16707</v>
      </c>
    </row>
    <row r="2209" spans="1:18" x14ac:dyDescent="0.25">
      <c r="A2209" s="2" t="s">
        <v>786</v>
      </c>
      <c r="B2209" s="6">
        <v>46204</v>
      </c>
      <c r="C2209" s="8">
        <v>46224</v>
      </c>
      <c r="D2209" s="2" t="s">
        <v>136</v>
      </c>
      <c r="E2209" s="2" t="s">
        <v>260</v>
      </c>
      <c r="F2209" s="2" t="s">
        <v>16703</v>
      </c>
      <c r="G2209" s="2" t="s">
        <v>788</v>
      </c>
      <c r="H2209" s="2" t="s">
        <v>70</v>
      </c>
      <c r="I2209" s="9">
        <v>19657.894736999999</v>
      </c>
      <c r="J2209" s="7">
        <v>0.65800000000000003</v>
      </c>
      <c r="K2209" s="9">
        <v>12934.89</v>
      </c>
      <c r="L2209" s="14">
        <v>0</v>
      </c>
      <c r="M2209" s="2" t="s">
        <v>71</v>
      </c>
      <c r="N2209" s="2" t="s">
        <v>16706</v>
      </c>
      <c r="O2209" s="2" t="s">
        <v>787</v>
      </c>
      <c r="P2209" s="9">
        <v>7.11</v>
      </c>
      <c r="Q2209" s="9">
        <v>13072.5</v>
      </c>
      <c r="R2209" s="2" t="s">
        <v>16707</v>
      </c>
    </row>
    <row r="2210" spans="1:18" x14ac:dyDescent="0.25">
      <c r="A2210" s="2" t="s">
        <v>789</v>
      </c>
      <c r="B2210" s="6">
        <v>46204</v>
      </c>
      <c r="C2210" s="8">
        <v>46215</v>
      </c>
      <c r="D2210" s="2" t="s">
        <v>136</v>
      </c>
      <c r="E2210" s="2" t="s">
        <v>260</v>
      </c>
      <c r="F2210" s="2" t="s">
        <v>16703</v>
      </c>
      <c r="G2210" s="2" t="s">
        <v>791</v>
      </c>
      <c r="H2210" s="2" t="s">
        <v>39</v>
      </c>
      <c r="I2210" s="9">
        <v>5298.2039999999997</v>
      </c>
      <c r="J2210" s="7">
        <v>1</v>
      </c>
      <c r="K2210" s="9">
        <v>5298.2</v>
      </c>
      <c r="L2210" s="14">
        <v>0</v>
      </c>
      <c r="M2210" s="2" t="s">
        <v>71</v>
      </c>
      <c r="N2210" s="2" t="s">
        <v>16706</v>
      </c>
      <c r="O2210" s="2" t="s">
        <v>790</v>
      </c>
      <c r="P2210" s="9">
        <v>2.91</v>
      </c>
      <c r="Q2210" s="9">
        <v>5298.2</v>
      </c>
      <c r="R2210" s="2" t="s">
        <v>16707</v>
      </c>
    </row>
    <row r="2211" spans="1:18" x14ac:dyDescent="0.25">
      <c r="A2211" s="2" t="s">
        <v>794</v>
      </c>
      <c r="B2211" s="6">
        <v>46204</v>
      </c>
      <c r="C2211" s="8">
        <v>46226</v>
      </c>
      <c r="D2211" s="2" t="s">
        <v>136</v>
      </c>
      <c r="E2211" s="2" t="s">
        <v>260</v>
      </c>
      <c r="F2211" s="2" t="s">
        <v>16703</v>
      </c>
      <c r="G2211" s="2" t="s">
        <v>796</v>
      </c>
      <c r="H2211" s="2" t="s">
        <v>76</v>
      </c>
      <c r="I2211" s="9">
        <v>214696320</v>
      </c>
      <c r="J2211" s="7">
        <v>6.2000000000000003E-5</v>
      </c>
      <c r="K2211" s="9">
        <v>13311.17</v>
      </c>
      <c r="L2211" s="14">
        <v>0</v>
      </c>
      <c r="M2211" s="2" t="s">
        <v>71</v>
      </c>
      <c r="N2211" s="2" t="s">
        <v>16706</v>
      </c>
      <c r="O2211" s="2" t="s">
        <v>795</v>
      </c>
      <c r="P2211" s="9">
        <v>7.32</v>
      </c>
      <c r="Q2211" s="9">
        <v>13418.52</v>
      </c>
      <c r="R2211" s="2" t="s">
        <v>16707</v>
      </c>
    </row>
    <row r="2212" spans="1:18" x14ac:dyDescent="0.25">
      <c r="A2212" s="2" t="s">
        <v>797</v>
      </c>
      <c r="B2212" s="6">
        <v>46204</v>
      </c>
      <c r="C2212" s="8">
        <v>46227</v>
      </c>
      <c r="D2212" s="2" t="s">
        <v>136</v>
      </c>
      <c r="E2212" s="2" t="s">
        <v>260</v>
      </c>
      <c r="F2212" s="2" t="s">
        <v>16703</v>
      </c>
      <c r="G2212" s="2" t="s">
        <v>799</v>
      </c>
      <c r="H2212" s="2" t="s">
        <v>70</v>
      </c>
      <c r="I2212" s="9">
        <v>20438.390976999999</v>
      </c>
      <c r="J2212" s="7">
        <v>0.65800000000000003</v>
      </c>
      <c r="K2212" s="9">
        <v>13448.46</v>
      </c>
      <c r="L2212" s="14">
        <v>0</v>
      </c>
      <c r="M2212" s="2" t="s">
        <v>71</v>
      </c>
      <c r="N2212" s="2" t="s">
        <v>16706</v>
      </c>
      <c r="O2212" s="2" t="s">
        <v>798</v>
      </c>
      <c r="P2212" s="9">
        <v>7.4</v>
      </c>
      <c r="Q2212" s="9">
        <v>13591.53</v>
      </c>
      <c r="R2212" s="2" t="s">
        <v>16707</v>
      </c>
    </row>
    <row r="2213" spans="1:18" x14ac:dyDescent="0.25">
      <c r="A2213" s="2" t="s">
        <v>800</v>
      </c>
      <c r="B2213" s="6">
        <v>46174</v>
      </c>
      <c r="C2213" s="8">
        <v>46198</v>
      </c>
      <c r="D2213" s="2" t="s">
        <v>136</v>
      </c>
      <c r="E2213" s="2" t="s">
        <v>260</v>
      </c>
      <c r="F2213" s="2" t="s">
        <v>16703</v>
      </c>
      <c r="G2213" s="2" t="s">
        <v>802</v>
      </c>
      <c r="H2213" s="2" t="s">
        <v>39</v>
      </c>
      <c r="I2213" s="9">
        <v>13764.54</v>
      </c>
      <c r="J2213" s="7">
        <v>1</v>
      </c>
      <c r="K2213" s="9">
        <v>13764.54</v>
      </c>
      <c r="L2213" s="14">
        <v>0</v>
      </c>
      <c r="M2213" s="2" t="s">
        <v>71</v>
      </c>
      <c r="N2213" s="2" t="s">
        <v>16704</v>
      </c>
      <c r="O2213" s="2" t="s">
        <v>801</v>
      </c>
      <c r="P2213" s="9">
        <v>7.57</v>
      </c>
      <c r="Q2213" s="9">
        <v>13764.54</v>
      </c>
      <c r="R2213" s="2" t="s">
        <v>16705</v>
      </c>
    </row>
    <row r="2214" spans="1:18" x14ac:dyDescent="0.25">
      <c r="A2214" s="2" t="s">
        <v>803</v>
      </c>
      <c r="B2214" s="6">
        <v>46174</v>
      </c>
      <c r="C2214" s="8">
        <v>46199</v>
      </c>
      <c r="D2214" s="2" t="s">
        <v>136</v>
      </c>
      <c r="E2214" s="2" t="s">
        <v>260</v>
      </c>
      <c r="F2214" s="2" t="s">
        <v>16703</v>
      </c>
      <c r="G2214" s="2" t="s">
        <v>805</v>
      </c>
      <c r="H2214" s="2" t="s">
        <v>76</v>
      </c>
      <c r="I2214" s="9">
        <v>223000800</v>
      </c>
      <c r="J2214" s="7">
        <v>6.2500000000000001E-5</v>
      </c>
      <c r="K2214" s="9">
        <v>13937.55</v>
      </c>
      <c r="L2214" s="14">
        <v>0</v>
      </c>
      <c r="M2214" s="2" t="s">
        <v>71</v>
      </c>
      <c r="N2214" s="2" t="s">
        <v>16704</v>
      </c>
      <c r="O2214" s="2" t="s">
        <v>804</v>
      </c>
      <c r="P2214" s="9">
        <v>7.67</v>
      </c>
      <c r="Q2214" s="9">
        <v>13937.55</v>
      </c>
      <c r="R2214" s="2" t="s">
        <v>16705</v>
      </c>
    </row>
    <row r="2215" spans="1:18" x14ac:dyDescent="0.25">
      <c r="A2215" s="2" t="s">
        <v>806</v>
      </c>
      <c r="B2215" s="6">
        <v>46174</v>
      </c>
      <c r="C2215" s="8">
        <v>46200</v>
      </c>
      <c r="D2215" s="2" t="s">
        <v>136</v>
      </c>
      <c r="E2215" s="2" t="s">
        <v>260</v>
      </c>
      <c r="F2215" s="2" t="s">
        <v>16703</v>
      </c>
      <c r="G2215" s="2" t="s">
        <v>808</v>
      </c>
      <c r="H2215" s="2" t="s">
        <v>70</v>
      </c>
      <c r="I2215" s="9">
        <v>21218.887218</v>
      </c>
      <c r="J2215" s="7">
        <v>0.66500000000000004</v>
      </c>
      <c r="K2215" s="9">
        <v>14110.56</v>
      </c>
      <c r="L2215" s="14">
        <v>0</v>
      </c>
      <c r="M2215" s="2" t="s">
        <v>71</v>
      </c>
      <c r="N2215" s="2" t="s">
        <v>16704</v>
      </c>
      <c r="O2215" s="2" t="s">
        <v>807</v>
      </c>
      <c r="P2215" s="9">
        <v>7.76</v>
      </c>
      <c r="Q2215" s="9">
        <v>14110.56</v>
      </c>
      <c r="R2215" s="2" t="s">
        <v>16705</v>
      </c>
    </row>
    <row r="2216" spans="1:18" x14ac:dyDescent="0.25">
      <c r="A2216" s="2" t="s">
        <v>809</v>
      </c>
      <c r="B2216" s="6">
        <v>46174</v>
      </c>
      <c r="C2216" s="8">
        <v>46191</v>
      </c>
      <c r="D2216" s="2" t="s">
        <v>136</v>
      </c>
      <c r="E2216" s="2" t="s">
        <v>260</v>
      </c>
      <c r="F2216" s="2" t="s">
        <v>16703</v>
      </c>
      <c r="G2216" s="2" t="s">
        <v>811</v>
      </c>
      <c r="H2216" s="2" t="s">
        <v>39</v>
      </c>
      <c r="I2216" s="9">
        <v>5713.4279999999999</v>
      </c>
      <c r="J2216" s="7">
        <v>1</v>
      </c>
      <c r="K2216" s="9">
        <v>5713.43</v>
      </c>
      <c r="L2216" s="14">
        <v>0</v>
      </c>
      <c r="M2216" s="2" t="s">
        <v>71</v>
      </c>
      <c r="N2216" s="2" t="s">
        <v>16704</v>
      </c>
      <c r="O2216" s="2" t="s">
        <v>810</v>
      </c>
      <c r="P2216" s="9">
        <v>3.14</v>
      </c>
      <c r="Q2216" s="9">
        <v>5713.43</v>
      </c>
      <c r="R2216" s="2" t="s">
        <v>16705</v>
      </c>
    </row>
    <row r="2217" spans="1:18" x14ac:dyDescent="0.25">
      <c r="A2217" s="2" t="s">
        <v>812</v>
      </c>
      <c r="B2217" s="6">
        <v>46204</v>
      </c>
      <c r="C2217" s="8">
        <v>46216</v>
      </c>
      <c r="D2217" s="2" t="s">
        <v>136</v>
      </c>
      <c r="E2217" s="2" t="s">
        <v>260</v>
      </c>
      <c r="F2217" s="2" t="s">
        <v>16703</v>
      </c>
      <c r="G2217" s="2" t="s">
        <v>813</v>
      </c>
      <c r="H2217" s="2" t="s">
        <v>39</v>
      </c>
      <c r="I2217" s="9">
        <v>8570.1419999999998</v>
      </c>
      <c r="J2217" s="7">
        <v>1</v>
      </c>
      <c r="K2217" s="9">
        <v>8570.14</v>
      </c>
      <c r="L2217" s="14">
        <v>0</v>
      </c>
      <c r="M2217" s="2" t="s">
        <v>71</v>
      </c>
      <c r="N2217" s="2" t="s">
        <v>16706</v>
      </c>
      <c r="O2217" s="2" t="s">
        <v>810</v>
      </c>
      <c r="P2217" s="9">
        <v>4.71</v>
      </c>
      <c r="Q2217" s="9">
        <v>8570.14</v>
      </c>
      <c r="R2217" s="2" t="s">
        <v>16707</v>
      </c>
    </row>
    <row r="2218" spans="1:18" x14ac:dyDescent="0.25">
      <c r="A2218" s="2" t="s">
        <v>814</v>
      </c>
      <c r="B2218" s="6">
        <v>46174</v>
      </c>
      <c r="C2218" s="8">
        <v>46192</v>
      </c>
      <c r="D2218" s="2" t="s">
        <v>136</v>
      </c>
      <c r="E2218" s="2" t="s">
        <v>260</v>
      </c>
      <c r="F2218" s="2" t="s">
        <v>16703</v>
      </c>
      <c r="G2218" s="2" t="s">
        <v>816</v>
      </c>
      <c r="H2218" s="2" t="s">
        <v>76</v>
      </c>
      <c r="I2218" s="9">
        <v>92522112</v>
      </c>
      <c r="J2218" s="7">
        <v>6.2500000000000001E-5</v>
      </c>
      <c r="K2218" s="9">
        <v>5782.63</v>
      </c>
      <c r="L2218" s="14">
        <v>0</v>
      </c>
      <c r="M2218" s="2" t="s">
        <v>71</v>
      </c>
      <c r="N2218" s="2" t="s">
        <v>16704</v>
      </c>
      <c r="O2218" s="2" t="s">
        <v>815</v>
      </c>
      <c r="P2218" s="9">
        <v>3.18</v>
      </c>
      <c r="Q2218" s="9">
        <v>5782.63</v>
      </c>
      <c r="R2218" s="2" t="s">
        <v>16705</v>
      </c>
    </row>
    <row r="2219" spans="1:18" x14ac:dyDescent="0.25">
      <c r="A2219" s="2" t="s">
        <v>817</v>
      </c>
      <c r="B2219" s="6">
        <v>46204</v>
      </c>
      <c r="C2219" s="8">
        <v>46217</v>
      </c>
      <c r="D2219" s="2" t="s">
        <v>136</v>
      </c>
      <c r="E2219" s="2" t="s">
        <v>260</v>
      </c>
      <c r="F2219" s="2" t="s">
        <v>16703</v>
      </c>
      <c r="G2219" s="2" t="s">
        <v>818</v>
      </c>
      <c r="H2219" s="2" t="s">
        <v>76</v>
      </c>
      <c r="I2219" s="9">
        <v>138783168</v>
      </c>
      <c r="J2219" s="7">
        <v>6.2000000000000003E-5</v>
      </c>
      <c r="K2219" s="9">
        <v>8604.56</v>
      </c>
      <c r="L2219" s="14">
        <v>0</v>
      </c>
      <c r="M2219" s="2" t="s">
        <v>71</v>
      </c>
      <c r="N2219" s="2" t="s">
        <v>16706</v>
      </c>
      <c r="O2219" s="2" t="s">
        <v>815</v>
      </c>
      <c r="P2219" s="9">
        <v>4.7300000000000004</v>
      </c>
      <c r="Q2219" s="9">
        <v>8673.9500000000007</v>
      </c>
      <c r="R2219" s="2" t="s">
        <v>16707</v>
      </c>
    </row>
    <row r="2220" spans="1:18" x14ac:dyDescent="0.25">
      <c r="A2220" s="2" t="s">
        <v>819</v>
      </c>
      <c r="B2220" s="6">
        <v>46174</v>
      </c>
      <c r="C2220" s="8">
        <v>46203</v>
      </c>
      <c r="D2220" s="2" t="s">
        <v>136</v>
      </c>
      <c r="E2220" s="2" t="s">
        <v>260</v>
      </c>
      <c r="F2220" s="2" t="s">
        <v>16703</v>
      </c>
      <c r="G2220" s="2" t="s">
        <v>821</v>
      </c>
      <c r="H2220" s="2" t="s">
        <v>70</v>
      </c>
      <c r="I2220" s="9">
        <v>21999.383459000001</v>
      </c>
      <c r="J2220" s="7">
        <v>0.66500000000000004</v>
      </c>
      <c r="K2220" s="9">
        <v>14629.59</v>
      </c>
      <c r="L2220" s="14">
        <v>0</v>
      </c>
      <c r="M2220" s="2" t="s">
        <v>71</v>
      </c>
      <c r="N2220" s="2" t="s">
        <v>16704</v>
      </c>
      <c r="O2220" s="2" t="s">
        <v>820</v>
      </c>
      <c r="P2220" s="9">
        <v>8.0500000000000007</v>
      </c>
      <c r="Q2220" s="9">
        <v>14629.59</v>
      </c>
      <c r="R2220" s="2" t="s">
        <v>16705</v>
      </c>
    </row>
    <row r="2221" spans="1:18" x14ac:dyDescent="0.25">
      <c r="A2221" s="2" t="s">
        <v>822</v>
      </c>
      <c r="B2221" s="6">
        <v>46204</v>
      </c>
      <c r="C2221" s="8">
        <v>46204</v>
      </c>
      <c r="D2221" s="2" t="s">
        <v>136</v>
      </c>
      <c r="E2221" s="2" t="s">
        <v>260</v>
      </c>
      <c r="F2221" s="2" t="s">
        <v>16703</v>
      </c>
      <c r="G2221" s="2" t="s">
        <v>824</v>
      </c>
      <c r="H2221" s="2" t="s">
        <v>39</v>
      </c>
      <c r="I2221" s="9">
        <v>14802.6</v>
      </c>
      <c r="J2221" s="7">
        <v>1</v>
      </c>
      <c r="K2221" s="9">
        <v>14802.6</v>
      </c>
      <c r="L2221" s="14">
        <v>0</v>
      </c>
      <c r="M2221" s="2" t="s">
        <v>71</v>
      </c>
      <c r="N2221" s="2" t="s">
        <v>16706</v>
      </c>
      <c r="O2221" s="2" t="s">
        <v>823</v>
      </c>
      <c r="P2221" s="9">
        <v>8.14</v>
      </c>
      <c r="Q2221" s="9">
        <v>14802.6</v>
      </c>
      <c r="R2221" s="2" t="s">
        <v>16707</v>
      </c>
    </row>
    <row r="2222" spans="1:18" x14ac:dyDescent="0.25">
      <c r="A2222" s="2" t="s">
        <v>825</v>
      </c>
      <c r="B2222" s="6">
        <v>46174</v>
      </c>
      <c r="C2222" s="8">
        <v>46195</v>
      </c>
      <c r="D2222" s="2" t="s">
        <v>136</v>
      </c>
      <c r="E2222" s="2" t="s">
        <v>260</v>
      </c>
      <c r="F2222" s="2" t="s">
        <v>16703</v>
      </c>
      <c r="G2222" s="2" t="s">
        <v>827</v>
      </c>
      <c r="H2222" s="2" t="s">
        <v>76</v>
      </c>
      <c r="I2222" s="9">
        <v>6243904</v>
      </c>
      <c r="J2222" s="7">
        <v>6.2500000000000001E-5</v>
      </c>
      <c r="K2222" s="9">
        <v>390.24</v>
      </c>
      <c r="L2222" s="14">
        <v>0</v>
      </c>
      <c r="M2222" s="2" t="s">
        <v>71</v>
      </c>
      <c r="N2222" s="2" t="s">
        <v>16704</v>
      </c>
      <c r="O2222" s="2" t="s">
        <v>826</v>
      </c>
      <c r="P2222" s="9">
        <v>1.8</v>
      </c>
      <c r="Q2222" s="9">
        <v>390.24</v>
      </c>
      <c r="R2222" s="2" t="s">
        <v>16705</v>
      </c>
    </row>
    <row r="2223" spans="1:18" x14ac:dyDescent="0.25">
      <c r="A2223" s="2" t="s">
        <v>828</v>
      </c>
      <c r="B2223" s="6">
        <v>46204</v>
      </c>
      <c r="C2223" s="8">
        <v>46220</v>
      </c>
      <c r="D2223" s="2" t="s">
        <v>136</v>
      </c>
      <c r="E2223" s="2" t="s">
        <v>260</v>
      </c>
      <c r="F2223" s="2" t="s">
        <v>16703</v>
      </c>
      <c r="G2223" s="2" t="s">
        <v>829</v>
      </c>
      <c r="H2223" s="2" t="s">
        <v>76</v>
      </c>
      <c r="I2223" s="9">
        <v>9365856</v>
      </c>
      <c r="J2223" s="7">
        <v>6.2000000000000003E-5</v>
      </c>
      <c r="K2223" s="9">
        <v>580.67999999999995</v>
      </c>
      <c r="L2223" s="14">
        <v>0</v>
      </c>
      <c r="M2223" s="2" t="s">
        <v>71</v>
      </c>
      <c r="N2223" s="2" t="s">
        <v>16706</v>
      </c>
      <c r="O2223" s="2" t="s">
        <v>826</v>
      </c>
      <c r="P2223" s="9">
        <v>1.8</v>
      </c>
      <c r="Q2223" s="9">
        <v>585.37</v>
      </c>
      <c r="R2223" s="2" t="s">
        <v>16707</v>
      </c>
    </row>
    <row r="2224" spans="1:18" x14ac:dyDescent="0.25">
      <c r="A2224" s="2" t="s">
        <v>830</v>
      </c>
      <c r="B2224" s="6">
        <v>46204</v>
      </c>
      <c r="C2224" s="8">
        <v>46206</v>
      </c>
      <c r="D2224" s="2" t="s">
        <v>136</v>
      </c>
      <c r="E2224" s="2" t="s">
        <v>260</v>
      </c>
      <c r="F2224" s="2" t="s">
        <v>16703</v>
      </c>
      <c r="G2224" s="2" t="s">
        <v>832</v>
      </c>
      <c r="H2224" s="2" t="s">
        <v>70</v>
      </c>
      <c r="I2224" s="9">
        <v>1727.24812</v>
      </c>
      <c r="J2224" s="7">
        <v>0.65800000000000003</v>
      </c>
      <c r="K2224" s="9">
        <v>1136.53</v>
      </c>
      <c r="L2224" s="14">
        <v>0</v>
      </c>
      <c r="M2224" s="2" t="s">
        <v>71</v>
      </c>
      <c r="N2224" s="2" t="s">
        <v>16706</v>
      </c>
      <c r="O2224" s="2" t="s">
        <v>831</v>
      </c>
      <c r="P2224" s="9">
        <v>1.8</v>
      </c>
      <c r="Q2224" s="9">
        <v>1148.6199999999999</v>
      </c>
      <c r="R2224" s="2" t="s">
        <v>16707</v>
      </c>
    </row>
    <row r="2225" spans="1:18" x14ac:dyDescent="0.25">
      <c r="A2225" s="2" t="s">
        <v>833</v>
      </c>
      <c r="B2225" s="6">
        <v>46204</v>
      </c>
      <c r="C2225" s="8">
        <v>46207</v>
      </c>
      <c r="D2225" s="2" t="s">
        <v>136</v>
      </c>
      <c r="E2225" s="2" t="s">
        <v>260</v>
      </c>
      <c r="F2225" s="2" t="s">
        <v>16703</v>
      </c>
      <c r="G2225" s="2" t="s">
        <v>835</v>
      </c>
      <c r="H2225" s="2" t="s">
        <v>39</v>
      </c>
      <c r="I2225" s="9">
        <v>1321.63</v>
      </c>
      <c r="J2225" s="7">
        <v>1</v>
      </c>
      <c r="K2225" s="9">
        <v>1321.63</v>
      </c>
      <c r="L2225" s="14">
        <v>0</v>
      </c>
      <c r="M2225" s="2" t="s">
        <v>71</v>
      </c>
      <c r="N2225" s="2" t="s">
        <v>16706</v>
      </c>
      <c r="O2225" s="2" t="s">
        <v>834</v>
      </c>
      <c r="P2225" s="9">
        <v>1.8</v>
      </c>
      <c r="Q2225" s="9">
        <v>1321.63</v>
      </c>
      <c r="R2225" s="2" t="s">
        <v>16707</v>
      </c>
    </row>
    <row r="2226" spans="1:18" x14ac:dyDescent="0.25">
      <c r="A2226" s="2" t="s">
        <v>836</v>
      </c>
      <c r="B2226" s="6">
        <v>46204</v>
      </c>
      <c r="C2226" s="8">
        <v>46208</v>
      </c>
      <c r="D2226" s="2" t="s">
        <v>136</v>
      </c>
      <c r="E2226" s="2" t="s">
        <v>260</v>
      </c>
      <c r="F2226" s="2" t="s">
        <v>16703</v>
      </c>
      <c r="G2226" s="2" t="s">
        <v>838</v>
      </c>
      <c r="H2226" s="2" t="s">
        <v>76</v>
      </c>
      <c r="I2226" s="9">
        <v>23914240</v>
      </c>
      <c r="J2226" s="7">
        <v>6.2000000000000003E-5</v>
      </c>
      <c r="K2226" s="9">
        <v>1482.68</v>
      </c>
      <c r="L2226" s="14">
        <v>0</v>
      </c>
      <c r="M2226" s="2" t="s">
        <v>71</v>
      </c>
      <c r="N2226" s="2" t="s">
        <v>16706</v>
      </c>
      <c r="O2226" s="2" t="s">
        <v>837</v>
      </c>
      <c r="P2226" s="9">
        <v>1.8</v>
      </c>
      <c r="Q2226" s="9">
        <v>1494.64</v>
      </c>
      <c r="R2226" s="2" t="s">
        <v>16707</v>
      </c>
    </row>
    <row r="2227" spans="1:18" x14ac:dyDescent="0.25">
      <c r="A2227" s="2" t="s">
        <v>839</v>
      </c>
      <c r="B2227" s="6">
        <v>46204</v>
      </c>
      <c r="C2227" s="8">
        <v>46209</v>
      </c>
      <c r="D2227" s="2" t="s">
        <v>136</v>
      </c>
      <c r="E2227" s="2" t="s">
        <v>260</v>
      </c>
      <c r="F2227" s="2" t="s">
        <v>16703</v>
      </c>
      <c r="G2227" s="2" t="s">
        <v>841</v>
      </c>
      <c r="H2227" s="2" t="s">
        <v>70</v>
      </c>
      <c r="I2227" s="9">
        <v>2507.744361</v>
      </c>
      <c r="J2227" s="7">
        <v>0.65800000000000003</v>
      </c>
      <c r="K2227" s="9">
        <v>1650.1</v>
      </c>
      <c r="L2227" s="14">
        <v>0</v>
      </c>
      <c r="M2227" s="2" t="s">
        <v>71</v>
      </c>
      <c r="N2227" s="2" t="s">
        <v>16706</v>
      </c>
      <c r="O2227" s="2" t="s">
        <v>840</v>
      </c>
      <c r="P2227" s="9">
        <v>1.8</v>
      </c>
      <c r="Q2227" s="9">
        <v>1667.65</v>
      </c>
      <c r="R2227" s="2" t="s">
        <v>16707</v>
      </c>
    </row>
    <row r="2228" spans="1:18" x14ac:dyDescent="0.25">
      <c r="A2228" s="2" t="s">
        <v>842</v>
      </c>
      <c r="B2228" s="6">
        <v>46204</v>
      </c>
      <c r="C2228" s="8">
        <v>46210</v>
      </c>
      <c r="D2228" s="2" t="s">
        <v>136</v>
      </c>
      <c r="E2228" s="2" t="s">
        <v>260</v>
      </c>
      <c r="F2228" s="2" t="s">
        <v>16703</v>
      </c>
      <c r="G2228" s="2" t="s">
        <v>844</v>
      </c>
      <c r="H2228" s="2" t="s">
        <v>39</v>
      </c>
      <c r="I2228" s="9">
        <v>1840.66</v>
      </c>
      <c r="J2228" s="7">
        <v>1</v>
      </c>
      <c r="K2228" s="9">
        <v>1840.66</v>
      </c>
      <c r="L2228" s="14">
        <v>0</v>
      </c>
      <c r="M2228" s="2" t="s">
        <v>71</v>
      </c>
      <c r="N2228" s="2" t="s">
        <v>16706</v>
      </c>
      <c r="O2228" s="2" t="s">
        <v>843</v>
      </c>
      <c r="P2228" s="9">
        <v>1.8</v>
      </c>
      <c r="Q2228" s="9">
        <v>1840.66</v>
      </c>
      <c r="R2228" s="2" t="s">
        <v>16707</v>
      </c>
    </row>
    <row r="2229" spans="1:18" x14ac:dyDescent="0.25">
      <c r="A2229" s="2" t="s">
        <v>845</v>
      </c>
      <c r="B2229" s="6">
        <v>46174</v>
      </c>
      <c r="C2229" s="8">
        <v>46201</v>
      </c>
      <c r="D2229" s="2" t="s">
        <v>136</v>
      </c>
      <c r="E2229" s="2" t="s">
        <v>260</v>
      </c>
      <c r="F2229" s="2" t="s">
        <v>16703</v>
      </c>
      <c r="G2229" s="2" t="s">
        <v>847</v>
      </c>
      <c r="H2229" s="2" t="s">
        <v>76</v>
      </c>
      <c r="I2229" s="9">
        <v>-32218720</v>
      </c>
      <c r="J2229" s="7">
        <v>6.2500000000000001E-5</v>
      </c>
      <c r="K2229" s="9">
        <v>-2013.67</v>
      </c>
      <c r="L2229" s="14">
        <v>0</v>
      </c>
      <c r="M2229" s="2" t="s">
        <v>71</v>
      </c>
      <c r="N2229" s="2" t="s">
        <v>16704</v>
      </c>
      <c r="O2229" s="2" t="s">
        <v>846</v>
      </c>
      <c r="P2229" s="9">
        <v>0</v>
      </c>
      <c r="Q2229" s="9">
        <v>-2013.67</v>
      </c>
      <c r="R2229" s="2" t="s">
        <v>16705</v>
      </c>
    </row>
    <row r="2230" spans="1:18" x14ac:dyDescent="0.25">
      <c r="A2230" s="2" t="s">
        <v>848</v>
      </c>
      <c r="B2230" s="6">
        <v>46174</v>
      </c>
      <c r="C2230" s="8">
        <v>46202</v>
      </c>
      <c r="D2230" s="2" t="s">
        <v>136</v>
      </c>
      <c r="E2230" s="2" t="s">
        <v>260</v>
      </c>
      <c r="F2230" s="2" t="s">
        <v>16703</v>
      </c>
      <c r="G2230" s="2" t="s">
        <v>850</v>
      </c>
      <c r="H2230" s="2" t="s">
        <v>70</v>
      </c>
      <c r="I2230" s="9">
        <v>1315.296241</v>
      </c>
      <c r="J2230" s="7">
        <v>0.66500000000000004</v>
      </c>
      <c r="K2230" s="9">
        <v>874.67</v>
      </c>
      <c r="L2230" s="14">
        <v>0</v>
      </c>
      <c r="M2230" s="2" t="s">
        <v>71</v>
      </c>
      <c r="N2230" s="2" t="s">
        <v>16704</v>
      </c>
      <c r="O2230" s="2" t="s">
        <v>849</v>
      </c>
      <c r="P2230" s="9">
        <v>1.8</v>
      </c>
      <c r="Q2230" s="9">
        <v>874.67</v>
      </c>
      <c r="R2230" s="2" t="s">
        <v>16705</v>
      </c>
    </row>
    <row r="2231" spans="1:18" x14ac:dyDescent="0.25">
      <c r="A2231" s="2" t="s">
        <v>851</v>
      </c>
      <c r="B2231" s="6">
        <v>46204</v>
      </c>
      <c r="C2231" s="8">
        <v>46227</v>
      </c>
      <c r="D2231" s="2" t="s">
        <v>136</v>
      </c>
      <c r="E2231" s="2" t="s">
        <v>260</v>
      </c>
      <c r="F2231" s="2" t="s">
        <v>16703</v>
      </c>
      <c r="G2231" s="2" t="s">
        <v>852</v>
      </c>
      <c r="H2231" s="2" t="s">
        <v>70</v>
      </c>
      <c r="I2231" s="9">
        <v>1972.9443610000001</v>
      </c>
      <c r="J2231" s="7">
        <v>0.65800000000000003</v>
      </c>
      <c r="K2231" s="9">
        <v>1298.2</v>
      </c>
      <c r="L2231" s="14">
        <v>0</v>
      </c>
      <c r="M2231" s="2" t="s">
        <v>71</v>
      </c>
      <c r="N2231" s="2" t="s">
        <v>16706</v>
      </c>
      <c r="O2231" s="2" t="s">
        <v>849</v>
      </c>
      <c r="P2231" s="9">
        <v>1.8</v>
      </c>
      <c r="Q2231" s="9">
        <v>1312.01</v>
      </c>
      <c r="R2231" s="2" t="s">
        <v>16707</v>
      </c>
    </row>
    <row r="2232" spans="1:18" x14ac:dyDescent="0.25">
      <c r="A2232" s="2" t="s">
        <v>853</v>
      </c>
      <c r="B2232" s="6">
        <v>46204</v>
      </c>
      <c r="C2232" s="8">
        <v>46213</v>
      </c>
      <c r="D2232" s="2" t="s">
        <v>136</v>
      </c>
      <c r="E2232" s="2" t="s">
        <v>260</v>
      </c>
      <c r="F2232" s="2" t="s">
        <v>16703</v>
      </c>
      <c r="G2232" s="2" t="s">
        <v>855</v>
      </c>
      <c r="H2232" s="2" t="s">
        <v>39</v>
      </c>
      <c r="I2232" s="9">
        <v>2359.69</v>
      </c>
      <c r="J2232" s="7">
        <v>1</v>
      </c>
      <c r="K2232" s="9">
        <v>2359.69</v>
      </c>
      <c r="L2232" s="14">
        <v>0</v>
      </c>
      <c r="M2232" s="2" t="s">
        <v>71</v>
      </c>
      <c r="N2232" s="2" t="s">
        <v>16706</v>
      </c>
      <c r="O2232" s="2" t="s">
        <v>854</v>
      </c>
      <c r="P2232" s="9">
        <v>1.8</v>
      </c>
      <c r="Q2232" s="9">
        <v>2359.69</v>
      </c>
      <c r="R2232" s="2" t="s">
        <v>16707</v>
      </c>
    </row>
    <row r="2233" spans="1:18" x14ac:dyDescent="0.25">
      <c r="A2233" s="2" t="s">
        <v>856</v>
      </c>
      <c r="B2233" s="6">
        <v>46204</v>
      </c>
      <c r="C2233" s="8">
        <v>46214</v>
      </c>
      <c r="D2233" s="2" t="s">
        <v>136</v>
      </c>
      <c r="E2233" s="2" t="s">
        <v>260</v>
      </c>
      <c r="F2233" s="2" t="s">
        <v>16703</v>
      </c>
      <c r="G2233" s="2" t="s">
        <v>858</v>
      </c>
      <c r="H2233" s="2" t="s">
        <v>76</v>
      </c>
      <c r="I2233" s="9">
        <v>40523200</v>
      </c>
      <c r="J2233" s="7">
        <v>6.2000000000000003E-5</v>
      </c>
      <c r="K2233" s="9">
        <v>2512.44</v>
      </c>
      <c r="L2233" s="14">
        <v>0</v>
      </c>
      <c r="M2233" s="2" t="s">
        <v>71</v>
      </c>
      <c r="N2233" s="2" t="s">
        <v>16706</v>
      </c>
      <c r="O2233" s="2" t="s">
        <v>857</v>
      </c>
      <c r="P2233" s="9">
        <v>1.8</v>
      </c>
      <c r="Q2233" s="9">
        <v>2532.6999999999998</v>
      </c>
      <c r="R2233" s="2" t="s">
        <v>16707</v>
      </c>
    </row>
    <row r="2234" spans="1:18" x14ac:dyDescent="0.25">
      <c r="A2234" s="2" t="s">
        <v>859</v>
      </c>
      <c r="B2234" s="6">
        <v>46204</v>
      </c>
      <c r="C2234" s="8">
        <v>46205</v>
      </c>
      <c r="D2234" s="2" t="s">
        <v>136</v>
      </c>
      <c r="E2234" s="2" t="s">
        <v>260</v>
      </c>
      <c r="F2234" s="2" t="s">
        <v>16703</v>
      </c>
      <c r="G2234" s="2" t="s">
        <v>861</v>
      </c>
      <c r="H2234" s="2" t="s">
        <v>70</v>
      </c>
      <c r="I2234" s="9">
        <v>1627.494737</v>
      </c>
      <c r="J2234" s="7">
        <v>0.65800000000000003</v>
      </c>
      <c r="K2234" s="9">
        <v>1070.8900000000001</v>
      </c>
      <c r="L2234" s="14">
        <v>0</v>
      </c>
      <c r="M2234" s="2" t="s">
        <v>71</v>
      </c>
      <c r="N2234" s="2" t="s">
        <v>16706</v>
      </c>
      <c r="O2234" s="2" t="s">
        <v>860</v>
      </c>
      <c r="P2234" s="9">
        <v>1.8</v>
      </c>
      <c r="Q2234" s="9">
        <v>1082.28</v>
      </c>
      <c r="R2234" s="2" t="s">
        <v>16707</v>
      </c>
    </row>
    <row r="2235" spans="1:18" x14ac:dyDescent="0.25">
      <c r="A2235" s="2" t="s">
        <v>862</v>
      </c>
      <c r="B2235" s="6">
        <v>46204</v>
      </c>
      <c r="C2235" s="8">
        <v>46230</v>
      </c>
      <c r="D2235" s="2" t="s">
        <v>136</v>
      </c>
      <c r="E2235" s="2" t="s">
        <v>260</v>
      </c>
      <c r="F2235" s="2" t="s">
        <v>16703</v>
      </c>
      <c r="G2235" s="2" t="s">
        <v>863</v>
      </c>
      <c r="H2235" s="2" t="s">
        <v>70</v>
      </c>
      <c r="I2235" s="9">
        <v>2441.2421049999998</v>
      </c>
      <c r="J2235" s="7">
        <v>0.65800000000000003</v>
      </c>
      <c r="K2235" s="9">
        <v>1606.34</v>
      </c>
      <c r="L2235" s="14">
        <v>0</v>
      </c>
      <c r="M2235" s="2" t="s">
        <v>71</v>
      </c>
      <c r="N2235" s="2" t="s">
        <v>16706</v>
      </c>
      <c r="O2235" s="2" t="s">
        <v>860</v>
      </c>
      <c r="P2235" s="9">
        <v>1.8</v>
      </c>
      <c r="Q2235" s="9">
        <v>1623.43</v>
      </c>
      <c r="R2235" s="2" t="s">
        <v>16707</v>
      </c>
    </row>
    <row r="2236" spans="1:18" x14ac:dyDescent="0.25">
      <c r="A2236" s="2" t="s">
        <v>864</v>
      </c>
      <c r="B2236" s="6">
        <v>46204</v>
      </c>
      <c r="C2236" s="8">
        <v>46216</v>
      </c>
      <c r="D2236" s="2" t="s">
        <v>136</v>
      </c>
      <c r="E2236" s="2" t="s">
        <v>260</v>
      </c>
      <c r="F2236" s="2" t="s">
        <v>16703</v>
      </c>
      <c r="G2236" s="2" t="s">
        <v>866</v>
      </c>
      <c r="H2236" s="2" t="s">
        <v>39</v>
      </c>
      <c r="I2236" s="9">
        <v>2878.72</v>
      </c>
      <c r="J2236" s="7">
        <v>1</v>
      </c>
      <c r="K2236" s="9">
        <v>2878.72</v>
      </c>
      <c r="L2236" s="14">
        <v>0</v>
      </c>
      <c r="M2236" s="2" t="s">
        <v>71</v>
      </c>
      <c r="N2236" s="2" t="s">
        <v>16706</v>
      </c>
      <c r="O2236" s="2" t="s">
        <v>865</v>
      </c>
      <c r="P2236" s="9">
        <v>1.8</v>
      </c>
      <c r="Q2236" s="9">
        <v>2878.72</v>
      </c>
      <c r="R2236" s="2" t="s">
        <v>16707</v>
      </c>
    </row>
    <row r="2237" spans="1:18" x14ac:dyDescent="0.25">
      <c r="A2237" s="2" t="s">
        <v>867</v>
      </c>
      <c r="B2237" s="6">
        <v>46204</v>
      </c>
      <c r="C2237" s="8">
        <v>46217</v>
      </c>
      <c r="D2237" s="2" t="s">
        <v>136</v>
      </c>
      <c r="E2237" s="2" t="s">
        <v>260</v>
      </c>
      <c r="F2237" s="2" t="s">
        <v>16703</v>
      </c>
      <c r="G2237" s="2" t="s">
        <v>869</v>
      </c>
      <c r="H2237" s="2" t="s">
        <v>76</v>
      </c>
      <c r="I2237" s="9">
        <v>48827680</v>
      </c>
      <c r="J2237" s="7">
        <v>6.2000000000000003E-5</v>
      </c>
      <c r="K2237" s="9">
        <v>3027.32</v>
      </c>
      <c r="L2237" s="14">
        <v>0</v>
      </c>
      <c r="M2237" s="2" t="s">
        <v>71</v>
      </c>
      <c r="N2237" s="2" t="s">
        <v>16706</v>
      </c>
      <c r="O2237" s="2" t="s">
        <v>868</v>
      </c>
      <c r="P2237" s="9">
        <v>1.8</v>
      </c>
      <c r="Q2237" s="9">
        <v>3051.73</v>
      </c>
      <c r="R2237" s="2" t="s">
        <v>16707</v>
      </c>
    </row>
    <row r="2238" spans="1:18" x14ac:dyDescent="0.25">
      <c r="A2238" s="2" t="s">
        <v>870</v>
      </c>
      <c r="B2238" s="6">
        <v>46204</v>
      </c>
      <c r="C2238" s="8">
        <v>46218</v>
      </c>
      <c r="D2238" s="2" t="s">
        <v>136</v>
      </c>
      <c r="E2238" s="2" t="s">
        <v>260</v>
      </c>
      <c r="F2238" s="2" t="s">
        <v>16703</v>
      </c>
      <c r="G2238" s="2" t="s">
        <v>872</v>
      </c>
      <c r="H2238" s="2" t="s">
        <v>70</v>
      </c>
      <c r="I2238" s="9">
        <v>4849.2330830000001</v>
      </c>
      <c r="J2238" s="7">
        <v>0.65800000000000003</v>
      </c>
      <c r="K2238" s="9">
        <v>3190.8</v>
      </c>
      <c r="L2238" s="14">
        <v>0</v>
      </c>
      <c r="M2238" s="2" t="s">
        <v>71</v>
      </c>
      <c r="N2238" s="2" t="s">
        <v>16706</v>
      </c>
      <c r="O2238" s="2" t="s">
        <v>871</v>
      </c>
      <c r="P2238" s="9">
        <v>1.8</v>
      </c>
      <c r="Q2238" s="9">
        <v>3224.74</v>
      </c>
      <c r="R2238" s="2" t="s">
        <v>16707</v>
      </c>
    </row>
    <row r="2239" spans="1:18" x14ac:dyDescent="0.25">
      <c r="A2239" s="2" t="s">
        <v>873</v>
      </c>
      <c r="B2239" s="6">
        <v>46204</v>
      </c>
      <c r="C2239" s="8">
        <v>46219</v>
      </c>
      <c r="D2239" s="2" t="s">
        <v>136</v>
      </c>
      <c r="E2239" s="2" t="s">
        <v>260</v>
      </c>
      <c r="F2239" s="2" t="s">
        <v>16703</v>
      </c>
      <c r="G2239" s="2" t="s">
        <v>875</v>
      </c>
      <c r="H2239" s="2" t="s">
        <v>39</v>
      </c>
      <c r="I2239" s="9">
        <v>3397.75</v>
      </c>
      <c r="J2239" s="7">
        <v>1</v>
      </c>
      <c r="K2239" s="9">
        <v>3397.75</v>
      </c>
      <c r="L2239" s="14">
        <v>0</v>
      </c>
      <c r="M2239" s="2" t="s">
        <v>71</v>
      </c>
      <c r="N2239" s="2" t="s">
        <v>16706</v>
      </c>
      <c r="O2239" s="2" t="s">
        <v>874</v>
      </c>
      <c r="P2239" s="9">
        <v>1.87</v>
      </c>
      <c r="Q2239" s="9">
        <v>3397.75</v>
      </c>
      <c r="R2239" s="2" t="s">
        <v>16707</v>
      </c>
    </row>
    <row r="2240" spans="1:18" x14ac:dyDescent="0.25">
      <c r="A2240" s="2" t="s">
        <v>876</v>
      </c>
      <c r="B2240" s="6">
        <v>46204</v>
      </c>
      <c r="C2240" s="8">
        <v>46220</v>
      </c>
      <c r="D2240" s="2" t="s">
        <v>136</v>
      </c>
      <c r="E2240" s="2" t="s">
        <v>260</v>
      </c>
      <c r="F2240" s="2" t="s">
        <v>16703</v>
      </c>
      <c r="G2240" s="2" t="s">
        <v>878</v>
      </c>
      <c r="H2240" s="2" t="s">
        <v>76</v>
      </c>
      <c r="I2240" s="9">
        <v>57132160</v>
      </c>
      <c r="J2240" s="7">
        <v>6.2000000000000003E-5</v>
      </c>
      <c r="K2240" s="9">
        <v>3542.19</v>
      </c>
      <c r="L2240" s="14">
        <v>0</v>
      </c>
      <c r="M2240" s="2" t="s">
        <v>71</v>
      </c>
      <c r="N2240" s="2" t="s">
        <v>16706</v>
      </c>
      <c r="O2240" s="2" t="s">
        <v>877</v>
      </c>
      <c r="P2240" s="9">
        <v>1.95</v>
      </c>
      <c r="Q2240" s="9">
        <v>3570.76</v>
      </c>
      <c r="R2240" s="2" t="s">
        <v>16707</v>
      </c>
    </row>
    <row r="2241" spans="1:18" x14ac:dyDescent="0.25">
      <c r="A2241" s="2" t="s">
        <v>879</v>
      </c>
      <c r="B2241" s="6">
        <v>46204</v>
      </c>
      <c r="C2241" s="8">
        <v>46211</v>
      </c>
      <c r="D2241" s="2" t="s">
        <v>136</v>
      </c>
      <c r="E2241" s="2" t="s">
        <v>260</v>
      </c>
      <c r="F2241" s="2" t="s">
        <v>16703</v>
      </c>
      <c r="G2241" s="2" t="s">
        <v>881</v>
      </c>
      <c r="H2241" s="2" t="s">
        <v>70</v>
      </c>
      <c r="I2241" s="9">
        <v>2251.8917289999999</v>
      </c>
      <c r="J2241" s="7">
        <v>0.65800000000000003</v>
      </c>
      <c r="K2241" s="9">
        <v>1481.74</v>
      </c>
      <c r="L2241" s="14">
        <v>0</v>
      </c>
      <c r="M2241" s="2" t="s">
        <v>71</v>
      </c>
      <c r="N2241" s="2" t="s">
        <v>16706</v>
      </c>
      <c r="O2241" s="2" t="s">
        <v>880</v>
      </c>
      <c r="P2241" s="9">
        <v>1.8</v>
      </c>
      <c r="Q2241" s="9">
        <v>1497.51</v>
      </c>
      <c r="R2241" s="2" t="s">
        <v>16707</v>
      </c>
    </row>
    <row r="2242" spans="1:18" x14ac:dyDescent="0.25">
      <c r="A2242" s="2" t="s">
        <v>884</v>
      </c>
      <c r="B2242" s="6">
        <v>46204</v>
      </c>
      <c r="C2242" s="8">
        <v>46212</v>
      </c>
      <c r="D2242" s="2" t="s">
        <v>136</v>
      </c>
      <c r="E2242" s="2" t="s">
        <v>260</v>
      </c>
      <c r="F2242" s="2" t="s">
        <v>16703</v>
      </c>
      <c r="G2242" s="2" t="s">
        <v>886</v>
      </c>
      <c r="H2242" s="2" t="s">
        <v>39</v>
      </c>
      <c r="I2242" s="9">
        <v>1566.712</v>
      </c>
      <c r="J2242" s="7">
        <v>1</v>
      </c>
      <c r="K2242" s="9">
        <v>1566.71</v>
      </c>
      <c r="L2242" s="14">
        <v>0</v>
      </c>
      <c r="M2242" s="2" t="s">
        <v>71</v>
      </c>
      <c r="N2242" s="2" t="s">
        <v>16706</v>
      </c>
      <c r="O2242" s="2" t="s">
        <v>885</v>
      </c>
      <c r="P2242" s="9">
        <v>1.8</v>
      </c>
      <c r="Q2242" s="9">
        <v>1566.71</v>
      </c>
      <c r="R2242" s="2" t="s">
        <v>16707</v>
      </c>
    </row>
    <row r="2243" spans="1:18" x14ac:dyDescent="0.25">
      <c r="A2243" s="2" t="s">
        <v>889</v>
      </c>
      <c r="B2243" s="6">
        <v>46204</v>
      </c>
      <c r="C2243" s="8">
        <v>46223</v>
      </c>
      <c r="D2243" s="2" t="s">
        <v>136</v>
      </c>
      <c r="E2243" s="2" t="s">
        <v>260</v>
      </c>
      <c r="F2243" s="2" t="s">
        <v>16703</v>
      </c>
      <c r="G2243" s="2" t="s">
        <v>891</v>
      </c>
      <c r="H2243" s="2" t="s">
        <v>76</v>
      </c>
      <c r="I2243" s="9">
        <v>65436640</v>
      </c>
      <c r="J2243" s="7">
        <v>6.2000000000000003E-5</v>
      </c>
      <c r="K2243" s="9">
        <v>4057.07</v>
      </c>
      <c r="L2243" s="14">
        <v>0</v>
      </c>
      <c r="M2243" s="2" t="s">
        <v>71</v>
      </c>
      <c r="N2243" s="2" t="s">
        <v>16706</v>
      </c>
      <c r="O2243" s="2" t="s">
        <v>890</v>
      </c>
      <c r="P2243" s="9">
        <v>2.23</v>
      </c>
      <c r="Q2243" s="9">
        <v>4089.79</v>
      </c>
      <c r="R2243" s="2" t="s">
        <v>16707</v>
      </c>
    </row>
    <row r="2244" spans="1:18" x14ac:dyDescent="0.25">
      <c r="A2244" s="2" t="s">
        <v>892</v>
      </c>
      <c r="B2244" s="6">
        <v>46204</v>
      </c>
      <c r="C2244" s="8">
        <v>46224</v>
      </c>
      <c r="D2244" s="2" t="s">
        <v>136</v>
      </c>
      <c r="E2244" s="2" t="s">
        <v>260</v>
      </c>
      <c r="F2244" s="2" t="s">
        <v>16703</v>
      </c>
      <c r="G2244" s="2" t="s">
        <v>894</v>
      </c>
      <c r="H2244" s="2" t="s">
        <v>70</v>
      </c>
      <c r="I2244" s="9">
        <v>6410.2255640000003</v>
      </c>
      <c r="J2244" s="7">
        <v>0.65800000000000003</v>
      </c>
      <c r="K2244" s="9">
        <v>4217.93</v>
      </c>
      <c r="L2244" s="14">
        <v>0</v>
      </c>
      <c r="M2244" s="2" t="s">
        <v>71</v>
      </c>
      <c r="N2244" s="2" t="s">
        <v>16706</v>
      </c>
      <c r="O2244" s="2" t="s">
        <v>893</v>
      </c>
      <c r="P2244" s="9">
        <v>2.3199999999999998</v>
      </c>
      <c r="Q2244" s="9">
        <v>4262.8</v>
      </c>
      <c r="R2244" s="2" t="s">
        <v>16707</v>
      </c>
    </row>
    <row r="2245" spans="1:18" x14ac:dyDescent="0.25">
      <c r="A2245" s="2" t="s">
        <v>895</v>
      </c>
      <c r="B2245" s="6">
        <v>46204</v>
      </c>
      <c r="C2245" s="8">
        <v>46215</v>
      </c>
      <c r="D2245" s="2" t="s">
        <v>136</v>
      </c>
      <c r="E2245" s="2" t="s">
        <v>260</v>
      </c>
      <c r="F2245" s="2" t="s">
        <v>16703</v>
      </c>
      <c r="G2245" s="2" t="s">
        <v>897</v>
      </c>
      <c r="H2245" s="2" t="s">
        <v>39</v>
      </c>
      <c r="I2245" s="9">
        <v>1774.3240000000001</v>
      </c>
      <c r="J2245" s="7">
        <v>1</v>
      </c>
      <c r="K2245" s="9">
        <v>1774.32</v>
      </c>
      <c r="L2245" s="14">
        <v>0</v>
      </c>
      <c r="M2245" s="2" t="s">
        <v>71</v>
      </c>
      <c r="N2245" s="2" t="s">
        <v>16706</v>
      </c>
      <c r="O2245" s="2" t="s">
        <v>896</v>
      </c>
      <c r="P2245" s="9">
        <v>1.8</v>
      </c>
      <c r="Q2245" s="9">
        <v>1774.32</v>
      </c>
      <c r="R2245" s="2" t="s">
        <v>16707</v>
      </c>
    </row>
    <row r="2246" spans="1:18" x14ac:dyDescent="0.25">
      <c r="A2246" s="2" t="s">
        <v>900</v>
      </c>
      <c r="B2246" s="6">
        <v>46204</v>
      </c>
      <c r="C2246" s="8">
        <v>46226</v>
      </c>
      <c r="D2246" s="2" t="s">
        <v>136</v>
      </c>
      <c r="E2246" s="2" t="s">
        <v>260</v>
      </c>
      <c r="F2246" s="2" t="s">
        <v>16703</v>
      </c>
      <c r="G2246" s="2" t="s">
        <v>902</v>
      </c>
      <c r="H2246" s="2" t="s">
        <v>76</v>
      </c>
      <c r="I2246" s="9">
        <v>73741120</v>
      </c>
      <c r="J2246" s="7">
        <v>6.2000000000000003E-5</v>
      </c>
      <c r="K2246" s="9">
        <v>4571.95</v>
      </c>
      <c r="L2246" s="14">
        <v>0</v>
      </c>
      <c r="M2246" s="2" t="s">
        <v>71</v>
      </c>
      <c r="N2246" s="2" t="s">
        <v>16706</v>
      </c>
      <c r="O2246" s="2" t="s">
        <v>901</v>
      </c>
      <c r="P2246" s="9">
        <v>2.5099999999999998</v>
      </c>
      <c r="Q2246" s="9">
        <v>4608.82</v>
      </c>
      <c r="R2246" s="2" t="s">
        <v>16707</v>
      </c>
    </row>
    <row r="2247" spans="1:18" x14ac:dyDescent="0.25">
      <c r="A2247" s="2" t="s">
        <v>903</v>
      </c>
      <c r="B2247" s="6">
        <v>46204</v>
      </c>
      <c r="C2247" s="8">
        <v>46227</v>
      </c>
      <c r="D2247" s="2" t="s">
        <v>136</v>
      </c>
      <c r="E2247" s="2" t="s">
        <v>260</v>
      </c>
      <c r="F2247" s="2" t="s">
        <v>16703</v>
      </c>
      <c r="G2247" s="2" t="s">
        <v>905</v>
      </c>
      <c r="H2247" s="2" t="s">
        <v>70</v>
      </c>
      <c r="I2247" s="9">
        <v>7190.7218050000001</v>
      </c>
      <c r="J2247" s="7">
        <v>0.65800000000000003</v>
      </c>
      <c r="K2247" s="9">
        <v>4731.49</v>
      </c>
      <c r="L2247" s="14">
        <v>0</v>
      </c>
      <c r="M2247" s="2" t="s">
        <v>71</v>
      </c>
      <c r="N2247" s="2" t="s">
        <v>16706</v>
      </c>
      <c r="O2247" s="2" t="s">
        <v>904</v>
      </c>
      <c r="P2247" s="9">
        <v>2.6</v>
      </c>
      <c r="Q2247" s="9">
        <v>4781.83</v>
      </c>
      <c r="R2247" s="2" t="s">
        <v>16707</v>
      </c>
    </row>
    <row r="2248" spans="1:18" x14ac:dyDescent="0.25">
      <c r="A2248" s="2" t="s">
        <v>906</v>
      </c>
      <c r="B2248" s="6">
        <v>46174</v>
      </c>
      <c r="C2248" s="8">
        <v>46198</v>
      </c>
      <c r="D2248" s="2" t="s">
        <v>136</v>
      </c>
      <c r="E2248" s="2" t="s">
        <v>260</v>
      </c>
      <c r="F2248" s="2" t="s">
        <v>16703</v>
      </c>
      <c r="G2248" s="2" t="s">
        <v>908</v>
      </c>
      <c r="H2248" s="2" t="s">
        <v>39</v>
      </c>
      <c r="I2248" s="9">
        <v>4954.84</v>
      </c>
      <c r="J2248" s="7">
        <v>1</v>
      </c>
      <c r="K2248" s="9">
        <v>4954.84</v>
      </c>
      <c r="L2248" s="14">
        <v>0</v>
      </c>
      <c r="M2248" s="2" t="s">
        <v>71</v>
      </c>
      <c r="N2248" s="2" t="s">
        <v>16704</v>
      </c>
      <c r="O2248" s="2" t="s">
        <v>907</v>
      </c>
      <c r="P2248" s="9">
        <v>2.73</v>
      </c>
      <c r="Q2248" s="9">
        <v>4954.84</v>
      </c>
      <c r="R2248" s="2" t="s">
        <v>16705</v>
      </c>
    </row>
    <row r="2249" spans="1:18" x14ac:dyDescent="0.25">
      <c r="A2249" s="2" t="s">
        <v>909</v>
      </c>
      <c r="B2249" s="6">
        <v>46174</v>
      </c>
      <c r="C2249" s="8">
        <v>46199</v>
      </c>
      <c r="D2249" s="2" t="s">
        <v>136</v>
      </c>
      <c r="E2249" s="2" t="s">
        <v>260</v>
      </c>
      <c r="F2249" s="2" t="s">
        <v>16703</v>
      </c>
      <c r="G2249" s="2" t="s">
        <v>911</v>
      </c>
      <c r="H2249" s="2" t="s">
        <v>76</v>
      </c>
      <c r="I2249" s="9">
        <v>82045600</v>
      </c>
      <c r="J2249" s="7">
        <v>6.2500000000000001E-5</v>
      </c>
      <c r="K2249" s="9">
        <v>5127.8500000000004</v>
      </c>
      <c r="L2249" s="14">
        <v>0</v>
      </c>
      <c r="M2249" s="2" t="s">
        <v>71</v>
      </c>
      <c r="N2249" s="2" t="s">
        <v>16704</v>
      </c>
      <c r="O2249" s="2" t="s">
        <v>910</v>
      </c>
      <c r="P2249" s="9">
        <v>2.82</v>
      </c>
      <c r="Q2249" s="9">
        <v>5127.8500000000004</v>
      </c>
      <c r="R2249" s="2" t="s">
        <v>16705</v>
      </c>
    </row>
    <row r="2250" spans="1:18" x14ac:dyDescent="0.25">
      <c r="A2250" s="2" t="s">
        <v>912</v>
      </c>
      <c r="B2250" s="6">
        <v>46174</v>
      </c>
      <c r="C2250" s="8">
        <v>46200</v>
      </c>
      <c r="D2250" s="2" t="s">
        <v>136</v>
      </c>
      <c r="E2250" s="2" t="s">
        <v>260</v>
      </c>
      <c r="F2250" s="2" t="s">
        <v>16703</v>
      </c>
      <c r="G2250" s="2" t="s">
        <v>914</v>
      </c>
      <c r="H2250" s="2" t="s">
        <v>70</v>
      </c>
      <c r="I2250" s="9">
        <v>7971.2180449999996</v>
      </c>
      <c r="J2250" s="7">
        <v>0.66500000000000004</v>
      </c>
      <c r="K2250" s="9">
        <v>5300.86</v>
      </c>
      <c r="L2250" s="14">
        <v>0</v>
      </c>
      <c r="M2250" s="2" t="s">
        <v>71</v>
      </c>
      <c r="N2250" s="2" t="s">
        <v>16704</v>
      </c>
      <c r="O2250" s="2" t="s">
        <v>913</v>
      </c>
      <c r="P2250" s="9">
        <v>2.92</v>
      </c>
      <c r="Q2250" s="9">
        <v>5300.86</v>
      </c>
      <c r="R2250" s="2" t="s">
        <v>16705</v>
      </c>
    </row>
    <row r="2251" spans="1:18" x14ac:dyDescent="0.25">
      <c r="A2251" s="2" t="s">
        <v>915</v>
      </c>
      <c r="B2251" s="6">
        <v>46174</v>
      </c>
      <c r="C2251" s="8">
        <v>46191</v>
      </c>
      <c r="D2251" s="2" t="s">
        <v>136</v>
      </c>
      <c r="E2251" s="2" t="s">
        <v>260</v>
      </c>
      <c r="F2251" s="2" t="s">
        <v>16703</v>
      </c>
      <c r="G2251" s="2" t="s">
        <v>917</v>
      </c>
      <c r="H2251" s="2" t="s">
        <v>39</v>
      </c>
      <c r="I2251" s="9">
        <v>2189.5479999999998</v>
      </c>
      <c r="J2251" s="7">
        <v>1</v>
      </c>
      <c r="K2251" s="9">
        <v>2189.5500000000002</v>
      </c>
      <c r="L2251" s="14">
        <v>0</v>
      </c>
      <c r="M2251" s="2" t="s">
        <v>71</v>
      </c>
      <c r="N2251" s="2" t="s">
        <v>16704</v>
      </c>
      <c r="O2251" s="2" t="s">
        <v>916</v>
      </c>
      <c r="P2251" s="9">
        <v>1.8</v>
      </c>
      <c r="Q2251" s="9">
        <v>2189.5500000000002</v>
      </c>
      <c r="R2251" s="2" t="s">
        <v>16705</v>
      </c>
    </row>
    <row r="2252" spans="1:18" x14ac:dyDescent="0.25">
      <c r="A2252" s="2" t="s">
        <v>918</v>
      </c>
      <c r="B2252" s="6">
        <v>46204</v>
      </c>
      <c r="C2252" s="8">
        <v>46216</v>
      </c>
      <c r="D2252" s="2" t="s">
        <v>136</v>
      </c>
      <c r="E2252" s="2" t="s">
        <v>260</v>
      </c>
      <c r="F2252" s="2" t="s">
        <v>16703</v>
      </c>
      <c r="G2252" s="2" t="s">
        <v>919</v>
      </c>
      <c r="H2252" s="2" t="s">
        <v>39</v>
      </c>
      <c r="I2252" s="9">
        <v>3284.3220000000001</v>
      </c>
      <c r="J2252" s="7">
        <v>1</v>
      </c>
      <c r="K2252" s="9">
        <v>3284.32</v>
      </c>
      <c r="L2252" s="14">
        <v>0</v>
      </c>
      <c r="M2252" s="2" t="s">
        <v>71</v>
      </c>
      <c r="N2252" s="2" t="s">
        <v>16706</v>
      </c>
      <c r="O2252" s="2" t="s">
        <v>916</v>
      </c>
      <c r="P2252" s="9">
        <v>1.81</v>
      </c>
      <c r="Q2252" s="9">
        <v>3284.32</v>
      </c>
      <c r="R2252" s="2" t="s">
        <v>16707</v>
      </c>
    </row>
    <row r="2253" spans="1:18" x14ac:dyDescent="0.25">
      <c r="A2253" s="2" t="s">
        <v>920</v>
      </c>
      <c r="B2253" s="6">
        <v>46174</v>
      </c>
      <c r="C2253" s="8">
        <v>46192</v>
      </c>
      <c r="D2253" s="2" t="s">
        <v>136</v>
      </c>
      <c r="E2253" s="2" t="s">
        <v>260</v>
      </c>
      <c r="F2253" s="2" t="s">
        <v>16703</v>
      </c>
      <c r="G2253" s="2" t="s">
        <v>922</v>
      </c>
      <c r="H2253" s="2" t="s">
        <v>76</v>
      </c>
      <c r="I2253" s="9">
        <v>36140032</v>
      </c>
      <c r="J2253" s="7">
        <v>6.2500000000000001E-5</v>
      </c>
      <c r="K2253" s="9">
        <v>2258.75</v>
      </c>
      <c r="L2253" s="14">
        <v>0</v>
      </c>
      <c r="M2253" s="2" t="s">
        <v>71</v>
      </c>
      <c r="N2253" s="2" t="s">
        <v>16704</v>
      </c>
      <c r="O2253" s="2" t="s">
        <v>921</v>
      </c>
      <c r="P2253" s="9">
        <v>1.8</v>
      </c>
      <c r="Q2253" s="9">
        <v>2258.75</v>
      </c>
      <c r="R2253" s="2" t="s">
        <v>16705</v>
      </c>
    </row>
    <row r="2254" spans="1:18" x14ac:dyDescent="0.25">
      <c r="A2254" s="2" t="s">
        <v>923</v>
      </c>
      <c r="B2254" s="6">
        <v>46204</v>
      </c>
      <c r="C2254" s="8">
        <v>46217</v>
      </c>
      <c r="D2254" s="2" t="s">
        <v>136</v>
      </c>
      <c r="E2254" s="2" t="s">
        <v>260</v>
      </c>
      <c r="F2254" s="2" t="s">
        <v>16703</v>
      </c>
      <c r="G2254" s="2" t="s">
        <v>924</v>
      </c>
      <c r="H2254" s="2" t="s">
        <v>76</v>
      </c>
      <c r="I2254" s="9">
        <v>54210048</v>
      </c>
      <c r="J2254" s="7">
        <v>6.2000000000000003E-5</v>
      </c>
      <c r="K2254" s="9">
        <v>3361.02</v>
      </c>
      <c r="L2254" s="14">
        <v>0</v>
      </c>
      <c r="M2254" s="2" t="s">
        <v>71</v>
      </c>
      <c r="N2254" s="2" t="s">
        <v>16706</v>
      </c>
      <c r="O2254" s="2" t="s">
        <v>921</v>
      </c>
      <c r="P2254" s="9">
        <v>1.85</v>
      </c>
      <c r="Q2254" s="9">
        <v>3388.13</v>
      </c>
      <c r="R2254" s="2" t="s">
        <v>16707</v>
      </c>
    </row>
    <row r="2255" spans="1:18" x14ac:dyDescent="0.25">
      <c r="A2255" s="2" t="s">
        <v>925</v>
      </c>
      <c r="B2255" s="6">
        <v>46174</v>
      </c>
      <c r="C2255" s="8">
        <v>46203</v>
      </c>
      <c r="D2255" s="2" t="s">
        <v>136</v>
      </c>
      <c r="E2255" s="2" t="s">
        <v>260</v>
      </c>
      <c r="F2255" s="2" t="s">
        <v>16703</v>
      </c>
      <c r="G2255" s="2" t="s">
        <v>927</v>
      </c>
      <c r="H2255" s="2" t="s">
        <v>70</v>
      </c>
      <c r="I2255" s="9">
        <v>8751.7142860000004</v>
      </c>
      <c r="J2255" s="7">
        <v>0.66500000000000004</v>
      </c>
      <c r="K2255" s="9">
        <v>5819.89</v>
      </c>
      <c r="L2255" s="14">
        <v>0</v>
      </c>
      <c r="M2255" s="2" t="s">
        <v>71</v>
      </c>
      <c r="N2255" s="2" t="s">
        <v>16704</v>
      </c>
      <c r="O2255" s="2" t="s">
        <v>926</v>
      </c>
      <c r="P2255" s="9">
        <v>3.2</v>
      </c>
      <c r="Q2255" s="9">
        <v>5819.89</v>
      </c>
      <c r="R2255" s="2" t="s">
        <v>16705</v>
      </c>
    </row>
    <row r="2256" spans="1:18" x14ac:dyDescent="0.25">
      <c r="A2256" s="2" t="s">
        <v>928</v>
      </c>
      <c r="B2256" s="6">
        <v>46204</v>
      </c>
      <c r="C2256" s="8">
        <v>46204</v>
      </c>
      <c r="D2256" s="2" t="s">
        <v>136</v>
      </c>
      <c r="E2256" s="2" t="s">
        <v>260</v>
      </c>
      <c r="F2256" s="2" t="s">
        <v>16703</v>
      </c>
      <c r="G2256" s="2" t="s">
        <v>930</v>
      </c>
      <c r="H2256" s="2" t="s">
        <v>39</v>
      </c>
      <c r="I2256" s="9">
        <v>5992.9</v>
      </c>
      <c r="J2256" s="7">
        <v>1</v>
      </c>
      <c r="K2256" s="9">
        <v>5992.9</v>
      </c>
      <c r="L2256" s="14">
        <v>0</v>
      </c>
      <c r="M2256" s="2" t="s">
        <v>71</v>
      </c>
      <c r="N2256" s="2" t="s">
        <v>16706</v>
      </c>
      <c r="O2256" s="2" t="s">
        <v>929</v>
      </c>
      <c r="P2256" s="9">
        <v>3.3</v>
      </c>
      <c r="Q2256" s="9">
        <v>5992.9</v>
      </c>
      <c r="R2256" s="2" t="s">
        <v>16707</v>
      </c>
    </row>
    <row r="2257" spans="1:18" x14ac:dyDescent="0.25">
      <c r="A2257" s="2" t="s">
        <v>931</v>
      </c>
      <c r="B2257" s="6">
        <v>46174</v>
      </c>
      <c r="C2257" s="8">
        <v>46195</v>
      </c>
      <c r="D2257" s="2" t="s">
        <v>136</v>
      </c>
      <c r="E2257" s="2" t="s">
        <v>260</v>
      </c>
      <c r="F2257" s="2" t="s">
        <v>16703</v>
      </c>
      <c r="G2257" s="2" t="s">
        <v>933</v>
      </c>
      <c r="H2257" s="2" t="s">
        <v>76</v>
      </c>
      <c r="I2257" s="9">
        <v>39461824</v>
      </c>
      <c r="J2257" s="7">
        <v>6.2500000000000001E-5</v>
      </c>
      <c r="K2257" s="9">
        <v>2466.36</v>
      </c>
      <c r="L2257" s="14">
        <v>0</v>
      </c>
      <c r="M2257" s="2" t="s">
        <v>71</v>
      </c>
      <c r="N2257" s="2" t="s">
        <v>16704</v>
      </c>
      <c r="O2257" s="2" t="s">
        <v>932</v>
      </c>
      <c r="P2257" s="9">
        <v>1.8</v>
      </c>
      <c r="Q2257" s="9">
        <v>2466.36</v>
      </c>
      <c r="R2257" s="2" t="s">
        <v>16705</v>
      </c>
    </row>
    <row r="2258" spans="1:18" x14ac:dyDescent="0.25">
      <c r="A2258" s="2" t="s">
        <v>934</v>
      </c>
      <c r="B2258" s="6">
        <v>46204</v>
      </c>
      <c r="C2258" s="8">
        <v>46220</v>
      </c>
      <c r="D2258" s="2" t="s">
        <v>136</v>
      </c>
      <c r="E2258" s="2" t="s">
        <v>260</v>
      </c>
      <c r="F2258" s="2" t="s">
        <v>16703</v>
      </c>
      <c r="G2258" s="2" t="s">
        <v>935</v>
      </c>
      <c r="H2258" s="2" t="s">
        <v>76</v>
      </c>
      <c r="I2258" s="9">
        <v>59192736</v>
      </c>
      <c r="J2258" s="7">
        <v>6.2000000000000003E-5</v>
      </c>
      <c r="K2258" s="9">
        <v>3669.95</v>
      </c>
      <c r="L2258" s="14">
        <v>0</v>
      </c>
      <c r="M2258" s="2" t="s">
        <v>71</v>
      </c>
      <c r="N2258" s="2" t="s">
        <v>16706</v>
      </c>
      <c r="O2258" s="2" t="s">
        <v>932</v>
      </c>
      <c r="P2258" s="9">
        <v>2.02</v>
      </c>
      <c r="Q2258" s="9">
        <v>3699.55</v>
      </c>
      <c r="R2258" s="2" t="s">
        <v>16707</v>
      </c>
    </row>
    <row r="2259" spans="1:18" x14ac:dyDescent="0.25">
      <c r="A2259" s="2" t="s">
        <v>936</v>
      </c>
      <c r="B2259" s="6">
        <v>46204</v>
      </c>
      <c r="C2259" s="8">
        <v>46206</v>
      </c>
      <c r="D2259" s="2" t="s">
        <v>136</v>
      </c>
      <c r="E2259" s="2" t="s">
        <v>260</v>
      </c>
      <c r="F2259" s="2" t="s">
        <v>16703</v>
      </c>
      <c r="G2259" s="2" t="s">
        <v>938</v>
      </c>
      <c r="H2259" s="2" t="s">
        <v>70</v>
      </c>
      <c r="I2259" s="9">
        <v>9532.2105260000008</v>
      </c>
      <c r="J2259" s="7">
        <v>0.65800000000000003</v>
      </c>
      <c r="K2259" s="9">
        <v>6272.19</v>
      </c>
      <c r="L2259" s="14">
        <v>0</v>
      </c>
      <c r="M2259" s="2" t="s">
        <v>71</v>
      </c>
      <c r="N2259" s="2" t="s">
        <v>16706</v>
      </c>
      <c r="O2259" s="2" t="s">
        <v>937</v>
      </c>
      <c r="P2259" s="9">
        <v>3.45</v>
      </c>
      <c r="Q2259" s="9">
        <v>6338.92</v>
      </c>
      <c r="R2259" s="2" t="s">
        <v>16707</v>
      </c>
    </row>
    <row r="2260" spans="1:18" x14ac:dyDescent="0.25">
      <c r="A2260" s="2" t="s">
        <v>939</v>
      </c>
      <c r="B2260" s="6">
        <v>46204</v>
      </c>
      <c r="C2260" s="8">
        <v>46207</v>
      </c>
      <c r="D2260" s="2" t="s">
        <v>136</v>
      </c>
      <c r="E2260" s="2" t="s">
        <v>260</v>
      </c>
      <c r="F2260" s="2" t="s">
        <v>16703</v>
      </c>
      <c r="G2260" s="2" t="s">
        <v>941</v>
      </c>
      <c r="H2260" s="2" t="s">
        <v>39</v>
      </c>
      <c r="I2260" s="9">
        <v>6511.93</v>
      </c>
      <c r="J2260" s="7">
        <v>1</v>
      </c>
      <c r="K2260" s="9">
        <v>6511.93</v>
      </c>
      <c r="L2260" s="14">
        <v>0</v>
      </c>
      <c r="M2260" s="2" t="s">
        <v>71</v>
      </c>
      <c r="N2260" s="2" t="s">
        <v>16706</v>
      </c>
      <c r="O2260" s="2" t="s">
        <v>940</v>
      </c>
      <c r="P2260" s="9">
        <v>3.58</v>
      </c>
      <c r="Q2260" s="9">
        <v>6511.93</v>
      </c>
      <c r="R2260" s="2" t="s">
        <v>16707</v>
      </c>
    </row>
    <row r="2261" spans="1:18" x14ac:dyDescent="0.25">
      <c r="A2261" s="2" t="s">
        <v>942</v>
      </c>
      <c r="B2261" s="6">
        <v>46204</v>
      </c>
      <c r="C2261" s="8">
        <v>46208</v>
      </c>
      <c r="D2261" s="2" t="s">
        <v>136</v>
      </c>
      <c r="E2261" s="2" t="s">
        <v>260</v>
      </c>
      <c r="F2261" s="2" t="s">
        <v>16703</v>
      </c>
      <c r="G2261" s="2" t="s">
        <v>944</v>
      </c>
      <c r="H2261" s="2" t="s">
        <v>76</v>
      </c>
      <c r="I2261" s="9">
        <v>106959040</v>
      </c>
      <c r="J2261" s="7">
        <v>6.2000000000000003E-5</v>
      </c>
      <c r="K2261" s="9">
        <v>6631.46</v>
      </c>
      <c r="L2261" s="14">
        <v>0</v>
      </c>
      <c r="M2261" s="2" t="s">
        <v>71</v>
      </c>
      <c r="N2261" s="2" t="s">
        <v>16706</v>
      </c>
      <c r="O2261" s="2" t="s">
        <v>943</v>
      </c>
      <c r="P2261" s="9">
        <v>3.65</v>
      </c>
      <c r="Q2261" s="9">
        <v>6684.94</v>
      </c>
      <c r="R2261" s="2" t="s">
        <v>16707</v>
      </c>
    </row>
    <row r="2262" spans="1:18" x14ac:dyDescent="0.25">
      <c r="A2262" s="2" t="s">
        <v>945</v>
      </c>
      <c r="B2262" s="6">
        <v>46204</v>
      </c>
      <c r="C2262" s="8">
        <v>46209</v>
      </c>
      <c r="D2262" s="2" t="s">
        <v>136</v>
      </c>
      <c r="E2262" s="2" t="s">
        <v>260</v>
      </c>
      <c r="F2262" s="2" t="s">
        <v>16703</v>
      </c>
      <c r="G2262" s="2" t="s">
        <v>947</v>
      </c>
      <c r="H2262" s="2" t="s">
        <v>70</v>
      </c>
      <c r="I2262" s="9">
        <v>10312.706767</v>
      </c>
      <c r="J2262" s="7">
        <v>0.65800000000000003</v>
      </c>
      <c r="K2262" s="9">
        <v>6785.76</v>
      </c>
      <c r="L2262" s="14">
        <v>0</v>
      </c>
      <c r="M2262" s="2" t="s">
        <v>71</v>
      </c>
      <c r="N2262" s="2" t="s">
        <v>16706</v>
      </c>
      <c r="O2262" s="2" t="s">
        <v>946</v>
      </c>
      <c r="P2262" s="9">
        <v>3.73</v>
      </c>
      <c r="Q2262" s="9">
        <v>6857.95</v>
      </c>
      <c r="R2262" s="2" t="s">
        <v>16707</v>
      </c>
    </row>
    <row r="2263" spans="1:18" x14ac:dyDescent="0.25">
      <c r="A2263" s="2" t="s">
        <v>948</v>
      </c>
      <c r="B2263" s="6">
        <v>46204</v>
      </c>
      <c r="C2263" s="8">
        <v>46210</v>
      </c>
      <c r="D2263" s="2" t="s">
        <v>136</v>
      </c>
      <c r="E2263" s="2" t="s">
        <v>260</v>
      </c>
      <c r="F2263" s="2" t="s">
        <v>16703</v>
      </c>
      <c r="G2263" s="2" t="s">
        <v>950</v>
      </c>
      <c r="H2263" s="2" t="s">
        <v>39</v>
      </c>
      <c r="I2263" s="9">
        <v>7030.96</v>
      </c>
      <c r="J2263" s="7">
        <v>1</v>
      </c>
      <c r="K2263" s="9">
        <v>7030.96</v>
      </c>
      <c r="L2263" s="14">
        <v>0</v>
      </c>
      <c r="M2263" s="2" t="s">
        <v>71</v>
      </c>
      <c r="N2263" s="2" t="s">
        <v>16706</v>
      </c>
      <c r="O2263" s="2" t="s">
        <v>949</v>
      </c>
      <c r="P2263" s="9">
        <v>3.87</v>
      </c>
      <c r="Q2263" s="9">
        <v>7030.96</v>
      </c>
      <c r="R2263" s="2" t="s">
        <v>16707</v>
      </c>
    </row>
    <row r="2264" spans="1:18" x14ac:dyDescent="0.25">
      <c r="A2264" s="2" t="s">
        <v>951</v>
      </c>
      <c r="B2264" s="6">
        <v>46174</v>
      </c>
      <c r="C2264" s="8">
        <v>46201</v>
      </c>
      <c r="D2264" s="2" t="s">
        <v>136</v>
      </c>
      <c r="E2264" s="2" t="s">
        <v>260</v>
      </c>
      <c r="F2264" s="2" t="s">
        <v>16703</v>
      </c>
      <c r="G2264" s="2" t="s">
        <v>953</v>
      </c>
      <c r="H2264" s="2" t="s">
        <v>76</v>
      </c>
      <c r="I2264" s="9">
        <v>46099200</v>
      </c>
      <c r="J2264" s="7">
        <v>6.2500000000000001E-5</v>
      </c>
      <c r="K2264" s="9">
        <v>2881.2</v>
      </c>
      <c r="L2264" s="14">
        <v>0</v>
      </c>
      <c r="M2264" s="2" t="s">
        <v>71</v>
      </c>
      <c r="N2264" s="2" t="s">
        <v>16704</v>
      </c>
      <c r="O2264" s="2" t="s">
        <v>952</v>
      </c>
      <c r="P2264" s="9">
        <v>1.8</v>
      </c>
      <c r="Q2264" s="9">
        <v>2881.2</v>
      </c>
      <c r="R2264" s="2" t="s">
        <v>16705</v>
      </c>
    </row>
    <row r="2265" spans="1:18" x14ac:dyDescent="0.25">
      <c r="A2265" s="2" t="s">
        <v>954</v>
      </c>
      <c r="B2265" s="6">
        <v>46204</v>
      </c>
      <c r="C2265" s="8">
        <v>46226</v>
      </c>
      <c r="D2265" s="2" t="s">
        <v>136</v>
      </c>
      <c r="E2265" s="2" t="s">
        <v>260</v>
      </c>
      <c r="F2265" s="2" t="s">
        <v>16703</v>
      </c>
      <c r="G2265" s="2" t="s">
        <v>955</v>
      </c>
      <c r="H2265" s="2" t="s">
        <v>76</v>
      </c>
      <c r="I2265" s="9">
        <v>69148800</v>
      </c>
      <c r="J2265" s="7">
        <v>6.2000000000000003E-5</v>
      </c>
      <c r="K2265" s="9">
        <v>4287.2299999999996</v>
      </c>
      <c r="L2265" s="14">
        <v>0</v>
      </c>
      <c r="M2265" s="2" t="s">
        <v>71</v>
      </c>
      <c r="N2265" s="2" t="s">
        <v>16706</v>
      </c>
      <c r="O2265" s="2" t="s">
        <v>952</v>
      </c>
      <c r="P2265" s="9">
        <v>2.36</v>
      </c>
      <c r="Q2265" s="9">
        <v>4321.8</v>
      </c>
      <c r="R2265" s="2" t="s">
        <v>16707</v>
      </c>
    </row>
    <row r="2266" spans="1:18" x14ac:dyDescent="0.25">
      <c r="A2266" s="2" t="s">
        <v>956</v>
      </c>
      <c r="B2266" s="6">
        <v>46174</v>
      </c>
      <c r="C2266" s="8">
        <v>46202</v>
      </c>
      <c r="D2266" s="2" t="s">
        <v>136</v>
      </c>
      <c r="E2266" s="2" t="s">
        <v>260</v>
      </c>
      <c r="F2266" s="2" t="s">
        <v>16703</v>
      </c>
      <c r="G2266" s="2" t="s">
        <v>958</v>
      </c>
      <c r="H2266" s="2" t="s">
        <v>70</v>
      </c>
      <c r="I2266" s="9">
        <v>4436.6977440000001</v>
      </c>
      <c r="J2266" s="7">
        <v>0.66500000000000004</v>
      </c>
      <c r="K2266" s="9">
        <v>2950.4</v>
      </c>
      <c r="L2266" s="14">
        <v>0</v>
      </c>
      <c r="M2266" s="2" t="s">
        <v>71</v>
      </c>
      <c r="N2266" s="2" t="s">
        <v>16704</v>
      </c>
      <c r="O2266" s="2" t="s">
        <v>957</v>
      </c>
      <c r="P2266" s="9">
        <v>1.8</v>
      </c>
      <c r="Q2266" s="9">
        <v>2950.4</v>
      </c>
      <c r="R2266" s="2" t="s">
        <v>16705</v>
      </c>
    </row>
    <row r="2267" spans="1:18" x14ac:dyDescent="0.25">
      <c r="A2267" s="2" t="s">
        <v>959</v>
      </c>
      <c r="B2267" s="6">
        <v>46204</v>
      </c>
      <c r="C2267" s="8">
        <v>46227</v>
      </c>
      <c r="D2267" s="2" t="s">
        <v>136</v>
      </c>
      <c r="E2267" s="2" t="s">
        <v>260</v>
      </c>
      <c r="F2267" s="2" t="s">
        <v>16703</v>
      </c>
      <c r="G2267" s="2" t="s">
        <v>960</v>
      </c>
      <c r="H2267" s="2" t="s">
        <v>70</v>
      </c>
      <c r="I2267" s="9">
        <v>6655.046617</v>
      </c>
      <c r="J2267" s="7">
        <v>0.65800000000000003</v>
      </c>
      <c r="K2267" s="9">
        <v>4379.0200000000004</v>
      </c>
      <c r="L2267" s="14">
        <v>0</v>
      </c>
      <c r="M2267" s="2" t="s">
        <v>71</v>
      </c>
      <c r="N2267" s="2" t="s">
        <v>16706</v>
      </c>
      <c r="O2267" s="2" t="s">
        <v>957</v>
      </c>
      <c r="P2267" s="9">
        <v>2.41</v>
      </c>
      <c r="Q2267" s="9">
        <v>4425.6099999999997</v>
      </c>
      <c r="R2267" s="2" t="s">
        <v>16707</v>
      </c>
    </row>
    <row r="2268" spans="1:18" x14ac:dyDescent="0.25">
      <c r="A2268" s="2" t="s">
        <v>961</v>
      </c>
      <c r="B2268" s="6">
        <v>46204</v>
      </c>
      <c r="C2268" s="8">
        <v>46213</v>
      </c>
      <c r="D2268" s="2" t="s">
        <v>136</v>
      </c>
      <c r="E2268" s="2" t="s">
        <v>260</v>
      </c>
      <c r="F2268" s="2" t="s">
        <v>16703</v>
      </c>
      <c r="G2268" s="2" t="s">
        <v>963</v>
      </c>
      <c r="H2268" s="2" t="s">
        <v>39</v>
      </c>
      <c r="I2268" s="9">
        <v>7549.02</v>
      </c>
      <c r="J2268" s="7">
        <v>1</v>
      </c>
      <c r="K2268" s="9">
        <v>7549.02</v>
      </c>
      <c r="L2268" s="14">
        <v>0</v>
      </c>
      <c r="M2268" s="2" t="s">
        <v>71</v>
      </c>
      <c r="N2268" s="2" t="s">
        <v>16706</v>
      </c>
      <c r="O2268" s="2" t="s">
        <v>962</v>
      </c>
      <c r="P2268" s="9">
        <v>4.1500000000000004</v>
      </c>
      <c r="Q2268" s="9">
        <v>7549.02</v>
      </c>
      <c r="R2268" s="2" t="s">
        <v>16707</v>
      </c>
    </row>
    <row r="2269" spans="1:18" x14ac:dyDescent="0.25">
      <c r="A2269" s="2" t="s">
        <v>964</v>
      </c>
      <c r="B2269" s="6">
        <v>46204</v>
      </c>
      <c r="C2269" s="8">
        <v>46214</v>
      </c>
      <c r="D2269" s="2" t="s">
        <v>136</v>
      </c>
      <c r="E2269" s="2" t="s">
        <v>260</v>
      </c>
      <c r="F2269" s="2" t="s">
        <v>16703</v>
      </c>
      <c r="G2269" s="2" t="s">
        <v>966</v>
      </c>
      <c r="H2269" s="2" t="s">
        <v>76</v>
      </c>
      <c r="I2269" s="9">
        <v>123552480</v>
      </c>
      <c r="J2269" s="7">
        <v>6.2000000000000003E-5</v>
      </c>
      <c r="K2269" s="9">
        <v>7660.25</v>
      </c>
      <c r="L2269" s="14">
        <v>0</v>
      </c>
      <c r="M2269" s="2" t="s">
        <v>71</v>
      </c>
      <c r="N2269" s="2" t="s">
        <v>16706</v>
      </c>
      <c r="O2269" s="2" t="s">
        <v>965</v>
      </c>
      <c r="P2269" s="9">
        <v>4.21</v>
      </c>
      <c r="Q2269" s="9">
        <v>7722.03</v>
      </c>
      <c r="R2269" s="2" t="s">
        <v>16707</v>
      </c>
    </row>
    <row r="2270" spans="1:18" x14ac:dyDescent="0.25">
      <c r="A2270" s="2" t="s">
        <v>967</v>
      </c>
      <c r="B2270" s="6">
        <v>46204</v>
      </c>
      <c r="C2270" s="8">
        <v>46205</v>
      </c>
      <c r="D2270" s="2" t="s">
        <v>136</v>
      </c>
      <c r="E2270" s="2" t="s">
        <v>260</v>
      </c>
      <c r="F2270" s="2" t="s">
        <v>16703</v>
      </c>
      <c r="G2270" s="2" t="s">
        <v>969</v>
      </c>
      <c r="H2270" s="2" t="s">
        <v>70</v>
      </c>
      <c r="I2270" s="9">
        <v>4748.8962410000004</v>
      </c>
      <c r="J2270" s="7">
        <v>0.65800000000000003</v>
      </c>
      <c r="K2270" s="9">
        <v>3124.77</v>
      </c>
      <c r="L2270" s="14">
        <v>0</v>
      </c>
      <c r="M2270" s="2" t="s">
        <v>71</v>
      </c>
      <c r="N2270" s="2" t="s">
        <v>16706</v>
      </c>
      <c r="O2270" s="2" t="s">
        <v>968</v>
      </c>
      <c r="P2270" s="9">
        <v>1.8</v>
      </c>
      <c r="Q2270" s="9">
        <v>3158.02</v>
      </c>
      <c r="R2270" s="2" t="s">
        <v>16707</v>
      </c>
    </row>
    <row r="2271" spans="1:18" x14ac:dyDescent="0.25">
      <c r="A2271" s="2" t="s">
        <v>970</v>
      </c>
      <c r="B2271" s="6">
        <v>46204</v>
      </c>
      <c r="C2271" s="8">
        <v>46230</v>
      </c>
      <c r="D2271" s="2" t="s">
        <v>136</v>
      </c>
      <c r="E2271" s="2" t="s">
        <v>260</v>
      </c>
      <c r="F2271" s="2" t="s">
        <v>16703</v>
      </c>
      <c r="G2271" s="2" t="s">
        <v>971</v>
      </c>
      <c r="H2271" s="2" t="s">
        <v>70</v>
      </c>
      <c r="I2271" s="9">
        <v>7123.3443610000004</v>
      </c>
      <c r="J2271" s="7">
        <v>0.65800000000000003</v>
      </c>
      <c r="K2271" s="9">
        <v>4687.16</v>
      </c>
      <c r="L2271" s="14">
        <v>0</v>
      </c>
      <c r="M2271" s="2" t="s">
        <v>71</v>
      </c>
      <c r="N2271" s="2" t="s">
        <v>16706</v>
      </c>
      <c r="O2271" s="2" t="s">
        <v>968</v>
      </c>
      <c r="P2271" s="9">
        <v>2.58</v>
      </c>
      <c r="Q2271" s="9">
        <v>4737.0200000000004</v>
      </c>
      <c r="R2271" s="2" t="s">
        <v>16707</v>
      </c>
    </row>
    <row r="2272" spans="1:18" x14ac:dyDescent="0.25">
      <c r="A2272" s="2" t="s">
        <v>972</v>
      </c>
      <c r="B2272" s="6">
        <v>46204</v>
      </c>
      <c r="C2272" s="8">
        <v>46216</v>
      </c>
      <c r="D2272" s="2" t="s">
        <v>136</v>
      </c>
      <c r="E2272" s="2" t="s">
        <v>260</v>
      </c>
      <c r="F2272" s="2" t="s">
        <v>16703</v>
      </c>
      <c r="G2272" s="2" t="s">
        <v>974</v>
      </c>
      <c r="H2272" s="2" t="s">
        <v>39</v>
      </c>
      <c r="I2272" s="9">
        <v>8068.05</v>
      </c>
      <c r="J2272" s="7">
        <v>1</v>
      </c>
      <c r="K2272" s="9">
        <v>8068.05</v>
      </c>
      <c r="L2272" s="14">
        <v>0</v>
      </c>
      <c r="M2272" s="2" t="s">
        <v>71</v>
      </c>
      <c r="N2272" s="2" t="s">
        <v>16706</v>
      </c>
      <c r="O2272" s="2" t="s">
        <v>973</v>
      </c>
      <c r="P2272" s="9">
        <v>4.4400000000000004</v>
      </c>
      <c r="Q2272" s="9">
        <v>8068.05</v>
      </c>
      <c r="R2272" s="2" t="s">
        <v>16707</v>
      </c>
    </row>
    <row r="2273" spans="1:18" x14ac:dyDescent="0.25">
      <c r="A2273" s="2" t="s">
        <v>975</v>
      </c>
      <c r="B2273" s="6">
        <v>46204</v>
      </c>
      <c r="C2273" s="8">
        <v>46217</v>
      </c>
      <c r="D2273" s="2" t="s">
        <v>136</v>
      </c>
      <c r="E2273" s="2" t="s">
        <v>260</v>
      </c>
      <c r="F2273" s="2" t="s">
        <v>16703</v>
      </c>
      <c r="G2273" s="2" t="s">
        <v>977</v>
      </c>
      <c r="H2273" s="2" t="s">
        <v>76</v>
      </c>
      <c r="I2273" s="9">
        <v>131856960</v>
      </c>
      <c r="J2273" s="7">
        <v>6.2000000000000003E-5</v>
      </c>
      <c r="K2273" s="9">
        <v>8175.13</v>
      </c>
      <c r="L2273" s="14">
        <v>0</v>
      </c>
      <c r="M2273" s="2" t="s">
        <v>71</v>
      </c>
      <c r="N2273" s="2" t="s">
        <v>16706</v>
      </c>
      <c r="O2273" s="2" t="s">
        <v>976</v>
      </c>
      <c r="P2273" s="9">
        <v>4.5</v>
      </c>
      <c r="Q2273" s="9">
        <v>8241.06</v>
      </c>
      <c r="R2273" s="2" t="s">
        <v>16707</v>
      </c>
    </row>
    <row r="2274" spans="1:18" x14ac:dyDescent="0.25">
      <c r="A2274" s="2" t="s">
        <v>978</v>
      </c>
      <c r="B2274" s="6">
        <v>46204</v>
      </c>
      <c r="C2274" s="8">
        <v>46218</v>
      </c>
      <c r="D2274" s="2" t="s">
        <v>136</v>
      </c>
      <c r="E2274" s="2" t="s">
        <v>260</v>
      </c>
      <c r="F2274" s="2" t="s">
        <v>16703</v>
      </c>
      <c r="G2274" s="2" t="s">
        <v>980</v>
      </c>
      <c r="H2274" s="2" t="s">
        <v>70</v>
      </c>
      <c r="I2274" s="9">
        <v>12652.736842</v>
      </c>
      <c r="J2274" s="7">
        <v>0.65800000000000003</v>
      </c>
      <c r="K2274" s="9">
        <v>8325.5</v>
      </c>
      <c r="L2274" s="14">
        <v>0</v>
      </c>
      <c r="M2274" s="2" t="s">
        <v>71</v>
      </c>
      <c r="N2274" s="2" t="s">
        <v>16706</v>
      </c>
      <c r="O2274" s="2" t="s">
        <v>979</v>
      </c>
      <c r="P2274" s="9">
        <v>4.58</v>
      </c>
      <c r="Q2274" s="9">
        <v>8414.07</v>
      </c>
      <c r="R2274" s="2" t="s">
        <v>16707</v>
      </c>
    </row>
    <row r="2275" spans="1:18" x14ac:dyDescent="0.25">
      <c r="A2275" s="2" t="s">
        <v>981</v>
      </c>
      <c r="B2275" s="6">
        <v>46204</v>
      </c>
      <c r="C2275" s="8">
        <v>46219</v>
      </c>
      <c r="D2275" s="2" t="s">
        <v>136</v>
      </c>
      <c r="E2275" s="2" t="s">
        <v>260</v>
      </c>
      <c r="F2275" s="2" t="s">
        <v>16703</v>
      </c>
      <c r="G2275" s="2" t="s">
        <v>983</v>
      </c>
      <c r="H2275" s="2" t="s">
        <v>39</v>
      </c>
      <c r="I2275" s="9">
        <v>8587.08</v>
      </c>
      <c r="J2275" s="7">
        <v>1</v>
      </c>
      <c r="K2275" s="9">
        <v>8587.08</v>
      </c>
      <c r="L2275" s="14">
        <v>0</v>
      </c>
      <c r="M2275" s="2" t="s">
        <v>71</v>
      </c>
      <c r="N2275" s="2" t="s">
        <v>16706</v>
      </c>
      <c r="O2275" s="2" t="s">
        <v>982</v>
      </c>
      <c r="P2275" s="9">
        <v>4.72</v>
      </c>
      <c r="Q2275" s="9">
        <v>8587.08</v>
      </c>
      <c r="R2275" s="2" t="s">
        <v>16707</v>
      </c>
    </row>
    <row r="2276" spans="1:18" x14ac:dyDescent="0.25">
      <c r="A2276" s="2" t="s">
        <v>984</v>
      </c>
      <c r="B2276" s="6">
        <v>46204</v>
      </c>
      <c r="C2276" s="8">
        <v>46220</v>
      </c>
      <c r="D2276" s="2" t="s">
        <v>136</v>
      </c>
      <c r="E2276" s="2" t="s">
        <v>260</v>
      </c>
      <c r="F2276" s="2" t="s">
        <v>16703</v>
      </c>
      <c r="G2276" s="2" t="s">
        <v>986</v>
      </c>
      <c r="H2276" s="2" t="s">
        <v>76</v>
      </c>
      <c r="I2276" s="9">
        <v>140161440</v>
      </c>
      <c r="J2276" s="7">
        <v>6.2000000000000003E-5</v>
      </c>
      <c r="K2276" s="9">
        <v>8690.01</v>
      </c>
      <c r="L2276" s="14">
        <v>0</v>
      </c>
      <c r="M2276" s="2" t="s">
        <v>71</v>
      </c>
      <c r="N2276" s="2" t="s">
        <v>16706</v>
      </c>
      <c r="O2276" s="2" t="s">
        <v>985</v>
      </c>
      <c r="P2276" s="9">
        <v>4.78</v>
      </c>
      <c r="Q2276" s="9">
        <v>8760.09</v>
      </c>
      <c r="R2276" s="2" t="s">
        <v>16707</v>
      </c>
    </row>
    <row r="2277" spans="1:18" x14ac:dyDescent="0.25">
      <c r="A2277" s="2" t="s">
        <v>987</v>
      </c>
      <c r="B2277" s="6">
        <v>46204</v>
      </c>
      <c r="C2277" s="8">
        <v>46211</v>
      </c>
      <c r="D2277" s="2" t="s">
        <v>136</v>
      </c>
      <c r="E2277" s="2" t="s">
        <v>260</v>
      </c>
      <c r="F2277" s="2" t="s">
        <v>16703</v>
      </c>
      <c r="G2277" s="2" t="s">
        <v>989</v>
      </c>
      <c r="H2277" s="2" t="s">
        <v>70</v>
      </c>
      <c r="I2277" s="9">
        <v>5373.2932330000003</v>
      </c>
      <c r="J2277" s="7">
        <v>0.65800000000000003</v>
      </c>
      <c r="K2277" s="9">
        <v>3535.63</v>
      </c>
      <c r="L2277" s="14">
        <v>0</v>
      </c>
      <c r="M2277" s="2" t="s">
        <v>71</v>
      </c>
      <c r="N2277" s="2" t="s">
        <v>16706</v>
      </c>
      <c r="O2277" s="2" t="s">
        <v>988</v>
      </c>
      <c r="P2277" s="9">
        <v>1.94</v>
      </c>
      <c r="Q2277" s="9">
        <v>3573.24</v>
      </c>
      <c r="R2277" s="2" t="s">
        <v>16707</v>
      </c>
    </row>
    <row r="2278" spans="1:18" x14ac:dyDescent="0.25">
      <c r="A2278" s="2" t="s">
        <v>992</v>
      </c>
      <c r="B2278" s="6">
        <v>46204</v>
      </c>
      <c r="C2278" s="8">
        <v>46212</v>
      </c>
      <c r="D2278" s="2" t="s">
        <v>136</v>
      </c>
      <c r="E2278" s="2" t="s">
        <v>260</v>
      </c>
      <c r="F2278" s="2" t="s">
        <v>16703</v>
      </c>
      <c r="G2278" s="2" t="s">
        <v>994</v>
      </c>
      <c r="H2278" s="2" t="s">
        <v>39</v>
      </c>
      <c r="I2278" s="9">
        <v>-9106.11</v>
      </c>
      <c r="J2278" s="7">
        <v>1</v>
      </c>
      <c r="K2278" s="9">
        <v>-9106.11</v>
      </c>
      <c r="L2278" s="14">
        <v>0</v>
      </c>
      <c r="M2278" s="2" t="s">
        <v>71</v>
      </c>
      <c r="N2278" s="2" t="s">
        <v>16706</v>
      </c>
      <c r="O2278" s="2" t="s">
        <v>993</v>
      </c>
      <c r="P2278" s="9">
        <v>0</v>
      </c>
      <c r="Q2278" s="9">
        <v>-9106.11</v>
      </c>
      <c r="R2278" s="2" t="s">
        <v>16707</v>
      </c>
    </row>
    <row r="2279" spans="1:18" x14ac:dyDescent="0.25">
      <c r="A2279" s="2" t="s">
        <v>995</v>
      </c>
      <c r="B2279" s="6">
        <v>46204</v>
      </c>
      <c r="C2279" s="8">
        <v>46223</v>
      </c>
      <c r="D2279" s="2" t="s">
        <v>136</v>
      </c>
      <c r="E2279" s="2" t="s">
        <v>260</v>
      </c>
      <c r="F2279" s="2" t="s">
        <v>16703</v>
      </c>
      <c r="G2279" s="2" t="s">
        <v>997</v>
      </c>
      <c r="H2279" s="2" t="s">
        <v>76</v>
      </c>
      <c r="I2279" s="9">
        <v>148465920</v>
      </c>
      <c r="J2279" s="7">
        <v>6.2000000000000003E-5</v>
      </c>
      <c r="K2279" s="9">
        <v>9204.89</v>
      </c>
      <c r="L2279" s="14">
        <v>0</v>
      </c>
      <c r="M2279" s="2" t="s">
        <v>71</v>
      </c>
      <c r="N2279" s="2" t="s">
        <v>16706</v>
      </c>
      <c r="O2279" s="2" t="s">
        <v>996</v>
      </c>
      <c r="P2279" s="9">
        <v>5.0599999999999996</v>
      </c>
      <c r="Q2279" s="9">
        <v>9279.1200000000008</v>
      </c>
      <c r="R2279" s="2" t="s">
        <v>16707</v>
      </c>
    </row>
    <row r="2280" spans="1:18" x14ac:dyDescent="0.25">
      <c r="A2280" s="2" t="s">
        <v>998</v>
      </c>
      <c r="B2280" s="6">
        <v>46204</v>
      </c>
      <c r="C2280" s="8">
        <v>46224</v>
      </c>
      <c r="D2280" s="2" t="s">
        <v>136</v>
      </c>
      <c r="E2280" s="2" t="s">
        <v>260</v>
      </c>
      <c r="F2280" s="2" t="s">
        <v>16703</v>
      </c>
      <c r="G2280" s="2" t="s">
        <v>1000</v>
      </c>
      <c r="H2280" s="2" t="s">
        <v>70</v>
      </c>
      <c r="I2280" s="9">
        <v>14213.729323</v>
      </c>
      <c r="J2280" s="7">
        <v>0.65800000000000003</v>
      </c>
      <c r="K2280" s="9">
        <v>9352.6299999999992</v>
      </c>
      <c r="L2280" s="14">
        <v>0</v>
      </c>
      <c r="M2280" s="2" t="s">
        <v>71</v>
      </c>
      <c r="N2280" s="2" t="s">
        <v>16706</v>
      </c>
      <c r="O2280" s="2" t="s">
        <v>999</v>
      </c>
      <c r="P2280" s="9">
        <v>5.14</v>
      </c>
      <c r="Q2280" s="9">
        <v>9452.1299999999992</v>
      </c>
      <c r="R2280" s="2" t="s">
        <v>16707</v>
      </c>
    </row>
    <row r="2281" spans="1:18" x14ac:dyDescent="0.25">
      <c r="A2281" s="2" t="s">
        <v>1001</v>
      </c>
      <c r="B2281" s="6">
        <v>46204</v>
      </c>
      <c r="C2281" s="8">
        <v>46215</v>
      </c>
      <c r="D2281" s="2" t="s">
        <v>136</v>
      </c>
      <c r="E2281" s="2" t="s">
        <v>260</v>
      </c>
      <c r="F2281" s="2" t="s">
        <v>16703</v>
      </c>
      <c r="G2281" s="2" t="s">
        <v>1003</v>
      </c>
      <c r="H2281" s="2" t="s">
        <v>39</v>
      </c>
      <c r="I2281" s="9">
        <v>3850.056</v>
      </c>
      <c r="J2281" s="7">
        <v>1</v>
      </c>
      <c r="K2281" s="9">
        <v>3850.06</v>
      </c>
      <c r="L2281" s="14">
        <v>0</v>
      </c>
      <c r="M2281" s="2" t="s">
        <v>71</v>
      </c>
      <c r="N2281" s="2" t="s">
        <v>16706</v>
      </c>
      <c r="O2281" s="2" t="s">
        <v>1002</v>
      </c>
      <c r="P2281" s="9">
        <v>2.12</v>
      </c>
      <c r="Q2281" s="9">
        <v>3850.06</v>
      </c>
      <c r="R2281" s="2" t="s">
        <v>16707</v>
      </c>
    </row>
    <row r="2282" spans="1:18" x14ac:dyDescent="0.25">
      <c r="A2282" s="2" t="s">
        <v>1006</v>
      </c>
      <c r="B2282" s="6">
        <v>46204</v>
      </c>
      <c r="C2282" s="8">
        <v>46226</v>
      </c>
      <c r="D2282" s="2" t="s">
        <v>136</v>
      </c>
      <c r="E2282" s="2" t="s">
        <v>260</v>
      </c>
      <c r="F2282" s="2" t="s">
        <v>16703</v>
      </c>
      <c r="G2282" s="2" t="s">
        <v>1008</v>
      </c>
      <c r="H2282" s="2" t="s">
        <v>76</v>
      </c>
      <c r="I2282" s="9">
        <v>156770400</v>
      </c>
      <c r="J2282" s="7">
        <v>6.2000000000000003E-5</v>
      </c>
      <c r="K2282" s="9">
        <v>9719.76</v>
      </c>
      <c r="L2282" s="14">
        <v>0</v>
      </c>
      <c r="M2282" s="2" t="s">
        <v>71</v>
      </c>
      <c r="N2282" s="2" t="s">
        <v>16706</v>
      </c>
      <c r="O2282" s="2" t="s">
        <v>1007</v>
      </c>
      <c r="P2282" s="9">
        <v>5.35</v>
      </c>
      <c r="Q2282" s="9">
        <v>9798.15</v>
      </c>
      <c r="R2282" s="2" t="s">
        <v>16707</v>
      </c>
    </row>
    <row r="2283" spans="1:18" x14ac:dyDescent="0.25">
      <c r="A2283" s="2" t="s">
        <v>1009</v>
      </c>
      <c r="B2283" s="6">
        <v>46204</v>
      </c>
      <c r="C2283" s="8">
        <v>46227</v>
      </c>
      <c r="D2283" s="2" t="s">
        <v>136</v>
      </c>
      <c r="E2283" s="2" t="s">
        <v>260</v>
      </c>
      <c r="F2283" s="2" t="s">
        <v>16703</v>
      </c>
      <c r="G2283" s="2" t="s">
        <v>1011</v>
      </c>
      <c r="H2283" s="2" t="s">
        <v>70</v>
      </c>
      <c r="I2283" s="9">
        <v>14994.225564</v>
      </c>
      <c r="J2283" s="7">
        <v>0.65800000000000003</v>
      </c>
      <c r="K2283" s="9">
        <v>9866.2000000000007</v>
      </c>
      <c r="L2283" s="14">
        <v>0</v>
      </c>
      <c r="M2283" s="2" t="s">
        <v>71</v>
      </c>
      <c r="N2283" s="2" t="s">
        <v>16706</v>
      </c>
      <c r="O2283" s="2" t="s">
        <v>1010</v>
      </c>
      <c r="P2283" s="9">
        <v>5.43</v>
      </c>
      <c r="Q2283" s="9">
        <v>9971.16</v>
      </c>
      <c r="R2283" s="2" t="s">
        <v>16707</v>
      </c>
    </row>
    <row r="2284" spans="1:18" x14ac:dyDescent="0.25">
      <c r="A2284" s="2" t="s">
        <v>1012</v>
      </c>
      <c r="B2284" s="6">
        <v>46174</v>
      </c>
      <c r="C2284" s="8">
        <v>46198</v>
      </c>
      <c r="D2284" s="2" t="s">
        <v>136</v>
      </c>
      <c r="E2284" s="2" t="s">
        <v>260</v>
      </c>
      <c r="F2284" s="2" t="s">
        <v>16703</v>
      </c>
      <c r="G2284" s="2" t="s">
        <v>1014</v>
      </c>
      <c r="H2284" s="2" t="s">
        <v>39</v>
      </c>
      <c r="I2284" s="9">
        <v>10144.17</v>
      </c>
      <c r="J2284" s="7">
        <v>1</v>
      </c>
      <c r="K2284" s="9">
        <v>10144.17</v>
      </c>
      <c r="L2284" s="14">
        <v>0</v>
      </c>
      <c r="M2284" s="2" t="s">
        <v>71</v>
      </c>
      <c r="N2284" s="2" t="s">
        <v>16704</v>
      </c>
      <c r="O2284" s="2" t="s">
        <v>1013</v>
      </c>
      <c r="P2284" s="9">
        <v>5.58</v>
      </c>
      <c r="Q2284" s="9">
        <v>10144.17</v>
      </c>
      <c r="R2284" s="2" t="s">
        <v>16705</v>
      </c>
    </row>
    <row r="2285" spans="1:18" x14ac:dyDescent="0.25">
      <c r="A2285" s="2" t="s">
        <v>1015</v>
      </c>
      <c r="B2285" s="6">
        <v>46174</v>
      </c>
      <c r="C2285" s="8">
        <v>46199</v>
      </c>
      <c r="D2285" s="2" t="s">
        <v>136</v>
      </c>
      <c r="E2285" s="2" t="s">
        <v>260</v>
      </c>
      <c r="F2285" s="2" t="s">
        <v>16703</v>
      </c>
      <c r="G2285" s="2" t="s">
        <v>1017</v>
      </c>
      <c r="H2285" s="2" t="s">
        <v>76</v>
      </c>
      <c r="I2285" s="9">
        <v>165074880</v>
      </c>
      <c r="J2285" s="7">
        <v>6.2500000000000001E-5</v>
      </c>
      <c r="K2285" s="9">
        <v>10317.18</v>
      </c>
      <c r="L2285" s="14">
        <v>0</v>
      </c>
      <c r="M2285" s="2" t="s">
        <v>71</v>
      </c>
      <c r="N2285" s="2" t="s">
        <v>16704</v>
      </c>
      <c r="O2285" s="2" t="s">
        <v>1016</v>
      </c>
      <c r="P2285" s="9">
        <v>5.67</v>
      </c>
      <c r="Q2285" s="9">
        <v>10317.18</v>
      </c>
      <c r="R2285" s="2" t="s">
        <v>16705</v>
      </c>
    </row>
    <row r="2286" spans="1:18" x14ac:dyDescent="0.25">
      <c r="A2286" s="2" t="s">
        <v>1018</v>
      </c>
      <c r="B2286" s="6">
        <v>46174</v>
      </c>
      <c r="C2286" s="8">
        <v>46200</v>
      </c>
      <c r="D2286" s="2" t="s">
        <v>136</v>
      </c>
      <c r="E2286" s="2" t="s">
        <v>260</v>
      </c>
      <c r="F2286" s="2" t="s">
        <v>16703</v>
      </c>
      <c r="G2286" s="2" t="s">
        <v>1020</v>
      </c>
      <c r="H2286" s="2" t="s">
        <v>70</v>
      </c>
      <c r="I2286" s="9">
        <v>15774.721804999999</v>
      </c>
      <c r="J2286" s="7">
        <v>0.66500000000000004</v>
      </c>
      <c r="K2286" s="9">
        <v>10490.19</v>
      </c>
      <c r="L2286" s="14">
        <v>0</v>
      </c>
      <c r="M2286" s="2" t="s">
        <v>71</v>
      </c>
      <c r="N2286" s="2" t="s">
        <v>16704</v>
      </c>
      <c r="O2286" s="2" t="s">
        <v>1019</v>
      </c>
      <c r="P2286" s="9">
        <v>5.77</v>
      </c>
      <c r="Q2286" s="9">
        <v>10490.19</v>
      </c>
      <c r="R2286" s="2" t="s">
        <v>16705</v>
      </c>
    </row>
    <row r="2287" spans="1:18" x14ac:dyDescent="0.25">
      <c r="A2287" s="2" t="s">
        <v>1021</v>
      </c>
      <c r="B2287" s="6">
        <v>46174</v>
      </c>
      <c r="C2287" s="8">
        <v>46191</v>
      </c>
      <c r="D2287" s="2" t="s">
        <v>136</v>
      </c>
      <c r="E2287" s="2" t="s">
        <v>260</v>
      </c>
      <c r="F2287" s="2" t="s">
        <v>16703</v>
      </c>
      <c r="G2287" s="2" t="s">
        <v>1023</v>
      </c>
      <c r="H2287" s="2" t="s">
        <v>39</v>
      </c>
      <c r="I2287" s="9">
        <v>4265.28</v>
      </c>
      <c r="J2287" s="7">
        <v>1</v>
      </c>
      <c r="K2287" s="9">
        <v>4265.28</v>
      </c>
      <c r="L2287" s="14">
        <v>0</v>
      </c>
      <c r="M2287" s="2" t="s">
        <v>71</v>
      </c>
      <c r="N2287" s="2" t="s">
        <v>16704</v>
      </c>
      <c r="O2287" s="2" t="s">
        <v>1022</v>
      </c>
      <c r="P2287" s="9">
        <v>2.35</v>
      </c>
      <c r="Q2287" s="9">
        <v>4265.28</v>
      </c>
      <c r="R2287" s="2" t="s">
        <v>16705</v>
      </c>
    </row>
    <row r="2288" spans="1:18" x14ac:dyDescent="0.25">
      <c r="A2288" s="2" t="s">
        <v>1024</v>
      </c>
      <c r="B2288" s="6">
        <v>46204</v>
      </c>
      <c r="C2288" s="8">
        <v>46216</v>
      </c>
      <c r="D2288" s="2" t="s">
        <v>136</v>
      </c>
      <c r="E2288" s="2" t="s">
        <v>260</v>
      </c>
      <c r="F2288" s="2" t="s">
        <v>16703</v>
      </c>
      <c r="G2288" s="2" t="s">
        <v>1025</v>
      </c>
      <c r="H2288" s="2" t="s">
        <v>39</v>
      </c>
      <c r="I2288" s="9">
        <v>6397.92</v>
      </c>
      <c r="J2288" s="7">
        <v>1</v>
      </c>
      <c r="K2288" s="9">
        <v>6397.92</v>
      </c>
      <c r="L2288" s="14">
        <v>0</v>
      </c>
      <c r="M2288" s="2" t="s">
        <v>71</v>
      </c>
      <c r="N2288" s="2" t="s">
        <v>16706</v>
      </c>
      <c r="O2288" s="2" t="s">
        <v>1022</v>
      </c>
      <c r="P2288" s="9">
        <v>3.52</v>
      </c>
      <c r="Q2288" s="9">
        <v>6397.92</v>
      </c>
      <c r="R2288" s="2" t="s">
        <v>16707</v>
      </c>
    </row>
    <row r="2289" spans="1:18" x14ac:dyDescent="0.25">
      <c r="A2289" s="2" t="s">
        <v>1026</v>
      </c>
      <c r="B2289" s="6">
        <v>46174</v>
      </c>
      <c r="C2289" s="8">
        <v>46192</v>
      </c>
      <c r="D2289" s="2" t="s">
        <v>136</v>
      </c>
      <c r="E2289" s="2" t="s">
        <v>260</v>
      </c>
      <c r="F2289" s="2" t="s">
        <v>16703</v>
      </c>
      <c r="G2289" s="2" t="s">
        <v>1028</v>
      </c>
      <c r="H2289" s="2" t="s">
        <v>76</v>
      </c>
      <c r="I2289" s="9">
        <v>69351744</v>
      </c>
      <c r="J2289" s="7">
        <v>6.2500000000000001E-5</v>
      </c>
      <c r="K2289" s="9">
        <v>4334.4799999999996</v>
      </c>
      <c r="L2289" s="14">
        <v>0</v>
      </c>
      <c r="M2289" s="2" t="s">
        <v>71</v>
      </c>
      <c r="N2289" s="2" t="s">
        <v>16704</v>
      </c>
      <c r="O2289" s="2" t="s">
        <v>1027</v>
      </c>
      <c r="P2289" s="9">
        <v>2.38</v>
      </c>
      <c r="Q2289" s="9">
        <v>4334.4799999999996</v>
      </c>
      <c r="R2289" s="2" t="s">
        <v>16705</v>
      </c>
    </row>
    <row r="2290" spans="1:18" x14ac:dyDescent="0.25">
      <c r="A2290" s="2" t="s">
        <v>1029</v>
      </c>
      <c r="B2290" s="6">
        <v>46204</v>
      </c>
      <c r="C2290" s="8">
        <v>46217</v>
      </c>
      <c r="D2290" s="2" t="s">
        <v>136</v>
      </c>
      <c r="E2290" s="2" t="s">
        <v>260</v>
      </c>
      <c r="F2290" s="2" t="s">
        <v>16703</v>
      </c>
      <c r="G2290" s="2" t="s">
        <v>1030</v>
      </c>
      <c r="H2290" s="2" t="s">
        <v>76</v>
      </c>
      <c r="I2290" s="9">
        <v>104027616</v>
      </c>
      <c r="J2290" s="7">
        <v>6.2000000000000003E-5</v>
      </c>
      <c r="K2290" s="9">
        <v>6449.71</v>
      </c>
      <c r="L2290" s="14">
        <v>0</v>
      </c>
      <c r="M2290" s="2" t="s">
        <v>71</v>
      </c>
      <c r="N2290" s="2" t="s">
        <v>16706</v>
      </c>
      <c r="O2290" s="2" t="s">
        <v>1027</v>
      </c>
      <c r="P2290" s="9">
        <v>3.55</v>
      </c>
      <c r="Q2290" s="9">
        <v>6501.73</v>
      </c>
      <c r="R2290" s="2" t="s">
        <v>16707</v>
      </c>
    </row>
    <row r="2291" spans="1:18" x14ac:dyDescent="0.25">
      <c r="A2291" s="2" t="s">
        <v>1031</v>
      </c>
      <c r="B2291" s="6">
        <v>46174</v>
      </c>
      <c r="C2291" s="8">
        <v>46203</v>
      </c>
      <c r="D2291" s="2" t="s">
        <v>136</v>
      </c>
      <c r="E2291" s="2" t="s">
        <v>260</v>
      </c>
      <c r="F2291" s="2" t="s">
        <v>16703</v>
      </c>
      <c r="G2291" s="2" t="s">
        <v>1033</v>
      </c>
      <c r="H2291" s="2" t="s">
        <v>70</v>
      </c>
      <c r="I2291" s="9">
        <v>16555.218045000001</v>
      </c>
      <c r="J2291" s="7">
        <v>0.66500000000000004</v>
      </c>
      <c r="K2291" s="9">
        <v>11009.22</v>
      </c>
      <c r="L2291" s="14">
        <v>0</v>
      </c>
      <c r="M2291" s="2" t="s">
        <v>71</v>
      </c>
      <c r="N2291" s="2" t="s">
        <v>16704</v>
      </c>
      <c r="O2291" s="2" t="s">
        <v>1032</v>
      </c>
      <c r="P2291" s="9">
        <v>6.06</v>
      </c>
      <c r="Q2291" s="9">
        <v>11009.22</v>
      </c>
      <c r="R2291" s="2" t="s">
        <v>16705</v>
      </c>
    </row>
    <row r="2292" spans="1:18" x14ac:dyDescent="0.25">
      <c r="A2292" s="2" t="s">
        <v>1034</v>
      </c>
      <c r="B2292" s="6">
        <v>46204</v>
      </c>
      <c r="C2292" s="8">
        <v>46204</v>
      </c>
      <c r="D2292" s="2" t="s">
        <v>136</v>
      </c>
      <c r="E2292" s="2" t="s">
        <v>260</v>
      </c>
      <c r="F2292" s="2" t="s">
        <v>16703</v>
      </c>
      <c r="G2292" s="2" t="s">
        <v>1036</v>
      </c>
      <c r="H2292" s="2" t="s">
        <v>39</v>
      </c>
      <c r="I2292" s="9">
        <v>11182.23</v>
      </c>
      <c r="J2292" s="7">
        <v>1</v>
      </c>
      <c r="K2292" s="9">
        <v>11182.23</v>
      </c>
      <c r="L2292" s="14">
        <v>0</v>
      </c>
      <c r="M2292" s="2" t="s">
        <v>71</v>
      </c>
      <c r="N2292" s="2" t="s">
        <v>16706</v>
      </c>
      <c r="O2292" s="2" t="s">
        <v>1035</v>
      </c>
      <c r="P2292" s="9">
        <v>6.15</v>
      </c>
      <c r="Q2292" s="9">
        <v>11182.23</v>
      </c>
      <c r="R2292" s="2" t="s">
        <v>16707</v>
      </c>
    </row>
    <row r="2293" spans="1:18" x14ac:dyDescent="0.25">
      <c r="A2293" s="2" t="s">
        <v>1037</v>
      </c>
      <c r="B2293" s="6">
        <v>46174</v>
      </c>
      <c r="C2293" s="8">
        <v>46195</v>
      </c>
      <c r="D2293" s="2" t="s">
        <v>136</v>
      </c>
      <c r="E2293" s="2" t="s">
        <v>260</v>
      </c>
      <c r="F2293" s="2" t="s">
        <v>16703</v>
      </c>
      <c r="G2293" s="2" t="s">
        <v>1039</v>
      </c>
      <c r="H2293" s="2" t="s">
        <v>76</v>
      </c>
      <c r="I2293" s="9">
        <v>72673536</v>
      </c>
      <c r="J2293" s="7">
        <v>6.2500000000000001E-5</v>
      </c>
      <c r="K2293" s="9">
        <v>4542.1000000000004</v>
      </c>
      <c r="L2293" s="14">
        <v>0</v>
      </c>
      <c r="M2293" s="2" t="s">
        <v>71</v>
      </c>
      <c r="N2293" s="2" t="s">
        <v>16704</v>
      </c>
      <c r="O2293" s="2" t="s">
        <v>1038</v>
      </c>
      <c r="P2293" s="9">
        <v>2.5</v>
      </c>
      <c r="Q2293" s="9">
        <v>4542.1000000000004</v>
      </c>
      <c r="R2293" s="2" t="s">
        <v>16705</v>
      </c>
    </row>
    <row r="2294" spans="1:18" x14ac:dyDescent="0.25">
      <c r="A2294" s="2" t="s">
        <v>1040</v>
      </c>
      <c r="B2294" s="6">
        <v>46204</v>
      </c>
      <c r="C2294" s="8">
        <v>46220</v>
      </c>
      <c r="D2294" s="2" t="s">
        <v>136</v>
      </c>
      <c r="E2294" s="2" t="s">
        <v>260</v>
      </c>
      <c r="F2294" s="2" t="s">
        <v>16703</v>
      </c>
      <c r="G2294" s="2" t="s">
        <v>1041</v>
      </c>
      <c r="H2294" s="2" t="s">
        <v>76</v>
      </c>
      <c r="I2294" s="9">
        <v>109010304</v>
      </c>
      <c r="J2294" s="7">
        <v>6.2000000000000003E-5</v>
      </c>
      <c r="K2294" s="9">
        <v>6758.64</v>
      </c>
      <c r="L2294" s="14">
        <v>0</v>
      </c>
      <c r="M2294" s="2" t="s">
        <v>71</v>
      </c>
      <c r="N2294" s="2" t="s">
        <v>16706</v>
      </c>
      <c r="O2294" s="2" t="s">
        <v>1038</v>
      </c>
      <c r="P2294" s="9">
        <v>3.72</v>
      </c>
      <c r="Q2294" s="9">
        <v>6813.14</v>
      </c>
      <c r="R2294" s="2" t="s">
        <v>16707</v>
      </c>
    </row>
    <row r="2295" spans="1:18" x14ac:dyDescent="0.25">
      <c r="A2295" s="2" t="s">
        <v>1042</v>
      </c>
      <c r="B2295" s="6">
        <v>46204</v>
      </c>
      <c r="C2295" s="8">
        <v>46206</v>
      </c>
      <c r="D2295" s="2" t="s">
        <v>136</v>
      </c>
      <c r="E2295" s="2" t="s">
        <v>260</v>
      </c>
      <c r="F2295" s="2" t="s">
        <v>16703</v>
      </c>
      <c r="G2295" s="2" t="s">
        <v>1044</v>
      </c>
      <c r="H2295" s="2" t="s">
        <v>70</v>
      </c>
      <c r="I2295" s="9">
        <v>17335.714285999999</v>
      </c>
      <c r="J2295" s="7">
        <v>0.65800000000000003</v>
      </c>
      <c r="K2295" s="9">
        <v>11406.9</v>
      </c>
      <c r="L2295" s="14">
        <v>0</v>
      </c>
      <c r="M2295" s="2" t="s">
        <v>71</v>
      </c>
      <c r="N2295" s="2" t="s">
        <v>16706</v>
      </c>
      <c r="O2295" s="2" t="s">
        <v>1043</v>
      </c>
      <c r="P2295" s="9">
        <v>6.27</v>
      </c>
      <c r="Q2295" s="9">
        <v>11528.25</v>
      </c>
      <c r="R2295" s="2" t="s">
        <v>16707</v>
      </c>
    </row>
    <row r="2296" spans="1:18" x14ac:dyDescent="0.25">
      <c r="A2296" s="2" t="s">
        <v>1045</v>
      </c>
      <c r="B2296" s="6">
        <v>46204</v>
      </c>
      <c r="C2296" s="8">
        <v>46207</v>
      </c>
      <c r="D2296" s="2" t="s">
        <v>136</v>
      </c>
      <c r="E2296" s="2" t="s">
        <v>260</v>
      </c>
      <c r="F2296" s="2" t="s">
        <v>16703</v>
      </c>
      <c r="G2296" s="2" t="s">
        <v>1047</v>
      </c>
      <c r="H2296" s="2" t="s">
        <v>39</v>
      </c>
      <c r="I2296" s="9">
        <v>11701.26</v>
      </c>
      <c r="J2296" s="7">
        <v>1</v>
      </c>
      <c r="K2296" s="9">
        <v>11701.26</v>
      </c>
      <c r="L2296" s="14">
        <v>0</v>
      </c>
      <c r="M2296" s="2" t="s">
        <v>71</v>
      </c>
      <c r="N2296" s="2" t="s">
        <v>16706</v>
      </c>
      <c r="O2296" s="2" t="s">
        <v>1046</v>
      </c>
      <c r="P2296" s="9">
        <v>6.44</v>
      </c>
      <c r="Q2296" s="9">
        <v>11701.26</v>
      </c>
      <c r="R2296" s="2" t="s">
        <v>16707</v>
      </c>
    </row>
    <row r="2297" spans="1:18" x14ac:dyDescent="0.25">
      <c r="A2297" s="2" t="s">
        <v>1048</v>
      </c>
      <c r="B2297" s="6">
        <v>46204</v>
      </c>
      <c r="C2297" s="8">
        <v>46208</v>
      </c>
      <c r="D2297" s="2" t="s">
        <v>136</v>
      </c>
      <c r="E2297" s="2" t="s">
        <v>260</v>
      </c>
      <c r="F2297" s="2" t="s">
        <v>16703</v>
      </c>
      <c r="G2297" s="2" t="s">
        <v>1050</v>
      </c>
      <c r="H2297" s="2" t="s">
        <v>76</v>
      </c>
      <c r="I2297" s="9">
        <v>189988320</v>
      </c>
      <c r="J2297" s="7">
        <v>6.2000000000000003E-5</v>
      </c>
      <c r="K2297" s="9">
        <v>11779.28</v>
      </c>
      <c r="L2297" s="14">
        <v>0</v>
      </c>
      <c r="M2297" s="2" t="s">
        <v>71</v>
      </c>
      <c r="N2297" s="2" t="s">
        <v>16706</v>
      </c>
      <c r="O2297" s="2" t="s">
        <v>1049</v>
      </c>
      <c r="P2297" s="9">
        <v>6.48</v>
      </c>
      <c r="Q2297" s="9">
        <v>11874.27</v>
      </c>
      <c r="R2297" s="2" t="s">
        <v>16707</v>
      </c>
    </row>
    <row r="2298" spans="1:18" x14ac:dyDescent="0.25">
      <c r="A2298" s="2" t="s">
        <v>1051</v>
      </c>
      <c r="B2298" s="6">
        <v>46204</v>
      </c>
      <c r="C2298" s="8">
        <v>46209</v>
      </c>
      <c r="D2298" s="2" t="s">
        <v>136</v>
      </c>
      <c r="E2298" s="2" t="s">
        <v>260</v>
      </c>
      <c r="F2298" s="2" t="s">
        <v>16703</v>
      </c>
      <c r="G2298" s="2" t="s">
        <v>1053</v>
      </c>
      <c r="H2298" s="2" t="s">
        <v>70</v>
      </c>
      <c r="I2298" s="9">
        <v>18116.210525999999</v>
      </c>
      <c r="J2298" s="7">
        <v>0.65800000000000003</v>
      </c>
      <c r="K2298" s="9">
        <v>11920.47</v>
      </c>
      <c r="L2298" s="14">
        <v>0</v>
      </c>
      <c r="M2298" s="2" t="s">
        <v>71</v>
      </c>
      <c r="N2298" s="2" t="s">
        <v>16706</v>
      </c>
      <c r="O2298" s="2" t="s">
        <v>1052</v>
      </c>
      <c r="P2298" s="9">
        <v>6.56</v>
      </c>
      <c r="Q2298" s="9">
        <v>12047.28</v>
      </c>
      <c r="R2298" s="2" t="s">
        <v>16707</v>
      </c>
    </row>
    <row r="2299" spans="1:18" x14ac:dyDescent="0.25">
      <c r="A2299" s="2" t="s">
        <v>1054</v>
      </c>
      <c r="B2299" s="6">
        <v>46204</v>
      </c>
      <c r="C2299" s="8">
        <v>46210</v>
      </c>
      <c r="D2299" s="2" t="s">
        <v>136</v>
      </c>
      <c r="E2299" s="2" t="s">
        <v>260</v>
      </c>
      <c r="F2299" s="2" t="s">
        <v>16703</v>
      </c>
      <c r="G2299" s="2" t="s">
        <v>1056</v>
      </c>
      <c r="H2299" s="2" t="s">
        <v>39</v>
      </c>
      <c r="I2299" s="9">
        <v>12220.29</v>
      </c>
      <c r="J2299" s="7">
        <v>1</v>
      </c>
      <c r="K2299" s="9">
        <v>12220.29</v>
      </c>
      <c r="L2299" s="14">
        <v>0</v>
      </c>
      <c r="M2299" s="2" t="s">
        <v>71</v>
      </c>
      <c r="N2299" s="2" t="s">
        <v>16706</v>
      </c>
      <c r="O2299" s="2" t="s">
        <v>1055</v>
      </c>
      <c r="P2299" s="9">
        <v>6.72</v>
      </c>
      <c r="Q2299" s="9">
        <v>12220.29</v>
      </c>
      <c r="R2299" s="2" t="s">
        <v>16707</v>
      </c>
    </row>
    <row r="2300" spans="1:18" x14ac:dyDescent="0.25">
      <c r="A2300" s="2" t="s">
        <v>1057</v>
      </c>
      <c r="B2300" s="6">
        <v>46174</v>
      </c>
      <c r="C2300" s="8">
        <v>46201</v>
      </c>
      <c r="D2300" s="2" t="s">
        <v>136</v>
      </c>
      <c r="E2300" s="2" t="s">
        <v>260</v>
      </c>
      <c r="F2300" s="2" t="s">
        <v>16703</v>
      </c>
      <c r="G2300" s="2" t="s">
        <v>1059</v>
      </c>
      <c r="H2300" s="2" t="s">
        <v>76</v>
      </c>
      <c r="I2300" s="9">
        <v>79317120</v>
      </c>
      <c r="J2300" s="7">
        <v>6.2500000000000001E-5</v>
      </c>
      <c r="K2300" s="9">
        <v>4957.32</v>
      </c>
      <c r="L2300" s="14">
        <v>0</v>
      </c>
      <c r="M2300" s="2" t="s">
        <v>71</v>
      </c>
      <c r="N2300" s="2" t="s">
        <v>16704</v>
      </c>
      <c r="O2300" s="2" t="s">
        <v>1058</v>
      </c>
      <c r="P2300" s="9">
        <v>2.73</v>
      </c>
      <c r="Q2300" s="9">
        <v>4957.32</v>
      </c>
      <c r="R2300" s="2" t="s">
        <v>16705</v>
      </c>
    </row>
    <row r="2301" spans="1:18" x14ac:dyDescent="0.25">
      <c r="A2301" s="2" t="s">
        <v>1060</v>
      </c>
      <c r="B2301" s="6">
        <v>46204</v>
      </c>
      <c r="C2301" s="8">
        <v>46226</v>
      </c>
      <c r="D2301" s="2" t="s">
        <v>136</v>
      </c>
      <c r="E2301" s="2" t="s">
        <v>260</v>
      </c>
      <c r="F2301" s="2" t="s">
        <v>16703</v>
      </c>
      <c r="G2301" s="2" t="s">
        <v>1061</v>
      </c>
      <c r="H2301" s="2" t="s">
        <v>76</v>
      </c>
      <c r="I2301" s="9">
        <v>118975680</v>
      </c>
      <c r="J2301" s="7">
        <v>6.2000000000000003E-5</v>
      </c>
      <c r="K2301" s="9">
        <v>7376.49</v>
      </c>
      <c r="L2301" s="14">
        <v>0</v>
      </c>
      <c r="M2301" s="2" t="s">
        <v>71</v>
      </c>
      <c r="N2301" s="2" t="s">
        <v>16706</v>
      </c>
      <c r="O2301" s="2" t="s">
        <v>1058</v>
      </c>
      <c r="P2301" s="9">
        <v>4.0599999999999996</v>
      </c>
      <c r="Q2301" s="9">
        <v>7435.98</v>
      </c>
      <c r="R2301" s="2" t="s">
        <v>16707</v>
      </c>
    </row>
    <row r="2302" spans="1:18" x14ac:dyDescent="0.25">
      <c r="A2302" s="2" t="s">
        <v>1062</v>
      </c>
      <c r="B2302" s="6">
        <v>46174</v>
      </c>
      <c r="C2302" s="8">
        <v>46202</v>
      </c>
      <c r="D2302" s="2" t="s">
        <v>136</v>
      </c>
      <c r="E2302" s="2" t="s">
        <v>260</v>
      </c>
      <c r="F2302" s="2" t="s">
        <v>16703</v>
      </c>
      <c r="G2302" s="2" t="s">
        <v>1064</v>
      </c>
      <c r="H2302" s="2" t="s">
        <v>70</v>
      </c>
      <c r="I2302" s="9">
        <v>7558.6827069999999</v>
      </c>
      <c r="J2302" s="7">
        <v>0.66500000000000004</v>
      </c>
      <c r="K2302" s="9">
        <v>5026.5200000000004</v>
      </c>
      <c r="L2302" s="14">
        <v>0</v>
      </c>
      <c r="M2302" s="2" t="s">
        <v>71</v>
      </c>
      <c r="N2302" s="2" t="s">
        <v>16704</v>
      </c>
      <c r="O2302" s="2" t="s">
        <v>1063</v>
      </c>
      <c r="P2302" s="9">
        <v>2.76</v>
      </c>
      <c r="Q2302" s="9">
        <v>5026.5200000000004</v>
      </c>
      <c r="R2302" s="2" t="s">
        <v>16705</v>
      </c>
    </row>
    <row r="2303" spans="1:18" x14ac:dyDescent="0.25">
      <c r="A2303" s="2" t="s">
        <v>1065</v>
      </c>
      <c r="B2303" s="6">
        <v>46204</v>
      </c>
      <c r="C2303" s="8">
        <v>46227</v>
      </c>
      <c r="D2303" s="2" t="s">
        <v>136</v>
      </c>
      <c r="E2303" s="2" t="s">
        <v>260</v>
      </c>
      <c r="F2303" s="2" t="s">
        <v>16703</v>
      </c>
      <c r="G2303" s="2" t="s">
        <v>1066</v>
      </c>
      <c r="H2303" s="2" t="s">
        <v>70</v>
      </c>
      <c r="I2303" s="9">
        <v>11338.02406</v>
      </c>
      <c r="J2303" s="7">
        <v>0.65800000000000003</v>
      </c>
      <c r="K2303" s="9">
        <v>7460.42</v>
      </c>
      <c r="L2303" s="14">
        <v>0</v>
      </c>
      <c r="M2303" s="2" t="s">
        <v>71</v>
      </c>
      <c r="N2303" s="2" t="s">
        <v>16706</v>
      </c>
      <c r="O2303" s="2" t="s">
        <v>1063</v>
      </c>
      <c r="P2303" s="9">
        <v>4.0999999999999996</v>
      </c>
      <c r="Q2303" s="9">
        <v>7539.79</v>
      </c>
      <c r="R2303" s="2" t="s">
        <v>16707</v>
      </c>
    </row>
    <row r="2304" spans="1:18" x14ac:dyDescent="0.25">
      <c r="A2304" s="2" t="s">
        <v>1067</v>
      </c>
      <c r="B2304" s="6">
        <v>46204</v>
      </c>
      <c r="C2304" s="8">
        <v>46213</v>
      </c>
      <c r="D2304" s="2" t="s">
        <v>136</v>
      </c>
      <c r="E2304" s="2" t="s">
        <v>260</v>
      </c>
      <c r="F2304" s="2" t="s">
        <v>16703</v>
      </c>
      <c r="G2304" s="2" t="s">
        <v>1069</v>
      </c>
      <c r="H2304" s="2" t="s">
        <v>39</v>
      </c>
      <c r="I2304" s="9">
        <v>12739.32</v>
      </c>
      <c r="J2304" s="7">
        <v>1</v>
      </c>
      <c r="K2304" s="9">
        <v>12739.32</v>
      </c>
      <c r="L2304" s="14">
        <v>0</v>
      </c>
      <c r="M2304" s="2" t="s">
        <v>71</v>
      </c>
      <c r="N2304" s="2" t="s">
        <v>16706</v>
      </c>
      <c r="O2304" s="2" t="s">
        <v>1068</v>
      </c>
      <c r="P2304" s="9">
        <v>7.01</v>
      </c>
      <c r="Q2304" s="9">
        <v>12739.32</v>
      </c>
      <c r="R2304" s="2" t="s">
        <v>16707</v>
      </c>
    </row>
    <row r="2305" spans="1:18" x14ac:dyDescent="0.25">
      <c r="A2305" s="2" t="s">
        <v>1070</v>
      </c>
      <c r="B2305" s="6">
        <v>46204</v>
      </c>
      <c r="C2305" s="8">
        <v>46214</v>
      </c>
      <c r="D2305" s="2" t="s">
        <v>136</v>
      </c>
      <c r="E2305" s="2" t="s">
        <v>260</v>
      </c>
      <c r="F2305" s="2" t="s">
        <v>16703</v>
      </c>
      <c r="G2305" s="2" t="s">
        <v>1072</v>
      </c>
      <c r="H2305" s="2" t="s">
        <v>76</v>
      </c>
      <c r="I2305" s="9">
        <v>206597280</v>
      </c>
      <c r="J2305" s="7">
        <v>6.2000000000000003E-5</v>
      </c>
      <c r="K2305" s="9">
        <v>12809.03</v>
      </c>
      <c r="L2305" s="14">
        <v>0</v>
      </c>
      <c r="M2305" s="2" t="s">
        <v>71</v>
      </c>
      <c r="N2305" s="2" t="s">
        <v>16706</v>
      </c>
      <c r="O2305" s="2" t="s">
        <v>1071</v>
      </c>
      <c r="P2305" s="9">
        <v>7.04</v>
      </c>
      <c r="Q2305" s="9">
        <v>12912.33</v>
      </c>
      <c r="R2305" s="2" t="s">
        <v>16707</v>
      </c>
    </row>
    <row r="2306" spans="1:18" x14ac:dyDescent="0.25">
      <c r="A2306" s="2" t="s">
        <v>1073</v>
      </c>
      <c r="B2306" s="6">
        <v>46204</v>
      </c>
      <c r="C2306" s="8">
        <v>46205</v>
      </c>
      <c r="D2306" s="2" t="s">
        <v>136</v>
      </c>
      <c r="E2306" s="2" t="s">
        <v>260</v>
      </c>
      <c r="F2306" s="2" t="s">
        <v>16703</v>
      </c>
      <c r="G2306" s="2" t="s">
        <v>1075</v>
      </c>
      <c r="H2306" s="2" t="s">
        <v>70</v>
      </c>
      <c r="I2306" s="9">
        <v>7870.8812029999999</v>
      </c>
      <c r="J2306" s="7">
        <v>0.65800000000000003</v>
      </c>
      <c r="K2306" s="9">
        <v>5179.04</v>
      </c>
      <c r="L2306" s="14">
        <v>0</v>
      </c>
      <c r="M2306" s="2" t="s">
        <v>71</v>
      </c>
      <c r="N2306" s="2" t="s">
        <v>16706</v>
      </c>
      <c r="O2306" s="2" t="s">
        <v>1074</v>
      </c>
      <c r="P2306" s="9">
        <v>2.85</v>
      </c>
      <c r="Q2306" s="9">
        <v>5234.1400000000003</v>
      </c>
      <c r="R2306" s="2" t="s">
        <v>16707</v>
      </c>
    </row>
    <row r="2307" spans="1:18" x14ac:dyDescent="0.25">
      <c r="A2307" s="2" t="s">
        <v>1076</v>
      </c>
      <c r="B2307" s="6">
        <v>46204</v>
      </c>
      <c r="C2307" s="8">
        <v>46230</v>
      </c>
      <c r="D2307" s="2" t="s">
        <v>136</v>
      </c>
      <c r="E2307" s="2" t="s">
        <v>260</v>
      </c>
      <c r="F2307" s="2" t="s">
        <v>16703</v>
      </c>
      <c r="G2307" s="2" t="s">
        <v>1077</v>
      </c>
      <c r="H2307" s="2" t="s">
        <v>70</v>
      </c>
      <c r="I2307" s="9">
        <v>11806.321805</v>
      </c>
      <c r="J2307" s="7">
        <v>0.65800000000000003</v>
      </c>
      <c r="K2307" s="9">
        <v>7768.56</v>
      </c>
      <c r="L2307" s="14">
        <v>0</v>
      </c>
      <c r="M2307" s="2" t="s">
        <v>71</v>
      </c>
      <c r="N2307" s="2" t="s">
        <v>16706</v>
      </c>
      <c r="O2307" s="2" t="s">
        <v>1074</v>
      </c>
      <c r="P2307" s="9">
        <v>4.2699999999999996</v>
      </c>
      <c r="Q2307" s="9">
        <v>7851.2</v>
      </c>
      <c r="R2307" s="2" t="s">
        <v>16707</v>
      </c>
    </row>
    <row r="2308" spans="1:18" x14ac:dyDescent="0.25">
      <c r="A2308" s="2" t="s">
        <v>1078</v>
      </c>
      <c r="B2308" s="6">
        <v>46204</v>
      </c>
      <c r="C2308" s="8">
        <v>46216</v>
      </c>
      <c r="D2308" s="2" t="s">
        <v>136</v>
      </c>
      <c r="E2308" s="2" t="s">
        <v>260</v>
      </c>
      <c r="F2308" s="2" t="s">
        <v>16703</v>
      </c>
      <c r="G2308" s="2" t="s">
        <v>1080</v>
      </c>
      <c r="H2308" s="2" t="s">
        <v>39</v>
      </c>
      <c r="I2308" s="9">
        <v>13258.35</v>
      </c>
      <c r="J2308" s="7">
        <v>1</v>
      </c>
      <c r="K2308" s="9">
        <v>13258.35</v>
      </c>
      <c r="L2308" s="14">
        <v>0</v>
      </c>
      <c r="M2308" s="2" t="s">
        <v>71</v>
      </c>
      <c r="N2308" s="2" t="s">
        <v>16706</v>
      </c>
      <c r="O2308" s="2" t="s">
        <v>1079</v>
      </c>
      <c r="P2308" s="9">
        <v>7.29</v>
      </c>
      <c r="Q2308" s="9">
        <v>13258.35</v>
      </c>
      <c r="R2308" s="2" t="s">
        <v>16707</v>
      </c>
    </row>
    <row r="2309" spans="1:18" x14ac:dyDescent="0.25">
      <c r="A2309" s="2" t="s">
        <v>1081</v>
      </c>
      <c r="B2309" s="6">
        <v>46204</v>
      </c>
      <c r="C2309" s="8">
        <v>46217</v>
      </c>
      <c r="D2309" s="2" t="s">
        <v>136</v>
      </c>
      <c r="E2309" s="2" t="s">
        <v>260</v>
      </c>
      <c r="F2309" s="2" t="s">
        <v>16703</v>
      </c>
      <c r="G2309" s="2" t="s">
        <v>1083</v>
      </c>
      <c r="H2309" s="2" t="s">
        <v>76</v>
      </c>
      <c r="I2309" s="9">
        <v>214901760</v>
      </c>
      <c r="J2309" s="7">
        <v>6.2000000000000003E-5</v>
      </c>
      <c r="K2309" s="9">
        <v>13323.91</v>
      </c>
      <c r="L2309" s="14">
        <v>0</v>
      </c>
      <c r="M2309" s="2" t="s">
        <v>71</v>
      </c>
      <c r="N2309" s="2" t="s">
        <v>16706</v>
      </c>
      <c r="O2309" s="2" t="s">
        <v>1082</v>
      </c>
      <c r="P2309" s="9">
        <v>7.33</v>
      </c>
      <c r="Q2309" s="9">
        <v>13431.36</v>
      </c>
      <c r="R2309" s="2" t="s">
        <v>16707</v>
      </c>
    </row>
    <row r="2310" spans="1:18" x14ac:dyDescent="0.25">
      <c r="A2310" s="2" t="s">
        <v>1084</v>
      </c>
      <c r="B2310" s="6">
        <v>46204</v>
      </c>
      <c r="C2310" s="8">
        <v>46218</v>
      </c>
      <c r="D2310" s="2" t="s">
        <v>136</v>
      </c>
      <c r="E2310" s="2" t="s">
        <v>260</v>
      </c>
      <c r="F2310" s="2" t="s">
        <v>16703</v>
      </c>
      <c r="G2310" s="2" t="s">
        <v>1086</v>
      </c>
      <c r="H2310" s="2" t="s">
        <v>70</v>
      </c>
      <c r="I2310" s="9">
        <v>20457.699248000001</v>
      </c>
      <c r="J2310" s="7">
        <v>0.65800000000000003</v>
      </c>
      <c r="K2310" s="9">
        <v>13461.17</v>
      </c>
      <c r="L2310" s="14">
        <v>0</v>
      </c>
      <c r="M2310" s="2" t="s">
        <v>71</v>
      </c>
      <c r="N2310" s="2" t="s">
        <v>16706</v>
      </c>
      <c r="O2310" s="2" t="s">
        <v>1085</v>
      </c>
      <c r="P2310" s="9">
        <v>7.4</v>
      </c>
      <c r="Q2310" s="9">
        <v>13604.37</v>
      </c>
      <c r="R2310" s="2" t="s">
        <v>16707</v>
      </c>
    </row>
    <row r="2311" spans="1:18" x14ac:dyDescent="0.25">
      <c r="A2311" s="2" t="s">
        <v>1087</v>
      </c>
      <c r="B2311" s="6">
        <v>46204</v>
      </c>
      <c r="C2311" s="8">
        <v>46219</v>
      </c>
      <c r="D2311" s="2" t="s">
        <v>136</v>
      </c>
      <c r="E2311" s="2" t="s">
        <v>260</v>
      </c>
      <c r="F2311" s="2" t="s">
        <v>16703</v>
      </c>
      <c r="G2311" s="2" t="s">
        <v>1089</v>
      </c>
      <c r="H2311" s="2" t="s">
        <v>39</v>
      </c>
      <c r="I2311" s="9">
        <v>13777.38</v>
      </c>
      <c r="J2311" s="7">
        <v>1</v>
      </c>
      <c r="K2311" s="9">
        <v>13777.38</v>
      </c>
      <c r="L2311" s="14">
        <v>0</v>
      </c>
      <c r="M2311" s="2" t="s">
        <v>71</v>
      </c>
      <c r="N2311" s="2" t="s">
        <v>16706</v>
      </c>
      <c r="O2311" s="2" t="s">
        <v>1088</v>
      </c>
      <c r="P2311" s="9">
        <v>7.58</v>
      </c>
      <c r="Q2311" s="9">
        <v>13777.38</v>
      </c>
      <c r="R2311" s="2" t="s">
        <v>16707</v>
      </c>
    </row>
    <row r="2312" spans="1:18" x14ac:dyDescent="0.25">
      <c r="A2312" s="2" t="s">
        <v>1090</v>
      </c>
      <c r="B2312" s="6">
        <v>46204</v>
      </c>
      <c r="C2312" s="8">
        <v>46220</v>
      </c>
      <c r="D2312" s="2" t="s">
        <v>136</v>
      </c>
      <c r="E2312" s="2" t="s">
        <v>260</v>
      </c>
      <c r="F2312" s="2" t="s">
        <v>16703</v>
      </c>
      <c r="G2312" s="2" t="s">
        <v>1092</v>
      </c>
      <c r="H2312" s="2" t="s">
        <v>76</v>
      </c>
      <c r="I2312" s="9">
        <v>223206240</v>
      </c>
      <c r="J2312" s="7">
        <v>6.2000000000000003E-5</v>
      </c>
      <c r="K2312" s="9">
        <v>13838.79</v>
      </c>
      <c r="L2312" s="14">
        <v>0</v>
      </c>
      <c r="M2312" s="2" t="s">
        <v>71</v>
      </c>
      <c r="N2312" s="2" t="s">
        <v>16706</v>
      </c>
      <c r="O2312" s="2" t="s">
        <v>1091</v>
      </c>
      <c r="P2312" s="9">
        <v>7.61</v>
      </c>
      <c r="Q2312" s="9">
        <v>13950.39</v>
      </c>
      <c r="R2312" s="2" t="s">
        <v>16707</v>
      </c>
    </row>
    <row r="2313" spans="1:18" x14ac:dyDescent="0.25">
      <c r="A2313" s="2" t="s">
        <v>1093</v>
      </c>
      <c r="B2313" s="6">
        <v>46204</v>
      </c>
      <c r="C2313" s="8">
        <v>46211</v>
      </c>
      <c r="D2313" s="2" t="s">
        <v>136</v>
      </c>
      <c r="E2313" s="2" t="s">
        <v>260</v>
      </c>
      <c r="F2313" s="2" t="s">
        <v>16703</v>
      </c>
      <c r="G2313" s="2" t="s">
        <v>1095</v>
      </c>
      <c r="H2313" s="2" t="s">
        <v>70</v>
      </c>
      <c r="I2313" s="9">
        <v>8495.2781959999993</v>
      </c>
      <c r="J2313" s="7">
        <v>0.65800000000000003</v>
      </c>
      <c r="K2313" s="9">
        <v>5589.89</v>
      </c>
      <c r="L2313" s="14">
        <v>0</v>
      </c>
      <c r="M2313" s="2" t="s">
        <v>71</v>
      </c>
      <c r="N2313" s="2" t="s">
        <v>16706</v>
      </c>
      <c r="O2313" s="2" t="s">
        <v>1094</v>
      </c>
      <c r="P2313" s="9">
        <v>3.07</v>
      </c>
      <c r="Q2313" s="9">
        <v>5649.36</v>
      </c>
      <c r="R2313" s="2" t="s">
        <v>16707</v>
      </c>
    </row>
    <row r="2314" spans="1:18" x14ac:dyDescent="0.25">
      <c r="A2314" s="2" t="s">
        <v>1098</v>
      </c>
      <c r="B2314" s="6">
        <v>46204</v>
      </c>
      <c r="C2314" s="8">
        <v>46212</v>
      </c>
      <c r="D2314" s="2" t="s">
        <v>136</v>
      </c>
      <c r="E2314" s="2" t="s">
        <v>260</v>
      </c>
      <c r="F2314" s="2" t="s">
        <v>16703</v>
      </c>
      <c r="G2314" s="2" t="s">
        <v>1100</v>
      </c>
      <c r="H2314" s="2" t="s">
        <v>39</v>
      </c>
      <c r="I2314" s="9">
        <v>5718.5640000000003</v>
      </c>
      <c r="J2314" s="7">
        <v>1</v>
      </c>
      <c r="K2314" s="9">
        <v>5718.56</v>
      </c>
      <c r="L2314" s="14">
        <v>0</v>
      </c>
      <c r="M2314" s="2" t="s">
        <v>71</v>
      </c>
      <c r="N2314" s="2" t="s">
        <v>16706</v>
      </c>
      <c r="O2314" s="2" t="s">
        <v>1099</v>
      </c>
      <c r="P2314" s="9">
        <v>3.15</v>
      </c>
      <c r="Q2314" s="9">
        <v>5718.56</v>
      </c>
      <c r="R2314" s="2" t="s">
        <v>16707</v>
      </c>
    </row>
    <row r="2315" spans="1:18" x14ac:dyDescent="0.25">
      <c r="A2315" s="2" t="s">
        <v>1103</v>
      </c>
      <c r="B2315" s="6">
        <v>46204</v>
      </c>
      <c r="C2315" s="8">
        <v>46223</v>
      </c>
      <c r="D2315" s="2" t="s">
        <v>136</v>
      </c>
      <c r="E2315" s="2" t="s">
        <v>260</v>
      </c>
      <c r="F2315" s="2" t="s">
        <v>16703</v>
      </c>
      <c r="G2315" s="2" t="s">
        <v>1105</v>
      </c>
      <c r="H2315" s="2" t="s">
        <v>76</v>
      </c>
      <c r="I2315" s="9">
        <v>231510720</v>
      </c>
      <c r="J2315" s="7">
        <v>6.2000000000000003E-5</v>
      </c>
      <c r="K2315" s="9">
        <v>14353.66</v>
      </c>
      <c r="L2315" s="14">
        <v>0</v>
      </c>
      <c r="M2315" s="2" t="s">
        <v>71</v>
      </c>
      <c r="N2315" s="2" t="s">
        <v>16706</v>
      </c>
      <c r="O2315" s="2" t="s">
        <v>1104</v>
      </c>
      <c r="P2315" s="9">
        <v>7.89</v>
      </c>
      <c r="Q2315" s="9">
        <v>14469.42</v>
      </c>
      <c r="R2315" s="2" t="s">
        <v>16707</v>
      </c>
    </row>
    <row r="2316" spans="1:18" x14ac:dyDescent="0.25">
      <c r="A2316" s="2" t="s">
        <v>1106</v>
      </c>
      <c r="B2316" s="6">
        <v>46204</v>
      </c>
      <c r="C2316" s="8">
        <v>46224</v>
      </c>
      <c r="D2316" s="2" t="s">
        <v>136</v>
      </c>
      <c r="E2316" s="2" t="s">
        <v>260</v>
      </c>
      <c r="F2316" s="2" t="s">
        <v>16703</v>
      </c>
      <c r="G2316" s="2" t="s">
        <v>1108</v>
      </c>
      <c r="H2316" s="2" t="s">
        <v>70</v>
      </c>
      <c r="I2316" s="9">
        <v>22018.691728999998</v>
      </c>
      <c r="J2316" s="7">
        <v>0.65800000000000003</v>
      </c>
      <c r="K2316" s="9">
        <v>14488.3</v>
      </c>
      <c r="L2316" s="14">
        <v>0</v>
      </c>
      <c r="M2316" s="2" t="s">
        <v>71</v>
      </c>
      <c r="N2316" s="2" t="s">
        <v>16706</v>
      </c>
      <c r="O2316" s="2" t="s">
        <v>1107</v>
      </c>
      <c r="P2316" s="9">
        <v>7.97</v>
      </c>
      <c r="Q2316" s="9">
        <v>14642.43</v>
      </c>
      <c r="R2316" s="2" t="s">
        <v>16707</v>
      </c>
    </row>
    <row r="2317" spans="1:18" x14ac:dyDescent="0.25">
      <c r="A2317" s="2" t="s">
        <v>1109</v>
      </c>
      <c r="B2317" s="6">
        <v>46204</v>
      </c>
      <c r="C2317" s="8">
        <v>46215</v>
      </c>
      <c r="D2317" s="2" t="s">
        <v>136</v>
      </c>
      <c r="E2317" s="2" t="s">
        <v>260</v>
      </c>
      <c r="F2317" s="2" t="s">
        <v>16703</v>
      </c>
      <c r="G2317" s="2" t="s">
        <v>1111</v>
      </c>
      <c r="H2317" s="2" t="s">
        <v>39</v>
      </c>
      <c r="I2317" s="9">
        <v>5926.1760000000004</v>
      </c>
      <c r="J2317" s="7">
        <v>1</v>
      </c>
      <c r="K2317" s="9">
        <v>5926.18</v>
      </c>
      <c r="L2317" s="14">
        <v>0</v>
      </c>
      <c r="M2317" s="2" t="s">
        <v>71</v>
      </c>
      <c r="N2317" s="2" t="s">
        <v>16706</v>
      </c>
      <c r="O2317" s="2" t="s">
        <v>1110</v>
      </c>
      <c r="P2317" s="9">
        <v>3.26</v>
      </c>
      <c r="Q2317" s="9">
        <v>5926.18</v>
      </c>
      <c r="R2317" s="2" t="s">
        <v>16707</v>
      </c>
    </row>
    <row r="2318" spans="1:18" x14ac:dyDescent="0.25">
      <c r="A2318" s="2" t="s">
        <v>1114</v>
      </c>
      <c r="B2318" s="6">
        <v>46204</v>
      </c>
      <c r="C2318" s="8">
        <v>46226</v>
      </c>
      <c r="D2318" s="2" t="s">
        <v>136</v>
      </c>
      <c r="E2318" s="2" t="s">
        <v>260</v>
      </c>
      <c r="F2318" s="2" t="s">
        <v>16703</v>
      </c>
      <c r="G2318" s="2" t="s">
        <v>1116</v>
      </c>
      <c r="H2318" s="2" t="s">
        <v>76</v>
      </c>
      <c r="I2318" s="9">
        <v>15815200</v>
      </c>
      <c r="J2318" s="7">
        <v>6.2000000000000003E-5</v>
      </c>
      <c r="K2318" s="9">
        <v>980.54</v>
      </c>
      <c r="L2318" s="14">
        <v>0</v>
      </c>
      <c r="M2318" s="2" t="s">
        <v>71</v>
      </c>
      <c r="N2318" s="2" t="s">
        <v>16706</v>
      </c>
      <c r="O2318" s="2" t="s">
        <v>1115</v>
      </c>
      <c r="P2318" s="9">
        <v>1.8</v>
      </c>
      <c r="Q2318" s="9">
        <v>988.45</v>
      </c>
      <c r="R2318" s="2" t="s">
        <v>16707</v>
      </c>
    </row>
    <row r="2319" spans="1:18" x14ac:dyDescent="0.25">
      <c r="A2319" s="2" t="s">
        <v>1117</v>
      </c>
      <c r="B2319" s="6">
        <v>46204</v>
      </c>
      <c r="C2319" s="8">
        <v>46227</v>
      </c>
      <c r="D2319" s="2" t="s">
        <v>136</v>
      </c>
      <c r="E2319" s="2" t="s">
        <v>260</v>
      </c>
      <c r="F2319" s="2" t="s">
        <v>16703</v>
      </c>
      <c r="G2319" s="2" t="s">
        <v>1119</v>
      </c>
      <c r="H2319" s="2" t="s">
        <v>70</v>
      </c>
      <c r="I2319" s="9">
        <v>1746.5563910000001</v>
      </c>
      <c r="J2319" s="7">
        <v>0.65800000000000003</v>
      </c>
      <c r="K2319" s="9">
        <v>1149.23</v>
      </c>
      <c r="L2319" s="14">
        <v>0</v>
      </c>
      <c r="M2319" s="2" t="s">
        <v>71</v>
      </c>
      <c r="N2319" s="2" t="s">
        <v>16706</v>
      </c>
      <c r="O2319" s="2" t="s">
        <v>1118</v>
      </c>
      <c r="P2319" s="9">
        <v>1.8</v>
      </c>
      <c r="Q2319" s="9">
        <v>1161.46</v>
      </c>
      <c r="R2319" s="2" t="s">
        <v>16707</v>
      </c>
    </row>
    <row r="2320" spans="1:18" x14ac:dyDescent="0.25">
      <c r="A2320" s="2" t="s">
        <v>1120</v>
      </c>
      <c r="B2320" s="6">
        <v>46174</v>
      </c>
      <c r="C2320" s="8">
        <v>46198</v>
      </c>
      <c r="D2320" s="2" t="s">
        <v>136</v>
      </c>
      <c r="E2320" s="2" t="s">
        <v>260</v>
      </c>
      <c r="F2320" s="2" t="s">
        <v>16703</v>
      </c>
      <c r="G2320" s="2" t="s">
        <v>1122</v>
      </c>
      <c r="H2320" s="2" t="s">
        <v>39</v>
      </c>
      <c r="I2320" s="9">
        <v>1334.47</v>
      </c>
      <c r="J2320" s="7">
        <v>1</v>
      </c>
      <c r="K2320" s="9">
        <v>1334.47</v>
      </c>
      <c r="L2320" s="14">
        <v>0</v>
      </c>
      <c r="M2320" s="2" t="s">
        <v>71</v>
      </c>
      <c r="N2320" s="2" t="s">
        <v>16704</v>
      </c>
      <c r="O2320" s="2" t="s">
        <v>1121</v>
      </c>
      <c r="P2320" s="9">
        <v>1.8</v>
      </c>
      <c r="Q2320" s="9">
        <v>1334.47</v>
      </c>
      <c r="R2320" s="2" t="s">
        <v>16705</v>
      </c>
    </row>
    <row r="2321" spans="1:18" x14ac:dyDescent="0.25">
      <c r="A2321" s="2" t="s">
        <v>1123</v>
      </c>
      <c r="B2321" s="6">
        <v>46174</v>
      </c>
      <c r="C2321" s="8">
        <v>46199</v>
      </c>
      <c r="D2321" s="2" t="s">
        <v>136</v>
      </c>
      <c r="E2321" s="2" t="s">
        <v>260</v>
      </c>
      <c r="F2321" s="2" t="s">
        <v>16703</v>
      </c>
      <c r="G2321" s="2" t="s">
        <v>1125</v>
      </c>
      <c r="H2321" s="2" t="s">
        <v>76</v>
      </c>
      <c r="I2321" s="9">
        <v>24119680</v>
      </c>
      <c r="J2321" s="7">
        <v>6.2500000000000001E-5</v>
      </c>
      <c r="K2321" s="9">
        <v>1507.48</v>
      </c>
      <c r="L2321" s="14">
        <v>0</v>
      </c>
      <c r="M2321" s="2" t="s">
        <v>71</v>
      </c>
      <c r="N2321" s="2" t="s">
        <v>16704</v>
      </c>
      <c r="O2321" s="2" t="s">
        <v>1124</v>
      </c>
      <c r="P2321" s="9">
        <v>1.8</v>
      </c>
      <c r="Q2321" s="9">
        <v>1507.48</v>
      </c>
      <c r="R2321" s="2" t="s">
        <v>16705</v>
      </c>
    </row>
    <row r="2322" spans="1:18" x14ac:dyDescent="0.25">
      <c r="A2322" s="2" t="s">
        <v>1126</v>
      </c>
      <c r="B2322" s="6">
        <v>46174</v>
      </c>
      <c r="C2322" s="8">
        <v>46200</v>
      </c>
      <c r="D2322" s="2" t="s">
        <v>136</v>
      </c>
      <c r="E2322" s="2" t="s">
        <v>260</v>
      </c>
      <c r="F2322" s="2" t="s">
        <v>16703</v>
      </c>
      <c r="G2322" s="2" t="s">
        <v>1128</v>
      </c>
      <c r="H2322" s="2" t="s">
        <v>70</v>
      </c>
      <c r="I2322" s="9">
        <v>2527.0526319999999</v>
      </c>
      <c r="J2322" s="7">
        <v>0.66500000000000004</v>
      </c>
      <c r="K2322" s="9">
        <v>1680.49</v>
      </c>
      <c r="L2322" s="14">
        <v>0</v>
      </c>
      <c r="M2322" s="2" t="s">
        <v>71</v>
      </c>
      <c r="N2322" s="2" t="s">
        <v>16704</v>
      </c>
      <c r="O2322" s="2" t="s">
        <v>1127</v>
      </c>
      <c r="P2322" s="9">
        <v>1.8</v>
      </c>
      <c r="Q2322" s="9">
        <v>1680.49</v>
      </c>
      <c r="R2322" s="2" t="s">
        <v>16705</v>
      </c>
    </row>
    <row r="2323" spans="1:18" x14ac:dyDescent="0.25">
      <c r="A2323" s="2" t="s">
        <v>1129</v>
      </c>
      <c r="B2323" s="6">
        <v>46174</v>
      </c>
      <c r="C2323" s="8">
        <v>46191</v>
      </c>
      <c r="D2323" s="2" t="s">
        <v>136</v>
      </c>
      <c r="E2323" s="2" t="s">
        <v>260</v>
      </c>
      <c r="F2323" s="2" t="s">
        <v>16703</v>
      </c>
      <c r="G2323" s="2" t="s">
        <v>1131</v>
      </c>
      <c r="H2323" s="2" t="s">
        <v>39</v>
      </c>
      <c r="I2323" s="9">
        <v>741.4</v>
      </c>
      <c r="J2323" s="7">
        <v>1</v>
      </c>
      <c r="K2323" s="9">
        <v>741.4</v>
      </c>
      <c r="L2323" s="14">
        <v>0</v>
      </c>
      <c r="M2323" s="2" t="s">
        <v>71</v>
      </c>
      <c r="N2323" s="2" t="s">
        <v>16704</v>
      </c>
      <c r="O2323" s="2" t="s">
        <v>1130</v>
      </c>
      <c r="P2323" s="9">
        <v>1.8</v>
      </c>
      <c r="Q2323" s="9">
        <v>741.4</v>
      </c>
      <c r="R2323" s="2" t="s">
        <v>16705</v>
      </c>
    </row>
    <row r="2324" spans="1:18" x14ac:dyDescent="0.25">
      <c r="A2324" s="2" t="s">
        <v>1132</v>
      </c>
      <c r="B2324" s="6">
        <v>46204</v>
      </c>
      <c r="C2324" s="8">
        <v>46216</v>
      </c>
      <c r="D2324" s="2" t="s">
        <v>136</v>
      </c>
      <c r="E2324" s="2" t="s">
        <v>260</v>
      </c>
      <c r="F2324" s="2" t="s">
        <v>16703</v>
      </c>
      <c r="G2324" s="2" t="s">
        <v>1133</v>
      </c>
      <c r="H2324" s="2" t="s">
        <v>39</v>
      </c>
      <c r="I2324" s="9">
        <v>1112.0999999999999</v>
      </c>
      <c r="J2324" s="7">
        <v>1</v>
      </c>
      <c r="K2324" s="9">
        <v>1112.0999999999999</v>
      </c>
      <c r="L2324" s="14">
        <v>0</v>
      </c>
      <c r="M2324" s="2" t="s">
        <v>71</v>
      </c>
      <c r="N2324" s="2" t="s">
        <v>16706</v>
      </c>
      <c r="O2324" s="2" t="s">
        <v>1130</v>
      </c>
      <c r="P2324" s="9">
        <v>1.8</v>
      </c>
      <c r="Q2324" s="9">
        <v>1112.0999999999999</v>
      </c>
      <c r="R2324" s="2" t="s">
        <v>16707</v>
      </c>
    </row>
    <row r="2325" spans="1:18" x14ac:dyDescent="0.25">
      <c r="A2325" s="2" t="s">
        <v>1134</v>
      </c>
      <c r="B2325" s="6">
        <v>46174</v>
      </c>
      <c r="C2325" s="8">
        <v>46192</v>
      </c>
      <c r="D2325" s="2" t="s">
        <v>136</v>
      </c>
      <c r="E2325" s="2" t="s">
        <v>260</v>
      </c>
      <c r="F2325" s="2" t="s">
        <v>16703</v>
      </c>
      <c r="G2325" s="2" t="s">
        <v>1136</v>
      </c>
      <c r="H2325" s="2" t="s">
        <v>76</v>
      </c>
      <c r="I2325" s="9">
        <v>12969664</v>
      </c>
      <c r="J2325" s="7">
        <v>6.2500000000000001E-5</v>
      </c>
      <c r="K2325" s="9">
        <v>810.6</v>
      </c>
      <c r="L2325" s="14">
        <v>0</v>
      </c>
      <c r="M2325" s="2" t="s">
        <v>71</v>
      </c>
      <c r="N2325" s="2" t="s">
        <v>16704</v>
      </c>
      <c r="O2325" s="2" t="s">
        <v>1135</v>
      </c>
      <c r="P2325" s="9">
        <v>1.8</v>
      </c>
      <c r="Q2325" s="9">
        <v>810.6</v>
      </c>
      <c r="R2325" s="2" t="s">
        <v>16705</v>
      </c>
    </row>
    <row r="2326" spans="1:18" x14ac:dyDescent="0.25">
      <c r="A2326" s="2" t="s">
        <v>1137</v>
      </c>
      <c r="B2326" s="6">
        <v>46204</v>
      </c>
      <c r="C2326" s="8">
        <v>46217</v>
      </c>
      <c r="D2326" s="2" t="s">
        <v>136</v>
      </c>
      <c r="E2326" s="2" t="s">
        <v>260</v>
      </c>
      <c r="F2326" s="2" t="s">
        <v>16703</v>
      </c>
      <c r="G2326" s="2" t="s">
        <v>1138</v>
      </c>
      <c r="H2326" s="2" t="s">
        <v>76</v>
      </c>
      <c r="I2326" s="9">
        <v>19454496</v>
      </c>
      <c r="J2326" s="7">
        <v>6.2000000000000003E-5</v>
      </c>
      <c r="K2326" s="9">
        <v>1206.18</v>
      </c>
      <c r="L2326" s="14">
        <v>0</v>
      </c>
      <c r="M2326" s="2" t="s">
        <v>71</v>
      </c>
      <c r="N2326" s="2" t="s">
        <v>16706</v>
      </c>
      <c r="O2326" s="2" t="s">
        <v>1135</v>
      </c>
      <c r="P2326" s="9">
        <v>1.8</v>
      </c>
      <c r="Q2326" s="9">
        <v>1215.9100000000001</v>
      </c>
      <c r="R2326" s="2" t="s">
        <v>16707</v>
      </c>
    </row>
    <row r="2327" spans="1:18" x14ac:dyDescent="0.25">
      <c r="A2327" s="2" t="s">
        <v>1139</v>
      </c>
      <c r="B2327" s="6">
        <v>46174</v>
      </c>
      <c r="C2327" s="8">
        <v>46203</v>
      </c>
      <c r="D2327" s="2" t="s">
        <v>136</v>
      </c>
      <c r="E2327" s="2" t="s">
        <v>260</v>
      </c>
      <c r="F2327" s="2" t="s">
        <v>16703</v>
      </c>
      <c r="G2327" s="2" t="s">
        <v>1141</v>
      </c>
      <c r="H2327" s="2" t="s">
        <v>70</v>
      </c>
      <c r="I2327" s="9">
        <v>-3307.5488719999998</v>
      </c>
      <c r="J2327" s="7">
        <v>0.66500000000000004</v>
      </c>
      <c r="K2327" s="9">
        <v>-2199.52</v>
      </c>
      <c r="L2327" s="14">
        <v>0</v>
      </c>
      <c r="M2327" s="2" t="s">
        <v>71</v>
      </c>
      <c r="N2327" s="2" t="s">
        <v>16704</v>
      </c>
      <c r="O2327" s="2" t="s">
        <v>1140</v>
      </c>
      <c r="P2327" s="9">
        <v>0</v>
      </c>
      <c r="Q2327" s="9">
        <v>-2199.52</v>
      </c>
      <c r="R2327" s="2" t="s">
        <v>16705</v>
      </c>
    </row>
    <row r="2328" spans="1:18" x14ac:dyDescent="0.25">
      <c r="A2328" s="2" t="s">
        <v>1142</v>
      </c>
      <c r="B2328" s="6">
        <v>46204</v>
      </c>
      <c r="C2328" s="8">
        <v>46204</v>
      </c>
      <c r="D2328" s="2" t="s">
        <v>136</v>
      </c>
      <c r="E2328" s="2" t="s">
        <v>260</v>
      </c>
      <c r="F2328" s="2" t="s">
        <v>16703</v>
      </c>
      <c r="G2328" s="2" t="s">
        <v>1144</v>
      </c>
      <c r="H2328" s="2" t="s">
        <v>39</v>
      </c>
      <c r="I2328" s="9">
        <v>2372.5300000000002</v>
      </c>
      <c r="J2328" s="7">
        <v>1</v>
      </c>
      <c r="K2328" s="9">
        <v>2372.5300000000002</v>
      </c>
      <c r="L2328" s="14">
        <v>0</v>
      </c>
      <c r="M2328" s="2" t="s">
        <v>71</v>
      </c>
      <c r="N2328" s="2" t="s">
        <v>16706</v>
      </c>
      <c r="O2328" s="2" t="s">
        <v>1143</v>
      </c>
      <c r="P2328" s="9">
        <v>1.8</v>
      </c>
      <c r="Q2328" s="9">
        <v>2372.5300000000002</v>
      </c>
      <c r="R2328" s="2" t="s">
        <v>16707</v>
      </c>
    </row>
    <row r="2329" spans="1:18" x14ac:dyDescent="0.25">
      <c r="A2329" s="2" t="s">
        <v>1145</v>
      </c>
      <c r="B2329" s="6">
        <v>46174</v>
      </c>
      <c r="C2329" s="8">
        <v>46195</v>
      </c>
      <c r="D2329" s="2" t="s">
        <v>136</v>
      </c>
      <c r="E2329" s="2" t="s">
        <v>260</v>
      </c>
      <c r="F2329" s="2" t="s">
        <v>16703</v>
      </c>
      <c r="G2329" s="2" t="s">
        <v>1147</v>
      </c>
      <c r="H2329" s="2" t="s">
        <v>76</v>
      </c>
      <c r="I2329" s="9">
        <v>16291456</v>
      </c>
      <c r="J2329" s="7">
        <v>6.2500000000000001E-5</v>
      </c>
      <c r="K2329" s="9">
        <v>1018.22</v>
      </c>
      <c r="L2329" s="14">
        <v>0</v>
      </c>
      <c r="M2329" s="2" t="s">
        <v>71</v>
      </c>
      <c r="N2329" s="2" t="s">
        <v>16704</v>
      </c>
      <c r="O2329" s="2" t="s">
        <v>1146</v>
      </c>
      <c r="P2329" s="9">
        <v>1.8</v>
      </c>
      <c r="Q2329" s="9">
        <v>1018.22</v>
      </c>
      <c r="R2329" s="2" t="s">
        <v>16705</v>
      </c>
    </row>
    <row r="2330" spans="1:18" x14ac:dyDescent="0.25">
      <c r="A2330" s="2" t="s">
        <v>1148</v>
      </c>
      <c r="B2330" s="6">
        <v>46204</v>
      </c>
      <c r="C2330" s="8">
        <v>46220</v>
      </c>
      <c r="D2330" s="2" t="s">
        <v>136</v>
      </c>
      <c r="E2330" s="2" t="s">
        <v>260</v>
      </c>
      <c r="F2330" s="2" t="s">
        <v>16703</v>
      </c>
      <c r="G2330" s="2" t="s">
        <v>1149</v>
      </c>
      <c r="H2330" s="2" t="s">
        <v>76</v>
      </c>
      <c r="I2330" s="9">
        <v>24437184</v>
      </c>
      <c r="J2330" s="7">
        <v>6.2000000000000003E-5</v>
      </c>
      <c r="K2330" s="9">
        <v>1515.11</v>
      </c>
      <c r="L2330" s="14">
        <v>0</v>
      </c>
      <c r="M2330" s="2" t="s">
        <v>71</v>
      </c>
      <c r="N2330" s="2" t="s">
        <v>16706</v>
      </c>
      <c r="O2330" s="2" t="s">
        <v>1146</v>
      </c>
      <c r="P2330" s="9">
        <v>1.8</v>
      </c>
      <c r="Q2330" s="9">
        <v>1527.32</v>
      </c>
      <c r="R2330" s="2" t="s">
        <v>16707</v>
      </c>
    </row>
    <row r="2331" spans="1:18" x14ac:dyDescent="0.25">
      <c r="A2331" s="2" t="s">
        <v>1150</v>
      </c>
      <c r="B2331" s="6">
        <v>46204</v>
      </c>
      <c r="C2331" s="8">
        <v>46206</v>
      </c>
      <c r="D2331" s="2" t="s">
        <v>136</v>
      </c>
      <c r="E2331" s="2" t="s">
        <v>260</v>
      </c>
      <c r="F2331" s="2" t="s">
        <v>16703</v>
      </c>
      <c r="G2331" s="2" t="s">
        <v>1152</v>
      </c>
      <c r="H2331" s="2" t="s">
        <v>70</v>
      </c>
      <c r="I2331" s="9">
        <v>4088.0451130000001</v>
      </c>
      <c r="J2331" s="7">
        <v>0.65800000000000003</v>
      </c>
      <c r="K2331" s="9">
        <v>2689.93</v>
      </c>
      <c r="L2331" s="14">
        <v>0</v>
      </c>
      <c r="M2331" s="2" t="s">
        <v>71</v>
      </c>
      <c r="N2331" s="2" t="s">
        <v>16706</v>
      </c>
      <c r="O2331" s="2" t="s">
        <v>1151</v>
      </c>
      <c r="P2331" s="9">
        <v>1.8</v>
      </c>
      <c r="Q2331" s="9">
        <v>2718.55</v>
      </c>
      <c r="R2331" s="2" t="s">
        <v>16707</v>
      </c>
    </row>
    <row r="2332" spans="1:18" x14ac:dyDescent="0.25">
      <c r="A2332" s="2" t="s">
        <v>1153</v>
      </c>
      <c r="B2332" s="6">
        <v>46204</v>
      </c>
      <c r="C2332" s="8">
        <v>46207</v>
      </c>
      <c r="D2332" s="2" t="s">
        <v>136</v>
      </c>
      <c r="E2332" s="2" t="s">
        <v>260</v>
      </c>
      <c r="F2332" s="2" t="s">
        <v>16703</v>
      </c>
      <c r="G2332" s="2" t="s">
        <v>1155</v>
      </c>
      <c r="H2332" s="2" t="s">
        <v>39</v>
      </c>
      <c r="I2332" s="9">
        <v>2891.56</v>
      </c>
      <c r="J2332" s="7">
        <v>1</v>
      </c>
      <c r="K2332" s="9">
        <v>2891.56</v>
      </c>
      <c r="L2332" s="14">
        <v>0</v>
      </c>
      <c r="M2332" s="2" t="s">
        <v>71</v>
      </c>
      <c r="N2332" s="2" t="s">
        <v>16706</v>
      </c>
      <c r="O2332" s="2" t="s">
        <v>1154</v>
      </c>
      <c r="P2332" s="9">
        <v>1.8</v>
      </c>
      <c r="Q2332" s="9">
        <v>2891.56</v>
      </c>
      <c r="R2332" s="2" t="s">
        <v>16707</v>
      </c>
    </row>
    <row r="2333" spans="1:18" x14ac:dyDescent="0.25">
      <c r="A2333" s="2" t="s">
        <v>1156</v>
      </c>
      <c r="B2333" s="6">
        <v>46204</v>
      </c>
      <c r="C2333" s="8">
        <v>46208</v>
      </c>
      <c r="D2333" s="2" t="s">
        <v>136</v>
      </c>
      <c r="E2333" s="2" t="s">
        <v>260</v>
      </c>
      <c r="F2333" s="2" t="s">
        <v>16703</v>
      </c>
      <c r="G2333" s="2" t="s">
        <v>1158</v>
      </c>
      <c r="H2333" s="2" t="s">
        <v>76</v>
      </c>
      <c r="I2333" s="9">
        <v>49033120</v>
      </c>
      <c r="J2333" s="7">
        <v>6.2000000000000003E-5</v>
      </c>
      <c r="K2333" s="9">
        <v>3040.05</v>
      </c>
      <c r="L2333" s="14">
        <v>0</v>
      </c>
      <c r="M2333" s="2" t="s">
        <v>71</v>
      </c>
      <c r="N2333" s="2" t="s">
        <v>16706</v>
      </c>
      <c r="O2333" s="2" t="s">
        <v>1157</v>
      </c>
      <c r="P2333" s="9">
        <v>1.8</v>
      </c>
      <c r="Q2333" s="9">
        <v>3064.57</v>
      </c>
      <c r="R2333" s="2" t="s">
        <v>16707</v>
      </c>
    </row>
    <row r="2334" spans="1:18" x14ac:dyDescent="0.25">
      <c r="A2334" s="2" t="s">
        <v>1159</v>
      </c>
      <c r="B2334" s="6">
        <v>46204</v>
      </c>
      <c r="C2334" s="8">
        <v>46209</v>
      </c>
      <c r="D2334" s="2" t="s">
        <v>136</v>
      </c>
      <c r="E2334" s="2" t="s">
        <v>260</v>
      </c>
      <c r="F2334" s="2" t="s">
        <v>16703</v>
      </c>
      <c r="G2334" s="2" t="s">
        <v>1161</v>
      </c>
      <c r="H2334" s="2" t="s">
        <v>70</v>
      </c>
      <c r="I2334" s="9">
        <v>4868.5413529999996</v>
      </c>
      <c r="J2334" s="7">
        <v>0.65800000000000003</v>
      </c>
      <c r="K2334" s="9">
        <v>3203.5</v>
      </c>
      <c r="L2334" s="14">
        <v>0</v>
      </c>
      <c r="M2334" s="2" t="s">
        <v>71</v>
      </c>
      <c r="N2334" s="2" t="s">
        <v>16706</v>
      </c>
      <c r="O2334" s="2" t="s">
        <v>1160</v>
      </c>
      <c r="P2334" s="9">
        <v>1.8</v>
      </c>
      <c r="Q2334" s="9">
        <v>3237.58</v>
      </c>
      <c r="R2334" s="2" t="s">
        <v>16707</v>
      </c>
    </row>
    <row r="2335" spans="1:18" x14ac:dyDescent="0.25">
      <c r="A2335" s="2" t="s">
        <v>1162</v>
      </c>
      <c r="B2335" s="6">
        <v>46204</v>
      </c>
      <c r="C2335" s="8">
        <v>46210</v>
      </c>
      <c r="D2335" s="2" t="s">
        <v>136</v>
      </c>
      <c r="E2335" s="2" t="s">
        <v>260</v>
      </c>
      <c r="F2335" s="2" t="s">
        <v>16703</v>
      </c>
      <c r="G2335" s="2" t="s">
        <v>1164</v>
      </c>
      <c r="H2335" s="2" t="s">
        <v>39</v>
      </c>
      <c r="I2335" s="9">
        <v>3410.59</v>
      </c>
      <c r="J2335" s="7">
        <v>1</v>
      </c>
      <c r="K2335" s="9">
        <v>3410.59</v>
      </c>
      <c r="L2335" s="14">
        <v>0</v>
      </c>
      <c r="M2335" s="2" t="s">
        <v>71</v>
      </c>
      <c r="N2335" s="2" t="s">
        <v>16706</v>
      </c>
      <c r="O2335" s="2" t="s">
        <v>1163</v>
      </c>
      <c r="P2335" s="9">
        <v>1.88</v>
      </c>
      <c r="Q2335" s="9">
        <v>3410.59</v>
      </c>
      <c r="R2335" s="2" t="s">
        <v>16707</v>
      </c>
    </row>
    <row r="2336" spans="1:18" x14ac:dyDescent="0.25">
      <c r="A2336" s="2" t="s">
        <v>1165</v>
      </c>
      <c r="B2336" s="6">
        <v>46174</v>
      </c>
      <c r="C2336" s="8">
        <v>46201</v>
      </c>
      <c r="D2336" s="2" t="s">
        <v>136</v>
      </c>
      <c r="E2336" s="2" t="s">
        <v>260</v>
      </c>
      <c r="F2336" s="2" t="s">
        <v>16703</v>
      </c>
      <c r="G2336" s="2" t="s">
        <v>1167</v>
      </c>
      <c r="H2336" s="2" t="s">
        <v>76</v>
      </c>
      <c r="I2336" s="9">
        <v>22935040</v>
      </c>
      <c r="J2336" s="7">
        <v>6.2500000000000001E-5</v>
      </c>
      <c r="K2336" s="9">
        <v>1433.44</v>
      </c>
      <c r="L2336" s="14">
        <v>0</v>
      </c>
      <c r="M2336" s="2" t="s">
        <v>71</v>
      </c>
      <c r="N2336" s="2" t="s">
        <v>16704</v>
      </c>
      <c r="O2336" s="2" t="s">
        <v>1166</v>
      </c>
      <c r="P2336" s="9">
        <v>1.8</v>
      </c>
      <c r="Q2336" s="9">
        <v>1433.44</v>
      </c>
      <c r="R2336" s="2" t="s">
        <v>16705</v>
      </c>
    </row>
    <row r="2337" spans="1:18" x14ac:dyDescent="0.25">
      <c r="A2337" s="2" t="s">
        <v>1168</v>
      </c>
      <c r="B2337" s="6">
        <v>46204</v>
      </c>
      <c r="C2337" s="8">
        <v>46226</v>
      </c>
      <c r="D2337" s="2" t="s">
        <v>136</v>
      </c>
      <c r="E2337" s="2" t="s">
        <v>260</v>
      </c>
      <c r="F2337" s="2" t="s">
        <v>16703</v>
      </c>
      <c r="G2337" s="2" t="s">
        <v>1169</v>
      </c>
      <c r="H2337" s="2" t="s">
        <v>76</v>
      </c>
      <c r="I2337" s="9">
        <v>34402560</v>
      </c>
      <c r="J2337" s="7">
        <v>6.2000000000000003E-5</v>
      </c>
      <c r="K2337" s="9">
        <v>2132.96</v>
      </c>
      <c r="L2337" s="14">
        <v>0</v>
      </c>
      <c r="M2337" s="2" t="s">
        <v>71</v>
      </c>
      <c r="N2337" s="2" t="s">
        <v>16706</v>
      </c>
      <c r="O2337" s="2" t="s">
        <v>1166</v>
      </c>
      <c r="P2337" s="9">
        <v>1.8</v>
      </c>
      <c r="Q2337" s="9">
        <v>2150.16</v>
      </c>
      <c r="R2337" s="2" t="s">
        <v>16707</v>
      </c>
    </row>
    <row r="2338" spans="1:18" x14ac:dyDescent="0.25">
      <c r="A2338" s="2" t="s">
        <v>1170</v>
      </c>
      <c r="B2338" s="6">
        <v>46174</v>
      </c>
      <c r="C2338" s="8">
        <v>46202</v>
      </c>
      <c r="D2338" s="2" t="s">
        <v>136</v>
      </c>
      <c r="E2338" s="2" t="s">
        <v>260</v>
      </c>
      <c r="F2338" s="2" t="s">
        <v>16703</v>
      </c>
      <c r="G2338" s="2" t="s">
        <v>1172</v>
      </c>
      <c r="H2338" s="2" t="s">
        <v>70</v>
      </c>
      <c r="I2338" s="9">
        <v>2259.6150379999999</v>
      </c>
      <c r="J2338" s="7">
        <v>0.66500000000000004</v>
      </c>
      <c r="K2338" s="9">
        <v>1502.64</v>
      </c>
      <c r="L2338" s="14">
        <v>0</v>
      </c>
      <c r="M2338" s="2" t="s">
        <v>71</v>
      </c>
      <c r="N2338" s="2" t="s">
        <v>16704</v>
      </c>
      <c r="O2338" s="2" t="s">
        <v>1171</v>
      </c>
      <c r="P2338" s="9">
        <v>1.8</v>
      </c>
      <c r="Q2338" s="9">
        <v>1502.64</v>
      </c>
      <c r="R2338" s="2" t="s">
        <v>16705</v>
      </c>
    </row>
    <row r="2339" spans="1:18" x14ac:dyDescent="0.25">
      <c r="A2339" s="2" t="s">
        <v>1173</v>
      </c>
      <c r="B2339" s="6">
        <v>46204</v>
      </c>
      <c r="C2339" s="8">
        <v>46227</v>
      </c>
      <c r="D2339" s="2" t="s">
        <v>136</v>
      </c>
      <c r="E2339" s="2" t="s">
        <v>260</v>
      </c>
      <c r="F2339" s="2" t="s">
        <v>16703</v>
      </c>
      <c r="G2339" s="2" t="s">
        <v>1174</v>
      </c>
      <c r="H2339" s="2" t="s">
        <v>70</v>
      </c>
      <c r="I2339" s="9">
        <v>3389.422556</v>
      </c>
      <c r="J2339" s="7">
        <v>0.65800000000000003</v>
      </c>
      <c r="K2339" s="9">
        <v>2230.2399999999998</v>
      </c>
      <c r="L2339" s="14">
        <v>0</v>
      </c>
      <c r="M2339" s="2" t="s">
        <v>71</v>
      </c>
      <c r="N2339" s="2" t="s">
        <v>16706</v>
      </c>
      <c r="O2339" s="2" t="s">
        <v>1171</v>
      </c>
      <c r="P2339" s="9">
        <v>1.8</v>
      </c>
      <c r="Q2339" s="9">
        <v>2253.9699999999998</v>
      </c>
      <c r="R2339" s="2" t="s">
        <v>16707</v>
      </c>
    </row>
    <row r="2340" spans="1:18" x14ac:dyDescent="0.25">
      <c r="A2340" s="2" t="s">
        <v>1175</v>
      </c>
      <c r="B2340" s="6">
        <v>46204</v>
      </c>
      <c r="C2340" s="8">
        <v>46213</v>
      </c>
      <c r="D2340" s="2" t="s">
        <v>136</v>
      </c>
      <c r="E2340" s="2" t="s">
        <v>260</v>
      </c>
      <c r="F2340" s="2" t="s">
        <v>16703</v>
      </c>
      <c r="G2340" s="2" t="s">
        <v>1177</v>
      </c>
      <c r="H2340" s="2" t="s">
        <v>39</v>
      </c>
      <c r="I2340" s="9">
        <v>3929.62</v>
      </c>
      <c r="J2340" s="7">
        <v>1</v>
      </c>
      <c r="K2340" s="9">
        <v>3929.62</v>
      </c>
      <c r="L2340" s="14">
        <v>0</v>
      </c>
      <c r="M2340" s="2" t="s">
        <v>71</v>
      </c>
      <c r="N2340" s="2" t="s">
        <v>16706</v>
      </c>
      <c r="O2340" s="2" t="s">
        <v>1176</v>
      </c>
      <c r="P2340" s="9">
        <v>2.16</v>
      </c>
      <c r="Q2340" s="9">
        <v>3929.62</v>
      </c>
      <c r="R2340" s="2" t="s">
        <v>16707</v>
      </c>
    </row>
    <row r="2341" spans="1:18" x14ac:dyDescent="0.25">
      <c r="A2341" s="2" t="s">
        <v>1178</v>
      </c>
      <c r="B2341" s="6">
        <v>46204</v>
      </c>
      <c r="C2341" s="8">
        <v>46214</v>
      </c>
      <c r="D2341" s="2" t="s">
        <v>136</v>
      </c>
      <c r="E2341" s="2" t="s">
        <v>260</v>
      </c>
      <c r="F2341" s="2" t="s">
        <v>16703</v>
      </c>
      <c r="G2341" s="2" t="s">
        <v>1180</v>
      </c>
      <c r="H2341" s="2" t="s">
        <v>76</v>
      </c>
      <c r="I2341" s="9">
        <v>65642080</v>
      </c>
      <c r="J2341" s="7">
        <v>6.2000000000000003E-5</v>
      </c>
      <c r="K2341" s="9">
        <v>4069.81</v>
      </c>
      <c r="L2341" s="14">
        <v>0</v>
      </c>
      <c r="M2341" s="2" t="s">
        <v>71</v>
      </c>
      <c r="N2341" s="2" t="s">
        <v>16706</v>
      </c>
      <c r="O2341" s="2" t="s">
        <v>1179</v>
      </c>
      <c r="P2341" s="9">
        <v>2.2400000000000002</v>
      </c>
      <c r="Q2341" s="9">
        <v>4102.63</v>
      </c>
      <c r="R2341" s="2" t="s">
        <v>16707</v>
      </c>
    </row>
    <row r="2342" spans="1:18" x14ac:dyDescent="0.25">
      <c r="A2342" s="2" t="s">
        <v>1181</v>
      </c>
      <c r="B2342" s="6">
        <v>46204</v>
      </c>
      <c r="C2342" s="8">
        <v>46205</v>
      </c>
      <c r="D2342" s="2" t="s">
        <v>136</v>
      </c>
      <c r="E2342" s="2" t="s">
        <v>260</v>
      </c>
      <c r="F2342" s="2" t="s">
        <v>16703</v>
      </c>
      <c r="G2342" s="2" t="s">
        <v>1183</v>
      </c>
      <c r="H2342" s="2" t="s">
        <v>70</v>
      </c>
      <c r="I2342" s="9">
        <v>2571.8135339999999</v>
      </c>
      <c r="J2342" s="7">
        <v>0.65800000000000003</v>
      </c>
      <c r="K2342" s="9">
        <v>1692.25</v>
      </c>
      <c r="L2342" s="14">
        <v>0</v>
      </c>
      <c r="M2342" s="2" t="s">
        <v>71</v>
      </c>
      <c r="N2342" s="2" t="s">
        <v>16706</v>
      </c>
      <c r="O2342" s="2" t="s">
        <v>1182</v>
      </c>
      <c r="P2342" s="9">
        <v>1.8</v>
      </c>
      <c r="Q2342" s="9">
        <v>1710.26</v>
      </c>
      <c r="R2342" s="2" t="s">
        <v>16707</v>
      </c>
    </row>
    <row r="2343" spans="1:18" x14ac:dyDescent="0.25">
      <c r="A2343" s="2" t="s">
        <v>1184</v>
      </c>
      <c r="B2343" s="6">
        <v>46204</v>
      </c>
      <c r="C2343" s="8">
        <v>46230</v>
      </c>
      <c r="D2343" s="2" t="s">
        <v>136</v>
      </c>
      <c r="E2343" s="2" t="s">
        <v>260</v>
      </c>
      <c r="F2343" s="2" t="s">
        <v>16703</v>
      </c>
      <c r="G2343" s="2" t="s">
        <v>1185</v>
      </c>
      <c r="H2343" s="2" t="s">
        <v>70</v>
      </c>
      <c r="I2343" s="9">
        <v>3857.7203009999998</v>
      </c>
      <c r="J2343" s="7">
        <v>0.65800000000000003</v>
      </c>
      <c r="K2343" s="9">
        <v>2538.38</v>
      </c>
      <c r="L2343" s="14">
        <v>0</v>
      </c>
      <c r="M2343" s="2" t="s">
        <v>71</v>
      </c>
      <c r="N2343" s="2" t="s">
        <v>16706</v>
      </c>
      <c r="O2343" s="2" t="s">
        <v>1182</v>
      </c>
      <c r="P2343" s="9">
        <v>1.8</v>
      </c>
      <c r="Q2343" s="9">
        <v>2565.38</v>
      </c>
      <c r="R2343" s="2" t="s">
        <v>16707</v>
      </c>
    </row>
    <row r="2344" spans="1:18" x14ac:dyDescent="0.25">
      <c r="A2344" s="2" t="s">
        <v>1186</v>
      </c>
      <c r="B2344" s="6">
        <v>46204</v>
      </c>
      <c r="C2344" s="8">
        <v>46216</v>
      </c>
      <c r="D2344" s="2" t="s">
        <v>136</v>
      </c>
      <c r="E2344" s="2" t="s">
        <v>260</v>
      </c>
      <c r="F2344" s="2" t="s">
        <v>16703</v>
      </c>
      <c r="G2344" s="2" t="s">
        <v>1188</v>
      </c>
      <c r="H2344" s="2" t="s">
        <v>39</v>
      </c>
      <c r="I2344" s="9">
        <v>4448.6499999999996</v>
      </c>
      <c r="J2344" s="7">
        <v>1</v>
      </c>
      <c r="K2344" s="9">
        <v>4448.6499999999996</v>
      </c>
      <c r="L2344" s="14">
        <v>0</v>
      </c>
      <c r="M2344" s="2" t="s">
        <v>71</v>
      </c>
      <c r="N2344" s="2" t="s">
        <v>16706</v>
      </c>
      <c r="O2344" s="2" t="s">
        <v>1187</v>
      </c>
      <c r="P2344" s="9">
        <v>2.4500000000000002</v>
      </c>
      <c r="Q2344" s="9">
        <v>4448.6499999999996</v>
      </c>
      <c r="R2344" s="2" t="s">
        <v>16707</v>
      </c>
    </row>
    <row r="2345" spans="1:18" x14ac:dyDescent="0.25">
      <c r="A2345" s="2" t="s">
        <v>1189</v>
      </c>
      <c r="B2345" s="6">
        <v>46204</v>
      </c>
      <c r="C2345" s="8">
        <v>46217</v>
      </c>
      <c r="D2345" s="2" t="s">
        <v>136</v>
      </c>
      <c r="E2345" s="2" t="s">
        <v>260</v>
      </c>
      <c r="F2345" s="2" t="s">
        <v>16703</v>
      </c>
      <c r="G2345" s="2" t="s">
        <v>1191</v>
      </c>
      <c r="H2345" s="2" t="s">
        <v>76</v>
      </c>
      <c r="I2345" s="9">
        <v>73946560</v>
      </c>
      <c r="J2345" s="7">
        <v>6.2000000000000003E-5</v>
      </c>
      <c r="K2345" s="9">
        <v>4584.6899999999996</v>
      </c>
      <c r="L2345" s="14">
        <v>0</v>
      </c>
      <c r="M2345" s="2" t="s">
        <v>71</v>
      </c>
      <c r="N2345" s="2" t="s">
        <v>16706</v>
      </c>
      <c r="O2345" s="2" t="s">
        <v>1190</v>
      </c>
      <c r="P2345" s="9">
        <v>2.52</v>
      </c>
      <c r="Q2345" s="9">
        <v>4621.66</v>
      </c>
      <c r="R2345" s="2" t="s">
        <v>16707</v>
      </c>
    </row>
    <row r="2346" spans="1:18" x14ac:dyDescent="0.25">
      <c r="A2346" s="2" t="s">
        <v>1192</v>
      </c>
      <c r="B2346" s="6">
        <v>46204</v>
      </c>
      <c r="C2346" s="8">
        <v>46218</v>
      </c>
      <c r="D2346" s="2" t="s">
        <v>136</v>
      </c>
      <c r="E2346" s="2" t="s">
        <v>260</v>
      </c>
      <c r="F2346" s="2" t="s">
        <v>16703</v>
      </c>
      <c r="G2346" s="2" t="s">
        <v>1194</v>
      </c>
      <c r="H2346" s="2" t="s">
        <v>70</v>
      </c>
      <c r="I2346" s="9">
        <v>7210.0300749999997</v>
      </c>
      <c r="J2346" s="7">
        <v>0.65800000000000003</v>
      </c>
      <c r="K2346" s="9">
        <v>4744.2</v>
      </c>
      <c r="L2346" s="14">
        <v>0</v>
      </c>
      <c r="M2346" s="2" t="s">
        <v>71</v>
      </c>
      <c r="N2346" s="2" t="s">
        <v>16706</v>
      </c>
      <c r="O2346" s="2" t="s">
        <v>1193</v>
      </c>
      <c r="P2346" s="9">
        <v>2.61</v>
      </c>
      <c r="Q2346" s="9">
        <v>4794.67</v>
      </c>
      <c r="R2346" s="2" t="s">
        <v>16707</v>
      </c>
    </row>
    <row r="2347" spans="1:18" x14ac:dyDescent="0.25">
      <c r="A2347" s="2" t="s">
        <v>1195</v>
      </c>
      <c r="B2347" s="6">
        <v>46204</v>
      </c>
      <c r="C2347" s="8">
        <v>46219</v>
      </c>
      <c r="D2347" s="2" t="s">
        <v>136</v>
      </c>
      <c r="E2347" s="2" t="s">
        <v>260</v>
      </c>
      <c r="F2347" s="2" t="s">
        <v>16703</v>
      </c>
      <c r="G2347" s="2" t="s">
        <v>1197</v>
      </c>
      <c r="H2347" s="2" t="s">
        <v>39</v>
      </c>
      <c r="I2347" s="9">
        <v>4967.68</v>
      </c>
      <c r="J2347" s="7">
        <v>1</v>
      </c>
      <c r="K2347" s="9">
        <v>4967.68</v>
      </c>
      <c r="L2347" s="14">
        <v>0</v>
      </c>
      <c r="M2347" s="2" t="s">
        <v>71</v>
      </c>
      <c r="N2347" s="2" t="s">
        <v>16706</v>
      </c>
      <c r="O2347" s="2" t="s">
        <v>1196</v>
      </c>
      <c r="P2347" s="9">
        <v>2.73</v>
      </c>
      <c r="Q2347" s="9">
        <v>4967.68</v>
      </c>
      <c r="R2347" s="2" t="s">
        <v>16707</v>
      </c>
    </row>
    <row r="2348" spans="1:18" x14ac:dyDescent="0.25">
      <c r="A2348" s="2" t="s">
        <v>1198</v>
      </c>
      <c r="B2348" s="6">
        <v>46204</v>
      </c>
      <c r="C2348" s="8">
        <v>46220</v>
      </c>
      <c r="D2348" s="2" t="s">
        <v>136</v>
      </c>
      <c r="E2348" s="2" t="s">
        <v>260</v>
      </c>
      <c r="F2348" s="2" t="s">
        <v>16703</v>
      </c>
      <c r="G2348" s="2" t="s">
        <v>1200</v>
      </c>
      <c r="H2348" s="2" t="s">
        <v>76</v>
      </c>
      <c r="I2348" s="9">
        <v>82251040</v>
      </c>
      <c r="J2348" s="7">
        <v>6.2000000000000003E-5</v>
      </c>
      <c r="K2348" s="9">
        <v>5099.5600000000004</v>
      </c>
      <c r="L2348" s="14">
        <v>0</v>
      </c>
      <c r="M2348" s="2" t="s">
        <v>71</v>
      </c>
      <c r="N2348" s="2" t="s">
        <v>16706</v>
      </c>
      <c r="O2348" s="2" t="s">
        <v>1199</v>
      </c>
      <c r="P2348" s="9">
        <v>2.8</v>
      </c>
      <c r="Q2348" s="9">
        <v>5140.6899999999996</v>
      </c>
      <c r="R2348" s="2" t="s">
        <v>16707</v>
      </c>
    </row>
    <row r="2349" spans="1:18" x14ac:dyDescent="0.25">
      <c r="A2349" s="2" t="s">
        <v>1201</v>
      </c>
      <c r="B2349" s="6">
        <v>46204</v>
      </c>
      <c r="C2349" s="8">
        <v>46211</v>
      </c>
      <c r="D2349" s="2" t="s">
        <v>136</v>
      </c>
      <c r="E2349" s="2" t="s">
        <v>260</v>
      </c>
      <c r="F2349" s="2" t="s">
        <v>16703</v>
      </c>
      <c r="G2349" s="2" t="s">
        <v>1203</v>
      </c>
      <c r="H2349" s="2" t="s">
        <v>70</v>
      </c>
      <c r="I2349" s="9">
        <v>3196.2105259999998</v>
      </c>
      <c r="J2349" s="7">
        <v>0.65800000000000003</v>
      </c>
      <c r="K2349" s="9">
        <v>2103.11</v>
      </c>
      <c r="L2349" s="14">
        <v>0</v>
      </c>
      <c r="M2349" s="2" t="s">
        <v>71</v>
      </c>
      <c r="N2349" s="2" t="s">
        <v>16706</v>
      </c>
      <c r="O2349" s="2" t="s">
        <v>1202</v>
      </c>
      <c r="P2349" s="9">
        <v>1.8</v>
      </c>
      <c r="Q2349" s="9">
        <v>2125.48</v>
      </c>
      <c r="R2349" s="2" t="s">
        <v>16707</v>
      </c>
    </row>
    <row r="2350" spans="1:18" x14ac:dyDescent="0.25">
      <c r="A2350" s="2" t="s">
        <v>1206</v>
      </c>
      <c r="B2350" s="6">
        <v>46204</v>
      </c>
      <c r="C2350" s="8">
        <v>46212</v>
      </c>
      <c r="D2350" s="2" t="s">
        <v>136</v>
      </c>
      <c r="E2350" s="2" t="s">
        <v>260</v>
      </c>
      <c r="F2350" s="2" t="s">
        <v>16703</v>
      </c>
      <c r="G2350" s="2" t="s">
        <v>1208</v>
      </c>
      <c r="H2350" s="2" t="s">
        <v>39</v>
      </c>
      <c r="I2350" s="9">
        <v>2194.6840000000002</v>
      </c>
      <c r="J2350" s="7">
        <v>1</v>
      </c>
      <c r="K2350" s="9">
        <v>2194.6799999999998</v>
      </c>
      <c r="L2350" s="14">
        <v>0</v>
      </c>
      <c r="M2350" s="2" t="s">
        <v>71</v>
      </c>
      <c r="N2350" s="2" t="s">
        <v>16706</v>
      </c>
      <c r="O2350" s="2" t="s">
        <v>1207</v>
      </c>
      <c r="P2350" s="9">
        <v>1.8</v>
      </c>
      <c r="Q2350" s="9">
        <v>2194.6799999999998</v>
      </c>
      <c r="R2350" s="2" t="s">
        <v>16707</v>
      </c>
    </row>
    <row r="2351" spans="1:18" x14ac:dyDescent="0.25">
      <c r="A2351" s="2" t="s">
        <v>1211</v>
      </c>
      <c r="B2351" s="6">
        <v>46204</v>
      </c>
      <c r="C2351" s="8">
        <v>46223</v>
      </c>
      <c r="D2351" s="2" t="s">
        <v>136</v>
      </c>
      <c r="E2351" s="2" t="s">
        <v>260</v>
      </c>
      <c r="F2351" s="2" t="s">
        <v>16703</v>
      </c>
      <c r="G2351" s="2" t="s">
        <v>1213</v>
      </c>
      <c r="H2351" s="2" t="s">
        <v>76</v>
      </c>
      <c r="I2351" s="9">
        <v>90555520</v>
      </c>
      <c r="J2351" s="7">
        <v>6.2000000000000003E-5</v>
      </c>
      <c r="K2351" s="9">
        <v>5614.44</v>
      </c>
      <c r="L2351" s="14">
        <v>0</v>
      </c>
      <c r="M2351" s="2" t="s">
        <v>71</v>
      </c>
      <c r="N2351" s="2" t="s">
        <v>16706</v>
      </c>
      <c r="O2351" s="2" t="s">
        <v>1212</v>
      </c>
      <c r="P2351" s="9">
        <v>3.09</v>
      </c>
      <c r="Q2351" s="9">
        <v>5659.72</v>
      </c>
      <c r="R2351" s="2" t="s">
        <v>16707</v>
      </c>
    </row>
    <row r="2352" spans="1:18" x14ac:dyDescent="0.25">
      <c r="A2352" s="2" t="s">
        <v>1214</v>
      </c>
      <c r="B2352" s="6">
        <v>46204</v>
      </c>
      <c r="C2352" s="8">
        <v>46224</v>
      </c>
      <c r="D2352" s="2" t="s">
        <v>136</v>
      </c>
      <c r="E2352" s="2" t="s">
        <v>260</v>
      </c>
      <c r="F2352" s="2" t="s">
        <v>16703</v>
      </c>
      <c r="G2352" s="2" t="s">
        <v>1216</v>
      </c>
      <c r="H2352" s="2" t="s">
        <v>70</v>
      </c>
      <c r="I2352" s="9">
        <v>8771.0225559999999</v>
      </c>
      <c r="J2352" s="7">
        <v>0.65800000000000003</v>
      </c>
      <c r="K2352" s="9">
        <v>5771.33</v>
      </c>
      <c r="L2352" s="14">
        <v>0</v>
      </c>
      <c r="M2352" s="2" t="s">
        <v>71</v>
      </c>
      <c r="N2352" s="2" t="s">
        <v>16706</v>
      </c>
      <c r="O2352" s="2" t="s">
        <v>1215</v>
      </c>
      <c r="P2352" s="9">
        <v>3.17</v>
      </c>
      <c r="Q2352" s="9">
        <v>5832.73</v>
      </c>
      <c r="R2352" s="2" t="s">
        <v>16707</v>
      </c>
    </row>
    <row r="2353" spans="1:18" x14ac:dyDescent="0.25">
      <c r="A2353" s="2" t="s">
        <v>1217</v>
      </c>
      <c r="B2353" s="6">
        <v>46204</v>
      </c>
      <c r="C2353" s="8">
        <v>46215</v>
      </c>
      <c r="D2353" s="2" t="s">
        <v>136</v>
      </c>
      <c r="E2353" s="2" t="s">
        <v>260</v>
      </c>
      <c r="F2353" s="2" t="s">
        <v>16703</v>
      </c>
      <c r="G2353" s="2" t="s">
        <v>1219</v>
      </c>
      <c r="H2353" s="2" t="s">
        <v>39</v>
      </c>
      <c r="I2353" s="9">
        <v>2402.2959999999998</v>
      </c>
      <c r="J2353" s="7">
        <v>1</v>
      </c>
      <c r="K2353" s="9">
        <v>2402.3000000000002</v>
      </c>
      <c r="L2353" s="14">
        <v>0</v>
      </c>
      <c r="M2353" s="2" t="s">
        <v>71</v>
      </c>
      <c r="N2353" s="2" t="s">
        <v>16706</v>
      </c>
      <c r="O2353" s="2" t="s">
        <v>1218</v>
      </c>
      <c r="P2353" s="9">
        <v>1.8</v>
      </c>
      <c r="Q2353" s="9">
        <v>2402.3000000000002</v>
      </c>
      <c r="R2353" s="2" t="s">
        <v>16707</v>
      </c>
    </row>
    <row r="2354" spans="1:18" x14ac:dyDescent="0.25">
      <c r="A2354" s="2" t="s">
        <v>1222</v>
      </c>
      <c r="B2354" s="6">
        <v>46204</v>
      </c>
      <c r="C2354" s="8">
        <v>46226</v>
      </c>
      <c r="D2354" s="2" t="s">
        <v>136</v>
      </c>
      <c r="E2354" s="2" t="s">
        <v>260</v>
      </c>
      <c r="F2354" s="2" t="s">
        <v>16703</v>
      </c>
      <c r="G2354" s="2" t="s">
        <v>1224</v>
      </c>
      <c r="H2354" s="2" t="s">
        <v>76</v>
      </c>
      <c r="I2354" s="9">
        <v>98860000</v>
      </c>
      <c r="J2354" s="7">
        <v>6.2000000000000003E-5</v>
      </c>
      <c r="K2354" s="9">
        <v>6129.32</v>
      </c>
      <c r="L2354" s="14">
        <v>0</v>
      </c>
      <c r="M2354" s="2" t="s">
        <v>71</v>
      </c>
      <c r="N2354" s="2" t="s">
        <v>16706</v>
      </c>
      <c r="O2354" s="2" t="s">
        <v>1223</v>
      </c>
      <c r="P2354" s="9">
        <v>3.37</v>
      </c>
      <c r="Q2354" s="9">
        <v>6178.75</v>
      </c>
      <c r="R2354" s="2" t="s">
        <v>16707</v>
      </c>
    </row>
    <row r="2355" spans="1:18" x14ac:dyDescent="0.25">
      <c r="A2355" s="2" t="s">
        <v>1225</v>
      </c>
      <c r="B2355" s="6">
        <v>46204</v>
      </c>
      <c r="C2355" s="8">
        <v>46227</v>
      </c>
      <c r="D2355" s="2" t="s">
        <v>136</v>
      </c>
      <c r="E2355" s="2" t="s">
        <v>260</v>
      </c>
      <c r="F2355" s="2" t="s">
        <v>16703</v>
      </c>
      <c r="G2355" s="2" t="s">
        <v>1227</v>
      </c>
      <c r="H2355" s="2" t="s">
        <v>70</v>
      </c>
      <c r="I2355" s="9">
        <v>9551.5187970000006</v>
      </c>
      <c r="J2355" s="7">
        <v>0.65800000000000003</v>
      </c>
      <c r="K2355" s="9">
        <v>6284.9</v>
      </c>
      <c r="L2355" s="14">
        <v>0</v>
      </c>
      <c r="M2355" s="2" t="s">
        <v>71</v>
      </c>
      <c r="N2355" s="2" t="s">
        <v>16706</v>
      </c>
      <c r="O2355" s="2" t="s">
        <v>1226</v>
      </c>
      <c r="P2355" s="9">
        <v>3.46</v>
      </c>
      <c r="Q2355" s="9">
        <v>6351.76</v>
      </c>
      <c r="R2355" s="2" t="s">
        <v>16707</v>
      </c>
    </row>
    <row r="2356" spans="1:18" x14ac:dyDescent="0.25">
      <c r="A2356" s="2" t="s">
        <v>1228</v>
      </c>
      <c r="B2356" s="6">
        <v>46174</v>
      </c>
      <c r="C2356" s="8">
        <v>46198</v>
      </c>
      <c r="D2356" s="2" t="s">
        <v>136</v>
      </c>
      <c r="E2356" s="2" t="s">
        <v>260</v>
      </c>
      <c r="F2356" s="2" t="s">
        <v>16703</v>
      </c>
      <c r="G2356" s="2" t="s">
        <v>1230</v>
      </c>
      <c r="H2356" s="2" t="s">
        <v>39</v>
      </c>
      <c r="I2356" s="9">
        <v>6524.77</v>
      </c>
      <c r="J2356" s="7">
        <v>1</v>
      </c>
      <c r="K2356" s="9">
        <v>6524.77</v>
      </c>
      <c r="L2356" s="14">
        <v>0</v>
      </c>
      <c r="M2356" s="2" t="s">
        <v>71</v>
      </c>
      <c r="N2356" s="2" t="s">
        <v>16704</v>
      </c>
      <c r="O2356" s="2" t="s">
        <v>1229</v>
      </c>
      <c r="P2356" s="9">
        <v>3.59</v>
      </c>
      <c r="Q2356" s="9">
        <v>6524.77</v>
      </c>
      <c r="R2356" s="2" t="s">
        <v>16705</v>
      </c>
    </row>
    <row r="2357" spans="1:18" x14ac:dyDescent="0.25">
      <c r="A2357" s="2" t="s">
        <v>1231</v>
      </c>
      <c r="B2357" s="6">
        <v>46174</v>
      </c>
      <c r="C2357" s="8">
        <v>46199</v>
      </c>
      <c r="D2357" s="2" t="s">
        <v>136</v>
      </c>
      <c r="E2357" s="2" t="s">
        <v>260</v>
      </c>
      <c r="F2357" s="2" t="s">
        <v>16703</v>
      </c>
      <c r="G2357" s="2" t="s">
        <v>1233</v>
      </c>
      <c r="H2357" s="2" t="s">
        <v>76</v>
      </c>
      <c r="I2357" s="9">
        <v>107164480</v>
      </c>
      <c r="J2357" s="7">
        <v>6.2500000000000001E-5</v>
      </c>
      <c r="K2357" s="9">
        <v>6697.78</v>
      </c>
      <c r="L2357" s="14">
        <v>0</v>
      </c>
      <c r="M2357" s="2" t="s">
        <v>71</v>
      </c>
      <c r="N2357" s="2" t="s">
        <v>16704</v>
      </c>
      <c r="O2357" s="2" t="s">
        <v>1232</v>
      </c>
      <c r="P2357" s="9">
        <v>3.68</v>
      </c>
      <c r="Q2357" s="9">
        <v>6697.78</v>
      </c>
      <c r="R2357" s="2" t="s">
        <v>16705</v>
      </c>
    </row>
    <row r="2358" spans="1:18" x14ac:dyDescent="0.25">
      <c r="A2358" s="2" t="s">
        <v>1234</v>
      </c>
      <c r="B2358" s="6">
        <v>46174</v>
      </c>
      <c r="C2358" s="8">
        <v>46200</v>
      </c>
      <c r="D2358" s="2" t="s">
        <v>136</v>
      </c>
      <c r="E2358" s="2" t="s">
        <v>260</v>
      </c>
      <c r="F2358" s="2" t="s">
        <v>16703</v>
      </c>
      <c r="G2358" s="2" t="s">
        <v>1236</v>
      </c>
      <c r="H2358" s="2" t="s">
        <v>70</v>
      </c>
      <c r="I2358" s="9">
        <v>10332.015038</v>
      </c>
      <c r="J2358" s="7">
        <v>0.66500000000000004</v>
      </c>
      <c r="K2358" s="9">
        <v>6870.79</v>
      </c>
      <c r="L2358" s="14">
        <v>0</v>
      </c>
      <c r="M2358" s="2" t="s">
        <v>71</v>
      </c>
      <c r="N2358" s="2" t="s">
        <v>16704</v>
      </c>
      <c r="O2358" s="2" t="s">
        <v>1235</v>
      </c>
      <c r="P2358" s="9">
        <v>3.78</v>
      </c>
      <c r="Q2358" s="9">
        <v>6870.79</v>
      </c>
      <c r="R2358" s="2" t="s">
        <v>16705</v>
      </c>
    </row>
    <row r="2359" spans="1:18" x14ac:dyDescent="0.25">
      <c r="A2359" s="2" t="s">
        <v>1237</v>
      </c>
      <c r="B2359" s="6">
        <v>46174</v>
      </c>
      <c r="C2359" s="8">
        <v>46191</v>
      </c>
      <c r="D2359" s="2" t="s">
        <v>136</v>
      </c>
      <c r="E2359" s="2" t="s">
        <v>260</v>
      </c>
      <c r="F2359" s="2" t="s">
        <v>16703</v>
      </c>
      <c r="G2359" s="2" t="s">
        <v>1239</v>
      </c>
      <c r="H2359" s="2" t="s">
        <v>39</v>
      </c>
      <c r="I2359" s="9">
        <v>2817.52</v>
      </c>
      <c r="J2359" s="7">
        <v>1</v>
      </c>
      <c r="K2359" s="9">
        <v>2817.52</v>
      </c>
      <c r="L2359" s="14">
        <v>0</v>
      </c>
      <c r="M2359" s="2" t="s">
        <v>71</v>
      </c>
      <c r="N2359" s="2" t="s">
        <v>16704</v>
      </c>
      <c r="O2359" s="2" t="s">
        <v>1238</v>
      </c>
      <c r="P2359" s="9">
        <v>1.8</v>
      </c>
      <c r="Q2359" s="9">
        <v>2817.52</v>
      </c>
      <c r="R2359" s="2" t="s">
        <v>16705</v>
      </c>
    </row>
    <row r="2360" spans="1:18" x14ac:dyDescent="0.25">
      <c r="A2360" s="2" t="s">
        <v>1240</v>
      </c>
      <c r="B2360" s="6">
        <v>46204</v>
      </c>
      <c r="C2360" s="8">
        <v>46216</v>
      </c>
      <c r="D2360" s="2" t="s">
        <v>136</v>
      </c>
      <c r="E2360" s="2" t="s">
        <v>260</v>
      </c>
      <c r="F2360" s="2" t="s">
        <v>16703</v>
      </c>
      <c r="G2360" s="2" t="s">
        <v>1241</v>
      </c>
      <c r="H2360" s="2" t="s">
        <v>39</v>
      </c>
      <c r="I2360" s="9">
        <v>4226.28</v>
      </c>
      <c r="J2360" s="7">
        <v>1</v>
      </c>
      <c r="K2360" s="9">
        <v>4226.28</v>
      </c>
      <c r="L2360" s="14">
        <v>0</v>
      </c>
      <c r="M2360" s="2" t="s">
        <v>71</v>
      </c>
      <c r="N2360" s="2" t="s">
        <v>16706</v>
      </c>
      <c r="O2360" s="2" t="s">
        <v>1238</v>
      </c>
      <c r="P2360" s="9">
        <v>2.3199999999999998</v>
      </c>
      <c r="Q2360" s="9">
        <v>4226.28</v>
      </c>
      <c r="R2360" s="2" t="s">
        <v>16707</v>
      </c>
    </row>
    <row r="2361" spans="1:18" x14ac:dyDescent="0.25">
      <c r="A2361" s="2" t="s">
        <v>1242</v>
      </c>
      <c r="B2361" s="6">
        <v>46174</v>
      </c>
      <c r="C2361" s="8">
        <v>46192</v>
      </c>
      <c r="D2361" s="2" t="s">
        <v>136</v>
      </c>
      <c r="E2361" s="2" t="s">
        <v>260</v>
      </c>
      <c r="F2361" s="2" t="s">
        <v>16703</v>
      </c>
      <c r="G2361" s="2" t="s">
        <v>1244</v>
      </c>
      <c r="H2361" s="2" t="s">
        <v>76</v>
      </c>
      <c r="I2361" s="9">
        <v>46187584</v>
      </c>
      <c r="J2361" s="7">
        <v>6.2500000000000001E-5</v>
      </c>
      <c r="K2361" s="9">
        <v>2886.72</v>
      </c>
      <c r="L2361" s="14">
        <v>0</v>
      </c>
      <c r="M2361" s="2" t="s">
        <v>71</v>
      </c>
      <c r="N2361" s="2" t="s">
        <v>16704</v>
      </c>
      <c r="O2361" s="2" t="s">
        <v>1243</v>
      </c>
      <c r="P2361" s="9">
        <v>1.8</v>
      </c>
      <c r="Q2361" s="9">
        <v>2886.72</v>
      </c>
      <c r="R2361" s="2" t="s">
        <v>16705</v>
      </c>
    </row>
    <row r="2362" spans="1:18" x14ac:dyDescent="0.25">
      <c r="A2362" s="2" t="s">
        <v>1245</v>
      </c>
      <c r="B2362" s="6">
        <v>46204</v>
      </c>
      <c r="C2362" s="8">
        <v>46217</v>
      </c>
      <c r="D2362" s="2" t="s">
        <v>136</v>
      </c>
      <c r="E2362" s="2" t="s">
        <v>260</v>
      </c>
      <c r="F2362" s="2" t="s">
        <v>16703</v>
      </c>
      <c r="G2362" s="2" t="s">
        <v>1246</v>
      </c>
      <c r="H2362" s="2" t="s">
        <v>76</v>
      </c>
      <c r="I2362" s="9">
        <v>69281376</v>
      </c>
      <c r="J2362" s="7">
        <v>6.2000000000000003E-5</v>
      </c>
      <c r="K2362" s="9">
        <v>4295.45</v>
      </c>
      <c r="L2362" s="14">
        <v>0</v>
      </c>
      <c r="M2362" s="2" t="s">
        <v>71</v>
      </c>
      <c r="N2362" s="2" t="s">
        <v>16706</v>
      </c>
      <c r="O2362" s="2" t="s">
        <v>1243</v>
      </c>
      <c r="P2362" s="9">
        <v>2.36</v>
      </c>
      <c r="Q2362" s="9">
        <v>4330.09</v>
      </c>
      <c r="R2362" s="2" t="s">
        <v>16707</v>
      </c>
    </row>
    <row r="2363" spans="1:18" x14ac:dyDescent="0.25">
      <c r="A2363" s="2" t="s">
        <v>1247</v>
      </c>
      <c r="B2363" s="6">
        <v>46174</v>
      </c>
      <c r="C2363" s="8">
        <v>46203</v>
      </c>
      <c r="D2363" s="2" t="s">
        <v>136</v>
      </c>
      <c r="E2363" s="2" t="s">
        <v>260</v>
      </c>
      <c r="F2363" s="2" t="s">
        <v>16703</v>
      </c>
      <c r="G2363" s="2" t="s">
        <v>1249</v>
      </c>
      <c r="H2363" s="2" t="s">
        <v>70</v>
      </c>
      <c r="I2363" s="9">
        <v>11112.511278</v>
      </c>
      <c r="J2363" s="7">
        <v>0.66500000000000004</v>
      </c>
      <c r="K2363" s="9">
        <v>7389.82</v>
      </c>
      <c r="L2363" s="14">
        <v>0</v>
      </c>
      <c r="M2363" s="2" t="s">
        <v>71</v>
      </c>
      <c r="N2363" s="2" t="s">
        <v>16704</v>
      </c>
      <c r="O2363" s="2" t="s">
        <v>1248</v>
      </c>
      <c r="P2363" s="9">
        <v>4.0599999999999996</v>
      </c>
      <c r="Q2363" s="9">
        <v>7389.82</v>
      </c>
      <c r="R2363" s="2" t="s">
        <v>16705</v>
      </c>
    </row>
    <row r="2364" spans="1:18" x14ac:dyDescent="0.25">
      <c r="A2364" s="2" t="s">
        <v>1250</v>
      </c>
      <c r="B2364" s="6">
        <v>46204</v>
      </c>
      <c r="C2364" s="8">
        <v>46204</v>
      </c>
      <c r="D2364" s="2" t="s">
        <v>136</v>
      </c>
      <c r="E2364" s="2" t="s">
        <v>260</v>
      </c>
      <c r="F2364" s="2" t="s">
        <v>16703</v>
      </c>
      <c r="G2364" s="2" t="s">
        <v>1252</v>
      </c>
      <c r="H2364" s="2" t="s">
        <v>39</v>
      </c>
      <c r="I2364" s="9">
        <v>7562.83</v>
      </c>
      <c r="J2364" s="7">
        <v>1</v>
      </c>
      <c r="K2364" s="9">
        <v>7562.83</v>
      </c>
      <c r="L2364" s="14">
        <v>0</v>
      </c>
      <c r="M2364" s="2" t="s">
        <v>71</v>
      </c>
      <c r="N2364" s="2" t="s">
        <v>16706</v>
      </c>
      <c r="O2364" s="2" t="s">
        <v>1251</v>
      </c>
      <c r="P2364" s="9">
        <v>4.16</v>
      </c>
      <c r="Q2364" s="9">
        <v>7562.83</v>
      </c>
      <c r="R2364" s="2" t="s">
        <v>16707</v>
      </c>
    </row>
    <row r="2365" spans="1:18" x14ac:dyDescent="0.25">
      <c r="A2365" s="2" t="s">
        <v>1253</v>
      </c>
      <c r="B2365" s="6">
        <v>46174</v>
      </c>
      <c r="C2365" s="8">
        <v>46195</v>
      </c>
      <c r="D2365" s="2" t="s">
        <v>136</v>
      </c>
      <c r="E2365" s="2" t="s">
        <v>260</v>
      </c>
      <c r="F2365" s="2" t="s">
        <v>16703</v>
      </c>
      <c r="G2365" s="2" t="s">
        <v>1255</v>
      </c>
      <c r="H2365" s="2" t="s">
        <v>76</v>
      </c>
      <c r="I2365" s="9">
        <v>49509376</v>
      </c>
      <c r="J2365" s="7">
        <v>6.2500000000000001E-5</v>
      </c>
      <c r="K2365" s="9">
        <v>3094.34</v>
      </c>
      <c r="L2365" s="14">
        <v>0</v>
      </c>
      <c r="M2365" s="2" t="s">
        <v>71</v>
      </c>
      <c r="N2365" s="2" t="s">
        <v>16704</v>
      </c>
      <c r="O2365" s="2" t="s">
        <v>1254</v>
      </c>
      <c r="P2365" s="9">
        <v>1.8</v>
      </c>
      <c r="Q2365" s="9">
        <v>3094.34</v>
      </c>
      <c r="R2365" s="2" t="s">
        <v>16705</v>
      </c>
    </row>
    <row r="2366" spans="1:18" x14ac:dyDescent="0.25">
      <c r="A2366" s="2" t="s">
        <v>1256</v>
      </c>
      <c r="B2366" s="6">
        <v>46204</v>
      </c>
      <c r="C2366" s="8">
        <v>46220</v>
      </c>
      <c r="D2366" s="2" t="s">
        <v>136</v>
      </c>
      <c r="E2366" s="2" t="s">
        <v>260</v>
      </c>
      <c r="F2366" s="2" t="s">
        <v>16703</v>
      </c>
      <c r="G2366" s="2" t="s">
        <v>1257</v>
      </c>
      <c r="H2366" s="2" t="s">
        <v>76</v>
      </c>
      <c r="I2366" s="9">
        <v>74264064</v>
      </c>
      <c r="J2366" s="7">
        <v>6.2000000000000003E-5</v>
      </c>
      <c r="K2366" s="9">
        <v>4604.37</v>
      </c>
      <c r="L2366" s="14">
        <v>0</v>
      </c>
      <c r="M2366" s="2" t="s">
        <v>71</v>
      </c>
      <c r="N2366" s="2" t="s">
        <v>16706</v>
      </c>
      <c r="O2366" s="2" t="s">
        <v>1254</v>
      </c>
      <c r="P2366" s="9">
        <v>2.5299999999999998</v>
      </c>
      <c r="Q2366" s="9">
        <v>4641.5</v>
      </c>
      <c r="R2366" s="2" t="s">
        <v>16707</v>
      </c>
    </row>
    <row r="2367" spans="1:18" x14ac:dyDescent="0.25">
      <c r="A2367" s="2" t="s">
        <v>1258</v>
      </c>
      <c r="B2367" s="6">
        <v>46204</v>
      </c>
      <c r="C2367" s="8">
        <v>46206</v>
      </c>
      <c r="D2367" s="2" t="s">
        <v>136</v>
      </c>
      <c r="E2367" s="2" t="s">
        <v>260</v>
      </c>
      <c r="F2367" s="2" t="s">
        <v>16703</v>
      </c>
      <c r="G2367" s="2" t="s">
        <v>1260</v>
      </c>
      <c r="H2367" s="2" t="s">
        <v>70</v>
      </c>
      <c r="I2367" s="9">
        <v>11893.007519000001</v>
      </c>
      <c r="J2367" s="7">
        <v>0.65800000000000003</v>
      </c>
      <c r="K2367" s="9">
        <v>7825.6</v>
      </c>
      <c r="L2367" s="14">
        <v>0</v>
      </c>
      <c r="M2367" s="2" t="s">
        <v>71</v>
      </c>
      <c r="N2367" s="2" t="s">
        <v>16706</v>
      </c>
      <c r="O2367" s="2" t="s">
        <v>1259</v>
      </c>
      <c r="P2367" s="9">
        <v>4.3</v>
      </c>
      <c r="Q2367" s="9">
        <v>7908.85</v>
      </c>
      <c r="R2367" s="2" t="s">
        <v>16707</v>
      </c>
    </row>
    <row r="2368" spans="1:18" x14ac:dyDescent="0.25">
      <c r="A2368" s="2" t="s">
        <v>1261</v>
      </c>
      <c r="B2368" s="6">
        <v>46204</v>
      </c>
      <c r="C2368" s="8">
        <v>46207</v>
      </c>
      <c r="D2368" s="2" t="s">
        <v>136</v>
      </c>
      <c r="E2368" s="2" t="s">
        <v>260</v>
      </c>
      <c r="F2368" s="2" t="s">
        <v>16703</v>
      </c>
      <c r="G2368" s="2" t="s">
        <v>1263</v>
      </c>
      <c r="H2368" s="2" t="s">
        <v>39</v>
      </c>
      <c r="I2368" s="9">
        <v>8081.86</v>
      </c>
      <c r="J2368" s="7">
        <v>1</v>
      </c>
      <c r="K2368" s="9">
        <v>8081.86</v>
      </c>
      <c r="L2368" s="14">
        <v>0</v>
      </c>
      <c r="M2368" s="2" t="s">
        <v>71</v>
      </c>
      <c r="N2368" s="2" t="s">
        <v>16706</v>
      </c>
      <c r="O2368" s="2" t="s">
        <v>1262</v>
      </c>
      <c r="P2368" s="9">
        <v>4.45</v>
      </c>
      <c r="Q2368" s="9">
        <v>8081.86</v>
      </c>
      <c r="R2368" s="2" t="s">
        <v>16707</v>
      </c>
    </row>
    <row r="2369" spans="1:18" x14ac:dyDescent="0.25">
      <c r="A2369" s="2" t="s">
        <v>1264</v>
      </c>
      <c r="B2369" s="6">
        <v>46204</v>
      </c>
      <c r="C2369" s="8">
        <v>46208</v>
      </c>
      <c r="D2369" s="2" t="s">
        <v>136</v>
      </c>
      <c r="E2369" s="2" t="s">
        <v>260</v>
      </c>
      <c r="F2369" s="2" t="s">
        <v>16703</v>
      </c>
      <c r="G2369" s="2" t="s">
        <v>1266</v>
      </c>
      <c r="H2369" s="2" t="s">
        <v>76</v>
      </c>
      <c r="I2369" s="9">
        <v>132077920</v>
      </c>
      <c r="J2369" s="7">
        <v>6.2000000000000003E-5</v>
      </c>
      <c r="K2369" s="9">
        <v>8188.83</v>
      </c>
      <c r="L2369" s="14">
        <v>0</v>
      </c>
      <c r="M2369" s="2" t="s">
        <v>71</v>
      </c>
      <c r="N2369" s="2" t="s">
        <v>16706</v>
      </c>
      <c r="O2369" s="2" t="s">
        <v>1265</v>
      </c>
      <c r="P2369" s="9">
        <v>4.5</v>
      </c>
      <c r="Q2369" s="9">
        <v>8254.8700000000008</v>
      </c>
      <c r="R2369" s="2" t="s">
        <v>16707</v>
      </c>
    </row>
    <row r="2370" spans="1:18" x14ac:dyDescent="0.25">
      <c r="A2370" s="2" t="s">
        <v>1267</v>
      </c>
      <c r="B2370" s="6">
        <v>46204</v>
      </c>
      <c r="C2370" s="8">
        <v>46209</v>
      </c>
      <c r="D2370" s="2" t="s">
        <v>136</v>
      </c>
      <c r="E2370" s="2" t="s">
        <v>260</v>
      </c>
      <c r="F2370" s="2" t="s">
        <v>16703</v>
      </c>
      <c r="G2370" s="2" t="s">
        <v>1269</v>
      </c>
      <c r="H2370" s="2" t="s">
        <v>70</v>
      </c>
      <c r="I2370" s="9">
        <v>12673.503758999999</v>
      </c>
      <c r="J2370" s="7">
        <v>0.65800000000000003</v>
      </c>
      <c r="K2370" s="9">
        <v>8339.17</v>
      </c>
      <c r="L2370" s="14">
        <v>0</v>
      </c>
      <c r="M2370" s="2" t="s">
        <v>71</v>
      </c>
      <c r="N2370" s="2" t="s">
        <v>16706</v>
      </c>
      <c r="O2370" s="2" t="s">
        <v>1268</v>
      </c>
      <c r="P2370" s="9">
        <v>4.59</v>
      </c>
      <c r="Q2370" s="9">
        <v>8427.8799999999992</v>
      </c>
      <c r="R2370" s="2" t="s">
        <v>16707</v>
      </c>
    </row>
    <row r="2371" spans="1:18" x14ac:dyDescent="0.25">
      <c r="A2371" s="2" t="s">
        <v>1270</v>
      </c>
      <c r="B2371" s="6">
        <v>46204</v>
      </c>
      <c r="C2371" s="8">
        <v>46210</v>
      </c>
      <c r="D2371" s="2" t="s">
        <v>136</v>
      </c>
      <c r="E2371" s="2" t="s">
        <v>260</v>
      </c>
      <c r="F2371" s="2" t="s">
        <v>16703</v>
      </c>
      <c r="G2371" s="2" t="s">
        <v>1272</v>
      </c>
      <c r="H2371" s="2" t="s">
        <v>39</v>
      </c>
      <c r="I2371" s="9">
        <v>8600.89</v>
      </c>
      <c r="J2371" s="7">
        <v>1</v>
      </c>
      <c r="K2371" s="9">
        <v>8600.89</v>
      </c>
      <c r="L2371" s="14">
        <v>0</v>
      </c>
      <c r="M2371" s="2" t="s">
        <v>71</v>
      </c>
      <c r="N2371" s="2" t="s">
        <v>16706</v>
      </c>
      <c r="O2371" s="2" t="s">
        <v>1271</v>
      </c>
      <c r="P2371" s="9">
        <v>4.7300000000000004</v>
      </c>
      <c r="Q2371" s="9">
        <v>8600.89</v>
      </c>
      <c r="R2371" s="2" t="s">
        <v>16707</v>
      </c>
    </row>
    <row r="2372" spans="1:18" x14ac:dyDescent="0.25">
      <c r="A2372" s="2" t="s">
        <v>1273</v>
      </c>
      <c r="B2372" s="6">
        <v>46174</v>
      </c>
      <c r="C2372" s="8">
        <v>46201</v>
      </c>
      <c r="D2372" s="2" t="s">
        <v>136</v>
      </c>
      <c r="E2372" s="2" t="s">
        <v>260</v>
      </c>
      <c r="F2372" s="2" t="s">
        <v>16703</v>
      </c>
      <c r="G2372" s="2" t="s">
        <v>1275</v>
      </c>
      <c r="H2372" s="2" t="s">
        <v>76</v>
      </c>
      <c r="I2372" s="9">
        <v>56152960</v>
      </c>
      <c r="J2372" s="7">
        <v>6.2500000000000001E-5</v>
      </c>
      <c r="K2372" s="9">
        <v>3509.56</v>
      </c>
      <c r="L2372" s="14">
        <v>0</v>
      </c>
      <c r="M2372" s="2" t="s">
        <v>71</v>
      </c>
      <c r="N2372" s="2" t="s">
        <v>16704</v>
      </c>
      <c r="O2372" s="2" t="s">
        <v>1274</v>
      </c>
      <c r="P2372" s="9">
        <v>1.93</v>
      </c>
      <c r="Q2372" s="9">
        <v>3509.56</v>
      </c>
      <c r="R2372" s="2" t="s">
        <v>16705</v>
      </c>
    </row>
    <row r="2373" spans="1:18" x14ac:dyDescent="0.25">
      <c r="A2373" s="2" t="s">
        <v>1276</v>
      </c>
      <c r="B2373" s="6">
        <v>46204</v>
      </c>
      <c r="C2373" s="8">
        <v>46226</v>
      </c>
      <c r="D2373" s="2" t="s">
        <v>136</v>
      </c>
      <c r="E2373" s="2" t="s">
        <v>260</v>
      </c>
      <c r="F2373" s="2" t="s">
        <v>16703</v>
      </c>
      <c r="G2373" s="2" t="s">
        <v>1277</v>
      </c>
      <c r="H2373" s="2" t="s">
        <v>76</v>
      </c>
      <c r="I2373" s="9">
        <v>84229440</v>
      </c>
      <c r="J2373" s="7">
        <v>6.2000000000000003E-5</v>
      </c>
      <c r="K2373" s="9">
        <v>5222.2299999999996</v>
      </c>
      <c r="L2373" s="14">
        <v>0</v>
      </c>
      <c r="M2373" s="2" t="s">
        <v>71</v>
      </c>
      <c r="N2373" s="2" t="s">
        <v>16706</v>
      </c>
      <c r="O2373" s="2" t="s">
        <v>1274</v>
      </c>
      <c r="P2373" s="9">
        <v>2.87</v>
      </c>
      <c r="Q2373" s="9">
        <v>5264.34</v>
      </c>
      <c r="R2373" s="2" t="s">
        <v>16707</v>
      </c>
    </row>
    <row r="2374" spans="1:18" x14ac:dyDescent="0.25">
      <c r="A2374" s="2" t="s">
        <v>1278</v>
      </c>
      <c r="B2374" s="6">
        <v>46174</v>
      </c>
      <c r="C2374" s="8">
        <v>46202</v>
      </c>
      <c r="D2374" s="2" t="s">
        <v>136</v>
      </c>
      <c r="E2374" s="2" t="s">
        <v>260</v>
      </c>
      <c r="F2374" s="2" t="s">
        <v>16703</v>
      </c>
      <c r="G2374" s="2" t="s">
        <v>1280</v>
      </c>
      <c r="H2374" s="2" t="s">
        <v>70</v>
      </c>
      <c r="I2374" s="9">
        <v>5381.6</v>
      </c>
      <c r="J2374" s="7">
        <v>0.66500000000000004</v>
      </c>
      <c r="K2374" s="9">
        <v>3578.76</v>
      </c>
      <c r="L2374" s="14">
        <v>0</v>
      </c>
      <c r="M2374" s="2" t="s">
        <v>71</v>
      </c>
      <c r="N2374" s="2" t="s">
        <v>16704</v>
      </c>
      <c r="O2374" s="2" t="s">
        <v>1279</v>
      </c>
      <c r="P2374" s="9">
        <v>1.97</v>
      </c>
      <c r="Q2374" s="9">
        <v>3578.76</v>
      </c>
      <c r="R2374" s="2" t="s">
        <v>16705</v>
      </c>
    </row>
    <row r="2375" spans="1:18" x14ac:dyDescent="0.25">
      <c r="A2375" s="2" t="s">
        <v>1281</v>
      </c>
      <c r="B2375" s="6">
        <v>46204</v>
      </c>
      <c r="C2375" s="8">
        <v>46227</v>
      </c>
      <c r="D2375" s="2" t="s">
        <v>136</v>
      </c>
      <c r="E2375" s="2" t="s">
        <v>260</v>
      </c>
      <c r="F2375" s="2" t="s">
        <v>16703</v>
      </c>
      <c r="G2375" s="2" t="s">
        <v>1282</v>
      </c>
      <c r="H2375" s="2" t="s">
        <v>70</v>
      </c>
      <c r="I2375" s="9">
        <v>8072.4</v>
      </c>
      <c r="J2375" s="7">
        <v>0.65800000000000003</v>
      </c>
      <c r="K2375" s="9">
        <v>5311.64</v>
      </c>
      <c r="L2375" s="14">
        <v>0</v>
      </c>
      <c r="M2375" s="2" t="s">
        <v>71</v>
      </c>
      <c r="N2375" s="2" t="s">
        <v>16706</v>
      </c>
      <c r="O2375" s="2" t="s">
        <v>1279</v>
      </c>
      <c r="P2375" s="9">
        <v>2.92</v>
      </c>
      <c r="Q2375" s="9">
        <v>5368.15</v>
      </c>
      <c r="R2375" s="2" t="s">
        <v>16707</v>
      </c>
    </row>
    <row r="2376" spans="1:18" x14ac:dyDescent="0.25">
      <c r="A2376" s="2" t="s">
        <v>1283</v>
      </c>
      <c r="B2376" s="6">
        <v>46204</v>
      </c>
      <c r="C2376" s="8">
        <v>46213</v>
      </c>
      <c r="D2376" s="2" t="s">
        <v>136</v>
      </c>
      <c r="E2376" s="2" t="s">
        <v>260</v>
      </c>
      <c r="F2376" s="2" t="s">
        <v>16703</v>
      </c>
      <c r="G2376" s="2" t="s">
        <v>1285</v>
      </c>
      <c r="H2376" s="2" t="s">
        <v>39</v>
      </c>
      <c r="I2376" s="9">
        <v>9119.92</v>
      </c>
      <c r="J2376" s="7">
        <v>1</v>
      </c>
      <c r="K2376" s="9">
        <v>9119.92</v>
      </c>
      <c r="L2376" s="14">
        <v>0</v>
      </c>
      <c r="M2376" s="2" t="s">
        <v>71</v>
      </c>
      <c r="N2376" s="2" t="s">
        <v>16706</v>
      </c>
      <c r="O2376" s="2" t="s">
        <v>1284</v>
      </c>
      <c r="P2376" s="9">
        <v>5.0199999999999996</v>
      </c>
      <c r="Q2376" s="9">
        <v>9119.92</v>
      </c>
      <c r="R2376" s="2" t="s">
        <v>16707</v>
      </c>
    </row>
    <row r="2377" spans="1:18" x14ac:dyDescent="0.25">
      <c r="A2377" s="2" t="s">
        <v>1286</v>
      </c>
      <c r="B2377" s="6">
        <v>46204</v>
      </c>
      <c r="C2377" s="8">
        <v>46214</v>
      </c>
      <c r="D2377" s="2" t="s">
        <v>136</v>
      </c>
      <c r="E2377" s="2" t="s">
        <v>260</v>
      </c>
      <c r="F2377" s="2" t="s">
        <v>16703</v>
      </c>
      <c r="G2377" s="2" t="s">
        <v>1288</v>
      </c>
      <c r="H2377" s="2" t="s">
        <v>76</v>
      </c>
      <c r="I2377" s="9">
        <v>-148686880</v>
      </c>
      <c r="J2377" s="7">
        <v>6.2000000000000003E-5</v>
      </c>
      <c r="K2377" s="9">
        <v>-9218.59</v>
      </c>
      <c r="L2377" s="14">
        <v>0</v>
      </c>
      <c r="M2377" s="2" t="s">
        <v>71</v>
      </c>
      <c r="N2377" s="2" t="s">
        <v>16706</v>
      </c>
      <c r="O2377" s="2" t="s">
        <v>1287</v>
      </c>
      <c r="P2377" s="9">
        <v>0</v>
      </c>
      <c r="Q2377" s="9">
        <v>-9292.93</v>
      </c>
      <c r="R2377" s="2" t="s">
        <v>16707</v>
      </c>
    </row>
    <row r="2378" spans="1:18" x14ac:dyDescent="0.25">
      <c r="A2378" s="2" t="s">
        <v>1289</v>
      </c>
      <c r="B2378" s="6">
        <v>46204</v>
      </c>
      <c r="C2378" s="8">
        <v>46205</v>
      </c>
      <c r="D2378" s="2" t="s">
        <v>136</v>
      </c>
      <c r="E2378" s="2" t="s">
        <v>260</v>
      </c>
      <c r="F2378" s="2" t="s">
        <v>16703</v>
      </c>
      <c r="G2378" s="2" t="s">
        <v>1291</v>
      </c>
      <c r="H2378" s="2" t="s">
        <v>70</v>
      </c>
      <c r="I2378" s="9">
        <v>5693.7984960000003</v>
      </c>
      <c r="J2378" s="7">
        <v>0.65800000000000003</v>
      </c>
      <c r="K2378" s="9">
        <v>3746.52</v>
      </c>
      <c r="L2378" s="14">
        <v>0</v>
      </c>
      <c r="M2378" s="2" t="s">
        <v>71</v>
      </c>
      <c r="N2378" s="2" t="s">
        <v>16706</v>
      </c>
      <c r="O2378" s="2" t="s">
        <v>1290</v>
      </c>
      <c r="P2378" s="9">
        <v>2.06</v>
      </c>
      <c r="Q2378" s="9">
        <v>3786.38</v>
      </c>
      <c r="R2378" s="2" t="s">
        <v>16707</v>
      </c>
    </row>
    <row r="2379" spans="1:18" x14ac:dyDescent="0.25">
      <c r="A2379" s="2" t="s">
        <v>1292</v>
      </c>
      <c r="B2379" s="6">
        <v>46204</v>
      </c>
      <c r="C2379" s="8">
        <v>46230</v>
      </c>
      <c r="D2379" s="2" t="s">
        <v>136</v>
      </c>
      <c r="E2379" s="2" t="s">
        <v>260</v>
      </c>
      <c r="F2379" s="2" t="s">
        <v>16703</v>
      </c>
      <c r="G2379" s="2" t="s">
        <v>1293</v>
      </c>
      <c r="H2379" s="2" t="s">
        <v>70</v>
      </c>
      <c r="I2379" s="9">
        <v>8540.6977449999995</v>
      </c>
      <c r="J2379" s="7">
        <v>0.65800000000000003</v>
      </c>
      <c r="K2379" s="9">
        <v>5619.78</v>
      </c>
      <c r="L2379" s="14">
        <v>0</v>
      </c>
      <c r="M2379" s="2" t="s">
        <v>71</v>
      </c>
      <c r="N2379" s="2" t="s">
        <v>16706</v>
      </c>
      <c r="O2379" s="2" t="s">
        <v>1290</v>
      </c>
      <c r="P2379" s="9">
        <v>3.09</v>
      </c>
      <c r="Q2379" s="9">
        <v>5679.56</v>
      </c>
      <c r="R2379" s="2" t="s">
        <v>16707</v>
      </c>
    </row>
    <row r="2380" spans="1:18" x14ac:dyDescent="0.25">
      <c r="A2380" s="2" t="s">
        <v>1294</v>
      </c>
      <c r="B2380" s="6">
        <v>46204</v>
      </c>
      <c r="C2380" s="8">
        <v>46216</v>
      </c>
      <c r="D2380" s="2" t="s">
        <v>136</v>
      </c>
      <c r="E2380" s="2" t="s">
        <v>260</v>
      </c>
      <c r="F2380" s="2" t="s">
        <v>16703</v>
      </c>
      <c r="G2380" s="2" t="s">
        <v>1296</v>
      </c>
      <c r="H2380" s="2" t="s">
        <v>39</v>
      </c>
      <c r="I2380" s="9">
        <v>9638.9500000000007</v>
      </c>
      <c r="J2380" s="7">
        <v>1</v>
      </c>
      <c r="K2380" s="9">
        <v>9638.9500000000007</v>
      </c>
      <c r="L2380" s="14">
        <v>0</v>
      </c>
      <c r="M2380" s="2" t="s">
        <v>71</v>
      </c>
      <c r="N2380" s="2" t="s">
        <v>16706</v>
      </c>
      <c r="O2380" s="2" t="s">
        <v>1295</v>
      </c>
      <c r="P2380" s="9">
        <v>5.3</v>
      </c>
      <c r="Q2380" s="9">
        <v>9638.9500000000007</v>
      </c>
      <c r="R2380" s="2" t="s">
        <v>16707</v>
      </c>
    </row>
    <row r="2381" spans="1:18" x14ac:dyDescent="0.25">
      <c r="A2381" s="2" t="s">
        <v>1297</v>
      </c>
      <c r="B2381" s="6">
        <v>46204</v>
      </c>
      <c r="C2381" s="8">
        <v>46217</v>
      </c>
      <c r="D2381" s="2" t="s">
        <v>136</v>
      </c>
      <c r="E2381" s="2" t="s">
        <v>260</v>
      </c>
      <c r="F2381" s="2" t="s">
        <v>16703</v>
      </c>
      <c r="G2381" s="2" t="s">
        <v>1299</v>
      </c>
      <c r="H2381" s="2" t="s">
        <v>76</v>
      </c>
      <c r="I2381" s="9">
        <v>156991360</v>
      </c>
      <c r="J2381" s="7">
        <v>6.2000000000000003E-5</v>
      </c>
      <c r="K2381" s="9">
        <v>9733.4599999999991</v>
      </c>
      <c r="L2381" s="14">
        <v>0</v>
      </c>
      <c r="M2381" s="2" t="s">
        <v>71</v>
      </c>
      <c r="N2381" s="2" t="s">
        <v>16706</v>
      </c>
      <c r="O2381" s="2" t="s">
        <v>1298</v>
      </c>
      <c r="P2381" s="9">
        <v>5.35</v>
      </c>
      <c r="Q2381" s="9">
        <v>9811.9599999999991</v>
      </c>
      <c r="R2381" s="2" t="s">
        <v>16707</v>
      </c>
    </row>
    <row r="2382" spans="1:18" x14ac:dyDescent="0.25">
      <c r="A2382" s="2" t="s">
        <v>1300</v>
      </c>
      <c r="B2382" s="6">
        <v>46204</v>
      </c>
      <c r="C2382" s="8">
        <v>46218</v>
      </c>
      <c r="D2382" s="2" t="s">
        <v>136</v>
      </c>
      <c r="E2382" s="2" t="s">
        <v>260</v>
      </c>
      <c r="F2382" s="2" t="s">
        <v>16703</v>
      </c>
      <c r="G2382" s="2" t="s">
        <v>1302</v>
      </c>
      <c r="H2382" s="2" t="s">
        <v>70</v>
      </c>
      <c r="I2382" s="9">
        <v>15013.533835</v>
      </c>
      <c r="J2382" s="7">
        <v>0.65800000000000003</v>
      </c>
      <c r="K2382" s="9">
        <v>9878.91</v>
      </c>
      <c r="L2382" s="14">
        <v>0</v>
      </c>
      <c r="M2382" s="2" t="s">
        <v>71</v>
      </c>
      <c r="N2382" s="2" t="s">
        <v>16706</v>
      </c>
      <c r="O2382" s="2" t="s">
        <v>1301</v>
      </c>
      <c r="P2382" s="9">
        <v>5.43</v>
      </c>
      <c r="Q2382" s="9">
        <v>9984</v>
      </c>
      <c r="R2382" s="2" t="s">
        <v>16707</v>
      </c>
    </row>
    <row r="2383" spans="1:18" x14ac:dyDescent="0.25">
      <c r="A2383" s="2" t="s">
        <v>1303</v>
      </c>
      <c r="B2383" s="6">
        <v>46204</v>
      </c>
      <c r="C2383" s="8">
        <v>46219</v>
      </c>
      <c r="D2383" s="2" t="s">
        <v>136</v>
      </c>
      <c r="E2383" s="2" t="s">
        <v>260</v>
      </c>
      <c r="F2383" s="2" t="s">
        <v>16703</v>
      </c>
      <c r="G2383" s="2" t="s">
        <v>1305</v>
      </c>
      <c r="H2383" s="2" t="s">
        <v>39</v>
      </c>
      <c r="I2383" s="9">
        <v>10157.01</v>
      </c>
      <c r="J2383" s="7">
        <v>1</v>
      </c>
      <c r="K2383" s="9">
        <v>10157.01</v>
      </c>
      <c r="L2383" s="14">
        <v>0</v>
      </c>
      <c r="M2383" s="2" t="s">
        <v>71</v>
      </c>
      <c r="N2383" s="2" t="s">
        <v>16706</v>
      </c>
      <c r="O2383" s="2" t="s">
        <v>1304</v>
      </c>
      <c r="P2383" s="9">
        <v>5.59</v>
      </c>
      <c r="Q2383" s="9">
        <v>10157.01</v>
      </c>
      <c r="R2383" s="2" t="s">
        <v>16707</v>
      </c>
    </row>
    <row r="2384" spans="1:18" x14ac:dyDescent="0.25">
      <c r="A2384" s="2" t="s">
        <v>1306</v>
      </c>
      <c r="B2384" s="6">
        <v>46204</v>
      </c>
      <c r="C2384" s="8">
        <v>46220</v>
      </c>
      <c r="D2384" s="2" t="s">
        <v>136</v>
      </c>
      <c r="E2384" s="2" t="s">
        <v>260</v>
      </c>
      <c r="F2384" s="2" t="s">
        <v>16703</v>
      </c>
      <c r="G2384" s="2" t="s">
        <v>1308</v>
      </c>
      <c r="H2384" s="2" t="s">
        <v>76</v>
      </c>
      <c r="I2384" s="9">
        <v>165280320</v>
      </c>
      <c r="J2384" s="7">
        <v>6.2000000000000003E-5</v>
      </c>
      <c r="K2384" s="9">
        <v>10247.379999999999</v>
      </c>
      <c r="L2384" s="14">
        <v>0</v>
      </c>
      <c r="M2384" s="2" t="s">
        <v>71</v>
      </c>
      <c r="N2384" s="2" t="s">
        <v>16706</v>
      </c>
      <c r="O2384" s="2" t="s">
        <v>1307</v>
      </c>
      <c r="P2384" s="9">
        <v>5.64</v>
      </c>
      <c r="Q2384" s="9">
        <v>10330.02</v>
      </c>
      <c r="R2384" s="2" t="s">
        <v>16707</v>
      </c>
    </row>
    <row r="2385" spans="1:18" x14ac:dyDescent="0.25">
      <c r="A2385" s="2" t="s">
        <v>1309</v>
      </c>
      <c r="B2385" s="6">
        <v>46204</v>
      </c>
      <c r="C2385" s="8">
        <v>46211</v>
      </c>
      <c r="D2385" s="2" t="s">
        <v>136</v>
      </c>
      <c r="E2385" s="2" t="s">
        <v>260</v>
      </c>
      <c r="F2385" s="2" t="s">
        <v>16703</v>
      </c>
      <c r="G2385" s="2" t="s">
        <v>1311</v>
      </c>
      <c r="H2385" s="2" t="s">
        <v>70</v>
      </c>
      <c r="I2385" s="9">
        <v>6317.6120300000002</v>
      </c>
      <c r="J2385" s="7">
        <v>0.65800000000000003</v>
      </c>
      <c r="K2385" s="9">
        <v>4156.99</v>
      </c>
      <c r="L2385" s="14">
        <v>0</v>
      </c>
      <c r="M2385" s="2" t="s">
        <v>71</v>
      </c>
      <c r="N2385" s="2" t="s">
        <v>16706</v>
      </c>
      <c r="O2385" s="2" t="s">
        <v>1310</v>
      </c>
      <c r="P2385" s="9">
        <v>2.29</v>
      </c>
      <c r="Q2385" s="9">
        <v>4201.21</v>
      </c>
      <c r="R2385" s="2" t="s">
        <v>16707</v>
      </c>
    </row>
    <row r="2386" spans="1:18" x14ac:dyDescent="0.25">
      <c r="A2386" s="2" t="s">
        <v>1314</v>
      </c>
      <c r="B2386" s="6">
        <v>46204</v>
      </c>
      <c r="C2386" s="8">
        <v>46212</v>
      </c>
      <c r="D2386" s="2" t="s">
        <v>136</v>
      </c>
      <c r="E2386" s="2" t="s">
        <v>260</v>
      </c>
      <c r="F2386" s="2" t="s">
        <v>16703</v>
      </c>
      <c r="G2386" s="2" t="s">
        <v>1316</v>
      </c>
      <c r="H2386" s="2" t="s">
        <v>39</v>
      </c>
      <c r="I2386" s="9">
        <v>4270.4160000000002</v>
      </c>
      <c r="J2386" s="7">
        <v>1</v>
      </c>
      <c r="K2386" s="9">
        <v>4270.42</v>
      </c>
      <c r="L2386" s="14">
        <v>0</v>
      </c>
      <c r="M2386" s="2" t="s">
        <v>71</v>
      </c>
      <c r="N2386" s="2" t="s">
        <v>16706</v>
      </c>
      <c r="O2386" s="2" t="s">
        <v>1315</v>
      </c>
      <c r="P2386" s="9">
        <v>2.35</v>
      </c>
      <c r="Q2386" s="9">
        <v>4270.42</v>
      </c>
      <c r="R2386" s="2" t="s">
        <v>16707</v>
      </c>
    </row>
    <row r="2387" spans="1:18" x14ac:dyDescent="0.25">
      <c r="A2387" s="2" t="s">
        <v>1319</v>
      </c>
      <c r="B2387" s="6">
        <v>46204</v>
      </c>
      <c r="C2387" s="8">
        <v>46223</v>
      </c>
      <c r="D2387" s="2" t="s">
        <v>136</v>
      </c>
      <c r="E2387" s="2" t="s">
        <v>260</v>
      </c>
      <c r="F2387" s="2" t="s">
        <v>16703</v>
      </c>
      <c r="G2387" s="2" t="s">
        <v>1321</v>
      </c>
      <c r="H2387" s="2" t="s">
        <v>76</v>
      </c>
      <c r="I2387" s="9">
        <v>173584800</v>
      </c>
      <c r="J2387" s="7">
        <v>6.2000000000000003E-5</v>
      </c>
      <c r="K2387" s="9">
        <v>10762.26</v>
      </c>
      <c r="L2387" s="14">
        <v>0</v>
      </c>
      <c r="M2387" s="2" t="s">
        <v>71</v>
      </c>
      <c r="N2387" s="2" t="s">
        <v>16706</v>
      </c>
      <c r="O2387" s="2" t="s">
        <v>1320</v>
      </c>
      <c r="P2387" s="9">
        <v>5.92</v>
      </c>
      <c r="Q2387" s="9">
        <v>10849.05</v>
      </c>
      <c r="R2387" s="2" t="s">
        <v>16707</v>
      </c>
    </row>
    <row r="2388" spans="1:18" x14ac:dyDescent="0.25">
      <c r="A2388" s="2" t="s">
        <v>1322</v>
      </c>
      <c r="B2388" s="6">
        <v>46204</v>
      </c>
      <c r="C2388" s="8">
        <v>46224</v>
      </c>
      <c r="D2388" s="2" t="s">
        <v>136</v>
      </c>
      <c r="E2388" s="2" t="s">
        <v>260</v>
      </c>
      <c r="F2388" s="2" t="s">
        <v>16703</v>
      </c>
      <c r="G2388" s="2" t="s">
        <v>1324</v>
      </c>
      <c r="H2388" s="2" t="s">
        <v>70</v>
      </c>
      <c r="I2388" s="9">
        <v>16574.526315999999</v>
      </c>
      <c r="J2388" s="7">
        <v>0.65800000000000003</v>
      </c>
      <c r="K2388" s="9">
        <v>10906.04</v>
      </c>
      <c r="L2388" s="14">
        <v>0</v>
      </c>
      <c r="M2388" s="2" t="s">
        <v>71</v>
      </c>
      <c r="N2388" s="2" t="s">
        <v>16706</v>
      </c>
      <c r="O2388" s="2" t="s">
        <v>1323</v>
      </c>
      <c r="P2388" s="9">
        <v>6</v>
      </c>
      <c r="Q2388" s="9">
        <v>11022.06</v>
      </c>
      <c r="R2388" s="2" t="s">
        <v>16707</v>
      </c>
    </row>
    <row r="2389" spans="1:18" x14ac:dyDescent="0.25">
      <c r="A2389" s="2" t="s">
        <v>1325</v>
      </c>
      <c r="B2389" s="6">
        <v>46204</v>
      </c>
      <c r="C2389" s="8">
        <v>46215</v>
      </c>
      <c r="D2389" s="2" t="s">
        <v>136</v>
      </c>
      <c r="E2389" s="2" t="s">
        <v>260</v>
      </c>
      <c r="F2389" s="2" t="s">
        <v>16703</v>
      </c>
      <c r="G2389" s="2" t="s">
        <v>1327</v>
      </c>
      <c r="H2389" s="2" t="s">
        <v>39</v>
      </c>
      <c r="I2389" s="9">
        <v>4478.0280000000002</v>
      </c>
      <c r="J2389" s="7">
        <v>1</v>
      </c>
      <c r="K2389" s="9">
        <v>4478.03</v>
      </c>
      <c r="L2389" s="14">
        <v>0</v>
      </c>
      <c r="M2389" s="2" t="s">
        <v>71</v>
      </c>
      <c r="N2389" s="2" t="s">
        <v>16706</v>
      </c>
      <c r="O2389" s="2" t="s">
        <v>1326</v>
      </c>
      <c r="P2389" s="9">
        <v>2.46</v>
      </c>
      <c r="Q2389" s="9">
        <v>4478.03</v>
      </c>
      <c r="R2389" s="2" t="s">
        <v>16707</v>
      </c>
    </row>
    <row r="2390" spans="1:18" x14ac:dyDescent="0.25">
      <c r="A2390" s="2" t="s">
        <v>1330</v>
      </c>
      <c r="B2390" s="6">
        <v>46204</v>
      </c>
      <c r="C2390" s="8">
        <v>46226</v>
      </c>
      <c r="D2390" s="2" t="s">
        <v>136</v>
      </c>
      <c r="E2390" s="2" t="s">
        <v>260</v>
      </c>
      <c r="F2390" s="2" t="s">
        <v>16703</v>
      </c>
      <c r="G2390" s="2" t="s">
        <v>1332</v>
      </c>
      <c r="H2390" s="2" t="s">
        <v>76</v>
      </c>
      <c r="I2390" s="9">
        <v>181889280</v>
      </c>
      <c r="J2390" s="7">
        <v>6.2000000000000003E-5</v>
      </c>
      <c r="K2390" s="9">
        <v>11277.14</v>
      </c>
      <c r="L2390" s="14">
        <v>0</v>
      </c>
      <c r="M2390" s="2" t="s">
        <v>71</v>
      </c>
      <c r="N2390" s="2" t="s">
        <v>16706</v>
      </c>
      <c r="O2390" s="2" t="s">
        <v>1331</v>
      </c>
      <c r="P2390" s="9">
        <v>6.2</v>
      </c>
      <c r="Q2390" s="9">
        <v>11368.08</v>
      </c>
      <c r="R2390" s="2" t="s">
        <v>16707</v>
      </c>
    </row>
    <row r="2391" spans="1:18" x14ac:dyDescent="0.25">
      <c r="A2391" s="2" t="s">
        <v>1333</v>
      </c>
      <c r="B2391" s="6">
        <v>46204</v>
      </c>
      <c r="C2391" s="8">
        <v>46227</v>
      </c>
      <c r="D2391" s="2" t="s">
        <v>136</v>
      </c>
      <c r="E2391" s="2" t="s">
        <v>260</v>
      </c>
      <c r="F2391" s="2" t="s">
        <v>16703</v>
      </c>
      <c r="G2391" s="2" t="s">
        <v>1335</v>
      </c>
      <c r="H2391" s="2" t="s">
        <v>70</v>
      </c>
      <c r="I2391" s="9">
        <v>17355.022556</v>
      </c>
      <c r="J2391" s="7">
        <v>0.65800000000000003</v>
      </c>
      <c r="K2391" s="9">
        <v>11419.6</v>
      </c>
      <c r="L2391" s="14">
        <v>0</v>
      </c>
      <c r="M2391" s="2" t="s">
        <v>71</v>
      </c>
      <c r="N2391" s="2" t="s">
        <v>16706</v>
      </c>
      <c r="O2391" s="2" t="s">
        <v>1334</v>
      </c>
      <c r="P2391" s="9">
        <v>6.28</v>
      </c>
      <c r="Q2391" s="9">
        <v>11541.09</v>
      </c>
      <c r="R2391" s="2" t="s">
        <v>16707</v>
      </c>
    </row>
    <row r="2392" spans="1:18" x14ac:dyDescent="0.25">
      <c r="A2392" s="2" t="s">
        <v>1336</v>
      </c>
      <c r="B2392" s="6">
        <v>46174</v>
      </c>
      <c r="C2392" s="8">
        <v>46198</v>
      </c>
      <c r="D2392" s="2" t="s">
        <v>136</v>
      </c>
      <c r="E2392" s="2" t="s">
        <v>260</v>
      </c>
      <c r="F2392" s="2" t="s">
        <v>16703</v>
      </c>
      <c r="G2392" s="2" t="s">
        <v>1338</v>
      </c>
      <c r="H2392" s="2" t="s">
        <v>39</v>
      </c>
      <c r="I2392" s="9">
        <v>11714.1</v>
      </c>
      <c r="J2392" s="7">
        <v>1</v>
      </c>
      <c r="K2392" s="9">
        <v>11714.1</v>
      </c>
      <c r="L2392" s="14">
        <v>0</v>
      </c>
      <c r="M2392" s="2" t="s">
        <v>71</v>
      </c>
      <c r="N2392" s="2" t="s">
        <v>16704</v>
      </c>
      <c r="O2392" s="2" t="s">
        <v>1337</v>
      </c>
      <c r="P2392" s="9">
        <v>6.44</v>
      </c>
      <c r="Q2392" s="9">
        <v>11714.1</v>
      </c>
      <c r="R2392" s="2" t="s">
        <v>16705</v>
      </c>
    </row>
    <row r="2393" spans="1:18" x14ac:dyDescent="0.25">
      <c r="A2393" s="2" t="s">
        <v>1339</v>
      </c>
      <c r="B2393" s="6">
        <v>46174</v>
      </c>
      <c r="C2393" s="8">
        <v>46199</v>
      </c>
      <c r="D2393" s="2" t="s">
        <v>136</v>
      </c>
      <c r="E2393" s="2" t="s">
        <v>260</v>
      </c>
      <c r="F2393" s="2" t="s">
        <v>16703</v>
      </c>
      <c r="G2393" s="2" t="s">
        <v>1341</v>
      </c>
      <c r="H2393" s="2" t="s">
        <v>76</v>
      </c>
      <c r="I2393" s="9">
        <v>190193760</v>
      </c>
      <c r="J2393" s="7">
        <v>6.2500000000000001E-5</v>
      </c>
      <c r="K2393" s="9">
        <v>11887.11</v>
      </c>
      <c r="L2393" s="14">
        <v>0</v>
      </c>
      <c r="M2393" s="2" t="s">
        <v>71</v>
      </c>
      <c r="N2393" s="2" t="s">
        <v>16704</v>
      </c>
      <c r="O2393" s="2" t="s">
        <v>1340</v>
      </c>
      <c r="P2393" s="9">
        <v>6.54</v>
      </c>
      <c r="Q2393" s="9">
        <v>11887.11</v>
      </c>
      <c r="R2393" s="2" t="s">
        <v>16705</v>
      </c>
    </row>
    <row r="2394" spans="1:18" x14ac:dyDescent="0.25">
      <c r="A2394" s="2" t="s">
        <v>1342</v>
      </c>
      <c r="B2394" s="6">
        <v>46174</v>
      </c>
      <c r="C2394" s="8">
        <v>46200</v>
      </c>
      <c r="D2394" s="2" t="s">
        <v>136</v>
      </c>
      <c r="E2394" s="2" t="s">
        <v>260</v>
      </c>
      <c r="F2394" s="2" t="s">
        <v>16703</v>
      </c>
      <c r="G2394" s="2" t="s">
        <v>1344</v>
      </c>
      <c r="H2394" s="2" t="s">
        <v>70</v>
      </c>
      <c r="I2394" s="9">
        <v>18135.518797000001</v>
      </c>
      <c r="J2394" s="7">
        <v>0.66500000000000004</v>
      </c>
      <c r="K2394" s="9">
        <v>12060.12</v>
      </c>
      <c r="L2394" s="14">
        <v>0</v>
      </c>
      <c r="M2394" s="2" t="s">
        <v>71</v>
      </c>
      <c r="N2394" s="2" t="s">
        <v>16704</v>
      </c>
      <c r="O2394" s="2" t="s">
        <v>1343</v>
      </c>
      <c r="P2394" s="9">
        <v>6.63</v>
      </c>
      <c r="Q2394" s="9">
        <v>12060.12</v>
      </c>
      <c r="R2394" s="2" t="s">
        <v>16705</v>
      </c>
    </row>
    <row r="2395" spans="1:18" x14ac:dyDescent="0.25">
      <c r="A2395" s="2" t="s">
        <v>1345</v>
      </c>
      <c r="B2395" s="6">
        <v>46174</v>
      </c>
      <c r="C2395" s="8">
        <v>46191</v>
      </c>
      <c r="D2395" s="2" t="s">
        <v>136</v>
      </c>
      <c r="E2395" s="2" t="s">
        <v>260</v>
      </c>
      <c r="F2395" s="2" t="s">
        <v>16703</v>
      </c>
      <c r="G2395" s="2" t="s">
        <v>1347</v>
      </c>
      <c r="H2395" s="2" t="s">
        <v>39</v>
      </c>
      <c r="I2395" s="9">
        <v>4893.2520000000004</v>
      </c>
      <c r="J2395" s="7">
        <v>1</v>
      </c>
      <c r="K2395" s="9">
        <v>4893.25</v>
      </c>
      <c r="L2395" s="14">
        <v>0</v>
      </c>
      <c r="M2395" s="2" t="s">
        <v>71</v>
      </c>
      <c r="N2395" s="2" t="s">
        <v>16704</v>
      </c>
      <c r="O2395" s="2" t="s">
        <v>1346</v>
      </c>
      <c r="P2395" s="9">
        <v>2.69</v>
      </c>
      <c r="Q2395" s="9">
        <v>4893.25</v>
      </c>
      <c r="R2395" s="2" t="s">
        <v>16705</v>
      </c>
    </row>
    <row r="2396" spans="1:18" x14ac:dyDescent="0.25">
      <c r="A2396" s="2" t="s">
        <v>1348</v>
      </c>
      <c r="B2396" s="6">
        <v>46204</v>
      </c>
      <c r="C2396" s="8">
        <v>46216</v>
      </c>
      <c r="D2396" s="2" t="s">
        <v>136</v>
      </c>
      <c r="E2396" s="2" t="s">
        <v>260</v>
      </c>
      <c r="F2396" s="2" t="s">
        <v>16703</v>
      </c>
      <c r="G2396" s="2" t="s">
        <v>1349</v>
      </c>
      <c r="H2396" s="2" t="s">
        <v>39</v>
      </c>
      <c r="I2396" s="9">
        <v>7339.8779999999997</v>
      </c>
      <c r="J2396" s="7">
        <v>1</v>
      </c>
      <c r="K2396" s="9">
        <v>7339.88</v>
      </c>
      <c r="L2396" s="14">
        <v>0</v>
      </c>
      <c r="M2396" s="2" t="s">
        <v>71</v>
      </c>
      <c r="N2396" s="2" t="s">
        <v>16706</v>
      </c>
      <c r="O2396" s="2" t="s">
        <v>1346</v>
      </c>
      <c r="P2396" s="9">
        <v>4.04</v>
      </c>
      <c r="Q2396" s="9">
        <v>7339.88</v>
      </c>
      <c r="R2396" s="2" t="s">
        <v>16707</v>
      </c>
    </row>
    <row r="2397" spans="1:18" x14ac:dyDescent="0.25">
      <c r="A2397" s="2" t="s">
        <v>1350</v>
      </c>
      <c r="B2397" s="6">
        <v>46174</v>
      </c>
      <c r="C2397" s="8">
        <v>46192</v>
      </c>
      <c r="D2397" s="2" t="s">
        <v>136</v>
      </c>
      <c r="E2397" s="2" t="s">
        <v>260</v>
      </c>
      <c r="F2397" s="2" t="s">
        <v>16703</v>
      </c>
      <c r="G2397" s="2" t="s">
        <v>1352</v>
      </c>
      <c r="H2397" s="2" t="s">
        <v>76</v>
      </c>
      <c r="I2397" s="9">
        <v>79399296</v>
      </c>
      <c r="J2397" s="7">
        <v>6.2500000000000001E-5</v>
      </c>
      <c r="K2397" s="9">
        <v>4962.46</v>
      </c>
      <c r="L2397" s="14">
        <v>0</v>
      </c>
      <c r="M2397" s="2" t="s">
        <v>71</v>
      </c>
      <c r="N2397" s="2" t="s">
        <v>16704</v>
      </c>
      <c r="O2397" s="2" t="s">
        <v>1351</v>
      </c>
      <c r="P2397" s="9">
        <v>2.73</v>
      </c>
      <c r="Q2397" s="9">
        <v>4962.46</v>
      </c>
      <c r="R2397" s="2" t="s">
        <v>16705</v>
      </c>
    </row>
    <row r="2398" spans="1:18" x14ac:dyDescent="0.25">
      <c r="A2398" s="2" t="s">
        <v>1353</v>
      </c>
      <c r="B2398" s="6">
        <v>46204</v>
      </c>
      <c r="C2398" s="8">
        <v>46217</v>
      </c>
      <c r="D2398" s="2" t="s">
        <v>136</v>
      </c>
      <c r="E2398" s="2" t="s">
        <v>260</v>
      </c>
      <c r="F2398" s="2" t="s">
        <v>16703</v>
      </c>
      <c r="G2398" s="2" t="s">
        <v>1354</v>
      </c>
      <c r="H2398" s="2" t="s">
        <v>76</v>
      </c>
      <c r="I2398" s="9">
        <v>119098944</v>
      </c>
      <c r="J2398" s="7">
        <v>6.2000000000000003E-5</v>
      </c>
      <c r="K2398" s="9">
        <v>7384.13</v>
      </c>
      <c r="L2398" s="14">
        <v>0</v>
      </c>
      <c r="M2398" s="2" t="s">
        <v>71</v>
      </c>
      <c r="N2398" s="2" t="s">
        <v>16706</v>
      </c>
      <c r="O2398" s="2" t="s">
        <v>1351</v>
      </c>
      <c r="P2398" s="9">
        <v>4.0599999999999996</v>
      </c>
      <c r="Q2398" s="9">
        <v>7443.68</v>
      </c>
      <c r="R2398" s="2" t="s">
        <v>16707</v>
      </c>
    </row>
    <row r="2399" spans="1:18" x14ac:dyDescent="0.25">
      <c r="A2399" s="2" t="s">
        <v>1355</v>
      </c>
      <c r="B2399" s="6">
        <v>46174</v>
      </c>
      <c r="C2399" s="8">
        <v>46203</v>
      </c>
      <c r="D2399" s="2" t="s">
        <v>136</v>
      </c>
      <c r="E2399" s="2" t="s">
        <v>260</v>
      </c>
      <c r="F2399" s="2" t="s">
        <v>16703</v>
      </c>
      <c r="G2399" s="2" t="s">
        <v>1357</v>
      </c>
      <c r="H2399" s="2" t="s">
        <v>70</v>
      </c>
      <c r="I2399" s="9">
        <v>18916.015038000001</v>
      </c>
      <c r="J2399" s="7">
        <v>0.66500000000000004</v>
      </c>
      <c r="K2399" s="9">
        <v>12579.15</v>
      </c>
      <c r="L2399" s="14">
        <v>0</v>
      </c>
      <c r="M2399" s="2" t="s">
        <v>71</v>
      </c>
      <c r="N2399" s="2" t="s">
        <v>16704</v>
      </c>
      <c r="O2399" s="2" t="s">
        <v>1356</v>
      </c>
      <c r="P2399" s="9">
        <v>6.92</v>
      </c>
      <c r="Q2399" s="9">
        <v>12579.15</v>
      </c>
      <c r="R2399" s="2" t="s">
        <v>16705</v>
      </c>
    </row>
    <row r="2400" spans="1:18" x14ac:dyDescent="0.25">
      <c r="A2400" s="2" t="s">
        <v>1358</v>
      </c>
      <c r="B2400" s="6">
        <v>46204</v>
      </c>
      <c r="C2400" s="8">
        <v>46204</v>
      </c>
      <c r="D2400" s="2" t="s">
        <v>136</v>
      </c>
      <c r="E2400" s="2" t="s">
        <v>260</v>
      </c>
      <c r="F2400" s="2" t="s">
        <v>16703</v>
      </c>
      <c r="G2400" s="2" t="s">
        <v>1360</v>
      </c>
      <c r="H2400" s="2" t="s">
        <v>39</v>
      </c>
      <c r="I2400" s="9">
        <v>12752.16</v>
      </c>
      <c r="J2400" s="7">
        <v>1</v>
      </c>
      <c r="K2400" s="9">
        <v>12752.16</v>
      </c>
      <c r="L2400" s="14">
        <v>0</v>
      </c>
      <c r="M2400" s="2" t="s">
        <v>71</v>
      </c>
      <c r="N2400" s="2" t="s">
        <v>16706</v>
      </c>
      <c r="O2400" s="2" t="s">
        <v>1359</v>
      </c>
      <c r="P2400" s="9">
        <v>7.01</v>
      </c>
      <c r="Q2400" s="9">
        <v>12752.16</v>
      </c>
      <c r="R2400" s="2" t="s">
        <v>16707</v>
      </c>
    </row>
    <row r="2401" spans="1:18" x14ac:dyDescent="0.25">
      <c r="A2401" s="2" t="s">
        <v>1361</v>
      </c>
      <c r="B2401" s="6">
        <v>46174</v>
      </c>
      <c r="C2401" s="8">
        <v>46195</v>
      </c>
      <c r="D2401" s="2" t="s">
        <v>136</v>
      </c>
      <c r="E2401" s="2" t="s">
        <v>260</v>
      </c>
      <c r="F2401" s="2" t="s">
        <v>16703</v>
      </c>
      <c r="G2401" s="2" t="s">
        <v>1363</v>
      </c>
      <c r="H2401" s="2" t="s">
        <v>76</v>
      </c>
      <c r="I2401" s="9">
        <v>82721088</v>
      </c>
      <c r="J2401" s="7">
        <v>6.2500000000000001E-5</v>
      </c>
      <c r="K2401" s="9">
        <v>5170.07</v>
      </c>
      <c r="L2401" s="14">
        <v>0</v>
      </c>
      <c r="M2401" s="2" t="s">
        <v>71</v>
      </c>
      <c r="N2401" s="2" t="s">
        <v>16704</v>
      </c>
      <c r="O2401" s="2" t="s">
        <v>1362</v>
      </c>
      <c r="P2401" s="9">
        <v>2.84</v>
      </c>
      <c r="Q2401" s="9">
        <v>5170.07</v>
      </c>
      <c r="R2401" s="2" t="s">
        <v>16705</v>
      </c>
    </row>
    <row r="2402" spans="1:18" x14ac:dyDescent="0.25">
      <c r="A2402" s="2" t="s">
        <v>1364</v>
      </c>
      <c r="B2402" s="6">
        <v>46204</v>
      </c>
      <c r="C2402" s="8">
        <v>46220</v>
      </c>
      <c r="D2402" s="2" t="s">
        <v>136</v>
      </c>
      <c r="E2402" s="2" t="s">
        <v>260</v>
      </c>
      <c r="F2402" s="2" t="s">
        <v>16703</v>
      </c>
      <c r="G2402" s="2" t="s">
        <v>1365</v>
      </c>
      <c r="H2402" s="2" t="s">
        <v>76</v>
      </c>
      <c r="I2402" s="9">
        <v>124081632</v>
      </c>
      <c r="J2402" s="7">
        <v>6.2000000000000003E-5</v>
      </c>
      <c r="K2402" s="9">
        <v>7693.06</v>
      </c>
      <c r="L2402" s="14">
        <v>0</v>
      </c>
      <c r="M2402" s="2" t="s">
        <v>71</v>
      </c>
      <c r="N2402" s="2" t="s">
        <v>16706</v>
      </c>
      <c r="O2402" s="2" t="s">
        <v>1362</v>
      </c>
      <c r="P2402" s="9">
        <v>4.2300000000000004</v>
      </c>
      <c r="Q2402" s="9">
        <v>7755.1</v>
      </c>
      <c r="R2402" s="2" t="s">
        <v>16707</v>
      </c>
    </row>
    <row r="2403" spans="1:18" x14ac:dyDescent="0.25">
      <c r="A2403" s="2" t="s">
        <v>1366</v>
      </c>
      <c r="B2403" s="6">
        <v>46204</v>
      </c>
      <c r="C2403" s="8">
        <v>46206</v>
      </c>
      <c r="D2403" s="2" t="s">
        <v>136</v>
      </c>
      <c r="E2403" s="2" t="s">
        <v>260</v>
      </c>
      <c r="F2403" s="2" t="s">
        <v>16703</v>
      </c>
      <c r="G2403" s="2" t="s">
        <v>1368</v>
      </c>
      <c r="H2403" s="2" t="s">
        <v>70</v>
      </c>
      <c r="I2403" s="9">
        <v>19696.511278000002</v>
      </c>
      <c r="J2403" s="7">
        <v>0.65800000000000003</v>
      </c>
      <c r="K2403" s="9">
        <v>12960.3</v>
      </c>
      <c r="L2403" s="14">
        <v>0</v>
      </c>
      <c r="M2403" s="2" t="s">
        <v>71</v>
      </c>
      <c r="N2403" s="2" t="s">
        <v>16706</v>
      </c>
      <c r="O2403" s="2" t="s">
        <v>1367</v>
      </c>
      <c r="P2403" s="9">
        <v>7.13</v>
      </c>
      <c r="Q2403" s="9">
        <v>13098.18</v>
      </c>
      <c r="R2403" s="2" t="s">
        <v>16707</v>
      </c>
    </row>
    <row r="2404" spans="1:18" x14ac:dyDescent="0.25">
      <c r="A2404" s="2" t="s">
        <v>1369</v>
      </c>
      <c r="B2404" s="6">
        <v>46204</v>
      </c>
      <c r="C2404" s="8">
        <v>46207</v>
      </c>
      <c r="D2404" s="2" t="s">
        <v>136</v>
      </c>
      <c r="E2404" s="2" t="s">
        <v>260</v>
      </c>
      <c r="F2404" s="2" t="s">
        <v>16703</v>
      </c>
      <c r="G2404" s="2" t="s">
        <v>1371</v>
      </c>
      <c r="H2404" s="2" t="s">
        <v>39</v>
      </c>
      <c r="I2404" s="9">
        <v>13271.19</v>
      </c>
      <c r="J2404" s="7">
        <v>1</v>
      </c>
      <c r="K2404" s="9">
        <v>13271.19</v>
      </c>
      <c r="L2404" s="14">
        <v>0</v>
      </c>
      <c r="M2404" s="2" t="s">
        <v>71</v>
      </c>
      <c r="N2404" s="2" t="s">
        <v>16706</v>
      </c>
      <c r="O2404" s="2" t="s">
        <v>1370</v>
      </c>
      <c r="P2404" s="9">
        <v>7.3</v>
      </c>
      <c r="Q2404" s="9">
        <v>13271.19</v>
      </c>
      <c r="R2404" s="2" t="s">
        <v>16707</v>
      </c>
    </row>
    <row r="2405" spans="1:18" x14ac:dyDescent="0.25">
      <c r="A2405" s="2" t="s">
        <v>1372</v>
      </c>
      <c r="B2405" s="6">
        <v>46204</v>
      </c>
      <c r="C2405" s="8">
        <v>46208</v>
      </c>
      <c r="D2405" s="2" t="s">
        <v>136</v>
      </c>
      <c r="E2405" s="2" t="s">
        <v>260</v>
      </c>
      <c r="F2405" s="2" t="s">
        <v>16703</v>
      </c>
      <c r="G2405" s="2" t="s">
        <v>1374</v>
      </c>
      <c r="H2405" s="2" t="s">
        <v>76</v>
      </c>
      <c r="I2405" s="9">
        <v>215107200</v>
      </c>
      <c r="J2405" s="7">
        <v>6.2000000000000003E-5</v>
      </c>
      <c r="K2405" s="9">
        <v>13336.65</v>
      </c>
      <c r="L2405" s="14">
        <v>0</v>
      </c>
      <c r="M2405" s="2" t="s">
        <v>71</v>
      </c>
      <c r="N2405" s="2" t="s">
        <v>16706</v>
      </c>
      <c r="O2405" s="2" t="s">
        <v>1373</v>
      </c>
      <c r="P2405" s="9">
        <v>7.34</v>
      </c>
      <c r="Q2405" s="9">
        <v>13444.2</v>
      </c>
      <c r="R2405" s="2" t="s">
        <v>16707</v>
      </c>
    </row>
    <row r="2406" spans="1:18" x14ac:dyDescent="0.25">
      <c r="A2406" s="2" t="s">
        <v>1375</v>
      </c>
      <c r="B2406" s="6">
        <v>46204</v>
      </c>
      <c r="C2406" s="8">
        <v>46209</v>
      </c>
      <c r="D2406" s="2" t="s">
        <v>136</v>
      </c>
      <c r="E2406" s="2" t="s">
        <v>260</v>
      </c>
      <c r="F2406" s="2" t="s">
        <v>16703</v>
      </c>
      <c r="G2406" s="2" t="s">
        <v>1377</v>
      </c>
      <c r="H2406" s="2" t="s">
        <v>70</v>
      </c>
      <c r="I2406" s="9">
        <v>20477.007518999999</v>
      </c>
      <c r="J2406" s="7">
        <v>0.65800000000000003</v>
      </c>
      <c r="K2406" s="9">
        <v>13473.87</v>
      </c>
      <c r="L2406" s="14">
        <v>0</v>
      </c>
      <c r="M2406" s="2" t="s">
        <v>71</v>
      </c>
      <c r="N2406" s="2" t="s">
        <v>16706</v>
      </c>
      <c r="O2406" s="2" t="s">
        <v>1376</v>
      </c>
      <c r="P2406" s="9">
        <v>7.41</v>
      </c>
      <c r="Q2406" s="9">
        <v>13617.21</v>
      </c>
      <c r="R2406" s="2" t="s">
        <v>16707</v>
      </c>
    </row>
    <row r="2407" spans="1:18" x14ac:dyDescent="0.25">
      <c r="A2407" s="2" t="s">
        <v>1378</v>
      </c>
      <c r="B2407" s="6">
        <v>46204</v>
      </c>
      <c r="C2407" s="8">
        <v>46210</v>
      </c>
      <c r="D2407" s="2" t="s">
        <v>136</v>
      </c>
      <c r="E2407" s="2" t="s">
        <v>260</v>
      </c>
      <c r="F2407" s="2" t="s">
        <v>16703</v>
      </c>
      <c r="G2407" s="2" t="s">
        <v>1380</v>
      </c>
      <c r="H2407" s="2" t="s">
        <v>39</v>
      </c>
      <c r="I2407" s="9">
        <v>13790.22</v>
      </c>
      <c r="J2407" s="7">
        <v>1</v>
      </c>
      <c r="K2407" s="9">
        <v>13790.22</v>
      </c>
      <c r="L2407" s="14">
        <v>0</v>
      </c>
      <c r="M2407" s="2" t="s">
        <v>71</v>
      </c>
      <c r="N2407" s="2" t="s">
        <v>16706</v>
      </c>
      <c r="O2407" s="2" t="s">
        <v>1379</v>
      </c>
      <c r="P2407" s="9">
        <v>7.58</v>
      </c>
      <c r="Q2407" s="9">
        <v>13790.22</v>
      </c>
      <c r="R2407" s="2" t="s">
        <v>16707</v>
      </c>
    </row>
    <row r="2408" spans="1:18" x14ac:dyDescent="0.25">
      <c r="A2408" s="2" t="s">
        <v>1381</v>
      </c>
      <c r="B2408" s="6">
        <v>46174</v>
      </c>
      <c r="C2408" s="8">
        <v>46201</v>
      </c>
      <c r="D2408" s="2" t="s">
        <v>136</v>
      </c>
      <c r="E2408" s="2" t="s">
        <v>260</v>
      </c>
      <c r="F2408" s="2" t="s">
        <v>16703</v>
      </c>
      <c r="G2408" s="2" t="s">
        <v>1383</v>
      </c>
      <c r="H2408" s="2" t="s">
        <v>76</v>
      </c>
      <c r="I2408" s="9">
        <v>89364672</v>
      </c>
      <c r="J2408" s="7">
        <v>6.2500000000000001E-5</v>
      </c>
      <c r="K2408" s="9">
        <v>5585.29</v>
      </c>
      <c r="L2408" s="14">
        <v>0</v>
      </c>
      <c r="M2408" s="2" t="s">
        <v>71</v>
      </c>
      <c r="N2408" s="2" t="s">
        <v>16704</v>
      </c>
      <c r="O2408" s="2" t="s">
        <v>1382</v>
      </c>
      <c r="P2408" s="9">
        <v>3.07</v>
      </c>
      <c r="Q2408" s="9">
        <v>5585.29</v>
      </c>
      <c r="R2408" s="2" t="s">
        <v>16705</v>
      </c>
    </row>
    <row r="2409" spans="1:18" x14ac:dyDescent="0.25">
      <c r="A2409" s="2" t="s">
        <v>1384</v>
      </c>
      <c r="B2409" s="6">
        <v>46204</v>
      </c>
      <c r="C2409" s="8">
        <v>46226</v>
      </c>
      <c r="D2409" s="2" t="s">
        <v>136</v>
      </c>
      <c r="E2409" s="2" t="s">
        <v>260</v>
      </c>
      <c r="F2409" s="2" t="s">
        <v>16703</v>
      </c>
      <c r="G2409" s="2" t="s">
        <v>1385</v>
      </c>
      <c r="H2409" s="2" t="s">
        <v>76</v>
      </c>
      <c r="I2409" s="9">
        <v>134047008</v>
      </c>
      <c r="J2409" s="7">
        <v>6.2000000000000003E-5</v>
      </c>
      <c r="K2409" s="9">
        <v>8310.91</v>
      </c>
      <c r="L2409" s="14">
        <v>0</v>
      </c>
      <c r="M2409" s="2" t="s">
        <v>71</v>
      </c>
      <c r="N2409" s="2" t="s">
        <v>16706</v>
      </c>
      <c r="O2409" s="2" t="s">
        <v>1382</v>
      </c>
      <c r="P2409" s="9">
        <v>4.57</v>
      </c>
      <c r="Q2409" s="9">
        <v>8377.94</v>
      </c>
      <c r="R2409" s="2" t="s">
        <v>16707</v>
      </c>
    </row>
    <row r="2410" spans="1:18" x14ac:dyDescent="0.25">
      <c r="A2410" s="2" t="s">
        <v>1386</v>
      </c>
      <c r="B2410" s="6">
        <v>46174</v>
      </c>
      <c r="C2410" s="8">
        <v>46202</v>
      </c>
      <c r="D2410" s="2" t="s">
        <v>136</v>
      </c>
      <c r="E2410" s="2" t="s">
        <v>260</v>
      </c>
      <c r="F2410" s="2" t="s">
        <v>16703</v>
      </c>
      <c r="G2410" s="2" t="s">
        <v>1388</v>
      </c>
      <c r="H2410" s="2" t="s">
        <v>70</v>
      </c>
      <c r="I2410" s="9">
        <v>8503.0015039999998</v>
      </c>
      <c r="J2410" s="7">
        <v>0.66500000000000004</v>
      </c>
      <c r="K2410" s="9">
        <v>5654.5</v>
      </c>
      <c r="L2410" s="14">
        <v>0</v>
      </c>
      <c r="M2410" s="2" t="s">
        <v>71</v>
      </c>
      <c r="N2410" s="2" t="s">
        <v>16704</v>
      </c>
      <c r="O2410" s="2" t="s">
        <v>1387</v>
      </c>
      <c r="P2410" s="9">
        <v>3.11</v>
      </c>
      <c r="Q2410" s="9">
        <v>5654.5</v>
      </c>
      <c r="R2410" s="2" t="s">
        <v>16705</v>
      </c>
    </row>
    <row r="2411" spans="1:18" x14ac:dyDescent="0.25">
      <c r="A2411" s="2" t="s">
        <v>1389</v>
      </c>
      <c r="B2411" s="6">
        <v>46204</v>
      </c>
      <c r="C2411" s="8">
        <v>46227</v>
      </c>
      <c r="D2411" s="2" t="s">
        <v>136</v>
      </c>
      <c r="E2411" s="2" t="s">
        <v>260</v>
      </c>
      <c r="F2411" s="2" t="s">
        <v>16703</v>
      </c>
      <c r="G2411" s="2" t="s">
        <v>1390</v>
      </c>
      <c r="H2411" s="2" t="s">
        <v>70</v>
      </c>
      <c r="I2411" s="9">
        <v>12754.502254999999</v>
      </c>
      <c r="J2411" s="7">
        <v>0.65800000000000003</v>
      </c>
      <c r="K2411" s="9">
        <v>8392.4599999999991</v>
      </c>
      <c r="L2411" s="14">
        <v>0</v>
      </c>
      <c r="M2411" s="2" t="s">
        <v>71</v>
      </c>
      <c r="N2411" s="2" t="s">
        <v>16706</v>
      </c>
      <c r="O2411" s="2" t="s">
        <v>1387</v>
      </c>
      <c r="P2411" s="9">
        <v>4.62</v>
      </c>
      <c r="Q2411" s="9">
        <v>8481.74</v>
      </c>
      <c r="R2411" s="2" t="s">
        <v>16707</v>
      </c>
    </row>
    <row r="2412" spans="1:18" x14ac:dyDescent="0.25">
      <c r="A2412" s="2" t="s">
        <v>1391</v>
      </c>
      <c r="B2412" s="6">
        <v>46204</v>
      </c>
      <c r="C2412" s="8">
        <v>46213</v>
      </c>
      <c r="D2412" s="2" t="s">
        <v>136</v>
      </c>
      <c r="E2412" s="2" t="s">
        <v>260</v>
      </c>
      <c r="F2412" s="2" t="s">
        <v>16703</v>
      </c>
      <c r="G2412" s="2" t="s">
        <v>1393</v>
      </c>
      <c r="H2412" s="2" t="s">
        <v>39</v>
      </c>
      <c r="I2412" s="9">
        <v>14309.25</v>
      </c>
      <c r="J2412" s="7">
        <v>1</v>
      </c>
      <c r="K2412" s="9">
        <v>14309.25</v>
      </c>
      <c r="L2412" s="14">
        <v>0</v>
      </c>
      <c r="M2412" s="2" t="s">
        <v>71</v>
      </c>
      <c r="N2412" s="2" t="s">
        <v>16706</v>
      </c>
      <c r="O2412" s="2" t="s">
        <v>1392</v>
      </c>
      <c r="P2412" s="9">
        <v>7.87</v>
      </c>
      <c r="Q2412" s="9">
        <v>14309.25</v>
      </c>
      <c r="R2412" s="2" t="s">
        <v>16707</v>
      </c>
    </row>
    <row r="2413" spans="1:18" x14ac:dyDescent="0.25">
      <c r="A2413" s="2" t="s">
        <v>1394</v>
      </c>
      <c r="B2413" s="6">
        <v>46204</v>
      </c>
      <c r="C2413" s="8">
        <v>46214</v>
      </c>
      <c r="D2413" s="2" t="s">
        <v>136</v>
      </c>
      <c r="E2413" s="2" t="s">
        <v>260</v>
      </c>
      <c r="F2413" s="2" t="s">
        <v>16703</v>
      </c>
      <c r="G2413" s="2" t="s">
        <v>1396</v>
      </c>
      <c r="H2413" s="2" t="s">
        <v>76</v>
      </c>
      <c r="I2413" s="9">
        <v>231716160</v>
      </c>
      <c r="J2413" s="7">
        <v>6.2000000000000003E-5</v>
      </c>
      <c r="K2413" s="9">
        <v>14366.4</v>
      </c>
      <c r="L2413" s="14">
        <v>0</v>
      </c>
      <c r="M2413" s="2" t="s">
        <v>71</v>
      </c>
      <c r="N2413" s="2" t="s">
        <v>16706</v>
      </c>
      <c r="O2413" s="2" t="s">
        <v>1395</v>
      </c>
      <c r="P2413" s="9">
        <v>7.9</v>
      </c>
      <c r="Q2413" s="9">
        <v>14482.26</v>
      </c>
      <c r="R2413" s="2" t="s">
        <v>16707</v>
      </c>
    </row>
    <row r="2414" spans="1:18" x14ac:dyDescent="0.25">
      <c r="A2414" s="2" t="s">
        <v>1397</v>
      </c>
      <c r="B2414" s="6">
        <v>46204</v>
      </c>
      <c r="C2414" s="8">
        <v>46205</v>
      </c>
      <c r="D2414" s="2" t="s">
        <v>136</v>
      </c>
      <c r="E2414" s="2" t="s">
        <v>260</v>
      </c>
      <c r="F2414" s="2" t="s">
        <v>16703</v>
      </c>
      <c r="G2414" s="2" t="s">
        <v>1399</v>
      </c>
      <c r="H2414" s="2" t="s">
        <v>70</v>
      </c>
      <c r="I2414" s="9">
        <v>8815.2000000000007</v>
      </c>
      <c r="J2414" s="7">
        <v>0.65800000000000003</v>
      </c>
      <c r="K2414" s="9">
        <v>5800.4</v>
      </c>
      <c r="L2414" s="14">
        <v>0</v>
      </c>
      <c r="M2414" s="2" t="s">
        <v>71</v>
      </c>
      <c r="N2414" s="2" t="s">
        <v>16706</v>
      </c>
      <c r="O2414" s="2" t="s">
        <v>1398</v>
      </c>
      <c r="P2414" s="9">
        <v>3.19</v>
      </c>
      <c r="Q2414" s="9">
        <v>5862.11</v>
      </c>
      <c r="R2414" s="2" t="s">
        <v>16707</v>
      </c>
    </row>
    <row r="2415" spans="1:18" x14ac:dyDescent="0.25">
      <c r="A2415" s="2" t="s">
        <v>1400</v>
      </c>
      <c r="B2415" s="6">
        <v>46204</v>
      </c>
      <c r="C2415" s="8">
        <v>46230</v>
      </c>
      <c r="D2415" s="2" t="s">
        <v>136</v>
      </c>
      <c r="E2415" s="2" t="s">
        <v>260</v>
      </c>
      <c r="F2415" s="2" t="s">
        <v>16703</v>
      </c>
      <c r="G2415" s="2" t="s">
        <v>1401</v>
      </c>
      <c r="H2415" s="2" t="s">
        <v>70</v>
      </c>
      <c r="I2415" s="9">
        <v>13222.8</v>
      </c>
      <c r="J2415" s="7">
        <v>0.65800000000000003</v>
      </c>
      <c r="K2415" s="9">
        <v>8700.6</v>
      </c>
      <c r="L2415" s="14">
        <v>0</v>
      </c>
      <c r="M2415" s="2" t="s">
        <v>71</v>
      </c>
      <c r="N2415" s="2" t="s">
        <v>16706</v>
      </c>
      <c r="O2415" s="2" t="s">
        <v>1398</v>
      </c>
      <c r="P2415" s="9">
        <v>4.79</v>
      </c>
      <c r="Q2415" s="9">
        <v>8793.16</v>
      </c>
      <c r="R2415" s="2" t="s">
        <v>16707</v>
      </c>
    </row>
    <row r="2416" spans="1:18" x14ac:dyDescent="0.25">
      <c r="A2416" s="2" t="s">
        <v>1402</v>
      </c>
      <c r="B2416" s="6">
        <v>46204</v>
      </c>
      <c r="C2416" s="8">
        <v>46216</v>
      </c>
      <c r="D2416" s="2" t="s">
        <v>136</v>
      </c>
      <c r="E2416" s="2" t="s">
        <v>260</v>
      </c>
      <c r="F2416" s="2" t="s">
        <v>16703</v>
      </c>
      <c r="G2416" s="2" t="s">
        <v>1404</v>
      </c>
      <c r="H2416" s="2" t="s">
        <v>39</v>
      </c>
      <c r="I2416" s="9">
        <v>14828.28</v>
      </c>
      <c r="J2416" s="7">
        <v>1</v>
      </c>
      <c r="K2416" s="9">
        <v>14828.28</v>
      </c>
      <c r="L2416" s="14">
        <v>0</v>
      </c>
      <c r="M2416" s="2" t="s">
        <v>71</v>
      </c>
      <c r="N2416" s="2" t="s">
        <v>16706</v>
      </c>
      <c r="O2416" s="2" t="s">
        <v>1403</v>
      </c>
      <c r="P2416" s="9">
        <v>8.16</v>
      </c>
      <c r="Q2416" s="9">
        <v>14828.28</v>
      </c>
      <c r="R2416" s="2" t="s">
        <v>16707</v>
      </c>
    </row>
    <row r="2417" spans="1:18" x14ac:dyDescent="0.25">
      <c r="A2417" s="2" t="s">
        <v>1405</v>
      </c>
      <c r="B2417" s="6">
        <v>46204</v>
      </c>
      <c r="C2417" s="8">
        <v>46217</v>
      </c>
      <c r="D2417" s="2" t="s">
        <v>136</v>
      </c>
      <c r="E2417" s="2" t="s">
        <v>260</v>
      </c>
      <c r="F2417" s="2" t="s">
        <v>16703</v>
      </c>
      <c r="G2417" s="2" t="s">
        <v>1407</v>
      </c>
      <c r="H2417" s="2" t="s">
        <v>76</v>
      </c>
      <c r="I2417" s="9">
        <v>16020640</v>
      </c>
      <c r="J2417" s="7">
        <v>6.2000000000000003E-5</v>
      </c>
      <c r="K2417" s="9">
        <v>993.28</v>
      </c>
      <c r="L2417" s="14">
        <v>0</v>
      </c>
      <c r="M2417" s="2" t="s">
        <v>71</v>
      </c>
      <c r="N2417" s="2" t="s">
        <v>16706</v>
      </c>
      <c r="O2417" s="2" t="s">
        <v>1406</v>
      </c>
      <c r="P2417" s="9">
        <v>1.8</v>
      </c>
      <c r="Q2417" s="9">
        <v>1001.29</v>
      </c>
      <c r="R2417" s="2" t="s">
        <v>16707</v>
      </c>
    </row>
    <row r="2418" spans="1:18" x14ac:dyDescent="0.25">
      <c r="A2418" s="2" t="s">
        <v>1408</v>
      </c>
      <c r="B2418" s="6">
        <v>46204</v>
      </c>
      <c r="C2418" s="8">
        <v>46218</v>
      </c>
      <c r="D2418" s="2" t="s">
        <v>136</v>
      </c>
      <c r="E2418" s="2" t="s">
        <v>260</v>
      </c>
      <c r="F2418" s="2" t="s">
        <v>16703</v>
      </c>
      <c r="G2418" s="2" t="s">
        <v>1410</v>
      </c>
      <c r="H2418" s="2" t="s">
        <v>70</v>
      </c>
      <c r="I2418" s="9">
        <v>1765.864662</v>
      </c>
      <c r="J2418" s="7">
        <v>0.65800000000000003</v>
      </c>
      <c r="K2418" s="9">
        <v>1161.94</v>
      </c>
      <c r="L2418" s="14">
        <v>0</v>
      </c>
      <c r="M2418" s="2" t="s">
        <v>71</v>
      </c>
      <c r="N2418" s="2" t="s">
        <v>16706</v>
      </c>
      <c r="O2418" s="2" t="s">
        <v>1409</v>
      </c>
      <c r="P2418" s="9">
        <v>1.8</v>
      </c>
      <c r="Q2418" s="9">
        <v>1174.3</v>
      </c>
      <c r="R2418" s="2" t="s">
        <v>16707</v>
      </c>
    </row>
    <row r="2419" spans="1:18" x14ac:dyDescent="0.25">
      <c r="A2419" s="2" t="s">
        <v>1411</v>
      </c>
      <c r="B2419" s="6">
        <v>46204</v>
      </c>
      <c r="C2419" s="8">
        <v>46219</v>
      </c>
      <c r="D2419" s="2" t="s">
        <v>136</v>
      </c>
      <c r="E2419" s="2" t="s">
        <v>260</v>
      </c>
      <c r="F2419" s="2" t="s">
        <v>16703</v>
      </c>
      <c r="G2419" s="2" t="s">
        <v>1413</v>
      </c>
      <c r="H2419" s="2" t="s">
        <v>39</v>
      </c>
      <c r="I2419" s="9">
        <v>1347.31</v>
      </c>
      <c r="J2419" s="7">
        <v>1</v>
      </c>
      <c r="K2419" s="9">
        <v>1347.31</v>
      </c>
      <c r="L2419" s="14">
        <v>0</v>
      </c>
      <c r="M2419" s="2" t="s">
        <v>71</v>
      </c>
      <c r="N2419" s="2" t="s">
        <v>16706</v>
      </c>
      <c r="O2419" s="2" t="s">
        <v>1412</v>
      </c>
      <c r="P2419" s="9">
        <v>1.8</v>
      </c>
      <c r="Q2419" s="9">
        <v>1347.31</v>
      </c>
      <c r="R2419" s="2" t="s">
        <v>16707</v>
      </c>
    </row>
    <row r="2420" spans="1:18" x14ac:dyDescent="0.25">
      <c r="A2420" s="2" t="s">
        <v>1414</v>
      </c>
      <c r="B2420" s="6">
        <v>46204</v>
      </c>
      <c r="C2420" s="8">
        <v>46220</v>
      </c>
      <c r="D2420" s="2" t="s">
        <v>136</v>
      </c>
      <c r="E2420" s="2" t="s">
        <v>260</v>
      </c>
      <c r="F2420" s="2" t="s">
        <v>16703</v>
      </c>
      <c r="G2420" s="2" t="s">
        <v>1416</v>
      </c>
      <c r="H2420" s="2" t="s">
        <v>76</v>
      </c>
      <c r="I2420" s="9">
        <v>24325120</v>
      </c>
      <c r="J2420" s="7">
        <v>6.2000000000000003E-5</v>
      </c>
      <c r="K2420" s="9">
        <v>1508.16</v>
      </c>
      <c r="L2420" s="14">
        <v>0</v>
      </c>
      <c r="M2420" s="2" t="s">
        <v>71</v>
      </c>
      <c r="N2420" s="2" t="s">
        <v>16706</v>
      </c>
      <c r="O2420" s="2" t="s">
        <v>1415</v>
      </c>
      <c r="P2420" s="9">
        <v>1.8</v>
      </c>
      <c r="Q2420" s="9">
        <v>1520.32</v>
      </c>
      <c r="R2420" s="2" t="s">
        <v>16707</v>
      </c>
    </row>
    <row r="2421" spans="1:18" x14ac:dyDescent="0.25">
      <c r="A2421" s="2" t="s">
        <v>1417</v>
      </c>
      <c r="B2421" s="6">
        <v>46204</v>
      </c>
      <c r="C2421" s="8">
        <v>46211</v>
      </c>
      <c r="D2421" s="2" t="s">
        <v>136</v>
      </c>
      <c r="E2421" s="2" t="s">
        <v>260</v>
      </c>
      <c r="F2421" s="2" t="s">
        <v>16703</v>
      </c>
      <c r="G2421" s="2" t="s">
        <v>1419</v>
      </c>
      <c r="H2421" s="2" t="s">
        <v>70</v>
      </c>
      <c r="I2421" s="9">
        <v>1018.544361</v>
      </c>
      <c r="J2421" s="7">
        <v>0.65800000000000003</v>
      </c>
      <c r="K2421" s="9">
        <v>670.2</v>
      </c>
      <c r="L2421" s="14">
        <v>0</v>
      </c>
      <c r="M2421" s="2" t="s">
        <v>71</v>
      </c>
      <c r="N2421" s="2" t="s">
        <v>16706</v>
      </c>
      <c r="O2421" s="2" t="s">
        <v>1418</v>
      </c>
      <c r="P2421" s="9">
        <v>1.8</v>
      </c>
      <c r="Q2421" s="9">
        <v>677.33</v>
      </c>
      <c r="R2421" s="2" t="s">
        <v>16707</v>
      </c>
    </row>
    <row r="2422" spans="1:18" x14ac:dyDescent="0.25">
      <c r="A2422" s="2" t="s">
        <v>1422</v>
      </c>
      <c r="B2422" s="6">
        <v>46204</v>
      </c>
      <c r="C2422" s="8">
        <v>46212</v>
      </c>
      <c r="D2422" s="2" t="s">
        <v>136</v>
      </c>
      <c r="E2422" s="2" t="s">
        <v>260</v>
      </c>
      <c r="F2422" s="2" t="s">
        <v>16703</v>
      </c>
      <c r="G2422" s="2" t="s">
        <v>1424</v>
      </c>
      <c r="H2422" s="2" t="s">
        <v>39</v>
      </c>
      <c r="I2422" s="9">
        <v>746.53599999999994</v>
      </c>
      <c r="J2422" s="7">
        <v>1</v>
      </c>
      <c r="K2422" s="9">
        <v>746.54</v>
      </c>
      <c r="L2422" s="14">
        <v>0</v>
      </c>
      <c r="M2422" s="2" t="s">
        <v>71</v>
      </c>
      <c r="N2422" s="2" t="s">
        <v>16706</v>
      </c>
      <c r="O2422" s="2" t="s">
        <v>1423</v>
      </c>
      <c r="P2422" s="9">
        <v>1.8</v>
      </c>
      <c r="Q2422" s="9">
        <v>746.54</v>
      </c>
      <c r="R2422" s="2" t="s">
        <v>16707</v>
      </c>
    </row>
    <row r="2423" spans="1:18" x14ac:dyDescent="0.25">
      <c r="A2423" s="2" t="s">
        <v>1427</v>
      </c>
      <c r="B2423" s="6">
        <v>46204</v>
      </c>
      <c r="C2423" s="8">
        <v>46223</v>
      </c>
      <c r="D2423" s="2" t="s">
        <v>136</v>
      </c>
      <c r="E2423" s="2" t="s">
        <v>260</v>
      </c>
      <c r="F2423" s="2" t="s">
        <v>16703</v>
      </c>
      <c r="G2423" s="2" t="s">
        <v>1429</v>
      </c>
      <c r="H2423" s="2" t="s">
        <v>76</v>
      </c>
      <c r="I2423" s="9">
        <v>32629600</v>
      </c>
      <c r="J2423" s="7">
        <v>6.2000000000000003E-5</v>
      </c>
      <c r="K2423" s="9">
        <v>2023.04</v>
      </c>
      <c r="L2423" s="14">
        <v>0</v>
      </c>
      <c r="M2423" s="2" t="s">
        <v>71</v>
      </c>
      <c r="N2423" s="2" t="s">
        <v>16706</v>
      </c>
      <c r="O2423" s="2" t="s">
        <v>1428</v>
      </c>
      <c r="P2423" s="9">
        <v>1.8</v>
      </c>
      <c r="Q2423" s="9">
        <v>2039.35</v>
      </c>
      <c r="R2423" s="2" t="s">
        <v>16707</v>
      </c>
    </row>
    <row r="2424" spans="1:18" x14ac:dyDescent="0.25">
      <c r="A2424" s="2" t="s">
        <v>1430</v>
      </c>
      <c r="B2424" s="6">
        <v>46204</v>
      </c>
      <c r="C2424" s="8">
        <v>46224</v>
      </c>
      <c r="D2424" s="2" t="s">
        <v>136</v>
      </c>
      <c r="E2424" s="2" t="s">
        <v>260</v>
      </c>
      <c r="F2424" s="2" t="s">
        <v>16703</v>
      </c>
      <c r="G2424" s="2" t="s">
        <v>1432</v>
      </c>
      <c r="H2424" s="2" t="s">
        <v>70</v>
      </c>
      <c r="I2424" s="9">
        <v>3326.8571430000002</v>
      </c>
      <c r="J2424" s="7">
        <v>0.65800000000000003</v>
      </c>
      <c r="K2424" s="9">
        <v>2189.0700000000002</v>
      </c>
      <c r="L2424" s="14">
        <v>0</v>
      </c>
      <c r="M2424" s="2" t="s">
        <v>71</v>
      </c>
      <c r="N2424" s="2" t="s">
        <v>16706</v>
      </c>
      <c r="O2424" s="2" t="s">
        <v>1431</v>
      </c>
      <c r="P2424" s="9">
        <v>1.8</v>
      </c>
      <c r="Q2424" s="9">
        <v>2212.36</v>
      </c>
      <c r="R2424" s="2" t="s">
        <v>16707</v>
      </c>
    </row>
    <row r="2425" spans="1:18" x14ac:dyDescent="0.25">
      <c r="A2425" s="2" t="s">
        <v>1433</v>
      </c>
      <c r="B2425" s="6">
        <v>46204</v>
      </c>
      <c r="C2425" s="8">
        <v>46215</v>
      </c>
      <c r="D2425" s="2" t="s">
        <v>136</v>
      </c>
      <c r="E2425" s="2" t="s">
        <v>260</v>
      </c>
      <c r="F2425" s="2" t="s">
        <v>16703</v>
      </c>
      <c r="G2425" s="2" t="s">
        <v>1435</v>
      </c>
      <c r="H2425" s="2" t="s">
        <v>39</v>
      </c>
      <c r="I2425" s="9">
        <v>-2385.37</v>
      </c>
      <c r="J2425" s="7">
        <v>1</v>
      </c>
      <c r="K2425" s="9">
        <v>-2385.37</v>
      </c>
      <c r="L2425" s="14">
        <v>0</v>
      </c>
      <c r="M2425" s="2" t="s">
        <v>71</v>
      </c>
      <c r="N2425" s="2" t="s">
        <v>16706</v>
      </c>
      <c r="O2425" s="2" t="s">
        <v>1434</v>
      </c>
      <c r="P2425" s="9">
        <v>0</v>
      </c>
      <c r="Q2425" s="9">
        <v>-2385.37</v>
      </c>
      <c r="R2425" s="2" t="s">
        <v>16707</v>
      </c>
    </row>
    <row r="2426" spans="1:18" x14ac:dyDescent="0.25">
      <c r="A2426" s="2" t="s">
        <v>1436</v>
      </c>
      <c r="B2426" s="6">
        <v>46204</v>
      </c>
      <c r="C2426" s="8">
        <v>46226</v>
      </c>
      <c r="D2426" s="2" t="s">
        <v>136</v>
      </c>
      <c r="E2426" s="2" t="s">
        <v>260</v>
      </c>
      <c r="F2426" s="2" t="s">
        <v>16703</v>
      </c>
      <c r="G2426" s="2" t="s">
        <v>1438</v>
      </c>
      <c r="H2426" s="2" t="s">
        <v>76</v>
      </c>
      <c r="I2426" s="9">
        <v>40934080</v>
      </c>
      <c r="J2426" s="7">
        <v>6.2000000000000003E-5</v>
      </c>
      <c r="K2426" s="9">
        <v>2537.91</v>
      </c>
      <c r="L2426" s="14">
        <v>0</v>
      </c>
      <c r="M2426" s="2" t="s">
        <v>71</v>
      </c>
      <c r="N2426" s="2" t="s">
        <v>16706</v>
      </c>
      <c r="O2426" s="2" t="s">
        <v>1437</v>
      </c>
      <c r="P2426" s="9">
        <v>1.8</v>
      </c>
      <c r="Q2426" s="9">
        <v>2558.38</v>
      </c>
      <c r="R2426" s="2" t="s">
        <v>16707</v>
      </c>
    </row>
    <row r="2427" spans="1:18" x14ac:dyDescent="0.25">
      <c r="A2427" s="2" t="s">
        <v>1439</v>
      </c>
      <c r="B2427" s="6">
        <v>46204</v>
      </c>
      <c r="C2427" s="8">
        <v>46227</v>
      </c>
      <c r="D2427" s="2" t="s">
        <v>136</v>
      </c>
      <c r="E2427" s="2" t="s">
        <v>260</v>
      </c>
      <c r="F2427" s="2" t="s">
        <v>16703</v>
      </c>
      <c r="G2427" s="2" t="s">
        <v>1441</v>
      </c>
      <c r="H2427" s="2" t="s">
        <v>70</v>
      </c>
      <c r="I2427" s="9">
        <v>4107.3533829999997</v>
      </c>
      <c r="J2427" s="7">
        <v>0.65800000000000003</v>
      </c>
      <c r="K2427" s="9">
        <v>2702.64</v>
      </c>
      <c r="L2427" s="14">
        <v>0</v>
      </c>
      <c r="M2427" s="2" t="s">
        <v>71</v>
      </c>
      <c r="N2427" s="2" t="s">
        <v>16706</v>
      </c>
      <c r="O2427" s="2" t="s">
        <v>1440</v>
      </c>
      <c r="P2427" s="9">
        <v>1.8</v>
      </c>
      <c r="Q2427" s="9">
        <v>2731.39</v>
      </c>
      <c r="R2427" s="2" t="s">
        <v>16707</v>
      </c>
    </row>
    <row r="2428" spans="1:18" x14ac:dyDescent="0.25">
      <c r="A2428" s="2" t="s">
        <v>1442</v>
      </c>
      <c r="B2428" s="6">
        <v>46174</v>
      </c>
      <c r="C2428" s="8">
        <v>46198</v>
      </c>
      <c r="D2428" s="2" t="s">
        <v>136</v>
      </c>
      <c r="E2428" s="2" t="s">
        <v>260</v>
      </c>
      <c r="F2428" s="2" t="s">
        <v>16703</v>
      </c>
      <c r="G2428" s="2" t="s">
        <v>1444</v>
      </c>
      <c r="H2428" s="2" t="s">
        <v>39</v>
      </c>
      <c r="I2428" s="9">
        <v>2904.4</v>
      </c>
      <c r="J2428" s="7">
        <v>1</v>
      </c>
      <c r="K2428" s="9">
        <v>2904.4</v>
      </c>
      <c r="L2428" s="14">
        <v>0</v>
      </c>
      <c r="M2428" s="2" t="s">
        <v>71</v>
      </c>
      <c r="N2428" s="2" t="s">
        <v>16704</v>
      </c>
      <c r="O2428" s="2" t="s">
        <v>1443</v>
      </c>
      <c r="P2428" s="9">
        <v>1.8</v>
      </c>
      <c r="Q2428" s="9">
        <v>2904.4</v>
      </c>
      <c r="R2428" s="2" t="s">
        <v>16705</v>
      </c>
    </row>
    <row r="2429" spans="1:18" x14ac:dyDescent="0.25">
      <c r="A2429" s="2" t="s">
        <v>1445</v>
      </c>
      <c r="B2429" s="6">
        <v>46174</v>
      </c>
      <c r="C2429" s="8">
        <v>46199</v>
      </c>
      <c r="D2429" s="2" t="s">
        <v>136</v>
      </c>
      <c r="E2429" s="2" t="s">
        <v>260</v>
      </c>
      <c r="F2429" s="2" t="s">
        <v>16703</v>
      </c>
      <c r="G2429" s="2" t="s">
        <v>1447</v>
      </c>
      <c r="H2429" s="2" t="s">
        <v>76</v>
      </c>
      <c r="I2429" s="9">
        <v>49238560</v>
      </c>
      <c r="J2429" s="7">
        <v>6.2500000000000001E-5</v>
      </c>
      <c r="K2429" s="9">
        <v>3077.41</v>
      </c>
      <c r="L2429" s="14">
        <v>0</v>
      </c>
      <c r="M2429" s="2" t="s">
        <v>71</v>
      </c>
      <c r="N2429" s="2" t="s">
        <v>16704</v>
      </c>
      <c r="O2429" s="2" t="s">
        <v>1446</v>
      </c>
      <c r="P2429" s="9">
        <v>1.8</v>
      </c>
      <c r="Q2429" s="9">
        <v>3077.41</v>
      </c>
      <c r="R2429" s="2" t="s">
        <v>16705</v>
      </c>
    </row>
    <row r="2430" spans="1:18" x14ac:dyDescent="0.25">
      <c r="A2430" s="2" t="s">
        <v>1448</v>
      </c>
      <c r="B2430" s="6">
        <v>46174</v>
      </c>
      <c r="C2430" s="8">
        <v>46200</v>
      </c>
      <c r="D2430" s="2" t="s">
        <v>136</v>
      </c>
      <c r="E2430" s="2" t="s">
        <v>260</v>
      </c>
      <c r="F2430" s="2" t="s">
        <v>16703</v>
      </c>
      <c r="G2430" s="2" t="s">
        <v>1450</v>
      </c>
      <c r="H2430" s="2" t="s">
        <v>70</v>
      </c>
      <c r="I2430" s="9">
        <v>4887.8496240000004</v>
      </c>
      <c r="J2430" s="7">
        <v>0.66500000000000004</v>
      </c>
      <c r="K2430" s="9">
        <v>3250.42</v>
      </c>
      <c r="L2430" s="14">
        <v>0</v>
      </c>
      <c r="M2430" s="2" t="s">
        <v>71</v>
      </c>
      <c r="N2430" s="2" t="s">
        <v>16704</v>
      </c>
      <c r="O2430" s="2" t="s">
        <v>1449</v>
      </c>
      <c r="P2430" s="9">
        <v>1.8</v>
      </c>
      <c r="Q2430" s="9">
        <v>3250.42</v>
      </c>
      <c r="R2430" s="2" t="s">
        <v>16705</v>
      </c>
    </row>
    <row r="2431" spans="1:18" x14ac:dyDescent="0.25">
      <c r="A2431" s="2" t="s">
        <v>1481</v>
      </c>
      <c r="B2431" s="6">
        <v>46204</v>
      </c>
      <c r="C2431" s="8">
        <v>46228</v>
      </c>
      <c r="D2431" s="2" t="s">
        <v>136</v>
      </c>
      <c r="E2431" s="2" t="s">
        <v>260</v>
      </c>
      <c r="F2431" s="2" t="s">
        <v>16703</v>
      </c>
      <c r="G2431" s="2" t="s">
        <v>1483</v>
      </c>
      <c r="H2431" s="2" t="s">
        <v>70</v>
      </c>
      <c r="I2431" s="9">
        <v>7306.2462009999999</v>
      </c>
      <c r="J2431" s="7">
        <v>0.65800000000000003</v>
      </c>
      <c r="K2431" s="9">
        <v>4807.51</v>
      </c>
      <c r="L2431" s="14">
        <v>0</v>
      </c>
      <c r="M2431" s="2" t="s">
        <v>71</v>
      </c>
      <c r="N2431" s="2" t="s">
        <v>16706</v>
      </c>
      <c r="O2431" s="2" t="s">
        <v>1482</v>
      </c>
      <c r="P2431" s="9">
        <v>2.64</v>
      </c>
      <c r="Q2431" s="9">
        <v>4807.51</v>
      </c>
      <c r="R2431" s="2" t="s">
        <v>16707</v>
      </c>
    </row>
    <row r="2432" spans="1:18" x14ac:dyDescent="0.25">
      <c r="A2432" s="2" t="s">
        <v>1484</v>
      </c>
      <c r="B2432" s="6">
        <v>46204</v>
      </c>
      <c r="C2432" s="8">
        <v>46229</v>
      </c>
      <c r="D2432" s="2" t="s">
        <v>136</v>
      </c>
      <c r="E2432" s="2" t="s">
        <v>260</v>
      </c>
      <c r="F2432" s="2" t="s">
        <v>16703</v>
      </c>
      <c r="G2432" s="2" t="s">
        <v>1486</v>
      </c>
      <c r="H2432" s="2" t="s">
        <v>39</v>
      </c>
      <c r="I2432" s="9">
        <v>4980.5200000000004</v>
      </c>
      <c r="J2432" s="7">
        <v>1</v>
      </c>
      <c r="K2432" s="9">
        <v>4980.5200000000004</v>
      </c>
      <c r="L2432" s="14">
        <v>0</v>
      </c>
      <c r="M2432" s="2" t="s">
        <v>71</v>
      </c>
      <c r="N2432" s="2" t="s">
        <v>16706</v>
      </c>
      <c r="O2432" s="2" t="s">
        <v>1485</v>
      </c>
      <c r="P2432" s="9">
        <v>2.74</v>
      </c>
      <c r="Q2432" s="9">
        <v>4980.5200000000004</v>
      </c>
      <c r="R2432" s="2" t="s">
        <v>16707</v>
      </c>
    </row>
    <row r="2433" spans="1:18" x14ac:dyDescent="0.25">
      <c r="A2433" s="2" t="s">
        <v>1487</v>
      </c>
      <c r="B2433" s="6">
        <v>46204</v>
      </c>
      <c r="C2433" s="8">
        <v>46220</v>
      </c>
      <c r="D2433" s="2" t="s">
        <v>136</v>
      </c>
      <c r="E2433" s="2" t="s">
        <v>260</v>
      </c>
      <c r="F2433" s="2" t="s">
        <v>16703</v>
      </c>
      <c r="G2433" s="2" t="s">
        <v>1489</v>
      </c>
      <c r="H2433" s="2" t="s">
        <v>76</v>
      </c>
      <c r="I2433" s="9">
        <v>33248580.645160999</v>
      </c>
      <c r="J2433" s="7">
        <v>6.2000000000000003E-5</v>
      </c>
      <c r="K2433" s="9">
        <v>2061.41</v>
      </c>
      <c r="L2433" s="14">
        <v>0</v>
      </c>
      <c r="M2433" s="2" t="s">
        <v>71</v>
      </c>
      <c r="N2433" s="2" t="s">
        <v>16706</v>
      </c>
      <c r="O2433" s="2" t="s">
        <v>1488</v>
      </c>
      <c r="P2433" s="9">
        <v>1.8</v>
      </c>
      <c r="Q2433" s="9">
        <v>2061.41</v>
      </c>
      <c r="R2433" s="2" t="s">
        <v>16707</v>
      </c>
    </row>
    <row r="2434" spans="1:18" x14ac:dyDescent="0.25">
      <c r="A2434" s="2" t="s">
        <v>1492</v>
      </c>
      <c r="B2434" s="6">
        <v>46204</v>
      </c>
      <c r="C2434" s="8">
        <v>46221</v>
      </c>
      <c r="D2434" s="2" t="s">
        <v>136</v>
      </c>
      <c r="E2434" s="2" t="s">
        <v>260</v>
      </c>
      <c r="F2434" s="2" t="s">
        <v>16703</v>
      </c>
      <c r="G2434" s="2" t="s">
        <v>1494</v>
      </c>
      <c r="H2434" s="2" t="s">
        <v>70</v>
      </c>
      <c r="I2434" s="9">
        <v>3238.0182370000002</v>
      </c>
      <c r="J2434" s="7">
        <v>0.65800000000000003</v>
      </c>
      <c r="K2434" s="9">
        <v>2130.62</v>
      </c>
      <c r="L2434" s="14">
        <v>0</v>
      </c>
      <c r="M2434" s="2" t="s">
        <v>71</v>
      </c>
      <c r="N2434" s="2" t="s">
        <v>16706</v>
      </c>
      <c r="O2434" s="2" t="s">
        <v>1493</v>
      </c>
      <c r="P2434" s="9">
        <v>1.8</v>
      </c>
      <c r="Q2434" s="9">
        <v>2130.62</v>
      </c>
      <c r="R2434" s="2" t="s">
        <v>16707</v>
      </c>
    </row>
    <row r="2435" spans="1:18" x14ac:dyDescent="0.25">
      <c r="A2435" s="2" t="s">
        <v>1497</v>
      </c>
      <c r="B2435" s="6">
        <v>46204</v>
      </c>
      <c r="C2435" s="8">
        <v>46232</v>
      </c>
      <c r="D2435" s="2" t="s">
        <v>136</v>
      </c>
      <c r="E2435" s="2" t="s">
        <v>260</v>
      </c>
      <c r="F2435" s="2" t="s">
        <v>16703</v>
      </c>
      <c r="G2435" s="2" t="s">
        <v>1499</v>
      </c>
      <c r="H2435" s="2" t="s">
        <v>39</v>
      </c>
      <c r="I2435" s="9">
        <v>5499.55</v>
      </c>
      <c r="J2435" s="7">
        <v>1</v>
      </c>
      <c r="K2435" s="9">
        <v>5499.55</v>
      </c>
      <c r="L2435" s="14">
        <v>0</v>
      </c>
      <c r="M2435" s="2" t="s">
        <v>71</v>
      </c>
      <c r="N2435" s="2" t="s">
        <v>16706</v>
      </c>
      <c r="O2435" s="2" t="s">
        <v>1498</v>
      </c>
      <c r="P2435" s="9">
        <v>3.02</v>
      </c>
      <c r="Q2435" s="9">
        <v>5499.55</v>
      </c>
      <c r="R2435" s="2" t="s">
        <v>16707</v>
      </c>
    </row>
    <row r="2436" spans="1:18" x14ac:dyDescent="0.25">
      <c r="A2436" s="2" t="s">
        <v>1500</v>
      </c>
      <c r="B2436" s="6">
        <v>46204</v>
      </c>
      <c r="C2436" s="8">
        <v>46233</v>
      </c>
      <c r="D2436" s="2" t="s">
        <v>136</v>
      </c>
      <c r="E2436" s="2" t="s">
        <v>260</v>
      </c>
      <c r="F2436" s="2" t="s">
        <v>16703</v>
      </c>
      <c r="G2436" s="2" t="s">
        <v>1502</v>
      </c>
      <c r="H2436" s="2" t="s">
        <v>76</v>
      </c>
      <c r="I2436" s="9">
        <v>91492903.225805998</v>
      </c>
      <c r="J2436" s="7">
        <v>6.2000000000000003E-5</v>
      </c>
      <c r="K2436" s="9">
        <v>5672.56</v>
      </c>
      <c r="L2436" s="14">
        <v>0</v>
      </c>
      <c r="M2436" s="2" t="s">
        <v>71</v>
      </c>
      <c r="N2436" s="2" t="s">
        <v>16706</v>
      </c>
      <c r="O2436" s="2" t="s">
        <v>1501</v>
      </c>
      <c r="P2436" s="9">
        <v>3.12</v>
      </c>
      <c r="Q2436" s="9">
        <v>5672.56</v>
      </c>
      <c r="R2436" s="2" t="s">
        <v>16707</v>
      </c>
    </row>
    <row r="2437" spans="1:18" x14ac:dyDescent="0.25">
      <c r="A2437" s="2" t="s">
        <v>1503</v>
      </c>
      <c r="B2437" s="6">
        <v>46204</v>
      </c>
      <c r="C2437" s="8">
        <v>46224</v>
      </c>
      <c r="D2437" s="2" t="s">
        <v>136</v>
      </c>
      <c r="E2437" s="2" t="s">
        <v>260</v>
      </c>
      <c r="F2437" s="2" t="s">
        <v>16703</v>
      </c>
      <c r="G2437" s="2" t="s">
        <v>1505</v>
      </c>
      <c r="H2437" s="2" t="s">
        <v>70</v>
      </c>
      <c r="I2437" s="9">
        <v>3553.5379939999998</v>
      </c>
      <c r="J2437" s="7">
        <v>0.65800000000000003</v>
      </c>
      <c r="K2437" s="9">
        <v>2338.23</v>
      </c>
      <c r="L2437" s="14">
        <v>0</v>
      </c>
      <c r="M2437" s="2" t="s">
        <v>71</v>
      </c>
      <c r="N2437" s="2" t="s">
        <v>16706</v>
      </c>
      <c r="O2437" s="2" t="s">
        <v>1504</v>
      </c>
      <c r="P2437" s="9">
        <v>1.8</v>
      </c>
      <c r="Q2437" s="9">
        <v>2338.23</v>
      </c>
      <c r="R2437" s="2" t="s">
        <v>16707</v>
      </c>
    </row>
    <row r="2438" spans="1:18" x14ac:dyDescent="0.25">
      <c r="A2438" s="2" t="s">
        <v>1523</v>
      </c>
      <c r="B2438" s="6">
        <v>46204</v>
      </c>
      <c r="C2438" s="8">
        <v>46230</v>
      </c>
      <c r="D2438" s="2" t="s">
        <v>136</v>
      </c>
      <c r="E2438" s="2" t="s">
        <v>260</v>
      </c>
      <c r="F2438" s="2" t="s">
        <v>16703</v>
      </c>
      <c r="G2438" s="2" t="s">
        <v>1525</v>
      </c>
      <c r="H2438" s="2" t="s">
        <v>70</v>
      </c>
      <c r="I2438" s="9">
        <v>4184.5775080000003</v>
      </c>
      <c r="J2438" s="7">
        <v>0.65800000000000003</v>
      </c>
      <c r="K2438" s="9">
        <v>2753.45</v>
      </c>
      <c r="L2438" s="14">
        <v>0</v>
      </c>
      <c r="M2438" s="2" t="s">
        <v>71</v>
      </c>
      <c r="N2438" s="2" t="s">
        <v>16706</v>
      </c>
      <c r="O2438" s="2" t="s">
        <v>1524</v>
      </c>
      <c r="P2438" s="9">
        <v>1.8</v>
      </c>
      <c r="Q2438" s="9">
        <v>2753.45</v>
      </c>
      <c r="R2438" s="2" t="s">
        <v>16707</v>
      </c>
    </row>
    <row r="2439" spans="1:18" x14ac:dyDescent="0.25">
      <c r="A2439" s="2" t="s">
        <v>1528</v>
      </c>
      <c r="B2439" s="6">
        <v>46204</v>
      </c>
      <c r="C2439" s="8">
        <v>46231</v>
      </c>
      <c r="D2439" s="2" t="s">
        <v>136</v>
      </c>
      <c r="E2439" s="2" t="s">
        <v>260</v>
      </c>
      <c r="F2439" s="2" t="s">
        <v>16703</v>
      </c>
      <c r="G2439" s="2" t="s">
        <v>1530</v>
      </c>
      <c r="H2439" s="2" t="s">
        <v>39</v>
      </c>
      <c r="I2439" s="9">
        <v>2822.6559999999999</v>
      </c>
      <c r="J2439" s="7">
        <v>1</v>
      </c>
      <c r="K2439" s="9">
        <v>2822.66</v>
      </c>
      <c r="L2439" s="14">
        <v>0</v>
      </c>
      <c r="M2439" s="2" t="s">
        <v>71</v>
      </c>
      <c r="N2439" s="2" t="s">
        <v>16706</v>
      </c>
      <c r="O2439" s="2" t="s">
        <v>1529</v>
      </c>
      <c r="P2439" s="9">
        <v>1.8</v>
      </c>
      <c r="Q2439" s="9">
        <v>2822.66</v>
      </c>
      <c r="R2439" s="2" t="s">
        <v>16707</v>
      </c>
    </row>
    <row r="2440" spans="1:18" x14ac:dyDescent="0.25">
      <c r="A2440" s="2" t="s">
        <v>1539</v>
      </c>
      <c r="B2440" s="6">
        <v>46204</v>
      </c>
      <c r="C2440" s="8">
        <v>46234</v>
      </c>
      <c r="D2440" s="2" t="s">
        <v>136</v>
      </c>
      <c r="E2440" s="2" t="s">
        <v>260</v>
      </c>
      <c r="F2440" s="2" t="s">
        <v>16703</v>
      </c>
      <c r="G2440" s="2" t="s">
        <v>1541</v>
      </c>
      <c r="H2440" s="2" t="s">
        <v>39</v>
      </c>
      <c r="I2440" s="9">
        <v>3030.268</v>
      </c>
      <c r="J2440" s="7">
        <v>1</v>
      </c>
      <c r="K2440" s="9">
        <v>3030.27</v>
      </c>
      <c r="L2440" s="14">
        <v>0</v>
      </c>
      <c r="M2440" s="2" t="s">
        <v>71</v>
      </c>
      <c r="N2440" s="2" t="s">
        <v>16706</v>
      </c>
      <c r="O2440" s="2" t="s">
        <v>1540</v>
      </c>
      <c r="P2440" s="9">
        <v>1.8</v>
      </c>
      <c r="Q2440" s="9">
        <v>3030.27</v>
      </c>
      <c r="R2440" s="2" t="s">
        <v>16707</v>
      </c>
    </row>
    <row r="2441" spans="1:18" x14ac:dyDescent="0.25">
      <c r="A2441" s="2" t="s">
        <v>1592</v>
      </c>
      <c r="B2441" s="6">
        <v>46204</v>
      </c>
      <c r="C2441" s="8">
        <v>46228</v>
      </c>
      <c r="D2441" s="2" t="s">
        <v>136</v>
      </c>
      <c r="E2441" s="2" t="s">
        <v>260</v>
      </c>
      <c r="F2441" s="2" t="s">
        <v>16703</v>
      </c>
      <c r="G2441" s="2" t="s">
        <v>1594</v>
      </c>
      <c r="H2441" s="2" t="s">
        <v>39</v>
      </c>
      <c r="I2441" s="9">
        <v>10170.82</v>
      </c>
      <c r="J2441" s="7">
        <v>1</v>
      </c>
      <c r="K2441" s="9">
        <v>10170.82</v>
      </c>
      <c r="L2441" s="14">
        <v>0</v>
      </c>
      <c r="M2441" s="2" t="s">
        <v>71</v>
      </c>
      <c r="N2441" s="2" t="s">
        <v>16706</v>
      </c>
      <c r="O2441" s="2" t="s">
        <v>1593</v>
      </c>
      <c r="P2441" s="9">
        <v>5.59</v>
      </c>
      <c r="Q2441" s="9">
        <v>10170.82</v>
      </c>
      <c r="R2441" s="2" t="s">
        <v>16707</v>
      </c>
    </row>
    <row r="2442" spans="1:18" x14ac:dyDescent="0.25">
      <c r="A2442" s="2" t="s">
        <v>1595</v>
      </c>
      <c r="B2442" s="6">
        <v>46204</v>
      </c>
      <c r="C2442" s="8">
        <v>46219</v>
      </c>
      <c r="D2442" s="2" t="s">
        <v>136</v>
      </c>
      <c r="E2442" s="2" t="s">
        <v>260</v>
      </c>
      <c r="F2442" s="2" t="s">
        <v>16703</v>
      </c>
      <c r="G2442" s="2" t="s">
        <v>1597</v>
      </c>
      <c r="H2442" s="2" t="s">
        <v>76</v>
      </c>
      <c r="I2442" s="9">
        <v>66734387.096773997</v>
      </c>
      <c r="J2442" s="7">
        <v>6.2000000000000003E-5</v>
      </c>
      <c r="K2442" s="9">
        <v>4137.53</v>
      </c>
      <c r="L2442" s="14">
        <v>0</v>
      </c>
      <c r="M2442" s="2" t="s">
        <v>71</v>
      </c>
      <c r="N2442" s="2" t="s">
        <v>16706</v>
      </c>
      <c r="O2442" s="2" t="s">
        <v>1596</v>
      </c>
      <c r="P2442" s="9">
        <v>2.2799999999999998</v>
      </c>
      <c r="Q2442" s="9">
        <v>4137.53</v>
      </c>
      <c r="R2442" s="2" t="s">
        <v>16707</v>
      </c>
    </row>
    <row r="2443" spans="1:18" x14ac:dyDescent="0.25">
      <c r="A2443" s="2" t="s">
        <v>1600</v>
      </c>
      <c r="B2443" s="6">
        <v>46204</v>
      </c>
      <c r="C2443" s="8">
        <v>46220</v>
      </c>
      <c r="D2443" s="2" t="s">
        <v>136</v>
      </c>
      <c r="E2443" s="2" t="s">
        <v>260</v>
      </c>
      <c r="F2443" s="2" t="s">
        <v>16703</v>
      </c>
      <c r="G2443" s="2" t="s">
        <v>1602</v>
      </c>
      <c r="H2443" s="2" t="s">
        <v>70</v>
      </c>
      <c r="I2443" s="9">
        <v>6393.2158060000002</v>
      </c>
      <c r="J2443" s="7">
        <v>0.65800000000000003</v>
      </c>
      <c r="K2443" s="9">
        <v>4206.74</v>
      </c>
      <c r="L2443" s="14">
        <v>0</v>
      </c>
      <c r="M2443" s="2" t="s">
        <v>71</v>
      </c>
      <c r="N2443" s="2" t="s">
        <v>16706</v>
      </c>
      <c r="O2443" s="2" t="s">
        <v>1601</v>
      </c>
      <c r="P2443" s="9">
        <v>2.31</v>
      </c>
      <c r="Q2443" s="9">
        <v>4206.74</v>
      </c>
      <c r="R2443" s="2" t="s">
        <v>16707</v>
      </c>
    </row>
    <row r="2444" spans="1:18" x14ac:dyDescent="0.25">
      <c r="A2444" s="2" t="s">
        <v>1605</v>
      </c>
      <c r="B2444" s="6">
        <v>46204</v>
      </c>
      <c r="C2444" s="8">
        <v>46231</v>
      </c>
      <c r="D2444" s="2" t="s">
        <v>136</v>
      </c>
      <c r="E2444" s="2" t="s">
        <v>260</v>
      </c>
      <c r="F2444" s="2" t="s">
        <v>16703</v>
      </c>
      <c r="G2444" s="2" t="s">
        <v>1607</v>
      </c>
      <c r="H2444" s="2" t="s">
        <v>39</v>
      </c>
      <c r="I2444" s="9">
        <v>10689.85</v>
      </c>
      <c r="J2444" s="7">
        <v>1</v>
      </c>
      <c r="K2444" s="9">
        <v>10689.85</v>
      </c>
      <c r="L2444" s="14">
        <v>0</v>
      </c>
      <c r="M2444" s="2" t="s">
        <v>71</v>
      </c>
      <c r="N2444" s="2" t="s">
        <v>16706</v>
      </c>
      <c r="O2444" s="2" t="s">
        <v>1606</v>
      </c>
      <c r="P2444" s="9">
        <v>5.88</v>
      </c>
      <c r="Q2444" s="9">
        <v>10689.85</v>
      </c>
      <c r="R2444" s="2" t="s">
        <v>16707</v>
      </c>
    </row>
    <row r="2445" spans="1:18" x14ac:dyDescent="0.25">
      <c r="A2445" s="2" t="s">
        <v>1608</v>
      </c>
      <c r="B2445" s="6">
        <v>46204</v>
      </c>
      <c r="C2445" s="8">
        <v>46232</v>
      </c>
      <c r="D2445" s="2" t="s">
        <v>136</v>
      </c>
      <c r="E2445" s="2" t="s">
        <v>260</v>
      </c>
      <c r="F2445" s="2" t="s">
        <v>16703</v>
      </c>
      <c r="G2445" s="2" t="s">
        <v>1610</v>
      </c>
      <c r="H2445" s="2" t="s">
        <v>76</v>
      </c>
      <c r="I2445" s="9">
        <v>175207419.354839</v>
      </c>
      <c r="J2445" s="7">
        <v>6.2000000000000003E-5</v>
      </c>
      <c r="K2445" s="9">
        <v>10862.86</v>
      </c>
      <c r="L2445" s="14">
        <v>0</v>
      </c>
      <c r="M2445" s="2" t="s">
        <v>71</v>
      </c>
      <c r="N2445" s="2" t="s">
        <v>16706</v>
      </c>
      <c r="O2445" s="2" t="s">
        <v>1609</v>
      </c>
      <c r="P2445" s="9">
        <v>5.97</v>
      </c>
      <c r="Q2445" s="9">
        <v>10862.86</v>
      </c>
      <c r="R2445" s="2" t="s">
        <v>16707</v>
      </c>
    </row>
    <row r="2446" spans="1:18" x14ac:dyDescent="0.25">
      <c r="A2446" s="2" t="s">
        <v>1611</v>
      </c>
      <c r="B2446" s="6">
        <v>46204</v>
      </c>
      <c r="C2446" s="8">
        <v>46223</v>
      </c>
      <c r="D2446" s="2" t="s">
        <v>136</v>
      </c>
      <c r="E2446" s="2" t="s">
        <v>260</v>
      </c>
      <c r="F2446" s="2" t="s">
        <v>16703</v>
      </c>
      <c r="G2446" s="2" t="s">
        <v>1613</v>
      </c>
      <c r="H2446" s="2" t="s">
        <v>70</v>
      </c>
      <c r="I2446" s="9">
        <v>6708.7355619999998</v>
      </c>
      <c r="J2446" s="7">
        <v>0.65800000000000003</v>
      </c>
      <c r="K2446" s="9">
        <v>4414.3500000000004</v>
      </c>
      <c r="L2446" s="14">
        <v>0</v>
      </c>
      <c r="M2446" s="2" t="s">
        <v>71</v>
      </c>
      <c r="N2446" s="2" t="s">
        <v>16706</v>
      </c>
      <c r="O2446" s="2" t="s">
        <v>1612</v>
      </c>
      <c r="P2446" s="9">
        <v>2.4300000000000002</v>
      </c>
      <c r="Q2446" s="9">
        <v>4414.3500000000004</v>
      </c>
      <c r="R2446" s="2" t="s">
        <v>16707</v>
      </c>
    </row>
    <row r="2447" spans="1:18" x14ac:dyDescent="0.25">
      <c r="A2447" s="2" t="s">
        <v>1616</v>
      </c>
      <c r="B2447" s="6">
        <v>46204</v>
      </c>
      <c r="C2447" s="8">
        <v>46234</v>
      </c>
      <c r="D2447" s="2" t="s">
        <v>136</v>
      </c>
      <c r="E2447" s="2" t="s">
        <v>260</v>
      </c>
      <c r="F2447" s="2" t="s">
        <v>16703</v>
      </c>
      <c r="G2447" s="2" t="s">
        <v>1618</v>
      </c>
      <c r="H2447" s="2" t="s">
        <v>39</v>
      </c>
      <c r="I2447" s="9">
        <v>11208.88</v>
      </c>
      <c r="J2447" s="7">
        <v>1</v>
      </c>
      <c r="K2447" s="9">
        <v>11208.88</v>
      </c>
      <c r="L2447" s="14">
        <v>0</v>
      </c>
      <c r="M2447" s="2" t="s">
        <v>71</v>
      </c>
      <c r="N2447" s="2" t="s">
        <v>16706</v>
      </c>
      <c r="O2447" s="2" t="s">
        <v>1617</v>
      </c>
      <c r="P2447" s="9">
        <v>6.16</v>
      </c>
      <c r="Q2447" s="9">
        <v>11208.88</v>
      </c>
      <c r="R2447" s="2" t="s">
        <v>16707</v>
      </c>
    </row>
    <row r="2448" spans="1:18" x14ac:dyDescent="0.25">
      <c r="A2448" s="2" t="s">
        <v>1631</v>
      </c>
      <c r="B2448" s="6">
        <v>46204</v>
      </c>
      <c r="C2448" s="8">
        <v>46229</v>
      </c>
      <c r="D2448" s="2" t="s">
        <v>136</v>
      </c>
      <c r="E2448" s="2" t="s">
        <v>260</v>
      </c>
      <c r="F2448" s="2" t="s">
        <v>16703</v>
      </c>
      <c r="G2448" s="2" t="s">
        <v>1633</v>
      </c>
      <c r="H2448" s="2" t="s">
        <v>70</v>
      </c>
      <c r="I2448" s="9">
        <v>7339.7750759999999</v>
      </c>
      <c r="J2448" s="7">
        <v>0.65800000000000003</v>
      </c>
      <c r="K2448" s="9">
        <v>4829.57</v>
      </c>
      <c r="L2448" s="14">
        <v>0</v>
      </c>
      <c r="M2448" s="2" t="s">
        <v>71</v>
      </c>
      <c r="N2448" s="2" t="s">
        <v>16706</v>
      </c>
      <c r="O2448" s="2" t="s">
        <v>1632</v>
      </c>
      <c r="P2448" s="9">
        <v>2.66</v>
      </c>
      <c r="Q2448" s="9">
        <v>4829.57</v>
      </c>
      <c r="R2448" s="2" t="s">
        <v>16707</v>
      </c>
    </row>
    <row r="2449" spans="1:18" x14ac:dyDescent="0.25">
      <c r="A2449" s="2" t="s">
        <v>1636</v>
      </c>
      <c r="B2449" s="6">
        <v>46204</v>
      </c>
      <c r="C2449" s="8">
        <v>46230</v>
      </c>
      <c r="D2449" s="2" t="s">
        <v>136</v>
      </c>
      <c r="E2449" s="2" t="s">
        <v>260</v>
      </c>
      <c r="F2449" s="2" t="s">
        <v>16703</v>
      </c>
      <c r="G2449" s="2" t="s">
        <v>1638</v>
      </c>
      <c r="H2449" s="2" t="s">
        <v>39</v>
      </c>
      <c r="I2449" s="9">
        <v>4898.7759999999998</v>
      </c>
      <c r="J2449" s="7">
        <v>1</v>
      </c>
      <c r="K2449" s="9">
        <v>4898.78</v>
      </c>
      <c r="L2449" s="14">
        <v>0</v>
      </c>
      <c r="M2449" s="2" t="s">
        <v>71</v>
      </c>
      <c r="N2449" s="2" t="s">
        <v>16706</v>
      </c>
      <c r="O2449" s="2" t="s">
        <v>1637</v>
      </c>
      <c r="P2449" s="9">
        <v>2.69</v>
      </c>
      <c r="Q2449" s="9">
        <v>4898.78</v>
      </c>
      <c r="R2449" s="2" t="s">
        <v>16707</v>
      </c>
    </row>
    <row r="2450" spans="1:18" x14ac:dyDescent="0.25">
      <c r="A2450" s="2" t="s">
        <v>1647</v>
      </c>
      <c r="B2450" s="6">
        <v>46204</v>
      </c>
      <c r="C2450" s="8">
        <v>46233</v>
      </c>
      <c r="D2450" s="2" t="s">
        <v>136</v>
      </c>
      <c r="E2450" s="2" t="s">
        <v>260</v>
      </c>
      <c r="F2450" s="2" t="s">
        <v>16703</v>
      </c>
      <c r="G2450" s="2" t="s">
        <v>1649</v>
      </c>
      <c r="H2450" s="2" t="s">
        <v>39</v>
      </c>
      <c r="I2450" s="9">
        <v>5106</v>
      </c>
      <c r="J2450" s="7">
        <v>1</v>
      </c>
      <c r="K2450" s="9">
        <v>5106</v>
      </c>
      <c r="L2450" s="14">
        <v>0</v>
      </c>
      <c r="M2450" s="2" t="s">
        <v>71</v>
      </c>
      <c r="N2450" s="2" t="s">
        <v>16706</v>
      </c>
      <c r="O2450" s="2" t="s">
        <v>1648</v>
      </c>
      <c r="P2450" s="9">
        <v>2.81</v>
      </c>
      <c r="Q2450" s="9">
        <v>5106</v>
      </c>
      <c r="R2450" s="2" t="s">
        <v>16707</v>
      </c>
    </row>
    <row r="2451" spans="1:18" x14ac:dyDescent="0.25">
      <c r="A2451" s="2" t="s">
        <v>1703</v>
      </c>
      <c r="B2451" s="6">
        <v>46204</v>
      </c>
      <c r="C2451" s="8">
        <v>46218</v>
      </c>
      <c r="D2451" s="2" t="s">
        <v>136</v>
      </c>
      <c r="E2451" s="2" t="s">
        <v>260</v>
      </c>
      <c r="F2451" s="2" t="s">
        <v>16703</v>
      </c>
      <c r="G2451" s="2" t="s">
        <v>1705</v>
      </c>
      <c r="H2451" s="2" t="s">
        <v>76</v>
      </c>
      <c r="I2451" s="9">
        <v>9891354.8387100007</v>
      </c>
      <c r="J2451" s="7">
        <v>6.2000000000000003E-5</v>
      </c>
      <c r="K2451" s="9">
        <v>613.26</v>
      </c>
      <c r="L2451" s="14">
        <v>0</v>
      </c>
      <c r="M2451" s="2" t="s">
        <v>71</v>
      </c>
      <c r="N2451" s="2" t="s">
        <v>16706</v>
      </c>
      <c r="O2451" s="2" t="s">
        <v>1704</v>
      </c>
      <c r="P2451" s="9">
        <v>1.8</v>
      </c>
      <c r="Q2451" s="9">
        <v>613.26</v>
      </c>
      <c r="R2451" s="2" t="s">
        <v>16707</v>
      </c>
    </row>
    <row r="2452" spans="1:18" x14ac:dyDescent="0.25">
      <c r="A2452" s="2" t="s">
        <v>1708</v>
      </c>
      <c r="B2452" s="6">
        <v>46204</v>
      </c>
      <c r="C2452" s="8">
        <v>46219</v>
      </c>
      <c r="D2452" s="2" t="s">
        <v>136</v>
      </c>
      <c r="E2452" s="2" t="s">
        <v>260</v>
      </c>
      <c r="F2452" s="2" t="s">
        <v>16703</v>
      </c>
      <c r="G2452" s="2" t="s">
        <v>1710</v>
      </c>
      <c r="H2452" s="2" t="s">
        <v>70</v>
      </c>
      <c r="I2452" s="9">
        <v>1037.18541</v>
      </c>
      <c r="J2452" s="7">
        <v>0.65800000000000003</v>
      </c>
      <c r="K2452" s="9">
        <v>682.47</v>
      </c>
      <c r="L2452" s="14">
        <v>0</v>
      </c>
      <c r="M2452" s="2" t="s">
        <v>71</v>
      </c>
      <c r="N2452" s="2" t="s">
        <v>16706</v>
      </c>
      <c r="O2452" s="2" t="s">
        <v>1709</v>
      </c>
      <c r="P2452" s="9">
        <v>1.8</v>
      </c>
      <c r="Q2452" s="9">
        <v>682.47</v>
      </c>
      <c r="R2452" s="2" t="s">
        <v>16707</v>
      </c>
    </row>
    <row r="2453" spans="1:18" x14ac:dyDescent="0.25">
      <c r="A2453" s="2" t="s">
        <v>1713</v>
      </c>
      <c r="B2453" s="6">
        <v>46204</v>
      </c>
      <c r="C2453" s="8">
        <v>46230</v>
      </c>
      <c r="D2453" s="2" t="s">
        <v>136</v>
      </c>
      <c r="E2453" s="2" t="s">
        <v>260</v>
      </c>
      <c r="F2453" s="2" t="s">
        <v>16703</v>
      </c>
      <c r="G2453" s="2" t="s">
        <v>1715</v>
      </c>
      <c r="H2453" s="2" t="s">
        <v>39</v>
      </c>
      <c r="I2453" s="9">
        <v>1879.18</v>
      </c>
      <c r="J2453" s="7">
        <v>1</v>
      </c>
      <c r="K2453" s="9">
        <v>1879.18</v>
      </c>
      <c r="L2453" s="14">
        <v>0</v>
      </c>
      <c r="M2453" s="2" t="s">
        <v>71</v>
      </c>
      <c r="N2453" s="2" t="s">
        <v>16706</v>
      </c>
      <c r="O2453" s="2" t="s">
        <v>1714</v>
      </c>
      <c r="P2453" s="9">
        <v>1.8</v>
      </c>
      <c r="Q2453" s="9">
        <v>1879.18</v>
      </c>
      <c r="R2453" s="2" t="s">
        <v>16707</v>
      </c>
    </row>
    <row r="2454" spans="1:18" x14ac:dyDescent="0.25">
      <c r="A2454" s="2" t="s">
        <v>1716</v>
      </c>
      <c r="B2454" s="6">
        <v>46204</v>
      </c>
      <c r="C2454" s="8">
        <v>46231</v>
      </c>
      <c r="D2454" s="2" t="s">
        <v>136</v>
      </c>
      <c r="E2454" s="2" t="s">
        <v>260</v>
      </c>
      <c r="F2454" s="2" t="s">
        <v>16703</v>
      </c>
      <c r="G2454" s="2" t="s">
        <v>1718</v>
      </c>
      <c r="H2454" s="2" t="s">
        <v>76</v>
      </c>
      <c r="I2454" s="9">
        <v>33099838.709677</v>
      </c>
      <c r="J2454" s="7">
        <v>6.2000000000000003E-5</v>
      </c>
      <c r="K2454" s="9">
        <v>2052.19</v>
      </c>
      <c r="L2454" s="14">
        <v>0</v>
      </c>
      <c r="M2454" s="2" t="s">
        <v>71</v>
      </c>
      <c r="N2454" s="2" t="s">
        <v>16706</v>
      </c>
      <c r="O2454" s="2" t="s">
        <v>1717</v>
      </c>
      <c r="P2454" s="9">
        <v>1.8</v>
      </c>
      <c r="Q2454" s="9">
        <v>2052.19</v>
      </c>
      <c r="R2454" s="2" t="s">
        <v>16707</v>
      </c>
    </row>
    <row r="2455" spans="1:18" x14ac:dyDescent="0.25">
      <c r="A2455" s="2" t="s">
        <v>1719</v>
      </c>
      <c r="B2455" s="6">
        <v>46204</v>
      </c>
      <c r="C2455" s="8">
        <v>46222</v>
      </c>
      <c r="D2455" s="2" t="s">
        <v>136</v>
      </c>
      <c r="E2455" s="2" t="s">
        <v>260</v>
      </c>
      <c r="F2455" s="2" t="s">
        <v>16703</v>
      </c>
      <c r="G2455" s="2" t="s">
        <v>1721</v>
      </c>
      <c r="H2455" s="2" t="s">
        <v>70</v>
      </c>
      <c r="I2455" s="9">
        <v>1352.7051670000001</v>
      </c>
      <c r="J2455" s="7">
        <v>0.65800000000000003</v>
      </c>
      <c r="K2455" s="9">
        <v>890.08</v>
      </c>
      <c r="L2455" s="14">
        <v>0</v>
      </c>
      <c r="M2455" s="2" t="s">
        <v>71</v>
      </c>
      <c r="N2455" s="2" t="s">
        <v>16706</v>
      </c>
      <c r="O2455" s="2" t="s">
        <v>1720</v>
      </c>
      <c r="P2455" s="9">
        <v>1.8</v>
      </c>
      <c r="Q2455" s="9">
        <v>890.08</v>
      </c>
      <c r="R2455" s="2" t="s">
        <v>16707</v>
      </c>
    </row>
    <row r="2456" spans="1:18" x14ac:dyDescent="0.25">
      <c r="A2456" s="2" t="s">
        <v>1724</v>
      </c>
      <c r="B2456" s="6">
        <v>46204</v>
      </c>
      <c r="C2456" s="8">
        <v>46233</v>
      </c>
      <c r="D2456" s="2" t="s">
        <v>136</v>
      </c>
      <c r="E2456" s="2" t="s">
        <v>260</v>
      </c>
      <c r="F2456" s="2" t="s">
        <v>16703</v>
      </c>
      <c r="G2456" s="2" t="s">
        <v>1726</v>
      </c>
      <c r="H2456" s="2" t="s">
        <v>39</v>
      </c>
      <c r="I2456" s="9">
        <v>2398.21</v>
      </c>
      <c r="J2456" s="7">
        <v>1</v>
      </c>
      <c r="K2456" s="9">
        <v>2398.21</v>
      </c>
      <c r="L2456" s="14">
        <v>0</v>
      </c>
      <c r="M2456" s="2" t="s">
        <v>71</v>
      </c>
      <c r="N2456" s="2" t="s">
        <v>16706</v>
      </c>
      <c r="O2456" s="2" t="s">
        <v>1725</v>
      </c>
      <c r="P2456" s="9">
        <v>1.8</v>
      </c>
      <c r="Q2456" s="9">
        <v>2398.21</v>
      </c>
      <c r="R2456" s="2" t="s">
        <v>16707</v>
      </c>
    </row>
    <row r="2457" spans="1:18" x14ac:dyDescent="0.25">
      <c r="A2457" s="2" t="s">
        <v>1727</v>
      </c>
      <c r="B2457" s="6">
        <v>46204</v>
      </c>
      <c r="C2457" s="8">
        <v>46234</v>
      </c>
      <c r="D2457" s="2" t="s">
        <v>136</v>
      </c>
      <c r="E2457" s="2" t="s">
        <v>260</v>
      </c>
      <c r="F2457" s="2" t="s">
        <v>16703</v>
      </c>
      <c r="G2457" s="2" t="s">
        <v>1729</v>
      </c>
      <c r="H2457" s="2" t="s">
        <v>76</v>
      </c>
      <c r="I2457" s="9">
        <v>-41471290.322581001</v>
      </c>
      <c r="J2457" s="7">
        <v>6.2000000000000003E-5</v>
      </c>
      <c r="K2457" s="9">
        <v>-2571.2199999999998</v>
      </c>
      <c r="L2457" s="14">
        <v>0</v>
      </c>
      <c r="M2457" s="2" t="s">
        <v>71</v>
      </c>
      <c r="N2457" s="2" t="s">
        <v>16706</v>
      </c>
      <c r="O2457" s="2" t="s">
        <v>1728</v>
      </c>
      <c r="P2457" s="9">
        <v>0</v>
      </c>
      <c r="Q2457" s="9">
        <v>-2571.2199999999998</v>
      </c>
      <c r="R2457" s="2" t="s">
        <v>16707</v>
      </c>
    </row>
    <row r="2458" spans="1:18" x14ac:dyDescent="0.25">
      <c r="A2458" s="2" t="s">
        <v>1739</v>
      </c>
      <c r="B2458" s="6">
        <v>46204</v>
      </c>
      <c r="C2458" s="8">
        <v>46228</v>
      </c>
      <c r="D2458" s="2" t="s">
        <v>136</v>
      </c>
      <c r="E2458" s="2" t="s">
        <v>260</v>
      </c>
      <c r="F2458" s="2" t="s">
        <v>16703</v>
      </c>
      <c r="G2458" s="2" t="s">
        <v>1741</v>
      </c>
      <c r="H2458" s="2" t="s">
        <v>70</v>
      </c>
      <c r="I2458" s="9">
        <v>1983.7446809999999</v>
      </c>
      <c r="J2458" s="7">
        <v>0.65800000000000003</v>
      </c>
      <c r="K2458" s="9">
        <v>1305.3</v>
      </c>
      <c r="L2458" s="14">
        <v>0</v>
      </c>
      <c r="M2458" s="2" t="s">
        <v>71</v>
      </c>
      <c r="N2458" s="2" t="s">
        <v>16706</v>
      </c>
      <c r="O2458" s="2" t="s">
        <v>1740</v>
      </c>
      <c r="P2458" s="9">
        <v>1.8</v>
      </c>
      <c r="Q2458" s="9">
        <v>1305.3</v>
      </c>
      <c r="R2458" s="2" t="s">
        <v>16707</v>
      </c>
    </row>
    <row r="2459" spans="1:18" x14ac:dyDescent="0.25">
      <c r="A2459" s="2" t="s">
        <v>1744</v>
      </c>
      <c r="B2459" s="6">
        <v>46204</v>
      </c>
      <c r="C2459" s="8">
        <v>46229</v>
      </c>
      <c r="D2459" s="2" t="s">
        <v>136</v>
      </c>
      <c r="E2459" s="2" t="s">
        <v>260</v>
      </c>
      <c r="F2459" s="2" t="s">
        <v>16703</v>
      </c>
      <c r="G2459" s="2" t="s">
        <v>1746</v>
      </c>
      <c r="H2459" s="2" t="s">
        <v>39</v>
      </c>
      <c r="I2459" s="9">
        <v>1374.508</v>
      </c>
      <c r="J2459" s="7">
        <v>1</v>
      </c>
      <c r="K2459" s="9">
        <v>1374.51</v>
      </c>
      <c r="L2459" s="14">
        <v>0</v>
      </c>
      <c r="M2459" s="2" t="s">
        <v>71</v>
      </c>
      <c r="N2459" s="2" t="s">
        <v>16706</v>
      </c>
      <c r="O2459" s="2" t="s">
        <v>1745</v>
      </c>
      <c r="P2459" s="9">
        <v>1.8</v>
      </c>
      <c r="Q2459" s="9">
        <v>1374.51</v>
      </c>
      <c r="R2459" s="2" t="s">
        <v>16707</v>
      </c>
    </row>
    <row r="2460" spans="1:18" x14ac:dyDescent="0.25">
      <c r="A2460" s="2" t="s">
        <v>1755</v>
      </c>
      <c r="B2460" s="6">
        <v>46204</v>
      </c>
      <c r="C2460" s="8">
        <v>46232</v>
      </c>
      <c r="D2460" s="2" t="s">
        <v>136</v>
      </c>
      <c r="E2460" s="2" t="s">
        <v>260</v>
      </c>
      <c r="F2460" s="2" t="s">
        <v>16703</v>
      </c>
      <c r="G2460" s="2" t="s">
        <v>1757</v>
      </c>
      <c r="H2460" s="2" t="s">
        <v>39</v>
      </c>
      <c r="I2460" s="9">
        <v>1582.12</v>
      </c>
      <c r="J2460" s="7">
        <v>1</v>
      </c>
      <c r="K2460" s="9">
        <v>1582.12</v>
      </c>
      <c r="L2460" s="14">
        <v>0</v>
      </c>
      <c r="M2460" s="2" t="s">
        <v>71</v>
      </c>
      <c r="N2460" s="2" t="s">
        <v>16706</v>
      </c>
      <c r="O2460" s="2" t="s">
        <v>1756</v>
      </c>
      <c r="P2460" s="9">
        <v>1.8</v>
      </c>
      <c r="Q2460" s="9">
        <v>1582.12</v>
      </c>
      <c r="R2460" s="2" t="s">
        <v>16707</v>
      </c>
    </row>
    <row r="2461" spans="1:18" x14ac:dyDescent="0.25">
      <c r="A2461" s="2" t="s">
        <v>1816</v>
      </c>
      <c r="B2461" s="6">
        <v>46204</v>
      </c>
      <c r="C2461" s="8">
        <v>46218</v>
      </c>
      <c r="D2461" s="2" t="s">
        <v>136</v>
      </c>
      <c r="E2461" s="2" t="s">
        <v>260</v>
      </c>
      <c r="F2461" s="2" t="s">
        <v>16703</v>
      </c>
      <c r="G2461" s="2" t="s">
        <v>1818</v>
      </c>
      <c r="H2461" s="2" t="s">
        <v>70</v>
      </c>
      <c r="I2461" s="9">
        <v>4192.382979</v>
      </c>
      <c r="J2461" s="7">
        <v>0.65800000000000003</v>
      </c>
      <c r="K2461" s="9">
        <v>2758.59</v>
      </c>
      <c r="L2461" s="14">
        <v>0</v>
      </c>
      <c r="M2461" s="2" t="s">
        <v>71</v>
      </c>
      <c r="N2461" s="2" t="s">
        <v>16706</v>
      </c>
      <c r="O2461" s="2" t="s">
        <v>1817</v>
      </c>
      <c r="P2461" s="9">
        <v>1.8</v>
      </c>
      <c r="Q2461" s="9">
        <v>2758.59</v>
      </c>
      <c r="R2461" s="2" t="s">
        <v>16707</v>
      </c>
    </row>
    <row r="2462" spans="1:18" x14ac:dyDescent="0.25">
      <c r="A2462" s="2" t="s">
        <v>1821</v>
      </c>
      <c r="B2462" s="6">
        <v>46204</v>
      </c>
      <c r="C2462" s="8">
        <v>46229</v>
      </c>
      <c r="D2462" s="2" t="s">
        <v>136</v>
      </c>
      <c r="E2462" s="2" t="s">
        <v>260</v>
      </c>
      <c r="F2462" s="2" t="s">
        <v>16703</v>
      </c>
      <c r="G2462" s="2" t="s">
        <v>1823</v>
      </c>
      <c r="H2462" s="2" t="s">
        <v>39</v>
      </c>
      <c r="I2462" s="9">
        <v>7069.48</v>
      </c>
      <c r="J2462" s="7">
        <v>1</v>
      </c>
      <c r="K2462" s="9">
        <v>7069.48</v>
      </c>
      <c r="L2462" s="14">
        <v>0</v>
      </c>
      <c r="M2462" s="2" t="s">
        <v>71</v>
      </c>
      <c r="N2462" s="2" t="s">
        <v>16706</v>
      </c>
      <c r="O2462" s="2" t="s">
        <v>1822</v>
      </c>
      <c r="P2462" s="9">
        <v>3.89</v>
      </c>
      <c r="Q2462" s="9">
        <v>7069.48</v>
      </c>
      <c r="R2462" s="2" t="s">
        <v>16707</v>
      </c>
    </row>
    <row r="2463" spans="1:18" x14ac:dyDescent="0.25">
      <c r="A2463" s="2" t="s">
        <v>1824</v>
      </c>
      <c r="B2463" s="6">
        <v>46204</v>
      </c>
      <c r="C2463" s="8">
        <v>46230</v>
      </c>
      <c r="D2463" s="2" t="s">
        <v>136</v>
      </c>
      <c r="E2463" s="2" t="s">
        <v>260</v>
      </c>
      <c r="F2463" s="2" t="s">
        <v>16703</v>
      </c>
      <c r="G2463" s="2" t="s">
        <v>1826</v>
      </c>
      <c r="H2463" s="2" t="s">
        <v>76</v>
      </c>
      <c r="I2463" s="9">
        <v>116814354.83871</v>
      </c>
      <c r="J2463" s="7">
        <v>6.2000000000000003E-5</v>
      </c>
      <c r="K2463" s="9">
        <v>7242.49</v>
      </c>
      <c r="L2463" s="14">
        <v>0</v>
      </c>
      <c r="M2463" s="2" t="s">
        <v>71</v>
      </c>
      <c r="N2463" s="2" t="s">
        <v>16706</v>
      </c>
      <c r="O2463" s="2" t="s">
        <v>1825</v>
      </c>
      <c r="P2463" s="9">
        <v>3.98</v>
      </c>
      <c r="Q2463" s="9">
        <v>7242.49</v>
      </c>
      <c r="R2463" s="2" t="s">
        <v>16707</v>
      </c>
    </row>
    <row r="2464" spans="1:18" x14ac:dyDescent="0.25">
      <c r="A2464" s="2" t="s">
        <v>1827</v>
      </c>
      <c r="B2464" s="6">
        <v>46204</v>
      </c>
      <c r="C2464" s="8">
        <v>46221</v>
      </c>
      <c r="D2464" s="2" t="s">
        <v>136</v>
      </c>
      <c r="E2464" s="2" t="s">
        <v>260</v>
      </c>
      <c r="F2464" s="2" t="s">
        <v>16703</v>
      </c>
      <c r="G2464" s="2" t="s">
        <v>1829</v>
      </c>
      <c r="H2464" s="2" t="s">
        <v>70</v>
      </c>
      <c r="I2464" s="9">
        <v>4507.902736</v>
      </c>
      <c r="J2464" s="7">
        <v>0.65800000000000003</v>
      </c>
      <c r="K2464" s="9">
        <v>2966.2</v>
      </c>
      <c r="L2464" s="14">
        <v>0</v>
      </c>
      <c r="M2464" s="2" t="s">
        <v>71</v>
      </c>
      <c r="N2464" s="2" t="s">
        <v>16706</v>
      </c>
      <c r="O2464" s="2" t="s">
        <v>1828</v>
      </c>
      <c r="P2464" s="9">
        <v>1.8</v>
      </c>
      <c r="Q2464" s="9">
        <v>2966.2</v>
      </c>
      <c r="R2464" s="2" t="s">
        <v>16707</v>
      </c>
    </row>
    <row r="2465" spans="1:18" x14ac:dyDescent="0.25">
      <c r="A2465" s="2" t="s">
        <v>1832</v>
      </c>
      <c r="B2465" s="6">
        <v>46204</v>
      </c>
      <c r="C2465" s="8">
        <v>46232</v>
      </c>
      <c r="D2465" s="2" t="s">
        <v>136</v>
      </c>
      <c r="E2465" s="2" t="s">
        <v>260</v>
      </c>
      <c r="F2465" s="2" t="s">
        <v>16703</v>
      </c>
      <c r="G2465" s="2" t="s">
        <v>1834</v>
      </c>
      <c r="H2465" s="2" t="s">
        <v>39</v>
      </c>
      <c r="I2465" s="9">
        <v>7588.51</v>
      </c>
      <c r="J2465" s="7">
        <v>1</v>
      </c>
      <c r="K2465" s="9">
        <v>7588.51</v>
      </c>
      <c r="L2465" s="14">
        <v>0</v>
      </c>
      <c r="M2465" s="2" t="s">
        <v>71</v>
      </c>
      <c r="N2465" s="2" t="s">
        <v>16706</v>
      </c>
      <c r="O2465" s="2" t="s">
        <v>1833</v>
      </c>
      <c r="P2465" s="9">
        <v>4.17</v>
      </c>
      <c r="Q2465" s="9">
        <v>7588.51</v>
      </c>
      <c r="R2465" s="2" t="s">
        <v>16707</v>
      </c>
    </row>
    <row r="2466" spans="1:18" x14ac:dyDescent="0.25">
      <c r="A2466" s="2" t="s">
        <v>1835</v>
      </c>
      <c r="B2466" s="6">
        <v>46204</v>
      </c>
      <c r="C2466" s="8">
        <v>46233</v>
      </c>
      <c r="D2466" s="2" t="s">
        <v>136</v>
      </c>
      <c r="E2466" s="2" t="s">
        <v>260</v>
      </c>
      <c r="F2466" s="2" t="s">
        <v>16703</v>
      </c>
      <c r="G2466" s="2" t="s">
        <v>1837</v>
      </c>
      <c r="H2466" s="2" t="s">
        <v>76</v>
      </c>
      <c r="I2466" s="9">
        <v>125185806.45161299</v>
      </c>
      <c r="J2466" s="7">
        <v>6.2000000000000003E-5</v>
      </c>
      <c r="K2466" s="9">
        <v>7761.52</v>
      </c>
      <c r="L2466" s="14">
        <v>0</v>
      </c>
      <c r="M2466" s="2" t="s">
        <v>71</v>
      </c>
      <c r="N2466" s="2" t="s">
        <v>16706</v>
      </c>
      <c r="O2466" s="2" t="s">
        <v>1836</v>
      </c>
      <c r="P2466" s="9">
        <v>4.2699999999999996</v>
      </c>
      <c r="Q2466" s="9">
        <v>7761.52</v>
      </c>
      <c r="R2466" s="2" t="s">
        <v>16707</v>
      </c>
    </row>
    <row r="2467" spans="1:18" x14ac:dyDescent="0.25">
      <c r="A2467" s="2" t="s">
        <v>1838</v>
      </c>
      <c r="B2467" s="6">
        <v>46204</v>
      </c>
      <c r="C2467" s="8">
        <v>46234</v>
      </c>
      <c r="D2467" s="2" t="s">
        <v>136</v>
      </c>
      <c r="E2467" s="2" t="s">
        <v>260</v>
      </c>
      <c r="F2467" s="2" t="s">
        <v>16703</v>
      </c>
      <c r="G2467" s="2" t="s">
        <v>1840</v>
      </c>
      <c r="H2467" s="2" t="s">
        <v>70</v>
      </c>
      <c r="I2467" s="9">
        <v>12058.556231</v>
      </c>
      <c r="J2467" s="7">
        <v>0.65800000000000003</v>
      </c>
      <c r="K2467" s="9">
        <v>7934.53</v>
      </c>
      <c r="L2467" s="14">
        <v>0</v>
      </c>
      <c r="M2467" s="2" t="s">
        <v>71</v>
      </c>
      <c r="N2467" s="2" t="s">
        <v>16706</v>
      </c>
      <c r="O2467" s="2" t="s">
        <v>1839</v>
      </c>
      <c r="P2467" s="9">
        <v>4.3600000000000003</v>
      </c>
      <c r="Q2467" s="9">
        <v>7934.53</v>
      </c>
      <c r="R2467" s="2" t="s">
        <v>16707</v>
      </c>
    </row>
    <row r="2468" spans="1:18" x14ac:dyDescent="0.25">
      <c r="A2468" s="2" t="s">
        <v>1847</v>
      </c>
      <c r="B2468" s="6">
        <v>46204</v>
      </c>
      <c r="C2468" s="8">
        <v>46227</v>
      </c>
      <c r="D2468" s="2" t="s">
        <v>136</v>
      </c>
      <c r="E2468" s="2" t="s">
        <v>260</v>
      </c>
      <c r="F2468" s="2" t="s">
        <v>16703</v>
      </c>
      <c r="G2468" s="2" t="s">
        <v>1849</v>
      </c>
      <c r="H2468" s="2" t="s">
        <v>70</v>
      </c>
      <c r="I2468" s="9">
        <v>5138.9422489999997</v>
      </c>
      <c r="J2468" s="7">
        <v>0.65800000000000003</v>
      </c>
      <c r="K2468" s="9">
        <v>3381.42</v>
      </c>
      <c r="L2468" s="14">
        <v>0</v>
      </c>
      <c r="M2468" s="2" t="s">
        <v>71</v>
      </c>
      <c r="N2468" s="2" t="s">
        <v>16706</v>
      </c>
      <c r="O2468" s="2" t="s">
        <v>1848</v>
      </c>
      <c r="P2468" s="9">
        <v>1.86</v>
      </c>
      <c r="Q2468" s="9">
        <v>3381.42</v>
      </c>
      <c r="R2468" s="2" t="s">
        <v>16707</v>
      </c>
    </row>
    <row r="2469" spans="1:18" x14ac:dyDescent="0.25">
      <c r="A2469" s="2" t="s">
        <v>1852</v>
      </c>
      <c r="B2469" s="6">
        <v>46204</v>
      </c>
      <c r="C2469" s="8">
        <v>46228</v>
      </c>
      <c r="D2469" s="2" t="s">
        <v>136</v>
      </c>
      <c r="E2469" s="2" t="s">
        <v>260</v>
      </c>
      <c r="F2469" s="2" t="s">
        <v>16703</v>
      </c>
      <c r="G2469" s="2" t="s">
        <v>1854</v>
      </c>
      <c r="H2469" s="2" t="s">
        <v>39</v>
      </c>
      <c r="I2469" s="9">
        <v>3450.6280000000002</v>
      </c>
      <c r="J2469" s="7">
        <v>1</v>
      </c>
      <c r="K2469" s="9">
        <v>3450.63</v>
      </c>
      <c r="L2469" s="14">
        <v>0</v>
      </c>
      <c r="M2469" s="2" t="s">
        <v>71</v>
      </c>
      <c r="N2469" s="2" t="s">
        <v>16706</v>
      </c>
      <c r="O2469" s="2" t="s">
        <v>1853</v>
      </c>
      <c r="P2469" s="9">
        <v>1.9</v>
      </c>
      <c r="Q2469" s="9">
        <v>3450.63</v>
      </c>
      <c r="R2469" s="2" t="s">
        <v>16707</v>
      </c>
    </row>
    <row r="2470" spans="1:18" x14ac:dyDescent="0.25">
      <c r="A2470" s="2" t="s">
        <v>1863</v>
      </c>
      <c r="B2470" s="6">
        <v>46204</v>
      </c>
      <c r="C2470" s="8">
        <v>46231</v>
      </c>
      <c r="D2470" s="2" t="s">
        <v>136</v>
      </c>
      <c r="E2470" s="2" t="s">
        <v>260</v>
      </c>
      <c r="F2470" s="2" t="s">
        <v>16703</v>
      </c>
      <c r="G2470" s="2" t="s">
        <v>1865</v>
      </c>
      <c r="H2470" s="2" t="s">
        <v>39</v>
      </c>
      <c r="I2470" s="9">
        <v>3658.24</v>
      </c>
      <c r="J2470" s="7">
        <v>1</v>
      </c>
      <c r="K2470" s="9">
        <v>3658.24</v>
      </c>
      <c r="L2470" s="14">
        <v>0</v>
      </c>
      <c r="M2470" s="2" t="s">
        <v>71</v>
      </c>
      <c r="N2470" s="2" t="s">
        <v>16706</v>
      </c>
      <c r="O2470" s="2" t="s">
        <v>1864</v>
      </c>
      <c r="P2470" s="9">
        <v>2.0099999999999998</v>
      </c>
      <c r="Q2470" s="9">
        <v>3658.24</v>
      </c>
      <c r="R2470" s="2" t="s">
        <v>16707</v>
      </c>
    </row>
    <row r="2471" spans="1:18" x14ac:dyDescent="0.25">
      <c r="A2471" s="2" t="s">
        <v>1929</v>
      </c>
      <c r="B2471" s="6">
        <v>46204</v>
      </c>
      <c r="C2471" s="8">
        <v>46228</v>
      </c>
      <c r="D2471" s="2" t="s">
        <v>136</v>
      </c>
      <c r="E2471" s="2" t="s">
        <v>260</v>
      </c>
      <c r="F2471" s="2" t="s">
        <v>16703</v>
      </c>
      <c r="G2471" s="2" t="s">
        <v>1931</v>
      </c>
      <c r="H2471" s="2" t="s">
        <v>39</v>
      </c>
      <c r="I2471" s="9">
        <v>12259.78</v>
      </c>
      <c r="J2471" s="7">
        <v>1</v>
      </c>
      <c r="K2471" s="9">
        <v>12259.78</v>
      </c>
      <c r="L2471" s="14">
        <v>0</v>
      </c>
      <c r="M2471" s="2" t="s">
        <v>71</v>
      </c>
      <c r="N2471" s="2" t="s">
        <v>16706</v>
      </c>
      <c r="O2471" s="2" t="s">
        <v>1930</v>
      </c>
      <c r="P2471" s="9">
        <v>6.74</v>
      </c>
      <c r="Q2471" s="9">
        <v>12259.78</v>
      </c>
      <c r="R2471" s="2" t="s">
        <v>16707</v>
      </c>
    </row>
    <row r="2472" spans="1:18" x14ac:dyDescent="0.25">
      <c r="A2472" s="2" t="s">
        <v>1932</v>
      </c>
      <c r="B2472" s="6">
        <v>46204</v>
      </c>
      <c r="C2472" s="8">
        <v>46229</v>
      </c>
      <c r="D2472" s="2" t="s">
        <v>136</v>
      </c>
      <c r="E2472" s="2" t="s">
        <v>260</v>
      </c>
      <c r="F2472" s="2" t="s">
        <v>16703</v>
      </c>
      <c r="G2472" s="2" t="s">
        <v>1934</v>
      </c>
      <c r="H2472" s="2" t="s">
        <v>76</v>
      </c>
      <c r="I2472" s="9">
        <v>200528870.967742</v>
      </c>
      <c r="J2472" s="7">
        <v>6.2000000000000003E-5</v>
      </c>
      <c r="K2472" s="9">
        <v>12432.79</v>
      </c>
      <c r="L2472" s="14">
        <v>0</v>
      </c>
      <c r="M2472" s="2" t="s">
        <v>71</v>
      </c>
      <c r="N2472" s="2" t="s">
        <v>16706</v>
      </c>
      <c r="O2472" s="2" t="s">
        <v>1933</v>
      </c>
      <c r="P2472" s="9">
        <v>6.84</v>
      </c>
      <c r="Q2472" s="9">
        <v>12432.79</v>
      </c>
      <c r="R2472" s="2" t="s">
        <v>16707</v>
      </c>
    </row>
    <row r="2473" spans="1:18" x14ac:dyDescent="0.25">
      <c r="A2473" s="2" t="s">
        <v>1935</v>
      </c>
      <c r="B2473" s="6">
        <v>46204</v>
      </c>
      <c r="C2473" s="8">
        <v>46220</v>
      </c>
      <c r="D2473" s="2" t="s">
        <v>136</v>
      </c>
      <c r="E2473" s="2" t="s">
        <v>260</v>
      </c>
      <c r="F2473" s="2" t="s">
        <v>16703</v>
      </c>
      <c r="G2473" s="2" t="s">
        <v>1937</v>
      </c>
      <c r="H2473" s="2" t="s">
        <v>70</v>
      </c>
      <c r="I2473" s="9">
        <v>7663.1003039999996</v>
      </c>
      <c r="J2473" s="7">
        <v>0.65800000000000003</v>
      </c>
      <c r="K2473" s="9">
        <v>5042.32</v>
      </c>
      <c r="L2473" s="14">
        <v>0</v>
      </c>
      <c r="M2473" s="2" t="s">
        <v>71</v>
      </c>
      <c r="N2473" s="2" t="s">
        <v>16706</v>
      </c>
      <c r="O2473" s="2" t="s">
        <v>1936</v>
      </c>
      <c r="P2473" s="9">
        <v>2.77</v>
      </c>
      <c r="Q2473" s="9">
        <v>5042.32</v>
      </c>
      <c r="R2473" s="2" t="s">
        <v>16707</v>
      </c>
    </row>
    <row r="2474" spans="1:18" x14ac:dyDescent="0.25">
      <c r="A2474" s="2" t="s">
        <v>1940</v>
      </c>
      <c r="B2474" s="6">
        <v>46204</v>
      </c>
      <c r="C2474" s="8">
        <v>46231</v>
      </c>
      <c r="D2474" s="2" t="s">
        <v>136</v>
      </c>
      <c r="E2474" s="2" t="s">
        <v>260</v>
      </c>
      <c r="F2474" s="2" t="s">
        <v>16703</v>
      </c>
      <c r="G2474" s="2" t="s">
        <v>1942</v>
      </c>
      <c r="H2474" s="2" t="s">
        <v>39</v>
      </c>
      <c r="I2474" s="9">
        <v>12778.81</v>
      </c>
      <c r="J2474" s="7">
        <v>1</v>
      </c>
      <c r="K2474" s="9">
        <v>12778.81</v>
      </c>
      <c r="L2474" s="14">
        <v>0</v>
      </c>
      <c r="M2474" s="2" t="s">
        <v>71</v>
      </c>
      <c r="N2474" s="2" t="s">
        <v>16706</v>
      </c>
      <c r="O2474" s="2" t="s">
        <v>1941</v>
      </c>
      <c r="P2474" s="9">
        <v>7.03</v>
      </c>
      <c r="Q2474" s="9">
        <v>12778.81</v>
      </c>
      <c r="R2474" s="2" t="s">
        <v>16707</v>
      </c>
    </row>
    <row r="2475" spans="1:18" x14ac:dyDescent="0.25">
      <c r="A2475" s="2" t="s">
        <v>1943</v>
      </c>
      <c r="B2475" s="6">
        <v>46204</v>
      </c>
      <c r="C2475" s="8">
        <v>46232</v>
      </c>
      <c r="D2475" s="2" t="s">
        <v>136</v>
      </c>
      <c r="E2475" s="2" t="s">
        <v>260</v>
      </c>
      <c r="F2475" s="2" t="s">
        <v>16703</v>
      </c>
      <c r="G2475" s="2" t="s">
        <v>1945</v>
      </c>
      <c r="H2475" s="2" t="s">
        <v>76</v>
      </c>
      <c r="I2475" s="9">
        <v>208900322.58064499</v>
      </c>
      <c r="J2475" s="7">
        <v>6.2000000000000003E-5</v>
      </c>
      <c r="K2475" s="9">
        <v>12951.82</v>
      </c>
      <c r="L2475" s="14">
        <v>0</v>
      </c>
      <c r="M2475" s="2" t="s">
        <v>71</v>
      </c>
      <c r="N2475" s="2" t="s">
        <v>16706</v>
      </c>
      <c r="O2475" s="2" t="s">
        <v>1944</v>
      </c>
      <c r="P2475" s="9">
        <v>7.12</v>
      </c>
      <c r="Q2475" s="9">
        <v>12951.82</v>
      </c>
      <c r="R2475" s="2" t="s">
        <v>16707</v>
      </c>
    </row>
    <row r="2476" spans="1:18" x14ac:dyDescent="0.25">
      <c r="A2476" s="2" t="s">
        <v>1946</v>
      </c>
      <c r="B2476" s="6">
        <v>46204</v>
      </c>
      <c r="C2476" s="8">
        <v>46233</v>
      </c>
      <c r="D2476" s="2" t="s">
        <v>136</v>
      </c>
      <c r="E2476" s="2" t="s">
        <v>260</v>
      </c>
      <c r="F2476" s="2" t="s">
        <v>16703</v>
      </c>
      <c r="G2476" s="2" t="s">
        <v>1948</v>
      </c>
      <c r="H2476" s="2" t="s">
        <v>70</v>
      </c>
      <c r="I2476" s="9">
        <v>19946.550152</v>
      </c>
      <c r="J2476" s="7">
        <v>0.65800000000000003</v>
      </c>
      <c r="K2476" s="9">
        <v>13124.83</v>
      </c>
      <c r="L2476" s="14">
        <v>0</v>
      </c>
      <c r="M2476" s="2" t="s">
        <v>71</v>
      </c>
      <c r="N2476" s="2" t="s">
        <v>16706</v>
      </c>
      <c r="O2476" s="2" t="s">
        <v>1947</v>
      </c>
      <c r="P2476" s="9">
        <v>7.22</v>
      </c>
      <c r="Q2476" s="9">
        <v>13124.83</v>
      </c>
      <c r="R2476" s="2" t="s">
        <v>16707</v>
      </c>
    </row>
    <row r="2477" spans="1:18" x14ac:dyDescent="0.25">
      <c r="A2477" s="2" t="s">
        <v>1949</v>
      </c>
      <c r="B2477" s="6">
        <v>46204</v>
      </c>
      <c r="C2477" s="8">
        <v>46234</v>
      </c>
      <c r="D2477" s="2" t="s">
        <v>136</v>
      </c>
      <c r="E2477" s="2" t="s">
        <v>260</v>
      </c>
      <c r="F2477" s="2" t="s">
        <v>16703</v>
      </c>
      <c r="G2477" s="2" t="s">
        <v>1951</v>
      </c>
      <c r="H2477" s="2" t="s">
        <v>39</v>
      </c>
      <c r="I2477" s="9">
        <v>13297.84</v>
      </c>
      <c r="J2477" s="7">
        <v>1</v>
      </c>
      <c r="K2477" s="9">
        <v>13297.84</v>
      </c>
      <c r="L2477" s="14">
        <v>0</v>
      </c>
      <c r="M2477" s="2" t="s">
        <v>71</v>
      </c>
      <c r="N2477" s="2" t="s">
        <v>16706</v>
      </c>
      <c r="O2477" s="2" t="s">
        <v>1950</v>
      </c>
      <c r="P2477" s="9">
        <v>7.31</v>
      </c>
      <c r="Q2477" s="9">
        <v>13297.84</v>
      </c>
      <c r="R2477" s="2" t="s">
        <v>16707</v>
      </c>
    </row>
    <row r="2478" spans="1:18" x14ac:dyDescent="0.25">
      <c r="A2478" s="2" t="s">
        <v>1955</v>
      </c>
      <c r="B2478" s="6">
        <v>46204</v>
      </c>
      <c r="C2478" s="8">
        <v>46226</v>
      </c>
      <c r="D2478" s="2" t="s">
        <v>136</v>
      </c>
      <c r="E2478" s="2" t="s">
        <v>260</v>
      </c>
      <c r="F2478" s="2" t="s">
        <v>16703</v>
      </c>
      <c r="G2478" s="2" t="s">
        <v>1957</v>
      </c>
      <c r="H2478" s="2" t="s">
        <v>70</v>
      </c>
      <c r="I2478" s="9">
        <v>8294.1398179999997</v>
      </c>
      <c r="J2478" s="7">
        <v>0.65800000000000003</v>
      </c>
      <c r="K2478" s="9">
        <v>5457.54</v>
      </c>
      <c r="L2478" s="14">
        <v>0</v>
      </c>
      <c r="M2478" s="2" t="s">
        <v>71</v>
      </c>
      <c r="N2478" s="2" t="s">
        <v>16706</v>
      </c>
      <c r="O2478" s="2" t="s">
        <v>1956</v>
      </c>
      <c r="P2478" s="9">
        <v>3</v>
      </c>
      <c r="Q2478" s="9">
        <v>5457.54</v>
      </c>
      <c r="R2478" s="2" t="s">
        <v>16707</v>
      </c>
    </row>
    <row r="2479" spans="1:18" x14ac:dyDescent="0.25">
      <c r="A2479" s="2" t="s">
        <v>1960</v>
      </c>
      <c r="B2479" s="6">
        <v>46204</v>
      </c>
      <c r="C2479" s="8">
        <v>46227</v>
      </c>
      <c r="D2479" s="2" t="s">
        <v>136</v>
      </c>
      <c r="E2479" s="2" t="s">
        <v>260</v>
      </c>
      <c r="F2479" s="2" t="s">
        <v>16703</v>
      </c>
      <c r="G2479" s="2" t="s">
        <v>1962</v>
      </c>
      <c r="H2479" s="2" t="s">
        <v>39</v>
      </c>
      <c r="I2479" s="9">
        <v>5526.7479999999996</v>
      </c>
      <c r="J2479" s="7">
        <v>1</v>
      </c>
      <c r="K2479" s="9">
        <v>5526.75</v>
      </c>
      <c r="L2479" s="14">
        <v>0</v>
      </c>
      <c r="M2479" s="2" t="s">
        <v>71</v>
      </c>
      <c r="N2479" s="2" t="s">
        <v>16706</v>
      </c>
      <c r="O2479" s="2" t="s">
        <v>1961</v>
      </c>
      <c r="P2479" s="9">
        <v>3.04</v>
      </c>
      <c r="Q2479" s="9">
        <v>5526.75</v>
      </c>
      <c r="R2479" s="2" t="s">
        <v>16707</v>
      </c>
    </row>
    <row r="2480" spans="1:18" x14ac:dyDescent="0.25">
      <c r="A2480" s="2" t="s">
        <v>1971</v>
      </c>
      <c r="B2480" s="6">
        <v>46204</v>
      </c>
      <c r="C2480" s="8">
        <v>46230</v>
      </c>
      <c r="D2480" s="2" t="s">
        <v>136</v>
      </c>
      <c r="E2480" s="2" t="s">
        <v>260</v>
      </c>
      <c r="F2480" s="2" t="s">
        <v>16703</v>
      </c>
      <c r="G2480" s="2" t="s">
        <v>1973</v>
      </c>
      <c r="H2480" s="2" t="s">
        <v>39</v>
      </c>
      <c r="I2480" s="9">
        <v>5734.36</v>
      </c>
      <c r="J2480" s="7">
        <v>1</v>
      </c>
      <c r="K2480" s="9">
        <v>5734.36</v>
      </c>
      <c r="L2480" s="14">
        <v>0</v>
      </c>
      <c r="M2480" s="2" t="s">
        <v>71</v>
      </c>
      <c r="N2480" s="2" t="s">
        <v>16706</v>
      </c>
      <c r="O2480" s="2" t="s">
        <v>1972</v>
      </c>
      <c r="P2480" s="9">
        <v>3.15</v>
      </c>
      <c r="Q2480" s="9">
        <v>5734.36</v>
      </c>
      <c r="R2480" s="2" t="s">
        <v>16707</v>
      </c>
    </row>
    <row r="2481" spans="1:18" x14ac:dyDescent="0.25">
      <c r="A2481" s="2" t="s">
        <v>2040</v>
      </c>
      <c r="B2481" s="6">
        <v>46204</v>
      </c>
      <c r="C2481" s="8">
        <v>46228</v>
      </c>
      <c r="D2481" s="2" t="s">
        <v>136</v>
      </c>
      <c r="E2481" s="2" t="s">
        <v>260</v>
      </c>
      <c r="F2481" s="2" t="s">
        <v>16703</v>
      </c>
      <c r="G2481" s="2" t="s">
        <v>2042</v>
      </c>
      <c r="H2481" s="2" t="s">
        <v>76</v>
      </c>
      <c r="I2481" s="9">
        <v>58421290.322581001</v>
      </c>
      <c r="J2481" s="7">
        <v>6.2000000000000003E-5</v>
      </c>
      <c r="K2481" s="9">
        <v>3622.12</v>
      </c>
      <c r="L2481" s="14">
        <v>0</v>
      </c>
      <c r="M2481" s="2" t="s">
        <v>71</v>
      </c>
      <c r="N2481" s="2" t="s">
        <v>16706</v>
      </c>
      <c r="O2481" s="2" t="s">
        <v>2041</v>
      </c>
      <c r="P2481" s="9">
        <v>1.99</v>
      </c>
      <c r="Q2481" s="9">
        <v>3622.12</v>
      </c>
      <c r="R2481" s="2" t="s">
        <v>16707</v>
      </c>
    </row>
    <row r="2482" spans="1:18" x14ac:dyDescent="0.25">
      <c r="A2482" s="2" t="s">
        <v>2043</v>
      </c>
      <c r="B2482" s="6">
        <v>46204</v>
      </c>
      <c r="C2482" s="8">
        <v>46219</v>
      </c>
      <c r="D2482" s="2" t="s">
        <v>136</v>
      </c>
      <c r="E2482" s="2" t="s">
        <v>260</v>
      </c>
      <c r="F2482" s="2" t="s">
        <v>16703</v>
      </c>
      <c r="G2482" s="2" t="s">
        <v>2045</v>
      </c>
      <c r="H2482" s="2" t="s">
        <v>70</v>
      </c>
      <c r="I2482" s="9">
        <v>2307.0699089999998</v>
      </c>
      <c r="J2482" s="7">
        <v>0.65800000000000003</v>
      </c>
      <c r="K2482" s="9">
        <v>1518.05</v>
      </c>
      <c r="L2482" s="14">
        <v>0</v>
      </c>
      <c r="M2482" s="2" t="s">
        <v>71</v>
      </c>
      <c r="N2482" s="2" t="s">
        <v>16706</v>
      </c>
      <c r="O2482" s="2" t="s">
        <v>2044</v>
      </c>
      <c r="P2482" s="9">
        <v>1.8</v>
      </c>
      <c r="Q2482" s="9">
        <v>1518.05</v>
      </c>
      <c r="R2482" s="2" t="s">
        <v>16707</v>
      </c>
    </row>
    <row r="2483" spans="1:18" x14ac:dyDescent="0.25">
      <c r="A2483" s="2" t="s">
        <v>2048</v>
      </c>
      <c r="B2483" s="6">
        <v>46204</v>
      </c>
      <c r="C2483" s="8">
        <v>46230</v>
      </c>
      <c r="D2483" s="2" t="s">
        <v>136</v>
      </c>
      <c r="E2483" s="2" t="s">
        <v>260</v>
      </c>
      <c r="F2483" s="2" t="s">
        <v>16703</v>
      </c>
      <c r="G2483" s="2" t="s">
        <v>2050</v>
      </c>
      <c r="H2483" s="2" t="s">
        <v>39</v>
      </c>
      <c r="I2483" s="9">
        <v>3968.14</v>
      </c>
      <c r="J2483" s="7">
        <v>1</v>
      </c>
      <c r="K2483" s="9">
        <v>3968.14</v>
      </c>
      <c r="L2483" s="14">
        <v>0</v>
      </c>
      <c r="M2483" s="2" t="s">
        <v>71</v>
      </c>
      <c r="N2483" s="2" t="s">
        <v>16706</v>
      </c>
      <c r="O2483" s="2" t="s">
        <v>2049</v>
      </c>
      <c r="P2483" s="9">
        <v>2.1800000000000002</v>
      </c>
      <c r="Q2483" s="9">
        <v>3968.14</v>
      </c>
      <c r="R2483" s="2" t="s">
        <v>16707</v>
      </c>
    </row>
    <row r="2484" spans="1:18" x14ac:dyDescent="0.25">
      <c r="A2484" s="2" t="s">
        <v>2051</v>
      </c>
      <c r="B2484" s="6">
        <v>46204</v>
      </c>
      <c r="C2484" s="8">
        <v>46231</v>
      </c>
      <c r="D2484" s="2" t="s">
        <v>136</v>
      </c>
      <c r="E2484" s="2" t="s">
        <v>260</v>
      </c>
      <c r="F2484" s="2" t="s">
        <v>16703</v>
      </c>
      <c r="G2484" s="2" t="s">
        <v>2053</v>
      </c>
      <c r="H2484" s="2" t="s">
        <v>76</v>
      </c>
      <c r="I2484" s="9">
        <v>66792741.935484</v>
      </c>
      <c r="J2484" s="7">
        <v>6.2000000000000003E-5</v>
      </c>
      <c r="K2484" s="9">
        <v>4141.1499999999996</v>
      </c>
      <c r="L2484" s="14">
        <v>0</v>
      </c>
      <c r="M2484" s="2" t="s">
        <v>71</v>
      </c>
      <c r="N2484" s="2" t="s">
        <v>16706</v>
      </c>
      <c r="O2484" s="2" t="s">
        <v>2052</v>
      </c>
      <c r="P2484" s="9">
        <v>2.2799999999999998</v>
      </c>
      <c r="Q2484" s="9">
        <v>4141.1499999999996</v>
      </c>
      <c r="R2484" s="2" t="s">
        <v>16707</v>
      </c>
    </row>
    <row r="2485" spans="1:18" x14ac:dyDescent="0.25">
      <c r="A2485" s="2" t="s">
        <v>2054</v>
      </c>
      <c r="B2485" s="6">
        <v>46204</v>
      </c>
      <c r="C2485" s="8">
        <v>46232</v>
      </c>
      <c r="D2485" s="2" t="s">
        <v>136</v>
      </c>
      <c r="E2485" s="2" t="s">
        <v>260</v>
      </c>
      <c r="F2485" s="2" t="s">
        <v>16703</v>
      </c>
      <c r="G2485" s="2" t="s">
        <v>2056</v>
      </c>
      <c r="H2485" s="2" t="s">
        <v>70</v>
      </c>
      <c r="I2485" s="9">
        <v>6556.4741640000002</v>
      </c>
      <c r="J2485" s="7">
        <v>0.65800000000000003</v>
      </c>
      <c r="K2485" s="9">
        <v>4314.16</v>
      </c>
      <c r="L2485" s="14">
        <v>0</v>
      </c>
      <c r="M2485" s="2" t="s">
        <v>71</v>
      </c>
      <c r="N2485" s="2" t="s">
        <v>16706</v>
      </c>
      <c r="O2485" s="2" t="s">
        <v>2055</v>
      </c>
      <c r="P2485" s="9">
        <v>2.37</v>
      </c>
      <c r="Q2485" s="9">
        <v>4314.16</v>
      </c>
      <c r="R2485" s="2" t="s">
        <v>16707</v>
      </c>
    </row>
    <row r="2486" spans="1:18" x14ac:dyDescent="0.25">
      <c r="A2486" s="2" t="s">
        <v>2057</v>
      </c>
      <c r="B2486" s="6">
        <v>46204</v>
      </c>
      <c r="C2486" s="8">
        <v>46233</v>
      </c>
      <c r="D2486" s="2" t="s">
        <v>136</v>
      </c>
      <c r="E2486" s="2" t="s">
        <v>260</v>
      </c>
      <c r="F2486" s="2" t="s">
        <v>16703</v>
      </c>
      <c r="G2486" s="2" t="s">
        <v>2059</v>
      </c>
      <c r="H2486" s="2" t="s">
        <v>39</v>
      </c>
      <c r="I2486" s="9">
        <v>4487.17</v>
      </c>
      <c r="J2486" s="7">
        <v>1</v>
      </c>
      <c r="K2486" s="9">
        <v>4487.17</v>
      </c>
      <c r="L2486" s="14">
        <v>0</v>
      </c>
      <c r="M2486" s="2" t="s">
        <v>71</v>
      </c>
      <c r="N2486" s="2" t="s">
        <v>16706</v>
      </c>
      <c r="O2486" s="2" t="s">
        <v>2058</v>
      </c>
      <c r="P2486" s="9">
        <v>2.4700000000000002</v>
      </c>
      <c r="Q2486" s="9">
        <v>4487.17</v>
      </c>
      <c r="R2486" s="2" t="s">
        <v>16707</v>
      </c>
    </row>
    <row r="2487" spans="1:18" x14ac:dyDescent="0.25">
      <c r="A2487" s="2" t="s">
        <v>2060</v>
      </c>
      <c r="B2487" s="6">
        <v>46204</v>
      </c>
      <c r="C2487" s="8">
        <v>46234</v>
      </c>
      <c r="D2487" s="2" t="s">
        <v>136</v>
      </c>
      <c r="E2487" s="2" t="s">
        <v>260</v>
      </c>
      <c r="F2487" s="2" t="s">
        <v>16703</v>
      </c>
      <c r="G2487" s="2" t="s">
        <v>2062</v>
      </c>
      <c r="H2487" s="2" t="s">
        <v>76</v>
      </c>
      <c r="I2487" s="9">
        <v>75164193.548387006</v>
      </c>
      <c r="J2487" s="7">
        <v>6.2000000000000003E-5</v>
      </c>
      <c r="K2487" s="9">
        <v>4660.18</v>
      </c>
      <c r="L2487" s="14">
        <v>0</v>
      </c>
      <c r="M2487" s="2" t="s">
        <v>71</v>
      </c>
      <c r="N2487" s="2" t="s">
        <v>16706</v>
      </c>
      <c r="O2487" s="2" t="s">
        <v>2061</v>
      </c>
      <c r="P2487" s="9">
        <v>2.56</v>
      </c>
      <c r="Q2487" s="9">
        <v>4660.18</v>
      </c>
      <c r="R2487" s="2" t="s">
        <v>16707</v>
      </c>
    </row>
    <row r="2488" spans="1:18" x14ac:dyDescent="0.25">
      <c r="A2488" s="2" t="s">
        <v>2063</v>
      </c>
      <c r="B2488" s="6">
        <v>46204</v>
      </c>
      <c r="C2488" s="8">
        <v>46225</v>
      </c>
      <c r="D2488" s="2" t="s">
        <v>136</v>
      </c>
      <c r="E2488" s="2" t="s">
        <v>260</v>
      </c>
      <c r="F2488" s="2" t="s">
        <v>16703</v>
      </c>
      <c r="G2488" s="2" t="s">
        <v>2065</v>
      </c>
      <c r="H2488" s="2" t="s">
        <v>70</v>
      </c>
      <c r="I2488" s="9">
        <v>2938.109422</v>
      </c>
      <c r="J2488" s="7">
        <v>0.65800000000000003</v>
      </c>
      <c r="K2488" s="9">
        <v>1933.28</v>
      </c>
      <c r="L2488" s="14">
        <v>0</v>
      </c>
      <c r="M2488" s="2" t="s">
        <v>71</v>
      </c>
      <c r="N2488" s="2" t="s">
        <v>16706</v>
      </c>
      <c r="O2488" s="2" t="s">
        <v>2064</v>
      </c>
      <c r="P2488" s="9">
        <v>1.8</v>
      </c>
      <c r="Q2488" s="9">
        <v>1933.28</v>
      </c>
      <c r="R2488" s="2" t="s">
        <v>16707</v>
      </c>
    </row>
    <row r="2489" spans="1:18" x14ac:dyDescent="0.25">
      <c r="A2489" s="2" t="s">
        <v>2068</v>
      </c>
      <c r="B2489" s="6">
        <v>46204</v>
      </c>
      <c r="C2489" s="8">
        <v>46226</v>
      </c>
      <c r="D2489" s="2" t="s">
        <v>136</v>
      </c>
      <c r="E2489" s="2" t="s">
        <v>260</v>
      </c>
      <c r="F2489" s="2" t="s">
        <v>16703</v>
      </c>
      <c r="G2489" s="2" t="s">
        <v>2070</v>
      </c>
      <c r="H2489" s="2" t="s">
        <v>39</v>
      </c>
      <c r="I2489" s="9">
        <v>2002.48</v>
      </c>
      <c r="J2489" s="7">
        <v>1</v>
      </c>
      <c r="K2489" s="9">
        <v>2002.48</v>
      </c>
      <c r="L2489" s="14">
        <v>0</v>
      </c>
      <c r="M2489" s="2" t="s">
        <v>71</v>
      </c>
      <c r="N2489" s="2" t="s">
        <v>16706</v>
      </c>
      <c r="O2489" s="2" t="s">
        <v>2069</v>
      </c>
      <c r="P2489" s="9">
        <v>1.8</v>
      </c>
      <c r="Q2489" s="9">
        <v>2002.48</v>
      </c>
      <c r="R2489" s="2" t="s">
        <v>16707</v>
      </c>
    </row>
    <row r="2490" spans="1:18" x14ac:dyDescent="0.25">
      <c r="A2490" s="2" t="s">
        <v>2079</v>
      </c>
      <c r="B2490" s="6">
        <v>46204</v>
      </c>
      <c r="C2490" s="8">
        <v>46229</v>
      </c>
      <c r="D2490" s="2" t="s">
        <v>136</v>
      </c>
      <c r="E2490" s="2" t="s">
        <v>260</v>
      </c>
      <c r="F2490" s="2" t="s">
        <v>16703</v>
      </c>
      <c r="G2490" s="2" t="s">
        <v>2081</v>
      </c>
      <c r="H2490" s="2" t="s">
        <v>39</v>
      </c>
      <c r="I2490" s="9">
        <v>2210.0920000000001</v>
      </c>
      <c r="J2490" s="7">
        <v>1</v>
      </c>
      <c r="K2490" s="9">
        <v>2210.09</v>
      </c>
      <c r="L2490" s="14">
        <v>0</v>
      </c>
      <c r="M2490" s="2" t="s">
        <v>71</v>
      </c>
      <c r="N2490" s="2" t="s">
        <v>16706</v>
      </c>
      <c r="O2490" s="2" t="s">
        <v>2080</v>
      </c>
      <c r="P2490" s="9">
        <v>1.8</v>
      </c>
      <c r="Q2490" s="9">
        <v>2210.09</v>
      </c>
      <c r="R2490" s="2" t="s">
        <v>16707</v>
      </c>
    </row>
    <row r="2491" spans="1:18" x14ac:dyDescent="0.25">
      <c r="A2491" s="2" t="s">
        <v>2151</v>
      </c>
      <c r="B2491" s="6">
        <v>46204</v>
      </c>
      <c r="C2491" s="8">
        <v>46218</v>
      </c>
      <c r="D2491" s="2" t="s">
        <v>136</v>
      </c>
      <c r="E2491" s="2" t="s">
        <v>260</v>
      </c>
      <c r="F2491" s="2" t="s">
        <v>16703</v>
      </c>
      <c r="G2491" s="2" t="s">
        <v>2153</v>
      </c>
      <c r="H2491" s="2" t="s">
        <v>70</v>
      </c>
      <c r="I2491" s="9">
        <v>5462.2674770000003</v>
      </c>
      <c r="J2491" s="7">
        <v>0.65800000000000003</v>
      </c>
      <c r="K2491" s="9">
        <v>3594.17</v>
      </c>
      <c r="L2491" s="14">
        <v>0</v>
      </c>
      <c r="M2491" s="2" t="s">
        <v>71</v>
      </c>
      <c r="N2491" s="2" t="s">
        <v>16706</v>
      </c>
      <c r="O2491" s="2" t="s">
        <v>2152</v>
      </c>
      <c r="P2491" s="9">
        <v>1.98</v>
      </c>
      <c r="Q2491" s="9">
        <v>3594.17</v>
      </c>
      <c r="R2491" s="2" t="s">
        <v>16707</v>
      </c>
    </row>
    <row r="2492" spans="1:18" x14ac:dyDescent="0.25">
      <c r="A2492" s="2" t="s">
        <v>2156</v>
      </c>
      <c r="B2492" s="6">
        <v>46204</v>
      </c>
      <c r="C2492" s="8">
        <v>46229</v>
      </c>
      <c r="D2492" s="2" t="s">
        <v>136</v>
      </c>
      <c r="E2492" s="2" t="s">
        <v>260</v>
      </c>
      <c r="F2492" s="2" t="s">
        <v>16703</v>
      </c>
      <c r="G2492" s="2" t="s">
        <v>2158</v>
      </c>
      <c r="H2492" s="2" t="s">
        <v>39</v>
      </c>
      <c r="I2492" s="9">
        <v>9158.44</v>
      </c>
      <c r="J2492" s="7">
        <v>1</v>
      </c>
      <c r="K2492" s="9">
        <v>9158.44</v>
      </c>
      <c r="L2492" s="14">
        <v>0</v>
      </c>
      <c r="M2492" s="2" t="s">
        <v>71</v>
      </c>
      <c r="N2492" s="2" t="s">
        <v>16706</v>
      </c>
      <c r="O2492" s="2" t="s">
        <v>2157</v>
      </c>
      <c r="P2492" s="9">
        <v>5.04</v>
      </c>
      <c r="Q2492" s="9">
        <v>9158.44</v>
      </c>
      <c r="R2492" s="2" t="s">
        <v>16707</v>
      </c>
    </row>
    <row r="2493" spans="1:18" x14ac:dyDescent="0.25">
      <c r="A2493" s="2" t="s">
        <v>2159</v>
      </c>
      <c r="B2493" s="6">
        <v>46204</v>
      </c>
      <c r="C2493" s="8">
        <v>46230</v>
      </c>
      <c r="D2493" s="2" t="s">
        <v>136</v>
      </c>
      <c r="E2493" s="2" t="s">
        <v>260</v>
      </c>
      <c r="F2493" s="2" t="s">
        <v>16703</v>
      </c>
      <c r="G2493" s="2" t="s">
        <v>2161</v>
      </c>
      <c r="H2493" s="2" t="s">
        <v>76</v>
      </c>
      <c r="I2493" s="9">
        <v>150507258.06451601</v>
      </c>
      <c r="J2493" s="7">
        <v>6.2000000000000003E-5</v>
      </c>
      <c r="K2493" s="9">
        <v>9331.4500000000007</v>
      </c>
      <c r="L2493" s="14">
        <v>0</v>
      </c>
      <c r="M2493" s="2" t="s">
        <v>71</v>
      </c>
      <c r="N2493" s="2" t="s">
        <v>16706</v>
      </c>
      <c r="O2493" s="2" t="s">
        <v>2160</v>
      </c>
      <c r="P2493" s="9">
        <v>5.13</v>
      </c>
      <c r="Q2493" s="9">
        <v>9331.4500000000007</v>
      </c>
      <c r="R2493" s="2" t="s">
        <v>16707</v>
      </c>
    </row>
    <row r="2494" spans="1:18" x14ac:dyDescent="0.25">
      <c r="A2494" s="2" t="s">
        <v>2162</v>
      </c>
      <c r="B2494" s="6">
        <v>46204</v>
      </c>
      <c r="C2494" s="8">
        <v>46231</v>
      </c>
      <c r="D2494" s="2" t="s">
        <v>136</v>
      </c>
      <c r="E2494" s="2" t="s">
        <v>260</v>
      </c>
      <c r="F2494" s="2" t="s">
        <v>16703</v>
      </c>
      <c r="G2494" s="2" t="s">
        <v>2164</v>
      </c>
      <c r="H2494" s="2" t="s">
        <v>70</v>
      </c>
      <c r="I2494" s="9">
        <v>14444.468085</v>
      </c>
      <c r="J2494" s="7">
        <v>0.65800000000000003</v>
      </c>
      <c r="K2494" s="9">
        <v>9504.4599999999991</v>
      </c>
      <c r="L2494" s="14">
        <v>0</v>
      </c>
      <c r="M2494" s="2" t="s">
        <v>71</v>
      </c>
      <c r="N2494" s="2" t="s">
        <v>16706</v>
      </c>
      <c r="O2494" s="2" t="s">
        <v>2163</v>
      </c>
      <c r="P2494" s="9">
        <v>5.23</v>
      </c>
      <c r="Q2494" s="9">
        <v>9504.4599999999991</v>
      </c>
      <c r="R2494" s="2" t="s">
        <v>16707</v>
      </c>
    </row>
    <row r="2495" spans="1:18" x14ac:dyDescent="0.25">
      <c r="A2495" s="2" t="s">
        <v>2165</v>
      </c>
      <c r="B2495" s="6">
        <v>46204</v>
      </c>
      <c r="C2495" s="8">
        <v>46232</v>
      </c>
      <c r="D2495" s="2" t="s">
        <v>136</v>
      </c>
      <c r="E2495" s="2" t="s">
        <v>260</v>
      </c>
      <c r="F2495" s="2" t="s">
        <v>16703</v>
      </c>
      <c r="G2495" s="2" t="s">
        <v>2167</v>
      </c>
      <c r="H2495" s="2" t="s">
        <v>39</v>
      </c>
      <c r="I2495" s="9">
        <v>9677.4699999999993</v>
      </c>
      <c r="J2495" s="7">
        <v>1</v>
      </c>
      <c r="K2495" s="9">
        <v>9677.4699999999993</v>
      </c>
      <c r="L2495" s="14">
        <v>0</v>
      </c>
      <c r="M2495" s="2" t="s">
        <v>71</v>
      </c>
      <c r="N2495" s="2" t="s">
        <v>16706</v>
      </c>
      <c r="O2495" s="2" t="s">
        <v>2166</v>
      </c>
      <c r="P2495" s="9">
        <v>5.32</v>
      </c>
      <c r="Q2495" s="9">
        <v>9677.4699999999993</v>
      </c>
      <c r="R2495" s="2" t="s">
        <v>16707</v>
      </c>
    </row>
    <row r="2496" spans="1:18" x14ac:dyDescent="0.25">
      <c r="A2496" s="2" t="s">
        <v>2168</v>
      </c>
      <c r="B2496" s="6">
        <v>46204</v>
      </c>
      <c r="C2496" s="8">
        <v>46233</v>
      </c>
      <c r="D2496" s="2" t="s">
        <v>136</v>
      </c>
      <c r="E2496" s="2" t="s">
        <v>260</v>
      </c>
      <c r="F2496" s="2" t="s">
        <v>16703</v>
      </c>
      <c r="G2496" s="2" t="s">
        <v>2170</v>
      </c>
      <c r="H2496" s="2" t="s">
        <v>76</v>
      </c>
      <c r="I2496" s="9">
        <v>-158878709.67741901</v>
      </c>
      <c r="J2496" s="7">
        <v>6.2000000000000003E-5</v>
      </c>
      <c r="K2496" s="9">
        <v>-9850.48</v>
      </c>
      <c r="L2496" s="14">
        <v>0</v>
      </c>
      <c r="M2496" s="2" t="s">
        <v>71</v>
      </c>
      <c r="N2496" s="2" t="s">
        <v>16706</v>
      </c>
      <c r="O2496" s="2" t="s">
        <v>2169</v>
      </c>
      <c r="P2496" s="9">
        <v>0</v>
      </c>
      <c r="Q2496" s="9">
        <v>-9850.48</v>
      </c>
      <c r="R2496" s="2" t="s">
        <v>16707</v>
      </c>
    </row>
    <row r="2497" spans="1:18" x14ac:dyDescent="0.25">
      <c r="A2497" s="2" t="s">
        <v>2171</v>
      </c>
      <c r="B2497" s="6">
        <v>46204</v>
      </c>
      <c r="C2497" s="8">
        <v>46224</v>
      </c>
      <c r="D2497" s="2" t="s">
        <v>136</v>
      </c>
      <c r="E2497" s="2" t="s">
        <v>260</v>
      </c>
      <c r="F2497" s="2" t="s">
        <v>16703</v>
      </c>
      <c r="G2497" s="2" t="s">
        <v>2173</v>
      </c>
      <c r="H2497" s="2" t="s">
        <v>70</v>
      </c>
      <c r="I2497" s="9">
        <v>6093.3069910000004</v>
      </c>
      <c r="J2497" s="7">
        <v>0.65800000000000003</v>
      </c>
      <c r="K2497" s="9">
        <v>4009.4</v>
      </c>
      <c r="L2497" s="14">
        <v>0</v>
      </c>
      <c r="M2497" s="2" t="s">
        <v>71</v>
      </c>
      <c r="N2497" s="2" t="s">
        <v>16706</v>
      </c>
      <c r="O2497" s="2" t="s">
        <v>2172</v>
      </c>
      <c r="P2497" s="9">
        <v>2.21</v>
      </c>
      <c r="Q2497" s="9">
        <v>4009.4</v>
      </c>
      <c r="R2497" s="2" t="s">
        <v>16707</v>
      </c>
    </row>
    <row r="2498" spans="1:18" x14ac:dyDescent="0.25">
      <c r="A2498" s="2" t="s">
        <v>2176</v>
      </c>
      <c r="B2498" s="6">
        <v>46204</v>
      </c>
      <c r="C2498" s="8">
        <v>46225</v>
      </c>
      <c r="D2498" s="2" t="s">
        <v>136</v>
      </c>
      <c r="E2498" s="2" t="s">
        <v>260</v>
      </c>
      <c r="F2498" s="2" t="s">
        <v>16703</v>
      </c>
      <c r="G2498" s="2" t="s">
        <v>2178</v>
      </c>
      <c r="H2498" s="2" t="s">
        <v>39</v>
      </c>
      <c r="I2498" s="9">
        <v>4078.6</v>
      </c>
      <c r="J2498" s="7">
        <v>1</v>
      </c>
      <c r="K2498" s="9">
        <v>4078.6</v>
      </c>
      <c r="L2498" s="14">
        <v>0</v>
      </c>
      <c r="M2498" s="2" t="s">
        <v>71</v>
      </c>
      <c r="N2498" s="2" t="s">
        <v>16706</v>
      </c>
      <c r="O2498" s="2" t="s">
        <v>2177</v>
      </c>
      <c r="P2498" s="9">
        <v>2.2400000000000002</v>
      </c>
      <c r="Q2498" s="9">
        <v>4078.6</v>
      </c>
      <c r="R2498" s="2" t="s">
        <v>16707</v>
      </c>
    </row>
    <row r="2499" spans="1:18" x14ac:dyDescent="0.25">
      <c r="A2499" s="2" t="s">
        <v>2187</v>
      </c>
      <c r="B2499" s="6">
        <v>46204</v>
      </c>
      <c r="C2499" s="8">
        <v>46228</v>
      </c>
      <c r="D2499" s="2" t="s">
        <v>136</v>
      </c>
      <c r="E2499" s="2" t="s">
        <v>260</v>
      </c>
      <c r="F2499" s="2" t="s">
        <v>16703</v>
      </c>
      <c r="G2499" s="2" t="s">
        <v>2189</v>
      </c>
      <c r="H2499" s="2" t="s">
        <v>39</v>
      </c>
      <c r="I2499" s="9">
        <v>4286.2120000000004</v>
      </c>
      <c r="J2499" s="7">
        <v>1</v>
      </c>
      <c r="K2499" s="9">
        <v>4286.21</v>
      </c>
      <c r="L2499" s="14">
        <v>0</v>
      </c>
      <c r="M2499" s="2" t="s">
        <v>71</v>
      </c>
      <c r="N2499" s="2" t="s">
        <v>16706</v>
      </c>
      <c r="O2499" s="2" t="s">
        <v>2188</v>
      </c>
      <c r="P2499" s="9">
        <v>2.36</v>
      </c>
      <c r="Q2499" s="9">
        <v>4286.21</v>
      </c>
      <c r="R2499" s="2" t="s">
        <v>16707</v>
      </c>
    </row>
    <row r="2500" spans="1:18" x14ac:dyDescent="0.25">
      <c r="A2500" s="2" t="s">
        <v>2207</v>
      </c>
      <c r="B2500" s="6">
        <v>46204</v>
      </c>
      <c r="C2500" s="8">
        <v>46234</v>
      </c>
      <c r="D2500" s="2" t="s">
        <v>136</v>
      </c>
      <c r="E2500" s="2" t="s">
        <v>260</v>
      </c>
      <c r="F2500" s="2" t="s">
        <v>16703</v>
      </c>
      <c r="G2500" s="2" t="s">
        <v>2209</v>
      </c>
      <c r="H2500" s="2" t="s">
        <v>39</v>
      </c>
      <c r="I2500" s="9">
        <v>4701.4359999999997</v>
      </c>
      <c r="J2500" s="7">
        <v>1</v>
      </c>
      <c r="K2500" s="9">
        <v>4701.4399999999996</v>
      </c>
      <c r="L2500" s="14">
        <v>0</v>
      </c>
      <c r="M2500" s="2" t="s">
        <v>71</v>
      </c>
      <c r="N2500" s="2" t="s">
        <v>16706</v>
      </c>
      <c r="O2500" s="2" t="s">
        <v>2208</v>
      </c>
      <c r="P2500" s="9">
        <v>2.59</v>
      </c>
      <c r="Q2500" s="9">
        <v>4701.4399999999996</v>
      </c>
      <c r="R2500" s="2" t="s">
        <v>16707</v>
      </c>
    </row>
    <row r="2501" spans="1:18" x14ac:dyDescent="0.25">
      <c r="A2501" s="2" t="s">
        <v>2264</v>
      </c>
      <c r="B2501" s="6">
        <v>46204</v>
      </c>
      <c r="C2501" s="8">
        <v>46228</v>
      </c>
      <c r="D2501" s="2" t="s">
        <v>136</v>
      </c>
      <c r="E2501" s="2" t="s">
        <v>260</v>
      </c>
      <c r="F2501" s="2" t="s">
        <v>16703</v>
      </c>
      <c r="G2501" s="2" t="s">
        <v>2266</v>
      </c>
      <c r="H2501" s="2" t="s">
        <v>39</v>
      </c>
      <c r="I2501" s="9">
        <v>14348.74</v>
      </c>
      <c r="J2501" s="7">
        <v>1</v>
      </c>
      <c r="K2501" s="9">
        <v>14348.74</v>
      </c>
      <c r="L2501" s="14">
        <v>0</v>
      </c>
      <c r="M2501" s="2" t="s">
        <v>71</v>
      </c>
      <c r="N2501" s="2" t="s">
        <v>16706</v>
      </c>
      <c r="O2501" s="2" t="s">
        <v>2265</v>
      </c>
      <c r="P2501" s="9">
        <v>7.89</v>
      </c>
      <c r="Q2501" s="9">
        <v>14348.74</v>
      </c>
      <c r="R2501" s="2" t="s">
        <v>16707</v>
      </c>
    </row>
    <row r="2502" spans="1:18" x14ac:dyDescent="0.25">
      <c r="A2502" s="2" t="s">
        <v>2267</v>
      </c>
      <c r="B2502" s="6">
        <v>46204</v>
      </c>
      <c r="C2502" s="8">
        <v>46229</v>
      </c>
      <c r="D2502" s="2" t="s">
        <v>136</v>
      </c>
      <c r="E2502" s="2" t="s">
        <v>260</v>
      </c>
      <c r="F2502" s="2" t="s">
        <v>16703</v>
      </c>
      <c r="G2502" s="2" t="s">
        <v>2269</v>
      </c>
      <c r="H2502" s="2" t="s">
        <v>76</v>
      </c>
      <c r="I2502" s="9">
        <v>234221774.19354799</v>
      </c>
      <c r="J2502" s="7">
        <v>6.2000000000000003E-5</v>
      </c>
      <c r="K2502" s="9">
        <v>14521.75</v>
      </c>
      <c r="L2502" s="14">
        <v>0</v>
      </c>
      <c r="M2502" s="2" t="s">
        <v>71</v>
      </c>
      <c r="N2502" s="2" t="s">
        <v>16706</v>
      </c>
      <c r="O2502" s="2" t="s">
        <v>2268</v>
      </c>
      <c r="P2502" s="9">
        <v>7.99</v>
      </c>
      <c r="Q2502" s="9">
        <v>14521.75</v>
      </c>
      <c r="R2502" s="2" t="s">
        <v>16707</v>
      </c>
    </row>
    <row r="2503" spans="1:18" x14ac:dyDescent="0.25">
      <c r="A2503" s="2" t="s">
        <v>2270</v>
      </c>
      <c r="B2503" s="6">
        <v>46204</v>
      </c>
      <c r="C2503" s="8">
        <v>46230</v>
      </c>
      <c r="D2503" s="2" t="s">
        <v>136</v>
      </c>
      <c r="E2503" s="2" t="s">
        <v>260</v>
      </c>
      <c r="F2503" s="2" t="s">
        <v>16703</v>
      </c>
      <c r="G2503" s="2" t="s">
        <v>2272</v>
      </c>
      <c r="H2503" s="2" t="s">
        <v>70</v>
      </c>
      <c r="I2503" s="9">
        <v>22332.462006000002</v>
      </c>
      <c r="J2503" s="7">
        <v>0.65800000000000003</v>
      </c>
      <c r="K2503" s="9">
        <v>14694.76</v>
      </c>
      <c r="L2503" s="14">
        <v>0</v>
      </c>
      <c r="M2503" s="2" t="s">
        <v>71</v>
      </c>
      <c r="N2503" s="2" t="s">
        <v>16706</v>
      </c>
      <c r="O2503" s="2" t="s">
        <v>2271</v>
      </c>
      <c r="P2503" s="9">
        <v>8.08</v>
      </c>
      <c r="Q2503" s="9">
        <v>14694.76</v>
      </c>
      <c r="R2503" s="2" t="s">
        <v>16707</v>
      </c>
    </row>
    <row r="2504" spans="1:18" x14ac:dyDescent="0.25">
      <c r="A2504" s="2" t="s">
        <v>2273</v>
      </c>
      <c r="B2504" s="6">
        <v>46204</v>
      </c>
      <c r="C2504" s="8">
        <v>46231</v>
      </c>
      <c r="D2504" s="2" t="s">
        <v>136</v>
      </c>
      <c r="E2504" s="2" t="s">
        <v>260</v>
      </c>
      <c r="F2504" s="2" t="s">
        <v>16703</v>
      </c>
      <c r="G2504" s="2" t="s">
        <v>2275</v>
      </c>
      <c r="H2504" s="2" t="s">
        <v>39</v>
      </c>
      <c r="I2504" s="9">
        <v>867.77</v>
      </c>
      <c r="J2504" s="7">
        <v>1</v>
      </c>
      <c r="K2504" s="9">
        <v>867.77</v>
      </c>
      <c r="L2504" s="14">
        <v>0</v>
      </c>
      <c r="M2504" s="2" t="s">
        <v>71</v>
      </c>
      <c r="N2504" s="2" t="s">
        <v>16706</v>
      </c>
      <c r="O2504" s="2" t="s">
        <v>2274</v>
      </c>
      <c r="P2504" s="9">
        <v>1.8</v>
      </c>
      <c r="Q2504" s="9">
        <v>867.77</v>
      </c>
      <c r="R2504" s="2" t="s">
        <v>16707</v>
      </c>
    </row>
    <row r="2505" spans="1:18" x14ac:dyDescent="0.25">
      <c r="A2505" s="2" t="s">
        <v>2276</v>
      </c>
      <c r="B2505" s="6">
        <v>46204</v>
      </c>
      <c r="C2505" s="8">
        <v>46232</v>
      </c>
      <c r="D2505" s="2" t="s">
        <v>136</v>
      </c>
      <c r="E2505" s="2" t="s">
        <v>260</v>
      </c>
      <c r="F2505" s="2" t="s">
        <v>16703</v>
      </c>
      <c r="G2505" s="2" t="s">
        <v>2278</v>
      </c>
      <c r="H2505" s="2" t="s">
        <v>76</v>
      </c>
      <c r="I2505" s="9">
        <v>16786774.193548001</v>
      </c>
      <c r="J2505" s="7">
        <v>6.2000000000000003E-5</v>
      </c>
      <c r="K2505" s="9">
        <v>1040.78</v>
      </c>
      <c r="L2505" s="14">
        <v>0</v>
      </c>
      <c r="M2505" s="2" t="s">
        <v>71</v>
      </c>
      <c r="N2505" s="2" t="s">
        <v>16706</v>
      </c>
      <c r="O2505" s="2" t="s">
        <v>2277</v>
      </c>
      <c r="P2505" s="9">
        <v>1.8</v>
      </c>
      <c r="Q2505" s="9">
        <v>1040.78</v>
      </c>
      <c r="R2505" s="2" t="s">
        <v>16707</v>
      </c>
    </row>
    <row r="2506" spans="1:18" x14ac:dyDescent="0.25">
      <c r="A2506" s="2" t="s">
        <v>2279</v>
      </c>
      <c r="B2506" s="6">
        <v>46204</v>
      </c>
      <c r="C2506" s="8">
        <v>46223</v>
      </c>
      <c r="D2506" s="2" t="s">
        <v>136</v>
      </c>
      <c r="E2506" s="2" t="s">
        <v>260</v>
      </c>
      <c r="F2506" s="2" t="s">
        <v>16703</v>
      </c>
      <c r="G2506" s="2" t="s">
        <v>2281</v>
      </c>
      <c r="H2506" s="2" t="s">
        <v>70</v>
      </c>
      <c r="I2506" s="9">
        <v>737.86626100000001</v>
      </c>
      <c r="J2506" s="7">
        <v>0.65800000000000003</v>
      </c>
      <c r="K2506" s="9">
        <v>485.52</v>
      </c>
      <c r="L2506" s="14">
        <v>0</v>
      </c>
      <c r="M2506" s="2" t="s">
        <v>71</v>
      </c>
      <c r="N2506" s="2" t="s">
        <v>16706</v>
      </c>
      <c r="O2506" s="2" t="s">
        <v>2280</v>
      </c>
      <c r="P2506" s="9">
        <v>1.8</v>
      </c>
      <c r="Q2506" s="9">
        <v>485.52</v>
      </c>
      <c r="R2506" s="2" t="s">
        <v>16707</v>
      </c>
    </row>
    <row r="2507" spans="1:18" x14ac:dyDescent="0.25">
      <c r="A2507" s="2" t="s">
        <v>2284</v>
      </c>
      <c r="B2507" s="6">
        <v>46204</v>
      </c>
      <c r="C2507" s="8">
        <v>46224</v>
      </c>
      <c r="D2507" s="2" t="s">
        <v>136</v>
      </c>
      <c r="E2507" s="2" t="s">
        <v>260</v>
      </c>
      <c r="F2507" s="2" t="s">
        <v>16703</v>
      </c>
      <c r="G2507" s="2" t="s">
        <v>2286</v>
      </c>
      <c r="H2507" s="2" t="s">
        <v>39</v>
      </c>
      <c r="I2507" s="9">
        <v>554.72</v>
      </c>
      <c r="J2507" s="7">
        <v>1</v>
      </c>
      <c r="K2507" s="9">
        <v>554.72</v>
      </c>
      <c r="L2507" s="14">
        <v>0</v>
      </c>
      <c r="M2507" s="2" t="s">
        <v>71</v>
      </c>
      <c r="N2507" s="2" t="s">
        <v>16706</v>
      </c>
      <c r="O2507" s="2" t="s">
        <v>2285</v>
      </c>
      <c r="P2507" s="9">
        <v>1.8</v>
      </c>
      <c r="Q2507" s="9">
        <v>554.72</v>
      </c>
      <c r="R2507" s="2" t="s">
        <v>16707</v>
      </c>
    </row>
    <row r="2508" spans="1:18" x14ac:dyDescent="0.25">
      <c r="A2508" s="2" t="s">
        <v>2295</v>
      </c>
      <c r="B2508" s="6">
        <v>46204</v>
      </c>
      <c r="C2508" s="8">
        <v>46227</v>
      </c>
      <c r="D2508" s="2" t="s">
        <v>136</v>
      </c>
      <c r="E2508" s="2" t="s">
        <v>260</v>
      </c>
      <c r="F2508" s="2" t="s">
        <v>16703</v>
      </c>
      <c r="G2508" s="2" t="s">
        <v>2297</v>
      </c>
      <c r="H2508" s="2" t="s">
        <v>39</v>
      </c>
      <c r="I2508" s="9">
        <v>762.33199999999999</v>
      </c>
      <c r="J2508" s="7">
        <v>1</v>
      </c>
      <c r="K2508" s="9">
        <v>762.33</v>
      </c>
      <c r="L2508" s="14">
        <v>0</v>
      </c>
      <c r="M2508" s="2" t="s">
        <v>71</v>
      </c>
      <c r="N2508" s="2" t="s">
        <v>16706</v>
      </c>
      <c r="O2508" s="2" t="s">
        <v>2296</v>
      </c>
      <c r="P2508" s="9">
        <v>1.8</v>
      </c>
      <c r="Q2508" s="9">
        <v>762.33</v>
      </c>
      <c r="R2508" s="2" t="s">
        <v>16707</v>
      </c>
    </row>
    <row r="2509" spans="1:18" x14ac:dyDescent="0.25">
      <c r="A2509" s="2" t="s">
        <v>2315</v>
      </c>
      <c r="B2509" s="6">
        <v>46204</v>
      </c>
      <c r="C2509" s="8">
        <v>46233</v>
      </c>
      <c r="D2509" s="2" t="s">
        <v>136</v>
      </c>
      <c r="E2509" s="2" t="s">
        <v>260</v>
      </c>
      <c r="F2509" s="2" t="s">
        <v>16703</v>
      </c>
      <c r="G2509" s="2" t="s">
        <v>2317</v>
      </c>
      <c r="H2509" s="2" t="s">
        <v>39</v>
      </c>
      <c r="I2509" s="9">
        <v>-2943.89</v>
      </c>
      <c r="J2509" s="7">
        <v>1</v>
      </c>
      <c r="K2509" s="9">
        <v>-2943.89</v>
      </c>
      <c r="L2509" s="14">
        <v>0</v>
      </c>
      <c r="M2509" s="2" t="s">
        <v>71</v>
      </c>
      <c r="N2509" s="2" t="s">
        <v>16706</v>
      </c>
      <c r="O2509" s="2" t="s">
        <v>2316</v>
      </c>
      <c r="P2509" s="9">
        <v>0</v>
      </c>
      <c r="Q2509" s="9">
        <v>-2943.89</v>
      </c>
      <c r="R2509" s="2" t="s">
        <v>16707</v>
      </c>
    </row>
    <row r="2510" spans="1:18" x14ac:dyDescent="0.25">
      <c r="A2510" s="2" t="s">
        <v>2318</v>
      </c>
      <c r="B2510" s="6">
        <v>46204</v>
      </c>
      <c r="C2510" s="8">
        <v>46234</v>
      </c>
      <c r="D2510" s="2" t="s">
        <v>136</v>
      </c>
      <c r="E2510" s="2" t="s">
        <v>260</v>
      </c>
      <c r="F2510" s="2" t="s">
        <v>16703</v>
      </c>
      <c r="G2510" s="2" t="s">
        <v>2320</v>
      </c>
      <c r="H2510" s="2" t="s">
        <v>76</v>
      </c>
      <c r="I2510" s="9">
        <v>20109032.258064002</v>
      </c>
      <c r="J2510" s="7">
        <v>6.2000000000000003E-5</v>
      </c>
      <c r="K2510" s="9">
        <v>1246.76</v>
      </c>
      <c r="L2510" s="14">
        <v>0</v>
      </c>
      <c r="M2510" s="2" t="s">
        <v>71</v>
      </c>
      <c r="N2510" s="2" t="s">
        <v>16706</v>
      </c>
      <c r="O2510" s="2" t="s">
        <v>2319</v>
      </c>
      <c r="P2510" s="9">
        <v>1.8</v>
      </c>
      <c r="Q2510" s="9">
        <v>1246.76</v>
      </c>
      <c r="R2510" s="2" t="s">
        <v>16707</v>
      </c>
    </row>
    <row r="2511" spans="1:18" x14ac:dyDescent="0.25">
      <c r="A2511" s="2" t="s">
        <v>2373</v>
      </c>
      <c r="B2511" s="6">
        <v>46204</v>
      </c>
      <c r="C2511" s="8">
        <v>46228</v>
      </c>
      <c r="D2511" s="2" t="s">
        <v>136</v>
      </c>
      <c r="E2511" s="2" t="s">
        <v>260</v>
      </c>
      <c r="F2511" s="2" t="s">
        <v>16703</v>
      </c>
      <c r="G2511" s="2" t="s">
        <v>2375</v>
      </c>
      <c r="H2511" s="2" t="s">
        <v>76</v>
      </c>
      <c r="I2511" s="9">
        <v>92114193.548387006</v>
      </c>
      <c r="J2511" s="7">
        <v>6.2000000000000003E-5</v>
      </c>
      <c r="K2511" s="9">
        <v>5711.08</v>
      </c>
      <c r="L2511" s="14">
        <v>0</v>
      </c>
      <c r="M2511" s="2" t="s">
        <v>71</v>
      </c>
      <c r="N2511" s="2" t="s">
        <v>16706</v>
      </c>
      <c r="O2511" s="2" t="s">
        <v>2374</v>
      </c>
      <c r="P2511" s="9">
        <v>3.14</v>
      </c>
      <c r="Q2511" s="9">
        <v>5711.08</v>
      </c>
      <c r="R2511" s="2" t="s">
        <v>16707</v>
      </c>
    </row>
    <row r="2512" spans="1:18" x14ac:dyDescent="0.25">
      <c r="A2512" s="2" t="s">
        <v>2376</v>
      </c>
      <c r="B2512" s="6">
        <v>46204</v>
      </c>
      <c r="C2512" s="8">
        <v>46229</v>
      </c>
      <c r="D2512" s="2" t="s">
        <v>136</v>
      </c>
      <c r="E2512" s="2" t="s">
        <v>260</v>
      </c>
      <c r="F2512" s="2" t="s">
        <v>16703</v>
      </c>
      <c r="G2512" s="2" t="s">
        <v>2378</v>
      </c>
      <c r="H2512" s="2" t="s">
        <v>70</v>
      </c>
      <c r="I2512" s="9">
        <v>8942.3860179999992</v>
      </c>
      <c r="J2512" s="7">
        <v>0.65800000000000003</v>
      </c>
      <c r="K2512" s="9">
        <v>5884.09</v>
      </c>
      <c r="L2512" s="14">
        <v>0</v>
      </c>
      <c r="M2512" s="2" t="s">
        <v>71</v>
      </c>
      <c r="N2512" s="2" t="s">
        <v>16706</v>
      </c>
      <c r="O2512" s="2" t="s">
        <v>2377</v>
      </c>
      <c r="P2512" s="9">
        <v>3.24</v>
      </c>
      <c r="Q2512" s="9">
        <v>5884.09</v>
      </c>
      <c r="R2512" s="2" t="s">
        <v>16707</v>
      </c>
    </row>
    <row r="2513" spans="1:18" x14ac:dyDescent="0.25">
      <c r="A2513" s="2" t="s">
        <v>2379</v>
      </c>
      <c r="B2513" s="6">
        <v>46204</v>
      </c>
      <c r="C2513" s="8">
        <v>46230</v>
      </c>
      <c r="D2513" s="2" t="s">
        <v>136</v>
      </c>
      <c r="E2513" s="2" t="s">
        <v>260</v>
      </c>
      <c r="F2513" s="2" t="s">
        <v>16703</v>
      </c>
      <c r="G2513" s="2" t="s">
        <v>2381</v>
      </c>
      <c r="H2513" s="2" t="s">
        <v>39</v>
      </c>
      <c r="I2513" s="9">
        <v>6057.1</v>
      </c>
      <c r="J2513" s="7">
        <v>1</v>
      </c>
      <c r="K2513" s="9">
        <v>6057.1</v>
      </c>
      <c r="L2513" s="14">
        <v>0</v>
      </c>
      <c r="M2513" s="2" t="s">
        <v>71</v>
      </c>
      <c r="N2513" s="2" t="s">
        <v>16706</v>
      </c>
      <c r="O2513" s="2" t="s">
        <v>2380</v>
      </c>
      <c r="P2513" s="9">
        <v>3.33</v>
      </c>
      <c r="Q2513" s="9">
        <v>6057.1</v>
      </c>
      <c r="R2513" s="2" t="s">
        <v>16707</v>
      </c>
    </row>
    <row r="2514" spans="1:18" x14ac:dyDescent="0.25">
      <c r="A2514" s="2" t="s">
        <v>2382</v>
      </c>
      <c r="B2514" s="6">
        <v>46204</v>
      </c>
      <c r="C2514" s="8">
        <v>46231</v>
      </c>
      <c r="D2514" s="2" t="s">
        <v>136</v>
      </c>
      <c r="E2514" s="2" t="s">
        <v>260</v>
      </c>
      <c r="F2514" s="2" t="s">
        <v>16703</v>
      </c>
      <c r="G2514" s="2" t="s">
        <v>2384</v>
      </c>
      <c r="H2514" s="2" t="s">
        <v>76</v>
      </c>
      <c r="I2514" s="9">
        <v>100485645.16129</v>
      </c>
      <c r="J2514" s="7">
        <v>6.2000000000000003E-5</v>
      </c>
      <c r="K2514" s="9">
        <v>6230.11</v>
      </c>
      <c r="L2514" s="14">
        <v>0</v>
      </c>
      <c r="M2514" s="2" t="s">
        <v>71</v>
      </c>
      <c r="N2514" s="2" t="s">
        <v>16706</v>
      </c>
      <c r="O2514" s="2" t="s">
        <v>2383</v>
      </c>
      <c r="P2514" s="9">
        <v>3.43</v>
      </c>
      <c r="Q2514" s="9">
        <v>6230.11</v>
      </c>
      <c r="R2514" s="2" t="s">
        <v>16707</v>
      </c>
    </row>
    <row r="2515" spans="1:18" x14ac:dyDescent="0.25">
      <c r="A2515" s="2" t="s">
        <v>2385</v>
      </c>
      <c r="B2515" s="6">
        <v>46204</v>
      </c>
      <c r="C2515" s="8">
        <v>46222</v>
      </c>
      <c r="D2515" s="2" t="s">
        <v>136</v>
      </c>
      <c r="E2515" s="2" t="s">
        <v>260</v>
      </c>
      <c r="F2515" s="2" t="s">
        <v>16703</v>
      </c>
      <c r="G2515" s="2" t="s">
        <v>2387</v>
      </c>
      <c r="H2515" s="2" t="s">
        <v>70</v>
      </c>
      <c r="I2515" s="9">
        <v>3892.4741640000002</v>
      </c>
      <c r="J2515" s="7">
        <v>0.65800000000000003</v>
      </c>
      <c r="K2515" s="9">
        <v>2561.25</v>
      </c>
      <c r="L2515" s="14">
        <v>0</v>
      </c>
      <c r="M2515" s="2" t="s">
        <v>71</v>
      </c>
      <c r="N2515" s="2" t="s">
        <v>16706</v>
      </c>
      <c r="O2515" s="2" t="s">
        <v>2386</v>
      </c>
      <c r="P2515" s="9">
        <v>1.8</v>
      </c>
      <c r="Q2515" s="9">
        <v>2561.25</v>
      </c>
      <c r="R2515" s="2" t="s">
        <v>16707</v>
      </c>
    </row>
    <row r="2516" spans="1:18" x14ac:dyDescent="0.25">
      <c r="A2516" s="2" t="s">
        <v>2390</v>
      </c>
      <c r="B2516" s="6">
        <v>46204</v>
      </c>
      <c r="C2516" s="8">
        <v>46223</v>
      </c>
      <c r="D2516" s="2" t="s">
        <v>136</v>
      </c>
      <c r="E2516" s="2" t="s">
        <v>260</v>
      </c>
      <c r="F2516" s="2" t="s">
        <v>16703</v>
      </c>
      <c r="G2516" s="2" t="s">
        <v>2392</v>
      </c>
      <c r="H2516" s="2" t="s">
        <v>39</v>
      </c>
      <c r="I2516" s="9">
        <v>2630.4520000000002</v>
      </c>
      <c r="J2516" s="7">
        <v>1</v>
      </c>
      <c r="K2516" s="9">
        <v>2630.45</v>
      </c>
      <c r="L2516" s="14">
        <v>0</v>
      </c>
      <c r="M2516" s="2" t="s">
        <v>71</v>
      </c>
      <c r="N2516" s="2" t="s">
        <v>16706</v>
      </c>
      <c r="O2516" s="2" t="s">
        <v>2391</v>
      </c>
      <c r="P2516" s="9">
        <v>1.8</v>
      </c>
      <c r="Q2516" s="9">
        <v>2630.45</v>
      </c>
      <c r="R2516" s="2" t="s">
        <v>16707</v>
      </c>
    </row>
    <row r="2517" spans="1:18" x14ac:dyDescent="0.25">
      <c r="A2517" s="2" t="s">
        <v>2395</v>
      </c>
      <c r="B2517" s="6">
        <v>46204</v>
      </c>
      <c r="C2517" s="8">
        <v>46234</v>
      </c>
      <c r="D2517" s="2" t="s">
        <v>136</v>
      </c>
      <c r="E2517" s="2" t="s">
        <v>260</v>
      </c>
      <c r="F2517" s="2" t="s">
        <v>16703</v>
      </c>
      <c r="G2517" s="2" t="s">
        <v>2397</v>
      </c>
      <c r="H2517" s="2" t="s">
        <v>76</v>
      </c>
      <c r="I2517" s="9">
        <v>108857096.774194</v>
      </c>
      <c r="J2517" s="7">
        <v>6.2000000000000003E-5</v>
      </c>
      <c r="K2517" s="9">
        <v>6749.14</v>
      </c>
      <c r="L2517" s="14">
        <v>0</v>
      </c>
      <c r="M2517" s="2" t="s">
        <v>71</v>
      </c>
      <c r="N2517" s="2" t="s">
        <v>16706</v>
      </c>
      <c r="O2517" s="2" t="s">
        <v>2396</v>
      </c>
      <c r="P2517" s="9">
        <v>3.71</v>
      </c>
      <c r="Q2517" s="9">
        <v>6749.14</v>
      </c>
      <c r="R2517" s="2" t="s">
        <v>16707</v>
      </c>
    </row>
    <row r="2518" spans="1:18" x14ac:dyDescent="0.25">
      <c r="A2518" s="2" t="s">
        <v>2401</v>
      </c>
      <c r="B2518" s="6">
        <v>46204</v>
      </c>
      <c r="C2518" s="8">
        <v>46226</v>
      </c>
      <c r="D2518" s="2" t="s">
        <v>136</v>
      </c>
      <c r="E2518" s="2" t="s">
        <v>260</v>
      </c>
      <c r="F2518" s="2" t="s">
        <v>16703</v>
      </c>
      <c r="G2518" s="2" t="s">
        <v>2403</v>
      </c>
      <c r="H2518" s="2" t="s">
        <v>39</v>
      </c>
      <c r="I2518" s="9">
        <v>2838.0639999999999</v>
      </c>
      <c r="J2518" s="7">
        <v>1</v>
      </c>
      <c r="K2518" s="9">
        <v>2838.06</v>
      </c>
      <c r="L2518" s="14">
        <v>0</v>
      </c>
      <c r="M2518" s="2" t="s">
        <v>71</v>
      </c>
      <c r="N2518" s="2" t="s">
        <v>16706</v>
      </c>
      <c r="O2518" s="2" t="s">
        <v>2402</v>
      </c>
      <c r="P2518" s="9">
        <v>1.8</v>
      </c>
      <c r="Q2518" s="9">
        <v>2838.06</v>
      </c>
      <c r="R2518" s="2" t="s">
        <v>16707</v>
      </c>
    </row>
    <row r="2519" spans="1:18" x14ac:dyDescent="0.25">
      <c r="A2519" s="2" t="s">
        <v>2421</v>
      </c>
      <c r="B2519" s="6">
        <v>46204</v>
      </c>
      <c r="C2519" s="8">
        <v>46232</v>
      </c>
      <c r="D2519" s="2" t="s">
        <v>136</v>
      </c>
      <c r="E2519" s="2" t="s">
        <v>260</v>
      </c>
      <c r="F2519" s="2" t="s">
        <v>16703</v>
      </c>
      <c r="G2519" s="2" t="s">
        <v>2423</v>
      </c>
      <c r="H2519" s="2" t="s">
        <v>39</v>
      </c>
      <c r="I2519" s="9">
        <v>3253.288</v>
      </c>
      <c r="J2519" s="7">
        <v>1</v>
      </c>
      <c r="K2519" s="9">
        <v>3253.29</v>
      </c>
      <c r="L2519" s="14">
        <v>0</v>
      </c>
      <c r="M2519" s="2" t="s">
        <v>71</v>
      </c>
      <c r="N2519" s="2" t="s">
        <v>16706</v>
      </c>
      <c r="O2519" s="2" t="s">
        <v>2422</v>
      </c>
      <c r="P2519" s="9">
        <v>1.8</v>
      </c>
      <c r="Q2519" s="9">
        <v>3253.29</v>
      </c>
      <c r="R2519" s="2" t="s">
        <v>16707</v>
      </c>
    </row>
    <row r="2520" spans="1:18" x14ac:dyDescent="0.25">
      <c r="A2520" s="2" t="s">
        <v>2426</v>
      </c>
      <c r="B2520" s="6">
        <v>46204</v>
      </c>
      <c r="C2520" s="8">
        <v>46233</v>
      </c>
      <c r="D2520" s="2" t="s">
        <v>136</v>
      </c>
      <c r="E2520" s="2" t="s">
        <v>260</v>
      </c>
      <c r="F2520" s="2" t="s">
        <v>16703</v>
      </c>
      <c r="G2520" s="2" t="s">
        <v>2428</v>
      </c>
      <c r="H2520" s="2" t="s">
        <v>76</v>
      </c>
      <c r="I2520" s="9">
        <v>53588580.645161003</v>
      </c>
      <c r="J2520" s="7">
        <v>6.2000000000000003E-5</v>
      </c>
      <c r="K2520" s="9">
        <v>3322.49</v>
      </c>
      <c r="L2520" s="14">
        <v>0</v>
      </c>
      <c r="M2520" s="2" t="s">
        <v>71</v>
      </c>
      <c r="N2520" s="2" t="s">
        <v>16706</v>
      </c>
      <c r="O2520" s="2" t="s">
        <v>2427</v>
      </c>
      <c r="P2520" s="9">
        <v>1.83</v>
      </c>
      <c r="Q2520" s="9">
        <v>3322.49</v>
      </c>
      <c r="R2520" s="2" t="s">
        <v>16707</v>
      </c>
    </row>
    <row r="2521" spans="1:18" x14ac:dyDescent="0.25">
      <c r="A2521" s="2" t="s">
        <v>2482</v>
      </c>
      <c r="B2521" s="6">
        <v>46204</v>
      </c>
      <c r="C2521" s="8">
        <v>46228</v>
      </c>
      <c r="D2521" s="2" t="s">
        <v>136</v>
      </c>
      <c r="E2521" s="2" t="s">
        <v>260</v>
      </c>
      <c r="F2521" s="2" t="s">
        <v>16703</v>
      </c>
      <c r="G2521" s="2" t="s">
        <v>2484</v>
      </c>
      <c r="H2521" s="2" t="s">
        <v>70</v>
      </c>
      <c r="I2521" s="9">
        <v>16830.379938999999</v>
      </c>
      <c r="J2521" s="7">
        <v>0.65800000000000003</v>
      </c>
      <c r="K2521" s="9">
        <v>11074.39</v>
      </c>
      <c r="L2521" s="14">
        <v>0</v>
      </c>
      <c r="M2521" s="2" t="s">
        <v>71</v>
      </c>
      <c r="N2521" s="2" t="s">
        <v>16706</v>
      </c>
      <c r="O2521" s="2" t="s">
        <v>2483</v>
      </c>
      <c r="P2521" s="9">
        <v>6.09</v>
      </c>
      <c r="Q2521" s="9">
        <v>11074.39</v>
      </c>
      <c r="R2521" s="2" t="s">
        <v>16707</v>
      </c>
    </row>
    <row r="2522" spans="1:18" x14ac:dyDescent="0.25">
      <c r="A2522" s="2" t="s">
        <v>2485</v>
      </c>
      <c r="B2522" s="6">
        <v>46204</v>
      </c>
      <c r="C2522" s="8">
        <v>46229</v>
      </c>
      <c r="D2522" s="2" t="s">
        <v>136</v>
      </c>
      <c r="E2522" s="2" t="s">
        <v>260</v>
      </c>
      <c r="F2522" s="2" t="s">
        <v>16703</v>
      </c>
      <c r="G2522" s="2" t="s">
        <v>2487</v>
      </c>
      <c r="H2522" s="2" t="s">
        <v>39</v>
      </c>
      <c r="I2522" s="9">
        <v>11247.4</v>
      </c>
      <c r="J2522" s="7">
        <v>1</v>
      </c>
      <c r="K2522" s="9">
        <v>11247.4</v>
      </c>
      <c r="L2522" s="14">
        <v>0</v>
      </c>
      <c r="M2522" s="2" t="s">
        <v>71</v>
      </c>
      <c r="N2522" s="2" t="s">
        <v>16706</v>
      </c>
      <c r="O2522" s="2" t="s">
        <v>2486</v>
      </c>
      <c r="P2522" s="9">
        <v>6.19</v>
      </c>
      <c r="Q2522" s="9">
        <v>11247.4</v>
      </c>
      <c r="R2522" s="2" t="s">
        <v>16707</v>
      </c>
    </row>
    <row r="2523" spans="1:18" x14ac:dyDescent="0.25">
      <c r="A2523" s="2" t="s">
        <v>2488</v>
      </c>
      <c r="B2523" s="6">
        <v>46204</v>
      </c>
      <c r="C2523" s="8">
        <v>46230</v>
      </c>
      <c r="D2523" s="2" t="s">
        <v>136</v>
      </c>
      <c r="E2523" s="2" t="s">
        <v>260</v>
      </c>
      <c r="F2523" s="2" t="s">
        <v>16703</v>
      </c>
      <c r="G2523" s="2" t="s">
        <v>2490</v>
      </c>
      <c r="H2523" s="2" t="s">
        <v>76</v>
      </c>
      <c r="I2523" s="9">
        <v>184200161.29032299</v>
      </c>
      <c r="J2523" s="7">
        <v>6.2000000000000003E-5</v>
      </c>
      <c r="K2523" s="9">
        <v>11420.41</v>
      </c>
      <c r="L2523" s="14">
        <v>0</v>
      </c>
      <c r="M2523" s="2" t="s">
        <v>71</v>
      </c>
      <c r="N2523" s="2" t="s">
        <v>16706</v>
      </c>
      <c r="O2523" s="2" t="s">
        <v>2489</v>
      </c>
      <c r="P2523" s="9">
        <v>6.28</v>
      </c>
      <c r="Q2523" s="9">
        <v>11420.41</v>
      </c>
      <c r="R2523" s="2" t="s">
        <v>16707</v>
      </c>
    </row>
    <row r="2524" spans="1:18" x14ac:dyDescent="0.25">
      <c r="A2524" s="2" t="s">
        <v>2491</v>
      </c>
      <c r="B2524" s="6">
        <v>46204</v>
      </c>
      <c r="C2524" s="8">
        <v>46221</v>
      </c>
      <c r="D2524" s="2" t="s">
        <v>136</v>
      </c>
      <c r="E2524" s="2" t="s">
        <v>260</v>
      </c>
      <c r="F2524" s="2" t="s">
        <v>16703</v>
      </c>
      <c r="G2524" s="2" t="s">
        <v>2493</v>
      </c>
      <c r="H2524" s="2" t="s">
        <v>70</v>
      </c>
      <c r="I2524" s="9">
        <v>7047.6717319999998</v>
      </c>
      <c r="J2524" s="7">
        <v>0.65800000000000003</v>
      </c>
      <c r="K2524" s="9">
        <v>4637.37</v>
      </c>
      <c r="L2524" s="14">
        <v>0</v>
      </c>
      <c r="M2524" s="2" t="s">
        <v>71</v>
      </c>
      <c r="N2524" s="2" t="s">
        <v>16706</v>
      </c>
      <c r="O2524" s="2" t="s">
        <v>2492</v>
      </c>
      <c r="P2524" s="9">
        <v>2.5499999999999998</v>
      </c>
      <c r="Q2524" s="9">
        <v>4637.37</v>
      </c>
      <c r="R2524" s="2" t="s">
        <v>16707</v>
      </c>
    </row>
    <row r="2525" spans="1:18" x14ac:dyDescent="0.25">
      <c r="A2525" s="2" t="s">
        <v>2496</v>
      </c>
      <c r="B2525" s="6">
        <v>46204</v>
      </c>
      <c r="C2525" s="8">
        <v>46222</v>
      </c>
      <c r="D2525" s="2" t="s">
        <v>136</v>
      </c>
      <c r="E2525" s="2" t="s">
        <v>260</v>
      </c>
      <c r="F2525" s="2" t="s">
        <v>16703</v>
      </c>
      <c r="G2525" s="2" t="s">
        <v>2498</v>
      </c>
      <c r="H2525" s="2" t="s">
        <v>39</v>
      </c>
      <c r="I2525" s="9">
        <v>4706.5720000000001</v>
      </c>
      <c r="J2525" s="7">
        <v>1</v>
      </c>
      <c r="K2525" s="9">
        <v>4706.57</v>
      </c>
      <c r="L2525" s="14">
        <v>0</v>
      </c>
      <c r="M2525" s="2" t="s">
        <v>71</v>
      </c>
      <c r="N2525" s="2" t="s">
        <v>16706</v>
      </c>
      <c r="O2525" s="2" t="s">
        <v>2497</v>
      </c>
      <c r="P2525" s="9">
        <v>2.59</v>
      </c>
      <c r="Q2525" s="9">
        <v>4706.57</v>
      </c>
      <c r="R2525" s="2" t="s">
        <v>16707</v>
      </c>
    </row>
    <row r="2526" spans="1:18" x14ac:dyDescent="0.25">
      <c r="A2526" s="2" t="s">
        <v>2501</v>
      </c>
      <c r="B2526" s="6">
        <v>46204</v>
      </c>
      <c r="C2526" s="8">
        <v>46233</v>
      </c>
      <c r="D2526" s="2" t="s">
        <v>136</v>
      </c>
      <c r="E2526" s="2" t="s">
        <v>260</v>
      </c>
      <c r="F2526" s="2" t="s">
        <v>16703</v>
      </c>
      <c r="G2526" s="2" t="s">
        <v>2503</v>
      </c>
      <c r="H2526" s="2" t="s">
        <v>76</v>
      </c>
      <c r="I2526" s="9">
        <v>192571612.90322599</v>
      </c>
      <c r="J2526" s="7">
        <v>6.2000000000000003E-5</v>
      </c>
      <c r="K2526" s="9">
        <v>11939.44</v>
      </c>
      <c r="L2526" s="14">
        <v>0</v>
      </c>
      <c r="M2526" s="2" t="s">
        <v>71</v>
      </c>
      <c r="N2526" s="2" t="s">
        <v>16706</v>
      </c>
      <c r="O2526" s="2" t="s">
        <v>2502</v>
      </c>
      <c r="P2526" s="9">
        <v>6.57</v>
      </c>
      <c r="Q2526" s="9">
        <v>11939.44</v>
      </c>
      <c r="R2526" s="2" t="s">
        <v>16707</v>
      </c>
    </row>
    <row r="2527" spans="1:18" x14ac:dyDescent="0.25">
      <c r="A2527" s="2" t="s">
        <v>2504</v>
      </c>
      <c r="B2527" s="6">
        <v>46204</v>
      </c>
      <c r="C2527" s="8">
        <v>46234</v>
      </c>
      <c r="D2527" s="2" t="s">
        <v>136</v>
      </c>
      <c r="E2527" s="2" t="s">
        <v>260</v>
      </c>
      <c r="F2527" s="2" t="s">
        <v>16703</v>
      </c>
      <c r="G2527" s="2" t="s">
        <v>2506</v>
      </c>
      <c r="H2527" s="2" t="s">
        <v>70</v>
      </c>
      <c r="I2527" s="9">
        <v>18407.978723</v>
      </c>
      <c r="J2527" s="7">
        <v>0.65800000000000003</v>
      </c>
      <c r="K2527" s="9">
        <v>12112.45</v>
      </c>
      <c r="L2527" s="14">
        <v>0</v>
      </c>
      <c r="M2527" s="2" t="s">
        <v>71</v>
      </c>
      <c r="N2527" s="2" t="s">
        <v>16706</v>
      </c>
      <c r="O2527" s="2" t="s">
        <v>2505</v>
      </c>
      <c r="P2527" s="9">
        <v>6.66</v>
      </c>
      <c r="Q2527" s="9">
        <v>12112.45</v>
      </c>
      <c r="R2527" s="2" t="s">
        <v>16707</v>
      </c>
    </row>
    <row r="2528" spans="1:18" x14ac:dyDescent="0.25">
      <c r="A2528" s="2" t="s">
        <v>2507</v>
      </c>
      <c r="B2528" s="6">
        <v>46204</v>
      </c>
      <c r="C2528" s="8">
        <v>46225</v>
      </c>
      <c r="D2528" s="2" t="s">
        <v>136</v>
      </c>
      <c r="E2528" s="2" t="s">
        <v>260</v>
      </c>
      <c r="F2528" s="2" t="s">
        <v>16703</v>
      </c>
      <c r="G2528" s="2" t="s">
        <v>2509</v>
      </c>
      <c r="H2528" s="2" t="s">
        <v>39</v>
      </c>
      <c r="I2528" s="9">
        <v>4914.1840000000002</v>
      </c>
      <c r="J2528" s="7">
        <v>1</v>
      </c>
      <c r="K2528" s="9">
        <v>4914.18</v>
      </c>
      <c r="L2528" s="14">
        <v>0</v>
      </c>
      <c r="M2528" s="2" t="s">
        <v>71</v>
      </c>
      <c r="N2528" s="2" t="s">
        <v>16706</v>
      </c>
      <c r="O2528" s="2" t="s">
        <v>2508</v>
      </c>
      <c r="P2528" s="9">
        <v>2.7</v>
      </c>
      <c r="Q2528" s="9">
        <v>4914.18</v>
      </c>
      <c r="R2528" s="2" t="s">
        <v>16707</v>
      </c>
    </row>
    <row r="2529" spans="1:18" x14ac:dyDescent="0.25">
      <c r="A2529" s="2" t="s">
        <v>2527</v>
      </c>
      <c r="B2529" s="6">
        <v>46204</v>
      </c>
      <c r="C2529" s="8">
        <v>46231</v>
      </c>
      <c r="D2529" s="2" t="s">
        <v>136</v>
      </c>
      <c r="E2529" s="2" t="s">
        <v>260</v>
      </c>
      <c r="F2529" s="2" t="s">
        <v>16703</v>
      </c>
      <c r="G2529" s="2" t="s">
        <v>2529</v>
      </c>
      <c r="H2529" s="2" t="s">
        <v>39</v>
      </c>
      <c r="I2529" s="9">
        <v>5329.4080000000004</v>
      </c>
      <c r="J2529" s="7">
        <v>1</v>
      </c>
      <c r="K2529" s="9">
        <v>5329.41</v>
      </c>
      <c r="L2529" s="14">
        <v>0</v>
      </c>
      <c r="M2529" s="2" t="s">
        <v>71</v>
      </c>
      <c r="N2529" s="2" t="s">
        <v>16706</v>
      </c>
      <c r="O2529" s="2" t="s">
        <v>2528</v>
      </c>
      <c r="P2529" s="9">
        <v>2.93</v>
      </c>
      <c r="Q2529" s="9">
        <v>5329.41</v>
      </c>
      <c r="R2529" s="2" t="s">
        <v>16707</v>
      </c>
    </row>
    <row r="2530" spans="1:18" x14ac:dyDescent="0.25">
      <c r="A2530" s="2" t="s">
        <v>2532</v>
      </c>
      <c r="B2530" s="6">
        <v>46204</v>
      </c>
      <c r="C2530" s="8">
        <v>46232</v>
      </c>
      <c r="D2530" s="2" t="s">
        <v>136</v>
      </c>
      <c r="E2530" s="2" t="s">
        <v>260</v>
      </c>
      <c r="F2530" s="2" t="s">
        <v>16703</v>
      </c>
      <c r="G2530" s="2" t="s">
        <v>2534</v>
      </c>
      <c r="H2530" s="2" t="s">
        <v>76</v>
      </c>
      <c r="I2530" s="9">
        <v>87074387.096773997</v>
      </c>
      <c r="J2530" s="7">
        <v>6.2000000000000003E-5</v>
      </c>
      <c r="K2530" s="9">
        <v>5398.61</v>
      </c>
      <c r="L2530" s="14">
        <v>0</v>
      </c>
      <c r="M2530" s="2" t="s">
        <v>71</v>
      </c>
      <c r="N2530" s="2" t="s">
        <v>16706</v>
      </c>
      <c r="O2530" s="2" t="s">
        <v>2533</v>
      </c>
      <c r="P2530" s="9">
        <v>2.97</v>
      </c>
      <c r="Q2530" s="9">
        <v>5398.61</v>
      </c>
      <c r="R2530" s="2" t="s">
        <v>16707</v>
      </c>
    </row>
    <row r="2531" spans="1:18" x14ac:dyDescent="0.25">
      <c r="A2531" s="2" t="s">
        <v>2593</v>
      </c>
      <c r="B2531" s="6">
        <v>46204</v>
      </c>
      <c r="C2531" s="8">
        <v>46228</v>
      </c>
      <c r="D2531" s="2" t="s">
        <v>136</v>
      </c>
      <c r="E2531" s="2" t="s">
        <v>260</v>
      </c>
      <c r="F2531" s="2" t="s">
        <v>16703</v>
      </c>
      <c r="G2531" s="2" t="s">
        <v>2595</v>
      </c>
      <c r="H2531" s="2" t="s">
        <v>39</v>
      </c>
      <c r="I2531" s="9">
        <v>2437.6999999999998</v>
      </c>
      <c r="J2531" s="7">
        <v>1</v>
      </c>
      <c r="K2531" s="9">
        <v>2437.6999999999998</v>
      </c>
      <c r="L2531" s="14">
        <v>0</v>
      </c>
      <c r="M2531" s="2" t="s">
        <v>71</v>
      </c>
      <c r="N2531" s="2" t="s">
        <v>16706</v>
      </c>
      <c r="O2531" s="2" t="s">
        <v>2594</v>
      </c>
      <c r="P2531" s="9">
        <v>1.8</v>
      </c>
      <c r="Q2531" s="9">
        <v>2437.6999999999998</v>
      </c>
      <c r="R2531" s="2" t="s">
        <v>16707</v>
      </c>
    </row>
    <row r="2532" spans="1:18" x14ac:dyDescent="0.25">
      <c r="A2532" s="2" t="s">
        <v>2596</v>
      </c>
      <c r="B2532" s="6">
        <v>46204</v>
      </c>
      <c r="C2532" s="8">
        <v>46229</v>
      </c>
      <c r="D2532" s="2" t="s">
        <v>136</v>
      </c>
      <c r="E2532" s="2" t="s">
        <v>260</v>
      </c>
      <c r="F2532" s="2" t="s">
        <v>16703</v>
      </c>
      <c r="G2532" s="2" t="s">
        <v>2598</v>
      </c>
      <c r="H2532" s="2" t="s">
        <v>76</v>
      </c>
      <c r="I2532" s="9">
        <v>42108225.806451999</v>
      </c>
      <c r="J2532" s="7">
        <v>6.2000000000000003E-5</v>
      </c>
      <c r="K2532" s="9">
        <v>2610.71</v>
      </c>
      <c r="L2532" s="14">
        <v>0</v>
      </c>
      <c r="M2532" s="2" t="s">
        <v>71</v>
      </c>
      <c r="N2532" s="2" t="s">
        <v>16706</v>
      </c>
      <c r="O2532" s="2" t="s">
        <v>2597</v>
      </c>
      <c r="P2532" s="9">
        <v>1.8</v>
      </c>
      <c r="Q2532" s="9">
        <v>2610.71</v>
      </c>
      <c r="R2532" s="2" t="s">
        <v>16707</v>
      </c>
    </row>
    <row r="2533" spans="1:18" x14ac:dyDescent="0.25">
      <c r="A2533" s="2" t="s">
        <v>2599</v>
      </c>
      <c r="B2533" s="6">
        <v>46204</v>
      </c>
      <c r="C2533" s="8">
        <v>46220</v>
      </c>
      <c r="D2533" s="2" t="s">
        <v>136</v>
      </c>
      <c r="E2533" s="2" t="s">
        <v>260</v>
      </c>
      <c r="F2533" s="2" t="s">
        <v>16703</v>
      </c>
      <c r="G2533" s="2" t="s">
        <v>2601</v>
      </c>
      <c r="H2533" s="2" t="s">
        <v>70</v>
      </c>
      <c r="I2533" s="9">
        <v>1692.2310030000001</v>
      </c>
      <c r="J2533" s="7">
        <v>0.65800000000000003</v>
      </c>
      <c r="K2533" s="9">
        <v>1113.49</v>
      </c>
      <c r="L2533" s="14">
        <v>0</v>
      </c>
      <c r="M2533" s="2" t="s">
        <v>71</v>
      </c>
      <c r="N2533" s="2" t="s">
        <v>16706</v>
      </c>
      <c r="O2533" s="2" t="s">
        <v>2600</v>
      </c>
      <c r="P2533" s="9">
        <v>1.8</v>
      </c>
      <c r="Q2533" s="9">
        <v>1113.49</v>
      </c>
      <c r="R2533" s="2" t="s">
        <v>16707</v>
      </c>
    </row>
    <row r="2534" spans="1:18" x14ac:dyDescent="0.25">
      <c r="A2534" s="2" t="s">
        <v>2604</v>
      </c>
      <c r="B2534" s="6">
        <v>46204</v>
      </c>
      <c r="C2534" s="8">
        <v>46221</v>
      </c>
      <c r="D2534" s="2" t="s">
        <v>136</v>
      </c>
      <c r="E2534" s="2" t="s">
        <v>260</v>
      </c>
      <c r="F2534" s="2" t="s">
        <v>16703</v>
      </c>
      <c r="G2534" s="2" t="s">
        <v>2606</v>
      </c>
      <c r="H2534" s="2" t="s">
        <v>39</v>
      </c>
      <c r="I2534" s="9">
        <v>1182.692</v>
      </c>
      <c r="J2534" s="7">
        <v>1</v>
      </c>
      <c r="K2534" s="9">
        <v>1182.69</v>
      </c>
      <c r="L2534" s="14">
        <v>0</v>
      </c>
      <c r="M2534" s="2" t="s">
        <v>71</v>
      </c>
      <c r="N2534" s="2" t="s">
        <v>16706</v>
      </c>
      <c r="O2534" s="2" t="s">
        <v>2605</v>
      </c>
      <c r="P2534" s="9">
        <v>1.8</v>
      </c>
      <c r="Q2534" s="9">
        <v>1182.69</v>
      </c>
      <c r="R2534" s="2" t="s">
        <v>16707</v>
      </c>
    </row>
    <row r="2535" spans="1:18" x14ac:dyDescent="0.25">
      <c r="A2535" s="2" t="s">
        <v>2609</v>
      </c>
      <c r="B2535" s="6">
        <v>46204</v>
      </c>
      <c r="C2535" s="8">
        <v>46232</v>
      </c>
      <c r="D2535" s="2" t="s">
        <v>136</v>
      </c>
      <c r="E2535" s="2" t="s">
        <v>260</v>
      </c>
      <c r="F2535" s="2" t="s">
        <v>16703</v>
      </c>
      <c r="G2535" s="2" t="s">
        <v>2611</v>
      </c>
      <c r="H2535" s="2" t="s">
        <v>76</v>
      </c>
      <c r="I2535" s="9">
        <v>-50479677.419354998</v>
      </c>
      <c r="J2535" s="7">
        <v>6.2000000000000003E-5</v>
      </c>
      <c r="K2535" s="9">
        <v>-3129.74</v>
      </c>
      <c r="L2535" s="14">
        <v>0</v>
      </c>
      <c r="M2535" s="2" t="s">
        <v>71</v>
      </c>
      <c r="N2535" s="2" t="s">
        <v>16706</v>
      </c>
      <c r="O2535" s="2" t="s">
        <v>2610</v>
      </c>
      <c r="P2535" s="9">
        <v>0</v>
      </c>
      <c r="Q2535" s="9">
        <v>-3129.74</v>
      </c>
      <c r="R2535" s="2" t="s">
        <v>16707</v>
      </c>
    </row>
    <row r="2536" spans="1:18" x14ac:dyDescent="0.25">
      <c r="A2536" s="2" t="s">
        <v>2612</v>
      </c>
      <c r="B2536" s="6">
        <v>46204</v>
      </c>
      <c r="C2536" s="8">
        <v>46233</v>
      </c>
      <c r="D2536" s="2" t="s">
        <v>136</v>
      </c>
      <c r="E2536" s="2" t="s">
        <v>260</v>
      </c>
      <c r="F2536" s="2" t="s">
        <v>16703</v>
      </c>
      <c r="G2536" s="2" t="s">
        <v>2614</v>
      </c>
      <c r="H2536" s="2" t="s">
        <v>70</v>
      </c>
      <c r="I2536" s="9">
        <v>5019.3769000000002</v>
      </c>
      <c r="J2536" s="7">
        <v>0.65800000000000003</v>
      </c>
      <c r="K2536" s="9">
        <v>3302.75</v>
      </c>
      <c r="L2536" s="14">
        <v>0</v>
      </c>
      <c r="M2536" s="2" t="s">
        <v>71</v>
      </c>
      <c r="N2536" s="2" t="s">
        <v>16706</v>
      </c>
      <c r="O2536" s="2" t="s">
        <v>2613</v>
      </c>
      <c r="P2536" s="9">
        <v>1.82</v>
      </c>
      <c r="Q2536" s="9">
        <v>3302.75</v>
      </c>
      <c r="R2536" s="2" t="s">
        <v>16707</v>
      </c>
    </row>
    <row r="2537" spans="1:18" x14ac:dyDescent="0.25">
      <c r="A2537" s="2" t="s">
        <v>2615</v>
      </c>
      <c r="B2537" s="6">
        <v>46204</v>
      </c>
      <c r="C2537" s="8">
        <v>46224</v>
      </c>
      <c r="D2537" s="2" t="s">
        <v>136</v>
      </c>
      <c r="E2537" s="2" t="s">
        <v>260</v>
      </c>
      <c r="F2537" s="2" t="s">
        <v>16703</v>
      </c>
      <c r="G2537" s="2" t="s">
        <v>2617</v>
      </c>
      <c r="H2537" s="2" t="s">
        <v>39</v>
      </c>
      <c r="I2537" s="9">
        <v>1390.3040000000001</v>
      </c>
      <c r="J2537" s="7">
        <v>1</v>
      </c>
      <c r="K2537" s="9">
        <v>1390.3</v>
      </c>
      <c r="L2537" s="14">
        <v>0</v>
      </c>
      <c r="M2537" s="2" t="s">
        <v>71</v>
      </c>
      <c r="N2537" s="2" t="s">
        <v>16706</v>
      </c>
      <c r="O2537" s="2" t="s">
        <v>2616</v>
      </c>
      <c r="P2537" s="9">
        <v>1.8</v>
      </c>
      <c r="Q2537" s="9">
        <v>1390.3</v>
      </c>
      <c r="R2537" s="2" t="s">
        <v>16707</v>
      </c>
    </row>
    <row r="2538" spans="1:18" x14ac:dyDescent="0.25">
      <c r="A2538" s="2" t="s">
        <v>2635</v>
      </c>
      <c r="B2538" s="6">
        <v>46204</v>
      </c>
      <c r="C2538" s="8">
        <v>46230</v>
      </c>
      <c r="D2538" s="2" t="s">
        <v>136</v>
      </c>
      <c r="E2538" s="2" t="s">
        <v>260</v>
      </c>
      <c r="F2538" s="2" t="s">
        <v>16703</v>
      </c>
      <c r="G2538" s="2" t="s">
        <v>2637</v>
      </c>
      <c r="H2538" s="2" t="s">
        <v>39</v>
      </c>
      <c r="I2538" s="9">
        <v>1805.528</v>
      </c>
      <c r="J2538" s="7">
        <v>1</v>
      </c>
      <c r="K2538" s="9">
        <v>1805.53</v>
      </c>
      <c r="L2538" s="14">
        <v>0</v>
      </c>
      <c r="M2538" s="2" t="s">
        <v>71</v>
      </c>
      <c r="N2538" s="2" t="s">
        <v>16706</v>
      </c>
      <c r="O2538" s="2" t="s">
        <v>2636</v>
      </c>
      <c r="P2538" s="9">
        <v>1.8</v>
      </c>
      <c r="Q2538" s="9">
        <v>1805.53</v>
      </c>
      <c r="R2538" s="2" t="s">
        <v>16707</v>
      </c>
    </row>
    <row r="2539" spans="1:18" x14ac:dyDescent="0.25">
      <c r="A2539" s="2" t="s">
        <v>2640</v>
      </c>
      <c r="B2539" s="6">
        <v>46204</v>
      </c>
      <c r="C2539" s="8">
        <v>46231</v>
      </c>
      <c r="D2539" s="2" t="s">
        <v>136</v>
      </c>
      <c r="E2539" s="2" t="s">
        <v>260</v>
      </c>
      <c r="F2539" s="2" t="s">
        <v>16703</v>
      </c>
      <c r="G2539" s="2" t="s">
        <v>2642</v>
      </c>
      <c r="H2539" s="2" t="s">
        <v>76</v>
      </c>
      <c r="I2539" s="9">
        <v>30237612.903225999</v>
      </c>
      <c r="J2539" s="7">
        <v>6.2000000000000003E-5</v>
      </c>
      <c r="K2539" s="9">
        <v>1874.73</v>
      </c>
      <c r="L2539" s="14">
        <v>0</v>
      </c>
      <c r="M2539" s="2" t="s">
        <v>71</v>
      </c>
      <c r="N2539" s="2" t="s">
        <v>16706</v>
      </c>
      <c r="O2539" s="2" t="s">
        <v>2641</v>
      </c>
      <c r="P2539" s="9">
        <v>1.8</v>
      </c>
      <c r="Q2539" s="9">
        <v>1874.73</v>
      </c>
      <c r="R2539" s="2" t="s">
        <v>16707</v>
      </c>
    </row>
    <row r="2540" spans="1:18" x14ac:dyDescent="0.25">
      <c r="A2540" s="2" t="s">
        <v>3846</v>
      </c>
      <c r="B2540" s="6">
        <v>46174</v>
      </c>
      <c r="C2540" s="8">
        <v>46198</v>
      </c>
      <c r="D2540" s="2" t="s">
        <v>199</v>
      </c>
      <c r="E2540" s="2" t="s">
        <v>260</v>
      </c>
      <c r="F2540" s="2" t="s">
        <v>16703</v>
      </c>
      <c r="G2540" s="2" t="s">
        <v>3848</v>
      </c>
      <c r="H2540" s="2" t="s">
        <v>39</v>
      </c>
      <c r="I2540" s="9">
        <v>2605.0100000000002</v>
      </c>
      <c r="J2540" s="7">
        <v>1</v>
      </c>
      <c r="K2540" s="9">
        <v>2605.0100000000002</v>
      </c>
      <c r="L2540" s="14">
        <v>0</v>
      </c>
      <c r="M2540" s="2" t="s">
        <v>71</v>
      </c>
      <c r="N2540" s="2" t="s">
        <v>16704</v>
      </c>
      <c r="O2540" s="2" t="s">
        <v>3847</v>
      </c>
      <c r="P2540" s="9">
        <v>1.8</v>
      </c>
      <c r="Q2540" s="9">
        <v>2605.0100000000002</v>
      </c>
      <c r="R2540" s="2" t="s">
        <v>16708</v>
      </c>
    </row>
    <row r="2541" spans="1:18" x14ac:dyDescent="0.25">
      <c r="A2541" s="2" t="s">
        <v>3849</v>
      </c>
      <c r="B2541" s="6">
        <v>46174</v>
      </c>
      <c r="C2541" s="8">
        <v>46199</v>
      </c>
      <c r="D2541" s="2" t="s">
        <v>199</v>
      </c>
      <c r="E2541" s="2" t="s">
        <v>260</v>
      </c>
      <c r="F2541" s="2" t="s">
        <v>16703</v>
      </c>
      <c r="G2541" s="2" t="s">
        <v>3851</v>
      </c>
      <c r="H2541" s="2" t="s">
        <v>76</v>
      </c>
      <c r="I2541" s="9">
        <v>44448320</v>
      </c>
      <c r="J2541" s="7">
        <v>6.2500000000000001E-5</v>
      </c>
      <c r="K2541" s="9">
        <v>2778.02</v>
      </c>
      <c r="L2541" s="14">
        <v>0</v>
      </c>
      <c r="M2541" s="2" t="s">
        <v>71</v>
      </c>
      <c r="N2541" s="2" t="s">
        <v>16704</v>
      </c>
      <c r="O2541" s="2" t="s">
        <v>3850</v>
      </c>
      <c r="P2541" s="9">
        <v>1.8</v>
      </c>
      <c r="Q2541" s="9">
        <v>2778.02</v>
      </c>
      <c r="R2541" s="2" t="s">
        <v>16708</v>
      </c>
    </row>
    <row r="2542" spans="1:18" x14ac:dyDescent="0.25">
      <c r="A2542" s="2" t="s">
        <v>3852</v>
      </c>
      <c r="B2542" s="6">
        <v>46174</v>
      </c>
      <c r="C2542" s="8">
        <v>46200</v>
      </c>
      <c r="D2542" s="2" t="s">
        <v>199</v>
      </c>
      <c r="E2542" s="2" t="s">
        <v>260</v>
      </c>
      <c r="F2542" s="2" t="s">
        <v>16703</v>
      </c>
      <c r="G2542" s="2" t="s">
        <v>3854</v>
      </c>
      <c r="H2542" s="2" t="s">
        <v>70</v>
      </c>
      <c r="I2542" s="9">
        <v>4437.6390979999996</v>
      </c>
      <c r="J2542" s="7">
        <v>0.66500000000000004</v>
      </c>
      <c r="K2542" s="9">
        <v>2951.03</v>
      </c>
      <c r="L2542" s="14">
        <v>0</v>
      </c>
      <c r="M2542" s="2" t="s">
        <v>71</v>
      </c>
      <c r="N2542" s="2" t="s">
        <v>16704</v>
      </c>
      <c r="O2542" s="2" t="s">
        <v>3853</v>
      </c>
      <c r="P2542" s="9">
        <v>1.8</v>
      </c>
      <c r="Q2542" s="9">
        <v>2951.03</v>
      </c>
      <c r="R2542" s="2" t="s">
        <v>16708</v>
      </c>
    </row>
    <row r="2543" spans="1:18" x14ac:dyDescent="0.25">
      <c r="A2543" s="2" t="s">
        <v>3855</v>
      </c>
      <c r="B2543" s="6">
        <v>46174</v>
      </c>
      <c r="C2543" s="8">
        <v>46191</v>
      </c>
      <c r="D2543" s="2" t="s">
        <v>199</v>
      </c>
      <c r="E2543" s="2" t="s">
        <v>260</v>
      </c>
      <c r="F2543" s="2" t="s">
        <v>16703</v>
      </c>
      <c r="G2543" s="2" t="s">
        <v>3857</v>
      </c>
      <c r="H2543" s="2" t="s">
        <v>39</v>
      </c>
      <c r="I2543" s="9">
        <v>1249.616</v>
      </c>
      <c r="J2543" s="7">
        <v>1</v>
      </c>
      <c r="K2543" s="9">
        <v>1249.6199999999999</v>
      </c>
      <c r="L2543" s="14">
        <v>0</v>
      </c>
      <c r="M2543" s="2" t="s">
        <v>71</v>
      </c>
      <c r="N2543" s="2" t="s">
        <v>16704</v>
      </c>
      <c r="O2543" s="2" t="s">
        <v>3856</v>
      </c>
      <c r="P2543" s="9">
        <v>1.8</v>
      </c>
      <c r="Q2543" s="9">
        <v>1249.6199999999999</v>
      </c>
      <c r="R2543" s="2" t="s">
        <v>16708</v>
      </c>
    </row>
    <row r="2544" spans="1:18" x14ac:dyDescent="0.25">
      <c r="A2544" s="2" t="s">
        <v>3858</v>
      </c>
      <c r="B2544" s="6">
        <v>46204</v>
      </c>
      <c r="C2544" s="8">
        <v>46216</v>
      </c>
      <c r="D2544" s="2" t="s">
        <v>199</v>
      </c>
      <c r="E2544" s="2" t="s">
        <v>260</v>
      </c>
      <c r="F2544" s="2" t="s">
        <v>16703</v>
      </c>
      <c r="G2544" s="2" t="s">
        <v>3859</v>
      </c>
      <c r="H2544" s="2" t="s">
        <v>39</v>
      </c>
      <c r="I2544" s="9">
        <v>1874.424</v>
      </c>
      <c r="J2544" s="7">
        <v>1</v>
      </c>
      <c r="K2544" s="9">
        <v>1874.42</v>
      </c>
      <c r="L2544" s="14">
        <v>0</v>
      </c>
      <c r="M2544" s="2" t="s">
        <v>71</v>
      </c>
      <c r="N2544" s="2" t="s">
        <v>16706</v>
      </c>
      <c r="O2544" s="2" t="s">
        <v>3856</v>
      </c>
      <c r="P2544" s="9">
        <v>1.8</v>
      </c>
      <c r="Q2544" s="9">
        <v>1874.42</v>
      </c>
      <c r="R2544" s="2" t="s">
        <v>16709</v>
      </c>
    </row>
    <row r="2545" spans="1:18" x14ac:dyDescent="0.25">
      <c r="A2545" s="2" t="s">
        <v>3860</v>
      </c>
      <c r="B2545" s="6">
        <v>46174</v>
      </c>
      <c r="C2545" s="8">
        <v>46192</v>
      </c>
      <c r="D2545" s="2" t="s">
        <v>199</v>
      </c>
      <c r="E2545" s="2" t="s">
        <v>260</v>
      </c>
      <c r="F2545" s="2" t="s">
        <v>16703</v>
      </c>
      <c r="G2545" s="2" t="s">
        <v>3862</v>
      </c>
      <c r="H2545" s="2" t="s">
        <v>76</v>
      </c>
      <c r="I2545" s="9">
        <v>21101120</v>
      </c>
      <c r="J2545" s="7">
        <v>6.2500000000000001E-5</v>
      </c>
      <c r="K2545" s="9">
        <v>1318.82</v>
      </c>
      <c r="L2545" s="14">
        <v>0</v>
      </c>
      <c r="M2545" s="2" t="s">
        <v>71</v>
      </c>
      <c r="N2545" s="2" t="s">
        <v>16704</v>
      </c>
      <c r="O2545" s="2" t="s">
        <v>3861</v>
      </c>
      <c r="P2545" s="9">
        <v>1.8</v>
      </c>
      <c r="Q2545" s="9">
        <v>1318.82</v>
      </c>
      <c r="R2545" s="2" t="s">
        <v>16708</v>
      </c>
    </row>
    <row r="2546" spans="1:18" x14ac:dyDescent="0.25">
      <c r="A2546" s="2" t="s">
        <v>3863</v>
      </c>
      <c r="B2546" s="6">
        <v>46204</v>
      </c>
      <c r="C2546" s="8">
        <v>46217</v>
      </c>
      <c r="D2546" s="2" t="s">
        <v>199</v>
      </c>
      <c r="E2546" s="2" t="s">
        <v>260</v>
      </c>
      <c r="F2546" s="2" t="s">
        <v>16703</v>
      </c>
      <c r="G2546" s="2" t="s">
        <v>3864</v>
      </c>
      <c r="H2546" s="2" t="s">
        <v>76</v>
      </c>
      <c r="I2546" s="9">
        <v>31651680</v>
      </c>
      <c r="J2546" s="7">
        <v>6.2000000000000003E-5</v>
      </c>
      <c r="K2546" s="9">
        <v>1962.4</v>
      </c>
      <c r="L2546" s="14">
        <v>0</v>
      </c>
      <c r="M2546" s="2" t="s">
        <v>71</v>
      </c>
      <c r="N2546" s="2" t="s">
        <v>16706</v>
      </c>
      <c r="O2546" s="2" t="s">
        <v>3861</v>
      </c>
      <c r="P2546" s="9">
        <v>1.8</v>
      </c>
      <c r="Q2546" s="9">
        <v>1978.23</v>
      </c>
      <c r="R2546" s="2" t="s">
        <v>16709</v>
      </c>
    </row>
    <row r="2547" spans="1:18" x14ac:dyDescent="0.25">
      <c r="A2547" s="2" t="s">
        <v>3865</v>
      </c>
      <c r="B2547" s="6">
        <v>46174</v>
      </c>
      <c r="C2547" s="8">
        <v>46203</v>
      </c>
      <c r="D2547" s="2" t="s">
        <v>199</v>
      </c>
      <c r="E2547" s="2" t="s">
        <v>260</v>
      </c>
      <c r="F2547" s="2" t="s">
        <v>16703</v>
      </c>
      <c r="G2547" s="2" t="s">
        <v>3867</v>
      </c>
      <c r="H2547" s="2" t="s">
        <v>70</v>
      </c>
      <c r="I2547" s="9">
        <v>5218.135338</v>
      </c>
      <c r="J2547" s="7">
        <v>0.66500000000000004</v>
      </c>
      <c r="K2547" s="9">
        <v>3470.06</v>
      </c>
      <c r="L2547" s="14">
        <v>0</v>
      </c>
      <c r="M2547" s="2" t="s">
        <v>71</v>
      </c>
      <c r="N2547" s="2" t="s">
        <v>16704</v>
      </c>
      <c r="O2547" s="2" t="s">
        <v>3866</v>
      </c>
      <c r="P2547" s="9">
        <v>1.91</v>
      </c>
      <c r="Q2547" s="9">
        <v>3470.06</v>
      </c>
      <c r="R2547" s="2" t="s">
        <v>16708</v>
      </c>
    </row>
    <row r="2548" spans="1:18" x14ac:dyDescent="0.25">
      <c r="A2548" s="2" t="s">
        <v>3868</v>
      </c>
      <c r="B2548" s="6">
        <v>46204</v>
      </c>
      <c r="C2548" s="8">
        <v>46204</v>
      </c>
      <c r="D2548" s="2" t="s">
        <v>199</v>
      </c>
      <c r="E2548" s="2" t="s">
        <v>260</v>
      </c>
      <c r="F2548" s="2" t="s">
        <v>16703</v>
      </c>
      <c r="G2548" s="2" t="s">
        <v>3870</v>
      </c>
      <c r="H2548" s="2" t="s">
        <v>39</v>
      </c>
      <c r="I2548" s="9">
        <v>3643.07</v>
      </c>
      <c r="J2548" s="7">
        <v>1</v>
      </c>
      <c r="K2548" s="9">
        <v>3643.07</v>
      </c>
      <c r="L2548" s="14">
        <v>0</v>
      </c>
      <c r="M2548" s="2" t="s">
        <v>71</v>
      </c>
      <c r="N2548" s="2" t="s">
        <v>16706</v>
      </c>
      <c r="O2548" s="2" t="s">
        <v>3869</v>
      </c>
      <c r="P2548" s="9">
        <v>2</v>
      </c>
      <c r="Q2548" s="9">
        <v>3643.07</v>
      </c>
      <c r="R2548" s="2" t="s">
        <v>16709</v>
      </c>
    </row>
    <row r="2549" spans="1:18" x14ac:dyDescent="0.25">
      <c r="A2549" s="2" t="s">
        <v>3871</v>
      </c>
      <c r="B2549" s="6">
        <v>46174</v>
      </c>
      <c r="C2549" s="8">
        <v>46195</v>
      </c>
      <c r="D2549" s="2" t="s">
        <v>199</v>
      </c>
      <c r="E2549" s="2" t="s">
        <v>260</v>
      </c>
      <c r="F2549" s="2" t="s">
        <v>16703</v>
      </c>
      <c r="G2549" s="2" t="s">
        <v>3873</v>
      </c>
      <c r="H2549" s="2" t="s">
        <v>76</v>
      </c>
      <c r="I2549" s="9">
        <v>24422912</v>
      </c>
      <c r="J2549" s="7">
        <v>6.2500000000000001E-5</v>
      </c>
      <c r="K2549" s="9">
        <v>1526.43</v>
      </c>
      <c r="L2549" s="14">
        <v>0</v>
      </c>
      <c r="M2549" s="2" t="s">
        <v>71</v>
      </c>
      <c r="N2549" s="2" t="s">
        <v>16704</v>
      </c>
      <c r="O2549" s="2" t="s">
        <v>3872</v>
      </c>
      <c r="P2549" s="9">
        <v>1.8</v>
      </c>
      <c r="Q2549" s="9">
        <v>1526.43</v>
      </c>
      <c r="R2549" s="2" t="s">
        <v>16708</v>
      </c>
    </row>
    <row r="2550" spans="1:18" x14ac:dyDescent="0.25">
      <c r="A2550" s="2" t="s">
        <v>3874</v>
      </c>
      <c r="B2550" s="6">
        <v>46204</v>
      </c>
      <c r="C2550" s="8">
        <v>46220</v>
      </c>
      <c r="D2550" s="2" t="s">
        <v>199</v>
      </c>
      <c r="E2550" s="2" t="s">
        <v>260</v>
      </c>
      <c r="F2550" s="2" t="s">
        <v>16703</v>
      </c>
      <c r="G2550" s="2" t="s">
        <v>3875</v>
      </c>
      <c r="H2550" s="2" t="s">
        <v>76</v>
      </c>
      <c r="I2550" s="9">
        <v>36634368</v>
      </c>
      <c r="J2550" s="7">
        <v>6.2000000000000003E-5</v>
      </c>
      <c r="K2550" s="9">
        <v>2271.33</v>
      </c>
      <c r="L2550" s="14">
        <v>0</v>
      </c>
      <c r="M2550" s="2" t="s">
        <v>71</v>
      </c>
      <c r="N2550" s="2" t="s">
        <v>16706</v>
      </c>
      <c r="O2550" s="2" t="s">
        <v>3872</v>
      </c>
      <c r="P2550" s="9">
        <v>1.8</v>
      </c>
      <c r="Q2550" s="9">
        <v>2289.65</v>
      </c>
      <c r="R2550" s="2" t="s">
        <v>16709</v>
      </c>
    </row>
    <row r="2551" spans="1:18" x14ac:dyDescent="0.25">
      <c r="A2551" s="2" t="s">
        <v>3876</v>
      </c>
      <c r="B2551" s="6">
        <v>46204</v>
      </c>
      <c r="C2551" s="8">
        <v>46206</v>
      </c>
      <c r="D2551" s="2" t="s">
        <v>199</v>
      </c>
      <c r="E2551" s="2" t="s">
        <v>260</v>
      </c>
      <c r="F2551" s="2" t="s">
        <v>16703</v>
      </c>
      <c r="G2551" s="2" t="s">
        <v>3878</v>
      </c>
      <c r="H2551" s="2" t="s">
        <v>70</v>
      </c>
      <c r="I2551" s="9">
        <v>5998.6315789999999</v>
      </c>
      <c r="J2551" s="7">
        <v>0.65800000000000003</v>
      </c>
      <c r="K2551" s="9">
        <v>3947.1</v>
      </c>
      <c r="L2551" s="14">
        <v>0</v>
      </c>
      <c r="M2551" s="2" t="s">
        <v>71</v>
      </c>
      <c r="N2551" s="2" t="s">
        <v>16706</v>
      </c>
      <c r="O2551" s="2" t="s">
        <v>3877</v>
      </c>
      <c r="P2551" s="9">
        <v>2.17</v>
      </c>
      <c r="Q2551" s="9">
        <v>3989.09</v>
      </c>
      <c r="R2551" s="2" t="s">
        <v>16709</v>
      </c>
    </row>
    <row r="2552" spans="1:18" x14ac:dyDescent="0.25">
      <c r="A2552" s="2" t="s">
        <v>3879</v>
      </c>
      <c r="B2552" s="6">
        <v>46204</v>
      </c>
      <c r="C2552" s="8">
        <v>46207</v>
      </c>
      <c r="D2552" s="2" t="s">
        <v>199</v>
      </c>
      <c r="E2552" s="2" t="s">
        <v>260</v>
      </c>
      <c r="F2552" s="2" t="s">
        <v>16703</v>
      </c>
      <c r="G2552" s="2" t="s">
        <v>3881</v>
      </c>
      <c r="H2552" s="2" t="s">
        <v>39</v>
      </c>
      <c r="I2552" s="9">
        <v>4162.1000000000004</v>
      </c>
      <c r="J2552" s="7">
        <v>1</v>
      </c>
      <c r="K2552" s="9">
        <v>4162.1000000000004</v>
      </c>
      <c r="L2552" s="14">
        <v>0</v>
      </c>
      <c r="M2552" s="2" t="s">
        <v>71</v>
      </c>
      <c r="N2552" s="2" t="s">
        <v>16706</v>
      </c>
      <c r="O2552" s="2" t="s">
        <v>3880</v>
      </c>
      <c r="P2552" s="9">
        <v>2.29</v>
      </c>
      <c r="Q2552" s="9">
        <v>4162.1000000000004</v>
      </c>
      <c r="R2552" s="2" t="s">
        <v>16709</v>
      </c>
    </row>
    <row r="2553" spans="1:18" x14ac:dyDescent="0.25">
      <c r="A2553" s="2" t="s">
        <v>3882</v>
      </c>
      <c r="B2553" s="6">
        <v>46204</v>
      </c>
      <c r="C2553" s="8">
        <v>46208</v>
      </c>
      <c r="D2553" s="2" t="s">
        <v>199</v>
      </c>
      <c r="E2553" s="2" t="s">
        <v>260</v>
      </c>
      <c r="F2553" s="2" t="s">
        <v>16703</v>
      </c>
      <c r="G2553" s="2" t="s">
        <v>3884</v>
      </c>
      <c r="H2553" s="2" t="s">
        <v>76</v>
      </c>
      <c r="I2553" s="9">
        <v>69361760</v>
      </c>
      <c r="J2553" s="7">
        <v>6.2000000000000003E-5</v>
      </c>
      <c r="K2553" s="9">
        <v>4300.43</v>
      </c>
      <c r="L2553" s="14">
        <v>0</v>
      </c>
      <c r="M2553" s="2" t="s">
        <v>71</v>
      </c>
      <c r="N2553" s="2" t="s">
        <v>16706</v>
      </c>
      <c r="O2553" s="2" t="s">
        <v>3883</v>
      </c>
      <c r="P2553" s="9">
        <v>2.37</v>
      </c>
      <c r="Q2553" s="9">
        <v>4335.1099999999997</v>
      </c>
      <c r="R2553" s="2" t="s">
        <v>16709</v>
      </c>
    </row>
    <row r="2554" spans="1:18" x14ac:dyDescent="0.25">
      <c r="A2554" s="2" t="s">
        <v>3885</v>
      </c>
      <c r="B2554" s="6">
        <v>46204</v>
      </c>
      <c r="C2554" s="8">
        <v>46209</v>
      </c>
      <c r="D2554" s="2" t="s">
        <v>199</v>
      </c>
      <c r="E2554" s="2" t="s">
        <v>260</v>
      </c>
      <c r="F2554" s="2" t="s">
        <v>16703</v>
      </c>
      <c r="G2554" s="2" t="s">
        <v>3887</v>
      </c>
      <c r="H2554" s="2" t="s">
        <v>70</v>
      </c>
      <c r="I2554" s="9">
        <v>6779.1278199999997</v>
      </c>
      <c r="J2554" s="7">
        <v>0.65800000000000003</v>
      </c>
      <c r="K2554" s="9">
        <v>4460.67</v>
      </c>
      <c r="L2554" s="14">
        <v>0</v>
      </c>
      <c r="M2554" s="2" t="s">
        <v>71</v>
      </c>
      <c r="N2554" s="2" t="s">
        <v>16706</v>
      </c>
      <c r="O2554" s="2" t="s">
        <v>3886</v>
      </c>
      <c r="P2554" s="9">
        <v>2.4500000000000002</v>
      </c>
      <c r="Q2554" s="9">
        <v>4508.12</v>
      </c>
      <c r="R2554" s="2" t="s">
        <v>16709</v>
      </c>
    </row>
    <row r="2555" spans="1:18" x14ac:dyDescent="0.25">
      <c r="A2555" s="2" t="s">
        <v>3888</v>
      </c>
      <c r="B2555" s="6">
        <v>46204</v>
      </c>
      <c r="C2555" s="8">
        <v>46210</v>
      </c>
      <c r="D2555" s="2" t="s">
        <v>199</v>
      </c>
      <c r="E2555" s="2" t="s">
        <v>260</v>
      </c>
      <c r="F2555" s="2" t="s">
        <v>16703</v>
      </c>
      <c r="G2555" s="2" t="s">
        <v>3890</v>
      </c>
      <c r="H2555" s="2" t="s">
        <v>39</v>
      </c>
      <c r="I2555" s="9">
        <v>4681.13</v>
      </c>
      <c r="J2555" s="7">
        <v>1</v>
      </c>
      <c r="K2555" s="9">
        <v>4681.13</v>
      </c>
      <c r="L2555" s="14">
        <v>0</v>
      </c>
      <c r="M2555" s="2" t="s">
        <v>71</v>
      </c>
      <c r="N2555" s="2" t="s">
        <v>16706</v>
      </c>
      <c r="O2555" s="2" t="s">
        <v>3889</v>
      </c>
      <c r="P2555" s="9">
        <v>2.57</v>
      </c>
      <c r="Q2555" s="9">
        <v>4681.13</v>
      </c>
      <c r="R2555" s="2" t="s">
        <v>16709</v>
      </c>
    </row>
    <row r="2556" spans="1:18" x14ac:dyDescent="0.25">
      <c r="A2556" s="2" t="s">
        <v>3891</v>
      </c>
      <c r="B2556" s="6">
        <v>46174</v>
      </c>
      <c r="C2556" s="8">
        <v>46201</v>
      </c>
      <c r="D2556" s="2" t="s">
        <v>199</v>
      </c>
      <c r="E2556" s="2" t="s">
        <v>260</v>
      </c>
      <c r="F2556" s="2" t="s">
        <v>16703</v>
      </c>
      <c r="G2556" s="2" t="s">
        <v>3893</v>
      </c>
      <c r="H2556" s="2" t="s">
        <v>76</v>
      </c>
      <c r="I2556" s="9">
        <v>31066496</v>
      </c>
      <c r="J2556" s="7">
        <v>6.2500000000000001E-5</v>
      </c>
      <c r="K2556" s="9">
        <v>1941.66</v>
      </c>
      <c r="L2556" s="14">
        <v>0</v>
      </c>
      <c r="M2556" s="2" t="s">
        <v>71</v>
      </c>
      <c r="N2556" s="2" t="s">
        <v>16704</v>
      </c>
      <c r="O2556" s="2" t="s">
        <v>3892</v>
      </c>
      <c r="P2556" s="9">
        <v>1.8</v>
      </c>
      <c r="Q2556" s="9">
        <v>1941.66</v>
      </c>
      <c r="R2556" s="2" t="s">
        <v>16708</v>
      </c>
    </row>
    <row r="2557" spans="1:18" x14ac:dyDescent="0.25">
      <c r="A2557" s="2" t="s">
        <v>3894</v>
      </c>
      <c r="B2557" s="6">
        <v>46204</v>
      </c>
      <c r="C2557" s="8">
        <v>46226</v>
      </c>
      <c r="D2557" s="2" t="s">
        <v>199</v>
      </c>
      <c r="E2557" s="2" t="s">
        <v>260</v>
      </c>
      <c r="F2557" s="2" t="s">
        <v>16703</v>
      </c>
      <c r="G2557" s="2" t="s">
        <v>3895</v>
      </c>
      <c r="H2557" s="2" t="s">
        <v>76</v>
      </c>
      <c r="I2557" s="9">
        <v>46599744</v>
      </c>
      <c r="J2557" s="7">
        <v>6.2000000000000003E-5</v>
      </c>
      <c r="K2557" s="9">
        <v>2889.18</v>
      </c>
      <c r="L2557" s="14">
        <v>0</v>
      </c>
      <c r="M2557" s="2" t="s">
        <v>71</v>
      </c>
      <c r="N2557" s="2" t="s">
        <v>16706</v>
      </c>
      <c r="O2557" s="2" t="s">
        <v>3892</v>
      </c>
      <c r="P2557" s="9">
        <v>1.8</v>
      </c>
      <c r="Q2557" s="9">
        <v>2912.48</v>
      </c>
      <c r="R2557" s="2" t="s">
        <v>16709</v>
      </c>
    </row>
    <row r="2558" spans="1:18" x14ac:dyDescent="0.25">
      <c r="A2558" s="2" t="s">
        <v>3896</v>
      </c>
      <c r="B2558" s="6">
        <v>46174</v>
      </c>
      <c r="C2558" s="8">
        <v>46202</v>
      </c>
      <c r="D2558" s="2" t="s">
        <v>199</v>
      </c>
      <c r="E2558" s="2" t="s">
        <v>260</v>
      </c>
      <c r="F2558" s="2" t="s">
        <v>16703</v>
      </c>
      <c r="G2558" s="2" t="s">
        <v>3898</v>
      </c>
      <c r="H2558" s="2" t="s">
        <v>70</v>
      </c>
      <c r="I2558" s="9">
        <v>3023.8496239999999</v>
      </c>
      <c r="J2558" s="7">
        <v>0.66500000000000004</v>
      </c>
      <c r="K2558" s="9">
        <v>2010.86</v>
      </c>
      <c r="L2558" s="14">
        <v>0</v>
      </c>
      <c r="M2558" s="2" t="s">
        <v>71</v>
      </c>
      <c r="N2558" s="2" t="s">
        <v>16704</v>
      </c>
      <c r="O2558" s="2" t="s">
        <v>3897</v>
      </c>
      <c r="P2558" s="9">
        <v>1.8</v>
      </c>
      <c r="Q2558" s="9">
        <v>2010.86</v>
      </c>
      <c r="R2558" s="2" t="s">
        <v>16708</v>
      </c>
    </row>
    <row r="2559" spans="1:18" x14ac:dyDescent="0.25">
      <c r="A2559" s="2" t="s">
        <v>3899</v>
      </c>
      <c r="B2559" s="6">
        <v>46204</v>
      </c>
      <c r="C2559" s="8">
        <v>46227</v>
      </c>
      <c r="D2559" s="2" t="s">
        <v>199</v>
      </c>
      <c r="E2559" s="2" t="s">
        <v>260</v>
      </c>
      <c r="F2559" s="2" t="s">
        <v>16703</v>
      </c>
      <c r="G2559" s="2" t="s">
        <v>3900</v>
      </c>
      <c r="H2559" s="2" t="s">
        <v>70</v>
      </c>
      <c r="I2559" s="9">
        <v>4535.7744359999997</v>
      </c>
      <c r="J2559" s="7">
        <v>0.65800000000000003</v>
      </c>
      <c r="K2559" s="9">
        <v>2984.54</v>
      </c>
      <c r="L2559" s="14">
        <v>0</v>
      </c>
      <c r="M2559" s="2" t="s">
        <v>71</v>
      </c>
      <c r="N2559" s="2" t="s">
        <v>16706</v>
      </c>
      <c r="O2559" s="2" t="s">
        <v>3897</v>
      </c>
      <c r="P2559" s="9">
        <v>1.8</v>
      </c>
      <c r="Q2559" s="9">
        <v>3016.29</v>
      </c>
      <c r="R2559" s="2" t="s">
        <v>16709</v>
      </c>
    </row>
    <row r="2560" spans="1:18" x14ac:dyDescent="0.25">
      <c r="A2560" s="2" t="s">
        <v>3901</v>
      </c>
      <c r="B2560" s="6">
        <v>46204</v>
      </c>
      <c r="C2560" s="8">
        <v>46213</v>
      </c>
      <c r="D2560" s="2" t="s">
        <v>199</v>
      </c>
      <c r="E2560" s="2" t="s">
        <v>260</v>
      </c>
      <c r="F2560" s="2" t="s">
        <v>16703</v>
      </c>
      <c r="G2560" s="2" t="s">
        <v>3903</v>
      </c>
      <c r="H2560" s="2" t="s">
        <v>39</v>
      </c>
      <c r="I2560" s="9">
        <v>5200.16</v>
      </c>
      <c r="J2560" s="7">
        <v>1</v>
      </c>
      <c r="K2560" s="9">
        <v>5200.16</v>
      </c>
      <c r="L2560" s="14">
        <v>0</v>
      </c>
      <c r="M2560" s="2" t="s">
        <v>71</v>
      </c>
      <c r="N2560" s="2" t="s">
        <v>16706</v>
      </c>
      <c r="O2560" s="2" t="s">
        <v>3902</v>
      </c>
      <c r="P2560" s="9">
        <v>2.86</v>
      </c>
      <c r="Q2560" s="9">
        <v>5200.16</v>
      </c>
      <c r="R2560" s="2" t="s">
        <v>16709</v>
      </c>
    </row>
    <row r="2561" spans="1:18" x14ac:dyDescent="0.25">
      <c r="A2561" s="2" t="s">
        <v>3904</v>
      </c>
      <c r="B2561" s="6">
        <v>46204</v>
      </c>
      <c r="C2561" s="8">
        <v>46214</v>
      </c>
      <c r="D2561" s="2" t="s">
        <v>199</v>
      </c>
      <c r="E2561" s="2" t="s">
        <v>260</v>
      </c>
      <c r="F2561" s="2" t="s">
        <v>16703</v>
      </c>
      <c r="G2561" s="2" t="s">
        <v>3906</v>
      </c>
      <c r="H2561" s="2" t="s">
        <v>76</v>
      </c>
      <c r="I2561" s="9">
        <v>85970720</v>
      </c>
      <c r="J2561" s="7">
        <v>6.2000000000000003E-5</v>
      </c>
      <c r="K2561" s="9">
        <v>5330.18</v>
      </c>
      <c r="L2561" s="14">
        <v>0</v>
      </c>
      <c r="M2561" s="2" t="s">
        <v>71</v>
      </c>
      <c r="N2561" s="2" t="s">
        <v>16706</v>
      </c>
      <c r="O2561" s="2" t="s">
        <v>3905</v>
      </c>
      <c r="P2561" s="9">
        <v>2.93</v>
      </c>
      <c r="Q2561" s="9">
        <v>5373.17</v>
      </c>
      <c r="R2561" s="2" t="s">
        <v>16709</v>
      </c>
    </row>
    <row r="2562" spans="1:18" x14ac:dyDescent="0.25">
      <c r="A2562" s="2" t="s">
        <v>3907</v>
      </c>
      <c r="B2562" s="6">
        <v>46204</v>
      </c>
      <c r="C2562" s="8">
        <v>46205</v>
      </c>
      <c r="D2562" s="2" t="s">
        <v>199</v>
      </c>
      <c r="E2562" s="2" t="s">
        <v>260</v>
      </c>
      <c r="F2562" s="2" t="s">
        <v>16703</v>
      </c>
      <c r="G2562" s="2" t="s">
        <v>3909</v>
      </c>
      <c r="H2562" s="2" t="s">
        <v>70</v>
      </c>
      <c r="I2562" s="9">
        <v>3336.0481199999999</v>
      </c>
      <c r="J2562" s="7">
        <v>0.65800000000000003</v>
      </c>
      <c r="K2562" s="9">
        <v>2195.12</v>
      </c>
      <c r="L2562" s="14">
        <v>0</v>
      </c>
      <c r="M2562" s="2" t="s">
        <v>71</v>
      </c>
      <c r="N2562" s="2" t="s">
        <v>16706</v>
      </c>
      <c r="O2562" s="2" t="s">
        <v>3908</v>
      </c>
      <c r="P2562" s="9">
        <v>1.8</v>
      </c>
      <c r="Q2562" s="9">
        <v>2218.4699999999998</v>
      </c>
      <c r="R2562" s="2" t="s">
        <v>16709</v>
      </c>
    </row>
    <row r="2563" spans="1:18" x14ac:dyDescent="0.25">
      <c r="A2563" s="2" t="s">
        <v>3910</v>
      </c>
      <c r="B2563" s="6">
        <v>46204</v>
      </c>
      <c r="C2563" s="8">
        <v>46230</v>
      </c>
      <c r="D2563" s="2" t="s">
        <v>199</v>
      </c>
      <c r="E2563" s="2" t="s">
        <v>260</v>
      </c>
      <c r="F2563" s="2" t="s">
        <v>16703</v>
      </c>
      <c r="G2563" s="2" t="s">
        <v>3911</v>
      </c>
      <c r="H2563" s="2" t="s">
        <v>70</v>
      </c>
      <c r="I2563" s="9">
        <v>5004.0721809999995</v>
      </c>
      <c r="J2563" s="7">
        <v>0.65800000000000003</v>
      </c>
      <c r="K2563" s="9">
        <v>3292.68</v>
      </c>
      <c r="L2563" s="14">
        <v>0</v>
      </c>
      <c r="M2563" s="2" t="s">
        <v>71</v>
      </c>
      <c r="N2563" s="2" t="s">
        <v>16706</v>
      </c>
      <c r="O2563" s="2" t="s">
        <v>3908</v>
      </c>
      <c r="P2563" s="9">
        <v>1.81</v>
      </c>
      <c r="Q2563" s="9">
        <v>3327.71</v>
      </c>
      <c r="R2563" s="2" t="s">
        <v>16709</v>
      </c>
    </row>
    <row r="2564" spans="1:18" x14ac:dyDescent="0.25">
      <c r="A2564" s="2" t="s">
        <v>3912</v>
      </c>
      <c r="B2564" s="6">
        <v>46204</v>
      </c>
      <c r="C2564" s="8">
        <v>46216</v>
      </c>
      <c r="D2564" s="2" t="s">
        <v>199</v>
      </c>
      <c r="E2564" s="2" t="s">
        <v>260</v>
      </c>
      <c r="F2564" s="2" t="s">
        <v>16703</v>
      </c>
      <c r="G2564" s="2" t="s">
        <v>3914</v>
      </c>
      <c r="H2564" s="2" t="s">
        <v>39</v>
      </c>
      <c r="I2564" s="9">
        <v>5719.19</v>
      </c>
      <c r="J2564" s="7">
        <v>1</v>
      </c>
      <c r="K2564" s="9">
        <v>5719.19</v>
      </c>
      <c r="L2564" s="14">
        <v>0</v>
      </c>
      <c r="M2564" s="2" t="s">
        <v>71</v>
      </c>
      <c r="N2564" s="2" t="s">
        <v>16706</v>
      </c>
      <c r="O2564" s="2" t="s">
        <v>3913</v>
      </c>
      <c r="P2564" s="9">
        <v>3.15</v>
      </c>
      <c r="Q2564" s="9">
        <v>5719.19</v>
      </c>
      <c r="R2564" s="2" t="s">
        <v>16709</v>
      </c>
    </row>
    <row r="2565" spans="1:18" x14ac:dyDescent="0.25">
      <c r="A2565" s="2" t="s">
        <v>3915</v>
      </c>
      <c r="B2565" s="6">
        <v>46204</v>
      </c>
      <c r="C2565" s="8">
        <v>46217</v>
      </c>
      <c r="D2565" s="2" t="s">
        <v>199</v>
      </c>
      <c r="E2565" s="2" t="s">
        <v>260</v>
      </c>
      <c r="F2565" s="2" t="s">
        <v>16703</v>
      </c>
      <c r="G2565" s="2" t="s">
        <v>3917</v>
      </c>
      <c r="H2565" s="2" t="s">
        <v>76</v>
      </c>
      <c r="I2565" s="9">
        <v>94275200</v>
      </c>
      <c r="J2565" s="7">
        <v>6.2000000000000003E-5</v>
      </c>
      <c r="K2565" s="9">
        <v>5845.06</v>
      </c>
      <c r="L2565" s="14">
        <v>0</v>
      </c>
      <c r="M2565" s="2" t="s">
        <v>71</v>
      </c>
      <c r="N2565" s="2" t="s">
        <v>16706</v>
      </c>
      <c r="O2565" s="2" t="s">
        <v>3916</v>
      </c>
      <c r="P2565" s="9">
        <v>3.21</v>
      </c>
      <c r="Q2565" s="9">
        <v>5892.2</v>
      </c>
      <c r="R2565" s="2" t="s">
        <v>16709</v>
      </c>
    </row>
    <row r="2566" spans="1:18" x14ac:dyDescent="0.25">
      <c r="A2566" s="2" t="s">
        <v>3918</v>
      </c>
      <c r="B2566" s="6">
        <v>46204</v>
      </c>
      <c r="C2566" s="8">
        <v>46218</v>
      </c>
      <c r="D2566" s="2" t="s">
        <v>199</v>
      </c>
      <c r="E2566" s="2" t="s">
        <v>260</v>
      </c>
      <c r="F2566" s="2" t="s">
        <v>16703</v>
      </c>
      <c r="G2566" s="2" t="s">
        <v>3920</v>
      </c>
      <c r="H2566" s="2" t="s">
        <v>70</v>
      </c>
      <c r="I2566" s="9">
        <v>9120.6165409999994</v>
      </c>
      <c r="J2566" s="7">
        <v>0.65800000000000003</v>
      </c>
      <c r="K2566" s="9">
        <v>6001.37</v>
      </c>
      <c r="L2566" s="14">
        <v>0</v>
      </c>
      <c r="M2566" s="2" t="s">
        <v>71</v>
      </c>
      <c r="N2566" s="2" t="s">
        <v>16706</v>
      </c>
      <c r="O2566" s="2" t="s">
        <v>3919</v>
      </c>
      <c r="P2566" s="9">
        <v>3.3</v>
      </c>
      <c r="Q2566" s="9">
        <v>6065.21</v>
      </c>
      <c r="R2566" s="2" t="s">
        <v>16709</v>
      </c>
    </row>
    <row r="2567" spans="1:18" x14ac:dyDescent="0.25">
      <c r="A2567" s="2" t="s">
        <v>3921</v>
      </c>
      <c r="B2567" s="6">
        <v>46204</v>
      </c>
      <c r="C2567" s="8">
        <v>46219</v>
      </c>
      <c r="D2567" s="2" t="s">
        <v>199</v>
      </c>
      <c r="E2567" s="2" t="s">
        <v>260</v>
      </c>
      <c r="F2567" s="2" t="s">
        <v>16703</v>
      </c>
      <c r="G2567" s="2" t="s">
        <v>3923</v>
      </c>
      <c r="H2567" s="2" t="s">
        <v>39</v>
      </c>
      <c r="I2567" s="9">
        <v>6238.22</v>
      </c>
      <c r="J2567" s="7">
        <v>1</v>
      </c>
      <c r="K2567" s="9">
        <v>6238.22</v>
      </c>
      <c r="L2567" s="14">
        <v>0</v>
      </c>
      <c r="M2567" s="2" t="s">
        <v>71</v>
      </c>
      <c r="N2567" s="2" t="s">
        <v>16706</v>
      </c>
      <c r="O2567" s="2" t="s">
        <v>3922</v>
      </c>
      <c r="P2567" s="9">
        <v>3.43</v>
      </c>
      <c r="Q2567" s="9">
        <v>6238.22</v>
      </c>
      <c r="R2567" s="2" t="s">
        <v>16709</v>
      </c>
    </row>
    <row r="2568" spans="1:18" x14ac:dyDescent="0.25">
      <c r="A2568" s="2" t="s">
        <v>3924</v>
      </c>
      <c r="B2568" s="6">
        <v>46204</v>
      </c>
      <c r="C2568" s="8">
        <v>46220</v>
      </c>
      <c r="D2568" s="2" t="s">
        <v>199</v>
      </c>
      <c r="E2568" s="2" t="s">
        <v>260</v>
      </c>
      <c r="F2568" s="2" t="s">
        <v>16703</v>
      </c>
      <c r="G2568" s="2" t="s">
        <v>3926</v>
      </c>
      <c r="H2568" s="2" t="s">
        <v>76</v>
      </c>
      <c r="I2568" s="9">
        <v>102579680</v>
      </c>
      <c r="J2568" s="7">
        <v>6.2000000000000003E-5</v>
      </c>
      <c r="K2568" s="9">
        <v>6359.94</v>
      </c>
      <c r="L2568" s="14">
        <v>0</v>
      </c>
      <c r="M2568" s="2" t="s">
        <v>71</v>
      </c>
      <c r="N2568" s="2" t="s">
        <v>16706</v>
      </c>
      <c r="O2568" s="2" t="s">
        <v>3925</v>
      </c>
      <c r="P2568" s="9">
        <v>3.5</v>
      </c>
      <c r="Q2568" s="9">
        <v>6411.23</v>
      </c>
      <c r="R2568" s="2" t="s">
        <v>16709</v>
      </c>
    </row>
    <row r="2569" spans="1:18" x14ac:dyDescent="0.25">
      <c r="A2569" s="2" t="s">
        <v>3927</v>
      </c>
      <c r="B2569" s="6">
        <v>46204</v>
      </c>
      <c r="C2569" s="8">
        <v>46211</v>
      </c>
      <c r="D2569" s="2" t="s">
        <v>199</v>
      </c>
      <c r="E2569" s="2" t="s">
        <v>260</v>
      </c>
      <c r="F2569" s="2" t="s">
        <v>16703</v>
      </c>
      <c r="G2569" s="2" t="s">
        <v>3929</v>
      </c>
      <c r="H2569" s="2" t="s">
        <v>70</v>
      </c>
      <c r="I2569" s="9">
        <v>3960.4451130000002</v>
      </c>
      <c r="J2569" s="7">
        <v>0.65800000000000003</v>
      </c>
      <c r="K2569" s="9">
        <v>2605.9699999999998</v>
      </c>
      <c r="L2569" s="14">
        <v>0</v>
      </c>
      <c r="M2569" s="2" t="s">
        <v>71</v>
      </c>
      <c r="N2569" s="2" t="s">
        <v>16706</v>
      </c>
      <c r="O2569" s="2" t="s">
        <v>3928</v>
      </c>
      <c r="P2569" s="9">
        <v>1.8</v>
      </c>
      <c r="Q2569" s="9">
        <v>2633.7</v>
      </c>
      <c r="R2569" s="2" t="s">
        <v>16709</v>
      </c>
    </row>
    <row r="2570" spans="1:18" x14ac:dyDescent="0.25">
      <c r="A2570" s="2" t="s">
        <v>3932</v>
      </c>
      <c r="B2570" s="6">
        <v>46204</v>
      </c>
      <c r="C2570" s="8">
        <v>46212</v>
      </c>
      <c r="D2570" s="2" t="s">
        <v>199</v>
      </c>
      <c r="E2570" s="2" t="s">
        <v>260</v>
      </c>
      <c r="F2570" s="2" t="s">
        <v>16703</v>
      </c>
      <c r="G2570" s="2" t="s">
        <v>3934</v>
      </c>
      <c r="H2570" s="2" t="s">
        <v>39</v>
      </c>
      <c r="I2570" s="9">
        <v>2702.9</v>
      </c>
      <c r="J2570" s="7">
        <v>1</v>
      </c>
      <c r="K2570" s="9">
        <v>2702.9</v>
      </c>
      <c r="L2570" s="14">
        <v>0</v>
      </c>
      <c r="M2570" s="2" t="s">
        <v>71</v>
      </c>
      <c r="N2570" s="2" t="s">
        <v>16706</v>
      </c>
      <c r="O2570" s="2" t="s">
        <v>3933</v>
      </c>
      <c r="P2570" s="9">
        <v>1.8</v>
      </c>
      <c r="Q2570" s="9">
        <v>2702.9</v>
      </c>
      <c r="R2570" s="2" t="s">
        <v>16709</v>
      </c>
    </row>
    <row r="2571" spans="1:18" x14ac:dyDescent="0.25">
      <c r="A2571" s="2" t="s">
        <v>3937</v>
      </c>
      <c r="B2571" s="6">
        <v>46204</v>
      </c>
      <c r="C2571" s="8">
        <v>46223</v>
      </c>
      <c r="D2571" s="2" t="s">
        <v>199</v>
      </c>
      <c r="E2571" s="2" t="s">
        <v>260</v>
      </c>
      <c r="F2571" s="2" t="s">
        <v>16703</v>
      </c>
      <c r="G2571" s="2" t="s">
        <v>3939</v>
      </c>
      <c r="H2571" s="2" t="s">
        <v>76</v>
      </c>
      <c r="I2571" s="9">
        <v>110884160</v>
      </c>
      <c r="J2571" s="7">
        <v>6.2000000000000003E-5</v>
      </c>
      <c r="K2571" s="9">
        <v>6874.82</v>
      </c>
      <c r="L2571" s="14">
        <v>0</v>
      </c>
      <c r="M2571" s="2" t="s">
        <v>71</v>
      </c>
      <c r="N2571" s="2" t="s">
        <v>16706</v>
      </c>
      <c r="O2571" s="2" t="s">
        <v>3938</v>
      </c>
      <c r="P2571" s="9">
        <v>3.78</v>
      </c>
      <c r="Q2571" s="9">
        <v>6930.26</v>
      </c>
      <c r="R2571" s="2" t="s">
        <v>16709</v>
      </c>
    </row>
    <row r="2572" spans="1:18" x14ac:dyDescent="0.25">
      <c r="A2572" s="2" t="s">
        <v>3940</v>
      </c>
      <c r="B2572" s="6">
        <v>46204</v>
      </c>
      <c r="C2572" s="8">
        <v>46224</v>
      </c>
      <c r="D2572" s="2" t="s">
        <v>199</v>
      </c>
      <c r="E2572" s="2" t="s">
        <v>260</v>
      </c>
      <c r="F2572" s="2" t="s">
        <v>16703</v>
      </c>
      <c r="G2572" s="2" t="s">
        <v>3942</v>
      </c>
      <c r="H2572" s="2" t="s">
        <v>70</v>
      </c>
      <c r="I2572" s="9">
        <v>10681.609023000001</v>
      </c>
      <c r="J2572" s="7">
        <v>0.65800000000000003</v>
      </c>
      <c r="K2572" s="9">
        <v>7028.5</v>
      </c>
      <c r="L2572" s="14">
        <v>0</v>
      </c>
      <c r="M2572" s="2" t="s">
        <v>71</v>
      </c>
      <c r="N2572" s="2" t="s">
        <v>16706</v>
      </c>
      <c r="O2572" s="2" t="s">
        <v>3941</v>
      </c>
      <c r="P2572" s="9">
        <v>3.87</v>
      </c>
      <c r="Q2572" s="9">
        <v>7103.27</v>
      </c>
      <c r="R2572" s="2" t="s">
        <v>16709</v>
      </c>
    </row>
    <row r="2573" spans="1:18" x14ac:dyDescent="0.25">
      <c r="A2573" s="2" t="s">
        <v>3943</v>
      </c>
      <c r="B2573" s="6">
        <v>46204</v>
      </c>
      <c r="C2573" s="8">
        <v>46215</v>
      </c>
      <c r="D2573" s="2" t="s">
        <v>199</v>
      </c>
      <c r="E2573" s="2" t="s">
        <v>260</v>
      </c>
      <c r="F2573" s="2" t="s">
        <v>16703</v>
      </c>
      <c r="G2573" s="2" t="s">
        <v>3945</v>
      </c>
      <c r="H2573" s="2" t="s">
        <v>39</v>
      </c>
      <c r="I2573" s="9">
        <v>2910.5120000000002</v>
      </c>
      <c r="J2573" s="7">
        <v>1</v>
      </c>
      <c r="K2573" s="9">
        <v>2910.51</v>
      </c>
      <c r="L2573" s="14">
        <v>0</v>
      </c>
      <c r="M2573" s="2" t="s">
        <v>71</v>
      </c>
      <c r="N2573" s="2" t="s">
        <v>16706</v>
      </c>
      <c r="O2573" s="2" t="s">
        <v>3944</v>
      </c>
      <c r="P2573" s="9">
        <v>1.8</v>
      </c>
      <c r="Q2573" s="9">
        <v>2910.51</v>
      </c>
      <c r="R2573" s="2" t="s">
        <v>16709</v>
      </c>
    </row>
    <row r="2574" spans="1:18" x14ac:dyDescent="0.25">
      <c r="A2574" s="2" t="s">
        <v>3948</v>
      </c>
      <c r="B2574" s="6">
        <v>46204</v>
      </c>
      <c r="C2574" s="8">
        <v>46226</v>
      </c>
      <c r="D2574" s="2" t="s">
        <v>199</v>
      </c>
      <c r="E2574" s="2" t="s">
        <v>260</v>
      </c>
      <c r="F2574" s="2" t="s">
        <v>16703</v>
      </c>
      <c r="G2574" s="2" t="s">
        <v>3950</v>
      </c>
      <c r="H2574" s="2" t="s">
        <v>76</v>
      </c>
      <c r="I2574" s="9">
        <v>119188640</v>
      </c>
      <c r="J2574" s="7">
        <v>6.2000000000000003E-5</v>
      </c>
      <c r="K2574" s="9">
        <v>7389.7</v>
      </c>
      <c r="L2574" s="14">
        <v>0</v>
      </c>
      <c r="M2574" s="2" t="s">
        <v>71</v>
      </c>
      <c r="N2574" s="2" t="s">
        <v>16706</v>
      </c>
      <c r="O2574" s="2" t="s">
        <v>3949</v>
      </c>
      <c r="P2574" s="9">
        <v>4.0599999999999996</v>
      </c>
      <c r="Q2574" s="9">
        <v>7449.29</v>
      </c>
      <c r="R2574" s="2" t="s">
        <v>16709</v>
      </c>
    </row>
    <row r="2575" spans="1:18" x14ac:dyDescent="0.25">
      <c r="A2575" s="2" t="s">
        <v>3951</v>
      </c>
      <c r="B2575" s="6">
        <v>46204</v>
      </c>
      <c r="C2575" s="8">
        <v>46227</v>
      </c>
      <c r="D2575" s="2" t="s">
        <v>199</v>
      </c>
      <c r="E2575" s="2" t="s">
        <v>260</v>
      </c>
      <c r="F2575" s="2" t="s">
        <v>16703</v>
      </c>
      <c r="G2575" s="2" t="s">
        <v>3953</v>
      </c>
      <c r="H2575" s="2" t="s">
        <v>70</v>
      </c>
      <c r="I2575" s="9">
        <v>11462.105262999999</v>
      </c>
      <c r="J2575" s="7">
        <v>0.65800000000000003</v>
      </c>
      <c r="K2575" s="9">
        <v>7542.07</v>
      </c>
      <c r="L2575" s="14">
        <v>0</v>
      </c>
      <c r="M2575" s="2" t="s">
        <v>71</v>
      </c>
      <c r="N2575" s="2" t="s">
        <v>16706</v>
      </c>
      <c r="O2575" s="2" t="s">
        <v>3952</v>
      </c>
      <c r="P2575" s="9">
        <v>4.1500000000000004</v>
      </c>
      <c r="Q2575" s="9">
        <v>7622.3</v>
      </c>
      <c r="R2575" s="2" t="s">
        <v>16709</v>
      </c>
    </row>
    <row r="2576" spans="1:18" x14ac:dyDescent="0.25">
      <c r="A2576" s="2" t="s">
        <v>3954</v>
      </c>
      <c r="B2576" s="6">
        <v>46174</v>
      </c>
      <c r="C2576" s="8">
        <v>46198</v>
      </c>
      <c r="D2576" s="2" t="s">
        <v>199</v>
      </c>
      <c r="E2576" s="2" t="s">
        <v>260</v>
      </c>
      <c r="F2576" s="2" t="s">
        <v>16703</v>
      </c>
      <c r="G2576" s="2" t="s">
        <v>3956</v>
      </c>
      <c r="H2576" s="2" t="s">
        <v>39</v>
      </c>
      <c r="I2576" s="9">
        <v>7795.31</v>
      </c>
      <c r="J2576" s="7">
        <v>1</v>
      </c>
      <c r="K2576" s="9">
        <v>7795.31</v>
      </c>
      <c r="L2576" s="14">
        <v>0</v>
      </c>
      <c r="M2576" s="2" t="s">
        <v>71</v>
      </c>
      <c r="N2576" s="2" t="s">
        <v>16704</v>
      </c>
      <c r="O2576" s="2" t="s">
        <v>3955</v>
      </c>
      <c r="P2576" s="9">
        <v>4.29</v>
      </c>
      <c r="Q2576" s="9">
        <v>7795.31</v>
      </c>
      <c r="R2576" s="2" t="s">
        <v>16708</v>
      </c>
    </row>
    <row r="2577" spans="1:18" x14ac:dyDescent="0.25">
      <c r="A2577" s="2" t="s">
        <v>3957</v>
      </c>
      <c r="B2577" s="6">
        <v>46174</v>
      </c>
      <c r="C2577" s="8">
        <v>46199</v>
      </c>
      <c r="D2577" s="2" t="s">
        <v>199</v>
      </c>
      <c r="E2577" s="2" t="s">
        <v>260</v>
      </c>
      <c r="F2577" s="2" t="s">
        <v>16703</v>
      </c>
      <c r="G2577" s="2" t="s">
        <v>3959</v>
      </c>
      <c r="H2577" s="2" t="s">
        <v>76</v>
      </c>
      <c r="I2577" s="9">
        <v>127493120</v>
      </c>
      <c r="J2577" s="7">
        <v>6.2500000000000001E-5</v>
      </c>
      <c r="K2577" s="9">
        <v>7968.32</v>
      </c>
      <c r="L2577" s="14">
        <v>0</v>
      </c>
      <c r="M2577" s="2" t="s">
        <v>71</v>
      </c>
      <c r="N2577" s="2" t="s">
        <v>16704</v>
      </c>
      <c r="O2577" s="2" t="s">
        <v>3958</v>
      </c>
      <c r="P2577" s="9">
        <v>4.38</v>
      </c>
      <c r="Q2577" s="9">
        <v>7968.32</v>
      </c>
      <c r="R2577" s="2" t="s">
        <v>16708</v>
      </c>
    </row>
    <row r="2578" spans="1:18" x14ac:dyDescent="0.25">
      <c r="A2578" s="2" t="s">
        <v>3960</v>
      </c>
      <c r="B2578" s="6">
        <v>46174</v>
      </c>
      <c r="C2578" s="8">
        <v>46200</v>
      </c>
      <c r="D2578" s="2" t="s">
        <v>199</v>
      </c>
      <c r="E2578" s="2" t="s">
        <v>260</v>
      </c>
      <c r="F2578" s="2" t="s">
        <v>16703</v>
      </c>
      <c r="G2578" s="2" t="s">
        <v>3962</v>
      </c>
      <c r="H2578" s="2" t="s">
        <v>70</v>
      </c>
      <c r="I2578" s="9">
        <v>12242.601504</v>
      </c>
      <c r="J2578" s="7">
        <v>0.66500000000000004</v>
      </c>
      <c r="K2578" s="9">
        <v>8141.33</v>
      </c>
      <c r="L2578" s="14">
        <v>0</v>
      </c>
      <c r="M2578" s="2" t="s">
        <v>71</v>
      </c>
      <c r="N2578" s="2" t="s">
        <v>16704</v>
      </c>
      <c r="O2578" s="2" t="s">
        <v>3961</v>
      </c>
      <c r="P2578" s="9">
        <v>4.4800000000000004</v>
      </c>
      <c r="Q2578" s="9">
        <v>8141.33</v>
      </c>
      <c r="R2578" s="2" t="s">
        <v>16708</v>
      </c>
    </row>
    <row r="2579" spans="1:18" x14ac:dyDescent="0.25">
      <c r="A2579" s="2" t="s">
        <v>3963</v>
      </c>
      <c r="B2579" s="6">
        <v>46174</v>
      </c>
      <c r="C2579" s="8">
        <v>46191</v>
      </c>
      <c r="D2579" s="2" t="s">
        <v>199</v>
      </c>
      <c r="E2579" s="2" t="s">
        <v>260</v>
      </c>
      <c r="F2579" s="2" t="s">
        <v>16703</v>
      </c>
      <c r="G2579" s="2" t="s">
        <v>3965</v>
      </c>
      <c r="H2579" s="2" t="s">
        <v>39</v>
      </c>
      <c r="I2579" s="9">
        <v>3325.7359999999999</v>
      </c>
      <c r="J2579" s="7">
        <v>1</v>
      </c>
      <c r="K2579" s="9">
        <v>3325.74</v>
      </c>
      <c r="L2579" s="14">
        <v>0</v>
      </c>
      <c r="M2579" s="2" t="s">
        <v>71</v>
      </c>
      <c r="N2579" s="2" t="s">
        <v>16704</v>
      </c>
      <c r="O2579" s="2" t="s">
        <v>3964</v>
      </c>
      <c r="P2579" s="9">
        <v>1.83</v>
      </c>
      <c r="Q2579" s="9">
        <v>3325.74</v>
      </c>
      <c r="R2579" s="2" t="s">
        <v>16708</v>
      </c>
    </row>
    <row r="2580" spans="1:18" x14ac:dyDescent="0.25">
      <c r="A2580" s="2" t="s">
        <v>3966</v>
      </c>
      <c r="B2580" s="6">
        <v>46204</v>
      </c>
      <c r="C2580" s="8">
        <v>46216</v>
      </c>
      <c r="D2580" s="2" t="s">
        <v>199</v>
      </c>
      <c r="E2580" s="2" t="s">
        <v>260</v>
      </c>
      <c r="F2580" s="2" t="s">
        <v>16703</v>
      </c>
      <c r="G2580" s="2" t="s">
        <v>3967</v>
      </c>
      <c r="H2580" s="2" t="s">
        <v>39</v>
      </c>
      <c r="I2580" s="9">
        <v>4988.6040000000003</v>
      </c>
      <c r="J2580" s="7">
        <v>1</v>
      </c>
      <c r="K2580" s="9">
        <v>4988.6000000000004</v>
      </c>
      <c r="L2580" s="14">
        <v>0</v>
      </c>
      <c r="M2580" s="2" t="s">
        <v>71</v>
      </c>
      <c r="N2580" s="2" t="s">
        <v>16706</v>
      </c>
      <c r="O2580" s="2" t="s">
        <v>3964</v>
      </c>
      <c r="P2580" s="9">
        <v>2.74</v>
      </c>
      <c r="Q2580" s="9">
        <v>4988.6000000000004</v>
      </c>
      <c r="R2580" s="2" t="s">
        <v>16709</v>
      </c>
    </row>
    <row r="2581" spans="1:18" x14ac:dyDescent="0.25">
      <c r="A2581" s="2" t="s">
        <v>3968</v>
      </c>
      <c r="B2581" s="6">
        <v>46174</v>
      </c>
      <c r="C2581" s="8">
        <v>46192</v>
      </c>
      <c r="D2581" s="2" t="s">
        <v>199</v>
      </c>
      <c r="E2581" s="2" t="s">
        <v>260</v>
      </c>
      <c r="F2581" s="2" t="s">
        <v>16703</v>
      </c>
      <c r="G2581" s="2" t="s">
        <v>3970</v>
      </c>
      <c r="H2581" s="2" t="s">
        <v>76</v>
      </c>
      <c r="I2581" s="9">
        <v>54319040</v>
      </c>
      <c r="J2581" s="7">
        <v>6.2500000000000001E-5</v>
      </c>
      <c r="K2581" s="9">
        <v>3394.94</v>
      </c>
      <c r="L2581" s="14">
        <v>0</v>
      </c>
      <c r="M2581" s="2" t="s">
        <v>71</v>
      </c>
      <c r="N2581" s="2" t="s">
        <v>16704</v>
      </c>
      <c r="O2581" s="2" t="s">
        <v>3969</v>
      </c>
      <c r="P2581" s="9">
        <v>1.87</v>
      </c>
      <c r="Q2581" s="9">
        <v>3394.94</v>
      </c>
      <c r="R2581" s="2" t="s">
        <v>16708</v>
      </c>
    </row>
    <row r="2582" spans="1:18" x14ac:dyDescent="0.25">
      <c r="A2582" s="2" t="s">
        <v>3971</v>
      </c>
      <c r="B2582" s="6">
        <v>46204</v>
      </c>
      <c r="C2582" s="8">
        <v>46217</v>
      </c>
      <c r="D2582" s="2" t="s">
        <v>199</v>
      </c>
      <c r="E2582" s="2" t="s">
        <v>260</v>
      </c>
      <c r="F2582" s="2" t="s">
        <v>16703</v>
      </c>
      <c r="G2582" s="2" t="s">
        <v>3972</v>
      </c>
      <c r="H2582" s="2" t="s">
        <v>76</v>
      </c>
      <c r="I2582" s="9">
        <v>81478560</v>
      </c>
      <c r="J2582" s="7">
        <v>6.2000000000000003E-5</v>
      </c>
      <c r="K2582" s="9">
        <v>5051.67</v>
      </c>
      <c r="L2582" s="14">
        <v>0</v>
      </c>
      <c r="M2582" s="2" t="s">
        <v>71</v>
      </c>
      <c r="N2582" s="2" t="s">
        <v>16706</v>
      </c>
      <c r="O2582" s="2" t="s">
        <v>3969</v>
      </c>
      <c r="P2582" s="9">
        <v>2.78</v>
      </c>
      <c r="Q2582" s="9">
        <v>5092.41</v>
      </c>
      <c r="R2582" s="2" t="s">
        <v>16709</v>
      </c>
    </row>
    <row r="2583" spans="1:18" x14ac:dyDescent="0.25">
      <c r="A2583" s="2" t="s">
        <v>3973</v>
      </c>
      <c r="B2583" s="6">
        <v>46174</v>
      </c>
      <c r="C2583" s="8">
        <v>46203</v>
      </c>
      <c r="D2583" s="2" t="s">
        <v>199</v>
      </c>
      <c r="E2583" s="2" t="s">
        <v>260</v>
      </c>
      <c r="F2583" s="2" t="s">
        <v>16703</v>
      </c>
      <c r="G2583" s="2" t="s">
        <v>3975</v>
      </c>
      <c r="H2583" s="2" t="s">
        <v>70</v>
      </c>
      <c r="I2583" s="9">
        <v>13023.097744000001</v>
      </c>
      <c r="J2583" s="7">
        <v>0.66500000000000004</v>
      </c>
      <c r="K2583" s="9">
        <v>8660.36</v>
      </c>
      <c r="L2583" s="14">
        <v>0</v>
      </c>
      <c r="M2583" s="2" t="s">
        <v>71</v>
      </c>
      <c r="N2583" s="2" t="s">
        <v>16704</v>
      </c>
      <c r="O2583" s="2" t="s">
        <v>3974</v>
      </c>
      <c r="P2583" s="9">
        <v>4.76</v>
      </c>
      <c r="Q2583" s="9">
        <v>8660.36</v>
      </c>
      <c r="R2583" s="2" t="s">
        <v>16708</v>
      </c>
    </row>
    <row r="2584" spans="1:18" x14ac:dyDescent="0.25">
      <c r="A2584" s="2" t="s">
        <v>3976</v>
      </c>
      <c r="B2584" s="6">
        <v>46204</v>
      </c>
      <c r="C2584" s="8">
        <v>46204</v>
      </c>
      <c r="D2584" s="2" t="s">
        <v>199</v>
      </c>
      <c r="E2584" s="2" t="s">
        <v>260</v>
      </c>
      <c r="F2584" s="2" t="s">
        <v>16703</v>
      </c>
      <c r="G2584" s="2" t="s">
        <v>3978</v>
      </c>
      <c r="H2584" s="2" t="s">
        <v>39</v>
      </c>
      <c r="I2584" s="9">
        <v>8833.3700000000008</v>
      </c>
      <c r="J2584" s="7">
        <v>1</v>
      </c>
      <c r="K2584" s="9">
        <v>8833.3700000000008</v>
      </c>
      <c r="L2584" s="14">
        <v>0</v>
      </c>
      <c r="M2584" s="2" t="s">
        <v>71</v>
      </c>
      <c r="N2584" s="2" t="s">
        <v>16706</v>
      </c>
      <c r="O2584" s="2" t="s">
        <v>3977</v>
      </c>
      <c r="P2584" s="9">
        <v>4.8600000000000003</v>
      </c>
      <c r="Q2584" s="9">
        <v>8833.3700000000008</v>
      </c>
      <c r="R2584" s="2" t="s">
        <v>16709</v>
      </c>
    </row>
    <row r="2585" spans="1:18" x14ac:dyDescent="0.25">
      <c r="A2585" s="2" t="s">
        <v>3979</v>
      </c>
      <c r="B2585" s="6">
        <v>46174</v>
      </c>
      <c r="C2585" s="8">
        <v>46195</v>
      </c>
      <c r="D2585" s="2" t="s">
        <v>199</v>
      </c>
      <c r="E2585" s="2" t="s">
        <v>260</v>
      </c>
      <c r="F2585" s="2" t="s">
        <v>16703</v>
      </c>
      <c r="G2585" s="2" t="s">
        <v>3981</v>
      </c>
      <c r="H2585" s="2" t="s">
        <v>76</v>
      </c>
      <c r="I2585" s="9">
        <v>57640832</v>
      </c>
      <c r="J2585" s="7">
        <v>6.2500000000000001E-5</v>
      </c>
      <c r="K2585" s="9">
        <v>3602.55</v>
      </c>
      <c r="L2585" s="14">
        <v>0</v>
      </c>
      <c r="M2585" s="2" t="s">
        <v>71</v>
      </c>
      <c r="N2585" s="2" t="s">
        <v>16704</v>
      </c>
      <c r="O2585" s="2" t="s">
        <v>3980</v>
      </c>
      <c r="P2585" s="9">
        <v>1.98</v>
      </c>
      <c r="Q2585" s="9">
        <v>3602.55</v>
      </c>
      <c r="R2585" s="2" t="s">
        <v>16708</v>
      </c>
    </row>
    <row r="2586" spans="1:18" x14ac:dyDescent="0.25">
      <c r="A2586" s="2" t="s">
        <v>3982</v>
      </c>
      <c r="B2586" s="6">
        <v>46204</v>
      </c>
      <c r="C2586" s="8">
        <v>46220</v>
      </c>
      <c r="D2586" s="2" t="s">
        <v>199</v>
      </c>
      <c r="E2586" s="2" t="s">
        <v>260</v>
      </c>
      <c r="F2586" s="2" t="s">
        <v>16703</v>
      </c>
      <c r="G2586" s="2" t="s">
        <v>3983</v>
      </c>
      <c r="H2586" s="2" t="s">
        <v>76</v>
      </c>
      <c r="I2586" s="9">
        <v>86461248</v>
      </c>
      <c r="J2586" s="7">
        <v>6.2000000000000003E-5</v>
      </c>
      <c r="K2586" s="9">
        <v>5360.6</v>
      </c>
      <c r="L2586" s="14">
        <v>0</v>
      </c>
      <c r="M2586" s="2" t="s">
        <v>71</v>
      </c>
      <c r="N2586" s="2" t="s">
        <v>16706</v>
      </c>
      <c r="O2586" s="2" t="s">
        <v>3980</v>
      </c>
      <c r="P2586" s="9">
        <v>2.95</v>
      </c>
      <c r="Q2586" s="9">
        <v>5403.83</v>
      </c>
      <c r="R2586" s="2" t="s">
        <v>16709</v>
      </c>
    </row>
    <row r="2587" spans="1:18" x14ac:dyDescent="0.25">
      <c r="A2587" s="2" t="s">
        <v>3984</v>
      </c>
      <c r="B2587" s="6">
        <v>46204</v>
      </c>
      <c r="C2587" s="8">
        <v>46206</v>
      </c>
      <c r="D2587" s="2" t="s">
        <v>199</v>
      </c>
      <c r="E2587" s="2" t="s">
        <v>260</v>
      </c>
      <c r="F2587" s="2" t="s">
        <v>16703</v>
      </c>
      <c r="G2587" s="2" t="s">
        <v>3986</v>
      </c>
      <c r="H2587" s="2" t="s">
        <v>70</v>
      </c>
      <c r="I2587" s="9">
        <v>13803.593985</v>
      </c>
      <c r="J2587" s="7">
        <v>0.65800000000000003</v>
      </c>
      <c r="K2587" s="9">
        <v>9082.76</v>
      </c>
      <c r="L2587" s="14">
        <v>0</v>
      </c>
      <c r="M2587" s="2" t="s">
        <v>71</v>
      </c>
      <c r="N2587" s="2" t="s">
        <v>16706</v>
      </c>
      <c r="O2587" s="2" t="s">
        <v>3985</v>
      </c>
      <c r="P2587" s="9">
        <v>5</v>
      </c>
      <c r="Q2587" s="9">
        <v>9179.39</v>
      </c>
      <c r="R2587" s="2" t="s">
        <v>16709</v>
      </c>
    </row>
    <row r="2588" spans="1:18" x14ac:dyDescent="0.25">
      <c r="A2588" s="2" t="s">
        <v>3987</v>
      </c>
      <c r="B2588" s="6">
        <v>46204</v>
      </c>
      <c r="C2588" s="8">
        <v>46207</v>
      </c>
      <c r="D2588" s="2" t="s">
        <v>199</v>
      </c>
      <c r="E2588" s="2" t="s">
        <v>260</v>
      </c>
      <c r="F2588" s="2" t="s">
        <v>16703</v>
      </c>
      <c r="G2588" s="2" t="s">
        <v>3989</v>
      </c>
      <c r="H2588" s="2" t="s">
        <v>39</v>
      </c>
      <c r="I2588" s="9">
        <v>9352.4</v>
      </c>
      <c r="J2588" s="7">
        <v>1</v>
      </c>
      <c r="K2588" s="9">
        <v>9352.4</v>
      </c>
      <c r="L2588" s="14">
        <v>0</v>
      </c>
      <c r="M2588" s="2" t="s">
        <v>71</v>
      </c>
      <c r="N2588" s="2" t="s">
        <v>16706</v>
      </c>
      <c r="O2588" s="2" t="s">
        <v>3988</v>
      </c>
      <c r="P2588" s="9">
        <v>5.14</v>
      </c>
      <c r="Q2588" s="9">
        <v>9352.4</v>
      </c>
      <c r="R2588" s="2" t="s">
        <v>16709</v>
      </c>
    </row>
    <row r="2589" spans="1:18" x14ac:dyDescent="0.25">
      <c r="A2589" s="2" t="s">
        <v>3990</v>
      </c>
      <c r="B2589" s="6">
        <v>46204</v>
      </c>
      <c r="C2589" s="8">
        <v>46208</v>
      </c>
      <c r="D2589" s="2" t="s">
        <v>199</v>
      </c>
      <c r="E2589" s="2" t="s">
        <v>260</v>
      </c>
      <c r="F2589" s="2" t="s">
        <v>16703</v>
      </c>
      <c r="G2589" s="2" t="s">
        <v>3992</v>
      </c>
      <c r="H2589" s="2" t="s">
        <v>76</v>
      </c>
      <c r="I2589" s="9">
        <v>-152406560</v>
      </c>
      <c r="J2589" s="7">
        <v>6.2000000000000003E-5</v>
      </c>
      <c r="K2589" s="9">
        <v>-9449.2099999999991</v>
      </c>
      <c r="L2589" s="14">
        <v>0</v>
      </c>
      <c r="M2589" s="2" t="s">
        <v>71</v>
      </c>
      <c r="N2589" s="2" t="s">
        <v>16706</v>
      </c>
      <c r="O2589" s="2" t="s">
        <v>3991</v>
      </c>
      <c r="P2589" s="9">
        <v>0</v>
      </c>
      <c r="Q2589" s="9">
        <v>-9525.41</v>
      </c>
      <c r="R2589" s="2" t="s">
        <v>16709</v>
      </c>
    </row>
    <row r="2590" spans="1:18" x14ac:dyDescent="0.25">
      <c r="A2590" s="2" t="s">
        <v>3993</v>
      </c>
      <c r="B2590" s="6">
        <v>46204</v>
      </c>
      <c r="C2590" s="8">
        <v>46209</v>
      </c>
      <c r="D2590" s="2" t="s">
        <v>199</v>
      </c>
      <c r="E2590" s="2" t="s">
        <v>260</v>
      </c>
      <c r="F2590" s="2" t="s">
        <v>16703</v>
      </c>
      <c r="G2590" s="2" t="s">
        <v>3995</v>
      </c>
      <c r="H2590" s="2" t="s">
        <v>70</v>
      </c>
      <c r="I2590" s="9">
        <v>14584.090226</v>
      </c>
      <c r="J2590" s="7">
        <v>0.65800000000000003</v>
      </c>
      <c r="K2590" s="9">
        <v>9596.33</v>
      </c>
      <c r="L2590" s="14">
        <v>0</v>
      </c>
      <c r="M2590" s="2" t="s">
        <v>71</v>
      </c>
      <c r="N2590" s="2" t="s">
        <v>16706</v>
      </c>
      <c r="O2590" s="2" t="s">
        <v>3994</v>
      </c>
      <c r="P2590" s="9">
        <v>5.28</v>
      </c>
      <c r="Q2590" s="9">
        <v>9698.42</v>
      </c>
      <c r="R2590" s="2" t="s">
        <v>16709</v>
      </c>
    </row>
    <row r="2591" spans="1:18" x14ac:dyDescent="0.25">
      <c r="A2591" s="2" t="s">
        <v>3996</v>
      </c>
      <c r="B2591" s="6">
        <v>46204</v>
      </c>
      <c r="C2591" s="8">
        <v>46210</v>
      </c>
      <c r="D2591" s="2" t="s">
        <v>199</v>
      </c>
      <c r="E2591" s="2" t="s">
        <v>260</v>
      </c>
      <c r="F2591" s="2" t="s">
        <v>16703</v>
      </c>
      <c r="G2591" s="2" t="s">
        <v>3998</v>
      </c>
      <c r="H2591" s="2" t="s">
        <v>39</v>
      </c>
      <c r="I2591" s="9">
        <v>9871.43</v>
      </c>
      <c r="J2591" s="7">
        <v>1</v>
      </c>
      <c r="K2591" s="9">
        <v>9871.43</v>
      </c>
      <c r="L2591" s="14">
        <v>0</v>
      </c>
      <c r="M2591" s="2" t="s">
        <v>71</v>
      </c>
      <c r="N2591" s="2" t="s">
        <v>16706</v>
      </c>
      <c r="O2591" s="2" t="s">
        <v>3997</v>
      </c>
      <c r="P2591" s="9">
        <v>5.43</v>
      </c>
      <c r="Q2591" s="9">
        <v>9871.43</v>
      </c>
      <c r="R2591" s="2" t="s">
        <v>16709</v>
      </c>
    </row>
    <row r="2592" spans="1:18" x14ac:dyDescent="0.25">
      <c r="A2592" s="2" t="s">
        <v>3999</v>
      </c>
      <c r="B2592" s="6">
        <v>46174</v>
      </c>
      <c r="C2592" s="8">
        <v>46201</v>
      </c>
      <c r="D2592" s="2" t="s">
        <v>199</v>
      </c>
      <c r="E2592" s="2" t="s">
        <v>260</v>
      </c>
      <c r="F2592" s="2" t="s">
        <v>16703</v>
      </c>
      <c r="G2592" s="2" t="s">
        <v>4001</v>
      </c>
      <c r="H2592" s="2" t="s">
        <v>76</v>
      </c>
      <c r="I2592" s="9">
        <v>64284416</v>
      </c>
      <c r="J2592" s="7">
        <v>6.2500000000000001E-5</v>
      </c>
      <c r="K2592" s="9">
        <v>4017.78</v>
      </c>
      <c r="L2592" s="14">
        <v>0</v>
      </c>
      <c r="M2592" s="2" t="s">
        <v>71</v>
      </c>
      <c r="N2592" s="2" t="s">
        <v>16704</v>
      </c>
      <c r="O2592" s="2" t="s">
        <v>4000</v>
      </c>
      <c r="P2592" s="9">
        <v>2.21</v>
      </c>
      <c r="Q2592" s="9">
        <v>4017.78</v>
      </c>
      <c r="R2592" s="2" t="s">
        <v>16708</v>
      </c>
    </row>
    <row r="2593" spans="1:18" x14ac:dyDescent="0.25">
      <c r="A2593" s="2" t="s">
        <v>4002</v>
      </c>
      <c r="B2593" s="6">
        <v>46204</v>
      </c>
      <c r="C2593" s="8">
        <v>46226</v>
      </c>
      <c r="D2593" s="2" t="s">
        <v>199</v>
      </c>
      <c r="E2593" s="2" t="s">
        <v>260</v>
      </c>
      <c r="F2593" s="2" t="s">
        <v>16703</v>
      </c>
      <c r="G2593" s="2" t="s">
        <v>4003</v>
      </c>
      <c r="H2593" s="2" t="s">
        <v>76</v>
      </c>
      <c r="I2593" s="9">
        <v>96426624</v>
      </c>
      <c r="J2593" s="7">
        <v>6.2000000000000003E-5</v>
      </c>
      <c r="K2593" s="9">
        <v>5978.45</v>
      </c>
      <c r="L2593" s="14">
        <v>0</v>
      </c>
      <c r="M2593" s="2" t="s">
        <v>71</v>
      </c>
      <c r="N2593" s="2" t="s">
        <v>16706</v>
      </c>
      <c r="O2593" s="2" t="s">
        <v>4000</v>
      </c>
      <c r="P2593" s="9">
        <v>3.29</v>
      </c>
      <c r="Q2593" s="9">
        <v>6026.66</v>
      </c>
      <c r="R2593" s="2" t="s">
        <v>16709</v>
      </c>
    </row>
    <row r="2594" spans="1:18" x14ac:dyDescent="0.25">
      <c r="A2594" s="2" t="s">
        <v>4004</v>
      </c>
      <c r="B2594" s="6">
        <v>46174</v>
      </c>
      <c r="C2594" s="8">
        <v>46202</v>
      </c>
      <c r="D2594" s="2" t="s">
        <v>199</v>
      </c>
      <c r="E2594" s="2" t="s">
        <v>260</v>
      </c>
      <c r="F2594" s="2" t="s">
        <v>16703</v>
      </c>
      <c r="G2594" s="2" t="s">
        <v>4006</v>
      </c>
      <c r="H2594" s="2" t="s">
        <v>70</v>
      </c>
      <c r="I2594" s="9">
        <v>6145.8345859999999</v>
      </c>
      <c r="J2594" s="7">
        <v>0.66500000000000004</v>
      </c>
      <c r="K2594" s="9">
        <v>4086.98</v>
      </c>
      <c r="L2594" s="14">
        <v>0</v>
      </c>
      <c r="M2594" s="2" t="s">
        <v>71</v>
      </c>
      <c r="N2594" s="2" t="s">
        <v>16704</v>
      </c>
      <c r="O2594" s="2" t="s">
        <v>4005</v>
      </c>
      <c r="P2594" s="9">
        <v>2.25</v>
      </c>
      <c r="Q2594" s="9">
        <v>4086.98</v>
      </c>
      <c r="R2594" s="2" t="s">
        <v>16708</v>
      </c>
    </row>
    <row r="2595" spans="1:18" x14ac:dyDescent="0.25">
      <c r="A2595" s="2" t="s">
        <v>4007</v>
      </c>
      <c r="B2595" s="6">
        <v>46204</v>
      </c>
      <c r="C2595" s="8">
        <v>46227</v>
      </c>
      <c r="D2595" s="2" t="s">
        <v>199</v>
      </c>
      <c r="E2595" s="2" t="s">
        <v>260</v>
      </c>
      <c r="F2595" s="2" t="s">
        <v>16703</v>
      </c>
      <c r="G2595" s="2" t="s">
        <v>4008</v>
      </c>
      <c r="H2595" s="2" t="s">
        <v>70</v>
      </c>
      <c r="I2595" s="9">
        <v>9218.7518799999998</v>
      </c>
      <c r="J2595" s="7">
        <v>0.65800000000000003</v>
      </c>
      <c r="K2595" s="9">
        <v>6065.94</v>
      </c>
      <c r="L2595" s="14">
        <v>0</v>
      </c>
      <c r="M2595" s="2" t="s">
        <v>71</v>
      </c>
      <c r="N2595" s="2" t="s">
        <v>16706</v>
      </c>
      <c r="O2595" s="2" t="s">
        <v>4005</v>
      </c>
      <c r="P2595" s="9">
        <v>3.34</v>
      </c>
      <c r="Q2595" s="9">
        <v>6130.47</v>
      </c>
      <c r="R2595" s="2" t="s">
        <v>16709</v>
      </c>
    </row>
    <row r="2596" spans="1:18" x14ac:dyDescent="0.25">
      <c r="A2596" s="2" t="s">
        <v>4009</v>
      </c>
      <c r="B2596" s="6">
        <v>46204</v>
      </c>
      <c r="C2596" s="8">
        <v>46213</v>
      </c>
      <c r="D2596" s="2" t="s">
        <v>199</v>
      </c>
      <c r="E2596" s="2" t="s">
        <v>260</v>
      </c>
      <c r="F2596" s="2" t="s">
        <v>16703</v>
      </c>
      <c r="G2596" s="2" t="s">
        <v>4011</v>
      </c>
      <c r="H2596" s="2" t="s">
        <v>39</v>
      </c>
      <c r="I2596" s="9">
        <v>10390.459999999999</v>
      </c>
      <c r="J2596" s="7">
        <v>1</v>
      </c>
      <c r="K2596" s="9">
        <v>10390.459999999999</v>
      </c>
      <c r="L2596" s="14">
        <v>0</v>
      </c>
      <c r="M2596" s="2" t="s">
        <v>71</v>
      </c>
      <c r="N2596" s="2" t="s">
        <v>16706</v>
      </c>
      <c r="O2596" s="2" t="s">
        <v>4010</v>
      </c>
      <c r="P2596" s="9">
        <v>5.71</v>
      </c>
      <c r="Q2596" s="9">
        <v>10390.459999999999</v>
      </c>
      <c r="R2596" s="2" t="s">
        <v>16709</v>
      </c>
    </row>
    <row r="2597" spans="1:18" x14ac:dyDescent="0.25">
      <c r="A2597" s="2" t="s">
        <v>4012</v>
      </c>
      <c r="B2597" s="6">
        <v>46204</v>
      </c>
      <c r="C2597" s="8">
        <v>46214</v>
      </c>
      <c r="D2597" s="2" t="s">
        <v>199</v>
      </c>
      <c r="E2597" s="2" t="s">
        <v>260</v>
      </c>
      <c r="F2597" s="2" t="s">
        <v>16703</v>
      </c>
      <c r="G2597" s="2" t="s">
        <v>4014</v>
      </c>
      <c r="H2597" s="2" t="s">
        <v>76</v>
      </c>
      <c r="I2597" s="9">
        <v>169015520</v>
      </c>
      <c r="J2597" s="7">
        <v>6.2000000000000003E-5</v>
      </c>
      <c r="K2597" s="9">
        <v>10478.959999999999</v>
      </c>
      <c r="L2597" s="14">
        <v>0</v>
      </c>
      <c r="M2597" s="2" t="s">
        <v>71</v>
      </c>
      <c r="N2597" s="2" t="s">
        <v>16706</v>
      </c>
      <c r="O2597" s="2" t="s">
        <v>4013</v>
      </c>
      <c r="P2597" s="9">
        <v>5.76</v>
      </c>
      <c r="Q2597" s="9">
        <v>10563.47</v>
      </c>
      <c r="R2597" s="2" t="s">
        <v>16709</v>
      </c>
    </row>
    <row r="2598" spans="1:18" x14ac:dyDescent="0.25">
      <c r="A2598" s="2" t="s">
        <v>4015</v>
      </c>
      <c r="B2598" s="6">
        <v>46204</v>
      </c>
      <c r="C2598" s="8">
        <v>46205</v>
      </c>
      <c r="D2598" s="2" t="s">
        <v>199</v>
      </c>
      <c r="E2598" s="2" t="s">
        <v>260</v>
      </c>
      <c r="F2598" s="2" t="s">
        <v>16703</v>
      </c>
      <c r="G2598" s="2" t="s">
        <v>4017</v>
      </c>
      <c r="H2598" s="2" t="s">
        <v>70</v>
      </c>
      <c r="I2598" s="9">
        <v>6458.0330830000003</v>
      </c>
      <c r="J2598" s="7">
        <v>0.65800000000000003</v>
      </c>
      <c r="K2598" s="9">
        <v>4249.3900000000003</v>
      </c>
      <c r="L2598" s="14">
        <v>0</v>
      </c>
      <c r="M2598" s="2" t="s">
        <v>71</v>
      </c>
      <c r="N2598" s="2" t="s">
        <v>16706</v>
      </c>
      <c r="O2598" s="2" t="s">
        <v>4016</v>
      </c>
      <c r="P2598" s="9">
        <v>2.34</v>
      </c>
      <c r="Q2598" s="9">
        <v>4294.59</v>
      </c>
      <c r="R2598" s="2" t="s">
        <v>16709</v>
      </c>
    </row>
    <row r="2599" spans="1:18" x14ac:dyDescent="0.25">
      <c r="A2599" s="2" t="s">
        <v>4018</v>
      </c>
      <c r="B2599" s="6">
        <v>46204</v>
      </c>
      <c r="C2599" s="8">
        <v>46230</v>
      </c>
      <c r="D2599" s="2" t="s">
        <v>199</v>
      </c>
      <c r="E2599" s="2" t="s">
        <v>260</v>
      </c>
      <c r="F2599" s="2" t="s">
        <v>16703</v>
      </c>
      <c r="G2599" s="2" t="s">
        <v>4019</v>
      </c>
      <c r="H2599" s="2" t="s">
        <v>70</v>
      </c>
      <c r="I2599" s="9">
        <v>9687.0496239999993</v>
      </c>
      <c r="J2599" s="7">
        <v>0.65800000000000003</v>
      </c>
      <c r="K2599" s="9">
        <v>6374.08</v>
      </c>
      <c r="L2599" s="14">
        <v>0</v>
      </c>
      <c r="M2599" s="2" t="s">
        <v>71</v>
      </c>
      <c r="N2599" s="2" t="s">
        <v>16706</v>
      </c>
      <c r="O2599" s="2" t="s">
        <v>4016</v>
      </c>
      <c r="P2599" s="9">
        <v>3.51</v>
      </c>
      <c r="Q2599" s="9">
        <v>6441.89</v>
      </c>
      <c r="R2599" s="2" t="s">
        <v>16709</v>
      </c>
    </row>
    <row r="2600" spans="1:18" x14ac:dyDescent="0.25">
      <c r="A2600" s="2" t="s">
        <v>4020</v>
      </c>
      <c r="B2600" s="6">
        <v>46204</v>
      </c>
      <c r="C2600" s="8">
        <v>46216</v>
      </c>
      <c r="D2600" s="2" t="s">
        <v>199</v>
      </c>
      <c r="E2600" s="2" t="s">
        <v>260</v>
      </c>
      <c r="F2600" s="2" t="s">
        <v>16703</v>
      </c>
      <c r="G2600" s="2" t="s">
        <v>4022</v>
      </c>
      <c r="H2600" s="2" t="s">
        <v>39</v>
      </c>
      <c r="I2600" s="9">
        <v>10909.49</v>
      </c>
      <c r="J2600" s="7">
        <v>1</v>
      </c>
      <c r="K2600" s="9">
        <v>10909.49</v>
      </c>
      <c r="L2600" s="14">
        <v>0</v>
      </c>
      <c r="M2600" s="2" t="s">
        <v>71</v>
      </c>
      <c r="N2600" s="2" t="s">
        <v>16706</v>
      </c>
      <c r="O2600" s="2" t="s">
        <v>4021</v>
      </c>
      <c r="P2600" s="9">
        <v>6</v>
      </c>
      <c r="Q2600" s="9">
        <v>10909.49</v>
      </c>
      <c r="R2600" s="2" t="s">
        <v>16709</v>
      </c>
    </row>
    <row r="2601" spans="1:18" x14ac:dyDescent="0.25">
      <c r="A2601" s="2" t="s">
        <v>4023</v>
      </c>
      <c r="B2601" s="6">
        <v>46204</v>
      </c>
      <c r="C2601" s="8">
        <v>46217</v>
      </c>
      <c r="D2601" s="2" t="s">
        <v>199</v>
      </c>
      <c r="E2601" s="2" t="s">
        <v>260</v>
      </c>
      <c r="F2601" s="2" t="s">
        <v>16703</v>
      </c>
      <c r="G2601" s="2" t="s">
        <v>4025</v>
      </c>
      <c r="H2601" s="2" t="s">
        <v>76</v>
      </c>
      <c r="I2601" s="9">
        <v>177320000</v>
      </c>
      <c r="J2601" s="7">
        <v>6.2000000000000003E-5</v>
      </c>
      <c r="K2601" s="9">
        <v>10993.84</v>
      </c>
      <c r="L2601" s="14">
        <v>0</v>
      </c>
      <c r="M2601" s="2" t="s">
        <v>71</v>
      </c>
      <c r="N2601" s="2" t="s">
        <v>16706</v>
      </c>
      <c r="O2601" s="2" t="s">
        <v>4024</v>
      </c>
      <c r="P2601" s="9">
        <v>6.05</v>
      </c>
      <c r="Q2601" s="9">
        <v>11082.5</v>
      </c>
      <c r="R2601" s="2" t="s">
        <v>16709</v>
      </c>
    </row>
    <row r="2602" spans="1:18" x14ac:dyDescent="0.25">
      <c r="A2602" s="2" t="s">
        <v>4026</v>
      </c>
      <c r="B2602" s="6">
        <v>46204</v>
      </c>
      <c r="C2602" s="8">
        <v>46218</v>
      </c>
      <c r="D2602" s="2" t="s">
        <v>199</v>
      </c>
      <c r="E2602" s="2" t="s">
        <v>260</v>
      </c>
      <c r="F2602" s="2" t="s">
        <v>16703</v>
      </c>
      <c r="G2602" s="2" t="s">
        <v>4028</v>
      </c>
      <c r="H2602" s="2" t="s">
        <v>70</v>
      </c>
      <c r="I2602" s="9">
        <v>16925.578947000002</v>
      </c>
      <c r="J2602" s="7">
        <v>0.65800000000000003</v>
      </c>
      <c r="K2602" s="9">
        <v>11137.03</v>
      </c>
      <c r="L2602" s="14">
        <v>0</v>
      </c>
      <c r="M2602" s="2" t="s">
        <v>71</v>
      </c>
      <c r="N2602" s="2" t="s">
        <v>16706</v>
      </c>
      <c r="O2602" s="2" t="s">
        <v>4027</v>
      </c>
      <c r="P2602" s="9">
        <v>6.13</v>
      </c>
      <c r="Q2602" s="9">
        <v>11255.51</v>
      </c>
      <c r="R2602" s="2" t="s">
        <v>16709</v>
      </c>
    </row>
    <row r="2603" spans="1:18" x14ac:dyDescent="0.25">
      <c r="A2603" s="2" t="s">
        <v>4029</v>
      </c>
      <c r="B2603" s="6">
        <v>46204</v>
      </c>
      <c r="C2603" s="8">
        <v>46219</v>
      </c>
      <c r="D2603" s="2" t="s">
        <v>199</v>
      </c>
      <c r="E2603" s="2" t="s">
        <v>260</v>
      </c>
      <c r="F2603" s="2" t="s">
        <v>16703</v>
      </c>
      <c r="G2603" s="2" t="s">
        <v>4031</v>
      </c>
      <c r="H2603" s="2" t="s">
        <v>39</v>
      </c>
      <c r="I2603" s="9">
        <v>11428.52</v>
      </c>
      <c r="J2603" s="7">
        <v>1</v>
      </c>
      <c r="K2603" s="9">
        <v>11428.52</v>
      </c>
      <c r="L2603" s="14">
        <v>0</v>
      </c>
      <c r="M2603" s="2" t="s">
        <v>71</v>
      </c>
      <c r="N2603" s="2" t="s">
        <v>16706</v>
      </c>
      <c r="O2603" s="2" t="s">
        <v>4030</v>
      </c>
      <c r="P2603" s="9">
        <v>6.29</v>
      </c>
      <c r="Q2603" s="9">
        <v>11428.52</v>
      </c>
      <c r="R2603" s="2" t="s">
        <v>16709</v>
      </c>
    </row>
    <row r="2604" spans="1:18" x14ac:dyDescent="0.25">
      <c r="A2604" s="2" t="s">
        <v>4032</v>
      </c>
      <c r="B2604" s="6">
        <v>46204</v>
      </c>
      <c r="C2604" s="8">
        <v>46220</v>
      </c>
      <c r="D2604" s="2" t="s">
        <v>199</v>
      </c>
      <c r="E2604" s="2" t="s">
        <v>260</v>
      </c>
      <c r="F2604" s="2" t="s">
        <v>16703</v>
      </c>
      <c r="G2604" s="2" t="s">
        <v>4034</v>
      </c>
      <c r="H2604" s="2" t="s">
        <v>76</v>
      </c>
      <c r="I2604" s="9">
        <v>185624480</v>
      </c>
      <c r="J2604" s="7">
        <v>6.2000000000000003E-5</v>
      </c>
      <c r="K2604" s="9">
        <v>11508.72</v>
      </c>
      <c r="L2604" s="14">
        <v>0</v>
      </c>
      <c r="M2604" s="2" t="s">
        <v>71</v>
      </c>
      <c r="N2604" s="2" t="s">
        <v>16706</v>
      </c>
      <c r="O2604" s="2" t="s">
        <v>4033</v>
      </c>
      <c r="P2604" s="9">
        <v>6.33</v>
      </c>
      <c r="Q2604" s="9">
        <v>11601.53</v>
      </c>
      <c r="R2604" s="2" t="s">
        <v>16709</v>
      </c>
    </row>
    <row r="2605" spans="1:18" x14ac:dyDescent="0.25">
      <c r="A2605" s="2" t="s">
        <v>4035</v>
      </c>
      <c r="B2605" s="6">
        <v>46204</v>
      </c>
      <c r="C2605" s="8">
        <v>46211</v>
      </c>
      <c r="D2605" s="2" t="s">
        <v>199</v>
      </c>
      <c r="E2605" s="2" t="s">
        <v>260</v>
      </c>
      <c r="F2605" s="2" t="s">
        <v>16703</v>
      </c>
      <c r="G2605" s="2" t="s">
        <v>4037</v>
      </c>
      <c r="H2605" s="2" t="s">
        <v>70</v>
      </c>
      <c r="I2605" s="9">
        <v>7082.4300750000002</v>
      </c>
      <c r="J2605" s="7">
        <v>0.65800000000000003</v>
      </c>
      <c r="K2605" s="9">
        <v>4660.24</v>
      </c>
      <c r="L2605" s="14">
        <v>0</v>
      </c>
      <c r="M2605" s="2" t="s">
        <v>71</v>
      </c>
      <c r="N2605" s="2" t="s">
        <v>16706</v>
      </c>
      <c r="O2605" s="2" t="s">
        <v>4036</v>
      </c>
      <c r="P2605" s="9">
        <v>2.56</v>
      </c>
      <c r="Q2605" s="9">
        <v>4709.82</v>
      </c>
      <c r="R2605" s="2" t="s">
        <v>16709</v>
      </c>
    </row>
    <row r="2606" spans="1:18" x14ac:dyDescent="0.25">
      <c r="A2606" s="2" t="s">
        <v>4040</v>
      </c>
      <c r="B2606" s="6">
        <v>46204</v>
      </c>
      <c r="C2606" s="8">
        <v>46212</v>
      </c>
      <c r="D2606" s="2" t="s">
        <v>199</v>
      </c>
      <c r="E2606" s="2" t="s">
        <v>260</v>
      </c>
      <c r="F2606" s="2" t="s">
        <v>16703</v>
      </c>
      <c r="G2606" s="2" t="s">
        <v>4042</v>
      </c>
      <c r="H2606" s="2" t="s">
        <v>39</v>
      </c>
      <c r="I2606" s="9">
        <v>4779.0200000000004</v>
      </c>
      <c r="J2606" s="7">
        <v>1</v>
      </c>
      <c r="K2606" s="9">
        <v>4779.0200000000004</v>
      </c>
      <c r="L2606" s="14">
        <v>0</v>
      </c>
      <c r="M2606" s="2" t="s">
        <v>71</v>
      </c>
      <c r="N2606" s="2" t="s">
        <v>16706</v>
      </c>
      <c r="O2606" s="2" t="s">
        <v>4041</v>
      </c>
      <c r="P2606" s="9">
        <v>2.63</v>
      </c>
      <c r="Q2606" s="9">
        <v>4779.0200000000004</v>
      </c>
      <c r="R2606" s="2" t="s">
        <v>16709</v>
      </c>
    </row>
    <row r="2607" spans="1:18" x14ac:dyDescent="0.25">
      <c r="A2607" s="2" t="s">
        <v>4045</v>
      </c>
      <c r="B2607" s="6">
        <v>46204</v>
      </c>
      <c r="C2607" s="8">
        <v>46223</v>
      </c>
      <c r="D2607" s="2" t="s">
        <v>199</v>
      </c>
      <c r="E2607" s="2" t="s">
        <v>260</v>
      </c>
      <c r="F2607" s="2" t="s">
        <v>16703</v>
      </c>
      <c r="G2607" s="2" t="s">
        <v>4047</v>
      </c>
      <c r="H2607" s="2" t="s">
        <v>76</v>
      </c>
      <c r="I2607" s="9">
        <v>193928960</v>
      </c>
      <c r="J2607" s="7">
        <v>6.2000000000000003E-5</v>
      </c>
      <c r="K2607" s="9">
        <v>12023.6</v>
      </c>
      <c r="L2607" s="14">
        <v>0</v>
      </c>
      <c r="M2607" s="2" t="s">
        <v>71</v>
      </c>
      <c r="N2607" s="2" t="s">
        <v>16706</v>
      </c>
      <c r="O2607" s="2" t="s">
        <v>4046</v>
      </c>
      <c r="P2607" s="9">
        <v>6.61</v>
      </c>
      <c r="Q2607" s="9">
        <v>12120.56</v>
      </c>
      <c r="R2607" s="2" t="s">
        <v>16709</v>
      </c>
    </row>
    <row r="2608" spans="1:18" x14ac:dyDescent="0.25">
      <c r="A2608" s="2" t="s">
        <v>4048</v>
      </c>
      <c r="B2608" s="6">
        <v>46204</v>
      </c>
      <c r="C2608" s="8">
        <v>46224</v>
      </c>
      <c r="D2608" s="2" t="s">
        <v>199</v>
      </c>
      <c r="E2608" s="2" t="s">
        <v>260</v>
      </c>
      <c r="F2608" s="2" t="s">
        <v>16703</v>
      </c>
      <c r="G2608" s="2" t="s">
        <v>4050</v>
      </c>
      <c r="H2608" s="2" t="s">
        <v>70</v>
      </c>
      <c r="I2608" s="9">
        <v>18486.571429</v>
      </c>
      <c r="J2608" s="7">
        <v>0.65800000000000003</v>
      </c>
      <c r="K2608" s="9">
        <v>12164.16</v>
      </c>
      <c r="L2608" s="14">
        <v>0</v>
      </c>
      <c r="M2608" s="2" t="s">
        <v>71</v>
      </c>
      <c r="N2608" s="2" t="s">
        <v>16706</v>
      </c>
      <c r="O2608" s="2" t="s">
        <v>4049</v>
      </c>
      <c r="P2608" s="9">
        <v>6.69</v>
      </c>
      <c r="Q2608" s="9">
        <v>12293.57</v>
      </c>
      <c r="R2608" s="2" t="s">
        <v>16709</v>
      </c>
    </row>
    <row r="2609" spans="1:18" x14ac:dyDescent="0.25">
      <c r="A2609" s="2" t="s">
        <v>4051</v>
      </c>
      <c r="B2609" s="6">
        <v>46204</v>
      </c>
      <c r="C2609" s="8">
        <v>46215</v>
      </c>
      <c r="D2609" s="2" t="s">
        <v>199</v>
      </c>
      <c r="E2609" s="2" t="s">
        <v>260</v>
      </c>
      <c r="F2609" s="2" t="s">
        <v>16703</v>
      </c>
      <c r="G2609" s="2" t="s">
        <v>4053</v>
      </c>
      <c r="H2609" s="2" t="s">
        <v>39</v>
      </c>
      <c r="I2609" s="9">
        <v>4986.6319999999996</v>
      </c>
      <c r="J2609" s="7">
        <v>1</v>
      </c>
      <c r="K2609" s="9">
        <v>4986.63</v>
      </c>
      <c r="L2609" s="14">
        <v>0</v>
      </c>
      <c r="M2609" s="2" t="s">
        <v>71</v>
      </c>
      <c r="N2609" s="2" t="s">
        <v>16706</v>
      </c>
      <c r="O2609" s="2" t="s">
        <v>4052</v>
      </c>
      <c r="P2609" s="9">
        <v>2.74</v>
      </c>
      <c r="Q2609" s="9">
        <v>4986.63</v>
      </c>
      <c r="R2609" s="2" t="s">
        <v>16709</v>
      </c>
    </row>
    <row r="2610" spans="1:18" x14ac:dyDescent="0.25">
      <c r="A2610" s="2" t="s">
        <v>4056</v>
      </c>
      <c r="B2610" s="6">
        <v>46204</v>
      </c>
      <c r="C2610" s="8">
        <v>46226</v>
      </c>
      <c r="D2610" s="2" t="s">
        <v>199</v>
      </c>
      <c r="E2610" s="2" t="s">
        <v>260</v>
      </c>
      <c r="F2610" s="2" t="s">
        <v>16703</v>
      </c>
      <c r="G2610" s="2" t="s">
        <v>4058</v>
      </c>
      <c r="H2610" s="2" t="s">
        <v>76</v>
      </c>
      <c r="I2610" s="9">
        <v>202233440</v>
      </c>
      <c r="J2610" s="7">
        <v>6.2000000000000003E-5</v>
      </c>
      <c r="K2610" s="9">
        <v>12538.47</v>
      </c>
      <c r="L2610" s="14">
        <v>0</v>
      </c>
      <c r="M2610" s="2" t="s">
        <v>71</v>
      </c>
      <c r="N2610" s="2" t="s">
        <v>16706</v>
      </c>
      <c r="O2610" s="2" t="s">
        <v>4057</v>
      </c>
      <c r="P2610" s="9">
        <v>6.9</v>
      </c>
      <c r="Q2610" s="9">
        <v>12639.59</v>
      </c>
      <c r="R2610" s="2" t="s">
        <v>16709</v>
      </c>
    </row>
    <row r="2611" spans="1:18" x14ac:dyDescent="0.25">
      <c r="A2611" s="2" t="s">
        <v>4059</v>
      </c>
      <c r="B2611" s="6">
        <v>46204</v>
      </c>
      <c r="C2611" s="8">
        <v>46227</v>
      </c>
      <c r="D2611" s="2" t="s">
        <v>199</v>
      </c>
      <c r="E2611" s="2" t="s">
        <v>260</v>
      </c>
      <c r="F2611" s="2" t="s">
        <v>16703</v>
      </c>
      <c r="G2611" s="2" t="s">
        <v>4061</v>
      </c>
      <c r="H2611" s="2" t="s">
        <v>70</v>
      </c>
      <c r="I2611" s="9">
        <v>19267.067669</v>
      </c>
      <c r="J2611" s="7">
        <v>0.65800000000000003</v>
      </c>
      <c r="K2611" s="9">
        <v>12677.73</v>
      </c>
      <c r="L2611" s="14">
        <v>0</v>
      </c>
      <c r="M2611" s="2" t="s">
        <v>71</v>
      </c>
      <c r="N2611" s="2" t="s">
        <v>16706</v>
      </c>
      <c r="O2611" s="2" t="s">
        <v>4060</v>
      </c>
      <c r="P2611" s="9">
        <v>6.97</v>
      </c>
      <c r="Q2611" s="9">
        <v>12812.6</v>
      </c>
      <c r="R2611" s="2" t="s">
        <v>16709</v>
      </c>
    </row>
    <row r="2612" spans="1:18" x14ac:dyDescent="0.25">
      <c r="A2612" s="2" t="s">
        <v>4062</v>
      </c>
      <c r="B2612" s="6">
        <v>46174</v>
      </c>
      <c r="C2612" s="8">
        <v>46198</v>
      </c>
      <c r="D2612" s="2" t="s">
        <v>199</v>
      </c>
      <c r="E2612" s="2" t="s">
        <v>260</v>
      </c>
      <c r="F2612" s="2" t="s">
        <v>16703</v>
      </c>
      <c r="G2612" s="2" t="s">
        <v>4064</v>
      </c>
      <c r="H2612" s="2" t="s">
        <v>39</v>
      </c>
      <c r="I2612" s="9">
        <v>12985.61</v>
      </c>
      <c r="J2612" s="7">
        <v>1</v>
      </c>
      <c r="K2612" s="9">
        <v>12985.61</v>
      </c>
      <c r="L2612" s="14">
        <v>0</v>
      </c>
      <c r="M2612" s="2" t="s">
        <v>71</v>
      </c>
      <c r="N2612" s="2" t="s">
        <v>16704</v>
      </c>
      <c r="O2612" s="2" t="s">
        <v>4063</v>
      </c>
      <c r="P2612" s="9">
        <v>7.14</v>
      </c>
      <c r="Q2612" s="9">
        <v>12985.61</v>
      </c>
      <c r="R2612" s="2" t="s">
        <v>16708</v>
      </c>
    </row>
    <row r="2613" spans="1:18" x14ac:dyDescent="0.25">
      <c r="A2613" s="2" t="s">
        <v>4065</v>
      </c>
      <c r="B2613" s="6">
        <v>46174</v>
      </c>
      <c r="C2613" s="8">
        <v>46199</v>
      </c>
      <c r="D2613" s="2" t="s">
        <v>199</v>
      </c>
      <c r="E2613" s="2" t="s">
        <v>260</v>
      </c>
      <c r="F2613" s="2" t="s">
        <v>16703</v>
      </c>
      <c r="G2613" s="2" t="s">
        <v>4067</v>
      </c>
      <c r="H2613" s="2" t="s">
        <v>76</v>
      </c>
      <c r="I2613" s="9">
        <v>210537920</v>
      </c>
      <c r="J2613" s="7">
        <v>6.2500000000000001E-5</v>
      </c>
      <c r="K2613" s="9">
        <v>13158.62</v>
      </c>
      <c r="L2613" s="14">
        <v>0</v>
      </c>
      <c r="M2613" s="2" t="s">
        <v>71</v>
      </c>
      <c r="N2613" s="2" t="s">
        <v>16704</v>
      </c>
      <c r="O2613" s="2" t="s">
        <v>4066</v>
      </c>
      <c r="P2613" s="9">
        <v>7.24</v>
      </c>
      <c r="Q2613" s="9">
        <v>13158.62</v>
      </c>
      <c r="R2613" s="2" t="s">
        <v>16708</v>
      </c>
    </row>
    <row r="2614" spans="1:18" x14ac:dyDescent="0.25">
      <c r="A2614" s="2" t="s">
        <v>4068</v>
      </c>
      <c r="B2614" s="6">
        <v>46174</v>
      </c>
      <c r="C2614" s="8">
        <v>46200</v>
      </c>
      <c r="D2614" s="2" t="s">
        <v>199</v>
      </c>
      <c r="E2614" s="2" t="s">
        <v>260</v>
      </c>
      <c r="F2614" s="2" t="s">
        <v>16703</v>
      </c>
      <c r="G2614" s="2" t="s">
        <v>4070</v>
      </c>
      <c r="H2614" s="2" t="s">
        <v>70</v>
      </c>
      <c r="I2614" s="9">
        <v>20047.563910000001</v>
      </c>
      <c r="J2614" s="7">
        <v>0.66500000000000004</v>
      </c>
      <c r="K2614" s="9">
        <v>13331.63</v>
      </c>
      <c r="L2614" s="14">
        <v>0</v>
      </c>
      <c r="M2614" s="2" t="s">
        <v>71</v>
      </c>
      <c r="N2614" s="2" t="s">
        <v>16704</v>
      </c>
      <c r="O2614" s="2" t="s">
        <v>4069</v>
      </c>
      <c r="P2614" s="9">
        <v>7.33</v>
      </c>
      <c r="Q2614" s="9">
        <v>13331.63</v>
      </c>
      <c r="R2614" s="2" t="s">
        <v>16708</v>
      </c>
    </row>
    <row r="2615" spans="1:18" x14ac:dyDescent="0.25">
      <c r="A2615" s="2" t="s">
        <v>4071</v>
      </c>
      <c r="B2615" s="6">
        <v>46174</v>
      </c>
      <c r="C2615" s="8">
        <v>46191</v>
      </c>
      <c r="D2615" s="2" t="s">
        <v>199</v>
      </c>
      <c r="E2615" s="2" t="s">
        <v>260</v>
      </c>
      <c r="F2615" s="2" t="s">
        <v>16703</v>
      </c>
      <c r="G2615" s="2" t="s">
        <v>4073</v>
      </c>
      <c r="H2615" s="2" t="s">
        <v>39</v>
      </c>
      <c r="I2615" s="9">
        <v>5401.8559999999998</v>
      </c>
      <c r="J2615" s="7">
        <v>1</v>
      </c>
      <c r="K2615" s="9">
        <v>5401.86</v>
      </c>
      <c r="L2615" s="14">
        <v>0</v>
      </c>
      <c r="M2615" s="2" t="s">
        <v>71</v>
      </c>
      <c r="N2615" s="2" t="s">
        <v>16704</v>
      </c>
      <c r="O2615" s="2" t="s">
        <v>4072</v>
      </c>
      <c r="P2615" s="9">
        <v>2.97</v>
      </c>
      <c r="Q2615" s="9">
        <v>5401.86</v>
      </c>
      <c r="R2615" s="2" t="s">
        <v>16708</v>
      </c>
    </row>
    <row r="2616" spans="1:18" x14ac:dyDescent="0.25">
      <c r="A2616" s="2" t="s">
        <v>4074</v>
      </c>
      <c r="B2616" s="6">
        <v>46204</v>
      </c>
      <c r="C2616" s="8">
        <v>46216</v>
      </c>
      <c r="D2616" s="2" t="s">
        <v>199</v>
      </c>
      <c r="E2616" s="2" t="s">
        <v>260</v>
      </c>
      <c r="F2616" s="2" t="s">
        <v>16703</v>
      </c>
      <c r="G2616" s="2" t="s">
        <v>4075</v>
      </c>
      <c r="H2616" s="2" t="s">
        <v>39</v>
      </c>
      <c r="I2616" s="9">
        <v>8102.7839999999997</v>
      </c>
      <c r="J2616" s="7">
        <v>1</v>
      </c>
      <c r="K2616" s="9">
        <v>8102.78</v>
      </c>
      <c r="L2616" s="14">
        <v>0</v>
      </c>
      <c r="M2616" s="2" t="s">
        <v>71</v>
      </c>
      <c r="N2616" s="2" t="s">
        <v>16706</v>
      </c>
      <c r="O2616" s="2" t="s">
        <v>4072</v>
      </c>
      <c r="P2616" s="9">
        <v>4.46</v>
      </c>
      <c r="Q2616" s="9">
        <v>8102.78</v>
      </c>
      <c r="R2616" s="2" t="s">
        <v>16709</v>
      </c>
    </row>
    <row r="2617" spans="1:18" x14ac:dyDescent="0.25">
      <c r="A2617" s="2" t="s">
        <v>4076</v>
      </c>
      <c r="B2617" s="6">
        <v>46174</v>
      </c>
      <c r="C2617" s="8">
        <v>46192</v>
      </c>
      <c r="D2617" s="2" t="s">
        <v>199</v>
      </c>
      <c r="E2617" s="2" t="s">
        <v>260</v>
      </c>
      <c r="F2617" s="2" t="s">
        <v>16703</v>
      </c>
      <c r="G2617" s="2" t="s">
        <v>4078</v>
      </c>
      <c r="H2617" s="2" t="s">
        <v>76</v>
      </c>
      <c r="I2617" s="9">
        <v>87536960</v>
      </c>
      <c r="J2617" s="7">
        <v>6.2500000000000001E-5</v>
      </c>
      <c r="K2617" s="9">
        <v>5471.06</v>
      </c>
      <c r="L2617" s="14">
        <v>0</v>
      </c>
      <c r="M2617" s="2" t="s">
        <v>71</v>
      </c>
      <c r="N2617" s="2" t="s">
        <v>16704</v>
      </c>
      <c r="O2617" s="2" t="s">
        <v>4077</v>
      </c>
      <c r="P2617" s="9">
        <v>3.01</v>
      </c>
      <c r="Q2617" s="9">
        <v>5471.06</v>
      </c>
      <c r="R2617" s="2" t="s">
        <v>16708</v>
      </c>
    </row>
    <row r="2618" spans="1:18" x14ac:dyDescent="0.25">
      <c r="A2618" s="2" t="s">
        <v>4079</v>
      </c>
      <c r="B2618" s="6">
        <v>46204</v>
      </c>
      <c r="C2618" s="8">
        <v>46217</v>
      </c>
      <c r="D2618" s="2" t="s">
        <v>199</v>
      </c>
      <c r="E2618" s="2" t="s">
        <v>260</v>
      </c>
      <c r="F2618" s="2" t="s">
        <v>16703</v>
      </c>
      <c r="G2618" s="2" t="s">
        <v>4080</v>
      </c>
      <c r="H2618" s="2" t="s">
        <v>76</v>
      </c>
      <c r="I2618" s="9">
        <v>131305440</v>
      </c>
      <c r="J2618" s="7">
        <v>6.2000000000000003E-5</v>
      </c>
      <c r="K2618" s="9">
        <v>8140.94</v>
      </c>
      <c r="L2618" s="14">
        <v>0</v>
      </c>
      <c r="M2618" s="2" t="s">
        <v>71</v>
      </c>
      <c r="N2618" s="2" t="s">
        <v>16706</v>
      </c>
      <c r="O2618" s="2" t="s">
        <v>4077</v>
      </c>
      <c r="P2618" s="9">
        <v>4.4800000000000004</v>
      </c>
      <c r="Q2618" s="9">
        <v>8206.59</v>
      </c>
      <c r="R2618" s="2" t="s">
        <v>16709</v>
      </c>
    </row>
    <row r="2619" spans="1:18" x14ac:dyDescent="0.25">
      <c r="A2619" s="2" t="s">
        <v>4081</v>
      </c>
      <c r="B2619" s="6">
        <v>46174</v>
      </c>
      <c r="C2619" s="8">
        <v>46203</v>
      </c>
      <c r="D2619" s="2" t="s">
        <v>199</v>
      </c>
      <c r="E2619" s="2" t="s">
        <v>260</v>
      </c>
      <c r="F2619" s="2" t="s">
        <v>16703</v>
      </c>
      <c r="G2619" s="2" t="s">
        <v>4083</v>
      </c>
      <c r="H2619" s="2" t="s">
        <v>70</v>
      </c>
      <c r="I2619" s="9">
        <v>20828.060150000001</v>
      </c>
      <c r="J2619" s="7">
        <v>0.66500000000000004</v>
      </c>
      <c r="K2619" s="9">
        <v>13850.66</v>
      </c>
      <c r="L2619" s="14">
        <v>0</v>
      </c>
      <c r="M2619" s="2" t="s">
        <v>71</v>
      </c>
      <c r="N2619" s="2" t="s">
        <v>16704</v>
      </c>
      <c r="O2619" s="2" t="s">
        <v>4082</v>
      </c>
      <c r="P2619" s="9">
        <v>7.62</v>
      </c>
      <c r="Q2619" s="9">
        <v>13850.66</v>
      </c>
      <c r="R2619" s="2" t="s">
        <v>16708</v>
      </c>
    </row>
    <row r="2620" spans="1:18" x14ac:dyDescent="0.25">
      <c r="A2620" s="2" t="s">
        <v>4084</v>
      </c>
      <c r="B2620" s="6">
        <v>46204</v>
      </c>
      <c r="C2620" s="8">
        <v>46204</v>
      </c>
      <c r="D2620" s="2" t="s">
        <v>199</v>
      </c>
      <c r="E2620" s="2" t="s">
        <v>260</v>
      </c>
      <c r="F2620" s="2" t="s">
        <v>16703</v>
      </c>
      <c r="G2620" s="2" t="s">
        <v>4086</v>
      </c>
      <c r="H2620" s="2" t="s">
        <v>39</v>
      </c>
      <c r="I2620" s="9">
        <v>14023.67</v>
      </c>
      <c r="J2620" s="7">
        <v>1</v>
      </c>
      <c r="K2620" s="9">
        <v>14023.67</v>
      </c>
      <c r="L2620" s="14">
        <v>0</v>
      </c>
      <c r="M2620" s="2" t="s">
        <v>71</v>
      </c>
      <c r="N2620" s="2" t="s">
        <v>16706</v>
      </c>
      <c r="O2620" s="2" t="s">
        <v>4085</v>
      </c>
      <c r="P2620" s="9">
        <v>7.71</v>
      </c>
      <c r="Q2620" s="9">
        <v>14023.67</v>
      </c>
      <c r="R2620" s="2" t="s">
        <v>16709</v>
      </c>
    </row>
    <row r="2621" spans="1:18" x14ac:dyDescent="0.25">
      <c r="A2621" s="2" t="s">
        <v>4087</v>
      </c>
      <c r="B2621" s="6">
        <v>46174</v>
      </c>
      <c r="C2621" s="8">
        <v>46195</v>
      </c>
      <c r="D2621" s="2" t="s">
        <v>199</v>
      </c>
      <c r="E2621" s="2" t="s">
        <v>260</v>
      </c>
      <c r="F2621" s="2" t="s">
        <v>16703</v>
      </c>
      <c r="G2621" s="2" t="s">
        <v>4089</v>
      </c>
      <c r="H2621" s="2" t="s">
        <v>76</v>
      </c>
      <c r="I2621" s="9">
        <v>90858752</v>
      </c>
      <c r="J2621" s="7">
        <v>6.2500000000000001E-5</v>
      </c>
      <c r="K2621" s="9">
        <v>5678.67</v>
      </c>
      <c r="L2621" s="14">
        <v>0</v>
      </c>
      <c r="M2621" s="2" t="s">
        <v>71</v>
      </c>
      <c r="N2621" s="2" t="s">
        <v>16704</v>
      </c>
      <c r="O2621" s="2" t="s">
        <v>4088</v>
      </c>
      <c r="P2621" s="9">
        <v>3.12</v>
      </c>
      <c r="Q2621" s="9">
        <v>5678.67</v>
      </c>
      <c r="R2621" s="2" t="s">
        <v>16708</v>
      </c>
    </row>
    <row r="2622" spans="1:18" x14ac:dyDescent="0.25">
      <c r="A2622" s="2" t="s">
        <v>4090</v>
      </c>
      <c r="B2622" s="6">
        <v>46204</v>
      </c>
      <c r="C2622" s="8">
        <v>46220</v>
      </c>
      <c r="D2622" s="2" t="s">
        <v>199</v>
      </c>
      <c r="E2622" s="2" t="s">
        <v>260</v>
      </c>
      <c r="F2622" s="2" t="s">
        <v>16703</v>
      </c>
      <c r="G2622" s="2" t="s">
        <v>4091</v>
      </c>
      <c r="H2622" s="2" t="s">
        <v>76</v>
      </c>
      <c r="I2622" s="9">
        <v>136288128</v>
      </c>
      <c r="J2622" s="7">
        <v>6.2000000000000003E-5</v>
      </c>
      <c r="K2622" s="9">
        <v>8449.86</v>
      </c>
      <c r="L2622" s="14">
        <v>0</v>
      </c>
      <c r="M2622" s="2" t="s">
        <v>71</v>
      </c>
      <c r="N2622" s="2" t="s">
        <v>16706</v>
      </c>
      <c r="O2622" s="2" t="s">
        <v>4088</v>
      </c>
      <c r="P2622" s="9">
        <v>4.6500000000000004</v>
      </c>
      <c r="Q2622" s="9">
        <v>8518.01</v>
      </c>
      <c r="R2622" s="2" t="s">
        <v>16709</v>
      </c>
    </row>
    <row r="2623" spans="1:18" x14ac:dyDescent="0.25">
      <c r="A2623" s="2" t="s">
        <v>4092</v>
      </c>
      <c r="B2623" s="6">
        <v>46204</v>
      </c>
      <c r="C2623" s="8">
        <v>46206</v>
      </c>
      <c r="D2623" s="2" t="s">
        <v>199</v>
      </c>
      <c r="E2623" s="2" t="s">
        <v>260</v>
      </c>
      <c r="F2623" s="2" t="s">
        <v>16703</v>
      </c>
      <c r="G2623" s="2" t="s">
        <v>4094</v>
      </c>
      <c r="H2623" s="2" t="s">
        <v>70</v>
      </c>
      <c r="I2623" s="9">
        <v>21608.556390999998</v>
      </c>
      <c r="J2623" s="7">
        <v>0.65800000000000003</v>
      </c>
      <c r="K2623" s="9">
        <v>14218.43</v>
      </c>
      <c r="L2623" s="14">
        <v>0</v>
      </c>
      <c r="M2623" s="2" t="s">
        <v>71</v>
      </c>
      <c r="N2623" s="2" t="s">
        <v>16706</v>
      </c>
      <c r="O2623" s="2" t="s">
        <v>4093</v>
      </c>
      <c r="P2623" s="9">
        <v>7.82</v>
      </c>
      <c r="Q2623" s="9">
        <v>14369.69</v>
      </c>
      <c r="R2623" s="2" t="s">
        <v>16709</v>
      </c>
    </row>
    <row r="2624" spans="1:18" x14ac:dyDescent="0.25">
      <c r="A2624" s="2" t="s">
        <v>4095</v>
      </c>
      <c r="B2624" s="6">
        <v>46204</v>
      </c>
      <c r="C2624" s="8">
        <v>46207</v>
      </c>
      <c r="D2624" s="2" t="s">
        <v>199</v>
      </c>
      <c r="E2624" s="2" t="s">
        <v>260</v>
      </c>
      <c r="F2624" s="2" t="s">
        <v>16703</v>
      </c>
      <c r="G2624" s="2" t="s">
        <v>4097</v>
      </c>
      <c r="H2624" s="2" t="s">
        <v>39</v>
      </c>
      <c r="I2624" s="9">
        <v>14542.7</v>
      </c>
      <c r="J2624" s="7">
        <v>1</v>
      </c>
      <c r="K2624" s="9">
        <v>14542.7</v>
      </c>
      <c r="L2624" s="14">
        <v>0</v>
      </c>
      <c r="M2624" s="2" t="s">
        <v>71</v>
      </c>
      <c r="N2624" s="2" t="s">
        <v>16706</v>
      </c>
      <c r="O2624" s="2" t="s">
        <v>4096</v>
      </c>
      <c r="P2624" s="9">
        <v>8</v>
      </c>
      <c r="Q2624" s="9">
        <v>14542.7</v>
      </c>
      <c r="R2624" s="2" t="s">
        <v>16709</v>
      </c>
    </row>
    <row r="2625" spans="1:18" x14ac:dyDescent="0.25">
      <c r="A2625" s="2" t="s">
        <v>4098</v>
      </c>
      <c r="B2625" s="6">
        <v>46204</v>
      </c>
      <c r="C2625" s="8">
        <v>46208</v>
      </c>
      <c r="D2625" s="2" t="s">
        <v>199</v>
      </c>
      <c r="E2625" s="2" t="s">
        <v>260</v>
      </c>
      <c r="F2625" s="2" t="s">
        <v>16703</v>
      </c>
      <c r="G2625" s="2" t="s">
        <v>4100</v>
      </c>
      <c r="H2625" s="2" t="s">
        <v>76</v>
      </c>
      <c r="I2625" s="9">
        <v>235451360</v>
      </c>
      <c r="J2625" s="7">
        <v>6.2000000000000003E-5</v>
      </c>
      <c r="K2625" s="9">
        <v>14597.98</v>
      </c>
      <c r="L2625" s="14">
        <v>0</v>
      </c>
      <c r="M2625" s="2" t="s">
        <v>71</v>
      </c>
      <c r="N2625" s="2" t="s">
        <v>16706</v>
      </c>
      <c r="O2625" s="2" t="s">
        <v>4099</v>
      </c>
      <c r="P2625" s="9">
        <v>8.0299999999999994</v>
      </c>
      <c r="Q2625" s="9">
        <v>14715.71</v>
      </c>
      <c r="R2625" s="2" t="s">
        <v>16709</v>
      </c>
    </row>
    <row r="2626" spans="1:18" x14ac:dyDescent="0.25">
      <c r="A2626" s="2" t="s">
        <v>4101</v>
      </c>
      <c r="B2626" s="6">
        <v>46204</v>
      </c>
      <c r="C2626" s="8">
        <v>46209</v>
      </c>
      <c r="D2626" s="2" t="s">
        <v>199</v>
      </c>
      <c r="E2626" s="2" t="s">
        <v>260</v>
      </c>
      <c r="F2626" s="2" t="s">
        <v>16703</v>
      </c>
      <c r="G2626" s="2" t="s">
        <v>4103</v>
      </c>
      <c r="H2626" s="2" t="s">
        <v>70</v>
      </c>
      <c r="I2626" s="9">
        <v>1336.421053</v>
      </c>
      <c r="J2626" s="7">
        <v>0.65800000000000003</v>
      </c>
      <c r="K2626" s="9">
        <v>879.37</v>
      </c>
      <c r="L2626" s="14">
        <v>0</v>
      </c>
      <c r="M2626" s="2" t="s">
        <v>71</v>
      </c>
      <c r="N2626" s="2" t="s">
        <v>16706</v>
      </c>
      <c r="O2626" s="2" t="s">
        <v>4102</v>
      </c>
      <c r="P2626" s="9">
        <v>1.8</v>
      </c>
      <c r="Q2626" s="9">
        <v>888.72</v>
      </c>
      <c r="R2626" s="2" t="s">
        <v>16709</v>
      </c>
    </row>
    <row r="2627" spans="1:18" x14ac:dyDescent="0.25">
      <c r="A2627" s="2" t="s">
        <v>4104</v>
      </c>
      <c r="B2627" s="6">
        <v>46204</v>
      </c>
      <c r="C2627" s="8">
        <v>46210</v>
      </c>
      <c r="D2627" s="2" t="s">
        <v>199</v>
      </c>
      <c r="E2627" s="2" t="s">
        <v>260</v>
      </c>
      <c r="F2627" s="2" t="s">
        <v>16703</v>
      </c>
      <c r="G2627" s="2" t="s">
        <v>4106</v>
      </c>
      <c r="H2627" s="2" t="s">
        <v>39</v>
      </c>
      <c r="I2627" s="9">
        <v>1061.73</v>
      </c>
      <c r="J2627" s="7">
        <v>1</v>
      </c>
      <c r="K2627" s="9">
        <v>1061.73</v>
      </c>
      <c r="L2627" s="14">
        <v>0</v>
      </c>
      <c r="M2627" s="2" t="s">
        <v>71</v>
      </c>
      <c r="N2627" s="2" t="s">
        <v>16706</v>
      </c>
      <c r="O2627" s="2" t="s">
        <v>4105</v>
      </c>
      <c r="P2627" s="9">
        <v>1.8</v>
      </c>
      <c r="Q2627" s="9">
        <v>1061.73</v>
      </c>
      <c r="R2627" s="2" t="s">
        <v>16709</v>
      </c>
    </row>
    <row r="2628" spans="1:18" x14ac:dyDescent="0.25">
      <c r="A2628" s="2" t="s">
        <v>4107</v>
      </c>
      <c r="B2628" s="6">
        <v>46174</v>
      </c>
      <c r="C2628" s="8">
        <v>46201</v>
      </c>
      <c r="D2628" s="2" t="s">
        <v>199</v>
      </c>
      <c r="E2628" s="2" t="s">
        <v>260</v>
      </c>
      <c r="F2628" s="2" t="s">
        <v>16703</v>
      </c>
      <c r="G2628" s="2" t="s">
        <v>4109</v>
      </c>
      <c r="H2628" s="2" t="s">
        <v>76</v>
      </c>
      <c r="I2628" s="9">
        <v>7902336</v>
      </c>
      <c r="J2628" s="7">
        <v>6.2500000000000001E-5</v>
      </c>
      <c r="K2628" s="9">
        <v>493.9</v>
      </c>
      <c r="L2628" s="14">
        <v>0</v>
      </c>
      <c r="M2628" s="2" t="s">
        <v>71</v>
      </c>
      <c r="N2628" s="2" t="s">
        <v>16704</v>
      </c>
      <c r="O2628" s="2" t="s">
        <v>4108</v>
      </c>
      <c r="P2628" s="9">
        <v>1.8</v>
      </c>
      <c r="Q2628" s="9">
        <v>493.9</v>
      </c>
      <c r="R2628" s="2" t="s">
        <v>16708</v>
      </c>
    </row>
    <row r="2629" spans="1:18" x14ac:dyDescent="0.25">
      <c r="A2629" s="2" t="s">
        <v>4110</v>
      </c>
      <c r="B2629" s="6">
        <v>46204</v>
      </c>
      <c r="C2629" s="8">
        <v>46226</v>
      </c>
      <c r="D2629" s="2" t="s">
        <v>199</v>
      </c>
      <c r="E2629" s="2" t="s">
        <v>260</v>
      </c>
      <c r="F2629" s="2" t="s">
        <v>16703</v>
      </c>
      <c r="G2629" s="2" t="s">
        <v>4111</v>
      </c>
      <c r="H2629" s="2" t="s">
        <v>76</v>
      </c>
      <c r="I2629" s="9">
        <v>11853504</v>
      </c>
      <c r="J2629" s="7">
        <v>6.2000000000000003E-5</v>
      </c>
      <c r="K2629" s="9">
        <v>734.92</v>
      </c>
      <c r="L2629" s="14">
        <v>0</v>
      </c>
      <c r="M2629" s="2" t="s">
        <v>71</v>
      </c>
      <c r="N2629" s="2" t="s">
        <v>16706</v>
      </c>
      <c r="O2629" s="2" t="s">
        <v>4108</v>
      </c>
      <c r="P2629" s="9">
        <v>1.8</v>
      </c>
      <c r="Q2629" s="9">
        <v>740.84</v>
      </c>
      <c r="R2629" s="2" t="s">
        <v>16709</v>
      </c>
    </row>
    <row r="2630" spans="1:18" x14ac:dyDescent="0.25">
      <c r="A2630" s="2" t="s">
        <v>4112</v>
      </c>
      <c r="B2630" s="6">
        <v>46174</v>
      </c>
      <c r="C2630" s="8">
        <v>46202</v>
      </c>
      <c r="D2630" s="2" t="s">
        <v>199</v>
      </c>
      <c r="E2630" s="2" t="s">
        <v>260</v>
      </c>
      <c r="F2630" s="2" t="s">
        <v>16703</v>
      </c>
      <c r="G2630" s="2" t="s">
        <v>4114</v>
      </c>
      <c r="H2630" s="2" t="s">
        <v>70</v>
      </c>
      <c r="I2630" s="9">
        <v>846.76691700000003</v>
      </c>
      <c r="J2630" s="7">
        <v>0.66500000000000004</v>
      </c>
      <c r="K2630" s="9">
        <v>563.1</v>
      </c>
      <c r="L2630" s="14">
        <v>0</v>
      </c>
      <c r="M2630" s="2" t="s">
        <v>71</v>
      </c>
      <c r="N2630" s="2" t="s">
        <v>16704</v>
      </c>
      <c r="O2630" s="2" t="s">
        <v>4113</v>
      </c>
      <c r="P2630" s="9">
        <v>1.8</v>
      </c>
      <c r="Q2630" s="9">
        <v>563.1</v>
      </c>
      <c r="R2630" s="2" t="s">
        <v>16708</v>
      </c>
    </row>
    <row r="2631" spans="1:18" x14ac:dyDescent="0.25">
      <c r="A2631" s="2" t="s">
        <v>4115</v>
      </c>
      <c r="B2631" s="6">
        <v>46204</v>
      </c>
      <c r="C2631" s="8">
        <v>46227</v>
      </c>
      <c r="D2631" s="2" t="s">
        <v>199</v>
      </c>
      <c r="E2631" s="2" t="s">
        <v>260</v>
      </c>
      <c r="F2631" s="2" t="s">
        <v>16703</v>
      </c>
      <c r="G2631" s="2" t="s">
        <v>4116</v>
      </c>
      <c r="H2631" s="2" t="s">
        <v>70</v>
      </c>
      <c r="I2631" s="9">
        <v>1270.1503760000001</v>
      </c>
      <c r="J2631" s="7">
        <v>0.65800000000000003</v>
      </c>
      <c r="K2631" s="9">
        <v>835.76</v>
      </c>
      <c r="L2631" s="14">
        <v>0</v>
      </c>
      <c r="M2631" s="2" t="s">
        <v>71</v>
      </c>
      <c r="N2631" s="2" t="s">
        <v>16706</v>
      </c>
      <c r="O2631" s="2" t="s">
        <v>4113</v>
      </c>
      <c r="P2631" s="9">
        <v>1.8</v>
      </c>
      <c r="Q2631" s="9">
        <v>844.65</v>
      </c>
      <c r="R2631" s="2" t="s">
        <v>16709</v>
      </c>
    </row>
    <row r="2632" spans="1:18" x14ac:dyDescent="0.25">
      <c r="A2632" s="2" t="s">
        <v>4117</v>
      </c>
      <c r="B2632" s="6">
        <v>46204</v>
      </c>
      <c r="C2632" s="8">
        <v>46213</v>
      </c>
      <c r="D2632" s="2" t="s">
        <v>199</v>
      </c>
      <c r="E2632" s="2" t="s">
        <v>260</v>
      </c>
      <c r="F2632" s="2" t="s">
        <v>16703</v>
      </c>
      <c r="G2632" s="2" t="s">
        <v>4119</v>
      </c>
      <c r="H2632" s="2" t="s">
        <v>39</v>
      </c>
      <c r="I2632" s="9">
        <v>1580.76</v>
      </c>
      <c r="J2632" s="7">
        <v>1</v>
      </c>
      <c r="K2632" s="9">
        <v>1580.76</v>
      </c>
      <c r="L2632" s="14">
        <v>0</v>
      </c>
      <c r="M2632" s="2" t="s">
        <v>71</v>
      </c>
      <c r="N2632" s="2" t="s">
        <v>16706</v>
      </c>
      <c r="O2632" s="2" t="s">
        <v>4118</v>
      </c>
      <c r="P2632" s="9">
        <v>1.8</v>
      </c>
      <c r="Q2632" s="9">
        <v>1580.76</v>
      </c>
      <c r="R2632" s="2" t="s">
        <v>16709</v>
      </c>
    </row>
    <row r="2633" spans="1:18" x14ac:dyDescent="0.25">
      <c r="A2633" s="2" t="s">
        <v>4120</v>
      </c>
      <c r="B2633" s="6">
        <v>46204</v>
      </c>
      <c r="C2633" s="8">
        <v>46214</v>
      </c>
      <c r="D2633" s="2" t="s">
        <v>199</v>
      </c>
      <c r="E2633" s="2" t="s">
        <v>260</v>
      </c>
      <c r="F2633" s="2" t="s">
        <v>16703</v>
      </c>
      <c r="G2633" s="2" t="s">
        <v>4122</v>
      </c>
      <c r="H2633" s="2" t="s">
        <v>76</v>
      </c>
      <c r="I2633" s="9">
        <v>28060320</v>
      </c>
      <c r="J2633" s="7">
        <v>6.2000000000000003E-5</v>
      </c>
      <c r="K2633" s="9">
        <v>1739.74</v>
      </c>
      <c r="L2633" s="14">
        <v>0</v>
      </c>
      <c r="M2633" s="2" t="s">
        <v>71</v>
      </c>
      <c r="N2633" s="2" t="s">
        <v>16706</v>
      </c>
      <c r="O2633" s="2" t="s">
        <v>4121</v>
      </c>
      <c r="P2633" s="9">
        <v>1.8</v>
      </c>
      <c r="Q2633" s="9">
        <v>1753.77</v>
      </c>
      <c r="R2633" s="2" t="s">
        <v>16709</v>
      </c>
    </row>
    <row r="2634" spans="1:18" x14ac:dyDescent="0.25">
      <c r="A2634" s="2" t="s">
        <v>4123</v>
      </c>
      <c r="B2634" s="6">
        <v>46204</v>
      </c>
      <c r="C2634" s="8">
        <v>46205</v>
      </c>
      <c r="D2634" s="2" t="s">
        <v>199</v>
      </c>
      <c r="E2634" s="2" t="s">
        <v>260</v>
      </c>
      <c r="F2634" s="2" t="s">
        <v>16703</v>
      </c>
      <c r="G2634" s="2" t="s">
        <v>4125</v>
      </c>
      <c r="H2634" s="2" t="s">
        <v>70</v>
      </c>
      <c r="I2634" s="9">
        <v>1158.965414</v>
      </c>
      <c r="J2634" s="7">
        <v>0.65800000000000003</v>
      </c>
      <c r="K2634" s="9">
        <v>762.6</v>
      </c>
      <c r="L2634" s="14">
        <v>0</v>
      </c>
      <c r="M2634" s="2" t="s">
        <v>71</v>
      </c>
      <c r="N2634" s="2" t="s">
        <v>16706</v>
      </c>
      <c r="O2634" s="2" t="s">
        <v>4124</v>
      </c>
      <c r="P2634" s="9">
        <v>1.8</v>
      </c>
      <c r="Q2634" s="9">
        <v>770.71</v>
      </c>
      <c r="R2634" s="2" t="s">
        <v>16709</v>
      </c>
    </row>
    <row r="2635" spans="1:18" x14ac:dyDescent="0.25">
      <c r="A2635" s="2" t="s">
        <v>4126</v>
      </c>
      <c r="B2635" s="6">
        <v>46204</v>
      </c>
      <c r="C2635" s="8">
        <v>46230</v>
      </c>
      <c r="D2635" s="2" t="s">
        <v>199</v>
      </c>
      <c r="E2635" s="2" t="s">
        <v>260</v>
      </c>
      <c r="F2635" s="2" t="s">
        <v>16703</v>
      </c>
      <c r="G2635" s="2" t="s">
        <v>4127</v>
      </c>
      <c r="H2635" s="2" t="s">
        <v>70</v>
      </c>
      <c r="I2635" s="9">
        <v>1738.44812</v>
      </c>
      <c r="J2635" s="7">
        <v>0.65800000000000003</v>
      </c>
      <c r="K2635" s="9">
        <v>1143.9000000000001</v>
      </c>
      <c r="L2635" s="14">
        <v>0</v>
      </c>
      <c r="M2635" s="2" t="s">
        <v>71</v>
      </c>
      <c r="N2635" s="2" t="s">
        <v>16706</v>
      </c>
      <c r="O2635" s="2" t="s">
        <v>4124</v>
      </c>
      <c r="P2635" s="9">
        <v>1.8</v>
      </c>
      <c r="Q2635" s="9">
        <v>1156.07</v>
      </c>
      <c r="R2635" s="2" t="s">
        <v>16709</v>
      </c>
    </row>
    <row r="2636" spans="1:18" x14ac:dyDescent="0.25">
      <c r="A2636" s="2" t="s">
        <v>4128</v>
      </c>
      <c r="B2636" s="6">
        <v>46204</v>
      </c>
      <c r="C2636" s="8">
        <v>46216</v>
      </c>
      <c r="D2636" s="2" t="s">
        <v>199</v>
      </c>
      <c r="E2636" s="2" t="s">
        <v>260</v>
      </c>
      <c r="F2636" s="2" t="s">
        <v>16703</v>
      </c>
      <c r="G2636" s="2" t="s">
        <v>4130</v>
      </c>
      <c r="H2636" s="2" t="s">
        <v>39</v>
      </c>
      <c r="I2636" s="9">
        <v>2099.79</v>
      </c>
      <c r="J2636" s="7">
        <v>1</v>
      </c>
      <c r="K2636" s="9">
        <v>2099.79</v>
      </c>
      <c r="L2636" s="14">
        <v>0</v>
      </c>
      <c r="M2636" s="2" t="s">
        <v>71</v>
      </c>
      <c r="N2636" s="2" t="s">
        <v>16706</v>
      </c>
      <c r="O2636" s="2" t="s">
        <v>4129</v>
      </c>
      <c r="P2636" s="9">
        <v>1.8</v>
      </c>
      <c r="Q2636" s="9">
        <v>2099.79</v>
      </c>
      <c r="R2636" s="2" t="s">
        <v>16709</v>
      </c>
    </row>
    <row r="2637" spans="1:18" x14ac:dyDescent="0.25">
      <c r="A2637" s="2" t="s">
        <v>4131</v>
      </c>
      <c r="B2637" s="6">
        <v>46204</v>
      </c>
      <c r="C2637" s="8">
        <v>46217</v>
      </c>
      <c r="D2637" s="2" t="s">
        <v>199</v>
      </c>
      <c r="E2637" s="2" t="s">
        <v>260</v>
      </c>
      <c r="F2637" s="2" t="s">
        <v>16703</v>
      </c>
      <c r="G2637" s="2" t="s">
        <v>4133</v>
      </c>
      <c r="H2637" s="2" t="s">
        <v>76</v>
      </c>
      <c r="I2637" s="9">
        <v>36364800</v>
      </c>
      <c r="J2637" s="7">
        <v>6.2000000000000003E-5</v>
      </c>
      <c r="K2637" s="9">
        <v>2254.62</v>
      </c>
      <c r="L2637" s="14">
        <v>0</v>
      </c>
      <c r="M2637" s="2" t="s">
        <v>71</v>
      </c>
      <c r="N2637" s="2" t="s">
        <v>16706</v>
      </c>
      <c r="O2637" s="2" t="s">
        <v>4132</v>
      </c>
      <c r="P2637" s="9">
        <v>1.8</v>
      </c>
      <c r="Q2637" s="9">
        <v>2272.8000000000002</v>
      </c>
      <c r="R2637" s="2" t="s">
        <v>16709</v>
      </c>
    </row>
    <row r="2638" spans="1:18" x14ac:dyDescent="0.25">
      <c r="A2638" s="2" t="s">
        <v>4134</v>
      </c>
      <c r="B2638" s="6">
        <v>46204</v>
      </c>
      <c r="C2638" s="8">
        <v>46218</v>
      </c>
      <c r="D2638" s="2" t="s">
        <v>199</v>
      </c>
      <c r="E2638" s="2" t="s">
        <v>260</v>
      </c>
      <c r="F2638" s="2" t="s">
        <v>16703</v>
      </c>
      <c r="G2638" s="2" t="s">
        <v>4136</v>
      </c>
      <c r="H2638" s="2" t="s">
        <v>70</v>
      </c>
      <c r="I2638" s="9">
        <v>3677.9097740000002</v>
      </c>
      <c r="J2638" s="7">
        <v>0.65800000000000003</v>
      </c>
      <c r="K2638" s="9">
        <v>2420.06</v>
      </c>
      <c r="L2638" s="14">
        <v>0</v>
      </c>
      <c r="M2638" s="2" t="s">
        <v>71</v>
      </c>
      <c r="N2638" s="2" t="s">
        <v>16706</v>
      </c>
      <c r="O2638" s="2" t="s">
        <v>4135</v>
      </c>
      <c r="P2638" s="9">
        <v>1.8</v>
      </c>
      <c r="Q2638" s="9">
        <v>2445.81</v>
      </c>
      <c r="R2638" s="2" t="s">
        <v>16709</v>
      </c>
    </row>
    <row r="2639" spans="1:18" x14ac:dyDescent="0.25">
      <c r="A2639" s="2" t="s">
        <v>4137</v>
      </c>
      <c r="B2639" s="6">
        <v>46204</v>
      </c>
      <c r="C2639" s="8">
        <v>46219</v>
      </c>
      <c r="D2639" s="2" t="s">
        <v>199</v>
      </c>
      <c r="E2639" s="2" t="s">
        <v>260</v>
      </c>
      <c r="F2639" s="2" t="s">
        <v>16703</v>
      </c>
      <c r="G2639" s="2" t="s">
        <v>4139</v>
      </c>
      <c r="H2639" s="2" t="s">
        <v>39</v>
      </c>
      <c r="I2639" s="9">
        <v>-2618.8200000000002</v>
      </c>
      <c r="J2639" s="7">
        <v>1</v>
      </c>
      <c r="K2639" s="9">
        <v>-2618.8200000000002</v>
      </c>
      <c r="L2639" s="14">
        <v>0</v>
      </c>
      <c r="M2639" s="2" t="s">
        <v>71</v>
      </c>
      <c r="N2639" s="2" t="s">
        <v>16706</v>
      </c>
      <c r="O2639" s="2" t="s">
        <v>4138</v>
      </c>
      <c r="P2639" s="9">
        <v>0</v>
      </c>
      <c r="Q2639" s="9">
        <v>-2618.8200000000002</v>
      </c>
      <c r="R2639" s="2" t="s">
        <v>16709</v>
      </c>
    </row>
    <row r="2640" spans="1:18" x14ac:dyDescent="0.25">
      <c r="A2640" s="2" t="s">
        <v>4140</v>
      </c>
      <c r="B2640" s="6">
        <v>46204</v>
      </c>
      <c r="C2640" s="8">
        <v>46220</v>
      </c>
      <c r="D2640" s="2" t="s">
        <v>199</v>
      </c>
      <c r="E2640" s="2" t="s">
        <v>260</v>
      </c>
      <c r="F2640" s="2" t="s">
        <v>16703</v>
      </c>
      <c r="G2640" s="2" t="s">
        <v>4142</v>
      </c>
      <c r="H2640" s="2" t="s">
        <v>76</v>
      </c>
      <c r="I2640" s="9">
        <v>44669280</v>
      </c>
      <c r="J2640" s="7">
        <v>6.2000000000000003E-5</v>
      </c>
      <c r="K2640" s="9">
        <v>2769.5</v>
      </c>
      <c r="L2640" s="14">
        <v>0</v>
      </c>
      <c r="M2640" s="2" t="s">
        <v>71</v>
      </c>
      <c r="N2640" s="2" t="s">
        <v>16706</v>
      </c>
      <c r="O2640" s="2" t="s">
        <v>4141</v>
      </c>
      <c r="P2640" s="9">
        <v>1.8</v>
      </c>
      <c r="Q2640" s="9">
        <v>2791.83</v>
      </c>
      <c r="R2640" s="2" t="s">
        <v>16709</v>
      </c>
    </row>
    <row r="2641" spans="1:18" x14ac:dyDescent="0.25">
      <c r="A2641" s="2" t="s">
        <v>4143</v>
      </c>
      <c r="B2641" s="6">
        <v>46204</v>
      </c>
      <c r="C2641" s="8">
        <v>46211</v>
      </c>
      <c r="D2641" s="2" t="s">
        <v>199</v>
      </c>
      <c r="E2641" s="2" t="s">
        <v>260</v>
      </c>
      <c r="F2641" s="2" t="s">
        <v>16703</v>
      </c>
      <c r="G2641" s="2" t="s">
        <v>4145</v>
      </c>
      <c r="H2641" s="2" t="s">
        <v>70</v>
      </c>
      <c r="I2641" s="9">
        <v>1783.362406</v>
      </c>
      <c r="J2641" s="7">
        <v>0.65800000000000003</v>
      </c>
      <c r="K2641" s="9">
        <v>1173.45</v>
      </c>
      <c r="L2641" s="14">
        <v>0</v>
      </c>
      <c r="M2641" s="2" t="s">
        <v>71</v>
      </c>
      <c r="N2641" s="2" t="s">
        <v>16706</v>
      </c>
      <c r="O2641" s="2" t="s">
        <v>4144</v>
      </c>
      <c r="P2641" s="9">
        <v>1.8</v>
      </c>
      <c r="Q2641" s="9">
        <v>1185.94</v>
      </c>
      <c r="R2641" s="2" t="s">
        <v>16709</v>
      </c>
    </row>
    <row r="2642" spans="1:18" x14ac:dyDescent="0.25">
      <c r="A2642" s="2" t="s">
        <v>4148</v>
      </c>
      <c r="B2642" s="6">
        <v>46204</v>
      </c>
      <c r="C2642" s="8">
        <v>46212</v>
      </c>
      <c r="D2642" s="2" t="s">
        <v>199</v>
      </c>
      <c r="E2642" s="2" t="s">
        <v>260</v>
      </c>
      <c r="F2642" s="2" t="s">
        <v>16703</v>
      </c>
      <c r="G2642" s="2" t="s">
        <v>4150</v>
      </c>
      <c r="H2642" s="2" t="s">
        <v>39</v>
      </c>
      <c r="I2642" s="9">
        <v>1255.1400000000001</v>
      </c>
      <c r="J2642" s="7">
        <v>1</v>
      </c>
      <c r="K2642" s="9">
        <v>1255.1400000000001</v>
      </c>
      <c r="L2642" s="14">
        <v>0</v>
      </c>
      <c r="M2642" s="2" t="s">
        <v>71</v>
      </c>
      <c r="N2642" s="2" t="s">
        <v>16706</v>
      </c>
      <c r="O2642" s="2" t="s">
        <v>4149</v>
      </c>
      <c r="P2642" s="9">
        <v>1.8</v>
      </c>
      <c r="Q2642" s="9">
        <v>1255.1400000000001</v>
      </c>
      <c r="R2642" s="2" t="s">
        <v>16709</v>
      </c>
    </row>
    <row r="2643" spans="1:18" x14ac:dyDescent="0.25">
      <c r="A2643" s="2" t="s">
        <v>4153</v>
      </c>
      <c r="B2643" s="6">
        <v>46204</v>
      </c>
      <c r="C2643" s="8">
        <v>46223</v>
      </c>
      <c r="D2643" s="2" t="s">
        <v>199</v>
      </c>
      <c r="E2643" s="2" t="s">
        <v>260</v>
      </c>
      <c r="F2643" s="2" t="s">
        <v>16703</v>
      </c>
      <c r="G2643" s="2" t="s">
        <v>4155</v>
      </c>
      <c r="H2643" s="2" t="s">
        <v>76</v>
      </c>
      <c r="I2643" s="9">
        <v>52973760</v>
      </c>
      <c r="J2643" s="7">
        <v>6.2000000000000003E-5</v>
      </c>
      <c r="K2643" s="9">
        <v>3284.37</v>
      </c>
      <c r="L2643" s="14">
        <v>0</v>
      </c>
      <c r="M2643" s="2" t="s">
        <v>71</v>
      </c>
      <c r="N2643" s="2" t="s">
        <v>16706</v>
      </c>
      <c r="O2643" s="2" t="s">
        <v>4154</v>
      </c>
      <c r="P2643" s="9">
        <v>1.81</v>
      </c>
      <c r="Q2643" s="9">
        <v>3310.86</v>
      </c>
      <c r="R2643" s="2" t="s">
        <v>16709</v>
      </c>
    </row>
    <row r="2644" spans="1:18" x14ac:dyDescent="0.25">
      <c r="A2644" s="2" t="s">
        <v>4156</v>
      </c>
      <c r="B2644" s="6">
        <v>46204</v>
      </c>
      <c r="C2644" s="8">
        <v>46224</v>
      </c>
      <c r="D2644" s="2" t="s">
        <v>199</v>
      </c>
      <c r="E2644" s="2" t="s">
        <v>260</v>
      </c>
      <c r="F2644" s="2" t="s">
        <v>16703</v>
      </c>
      <c r="G2644" s="2" t="s">
        <v>4158</v>
      </c>
      <c r="H2644" s="2" t="s">
        <v>70</v>
      </c>
      <c r="I2644" s="9">
        <v>5238.9022560000003</v>
      </c>
      <c r="J2644" s="7">
        <v>0.65800000000000003</v>
      </c>
      <c r="K2644" s="9">
        <v>3447.2</v>
      </c>
      <c r="L2644" s="14">
        <v>0</v>
      </c>
      <c r="M2644" s="2" t="s">
        <v>71</v>
      </c>
      <c r="N2644" s="2" t="s">
        <v>16706</v>
      </c>
      <c r="O2644" s="2" t="s">
        <v>4157</v>
      </c>
      <c r="P2644" s="9">
        <v>1.9</v>
      </c>
      <c r="Q2644" s="9">
        <v>3483.87</v>
      </c>
      <c r="R2644" s="2" t="s">
        <v>16709</v>
      </c>
    </row>
    <row r="2645" spans="1:18" x14ac:dyDescent="0.25">
      <c r="A2645" s="2" t="s">
        <v>4159</v>
      </c>
      <c r="B2645" s="6">
        <v>46204</v>
      </c>
      <c r="C2645" s="8">
        <v>46215</v>
      </c>
      <c r="D2645" s="2" t="s">
        <v>199</v>
      </c>
      <c r="E2645" s="2" t="s">
        <v>260</v>
      </c>
      <c r="F2645" s="2" t="s">
        <v>16703</v>
      </c>
      <c r="G2645" s="2" t="s">
        <v>4161</v>
      </c>
      <c r="H2645" s="2" t="s">
        <v>39</v>
      </c>
      <c r="I2645" s="9">
        <v>1462.752</v>
      </c>
      <c r="J2645" s="7">
        <v>1</v>
      </c>
      <c r="K2645" s="9">
        <v>1462.75</v>
      </c>
      <c r="L2645" s="14">
        <v>0</v>
      </c>
      <c r="M2645" s="2" t="s">
        <v>71</v>
      </c>
      <c r="N2645" s="2" t="s">
        <v>16706</v>
      </c>
      <c r="O2645" s="2" t="s">
        <v>4160</v>
      </c>
      <c r="P2645" s="9">
        <v>1.8</v>
      </c>
      <c r="Q2645" s="9">
        <v>1462.75</v>
      </c>
      <c r="R2645" s="2" t="s">
        <v>16709</v>
      </c>
    </row>
    <row r="2646" spans="1:18" x14ac:dyDescent="0.25">
      <c r="A2646" s="2" t="s">
        <v>4164</v>
      </c>
      <c r="B2646" s="6">
        <v>46204</v>
      </c>
      <c r="C2646" s="8">
        <v>46226</v>
      </c>
      <c r="D2646" s="2" t="s">
        <v>199</v>
      </c>
      <c r="E2646" s="2" t="s">
        <v>260</v>
      </c>
      <c r="F2646" s="2" t="s">
        <v>16703</v>
      </c>
      <c r="G2646" s="2" t="s">
        <v>4166</v>
      </c>
      <c r="H2646" s="2" t="s">
        <v>76</v>
      </c>
      <c r="I2646" s="9">
        <v>61278240</v>
      </c>
      <c r="J2646" s="7">
        <v>6.2000000000000003E-5</v>
      </c>
      <c r="K2646" s="9">
        <v>3799.25</v>
      </c>
      <c r="L2646" s="14">
        <v>0</v>
      </c>
      <c r="M2646" s="2" t="s">
        <v>71</v>
      </c>
      <c r="N2646" s="2" t="s">
        <v>16706</v>
      </c>
      <c r="O2646" s="2" t="s">
        <v>4165</v>
      </c>
      <c r="P2646" s="9">
        <v>2.09</v>
      </c>
      <c r="Q2646" s="9">
        <v>3829.89</v>
      </c>
      <c r="R2646" s="2" t="s">
        <v>16709</v>
      </c>
    </row>
    <row r="2647" spans="1:18" x14ac:dyDescent="0.25">
      <c r="A2647" s="2" t="s">
        <v>4167</v>
      </c>
      <c r="B2647" s="6">
        <v>46204</v>
      </c>
      <c r="C2647" s="8">
        <v>46227</v>
      </c>
      <c r="D2647" s="2" t="s">
        <v>199</v>
      </c>
      <c r="E2647" s="2" t="s">
        <v>260</v>
      </c>
      <c r="F2647" s="2" t="s">
        <v>16703</v>
      </c>
      <c r="G2647" s="2" t="s">
        <v>4169</v>
      </c>
      <c r="H2647" s="2" t="s">
        <v>70</v>
      </c>
      <c r="I2647" s="9">
        <v>6019.3984959999998</v>
      </c>
      <c r="J2647" s="7">
        <v>0.65800000000000003</v>
      </c>
      <c r="K2647" s="9">
        <v>3960.76</v>
      </c>
      <c r="L2647" s="14">
        <v>0</v>
      </c>
      <c r="M2647" s="2" t="s">
        <v>71</v>
      </c>
      <c r="N2647" s="2" t="s">
        <v>16706</v>
      </c>
      <c r="O2647" s="2" t="s">
        <v>4168</v>
      </c>
      <c r="P2647" s="9">
        <v>2.1800000000000002</v>
      </c>
      <c r="Q2647" s="9">
        <v>4002.9</v>
      </c>
      <c r="R2647" s="2" t="s">
        <v>16709</v>
      </c>
    </row>
    <row r="2648" spans="1:18" x14ac:dyDescent="0.25">
      <c r="A2648" s="2" t="s">
        <v>4170</v>
      </c>
      <c r="B2648" s="6">
        <v>46174</v>
      </c>
      <c r="C2648" s="8">
        <v>46198</v>
      </c>
      <c r="D2648" s="2" t="s">
        <v>199</v>
      </c>
      <c r="E2648" s="2" t="s">
        <v>260</v>
      </c>
      <c r="F2648" s="2" t="s">
        <v>16703</v>
      </c>
      <c r="G2648" s="2" t="s">
        <v>4172</v>
      </c>
      <c r="H2648" s="2" t="s">
        <v>39</v>
      </c>
      <c r="I2648" s="9">
        <v>4175.91</v>
      </c>
      <c r="J2648" s="7">
        <v>1</v>
      </c>
      <c r="K2648" s="9">
        <v>4175.91</v>
      </c>
      <c r="L2648" s="14">
        <v>0</v>
      </c>
      <c r="M2648" s="2" t="s">
        <v>71</v>
      </c>
      <c r="N2648" s="2" t="s">
        <v>16704</v>
      </c>
      <c r="O2648" s="2" t="s">
        <v>4171</v>
      </c>
      <c r="P2648" s="9">
        <v>2.2999999999999998</v>
      </c>
      <c r="Q2648" s="9">
        <v>4175.91</v>
      </c>
      <c r="R2648" s="2" t="s">
        <v>16708</v>
      </c>
    </row>
    <row r="2649" spans="1:18" x14ac:dyDescent="0.25">
      <c r="A2649" s="2" t="s">
        <v>4173</v>
      </c>
      <c r="B2649" s="6">
        <v>46174</v>
      </c>
      <c r="C2649" s="8">
        <v>46199</v>
      </c>
      <c r="D2649" s="2" t="s">
        <v>199</v>
      </c>
      <c r="E2649" s="2" t="s">
        <v>260</v>
      </c>
      <c r="F2649" s="2" t="s">
        <v>16703</v>
      </c>
      <c r="G2649" s="2" t="s">
        <v>4175</v>
      </c>
      <c r="H2649" s="2" t="s">
        <v>76</v>
      </c>
      <c r="I2649" s="9">
        <v>69582720</v>
      </c>
      <c r="J2649" s="7">
        <v>6.2500000000000001E-5</v>
      </c>
      <c r="K2649" s="9">
        <v>4348.92</v>
      </c>
      <c r="L2649" s="14">
        <v>0</v>
      </c>
      <c r="M2649" s="2" t="s">
        <v>71</v>
      </c>
      <c r="N2649" s="2" t="s">
        <v>16704</v>
      </c>
      <c r="O2649" s="2" t="s">
        <v>4174</v>
      </c>
      <c r="P2649" s="9">
        <v>2.39</v>
      </c>
      <c r="Q2649" s="9">
        <v>4348.92</v>
      </c>
      <c r="R2649" s="2" t="s">
        <v>16708</v>
      </c>
    </row>
    <row r="2650" spans="1:18" x14ac:dyDescent="0.25">
      <c r="A2650" s="2" t="s">
        <v>4176</v>
      </c>
      <c r="B2650" s="6">
        <v>46174</v>
      </c>
      <c r="C2650" s="8">
        <v>46200</v>
      </c>
      <c r="D2650" s="2" t="s">
        <v>199</v>
      </c>
      <c r="E2650" s="2" t="s">
        <v>260</v>
      </c>
      <c r="F2650" s="2" t="s">
        <v>16703</v>
      </c>
      <c r="G2650" s="2" t="s">
        <v>4178</v>
      </c>
      <c r="H2650" s="2" t="s">
        <v>70</v>
      </c>
      <c r="I2650" s="9">
        <v>6799.8947369999996</v>
      </c>
      <c r="J2650" s="7">
        <v>0.66500000000000004</v>
      </c>
      <c r="K2650" s="9">
        <v>4521.93</v>
      </c>
      <c r="L2650" s="14">
        <v>0</v>
      </c>
      <c r="M2650" s="2" t="s">
        <v>71</v>
      </c>
      <c r="N2650" s="2" t="s">
        <v>16704</v>
      </c>
      <c r="O2650" s="2" t="s">
        <v>4177</v>
      </c>
      <c r="P2650" s="9">
        <v>2.4900000000000002</v>
      </c>
      <c r="Q2650" s="9">
        <v>4521.93</v>
      </c>
      <c r="R2650" s="2" t="s">
        <v>16708</v>
      </c>
    </row>
    <row r="2651" spans="1:18" x14ac:dyDescent="0.25">
      <c r="A2651" s="2" t="s">
        <v>4179</v>
      </c>
      <c r="B2651" s="6">
        <v>46174</v>
      </c>
      <c r="C2651" s="8">
        <v>46191</v>
      </c>
      <c r="D2651" s="2" t="s">
        <v>199</v>
      </c>
      <c r="E2651" s="2" t="s">
        <v>260</v>
      </c>
      <c r="F2651" s="2" t="s">
        <v>16703</v>
      </c>
      <c r="G2651" s="2" t="s">
        <v>4181</v>
      </c>
      <c r="H2651" s="2" t="s">
        <v>39</v>
      </c>
      <c r="I2651" s="9">
        <v>1877.9760000000001</v>
      </c>
      <c r="J2651" s="7">
        <v>1</v>
      </c>
      <c r="K2651" s="9">
        <v>1877.98</v>
      </c>
      <c r="L2651" s="14">
        <v>0</v>
      </c>
      <c r="M2651" s="2" t="s">
        <v>71</v>
      </c>
      <c r="N2651" s="2" t="s">
        <v>16704</v>
      </c>
      <c r="O2651" s="2" t="s">
        <v>4180</v>
      </c>
      <c r="P2651" s="9">
        <v>1.8</v>
      </c>
      <c r="Q2651" s="9">
        <v>1877.98</v>
      </c>
      <c r="R2651" s="2" t="s">
        <v>16708</v>
      </c>
    </row>
    <row r="2652" spans="1:18" x14ac:dyDescent="0.25">
      <c r="A2652" s="2" t="s">
        <v>4182</v>
      </c>
      <c r="B2652" s="6">
        <v>46204</v>
      </c>
      <c r="C2652" s="8">
        <v>46216</v>
      </c>
      <c r="D2652" s="2" t="s">
        <v>199</v>
      </c>
      <c r="E2652" s="2" t="s">
        <v>260</v>
      </c>
      <c r="F2652" s="2" t="s">
        <v>16703</v>
      </c>
      <c r="G2652" s="2" t="s">
        <v>4183</v>
      </c>
      <c r="H2652" s="2" t="s">
        <v>39</v>
      </c>
      <c r="I2652" s="9">
        <v>2816.9639999999999</v>
      </c>
      <c r="J2652" s="7">
        <v>1</v>
      </c>
      <c r="K2652" s="9">
        <v>2816.96</v>
      </c>
      <c r="L2652" s="14">
        <v>0</v>
      </c>
      <c r="M2652" s="2" t="s">
        <v>71</v>
      </c>
      <c r="N2652" s="2" t="s">
        <v>16706</v>
      </c>
      <c r="O2652" s="2" t="s">
        <v>4180</v>
      </c>
      <c r="P2652" s="9">
        <v>1.8</v>
      </c>
      <c r="Q2652" s="9">
        <v>2816.96</v>
      </c>
      <c r="R2652" s="2" t="s">
        <v>16709</v>
      </c>
    </row>
    <row r="2653" spans="1:18" x14ac:dyDescent="0.25">
      <c r="A2653" s="2" t="s">
        <v>4184</v>
      </c>
      <c r="B2653" s="6">
        <v>46174</v>
      </c>
      <c r="C2653" s="8">
        <v>46192</v>
      </c>
      <c r="D2653" s="2" t="s">
        <v>199</v>
      </c>
      <c r="E2653" s="2" t="s">
        <v>260</v>
      </c>
      <c r="F2653" s="2" t="s">
        <v>16703</v>
      </c>
      <c r="G2653" s="2" t="s">
        <v>4186</v>
      </c>
      <c r="H2653" s="2" t="s">
        <v>76</v>
      </c>
      <c r="I2653" s="9">
        <v>31154880</v>
      </c>
      <c r="J2653" s="7">
        <v>6.2500000000000001E-5</v>
      </c>
      <c r="K2653" s="9">
        <v>1947.18</v>
      </c>
      <c r="L2653" s="14">
        <v>0</v>
      </c>
      <c r="M2653" s="2" t="s">
        <v>71</v>
      </c>
      <c r="N2653" s="2" t="s">
        <v>16704</v>
      </c>
      <c r="O2653" s="2" t="s">
        <v>4185</v>
      </c>
      <c r="P2653" s="9">
        <v>1.8</v>
      </c>
      <c r="Q2653" s="9">
        <v>1947.18</v>
      </c>
      <c r="R2653" s="2" t="s">
        <v>16708</v>
      </c>
    </row>
    <row r="2654" spans="1:18" x14ac:dyDescent="0.25">
      <c r="A2654" s="2" t="s">
        <v>4187</v>
      </c>
      <c r="B2654" s="6">
        <v>46204</v>
      </c>
      <c r="C2654" s="8">
        <v>46217</v>
      </c>
      <c r="D2654" s="2" t="s">
        <v>199</v>
      </c>
      <c r="E2654" s="2" t="s">
        <v>260</v>
      </c>
      <c r="F2654" s="2" t="s">
        <v>16703</v>
      </c>
      <c r="G2654" s="2" t="s">
        <v>4188</v>
      </c>
      <c r="H2654" s="2" t="s">
        <v>76</v>
      </c>
      <c r="I2654" s="9">
        <v>46732320</v>
      </c>
      <c r="J2654" s="7">
        <v>6.2000000000000003E-5</v>
      </c>
      <c r="K2654" s="9">
        <v>2897.4</v>
      </c>
      <c r="L2654" s="14">
        <v>0</v>
      </c>
      <c r="M2654" s="2" t="s">
        <v>71</v>
      </c>
      <c r="N2654" s="2" t="s">
        <v>16706</v>
      </c>
      <c r="O2654" s="2" t="s">
        <v>4185</v>
      </c>
      <c r="P2654" s="9">
        <v>1.8</v>
      </c>
      <c r="Q2654" s="9">
        <v>2920.77</v>
      </c>
      <c r="R2654" s="2" t="s">
        <v>16709</v>
      </c>
    </row>
    <row r="2655" spans="1:18" x14ac:dyDescent="0.25">
      <c r="A2655" s="2" t="s">
        <v>4189</v>
      </c>
      <c r="B2655" s="6">
        <v>46174</v>
      </c>
      <c r="C2655" s="8">
        <v>46203</v>
      </c>
      <c r="D2655" s="2" t="s">
        <v>199</v>
      </c>
      <c r="E2655" s="2" t="s">
        <v>260</v>
      </c>
      <c r="F2655" s="2" t="s">
        <v>16703</v>
      </c>
      <c r="G2655" s="2" t="s">
        <v>4191</v>
      </c>
      <c r="H2655" s="2" t="s">
        <v>70</v>
      </c>
      <c r="I2655" s="9">
        <v>7580.390977</v>
      </c>
      <c r="J2655" s="7">
        <v>0.66500000000000004</v>
      </c>
      <c r="K2655" s="9">
        <v>5040.96</v>
      </c>
      <c r="L2655" s="14">
        <v>0</v>
      </c>
      <c r="M2655" s="2" t="s">
        <v>71</v>
      </c>
      <c r="N2655" s="2" t="s">
        <v>16704</v>
      </c>
      <c r="O2655" s="2" t="s">
        <v>4190</v>
      </c>
      <c r="P2655" s="9">
        <v>2.77</v>
      </c>
      <c r="Q2655" s="9">
        <v>5040.96</v>
      </c>
      <c r="R2655" s="2" t="s">
        <v>16708</v>
      </c>
    </row>
    <row r="2656" spans="1:18" x14ac:dyDescent="0.25">
      <c r="A2656" s="2" t="s">
        <v>4192</v>
      </c>
      <c r="B2656" s="6">
        <v>46204</v>
      </c>
      <c r="C2656" s="8">
        <v>46204</v>
      </c>
      <c r="D2656" s="2" t="s">
        <v>199</v>
      </c>
      <c r="E2656" s="2" t="s">
        <v>260</v>
      </c>
      <c r="F2656" s="2" t="s">
        <v>16703</v>
      </c>
      <c r="G2656" s="2" t="s">
        <v>4194</v>
      </c>
      <c r="H2656" s="2" t="s">
        <v>39</v>
      </c>
      <c r="I2656" s="9">
        <v>5213</v>
      </c>
      <c r="J2656" s="7">
        <v>1</v>
      </c>
      <c r="K2656" s="9">
        <v>5213</v>
      </c>
      <c r="L2656" s="14">
        <v>0</v>
      </c>
      <c r="M2656" s="2" t="s">
        <v>71</v>
      </c>
      <c r="N2656" s="2" t="s">
        <v>16706</v>
      </c>
      <c r="O2656" s="2" t="s">
        <v>4193</v>
      </c>
      <c r="P2656" s="9">
        <v>2.87</v>
      </c>
      <c r="Q2656" s="9">
        <v>5213</v>
      </c>
      <c r="R2656" s="2" t="s">
        <v>16709</v>
      </c>
    </row>
    <row r="2657" spans="1:18" x14ac:dyDescent="0.25">
      <c r="A2657" s="2" t="s">
        <v>4195</v>
      </c>
      <c r="B2657" s="6">
        <v>46174</v>
      </c>
      <c r="C2657" s="8">
        <v>46195</v>
      </c>
      <c r="D2657" s="2" t="s">
        <v>199</v>
      </c>
      <c r="E2657" s="2" t="s">
        <v>260</v>
      </c>
      <c r="F2657" s="2" t="s">
        <v>16703</v>
      </c>
      <c r="G2657" s="2" t="s">
        <v>4197</v>
      </c>
      <c r="H2657" s="2" t="s">
        <v>76</v>
      </c>
      <c r="I2657" s="9">
        <v>34470464</v>
      </c>
      <c r="J2657" s="7">
        <v>6.2500000000000001E-5</v>
      </c>
      <c r="K2657" s="9">
        <v>2154.4</v>
      </c>
      <c r="L2657" s="14">
        <v>0</v>
      </c>
      <c r="M2657" s="2" t="s">
        <v>71</v>
      </c>
      <c r="N2657" s="2" t="s">
        <v>16704</v>
      </c>
      <c r="O2657" s="2" t="s">
        <v>4196</v>
      </c>
      <c r="P2657" s="9">
        <v>1.8</v>
      </c>
      <c r="Q2657" s="9">
        <v>2154.4</v>
      </c>
      <c r="R2657" s="2" t="s">
        <v>16708</v>
      </c>
    </row>
    <row r="2658" spans="1:18" x14ac:dyDescent="0.25">
      <c r="A2658" s="2" t="s">
        <v>4198</v>
      </c>
      <c r="B2658" s="6">
        <v>46204</v>
      </c>
      <c r="C2658" s="8">
        <v>46220</v>
      </c>
      <c r="D2658" s="2" t="s">
        <v>199</v>
      </c>
      <c r="E2658" s="2" t="s">
        <v>260</v>
      </c>
      <c r="F2658" s="2" t="s">
        <v>16703</v>
      </c>
      <c r="G2658" s="2" t="s">
        <v>4199</v>
      </c>
      <c r="H2658" s="2" t="s">
        <v>76</v>
      </c>
      <c r="I2658" s="9">
        <v>51705696</v>
      </c>
      <c r="J2658" s="7">
        <v>6.2000000000000003E-5</v>
      </c>
      <c r="K2658" s="9">
        <v>3205.75</v>
      </c>
      <c r="L2658" s="14">
        <v>0</v>
      </c>
      <c r="M2658" s="2" t="s">
        <v>71</v>
      </c>
      <c r="N2658" s="2" t="s">
        <v>16706</v>
      </c>
      <c r="O2658" s="2" t="s">
        <v>4196</v>
      </c>
      <c r="P2658" s="9">
        <v>1.8</v>
      </c>
      <c r="Q2658" s="9">
        <v>3231.61</v>
      </c>
      <c r="R2658" s="2" t="s">
        <v>16709</v>
      </c>
    </row>
    <row r="2659" spans="1:18" x14ac:dyDescent="0.25">
      <c r="A2659" s="2" t="s">
        <v>4200</v>
      </c>
      <c r="B2659" s="6">
        <v>46204</v>
      </c>
      <c r="C2659" s="8">
        <v>46206</v>
      </c>
      <c r="D2659" s="2" t="s">
        <v>199</v>
      </c>
      <c r="E2659" s="2" t="s">
        <v>260</v>
      </c>
      <c r="F2659" s="2" t="s">
        <v>16703</v>
      </c>
      <c r="G2659" s="2" t="s">
        <v>4202</v>
      </c>
      <c r="H2659" s="2" t="s">
        <v>70</v>
      </c>
      <c r="I2659" s="9">
        <v>8359.4285710000004</v>
      </c>
      <c r="J2659" s="7">
        <v>0.65800000000000003</v>
      </c>
      <c r="K2659" s="9">
        <v>5500.5</v>
      </c>
      <c r="L2659" s="14">
        <v>0</v>
      </c>
      <c r="M2659" s="2" t="s">
        <v>71</v>
      </c>
      <c r="N2659" s="2" t="s">
        <v>16706</v>
      </c>
      <c r="O2659" s="2" t="s">
        <v>4201</v>
      </c>
      <c r="P2659" s="9">
        <v>3.03</v>
      </c>
      <c r="Q2659" s="9">
        <v>5559.02</v>
      </c>
      <c r="R2659" s="2" t="s">
        <v>16709</v>
      </c>
    </row>
    <row r="2660" spans="1:18" x14ac:dyDescent="0.25">
      <c r="A2660" s="2" t="s">
        <v>4203</v>
      </c>
      <c r="B2660" s="6">
        <v>46204</v>
      </c>
      <c r="C2660" s="8">
        <v>46207</v>
      </c>
      <c r="D2660" s="2" t="s">
        <v>199</v>
      </c>
      <c r="E2660" s="2" t="s">
        <v>260</v>
      </c>
      <c r="F2660" s="2" t="s">
        <v>16703</v>
      </c>
      <c r="G2660" s="2" t="s">
        <v>4205</v>
      </c>
      <c r="H2660" s="2" t="s">
        <v>39</v>
      </c>
      <c r="I2660" s="9">
        <v>5732.03</v>
      </c>
      <c r="J2660" s="7">
        <v>1</v>
      </c>
      <c r="K2660" s="9">
        <v>5732.03</v>
      </c>
      <c r="L2660" s="14">
        <v>0</v>
      </c>
      <c r="M2660" s="2" t="s">
        <v>71</v>
      </c>
      <c r="N2660" s="2" t="s">
        <v>16706</v>
      </c>
      <c r="O2660" s="2" t="s">
        <v>4204</v>
      </c>
      <c r="P2660" s="9">
        <v>3.15</v>
      </c>
      <c r="Q2660" s="9">
        <v>5732.03</v>
      </c>
      <c r="R2660" s="2" t="s">
        <v>16709</v>
      </c>
    </row>
    <row r="2661" spans="1:18" x14ac:dyDescent="0.25">
      <c r="A2661" s="2" t="s">
        <v>4206</v>
      </c>
      <c r="B2661" s="6">
        <v>46204</v>
      </c>
      <c r="C2661" s="8">
        <v>46208</v>
      </c>
      <c r="D2661" s="2" t="s">
        <v>199</v>
      </c>
      <c r="E2661" s="2" t="s">
        <v>260</v>
      </c>
      <c r="F2661" s="2" t="s">
        <v>16703</v>
      </c>
      <c r="G2661" s="2" t="s">
        <v>4208</v>
      </c>
      <c r="H2661" s="2" t="s">
        <v>76</v>
      </c>
      <c r="I2661" s="9">
        <v>94480640</v>
      </c>
      <c r="J2661" s="7">
        <v>6.2000000000000003E-5</v>
      </c>
      <c r="K2661" s="9">
        <v>5857.8</v>
      </c>
      <c r="L2661" s="14">
        <v>0</v>
      </c>
      <c r="M2661" s="2" t="s">
        <v>71</v>
      </c>
      <c r="N2661" s="2" t="s">
        <v>16706</v>
      </c>
      <c r="O2661" s="2" t="s">
        <v>4207</v>
      </c>
      <c r="P2661" s="9">
        <v>3.22</v>
      </c>
      <c r="Q2661" s="9">
        <v>5905.04</v>
      </c>
      <c r="R2661" s="2" t="s">
        <v>16709</v>
      </c>
    </row>
    <row r="2662" spans="1:18" x14ac:dyDescent="0.25">
      <c r="A2662" s="2" t="s">
        <v>4209</v>
      </c>
      <c r="B2662" s="6">
        <v>46204</v>
      </c>
      <c r="C2662" s="8">
        <v>46209</v>
      </c>
      <c r="D2662" s="2" t="s">
        <v>199</v>
      </c>
      <c r="E2662" s="2" t="s">
        <v>260</v>
      </c>
      <c r="F2662" s="2" t="s">
        <v>16703</v>
      </c>
      <c r="G2662" s="2" t="s">
        <v>4211</v>
      </c>
      <c r="H2662" s="2" t="s">
        <v>70</v>
      </c>
      <c r="I2662" s="9">
        <v>9139.9248119999993</v>
      </c>
      <c r="J2662" s="7">
        <v>0.65800000000000003</v>
      </c>
      <c r="K2662" s="9">
        <v>6014.07</v>
      </c>
      <c r="L2662" s="14">
        <v>0</v>
      </c>
      <c r="M2662" s="2" t="s">
        <v>71</v>
      </c>
      <c r="N2662" s="2" t="s">
        <v>16706</v>
      </c>
      <c r="O2662" s="2" t="s">
        <v>4210</v>
      </c>
      <c r="P2662" s="9">
        <v>3.31</v>
      </c>
      <c r="Q2662" s="9">
        <v>6078.05</v>
      </c>
      <c r="R2662" s="2" t="s">
        <v>16709</v>
      </c>
    </row>
    <row r="2663" spans="1:18" x14ac:dyDescent="0.25">
      <c r="A2663" s="2" t="s">
        <v>4212</v>
      </c>
      <c r="B2663" s="6">
        <v>46204</v>
      </c>
      <c r="C2663" s="8">
        <v>46210</v>
      </c>
      <c r="D2663" s="2" t="s">
        <v>199</v>
      </c>
      <c r="E2663" s="2" t="s">
        <v>260</v>
      </c>
      <c r="F2663" s="2" t="s">
        <v>16703</v>
      </c>
      <c r="G2663" s="2" t="s">
        <v>4214</v>
      </c>
      <c r="H2663" s="2" t="s">
        <v>39</v>
      </c>
      <c r="I2663" s="9">
        <v>6251.06</v>
      </c>
      <c r="J2663" s="7">
        <v>1</v>
      </c>
      <c r="K2663" s="9">
        <v>6251.06</v>
      </c>
      <c r="L2663" s="14">
        <v>0</v>
      </c>
      <c r="M2663" s="2" t="s">
        <v>71</v>
      </c>
      <c r="N2663" s="2" t="s">
        <v>16706</v>
      </c>
      <c r="O2663" s="2" t="s">
        <v>4213</v>
      </c>
      <c r="P2663" s="9">
        <v>3.44</v>
      </c>
      <c r="Q2663" s="9">
        <v>6251.06</v>
      </c>
      <c r="R2663" s="2" t="s">
        <v>16709</v>
      </c>
    </row>
    <row r="2664" spans="1:18" x14ac:dyDescent="0.25">
      <c r="A2664" s="2" t="s">
        <v>4215</v>
      </c>
      <c r="B2664" s="6">
        <v>46174</v>
      </c>
      <c r="C2664" s="8">
        <v>46201</v>
      </c>
      <c r="D2664" s="2" t="s">
        <v>199</v>
      </c>
      <c r="E2664" s="2" t="s">
        <v>260</v>
      </c>
      <c r="F2664" s="2" t="s">
        <v>16703</v>
      </c>
      <c r="G2664" s="2" t="s">
        <v>4217</v>
      </c>
      <c r="H2664" s="2" t="s">
        <v>76</v>
      </c>
      <c r="I2664" s="9">
        <v>41114048</v>
      </c>
      <c r="J2664" s="7">
        <v>6.2500000000000001E-5</v>
      </c>
      <c r="K2664" s="9">
        <v>2569.63</v>
      </c>
      <c r="L2664" s="14">
        <v>0</v>
      </c>
      <c r="M2664" s="2" t="s">
        <v>71</v>
      </c>
      <c r="N2664" s="2" t="s">
        <v>16704</v>
      </c>
      <c r="O2664" s="2" t="s">
        <v>4216</v>
      </c>
      <c r="P2664" s="9">
        <v>1.8</v>
      </c>
      <c r="Q2664" s="9">
        <v>2569.63</v>
      </c>
      <c r="R2664" s="2" t="s">
        <v>16708</v>
      </c>
    </row>
    <row r="2665" spans="1:18" x14ac:dyDescent="0.25">
      <c r="A2665" s="2" t="s">
        <v>4218</v>
      </c>
      <c r="B2665" s="6">
        <v>46204</v>
      </c>
      <c r="C2665" s="8">
        <v>46226</v>
      </c>
      <c r="D2665" s="2" t="s">
        <v>199</v>
      </c>
      <c r="E2665" s="2" t="s">
        <v>260</v>
      </c>
      <c r="F2665" s="2" t="s">
        <v>16703</v>
      </c>
      <c r="G2665" s="2" t="s">
        <v>4219</v>
      </c>
      <c r="H2665" s="2" t="s">
        <v>76</v>
      </c>
      <c r="I2665" s="9">
        <v>61671072</v>
      </c>
      <c r="J2665" s="7">
        <v>6.2000000000000003E-5</v>
      </c>
      <c r="K2665" s="9">
        <v>3823.61</v>
      </c>
      <c r="L2665" s="14">
        <v>0</v>
      </c>
      <c r="M2665" s="2" t="s">
        <v>71</v>
      </c>
      <c r="N2665" s="2" t="s">
        <v>16706</v>
      </c>
      <c r="O2665" s="2" t="s">
        <v>4216</v>
      </c>
      <c r="P2665" s="9">
        <v>2.1</v>
      </c>
      <c r="Q2665" s="9">
        <v>3854.44</v>
      </c>
      <c r="R2665" s="2" t="s">
        <v>16709</v>
      </c>
    </row>
    <row r="2666" spans="1:18" x14ac:dyDescent="0.25">
      <c r="A2666" s="2" t="s">
        <v>4220</v>
      </c>
      <c r="B2666" s="6">
        <v>46174</v>
      </c>
      <c r="C2666" s="8">
        <v>46202</v>
      </c>
      <c r="D2666" s="2" t="s">
        <v>199</v>
      </c>
      <c r="E2666" s="2" t="s">
        <v>260</v>
      </c>
      <c r="F2666" s="2" t="s">
        <v>16703</v>
      </c>
      <c r="G2666" s="2" t="s">
        <v>4222</v>
      </c>
      <c r="H2666" s="2" t="s">
        <v>70</v>
      </c>
      <c r="I2666" s="9">
        <v>3968.1684209999999</v>
      </c>
      <c r="J2666" s="7">
        <v>0.66500000000000004</v>
      </c>
      <c r="K2666" s="9">
        <v>2638.83</v>
      </c>
      <c r="L2666" s="14">
        <v>0</v>
      </c>
      <c r="M2666" s="2" t="s">
        <v>71</v>
      </c>
      <c r="N2666" s="2" t="s">
        <v>16704</v>
      </c>
      <c r="O2666" s="2" t="s">
        <v>4221</v>
      </c>
      <c r="P2666" s="9">
        <v>1.8</v>
      </c>
      <c r="Q2666" s="9">
        <v>2638.83</v>
      </c>
      <c r="R2666" s="2" t="s">
        <v>16708</v>
      </c>
    </row>
    <row r="2667" spans="1:18" x14ac:dyDescent="0.25">
      <c r="A2667" s="2" t="s">
        <v>4223</v>
      </c>
      <c r="B2667" s="6">
        <v>46204</v>
      </c>
      <c r="C2667" s="8">
        <v>46227</v>
      </c>
      <c r="D2667" s="2" t="s">
        <v>199</v>
      </c>
      <c r="E2667" s="2" t="s">
        <v>260</v>
      </c>
      <c r="F2667" s="2" t="s">
        <v>16703</v>
      </c>
      <c r="G2667" s="2" t="s">
        <v>4224</v>
      </c>
      <c r="H2667" s="2" t="s">
        <v>70</v>
      </c>
      <c r="I2667" s="9">
        <v>5952.2526319999997</v>
      </c>
      <c r="J2667" s="7">
        <v>0.65800000000000003</v>
      </c>
      <c r="K2667" s="9">
        <v>3916.58</v>
      </c>
      <c r="L2667" s="14">
        <v>0</v>
      </c>
      <c r="M2667" s="2" t="s">
        <v>71</v>
      </c>
      <c r="N2667" s="2" t="s">
        <v>16706</v>
      </c>
      <c r="O2667" s="2" t="s">
        <v>4221</v>
      </c>
      <c r="P2667" s="9">
        <v>2.15</v>
      </c>
      <c r="Q2667" s="9">
        <v>3958.25</v>
      </c>
      <c r="R2667" s="2" t="s">
        <v>16709</v>
      </c>
    </row>
    <row r="2668" spans="1:18" x14ac:dyDescent="0.25">
      <c r="A2668" s="2" t="s">
        <v>4225</v>
      </c>
      <c r="B2668" s="6">
        <v>46204</v>
      </c>
      <c r="C2668" s="8">
        <v>46213</v>
      </c>
      <c r="D2668" s="2" t="s">
        <v>199</v>
      </c>
      <c r="E2668" s="2" t="s">
        <v>260</v>
      </c>
      <c r="F2668" s="2" t="s">
        <v>16703</v>
      </c>
      <c r="G2668" s="2" t="s">
        <v>4227</v>
      </c>
      <c r="H2668" s="2" t="s">
        <v>39</v>
      </c>
      <c r="I2668" s="9">
        <v>6770.09</v>
      </c>
      <c r="J2668" s="7">
        <v>1</v>
      </c>
      <c r="K2668" s="9">
        <v>6770.09</v>
      </c>
      <c r="L2668" s="14">
        <v>0</v>
      </c>
      <c r="M2668" s="2" t="s">
        <v>71</v>
      </c>
      <c r="N2668" s="2" t="s">
        <v>16706</v>
      </c>
      <c r="O2668" s="2" t="s">
        <v>4226</v>
      </c>
      <c r="P2668" s="9">
        <v>3.72</v>
      </c>
      <c r="Q2668" s="9">
        <v>6770.09</v>
      </c>
      <c r="R2668" s="2" t="s">
        <v>16709</v>
      </c>
    </row>
    <row r="2669" spans="1:18" x14ac:dyDescent="0.25">
      <c r="A2669" s="2" t="s">
        <v>4228</v>
      </c>
      <c r="B2669" s="6">
        <v>46204</v>
      </c>
      <c r="C2669" s="8">
        <v>46214</v>
      </c>
      <c r="D2669" s="2" t="s">
        <v>199</v>
      </c>
      <c r="E2669" s="2" t="s">
        <v>260</v>
      </c>
      <c r="F2669" s="2" t="s">
        <v>16703</v>
      </c>
      <c r="G2669" s="2" t="s">
        <v>4230</v>
      </c>
      <c r="H2669" s="2" t="s">
        <v>76</v>
      </c>
      <c r="I2669" s="9">
        <v>111089600</v>
      </c>
      <c r="J2669" s="7">
        <v>6.2000000000000003E-5</v>
      </c>
      <c r="K2669" s="9">
        <v>6887.56</v>
      </c>
      <c r="L2669" s="14">
        <v>0</v>
      </c>
      <c r="M2669" s="2" t="s">
        <v>71</v>
      </c>
      <c r="N2669" s="2" t="s">
        <v>16706</v>
      </c>
      <c r="O2669" s="2" t="s">
        <v>4229</v>
      </c>
      <c r="P2669" s="9">
        <v>3.79</v>
      </c>
      <c r="Q2669" s="9">
        <v>6943.1</v>
      </c>
      <c r="R2669" s="2" t="s">
        <v>16709</v>
      </c>
    </row>
    <row r="2670" spans="1:18" x14ac:dyDescent="0.25">
      <c r="A2670" s="2" t="s">
        <v>4231</v>
      </c>
      <c r="B2670" s="6">
        <v>46204</v>
      </c>
      <c r="C2670" s="8">
        <v>46205</v>
      </c>
      <c r="D2670" s="2" t="s">
        <v>199</v>
      </c>
      <c r="E2670" s="2" t="s">
        <v>260</v>
      </c>
      <c r="F2670" s="2" t="s">
        <v>16703</v>
      </c>
      <c r="G2670" s="2" t="s">
        <v>4233</v>
      </c>
      <c r="H2670" s="2" t="s">
        <v>70</v>
      </c>
      <c r="I2670" s="9">
        <v>4280.3669170000003</v>
      </c>
      <c r="J2670" s="7">
        <v>0.65800000000000003</v>
      </c>
      <c r="K2670" s="9">
        <v>2816.48</v>
      </c>
      <c r="L2670" s="14">
        <v>0</v>
      </c>
      <c r="M2670" s="2" t="s">
        <v>71</v>
      </c>
      <c r="N2670" s="2" t="s">
        <v>16706</v>
      </c>
      <c r="O2670" s="2" t="s">
        <v>4232</v>
      </c>
      <c r="P2670" s="9">
        <v>1.8</v>
      </c>
      <c r="Q2670" s="9">
        <v>2846.44</v>
      </c>
      <c r="R2670" s="2" t="s">
        <v>16709</v>
      </c>
    </row>
    <row r="2671" spans="1:18" x14ac:dyDescent="0.25">
      <c r="A2671" s="2" t="s">
        <v>4234</v>
      </c>
      <c r="B2671" s="6">
        <v>46204</v>
      </c>
      <c r="C2671" s="8">
        <v>46230</v>
      </c>
      <c r="D2671" s="2" t="s">
        <v>199</v>
      </c>
      <c r="E2671" s="2" t="s">
        <v>260</v>
      </c>
      <c r="F2671" s="2" t="s">
        <v>16703</v>
      </c>
      <c r="G2671" s="2" t="s">
        <v>4235</v>
      </c>
      <c r="H2671" s="2" t="s">
        <v>70</v>
      </c>
      <c r="I2671" s="9">
        <v>6420.5503760000001</v>
      </c>
      <c r="J2671" s="7">
        <v>0.65800000000000003</v>
      </c>
      <c r="K2671" s="9">
        <v>4224.72</v>
      </c>
      <c r="L2671" s="14">
        <v>0</v>
      </c>
      <c r="M2671" s="2" t="s">
        <v>71</v>
      </c>
      <c r="N2671" s="2" t="s">
        <v>16706</v>
      </c>
      <c r="O2671" s="2" t="s">
        <v>4232</v>
      </c>
      <c r="P2671" s="9">
        <v>2.3199999999999998</v>
      </c>
      <c r="Q2671" s="9">
        <v>4269.67</v>
      </c>
      <c r="R2671" s="2" t="s">
        <v>16709</v>
      </c>
    </row>
    <row r="2672" spans="1:18" x14ac:dyDescent="0.25">
      <c r="A2672" s="2" t="s">
        <v>4236</v>
      </c>
      <c r="B2672" s="6">
        <v>46204</v>
      </c>
      <c r="C2672" s="8">
        <v>46216</v>
      </c>
      <c r="D2672" s="2" t="s">
        <v>199</v>
      </c>
      <c r="E2672" s="2" t="s">
        <v>260</v>
      </c>
      <c r="F2672" s="2" t="s">
        <v>16703</v>
      </c>
      <c r="G2672" s="2" t="s">
        <v>4238</v>
      </c>
      <c r="H2672" s="2" t="s">
        <v>39</v>
      </c>
      <c r="I2672" s="9">
        <v>7289.12</v>
      </c>
      <c r="J2672" s="7">
        <v>1</v>
      </c>
      <c r="K2672" s="9">
        <v>7289.12</v>
      </c>
      <c r="L2672" s="14">
        <v>0</v>
      </c>
      <c r="M2672" s="2" t="s">
        <v>71</v>
      </c>
      <c r="N2672" s="2" t="s">
        <v>16706</v>
      </c>
      <c r="O2672" s="2" t="s">
        <v>4237</v>
      </c>
      <c r="P2672" s="9">
        <v>4.01</v>
      </c>
      <c r="Q2672" s="9">
        <v>7289.12</v>
      </c>
      <c r="R2672" s="2" t="s">
        <v>16709</v>
      </c>
    </row>
    <row r="2673" spans="1:18" x14ac:dyDescent="0.25">
      <c r="A2673" s="2" t="s">
        <v>4239</v>
      </c>
      <c r="B2673" s="6">
        <v>46204</v>
      </c>
      <c r="C2673" s="8">
        <v>46217</v>
      </c>
      <c r="D2673" s="2" t="s">
        <v>199</v>
      </c>
      <c r="E2673" s="2" t="s">
        <v>260</v>
      </c>
      <c r="F2673" s="2" t="s">
        <v>16703</v>
      </c>
      <c r="G2673" s="2" t="s">
        <v>4241</v>
      </c>
      <c r="H2673" s="2" t="s">
        <v>76</v>
      </c>
      <c r="I2673" s="9">
        <v>119394080</v>
      </c>
      <c r="J2673" s="7">
        <v>6.2000000000000003E-5</v>
      </c>
      <c r="K2673" s="9">
        <v>7402.43</v>
      </c>
      <c r="L2673" s="14">
        <v>0</v>
      </c>
      <c r="M2673" s="2" t="s">
        <v>71</v>
      </c>
      <c r="N2673" s="2" t="s">
        <v>16706</v>
      </c>
      <c r="O2673" s="2" t="s">
        <v>4240</v>
      </c>
      <c r="P2673" s="9">
        <v>4.07</v>
      </c>
      <c r="Q2673" s="9">
        <v>7462.13</v>
      </c>
      <c r="R2673" s="2" t="s">
        <v>16709</v>
      </c>
    </row>
    <row r="2674" spans="1:18" x14ac:dyDescent="0.25">
      <c r="A2674" s="2" t="s">
        <v>4242</v>
      </c>
      <c r="B2674" s="6">
        <v>46204</v>
      </c>
      <c r="C2674" s="8">
        <v>46218</v>
      </c>
      <c r="D2674" s="2" t="s">
        <v>199</v>
      </c>
      <c r="E2674" s="2" t="s">
        <v>260</v>
      </c>
      <c r="F2674" s="2" t="s">
        <v>16703</v>
      </c>
      <c r="G2674" s="2" t="s">
        <v>4244</v>
      </c>
      <c r="H2674" s="2" t="s">
        <v>70</v>
      </c>
      <c r="I2674" s="9">
        <v>11481.413533999999</v>
      </c>
      <c r="J2674" s="7">
        <v>0.65800000000000003</v>
      </c>
      <c r="K2674" s="9">
        <v>7554.77</v>
      </c>
      <c r="L2674" s="14">
        <v>0</v>
      </c>
      <c r="M2674" s="2" t="s">
        <v>71</v>
      </c>
      <c r="N2674" s="2" t="s">
        <v>16706</v>
      </c>
      <c r="O2674" s="2" t="s">
        <v>4243</v>
      </c>
      <c r="P2674" s="9">
        <v>4.16</v>
      </c>
      <c r="Q2674" s="9">
        <v>7635.14</v>
      </c>
      <c r="R2674" s="2" t="s">
        <v>16709</v>
      </c>
    </row>
    <row r="2675" spans="1:18" x14ac:dyDescent="0.25">
      <c r="A2675" s="2" t="s">
        <v>4245</v>
      </c>
      <c r="B2675" s="6">
        <v>46204</v>
      </c>
      <c r="C2675" s="8">
        <v>46219</v>
      </c>
      <c r="D2675" s="2" t="s">
        <v>199</v>
      </c>
      <c r="E2675" s="2" t="s">
        <v>260</v>
      </c>
      <c r="F2675" s="2" t="s">
        <v>16703</v>
      </c>
      <c r="G2675" s="2" t="s">
        <v>4247</v>
      </c>
      <c r="H2675" s="2" t="s">
        <v>39</v>
      </c>
      <c r="I2675" s="9">
        <v>7808.15</v>
      </c>
      <c r="J2675" s="7">
        <v>1</v>
      </c>
      <c r="K2675" s="9">
        <v>7808.15</v>
      </c>
      <c r="L2675" s="14">
        <v>0</v>
      </c>
      <c r="M2675" s="2" t="s">
        <v>71</v>
      </c>
      <c r="N2675" s="2" t="s">
        <v>16706</v>
      </c>
      <c r="O2675" s="2" t="s">
        <v>4246</v>
      </c>
      <c r="P2675" s="9">
        <v>4.29</v>
      </c>
      <c r="Q2675" s="9">
        <v>7808.15</v>
      </c>
      <c r="R2675" s="2" t="s">
        <v>16709</v>
      </c>
    </row>
    <row r="2676" spans="1:18" x14ac:dyDescent="0.25">
      <c r="A2676" s="2" t="s">
        <v>4248</v>
      </c>
      <c r="B2676" s="6">
        <v>46204</v>
      </c>
      <c r="C2676" s="8">
        <v>46220</v>
      </c>
      <c r="D2676" s="2" t="s">
        <v>199</v>
      </c>
      <c r="E2676" s="2" t="s">
        <v>260</v>
      </c>
      <c r="F2676" s="2" t="s">
        <v>16703</v>
      </c>
      <c r="G2676" s="2" t="s">
        <v>4250</v>
      </c>
      <c r="H2676" s="2" t="s">
        <v>76</v>
      </c>
      <c r="I2676" s="9">
        <v>127698560</v>
      </c>
      <c r="J2676" s="7">
        <v>6.2000000000000003E-5</v>
      </c>
      <c r="K2676" s="9">
        <v>7917.31</v>
      </c>
      <c r="L2676" s="14">
        <v>0</v>
      </c>
      <c r="M2676" s="2" t="s">
        <v>71</v>
      </c>
      <c r="N2676" s="2" t="s">
        <v>16706</v>
      </c>
      <c r="O2676" s="2" t="s">
        <v>4249</v>
      </c>
      <c r="P2676" s="9">
        <v>4.3499999999999996</v>
      </c>
      <c r="Q2676" s="9">
        <v>7981.16</v>
      </c>
      <c r="R2676" s="2" t="s">
        <v>16709</v>
      </c>
    </row>
    <row r="2677" spans="1:18" x14ac:dyDescent="0.25">
      <c r="A2677" s="2" t="s">
        <v>4251</v>
      </c>
      <c r="B2677" s="6">
        <v>46204</v>
      </c>
      <c r="C2677" s="8">
        <v>46211</v>
      </c>
      <c r="D2677" s="2" t="s">
        <v>199</v>
      </c>
      <c r="E2677" s="2" t="s">
        <v>260</v>
      </c>
      <c r="F2677" s="2" t="s">
        <v>16703</v>
      </c>
      <c r="G2677" s="2" t="s">
        <v>4253</v>
      </c>
      <c r="H2677" s="2" t="s">
        <v>70</v>
      </c>
      <c r="I2677" s="9">
        <v>4904.7639099999997</v>
      </c>
      <c r="J2677" s="7">
        <v>0.65800000000000003</v>
      </c>
      <c r="K2677" s="9">
        <v>3227.33</v>
      </c>
      <c r="L2677" s="14">
        <v>0</v>
      </c>
      <c r="M2677" s="2" t="s">
        <v>71</v>
      </c>
      <c r="N2677" s="2" t="s">
        <v>16706</v>
      </c>
      <c r="O2677" s="2" t="s">
        <v>4252</v>
      </c>
      <c r="P2677" s="9">
        <v>1.8</v>
      </c>
      <c r="Q2677" s="9">
        <v>3261.67</v>
      </c>
      <c r="R2677" s="2" t="s">
        <v>16709</v>
      </c>
    </row>
    <row r="2678" spans="1:18" x14ac:dyDescent="0.25">
      <c r="A2678" s="2" t="s">
        <v>4256</v>
      </c>
      <c r="B2678" s="6">
        <v>46204</v>
      </c>
      <c r="C2678" s="8">
        <v>46212</v>
      </c>
      <c r="D2678" s="2" t="s">
        <v>199</v>
      </c>
      <c r="E2678" s="2" t="s">
        <v>260</v>
      </c>
      <c r="F2678" s="2" t="s">
        <v>16703</v>
      </c>
      <c r="G2678" s="2" t="s">
        <v>4258</v>
      </c>
      <c r="H2678" s="2" t="s">
        <v>39</v>
      </c>
      <c r="I2678" s="9">
        <v>3330.8719999999998</v>
      </c>
      <c r="J2678" s="7">
        <v>1</v>
      </c>
      <c r="K2678" s="9">
        <v>3330.87</v>
      </c>
      <c r="L2678" s="14">
        <v>0</v>
      </c>
      <c r="M2678" s="2" t="s">
        <v>71</v>
      </c>
      <c r="N2678" s="2" t="s">
        <v>16706</v>
      </c>
      <c r="O2678" s="2" t="s">
        <v>4257</v>
      </c>
      <c r="P2678" s="9">
        <v>1.83</v>
      </c>
      <c r="Q2678" s="9">
        <v>3330.87</v>
      </c>
      <c r="R2678" s="2" t="s">
        <v>16709</v>
      </c>
    </row>
    <row r="2679" spans="1:18" x14ac:dyDescent="0.25">
      <c r="A2679" s="2" t="s">
        <v>4261</v>
      </c>
      <c r="B2679" s="6">
        <v>46204</v>
      </c>
      <c r="C2679" s="8">
        <v>46223</v>
      </c>
      <c r="D2679" s="2" t="s">
        <v>199</v>
      </c>
      <c r="E2679" s="2" t="s">
        <v>260</v>
      </c>
      <c r="F2679" s="2" t="s">
        <v>16703</v>
      </c>
      <c r="G2679" s="2" t="s">
        <v>4263</v>
      </c>
      <c r="H2679" s="2" t="s">
        <v>76</v>
      </c>
      <c r="I2679" s="9">
        <v>136003040</v>
      </c>
      <c r="J2679" s="7">
        <v>6.2000000000000003E-5</v>
      </c>
      <c r="K2679" s="9">
        <v>8432.19</v>
      </c>
      <c r="L2679" s="14">
        <v>0</v>
      </c>
      <c r="M2679" s="2" t="s">
        <v>71</v>
      </c>
      <c r="N2679" s="2" t="s">
        <v>16706</v>
      </c>
      <c r="O2679" s="2" t="s">
        <v>4262</v>
      </c>
      <c r="P2679" s="9">
        <v>4.6399999999999997</v>
      </c>
      <c r="Q2679" s="9">
        <v>8500.19</v>
      </c>
      <c r="R2679" s="2" t="s">
        <v>16709</v>
      </c>
    </row>
    <row r="2680" spans="1:18" x14ac:dyDescent="0.25">
      <c r="A2680" s="2" t="s">
        <v>4264</v>
      </c>
      <c r="B2680" s="6">
        <v>46204</v>
      </c>
      <c r="C2680" s="8">
        <v>46224</v>
      </c>
      <c r="D2680" s="2" t="s">
        <v>199</v>
      </c>
      <c r="E2680" s="2" t="s">
        <v>260</v>
      </c>
      <c r="F2680" s="2" t="s">
        <v>16703</v>
      </c>
      <c r="G2680" s="2" t="s">
        <v>4266</v>
      </c>
      <c r="H2680" s="2" t="s">
        <v>70</v>
      </c>
      <c r="I2680" s="9">
        <v>13042.406015</v>
      </c>
      <c r="J2680" s="7">
        <v>0.65800000000000003</v>
      </c>
      <c r="K2680" s="9">
        <v>8581.9</v>
      </c>
      <c r="L2680" s="14">
        <v>0</v>
      </c>
      <c r="M2680" s="2" t="s">
        <v>71</v>
      </c>
      <c r="N2680" s="2" t="s">
        <v>16706</v>
      </c>
      <c r="O2680" s="2" t="s">
        <v>4265</v>
      </c>
      <c r="P2680" s="9">
        <v>4.72</v>
      </c>
      <c r="Q2680" s="9">
        <v>8673.2000000000007</v>
      </c>
      <c r="R2680" s="2" t="s">
        <v>16709</v>
      </c>
    </row>
    <row r="2681" spans="1:18" x14ac:dyDescent="0.25">
      <c r="A2681" s="2" t="s">
        <v>4267</v>
      </c>
      <c r="B2681" s="6">
        <v>46204</v>
      </c>
      <c r="C2681" s="8">
        <v>46215</v>
      </c>
      <c r="D2681" s="2" t="s">
        <v>199</v>
      </c>
      <c r="E2681" s="2" t="s">
        <v>260</v>
      </c>
      <c r="F2681" s="2" t="s">
        <v>16703</v>
      </c>
      <c r="G2681" s="2" t="s">
        <v>4269</v>
      </c>
      <c r="H2681" s="2" t="s">
        <v>39</v>
      </c>
      <c r="I2681" s="9">
        <v>3538.4839999999999</v>
      </c>
      <c r="J2681" s="7">
        <v>1</v>
      </c>
      <c r="K2681" s="9">
        <v>3538.48</v>
      </c>
      <c r="L2681" s="14">
        <v>0</v>
      </c>
      <c r="M2681" s="2" t="s">
        <v>71</v>
      </c>
      <c r="N2681" s="2" t="s">
        <v>16706</v>
      </c>
      <c r="O2681" s="2" t="s">
        <v>4268</v>
      </c>
      <c r="P2681" s="9">
        <v>1.95</v>
      </c>
      <c r="Q2681" s="9">
        <v>3538.48</v>
      </c>
      <c r="R2681" s="2" t="s">
        <v>16709</v>
      </c>
    </row>
    <row r="2682" spans="1:18" x14ac:dyDescent="0.25">
      <c r="A2682" s="2" t="s">
        <v>4272</v>
      </c>
      <c r="B2682" s="6">
        <v>46204</v>
      </c>
      <c r="C2682" s="8">
        <v>46226</v>
      </c>
      <c r="D2682" s="2" t="s">
        <v>199</v>
      </c>
      <c r="E2682" s="2" t="s">
        <v>260</v>
      </c>
      <c r="F2682" s="2" t="s">
        <v>16703</v>
      </c>
      <c r="G2682" s="2" t="s">
        <v>4274</v>
      </c>
      <c r="H2682" s="2" t="s">
        <v>76</v>
      </c>
      <c r="I2682" s="9">
        <v>144307520</v>
      </c>
      <c r="J2682" s="7">
        <v>6.2000000000000003E-5</v>
      </c>
      <c r="K2682" s="9">
        <v>8947.07</v>
      </c>
      <c r="L2682" s="14">
        <v>0</v>
      </c>
      <c r="M2682" s="2" t="s">
        <v>71</v>
      </c>
      <c r="N2682" s="2" t="s">
        <v>16706</v>
      </c>
      <c r="O2682" s="2" t="s">
        <v>4273</v>
      </c>
      <c r="P2682" s="9">
        <v>4.92</v>
      </c>
      <c r="Q2682" s="9">
        <v>9019.2199999999993</v>
      </c>
      <c r="R2682" s="2" t="s">
        <v>16709</v>
      </c>
    </row>
    <row r="2683" spans="1:18" x14ac:dyDescent="0.25">
      <c r="A2683" s="2" t="s">
        <v>4275</v>
      </c>
      <c r="B2683" s="6">
        <v>46204</v>
      </c>
      <c r="C2683" s="8">
        <v>46227</v>
      </c>
      <c r="D2683" s="2" t="s">
        <v>199</v>
      </c>
      <c r="E2683" s="2" t="s">
        <v>260</v>
      </c>
      <c r="F2683" s="2" t="s">
        <v>16703</v>
      </c>
      <c r="G2683" s="2" t="s">
        <v>4277</v>
      </c>
      <c r="H2683" s="2" t="s">
        <v>70</v>
      </c>
      <c r="I2683" s="9">
        <v>13822.902255999999</v>
      </c>
      <c r="J2683" s="7">
        <v>0.65800000000000003</v>
      </c>
      <c r="K2683" s="9">
        <v>9095.4699999999993</v>
      </c>
      <c r="L2683" s="14">
        <v>0</v>
      </c>
      <c r="M2683" s="2" t="s">
        <v>71</v>
      </c>
      <c r="N2683" s="2" t="s">
        <v>16706</v>
      </c>
      <c r="O2683" s="2" t="s">
        <v>4276</v>
      </c>
      <c r="P2683" s="9">
        <v>5</v>
      </c>
      <c r="Q2683" s="9">
        <v>9192.23</v>
      </c>
      <c r="R2683" s="2" t="s">
        <v>16709</v>
      </c>
    </row>
    <row r="2684" spans="1:18" x14ac:dyDescent="0.25">
      <c r="A2684" s="2" t="s">
        <v>4278</v>
      </c>
      <c r="B2684" s="6">
        <v>46174</v>
      </c>
      <c r="C2684" s="8">
        <v>46198</v>
      </c>
      <c r="D2684" s="2" t="s">
        <v>199</v>
      </c>
      <c r="E2684" s="2" t="s">
        <v>260</v>
      </c>
      <c r="F2684" s="2" t="s">
        <v>16703</v>
      </c>
      <c r="G2684" s="2" t="s">
        <v>4280</v>
      </c>
      <c r="H2684" s="2" t="s">
        <v>39</v>
      </c>
      <c r="I2684" s="9">
        <v>9365.24</v>
      </c>
      <c r="J2684" s="7">
        <v>1</v>
      </c>
      <c r="K2684" s="9">
        <v>9365.24</v>
      </c>
      <c r="L2684" s="14">
        <v>0</v>
      </c>
      <c r="M2684" s="2" t="s">
        <v>71</v>
      </c>
      <c r="N2684" s="2" t="s">
        <v>16704</v>
      </c>
      <c r="O2684" s="2" t="s">
        <v>4279</v>
      </c>
      <c r="P2684" s="9">
        <v>5.15</v>
      </c>
      <c r="Q2684" s="9">
        <v>9365.24</v>
      </c>
      <c r="R2684" s="2" t="s">
        <v>16708</v>
      </c>
    </row>
    <row r="2685" spans="1:18" x14ac:dyDescent="0.25">
      <c r="A2685" s="2" t="s">
        <v>4281</v>
      </c>
      <c r="B2685" s="6">
        <v>46174</v>
      </c>
      <c r="C2685" s="8">
        <v>46199</v>
      </c>
      <c r="D2685" s="2" t="s">
        <v>199</v>
      </c>
      <c r="E2685" s="2" t="s">
        <v>260</v>
      </c>
      <c r="F2685" s="2" t="s">
        <v>16703</v>
      </c>
      <c r="G2685" s="2" t="s">
        <v>4283</v>
      </c>
      <c r="H2685" s="2" t="s">
        <v>76</v>
      </c>
      <c r="I2685" s="9">
        <v>152612000</v>
      </c>
      <c r="J2685" s="7">
        <v>6.2500000000000001E-5</v>
      </c>
      <c r="K2685" s="9">
        <v>9538.25</v>
      </c>
      <c r="L2685" s="14">
        <v>0</v>
      </c>
      <c r="M2685" s="2" t="s">
        <v>71</v>
      </c>
      <c r="N2685" s="2" t="s">
        <v>16704</v>
      </c>
      <c r="O2685" s="2" t="s">
        <v>4282</v>
      </c>
      <c r="P2685" s="9">
        <v>5.25</v>
      </c>
      <c r="Q2685" s="9">
        <v>9538.25</v>
      </c>
      <c r="R2685" s="2" t="s">
        <v>16708</v>
      </c>
    </row>
    <row r="2686" spans="1:18" x14ac:dyDescent="0.25">
      <c r="A2686" s="2" t="s">
        <v>4284</v>
      </c>
      <c r="B2686" s="6">
        <v>46174</v>
      </c>
      <c r="C2686" s="8">
        <v>46200</v>
      </c>
      <c r="D2686" s="2" t="s">
        <v>199</v>
      </c>
      <c r="E2686" s="2" t="s">
        <v>260</v>
      </c>
      <c r="F2686" s="2" t="s">
        <v>16703</v>
      </c>
      <c r="G2686" s="2" t="s">
        <v>4286</v>
      </c>
      <c r="H2686" s="2" t="s">
        <v>70</v>
      </c>
      <c r="I2686" s="9">
        <v>-14603.398496</v>
      </c>
      <c r="J2686" s="7">
        <v>0.66500000000000004</v>
      </c>
      <c r="K2686" s="9">
        <v>-9711.26</v>
      </c>
      <c r="L2686" s="14">
        <v>0</v>
      </c>
      <c r="M2686" s="2" t="s">
        <v>71</v>
      </c>
      <c r="N2686" s="2" t="s">
        <v>16704</v>
      </c>
      <c r="O2686" s="2" t="s">
        <v>4285</v>
      </c>
      <c r="P2686" s="9">
        <v>0</v>
      </c>
      <c r="Q2686" s="9">
        <v>-9711.26</v>
      </c>
      <c r="R2686" s="2" t="s">
        <v>16708</v>
      </c>
    </row>
    <row r="2687" spans="1:18" x14ac:dyDescent="0.25">
      <c r="A2687" s="2" t="s">
        <v>4287</v>
      </c>
      <c r="B2687" s="6">
        <v>46174</v>
      </c>
      <c r="C2687" s="8">
        <v>46191</v>
      </c>
      <c r="D2687" s="2" t="s">
        <v>199</v>
      </c>
      <c r="E2687" s="2" t="s">
        <v>260</v>
      </c>
      <c r="F2687" s="2" t="s">
        <v>16703</v>
      </c>
      <c r="G2687" s="2" t="s">
        <v>4289</v>
      </c>
      <c r="H2687" s="2" t="s">
        <v>39</v>
      </c>
      <c r="I2687" s="9">
        <v>3953.7080000000001</v>
      </c>
      <c r="J2687" s="7">
        <v>1</v>
      </c>
      <c r="K2687" s="9">
        <v>3953.71</v>
      </c>
      <c r="L2687" s="14">
        <v>0</v>
      </c>
      <c r="M2687" s="2" t="s">
        <v>71</v>
      </c>
      <c r="N2687" s="2" t="s">
        <v>16704</v>
      </c>
      <c r="O2687" s="2" t="s">
        <v>4288</v>
      </c>
      <c r="P2687" s="9">
        <v>2.17</v>
      </c>
      <c r="Q2687" s="9">
        <v>3953.71</v>
      </c>
      <c r="R2687" s="2" t="s">
        <v>16708</v>
      </c>
    </row>
    <row r="2688" spans="1:18" x14ac:dyDescent="0.25">
      <c r="A2688" s="2" t="s">
        <v>4290</v>
      </c>
      <c r="B2688" s="6">
        <v>46204</v>
      </c>
      <c r="C2688" s="8">
        <v>46216</v>
      </c>
      <c r="D2688" s="2" t="s">
        <v>199</v>
      </c>
      <c r="E2688" s="2" t="s">
        <v>260</v>
      </c>
      <c r="F2688" s="2" t="s">
        <v>16703</v>
      </c>
      <c r="G2688" s="2" t="s">
        <v>4291</v>
      </c>
      <c r="H2688" s="2" t="s">
        <v>39</v>
      </c>
      <c r="I2688" s="9">
        <v>5930.5619999999999</v>
      </c>
      <c r="J2688" s="7">
        <v>1</v>
      </c>
      <c r="K2688" s="9">
        <v>5930.56</v>
      </c>
      <c r="L2688" s="14">
        <v>0</v>
      </c>
      <c r="M2688" s="2" t="s">
        <v>71</v>
      </c>
      <c r="N2688" s="2" t="s">
        <v>16706</v>
      </c>
      <c r="O2688" s="2" t="s">
        <v>4288</v>
      </c>
      <c r="P2688" s="9">
        <v>3.26</v>
      </c>
      <c r="Q2688" s="9">
        <v>5930.56</v>
      </c>
      <c r="R2688" s="2" t="s">
        <v>16709</v>
      </c>
    </row>
    <row r="2689" spans="1:18" x14ac:dyDescent="0.25">
      <c r="A2689" s="2" t="s">
        <v>4292</v>
      </c>
      <c r="B2689" s="6">
        <v>46174</v>
      </c>
      <c r="C2689" s="8">
        <v>46192</v>
      </c>
      <c r="D2689" s="2" t="s">
        <v>199</v>
      </c>
      <c r="E2689" s="2" t="s">
        <v>260</v>
      </c>
      <c r="F2689" s="2" t="s">
        <v>16703</v>
      </c>
      <c r="G2689" s="2" t="s">
        <v>4294</v>
      </c>
      <c r="H2689" s="2" t="s">
        <v>76</v>
      </c>
      <c r="I2689" s="9">
        <v>64366592</v>
      </c>
      <c r="J2689" s="7">
        <v>6.2500000000000001E-5</v>
      </c>
      <c r="K2689" s="9">
        <v>4022.91</v>
      </c>
      <c r="L2689" s="14">
        <v>0</v>
      </c>
      <c r="M2689" s="2" t="s">
        <v>71</v>
      </c>
      <c r="N2689" s="2" t="s">
        <v>16704</v>
      </c>
      <c r="O2689" s="2" t="s">
        <v>4293</v>
      </c>
      <c r="P2689" s="9">
        <v>2.21</v>
      </c>
      <c r="Q2689" s="9">
        <v>4022.91</v>
      </c>
      <c r="R2689" s="2" t="s">
        <v>16708</v>
      </c>
    </row>
    <row r="2690" spans="1:18" x14ac:dyDescent="0.25">
      <c r="A2690" s="2" t="s">
        <v>4295</v>
      </c>
      <c r="B2690" s="6">
        <v>46204</v>
      </c>
      <c r="C2690" s="8">
        <v>46217</v>
      </c>
      <c r="D2690" s="2" t="s">
        <v>199</v>
      </c>
      <c r="E2690" s="2" t="s">
        <v>260</v>
      </c>
      <c r="F2690" s="2" t="s">
        <v>16703</v>
      </c>
      <c r="G2690" s="2" t="s">
        <v>4296</v>
      </c>
      <c r="H2690" s="2" t="s">
        <v>76</v>
      </c>
      <c r="I2690" s="9">
        <v>96549888</v>
      </c>
      <c r="J2690" s="7">
        <v>6.2000000000000003E-5</v>
      </c>
      <c r="K2690" s="9">
        <v>5986.09</v>
      </c>
      <c r="L2690" s="14">
        <v>0</v>
      </c>
      <c r="M2690" s="2" t="s">
        <v>71</v>
      </c>
      <c r="N2690" s="2" t="s">
        <v>16706</v>
      </c>
      <c r="O2690" s="2" t="s">
        <v>4293</v>
      </c>
      <c r="P2690" s="9">
        <v>3.29</v>
      </c>
      <c r="Q2690" s="9">
        <v>6034.37</v>
      </c>
      <c r="R2690" s="2" t="s">
        <v>16709</v>
      </c>
    </row>
    <row r="2691" spans="1:18" x14ac:dyDescent="0.25">
      <c r="A2691" s="2" t="s">
        <v>4297</v>
      </c>
      <c r="B2691" s="6">
        <v>46174</v>
      </c>
      <c r="C2691" s="8">
        <v>46203</v>
      </c>
      <c r="D2691" s="2" t="s">
        <v>199</v>
      </c>
      <c r="E2691" s="2" t="s">
        <v>260</v>
      </c>
      <c r="F2691" s="2" t="s">
        <v>16703</v>
      </c>
      <c r="G2691" s="2" t="s">
        <v>4299</v>
      </c>
      <c r="H2691" s="2" t="s">
        <v>70</v>
      </c>
      <c r="I2691" s="9">
        <v>15383.894737000001</v>
      </c>
      <c r="J2691" s="7">
        <v>0.66500000000000004</v>
      </c>
      <c r="K2691" s="9">
        <v>10230.290000000001</v>
      </c>
      <c r="L2691" s="14">
        <v>0</v>
      </c>
      <c r="M2691" s="2" t="s">
        <v>71</v>
      </c>
      <c r="N2691" s="2" t="s">
        <v>16704</v>
      </c>
      <c r="O2691" s="2" t="s">
        <v>4298</v>
      </c>
      <c r="P2691" s="9">
        <v>5.63</v>
      </c>
      <c r="Q2691" s="9">
        <v>10230.290000000001</v>
      </c>
      <c r="R2691" s="2" t="s">
        <v>16708</v>
      </c>
    </row>
    <row r="2692" spans="1:18" x14ac:dyDescent="0.25">
      <c r="A2692" s="2" t="s">
        <v>4300</v>
      </c>
      <c r="B2692" s="6">
        <v>46204</v>
      </c>
      <c r="C2692" s="8">
        <v>46204</v>
      </c>
      <c r="D2692" s="2" t="s">
        <v>199</v>
      </c>
      <c r="E2692" s="2" t="s">
        <v>260</v>
      </c>
      <c r="F2692" s="2" t="s">
        <v>16703</v>
      </c>
      <c r="G2692" s="2" t="s">
        <v>4302</v>
      </c>
      <c r="H2692" s="2" t="s">
        <v>39</v>
      </c>
      <c r="I2692" s="9">
        <v>10403.299999999999</v>
      </c>
      <c r="J2692" s="7">
        <v>1</v>
      </c>
      <c r="K2692" s="9">
        <v>10403.299999999999</v>
      </c>
      <c r="L2692" s="14">
        <v>0</v>
      </c>
      <c r="M2692" s="2" t="s">
        <v>71</v>
      </c>
      <c r="N2692" s="2" t="s">
        <v>16706</v>
      </c>
      <c r="O2692" s="2" t="s">
        <v>4301</v>
      </c>
      <c r="P2692" s="9">
        <v>5.72</v>
      </c>
      <c r="Q2692" s="9">
        <v>10403.299999999999</v>
      </c>
      <c r="R2692" s="2" t="s">
        <v>16709</v>
      </c>
    </row>
    <row r="2693" spans="1:18" x14ac:dyDescent="0.25">
      <c r="A2693" s="2" t="s">
        <v>4303</v>
      </c>
      <c r="B2693" s="6">
        <v>46174</v>
      </c>
      <c r="C2693" s="8">
        <v>46195</v>
      </c>
      <c r="D2693" s="2" t="s">
        <v>199</v>
      </c>
      <c r="E2693" s="2" t="s">
        <v>260</v>
      </c>
      <c r="F2693" s="2" t="s">
        <v>16703</v>
      </c>
      <c r="G2693" s="2" t="s">
        <v>4305</v>
      </c>
      <c r="H2693" s="2" t="s">
        <v>76</v>
      </c>
      <c r="I2693" s="9">
        <v>67688384</v>
      </c>
      <c r="J2693" s="7">
        <v>6.2500000000000001E-5</v>
      </c>
      <c r="K2693" s="9">
        <v>4230.5200000000004</v>
      </c>
      <c r="L2693" s="14">
        <v>0</v>
      </c>
      <c r="M2693" s="2" t="s">
        <v>71</v>
      </c>
      <c r="N2693" s="2" t="s">
        <v>16704</v>
      </c>
      <c r="O2693" s="2" t="s">
        <v>4304</v>
      </c>
      <c r="P2693" s="9">
        <v>2.33</v>
      </c>
      <c r="Q2693" s="9">
        <v>4230.5200000000004</v>
      </c>
      <c r="R2693" s="2" t="s">
        <v>16708</v>
      </c>
    </row>
    <row r="2694" spans="1:18" x14ac:dyDescent="0.25">
      <c r="A2694" s="2" t="s">
        <v>4306</v>
      </c>
      <c r="B2694" s="6">
        <v>46204</v>
      </c>
      <c r="C2694" s="8">
        <v>46220</v>
      </c>
      <c r="D2694" s="2" t="s">
        <v>199</v>
      </c>
      <c r="E2694" s="2" t="s">
        <v>260</v>
      </c>
      <c r="F2694" s="2" t="s">
        <v>16703</v>
      </c>
      <c r="G2694" s="2" t="s">
        <v>4307</v>
      </c>
      <c r="H2694" s="2" t="s">
        <v>76</v>
      </c>
      <c r="I2694" s="9">
        <v>101532576</v>
      </c>
      <c r="J2694" s="7">
        <v>6.2000000000000003E-5</v>
      </c>
      <c r="K2694" s="9">
        <v>6295.02</v>
      </c>
      <c r="L2694" s="14">
        <v>0</v>
      </c>
      <c r="M2694" s="2" t="s">
        <v>71</v>
      </c>
      <c r="N2694" s="2" t="s">
        <v>16706</v>
      </c>
      <c r="O2694" s="2" t="s">
        <v>4304</v>
      </c>
      <c r="P2694" s="9">
        <v>3.46</v>
      </c>
      <c r="Q2694" s="9">
        <v>6345.79</v>
      </c>
      <c r="R2694" s="2" t="s">
        <v>16709</v>
      </c>
    </row>
    <row r="2695" spans="1:18" x14ac:dyDescent="0.25">
      <c r="A2695" s="2" t="s">
        <v>4308</v>
      </c>
      <c r="B2695" s="6">
        <v>46204</v>
      </c>
      <c r="C2695" s="8">
        <v>46206</v>
      </c>
      <c r="D2695" s="2" t="s">
        <v>199</v>
      </c>
      <c r="E2695" s="2" t="s">
        <v>260</v>
      </c>
      <c r="F2695" s="2" t="s">
        <v>16703</v>
      </c>
      <c r="G2695" s="2" t="s">
        <v>4310</v>
      </c>
      <c r="H2695" s="2" t="s">
        <v>70</v>
      </c>
      <c r="I2695" s="9">
        <v>16164.390976999999</v>
      </c>
      <c r="J2695" s="7">
        <v>0.65800000000000003</v>
      </c>
      <c r="K2695" s="9">
        <v>10636.17</v>
      </c>
      <c r="L2695" s="14">
        <v>0</v>
      </c>
      <c r="M2695" s="2" t="s">
        <v>71</v>
      </c>
      <c r="N2695" s="2" t="s">
        <v>16706</v>
      </c>
      <c r="O2695" s="2" t="s">
        <v>4309</v>
      </c>
      <c r="P2695" s="9">
        <v>5.85</v>
      </c>
      <c r="Q2695" s="9">
        <v>10749.32</v>
      </c>
      <c r="R2695" s="2" t="s">
        <v>16709</v>
      </c>
    </row>
    <row r="2696" spans="1:18" x14ac:dyDescent="0.25">
      <c r="A2696" s="2" t="s">
        <v>4311</v>
      </c>
      <c r="B2696" s="6">
        <v>46204</v>
      </c>
      <c r="C2696" s="8">
        <v>46207</v>
      </c>
      <c r="D2696" s="2" t="s">
        <v>199</v>
      </c>
      <c r="E2696" s="2" t="s">
        <v>260</v>
      </c>
      <c r="F2696" s="2" t="s">
        <v>16703</v>
      </c>
      <c r="G2696" s="2" t="s">
        <v>4313</v>
      </c>
      <c r="H2696" s="2" t="s">
        <v>39</v>
      </c>
      <c r="I2696" s="9">
        <v>10922.33</v>
      </c>
      <c r="J2696" s="7">
        <v>1</v>
      </c>
      <c r="K2696" s="9">
        <v>10922.33</v>
      </c>
      <c r="L2696" s="14">
        <v>0</v>
      </c>
      <c r="M2696" s="2" t="s">
        <v>71</v>
      </c>
      <c r="N2696" s="2" t="s">
        <v>16706</v>
      </c>
      <c r="O2696" s="2" t="s">
        <v>4312</v>
      </c>
      <c r="P2696" s="9">
        <v>6.01</v>
      </c>
      <c r="Q2696" s="9">
        <v>10922.33</v>
      </c>
      <c r="R2696" s="2" t="s">
        <v>16709</v>
      </c>
    </row>
    <row r="2697" spans="1:18" x14ac:dyDescent="0.25">
      <c r="A2697" s="2" t="s">
        <v>4314</v>
      </c>
      <c r="B2697" s="6">
        <v>46204</v>
      </c>
      <c r="C2697" s="8">
        <v>46208</v>
      </c>
      <c r="D2697" s="2" t="s">
        <v>199</v>
      </c>
      <c r="E2697" s="2" t="s">
        <v>260</v>
      </c>
      <c r="F2697" s="2" t="s">
        <v>16703</v>
      </c>
      <c r="G2697" s="2" t="s">
        <v>4316</v>
      </c>
      <c r="H2697" s="2" t="s">
        <v>76</v>
      </c>
      <c r="I2697" s="9">
        <v>177525440</v>
      </c>
      <c r="J2697" s="7">
        <v>6.2000000000000003E-5</v>
      </c>
      <c r="K2697" s="9">
        <v>11006.58</v>
      </c>
      <c r="L2697" s="14">
        <v>0</v>
      </c>
      <c r="M2697" s="2" t="s">
        <v>71</v>
      </c>
      <c r="N2697" s="2" t="s">
        <v>16706</v>
      </c>
      <c r="O2697" s="2" t="s">
        <v>4315</v>
      </c>
      <c r="P2697" s="9">
        <v>6.05</v>
      </c>
      <c r="Q2697" s="9">
        <v>11095.34</v>
      </c>
      <c r="R2697" s="2" t="s">
        <v>16709</v>
      </c>
    </row>
    <row r="2698" spans="1:18" x14ac:dyDescent="0.25">
      <c r="A2698" s="2" t="s">
        <v>4317</v>
      </c>
      <c r="B2698" s="6">
        <v>46204</v>
      </c>
      <c r="C2698" s="8">
        <v>46209</v>
      </c>
      <c r="D2698" s="2" t="s">
        <v>199</v>
      </c>
      <c r="E2698" s="2" t="s">
        <v>260</v>
      </c>
      <c r="F2698" s="2" t="s">
        <v>16703</v>
      </c>
      <c r="G2698" s="2" t="s">
        <v>4319</v>
      </c>
      <c r="H2698" s="2" t="s">
        <v>70</v>
      </c>
      <c r="I2698" s="9">
        <v>16944.887218</v>
      </c>
      <c r="J2698" s="7">
        <v>0.65800000000000003</v>
      </c>
      <c r="K2698" s="9">
        <v>11149.74</v>
      </c>
      <c r="L2698" s="14">
        <v>0</v>
      </c>
      <c r="M2698" s="2" t="s">
        <v>71</v>
      </c>
      <c r="N2698" s="2" t="s">
        <v>16706</v>
      </c>
      <c r="O2698" s="2" t="s">
        <v>4318</v>
      </c>
      <c r="P2698" s="9">
        <v>6.13</v>
      </c>
      <c r="Q2698" s="9">
        <v>11268.35</v>
      </c>
      <c r="R2698" s="2" t="s">
        <v>16709</v>
      </c>
    </row>
    <row r="2699" spans="1:18" x14ac:dyDescent="0.25">
      <c r="A2699" s="2" t="s">
        <v>4320</v>
      </c>
      <c r="B2699" s="6">
        <v>46204</v>
      </c>
      <c r="C2699" s="8">
        <v>46210</v>
      </c>
      <c r="D2699" s="2" t="s">
        <v>199</v>
      </c>
      <c r="E2699" s="2" t="s">
        <v>260</v>
      </c>
      <c r="F2699" s="2" t="s">
        <v>16703</v>
      </c>
      <c r="G2699" s="2" t="s">
        <v>4322</v>
      </c>
      <c r="H2699" s="2" t="s">
        <v>39</v>
      </c>
      <c r="I2699" s="9">
        <v>11441.36</v>
      </c>
      <c r="J2699" s="7">
        <v>1</v>
      </c>
      <c r="K2699" s="9">
        <v>11441.36</v>
      </c>
      <c r="L2699" s="14">
        <v>0</v>
      </c>
      <c r="M2699" s="2" t="s">
        <v>71</v>
      </c>
      <c r="N2699" s="2" t="s">
        <v>16706</v>
      </c>
      <c r="O2699" s="2" t="s">
        <v>4321</v>
      </c>
      <c r="P2699" s="9">
        <v>6.29</v>
      </c>
      <c r="Q2699" s="9">
        <v>11441.36</v>
      </c>
      <c r="R2699" s="2" t="s">
        <v>16709</v>
      </c>
    </row>
    <row r="2700" spans="1:18" x14ac:dyDescent="0.25">
      <c r="A2700" s="2" t="s">
        <v>4323</v>
      </c>
      <c r="B2700" s="6">
        <v>46174</v>
      </c>
      <c r="C2700" s="8">
        <v>46201</v>
      </c>
      <c r="D2700" s="2" t="s">
        <v>199</v>
      </c>
      <c r="E2700" s="2" t="s">
        <v>260</v>
      </c>
      <c r="F2700" s="2" t="s">
        <v>16703</v>
      </c>
      <c r="G2700" s="2" t="s">
        <v>4325</v>
      </c>
      <c r="H2700" s="2" t="s">
        <v>76</v>
      </c>
      <c r="I2700" s="9">
        <v>74331968</v>
      </c>
      <c r="J2700" s="7">
        <v>6.2500000000000001E-5</v>
      </c>
      <c r="K2700" s="9">
        <v>4645.75</v>
      </c>
      <c r="L2700" s="14">
        <v>0</v>
      </c>
      <c r="M2700" s="2" t="s">
        <v>71</v>
      </c>
      <c r="N2700" s="2" t="s">
        <v>16704</v>
      </c>
      <c r="O2700" s="2" t="s">
        <v>4324</v>
      </c>
      <c r="P2700" s="9">
        <v>2.56</v>
      </c>
      <c r="Q2700" s="9">
        <v>4645.75</v>
      </c>
      <c r="R2700" s="2" t="s">
        <v>16708</v>
      </c>
    </row>
    <row r="2701" spans="1:18" x14ac:dyDescent="0.25">
      <c r="A2701" s="2" t="s">
        <v>4326</v>
      </c>
      <c r="B2701" s="6">
        <v>46204</v>
      </c>
      <c r="C2701" s="8">
        <v>46226</v>
      </c>
      <c r="D2701" s="2" t="s">
        <v>199</v>
      </c>
      <c r="E2701" s="2" t="s">
        <v>260</v>
      </c>
      <c r="F2701" s="2" t="s">
        <v>16703</v>
      </c>
      <c r="G2701" s="2" t="s">
        <v>4327</v>
      </c>
      <c r="H2701" s="2" t="s">
        <v>76</v>
      </c>
      <c r="I2701" s="9">
        <v>111497952</v>
      </c>
      <c r="J2701" s="7">
        <v>6.2000000000000003E-5</v>
      </c>
      <c r="K2701" s="9">
        <v>6912.87</v>
      </c>
      <c r="L2701" s="14">
        <v>0</v>
      </c>
      <c r="M2701" s="2" t="s">
        <v>71</v>
      </c>
      <c r="N2701" s="2" t="s">
        <v>16706</v>
      </c>
      <c r="O2701" s="2" t="s">
        <v>4324</v>
      </c>
      <c r="P2701" s="9">
        <v>3.8</v>
      </c>
      <c r="Q2701" s="9">
        <v>6968.62</v>
      </c>
      <c r="R2701" s="2" t="s">
        <v>16709</v>
      </c>
    </row>
    <row r="2702" spans="1:18" x14ac:dyDescent="0.25">
      <c r="A2702" s="2" t="s">
        <v>4328</v>
      </c>
      <c r="B2702" s="6">
        <v>46174</v>
      </c>
      <c r="C2702" s="8">
        <v>46202</v>
      </c>
      <c r="D2702" s="2" t="s">
        <v>199</v>
      </c>
      <c r="E2702" s="2" t="s">
        <v>260</v>
      </c>
      <c r="F2702" s="2" t="s">
        <v>16703</v>
      </c>
      <c r="G2702" s="2" t="s">
        <v>4330</v>
      </c>
      <c r="H2702" s="2" t="s">
        <v>70</v>
      </c>
      <c r="I2702" s="9">
        <v>7090.1533840000002</v>
      </c>
      <c r="J2702" s="7">
        <v>0.66500000000000004</v>
      </c>
      <c r="K2702" s="9">
        <v>4714.95</v>
      </c>
      <c r="L2702" s="14">
        <v>0</v>
      </c>
      <c r="M2702" s="2" t="s">
        <v>71</v>
      </c>
      <c r="N2702" s="2" t="s">
        <v>16704</v>
      </c>
      <c r="O2702" s="2" t="s">
        <v>4329</v>
      </c>
      <c r="P2702" s="9">
        <v>2.59</v>
      </c>
      <c r="Q2702" s="9">
        <v>4714.95</v>
      </c>
      <c r="R2702" s="2" t="s">
        <v>16708</v>
      </c>
    </row>
    <row r="2703" spans="1:18" x14ac:dyDescent="0.25">
      <c r="A2703" s="2" t="s">
        <v>4331</v>
      </c>
      <c r="B2703" s="6">
        <v>46204</v>
      </c>
      <c r="C2703" s="8">
        <v>46227</v>
      </c>
      <c r="D2703" s="2" t="s">
        <v>199</v>
      </c>
      <c r="E2703" s="2" t="s">
        <v>260</v>
      </c>
      <c r="F2703" s="2" t="s">
        <v>16703</v>
      </c>
      <c r="G2703" s="2" t="s">
        <v>4332</v>
      </c>
      <c r="H2703" s="2" t="s">
        <v>70</v>
      </c>
      <c r="I2703" s="9">
        <v>10635.230074999999</v>
      </c>
      <c r="J2703" s="7">
        <v>0.65800000000000003</v>
      </c>
      <c r="K2703" s="9">
        <v>6997.98</v>
      </c>
      <c r="L2703" s="14">
        <v>0</v>
      </c>
      <c r="M2703" s="2" t="s">
        <v>71</v>
      </c>
      <c r="N2703" s="2" t="s">
        <v>16706</v>
      </c>
      <c r="O2703" s="2" t="s">
        <v>4329</v>
      </c>
      <c r="P2703" s="9">
        <v>3.85</v>
      </c>
      <c r="Q2703" s="9">
        <v>7072.43</v>
      </c>
      <c r="R2703" s="2" t="s">
        <v>16709</v>
      </c>
    </row>
    <row r="2704" spans="1:18" x14ac:dyDescent="0.25">
      <c r="A2704" s="2" t="s">
        <v>4333</v>
      </c>
      <c r="B2704" s="6">
        <v>46204</v>
      </c>
      <c r="C2704" s="8">
        <v>46213</v>
      </c>
      <c r="D2704" s="2" t="s">
        <v>199</v>
      </c>
      <c r="E2704" s="2" t="s">
        <v>260</v>
      </c>
      <c r="F2704" s="2" t="s">
        <v>16703</v>
      </c>
      <c r="G2704" s="2" t="s">
        <v>4335</v>
      </c>
      <c r="H2704" s="2" t="s">
        <v>39</v>
      </c>
      <c r="I2704" s="9">
        <v>11960.39</v>
      </c>
      <c r="J2704" s="7">
        <v>1</v>
      </c>
      <c r="K2704" s="9">
        <v>11960.39</v>
      </c>
      <c r="L2704" s="14">
        <v>0</v>
      </c>
      <c r="M2704" s="2" t="s">
        <v>71</v>
      </c>
      <c r="N2704" s="2" t="s">
        <v>16706</v>
      </c>
      <c r="O2704" s="2" t="s">
        <v>4334</v>
      </c>
      <c r="P2704" s="9">
        <v>6.58</v>
      </c>
      <c r="Q2704" s="9">
        <v>11960.39</v>
      </c>
      <c r="R2704" s="2" t="s">
        <v>16709</v>
      </c>
    </row>
    <row r="2705" spans="1:18" x14ac:dyDescent="0.25">
      <c r="A2705" s="2" t="s">
        <v>4336</v>
      </c>
      <c r="B2705" s="6">
        <v>46204</v>
      </c>
      <c r="C2705" s="8">
        <v>46214</v>
      </c>
      <c r="D2705" s="2" t="s">
        <v>199</v>
      </c>
      <c r="E2705" s="2" t="s">
        <v>260</v>
      </c>
      <c r="F2705" s="2" t="s">
        <v>16703</v>
      </c>
      <c r="G2705" s="2" t="s">
        <v>4338</v>
      </c>
      <c r="H2705" s="2" t="s">
        <v>76</v>
      </c>
      <c r="I2705" s="9">
        <v>194134400</v>
      </c>
      <c r="J2705" s="7">
        <v>6.2000000000000003E-5</v>
      </c>
      <c r="K2705" s="9">
        <v>12036.33</v>
      </c>
      <c r="L2705" s="14">
        <v>0</v>
      </c>
      <c r="M2705" s="2" t="s">
        <v>71</v>
      </c>
      <c r="N2705" s="2" t="s">
        <v>16706</v>
      </c>
      <c r="O2705" s="2" t="s">
        <v>4337</v>
      </c>
      <c r="P2705" s="9">
        <v>6.62</v>
      </c>
      <c r="Q2705" s="9">
        <v>12133.4</v>
      </c>
      <c r="R2705" s="2" t="s">
        <v>16709</v>
      </c>
    </row>
    <row r="2706" spans="1:18" x14ac:dyDescent="0.25">
      <c r="A2706" s="2" t="s">
        <v>4339</v>
      </c>
      <c r="B2706" s="6">
        <v>46204</v>
      </c>
      <c r="C2706" s="8">
        <v>46205</v>
      </c>
      <c r="D2706" s="2" t="s">
        <v>199</v>
      </c>
      <c r="E2706" s="2" t="s">
        <v>260</v>
      </c>
      <c r="F2706" s="2" t="s">
        <v>16703</v>
      </c>
      <c r="G2706" s="2" t="s">
        <v>4341</v>
      </c>
      <c r="H2706" s="2" t="s">
        <v>70</v>
      </c>
      <c r="I2706" s="9">
        <v>7402.3518800000002</v>
      </c>
      <c r="J2706" s="7">
        <v>0.65800000000000003</v>
      </c>
      <c r="K2706" s="9">
        <v>4870.75</v>
      </c>
      <c r="L2706" s="14">
        <v>0</v>
      </c>
      <c r="M2706" s="2" t="s">
        <v>71</v>
      </c>
      <c r="N2706" s="2" t="s">
        <v>16706</v>
      </c>
      <c r="O2706" s="2" t="s">
        <v>4340</v>
      </c>
      <c r="P2706" s="9">
        <v>2.68</v>
      </c>
      <c r="Q2706" s="9">
        <v>4922.5600000000004</v>
      </c>
      <c r="R2706" s="2" t="s">
        <v>16709</v>
      </c>
    </row>
    <row r="2707" spans="1:18" x14ac:dyDescent="0.25">
      <c r="A2707" s="2" t="s">
        <v>4342</v>
      </c>
      <c r="B2707" s="6">
        <v>46204</v>
      </c>
      <c r="C2707" s="8">
        <v>46230</v>
      </c>
      <c r="D2707" s="2" t="s">
        <v>199</v>
      </c>
      <c r="E2707" s="2" t="s">
        <v>260</v>
      </c>
      <c r="F2707" s="2" t="s">
        <v>16703</v>
      </c>
      <c r="G2707" s="2" t="s">
        <v>4343</v>
      </c>
      <c r="H2707" s="2" t="s">
        <v>70</v>
      </c>
      <c r="I2707" s="9">
        <v>11103.527819000001</v>
      </c>
      <c r="J2707" s="7">
        <v>0.65800000000000003</v>
      </c>
      <c r="K2707" s="9">
        <v>7306.12</v>
      </c>
      <c r="L2707" s="14">
        <v>0</v>
      </c>
      <c r="M2707" s="2" t="s">
        <v>71</v>
      </c>
      <c r="N2707" s="2" t="s">
        <v>16706</v>
      </c>
      <c r="O2707" s="2" t="s">
        <v>4340</v>
      </c>
      <c r="P2707" s="9">
        <v>4.0199999999999996</v>
      </c>
      <c r="Q2707" s="9">
        <v>7383.85</v>
      </c>
      <c r="R2707" s="2" t="s">
        <v>16709</v>
      </c>
    </row>
    <row r="2708" spans="1:18" x14ac:dyDescent="0.25">
      <c r="A2708" s="2" t="s">
        <v>4344</v>
      </c>
      <c r="B2708" s="6">
        <v>46204</v>
      </c>
      <c r="C2708" s="8">
        <v>46216</v>
      </c>
      <c r="D2708" s="2" t="s">
        <v>199</v>
      </c>
      <c r="E2708" s="2" t="s">
        <v>260</v>
      </c>
      <c r="F2708" s="2" t="s">
        <v>16703</v>
      </c>
      <c r="G2708" s="2" t="s">
        <v>4346</v>
      </c>
      <c r="H2708" s="2" t="s">
        <v>39</v>
      </c>
      <c r="I2708" s="9">
        <v>12479.42</v>
      </c>
      <c r="J2708" s="7">
        <v>1</v>
      </c>
      <c r="K2708" s="9">
        <v>12479.42</v>
      </c>
      <c r="L2708" s="14">
        <v>0</v>
      </c>
      <c r="M2708" s="2" t="s">
        <v>71</v>
      </c>
      <c r="N2708" s="2" t="s">
        <v>16706</v>
      </c>
      <c r="O2708" s="2" t="s">
        <v>4345</v>
      </c>
      <c r="P2708" s="9">
        <v>6.86</v>
      </c>
      <c r="Q2708" s="9">
        <v>12479.42</v>
      </c>
      <c r="R2708" s="2" t="s">
        <v>16709</v>
      </c>
    </row>
    <row r="2709" spans="1:18" x14ac:dyDescent="0.25">
      <c r="A2709" s="2" t="s">
        <v>4347</v>
      </c>
      <c r="B2709" s="6">
        <v>46204</v>
      </c>
      <c r="C2709" s="8">
        <v>46217</v>
      </c>
      <c r="D2709" s="2" t="s">
        <v>199</v>
      </c>
      <c r="E2709" s="2" t="s">
        <v>260</v>
      </c>
      <c r="F2709" s="2" t="s">
        <v>16703</v>
      </c>
      <c r="G2709" s="2" t="s">
        <v>4349</v>
      </c>
      <c r="H2709" s="2" t="s">
        <v>76</v>
      </c>
      <c r="I2709" s="9">
        <v>202438880</v>
      </c>
      <c r="J2709" s="7">
        <v>6.2000000000000003E-5</v>
      </c>
      <c r="K2709" s="9">
        <v>12551.21</v>
      </c>
      <c r="L2709" s="14">
        <v>0</v>
      </c>
      <c r="M2709" s="2" t="s">
        <v>71</v>
      </c>
      <c r="N2709" s="2" t="s">
        <v>16706</v>
      </c>
      <c r="O2709" s="2" t="s">
        <v>4348</v>
      </c>
      <c r="P2709" s="9">
        <v>6.9</v>
      </c>
      <c r="Q2709" s="9">
        <v>12652.43</v>
      </c>
      <c r="R2709" s="2" t="s">
        <v>16709</v>
      </c>
    </row>
    <row r="2710" spans="1:18" x14ac:dyDescent="0.25">
      <c r="A2710" s="2" t="s">
        <v>4350</v>
      </c>
      <c r="B2710" s="6">
        <v>46204</v>
      </c>
      <c r="C2710" s="8">
        <v>46218</v>
      </c>
      <c r="D2710" s="2" t="s">
        <v>199</v>
      </c>
      <c r="E2710" s="2" t="s">
        <v>260</v>
      </c>
      <c r="F2710" s="2" t="s">
        <v>16703</v>
      </c>
      <c r="G2710" s="2" t="s">
        <v>4352</v>
      </c>
      <c r="H2710" s="2" t="s">
        <v>70</v>
      </c>
      <c r="I2710" s="9">
        <v>19286.375940000002</v>
      </c>
      <c r="J2710" s="7">
        <v>0.65800000000000003</v>
      </c>
      <c r="K2710" s="9">
        <v>12690.44</v>
      </c>
      <c r="L2710" s="14">
        <v>0</v>
      </c>
      <c r="M2710" s="2" t="s">
        <v>71</v>
      </c>
      <c r="N2710" s="2" t="s">
        <v>16706</v>
      </c>
      <c r="O2710" s="2" t="s">
        <v>4351</v>
      </c>
      <c r="P2710" s="9">
        <v>6.98</v>
      </c>
      <c r="Q2710" s="9">
        <v>12825.44</v>
      </c>
      <c r="R2710" s="2" t="s">
        <v>16709</v>
      </c>
    </row>
    <row r="2711" spans="1:18" x14ac:dyDescent="0.25">
      <c r="A2711" s="2" t="s">
        <v>4353</v>
      </c>
      <c r="B2711" s="6">
        <v>46204</v>
      </c>
      <c r="C2711" s="8">
        <v>46219</v>
      </c>
      <c r="D2711" s="2" t="s">
        <v>199</v>
      </c>
      <c r="E2711" s="2" t="s">
        <v>260</v>
      </c>
      <c r="F2711" s="2" t="s">
        <v>16703</v>
      </c>
      <c r="G2711" s="2" t="s">
        <v>4355</v>
      </c>
      <c r="H2711" s="2" t="s">
        <v>39</v>
      </c>
      <c r="I2711" s="9">
        <v>12998.45</v>
      </c>
      <c r="J2711" s="7">
        <v>1</v>
      </c>
      <c r="K2711" s="9">
        <v>12998.45</v>
      </c>
      <c r="L2711" s="14">
        <v>0</v>
      </c>
      <c r="M2711" s="2" t="s">
        <v>71</v>
      </c>
      <c r="N2711" s="2" t="s">
        <v>16706</v>
      </c>
      <c r="O2711" s="2" t="s">
        <v>4354</v>
      </c>
      <c r="P2711" s="9">
        <v>7.15</v>
      </c>
      <c r="Q2711" s="9">
        <v>12998.45</v>
      </c>
      <c r="R2711" s="2" t="s">
        <v>16709</v>
      </c>
    </row>
    <row r="2712" spans="1:18" x14ac:dyDescent="0.25">
      <c r="A2712" s="2" t="s">
        <v>4356</v>
      </c>
      <c r="B2712" s="6">
        <v>46204</v>
      </c>
      <c r="C2712" s="8">
        <v>46220</v>
      </c>
      <c r="D2712" s="2" t="s">
        <v>199</v>
      </c>
      <c r="E2712" s="2" t="s">
        <v>260</v>
      </c>
      <c r="F2712" s="2" t="s">
        <v>16703</v>
      </c>
      <c r="G2712" s="2" t="s">
        <v>4358</v>
      </c>
      <c r="H2712" s="2" t="s">
        <v>76</v>
      </c>
      <c r="I2712" s="9">
        <v>210743360</v>
      </c>
      <c r="J2712" s="7">
        <v>6.2000000000000003E-5</v>
      </c>
      <c r="K2712" s="9">
        <v>13066.09</v>
      </c>
      <c r="L2712" s="14">
        <v>0</v>
      </c>
      <c r="M2712" s="2" t="s">
        <v>71</v>
      </c>
      <c r="N2712" s="2" t="s">
        <v>16706</v>
      </c>
      <c r="O2712" s="2" t="s">
        <v>4357</v>
      </c>
      <c r="P2712" s="9">
        <v>7.19</v>
      </c>
      <c r="Q2712" s="9">
        <v>13171.46</v>
      </c>
      <c r="R2712" s="2" t="s">
        <v>16709</v>
      </c>
    </row>
    <row r="2713" spans="1:18" x14ac:dyDescent="0.25">
      <c r="A2713" s="2" t="s">
        <v>4359</v>
      </c>
      <c r="B2713" s="6">
        <v>46204</v>
      </c>
      <c r="C2713" s="8">
        <v>46211</v>
      </c>
      <c r="D2713" s="2" t="s">
        <v>199</v>
      </c>
      <c r="E2713" s="2" t="s">
        <v>260</v>
      </c>
      <c r="F2713" s="2" t="s">
        <v>16703</v>
      </c>
      <c r="G2713" s="2" t="s">
        <v>4361</v>
      </c>
      <c r="H2713" s="2" t="s">
        <v>70</v>
      </c>
      <c r="I2713" s="9">
        <v>8026.7488720000001</v>
      </c>
      <c r="J2713" s="7">
        <v>0.65800000000000003</v>
      </c>
      <c r="K2713" s="9">
        <v>5281.6</v>
      </c>
      <c r="L2713" s="14">
        <v>0</v>
      </c>
      <c r="M2713" s="2" t="s">
        <v>71</v>
      </c>
      <c r="N2713" s="2" t="s">
        <v>16706</v>
      </c>
      <c r="O2713" s="2" t="s">
        <v>4360</v>
      </c>
      <c r="P2713" s="9">
        <v>2.9</v>
      </c>
      <c r="Q2713" s="9">
        <v>5337.79</v>
      </c>
      <c r="R2713" s="2" t="s">
        <v>16709</v>
      </c>
    </row>
    <row r="2714" spans="1:18" x14ac:dyDescent="0.25">
      <c r="A2714" s="2" t="s">
        <v>4364</v>
      </c>
      <c r="B2714" s="6">
        <v>46204</v>
      </c>
      <c r="C2714" s="8">
        <v>46212</v>
      </c>
      <c r="D2714" s="2" t="s">
        <v>199</v>
      </c>
      <c r="E2714" s="2" t="s">
        <v>260</v>
      </c>
      <c r="F2714" s="2" t="s">
        <v>16703</v>
      </c>
      <c r="G2714" s="2" t="s">
        <v>4366</v>
      </c>
      <c r="H2714" s="2" t="s">
        <v>39</v>
      </c>
      <c r="I2714" s="9">
        <v>5406.9920000000002</v>
      </c>
      <c r="J2714" s="7">
        <v>1</v>
      </c>
      <c r="K2714" s="9">
        <v>5406.99</v>
      </c>
      <c r="L2714" s="14">
        <v>0</v>
      </c>
      <c r="M2714" s="2" t="s">
        <v>71</v>
      </c>
      <c r="N2714" s="2" t="s">
        <v>16706</v>
      </c>
      <c r="O2714" s="2" t="s">
        <v>4365</v>
      </c>
      <c r="P2714" s="9">
        <v>2.97</v>
      </c>
      <c r="Q2714" s="9">
        <v>5406.99</v>
      </c>
      <c r="R2714" s="2" t="s">
        <v>16709</v>
      </c>
    </row>
    <row r="2715" spans="1:18" x14ac:dyDescent="0.25">
      <c r="A2715" s="2" t="s">
        <v>4369</v>
      </c>
      <c r="B2715" s="6">
        <v>46204</v>
      </c>
      <c r="C2715" s="8">
        <v>46223</v>
      </c>
      <c r="D2715" s="2" t="s">
        <v>199</v>
      </c>
      <c r="E2715" s="2" t="s">
        <v>260</v>
      </c>
      <c r="F2715" s="2" t="s">
        <v>16703</v>
      </c>
      <c r="G2715" s="2" t="s">
        <v>4371</v>
      </c>
      <c r="H2715" s="2" t="s">
        <v>76</v>
      </c>
      <c r="I2715" s="9">
        <v>219047840</v>
      </c>
      <c r="J2715" s="7">
        <v>6.2000000000000003E-5</v>
      </c>
      <c r="K2715" s="9">
        <v>13580.97</v>
      </c>
      <c r="L2715" s="14">
        <v>0</v>
      </c>
      <c r="M2715" s="2" t="s">
        <v>71</v>
      </c>
      <c r="N2715" s="2" t="s">
        <v>16706</v>
      </c>
      <c r="O2715" s="2" t="s">
        <v>4370</v>
      </c>
      <c r="P2715" s="9">
        <v>7.47</v>
      </c>
      <c r="Q2715" s="9">
        <v>13690.49</v>
      </c>
      <c r="R2715" s="2" t="s">
        <v>16709</v>
      </c>
    </row>
    <row r="2716" spans="1:18" x14ac:dyDescent="0.25">
      <c r="A2716" s="2" t="s">
        <v>4372</v>
      </c>
      <c r="B2716" s="6">
        <v>46204</v>
      </c>
      <c r="C2716" s="8">
        <v>46224</v>
      </c>
      <c r="D2716" s="2" t="s">
        <v>199</v>
      </c>
      <c r="E2716" s="2" t="s">
        <v>260</v>
      </c>
      <c r="F2716" s="2" t="s">
        <v>16703</v>
      </c>
      <c r="G2716" s="2" t="s">
        <v>4374</v>
      </c>
      <c r="H2716" s="2" t="s">
        <v>70</v>
      </c>
      <c r="I2716" s="9">
        <v>20847.368420999999</v>
      </c>
      <c r="J2716" s="7">
        <v>0.65800000000000003</v>
      </c>
      <c r="K2716" s="9">
        <v>13717.57</v>
      </c>
      <c r="L2716" s="14">
        <v>0</v>
      </c>
      <c r="M2716" s="2" t="s">
        <v>71</v>
      </c>
      <c r="N2716" s="2" t="s">
        <v>16706</v>
      </c>
      <c r="O2716" s="2" t="s">
        <v>4373</v>
      </c>
      <c r="P2716" s="9">
        <v>7.54</v>
      </c>
      <c r="Q2716" s="9">
        <v>13863.5</v>
      </c>
      <c r="R2716" s="2" t="s">
        <v>16709</v>
      </c>
    </row>
    <row r="2717" spans="1:18" x14ac:dyDescent="0.25">
      <c r="A2717" s="2" t="s">
        <v>4375</v>
      </c>
      <c r="B2717" s="6">
        <v>46204</v>
      </c>
      <c r="C2717" s="8">
        <v>46215</v>
      </c>
      <c r="D2717" s="2" t="s">
        <v>199</v>
      </c>
      <c r="E2717" s="2" t="s">
        <v>260</v>
      </c>
      <c r="F2717" s="2" t="s">
        <v>16703</v>
      </c>
      <c r="G2717" s="2" t="s">
        <v>4377</v>
      </c>
      <c r="H2717" s="2" t="s">
        <v>39</v>
      </c>
      <c r="I2717" s="9">
        <v>5614.6040000000003</v>
      </c>
      <c r="J2717" s="7">
        <v>1</v>
      </c>
      <c r="K2717" s="9">
        <v>5614.6</v>
      </c>
      <c r="L2717" s="14">
        <v>0</v>
      </c>
      <c r="M2717" s="2" t="s">
        <v>71</v>
      </c>
      <c r="N2717" s="2" t="s">
        <v>16706</v>
      </c>
      <c r="O2717" s="2" t="s">
        <v>4376</v>
      </c>
      <c r="P2717" s="9">
        <v>3.09</v>
      </c>
      <c r="Q2717" s="9">
        <v>5614.6</v>
      </c>
      <c r="R2717" s="2" t="s">
        <v>16709</v>
      </c>
    </row>
    <row r="2718" spans="1:18" x14ac:dyDescent="0.25">
      <c r="A2718" s="2" t="s">
        <v>4380</v>
      </c>
      <c r="B2718" s="6">
        <v>46204</v>
      </c>
      <c r="C2718" s="8">
        <v>46226</v>
      </c>
      <c r="D2718" s="2" t="s">
        <v>199</v>
      </c>
      <c r="E2718" s="2" t="s">
        <v>260</v>
      </c>
      <c r="F2718" s="2" t="s">
        <v>16703</v>
      </c>
      <c r="G2718" s="2" t="s">
        <v>4382</v>
      </c>
      <c r="H2718" s="2" t="s">
        <v>76</v>
      </c>
      <c r="I2718" s="9">
        <v>227352320</v>
      </c>
      <c r="J2718" s="7">
        <v>6.2000000000000003E-5</v>
      </c>
      <c r="K2718" s="9">
        <v>14095.84</v>
      </c>
      <c r="L2718" s="14">
        <v>0</v>
      </c>
      <c r="M2718" s="2" t="s">
        <v>71</v>
      </c>
      <c r="N2718" s="2" t="s">
        <v>16706</v>
      </c>
      <c r="O2718" s="2" t="s">
        <v>4381</v>
      </c>
      <c r="P2718" s="9">
        <v>7.75</v>
      </c>
      <c r="Q2718" s="9">
        <v>14209.52</v>
      </c>
      <c r="R2718" s="2" t="s">
        <v>16709</v>
      </c>
    </row>
    <row r="2719" spans="1:18" x14ac:dyDescent="0.25">
      <c r="A2719" s="2" t="s">
        <v>4383</v>
      </c>
      <c r="B2719" s="6">
        <v>46204</v>
      </c>
      <c r="C2719" s="8">
        <v>46227</v>
      </c>
      <c r="D2719" s="2" t="s">
        <v>199</v>
      </c>
      <c r="E2719" s="2" t="s">
        <v>260</v>
      </c>
      <c r="F2719" s="2" t="s">
        <v>16703</v>
      </c>
      <c r="G2719" s="2" t="s">
        <v>4385</v>
      </c>
      <c r="H2719" s="2" t="s">
        <v>70</v>
      </c>
      <c r="I2719" s="9">
        <v>21627.864662</v>
      </c>
      <c r="J2719" s="7">
        <v>0.65800000000000003</v>
      </c>
      <c r="K2719" s="9">
        <v>14231.13</v>
      </c>
      <c r="L2719" s="14">
        <v>0</v>
      </c>
      <c r="M2719" s="2" t="s">
        <v>71</v>
      </c>
      <c r="N2719" s="2" t="s">
        <v>16706</v>
      </c>
      <c r="O2719" s="2" t="s">
        <v>4384</v>
      </c>
      <c r="P2719" s="9">
        <v>7.83</v>
      </c>
      <c r="Q2719" s="9">
        <v>14382.53</v>
      </c>
      <c r="R2719" s="2" t="s">
        <v>16709</v>
      </c>
    </row>
    <row r="2720" spans="1:18" x14ac:dyDescent="0.25">
      <c r="A2720" s="2" t="s">
        <v>4386</v>
      </c>
      <c r="B2720" s="6">
        <v>46174</v>
      </c>
      <c r="C2720" s="8">
        <v>46198</v>
      </c>
      <c r="D2720" s="2" t="s">
        <v>199</v>
      </c>
      <c r="E2720" s="2" t="s">
        <v>260</v>
      </c>
      <c r="F2720" s="2" t="s">
        <v>16703</v>
      </c>
      <c r="G2720" s="2" t="s">
        <v>4388</v>
      </c>
      <c r="H2720" s="2" t="s">
        <v>39</v>
      </c>
      <c r="I2720" s="9">
        <v>14555.54</v>
      </c>
      <c r="J2720" s="7">
        <v>1</v>
      </c>
      <c r="K2720" s="9">
        <v>14555.54</v>
      </c>
      <c r="L2720" s="14">
        <v>0</v>
      </c>
      <c r="M2720" s="2" t="s">
        <v>71</v>
      </c>
      <c r="N2720" s="2" t="s">
        <v>16704</v>
      </c>
      <c r="O2720" s="2" t="s">
        <v>4387</v>
      </c>
      <c r="P2720" s="9">
        <v>8.01</v>
      </c>
      <c r="Q2720" s="9">
        <v>14555.54</v>
      </c>
      <c r="R2720" s="2" t="s">
        <v>16708</v>
      </c>
    </row>
    <row r="2721" spans="1:18" x14ac:dyDescent="0.25">
      <c r="A2721" s="2" t="s">
        <v>4389</v>
      </c>
      <c r="B2721" s="6">
        <v>46174</v>
      </c>
      <c r="C2721" s="8">
        <v>46199</v>
      </c>
      <c r="D2721" s="2" t="s">
        <v>199</v>
      </c>
      <c r="E2721" s="2" t="s">
        <v>260</v>
      </c>
      <c r="F2721" s="2" t="s">
        <v>16703</v>
      </c>
      <c r="G2721" s="2" t="s">
        <v>4391</v>
      </c>
      <c r="H2721" s="2" t="s">
        <v>76</v>
      </c>
      <c r="I2721" s="9">
        <v>235656800</v>
      </c>
      <c r="J2721" s="7">
        <v>6.2500000000000001E-5</v>
      </c>
      <c r="K2721" s="9">
        <v>14728.55</v>
      </c>
      <c r="L2721" s="14">
        <v>0</v>
      </c>
      <c r="M2721" s="2" t="s">
        <v>71</v>
      </c>
      <c r="N2721" s="2" t="s">
        <v>16704</v>
      </c>
      <c r="O2721" s="2" t="s">
        <v>4390</v>
      </c>
      <c r="P2721" s="9">
        <v>8.1</v>
      </c>
      <c r="Q2721" s="9">
        <v>14728.55</v>
      </c>
      <c r="R2721" s="2" t="s">
        <v>16708</v>
      </c>
    </row>
    <row r="2722" spans="1:18" x14ac:dyDescent="0.25">
      <c r="A2722" s="2" t="s">
        <v>4392</v>
      </c>
      <c r="B2722" s="6">
        <v>46174</v>
      </c>
      <c r="C2722" s="8">
        <v>46200</v>
      </c>
      <c r="D2722" s="2" t="s">
        <v>199</v>
      </c>
      <c r="E2722" s="2" t="s">
        <v>260</v>
      </c>
      <c r="F2722" s="2" t="s">
        <v>16703</v>
      </c>
      <c r="G2722" s="2" t="s">
        <v>4394</v>
      </c>
      <c r="H2722" s="2" t="s">
        <v>70</v>
      </c>
      <c r="I2722" s="9">
        <v>1355.729323</v>
      </c>
      <c r="J2722" s="7">
        <v>0.66500000000000004</v>
      </c>
      <c r="K2722" s="9">
        <v>901.56</v>
      </c>
      <c r="L2722" s="14">
        <v>0</v>
      </c>
      <c r="M2722" s="2" t="s">
        <v>71</v>
      </c>
      <c r="N2722" s="2" t="s">
        <v>16704</v>
      </c>
      <c r="O2722" s="2" t="s">
        <v>4393</v>
      </c>
      <c r="P2722" s="9">
        <v>1.8</v>
      </c>
      <c r="Q2722" s="9">
        <v>901.56</v>
      </c>
      <c r="R2722" s="2" t="s">
        <v>16708</v>
      </c>
    </row>
    <row r="2723" spans="1:18" x14ac:dyDescent="0.25">
      <c r="A2723" s="2" t="s">
        <v>4395</v>
      </c>
      <c r="B2723" s="6">
        <v>46174</v>
      </c>
      <c r="C2723" s="8">
        <v>46191</v>
      </c>
      <c r="D2723" s="2" t="s">
        <v>199</v>
      </c>
      <c r="E2723" s="2" t="s">
        <v>260</v>
      </c>
      <c r="F2723" s="2" t="s">
        <v>16703</v>
      </c>
      <c r="G2723" s="2" t="s">
        <v>4397</v>
      </c>
      <c r="H2723" s="2" t="s">
        <v>39</v>
      </c>
      <c r="I2723" s="9">
        <v>429.82799999999997</v>
      </c>
      <c r="J2723" s="7">
        <v>1</v>
      </c>
      <c r="K2723" s="9">
        <v>429.83</v>
      </c>
      <c r="L2723" s="14">
        <v>0</v>
      </c>
      <c r="M2723" s="2" t="s">
        <v>71</v>
      </c>
      <c r="N2723" s="2" t="s">
        <v>16704</v>
      </c>
      <c r="O2723" s="2" t="s">
        <v>4396</v>
      </c>
      <c r="P2723" s="9">
        <v>1.8</v>
      </c>
      <c r="Q2723" s="9">
        <v>429.83</v>
      </c>
      <c r="R2723" s="2" t="s">
        <v>16708</v>
      </c>
    </row>
    <row r="2724" spans="1:18" x14ac:dyDescent="0.25">
      <c r="A2724" s="2" t="s">
        <v>4398</v>
      </c>
      <c r="B2724" s="6">
        <v>46204</v>
      </c>
      <c r="C2724" s="8">
        <v>46216</v>
      </c>
      <c r="D2724" s="2" t="s">
        <v>199</v>
      </c>
      <c r="E2724" s="2" t="s">
        <v>260</v>
      </c>
      <c r="F2724" s="2" t="s">
        <v>16703</v>
      </c>
      <c r="G2724" s="2" t="s">
        <v>4399</v>
      </c>
      <c r="H2724" s="2" t="s">
        <v>39</v>
      </c>
      <c r="I2724" s="9">
        <v>644.74199999999996</v>
      </c>
      <c r="J2724" s="7">
        <v>1</v>
      </c>
      <c r="K2724" s="9">
        <v>644.74</v>
      </c>
      <c r="L2724" s="14">
        <v>0</v>
      </c>
      <c r="M2724" s="2" t="s">
        <v>71</v>
      </c>
      <c r="N2724" s="2" t="s">
        <v>16706</v>
      </c>
      <c r="O2724" s="2" t="s">
        <v>4396</v>
      </c>
      <c r="P2724" s="9">
        <v>1.8</v>
      </c>
      <c r="Q2724" s="9">
        <v>644.74</v>
      </c>
      <c r="R2724" s="2" t="s">
        <v>16709</v>
      </c>
    </row>
    <row r="2725" spans="1:18" x14ac:dyDescent="0.25">
      <c r="A2725" s="2" t="s">
        <v>4400</v>
      </c>
      <c r="B2725" s="6">
        <v>46174</v>
      </c>
      <c r="C2725" s="8">
        <v>46192</v>
      </c>
      <c r="D2725" s="2" t="s">
        <v>199</v>
      </c>
      <c r="E2725" s="2" t="s">
        <v>260</v>
      </c>
      <c r="F2725" s="2" t="s">
        <v>16703</v>
      </c>
      <c r="G2725" s="2" t="s">
        <v>4402</v>
      </c>
      <c r="H2725" s="2" t="s">
        <v>76</v>
      </c>
      <c r="I2725" s="9">
        <v>7984512</v>
      </c>
      <c r="J2725" s="7">
        <v>6.2500000000000001E-5</v>
      </c>
      <c r="K2725" s="9">
        <v>499.03</v>
      </c>
      <c r="L2725" s="14">
        <v>0</v>
      </c>
      <c r="M2725" s="2" t="s">
        <v>71</v>
      </c>
      <c r="N2725" s="2" t="s">
        <v>16704</v>
      </c>
      <c r="O2725" s="2" t="s">
        <v>4401</v>
      </c>
      <c r="P2725" s="9">
        <v>1.8</v>
      </c>
      <c r="Q2725" s="9">
        <v>499.03</v>
      </c>
      <c r="R2725" s="2" t="s">
        <v>16708</v>
      </c>
    </row>
    <row r="2726" spans="1:18" x14ac:dyDescent="0.25">
      <c r="A2726" s="2" t="s">
        <v>4403</v>
      </c>
      <c r="B2726" s="6">
        <v>46204</v>
      </c>
      <c r="C2726" s="8">
        <v>46217</v>
      </c>
      <c r="D2726" s="2" t="s">
        <v>199</v>
      </c>
      <c r="E2726" s="2" t="s">
        <v>260</v>
      </c>
      <c r="F2726" s="2" t="s">
        <v>16703</v>
      </c>
      <c r="G2726" s="2" t="s">
        <v>4404</v>
      </c>
      <c r="H2726" s="2" t="s">
        <v>76</v>
      </c>
      <c r="I2726" s="9">
        <v>11976768</v>
      </c>
      <c r="J2726" s="7">
        <v>6.2000000000000003E-5</v>
      </c>
      <c r="K2726" s="9">
        <v>742.56</v>
      </c>
      <c r="L2726" s="14">
        <v>0</v>
      </c>
      <c r="M2726" s="2" t="s">
        <v>71</v>
      </c>
      <c r="N2726" s="2" t="s">
        <v>16706</v>
      </c>
      <c r="O2726" s="2" t="s">
        <v>4401</v>
      </c>
      <c r="P2726" s="9">
        <v>1.8</v>
      </c>
      <c r="Q2726" s="9">
        <v>748.55</v>
      </c>
      <c r="R2726" s="2" t="s">
        <v>16709</v>
      </c>
    </row>
    <row r="2727" spans="1:18" x14ac:dyDescent="0.25">
      <c r="A2727" s="2" t="s">
        <v>4405</v>
      </c>
      <c r="B2727" s="6">
        <v>46174</v>
      </c>
      <c r="C2727" s="8">
        <v>46203</v>
      </c>
      <c r="D2727" s="2" t="s">
        <v>199</v>
      </c>
      <c r="E2727" s="2" t="s">
        <v>260</v>
      </c>
      <c r="F2727" s="2" t="s">
        <v>16703</v>
      </c>
      <c r="G2727" s="2" t="s">
        <v>4407</v>
      </c>
      <c r="H2727" s="2" t="s">
        <v>70</v>
      </c>
      <c r="I2727" s="9">
        <v>2136.2255639999998</v>
      </c>
      <c r="J2727" s="7">
        <v>0.66500000000000004</v>
      </c>
      <c r="K2727" s="9">
        <v>1420.59</v>
      </c>
      <c r="L2727" s="14">
        <v>0</v>
      </c>
      <c r="M2727" s="2" t="s">
        <v>71</v>
      </c>
      <c r="N2727" s="2" t="s">
        <v>16704</v>
      </c>
      <c r="O2727" s="2" t="s">
        <v>4406</v>
      </c>
      <c r="P2727" s="9">
        <v>1.8</v>
      </c>
      <c r="Q2727" s="9">
        <v>1420.59</v>
      </c>
      <c r="R2727" s="2" t="s">
        <v>16708</v>
      </c>
    </row>
    <row r="2728" spans="1:18" x14ac:dyDescent="0.25">
      <c r="A2728" s="2" t="s">
        <v>4408</v>
      </c>
      <c r="B2728" s="6">
        <v>46204</v>
      </c>
      <c r="C2728" s="8">
        <v>46204</v>
      </c>
      <c r="D2728" s="2" t="s">
        <v>199</v>
      </c>
      <c r="E2728" s="2" t="s">
        <v>260</v>
      </c>
      <c r="F2728" s="2" t="s">
        <v>16703</v>
      </c>
      <c r="G2728" s="2" t="s">
        <v>4410</v>
      </c>
      <c r="H2728" s="2" t="s">
        <v>39</v>
      </c>
      <c r="I2728" s="9">
        <v>1593.6</v>
      </c>
      <c r="J2728" s="7">
        <v>1</v>
      </c>
      <c r="K2728" s="9">
        <v>1593.6</v>
      </c>
      <c r="L2728" s="14">
        <v>0</v>
      </c>
      <c r="M2728" s="2" t="s">
        <v>71</v>
      </c>
      <c r="N2728" s="2" t="s">
        <v>16706</v>
      </c>
      <c r="O2728" s="2" t="s">
        <v>4409</v>
      </c>
      <c r="P2728" s="9">
        <v>1.8</v>
      </c>
      <c r="Q2728" s="9">
        <v>1593.6</v>
      </c>
      <c r="R2728" s="2" t="s">
        <v>16709</v>
      </c>
    </row>
    <row r="2729" spans="1:18" x14ac:dyDescent="0.25">
      <c r="A2729" s="2" t="s">
        <v>4411</v>
      </c>
      <c r="B2729" s="6">
        <v>46174</v>
      </c>
      <c r="C2729" s="8">
        <v>46195</v>
      </c>
      <c r="D2729" s="2" t="s">
        <v>199</v>
      </c>
      <c r="E2729" s="2" t="s">
        <v>260</v>
      </c>
      <c r="F2729" s="2" t="s">
        <v>16703</v>
      </c>
      <c r="G2729" s="2" t="s">
        <v>4413</v>
      </c>
      <c r="H2729" s="2" t="s">
        <v>76</v>
      </c>
      <c r="I2729" s="9">
        <v>11306304</v>
      </c>
      <c r="J2729" s="7">
        <v>6.2500000000000001E-5</v>
      </c>
      <c r="K2729" s="9">
        <v>706.64</v>
      </c>
      <c r="L2729" s="14">
        <v>0</v>
      </c>
      <c r="M2729" s="2" t="s">
        <v>71</v>
      </c>
      <c r="N2729" s="2" t="s">
        <v>16704</v>
      </c>
      <c r="O2729" s="2" t="s">
        <v>4412</v>
      </c>
      <c r="P2729" s="9">
        <v>1.8</v>
      </c>
      <c r="Q2729" s="9">
        <v>706.64</v>
      </c>
      <c r="R2729" s="2" t="s">
        <v>16708</v>
      </c>
    </row>
    <row r="2730" spans="1:18" x14ac:dyDescent="0.25">
      <c r="A2730" s="2" t="s">
        <v>4414</v>
      </c>
      <c r="B2730" s="6">
        <v>46204</v>
      </c>
      <c r="C2730" s="8">
        <v>46220</v>
      </c>
      <c r="D2730" s="2" t="s">
        <v>199</v>
      </c>
      <c r="E2730" s="2" t="s">
        <v>260</v>
      </c>
      <c r="F2730" s="2" t="s">
        <v>16703</v>
      </c>
      <c r="G2730" s="2" t="s">
        <v>4415</v>
      </c>
      <c r="H2730" s="2" t="s">
        <v>76</v>
      </c>
      <c r="I2730" s="9">
        <v>16959456</v>
      </c>
      <c r="J2730" s="7">
        <v>6.2000000000000003E-5</v>
      </c>
      <c r="K2730" s="9">
        <v>1051.49</v>
      </c>
      <c r="L2730" s="14">
        <v>0</v>
      </c>
      <c r="M2730" s="2" t="s">
        <v>71</v>
      </c>
      <c r="N2730" s="2" t="s">
        <v>16706</v>
      </c>
      <c r="O2730" s="2" t="s">
        <v>4412</v>
      </c>
      <c r="P2730" s="9">
        <v>1.8</v>
      </c>
      <c r="Q2730" s="9">
        <v>1059.97</v>
      </c>
      <c r="R2730" s="2" t="s">
        <v>16709</v>
      </c>
    </row>
    <row r="2731" spans="1:18" x14ac:dyDescent="0.25">
      <c r="A2731" s="2" t="s">
        <v>4416</v>
      </c>
      <c r="B2731" s="6">
        <v>46204</v>
      </c>
      <c r="C2731" s="8">
        <v>46206</v>
      </c>
      <c r="D2731" s="2" t="s">
        <v>199</v>
      </c>
      <c r="E2731" s="2" t="s">
        <v>260</v>
      </c>
      <c r="F2731" s="2" t="s">
        <v>16703</v>
      </c>
      <c r="G2731" s="2" t="s">
        <v>4418</v>
      </c>
      <c r="H2731" s="2" t="s">
        <v>70</v>
      </c>
      <c r="I2731" s="9">
        <v>2916.7218050000001</v>
      </c>
      <c r="J2731" s="7">
        <v>0.65800000000000003</v>
      </c>
      <c r="K2731" s="9">
        <v>1919.2</v>
      </c>
      <c r="L2731" s="14">
        <v>0</v>
      </c>
      <c r="M2731" s="2" t="s">
        <v>71</v>
      </c>
      <c r="N2731" s="2" t="s">
        <v>16706</v>
      </c>
      <c r="O2731" s="2" t="s">
        <v>4417</v>
      </c>
      <c r="P2731" s="9">
        <v>1.8</v>
      </c>
      <c r="Q2731" s="9">
        <v>1939.62</v>
      </c>
      <c r="R2731" s="2" t="s">
        <v>16709</v>
      </c>
    </row>
    <row r="2732" spans="1:18" x14ac:dyDescent="0.25">
      <c r="A2732" s="2" t="s">
        <v>4419</v>
      </c>
      <c r="B2732" s="6">
        <v>46204</v>
      </c>
      <c r="C2732" s="8">
        <v>46207</v>
      </c>
      <c r="D2732" s="2" t="s">
        <v>199</v>
      </c>
      <c r="E2732" s="2" t="s">
        <v>260</v>
      </c>
      <c r="F2732" s="2" t="s">
        <v>16703</v>
      </c>
      <c r="G2732" s="2" t="s">
        <v>4421</v>
      </c>
      <c r="H2732" s="2" t="s">
        <v>39</v>
      </c>
      <c r="I2732" s="9">
        <v>2112.63</v>
      </c>
      <c r="J2732" s="7">
        <v>1</v>
      </c>
      <c r="K2732" s="9">
        <v>2112.63</v>
      </c>
      <c r="L2732" s="14">
        <v>0</v>
      </c>
      <c r="M2732" s="2" t="s">
        <v>71</v>
      </c>
      <c r="N2732" s="2" t="s">
        <v>16706</v>
      </c>
      <c r="O2732" s="2" t="s">
        <v>4420</v>
      </c>
      <c r="P2732" s="9">
        <v>1.8</v>
      </c>
      <c r="Q2732" s="9">
        <v>2112.63</v>
      </c>
      <c r="R2732" s="2" t="s">
        <v>16709</v>
      </c>
    </row>
    <row r="2733" spans="1:18" x14ac:dyDescent="0.25">
      <c r="A2733" s="2" t="s">
        <v>4422</v>
      </c>
      <c r="B2733" s="6">
        <v>46204</v>
      </c>
      <c r="C2733" s="8">
        <v>46208</v>
      </c>
      <c r="D2733" s="2" t="s">
        <v>199</v>
      </c>
      <c r="E2733" s="2" t="s">
        <v>260</v>
      </c>
      <c r="F2733" s="2" t="s">
        <v>16703</v>
      </c>
      <c r="G2733" s="2" t="s">
        <v>4424</v>
      </c>
      <c r="H2733" s="2" t="s">
        <v>76</v>
      </c>
      <c r="I2733" s="9">
        <v>36570240</v>
      </c>
      <c r="J2733" s="7">
        <v>6.2000000000000003E-5</v>
      </c>
      <c r="K2733" s="9">
        <v>2267.35</v>
      </c>
      <c r="L2733" s="14">
        <v>0</v>
      </c>
      <c r="M2733" s="2" t="s">
        <v>71</v>
      </c>
      <c r="N2733" s="2" t="s">
        <v>16706</v>
      </c>
      <c r="O2733" s="2" t="s">
        <v>4423</v>
      </c>
      <c r="P2733" s="9">
        <v>1.8</v>
      </c>
      <c r="Q2733" s="9">
        <v>2285.64</v>
      </c>
      <c r="R2733" s="2" t="s">
        <v>16709</v>
      </c>
    </row>
    <row r="2734" spans="1:18" x14ac:dyDescent="0.25">
      <c r="A2734" s="2" t="s">
        <v>4425</v>
      </c>
      <c r="B2734" s="6">
        <v>46204</v>
      </c>
      <c r="C2734" s="8">
        <v>46209</v>
      </c>
      <c r="D2734" s="2" t="s">
        <v>199</v>
      </c>
      <c r="E2734" s="2" t="s">
        <v>260</v>
      </c>
      <c r="F2734" s="2" t="s">
        <v>16703</v>
      </c>
      <c r="G2734" s="2" t="s">
        <v>4427</v>
      </c>
      <c r="H2734" s="2" t="s">
        <v>70</v>
      </c>
      <c r="I2734" s="9">
        <v>3697.2180450000001</v>
      </c>
      <c r="J2734" s="7">
        <v>0.65800000000000003</v>
      </c>
      <c r="K2734" s="9">
        <v>2432.77</v>
      </c>
      <c r="L2734" s="14">
        <v>0</v>
      </c>
      <c r="M2734" s="2" t="s">
        <v>71</v>
      </c>
      <c r="N2734" s="2" t="s">
        <v>16706</v>
      </c>
      <c r="O2734" s="2" t="s">
        <v>4426</v>
      </c>
      <c r="P2734" s="9">
        <v>1.8</v>
      </c>
      <c r="Q2734" s="9">
        <v>2458.65</v>
      </c>
      <c r="R2734" s="2" t="s">
        <v>16709</v>
      </c>
    </row>
    <row r="2735" spans="1:18" x14ac:dyDescent="0.25">
      <c r="A2735" s="2" t="s">
        <v>4428</v>
      </c>
      <c r="B2735" s="6">
        <v>46204</v>
      </c>
      <c r="C2735" s="8">
        <v>46210</v>
      </c>
      <c r="D2735" s="2" t="s">
        <v>199</v>
      </c>
      <c r="E2735" s="2" t="s">
        <v>260</v>
      </c>
      <c r="F2735" s="2" t="s">
        <v>16703</v>
      </c>
      <c r="G2735" s="2" t="s">
        <v>4430</v>
      </c>
      <c r="H2735" s="2" t="s">
        <v>39</v>
      </c>
      <c r="I2735" s="9">
        <v>2631.66</v>
      </c>
      <c r="J2735" s="7">
        <v>1</v>
      </c>
      <c r="K2735" s="9">
        <v>2631.66</v>
      </c>
      <c r="L2735" s="14">
        <v>0</v>
      </c>
      <c r="M2735" s="2" t="s">
        <v>71</v>
      </c>
      <c r="N2735" s="2" t="s">
        <v>16706</v>
      </c>
      <c r="O2735" s="2" t="s">
        <v>4429</v>
      </c>
      <c r="P2735" s="9">
        <v>1.8</v>
      </c>
      <c r="Q2735" s="9">
        <v>2631.66</v>
      </c>
      <c r="R2735" s="2" t="s">
        <v>16709</v>
      </c>
    </row>
    <row r="2736" spans="1:18" x14ac:dyDescent="0.25">
      <c r="A2736" s="2" t="s">
        <v>4431</v>
      </c>
      <c r="B2736" s="6">
        <v>46174</v>
      </c>
      <c r="C2736" s="8">
        <v>46201</v>
      </c>
      <c r="D2736" s="2" t="s">
        <v>199</v>
      </c>
      <c r="E2736" s="2" t="s">
        <v>260</v>
      </c>
      <c r="F2736" s="2" t="s">
        <v>16703</v>
      </c>
      <c r="G2736" s="2" t="s">
        <v>4433</v>
      </c>
      <c r="H2736" s="2" t="s">
        <v>76</v>
      </c>
      <c r="I2736" s="9">
        <v>-44874720</v>
      </c>
      <c r="J2736" s="7">
        <v>6.2500000000000001E-5</v>
      </c>
      <c r="K2736" s="9">
        <v>-2804.67</v>
      </c>
      <c r="L2736" s="14">
        <v>0</v>
      </c>
      <c r="M2736" s="2" t="s">
        <v>71</v>
      </c>
      <c r="N2736" s="2" t="s">
        <v>16704</v>
      </c>
      <c r="O2736" s="2" t="s">
        <v>4432</v>
      </c>
      <c r="P2736" s="9">
        <v>0</v>
      </c>
      <c r="Q2736" s="9">
        <v>-2804.67</v>
      </c>
      <c r="R2736" s="2" t="s">
        <v>16708</v>
      </c>
    </row>
    <row r="2737" spans="1:18" x14ac:dyDescent="0.25">
      <c r="A2737" s="2" t="s">
        <v>4434</v>
      </c>
      <c r="B2737" s="6">
        <v>46174</v>
      </c>
      <c r="C2737" s="8">
        <v>46202</v>
      </c>
      <c r="D2737" s="2" t="s">
        <v>199</v>
      </c>
      <c r="E2737" s="2" t="s">
        <v>260</v>
      </c>
      <c r="F2737" s="2" t="s">
        <v>16703</v>
      </c>
      <c r="G2737" s="2" t="s">
        <v>4436</v>
      </c>
      <c r="H2737" s="2" t="s">
        <v>70</v>
      </c>
      <c r="I2737" s="9">
        <v>1791.0857140000001</v>
      </c>
      <c r="J2737" s="7">
        <v>0.66500000000000004</v>
      </c>
      <c r="K2737" s="9">
        <v>1191.07</v>
      </c>
      <c r="L2737" s="14">
        <v>0</v>
      </c>
      <c r="M2737" s="2" t="s">
        <v>71</v>
      </c>
      <c r="N2737" s="2" t="s">
        <v>16704</v>
      </c>
      <c r="O2737" s="2" t="s">
        <v>4435</v>
      </c>
      <c r="P2737" s="9">
        <v>1.8</v>
      </c>
      <c r="Q2737" s="9">
        <v>1191.07</v>
      </c>
      <c r="R2737" s="2" t="s">
        <v>16708</v>
      </c>
    </row>
    <row r="2738" spans="1:18" x14ac:dyDescent="0.25">
      <c r="A2738" s="2" t="s">
        <v>4437</v>
      </c>
      <c r="B2738" s="6">
        <v>46204</v>
      </c>
      <c r="C2738" s="8">
        <v>46227</v>
      </c>
      <c r="D2738" s="2" t="s">
        <v>199</v>
      </c>
      <c r="E2738" s="2" t="s">
        <v>260</v>
      </c>
      <c r="F2738" s="2" t="s">
        <v>16703</v>
      </c>
      <c r="G2738" s="2" t="s">
        <v>4438</v>
      </c>
      <c r="H2738" s="2" t="s">
        <v>70</v>
      </c>
      <c r="I2738" s="9">
        <v>2686.6285720000001</v>
      </c>
      <c r="J2738" s="7">
        <v>0.65800000000000003</v>
      </c>
      <c r="K2738" s="9">
        <v>1767.8</v>
      </c>
      <c r="L2738" s="14">
        <v>0</v>
      </c>
      <c r="M2738" s="2" t="s">
        <v>71</v>
      </c>
      <c r="N2738" s="2" t="s">
        <v>16706</v>
      </c>
      <c r="O2738" s="2" t="s">
        <v>4435</v>
      </c>
      <c r="P2738" s="9">
        <v>1.8</v>
      </c>
      <c r="Q2738" s="9">
        <v>1786.61</v>
      </c>
      <c r="R2738" s="2" t="s">
        <v>16709</v>
      </c>
    </row>
    <row r="2739" spans="1:18" x14ac:dyDescent="0.25">
      <c r="A2739" s="2" t="s">
        <v>4439</v>
      </c>
      <c r="B2739" s="6">
        <v>46204</v>
      </c>
      <c r="C2739" s="8">
        <v>46213</v>
      </c>
      <c r="D2739" s="2" t="s">
        <v>199</v>
      </c>
      <c r="E2739" s="2" t="s">
        <v>260</v>
      </c>
      <c r="F2739" s="2" t="s">
        <v>16703</v>
      </c>
      <c r="G2739" s="2" t="s">
        <v>4441</v>
      </c>
      <c r="H2739" s="2" t="s">
        <v>39</v>
      </c>
      <c r="I2739" s="9">
        <v>3150.69</v>
      </c>
      <c r="J2739" s="7">
        <v>1</v>
      </c>
      <c r="K2739" s="9">
        <v>3150.69</v>
      </c>
      <c r="L2739" s="14">
        <v>0</v>
      </c>
      <c r="M2739" s="2" t="s">
        <v>71</v>
      </c>
      <c r="N2739" s="2" t="s">
        <v>16706</v>
      </c>
      <c r="O2739" s="2" t="s">
        <v>4440</v>
      </c>
      <c r="P2739" s="9">
        <v>1.8</v>
      </c>
      <c r="Q2739" s="9">
        <v>3150.69</v>
      </c>
      <c r="R2739" s="2" t="s">
        <v>16709</v>
      </c>
    </row>
    <row r="2740" spans="1:18" x14ac:dyDescent="0.25">
      <c r="A2740" s="2" t="s">
        <v>4442</v>
      </c>
      <c r="B2740" s="6">
        <v>46204</v>
      </c>
      <c r="C2740" s="8">
        <v>46214</v>
      </c>
      <c r="D2740" s="2" t="s">
        <v>199</v>
      </c>
      <c r="E2740" s="2" t="s">
        <v>260</v>
      </c>
      <c r="F2740" s="2" t="s">
        <v>16703</v>
      </c>
      <c r="G2740" s="2" t="s">
        <v>4444</v>
      </c>
      <c r="H2740" s="2" t="s">
        <v>76</v>
      </c>
      <c r="I2740" s="9">
        <v>53179200</v>
      </c>
      <c r="J2740" s="7">
        <v>6.2000000000000003E-5</v>
      </c>
      <c r="K2740" s="9">
        <v>3297.11</v>
      </c>
      <c r="L2740" s="14">
        <v>0</v>
      </c>
      <c r="M2740" s="2" t="s">
        <v>71</v>
      </c>
      <c r="N2740" s="2" t="s">
        <v>16706</v>
      </c>
      <c r="O2740" s="2" t="s">
        <v>4443</v>
      </c>
      <c r="P2740" s="9">
        <v>1.81</v>
      </c>
      <c r="Q2740" s="9">
        <v>3323.7</v>
      </c>
      <c r="R2740" s="2" t="s">
        <v>16709</v>
      </c>
    </row>
    <row r="2741" spans="1:18" x14ac:dyDescent="0.25">
      <c r="A2741" s="2" t="s">
        <v>4445</v>
      </c>
      <c r="B2741" s="6">
        <v>46204</v>
      </c>
      <c r="C2741" s="8">
        <v>46205</v>
      </c>
      <c r="D2741" s="2" t="s">
        <v>199</v>
      </c>
      <c r="E2741" s="2" t="s">
        <v>260</v>
      </c>
      <c r="F2741" s="2" t="s">
        <v>16703</v>
      </c>
      <c r="G2741" s="2" t="s">
        <v>4447</v>
      </c>
      <c r="H2741" s="2" t="s">
        <v>70</v>
      </c>
      <c r="I2741" s="9">
        <v>2103.2842099999998</v>
      </c>
      <c r="J2741" s="7">
        <v>0.65800000000000003</v>
      </c>
      <c r="K2741" s="9">
        <v>1383.96</v>
      </c>
      <c r="L2741" s="14">
        <v>0</v>
      </c>
      <c r="M2741" s="2" t="s">
        <v>71</v>
      </c>
      <c r="N2741" s="2" t="s">
        <v>16706</v>
      </c>
      <c r="O2741" s="2" t="s">
        <v>4446</v>
      </c>
      <c r="P2741" s="9">
        <v>1.8</v>
      </c>
      <c r="Q2741" s="9">
        <v>1398.68</v>
      </c>
      <c r="R2741" s="2" t="s">
        <v>16709</v>
      </c>
    </row>
    <row r="2742" spans="1:18" x14ac:dyDescent="0.25">
      <c r="A2742" s="2" t="s">
        <v>4448</v>
      </c>
      <c r="B2742" s="6">
        <v>46204</v>
      </c>
      <c r="C2742" s="8">
        <v>46230</v>
      </c>
      <c r="D2742" s="2" t="s">
        <v>199</v>
      </c>
      <c r="E2742" s="2" t="s">
        <v>260</v>
      </c>
      <c r="F2742" s="2" t="s">
        <v>16703</v>
      </c>
      <c r="G2742" s="2" t="s">
        <v>4449</v>
      </c>
      <c r="H2742" s="2" t="s">
        <v>70</v>
      </c>
      <c r="I2742" s="9">
        <v>3154.926316</v>
      </c>
      <c r="J2742" s="7">
        <v>0.65800000000000003</v>
      </c>
      <c r="K2742" s="9">
        <v>2075.94</v>
      </c>
      <c r="L2742" s="14">
        <v>0</v>
      </c>
      <c r="M2742" s="2" t="s">
        <v>71</v>
      </c>
      <c r="N2742" s="2" t="s">
        <v>16706</v>
      </c>
      <c r="O2742" s="2" t="s">
        <v>4446</v>
      </c>
      <c r="P2742" s="9">
        <v>1.8</v>
      </c>
      <c r="Q2742" s="9">
        <v>2098.0300000000002</v>
      </c>
      <c r="R2742" s="2" t="s">
        <v>16709</v>
      </c>
    </row>
    <row r="2743" spans="1:18" x14ac:dyDescent="0.25">
      <c r="A2743" s="2" t="s">
        <v>4450</v>
      </c>
      <c r="B2743" s="6">
        <v>46204</v>
      </c>
      <c r="C2743" s="8">
        <v>46216</v>
      </c>
      <c r="D2743" s="2" t="s">
        <v>199</v>
      </c>
      <c r="E2743" s="2" t="s">
        <v>260</v>
      </c>
      <c r="F2743" s="2" t="s">
        <v>16703</v>
      </c>
      <c r="G2743" s="2" t="s">
        <v>4452</v>
      </c>
      <c r="H2743" s="2" t="s">
        <v>39</v>
      </c>
      <c r="I2743" s="9">
        <v>3669.72</v>
      </c>
      <c r="J2743" s="7">
        <v>1</v>
      </c>
      <c r="K2743" s="9">
        <v>3669.72</v>
      </c>
      <c r="L2743" s="14">
        <v>0</v>
      </c>
      <c r="M2743" s="2" t="s">
        <v>71</v>
      </c>
      <c r="N2743" s="2" t="s">
        <v>16706</v>
      </c>
      <c r="O2743" s="2" t="s">
        <v>4451</v>
      </c>
      <c r="P2743" s="9">
        <v>2.02</v>
      </c>
      <c r="Q2743" s="9">
        <v>3669.72</v>
      </c>
      <c r="R2743" s="2" t="s">
        <v>16709</v>
      </c>
    </row>
    <row r="2744" spans="1:18" x14ac:dyDescent="0.25">
      <c r="A2744" s="2" t="s">
        <v>4453</v>
      </c>
      <c r="B2744" s="6">
        <v>46204</v>
      </c>
      <c r="C2744" s="8">
        <v>46217</v>
      </c>
      <c r="D2744" s="2" t="s">
        <v>199</v>
      </c>
      <c r="E2744" s="2" t="s">
        <v>260</v>
      </c>
      <c r="F2744" s="2" t="s">
        <v>16703</v>
      </c>
      <c r="G2744" s="2" t="s">
        <v>4455</v>
      </c>
      <c r="H2744" s="2" t="s">
        <v>76</v>
      </c>
      <c r="I2744" s="9">
        <v>61483680</v>
      </c>
      <c r="J2744" s="7">
        <v>6.2000000000000003E-5</v>
      </c>
      <c r="K2744" s="9">
        <v>3811.99</v>
      </c>
      <c r="L2744" s="14">
        <v>0</v>
      </c>
      <c r="M2744" s="2" t="s">
        <v>71</v>
      </c>
      <c r="N2744" s="2" t="s">
        <v>16706</v>
      </c>
      <c r="O2744" s="2" t="s">
        <v>4454</v>
      </c>
      <c r="P2744" s="9">
        <v>2.1</v>
      </c>
      <c r="Q2744" s="9">
        <v>3842.73</v>
      </c>
      <c r="R2744" s="2" t="s">
        <v>16709</v>
      </c>
    </row>
    <row r="2745" spans="1:18" x14ac:dyDescent="0.25">
      <c r="A2745" s="2" t="s">
        <v>4456</v>
      </c>
      <c r="B2745" s="6">
        <v>46204</v>
      </c>
      <c r="C2745" s="8">
        <v>46218</v>
      </c>
      <c r="D2745" s="2" t="s">
        <v>199</v>
      </c>
      <c r="E2745" s="2" t="s">
        <v>260</v>
      </c>
      <c r="F2745" s="2" t="s">
        <v>16703</v>
      </c>
      <c r="G2745" s="2" t="s">
        <v>4458</v>
      </c>
      <c r="H2745" s="2" t="s">
        <v>70</v>
      </c>
      <c r="I2745" s="9">
        <v>6038.7067669999997</v>
      </c>
      <c r="J2745" s="7">
        <v>0.65800000000000003</v>
      </c>
      <c r="K2745" s="9">
        <v>3973.47</v>
      </c>
      <c r="L2745" s="14">
        <v>0</v>
      </c>
      <c r="M2745" s="2" t="s">
        <v>71</v>
      </c>
      <c r="N2745" s="2" t="s">
        <v>16706</v>
      </c>
      <c r="O2745" s="2" t="s">
        <v>4457</v>
      </c>
      <c r="P2745" s="9">
        <v>2.19</v>
      </c>
      <c r="Q2745" s="9">
        <v>4015.74</v>
      </c>
      <c r="R2745" s="2" t="s">
        <v>16709</v>
      </c>
    </row>
    <row r="2746" spans="1:18" x14ac:dyDescent="0.25">
      <c r="A2746" s="2" t="s">
        <v>4459</v>
      </c>
      <c r="B2746" s="6">
        <v>46204</v>
      </c>
      <c r="C2746" s="8">
        <v>46219</v>
      </c>
      <c r="D2746" s="2" t="s">
        <v>199</v>
      </c>
      <c r="E2746" s="2" t="s">
        <v>260</v>
      </c>
      <c r="F2746" s="2" t="s">
        <v>16703</v>
      </c>
      <c r="G2746" s="2" t="s">
        <v>4461</v>
      </c>
      <c r="H2746" s="2" t="s">
        <v>39</v>
      </c>
      <c r="I2746" s="9">
        <v>4188.75</v>
      </c>
      <c r="J2746" s="7">
        <v>1</v>
      </c>
      <c r="K2746" s="9">
        <v>4188.75</v>
      </c>
      <c r="L2746" s="14">
        <v>0</v>
      </c>
      <c r="M2746" s="2" t="s">
        <v>71</v>
      </c>
      <c r="N2746" s="2" t="s">
        <v>16706</v>
      </c>
      <c r="O2746" s="2" t="s">
        <v>4460</v>
      </c>
      <c r="P2746" s="9">
        <v>2.2999999999999998</v>
      </c>
      <c r="Q2746" s="9">
        <v>4188.75</v>
      </c>
      <c r="R2746" s="2" t="s">
        <v>16709</v>
      </c>
    </row>
    <row r="2747" spans="1:18" x14ac:dyDescent="0.25">
      <c r="A2747" s="2" t="s">
        <v>4462</v>
      </c>
      <c r="B2747" s="6">
        <v>46204</v>
      </c>
      <c r="C2747" s="8">
        <v>46220</v>
      </c>
      <c r="D2747" s="2" t="s">
        <v>199</v>
      </c>
      <c r="E2747" s="2" t="s">
        <v>260</v>
      </c>
      <c r="F2747" s="2" t="s">
        <v>16703</v>
      </c>
      <c r="G2747" s="2" t="s">
        <v>4464</v>
      </c>
      <c r="H2747" s="2" t="s">
        <v>76</v>
      </c>
      <c r="I2747" s="9">
        <v>69788160</v>
      </c>
      <c r="J2747" s="7">
        <v>6.2000000000000003E-5</v>
      </c>
      <c r="K2747" s="9">
        <v>4326.87</v>
      </c>
      <c r="L2747" s="14">
        <v>0</v>
      </c>
      <c r="M2747" s="2" t="s">
        <v>71</v>
      </c>
      <c r="N2747" s="2" t="s">
        <v>16706</v>
      </c>
      <c r="O2747" s="2" t="s">
        <v>4463</v>
      </c>
      <c r="P2747" s="9">
        <v>2.38</v>
      </c>
      <c r="Q2747" s="9">
        <v>4361.76</v>
      </c>
      <c r="R2747" s="2" t="s">
        <v>16709</v>
      </c>
    </row>
    <row r="2748" spans="1:18" x14ac:dyDescent="0.25">
      <c r="A2748" s="2" t="s">
        <v>4465</v>
      </c>
      <c r="B2748" s="6">
        <v>46204</v>
      </c>
      <c r="C2748" s="8">
        <v>46211</v>
      </c>
      <c r="D2748" s="2" t="s">
        <v>199</v>
      </c>
      <c r="E2748" s="2" t="s">
        <v>260</v>
      </c>
      <c r="F2748" s="2" t="s">
        <v>16703</v>
      </c>
      <c r="G2748" s="2" t="s">
        <v>4467</v>
      </c>
      <c r="H2748" s="2" t="s">
        <v>70</v>
      </c>
      <c r="I2748" s="9">
        <v>2727.6812030000001</v>
      </c>
      <c r="J2748" s="7">
        <v>0.65800000000000003</v>
      </c>
      <c r="K2748" s="9">
        <v>1794.81</v>
      </c>
      <c r="L2748" s="14">
        <v>0</v>
      </c>
      <c r="M2748" s="2" t="s">
        <v>71</v>
      </c>
      <c r="N2748" s="2" t="s">
        <v>16706</v>
      </c>
      <c r="O2748" s="2" t="s">
        <v>4466</v>
      </c>
      <c r="P2748" s="9">
        <v>1.8</v>
      </c>
      <c r="Q2748" s="9">
        <v>1813.91</v>
      </c>
      <c r="R2748" s="2" t="s">
        <v>16709</v>
      </c>
    </row>
    <row r="2749" spans="1:18" x14ac:dyDescent="0.25">
      <c r="A2749" s="2" t="s">
        <v>4470</v>
      </c>
      <c r="B2749" s="6">
        <v>46204</v>
      </c>
      <c r="C2749" s="8">
        <v>46212</v>
      </c>
      <c r="D2749" s="2" t="s">
        <v>199</v>
      </c>
      <c r="E2749" s="2" t="s">
        <v>260</v>
      </c>
      <c r="F2749" s="2" t="s">
        <v>16703</v>
      </c>
      <c r="G2749" s="2" t="s">
        <v>4472</v>
      </c>
      <c r="H2749" s="2" t="s">
        <v>39</v>
      </c>
      <c r="I2749" s="9">
        <v>1883.1120000000001</v>
      </c>
      <c r="J2749" s="7">
        <v>1</v>
      </c>
      <c r="K2749" s="9">
        <v>1883.11</v>
      </c>
      <c r="L2749" s="14">
        <v>0</v>
      </c>
      <c r="M2749" s="2" t="s">
        <v>71</v>
      </c>
      <c r="N2749" s="2" t="s">
        <v>16706</v>
      </c>
      <c r="O2749" s="2" t="s">
        <v>4471</v>
      </c>
      <c r="P2749" s="9">
        <v>1.8</v>
      </c>
      <c r="Q2749" s="9">
        <v>1883.11</v>
      </c>
      <c r="R2749" s="2" t="s">
        <v>16709</v>
      </c>
    </row>
    <row r="2750" spans="1:18" x14ac:dyDescent="0.25">
      <c r="A2750" s="2" t="s">
        <v>4475</v>
      </c>
      <c r="B2750" s="6">
        <v>46204</v>
      </c>
      <c r="C2750" s="8">
        <v>46223</v>
      </c>
      <c r="D2750" s="2" t="s">
        <v>199</v>
      </c>
      <c r="E2750" s="2" t="s">
        <v>260</v>
      </c>
      <c r="F2750" s="2" t="s">
        <v>16703</v>
      </c>
      <c r="G2750" s="2" t="s">
        <v>4477</v>
      </c>
      <c r="H2750" s="2" t="s">
        <v>76</v>
      </c>
      <c r="I2750" s="9">
        <v>78092640</v>
      </c>
      <c r="J2750" s="7">
        <v>6.2000000000000003E-5</v>
      </c>
      <c r="K2750" s="9">
        <v>4841.74</v>
      </c>
      <c r="L2750" s="14">
        <v>0</v>
      </c>
      <c r="M2750" s="2" t="s">
        <v>71</v>
      </c>
      <c r="N2750" s="2" t="s">
        <v>16706</v>
      </c>
      <c r="O2750" s="2" t="s">
        <v>4476</v>
      </c>
      <c r="P2750" s="9">
        <v>2.66</v>
      </c>
      <c r="Q2750" s="9">
        <v>4880.79</v>
      </c>
      <c r="R2750" s="2" t="s">
        <v>16709</v>
      </c>
    </row>
    <row r="2751" spans="1:18" x14ac:dyDescent="0.25">
      <c r="A2751" s="2" t="s">
        <v>4478</v>
      </c>
      <c r="B2751" s="6">
        <v>46204</v>
      </c>
      <c r="C2751" s="8">
        <v>46224</v>
      </c>
      <c r="D2751" s="2" t="s">
        <v>199</v>
      </c>
      <c r="E2751" s="2" t="s">
        <v>260</v>
      </c>
      <c r="F2751" s="2" t="s">
        <v>16703</v>
      </c>
      <c r="G2751" s="2" t="s">
        <v>4480</v>
      </c>
      <c r="H2751" s="2" t="s">
        <v>70</v>
      </c>
      <c r="I2751" s="9">
        <v>7599.6992479999999</v>
      </c>
      <c r="J2751" s="7">
        <v>0.65800000000000003</v>
      </c>
      <c r="K2751" s="9">
        <v>5000.6000000000004</v>
      </c>
      <c r="L2751" s="14">
        <v>0</v>
      </c>
      <c r="M2751" s="2" t="s">
        <v>71</v>
      </c>
      <c r="N2751" s="2" t="s">
        <v>16706</v>
      </c>
      <c r="O2751" s="2" t="s">
        <v>4479</v>
      </c>
      <c r="P2751" s="9">
        <v>2.75</v>
      </c>
      <c r="Q2751" s="9">
        <v>5053.8</v>
      </c>
      <c r="R2751" s="2" t="s">
        <v>16709</v>
      </c>
    </row>
    <row r="2752" spans="1:18" x14ac:dyDescent="0.25">
      <c r="A2752" s="2" t="s">
        <v>4481</v>
      </c>
      <c r="B2752" s="6">
        <v>46204</v>
      </c>
      <c r="C2752" s="8">
        <v>46215</v>
      </c>
      <c r="D2752" s="2" t="s">
        <v>199</v>
      </c>
      <c r="E2752" s="2" t="s">
        <v>260</v>
      </c>
      <c r="F2752" s="2" t="s">
        <v>16703</v>
      </c>
      <c r="G2752" s="2" t="s">
        <v>4483</v>
      </c>
      <c r="H2752" s="2" t="s">
        <v>39</v>
      </c>
      <c r="I2752" s="9">
        <v>2090.7240000000002</v>
      </c>
      <c r="J2752" s="7">
        <v>1</v>
      </c>
      <c r="K2752" s="9">
        <v>2090.7199999999998</v>
      </c>
      <c r="L2752" s="14">
        <v>0</v>
      </c>
      <c r="M2752" s="2" t="s">
        <v>71</v>
      </c>
      <c r="N2752" s="2" t="s">
        <v>16706</v>
      </c>
      <c r="O2752" s="2" t="s">
        <v>4482</v>
      </c>
      <c r="P2752" s="9">
        <v>1.8</v>
      </c>
      <c r="Q2752" s="9">
        <v>2090.7199999999998</v>
      </c>
      <c r="R2752" s="2" t="s">
        <v>16709</v>
      </c>
    </row>
    <row r="2753" spans="1:18" x14ac:dyDescent="0.25">
      <c r="A2753" s="2" t="s">
        <v>4486</v>
      </c>
      <c r="B2753" s="6">
        <v>46204</v>
      </c>
      <c r="C2753" s="8">
        <v>46226</v>
      </c>
      <c r="D2753" s="2" t="s">
        <v>199</v>
      </c>
      <c r="E2753" s="2" t="s">
        <v>260</v>
      </c>
      <c r="F2753" s="2" t="s">
        <v>16703</v>
      </c>
      <c r="G2753" s="2" t="s">
        <v>4488</v>
      </c>
      <c r="H2753" s="2" t="s">
        <v>76</v>
      </c>
      <c r="I2753" s="9">
        <v>86397120</v>
      </c>
      <c r="J2753" s="7">
        <v>6.2000000000000003E-5</v>
      </c>
      <c r="K2753" s="9">
        <v>5356.62</v>
      </c>
      <c r="L2753" s="14">
        <v>0</v>
      </c>
      <c r="M2753" s="2" t="s">
        <v>71</v>
      </c>
      <c r="N2753" s="2" t="s">
        <v>16706</v>
      </c>
      <c r="O2753" s="2" t="s">
        <v>4487</v>
      </c>
      <c r="P2753" s="9">
        <v>2.95</v>
      </c>
      <c r="Q2753" s="9">
        <v>5399.82</v>
      </c>
      <c r="R2753" s="2" t="s">
        <v>16709</v>
      </c>
    </row>
    <row r="2754" spans="1:18" x14ac:dyDescent="0.25">
      <c r="A2754" s="2" t="s">
        <v>4489</v>
      </c>
      <c r="B2754" s="6">
        <v>46204</v>
      </c>
      <c r="C2754" s="8">
        <v>46227</v>
      </c>
      <c r="D2754" s="2" t="s">
        <v>199</v>
      </c>
      <c r="E2754" s="2" t="s">
        <v>260</v>
      </c>
      <c r="F2754" s="2" t="s">
        <v>16703</v>
      </c>
      <c r="G2754" s="2" t="s">
        <v>4491</v>
      </c>
      <c r="H2754" s="2" t="s">
        <v>70</v>
      </c>
      <c r="I2754" s="9">
        <v>8380.1954889999997</v>
      </c>
      <c r="J2754" s="7">
        <v>0.65800000000000003</v>
      </c>
      <c r="K2754" s="9">
        <v>5514.17</v>
      </c>
      <c r="L2754" s="14">
        <v>0</v>
      </c>
      <c r="M2754" s="2" t="s">
        <v>71</v>
      </c>
      <c r="N2754" s="2" t="s">
        <v>16706</v>
      </c>
      <c r="O2754" s="2" t="s">
        <v>4490</v>
      </c>
      <c r="P2754" s="9">
        <v>3.03</v>
      </c>
      <c r="Q2754" s="9">
        <v>5572.83</v>
      </c>
      <c r="R2754" s="2" t="s">
        <v>16709</v>
      </c>
    </row>
    <row r="2755" spans="1:18" x14ac:dyDescent="0.25">
      <c r="A2755" s="2" t="s">
        <v>4492</v>
      </c>
      <c r="B2755" s="6">
        <v>46174</v>
      </c>
      <c r="C2755" s="8">
        <v>46198</v>
      </c>
      <c r="D2755" s="2" t="s">
        <v>199</v>
      </c>
      <c r="E2755" s="2" t="s">
        <v>260</v>
      </c>
      <c r="F2755" s="2" t="s">
        <v>16703</v>
      </c>
      <c r="G2755" s="2" t="s">
        <v>4494</v>
      </c>
      <c r="H2755" s="2" t="s">
        <v>39</v>
      </c>
      <c r="I2755" s="9">
        <v>5745.84</v>
      </c>
      <c r="J2755" s="7">
        <v>1</v>
      </c>
      <c r="K2755" s="9">
        <v>5745.84</v>
      </c>
      <c r="L2755" s="14">
        <v>0</v>
      </c>
      <c r="M2755" s="2" t="s">
        <v>71</v>
      </c>
      <c r="N2755" s="2" t="s">
        <v>16704</v>
      </c>
      <c r="O2755" s="2" t="s">
        <v>4493</v>
      </c>
      <c r="P2755" s="9">
        <v>3.16</v>
      </c>
      <c r="Q2755" s="9">
        <v>5745.84</v>
      </c>
      <c r="R2755" s="2" t="s">
        <v>16708</v>
      </c>
    </row>
    <row r="2756" spans="1:18" x14ac:dyDescent="0.25">
      <c r="A2756" s="2" t="s">
        <v>4495</v>
      </c>
      <c r="B2756" s="6">
        <v>46174</v>
      </c>
      <c r="C2756" s="8">
        <v>46199</v>
      </c>
      <c r="D2756" s="2" t="s">
        <v>199</v>
      </c>
      <c r="E2756" s="2" t="s">
        <v>260</v>
      </c>
      <c r="F2756" s="2" t="s">
        <v>16703</v>
      </c>
      <c r="G2756" s="2" t="s">
        <v>4497</v>
      </c>
      <c r="H2756" s="2" t="s">
        <v>76</v>
      </c>
      <c r="I2756" s="9">
        <v>94701600</v>
      </c>
      <c r="J2756" s="7">
        <v>6.2500000000000001E-5</v>
      </c>
      <c r="K2756" s="9">
        <v>5918.85</v>
      </c>
      <c r="L2756" s="14">
        <v>0</v>
      </c>
      <c r="M2756" s="2" t="s">
        <v>71</v>
      </c>
      <c r="N2756" s="2" t="s">
        <v>16704</v>
      </c>
      <c r="O2756" s="2" t="s">
        <v>4496</v>
      </c>
      <c r="P2756" s="9">
        <v>3.26</v>
      </c>
      <c r="Q2756" s="9">
        <v>5918.85</v>
      </c>
      <c r="R2756" s="2" t="s">
        <v>16708</v>
      </c>
    </row>
    <row r="2757" spans="1:18" x14ac:dyDescent="0.25">
      <c r="A2757" s="2" t="s">
        <v>4498</v>
      </c>
      <c r="B2757" s="6">
        <v>46174</v>
      </c>
      <c r="C2757" s="8">
        <v>46200</v>
      </c>
      <c r="D2757" s="2" t="s">
        <v>199</v>
      </c>
      <c r="E2757" s="2" t="s">
        <v>260</v>
      </c>
      <c r="F2757" s="2" t="s">
        <v>16703</v>
      </c>
      <c r="G2757" s="2" t="s">
        <v>4500</v>
      </c>
      <c r="H2757" s="2" t="s">
        <v>70</v>
      </c>
      <c r="I2757" s="9">
        <v>9160.6917290000001</v>
      </c>
      <c r="J2757" s="7">
        <v>0.66500000000000004</v>
      </c>
      <c r="K2757" s="9">
        <v>6091.86</v>
      </c>
      <c r="L2757" s="14">
        <v>0</v>
      </c>
      <c r="M2757" s="2" t="s">
        <v>71</v>
      </c>
      <c r="N2757" s="2" t="s">
        <v>16704</v>
      </c>
      <c r="O2757" s="2" t="s">
        <v>4499</v>
      </c>
      <c r="P2757" s="9">
        <v>3.35</v>
      </c>
      <c r="Q2757" s="9">
        <v>6091.86</v>
      </c>
      <c r="R2757" s="2" t="s">
        <v>16708</v>
      </c>
    </row>
    <row r="2758" spans="1:18" x14ac:dyDescent="0.25">
      <c r="A2758" s="2" t="s">
        <v>4501</v>
      </c>
      <c r="B2758" s="6">
        <v>46174</v>
      </c>
      <c r="C2758" s="8">
        <v>46191</v>
      </c>
      <c r="D2758" s="2" t="s">
        <v>199</v>
      </c>
      <c r="E2758" s="2" t="s">
        <v>260</v>
      </c>
      <c r="F2758" s="2" t="s">
        <v>16703</v>
      </c>
      <c r="G2758" s="2" t="s">
        <v>4503</v>
      </c>
      <c r="H2758" s="2" t="s">
        <v>39</v>
      </c>
      <c r="I2758" s="9">
        <v>2505.9479999999999</v>
      </c>
      <c r="J2758" s="7">
        <v>1</v>
      </c>
      <c r="K2758" s="9">
        <v>2505.9499999999998</v>
      </c>
      <c r="L2758" s="14">
        <v>0</v>
      </c>
      <c r="M2758" s="2" t="s">
        <v>71</v>
      </c>
      <c r="N2758" s="2" t="s">
        <v>16704</v>
      </c>
      <c r="O2758" s="2" t="s">
        <v>4502</v>
      </c>
      <c r="P2758" s="9">
        <v>1.8</v>
      </c>
      <c r="Q2758" s="9">
        <v>2505.9499999999998</v>
      </c>
      <c r="R2758" s="2" t="s">
        <v>16708</v>
      </c>
    </row>
    <row r="2759" spans="1:18" x14ac:dyDescent="0.25">
      <c r="A2759" s="2" t="s">
        <v>4504</v>
      </c>
      <c r="B2759" s="6">
        <v>46204</v>
      </c>
      <c r="C2759" s="8">
        <v>46216</v>
      </c>
      <c r="D2759" s="2" t="s">
        <v>199</v>
      </c>
      <c r="E2759" s="2" t="s">
        <v>260</v>
      </c>
      <c r="F2759" s="2" t="s">
        <v>16703</v>
      </c>
      <c r="G2759" s="2" t="s">
        <v>4505</v>
      </c>
      <c r="H2759" s="2" t="s">
        <v>39</v>
      </c>
      <c r="I2759" s="9">
        <v>3758.922</v>
      </c>
      <c r="J2759" s="7">
        <v>1</v>
      </c>
      <c r="K2759" s="9">
        <v>3758.92</v>
      </c>
      <c r="L2759" s="14">
        <v>0</v>
      </c>
      <c r="M2759" s="2" t="s">
        <v>71</v>
      </c>
      <c r="N2759" s="2" t="s">
        <v>16706</v>
      </c>
      <c r="O2759" s="2" t="s">
        <v>4502</v>
      </c>
      <c r="P2759" s="9">
        <v>2.0699999999999998</v>
      </c>
      <c r="Q2759" s="9">
        <v>3758.92</v>
      </c>
      <c r="R2759" s="2" t="s">
        <v>16709</v>
      </c>
    </row>
    <row r="2760" spans="1:18" x14ac:dyDescent="0.25">
      <c r="A2760" s="2" t="s">
        <v>4506</v>
      </c>
      <c r="B2760" s="6">
        <v>46174</v>
      </c>
      <c r="C2760" s="8">
        <v>46192</v>
      </c>
      <c r="D2760" s="2" t="s">
        <v>199</v>
      </c>
      <c r="E2760" s="2" t="s">
        <v>260</v>
      </c>
      <c r="F2760" s="2" t="s">
        <v>16703</v>
      </c>
      <c r="G2760" s="2" t="s">
        <v>4508</v>
      </c>
      <c r="H2760" s="2" t="s">
        <v>76</v>
      </c>
      <c r="I2760" s="9">
        <v>41202432</v>
      </c>
      <c r="J2760" s="7">
        <v>6.2500000000000001E-5</v>
      </c>
      <c r="K2760" s="9">
        <v>2575.15</v>
      </c>
      <c r="L2760" s="14">
        <v>0</v>
      </c>
      <c r="M2760" s="2" t="s">
        <v>71</v>
      </c>
      <c r="N2760" s="2" t="s">
        <v>16704</v>
      </c>
      <c r="O2760" s="2" t="s">
        <v>4507</v>
      </c>
      <c r="P2760" s="9">
        <v>1.8</v>
      </c>
      <c r="Q2760" s="9">
        <v>2575.15</v>
      </c>
      <c r="R2760" s="2" t="s">
        <v>16708</v>
      </c>
    </row>
    <row r="2761" spans="1:18" x14ac:dyDescent="0.25">
      <c r="A2761" s="2" t="s">
        <v>4509</v>
      </c>
      <c r="B2761" s="6">
        <v>46204</v>
      </c>
      <c r="C2761" s="8">
        <v>46217</v>
      </c>
      <c r="D2761" s="2" t="s">
        <v>199</v>
      </c>
      <c r="E2761" s="2" t="s">
        <v>260</v>
      </c>
      <c r="F2761" s="2" t="s">
        <v>16703</v>
      </c>
      <c r="G2761" s="2" t="s">
        <v>4510</v>
      </c>
      <c r="H2761" s="2" t="s">
        <v>76</v>
      </c>
      <c r="I2761" s="9">
        <v>61803648</v>
      </c>
      <c r="J2761" s="7">
        <v>6.2000000000000003E-5</v>
      </c>
      <c r="K2761" s="9">
        <v>3831.83</v>
      </c>
      <c r="L2761" s="14">
        <v>0</v>
      </c>
      <c r="M2761" s="2" t="s">
        <v>71</v>
      </c>
      <c r="N2761" s="2" t="s">
        <v>16706</v>
      </c>
      <c r="O2761" s="2" t="s">
        <v>4507</v>
      </c>
      <c r="P2761" s="9">
        <v>2.11</v>
      </c>
      <c r="Q2761" s="9">
        <v>3862.73</v>
      </c>
      <c r="R2761" s="2" t="s">
        <v>16709</v>
      </c>
    </row>
    <row r="2762" spans="1:18" x14ac:dyDescent="0.25">
      <c r="A2762" s="2" t="s">
        <v>4511</v>
      </c>
      <c r="B2762" s="6">
        <v>46174</v>
      </c>
      <c r="C2762" s="8">
        <v>46203</v>
      </c>
      <c r="D2762" s="2" t="s">
        <v>199</v>
      </c>
      <c r="E2762" s="2" t="s">
        <v>260</v>
      </c>
      <c r="F2762" s="2" t="s">
        <v>16703</v>
      </c>
      <c r="G2762" s="2" t="s">
        <v>4513</v>
      </c>
      <c r="H2762" s="2" t="s">
        <v>70</v>
      </c>
      <c r="I2762" s="9">
        <v>9941.1879700000009</v>
      </c>
      <c r="J2762" s="7">
        <v>0.66500000000000004</v>
      </c>
      <c r="K2762" s="9">
        <v>6610.89</v>
      </c>
      <c r="L2762" s="14">
        <v>0</v>
      </c>
      <c r="M2762" s="2" t="s">
        <v>71</v>
      </c>
      <c r="N2762" s="2" t="s">
        <v>16704</v>
      </c>
      <c r="O2762" s="2" t="s">
        <v>4512</v>
      </c>
      <c r="P2762" s="9">
        <v>3.64</v>
      </c>
      <c r="Q2762" s="9">
        <v>6610.89</v>
      </c>
      <c r="R2762" s="2" t="s">
        <v>16708</v>
      </c>
    </row>
    <row r="2763" spans="1:18" x14ac:dyDescent="0.25">
      <c r="A2763" s="2" t="s">
        <v>4514</v>
      </c>
      <c r="B2763" s="6">
        <v>46204</v>
      </c>
      <c r="C2763" s="8">
        <v>46204</v>
      </c>
      <c r="D2763" s="2" t="s">
        <v>199</v>
      </c>
      <c r="E2763" s="2" t="s">
        <v>260</v>
      </c>
      <c r="F2763" s="2" t="s">
        <v>16703</v>
      </c>
      <c r="G2763" s="2" t="s">
        <v>4516</v>
      </c>
      <c r="H2763" s="2" t="s">
        <v>39</v>
      </c>
      <c r="I2763" s="9">
        <v>6783.9</v>
      </c>
      <c r="J2763" s="7">
        <v>1</v>
      </c>
      <c r="K2763" s="9">
        <v>6783.9</v>
      </c>
      <c r="L2763" s="14">
        <v>0</v>
      </c>
      <c r="M2763" s="2" t="s">
        <v>71</v>
      </c>
      <c r="N2763" s="2" t="s">
        <v>16706</v>
      </c>
      <c r="O2763" s="2" t="s">
        <v>4515</v>
      </c>
      <c r="P2763" s="9">
        <v>3.73</v>
      </c>
      <c r="Q2763" s="9">
        <v>6783.9</v>
      </c>
      <c r="R2763" s="2" t="s">
        <v>16709</v>
      </c>
    </row>
    <row r="2764" spans="1:18" x14ac:dyDescent="0.25">
      <c r="A2764" s="2" t="s">
        <v>4517</v>
      </c>
      <c r="B2764" s="6">
        <v>46174</v>
      </c>
      <c r="C2764" s="8">
        <v>46195</v>
      </c>
      <c r="D2764" s="2" t="s">
        <v>199</v>
      </c>
      <c r="E2764" s="2" t="s">
        <v>260</v>
      </c>
      <c r="F2764" s="2" t="s">
        <v>16703</v>
      </c>
      <c r="G2764" s="2" t="s">
        <v>4519</v>
      </c>
      <c r="H2764" s="2" t="s">
        <v>76</v>
      </c>
      <c r="I2764" s="9">
        <v>44524224</v>
      </c>
      <c r="J2764" s="7">
        <v>6.2500000000000001E-5</v>
      </c>
      <c r="K2764" s="9">
        <v>2782.76</v>
      </c>
      <c r="L2764" s="14">
        <v>0</v>
      </c>
      <c r="M2764" s="2" t="s">
        <v>71</v>
      </c>
      <c r="N2764" s="2" t="s">
        <v>16704</v>
      </c>
      <c r="O2764" s="2" t="s">
        <v>4518</v>
      </c>
      <c r="P2764" s="9">
        <v>1.8</v>
      </c>
      <c r="Q2764" s="9">
        <v>2782.76</v>
      </c>
      <c r="R2764" s="2" t="s">
        <v>16708</v>
      </c>
    </row>
    <row r="2765" spans="1:18" x14ac:dyDescent="0.25">
      <c r="A2765" s="2" t="s">
        <v>4520</v>
      </c>
      <c r="B2765" s="6">
        <v>46204</v>
      </c>
      <c r="C2765" s="8">
        <v>46220</v>
      </c>
      <c r="D2765" s="2" t="s">
        <v>199</v>
      </c>
      <c r="E2765" s="2" t="s">
        <v>260</v>
      </c>
      <c r="F2765" s="2" t="s">
        <v>16703</v>
      </c>
      <c r="G2765" s="2" t="s">
        <v>4521</v>
      </c>
      <c r="H2765" s="2" t="s">
        <v>76</v>
      </c>
      <c r="I2765" s="9">
        <v>66786336</v>
      </c>
      <c r="J2765" s="7">
        <v>6.2000000000000003E-5</v>
      </c>
      <c r="K2765" s="9">
        <v>4140.75</v>
      </c>
      <c r="L2765" s="14">
        <v>0</v>
      </c>
      <c r="M2765" s="2" t="s">
        <v>71</v>
      </c>
      <c r="N2765" s="2" t="s">
        <v>16706</v>
      </c>
      <c r="O2765" s="2" t="s">
        <v>4518</v>
      </c>
      <c r="P2765" s="9">
        <v>2.2799999999999998</v>
      </c>
      <c r="Q2765" s="9">
        <v>4174.1499999999996</v>
      </c>
      <c r="R2765" s="2" t="s">
        <v>16709</v>
      </c>
    </row>
    <row r="2766" spans="1:18" x14ac:dyDescent="0.25">
      <c r="A2766" s="2" t="s">
        <v>4522</v>
      </c>
      <c r="B2766" s="6">
        <v>46204</v>
      </c>
      <c r="C2766" s="8">
        <v>46206</v>
      </c>
      <c r="D2766" s="2" t="s">
        <v>199</v>
      </c>
      <c r="E2766" s="2" t="s">
        <v>260</v>
      </c>
      <c r="F2766" s="2" t="s">
        <v>16703</v>
      </c>
      <c r="G2766" s="2" t="s">
        <v>4524</v>
      </c>
      <c r="H2766" s="2" t="s">
        <v>70</v>
      </c>
      <c r="I2766" s="9">
        <v>10721.684211</v>
      </c>
      <c r="J2766" s="7">
        <v>0.65800000000000003</v>
      </c>
      <c r="K2766" s="9">
        <v>7054.87</v>
      </c>
      <c r="L2766" s="14">
        <v>0</v>
      </c>
      <c r="M2766" s="2" t="s">
        <v>71</v>
      </c>
      <c r="N2766" s="2" t="s">
        <v>16706</v>
      </c>
      <c r="O2766" s="2" t="s">
        <v>4523</v>
      </c>
      <c r="P2766" s="9">
        <v>3.88</v>
      </c>
      <c r="Q2766" s="9">
        <v>7129.92</v>
      </c>
      <c r="R2766" s="2" t="s">
        <v>16709</v>
      </c>
    </row>
    <row r="2767" spans="1:18" x14ac:dyDescent="0.25">
      <c r="A2767" s="2" t="s">
        <v>4525</v>
      </c>
      <c r="B2767" s="6">
        <v>46204</v>
      </c>
      <c r="C2767" s="8">
        <v>46207</v>
      </c>
      <c r="D2767" s="2" t="s">
        <v>199</v>
      </c>
      <c r="E2767" s="2" t="s">
        <v>260</v>
      </c>
      <c r="F2767" s="2" t="s">
        <v>16703</v>
      </c>
      <c r="G2767" s="2" t="s">
        <v>4527</v>
      </c>
      <c r="H2767" s="2" t="s">
        <v>39</v>
      </c>
      <c r="I2767" s="9">
        <v>7302.93</v>
      </c>
      <c r="J2767" s="7">
        <v>1</v>
      </c>
      <c r="K2767" s="9">
        <v>7302.93</v>
      </c>
      <c r="L2767" s="14">
        <v>0</v>
      </c>
      <c r="M2767" s="2" t="s">
        <v>71</v>
      </c>
      <c r="N2767" s="2" t="s">
        <v>16706</v>
      </c>
      <c r="O2767" s="2" t="s">
        <v>4526</v>
      </c>
      <c r="P2767" s="9">
        <v>4.0199999999999996</v>
      </c>
      <c r="Q2767" s="9">
        <v>7302.93</v>
      </c>
      <c r="R2767" s="2" t="s">
        <v>16709</v>
      </c>
    </row>
    <row r="2768" spans="1:18" x14ac:dyDescent="0.25">
      <c r="A2768" s="2" t="s">
        <v>4528</v>
      </c>
      <c r="B2768" s="6">
        <v>46204</v>
      </c>
      <c r="C2768" s="8">
        <v>46208</v>
      </c>
      <c r="D2768" s="2" t="s">
        <v>199</v>
      </c>
      <c r="E2768" s="2" t="s">
        <v>260</v>
      </c>
      <c r="F2768" s="2" t="s">
        <v>16703</v>
      </c>
      <c r="G2768" s="2" t="s">
        <v>4530</v>
      </c>
      <c r="H2768" s="2" t="s">
        <v>76</v>
      </c>
      <c r="I2768" s="9">
        <v>119615040</v>
      </c>
      <c r="J2768" s="7">
        <v>6.2000000000000003E-5</v>
      </c>
      <c r="K2768" s="9">
        <v>7416.13</v>
      </c>
      <c r="L2768" s="14">
        <v>0</v>
      </c>
      <c r="M2768" s="2" t="s">
        <v>71</v>
      </c>
      <c r="N2768" s="2" t="s">
        <v>16706</v>
      </c>
      <c r="O2768" s="2" t="s">
        <v>4529</v>
      </c>
      <c r="P2768" s="9">
        <v>4.08</v>
      </c>
      <c r="Q2768" s="9">
        <v>7475.94</v>
      </c>
      <c r="R2768" s="2" t="s">
        <v>16709</v>
      </c>
    </row>
    <row r="2769" spans="1:18" x14ac:dyDescent="0.25">
      <c r="A2769" s="2" t="s">
        <v>4531</v>
      </c>
      <c r="B2769" s="6">
        <v>46204</v>
      </c>
      <c r="C2769" s="8">
        <v>46209</v>
      </c>
      <c r="D2769" s="2" t="s">
        <v>199</v>
      </c>
      <c r="E2769" s="2" t="s">
        <v>260</v>
      </c>
      <c r="F2769" s="2" t="s">
        <v>16703</v>
      </c>
      <c r="G2769" s="2" t="s">
        <v>4533</v>
      </c>
      <c r="H2769" s="2" t="s">
        <v>70</v>
      </c>
      <c r="I2769" s="9">
        <v>11502.180451</v>
      </c>
      <c r="J2769" s="7">
        <v>0.65800000000000003</v>
      </c>
      <c r="K2769" s="9">
        <v>7568.43</v>
      </c>
      <c r="L2769" s="14">
        <v>0</v>
      </c>
      <c r="M2769" s="2" t="s">
        <v>71</v>
      </c>
      <c r="N2769" s="2" t="s">
        <v>16706</v>
      </c>
      <c r="O2769" s="2" t="s">
        <v>4532</v>
      </c>
      <c r="P2769" s="9">
        <v>4.16</v>
      </c>
      <c r="Q2769" s="9">
        <v>7648.95</v>
      </c>
      <c r="R2769" s="2" t="s">
        <v>16709</v>
      </c>
    </row>
    <row r="2770" spans="1:18" x14ac:dyDescent="0.25">
      <c r="A2770" s="2" t="s">
        <v>4534</v>
      </c>
      <c r="B2770" s="6">
        <v>46204</v>
      </c>
      <c r="C2770" s="8">
        <v>46210</v>
      </c>
      <c r="D2770" s="2" t="s">
        <v>199</v>
      </c>
      <c r="E2770" s="2" t="s">
        <v>260</v>
      </c>
      <c r="F2770" s="2" t="s">
        <v>16703</v>
      </c>
      <c r="G2770" s="2" t="s">
        <v>4536</v>
      </c>
      <c r="H2770" s="2" t="s">
        <v>39</v>
      </c>
      <c r="I2770" s="9">
        <v>7821.96</v>
      </c>
      <c r="J2770" s="7">
        <v>1</v>
      </c>
      <c r="K2770" s="9">
        <v>7821.96</v>
      </c>
      <c r="L2770" s="14">
        <v>0</v>
      </c>
      <c r="M2770" s="2" t="s">
        <v>71</v>
      </c>
      <c r="N2770" s="2" t="s">
        <v>16706</v>
      </c>
      <c r="O2770" s="2" t="s">
        <v>4535</v>
      </c>
      <c r="P2770" s="9">
        <v>4.3</v>
      </c>
      <c r="Q2770" s="9">
        <v>7821.96</v>
      </c>
      <c r="R2770" s="2" t="s">
        <v>16709</v>
      </c>
    </row>
    <row r="2771" spans="1:18" x14ac:dyDescent="0.25">
      <c r="A2771" s="2" t="s">
        <v>4537</v>
      </c>
      <c r="B2771" s="6">
        <v>46174</v>
      </c>
      <c r="C2771" s="8">
        <v>46201</v>
      </c>
      <c r="D2771" s="2" t="s">
        <v>199</v>
      </c>
      <c r="E2771" s="2" t="s">
        <v>260</v>
      </c>
      <c r="F2771" s="2" t="s">
        <v>16703</v>
      </c>
      <c r="G2771" s="2" t="s">
        <v>4539</v>
      </c>
      <c r="H2771" s="2" t="s">
        <v>76</v>
      </c>
      <c r="I2771" s="9">
        <v>51161600</v>
      </c>
      <c r="J2771" s="7">
        <v>6.2500000000000001E-5</v>
      </c>
      <c r="K2771" s="9">
        <v>3197.6</v>
      </c>
      <c r="L2771" s="14">
        <v>0</v>
      </c>
      <c r="M2771" s="2" t="s">
        <v>71</v>
      </c>
      <c r="N2771" s="2" t="s">
        <v>16704</v>
      </c>
      <c r="O2771" s="2" t="s">
        <v>4538</v>
      </c>
      <c r="P2771" s="9">
        <v>1.8</v>
      </c>
      <c r="Q2771" s="9">
        <v>3197.6</v>
      </c>
      <c r="R2771" s="2" t="s">
        <v>16708</v>
      </c>
    </row>
    <row r="2772" spans="1:18" x14ac:dyDescent="0.25">
      <c r="A2772" s="2" t="s">
        <v>4540</v>
      </c>
      <c r="B2772" s="6">
        <v>46204</v>
      </c>
      <c r="C2772" s="8">
        <v>46226</v>
      </c>
      <c r="D2772" s="2" t="s">
        <v>199</v>
      </c>
      <c r="E2772" s="2" t="s">
        <v>260</v>
      </c>
      <c r="F2772" s="2" t="s">
        <v>16703</v>
      </c>
      <c r="G2772" s="2" t="s">
        <v>4541</v>
      </c>
      <c r="H2772" s="2" t="s">
        <v>76</v>
      </c>
      <c r="I2772" s="9">
        <v>76742400</v>
      </c>
      <c r="J2772" s="7">
        <v>6.2000000000000003E-5</v>
      </c>
      <c r="K2772" s="9">
        <v>4758.03</v>
      </c>
      <c r="L2772" s="14">
        <v>0</v>
      </c>
      <c r="M2772" s="2" t="s">
        <v>71</v>
      </c>
      <c r="N2772" s="2" t="s">
        <v>16706</v>
      </c>
      <c r="O2772" s="2" t="s">
        <v>4538</v>
      </c>
      <c r="P2772" s="9">
        <v>2.62</v>
      </c>
      <c r="Q2772" s="9">
        <v>4796.3999999999996</v>
      </c>
      <c r="R2772" s="2" t="s">
        <v>16709</v>
      </c>
    </row>
    <row r="2773" spans="1:18" x14ac:dyDescent="0.25">
      <c r="A2773" s="2" t="s">
        <v>4542</v>
      </c>
      <c r="B2773" s="6">
        <v>46174</v>
      </c>
      <c r="C2773" s="8">
        <v>46202</v>
      </c>
      <c r="D2773" s="2" t="s">
        <v>199</v>
      </c>
      <c r="E2773" s="2" t="s">
        <v>260</v>
      </c>
      <c r="F2773" s="2" t="s">
        <v>16703</v>
      </c>
      <c r="G2773" s="2" t="s">
        <v>4544</v>
      </c>
      <c r="H2773" s="2" t="s">
        <v>70</v>
      </c>
      <c r="I2773" s="9">
        <v>4912.4872180000002</v>
      </c>
      <c r="J2773" s="7">
        <v>0.66500000000000004</v>
      </c>
      <c r="K2773" s="9">
        <v>3266.8</v>
      </c>
      <c r="L2773" s="14">
        <v>0</v>
      </c>
      <c r="M2773" s="2" t="s">
        <v>71</v>
      </c>
      <c r="N2773" s="2" t="s">
        <v>16704</v>
      </c>
      <c r="O2773" s="2" t="s">
        <v>4543</v>
      </c>
      <c r="P2773" s="9">
        <v>1.8</v>
      </c>
      <c r="Q2773" s="9">
        <v>3266.8</v>
      </c>
      <c r="R2773" s="2" t="s">
        <v>16708</v>
      </c>
    </row>
    <row r="2774" spans="1:18" x14ac:dyDescent="0.25">
      <c r="A2774" s="2" t="s">
        <v>4545</v>
      </c>
      <c r="B2774" s="6">
        <v>46204</v>
      </c>
      <c r="C2774" s="8">
        <v>46227</v>
      </c>
      <c r="D2774" s="2" t="s">
        <v>199</v>
      </c>
      <c r="E2774" s="2" t="s">
        <v>260</v>
      </c>
      <c r="F2774" s="2" t="s">
        <v>16703</v>
      </c>
      <c r="G2774" s="2" t="s">
        <v>4546</v>
      </c>
      <c r="H2774" s="2" t="s">
        <v>70</v>
      </c>
      <c r="I2774" s="9">
        <v>7368.7308270000003</v>
      </c>
      <c r="J2774" s="7">
        <v>0.65800000000000003</v>
      </c>
      <c r="K2774" s="9">
        <v>4848.62</v>
      </c>
      <c r="L2774" s="14">
        <v>0</v>
      </c>
      <c r="M2774" s="2" t="s">
        <v>71</v>
      </c>
      <c r="N2774" s="2" t="s">
        <v>16706</v>
      </c>
      <c r="O2774" s="2" t="s">
        <v>4543</v>
      </c>
      <c r="P2774" s="9">
        <v>2.67</v>
      </c>
      <c r="Q2774" s="9">
        <v>4900.21</v>
      </c>
      <c r="R2774" s="2" t="s">
        <v>16709</v>
      </c>
    </row>
    <row r="2775" spans="1:18" x14ac:dyDescent="0.25">
      <c r="A2775" s="2" t="s">
        <v>4547</v>
      </c>
      <c r="B2775" s="6">
        <v>46204</v>
      </c>
      <c r="C2775" s="8">
        <v>46213</v>
      </c>
      <c r="D2775" s="2" t="s">
        <v>199</v>
      </c>
      <c r="E2775" s="2" t="s">
        <v>260</v>
      </c>
      <c r="F2775" s="2" t="s">
        <v>16703</v>
      </c>
      <c r="G2775" s="2" t="s">
        <v>4549</v>
      </c>
      <c r="H2775" s="2" t="s">
        <v>39</v>
      </c>
      <c r="I2775" s="9">
        <v>8340.02</v>
      </c>
      <c r="J2775" s="7">
        <v>1</v>
      </c>
      <c r="K2775" s="9">
        <v>8340.02</v>
      </c>
      <c r="L2775" s="14">
        <v>0</v>
      </c>
      <c r="M2775" s="2" t="s">
        <v>71</v>
      </c>
      <c r="N2775" s="2" t="s">
        <v>16706</v>
      </c>
      <c r="O2775" s="2" t="s">
        <v>4548</v>
      </c>
      <c r="P2775" s="9">
        <v>4.59</v>
      </c>
      <c r="Q2775" s="9">
        <v>8340.02</v>
      </c>
      <c r="R2775" s="2" t="s">
        <v>16709</v>
      </c>
    </row>
    <row r="2776" spans="1:18" x14ac:dyDescent="0.25">
      <c r="A2776" s="2" t="s">
        <v>4550</v>
      </c>
      <c r="B2776" s="6">
        <v>46204</v>
      </c>
      <c r="C2776" s="8">
        <v>46214</v>
      </c>
      <c r="D2776" s="2" t="s">
        <v>199</v>
      </c>
      <c r="E2776" s="2" t="s">
        <v>260</v>
      </c>
      <c r="F2776" s="2" t="s">
        <v>16703</v>
      </c>
      <c r="G2776" s="2" t="s">
        <v>4552</v>
      </c>
      <c r="H2776" s="2" t="s">
        <v>76</v>
      </c>
      <c r="I2776" s="9">
        <v>136208480</v>
      </c>
      <c r="J2776" s="7">
        <v>6.2000000000000003E-5</v>
      </c>
      <c r="K2776" s="9">
        <v>8444.93</v>
      </c>
      <c r="L2776" s="14">
        <v>0</v>
      </c>
      <c r="M2776" s="2" t="s">
        <v>71</v>
      </c>
      <c r="N2776" s="2" t="s">
        <v>16706</v>
      </c>
      <c r="O2776" s="2" t="s">
        <v>4551</v>
      </c>
      <c r="P2776" s="9">
        <v>4.6399999999999997</v>
      </c>
      <c r="Q2776" s="9">
        <v>8513.0300000000007</v>
      </c>
      <c r="R2776" s="2" t="s">
        <v>16709</v>
      </c>
    </row>
    <row r="2777" spans="1:18" x14ac:dyDescent="0.25">
      <c r="A2777" s="2" t="s">
        <v>4553</v>
      </c>
      <c r="B2777" s="6">
        <v>46204</v>
      </c>
      <c r="C2777" s="8">
        <v>46205</v>
      </c>
      <c r="D2777" s="2" t="s">
        <v>199</v>
      </c>
      <c r="E2777" s="2" t="s">
        <v>260</v>
      </c>
      <c r="F2777" s="2" t="s">
        <v>16703</v>
      </c>
      <c r="G2777" s="2" t="s">
        <v>4555</v>
      </c>
      <c r="H2777" s="2" t="s">
        <v>70</v>
      </c>
      <c r="I2777" s="9">
        <v>5224.6857140000002</v>
      </c>
      <c r="J2777" s="7">
        <v>0.65800000000000003</v>
      </c>
      <c r="K2777" s="9">
        <v>3437.84</v>
      </c>
      <c r="L2777" s="14">
        <v>0</v>
      </c>
      <c r="M2777" s="2" t="s">
        <v>71</v>
      </c>
      <c r="N2777" s="2" t="s">
        <v>16706</v>
      </c>
      <c r="O2777" s="2" t="s">
        <v>4554</v>
      </c>
      <c r="P2777" s="9">
        <v>1.89</v>
      </c>
      <c r="Q2777" s="9">
        <v>3474.42</v>
      </c>
      <c r="R2777" s="2" t="s">
        <v>16709</v>
      </c>
    </row>
    <row r="2778" spans="1:18" x14ac:dyDescent="0.25">
      <c r="A2778" s="2" t="s">
        <v>4556</v>
      </c>
      <c r="B2778" s="6">
        <v>46204</v>
      </c>
      <c r="C2778" s="8">
        <v>46230</v>
      </c>
      <c r="D2778" s="2" t="s">
        <v>199</v>
      </c>
      <c r="E2778" s="2" t="s">
        <v>260</v>
      </c>
      <c r="F2778" s="2" t="s">
        <v>16703</v>
      </c>
      <c r="G2778" s="2" t="s">
        <v>4557</v>
      </c>
      <c r="H2778" s="2" t="s">
        <v>70</v>
      </c>
      <c r="I2778" s="9">
        <v>7837.0285720000002</v>
      </c>
      <c r="J2778" s="7">
        <v>0.65800000000000003</v>
      </c>
      <c r="K2778" s="9">
        <v>5156.76</v>
      </c>
      <c r="L2778" s="14">
        <v>0</v>
      </c>
      <c r="M2778" s="2" t="s">
        <v>71</v>
      </c>
      <c r="N2778" s="2" t="s">
        <v>16706</v>
      </c>
      <c r="O2778" s="2" t="s">
        <v>4554</v>
      </c>
      <c r="P2778" s="9">
        <v>2.84</v>
      </c>
      <c r="Q2778" s="9">
        <v>5211.62</v>
      </c>
      <c r="R2778" s="2" t="s">
        <v>16709</v>
      </c>
    </row>
    <row r="2779" spans="1:18" x14ac:dyDescent="0.25">
      <c r="A2779" s="2" t="s">
        <v>4558</v>
      </c>
      <c r="B2779" s="6">
        <v>46204</v>
      </c>
      <c r="C2779" s="8">
        <v>46216</v>
      </c>
      <c r="D2779" s="2" t="s">
        <v>199</v>
      </c>
      <c r="E2779" s="2" t="s">
        <v>260</v>
      </c>
      <c r="F2779" s="2" t="s">
        <v>16703</v>
      </c>
      <c r="G2779" s="2" t="s">
        <v>4560</v>
      </c>
      <c r="H2779" s="2" t="s">
        <v>39</v>
      </c>
      <c r="I2779" s="9">
        <v>8859.0499999999993</v>
      </c>
      <c r="J2779" s="7">
        <v>1</v>
      </c>
      <c r="K2779" s="9">
        <v>8859.0499999999993</v>
      </c>
      <c r="L2779" s="14">
        <v>0</v>
      </c>
      <c r="M2779" s="2" t="s">
        <v>71</v>
      </c>
      <c r="N2779" s="2" t="s">
        <v>16706</v>
      </c>
      <c r="O2779" s="2" t="s">
        <v>4559</v>
      </c>
      <c r="P2779" s="9">
        <v>4.87</v>
      </c>
      <c r="Q2779" s="9">
        <v>8859.0499999999993</v>
      </c>
      <c r="R2779" s="2" t="s">
        <v>16709</v>
      </c>
    </row>
    <row r="2780" spans="1:18" x14ac:dyDescent="0.25">
      <c r="A2780" s="2" t="s">
        <v>4561</v>
      </c>
      <c r="B2780" s="6">
        <v>46204</v>
      </c>
      <c r="C2780" s="8">
        <v>46217</v>
      </c>
      <c r="D2780" s="2" t="s">
        <v>199</v>
      </c>
      <c r="E2780" s="2" t="s">
        <v>260</v>
      </c>
      <c r="F2780" s="2" t="s">
        <v>16703</v>
      </c>
      <c r="G2780" s="2" t="s">
        <v>4563</v>
      </c>
      <c r="H2780" s="2" t="s">
        <v>76</v>
      </c>
      <c r="I2780" s="9">
        <v>144512960</v>
      </c>
      <c r="J2780" s="7">
        <v>6.2000000000000003E-5</v>
      </c>
      <c r="K2780" s="9">
        <v>8959.7999999999993</v>
      </c>
      <c r="L2780" s="14">
        <v>0</v>
      </c>
      <c r="M2780" s="2" t="s">
        <v>71</v>
      </c>
      <c r="N2780" s="2" t="s">
        <v>16706</v>
      </c>
      <c r="O2780" s="2" t="s">
        <v>4562</v>
      </c>
      <c r="P2780" s="9">
        <v>4.93</v>
      </c>
      <c r="Q2780" s="9">
        <v>9032.06</v>
      </c>
      <c r="R2780" s="2" t="s">
        <v>16709</v>
      </c>
    </row>
    <row r="2781" spans="1:18" x14ac:dyDescent="0.25">
      <c r="A2781" s="2" t="s">
        <v>4564</v>
      </c>
      <c r="B2781" s="6">
        <v>46204</v>
      </c>
      <c r="C2781" s="8">
        <v>46218</v>
      </c>
      <c r="D2781" s="2" t="s">
        <v>199</v>
      </c>
      <c r="E2781" s="2" t="s">
        <v>260</v>
      </c>
      <c r="F2781" s="2" t="s">
        <v>16703</v>
      </c>
      <c r="G2781" s="2" t="s">
        <v>4566</v>
      </c>
      <c r="H2781" s="2" t="s">
        <v>70</v>
      </c>
      <c r="I2781" s="9">
        <v>13842.210526000001</v>
      </c>
      <c r="J2781" s="7">
        <v>0.65800000000000003</v>
      </c>
      <c r="K2781" s="9">
        <v>9108.17</v>
      </c>
      <c r="L2781" s="14">
        <v>0</v>
      </c>
      <c r="M2781" s="2" t="s">
        <v>71</v>
      </c>
      <c r="N2781" s="2" t="s">
        <v>16706</v>
      </c>
      <c r="O2781" s="2" t="s">
        <v>4565</v>
      </c>
      <c r="P2781" s="9">
        <v>5.01</v>
      </c>
      <c r="Q2781" s="9">
        <v>9205.07</v>
      </c>
      <c r="R2781" s="2" t="s">
        <v>16709</v>
      </c>
    </row>
    <row r="2782" spans="1:18" x14ac:dyDescent="0.25">
      <c r="A2782" s="2" t="s">
        <v>4567</v>
      </c>
      <c r="B2782" s="6">
        <v>46204</v>
      </c>
      <c r="C2782" s="8">
        <v>46219</v>
      </c>
      <c r="D2782" s="2" t="s">
        <v>199</v>
      </c>
      <c r="E2782" s="2" t="s">
        <v>260</v>
      </c>
      <c r="F2782" s="2" t="s">
        <v>16703</v>
      </c>
      <c r="G2782" s="2" t="s">
        <v>4569</v>
      </c>
      <c r="H2782" s="2" t="s">
        <v>39</v>
      </c>
      <c r="I2782" s="9">
        <v>9378.08</v>
      </c>
      <c r="J2782" s="7">
        <v>1</v>
      </c>
      <c r="K2782" s="9">
        <v>9378.08</v>
      </c>
      <c r="L2782" s="14">
        <v>0</v>
      </c>
      <c r="M2782" s="2" t="s">
        <v>71</v>
      </c>
      <c r="N2782" s="2" t="s">
        <v>16706</v>
      </c>
      <c r="O2782" s="2" t="s">
        <v>4568</v>
      </c>
      <c r="P2782" s="9">
        <v>5.16</v>
      </c>
      <c r="Q2782" s="9">
        <v>9378.08</v>
      </c>
      <c r="R2782" s="2" t="s">
        <v>16709</v>
      </c>
    </row>
    <row r="2783" spans="1:18" x14ac:dyDescent="0.25">
      <c r="A2783" s="2" t="s">
        <v>4570</v>
      </c>
      <c r="B2783" s="6">
        <v>46204</v>
      </c>
      <c r="C2783" s="8">
        <v>46220</v>
      </c>
      <c r="D2783" s="2" t="s">
        <v>199</v>
      </c>
      <c r="E2783" s="2" t="s">
        <v>260</v>
      </c>
      <c r="F2783" s="2" t="s">
        <v>16703</v>
      </c>
      <c r="G2783" s="2" t="s">
        <v>4572</v>
      </c>
      <c r="H2783" s="2" t="s">
        <v>76</v>
      </c>
      <c r="I2783" s="9">
        <v>152817440</v>
      </c>
      <c r="J2783" s="7">
        <v>6.2000000000000003E-5</v>
      </c>
      <c r="K2783" s="9">
        <v>9474.68</v>
      </c>
      <c r="L2783" s="14">
        <v>0</v>
      </c>
      <c r="M2783" s="2" t="s">
        <v>71</v>
      </c>
      <c r="N2783" s="2" t="s">
        <v>16706</v>
      </c>
      <c r="O2783" s="2" t="s">
        <v>4571</v>
      </c>
      <c r="P2783" s="9">
        <v>5.21</v>
      </c>
      <c r="Q2783" s="9">
        <v>9551.09</v>
      </c>
      <c r="R2783" s="2" t="s">
        <v>16709</v>
      </c>
    </row>
    <row r="2784" spans="1:18" x14ac:dyDescent="0.25">
      <c r="A2784" s="2" t="s">
        <v>4573</v>
      </c>
      <c r="B2784" s="6">
        <v>46204</v>
      </c>
      <c r="C2784" s="8">
        <v>46211</v>
      </c>
      <c r="D2784" s="2" t="s">
        <v>199</v>
      </c>
      <c r="E2784" s="2" t="s">
        <v>260</v>
      </c>
      <c r="F2784" s="2" t="s">
        <v>16703</v>
      </c>
      <c r="G2784" s="2" t="s">
        <v>4575</v>
      </c>
      <c r="H2784" s="2" t="s">
        <v>70</v>
      </c>
      <c r="I2784" s="9">
        <v>5849.0827069999996</v>
      </c>
      <c r="J2784" s="7">
        <v>0.65800000000000003</v>
      </c>
      <c r="K2784" s="9">
        <v>3848.7</v>
      </c>
      <c r="L2784" s="14">
        <v>0</v>
      </c>
      <c r="M2784" s="2" t="s">
        <v>71</v>
      </c>
      <c r="N2784" s="2" t="s">
        <v>16706</v>
      </c>
      <c r="O2784" s="2" t="s">
        <v>4574</v>
      </c>
      <c r="P2784" s="9">
        <v>2.12</v>
      </c>
      <c r="Q2784" s="9">
        <v>3889.64</v>
      </c>
      <c r="R2784" s="2" t="s">
        <v>16709</v>
      </c>
    </row>
    <row r="2785" spans="1:18" x14ac:dyDescent="0.25">
      <c r="A2785" s="2" t="s">
        <v>4578</v>
      </c>
      <c r="B2785" s="6">
        <v>46204</v>
      </c>
      <c r="C2785" s="8">
        <v>46212</v>
      </c>
      <c r="D2785" s="2" t="s">
        <v>199</v>
      </c>
      <c r="E2785" s="2" t="s">
        <v>260</v>
      </c>
      <c r="F2785" s="2" t="s">
        <v>16703</v>
      </c>
      <c r="G2785" s="2" t="s">
        <v>4580</v>
      </c>
      <c r="H2785" s="2" t="s">
        <v>39</v>
      </c>
      <c r="I2785" s="9">
        <v>-9897.11</v>
      </c>
      <c r="J2785" s="7">
        <v>1</v>
      </c>
      <c r="K2785" s="9">
        <v>-9897.11</v>
      </c>
      <c r="L2785" s="14">
        <v>0</v>
      </c>
      <c r="M2785" s="2" t="s">
        <v>71</v>
      </c>
      <c r="N2785" s="2" t="s">
        <v>16706</v>
      </c>
      <c r="O2785" s="2" t="s">
        <v>4579</v>
      </c>
      <c r="P2785" s="9">
        <v>0</v>
      </c>
      <c r="Q2785" s="9">
        <v>-9897.11</v>
      </c>
      <c r="R2785" s="2" t="s">
        <v>16709</v>
      </c>
    </row>
    <row r="2786" spans="1:18" x14ac:dyDescent="0.25">
      <c r="A2786" s="2" t="s">
        <v>4581</v>
      </c>
      <c r="B2786" s="6">
        <v>46204</v>
      </c>
      <c r="C2786" s="8">
        <v>46223</v>
      </c>
      <c r="D2786" s="2" t="s">
        <v>199</v>
      </c>
      <c r="E2786" s="2" t="s">
        <v>260</v>
      </c>
      <c r="F2786" s="2" t="s">
        <v>16703</v>
      </c>
      <c r="G2786" s="2" t="s">
        <v>4583</v>
      </c>
      <c r="H2786" s="2" t="s">
        <v>76</v>
      </c>
      <c r="I2786" s="9">
        <v>161121920</v>
      </c>
      <c r="J2786" s="7">
        <v>6.2000000000000003E-5</v>
      </c>
      <c r="K2786" s="9">
        <v>9989.56</v>
      </c>
      <c r="L2786" s="14">
        <v>0</v>
      </c>
      <c r="M2786" s="2" t="s">
        <v>71</v>
      </c>
      <c r="N2786" s="2" t="s">
        <v>16706</v>
      </c>
      <c r="O2786" s="2" t="s">
        <v>4582</v>
      </c>
      <c r="P2786" s="9">
        <v>5.49</v>
      </c>
      <c r="Q2786" s="9">
        <v>10070.120000000001</v>
      </c>
      <c r="R2786" s="2" t="s">
        <v>16709</v>
      </c>
    </row>
    <row r="2787" spans="1:18" x14ac:dyDescent="0.25">
      <c r="A2787" s="2" t="s">
        <v>4584</v>
      </c>
      <c r="B2787" s="6">
        <v>46204</v>
      </c>
      <c r="C2787" s="8">
        <v>46224</v>
      </c>
      <c r="D2787" s="2" t="s">
        <v>199</v>
      </c>
      <c r="E2787" s="2" t="s">
        <v>260</v>
      </c>
      <c r="F2787" s="2" t="s">
        <v>16703</v>
      </c>
      <c r="G2787" s="2" t="s">
        <v>4586</v>
      </c>
      <c r="H2787" s="2" t="s">
        <v>70</v>
      </c>
      <c r="I2787" s="9">
        <v>15403.203008</v>
      </c>
      <c r="J2787" s="7">
        <v>0.65800000000000003</v>
      </c>
      <c r="K2787" s="9">
        <v>10135.31</v>
      </c>
      <c r="L2787" s="14">
        <v>0</v>
      </c>
      <c r="M2787" s="2" t="s">
        <v>71</v>
      </c>
      <c r="N2787" s="2" t="s">
        <v>16706</v>
      </c>
      <c r="O2787" s="2" t="s">
        <v>4585</v>
      </c>
      <c r="P2787" s="9">
        <v>5.57</v>
      </c>
      <c r="Q2787" s="9">
        <v>10243.129999999999</v>
      </c>
      <c r="R2787" s="2" t="s">
        <v>16709</v>
      </c>
    </row>
    <row r="2788" spans="1:18" x14ac:dyDescent="0.25">
      <c r="A2788" s="2" t="s">
        <v>4587</v>
      </c>
      <c r="B2788" s="6">
        <v>46204</v>
      </c>
      <c r="C2788" s="8">
        <v>46215</v>
      </c>
      <c r="D2788" s="2" t="s">
        <v>199</v>
      </c>
      <c r="E2788" s="2" t="s">
        <v>260</v>
      </c>
      <c r="F2788" s="2" t="s">
        <v>16703</v>
      </c>
      <c r="G2788" s="2" t="s">
        <v>4589</v>
      </c>
      <c r="H2788" s="2" t="s">
        <v>39</v>
      </c>
      <c r="I2788" s="9">
        <v>4166.4560000000001</v>
      </c>
      <c r="J2788" s="7">
        <v>1</v>
      </c>
      <c r="K2788" s="9">
        <v>4166.46</v>
      </c>
      <c r="L2788" s="14">
        <v>0</v>
      </c>
      <c r="M2788" s="2" t="s">
        <v>71</v>
      </c>
      <c r="N2788" s="2" t="s">
        <v>16706</v>
      </c>
      <c r="O2788" s="2" t="s">
        <v>4588</v>
      </c>
      <c r="P2788" s="9">
        <v>2.29</v>
      </c>
      <c r="Q2788" s="9">
        <v>4166.46</v>
      </c>
      <c r="R2788" s="2" t="s">
        <v>16709</v>
      </c>
    </row>
    <row r="2789" spans="1:18" x14ac:dyDescent="0.25">
      <c r="A2789" s="2" t="s">
        <v>4592</v>
      </c>
      <c r="B2789" s="6">
        <v>46204</v>
      </c>
      <c r="C2789" s="8">
        <v>46226</v>
      </c>
      <c r="D2789" s="2" t="s">
        <v>199</v>
      </c>
      <c r="E2789" s="2" t="s">
        <v>260</v>
      </c>
      <c r="F2789" s="2" t="s">
        <v>16703</v>
      </c>
      <c r="G2789" s="2" t="s">
        <v>4594</v>
      </c>
      <c r="H2789" s="2" t="s">
        <v>76</v>
      </c>
      <c r="I2789" s="9">
        <v>169426400</v>
      </c>
      <c r="J2789" s="7">
        <v>6.2000000000000003E-5</v>
      </c>
      <c r="K2789" s="9">
        <v>10504.44</v>
      </c>
      <c r="L2789" s="14">
        <v>0</v>
      </c>
      <c r="M2789" s="2" t="s">
        <v>71</v>
      </c>
      <c r="N2789" s="2" t="s">
        <v>16706</v>
      </c>
      <c r="O2789" s="2" t="s">
        <v>4593</v>
      </c>
      <c r="P2789" s="9">
        <v>5.78</v>
      </c>
      <c r="Q2789" s="9">
        <v>10589.15</v>
      </c>
      <c r="R2789" s="2" t="s">
        <v>16709</v>
      </c>
    </row>
    <row r="2790" spans="1:18" x14ac:dyDescent="0.25">
      <c r="A2790" s="2" t="s">
        <v>4595</v>
      </c>
      <c r="B2790" s="6">
        <v>46204</v>
      </c>
      <c r="C2790" s="8">
        <v>46227</v>
      </c>
      <c r="D2790" s="2" t="s">
        <v>199</v>
      </c>
      <c r="E2790" s="2" t="s">
        <v>260</v>
      </c>
      <c r="F2790" s="2" t="s">
        <v>16703</v>
      </c>
      <c r="G2790" s="2" t="s">
        <v>4597</v>
      </c>
      <c r="H2790" s="2" t="s">
        <v>70</v>
      </c>
      <c r="I2790" s="9">
        <v>16183.699248000001</v>
      </c>
      <c r="J2790" s="7">
        <v>0.65800000000000003</v>
      </c>
      <c r="K2790" s="9">
        <v>10648.87</v>
      </c>
      <c r="L2790" s="14">
        <v>0</v>
      </c>
      <c r="M2790" s="2" t="s">
        <v>71</v>
      </c>
      <c r="N2790" s="2" t="s">
        <v>16706</v>
      </c>
      <c r="O2790" s="2" t="s">
        <v>4596</v>
      </c>
      <c r="P2790" s="9">
        <v>5.86</v>
      </c>
      <c r="Q2790" s="9">
        <v>10762.16</v>
      </c>
      <c r="R2790" s="2" t="s">
        <v>16709</v>
      </c>
    </row>
    <row r="2791" spans="1:18" x14ac:dyDescent="0.25">
      <c r="A2791" s="2" t="s">
        <v>4598</v>
      </c>
      <c r="B2791" s="6">
        <v>46174</v>
      </c>
      <c r="C2791" s="8">
        <v>46198</v>
      </c>
      <c r="D2791" s="2" t="s">
        <v>199</v>
      </c>
      <c r="E2791" s="2" t="s">
        <v>260</v>
      </c>
      <c r="F2791" s="2" t="s">
        <v>16703</v>
      </c>
      <c r="G2791" s="2" t="s">
        <v>4600</v>
      </c>
      <c r="H2791" s="2" t="s">
        <v>39</v>
      </c>
      <c r="I2791" s="9">
        <v>10935.17</v>
      </c>
      <c r="J2791" s="7">
        <v>1</v>
      </c>
      <c r="K2791" s="9">
        <v>10935.17</v>
      </c>
      <c r="L2791" s="14">
        <v>0</v>
      </c>
      <c r="M2791" s="2" t="s">
        <v>71</v>
      </c>
      <c r="N2791" s="2" t="s">
        <v>16704</v>
      </c>
      <c r="O2791" s="2" t="s">
        <v>4599</v>
      </c>
      <c r="P2791" s="9">
        <v>6.01</v>
      </c>
      <c r="Q2791" s="9">
        <v>10935.17</v>
      </c>
      <c r="R2791" s="2" t="s">
        <v>16708</v>
      </c>
    </row>
    <row r="2792" spans="1:18" x14ac:dyDescent="0.25">
      <c r="A2792" s="2" t="s">
        <v>4601</v>
      </c>
      <c r="B2792" s="6">
        <v>46174</v>
      </c>
      <c r="C2792" s="8">
        <v>46199</v>
      </c>
      <c r="D2792" s="2" t="s">
        <v>199</v>
      </c>
      <c r="E2792" s="2" t="s">
        <v>260</v>
      </c>
      <c r="F2792" s="2" t="s">
        <v>16703</v>
      </c>
      <c r="G2792" s="2" t="s">
        <v>4603</v>
      </c>
      <c r="H2792" s="2" t="s">
        <v>76</v>
      </c>
      <c r="I2792" s="9">
        <v>177730880</v>
      </c>
      <c r="J2792" s="7">
        <v>6.2500000000000001E-5</v>
      </c>
      <c r="K2792" s="9">
        <v>11108.18</v>
      </c>
      <c r="L2792" s="14">
        <v>0</v>
      </c>
      <c r="M2792" s="2" t="s">
        <v>71</v>
      </c>
      <c r="N2792" s="2" t="s">
        <v>16704</v>
      </c>
      <c r="O2792" s="2" t="s">
        <v>4602</v>
      </c>
      <c r="P2792" s="9">
        <v>6.11</v>
      </c>
      <c r="Q2792" s="9">
        <v>11108.18</v>
      </c>
      <c r="R2792" s="2" t="s">
        <v>16708</v>
      </c>
    </row>
    <row r="2793" spans="1:18" x14ac:dyDescent="0.25">
      <c r="A2793" s="2" t="s">
        <v>4604</v>
      </c>
      <c r="B2793" s="6">
        <v>46174</v>
      </c>
      <c r="C2793" s="8">
        <v>46200</v>
      </c>
      <c r="D2793" s="2" t="s">
        <v>199</v>
      </c>
      <c r="E2793" s="2" t="s">
        <v>260</v>
      </c>
      <c r="F2793" s="2" t="s">
        <v>16703</v>
      </c>
      <c r="G2793" s="2" t="s">
        <v>4606</v>
      </c>
      <c r="H2793" s="2" t="s">
        <v>70</v>
      </c>
      <c r="I2793" s="9">
        <v>16964.195489000002</v>
      </c>
      <c r="J2793" s="7">
        <v>0.66500000000000004</v>
      </c>
      <c r="K2793" s="9">
        <v>11281.19</v>
      </c>
      <c r="L2793" s="14">
        <v>0</v>
      </c>
      <c r="M2793" s="2" t="s">
        <v>71</v>
      </c>
      <c r="N2793" s="2" t="s">
        <v>16704</v>
      </c>
      <c r="O2793" s="2" t="s">
        <v>4605</v>
      </c>
      <c r="P2793" s="9">
        <v>6.2</v>
      </c>
      <c r="Q2793" s="9">
        <v>11281.19</v>
      </c>
      <c r="R2793" s="2" t="s">
        <v>16708</v>
      </c>
    </row>
    <row r="2794" spans="1:18" x14ac:dyDescent="0.25">
      <c r="A2794" s="2" t="s">
        <v>4607</v>
      </c>
      <c r="B2794" s="6">
        <v>46174</v>
      </c>
      <c r="C2794" s="8">
        <v>46191</v>
      </c>
      <c r="D2794" s="2" t="s">
        <v>199</v>
      </c>
      <c r="E2794" s="2" t="s">
        <v>260</v>
      </c>
      <c r="F2794" s="2" t="s">
        <v>16703</v>
      </c>
      <c r="G2794" s="2" t="s">
        <v>4609</v>
      </c>
      <c r="H2794" s="2" t="s">
        <v>39</v>
      </c>
      <c r="I2794" s="9">
        <v>4581.68</v>
      </c>
      <c r="J2794" s="7">
        <v>1</v>
      </c>
      <c r="K2794" s="9">
        <v>4581.68</v>
      </c>
      <c r="L2794" s="14">
        <v>0</v>
      </c>
      <c r="M2794" s="2" t="s">
        <v>71</v>
      </c>
      <c r="N2794" s="2" t="s">
        <v>16704</v>
      </c>
      <c r="O2794" s="2" t="s">
        <v>4608</v>
      </c>
      <c r="P2794" s="9">
        <v>2.52</v>
      </c>
      <c r="Q2794" s="9">
        <v>4581.68</v>
      </c>
      <c r="R2794" s="2" t="s">
        <v>16708</v>
      </c>
    </row>
    <row r="2795" spans="1:18" x14ac:dyDescent="0.25">
      <c r="A2795" s="2" t="s">
        <v>4610</v>
      </c>
      <c r="B2795" s="6">
        <v>46204</v>
      </c>
      <c r="C2795" s="8">
        <v>46216</v>
      </c>
      <c r="D2795" s="2" t="s">
        <v>199</v>
      </c>
      <c r="E2795" s="2" t="s">
        <v>260</v>
      </c>
      <c r="F2795" s="2" t="s">
        <v>16703</v>
      </c>
      <c r="G2795" s="2" t="s">
        <v>4611</v>
      </c>
      <c r="H2795" s="2" t="s">
        <v>39</v>
      </c>
      <c r="I2795" s="9">
        <v>6872.52</v>
      </c>
      <c r="J2795" s="7">
        <v>1</v>
      </c>
      <c r="K2795" s="9">
        <v>6872.52</v>
      </c>
      <c r="L2795" s="14">
        <v>0</v>
      </c>
      <c r="M2795" s="2" t="s">
        <v>71</v>
      </c>
      <c r="N2795" s="2" t="s">
        <v>16706</v>
      </c>
      <c r="O2795" s="2" t="s">
        <v>4608</v>
      </c>
      <c r="P2795" s="9">
        <v>3.78</v>
      </c>
      <c r="Q2795" s="9">
        <v>6872.52</v>
      </c>
      <c r="R2795" s="2" t="s">
        <v>16709</v>
      </c>
    </row>
    <row r="2796" spans="1:18" x14ac:dyDescent="0.25">
      <c r="A2796" s="2" t="s">
        <v>4612</v>
      </c>
      <c r="B2796" s="6">
        <v>46174</v>
      </c>
      <c r="C2796" s="8">
        <v>46192</v>
      </c>
      <c r="D2796" s="2" t="s">
        <v>199</v>
      </c>
      <c r="E2796" s="2" t="s">
        <v>260</v>
      </c>
      <c r="F2796" s="2" t="s">
        <v>16703</v>
      </c>
      <c r="G2796" s="2" t="s">
        <v>4614</v>
      </c>
      <c r="H2796" s="2" t="s">
        <v>76</v>
      </c>
      <c r="I2796" s="9">
        <v>74414144</v>
      </c>
      <c r="J2796" s="7">
        <v>6.2500000000000001E-5</v>
      </c>
      <c r="K2796" s="9">
        <v>4650.88</v>
      </c>
      <c r="L2796" s="14">
        <v>0</v>
      </c>
      <c r="M2796" s="2" t="s">
        <v>71</v>
      </c>
      <c r="N2796" s="2" t="s">
        <v>16704</v>
      </c>
      <c r="O2796" s="2" t="s">
        <v>4613</v>
      </c>
      <c r="P2796" s="9">
        <v>2.56</v>
      </c>
      <c r="Q2796" s="9">
        <v>4650.88</v>
      </c>
      <c r="R2796" s="2" t="s">
        <v>16708</v>
      </c>
    </row>
    <row r="2797" spans="1:18" x14ac:dyDescent="0.25">
      <c r="A2797" s="2" t="s">
        <v>4615</v>
      </c>
      <c r="B2797" s="6">
        <v>46204</v>
      </c>
      <c r="C2797" s="8">
        <v>46217</v>
      </c>
      <c r="D2797" s="2" t="s">
        <v>199</v>
      </c>
      <c r="E2797" s="2" t="s">
        <v>260</v>
      </c>
      <c r="F2797" s="2" t="s">
        <v>16703</v>
      </c>
      <c r="G2797" s="2" t="s">
        <v>4616</v>
      </c>
      <c r="H2797" s="2" t="s">
        <v>76</v>
      </c>
      <c r="I2797" s="9">
        <v>111621216</v>
      </c>
      <c r="J2797" s="7">
        <v>6.2000000000000003E-5</v>
      </c>
      <c r="K2797" s="9">
        <v>6920.52</v>
      </c>
      <c r="L2797" s="14">
        <v>0</v>
      </c>
      <c r="M2797" s="2" t="s">
        <v>71</v>
      </c>
      <c r="N2797" s="2" t="s">
        <v>16706</v>
      </c>
      <c r="O2797" s="2" t="s">
        <v>4613</v>
      </c>
      <c r="P2797" s="9">
        <v>3.81</v>
      </c>
      <c r="Q2797" s="9">
        <v>6976.33</v>
      </c>
      <c r="R2797" s="2" t="s">
        <v>16709</v>
      </c>
    </row>
    <row r="2798" spans="1:18" x14ac:dyDescent="0.25">
      <c r="A2798" s="2" t="s">
        <v>4617</v>
      </c>
      <c r="B2798" s="6">
        <v>46174</v>
      </c>
      <c r="C2798" s="8">
        <v>46203</v>
      </c>
      <c r="D2798" s="2" t="s">
        <v>199</v>
      </c>
      <c r="E2798" s="2" t="s">
        <v>260</v>
      </c>
      <c r="F2798" s="2" t="s">
        <v>16703</v>
      </c>
      <c r="G2798" s="2" t="s">
        <v>4619</v>
      </c>
      <c r="H2798" s="2" t="s">
        <v>70</v>
      </c>
      <c r="I2798" s="9">
        <v>17744.691728999998</v>
      </c>
      <c r="J2798" s="7">
        <v>0.66500000000000004</v>
      </c>
      <c r="K2798" s="9">
        <v>11800.22</v>
      </c>
      <c r="L2798" s="14">
        <v>0</v>
      </c>
      <c r="M2798" s="2" t="s">
        <v>71</v>
      </c>
      <c r="N2798" s="2" t="s">
        <v>16704</v>
      </c>
      <c r="O2798" s="2" t="s">
        <v>4618</v>
      </c>
      <c r="P2798" s="9">
        <v>6.49</v>
      </c>
      <c r="Q2798" s="9">
        <v>11800.22</v>
      </c>
      <c r="R2798" s="2" t="s">
        <v>16708</v>
      </c>
    </row>
    <row r="2799" spans="1:18" x14ac:dyDescent="0.25">
      <c r="A2799" s="2" t="s">
        <v>4620</v>
      </c>
      <c r="B2799" s="6">
        <v>46204</v>
      </c>
      <c r="C2799" s="8">
        <v>46204</v>
      </c>
      <c r="D2799" s="2" t="s">
        <v>199</v>
      </c>
      <c r="E2799" s="2" t="s">
        <v>260</v>
      </c>
      <c r="F2799" s="2" t="s">
        <v>16703</v>
      </c>
      <c r="G2799" s="2" t="s">
        <v>4622</v>
      </c>
      <c r="H2799" s="2" t="s">
        <v>39</v>
      </c>
      <c r="I2799" s="9">
        <v>11973.23</v>
      </c>
      <c r="J2799" s="7">
        <v>1</v>
      </c>
      <c r="K2799" s="9">
        <v>11973.23</v>
      </c>
      <c r="L2799" s="14">
        <v>0</v>
      </c>
      <c r="M2799" s="2" t="s">
        <v>71</v>
      </c>
      <c r="N2799" s="2" t="s">
        <v>16706</v>
      </c>
      <c r="O2799" s="2" t="s">
        <v>4621</v>
      </c>
      <c r="P2799" s="9">
        <v>6.59</v>
      </c>
      <c r="Q2799" s="9">
        <v>11973.23</v>
      </c>
      <c r="R2799" s="2" t="s">
        <v>16709</v>
      </c>
    </row>
    <row r="2800" spans="1:18" x14ac:dyDescent="0.25">
      <c r="A2800" s="2" t="s">
        <v>4623</v>
      </c>
      <c r="B2800" s="6">
        <v>46174</v>
      </c>
      <c r="C2800" s="8">
        <v>46195</v>
      </c>
      <c r="D2800" s="2" t="s">
        <v>199</v>
      </c>
      <c r="E2800" s="2" t="s">
        <v>260</v>
      </c>
      <c r="F2800" s="2" t="s">
        <v>16703</v>
      </c>
      <c r="G2800" s="2" t="s">
        <v>4625</v>
      </c>
      <c r="H2800" s="2" t="s">
        <v>76</v>
      </c>
      <c r="I2800" s="9">
        <v>77735936</v>
      </c>
      <c r="J2800" s="7">
        <v>6.2500000000000001E-5</v>
      </c>
      <c r="K2800" s="9">
        <v>4858.5</v>
      </c>
      <c r="L2800" s="14">
        <v>0</v>
      </c>
      <c r="M2800" s="2" t="s">
        <v>71</v>
      </c>
      <c r="N2800" s="2" t="s">
        <v>16704</v>
      </c>
      <c r="O2800" s="2" t="s">
        <v>4624</v>
      </c>
      <c r="P2800" s="9">
        <v>2.67</v>
      </c>
      <c r="Q2800" s="9">
        <v>4858.5</v>
      </c>
      <c r="R2800" s="2" t="s">
        <v>16708</v>
      </c>
    </row>
    <row r="2801" spans="1:18" x14ac:dyDescent="0.25">
      <c r="A2801" s="2" t="s">
        <v>4626</v>
      </c>
      <c r="B2801" s="6">
        <v>46204</v>
      </c>
      <c r="C2801" s="8">
        <v>46220</v>
      </c>
      <c r="D2801" s="2" t="s">
        <v>199</v>
      </c>
      <c r="E2801" s="2" t="s">
        <v>260</v>
      </c>
      <c r="F2801" s="2" t="s">
        <v>16703</v>
      </c>
      <c r="G2801" s="2" t="s">
        <v>4627</v>
      </c>
      <c r="H2801" s="2" t="s">
        <v>76</v>
      </c>
      <c r="I2801" s="9">
        <v>116603904</v>
      </c>
      <c r="J2801" s="7">
        <v>6.2000000000000003E-5</v>
      </c>
      <c r="K2801" s="9">
        <v>7229.44</v>
      </c>
      <c r="L2801" s="14">
        <v>0</v>
      </c>
      <c r="M2801" s="2" t="s">
        <v>71</v>
      </c>
      <c r="N2801" s="2" t="s">
        <v>16706</v>
      </c>
      <c r="O2801" s="2" t="s">
        <v>4624</v>
      </c>
      <c r="P2801" s="9">
        <v>3.98</v>
      </c>
      <c r="Q2801" s="9">
        <v>7287.74</v>
      </c>
      <c r="R2801" s="2" t="s">
        <v>16709</v>
      </c>
    </row>
    <row r="2802" spans="1:18" x14ac:dyDescent="0.25">
      <c r="A2802" s="2" t="s">
        <v>4628</v>
      </c>
      <c r="B2802" s="6">
        <v>46204</v>
      </c>
      <c r="C2802" s="8">
        <v>46206</v>
      </c>
      <c r="D2802" s="2" t="s">
        <v>199</v>
      </c>
      <c r="E2802" s="2" t="s">
        <v>260</v>
      </c>
      <c r="F2802" s="2" t="s">
        <v>16703</v>
      </c>
      <c r="G2802" s="2" t="s">
        <v>4630</v>
      </c>
      <c r="H2802" s="2" t="s">
        <v>70</v>
      </c>
      <c r="I2802" s="9">
        <v>18525.187969999999</v>
      </c>
      <c r="J2802" s="7">
        <v>0.65800000000000003</v>
      </c>
      <c r="K2802" s="9">
        <v>12189.57</v>
      </c>
      <c r="L2802" s="14">
        <v>0</v>
      </c>
      <c r="M2802" s="2" t="s">
        <v>71</v>
      </c>
      <c r="N2802" s="2" t="s">
        <v>16706</v>
      </c>
      <c r="O2802" s="2" t="s">
        <v>4629</v>
      </c>
      <c r="P2802" s="9">
        <v>6.7</v>
      </c>
      <c r="Q2802" s="9">
        <v>12319.25</v>
      </c>
      <c r="R2802" s="2" t="s">
        <v>16709</v>
      </c>
    </row>
    <row r="2803" spans="1:18" x14ac:dyDescent="0.25">
      <c r="A2803" s="2" t="s">
        <v>4631</v>
      </c>
      <c r="B2803" s="6">
        <v>46204</v>
      </c>
      <c r="C2803" s="8">
        <v>46207</v>
      </c>
      <c r="D2803" s="2" t="s">
        <v>199</v>
      </c>
      <c r="E2803" s="2" t="s">
        <v>260</v>
      </c>
      <c r="F2803" s="2" t="s">
        <v>16703</v>
      </c>
      <c r="G2803" s="2" t="s">
        <v>4633</v>
      </c>
      <c r="H2803" s="2" t="s">
        <v>39</v>
      </c>
      <c r="I2803" s="9">
        <v>12492.26</v>
      </c>
      <c r="J2803" s="7">
        <v>1</v>
      </c>
      <c r="K2803" s="9">
        <v>12492.26</v>
      </c>
      <c r="L2803" s="14">
        <v>0</v>
      </c>
      <c r="M2803" s="2" t="s">
        <v>71</v>
      </c>
      <c r="N2803" s="2" t="s">
        <v>16706</v>
      </c>
      <c r="O2803" s="2" t="s">
        <v>4632</v>
      </c>
      <c r="P2803" s="9">
        <v>6.87</v>
      </c>
      <c r="Q2803" s="9">
        <v>12492.26</v>
      </c>
      <c r="R2803" s="2" t="s">
        <v>16709</v>
      </c>
    </row>
    <row r="2804" spans="1:18" x14ac:dyDescent="0.25">
      <c r="A2804" s="2" t="s">
        <v>4634</v>
      </c>
      <c r="B2804" s="6">
        <v>46204</v>
      </c>
      <c r="C2804" s="8">
        <v>46208</v>
      </c>
      <c r="D2804" s="2" t="s">
        <v>199</v>
      </c>
      <c r="E2804" s="2" t="s">
        <v>260</v>
      </c>
      <c r="F2804" s="2" t="s">
        <v>16703</v>
      </c>
      <c r="G2804" s="2" t="s">
        <v>4636</v>
      </c>
      <c r="H2804" s="2" t="s">
        <v>76</v>
      </c>
      <c r="I2804" s="9">
        <v>202644320</v>
      </c>
      <c r="J2804" s="7">
        <v>6.2000000000000003E-5</v>
      </c>
      <c r="K2804" s="9">
        <v>12563.95</v>
      </c>
      <c r="L2804" s="14">
        <v>0</v>
      </c>
      <c r="M2804" s="2" t="s">
        <v>71</v>
      </c>
      <c r="N2804" s="2" t="s">
        <v>16706</v>
      </c>
      <c r="O2804" s="2" t="s">
        <v>4635</v>
      </c>
      <c r="P2804" s="9">
        <v>6.91</v>
      </c>
      <c r="Q2804" s="9">
        <v>12665.27</v>
      </c>
      <c r="R2804" s="2" t="s">
        <v>16709</v>
      </c>
    </row>
    <row r="2805" spans="1:18" x14ac:dyDescent="0.25">
      <c r="A2805" s="2" t="s">
        <v>4637</v>
      </c>
      <c r="B2805" s="6">
        <v>46204</v>
      </c>
      <c r="C2805" s="8">
        <v>46209</v>
      </c>
      <c r="D2805" s="2" t="s">
        <v>199</v>
      </c>
      <c r="E2805" s="2" t="s">
        <v>260</v>
      </c>
      <c r="F2805" s="2" t="s">
        <v>16703</v>
      </c>
      <c r="G2805" s="2" t="s">
        <v>4639</v>
      </c>
      <c r="H2805" s="2" t="s">
        <v>70</v>
      </c>
      <c r="I2805" s="9">
        <v>19305.684211</v>
      </c>
      <c r="J2805" s="7">
        <v>0.65800000000000003</v>
      </c>
      <c r="K2805" s="9">
        <v>12703.14</v>
      </c>
      <c r="L2805" s="14">
        <v>0</v>
      </c>
      <c r="M2805" s="2" t="s">
        <v>71</v>
      </c>
      <c r="N2805" s="2" t="s">
        <v>16706</v>
      </c>
      <c r="O2805" s="2" t="s">
        <v>4638</v>
      </c>
      <c r="P2805" s="9">
        <v>6.99</v>
      </c>
      <c r="Q2805" s="9">
        <v>12838.28</v>
      </c>
      <c r="R2805" s="2" t="s">
        <v>16709</v>
      </c>
    </row>
    <row r="2806" spans="1:18" x14ac:dyDescent="0.25">
      <c r="A2806" s="2" t="s">
        <v>4640</v>
      </c>
      <c r="B2806" s="6">
        <v>46204</v>
      </c>
      <c r="C2806" s="8">
        <v>46210</v>
      </c>
      <c r="D2806" s="2" t="s">
        <v>199</v>
      </c>
      <c r="E2806" s="2" t="s">
        <v>260</v>
      </c>
      <c r="F2806" s="2" t="s">
        <v>16703</v>
      </c>
      <c r="G2806" s="2" t="s">
        <v>4642</v>
      </c>
      <c r="H2806" s="2" t="s">
        <v>39</v>
      </c>
      <c r="I2806" s="9">
        <v>13011.29</v>
      </c>
      <c r="J2806" s="7">
        <v>1</v>
      </c>
      <c r="K2806" s="9">
        <v>13011.29</v>
      </c>
      <c r="L2806" s="14">
        <v>0</v>
      </c>
      <c r="M2806" s="2" t="s">
        <v>71</v>
      </c>
      <c r="N2806" s="2" t="s">
        <v>16706</v>
      </c>
      <c r="O2806" s="2" t="s">
        <v>4641</v>
      </c>
      <c r="P2806" s="9">
        <v>7.16</v>
      </c>
      <c r="Q2806" s="9">
        <v>13011.29</v>
      </c>
      <c r="R2806" s="2" t="s">
        <v>16709</v>
      </c>
    </row>
    <row r="2807" spans="1:18" x14ac:dyDescent="0.25">
      <c r="A2807" s="2" t="s">
        <v>4643</v>
      </c>
      <c r="B2807" s="6">
        <v>46174</v>
      </c>
      <c r="C2807" s="8">
        <v>46201</v>
      </c>
      <c r="D2807" s="2" t="s">
        <v>199</v>
      </c>
      <c r="E2807" s="2" t="s">
        <v>260</v>
      </c>
      <c r="F2807" s="2" t="s">
        <v>16703</v>
      </c>
      <c r="G2807" s="2" t="s">
        <v>4645</v>
      </c>
      <c r="H2807" s="2" t="s">
        <v>76</v>
      </c>
      <c r="I2807" s="9">
        <v>84379520</v>
      </c>
      <c r="J2807" s="7">
        <v>6.2500000000000001E-5</v>
      </c>
      <c r="K2807" s="9">
        <v>5273.72</v>
      </c>
      <c r="L2807" s="14">
        <v>0</v>
      </c>
      <c r="M2807" s="2" t="s">
        <v>71</v>
      </c>
      <c r="N2807" s="2" t="s">
        <v>16704</v>
      </c>
      <c r="O2807" s="2" t="s">
        <v>4644</v>
      </c>
      <c r="P2807" s="9">
        <v>2.9</v>
      </c>
      <c r="Q2807" s="9">
        <v>5273.72</v>
      </c>
      <c r="R2807" s="2" t="s">
        <v>16708</v>
      </c>
    </row>
    <row r="2808" spans="1:18" x14ac:dyDescent="0.25">
      <c r="A2808" s="2" t="s">
        <v>4646</v>
      </c>
      <c r="B2808" s="6">
        <v>46204</v>
      </c>
      <c r="C2808" s="8">
        <v>46226</v>
      </c>
      <c r="D2808" s="2" t="s">
        <v>199</v>
      </c>
      <c r="E2808" s="2" t="s">
        <v>260</v>
      </c>
      <c r="F2808" s="2" t="s">
        <v>16703</v>
      </c>
      <c r="G2808" s="2" t="s">
        <v>4647</v>
      </c>
      <c r="H2808" s="2" t="s">
        <v>76</v>
      </c>
      <c r="I2808" s="9">
        <v>126569280</v>
      </c>
      <c r="J2808" s="7">
        <v>6.2000000000000003E-5</v>
      </c>
      <c r="K2808" s="9">
        <v>7847.3</v>
      </c>
      <c r="L2808" s="14">
        <v>0</v>
      </c>
      <c r="M2808" s="2" t="s">
        <v>71</v>
      </c>
      <c r="N2808" s="2" t="s">
        <v>16706</v>
      </c>
      <c r="O2808" s="2" t="s">
        <v>4644</v>
      </c>
      <c r="P2808" s="9">
        <v>4.32</v>
      </c>
      <c r="Q2808" s="9">
        <v>7910.58</v>
      </c>
      <c r="R2808" s="2" t="s">
        <v>16709</v>
      </c>
    </row>
    <row r="2809" spans="1:18" x14ac:dyDescent="0.25">
      <c r="A2809" s="2" t="s">
        <v>4648</v>
      </c>
      <c r="B2809" s="6">
        <v>46174</v>
      </c>
      <c r="C2809" s="8">
        <v>46202</v>
      </c>
      <c r="D2809" s="2" t="s">
        <v>199</v>
      </c>
      <c r="E2809" s="2" t="s">
        <v>260</v>
      </c>
      <c r="F2809" s="2" t="s">
        <v>16703</v>
      </c>
      <c r="G2809" s="2" t="s">
        <v>4650</v>
      </c>
      <c r="H2809" s="2" t="s">
        <v>70</v>
      </c>
      <c r="I2809" s="9">
        <v>8034.4721799999998</v>
      </c>
      <c r="J2809" s="7">
        <v>0.66500000000000004</v>
      </c>
      <c r="K2809" s="9">
        <v>5342.92</v>
      </c>
      <c r="L2809" s="14">
        <v>0</v>
      </c>
      <c r="M2809" s="2" t="s">
        <v>71</v>
      </c>
      <c r="N2809" s="2" t="s">
        <v>16704</v>
      </c>
      <c r="O2809" s="2" t="s">
        <v>4649</v>
      </c>
      <c r="P2809" s="9">
        <v>2.94</v>
      </c>
      <c r="Q2809" s="9">
        <v>5342.92</v>
      </c>
      <c r="R2809" s="2" t="s">
        <v>16708</v>
      </c>
    </row>
    <row r="2810" spans="1:18" x14ac:dyDescent="0.25">
      <c r="A2810" s="2" t="s">
        <v>4651</v>
      </c>
      <c r="B2810" s="6">
        <v>46204</v>
      </c>
      <c r="C2810" s="8">
        <v>46227</v>
      </c>
      <c r="D2810" s="2" t="s">
        <v>199</v>
      </c>
      <c r="E2810" s="2" t="s">
        <v>260</v>
      </c>
      <c r="F2810" s="2" t="s">
        <v>16703</v>
      </c>
      <c r="G2810" s="2" t="s">
        <v>4652</v>
      </c>
      <c r="H2810" s="2" t="s">
        <v>70</v>
      </c>
      <c r="I2810" s="9">
        <v>12051.708271</v>
      </c>
      <c r="J2810" s="7">
        <v>0.65800000000000003</v>
      </c>
      <c r="K2810" s="9">
        <v>7930.02</v>
      </c>
      <c r="L2810" s="14">
        <v>0</v>
      </c>
      <c r="M2810" s="2" t="s">
        <v>71</v>
      </c>
      <c r="N2810" s="2" t="s">
        <v>16706</v>
      </c>
      <c r="O2810" s="2" t="s">
        <v>4649</v>
      </c>
      <c r="P2810" s="9">
        <v>4.3600000000000003</v>
      </c>
      <c r="Q2810" s="9">
        <v>8014.39</v>
      </c>
      <c r="R2810" s="2" t="s">
        <v>16709</v>
      </c>
    </row>
    <row r="2811" spans="1:18" x14ac:dyDescent="0.25">
      <c r="A2811" s="2" t="s">
        <v>4653</v>
      </c>
      <c r="B2811" s="6">
        <v>46204</v>
      </c>
      <c r="C2811" s="8">
        <v>46213</v>
      </c>
      <c r="D2811" s="2" t="s">
        <v>199</v>
      </c>
      <c r="E2811" s="2" t="s">
        <v>260</v>
      </c>
      <c r="F2811" s="2" t="s">
        <v>16703</v>
      </c>
      <c r="G2811" s="2" t="s">
        <v>4655</v>
      </c>
      <c r="H2811" s="2" t="s">
        <v>39</v>
      </c>
      <c r="I2811" s="9">
        <v>13530.32</v>
      </c>
      <c r="J2811" s="7">
        <v>1</v>
      </c>
      <c r="K2811" s="9">
        <v>13530.32</v>
      </c>
      <c r="L2811" s="14">
        <v>0</v>
      </c>
      <c r="M2811" s="2" t="s">
        <v>71</v>
      </c>
      <c r="N2811" s="2" t="s">
        <v>16706</v>
      </c>
      <c r="O2811" s="2" t="s">
        <v>4654</v>
      </c>
      <c r="P2811" s="9">
        <v>7.44</v>
      </c>
      <c r="Q2811" s="9">
        <v>13530.32</v>
      </c>
      <c r="R2811" s="2" t="s">
        <v>16709</v>
      </c>
    </row>
    <row r="2812" spans="1:18" x14ac:dyDescent="0.25">
      <c r="A2812" s="2" t="s">
        <v>4656</v>
      </c>
      <c r="B2812" s="6">
        <v>46204</v>
      </c>
      <c r="C2812" s="8">
        <v>46214</v>
      </c>
      <c r="D2812" s="2" t="s">
        <v>199</v>
      </c>
      <c r="E2812" s="2" t="s">
        <v>260</v>
      </c>
      <c r="F2812" s="2" t="s">
        <v>16703</v>
      </c>
      <c r="G2812" s="2" t="s">
        <v>4658</v>
      </c>
      <c r="H2812" s="2" t="s">
        <v>76</v>
      </c>
      <c r="I2812" s="9">
        <v>219253280</v>
      </c>
      <c r="J2812" s="7">
        <v>6.2000000000000003E-5</v>
      </c>
      <c r="K2812" s="9">
        <v>13593.7</v>
      </c>
      <c r="L2812" s="14">
        <v>0</v>
      </c>
      <c r="M2812" s="2" t="s">
        <v>71</v>
      </c>
      <c r="N2812" s="2" t="s">
        <v>16706</v>
      </c>
      <c r="O2812" s="2" t="s">
        <v>4657</v>
      </c>
      <c r="P2812" s="9">
        <v>7.48</v>
      </c>
      <c r="Q2812" s="9">
        <v>13703.33</v>
      </c>
      <c r="R2812" s="2" t="s">
        <v>16709</v>
      </c>
    </row>
    <row r="2813" spans="1:18" x14ac:dyDescent="0.25">
      <c r="A2813" s="2" t="s">
        <v>4659</v>
      </c>
      <c r="B2813" s="6">
        <v>46204</v>
      </c>
      <c r="C2813" s="8">
        <v>46205</v>
      </c>
      <c r="D2813" s="2" t="s">
        <v>199</v>
      </c>
      <c r="E2813" s="2" t="s">
        <v>260</v>
      </c>
      <c r="F2813" s="2" t="s">
        <v>16703</v>
      </c>
      <c r="G2813" s="2" t="s">
        <v>4661</v>
      </c>
      <c r="H2813" s="2" t="s">
        <v>70</v>
      </c>
      <c r="I2813" s="9">
        <v>8346.6706770000001</v>
      </c>
      <c r="J2813" s="7">
        <v>0.65800000000000003</v>
      </c>
      <c r="K2813" s="9">
        <v>5492.11</v>
      </c>
      <c r="L2813" s="14">
        <v>0</v>
      </c>
      <c r="M2813" s="2" t="s">
        <v>71</v>
      </c>
      <c r="N2813" s="2" t="s">
        <v>16706</v>
      </c>
      <c r="O2813" s="2" t="s">
        <v>4660</v>
      </c>
      <c r="P2813" s="9">
        <v>3.02</v>
      </c>
      <c r="Q2813" s="9">
        <v>5550.54</v>
      </c>
      <c r="R2813" s="2" t="s">
        <v>16709</v>
      </c>
    </row>
    <row r="2814" spans="1:18" x14ac:dyDescent="0.25">
      <c r="A2814" s="2" t="s">
        <v>4662</v>
      </c>
      <c r="B2814" s="6">
        <v>46204</v>
      </c>
      <c r="C2814" s="8">
        <v>46230</v>
      </c>
      <c r="D2814" s="2" t="s">
        <v>199</v>
      </c>
      <c r="E2814" s="2" t="s">
        <v>260</v>
      </c>
      <c r="F2814" s="2" t="s">
        <v>16703</v>
      </c>
      <c r="G2814" s="2" t="s">
        <v>4663</v>
      </c>
      <c r="H2814" s="2" t="s">
        <v>70</v>
      </c>
      <c r="I2814" s="9">
        <v>12520.006015000001</v>
      </c>
      <c r="J2814" s="7">
        <v>0.65800000000000003</v>
      </c>
      <c r="K2814" s="9">
        <v>8238.16</v>
      </c>
      <c r="L2814" s="14">
        <v>0</v>
      </c>
      <c r="M2814" s="2" t="s">
        <v>71</v>
      </c>
      <c r="N2814" s="2" t="s">
        <v>16706</v>
      </c>
      <c r="O2814" s="2" t="s">
        <v>4660</v>
      </c>
      <c r="P2814" s="9">
        <v>4.53</v>
      </c>
      <c r="Q2814" s="9">
        <v>8325.7999999999993</v>
      </c>
      <c r="R2814" s="2" t="s">
        <v>16709</v>
      </c>
    </row>
    <row r="2815" spans="1:18" x14ac:dyDescent="0.25">
      <c r="A2815" s="2" t="s">
        <v>4664</v>
      </c>
      <c r="B2815" s="6">
        <v>46204</v>
      </c>
      <c r="C2815" s="8">
        <v>46216</v>
      </c>
      <c r="D2815" s="2" t="s">
        <v>199</v>
      </c>
      <c r="E2815" s="2" t="s">
        <v>260</v>
      </c>
      <c r="F2815" s="2" t="s">
        <v>16703</v>
      </c>
      <c r="G2815" s="2" t="s">
        <v>4666</v>
      </c>
      <c r="H2815" s="2" t="s">
        <v>39</v>
      </c>
      <c r="I2815" s="9">
        <v>14049.35</v>
      </c>
      <c r="J2815" s="7">
        <v>1</v>
      </c>
      <c r="K2815" s="9">
        <v>14049.35</v>
      </c>
      <c r="L2815" s="14">
        <v>0</v>
      </c>
      <c r="M2815" s="2" t="s">
        <v>71</v>
      </c>
      <c r="N2815" s="2" t="s">
        <v>16706</v>
      </c>
      <c r="O2815" s="2" t="s">
        <v>4665</v>
      </c>
      <c r="P2815" s="9">
        <v>7.73</v>
      </c>
      <c r="Q2815" s="9">
        <v>14049.35</v>
      </c>
      <c r="R2815" s="2" t="s">
        <v>16709</v>
      </c>
    </row>
    <row r="2816" spans="1:18" x14ac:dyDescent="0.25">
      <c r="A2816" s="2" t="s">
        <v>4667</v>
      </c>
      <c r="B2816" s="6">
        <v>46204</v>
      </c>
      <c r="C2816" s="8">
        <v>46217</v>
      </c>
      <c r="D2816" s="2" t="s">
        <v>199</v>
      </c>
      <c r="E2816" s="2" t="s">
        <v>260</v>
      </c>
      <c r="F2816" s="2" t="s">
        <v>16703</v>
      </c>
      <c r="G2816" s="2" t="s">
        <v>4669</v>
      </c>
      <c r="H2816" s="2" t="s">
        <v>76</v>
      </c>
      <c r="I2816" s="9">
        <v>227557760</v>
      </c>
      <c r="J2816" s="7">
        <v>6.2000000000000003E-5</v>
      </c>
      <c r="K2816" s="9">
        <v>14108.58</v>
      </c>
      <c r="L2816" s="14">
        <v>0</v>
      </c>
      <c r="M2816" s="2" t="s">
        <v>71</v>
      </c>
      <c r="N2816" s="2" t="s">
        <v>16706</v>
      </c>
      <c r="O2816" s="2" t="s">
        <v>4668</v>
      </c>
      <c r="P2816" s="9">
        <v>7.76</v>
      </c>
      <c r="Q2816" s="9">
        <v>14222.36</v>
      </c>
      <c r="R2816" s="2" t="s">
        <v>16709</v>
      </c>
    </row>
    <row r="2817" spans="1:18" x14ac:dyDescent="0.25">
      <c r="A2817" s="2" t="s">
        <v>4670</v>
      </c>
      <c r="B2817" s="6">
        <v>46204</v>
      </c>
      <c r="C2817" s="8">
        <v>46218</v>
      </c>
      <c r="D2817" s="2" t="s">
        <v>199</v>
      </c>
      <c r="E2817" s="2" t="s">
        <v>260</v>
      </c>
      <c r="F2817" s="2" t="s">
        <v>16703</v>
      </c>
      <c r="G2817" s="2" t="s">
        <v>4672</v>
      </c>
      <c r="H2817" s="2" t="s">
        <v>70</v>
      </c>
      <c r="I2817" s="9">
        <v>21647.172932000001</v>
      </c>
      <c r="J2817" s="7">
        <v>0.65800000000000003</v>
      </c>
      <c r="K2817" s="9">
        <v>14243.84</v>
      </c>
      <c r="L2817" s="14">
        <v>0</v>
      </c>
      <c r="M2817" s="2" t="s">
        <v>71</v>
      </c>
      <c r="N2817" s="2" t="s">
        <v>16706</v>
      </c>
      <c r="O2817" s="2" t="s">
        <v>4671</v>
      </c>
      <c r="P2817" s="9">
        <v>7.83</v>
      </c>
      <c r="Q2817" s="9">
        <v>14395.37</v>
      </c>
      <c r="R2817" s="2" t="s">
        <v>16709</v>
      </c>
    </row>
    <row r="2818" spans="1:18" x14ac:dyDescent="0.25">
      <c r="A2818" s="2" t="s">
        <v>4673</v>
      </c>
      <c r="B2818" s="6">
        <v>46204</v>
      </c>
      <c r="C2818" s="8">
        <v>46219</v>
      </c>
      <c r="D2818" s="2" t="s">
        <v>199</v>
      </c>
      <c r="E2818" s="2" t="s">
        <v>260</v>
      </c>
      <c r="F2818" s="2" t="s">
        <v>16703</v>
      </c>
      <c r="G2818" s="2" t="s">
        <v>4675</v>
      </c>
      <c r="H2818" s="2" t="s">
        <v>39</v>
      </c>
      <c r="I2818" s="9">
        <v>14568.38</v>
      </c>
      <c r="J2818" s="7">
        <v>1</v>
      </c>
      <c r="K2818" s="9">
        <v>14568.38</v>
      </c>
      <c r="L2818" s="14">
        <v>0</v>
      </c>
      <c r="M2818" s="2" t="s">
        <v>71</v>
      </c>
      <c r="N2818" s="2" t="s">
        <v>16706</v>
      </c>
      <c r="O2818" s="2" t="s">
        <v>4674</v>
      </c>
      <c r="P2818" s="9">
        <v>8.01</v>
      </c>
      <c r="Q2818" s="9">
        <v>14568.38</v>
      </c>
      <c r="R2818" s="2" t="s">
        <v>16709</v>
      </c>
    </row>
    <row r="2819" spans="1:18" x14ac:dyDescent="0.25">
      <c r="A2819" s="2" t="s">
        <v>4676</v>
      </c>
      <c r="B2819" s="6">
        <v>46204</v>
      </c>
      <c r="C2819" s="8">
        <v>46220</v>
      </c>
      <c r="D2819" s="2" t="s">
        <v>199</v>
      </c>
      <c r="E2819" s="2" t="s">
        <v>260</v>
      </c>
      <c r="F2819" s="2" t="s">
        <v>16703</v>
      </c>
      <c r="G2819" s="2" t="s">
        <v>4678</v>
      </c>
      <c r="H2819" s="2" t="s">
        <v>76</v>
      </c>
      <c r="I2819" s="9">
        <v>235862240</v>
      </c>
      <c r="J2819" s="7">
        <v>6.2000000000000003E-5</v>
      </c>
      <c r="K2819" s="9">
        <v>14623.46</v>
      </c>
      <c r="L2819" s="14">
        <v>0</v>
      </c>
      <c r="M2819" s="2" t="s">
        <v>71</v>
      </c>
      <c r="N2819" s="2" t="s">
        <v>16706</v>
      </c>
      <c r="O2819" s="2" t="s">
        <v>4677</v>
      </c>
      <c r="P2819" s="9">
        <v>8.0399999999999991</v>
      </c>
      <c r="Q2819" s="9">
        <v>14741.39</v>
      </c>
      <c r="R2819" s="2" t="s">
        <v>16709</v>
      </c>
    </row>
    <row r="2820" spans="1:18" x14ac:dyDescent="0.25">
      <c r="A2820" s="2" t="s">
        <v>4679</v>
      </c>
      <c r="B2820" s="6">
        <v>46204</v>
      </c>
      <c r="C2820" s="8">
        <v>46211</v>
      </c>
      <c r="D2820" s="2" t="s">
        <v>199</v>
      </c>
      <c r="E2820" s="2" t="s">
        <v>260</v>
      </c>
      <c r="F2820" s="2" t="s">
        <v>16703</v>
      </c>
      <c r="G2820" s="2" t="s">
        <v>4681</v>
      </c>
      <c r="H2820" s="2" t="s">
        <v>70</v>
      </c>
      <c r="I2820" s="9">
        <v>550.015038</v>
      </c>
      <c r="J2820" s="7">
        <v>0.65800000000000003</v>
      </c>
      <c r="K2820" s="9">
        <v>361.91</v>
      </c>
      <c r="L2820" s="14">
        <v>0</v>
      </c>
      <c r="M2820" s="2" t="s">
        <v>71</v>
      </c>
      <c r="N2820" s="2" t="s">
        <v>16706</v>
      </c>
      <c r="O2820" s="2" t="s">
        <v>4680</v>
      </c>
      <c r="P2820" s="9">
        <v>1.8</v>
      </c>
      <c r="Q2820" s="9">
        <v>365.76</v>
      </c>
      <c r="R2820" s="2" t="s">
        <v>16709</v>
      </c>
    </row>
    <row r="2821" spans="1:18" x14ac:dyDescent="0.25">
      <c r="A2821" s="2" t="s">
        <v>4684</v>
      </c>
      <c r="B2821" s="6">
        <v>46204</v>
      </c>
      <c r="C2821" s="8">
        <v>46212</v>
      </c>
      <c r="D2821" s="2" t="s">
        <v>199</v>
      </c>
      <c r="E2821" s="2" t="s">
        <v>260</v>
      </c>
      <c r="F2821" s="2" t="s">
        <v>16703</v>
      </c>
      <c r="G2821" s="2" t="s">
        <v>4686</v>
      </c>
      <c r="H2821" s="2" t="s">
        <v>39</v>
      </c>
      <c r="I2821" s="9">
        <v>434.964</v>
      </c>
      <c r="J2821" s="7">
        <v>1</v>
      </c>
      <c r="K2821" s="9">
        <v>434.96</v>
      </c>
      <c r="L2821" s="14">
        <v>0</v>
      </c>
      <c r="M2821" s="2" t="s">
        <v>71</v>
      </c>
      <c r="N2821" s="2" t="s">
        <v>16706</v>
      </c>
      <c r="O2821" s="2" t="s">
        <v>4685</v>
      </c>
      <c r="P2821" s="9">
        <v>1.8</v>
      </c>
      <c r="Q2821" s="9">
        <v>434.96</v>
      </c>
      <c r="R2821" s="2" t="s">
        <v>16709</v>
      </c>
    </row>
    <row r="2822" spans="1:18" x14ac:dyDescent="0.25">
      <c r="A2822" s="2" t="s">
        <v>4689</v>
      </c>
      <c r="B2822" s="6">
        <v>46204</v>
      </c>
      <c r="C2822" s="8">
        <v>46223</v>
      </c>
      <c r="D2822" s="2" t="s">
        <v>199</v>
      </c>
      <c r="E2822" s="2" t="s">
        <v>260</v>
      </c>
      <c r="F2822" s="2" t="s">
        <v>16703</v>
      </c>
      <c r="G2822" s="2" t="s">
        <v>4691</v>
      </c>
      <c r="H2822" s="2" t="s">
        <v>76</v>
      </c>
      <c r="I2822" s="9">
        <v>20166720</v>
      </c>
      <c r="J2822" s="7">
        <v>6.2000000000000003E-5</v>
      </c>
      <c r="K2822" s="9">
        <v>1250.3399999999999</v>
      </c>
      <c r="L2822" s="14">
        <v>0</v>
      </c>
      <c r="M2822" s="2" t="s">
        <v>71</v>
      </c>
      <c r="N2822" s="2" t="s">
        <v>16706</v>
      </c>
      <c r="O2822" s="2" t="s">
        <v>4690</v>
      </c>
      <c r="P2822" s="9">
        <v>1.8</v>
      </c>
      <c r="Q2822" s="9">
        <v>1260.42</v>
      </c>
      <c r="R2822" s="2" t="s">
        <v>16709</v>
      </c>
    </row>
    <row r="2823" spans="1:18" x14ac:dyDescent="0.25">
      <c r="A2823" s="2" t="s">
        <v>4692</v>
      </c>
      <c r="B2823" s="6">
        <v>46204</v>
      </c>
      <c r="C2823" s="8">
        <v>46224</v>
      </c>
      <c r="D2823" s="2" t="s">
        <v>199</v>
      </c>
      <c r="E2823" s="2" t="s">
        <v>260</v>
      </c>
      <c r="F2823" s="2" t="s">
        <v>16703</v>
      </c>
      <c r="G2823" s="2" t="s">
        <v>4694</v>
      </c>
      <c r="H2823" s="2" t="s">
        <v>70</v>
      </c>
      <c r="I2823" s="9">
        <v>2155.5338350000002</v>
      </c>
      <c r="J2823" s="7">
        <v>0.65800000000000003</v>
      </c>
      <c r="K2823" s="9">
        <v>1418.34</v>
      </c>
      <c r="L2823" s="14">
        <v>0</v>
      </c>
      <c r="M2823" s="2" t="s">
        <v>71</v>
      </c>
      <c r="N2823" s="2" t="s">
        <v>16706</v>
      </c>
      <c r="O2823" s="2" t="s">
        <v>4693</v>
      </c>
      <c r="P2823" s="9">
        <v>1.8</v>
      </c>
      <c r="Q2823" s="9">
        <v>1433.43</v>
      </c>
      <c r="R2823" s="2" t="s">
        <v>16709</v>
      </c>
    </row>
    <row r="2824" spans="1:18" x14ac:dyDescent="0.25">
      <c r="A2824" s="2" t="s">
        <v>4695</v>
      </c>
      <c r="B2824" s="6">
        <v>46204</v>
      </c>
      <c r="C2824" s="8">
        <v>46215</v>
      </c>
      <c r="D2824" s="2" t="s">
        <v>199</v>
      </c>
      <c r="E2824" s="2" t="s">
        <v>260</v>
      </c>
      <c r="F2824" s="2" t="s">
        <v>16703</v>
      </c>
      <c r="G2824" s="2" t="s">
        <v>4697</v>
      </c>
      <c r="H2824" s="2" t="s">
        <v>39</v>
      </c>
      <c r="I2824" s="9">
        <v>642.57600000000002</v>
      </c>
      <c r="J2824" s="7">
        <v>1</v>
      </c>
      <c r="K2824" s="9">
        <v>642.58000000000004</v>
      </c>
      <c r="L2824" s="14">
        <v>0</v>
      </c>
      <c r="M2824" s="2" t="s">
        <v>71</v>
      </c>
      <c r="N2824" s="2" t="s">
        <v>16706</v>
      </c>
      <c r="O2824" s="2" t="s">
        <v>4696</v>
      </c>
      <c r="P2824" s="9">
        <v>1.8</v>
      </c>
      <c r="Q2824" s="9">
        <v>642.58000000000004</v>
      </c>
      <c r="R2824" s="2" t="s">
        <v>16709</v>
      </c>
    </row>
    <row r="2825" spans="1:18" x14ac:dyDescent="0.25">
      <c r="A2825" s="2" t="s">
        <v>4700</v>
      </c>
      <c r="B2825" s="6">
        <v>46204</v>
      </c>
      <c r="C2825" s="8">
        <v>46226</v>
      </c>
      <c r="D2825" s="2" t="s">
        <v>199</v>
      </c>
      <c r="E2825" s="2" t="s">
        <v>260</v>
      </c>
      <c r="F2825" s="2" t="s">
        <v>16703</v>
      </c>
      <c r="G2825" s="2" t="s">
        <v>4702</v>
      </c>
      <c r="H2825" s="2" t="s">
        <v>76</v>
      </c>
      <c r="I2825" s="9">
        <v>28471200</v>
      </c>
      <c r="J2825" s="7">
        <v>6.2000000000000003E-5</v>
      </c>
      <c r="K2825" s="9">
        <v>1765.21</v>
      </c>
      <c r="L2825" s="14">
        <v>0</v>
      </c>
      <c r="M2825" s="2" t="s">
        <v>71</v>
      </c>
      <c r="N2825" s="2" t="s">
        <v>16706</v>
      </c>
      <c r="O2825" s="2" t="s">
        <v>4701</v>
      </c>
      <c r="P2825" s="9">
        <v>1.8</v>
      </c>
      <c r="Q2825" s="9">
        <v>1779.45</v>
      </c>
      <c r="R2825" s="2" t="s">
        <v>16709</v>
      </c>
    </row>
    <row r="2826" spans="1:18" x14ac:dyDescent="0.25">
      <c r="A2826" s="2" t="s">
        <v>4703</v>
      </c>
      <c r="B2826" s="6">
        <v>46204</v>
      </c>
      <c r="C2826" s="8">
        <v>46227</v>
      </c>
      <c r="D2826" s="2" t="s">
        <v>199</v>
      </c>
      <c r="E2826" s="2" t="s">
        <v>260</v>
      </c>
      <c r="F2826" s="2" t="s">
        <v>16703</v>
      </c>
      <c r="G2826" s="2" t="s">
        <v>4705</v>
      </c>
      <c r="H2826" s="2" t="s">
        <v>70</v>
      </c>
      <c r="I2826" s="9">
        <v>2936.0300750000001</v>
      </c>
      <c r="J2826" s="7">
        <v>0.65800000000000003</v>
      </c>
      <c r="K2826" s="9">
        <v>1931.91</v>
      </c>
      <c r="L2826" s="14">
        <v>0</v>
      </c>
      <c r="M2826" s="2" t="s">
        <v>71</v>
      </c>
      <c r="N2826" s="2" t="s">
        <v>16706</v>
      </c>
      <c r="O2826" s="2" t="s">
        <v>4704</v>
      </c>
      <c r="P2826" s="9">
        <v>1.8</v>
      </c>
      <c r="Q2826" s="9">
        <v>1952.46</v>
      </c>
      <c r="R2826" s="2" t="s">
        <v>16709</v>
      </c>
    </row>
    <row r="2827" spans="1:18" x14ac:dyDescent="0.25">
      <c r="A2827" s="2" t="s">
        <v>4706</v>
      </c>
      <c r="B2827" s="6">
        <v>46174</v>
      </c>
      <c r="C2827" s="8">
        <v>46198</v>
      </c>
      <c r="D2827" s="2" t="s">
        <v>199</v>
      </c>
      <c r="E2827" s="2" t="s">
        <v>260</v>
      </c>
      <c r="F2827" s="2" t="s">
        <v>16703</v>
      </c>
      <c r="G2827" s="2" t="s">
        <v>4708</v>
      </c>
      <c r="H2827" s="2" t="s">
        <v>39</v>
      </c>
      <c r="I2827" s="9">
        <v>2125.4699999999998</v>
      </c>
      <c r="J2827" s="7">
        <v>1</v>
      </c>
      <c r="K2827" s="9">
        <v>2125.4699999999998</v>
      </c>
      <c r="L2827" s="14">
        <v>0</v>
      </c>
      <c r="M2827" s="2" t="s">
        <v>71</v>
      </c>
      <c r="N2827" s="2" t="s">
        <v>16704</v>
      </c>
      <c r="O2827" s="2" t="s">
        <v>4707</v>
      </c>
      <c r="P2827" s="9">
        <v>1.8</v>
      </c>
      <c r="Q2827" s="9">
        <v>2125.4699999999998</v>
      </c>
      <c r="R2827" s="2" t="s">
        <v>16708</v>
      </c>
    </row>
    <row r="2828" spans="1:18" x14ac:dyDescent="0.25">
      <c r="A2828" s="2" t="s">
        <v>4709</v>
      </c>
      <c r="B2828" s="6">
        <v>46174</v>
      </c>
      <c r="C2828" s="8">
        <v>46199</v>
      </c>
      <c r="D2828" s="2" t="s">
        <v>199</v>
      </c>
      <c r="E2828" s="2" t="s">
        <v>260</v>
      </c>
      <c r="F2828" s="2" t="s">
        <v>16703</v>
      </c>
      <c r="G2828" s="2" t="s">
        <v>4711</v>
      </c>
      <c r="H2828" s="2" t="s">
        <v>76</v>
      </c>
      <c r="I2828" s="9">
        <v>36775680</v>
      </c>
      <c r="J2828" s="7">
        <v>6.2500000000000001E-5</v>
      </c>
      <c r="K2828" s="9">
        <v>2298.48</v>
      </c>
      <c r="L2828" s="14">
        <v>0</v>
      </c>
      <c r="M2828" s="2" t="s">
        <v>71</v>
      </c>
      <c r="N2828" s="2" t="s">
        <v>16704</v>
      </c>
      <c r="O2828" s="2" t="s">
        <v>4710</v>
      </c>
      <c r="P2828" s="9">
        <v>1.8</v>
      </c>
      <c r="Q2828" s="9">
        <v>2298.48</v>
      </c>
      <c r="R2828" s="2" t="s">
        <v>16708</v>
      </c>
    </row>
    <row r="2829" spans="1:18" x14ac:dyDescent="0.25">
      <c r="A2829" s="2" t="s">
        <v>4712</v>
      </c>
      <c r="B2829" s="6">
        <v>46174</v>
      </c>
      <c r="C2829" s="8">
        <v>46200</v>
      </c>
      <c r="D2829" s="2" t="s">
        <v>199</v>
      </c>
      <c r="E2829" s="2" t="s">
        <v>260</v>
      </c>
      <c r="F2829" s="2" t="s">
        <v>16703</v>
      </c>
      <c r="G2829" s="2" t="s">
        <v>4714</v>
      </c>
      <c r="H2829" s="2" t="s">
        <v>70</v>
      </c>
      <c r="I2829" s="9">
        <v>3716.526316</v>
      </c>
      <c r="J2829" s="7">
        <v>0.66500000000000004</v>
      </c>
      <c r="K2829" s="9">
        <v>2471.4899999999998</v>
      </c>
      <c r="L2829" s="14">
        <v>0</v>
      </c>
      <c r="M2829" s="2" t="s">
        <v>71</v>
      </c>
      <c r="N2829" s="2" t="s">
        <v>16704</v>
      </c>
      <c r="O2829" s="2" t="s">
        <v>4713</v>
      </c>
      <c r="P2829" s="9">
        <v>1.8</v>
      </c>
      <c r="Q2829" s="9">
        <v>2471.4899999999998</v>
      </c>
      <c r="R2829" s="2" t="s">
        <v>16708</v>
      </c>
    </row>
    <row r="2830" spans="1:18" x14ac:dyDescent="0.25">
      <c r="A2830" s="2" t="s">
        <v>4715</v>
      </c>
      <c r="B2830" s="6">
        <v>46174</v>
      </c>
      <c r="C2830" s="8">
        <v>46191</v>
      </c>
      <c r="D2830" s="2" t="s">
        <v>199</v>
      </c>
      <c r="E2830" s="2" t="s">
        <v>260</v>
      </c>
      <c r="F2830" s="2" t="s">
        <v>16703</v>
      </c>
      <c r="G2830" s="2" t="s">
        <v>4717</v>
      </c>
      <c r="H2830" s="2" t="s">
        <v>39</v>
      </c>
      <c r="I2830" s="9">
        <v>1057.8</v>
      </c>
      <c r="J2830" s="7">
        <v>1</v>
      </c>
      <c r="K2830" s="9">
        <v>1057.8</v>
      </c>
      <c r="L2830" s="14">
        <v>0</v>
      </c>
      <c r="M2830" s="2" t="s">
        <v>71</v>
      </c>
      <c r="N2830" s="2" t="s">
        <v>16704</v>
      </c>
      <c r="O2830" s="2" t="s">
        <v>4716</v>
      </c>
      <c r="P2830" s="9">
        <v>1.8</v>
      </c>
      <c r="Q2830" s="9">
        <v>1057.8</v>
      </c>
      <c r="R2830" s="2" t="s">
        <v>16708</v>
      </c>
    </row>
    <row r="2831" spans="1:18" x14ac:dyDescent="0.25">
      <c r="A2831" s="2" t="s">
        <v>4718</v>
      </c>
      <c r="B2831" s="6">
        <v>46204</v>
      </c>
      <c r="C2831" s="8">
        <v>46216</v>
      </c>
      <c r="D2831" s="2" t="s">
        <v>199</v>
      </c>
      <c r="E2831" s="2" t="s">
        <v>260</v>
      </c>
      <c r="F2831" s="2" t="s">
        <v>16703</v>
      </c>
      <c r="G2831" s="2" t="s">
        <v>4719</v>
      </c>
      <c r="H2831" s="2" t="s">
        <v>39</v>
      </c>
      <c r="I2831" s="9">
        <v>1586.7</v>
      </c>
      <c r="J2831" s="7">
        <v>1</v>
      </c>
      <c r="K2831" s="9">
        <v>1586.7</v>
      </c>
      <c r="L2831" s="14">
        <v>0</v>
      </c>
      <c r="M2831" s="2" t="s">
        <v>71</v>
      </c>
      <c r="N2831" s="2" t="s">
        <v>16706</v>
      </c>
      <c r="O2831" s="2" t="s">
        <v>4716</v>
      </c>
      <c r="P2831" s="9">
        <v>1.8</v>
      </c>
      <c r="Q2831" s="9">
        <v>1586.7</v>
      </c>
      <c r="R2831" s="2" t="s">
        <v>16709</v>
      </c>
    </row>
    <row r="2832" spans="1:18" x14ac:dyDescent="0.25">
      <c r="A2832" s="2" t="s">
        <v>4720</v>
      </c>
      <c r="B2832" s="6">
        <v>46174</v>
      </c>
      <c r="C2832" s="8">
        <v>46192</v>
      </c>
      <c r="D2832" s="2" t="s">
        <v>199</v>
      </c>
      <c r="E2832" s="2" t="s">
        <v>260</v>
      </c>
      <c r="F2832" s="2" t="s">
        <v>16703</v>
      </c>
      <c r="G2832" s="2" t="s">
        <v>4722</v>
      </c>
      <c r="H2832" s="2" t="s">
        <v>76</v>
      </c>
      <c r="I2832" s="9">
        <v>18032064</v>
      </c>
      <c r="J2832" s="7">
        <v>6.2500000000000001E-5</v>
      </c>
      <c r="K2832" s="9">
        <v>1127</v>
      </c>
      <c r="L2832" s="14">
        <v>0</v>
      </c>
      <c r="M2832" s="2" t="s">
        <v>71</v>
      </c>
      <c r="N2832" s="2" t="s">
        <v>16704</v>
      </c>
      <c r="O2832" s="2" t="s">
        <v>4721</v>
      </c>
      <c r="P2832" s="9">
        <v>1.8</v>
      </c>
      <c r="Q2832" s="9">
        <v>1127</v>
      </c>
      <c r="R2832" s="2" t="s">
        <v>16708</v>
      </c>
    </row>
    <row r="2833" spans="1:18" x14ac:dyDescent="0.25">
      <c r="A2833" s="2" t="s">
        <v>4723</v>
      </c>
      <c r="B2833" s="6">
        <v>46204</v>
      </c>
      <c r="C2833" s="8">
        <v>46217</v>
      </c>
      <c r="D2833" s="2" t="s">
        <v>199</v>
      </c>
      <c r="E2833" s="2" t="s">
        <v>260</v>
      </c>
      <c r="F2833" s="2" t="s">
        <v>16703</v>
      </c>
      <c r="G2833" s="2" t="s">
        <v>4724</v>
      </c>
      <c r="H2833" s="2" t="s">
        <v>76</v>
      </c>
      <c r="I2833" s="9">
        <v>27048096</v>
      </c>
      <c r="J2833" s="7">
        <v>6.2000000000000003E-5</v>
      </c>
      <c r="K2833" s="9">
        <v>1676.98</v>
      </c>
      <c r="L2833" s="14">
        <v>0</v>
      </c>
      <c r="M2833" s="2" t="s">
        <v>71</v>
      </c>
      <c r="N2833" s="2" t="s">
        <v>16706</v>
      </c>
      <c r="O2833" s="2" t="s">
        <v>4721</v>
      </c>
      <c r="P2833" s="9">
        <v>1.8</v>
      </c>
      <c r="Q2833" s="9">
        <v>1690.51</v>
      </c>
      <c r="R2833" s="2" t="s">
        <v>16709</v>
      </c>
    </row>
    <row r="2834" spans="1:18" x14ac:dyDescent="0.25">
      <c r="A2834" s="2" t="s">
        <v>4725</v>
      </c>
      <c r="B2834" s="6">
        <v>46174</v>
      </c>
      <c r="C2834" s="8">
        <v>46203</v>
      </c>
      <c r="D2834" s="2" t="s">
        <v>199</v>
      </c>
      <c r="E2834" s="2" t="s">
        <v>260</v>
      </c>
      <c r="F2834" s="2" t="s">
        <v>16703</v>
      </c>
      <c r="G2834" s="2" t="s">
        <v>4727</v>
      </c>
      <c r="H2834" s="2" t="s">
        <v>70</v>
      </c>
      <c r="I2834" s="9">
        <v>-4497.0225559999999</v>
      </c>
      <c r="J2834" s="7">
        <v>0.66500000000000004</v>
      </c>
      <c r="K2834" s="9">
        <v>-2990.52</v>
      </c>
      <c r="L2834" s="14">
        <v>0</v>
      </c>
      <c r="M2834" s="2" t="s">
        <v>71</v>
      </c>
      <c r="N2834" s="2" t="s">
        <v>16704</v>
      </c>
      <c r="O2834" s="2" t="s">
        <v>4726</v>
      </c>
      <c r="P2834" s="9">
        <v>0</v>
      </c>
      <c r="Q2834" s="9">
        <v>-2990.52</v>
      </c>
      <c r="R2834" s="2" t="s">
        <v>16708</v>
      </c>
    </row>
    <row r="2835" spans="1:18" x14ac:dyDescent="0.25">
      <c r="A2835" s="2" t="s">
        <v>4728</v>
      </c>
      <c r="B2835" s="6">
        <v>46204</v>
      </c>
      <c r="C2835" s="8">
        <v>46204</v>
      </c>
      <c r="D2835" s="2" t="s">
        <v>199</v>
      </c>
      <c r="E2835" s="2" t="s">
        <v>260</v>
      </c>
      <c r="F2835" s="2" t="s">
        <v>16703</v>
      </c>
      <c r="G2835" s="2" t="s">
        <v>4730</v>
      </c>
      <c r="H2835" s="2" t="s">
        <v>39</v>
      </c>
      <c r="I2835" s="9">
        <v>3163.53</v>
      </c>
      <c r="J2835" s="7">
        <v>1</v>
      </c>
      <c r="K2835" s="9">
        <v>3163.53</v>
      </c>
      <c r="L2835" s="14">
        <v>0</v>
      </c>
      <c r="M2835" s="2" t="s">
        <v>71</v>
      </c>
      <c r="N2835" s="2" t="s">
        <v>16706</v>
      </c>
      <c r="O2835" s="2" t="s">
        <v>4729</v>
      </c>
      <c r="P2835" s="9">
        <v>1.8</v>
      </c>
      <c r="Q2835" s="9">
        <v>3163.53</v>
      </c>
      <c r="R2835" s="2" t="s">
        <v>16709</v>
      </c>
    </row>
    <row r="2836" spans="1:18" x14ac:dyDescent="0.25">
      <c r="A2836" s="2" t="s">
        <v>4731</v>
      </c>
      <c r="B2836" s="6">
        <v>46174</v>
      </c>
      <c r="C2836" s="8">
        <v>46195</v>
      </c>
      <c r="D2836" s="2" t="s">
        <v>199</v>
      </c>
      <c r="E2836" s="2" t="s">
        <v>260</v>
      </c>
      <c r="F2836" s="2" t="s">
        <v>16703</v>
      </c>
      <c r="G2836" s="2" t="s">
        <v>4733</v>
      </c>
      <c r="H2836" s="2" t="s">
        <v>76</v>
      </c>
      <c r="I2836" s="9">
        <v>21353856</v>
      </c>
      <c r="J2836" s="7">
        <v>6.2500000000000001E-5</v>
      </c>
      <c r="K2836" s="9">
        <v>1334.62</v>
      </c>
      <c r="L2836" s="14">
        <v>0</v>
      </c>
      <c r="M2836" s="2" t="s">
        <v>71</v>
      </c>
      <c r="N2836" s="2" t="s">
        <v>16704</v>
      </c>
      <c r="O2836" s="2" t="s">
        <v>4732</v>
      </c>
      <c r="P2836" s="9">
        <v>1.8</v>
      </c>
      <c r="Q2836" s="9">
        <v>1334.62</v>
      </c>
      <c r="R2836" s="2" t="s">
        <v>16708</v>
      </c>
    </row>
    <row r="2837" spans="1:18" x14ac:dyDescent="0.25">
      <c r="A2837" s="2" t="s">
        <v>4734</v>
      </c>
      <c r="B2837" s="6">
        <v>46204</v>
      </c>
      <c r="C2837" s="8">
        <v>46220</v>
      </c>
      <c r="D2837" s="2" t="s">
        <v>199</v>
      </c>
      <c r="E2837" s="2" t="s">
        <v>260</v>
      </c>
      <c r="F2837" s="2" t="s">
        <v>16703</v>
      </c>
      <c r="G2837" s="2" t="s">
        <v>4735</v>
      </c>
      <c r="H2837" s="2" t="s">
        <v>76</v>
      </c>
      <c r="I2837" s="9">
        <v>32030784</v>
      </c>
      <c r="J2837" s="7">
        <v>6.2000000000000003E-5</v>
      </c>
      <c r="K2837" s="9">
        <v>1985.91</v>
      </c>
      <c r="L2837" s="14">
        <v>0</v>
      </c>
      <c r="M2837" s="2" t="s">
        <v>71</v>
      </c>
      <c r="N2837" s="2" t="s">
        <v>16706</v>
      </c>
      <c r="O2837" s="2" t="s">
        <v>4732</v>
      </c>
      <c r="P2837" s="9">
        <v>1.8</v>
      </c>
      <c r="Q2837" s="9">
        <v>2001.92</v>
      </c>
      <c r="R2837" s="2" t="s">
        <v>16709</v>
      </c>
    </row>
    <row r="2838" spans="1:18" x14ac:dyDescent="0.25">
      <c r="A2838" s="2" t="s">
        <v>4736</v>
      </c>
      <c r="B2838" s="6">
        <v>46204</v>
      </c>
      <c r="C2838" s="8">
        <v>46206</v>
      </c>
      <c r="D2838" s="2" t="s">
        <v>199</v>
      </c>
      <c r="E2838" s="2" t="s">
        <v>260</v>
      </c>
      <c r="F2838" s="2" t="s">
        <v>16703</v>
      </c>
      <c r="G2838" s="2" t="s">
        <v>4738</v>
      </c>
      <c r="H2838" s="2" t="s">
        <v>70</v>
      </c>
      <c r="I2838" s="9">
        <v>5277.5187969999997</v>
      </c>
      <c r="J2838" s="7">
        <v>0.65800000000000003</v>
      </c>
      <c r="K2838" s="9">
        <v>3472.61</v>
      </c>
      <c r="L2838" s="14">
        <v>0</v>
      </c>
      <c r="M2838" s="2" t="s">
        <v>71</v>
      </c>
      <c r="N2838" s="2" t="s">
        <v>16706</v>
      </c>
      <c r="O2838" s="2" t="s">
        <v>4737</v>
      </c>
      <c r="P2838" s="9">
        <v>1.91</v>
      </c>
      <c r="Q2838" s="9">
        <v>3509.55</v>
      </c>
      <c r="R2838" s="2" t="s">
        <v>16709</v>
      </c>
    </row>
    <row r="2839" spans="1:18" x14ac:dyDescent="0.25">
      <c r="A2839" s="2" t="s">
        <v>4739</v>
      </c>
      <c r="B2839" s="6">
        <v>46204</v>
      </c>
      <c r="C2839" s="8">
        <v>46207</v>
      </c>
      <c r="D2839" s="2" t="s">
        <v>199</v>
      </c>
      <c r="E2839" s="2" t="s">
        <v>260</v>
      </c>
      <c r="F2839" s="2" t="s">
        <v>16703</v>
      </c>
      <c r="G2839" s="2" t="s">
        <v>4741</v>
      </c>
      <c r="H2839" s="2" t="s">
        <v>39</v>
      </c>
      <c r="I2839" s="9">
        <v>3682.56</v>
      </c>
      <c r="J2839" s="7">
        <v>1</v>
      </c>
      <c r="K2839" s="9">
        <v>3682.56</v>
      </c>
      <c r="L2839" s="14">
        <v>0</v>
      </c>
      <c r="M2839" s="2" t="s">
        <v>71</v>
      </c>
      <c r="N2839" s="2" t="s">
        <v>16706</v>
      </c>
      <c r="O2839" s="2" t="s">
        <v>4740</v>
      </c>
      <c r="P2839" s="9">
        <v>2.0299999999999998</v>
      </c>
      <c r="Q2839" s="9">
        <v>3682.56</v>
      </c>
      <c r="R2839" s="2" t="s">
        <v>16709</v>
      </c>
    </row>
    <row r="2840" spans="1:18" x14ac:dyDescent="0.25">
      <c r="A2840" s="2" t="s">
        <v>4742</v>
      </c>
      <c r="B2840" s="6">
        <v>46204</v>
      </c>
      <c r="C2840" s="8">
        <v>46208</v>
      </c>
      <c r="D2840" s="2" t="s">
        <v>199</v>
      </c>
      <c r="E2840" s="2" t="s">
        <v>260</v>
      </c>
      <c r="F2840" s="2" t="s">
        <v>16703</v>
      </c>
      <c r="G2840" s="2" t="s">
        <v>4744</v>
      </c>
      <c r="H2840" s="2" t="s">
        <v>76</v>
      </c>
      <c r="I2840" s="9">
        <v>61689120</v>
      </c>
      <c r="J2840" s="7">
        <v>6.2000000000000003E-5</v>
      </c>
      <c r="K2840" s="9">
        <v>3824.73</v>
      </c>
      <c r="L2840" s="14">
        <v>0</v>
      </c>
      <c r="M2840" s="2" t="s">
        <v>71</v>
      </c>
      <c r="N2840" s="2" t="s">
        <v>16706</v>
      </c>
      <c r="O2840" s="2" t="s">
        <v>4743</v>
      </c>
      <c r="P2840" s="9">
        <v>2.1</v>
      </c>
      <c r="Q2840" s="9">
        <v>3855.57</v>
      </c>
      <c r="R2840" s="2" t="s">
        <v>16709</v>
      </c>
    </row>
    <row r="2841" spans="1:18" x14ac:dyDescent="0.25">
      <c r="A2841" s="2" t="s">
        <v>4745</v>
      </c>
      <c r="B2841" s="6">
        <v>46204</v>
      </c>
      <c r="C2841" s="8">
        <v>46209</v>
      </c>
      <c r="D2841" s="2" t="s">
        <v>199</v>
      </c>
      <c r="E2841" s="2" t="s">
        <v>260</v>
      </c>
      <c r="F2841" s="2" t="s">
        <v>16703</v>
      </c>
      <c r="G2841" s="2" t="s">
        <v>4747</v>
      </c>
      <c r="H2841" s="2" t="s">
        <v>70</v>
      </c>
      <c r="I2841" s="9">
        <v>6058.0150379999995</v>
      </c>
      <c r="J2841" s="7">
        <v>0.65800000000000003</v>
      </c>
      <c r="K2841" s="9">
        <v>3986.17</v>
      </c>
      <c r="L2841" s="14">
        <v>0</v>
      </c>
      <c r="M2841" s="2" t="s">
        <v>71</v>
      </c>
      <c r="N2841" s="2" t="s">
        <v>16706</v>
      </c>
      <c r="O2841" s="2" t="s">
        <v>4746</v>
      </c>
      <c r="P2841" s="9">
        <v>2.19</v>
      </c>
      <c r="Q2841" s="9">
        <v>4028.58</v>
      </c>
      <c r="R2841" s="2" t="s">
        <v>16709</v>
      </c>
    </row>
    <row r="2842" spans="1:18" x14ac:dyDescent="0.25">
      <c r="A2842" s="2" t="s">
        <v>4748</v>
      </c>
      <c r="B2842" s="6">
        <v>46204</v>
      </c>
      <c r="C2842" s="8">
        <v>46210</v>
      </c>
      <c r="D2842" s="2" t="s">
        <v>199</v>
      </c>
      <c r="E2842" s="2" t="s">
        <v>260</v>
      </c>
      <c r="F2842" s="2" t="s">
        <v>16703</v>
      </c>
      <c r="G2842" s="2" t="s">
        <v>4750</v>
      </c>
      <c r="H2842" s="2" t="s">
        <v>39</v>
      </c>
      <c r="I2842" s="9">
        <v>4201.59</v>
      </c>
      <c r="J2842" s="7">
        <v>1</v>
      </c>
      <c r="K2842" s="9">
        <v>4201.59</v>
      </c>
      <c r="L2842" s="14">
        <v>0</v>
      </c>
      <c r="M2842" s="2" t="s">
        <v>71</v>
      </c>
      <c r="N2842" s="2" t="s">
        <v>16706</v>
      </c>
      <c r="O2842" s="2" t="s">
        <v>4749</v>
      </c>
      <c r="P2842" s="9">
        <v>2.31</v>
      </c>
      <c r="Q2842" s="9">
        <v>4201.59</v>
      </c>
      <c r="R2842" s="2" t="s">
        <v>16709</v>
      </c>
    </row>
    <row r="2843" spans="1:18" x14ac:dyDescent="0.25">
      <c r="A2843" s="2" t="s">
        <v>4751</v>
      </c>
      <c r="B2843" s="6">
        <v>46174</v>
      </c>
      <c r="C2843" s="8">
        <v>46201</v>
      </c>
      <c r="D2843" s="2" t="s">
        <v>199</v>
      </c>
      <c r="E2843" s="2" t="s">
        <v>260</v>
      </c>
      <c r="F2843" s="2" t="s">
        <v>16703</v>
      </c>
      <c r="G2843" s="2" t="s">
        <v>4753</v>
      </c>
      <c r="H2843" s="2" t="s">
        <v>76</v>
      </c>
      <c r="I2843" s="9">
        <v>27997440</v>
      </c>
      <c r="J2843" s="7">
        <v>6.2500000000000001E-5</v>
      </c>
      <c r="K2843" s="9">
        <v>1749.84</v>
      </c>
      <c r="L2843" s="14">
        <v>0</v>
      </c>
      <c r="M2843" s="2" t="s">
        <v>71</v>
      </c>
      <c r="N2843" s="2" t="s">
        <v>16704</v>
      </c>
      <c r="O2843" s="2" t="s">
        <v>4752</v>
      </c>
      <c r="P2843" s="9">
        <v>1.8</v>
      </c>
      <c r="Q2843" s="9">
        <v>1749.84</v>
      </c>
      <c r="R2843" s="2" t="s">
        <v>16708</v>
      </c>
    </row>
    <row r="2844" spans="1:18" x14ac:dyDescent="0.25">
      <c r="A2844" s="2" t="s">
        <v>4754</v>
      </c>
      <c r="B2844" s="6">
        <v>46204</v>
      </c>
      <c r="C2844" s="8">
        <v>46226</v>
      </c>
      <c r="D2844" s="2" t="s">
        <v>199</v>
      </c>
      <c r="E2844" s="2" t="s">
        <v>260</v>
      </c>
      <c r="F2844" s="2" t="s">
        <v>16703</v>
      </c>
      <c r="G2844" s="2" t="s">
        <v>4755</v>
      </c>
      <c r="H2844" s="2" t="s">
        <v>76</v>
      </c>
      <c r="I2844" s="9">
        <v>41996160</v>
      </c>
      <c r="J2844" s="7">
        <v>6.2000000000000003E-5</v>
      </c>
      <c r="K2844" s="9">
        <v>2603.7600000000002</v>
      </c>
      <c r="L2844" s="14">
        <v>0</v>
      </c>
      <c r="M2844" s="2" t="s">
        <v>71</v>
      </c>
      <c r="N2844" s="2" t="s">
        <v>16706</v>
      </c>
      <c r="O2844" s="2" t="s">
        <v>4752</v>
      </c>
      <c r="P2844" s="9">
        <v>1.8</v>
      </c>
      <c r="Q2844" s="9">
        <v>2624.76</v>
      </c>
      <c r="R2844" s="2" t="s">
        <v>16709</v>
      </c>
    </row>
    <row r="2845" spans="1:18" x14ac:dyDescent="0.25">
      <c r="A2845" s="2" t="s">
        <v>4756</v>
      </c>
      <c r="B2845" s="6">
        <v>46174</v>
      </c>
      <c r="C2845" s="8">
        <v>46202</v>
      </c>
      <c r="D2845" s="2" t="s">
        <v>199</v>
      </c>
      <c r="E2845" s="2" t="s">
        <v>260</v>
      </c>
      <c r="F2845" s="2" t="s">
        <v>16703</v>
      </c>
      <c r="G2845" s="2" t="s">
        <v>4758</v>
      </c>
      <c r="H2845" s="2" t="s">
        <v>70</v>
      </c>
      <c r="I2845" s="9">
        <v>2735.4045110000002</v>
      </c>
      <c r="J2845" s="7">
        <v>0.66500000000000004</v>
      </c>
      <c r="K2845" s="9">
        <v>1819.04</v>
      </c>
      <c r="L2845" s="14">
        <v>0</v>
      </c>
      <c r="M2845" s="2" t="s">
        <v>71</v>
      </c>
      <c r="N2845" s="2" t="s">
        <v>16704</v>
      </c>
      <c r="O2845" s="2" t="s">
        <v>4757</v>
      </c>
      <c r="P2845" s="9">
        <v>1.8</v>
      </c>
      <c r="Q2845" s="9">
        <v>1819.04</v>
      </c>
      <c r="R2845" s="2" t="s">
        <v>16708</v>
      </c>
    </row>
    <row r="2846" spans="1:18" x14ac:dyDescent="0.25">
      <c r="A2846" s="2" t="s">
        <v>4759</v>
      </c>
      <c r="B2846" s="6">
        <v>46204</v>
      </c>
      <c r="C2846" s="8">
        <v>46227</v>
      </c>
      <c r="D2846" s="2" t="s">
        <v>199</v>
      </c>
      <c r="E2846" s="2" t="s">
        <v>260</v>
      </c>
      <c r="F2846" s="2" t="s">
        <v>16703</v>
      </c>
      <c r="G2846" s="2" t="s">
        <v>4760</v>
      </c>
      <c r="H2846" s="2" t="s">
        <v>70</v>
      </c>
      <c r="I2846" s="9">
        <v>4103.1067670000002</v>
      </c>
      <c r="J2846" s="7">
        <v>0.65800000000000003</v>
      </c>
      <c r="K2846" s="9">
        <v>2699.84</v>
      </c>
      <c r="L2846" s="14">
        <v>0</v>
      </c>
      <c r="M2846" s="2" t="s">
        <v>71</v>
      </c>
      <c r="N2846" s="2" t="s">
        <v>16706</v>
      </c>
      <c r="O2846" s="2" t="s">
        <v>4757</v>
      </c>
      <c r="P2846" s="9">
        <v>1.8</v>
      </c>
      <c r="Q2846" s="9">
        <v>2728.57</v>
      </c>
      <c r="R2846" s="2" t="s">
        <v>16709</v>
      </c>
    </row>
    <row r="2847" spans="1:18" x14ac:dyDescent="0.25">
      <c r="A2847" s="2" t="s">
        <v>4761</v>
      </c>
      <c r="B2847" s="6">
        <v>46204</v>
      </c>
      <c r="C2847" s="8">
        <v>46213</v>
      </c>
      <c r="D2847" s="2" t="s">
        <v>199</v>
      </c>
      <c r="E2847" s="2" t="s">
        <v>260</v>
      </c>
      <c r="F2847" s="2" t="s">
        <v>16703</v>
      </c>
      <c r="G2847" s="2" t="s">
        <v>4763</v>
      </c>
      <c r="H2847" s="2" t="s">
        <v>39</v>
      </c>
      <c r="I2847" s="9">
        <v>4720.62</v>
      </c>
      <c r="J2847" s="7">
        <v>1</v>
      </c>
      <c r="K2847" s="9">
        <v>4720.62</v>
      </c>
      <c r="L2847" s="14">
        <v>0</v>
      </c>
      <c r="M2847" s="2" t="s">
        <v>71</v>
      </c>
      <c r="N2847" s="2" t="s">
        <v>16706</v>
      </c>
      <c r="O2847" s="2" t="s">
        <v>4762</v>
      </c>
      <c r="P2847" s="9">
        <v>2.6</v>
      </c>
      <c r="Q2847" s="9">
        <v>4720.62</v>
      </c>
      <c r="R2847" s="2" t="s">
        <v>16709</v>
      </c>
    </row>
    <row r="2848" spans="1:18" x14ac:dyDescent="0.25">
      <c r="A2848" s="2" t="s">
        <v>4764</v>
      </c>
      <c r="B2848" s="6">
        <v>46204</v>
      </c>
      <c r="C2848" s="8">
        <v>46214</v>
      </c>
      <c r="D2848" s="2" t="s">
        <v>199</v>
      </c>
      <c r="E2848" s="2" t="s">
        <v>260</v>
      </c>
      <c r="F2848" s="2" t="s">
        <v>16703</v>
      </c>
      <c r="G2848" s="2" t="s">
        <v>4766</v>
      </c>
      <c r="H2848" s="2" t="s">
        <v>76</v>
      </c>
      <c r="I2848" s="9">
        <v>78298080</v>
      </c>
      <c r="J2848" s="7">
        <v>6.2000000000000003E-5</v>
      </c>
      <c r="K2848" s="9">
        <v>4854.4799999999996</v>
      </c>
      <c r="L2848" s="14">
        <v>0</v>
      </c>
      <c r="M2848" s="2" t="s">
        <v>71</v>
      </c>
      <c r="N2848" s="2" t="s">
        <v>16706</v>
      </c>
      <c r="O2848" s="2" t="s">
        <v>4765</v>
      </c>
      <c r="P2848" s="9">
        <v>2.67</v>
      </c>
      <c r="Q2848" s="9">
        <v>4893.63</v>
      </c>
      <c r="R2848" s="2" t="s">
        <v>16709</v>
      </c>
    </row>
    <row r="2849" spans="1:18" x14ac:dyDescent="0.25">
      <c r="A2849" s="2" t="s">
        <v>4767</v>
      </c>
      <c r="B2849" s="6">
        <v>46204</v>
      </c>
      <c r="C2849" s="8">
        <v>46205</v>
      </c>
      <c r="D2849" s="2" t="s">
        <v>199</v>
      </c>
      <c r="E2849" s="2" t="s">
        <v>260</v>
      </c>
      <c r="F2849" s="2" t="s">
        <v>16703</v>
      </c>
      <c r="G2849" s="2" t="s">
        <v>4769</v>
      </c>
      <c r="H2849" s="2" t="s">
        <v>70</v>
      </c>
      <c r="I2849" s="9">
        <v>3047.603008</v>
      </c>
      <c r="J2849" s="7">
        <v>0.65800000000000003</v>
      </c>
      <c r="K2849" s="9">
        <v>2005.32</v>
      </c>
      <c r="L2849" s="14">
        <v>0</v>
      </c>
      <c r="M2849" s="2" t="s">
        <v>71</v>
      </c>
      <c r="N2849" s="2" t="s">
        <v>16706</v>
      </c>
      <c r="O2849" s="2" t="s">
        <v>4768</v>
      </c>
      <c r="P2849" s="9">
        <v>1.8</v>
      </c>
      <c r="Q2849" s="9">
        <v>2026.66</v>
      </c>
      <c r="R2849" s="2" t="s">
        <v>16709</v>
      </c>
    </row>
    <row r="2850" spans="1:18" x14ac:dyDescent="0.25">
      <c r="A2850" s="2" t="s">
        <v>4770</v>
      </c>
      <c r="B2850" s="6">
        <v>46204</v>
      </c>
      <c r="C2850" s="8">
        <v>46230</v>
      </c>
      <c r="D2850" s="2" t="s">
        <v>199</v>
      </c>
      <c r="E2850" s="2" t="s">
        <v>260</v>
      </c>
      <c r="F2850" s="2" t="s">
        <v>16703</v>
      </c>
      <c r="G2850" s="2" t="s">
        <v>4771</v>
      </c>
      <c r="H2850" s="2" t="s">
        <v>70</v>
      </c>
      <c r="I2850" s="9">
        <v>4571.4045109999997</v>
      </c>
      <c r="J2850" s="7">
        <v>0.65800000000000003</v>
      </c>
      <c r="K2850" s="9">
        <v>3007.98</v>
      </c>
      <c r="L2850" s="14">
        <v>0</v>
      </c>
      <c r="M2850" s="2" t="s">
        <v>71</v>
      </c>
      <c r="N2850" s="2" t="s">
        <v>16706</v>
      </c>
      <c r="O2850" s="2" t="s">
        <v>4768</v>
      </c>
      <c r="P2850" s="9">
        <v>1.8</v>
      </c>
      <c r="Q2850" s="9">
        <v>3039.98</v>
      </c>
      <c r="R2850" s="2" t="s">
        <v>16709</v>
      </c>
    </row>
    <row r="2851" spans="1:18" x14ac:dyDescent="0.25">
      <c r="A2851" s="2" t="s">
        <v>4772</v>
      </c>
      <c r="B2851" s="6">
        <v>46204</v>
      </c>
      <c r="C2851" s="8">
        <v>46216</v>
      </c>
      <c r="D2851" s="2" t="s">
        <v>199</v>
      </c>
      <c r="E2851" s="2" t="s">
        <v>260</v>
      </c>
      <c r="F2851" s="2" t="s">
        <v>16703</v>
      </c>
      <c r="G2851" s="2" t="s">
        <v>4774</v>
      </c>
      <c r="H2851" s="2" t="s">
        <v>39</v>
      </c>
      <c r="I2851" s="9">
        <v>5239.6499999999996</v>
      </c>
      <c r="J2851" s="7">
        <v>1</v>
      </c>
      <c r="K2851" s="9">
        <v>5239.6499999999996</v>
      </c>
      <c r="L2851" s="14">
        <v>0</v>
      </c>
      <c r="M2851" s="2" t="s">
        <v>71</v>
      </c>
      <c r="N2851" s="2" t="s">
        <v>16706</v>
      </c>
      <c r="O2851" s="2" t="s">
        <v>4773</v>
      </c>
      <c r="P2851" s="9">
        <v>2.88</v>
      </c>
      <c r="Q2851" s="9">
        <v>5239.6499999999996</v>
      </c>
      <c r="R2851" s="2" t="s">
        <v>16709</v>
      </c>
    </row>
    <row r="2852" spans="1:18" x14ac:dyDescent="0.25">
      <c r="A2852" s="2" t="s">
        <v>4775</v>
      </c>
      <c r="B2852" s="6">
        <v>46204</v>
      </c>
      <c r="C2852" s="8">
        <v>46217</v>
      </c>
      <c r="D2852" s="2" t="s">
        <v>199</v>
      </c>
      <c r="E2852" s="2" t="s">
        <v>260</v>
      </c>
      <c r="F2852" s="2" t="s">
        <v>16703</v>
      </c>
      <c r="G2852" s="2" t="s">
        <v>4777</v>
      </c>
      <c r="H2852" s="2" t="s">
        <v>76</v>
      </c>
      <c r="I2852" s="9">
        <v>86602560</v>
      </c>
      <c r="J2852" s="7">
        <v>6.2000000000000003E-5</v>
      </c>
      <c r="K2852" s="9">
        <v>5369.36</v>
      </c>
      <c r="L2852" s="14">
        <v>0</v>
      </c>
      <c r="M2852" s="2" t="s">
        <v>71</v>
      </c>
      <c r="N2852" s="2" t="s">
        <v>16706</v>
      </c>
      <c r="O2852" s="2" t="s">
        <v>4776</v>
      </c>
      <c r="P2852" s="9">
        <v>2.95</v>
      </c>
      <c r="Q2852" s="9">
        <v>5412.66</v>
      </c>
      <c r="R2852" s="2" t="s">
        <v>16709</v>
      </c>
    </row>
    <row r="2853" spans="1:18" x14ac:dyDescent="0.25">
      <c r="A2853" s="2" t="s">
        <v>4778</v>
      </c>
      <c r="B2853" s="6">
        <v>46204</v>
      </c>
      <c r="C2853" s="8">
        <v>46218</v>
      </c>
      <c r="D2853" s="2" t="s">
        <v>199</v>
      </c>
      <c r="E2853" s="2" t="s">
        <v>260</v>
      </c>
      <c r="F2853" s="2" t="s">
        <v>16703</v>
      </c>
      <c r="G2853" s="2" t="s">
        <v>4780</v>
      </c>
      <c r="H2853" s="2" t="s">
        <v>70</v>
      </c>
      <c r="I2853" s="9">
        <v>8399.5037589999993</v>
      </c>
      <c r="J2853" s="7">
        <v>0.65800000000000003</v>
      </c>
      <c r="K2853" s="9">
        <v>5526.87</v>
      </c>
      <c r="L2853" s="14">
        <v>0</v>
      </c>
      <c r="M2853" s="2" t="s">
        <v>71</v>
      </c>
      <c r="N2853" s="2" t="s">
        <v>16706</v>
      </c>
      <c r="O2853" s="2" t="s">
        <v>4779</v>
      </c>
      <c r="P2853" s="9">
        <v>3.04</v>
      </c>
      <c r="Q2853" s="9">
        <v>5585.67</v>
      </c>
      <c r="R2853" s="2" t="s">
        <v>16709</v>
      </c>
    </row>
    <row r="2854" spans="1:18" x14ac:dyDescent="0.25">
      <c r="A2854" s="2" t="s">
        <v>4781</v>
      </c>
      <c r="B2854" s="6">
        <v>46204</v>
      </c>
      <c r="C2854" s="8">
        <v>46219</v>
      </c>
      <c r="D2854" s="2" t="s">
        <v>199</v>
      </c>
      <c r="E2854" s="2" t="s">
        <v>260</v>
      </c>
      <c r="F2854" s="2" t="s">
        <v>16703</v>
      </c>
      <c r="G2854" s="2" t="s">
        <v>4783</v>
      </c>
      <c r="H2854" s="2" t="s">
        <v>39</v>
      </c>
      <c r="I2854" s="9">
        <v>5758.68</v>
      </c>
      <c r="J2854" s="7">
        <v>1</v>
      </c>
      <c r="K2854" s="9">
        <v>5758.68</v>
      </c>
      <c r="L2854" s="14">
        <v>0</v>
      </c>
      <c r="M2854" s="2" t="s">
        <v>71</v>
      </c>
      <c r="N2854" s="2" t="s">
        <v>16706</v>
      </c>
      <c r="O2854" s="2" t="s">
        <v>4782</v>
      </c>
      <c r="P2854" s="9">
        <v>3.17</v>
      </c>
      <c r="Q2854" s="9">
        <v>5758.68</v>
      </c>
      <c r="R2854" s="2" t="s">
        <v>16709</v>
      </c>
    </row>
    <row r="2855" spans="1:18" x14ac:dyDescent="0.25">
      <c r="A2855" s="2" t="s">
        <v>4784</v>
      </c>
      <c r="B2855" s="6">
        <v>46204</v>
      </c>
      <c r="C2855" s="8">
        <v>46220</v>
      </c>
      <c r="D2855" s="2" t="s">
        <v>199</v>
      </c>
      <c r="E2855" s="2" t="s">
        <v>260</v>
      </c>
      <c r="F2855" s="2" t="s">
        <v>16703</v>
      </c>
      <c r="G2855" s="2" t="s">
        <v>4786</v>
      </c>
      <c r="H2855" s="2" t="s">
        <v>76</v>
      </c>
      <c r="I2855" s="9">
        <v>94907040</v>
      </c>
      <c r="J2855" s="7">
        <v>6.2000000000000003E-5</v>
      </c>
      <c r="K2855" s="9">
        <v>5884.24</v>
      </c>
      <c r="L2855" s="14">
        <v>0</v>
      </c>
      <c r="M2855" s="2" t="s">
        <v>71</v>
      </c>
      <c r="N2855" s="2" t="s">
        <v>16706</v>
      </c>
      <c r="O2855" s="2" t="s">
        <v>4785</v>
      </c>
      <c r="P2855" s="9">
        <v>3.24</v>
      </c>
      <c r="Q2855" s="9">
        <v>5931.69</v>
      </c>
      <c r="R2855" s="2" t="s">
        <v>16709</v>
      </c>
    </row>
    <row r="2856" spans="1:18" x14ac:dyDescent="0.25">
      <c r="A2856" s="2" t="s">
        <v>4787</v>
      </c>
      <c r="B2856" s="6">
        <v>46204</v>
      </c>
      <c r="C2856" s="8">
        <v>46211</v>
      </c>
      <c r="D2856" s="2" t="s">
        <v>199</v>
      </c>
      <c r="E2856" s="2" t="s">
        <v>260</v>
      </c>
      <c r="F2856" s="2" t="s">
        <v>16703</v>
      </c>
      <c r="G2856" s="2" t="s">
        <v>4789</v>
      </c>
      <c r="H2856" s="2" t="s">
        <v>70</v>
      </c>
      <c r="I2856" s="9">
        <v>3672</v>
      </c>
      <c r="J2856" s="7">
        <v>0.65800000000000003</v>
      </c>
      <c r="K2856" s="9">
        <v>2416.1799999999998</v>
      </c>
      <c r="L2856" s="14">
        <v>0</v>
      </c>
      <c r="M2856" s="2" t="s">
        <v>71</v>
      </c>
      <c r="N2856" s="2" t="s">
        <v>16706</v>
      </c>
      <c r="O2856" s="2" t="s">
        <v>4788</v>
      </c>
      <c r="P2856" s="9">
        <v>1.8</v>
      </c>
      <c r="Q2856" s="9">
        <v>2441.88</v>
      </c>
      <c r="R2856" s="2" t="s">
        <v>16709</v>
      </c>
    </row>
    <row r="2857" spans="1:18" x14ac:dyDescent="0.25">
      <c r="A2857" s="2" t="s">
        <v>4792</v>
      </c>
      <c r="B2857" s="6">
        <v>46204</v>
      </c>
      <c r="C2857" s="8">
        <v>46212</v>
      </c>
      <c r="D2857" s="2" t="s">
        <v>199</v>
      </c>
      <c r="E2857" s="2" t="s">
        <v>260</v>
      </c>
      <c r="F2857" s="2" t="s">
        <v>16703</v>
      </c>
      <c r="G2857" s="2" t="s">
        <v>4794</v>
      </c>
      <c r="H2857" s="2" t="s">
        <v>39</v>
      </c>
      <c r="I2857" s="9">
        <v>2511.0839999999998</v>
      </c>
      <c r="J2857" s="7">
        <v>1</v>
      </c>
      <c r="K2857" s="9">
        <v>2511.08</v>
      </c>
      <c r="L2857" s="14">
        <v>0</v>
      </c>
      <c r="M2857" s="2" t="s">
        <v>71</v>
      </c>
      <c r="N2857" s="2" t="s">
        <v>16706</v>
      </c>
      <c r="O2857" s="2" t="s">
        <v>4793</v>
      </c>
      <c r="P2857" s="9">
        <v>1.8</v>
      </c>
      <c r="Q2857" s="9">
        <v>2511.08</v>
      </c>
      <c r="R2857" s="2" t="s">
        <v>16709</v>
      </c>
    </row>
    <row r="2858" spans="1:18" x14ac:dyDescent="0.25">
      <c r="A2858" s="2" t="s">
        <v>4797</v>
      </c>
      <c r="B2858" s="6">
        <v>46204</v>
      </c>
      <c r="C2858" s="8">
        <v>46223</v>
      </c>
      <c r="D2858" s="2" t="s">
        <v>199</v>
      </c>
      <c r="E2858" s="2" t="s">
        <v>260</v>
      </c>
      <c r="F2858" s="2" t="s">
        <v>16703</v>
      </c>
      <c r="G2858" s="2" t="s">
        <v>4799</v>
      </c>
      <c r="H2858" s="2" t="s">
        <v>76</v>
      </c>
      <c r="I2858" s="9">
        <v>103211520</v>
      </c>
      <c r="J2858" s="7">
        <v>6.2000000000000003E-5</v>
      </c>
      <c r="K2858" s="9">
        <v>6399.11</v>
      </c>
      <c r="L2858" s="14">
        <v>0</v>
      </c>
      <c r="M2858" s="2" t="s">
        <v>71</v>
      </c>
      <c r="N2858" s="2" t="s">
        <v>16706</v>
      </c>
      <c r="O2858" s="2" t="s">
        <v>4798</v>
      </c>
      <c r="P2858" s="9">
        <v>3.52</v>
      </c>
      <c r="Q2858" s="9">
        <v>6450.72</v>
      </c>
      <c r="R2858" s="2" t="s">
        <v>16709</v>
      </c>
    </row>
    <row r="2859" spans="1:18" x14ac:dyDescent="0.25">
      <c r="A2859" s="2" t="s">
        <v>4800</v>
      </c>
      <c r="B2859" s="6">
        <v>46204</v>
      </c>
      <c r="C2859" s="8">
        <v>46224</v>
      </c>
      <c r="D2859" s="2" t="s">
        <v>199</v>
      </c>
      <c r="E2859" s="2" t="s">
        <v>260</v>
      </c>
      <c r="F2859" s="2" t="s">
        <v>16703</v>
      </c>
      <c r="G2859" s="2" t="s">
        <v>4802</v>
      </c>
      <c r="H2859" s="2" t="s">
        <v>70</v>
      </c>
      <c r="I2859" s="9">
        <v>9960.4962410000007</v>
      </c>
      <c r="J2859" s="7">
        <v>0.65800000000000003</v>
      </c>
      <c r="K2859" s="9">
        <v>6554.01</v>
      </c>
      <c r="L2859" s="14">
        <v>0</v>
      </c>
      <c r="M2859" s="2" t="s">
        <v>71</v>
      </c>
      <c r="N2859" s="2" t="s">
        <v>16706</v>
      </c>
      <c r="O2859" s="2" t="s">
        <v>4801</v>
      </c>
      <c r="P2859" s="9">
        <v>3.6</v>
      </c>
      <c r="Q2859" s="9">
        <v>6623.73</v>
      </c>
      <c r="R2859" s="2" t="s">
        <v>16709</v>
      </c>
    </row>
    <row r="2860" spans="1:18" x14ac:dyDescent="0.25">
      <c r="A2860" s="2" t="s">
        <v>4803</v>
      </c>
      <c r="B2860" s="6">
        <v>46204</v>
      </c>
      <c r="C2860" s="8">
        <v>46215</v>
      </c>
      <c r="D2860" s="2" t="s">
        <v>199</v>
      </c>
      <c r="E2860" s="2" t="s">
        <v>260</v>
      </c>
      <c r="F2860" s="2" t="s">
        <v>16703</v>
      </c>
      <c r="G2860" s="2" t="s">
        <v>4805</v>
      </c>
      <c r="H2860" s="2" t="s">
        <v>39</v>
      </c>
      <c r="I2860" s="9">
        <v>2718.6959999999999</v>
      </c>
      <c r="J2860" s="7">
        <v>1</v>
      </c>
      <c r="K2860" s="9">
        <v>2718.7</v>
      </c>
      <c r="L2860" s="14">
        <v>0</v>
      </c>
      <c r="M2860" s="2" t="s">
        <v>71</v>
      </c>
      <c r="N2860" s="2" t="s">
        <v>16706</v>
      </c>
      <c r="O2860" s="2" t="s">
        <v>4804</v>
      </c>
      <c r="P2860" s="9">
        <v>1.8</v>
      </c>
      <c r="Q2860" s="9">
        <v>2718.7</v>
      </c>
      <c r="R2860" s="2" t="s">
        <v>16709</v>
      </c>
    </row>
    <row r="2861" spans="1:18" x14ac:dyDescent="0.25">
      <c r="A2861" s="2" t="s">
        <v>4808</v>
      </c>
      <c r="B2861" s="6">
        <v>46204</v>
      </c>
      <c r="C2861" s="8">
        <v>46226</v>
      </c>
      <c r="D2861" s="2" t="s">
        <v>199</v>
      </c>
      <c r="E2861" s="2" t="s">
        <v>260</v>
      </c>
      <c r="F2861" s="2" t="s">
        <v>16703</v>
      </c>
      <c r="G2861" s="2" t="s">
        <v>4810</v>
      </c>
      <c r="H2861" s="2" t="s">
        <v>76</v>
      </c>
      <c r="I2861" s="9">
        <v>111516000</v>
      </c>
      <c r="J2861" s="7">
        <v>6.2000000000000003E-5</v>
      </c>
      <c r="K2861" s="9">
        <v>6913.99</v>
      </c>
      <c r="L2861" s="14">
        <v>0</v>
      </c>
      <c r="M2861" s="2" t="s">
        <v>71</v>
      </c>
      <c r="N2861" s="2" t="s">
        <v>16706</v>
      </c>
      <c r="O2861" s="2" t="s">
        <v>4809</v>
      </c>
      <c r="P2861" s="9">
        <v>3.8</v>
      </c>
      <c r="Q2861" s="9">
        <v>6969.75</v>
      </c>
      <c r="R2861" s="2" t="s">
        <v>16709</v>
      </c>
    </row>
    <row r="2862" spans="1:18" x14ac:dyDescent="0.25">
      <c r="A2862" s="2" t="s">
        <v>4811</v>
      </c>
      <c r="B2862" s="6">
        <v>46204</v>
      </c>
      <c r="C2862" s="8">
        <v>46227</v>
      </c>
      <c r="D2862" s="2" t="s">
        <v>199</v>
      </c>
      <c r="E2862" s="2" t="s">
        <v>260</v>
      </c>
      <c r="F2862" s="2" t="s">
        <v>16703</v>
      </c>
      <c r="G2862" s="2" t="s">
        <v>4813</v>
      </c>
      <c r="H2862" s="2" t="s">
        <v>70</v>
      </c>
      <c r="I2862" s="9">
        <v>10740.992480999999</v>
      </c>
      <c r="J2862" s="7">
        <v>0.65800000000000003</v>
      </c>
      <c r="K2862" s="9">
        <v>7067.57</v>
      </c>
      <c r="L2862" s="14">
        <v>0</v>
      </c>
      <c r="M2862" s="2" t="s">
        <v>71</v>
      </c>
      <c r="N2862" s="2" t="s">
        <v>16706</v>
      </c>
      <c r="O2862" s="2" t="s">
        <v>4812</v>
      </c>
      <c r="P2862" s="9">
        <v>3.89</v>
      </c>
      <c r="Q2862" s="9">
        <v>7142.76</v>
      </c>
      <c r="R2862" s="2" t="s">
        <v>16709</v>
      </c>
    </row>
    <row r="2863" spans="1:18" x14ac:dyDescent="0.25">
      <c r="A2863" s="2" t="s">
        <v>4814</v>
      </c>
      <c r="B2863" s="6">
        <v>46174</v>
      </c>
      <c r="C2863" s="8">
        <v>46198</v>
      </c>
      <c r="D2863" s="2" t="s">
        <v>199</v>
      </c>
      <c r="E2863" s="2" t="s">
        <v>260</v>
      </c>
      <c r="F2863" s="2" t="s">
        <v>16703</v>
      </c>
      <c r="G2863" s="2" t="s">
        <v>4816</v>
      </c>
      <c r="H2863" s="2" t="s">
        <v>39</v>
      </c>
      <c r="I2863" s="9">
        <v>7315.77</v>
      </c>
      <c r="J2863" s="7">
        <v>1</v>
      </c>
      <c r="K2863" s="9">
        <v>7315.77</v>
      </c>
      <c r="L2863" s="14">
        <v>0</v>
      </c>
      <c r="M2863" s="2" t="s">
        <v>71</v>
      </c>
      <c r="N2863" s="2" t="s">
        <v>16704</v>
      </c>
      <c r="O2863" s="2" t="s">
        <v>4815</v>
      </c>
      <c r="P2863" s="9">
        <v>4.0199999999999996</v>
      </c>
      <c r="Q2863" s="9">
        <v>7315.77</v>
      </c>
      <c r="R2863" s="2" t="s">
        <v>16708</v>
      </c>
    </row>
    <row r="2864" spans="1:18" x14ac:dyDescent="0.25">
      <c r="A2864" s="2" t="s">
        <v>4817</v>
      </c>
      <c r="B2864" s="6">
        <v>46174</v>
      </c>
      <c r="C2864" s="8">
        <v>46199</v>
      </c>
      <c r="D2864" s="2" t="s">
        <v>199</v>
      </c>
      <c r="E2864" s="2" t="s">
        <v>260</v>
      </c>
      <c r="F2864" s="2" t="s">
        <v>16703</v>
      </c>
      <c r="G2864" s="2" t="s">
        <v>4819</v>
      </c>
      <c r="H2864" s="2" t="s">
        <v>76</v>
      </c>
      <c r="I2864" s="9">
        <v>119820480</v>
      </c>
      <c r="J2864" s="7">
        <v>6.2500000000000001E-5</v>
      </c>
      <c r="K2864" s="9">
        <v>7488.78</v>
      </c>
      <c r="L2864" s="14">
        <v>0</v>
      </c>
      <c r="M2864" s="2" t="s">
        <v>71</v>
      </c>
      <c r="N2864" s="2" t="s">
        <v>16704</v>
      </c>
      <c r="O2864" s="2" t="s">
        <v>4818</v>
      </c>
      <c r="P2864" s="9">
        <v>4.12</v>
      </c>
      <c r="Q2864" s="9">
        <v>7488.78</v>
      </c>
      <c r="R2864" s="2" t="s">
        <v>16708</v>
      </c>
    </row>
    <row r="2865" spans="1:18" x14ac:dyDescent="0.25">
      <c r="A2865" s="2" t="s">
        <v>4820</v>
      </c>
      <c r="B2865" s="6">
        <v>46174</v>
      </c>
      <c r="C2865" s="8">
        <v>46200</v>
      </c>
      <c r="D2865" s="2" t="s">
        <v>199</v>
      </c>
      <c r="E2865" s="2" t="s">
        <v>260</v>
      </c>
      <c r="F2865" s="2" t="s">
        <v>16703</v>
      </c>
      <c r="G2865" s="2" t="s">
        <v>4822</v>
      </c>
      <c r="H2865" s="2" t="s">
        <v>70</v>
      </c>
      <c r="I2865" s="9">
        <v>11521.488722</v>
      </c>
      <c r="J2865" s="7">
        <v>0.66500000000000004</v>
      </c>
      <c r="K2865" s="9">
        <v>7661.79</v>
      </c>
      <c r="L2865" s="14">
        <v>0</v>
      </c>
      <c r="M2865" s="2" t="s">
        <v>71</v>
      </c>
      <c r="N2865" s="2" t="s">
        <v>16704</v>
      </c>
      <c r="O2865" s="2" t="s">
        <v>4821</v>
      </c>
      <c r="P2865" s="9">
        <v>4.21</v>
      </c>
      <c r="Q2865" s="9">
        <v>7661.79</v>
      </c>
      <c r="R2865" s="2" t="s">
        <v>16708</v>
      </c>
    </row>
    <row r="2866" spans="1:18" x14ac:dyDescent="0.25">
      <c r="A2866" s="2" t="s">
        <v>4823</v>
      </c>
      <c r="B2866" s="6">
        <v>46174</v>
      </c>
      <c r="C2866" s="8">
        <v>46191</v>
      </c>
      <c r="D2866" s="2" t="s">
        <v>199</v>
      </c>
      <c r="E2866" s="2" t="s">
        <v>260</v>
      </c>
      <c r="F2866" s="2" t="s">
        <v>16703</v>
      </c>
      <c r="G2866" s="2" t="s">
        <v>4825</v>
      </c>
      <c r="H2866" s="2" t="s">
        <v>39</v>
      </c>
      <c r="I2866" s="9">
        <v>3133.92</v>
      </c>
      <c r="J2866" s="7">
        <v>1</v>
      </c>
      <c r="K2866" s="9">
        <v>3133.92</v>
      </c>
      <c r="L2866" s="14">
        <v>0</v>
      </c>
      <c r="M2866" s="2" t="s">
        <v>71</v>
      </c>
      <c r="N2866" s="2" t="s">
        <v>16704</v>
      </c>
      <c r="O2866" s="2" t="s">
        <v>4824</v>
      </c>
      <c r="P2866" s="9">
        <v>1.8</v>
      </c>
      <c r="Q2866" s="9">
        <v>3133.92</v>
      </c>
      <c r="R2866" s="2" t="s">
        <v>16708</v>
      </c>
    </row>
    <row r="2867" spans="1:18" x14ac:dyDescent="0.25">
      <c r="A2867" s="2" t="s">
        <v>4826</v>
      </c>
      <c r="B2867" s="6">
        <v>46204</v>
      </c>
      <c r="C2867" s="8">
        <v>46216</v>
      </c>
      <c r="D2867" s="2" t="s">
        <v>199</v>
      </c>
      <c r="E2867" s="2" t="s">
        <v>260</v>
      </c>
      <c r="F2867" s="2" t="s">
        <v>16703</v>
      </c>
      <c r="G2867" s="2" t="s">
        <v>4827</v>
      </c>
      <c r="H2867" s="2" t="s">
        <v>39</v>
      </c>
      <c r="I2867" s="9">
        <v>4700.88</v>
      </c>
      <c r="J2867" s="7">
        <v>1</v>
      </c>
      <c r="K2867" s="9">
        <v>4700.88</v>
      </c>
      <c r="L2867" s="14">
        <v>0</v>
      </c>
      <c r="M2867" s="2" t="s">
        <v>71</v>
      </c>
      <c r="N2867" s="2" t="s">
        <v>16706</v>
      </c>
      <c r="O2867" s="2" t="s">
        <v>4824</v>
      </c>
      <c r="P2867" s="9">
        <v>2.59</v>
      </c>
      <c r="Q2867" s="9">
        <v>4700.88</v>
      </c>
      <c r="R2867" s="2" t="s">
        <v>16709</v>
      </c>
    </row>
    <row r="2868" spans="1:18" x14ac:dyDescent="0.25">
      <c r="A2868" s="2" t="s">
        <v>4828</v>
      </c>
      <c r="B2868" s="6">
        <v>46174</v>
      </c>
      <c r="C2868" s="8">
        <v>46192</v>
      </c>
      <c r="D2868" s="2" t="s">
        <v>199</v>
      </c>
      <c r="E2868" s="2" t="s">
        <v>260</v>
      </c>
      <c r="F2868" s="2" t="s">
        <v>16703</v>
      </c>
      <c r="G2868" s="2" t="s">
        <v>4830</v>
      </c>
      <c r="H2868" s="2" t="s">
        <v>76</v>
      </c>
      <c r="I2868" s="9">
        <v>51249984</v>
      </c>
      <c r="J2868" s="7">
        <v>6.2500000000000001E-5</v>
      </c>
      <c r="K2868" s="9">
        <v>3203.12</v>
      </c>
      <c r="L2868" s="14">
        <v>0</v>
      </c>
      <c r="M2868" s="2" t="s">
        <v>71</v>
      </c>
      <c r="N2868" s="2" t="s">
        <v>16704</v>
      </c>
      <c r="O2868" s="2" t="s">
        <v>4829</v>
      </c>
      <c r="P2868" s="9">
        <v>1.8</v>
      </c>
      <c r="Q2868" s="9">
        <v>3203.12</v>
      </c>
      <c r="R2868" s="2" t="s">
        <v>16708</v>
      </c>
    </row>
    <row r="2869" spans="1:18" x14ac:dyDescent="0.25">
      <c r="A2869" s="2" t="s">
        <v>4831</v>
      </c>
      <c r="B2869" s="6">
        <v>46204</v>
      </c>
      <c r="C2869" s="8">
        <v>46217</v>
      </c>
      <c r="D2869" s="2" t="s">
        <v>199</v>
      </c>
      <c r="E2869" s="2" t="s">
        <v>260</v>
      </c>
      <c r="F2869" s="2" t="s">
        <v>16703</v>
      </c>
      <c r="G2869" s="2" t="s">
        <v>4832</v>
      </c>
      <c r="H2869" s="2" t="s">
        <v>76</v>
      </c>
      <c r="I2869" s="9">
        <v>76874976</v>
      </c>
      <c r="J2869" s="7">
        <v>6.2000000000000003E-5</v>
      </c>
      <c r="K2869" s="9">
        <v>4766.25</v>
      </c>
      <c r="L2869" s="14">
        <v>0</v>
      </c>
      <c r="M2869" s="2" t="s">
        <v>71</v>
      </c>
      <c r="N2869" s="2" t="s">
        <v>16706</v>
      </c>
      <c r="O2869" s="2" t="s">
        <v>4829</v>
      </c>
      <c r="P2869" s="9">
        <v>2.62</v>
      </c>
      <c r="Q2869" s="9">
        <v>4804.6899999999996</v>
      </c>
      <c r="R2869" s="2" t="s">
        <v>16709</v>
      </c>
    </row>
    <row r="2870" spans="1:18" x14ac:dyDescent="0.25">
      <c r="A2870" s="2" t="s">
        <v>4833</v>
      </c>
      <c r="B2870" s="6">
        <v>46174</v>
      </c>
      <c r="C2870" s="8">
        <v>46203</v>
      </c>
      <c r="D2870" s="2" t="s">
        <v>199</v>
      </c>
      <c r="E2870" s="2" t="s">
        <v>260</v>
      </c>
      <c r="F2870" s="2" t="s">
        <v>16703</v>
      </c>
      <c r="G2870" s="2" t="s">
        <v>4835</v>
      </c>
      <c r="H2870" s="2" t="s">
        <v>70</v>
      </c>
      <c r="I2870" s="9">
        <v>12301.984962</v>
      </c>
      <c r="J2870" s="7">
        <v>0.66500000000000004</v>
      </c>
      <c r="K2870" s="9">
        <v>8180.82</v>
      </c>
      <c r="L2870" s="14">
        <v>0</v>
      </c>
      <c r="M2870" s="2" t="s">
        <v>71</v>
      </c>
      <c r="N2870" s="2" t="s">
        <v>16704</v>
      </c>
      <c r="O2870" s="2" t="s">
        <v>4834</v>
      </c>
      <c r="P2870" s="9">
        <v>4.5</v>
      </c>
      <c r="Q2870" s="9">
        <v>8180.82</v>
      </c>
      <c r="R2870" s="2" t="s">
        <v>16708</v>
      </c>
    </row>
    <row r="2871" spans="1:18" x14ac:dyDescent="0.25">
      <c r="A2871" s="2" t="s">
        <v>4836</v>
      </c>
      <c r="B2871" s="6">
        <v>46204</v>
      </c>
      <c r="C2871" s="8">
        <v>46204</v>
      </c>
      <c r="D2871" s="2" t="s">
        <v>199</v>
      </c>
      <c r="E2871" s="2" t="s">
        <v>260</v>
      </c>
      <c r="F2871" s="2" t="s">
        <v>16703</v>
      </c>
      <c r="G2871" s="2" t="s">
        <v>4838</v>
      </c>
      <c r="H2871" s="2" t="s">
        <v>39</v>
      </c>
      <c r="I2871" s="9">
        <v>8353.83</v>
      </c>
      <c r="J2871" s="7">
        <v>1</v>
      </c>
      <c r="K2871" s="9">
        <v>8353.83</v>
      </c>
      <c r="L2871" s="14">
        <v>0</v>
      </c>
      <c r="M2871" s="2" t="s">
        <v>71</v>
      </c>
      <c r="N2871" s="2" t="s">
        <v>16706</v>
      </c>
      <c r="O2871" s="2" t="s">
        <v>4837</v>
      </c>
      <c r="P2871" s="9">
        <v>4.59</v>
      </c>
      <c r="Q2871" s="9">
        <v>8353.83</v>
      </c>
      <c r="R2871" s="2" t="s">
        <v>16709</v>
      </c>
    </row>
    <row r="2872" spans="1:18" x14ac:dyDescent="0.25">
      <c r="A2872" s="2" t="s">
        <v>4839</v>
      </c>
      <c r="B2872" s="6">
        <v>46174</v>
      </c>
      <c r="C2872" s="8">
        <v>46195</v>
      </c>
      <c r="D2872" s="2" t="s">
        <v>199</v>
      </c>
      <c r="E2872" s="2" t="s">
        <v>260</v>
      </c>
      <c r="F2872" s="2" t="s">
        <v>16703</v>
      </c>
      <c r="G2872" s="2" t="s">
        <v>4841</v>
      </c>
      <c r="H2872" s="2" t="s">
        <v>76</v>
      </c>
      <c r="I2872" s="9">
        <v>54571776</v>
      </c>
      <c r="J2872" s="7">
        <v>6.2500000000000001E-5</v>
      </c>
      <c r="K2872" s="9">
        <v>3410.74</v>
      </c>
      <c r="L2872" s="14">
        <v>0</v>
      </c>
      <c r="M2872" s="2" t="s">
        <v>71</v>
      </c>
      <c r="N2872" s="2" t="s">
        <v>16704</v>
      </c>
      <c r="O2872" s="2" t="s">
        <v>4840</v>
      </c>
      <c r="P2872" s="9">
        <v>1.88</v>
      </c>
      <c r="Q2872" s="9">
        <v>3410.74</v>
      </c>
      <c r="R2872" s="2" t="s">
        <v>16708</v>
      </c>
    </row>
    <row r="2873" spans="1:18" x14ac:dyDescent="0.25">
      <c r="A2873" s="2" t="s">
        <v>4842</v>
      </c>
      <c r="B2873" s="6">
        <v>46204</v>
      </c>
      <c r="C2873" s="8">
        <v>46220</v>
      </c>
      <c r="D2873" s="2" t="s">
        <v>199</v>
      </c>
      <c r="E2873" s="2" t="s">
        <v>260</v>
      </c>
      <c r="F2873" s="2" t="s">
        <v>16703</v>
      </c>
      <c r="G2873" s="2" t="s">
        <v>4843</v>
      </c>
      <c r="H2873" s="2" t="s">
        <v>76</v>
      </c>
      <c r="I2873" s="9">
        <v>81857664</v>
      </c>
      <c r="J2873" s="7">
        <v>6.2000000000000003E-5</v>
      </c>
      <c r="K2873" s="9">
        <v>5075.18</v>
      </c>
      <c r="L2873" s="14">
        <v>0</v>
      </c>
      <c r="M2873" s="2" t="s">
        <v>71</v>
      </c>
      <c r="N2873" s="2" t="s">
        <v>16706</v>
      </c>
      <c r="O2873" s="2" t="s">
        <v>4840</v>
      </c>
      <c r="P2873" s="9">
        <v>2.79</v>
      </c>
      <c r="Q2873" s="9">
        <v>5116.1000000000004</v>
      </c>
      <c r="R2873" s="2" t="s">
        <v>16709</v>
      </c>
    </row>
    <row r="2874" spans="1:18" x14ac:dyDescent="0.25">
      <c r="A2874" s="2" t="s">
        <v>4844</v>
      </c>
      <c r="B2874" s="6">
        <v>46204</v>
      </c>
      <c r="C2874" s="8">
        <v>46206</v>
      </c>
      <c r="D2874" s="2" t="s">
        <v>199</v>
      </c>
      <c r="E2874" s="2" t="s">
        <v>260</v>
      </c>
      <c r="F2874" s="2" t="s">
        <v>16703</v>
      </c>
      <c r="G2874" s="2" t="s">
        <v>4846</v>
      </c>
      <c r="H2874" s="2" t="s">
        <v>70</v>
      </c>
      <c r="I2874" s="9">
        <v>13082.481202999999</v>
      </c>
      <c r="J2874" s="7">
        <v>0.65800000000000003</v>
      </c>
      <c r="K2874" s="9">
        <v>8608.27</v>
      </c>
      <c r="L2874" s="14">
        <v>0</v>
      </c>
      <c r="M2874" s="2" t="s">
        <v>71</v>
      </c>
      <c r="N2874" s="2" t="s">
        <v>16706</v>
      </c>
      <c r="O2874" s="2" t="s">
        <v>4845</v>
      </c>
      <c r="P2874" s="9">
        <v>4.7300000000000004</v>
      </c>
      <c r="Q2874" s="9">
        <v>8699.85</v>
      </c>
      <c r="R2874" s="2" t="s">
        <v>16709</v>
      </c>
    </row>
    <row r="2875" spans="1:18" x14ac:dyDescent="0.25">
      <c r="A2875" s="2" t="s">
        <v>4847</v>
      </c>
      <c r="B2875" s="6">
        <v>46204</v>
      </c>
      <c r="C2875" s="8">
        <v>46207</v>
      </c>
      <c r="D2875" s="2" t="s">
        <v>199</v>
      </c>
      <c r="E2875" s="2" t="s">
        <v>260</v>
      </c>
      <c r="F2875" s="2" t="s">
        <v>16703</v>
      </c>
      <c r="G2875" s="2" t="s">
        <v>4849</v>
      </c>
      <c r="H2875" s="2" t="s">
        <v>39</v>
      </c>
      <c r="I2875" s="9">
        <v>8872.86</v>
      </c>
      <c r="J2875" s="7">
        <v>1</v>
      </c>
      <c r="K2875" s="9">
        <v>8872.86</v>
      </c>
      <c r="L2875" s="14">
        <v>0</v>
      </c>
      <c r="M2875" s="2" t="s">
        <v>71</v>
      </c>
      <c r="N2875" s="2" t="s">
        <v>16706</v>
      </c>
      <c r="O2875" s="2" t="s">
        <v>4848</v>
      </c>
      <c r="P2875" s="9">
        <v>4.88</v>
      </c>
      <c r="Q2875" s="9">
        <v>8872.86</v>
      </c>
      <c r="R2875" s="2" t="s">
        <v>16709</v>
      </c>
    </row>
    <row r="2876" spans="1:18" x14ac:dyDescent="0.25">
      <c r="A2876" s="2" t="s">
        <v>4850</v>
      </c>
      <c r="B2876" s="6">
        <v>46204</v>
      </c>
      <c r="C2876" s="8">
        <v>46208</v>
      </c>
      <c r="D2876" s="2" t="s">
        <v>199</v>
      </c>
      <c r="E2876" s="2" t="s">
        <v>260</v>
      </c>
      <c r="F2876" s="2" t="s">
        <v>16703</v>
      </c>
      <c r="G2876" s="2" t="s">
        <v>4852</v>
      </c>
      <c r="H2876" s="2" t="s">
        <v>76</v>
      </c>
      <c r="I2876" s="9">
        <v>144733920</v>
      </c>
      <c r="J2876" s="7">
        <v>6.2000000000000003E-5</v>
      </c>
      <c r="K2876" s="9">
        <v>8973.5</v>
      </c>
      <c r="L2876" s="14">
        <v>0</v>
      </c>
      <c r="M2876" s="2" t="s">
        <v>71</v>
      </c>
      <c r="N2876" s="2" t="s">
        <v>16706</v>
      </c>
      <c r="O2876" s="2" t="s">
        <v>4851</v>
      </c>
      <c r="P2876" s="9">
        <v>4.9400000000000004</v>
      </c>
      <c r="Q2876" s="9">
        <v>9045.8700000000008</v>
      </c>
      <c r="R2876" s="2" t="s">
        <v>16709</v>
      </c>
    </row>
    <row r="2877" spans="1:18" x14ac:dyDescent="0.25">
      <c r="A2877" s="2" t="s">
        <v>4853</v>
      </c>
      <c r="B2877" s="6">
        <v>46204</v>
      </c>
      <c r="C2877" s="8">
        <v>46209</v>
      </c>
      <c r="D2877" s="2" t="s">
        <v>199</v>
      </c>
      <c r="E2877" s="2" t="s">
        <v>260</v>
      </c>
      <c r="F2877" s="2" t="s">
        <v>16703</v>
      </c>
      <c r="G2877" s="2" t="s">
        <v>4855</v>
      </c>
      <c r="H2877" s="2" t="s">
        <v>70</v>
      </c>
      <c r="I2877" s="9">
        <v>13862.977444</v>
      </c>
      <c r="J2877" s="7">
        <v>0.65800000000000003</v>
      </c>
      <c r="K2877" s="9">
        <v>9121.84</v>
      </c>
      <c r="L2877" s="14">
        <v>0</v>
      </c>
      <c r="M2877" s="2" t="s">
        <v>71</v>
      </c>
      <c r="N2877" s="2" t="s">
        <v>16706</v>
      </c>
      <c r="O2877" s="2" t="s">
        <v>4854</v>
      </c>
      <c r="P2877" s="9">
        <v>5.0199999999999996</v>
      </c>
      <c r="Q2877" s="9">
        <v>9218.8799999999992</v>
      </c>
      <c r="R2877" s="2" t="s">
        <v>16709</v>
      </c>
    </row>
    <row r="2878" spans="1:18" x14ac:dyDescent="0.25">
      <c r="A2878" s="2" t="s">
        <v>4856</v>
      </c>
      <c r="B2878" s="6">
        <v>46204</v>
      </c>
      <c r="C2878" s="8">
        <v>46210</v>
      </c>
      <c r="D2878" s="2" t="s">
        <v>199</v>
      </c>
      <c r="E2878" s="2" t="s">
        <v>260</v>
      </c>
      <c r="F2878" s="2" t="s">
        <v>16703</v>
      </c>
      <c r="G2878" s="2" t="s">
        <v>4858</v>
      </c>
      <c r="H2878" s="2" t="s">
        <v>39</v>
      </c>
      <c r="I2878" s="9">
        <v>9391.89</v>
      </c>
      <c r="J2878" s="7">
        <v>1</v>
      </c>
      <c r="K2878" s="9">
        <v>9391.89</v>
      </c>
      <c r="L2878" s="14">
        <v>0</v>
      </c>
      <c r="M2878" s="2" t="s">
        <v>71</v>
      </c>
      <c r="N2878" s="2" t="s">
        <v>16706</v>
      </c>
      <c r="O2878" s="2" t="s">
        <v>4857</v>
      </c>
      <c r="P2878" s="9">
        <v>5.17</v>
      </c>
      <c r="Q2878" s="9">
        <v>9391.89</v>
      </c>
      <c r="R2878" s="2" t="s">
        <v>16709</v>
      </c>
    </row>
    <row r="2879" spans="1:18" x14ac:dyDescent="0.25">
      <c r="A2879" s="2" t="s">
        <v>4859</v>
      </c>
      <c r="B2879" s="6">
        <v>46174</v>
      </c>
      <c r="C2879" s="8">
        <v>46201</v>
      </c>
      <c r="D2879" s="2" t="s">
        <v>199</v>
      </c>
      <c r="E2879" s="2" t="s">
        <v>260</v>
      </c>
      <c r="F2879" s="2" t="s">
        <v>16703</v>
      </c>
      <c r="G2879" s="2" t="s">
        <v>4861</v>
      </c>
      <c r="H2879" s="2" t="s">
        <v>76</v>
      </c>
      <c r="I2879" s="9">
        <v>61215360</v>
      </c>
      <c r="J2879" s="7">
        <v>6.2500000000000001E-5</v>
      </c>
      <c r="K2879" s="9">
        <v>3825.96</v>
      </c>
      <c r="L2879" s="14">
        <v>0</v>
      </c>
      <c r="M2879" s="2" t="s">
        <v>71</v>
      </c>
      <c r="N2879" s="2" t="s">
        <v>16704</v>
      </c>
      <c r="O2879" s="2" t="s">
        <v>4860</v>
      </c>
      <c r="P2879" s="9">
        <v>2.1</v>
      </c>
      <c r="Q2879" s="9">
        <v>3825.96</v>
      </c>
      <c r="R2879" s="2" t="s">
        <v>16708</v>
      </c>
    </row>
    <row r="2880" spans="1:18" x14ac:dyDescent="0.25">
      <c r="A2880" s="2" t="s">
        <v>4862</v>
      </c>
      <c r="B2880" s="6">
        <v>46204</v>
      </c>
      <c r="C2880" s="8">
        <v>46226</v>
      </c>
      <c r="D2880" s="2" t="s">
        <v>199</v>
      </c>
      <c r="E2880" s="2" t="s">
        <v>260</v>
      </c>
      <c r="F2880" s="2" t="s">
        <v>16703</v>
      </c>
      <c r="G2880" s="2" t="s">
        <v>4863</v>
      </c>
      <c r="H2880" s="2" t="s">
        <v>76</v>
      </c>
      <c r="I2880" s="9">
        <v>91823040</v>
      </c>
      <c r="J2880" s="7">
        <v>6.2000000000000003E-5</v>
      </c>
      <c r="K2880" s="9">
        <v>5693.03</v>
      </c>
      <c r="L2880" s="14">
        <v>0</v>
      </c>
      <c r="M2880" s="2" t="s">
        <v>71</v>
      </c>
      <c r="N2880" s="2" t="s">
        <v>16706</v>
      </c>
      <c r="O2880" s="2" t="s">
        <v>4860</v>
      </c>
      <c r="P2880" s="9">
        <v>3.13</v>
      </c>
      <c r="Q2880" s="9">
        <v>5738.94</v>
      </c>
      <c r="R2880" s="2" t="s">
        <v>16709</v>
      </c>
    </row>
    <row r="2881" spans="1:18" x14ac:dyDescent="0.25">
      <c r="A2881" s="2" t="s">
        <v>4864</v>
      </c>
      <c r="B2881" s="6">
        <v>46174</v>
      </c>
      <c r="C2881" s="8">
        <v>46202</v>
      </c>
      <c r="D2881" s="2" t="s">
        <v>199</v>
      </c>
      <c r="E2881" s="2" t="s">
        <v>260</v>
      </c>
      <c r="F2881" s="2" t="s">
        <v>16703</v>
      </c>
      <c r="G2881" s="2" t="s">
        <v>4866</v>
      </c>
      <c r="H2881" s="2" t="s">
        <v>70</v>
      </c>
      <c r="I2881" s="9">
        <v>5857.3894739999996</v>
      </c>
      <c r="J2881" s="7">
        <v>0.66500000000000004</v>
      </c>
      <c r="K2881" s="9">
        <v>3895.16</v>
      </c>
      <c r="L2881" s="14">
        <v>0</v>
      </c>
      <c r="M2881" s="2" t="s">
        <v>71</v>
      </c>
      <c r="N2881" s="2" t="s">
        <v>16704</v>
      </c>
      <c r="O2881" s="2" t="s">
        <v>4865</v>
      </c>
      <c r="P2881" s="9">
        <v>2.14</v>
      </c>
      <c r="Q2881" s="9">
        <v>3895.16</v>
      </c>
      <c r="R2881" s="2" t="s">
        <v>16708</v>
      </c>
    </row>
    <row r="2882" spans="1:18" x14ac:dyDescent="0.25">
      <c r="A2882" s="2" t="s">
        <v>4867</v>
      </c>
      <c r="B2882" s="6">
        <v>46204</v>
      </c>
      <c r="C2882" s="8">
        <v>46227</v>
      </c>
      <c r="D2882" s="2" t="s">
        <v>199</v>
      </c>
      <c r="E2882" s="2" t="s">
        <v>260</v>
      </c>
      <c r="F2882" s="2" t="s">
        <v>16703</v>
      </c>
      <c r="G2882" s="2" t="s">
        <v>4868</v>
      </c>
      <c r="H2882" s="2" t="s">
        <v>70</v>
      </c>
      <c r="I2882" s="9">
        <v>8786.0842100000009</v>
      </c>
      <c r="J2882" s="7">
        <v>0.65800000000000003</v>
      </c>
      <c r="K2882" s="9">
        <v>5781.24</v>
      </c>
      <c r="L2882" s="14">
        <v>0</v>
      </c>
      <c r="M2882" s="2" t="s">
        <v>71</v>
      </c>
      <c r="N2882" s="2" t="s">
        <v>16706</v>
      </c>
      <c r="O2882" s="2" t="s">
        <v>4865</v>
      </c>
      <c r="P2882" s="9">
        <v>3.18</v>
      </c>
      <c r="Q2882" s="9">
        <v>5842.75</v>
      </c>
      <c r="R2882" s="2" t="s">
        <v>16709</v>
      </c>
    </row>
    <row r="2883" spans="1:18" x14ac:dyDescent="0.25">
      <c r="A2883" s="2" t="s">
        <v>4869</v>
      </c>
      <c r="B2883" s="6">
        <v>46204</v>
      </c>
      <c r="C2883" s="8">
        <v>46213</v>
      </c>
      <c r="D2883" s="2" t="s">
        <v>199</v>
      </c>
      <c r="E2883" s="2" t="s">
        <v>260</v>
      </c>
      <c r="F2883" s="2" t="s">
        <v>16703</v>
      </c>
      <c r="G2883" s="2" t="s">
        <v>4871</v>
      </c>
      <c r="H2883" s="2" t="s">
        <v>39</v>
      </c>
      <c r="I2883" s="9">
        <v>9910.92</v>
      </c>
      <c r="J2883" s="7">
        <v>1</v>
      </c>
      <c r="K2883" s="9">
        <v>9910.92</v>
      </c>
      <c r="L2883" s="14">
        <v>0</v>
      </c>
      <c r="M2883" s="2" t="s">
        <v>71</v>
      </c>
      <c r="N2883" s="2" t="s">
        <v>16706</v>
      </c>
      <c r="O2883" s="2" t="s">
        <v>4870</v>
      </c>
      <c r="P2883" s="9">
        <v>5.45</v>
      </c>
      <c r="Q2883" s="9">
        <v>9910.92</v>
      </c>
      <c r="R2883" s="2" t="s">
        <v>16709</v>
      </c>
    </row>
    <row r="2884" spans="1:18" x14ac:dyDescent="0.25">
      <c r="A2884" s="2" t="s">
        <v>4872</v>
      </c>
      <c r="B2884" s="6">
        <v>46204</v>
      </c>
      <c r="C2884" s="8">
        <v>46214</v>
      </c>
      <c r="D2884" s="2" t="s">
        <v>199</v>
      </c>
      <c r="E2884" s="2" t="s">
        <v>260</v>
      </c>
      <c r="F2884" s="2" t="s">
        <v>16703</v>
      </c>
      <c r="G2884" s="2" t="s">
        <v>4874</v>
      </c>
      <c r="H2884" s="2" t="s">
        <v>76</v>
      </c>
      <c r="I2884" s="9">
        <v>-161342880</v>
      </c>
      <c r="J2884" s="7">
        <v>6.2000000000000003E-5</v>
      </c>
      <c r="K2884" s="9">
        <v>-10003.26</v>
      </c>
      <c r="L2884" s="14">
        <v>0</v>
      </c>
      <c r="M2884" s="2" t="s">
        <v>71</v>
      </c>
      <c r="N2884" s="2" t="s">
        <v>16706</v>
      </c>
      <c r="O2884" s="2" t="s">
        <v>4873</v>
      </c>
      <c r="P2884" s="9">
        <v>0</v>
      </c>
      <c r="Q2884" s="9">
        <v>-10083.93</v>
      </c>
      <c r="R2884" s="2" t="s">
        <v>16709</v>
      </c>
    </row>
    <row r="2885" spans="1:18" x14ac:dyDescent="0.25">
      <c r="A2885" s="2" t="s">
        <v>4875</v>
      </c>
      <c r="B2885" s="6">
        <v>46204</v>
      </c>
      <c r="C2885" s="8">
        <v>46205</v>
      </c>
      <c r="D2885" s="2" t="s">
        <v>199</v>
      </c>
      <c r="E2885" s="2" t="s">
        <v>260</v>
      </c>
      <c r="F2885" s="2" t="s">
        <v>16703</v>
      </c>
      <c r="G2885" s="2" t="s">
        <v>4877</v>
      </c>
      <c r="H2885" s="2" t="s">
        <v>70</v>
      </c>
      <c r="I2885" s="9">
        <v>6169.5879699999996</v>
      </c>
      <c r="J2885" s="7">
        <v>0.65800000000000003</v>
      </c>
      <c r="K2885" s="9">
        <v>4059.59</v>
      </c>
      <c r="L2885" s="14">
        <v>0</v>
      </c>
      <c r="M2885" s="2" t="s">
        <v>71</v>
      </c>
      <c r="N2885" s="2" t="s">
        <v>16706</v>
      </c>
      <c r="O2885" s="2" t="s">
        <v>4876</v>
      </c>
      <c r="P2885" s="9">
        <v>2.23</v>
      </c>
      <c r="Q2885" s="9">
        <v>4102.78</v>
      </c>
      <c r="R2885" s="2" t="s">
        <v>16709</v>
      </c>
    </row>
    <row r="2886" spans="1:18" x14ac:dyDescent="0.25">
      <c r="A2886" s="2" t="s">
        <v>4878</v>
      </c>
      <c r="B2886" s="6">
        <v>46204</v>
      </c>
      <c r="C2886" s="8">
        <v>46230</v>
      </c>
      <c r="D2886" s="2" t="s">
        <v>199</v>
      </c>
      <c r="E2886" s="2" t="s">
        <v>260</v>
      </c>
      <c r="F2886" s="2" t="s">
        <v>16703</v>
      </c>
      <c r="G2886" s="2" t="s">
        <v>4879</v>
      </c>
      <c r="H2886" s="2" t="s">
        <v>70</v>
      </c>
      <c r="I2886" s="9">
        <v>9254.3819550000007</v>
      </c>
      <c r="J2886" s="7">
        <v>0.65800000000000003</v>
      </c>
      <c r="K2886" s="9">
        <v>6089.38</v>
      </c>
      <c r="L2886" s="14">
        <v>0</v>
      </c>
      <c r="M2886" s="2" t="s">
        <v>71</v>
      </c>
      <c r="N2886" s="2" t="s">
        <v>16706</v>
      </c>
      <c r="O2886" s="2" t="s">
        <v>4876</v>
      </c>
      <c r="P2886" s="9">
        <v>3.35</v>
      </c>
      <c r="Q2886" s="9">
        <v>6154.16</v>
      </c>
      <c r="R2886" s="2" t="s">
        <v>16709</v>
      </c>
    </row>
    <row r="2887" spans="1:18" x14ac:dyDescent="0.25">
      <c r="A2887" s="2" t="s">
        <v>4880</v>
      </c>
      <c r="B2887" s="6">
        <v>46204</v>
      </c>
      <c r="C2887" s="8">
        <v>46216</v>
      </c>
      <c r="D2887" s="2" t="s">
        <v>199</v>
      </c>
      <c r="E2887" s="2" t="s">
        <v>260</v>
      </c>
      <c r="F2887" s="2" t="s">
        <v>16703</v>
      </c>
      <c r="G2887" s="2" t="s">
        <v>4882</v>
      </c>
      <c r="H2887" s="2" t="s">
        <v>39</v>
      </c>
      <c r="I2887" s="9">
        <v>10429.950000000001</v>
      </c>
      <c r="J2887" s="7">
        <v>1</v>
      </c>
      <c r="K2887" s="9">
        <v>10429.950000000001</v>
      </c>
      <c r="L2887" s="14">
        <v>0</v>
      </c>
      <c r="M2887" s="2" t="s">
        <v>71</v>
      </c>
      <c r="N2887" s="2" t="s">
        <v>16706</v>
      </c>
      <c r="O2887" s="2" t="s">
        <v>4881</v>
      </c>
      <c r="P2887" s="9">
        <v>5.74</v>
      </c>
      <c r="Q2887" s="9">
        <v>10429.950000000001</v>
      </c>
      <c r="R2887" s="2" t="s">
        <v>16709</v>
      </c>
    </row>
    <row r="2888" spans="1:18" x14ac:dyDescent="0.25">
      <c r="A2888" s="2" t="s">
        <v>4883</v>
      </c>
      <c r="B2888" s="6">
        <v>46204</v>
      </c>
      <c r="C2888" s="8">
        <v>46217</v>
      </c>
      <c r="D2888" s="2" t="s">
        <v>199</v>
      </c>
      <c r="E2888" s="2" t="s">
        <v>260</v>
      </c>
      <c r="F2888" s="2" t="s">
        <v>16703</v>
      </c>
      <c r="G2888" s="2" t="s">
        <v>4885</v>
      </c>
      <c r="H2888" s="2" t="s">
        <v>76</v>
      </c>
      <c r="I2888" s="9">
        <v>169647360</v>
      </c>
      <c r="J2888" s="7">
        <v>6.2000000000000003E-5</v>
      </c>
      <c r="K2888" s="9">
        <v>10518.14</v>
      </c>
      <c r="L2888" s="14">
        <v>0</v>
      </c>
      <c r="M2888" s="2" t="s">
        <v>71</v>
      </c>
      <c r="N2888" s="2" t="s">
        <v>16706</v>
      </c>
      <c r="O2888" s="2" t="s">
        <v>4884</v>
      </c>
      <c r="P2888" s="9">
        <v>5.78</v>
      </c>
      <c r="Q2888" s="9">
        <v>10602.96</v>
      </c>
      <c r="R2888" s="2" t="s">
        <v>16709</v>
      </c>
    </row>
    <row r="2889" spans="1:18" x14ac:dyDescent="0.25">
      <c r="A2889" s="2" t="s">
        <v>4886</v>
      </c>
      <c r="B2889" s="6">
        <v>46204</v>
      </c>
      <c r="C2889" s="8">
        <v>46218</v>
      </c>
      <c r="D2889" s="2" t="s">
        <v>199</v>
      </c>
      <c r="E2889" s="2" t="s">
        <v>260</v>
      </c>
      <c r="F2889" s="2" t="s">
        <v>16703</v>
      </c>
      <c r="G2889" s="2" t="s">
        <v>4888</v>
      </c>
      <c r="H2889" s="2" t="s">
        <v>70</v>
      </c>
      <c r="I2889" s="9">
        <v>16203.007519000001</v>
      </c>
      <c r="J2889" s="7">
        <v>0.65800000000000003</v>
      </c>
      <c r="K2889" s="9">
        <v>10661.58</v>
      </c>
      <c r="L2889" s="14">
        <v>0</v>
      </c>
      <c r="M2889" s="2" t="s">
        <v>71</v>
      </c>
      <c r="N2889" s="2" t="s">
        <v>16706</v>
      </c>
      <c r="O2889" s="2" t="s">
        <v>4887</v>
      </c>
      <c r="P2889" s="9">
        <v>5.86</v>
      </c>
      <c r="Q2889" s="9">
        <v>10775</v>
      </c>
      <c r="R2889" s="2" t="s">
        <v>16709</v>
      </c>
    </row>
    <row r="2890" spans="1:18" x14ac:dyDescent="0.25">
      <c r="A2890" s="2" t="s">
        <v>4889</v>
      </c>
      <c r="B2890" s="6">
        <v>46204</v>
      </c>
      <c r="C2890" s="8">
        <v>46219</v>
      </c>
      <c r="D2890" s="2" t="s">
        <v>199</v>
      </c>
      <c r="E2890" s="2" t="s">
        <v>260</v>
      </c>
      <c r="F2890" s="2" t="s">
        <v>16703</v>
      </c>
      <c r="G2890" s="2" t="s">
        <v>4891</v>
      </c>
      <c r="H2890" s="2" t="s">
        <v>39</v>
      </c>
      <c r="I2890" s="9">
        <v>10948.01</v>
      </c>
      <c r="J2890" s="7">
        <v>1</v>
      </c>
      <c r="K2890" s="9">
        <v>10948.01</v>
      </c>
      <c r="L2890" s="14">
        <v>0</v>
      </c>
      <c r="M2890" s="2" t="s">
        <v>71</v>
      </c>
      <c r="N2890" s="2" t="s">
        <v>16706</v>
      </c>
      <c r="O2890" s="2" t="s">
        <v>4890</v>
      </c>
      <c r="P2890" s="9">
        <v>6.02</v>
      </c>
      <c r="Q2890" s="9">
        <v>10948.01</v>
      </c>
      <c r="R2890" s="2" t="s">
        <v>16709</v>
      </c>
    </row>
    <row r="2891" spans="1:18" x14ac:dyDescent="0.25">
      <c r="A2891" s="2" t="s">
        <v>4892</v>
      </c>
      <c r="B2891" s="6">
        <v>46204</v>
      </c>
      <c r="C2891" s="8">
        <v>46220</v>
      </c>
      <c r="D2891" s="2" t="s">
        <v>199</v>
      </c>
      <c r="E2891" s="2" t="s">
        <v>260</v>
      </c>
      <c r="F2891" s="2" t="s">
        <v>16703</v>
      </c>
      <c r="G2891" s="2" t="s">
        <v>4894</v>
      </c>
      <c r="H2891" s="2" t="s">
        <v>76</v>
      </c>
      <c r="I2891" s="9">
        <v>177936320</v>
      </c>
      <c r="J2891" s="7">
        <v>6.2000000000000003E-5</v>
      </c>
      <c r="K2891" s="9">
        <v>11032.05</v>
      </c>
      <c r="L2891" s="14">
        <v>0</v>
      </c>
      <c r="M2891" s="2" t="s">
        <v>71</v>
      </c>
      <c r="N2891" s="2" t="s">
        <v>16706</v>
      </c>
      <c r="O2891" s="2" t="s">
        <v>4893</v>
      </c>
      <c r="P2891" s="9">
        <v>6.07</v>
      </c>
      <c r="Q2891" s="9">
        <v>11121.02</v>
      </c>
      <c r="R2891" s="2" t="s">
        <v>16709</v>
      </c>
    </row>
    <row r="2892" spans="1:18" x14ac:dyDescent="0.25">
      <c r="A2892" s="2" t="s">
        <v>4895</v>
      </c>
      <c r="B2892" s="6">
        <v>46204</v>
      </c>
      <c r="C2892" s="8">
        <v>46211</v>
      </c>
      <c r="D2892" s="2" t="s">
        <v>199</v>
      </c>
      <c r="E2892" s="2" t="s">
        <v>260</v>
      </c>
      <c r="F2892" s="2" t="s">
        <v>16703</v>
      </c>
      <c r="G2892" s="2" t="s">
        <v>4897</v>
      </c>
      <c r="H2892" s="2" t="s">
        <v>70</v>
      </c>
      <c r="I2892" s="9">
        <v>6793.4015040000004</v>
      </c>
      <c r="J2892" s="7">
        <v>0.65800000000000003</v>
      </c>
      <c r="K2892" s="9">
        <v>4470.0600000000004</v>
      </c>
      <c r="L2892" s="14">
        <v>0</v>
      </c>
      <c r="M2892" s="2" t="s">
        <v>71</v>
      </c>
      <c r="N2892" s="2" t="s">
        <v>16706</v>
      </c>
      <c r="O2892" s="2" t="s">
        <v>4896</v>
      </c>
      <c r="P2892" s="9">
        <v>2.46</v>
      </c>
      <c r="Q2892" s="9">
        <v>4517.6099999999997</v>
      </c>
      <c r="R2892" s="2" t="s">
        <v>16709</v>
      </c>
    </row>
    <row r="2893" spans="1:18" x14ac:dyDescent="0.25">
      <c r="A2893" s="2" t="s">
        <v>4900</v>
      </c>
      <c r="B2893" s="6">
        <v>46204</v>
      </c>
      <c r="C2893" s="8">
        <v>46212</v>
      </c>
      <c r="D2893" s="2" t="s">
        <v>199</v>
      </c>
      <c r="E2893" s="2" t="s">
        <v>260</v>
      </c>
      <c r="F2893" s="2" t="s">
        <v>16703</v>
      </c>
      <c r="G2893" s="2" t="s">
        <v>4902</v>
      </c>
      <c r="H2893" s="2" t="s">
        <v>39</v>
      </c>
      <c r="I2893" s="9">
        <v>4586.8159999999998</v>
      </c>
      <c r="J2893" s="7">
        <v>1</v>
      </c>
      <c r="K2893" s="9">
        <v>4586.82</v>
      </c>
      <c r="L2893" s="14">
        <v>0</v>
      </c>
      <c r="M2893" s="2" t="s">
        <v>71</v>
      </c>
      <c r="N2893" s="2" t="s">
        <v>16706</v>
      </c>
      <c r="O2893" s="2" t="s">
        <v>4901</v>
      </c>
      <c r="P2893" s="9">
        <v>2.52</v>
      </c>
      <c r="Q2893" s="9">
        <v>4586.82</v>
      </c>
      <c r="R2893" s="2" t="s">
        <v>16709</v>
      </c>
    </row>
    <row r="2894" spans="1:18" x14ac:dyDescent="0.25">
      <c r="A2894" s="2" t="s">
        <v>4905</v>
      </c>
      <c r="B2894" s="6">
        <v>46204</v>
      </c>
      <c r="C2894" s="8">
        <v>46223</v>
      </c>
      <c r="D2894" s="2" t="s">
        <v>199</v>
      </c>
      <c r="E2894" s="2" t="s">
        <v>260</v>
      </c>
      <c r="F2894" s="2" t="s">
        <v>16703</v>
      </c>
      <c r="G2894" s="2" t="s">
        <v>4907</v>
      </c>
      <c r="H2894" s="2" t="s">
        <v>76</v>
      </c>
      <c r="I2894" s="9">
        <v>186240800</v>
      </c>
      <c r="J2894" s="7">
        <v>6.2000000000000003E-5</v>
      </c>
      <c r="K2894" s="9">
        <v>11546.93</v>
      </c>
      <c r="L2894" s="14">
        <v>0</v>
      </c>
      <c r="M2894" s="2" t="s">
        <v>71</v>
      </c>
      <c r="N2894" s="2" t="s">
        <v>16706</v>
      </c>
      <c r="O2894" s="2" t="s">
        <v>4906</v>
      </c>
      <c r="P2894" s="9">
        <v>6.35</v>
      </c>
      <c r="Q2894" s="9">
        <v>11640.05</v>
      </c>
      <c r="R2894" s="2" t="s">
        <v>16709</v>
      </c>
    </row>
    <row r="2895" spans="1:18" x14ac:dyDescent="0.25">
      <c r="A2895" s="2" t="s">
        <v>4908</v>
      </c>
      <c r="B2895" s="6">
        <v>46204</v>
      </c>
      <c r="C2895" s="8">
        <v>46224</v>
      </c>
      <c r="D2895" s="2" t="s">
        <v>199</v>
      </c>
      <c r="E2895" s="2" t="s">
        <v>260</v>
      </c>
      <c r="F2895" s="2" t="s">
        <v>16703</v>
      </c>
      <c r="G2895" s="2" t="s">
        <v>4910</v>
      </c>
      <c r="H2895" s="2" t="s">
        <v>70</v>
      </c>
      <c r="I2895" s="9">
        <v>17764</v>
      </c>
      <c r="J2895" s="7">
        <v>0.65800000000000003</v>
      </c>
      <c r="K2895" s="9">
        <v>11688.71</v>
      </c>
      <c r="L2895" s="14">
        <v>0</v>
      </c>
      <c r="M2895" s="2" t="s">
        <v>71</v>
      </c>
      <c r="N2895" s="2" t="s">
        <v>16706</v>
      </c>
      <c r="O2895" s="2" t="s">
        <v>4909</v>
      </c>
      <c r="P2895" s="9">
        <v>6.43</v>
      </c>
      <c r="Q2895" s="9">
        <v>11813.06</v>
      </c>
      <c r="R2895" s="2" t="s">
        <v>16709</v>
      </c>
    </row>
    <row r="2896" spans="1:18" x14ac:dyDescent="0.25">
      <c r="A2896" s="2" t="s">
        <v>4911</v>
      </c>
      <c r="B2896" s="6">
        <v>46204</v>
      </c>
      <c r="C2896" s="8">
        <v>46215</v>
      </c>
      <c r="D2896" s="2" t="s">
        <v>199</v>
      </c>
      <c r="E2896" s="2" t="s">
        <v>260</v>
      </c>
      <c r="F2896" s="2" t="s">
        <v>16703</v>
      </c>
      <c r="G2896" s="2" t="s">
        <v>4913</v>
      </c>
      <c r="H2896" s="2" t="s">
        <v>39</v>
      </c>
      <c r="I2896" s="9">
        <v>4794.4279999999999</v>
      </c>
      <c r="J2896" s="7">
        <v>1</v>
      </c>
      <c r="K2896" s="9">
        <v>4794.43</v>
      </c>
      <c r="L2896" s="14">
        <v>0</v>
      </c>
      <c r="M2896" s="2" t="s">
        <v>71</v>
      </c>
      <c r="N2896" s="2" t="s">
        <v>16706</v>
      </c>
      <c r="O2896" s="2" t="s">
        <v>4912</v>
      </c>
      <c r="P2896" s="9">
        <v>2.64</v>
      </c>
      <c r="Q2896" s="9">
        <v>4794.43</v>
      </c>
      <c r="R2896" s="2" t="s">
        <v>16709</v>
      </c>
    </row>
    <row r="2897" spans="1:18" x14ac:dyDescent="0.25">
      <c r="A2897" s="2" t="s">
        <v>4916</v>
      </c>
      <c r="B2897" s="6">
        <v>46204</v>
      </c>
      <c r="C2897" s="8">
        <v>46226</v>
      </c>
      <c r="D2897" s="2" t="s">
        <v>199</v>
      </c>
      <c r="E2897" s="2" t="s">
        <v>260</v>
      </c>
      <c r="F2897" s="2" t="s">
        <v>16703</v>
      </c>
      <c r="G2897" s="2" t="s">
        <v>4918</v>
      </c>
      <c r="H2897" s="2" t="s">
        <v>76</v>
      </c>
      <c r="I2897" s="9">
        <v>194545280</v>
      </c>
      <c r="J2897" s="7">
        <v>6.2000000000000003E-5</v>
      </c>
      <c r="K2897" s="9">
        <v>12061.81</v>
      </c>
      <c r="L2897" s="14">
        <v>0</v>
      </c>
      <c r="M2897" s="2" t="s">
        <v>71</v>
      </c>
      <c r="N2897" s="2" t="s">
        <v>16706</v>
      </c>
      <c r="O2897" s="2" t="s">
        <v>4917</v>
      </c>
      <c r="P2897" s="9">
        <v>6.63</v>
      </c>
      <c r="Q2897" s="9">
        <v>12159.08</v>
      </c>
      <c r="R2897" s="2" t="s">
        <v>16709</v>
      </c>
    </row>
    <row r="2898" spans="1:18" x14ac:dyDescent="0.25">
      <c r="A2898" s="2" t="s">
        <v>4919</v>
      </c>
      <c r="B2898" s="6">
        <v>46204</v>
      </c>
      <c r="C2898" s="8">
        <v>46227</v>
      </c>
      <c r="D2898" s="2" t="s">
        <v>199</v>
      </c>
      <c r="E2898" s="2" t="s">
        <v>260</v>
      </c>
      <c r="F2898" s="2" t="s">
        <v>16703</v>
      </c>
      <c r="G2898" s="2" t="s">
        <v>4921</v>
      </c>
      <c r="H2898" s="2" t="s">
        <v>70</v>
      </c>
      <c r="I2898" s="9">
        <v>18544.496241000001</v>
      </c>
      <c r="J2898" s="7">
        <v>0.65800000000000003</v>
      </c>
      <c r="K2898" s="9">
        <v>12202.28</v>
      </c>
      <c r="L2898" s="14">
        <v>0</v>
      </c>
      <c r="M2898" s="2" t="s">
        <v>71</v>
      </c>
      <c r="N2898" s="2" t="s">
        <v>16706</v>
      </c>
      <c r="O2898" s="2" t="s">
        <v>4920</v>
      </c>
      <c r="P2898" s="9">
        <v>6.71</v>
      </c>
      <c r="Q2898" s="9">
        <v>12332.09</v>
      </c>
      <c r="R2898" s="2" t="s">
        <v>16709</v>
      </c>
    </row>
    <row r="2899" spans="1:18" x14ac:dyDescent="0.25">
      <c r="A2899" s="2" t="s">
        <v>4922</v>
      </c>
      <c r="B2899" s="6">
        <v>46174</v>
      </c>
      <c r="C2899" s="8">
        <v>46198</v>
      </c>
      <c r="D2899" s="2" t="s">
        <v>199</v>
      </c>
      <c r="E2899" s="2" t="s">
        <v>260</v>
      </c>
      <c r="F2899" s="2" t="s">
        <v>16703</v>
      </c>
      <c r="G2899" s="2" t="s">
        <v>4924</v>
      </c>
      <c r="H2899" s="2" t="s">
        <v>39</v>
      </c>
      <c r="I2899" s="9">
        <v>12505.1</v>
      </c>
      <c r="J2899" s="7">
        <v>1</v>
      </c>
      <c r="K2899" s="9">
        <v>12505.1</v>
      </c>
      <c r="L2899" s="14">
        <v>0</v>
      </c>
      <c r="M2899" s="2" t="s">
        <v>71</v>
      </c>
      <c r="N2899" s="2" t="s">
        <v>16704</v>
      </c>
      <c r="O2899" s="2" t="s">
        <v>4923</v>
      </c>
      <c r="P2899" s="9">
        <v>6.88</v>
      </c>
      <c r="Q2899" s="9">
        <v>12505.1</v>
      </c>
      <c r="R2899" s="2" t="s">
        <v>16708</v>
      </c>
    </row>
    <row r="2900" spans="1:18" x14ac:dyDescent="0.25">
      <c r="A2900" s="2" t="s">
        <v>4925</v>
      </c>
      <c r="B2900" s="6">
        <v>46174</v>
      </c>
      <c r="C2900" s="8">
        <v>46199</v>
      </c>
      <c r="D2900" s="2" t="s">
        <v>199</v>
      </c>
      <c r="E2900" s="2" t="s">
        <v>260</v>
      </c>
      <c r="F2900" s="2" t="s">
        <v>16703</v>
      </c>
      <c r="G2900" s="2" t="s">
        <v>4927</v>
      </c>
      <c r="H2900" s="2" t="s">
        <v>76</v>
      </c>
      <c r="I2900" s="9">
        <v>202849760</v>
      </c>
      <c r="J2900" s="7">
        <v>6.2500000000000001E-5</v>
      </c>
      <c r="K2900" s="9">
        <v>12678.11</v>
      </c>
      <c r="L2900" s="14">
        <v>0</v>
      </c>
      <c r="M2900" s="2" t="s">
        <v>71</v>
      </c>
      <c r="N2900" s="2" t="s">
        <v>16704</v>
      </c>
      <c r="O2900" s="2" t="s">
        <v>4926</v>
      </c>
      <c r="P2900" s="9">
        <v>6.97</v>
      </c>
      <c r="Q2900" s="9">
        <v>12678.11</v>
      </c>
      <c r="R2900" s="2" t="s">
        <v>16708</v>
      </c>
    </row>
    <row r="2901" spans="1:18" x14ac:dyDescent="0.25">
      <c r="A2901" s="2" t="s">
        <v>4928</v>
      </c>
      <c r="B2901" s="6">
        <v>46174</v>
      </c>
      <c r="C2901" s="8">
        <v>46200</v>
      </c>
      <c r="D2901" s="2" t="s">
        <v>199</v>
      </c>
      <c r="E2901" s="2" t="s">
        <v>260</v>
      </c>
      <c r="F2901" s="2" t="s">
        <v>16703</v>
      </c>
      <c r="G2901" s="2" t="s">
        <v>4930</v>
      </c>
      <c r="H2901" s="2" t="s">
        <v>70</v>
      </c>
      <c r="I2901" s="9">
        <v>19324.992481000001</v>
      </c>
      <c r="J2901" s="7">
        <v>0.66500000000000004</v>
      </c>
      <c r="K2901" s="9">
        <v>12851.12</v>
      </c>
      <c r="L2901" s="14">
        <v>0</v>
      </c>
      <c r="M2901" s="2" t="s">
        <v>71</v>
      </c>
      <c r="N2901" s="2" t="s">
        <v>16704</v>
      </c>
      <c r="O2901" s="2" t="s">
        <v>4929</v>
      </c>
      <c r="P2901" s="9">
        <v>7.07</v>
      </c>
      <c r="Q2901" s="9">
        <v>12851.12</v>
      </c>
      <c r="R2901" s="2" t="s">
        <v>16708</v>
      </c>
    </row>
    <row r="2902" spans="1:18" x14ac:dyDescent="0.25">
      <c r="A2902" s="2" t="s">
        <v>4931</v>
      </c>
      <c r="B2902" s="6">
        <v>46174</v>
      </c>
      <c r="C2902" s="8">
        <v>46191</v>
      </c>
      <c r="D2902" s="2" t="s">
        <v>199</v>
      </c>
      <c r="E2902" s="2" t="s">
        <v>260</v>
      </c>
      <c r="F2902" s="2" t="s">
        <v>16703</v>
      </c>
      <c r="G2902" s="2" t="s">
        <v>4933</v>
      </c>
      <c r="H2902" s="2" t="s">
        <v>39</v>
      </c>
      <c r="I2902" s="9">
        <v>5209.652</v>
      </c>
      <c r="J2902" s="7">
        <v>1</v>
      </c>
      <c r="K2902" s="9">
        <v>5209.6499999999996</v>
      </c>
      <c r="L2902" s="14">
        <v>0</v>
      </c>
      <c r="M2902" s="2" t="s">
        <v>71</v>
      </c>
      <c r="N2902" s="2" t="s">
        <v>16704</v>
      </c>
      <c r="O2902" s="2" t="s">
        <v>4932</v>
      </c>
      <c r="P2902" s="9">
        <v>2.87</v>
      </c>
      <c r="Q2902" s="9">
        <v>5209.6499999999996</v>
      </c>
      <c r="R2902" s="2" t="s">
        <v>16708</v>
      </c>
    </row>
    <row r="2903" spans="1:18" x14ac:dyDescent="0.25">
      <c r="A2903" s="2" t="s">
        <v>4934</v>
      </c>
      <c r="B2903" s="6">
        <v>46204</v>
      </c>
      <c r="C2903" s="8">
        <v>46216</v>
      </c>
      <c r="D2903" s="2" t="s">
        <v>199</v>
      </c>
      <c r="E2903" s="2" t="s">
        <v>260</v>
      </c>
      <c r="F2903" s="2" t="s">
        <v>16703</v>
      </c>
      <c r="G2903" s="2" t="s">
        <v>4935</v>
      </c>
      <c r="H2903" s="2" t="s">
        <v>39</v>
      </c>
      <c r="I2903" s="9">
        <v>7814.4780000000001</v>
      </c>
      <c r="J2903" s="7">
        <v>1</v>
      </c>
      <c r="K2903" s="9">
        <v>7814.48</v>
      </c>
      <c r="L2903" s="14">
        <v>0</v>
      </c>
      <c r="M2903" s="2" t="s">
        <v>71</v>
      </c>
      <c r="N2903" s="2" t="s">
        <v>16706</v>
      </c>
      <c r="O2903" s="2" t="s">
        <v>4932</v>
      </c>
      <c r="P2903" s="9">
        <v>4.3</v>
      </c>
      <c r="Q2903" s="9">
        <v>7814.48</v>
      </c>
      <c r="R2903" s="2" t="s">
        <v>16709</v>
      </c>
    </row>
    <row r="2904" spans="1:18" x14ac:dyDescent="0.25">
      <c r="A2904" s="2" t="s">
        <v>4936</v>
      </c>
      <c r="B2904" s="6">
        <v>46174</v>
      </c>
      <c r="C2904" s="8">
        <v>46192</v>
      </c>
      <c r="D2904" s="2" t="s">
        <v>199</v>
      </c>
      <c r="E2904" s="2" t="s">
        <v>260</v>
      </c>
      <c r="F2904" s="2" t="s">
        <v>16703</v>
      </c>
      <c r="G2904" s="2" t="s">
        <v>4938</v>
      </c>
      <c r="H2904" s="2" t="s">
        <v>76</v>
      </c>
      <c r="I2904" s="9">
        <v>84461696</v>
      </c>
      <c r="J2904" s="7">
        <v>6.2500000000000001E-5</v>
      </c>
      <c r="K2904" s="9">
        <v>5278.86</v>
      </c>
      <c r="L2904" s="14">
        <v>0</v>
      </c>
      <c r="M2904" s="2" t="s">
        <v>71</v>
      </c>
      <c r="N2904" s="2" t="s">
        <v>16704</v>
      </c>
      <c r="O2904" s="2" t="s">
        <v>4937</v>
      </c>
      <c r="P2904" s="9">
        <v>2.9</v>
      </c>
      <c r="Q2904" s="9">
        <v>5278.86</v>
      </c>
      <c r="R2904" s="2" t="s">
        <v>16708</v>
      </c>
    </row>
    <row r="2905" spans="1:18" x14ac:dyDescent="0.25">
      <c r="A2905" s="2" t="s">
        <v>4939</v>
      </c>
      <c r="B2905" s="6">
        <v>46204</v>
      </c>
      <c r="C2905" s="8">
        <v>46217</v>
      </c>
      <c r="D2905" s="2" t="s">
        <v>199</v>
      </c>
      <c r="E2905" s="2" t="s">
        <v>260</v>
      </c>
      <c r="F2905" s="2" t="s">
        <v>16703</v>
      </c>
      <c r="G2905" s="2" t="s">
        <v>4940</v>
      </c>
      <c r="H2905" s="2" t="s">
        <v>76</v>
      </c>
      <c r="I2905" s="9">
        <v>126692544</v>
      </c>
      <c r="J2905" s="7">
        <v>6.2000000000000003E-5</v>
      </c>
      <c r="K2905" s="9">
        <v>7854.94</v>
      </c>
      <c r="L2905" s="14">
        <v>0</v>
      </c>
      <c r="M2905" s="2" t="s">
        <v>71</v>
      </c>
      <c r="N2905" s="2" t="s">
        <v>16706</v>
      </c>
      <c r="O2905" s="2" t="s">
        <v>4937</v>
      </c>
      <c r="P2905" s="9">
        <v>4.32</v>
      </c>
      <c r="Q2905" s="9">
        <v>7918.28</v>
      </c>
      <c r="R2905" s="2" t="s">
        <v>16709</v>
      </c>
    </row>
    <row r="2906" spans="1:18" x14ac:dyDescent="0.25">
      <c r="A2906" s="2" t="s">
        <v>4941</v>
      </c>
      <c r="B2906" s="6">
        <v>46174</v>
      </c>
      <c r="C2906" s="8">
        <v>46203</v>
      </c>
      <c r="D2906" s="2" t="s">
        <v>199</v>
      </c>
      <c r="E2906" s="2" t="s">
        <v>260</v>
      </c>
      <c r="F2906" s="2" t="s">
        <v>16703</v>
      </c>
      <c r="G2906" s="2" t="s">
        <v>4943</v>
      </c>
      <c r="H2906" s="2" t="s">
        <v>70</v>
      </c>
      <c r="I2906" s="9">
        <v>20105.488721999998</v>
      </c>
      <c r="J2906" s="7">
        <v>0.66500000000000004</v>
      </c>
      <c r="K2906" s="9">
        <v>13370.15</v>
      </c>
      <c r="L2906" s="14">
        <v>0</v>
      </c>
      <c r="M2906" s="2" t="s">
        <v>71</v>
      </c>
      <c r="N2906" s="2" t="s">
        <v>16704</v>
      </c>
      <c r="O2906" s="2" t="s">
        <v>4942</v>
      </c>
      <c r="P2906" s="9">
        <v>7.35</v>
      </c>
      <c r="Q2906" s="9">
        <v>13370.15</v>
      </c>
      <c r="R2906" s="2" t="s">
        <v>16708</v>
      </c>
    </row>
    <row r="2907" spans="1:18" x14ac:dyDescent="0.25">
      <c r="A2907" s="2" t="s">
        <v>4944</v>
      </c>
      <c r="B2907" s="6">
        <v>46204</v>
      </c>
      <c r="C2907" s="8">
        <v>46204</v>
      </c>
      <c r="D2907" s="2" t="s">
        <v>199</v>
      </c>
      <c r="E2907" s="2" t="s">
        <v>260</v>
      </c>
      <c r="F2907" s="2" t="s">
        <v>16703</v>
      </c>
      <c r="G2907" s="2" t="s">
        <v>4946</v>
      </c>
      <c r="H2907" s="2" t="s">
        <v>39</v>
      </c>
      <c r="I2907" s="9">
        <v>13543.16</v>
      </c>
      <c r="J2907" s="7">
        <v>1</v>
      </c>
      <c r="K2907" s="9">
        <v>13543.16</v>
      </c>
      <c r="L2907" s="14">
        <v>0</v>
      </c>
      <c r="M2907" s="2" t="s">
        <v>71</v>
      </c>
      <c r="N2907" s="2" t="s">
        <v>16706</v>
      </c>
      <c r="O2907" s="2" t="s">
        <v>4945</v>
      </c>
      <c r="P2907" s="9">
        <v>7.45</v>
      </c>
      <c r="Q2907" s="9">
        <v>13543.16</v>
      </c>
      <c r="R2907" s="2" t="s">
        <v>16709</v>
      </c>
    </row>
    <row r="2908" spans="1:18" x14ac:dyDescent="0.25">
      <c r="A2908" s="2" t="s">
        <v>4947</v>
      </c>
      <c r="B2908" s="6">
        <v>46174</v>
      </c>
      <c r="C2908" s="8">
        <v>46195</v>
      </c>
      <c r="D2908" s="2" t="s">
        <v>199</v>
      </c>
      <c r="E2908" s="2" t="s">
        <v>260</v>
      </c>
      <c r="F2908" s="2" t="s">
        <v>16703</v>
      </c>
      <c r="G2908" s="2" t="s">
        <v>4949</v>
      </c>
      <c r="H2908" s="2" t="s">
        <v>76</v>
      </c>
      <c r="I2908" s="9">
        <v>87783488</v>
      </c>
      <c r="J2908" s="7">
        <v>6.2500000000000001E-5</v>
      </c>
      <c r="K2908" s="9">
        <v>5486.47</v>
      </c>
      <c r="L2908" s="14">
        <v>0</v>
      </c>
      <c r="M2908" s="2" t="s">
        <v>71</v>
      </c>
      <c r="N2908" s="2" t="s">
        <v>16704</v>
      </c>
      <c r="O2908" s="2" t="s">
        <v>4948</v>
      </c>
      <c r="P2908" s="9">
        <v>3.02</v>
      </c>
      <c r="Q2908" s="9">
        <v>5486.47</v>
      </c>
      <c r="R2908" s="2" t="s">
        <v>16708</v>
      </c>
    </row>
    <row r="2909" spans="1:18" x14ac:dyDescent="0.25">
      <c r="A2909" s="2" t="s">
        <v>4950</v>
      </c>
      <c r="B2909" s="6">
        <v>46204</v>
      </c>
      <c r="C2909" s="8">
        <v>46220</v>
      </c>
      <c r="D2909" s="2" t="s">
        <v>199</v>
      </c>
      <c r="E2909" s="2" t="s">
        <v>260</v>
      </c>
      <c r="F2909" s="2" t="s">
        <v>16703</v>
      </c>
      <c r="G2909" s="2" t="s">
        <v>4951</v>
      </c>
      <c r="H2909" s="2" t="s">
        <v>76</v>
      </c>
      <c r="I2909" s="9">
        <v>131675232</v>
      </c>
      <c r="J2909" s="7">
        <v>6.2000000000000003E-5</v>
      </c>
      <c r="K2909" s="9">
        <v>8163.86</v>
      </c>
      <c r="L2909" s="14">
        <v>0</v>
      </c>
      <c r="M2909" s="2" t="s">
        <v>71</v>
      </c>
      <c r="N2909" s="2" t="s">
        <v>16706</v>
      </c>
      <c r="O2909" s="2" t="s">
        <v>4948</v>
      </c>
      <c r="P2909" s="9">
        <v>4.49</v>
      </c>
      <c r="Q2909" s="9">
        <v>8229.7000000000007</v>
      </c>
      <c r="R2909" s="2" t="s">
        <v>16709</v>
      </c>
    </row>
    <row r="2910" spans="1:18" x14ac:dyDescent="0.25">
      <c r="A2910" s="2" t="s">
        <v>4952</v>
      </c>
      <c r="B2910" s="6">
        <v>46204</v>
      </c>
      <c r="C2910" s="8">
        <v>46206</v>
      </c>
      <c r="D2910" s="2" t="s">
        <v>199</v>
      </c>
      <c r="E2910" s="2" t="s">
        <v>260</v>
      </c>
      <c r="F2910" s="2" t="s">
        <v>16703</v>
      </c>
      <c r="G2910" s="2" t="s">
        <v>4954</v>
      </c>
      <c r="H2910" s="2" t="s">
        <v>70</v>
      </c>
      <c r="I2910" s="9">
        <v>20885.984961999999</v>
      </c>
      <c r="J2910" s="7">
        <v>0.65800000000000003</v>
      </c>
      <c r="K2910" s="9">
        <v>13742.98</v>
      </c>
      <c r="L2910" s="14">
        <v>0</v>
      </c>
      <c r="M2910" s="2" t="s">
        <v>71</v>
      </c>
      <c r="N2910" s="2" t="s">
        <v>16706</v>
      </c>
      <c r="O2910" s="2" t="s">
        <v>4953</v>
      </c>
      <c r="P2910" s="9">
        <v>7.56</v>
      </c>
      <c r="Q2910" s="9">
        <v>13889.18</v>
      </c>
      <c r="R2910" s="2" t="s">
        <v>16709</v>
      </c>
    </row>
    <row r="2911" spans="1:18" x14ac:dyDescent="0.25">
      <c r="A2911" s="2" t="s">
        <v>4955</v>
      </c>
      <c r="B2911" s="6">
        <v>46204</v>
      </c>
      <c r="C2911" s="8">
        <v>46207</v>
      </c>
      <c r="D2911" s="2" t="s">
        <v>199</v>
      </c>
      <c r="E2911" s="2" t="s">
        <v>260</v>
      </c>
      <c r="F2911" s="2" t="s">
        <v>16703</v>
      </c>
      <c r="G2911" s="2" t="s">
        <v>4957</v>
      </c>
      <c r="H2911" s="2" t="s">
        <v>39</v>
      </c>
      <c r="I2911" s="9">
        <v>14062.19</v>
      </c>
      <c r="J2911" s="7">
        <v>1</v>
      </c>
      <c r="K2911" s="9">
        <v>14062.19</v>
      </c>
      <c r="L2911" s="14">
        <v>0</v>
      </c>
      <c r="M2911" s="2" t="s">
        <v>71</v>
      </c>
      <c r="N2911" s="2" t="s">
        <v>16706</v>
      </c>
      <c r="O2911" s="2" t="s">
        <v>4956</v>
      </c>
      <c r="P2911" s="9">
        <v>7.73</v>
      </c>
      <c r="Q2911" s="9">
        <v>14062.19</v>
      </c>
      <c r="R2911" s="2" t="s">
        <v>16709</v>
      </c>
    </row>
    <row r="2912" spans="1:18" x14ac:dyDescent="0.25">
      <c r="A2912" s="2" t="s">
        <v>4958</v>
      </c>
      <c r="B2912" s="6">
        <v>46204</v>
      </c>
      <c r="C2912" s="8">
        <v>46208</v>
      </c>
      <c r="D2912" s="2" t="s">
        <v>199</v>
      </c>
      <c r="E2912" s="2" t="s">
        <v>260</v>
      </c>
      <c r="F2912" s="2" t="s">
        <v>16703</v>
      </c>
      <c r="G2912" s="2" t="s">
        <v>4960</v>
      </c>
      <c r="H2912" s="2" t="s">
        <v>76</v>
      </c>
      <c r="I2912" s="9">
        <v>227763200</v>
      </c>
      <c r="J2912" s="7">
        <v>6.2000000000000003E-5</v>
      </c>
      <c r="K2912" s="9">
        <v>14121.32</v>
      </c>
      <c r="L2912" s="14">
        <v>0</v>
      </c>
      <c r="M2912" s="2" t="s">
        <v>71</v>
      </c>
      <c r="N2912" s="2" t="s">
        <v>16706</v>
      </c>
      <c r="O2912" s="2" t="s">
        <v>4959</v>
      </c>
      <c r="P2912" s="9">
        <v>7.77</v>
      </c>
      <c r="Q2912" s="9">
        <v>14235.2</v>
      </c>
      <c r="R2912" s="2" t="s">
        <v>16709</v>
      </c>
    </row>
    <row r="2913" spans="1:18" x14ac:dyDescent="0.25">
      <c r="A2913" s="2" t="s">
        <v>4961</v>
      </c>
      <c r="B2913" s="6">
        <v>46204</v>
      </c>
      <c r="C2913" s="8">
        <v>46209</v>
      </c>
      <c r="D2913" s="2" t="s">
        <v>199</v>
      </c>
      <c r="E2913" s="2" t="s">
        <v>260</v>
      </c>
      <c r="F2913" s="2" t="s">
        <v>16703</v>
      </c>
      <c r="G2913" s="2" t="s">
        <v>4963</v>
      </c>
      <c r="H2913" s="2" t="s">
        <v>70</v>
      </c>
      <c r="I2913" s="9">
        <v>21666.481202999999</v>
      </c>
      <c r="J2913" s="7">
        <v>0.65800000000000003</v>
      </c>
      <c r="K2913" s="9">
        <v>14256.54</v>
      </c>
      <c r="L2913" s="14">
        <v>0</v>
      </c>
      <c r="M2913" s="2" t="s">
        <v>71</v>
      </c>
      <c r="N2913" s="2" t="s">
        <v>16706</v>
      </c>
      <c r="O2913" s="2" t="s">
        <v>4962</v>
      </c>
      <c r="P2913" s="9">
        <v>7.84</v>
      </c>
      <c r="Q2913" s="9">
        <v>14408.21</v>
      </c>
      <c r="R2913" s="2" t="s">
        <v>16709</v>
      </c>
    </row>
    <row r="2914" spans="1:18" x14ac:dyDescent="0.25">
      <c r="A2914" s="2" t="s">
        <v>4964</v>
      </c>
      <c r="B2914" s="6">
        <v>46204</v>
      </c>
      <c r="C2914" s="8">
        <v>46210</v>
      </c>
      <c r="D2914" s="2" t="s">
        <v>199</v>
      </c>
      <c r="E2914" s="2" t="s">
        <v>260</v>
      </c>
      <c r="F2914" s="2" t="s">
        <v>16703</v>
      </c>
      <c r="G2914" s="2" t="s">
        <v>4966</v>
      </c>
      <c r="H2914" s="2" t="s">
        <v>39</v>
      </c>
      <c r="I2914" s="9">
        <v>14581.22</v>
      </c>
      <c r="J2914" s="7">
        <v>1</v>
      </c>
      <c r="K2914" s="9">
        <v>14581.22</v>
      </c>
      <c r="L2914" s="14">
        <v>0</v>
      </c>
      <c r="M2914" s="2" t="s">
        <v>71</v>
      </c>
      <c r="N2914" s="2" t="s">
        <v>16706</v>
      </c>
      <c r="O2914" s="2" t="s">
        <v>4965</v>
      </c>
      <c r="P2914" s="9">
        <v>8.02</v>
      </c>
      <c r="Q2914" s="9">
        <v>14581.22</v>
      </c>
      <c r="R2914" s="2" t="s">
        <v>16709</v>
      </c>
    </row>
    <row r="2915" spans="1:18" x14ac:dyDescent="0.25">
      <c r="A2915" s="2" t="s">
        <v>4967</v>
      </c>
      <c r="B2915" s="6">
        <v>46174</v>
      </c>
      <c r="C2915" s="8">
        <v>46201</v>
      </c>
      <c r="D2915" s="2" t="s">
        <v>199</v>
      </c>
      <c r="E2915" s="2" t="s">
        <v>260</v>
      </c>
      <c r="F2915" s="2" t="s">
        <v>16703</v>
      </c>
      <c r="G2915" s="2" t="s">
        <v>4969</v>
      </c>
      <c r="H2915" s="2" t="s">
        <v>76</v>
      </c>
      <c r="I2915" s="9">
        <v>94427072</v>
      </c>
      <c r="J2915" s="7">
        <v>6.2500000000000001E-5</v>
      </c>
      <c r="K2915" s="9">
        <v>5901.69</v>
      </c>
      <c r="L2915" s="14">
        <v>0</v>
      </c>
      <c r="M2915" s="2" t="s">
        <v>71</v>
      </c>
      <c r="N2915" s="2" t="s">
        <v>16704</v>
      </c>
      <c r="O2915" s="2" t="s">
        <v>4968</v>
      </c>
      <c r="P2915" s="9">
        <v>3.25</v>
      </c>
      <c r="Q2915" s="9">
        <v>5901.69</v>
      </c>
      <c r="R2915" s="2" t="s">
        <v>16708</v>
      </c>
    </row>
    <row r="2916" spans="1:18" x14ac:dyDescent="0.25">
      <c r="A2916" s="2" t="s">
        <v>4970</v>
      </c>
      <c r="B2916" s="6">
        <v>46204</v>
      </c>
      <c r="C2916" s="8">
        <v>46226</v>
      </c>
      <c r="D2916" s="2" t="s">
        <v>199</v>
      </c>
      <c r="E2916" s="2" t="s">
        <v>260</v>
      </c>
      <c r="F2916" s="2" t="s">
        <v>16703</v>
      </c>
      <c r="G2916" s="2" t="s">
        <v>4971</v>
      </c>
      <c r="H2916" s="2" t="s">
        <v>76</v>
      </c>
      <c r="I2916" s="9">
        <v>141640608</v>
      </c>
      <c r="J2916" s="7">
        <v>6.2000000000000003E-5</v>
      </c>
      <c r="K2916" s="9">
        <v>8781.7199999999993</v>
      </c>
      <c r="L2916" s="14">
        <v>0</v>
      </c>
      <c r="M2916" s="2" t="s">
        <v>71</v>
      </c>
      <c r="N2916" s="2" t="s">
        <v>16706</v>
      </c>
      <c r="O2916" s="2" t="s">
        <v>4968</v>
      </c>
      <c r="P2916" s="9">
        <v>4.83</v>
      </c>
      <c r="Q2916" s="9">
        <v>8852.5400000000009</v>
      </c>
      <c r="R2916" s="2" t="s">
        <v>16709</v>
      </c>
    </row>
    <row r="2917" spans="1:18" x14ac:dyDescent="0.25">
      <c r="A2917" s="2" t="s">
        <v>4972</v>
      </c>
      <c r="B2917" s="6">
        <v>46174</v>
      </c>
      <c r="C2917" s="8">
        <v>46202</v>
      </c>
      <c r="D2917" s="2" t="s">
        <v>199</v>
      </c>
      <c r="E2917" s="2" t="s">
        <v>260</v>
      </c>
      <c r="F2917" s="2" t="s">
        <v>16703</v>
      </c>
      <c r="G2917" s="2" t="s">
        <v>4974</v>
      </c>
      <c r="H2917" s="2" t="s">
        <v>70</v>
      </c>
      <c r="I2917" s="9">
        <v>557.73834599999998</v>
      </c>
      <c r="J2917" s="7">
        <v>0.66500000000000004</v>
      </c>
      <c r="K2917" s="9">
        <v>370.9</v>
      </c>
      <c r="L2917" s="14">
        <v>0</v>
      </c>
      <c r="M2917" s="2" t="s">
        <v>71</v>
      </c>
      <c r="N2917" s="2" t="s">
        <v>16704</v>
      </c>
      <c r="O2917" s="2" t="s">
        <v>4973</v>
      </c>
      <c r="P2917" s="9">
        <v>1.8</v>
      </c>
      <c r="Q2917" s="9">
        <v>370.9</v>
      </c>
      <c r="R2917" s="2" t="s">
        <v>16708</v>
      </c>
    </row>
    <row r="2918" spans="1:18" x14ac:dyDescent="0.25">
      <c r="A2918" s="2" t="s">
        <v>4975</v>
      </c>
      <c r="B2918" s="6">
        <v>46204</v>
      </c>
      <c r="C2918" s="8">
        <v>46227</v>
      </c>
      <c r="D2918" s="2" t="s">
        <v>199</v>
      </c>
      <c r="E2918" s="2" t="s">
        <v>260</v>
      </c>
      <c r="F2918" s="2" t="s">
        <v>16703</v>
      </c>
      <c r="G2918" s="2" t="s">
        <v>4976</v>
      </c>
      <c r="H2918" s="2" t="s">
        <v>70</v>
      </c>
      <c r="I2918" s="9">
        <v>836.60751900000002</v>
      </c>
      <c r="J2918" s="7">
        <v>0.65800000000000003</v>
      </c>
      <c r="K2918" s="9">
        <v>550.49</v>
      </c>
      <c r="L2918" s="14">
        <v>0</v>
      </c>
      <c r="M2918" s="2" t="s">
        <v>71</v>
      </c>
      <c r="N2918" s="2" t="s">
        <v>16706</v>
      </c>
      <c r="O2918" s="2" t="s">
        <v>4973</v>
      </c>
      <c r="P2918" s="9">
        <v>1.8</v>
      </c>
      <c r="Q2918" s="9">
        <v>556.34</v>
      </c>
      <c r="R2918" s="2" t="s">
        <v>16709</v>
      </c>
    </row>
    <row r="2919" spans="1:18" x14ac:dyDescent="0.25">
      <c r="A2919" s="2" t="s">
        <v>4977</v>
      </c>
      <c r="B2919" s="6">
        <v>46204</v>
      </c>
      <c r="C2919" s="8">
        <v>46213</v>
      </c>
      <c r="D2919" s="2" t="s">
        <v>199</v>
      </c>
      <c r="E2919" s="2" t="s">
        <v>260</v>
      </c>
      <c r="F2919" s="2" t="s">
        <v>16703</v>
      </c>
      <c r="G2919" s="2" t="s">
        <v>4979</v>
      </c>
      <c r="H2919" s="2" t="s">
        <v>39</v>
      </c>
      <c r="I2919" s="9">
        <v>1100.25</v>
      </c>
      <c r="J2919" s="7">
        <v>1</v>
      </c>
      <c r="K2919" s="9">
        <v>1100.25</v>
      </c>
      <c r="L2919" s="14">
        <v>0</v>
      </c>
      <c r="M2919" s="2" t="s">
        <v>71</v>
      </c>
      <c r="N2919" s="2" t="s">
        <v>16706</v>
      </c>
      <c r="O2919" s="2" t="s">
        <v>4978</v>
      </c>
      <c r="P2919" s="9">
        <v>1.8</v>
      </c>
      <c r="Q2919" s="9">
        <v>1100.25</v>
      </c>
      <c r="R2919" s="2" t="s">
        <v>16709</v>
      </c>
    </row>
    <row r="2920" spans="1:18" x14ac:dyDescent="0.25">
      <c r="A2920" s="2" t="s">
        <v>4980</v>
      </c>
      <c r="B2920" s="6">
        <v>46204</v>
      </c>
      <c r="C2920" s="8">
        <v>46214</v>
      </c>
      <c r="D2920" s="2" t="s">
        <v>199</v>
      </c>
      <c r="E2920" s="2" t="s">
        <v>260</v>
      </c>
      <c r="F2920" s="2" t="s">
        <v>16703</v>
      </c>
      <c r="G2920" s="2" t="s">
        <v>4982</v>
      </c>
      <c r="H2920" s="2" t="s">
        <v>76</v>
      </c>
      <c r="I2920" s="9">
        <v>20372160</v>
      </c>
      <c r="J2920" s="7">
        <v>6.2000000000000003E-5</v>
      </c>
      <c r="K2920" s="9">
        <v>1263.07</v>
      </c>
      <c r="L2920" s="14">
        <v>0</v>
      </c>
      <c r="M2920" s="2" t="s">
        <v>71</v>
      </c>
      <c r="N2920" s="2" t="s">
        <v>16706</v>
      </c>
      <c r="O2920" s="2" t="s">
        <v>4981</v>
      </c>
      <c r="P2920" s="9">
        <v>1.8</v>
      </c>
      <c r="Q2920" s="9">
        <v>1273.26</v>
      </c>
      <c r="R2920" s="2" t="s">
        <v>16709</v>
      </c>
    </row>
    <row r="2921" spans="1:18" x14ac:dyDescent="0.25">
      <c r="A2921" s="2" t="s">
        <v>4983</v>
      </c>
      <c r="B2921" s="6">
        <v>46204</v>
      </c>
      <c r="C2921" s="8">
        <v>46205</v>
      </c>
      <c r="D2921" s="2" t="s">
        <v>199</v>
      </c>
      <c r="E2921" s="2" t="s">
        <v>260</v>
      </c>
      <c r="F2921" s="2" t="s">
        <v>16703</v>
      </c>
      <c r="G2921" s="2" t="s">
        <v>4985</v>
      </c>
      <c r="H2921" s="2" t="s">
        <v>70</v>
      </c>
      <c r="I2921" s="9">
        <v>869.93684199999996</v>
      </c>
      <c r="J2921" s="7">
        <v>0.65800000000000003</v>
      </c>
      <c r="K2921" s="9">
        <v>572.41999999999996</v>
      </c>
      <c r="L2921" s="14">
        <v>0</v>
      </c>
      <c r="M2921" s="2" t="s">
        <v>71</v>
      </c>
      <c r="N2921" s="2" t="s">
        <v>16706</v>
      </c>
      <c r="O2921" s="2" t="s">
        <v>4984</v>
      </c>
      <c r="P2921" s="9">
        <v>1.8</v>
      </c>
      <c r="Q2921" s="9">
        <v>578.51</v>
      </c>
      <c r="R2921" s="2" t="s">
        <v>16709</v>
      </c>
    </row>
    <row r="2922" spans="1:18" x14ac:dyDescent="0.25">
      <c r="A2922" s="2" t="s">
        <v>4986</v>
      </c>
      <c r="B2922" s="6">
        <v>46204</v>
      </c>
      <c r="C2922" s="8">
        <v>46230</v>
      </c>
      <c r="D2922" s="2" t="s">
        <v>199</v>
      </c>
      <c r="E2922" s="2" t="s">
        <v>260</v>
      </c>
      <c r="F2922" s="2" t="s">
        <v>16703</v>
      </c>
      <c r="G2922" s="2" t="s">
        <v>4987</v>
      </c>
      <c r="H2922" s="2" t="s">
        <v>70</v>
      </c>
      <c r="I2922" s="9">
        <v>1304.9052630000001</v>
      </c>
      <c r="J2922" s="7">
        <v>0.65800000000000003</v>
      </c>
      <c r="K2922" s="9">
        <v>858.63</v>
      </c>
      <c r="L2922" s="14">
        <v>0</v>
      </c>
      <c r="M2922" s="2" t="s">
        <v>71</v>
      </c>
      <c r="N2922" s="2" t="s">
        <v>16706</v>
      </c>
      <c r="O2922" s="2" t="s">
        <v>4984</v>
      </c>
      <c r="P2922" s="9">
        <v>1.8</v>
      </c>
      <c r="Q2922" s="9">
        <v>867.76</v>
      </c>
      <c r="R2922" s="2" t="s">
        <v>16709</v>
      </c>
    </row>
    <row r="2923" spans="1:18" x14ac:dyDescent="0.25">
      <c r="A2923" s="2" t="s">
        <v>4988</v>
      </c>
      <c r="B2923" s="6">
        <v>46204</v>
      </c>
      <c r="C2923" s="8">
        <v>46216</v>
      </c>
      <c r="D2923" s="2" t="s">
        <v>199</v>
      </c>
      <c r="E2923" s="2" t="s">
        <v>260</v>
      </c>
      <c r="F2923" s="2" t="s">
        <v>16703</v>
      </c>
      <c r="G2923" s="2" t="s">
        <v>4990</v>
      </c>
      <c r="H2923" s="2" t="s">
        <v>39</v>
      </c>
      <c r="I2923" s="9">
        <v>1619.28</v>
      </c>
      <c r="J2923" s="7">
        <v>1</v>
      </c>
      <c r="K2923" s="9">
        <v>1619.28</v>
      </c>
      <c r="L2923" s="14">
        <v>0</v>
      </c>
      <c r="M2923" s="2" t="s">
        <v>71</v>
      </c>
      <c r="N2923" s="2" t="s">
        <v>16706</v>
      </c>
      <c r="O2923" s="2" t="s">
        <v>4989</v>
      </c>
      <c r="P2923" s="9">
        <v>1.8</v>
      </c>
      <c r="Q2923" s="9">
        <v>1619.28</v>
      </c>
      <c r="R2923" s="2" t="s">
        <v>16709</v>
      </c>
    </row>
    <row r="2924" spans="1:18" x14ac:dyDescent="0.25">
      <c r="A2924" s="2" t="s">
        <v>4991</v>
      </c>
      <c r="B2924" s="6">
        <v>46204</v>
      </c>
      <c r="C2924" s="8">
        <v>46217</v>
      </c>
      <c r="D2924" s="2" t="s">
        <v>199</v>
      </c>
      <c r="E2924" s="2" t="s">
        <v>260</v>
      </c>
      <c r="F2924" s="2" t="s">
        <v>16703</v>
      </c>
      <c r="G2924" s="2" t="s">
        <v>4993</v>
      </c>
      <c r="H2924" s="2" t="s">
        <v>76</v>
      </c>
      <c r="I2924" s="9">
        <v>28676640</v>
      </c>
      <c r="J2924" s="7">
        <v>6.2000000000000003E-5</v>
      </c>
      <c r="K2924" s="9">
        <v>1777.95</v>
      </c>
      <c r="L2924" s="14">
        <v>0</v>
      </c>
      <c r="M2924" s="2" t="s">
        <v>71</v>
      </c>
      <c r="N2924" s="2" t="s">
        <v>16706</v>
      </c>
      <c r="O2924" s="2" t="s">
        <v>4992</v>
      </c>
      <c r="P2924" s="9">
        <v>1.8</v>
      </c>
      <c r="Q2924" s="9">
        <v>1792.29</v>
      </c>
      <c r="R2924" s="2" t="s">
        <v>16709</v>
      </c>
    </row>
    <row r="2925" spans="1:18" x14ac:dyDescent="0.25">
      <c r="A2925" s="2" t="s">
        <v>4994</v>
      </c>
      <c r="B2925" s="6">
        <v>46204</v>
      </c>
      <c r="C2925" s="8">
        <v>46218</v>
      </c>
      <c r="D2925" s="2" t="s">
        <v>199</v>
      </c>
      <c r="E2925" s="2" t="s">
        <v>260</v>
      </c>
      <c r="F2925" s="2" t="s">
        <v>16703</v>
      </c>
      <c r="G2925" s="2" t="s">
        <v>4996</v>
      </c>
      <c r="H2925" s="2" t="s">
        <v>70</v>
      </c>
      <c r="I2925" s="9">
        <v>2955.338346</v>
      </c>
      <c r="J2925" s="7">
        <v>0.65800000000000003</v>
      </c>
      <c r="K2925" s="9">
        <v>1944.61</v>
      </c>
      <c r="L2925" s="14">
        <v>0</v>
      </c>
      <c r="M2925" s="2" t="s">
        <v>71</v>
      </c>
      <c r="N2925" s="2" t="s">
        <v>16706</v>
      </c>
      <c r="O2925" s="2" t="s">
        <v>4995</v>
      </c>
      <c r="P2925" s="9">
        <v>1.8</v>
      </c>
      <c r="Q2925" s="9">
        <v>1965.3</v>
      </c>
      <c r="R2925" s="2" t="s">
        <v>16709</v>
      </c>
    </row>
    <row r="2926" spans="1:18" x14ac:dyDescent="0.25">
      <c r="A2926" s="2" t="s">
        <v>4997</v>
      </c>
      <c r="B2926" s="6">
        <v>46204</v>
      </c>
      <c r="C2926" s="8">
        <v>46219</v>
      </c>
      <c r="D2926" s="2" t="s">
        <v>199</v>
      </c>
      <c r="E2926" s="2" t="s">
        <v>260</v>
      </c>
      <c r="F2926" s="2" t="s">
        <v>16703</v>
      </c>
      <c r="G2926" s="2" t="s">
        <v>4999</v>
      </c>
      <c r="H2926" s="2" t="s">
        <v>39</v>
      </c>
      <c r="I2926" s="9">
        <v>2138.31</v>
      </c>
      <c r="J2926" s="7">
        <v>1</v>
      </c>
      <c r="K2926" s="9">
        <v>2138.31</v>
      </c>
      <c r="L2926" s="14">
        <v>0</v>
      </c>
      <c r="M2926" s="2" t="s">
        <v>71</v>
      </c>
      <c r="N2926" s="2" t="s">
        <v>16706</v>
      </c>
      <c r="O2926" s="2" t="s">
        <v>4998</v>
      </c>
      <c r="P2926" s="9">
        <v>1.8</v>
      </c>
      <c r="Q2926" s="9">
        <v>2138.31</v>
      </c>
      <c r="R2926" s="2" t="s">
        <v>16709</v>
      </c>
    </row>
    <row r="2927" spans="1:18" x14ac:dyDescent="0.25">
      <c r="A2927" s="2" t="s">
        <v>5000</v>
      </c>
      <c r="B2927" s="6">
        <v>46204</v>
      </c>
      <c r="C2927" s="8">
        <v>46220</v>
      </c>
      <c r="D2927" s="2" t="s">
        <v>199</v>
      </c>
      <c r="E2927" s="2" t="s">
        <v>260</v>
      </c>
      <c r="F2927" s="2" t="s">
        <v>16703</v>
      </c>
      <c r="G2927" s="2" t="s">
        <v>5002</v>
      </c>
      <c r="H2927" s="2" t="s">
        <v>76</v>
      </c>
      <c r="I2927" s="9">
        <v>36981120</v>
      </c>
      <c r="J2927" s="7">
        <v>6.2000000000000003E-5</v>
      </c>
      <c r="K2927" s="9">
        <v>2292.83</v>
      </c>
      <c r="L2927" s="14">
        <v>0</v>
      </c>
      <c r="M2927" s="2" t="s">
        <v>71</v>
      </c>
      <c r="N2927" s="2" t="s">
        <v>16706</v>
      </c>
      <c r="O2927" s="2" t="s">
        <v>5001</v>
      </c>
      <c r="P2927" s="9">
        <v>1.8</v>
      </c>
      <c r="Q2927" s="9">
        <v>2311.3200000000002</v>
      </c>
      <c r="R2927" s="2" t="s">
        <v>16709</v>
      </c>
    </row>
    <row r="2928" spans="1:18" x14ac:dyDescent="0.25">
      <c r="A2928" s="2" t="s">
        <v>5003</v>
      </c>
      <c r="B2928" s="6">
        <v>46204</v>
      </c>
      <c r="C2928" s="8">
        <v>46211</v>
      </c>
      <c r="D2928" s="2" t="s">
        <v>199</v>
      </c>
      <c r="E2928" s="2" t="s">
        <v>260</v>
      </c>
      <c r="F2928" s="2" t="s">
        <v>16703</v>
      </c>
      <c r="G2928" s="2" t="s">
        <v>5005</v>
      </c>
      <c r="H2928" s="2" t="s">
        <v>70</v>
      </c>
      <c r="I2928" s="9">
        <v>1494.333834</v>
      </c>
      <c r="J2928" s="7">
        <v>0.65800000000000003</v>
      </c>
      <c r="K2928" s="9">
        <v>983.27</v>
      </c>
      <c r="L2928" s="14">
        <v>0</v>
      </c>
      <c r="M2928" s="2" t="s">
        <v>71</v>
      </c>
      <c r="N2928" s="2" t="s">
        <v>16706</v>
      </c>
      <c r="O2928" s="2" t="s">
        <v>5004</v>
      </c>
      <c r="P2928" s="9">
        <v>1.8</v>
      </c>
      <c r="Q2928" s="9">
        <v>993.73</v>
      </c>
      <c r="R2928" s="2" t="s">
        <v>16709</v>
      </c>
    </row>
    <row r="2929" spans="1:18" x14ac:dyDescent="0.25">
      <c r="A2929" s="2" t="s">
        <v>5008</v>
      </c>
      <c r="B2929" s="6">
        <v>46204</v>
      </c>
      <c r="C2929" s="8">
        <v>46212</v>
      </c>
      <c r="D2929" s="2" t="s">
        <v>199</v>
      </c>
      <c r="E2929" s="2" t="s">
        <v>260</v>
      </c>
      <c r="F2929" s="2" t="s">
        <v>16703</v>
      </c>
      <c r="G2929" s="2" t="s">
        <v>5010</v>
      </c>
      <c r="H2929" s="2" t="s">
        <v>39</v>
      </c>
      <c r="I2929" s="9">
        <v>1062.9359999999999</v>
      </c>
      <c r="J2929" s="7">
        <v>1</v>
      </c>
      <c r="K2929" s="9">
        <v>1062.94</v>
      </c>
      <c r="L2929" s="14">
        <v>0</v>
      </c>
      <c r="M2929" s="2" t="s">
        <v>71</v>
      </c>
      <c r="N2929" s="2" t="s">
        <v>16706</v>
      </c>
      <c r="O2929" s="2" t="s">
        <v>5009</v>
      </c>
      <c r="P2929" s="9">
        <v>1.8</v>
      </c>
      <c r="Q2929" s="9">
        <v>1062.94</v>
      </c>
      <c r="R2929" s="2" t="s">
        <v>16709</v>
      </c>
    </row>
    <row r="2930" spans="1:18" x14ac:dyDescent="0.25">
      <c r="A2930" s="2" t="s">
        <v>5013</v>
      </c>
      <c r="B2930" s="6">
        <v>46204</v>
      </c>
      <c r="C2930" s="8">
        <v>46223</v>
      </c>
      <c r="D2930" s="2" t="s">
        <v>199</v>
      </c>
      <c r="E2930" s="2" t="s">
        <v>260</v>
      </c>
      <c r="F2930" s="2" t="s">
        <v>16703</v>
      </c>
      <c r="G2930" s="2" t="s">
        <v>5015</v>
      </c>
      <c r="H2930" s="2" t="s">
        <v>76</v>
      </c>
      <c r="I2930" s="9">
        <v>45285600</v>
      </c>
      <c r="J2930" s="7">
        <v>6.2000000000000003E-5</v>
      </c>
      <c r="K2930" s="9">
        <v>2807.71</v>
      </c>
      <c r="L2930" s="14">
        <v>0</v>
      </c>
      <c r="M2930" s="2" t="s">
        <v>71</v>
      </c>
      <c r="N2930" s="2" t="s">
        <v>16706</v>
      </c>
      <c r="O2930" s="2" t="s">
        <v>5014</v>
      </c>
      <c r="P2930" s="9">
        <v>1.8</v>
      </c>
      <c r="Q2930" s="9">
        <v>2830.35</v>
      </c>
      <c r="R2930" s="2" t="s">
        <v>16709</v>
      </c>
    </row>
    <row r="2931" spans="1:18" x14ac:dyDescent="0.25">
      <c r="A2931" s="2" t="s">
        <v>5016</v>
      </c>
      <c r="B2931" s="6">
        <v>46204</v>
      </c>
      <c r="C2931" s="8">
        <v>46224</v>
      </c>
      <c r="D2931" s="2" t="s">
        <v>199</v>
      </c>
      <c r="E2931" s="2" t="s">
        <v>260</v>
      </c>
      <c r="F2931" s="2" t="s">
        <v>16703</v>
      </c>
      <c r="G2931" s="2" t="s">
        <v>5018</v>
      </c>
      <c r="H2931" s="2" t="s">
        <v>70</v>
      </c>
      <c r="I2931" s="9">
        <v>4516.3308269999998</v>
      </c>
      <c r="J2931" s="7">
        <v>0.65800000000000003</v>
      </c>
      <c r="K2931" s="9">
        <v>2971.75</v>
      </c>
      <c r="L2931" s="14">
        <v>0</v>
      </c>
      <c r="M2931" s="2" t="s">
        <v>71</v>
      </c>
      <c r="N2931" s="2" t="s">
        <v>16706</v>
      </c>
      <c r="O2931" s="2" t="s">
        <v>5017</v>
      </c>
      <c r="P2931" s="9">
        <v>1.8</v>
      </c>
      <c r="Q2931" s="9">
        <v>3003.36</v>
      </c>
      <c r="R2931" s="2" t="s">
        <v>16709</v>
      </c>
    </row>
    <row r="2932" spans="1:18" x14ac:dyDescent="0.25">
      <c r="A2932" s="2" t="s">
        <v>5019</v>
      </c>
      <c r="B2932" s="6">
        <v>46204</v>
      </c>
      <c r="C2932" s="8">
        <v>46215</v>
      </c>
      <c r="D2932" s="2" t="s">
        <v>199</v>
      </c>
      <c r="E2932" s="2" t="s">
        <v>260</v>
      </c>
      <c r="F2932" s="2" t="s">
        <v>16703</v>
      </c>
      <c r="G2932" s="2" t="s">
        <v>5021</v>
      </c>
      <c r="H2932" s="2" t="s">
        <v>39</v>
      </c>
      <c r="I2932" s="9">
        <v>-3176.37</v>
      </c>
      <c r="J2932" s="7">
        <v>1</v>
      </c>
      <c r="K2932" s="9">
        <v>-3176.37</v>
      </c>
      <c r="L2932" s="14">
        <v>0</v>
      </c>
      <c r="M2932" s="2" t="s">
        <v>71</v>
      </c>
      <c r="N2932" s="2" t="s">
        <v>16706</v>
      </c>
      <c r="O2932" s="2" t="s">
        <v>5020</v>
      </c>
      <c r="P2932" s="9">
        <v>0</v>
      </c>
      <c r="Q2932" s="9">
        <v>-3176.37</v>
      </c>
      <c r="R2932" s="2" t="s">
        <v>16709</v>
      </c>
    </row>
    <row r="2933" spans="1:18" x14ac:dyDescent="0.25">
      <c r="A2933" s="2" t="s">
        <v>5022</v>
      </c>
      <c r="B2933" s="6">
        <v>46204</v>
      </c>
      <c r="C2933" s="8">
        <v>46226</v>
      </c>
      <c r="D2933" s="2" t="s">
        <v>199</v>
      </c>
      <c r="E2933" s="2" t="s">
        <v>260</v>
      </c>
      <c r="F2933" s="2" t="s">
        <v>16703</v>
      </c>
      <c r="G2933" s="2" t="s">
        <v>5024</v>
      </c>
      <c r="H2933" s="2" t="s">
        <v>76</v>
      </c>
      <c r="I2933" s="9">
        <v>53590080</v>
      </c>
      <c r="J2933" s="7">
        <v>6.2000000000000003E-5</v>
      </c>
      <c r="K2933" s="9">
        <v>3322.58</v>
      </c>
      <c r="L2933" s="14">
        <v>0</v>
      </c>
      <c r="M2933" s="2" t="s">
        <v>71</v>
      </c>
      <c r="N2933" s="2" t="s">
        <v>16706</v>
      </c>
      <c r="O2933" s="2" t="s">
        <v>5023</v>
      </c>
      <c r="P2933" s="9">
        <v>1.83</v>
      </c>
      <c r="Q2933" s="9">
        <v>3349.38</v>
      </c>
      <c r="R2933" s="2" t="s">
        <v>16709</v>
      </c>
    </row>
    <row r="2934" spans="1:18" x14ac:dyDescent="0.25">
      <c r="A2934" s="2" t="s">
        <v>5025</v>
      </c>
      <c r="B2934" s="6">
        <v>46204</v>
      </c>
      <c r="C2934" s="8">
        <v>46227</v>
      </c>
      <c r="D2934" s="2" t="s">
        <v>199</v>
      </c>
      <c r="E2934" s="2" t="s">
        <v>260</v>
      </c>
      <c r="F2934" s="2" t="s">
        <v>16703</v>
      </c>
      <c r="G2934" s="2" t="s">
        <v>5027</v>
      </c>
      <c r="H2934" s="2" t="s">
        <v>70</v>
      </c>
      <c r="I2934" s="9">
        <v>5296.8270679999996</v>
      </c>
      <c r="J2934" s="7">
        <v>0.65800000000000003</v>
      </c>
      <c r="K2934" s="9">
        <v>3485.31</v>
      </c>
      <c r="L2934" s="14">
        <v>0</v>
      </c>
      <c r="M2934" s="2" t="s">
        <v>71</v>
      </c>
      <c r="N2934" s="2" t="s">
        <v>16706</v>
      </c>
      <c r="O2934" s="2" t="s">
        <v>5026</v>
      </c>
      <c r="P2934" s="9">
        <v>1.92</v>
      </c>
      <c r="Q2934" s="9">
        <v>3522.39</v>
      </c>
      <c r="R2934" s="2" t="s">
        <v>16709</v>
      </c>
    </row>
    <row r="2935" spans="1:18" x14ac:dyDescent="0.25">
      <c r="A2935" s="2" t="s">
        <v>5028</v>
      </c>
      <c r="B2935" s="6">
        <v>46174</v>
      </c>
      <c r="C2935" s="8">
        <v>46198</v>
      </c>
      <c r="D2935" s="2" t="s">
        <v>199</v>
      </c>
      <c r="E2935" s="2" t="s">
        <v>260</v>
      </c>
      <c r="F2935" s="2" t="s">
        <v>16703</v>
      </c>
      <c r="G2935" s="2" t="s">
        <v>5030</v>
      </c>
      <c r="H2935" s="2" t="s">
        <v>39</v>
      </c>
      <c r="I2935" s="9">
        <v>3695.4</v>
      </c>
      <c r="J2935" s="7">
        <v>1</v>
      </c>
      <c r="K2935" s="9">
        <v>3695.4</v>
      </c>
      <c r="L2935" s="14">
        <v>0</v>
      </c>
      <c r="M2935" s="2" t="s">
        <v>71</v>
      </c>
      <c r="N2935" s="2" t="s">
        <v>16704</v>
      </c>
      <c r="O2935" s="2" t="s">
        <v>5029</v>
      </c>
      <c r="P2935" s="9">
        <v>2.0299999999999998</v>
      </c>
      <c r="Q2935" s="9">
        <v>3695.4</v>
      </c>
      <c r="R2935" s="2" t="s">
        <v>16708</v>
      </c>
    </row>
    <row r="2936" spans="1:18" x14ac:dyDescent="0.25">
      <c r="A2936" s="2" t="s">
        <v>5031</v>
      </c>
      <c r="B2936" s="6">
        <v>46174</v>
      </c>
      <c r="C2936" s="8">
        <v>46199</v>
      </c>
      <c r="D2936" s="2" t="s">
        <v>199</v>
      </c>
      <c r="E2936" s="2" t="s">
        <v>260</v>
      </c>
      <c r="F2936" s="2" t="s">
        <v>16703</v>
      </c>
      <c r="G2936" s="2" t="s">
        <v>5033</v>
      </c>
      <c r="H2936" s="2" t="s">
        <v>76</v>
      </c>
      <c r="I2936" s="9">
        <v>61894560</v>
      </c>
      <c r="J2936" s="7">
        <v>6.2500000000000001E-5</v>
      </c>
      <c r="K2936" s="9">
        <v>3868.41</v>
      </c>
      <c r="L2936" s="14">
        <v>0</v>
      </c>
      <c r="M2936" s="2" t="s">
        <v>71</v>
      </c>
      <c r="N2936" s="2" t="s">
        <v>16704</v>
      </c>
      <c r="O2936" s="2" t="s">
        <v>5032</v>
      </c>
      <c r="P2936" s="9">
        <v>2.13</v>
      </c>
      <c r="Q2936" s="9">
        <v>3868.41</v>
      </c>
      <c r="R2936" s="2" t="s">
        <v>16708</v>
      </c>
    </row>
    <row r="2937" spans="1:18" x14ac:dyDescent="0.25">
      <c r="A2937" s="2" t="s">
        <v>5034</v>
      </c>
      <c r="B2937" s="6">
        <v>46174</v>
      </c>
      <c r="C2937" s="8">
        <v>46200</v>
      </c>
      <c r="D2937" s="2" t="s">
        <v>199</v>
      </c>
      <c r="E2937" s="2" t="s">
        <v>260</v>
      </c>
      <c r="F2937" s="2" t="s">
        <v>16703</v>
      </c>
      <c r="G2937" s="2" t="s">
        <v>5036</v>
      </c>
      <c r="H2937" s="2" t="s">
        <v>70</v>
      </c>
      <c r="I2937" s="9">
        <v>6077.323308</v>
      </c>
      <c r="J2937" s="7">
        <v>0.66500000000000004</v>
      </c>
      <c r="K2937" s="9">
        <v>4041.42</v>
      </c>
      <c r="L2937" s="14">
        <v>0</v>
      </c>
      <c r="M2937" s="2" t="s">
        <v>71</v>
      </c>
      <c r="N2937" s="2" t="s">
        <v>16704</v>
      </c>
      <c r="O2937" s="2" t="s">
        <v>5035</v>
      </c>
      <c r="P2937" s="9">
        <v>2.2200000000000002</v>
      </c>
      <c r="Q2937" s="9">
        <v>4041.42</v>
      </c>
      <c r="R2937" s="2" t="s">
        <v>16708</v>
      </c>
    </row>
    <row r="2938" spans="1:18" x14ac:dyDescent="0.25">
      <c r="A2938" s="2" t="s">
        <v>5067</v>
      </c>
      <c r="B2938" s="6">
        <v>46204</v>
      </c>
      <c r="C2938" s="8">
        <v>46228</v>
      </c>
      <c r="D2938" s="2" t="s">
        <v>199</v>
      </c>
      <c r="E2938" s="2" t="s">
        <v>260</v>
      </c>
      <c r="F2938" s="2" t="s">
        <v>16703</v>
      </c>
      <c r="G2938" s="2" t="s">
        <v>5069</v>
      </c>
      <c r="H2938" s="2" t="s">
        <v>70</v>
      </c>
      <c r="I2938" s="9">
        <v>8508.3738599999997</v>
      </c>
      <c r="J2938" s="7">
        <v>0.65800000000000003</v>
      </c>
      <c r="K2938" s="9">
        <v>5598.51</v>
      </c>
      <c r="L2938" s="14">
        <v>0</v>
      </c>
      <c r="M2938" s="2" t="s">
        <v>71</v>
      </c>
      <c r="N2938" s="2" t="s">
        <v>16706</v>
      </c>
      <c r="O2938" s="2" t="s">
        <v>5068</v>
      </c>
      <c r="P2938" s="9">
        <v>3.08</v>
      </c>
      <c r="Q2938" s="9">
        <v>5598.51</v>
      </c>
      <c r="R2938" s="2" t="s">
        <v>16709</v>
      </c>
    </row>
    <row r="2939" spans="1:18" x14ac:dyDescent="0.25">
      <c r="A2939" s="2" t="s">
        <v>5070</v>
      </c>
      <c r="B2939" s="6">
        <v>46204</v>
      </c>
      <c r="C2939" s="8">
        <v>46229</v>
      </c>
      <c r="D2939" s="2" t="s">
        <v>199</v>
      </c>
      <c r="E2939" s="2" t="s">
        <v>260</v>
      </c>
      <c r="F2939" s="2" t="s">
        <v>16703</v>
      </c>
      <c r="G2939" s="2" t="s">
        <v>5072</v>
      </c>
      <c r="H2939" s="2" t="s">
        <v>39</v>
      </c>
      <c r="I2939" s="9">
        <v>5771.52</v>
      </c>
      <c r="J2939" s="7">
        <v>1</v>
      </c>
      <c r="K2939" s="9">
        <v>5771.52</v>
      </c>
      <c r="L2939" s="14">
        <v>0</v>
      </c>
      <c r="M2939" s="2" t="s">
        <v>71</v>
      </c>
      <c r="N2939" s="2" t="s">
        <v>16706</v>
      </c>
      <c r="O2939" s="2" t="s">
        <v>5071</v>
      </c>
      <c r="P2939" s="9">
        <v>3.17</v>
      </c>
      <c r="Q2939" s="9">
        <v>5771.52</v>
      </c>
      <c r="R2939" s="2" t="s">
        <v>16709</v>
      </c>
    </row>
    <row r="2940" spans="1:18" x14ac:dyDescent="0.25">
      <c r="A2940" s="2" t="s">
        <v>5073</v>
      </c>
      <c r="B2940" s="6">
        <v>46204</v>
      </c>
      <c r="C2940" s="8">
        <v>46220</v>
      </c>
      <c r="D2940" s="2" t="s">
        <v>199</v>
      </c>
      <c r="E2940" s="2" t="s">
        <v>260</v>
      </c>
      <c r="F2940" s="2" t="s">
        <v>16703</v>
      </c>
      <c r="G2940" s="2" t="s">
        <v>5075</v>
      </c>
      <c r="H2940" s="2" t="s">
        <v>76</v>
      </c>
      <c r="I2940" s="9">
        <v>38351806.451613002</v>
      </c>
      <c r="J2940" s="7">
        <v>6.2000000000000003E-5</v>
      </c>
      <c r="K2940" s="9">
        <v>2377.81</v>
      </c>
      <c r="L2940" s="14">
        <v>0</v>
      </c>
      <c r="M2940" s="2" t="s">
        <v>71</v>
      </c>
      <c r="N2940" s="2" t="s">
        <v>16706</v>
      </c>
      <c r="O2940" s="2" t="s">
        <v>5074</v>
      </c>
      <c r="P2940" s="9">
        <v>1.8</v>
      </c>
      <c r="Q2940" s="9">
        <v>2377.81</v>
      </c>
      <c r="R2940" s="2" t="s">
        <v>16709</v>
      </c>
    </row>
    <row r="2941" spans="1:18" x14ac:dyDescent="0.25">
      <c r="A2941" s="2" t="s">
        <v>5078</v>
      </c>
      <c r="B2941" s="6">
        <v>46204</v>
      </c>
      <c r="C2941" s="8">
        <v>46221</v>
      </c>
      <c r="D2941" s="2" t="s">
        <v>199</v>
      </c>
      <c r="E2941" s="2" t="s">
        <v>260</v>
      </c>
      <c r="F2941" s="2" t="s">
        <v>16703</v>
      </c>
      <c r="G2941" s="2" t="s">
        <v>5080</v>
      </c>
      <c r="H2941" s="2" t="s">
        <v>70</v>
      </c>
      <c r="I2941" s="9">
        <v>3718.8693010000002</v>
      </c>
      <c r="J2941" s="7">
        <v>0.65800000000000003</v>
      </c>
      <c r="K2941" s="9">
        <v>2447.02</v>
      </c>
      <c r="L2941" s="14">
        <v>0</v>
      </c>
      <c r="M2941" s="2" t="s">
        <v>71</v>
      </c>
      <c r="N2941" s="2" t="s">
        <v>16706</v>
      </c>
      <c r="O2941" s="2" t="s">
        <v>5079</v>
      </c>
      <c r="P2941" s="9">
        <v>1.8</v>
      </c>
      <c r="Q2941" s="9">
        <v>2447.02</v>
      </c>
      <c r="R2941" s="2" t="s">
        <v>16709</v>
      </c>
    </row>
    <row r="2942" spans="1:18" x14ac:dyDescent="0.25">
      <c r="A2942" s="2" t="s">
        <v>5083</v>
      </c>
      <c r="B2942" s="6">
        <v>46204</v>
      </c>
      <c r="C2942" s="8">
        <v>46232</v>
      </c>
      <c r="D2942" s="2" t="s">
        <v>199</v>
      </c>
      <c r="E2942" s="2" t="s">
        <v>260</v>
      </c>
      <c r="F2942" s="2" t="s">
        <v>16703</v>
      </c>
      <c r="G2942" s="2" t="s">
        <v>5085</v>
      </c>
      <c r="H2942" s="2" t="s">
        <v>39</v>
      </c>
      <c r="I2942" s="9">
        <v>6290.55</v>
      </c>
      <c r="J2942" s="7">
        <v>1</v>
      </c>
      <c r="K2942" s="9">
        <v>6290.55</v>
      </c>
      <c r="L2942" s="14">
        <v>0</v>
      </c>
      <c r="M2942" s="2" t="s">
        <v>71</v>
      </c>
      <c r="N2942" s="2" t="s">
        <v>16706</v>
      </c>
      <c r="O2942" s="2" t="s">
        <v>5084</v>
      </c>
      <c r="P2942" s="9">
        <v>3.46</v>
      </c>
      <c r="Q2942" s="9">
        <v>6290.55</v>
      </c>
      <c r="R2942" s="2" t="s">
        <v>16709</v>
      </c>
    </row>
    <row r="2943" spans="1:18" x14ac:dyDescent="0.25">
      <c r="A2943" s="2" t="s">
        <v>5086</v>
      </c>
      <c r="B2943" s="6">
        <v>46204</v>
      </c>
      <c r="C2943" s="8">
        <v>46233</v>
      </c>
      <c r="D2943" s="2" t="s">
        <v>199</v>
      </c>
      <c r="E2943" s="2" t="s">
        <v>260</v>
      </c>
      <c r="F2943" s="2" t="s">
        <v>16703</v>
      </c>
      <c r="G2943" s="2" t="s">
        <v>5088</v>
      </c>
      <c r="H2943" s="2" t="s">
        <v>76</v>
      </c>
      <c r="I2943" s="9">
        <v>104250967.741935</v>
      </c>
      <c r="J2943" s="7">
        <v>6.2000000000000003E-5</v>
      </c>
      <c r="K2943" s="9">
        <v>6463.56</v>
      </c>
      <c r="L2943" s="14">
        <v>0</v>
      </c>
      <c r="M2943" s="2" t="s">
        <v>71</v>
      </c>
      <c r="N2943" s="2" t="s">
        <v>16706</v>
      </c>
      <c r="O2943" s="2" t="s">
        <v>5087</v>
      </c>
      <c r="P2943" s="9">
        <v>3.55</v>
      </c>
      <c r="Q2943" s="9">
        <v>6463.56</v>
      </c>
      <c r="R2943" s="2" t="s">
        <v>16709</v>
      </c>
    </row>
    <row r="2944" spans="1:18" x14ac:dyDescent="0.25">
      <c r="A2944" s="2" t="s">
        <v>5089</v>
      </c>
      <c r="B2944" s="6">
        <v>46204</v>
      </c>
      <c r="C2944" s="8">
        <v>46224</v>
      </c>
      <c r="D2944" s="2" t="s">
        <v>199</v>
      </c>
      <c r="E2944" s="2" t="s">
        <v>260</v>
      </c>
      <c r="F2944" s="2" t="s">
        <v>16703</v>
      </c>
      <c r="G2944" s="2" t="s">
        <v>5091</v>
      </c>
      <c r="H2944" s="2" t="s">
        <v>70</v>
      </c>
      <c r="I2944" s="9">
        <v>4034.3890580000002</v>
      </c>
      <c r="J2944" s="7">
        <v>0.65800000000000003</v>
      </c>
      <c r="K2944" s="9">
        <v>2654.63</v>
      </c>
      <c r="L2944" s="14">
        <v>0</v>
      </c>
      <c r="M2944" s="2" t="s">
        <v>71</v>
      </c>
      <c r="N2944" s="2" t="s">
        <v>16706</v>
      </c>
      <c r="O2944" s="2" t="s">
        <v>5090</v>
      </c>
      <c r="P2944" s="9">
        <v>1.8</v>
      </c>
      <c r="Q2944" s="9">
        <v>2654.63</v>
      </c>
      <c r="R2944" s="2" t="s">
        <v>16709</v>
      </c>
    </row>
    <row r="2945" spans="1:18" x14ac:dyDescent="0.25">
      <c r="A2945" s="2" t="s">
        <v>5109</v>
      </c>
      <c r="B2945" s="6">
        <v>46204</v>
      </c>
      <c r="C2945" s="8">
        <v>46230</v>
      </c>
      <c r="D2945" s="2" t="s">
        <v>199</v>
      </c>
      <c r="E2945" s="2" t="s">
        <v>260</v>
      </c>
      <c r="F2945" s="2" t="s">
        <v>16703</v>
      </c>
      <c r="G2945" s="2" t="s">
        <v>5111</v>
      </c>
      <c r="H2945" s="2" t="s">
        <v>70</v>
      </c>
      <c r="I2945" s="9">
        <v>4665.4285719999998</v>
      </c>
      <c r="J2945" s="7">
        <v>0.65800000000000003</v>
      </c>
      <c r="K2945" s="9">
        <v>3069.85</v>
      </c>
      <c r="L2945" s="14">
        <v>0</v>
      </c>
      <c r="M2945" s="2" t="s">
        <v>71</v>
      </c>
      <c r="N2945" s="2" t="s">
        <v>16706</v>
      </c>
      <c r="O2945" s="2" t="s">
        <v>5110</v>
      </c>
      <c r="P2945" s="9">
        <v>1.8</v>
      </c>
      <c r="Q2945" s="9">
        <v>3069.85</v>
      </c>
      <c r="R2945" s="2" t="s">
        <v>16709</v>
      </c>
    </row>
    <row r="2946" spans="1:18" x14ac:dyDescent="0.25">
      <c r="A2946" s="2" t="s">
        <v>5114</v>
      </c>
      <c r="B2946" s="6">
        <v>46204</v>
      </c>
      <c r="C2946" s="8">
        <v>46231</v>
      </c>
      <c r="D2946" s="2" t="s">
        <v>199</v>
      </c>
      <c r="E2946" s="2" t="s">
        <v>260</v>
      </c>
      <c r="F2946" s="2" t="s">
        <v>16703</v>
      </c>
      <c r="G2946" s="2" t="s">
        <v>5116</v>
      </c>
      <c r="H2946" s="2" t="s">
        <v>39</v>
      </c>
      <c r="I2946" s="9">
        <v>3139.056</v>
      </c>
      <c r="J2946" s="7">
        <v>1</v>
      </c>
      <c r="K2946" s="9">
        <v>3139.06</v>
      </c>
      <c r="L2946" s="14">
        <v>0</v>
      </c>
      <c r="M2946" s="2" t="s">
        <v>71</v>
      </c>
      <c r="N2946" s="2" t="s">
        <v>16706</v>
      </c>
      <c r="O2946" s="2" t="s">
        <v>5115</v>
      </c>
      <c r="P2946" s="9">
        <v>1.8</v>
      </c>
      <c r="Q2946" s="9">
        <v>3139.06</v>
      </c>
      <c r="R2946" s="2" t="s">
        <v>16709</v>
      </c>
    </row>
    <row r="2947" spans="1:18" x14ac:dyDescent="0.25">
      <c r="A2947" s="2" t="s">
        <v>5125</v>
      </c>
      <c r="B2947" s="6">
        <v>46204</v>
      </c>
      <c r="C2947" s="8">
        <v>46234</v>
      </c>
      <c r="D2947" s="2" t="s">
        <v>199</v>
      </c>
      <c r="E2947" s="2" t="s">
        <v>260</v>
      </c>
      <c r="F2947" s="2" t="s">
        <v>16703</v>
      </c>
      <c r="G2947" s="2" t="s">
        <v>5127</v>
      </c>
      <c r="H2947" s="2" t="s">
        <v>39</v>
      </c>
      <c r="I2947" s="9">
        <v>3346.6680000000001</v>
      </c>
      <c r="J2947" s="7">
        <v>1</v>
      </c>
      <c r="K2947" s="9">
        <v>3346.67</v>
      </c>
      <c r="L2947" s="14">
        <v>0</v>
      </c>
      <c r="M2947" s="2" t="s">
        <v>71</v>
      </c>
      <c r="N2947" s="2" t="s">
        <v>16706</v>
      </c>
      <c r="O2947" s="2" t="s">
        <v>5126</v>
      </c>
      <c r="P2947" s="9">
        <v>1.84</v>
      </c>
      <c r="Q2947" s="9">
        <v>3346.67</v>
      </c>
      <c r="R2947" s="2" t="s">
        <v>16709</v>
      </c>
    </row>
    <row r="2948" spans="1:18" x14ac:dyDescent="0.25">
      <c r="A2948" s="2" t="s">
        <v>5178</v>
      </c>
      <c r="B2948" s="6">
        <v>46204</v>
      </c>
      <c r="C2948" s="8">
        <v>46228</v>
      </c>
      <c r="D2948" s="2" t="s">
        <v>199</v>
      </c>
      <c r="E2948" s="2" t="s">
        <v>260</v>
      </c>
      <c r="F2948" s="2" t="s">
        <v>16703</v>
      </c>
      <c r="G2948" s="2" t="s">
        <v>5180</v>
      </c>
      <c r="H2948" s="2" t="s">
        <v>39</v>
      </c>
      <c r="I2948" s="9">
        <v>10961.82</v>
      </c>
      <c r="J2948" s="7">
        <v>1</v>
      </c>
      <c r="K2948" s="9">
        <v>10961.82</v>
      </c>
      <c r="L2948" s="14">
        <v>0</v>
      </c>
      <c r="M2948" s="2" t="s">
        <v>71</v>
      </c>
      <c r="N2948" s="2" t="s">
        <v>16706</v>
      </c>
      <c r="O2948" s="2" t="s">
        <v>5179</v>
      </c>
      <c r="P2948" s="9">
        <v>6.03</v>
      </c>
      <c r="Q2948" s="9">
        <v>10961.82</v>
      </c>
      <c r="R2948" s="2" t="s">
        <v>16709</v>
      </c>
    </row>
    <row r="2949" spans="1:18" x14ac:dyDescent="0.25">
      <c r="A2949" s="2" t="s">
        <v>5181</v>
      </c>
      <c r="B2949" s="6">
        <v>46204</v>
      </c>
      <c r="C2949" s="8">
        <v>46219</v>
      </c>
      <c r="D2949" s="2" t="s">
        <v>199</v>
      </c>
      <c r="E2949" s="2" t="s">
        <v>260</v>
      </c>
      <c r="F2949" s="2" t="s">
        <v>16703</v>
      </c>
      <c r="G2949" s="2" t="s">
        <v>5183</v>
      </c>
      <c r="H2949" s="2" t="s">
        <v>76</v>
      </c>
      <c r="I2949" s="9">
        <v>71837612.903226003</v>
      </c>
      <c r="J2949" s="7">
        <v>6.2000000000000003E-5</v>
      </c>
      <c r="K2949" s="9">
        <v>4453.93</v>
      </c>
      <c r="L2949" s="14">
        <v>0</v>
      </c>
      <c r="M2949" s="2" t="s">
        <v>71</v>
      </c>
      <c r="N2949" s="2" t="s">
        <v>16706</v>
      </c>
      <c r="O2949" s="2" t="s">
        <v>5182</v>
      </c>
      <c r="P2949" s="9">
        <v>2.4500000000000002</v>
      </c>
      <c r="Q2949" s="9">
        <v>4453.93</v>
      </c>
      <c r="R2949" s="2" t="s">
        <v>16709</v>
      </c>
    </row>
    <row r="2950" spans="1:18" x14ac:dyDescent="0.25">
      <c r="A2950" s="2" t="s">
        <v>5186</v>
      </c>
      <c r="B2950" s="6">
        <v>46204</v>
      </c>
      <c r="C2950" s="8">
        <v>46220</v>
      </c>
      <c r="D2950" s="2" t="s">
        <v>199</v>
      </c>
      <c r="E2950" s="2" t="s">
        <v>260</v>
      </c>
      <c r="F2950" s="2" t="s">
        <v>16703</v>
      </c>
      <c r="G2950" s="2" t="s">
        <v>5188</v>
      </c>
      <c r="H2950" s="2" t="s">
        <v>70</v>
      </c>
      <c r="I2950" s="9">
        <v>6874.0668690000002</v>
      </c>
      <c r="J2950" s="7">
        <v>0.65800000000000003</v>
      </c>
      <c r="K2950" s="9">
        <v>4523.1400000000003</v>
      </c>
      <c r="L2950" s="14">
        <v>0</v>
      </c>
      <c r="M2950" s="2" t="s">
        <v>71</v>
      </c>
      <c r="N2950" s="2" t="s">
        <v>16706</v>
      </c>
      <c r="O2950" s="2" t="s">
        <v>5187</v>
      </c>
      <c r="P2950" s="9">
        <v>2.4900000000000002</v>
      </c>
      <c r="Q2950" s="9">
        <v>4523.1400000000003</v>
      </c>
      <c r="R2950" s="2" t="s">
        <v>16709</v>
      </c>
    </row>
    <row r="2951" spans="1:18" x14ac:dyDescent="0.25">
      <c r="A2951" s="2" t="s">
        <v>5191</v>
      </c>
      <c r="B2951" s="6">
        <v>46204</v>
      </c>
      <c r="C2951" s="8">
        <v>46231</v>
      </c>
      <c r="D2951" s="2" t="s">
        <v>199</v>
      </c>
      <c r="E2951" s="2" t="s">
        <v>260</v>
      </c>
      <c r="F2951" s="2" t="s">
        <v>16703</v>
      </c>
      <c r="G2951" s="2" t="s">
        <v>5193</v>
      </c>
      <c r="H2951" s="2" t="s">
        <v>39</v>
      </c>
      <c r="I2951" s="9">
        <v>11480.85</v>
      </c>
      <c r="J2951" s="7">
        <v>1</v>
      </c>
      <c r="K2951" s="9">
        <v>11480.85</v>
      </c>
      <c r="L2951" s="14">
        <v>0</v>
      </c>
      <c r="M2951" s="2" t="s">
        <v>71</v>
      </c>
      <c r="N2951" s="2" t="s">
        <v>16706</v>
      </c>
      <c r="O2951" s="2" t="s">
        <v>5192</v>
      </c>
      <c r="P2951" s="9">
        <v>6.31</v>
      </c>
      <c r="Q2951" s="9">
        <v>11480.85</v>
      </c>
      <c r="R2951" s="2" t="s">
        <v>16709</v>
      </c>
    </row>
    <row r="2952" spans="1:18" x14ac:dyDescent="0.25">
      <c r="A2952" s="2" t="s">
        <v>5194</v>
      </c>
      <c r="B2952" s="6">
        <v>46204</v>
      </c>
      <c r="C2952" s="8">
        <v>46232</v>
      </c>
      <c r="D2952" s="2" t="s">
        <v>199</v>
      </c>
      <c r="E2952" s="2" t="s">
        <v>260</v>
      </c>
      <c r="F2952" s="2" t="s">
        <v>16703</v>
      </c>
      <c r="G2952" s="2" t="s">
        <v>5196</v>
      </c>
      <c r="H2952" s="2" t="s">
        <v>76</v>
      </c>
      <c r="I2952" s="9">
        <v>187965483.87096801</v>
      </c>
      <c r="J2952" s="7">
        <v>6.2000000000000003E-5</v>
      </c>
      <c r="K2952" s="9">
        <v>11653.86</v>
      </c>
      <c r="L2952" s="14">
        <v>0</v>
      </c>
      <c r="M2952" s="2" t="s">
        <v>71</v>
      </c>
      <c r="N2952" s="2" t="s">
        <v>16706</v>
      </c>
      <c r="O2952" s="2" t="s">
        <v>5195</v>
      </c>
      <c r="P2952" s="9">
        <v>6.41</v>
      </c>
      <c r="Q2952" s="9">
        <v>11653.86</v>
      </c>
      <c r="R2952" s="2" t="s">
        <v>16709</v>
      </c>
    </row>
    <row r="2953" spans="1:18" x14ac:dyDescent="0.25">
      <c r="A2953" s="2" t="s">
        <v>5197</v>
      </c>
      <c r="B2953" s="6">
        <v>46204</v>
      </c>
      <c r="C2953" s="8">
        <v>46223</v>
      </c>
      <c r="D2953" s="2" t="s">
        <v>199</v>
      </c>
      <c r="E2953" s="2" t="s">
        <v>260</v>
      </c>
      <c r="F2953" s="2" t="s">
        <v>16703</v>
      </c>
      <c r="G2953" s="2" t="s">
        <v>5199</v>
      </c>
      <c r="H2953" s="2" t="s">
        <v>70</v>
      </c>
      <c r="I2953" s="9">
        <v>7189.5866260000003</v>
      </c>
      <c r="J2953" s="7">
        <v>0.65800000000000003</v>
      </c>
      <c r="K2953" s="9">
        <v>4730.75</v>
      </c>
      <c r="L2953" s="14">
        <v>0</v>
      </c>
      <c r="M2953" s="2" t="s">
        <v>71</v>
      </c>
      <c r="N2953" s="2" t="s">
        <v>16706</v>
      </c>
      <c r="O2953" s="2" t="s">
        <v>5198</v>
      </c>
      <c r="P2953" s="9">
        <v>2.6</v>
      </c>
      <c r="Q2953" s="9">
        <v>4730.75</v>
      </c>
      <c r="R2953" s="2" t="s">
        <v>16709</v>
      </c>
    </row>
    <row r="2954" spans="1:18" x14ac:dyDescent="0.25">
      <c r="A2954" s="2" t="s">
        <v>5202</v>
      </c>
      <c r="B2954" s="6">
        <v>46204</v>
      </c>
      <c r="C2954" s="8">
        <v>46234</v>
      </c>
      <c r="D2954" s="2" t="s">
        <v>199</v>
      </c>
      <c r="E2954" s="2" t="s">
        <v>260</v>
      </c>
      <c r="F2954" s="2" t="s">
        <v>16703</v>
      </c>
      <c r="G2954" s="2" t="s">
        <v>5204</v>
      </c>
      <c r="H2954" s="2" t="s">
        <v>39</v>
      </c>
      <c r="I2954" s="9">
        <v>11999.88</v>
      </c>
      <c r="J2954" s="7">
        <v>1</v>
      </c>
      <c r="K2954" s="9">
        <v>11999.88</v>
      </c>
      <c r="L2954" s="14">
        <v>0</v>
      </c>
      <c r="M2954" s="2" t="s">
        <v>71</v>
      </c>
      <c r="N2954" s="2" t="s">
        <v>16706</v>
      </c>
      <c r="O2954" s="2" t="s">
        <v>5203</v>
      </c>
      <c r="P2954" s="9">
        <v>6.6</v>
      </c>
      <c r="Q2954" s="9">
        <v>11999.88</v>
      </c>
      <c r="R2954" s="2" t="s">
        <v>16709</v>
      </c>
    </row>
    <row r="2955" spans="1:18" x14ac:dyDescent="0.25">
      <c r="A2955" s="2" t="s">
        <v>5217</v>
      </c>
      <c r="B2955" s="6">
        <v>46204</v>
      </c>
      <c r="C2955" s="8">
        <v>46229</v>
      </c>
      <c r="D2955" s="2" t="s">
        <v>199</v>
      </c>
      <c r="E2955" s="2" t="s">
        <v>260</v>
      </c>
      <c r="F2955" s="2" t="s">
        <v>16703</v>
      </c>
      <c r="G2955" s="2" t="s">
        <v>5219</v>
      </c>
      <c r="H2955" s="2" t="s">
        <v>70</v>
      </c>
      <c r="I2955" s="9">
        <v>7820.6261400000003</v>
      </c>
      <c r="J2955" s="7">
        <v>0.65800000000000003</v>
      </c>
      <c r="K2955" s="9">
        <v>5145.97</v>
      </c>
      <c r="L2955" s="14">
        <v>0</v>
      </c>
      <c r="M2955" s="2" t="s">
        <v>71</v>
      </c>
      <c r="N2955" s="2" t="s">
        <v>16706</v>
      </c>
      <c r="O2955" s="2" t="s">
        <v>5218</v>
      </c>
      <c r="P2955" s="9">
        <v>2.83</v>
      </c>
      <c r="Q2955" s="9">
        <v>5145.97</v>
      </c>
      <c r="R2955" s="2" t="s">
        <v>16709</v>
      </c>
    </row>
    <row r="2956" spans="1:18" x14ac:dyDescent="0.25">
      <c r="A2956" s="2" t="s">
        <v>5222</v>
      </c>
      <c r="B2956" s="6">
        <v>46204</v>
      </c>
      <c r="C2956" s="8">
        <v>46230</v>
      </c>
      <c r="D2956" s="2" t="s">
        <v>199</v>
      </c>
      <c r="E2956" s="2" t="s">
        <v>260</v>
      </c>
      <c r="F2956" s="2" t="s">
        <v>16703</v>
      </c>
      <c r="G2956" s="2" t="s">
        <v>5224</v>
      </c>
      <c r="H2956" s="2" t="s">
        <v>39</v>
      </c>
      <c r="I2956" s="9">
        <v>5215.1760000000004</v>
      </c>
      <c r="J2956" s="7">
        <v>1</v>
      </c>
      <c r="K2956" s="9">
        <v>5215.18</v>
      </c>
      <c r="L2956" s="14">
        <v>0</v>
      </c>
      <c r="M2956" s="2" t="s">
        <v>71</v>
      </c>
      <c r="N2956" s="2" t="s">
        <v>16706</v>
      </c>
      <c r="O2956" s="2" t="s">
        <v>5223</v>
      </c>
      <c r="P2956" s="9">
        <v>2.87</v>
      </c>
      <c r="Q2956" s="9">
        <v>5215.18</v>
      </c>
      <c r="R2956" s="2" t="s">
        <v>16709</v>
      </c>
    </row>
    <row r="2957" spans="1:18" x14ac:dyDescent="0.25">
      <c r="A2957" s="2" t="s">
        <v>5233</v>
      </c>
      <c r="B2957" s="6">
        <v>46204</v>
      </c>
      <c r="C2957" s="8">
        <v>46233</v>
      </c>
      <c r="D2957" s="2" t="s">
        <v>199</v>
      </c>
      <c r="E2957" s="2" t="s">
        <v>260</v>
      </c>
      <c r="F2957" s="2" t="s">
        <v>16703</v>
      </c>
      <c r="G2957" s="2" t="s">
        <v>5235</v>
      </c>
      <c r="H2957" s="2" t="s">
        <v>39</v>
      </c>
      <c r="I2957" s="9">
        <v>5422.4</v>
      </c>
      <c r="J2957" s="7">
        <v>1</v>
      </c>
      <c r="K2957" s="9">
        <v>5422.4</v>
      </c>
      <c r="L2957" s="14">
        <v>0</v>
      </c>
      <c r="M2957" s="2" t="s">
        <v>71</v>
      </c>
      <c r="N2957" s="2" t="s">
        <v>16706</v>
      </c>
      <c r="O2957" s="2" t="s">
        <v>5234</v>
      </c>
      <c r="P2957" s="9">
        <v>2.98</v>
      </c>
      <c r="Q2957" s="9">
        <v>5422.4</v>
      </c>
      <c r="R2957" s="2" t="s">
        <v>16709</v>
      </c>
    </row>
    <row r="2958" spans="1:18" x14ac:dyDescent="0.25">
      <c r="A2958" s="2" t="s">
        <v>5289</v>
      </c>
      <c r="B2958" s="6">
        <v>46204</v>
      </c>
      <c r="C2958" s="8">
        <v>46218</v>
      </c>
      <c r="D2958" s="2" t="s">
        <v>199</v>
      </c>
      <c r="E2958" s="2" t="s">
        <v>260</v>
      </c>
      <c r="F2958" s="2" t="s">
        <v>16703</v>
      </c>
      <c r="G2958" s="2" t="s">
        <v>5291</v>
      </c>
      <c r="H2958" s="2" t="s">
        <v>76</v>
      </c>
      <c r="I2958" s="9">
        <v>14994580.645160999</v>
      </c>
      <c r="J2958" s="7">
        <v>6.2000000000000003E-5</v>
      </c>
      <c r="K2958" s="9">
        <v>929.66</v>
      </c>
      <c r="L2958" s="14">
        <v>0</v>
      </c>
      <c r="M2958" s="2" t="s">
        <v>71</v>
      </c>
      <c r="N2958" s="2" t="s">
        <v>16706</v>
      </c>
      <c r="O2958" s="2" t="s">
        <v>5290</v>
      </c>
      <c r="P2958" s="9">
        <v>1.8</v>
      </c>
      <c r="Q2958" s="9">
        <v>929.66</v>
      </c>
      <c r="R2958" s="2" t="s">
        <v>16709</v>
      </c>
    </row>
    <row r="2959" spans="1:18" x14ac:dyDescent="0.25">
      <c r="A2959" s="2" t="s">
        <v>5294</v>
      </c>
      <c r="B2959" s="6">
        <v>46204</v>
      </c>
      <c r="C2959" s="8">
        <v>46219</v>
      </c>
      <c r="D2959" s="2" t="s">
        <v>199</v>
      </c>
      <c r="E2959" s="2" t="s">
        <v>260</v>
      </c>
      <c r="F2959" s="2" t="s">
        <v>16703</v>
      </c>
      <c r="G2959" s="2" t="s">
        <v>5296</v>
      </c>
      <c r="H2959" s="2" t="s">
        <v>70</v>
      </c>
      <c r="I2959" s="9">
        <v>1518.036474</v>
      </c>
      <c r="J2959" s="7">
        <v>0.65800000000000003</v>
      </c>
      <c r="K2959" s="9">
        <v>998.87</v>
      </c>
      <c r="L2959" s="14">
        <v>0</v>
      </c>
      <c r="M2959" s="2" t="s">
        <v>71</v>
      </c>
      <c r="N2959" s="2" t="s">
        <v>16706</v>
      </c>
      <c r="O2959" s="2" t="s">
        <v>5295</v>
      </c>
      <c r="P2959" s="9">
        <v>1.8</v>
      </c>
      <c r="Q2959" s="9">
        <v>998.87</v>
      </c>
      <c r="R2959" s="2" t="s">
        <v>16709</v>
      </c>
    </row>
    <row r="2960" spans="1:18" x14ac:dyDescent="0.25">
      <c r="A2960" s="2" t="s">
        <v>5299</v>
      </c>
      <c r="B2960" s="6">
        <v>46204</v>
      </c>
      <c r="C2960" s="8">
        <v>46230</v>
      </c>
      <c r="D2960" s="2" t="s">
        <v>199</v>
      </c>
      <c r="E2960" s="2" t="s">
        <v>260</v>
      </c>
      <c r="F2960" s="2" t="s">
        <v>16703</v>
      </c>
      <c r="G2960" s="2" t="s">
        <v>5301</v>
      </c>
      <c r="H2960" s="2" t="s">
        <v>39</v>
      </c>
      <c r="I2960" s="9">
        <v>2670.18</v>
      </c>
      <c r="J2960" s="7">
        <v>1</v>
      </c>
      <c r="K2960" s="9">
        <v>2670.18</v>
      </c>
      <c r="L2960" s="14">
        <v>0</v>
      </c>
      <c r="M2960" s="2" t="s">
        <v>71</v>
      </c>
      <c r="N2960" s="2" t="s">
        <v>16706</v>
      </c>
      <c r="O2960" s="2" t="s">
        <v>5300</v>
      </c>
      <c r="P2960" s="9">
        <v>1.8</v>
      </c>
      <c r="Q2960" s="9">
        <v>2670.18</v>
      </c>
      <c r="R2960" s="2" t="s">
        <v>16709</v>
      </c>
    </row>
    <row r="2961" spans="1:18" x14ac:dyDescent="0.25">
      <c r="A2961" s="2" t="s">
        <v>5302</v>
      </c>
      <c r="B2961" s="6">
        <v>46204</v>
      </c>
      <c r="C2961" s="8">
        <v>46231</v>
      </c>
      <c r="D2961" s="2" t="s">
        <v>199</v>
      </c>
      <c r="E2961" s="2" t="s">
        <v>260</v>
      </c>
      <c r="F2961" s="2" t="s">
        <v>16703</v>
      </c>
      <c r="G2961" s="2" t="s">
        <v>5304</v>
      </c>
      <c r="H2961" s="2" t="s">
        <v>76</v>
      </c>
      <c r="I2961" s="9">
        <v>45857903.225805998</v>
      </c>
      <c r="J2961" s="7">
        <v>6.2000000000000003E-5</v>
      </c>
      <c r="K2961" s="9">
        <v>2843.19</v>
      </c>
      <c r="L2961" s="14">
        <v>0</v>
      </c>
      <c r="M2961" s="2" t="s">
        <v>71</v>
      </c>
      <c r="N2961" s="2" t="s">
        <v>16706</v>
      </c>
      <c r="O2961" s="2" t="s">
        <v>5303</v>
      </c>
      <c r="P2961" s="9">
        <v>1.8</v>
      </c>
      <c r="Q2961" s="9">
        <v>2843.19</v>
      </c>
      <c r="R2961" s="2" t="s">
        <v>16709</v>
      </c>
    </row>
    <row r="2962" spans="1:18" x14ac:dyDescent="0.25">
      <c r="A2962" s="2" t="s">
        <v>5305</v>
      </c>
      <c r="B2962" s="6">
        <v>46204</v>
      </c>
      <c r="C2962" s="8">
        <v>46222</v>
      </c>
      <c r="D2962" s="2" t="s">
        <v>199</v>
      </c>
      <c r="E2962" s="2" t="s">
        <v>260</v>
      </c>
      <c r="F2962" s="2" t="s">
        <v>16703</v>
      </c>
      <c r="G2962" s="2" t="s">
        <v>5307</v>
      </c>
      <c r="H2962" s="2" t="s">
        <v>70</v>
      </c>
      <c r="I2962" s="9">
        <v>1833.556231</v>
      </c>
      <c r="J2962" s="7">
        <v>0.65800000000000003</v>
      </c>
      <c r="K2962" s="9">
        <v>1206.48</v>
      </c>
      <c r="L2962" s="14">
        <v>0</v>
      </c>
      <c r="M2962" s="2" t="s">
        <v>71</v>
      </c>
      <c r="N2962" s="2" t="s">
        <v>16706</v>
      </c>
      <c r="O2962" s="2" t="s">
        <v>5306</v>
      </c>
      <c r="P2962" s="9">
        <v>1.8</v>
      </c>
      <c r="Q2962" s="9">
        <v>1206.48</v>
      </c>
      <c r="R2962" s="2" t="s">
        <v>16709</v>
      </c>
    </row>
    <row r="2963" spans="1:18" x14ac:dyDescent="0.25">
      <c r="A2963" s="2" t="s">
        <v>5310</v>
      </c>
      <c r="B2963" s="6">
        <v>46204</v>
      </c>
      <c r="C2963" s="8">
        <v>46233</v>
      </c>
      <c r="D2963" s="2" t="s">
        <v>199</v>
      </c>
      <c r="E2963" s="2" t="s">
        <v>260</v>
      </c>
      <c r="F2963" s="2" t="s">
        <v>16703</v>
      </c>
      <c r="G2963" s="2" t="s">
        <v>5312</v>
      </c>
      <c r="H2963" s="2" t="s">
        <v>39</v>
      </c>
      <c r="I2963" s="9">
        <v>3189.21</v>
      </c>
      <c r="J2963" s="7">
        <v>1</v>
      </c>
      <c r="K2963" s="9">
        <v>3189.21</v>
      </c>
      <c r="L2963" s="14">
        <v>0</v>
      </c>
      <c r="M2963" s="2" t="s">
        <v>71</v>
      </c>
      <c r="N2963" s="2" t="s">
        <v>16706</v>
      </c>
      <c r="O2963" s="2" t="s">
        <v>5311</v>
      </c>
      <c r="P2963" s="9">
        <v>1.8</v>
      </c>
      <c r="Q2963" s="9">
        <v>3189.21</v>
      </c>
      <c r="R2963" s="2" t="s">
        <v>16709</v>
      </c>
    </row>
    <row r="2964" spans="1:18" x14ac:dyDescent="0.25">
      <c r="A2964" s="2" t="s">
        <v>5313</v>
      </c>
      <c r="B2964" s="6">
        <v>46204</v>
      </c>
      <c r="C2964" s="8">
        <v>46234</v>
      </c>
      <c r="D2964" s="2" t="s">
        <v>199</v>
      </c>
      <c r="E2964" s="2" t="s">
        <v>260</v>
      </c>
      <c r="F2964" s="2" t="s">
        <v>16703</v>
      </c>
      <c r="G2964" s="2" t="s">
        <v>5315</v>
      </c>
      <c r="H2964" s="2" t="s">
        <v>76</v>
      </c>
      <c r="I2964" s="9">
        <v>-54229354.838710003</v>
      </c>
      <c r="J2964" s="7">
        <v>6.2000000000000003E-5</v>
      </c>
      <c r="K2964" s="9">
        <v>-3362.22</v>
      </c>
      <c r="L2964" s="14">
        <v>0</v>
      </c>
      <c r="M2964" s="2" t="s">
        <v>71</v>
      </c>
      <c r="N2964" s="2" t="s">
        <v>16706</v>
      </c>
      <c r="O2964" s="2" t="s">
        <v>5314</v>
      </c>
      <c r="P2964" s="9">
        <v>0</v>
      </c>
      <c r="Q2964" s="9">
        <v>-3362.22</v>
      </c>
      <c r="R2964" s="2" t="s">
        <v>16709</v>
      </c>
    </row>
    <row r="2965" spans="1:18" x14ac:dyDescent="0.25">
      <c r="A2965" s="2" t="s">
        <v>5325</v>
      </c>
      <c r="B2965" s="6">
        <v>46204</v>
      </c>
      <c r="C2965" s="8">
        <v>46228</v>
      </c>
      <c r="D2965" s="2" t="s">
        <v>199</v>
      </c>
      <c r="E2965" s="2" t="s">
        <v>260</v>
      </c>
      <c r="F2965" s="2" t="s">
        <v>16703</v>
      </c>
      <c r="G2965" s="2" t="s">
        <v>5327</v>
      </c>
      <c r="H2965" s="2" t="s">
        <v>70</v>
      </c>
      <c r="I2965" s="9">
        <v>2464.5957450000001</v>
      </c>
      <c r="J2965" s="7">
        <v>0.65800000000000003</v>
      </c>
      <c r="K2965" s="9">
        <v>1621.7</v>
      </c>
      <c r="L2965" s="14">
        <v>0</v>
      </c>
      <c r="M2965" s="2" t="s">
        <v>71</v>
      </c>
      <c r="N2965" s="2" t="s">
        <v>16706</v>
      </c>
      <c r="O2965" s="2" t="s">
        <v>5326</v>
      </c>
      <c r="P2965" s="9">
        <v>1.8</v>
      </c>
      <c r="Q2965" s="9">
        <v>1621.7</v>
      </c>
      <c r="R2965" s="2" t="s">
        <v>16709</v>
      </c>
    </row>
    <row r="2966" spans="1:18" x14ac:dyDescent="0.25">
      <c r="A2966" s="2" t="s">
        <v>5330</v>
      </c>
      <c r="B2966" s="6">
        <v>46204</v>
      </c>
      <c r="C2966" s="8">
        <v>46229</v>
      </c>
      <c r="D2966" s="2" t="s">
        <v>199</v>
      </c>
      <c r="E2966" s="2" t="s">
        <v>260</v>
      </c>
      <c r="F2966" s="2" t="s">
        <v>16703</v>
      </c>
      <c r="G2966" s="2" t="s">
        <v>5332</v>
      </c>
      <c r="H2966" s="2" t="s">
        <v>39</v>
      </c>
      <c r="I2966" s="9">
        <v>1690.9079999999999</v>
      </c>
      <c r="J2966" s="7">
        <v>1</v>
      </c>
      <c r="K2966" s="9">
        <v>1690.91</v>
      </c>
      <c r="L2966" s="14">
        <v>0</v>
      </c>
      <c r="M2966" s="2" t="s">
        <v>71</v>
      </c>
      <c r="N2966" s="2" t="s">
        <v>16706</v>
      </c>
      <c r="O2966" s="2" t="s">
        <v>5331</v>
      </c>
      <c r="P2966" s="9">
        <v>1.8</v>
      </c>
      <c r="Q2966" s="9">
        <v>1690.91</v>
      </c>
      <c r="R2966" s="2" t="s">
        <v>16709</v>
      </c>
    </row>
    <row r="2967" spans="1:18" x14ac:dyDescent="0.25">
      <c r="A2967" s="2" t="s">
        <v>5341</v>
      </c>
      <c r="B2967" s="6">
        <v>46204</v>
      </c>
      <c r="C2967" s="8">
        <v>46232</v>
      </c>
      <c r="D2967" s="2" t="s">
        <v>199</v>
      </c>
      <c r="E2967" s="2" t="s">
        <v>260</v>
      </c>
      <c r="F2967" s="2" t="s">
        <v>16703</v>
      </c>
      <c r="G2967" s="2" t="s">
        <v>5343</v>
      </c>
      <c r="H2967" s="2" t="s">
        <v>39</v>
      </c>
      <c r="I2967" s="9">
        <v>1898.52</v>
      </c>
      <c r="J2967" s="7">
        <v>1</v>
      </c>
      <c r="K2967" s="9">
        <v>1898.52</v>
      </c>
      <c r="L2967" s="14">
        <v>0</v>
      </c>
      <c r="M2967" s="2" t="s">
        <v>71</v>
      </c>
      <c r="N2967" s="2" t="s">
        <v>16706</v>
      </c>
      <c r="O2967" s="2" t="s">
        <v>5342</v>
      </c>
      <c r="P2967" s="9">
        <v>1.8</v>
      </c>
      <c r="Q2967" s="9">
        <v>1898.52</v>
      </c>
      <c r="R2967" s="2" t="s">
        <v>16709</v>
      </c>
    </row>
    <row r="2968" spans="1:18" x14ac:dyDescent="0.25">
      <c r="A2968" s="2" t="s">
        <v>5402</v>
      </c>
      <c r="B2968" s="6">
        <v>46204</v>
      </c>
      <c r="C2968" s="8">
        <v>46218</v>
      </c>
      <c r="D2968" s="2" t="s">
        <v>199</v>
      </c>
      <c r="E2968" s="2" t="s">
        <v>260</v>
      </c>
      <c r="F2968" s="2" t="s">
        <v>16703</v>
      </c>
      <c r="G2968" s="2" t="s">
        <v>5404</v>
      </c>
      <c r="H2968" s="2" t="s">
        <v>70</v>
      </c>
      <c r="I2968" s="9">
        <v>4673.234042</v>
      </c>
      <c r="J2968" s="7">
        <v>0.65800000000000003</v>
      </c>
      <c r="K2968" s="9">
        <v>3074.99</v>
      </c>
      <c r="L2968" s="14">
        <v>0</v>
      </c>
      <c r="M2968" s="2" t="s">
        <v>71</v>
      </c>
      <c r="N2968" s="2" t="s">
        <v>16706</v>
      </c>
      <c r="O2968" s="2" t="s">
        <v>5403</v>
      </c>
      <c r="P2968" s="9">
        <v>1.8</v>
      </c>
      <c r="Q2968" s="9">
        <v>3074.99</v>
      </c>
      <c r="R2968" s="2" t="s">
        <v>16709</v>
      </c>
    </row>
    <row r="2969" spans="1:18" x14ac:dyDescent="0.25">
      <c r="A2969" s="2" t="s">
        <v>5407</v>
      </c>
      <c r="B2969" s="6">
        <v>46204</v>
      </c>
      <c r="C2969" s="8">
        <v>46229</v>
      </c>
      <c r="D2969" s="2" t="s">
        <v>199</v>
      </c>
      <c r="E2969" s="2" t="s">
        <v>260</v>
      </c>
      <c r="F2969" s="2" t="s">
        <v>16703</v>
      </c>
      <c r="G2969" s="2" t="s">
        <v>5409</v>
      </c>
      <c r="H2969" s="2" t="s">
        <v>39</v>
      </c>
      <c r="I2969" s="9">
        <v>7860.48</v>
      </c>
      <c r="J2969" s="7">
        <v>1</v>
      </c>
      <c r="K2969" s="9">
        <v>7860.48</v>
      </c>
      <c r="L2969" s="14">
        <v>0</v>
      </c>
      <c r="M2969" s="2" t="s">
        <v>71</v>
      </c>
      <c r="N2969" s="2" t="s">
        <v>16706</v>
      </c>
      <c r="O2969" s="2" t="s">
        <v>5408</v>
      </c>
      <c r="P2969" s="9">
        <v>4.32</v>
      </c>
      <c r="Q2969" s="9">
        <v>7860.48</v>
      </c>
      <c r="R2969" s="2" t="s">
        <v>16709</v>
      </c>
    </row>
    <row r="2970" spans="1:18" x14ac:dyDescent="0.25">
      <c r="A2970" s="2" t="s">
        <v>5410</v>
      </c>
      <c r="B2970" s="6">
        <v>46204</v>
      </c>
      <c r="C2970" s="8">
        <v>46230</v>
      </c>
      <c r="D2970" s="2" t="s">
        <v>199</v>
      </c>
      <c r="E2970" s="2" t="s">
        <v>260</v>
      </c>
      <c r="F2970" s="2" t="s">
        <v>16703</v>
      </c>
      <c r="G2970" s="2" t="s">
        <v>5412</v>
      </c>
      <c r="H2970" s="2" t="s">
        <v>76</v>
      </c>
      <c r="I2970" s="9">
        <v>129572419.354839</v>
      </c>
      <c r="J2970" s="7">
        <v>6.2000000000000003E-5</v>
      </c>
      <c r="K2970" s="9">
        <v>8033.49</v>
      </c>
      <c r="L2970" s="14">
        <v>0</v>
      </c>
      <c r="M2970" s="2" t="s">
        <v>71</v>
      </c>
      <c r="N2970" s="2" t="s">
        <v>16706</v>
      </c>
      <c r="O2970" s="2" t="s">
        <v>5411</v>
      </c>
      <c r="P2970" s="9">
        <v>4.42</v>
      </c>
      <c r="Q2970" s="9">
        <v>8033.49</v>
      </c>
      <c r="R2970" s="2" t="s">
        <v>16709</v>
      </c>
    </row>
    <row r="2971" spans="1:18" x14ac:dyDescent="0.25">
      <c r="A2971" s="2" t="s">
        <v>5413</v>
      </c>
      <c r="B2971" s="6">
        <v>46204</v>
      </c>
      <c r="C2971" s="8">
        <v>46221</v>
      </c>
      <c r="D2971" s="2" t="s">
        <v>199</v>
      </c>
      <c r="E2971" s="2" t="s">
        <v>260</v>
      </c>
      <c r="F2971" s="2" t="s">
        <v>16703</v>
      </c>
      <c r="G2971" s="2" t="s">
        <v>5415</v>
      </c>
      <c r="H2971" s="2" t="s">
        <v>70</v>
      </c>
      <c r="I2971" s="9">
        <v>4988.7537990000001</v>
      </c>
      <c r="J2971" s="7">
        <v>0.65800000000000003</v>
      </c>
      <c r="K2971" s="9">
        <v>3282.6</v>
      </c>
      <c r="L2971" s="14">
        <v>0</v>
      </c>
      <c r="M2971" s="2" t="s">
        <v>71</v>
      </c>
      <c r="N2971" s="2" t="s">
        <v>16706</v>
      </c>
      <c r="O2971" s="2" t="s">
        <v>5414</v>
      </c>
      <c r="P2971" s="9">
        <v>1.81</v>
      </c>
      <c r="Q2971" s="9">
        <v>3282.6</v>
      </c>
      <c r="R2971" s="2" t="s">
        <v>16709</v>
      </c>
    </row>
    <row r="2972" spans="1:18" x14ac:dyDescent="0.25">
      <c r="A2972" s="2" t="s">
        <v>5418</v>
      </c>
      <c r="B2972" s="6">
        <v>46204</v>
      </c>
      <c r="C2972" s="8">
        <v>46232</v>
      </c>
      <c r="D2972" s="2" t="s">
        <v>199</v>
      </c>
      <c r="E2972" s="2" t="s">
        <v>260</v>
      </c>
      <c r="F2972" s="2" t="s">
        <v>16703</v>
      </c>
      <c r="G2972" s="2" t="s">
        <v>5420</v>
      </c>
      <c r="H2972" s="2" t="s">
        <v>39</v>
      </c>
      <c r="I2972" s="9">
        <v>8379.51</v>
      </c>
      <c r="J2972" s="7">
        <v>1</v>
      </c>
      <c r="K2972" s="9">
        <v>8379.51</v>
      </c>
      <c r="L2972" s="14">
        <v>0</v>
      </c>
      <c r="M2972" s="2" t="s">
        <v>71</v>
      </c>
      <c r="N2972" s="2" t="s">
        <v>16706</v>
      </c>
      <c r="O2972" s="2" t="s">
        <v>5419</v>
      </c>
      <c r="P2972" s="9">
        <v>4.6100000000000003</v>
      </c>
      <c r="Q2972" s="9">
        <v>8379.51</v>
      </c>
      <c r="R2972" s="2" t="s">
        <v>16709</v>
      </c>
    </row>
    <row r="2973" spans="1:18" x14ac:dyDescent="0.25">
      <c r="A2973" s="2" t="s">
        <v>5421</v>
      </c>
      <c r="B2973" s="6">
        <v>46204</v>
      </c>
      <c r="C2973" s="8">
        <v>46233</v>
      </c>
      <c r="D2973" s="2" t="s">
        <v>199</v>
      </c>
      <c r="E2973" s="2" t="s">
        <v>260</v>
      </c>
      <c r="F2973" s="2" t="s">
        <v>16703</v>
      </c>
      <c r="G2973" s="2" t="s">
        <v>5423</v>
      </c>
      <c r="H2973" s="2" t="s">
        <v>76</v>
      </c>
      <c r="I2973" s="9">
        <v>137943870.967742</v>
      </c>
      <c r="J2973" s="7">
        <v>6.2000000000000003E-5</v>
      </c>
      <c r="K2973" s="9">
        <v>8552.52</v>
      </c>
      <c r="L2973" s="14">
        <v>0</v>
      </c>
      <c r="M2973" s="2" t="s">
        <v>71</v>
      </c>
      <c r="N2973" s="2" t="s">
        <v>16706</v>
      </c>
      <c r="O2973" s="2" t="s">
        <v>5422</v>
      </c>
      <c r="P2973" s="9">
        <v>4.7</v>
      </c>
      <c r="Q2973" s="9">
        <v>8552.52</v>
      </c>
      <c r="R2973" s="2" t="s">
        <v>16709</v>
      </c>
    </row>
    <row r="2974" spans="1:18" x14ac:dyDescent="0.25">
      <c r="A2974" s="2" t="s">
        <v>5424</v>
      </c>
      <c r="B2974" s="6">
        <v>46204</v>
      </c>
      <c r="C2974" s="8">
        <v>46234</v>
      </c>
      <c r="D2974" s="2" t="s">
        <v>199</v>
      </c>
      <c r="E2974" s="2" t="s">
        <v>260</v>
      </c>
      <c r="F2974" s="2" t="s">
        <v>16703</v>
      </c>
      <c r="G2974" s="2" t="s">
        <v>5426</v>
      </c>
      <c r="H2974" s="2" t="s">
        <v>70</v>
      </c>
      <c r="I2974" s="9">
        <v>13260.683891000001</v>
      </c>
      <c r="J2974" s="7">
        <v>0.65800000000000003</v>
      </c>
      <c r="K2974" s="9">
        <v>8725.5300000000007</v>
      </c>
      <c r="L2974" s="14">
        <v>0</v>
      </c>
      <c r="M2974" s="2" t="s">
        <v>71</v>
      </c>
      <c r="N2974" s="2" t="s">
        <v>16706</v>
      </c>
      <c r="O2974" s="2" t="s">
        <v>5425</v>
      </c>
      <c r="P2974" s="9">
        <v>4.8</v>
      </c>
      <c r="Q2974" s="9">
        <v>8725.5300000000007</v>
      </c>
      <c r="R2974" s="2" t="s">
        <v>16709</v>
      </c>
    </row>
    <row r="2975" spans="1:18" x14ac:dyDescent="0.25">
      <c r="A2975" s="2" t="s">
        <v>5433</v>
      </c>
      <c r="B2975" s="6">
        <v>46204</v>
      </c>
      <c r="C2975" s="8">
        <v>46227</v>
      </c>
      <c r="D2975" s="2" t="s">
        <v>199</v>
      </c>
      <c r="E2975" s="2" t="s">
        <v>260</v>
      </c>
      <c r="F2975" s="2" t="s">
        <v>16703</v>
      </c>
      <c r="G2975" s="2" t="s">
        <v>5435</v>
      </c>
      <c r="H2975" s="2" t="s">
        <v>70</v>
      </c>
      <c r="I2975" s="9">
        <v>5619.7933130000001</v>
      </c>
      <c r="J2975" s="7">
        <v>0.65800000000000003</v>
      </c>
      <c r="K2975" s="9">
        <v>3697.82</v>
      </c>
      <c r="L2975" s="14">
        <v>0</v>
      </c>
      <c r="M2975" s="2" t="s">
        <v>71</v>
      </c>
      <c r="N2975" s="2" t="s">
        <v>16706</v>
      </c>
      <c r="O2975" s="2" t="s">
        <v>5434</v>
      </c>
      <c r="P2975" s="9">
        <v>2.0299999999999998</v>
      </c>
      <c r="Q2975" s="9">
        <v>3697.82</v>
      </c>
      <c r="R2975" s="2" t="s">
        <v>16709</v>
      </c>
    </row>
    <row r="2976" spans="1:18" x14ac:dyDescent="0.25">
      <c r="A2976" s="2" t="s">
        <v>5438</v>
      </c>
      <c r="B2976" s="6">
        <v>46204</v>
      </c>
      <c r="C2976" s="8">
        <v>46228</v>
      </c>
      <c r="D2976" s="2" t="s">
        <v>199</v>
      </c>
      <c r="E2976" s="2" t="s">
        <v>260</v>
      </c>
      <c r="F2976" s="2" t="s">
        <v>16703</v>
      </c>
      <c r="G2976" s="2" t="s">
        <v>5440</v>
      </c>
      <c r="H2976" s="2" t="s">
        <v>39</v>
      </c>
      <c r="I2976" s="9">
        <v>3767.0279999999998</v>
      </c>
      <c r="J2976" s="7">
        <v>1</v>
      </c>
      <c r="K2976" s="9">
        <v>3767.03</v>
      </c>
      <c r="L2976" s="14">
        <v>0</v>
      </c>
      <c r="M2976" s="2" t="s">
        <v>71</v>
      </c>
      <c r="N2976" s="2" t="s">
        <v>16706</v>
      </c>
      <c r="O2976" s="2" t="s">
        <v>5439</v>
      </c>
      <c r="P2976" s="9">
        <v>2.0699999999999998</v>
      </c>
      <c r="Q2976" s="9">
        <v>3767.03</v>
      </c>
      <c r="R2976" s="2" t="s">
        <v>16709</v>
      </c>
    </row>
    <row r="2977" spans="1:18" x14ac:dyDescent="0.25">
      <c r="A2977" s="2" t="s">
        <v>5449</v>
      </c>
      <c r="B2977" s="6">
        <v>46204</v>
      </c>
      <c r="C2977" s="8">
        <v>46231</v>
      </c>
      <c r="D2977" s="2" t="s">
        <v>199</v>
      </c>
      <c r="E2977" s="2" t="s">
        <v>260</v>
      </c>
      <c r="F2977" s="2" t="s">
        <v>16703</v>
      </c>
      <c r="G2977" s="2" t="s">
        <v>5451</v>
      </c>
      <c r="H2977" s="2" t="s">
        <v>39</v>
      </c>
      <c r="I2977" s="9">
        <v>3974.64</v>
      </c>
      <c r="J2977" s="7">
        <v>1</v>
      </c>
      <c r="K2977" s="9">
        <v>3974.64</v>
      </c>
      <c r="L2977" s="14">
        <v>0</v>
      </c>
      <c r="M2977" s="2" t="s">
        <v>71</v>
      </c>
      <c r="N2977" s="2" t="s">
        <v>16706</v>
      </c>
      <c r="O2977" s="2" t="s">
        <v>5450</v>
      </c>
      <c r="P2977" s="9">
        <v>2.19</v>
      </c>
      <c r="Q2977" s="9">
        <v>3974.64</v>
      </c>
      <c r="R2977" s="2" t="s">
        <v>16709</v>
      </c>
    </row>
    <row r="2978" spans="1:18" x14ac:dyDescent="0.25">
      <c r="A2978" s="2" t="s">
        <v>5515</v>
      </c>
      <c r="B2978" s="6">
        <v>46204</v>
      </c>
      <c r="C2978" s="8">
        <v>46228</v>
      </c>
      <c r="D2978" s="2" t="s">
        <v>199</v>
      </c>
      <c r="E2978" s="2" t="s">
        <v>260</v>
      </c>
      <c r="F2978" s="2" t="s">
        <v>16703</v>
      </c>
      <c r="G2978" s="2" t="s">
        <v>5517</v>
      </c>
      <c r="H2978" s="2" t="s">
        <v>39</v>
      </c>
      <c r="I2978" s="9">
        <v>13050.78</v>
      </c>
      <c r="J2978" s="7">
        <v>1</v>
      </c>
      <c r="K2978" s="9">
        <v>13050.78</v>
      </c>
      <c r="L2978" s="14">
        <v>0</v>
      </c>
      <c r="M2978" s="2" t="s">
        <v>71</v>
      </c>
      <c r="N2978" s="2" t="s">
        <v>16706</v>
      </c>
      <c r="O2978" s="2" t="s">
        <v>5516</v>
      </c>
      <c r="P2978" s="9">
        <v>7.18</v>
      </c>
      <c r="Q2978" s="9">
        <v>13050.78</v>
      </c>
      <c r="R2978" s="2" t="s">
        <v>16709</v>
      </c>
    </row>
    <row r="2979" spans="1:18" x14ac:dyDescent="0.25">
      <c r="A2979" s="2" t="s">
        <v>5518</v>
      </c>
      <c r="B2979" s="6">
        <v>46204</v>
      </c>
      <c r="C2979" s="8">
        <v>46229</v>
      </c>
      <c r="D2979" s="2" t="s">
        <v>199</v>
      </c>
      <c r="E2979" s="2" t="s">
        <v>260</v>
      </c>
      <c r="F2979" s="2" t="s">
        <v>16703</v>
      </c>
      <c r="G2979" s="2" t="s">
        <v>5520</v>
      </c>
      <c r="H2979" s="2" t="s">
        <v>76</v>
      </c>
      <c r="I2979" s="9">
        <v>213286935.48387101</v>
      </c>
      <c r="J2979" s="7">
        <v>6.2000000000000003E-5</v>
      </c>
      <c r="K2979" s="9">
        <v>13223.79</v>
      </c>
      <c r="L2979" s="14">
        <v>0</v>
      </c>
      <c r="M2979" s="2" t="s">
        <v>71</v>
      </c>
      <c r="N2979" s="2" t="s">
        <v>16706</v>
      </c>
      <c r="O2979" s="2" t="s">
        <v>5519</v>
      </c>
      <c r="P2979" s="9">
        <v>7.27</v>
      </c>
      <c r="Q2979" s="9">
        <v>13223.79</v>
      </c>
      <c r="R2979" s="2" t="s">
        <v>16709</v>
      </c>
    </row>
    <row r="2980" spans="1:18" x14ac:dyDescent="0.25">
      <c r="A2980" s="2" t="s">
        <v>5521</v>
      </c>
      <c r="B2980" s="6">
        <v>46204</v>
      </c>
      <c r="C2980" s="8">
        <v>46220</v>
      </c>
      <c r="D2980" s="2" t="s">
        <v>199</v>
      </c>
      <c r="E2980" s="2" t="s">
        <v>260</v>
      </c>
      <c r="F2980" s="2" t="s">
        <v>16703</v>
      </c>
      <c r="G2980" s="2" t="s">
        <v>5523</v>
      </c>
      <c r="H2980" s="2" t="s">
        <v>70</v>
      </c>
      <c r="I2980" s="9">
        <v>8143.951368</v>
      </c>
      <c r="J2980" s="7">
        <v>0.65800000000000003</v>
      </c>
      <c r="K2980" s="9">
        <v>5358.72</v>
      </c>
      <c r="L2980" s="14">
        <v>0</v>
      </c>
      <c r="M2980" s="2" t="s">
        <v>71</v>
      </c>
      <c r="N2980" s="2" t="s">
        <v>16706</v>
      </c>
      <c r="O2980" s="2" t="s">
        <v>5522</v>
      </c>
      <c r="P2980" s="9">
        <v>2.95</v>
      </c>
      <c r="Q2980" s="9">
        <v>5358.72</v>
      </c>
      <c r="R2980" s="2" t="s">
        <v>16709</v>
      </c>
    </row>
    <row r="2981" spans="1:18" x14ac:dyDescent="0.25">
      <c r="A2981" s="2" t="s">
        <v>5526</v>
      </c>
      <c r="B2981" s="6">
        <v>46204</v>
      </c>
      <c r="C2981" s="8">
        <v>46231</v>
      </c>
      <c r="D2981" s="2" t="s">
        <v>199</v>
      </c>
      <c r="E2981" s="2" t="s">
        <v>260</v>
      </c>
      <c r="F2981" s="2" t="s">
        <v>16703</v>
      </c>
      <c r="G2981" s="2" t="s">
        <v>5528</v>
      </c>
      <c r="H2981" s="2" t="s">
        <v>39</v>
      </c>
      <c r="I2981" s="9">
        <v>13569.81</v>
      </c>
      <c r="J2981" s="7">
        <v>1</v>
      </c>
      <c r="K2981" s="9">
        <v>13569.81</v>
      </c>
      <c r="L2981" s="14">
        <v>0</v>
      </c>
      <c r="M2981" s="2" t="s">
        <v>71</v>
      </c>
      <c r="N2981" s="2" t="s">
        <v>16706</v>
      </c>
      <c r="O2981" s="2" t="s">
        <v>5527</v>
      </c>
      <c r="P2981" s="9">
        <v>7.46</v>
      </c>
      <c r="Q2981" s="9">
        <v>13569.81</v>
      </c>
      <c r="R2981" s="2" t="s">
        <v>16709</v>
      </c>
    </row>
    <row r="2982" spans="1:18" x14ac:dyDescent="0.25">
      <c r="A2982" s="2" t="s">
        <v>5529</v>
      </c>
      <c r="B2982" s="6">
        <v>46204</v>
      </c>
      <c r="C2982" s="8">
        <v>46232</v>
      </c>
      <c r="D2982" s="2" t="s">
        <v>199</v>
      </c>
      <c r="E2982" s="2" t="s">
        <v>260</v>
      </c>
      <c r="F2982" s="2" t="s">
        <v>16703</v>
      </c>
      <c r="G2982" s="2" t="s">
        <v>5531</v>
      </c>
      <c r="H2982" s="2" t="s">
        <v>76</v>
      </c>
      <c r="I2982" s="9">
        <v>221658387.09677401</v>
      </c>
      <c r="J2982" s="7">
        <v>6.2000000000000003E-5</v>
      </c>
      <c r="K2982" s="9">
        <v>13742.82</v>
      </c>
      <c r="L2982" s="14">
        <v>0</v>
      </c>
      <c r="M2982" s="2" t="s">
        <v>71</v>
      </c>
      <c r="N2982" s="2" t="s">
        <v>16706</v>
      </c>
      <c r="O2982" s="2" t="s">
        <v>5530</v>
      </c>
      <c r="P2982" s="9">
        <v>7.56</v>
      </c>
      <c r="Q2982" s="9">
        <v>13742.82</v>
      </c>
      <c r="R2982" s="2" t="s">
        <v>16709</v>
      </c>
    </row>
    <row r="2983" spans="1:18" x14ac:dyDescent="0.25">
      <c r="A2983" s="2" t="s">
        <v>5532</v>
      </c>
      <c r="B2983" s="6">
        <v>46204</v>
      </c>
      <c r="C2983" s="8">
        <v>46233</v>
      </c>
      <c r="D2983" s="2" t="s">
        <v>199</v>
      </c>
      <c r="E2983" s="2" t="s">
        <v>260</v>
      </c>
      <c r="F2983" s="2" t="s">
        <v>16703</v>
      </c>
      <c r="G2983" s="2" t="s">
        <v>5534</v>
      </c>
      <c r="H2983" s="2" t="s">
        <v>70</v>
      </c>
      <c r="I2983" s="9">
        <v>21148.677812000002</v>
      </c>
      <c r="J2983" s="7">
        <v>0.65800000000000003</v>
      </c>
      <c r="K2983" s="9">
        <v>13915.83</v>
      </c>
      <c r="L2983" s="14">
        <v>0</v>
      </c>
      <c r="M2983" s="2" t="s">
        <v>71</v>
      </c>
      <c r="N2983" s="2" t="s">
        <v>16706</v>
      </c>
      <c r="O2983" s="2" t="s">
        <v>5533</v>
      </c>
      <c r="P2983" s="9">
        <v>7.65</v>
      </c>
      <c r="Q2983" s="9">
        <v>13915.83</v>
      </c>
      <c r="R2983" s="2" t="s">
        <v>16709</v>
      </c>
    </row>
    <row r="2984" spans="1:18" x14ac:dyDescent="0.25">
      <c r="A2984" s="2" t="s">
        <v>5535</v>
      </c>
      <c r="B2984" s="6">
        <v>46204</v>
      </c>
      <c r="C2984" s="8">
        <v>46234</v>
      </c>
      <c r="D2984" s="2" t="s">
        <v>199</v>
      </c>
      <c r="E2984" s="2" t="s">
        <v>260</v>
      </c>
      <c r="F2984" s="2" t="s">
        <v>16703</v>
      </c>
      <c r="G2984" s="2" t="s">
        <v>5537</v>
      </c>
      <c r="H2984" s="2" t="s">
        <v>39</v>
      </c>
      <c r="I2984" s="9">
        <v>14088.84</v>
      </c>
      <c r="J2984" s="7">
        <v>1</v>
      </c>
      <c r="K2984" s="9">
        <v>14088.84</v>
      </c>
      <c r="L2984" s="14">
        <v>0</v>
      </c>
      <c r="M2984" s="2" t="s">
        <v>71</v>
      </c>
      <c r="N2984" s="2" t="s">
        <v>16706</v>
      </c>
      <c r="O2984" s="2" t="s">
        <v>5536</v>
      </c>
      <c r="P2984" s="9">
        <v>7.75</v>
      </c>
      <c r="Q2984" s="9">
        <v>14088.84</v>
      </c>
      <c r="R2984" s="2" t="s">
        <v>16709</v>
      </c>
    </row>
    <row r="2985" spans="1:18" x14ac:dyDescent="0.25">
      <c r="A2985" s="2" t="s">
        <v>5541</v>
      </c>
      <c r="B2985" s="6">
        <v>46204</v>
      </c>
      <c r="C2985" s="8">
        <v>46226</v>
      </c>
      <c r="D2985" s="2" t="s">
        <v>199</v>
      </c>
      <c r="E2985" s="2" t="s">
        <v>260</v>
      </c>
      <c r="F2985" s="2" t="s">
        <v>16703</v>
      </c>
      <c r="G2985" s="2" t="s">
        <v>5543</v>
      </c>
      <c r="H2985" s="2" t="s">
        <v>70</v>
      </c>
      <c r="I2985" s="9">
        <v>8774.9908820000001</v>
      </c>
      <c r="J2985" s="7">
        <v>0.65800000000000003</v>
      </c>
      <c r="K2985" s="9">
        <v>5773.94</v>
      </c>
      <c r="L2985" s="14">
        <v>0</v>
      </c>
      <c r="M2985" s="2" t="s">
        <v>71</v>
      </c>
      <c r="N2985" s="2" t="s">
        <v>16706</v>
      </c>
      <c r="O2985" s="2" t="s">
        <v>5542</v>
      </c>
      <c r="P2985" s="9">
        <v>3.18</v>
      </c>
      <c r="Q2985" s="9">
        <v>5773.94</v>
      </c>
      <c r="R2985" s="2" t="s">
        <v>16709</v>
      </c>
    </row>
    <row r="2986" spans="1:18" x14ac:dyDescent="0.25">
      <c r="A2986" s="2" t="s">
        <v>5546</v>
      </c>
      <c r="B2986" s="6">
        <v>46204</v>
      </c>
      <c r="C2986" s="8">
        <v>46227</v>
      </c>
      <c r="D2986" s="2" t="s">
        <v>199</v>
      </c>
      <c r="E2986" s="2" t="s">
        <v>260</v>
      </c>
      <c r="F2986" s="2" t="s">
        <v>16703</v>
      </c>
      <c r="G2986" s="2" t="s">
        <v>5548</v>
      </c>
      <c r="H2986" s="2" t="s">
        <v>39</v>
      </c>
      <c r="I2986" s="9">
        <v>5843.1480000000001</v>
      </c>
      <c r="J2986" s="7">
        <v>1</v>
      </c>
      <c r="K2986" s="9">
        <v>5843.15</v>
      </c>
      <c r="L2986" s="14">
        <v>0</v>
      </c>
      <c r="M2986" s="2" t="s">
        <v>71</v>
      </c>
      <c r="N2986" s="2" t="s">
        <v>16706</v>
      </c>
      <c r="O2986" s="2" t="s">
        <v>5547</v>
      </c>
      <c r="P2986" s="9">
        <v>3.21</v>
      </c>
      <c r="Q2986" s="9">
        <v>5843.15</v>
      </c>
      <c r="R2986" s="2" t="s">
        <v>16709</v>
      </c>
    </row>
    <row r="2987" spans="1:18" x14ac:dyDescent="0.25">
      <c r="A2987" s="2" t="s">
        <v>5557</v>
      </c>
      <c r="B2987" s="6">
        <v>46204</v>
      </c>
      <c r="C2987" s="8">
        <v>46230</v>
      </c>
      <c r="D2987" s="2" t="s">
        <v>199</v>
      </c>
      <c r="E2987" s="2" t="s">
        <v>260</v>
      </c>
      <c r="F2987" s="2" t="s">
        <v>16703</v>
      </c>
      <c r="G2987" s="2" t="s">
        <v>5559</v>
      </c>
      <c r="H2987" s="2" t="s">
        <v>39</v>
      </c>
      <c r="I2987" s="9">
        <v>450.76</v>
      </c>
      <c r="J2987" s="7">
        <v>1</v>
      </c>
      <c r="K2987" s="9">
        <v>450.76</v>
      </c>
      <c r="L2987" s="14">
        <v>0</v>
      </c>
      <c r="M2987" s="2" t="s">
        <v>71</v>
      </c>
      <c r="N2987" s="2" t="s">
        <v>16706</v>
      </c>
      <c r="O2987" s="2" t="s">
        <v>5558</v>
      </c>
      <c r="P2987" s="9">
        <v>1.8</v>
      </c>
      <c r="Q2987" s="9">
        <v>450.76</v>
      </c>
      <c r="R2987" s="2" t="s">
        <v>16709</v>
      </c>
    </row>
    <row r="2988" spans="1:18" x14ac:dyDescent="0.25">
      <c r="A2988" s="2" t="s">
        <v>5626</v>
      </c>
      <c r="B2988" s="6">
        <v>46204</v>
      </c>
      <c r="C2988" s="8">
        <v>46228</v>
      </c>
      <c r="D2988" s="2" t="s">
        <v>199</v>
      </c>
      <c r="E2988" s="2" t="s">
        <v>260</v>
      </c>
      <c r="F2988" s="2" t="s">
        <v>16703</v>
      </c>
      <c r="G2988" s="2" t="s">
        <v>5628</v>
      </c>
      <c r="H2988" s="2" t="s">
        <v>76</v>
      </c>
      <c r="I2988" s="9">
        <v>71179354.838709995</v>
      </c>
      <c r="J2988" s="7">
        <v>6.2000000000000003E-5</v>
      </c>
      <c r="K2988" s="9">
        <v>4413.12</v>
      </c>
      <c r="L2988" s="14">
        <v>0</v>
      </c>
      <c r="M2988" s="2" t="s">
        <v>71</v>
      </c>
      <c r="N2988" s="2" t="s">
        <v>16706</v>
      </c>
      <c r="O2988" s="2" t="s">
        <v>5627</v>
      </c>
      <c r="P2988" s="9">
        <v>2.4300000000000002</v>
      </c>
      <c r="Q2988" s="9">
        <v>4413.12</v>
      </c>
      <c r="R2988" s="2" t="s">
        <v>16709</v>
      </c>
    </row>
    <row r="2989" spans="1:18" x14ac:dyDescent="0.25">
      <c r="A2989" s="2" t="s">
        <v>5629</v>
      </c>
      <c r="B2989" s="6">
        <v>46204</v>
      </c>
      <c r="C2989" s="8">
        <v>46219</v>
      </c>
      <c r="D2989" s="2" t="s">
        <v>199</v>
      </c>
      <c r="E2989" s="2" t="s">
        <v>260</v>
      </c>
      <c r="F2989" s="2" t="s">
        <v>16703</v>
      </c>
      <c r="G2989" s="2" t="s">
        <v>5631</v>
      </c>
      <c r="H2989" s="2" t="s">
        <v>70</v>
      </c>
      <c r="I2989" s="9">
        <v>2787.9209729999998</v>
      </c>
      <c r="J2989" s="7">
        <v>0.65800000000000003</v>
      </c>
      <c r="K2989" s="9">
        <v>1834.45</v>
      </c>
      <c r="L2989" s="14">
        <v>0</v>
      </c>
      <c r="M2989" s="2" t="s">
        <v>71</v>
      </c>
      <c r="N2989" s="2" t="s">
        <v>16706</v>
      </c>
      <c r="O2989" s="2" t="s">
        <v>5630</v>
      </c>
      <c r="P2989" s="9">
        <v>1.8</v>
      </c>
      <c r="Q2989" s="9">
        <v>1834.45</v>
      </c>
      <c r="R2989" s="2" t="s">
        <v>16709</v>
      </c>
    </row>
    <row r="2990" spans="1:18" x14ac:dyDescent="0.25">
      <c r="A2990" s="2" t="s">
        <v>5634</v>
      </c>
      <c r="B2990" s="6">
        <v>46204</v>
      </c>
      <c r="C2990" s="8">
        <v>46230</v>
      </c>
      <c r="D2990" s="2" t="s">
        <v>199</v>
      </c>
      <c r="E2990" s="2" t="s">
        <v>260</v>
      </c>
      <c r="F2990" s="2" t="s">
        <v>16703</v>
      </c>
      <c r="G2990" s="2" t="s">
        <v>5636</v>
      </c>
      <c r="H2990" s="2" t="s">
        <v>39</v>
      </c>
      <c r="I2990" s="9">
        <v>4759.1400000000003</v>
      </c>
      <c r="J2990" s="7">
        <v>1</v>
      </c>
      <c r="K2990" s="9">
        <v>4759.1400000000003</v>
      </c>
      <c r="L2990" s="14">
        <v>0</v>
      </c>
      <c r="M2990" s="2" t="s">
        <v>71</v>
      </c>
      <c r="N2990" s="2" t="s">
        <v>16706</v>
      </c>
      <c r="O2990" s="2" t="s">
        <v>5635</v>
      </c>
      <c r="P2990" s="9">
        <v>2.62</v>
      </c>
      <c r="Q2990" s="9">
        <v>4759.1400000000003</v>
      </c>
      <c r="R2990" s="2" t="s">
        <v>16709</v>
      </c>
    </row>
    <row r="2991" spans="1:18" x14ac:dyDescent="0.25">
      <c r="A2991" s="2" t="s">
        <v>5637</v>
      </c>
      <c r="B2991" s="6">
        <v>46204</v>
      </c>
      <c r="C2991" s="8">
        <v>46231</v>
      </c>
      <c r="D2991" s="2" t="s">
        <v>199</v>
      </c>
      <c r="E2991" s="2" t="s">
        <v>260</v>
      </c>
      <c r="F2991" s="2" t="s">
        <v>16703</v>
      </c>
      <c r="G2991" s="2" t="s">
        <v>5639</v>
      </c>
      <c r="H2991" s="2" t="s">
        <v>76</v>
      </c>
      <c r="I2991" s="9">
        <v>79550806.451612994</v>
      </c>
      <c r="J2991" s="7">
        <v>6.2000000000000003E-5</v>
      </c>
      <c r="K2991" s="9">
        <v>4932.1499999999996</v>
      </c>
      <c r="L2991" s="14">
        <v>0</v>
      </c>
      <c r="M2991" s="2" t="s">
        <v>71</v>
      </c>
      <c r="N2991" s="2" t="s">
        <v>16706</v>
      </c>
      <c r="O2991" s="2" t="s">
        <v>5638</v>
      </c>
      <c r="P2991" s="9">
        <v>2.71</v>
      </c>
      <c r="Q2991" s="9">
        <v>4932.1499999999996</v>
      </c>
      <c r="R2991" s="2" t="s">
        <v>16709</v>
      </c>
    </row>
    <row r="2992" spans="1:18" x14ac:dyDescent="0.25">
      <c r="A2992" s="2" t="s">
        <v>5640</v>
      </c>
      <c r="B2992" s="6">
        <v>46204</v>
      </c>
      <c r="C2992" s="8">
        <v>46232</v>
      </c>
      <c r="D2992" s="2" t="s">
        <v>199</v>
      </c>
      <c r="E2992" s="2" t="s">
        <v>260</v>
      </c>
      <c r="F2992" s="2" t="s">
        <v>16703</v>
      </c>
      <c r="G2992" s="2" t="s">
        <v>5642</v>
      </c>
      <c r="H2992" s="2" t="s">
        <v>70</v>
      </c>
      <c r="I2992" s="9">
        <v>7758.6018240000003</v>
      </c>
      <c r="J2992" s="7">
        <v>0.65800000000000003</v>
      </c>
      <c r="K2992" s="9">
        <v>5105.16</v>
      </c>
      <c r="L2992" s="14">
        <v>0</v>
      </c>
      <c r="M2992" s="2" t="s">
        <v>71</v>
      </c>
      <c r="N2992" s="2" t="s">
        <v>16706</v>
      </c>
      <c r="O2992" s="2" t="s">
        <v>5641</v>
      </c>
      <c r="P2992" s="9">
        <v>2.81</v>
      </c>
      <c r="Q2992" s="9">
        <v>5105.16</v>
      </c>
      <c r="R2992" s="2" t="s">
        <v>16709</v>
      </c>
    </row>
    <row r="2993" spans="1:18" x14ac:dyDescent="0.25">
      <c r="A2993" s="2" t="s">
        <v>5643</v>
      </c>
      <c r="B2993" s="6">
        <v>46204</v>
      </c>
      <c r="C2993" s="8">
        <v>46233</v>
      </c>
      <c r="D2993" s="2" t="s">
        <v>199</v>
      </c>
      <c r="E2993" s="2" t="s">
        <v>260</v>
      </c>
      <c r="F2993" s="2" t="s">
        <v>16703</v>
      </c>
      <c r="G2993" s="2" t="s">
        <v>5645</v>
      </c>
      <c r="H2993" s="2" t="s">
        <v>39</v>
      </c>
      <c r="I2993" s="9">
        <v>5278.17</v>
      </c>
      <c r="J2993" s="7">
        <v>1</v>
      </c>
      <c r="K2993" s="9">
        <v>5278.17</v>
      </c>
      <c r="L2993" s="14">
        <v>0</v>
      </c>
      <c r="M2993" s="2" t="s">
        <v>71</v>
      </c>
      <c r="N2993" s="2" t="s">
        <v>16706</v>
      </c>
      <c r="O2993" s="2" t="s">
        <v>5644</v>
      </c>
      <c r="P2993" s="9">
        <v>2.9</v>
      </c>
      <c r="Q2993" s="9">
        <v>5278.17</v>
      </c>
      <c r="R2993" s="2" t="s">
        <v>16709</v>
      </c>
    </row>
    <row r="2994" spans="1:18" x14ac:dyDescent="0.25">
      <c r="A2994" s="2" t="s">
        <v>5646</v>
      </c>
      <c r="B2994" s="6">
        <v>46204</v>
      </c>
      <c r="C2994" s="8">
        <v>46234</v>
      </c>
      <c r="D2994" s="2" t="s">
        <v>199</v>
      </c>
      <c r="E2994" s="2" t="s">
        <v>260</v>
      </c>
      <c r="F2994" s="2" t="s">
        <v>16703</v>
      </c>
      <c r="G2994" s="2" t="s">
        <v>5648</v>
      </c>
      <c r="H2994" s="2" t="s">
        <v>76</v>
      </c>
      <c r="I2994" s="9">
        <v>87922258.064515993</v>
      </c>
      <c r="J2994" s="7">
        <v>6.2000000000000003E-5</v>
      </c>
      <c r="K2994" s="9">
        <v>5451.18</v>
      </c>
      <c r="L2994" s="14">
        <v>0</v>
      </c>
      <c r="M2994" s="2" t="s">
        <v>71</v>
      </c>
      <c r="N2994" s="2" t="s">
        <v>16706</v>
      </c>
      <c r="O2994" s="2" t="s">
        <v>5647</v>
      </c>
      <c r="P2994" s="9">
        <v>3</v>
      </c>
      <c r="Q2994" s="9">
        <v>5451.18</v>
      </c>
      <c r="R2994" s="2" t="s">
        <v>16709</v>
      </c>
    </row>
    <row r="2995" spans="1:18" x14ac:dyDescent="0.25">
      <c r="A2995" s="2" t="s">
        <v>5649</v>
      </c>
      <c r="B2995" s="6">
        <v>46204</v>
      </c>
      <c r="C2995" s="8">
        <v>46225</v>
      </c>
      <c r="D2995" s="2" t="s">
        <v>199</v>
      </c>
      <c r="E2995" s="2" t="s">
        <v>260</v>
      </c>
      <c r="F2995" s="2" t="s">
        <v>16703</v>
      </c>
      <c r="G2995" s="2" t="s">
        <v>5651</v>
      </c>
      <c r="H2995" s="2" t="s">
        <v>70</v>
      </c>
      <c r="I2995" s="9">
        <v>3418.9604859999999</v>
      </c>
      <c r="J2995" s="7">
        <v>0.65800000000000003</v>
      </c>
      <c r="K2995" s="9">
        <v>2249.6799999999998</v>
      </c>
      <c r="L2995" s="14">
        <v>0</v>
      </c>
      <c r="M2995" s="2" t="s">
        <v>71</v>
      </c>
      <c r="N2995" s="2" t="s">
        <v>16706</v>
      </c>
      <c r="O2995" s="2" t="s">
        <v>5650</v>
      </c>
      <c r="P2995" s="9">
        <v>1.8</v>
      </c>
      <c r="Q2995" s="9">
        <v>2249.6799999999998</v>
      </c>
      <c r="R2995" s="2" t="s">
        <v>16709</v>
      </c>
    </row>
    <row r="2996" spans="1:18" x14ac:dyDescent="0.25">
      <c r="A2996" s="2" t="s">
        <v>5654</v>
      </c>
      <c r="B2996" s="6">
        <v>46204</v>
      </c>
      <c r="C2996" s="8">
        <v>46226</v>
      </c>
      <c r="D2996" s="2" t="s">
        <v>199</v>
      </c>
      <c r="E2996" s="2" t="s">
        <v>260</v>
      </c>
      <c r="F2996" s="2" t="s">
        <v>16703</v>
      </c>
      <c r="G2996" s="2" t="s">
        <v>5656</v>
      </c>
      <c r="H2996" s="2" t="s">
        <v>39</v>
      </c>
      <c r="I2996" s="9">
        <v>2318.88</v>
      </c>
      <c r="J2996" s="7">
        <v>1</v>
      </c>
      <c r="K2996" s="9">
        <v>2318.88</v>
      </c>
      <c r="L2996" s="14">
        <v>0</v>
      </c>
      <c r="M2996" s="2" t="s">
        <v>71</v>
      </c>
      <c r="N2996" s="2" t="s">
        <v>16706</v>
      </c>
      <c r="O2996" s="2" t="s">
        <v>5655</v>
      </c>
      <c r="P2996" s="9">
        <v>1.8</v>
      </c>
      <c r="Q2996" s="9">
        <v>2318.88</v>
      </c>
      <c r="R2996" s="2" t="s">
        <v>16709</v>
      </c>
    </row>
    <row r="2997" spans="1:18" x14ac:dyDescent="0.25">
      <c r="A2997" s="2" t="s">
        <v>5665</v>
      </c>
      <c r="B2997" s="6">
        <v>46204</v>
      </c>
      <c r="C2997" s="8">
        <v>46229</v>
      </c>
      <c r="D2997" s="2" t="s">
        <v>199</v>
      </c>
      <c r="E2997" s="2" t="s">
        <v>260</v>
      </c>
      <c r="F2997" s="2" t="s">
        <v>16703</v>
      </c>
      <c r="G2997" s="2" t="s">
        <v>5667</v>
      </c>
      <c r="H2997" s="2" t="s">
        <v>39</v>
      </c>
      <c r="I2997" s="9">
        <v>2526.4920000000002</v>
      </c>
      <c r="J2997" s="7">
        <v>1</v>
      </c>
      <c r="K2997" s="9">
        <v>2526.4899999999998</v>
      </c>
      <c r="L2997" s="14">
        <v>0</v>
      </c>
      <c r="M2997" s="2" t="s">
        <v>71</v>
      </c>
      <c r="N2997" s="2" t="s">
        <v>16706</v>
      </c>
      <c r="O2997" s="2" t="s">
        <v>5666</v>
      </c>
      <c r="P2997" s="9">
        <v>1.8</v>
      </c>
      <c r="Q2997" s="9">
        <v>2526.4899999999998</v>
      </c>
      <c r="R2997" s="2" t="s">
        <v>16709</v>
      </c>
    </row>
    <row r="2998" spans="1:18" x14ac:dyDescent="0.25">
      <c r="A2998" s="2" t="s">
        <v>5737</v>
      </c>
      <c r="B2998" s="6">
        <v>46204</v>
      </c>
      <c r="C2998" s="8">
        <v>46218</v>
      </c>
      <c r="D2998" s="2" t="s">
        <v>199</v>
      </c>
      <c r="E2998" s="2" t="s">
        <v>260</v>
      </c>
      <c r="F2998" s="2" t="s">
        <v>16703</v>
      </c>
      <c r="G2998" s="2" t="s">
        <v>5739</v>
      </c>
      <c r="H2998" s="2" t="s">
        <v>70</v>
      </c>
      <c r="I2998" s="9">
        <v>5943.1185409999998</v>
      </c>
      <c r="J2998" s="7">
        <v>0.65800000000000003</v>
      </c>
      <c r="K2998" s="9">
        <v>3910.57</v>
      </c>
      <c r="L2998" s="14">
        <v>0</v>
      </c>
      <c r="M2998" s="2" t="s">
        <v>71</v>
      </c>
      <c r="N2998" s="2" t="s">
        <v>16706</v>
      </c>
      <c r="O2998" s="2" t="s">
        <v>5738</v>
      </c>
      <c r="P2998" s="9">
        <v>2.15</v>
      </c>
      <c r="Q2998" s="9">
        <v>3910.57</v>
      </c>
      <c r="R2998" s="2" t="s">
        <v>16709</v>
      </c>
    </row>
    <row r="2999" spans="1:18" x14ac:dyDescent="0.25">
      <c r="A2999" s="2" t="s">
        <v>5742</v>
      </c>
      <c r="B2999" s="6">
        <v>46204</v>
      </c>
      <c r="C2999" s="8">
        <v>46229</v>
      </c>
      <c r="D2999" s="2" t="s">
        <v>199</v>
      </c>
      <c r="E2999" s="2" t="s">
        <v>260</v>
      </c>
      <c r="F2999" s="2" t="s">
        <v>16703</v>
      </c>
      <c r="G2999" s="2" t="s">
        <v>5744</v>
      </c>
      <c r="H2999" s="2" t="s">
        <v>39</v>
      </c>
      <c r="I2999" s="9">
        <v>9949.44</v>
      </c>
      <c r="J2999" s="7">
        <v>1</v>
      </c>
      <c r="K2999" s="9">
        <v>9949.44</v>
      </c>
      <c r="L2999" s="14">
        <v>0</v>
      </c>
      <c r="M2999" s="2" t="s">
        <v>71</v>
      </c>
      <c r="N2999" s="2" t="s">
        <v>16706</v>
      </c>
      <c r="O2999" s="2" t="s">
        <v>5743</v>
      </c>
      <c r="P2999" s="9">
        <v>5.47</v>
      </c>
      <c r="Q2999" s="9">
        <v>9949.44</v>
      </c>
      <c r="R2999" s="2" t="s">
        <v>16709</v>
      </c>
    </row>
    <row r="3000" spans="1:18" x14ac:dyDescent="0.25">
      <c r="A3000" s="2" t="s">
        <v>5745</v>
      </c>
      <c r="B3000" s="6">
        <v>46204</v>
      </c>
      <c r="C3000" s="8">
        <v>46230</v>
      </c>
      <c r="D3000" s="2" t="s">
        <v>199</v>
      </c>
      <c r="E3000" s="2" t="s">
        <v>260</v>
      </c>
      <c r="F3000" s="2" t="s">
        <v>16703</v>
      </c>
      <c r="G3000" s="2" t="s">
        <v>5747</v>
      </c>
      <c r="H3000" s="2" t="s">
        <v>76</v>
      </c>
      <c r="I3000" s="9">
        <v>163265322.58064499</v>
      </c>
      <c r="J3000" s="7">
        <v>6.2000000000000003E-5</v>
      </c>
      <c r="K3000" s="9">
        <v>10122.450000000001</v>
      </c>
      <c r="L3000" s="14">
        <v>0</v>
      </c>
      <c r="M3000" s="2" t="s">
        <v>71</v>
      </c>
      <c r="N3000" s="2" t="s">
        <v>16706</v>
      </c>
      <c r="O3000" s="2" t="s">
        <v>5746</v>
      </c>
      <c r="P3000" s="9">
        <v>5.57</v>
      </c>
      <c r="Q3000" s="9">
        <v>10122.450000000001</v>
      </c>
      <c r="R3000" s="2" t="s">
        <v>16709</v>
      </c>
    </row>
    <row r="3001" spans="1:18" x14ac:dyDescent="0.25">
      <c r="A3001" s="2" t="s">
        <v>5748</v>
      </c>
      <c r="B3001" s="6">
        <v>46204</v>
      </c>
      <c r="C3001" s="8">
        <v>46231</v>
      </c>
      <c r="D3001" s="2" t="s">
        <v>199</v>
      </c>
      <c r="E3001" s="2" t="s">
        <v>260</v>
      </c>
      <c r="F3001" s="2" t="s">
        <v>16703</v>
      </c>
      <c r="G3001" s="2" t="s">
        <v>5750</v>
      </c>
      <c r="H3001" s="2" t="s">
        <v>70</v>
      </c>
      <c r="I3001" s="9">
        <v>15646.595745000001</v>
      </c>
      <c r="J3001" s="7">
        <v>0.65800000000000003</v>
      </c>
      <c r="K3001" s="9">
        <v>10295.459999999999</v>
      </c>
      <c r="L3001" s="14">
        <v>0</v>
      </c>
      <c r="M3001" s="2" t="s">
        <v>71</v>
      </c>
      <c r="N3001" s="2" t="s">
        <v>16706</v>
      </c>
      <c r="O3001" s="2" t="s">
        <v>5749</v>
      </c>
      <c r="P3001" s="9">
        <v>5.66</v>
      </c>
      <c r="Q3001" s="9">
        <v>10295.459999999999</v>
      </c>
      <c r="R3001" s="2" t="s">
        <v>16709</v>
      </c>
    </row>
    <row r="3002" spans="1:18" x14ac:dyDescent="0.25">
      <c r="A3002" s="2" t="s">
        <v>5751</v>
      </c>
      <c r="B3002" s="6">
        <v>46204</v>
      </c>
      <c r="C3002" s="8">
        <v>46232</v>
      </c>
      <c r="D3002" s="2" t="s">
        <v>199</v>
      </c>
      <c r="E3002" s="2" t="s">
        <v>260</v>
      </c>
      <c r="F3002" s="2" t="s">
        <v>16703</v>
      </c>
      <c r="G3002" s="2" t="s">
        <v>5753</v>
      </c>
      <c r="H3002" s="2" t="s">
        <v>39</v>
      </c>
      <c r="I3002" s="9">
        <v>10468.469999999999</v>
      </c>
      <c r="J3002" s="7">
        <v>1</v>
      </c>
      <c r="K3002" s="9">
        <v>10468.469999999999</v>
      </c>
      <c r="L3002" s="14">
        <v>0</v>
      </c>
      <c r="M3002" s="2" t="s">
        <v>71</v>
      </c>
      <c r="N3002" s="2" t="s">
        <v>16706</v>
      </c>
      <c r="O3002" s="2" t="s">
        <v>5752</v>
      </c>
      <c r="P3002" s="9">
        <v>5.76</v>
      </c>
      <c r="Q3002" s="9">
        <v>10468.469999999999</v>
      </c>
      <c r="R3002" s="2" t="s">
        <v>16709</v>
      </c>
    </row>
    <row r="3003" spans="1:18" x14ac:dyDescent="0.25">
      <c r="A3003" s="2" t="s">
        <v>5754</v>
      </c>
      <c r="B3003" s="6">
        <v>46204</v>
      </c>
      <c r="C3003" s="8">
        <v>46233</v>
      </c>
      <c r="D3003" s="2" t="s">
        <v>199</v>
      </c>
      <c r="E3003" s="2" t="s">
        <v>260</v>
      </c>
      <c r="F3003" s="2" t="s">
        <v>16703</v>
      </c>
      <c r="G3003" s="2" t="s">
        <v>5756</v>
      </c>
      <c r="H3003" s="2" t="s">
        <v>76</v>
      </c>
      <c r="I3003" s="9">
        <v>-171636774.19354799</v>
      </c>
      <c r="J3003" s="7">
        <v>6.2000000000000003E-5</v>
      </c>
      <c r="K3003" s="9">
        <v>-10641.48</v>
      </c>
      <c r="L3003" s="14">
        <v>0</v>
      </c>
      <c r="M3003" s="2" t="s">
        <v>71</v>
      </c>
      <c r="N3003" s="2" t="s">
        <v>16706</v>
      </c>
      <c r="O3003" s="2" t="s">
        <v>5755</v>
      </c>
      <c r="P3003" s="9">
        <v>0</v>
      </c>
      <c r="Q3003" s="9">
        <v>-10641.48</v>
      </c>
      <c r="R3003" s="2" t="s">
        <v>16709</v>
      </c>
    </row>
    <row r="3004" spans="1:18" x14ac:dyDescent="0.25">
      <c r="A3004" s="2" t="s">
        <v>5757</v>
      </c>
      <c r="B3004" s="6">
        <v>46204</v>
      </c>
      <c r="C3004" s="8">
        <v>46224</v>
      </c>
      <c r="D3004" s="2" t="s">
        <v>199</v>
      </c>
      <c r="E3004" s="2" t="s">
        <v>260</v>
      </c>
      <c r="F3004" s="2" t="s">
        <v>16703</v>
      </c>
      <c r="G3004" s="2" t="s">
        <v>5759</v>
      </c>
      <c r="H3004" s="2" t="s">
        <v>70</v>
      </c>
      <c r="I3004" s="9">
        <v>6574.1580549999999</v>
      </c>
      <c r="J3004" s="7">
        <v>0.65800000000000003</v>
      </c>
      <c r="K3004" s="9">
        <v>4325.8</v>
      </c>
      <c r="L3004" s="14">
        <v>0</v>
      </c>
      <c r="M3004" s="2" t="s">
        <v>71</v>
      </c>
      <c r="N3004" s="2" t="s">
        <v>16706</v>
      </c>
      <c r="O3004" s="2" t="s">
        <v>5758</v>
      </c>
      <c r="P3004" s="9">
        <v>2.38</v>
      </c>
      <c r="Q3004" s="9">
        <v>4325.8</v>
      </c>
      <c r="R3004" s="2" t="s">
        <v>16709</v>
      </c>
    </row>
    <row r="3005" spans="1:18" x14ac:dyDescent="0.25">
      <c r="A3005" s="2" t="s">
        <v>5762</v>
      </c>
      <c r="B3005" s="6">
        <v>46204</v>
      </c>
      <c r="C3005" s="8">
        <v>46225</v>
      </c>
      <c r="D3005" s="2" t="s">
        <v>199</v>
      </c>
      <c r="E3005" s="2" t="s">
        <v>260</v>
      </c>
      <c r="F3005" s="2" t="s">
        <v>16703</v>
      </c>
      <c r="G3005" s="2" t="s">
        <v>5764</v>
      </c>
      <c r="H3005" s="2" t="s">
        <v>39</v>
      </c>
      <c r="I3005" s="9">
        <v>4395</v>
      </c>
      <c r="J3005" s="7">
        <v>1</v>
      </c>
      <c r="K3005" s="9">
        <v>4395</v>
      </c>
      <c r="L3005" s="14">
        <v>0</v>
      </c>
      <c r="M3005" s="2" t="s">
        <v>71</v>
      </c>
      <c r="N3005" s="2" t="s">
        <v>16706</v>
      </c>
      <c r="O3005" s="2" t="s">
        <v>5763</v>
      </c>
      <c r="P3005" s="9">
        <v>2.42</v>
      </c>
      <c r="Q3005" s="9">
        <v>4395</v>
      </c>
      <c r="R3005" s="2" t="s">
        <v>16709</v>
      </c>
    </row>
    <row r="3006" spans="1:18" x14ac:dyDescent="0.25">
      <c r="A3006" s="2" t="s">
        <v>5773</v>
      </c>
      <c r="B3006" s="6">
        <v>46204</v>
      </c>
      <c r="C3006" s="8">
        <v>46228</v>
      </c>
      <c r="D3006" s="2" t="s">
        <v>199</v>
      </c>
      <c r="E3006" s="2" t="s">
        <v>260</v>
      </c>
      <c r="F3006" s="2" t="s">
        <v>16703</v>
      </c>
      <c r="G3006" s="2" t="s">
        <v>5775</v>
      </c>
      <c r="H3006" s="2" t="s">
        <v>39</v>
      </c>
      <c r="I3006" s="9">
        <v>4602.6120000000001</v>
      </c>
      <c r="J3006" s="7">
        <v>1</v>
      </c>
      <c r="K3006" s="9">
        <v>4602.6099999999997</v>
      </c>
      <c r="L3006" s="14">
        <v>0</v>
      </c>
      <c r="M3006" s="2" t="s">
        <v>71</v>
      </c>
      <c r="N3006" s="2" t="s">
        <v>16706</v>
      </c>
      <c r="O3006" s="2" t="s">
        <v>5774</v>
      </c>
      <c r="P3006" s="9">
        <v>2.5299999999999998</v>
      </c>
      <c r="Q3006" s="9">
        <v>4602.6099999999997</v>
      </c>
      <c r="R3006" s="2" t="s">
        <v>16709</v>
      </c>
    </row>
    <row r="3007" spans="1:18" x14ac:dyDescent="0.25">
      <c r="A3007" s="2" t="s">
        <v>5793</v>
      </c>
      <c r="B3007" s="6">
        <v>46204</v>
      </c>
      <c r="C3007" s="8">
        <v>46234</v>
      </c>
      <c r="D3007" s="2" t="s">
        <v>199</v>
      </c>
      <c r="E3007" s="2" t="s">
        <v>260</v>
      </c>
      <c r="F3007" s="2" t="s">
        <v>16703</v>
      </c>
      <c r="G3007" s="2" t="s">
        <v>5795</v>
      </c>
      <c r="H3007" s="2" t="s">
        <v>39</v>
      </c>
      <c r="I3007" s="9">
        <v>5017.8360000000002</v>
      </c>
      <c r="J3007" s="7">
        <v>1</v>
      </c>
      <c r="K3007" s="9">
        <v>5017.84</v>
      </c>
      <c r="L3007" s="14">
        <v>0</v>
      </c>
      <c r="M3007" s="2" t="s">
        <v>71</v>
      </c>
      <c r="N3007" s="2" t="s">
        <v>16706</v>
      </c>
      <c r="O3007" s="2" t="s">
        <v>5794</v>
      </c>
      <c r="P3007" s="9">
        <v>2.76</v>
      </c>
      <c r="Q3007" s="9">
        <v>5017.84</v>
      </c>
      <c r="R3007" s="2" t="s">
        <v>16709</v>
      </c>
    </row>
    <row r="3008" spans="1:18" x14ac:dyDescent="0.25">
      <c r="A3008" s="2" t="s">
        <v>5850</v>
      </c>
      <c r="B3008" s="6">
        <v>46204</v>
      </c>
      <c r="C3008" s="8">
        <v>46228</v>
      </c>
      <c r="D3008" s="2" t="s">
        <v>199</v>
      </c>
      <c r="E3008" s="2" t="s">
        <v>260</v>
      </c>
      <c r="F3008" s="2" t="s">
        <v>16703</v>
      </c>
      <c r="G3008" s="2" t="s">
        <v>5852</v>
      </c>
      <c r="H3008" s="2" t="s">
        <v>39</v>
      </c>
      <c r="I3008" s="9">
        <v>1139.74</v>
      </c>
      <c r="J3008" s="7">
        <v>1</v>
      </c>
      <c r="K3008" s="9">
        <v>1139.74</v>
      </c>
      <c r="L3008" s="14">
        <v>0</v>
      </c>
      <c r="M3008" s="2" t="s">
        <v>71</v>
      </c>
      <c r="N3008" s="2" t="s">
        <v>16706</v>
      </c>
      <c r="O3008" s="2" t="s">
        <v>5851</v>
      </c>
      <c r="P3008" s="9">
        <v>1.8</v>
      </c>
      <c r="Q3008" s="9">
        <v>1139.74</v>
      </c>
      <c r="R3008" s="2" t="s">
        <v>16709</v>
      </c>
    </row>
    <row r="3009" spans="1:18" x14ac:dyDescent="0.25">
      <c r="A3009" s="2" t="s">
        <v>5853</v>
      </c>
      <c r="B3009" s="6">
        <v>46204</v>
      </c>
      <c r="C3009" s="8">
        <v>46229</v>
      </c>
      <c r="D3009" s="2" t="s">
        <v>199</v>
      </c>
      <c r="E3009" s="2" t="s">
        <v>260</v>
      </c>
      <c r="F3009" s="2" t="s">
        <v>16703</v>
      </c>
      <c r="G3009" s="2" t="s">
        <v>5855</v>
      </c>
      <c r="H3009" s="2" t="s">
        <v>76</v>
      </c>
      <c r="I3009" s="9">
        <v>21173387.096774001</v>
      </c>
      <c r="J3009" s="7">
        <v>6.2000000000000003E-5</v>
      </c>
      <c r="K3009" s="9">
        <v>1312.75</v>
      </c>
      <c r="L3009" s="14">
        <v>0</v>
      </c>
      <c r="M3009" s="2" t="s">
        <v>71</v>
      </c>
      <c r="N3009" s="2" t="s">
        <v>16706</v>
      </c>
      <c r="O3009" s="2" t="s">
        <v>5854</v>
      </c>
      <c r="P3009" s="9">
        <v>1.8</v>
      </c>
      <c r="Q3009" s="9">
        <v>1312.75</v>
      </c>
      <c r="R3009" s="2" t="s">
        <v>16709</v>
      </c>
    </row>
    <row r="3010" spans="1:18" x14ac:dyDescent="0.25">
      <c r="A3010" s="2" t="s">
        <v>5856</v>
      </c>
      <c r="B3010" s="6">
        <v>46204</v>
      </c>
      <c r="C3010" s="8">
        <v>46230</v>
      </c>
      <c r="D3010" s="2" t="s">
        <v>199</v>
      </c>
      <c r="E3010" s="2" t="s">
        <v>260</v>
      </c>
      <c r="F3010" s="2" t="s">
        <v>16703</v>
      </c>
      <c r="G3010" s="2" t="s">
        <v>5858</v>
      </c>
      <c r="H3010" s="2" t="s">
        <v>70</v>
      </c>
      <c r="I3010" s="9">
        <v>2257.9939209999998</v>
      </c>
      <c r="J3010" s="7">
        <v>0.65800000000000003</v>
      </c>
      <c r="K3010" s="9">
        <v>1485.76</v>
      </c>
      <c r="L3010" s="14">
        <v>0</v>
      </c>
      <c r="M3010" s="2" t="s">
        <v>71</v>
      </c>
      <c r="N3010" s="2" t="s">
        <v>16706</v>
      </c>
      <c r="O3010" s="2" t="s">
        <v>5857</v>
      </c>
      <c r="P3010" s="9">
        <v>1.8</v>
      </c>
      <c r="Q3010" s="9">
        <v>1485.76</v>
      </c>
      <c r="R3010" s="2" t="s">
        <v>16709</v>
      </c>
    </row>
    <row r="3011" spans="1:18" x14ac:dyDescent="0.25">
      <c r="A3011" s="2" t="s">
        <v>5859</v>
      </c>
      <c r="B3011" s="6">
        <v>46204</v>
      </c>
      <c r="C3011" s="8">
        <v>46231</v>
      </c>
      <c r="D3011" s="2" t="s">
        <v>199</v>
      </c>
      <c r="E3011" s="2" t="s">
        <v>260</v>
      </c>
      <c r="F3011" s="2" t="s">
        <v>16703</v>
      </c>
      <c r="G3011" s="2" t="s">
        <v>5861</v>
      </c>
      <c r="H3011" s="2" t="s">
        <v>39</v>
      </c>
      <c r="I3011" s="9">
        <v>1658.77</v>
      </c>
      <c r="J3011" s="7">
        <v>1</v>
      </c>
      <c r="K3011" s="9">
        <v>1658.77</v>
      </c>
      <c r="L3011" s="14">
        <v>0</v>
      </c>
      <c r="M3011" s="2" t="s">
        <v>71</v>
      </c>
      <c r="N3011" s="2" t="s">
        <v>16706</v>
      </c>
      <c r="O3011" s="2" t="s">
        <v>5860</v>
      </c>
      <c r="P3011" s="9">
        <v>1.8</v>
      </c>
      <c r="Q3011" s="9">
        <v>1658.77</v>
      </c>
      <c r="R3011" s="2" t="s">
        <v>16709</v>
      </c>
    </row>
    <row r="3012" spans="1:18" x14ac:dyDescent="0.25">
      <c r="A3012" s="2" t="s">
        <v>5862</v>
      </c>
      <c r="B3012" s="6">
        <v>46204</v>
      </c>
      <c r="C3012" s="8">
        <v>46232</v>
      </c>
      <c r="D3012" s="2" t="s">
        <v>199</v>
      </c>
      <c r="E3012" s="2" t="s">
        <v>260</v>
      </c>
      <c r="F3012" s="2" t="s">
        <v>16703</v>
      </c>
      <c r="G3012" s="2" t="s">
        <v>5864</v>
      </c>
      <c r="H3012" s="2" t="s">
        <v>76</v>
      </c>
      <c r="I3012" s="9">
        <v>29544838.709677</v>
      </c>
      <c r="J3012" s="7">
        <v>6.2000000000000003E-5</v>
      </c>
      <c r="K3012" s="9">
        <v>1831.78</v>
      </c>
      <c r="L3012" s="14">
        <v>0</v>
      </c>
      <c r="M3012" s="2" t="s">
        <v>71</v>
      </c>
      <c r="N3012" s="2" t="s">
        <v>16706</v>
      </c>
      <c r="O3012" s="2" t="s">
        <v>5863</v>
      </c>
      <c r="P3012" s="9">
        <v>1.8</v>
      </c>
      <c r="Q3012" s="9">
        <v>1831.78</v>
      </c>
      <c r="R3012" s="2" t="s">
        <v>16709</v>
      </c>
    </row>
    <row r="3013" spans="1:18" x14ac:dyDescent="0.25">
      <c r="A3013" s="2" t="s">
        <v>5865</v>
      </c>
      <c r="B3013" s="6">
        <v>46204</v>
      </c>
      <c r="C3013" s="8">
        <v>46223</v>
      </c>
      <c r="D3013" s="2" t="s">
        <v>199</v>
      </c>
      <c r="E3013" s="2" t="s">
        <v>260</v>
      </c>
      <c r="F3013" s="2" t="s">
        <v>16703</v>
      </c>
      <c r="G3013" s="2" t="s">
        <v>5867</v>
      </c>
      <c r="H3013" s="2" t="s">
        <v>70</v>
      </c>
      <c r="I3013" s="9">
        <v>1218.7173250000001</v>
      </c>
      <c r="J3013" s="7">
        <v>0.65800000000000003</v>
      </c>
      <c r="K3013" s="9">
        <v>801.92</v>
      </c>
      <c r="L3013" s="14">
        <v>0</v>
      </c>
      <c r="M3013" s="2" t="s">
        <v>71</v>
      </c>
      <c r="N3013" s="2" t="s">
        <v>16706</v>
      </c>
      <c r="O3013" s="2" t="s">
        <v>5866</v>
      </c>
      <c r="P3013" s="9">
        <v>1.8</v>
      </c>
      <c r="Q3013" s="9">
        <v>801.92</v>
      </c>
      <c r="R3013" s="2" t="s">
        <v>16709</v>
      </c>
    </row>
    <row r="3014" spans="1:18" x14ac:dyDescent="0.25">
      <c r="A3014" s="2" t="s">
        <v>5870</v>
      </c>
      <c r="B3014" s="6">
        <v>46204</v>
      </c>
      <c r="C3014" s="8">
        <v>46224</v>
      </c>
      <c r="D3014" s="2" t="s">
        <v>199</v>
      </c>
      <c r="E3014" s="2" t="s">
        <v>260</v>
      </c>
      <c r="F3014" s="2" t="s">
        <v>16703</v>
      </c>
      <c r="G3014" s="2" t="s">
        <v>5872</v>
      </c>
      <c r="H3014" s="2" t="s">
        <v>39</v>
      </c>
      <c r="I3014" s="9">
        <v>871.12</v>
      </c>
      <c r="J3014" s="7">
        <v>1</v>
      </c>
      <c r="K3014" s="9">
        <v>871.12</v>
      </c>
      <c r="L3014" s="14">
        <v>0</v>
      </c>
      <c r="M3014" s="2" t="s">
        <v>71</v>
      </c>
      <c r="N3014" s="2" t="s">
        <v>16706</v>
      </c>
      <c r="O3014" s="2" t="s">
        <v>5871</v>
      </c>
      <c r="P3014" s="9">
        <v>1.8</v>
      </c>
      <c r="Q3014" s="9">
        <v>871.12</v>
      </c>
      <c r="R3014" s="2" t="s">
        <v>16709</v>
      </c>
    </row>
    <row r="3015" spans="1:18" x14ac:dyDescent="0.25">
      <c r="A3015" s="2" t="s">
        <v>5881</v>
      </c>
      <c r="B3015" s="6">
        <v>46204</v>
      </c>
      <c r="C3015" s="8">
        <v>46227</v>
      </c>
      <c r="D3015" s="2" t="s">
        <v>199</v>
      </c>
      <c r="E3015" s="2" t="s">
        <v>260</v>
      </c>
      <c r="F3015" s="2" t="s">
        <v>16703</v>
      </c>
      <c r="G3015" s="2" t="s">
        <v>5883</v>
      </c>
      <c r="H3015" s="2" t="s">
        <v>39</v>
      </c>
      <c r="I3015" s="9">
        <v>1078.732</v>
      </c>
      <c r="J3015" s="7">
        <v>1</v>
      </c>
      <c r="K3015" s="9">
        <v>1078.73</v>
      </c>
      <c r="L3015" s="14">
        <v>0</v>
      </c>
      <c r="M3015" s="2" t="s">
        <v>71</v>
      </c>
      <c r="N3015" s="2" t="s">
        <v>16706</v>
      </c>
      <c r="O3015" s="2" t="s">
        <v>5882</v>
      </c>
      <c r="P3015" s="9">
        <v>1.8</v>
      </c>
      <c r="Q3015" s="9">
        <v>1078.73</v>
      </c>
      <c r="R3015" s="2" t="s">
        <v>16709</v>
      </c>
    </row>
    <row r="3016" spans="1:18" x14ac:dyDescent="0.25">
      <c r="A3016" s="2" t="s">
        <v>5901</v>
      </c>
      <c r="B3016" s="6">
        <v>46204</v>
      </c>
      <c r="C3016" s="8">
        <v>46233</v>
      </c>
      <c r="D3016" s="2" t="s">
        <v>199</v>
      </c>
      <c r="E3016" s="2" t="s">
        <v>260</v>
      </c>
      <c r="F3016" s="2" t="s">
        <v>16703</v>
      </c>
      <c r="G3016" s="2" t="s">
        <v>5903</v>
      </c>
      <c r="H3016" s="2" t="s">
        <v>39</v>
      </c>
      <c r="I3016" s="9">
        <v>-3734.89</v>
      </c>
      <c r="J3016" s="7">
        <v>1</v>
      </c>
      <c r="K3016" s="9">
        <v>-3734.89</v>
      </c>
      <c r="L3016" s="14">
        <v>0</v>
      </c>
      <c r="M3016" s="2" t="s">
        <v>71</v>
      </c>
      <c r="N3016" s="2" t="s">
        <v>16706</v>
      </c>
      <c r="O3016" s="2" t="s">
        <v>5902</v>
      </c>
      <c r="P3016" s="9">
        <v>0</v>
      </c>
      <c r="Q3016" s="9">
        <v>-3734.89</v>
      </c>
      <c r="R3016" s="2" t="s">
        <v>16709</v>
      </c>
    </row>
    <row r="3017" spans="1:18" x14ac:dyDescent="0.25">
      <c r="A3017" s="2" t="s">
        <v>5904</v>
      </c>
      <c r="B3017" s="6">
        <v>46204</v>
      </c>
      <c r="C3017" s="8">
        <v>46234</v>
      </c>
      <c r="D3017" s="2" t="s">
        <v>199</v>
      </c>
      <c r="E3017" s="2" t="s">
        <v>260</v>
      </c>
      <c r="F3017" s="2" t="s">
        <v>16703</v>
      </c>
      <c r="G3017" s="2" t="s">
        <v>5906</v>
      </c>
      <c r="H3017" s="2" t="s">
        <v>76</v>
      </c>
      <c r="I3017" s="9">
        <v>25212258.064516</v>
      </c>
      <c r="J3017" s="7">
        <v>6.2000000000000003E-5</v>
      </c>
      <c r="K3017" s="9">
        <v>1563.16</v>
      </c>
      <c r="L3017" s="14">
        <v>0</v>
      </c>
      <c r="M3017" s="2" t="s">
        <v>71</v>
      </c>
      <c r="N3017" s="2" t="s">
        <v>16706</v>
      </c>
      <c r="O3017" s="2" t="s">
        <v>5905</v>
      </c>
      <c r="P3017" s="9">
        <v>1.8</v>
      </c>
      <c r="Q3017" s="9">
        <v>1563.16</v>
      </c>
      <c r="R3017" s="2" t="s">
        <v>16709</v>
      </c>
    </row>
    <row r="3018" spans="1:18" x14ac:dyDescent="0.25">
      <c r="A3018" s="2" t="s">
        <v>5959</v>
      </c>
      <c r="B3018" s="6">
        <v>46204</v>
      </c>
      <c r="C3018" s="8">
        <v>46228</v>
      </c>
      <c r="D3018" s="2" t="s">
        <v>199</v>
      </c>
      <c r="E3018" s="2" t="s">
        <v>260</v>
      </c>
      <c r="F3018" s="2" t="s">
        <v>16703</v>
      </c>
      <c r="G3018" s="2" t="s">
        <v>5961</v>
      </c>
      <c r="H3018" s="2" t="s">
        <v>76</v>
      </c>
      <c r="I3018" s="9">
        <v>104872258.06451599</v>
      </c>
      <c r="J3018" s="7">
        <v>6.2000000000000003E-5</v>
      </c>
      <c r="K3018" s="9">
        <v>6502.08</v>
      </c>
      <c r="L3018" s="14">
        <v>0</v>
      </c>
      <c r="M3018" s="2" t="s">
        <v>71</v>
      </c>
      <c r="N3018" s="2" t="s">
        <v>16706</v>
      </c>
      <c r="O3018" s="2" t="s">
        <v>5960</v>
      </c>
      <c r="P3018" s="9">
        <v>3.58</v>
      </c>
      <c r="Q3018" s="9">
        <v>6502.08</v>
      </c>
      <c r="R3018" s="2" t="s">
        <v>16709</v>
      </c>
    </row>
    <row r="3019" spans="1:18" x14ac:dyDescent="0.25">
      <c r="A3019" s="2" t="s">
        <v>5962</v>
      </c>
      <c r="B3019" s="6">
        <v>46204</v>
      </c>
      <c r="C3019" s="8">
        <v>46229</v>
      </c>
      <c r="D3019" s="2" t="s">
        <v>199</v>
      </c>
      <c r="E3019" s="2" t="s">
        <v>260</v>
      </c>
      <c r="F3019" s="2" t="s">
        <v>16703</v>
      </c>
      <c r="G3019" s="2" t="s">
        <v>5964</v>
      </c>
      <c r="H3019" s="2" t="s">
        <v>70</v>
      </c>
      <c r="I3019" s="9">
        <v>10144.513677999999</v>
      </c>
      <c r="J3019" s="7">
        <v>0.65800000000000003</v>
      </c>
      <c r="K3019" s="9">
        <v>6675.09</v>
      </c>
      <c r="L3019" s="14">
        <v>0</v>
      </c>
      <c r="M3019" s="2" t="s">
        <v>71</v>
      </c>
      <c r="N3019" s="2" t="s">
        <v>16706</v>
      </c>
      <c r="O3019" s="2" t="s">
        <v>5963</v>
      </c>
      <c r="P3019" s="9">
        <v>3.67</v>
      </c>
      <c r="Q3019" s="9">
        <v>6675.09</v>
      </c>
      <c r="R3019" s="2" t="s">
        <v>16709</v>
      </c>
    </row>
    <row r="3020" spans="1:18" x14ac:dyDescent="0.25">
      <c r="A3020" s="2" t="s">
        <v>5965</v>
      </c>
      <c r="B3020" s="6">
        <v>46204</v>
      </c>
      <c r="C3020" s="8">
        <v>46230</v>
      </c>
      <c r="D3020" s="2" t="s">
        <v>199</v>
      </c>
      <c r="E3020" s="2" t="s">
        <v>260</v>
      </c>
      <c r="F3020" s="2" t="s">
        <v>16703</v>
      </c>
      <c r="G3020" s="2" t="s">
        <v>5967</v>
      </c>
      <c r="H3020" s="2" t="s">
        <v>39</v>
      </c>
      <c r="I3020" s="9">
        <v>6848.1</v>
      </c>
      <c r="J3020" s="7">
        <v>1</v>
      </c>
      <c r="K3020" s="9">
        <v>6848.1</v>
      </c>
      <c r="L3020" s="14">
        <v>0</v>
      </c>
      <c r="M3020" s="2" t="s">
        <v>71</v>
      </c>
      <c r="N3020" s="2" t="s">
        <v>16706</v>
      </c>
      <c r="O3020" s="2" t="s">
        <v>5966</v>
      </c>
      <c r="P3020" s="9">
        <v>3.77</v>
      </c>
      <c r="Q3020" s="9">
        <v>6848.1</v>
      </c>
      <c r="R3020" s="2" t="s">
        <v>16709</v>
      </c>
    </row>
    <row r="3021" spans="1:18" x14ac:dyDescent="0.25">
      <c r="A3021" s="2" t="s">
        <v>5968</v>
      </c>
      <c r="B3021" s="6">
        <v>46204</v>
      </c>
      <c r="C3021" s="8">
        <v>46231</v>
      </c>
      <c r="D3021" s="2" t="s">
        <v>199</v>
      </c>
      <c r="E3021" s="2" t="s">
        <v>260</v>
      </c>
      <c r="F3021" s="2" t="s">
        <v>16703</v>
      </c>
      <c r="G3021" s="2" t="s">
        <v>5970</v>
      </c>
      <c r="H3021" s="2" t="s">
        <v>76</v>
      </c>
      <c r="I3021" s="9">
        <v>113243709.67741901</v>
      </c>
      <c r="J3021" s="7">
        <v>6.2000000000000003E-5</v>
      </c>
      <c r="K3021" s="9">
        <v>7021.11</v>
      </c>
      <c r="L3021" s="14">
        <v>0</v>
      </c>
      <c r="M3021" s="2" t="s">
        <v>71</v>
      </c>
      <c r="N3021" s="2" t="s">
        <v>16706</v>
      </c>
      <c r="O3021" s="2" t="s">
        <v>5969</v>
      </c>
      <c r="P3021" s="9">
        <v>3.86</v>
      </c>
      <c r="Q3021" s="9">
        <v>7021.11</v>
      </c>
      <c r="R3021" s="2" t="s">
        <v>16709</v>
      </c>
    </row>
    <row r="3022" spans="1:18" x14ac:dyDescent="0.25">
      <c r="A3022" s="2" t="s">
        <v>5971</v>
      </c>
      <c r="B3022" s="6">
        <v>46204</v>
      </c>
      <c r="C3022" s="8">
        <v>46222</v>
      </c>
      <c r="D3022" s="2" t="s">
        <v>199</v>
      </c>
      <c r="E3022" s="2" t="s">
        <v>260</v>
      </c>
      <c r="F3022" s="2" t="s">
        <v>16703</v>
      </c>
      <c r="G3022" s="2" t="s">
        <v>5973</v>
      </c>
      <c r="H3022" s="2" t="s">
        <v>70</v>
      </c>
      <c r="I3022" s="9">
        <v>4373.3252279999997</v>
      </c>
      <c r="J3022" s="7">
        <v>0.65800000000000003</v>
      </c>
      <c r="K3022" s="9">
        <v>2877.65</v>
      </c>
      <c r="L3022" s="14">
        <v>0</v>
      </c>
      <c r="M3022" s="2" t="s">
        <v>71</v>
      </c>
      <c r="N3022" s="2" t="s">
        <v>16706</v>
      </c>
      <c r="O3022" s="2" t="s">
        <v>5972</v>
      </c>
      <c r="P3022" s="9">
        <v>1.8</v>
      </c>
      <c r="Q3022" s="9">
        <v>2877.65</v>
      </c>
      <c r="R3022" s="2" t="s">
        <v>16709</v>
      </c>
    </row>
    <row r="3023" spans="1:18" x14ac:dyDescent="0.25">
      <c r="A3023" s="2" t="s">
        <v>5976</v>
      </c>
      <c r="B3023" s="6">
        <v>46204</v>
      </c>
      <c r="C3023" s="8">
        <v>46223</v>
      </c>
      <c r="D3023" s="2" t="s">
        <v>199</v>
      </c>
      <c r="E3023" s="2" t="s">
        <v>260</v>
      </c>
      <c r="F3023" s="2" t="s">
        <v>16703</v>
      </c>
      <c r="G3023" s="2" t="s">
        <v>5978</v>
      </c>
      <c r="H3023" s="2" t="s">
        <v>39</v>
      </c>
      <c r="I3023" s="9">
        <v>2946.8519999999999</v>
      </c>
      <c r="J3023" s="7">
        <v>1</v>
      </c>
      <c r="K3023" s="9">
        <v>2946.85</v>
      </c>
      <c r="L3023" s="14">
        <v>0</v>
      </c>
      <c r="M3023" s="2" t="s">
        <v>71</v>
      </c>
      <c r="N3023" s="2" t="s">
        <v>16706</v>
      </c>
      <c r="O3023" s="2" t="s">
        <v>5977</v>
      </c>
      <c r="P3023" s="9">
        <v>1.8</v>
      </c>
      <c r="Q3023" s="9">
        <v>2946.85</v>
      </c>
      <c r="R3023" s="2" t="s">
        <v>16709</v>
      </c>
    </row>
    <row r="3024" spans="1:18" x14ac:dyDescent="0.25">
      <c r="A3024" s="2" t="s">
        <v>5981</v>
      </c>
      <c r="B3024" s="6">
        <v>46204</v>
      </c>
      <c r="C3024" s="8">
        <v>46234</v>
      </c>
      <c r="D3024" s="2" t="s">
        <v>199</v>
      </c>
      <c r="E3024" s="2" t="s">
        <v>260</v>
      </c>
      <c r="F3024" s="2" t="s">
        <v>16703</v>
      </c>
      <c r="G3024" s="2" t="s">
        <v>5983</v>
      </c>
      <c r="H3024" s="2" t="s">
        <v>76</v>
      </c>
      <c r="I3024" s="9">
        <v>121615161.290323</v>
      </c>
      <c r="J3024" s="7">
        <v>6.2000000000000003E-5</v>
      </c>
      <c r="K3024" s="9">
        <v>7540.14</v>
      </c>
      <c r="L3024" s="14">
        <v>0</v>
      </c>
      <c r="M3024" s="2" t="s">
        <v>71</v>
      </c>
      <c r="N3024" s="2" t="s">
        <v>16706</v>
      </c>
      <c r="O3024" s="2" t="s">
        <v>5982</v>
      </c>
      <c r="P3024" s="9">
        <v>4.1500000000000004</v>
      </c>
      <c r="Q3024" s="9">
        <v>7540.14</v>
      </c>
      <c r="R3024" s="2" t="s">
        <v>16709</v>
      </c>
    </row>
    <row r="3025" spans="1:18" x14ac:dyDescent="0.25">
      <c r="A3025" s="2" t="s">
        <v>5987</v>
      </c>
      <c r="B3025" s="6">
        <v>46204</v>
      </c>
      <c r="C3025" s="8">
        <v>46226</v>
      </c>
      <c r="D3025" s="2" t="s">
        <v>199</v>
      </c>
      <c r="E3025" s="2" t="s">
        <v>260</v>
      </c>
      <c r="F3025" s="2" t="s">
        <v>16703</v>
      </c>
      <c r="G3025" s="2" t="s">
        <v>5989</v>
      </c>
      <c r="H3025" s="2" t="s">
        <v>39</v>
      </c>
      <c r="I3025" s="9">
        <v>3154.4639999999999</v>
      </c>
      <c r="J3025" s="7">
        <v>1</v>
      </c>
      <c r="K3025" s="9">
        <v>3154.46</v>
      </c>
      <c r="L3025" s="14">
        <v>0</v>
      </c>
      <c r="M3025" s="2" t="s">
        <v>71</v>
      </c>
      <c r="N3025" s="2" t="s">
        <v>16706</v>
      </c>
      <c r="O3025" s="2" t="s">
        <v>5988</v>
      </c>
      <c r="P3025" s="9">
        <v>1.8</v>
      </c>
      <c r="Q3025" s="9">
        <v>3154.46</v>
      </c>
      <c r="R3025" s="2" t="s">
        <v>16709</v>
      </c>
    </row>
    <row r="3026" spans="1:18" x14ac:dyDescent="0.25">
      <c r="A3026" s="2" t="s">
        <v>6007</v>
      </c>
      <c r="B3026" s="6">
        <v>46204</v>
      </c>
      <c r="C3026" s="8">
        <v>46232</v>
      </c>
      <c r="D3026" s="2" t="s">
        <v>199</v>
      </c>
      <c r="E3026" s="2" t="s">
        <v>260</v>
      </c>
      <c r="F3026" s="2" t="s">
        <v>16703</v>
      </c>
      <c r="G3026" s="2" t="s">
        <v>6009</v>
      </c>
      <c r="H3026" s="2" t="s">
        <v>39</v>
      </c>
      <c r="I3026" s="9">
        <v>3569.6880000000001</v>
      </c>
      <c r="J3026" s="7">
        <v>1</v>
      </c>
      <c r="K3026" s="9">
        <v>3569.69</v>
      </c>
      <c r="L3026" s="14">
        <v>0</v>
      </c>
      <c r="M3026" s="2" t="s">
        <v>71</v>
      </c>
      <c r="N3026" s="2" t="s">
        <v>16706</v>
      </c>
      <c r="O3026" s="2" t="s">
        <v>6008</v>
      </c>
      <c r="P3026" s="9">
        <v>1.96</v>
      </c>
      <c r="Q3026" s="9">
        <v>3569.69</v>
      </c>
      <c r="R3026" s="2" t="s">
        <v>16709</v>
      </c>
    </row>
    <row r="3027" spans="1:18" x14ac:dyDescent="0.25">
      <c r="A3027" s="2" t="s">
        <v>6012</v>
      </c>
      <c r="B3027" s="6">
        <v>46204</v>
      </c>
      <c r="C3027" s="8">
        <v>46233</v>
      </c>
      <c r="D3027" s="2" t="s">
        <v>199</v>
      </c>
      <c r="E3027" s="2" t="s">
        <v>260</v>
      </c>
      <c r="F3027" s="2" t="s">
        <v>16703</v>
      </c>
      <c r="G3027" s="2" t="s">
        <v>6014</v>
      </c>
      <c r="H3027" s="2" t="s">
        <v>76</v>
      </c>
      <c r="I3027" s="9">
        <v>58691806.451613002</v>
      </c>
      <c r="J3027" s="7">
        <v>6.2000000000000003E-5</v>
      </c>
      <c r="K3027" s="9">
        <v>3638.89</v>
      </c>
      <c r="L3027" s="14">
        <v>0</v>
      </c>
      <c r="M3027" s="2" t="s">
        <v>71</v>
      </c>
      <c r="N3027" s="2" t="s">
        <v>16706</v>
      </c>
      <c r="O3027" s="2" t="s">
        <v>6013</v>
      </c>
      <c r="P3027" s="9">
        <v>2</v>
      </c>
      <c r="Q3027" s="9">
        <v>3638.89</v>
      </c>
      <c r="R3027" s="2" t="s">
        <v>16709</v>
      </c>
    </row>
    <row r="3028" spans="1:18" x14ac:dyDescent="0.25">
      <c r="A3028" s="2" t="s">
        <v>6068</v>
      </c>
      <c r="B3028" s="6">
        <v>46204</v>
      </c>
      <c r="C3028" s="8">
        <v>46228</v>
      </c>
      <c r="D3028" s="2" t="s">
        <v>199</v>
      </c>
      <c r="E3028" s="2" t="s">
        <v>260</v>
      </c>
      <c r="F3028" s="2" t="s">
        <v>16703</v>
      </c>
      <c r="G3028" s="2" t="s">
        <v>6070</v>
      </c>
      <c r="H3028" s="2" t="s">
        <v>70</v>
      </c>
      <c r="I3028" s="9">
        <v>18032.507599</v>
      </c>
      <c r="J3028" s="7">
        <v>0.65800000000000003</v>
      </c>
      <c r="K3028" s="9">
        <v>11865.39</v>
      </c>
      <c r="L3028" s="14">
        <v>0</v>
      </c>
      <c r="M3028" s="2" t="s">
        <v>71</v>
      </c>
      <c r="N3028" s="2" t="s">
        <v>16706</v>
      </c>
      <c r="O3028" s="2" t="s">
        <v>6069</v>
      </c>
      <c r="P3028" s="9">
        <v>6.53</v>
      </c>
      <c r="Q3028" s="9">
        <v>11865.39</v>
      </c>
      <c r="R3028" s="2" t="s">
        <v>16709</v>
      </c>
    </row>
    <row r="3029" spans="1:18" x14ac:dyDescent="0.25">
      <c r="A3029" s="2" t="s">
        <v>6071</v>
      </c>
      <c r="B3029" s="6">
        <v>46204</v>
      </c>
      <c r="C3029" s="8">
        <v>46229</v>
      </c>
      <c r="D3029" s="2" t="s">
        <v>199</v>
      </c>
      <c r="E3029" s="2" t="s">
        <v>260</v>
      </c>
      <c r="F3029" s="2" t="s">
        <v>16703</v>
      </c>
      <c r="G3029" s="2" t="s">
        <v>6073</v>
      </c>
      <c r="H3029" s="2" t="s">
        <v>39</v>
      </c>
      <c r="I3029" s="9">
        <v>12038.4</v>
      </c>
      <c r="J3029" s="7">
        <v>1</v>
      </c>
      <c r="K3029" s="9">
        <v>12038.4</v>
      </c>
      <c r="L3029" s="14">
        <v>0</v>
      </c>
      <c r="M3029" s="2" t="s">
        <v>71</v>
      </c>
      <c r="N3029" s="2" t="s">
        <v>16706</v>
      </c>
      <c r="O3029" s="2" t="s">
        <v>6072</v>
      </c>
      <c r="P3029" s="9">
        <v>6.62</v>
      </c>
      <c r="Q3029" s="9">
        <v>12038.4</v>
      </c>
      <c r="R3029" s="2" t="s">
        <v>16709</v>
      </c>
    </row>
    <row r="3030" spans="1:18" x14ac:dyDescent="0.25">
      <c r="A3030" s="2" t="s">
        <v>6074</v>
      </c>
      <c r="B3030" s="6">
        <v>46204</v>
      </c>
      <c r="C3030" s="8">
        <v>46230</v>
      </c>
      <c r="D3030" s="2" t="s">
        <v>199</v>
      </c>
      <c r="E3030" s="2" t="s">
        <v>260</v>
      </c>
      <c r="F3030" s="2" t="s">
        <v>16703</v>
      </c>
      <c r="G3030" s="2" t="s">
        <v>6076</v>
      </c>
      <c r="H3030" s="2" t="s">
        <v>76</v>
      </c>
      <c r="I3030" s="9">
        <v>196958225.80645201</v>
      </c>
      <c r="J3030" s="7">
        <v>6.2000000000000003E-5</v>
      </c>
      <c r="K3030" s="9">
        <v>12211.41</v>
      </c>
      <c r="L3030" s="14">
        <v>0</v>
      </c>
      <c r="M3030" s="2" t="s">
        <v>71</v>
      </c>
      <c r="N3030" s="2" t="s">
        <v>16706</v>
      </c>
      <c r="O3030" s="2" t="s">
        <v>6075</v>
      </c>
      <c r="P3030" s="9">
        <v>6.72</v>
      </c>
      <c r="Q3030" s="9">
        <v>12211.41</v>
      </c>
      <c r="R3030" s="2" t="s">
        <v>16709</v>
      </c>
    </row>
    <row r="3031" spans="1:18" x14ac:dyDescent="0.25">
      <c r="A3031" s="2" t="s">
        <v>6077</v>
      </c>
      <c r="B3031" s="6">
        <v>46204</v>
      </c>
      <c r="C3031" s="8">
        <v>46221</v>
      </c>
      <c r="D3031" s="2" t="s">
        <v>199</v>
      </c>
      <c r="E3031" s="2" t="s">
        <v>260</v>
      </c>
      <c r="F3031" s="2" t="s">
        <v>16703</v>
      </c>
      <c r="G3031" s="2" t="s">
        <v>6079</v>
      </c>
      <c r="H3031" s="2" t="s">
        <v>70</v>
      </c>
      <c r="I3031" s="9">
        <v>7528.5227960000002</v>
      </c>
      <c r="J3031" s="7">
        <v>0.65800000000000003</v>
      </c>
      <c r="K3031" s="9">
        <v>4953.7700000000004</v>
      </c>
      <c r="L3031" s="14">
        <v>0</v>
      </c>
      <c r="M3031" s="2" t="s">
        <v>71</v>
      </c>
      <c r="N3031" s="2" t="s">
        <v>16706</v>
      </c>
      <c r="O3031" s="2" t="s">
        <v>6078</v>
      </c>
      <c r="P3031" s="9">
        <v>2.72</v>
      </c>
      <c r="Q3031" s="9">
        <v>4953.7700000000004</v>
      </c>
      <c r="R3031" s="2" t="s">
        <v>16709</v>
      </c>
    </row>
    <row r="3032" spans="1:18" x14ac:dyDescent="0.25">
      <c r="A3032" s="2" t="s">
        <v>6082</v>
      </c>
      <c r="B3032" s="6">
        <v>46204</v>
      </c>
      <c r="C3032" s="8">
        <v>46222</v>
      </c>
      <c r="D3032" s="2" t="s">
        <v>199</v>
      </c>
      <c r="E3032" s="2" t="s">
        <v>260</v>
      </c>
      <c r="F3032" s="2" t="s">
        <v>16703</v>
      </c>
      <c r="G3032" s="2" t="s">
        <v>6084</v>
      </c>
      <c r="H3032" s="2" t="s">
        <v>39</v>
      </c>
      <c r="I3032" s="9">
        <v>5022.9719999999998</v>
      </c>
      <c r="J3032" s="7">
        <v>1</v>
      </c>
      <c r="K3032" s="9">
        <v>5022.97</v>
      </c>
      <c r="L3032" s="14">
        <v>0</v>
      </c>
      <c r="M3032" s="2" t="s">
        <v>71</v>
      </c>
      <c r="N3032" s="2" t="s">
        <v>16706</v>
      </c>
      <c r="O3032" s="2" t="s">
        <v>6083</v>
      </c>
      <c r="P3032" s="9">
        <v>2.76</v>
      </c>
      <c r="Q3032" s="9">
        <v>5022.97</v>
      </c>
      <c r="R3032" s="2" t="s">
        <v>16709</v>
      </c>
    </row>
    <row r="3033" spans="1:18" x14ac:dyDescent="0.25">
      <c r="A3033" s="2" t="s">
        <v>6087</v>
      </c>
      <c r="B3033" s="6">
        <v>46204</v>
      </c>
      <c r="C3033" s="8">
        <v>46233</v>
      </c>
      <c r="D3033" s="2" t="s">
        <v>199</v>
      </c>
      <c r="E3033" s="2" t="s">
        <v>260</v>
      </c>
      <c r="F3033" s="2" t="s">
        <v>16703</v>
      </c>
      <c r="G3033" s="2" t="s">
        <v>6089</v>
      </c>
      <c r="H3033" s="2" t="s">
        <v>76</v>
      </c>
      <c r="I3033" s="9">
        <v>205329677.41935501</v>
      </c>
      <c r="J3033" s="7">
        <v>6.2000000000000003E-5</v>
      </c>
      <c r="K3033" s="9">
        <v>12730.44</v>
      </c>
      <c r="L3033" s="14">
        <v>0</v>
      </c>
      <c r="M3033" s="2" t="s">
        <v>71</v>
      </c>
      <c r="N3033" s="2" t="s">
        <v>16706</v>
      </c>
      <c r="O3033" s="2" t="s">
        <v>6088</v>
      </c>
      <c r="P3033" s="9">
        <v>7</v>
      </c>
      <c r="Q3033" s="9">
        <v>12730.44</v>
      </c>
      <c r="R3033" s="2" t="s">
        <v>16709</v>
      </c>
    </row>
    <row r="3034" spans="1:18" x14ac:dyDescent="0.25">
      <c r="A3034" s="2" t="s">
        <v>6090</v>
      </c>
      <c r="B3034" s="6">
        <v>46204</v>
      </c>
      <c r="C3034" s="8">
        <v>46234</v>
      </c>
      <c r="D3034" s="2" t="s">
        <v>199</v>
      </c>
      <c r="E3034" s="2" t="s">
        <v>260</v>
      </c>
      <c r="F3034" s="2" t="s">
        <v>16703</v>
      </c>
      <c r="G3034" s="2" t="s">
        <v>6092</v>
      </c>
      <c r="H3034" s="2" t="s">
        <v>70</v>
      </c>
      <c r="I3034" s="9">
        <v>19610.106382999998</v>
      </c>
      <c r="J3034" s="7">
        <v>0.65800000000000003</v>
      </c>
      <c r="K3034" s="9">
        <v>12903.45</v>
      </c>
      <c r="L3034" s="14">
        <v>0</v>
      </c>
      <c r="M3034" s="2" t="s">
        <v>71</v>
      </c>
      <c r="N3034" s="2" t="s">
        <v>16706</v>
      </c>
      <c r="O3034" s="2" t="s">
        <v>6091</v>
      </c>
      <c r="P3034" s="9">
        <v>7.1</v>
      </c>
      <c r="Q3034" s="9">
        <v>12903.45</v>
      </c>
      <c r="R3034" s="2" t="s">
        <v>16709</v>
      </c>
    </row>
    <row r="3035" spans="1:18" x14ac:dyDescent="0.25">
      <c r="A3035" s="2" t="s">
        <v>6093</v>
      </c>
      <c r="B3035" s="6">
        <v>46204</v>
      </c>
      <c r="C3035" s="8">
        <v>46225</v>
      </c>
      <c r="D3035" s="2" t="s">
        <v>199</v>
      </c>
      <c r="E3035" s="2" t="s">
        <v>260</v>
      </c>
      <c r="F3035" s="2" t="s">
        <v>16703</v>
      </c>
      <c r="G3035" s="2" t="s">
        <v>6095</v>
      </c>
      <c r="H3035" s="2" t="s">
        <v>39</v>
      </c>
      <c r="I3035" s="9">
        <v>5230.5839999999998</v>
      </c>
      <c r="J3035" s="7">
        <v>1</v>
      </c>
      <c r="K3035" s="9">
        <v>5230.58</v>
      </c>
      <c r="L3035" s="14">
        <v>0</v>
      </c>
      <c r="M3035" s="2" t="s">
        <v>71</v>
      </c>
      <c r="N3035" s="2" t="s">
        <v>16706</v>
      </c>
      <c r="O3035" s="2" t="s">
        <v>6094</v>
      </c>
      <c r="P3035" s="9">
        <v>2.88</v>
      </c>
      <c r="Q3035" s="9">
        <v>5230.58</v>
      </c>
      <c r="R3035" s="2" t="s">
        <v>16709</v>
      </c>
    </row>
    <row r="3036" spans="1:18" x14ac:dyDescent="0.25">
      <c r="A3036" s="2" t="s">
        <v>6113</v>
      </c>
      <c r="B3036" s="6">
        <v>46204</v>
      </c>
      <c r="C3036" s="8">
        <v>46231</v>
      </c>
      <c r="D3036" s="2" t="s">
        <v>199</v>
      </c>
      <c r="E3036" s="2" t="s">
        <v>260</v>
      </c>
      <c r="F3036" s="2" t="s">
        <v>16703</v>
      </c>
      <c r="G3036" s="2" t="s">
        <v>6115</v>
      </c>
      <c r="H3036" s="2" t="s">
        <v>39</v>
      </c>
      <c r="I3036" s="9">
        <v>5645.808</v>
      </c>
      <c r="J3036" s="7">
        <v>1</v>
      </c>
      <c r="K3036" s="9">
        <v>5645.81</v>
      </c>
      <c r="L3036" s="14">
        <v>0</v>
      </c>
      <c r="M3036" s="2" t="s">
        <v>71</v>
      </c>
      <c r="N3036" s="2" t="s">
        <v>16706</v>
      </c>
      <c r="O3036" s="2" t="s">
        <v>6114</v>
      </c>
      <c r="P3036" s="9">
        <v>3.11</v>
      </c>
      <c r="Q3036" s="9">
        <v>5645.81</v>
      </c>
      <c r="R3036" s="2" t="s">
        <v>16709</v>
      </c>
    </row>
    <row r="3037" spans="1:18" x14ac:dyDescent="0.25">
      <c r="A3037" s="2" t="s">
        <v>6118</v>
      </c>
      <c r="B3037" s="6">
        <v>46204</v>
      </c>
      <c r="C3037" s="8">
        <v>46232</v>
      </c>
      <c r="D3037" s="2" t="s">
        <v>199</v>
      </c>
      <c r="E3037" s="2" t="s">
        <v>260</v>
      </c>
      <c r="F3037" s="2" t="s">
        <v>16703</v>
      </c>
      <c r="G3037" s="2" t="s">
        <v>6120</v>
      </c>
      <c r="H3037" s="2" t="s">
        <v>76</v>
      </c>
      <c r="I3037" s="9">
        <v>92177612.903226003</v>
      </c>
      <c r="J3037" s="7">
        <v>6.2000000000000003E-5</v>
      </c>
      <c r="K3037" s="9">
        <v>5715.01</v>
      </c>
      <c r="L3037" s="14">
        <v>0</v>
      </c>
      <c r="M3037" s="2" t="s">
        <v>71</v>
      </c>
      <c r="N3037" s="2" t="s">
        <v>16706</v>
      </c>
      <c r="O3037" s="2" t="s">
        <v>6119</v>
      </c>
      <c r="P3037" s="9">
        <v>3.14</v>
      </c>
      <c r="Q3037" s="9">
        <v>5715.01</v>
      </c>
      <c r="R3037" s="2" t="s">
        <v>16709</v>
      </c>
    </row>
    <row r="3038" spans="1:18" x14ac:dyDescent="0.25">
      <c r="A3038" s="2" t="s">
        <v>6179</v>
      </c>
      <c r="B3038" s="6">
        <v>46204</v>
      </c>
      <c r="C3038" s="8">
        <v>46228</v>
      </c>
      <c r="D3038" s="2" t="s">
        <v>199</v>
      </c>
      <c r="E3038" s="2" t="s">
        <v>260</v>
      </c>
      <c r="F3038" s="2" t="s">
        <v>16703</v>
      </c>
      <c r="G3038" s="2" t="s">
        <v>6181</v>
      </c>
      <c r="H3038" s="2" t="s">
        <v>39</v>
      </c>
      <c r="I3038" s="9">
        <v>3228.7</v>
      </c>
      <c r="J3038" s="7">
        <v>1</v>
      </c>
      <c r="K3038" s="9">
        <v>3228.7</v>
      </c>
      <c r="L3038" s="14">
        <v>0</v>
      </c>
      <c r="M3038" s="2" t="s">
        <v>71</v>
      </c>
      <c r="N3038" s="2" t="s">
        <v>16706</v>
      </c>
      <c r="O3038" s="2" t="s">
        <v>6180</v>
      </c>
      <c r="P3038" s="9">
        <v>1.8</v>
      </c>
      <c r="Q3038" s="9">
        <v>3228.7</v>
      </c>
      <c r="R3038" s="2" t="s">
        <v>16709</v>
      </c>
    </row>
    <row r="3039" spans="1:18" x14ac:dyDescent="0.25">
      <c r="A3039" s="2" t="s">
        <v>6182</v>
      </c>
      <c r="B3039" s="6">
        <v>46204</v>
      </c>
      <c r="C3039" s="8">
        <v>46229</v>
      </c>
      <c r="D3039" s="2" t="s">
        <v>199</v>
      </c>
      <c r="E3039" s="2" t="s">
        <v>260</v>
      </c>
      <c r="F3039" s="2" t="s">
        <v>16703</v>
      </c>
      <c r="G3039" s="2" t="s">
        <v>6184</v>
      </c>
      <c r="H3039" s="2" t="s">
        <v>76</v>
      </c>
      <c r="I3039" s="9">
        <v>54866290.322581001</v>
      </c>
      <c r="J3039" s="7">
        <v>6.2000000000000003E-5</v>
      </c>
      <c r="K3039" s="9">
        <v>3401.71</v>
      </c>
      <c r="L3039" s="14">
        <v>0</v>
      </c>
      <c r="M3039" s="2" t="s">
        <v>71</v>
      </c>
      <c r="N3039" s="2" t="s">
        <v>16706</v>
      </c>
      <c r="O3039" s="2" t="s">
        <v>6183</v>
      </c>
      <c r="P3039" s="9">
        <v>1.87</v>
      </c>
      <c r="Q3039" s="9">
        <v>3401.71</v>
      </c>
      <c r="R3039" s="2" t="s">
        <v>16709</v>
      </c>
    </row>
    <row r="3040" spans="1:18" x14ac:dyDescent="0.25">
      <c r="A3040" s="2" t="s">
        <v>6185</v>
      </c>
      <c r="B3040" s="6">
        <v>46204</v>
      </c>
      <c r="C3040" s="8">
        <v>46220</v>
      </c>
      <c r="D3040" s="2" t="s">
        <v>199</v>
      </c>
      <c r="E3040" s="2" t="s">
        <v>260</v>
      </c>
      <c r="F3040" s="2" t="s">
        <v>16703</v>
      </c>
      <c r="G3040" s="2" t="s">
        <v>6187</v>
      </c>
      <c r="H3040" s="2" t="s">
        <v>70</v>
      </c>
      <c r="I3040" s="9">
        <v>2173.0820669999998</v>
      </c>
      <c r="J3040" s="7">
        <v>0.65800000000000003</v>
      </c>
      <c r="K3040" s="9">
        <v>1429.89</v>
      </c>
      <c r="L3040" s="14">
        <v>0</v>
      </c>
      <c r="M3040" s="2" t="s">
        <v>71</v>
      </c>
      <c r="N3040" s="2" t="s">
        <v>16706</v>
      </c>
      <c r="O3040" s="2" t="s">
        <v>6186</v>
      </c>
      <c r="P3040" s="9">
        <v>1.8</v>
      </c>
      <c r="Q3040" s="9">
        <v>1429.89</v>
      </c>
      <c r="R3040" s="2" t="s">
        <v>16709</v>
      </c>
    </row>
    <row r="3041" spans="1:18" x14ac:dyDescent="0.25">
      <c r="A3041" s="2" t="s">
        <v>6190</v>
      </c>
      <c r="B3041" s="6">
        <v>46204</v>
      </c>
      <c r="C3041" s="8">
        <v>46221</v>
      </c>
      <c r="D3041" s="2" t="s">
        <v>199</v>
      </c>
      <c r="E3041" s="2" t="s">
        <v>260</v>
      </c>
      <c r="F3041" s="2" t="s">
        <v>16703</v>
      </c>
      <c r="G3041" s="2" t="s">
        <v>6192</v>
      </c>
      <c r="H3041" s="2" t="s">
        <v>39</v>
      </c>
      <c r="I3041" s="9">
        <v>1499.0920000000001</v>
      </c>
      <c r="J3041" s="7">
        <v>1</v>
      </c>
      <c r="K3041" s="9">
        <v>1499.09</v>
      </c>
      <c r="L3041" s="14">
        <v>0</v>
      </c>
      <c r="M3041" s="2" t="s">
        <v>71</v>
      </c>
      <c r="N3041" s="2" t="s">
        <v>16706</v>
      </c>
      <c r="O3041" s="2" t="s">
        <v>6191</v>
      </c>
      <c r="P3041" s="9">
        <v>1.8</v>
      </c>
      <c r="Q3041" s="9">
        <v>1499.09</v>
      </c>
      <c r="R3041" s="2" t="s">
        <v>16709</v>
      </c>
    </row>
    <row r="3042" spans="1:18" x14ac:dyDescent="0.25">
      <c r="A3042" s="2" t="s">
        <v>6195</v>
      </c>
      <c r="B3042" s="6">
        <v>46204</v>
      </c>
      <c r="C3042" s="8">
        <v>46232</v>
      </c>
      <c r="D3042" s="2" t="s">
        <v>199</v>
      </c>
      <c r="E3042" s="2" t="s">
        <v>260</v>
      </c>
      <c r="F3042" s="2" t="s">
        <v>16703</v>
      </c>
      <c r="G3042" s="2" t="s">
        <v>6197</v>
      </c>
      <c r="H3042" s="2" t="s">
        <v>76</v>
      </c>
      <c r="I3042" s="9">
        <v>-63237741.935484</v>
      </c>
      <c r="J3042" s="7">
        <v>6.2000000000000003E-5</v>
      </c>
      <c r="K3042" s="9">
        <v>-3920.74</v>
      </c>
      <c r="L3042" s="14">
        <v>0</v>
      </c>
      <c r="M3042" s="2" t="s">
        <v>71</v>
      </c>
      <c r="N3042" s="2" t="s">
        <v>16706</v>
      </c>
      <c r="O3042" s="2" t="s">
        <v>6196</v>
      </c>
      <c r="P3042" s="9">
        <v>0</v>
      </c>
      <c r="Q3042" s="9">
        <v>-3920.74</v>
      </c>
      <c r="R3042" s="2" t="s">
        <v>16709</v>
      </c>
    </row>
    <row r="3043" spans="1:18" x14ac:dyDescent="0.25">
      <c r="A3043" s="2" t="s">
        <v>6198</v>
      </c>
      <c r="B3043" s="6">
        <v>46204</v>
      </c>
      <c r="C3043" s="8">
        <v>46233</v>
      </c>
      <c r="D3043" s="2" t="s">
        <v>199</v>
      </c>
      <c r="E3043" s="2" t="s">
        <v>260</v>
      </c>
      <c r="F3043" s="2" t="s">
        <v>16703</v>
      </c>
      <c r="G3043" s="2" t="s">
        <v>6200</v>
      </c>
      <c r="H3043" s="2" t="s">
        <v>70</v>
      </c>
      <c r="I3043" s="9">
        <v>6221.504559</v>
      </c>
      <c r="J3043" s="7">
        <v>0.65800000000000003</v>
      </c>
      <c r="K3043" s="9">
        <v>4093.75</v>
      </c>
      <c r="L3043" s="14">
        <v>0</v>
      </c>
      <c r="M3043" s="2" t="s">
        <v>71</v>
      </c>
      <c r="N3043" s="2" t="s">
        <v>16706</v>
      </c>
      <c r="O3043" s="2" t="s">
        <v>6199</v>
      </c>
      <c r="P3043" s="9">
        <v>2.25</v>
      </c>
      <c r="Q3043" s="9">
        <v>4093.75</v>
      </c>
      <c r="R3043" s="2" t="s">
        <v>16709</v>
      </c>
    </row>
    <row r="3044" spans="1:18" x14ac:dyDescent="0.25">
      <c r="A3044" s="2" t="s">
        <v>6201</v>
      </c>
      <c r="B3044" s="6">
        <v>46204</v>
      </c>
      <c r="C3044" s="8">
        <v>46224</v>
      </c>
      <c r="D3044" s="2" t="s">
        <v>199</v>
      </c>
      <c r="E3044" s="2" t="s">
        <v>260</v>
      </c>
      <c r="F3044" s="2" t="s">
        <v>16703</v>
      </c>
      <c r="G3044" s="2" t="s">
        <v>6203</v>
      </c>
      <c r="H3044" s="2" t="s">
        <v>39</v>
      </c>
      <c r="I3044" s="9">
        <v>1706.704</v>
      </c>
      <c r="J3044" s="7">
        <v>1</v>
      </c>
      <c r="K3044" s="9">
        <v>1706.7</v>
      </c>
      <c r="L3044" s="14">
        <v>0</v>
      </c>
      <c r="M3044" s="2" t="s">
        <v>71</v>
      </c>
      <c r="N3044" s="2" t="s">
        <v>16706</v>
      </c>
      <c r="O3044" s="2" t="s">
        <v>6202</v>
      </c>
      <c r="P3044" s="9">
        <v>1.8</v>
      </c>
      <c r="Q3044" s="9">
        <v>1706.7</v>
      </c>
      <c r="R3044" s="2" t="s">
        <v>16709</v>
      </c>
    </row>
    <row r="3045" spans="1:18" x14ac:dyDescent="0.25">
      <c r="A3045" s="2" t="s">
        <v>6221</v>
      </c>
      <c r="B3045" s="6">
        <v>46204</v>
      </c>
      <c r="C3045" s="8">
        <v>46230</v>
      </c>
      <c r="D3045" s="2" t="s">
        <v>199</v>
      </c>
      <c r="E3045" s="2" t="s">
        <v>260</v>
      </c>
      <c r="F3045" s="2" t="s">
        <v>16703</v>
      </c>
      <c r="G3045" s="2" t="s">
        <v>6223</v>
      </c>
      <c r="H3045" s="2" t="s">
        <v>39</v>
      </c>
      <c r="I3045" s="9">
        <v>2121.9279999999999</v>
      </c>
      <c r="J3045" s="7">
        <v>1</v>
      </c>
      <c r="K3045" s="9">
        <v>2121.9299999999998</v>
      </c>
      <c r="L3045" s="14">
        <v>0</v>
      </c>
      <c r="M3045" s="2" t="s">
        <v>71</v>
      </c>
      <c r="N3045" s="2" t="s">
        <v>16706</v>
      </c>
      <c r="O3045" s="2" t="s">
        <v>6222</v>
      </c>
      <c r="P3045" s="9">
        <v>1.8</v>
      </c>
      <c r="Q3045" s="9">
        <v>2121.9299999999998</v>
      </c>
      <c r="R3045" s="2" t="s">
        <v>16709</v>
      </c>
    </row>
    <row r="3046" spans="1:18" x14ac:dyDescent="0.25">
      <c r="A3046" s="2" t="s">
        <v>6226</v>
      </c>
      <c r="B3046" s="6">
        <v>46204</v>
      </c>
      <c r="C3046" s="8">
        <v>46231</v>
      </c>
      <c r="D3046" s="2" t="s">
        <v>199</v>
      </c>
      <c r="E3046" s="2" t="s">
        <v>260</v>
      </c>
      <c r="F3046" s="2" t="s">
        <v>16703</v>
      </c>
      <c r="G3046" s="2" t="s">
        <v>6228</v>
      </c>
      <c r="H3046" s="2" t="s">
        <v>76</v>
      </c>
      <c r="I3046" s="9">
        <v>35340838.709678002</v>
      </c>
      <c r="J3046" s="7">
        <v>6.2000000000000003E-5</v>
      </c>
      <c r="K3046" s="9">
        <v>2191.13</v>
      </c>
      <c r="L3046" s="14">
        <v>0</v>
      </c>
      <c r="M3046" s="2" t="s">
        <v>71</v>
      </c>
      <c r="N3046" s="2" t="s">
        <v>16706</v>
      </c>
      <c r="O3046" s="2" t="s">
        <v>6227</v>
      </c>
      <c r="P3046" s="9">
        <v>1.8</v>
      </c>
      <c r="Q3046" s="9">
        <v>2191.13</v>
      </c>
      <c r="R3046" s="2" t="s">
        <v>16709</v>
      </c>
    </row>
    <row r="3047" spans="1:18" x14ac:dyDescent="0.25">
      <c r="A3047" s="2" t="s">
        <v>7432</v>
      </c>
      <c r="B3047" s="6">
        <v>46174</v>
      </c>
      <c r="C3047" s="8">
        <v>46188</v>
      </c>
      <c r="D3047" s="2" t="s">
        <v>7433</v>
      </c>
      <c r="E3047" s="2" t="s">
        <v>260</v>
      </c>
      <c r="F3047" s="2" t="s">
        <v>16703</v>
      </c>
      <c r="G3047" s="2" t="s">
        <v>7435</v>
      </c>
      <c r="H3047" s="2" t="s">
        <v>39</v>
      </c>
      <c r="I3047" s="9">
        <v>2173.4479999999999</v>
      </c>
      <c r="J3047" s="7">
        <v>1</v>
      </c>
      <c r="K3047" s="9">
        <v>2173.4499999999998</v>
      </c>
      <c r="L3047" s="14">
        <v>0</v>
      </c>
      <c r="M3047" s="2" t="s">
        <v>71</v>
      </c>
      <c r="N3047" s="2" t="s">
        <v>16704</v>
      </c>
      <c r="O3047" s="2" t="s">
        <v>7434</v>
      </c>
      <c r="P3047" s="9">
        <v>1.8</v>
      </c>
      <c r="Q3047" s="9">
        <v>2173.4499999999998</v>
      </c>
      <c r="R3047" s="2" t="s">
        <v>16710</v>
      </c>
    </row>
    <row r="3048" spans="1:18" x14ac:dyDescent="0.25">
      <c r="A3048" s="2" t="s">
        <v>7436</v>
      </c>
      <c r="B3048" s="6">
        <v>46204</v>
      </c>
      <c r="C3048" s="8">
        <v>46213</v>
      </c>
      <c r="D3048" s="2" t="s">
        <v>7433</v>
      </c>
      <c r="E3048" s="2" t="s">
        <v>260</v>
      </c>
      <c r="F3048" s="2" t="s">
        <v>16703</v>
      </c>
      <c r="G3048" s="2" t="s">
        <v>7437</v>
      </c>
      <c r="H3048" s="2" t="s">
        <v>39</v>
      </c>
      <c r="I3048" s="9">
        <v>3260.172</v>
      </c>
      <c r="J3048" s="7">
        <v>1</v>
      </c>
      <c r="K3048" s="9">
        <v>3260.17</v>
      </c>
      <c r="L3048" s="14">
        <v>0</v>
      </c>
      <c r="M3048" s="2" t="s">
        <v>71</v>
      </c>
      <c r="N3048" s="2" t="s">
        <v>16706</v>
      </c>
      <c r="O3048" s="2" t="s">
        <v>7434</v>
      </c>
      <c r="P3048" s="9">
        <v>1.8</v>
      </c>
      <c r="Q3048" s="9">
        <v>3260.17</v>
      </c>
      <c r="R3048" s="2" t="s">
        <v>16711</v>
      </c>
    </row>
    <row r="3049" spans="1:18" x14ac:dyDescent="0.25">
      <c r="A3049" s="2" t="s">
        <v>7438</v>
      </c>
      <c r="B3049" s="6">
        <v>46174</v>
      </c>
      <c r="C3049" s="8">
        <v>46189</v>
      </c>
      <c r="D3049" s="2" t="s">
        <v>7433</v>
      </c>
      <c r="E3049" s="2" t="s">
        <v>260</v>
      </c>
      <c r="F3049" s="2" t="s">
        <v>16703</v>
      </c>
      <c r="G3049" s="2" t="s">
        <v>7440</v>
      </c>
      <c r="H3049" s="2" t="s">
        <v>76</v>
      </c>
      <c r="I3049" s="9">
        <v>36546752</v>
      </c>
      <c r="J3049" s="7">
        <v>6.2500000000000001E-5</v>
      </c>
      <c r="K3049" s="9">
        <v>2284.17</v>
      </c>
      <c r="L3049" s="14">
        <v>0</v>
      </c>
      <c r="M3049" s="2" t="s">
        <v>71</v>
      </c>
      <c r="N3049" s="2" t="s">
        <v>16704</v>
      </c>
      <c r="O3049" s="2" t="s">
        <v>7439</v>
      </c>
      <c r="P3049" s="9">
        <v>1.8</v>
      </c>
      <c r="Q3049" s="9">
        <v>2284.17</v>
      </c>
      <c r="R3049" s="2" t="s">
        <v>16710</v>
      </c>
    </row>
    <row r="3050" spans="1:18" x14ac:dyDescent="0.25">
      <c r="A3050" s="2" t="s">
        <v>7441</v>
      </c>
      <c r="B3050" s="6">
        <v>46204</v>
      </c>
      <c r="C3050" s="8">
        <v>46214</v>
      </c>
      <c r="D3050" s="2" t="s">
        <v>7433</v>
      </c>
      <c r="E3050" s="2" t="s">
        <v>260</v>
      </c>
      <c r="F3050" s="2" t="s">
        <v>16703</v>
      </c>
      <c r="G3050" s="2" t="s">
        <v>7442</v>
      </c>
      <c r="H3050" s="2" t="s">
        <v>76</v>
      </c>
      <c r="I3050" s="9">
        <v>54820128</v>
      </c>
      <c r="J3050" s="7">
        <v>6.2000000000000003E-5</v>
      </c>
      <c r="K3050" s="9">
        <v>3398.85</v>
      </c>
      <c r="L3050" s="14">
        <v>0</v>
      </c>
      <c r="M3050" s="2" t="s">
        <v>71</v>
      </c>
      <c r="N3050" s="2" t="s">
        <v>16706</v>
      </c>
      <c r="O3050" s="2" t="s">
        <v>7439</v>
      </c>
      <c r="P3050" s="9">
        <v>1.87</v>
      </c>
      <c r="Q3050" s="9">
        <v>3426.26</v>
      </c>
      <c r="R3050" s="2" t="s">
        <v>16711</v>
      </c>
    </row>
    <row r="3051" spans="1:18" x14ac:dyDescent="0.25">
      <c r="A3051" s="2" t="s">
        <v>7443</v>
      </c>
      <c r="B3051" s="6">
        <v>46174</v>
      </c>
      <c r="C3051" s="8">
        <v>46190</v>
      </c>
      <c r="D3051" s="2" t="s">
        <v>7433</v>
      </c>
      <c r="E3051" s="2" t="s">
        <v>260</v>
      </c>
      <c r="F3051" s="2" t="s">
        <v>16703</v>
      </c>
      <c r="G3051" s="2" t="s">
        <v>7445</v>
      </c>
      <c r="H3051" s="2" t="s">
        <v>70</v>
      </c>
      <c r="I3051" s="9">
        <v>3601.353384</v>
      </c>
      <c r="J3051" s="7">
        <v>0.66500000000000004</v>
      </c>
      <c r="K3051" s="9">
        <v>2394.9</v>
      </c>
      <c r="L3051" s="14">
        <v>0</v>
      </c>
      <c r="M3051" s="2" t="s">
        <v>71</v>
      </c>
      <c r="N3051" s="2" t="s">
        <v>16704</v>
      </c>
      <c r="O3051" s="2" t="s">
        <v>7444</v>
      </c>
      <c r="P3051" s="9">
        <v>1.8</v>
      </c>
      <c r="Q3051" s="9">
        <v>2394.9</v>
      </c>
      <c r="R3051" s="2" t="s">
        <v>16710</v>
      </c>
    </row>
    <row r="3052" spans="1:18" x14ac:dyDescent="0.25">
      <c r="A3052" s="2" t="s">
        <v>7446</v>
      </c>
      <c r="B3052" s="6">
        <v>46204</v>
      </c>
      <c r="C3052" s="8">
        <v>46215</v>
      </c>
      <c r="D3052" s="2" t="s">
        <v>7433</v>
      </c>
      <c r="E3052" s="2" t="s">
        <v>260</v>
      </c>
      <c r="F3052" s="2" t="s">
        <v>16703</v>
      </c>
      <c r="G3052" s="2" t="s">
        <v>7447</v>
      </c>
      <c r="H3052" s="2" t="s">
        <v>70</v>
      </c>
      <c r="I3052" s="9">
        <v>5402.0300749999997</v>
      </c>
      <c r="J3052" s="7">
        <v>0.65800000000000003</v>
      </c>
      <c r="K3052" s="9">
        <v>3554.54</v>
      </c>
      <c r="L3052" s="14">
        <v>0</v>
      </c>
      <c r="M3052" s="2" t="s">
        <v>71</v>
      </c>
      <c r="N3052" s="2" t="s">
        <v>16706</v>
      </c>
      <c r="O3052" s="2" t="s">
        <v>7444</v>
      </c>
      <c r="P3052" s="9">
        <v>1.95</v>
      </c>
      <c r="Q3052" s="9">
        <v>3592.35</v>
      </c>
      <c r="R3052" s="2" t="s">
        <v>16711</v>
      </c>
    </row>
    <row r="3053" spans="1:18" x14ac:dyDescent="0.25">
      <c r="A3053" s="2" t="s">
        <v>7448</v>
      </c>
      <c r="B3053" s="6">
        <v>46174</v>
      </c>
      <c r="C3053" s="8">
        <v>46191</v>
      </c>
      <c r="D3053" s="2" t="s">
        <v>7433</v>
      </c>
      <c r="E3053" s="2" t="s">
        <v>260</v>
      </c>
      <c r="F3053" s="2" t="s">
        <v>16703</v>
      </c>
      <c r="G3053" s="2" t="s">
        <v>7450</v>
      </c>
      <c r="H3053" s="2" t="s">
        <v>39</v>
      </c>
      <c r="I3053" s="9">
        <v>2505.6239999999998</v>
      </c>
      <c r="J3053" s="7">
        <v>1</v>
      </c>
      <c r="K3053" s="9">
        <v>2505.62</v>
      </c>
      <c r="L3053" s="14">
        <v>0</v>
      </c>
      <c r="M3053" s="2" t="s">
        <v>71</v>
      </c>
      <c r="N3053" s="2" t="s">
        <v>16704</v>
      </c>
      <c r="O3053" s="2" t="s">
        <v>7449</v>
      </c>
      <c r="P3053" s="9">
        <v>1.8</v>
      </c>
      <c r="Q3053" s="9">
        <v>2505.62</v>
      </c>
      <c r="R3053" s="2" t="s">
        <v>16710</v>
      </c>
    </row>
    <row r="3054" spans="1:18" x14ac:dyDescent="0.25">
      <c r="A3054" s="2" t="s">
        <v>7451</v>
      </c>
      <c r="B3054" s="6">
        <v>46204</v>
      </c>
      <c r="C3054" s="8">
        <v>46216</v>
      </c>
      <c r="D3054" s="2" t="s">
        <v>7433</v>
      </c>
      <c r="E3054" s="2" t="s">
        <v>260</v>
      </c>
      <c r="F3054" s="2" t="s">
        <v>16703</v>
      </c>
      <c r="G3054" s="2" t="s">
        <v>7452</v>
      </c>
      <c r="H3054" s="2" t="s">
        <v>39</v>
      </c>
      <c r="I3054" s="9">
        <v>3758.4360000000001</v>
      </c>
      <c r="J3054" s="7">
        <v>1</v>
      </c>
      <c r="K3054" s="9">
        <v>3758.44</v>
      </c>
      <c r="L3054" s="14">
        <v>0</v>
      </c>
      <c r="M3054" s="2" t="s">
        <v>71</v>
      </c>
      <c r="N3054" s="2" t="s">
        <v>16706</v>
      </c>
      <c r="O3054" s="2" t="s">
        <v>7449</v>
      </c>
      <c r="P3054" s="9">
        <v>2.0699999999999998</v>
      </c>
      <c r="Q3054" s="9">
        <v>3758.44</v>
      </c>
      <c r="R3054" s="2" t="s">
        <v>16711</v>
      </c>
    </row>
    <row r="3055" spans="1:18" x14ac:dyDescent="0.25">
      <c r="A3055" s="2" t="s">
        <v>7453</v>
      </c>
      <c r="B3055" s="6">
        <v>46174</v>
      </c>
      <c r="C3055" s="8">
        <v>46192</v>
      </c>
      <c r="D3055" s="2" t="s">
        <v>7433</v>
      </c>
      <c r="E3055" s="2" t="s">
        <v>260</v>
      </c>
      <c r="F3055" s="2" t="s">
        <v>16703</v>
      </c>
      <c r="G3055" s="2" t="s">
        <v>7455</v>
      </c>
      <c r="H3055" s="2" t="s">
        <v>76</v>
      </c>
      <c r="I3055" s="9">
        <v>41861632</v>
      </c>
      <c r="J3055" s="7">
        <v>6.2500000000000001E-5</v>
      </c>
      <c r="K3055" s="9">
        <v>2616.35</v>
      </c>
      <c r="L3055" s="14">
        <v>0</v>
      </c>
      <c r="M3055" s="2" t="s">
        <v>71</v>
      </c>
      <c r="N3055" s="2" t="s">
        <v>16704</v>
      </c>
      <c r="O3055" s="2" t="s">
        <v>7454</v>
      </c>
      <c r="P3055" s="9">
        <v>1.8</v>
      </c>
      <c r="Q3055" s="9">
        <v>2616.35</v>
      </c>
      <c r="R3055" s="2" t="s">
        <v>16710</v>
      </c>
    </row>
    <row r="3056" spans="1:18" x14ac:dyDescent="0.25">
      <c r="A3056" s="2" t="s">
        <v>7456</v>
      </c>
      <c r="B3056" s="6">
        <v>46204</v>
      </c>
      <c r="C3056" s="8">
        <v>46217</v>
      </c>
      <c r="D3056" s="2" t="s">
        <v>7433</v>
      </c>
      <c r="E3056" s="2" t="s">
        <v>260</v>
      </c>
      <c r="F3056" s="2" t="s">
        <v>16703</v>
      </c>
      <c r="G3056" s="2" t="s">
        <v>7457</v>
      </c>
      <c r="H3056" s="2" t="s">
        <v>76</v>
      </c>
      <c r="I3056" s="9">
        <v>62792448</v>
      </c>
      <c r="J3056" s="7">
        <v>6.2000000000000003E-5</v>
      </c>
      <c r="K3056" s="9">
        <v>3893.13</v>
      </c>
      <c r="L3056" s="14">
        <v>0</v>
      </c>
      <c r="M3056" s="2" t="s">
        <v>71</v>
      </c>
      <c r="N3056" s="2" t="s">
        <v>16706</v>
      </c>
      <c r="O3056" s="2" t="s">
        <v>7454</v>
      </c>
      <c r="P3056" s="9">
        <v>2.14</v>
      </c>
      <c r="Q3056" s="9">
        <v>3924.53</v>
      </c>
      <c r="R3056" s="2" t="s">
        <v>16711</v>
      </c>
    </row>
    <row r="3057" spans="1:18" x14ac:dyDescent="0.25">
      <c r="A3057" s="2" t="s">
        <v>7458</v>
      </c>
      <c r="B3057" s="6">
        <v>46174</v>
      </c>
      <c r="C3057" s="8">
        <v>46193</v>
      </c>
      <c r="D3057" s="2" t="s">
        <v>7433</v>
      </c>
      <c r="E3057" s="2" t="s">
        <v>260</v>
      </c>
      <c r="F3057" s="2" t="s">
        <v>16703</v>
      </c>
      <c r="G3057" s="2" t="s">
        <v>7460</v>
      </c>
      <c r="H3057" s="2" t="s">
        <v>70</v>
      </c>
      <c r="I3057" s="9">
        <v>4100.8661659999998</v>
      </c>
      <c r="J3057" s="7">
        <v>0.66500000000000004</v>
      </c>
      <c r="K3057" s="9">
        <v>2727.08</v>
      </c>
      <c r="L3057" s="14">
        <v>0</v>
      </c>
      <c r="M3057" s="2" t="s">
        <v>71</v>
      </c>
      <c r="N3057" s="2" t="s">
        <v>16704</v>
      </c>
      <c r="O3057" s="2" t="s">
        <v>7459</v>
      </c>
      <c r="P3057" s="9">
        <v>1.8</v>
      </c>
      <c r="Q3057" s="9">
        <v>2727.08</v>
      </c>
      <c r="R3057" s="2" t="s">
        <v>16710</v>
      </c>
    </row>
    <row r="3058" spans="1:18" x14ac:dyDescent="0.25">
      <c r="A3058" s="2" t="s">
        <v>7461</v>
      </c>
      <c r="B3058" s="6">
        <v>46204</v>
      </c>
      <c r="C3058" s="8">
        <v>46218</v>
      </c>
      <c r="D3058" s="2" t="s">
        <v>7433</v>
      </c>
      <c r="E3058" s="2" t="s">
        <v>260</v>
      </c>
      <c r="F3058" s="2" t="s">
        <v>16703</v>
      </c>
      <c r="G3058" s="2" t="s">
        <v>7462</v>
      </c>
      <c r="H3058" s="2" t="s">
        <v>70</v>
      </c>
      <c r="I3058" s="9">
        <v>6151.2992480000003</v>
      </c>
      <c r="J3058" s="7">
        <v>0.65800000000000003</v>
      </c>
      <c r="K3058" s="9">
        <v>4047.55</v>
      </c>
      <c r="L3058" s="14">
        <v>0</v>
      </c>
      <c r="M3058" s="2" t="s">
        <v>71</v>
      </c>
      <c r="N3058" s="2" t="s">
        <v>16706</v>
      </c>
      <c r="O3058" s="2" t="s">
        <v>7459</v>
      </c>
      <c r="P3058" s="9">
        <v>2.23</v>
      </c>
      <c r="Q3058" s="9">
        <v>4090.61</v>
      </c>
      <c r="R3058" s="2" t="s">
        <v>16711</v>
      </c>
    </row>
    <row r="3059" spans="1:18" x14ac:dyDescent="0.25">
      <c r="A3059" s="2" t="s">
        <v>7463</v>
      </c>
      <c r="B3059" s="6">
        <v>46174</v>
      </c>
      <c r="C3059" s="8">
        <v>46194</v>
      </c>
      <c r="D3059" s="2" t="s">
        <v>7433</v>
      </c>
      <c r="E3059" s="2" t="s">
        <v>260</v>
      </c>
      <c r="F3059" s="2" t="s">
        <v>16703</v>
      </c>
      <c r="G3059" s="2" t="s">
        <v>7465</v>
      </c>
      <c r="H3059" s="2" t="s">
        <v>39</v>
      </c>
      <c r="I3059" s="9">
        <v>2837.8040000000001</v>
      </c>
      <c r="J3059" s="7">
        <v>1</v>
      </c>
      <c r="K3059" s="9">
        <v>2837.8</v>
      </c>
      <c r="L3059" s="14">
        <v>0</v>
      </c>
      <c r="M3059" s="2" t="s">
        <v>71</v>
      </c>
      <c r="N3059" s="2" t="s">
        <v>16704</v>
      </c>
      <c r="O3059" s="2" t="s">
        <v>7464</v>
      </c>
      <c r="P3059" s="9">
        <v>1.8</v>
      </c>
      <c r="Q3059" s="9">
        <v>2837.8</v>
      </c>
      <c r="R3059" s="2" t="s">
        <v>16710</v>
      </c>
    </row>
    <row r="3060" spans="1:18" x14ac:dyDescent="0.25">
      <c r="A3060" s="2" t="s">
        <v>7466</v>
      </c>
      <c r="B3060" s="6">
        <v>46204</v>
      </c>
      <c r="C3060" s="8">
        <v>46219</v>
      </c>
      <c r="D3060" s="2" t="s">
        <v>7433</v>
      </c>
      <c r="E3060" s="2" t="s">
        <v>260</v>
      </c>
      <c r="F3060" s="2" t="s">
        <v>16703</v>
      </c>
      <c r="G3060" s="2" t="s">
        <v>7467</v>
      </c>
      <c r="H3060" s="2" t="s">
        <v>39</v>
      </c>
      <c r="I3060" s="9">
        <v>4256.7060000000001</v>
      </c>
      <c r="J3060" s="7">
        <v>1</v>
      </c>
      <c r="K3060" s="9">
        <v>4256.71</v>
      </c>
      <c r="L3060" s="14">
        <v>0</v>
      </c>
      <c r="M3060" s="2" t="s">
        <v>71</v>
      </c>
      <c r="N3060" s="2" t="s">
        <v>16706</v>
      </c>
      <c r="O3060" s="2" t="s">
        <v>7464</v>
      </c>
      <c r="P3060" s="9">
        <v>2.34</v>
      </c>
      <c r="Q3060" s="9">
        <v>4256.71</v>
      </c>
      <c r="R3060" s="2" t="s">
        <v>16711</v>
      </c>
    </row>
    <row r="3061" spans="1:18" x14ac:dyDescent="0.25">
      <c r="A3061" s="2" t="s">
        <v>7468</v>
      </c>
      <c r="B3061" s="6">
        <v>46174</v>
      </c>
      <c r="C3061" s="8">
        <v>46195</v>
      </c>
      <c r="D3061" s="2" t="s">
        <v>7433</v>
      </c>
      <c r="E3061" s="2" t="s">
        <v>260</v>
      </c>
      <c r="F3061" s="2" t="s">
        <v>16703</v>
      </c>
      <c r="G3061" s="2" t="s">
        <v>7470</v>
      </c>
      <c r="H3061" s="2" t="s">
        <v>76</v>
      </c>
      <c r="I3061" s="9">
        <v>47176512</v>
      </c>
      <c r="J3061" s="7">
        <v>6.2500000000000001E-5</v>
      </c>
      <c r="K3061" s="9">
        <v>2948.53</v>
      </c>
      <c r="L3061" s="14">
        <v>0</v>
      </c>
      <c r="M3061" s="2" t="s">
        <v>71</v>
      </c>
      <c r="N3061" s="2" t="s">
        <v>16704</v>
      </c>
      <c r="O3061" s="2" t="s">
        <v>7469</v>
      </c>
      <c r="P3061" s="9">
        <v>1.8</v>
      </c>
      <c r="Q3061" s="9">
        <v>2948.53</v>
      </c>
      <c r="R3061" s="2" t="s">
        <v>16710</v>
      </c>
    </row>
    <row r="3062" spans="1:18" x14ac:dyDescent="0.25">
      <c r="A3062" s="2" t="s">
        <v>7471</v>
      </c>
      <c r="B3062" s="6">
        <v>46204</v>
      </c>
      <c r="C3062" s="8">
        <v>46220</v>
      </c>
      <c r="D3062" s="2" t="s">
        <v>7433</v>
      </c>
      <c r="E3062" s="2" t="s">
        <v>260</v>
      </c>
      <c r="F3062" s="2" t="s">
        <v>16703</v>
      </c>
      <c r="G3062" s="2" t="s">
        <v>7472</v>
      </c>
      <c r="H3062" s="2" t="s">
        <v>76</v>
      </c>
      <c r="I3062" s="9">
        <v>70764768</v>
      </c>
      <c r="J3062" s="7">
        <v>6.2000000000000003E-5</v>
      </c>
      <c r="K3062" s="9">
        <v>4387.42</v>
      </c>
      <c r="L3062" s="14">
        <v>0</v>
      </c>
      <c r="M3062" s="2" t="s">
        <v>71</v>
      </c>
      <c r="N3062" s="2" t="s">
        <v>16706</v>
      </c>
      <c r="O3062" s="2" t="s">
        <v>7469</v>
      </c>
      <c r="P3062" s="9">
        <v>2.41</v>
      </c>
      <c r="Q3062" s="9">
        <v>4422.8</v>
      </c>
      <c r="R3062" s="2" t="s">
        <v>16711</v>
      </c>
    </row>
    <row r="3063" spans="1:18" x14ac:dyDescent="0.25">
      <c r="A3063" s="2" t="s">
        <v>7473</v>
      </c>
      <c r="B3063" s="6">
        <v>46174</v>
      </c>
      <c r="C3063" s="8">
        <v>46196</v>
      </c>
      <c r="D3063" s="2" t="s">
        <v>7433</v>
      </c>
      <c r="E3063" s="2" t="s">
        <v>260</v>
      </c>
      <c r="F3063" s="2" t="s">
        <v>16703</v>
      </c>
      <c r="G3063" s="2" t="s">
        <v>7475</v>
      </c>
      <c r="H3063" s="2" t="s">
        <v>70</v>
      </c>
      <c r="I3063" s="9">
        <v>4600.3909780000004</v>
      </c>
      <c r="J3063" s="7">
        <v>0.66500000000000004</v>
      </c>
      <c r="K3063" s="9">
        <v>3059.26</v>
      </c>
      <c r="L3063" s="14">
        <v>0</v>
      </c>
      <c r="M3063" s="2" t="s">
        <v>71</v>
      </c>
      <c r="N3063" s="2" t="s">
        <v>16704</v>
      </c>
      <c r="O3063" s="2" t="s">
        <v>7474</v>
      </c>
      <c r="P3063" s="9">
        <v>1.8</v>
      </c>
      <c r="Q3063" s="9">
        <v>3059.26</v>
      </c>
      <c r="R3063" s="2" t="s">
        <v>16710</v>
      </c>
    </row>
    <row r="3064" spans="1:18" x14ac:dyDescent="0.25">
      <c r="A3064" s="2" t="s">
        <v>7476</v>
      </c>
      <c r="B3064" s="6">
        <v>46204</v>
      </c>
      <c r="C3064" s="8">
        <v>46221</v>
      </c>
      <c r="D3064" s="2" t="s">
        <v>7433</v>
      </c>
      <c r="E3064" s="2" t="s">
        <v>260</v>
      </c>
      <c r="F3064" s="2" t="s">
        <v>16703</v>
      </c>
      <c r="G3064" s="2" t="s">
        <v>7477</v>
      </c>
      <c r="H3064" s="2" t="s">
        <v>70</v>
      </c>
      <c r="I3064" s="9">
        <v>6900.5864659999997</v>
      </c>
      <c r="J3064" s="7">
        <v>0.65800000000000003</v>
      </c>
      <c r="K3064" s="9">
        <v>4540.59</v>
      </c>
      <c r="L3064" s="14">
        <v>0</v>
      </c>
      <c r="M3064" s="2" t="s">
        <v>71</v>
      </c>
      <c r="N3064" s="2" t="s">
        <v>16706</v>
      </c>
      <c r="O3064" s="2" t="s">
        <v>7474</v>
      </c>
      <c r="P3064" s="9">
        <v>2.5</v>
      </c>
      <c r="Q3064" s="9">
        <v>4588.8900000000003</v>
      </c>
      <c r="R3064" s="2" t="s">
        <v>16711</v>
      </c>
    </row>
    <row r="3065" spans="1:18" x14ac:dyDescent="0.25">
      <c r="A3065" s="2" t="s">
        <v>7478</v>
      </c>
      <c r="B3065" s="6">
        <v>46174</v>
      </c>
      <c r="C3065" s="8">
        <v>46197</v>
      </c>
      <c r="D3065" s="2" t="s">
        <v>7433</v>
      </c>
      <c r="E3065" s="2" t="s">
        <v>260</v>
      </c>
      <c r="F3065" s="2" t="s">
        <v>16703</v>
      </c>
      <c r="G3065" s="2" t="s">
        <v>7480</v>
      </c>
      <c r="H3065" s="2" t="s">
        <v>39</v>
      </c>
      <c r="I3065" s="9">
        <v>3169.9839999999999</v>
      </c>
      <c r="J3065" s="7">
        <v>1</v>
      </c>
      <c r="K3065" s="9">
        <v>3169.98</v>
      </c>
      <c r="L3065" s="14">
        <v>0</v>
      </c>
      <c r="M3065" s="2" t="s">
        <v>71</v>
      </c>
      <c r="N3065" s="2" t="s">
        <v>16704</v>
      </c>
      <c r="O3065" s="2" t="s">
        <v>7479</v>
      </c>
      <c r="P3065" s="9">
        <v>1.8</v>
      </c>
      <c r="Q3065" s="9">
        <v>3169.98</v>
      </c>
      <c r="R3065" s="2" t="s">
        <v>16710</v>
      </c>
    </row>
    <row r="3066" spans="1:18" x14ac:dyDescent="0.25">
      <c r="A3066" s="2" t="s">
        <v>7481</v>
      </c>
      <c r="B3066" s="6">
        <v>46204</v>
      </c>
      <c r="C3066" s="8">
        <v>46222</v>
      </c>
      <c r="D3066" s="2" t="s">
        <v>7433</v>
      </c>
      <c r="E3066" s="2" t="s">
        <v>260</v>
      </c>
      <c r="F3066" s="2" t="s">
        <v>16703</v>
      </c>
      <c r="G3066" s="2" t="s">
        <v>7482</v>
      </c>
      <c r="H3066" s="2" t="s">
        <v>39</v>
      </c>
      <c r="I3066" s="9">
        <v>4754.9759999999997</v>
      </c>
      <c r="J3066" s="7">
        <v>1</v>
      </c>
      <c r="K3066" s="9">
        <v>4754.9799999999996</v>
      </c>
      <c r="L3066" s="14">
        <v>0</v>
      </c>
      <c r="M3066" s="2" t="s">
        <v>71</v>
      </c>
      <c r="N3066" s="2" t="s">
        <v>16706</v>
      </c>
      <c r="O3066" s="2" t="s">
        <v>7479</v>
      </c>
      <c r="P3066" s="9">
        <v>2.62</v>
      </c>
      <c r="Q3066" s="9">
        <v>4754.9799999999996</v>
      </c>
      <c r="R3066" s="2" t="s">
        <v>16711</v>
      </c>
    </row>
    <row r="3067" spans="1:18" x14ac:dyDescent="0.25">
      <c r="A3067" s="2" t="s">
        <v>7483</v>
      </c>
      <c r="B3067" s="6">
        <v>46174</v>
      </c>
      <c r="C3067" s="8">
        <v>46198</v>
      </c>
      <c r="D3067" s="2" t="s">
        <v>7433</v>
      </c>
      <c r="E3067" s="2" t="s">
        <v>260</v>
      </c>
      <c r="F3067" s="2" t="s">
        <v>16703</v>
      </c>
      <c r="G3067" s="2" t="s">
        <v>7485</v>
      </c>
      <c r="H3067" s="2" t="s">
        <v>76</v>
      </c>
      <c r="I3067" s="9">
        <v>52491392</v>
      </c>
      <c r="J3067" s="7">
        <v>6.2500000000000001E-5</v>
      </c>
      <c r="K3067" s="9">
        <v>3280.71</v>
      </c>
      <c r="L3067" s="14">
        <v>0</v>
      </c>
      <c r="M3067" s="2" t="s">
        <v>71</v>
      </c>
      <c r="N3067" s="2" t="s">
        <v>16704</v>
      </c>
      <c r="O3067" s="2" t="s">
        <v>7484</v>
      </c>
      <c r="P3067" s="9">
        <v>1.8</v>
      </c>
      <c r="Q3067" s="9">
        <v>3280.71</v>
      </c>
      <c r="R3067" s="2" t="s">
        <v>16710</v>
      </c>
    </row>
    <row r="3068" spans="1:18" x14ac:dyDescent="0.25">
      <c r="A3068" s="2" t="s">
        <v>7486</v>
      </c>
      <c r="B3068" s="6">
        <v>46204</v>
      </c>
      <c r="C3068" s="8">
        <v>46223</v>
      </c>
      <c r="D3068" s="2" t="s">
        <v>7433</v>
      </c>
      <c r="E3068" s="2" t="s">
        <v>260</v>
      </c>
      <c r="F3068" s="2" t="s">
        <v>16703</v>
      </c>
      <c r="G3068" s="2" t="s">
        <v>7487</v>
      </c>
      <c r="H3068" s="2" t="s">
        <v>76</v>
      </c>
      <c r="I3068" s="9">
        <v>78737088</v>
      </c>
      <c r="J3068" s="7">
        <v>6.2000000000000003E-5</v>
      </c>
      <c r="K3068" s="9">
        <v>4881.7</v>
      </c>
      <c r="L3068" s="14">
        <v>0</v>
      </c>
      <c r="M3068" s="2" t="s">
        <v>71</v>
      </c>
      <c r="N3068" s="2" t="s">
        <v>16706</v>
      </c>
      <c r="O3068" s="2" t="s">
        <v>7484</v>
      </c>
      <c r="P3068" s="9">
        <v>2.68</v>
      </c>
      <c r="Q3068" s="9">
        <v>4921.07</v>
      </c>
      <c r="R3068" s="2" t="s">
        <v>16711</v>
      </c>
    </row>
    <row r="3069" spans="1:18" x14ac:dyDescent="0.25">
      <c r="A3069" s="2" t="s">
        <v>7488</v>
      </c>
      <c r="B3069" s="6">
        <v>46174</v>
      </c>
      <c r="C3069" s="8">
        <v>46199</v>
      </c>
      <c r="D3069" s="2" t="s">
        <v>7433</v>
      </c>
      <c r="E3069" s="2" t="s">
        <v>260</v>
      </c>
      <c r="F3069" s="2" t="s">
        <v>16703</v>
      </c>
      <c r="G3069" s="2" t="s">
        <v>7490</v>
      </c>
      <c r="H3069" s="2" t="s">
        <v>70</v>
      </c>
      <c r="I3069" s="9">
        <v>5099.9037589999998</v>
      </c>
      <c r="J3069" s="7">
        <v>0.66500000000000004</v>
      </c>
      <c r="K3069" s="9">
        <v>3391.44</v>
      </c>
      <c r="L3069" s="14">
        <v>0</v>
      </c>
      <c r="M3069" s="2" t="s">
        <v>71</v>
      </c>
      <c r="N3069" s="2" t="s">
        <v>16704</v>
      </c>
      <c r="O3069" s="2" t="s">
        <v>7489</v>
      </c>
      <c r="P3069" s="9">
        <v>1.87</v>
      </c>
      <c r="Q3069" s="9">
        <v>3391.44</v>
      </c>
      <c r="R3069" s="2" t="s">
        <v>16710</v>
      </c>
    </row>
    <row r="3070" spans="1:18" x14ac:dyDescent="0.25">
      <c r="A3070" s="2" t="s">
        <v>7491</v>
      </c>
      <c r="B3070" s="6">
        <v>46204</v>
      </c>
      <c r="C3070" s="8">
        <v>46224</v>
      </c>
      <c r="D3070" s="2" t="s">
        <v>7433</v>
      </c>
      <c r="E3070" s="2" t="s">
        <v>260</v>
      </c>
      <c r="F3070" s="2" t="s">
        <v>16703</v>
      </c>
      <c r="G3070" s="2" t="s">
        <v>7492</v>
      </c>
      <c r="H3070" s="2" t="s">
        <v>70</v>
      </c>
      <c r="I3070" s="9">
        <v>7649.8556390000003</v>
      </c>
      <c r="J3070" s="7">
        <v>0.65800000000000003</v>
      </c>
      <c r="K3070" s="9">
        <v>5033.6099999999997</v>
      </c>
      <c r="L3070" s="14">
        <v>0</v>
      </c>
      <c r="M3070" s="2" t="s">
        <v>71</v>
      </c>
      <c r="N3070" s="2" t="s">
        <v>16706</v>
      </c>
      <c r="O3070" s="2" t="s">
        <v>7489</v>
      </c>
      <c r="P3070" s="9">
        <v>2.77</v>
      </c>
      <c r="Q3070" s="9">
        <v>5087.1499999999996</v>
      </c>
      <c r="R3070" s="2" t="s">
        <v>16711</v>
      </c>
    </row>
    <row r="3071" spans="1:18" x14ac:dyDescent="0.25">
      <c r="A3071" s="2" t="s">
        <v>7493</v>
      </c>
      <c r="B3071" s="6">
        <v>46174</v>
      </c>
      <c r="C3071" s="8">
        <v>46200</v>
      </c>
      <c r="D3071" s="2" t="s">
        <v>7433</v>
      </c>
      <c r="E3071" s="2" t="s">
        <v>260</v>
      </c>
      <c r="F3071" s="2" t="s">
        <v>16703</v>
      </c>
      <c r="G3071" s="2" t="s">
        <v>7495</v>
      </c>
      <c r="H3071" s="2" t="s">
        <v>39</v>
      </c>
      <c r="I3071" s="9">
        <v>3502.1640000000002</v>
      </c>
      <c r="J3071" s="7">
        <v>1</v>
      </c>
      <c r="K3071" s="9">
        <v>3502.16</v>
      </c>
      <c r="L3071" s="14">
        <v>0</v>
      </c>
      <c r="M3071" s="2" t="s">
        <v>71</v>
      </c>
      <c r="N3071" s="2" t="s">
        <v>16704</v>
      </c>
      <c r="O3071" s="2" t="s">
        <v>7494</v>
      </c>
      <c r="P3071" s="9">
        <v>1.93</v>
      </c>
      <c r="Q3071" s="9">
        <v>3502.16</v>
      </c>
      <c r="R3071" s="2" t="s">
        <v>16710</v>
      </c>
    </row>
    <row r="3072" spans="1:18" x14ac:dyDescent="0.25">
      <c r="A3072" s="2" t="s">
        <v>7496</v>
      </c>
      <c r="B3072" s="6">
        <v>46204</v>
      </c>
      <c r="C3072" s="8">
        <v>46225</v>
      </c>
      <c r="D3072" s="2" t="s">
        <v>7433</v>
      </c>
      <c r="E3072" s="2" t="s">
        <v>260</v>
      </c>
      <c r="F3072" s="2" t="s">
        <v>16703</v>
      </c>
      <c r="G3072" s="2" t="s">
        <v>7497</v>
      </c>
      <c r="H3072" s="2" t="s">
        <v>39</v>
      </c>
      <c r="I3072" s="9">
        <v>5253.2460000000001</v>
      </c>
      <c r="J3072" s="7">
        <v>1</v>
      </c>
      <c r="K3072" s="9">
        <v>5253.25</v>
      </c>
      <c r="L3072" s="14">
        <v>0</v>
      </c>
      <c r="M3072" s="2" t="s">
        <v>71</v>
      </c>
      <c r="N3072" s="2" t="s">
        <v>16706</v>
      </c>
      <c r="O3072" s="2" t="s">
        <v>7494</v>
      </c>
      <c r="P3072" s="9">
        <v>2.89</v>
      </c>
      <c r="Q3072" s="9">
        <v>5253.25</v>
      </c>
      <c r="R3072" s="2" t="s">
        <v>16711</v>
      </c>
    </row>
    <row r="3073" spans="1:18" x14ac:dyDescent="0.25">
      <c r="A3073" s="2" t="s">
        <v>7498</v>
      </c>
      <c r="B3073" s="6">
        <v>46174</v>
      </c>
      <c r="C3073" s="8">
        <v>46201</v>
      </c>
      <c r="D3073" s="2" t="s">
        <v>7433</v>
      </c>
      <c r="E3073" s="2" t="s">
        <v>260</v>
      </c>
      <c r="F3073" s="2" t="s">
        <v>16703</v>
      </c>
      <c r="G3073" s="2" t="s">
        <v>7500</v>
      </c>
      <c r="H3073" s="2" t="s">
        <v>76</v>
      </c>
      <c r="I3073" s="9">
        <v>57806208</v>
      </c>
      <c r="J3073" s="7">
        <v>6.2500000000000001E-5</v>
      </c>
      <c r="K3073" s="9">
        <v>3612.89</v>
      </c>
      <c r="L3073" s="14">
        <v>0</v>
      </c>
      <c r="M3073" s="2" t="s">
        <v>71</v>
      </c>
      <c r="N3073" s="2" t="s">
        <v>16704</v>
      </c>
      <c r="O3073" s="2" t="s">
        <v>7499</v>
      </c>
      <c r="P3073" s="9">
        <v>1.99</v>
      </c>
      <c r="Q3073" s="9">
        <v>3612.89</v>
      </c>
      <c r="R3073" s="2" t="s">
        <v>16710</v>
      </c>
    </row>
    <row r="3074" spans="1:18" x14ac:dyDescent="0.25">
      <c r="A3074" s="2" t="s">
        <v>7501</v>
      </c>
      <c r="B3074" s="6">
        <v>46204</v>
      </c>
      <c r="C3074" s="8">
        <v>46226</v>
      </c>
      <c r="D3074" s="2" t="s">
        <v>7433</v>
      </c>
      <c r="E3074" s="2" t="s">
        <v>260</v>
      </c>
      <c r="F3074" s="2" t="s">
        <v>16703</v>
      </c>
      <c r="G3074" s="2" t="s">
        <v>7502</v>
      </c>
      <c r="H3074" s="2" t="s">
        <v>76</v>
      </c>
      <c r="I3074" s="9">
        <v>86709312</v>
      </c>
      <c r="J3074" s="7">
        <v>6.2000000000000003E-5</v>
      </c>
      <c r="K3074" s="9">
        <v>5375.98</v>
      </c>
      <c r="L3074" s="14">
        <v>0</v>
      </c>
      <c r="M3074" s="2" t="s">
        <v>71</v>
      </c>
      <c r="N3074" s="2" t="s">
        <v>16706</v>
      </c>
      <c r="O3074" s="2" t="s">
        <v>7499</v>
      </c>
      <c r="P3074" s="9">
        <v>2.96</v>
      </c>
      <c r="Q3074" s="9">
        <v>5419.33</v>
      </c>
      <c r="R3074" s="2" t="s">
        <v>16711</v>
      </c>
    </row>
    <row r="3075" spans="1:18" x14ac:dyDescent="0.25">
      <c r="A3075" s="2" t="s">
        <v>7503</v>
      </c>
      <c r="B3075" s="6">
        <v>46174</v>
      </c>
      <c r="C3075" s="8">
        <v>46202</v>
      </c>
      <c r="D3075" s="2" t="s">
        <v>7433</v>
      </c>
      <c r="E3075" s="2" t="s">
        <v>260</v>
      </c>
      <c r="F3075" s="2" t="s">
        <v>16703</v>
      </c>
      <c r="G3075" s="2" t="s">
        <v>7505</v>
      </c>
      <c r="H3075" s="2" t="s">
        <v>70</v>
      </c>
      <c r="I3075" s="9">
        <v>5599.4225560000004</v>
      </c>
      <c r="J3075" s="7">
        <v>0.66500000000000004</v>
      </c>
      <c r="K3075" s="9">
        <v>3723.62</v>
      </c>
      <c r="L3075" s="14">
        <v>0</v>
      </c>
      <c r="M3075" s="2" t="s">
        <v>71</v>
      </c>
      <c r="N3075" s="2" t="s">
        <v>16704</v>
      </c>
      <c r="O3075" s="2" t="s">
        <v>7504</v>
      </c>
      <c r="P3075" s="9">
        <v>2.0499999999999998</v>
      </c>
      <c r="Q3075" s="9">
        <v>3723.62</v>
      </c>
      <c r="R3075" s="2" t="s">
        <v>16710</v>
      </c>
    </row>
    <row r="3076" spans="1:18" x14ac:dyDescent="0.25">
      <c r="A3076" s="2" t="s">
        <v>7506</v>
      </c>
      <c r="B3076" s="6">
        <v>46204</v>
      </c>
      <c r="C3076" s="8">
        <v>46227</v>
      </c>
      <c r="D3076" s="2" t="s">
        <v>7433</v>
      </c>
      <c r="E3076" s="2" t="s">
        <v>260</v>
      </c>
      <c r="F3076" s="2" t="s">
        <v>16703</v>
      </c>
      <c r="G3076" s="2" t="s">
        <v>7507</v>
      </c>
      <c r="H3076" s="2" t="s">
        <v>70</v>
      </c>
      <c r="I3076" s="9">
        <v>8399.1338350000005</v>
      </c>
      <c r="J3076" s="7">
        <v>0.65800000000000003</v>
      </c>
      <c r="K3076" s="9">
        <v>5526.63</v>
      </c>
      <c r="L3076" s="14">
        <v>0</v>
      </c>
      <c r="M3076" s="2" t="s">
        <v>71</v>
      </c>
      <c r="N3076" s="2" t="s">
        <v>16706</v>
      </c>
      <c r="O3076" s="2" t="s">
        <v>7504</v>
      </c>
      <c r="P3076" s="9">
        <v>3.04</v>
      </c>
      <c r="Q3076" s="9">
        <v>5585.42</v>
      </c>
      <c r="R3076" s="2" t="s">
        <v>16711</v>
      </c>
    </row>
    <row r="3077" spans="1:18" x14ac:dyDescent="0.25">
      <c r="A3077" s="2" t="s">
        <v>7508</v>
      </c>
      <c r="B3077" s="6">
        <v>46174</v>
      </c>
      <c r="C3077" s="8">
        <v>46203</v>
      </c>
      <c r="D3077" s="2" t="s">
        <v>7433</v>
      </c>
      <c r="E3077" s="2" t="s">
        <v>260</v>
      </c>
      <c r="F3077" s="2" t="s">
        <v>16703</v>
      </c>
      <c r="G3077" s="2" t="s">
        <v>7510</v>
      </c>
      <c r="H3077" s="2" t="s">
        <v>39</v>
      </c>
      <c r="I3077" s="9">
        <v>3834.3440000000001</v>
      </c>
      <c r="J3077" s="7">
        <v>1</v>
      </c>
      <c r="K3077" s="9">
        <v>3834.34</v>
      </c>
      <c r="L3077" s="14">
        <v>0</v>
      </c>
      <c r="M3077" s="2" t="s">
        <v>71</v>
      </c>
      <c r="N3077" s="2" t="s">
        <v>16704</v>
      </c>
      <c r="O3077" s="2" t="s">
        <v>7509</v>
      </c>
      <c r="P3077" s="9">
        <v>2.11</v>
      </c>
      <c r="Q3077" s="9">
        <v>3834.34</v>
      </c>
      <c r="R3077" s="2" t="s">
        <v>16710</v>
      </c>
    </row>
    <row r="3078" spans="1:18" x14ac:dyDescent="0.25">
      <c r="A3078" s="2" t="s">
        <v>7511</v>
      </c>
      <c r="B3078" s="6">
        <v>46204</v>
      </c>
      <c r="C3078" s="8">
        <v>46228</v>
      </c>
      <c r="D3078" s="2" t="s">
        <v>7433</v>
      </c>
      <c r="E3078" s="2" t="s">
        <v>260</v>
      </c>
      <c r="F3078" s="2" t="s">
        <v>16703</v>
      </c>
      <c r="G3078" s="2" t="s">
        <v>7512</v>
      </c>
      <c r="H3078" s="2" t="s">
        <v>39</v>
      </c>
      <c r="I3078" s="9">
        <v>5751.5159999999996</v>
      </c>
      <c r="J3078" s="7">
        <v>1</v>
      </c>
      <c r="K3078" s="9">
        <v>5751.52</v>
      </c>
      <c r="L3078" s="14">
        <v>0</v>
      </c>
      <c r="M3078" s="2" t="s">
        <v>71</v>
      </c>
      <c r="N3078" s="2" t="s">
        <v>16706</v>
      </c>
      <c r="O3078" s="2" t="s">
        <v>7509</v>
      </c>
      <c r="P3078" s="9">
        <v>3.16</v>
      </c>
      <c r="Q3078" s="9">
        <v>5751.52</v>
      </c>
      <c r="R3078" s="2" t="s">
        <v>16711</v>
      </c>
    </row>
    <row r="3079" spans="1:18" x14ac:dyDescent="0.25">
      <c r="A3079" s="2" t="s">
        <v>7513</v>
      </c>
      <c r="B3079" s="6">
        <v>46204</v>
      </c>
      <c r="C3079" s="8">
        <v>46204</v>
      </c>
      <c r="D3079" s="2" t="s">
        <v>7433</v>
      </c>
      <c r="E3079" s="2" t="s">
        <v>260</v>
      </c>
      <c r="F3079" s="2" t="s">
        <v>16703</v>
      </c>
      <c r="G3079" s="2" t="s">
        <v>7515</v>
      </c>
      <c r="H3079" s="2" t="s">
        <v>76</v>
      </c>
      <c r="I3079" s="9">
        <v>63121088</v>
      </c>
      <c r="J3079" s="7">
        <v>6.2000000000000003E-5</v>
      </c>
      <c r="K3079" s="9">
        <v>3913.51</v>
      </c>
      <c r="L3079" s="14">
        <v>0</v>
      </c>
      <c r="M3079" s="2" t="s">
        <v>71</v>
      </c>
      <c r="N3079" s="2" t="s">
        <v>16706</v>
      </c>
      <c r="O3079" s="2" t="s">
        <v>7514</v>
      </c>
      <c r="P3079" s="9">
        <v>2.15</v>
      </c>
      <c r="Q3079" s="9">
        <v>3945.07</v>
      </c>
      <c r="R3079" s="2" t="s">
        <v>16711</v>
      </c>
    </row>
    <row r="3080" spans="1:18" x14ac:dyDescent="0.25">
      <c r="A3080" s="2" t="s">
        <v>7516</v>
      </c>
      <c r="B3080" s="6">
        <v>46204</v>
      </c>
      <c r="C3080" s="8">
        <v>46229</v>
      </c>
      <c r="D3080" s="2" t="s">
        <v>7433</v>
      </c>
      <c r="E3080" s="2" t="s">
        <v>260</v>
      </c>
      <c r="F3080" s="2" t="s">
        <v>16703</v>
      </c>
      <c r="G3080" s="2" t="s">
        <v>7517</v>
      </c>
      <c r="H3080" s="2" t="s">
        <v>76</v>
      </c>
      <c r="I3080" s="9">
        <v>94681632</v>
      </c>
      <c r="J3080" s="7">
        <v>6.2000000000000003E-5</v>
      </c>
      <c r="K3080" s="9">
        <v>5870.26</v>
      </c>
      <c r="L3080" s="14">
        <v>0</v>
      </c>
      <c r="M3080" s="2" t="s">
        <v>71</v>
      </c>
      <c r="N3080" s="2" t="s">
        <v>16706</v>
      </c>
      <c r="O3080" s="2" t="s">
        <v>7514</v>
      </c>
      <c r="P3080" s="9">
        <v>3.23</v>
      </c>
      <c r="Q3080" s="9">
        <v>5917.6</v>
      </c>
      <c r="R3080" s="2" t="s">
        <v>16711</v>
      </c>
    </row>
    <row r="3081" spans="1:18" x14ac:dyDescent="0.25">
      <c r="A3081" s="2" t="s">
        <v>7518</v>
      </c>
      <c r="B3081" s="6">
        <v>46204</v>
      </c>
      <c r="C3081" s="8">
        <v>46205</v>
      </c>
      <c r="D3081" s="2" t="s">
        <v>7433</v>
      </c>
      <c r="E3081" s="2" t="s">
        <v>260</v>
      </c>
      <c r="F3081" s="2" t="s">
        <v>16703</v>
      </c>
      <c r="G3081" s="2" t="s">
        <v>7520</v>
      </c>
      <c r="H3081" s="2" t="s">
        <v>70</v>
      </c>
      <c r="I3081" s="9">
        <v>6098.9413530000002</v>
      </c>
      <c r="J3081" s="7">
        <v>0.65800000000000003</v>
      </c>
      <c r="K3081" s="9">
        <v>4013.1</v>
      </c>
      <c r="L3081" s="14">
        <v>0</v>
      </c>
      <c r="M3081" s="2" t="s">
        <v>71</v>
      </c>
      <c r="N3081" s="2" t="s">
        <v>16706</v>
      </c>
      <c r="O3081" s="2" t="s">
        <v>7519</v>
      </c>
      <c r="P3081" s="9">
        <v>2.21</v>
      </c>
      <c r="Q3081" s="9">
        <v>4055.8</v>
      </c>
      <c r="R3081" s="2" t="s">
        <v>16711</v>
      </c>
    </row>
    <row r="3082" spans="1:18" x14ac:dyDescent="0.25">
      <c r="A3082" s="2" t="s">
        <v>7521</v>
      </c>
      <c r="B3082" s="6">
        <v>46204</v>
      </c>
      <c r="C3082" s="8">
        <v>46230</v>
      </c>
      <c r="D3082" s="2" t="s">
        <v>7433</v>
      </c>
      <c r="E3082" s="2" t="s">
        <v>260</v>
      </c>
      <c r="F3082" s="2" t="s">
        <v>16703</v>
      </c>
      <c r="G3082" s="2" t="s">
        <v>7522</v>
      </c>
      <c r="H3082" s="2" t="s">
        <v>70</v>
      </c>
      <c r="I3082" s="9">
        <v>9148.4120299999995</v>
      </c>
      <c r="J3082" s="7">
        <v>0.65800000000000003</v>
      </c>
      <c r="K3082" s="9">
        <v>6019.66</v>
      </c>
      <c r="L3082" s="14">
        <v>0</v>
      </c>
      <c r="M3082" s="2" t="s">
        <v>71</v>
      </c>
      <c r="N3082" s="2" t="s">
        <v>16706</v>
      </c>
      <c r="O3082" s="2" t="s">
        <v>7519</v>
      </c>
      <c r="P3082" s="9">
        <v>3.31</v>
      </c>
      <c r="Q3082" s="9">
        <v>6083.69</v>
      </c>
      <c r="R3082" s="2" t="s">
        <v>16711</v>
      </c>
    </row>
    <row r="3083" spans="1:18" x14ac:dyDescent="0.25">
      <c r="A3083" s="2" t="s">
        <v>7523</v>
      </c>
      <c r="B3083" s="6">
        <v>46204</v>
      </c>
      <c r="C3083" s="8">
        <v>46206</v>
      </c>
      <c r="D3083" s="2" t="s">
        <v>7433</v>
      </c>
      <c r="E3083" s="2" t="s">
        <v>260</v>
      </c>
      <c r="F3083" s="2" t="s">
        <v>16703</v>
      </c>
      <c r="G3083" s="2" t="s">
        <v>7525</v>
      </c>
      <c r="H3083" s="2" t="s">
        <v>39</v>
      </c>
      <c r="I3083" s="9">
        <v>4166.5200000000004</v>
      </c>
      <c r="J3083" s="7">
        <v>1</v>
      </c>
      <c r="K3083" s="9">
        <v>4166.5200000000004</v>
      </c>
      <c r="L3083" s="14">
        <v>0</v>
      </c>
      <c r="M3083" s="2" t="s">
        <v>71</v>
      </c>
      <c r="N3083" s="2" t="s">
        <v>16706</v>
      </c>
      <c r="O3083" s="2" t="s">
        <v>7524</v>
      </c>
      <c r="P3083" s="9">
        <v>2.29</v>
      </c>
      <c r="Q3083" s="9">
        <v>4166.5200000000004</v>
      </c>
      <c r="R3083" s="2" t="s">
        <v>16711</v>
      </c>
    </row>
    <row r="3084" spans="1:18" x14ac:dyDescent="0.25">
      <c r="A3084" s="2" t="s">
        <v>7526</v>
      </c>
      <c r="B3084" s="6">
        <v>46204</v>
      </c>
      <c r="C3084" s="8">
        <v>46231</v>
      </c>
      <c r="D3084" s="2" t="s">
        <v>7433</v>
      </c>
      <c r="E3084" s="2" t="s">
        <v>260</v>
      </c>
      <c r="F3084" s="2" t="s">
        <v>16703</v>
      </c>
      <c r="G3084" s="2" t="s">
        <v>7527</v>
      </c>
      <c r="H3084" s="2" t="s">
        <v>39</v>
      </c>
      <c r="I3084" s="9">
        <v>6249.78</v>
      </c>
      <c r="J3084" s="7">
        <v>1</v>
      </c>
      <c r="K3084" s="9">
        <v>6249.78</v>
      </c>
      <c r="L3084" s="14">
        <v>0</v>
      </c>
      <c r="M3084" s="2" t="s">
        <v>71</v>
      </c>
      <c r="N3084" s="2" t="s">
        <v>16706</v>
      </c>
      <c r="O3084" s="2" t="s">
        <v>7524</v>
      </c>
      <c r="P3084" s="9">
        <v>3.44</v>
      </c>
      <c r="Q3084" s="9">
        <v>6249.78</v>
      </c>
      <c r="R3084" s="2" t="s">
        <v>16711</v>
      </c>
    </row>
    <row r="3085" spans="1:18" x14ac:dyDescent="0.25">
      <c r="A3085" s="2" t="s">
        <v>7528</v>
      </c>
      <c r="B3085" s="6">
        <v>46204</v>
      </c>
      <c r="C3085" s="8">
        <v>46207</v>
      </c>
      <c r="D3085" s="2" t="s">
        <v>7433</v>
      </c>
      <c r="E3085" s="2" t="s">
        <v>260</v>
      </c>
      <c r="F3085" s="2" t="s">
        <v>16703</v>
      </c>
      <c r="G3085" s="2" t="s">
        <v>7530</v>
      </c>
      <c r="H3085" s="2" t="s">
        <v>76</v>
      </c>
      <c r="I3085" s="9">
        <v>68435968</v>
      </c>
      <c r="J3085" s="7">
        <v>6.2000000000000003E-5</v>
      </c>
      <c r="K3085" s="9">
        <v>4243.03</v>
      </c>
      <c r="L3085" s="14">
        <v>0</v>
      </c>
      <c r="M3085" s="2" t="s">
        <v>71</v>
      </c>
      <c r="N3085" s="2" t="s">
        <v>16706</v>
      </c>
      <c r="O3085" s="2" t="s">
        <v>7529</v>
      </c>
      <c r="P3085" s="9">
        <v>2.33</v>
      </c>
      <c r="Q3085" s="9">
        <v>4277.25</v>
      </c>
      <c r="R3085" s="2" t="s">
        <v>16711</v>
      </c>
    </row>
    <row r="3086" spans="1:18" x14ac:dyDescent="0.25">
      <c r="A3086" s="2" t="s">
        <v>7531</v>
      </c>
      <c r="B3086" s="6">
        <v>46204</v>
      </c>
      <c r="C3086" s="8">
        <v>46232</v>
      </c>
      <c r="D3086" s="2" t="s">
        <v>7433</v>
      </c>
      <c r="E3086" s="2" t="s">
        <v>260</v>
      </c>
      <c r="F3086" s="2" t="s">
        <v>16703</v>
      </c>
      <c r="G3086" s="2" t="s">
        <v>7532</v>
      </c>
      <c r="H3086" s="2" t="s">
        <v>76</v>
      </c>
      <c r="I3086" s="9">
        <v>102653952</v>
      </c>
      <c r="J3086" s="7">
        <v>6.2000000000000003E-5</v>
      </c>
      <c r="K3086" s="9">
        <v>6364.55</v>
      </c>
      <c r="L3086" s="14">
        <v>0</v>
      </c>
      <c r="M3086" s="2" t="s">
        <v>71</v>
      </c>
      <c r="N3086" s="2" t="s">
        <v>16706</v>
      </c>
      <c r="O3086" s="2" t="s">
        <v>7529</v>
      </c>
      <c r="P3086" s="9">
        <v>3.5</v>
      </c>
      <c r="Q3086" s="9">
        <v>6415.87</v>
      </c>
      <c r="R3086" s="2" t="s">
        <v>16711</v>
      </c>
    </row>
    <row r="3087" spans="1:18" x14ac:dyDescent="0.25">
      <c r="A3087" s="2" t="s">
        <v>7533</v>
      </c>
      <c r="B3087" s="6">
        <v>46204</v>
      </c>
      <c r="C3087" s="8">
        <v>46208</v>
      </c>
      <c r="D3087" s="2" t="s">
        <v>7433</v>
      </c>
      <c r="E3087" s="2" t="s">
        <v>260</v>
      </c>
      <c r="F3087" s="2" t="s">
        <v>16703</v>
      </c>
      <c r="G3087" s="2" t="s">
        <v>7535</v>
      </c>
      <c r="H3087" s="2" t="s">
        <v>70</v>
      </c>
      <c r="I3087" s="9">
        <v>6598.454135</v>
      </c>
      <c r="J3087" s="7">
        <v>0.65800000000000003</v>
      </c>
      <c r="K3087" s="9">
        <v>4341.78</v>
      </c>
      <c r="L3087" s="14">
        <v>0</v>
      </c>
      <c r="M3087" s="2" t="s">
        <v>71</v>
      </c>
      <c r="N3087" s="2" t="s">
        <v>16706</v>
      </c>
      <c r="O3087" s="2" t="s">
        <v>7534</v>
      </c>
      <c r="P3087" s="9">
        <v>2.39</v>
      </c>
      <c r="Q3087" s="9">
        <v>4387.97</v>
      </c>
      <c r="R3087" s="2" t="s">
        <v>16711</v>
      </c>
    </row>
    <row r="3088" spans="1:18" x14ac:dyDescent="0.25">
      <c r="A3088" s="2" t="s">
        <v>7536</v>
      </c>
      <c r="B3088" s="6">
        <v>46204</v>
      </c>
      <c r="C3088" s="8">
        <v>46233</v>
      </c>
      <c r="D3088" s="2" t="s">
        <v>7433</v>
      </c>
      <c r="E3088" s="2" t="s">
        <v>260</v>
      </c>
      <c r="F3088" s="2" t="s">
        <v>16703</v>
      </c>
      <c r="G3088" s="2" t="s">
        <v>7537</v>
      </c>
      <c r="H3088" s="2" t="s">
        <v>70</v>
      </c>
      <c r="I3088" s="9">
        <v>9897.6812030000001</v>
      </c>
      <c r="J3088" s="7">
        <v>0.65800000000000003</v>
      </c>
      <c r="K3088" s="9">
        <v>6512.67</v>
      </c>
      <c r="L3088" s="14">
        <v>0</v>
      </c>
      <c r="M3088" s="2" t="s">
        <v>71</v>
      </c>
      <c r="N3088" s="2" t="s">
        <v>16706</v>
      </c>
      <c r="O3088" s="2" t="s">
        <v>7534</v>
      </c>
      <c r="P3088" s="9">
        <v>3.58</v>
      </c>
      <c r="Q3088" s="9">
        <v>6581.96</v>
      </c>
      <c r="R3088" s="2" t="s">
        <v>16711</v>
      </c>
    </row>
    <row r="3089" spans="1:18" x14ac:dyDescent="0.25">
      <c r="A3089" s="2" t="s">
        <v>7538</v>
      </c>
      <c r="B3089" s="6">
        <v>46204</v>
      </c>
      <c r="C3089" s="8">
        <v>46209</v>
      </c>
      <c r="D3089" s="2" t="s">
        <v>7433</v>
      </c>
      <c r="E3089" s="2" t="s">
        <v>260</v>
      </c>
      <c r="F3089" s="2" t="s">
        <v>16703</v>
      </c>
      <c r="G3089" s="2" t="s">
        <v>7540</v>
      </c>
      <c r="H3089" s="2" t="s">
        <v>39</v>
      </c>
      <c r="I3089" s="9">
        <v>4498.7</v>
      </c>
      <c r="J3089" s="7">
        <v>1</v>
      </c>
      <c r="K3089" s="9">
        <v>4498.7</v>
      </c>
      <c r="L3089" s="14">
        <v>0</v>
      </c>
      <c r="M3089" s="2" t="s">
        <v>71</v>
      </c>
      <c r="N3089" s="2" t="s">
        <v>16706</v>
      </c>
      <c r="O3089" s="2" t="s">
        <v>7539</v>
      </c>
      <c r="P3089" s="9">
        <v>2.4700000000000002</v>
      </c>
      <c r="Q3089" s="9">
        <v>4498.7</v>
      </c>
      <c r="R3089" s="2" t="s">
        <v>16711</v>
      </c>
    </row>
    <row r="3090" spans="1:18" x14ac:dyDescent="0.25">
      <c r="A3090" s="2" t="s">
        <v>7541</v>
      </c>
      <c r="B3090" s="6">
        <v>46204</v>
      </c>
      <c r="C3090" s="8">
        <v>46234</v>
      </c>
      <c r="D3090" s="2" t="s">
        <v>7433</v>
      </c>
      <c r="E3090" s="2" t="s">
        <v>260</v>
      </c>
      <c r="F3090" s="2" t="s">
        <v>16703</v>
      </c>
      <c r="G3090" s="2" t="s">
        <v>7542</v>
      </c>
      <c r="H3090" s="2" t="s">
        <v>39</v>
      </c>
      <c r="I3090" s="9">
        <v>6748.05</v>
      </c>
      <c r="J3090" s="7">
        <v>1</v>
      </c>
      <c r="K3090" s="9">
        <v>6748.05</v>
      </c>
      <c r="L3090" s="14">
        <v>0</v>
      </c>
      <c r="M3090" s="2" t="s">
        <v>71</v>
      </c>
      <c r="N3090" s="2" t="s">
        <v>16706</v>
      </c>
      <c r="O3090" s="2" t="s">
        <v>7539</v>
      </c>
      <c r="P3090" s="9">
        <v>3.71</v>
      </c>
      <c r="Q3090" s="9">
        <v>6748.05</v>
      </c>
      <c r="R3090" s="2" t="s">
        <v>16711</v>
      </c>
    </row>
    <row r="3091" spans="1:18" x14ac:dyDescent="0.25">
      <c r="A3091" s="2" t="s">
        <v>7543</v>
      </c>
      <c r="B3091" s="6">
        <v>46204</v>
      </c>
      <c r="C3091" s="8">
        <v>46210</v>
      </c>
      <c r="D3091" s="2" t="s">
        <v>7433</v>
      </c>
      <c r="E3091" s="2" t="s">
        <v>260</v>
      </c>
      <c r="F3091" s="2" t="s">
        <v>16703</v>
      </c>
      <c r="G3091" s="2" t="s">
        <v>7545</v>
      </c>
      <c r="H3091" s="2" t="s">
        <v>76</v>
      </c>
      <c r="I3091" s="9">
        <v>73750848</v>
      </c>
      <c r="J3091" s="7">
        <v>6.2000000000000003E-5</v>
      </c>
      <c r="K3091" s="9">
        <v>4572.55</v>
      </c>
      <c r="L3091" s="14">
        <v>0</v>
      </c>
      <c r="M3091" s="2" t="s">
        <v>71</v>
      </c>
      <c r="N3091" s="2" t="s">
        <v>16706</v>
      </c>
      <c r="O3091" s="2" t="s">
        <v>7544</v>
      </c>
      <c r="P3091" s="9">
        <v>2.5099999999999998</v>
      </c>
      <c r="Q3091" s="9">
        <v>4609.43</v>
      </c>
      <c r="R3091" s="2" t="s">
        <v>16711</v>
      </c>
    </row>
    <row r="3092" spans="1:18" x14ac:dyDescent="0.25">
      <c r="A3092" s="2" t="s">
        <v>7548</v>
      </c>
      <c r="B3092" s="6">
        <v>46204</v>
      </c>
      <c r="C3092" s="8">
        <v>46211</v>
      </c>
      <c r="D3092" s="2" t="s">
        <v>7433</v>
      </c>
      <c r="E3092" s="2" t="s">
        <v>260</v>
      </c>
      <c r="F3092" s="2" t="s">
        <v>16703</v>
      </c>
      <c r="G3092" s="2" t="s">
        <v>7550</v>
      </c>
      <c r="H3092" s="2" t="s">
        <v>70</v>
      </c>
      <c r="I3092" s="9">
        <v>7097.9789469999996</v>
      </c>
      <c r="J3092" s="7">
        <v>0.65800000000000003</v>
      </c>
      <c r="K3092" s="9">
        <v>4670.47</v>
      </c>
      <c r="L3092" s="14">
        <v>0</v>
      </c>
      <c r="M3092" s="2" t="s">
        <v>71</v>
      </c>
      <c r="N3092" s="2" t="s">
        <v>16706</v>
      </c>
      <c r="O3092" s="2" t="s">
        <v>7549</v>
      </c>
      <c r="P3092" s="9">
        <v>2.57</v>
      </c>
      <c r="Q3092" s="9">
        <v>4720.16</v>
      </c>
      <c r="R3092" s="2" t="s">
        <v>16711</v>
      </c>
    </row>
    <row r="3093" spans="1:18" x14ac:dyDescent="0.25">
      <c r="A3093" s="2" t="s">
        <v>7553</v>
      </c>
      <c r="B3093" s="6">
        <v>46204</v>
      </c>
      <c r="C3093" s="8">
        <v>46212</v>
      </c>
      <c r="D3093" s="2" t="s">
        <v>7433</v>
      </c>
      <c r="E3093" s="2" t="s">
        <v>260</v>
      </c>
      <c r="F3093" s="2" t="s">
        <v>16703</v>
      </c>
      <c r="G3093" s="2" t="s">
        <v>7555</v>
      </c>
      <c r="H3093" s="2" t="s">
        <v>39</v>
      </c>
      <c r="I3093" s="9">
        <v>4830.88</v>
      </c>
      <c r="J3093" s="7">
        <v>1</v>
      </c>
      <c r="K3093" s="9">
        <v>4830.88</v>
      </c>
      <c r="L3093" s="14">
        <v>0</v>
      </c>
      <c r="M3093" s="2" t="s">
        <v>71</v>
      </c>
      <c r="N3093" s="2" t="s">
        <v>16706</v>
      </c>
      <c r="O3093" s="2" t="s">
        <v>7554</v>
      </c>
      <c r="P3093" s="9">
        <v>2.66</v>
      </c>
      <c r="Q3093" s="9">
        <v>4830.88</v>
      </c>
      <c r="R3093" s="2" t="s">
        <v>16711</v>
      </c>
    </row>
    <row r="3094" spans="1:18" x14ac:dyDescent="0.25">
      <c r="A3094" s="2" t="s">
        <v>7558</v>
      </c>
      <c r="B3094" s="6">
        <v>46204</v>
      </c>
      <c r="C3094" s="8">
        <v>46213</v>
      </c>
      <c r="D3094" s="2" t="s">
        <v>7433</v>
      </c>
      <c r="E3094" s="2" t="s">
        <v>260</v>
      </c>
      <c r="F3094" s="2" t="s">
        <v>16703</v>
      </c>
      <c r="G3094" s="2" t="s">
        <v>7560</v>
      </c>
      <c r="H3094" s="2" t="s">
        <v>76</v>
      </c>
      <c r="I3094" s="9">
        <v>79065728</v>
      </c>
      <c r="J3094" s="7">
        <v>6.2000000000000003E-5</v>
      </c>
      <c r="K3094" s="9">
        <v>4902.08</v>
      </c>
      <c r="L3094" s="14">
        <v>0</v>
      </c>
      <c r="M3094" s="2" t="s">
        <v>71</v>
      </c>
      <c r="N3094" s="2" t="s">
        <v>16706</v>
      </c>
      <c r="O3094" s="2" t="s">
        <v>7559</v>
      </c>
      <c r="P3094" s="9">
        <v>2.7</v>
      </c>
      <c r="Q3094" s="9">
        <v>4941.6099999999997</v>
      </c>
      <c r="R3094" s="2" t="s">
        <v>16711</v>
      </c>
    </row>
    <row r="3095" spans="1:18" x14ac:dyDescent="0.25">
      <c r="A3095" s="2" t="s">
        <v>7563</v>
      </c>
      <c r="B3095" s="6">
        <v>46204</v>
      </c>
      <c r="C3095" s="8">
        <v>46214</v>
      </c>
      <c r="D3095" s="2" t="s">
        <v>7433</v>
      </c>
      <c r="E3095" s="2" t="s">
        <v>260</v>
      </c>
      <c r="F3095" s="2" t="s">
        <v>16703</v>
      </c>
      <c r="G3095" s="2" t="s">
        <v>7565</v>
      </c>
      <c r="H3095" s="2" t="s">
        <v>70</v>
      </c>
      <c r="I3095" s="9">
        <v>7597.4917290000003</v>
      </c>
      <c r="J3095" s="7">
        <v>0.65800000000000003</v>
      </c>
      <c r="K3095" s="9">
        <v>4999.1499999999996</v>
      </c>
      <c r="L3095" s="14">
        <v>0</v>
      </c>
      <c r="M3095" s="2" t="s">
        <v>71</v>
      </c>
      <c r="N3095" s="2" t="s">
        <v>16706</v>
      </c>
      <c r="O3095" s="2" t="s">
        <v>7564</v>
      </c>
      <c r="P3095" s="9">
        <v>2.75</v>
      </c>
      <c r="Q3095" s="9">
        <v>5052.33</v>
      </c>
      <c r="R3095" s="2" t="s">
        <v>16711</v>
      </c>
    </row>
    <row r="3096" spans="1:18" x14ac:dyDescent="0.25">
      <c r="A3096" s="2" t="s">
        <v>7568</v>
      </c>
      <c r="B3096" s="6">
        <v>46204</v>
      </c>
      <c r="C3096" s="8">
        <v>46215</v>
      </c>
      <c r="D3096" s="2" t="s">
        <v>7433</v>
      </c>
      <c r="E3096" s="2" t="s">
        <v>260</v>
      </c>
      <c r="F3096" s="2" t="s">
        <v>16703</v>
      </c>
      <c r="G3096" s="2" t="s">
        <v>7570</v>
      </c>
      <c r="H3096" s="2" t="s">
        <v>39</v>
      </c>
      <c r="I3096" s="9">
        <v>5163.0600000000004</v>
      </c>
      <c r="J3096" s="7">
        <v>1</v>
      </c>
      <c r="K3096" s="9">
        <v>5163.0600000000004</v>
      </c>
      <c r="L3096" s="14">
        <v>0</v>
      </c>
      <c r="M3096" s="2" t="s">
        <v>71</v>
      </c>
      <c r="N3096" s="2" t="s">
        <v>16706</v>
      </c>
      <c r="O3096" s="2" t="s">
        <v>7569</v>
      </c>
      <c r="P3096" s="9">
        <v>2.84</v>
      </c>
      <c r="Q3096" s="9">
        <v>5163.0600000000004</v>
      </c>
      <c r="R3096" s="2" t="s">
        <v>16711</v>
      </c>
    </row>
    <row r="3097" spans="1:18" x14ac:dyDescent="0.25">
      <c r="A3097" s="2" t="s">
        <v>7573</v>
      </c>
      <c r="B3097" s="6">
        <v>46204</v>
      </c>
      <c r="C3097" s="8">
        <v>46216</v>
      </c>
      <c r="D3097" s="2" t="s">
        <v>7433</v>
      </c>
      <c r="E3097" s="2" t="s">
        <v>260</v>
      </c>
      <c r="F3097" s="2" t="s">
        <v>16703</v>
      </c>
      <c r="G3097" s="2" t="s">
        <v>7575</v>
      </c>
      <c r="H3097" s="2" t="s">
        <v>76</v>
      </c>
      <c r="I3097" s="9">
        <v>84380544</v>
      </c>
      <c r="J3097" s="7">
        <v>6.2000000000000003E-5</v>
      </c>
      <c r="K3097" s="9">
        <v>5231.59</v>
      </c>
      <c r="L3097" s="14">
        <v>0</v>
      </c>
      <c r="M3097" s="2" t="s">
        <v>71</v>
      </c>
      <c r="N3097" s="2" t="s">
        <v>16706</v>
      </c>
      <c r="O3097" s="2" t="s">
        <v>7574</v>
      </c>
      <c r="P3097" s="9">
        <v>2.88</v>
      </c>
      <c r="Q3097" s="9">
        <v>5273.78</v>
      </c>
      <c r="R3097" s="2" t="s">
        <v>16711</v>
      </c>
    </row>
    <row r="3098" spans="1:18" x14ac:dyDescent="0.25">
      <c r="A3098" s="2" t="s">
        <v>7578</v>
      </c>
      <c r="B3098" s="6">
        <v>46204</v>
      </c>
      <c r="C3098" s="8">
        <v>46217</v>
      </c>
      <c r="D3098" s="2" t="s">
        <v>7433</v>
      </c>
      <c r="E3098" s="2" t="s">
        <v>260</v>
      </c>
      <c r="F3098" s="2" t="s">
        <v>16703</v>
      </c>
      <c r="G3098" s="2" t="s">
        <v>7580</v>
      </c>
      <c r="H3098" s="2" t="s">
        <v>70</v>
      </c>
      <c r="I3098" s="9">
        <v>8097.010526</v>
      </c>
      <c r="J3098" s="7">
        <v>0.65800000000000003</v>
      </c>
      <c r="K3098" s="9">
        <v>5327.83</v>
      </c>
      <c r="L3098" s="14">
        <v>0</v>
      </c>
      <c r="M3098" s="2" t="s">
        <v>71</v>
      </c>
      <c r="N3098" s="2" t="s">
        <v>16706</v>
      </c>
      <c r="O3098" s="2" t="s">
        <v>7579</v>
      </c>
      <c r="P3098" s="9">
        <v>2.93</v>
      </c>
      <c r="Q3098" s="9">
        <v>5384.51</v>
      </c>
      <c r="R3098" s="2" t="s">
        <v>16711</v>
      </c>
    </row>
    <row r="3099" spans="1:18" x14ac:dyDescent="0.25">
      <c r="A3099" s="2" t="s">
        <v>7583</v>
      </c>
      <c r="B3099" s="6">
        <v>46174</v>
      </c>
      <c r="C3099" s="8">
        <v>46188</v>
      </c>
      <c r="D3099" s="2" t="s">
        <v>7433</v>
      </c>
      <c r="E3099" s="2" t="s">
        <v>260</v>
      </c>
      <c r="F3099" s="2" t="s">
        <v>16703</v>
      </c>
      <c r="G3099" s="2" t="s">
        <v>7585</v>
      </c>
      <c r="H3099" s="2" t="s">
        <v>39</v>
      </c>
      <c r="I3099" s="9">
        <v>5495.24</v>
      </c>
      <c r="J3099" s="7">
        <v>1</v>
      </c>
      <c r="K3099" s="9">
        <v>5495.24</v>
      </c>
      <c r="L3099" s="14">
        <v>0</v>
      </c>
      <c r="M3099" s="2" t="s">
        <v>71</v>
      </c>
      <c r="N3099" s="2" t="s">
        <v>16704</v>
      </c>
      <c r="O3099" s="2" t="s">
        <v>7584</v>
      </c>
      <c r="P3099" s="9">
        <v>3.02</v>
      </c>
      <c r="Q3099" s="9">
        <v>5495.24</v>
      </c>
      <c r="R3099" s="2" t="s">
        <v>16710</v>
      </c>
    </row>
    <row r="3100" spans="1:18" x14ac:dyDescent="0.25">
      <c r="A3100" s="2" t="s">
        <v>7586</v>
      </c>
      <c r="B3100" s="6">
        <v>46204</v>
      </c>
      <c r="C3100" s="8">
        <v>46213</v>
      </c>
      <c r="D3100" s="2" t="s">
        <v>7433</v>
      </c>
      <c r="E3100" s="2" t="s">
        <v>260</v>
      </c>
      <c r="F3100" s="2" t="s">
        <v>16703</v>
      </c>
      <c r="G3100" s="2" t="s">
        <v>7587</v>
      </c>
      <c r="H3100" s="2" t="s">
        <v>39</v>
      </c>
      <c r="I3100" s="9">
        <v>8242.86</v>
      </c>
      <c r="J3100" s="7">
        <v>1</v>
      </c>
      <c r="K3100" s="9">
        <v>8242.86</v>
      </c>
      <c r="L3100" s="14">
        <v>0</v>
      </c>
      <c r="M3100" s="2" t="s">
        <v>71</v>
      </c>
      <c r="N3100" s="2" t="s">
        <v>16706</v>
      </c>
      <c r="O3100" s="2" t="s">
        <v>7584</v>
      </c>
      <c r="P3100" s="9">
        <v>4.53</v>
      </c>
      <c r="Q3100" s="9">
        <v>8242.86</v>
      </c>
      <c r="R3100" s="2" t="s">
        <v>16711</v>
      </c>
    </row>
    <row r="3101" spans="1:18" x14ac:dyDescent="0.25">
      <c r="A3101" s="2" t="s">
        <v>7588</v>
      </c>
      <c r="B3101" s="6">
        <v>46174</v>
      </c>
      <c r="C3101" s="8">
        <v>46189</v>
      </c>
      <c r="D3101" s="2" t="s">
        <v>7433</v>
      </c>
      <c r="E3101" s="2" t="s">
        <v>260</v>
      </c>
      <c r="F3101" s="2" t="s">
        <v>16703</v>
      </c>
      <c r="G3101" s="2" t="s">
        <v>7590</v>
      </c>
      <c r="H3101" s="2" t="s">
        <v>76</v>
      </c>
      <c r="I3101" s="9">
        <v>89695424</v>
      </c>
      <c r="J3101" s="7">
        <v>6.2500000000000001E-5</v>
      </c>
      <c r="K3101" s="9">
        <v>5605.96</v>
      </c>
      <c r="L3101" s="14">
        <v>0</v>
      </c>
      <c r="M3101" s="2" t="s">
        <v>71</v>
      </c>
      <c r="N3101" s="2" t="s">
        <v>16704</v>
      </c>
      <c r="O3101" s="2" t="s">
        <v>7589</v>
      </c>
      <c r="P3101" s="9">
        <v>3.08</v>
      </c>
      <c r="Q3101" s="9">
        <v>5605.96</v>
      </c>
      <c r="R3101" s="2" t="s">
        <v>16710</v>
      </c>
    </row>
    <row r="3102" spans="1:18" x14ac:dyDescent="0.25">
      <c r="A3102" s="2" t="s">
        <v>7591</v>
      </c>
      <c r="B3102" s="6">
        <v>46204</v>
      </c>
      <c r="C3102" s="8">
        <v>46214</v>
      </c>
      <c r="D3102" s="2" t="s">
        <v>7433</v>
      </c>
      <c r="E3102" s="2" t="s">
        <v>260</v>
      </c>
      <c r="F3102" s="2" t="s">
        <v>16703</v>
      </c>
      <c r="G3102" s="2" t="s">
        <v>7592</v>
      </c>
      <c r="H3102" s="2" t="s">
        <v>76</v>
      </c>
      <c r="I3102" s="9">
        <v>134543136</v>
      </c>
      <c r="J3102" s="7">
        <v>6.2000000000000003E-5</v>
      </c>
      <c r="K3102" s="9">
        <v>8341.67</v>
      </c>
      <c r="L3102" s="14">
        <v>0</v>
      </c>
      <c r="M3102" s="2" t="s">
        <v>71</v>
      </c>
      <c r="N3102" s="2" t="s">
        <v>16706</v>
      </c>
      <c r="O3102" s="2" t="s">
        <v>7589</v>
      </c>
      <c r="P3102" s="9">
        <v>4.59</v>
      </c>
      <c r="Q3102" s="9">
        <v>8408.9500000000007</v>
      </c>
      <c r="R3102" s="2" t="s">
        <v>16711</v>
      </c>
    </row>
    <row r="3103" spans="1:18" x14ac:dyDescent="0.25">
      <c r="A3103" s="2" t="s">
        <v>7593</v>
      </c>
      <c r="B3103" s="6">
        <v>46174</v>
      </c>
      <c r="C3103" s="8">
        <v>46190</v>
      </c>
      <c r="D3103" s="2" t="s">
        <v>7433</v>
      </c>
      <c r="E3103" s="2" t="s">
        <v>260</v>
      </c>
      <c r="F3103" s="2" t="s">
        <v>16703</v>
      </c>
      <c r="G3103" s="2" t="s">
        <v>7595</v>
      </c>
      <c r="H3103" s="2" t="s">
        <v>70</v>
      </c>
      <c r="I3103" s="9">
        <v>8596.5293230000007</v>
      </c>
      <c r="J3103" s="7">
        <v>0.66500000000000004</v>
      </c>
      <c r="K3103" s="9">
        <v>5716.69</v>
      </c>
      <c r="L3103" s="14">
        <v>0</v>
      </c>
      <c r="M3103" s="2" t="s">
        <v>71</v>
      </c>
      <c r="N3103" s="2" t="s">
        <v>16704</v>
      </c>
      <c r="O3103" s="2" t="s">
        <v>7594</v>
      </c>
      <c r="P3103" s="9">
        <v>3.14</v>
      </c>
      <c r="Q3103" s="9">
        <v>5716.69</v>
      </c>
      <c r="R3103" s="2" t="s">
        <v>16710</v>
      </c>
    </row>
    <row r="3104" spans="1:18" x14ac:dyDescent="0.25">
      <c r="A3104" s="2" t="s">
        <v>7596</v>
      </c>
      <c r="B3104" s="6">
        <v>46204</v>
      </c>
      <c r="C3104" s="8">
        <v>46215</v>
      </c>
      <c r="D3104" s="2" t="s">
        <v>7433</v>
      </c>
      <c r="E3104" s="2" t="s">
        <v>260</v>
      </c>
      <c r="F3104" s="2" t="s">
        <v>16703</v>
      </c>
      <c r="G3104" s="2" t="s">
        <v>7597</v>
      </c>
      <c r="H3104" s="2" t="s">
        <v>70</v>
      </c>
      <c r="I3104" s="9">
        <v>12894.793985</v>
      </c>
      <c r="J3104" s="7">
        <v>0.65800000000000003</v>
      </c>
      <c r="K3104" s="9">
        <v>8484.77</v>
      </c>
      <c r="L3104" s="14">
        <v>0</v>
      </c>
      <c r="M3104" s="2" t="s">
        <v>71</v>
      </c>
      <c r="N3104" s="2" t="s">
        <v>16706</v>
      </c>
      <c r="O3104" s="2" t="s">
        <v>7594</v>
      </c>
      <c r="P3104" s="9">
        <v>4.67</v>
      </c>
      <c r="Q3104" s="9">
        <v>8575.0400000000009</v>
      </c>
      <c r="R3104" s="2" t="s">
        <v>16711</v>
      </c>
    </row>
    <row r="3105" spans="1:18" x14ac:dyDescent="0.25">
      <c r="A3105" s="2" t="s">
        <v>7598</v>
      </c>
      <c r="B3105" s="6">
        <v>46174</v>
      </c>
      <c r="C3105" s="8">
        <v>46191</v>
      </c>
      <c r="D3105" s="2" t="s">
        <v>7433</v>
      </c>
      <c r="E3105" s="2" t="s">
        <v>260</v>
      </c>
      <c r="F3105" s="2" t="s">
        <v>16703</v>
      </c>
      <c r="G3105" s="2" t="s">
        <v>7600</v>
      </c>
      <c r="H3105" s="2" t="s">
        <v>39</v>
      </c>
      <c r="I3105" s="9">
        <v>5827.4160000000002</v>
      </c>
      <c r="J3105" s="7">
        <v>1</v>
      </c>
      <c r="K3105" s="9">
        <v>5827.42</v>
      </c>
      <c r="L3105" s="14">
        <v>0</v>
      </c>
      <c r="M3105" s="2" t="s">
        <v>71</v>
      </c>
      <c r="N3105" s="2" t="s">
        <v>16704</v>
      </c>
      <c r="O3105" s="2" t="s">
        <v>7599</v>
      </c>
      <c r="P3105" s="9">
        <v>3.21</v>
      </c>
      <c r="Q3105" s="9">
        <v>5827.42</v>
      </c>
      <c r="R3105" s="2" t="s">
        <v>16710</v>
      </c>
    </row>
    <row r="3106" spans="1:18" x14ac:dyDescent="0.25">
      <c r="A3106" s="2" t="s">
        <v>7601</v>
      </c>
      <c r="B3106" s="6">
        <v>46204</v>
      </c>
      <c r="C3106" s="8">
        <v>46216</v>
      </c>
      <c r="D3106" s="2" t="s">
        <v>7433</v>
      </c>
      <c r="E3106" s="2" t="s">
        <v>260</v>
      </c>
      <c r="F3106" s="2" t="s">
        <v>16703</v>
      </c>
      <c r="G3106" s="2" t="s">
        <v>7602</v>
      </c>
      <c r="H3106" s="2" t="s">
        <v>39</v>
      </c>
      <c r="I3106" s="9">
        <v>8741.1239999999998</v>
      </c>
      <c r="J3106" s="7">
        <v>1</v>
      </c>
      <c r="K3106" s="9">
        <v>8741.1200000000008</v>
      </c>
      <c r="L3106" s="14">
        <v>0</v>
      </c>
      <c r="M3106" s="2" t="s">
        <v>71</v>
      </c>
      <c r="N3106" s="2" t="s">
        <v>16706</v>
      </c>
      <c r="O3106" s="2" t="s">
        <v>7599</v>
      </c>
      <c r="P3106" s="9">
        <v>4.8099999999999996</v>
      </c>
      <c r="Q3106" s="9">
        <v>8741.1200000000008</v>
      </c>
      <c r="R3106" s="2" t="s">
        <v>16711</v>
      </c>
    </row>
    <row r="3107" spans="1:18" x14ac:dyDescent="0.25">
      <c r="A3107" s="2" t="s">
        <v>7603</v>
      </c>
      <c r="B3107" s="6">
        <v>46174</v>
      </c>
      <c r="C3107" s="8">
        <v>46192</v>
      </c>
      <c r="D3107" s="2" t="s">
        <v>7433</v>
      </c>
      <c r="E3107" s="2" t="s">
        <v>260</v>
      </c>
      <c r="F3107" s="2" t="s">
        <v>16703</v>
      </c>
      <c r="G3107" s="2" t="s">
        <v>7605</v>
      </c>
      <c r="H3107" s="2" t="s">
        <v>76</v>
      </c>
      <c r="I3107" s="9">
        <v>95010304</v>
      </c>
      <c r="J3107" s="7">
        <v>6.2500000000000001E-5</v>
      </c>
      <c r="K3107" s="9">
        <v>5938.14</v>
      </c>
      <c r="L3107" s="14">
        <v>0</v>
      </c>
      <c r="M3107" s="2" t="s">
        <v>71</v>
      </c>
      <c r="N3107" s="2" t="s">
        <v>16704</v>
      </c>
      <c r="O3107" s="2" t="s">
        <v>7604</v>
      </c>
      <c r="P3107" s="9">
        <v>3.27</v>
      </c>
      <c r="Q3107" s="9">
        <v>5938.14</v>
      </c>
      <c r="R3107" s="2" t="s">
        <v>16710</v>
      </c>
    </row>
    <row r="3108" spans="1:18" x14ac:dyDescent="0.25">
      <c r="A3108" s="2" t="s">
        <v>7606</v>
      </c>
      <c r="B3108" s="6">
        <v>46204</v>
      </c>
      <c r="C3108" s="8">
        <v>46217</v>
      </c>
      <c r="D3108" s="2" t="s">
        <v>7433</v>
      </c>
      <c r="E3108" s="2" t="s">
        <v>260</v>
      </c>
      <c r="F3108" s="2" t="s">
        <v>16703</v>
      </c>
      <c r="G3108" s="2" t="s">
        <v>7607</v>
      </c>
      <c r="H3108" s="2" t="s">
        <v>76</v>
      </c>
      <c r="I3108" s="9">
        <v>142515456</v>
      </c>
      <c r="J3108" s="7">
        <v>6.2000000000000003E-5</v>
      </c>
      <c r="K3108" s="9">
        <v>8835.9599999999991</v>
      </c>
      <c r="L3108" s="14">
        <v>0</v>
      </c>
      <c r="M3108" s="2" t="s">
        <v>71</v>
      </c>
      <c r="N3108" s="2" t="s">
        <v>16706</v>
      </c>
      <c r="O3108" s="2" t="s">
        <v>7604</v>
      </c>
      <c r="P3108" s="9">
        <v>4.8600000000000003</v>
      </c>
      <c r="Q3108" s="9">
        <v>8907.2199999999993</v>
      </c>
      <c r="R3108" s="2" t="s">
        <v>16711</v>
      </c>
    </row>
    <row r="3109" spans="1:18" x14ac:dyDescent="0.25">
      <c r="A3109" s="2" t="s">
        <v>7608</v>
      </c>
      <c r="B3109" s="6">
        <v>46174</v>
      </c>
      <c r="C3109" s="8">
        <v>46193</v>
      </c>
      <c r="D3109" s="2" t="s">
        <v>7433</v>
      </c>
      <c r="E3109" s="2" t="s">
        <v>260</v>
      </c>
      <c r="F3109" s="2" t="s">
        <v>16703</v>
      </c>
      <c r="G3109" s="2" t="s">
        <v>7610</v>
      </c>
      <c r="H3109" s="2" t="s">
        <v>70</v>
      </c>
      <c r="I3109" s="9">
        <v>9096.0421050000004</v>
      </c>
      <c r="J3109" s="7">
        <v>0.66500000000000004</v>
      </c>
      <c r="K3109" s="9">
        <v>6048.87</v>
      </c>
      <c r="L3109" s="14">
        <v>0</v>
      </c>
      <c r="M3109" s="2" t="s">
        <v>71</v>
      </c>
      <c r="N3109" s="2" t="s">
        <v>16704</v>
      </c>
      <c r="O3109" s="2" t="s">
        <v>7609</v>
      </c>
      <c r="P3109" s="9">
        <v>3.33</v>
      </c>
      <c r="Q3109" s="9">
        <v>6048.87</v>
      </c>
      <c r="R3109" s="2" t="s">
        <v>16710</v>
      </c>
    </row>
    <row r="3110" spans="1:18" x14ac:dyDescent="0.25">
      <c r="A3110" s="2" t="s">
        <v>7611</v>
      </c>
      <c r="B3110" s="6">
        <v>46204</v>
      </c>
      <c r="C3110" s="8">
        <v>46218</v>
      </c>
      <c r="D3110" s="2" t="s">
        <v>7433</v>
      </c>
      <c r="E3110" s="2" t="s">
        <v>260</v>
      </c>
      <c r="F3110" s="2" t="s">
        <v>16703</v>
      </c>
      <c r="G3110" s="2" t="s">
        <v>7612</v>
      </c>
      <c r="H3110" s="2" t="s">
        <v>70</v>
      </c>
      <c r="I3110" s="9">
        <v>13644.063158000001</v>
      </c>
      <c r="J3110" s="7">
        <v>0.65800000000000003</v>
      </c>
      <c r="K3110" s="9">
        <v>8977.7900000000009</v>
      </c>
      <c r="L3110" s="14">
        <v>0</v>
      </c>
      <c r="M3110" s="2" t="s">
        <v>71</v>
      </c>
      <c r="N3110" s="2" t="s">
        <v>16706</v>
      </c>
      <c r="O3110" s="2" t="s">
        <v>7609</v>
      </c>
      <c r="P3110" s="9">
        <v>4.9400000000000004</v>
      </c>
      <c r="Q3110" s="9">
        <v>9073.2999999999993</v>
      </c>
      <c r="R3110" s="2" t="s">
        <v>16711</v>
      </c>
    </row>
    <row r="3111" spans="1:18" x14ac:dyDescent="0.25">
      <c r="A3111" s="2" t="s">
        <v>7613</v>
      </c>
      <c r="B3111" s="6">
        <v>46174</v>
      </c>
      <c r="C3111" s="8">
        <v>46194</v>
      </c>
      <c r="D3111" s="2" t="s">
        <v>7433</v>
      </c>
      <c r="E3111" s="2" t="s">
        <v>260</v>
      </c>
      <c r="F3111" s="2" t="s">
        <v>16703</v>
      </c>
      <c r="G3111" s="2" t="s">
        <v>7615</v>
      </c>
      <c r="H3111" s="2" t="s">
        <v>39</v>
      </c>
      <c r="I3111" s="9">
        <v>6159.5959999999995</v>
      </c>
      <c r="J3111" s="7">
        <v>1</v>
      </c>
      <c r="K3111" s="9">
        <v>6159.6</v>
      </c>
      <c r="L3111" s="14">
        <v>0</v>
      </c>
      <c r="M3111" s="2" t="s">
        <v>71</v>
      </c>
      <c r="N3111" s="2" t="s">
        <v>16704</v>
      </c>
      <c r="O3111" s="2" t="s">
        <v>7614</v>
      </c>
      <c r="P3111" s="9">
        <v>3.39</v>
      </c>
      <c r="Q3111" s="9">
        <v>6159.6</v>
      </c>
      <c r="R3111" s="2" t="s">
        <v>16710</v>
      </c>
    </row>
    <row r="3112" spans="1:18" x14ac:dyDescent="0.25">
      <c r="A3112" s="2" t="s">
        <v>7616</v>
      </c>
      <c r="B3112" s="6">
        <v>46204</v>
      </c>
      <c r="C3112" s="8">
        <v>46219</v>
      </c>
      <c r="D3112" s="2" t="s">
        <v>7433</v>
      </c>
      <c r="E3112" s="2" t="s">
        <v>260</v>
      </c>
      <c r="F3112" s="2" t="s">
        <v>16703</v>
      </c>
      <c r="G3112" s="2" t="s">
        <v>7617</v>
      </c>
      <c r="H3112" s="2" t="s">
        <v>39</v>
      </c>
      <c r="I3112" s="9">
        <v>9239.3940000000002</v>
      </c>
      <c r="J3112" s="7">
        <v>1</v>
      </c>
      <c r="K3112" s="9">
        <v>9239.39</v>
      </c>
      <c r="L3112" s="14">
        <v>0</v>
      </c>
      <c r="M3112" s="2" t="s">
        <v>71</v>
      </c>
      <c r="N3112" s="2" t="s">
        <v>16706</v>
      </c>
      <c r="O3112" s="2" t="s">
        <v>7614</v>
      </c>
      <c r="P3112" s="9">
        <v>5.08</v>
      </c>
      <c r="Q3112" s="9">
        <v>9239.39</v>
      </c>
      <c r="R3112" s="2" t="s">
        <v>16711</v>
      </c>
    </row>
    <row r="3113" spans="1:18" x14ac:dyDescent="0.25">
      <c r="A3113" s="2" t="s">
        <v>7618</v>
      </c>
      <c r="B3113" s="6">
        <v>46174</v>
      </c>
      <c r="C3113" s="8">
        <v>46195</v>
      </c>
      <c r="D3113" s="2" t="s">
        <v>7433</v>
      </c>
      <c r="E3113" s="2" t="s">
        <v>260</v>
      </c>
      <c r="F3113" s="2" t="s">
        <v>16703</v>
      </c>
      <c r="G3113" s="2" t="s">
        <v>7620</v>
      </c>
      <c r="H3113" s="2" t="s">
        <v>76</v>
      </c>
      <c r="I3113" s="9">
        <v>100325184</v>
      </c>
      <c r="J3113" s="7">
        <v>6.2500000000000001E-5</v>
      </c>
      <c r="K3113" s="9">
        <v>6270.32</v>
      </c>
      <c r="L3113" s="14">
        <v>0</v>
      </c>
      <c r="M3113" s="2" t="s">
        <v>71</v>
      </c>
      <c r="N3113" s="2" t="s">
        <v>16704</v>
      </c>
      <c r="O3113" s="2" t="s">
        <v>7619</v>
      </c>
      <c r="P3113" s="9">
        <v>3.45</v>
      </c>
      <c r="Q3113" s="9">
        <v>6270.32</v>
      </c>
      <c r="R3113" s="2" t="s">
        <v>16710</v>
      </c>
    </row>
    <row r="3114" spans="1:18" x14ac:dyDescent="0.25">
      <c r="A3114" s="2" t="s">
        <v>7621</v>
      </c>
      <c r="B3114" s="6">
        <v>46204</v>
      </c>
      <c r="C3114" s="8">
        <v>46220</v>
      </c>
      <c r="D3114" s="2" t="s">
        <v>7433</v>
      </c>
      <c r="E3114" s="2" t="s">
        <v>260</v>
      </c>
      <c r="F3114" s="2" t="s">
        <v>16703</v>
      </c>
      <c r="G3114" s="2" t="s">
        <v>7622</v>
      </c>
      <c r="H3114" s="2" t="s">
        <v>76</v>
      </c>
      <c r="I3114" s="9">
        <v>150487776</v>
      </c>
      <c r="J3114" s="7">
        <v>6.2000000000000003E-5</v>
      </c>
      <c r="K3114" s="9">
        <v>9330.24</v>
      </c>
      <c r="L3114" s="14">
        <v>0</v>
      </c>
      <c r="M3114" s="2" t="s">
        <v>71</v>
      </c>
      <c r="N3114" s="2" t="s">
        <v>16706</v>
      </c>
      <c r="O3114" s="2" t="s">
        <v>7619</v>
      </c>
      <c r="P3114" s="9">
        <v>5.13</v>
      </c>
      <c r="Q3114" s="9">
        <v>9405.49</v>
      </c>
      <c r="R3114" s="2" t="s">
        <v>16711</v>
      </c>
    </row>
    <row r="3115" spans="1:18" x14ac:dyDescent="0.25">
      <c r="A3115" s="2" t="s">
        <v>7623</v>
      </c>
      <c r="B3115" s="6">
        <v>46174</v>
      </c>
      <c r="C3115" s="8">
        <v>46196</v>
      </c>
      <c r="D3115" s="2" t="s">
        <v>7433</v>
      </c>
      <c r="E3115" s="2" t="s">
        <v>260</v>
      </c>
      <c r="F3115" s="2" t="s">
        <v>16703</v>
      </c>
      <c r="G3115" s="2" t="s">
        <v>7625</v>
      </c>
      <c r="H3115" s="2" t="s">
        <v>70</v>
      </c>
      <c r="I3115" s="9">
        <v>9595.5669170000001</v>
      </c>
      <c r="J3115" s="7">
        <v>0.66500000000000004</v>
      </c>
      <c r="K3115" s="9">
        <v>6381.05</v>
      </c>
      <c r="L3115" s="14">
        <v>0</v>
      </c>
      <c r="M3115" s="2" t="s">
        <v>71</v>
      </c>
      <c r="N3115" s="2" t="s">
        <v>16704</v>
      </c>
      <c r="O3115" s="2" t="s">
        <v>7624</v>
      </c>
      <c r="P3115" s="9">
        <v>3.51</v>
      </c>
      <c r="Q3115" s="9">
        <v>6381.05</v>
      </c>
      <c r="R3115" s="2" t="s">
        <v>16710</v>
      </c>
    </row>
    <row r="3116" spans="1:18" x14ac:dyDescent="0.25">
      <c r="A3116" s="2" t="s">
        <v>7626</v>
      </c>
      <c r="B3116" s="6">
        <v>46204</v>
      </c>
      <c r="C3116" s="8">
        <v>46221</v>
      </c>
      <c r="D3116" s="2" t="s">
        <v>7433</v>
      </c>
      <c r="E3116" s="2" t="s">
        <v>260</v>
      </c>
      <c r="F3116" s="2" t="s">
        <v>16703</v>
      </c>
      <c r="G3116" s="2" t="s">
        <v>7627</v>
      </c>
      <c r="H3116" s="2" t="s">
        <v>70</v>
      </c>
      <c r="I3116" s="9">
        <v>14393.350376</v>
      </c>
      <c r="J3116" s="7">
        <v>0.65800000000000003</v>
      </c>
      <c r="K3116" s="9">
        <v>9470.82</v>
      </c>
      <c r="L3116" s="14">
        <v>0</v>
      </c>
      <c r="M3116" s="2" t="s">
        <v>71</v>
      </c>
      <c r="N3116" s="2" t="s">
        <v>16706</v>
      </c>
      <c r="O3116" s="2" t="s">
        <v>7624</v>
      </c>
      <c r="P3116" s="9">
        <v>5.21</v>
      </c>
      <c r="Q3116" s="9">
        <v>9571.58</v>
      </c>
      <c r="R3116" s="2" t="s">
        <v>16711</v>
      </c>
    </row>
    <row r="3117" spans="1:18" x14ac:dyDescent="0.25">
      <c r="A3117" s="2" t="s">
        <v>7628</v>
      </c>
      <c r="B3117" s="6">
        <v>46174</v>
      </c>
      <c r="C3117" s="8">
        <v>46197</v>
      </c>
      <c r="D3117" s="2" t="s">
        <v>7433</v>
      </c>
      <c r="E3117" s="2" t="s">
        <v>260</v>
      </c>
      <c r="F3117" s="2" t="s">
        <v>16703</v>
      </c>
      <c r="G3117" s="2" t="s">
        <v>7630</v>
      </c>
      <c r="H3117" s="2" t="s">
        <v>39</v>
      </c>
      <c r="I3117" s="9">
        <v>6491.7759999999998</v>
      </c>
      <c r="J3117" s="7">
        <v>1</v>
      </c>
      <c r="K3117" s="9">
        <v>6491.78</v>
      </c>
      <c r="L3117" s="14">
        <v>0</v>
      </c>
      <c r="M3117" s="2" t="s">
        <v>71</v>
      </c>
      <c r="N3117" s="2" t="s">
        <v>16704</v>
      </c>
      <c r="O3117" s="2" t="s">
        <v>7629</v>
      </c>
      <c r="P3117" s="9">
        <v>3.57</v>
      </c>
      <c r="Q3117" s="9">
        <v>6491.78</v>
      </c>
      <c r="R3117" s="2" t="s">
        <v>16710</v>
      </c>
    </row>
    <row r="3118" spans="1:18" x14ac:dyDescent="0.25">
      <c r="A3118" s="2" t="s">
        <v>7631</v>
      </c>
      <c r="B3118" s="6">
        <v>46204</v>
      </c>
      <c r="C3118" s="8">
        <v>46222</v>
      </c>
      <c r="D3118" s="2" t="s">
        <v>7433</v>
      </c>
      <c r="E3118" s="2" t="s">
        <v>260</v>
      </c>
      <c r="F3118" s="2" t="s">
        <v>16703</v>
      </c>
      <c r="G3118" s="2" t="s">
        <v>7632</v>
      </c>
      <c r="H3118" s="2" t="s">
        <v>39</v>
      </c>
      <c r="I3118" s="9">
        <v>9737.6640000000007</v>
      </c>
      <c r="J3118" s="7">
        <v>1</v>
      </c>
      <c r="K3118" s="9">
        <v>9737.66</v>
      </c>
      <c r="L3118" s="14">
        <v>0</v>
      </c>
      <c r="M3118" s="2" t="s">
        <v>71</v>
      </c>
      <c r="N3118" s="2" t="s">
        <v>16706</v>
      </c>
      <c r="O3118" s="2" t="s">
        <v>7629</v>
      </c>
      <c r="P3118" s="9">
        <v>5.36</v>
      </c>
      <c r="Q3118" s="9">
        <v>9737.66</v>
      </c>
      <c r="R3118" s="2" t="s">
        <v>16711</v>
      </c>
    </row>
    <row r="3119" spans="1:18" x14ac:dyDescent="0.25">
      <c r="A3119" s="2" t="s">
        <v>7633</v>
      </c>
      <c r="B3119" s="6">
        <v>46174</v>
      </c>
      <c r="C3119" s="8">
        <v>46198</v>
      </c>
      <c r="D3119" s="2" t="s">
        <v>7433</v>
      </c>
      <c r="E3119" s="2" t="s">
        <v>260</v>
      </c>
      <c r="F3119" s="2" t="s">
        <v>16703</v>
      </c>
      <c r="G3119" s="2" t="s">
        <v>7635</v>
      </c>
      <c r="H3119" s="2" t="s">
        <v>76</v>
      </c>
      <c r="I3119" s="9">
        <v>-264100160</v>
      </c>
      <c r="J3119" s="7">
        <v>6.2500000000000001E-5</v>
      </c>
      <c r="K3119" s="9">
        <v>-16506.259999999998</v>
      </c>
      <c r="L3119" s="14">
        <v>0</v>
      </c>
      <c r="M3119" s="2" t="s">
        <v>71</v>
      </c>
      <c r="N3119" s="2" t="s">
        <v>16704</v>
      </c>
      <c r="O3119" s="2" t="s">
        <v>7634</v>
      </c>
      <c r="P3119" s="9">
        <v>0</v>
      </c>
      <c r="Q3119" s="9">
        <v>-16506.259999999998</v>
      </c>
      <c r="R3119" s="2" t="s">
        <v>16710</v>
      </c>
    </row>
    <row r="3120" spans="1:18" x14ac:dyDescent="0.25">
      <c r="A3120" s="2" t="s">
        <v>7636</v>
      </c>
      <c r="B3120" s="6">
        <v>46174</v>
      </c>
      <c r="C3120" s="8">
        <v>46199</v>
      </c>
      <c r="D3120" s="2" t="s">
        <v>7433</v>
      </c>
      <c r="E3120" s="2" t="s">
        <v>260</v>
      </c>
      <c r="F3120" s="2" t="s">
        <v>16703</v>
      </c>
      <c r="G3120" s="2" t="s">
        <v>7638</v>
      </c>
      <c r="H3120" s="2" t="s">
        <v>70</v>
      </c>
      <c r="I3120" s="9">
        <v>10095.079699</v>
      </c>
      <c r="J3120" s="7">
        <v>0.66500000000000004</v>
      </c>
      <c r="K3120" s="9">
        <v>6713.23</v>
      </c>
      <c r="L3120" s="14">
        <v>0</v>
      </c>
      <c r="M3120" s="2" t="s">
        <v>71</v>
      </c>
      <c r="N3120" s="2" t="s">
        <v>16704</v>
      </c>
      <c r="O3120" s="2" t="s">
        <v>7637</v>
      </c>
      <c r="P3120" s="9">
        <v>3.69</v>
      </c>
      <c r="Q3120" s="9">
        <v>6713.23</v>
      </c>
      <c r="R3120" s="2" t="s">
        <v>16710</v>
      </c>
    </row>
    <row r="3121" spans="1:18" x14ac:dyDescent="0.25">
      <c r="A3121" s="2" t="s">
        <v>7639</v>
      </c>
      <c r="B3121" s="6">
        <v>46204</v>
      </c>
      <c r="C3121" s="8">
        <v>46224</v>
      </c>
      <c r="D3121" s="2" t="s">
        <v>7433</v>
      </c>
      <c r="E3121" s="2" t="s">
        <v>260</v>
      </c>
      <c r="F3121" s="2" t="s">
        <v>16703</v>
      </c>
      <c r="G3121" s="2" t="s">
        <v>7640</v>
      </c>
      <c r="H3121" s="2" t="s">
        <v>70</v>
      </c>
      <c r="I3121" s="9">
        <v>15142.619548999999</v>
      </c>
      <c r="J3121" s="7">
        <v>0.65800000000000003</v>
      </c>
      <c r="K3121" s="9">
        <v>9963.84</v>
      </c>
      <c r="L3121" s="14">
        <v>0</v>
      </c>
      <c r="M3121" s="2" t="s">
        <v>71</v>
      </c>
      <c r="N3121" s="2" t="s">
        <v>16706</v>
      </c>
      <c r="O3121" s="2" t="s">
        <v>7637</v>
      </c>
      <c r="P3121" s="9">
        <v>5.48</v>
      </c>
      <c r="Q3121" s="9">
        <v>10069.84</v>
      </c>
      <c r="R3121" s="2" t="s">
        <v>16711</v>
      </c>
    </row>
    <row r="3122" spans="1:18" x14ac:dyDescent="0.25">
      <c r="A3122" s="2" t="s">
        <v>7641</v>
      </c>
      <c r="B3122" s="6">
        <v>46174</v>
      </c>
      <c r="C3122" s="8">
        <v>46200</v>
      </c>
      <c r="D3122" s="2" t="s">
        <v>7433</v>
      </c>
      <c r="E3122" s="2" t="s">
        <v>260</v>
      </c>
      <c r="F3122" s="2" t="s">
        <v>16703</v>
      </c>
      <c r="G3122" s="2" t="s">
        <v>7643</v>
      </c>
      <c r="H3122" s="2" t="s">
        <v>39</v>
      </c>
      <c r="I3122" s="9">
        <v>6823.9560000000001</v>
      </c>
      <c r="J3122" s="7">
        <v>1</v>
      </c>
      <c r="K3122" s="9">
        <v>6823.96</v>
      </c>
      <c r="L3122" s="14">
        <v>0</v>
      </c>
      <c r="M3122" s="2" t="s">
        <v>71</v>
      </c>
      <c r="N3122" s="2" t="s">
        <v>16704</v>
      </c>
      <c r="O3122" s="2" t="s">
        <v>7642</v>
      </c>
      <c r="P3122" s="9">
        <v>3.75</v>
      </c>
      <c r="Q3122" s="9">
        <v>6823.96</v>
      </c>
      <c r="R3122" s="2" t="s">
        <v>16710</v>
      </c>
    </row>
    <row r="3123" spans="1:18" x14ac:dyDescent="0.25">
      <c r="A3123" s="2" t="s">
        <v>7644</v>
      </c>
      <c r="B3123" s="6">
        <v>46204</v>
      </c>
      <c r="C3123" s="8">
        <v>46225</v>
      </c>
      <c r="D3123" s="2" t="s">
        <v>7433</v>
      </c>
      <c r="E3123" s="2" t="s">
        <v>260</v>
      </c>
      <c r="F3123" s="2" t="s">
        <v>16703</v>
      </c>
      <c r="G3123" s="2" t="s">
        <v>7645</v>
      </c>
      <c r="H3123" s="2" t="s">
        <v>39</v>
      </c>
      <c r="I3123" s="9">
        <v>10235.933999999999</v>
      </c>
      <c r="J3123" s="7">
        <v>1</v>
      </c>
      <c r="K3123" s="9">
        <v>10235.93</v>
      </c>
      <c r="L3123" s="14">
        <v>0</v>
      </c>
      <c r="M3123" s="2" t="s">
        <v>71</v>
      </c>
      <c r="N3123" s="2" t="s">
        <v>16706</v>
      </c>
      <c r="O3123" s="2" t="s">
        <v>7642</v>
      </c>
      <c r="P3123" s="9">
        <v>5.63</v>
      </c>
      <c r="Q3123" s="9">
        <v>10235.93</v>
      </c>
      <c r="R3123" s="2" t="s">
        <v>16711</v>
      </c>
    </row>
    <row r="3124" spans="1:18" x14ac:dyDescent="0.25">
      <c r="A3124" s="2" t="s">
        <v>7646</v>
      </c>
      <c r="B3124" s="6">
        <v>46174</v>
      </c>
      <c r="C3124" s="8">
        <v>46201</v>
      </c>
      <c r="D3124" s="2" t="s">
        <v>7433</v>
      </c>
      <c r="E3124" s="2" t="s">
        <v>260</v>
      </c>
      <c r="F3124" s="2" t="s">
        <v>16703</v>
      </c>
      <c r="G3124" s="2" t="s">
        <v>7648</v>
      </c>
      <c r="H3124" s="2" t="s">
        <v>76</v>
      </c>
      <c r="I3124" s="9">
        <v>110954880</v>
      </c>
      <c r="J3124" s="7">
        <v>6.2500000000000001E-5</v>
      </c>
      <c r="K3124" s="9">
        <v>6934.68</v>
      </c>
      <c r="L3124" s="14">
        <v>0</v>
      </c>
      <c r="M3124" s="2" t="s">
        <v>71</v>
      </c>
      <c r="N3124" s="2" t="s">
        <v>16704</v>
      </c>
      <c r="O3124" s="2" t="s">
        <v>7647</v>
      </c>
      <c r="P3124" s="9">
        <v>3.81</v>
      </c>
      <c r="Q3124" s="9">
        <v>6934.68</v>
      </c>
      <c r="R3124" s="2" t="s">
        <v>16710</v>
      </c>
    </row>
    <row r="3125" spans="1:18" x14ac:dyDescent="0.25">
      <c r="A3125" s="2" t="s">
        <v>7649</v>
      </c>
      <c r="B3125" s="6">
        <v>46204</v>
      </c>
      <c r="C3125" s="8">
        <v>46226</v>
      </c>
      <c r="D3125" s="2" t="s">
        <v>7433</v>
      </c>
      <c r="E3125" s="2" t="s">
        <v>260</v>
      </c>
      <c r="F3125" s="2" t="s">
        <v>16703</v>
      </c>
      <c r="G3125" s="2" t="s">
        <v>7650</v>
      </c>
      <c r="H3125" s="2" t="s">
        <v>76</v>
      </c>
      <c r="I3125" s="9">
        <v>166432320</v>
      </c>
      <c r="J3125" s="7">
        <v>6.2000000000000003E-5</v>
      </c>
      <c r="K3125" s="9">
        <v>10318.799999999999</v>
      </c>
      <c r="L3125" s="14">
        <v>0</v>
      </c>
      <c r="M3125" s="2" t="s">
        <v>71</v>
      </c>
      <c r="N3125" s="2" t="s">
        <v>16706</v>
      </c>
      <c r="O3125" s="2" t="s">
        <v>7647</v>
      </c>
      <c r="P3125" s="9">
        <v>5.68</v>
      </c>
      <c r="Q3125" s="9">
        <v>10402.02</v>
      </c>
      <c r="R3125" s="2" t="s">
        <v>16711</v>
      </c>
    </row>
    <row r="3126" spans="1:18" x14ac:dyDescent="0.25">
      <c r="A3126" s="2" t="s">
        <v>7651</v>
      </c>
      <c r="B3126" s="6">
        <v>46174</v>
      </c>
      <c r="C3126" s="8">
        <v>46202</v>
      </c>
      <c r="D3126" s="2" t="s">
        <v>7433</v>
      </c>
      <c r="E3126" s="2" t="s">
        <v>260</v>
      </c>
      <c r="F3126" s="2" t="s">
        <v>16703</v>
      </c>
      <c r="G3126" s="2" t="s">
        <v>7653</v>
      </c>
      <c r="H3126" s="2" t="s">
        <v>70</v>
      </c>
      <c r="I3126" s="9">
        <v>10594.598496000001</v>
      </c>
      <c r="J3126" s="7">
        <v>0.66500000000000004</v>
      </c>
      <c r="K3126" s="9">
        <v>7045.41</v>
      </c>
      <c r="L3126" s="14">
        <v>0</v>
      </c>
      <c r="M3126" s="2" t="s">
        <v>71</v>
      </c>
      <c r="N3126" s="2" t="s">
        <v>16704</v>
      </c>
      <c r="O3126" s="2" t="s">
        <v>7652</v>
      </c>
      <c r="P3126" s="9">
        <v>3.87</v>
      </c>
      <c r="Q3126" s="9">
        <v>7045.41</v>
      </c>
      <c r="R3126" s="2" t="s">
        <v>16710</v>
      </c>
    </row>
    <row r="3127" spans="1:18" x14ac:dyDescent="0.25">
      <c r="A3127" s="2" t="s">
        <v>7654</v>
      </c>
      <c r="B3127" s="6">
        <v>46204</v>
      </c>
      <c r="C3127" s="8">
        <v>46227</v>
      </c>
      <c r="D3127" s="2" t="s">
        <v>7433</v>
      </c>
      <c r="E3127" s="2" t="s">
        <v>260</v>
      </c>
      <c r="F3127" s="2" t="s">
        <v>16703</v>
      </c>
      <c r="G3127" s="2" t="s">
        <v>7655</v>
      </c>
      <c r="H3127" s="2" t="s">
        <v>70</v>
      </c>
      <c r="I3127" s="9">
        <v>15891.897745</v>
      </c>
      <c r="J3127" s="7">
        <v>0.65800000000000003</v>
      </c>
      <c r="K3127" s="9">
        <v>10456.870000000001</v>
      </c>
      <c r="L3127" s="14">
        <v>0</v>
      </c>
      <c r="M3127" s="2" t="s">
        <v>71</v>
      </c>
      <c r="N3127" s="2" t="s">
        <v>16706</v>
      </c>
      <c r="O3127" s="2" t="s">
        <v>7652</v>
      </c>
      <c r="P3127" s="9">
        <v>5.75</v>
      </c>
      <c r="Q3127" s="9">
        <v>10568.11</v>
      </c>
      <c r="R3127" s="2" t="s">
        <v>16711</v>
      </c>
    </row>
    <row r="3128" spans="1:18" x14ac:dyDescent="0.25">
      <c r="A3128" s="2" t="s">
        <v>7656</v>
      </c>
      <c r="B3128" s="6">
        <v>46174</v>
      </c>
      <c r="C3128" s="8">
        <v>46203</v>
      </c>
      <c r="D3128" s="2" t="s">
        <v>7433</v>
      </c>
      <c r="E3128" s="2" t="s">
        <v>260</v>
      </c>
      <c r="F3128" s="2" t="s">
        <v>16703</v>
      </c>
      <c r="G3128" s="2" t="s">
        <v>7658</v>
      </c>
      <c r="H3128" s="2" t="s">
        <v>39</v>
      </c>
      <c r="I3128" s="9">
        <v>7156.1360000000004</v>
      </c>
      <c r="J3128" s="7">
        <v>1</v>
      </c>
      <c r="K3128" s="9">
        <v>7156.14</v>
      </c>
      <c r="L3128" s="14">
        <v>0</v>
      </c>
      <c r="M3128" s="2" t="s">
        <v>71</v>
      </c>
      <c r="N3128" s="2" t="s">
        <v>16704</v>
      </c>
      <c r="O3128" s="2" t="s">
        <v>7657</v>
      </c>
      <c r="P3128" s="9">
        <v>3.94</v>
      </c>
      <c r="Q3128" s="9">
        <v>7156.14</v>
      </c>
      <c r="R3128" s="2" t="s">
        <v>16710</v>
      </c>
    </row>
    <row r="3129" spans="1:18" x14ac:dyDescent="0.25">
      <c r="A3129" s="2" t="s">
        <v>7659</v>
      </c>
      <c r="B3129" s="6">
        <v>46204</v>
      </c>
      <c r="C3129" s="8">
        <v>46228</v>
      </c>
      <c r="D3129" s="2" t="s">
        <v>7433</v>
      </c>
      <c r="E3129" s="2" t="s">
        <v>260</v>
      </c>
      <c r="F3129" s="2" t="s">
        <v>16703</v>
      </c>
      <c r="G3129" s="2" t="s">
        <v>7660</v>
      </c>
      <c r="H3129" s="2" t="s">
        <v>39</v>
      </c>
      <c r="I3129" s="9">
        <v>10734.204</v>
      </c>
      <c r="J3129" s="7">
        <v>1</v>
      </c>
      <c r="K3129" s="9">
        <v>10734.2</v>
      </c>
      <c r="L3129" s="14">
        <v>0</v>
      </c>
      <c r="M3129" s="2" t="s">
        <v>71</v>
      </c>
      <c r="N3129" s="2" t="s">
        <v>16706</v>
      </c>
      <c r="O3129" s="2" t="s">
        <v>7657</v>
      </c>
      <c r="P3129" s="9">
        <v>5.9</v>
      </c>
      <c r="Q3129" s="9">
        <v>10734.2</v>
      </c>
      <c r="R3129" s="2" t="s">
        <v>16711</v>
      </c>
    </row>
    <row r="3130" spans="1:18" x14ac:dyDescent="0.25">
      <c r="A3130" s="2" t="s">
        <v>7661</v>
      </c>
      <c r="B3130" s="6">
        <v>46204</v>
      </c>
      <c r="C3130" s="8">
        <v>46204</v>
      </c>
      <c r="D3130" s="2" t="s">
        <v>7433</v>
      </c>
      <c r="E3130" s="2" t="s">
        <v>260</v>
      </c>
      <c r="F3130" s="2" t="s">
        <v>16703</v>
      </c>
      <c r="G3130" s="2" t="s">
        <v>7663</v>
      </c>
      <c r="H3130" s="2" t="s">
        <v>76</v>
      </c>
      <c r="I3130" s="9">
        <v>116269760</v>
      </c>
      <c r="J3130" s="7">
        <v>6.2000000000000003E-5</v>
      </c>
      <c r="K3130" s="9">
        <v>7208.73</v>
      </c>
      <c r="L3130" s="14">
        <v>0</v>
      </c>
      <c r="M3130" s="2" t="s">
        <v>71</v>
      </c>
      <c r="N3130" s="2" t="s">
        <v>16706</v>
      </c>
      <c r="O3130" s="2" t="s">
        <v>7662</v>
      </c>
      <c r="P3130" s="9">
        <v>3.96</v>
      </c>
      <c r="Q3130" s="9">
        <v>7266.86</v>
      </c>
      <c r="R3130" s="2" t="s">
        <v>16711</v>
      </c>
    </row>
    <row r="3131" spans="1:18" x14ac:dyDescent="0.25">
      <c r="A3131" s="2" t="s">
        <v>7664</v>
      </c>
      <c r="B3131" s="6">
        <v>46204</v>
      </c>
      <c r="C3131" s="8">
        <v>46229</v>
      </c>
      <c r="D3131" s="2" t="s">
        <v>7433</v>
      </c>
      <c r="E3131" s="2" t="s">
        <v>260</v>
      </c>
      <c r="F3131" s="2" t="s">
        <v>16703</v>
      </c>
      <c r="G3131" s="2" t="s">
        <v>7665</v>
      </c>
      <c r="H3131" s="2" t="s">
        <v>76</v>
      </c>
      <c r="I3131" s="9">
        <v>174404640</v>
      </c>
      <c r="J3131" s="7">
        <v>6.2000000000000003E-5</v>
      </c>
      <c r="K3131" s="9">
        <v>10813.09</v>
      </c>
      <c r="L3131" s="14">
        <v>0</v>
      </c>
      <c r="M3131" s="2" t="s">
        <v>71</v>
      </c>
      <c r="N3131" s="2" t="s">
        <v>16706</v>
      </c>
      <c r="O3131" s="2" t="s">
        <v>7662</v>
      </c>
      <c r="P3131" s="9">
        <v>5.95</v>
      </c>
      <c r="Q3131" s="9">
        <v>10900.29</v>
      </c>
      <c r="R3131" s="2" t="s">
        <v>16711</v>
      </c>
    </row>
    <row r="3132" spans="1:18" x14ac:dyDescent="0.25">
      <c r="A3132" s="2" t="s">
        <v>7666</v>
      </c>
      <c r="B3132" s="6">
        <v>46204</v>
      </c>
      <c r="C3132" s="8">
        <v>46205</v>
      </c>
      <c r="D3132" s="2" t="s">
        <v>7433</v>
      </c>
      <c r="E3132" s="2" t="s">
        <v>260</v>
      </c>
      <c r="F3132" s="2" t="s">
        <v>16703</v>
      </c>
      <c r="G3132" s="2" t="s">
        <v>7668</v>
      </c>
      <c r="H3132" s="2" t="s">
        <v>70</v>
      </c>
      <c r="I3132" s="9">
        <v>11094.117292999999</v>
      </c>
      <c r="J3132" s="7">
        <v>0.65800000000000003</v>
      </c>
      <c r="K3132" s="9">
        <v>7299.93</v>
      </c>
      <c r="L3132" s="14">
        <v>0</v>
      </c>
      <c r="M3132" s="2" t="s">
        <v>71</v>
      </c>
      <c r="N3132" s="2" t="s">
        <v>16706</v>
      </c>
      <c r="O3132" s="2" t="s">
        <v>7667</v>
      </c>
      <c r="P3132" s="9">
        <v>4.01</v>
      </c>
      <c r="Q3132" s="9">
        <v>7377.59</v>
      </c>
      <c r="R3132" s="2" t="s">
        <v>16711</v>
      </c>
    </row>
    <row r="3133" spans="1:18" x14ac:dyDescent="0.25">
      <c r="A3133" s="2" t="s">
        <v>7669</v>
      </c>
      <c r="B3133" s="6">
        <v>46204</v>
      </c>
      <c r="C3133" s="8">
        <v>46230</v>
      </c>
      <c r="D3133" s="2" t="s">
        <v>7433</v>
      </c>
      <c r="E3133" s="2" t="s">
        <v>260</v>
      </c>
      <c r="F3133" s="2" t="s">
        <v>16703</v>
      </c>
      <c r="G3133" s="2" t="s">
        <v>7670</v>
      </c>
      <c r="H3133" s="2" t="s">
        <v>70</v>
      </c>
      <c r="I3133" s="9">
        <v>16641.175940000001</v>
      </c>
      <c r="J3133" s="7">
        <v>0.65800000000000003</v>
      </c>
      <c r="K3133" s="9">
        <v>10949.89</v>
      </c>
      <c r="L3133" s="14">
        <v>0</v>
      </c>
      <c r="M3133" s="2" t="s">
        <v>71</v>
      </c>
      <c r="N3133" s="2" t="s">
        <v>16706</v>
      </c>
      <c r="O3133" s="2" t="s">
        <v>7667</v>
      </c>
      <c r="P3133" s="9">
        <v>6.02</v>
      </c>
      <c r="Q3133" s="9">
        <v>11066.38</v>
      </c>
      <c r="R3133" s="2" t="s">
        <v>16711</v>
      </c>
    </row>
    <row r="3134" spans="1:18" x14ac:dyDescent="0.25">
      <c r="A3134" s="2" t="s">
        <v>7671</v>
      </c>
      <c r="B3134" s="6">
        <v>46204</v>
      </c>
      <c r="C3134" s="8">
        <v>46206</v>
      </c>
      <c r="D3134" s="2" t="s">
        <v>7433</v>
      </c>
      <c r="E3134" s="2" t="s">
        <v>260</v>
      </c>
      <c r="F3134" s="2" t="s">
        <v>16703</v>
      </c>
      <c r="G3134" s="2" t="s">
        <v>7673</v>
      </c>
      <c r="H3134" s="2" t="s">
        <v>39</v>
      </c>
      <c r="I3134" s="9">
        <v>7488.3119999999999</v>
      </c>
      <c r="J3134" s="7">
        <v>1</v>
      </c>
      <c r="K3134" s="9">
        <v>7488.31</v>
      </c>
      <c r="L3134" s="14">
        <v>0</v>
      </c>
      <c r="M3134" s="2" t="s">
        <v>71</v>
      </c>
      <c r="N3134" s="2" t="s">
        <v>16706</v>
      </c>
      <c r="O3134" s="2" t="s">
        <v>7672</v>
      </c>
      <c r="P3134" s="9">
        <v>4.12</v>
      </c>
      <c r="Q3134" s="9">
        <v>7488.31</v>
      </c>
      <c r="R3134" s="2" t="s">
        <v>16711</v>
      </c>
    </row>
    <row r="3135" spans="1:18" x14ac:dyDescent="0.25">
      <c r="A3135" s="2" t="s">
        <v>7674</v>
      </c>
      <c r="B3135" s="6">
        <v>46204</v>
      </c>
      <c r="C3135" s="8">
        <v>46231</v>
      </c>
      <c r="D3135" s="2" t="s">
        <v>7433</v>
      </c>
      <c r="E3135" s="2" t="s">
        <v>260</v>
      </c>
      <c r="F3135" s="2" t="s">
        <v>16703</v>
      </c>
      <c r="G3135" s="2" t="s">
        <v>7675</v>
      </c>
      <c r="H3135" s="2" t="s">
        <v>39</v>
      </c>
      <c r="I3135" s="9">
        <v>11232.468000000001</v>
      </c>
      <c r="J3135" s="7">
        <v>1</v>
      </c>
      <c r="K3135" s="9">
        <v>11232.47</v>
      </c>
      <c r="L3135" s="14">
        <v>0</v>
      </c>
      <c r="M3135" s="2" t="s">
        <v>71</v>
      </c>
      <c r="N3135" s="2" t="s">
        <v>16706</v>
      </c>
      <c r="O3135" s="2" t="s">
        <v>7672</v>
      </c>
      <c r="P3135" s="9">
        <v>6.18</v>
      </c>
      <c r="Q3135" s="9">
        <v>11232.47</v>
      </c>
      <c r="R3135" s="2" t="s">
        <v>16711</v>
      </c>
    </row>
    <row r="3136" spans="1:18" x14ac:dyDescent="0.25">
      <c r="A3136" s="2" t="s">
        <v>7676</v>
      </c>
      <c r="B3136" s="6">
        <v>46204</v>
      </c>
      <c r="C3136" s="8">
        <v>46207</v>
      </c>
      <c r="D3136" s="2" t="s">
        <v>7433</v>
      </c>
      <c r="E3136" s="2" t="s">
        <v>260</v>
      </c>
      <c r="F3136" s="2" t="s">
        <v>16703</v>
      </c>
      <c r="G3136" s="2" t="s">
        <v>7678</v>
      </c>
      <c r="H3136" s="2" t="s">
        <v>76</v>
      </c>
      <c r="I3136" s="9">
        <v>121584640</v>
      </c>
      <c r="J3136" s="7">
        <v>6.2000000000000003E-5</v>
      </c>
      <c r="K3136" s="9">
        <v>7538.25</v>
      </c>
      <c r="L3136" s="14">
        <v>0</v>
      </c>
      <c r="M3136" s="2" t="s">
        <v>71</v>
      </c>
      <c r="N3136" s="2" t="s">
        <v>16706</v>
      </c>
      <c r="O3136" s="2" t="s">
        <v>7677</v>
      </c>
      <c r="P3136" s="9">
        <v>4.1500000000000004</v>
      </c>
      <c r="Q3136" s="9">
        <v>7599.04</v>
      </c>
      <c r="R3136" s="2" t="s">
        <v>16711</v>
      </c>
    </row>
    <row r="3137" spans="1:18" x14ac:dyDescent="0.25">
      <c r="A3137" s="2" t="s">
        <v>7679</v>
      </c>
      <c r="B3137" s="6">
        <v>46204</v>
      </c>
      <c r="C3137" s="8">
        <v>46232</v>
      </c>
      <c r="D3137" s="2" t="s">
        <v>7433</v>
      </c>
      <c r="E3137" s="2" t="s">
        <v>260</v>
      </c>
      <c r="F3137" s="2" t="s">
        <v>16703</v>
      </c>
      <c r="G3137" s="2" t="s">
        <v>7680</v>
      </c>
      <c r="H3137" s="2" t="s">
        <v>76</v>
      </c>
      <c r="I3137" s="9">
        <v>182376960</v>
      </c>
      <c r="J3137" s="7">
        <v>6.2000000000000003E-5</v>
      </c>
      <c r="K3137" s="9">
        <v>11307.37</v>
      </c>
      <c r="L3137" s="14">
        <v>0</v>
      </c>
      <c r="M3137" s="2" t="s">
        <v>71</v>
      </c>
      <c r="N3137" s="2" t="s">
        <v>16706</v>
      </c>
      <c r="O3137" s="2" t="s">
        <v>7677</v>
      </c>
      <c r="P3137" s="9">
        <v>6.22</v>
      </c>
      <c r="Q3137" s="9">
        <v>11398.56</v>
      </c>
      <c r="R3137" s="2" t="s">
        <v>16711</v>
      </c>
    </row>
    <row r="3138" spans="1:18" x14ac:dyDescent="0.25">
      <c r="A3138" s="2" t="s">
        <v>7681</v>
      </c>
      <c r="B3138" s="6">
        <v>46204</v>
      </c>
      <c r="C3138" s="8">
        <v>46208</v>
      </c>
      <c r="D3138" s="2" t="s">
        <v>7433</v>
      </c>
      <c r="E3138" s="2" t="s">
        <v>260</v>
      </c>
      <c r="F3138" s="2" t="s">
        <v>16703</v>
      </c>
      <c r="G3138" s="2" t="s">
        <v>7683</v>
      </c>
      <c r="H3138" s="2" t="s">
        <v>70</v>
      </c>
      <c r="I3138" s="9">
        <v>11593.630074999999</v>
      </c>
      <c r="J3138" s="7">
        <v>0.65800000000000003</v>
      </c>
      <c r="K3138" s="9">
        <v>7628.61</v>
      </c>
      <c r="L3138" s="14">
        <v>0</v>
      </c>
      <c r="M3138" s="2" t="s">
        <v>71</v>
      </c>
      <c r="N3138" s="2" t="s">
        <v>16706</v>
      </c>
      <c r="O3138" s="2" t="s">
        <v>7682</v>
      </c>
      <c r="P3138" s="9">
        <v>4.2</v>
      </c>
      <c r="Q3138" s="9">
        <v>7709.76</v>
      </c>
      <c r="R3138" s="2" t="s">
        <v>16711</v>
      </c>
    </row>
    <row r="3139" spans="1:18" x14ac:dyDescent="0.25">
      <c r="A3139" s="2" t="s">
        <v>7684</v>
      </c>
      <c r="B3139" s="6">
        <v>46204</v>
      </c>
      <c r="C3139" s="8">
        <v>46233</v>
      </c>
      <c r="D3139" s="2" t="s">
        <v>7433</v>
      </c>
      <c r="E3139" s="2" t="s">
        <v>260</v>
      </c>
      <c r="F3139" s="2" t="s">
        <v>16703</v>
      </c>
      <c r="G3139" s="2" t="s">
        <v>7685</v>
      </c>
      <c r="H3139" s="2" t="s">
        <v>70</v>
      </c>
      <c r="I3139" s="9">
        <v>17390.445113000002</v>
      </c>
      <c r="J3139" s="7">
        <v>0.65800000000000003</v>
      </c>
      <c r="K3139" s="9">
        <v>11442.91</v>
      </c>
      <c r="L3139" s="14">
        <v>0</v>
      </c>
      <c r="M3139" s="2" t="s">
        <v>71</v>
      </c>
      <c r="N3139" s="2" t="s">
        <v>16706</v>
      </c>
      <c r="O3139" s="2" t="s">
        <v>7682</v>
      </c>
      <c r="P3139" s="9">
        <v>6.29</v>
      </c>
      <c r="Q3139" s="9">
        <v>11564.65</v>
      </c>
      <c r="R3139" s="2" t="s">
        <v>16711</v>
      </c>
    </row>
    <row r="3140" spans="1:18" x14ac:dyDescent="0.25">
      <c r="A3140" s="2" t="s">
        <v>7686</v>
      </c>
      <c r="B3140" s="6">
        <v>46204</v>
      </c>
      <c r="C3140" s="8">
        <v>46209</v>
      </c>
      <c r="D3140" s="2" t="s">
        <v>7433</v>
      </c>
      <c r="E3140" s="2" t="s">
        <v>260</v>
      </c>
      <c r="F3140" s="2" t="s">
        <v>16703</v>
      </c>
      <c r="G3140" s="2" t="s">
        <v>7688</v>
      </c>
      <c r="H3140" s="2" t="s">
        <v>39</v>
      </c>
      <c r="I3140" s="9">
        <v>7820.4920000000002</v>
      </c>
      <c r="J3140" s="7">
        <v>1</v>
      </c>
      <c r="K3140" s="9">
        <v>7820.49</v>
      </c>
      <c r="L3140" s="14">
        <v>0</v>
      </c>
      <c r="M3140" s="2" t="s">
        <v>71</v>
      </c>
      <c r="N3140" s="2" t="s">
        <v>16706</v>
      </c>
      <c r="O3140" s="2" t="s">
        <v>7687</v>
      </c>
      <c r="P3140" s="9">
        <v>4.3</v>
      </c>
      <c r="Q3140" s="9">
        <v>7820.49</v>
      </c>
      <c r="R3140" s="2" t="s">
        <v>16711</v>
      </c>
    </row>
    <row r="3141" spans="1:18" x14ac:dyDescent="0.25">
      <c r="A3141" s="2" t="s">
        <v>7689</v>
      </c>
      <c r="B3141" s="6">
        <v>46204</v>
      </c>
      <c r="C3141" s="8">
        <v>46234</v>
      </c>
      <c r="D3141" s="2" t="s">
        <v>7433</v>
      </c>
      <c r="E3141" s="2" t="s">
        <v>260</v>
      </c>
      <c r="F3141" s="2" t="s">
        <v>16703</v>
      </c>
      <c r="G3141" s="2" t="s">
        <v>7690</v>
      </c>
      <c r="H3141" s="2" t="s">
        <v>39</v>
      </c>
      <c r="I3141" s="9">
        <v>11730.737999999999</v>
      </c>
      <c r="J3141" s="7">
        <v>1</v>
      </c>
      <c r="K3141" s="9">
        <v>11730.74</v>
      </c>
      <c r="L3141" s="14">
        <v>0</v>
      </c>
      <c r="M3141" s="2" t="s">
        <v>71</v>
      </c>
      <c r="N3141" s="2" t="s">
        <v>16706</v>
      </c>
      <c r="O3141" s="2" t="s">
        <v>7687</v>
      </c>
      <c r="P3141" s="9">
        <v>6.45</v>
      </c>
      <c r="Q3141" s="9">
        <v>11730.74</v>
      </c>
      <c r="R3141" s="2" t="s">
        <v>16711</v>
      </c>
    </row>
    <row r="3142" spans="1:18" x14ac:dyDescent="0.25">
      <c r="A3142" s="2" t="s">
        <v>7691</v>
      </c>
      <c r="B3142" s="6">
        <v>46204</v>
      </c>
      <c r="C3142" s="8">
        <v>46210</v>
      </c>
      <c r="D3142" s="2" t="s">
        <v>7433</v>
      </c>
      <c r="E3142" s="2" t="s">
        <v>260</v>
      </c>
      <c r="F3142" s="2" t="s">
        <v>16703</v>
      </c>
      <c r="G3142" s="2" t="s">
        <v>7693</v>
      </c>
      <c r="H3142" s="2" t="s">
        <v>76</v>
      </c>
      <c r="I3142" s="9">
        <v>126899520</v>
      </c>
      <c r="J3142" s="7">
        <v>6.2000000000000003E-5</v>
      </c>
      <c r="K3142" s="9">
        <v>7867.77</v>
      </c>
      <c r="L3142" s="14">
        <v>0</v>
      </c>
      <c r="M3142" s="2" t="s">
        <v>71</v>
      </c>
      <c r="N3142" s="2" t="s">
        <v>16706</v>
      </c>
      <c r="O3142" s="2" t="s">
        <v>7692</v>
      </c>
      <c r="P3142" s="9">
        <v>4.33</v>
      </c>
      <c r="Q3142" s="9">
        <v>7931.22</v>
      </c>
      <c r="R3142" s="2" t="s">
        <v>16711</v>
      </c>
    </row>
    <row r="3143" spans="1:18" x14ac:dyDescent="0.25">
      <c r="A3143" s="2" t="s">
        <v>7696</v>
      </c>
      <c r="B3143" s="6">
        <v>46204</v>
      </c>
      <c r="C3143" s="8">
        <v>46211</v>
      </c>
      <c r="D3143" s="2" t="s">
        <v>7433</v>
      </c>
      <c r="E3143" s="2" t="s">
        <v>260</v>
      </c>
      <c r="F3143" s="2" t="s">
        <v>16703</v>
      </c>
      <c r="G3143" s="2" t="s">
        <v>7698</v>
      </c>
      <c r="H3143" s="2" t="s">
        <v>70</v>
      </c>
      <c r="I3143" s="9">
        <v>12093.154887000001</v>
      </c>
      <c r="J3143" s="7">
        <v>0.65800000000000003</v>
      </c>
      <c r="K3143" s="9">
        <v>7957.3</v>
      </c>
      <c r="L3143" s="14">
        <v>0</v>
      </c>
      <c r="M3143" s="2" t="s">
        <v>71</v>
      </c>
      <c r="N3143" s="2" t="s">
        <v>16706</v>
      </c>
      <c r="O3143" s="2" t="s">
        <v>7697</v>
      </c>
      <c r="P3143" s="9">
        <v>4.38</v>
      </c>
      <c r="Q3143" s="9">
        <v>8041.95</v>
      </c>
      <c r="R3143" s="2" t="s">
        <v>16711</v>
      </c>
    </row>
    <row r="3144" spans="1:18" x14ac:dyDescent="0.25">
      <c r="A3144" s="2" t="s">
        <v>7701</v>
      </c>
      <c r="B3144" s="6">
        <v>46204</v>
      </c>
      <c r="C3144" s="8">
        <v>46212</v>
      </c>
      <c r="D3144" s="2" t="s">
        <v>7433</v>
      </c>
      <c r="E3144" s="2" t="s">
        <v>260</v>
      </c>
      <c r="F3144" s="2" t="s">
        <v>16703</v>
      </c>
      <c r="G3144" s="2" t="s">
        <v>7703</v>
      </c>
      <c r="H3144" s="2" t="s">
        <v>39</v>
      </c>
      <c r="I3144" s="9">
        <v>8152.6719999999996</v>
      </c>
      <c r="J3144" s="7">
        <v>1</v>
      </c>
      <c r="K3144" s="9">
        <v>8152.67</v>
      </c>
      <c r="L3144" s="14">
        <v>0</v>
      </c>
      <c r="M3144" s="2" t="s">
        <v>71</v>
      </c>
      <c r="N3144" s="2" t="s">
        <v>16706</v>
      </c>
      <c r="O3144" s="2" t="s">
        <v>7702</v>
      </c>
      <c r="P3144" s="9">
        <v>4.4800000000000004</v>
      </c>
      <c r="Q3144" s="9">
        <v>8152.67</v>
      </c>
      <c r="R3144" s="2" t="s">
        <v>16711</v>
      </c>
    </row>
    <row r="3145" spans="1:18" x14ac:dyDescent="0.25">
      <c r="A3145" s="2" t="s">
        <v>7706</v>
      </c>
      <c r="B3145" s="6">
        <v>46204</v>
      </c>
      <c r="C3145" s="8">
        <v>46213</v>
      </c>
      <c r="D3145" s="2" t="s">
        <v>7433</v>
      </c>
      <c r="E3145" s="2" t="s">
        <v>260</v>
      </c>
      <c r="F3145" s="2" t="s">
        <v>16703</v>
      </c>
      <c r="G3145" s="2" t="s">
        <v>7708</v>
      </c>
      <c r="H3145" s="2" t="s">
        <v>76</v>
      </c>
      <c r="I3145" s="9">
        <v>132214400</v>
      </c>
      <c r="J3145" s="7">
        <v>6.2000000000000003E-5</v>
      </c>
      <c r="K3145" s="9">
        <v>8197.2900000000009</v>
      </c>
      <c r="L3145" s="14">
        <v>0</v>
      </c>
      <c r="M3145" s="2" t="s">
        <v>71</v>
      </c>
      <c r="N3145" s="2" t="s">
        <v>16706</v>
      </c>
      <c r="O3145" s="2" t="s">
        <v>7707</v>
      </c>
      <c r="P3145" s="9">
        <v>4.51</v>
      </c>
      <c r="Q3145" s="9">
        <v>8263.4</v>
      </c>
      <c r="R3145" s="2" t="s">
        <v>16711</v>
      </c>
    </row>
    <row r="3146" spans="1:18" x14ac:dyDescent="0.25">
      <c r="A3146" s="2" t="s">
        <v>7711</v>
      </c>
      <c r="B3146" s="6">
        <v>46204</v>
      </c>
      <c r="C3146" s="8">
        <v>46214</v>
      </c>
      <c r="D3146" s="2" t="s">
        <v>7433</v>
      </c>
      <c r="E3146" s="2" t="s">
        <v>260</v>
      </c>
      <c r="F3146" s="2" t="s">
        <v>16703</v>
      </c>
      <c r="G3146" s="2" t="s">
        <v>7713</v>
      </c>
      <c r="H3146" s="2" t="s">
        <v>70</v>
      </c>
      <c r="I3146" s="9">
        <v>12592.667669</v>
      </c>
      <c r="J3146" s="7">
        <v>0.65800000000000003</v>
      </c>
      <c r="K3146" s="9">
        <v>8285.98</v>
      </c>
      <c r="L3146" s="14">
        <v>0</v>
      </c>
      <c r="M3146" s="2" t="s">
        <v>71</v>
      </c>
      <c r="N3146" s="2" t="s">
        <v>16706</v>
      </c>
      <c r="O3146" s="2" t="s">
        <v>7712</v>
      </c>
      <c r="P3146" s="9">
        <v>4.5599999999999996</v>
      </c>
      <c r="Q3146" s="9">
        <v>8374.1200000000008</v>
      </c>
      <c r="R3146" s="2" t="s">
        <v>16711</v>
      </c>
    </row>
    <row r="3147" spans="1:18" x14ac:dyDescent="0.25">
      <c r="A3147" s="2" t="s">
        <v>7716</v>
      </c>
      <c r="B3147" s="6">
        <v>46204</v>
      </c>
      <c r="C3147" s="8">
        <v>46215</v>
      </c>
      <c r="D3147" s="2" t="s">
        <v>7433</v>
      </c>
      <c r="E3147" s="2" t="s">
        <v>260</v>
      </c>
      <c r="F3147" s="2" t="s">
        <v>16703</v>
      </c>
      <c r="G3147" s="2" t="s">
        <v>7718</v>
      </c>
      <c r="H3147" s="2" t="s">
        <v>39</v>
      </c>
      <c r="I3147" s="9">
        <v>8484.8520000000008</v>
      </c>
      <c r="J3147" s="7">
        <v>1</v>
      </c>
      <c r="K3147" s="9">
        <v>8484.85</v>
      </c>
      <c r="L3147" s="14">
        <v>0</v>
      </c>
      <c r="M3147" s="2" t="s">
        <v>71</v>
      </c>
      <c r="N3147" s="2" t="s">
        <v>16706</v>
      </c>
      <c r="O3147" s="2" t="s">
        <v>7717</v>
      </c>
      <c r="P3147" s="9">
        <v>4.67</v>
      </c>
      <c r="Q3147" s="9">
        <v>8484.85</v>
      </c>
      <c r="R3147" s="2" t="s">
        <v>16711</v>
      </c>
    </row>
    <row r="3148" spans="1:18" x14ac:dyDescent="0.25">
      <c r="A3148" s="2" t="s">
        <v>7721</v>
      </c>
      <c r="B3148" s="6">
        <v>46204</v>
      </c>
      <c r="C3148" s="8">
        <v>46216</v>
      </c>
      <c r="D3148" s="2" t="s">
        <v>7433</v>
      </c>
      <c r="E3148" s="2" t="s">
        <v>260</v>
      </c>
      <c r="F3148" s="2" t="s">
        <v>16703</v>
      </c>
      <c r="G3148" s="2" t="s">
        <v>7723</v>
      </c>
      <c r="H3148" s="2" t="s">
        <v>76</v>
      </c>
      <c r="I3148" s="9">
        <v>137529216</v>
      </c>
      <c r="J3148" s="7">
        <v>6.2000000000000003E-5</v>
      </c>
      <c r="K3148" s="9">
        <v>8526.81</v>
      </c>
      <c r="L3148" s="14">
        <v>0</v>
      </c>
      <c r="M3148" s="2" t="s">
        <v>71</v>
      </c>
      <c r="N3148" s="2" t="s">
        <v>16706</v>
      </c>
      <c r="O3148" s="2" t="s">
        <v>7722</v>
      </c>
      <c r="P3148" s="9">
        <v>4.6900000000000004</v>
      </c>
      <c r="Q3148" s="9">
        <v>8595.58</v>
      </c>
      <c r="R3148" s="2" t="s">
        <v>16711</v>
      </c>
    </row>
    <row r="3149" spans="1:18" x14ac:dyDescent="0.25">
      <c r="A3149" s="2" t="s">
        <v>7726</v>
      </c>
      <c r="B3149" s="6">
        <v>46204</v>
      </c>
      <c r="C3149" s="8">
        <v>46217</v>
      </c>
      <c r="D3149" s="2" t="s">
        <v>7433</v>
      </c>
      <c r="E3149" s="2" t="s">
        <v>260</v>
      </c>
      <c r="F3149" s="2" t="s">
        <v>16703</v>
      </c>
      <c r="G3149" s="2" t="s">
        <v>7728</v>
      </c>
      <c r="H3149" s="2" t="s">
        <v>70</v>
      </c>
      <c r="I3149" s="9">
        <v>13092.186465999999</v>
      </c>
      <c r="J3149" s="7">
        <v>0.65800000000000003</v>
      </c>
      <c r="K3149" s="9">
        <v>8614.66</v>
      </c>
      <c r="L3149" s="14">
        <v>0</v>
      </c>
      <c r="M3149" s="2" t="s">
        <v>71</v>
      </c>
      <c r="N3149" s="2" t="s">
        <v>16706</v>
      </c>
      <c r="O3149" s="2" t="s">
        <v>7727</v>
      </c>
      <c r="P3149" s="9">
        <v>4.74</v>
      </c>
      <c r="Q3149" s="9">
        <v>8706.2999999999993</v>
      </c>
      <c r="R3149" s="2" t="s">
        <v>16711</v>
      </c>
    </row>
    <row r="3150" spans="1:18" x14ac:dyDescent="0.25">
      <c r="A3150" s="2" t="s">
        <v>7731</v>
      </c>
      <c r="B3150" s="6">
        <v>46174</v>
      </c>
      <c r="C3150" s="8">
        <v>46188</v>
      </c>
      <c r="D3150" s="2" t="s">
        <v>7433</v>
      </c>
      <c r="E3150" s="2" t="s">
        <v>260</v>
      </c>
      <c r="F3150" s="2" t="s">
        <v>16703</v>
      </c>
      <c r="G3150" s="2" t="s">
        <v>7733</v>
      </c>
      <c r="H3150" s="2" t="s">
        <v>39</v>
      </c>
      <c r="I3150" s="9">
        <v>8817.0319999999992</v>
      </c>
      <c r="J3150" s="7">
        <v>1</v>
      </c>
      <c r="K3150" s="9">
        <v>8817.0300000000007</v>
      </c>
      <c r="L3150" s="14">
        <v>0</v>
      </c>
      <c r="M3150" s="2" t="s">
        <v>71</v>
      </c>
      <c r="N3150" s="2" t="s">
        <v>16704</v>
      </c>
      <c r="O3150" s="2" t="s">
        <v>7732</v>
      </c>
      <c r="P3150" s="9">
        <v>4.8499999999999996</v>
      </c>
      <c r="Q3150" s="9">
        <v>8817.0300000000007</v>
      </c>
      <c r="R3150" s="2" t="s">
        <v>16710</v>
      </c>
    </row>
    <row r="3151" spans="1:18" x14ac:dyDescent="0.25">
      <c r="A3151" s="2" t="s">
        <v>7734</v>
      </c>
      <c r="B3151" s="6">
        <v>46204</v>
      </c>
      <c r="C3151" s="8">
        <v>46213</v>
      </c>
      <c r="D3151" s="2" t="s">
        <v>7433</v>
      </c>
      <c r="E3151" s="2" t="s">
        <v>260</v>
      </c>
      <c r="F3151" s="2" t="s">
        <v>16703</v>
      </c>
      <c r="G3151" s="2" t="s">
        <v>7735</v>
      </c>
      <c r="H3151" s="2" t="s">
        <v>39</v>
      </c>
      <c r="I3151" s="9">
        <v>13225.548000000001</v>
      </c>
      <c r="J3151" s="7">
        <v>1</v>
      </c>
      <c r="K3151" s="9">
        <v>13225.55</v>
      </c>
      <c r="L3151" s="14">
        <v>0</v>
      </c>
      <c r="M3151" s="2" t="s">
        <v>71</v>
      </c>
      <c r="N3151" s="2" t="s">
        <v>16706</v>
      </c>
      <c r="O3151" s="2" t="s">
        <v>7732</v>
      </c>
      <c r="P3151" s="9">
        <v>7.27</v>
      </c>
      <c r="Q3151" s="9">
        <v>13225.55</v>
      </c>
      <c r="R3151" s="2" t="s">
        <v>16711</v>
      </c>
    </row>
    <row r="3152" spans="1:18" x14ac:dyDescent="0.25">
      <c r="A3152" s="2" t="s">
        <v>7736</v>
      </c>
      <c r="B3152" s="6">
        <v>46174</v>
      </c>
      <c r="C3152" s="8">
        <v>46189</v>
      </c>
      <c r="D3152" s="2" t="s">
        <v>7433</v>
      </c>
      <c r="E3152" s="2" t="s">
        <v>260</v>
      </c>
      <c r="F3152" s="2" t="s">
        <v>16703</v>
      </c>
      <c r="G3152" s="2" t="s">
        <v>7738</v>
      </c>
      <c r="H3152" s="2" t="s">
        <v>76</v>
      </c>
      <c r="I3152" s="9">
        <v>142844096</v>
      </c>
      <c r="J3152" s="7">
        <v>6.2500000000000001E-5</v>
      </c>
      <c r="K3152" s="9">
        <v>8927.76</v>
      </c>
      <c r="L3152" s="14">
        <v>0</v>
      </c>
      <c r="M3152" s="2" t="s">
        <v>71</v>
      </c>
      <c r="N3152" s="2" t="s">
        <v>16704</v>
      </c>
      <c r="O3152" s="2" t="s">
        <v>7737</v>
      </c>
      <c r="P3152" s="9">
        <v>4.91</v>
      </c>
      <c r="Q3152" s="9">
        <v>8927.76</v>
      </c>
      <c r="R3152" s="2" t="s">
        <v>16710</v>
      </c>
    </row>
    <row r="3153" spans="1:18" x14ac:dyDescent="0.25">
      <c r="A3153" s="2" t="s">
        <v>7739</v>
      </c>
      <c r="B3153" s="6">
        <v>46204</v>
      </c>
      <c r="C3153" s="8">
        <v>46214</v>
      </c>
      <c r="D3153" s="2" t="s">
        <v>7433</v>
      </c>
      <c r="E3153" s="2" t="s">
        <v>260</v>
      </c>
      <c r="F3153" s="2" t="s">
        <v>16703</v>
      </c>
      <c r="G3153" s="2" t="s">
        <v>7740</v>
      </c>
      <c r="H3153" s="2" t="s">
        <v>76</v>
      </c>
      <c r="I3153" s="9">
        <v>214266144</v>
      </c>
      <c r="J3153" s="7">
        <v>6.2000000000000003E-5</v>
      </c>
      <c r="K3153" s="9">
        <v>13284.5</v>
      </c>
      <c r="L3153" s="14">
        <v>0</v>
      </c>
      <c r="M3153" s="2" t="s">
        <v>71</v>
      </c>
      <c r="N3153" s="2" t="s">
        <v>16706</v>
      </c>
      <c r="O3153" s="2" t="s">
        <v>7737</v>
      </c>
      <c r="P3153" s="9">
        <v>7.31</v>
      </c>
      <c r="Q3153" s="9">
        <v>13391.63</v>
      </c>
      <c r="R3153" s="2" t="s">
        <v>16711</v>
      </c>
    </row>
    <row r="3154" spans="1:18" x14ac:dyDescent="0.25">
      <c r="A3154" s="2" t="s">
        <v>7741</v>
      </c>
      <c r="B3154" s="6">
        <v>46174</v>
      </c>
      <c r="C3154" s="8">
        <v>46190</v>
      </c>
      <c r="D3154" s="2" t="s">
        <v>7433</v>
      </c>
      <c r="E3154" s="2" t="s">
        <v>260</v>
      </c>
      <c r="F3154" s="2" t="s">
        <v>16703</v>
      </c>
      <c r="G3154" s="2" t="s">
        <v>7743</v>
      </c>
      <c r="H3154" s="2" t="s">
        <v>70</v>
      </c>
      <c r="I3154" s="9">
        <v>13591.705263</v>
      </c>
      <c r="J3154" s="7">
        <v>0.66500000000000004</v>
      </c>
      <c r="K3154" s="9">
        <v>9038.48</v>
      </c>
      <c r="L3154" s="14">
        <v>0</v>
      </c>
      <c r="M3154" s="2" t="s">
        <v>71</v>
      </c>
      <c r="N3154" s="2" t="s">
        <v>16704</v>
      </c>
      <c r="O3154" s="2" t="s">
        <v>7742</v>
      </c>
      <c r="P3154" s="9">
        <v>4.97</v>
      </c>
      <c r="Q3154" s="9">
        <v>9038.48</v>
      </c>
      <c r="R3154" s="2" t="s">
        <v>16710</v>
      </c>
    </row>
    <row r="3155" spans="1:18" x14ac:dyDescent="0.25">
      <c r="A3155" s="2" t="s">
        <v>7744</v>
      </c>
      <c r="B3155" s="6">
        <v>46204</v>
      </c>
      <c r="C3155" s="8">
        <v>46215</v>
      </c>
      <c r="D3155" s="2" t="s">
        <v>7433</v>
      </c>
      <c r="E3155" s="2" t="s">
        <v>260</v>
      </c>
      <c r="F3155" s="2" t="s">
        <v>16703</v>
      </c>
      <c r="G3155" s="2" t="s">
        <v>7745</v>
      </c>
      <c r="H3155" s="2" t="s">
        <v>70</v>
      </c>
      <c r="I3155" s="9">
        <v>20387.557895000002</v>
      </c>
      <c r="J3155" s="7">
        <v>0.65800000000000003</v>
      </c>
      <c r="K3155" s="9">
        <v>13415.01</v>
      </c>
      <c r="L3155" s="14">
        <v>0</v>
      </c>
      <c r="M3155" s="2" t="s">
        <v>71</v>
      </c>
      <c r="N3155" s="2" t="s">
        <v>16706</v>
      </c>
      <c r="O3155" s="2" t="s">
        <v>7742</v>
      </c>
      <c r="P3155" s="9">
        <v>7.38</v>
      </c>
      <c r="Q3155" s="9">
        <v>13557.73</v>
      </c>
      <c r="R3155" s="2" t="s">
        <v>16711</v>
      </c>
    </row>
    <row r="3156" spans="1:18" x14ac:dyDescent="0.25">
      <c r="A3156" s="2" t="s">
        <v>7746</v>
      </c>
      <c r="B3156" s="6">
        <v>46174</v>
      </c>
      <c r="C3156" s="8">
        <v>46191</v>
      </c>
      <c r="D3156" s="2" t="s">
        <v>7433</v>
      </c>
      <c r="E3156" s="2" t="s">
        <v>260</v>
      </c>
      <c r="F3156" s="2" t="s">
        <v>16703</v>
      </c>
      <c r="G3156" s="2" t="s">
        <v>7748</v>
      </c>
      <c r="H3156" s="2" t="s">
        <v>39</v>
      </c>
      <c r="I3156" s="9">
        <v>9149.2080000000005</v>
      </c>
      <c r="J3156" s="7">
        <v>1</v>
      </c>
      <c r="K3156" s="9">
        <v>9149.2099999999991</v>
      </c>
      <c r="L3156" s="14">
        <v>0</v>
      </c>
      <c r="M3156" s="2" t="s">
        <v>71</v>
      </c>
      <c r="N3156" s="2" t="s">
        <v>16704</v>
      </c>
      <c r="O3156" s="2" t="s">
        <v>7747</v>
      </c>
      <c r="P3156" s="9">
        <v>5.03</v>
      </c>
      <c r="Q3156" s="9">
        <v>9149.2099999999991</v>
      </c>
      <c r="R3156" s="2" t="s">
        <v>16710</v>
      </c>
    </row>
    <row r="3157" spans="1:18" x14ac:dyDescent="0.25">
      <c r="A3157" s="2" t="s">
        <v>7749</v>
      </c>
      <c r="B3157" s="6">
        <v>46204</v>
      </c>
      <c r="C3157" s="8">
        <v>46216</v>
      </c>
      <c r="D3157" s="2" t="s">
        <v>7433</v>
      </c>
      <c r="E3157" s="2" t="s">
        <v>260</v>
      </c>
      <c r="F3157" s="2" t="s">
        <v>16703</v>
      </c>
      <c r="G3157" s="2" t="s">
        <v>7750</v>
      </c>
      <c r="H3157" s="2" t="s">
        <v>39</v>
      </c>
      <c r="I3157" s="9">
        <v>13723.812</v>
      </c>
      <c r="J3157" s="7">
        <v>1</v>
      </c>
      <c r="K3157" s="9">
        <v>13723.81</v>
      </c>
      <c r="L3157" s="14">
        <v>0</v>
      </c>
      <c r="M3157" s="2" t="s">
        <v>71</v>
      </c>
      <c r="N3157" s="2" t="s">
        <v>16706</v>
      </c>
      <c r="O3157" s="2" t="s">
        <v>7747</v>
      </c>
      <c r="P3157" s="9">
        <v>7.55</v>
      </c>
      <c r="Q3157" s="9">
        <v>13723.81</v>
      </c>
      <c r="R3157" s="2" t="s">
        <v>16711</v>
      </c>
    </row>
    <row r="3158" spans="1:18" x14ac:dyDescent="0.25">
      <c r="A3158" s="2" t="s">
        <v>7751</v>
      </c>
      <c r="B3158" s="6">
        <v>46174</v>
      </c>
      <c r="C3158" s="8">
        <v>46192</v>
      </c>
      <c r="D3158" s="2" t="s">
        <v>7433</v>
      </c>
      <c r="E3158" s="2" t="s">
        <v>260</v>
      </c>
      <c r="F3158" s="2" t="s">
        <v>16703</v>
      </c>
      <c r="G3158" s="2" t="s">
        <v>7753</v>
      </c>
      <c r="H3158" s="2" t="s">
        <v>76</v>
      </c>
      <c r="I3158" s="9">
        <v>148158976</v>
      </c>
      <c r="J3158" s="7">
        <v>6.2500000000000001E-5</v>
      </c>
      <c r="K3158" s="9">
        <v>9259.94</v>
      </c>
      <c r="L3158" s="14">
        <v>0</v>
      </c>
      <c r="M3158" s="2" t="s">
        <v>71</v>
      </c>
      <c r="N3158" s="2" t="s">
        <v>16704</v>
      </c>
      <c r="O3158" s="2" t="s">
        <v>7752</v>
      </c>
      <c r="P3158" s="9">
        <v>5.09</v>
      </c>
      <c r="Q3158" s="9">
        <v>9259.94</v>
      </c>
      <c r="R3158" s="2" t="s">
        <v>16710</v>
      </c>
    </row>
    <row r="3159" spans="1:18" x14ac:dyDescent="0.25">
      <c r="A3159" s="2" t="s">
        <v>7754</v>
      </c>
      <c r="B3159" s="6">
        <v>46204</v>
      </c>
      <c r="C3159" s="8">
        <v>46217</v>
      </c>
      <c r="D3159" s="2" t="s">
        <v>7433</v>
      </c>
      <c r="E3159" s="2" t="s">
        <v>260</v>
      </c>
      <c r="F3159" s="2" t="s">
        <v>16703</v>
      </c>
      <c r="G3159" s="2" t="s">
        <v>7755</v>
      </c>
      <c r="H3159" s="2" t="s">
        <v>76</v>
      </c>
      <c r="I3159" s="9">
        <v>222238464</v>
      </c>
      <c r="J3159" s="7">
        <v>6.2000000000000003E-5</v>
      </c>
      <c r="K3159" s="9">
        <v>13778.78</v>
      </c>
      <c r="L3159" s="14">
        <v>0</v>
      </c>
      <c r="M3159" s="2" t="s">
        <v>71</v>
      </c>
      <c r="N3159" s="2" t="s">
        <v>16706</v>
      </c>
      <c r="O3159" s="2" t="s">
        <v>7752</v>
      </c>
      <c r="P3159" s="9">
        <v>7.58</v>
      </c>
      <c r="Q3159" s="9">
        <v>13889.9</v>
      </c>
      <c r="R3159" s="2" t="s">
        <v>16711</v>
      </c>
    </row>
    <row r="3160" spans="1:18" x14ac:dyDescent="0.25">
      <c r="A3160" s="2" t="s">
        <v>7756</v>
      </c>
      <c r="B3160" s="6">
        <v>46174</v>
      </c>
      <c r="C3160" s="8">
        <v>46193</v>
      </c>
      <c r="D3160" s="2" t="s">
        <v>7433</v>
      </c>
      <c r="E3160" s="2" t="s">
        <v>260</v>
      </c>
      <c r="F3160" s="2" t="s">
        <v>16703</v>
      </c>
      <c r="G3160" s="2" t="s">
        <v>7758</v>
      </c>
      <c r="H3160" s="2" t="s">
        <v>70</v>
      </c>
      <c r="I3160" s="9">
        <v>14091.218045</v>
      </c>
      <c r="J3160" s="7">
        <v>0.66500000000000004</v>
      </c>
      <c r="K3160" s="9">
        <v>9370.66</v>
      </c>
      <c r="L3160" s="14">
        <v>0</v>
      </c>
      <c r="M3160" s="2" t="s">
        <v>71</v>
      </c>
      <c r="N3160" s="2" t="s">
        <v>16704</v>
      </c>
      <c r="O3160" s="2" t="s">
        <v>7757</v>
      </c>
      <c r="P3160" s="9">
        <v>5.15</v>
      </c>
      <c r="Q3160" s="9">
        <v>9370.66</v>
      </c>
      <c r="R3160" s="2" t="s">
        <v>16710</v>
      </c>
    </row>
    <row r="3161" spans="1:18" x14ac:dyDescent="0.25">
      <c r="A3161" s="2" t="s">
        <v>7759</v>
      </c>
      <c r="B3161" s="6">
        <v>46204</v>
      </c>
      <c r="C3161" s="8">
        <v>46218</v>
      </c>
      <c r="D3161" s="2" t="s">
        <v>7433</v>
      </c>
      <c r="E3161" s="2" t="s">
        <v>260</v>
      </c>
      <c r="F3161" s="2" t="s">
        <v>16703</v>
      </c>
      <c r="G3161" s="2" t="s">
        <v>7760</v>
      </c>
      <c r="H3161" s="2" t="s">
        <v>70</v>
      </c>
      <c r="I3161" s="9">
        <v>21136.827067999999</v>
      </c>
      <c r="J3161" s="7">
        <v>0.65800000000000003</v>
      </c>
      <c r="K3161" s="9">
        <v>13908.03</v>
      </c>
      <c r="L3161" s="14">
        <v>0</v>
      </c>
      <c r="M3161" s="2" t="s">
        <v>71</v>
      </c>
      <c r="N3161" s="2" t="s">
        <v>16706</v>
      </c>
      <c r="O3161" s="2" t="s">
        <v>7757</v>
      </c>
      <c r="P3161" s="9">
        <v>7.65</v>
      </c>
      <c r="Q3161" s="9">
        <v>14055.99</v>
      </c>
      <c r="R3161" s="2" t="s">
        <v>16711</v>
      </c>
    </row>
    <row r="3162" spans="1:18" x14ac:dyDescent="0.25">
      <c r="A3162" s="2" t="s">
        <v>7761</v>
      </c>
      <c r="B3162" s="6">
        <v>46174</v>
      </c>
      <c r="C3162" s="8">
        <v>46194</v>
      </c>
      <c r="D3162" s="2" t="s">
        <v>7433</v>
      </c>
      <c r="E3162" s="2" t="s">
        <v>260</v>
      </c>
      <c r="F3162" s="2" t="s">
        <v>16703</v>
      </c>
      <c r="G3162" s="2" t="s">
        <v>7763</v>
      </c>
      <c r="H3162" s="2" t="s">
        <v>39</v>
      </c>
      <c r="I3162" s="9">
        <v>9481.3880000000008</v>
      </c>
      <c r="J3162" s="7">
        <v>1</v>
      </c>
      <c r="K3162" s="9">
        <v>9481.39</v>
      </c>
      <c r="L3162" s="14">
        <v>0</v>
      </c>
      <c r="M3162" s="2" t="s">
        <v>71</v>
      </c>
      <c r="N3162" s="2" t="s">
        <v>16704</v>
      </c>
      <c r="O3162" s="2" t="s">
        <v>7762</v>
      </c>
      <c r="P3162" s="9">
        <v>5.21</v>
      </c>
      <c r="Q3162" s="9">
        <v>9481.39</v>
      </c>
      <c r="R3162" s="2" t="s">
        <v>16710</v>
      </c>
    </row>
    <row r="3163" spans="1:18" x14ac:dyDescent="0.25">
      <c r="A3163" s="2" t="s">
        <v>7764</v>
      </c>
      <c r="B3163" s="6">
        <v>46204</v>
      </c>
      <c r="C3163" s="8">
        <v>46219</v>
      </c>
      <c r="D3163" s="2" t="s">
        <v>7433</v>
      </c>
      <c r="E3163" s="2" t="s">
        <v>260</v>
      </c>
      <c r="F3163" s="2" t="s">
        <v>16703</v>
      </c>
      <c r="G3163" s="2" t="s">
        <v>7765</v>
      </c>
      <c r="H3163" s="2" t="s">
        <v>39</v>
      </c>
      <c r="I3163" s="9">
        <v>14222.082</v>
      </c>
      <c r="J3163" s="7">
        <v>1</v>
      </c>
      <c r="K3163" s="9">
        <v>14222.08</v>
      </c>
      <c r="L3163" s="14">
        <v>0</v>
      </c>
      <c r="M3163" s="2" t="s">
        <v>71</v>
      </c>
      <c r="N3163" s="2" t="s">
        <v>16706</v>
      </c>
      <c r="O3163" s="2" t="s">
        <v>7762</v>
      </c>
      <c r="P3163" s="9">
        <v>7.82</v>
      </c>
      <c r="Q3163" s="9">
        <v>14222.08</v>
      </c>
      <c r="R3163" s="2" t="s">
        <v>16711</v>
      </c>
    </row>
    <row r="3164" spans="1:18" x14ac:dyDescent="0.25">
      <c r="A3164" s="2" t="s">
        <v>7766</v>
      </c>
      <c r="B3164" s="6">
        <v>46174</v>
      </c>
      <c r="C3164" s="8">
        <v>46195</v>
      </c>
      <c r="D3164" s="2" t="s">
        <v>7433</v>
      </c>
      <c r="E3164" s="2" t="s">
        <v>260</v>
      </c>
      <c r="F3164" s="2" t="s">
        <v>16703</v>
      </c>
      <c r="G3164" s="2" t="s">
        <v>7768</v>
      </c>
      <c r="H3164" s="2" t="s">
        <v>76</v>
      </c>
      <c r="I3164" s="9">
        <v>10113856</v>
      </c>
      <c r="J3164" s="7">
        <v>6.2500000000000001E-5</v>
      </c>
      <c r="K3164" s="9">
        <v>632.12</v>
      </c>
      <c r="L3164" s="14">
        <v>0</v>
      </c>
      <c r="M3164" s="2" t="s">
        <v>71</v>
      </c>
      <c r="N3164" s="2" t="s">
        <v>16704</v>
      </c>
      <c r="O3164" s="2" t="s">
        <v>7767</v>
      </c>
      <c r="P3164" s="9">
        <v>1.8</v>
      </c>
      <c r="Q3164" s="9">
        <v>632.12</v>
      </c>
      <c r="R3164" s="2" t="s">
        <v>16710</v>
      </c>
    </row>
    <row r="3165" spans="1:18" x14ac:dyDescent="0.25">
      <c r="A3165" s="2" t="s">
        <v>7769</v>
      </c>
      <c r="B3165" s="6">
        <v>46204</v>
      </c>
      <c r="C3165" s="8">
        <v>46220</v>
      </c>
      <c r="D3165" s="2" t="s">
        <v>7433</v>
      </c>
      <c r="E3165" s="2" t="s">
        <v>260</v>
      </c>
      <c r="F3165" s="2" t="s">
        <v>16703</v>
      </c>
      <c r="G3165" s="2" t="s">
        <v>7770</v>
      </c>
      <c r="H3165" s="2" t="s">
        <v>76</v>
      </c>
      <c r="I3165" s="9">
        <v>15170784</v>
      </c>
      <c r="J3165" s="7">
        <v>6.2000000000000003E-5</v>
      </c>
      <c r="K3165" s="9">
        <v>940.59</v>
      </c>
      <c r="L3165" s="14">
        <v>0</v>
      </c>
      <c r="M3165" s="2" t="s">
        <v>71</v>
      </c>
      <c r="N3165" s="2" t="s">
        <v>16706</v>
      </c>
      <c r="O3165" s="2" t="s">
        <v>7767</v>
      </c>
      <c r="P3165" s="9">
        <v>1.8</v>
      </c>
      <c r="Q3165" s="9">
        <v>948.17</v>
      </c>
      <c r="R3165" s="2" t="s">
        <v>16711</v>
      </c>
    </row>
    <row r="3166" spans="1:18" x14ac:dyDescent="0.25">
      <c r="A3166" s="2" t="s">
        <v>7771</v>
      </c>
      <c r="B3166" s="6">
        <v>46174</v>
      </c>
      <c r="C3166" s="8">
        <v>46196</v>
      </c>
      <c r="D3166" s="2" t="s">
        <v>7433</v>
      </c>
      <c r="E3166" s="2" t="s">
        <v>260</v>
      </c>
      <c r="F3166" s="2" t="s">
        <v>16703</v>
      </c>
      <c r="G3166" s="2" t="s">
        <v>7773</v>
      </c>
      <c r="H3166" s="2" t="s">
        <v>70</v>
      </c>
      <c r="I3166" s="9">
        <v>1117.0586470000001</v>
      </c>
      <c r="J3166" s="7">
        <v>0.66500000000000004</v>
      </c>
      <c r="K3166" s="9">
        <v>742.84</v>
      </c>
      <c r="L3166" s="14">
        <v>0</v>
      </c>
      <c r="M3166" s="2" t="s">
        <v>71</v>
      </c>
      <c r="N3166" s="2" t="s">
        <v>16704</v>
      </c>
      <c r="O3166" s="2" t="s">
        <v>7772</v>
      </c>
      <c r="P3166" s="9">
        <v>1.8</v>
      </c>
      <c r="Q3166" s="9">
        <v>742.84</v>
      </c>
      <c r="R3166" s="2" t="s">
        <v>16710</v>
      </c>
    </row>
    <row r="3167" spans="1:18" x14ac:dyDescent="0.25">
      <c r="A3167" s="2" t="s">
        <v>7774</v>
      </c>
      <c r="B3167" s="6">
        <v>46204</v>
      </c>
      <c r="C3167" s="8">
        <v>46221</v>
      </c>
      <c r="D3167" s="2" t="s">
        <v>7433</v>
      </c>
      <c r="E3167" s="2" t="s">
        <v>260</v>
      </c>
      <c r="F3167" s="2" t="s">
        <v>16703</v>
      </c>
      <c r="G3167" s="2" t="s">
        <v>7775</v>
      </c>
      <c r="H3167" s="2" t="s">
        <v>70</v>
      </c>
      <c r="I3167" s="9">
        <v>1675.58797</v>
      </c>
      <c r="J3167" s="7">
        <v>0.65800000000000003</v>
      </c>
      <c r="K3167" s="9">
        <v>1102.54</v>
      </c>
      <c r="L3167" s="14">
        <v>0</v>
      </c>
      <c r="M3167" s="2" t="s">
        <v>71</v>
      </c>
      <c r="N3167" s="2" t="s">
        <v>16706</v>
      </c>
      <c r="O3167" s="2" t="s">
        <v>7772</v>
      </c>
      <c r="P3167" s="9">
        <v>1.8</v>
      </c>
      <c r="Q3167" s="9">
        <v>1114.27</v>
      </c>
      <c r="R3167" s="2" t="s">
        <v>16711</v>
      </c>
    </row>
    <row r="3168" spans="1:18" x14ac:dyDescent="0.25">
      <c r="A3168" s="2" t="s">
        <v>7776</v>
      </c>
      <c r="B3168" s="6">
        <v>46174</v>
      </c>
      <c r="C3168" s="8">
        <v>46197</v>
      </c>
      <c r="D3168" s="2" t="s">
        <v>7433</v>
      </c>
      <c r="E3168" s="2" t="s">
        <v>260</v>
      </c>
      <c r="F3168" s="2" t="s">
        <v>16703</v>
      </c>
      <c r="G3168" s="2" t="s">
        <v>7778</v>
      </c>
      <c r="H3168" s="2" t="s">
        <v>39</v>
      </c>
      <c r="I3168" s="9">
        <v>853.56799999999998</v>
      </c>
      <c r="J3168" s="7">
        <v>1</v>
      </c>
      <c r="K3168" s="9">
        <v>853.57</v>
      </c>
      <c r="L3168" s="14">
        <v>0</v>
      </c>
      <c r="M3168" s="2" t="s">
        <v>71</v>
      </c>
      <c r="N3168" s="2" t="s">
        <v>16704</v>
      </c>
      <c r="O3168" s="2" t="s">
        <v>7777</v>
      </c>
      <c r="P3168" s="9">
        <v>1.8</v>
      </c>
      <c r="Q3168" s="9">
        <v>853.57</v>
      </c>
      <c r="R3168" s="2" t="s">
        <v>16710</v>
      </c>
    </row>
    <row r="3169" spans="1:18" x14ac:dyDescent="0.25">
      <c r="A3169" s="2" t="s">
        <v>7779</v>
      </c>
      <c r="B3169" s="6">
        <v>46204</v>
      </c>
      <c r="C3169" s="8">
        <v>46222</v>
      </c>
      <c r="D3169" s="2" t="s">
        <v>7433</v>
      </c>
      <c r="E3169" s="2" t="s">
        <v>260</v>
      </c>
      <c r="F3169" s="2" t="s">
        <v>16703</v>
      </c>
      <c r="G3169" s="2" t="s">
        <v>7780</v>
      </c>
      <c r="H3169" s="2" t="s">
        <v>39</v>
      </c>
      <c r="I3169" s="9">
        <v>1280.3520000000001</v>
      </c>
      <c r="J3169" s="7">
        <v>1</v>
      </c>
      <c r="K3169" s="9">
        <v>1280.3499999999999</v>
      </c>
      <c r="L3169" s="14">
        <v>0</v>
      </c>
      <c r="M3169" s="2" t="s">
        <v>71</v>
      </c>
      <c r="N3169" s="2" t="s">
        <v>16706</v>
      </c>
      <c r="O3169" s="2" t="s">
        <v>7777</v>
      </c>
      <c r="P3169" s="9">
        <v>1.8</v>
      </c>
      <c r="Q3169" s="9">
        <v>1280.3499999999999</v>
      </c>
      <c r="R3169" s="2" t="s">
        <v>16711</v>
      </c>
    </row>
    <row r="3170" spans="1:18" x14ac:dyDescent="0.25">
      <c r="A3170" s="2" t="s">
        <v>7781</v>
      </c>
      <c r="B3170" s="6">
        <v>46174</v>
      </c>
      <c r="C3170" s="8">
        <v>46198</v>
      </c>
      <c r="D3170" s="2" t="s">
        <v>7433</v>
      </c>
      <c r="E3170" s="2" t="s">
        <v>260</v>
      </c>
      <c r="F3170" s="2" t="s">
        <v>16703</v>
      </c>
      <c r="G3170" s="2" t="s">
        <v>7783</v>
      </c>
      <c r="H3170" s="2" t="s">
        <v>76</v>
      </c>
      <c r="I3170" s="9">
        <v>15428736</v>
      </c>
      <c r="J3170" s="7">
        <v>6.2500000000000001E-5</v>
      </c>
      <c r="K3170" s="9">
        <v>964.3</v>
      </c>
      <c r="L3170" s="14">
        <v>0</v>
      </c>
      <c r="M3170" s="2" t="s">
        <v>71</v>
      </c>
      <c r="N3170" s="2" t="s">
        <v>16704</v>
      </c>
      <c r="O3170" s="2" t="s">
        <v>7782</v>
      </c>
      <c r="P3170" s="9">
        <v>1.8</v>
      </c>
      <c r="Q3170" s="9">
        <v>964.3</v>
      </c>
      <c r="R3170" s="2" t="s">
        <v>16710</v>
      </c>
    </row>
    <row r="3171" spans="1:18" x14ac:dyDescent="0.25">
      <c r="A3171" s="2" t="s">
        <v>7784</v>
      </c>
      <c r="B3171" s="6">
        <v>46204</v>
      </c>
      <c r="C3171" s="8">
        <v>46223</v>
      </c>
      <c r="D3171" s="2" t="s">
        <v>7433</v>
      </c>
      <c r="E3171" s="2" t="s">
        <v>260</v>
      </c>
      <c r="F3171" s="2" t="s">
        <v>16703</v>
      </c>
      <c r="G3171" s="2" t="s">
        <v>7785</v>
      </c>
      <c r="H3171" s="2" t="s">
        <v>76</v>
      </c>
      <c r="I3171" s="9">
        <v>23143104</v>
      </c>
      <c r="J3171" s="7">
        <v>6.2000000000000003E-5</v>
      </c>
      <c r="K3171" s="9">
        <v>1434.87</v>
      </c>
      <c r="L3171" s="14">
        <v>0</v>
      </c>
      <c r="M3171" s="2" t="s">
        <v>71</v>
      </c>
      <c r="N3171" s="2" t="s">
        <v>16706</v>
      </c>
      <c r="O3171" s="2" t="s">
        <v>7782</v>
      </c>
      <c r="P3171" s="9">
        <v>1.8</v>
      </c>
      <c r="Q3171" s="9">
        <v>1446.44</v>
      </c>
      <c r="R3171" s="2" t="s">
        <v>16711</v>
      </c>
    </row>
    <row r="3172" spans="1:18" x14ac:dyDescent="0.25">
      <c r="A3172" s="2" t="s">
        <v>7786</v>
      </c>
      <c r="B3172" s="6">
        <v>46174</v>
      </c>
      <c r="C3172" s="8">
        <v>46199</v>
      </c>
      <c r="D3172" s="2" t="s">
        <v>7433</v>
      </c>
      <c r="E3172" s="2" t="s">
        <v>260</v>
      </c>
      <c r="F3172" s="2" t="s">
        <v>16703</v>
      </c>
      <c r="G3172" s="2" t="s">
        <v>7788</v>
      </c>
      <c r="H3172" s="2" t="s">
        <v>70</v>
      </c>
      <c r="I3172" s="9">
        <v>1616.571428</v>
      </c>
      <c r="J3172" s="7">
        <v>0.66500000000000004</v>
      </c>
      <c r="K3172" s="9">
        <v>1075.02</v>
      </c>
      <c r="L3172" s="14">
        <v>0</v>
      </c>
      <c r="M3172" s="2" t="s">
        <v>71</v>
      </c>
      <c r="N3172" s="2" t="s">
        <v>16704</v>
      </c>
      <c r="O3172" s="2" t="s">
        <v>7787</v>
      </c>
      <c r="P3172" s="9">
        <v>1.8</v>
      </c>
      <c r="Q3172" s="9">
        <v>1075.02</v>
      </c>
      <c r="R3172" s="2" t="s">
        <v>16710</v>
      </c>
    </row>
    <row r="3173" spans="1:18" x14ac:dyDescent="0.25">
      <c r="A3173" s="2" t="s">
        <v>7789</v>
      </c>
      <c r="B3173" s="6">
        <v>46204</v>
      </c>
      <c r="C3173" s="8">
        <v>46224</v>
      </c>
      <c r="D3173" s="2" t="s">
        <v>7433</v>
      </c>
      <c r="E3173" s="2" t="s">
        <v>260</v>
      </c>
      <c r="F3173" s="2" t="s">
        <v>16703</v>
      </c>
      <c r="G3173" s="2" t="s">
        <v>7790</v>
      </c>
      <c r="H3173" s="2" t="s">
        <v>70</v>
      </c>
      <c r="I3173" s="9">
        <v>2424.8571430000002</v>
      </c>
      <c r="J3173" s="7">
        <v>0.65800000000000003</v>
      </c>
      <c r="K3173" s="9">
        <v>1595.56</v>
      </c>
      <c r="L3173" s="14">
        <v>0</v>
      </c>
      <c r="M3173" s="2" t="s">
        <v>71</v>
      </c>
      <c r="N3173" s="2" t="s">
        <v>16706</v>
      </c>
      <c r="O3173" s="2" t="s">
        <v>7787</v>
      </c>
      <c r="P3173" s="9">
        <v>1.8</v>
      </c>
      <c r="Q3173" s="9">
        <v>1612.53</v>
      </c>
      <c r="R3173" s="2" t="s">
        <v>16711</v>
      </c>
    </row>
    <row r="3174" spans="1:18" x14ac:dyDescent="0.25">
      <c r="A3174" s="2" t="s">
        <v>7791</v>
      </c>
      <c r="B3174" s="6">
        <v>46174</v>
      </c>
      <c r="C3174" s="8">
        <v>46200</v>
      </c>
      <c r="D3174" s="2" t="s">
        <v>7433</v>
      </c>
      <c r="E3174" s="2" t="s">
        <v>260</v>
      </c>
      <c r="F3174" s="2" t="s">
        <v>16703</v>
      </c>
      <c r="G3174" s="2" t="s">
        <v>7793</v>
      </c>
      <c r="H3174" s="2" t="s">
        <v>39</v>
      </c>
      <c r="I3174" s="9">
        <v>1185.748</v>
      </c>
      <c r="J3174" s="7">
        <v>1</v>
      </c>
      <c r="K3174" s="9">
        <v>1185.75</v>
      </c>
      <c r="L3174" s="14">
        <v>0</v>
      </c>
      <c r="M3174" s="2" t="s">
        <v>71</v>
      </c>
      <c r="N3174" s="2" t="s">
        <v>16704</v>
      </c>
      <c r="O3174" s="2" t="s">
        <v>7792</v>
      </c>
      <c r="P3174" s="9">
        <v>1.8</v>
      </c>
      <c r="Q3174" s="9">
        <v>1185.75</v>
      </c>
      <c r="R3174" s="2" t="s">
        <v>16710</v>
      </c>
    </row>
    <row r="3175" spans="1:18" x14ac:dyDescent="0.25">
      <c r="A3175" s="2" t="s">
        <v>7794</v>
      </c>
      <c r="B3175" s="6">
        <v>46204</v>
      </c>
      <c r="C3175" s="8">
        <v>46225</v>
      </c>
      <c r="D3175" s="2" t="s">
        <v>7433</v>
      </c>
      <c r="E3175" s="2" t="s">
        <v>260</v>
      </c>
      <c r="F3175" s="2" t="s">
        <v>16703</v>
      </c>
      <c r="G3175" s="2" t="s">
        <v>7795</v>
      </c>
      <c r="H3175" s="2" t="s">
        <v>39</v>
      </c>
      <c r="I3175" s="9">
        <v>1778.6220000000001</v>
      </c>
      <c r="J3175" s="7">
        <v>1</v>
      </c>
      <c r="K3175" s="9">
        <v>1778.62</v>
      </c>
      <c r="L3175" s="14">
        <v>0</v>
      </c>
      <c r="M3175" s="2" t="s">
        <v>71</v>
      </c>
      <c r="N3175" s="2" t="s">
        <v>16706</v>
      </c>
      <c r="O3175" s="2" t="s">
        <v>7792</v>
      </c>
      <c r="P3175" s="9">
        <v>1.8</v>
      </c>
      <c r="Q3175" s="9">
        <v>1778.62</v>
      </c>
      <c r="R3175" s="2" t="s">
        <v>16711</v>
      </c>
    </row>
    <row r="3176" spans="1:18" x14ac:dyDescent="0.25">
      <c r="A3176" s="2" t="s">
        <v>7796</v>
      </c>
      <c r="B3176" s="6">
        <v>46174</v>
      </c>
      <c r="C3176" s="8">
        <v>46201</v>
      </c>
      <c r="D3176" s="2" t="s">
        <v>7433</v>
      </c>
      <c r="E3176" s="2" t="s">
        <v>260</v>
      </c>
      <c r="F3176" s="2" t="s">
        <v>16703</v>
      </c>
      <c r="G3176" s="2" t="s">
        <v>7798</v>
      </c>
      <c r="H3176" s="2" t="s">
        <v>76</v>
      </c>
      <c r="I3176" s="9">
        <v>20743552</v>
      </c>
      <c r="J3176" s="7">
        <v>6.2500000000000001E-5</v>
      </c>
      <c r="K3176" s="9">
        <v>1296.47</v>
      </c>
      <c r="L3176" s="14">
        <v>0</v>
      </c>
      <c r="M3176" s="2" t="s">
        <v>71</v>
      </c>
      <c r="N3176" s="2" t="s">
        <v>16704</v>
      </c>
      <c r="O3176" s="2" t="s">
        <v>7797</v>
      </c>
      <c r="P3176" s="9">
        <v>1.8</v>
      </c>
      <c r="Q3176" s="9">
        <v>1296.47</v>
      </c>
      <c r="R3176" s="2" t="s">
        <v>16710</v>
      </c>
    </row>
    <row r="3177" spans="1:18" x14ac:dyDescent="0.25">
      <c r="A3177" s="2" t="s">
        <v>7799</v>
      </c>
      <c r="B3177" s="6">
        <v>46204</v>
      </c>
      <c r="C3177" s="8">
        <v>46226</v>
      </c>
      <c r="D3177" s="2" t="s">
        <v>7433</v>
      </c>
      <c r="E3177" s="2" t="s">
        <v>260</v>
      </c>
      <c r="F3177" s="2" t="s">
        <v>16703</v>
      </c>
      <c r="G3177" s="2" t="s">
        <v>7800</v>
      </c>
      <c r="H3177" s="2" t="s">
        <v>76</v>
      </c>
      <c r="I3177" s="9">
        <v>31115328</v>
      </c>
      <c r="J3177" s="7">
        <v>6.2000000000000003E-5</v>
      </c>
      <c r="K3177" s="9">
        <v>1929.15</v>
      </c>
      <c r="L3177" s="14">
        <v>0</v>
      </c>
      <c r="M3177" s="2" t="s">
        <v>71</v>
      </c>
      <c r="N3177" s="2" t="s">
        <v>16706</v>
      </c>
      <c r="O3177" s="2" t="s">
        <v>7797</v>
      </c>
      <c r="P3177" s="9">
        <v>1.8</v>
      </c>
      <c r="Q3177" s="9">
        <v>1944.71</v>
      </c>
      <c r="R3177" s="2" t="s">
        <v>16711</v>
      </c>
    </row>
    <row r="3178" spans="1:18" x14ac:dyDescent="0.25">
      <c r="A3178" s="2" t="s">
        <v>7801</v>
      </c>
      <c r="B3178" s="6">
        <v>46174</v>
      </c>
      <c r="C3178" s="8">
        <v>46202</v>
      </c>
      <c r="D3178" s="2" t="s">
        <v>7433</v>
      </c>
      <c r="E3178" s="2" t="s">
        <v>260</v>
      </c>
      <c r="F3178" s="2" t="s">
        <v>16703</v>
      </c>
      <c r="G3178" s="2" t="s">
        <v>7803</v>
      </c>
      <c r="H3178" s="2" t="s">
        <v>70</v>
      </c>
      <c r="I3178" s="9">
        <v>2116.0902259999998</v>
      </c>
      <c r="J3178" s="7">
        <v>0.66500000000000004</v>
      </c>
      <c r="K3178" s="9">
        <v>1407.2</v>
      </c>
      <c r="L3178" s="14">
        <v>0</v>
      </c>
      <c r="M3178" s="2" t="s">
        <v>71</v>
      </c>
      <c r="N3178" s="2" t="s">
        <v>16704</v>
      </c>
      <c r="O3178" s="2" t="s">
        <v>7802</v>
      </c>
      <c r="P3178" s="9">
        <v>1.8</v>
      </c>
      <c r="Q3178" s="9">
        <v>1407.2</v>
      </c>
      <c r="R3178" s="2" t="s">
        <v>16710</v>
      </c>
    </row>
    <row r="3179" spans="1:18" x14ac:dyDescent="0.25">
      <c r="A3179" s="2" t="s">
        <v>7804</v>
      </c>
      <c r="B3179" s="6">
        <v>46204</v>
      </c>
      <c r="C3179" s="8">
        <v>46227</v>
      </c>
      <c r="D3179" s="2" t="s">
        <v>7433</v>
      </c>
      <c r="E3179" s="2" t="s">
        <v>260</v>
      </c>
      <c r="F3179" s="2" t="s">
        <v>16703</v>
      </c>
      <c r="G3179" s="2" t="s">
        <v>7805</v>
      </c>
      <c r="H3179" s="2" t="s">
        <v>70</v>
      </c>
      <c r="I3179" s="9">
        <v>3174.135338</v>
      </c>
      <c r="J3179" s="7">
        <v>0.65800000000000003</v>
      </c>
      <c r="K3179" s="9">
        <v>2088.58</v>
      </c>
      <c r="L3179" s="14">
        <v>0</v>
      </c>
      <c r="M3179" s="2" t="s">
        <v>71</v>
      </c>
      <c r="N3179" s="2" t="s">
        <v>16706</v>
      </c>
      <c r="O3179" s="2" t="s">
        <v>7802</v>
      </c>
      <c r="P3179" s="9">
        <v>1.8</v>
      </c>
      <c r="Q3179" s="9">
        <v>2110.8000000000002</v>
      </c>
      <c r="R3179" s="2" t="s">
        <v>16711</v>
      </c>
    </row>
    <row r="3180" spans="1:18" x14ac:dyDescent="0.25">
      <c r="A3180" s="2" t="s">
        <v>7806</v>
      </c>
      <c r="B3180" s="6">
        <v>46174</v>
      </c>
      <c r="C3180" s="8">
        <v>46203</v>
      </c>
      <c r="D3180" s="2" t="s">
        <v>7433</v>
      </c>
      <c r="E3180" s="2" t="s">
        <v>260</v>
      </c>
      <c r="F3180" s="2" t="s">
        <v>16703</v>
      </c>
      <c r="G3180" s="2" t="s">
        <v>7808</v>
      </c>
      <c r="H3180" s="2" t="s">
        <v>39</v>
      </c>
      <c r="I3180" s="9">
        <v>1517.9280000000001</v>
      </c>
      <c r="J3180" s="7">
        <v>1</v>
      </c>
      <c r="K3180" s="9">
        <v>1517.93</v>
      </c>
      <c r="L3180" s="14">
        <v>0</v>
      </c>
      <c r="M3180" s="2" t="s">
        <v>71</v>
      </c>
      <c r="N3180" s="2" t="s">
        <v>16704</v>
      </c>
      <c r="O3180" s="2" t="s">
        <v>7807</v>
      </c>
      <c r="P3180" s="9">
        <v>1.8</v>
      </c>
      <c r="Q3180" s="9">
        <v>1517.93</v>
      </c>
      <c r="R3180" s="2" t="s">
        <v>16710</v>
      </c>
    </row>
    <row r="3181" spans="1:18" x14ac:dyDescent="0.25">
      <c r="A3181" s="2" t="s">
        <v>7809</v>
      </c>
      <c r="B3181" s="6">
        <v>46204</v>
      </c>
      <c r="C3181" s="8">
        <v>46228</v>
      </c>
      <c r="D3181" s="2" t="s">
        <v>7433</v>
      </c>
      <c r="E3181" s="2" t="s">
        <v>260</v>
      </c>
      <c r="F3181" s="2" t="s">
        <v>16703</v>
      </c>
      <c r="G3181" s="2" t="s">
        <v>7810</v>
      </c>
      <c r="H3181" s="2" t="s">
        <v>39</v>
      </c>
      <c r="I3181" s="9">
        <v>2276.8919999999998</v>
      </c>
      <c r="J3181" s="7">
        <v>1</v>
      </c>
      <c r="K3181" s="9">
        <v>2276.89</v>
      </c>
      <c r="L3181" s="14">
        <v>0</v>
      </c>
      <c r="M3181" s="2" t="s">
        <v>71</v>
      </c>
      <c r="N3181" s="2" t="s">
        <v>16706</v>
      </c>
      <c r="O3181" s="2" t="s">
        <v>7807</v>
      </c>
      <c r="P3181" s="9">
        <v>1.8</v>
      </c>
      <c r="Q3181" s="9">
        <v>2276.89</v>
      </c>
      <c r="R3181" s="2" t="s">
        <v>16711</v>
      </c>
    </row>
    <row r="3182" spans="1:18" x14ac:dyDescent="0.25">
      <c r="A3182" s="2" t="s">
        <v>7811</v>
      </c>
      <c r="B3182" s="6">
        <v>46204</v>
      </c>
      <c r="C3182" s="8">
        <v>46204</v>
      </c>
      <c r="D3182" s="2" t="s">
        <v>7433</v>
      </c>
      <c r="E3182" s="2" t="s">
        <v>260</v>
      </c>
      <c r="F3182" s="2" t="s">
        <v>16703</v>
      </c>
      <c r="G3182" s="2" t="s">
        <v>7813</v>
      </c>
      <c r="H3182" s="2" t="s">
        <v>76</v>
      </c>
      <c r="I3182" s="9">
        <v>26058432</v>
      </c>
      <c r="J3182" s="7">
        <v>6.2000000000000003E-5</v>
      </c>
      <c r="K3182" s="9">
        <v>1615.62</v>
      </c>
      <c r="L3182" s="14">
        <v>0</v>
      </c>
      <c r="M3182" s="2" t="s">
        <v>71</v>
      </c>
      <c r="N3182" s="2" t="s">
        <v>16706</v>
      </c>
      <c r="O3182" s="2" t="s">
        <v>7812</v>
      </c>
      <c r="P3182" s="9">
        <v>1.8</v>
      </c>
      <c r="Q3182" s="9">
        <v>1628.65</v>
      </c>
      <c r="R3182" s="2" t="s">
        <v>16711</v>
      </c>
    </row>
    <row r="3183" spans="1:18" x14ac:dyDescent="0.25">
      <c r="A3183" s="2" t="s">
        <v>7814</v>
      </c>
      <c r="B3183" s="6">
        <v>46204</v>
      </c>
      <c r="C3183" s="8">
        <v>46229</v>
      </c>
      <c r="D3183" s="2" t="s">
        <v>7433</v>
      </c>
      <c r="E3183" s="2" t="s">
        <v>260</v>
      </c>
      <c r="F3183" s="2" t="s">
        <v>16703</v>
      </c>
      <c r="G3183" s="2" t="s">
        <v>7815</v>
      </c>
      <c r="H3183" s="2" t="s">
        <v>76</v>
      </c>
      <c r="I3183" s="9">
        <v>39087648</v>
      </c>
      <c r="J3183" s="7">
        <v>6.2000000000000003E-5</v>
      </c>
      <c r="K3183" s="9">
        <v>2423.4299999999998</v>
      </c>
      <c r="L3183" s="14">
        <v>0</v>
      </c>
      <c r="M3183" s="2" t="s">
        <v>71</v>
      </c>
      <c r="N3183" s="2" t="s">
        <v>16706</v>
      </c>
      <c r="O3183" s="2" t="s">
        <v>7812</v>
      </c>
      <c r="P3183" s="9">
        <v>1.8</v>
      </c>
      <c r="Q3183" s="9">
        <v>2442.98</v>
      </c>
      <c r="R3183" s="2" t="s">
        <v>16711</v>
      </c>
    </row>
    <row r="3184" spans="1:18" x14ac:dyDescent="0.25">
      <c r="A3184" s="2" t="s">
        <v>7816</v>
      </c>
      <c r="B3184" s="6">
        <v>46204</v>
      </c>
      <c r="C3184" s="8">
        <v>46205</v>
      </c>
      <c r="D3184" s="2" t="s">
        <v>7433</v>
      </c>
      <c r="E3184" s="2" t="s">
        <v>260</v>
      </c>
      <c r="F3184" s="2" t="s">
        <v>16703</v>
      </c>
      <c r="G3184" s="2" t="s">
        <v>7818</v>
      </c>
      <c r="H3184" s="2" t="s">
        <v>70</v>
      </c>
      <c r="I3184" s="9">
        <v>2615.6090220000001</v>
      </c>
      <c r="J3184" s="7">
        <v>0.65800000000000003</v>
      </c>
      <c r="K3184" s="9">
        <v>1721.07</v>
      </c>
      <c r="L3184" s="14">
        <v>0</v>
      </c>
      <c r="M3184" s="2" t="s">
        <v>71</v>
      </c>
      <c r="N3184" s="2" t="s">
        <v>16706</v>
      </c>
      <c r="O3184" s="2" t="s">
        <v>7817</v>
      </c>
      <c r="P3184" s="9">
        <v>1.8</v>
      </c>
      <c r="Q3184" s="9">
        <v>1739.38</v>
      </c>
      <c r="R3184" s="2" t="s">
        <v>16711</v>
      </c>
    </row>
    <row r="3185" spans="1:18" x14ac:dyDescent="0.25">
      <c r="A3185" s="2" t="s">
        <v>7819</v>
      </c>
      <c r="B3185" s="6">
        <v>46204</v>
      </c>
      <c r="C3185" s="8">
        <v>46230</v>
      </c>
      <c r="D3185" s="2" t="s">
        <v>7433</v>
      </c>
      <c r="E3185" s="2" t="s">
        <v>260</v>
      </c>
      <c r="F3185" s="2" t="s">
        <v>16703</v>
      </c>
      <c r="G3185" s="2" t="s">
        <v>7820</v>
      </c>
      <c r="H3185" s="2" t="s">
        <v>70</v>
      </c>
      <c r="I3185" s="9">
        <v>3923.4135339999998</v>
      </c>
      <c r="J3185" s="7">
        <v>0.65800000000000003</v>
      </c>
      <c r="K3185" s="9">
        <v>2581.61</v>
      </c>
      <c r="L3185" s="14">
        <v>0</v>
      </c>
      <c r="M3185" s="2" t="s">
        <v>71</v>
      </c>
      <c r="N3185" s="2" t="s">
        <v>16706</v>
      </c>
      <c r="O3185" s="2" t="s">
        <v>7817</v>
      </c>
      <c r="P3185" s="9">
        <v>1.8</v>
      </c>
      <c r="Q3185" s="9">
        <v>2609.0700000000002</v>
      </c>
      <c r="R3185" s="2" t="s">
        <v>16711</v>
      </c>
    </row>
    <row r="3186" spans="1:18" x14ac:dyDescent="0.25">
      <c r="A3186" s="2" t="s">
        <v>7821</v>
      </c>
      <c r="B3186" s="6">
        <v>46204</v>
      </c>
      <c r="C3186" s="8">
        <v>46206</v>
      </c>
      <c r="D3186" s="2" t="s">
        <v>7433</v>
      </c>
      <c r="E3186" s="2" t="s">
        <v>260</v>
      </c>
      <c r="F3186" s="2" t="s">
        <v>16703</v>
      </c>
      <c r="G3186" s="2" t="s">
        <v>7823</v>
      </c>
      <c r="H3186" s="2" t="s">
        <v>39</v>
      </c>
      <c r="I3186" s="9">
        <v>1850.104</v>
      </c>
      <c r="J3186" s="7">
        <v>1</v>
      </c>
      <c r="K3186" s="9">
        <v>1850.1</v>
      </c>
      <c r="L3186" s="14">
        <v>0</v>
      </c>
      <c r="M3186" s="2" t="s">
        <v>71</v>
      </c>
      <c r="N3186" s="2" t="s">
        <v>16706</v>
      </c>
      <c r="O3186" s="2" t="s">
        <v>7822</v>
      </c>
      <c r="P3186" s="9">
        <v>1.8</v>
      </c>
      <c r="Q3186" s="9">
        <v>1850.1</v>
      </c>
      <c r="R3186" s="2" t="s">
        <v>16711</v>
      </c>
    </row>
    <row r="3187" spans="1:18" x14ac:dyDescent="0.25">
      <c r="A3187" s="2" t="s">
        <v>7824</v>
      </c>
      <c r="B3187" s="6">
        <v>46204</v>
      </c>
      <c r="C3187" s="8">
        <v>46231</v>
      </c>
      <c r="D3187" s="2" t="s">
        <v>7433</v>
      </c>
      <c r="E3187" s="2" t="s">
        <v>260</v>
      </c>
      <c r="F3187" s="2" t="s">
        <v>16703</v>
      </c>
      <c r="G3187" s="2" t="s">
        <v>7825</v>
      </c>
      <c r="H3187" s="2" t="s">
        <v>39</v>
      </c>
      <c r="I3187" s="9">
        <v>2775.1559999999999</v>
      </c>
      <c r="J3187" s="7">
        <v>1</v>
      </c>
      <c r="K3187" s="9">
        <v>2775.16</v>
      </c>
      <c r="L3187" s="14">
        <v>0</v>
      </c>
      <c r="M3187" s="2" t="s">
        <v>71</v>
      </c>
      <c r="N3187" s="2" t="s">
        <v>16706</v>
      </c>
      <c r="O3187" s="2" t="s">
        <v>7822</v>
      </c>
      <c r="P3187" s="9">
        <v>1.8</v>
      </c>
      <c r="Q3187" s="9">
        <v>2775.16</v>
      </c>
      <c r="R3187" s="2" t="s">
        <v>16711</v>
      </c>
    </row>
    <row r="3188" spans="1:18" x14ac:dyDescent="0.25">
      <c r="A3188" s="2" t="s">
        <v>7826</v>
      </c>
      <c r="B3188" s="6">
        <v>46204</v>
      </c>
      <c r="C3188" s="8">
        <v>46207</v>
      </c>
      <c r="D3188" s="2" t="s">
        <v>7433</v>
      </c>
      <c r="E3188" s="2" t="s">
        <v>260</v>
      </c>
      <c r="F3188" s="2" t="s">
        <v>16703</v>
      </c>
      <c r="G3188" s="2" t="s">
        <v>7828</v>
      </c>
      <c r="H3188" s="2" t="s">
        <v>76</v>
      </c>
      <c r="I3188" s="9">
        <v>31373312</v>
      </c>
      <c r="J3188" s="7">
        <v>6.2000000000000003E-5</v>
      </c>
      <c r="K3188" s="9">
        <v>1945.15</v>
      </c>
      <c r="L3188" s="14">
        <v>0</v>
      </c>
      <c r="M3188" s="2" t="s">
        <v>71</v>
      </c>
      <c r="N3188" s="2" t="s">
        <v>16706</v>
      </c>
      <c r="O3188" s="2" t="s">
        <v>7827</v>
      </c>
      <c r="P3188" s="9">
        <v>1.8</v>
      </c>
      <c r="Q3188" s="9">
        <v>1960.83</v>
      </c>
      <c r="R3188" s="2" t="s">
        <v>16711</v>
      </c>
    </row>
    <row r="3189" spans="1:18" x14ac:dyDescent="0.25">
      <c r="A3189" s="2" t="s">
        <v>7829</v>
      </c>
      <c r="B3189" s="6">
        <v>46204</v>
      </c>
      <c r="C3189" s="8">
        <v>46232</v>
      </c>
      <c r="D3189" s="2" t="s">
        <v>7433</v>
      </c>
      <c r="E3189" s="2" t="s">
        <v>260</v>
      </c>
      <c r="F3189" s="2" t="s">
        <v>16703</v>
      </c>
      <c r="G3189" s="2" t="s">
        <v>7830</v>
      </c>
      <c r="H3189" s="2" t="s">
        <v>76</v>
      </c>
      <c r="I3189" s="9">
        <v>47059968</v>
      </c>
      <c r="J3189" s="7">
        <v>6.2000000000000003E-5</v>
      </c>
      <c r="K3189" s="9">
        <v>2917.72</v>
      </c>
      <c r="L3189" s="14">
        <v>0</v>
      </c>
      <c r="M3189" s="2" t="s">
        <v>71</v>
      </c>
      <c r="N3189" s="2" t="s">
        <v>16706</v>
      </c>
      <c r="O3189" s="2" t="s">
        <v>7827</v>
      </c>
      <c r="P3189" s="9">
        <v>1.8</v>
      </c>
      <c r="Q3189" s="9">
        <v>2941.25</v>
      </c>
      <c r="R3189" s="2" t="s">
        <v>16711</v>
      </c>
    </row>
    <row r="3190" spans="1:18" x14ac:dyDescent="0.25">
      <c r="A3190" s="2" t="s">
        <v>7831</v>
      </c>
      <c r="B3190" s="6">
        <v>46204</v>
      </c>
      <c r="C3190" s="8">
        <v>46208</v>
      </c>
      <c r="D3190" s="2" t="s">
        <v>7433</v>
      </c>
      <c r="E3190" s="2" t="s">
        <v>260</v>
      </c>
      <c r="F3190" s="2" t="s">
        <v>16703</v>
      </c>
      <c r="G3190" s="2" t="s">
        <v>7833</v>
      </c>
      <c r="H3190" s="2" t="s">
        <v>70</v>
      </c>
      <c r="I3190" s="9">
        <v>3115.1218039999999</v>
      </c>
      <c r="J3190" s="7">
        <v>0.65800000000000003</v>
      </c>
      <c r="K3190" s="9">
        <v>2049.75</v>
      </c>
      <c r="L3190" s="14">
        <v>0</v>
      </c>
      <c r="M3190" s="2" t="s">
        <v>71</v>
      </c>
      <c r="N3190" s="2" t="s">
        <v>16706</v>
      </c>
      <c r="O3190" s="2" t="s">
        <v>7832</v>
      </c>
      <c r="P3190" s="9">
        <v>1.8</v>
      </c>
      <c r="Q3190" s="9">
        <v>2071.56</v>
      </c>
      <c r="R3190" s="2" t="s">
        <v>16711</v>
      </c>
    </row>
    <row r="3191" spans="1:18" x14ac:dyDescent="0.25">
      <c r="A3191" s="2" t="s">
        <v>7834</v>
      </c>
      <c r="B3191" s="6">
        <v>46204</v>
      </c>
      <c r="C3191" s="8">
        <v>46233</v>
      </c>
      <c r="D3191" s="2" t="s">
        <v>7433</v>
      </c>
      <c r="E3191" s="2" t="s">
        <v>260</v>
      </c>
      <c r="F3191" s="2" t="s">
        <v>16703</v>
      </c>
      <c r="G3191" s="2" t="s">
        <v>7835</v>
      </c>
      <c r="H3191" s="2" t="s">
        <v>70</v>
      </c>
      <c r="I3191" s="9">
        <v>4672.6827069999999</v>
      </c>
      <c r="J3191" s="7">
        <v>0.65800000000000003</v>
      </c>
      <c r="K3191" s="9">
        <v>3074.63</v>
      </c>
      <c r="L3191" s="14">
        <v>0</v>
      </c>
      <c r="M3191" s="2" t="s">
        <v>71</v>
      </c>
      <c r="N3191" s="2" t="s">
        <v>16706</v>
      </c>
      <c r="O3191" s="2" t="s">
        <v>7832</v>
      </c>
      <c r="P3191" s="9">
        <v>1.8</v>
      </c>
      <c r="Q3191" s="9">
        <v>3107.33</v>
      </c>
      <c r="R3191" s="2" t="s">
        <v>16711</v>
      </c>
    </row>
    <row r="3192" spans="1:18" x14ac:dyDescent="0.25">
      <c r="A3192" s="2" t="s">
        <v>7836</v>
      </c>
      <c r="B3192" s="6">
        <v>46204</v>
      </c>
      <c r="C3192" s="8">
        <v>46209</v>
      </c>
      <c r="D3192" s="2" t="s">
        <v>7433</v>
      </c>
      <c r="E3192" s="2" t="s">
        <v>260</v>
      </c>
      <c r="F3192" s="2" t="s">
        <v>16703</v>
      </c>
      <c r="G3192" s="2" t="s">
        <v>7838</v>
      </c>
      <c r="H3192" s="2" t="s">
        <v>39</v>
      </c>
      <c r="I3192" s="9">
        <v>-5455.71</v>
      </c>
      <c r="J3192" s="7">
        <v>1</v>
      </c>
      <c r="K3192" s="9">
        <v>-5455.71</v>
      </c>
      <c r="L3192" s="14">
        <v>0</v>
      </c>
      <c r="M3192" s="2" t="s">
        <v>71</v>
      </c>
      <c r="N3192" s="2" t="s">
        <v>16706</v>
      </c>
      <c r="O3192" s="2" t="s">
        <v>7837</v>
      </c>
      <c r="P3192" s="9">
        <v>0</v>
      </c>
      <c r="Q3192" s="9">
        <v>-5455.71</v>
      </c>
      <c r="R3192" s="2" t="s">
        <v>16711</v>
      </c>
    </row>
    <row r="3193" spans="1:18" x14ac:dyDescent="0.25">
      <c r="A3193" s="2" t="s">
        <v>7839</v>
      </c>
      <c r="B3193" s="6">
        <v>46204</v>
      </c>
      <c r="C3193" s="8">
        <v>46210</v>
      </c>
      <c r="D3193" s="2" t="s">
        <v>7433</v>
      </c>
      <c r="E3193" s="2" t="s">
        <v>260</v>
      </c>
      <c r="F3193" s="2" t="s">
        <v>16703</v>
      </c>
      <c r="G3193" s="2" t="s">
        <v>7841</v>
      </c>
      <c r="H3193" s="2" t="s">
        <v>76</v>
      </c>
      <c r="I3193" s="9">
        <v>36688192</v>
      </c>
      <c r="J3193" s="7">
        <v>6.2000000000000003E-5</v>
      </c>
      <c r="K3193" s="9">
        <v>2274.67</v>
      </c>
      <c r="L3193" s="14">
        <v>0</v>
      </c>
      <c r="M3193" s="2" t="s">
        <v>71</v>
      </c>
      <c r="N3193" s="2" t="s">
        <v>16706</v>
      </c>
      <c r="O3193" s="2" t="s">
        <v>7840</v>
      </c>
      <c r="P3193" s="9">
        <v>1.8</v>
      </c>
      <c r="Q3193" s="9">
        <v>2293.0100000000002</v>
      </c>
      <c r="R3193" s="2" t="s">
        <v>16711</v>
      </c>
    </row>
    <row r="3194" spans="1:18" x14ac:dyDescent="0.25">
      <c r="A3194" s="2" t="s">
        <v>7844</v>
      </c>
      <c r="B3194" s="6">
        <v>46204</v>
      </c>
      <c r="C3194" s="8">
        <v>46211</v>
      </c>
      <c r="D3194" s="2" t="s">
        <v>7433</v>
      </c>
      <c r="E3194" s="2" t="s">
        <v>260</v>
      </c>
      <c r="F3194" s="2" t="s">
        <v>16703</v>
      </c>
      <c r="G3194" s="2" t="s">
        <v>7846</v>
      </c>
      <c r="H3194" s="2" t="s">
        <v>70</v>
      </c>
      <c r="I3194" s="9">
        <v>3614.646616</v>
      </c>
      <c r="J3194" s="7">
        <v>0.65800000000000003</v>
      </c>
      <c r="K3194" s="9">
        <v>2378.44</v>
      </c>
      <c r="L3194" s="14">
        <v>0</v>
      </c>
      <c r="M3194" s="2" t="s">
        <v>71</v>
      </c>
      <c r="N3194" s="2" t="s">
        <v>16706</v>
      </c>
      <c r="O3194" s="2" t="s">
        <v>7845</v>
      </c>
      <c r="P3194" s="9">
        <v>1.8</v>
      </c>
      <c r="Q3194" s="9">
        <v>2403.7399999999998</v>
      </c>
      <c r="R3194" s="2" t="s">
        <v>16711</v>
      </c>
    </row>
    <row r="3195" spans="1:18" x14ac:dyDescent="0.25">
      <c r="A3195" s="2" t="s">
        <v>7849</v>
      </c>
      <c r="B3195" s="6">
        <v>46204</v>
      </c>
      <c r="C3195" s="8">
        <v>46212</v>
      </c>
      <c r="D3195" s="2" t="s">
        <v>7433</v>
      </c>
      <c r="E3195" s="2" t="s">
        <v>260</v>
      </c>
      <c r="F3195" s="2" t="s">
        <v>16703</v>
      </c>
      <c r="G3195" s="2" t="s">
        <v>7851</v>
      </c>
      <c r="H3195" s="2" t="s">
        <v>39</v>
      </c>
      <c r="I3195" s="9">
        <v>2514.4639999999999</v>
      </c>
      <c r="J3195" s="7">
        <v>1</v>
      </c>
      <c r="K3195" s="9">
        <v>2514.46</v>
      </c>
      <c r="L3195" s="14">
        <v>0</v>
      </c>
      <c r="M3195" s="2" t="s">
        <v>71</v>
      </c>
      <c r="N3195" s="2" t="s">
        <v>16706</v>
      </c>
      <c r="O3195" s="2" t="s">
        <v>7850</v>
      </c>
      <c r="P3195" s="9">
        <v>1.8</v>
      </c>
      <c r="Q3195" s="9">
        <v>2514.46</v>
      </c>
      <c r="R3195" s="2" t="s">
        <v>16711</v>
      </c>
    </row>
    <row r="3196" spans="1:18" x14ac:dyDescent="0.25">
      <c r="A3196" s="2" t="s">
        <v>7854</v>
      </c>
      <c r="B3196" s="6">
        <v>46204</v>
      </c>
      <c r="C3196" s="8">
        <v>46213</v>
      </c>
      <c r="D3196" s="2" t="s">
        <v>7433</v>
      </c>
      <c r="E3196" s="2" t="s">
        <v>260</v>
      </c>
      <c r="F3196" s="2" t="s">
        <v>16703</v>
      </c>
      <c r="G3196" s="2" t="s">
        <v>7856</v>
      </c>
      <c r="H3196" s="2" t="s">
        <v>76</v>
      </c>
      <c r="I3196" s="9">
        <v>42003072</v>
      </c>
      <c r="J3196" s="7">
        <v>6.2000000000000003E-5</v>
      </c>
      <c r="K3196" s="9">
        <v>2604.19</v>
      </c>
      <c r="L3196" s="14">
        <v>0</v>
      </c>
      <c r="M3196" s="2" t="s">
        <v>71</v>
      </c>
      <c r="N3196" s="2" t="s">
        <v>16706</v>
      </c>
      <c r="O3196" s="2" t="s">
        <v>7855</v>
      </c>
      <c r="P3196" s="9">
        <v>1.8</v>
      </c>
      <c r="Q3196" s="9">
        <v>2625.19</v>
      </c>
      <c r="R3196" s="2" t="s">
        <v>16711</v>
      </c>
    </row>
    <row r="3197" spans="1:18" x14ac:dyDescent="0.25">
      <c r="A3197" s="2" t="s">
        <v>7859</v>
      </c>
      <c r="B3197" s="6">
        <v>46204</v>
      </c>
      <c r="C3197" s="8">
        <v>46214</v>
      </c>
      <c r="D3197" s="2" t="s">
        <v>7433</v>
      </c>
      <c r="E3197" s="2" t="s">
        <v>260</v>
      </c>
      <c r="F3197" s="2" t="s">
        <v>16703</v>
      </c>
      <c r="G3197" s="2" t="s">
        <v>7861</v>
      </c>
      <c r="H3197" s="2" t="s">
        <v>70</v>
      </c>
      <c r="I3197" s="9">
        <v>4114.1593979999998</v>
      </c>
      <c r="J3197" s="7">
        <v>0.65800000000000003</v>
      </c>
      <c r="K3197" s="9">
        <v>2707.12</v>
      </c>
      <c r="L3197" s="14">
        <v>0</v>
      </c>
      <c r="M3197" s="2" t="s">
        <v>71</v>
      </c>
      <c r="N3197" s="2" t="s">
        <v>16706</v>
      </c>
      <c r="O3197" s="2" t="s">
        <v>7860</v>
      </c>
      <c r="P3197" s="9">
        <v>1.8</v>
      </c>
      <c r="Q3197" s="9">
        <v>2735.92</v>
      </c>
      <c r="R3197" s="2" t="s">
        <v>16711</v>
      </c>
    </row>
    <row r="3198" spans="1:18" x14ac:dyDescent="0.25">
      <c r="A3198" s="2" t="s">
        <v>7864</v>
      </c>
      <c r="B3198" s="6">
        <v>46204</v>
      </c>
      <c r="C3198" s="8">
        <v>46215</v>
      </c>
      <c r="D3198" s="2" t="s">
        <v>7433</v>
      </c>
      <c r="E3198" s="2" t="s">
        <v>260</v>
      </c>
      <c r="F3198" s="2" t="s">
        <v>16703</v>
      </c>
      <c r="G3198" s="2" t="s">
        <v>7866</v>
      </c>
      <c r="H3198" s="2" t="s">
        <v>39</v>
      </c>
      <c r="I3198" s="9">
        <v>2846.6439999999998</v>
      </c>
      <c r="J3198" s="7">
        <v>1</v>
      </c>
      <c r="K3198" s="9">
        <v>2846.64</v>
      </c>
      <c r="L3198" s="14">
        <v>0</v>
      </c>
      <c r="M3198" s="2" t="s">
        <v>71</v>
      </c>
      <c r="N3198" s="2" t="s">
        <v>16706</v>
      </c>
      <c r="O3198" s="2" t="s">
        <v>7865</v>
      </c>
      <c r="P3198" s="9">
        <v>1.8</v>
      </c>
      <c r="Q3198" s="9">
        <v>2846.64</v>
      </c>
      <c r="R3198" s="2" t="s">
        <v>16711</v>
      </c>
    </row>
    <row r="3199" spans="1:18" x14ac:dyDescent="0.25">
      <c r="A3199" s="2" t="s">
        <v>7869</v>
      </c>
      <c r="B3199" s="6">
        <v>46204</v>
      </c>
      <c r="C3199" s="8">
        <v>46216</v>
      </c>
      <c r="D3199" s="2" t="s">
        <v>7433</v>
      </c>
      <c r="E3199" s="2" t="s">
        <v>260</v>
      </c>
      <c r="F3199" s="2" t="s">
        <v>16703</v>
      </c>
      <c r="G3199" s="2" t="s">
        <v>7871</v>
      </c>
      <c r="H3199" s="2" t="s">
        <v>76</v>
      </c>
      <c r="I3199" s="9">
        <v>47317888</v>
      </c>
      <c r="J3199" s="7">
        <v>6.2000000000000003E-5</v>
      </c>
      <c r="K3199" s="9">
        <v>2933.71</v>
      </c>
      <c r="L3199" s="14">
        <v>0</v>
      </c>
      <c r="M3199" s="2" t="s">
        <v>71</v>
      </c>
      <c r="N3199" s="2" t="s">
        <v>16706</v>
      </c>
      <c r="O3199" s="2" t="s">
        <v>7870</v>
      </c>
      <c r="P3199" s="9">
        <v>1.8</v>
      </c>
      <c r="Q3199" s="9">
        <v>2957.37</v>
      </c>
      <c r="R3199" s="2" t="s">
        <v>16711</v>
      </c>
    </row>
    <row r="3200" spans="1:18" x14ac:dyDescent="0.25">
      <c r="A3200" s="2" t="s">
        <v>7874</v>
      </c>
      <c r="B3200" s="6">
        <v>46204</v>
      </c>
      <c r="C3200" s="8">
        <v>46217</v>
      </c>
      <c r="D3200" s="2" t="s">
        <v>7433</v>
      </c>
      <c r="E3200" s="2" t="s">
        <v>260</v>
      </c>
      <c r="F3200" s="2" t="s">
        <v>16703</v>
      </c>
      <c r="G3200" s="2" t="s">
        <v>7876</v>
      </c>
      <c r="H3200" s="2" t="s">
        <v>70</v>
      </c>
      <c r="I3200" s="9">
        <v>4613.6781959999998</v>
      </c>
      <c r="J3200" s="7">
        <v>0.65800000000000003</v>
      </c>
      <c r="K3200" s="9">
        <v>3035.8</v>
      </c>
      <c r="L3200" s="14">
        <v>0</v>
      </c>
      <c r="M3200" s="2" t="s">
        <v>71</v>
      </c>
      <c r="N3200" s="2" t="s">
        <v>16706</v>
      </c>
      <c r="O3200" s="2" t="s">
        <v>7875</v>
      </c>
      <c r="P3200" s="9">
        <v>1.8</v>
      </c>
      <c r="Q3200" s="9">
        <v>3068.1</v>
      </c>
      <c r="R3200" s="2" t="s">
        <v>16711</v>
      </c>
    </row>
    <row r="3201" spans="1:18" x14ac:dyDescent="0.25">
      <c r="A3201" s="2" t="s">
        <v>7879</v>
      </c>
      <c r="B3201" s="6">
        <v>46174</v>
      </c>
      <c r="C3201" s="8">
        <v>46188</v>
      </c>
      <c r="D3201" s="2" t="s">
        <v>7433</v>
      </c>
      <c r="E3201" s="2" t="s">
        <v>260</v>
      </c>
      <c r="F3201" s="2" t="s">
        <v>16703</v>
      </c>
      <c r="G3201" s="2" t="s">
        <v>7881</v>
      </c>
      <c r="H3201" s="2" t="s">
        <v>39</v>
      </c>
      <c r="I3201" s="9">
        <v>3178.8240000000001</v>
      </c>
      <c r="J3201" s="7">
        <v>1</v>
      </c>
      <c r="K3201" s="9">
        <v>3178.82</v>
      </c>
      <c r="L3201" s="14">
        <v>0</v>
      </c>
      <c r="M3201" s="2" t="s">
        <v>71</v>
      </c>
      <c r="N3201" s="2" t="s">
        <v>16704</v>
      </c>
      <c r="O3201" s="2" t="s">
        <v>7880</v>
      </c>
      <c r="P3201" s="9">
        <v>1.8</v>
      </c>
      <c r="Q3201" s="9">
        <v>3178.82</v>
      </c>
      <c r="R3201" s="2" t="s">
        <v>16710</v>
      </c>
    </row>
    <row r="3202" spans="1:18" x14ac:dyDescent="0.25">
      <c r="A3202" s="2" t="s">
        <v>7882</v>
      </c>
      <c r="B3202" s="6">
        <v>46204</v>
      </c>
      <c r="C3202" s="8">
        <v>46213</v>
      </c>
      <c r="D3202" s="2" t="s">
        <v>7433</v>
      </c>
      <c r="E3202" s="2" t="s">
        <v>260</v>
      </c>
      <c r="F3202" s="2" t="s">
        <v>16703</v>
      </c>
      <c r="G3202" s="2" t="s">
        <v>7883</v>
      </c>
      <c r="H3202" s="2" t="s">
        <v>39</v>
      </c>
      <c r="I3202" s="9">
        <v>4768.2359999999999</v>
      </c>
      <c r="J3202" s="7">
        <v>1</v>
      </c>
      <c r="K3202" s="9">
        <v>4768.24</v>
      </c>
      <c r="L3202" s="14">
        <v>0</v>
      </c>
      <c r="M3202" s="2" t="s">
        <v>71</v>
      </c>
      <c r="N3202" s="2" t="s">
        <v>16706</v>
      </c>
      <c r="O3202" s="2" t="s">
        <v>7880</v>
      </c>
      <c r="P3202" s="9">
        <v>2.62</v>
      </c>
      <c r="Q3202" s="9">
        <v>4768.24</v>
      </c>
      <c r="R3202" s="2" t="s">
        <v>16711</v>
      </c>
    </row>
    <row r="3203" spans="1:18" x14ac:dyDescent="0.25">
      <c r="A3203" s="2" t="s">
        <v>7884</v>
      </c>
      <c r="B3203" s="6">
        <v>46174</v>
      </c>
      <c r="C3203" s="8">
        <v>46189</v>
      </c>
      <c r="D3203" s="2" t="s">
        <v>7433</v>
      </c>
      <c r="E3203" s="2" t="s">
        <v>260</v>
      </c>
      <c r="F3203" s="2" t="s">
        <v>16703</v>
      </c>
      <c r="G3203" s="2" t="s">
        <v>7886</v>
      </c>
      <c r="H3203" s="2" t="s">
        <v>76</v>
      </c>
      <c r="I3203" s="9">
        <v>52632768</v>
      </c>
      <c r="J3203" s="7">
        <v>6.2500000000000001E-5</v>
      </c>
      <c r="K3203" s="9">
        <v>3289.55</v>
      </c>
      <c r="L3203" s="14">
        <v>0</v>
      </c>
      <c r="M3203" s="2" t="s">
        <v>71</v>
      </c>
      <c r="N3203" s="2" t="s">
        <v>16704</v>
      </c>
      <c r="O3203" s="2" t="s">
        <v>7885</v>
      </c>
      <c r="P3203" s="9">
        <v>1.81</v>
      </c>
      <c r="Q3203" s="9">
        <v>3289.55</v>
      </c>
      <c r="R3203" s="2" t="s">
        <v>16710</v>
      </c>
    </row>
    <row r="3204" spans="1:18" x14ac:dyDescent="0.25">
      <c r="A3204" s="2" t="s">
        <v>7887</v>
      </c>
      <c r="B3204" s="6">
        <v>46204</v>
      </c>
      <c r="C3204" s="8">
        <v>46214</v>
      </c>
      <c r="D3204" s="2" t="s">
        <v>7433</v>
      </c>
      <c r="E3204" s="2" t="s">
        <v>260</v>
      </c>
      <c r="F3204" s="2" t="s">
        <v>16703</v>
      </c>
      <c r="G3204" s="2" t="s">
        <v>7888</v>
      </c>
      <c r="H3204" s="2" t="s">
        <v>76</v>
      </c>
      <c r="I3204" s="9">
        <v>78949152</v>
      </c>
      <c r="J3204" s="7">
        <v>6.2000000000000003E-5</v>
      </c>
      <c r="K3204" s="9">
        <v>4894.8500000000004</v>
      </c>
      <c r="L3204" s="14">
        <v>0</v>
      </c>
      <c r="M3204" s="2" t="s">
        <v>71</v>
      </c>
      <c r="N3204" s="2" t="s">
        <v>16706</v>
      </c>
      <c r="O3204" s="2" t="s">
        <v>7885</v>
      </c>
      <c r="P3204" s="9">
        <v>2.69</v>
      </c>
      <c r="Q3204" s="9">
        <v>4934.32</v>
      </c>
      <c r="R3204" s="2" t="s">
        <v>16711</v>
      </c>
    </row>
    <row r="3205" spans="1:18" x14ac:dyDescent="0.25">
      <c r="A3205" s="2" t="s">
        <v>7889</v>
      </c>
      <c r="B3205" s="6">
        <v>46174</v>
      </c>
      <c r="C3205" s="8">
        <v>46190</v>
      </c>
      <c r="D3205" s="2" t="s">
        <v>7433</v>
      </c>
      <c r="E3205" s="2" t="s">
        <v>260</v>
      </c>
      <c r="F3205" s="2" t="s">
        <v>16703</v>
      </c>
      <c r="G3205" s="2" t="s">
        <v>7891</v>
      </c>
      <c r="H3205" s="2" t="s">
        <v>70</v>
      </c>
      <c r="I3205" s="9">
        <v>5113.1969920000001</v>
      </c>
      <c r="J3205" s="7">
        <v>0.66500000000000004</v>
      </c>
      <c r="K3205" s="9">
        <v>3400.28</v>
      </c>
      <c r="L3205" s="14">
        <v>0</v>
      </c>
      <c r="M3205" s="2" t="s">
        <v>71</v>
      </c>
      <c r="N3205" s="2" t="s">
        <v>16704</v>
      </c>
      <c r="O3205" s="2" t="s">
        <v>7890</v>
      </c>
      <c r="P3205" s="9">
        <v>1.87</v>
      </c>
      <c r="Q3205" s="9">
        <v>3400.28</v>
      </c>
      <c r="R3205" s="2" t="s">
        <v>16710</v>
      </c>
    </row>
    <row r="3206" spans="1:18" x14ac:dyDescent="0.25">
      <c r="A3206" s="2" t="s">
        <v>7892</v>
      </c>
      <c r="B3206" s="6">
        <v>46204</v>
      </c>
      <c r="C3206" s="8">
        <v>46215</v>
      </c>
      <c r="D3206" s="2" t="s">
        <v>7433</v>
      </c>
      <c r="E3206" s="2" t="s">
        <v>260</v>
      </c>
      <c r="F3206" s="2" t="s">
        <v>16703</v>
      </c>
      <c r="G3206" s="2" t="s">
        <v>7893</v>
      </c>
      <c r="H3206" s="2" t="s">
        <v>70</v>
      </c>
      <c r="I3206" s="9">
        <v>7669.7954890000001</v>
      </c>
      <c r="J3206" s="7">
        <v>0.65800000000000003</v>
      </c>
      <c r="K3206" s="9">
        <v>5046.7299999999996</v>
      </c>
      <c r="L3206" s="14">
        <v>0</v>
      </c>
      <c r="M3206" s="2" t="s">
        <v>71</v>
      </c>
      <c r="N3206" s="2" t="s">
        <v>16706</v>
      </c>
      <c r="O3206" s="2" t="s">
        <v>7890</v>
      </c>
      <c r="P3206" s="9">
        <v>2.78</v>
      </c>
      <c r="Q3206" s="9">
        <v>5100.41</v>
      </c>
      <c r="R3206" s="2" t="s">
        <v>16711</v>
      </c>
    </row>
    <row r="3207" spans="1:18" x14ac:dyDescent="0.25">
      <c r="A3207" s="2" t="s">
        <v>7894</v>
      </c>
      <c r="B3207" s="6">
        <v>46174</v>
      </c>
      <c r="C3207" s="8">
        <v>46191</v>
      </c>
      <c r="D3207" s="2" t="s">
        <v>7433</v>
      </c>
      <c r="E3207" s="2" t="s">
        <v>260</v>
      </c>
      <c r="F3207" s="2" t="s">
        <v>16703</v>
      </c>
      <c r="G3207" s="2" t="s">
        <v>7896</v>
      </c>
      <c r="H3207" s="2" t="s">
        <v>39</v>
      </c>
      <c r="I3207" s="9">
        <v>3511</v>
      </c>
      <c r="J3207" s="7">
        <v>1</v>
      </c>
      <c r="K3207" s="9">
        <v>3511</v>
      </c>
      <c r="L3207" s="14">
        <v>0</v>
      </c>
      <c r="M3207" s="2" t="s">
        <v>71</v>
      </c>
      <c r="N3207" s="2" t="s">
        <v>16704</v>
      </c>
      <c r="O3207" s="2" t="s">
        <v>7895</v>
      </c>
      <c r="P3207" s="9">
        <v>1.93</v>
      </c>
      <c r="Q3207" s="9">
        <v>3511</v>
      </c>
      <c r="R3207" s="2" t="s">
        <v>16710</v>
      </c>
    </row>
    <row r="3208" spans="1:18" x14ac:dyDescent="0.25">
      <c r="A3208" s="2" t="s">
        <v>7897</v>
      </c>
      <c r="B3208" s="6">
        <v>46204</v>
      </c>
      <c r="C3208" s="8">
        <v>46216</v>
      </c>
      <c r="D3208" s="2" t="s">
        <v>7433</v>
      </c>
      <c r="E3208" s="2" t="s">
        <v>260</v>
      </c>
      <c r="F3208" s="2" t="s">
        <v>16703</v>
      </c>
      <c r="G3208" s="2" t="s">
        <v>7898</v>
      </c>
      <c r="H3208" s="2" t="s">
        <v>39</v>
      </c>
      <c r="I3208" s="9">
        <v>5266.5</v>
      </c>
      <c r="J3208" s="7">
        <v>1</v>
      </c>
      <c r="K3208" s="9">
        <v>5266.5</v>
      </c>
      <c r="L3208" s="14">
        <v>0</v>
      </c>
      <c r="M3208" s="2" t="s">
        <v>71</v>
      </c>
      <c r="N3208" s="2" t="s">
        <v>16706</v>
      </c>
      <c r="O3208" s="2" t="s">
        <v>7895</v>
      </c>
      <c r="P3208" s="9">
        <v>2.9</v>
      </c>
      <c r="Q3208" s="9">
        <v>5266.5</v>
      </c>
      <c r="R3208" s="2" t="s">
        <v>16711</v>
      </c>
    </row>
    <row r="3209" spans="1:18" x14ac:dyDescent="0.25">
      <c r="A3209" s="2" t="s">
        <v>7899</v>
      </c>
      <c r="B3209" s="6">
        <v>46174</v>
      </c>
      <c r="C3209" s="8">
        <v>46192</v>
      </c>
      <c r="D3209" s="2" t="s">
        <v>7433</v>
      </c>
      <c r="E3209" s="2" t="s">
        <v>260</v>
      </c>
      <c r="F3209" s="2" t="s">
        <v>16703</v>
      </c>
      <c r="G3209" s="2" t="s">
        <v>7901</v>
      </c>
      <c r="H3209" s="2" t="s">
        <v>76</v>
      </c>
      <c r="I3209" s="9">
        <v>57947648</v>
      </c>
      <c r="J3209" s="7">
        <v>6.2500000000000001E-5</v>
      </c>
      <c r="K3209" s="9">
        <v>3621.73</v>
      </c>
      <c r="L3209" s="14">
        <v>0</v>
      </c>
      <c r="M3209" s="2" t="s">
        <v>71</v>
      </c>
      <c r="N3209" s="2" t="s">
        <v>16704</v>
      </c>
      <c r="O3209" s="2" t="s">
        <v>7900</v>
      </c>
      <c r="P3209" s="9">
        <v>1.99</v>
      </c>
      <c r="Q3209" s="9">
        <v>3621.73</v>
      </c>
      <c r="R3209" s="2" t="s">
        <v>16710</v>
      </c>
    </row>
    <row r="3210" spans="1:18" x14ac:dyDescent="0.25">
      <c r="A3210" s="2" t="s">
        <v>7902</v>
      </c>
      <c r="B3210" s="6">
        <v>46204</v>
      </c>
      <c r="C3210" s="8">
        <v>46217</v>
      </c>
      <c r="D3210" s="2" t="s">
        <v>7433</v>
      </c>
      <c r="E3210" s="2" t="s">
        <v>260</v>
      </c>
      <c r="F3210" s="2" t="s">
        <v>16703</v>
      </c>
      <c r="G3210" s="2" t="s">
        <v>7903</v>
      </c>
      <c r="H3210" s="2" t="s">
        <v>76</v>
      </c>
      <c r="I3210" s="9">
        <v>86921472</v>
      </c>
      <c r="J3210" s="7">
        <v>6.2000000000000003E-5</v>
      </c>
      <c r="K3210" s="9">
        <v>5389.13</v>
      </c>
      <c r="L3210" s="14">
        <v>0</v>
      </c>
      <c r="M3210" s="2" t="s">
        <v>71</v>
      </c>
      <c r="N3210" s="2" t="s">
        <v>16706</v>
      </c>
      <c r="O3210" s="2" t="s">
        <v>7900</v>
      </c>
      <c r="P3210" s="9">
        <v>2.96</v>
      </c>
      <c r="Q3210" s="9">
        <v>5432.59</v>
      </c>
      <c r="R3210" s="2" t="s">
        <v>16711</v>
      </c>
    </row>
    <row r="3211" spans="1:18" x14ac:dyDescent="0.25">
      <c r="A3211" s="2" t="s">
        <v>7904</v>
      </c>
      <c r="B3211" s="6">
        <v>46174</v>
      </c>
      <c r="C3211" s="8">
        <v>46193</v>
      </c>
      <c r="D3211" s="2" t="s">
        <v>7433</v>
      </c>
      <c r="E3211" s="2" t="s">
        <v>260</v>
      </c>
      <c r="F3211" s="2" t="s">
        <v>16703</v>
      </c>
      <c r="G3211" s="2" t="s">
        <v>7906</v>
      </c>
      <c r="H3211" s="2" t="s">
        <v>70</v>
      </c>
      <c r="I3211" s="9">
        <v>5612.7097739999999</v>
      </c>
      <c r="J3211" s="7">
        <v>0.66500000000000004</v>
      </c>
      <c r="K3211" s="9">
        <v>3732.45</v>
      </c>
      <c r="L3211" s="14">
        <v>0</v>
      </c>
      <c r="M3211" s="2" t="s">
        <v>71</v>
      </c>
      <c r="N3211" s="2" t="s">
        <v>16704</v>
      </c>
      <c r="O3211" s="2" t="s">
        <v>7905</v>
      </c>
      <c r="P3211" s="9">
        <v>2.0499999999999998</v>
      </c>
      <c r="Q3211" s="9">
        <v>3732.45</v>
      </c>
      <c r="R3211" s="2" t="s">
        <v>16710</v>
      </c>
    </row>
    <row r="3212" spans="1:18" x14ac:dyDescent="0.25">
      <c r="A3212" s="2" t="s">
        <v>7907</v>
      </c>
      <c r="B3212" s="6">
        <v>46204</v>
      </c>
      <c r="C3212" s="8">
        <v>46218</v>
      </c>
      <c r="D3212" s="2" t="s">
        <v>7433</v>
      </c>
      <c r="E3212" s="2" t="s">
        <v>260</v>
      </c>
      <c r="F3212" s="2" t="s">
        <v>16703</v>
      </c>
      <c r="G3212" s="2" t="s">
        <v>7908</v>
      </c>
      <c r="H3212" s="2" t="s">
        <v>70</v>
      </c>
      <c r="I3212" s="9">
        <v>8419.0646620000007</v>
      </c>
      <c r="J3212" s="7">
        <v>0.65800000000000003</v>
      </c>
      <c r="K3212" s="9">
        <v>5539.74</v>
      </c>
      <c r="L3212" s="14">
        <v>0</v>
      </c>
      <c r="M3212" s="2" t="s">
        <v>71</v>
      </c>
      <c r="N3212" s="2" t="s">
        <v>16706</v>
      </c>
      <c r="O3212" s="2" t="s">
        <v>7905</v>
      </c>
      <c r="P3212" s="9">
        <v>3.05</v>
      </c>
      <c r="Q3212" s="9">
        <v>5598.68</v>
      </c>
      <c r="R3212" s="2" t="s">
        <v>16711</v>
      </c>
    </row>
    <row r="3213" spans="1:18" x14ac:dyDescent="0.25">
      <c r="A3213" s="2" t="s">
        <v>7909</v>
      </c>
      <c r="B3213" s="6">
        <v>46174</v>
      </c>
      <c r="C3213" s="8">
        <v>46194</v>
      </c>
      <c r="D3213" s="2" t="s">
        <v>7433</v>
      </c>
      <c r="E3213" s="2" t="s">
        <v>260</v>
      </c>
      <c r="F3213" s="2" t="s">
        <v>16703</v>
      </c>
      <c r="G3213" s="2" t="s">
        <v>7911</v>
      </c>
      <c r="H3213" s="2" t="s">
        <v>39</v>
      </c>
      <c r="I3213" s="9">
        <v>3842.56</v>
      </c>
      <c r="J3213" s="7">
        <v>1</v>
      </c>
      <c r="K3213" s="9">
        <v>3842.56</v>
      </c>
      <c r="L3213" s="14">
        <v>0</v>
      </c>
      <c r="M3213" s="2" t="s">
        <v>71</v>
      </c>
      <c r="N3213" s="2" t="s">
        <v>16704</v>
      </c>
      <c r="O3213" s="2" t="s">
        <v>7910</v>
      </c>
      <c r="P3213" s="9">
        <v>2.11</v>
      </c>
      <c r="Q3213" s="9">
        <v>3842.56</v>
      </c>
      <c r="R3213" s="2" t="s">
        <v>16710</v>
      </c>
    </row>
    <row r="3214" spans="1:18" x14ac:dyDescent="0.25">
      <c r="A3214" s="2" t="s">
        <v>7912</v>
      </c>
      <c r="B3214" s="6">
        <v>46204</v>
      </c>
      <c r="C3214" s="8">
        <v>46219</v>
      </c>
      <c r="D3214" s="2" t="s">
        <v>7433</v>
      </c>
      <c r="E3214" s="2" t="s">
        <v>260</v>
      </c>
      <c r="F3214" s="2" t="s">
        <v>16703</v>
      </c>
      <c r="G3214" s="2" t="s">
        <v>7913</v>
      </c>
      <c r="H3214" s="2" t="s">
        <v>39</v>
      </c>
      <c r="I3214" s="9">
        <v>5763.84</v>
      </c>
      <c r="J3214" s="7">
        <v>1</v>
      </c>
      <c r="K3214" s="9">
        <v>5763.84</v>
      </c>
      <c r="L3214" s="14">
        <v>0</v>
      </c>
      <c r="M3214" s="2" t="s">
        <v>71</v>
      </c>
      <c r="N3214" s="2" t="s">
        <v>16706</v>
      </c>
      <c r="O3214" s="2" t="s">
        <v>7910</v>
      </c>
      <c r="P3214" s="9">
        <v>3.17</v>
      </c>
      <c r="Q3214" s="9">
        <v>5763.84</v>
      </c>
      <c r="R3214" s="2" t="s">
        <v>16711</v>
      </c>
    </row>
    <row r="3215" spans="1:18" x14ac:dyDescent="0.25">
      <c r="A3215" s="2" t="s">
        <v>7914</v>
      </c>
      <c r="B3215" s="6">
        <v>46174</v>
      </c>
      <c r="C3215" s="8">
        <v>46195</v>
      </c>
      <c r="D3215" s="2" t="s">
        <v>7433</v>
      </c>
      <c r="E3215" s="2" t="s">
        <v>260</v>
      </c>
      <c r="F3215" s="2" t="s">
        <v>16703</v>
      </c>
      <c r="G3215" s="2" t="s">
        <v>7916</v>
      </c>
      <c r="H3215" s="2" t="s">
        <v>76</v>
      </c>
      <c r="I3215" s="9">
        <v>63252608</v>
      </c>
      <c r="J3215" s="7">
        <v>6.2500000000000001E-5</v>
      </c>
      <c r="K3215" s="9">
        <v>3953.29</v>
      </c>
      <c r="L3215" s="14">
        <v>0</v>
      </c>
      <c r="M3215" s="2" t="s">
        <v>71</v>
      </c>
      <c r="N3215" s="2" t="s">
        <v>16704</v>
      </c>
      <c r="O3215" s="2" t="s">
        <v>7915</v>
      </c>
      <c r="P3215" s="9">
        <v>2.17</v>
      </c>
      <c r="Q3215" s="9">
        <v>3953.29</v>
      </c>
      <c r="R3215" s="2" t="s">
        <v>16710</v>
      </c>
    </row>
    <row r="3216" spans="1:18" x14ac:dyDescent="0.25">
      <c r="A3216" s="2" t="s">
        <v>7917</v>
      </c>
      <c r="B3216" s="6">
        <v>46204</v>
      </c>
      <c r="C3216" s="8">
        <v>46220</v>
      </c>
      <c r="D3216" s="2" t="s">
        <v>7433</v>
      </c>
      <c r="E3216" s="2" t="s">
        <v>260</v>
      </c>
      <c r="F3216" s="2" t="s">
        <v>16703</v>
      </c>
      <c r="G3216" s="2" t="s">
        <v>7918</v>
      </c>
      <c r="H3216" s="2" t="s">
        <v>76</v>
      </c>
      <c r="I3216" s="9">
        <v>94878912</v>
      </c>
      <c r="J3216" s="7">
        <v>6.2000000000000003E-5</v>
      </c>
      <c r="K3216" s="9">
        <v>5882.49</v>
      </c>
      <c r="L3216" s="14">
        <v>0</v>
      </c>
      <c r="M3216" s="2" t="s">
        <v>71</v>
      </c>
      <c r="N3216" s="2" t="s">
        <v>16706</v>
      </c>
      <c r="O3216" s="2" t="s">
        <v>7915</v>
      </c>
      <c r="P3216" s="9">
        <v>3.24</v>
      </c>
      <c r="Q3216" s="9">
        <v>5929.93</v>
      </c>
      <c r="R3216" s="2" t="s">
        <v>16711</v>
      </c>
    </row>
    <row r="3217" spans="1:18" x14ac:dyDescent="0.25">
      <c r="A3217" s="2" t="s">
        <v>7919</v>
      </c>
      <c r="B3217" s="6">
        <v>46174</v>
      </c>
      <c r="C3217" s="8">
        <v>46196</v>
      </c>
      <c r="D3217" s="2" t="s">
        <v>7433</v>
      </c>
      <c r="E3217" s="2" t="s">
        <v>260</v>
      </c>
      <c r="F3217" s="2" t="s">
        <v>16703</v>
      </c>
      <c r="G3217" s="2" t="s">
        <v>7921</v>
      </c>
      <c r="H3217" s="2" t="s">
        <v>70</v>
      </c>
      <c r="I3217" s="9">
        <v>6111.296241</v>
      </c>
      <c r="J3217" s="7">
        <v>0.66500000000000004</v>
      </c>
      <c r="K3217" s="9">
        <v>4064.01</v>
      </c>
      <c r="L3217" s="14">
        <v>0</v>
      </c>
      <c r="M3217" s="2" t="s">
        <v>71</v>
      </c>
      <c r="N3217" s="2" t="s">
        <v>16704</v>
      </c>
      <c r="O3217" s="2" t="s">
        <v>7920</v>
      </c>
      <c r="P3217" s="9">
        <v>2.2400000000000002</v>
      </c>
      <c r="Q3217" s="9">
        <v>4064.01</v>
      </c>
      <c r="R3217" s="2" t="s">
        <v>16710</v>
      </c>
    </row>
    <row r="3218" spans="1:18" x14ac:dyDescent="0.25">
      <c r="A3218" s="2" t="s">
        <v>7922</v>
      </c>
      <c r="B3218" s="6">
        <v>46204</v>
      </c>
      <c r="C3218" s="8">
        <v>46221</v>
      </c>
      <c r="D3218" s="2" t="s">
        <v>7433</v>
      </c>
      <c r="E3218" s="2" t="s">
        <v>260</v>
      </c>
      <c r="F3218" s="2" t="s">
        <v>16703</v>
      </c>
      <c r="G3218" s="2" t="s">
        <v>7923</v>
      </c>
      <c r="H3218" s="2" t="s">
        <v>70</v>
      </c>
      <c r="I3218" s="9">
        <v>9166.9443609999998</v>
      </c>
      <c r="J3218" s="7">
        <v>0.65800000000000003</v>
      </c>
      <c r="K3218" s="9">
        <v>6031.85</v>
      </c>
      <c r="L3218" s="14">
        <v>0</v>
      </c>
      <c r="M3218" s="2" t="s">
        <v>71</v>
      </c>
      <c r="N3218" s="2" t="s">
        <v>16706</v>
      </c>
      <c r="O3218" s="2" t="s">
        <v>7920</v>
      </c>
      <c r="P3218" s="9">
        <v>3.32</v>
      </c>
      <c r="Q3218" s="9">
        <v>6096.02</v>
      </c>
      <c r="R3218" s="2" t="s">
        <v>16711</v>
      </c>
    </row>
    <row r="3219" spans="1:18" x14ac:dyDescent="0.25">
      <c r="A3219" s="2" t="s">
        <v>7924</v>
      </c>
      <c r="B3219" s="6">
        <v>46174</v>
      </c>
      <c r="C3219" s="8">
        <v>46197</v>
      </c>
      <c r="D3219" s="2" t="s">
        <v>7433</v>
      </c>
      <c r="E3219" s="2" t="s">
        <v>260</v>
      </c>
      <c r="F3219" s="2" t="s">
        <v>16703</v>
      </c>
      <c r="G3219" s="2" t="s">
        <v>7926</v>
      </c>
      <c r="H3219" s="2" t="s">
        <v>39</v>
      </c>
      <c r="I3219" s="9">
        <v>4174.74</v>
      </c>
      <c r="J3219" s="7">
        <v>1</v>
      </c>
      <c r="K3219" s="9">
        <v>4174.74</v>
      </c>
      <c r="L3219" s="14">
        <v>0</v>
      </c>
      <c r="M3219" s="2" t="s">
        <v>71</v>
      </c>
      <c r="N3219" s="2" t="s">
        <v>16704</v>
      </c>
      <c r="O3219" s="2" t="s">
        <v>7925</v>
      </c>
      <c r="P3219" s="9">
        <v>2.2999999999999998</v>
      </c>
      <c r="Q3219" s="9">
        <v>4174.74</v>
      </c>
      <c r="R3219" s="2" t="s">
        <v>16710</v>
      </c>
    </row>
    <row r="3220" spans="1:18" x14ac:dyDescent="0.25">
      <c r="A3220" s="2" t="s">
        <v>7927</v>
      </c>
      <c r="B3220" s="6">
        <v>46204</v>
      </c>
      <c r="C3220" s="8">
        <v>46222</v>
      </c>
      <c r="D3220" s="2" t="s">
        <v>7433</v>
      </c>
      <c r="E3220" s="2" t="s">
        <v>260</v>
      </c>
      <c r="F3220" s="2" t="s">
        <v>16703</v>
      </c>
      <c r="G3220" s="2" t="s">
        <v>7928</v>
      </c>
      <c r="H3220" s="2" t="s">
        <v>39</v>
      </c>
      <c r="I3220" s="9">
        <v>6262.11</v>
      </c>
      <c r="J3220" s="7">
        <v>1</v>
      </c>
      <c r="K3220" s="9">
        <v>6262.11</v>
      </c>
      <c r="L3220" s="14">
        <v>0</v>
      </c>
      <c r="M3220" s="2" t="s">
        <v>71</v>
      </c>
      <c r="N3220" s="2" t="s">
        <v>16706</v>
      </c>
      <c r="O3220" s="2" t="s">
        <v>7925</v>
      </c>
      <c r="P3220" s="9">
        <v>3.44</v>
      </c>
      <c r="Q3220" s="9">
        <v>6262.11</v>
      </c>
      <c r="R3220" s="2" t="s">
        <v>16711</v>
      </c>
    </row>
    <row r="3221" spans="1:18" x14ac:dyDescent="0.25">
      <c r="A3221" s="2" t="s">
        <v>7929</v>
      </c>
      <c r="B3221" s="6">
        <v>46174</v>
      </c>
      <c r="C3221" s="8">
        <v>46198</v>
      </c>
      <c r="D3221" s="2" t="s">
        <v>7433</v>
      </c>
      <c r="E3221" s="2" t="s">
        <v>260</v>
      </c>
      <c r="F3221" s="2" t="s">
        <v>16703</v>
      </c>
      <c r="G3221" s="2" t="s">
        <v>7931</v>
      </c>
      <c r="H3221" s="2" t="s">
        <v>76</v>
      </c>
      <c r="I3221" s="9">
        <v>68567424</v>
      </c>
      <c r="J3221" s="7">
        <v>6.2500000000000001E-5</v>
      </c>
      <c r="K3221" s="9">
        <v>4285.46</v>
      </c>
      <c r="L3221" s="14">
        <v>0</v>
      </c>
      <c r="M3221" s="2" t="s">
        <v>71</v>
      </c>
      <c r="N3221" s="2" t="s">
        <v>16704</v>
      </c>
      <c r="O3221" s="2" t="s">
        <v>7930</v>
      </c>
      <c r="P3221" s="9">
        <v>2.36</v>
      </c>
      <c r="Q3221" s="9">
        <v>4285.46</v>
      </c>
      <c r="R3221" s="2" t="s">
        <v>16710</v>
      </c>
    </row>
    <row r="3222" spans="1:18" x14ac:dyDescent="0.25">
      <c r="A3222" s="2" t="s">
        <v>7932</v>
      </c>
      <c r="B3222" s="6">
        <v>46204</v>
      </c>
      <c r="C3222" s="8">
        <v>46223</v>
      </c>
      <c r="D3222" s="2" t="s">
        <v>7433</v>
      </c>
      <c r="E3222" s="2" t="s">
        <v>260</v>
      </c>
      <c r="F3222" s="2" t="s">
        <v>16703</v>
      </c>
      <c r="G3222" s="2" t="s">
        <v>7933</v>
      </c>
      <c r="H3222" s="2" t="s">
        <v>76</v>
      </c>
      <c r="I3222" s="9">
        <v>102851136</v>
      </c>
      <c r="J3222" s="7">
        <v>6.2000000000000003E-5</v>
      </c>
      <c r="K3222" s="9">
        <v>6376.77</v>
      </c>
      <c r="L3222" s="14">
        <v>0</v>
      </c>
      <c r="M3222" s="2" t="s">
        <v>71</v>
      </c>
      <c r="N3222" s="2" t="s">
        <v>16706</v>
      </c>
      <c r="O3222" s="2" t="s">
        <v>7930</v>
      </c>
      <c r="P3222" s="9">
        <v>3.51</v>
      </c>
      <c r="Q3222" s="9">
        <v>6428.2</v>
      </c>
      <c r="R3222" s="2" t="s">
        <v>16711</v>
      </c>
    </row>
    <row r="3223" spans="1:18" x14ac:dyDescent="0.25">
      <c r="A3223" s="2" t="s">
        <v>7934</v>
      </c>
      <c r="B3223" s="6">
        <v>46174</v>
      </c>
      <c r="C3223" s="8">
        <v>46199</v>
      </c>
      <c r="D3223" s="2" t="s">
        <v>7433</v>
      </c>
      <c r="E3223" s="2" t="s">
        <v>260</v>
      </c>
      <c r="F3223" s="2" t="s">
        <v>16703</v>
      </c>
      <c r="G3223" s="2" t="s">
        <v>7936</v>
      </c>
      <c r="H3223" s="2" t="s">
        <v>70</v>
      </c>
      <c r="I3223" s="9">
        <v>6610.8150379999997</v>
      </c>
      <c r="J3223" s="7">
        <v>0.66500000000000004</v>
      </c>
      <c r="K3223" s="9">
        <v>4396.1899999999996</v>
      </c>
      <c r="L3223" s="14">
        <v>0</v>
      </c>
      <c r="M3223" s="2" t="s">
        <v>71</v>
      </c>
      <c r="N3223" s="2" t="s">
        <v>16704</v>
      </c>
      <c r="O3223" s="2" t="s">
        <v>7935</v>
      </c>
      <c r="P3223" s="9">
        <v>2.42</v>
      </c>
      <c r="Q3223" s="9">
        <v>4396.1899999999996</v>
      </c>
      <c r="R3223" s="2" t="s">
        <v>16710</v>
      </c>
    </row>
    <row r="3224" spans="1:18" x14ac:dyDescent="0.25">
      <c r="A3224" s="2" t="s">
        <v>7937</v>
      </c>
      <c r="B3224" s="6">
        <v>46204</v>
      </c>
      <c r="C3224" s="8">
        <v>46224</v>
      </c>
      <c r="D3224" s="2" t="s">
        <v>7433</v>
      </c>
      <c r="E3224" s="2" t="s">
        <v>260</v>
      </c>
      <c r="F3224" s="2" t="s">
        <v>16703</v>
      </c>
      <c r="G3224" s="2" t="s">
        <v>7938</v>
      </c>
      <c r="H3224" s="2" t="s">
        <v>70</v>
      </c>
      <c r="I3224" s="9">
        <v>9916.2225560000006</v>
      </c>
      <c r="J3224" s="7">
        <v>0.65800000000000003</v>
      </c>
      <c r="K3224" s="9">
        <v>6524.87</v>
      </c>
      <c r="L3224" s="14">
        <v>0</v>
      </c>
      <c r="M3224" s="2" t="s">
        <v>71</v>
      </c>
      <c r="N3224" s="2" t="s">
        <v>16706</v>
      </c>
      <c r="O3224" s="2" t="s">
        <v>7935</v>
      </c>
      <c r="P3224" s="9">
        <v>3.59</v>
      </c>
      <c r="Q3224" s="9">
        <v>6594.29</v>
      </c>
      <c r="R3224" s="2" t="s">
        <v>16711</v>
      </c>
    </row>
    <row r="3225" spans="1:18" x14ac:dyDescent="0.25">
      <c r="A3225" s="2" t="s">
        <v>7939</v>
      </c>
      <c r="B3225" s="6">
        <v>46174</v>
      </c>
      <c r="C3225" s="8">
        <v>46200</v>
      </c>
      <c r="D3225" s="2" t="s">
        <v>7433</v>
      </c>
      <c r="E3225" s="2" t="s">
        <v>260</v>
      </c>
      <c r="F3225" s="2" t="s">
        <v>16703</v>
      </c>
      <c r="G3225" s="2" t="s">
        <v>7941</v>
      </c>
      <c r="H3225" s="2" t="s">
        <v>39</v>
      </c>
      <c r="I3225" s="9">
        <v>4506.92</v>
      </c>
      <c r="J3225" s="7">
        <v>1</v>
      </c>
      <c r="K3225" s="9">
        <v>4506.92</v>
      </c>
      <c r="L3225" s="14">
        <v>0</v>
      </c>
      <c r="M3225" s="2" t="s">
        <v>71</v>
      </c>
      <c r="N3225" s="2" t="s">
        <v>16704</v>
      </c>
      <c r="O3225" s="2" t="s">
        <v>7940</v>
      </c>
      <c r="P3225" s="9">
        <v>2.48</v>
      </c>
      <c r="Q3225" s="9">
        <v>4506.92</v>
      </c>
      <c r="R3225" s="2" t="s">
        <v>16710</v>
      </c>
    </row>
    <row r="3226" spans="1:18" x14ac:dyDescent="0.25">
      <c r="A3226" s="2" t="s">
        <v>7942</v>
      </c>
      <c r="B3226" s="6">
        <v>46204</v>
      </c>
      <c r="C3226" s="8">
        <v>46225</v>
      </c>
      <c r="D3226" s="2" t="s">
        <v>7433</v>
      </c>
      <c r="E3226" s="2" t="s">
        <v>260</v>
      </c>
      <c r="F3226" s="2" t="s">
        <v>16703</v>
      </c>
      <c r="G3226" s="2" t="s">
        <v>7943</v>
      </c>
      <c r="H3226" s="2" t="s">
        <v>39</v>
      </c>
      <c r="I3226" s="9">
        <v>6760.38</v>
      </c>
      <c r="J3226" s="7">
        <v>1</v>
      </c>
      <c r="K3226" s="9">
        <v>6760.38</v>
      </c>
      <c r="L3226" s="14">
        <v>0</v>
      </c>
      <c r="M3226" s="2" t="s">
        <v>71</v>
      </c>
      <c r="N3226" s="2" t="s">
        <v>16706</v>
      </c>
      <c r="O3226" s="2" t="s">
        <v>7940</v>
      </c>
      <c r="P3226" s="9">
        <v>3.72</v>
      </c>
      <c r="Q3226" s="9">
        <v>6760.38</v>
      </c>
      <c r="R3226" s="2" t="s">
        <v>16711</v>
      </c>
    </row>
    <row r="3227" spans="1:18" x14ac:dyDescent="0.25">
      <c r="A3227" s="2" t="s">
        <v>7944</v>
      </c>
      <c r="B3227" s="6">
        <v>46174</v>
      </c>
      <c r="C3227" s="8">
        <v>46201</v>
      </c>
      <c r="D3227" s="2" t="s">
        <v>7433</v>
      </c>
      <c r="E3227" s="2" t="s">
        <v>260</v>
      </c>
      <c r="F3227" s="2" t="s">
        <v>16703</v>
      </c>
      <c r="G3227" s="2" t="s">
        <v>7946</v>
      </c>
      <c r="H3227" s="2" t="s">
        <v>76</v>
      </c>
      <c r="I3227" s="9">
        <v>73882304</v>
      </c>
      <c r="J3227" s="7">
        <v>6.2500000000000001E-5</v>
      </c>
      <c r="K3227" s="9">
        <v>4617.6400000000003</v>
      </c>
      <c r="L3227" s="14">
        <v>0</v>
      </c>
      <c r="M3227" s="2" t="s">
        <v>71</v>
      </c>
      <c r="N3227" s="2" t="s">
        <v>16704</v>
      </c>
      <c r="O3227" s="2" t="s">
        <v>7945</v>
      </c>
      <c r="P3227" s="9">
        <v>2.54</v>
      </c>
      <c r="Q3227" s="9">
        <v>4617.6400000000003</v>
      </c>
      <c r="R3227" s="2" t="s">
        <v>16710</v>
      </c>
    </row>
    <row r="3228" spans="1:18" x14ac:dyDescent="0.25">
      <c r="A3228" s="2" t="s">
        <v>7947</v>
      </c>
      <c r="B3228" s="6">
        <v>46204</v>
      </c>
      <c r="C3228" s="8">
        <v>46226</v>
      </c>
      <c r="D3228" s="2" t="s">
        <v>7433</v>
      </c>
      <c r="E3228" s="2" t="s">
        <v>260</v>
      </c>
      <c r="F3228" s="2" t="s">
        <v>16703</v>
      </c>
      <c r="G3228" s="2" t="s">
        <v>7948</v>
      </c>
      <c r="H3228" s="2" t="s">
        <v>76</v>
      </c>
      <c r="I3228" s="9">
        <v>110823456</v>
      </c>
      <c r="J3228" s="7">
        <v>6.2000000000000003E-5</v>
      </c>
      <c r="K3228" s="9">
        <v>6871.05</v>
      </c>
      <c r="L3228" s="14">
        <v>0</v>
      </c>
      <c r="M3228" s="2" t="s">
        <v>71</v>
      </c>
      <c r="N3228" s="2" t="s">
        <v>16706</v>
      </c>
      <c r="O3228" s="2" t="s">
        <v>7945</v>
      </c>
      <c r="P3228" s="9">
        <v>3.78</v>
      </c>
      <c r="Q3228" s="9">
        <v>6926.47</v>
      </c>
      <c r="R3228" s="2" t="s">
        <v>16711</v>
      </c>
    </row>
    <row r="3229" spans="1:18" x14ac:dyDescent="0.25">
      <c r="A3229" s="2" t="s">
        <v>7949</v>
      </c>
      <c r="B3229" s="6">
        <v>46174</v>
      </c>
      <c r="C3229" s="8">
        <v>46202</v>
      </c>
      <c r="D3229" s="2" t="s">
        <v>7433</v>
      </c>
      <c r="E3229" s="2" t="s">
        <v>260</v>
      </c>
      <c r="F3229" s="2" t="s">
        <v>16703</v>
      </c>
      <c r="G3229" s="2" t="s">
        <v>7951</v>
      </c>
      <c r="H3229" s="2" t="s">
        <v>70</v>
      </c>
      <c r="I3229" s="9">
        <v>7110.333834</v>
      </c>
      <c r="J3229" s="7">
        <v>0.66500000000000004</v>
      </c>
      <c r="K3229" s="9">
        <v>4728.37</v>
      </c>
      <c r="L3229" s="14">
        <v>0</v>
      </c>
      <c r="M3229" s="2" t="s">
        <v>71</v>
      </c>
      <c r="N3229" s="2" t="s">
        <v>16704</v>
      </c>
      <c r="O3229" s="2" t="s">
        <v>7950</v>
      </c>
      <c r="P3229" s="9">
        <v>2.6</v>
      </c>
      <c r="Q3229" s="9">
        <v>4728.37</v>
      </c>
      <c r="R3229" s="2" t="s">
        <v>16710</v>
      </c>
    </row>
    <row r="3230" spans="1:18" x14ac:dyDescent="0.25">
      <c r="A3230" s="2" t="s">
        <v>7952</v>
      </c>
      <c r="B3230" s="6">
        <v>46204</v>
      </c>
      <c r="C3230" s="8">
        <v>46227</v>
      </c>
      <c r="D3230" s="2" t="s">
        <v>7433</v>
      </c>
      <c r="E3230" s="2" t="s">
        <v>260</v>
      </c>
      <c r="F3230" s="2" t="s">
        <v>16703</v>
      </c>
      <c r="G3230" s="2" t="s">
        <v>7953</v>
      </c>
      <c r="H3230" s="2" t="s">
        <v>70</v>
      </c>
      <c r="I3230" s="9">
        <v>10665.500752</v>
      </c>
      <c r="J3230" s="7">
        <v>0.65800000000000003</v>
      </c>
      <c r="K3230" s="9">
        <v>7017.9</v>
      </c>
      <c r="L3230" s="14">
        <v>0</v>
      </c>
      <c r="M3230" s="2" t="s">
        <v>71</v>
      </c>
      <c r="N3230" s="2" t="s">
        <v>16706</v>
      </c>
      <c r="O3230" s="2" t="s">
        <v>7950</v>
      </c>
      <c r="P3230" s="9">
        <v>3.86</v>
      </c>
      <c r="Q3230" s="9">
        <v>7092.56</v>
      </c>
      <c r="R3230" s="2" t="s">
        <v>16711</v>
      </c>
    </row>
    <row r="3231" spans="1:18" x14ac:dyDescent="0.25">
      <c r="A3231" s="2" t="s">
        <v>7954</v>
      </c>
      <c r="B3231" s="6">
        <v>46174</v>
      </c>
      <c r="C3231" s="8">
        <v>46203</v>
      </c>
      <c r="D3231" s="2" t="s">
        <v>7433</v>
      </c>
      <c r="E3231" s="2" t="s">
        <v>260</v>
      </c>
      <c r="F3231" s="2" t="s">
        <v>16703</v>
      </c>
      <c r="G3231" s="2" t="s">
        <v>7956</v>
      </c>
      <c r="H3231" s="2" t="s">
        <v>39</v>
      </c>
      <c r="I3231" s="9">
        <v>4839.0959999999995</v>
      </c>
      <c r="J3231" s="7">
        <v>1</v>
      </c>
      <c r="K3231" s="9">
        <v>4839.1000000000004</v>
      </c>
      <c r="L3231" s="14">
        <v>0</v>
      </c>
      <c r="M3231" s="2" t="s">
        <v>71</v>
      </c>
      <c r="N3231" s="2" t="s">
        <v>16704</v>
      </c>
      <c r="O3231" s="2" t="s">
        <v>7955</v>
      </c>
      <c r="P3231" s="9">
        <v>2.66</v>
      </c>
      <c r="Q3231" s="9">
        <v>4839.1000000000004</v>
      </c>
      <c r="R3231" s="2" t="s">
        <v>16710</v>
      </c>
    </row>
    <row r="3232" spans="1:18" x14ac:dyDescent="0.25">
      <c r="A3232" s="2" t="s">
        <v>7957</v>
      </c>
      <c r="B3232" s="6">
        <v>46204</v>
      </c>
      <c r="C3232" s="8">
        <v>46228</v>
      </c>
      <c r="D3232" s="2" t="s">
        <v>7433</v>
      </c>
      <c r="E3232" s="2" t="s">
        <v>260</v>
      </c>
      <c r="F3232" s="2" t="s">
        <v>16703</v>
      </c>
      <c r="G3232" s="2" t="s">
        <v>7958</v>
      </c>
      <c r="H3232" s="2" t="s">
        <v>39</v>
      </c>
      <c r="I3232" s="9">
        <v>7258.6440000000002</v>
      </c>
      <c r="J3232" s="7">
        <v>1</v>
      </c>
      <c r="K3232" s="9">
        <v>7258.64</v>
      </c>
      <c r="L3232" s="14">
        <v>0</v>
      </c>
      <c r="M3232" s="2" t="s">
        <v>71</v>
      </c>
      <c r="N3232" s="2" t="s">
        <v>16706</v>
      </c>
      <c r="O3232" s="2" t="s">
        <v>7955</v>
      </c>
      <c r="P3232" s="9">
        <v>3.99</v>
      </c>
      <c r="Q3232" s="9">
        <v>7258.64</v>
      </c>
      <c r="R3232" s="2" t="s">
        <v>16711</v>
      </c>
    </row>
    <row r="3233" spans="1:18" x14ac:dyDescent="0.25">
      <c r="A3233" s="2" t="s">
        <v>7959</v>
      </c>
      <c r="B3233" s="6">
        <v>46204</v>
      </c>
      <c r="C3233" s="8">
        <v>46204</v>
      </c>
      <c r="D3233" s="2" t="s">
        <v>7433</v>
      </c>
      <c r="E3233" s="2" t="s">
        <v>260</v>
      </c>
      <c r="F3233" s="2" t="s">
        <v>16703</v>
      </c>
      <c r="G3233" s="2" t="s">
        <v>7961</v>
      </c>
      <c r="H3233" s="2" t="s">
        <v>76</v>
      </c>
      <c r="I3233" s="9">
        <v>79197184</v>
      </c>
      <c r="J3233" s="7">
        <v>6.2000000000000003E-5</v>
      </c>
      <c r="K3233" s="9">
        <v>4910.2299999999996</v>
      </c>
      <c r="L3233" s="14">
        <v>0</v>
      </c>
      <c r="M3233" s="2" t="s">
        <v>71</v>
      </c>
      <c r="N3233" s="2" t="s">
        <v>16706</v>
      </c>
      <c r="O3233" s="2" t="s">
        <v>7960</v>
      </c>
      <c r="P3233" s="9">
        <v>2.7</v>
      </c>
      <c r="Q3233" s="9">
        <v>4949.82</v>
      </c>
      <c r="R3233" s="2" t="s">
        <v>16711</v>
      </c>
    </row>
    <row r="3234" spans="1:18" x14ac:dyDescent="0.25">
      <c r="A3234" s="2" t="s">
        <v>7962</v>
      </c>
      <c r="B3234" s="6">
        <v>46204</v>
      </c>
      <c r="C3234" s="8">
        <v>46229</v>
      </c>
      <c r="D3234" s="2" t="s">
        <v>7433</v>
      </c>
      <c r="E3234" s="2" t="s">
        <v>260</v>
      </c>
      <c r="F3234" s="2" t="s">
        <v>16703</v>
      </c>
      <c r="G3234" s="2" t="s">
        <v>7963</v>
      </c>
      <c r="H3234" s="2" t="s">
        <v>76</v>
      </c>
      <c r="I3234" s="9">
        <v>118795776</v>
      </c>
      <c r="J3234" s="7">
        <v>6.2000000000000003E-5</v>
      </c>
      <c r="K3234" s="9">
        <v>7365.34</v>
      </c>
      <c r="L3234" s="14">
        <v>0</v>
      </c>
      <c r="M3234" s="2" t="s">
        <v>71</v>
      </c>
      <c r="N3234" s="2" t="s">
        <v>16706</v>
      </c>
      <c r="O3234" s="2" t="s">
        <v>7960</v>
      </c>
      <c r="P3234" s="9">
        <v>4.05</v>
      </c>
      <c r="Q3234" s="9">
        <v>7424.74</v>
      </c>
      <c r="R3234" s="2" t="s">
        <v>16711</v>
      </c>
    </row>
    <row r="3235" spans="1:18" x14ac:dyDescent="0.25">
      <c r="A3235" s="2" t="s">
        <v>7964</v>
      </c>
      <c r="B3235" s="6">
        <v>46204</v>
      </c>
      <c r="C3235" s="8">
        <v>46205</v>
      </c>
      <c r="D3235" s="2" t="s">
        <v>7433</v>
      </c>
      <c r="E3235" s="2" t="s">
        <v>260</v>
      </c>
      <c r="F3235" s="2" t="s">
        <v>16703</v>
      </c>
      <c r="G3235" s="2" t="s">
        <v>7966</v>
      </c>
      <c r="H3235" s="2" t="s">
        <v>70</v>
      </c>
      <c r="I3235" s="9">
        <v>7609.8526320000001</v>
      </c>
      <c r="J3235" s="7">
        <v>0.65800000000000003</v>
      </c>
      <c r="K3235" s="9">
        <v>5007.28</v>
      </c>
      <c r="L3235" s="14">
        <v>0</v>
      </c>
      <c r="M3235" s="2" t="s">
        <v>71</v>
      </c>
      <c r="N3235" s="2" t="s">
        <v>16706</v>
      </c>
      <c r="O3235" s="2" t="s">
        <v>7965</v>
      </c>
      <c r="P3235" s="9">
        <v>2.75</v>
      </c>
      <c r="Q3235" s="9">
        <v>5060.55</v>
      </c>
      <c r="R3235" s="2" t="s">
        <v>16711</v>
      </c>
    </row>
    <row r="3236" spans="1:18" x14ac:dyDescent="0.25">
      <c r="A3236" s="2" t="s">
        <v>7967</v>
      </c>
      <c r="B3236" s="6">
        <v>46204</v>
      </c>
      <c r="C3236" s="8">
        <v>46230</v>
      </c>
      <c r="D3236" s="2" t="s">
        <v>7433</v>
      </c>
      <c r="E3236" s="2" t="s">
        <v>260</v>
      </c>
      <c r="F3236" s="2" t="s">
        <v>16703</v>
      </c>
      <c r="G3236" s="2" t="s">
        <v>7968</v>
      </c>
      <c r="H3236" s="2" t="s">
        <v>70</v>
      </c>
      <c r="I3236" s="9">
        <v>11414.778947000001</v>
      </c>
      <c r="J3236" s="7">
        <v>0.65800000000000003</v>
      </c>
      <c r="K3236" s="9">
        <v>7510.92</v>
      </c>
      <c r="L3236" s="14">
        <v>0</v>
      </c>
      <c r="M3236" s="2" t="s">
        <v>71</v>
      </c>
      <c r="N3236" s="2" t="s">
        <v>16706</v>
      </c>
      <c r="O3236" s="2" t="s">
        <v>7965</v>
      </c>
      <c r="P3236" s="9">
        <v>4.13</v>
      </c>
      <c r="Q3236" s="9">
        <v>7590.83</v>
      </c>
      <c r="R3236" s="2" t="s">
        <v>16711</v>
      </c>
    </row>
    <row r="3237" spans="1:18" x14ac:dyDescent="0.25">
      <c r="A3237" s="2" t="s">
        <v>7969</v>
      </c>
      <c r="B3237" s="6">
        <v>46204</v>
      </c>
      <c r="C3237" s="8">
        <v>46206</v>
      </c>
      <c r="D3237" s="2" t="s">
        <v>7433</v>
      </c>
      <c r="E3237" s="2" t="s">
        <v>260</v>
      </c>
      <c r="F3237" s="2" t="s">
        <v>16703</v>
      </c>
      <c r="G3237" s="2" t="s">
        <v>7971</v>
      </c>
      <c r="H3237" s="2" t="s">
        <v>39</v>
      </c>
      <c r="I3237" s="9">
        <v>5171.2759999999998</v>
      </c>
      <c r="J3237" s="7">
        <v>1</v>
      </c>
      <c r="K3237" s="9">
        <v>5171.28</v>
      </c>
      <c r="L3237" s="14">
        <v>0</v>
      </c>
      <c r="M3237" s="2" t="s">
        <v>71</v>
      </c>
      <c r="N3237" s="2" t="s">
        <v>16706</v>
      </c>
      <c r="O3237" s="2" t="s">
        <v>7970</v>
      </c>
      <c r="P3237" s="9">
        <v>2.84</v>
      </c>
      <c r="Q3237" s="9">
        <v>5171.28</v>
      </c>
      <c r="R3237" s="2" t="s">
        <v>16711</v>
      </c>
    </row>
    <row r="3238" spans="1:18" x14ac:dyDescent="0.25">
      <c r="A3238" s="2" t="s">
        <v>7972</v>
      </c>
      <c r="B3238" s="6">
        <v>46204</v>
      </c>
      <c r="C3238" s="8">
        <v>46231</v>
      </c>
      <c r="D3238" s="2" t="s">
        <v>7433</v>
      </c>
      <c r="E3238" s="2" t="s">
        <v>260</v>
      </c>
      <c r="F3238" s="2" t="s">
        <v>16703</v>
      </c>
      <c r="G3238" s="2" t="s">
        <v>7973</v>
      </c>
      <c r="H3238" s="2" t="s">
        <v>39</v>
      </c>
      <c r="I3238" s="9">
        <v>7756.9139999999998</v>
      </c>
      <c r="J3238" s="7">
        <v>1</v>
      </c>
      <c r="K3238" s="9">
        <v>7756.91</v>
      </c>
      <c r="L3238" s="14">
        <v>0</v>
      </c>
      <c r="M3238" s="2" t="s">
        <v>71</v>
      </c>
      <c r="N3238" s="2" t="s">
        <v>16706</v>
      </c>
      <c r="O3238" s="2" t="s">
        <v>7970</v>
      </c>
      <c r="P3238" s="9">
        <v>4.2699999999999996</v>
      </c>
      <c r="Q3238" s="9">
        <v>7756.91</v>
      </c>
      <c r="R3238" s="2" t="s">
        <v>16711</v>
      </c>
    </row>
    <row r="3239" spans="1:18" x14ac:dyDescent="0.25">
      <c r="A3239" s="2" t="s">
        <v>7974</v>
      </c>
      <c r="B3239" s="6">
        <v>46204</v>
      </c>
      <c r="C3239" s="8">
        <v>46207</v>
      </c>
      <c r="D3239" s="2" t="s">
        <v>7433</v>
      </c>
      <c r="E3239" s="2" t="s">
        <v>260</v>
      </c>
      <c r="F3239" s="2" t="s">
        <v>16703</v>
      </c>
      <c r="G3239" s="2" t="s">
        <v>7976</v>
      </c>
      <c r="H3239" s="2" t="s">
        <v>76</v>
      </c>
      <c r="I3239" s="9">
        <v>84512064</v>
      </c>
      <c r="J3239" s="7">
        <v>6.2000000000000003E-5</v>
      </c>
      <c r="K3239" s="9">
        <v>5239.75</v>
      </c>
      <c r="L3239" s="14">
        <v>0</v>
      </c>
      <c r="M3239" s="2" t="s">
        <v>71</v>
      </c>
      <c r="N3239" s="2" t="s">
        <v>16706</v>
      </c>
      <c r="O3239" s="2" t="s">
        <v>7975</v>
      </c>
      <c r="P3239" s="9">
        <v>2.88</v>
      </c>
      <c r="Q3239" s="9">
        <v>5282</v>
      </c>
      <c r="R3239" s="2" t="s">
        <v>16711</v>
      </c>
    </row>
    <row r="3240" spans="1:18" x14ac:dyDescent="0.25">
      <c r="A3240" s="2" t="s">
        <v>7977</v>
      </c>
      <c r="B3240" s="6">
        <v>46204</v>
      </c>
      <c r="C3240" s="8">
        <v>46232</v>
      </c>
      <c r="D3240" s="2" t="s">
        <v>7433</v>
      </c>
      <c r="E3240" s="2" t="s">
        <v>260</v>
      </c>
      <c r="F3240" s="2" t="s">
        <v>16703</v>
      </c>
      <c r="G3240" s="2" t="s">
        <v>7978</v>
      </c>
      <c r="H3240" s="2" t="s">
        <v>76</v>
      </c>
      <c r="I3240" s="9">
        <v>126768096</v>
      </c>
      <c r="J3240" s="7">
        <v>6.2000000000000003E-5</v>
      </c>
      <c r="K3240" s="9">
        <v>7859.62</v>
      </c>
      <c r="L3240" s="14">
        <v>0</v>
      </c>
      <c r="M3240" s="2" t="s">
        <v>71</v>
      </c>
      <c r="N3240" s="2" t="s">
        <v>16706</v>
      </c>
      <c r="O3240" s="2" t="s">
        <v>7975</v>
      </c>
      <c r="P3240" s="9">
        <v>4.32</v>
      </c>
      <c r="Q3240" s="9">
        <v>7923.01</v>
      </c>
      <c r="R3240" s="2" t="s">
        <v>16711</v>
      </c>
    </row>
    <row r="3241" spans="1:18" x14ac:dyDescent="0.25">
      <c r="A3241" s="2" t="s">
        <v>7979</v>
      </c>
      <c r="B3241" s="6">
        <v>46204</v>
      </c>
      <c r="C3241" s="8">
        <v>46208</v>
      </c>
      <c r="D3241" s="2" t="s">
        <v>7433</v>
      </c>
      <c r="E3241" s="2" t="s">
        <v>260</v>
      </c>
      <c r="F3241" s="2" t="s">
        <v>16703</v>
      </c>
      <c r="G3241" s="2" t="s">
        <v>7981</v>
      </c>
      <c r="H3241" s="2" t="s">
        <v>70</v>
      </c>
      <c r="I3241" s="9">
        <v>8109.3654139999999</v>
      </c>
      <c r="J3241" s="7">
        <v>0.65800000000000003</v>
      </c>
      <c r="K3241" s="9">
        <v>5335.96</v>
      </c>
      <c r="L3241" s="14">
        <v>0</v>
      </c>
      <c r="M3241" s="2" t="s">
        <v>71</v>
      </c>
      <c r="N3241" s="2" t="s">
        <v>16706</v>
      </c>
      <c r="O3241" s="2" t="s">
        <v>7980</v>
      </c>
      <c r="P3241" s="9">
        <v>2.93</v>
      </c>
      <c r="Q3241" s="9">
        <v>5392.73</v>
      </c>
      <c r="R3241" s="2" t="s">
        <v>16711</v>
      </c>
    </row>
    <row r="3242" spans="1:18" x14ac:dyDescent="0.25">
      <c r="A3242" s="2" t="s">
        <v>7982</v>
      </c>
      <c r="B3242" s="6">
        <v>46204</v>
      </c>
      <c r="C3242" s="8">
        <v>46233</v>
      </c>
      <c r="D3242" s="2" t="s">
        <v>7433</v>
      </c>
      <c r="E3242" s="2" t="s">
        <v>260</v>
      </c>
      <c r="F3242" s="2" t="s">
        <v>16703</v>
      </c>
      <c r="G3242" s="2" t="s">
        <v>7983</v>
      </c>
      <c r="H3242" s="2" t="s">
        <v>70</v>
      </c>
      <c r="I3242" s="9">
        <v>12164.048119999999</v>
      </c>
      <c r="J3242" s="7">
        <v>0.65800000000000003</v>
      </c>
      <c r="K3242" s="9">
        <v>8003.94</v>
      </c>
      <c r="L3242" s="14">
        <v>0</v>
      </c>
      <c r="M3242" s="2" t="s">
        <v>71</v>
      </c>
      <c r="N3242" s="2" t="s">
        <v>16706</v>
      </c>
      <c r="O3242" s="2" t="s">
        <v>7980</v>
      </c>
      <c r="P3242" s="9">
        <v>4.4000000000000004</v>
      </c>
      <c r="Q3242" s="9">
        <v>8089.09</v>
      </c>
      <c r="R3242" s="2" t="s">
        <v>16711</v>
      </c>
    </row>
    <row r="3243" spans="1:18" x14ac:dyDescent="0.25">
      <c r="A3243" s="2" t="s">
        <v>7984</v>
      </c>
      <c r="B3243" s="6">
        <v>46204</v>
      </c>
      <c r="C3243" s="8">
        <v>46209</v>
      </c>
      <c r="D3243" s="2" t="s">
        <v>7433</v>
      </c>
      <c r="E3243" s="2" t="s">
        <v>260</v>
      </c>
      <c r="F3243" s="2" t="s">
        <v>16703</v>
      </c>
      <c r="G3243" s="2" t="s">
        <v>7986</v>
      </c>
      <c r="H3243" s="2" t="s">
        <v>39</v>
      </c>
      <c r="I3243" s="9">
        <v>5503.4560000000001</v>
      </c>
      <c r="J3243" s="7">
        <v>1</v>
      </c>
      <c r="K3243" s="9">
        <v>5503.46</v>
      </c>
      <c r="L3243" s="14">
        <v>0</v>
      </c>
      <c r="M3243" s="2" t="s">
        <v>71</v>
      </c>
      <c r="N3243" s="2" t="s">
        <v>16706</v>
      </c>
      <c r="O3243" s="2" t="s">
        <v>7985</v>
      </c>
      <c r="P3243" s="9">
        <v>3.03</v>
      </c>
      <c r="Q3243" s="9">
        <v>5503.46</v>
      </c>
      <c r="R3243" s="2" t="s">
        <v>16711</v>
      </c>
    </row>
    <row r="3244" spans="1:18" x14ac:dyDescent="0.25">
      <c r="A3244" s="2" t="s">
        <v>7987</v>
      </c>
      <c r="B3244" s="6">
        <v>46204</v>
      </c>
      <c r="C3244" s="8">
        <v>46234</v>
      </c>
      <c r="D3244" s="2" t="s">
        <v>7433</v>
      </c>
      <c r="E3244" s="2" t="s">
        <v>260</v>
      </c>
      <c r="F3244" s="2" t="s">
        <v>16703</v>
      </c>
      <c r="G3244" s="2" t="s">
        <v>7988</v>
      </c>
      <c r="H3244" s="2" t="s">
        <v>39</v>
      </c>
      <c r="I3244" s="9">
        <v>8255.1839999999993</v>
      </c>
      <c r="J3244" s="7">
        <v>1</v>
      </c>
      <c r="K3244" s="9">
        <v>8255.18</v>
      </c>
      <c r="L3244" s="14">
        <v>0</v>
      </c>
      <c r="M3244" s="2" t="s">
        <v>71</v>
      </c>
      <c r="N3244" s="2" t="s">
        <v>16706</v>
      </c>
      <c r="O3244" s="2" t="s">
        <v>7985</v>
      </c>
      <c r="P3244" s="9">
        <v>4.54</v>
      </c>
      <c r="Q3244" s="9">
        <v>8255.18</v>
      </c>
      <c r="R3244" s="2" t="s">
        <v>16711</v>
      </c>
    </row>
    <row r="3245" spans="1:18" x14ac:dyDescent="0.25">
      <c r="A3245" s="2" t="s">
        <v>7989</v>
      </c>
      <c r="B3245" s="6">
        <v>46204</v>
      </c>
      <c r="C3245" s="8">
        <v>46210</v>
      </c>
      <c r="D3245" s="2" t="s">
        <v>7433</v>
      </c>
      <c r="E3245" s="2" t="s">
        <v>260</v>
      </c>
      <c r="F3245" s="2" t="s">
        <v>16703</v>
      </c>
      <c r="G3245" s="2" t="s">
        <v>7991</v>
      </c>
      <c r="H3245" s="2" t="s">
        <v>76</v>
      </c>
      <c r="I3245" s="9">
        <v>89826944</v>
      </c>
      <c r="J3245" s="7">
        <v>6.2000000000000003E-5</v>
      </c>
      <c r="K3245" s="9">
        <v>5569.27</v>
      </c>
      <c r="L3245" s="14">
        <v>0</v>
      </c>
      <c r="M3245" s="2" t="s">
        <v>71</v>
      </c>
      <c r="N3245" s="2" t="s">
        <v>16706</v>
      </c>
      <c r="O3245" s="2" t="s">
        <v>7990</v>
      </c>
      <c r="P3245" s="9">
        <v>3.06</v>
      </c>
      <c r="Q3245" s="9">
        <v>5614.18</v>
      </c>
      <c r="R3245" s="2" t="s">
        <v>16711</v>
      </c>
    </row>
    <row r="3246" spans="1:18" x14ac:dyDescent="0.25">
      <c r="A3246" s="2" t="s">
        <v>7994</v>
      </c>
      <c r="B3246" s="6">
        <v>46204</v>
      </c>
      <c r="C3246" s="8">
        <v>46211</v>
      </c>
      <c r="D3246" s="2" t="s">
        <v>7433</v>
      </c>
      <c r="E3246" s="2" t="s">
        <v>260</v>
      </c>
      <c r="F3246" s="2" t="s">
        <v>16703</v>
      </c>
      <c r="G3246" s="2" t="s">
        <v>7996</v>
      </c>
      <c r="H3246" s="2" t="s">
        <v>70</v>
      </c>
      <c r="I3246" s="9">
        <v>8608.8842100000002</v>
      </c>
      <c r="J3246" s="7">
        <v>0.65800000000000003</v>
      </c>
      <c r="K3246" s="9">
        <v>5664.65</v>
      </c>
      <c r="L3246" s="14">
        <v>0</v>
      </c>
      <c r="M3246" s="2" t="s">
        <v>71</v>
      </c>
      <c r="N3246" s="2" t="s">
        <v>16706</v>
      </c>
      <c r="O3246" s="2" t="s">
        <v>7995</v>
      </c>
      <c r="P3246" s="9">
        <v>3.12</v>
      </c>
      <c r="Q3246" s="9">
        <v>5724.91</v>
      </c>
      <c r="R3246" s="2" t="s">
        <v>16711</v>
      </c>
    </row>
    <row r="3247" spans="1:18" x14ac:dyDescent="0.25">
      <c r="A3247" s="2" t="s">
        <v>7999</v>
      </c>
      <c r="B3247" s="6">
        <v>46204</v>
      </c>
      <c r="C3247" s="8">
        <v>46212</v>
      </c>
      <c r="D3247" s="2" t="s">
        <v>7433</v>
      </c>
      <c r="E3247" s="2" t="s">
        <v>260</v>
      </c>
      <c r="F3247" s="2" t="s">
        <v>16703</v>
      </c>
      <c r="G3247" s="2" t="s">
        <v>8001</v>
      </c>
      <c r="H3247" s="2" t="s">
        <v>39</v>
      </c>
      <c r="I3247" s="9">
        <v>5835.6360000000004</v>
      </c>
      <c r="J3247" s="7">
        <v>1</v>
      </c>
      <c r="K3247" s="9">
        <v>5835.64</v>
      </c>
      <c r="L3247" s="14">
        <v>0</v>
      </c>
      <c r="M3247" s="2" t="s">
        <v>71</v>
      </c>
      <c r="N3247" s="2" t="s">
        <v>16706</v>
      </c>
      <c r="O3247" s="2" t="s">
        <v>8000</v>
      </c>
      <c r="P3247" s="9">
        <v>3.21</v>
      </c>
      <c r="Q3247" s="9">
        <v>5835.64</v>
      </c>
      <c r="R3247" s="2" t="s">
        <v>16711</v>
      </c>
    </row>
    <row r="3248" spans="1:18" x14ac:dyDescent="0.25">
      <c r="A3248" s="2" t="s">
        <v>8004</v>
      </c>
      <c r="B3248" s="6">
        <v>46204</v>
      </c>
      <c r="C3248" s="8">
        <v>46213</v>
      </c>
      <c r="D3248" s="2" t="s">
        <v>7433</v>
      </c>
      <c r="E3248" s="2" t="s">
        <v>260</v>
      </c>
      <c r="F3248" s="2" t="s">
        <v>16703</v>
      </c>
      <c r="G3248" s="2" t="s">
        <v>8006</v>
      </c>
      <c r="H3248" s="2" t="s">
        <v>76</v>
      </c>
      <c r="I3248" s="9">
        <v>95141760</v>
      </c>
      <c r="J3248" s="7">
        <v>6.2000000000000003E-5</v>
      </c>
      <c r="K3248" s="9">
        <v>5898.79</v>
      </c>
      <c r="L3248" s="14">
        <v>0</v>
      </c>
      <c r="M3248" s="2" t="s">
        <v>71</v>
      </c>
      <c r="N3248" s="2" t="s">
        <v>16706</v>
      </c>
      <c r="O3248" s="2" t="s">
        <v>8005</v>
      </c>
      <c r="P3248" s="9">
        <v>3.24</v>
      </c>
      <c r="Q3248" s="9">
        <v>5946.36</v>
      </c>
      <c r="R3248" s="2" t="s">
        <v>16711</v>
      </c>
    </row>
    <row r="3249" spans="1:18" x14ac:dyDescent="0.25">
      <c r="A3249" s="2" t="s">
        <v>8009</v>
      </c>
      <c r="B3249" s="6">
        <v>46204</v>
      </c>
      <c r="C3249" s="8">
        <v>46214</v>
      </c>
      <c r="D3249" s="2" t="s">
        <v>7433</v>
      </c>
      <c r="E3249" s="2" t="s">
        <v>260</v>
      </c>
      <c r="F3249" s="2" t="s">
        <v>16703</v>
      </c>
      <c r="G3249" s="2" t="s">
        <v>8011</v>
      </c>
      <c r="H3249" s="2" t="s">
        <v>70</v>
      </c>
      <c r="I3249" s="9">
        <v>9108.4030079999993</v>
      </c>
      <c r="J3249" s="7">
        <v>0.65800000000000003</v>
      </c>
      <c r="K3249" s="9">
        <v>5993.33</v>
      </c>
      <c r="L3249" s="14">
        <v>0</v>
      </c>
      <c r="M3249" s="2" t="s">
        <v>71</v>
      </c>
      <c r="N3249" s="2" t="s">
        <v>16706</v>
      </c>
      <c r="O3249" s="2" t="s">
        <v>8010</v>
      </c>
      <c r="P3249" s="9">
        <v>3.3</v>
      </c>
      <c r="Q3249" s="9">
        <v>6057.09</v>
      </c>
      <c r="R3249" s="2" t="s">
        <v>16711</v>
      </c>
    </row>
    <row r="3250" spans="1:18" x14ac:dyDescent="0.25">
      <c r="A3250" s="2" t="s">
        <v>8014</v>
      </c>
      <c r="B3250" s="6">
        <v>46204</v>
      </c>
      <c r="C3250" s="8">
        <v>46215</v>
      </c>
      <c r="D3250" s="2" t="s">
        <v>7433</v>
      </c>
      <c r="E3250" s="2" t="s">
        <v>260</v>
      </c>
      <c r="F3250" s="2" t="s">
        <v>16703</v>
      </c>
      <c r="G3250" s="2" t="s">
        <v>8016</v>
      </c>
      <c r="H3250" s="2" t="s">
        <v>39</v>
      </c>
      <c r="I3250" s="9">
        <v>6167.8159999999998</v>
      </c>
      <c r="J3250" s="7">
        <v>1</v>
      </c>
      <c r="K3250" s="9">
        <v>6167.82</v>
      </c>
      <c r="L3250" s="14">
        <v>0</v>
      </c>
      <c r="M3250" s="2" t="s">
        <v>71</v>
      </c>
      <c r="N3250" s="2" t="s">
        <v>16706</v>
      </c>
      <c r="O3250" s="2" t="s">
        <v>8015</v>
      </c>
      <c r="P3250" s="9">
        <v>3.39</v>
      </c>
      <c r="Q3250" s="9">
        <v>6167.82</v>
      </c>
      <c r="R3250" s="2" t="s">
        <v>16711</v>
      </c>
    </row>
    <row r="3251" spans="1:18" x14ac:dyDescent="0.25">
      <c r="A3251" s="2" t="s">
        <v>8019</v>
      </c>
      <c r="B3251" s="6">
        <v>46204</v>
      </c>
      <c r="C3251" s="8">
        <v>46216</v>
      </c>
      <c r="D3251" s="2" t="s">
        <v>7433</v>
      </c>
      <c r="E3251" s="2" t="s">
        <v>260</v>
      </c>
      <c r="F3251" s="2" t="s">
        <v>16703</v>
      </c>
      <c r="G3251" s="2" t="s">
        <v>8021</v>
      </c>
      <c r="H3251" s="2" t="s">
        <v>76</v>
      </c>
      <c r="I3251" s="9">
        <v>100456640</v>
      </c>
      <c r="J3251" s="7">
        <v>6.2000000000000003E-5</v>
      </c>
      <c r="K3251" s="9">
        <v>6228.31</v>
      </c>
      <c r="L3251" s="14">
        <v>0</v>
      </c>
      <c r="M3251" s="2" t="s">
        <v>71</v>
      </c>
      <c r="N3251" s="2" t="s">
        <v>16706</v>
      </c>
      <c r="O3251" s="2" t="s">
        <v>8020</v>
      </c>
      <c r="P3251" s="9">
        <v>3.43</v>
      </c>
      <c r="Q3251" s="9">
        <v>6278.54</v>
      </c>
      <c r="R3251" s="2" t="s">
        <v>16711</v>
      </c>
    </row>
    <row r="3252" spans="1:18" x14ac:dyDescent="0.25">
      <c r="A3252" s="2" t="s">
        <v>8024</v>
      </c>
      <c r="B3252" s="6">
        <v>46204</v>
      </c>
      <c r="C3252" s="8">
        <v>46217</v>
      </c>
      <c r="D3252" s="2" t="s">
        <v>7433</v>
      </c>
      <c r="E3252" s="2" t="s">
        <v>260</v>
      </c>
      <c r="F3252" s="2" t="s">
        <v>16703</v>
      </c>
      <c r="G3252" s="2" t="s">
        <v>8026</v>
      </c>
      <c r="H3252" s="2" t="s">
        <v>70</v>
      </c>
      <c r="I3252" s="9">
        <v>9607.9218039999996</v>
      </c>
      <c r="J3252" s="7">
        <v>0.65800000000000003</v>
      </c>
      <c r="K3252" s="9">
        <v>6322.01</v>
      </c>
      <c r="L3252" s="14">
        <v>0</v>
      </c>
      <c r="M3252" s="2" t="s">
        <v>71</v>
      </c>
      <c r="N3252" s="2" t="s">
        <v>16706</v>
      </c>
      <c r="O3252" s="2" t="s">
        <v>8025</v>
      </c>
      <c r="P3252" s="9">
        <v>3.48</v>
      </c>
      <c r="Q3252" s="9">
        <v>6389.27</v>
      </c>
      <c r="R3252" s="2" t="s">
        <v>16711</v>
      </c>
    </row>
    <row r="3253" spans="1:18" x14ac:dyDescent="0.25">
      <c r="A3253" s="2" t="s">
        <v>8029</v>
      </c>
      <c r="B3253" s="6">
        <v>46174</v>
      </c>
      <c r="C3253" s="8">
        <v>46188</v>
      </c>
      <c r="D3253" s="2" t="s">
        <v>7433</v>
      </c>
      <c r="E3253" s="2" t="s">
        <v>260</v>
      </c>
      <c r="F3253" s="2" t="s">
        <v>16703</v>
      </c>
      <c r="G3253" s="2" t="s">
        <v>8031</v>
      </c>
      <c r="H3253" s="2" t="s">
        <v>39</v>
      </c>
      <c r="I3253" s="9">
        <v>6499.9920000000002</v>
      </c>
      <c r="J3253" s="7">
        <v>1</v>
      </c>
      <c r="K3253" s="9">
        <v>6499.99</v>
      </c>
      <c r="L3253" s="14">
        <v>0</v>
      </c>
      <c r="M3253" s="2" t="s">
        <v>71</v>
      </c>
      <c r="N3253" s="2" t="s">
        <v>16704</v>
      </c>
      <c r="O3253" s="2" t="s">
        <v>8030</v>
      </c>
      <c r="P3253" s="9">
        <v>3.57</v>
      </c>
      <c r="Q3253" s="9">
        <v>6499.99</v>
      </c>
      <c r="R3253" s="2" t="s">
        <v>16710</v>
      </c>
    </row>
    <row r="3254" spans="1:18" x14ac:dyDescent="0.25">
      <c r="A3254" s="2" t="s">
        <v>8032</v>
      </c>
      <c r="B3254" s="6">
        <v>46204</v>
      </c>
      <c r="C3254" s="8">
        <v>46213</v>
      </c>
      <c r="D3254" s="2" t="s">
        <v>7433</v>
      </c>
      <c r="E3254" s="2" t="s">
        <v>260</v>
      </c>
      <c r="F3254" s="2" t="s">
        <v>16703</v>
      </c>
      <c r="G3254" s="2" t="s">
        <v>8033</v>
      </c>
      <c r="H3254" s="2" t="s">
        <v>39</v>
      </c>
      <c r="I3254" s="9">
        <v>9749.9879999999994</v>
      </c>
      <c r="J3254" s="7">
        <v>1</v>
      </c>
      <c r="K3254" s="9">
        <v>9749.99</v>
      </c>
      <c r="L3254" s="14">
        <v>0</v>
      </c>
      <c r="M3254" s="2" t="s">
        <v>71</v>
      </c>
      <c r="N3254" s="2" t="s">
        <v>16706</v>
      </c>
      <c r="O3254" s="2" t="s">
        <v>8030</v>
      </c>
      <c r="P3254" s="9">
        <v>5.36</v>
      </c>
      <c r="Q3254" s="9">
        <v>9749.99</v>
      </c>
      <c r="R3254" s="2" t="s">
        <v>16711</v>
      </c>
    </row>
    <row r="3255" spans="1:18" x14ac:dyDescent="0.25">
      <c r="A3255" s="2" t="s">
        <v>8034</v>
      </c>
      <c r="B3255" s="6">
        <v>46174</v>
      </c>
      <c r="C3255" s="8">
        <v>46189</v>
      </c>
      <c r="D3255" s="2" t="s">
        <v>7433</v>
      </c>
      <c r="E3255" s="2" t="s">
        <v>260</v>
      </c>
      <c r="F3255" s="2" t="s">
        <v>16703</v>
      </c>
      <c r="G3255" s="2" t="s">
        <v>8036</v>
      </c>
      <c r="H3255" s="2" t="s">
        <v>76</v>
      </c>
      <c r="I3255" s="9">
        <v>105771520</v>
      </c>
      <c r="J3255" s="7">
        <v>6.2500000000000001E-5</v>
      </c>
      <c r="K3255" s="9">
        <v>6610.72</v>
      </c>
      <c r="L3255" s="14">
        <v>0</v>
      </c>
      <c r="M3255" s="2" t="s">
        <v>71</v>
      </c>
      <c r="N3255" s="2" t="s">
        <v>16704</v>
      </c>
      <c r="O3255" s="2" t="s">
        <v>8035</v>
      </c>
      <c r="P3255" s="9">
        <v>3.64</v>
      </c>
      <c r="Q3255" s="9">
        <v>6610.72</v>
      </c>
      <c r="R3255" s="2" t="s">
        <v>16710</v>
      </c>
    </row>
    <row r="3256" spans="1:18" x14ac:dyDescent="0.25">
      <c r="A3256" s="2" t="s">
        <v>8037</v>
      </c>
      <c r="B3256" s="6">
        <v>46204</v>
      </c>
      <c r="C3256" s="8">
        <v>46214</v>
      </c>
      <c r="D3256" s="2" t="s">
        <v>7433</v>
      </c>
      <c r="E3256" s="2" t="s">
        <v>260</v>
      </c>
      <c r="F3256" s="2" t="s">
        <v>16703</v>
      </c>
      <c r="G3256" s="2" t="s">
        <v>8038</v>
      </c>
      <c r="H3256" s="2" t="s">
        <v>76</v>
      </c>
      <c r="I3256" s="9">
        <v>158657280</v>
      </c>
      <c r="J3256" s="7">
        <v>6.2000000000000003E-5</v>
      </c>
      <c r="K3256" s="9">
        <v>9836.75</v>
      </c>
      <c r="L3256" s="14">
        <v>0</v>
      </c>
      <c r="M3256" s="2" t="s">
        <v>71</v>
      </c>
      <c r="N3256" s="2" t="s">
        <v>16706</v>
      </c>
      <c r="O3256" s="2" t="s">
        <v>8035</v>
      </c>
      <c r="P3256" s="9">
        <v>5.41</v>
      </c>
      <c r="Q3256" s="9">
        <v>9916.08</v>
      </c>
      <c r="R3256" s="2" t="s">
        <v>16711</v>
      </c>
    </row>
    <row r="3257" spans="1:18" x14ac:dyDescent="0.25">
      <c r="A3257" s="2" t="s">
        <v>8039</v>
      </c>
      <c r="B3257" s="6">
        <v>46174</v>
      </c>
      <c r="C3257" s="8">
        <v>46190</v>
      </c>
      <c r="D3257" s="2" t="s">
        <v>7433</v>
      </c>
      <c r="E3257" s="2" t="s">
        <v>260</v>
      </c>
      <c r="F3257" s="2" t="s">
        <v>16703</v>
      </c>
      <c r="G3257" s="2" t="s">
        <v>8041</v>
      </c>
      <c r="H3257" s="2" t="s">
        <v>70</v>
      </c>
      <c r="I3257" s="9">
        <v>-25268.601503999998</v>
      </c>
      <c r="J3257" s="7">
        <v>0.66500000000000004</v>
      </c>
      <c r="K3257" s="9">
        <v>-16803.62</v>
      </c>
      <c r="L3257" s="14">
        <v>0</v>
      </c>
      <c r="M3257" s="2" t="s">
        <v>71</v>
      </c>
      <c r="N3257" s="2" t="s">
        <v>16704</v>
      </c>
      <c r="O3257" s="2" t="s">
        <v>8040</v>
      </c>
      <c r="P3257" s="9">
        <v>0</v>
      </c>
      <c r="Q3257" s="9">
        <v>-16803.62</v>
      </c>
      <c r="R3257" s="2" t="s">
        <v>16710</v>
      </c>
    </row>
    <row r="3258" spans="1:18" x14ac:dyDescent="0.25">
      <c r="A3258" s="2" t="s">
        <v>8042</v>
      </c>
      <c r="B3258" s="6">
        <v>46174</v>
      </c>
      <c r="C3258" s="8">
        <v>46191</v>
      </c>
      <c r="D3258" s="2" t="s">
        <v>7433</v>
      </c>
      <c r="E3258" s="2" t="s">
        <v>260</v>
      </c>
      <c r="F3258" s="2" t="s">
        <v>16703</v>
      </c>
      <c r="G3258" s="2" t="s">
        <v>8044</v>
      </c>
      <c r="H3258" s="2" t="s">
        <v>39</v>
      </c>
      <c r="I3258" s="9">
        <v>6832.1719999999996</v>
      </c>
      <c r="J3258" s="7">
        <v>1</v>
      </c>
      <c r="K3258" s="9">
        <v>6832.17</v>
      </c>
      <c r="L3258" s="14">
        <v>0</v>
      </c>
      <c r="M3258" s="2" t="s">
        <v>71</v>
      </c>
      <c r="N3258" s="2" t="s">
        <v>16704</v>
      </c>
      <c r="O3258" s="2" t="s">
        <v>8043</v>
      </c>
      <c r="P3258" s="9">
        <v>3.76</v>
      </c>
      <c r="Q3258" s="9">
        <v>6832.17</v>
      </c>
      <c r="R3258" s="2" t="s">
        <v>16710</v>
      </c>
    </row>
    <row r="3259" spans="1:18" x14ac:dyDescent="0.25">
      <c r="A3259" s="2" t="s">
        <v>8045</v>
      </c>
      <c r="B3259" s="6">
        <v>46204</v>
      </c>
      <c r="C3259" s="8">
        <v>46216</v>
      </c>
      <c r="D3259" s="2" t="s">
        <v>7433</v>
      </c>
      <c r="E3259" s="2" t="s">
        <v>260</v>
      </c>
      <c r="F3259" s="2" t="s">
        <v>16703</v>
      </c>
      <c r="G3259" s="2" t="s">
        <v>8046</v>
      </c>
      <c r="H3259" s="2" t="s">
        <v>39</v>
      </c>
      <c r="I3259" s="9">
        <v>10248.258</v>
      </c>
      <c r="J3259" s="7">
        <v>1</v>
      </c>
      <c r="K3259" s="9">
        <v>10248.26</v>
      </c>
      <c r="L3259" s="14">
        <v>0</v>
      </c>
      <c r="M3259" s="2" t="s">
        <v>71</v>
      </c>
      <c r="N3259" s="2" t="s">
        <v>16706</v>
      </c>
      <c r="O3259" s="2" t="s">
        <v>8043</v>
      </c>
      <c r="P3259" s="9">
        <v>5.64</v>
      </c>
      <c r="Q3259" s="9">
        <v>10248.26</v>
      </c>
      <c r="R3259" s="2" t="s">
        <v>16711</v>
      </c>
    </row>
    <row r="3260" spans="1:18" x14ac:dyDescent="0.25">
      <c r="A3260" s="2" t="s">
        <v>8047</v>
      </c>
      <c r="B3260" s="6">
        <v>46174</v>
      </c>
      <c r="C3260" s="8">
        <v>46192</v>
      </c>
      <c r="D3260" s="2" t="s">
        <v>7433</v>
      </c>
      <c r="E3260" s="2" t="s">
        <v>260</v>
      </c>
      <c r="F3260" s="2" t="s">
        <v>16703</v>
      </c>
      <c r="G3260" s="2" t="s">
        <v>8049</v>
      </c>
      <c r="H3260" s="2" t="s">
        <v>76</v>
      </c>
      <c r="I3260" s="9">
        <v>111086400</v>
      </c>
      <c r="J3260" s="7">
        <v>6.2500000000000001E-5</v>
      </c>
      <c r="K3260" s="9">
        <v>6942.9</v>
      </c>
      <c r="L3260" s="14">
        <v>0</v>
      </c>
      <c r="M3260" s="2" t="s">
        <v>71</v>
      </c>
      <c r="N3260" s="2" t="s">
        <v>16704</v>
      </c>
      <c r="O3260" s="2" t="s">
        <v>8048</v>
      </c>
      <c r="P3260" s="9">
        <v>3.82</v>
      </c>
      <c r="Q3260" s="9">
        <v>6942.9</v>
      </c>
      <c r="R3260" s="2" t="s">
        <v>16710</v>
      </c>
    </row>
    <row r="3261" spans="1:18" x14ac:dyDescent="0.25">
      <c r="A3261" s="2" t="s">
        <v>8050</v>
      </c>
      <c r="B3261" s="6">
        <v>46204</v>
      </c>
      <c r="C3261" s="8">
        <v>46217</v>
      </c>
      <c r="D3261" s="2" t="s">
        <v>7433</v>
      </c>
      <c r="E3261" s="2" t="s">
        <v>260</v>
      </c>
      <c r="F3261" s="2" t="s">
        <v>16703</v>
      </c>
      <c r="G3261" s="2" t="s">
        <v>8051</v>
      </c>
      <c r="H3261" s="2" t="s">
        <v>76</v>
      </c>
      <c r="I3261" s="9">
        <v>166629600</v>
      </c>
      <c r="J3261" s="7">
        <v>6.2000000000000003E-5</v>
      </c>
      <c r="K3261" s="9">
        <v>10331.040000000001</v>
      </c>
      <c r="L3261" s="14">
        <v>0</v>
      </c>
      <c r="M3261" s="2" t="s">
        <v>71</v>
      </c>
      <c r="N3261" s="2" t="s">
        <v>16706</v>
      </c>
      <c r="O3261" s="2" t="s">
        <v>8048</v>
      </c>
      <c r="P3261" s="9">
        <v>5.68</v>
      </c>
      <c r="Q3261" s="9">
        <v>10414.35</v>
      </c>
      <c r="R3261" s="2" t="s">
        <v>16711</v>
      </c>
    </row>
    <row r="3262" spans="1:18" x14ac:dyDescent="0.25">
      <c r="A3262" s="2" t="s">
        <v>8052</v>
      </c>
      <c r="B3262" s="6">
        <v>46174</v>
      </c>
      <c r="C3262" s="8">
        <v>46193</v>
      </c>
      <c r="D3262" s="2" t="s">
        <v>7433</v>
      </c>
      <c r="E3262" s="2" t="s">
        <v>260</v>
      </c>
      <c r="F3262" s="2" t="s">
        <v>16703</v>
      </c>
      <c r="G3262" s="2" t="s">
        <v>8054</v>
      </c>
      <c r="H3262" s="2" t="s">
        <v>70</v>
      </c>
      <c r="I3262" s="9">
        <v>10606.953384</v>
      </c>
      <c r="J3262" s="7">
        <v>0.66500000000000004</v>
      </c>
      <c r="K3262" s="9">
        <v>7053.62</v>
      </c>
      <c r="L3262" s="14">
        <v>0</v>
      </c>
      <c r="M3262" s="2" t="s">
        <v>71</v>
      </c>
      <c r="N3262" s="2" t="s">
        <v>16704</v>
      </c>
      <c r="O3262" s="2" t="s">
        <v>8053</v>
      </c>
      <c r="P3262" s="9">
        <v>3.88</v>
      </c>
      <c r="Q3262" s="9">
        <v>7053.62</v>
      </c>
      <c r="R3262" s="2" t="s">
        <v>16710</v>
      </c>
    </row>
    <row r="3263" spans="1:18" x14ac:dyDescent="0.25">
      <c r="A3263" s="2" t="s">
        <v>8055</v>
      </c>
      <c r="B3263" s="6">
        <v>46204</v>
      </c>
      <c r="C3263" s="8">
        <v>46218</v>
      </c>
      <c r="D3263" s="2" t="s">
        <v>7433</v>
      </c>
      <c r="E3263" s="2" t="s">
        <v>260</v>
      </c>
      <c r="F3263" s="2" t="s">
        <v>16703</v>
      </c>
      <c r="G3263" s="2" t="s">
        <v>8056</v>
      </c>
      <c r="H3263" s="2" t="s">
        <v>70</v>
      </c>
      <c r="I3263" s="9">
        <v>15910.430075</v>
      </c>
      <c r="J3263" s="7">
        <v>0.65800000000000003</v>
      </c>
      <c r="K3263" s="9">
        <v>10469.06</v>
      </c>
      <c r="L3263" s="14">
        <v>0</v>
      </c>
      <c r="M3263" s="2" t="s">
        <v>71</v>
      </c>
      <c r="N3263" s="2" t="s">
        <v>16706</v>
      </c>
      <c r="O3263" s="2" t="s">
        <v>8053</v>
      </c>
      <c r="P3263" s="9">
        <v>5.76</v>
      </c>
      <c r="Q3263" s="9">
        <v>10580.44</v>
      </c>
      <c r="R3263" s="2" t="s">
        <v>16711</v>
      </c>
    </row>
    <row r="3264" spans="1:18" x14ac:dyDescent="0.25">
      <c r="A3264" s="2" t="s">
        <v>8057</v>
      </c>
      <c r="B3264" s="6">
        <v>46174</v>
      </c>
      <c r="C3264" s="8">
        <v>46194</v>
      </c>
      <c r="D3264" s="2" t="s">
        <v>7433</v>
      </c>
      <c r="E3264" s="2" t="s">
        <v>260</v>
      </c>
      <c r="F3264" s="2" t="s">
        <v>16703</v>
      </c>
      <c r="G3264" s="2" t="s">
        <v>8059</v>
      </c>
      <c r="H3264" s="2" t="s">
        <v>39</v>
      </c>
      <c r="I3264" s="9">
        <v>7164.3519999999999</v>
      </c>
      <c r="J3264" s="7">
        <v>1</v>
      </c>
      <c r="K3264" s="9">
        <v>7164.35</v>
      </c>
      <c r="L3264" s="14">
        <v>0</v>
      </c>
      <c r="M3264" s="2" t="s">
        <v>71</v>
      </c>
      <c r="N3264" s="2" t="s">
        <v>16704</v>
      </c>
      <c r="O3264" s="2" t="s">
        <v>8058</v>
      </c>
      <c r="P3264" s="9">
        <v>3.94</v>
      </c>
      <c r="Q3264" s="9">
        <v>7164.35</v>
      </c>
      <c r="R3264" s="2" t="s">
        <v>16710</v>
      </c>
    </row>
    <row r="3265" spans="1:18" x14ac:dyDescent="0.25">
      <c r="A3265" s="2" t="s">
        <v>8060</v>
      </c>
      <c r="B3265" s="6">
        <v>46204</v>
      </c>
      <c r="C3265" s="8">
        <v>46219</v>
      </c>
      <c r="D3265" s="2" t="s">
        <v>7433</v>
      </c>
      <c r="E3265" s="2" t="s">
        <v>260</v>
      </c>
      <c r="F3265" s="2" t="s">
        <v>16703</v>
      </c>
      <c r="G3265" s="2" t="s">
        <v>8061</v>
      </c>
      <c r="H3265" s="2" t="s">
        <v>39</v>
      </c>
      <c r="I3265" s="9">
        <v>10746.528</v>
      </c>
      <c r="J3265" s="7">
        <v>1</v>
      </c>
      <c r="K3265" s="9">
        <v>10746.53</v>
      </c>
      <c r="L3265" s="14">
        <v>0</v>
      </c>
      <c r="M3265" s="2" t="s">
        <v>71</v>
      </c>
      <c r="N3265" s="2" t="s">
        <v>16706</v>
      </c>
      <c r="O3265" s="2" t="s">
        <v>8058</v>
      </c>
      <c r="P3265" s="9">
        <v>5.91</v>
      </c>
      <c r="Q3265" s="9">
        <v>10746.53</v>
      </c>
      <c r="R3265" s="2" t="s">
        <v>16711</v>
      </c>
    </row>
    <row r="3266" spans="1:18" x14ac:dyDescent="0.25">
      <c r="A3266" s="2" t="s">
        <v>8062</v>
      </c>
      <c r="B3266" s="6">
        <v>46174</v>
      </c>
      <c r="C3266" s="8">
        <v>46195</v>
      </c>
      <c r="D3266" s="2" t="s">
        <v>7433</v>
      </c>
      <c r="E3266" s="2" t="s">
        <v>260</v>
      </c>
      <c r="F3266" s="2" t="s">
        <v>16703</v>
      </c>
      <c r="G3266" s="2" t="s">
        <v>8064</v>
      </c>
      <c r="H3266" s="2" t="s">
        <v>76</v>
      </c>
      <c r="I3266" s="9">
        <v>116401280</v>
      </c>
      <c r="J3266" s="7">
        <v>6.2500000000000001E-5</v>
      </c>
      <c r="K3266" s="9">
        <v>7275.08</v>
      </c>
      <c r="L3266" s="14">
        <v>0</v>
      </c>
      <c r="M3266" s="2" t="s">
        <v>71</v>
      </c>
      <c r="N3266" s="2" t="s">
        <v>16704</v>
      </c>
      <c r="O3266" s="2" t="s">
        <v>8063</v>
      </c>
      <c r="P3266" s="9">
        <v>4</v>
      </c>
      <c r="Q3266" s="9">
        <v>7275.08</v>
      </c>
      <c r="R3266" s="2" t="s">
        <v>16710</v>
      </c>
    </row>
    <row r="3267" spans="1:18" x14ac:dyDescent="0.25">
      <c r="A3267" s="2" t="s">
        <v>8065</v>
      </c>
      <c r="B3267" s="6">
        <v>46204</v>
      </c>
      <c r="C3267" s="8">
        <v>46220</v>
      </c>
      <c r="D3267" s="2" t="s">
        <v>7433</v>
      </c>
      <c r="E3267" s="2" t="s">
        <v>260</v>
      </c>
      <c r="F3267" s="2" t="s">
        <v>16703</v>
      </c>
      <c r="G3267" s="2" t="s">
        <v>8066</v>
      </c>
      <c r="H3267" s="2" t="s">
        <v>76</v>
      </c>
      <c r="I3267" s="9">
        <v>174601920</v>
      </c>
      <c r="J3267" s="7">
        <v>6.2000000000000003E-5</v>
      </c>
      <c r="K3267" s="9">
        <v>10825.32</v>
      </c>
      <c r="L3267" s="14">
        <v>0</v>
      </c>
      <c r="M3267" s="2" t="s">
        <v>71</v>
      </c>
      <c r="N3267" s="2" t="s">
        <v>16706</v>
      </c>
      <c r="O3267" s="2" t="s">
        <v>8063</v>
      </c>
      <c r="P3267" s="9">
        <v>5.95</v>
      </c>
      <c r="Q3267" s="9">
        <v>10912.62</v>
      </c>
      <c r="R3267" s="2" t="s">
        <v>16711</v>
      </c>
    </row>
    <row r="3268" spans="1:18" x14ac:dyDescent="0.25">
      <c r="A3268" s="2" t="s">
        <v>8067</v>
      </c>
      <c r="B3268" s="6">
        <v>46174</v>
      </c>
      <c r="C3268" s="8">
        <v>46196</v>
      </c>
      <c r="D3268" s="2" t="s">
        <v>7433</v>
      </c>
      <c r="E3268" s="2" t="s">
        <v>260</v>
      </c>
      <c r="F3268" s="2" t="s">
        <v>16703</v>
      </c>
      <c r="G3268" s="2" t="s">
        <v>8069</v>
      </c>
      <c r="H3268" s="2" t="s">
        <v>70</v>
      </c>
      <c r="I3268" s="9">
        <v>11106.472180000001</v>
      </c>
      <c r="J3268" s="7">
        <v>0.66500000000000004</v>
      </c>
      <c r="K3268" s="9">
        <v>7385.8</v>
      </c>
      <c r="L3268" s="14">
        <v>0</v>
      </c>
      <c r="M3268" s="2" t="s">
        <v>71</v>
      </c>
      <c r="N3268" s="2" t="s">
        <v>16704</v>
      </c>
      <c r="O3268" s="2" t="s">
        <v>8068</v>
      </c>
      <c r="P3268" s="9">
        <v>4.0599999999999996</v>
      </c>
      <c r="Q3268" s="9">
        <v>7385.8</v>
      </c>
      <c r="R3268" s="2" t="s">
        <v>16710</v>
      </c>
    </row>
    <row r="3269" spans="1:18" x14ac:dyDescent="0.25">
      <c r="A3269" s="2" t="s">
        <v>8070</v>
      </c>
      <c r="B3269" s="6">
        <v>46204</v>
      </c>
      <c r="C3269" s="8">
        <v>46221</v>
      </c>
      <c r="D3269" s="2" t="s">
        <v>7433</v>
      </c>
      <c r="E3269" s="2" t="s">
        <v>260</v>
      </c>
      <c r="F3269" s="2" t="s">
        <v>16703</v>
      </c>
      <c r="G3269" s="2" t="s">
        <v>8071</v>
      </c>
      <c r="H3269" s="2" t="s">
        <v>70</v>
      </c>
      <c r="I3269" s="9">
        <v>16659.708271</v>
      </c>
      <c r="J3269" s="7">
        <v>0.65800000000000003</v>
      </c>
      <c r="K3269" s="9">
        <v>10962.09</v>
      </c>
      <c r="L3269" s="14">
        <v>0</v>
      </c>
      <c r="M3269" s="2" t="s">
        <v>71</v>
      </c>
      <c r="N3269" s="2" t="s">
        <v>16706</v>
      </c>
      <c r="O3269" s="2" t="s">
        <v>8068</v>
      </c>
      <c r="P3269" s="9">
        <v>6.03</v>
      </c>
      <c r="Q3269" s="9">
        <v>11078.71</v>
      </c>
      <c r="R3269" s="2" t="s">
        <v>16711</v>
      </c>
    </row>
    <row r="3270" spans="1:18" x14ac:dyDescent="0.25">
      <c r="A3270" s="2" t="s">
        <v>8072</v>
      </c>
      <c r="B3270" s="6">
        <v>46174</v>
      </c>
      <c r="C3270" s="8">
        <v>46197</v>
      </c>
      <c r="D3270" s="2" t="s">
        <v>7433</v>
      </c>
      <c r="E3270" s="2" t="s">
        <v>260</v>
      </c>
      <c r="F3270" s="2" t="s">
        <v>16703</v>
      </c>
      <c r="G3270" s="2" t="s">
        <v>8074</v>
      </c>
      <c r="H3270" s="2" t="s">
        <v>39</v>
      </c>
      <c r="I3270" s="9">
        <v>7496.5320000000002</v>
      </c>
      <c r="J3270" s="7">
        <v>1</v>
      </c>
      <c r="K3270" s="9">
        <v>7496.53</v>
      </c>
      <c r="L3270" s="14">
        <v>0</v>
      </c>
      <c r="M3270" s="2" t="s">
        <v>71</v>
      </c>
      <c r="N3270" s="2" t="s">
        <v>16704</v>
      </c>
      <c r="O3270" s="2" t="s">
        <v>8073</v>
      </c>
      <c r="P3270" s="9">
        <v>4.12</v>
      </c>
      <c r="Q3270" s="9">
        <v>7496.53</v>
      </c>
      <c r="R3270" s="2" t="s">
        <v>16710</v>
      </c>
    </row>
    <row r="3271" spans="1:18" x14ac:dyDescent="0.25">
      <c r="A3271" s="2" t="s">
        <v>8075</v>
      </c>
      <c r="B3271" s="6">
        <v>46204</v>
      </c>
      <c r="C3271" s="8">
        <v>46222</v>
      </c>
      <c r="D3271" s="2" t="s">
        <v>7433</v>
      </c>
      <c r="E3271" s="2" t="s">
        <v>260</v>
      </c>
      <c r="F3271" s="2" t="s">
        <v>16703</v>
      </c>
      <c r="G3271" s="2" t="s">
        <v>8076</v>
      </c>
      <c r="H3271" s="2" t="s">
        <v>39</v>
      </c>
      <c r="I3271" s="9">
        <v>11244.798000000001</v>
      </c>
      <c r="J3271" s="7">
        <v>1</v>
      </c>
      <c r="K3271" s="9">
        <v>11244.8</v>
      </c>
      <c r="L3271" s="14">
        <v>0</v>
      </c>
      <c r="M3271" s="2" t="s">
        <v>71</v>
      </c>
      <c r="N3271" s="2" t="s">
        <v>16706</v>
      </c>
      <c r="O3271" s="2" t="s">
        <v>8073</v>
      </c>
      <c r="P3271" s="9">
        <v>6.18</v>
      </c>
      <c r="Q3271" s="9">
        <v>11244.8</v>
      </c>
      <c r="R3271" s="2" t="s">
        <v>16711</v>
      </c>
    </row>
    <row r="3272" spans="1:18" x14ac:dyDescent="0.25">
      <c r="A3272" s="2" t="s">
        <v>8077</v>
      </c>
      <c r="B3272" s="6">
        <v>46174</v>
      </c>
      <c r="C3272" s="8">
        <v>46198</v>
      </c>
      <c r="D3272" s="2" t="s">
        <v>7433</v>
      </c>
      <c r="E3272" s="2" t="s">
        <v>260</v>
      </c>
      <c r="F3272" s="2" t="s">
        <v>16703</v>
      </c>
      <c r="G3272" s="2" t="s">
        <v>8079</v>
      </c>
      <c r="H3272" s="2" t="s">
        <v>76</v>
      </c>
      <c r="I3272" s="9">
        <v>121716096</v>
      </c>
      <c r="J3272" s="7">
        <v>6.2500000000000001E-5</v>
      </c>
      <c r="K3272" s="9">
        <v>7607.26</v>
      </c>
      <c r="L3272" s="14">
        <v>0</v>
      </c>
      <c r="M3272" s="2" t="s">
        <v>71</v>
      </c>
      <c r="N3272" s="2" t="s">
        <v>16704</v>
      </c>
      <c r="O3272" s="2" t="s">
        <v>8078</v>
      </c>
      <c r="P3272" s="9">
        <v>4.18</v>
      </c>
      <c r="Q3272" s="9">
        <v>7607.26</v>
      </c>
      <c r="R3272" s="2" t="s">
        <v>16710</v>
      </c>
    </row>
    <row r="3273" spans="1:18" x14ac:dyDescent="0.25">
      <c r="A3273" s="2" t="s">
        <v>8080</v>
      </c>
      <c r="B3273" s="6">
        <v>46204</v>
      </c>
      <c r="C3273" s="8">
        <v>46223</v>
      </c>
      <c r="D3273" s="2" t="s">
        <v>7433</v>
      </c>
      <c r="E3273" s="2" t="s">
        <v>260</v>
      </c>
      <c r="F3273" s="2" t="s">
        <v>16703</v>
      </c>
      <c r="G3273" s="2" t="s">
        <v>8081</v>
      </c>
      <c r="H3273" s="2" t="s">
        <v>76</v>
      </c>
      <c r="I3273" s="9">
        <v>182574144</v>
      </c>
      <c r="J3273" s="7">
        <v>6.2000000000000003E-5</v>
      </c>
      <c r="K3273" s="9">
        <v>11319.6</v>
      </c>
      <c r="L3273" s="14">
        <v>0</v>
      </c>
      <c r="M3273" s="2" t="s">
        <v>71</v>
      </c>
      <c r="N3273" s="2" t="s">
        <v>16706</v>
      </c>
      <c r="O3273" s="2" t="s">
        <v>8078</v>
      </c>
      <c r="P3273" s="9">
        <v>6.23</v>
      </c>
      <c r="Q3273" s="9">
        <v>11410.88</v>
      </c>
      <c r="R3273" s="2" t="s">
        <v>16711</v>
      </c>
    </row>
    <row r="3274" spans="1:18" x14ac:dyDescent="0.25">
      <c r="A3274" s="2" t="s">
        <v>8082</v>
      </c>
      <c r="B3274" s="6">
        <v>46174</v>
      </c>
      <c r="C3274" s="8">
        <v>46199</v>
      </c>
      <c r="D3274" s="2" t="s">
        <v>7433</v>
      </c>
      <c r="E3274" s="2" t="s">
        <v>260</v>
      </c>
      <c r="F3274" s="2" t="s">
        <v>16703</v>
      </c>
      <c r="G3274" s="2" t="s">
        <v>8084</v>
      </c>
      <c r="H3274" s="2" t="s">
        <v>70</v>
      </c>
      <c r="I3274" s="9">
        <v>11605.990978</v>
      </c>
      <c r="J3274" s="7">
        <v>0.66500000000000004</v>
      </c>
      <c r="K3274" s="9">
        <v>7717.98</v>
      </c>
      <c r="L3274" s="14">
        <v>0</v>
      </c>
      <c r="M3274" s="2" t="s">
        <v>71</v>
      </c>
      <c r="N3274" s="2" t="s">
        <v>16704</v>
      </c>
      <c r="O3274" s="2" t="s">
        <v>8083</v>
      </c>
      <c r="P3274" s="9">
        <v>4.24</v>
      </c>
      <c r="Q3274" s="9">
        <v>7717.98</v>
      </c>
      <c r="R3274" s="2" t="s">
        <v>16710</v>
      </c>
    </row>
    <row r="3275" spans="1:18" x14ac:dyDescent="0.25">
      <c r="A3275" s="2" t="s">
        <v>8085</v>
      </c>
      <c r="B3275" s="6">
        <v>46204</v>
      </c>
      <c r="C3275" s="8">
        <v>46224</v>
      </c>
      <c r="D3275" s="2" t="s">
        <v>7433</v>
      </c>
      <c r="E3275" s="2" t="s">
        <v>260</v>
      </c>
      <c r="F3275" s="2" t="s">
        <v>16703</v>
      </c>
      <c r="G3275" s="2" t="s">
        <v>8086</v>
      </c>
      <c r="H3275" s="2" t="s">
        <v>70</v>
      </c>
      <c r="I3275" s="9">
        <v>17408.986465999998</v>
      </c>
      <c r="J3275" s="7">
        <v>0.65800000000000003</v>
      </c>
      <c r="K3275" s="9">
        <v>11455.11</v>
      </c>
      <c r="L3275" s="14">
        <v>0</v>
      </c>
      <c r="M3275" s="2" t="s">
        <v>71</v>
      </c>
      <c r="N3275" s="2" t="s">
        <v>16706</v>
      </c>
      <c r="O3275" s="2" t="s">
        <v>8083</v>
      </c>
      <c r="P3275" s="9">
        <v>6.3</v>
      </c>
      <c r="Q3275" s="9">
        <v>11576.98</v>
      </c>
      <c r="R3275" s="2" t="s">
        <v>16711</v>
      </c>
    </row>
    <row r="3276" spans="1:18" x14ac:dyDescent="0.25">
      <c r="A3276" s="2" t="s">
        <v>8087</v>
      </c>
      <c r="B3276" s="6">
        <v>46174</v>
      </c>
      <c r="C3276" s="8">
        <v>46200</v>
      </c>
      <c r="D3276" s="2" t="s">
        <v>7433</v>
      </c>
      <c r="E3276" s="2" t="s">
        <v>260</v>
      </c>
      <c r="F3276" s="2" t="s">
        <v>16703</v>
      </c>
      <c r="G3276" s="2" t="s">
        <v>8089</v>
      </c>
      <c r="H3276" s="2" t="s">
        <v>39</v>
      </c>
      <c r="I3276" s="9">
        <v>7828.7120000000004</v>
      </c>
      <c r="J3276" s="7">
        <v>1</v>
      </c>
      <c r="K3276" s="9">
        <v>7828.71</v>
      </c>
      <c r="L3276" s="14">
        <v>0</v>
      </c>
      <c r="M3276" s="2" t="s">
        <v>71</v>
      </c>
      <c r="N3276" s="2" t="s">
        <v>16704</v>
      </c>
      <c r="O3276" s="2" t="s">
        <v>8088</v>
      </c>
      <c r="P3276" s="9">
        <v>4.3099999999999996</v>
      </c>
      <c r="Q3276" s="9">
        <v>7828.71</v>
      </c>
      <c r="R3276" s="2" t="s">
        <v>16710</v>
      </c>
    </row>
    <row r="3277" spans="1:18" x14ac:dyDescent="0.25">
      <c r="A3277" s="2" t="s">
        <v>8090</v>
      </c>
      <c r="B3277" s="6">
        <v>46204</v>
      </c>
      <c r="C3277" s="8">
        <v>46225</v>
      </c>
      <c r="D3277" s="2" t="s">
        <v>7433</v>
      </c>
      <c r="E3277" s="2" t="s">
        <v>260</v>
      </c>
      <c r="F3277" s="2" t="s">
        <v>16703</v>
      </c>
      <c r="G3277" s="2" t="s">
        <v>8091</v>
      </c>
      <c r="H3277" s="2" t="s">
        <v>39</v>
      </c>
      <c r="I3277" s="9">
        <v>11743.067999999999</v>
      </c>
      <c r="J3277" s="7">
        <v>1</v>
      </c>
      <c r="K3277" s="9">
        <v>11743.07</v>
      </c>
      <c r="L3277" s="14">
        <v>0</v>
      </c>
      <c r="M3277" s="2" t="s">
        <v>71</v>
      </c>
      <c r="N3277" s="2" t="s">
        <v>16706</v>
      </c>
      <c r="O3277" s="2" t="s">
        <v>8088</v>
      </c>
      <c r="P3277" s="9">
        <v>6.46</v>
      </c>
      <c r="Q3277" s="9">
        <v>11743.07</v>
      </c>
      <c r="R3277" s="2" t="s">
        <v>16711</v>
      </c>
    </row>
    <row r="3278" spans="1:18" x14ac:dyDescent="0.25">
      <c r="A3278" s="2" t="s">
        <v>8092</v>
      </c>
      <c r="B3278" s="6">
        <v>46174</v>
      </c>
      <c r="C3278" s="8">
        <v>46201</v>
      </c>
      <c r="D3278" s="2" t="s">
        <v>7433</v>
      </c>
      <c r="E3278" s="2" t="s">
        <v>260</v>
      </c>
      <c r="F3278" s="2" t="s">
        <v>16703</v>
      </c>
      <c r="G3278" s="2" t="s">
        <v>8094</v>
      </c>
      <c r="H3278" s="2" t="s">
        <v>76</v>
      </c>
      <c r="I3278" s="9">
        <v>127030976</v>
      </c>
      <c r="J3278" s="7">
        <v>6.2500000000000001E-5</v>
      </c>
      <c r="K3278" s="9">
        <v>7939.44</v>
      </c>
      <c r="L3278" s="14">
        <v>0</v>
      </c>
      <c r="M3278" s="2" t="s">
        <v>71</v>
      </c>
      <c r="N3278" s="2" t="s">
        <v>16704</v>
      </c>
      <c r="O3278" s="2" t="s">
        <v>8093</v>
      </c>
      <c r="P3278" s="9">
        <v>4.37</v>
      </c>
      <c r="Q3278" s="9">
        <v>7939.44</v>
      </c>
      <c r="R3278" s="2" t="s">
        <v>16710</v>
      </c>
    </row>
    <row r="3279" spans="1:18" x14ac:dyDescent="0.25">
      <c r="A3279" s="2" t="s">
        <v>8095</v>
      </c>
      <c r="B3279" s="6">
        <v>46204</v>
      </c>
      <c r="C3279" s="8">
        <v>46226</v>
      </c>
      <c r="D3279" s="2" t="s">
        <v>7433</v>
      </c>
      <c r="E3279" s="2" t="s">
        <v>260</v>
      </c>
      <c r="F3279" s="2" t="s">
        <v>16703</v>
      </c>
      <c r="G3279" s="2" t="s">
        <v>8096</v>
      </c>
      <c r="H3279" s="2" t="s">
        <v>76</v>
      </c>
      <c r="I3279" s="9">
        <v>190546464</v>
      </c>
      <c r="J3279" s="7">
        <v>6.2000000000000003E-5</v>
      </c>
      <c r="K3279" s="9">
        <v>11813.88</v>
      </c>
      <c r="L3279" s="14">
        <v>0</v>
      </c>
      <c r="M3279" s="2" t="s">
        <v>71</v>
      </c>
      <c r="N3279" s="2" t="s">
        <v>16706</v>
      </c>
      <c r="O3279" s="2" t="s">
        <v>8093</v>
      </c>
      <c r="P3279" s="9">
        <v>6.5</v>
      </c>
      <c r="Q3279" s="9">
        <v>11909.15</v>
      </c>
      <c r="R3279" s="2" t="s">
        <v>16711</v>
      </c>
    </row>
    <row r="3280" spans="1:18" x14ac:dyDescent="0.25">
      <c r="A3280" s="2" t="s">
        <v>8097</v>
      </c>
      <c r="B3280" s="6">
        <v>46174</v>
      </c>
      <c r="C3280" s="8">
        <v>46202</v>
      </c>
      <c r="D3280" s="2" t="s">
        <v>7433</v>
      </c>
      <c r="E3280" s="2" t="s">
        <v>260</v>
      </c>
      <c r="F3280" s="2" t="s">
        <v>16703</v>
      </c>
      <c r="G3280" s="2" t="s">
        <v>8099</v>
      </c>
      <c r="H3280" s="2" t="s">
        <v>70</v>
      </c>
      <c r="I3280" s="9">
        <v>12105.509774</v>
      </c>
      <c r="J3280" s="7">
        <v>0.66500000000000004</v>
      </c>
      <c r="K3280" s="9">
        <v>8050.16</v>
      </c>
      <c r="L3280" s="14">
        <v>0</v>
      </c>
      <c r="M3280" s="2" t="s">
        <v>71</v>
      </c>
      <c r="N3280" s="2" t="s">
        <v>16704</v>
      </c>
      <c r="O3280" s="2" t="s">
        <v>8098</v>
      </c>
      <c r="P3280" s="9">
        <v>4.43</v>
      </c>
      <c r="Q3280" s="9">
        <v>8050.16</v>
      </c>
      <c r="R3280" s="2" t="s">
        <v>16710</v>
      </c>
    </row>
    <row r="3281" spans="1:18" x14ac:dyDescent="0.25">
      <c r="A3281" s="2" t="s">
        <v>8100</v>
      </c>
      <c r="B3281" s="6">
        <v>46204</v>
      </c>
      <c r="C3281" s="8">
        <v>46227</v>
      </c>
      <c r="D3281" s="2" t="s">
        <v>7433</v>
      </c>
      <c r="E3281" s="2" t="s">
        <v>260</v>
      </c>
      <c r="F3281" s="2" t="s">
        <v>16703</v>
      </c>
      <c r="G3281" s="2" t="s">
        <v>8101</v>
      </c>
      <c r="H3281" s="2" t="s">
        <v>70</v>
      </c>
      <c r="I3281" s="9">
        <v>18158.264662000001</v>
      </c>
      <c r="J3281" s="7">
        <v>0.65800000000000003</v>
      </c>
      <c r="K3281" s="9">
        <v>11948.14</v>
      </c>
      <c r="L3281" s="14">
        <v>0</v>
      </c>
      <c r="M3281" s="2" t="s">
        <v>71</v>
      </c>
      <c r="N3281" s="2" t="s">
        <v>16706</v>
      </c>
      <c r="O3281" s="2" t="s">
        <v>8098</v>
      </c>
      <c r="P3281" s="9">
        <v>6.57</v>
      </c>
      <c r="Q3281" s="9">
        <v>12075.25</v>
      </c>
      <c r="R3281" s="2" t="s">
        <v>16711</v>
      </c>
    </row>
    <row r="3282" spans="1:18" x14ac:dyDescent="0.25">
      <c r="A3282" s="2" t="s">
        <v>8102</v>
      </c>
      <c r="B3282" s="6">
        <v>46174</v>
      </c>
      <c r="C3282" s="8">
        <v>46203</v>
      </c>
      <c r="D3282" s="2" t="s">
        <v>7433</v>
      </c>
      <c r="E3282" s="2" t="s">
        <v>260</v>
      </c>
      <c r="F3282" s="2" t="s">
        <v>16703</v>
      </c>
      <c r="G3282" s="2" t="s">
        <v>8104</v>
      </c>
      <c r="H3282" s="2" t="s">
        <v>39</v>
      </c>
      <c r="I3282" s="9">
        <v>8160.8879999999999</v>
      </c>
      <c r="J3282" s="7">
        <v>1</v>
      </c>
      <c r="K3282" s="9">
        <v>8160.89</v>
      </c>
      <c r="L3282" s="14">
        <v>0</v>
      </c>
      <c r="M3282" s="2" t="s">
        <v>71</v>
      </c>
      <c r="N3282" s="2" t="s">
        <v>16704</v>
      </c>
      <c r="O3282" s="2" t="s">
        <v>8103</v>
      </c>
      <c r="P3282" s="9">
        <v>4.49</v>
      </c>
      <c r="Q3282" s="9">
        <v>8160.89</v>
      </c>
      <c r="R3282" s="2" t="s">
        <v>16710</v>
      </c>
    </row>
    <row r="3283" spans="1:18" x14ac:dyDescent="0.25">
      <c r="A3283" s="2" t="s">
        <v>8105</v>
      </c>
      <c r="B3283" s="6">
        <v>46204</v>
      </c>
      <c r="C3283" s="8">
        <v>46228</v>
      </c>
      <c r="D3283" s="2" t="s">
        <v>7433</v>
      </c>
      <c r="E3283" s="2" t="s">
        <v>260</v>
      </c>
      <c r="F3283" s="2" t="s">
        <v>16703</v>
      </c>
      <c r="G3283" s="2" t="s">
        <v>8106</v>
      </c>
      <c r="H3283" s="2" t="s">
        <v>39</v>
      </c>
      <c r="I3283" s="9">
        <v>12241.332</v>
      </c>
      <c r="J3283" s="7">
        <v>1</v>
      </c>
      <c r="K3283" s="9">
        <v>12241.33</v>
      </c>
      <c r="L3283" s="14">
        <v>0</v>
      </c>
      <c r="M3283" s="2" t="s">
        <v>71</v>
      </c>
      <c r="N3283" s="2" t="s">
        <v>16706</v>
      </c>
      <c r="O3283" s="2" t="s">
        <v>8103</v>
      </c>
      <c r="P3283" s="9">
        <v>6.73</v>
      </c>
      <c r="Q3283" s="9">
        <v>12241.33</v>
      </c>
      <c r="R3283" s="2" t="s">
        <v>16711</v>
      </c>
    </row>
    <row r="3284" spans="1:18" x14ac:dyDescent="0.25">
      <c r="A3284" s="2" t="s">
        <v>8107</v>
      </c>
      <c r="B3284" s="6">
        <v>46204</v>
      </c>
      <c r="C3284" s="8">
        <v>46204</v>
      </c>
      <c r="D3284" s="2" t="s">
        <v>7433</v>
      </c>
      <c r="E3284" s="2" t="s">
        <v>260</v>
      </c>
      <c r="F3284" s="2" t="s">
        <v>16703</v>
      </c>
      <c r="G3284" s="2" t="s">
        <v>8109</v>
      </c>
      <c r="H3284" s="2" t="s">
        <v>76</v>
      </c>
      <c r="I3284" s="9">
        <v>132345856</v>
      </c>
      <c r="J3284" s="7">
        <v>6.2000000000000003E-5</v>
      </c>
      <c r="K3284" s="9">
        <v>8205.44</v>
      </c>
      <c r="L3284" s="14">
        <v>0</v>
      </c>
      <c r="M3284" s="2" t="s">
        <v>71</v>
      </c>
      <c r="N3284" s="2" t="s">
        <v>16706</v>
      </c>
      <c r="O3284" s="2" t="s">
        <v>8108</v>
      </c>
      <c r="P3284" s="9">
        <v>4.51</v>
      </c>
      <c r="Q3284" s="9">
        <v>8271.6200000000008</v>
      </c>
      <c r="R3284" s="2" t="s">
        <v>16711</v>
      </c>
    </row>
    <row r="3285" spans="1:18" x14ac:dyDescent="0.25">
      <c r="A3285" s="2" t="s">
        <v>8110</v>
      </c>
      <c r="B3285" s="6">
        <v>46204</v>
      </c>
      <c r="C3285" s="8">
        <v>46229</v>
      </c>
      <c r="D3285" s="2" t="s">
        <v>7433</v>
      </c>
      <c r="E3285" s="2" t="s">
        <v>260</v>
      </c>
      <c r="F3285" s="2" t="s">
        <v>16703</v>
      </c>
      <c r="G3285" s="2" t="s">
        <v>8111</v>
      </c>
      <c r="H3285" s="2" t="s">
        <v>76</v>
      </c>
      <c r="I3285" s="9">
        <v>198518784</v>
      </c>
      <c r="J3285" s="7">
        <v>6.2000000000000003E-5</v>
      </c>
      <c r="K3285" s="9">
        <v>12308.16</v>
      </c>
      <c r="L3285" s="14">
        <v>0</v>
      </c>
      <c r="M3285" s="2" t="s">
        <v>71</v>
      </c>
      <c r="N3285" s="2" t="s">
        <v>16706</v>
      </c>
      <c r="O3285" s="2" t="s">
        <v>8108</v>
      </c>
      <c r="P3285" s="9">
        <v>6.77</v>
      </c>
      <c r="Q3285" s="9">
        <v>12407.42</v>
      </c>
      <c r="R3285" s="2" t="s">
        <v>16711</v>
      </c>
    </row>
    <row r="3286" spans="1:18" x14ac:dyDescent="0.25">
      <c r="A3286" s="2" t="s">
        <v>8112</v>
      </c>
      <c r="B3286" s="6">
        <v>46204</v>
      </c>
      <c r="C3286" s="8">
        <v>46205</v>
      </c>
      <c r="D3286" s="2" t="s">
        <v>7433</v>
      </c>
      <c r="E3286" s="2" t="s">
        <v>260</v>
      </c>
      <c r="F3286" s="2" t="s">
        <v>16703</v>
      </c>
      <c r="G3286" s="2" t="s">
        <v>8114</v>
      </c>
      <c r="H3286" s="2" t="s">
        <v>70</v>
      </c>
      <c r="I3286" s="9">
        <v>12605.028571999999</v>
      </c>
      <c r="J3286" s="7">
        <v>0.65800000000000003</v>
      </c>
      <c r="K3286" s="9">
        <v>8294.11</v>
      </c>
      <c r="L3286" s="14">
        <v>0</v>
      </c>
      <c r="M3286" s="2" t="s">
        <v>71</v>
      </c>
      <c r="N3286" s="2" t="s">
        <v>16706</v>
      </c>
      <c r="O3286" s="2" t="s">
        <v>8113</v>
      </c>
      <c r="P3286" s="9">
        <v>4.5599999999999996</v>
      </c>
      <c r="Q3286" s="9">
        <v>8382.34</v>
      </c>
      <c r="R3286" s="2" t="s">
        <v>16711</v>
      </c>
    </row>
    <row r="3287" spans="1:18" x14ac:dyDescent="0.25">
      <c r="A3287" s="2" t="s">
        <v>8115</v>
      </c>
      <c r="B3287" s="6">
        <v>46204</v>
      </c>
      <c r="C3287" s="8">
        <v>46230</v>
      </c>
      <c r="D3287" s="2" t="s">
        <v>7433</v>
      </c>
      <c r="E3287" s="2" t="s">
        <v>260</v>
      </c>
      <c r="F3287" s="2" t="s">
        <v>16703</v>
      </c>
      <c r="G3287" s="2" t="s">
        <v>8116</v>
      </c>
      <c r="H3287" s="2" t="s">
        <v>70</v>
      </c>
      <c r="I3287" s="9">
        <v>18907.542857</v>
      </c>
      <c r="J3287" s="7">
        <v>0.65800000000000003</v>
      </c>
      <c r="K3287" s="9">
        <v>12441.16</v>
      </c>
      <c r="L3287" s="14">
        <v>0</v>
      </c>
      <c r="M3287" s="2" t="s">
        <v>71</v>
      </c>
      <c r="N3287" s="2" t="s">
        <v>16706</v>
      </c>
      <c r="O3287" s="2" t="s">
        <v>8113</v>
      </c>
      <c r="P3287" s="9">
        <v>6.84</v>
      </c>
      <c r="Q3287" s="9">
        <v>12573.52</v>
      </c>
      <c r="R3287" s="2" t="s">
        <v>16711</v>
      </c>
    </row>
    <row r="3288" spans="1:18" x14ac:dyDescent="0.25">
      <c r="A3288" s="2" t="s">
        <v>8117</v>
      </c>
      <c r="B3288" s="6">
        <v>46204</v>
      </c>
      <c r="C3288" s="8">
        <v>46206</v>
      </c>
      <c r="D3288" s="2" t="s">
        <v>7433</v>
      </c>
      <c r="E3288" s="2" t="s">
        <v>260</v>
      </c>
      <c r="F3288" s="2" t="s">
        <v>16703</v>
      </c>
      <c r="G3288" s="2" t="s">
        <v>8119</v>
      </c>
      <c r="H3288" s="2" t="s">
        <v>39</v>
      </c>
      <c r="I3288" s="9">
        <v>8493.0679999999993</v>
      </c>
      <c r="J3288" s="7">
        <v>1</v>
      </c>
      <c r="K3288" s="9">
        <v>8493.07</v>
      </c>
      <c r="L3288" s="14">
        <v>0</v>
      </c>
      <c r="M3288" s="2" t="s">
        <v>71</v>
      </c>
      <c r="N3288" s="2" t="s">
        <v>16706</v>
      </c>
      <c r="O3288" s="2" t="s">
        <v>8118</v>
      </c>
      <c r="P3288" s="9">
        <v>4.67</v>
      </c>
      <c r="Q3288" s="9">
        <v>8493.07</v>
      </c>
      <c r="R3288" s="2" t="s">
        <v>16711</v>
      </c>
    </row>
    <row r="3289" spans="1:18" x14ac:dyDescent="0.25">
      <c r="A3289" s="2" t="s">
        <v>8120</v>
      </c>
      <c r="B3289" s="6">
        <v>46204</v>
      </c>
      <c r="C3289" s="8">
        <v>46231</v>
      </c>
      <c r="D3289" s="2" t="s">
        <v>7433</v>
      </c>
      <c r="E3289" s="2" t="s">
        <v>260</v>
      </c>
      <c r="F3289" s="2" t="s">
        <v>16703</v>
      </c>
      <c r="G3289" s="2" t="s">
        <v>8121</v>
      </c>
      <c r="H3289" s="2" t="s">
        <v>39</v>
      </c>
      <c r="I3289" s="9">
        <v>12739.602000000001</v>
      </c>
      <c r="J3289" s="7">
        <v>1</v>
      </c>
      <c r="K3289" s="9">
        <v>12739.6</v>
      </c>
      <c r="L3289" s="14">
        <v>0</v>
      </c>
      <c r="M3289" s="2" t="s">
        <v>71</v>
      </c>
      <c r="N3289" s="2" t="s">
        <v>16706</v>
      </c>
      <c r="O3289" s="2" t="s">
        <v>8118</v>
      </c>
      <c r="P3289" s="9">
        <v>7.01</v>
      </c>
      <c r="Q3289" s="9">
        <v>12739.6</v>
      </c>
      <c r="R3289" s="2" t="s">
        <v>16711</v>
      </c>
    </row>
    <row r="3290" spans="1:18" x14ac:dyDescent="0.25">
      <c r="A3290" s="2" t="s">
        <v>8122</v>
      </c>
      <c r="B3290" s="6">
        <v>46204</v>
      </c>
      <c r="C3290" s="8">
        <v>46207</v>
      </c>
      <c r="D3290" s="2" t="s">
        <v>7433</v>
      </c>
      <c r="E3290" s="2" t="s">
        <v>260</v>
      </c>
      <c r="F3290" s="2" t="s">
        <v>16703</v>
      </c>
      <c r="G3290" s="2" t="s">
        <v>8124</v>
      </c>
      <c r="H3290" s="2" t="s">
        <v>76</v>
      </c>
      <c r="I3290" s="9">
        <v>137660736</v>
      </c>
      <c r="J3290" s="7">
        <v>6.2000000000000003E-5</v>
      </c>
      <c r="K3290" s="9">
        <v>8534.9699999999993</v>
      </c>
      <c r="L3290" s="14">
        <v>0</v>
      </c>
      <c r="M3290" s="2" t="s">
        <v>71</v>
      </c>
      <c r="N3290" s="2" t="s">
        <v>16706</v>
      </c>
      <c r="O3290" s="2" t="s">
        <v>8123</v>
      </c>
      <c r="P3290" s="9">
        <v>4.6900000000000004</v>
      </c>
      <c r="Q3290" s="9">
        <v>8603.7999999999993</v>
      </c>
      <c r="R3290" s="2" t="s">
        <v>16711</v>
      </c>
    </row>
    <row r="3291" spans="1:18" x14ac:dyDescent="0.25">
      <c r="A3291" s="2" t="s">
        <v>8125</v>
      </c>
      <c r="B3291" s="6">
        <v>46204</v>
      </c>
      <c r="C3291" s="8">
        <v>46232</v>
      </c>
      <c r="D3291" s="2" t="s">
        <v>7433</v>
      </c>
      <c r="E3291" s="2" t="s">
        <v>260</v>
      </c>
      <c r="F3291" s="2" t="s">
        <v>16703</v>
      </c>
      <c r="G3291" s="2" t="s">
        <v>8126</v>
      </c>
      <c r="H3291" s="2" t="s">
        <v>76</v>
      </c>
      <c r="I3291" s="9">
        <v>206491104</v>
      </c>
      <c r="J3291" s="7">
        <v>6.2000000000000003E-5</v>
      </c>
      <c r="K3291" s="9">
        <v>12802.45</v>
      </c>
      <c r="L3291" s="14">
        <v>0</v>
      </c>
      <c r="M3291" s="2" t="s">
        <v>71</v>
      </c>
      <c r="N3291" s="2" t="s">
        <v>16706</v>
      </c>
      <c r="O3291" s="2" t="s">
        <v>8123</v>
      </c>
      <c r="P3291" s="9">
        <v>7.04</v>
      </c>
      <c r="Q3291" s="9">
        <v>12905.69</v>
      </c>
      <c r="R3291" s="2" t="s">
        <v>16711</v>
      </c>
    </row>
    <row r="3292" spans="1:18" x14ac:dyDescent="0.25">
      <c r="A3292" s="2" t="s">
        <v>8127</v>
      </c>
      <c r="B3292" s="6">
        <v>46204</v>
      </c>
      <c r="C3292" s="8">
        <v>46208</v>
      </c>
      <c r="D3292" s="2" t="s">
        <v>7433</v>
      </c>
      <c r="E3292" s="2" t="s">
        <v>260</v>
      </c>
      <c r="F3292" s="2" t="s">
        <v>16703</v>
      </c>
      <c r="G3292" s="2" t="s">
        <v>8129</v>
      </c>
      <c r="H3292" s="2" t="s">
        <v>70</v>
      </c>
      <c r="I3292" s="9">
        <v>13104.541353000001</v>
      </c>
      <c r="J3292" s="7">
        <v>0.65800000000000003</v>
      </c>
      <c r="K3292" s="9">
        <v>8622.7900000000009</v>
      </c>
      <c r="L3292" s="14">
        <v>0</v>
      </c>
      <c r="M3292" s="2" t="s">
        <v>71</v>
      </c>
      <c r="N3292" s="2" t="s">
        <v>16706</v>
      </c>
      <c r="O3292" s="2" t="s">
        <v>8128</v>
      </c>
      <c r="P3292" s="9">
        <v>4.74</v>
      </c>
      <c r="Q3292" s="9">
        <v>8714.52</v>
      </c>
      <c r="R3292" s="2" t="s">
        <v>16711</v>
      </c>
    </row>
    <row r="3293" spans="1:18" x14ac:dyDescent="0.25">
      <c r="A3293" s="2" t="s">
        <v>8130</v>
      </c>
      <c r="B3293" s="6">
        <v>46204</v>
      </c>
      <c r="C3293" s="8">
        <v>46233</v>
      </c>
      <c r="D3293" s="2" t="s">
        <v>7433</v>
      </c>
      <c r="E3293" s="2" t="s">
        <v>260</v>
      </c>
      <c r="F3293" s="2" t="s">
        <v>16703</v>
      </c>
      <c r="G3293" s="2" t="s">
        <v>8131</v>
      </c>
      <c r="H3293" s="2" t="s">
        <v>70</v>
      </c>
      <c r="I3293" s="9">
        <v>19656.812030000001</v>
      </c>
      <c r="J3293" s="7">
        <v>0.65800000000000003</v>
      </c>
      <c r="K3293" s="9">
        <v>12934.18</v>
      </c>
      <c r="L3293" s="14">
        <v>0</v>
      </c>
      <c r="M3293" s="2" t="s">
        <v>71</v>
      </c>
      <c r="N3293" s="2" t="s">
        <v>16706</v>
      </c>
      <c r="O3293" s="2" t="s">
        <v>8128</v>
      </c>
      <c r="P3293" s="9">
        <v>7.11</v>
      </c>
      <c r="Q3293" s="9">
        <v>13071.78</v>
      </c>
      <c r="R3293" s="2" t="s">
        <v>16711</v>
      </c>
    </row>
    <row r="3294" spans="1:18" x14ac:dyDescent="0.25">
      <c r="A3294" s="2" t="s">
        <v>8132</v>
      </c>
      <c r="B3294" s="6">
        <v>46204</v>
      </c>
      <c r="C3294" s="8">
        <v>46209</v>
      </c>
      <c r="D3294" s="2" t="s">
        <v>7433</v>
      </c>
      <c r="E3294" s="2" t="s">
        <v>260</v>
      </c>
      <c r="F3294" s="2" t="s">
        <v>16703</v>
      </c>
      <c r="G3294" s="2" t="s">
        <v>8134</v>
      </c>
      <c r="H3294" s="2" t="s">
        <v>39</v>
      </c>
      <c r="I3294" s="9">
        <v>8825.2479999999996</v>
      </c>
      <c r="J3294" s="7">
        <v>1</v>
      </c>
      <c r="K3294" s="9">
        <v>8825.25</v>
      </c>
      <c r="L3294" s="14">
        <v>0</v>
      </c>
      <c r="M3294" s="2" t="s">
        <v>71</v>
      </c>
      <c r="N3294" s="2" t="s">
        <v>16706</v>
      </c>
      <c r="O3294" s="2" t="s">
        <v>8133</v>
      </c>
      <c r="P3294" s="9">
        <v>4.8499999999999996</v>
      </c>
      <c r="Q3294" s="9">
        <v>8825.25</v>
      </c>
      <c r="R3294" s="2" t="s">
        <v>16711</v>
      </c>
    </row>
    <row r="3295" spans="1:18" x14ac:dyDescent="0.25">
      <c r="A3295" s="2" t="s">
        <v>8135</v>
      </c>
      <c r="B3295" s="6">
        <v>46204</v>
      </c>
      <c r="C3295" s="8">
        <v>46234</v>
      </c>
      <c r="D3295" s="2" t="s">
        <v>7433</v>
      </c>
      <c r="E3295" s="2" t="s">
        <v>260</v>
      </c>
      <c r="F3295" s="2" t="s">
        <v>16703</v>
      </c>
      <c r="G3295" s="2" t="s">
        <v>8136</v>
      </c>
      <c r="H3295" s="2" t="s">
        <v>39</v>
      </c>
      <c r="I3295" s="9">
        <v>13237.871999999999</v>
      </c>
      <c r="J3295" s="7">
        <v>1</v>
      </c>
      <c r="K3295" s="9">
        <v>13237.87</v>
      </c>
      <c r="L3295" s="14">
        <v>0</v>
      </c>
      <c r="M3295" s="2" t="s">
        <v>71</v>
      </c>
      <c r="N3295" s="2" t="s">
        <v>16706</v>
      </c>
      <c r="O3295" s="2" t="s">
        <v>8133</v>
      </c>
      <c r="P3295" s="9">
        <v>7.28</v>
      </c>
      <c r="Q3295" s="9">
        <v>13237.87</v>
      </c>
      <c r="R3295" s="2" t="s">
        <v>16711</v>
      </c>
    </row>
    <row r="3296" spans="1:18" x14ac:dyDescent="0.25">
      <c r="A3296" s="2" t="s">
        <v>8137</v>
      </c>
      <c r="B3296" s="6">
        <v>46204</v>
      </c>
      <c r="C3296" s="8">
        <v>46210</v>
      </c>
      <c r="D3296" s="2" t="s">
        <v>7433</v>
      </c>
      <c r="E3296" s="2" t="s">
        <v>260</v>
      </c>
      <c r="F3296" s="2" t="s">
        <v>16703</v>
      </c>
      <c r="G3296" s="2" t="s">
        <v>8139</v>
      </c>
      <c r="H3296" s="2" t="s">
        <v>76</v>
      </c>
      <c r="I3296" s="9">
        <v>142975616</v>
      </c>
      <c r="J3296" s="7">
        <v>6.2000000000000003E-5</v>
      </c>
      <c r="K3296" s="9">
        <v>8864.49</v>
      </c>
      <c r="L3296" s="14">
        <v>0</v>
      </c>
      <c r="M3296" s="2" t="s">
        <v>71</v>
      </c>
      <c r="N3296" s="2" t="s">
        <v>16706</v>
      </c>
      <c r="O3296" s="2" t="s">
        <v>8138</v>
      </c>
      <c r="P3296" s="9">
        <v>4.88</v>
      </c>
      <c r="Q3296" s="9">
        <v>8935.98</v>
      </c>
      <c r="R3296" s="2" t="s">
        <v>16711</v>
      </c>
    </row>
    <row r="3297" spans="1:18" x14ac:dyDescent="0.25">
      <c r="A3297" s="2" t="s">
        <v>8142</v>
      </c>
      <c r="B3297" s="6">
        <v>46204</v>
      </c>
      <c r="C3297" s="8">
        <v>46211</v>
      </c>
      <c r="D3297" s="2" t="s">
        <v>7433</v>
      </c>
      <c r="E3297" s="2" t="s">
        <v>260</v>
      </c>
      <c r="F3297" s="2" t="s">
        <v>16703</v>
      </c>
      <c r="G3297" s="2" t="s">
        <v>8144</v>
      </c>
      <c r="H3297" s="2" t="s">
        <v>70</v>
      </c>
      <c r="I3297" s="9">
        <v>13604.060149999999</v>
      </c>
      <c r="J3297" s="7">
        <v>0.65800000000000003</v>
      </c>
      <c r="K3297" s="9">
        <v>8951.4699999999993</v>
      </c>
      <c r="L3297" s="14">
        <v>0</v>
      </c>
      <c r="M3297" s="2" t="s">
        <v>71</v>
      </c>
      <c r="N3297" s="2" t="s">
        <v>16706</v>
      </c>
      <c r="O3297" s="2" t="s">
        <v>8143</v>
      </c>
      <c r="P3297" s="9">
        <v>4.92</v>
      </c>
      <c r="Q3297" s="9">
        <v>9046.7000000000007</v>
      </c>
      <c r="R3297" s="2" t="s">
        <v>16711</v>
      </c>
    </row>
    <row r="3298" spans="1:18" x14ac:dyDescent="0.25">
      <c r="A3298" s="2" t="s">
        <v>8147</v>
      </c>
      <c r="B3298" s="6">
        <v>46204</v>
      </c>
      <c r="C3298" s="8">
        <v>46212</v>
      </c>
      <c r="D3298" s="2" t="s">
        <v>7433</v>
      </c>
      <c r="E3298" s="2" t="s">
        <v>260</v>
      </c>
      <c r="F3298" s="2" t="s">
        <v>16703</v>
      </c>
      <c r="G3298" s="2" t="s">
        <v>8149</v>
      </c>
      <c r="H3298" s="2" t="s">
        <v>39</v>
      </c>
      <c r="I3298" s="9">
        <v>9157.4279999999999</v>
      </c>
      <c r="J3298" s="7">
        <v>1</v>
      </c>
      <c r="K3298" s="9">
        <v>9157.43</v>
      </c>
      <c r="L3298" s="14">
        <v>0</v>
      </c>
      <c r="M3298" s="2" t="s">
        <v>71</v>
      </c>
      <c r="N3298" s="2" t="s">
        <v>16706</v>
      </c>
      <c r="O3298" s="2" t="s">
        <v>8148</v>
      </c>
      <c r="P3298" s="9">
        <v>5.04</v>
      </c>
      <c r="Q3298" s="9">
        <v>9157.43</v>
      </c>
      <c r="R3298" s="2" t="s">
        <v>16711</v>
      </c>
    </row>
    <row r="3299" spans="1:18" x14ac:dyDescent="0.25">
      <c r="A3299" s="2" t="s">
        <v>8152</v>
      </c>
      <c r="B3299" s="6">
        <v>46204</v>
      </c>
      <c r="C3299" s="8">
        <v>46213</v>
      </c>
      <c r="D3299" s="2" t="s">
        <v>7433</v>
      </c>
      <c r="E3299" s="2" t="s">
        <v>260</v>
      </c>
      <c r="F3299" s="2" t="s">
        <v>16703</v>
      </c>
      <c r="G3299" s="2" t="s">
        <v>8154</v>
      </c>
      <c r="H3299" s="2" t="s">
        <v>76</v>
      </c>
      <c r="I3299" s="9">
        <v>148290432</v>
      </c>
      <c r="J3299" s="7">
        <v>6.2000000000000003E-5</v>
      </c>
      <c r="K3299" s="9">
        <v>9194.01</v>
      </c>
      <c r="L3299" s="14">
        <v>0</v>
      </c>
      <c r="M3299" s="2" t="s">
        <v>71</v>
      </c>
      <c r="N3299" s="2" t="s">
        <v>16706</v>
      </c>
      <c r="O3299" s="2" t="s">
        <v>8153</v>
      </c>
      <c r="P3299" s="9">
        <v>5.0599999999999996</v>
      </c>
      <c r="Q3299" s="9">
        <v>9268.15</v>
      </c>
      <c r="R3299" s="2" t="s">
        <v>16711</v>
      </c>
    </row>
    <row r="3300" spans="1:18" x14ac:dyDescent="0.25">
      <c r="A3300" s="2" t="s">
        <v>8157</v>
      </c>
      <c r="B3300" s="6">
        <v>46204</v>
      </c>
      <c r="C3300" s="8">
        <v>46214</v>
      </c>
      <c r="D3300" s="2" t="s">
        <v>7433</v>
      </c>
      <c r="E3300" s="2" t="s">
        <v>260</v>
      </c>
      <c r="F3300" s="2" t="s">
        <v>16703</v>
      </c>
      <c r="G3300" s="2" t="s">
        <v>8159</v>
      </c>
      <c r="H3300" s="2" t="s">
        <v>70</v>
      </c>
      <c r="I3300" s="9">
        <v>14103.578947</v>
      </c>
      <c r="J3300" s="7">
        <v>0.65800000000000003</v>
      </c>
      <c r="K3300" s="9">
        <v>9280.15</v>
      </c>
      <c r="L3300" s="14">
        <v>0</v>
      </c>
      <c r="M3300" s="2" t="s">
        <v>71</v>
      </c>
      <c r="N3300" s="2" t="s">
        <v>16706</v>
      </c>
      <c r="O3300" s="2" t="s">
        <v>8158</v>
      </c>
      <c r="P3300" s="9">
        <v>5.0999999999999996</v>
      </c>
      <c r="Q3300" s="9">
        <v>9378.8799999999992</v>
      </c>
      <c r="R3300" s="2" t="s">
        <v>16711</v>
      </c>
    </row>
    <row r="3301" spans="1:18" x14ac:dyDescent="0.25">
      <c r="A3301" s="2" t="s">
        <v>8162</v>
      </c>
      <c r="B3301" s="6">
        <v>46204</v>
      </c>
      <c r="C3301" s="8">
        <v>46215</v>
      </c>
      <c r="D3301" s="2" t="s">
        <v>7433</v>
      </c>
      <c r="E3301" s="2" t="s">
        <v>260</v>
      </c>
      <c r="F3301" s="2" t="s">
        <v>16703</v>
      </c>
      <c r="G3301" s="2" t="s">
        <v>8164</v>
      </c>
      <c r="H3301" s="2" t="s">
        <v>39</v>
      </c>
      <c r="I3301" s="9">
        <v>9489.6080000000002</v>
      </c>
      <c r="J3301" s="7">
        <v>1</v>
      </c>
      <c r="K3301" s="9">
        <v>9489.61</v>
      </c>
      <c r="L3301" s="14">
        <v>0</v>
      </c>
      <c r="M3301" s="2" t="s">
        <v>71</v>
      </c>
      <c r="N3301" s="2" t="s">
        <v>16706</v>
      </c>
      <c r="O3301" s="2" t="s">
        <v>8163</v>
      </c>
      <c r="P3301" s="9">
        <v>5.22</v>
      </c>
      <c r="Q3301" s="9">
        <v>9489.61</v>
      </c>
      <c r="R3301" s="2" t="s">
        <v>16711</v>
      </c>
    </row>
    <row r="3302" spans="1:18" x14ac:dyDescent="0.25">
      <c r="A3302" s="2" t="s">
        <v>8167</v>
      </c>
      <c r="B3302" s="6">
        <v>46204</v>
      </c>
      <c r="C3302" s="8">
        <v>46216</v>
      </c>
      <c r="D3302" s="2" t="s">
        <v>7433</v>
      </c>
      <c r="E3302" s="2" t="s">
        <v>260</v>
      </c>
      <c r="F3302" s="2" t="s">
        <v>16703</v>
      </c>
      <c r="G3302" s="2" t="s">
        <v>8169</v>
      </c>
      <c r="H3302" s="2" t="s">
        <v>76</v>
      </c>
      <c r="I3302" s="9">
        <v>10245312</v>
      </c>
      <c r="J3302" s="7">
        <v>6.2000000000000003E-5</v>
      </c>
      <c r="K3302" s="9">
        <v>635.21</v>
      </c>
      <c r="L3302" s="14">
        <v>0</v>
      </c>
      <c r="M3302" s="2" t="s">
        <v>71</v>
      </c>
      <c r="N3302" s="2" t="s">
        <v>16706</v>
      </c>
      <c r="O3302" s="2" t="s">
        <v>8168</v>
      </c>
      <c r="P3302" s="9">
        <v>1.8</v>
      </c>
      <c r="Q3302" s="9">
        <v>640.33000000000004</v>
      </c>
      <c r="R3302" s="2" t="s">
        <v>16711</v>
      </c>
    </row>
    <row r="3303" spans="1:18" x14ac:dyDescent="0.25">
      <c r="A3303" s="2" t="s">
        <v>8172</v>
      </c>
      <c r="B3303" s="6">
        <v>46204</v>
      </c>
      <c r="C3303" s="8">
        <v>46217</v>
      </c>
      <c r="D3303" s="2" t="s">
        <v>7433</v>
      </c>
      <c r="E3303" s="2" t="s">
        <v>260</v>
      </c>
      <c r="F3303" s="2" t="s">
        <v>16703</v>
      </c>
      <c r="G3303" s="2" t="s">
        <v>8174</v>
      </c>
      <c r="H3303" s="2" t="s">
        <v>70</v>
      </c>
      <c r="I3303" s="9">
        <v>1129.413534</v>
      </c>
      <c r="J3303" s="7">
        <v>0.65800000000000003</v>
      </c>
      <c r="K3303" s="9">
        <v>743.15</v>
      </c>
      <c r="L3303" s="14">
        <v>0</v>
      </c>
      <c r="M3303" s="2" t="s">
        <v>71</v>
      </c>
      <c r="N3303" s="2" t="s">
        <v>16706</v>
      </c>
      <c r="O3303" s="2" t="s">
        <v>8173</v>
      </c>
      <c r="P3303" s="9">
        <v>1.8</v>
      </c>
      <c r="Q3303" s="9">
        <v>751.06</v>
      </c>
      <c r="R3303" s="2" t="s">
        <v>16711</v>
      </c>
    </row>
    <row r="3304" spans="1:18" x14ac:dyDescent="0.25">
      <c r="A3304" s="2" t="s">
        <v>8177</v>
      </c>
      <c r="B3304" s="6">
        <v>46174</v>
      </c>
      <c r="C3304" s="8">
        <v>46188</v>
      </c>
      <c r="D3304" s="2" t="s">
        <v>7433</v>
      </c>
      <c r="E3304" s="2" t="s">
        <v>260</v>
      </c>
      <c r="F3304" s="2" t="s">
        <v>16703</v>
      </c>
      <c r="G3304" s="2" t="s">
        <v>8179</v>
      </c>
      <c r="H3304" s="2" t="s">
        <v>39</v>
      </c>
      <c r="I3304" s="9">
        <v>861.78399999999999</v>
      </c>
      <c r="J3304" s="7">
        <v>1</v>
      </c>
      <c r="K3304" s="9">
        <v>861.78</v>
      </c>
      <c r="L3304" s="14">
        <v>0</v>
      </c>
      <c r="M3304" s="2" t="s">
        <v>71</v>
      </c>
      <c r="N3304" s="2" t="s">
        <v>16704</v>
      </c>
      <c r="O3304" s="2" t="s">
        <v>8178</v>
      </c>
      <c r="P3304" s="9">
        <v>1.8</v>
      </c>
      <c r="Q3304" s="9">
        <v>861.78</v>
      </c>
      <c r="R3304" s="2" t="s">
        <v>16710</v>
      </c>
    </row>
    <row r="3305" spans="1:18" x14ac:dyDescent="0.25">
      <c r="A3305" s="2" t="s">
        <v>8180</v>
      </c>
      <c r="B3305" s="6">
        <v>46204</v>
      </c>
      <c r="C3305" s="8">
        <v>46213</v>
      </c>
      <c r="D3305" s="2" t="s">
        <v>7433</v>
      </c>
      <c r="E3305" s="2" t="s">
        <v>260</v>
      </c>
      <c r="F3305" s="2" t="s">
        <v>16703</v>
      </c>
      <c r="G3305" s="2" t="s">
        <v>8181</v>
      </c>
      <c r="H3305" s="2" t="s">
        <v>39</v>
      </c>
      <c r="I3305" s="9">
        <v>1292.6759999999999</v>
      </c>
      <c r="J3305" s="7">
        <v>1</v>
      </c>
      <c r="K3305" s="9">
        <v>1292.68</v>
      </c>
      <c r="L3305" s="14">
        <v>0</v>
      </c>
      <c r="M3305" s="2" t="s">
        <v>71</v>
      </c>
      <c r="N3305" s="2" t="s">
        <v>16706</v>
      </c>
      <c r="O3305" s="2" t="s">
        <v>8178</v>
      </c>
      <c r="P3305" s="9">
        <v>1.8</v>
      </c>
      <c r="Q3305" s="9">
        <v>1292.68</v>
      </c>
      <c r="R3305" s="2" t="s">
        <v>16711</v>
      </c>
    </row>
    <row r="3306" spans="1:18" x14ac:dyDescent="0.25">
      <c r="A3306" s="2" t="s">
        <v>8182</v>
      </c>
      <c r="B3306" s="6">
        <v>46174</v>
      </c>
      <c r="C3306" s="8">
        <v>46189</v>
      </c>
      <c r="D3306" s="2" t="s">
        <v>7433</v>
      </c>
      <c r="E3306" s="2" t="s">
        <v>260</v>
      </c>
      <c r="F3306" s="2" t="s">
        <v>16703</v>
      </c>
      <c r="G3306" s="2" t="s">
        <v>8184</v>
      </c>
      <c r="H3306" s="2" t="s">
        <v>76</v>
      </c>
      <c r="I3306" s="9">
        <v>15560192</v>
      </c>
      <c r="J3306" s="7">
        <v>6.2500000000000001E-5</v>
      </c>
      <c r="K3306" s="9">
        <v>972.51</v>
      </c>
      <c r="L3306" s="14">
        <v>0</v>
      </c>
      <c r="M3306" s="2" t="s">
        <v>71</v>
      </c>
      <c r="N3306" s="2" t="s">
        <v>16704</v>
      </c>
      <c r="O3306" s="2" t="s">
        <v>8183</v>
      </c>
      <c r="P3306" s="9">
        <v>1.8</v>
      </c>
      <c r="Q3306" s="9">
        <v>972.51</v>
      </c>
      <c r="R3306" s="2" t="s">
        <v>16710</v>
      </c>
    </row>
    <row r="3307" spans="1:18" x14ac:dyDescent="0.25">
      <c r="A3307" s="2" t="s">
        <v>8185</v>
      </c>
      <c r="B3307" s="6">
        <v>46204</v>
      </c>
      <c r="C3307" s="8">
        <v>46214</v>
      </c>
      <c r="D3307" s="2" t="s">
        <v>7433</v>
      </c>
      <c r="E3307" s="2" t="s">
        <v>260</v>
      </c>
      <c r="F3307" s="2" t="s">
        <v>16703</v>
      </c>
      <c r="G3307" s="2" t="s">
        <v>8186</v>
      </c>
      <c r="H3307" s="2" t="s">
        <v>76</v>
      </c>
      <c r="I3307" s="9">
        <v>23340288</v>
      </c>
      <c r="J3307" s="7">
        <v>6.2000000000000003E-5</v>
      </c>
      <c r="K3307" s="9">
        <v>1447.1</v>
      </c>
      <c r="L3307" s="14">
        <v>0</v>
      </c>
      <c r="M3307" s="2" t="s">
        <v>71</v>
      </c>
      <c r="N3307" s="2" t="s">
        <v>16706</v>
      </c>
      <c r="O3307" s="2" t="s">
        <v>8183</v>
      </c>
      <c r="P3307" s="9">
        <v>1.8</v>
      </c>
      <c r="Q3307" s="9">
        <v>1458.77</v>
      </c>
      <c r="R3307" s="2" t="s">
        <v>16711</v>
      </c>
    </row>
    <row r="3308" spans="1:18" x14ac:dyDescent="0.25">
      <c r="A3308" s="2" t="s">
        <v>8187</v>
      </c>
      <c r="B3308" s="6">
        <v>46174</v>
      </c>
      <c r="C3308" s="8">
        <v>46190</v>
      </c>
      <c r="D3308" s="2" t="s">
        <v>7433</v>
      </c>
      <c r="E3308" s="2" t="s">
        <v>260</v>
      </c>
      <c r="F3308" s="2" t="s">
        <v>16703</v>
      </c>
      <c r="G3308" s="2" t="s">
        <v>8189</v>
      </c>
      <c r="H3308" s="2" t="s">
        <v>70</v>
      </c>
      <c r="I3308" s="9">
        <v>1628.926316</v>
      </c>
      <c r="J3308" s="7">
        <v>0.66500000000000004</v>
      </c>
      <c r="K3308" s="9">
        <v>1083.24</v>
      </c>
      <c r="L3308" s="14">
        <v>0</v>
      </c>
      <c r="M3308" s="2" t="s">
        <v>71</v>
      </c>
      <c r="N3308" s="2" t="s">
        <v>16704</v>
      </c>
      <c r="O3308" s="2" t="s">
        <v>8188</v>
      </c>
      <c r="P3308" s="9">
        <v>1.8</v>
      </c>
      <c r="Q3308" s="9">
        <v>1083.24</v>
      </c>
      <c r="R3308" s="2" t="s">
        <v>16710</v>
      </c>
    </row>
    <row r="3309" spans="1:18" x14ac:dyDescent="0.25">
      <c r="A3309" s="2" t="s">
        <v>8190</v>
      </c>
      <c r="B3309" s="6">
        <v>46204</v>
      </c>
      <c r="C3309" s="8">
        <v>46215</v>
      </c>
      <c r="D3309" s="2" t="s">
        <v>7433</v>
      </c>
      <c r="E3309" s="2" t="s">
        <v>260</v>
      </c>
      <c r="F3309" s="2" t="s">
        <v>16703</v>
      </c>
      <c r="G3309" s="2" t="s">
        <v>8191</v>
      </c>
      <c r="H3309" s="2" t="s">
        <v>70</v>
      </c>
      <c r="I3309" s="9">
        <v>2443.3894730000002</v>
      </c>
      <c r="J3309" s="7">
        <v>0.65800000000000003</v>
      </c>
      <c r="K3309" s="9">
        <v>1607.75</v>
      </c>
      <c r="L3309" s="14">
        <v>0</v>
      </c>
      <c r="M3309" s="2" t="s">
        <v>71</v>
      </c>
      <c r="N3309" s="2" t="s">
        <v>16706</v>
      </c>
      <c r="O3309" s="2" t="s">
        <v>8188</v>
      </c>
      <c r="P3309" s="9">
        <v>1.8</v>
      </c>
      <c r="Q3309" s="9">
        <v>1624.85</v>
      </c>
      <c r="R3309" s="2" t="s">
        <v>16711</v>
      </c>
    </row>
    <row r="3310" spans="1:18" x14ac:dyDescent="0.25">
      <c r="A3310" s="2" t="s">
        <v>8192</v>
      </c>
      <c r="B3310" s="6">
        <v>46174</v>
      </c>
      <c r="C3310" s="8">
        <v>46191</v>
      </c>
      <c r="D3310" s="2" t="s">
        <v>7433</v>
      </c>
      <c r="E3310" s="2" t="s">
        <v>260</v>
      </c>
      <c r="F3310" s="2" t="s">
        <v>16703</v>
      </c>
      <c r="G3310" s="2" t="s">
        <v>8194</v>
      </c>
      <c r="H3310" s="2" t="s">
        <v>39</v>
      </c>
      <c r="I3310" s="9">
        <v>1193.9639999999999</v>
      </c>
      <c r="J3310" s="7">
        <v>1</v>
      </c>
      <c r="K3310" s="9">
        <v>1193.96</v>
      </c>
      <c r="L3310" s="14">
        <v>0</v>
      </c>
      <c r="M3310" s="2" t="s">
        <v>71</v>
      </c>
      <c r="N3310" s="2" t="s">
        <v>16704</v>
      </c>
      <c r="O3310" s="2" t="s">
        <v>8193</v>
      </c>
      <c r="P3310" s="9">
        <v>1.8</v>
      </c>
      <c r="Q3310" s="9">
        <v>1193.96</v>
      </c>
      <c r="R3310" s="2" t="s">
        <v>16710</v>
      </c>
    </row>
    <row r="3311" spans="1:18" x14ac:dyDescent="0.25">
      <c r="A3311" s="2" t="s">
        <v>8195</v>
      </c>
      <c r="B3311" s="6">
        <v>46204</v>
      </c>
      <c r="C3311" s="8">
        <v>46216</v>
      </c>
      <c r="D3311" s="2" t="s">
        <v>7433</v>
      </c>
      <c r="E3311" s="2" t="s">
        <v>260</v>
      </c>
      <c r="F3311" s="2" t="s">
        <v>16703</v>
      </c>
      <c r="G3311" s="2" t="s">
        <v>8196</v>
      </c>
      <c r="H3311" s="2" t="s">
        <v>39</v>
      </c>
      <c r="I3311" s="9">
        <v>1790.9459999999999</v>
      </c>
      <c r="J3311" s="7">
        <v>1</v>
      </c>
      <c r="K3311" s="9">
        <v>1790.95</v>
      </c>
      <c r="L3311" s="14">
        <v>0</v>
      </c>
      <c r="M3311" s="2" t="s">
        <v>71</v>
      </c>
      <c r="N3311" s="2" t="s">
        <v>16706</v>
      </c>
      <c r="O3311" s="2" t="s">
        <v>8193</v>
      </c>
      <c r="P3311" s="9">
        <v>1.8</v>
      </c>
      <c r="Q3311" s="9">
        <v>1790.95</v>
      </c>
      <c r="R3311" s="2" t="s">
        <v>16711</v>
      </c>
    </row>
    <row r="3312" spans="1:18" x14ac:dyDescent="0.25">
      <c r="A3312" s="2" t="s">
        <v>8197</v>
      </c>
      <c r="B3312" s="6">
        <v>46174</v>
      </c>
      <c r="C3312" s="8">
        <v>46192</v>
      </c>
      <c r="D3312" s="2" t="s">
        <v>7433</v>
      </c>
      <c r="E3312" s="2" t="s">
        <v>260</v>
      </c>
      <c r="F3312" s="2" t="s">
        <v>16703</v>
      </c>
      <c r="G3312" s="2" t="s">
        <v>8199</v>
      </c>
      <c r="H3312" s="2" t="s">
        <v>76</v>
      </c>
      <c r="I3312" s="9">
        <v>20875072</v>
      </c>
      <c r="J3312" s="7">
        <v>6.2500000000000001E-5</v>
      </c>
      <c r="K3312" s="9">
        <v>1304.69</v>
      </c>
      <c r="L3312" s="14">
        <v>0</v>
      </c>
      <c r="M3312" s="2" t="s">
        <v>71</v>
      </c>
      <c r="N3312" s="2" t="s">
        <v>16704</v>
      </c>
      <c r="O3312" s="2" t="s">
        <v>8198</v>
      </c>
      <c r="P3312" s="9">
        <v>1.8</v>
      </c>
      <c r="Q3312" s="9">
        <v>1304.69</v>
      </c>
      <c r="R3312" s="2" t="s">
        <v>16710</v>
      </c>
    </row>
    <row r="3313" spans="1:18" x14ac:dyDescent="0.25">
      <c r="A3313" s="2" t="s">
        <v>8200</v>
      </c>
      <c r="B3313" s="6">
        <v>46204</v>
      </c>
      <c r="C3313" s="8">
        <v>46217</v>
      </c>
      <c r="D3313" s="2" t="s">
        <v>7433</v>
      </c>
      <c r="E3313" s="2" t="s">
        <v>260</v>
      </c>
      <c r="F3313" s="2" t="s">
        <v>16703</v>
      </c>
      <c r="G3313" s="2" t="s">
        <v>8201</v>
      </c>
      <c r="H3313" s="2" t="s">
        <v>76</v>
      </c>
      <c r="I3313" s="9">
        <v>31312608</v>
      </c>
      <c r="J3313" s="7">
        <v>6.2000000000000003E-5</v>
      </c>
      <c r="K3313" s="9">
        <v>1941.38</v>
      </c>
      <c r="L3313" s="14">
        <v>0</v>
      </c>
      <c r="M3313" s="2" t="s">
        <v>71</v>
      </c>
      <c r="N3313" s="2" t="s">
        <v>16706</v>
      </c>
      <c r="O3313" s="2" t="s">
        <v>8198</v>
      </c>
      <c r="P3313" s="9">
        <v>1.8</v>
      </c>
      <c r="Q3313" s="9">
        <v>1957.04</v>
      </c>
      <c r="R3313" s="2" t="s">
        <v>16711</v>
      </c>
    </row>
    <row r="3314" spans="1:18" x14ac:dyDescent="0.25">
      <c r="A3314" s="2" t="s">
        <v>8202</v>
      </c>
      <c r="B3314" s="6">
        <v>46174</v>
      </c>
      <c r="C3314" s="8">
        <v>46193</v>
      </c>
      <c r="D3314" s="2" t="s">
        <v>7433</v>
      </c>
      <c r="E3314" s="2" t="s">
        <v>260</v>
      </c>
      <c r="F3314" s="2" t="s">
        <v>16703</v>
      </c>
      <c r="G3314" s="2" t="s">
        <v>8204</v>
      </c>
      <c r="H3314" s="2" t="s">
        <v>70</v>
      </c>
      <c r="I3314" s="9">
        <v>2128.4451130000002</v>
      </c>
      <c r="J3314" s="7">
        <v>0.66500000000000004</v>
      </c>
      <c r="K3314" s="9">
        <v>1415.42</v>
      </c>
      <c r="L3314" s="14">
        <v>0</v>
      </c>
      <c r="M3314" s="2" t="s">
        <v>71</v>
      </c>
      <c r="N3314" s="2" t="s">
        <v>16704</v>
      </c>
      <c r="O3314" s="2" t="s">
        <v>8203</v>
      </c>
      <c r="P3314" s="9">
        <v>1.8</v>
      </c>
      <c r="Q3314" s="9">
        <v>1415.42</v>
      </c>
      <c r="R3314" s="2" t="s">
        <v>16710</v>
      </c>
    </row>
    <row r="3315" spans="1:18" x14ac:dyDescent="0.25">
      <c r="A3315" s="2" t="s">
        <v>8205</v>
      </c>
      <c r="B3315" s="6">
        <v>46204</v>
      </c>
      <c r="C3315" s="8">
        <v>46218</v>
      </c>
      <c r="D3315" s="2" t="s">
        <v>7433</v>
      </c>
      <c r="E3315" s="2" t="s">
        <v>260</v>
      </c>
      <c r="F3315" s="2" t="s">
        <v>16703</v>
      </c>
      <c r="G3315" s="2" t="s">
        <v>8206</v>
      </c>
      <c r="H3315" s="2" t="s">
        <v>70</v>
      </c>
      <c r="I3315" s="9">
        <v>3192.6676689999999</v>
      </c>
      <c r="J3315" s="7">
        <v>0.65800000000000003</v>
      </c>
      <c r="K3315" s="9">
        <v>2100.7800000000002</v>
      </c>
      <c r="L3315" s="14">
        <v>0</v>
      </c>
      <c r="M3315" s="2" t="s">
        <v>71</v>
      </c>
      <c r="N3315" s="2" t="s">
        <v>16706</v>
      </c>
      <c r="O3315" s="2" t="s">
        <v>8203</v>
      </c>
      <c r="P3315" s="9">
        <v>1.8</v>
      </c>
      <c r="Q3315" s="9">
        <v>2123.12</v>
      </c>
      <c r="R3315" s="2" t="s">
        <v>16711</v>
      </c>
    </row>
    <row r="3316" spans="1:18" x14ac:dyDescent="0.25">
      <c r="A3316" s="2" t="s">
        <v>8207</v>
      </c>
      <c r="B3316" s="6">
        <v>46174</v>
      </c>
      <c r="C3316" s="8">
        <v>46194</v>
      </c>
      <c r="D3316" s="2" t="s">
        <v>7433</v>
      </c>
      <c r="E3316" s="2" t="s">
        <v>260</v>
      </c>
      <c r="F3316" s="2" t="s">
        <v>16703</v>
      </c>
      <c r="G3316" s="2" t="s">
        <v>8209</v>
      </c>
      <c r="H3316" s="2" t="s">
        <v>39</v>
      </c>
      <c r="I3316" s="9">
        <v>1526.144</v>
      </c>
      <c r="J3316" s="7">
        <v>1</v>
      </c>
      <c r="K3316" s="9">
        <v>1526.14</v>
      </c>
      <c r="L3316" s="14">
        <v>0</v>
      </c>
      <c r="M3316" s="2" t="s">
        <v>71</v>
      </c>
      <c r="N3316" s="2" t="s">
        <v>16704</v>
      </c>
      <c r="O3316" s="2" t="s">
        <v>8208</v>
      </c>
      <c r="P3316" s="9">
        <v>1.8</v>
      </c>
      <c r="Q3316" s="9">
        <v>1526.14</v>
      </c>
      <c r="R3316" s="2" t="s">
        <v>16710</v>
      </c>
    </row>
    <row r="3317" spans="1:18" x14ac:dyDescent="0.25">
      <c r="A3317" s="2" t="s">
        <v>8210</v>
      </c>
      <c r="B3317" s="6">
        <v>46204</v>
      </c>
      <c r="C3317" s="8">
        <v>46219</v>
      </c>
      <c r="D3317" s="2" t="s">
        <v>7433</v>
      </c>
      <c r="E3317" s="2" t="s">
        <v>260</v>
      </c>
      <c r="F3317" s="2" t="s">
        <v>16703</v>
      </c>
      <c r="G3317" s="2" t="s">
        <v>8211</v>
      </c>
      <c r="H3317" s="2" t="s">
        <v>39</v>
      </c>
      <c r="I3317" s="9">
        <v>2289.2159999999999</v>
      </c>
      <c r="J3317" s="7">
        <v>1</v>
      </c>
      <c r="K3317" s="9">
        <v>2289.2199999999998</v>
      </c>
      <c r="L3317" s="14">
        <v>0</v>
      </c>
      <c r="M3317" s="2" t="s">
        <v>71</v>
      </c>
      <c r="N3317" s="2" t="s">
        <v>16706</v>
      </c>
      <c r="O3317" s="2" t="s">
        <v>8208</v>
      </c>
      <c r="P3317" s="9">
        <v>1.8</v>
      </c>
      <c r="Q3317" s="9">
        <v>2289.2199999999998</v>
      </c>
      <c r="R3317" s="2" t="s">
        <v>16711</v>
      </c>
    </row>
    <row r="3318" spans="1:18" x14ac:dyDescent="0.25">
      <c r="A3318" s="2" t="s">
        <v>8212</v>
      </c>
      <c r="B3318" s="6">
        <v>46174</v>
      </c>
      <c r="C3318" s="8">
        <v>46195</v>
      </c>
      <c r="D3318" s="2" t="s">
        <v>7433</v>
      </c>
      <c r="E3318" s="2" t="s">
        <v>260</v>
      </c>
      <c r="F3318" s="2" t="s">
        <v>16703</v>
      </c>
      <c r="G3318" s="2" t="s">
        <v>8214</v>
      </c>
      <c r="H3318" s="2" t="s">
        <v>76</v>
      </c>
      <c r="I3318" s="9">
        <v>26189952</v>
      </c>
      <c r="J3318" s="7">
        <v>6.2500000000000001E-5</v>
      </c>
      <c r="K3318" s="9">
        <v>1636.87</v>
      </c>
      <c r="L3318" s="14">
        <v>0</v>
      </c>
      <c r="M3318" s="2" t="s">
        <v>71</v>
      </c>
      <c r="N3318" s="2" t="s">
        <v>16704</v>
      </c>
      <c r="O3318" s="2" t="s">
        <v>8213</v>
      </c>
      <c r="P3318" s="9">
        <v>1.8</v>
      </c>
      <c r="Q3318" s="9">
        <v>1636.87</v>
      </c>
      <c r="R3318" s="2" t="s">
        <v>16710</v>
      </c>
    </row>
    <row r="3319" spans="1:18" x14ac:dyDescent="0.25">
      <c r="A3319" s="2" t="s">
        <v>8215</v>
      </c>
      <c r="B3319" s="6">
        <v>46204</v>
      </c>
      <c r="C3319" s="8">
        <v>46220</v>
      </c>
      <c r="D3319" s="2" t="s">
        <v>7433</v>
      </c>
      <c r="E3319" s="2" t="s">
        <v>260</v>
      </c>
      <c r="F3319" s="2" t="s">
        <v>16703</v>
      </c>
      <c r="G3319" s="2" t="s">
        <v>8216</v>
      </c>
      <c r="H3319" s="2" t="s">
        <v>76</v>
      </c>
      <c r="I3319" s="9">
        <v>39284928</v>
      </c>
      <c r="J3319" s="7">
        <v>6.2000000000000003E-5</v>
      </c>
      <c r="K3319" s="9">
        <v>2435.67</v>
      </c>
      <c r="L3319" s="14">
        <v>0</v>
      </c>
      <c r="M3319" s="2" t="s">
        <v>71</v>
      </c>
      <c r="N3319" s="2" t="s">
        <v>16706</v>
      </c>
      <c r="O3319" s="2" t="s">
        <v>8213</v>
      </c>
      <c r="P3319" s="9">
        <v>1.8</v>
      </c>
      <c r="Q3319" s="9">
        <v>2455.31</v>
      </c>
      <c r="R3319" s="2" t="s">
        <v>16711</v>
      </c>
    </row>
    <row r="3320" spans="1:18" x14ac:dyDescent="0.25">
      <c r="A3320" s="2" t="s">
        <v>8217</v>
      </c>
      <c r="B3320" s="6">
        <v>46174</v>
      </c>
      <c r="C3320" s="8">
        <v>46196</v>
      </c>
      <c r="D3320" s="2" t="s">
        <v>7433</v>
      </c>
      <c r="E3320" s="2" t="s">
        <v>260</v>
      </c>
      <c r="F3320" s="2" t="s">
        <v>16703</v>
      </c>
      <c r="G3320" s="2" t="s">
        <v>8219</v>
      </c>
      <c r="H3320" s="2" t="s">
        <v>70</v>
      </c>
      <c r="I3320" s="9">
        <v>2627.9639099999999</v>
      </c>
      <c r="J3320" s="7">
        <v>0.66500000000000004</v>
      </c>
      <c r="K3320" s="9">
        <v>1747.6</v>
      </c>
      <c r="L3320" s="14">
        <v>0</v>
      </c>
      <c r="M3320" s="2" t="s">
        <v>71</v>
      </c>
      <c r="N3320" s="2" t="s">
        <v>16704</v>
      </c>
      <c r="O3320" s="2" t="s">
        <v>8218</v>
      </c>
      <c r="P3320" s="9">
        <v>1.8</v>
      </c>
      <c r="Q3320" s="9">
        <v>1747.6</v>
      </c>
      <c r="R3320" s="2" t="s">
        <v>16710</v>
      </c>
    </row>
    <row r="3321" spans="1:18" x14ac:dyDescent="0.25">
      <c r="A3321" s="2" t="s">
        <v>8220</v>
      </c>
      <c r="B3321" s="6">
        <v>46204</v>
      </c>
      <c r="C3321" s="8">
        <v>46221</v>
      </c>
      <c r="D3321" s="2" t="s">
        <v>7433</v>
      </c>
      <c r="E3321" s="2" t="s">
        <v>260</v>
      </c>
      <c r="F3321" s="2" t="s">
        <v>16703</v>
      </c>
      <c r="G3321" s="2" t="s">
        <v>8221</v>
      </c>
      <c r="H3321" s="2" t="s">
        <v>70</v>
      </c>
      <c r="I3321" s="9">
        <v>3941.9458639999998</v>
      </c>
      <c r="J3321" s="7">
        <v>0.65800000000000003</v>
      </c>
      <c r="K3321" s="9">
        <v>2593.8000000000002</v>
      </c>
      <c r="L3321" s="14">
        <v>0</v>
      </c>
      <c r="M3321" s="2" t="s">
        <v>71</v>
      </c>
      <c r="N3321" s="2" t="s">
        <v>16706</v>
      </c>
      <c r="O3321" s="2" t="s">
        <v>8218</v>
      </c>
      <c r="P3321" s="9">
        <v>1.8</v>
      </c>
      <c r="Q3321" s="9">
        <v>2621.39</v>
      </c>
      <c r="R3321" s="2" t="s">
        <v>16711</v>
      </c>
    </row>
    <row r="3322" spans="1:18" x14ac:dyDescent="0.25">
      <c r="A3322" s="2" t="s">
        <v>8222</v>
      </c>
      <c r="B3322" s="6">
        <v>46174</v>
      </c>
      <c r="C3322" s="8">
        <v>46197</v>
      </c>
      <c r="D3322" s="2" t="s">
        <v>7433</v>
      </c>
      <c r="E3322" s="2" t="s">
        <v>260</v>
      </c>
      <c r="F3322" s="2" t="s">
        <v>16703</v>
      </c>
      <c r="G3322" s="2" t="s">
        <v>8224</v>
      </c>
      <c r="H3322" s="2" t="s">
        <v>39</v>
      </c>
      <c r="I3322" s="9">
        <v>1858.3240000000001</v>
      </c>
      <c r="J3322" s="7">
        <v>1</v>
      </c>
      <c r="K3322" s="9">
        <v>1858.32</v>
      </c>
      <c r="L3322" s="14">
        <v>0</v>
      </c>
      <c r="M3322" s="2" t="s">
        <v>71</v>
      </c>
      <c r="N3322" s="2" t="s">
        <v>16704</v>
      </c>
      <c r="O3322" s="2" t="s">
        <v>8223</v>
      </c>
      <c r="P3322" s="9">
        <v>1.8</v>
      </c>
      <c r="Q3322" s="9">
        <v>1858.32</v>
      </c>
      <c r="R3322" s="2" t="s">
        <v>16710</v>
      </c>
    </row>
    <row r="3323" spans="1:18" x14ac:dyDescent="0.25">
      <c r="A3323" s="2" t="s">
        <v>8225</v>
      </c>
      <c r="B3323" s="6">
        <v>46204</v>
      </c>
      <c r="C3323" s="8">
        <v>46222</v>
      </c>
      <c r="D3323" s="2" t="s">
        <v>7433</v>
      </c>
      <c r="E3323" s="2" t="s">
        <v>260</v>
      </c>
      <c r="F3323" s="2" t="s">
        <v>16703</v>
      </c>
      <c r="G3323" s="2" t="s">
        <v>8226</v>
      </c>
      <c r="H3323" s="2" t="s">
        <v>39</v>
      </c>
      <c r="I3323" s="9">
        <v>2787.4859999999999</v>
      </c>
      <c r="J3323" s="7">
        <v>1</v>
      </c>
      <c r="K3323" s="9">
        <v>2787.49</v>
      </c>
      <c r="L3323" s="14">
        <v>0</v>
      </c>
      <c r="M3323" s="2" t="s">
        <v>71</v>
      </c>
      <c r="N3323" s="2" t="s">
        <v>16706</v>
      </c>
      <c r="O3323" s="2" t="s">
        <v>8223</v>
      </c>
      <c r="P3323" s="9">
        <v>1.8</v>
      </c>
      <c r="Q3323" s="9">
        <v>2787.49</v>
      </c>
      <c r="R3323" s="2" t="s">
        <v>16711</v>
      </c>
    </row>
    <row r="3324" spans="1:18" x14ac:dyDescent="0.25">
      <c r="A3324" s="2" t="s">
        <v>8227</v>
      </c>
      <c r="B3324" s="6">
        <v>46174</v>
      </c>
      <c r="C3324" s="8">
        <v>46198</v>
      </c>
      <c r="D3324" s="2" t="s">
        <v>7433</v>
      </c>
      <c r="E3324" s="2" t="s">
        <v>260</v>
      </c>
      <c r="F3324" s="2" t="s">
        <v>16703</v>
      </c>
      <c r="G3324" s="2" t="s">
        <v>8229</v>
      </c>
      <c r="H3324" s="2" t="s">
        <v>76</v>
      </c>
      <c r="I3324" s="9">
        <v>31504768</v>
      </c>
      <c r="J3324" s="7">
        <v>6.2500000000000001E-5</v>
      </c>
      <c r="K3324" s="9">
        <v>1969.05</v>
      </c>
      <c r="L3324" s="14">
        <v>0</v>
      </c>
      <c r="M3324" s="2" t="s">
        <v>71</v>
      </c>
      <c r="N3324" s="2" t="s">
        <v>16704</v>
      </c>
      <c r="O3324" s="2" t="s">
        <v>8228</v>
      </c>
      <c r="P3324" s="9">
        <v>1.8</v>
      </c>
      <c r="Q3324" s="9">
        <v>1969.05</v>
      </c>
      <c r="R3324" s="2" t="s">
        <v>16710</v>
      </c>
    </row>
    <row r="3325" spans="1:18" x14ac:dyDescent="0.25">
      <c r="A3325" s="2" t="s">
        <v>8230</v>
      </c>
      <c r="B3325" s="6">
        <v>46204</v>
      </c>
      <c r="C3325" s="8">
        <v>46223</v>
      </c>
      <c r="D3325" s="2" t="s">
        <v>7433</v>
      </c>
      <c r="E3325" s="2" t="s">
        <v>260</v>
      </c>
      <c r="F3325" s="2" t="s">
        <v>16703</v>
      </c>
      <c r="G3325" s="2" t="s">
        <v>8231</v>
      </c>
      <c r="H3325" s="2" t="s">
        <v>76</v>
      </c>
      <c r="I3325" s="9">
        <v>47257152</v>
      </c>
      <c r="J3325" s="7">
        <v>6.2000000000000003E-5</v>
      </c>
      <c r="K3325" s="9">
        <v>2929.94</v>
      </c>
      <c r="L3325" s="14">
        <v>0</v>
      </c>
      <c r="M3325" s="2" t="s">
        <v>71</v>
      </c>
      <c r="N3325" s="2" t="s">
        <v>16706</v>
      </c>
      <c r="O3325" s="2" t="s">
        <v>8228</v>
      </c>
      <c r="P3325" s="9">
        <v>1.8</v>
      </c>
      <c r="Q3325" s="9">
        <v>2953.57</v>
      </c>
      <c r="R3325" s="2" t="s">
        <v>16711</v>
      </c>
    </row>
    <row r="3326" spans="1:18" x14ac:dyDescent="0.25">
      <c r="A3326" s="2" t="s">
        <v>8232</v>
      </c>
      <c r="B3326" s="6">
        <v>46174</v>
      </c>
      <c r="C3326" s="8">
        <v>46199</v>
      </c>
      <c r="D3326" s="2" t="s">
        <v>7433</v>
      </c>
      <c r="E3326" s="2" t="s">
        <v>260</v>
      </c>
      <c r="F3326" s="2" t="s">
        <v>16703</v>
      </c>
      <c r="G3326" s="2" t="s">
        <v>8234</v>
      </c>
      <c r="H3326" s="2" t="s">
        <v>70</v>
      </c>
      <c r="I3326" s="9">
        <v>3127.4827070000001</v>
      </c>
      <c r="J3326" s="7">
        <v>0.66500000000000004</v>
      </c>
      <c r="K3326" s="9">
        <v>2079.7800000000002</v>
      </c>
      <c r="L3326" s="14">
        <v>0</v>
      </c>
      <c r="M3326" s="2" t="s">
        <v>71</v>
      </c>
      <c r="N3326" s="2" t="s">
        <v>16704</v>
      </c>
      <c r="O3326" s="2" t="s">
        <v>8233</v>
      </c>
      <c r="P3326" s="9">
        <v>1.8</v>
      </c>
      <c r="Q3326" s="9">
        <v>2079.7800000000002</v>
      </c>
      <c r="R3326" s="2" t="s">
        <v>16710</v>
      </c>
    </row>
    <row r="3327" spans="1:18" x14ac:dyDescent="0.25">
      <c r="A3327" s="2" t="s">
        <v>8235</v>
      </c>
      <c r="B3327" s="6">
        <v>46204</v>
      </c>
      <c r="C3327" s="8">
        <v>46224</v>
      </c>
      <c r="D3327" s="2" t="s">
        <v>7433</v>
      </c>
      <c r="E3327" s="2" t="s">
        <v>260</v>
      </c>
      <c r="F3327" s="2" t="s">
        <v>16703</v>
      </c>
      <c r="G3327" s="2" t="s">
        <v>8236</v>
      </c>
      <c r="H3327" s="2" t="s">
        <v>70</v>
      </c>
      <c r="I3327" s="9">
        <v>4691.2240599999996</v>
      </c>
      <c r="J3327" s="7">
        <v>0.65800000000000003</v>
      </c>
      <c r="K3327" s="9">
        <v>3086.83</v>
      </c>
      <c r="L3327" s="14">
        <v>0</v>
      </c>
      <c r="M3327" s="2" t="s">
        <v>71</v>
      </c>
      <c r="N3327" s="2" t="s">
        <v>16706</v>
      </c>
      <c r="O3327" s="2" t="s">
        <v>8233</v>
      </c>
      <c r="P3327" s="9">
        <v>1.8</v>
      </c>
      <c r="Q3327" s="9">
        <v>3119.66</v>
      </c>
      <c r="R3327" s="2" t="s">
        <v>16711</v>
      </c>
    </row>
    <row r="3328" spans="1:18" x14ac:dyDescent="0.25">
      <c r="A3328" s="2" t="s">
        <v>8237</v>
      </c>
      <c r="B3328" s="6">
        <v>46174</v>
      </c>
      <c r="C3328" s="8">
        <v>46200</v>
      </c>
      <c r="D3328" s="2" t="s">
        <v>7433</v>
      </c>
      <c r="E3328" s="2" t="s">
        <v>260</v>
      </c>
      <c r="F3328" s="2" t="s">
        <v>16703</v>
      </c>
      <c r="G3328" s="2" t="s">
        <v>8239</v>
      </c>
      <c r="H3328" s="2" t="s">
        <v>39</v>
      </c>
      <c r="I3328" s="9">
        <v>2190.5039999999999</v>
      </c>
      <c r="J3328" s="7">
        <v>1</v>
      </c>
      <c r="K3328" s="9">
        <v>2190.5</v>
      </c>
      <c r="L3328" s="14">
        <v>0</v>
      </c>
      <c r="M3328" s="2" t="s">
        <v>71</v>
      </c>
      <c r="N3328" s="2" t="s">
        <v>16704</v>
      </c>
      <c r="O3328" s="2" t="s">
        <v>8238</v>
      </c>
      <c r="P3328" s="9">
        <v>1.8</v>
      </c>
      <c r="Q3328" s="9">
        <v>2190.5</v>
      </c>
      <c r="R3328" s="2" t="s">
        <v>16710</v>
      </c>
    </row>
    <row r="3329" spans="1:18" x14ac:dyDescent="0.25">
      <c r="A3329" s="2" t="s">
        <v>8240</v>
      </c>
      <c r="B3329" s="6">
        <v>46204</v>
      </c>
      <c r="C3329" s="8">
        <v>46225</v>
      </c>
      <c r="D3329" s="2" t="s">
        <v>7433</v>
      </c>
      <c r="E3329" s="2" t="s">
        <v>260</v>
      </c>
      <c r="F3329" s="2" t="s">
        <v>16703</v>
      </c>
      <c r="G3329" s="2" t="s">
        <v>8241</v>
      </c>
      <c r="H3329" s="2" t="s">
        <v>39</v>
      </c>
      <c r="I3329" s="9">
        <v>3285.7559999999999</v>
      </c>
      <c r="J3329" s="7">
        <v>1</v>
      </c>
      <c r="K3329" s="9">
        <v>3285.76</v>
      </c>
      <c r="L3329" s="14">
        <v>0</v>
      </c>
      <c r="M3329" s="2" t="s">
        <v>71</v>
      </c>
      <c r="N3329" s="2" t="s">
        <v>16706</v>
      </c>
      <c r="O3329" s="2" t="s">
        <v>8238</v>
      </c>
      <c r="P3329" s="9">
        <v>1.81</v>
      </c>
      <c r="Q3329" s="9">
        <v>3285.76</v>
      </c>
      <c r="R3329" s="2" t="s">
        <v>16711</v>
      </c>
    </row>
    <row r="3330" spans="1:18" x14ac:dyDescent="0.25">
      <c r="A3330" s="2" t="s">
        <v>8242</v>
      </c>
      <c r="B3330" s="6">
        <v>46174</v>
      </c>
      <c r="C3330" s="8">
        <v>46201</v>
      </c>
      <c r="D3330" s="2" t="s">
        <v>7433</v>
      </c>
      <c r="E3330" s="2" t="s">
        <v>260</v>
      </c>
      <c r="F3330" s="2" t="s">
        <v>16703</v>
      </c>
      <c r="G3330" s="2" t="s">
        <v>8244</v>
      </c>
      <c r="H3330" s="2" t="s">
        <v>76</v>
      </c>
      <c r="I3330" s="9">
        <v>-92049120</v>
      </c>
      <c r="J3330" s="7">
        <v>6.2500000000000001E-5</v>
      </c>
      <c r="K3330" s="9">
        <v>-5753.07</v>
      </c>
      <c r="L3330" s="14">
        <v>0</v>
      </c>
      <c r="M3330" s="2" t="s">
        <v>71</v>
      </c>
      <c r="N3330" s="2" t="s">
        <v>16704</v>
      </c>
      <c r="O3330" s="2" t="s">
        <v>8243</v>
      </c>
      <c r="P3330" s="9">
        <v>0</v>
      </c>
      <c r="Q3330" s="9">
        <v>-5753.07</v>
      </c>
      <c r="R3330" s="2" t="s">
        <v>16710</v>
      </c>
    </row>
    <row r="3331" spans="1:18" x14ac:dyDescent="0.25">
      <c r="A3331" s="2" t="s">
        <v>8245</v>
      </c>
      <c r="B3331" s="6">
        <v>46174</v>
      </c>
      <c r="C3331" s="8">
        <v>46202</v>
      </c>
      <c r="D3331" s="2" t="s">
        <v>7433</v>
      </c>
      <c r="E3331" s="2" t="s">
        <v>260</v>
      </c>
      <c r="F3331" s="2" t="s">
        <v>16703</v>
      </c>
      <c r="G3331" s="2" t="s">
        <v>8247</v>
      </c>
      <c r="H3331" s="2" t="s">
        <v>70</v>
      </c>
      <c r="I3331" s="9">
        <v>3627.0015039999998</v>
      </c>
      <c r="J3331" s="7">
        <v>0.66500000000000004</v>
      </c>
      <c r="K3331" s="9">
        <v>2411.96</v>
      </c>
      <c r="L3331" s="14">
        <v>0</v>
      </c>
      <c r="M3331" s="2" t="s">
        <v>71</v>
      </c>
      <c r="N3331" s="2" t="s">
        <v>16704</v>
      </c>
      <c r="O3331" s="2" t="s">
        <v>8246</v>
      </c>
      <c r="P3331" s="9">
        <v>1.8</v>
      </c>
      <c r="Q3331" s="9">
        <v>2411.96</v>
      </c>
      <c r="R3331" s="2" t="s">
        <v>16710</v>
      </c>
    </row>
    <row r="3332" spans="1:18" x14ac:dyDescent="0.25">
      <c r="A3332" s="2" t="s">
        <v>8248</v>
      </c>
      <c r="B3332" s="6">
        <v>46204</v>
      </c>
      <c r="C3332" s="8">
        <v>46227</v>
      </c>
      <c r="D3332" s="2" t="s">
        <v>7433</v>
      </c>
      <c r="E3332" s="2" t="s">
        <v>260</v>
      </c>
      <c r="F3332" s="2" t="s">
        <v>16703</v>
      </c>
      <c r="G3332" s="2" t="s">
        <v>8249</v>
      </c>
      <c r="H3332" s="2" t="s">
        <v>70</v>
      </c>
      <c r="I3332" s="9">
        <v>5440.5022550000003</v>
      </c>
      <c r="J3332" s="7">
        <v>0.65800000000000003</v>
      </c>
      <c r="K3332" s="9">
        <v>3579.85</v>
      </c>
      <c r="L3332" s="14">
        <v>0</v>
      </c>
      <c r="M3332" s="2" t="s">
        <v>71</v>
      </c>
      <c r="N3332" s="2" t="s">
        <v>16706</v>
      </c>
      <c r="O3332" s="2" t="s">
        <v>8246</v>
      </c>
      <c r="P3332" s="9">
        <v>1.97</v>
      </c>
      <c r="Q3332" s="9">
        <v>3617.93</v>
      </c>
      <c r="R3332" s="2" t="s">
        <v>16711</v>
      </c>
    </row>
    <row r="3333" spans="1:18" x14ac:dyDescent="0.25">
      <c r="A3333" s="2" t="s">
        <v>8250</v>
      </c>
      <c r="B3333" s="6">
        <v>46174</v>
      </c>
      <c r="C3333" s="8">
        <v>46203</v>
      </c>
      <c r="D3333" s="2" t="s">
        <v>7433</v>
      </c>
      <c r="E3333" s="2" t="s">
        <v>260</v>
      </c>
      <c r="F3333" s="2" t="s">
        <v>16703</v>
      </c>
      <c r="G3333" s="2" t="s">
        <v>8252</v>
      </c>
      <c r="H3333" s="2" t="s">
        <v>39</v>
      </c>
      <c r="I3333" s="9">
        <v>2522.6799999999998</v>
      </c>
      <c r="J3333" s="7">
        <v>1</v>
      </c>
      <c r="K3333" s="9">
        <v>2522.6799999999998</v>
      </c>
      <c r="L3333" s="14">
        <v>0</v>
      </c>
      <c r="M3333" s="2" t="s">
        <v>71</v>
      </c>
      <c r="N3333" s="2" t="s">
        <v>16704</v>
      </c>
      <c r="O3333" s="2" t="s">
        <v>8251</v>
      </c>
      <c r="P3333" s="9">
        <v>1.8</v>
      </c>
      <c r="Q3333" s="9">
        <v>2522.6799999999998</v>
      </c>
      <c r="R3333" s="2" t="s">
        <v>16710</v>
      </c>
    </row>
    <row r="3334" spans="1:18" x14ac:dyDescent="0.25">
      <c r="A3334" s="2" t="s">
        <v>8253</v>
      </c>
      <c r="B3334" s="6">
        <v>46204</v>
      </c>
      <c r="C3334" s="8">
        <v>46228</v>
      </c>
      <c r="D3334" s="2" t="s">
        <v>7433</v>
      </c>
      <c r="E3334" s="2" t="s">
        <v>260</v>
      </c>
      <c r="F3334" s="2" t="s">
        <v>16703</v>
      </c>
      <c r="G3334" s="2" t="s">
        <v>8254</v>
      </c>
      <c r="H3334" s="2" t="s">
        <v>39</v>
      </c>
      <c r="I3334" s="9">
        <v>3784.02</v>
      </c>
      <c r="J3334" s="7">
        <v>1</v>
      </c>
      <c r="K3334" s="9">
        <v>3784.02</v>
      </c>
      <c r="L3334" s="14">
        <v>0</v>
      </c>
      <c r="M3334" s="2" t="s">
        <v>71</v>
      </c>
      <c r="N3334" s="2" t="s">
        <v>16706</v>
      </c>
      <c r="O3334" s="2" t="s">
        <v>8251</v>
      </c>
      <c r="P3334" s="9">
        <v>2.08</v>
      </c>
      <c r="Q3334" s="9">
        <v>3784.02</v>
      </c>
      <c r="R3334" s="2" t="s">
        <v>16711</v>
      </c>
    </row>
    <row r="3335" spans="1:18" x14ac:dyDescent="0.25">
      <c r="A3335" s="2" t="s">
        <v>8255</v>
      </c>
      <c r="B3335" s="6">
        <v>46204</v>
      </c>
      <c r="C3335" s="8">
        <v>46204</v>
      </c>
      <c r="D3335" s="2" t="s">
        <v>7433</v>
      </c>
      <c r="E3335" s="2" t="s">
        <v>260</v>
      </c>
      <c r="F3335" s="2" t="s">
        <v>16703</v>
      </c>
      <c r="G3335" s="2" t="s">
        <v>8257</v>
      </c>
      <c r="H3335" s="2" t="s">
        <v>76</v>
      </c>
      <c r="I3335" s="9">
        <v>42134528</v>
      </c>
      <c r="J3335" s="7">
        <v>6.2000000000000003E-5</v>
      </c>
      <c r="K3335" s="9">
        <v>2612.34</v>
      </c>
      <c r="L3335" s="14">
        <v>0</v>
      </c>
      <c r="M3335" s="2" t="s">
        <v>71</v>
      </c>
      <c r="N3335" s="2" t="s">
        <v>16706</v>
      </c>
      <c r="O3335" s="2" t="s">
        <v>8256</v>
      </c>
      <c r="P3335" s="9">
        <v>1.8</v>
      </c>
      <c r="Q3335" s="9">
        <v>2633.41</v>
      </c>
      <c r="R3335" s="2" t="s">
        <v>16711</v>
      </c>
    </row>
    <row r="3336" spans="1:18" x14ac:dyDescent="0.25">
      <c r="A3336" s="2" t="s">
        <v>8258</v>
      </c>
      <c r="B3336" s="6">
        <v>46204</v>
      </c>
      <c r="C3336" s="8">
        <v>46229</v>
      </c>
      <c r="D3336" s="2" t="s">
        <v>7433</v>
      </c>
      <c r="E3336" s="2" t="s">
        <v>260</v>
      </c>
      <c r="F3336" s="2" t="s">
        <v>16703</v>
      </c>
      <c r="G3336" s="2" t="s">
        <v>8259</v>
      </c>
      <c r="H3336" s="2" t="s">
        <v>76</v>
      </c>
      <c r="I3336" s="9">
        <v>63201792</v>
      </c>
      <c r="J3336" s="7">
        <v>6.2000000000000003E-5</v>
      </c>
      <c r="K3336" s="9">
        <v>3918.51</v>
      </c>
      <c r="L3336" s="14">
        <v>0</v>
      </c>
      <c r="M3336" s="2" t="s">
        <v>71</v>
      </c>
      <c r="N3336" s="2" t="s">
        <v>16706</v>
      </c>
      <c r="O3336" s="2" t="s">
        <v>8256</v>
      </c>
      <c r="P3336" s="9">
        <v>2.16</v>
      </c>
      <c r="Q3336" s="9">
        <v>3950.11</v>
      </c>
      <c r="R3336" s="2" t="s">
        <v>16711</v>
      </c>
    </row>
    <row r="3337" spans="1:18" x14ac:dyDescent="0.25">
      <c r="A3337" s="2" t="s">
        <v>8260</v>
      </c>
      <c r="B3337" s="6">
        <v>46204</v>
      </c>
      <c r="C3337" s="8">
        <v>46205</v>
      </c>
      <c r="D3337" s="2" t="s">
        <v>7433</v>
      </c>
      <c r="E3337" s="2" t="s">
        <v>260</v>
      </c>
      <c r="F3337" s="2" t="s">
        <v>16703</v>
      </c>
      <c r="G3337" s="2" t="s">
        <v>8262</v>
      </c>
      <c r="H3337" s="2" t="s">
        <v>70</v>
      </c>
      <c r="I3337" s="9">
        <v>4126.5142859999996</v>
      </c>
      <c r="J3337" s="7">
        <v>0.65800000000000003</v>
      </c>
      <c r="K3337" s="9">
        <v>2715.25</v>
      </c>
      <c r="L3337" s="14">
        <v>0</v>
      </c>
      <c r="M3337" s="2" t="s">
        <v>71</v>
      </c>
      <c r="N3337" s="2" t="s">
        <v>16706</v>
      </c>
      <c r="O3337" s="2" t="s">
        <v>8261</v>
      </c>
      <c r="P3337" s="9">
        <v>1.8</v>
      </c>
      <c r="Q3337" s="9">
        <v>2744.13</v>
      </c>
      <c r="R3337" s="2" t="s">
        <v>16711</v>
      </c>
    </row>
    <row r="3338" spans="1:18" x14ac:dyDescent="0.25">
      <c r="A3338" s="2" t="s">
        <v>8263</v>
      </c>
      <c r="B3338" s="6">
        <v>46204</v>
      </c>
      <c r="C3338" s="8">
        <v>46230</v>
      </c>
      <c r="D3338" s="2" t="s">
        <v>7433</v>
      </c>
      <c r="E3338" s="2" t="s">
        <v>260</v>
      </c>
      <c r="F3338" s="2" t="s">
        <v>16703</v>
      </c>
      <c r="G3338" s="2" t="s">
        <v>8264</v>
      </c>
      <c r="H3338" s="2" t="s">
        <v>70</v>
      </c>
      <c r="I3338" s="9">
        <v>6189.771428</v>
      </c>
      <c r="J3338" s="7">
        <v>0.65800000000000003</v>
      </c>
      <c r="K3338" s="9">
        <v>4072.87</v>
      </c>
      <c r="L3338" s="14">
        <v>0</v>
      </c>
      <c r="M3338" s="2" t="s">
        <v>71</v>
      </c>
      <c r="N3338" s="2" t="s">
        <v>16706</v>
      </c>
      <c r="O3338" s="2" t="s">
        <v>8261</v>
      </c>
      <c r="P3338" s="9">
        <v>2.2400000000000002</v>
      </c>
      <c r="Q3338" s="9">
        <v>4116.2</v>
      </c>
      <c r="R3338" s="2" t="s">
        <v>16711</v>
      </c>
    </row>
    <row r="3339" spans="1:18" x14ac:dyDescent="0.25">
      <c r="A3339" s="2" t="s">
        <v>8265</v>
      </c>
      <c r="B3339" s="6">
        <v>46204</v>
      </c>
      <c r="C3339" s="8">
        <v>46206</v>
      </c>
      <c r="D3339" s="2" t="s">
        <v>7433</v>
      </c>
      <c r="E3339" s="2" t="s">
        <v>260</v>
      </c>
      <c r="F3339" s="2" t="s">
        <v>16703</v>
      </c>
      <c r="G3339" s="2" t="s">
        <v>8267</v>
      </c>
      <c r="H3339" s="2" t="s">
        <v>39</v>
      </c>
      <c r="I3339" s="9">
        <v>2854.86</v>
      </c>
      <c r="J3339" s="7">
        <v>1</v>
      </c>
      <c r="K3339" s="9">
        <v>2854.86</v>
      </c>
      <c r="L3339" s="14">
        <v>0</v>
      </c>
      <c r="M3339" s="2" t="s">
        <v>71</v>
      </c>
      <c r="N3339" s="2" t="s">
        <v>16706</v>
      </c>
      <c r="O3339" s="2" t="s">
        <v>8266</v>
      </c>
      <c r="P3339" s="9">
        <v>1.8</v>
      </c>
      <c r="Q3339" s="9">
        <v>2854.86</v>
      </c>
      <c r="R3339" s="2" t="s">
        <v>16711</v>
      </c>
    </row>
    <row r="3340" spans="1:18" x14ac:dyDescent="0.25">
      <c r="A3340" s="2" t="s">
        <v>8268</v>
      </c>
      <c r="B3340" s="6">
        <v>46204</v>
      </c>
      <c r="C3340" s="8">
        <v>46231</v>
      </c>
      <c r="D3340" s="2" t="s">
        <v>7433</v>
      </c>
      <c r="E3340" s="2" t="s">
        <v>260</v>
      </c>
      <c r="F3340" s="2" t="s">
        <v>16703</v>
      </c>
      <c r="G3340" s="2" t="s">
        <v>8269</v>
      </c>
      <c r="H3340" s="2" t="s">
        <v>39</v>
      </c>
      <c r="I3340" s="9">
        <v>4282.29</v>
      </c>
      <c r="J3340" s="7">
        <v>1</v>
      </c>
      <c r="K3340" s="9">
        <v>4282.29</v>
      </c>
      <c r="L3340" s="14">
        <v>0</v>
      </c>
      <c r="M3340" s="2" t="s">
        <v>71</v>
      </c>
      <c r="N3340" s="2" t="s">
        <v>16706</v>
      </c>
      <c r="O3340" s="2" t="s">
        <v>8266</v>
      </c>
      <c r="P3340" s="9">
        <v>2.36</v>
      </c>
      <c r="Q3340" s="9">
        <v>4282.29</v>
      </c>
      <c r="R3340" s="2" t="s">
        <v>16711</v>
      </c>
    </row>
    <row r="3341" spans="1:18" x14ac:dyDescent="0.25">
      <c r="A3341" s="2" t="s">
        <v>8270</v>
      </c>
      <c r="B3341" s="6">
        <v>46204</v>
      </c>
      <c r="C3341" s="8">
        <v>46207</v>
      </c>
      <c r="D3341" s="2" t="s">
        <v>7433</v>
      </c>
      <c r="E3341" s="2" t="s">
        <v>260</v>
      </c>
      <c r="F3341" s="2" t="s">
        <v>16703</v>
      </c>
      <c r="G3341" s="2" t="s">
        <v>8272</v>
      </c>
      <c r="H3341" s="2" t="s">
        <v>76</v>
      </c>
      <c r="I3341" s="9">
        <v>47449408</v>
      </c>
      <c r="J3341" s="7">
        <v>6.2000000000000003E-5</v>
      </c>
      <c r="K3341" s="9">
        <v>2941.86</v>
      </c>
      <c r="L3341" s="14">
        <v>0</v>
      </c>
      <c r="M3341" s="2" t="s">
        <v>71</v>
      </c>
      <c r="N3341" s="2" t="s">
        <v>16706</v>
      </c>
      <c r="O3341" s="2" t="s">
        <v>8271</v>
      </c>
      <c r="P3341" s="9">
        <v>1.8</v>
      </c>
      <c r="Q3341" s="9">
        <v>2965.59</v>
      </c>
      <c r="R3341" s="2" t="s">
        <v>16711</v>
      </c>
    </row>
    <row r="3342" spans="1:18" x14ac:dyDescent="0.25">
      <c r="A3342" s="2" t="s">
        <v>8273</v>
      </c>
      <c r="B3342" s="6">
        <v>46204</v>
      </c>
      <c r="C3342" s="8">
        <v>46232</v>
      </c>
      <c r="D3342" s="2" t="s">
        <v>7433</v>
      </c>
      <c r="E3342" s="2" t="s">
        <v>260</v>
      </c>
      <c r="F3342" s="2" t="s">
        <v>16703</v>
      </c>
      <c r="G3342" s="2" t="s">
        <v>8274</v>
      </c>
      <c r="H3342" s="2" t="s">
        <v>76</v>
      </c>
      <c r="I3342" s="9">
        <v>71174112</v>
      </c>
      <c r="J3342" s="7">
        <v>6.2000000000000003E-5</v>
      </c>
      <c r="K3342" s="9">
        <v>4412.79</v>
      </c>
      <c r="L3342" s="14">
        <v>0</v>
      </c>
      <c r="M3342" s="2" t="s">
        <v>71</v>
      </c>
      <c r="N3342" s="2" t="s">
        <v>16706</v>
      </c>
      <c r="O3342" s="2" t="s">
        <v>8271</v>
      </c>
      <c r="P3342" s="9">
        <v>2.4300000000000002</v>
      </c>
      <c r="Q3342" s="9">
        <v>4448.38</v>
      </c>
      <c r="R3342" s="2" t="s">
        <v>16711</v>
      </c>
    </row>
    <row r="3343" spans="1:18" x14ac:dyDescent="0.25">
      <c r="A3343" s="2" t="s">
        <v>8275</v>
      </c>
      <c r="B3343" s="6">
        <v>46204</v>
      </c>
      <c r="C3343" s="8">
        <v>46208</v>
      </c>
      <c r="D3343" s="2" t="s">
        <v>7433</v>
      </c>
      <c r="E3343" s="2" t="s">
        <v>260</v>
      </c>
      <c r="F3343" s="2" t="s">
        <v>16703</v>
      </c>
      <c r="G3343" s="2" t="s">
        <v>8277</v>
      </c>
      <c r="H3343" s="2" t="s">
        <v>70</v>
      </c>
      <c r="I3343" s="9">
        <v>4626.0330830000003</v>
      </c>
      <c r="J3343" s="7">
        <v>0.65800000000000003</v>
      </c>
      <c r="K3343" s="9">
        <v>3043.93</v>
      </c>
      <c r="L3343" s="14">
        <v>0</v>
      </c>
      <c r="M3343" s="2" t="s">
        <v>71</v>
      </c>
      <c r="N3343" s="2" t="s">
        <v>16706</v>
      </c>
      <c r="O3343" s="2" t="s">
        <v>8276</v>
      </c>
      <c r="P3343" s="9">
        <v>1.8</v>
      </c>
      <c r="Q3343" s="9">
        <v>3076.31</v>
      </c>
      <c r="R3343" s="2" t="s">
        <v>16711</v>
      </c>
    </row>
    <row r="3344" spans="1:18" x14ac:dyDescent="0.25">
      <c r="A3344" s="2" t="s">
        <v>8278</v>
      </c>
      <c r="B3344" s="6">
        <v>46204</v>
      </c>
      <c r="C3344" s="8">
        <v>46233</v>
      </c>
      <c r="D3344" s="2" t="s">
        <v>7433</v>
      </c>
      <c r="E3344" s="2" t="s">
        <v>260</v>
      </c>
      <c r="F3344" s="2" t="s">
        <v>16703</v>
      </c>
      <c r="G3344" s="2" t="s">
        <v>8279</v>
      </c>
      <c r="H3344" s="2" t="s">
        <v>70</v>
      </c>
      <c r="I3344" s="9">
        <v>6939.0496240000002</v>
      </c>
      <c r="J3344" s="7">
        <v>0.65800000000000003</v>
      </c>
      <c r="K3344" s="9">
        <v>4565.8900000000003</v>
      </c>
      <c r="L3344" s="14">
        <v>0</v>
      </c>
      <c r="M3344" s="2" t="s">
        <v>71</v>
      </c>
      <c r="N3344" s="2" t="s">
        <v>16706</v>
      </c>
      <c r="O3344" s="2" t="s">
        <v>8276</v>
      </c>
      <c r="P3344" s="9">
        <v>2.5099999999999998</v>
      </c>
      <c r="Q3344" s="9">
        <v>4614.47</v>
      </c>
      <c r="R3344" s="2" t="s">
        <v>16711</v>
      </c>
    </row>
    <row r="3345" spans="1:18" x14ac:dyDescent="0.25">
      <c r="A3345" s="2" t="s">
        <v>8280</v>
      </c>
      <c r="B3345" s="6">
        <v>46204</v>
      </c>
      <c r="C3345" s="8">
        <v>46209</v>
      </c>
      <c r="D3345" s="2" t="s">
        <v>7433</v>
      </c>
      <c r="E3345" s="2" t="s">
        <v>260</v>
      </c>
      <c r="F3345" s="2" t="s">
        <v>16703</v>
      </c>
      <c r="G3345" s="2" t="s">
        <v>8282</v>
      </c>
      <c r="H3345" s="2" t="s">
        <v>39</v>
      </c>
      <c r="I3345" s="9">
        <v>3187.04</v>
      </c>
      <c r="J3345" s="7">
        <v>1</v>
      </c>
      <c r="K3345" s="9">
        <v>3187.04</v>
      </c>
      <c r="L3345" s="14">
        <v>0</v>
      </c>
      <c r="M3345" s="2" t="s">
        <v>71</v>
      </c>
      <c r="N3345" s="2" t="s">
        <v>16706</v>
      </c>
      <c r="O3345" s="2" t="s">
        <v>8281</v>
      </c>
      <c r="P3345" s="9">
        <v>1.8</v>
      </c>
      <c r="Q3345" s="9">
        <v>3187.04</v>
      </c>
      <c r="R3345" s="2" t="s">
        <v>16711</v>
      </c>
    </row>
    <row r="3346" spans="1:18" x14ac:dyDescent="0.25">
      <c r="A3346" s="2" t="s">
        <v>8283</v>
      </c>
      <c r="B3346" s="6">
        <v>46204</v>
      </c>
      <c r="C3346" s="8">
        <v>46234</v>
      </c>
      <c r="D3346" s="2" t="s">
        <v>7433</v>
      </c>
      <c r="E3346" s="2" t="s">
        <v>260</v>
      </c>
      <c r="F3346" s="2" t="s">
        <v>16703</v>
      </c>
      <c r="G3346" s="2" t="s">
        <v>8284</v>
      </c>
      <c r="H3346" s="2" t="s">
        <v>39</v>
      </c>
      <c r="I3346" s="9">
        <v>4780.5600000000004</v>
      </c>
      <c r="J3346" s="7">
        <v>1</v>
      </c>
      <c r="K3346" s="9">
        <v>4780.5600000000004</v>
      </c>
      <c r="L3346" s="14">
        <v>0</v>
      </c>
      <c r="M3346" s="2" t="s">
        <v>71</v>
      </c>
      <c r="N3346" s="2" t="s">
        <v>16706</v>
      </c>
      <c r="O3346" s="2" t="s">
        <v>8281</v>
      </c>
      <c r="P3346" s="9">
        <v>2.63</v>
      </c>
      <c r="Q3346" s="9">
        <v>4780.5600000000004</v>
      </c>
      <c r="R3346" s="2" t="s">
        <v>16711</v>
      </c>
    </row>
    <row r="3347" spans="1:18" x14ac:dyDescent="0.25">
      <c r="A3347" s="2" t="s">
        <v>8285</v>
      </c>
      <c r="B3347" s="6">
        <v>46204</v>
      </c>
      <c r="C3347" s="8">
        <v>46210</v>
      </c>
      <c r="D3347" s="2" t="s">
        <v>7433</v>
      </c>
      <c r="E3347" s="2" t="s">
        <v>260</v>
      </c>
      <c r="F3347" s="2" t="s">
        <v>16703</v>
      </c>
      <c r="G3347" s="2" t="s">
        <v>8287</v>
      </c>
      <c r="H3347" s="2" t="s">
        <v>76</v>
      </c>
      <c r="I3347" s="9">
        <v>52764288</v>
      </c>
      <c r="J3347" s="7">
        <v>6.2000000000000003E-5</v>
      </c>
      <c r="K3347" s="9">
        <v>3271.39</v>
      </c>
      <c r="L3347" s="14">
        <v>0</v>
      </c>
      <c r="M3347" s="2" t="s">
        <v>71</v>
      </c>
      <c r="N3347" s="2" t="s">
        <v>16706</v>
      </c>
      <c r="O3347" s="2" t="s">
        <v>8286</v>
      </c>
      <c r="P3347" s="9">
        <v>1.8</v>
      </c>
      <c r="Q3347" s="9">
        <v>3297.77</v>
      </c>
      <c r="R3347" s="2" t="s">
        <v>16711</v>
      </c>
    </row>
    <row r="3348" spans="1:18" x14ac:dyDescent="0.25">
      <c r="A3348" s="2" t="s">
        <v>8290</v>
      </c>
      <c r="B3348" s="6">
        <v>46204</v>
      </c>
      <c r="C3348" s="8">
        <v>46211</v>
      </c>
      <c r="D3348" s="2" t="s">
        <v>7433</v>
      </c>
      <c r="E3348" s="2" t="s">
        <v>260</v>
      </c>
      <c r="F3348" s="2" t="s">
        <v>16703</v>
      </c>
      <c r="G3348" s="2" t="s">
        <v>8292</v>
      </c>
      <c r="H3348" s="2" t="s">
        <v>70</v>
      </c>
      <c r="I3348" s="9">
        <v>5125.55188</v>
      </c>
      <c r="J3348" s="7">
        <v>0.65800000000000003</v>
      </c>
      <c r="K3348" s="9">
        <v>3372.61</v>
      </c>
      <c r="L3348" s="14">
        <v>0</v>
      </c>
      <c r="M3348" s="2" t="s">
        <v>71</v>
      </c>
      <c r="N3348" s="2" t="s">
        <v>16706</v>
      </c>
      <c r="O3348" s="2" t="s">
        <v>8291</v>
      </c>
      <c r="P3348" s="9">
        <v>1.85</v>
      </c>
      <c r="Q3348" s="9">
        <v>3408.49</v>
      </c>
      <c r="R3348" s="2" t="s">
        <v>16711</v>
      </c>
    </row>
    <row r="3349" spans="1:18" x14ac:dyDescent="0.25">
      <c r="A3349" s="2" t="s">
        <v>8295</v>
      </c>
      <c r="B3349" s="6">
        <v>46204</v>
      </c>
      <c r="C3349" s="8">
        <v>46212</v>
      </c>
      <c r="D3349" s="2" t="s">
        <v>7433</v>
      </c>
      <c r="E3349" s="2" t="s">
        <v>260</v>
      </c>
      <c r="F3349" s="2" t="s">
        <v>16703</v>
      </c>
      <c r="G3349" s="2" t="s">
        <v>8297</v>
      </c>
      <c r="H3349" s="2" t="s">
        <v>39</v>
      </c>
      <c r="I3349" s="9">
        <v>3519.22</v>
      </c>
      <c r="J3349" s="7">
        <v>1</v>
      </c>
      <c r="K3349" s="9">
        <v>3519.22</v>
      </c>
      <c r="L3349" s="14">
        <v>0</v>
      </c>
      <c r="M3349" s="2" t="s">
        <v>71</v>
      </c>
      <c r="N3349" s="2" t="s">
        <v>16706</v>
      </c>
      <c r="O3349" s="2" t="s">
        <v>8296</v>
      </c>
      <c r="P3349" s="9">
        <v>1.94</v>
      </c>
      <c r="Q3349" s="9">
        <v>3519.22</v>
      </c>
      <c r="R3349" s="2" t="s">
        <v>16711</v>
      </c>
    </row>
    <row r="3350" spans="1:18" x14ac:dyDescent="0.25">
      <c r="A3350" s="2" t="s">
        <v>8300</v>
      </c>
      <c r="B3350" s="6">
        <v>46204</v>
      </c>
      <c r="C3350" s="8">
        <v>46213</v>
      </c>
      <c r="D3350" s="2" t="s">
        <v>7433</v>
      </c>
      <c r="E3350" s="2" t="s">
        <v>260</v>
      </c>
      <c r="F3350" s="2" t="s">
        <v>16703</v>
      </c>
      <c r="G3350" s="2" t="s">
        <v>8302</v>
      </c>
      <c r="H3350" s="2" t="s">
        <v>76</v>
      </c>
      <c r="I3350" s="9">
        <v>58079104</v>
      </c>
      <c r="J3350" s="7">
        <v>6.2000000000000003E-5</v>
      </c>
      <c r="K3350" s="9">
        <v>3600.9</v>
      </c>
      <c r="L3350" s="14">
        <v>0</v>
      </c>
      <c r="M3350" s="2" t="s">
        <v>71</v>
      </c>
      <c r="N3350" s="2" t="s">
        <v>16706</v>
      </c>
      <c r="O3350" s="2" t="s">
        <v>8301</v>
      </c>
      <c r="P3350" s="9">
        <v>1.98</v>
      </c>
      <c r="Q3350" s="9">
        <v>3629.94</v>
      </c>
      <c r="R3350" s="2" t="s">
        <v>16711</v>
      </c>
    </row>
    <row r="3351" spans="1:18" x14ac:dyDescent="0.25">
      <c r="A3351" s="2" t="s">
        <v>8305</v>
      </c>
      <c r="B3351" s="6">
        <v>46204</v>
      </c>
      <c r="C3351" s="8">
        <v>46214</v>
      </c>
      <c r="D3351" s="2" t="s">
        <v>7433</v>
      </c>
      <c r="E3351" s="2" t="s">
        <v>260</v>
      </c>
      <c r="F3351" s="2" t="s">
        <v>16703</v>
      </c>
      <c r="G3351" s="2" t="s">
        <v>8307</v>
      </c>
      <c r="H3351" s="2" t="s">
        <v>70</v>
      </c>
      <c r="I3351" s="9">
        <v>5625.0706769999997</v>
      </c>
      <c r="J3351" s="7">
        <v>0.65800000000000003</v>
      </c>
      <c r="K3351" s="9">
        <v>3701.3</v>
      </c>
      <c r="L3351" s="14">
        <v>0</v>
      </c>
      <c r="M3351" s="2" t="s">
        <v>71</v>
      </c>
      <c r="N3351" s="2" t="s">
        <v>16706</v>
      </c>
      <c r="O3351" s="2" t="s">
        <v>8306</v>
      </c>
      <c r="P3351" s="9">
        <v>2.04</v>
      </c>
      <c r="Q3351" s="9">
        <v>3740.67</v>
      </c>
      <c r="R3351" s="2" t="s">
        <v>16711</v>
      </c>
    </row>
    <row r="3352" spans="1:18" x14ac:dyDescent="0.25">
      <c r="A3352" s="2" t="s">
        <v>8310</v>
      </c>
      <c r="B3352" s="6">
        <v>46204</v>
      </c>
      <c r="C3352" s="8">
        <v>46215</v>
      </c>
      <c r="D3352" s="2" t="s">
        <v>7433</v>
      </c>
      <c r="E3352" s="2" t="s">
        <v>260</v>
      </c>
      <c r="F3352" s="2" t="s">
        <v>16703</v>
      </c>
      <c r="G3352" s="2" t="s">
        <v>8312</v>
      </c>
      <c r="H3352" s="2" t="s">
        <v>39</v>
      </c>
      <c r="I3352" s="9">
        <v>3851.4</v>
      </c>
      <c r="J3352" s="7">
        <v>1</v>
      </c>
      <c r="K3352" s="9">
        <v>3851.4</v>
      </c>
      <c r="L3352" s="14">
        <v>0</v>
      </c>
      <c r="M3352" s="2" t="s">
        <v>71</v>
      </c>
      <c r="N3352" s="2" t="s">
        <v>16706</v>
      </c>
      <c r="O3352" s="2" t="s">
        <v>8311</v>
      </c>
      <c r="P3352" s="9">
        <v>2.12</v>
      </c>
      <c r="Q3352" s="9">
        <v>3851.4</v>
      </c>
      <c r="R3352" s="2" t="s">
        <v>16711</v>
      </c>
    </row>
    <row r="3353" spans="1:18" x14ac:dyDescent="0.25">
      <c r="A3353" s="2" t="s">
        <v>8315</v>
      </c>
      <c r="B3353" s="6">
        <v>46204</v>
      </c>
      <c r="C3353" s="8">
        <v>46216</v>
      </c>
      <c r="D3353" s="2" t="s">
        <v>7433</v>
      </c>
      <c r="E3353" s="2" t="s">
        <v>260</v>
      </c>
      <c r="F3353" s="2" t="s">
        <v>16703</v>
      </c>
      <c r="G3353" s="2" t="s">
        <v>8317</v>
      </c>
      <c r="H3353" s="2" t="s">
        <v>76</v>
      </c>
      <c r="I3353" s="9">
        <v>63393984</v>
      </c>
      <c r="J3353" s="7">
        <v>6.2000000000000003E-5</v>
      </c>
      <c r="K3353" s="9">
        <v>3930.43</v>
      </c>
      <c r="L3353" s="14">
        <v>0</v>
      </c>
      <c r="M3353" s="2" t="s">
        <v>71</v>
      </c>
      <c r="N3353" s="2" t="s">
        <v>16706</v>
      </c>
      <c r="O3353" s="2" t="s">
        <v>8316</v>
      </c>
      <c r="P3353" s="9">
        <v>2.16</v>
      </c>
      <c r="Q3353" s="9">
        <v>3962.12</v>
      </c>
      <c r="R3353" s="2" t="s">
        <v>16711</v>
      </c>
    </row>
    <row r="3354" spans="1:18" x14ac:dyDescent="0.25">
      <c r="A3354" s="2" t="s">
        <v>8320</v>
      </c>
      <c r="B3354" s="6">
        <v>46204</v>
      </c>
      <c r="C3354" s="8">
        <v>46217</v>
      </c>
      <c r="D3354" s="2" t="s">
        <v>7433</v>
      </c>
      <c r="E3354" s="2" t="s">
        <v>260</v>
      </c>
      <c r="F3354" s="2" t="s">
        <v>16703</v>
      </c>
      <c r="G3354" s="2" t="s">
        <v>8322</v>
      </c>
      <c r="H3354" s="2" t="s">
        <v>70</v>
      </c>
      <c r="I3354" s="9">
        <v>6124.5894740000003</v>
      </c>
      <c r="J3354" s="7">
        <v>0.65800000000000003</v>
      </c>
      <c r="K3354" s="9">
        <v>4029.98</v>
      </c>
      <c r="L3354" s="14">
        <v>0</v>
      </c>
      <c r="M3354" s="2" t="s">
        <v>71</v>
      </c>
      <c r="N3354" s="2" t="s">
        <v>16706</v>
      </c>
      <c r="O3354" s="2" t="s">
        <v>8321</v>
      </c>
      <c r="P3354" s="9">
        <v>2.2200000000000002</v>
      </c>
      <c r="Q3354" s="9">
        <v>4072.85</v>
      </c>
      <c r="R3354" s="2" t="s">
        <v>16711</v>
      </c>
    </row>
    <row r="3355" spans="1:18" x14ac:dyDescent="0.25">
      <c r="A3355" s="2" t="s">
        <v>8325</v>
      </c>
      <c r="B3355" s="6">
        <v>46174</v>
      </c>
      <c r="C3355" s="8">
        <v>46188</v>
      </c>
      <c r="D3355" s="2" t="s">
        <v>7433</v>
      </c>
      <c r="E3355" s="2" t="s">
        <v>260</v>
      </c>
      <c r="F3355" s="2" t="s">
        <v>16703</v>
      </c>
      <c r="G3355" s="2" t="s">
        <v>8327</v>
      </c>
      <c r="H3355" s="2" t="s">
        <v>39</v>
      </c>
      <c r="I3355" s="9">
        <v>4183.576</v>
      </c>
      <c r="J3355" s="7">
        <v>1</v>
      </c>
      <c r="K3355" s="9">
        <v>4183.58</v>
      </c>
      <c r="L3355" s="14">
        <v>0</v>
      </c>
      <c r="M3355" s="2" t="s">
        <v>71</v>
      </c>
      <c r="N3355" s="2" t="s">
        <v>16704</v>
      </c>
      <c r="O3355" s="2" t="s">
        <v>8326</v>
      </c>
      <c r="P3355" s="9">
        <v>2.2999999999999998</v>
      </c>
      <c r="Q3355" s="9">
        <v>4183.58</v>
      </c>
      <c r="R3355" s="2" t="s">
        <v>16710</v>
      </c>
    </row>
    <row r="3356" spans="1:18" x14ac:dyDescent="0.25">
      <c r="A3356" s="2" t="s">
        <v>8328</v>
      </c>
      <c r="B3356" s="6">
        <v>46204</v>
      </c>
      <c r="C3356" s="8">
        <v>46213</v>
      </c>
      <c r="D3356" s="2" t="s">
        <v>7433</v>
      </c>
      <c r="E3356" s="2" t="s">
        <v>260</v>
      </c>
      <c r="F3356" s="2" t="s">
        <v>16703</v>
      </c>
      <c r="G3356" s="2" t="s">
        <v>8329</v>
      </c>
      <c r="H3356" s="2" t="s">
        <v>39</v>
      </c>
      <c r="I3356" s="9">
        <v>6275.3639999999996</v>
      </c>
      <c r="J3356" s="7">
        <v>1</v>
      </c>
      <c r="K3356" s="9">
        <v>6275.36</v>
      </c>
      <c r="L3356" s="14">
        <v>0</v>
      </c>
      <c r="M3356" s="2" t="s">
        <v>71</v>
      </c>
      <c r="N3356" s="2" t="s">
        <v>16706</v>
      </c>
      <c r="O3356" s="2" t="s">
        <v>8326</v>
      </c>
      <c r="P3356" s="9">
        <v>3.45</v>
      </c>
      <c r="Q3356" s="9">
        <v>6275.36</v>
      </c>
      <c r="R3356" s="2" t="s">
        <v>16711</v>
      </c>
    </row>
    <row r="3357" spans="1:18" x14ac:dyDescent="0.25">
      <c r="A3357" s="2" t="s">
        <v>8330</v>
      </c>
      <c r="B3357" s="6">
        <v>46174</v>
      </c>
      <c r="C3357" s="8">
        <v>46189</v>
      </c>
      <c r="D3357" s="2" t="s">
        <v>7433</v>
      </c>
      <c r="E3357" s="2" t="s">
        <v>260</v>
      </c>
      <c r="F3357" s="2" t="s">
        <v>16703</v>
      </c>
      <c r="G3357" s="2" t="s">
        <v>8332</v>
      </c>
      <c r="H3357" s="2" t="s">
        <v>76</v>
      </c>
      <c r="I3357" s="9">
        <v>68708864</v>
      </c>
      <c r="J3357" s="7">
        <v>6.2500000000000001E-5</v>
      </c>
      <c r="K3357" s="9">
        <v>4294.3</v>
      </c>
      <c r="L3357" s="14">
        <v>0</v>
      </c>
      <c r="M3357" s="2" t="s">
        <v>71</v>
      </c>
      <c r="N3357" s="2" t="s">
        <v>16704</v>
      </c>
      <c r="O3357" s="2" t="s">
        <v>8331</v>
      </c>
      <c r="P3357" s="9">
        <v>2.36</v>
      </c>
      <c r="Q3357" s="9">
        <v>4294.3</v>
      </c>
      <c r="R3357" s="2" t="s">
        <v>16710</v>
      </c>
    </row>
    <row r="3358" spans="1:18" x14ac:dyDescent="0.25">
      <c r="A3358" s="2" t="s">
        <v>8333</v>
      </c>
      <c r="B3358" s="6">
        <v>46204</v>
      </c>
      <c r="C3358" s="8">
        <v>46214</v>
      </c>
      <c r="D3358" s="2" t="s">
        <v>7433</v>
      </c>
      <c r="E3358" s="2" t="s">
        <v>260</v>
      </c>
      <c r="F3358" s="2" t="s">
        <v>16703</v>
      </c>
      <c r="G3358" s="2" t="s">
        <v>8334</v>
      </c>
      <c r="H3358" s="2" t="s">
        <v>76</v>
      </c>
      <c r="I3358" s="9">
        <v>103063296</v>
      </c>
      <c r="J3358" s="7">
        <v>6.2000000000000003E-5</v>
      </c>
      <c r="K3358" s="9">
        <v>6389.92</v>
      </c>
      <c r="L3358" s="14">
        <v>0</v>
      </c>
      <c r="M3358" s="2" t="s">
        <v>71</v>
      </c>
      <c r="N3358" s="2" t="s">
        <v>16706</v>
      </c>
      <c r="O3358" s="2" t="s">
        <v>8331</v>
      </c>
      <c r="P3358" s="9">
        <v>3.51</v>
      </c>
      <c r="Q3358" s="9">
        <v>6441.46</v>
      </c>
      <c r="R3358" s="2" t="s">
        <v>16711</v>
      </c>
    </row>
    <row r="3359" spans="1:18" x14ac:dyDescent="0.25">
      <c r="A3359" s="2" t="s">
        <v>8335</v>
      </c>
      <c r="B3359" s="6">
        <v>46174</v>
      </c>
      <c r="C3359" s="8">
        <v>46190</v>
      </c>
      <c r="D3359" s="2" t="s">
        <v>7433</v>
      </c>
      <c r="E3359" s="2" t="s">
        <v>260</v>
      </c>
      <c r="F3359" s="2" t="s">
        <v>16703</v>
      </c>
      <c r="G3359" s="2" t="s">
        <v>8337</v>
      </c>
      <c r="H3359" s="2" t="s">
        <v>70</v>
      </c>
      <c r="I3359" s="9">
        <v>6624.1022560000001</v>
      </c>
      <c r="J3359" s="7">
        <v>0.66500000000000004</v>
      </c>
      <c r="K3359" s="9">
        <v>4405.03</v>
      </c>
      <c r="L3359" s="14">
        <v>0</v>
      </c>
      <c r="M3359" s="2" t="s">
        <v>71</v>
      </c>
      <c r="N3359" s="2" t="s">
        <v>16704</v>
      </c>
      <c r="O3359" s="2" t="s">
        <v>8336</v>
      </c>
      <c r="P3359" s="9">
        <v>2.42</v>
      </c>
      <c r="Q3359" s="9">
        <v>4405.03</v>
      </c>
      <c r="R3359" s="2" t="s">
        <v>16710</v>
      </c>
    </row>
    <row r="3360" spans="1:18" x14ac:dyDescent="0.25">
      <c r="A3360" s="2" t="s">
        <v>8338</v>
      </c>
      <c r="B3360" s="6">
        <v>46204</v>
      </c>
      <c r="C3360" s="8">
        <v>46215</v>
      </c>
      <c r="D3360" s="2" t="s">
        <v>7433</v>
      </c>
      <c r="E3360" s="2" t="s">
        <v>260</v>
      </c>
      <c r="F3360" s="2" t="s">
        <v>16703</v>
      </c>
      <c r="G3360" s="2" t="s">
        <v>8339</v>
      </c>
      <c r="H3360" s="2" t="s">
        <v>70</v>
      </c>
      <c r="I3360" s="9">
        <v>9936.1533830000008</v>
      </c>
      <c r="J3360" s="7">
        <v>0.65800000000000003</v>
      </c>
      <c r="K3360" s="9">
        <v>6537.99</v>
      </c>
      <c r="L3360" s="14">
        <v>0</v>
      </c>
      <c r="M3360" s="2" t="s">
        <v>71</v>
      </c>
      <c r="N3360" s="2" t="s">
        <v>16706</v>
      </c>
      <c r="O3360" s="2" t="s">
        <v>8336</v>
      </c>
      <c r="P3360" s="9">
        <v>3.6</v>
      </c>
      <c r="Q3360" s="9">
        <v>6607.54</v>
      </c>
      <c r="R3360" s="2" t="s">
        <v>16711</v>
      </c>
    </row>
    <row r="3361" spans="1:18" x14ac:dyDescent="0.25">
      <c r="A3361" s="2" t="s">
        <v>8340</v>
      </c>
      <c r="B3361" s="6">
        <v>46174</v>
      </c>
      <c r="C3361" s="8">
        <v>46191</v>
      </c>
      <c r="D3361" s="2" t="s">
        <v>7433</v>
      </c>
      <c r="E3361" s="2" t="s">
        <v>260</v>
      </c>
      <c r="F3361" s="2" t="s">
        <v>16703</v>
      </c>
      <c r="G3361" s="2" t="s">
        <v>8342</v>
      </c>
      <c r="H3361" s="2" t="s">
        <v>39</v>
      </c>
      <c r="I3361" s="9">
        <v>4515.7560000000003</v>
      </c>
      <c r="J3361" s="7">
        <v>1</v>
      </c>
      <c r="K3361" s="9">
        <v>4515.76</v>
      </c>
      <c r="L3361" s="14">
        <v>0</v>
      </c>
      <c r="M3361" s="2" t="s">
        <v>71</v>
      </c>
      <c r="N3361" s="2" t="s">
        <v>16704</v>
      </c>
      <c r="O3361" s="2" t="s">
        <v>8341</v>
      </c>
      <c r="P3361" s="9">
        <v>2.48</v>
      </c>
      <c r="Q3361" s="9">
        <v>4515.76</v>
      </c>
      <c r="R3361" s="2" t="s">
        <v>16710</v>
      </c>
    </row>
    <row r="3362" spans="1:18" x14ac:dyDescent="0.25">
      <c r="A3362" s="2" t="s">
        <v>8343</v>
      </c>
      <c r="B3362" s="6">
        <v>46204</v>
      </c>
      <c r="C3362" s="8">
        <v>46216</v>
      </c>
      <c r="D3362" s="2" t="s">
        <v>7433</v>
      </c>
      <c r="E3362" s="2" t="s">
        <v>260</v>
      </c>
      <c r="F3362" s="2" t="s">
        <v>16703</v>
      </c>
      <c r="G3362" s="2" t="s">
        <v>8344</v>
      </c>
      <c r="H3362" s="2" t="s">
        <v>39</v>
      </c>
      <c r="I3362" s="9">
        <v>6773.634</v>
      </c>
      <c r="J3362" s="7">
        <v>1</v>
      </c>
      <c r="K3362" s="9">
        <v>6773.63</v>
      </c>
      <c r="L3362" s="14">
        <v>0</v>
      </c>
      <c r="M3362" s="2" t="s">
        <v>71</v>
      </c>
      <c r="N3362" s="2" t="s">
        <v>16706</v>
      </c>
      <c r="O3362" s="2" t="s">
        <v>8341</v>
      </c>
      <c r="P3362" s="9">
        <v>3.73</v>
      </c>
      <c r="Q3362" s="9">
        <v>6773.63</v>
      </c>
      <c r="R3362" s="2" t="s">
        <v>16711</v>
      </c>
    </row>
    <row r="3363" spans="1:18" x14ac:dyDescent="0.25">
      <c r="A3363" s="2" t="s">
        <v>8345</v>
      </c>
      <c r="B3363" s="6">
        <v>46174</v>
      </c>
      <c r="C3363" s="8">
        <v>46192</v>
      </c>
      <c r="D3363" s="2" t="s">
        <v>7433</v>
      </c>
      <c r="E3363" s="2" t="s">
        <v>260</v>
      </c>
      <c r="F3363" s="2" t="s">
        <v>16703</v>
      </c>
      <c r="G3363" s="2" t="s">
        <v>8347</v>
      </c>
      <c r="H3363" s="2" t="s">
        <v>76</v>
      </c>
      <c r="I3363" s="9">
        <v>74023744</v>
      </c>
      <c r="J3363" s="7">
        <v>6.2500000000000001E-5</v>
      </c>
      <c r="K3363" s="9">
        <v>4626.4799999999996</v>
      </c>
      <c r="L3363" s="14">
        <v>0</v>
      </c>
      <c r="M3363" s="2" t="s">
        <v>71</v>
      </c>
      <c r="N3363" s="2" t="s">
        <v>16704</v>
      </c>
      <c r="O3363" s="2" t="s">
        <v>8346</v>
      </c>
      <c r="P3363" s="9">
        <v>2.54</v>
      </c>
      <c r="Q3363" s="9">
        <v>4626.4799999999996</v>
      </c>
      <c r="R3363" s="2" t="s">
        <v>16710</v>
      </c>
    </row>
    <row r="3364" spans="1:18" x14ac:dyDescent="0.25">
      <c r="A3364" s="2" t="s">
        <v>8348</v>
      </c>
      <c r="B3364" s="6">
        <v>46204</v>
      </c>
      <c r="C3364" s="8">
        <v>46217</v>
      </c>
      <c r="D3364" s="2" t="s">
        <v>7433</v>
      </c>
      <c r="E3364" s="2" t="s">
        <v>260</v>
      </c>
      <c r="F3364" s="2" t="s">
        <v>16703</v>
      </c>
      <c r="G3364" s="2" t="s">
        <v>8349</v>
      </c>
      <c r="H3364" s="2" t="s">
        <v>76</v>
      </c>
      <c r="I3364" s="9">
        <v>111035616</v>
      </c>
      <c r="J3364" s="7">
        <v>6.2000000000000003E-5</v>
      </c>
      <c r="K3364" s="9">
        <v>6884.21</v>
      </c>
      <c r="L3364" s="14">
        <v>0</v>
      </c>
      <c r="M3364" s="2" t="s">
        <v>71</v>
      </c>
      <c r="N3364" s="2" t="s">
        <v>16706</v>
      </c>
      <c r="O3364" s="2" t="s">
        <v>8346</v>
      </c>
      <c r="P3364" s="9">
        <v>3.79</v>
      </c>
      <c r="Q3364" s="9">
        <v>6939.73</v>
      </c>
      <c r="R3364" s="2" t="s">
        <v>16711</v>
      </c>
    </row>
    <row r="3365" spans="1:18" x14ac:dyDescent="0.25">
      <c r="A3365" s="2" t="s">
        <v>8350</v>
      </c>
      <c r="B3365" s="6">
        <v>46174</v>
      </c>
      <c r="C3365" s="8">
        <v>46193</v>
      </c>
      <c r="D3365" s="2" t="s">
        <v>7433</v>
      </c>
      <c r="E3365" s="2" t="s">
        <v>260</v>
      </c>
      <c r="F3365" s="2" t="s">
        <v>16703</v>
      </c>
      <c r="G3365" s="2" t="s">
        <v>8352</v>
      </c>
      <c r="H3365" s="2" t="s">
        <v>70</v>
      </c>
      <c r="I3365" s="9">
        <v>7123.6210529999998</v>
      </c>
      <c r="J3365" s="7">
        <v>0.66500000000000004</v>
      </c>
      <c r="K3365" s="9">
        <v>4737.21</v>
      </c>
      <c r="L3365" s="14">
        <v>0</v>
      </c>
      <c r="M3365" s="2" t="s">
        <v>71</v>
      </c>
      <c r="N3365" s="2" t="s">
        <v>16704</v>
      </c>
      <c r="O3365" s="2" t="s">
        <v>8351</v>
      </c>
      <c r="P3365" s="9">
        <v>2.61</v>
      </c>
      <c r="Q3365" s="9">
        <v>4737.21</v>
      </c>
      <c r="R3365" s="2" t="s">
        <v>16710</v>
      </c>
    </row>
    <row r="3366" spans="1:18" x14ac:dyDescent="0.25">
      <c r="A3366" s="2" t="s">
        <v>8353</v>
      </c>
      <c r="B3366" s="6">
        <v>46204</v>
      </c>
      <c r="C3366" s="8">
        <v>46218</v>
      </c>
      <c r="D3366" s="2" t="s">
        <v>7433</v>
      </c>
      <c r="E3366" s="2" t="s">
        <v>260</v>
      </c>
      <c r="F3366" s="2" t="s">
        <v>16703</v>
      </c>
      <c r="G3366" s="2" t="s">
        <v>8354</v>
      </c>
      <c r="H3366" s="2" t="s">
        <v>70</v>
      </c>
      <c r="I3366" s="9">
        <v>10685.431579</v>
      </c>
      <c r="J3366" s="7">
        <v>0.65800000000000003</v>
      </c>
      <c r="K3366" s="9">
        <v>7031.01</v>
      </c>
      <c r="L3366" s="14">
        <v>0</v>
      </c>
      <c r="M3366" s="2" t="s">
        <v>71</v>
      </c>
      <c r="N3366" s="2" t="s">
        <v>16706</v>
      </c>
      <c r="O3366" s="2" t="s">
        <v>8351</v>
      </c>
      <c r="P3366" s="9">
        <v>3.87</v>
      </c>
      <c r="Q3366" s="9">
        <v>7105.81</v>
      </c>
      <c r="R3366" s="2" t="s">
        <v>16711</v>
      </c>
    </row>
    <row r="3367" spans="1:18" x14ac:dyDescent="0.25">
      <c r="A3367" s="2" t="s">
        <v>8355</v>
      </c>
      <c r="B3367" s="6">
        <v>46174</v>
      </c>
      <c r="C3367" s="8">
        <v>46194</v>
      </c>
      <c r="D3367" s="2" t="s">
        <v>7433</v>
      </c>
      <c r="E3367" s="2" t="s">
        <v>260</v>
      </c>
      <c r="F3367" s="2" t="s">
        <v>16703</v>
      </c>
      <c r="G3367" s="2" t="s">
        <v>8357</v>
      </c>
      <c r="H3367" s="2" t="s">
        <v>39</v>
      </c>
      <c r="I3367" s="9">
        <v>4847.9359999999997</v>
      </c>
      <c r="J3367" s="7">
        <v>1</v>
      </c>
      <c r="K3367" s="9">
        <v>4847.9399999999996</v>
      </c>
      <c r="L3367" s="14">
        <v>0</v>
      </c>
      <c r="M3367" s="2" t="s">
        <v>71</v>
      </c>
      <c r="N3367" s="2" t="s">
        <v>16704</v>
      </c>
      <c r="O3367" s="2" t="s">
        <v>8356</v>
      </c>
      <c r="P3367" s="9">
        <v>2.67</v>
      </c>
      <c r="Q3367" s="9">
        <v>4847.9399999999996</v>
      </c>
      <c r="R3367" s="2" t="s">
        <v>16710</v>
      </c>
    </row>
    <row r="3368" spans="1:18" x14ac:dyDescent="0.25">
      <c r="A3368" s="2" t="s">
        <v>8358</v>
      </c>
      <c r="B3368" s="6">
        <v>46204</v>
      </c>
      <c r="C3368" s="8">
        <v>46219</v>
      </c>
      <c r="D3368" s="2" t="s">
        <v>7433</v>
      </c>
      <c r="E3368" s="2" t="s">
        <v>260</v>
      </c>
      <c r="F3368" s="2" t="s">
        <v>16703</v>
      </c>
      <c r="G3368" s="2" t="s">
        <v>8359</v>
      </c>
      <c r="H3368" s="2" t="s">
        <v>39</v>
      </c>
      <c r="I3368" s="9">
        <v>7271.9040000000005</v>
      </c>
      <c r="J3368" s="7">
        <v>1</v>
      </c>
      <c r="K3368" s="9">
        <v>7271.9</v>
      </c>
      <c r="L3368" s="14">
        <v>0</v>
      </c>
      <c r="M3368" s="2" t="s">
        <v>71</v>
      </c>
      <c r="N3368" s="2" t="s">
        <v>16706</v>
      </c>
      <c r="O3368" s="2" t="s">
        <v>8356</v>
      </c>
      <c r="P3368" s="9">
        <v>4</v>
      </c>
      <c r="Q3368" s="9">
        <v>7271.9</v>
      </c>
      <c r="R3368" s="2" t="s">
        <v>16711</v>
      </c>
    </row>
    <row r="3369" spans="1:18" x14ac:dyDescent="0.25">
      <c r="A3369" s="2" t="s">
        <v>8360</v>
      </c>
      <c r="B3369" s="6">
        <v>46174</v>
      </c>
      <c r="C3369" s="8">
        <v>46195</v>
      </c>
      <c r="D3369" s="2" t="s">
        <v>7433</v>
      </c>
      <c r="E3369" s="2" t="s">
        <v>260</v>
      </c>
      <c r="F3369" s="2" t="s">
        <v>16703</v>
      </c>
      <c r="G3369" s="2" t="s">
        <v>8362</v>
      </c>
      <c r="H3369" s="2" t="s">
        <v>76</v>
      </c>
      <c r="I3369" s="9">
        <v>79338624</v>
      </c>
      <c r="J3369" s="7">
        <v>6.2500000000000001E-5</v>
      </c>
      <c r="K3369" s="9">
        <v>4958.66</v>
      </c>
      <c r="L3369" s="14">
        <v>0</v>
      </c>
      <c r="M3369" s="2" t="s">
        <v>71</v>
      </c>
      <c r="N3369" s="2" t="s">
        <v>16704</v>
      </c>
      <c r="O3369" s="2" t="s">
        <v>8361</v>
      </c>
      <c r="P3369" s="9">
        <v>2.73</v>
      </c>
      <c r="Q3369" s="9">
        <v>4958.66</v>
      </c>
      <c r="R3369" s="2" t="s">
        <v>16710</v>
      </c>
    </row>
    <row r="3370" spans="1:18" x14ac:dyDescent="0.25">
      <c r="A3370" s="2" t="s">
        <v>8363</v>
      </c>
      <c r="B3370" s="6">
        <v>46204</v>
      </c>
      <c r="C3370" s="8">
        <v>46220</v>
      </c>
      <c r="D3370" s="2" t="s">
        <v>7433</v>
      </c>
      <c r="E3370" s="2" t="s">
        <v>260</v>
      </c>
      <c r="F3370" s="2" t="s">
        <v>16703</v>
      </c>
      <c r="G3370" s="2" t="s">
        <v>8364</v>
      </c>
      <c r="H3370" s="2" t="s">
        <v>76</v>
      </c>
      <c r="I3370" s="9">
        <v>119007936</v>
      </c>
      <c r="J3370" s="7">
        <v>6.2000000000000003E-5</v>
      </c>
      <c r="K3370" s="9">
        <v>7378.49</v>
      </c>
      <c r="L3370" s="14">
        <v>0</v>
      </c>
      <c r="M3370" s="2" t="s">
        <v>71</v>
      </c>
      <c r="N3370" s="2" t="s">
        <v>16706</v>
      </c>
      <c r="O3370" s="2" t="s">
        <v>8361</v>
      </c>
      <c r="P3370" s="9">
        <v>4.0599999999999996</v>
      </c>
      <c r="Q3370" s="9">
        <v>7438</v>
      </c>
      <c r="R3370" s="2" t="s">
        <v>16711</v>
      </c>
    </row>
    <row r="3371" spans="1:18" x14ac:dyDescent="0.25">
      <c r="A3371" s="2" t="s">
        <v>8365</v>
      </c>
      <c r="B3371" s="6">
        <v>46174</v>
      </c>
      <c r="C3371" s="8">
        <v>46196</v>
      </c>
      <c r="D3371" s="2" t="s">
        <v>7433</v>
      </c>
      <c r="E3371" s="2" t="s">
        <v>260</v>
      </c>
      <c r="F3371" s="2" t="s">
        <v>16703</v>
      </c>
      <c r="G3371" s="2" t="s">
        <v>8367</v>
      </c>
      <c r="H3371" s="2" t="s">
        <v>70</v>
      </c>
      <c r="I3371" s="9">
        <v>7623.1398499999996</v>
      </c>
      <c r="J3371" s="7">
        <v>0.66500000000000004</v>
      </c>
      <c r="K3371" s="9">
        <v>5069.3900000000003</v>
      </c>
      <c r="L3371" s="14">
        <v>0</v>
      </c>
      <c r="M3371" s="2" t="s">
        <v>71</v>
      </c>
      <c r="N3371" s="2" t="s">
        <v>16704</v>
      </c>
      <c r="O3371" s="2" t="s">
        <v>8366</v>
      </c>
      <c r="P3371" s="9">
        <v>2.79</v>
      </c>
      <c r="Q3371" s="9">
        <v>5069.3900000000003</v>
      </c>
      <c r="R3371" s="2" t="s">
        <v>16710</v>
      </c>
    </row>
    <row r="3372" spans="1:18" x14ac:dyDescent="0.25">
      <c r="A3372" s="2" t="s">
        <v>8368</v>
      </c>
      <c r="B3372" s="6">
        <v>46204</v>
      </c>
      <c r="C3372" s="8">
        <v>46221</v>
      </c>
      <c r="D3372" s="2" t="s">
        <v>7433</v>
      </c>
      <c r="E3372" s="2" t="s">
        <v>260</v>
      </c>
      <c r="F3372" s="2" t="s">
        <v>16703</v>
      </c>
      <c r="G3372" s="2" t="s">
        <v>8369</v>
      </c>
      <c r="H3372" s="2" t="s">
        <v>70</v>
      </c>
      <c r="I3372" s="9">
        <v>11434.709774000001</v>
      </c>
      <c r="J3372" s="7">
        <v>0.65800000000000003</v>
      </c>
      <c r="K3372" s="9">
        <v>7524.04</v>
      </c>
      <c r="L3372" s="14">
        <v>0</v>
      </c>
      <c r="M3372" s="2" t="s">
        <v>71</v>
      </c>
      <c r="N3372" s="2" t="s">
        <v>16706</v>
      </c>
      <c r="O3372" s="2" t="s">
        <v>8366</v>
      </c>
      <c r="P3372" s="9">
        <v>4.1399999999999997</v>
      </c>
      <c r="Q3372" s="9">
        <v>7604.08</v>
      </c>
      <c r="R3372" s="2" t="s">
        <v>16711</v>
      </c>
    </row>
    <row r="3373" spans="1:18" x14ac:dyDescent="0.25">
      <c r="A3373" s="2" t="s">
        <v>8370</v>
      </c>
      <c r="B3373" s="6">
        <v>46174</v>
      </c>
      <c r="C3373" s="8">
        <v>46197</v>
      </c>
      <c r="D3373" s="2" t="s">
        <v>7433</v>
      </c>
      <c r="E3373" s="2" t="s">
        <v>260</v>
      </c>
      <c r="F3373" s="2" t="s">
        <v>16703</v>
      </c>
      <c r="G3373" s="2" t="s">
        <v>8372</v>
      </c>
      <c r="H3373" s="2" t="s">
        <v>39</v>
      </c>
      <c r="I3373" s="9">
        <v>5180.116</v>
      </c>
      <c r="J3373" s="7">
        <v>1</v>
      </c>
      <c r="K3373" s="9">
        <v>5180.12</v>
      </c>
      <c r="L3373" s="14">
        <v>0</v>
      </c>
      <c r="M3373" s="2" t="s">
        <v>71</v>
      </c>
      <c r="N3373" s="2" t="s">
        <v>16704</v>
      </c>
      <c r="O3373" s="2" t="s">
        <v>8371</v>
      </c>
      <c r="P3373" s="9">
        <v>2.85</v>
      </c>
      <c r="Q3373" s="9">
        <v>5180.12</v>
      </c>
      <c r="R3373" s="2" t="s">
        <v>16710</v>
      </c>
    </row>
    <row r="3374" spans="1:18" x14ac:dyDescent="0.25">
      <c r="A3374" s="2" t="s">
        <v>8373</v>
      </c>
      <c r="B3374" s="6">
        <v>46204</v>
      </c>
      <c r="C3374" s="8">
        <v>46222</v>
      </c>
      <c r="D3374" s="2" t="s">
        <v>7433</v>
      </c>
      <c r="E3374" s="2" t="s">
        <v>260</v>
      </c>
      <c r="F3374" s="2" t="s">
        <v>16703</v>
      </c>
      <c r="G3374" s="2" t="s">
        <v>8374</v>
      </c>
      <c r="H3374" s="2" t="s">
        <v>39</v>
      </c>
      <c r="I3374" s="9">
        <v>7770.174</v>
      </c>
      <c r="J3374" s="7">
        <v>1</v>
      </c>
      <c r="K3374" s="9">
        <v>7770.17</v>
      </c>
      <c r="L3374" s="14">
        <v>0</v>
      </c>
      <c r="M3374" s="2" t="s">
        <v>71</v>
      </c>
      <c r="N3374" s="2" t="s">
        <v>16706</v>
      </c>
      <c r="O3374" s="2" t="s">
        <v>8371</v>
      </c>
      <c r="P3374" s="9">
        <v>4.2699999999999996</v>
      </c>
      <c r="Q3374" s="9">
        <v>7770.17</v>
      </c>
      <c r="R3374" s="2" t="s">
        <v>16711</v>
      </c>
    </row>
    <row r="3375" spans="1:18" x14ac:dyDescent="0.25">
      <c r="A3375" s="2" t="s">
        <v>8375</v>
      </c>
      <c r="B3375" s="6">
        <v>46174</v>
      </c>
      <c r="C3375" s="8">
        <v>46198</v>
      </c>
      <c r="D3375" s="2" t="s">
        <v>7433</v>
      </c>
      <c r="E3375" s="2" t="s">
        <v>260</v>
      </c>
      <c r="F3375" s="2" t="s">
        <v>16703</v>
      </c>
      <c r="G3375" s="2" t="s">
        <v>8377</v>
      </c>
      <c r="H3375" s="2" t="s">
        <v>76</v>
      </c>
      <c r="I3375" s="9">
        <v>84653440</v>
      </c>
      <c r="J3375" s="7">
        <v>6.2500000000000001E-5</v>
      </c>
      <c r="K3375" s="9">
        <v>5290.84</v>
      </c>
      <c r="L3375" s="14">
        <v>0</v>
      </c>
      <c r="M3375" s="2" t="s">
        <v>71</v>
      </c>
      <c r="N3375" s="2" t="s">
        <v>16704</v>
      </c>
      <c r="O3375" s="2" t="s">
        <v>8376</v>
      </c>
      <c r="P3375" s="9">
        <v>2.91</v>
      </c>
      <c r="Q3375" s="9">
        <v>5290.84</v>
      </c>
      <c r="R3375" s="2" t="s">
        <v>16710</v>
      </c>
    </row>
    <row r="3376" spans="1:18" x14ac:dyDescent="0.25">
      <c r="A3376" s="2" t="s">
        <v>8378</v>
      </c>
      <c r="B3376" s="6">
        <v>46204</v>
      </c>
      <c r="C3376" s="8">
        <v>46223</v>
      </c>
      <c r="D3376" s="2" t="s">
        <v>7433</v>
      </c>
      <c r="E3376" s="2" t="s">
        <v>260</v>
      </c>
      <c r="F3376" s="2" t="s">
        <v>16703</v>
      </c>
      <c r="G3376" s="2" t="s">
        <v>8379</v>
      </c>
      <c r="H3376" s="2" t="s">
        <v>76</v>
      </c>
      <c r="I3376" s="9">
        <v>126980160</v>
      </c>
      <c r="J3376" s="7">
        <v>6.2000000000000003E-5</v>
      </c>
      <c r="K3376" s="9">
        <v>7872.77</v>
      </c>
      <c r="L3376" s="14">
        <v>0</v>
      </c>
      <c r="M3376" s="2" t="s">
        <v>71</v>
      </c>
      <c r="N3376" s="2" t="s">
        <v>16706</v>
      </c>
      <c r="O3376" s="2" t="s">
        <v>8376</v>
      </c>
      <c r="P3376" s="9">
        <v>4.33</v>
      </c>
      <c r="Q3376" s="9">
        <v>7936.26</v>
      </c>
      <c r="R3376" s="2" t="s">
        <v>16711</v>
      </c>
    </row>
    <row r="3377" spans="1:18" x14ac:dyDescent="0.25">
      <c r="A3377" s="2" t="s">
        <v>8380</v>
      </c>
      <c r="B3377" s="6">
        <v>46174</v>
      </c>
      <c r="C3377" s="8">
        <v>46199</v>
      </c>
      <c r="D3377" s="2" t="s">
        <v>7433</v>
      </c>
      <c r="E3377" s="2" t="s">
        <v>260</v>
      </c>
      <c r="F3377" s="2" t="s">
        <v>16703</v>
      </c>
      <c r="G3377" s="2" t="s">
        <v>8382</v>
      </c>
      <c r="H3377" s="2" t="s">
        <v>70</v>
      </c>
      <c r="I3377" s="9">
        <v>8122.6586470000002</v>
      </c>
      <c r="J3377" s="7">
        <v>0.66500000000000004</v>
      </c>
      <c r="K3377" s="9">
        <v>5401.57</v>
      </c>
      <c r="L3377" s="14">
        <v>0</v>
      </c>
      <c r="M3377" s="2" t="s">
        <v>71</v>
      </c>
      <c r="N3377" s="2" t="s">
        <v>16704</v>
      </c>
      <c r="O3377" s="2" t="s">
        <v>8381</v>
      </c>
      <c r="P3377" s="9">
        <v>2.97</v>
      </c>
      <c r="Q3377" s="9">
        <v>5401.57</v>
      </c>
      <c r="R3377" s="2" t="s">
        <v>16710</v>
      </c>
    </row>
    <row r="3378" spans="1:18" x14ac:dyDescent="0.25">
      <c r="A3378" s="2" t="s">
        <v>8383</v>
      </c>
      <c r="B3378" s="6">
        <v>46204</v>
      </c>
      <c r="C3378" s="8">
        <v>46224</v>
      </c>
      <c r="D3378" s="2" t="s">
        <v>7433</v>
      </c>
      <c r="E3378" s="2" t="s">
        <v>260</v>
      </c>
      <c r="F3378" s="2" t="s">
        <v>16703</v>
      </c>
      <c r="G3378" s="2" t="s">
        <v>8384</v>
      </c>
      <c r="H3378" s="2" t="s">
        <v>70</v>
      </c>
      <c r="I3378" s="9">
        <v>12183.98797</v>
      </c>
      <c r="J3378" s="7">
        <v>0.65800000000000003</v>
      </c>
      <c r="K3378" s="9">
        <v>8017.06</v>
      </c>
      <c r="L3378" s="14">
        <v>0</v>
      </c>
      <c r="M3378" s="2" t="s">
        <v>71</v>
      </c>
      <c r="N3378" s="2" t="s">
        <v>16706</v>
      </c>
      <c r="O3378" s="2" t="s">
        <v>8381</v>
      </c>
      <c r="P3378" s="9">
        <v>4.41</v>
      </c>
      <c r="Q3378" s="9">
        <v>8102.35</v>
      </c>
      <c r="R3378" s="2" t="s">
        <v>16711</v>
      </c>
    </row>
    <row r="3379" spans="1:18" x14ac:dyDescent="0.25">
      <c r="A3379" s="2" t="s">
        <v>8385</v>
      </c>
      <c r="B3379" s="6">
        <v>46174</v>
      </c>
      <c r="C3379" s="8">
        <v>46200</v>
      </c>
      <c r="D3379" s="2" t="s">
        <v>7433</v>
      </c>
      <c r="E3379" s="2" t="s">
        <v>260</v>
      </c>
      <c r="F3379" s="2" t="s">
        <v>16703</v>
      </c>
      <c r="G3379" s="2" t="s">
        <v>8387</v>
      </c>
      <c r="H3379" s="2" t="s">
        <v>39</v>
      </c>
      <c r="I3379" s="9">
        <v>5512.2960000000003</v>
      </c>
      <c r="J3379" s="7">
        <v>1</v>
      </c>
      <c r="K3379" s="9">
        <v>5512.3</v>
      </c>
      <c r="L3379" s="14">
        <v>0</v>
      </c>
      <c r="M3379" s="2" t="s">
        <v>71</v>
      </c>
      <c r="N3379" s="2" t="s">
        <v>16704</v>
      </c>
      <c r="O3379" s="2" t="s">
        <v>8386</v>
      </c>
      <c r="P3379" s="9">
        <v>3.03</v>
      </c>
      <c r="Q3379" s="9">
        <v>5512.3</v>
      </c>
      <c r="R3379" s="2" t="s">
        <v>16710</v>
      </c>
    </row>
    <row r="3380" spans="1:18" x14ac:dyDescent="0.25">
      <c r="A3380" s="2" t="s">
        <v>8388</v>
      </c>
      <c r="B3380" s="6">
        <v>46204</v>
      </c>
      <c r="C3380" s="8">
        <v>46225</v>
      </c>
      <c r="D3380" s="2" t="s">
        <v>7433</v>
      </c>
      <c r="E3380" s="2" t="s">
        <v>260</v>
      </c>
      <c r="F3380" s="2" t="s">
        <v>16703</v>
      </c>
      <c r="G3380" s="2" t="s">
        <v>8389</v>
      </c>
      <c r="H3380" s="2" t="s">
        <v>39</v>
      </c>
      <c r="I3380" s="9">
        <v>8268.4439999999995</v>
      </c>
      <c r="J3380" s="7">
        <v>1</v>
      </c>
      <c r="K3380" s="9">
        <v>8268.44</v>
      </c>
      <c r="L3380" s="14">
        <v>0</v>
      </c>
      <c r="M3380" s="2" t="s">
        <v>71</v>
      </c>
      <c r="N3380" s="2" t="s">
        <v>16706</v>
      </c>
      <c r="O3380" s="2" t="s">
        <v>8386</v>
      </c>
      <c r="P3380" s="9">
        <v>4.55</v>
      </c>
      <c r="Q3380" s="9">
        <v>8268.44</v>
      </c>
      <c r="R3380" s="2" t="s">
        <v>16711</v>
      </c>
    </row>
    <row r="3381" spans="1:18" x14ac:dyDescent="0.25">
      <c r="A3381" s="2" t="s">
        <v>8390</v>
      </c>
      <c r="B3381" s="6">
        <v>46174</v>
      </c>
      <c r="C3381" s="8">
        <v>46201</v>
      </c>
      <c r="D3381" s="2" t="s">
        <v>7433</v>
      </c>
      <c r="E3381" s="2" t="s">
        <v>260</v>
      </c>
      <c r="F3381" s="2" t="s">
        <v>16703</v>
      </c>
      <c r="G3381" s="2" t="s">
        <v>8392</v>
      </c>
      <c r="H3381" s="2" t="s">
        <v>76</v>
      </c>
      <c r="I3381" s="9">
        <v>89958400</v>
      </c>
      <c r="J3381" s="7">
        <v>6.2500000000000001E-5</v>
      </c>
      <c r="K3381" s="9">
        <v>5622.4</v>
      </c>
      <c r="L3381" s="14">
        <v>0</v>
      </c>
      <c r="M3381" s="2" t="s">
        <v>71</v>
      </c>
      <c r="N3381" s="2" t="s">
        <v>16704</v>
      </c>
      <c r="O3381" s="2" t="s">
        <v>8391</v>
      </c>
      <c r="P3381" s="9">
        <v>3.09</v>
      </c>
      <c r="Q3381" s="9">
        <v>5622.4</v>
      </c>
      <c r="R3381" s="2" t="s">
        <v>16710</v>
      </c>
    </row>
    <row r="3382" spans="1:18" x14ac:dyDescent="0.25">
      <c r="A3382" s="2" t="s">
        <v>8393</v>
      </c>
      <c r="B3382" s="6">
        <v>46204</v>
      </c>
      <c r="C3382" s="8">
        <v>46226</v>
      </c>
      <c r="D3382" s="2" t="s">
        <v>7433</v>
      </c>
      <c r="E3382" s="2" t="s">
        <v>260</v>
      </c>
      <c r="F3382" s="2" t="s">
        <v>16703</v>
      </c>
      <c r="G3382" s="2" t="s">
        <v>8394</v>
      </c>
      <c r="H3382" s="2" t="s">
        <v>76</v>
      </c>
      <c r="I3382" s="9">
        <v>134937600</v>
      </c>
      <c r="J3382" s="7">
        <v>6.2000000000000003E-5</v>
      </c>
      <c r="K3382" s="9">
        <v>8366.1299999999992</v>
      </c>
      <c r="L3382" s="14">
        <v>0</v>
      </c>
      <c r="M3382" s="2" t="s">
        <v>71</v>
      </c>
      <c r="N3382" s="2" t="s">
        <v>16706</v>
      </c>
      <c r="O3382" s="2" t="s">
        <v>8391</v>
      </c>
      <c r="P3382" s="9">
        <v>4.5999999999999996</v>
      </c>
      <c r="Q3382" s="9">
        <v>8433.6</v>
      </c>
      <c r="R3382" s="2" t="s">
        <v>16711</v>
      </c>
    </row>
    <row r="3383" spans="1:18" x14ac:dyDescent="0.25">
      <c r="A3383" s="2" t="s">
        <v>8395</v>
      </c>
      <c r="B3383" s="6">
        <v>46174</v>
      </c>
      <c r="C3383" s="8">
        <v>46202</v>
      </c>
      <c r="D3383" s="2" t="s">
        <v>7433</v>
      </c>
      <c r="E3383" s="2" t="s">
        <v>260</v>
      </c>
      <c r="F3383" s="2" t="s">
        <v>16703</v>
      </c>
      <c r="G3383" s="2" t="s">
        <v>8397</v>
      </c>
      <c r="H3383" s="2" t="s">
        <v>70</v>
      </c>
      <c r="I3383" s="9">
        <v>8621.2451130000009</v>
      </c>
      <c r="J3383" s="7">
        <v>0.66500000000000004</v>
      </c>
      <c r="K3383" s="9">
        <v>5733.13</v>
      </c>
      <c r="L3383" s="14">
        <v>0</v>
      </c>
      <c r="M3383" s="2" t="s">
        <v>71</v>
      </c>
      <c r="N3383" s="2" t="s">
        <v>16704</v>
      </c>
      <c r="O3383" s="2" t="s">
        <v>8396</v>
      </c>
      <c r="P3383" s="9">
        <v>3.15</v>
      </c>
      <c r="Q3383" s="9">
        <v>5733.13</v>
      </c>
      <c r="R3383" s="2" t="s">
        <v>16710</v>
      </c>
    </row>
    <row r="3384" spans="1:18" x14ac:dyDescent="0.25">
      <c r="A3384" s="2" t="s">
        <v>8398</v>
      </c>
      <c r="B3384" s="6">
        <v>46204</v>
      </c>
      <c r="C3384" s="8">
        <v>46227</v>
      </c>
      <c r="D3384" s="2" t="s">
        <v>7433</v>
      </c>
      <c r="E3384" s="2" t="s">
        <v>260</v>
      </c>
      <c r="F3384" s="2" t="s">
        <v>16703</v>
      </c>
      <c r="G3384" s="2" t="s">
        <v>8399</v>
      </c>
      <c r="H3384" s="2" t="s">
        <v>70</v>
      </c>
      <c r="I3384" s="9">
        <v>12931.867668999999</v>
      </c>
      <c r="J3384" s="7">
        <v>0.65800000000000003</v>
      </c>
      <c r="K3384" s="9">
        <v>8509.17</v>
      </c>
      <c r="L3384" s="14">
        <v>0</v>
      </c>
      <c r="M3384" s="2" t="s">
        <v>71</v>
      </c>
      <c r="N3384" s="2" t="s">
        <v>16706</v>
      </c>
      <c r="O3384" s="2" t="s">
        <v>8396</v>
      </c>
      <c r="P3384" s="9">
        <v>4.68</v>
      </c>
      <c r="Q3384" s="9">
        <v>8599.69</v>
      </c>
      <c r="R3384" s="2" t="s">
        <v>16711</v>
      </c>
    </row>
    <row r="3385" spans="1:18" x14ac:dyDescent="0.25">
      <c r="A3385" s="2" t="s">
        <v>8400</v>
      </c>
      <c r="B3385" s="6">
        <v>46174</v>
      </c>
      <c r="C3385" s="8">
        <v>46203</v>
      </c>
      <c r="D3385" s="2" t="s">
        <v>7433</v>
      </c>
      <c r="E3385" s="2" t="s">
        <v>260</v>
      </c>
      <c r="F3385" s="2" t="s">
        <v>16703</v>
      </c>
      <c r="G3385" s="2" t="s">
        <v>8402</v>
      </c>
      <c r="H3385" s="2" t="s">
        <v>39</v>
      </c>
      <c r="I3385" s="9">
        <v>5843.8519999999999</v>
      </c>
      <c r="J3385" s="7">
        <v>1</v>
      </c>
      <c r="K3385" s="9">
        <v>5843.85</v>
      </c>
      <c r="L3385" s="14">
        <v>0</v>
      </c>
      <c r="M3385" s="2" t="s">
        <v>71</v>
      </c>
      <c r="N3385" s="2" t="s">
        <v>16704</v>
      </c>
      <c r="O3385" s="2" t="s">
        <v>8401</v>
      </c>
      <c r="P3385" s="9">
        <v>3.21</v>
      </c>
      <c r="Q3385" s="9">
        <v>5843.85</v>
      </c>
      <c r="R3385" s="2" t="s">
        <v>16710</v>
      </c>
    </row>
    <row r="3386" spans="1:18" x14ac:dyDescent="0.25">
      <c r="A3386" s="2" t="s">
        <v>8403</v>
      </c>
      <c r="B3386" s="6">
        <v>46204</v>
      </c>
      <c r="C3386" s="8">
        <v>46228</v>
      </c>
      <c r="D3386" s="2" t="s">
        <v>7433</v>
      </c>
      <c r="E3386" s="2" t="s">
        <v>260</v>
      </c>
      <c r="F3386" s="2" t="s">
        <v>16703</v>
      </c>
      <c r="G3386" s="2" t="s">
        <v>8404</v>
      </c>
      <c r="H3386" s="2" t="s">
        <v>39</v>
      </c>
      <c r="I3386" s="9">
        <v>8765.7780000000002</v>
      </c>
      <c r="J3386" s="7">
        <v>1</v>
      </c>
      <c r="K3386" s="9">
        <v>8765.7800000000007</v>
      </c>
      <c r="L3386" s="14">
        <v>0</v>
      </c>
      <c r="M3386" s="2" t="s">
        <v>71</v>
      </c>
      <c r="N3386" s="2" t="s">
        <v>16706</v>
      </c>
      <c r="O3386" s="2" t="s">
        <v>8401</v>
      </c>
      <c r="P3386" s="9">
        <v>4.82</v>
      </c>
      <c r="Q3386" s="9">
        <v>8765.7800000000007</v>
      </c>
      <c r="R3386" s="2" t="s">
        <v>16711</v>
      </c>
    </row>
    <row r="3387" spans="1:18" x14ac:dyDescent="0.25">
      <c r="A3387" s="2" t="s">
        <v>8405</v>
      </c>
      <c r="B3387" s="6">
        <v>46204</v>
      </c>
      <c r="C3387" s="8">
        <v>46204</v>
      </c>
      <c r="D3387" s="2" t="s">
        <v>7433</v>
      </c>
      <c r="E3387" s="2" t="s">
        <v>260</v>
      </c>
      <c r="F3387" s="2" t="s">
        <v>16703</v>
      </c>
      <c r="G3387" s="2" t="s">
        <v>8407</v>
      </c>
      <c r="H3387" s="2" t="s">
        <v>76</v>
      </c>
      <c r="I3387" s="9">
        <v>95273280</v>
      </c>
      <c r="J3387" s="7">
        <v>6.2000000000000003E-5</v>
      </c>
      <c r="K3387" s="9">
        <v>5906.94</v>
      </c>
      <c r="L3387" s="14">
        <v>0</v>
      </c>
      <c r="M3387" s="2" t="s">
        <v>71</v>
      </c>
      <c r="N3387" s="2" t="s">
        <v>16706</v>
      </c>
      <c r="O3387" s="2" t="s">
        <v>8406</v>
      </c>
      <c r="P3387" s="9">
        <v>3.25</v>
      </c>
      <c r="Q3387" s="9">
        <v>5954.58</v>
      </c>
      <c r="R3387" s="2" t="s">
        <v>16711</v>
      </c>
    </row>
    <row r="3388" spans="1:18" x14ac:dyDescent="0.25">
      <c r="A3388" s="2" t="s">
        <v>8408</v>
      </c>
      <c r="B3388" s="6">
        <v>46204</v>
      </c>
      <c r="C3388" s="8">
        <v>46229</v>
      </c>
      <c r="D3388" s="2" t="s">
        <v>7433</v>
      </c>
      <c r="E3388" s="2" t="s">
        <v>260</v>
      </c>
      <c r="F3388" s="2" t="s">
        <v>16703</v>
      </c>
      <c r="G3388" s="2" t="s">
        <v>8409</v>
      </c>
      <c r="H3388" s="2" t="s">
        <v>76</v>
      </c>
      <c r="I3388" s="9">
        <v>142909920</v>
      </c>
      <c r="J3388" s="7">
        <v>6.2000000000000003E-5</v>
      </c>
      <c r="K3388" s="9">
        <v>8860.42</v>
      </c>
      <c r="L3388" s="14">
        <v>0</v>
      </c>
      <c r="M3388" s="2" t="s">
        <v>71</v>
      </c>
      <c r="N3388" s="2" t="s">
        <v>16706</v>
      </c>
      <c r="O3388" s="2" t="s">
        <v>8406</v>
      </c>
      <c r="P3388" s="9">
        <v>4.87</v>
      </c>
      <c r="Q3388" s="9">
        <v>8931.8700000000008</v>
      </c>
      <c r="R3388" s="2" t="s">
        <v>16711</v>
      </c>
    </row>
    <row r="3389" spans="1:18" x14ac:dyDescent="0.25">
      <c r="A3389" s="2" t="s">
        <v>8410</v>
      </c>
      <c r="B3389" s="6">
        <v>46204</v>
      </c>
      <c r="C3389" s="8">
        <v>46205</v>
      </c>
      <c r="D3389" s="2" t="s">
        <v>7433</v>
      </c>
      <c r="E3389" s="2" t="s">
        <v>260</v>
      </c>
      <c r="F3389" s="2" t="s">
        <v>16703</v>
      </c>
      <c r="G3389" s="2" t="s">
        <v>8412</v>
      </c>
      <c r="H3389" s="2" t="s">
        <v>70</v>
      </c>
      <c r="I3389" s="9">
        <v>9120.7578950000006</v>
      </c>
      <c r="J3389" s="7">
        <v>0.65800000000000003</v>
      </c>
      <c r="K3389" s="9">
        <v>6001.46</v>
      </c>
      <c r="L3389" s="14">
        <v>0</v>
      </c>
      <c r="M3389" s="2" t="s">
        <v>71</v>
      </c>
      <c r="N3389" s="2" t="s">
        <v>16706</v>
      </c>
      <c r="O3389" s="2" t="s">
        <v>8411</v>
      </c>
      <c r="P3389" s="9">
        <v>3.3</v>
      </c>
      <c r="Q3389" s="9">
        <v>6065.3</v>
      </c>
      <c r="R3389" s="2" t="s">
        <v>16711</v>
      </c>
    </row>
    <row r="3390" spans="1:18" x14ac:dyDescent="0.25">
      <c r="A3390" s="2" t="s">
        <v>8413</v>
      </c>
      <c r="B3390" s="6">
        <v>46204</v>
      </c>
      <c r="C3390" s="8">
        <v>46230</v>
      </c>
      <c r="D3390" s="2" t="s">
        <v>7433</v>
      </c>
      <c r="E3390" s="2" t="s">
        <v>260</v>
      </c>
      <c r="F3390" s="2" t="s">
        <v>16703</v>
      </c>
      <c r="G3390" s="2" t="s">
        <v>8414</v>
      </c>
      <c r="H3390" s="2" t="s">
        <v>70</v>
      </c>
      <c r="I3390" s="9">
        <v>13681.136842</v>
      </c>
      <c r="J3390" s="7">
        <v>0.65800000000000003</v>
      </c>
      <c r="K3390" s="9">
        <v>9002.19</v>
      </c>
      <c r="L3390" s="14">
        <v>0</v>
      </c>
      <c r="M3390" s="2" t="s">
        <v>71</v>
      </c>
      <c r="N3390" s="2" t="s">
        <v>16706</v>
      </c>
      <c r="O3390" s="2" t="s">
        <v>8411</v>
      </c>
      <c r="P3390" s="9">
        <v>4.95</v>
      </c>
      <c r="Q3390" s="9">
        <v>9097.9599999999991</v>
      </c>
      <c r="R3390" s="2" t="s">
        <v>16711</v>
      </c>
    </row>
    <row r="3391" spans="1:18" x14ac:dyDescent="0.25">
      <c r="A3391" s="2" t="s">
        <v>8415</v>
      </c>
      <c r="B3391" s="6">
        <v>46204</v>
      </c>
      <c r="C3391" s="8">
        <v>46206</v>
      </c>
      <c r="D3391" s="2" t="s">
        <v>7433</v>
      </c>
      <c r="E3391" s="2" t="s">
        <v>260</v>
      </c>
      <c r="F3391" s="2" t="s">
        <v>16703</v>
      </c>
      <c r="G3391" s="2" t="s">
        <v>8417</v>
      </c>
      <c r="H3391" s="2" t="s">
        <v>39</v>
      </c>
      <c r="I3391" s="9">
        <v>6176.0320000000002</v>
      </c>
      <c r="J3391" s="7">
        <v>1</v>
      </c>
      <c r="K3391" s="9">
        <v>6176.03</v>
      </c>
      <c r="L3391" s="14">
        <v>0</v>
      </c>
      <c r="M3391" s="2" t="s">
        <v>71</v>
      </c>
      <c r="N3391" s="2" t="s">
        <v>16706</v>
      </c>
      <c r="O3391" s="2" t="s">
        <v>8416</v>
      </c>
      <c r="P3391" s="9">
        <v>3.4</v>
      </c>
      <c r="Q3391" s="9">
        <v>6176.03</v>
      </c>
      <c r="R3391" s="2" t="s">
        <v>16711</v>
      </c>
    </row>
    <row r="3392" spans="1:18" x14ac:dyDescent="0.25">
      <c r="A3392" s="2" t="s">
        <v>8418</v>
      </c>
      <c r="B3392" s="6">
        <v>46204</v>
      </c>
      <c r="C3392" s="8">
        <v>46231</v>
      </c>
      <c r="D3392" s="2" t="s">
        <v>7433</v>
      </c>
      <c r="E3392" s="2" t="s">
        <v>260</v>
      </c>
      <c r="F3392" s="2" t="s">
        <v>16703</v>
      </c>
      <c r="G3392" s="2" t="s">
        <v>8419</v>
      </c>
      <c r="H3392" s="2" t="s">
        <v>39</v>
      </c>
      <c r="I3392" s="9">
        <v>9264.0480000000007</v>
      </c>
      <c r="J3392" s="7">
        <v>1</v>
      </c>
      <c r="K3392" s="9">
        <v>9264.0499999999993</v>
      </c>
      <c r="L3392" s="14">
        <v>0</v>
      </c>
      <c r="M3392" s="2" t="s">
        <v>71</v>
      </c>
      <c r="N3392" s="2" t="s">
        <v>16706</v>
      </c>
      <c r="O3392" s="2" t="s">
        <v>8416</v>
      </c>
      <c r="P3392" s="9">
        <v>5.0999999999999996</v>
      </c>
      <c r="Q3392" s="9">
        <v>9264.0499999999993</v>
      </c>
      <c r="R3392" s="2" t="s">
        <v>16711</v>
      </c>
    </row>
    <row r="3393" spans="1:18" x14ac:dyDescent="0.25">
      <c r="A3393" s="2" t="s">
        <v>8420</v>
      </c>
      <c r="B3393" s="6">
        <v>46204</v>
      </c>
      <c r="C3393" s="8">
        <v>46207</v>
      </c>
      <c r="D3393" s="2" t="s">
        <v>7433</v>
      </c>
      <c r="E3393" s="2" t="s">
        <v>260</v>
      </c>
      <c r="F3393" s="2" t="s">
        <v>16703</v>
      </c>
      <c r="G3393" s="2" t="s">
        <v>8422</v>
      </c>
      <c r="H3393" s="2" t="s">
        <v>76</v>
      </c>
      <c r="I3393" s="9">
        <v>100588160</v>
      </c>
      <c r="J3393" s="7">
        <v>6.2000000000000003E-5</v>
      </c>
      <c r="K3393" s="9">
        <v>6236.47</v>
      </c>
      <c r="L3393" s="14">
        <v>0</v>
      </c>
      <c r="M3393" s="2" t="s">
        <v>71</v>
      </c>
      <c r="N3393" s="2" t="s">
        <v>16706</v>
      </c>
      <c r="O3393" s="2" t="s">
        <v>8421</v>
      </c>
      <c r="P3393" s="9">
        <v>3.43</v>
      </c>
      <c r="Q3393" s="9">
        <v>6286.76</v>
      </c>
      <c r="R3393" s="2" t="s">
        <v>16711</v>
      </c>
    </row>
    <row r="3394" spans="1:18" x14ac:dyDescent="0.25">
      <c r="A3394" s="2" t="s">
        <v>8423</v>
      </c>
      <c r="B3394" s="6">
        <v>46204</v>
      </c>
      <c r="C3394" s="8">
        <v>46232</v>
      </c>
      <c r="D3394" s="2" t="s">
        <v>7433</v>
      </c>
      <c r="E3394" s="2" t="s">
        <v>260</v>
      </c>
      <c r="F3394" s="2" t="s">
        <v>16703</v>
      </c>
      <c r="G3394" s="2" t="s">
        <v>8424</v>
      </c>
      <c r="H3394" s="2" t="s">
        <v>76</v>
      </c>
      <c r="I3394" s="9">
        <v>150882240</v>
      </c>
      <c r="J3394" s="7">
        <v>6.2000000000000003E-5</v>
      </c>
      <c r="K3394" s="9">
        <v>9354.7000000000007</v>
      </c>
      <c r="L3394" s="14">
        <v>0</v>
      </c>
      <c r="M3394" s="2" t="s">
        <v>71</v>
      </c>
      <c r="N3394" s="2" t="s">
        <v>16706</v>
      </c>
      <c r="O3394" s="2" t="s">
        <v>8421</v>
      </c>
      <c r="P3394" s="9">
        <v>5.15</v>
      </c>
      <c r="Q3394" s="9">
        <v>9430.14</v>
      </c>
      <c r="R3394" s="2" t="s">
        <v>16711</v>
      </c>
    </row>
    <row r="3395" spans="1:18" x14ac:dyDescent="0.25">
      <c r="A3395" s="2" t="s">
        <v>8425</v>
      </c>
      <c r="B3395" s="6">
        <v>46204</v>
      </c>
      <c r="C3395" s="8">
        <v>46208</v>
      </c>
      <c r="D3395" s="2" t="s">
        <v>7433</v>
      </c>
      <c r="E3395" s="2" t="s">
        <v>260</v>
      </c>
      <c r="F3395" s="2" t="s">
        <v>16703</v>
      </c>
      <c r="G3395" s="2" t="s">
        <v>8427</v>
      </c>
      <c r="H3395" s="2" t="s">
        <v>70</v>
      </c>
      <c r="I3395" s="9">
        <v>9620.2766919999995</v>
      </c>
      <c r="J3395" s="7">
        <v>0.65800000000000003</v>
      </c>
      <c r="K3395" s="9">
        <v>6330.14</v>
      </c>
      <c r="L3395" s="14">
        <v>0</v>
      </c>
      <c r="M3395" s="2" t="s">
        <v>71</v>
      </c>
      <c r="N3395" s="2" t="s">
        <v>16706</v>
      </c>
      <c r="O3395" s="2" t="s">
        <v>8426</v>
      </c>
      <c r="P3395" s="9">
        <v>3.48</v>
      </c>
      <c r="Q3395" s="9">
        <v>6397.48</v>
      </c>
      <c r="R3395" s="2" t="s">
        <v>16711</v>
      </c>
    </row>
    <row r="3396" spans="1:18" x14ac:dyDescent="0.25">
      <c r="A3396" s="2" t="s">
        <v>8428</v>
      </c>
      <c r="B3396" s="6">
        <v>46204</v>
      </c>
      <c r="C3396" s="8">
        <v>46233</v>
      </c>
      <c r="D3396" s="2" t="s">
        <v>7433</v>
      </c>
      <c r="E3396" s="2" t="s">
        <v>260</v>
      </c>
      <c r="F3396" s="2" t="s">
        <v>16703</v>
      </c>
      <c r="G3396" s="2" t="s">
        <v>8429</v>
      </c>
      <c r="H3396" s="2" t="s">
        <v>70</v>
      </c>
      <c r="I3396" s="9">
        <v>14430.415037000001</v>
      </c>
      <c r="J3396" s="7">
        <v>0.65800000000000003</v>
      </c>
      <c r="K3396" s="9">
        <v>9495.2099999999991</v>
      </c>
      <c r="L3396" s="14">
        <v>0</v>
      </c>
      <c r="M3396" s="2" t="s">
        <v>71</v>
      </c>
      <c r="N3396" s="2" t="s">
        <v>16706</v>
      </c>
      <c r="O3396" s="2" t="s">
        <v>8426</v>
      </c>
      <c r="P3396" s="9">
        <v>5.22</v>
      </c>
      <c r="Q3396" s="9">
        <v>9596.23</v>
      </c>
      <c r="R3396" s="2" t="s">
        <v>16711</v>
      </c>
    </row>
    <row r="3397" spans="1:18" x14ac:dyDescent="0.25">
      <c r="A3397" s="2" t="s">
        <v>8430</v>
      </c>
      <c r="B3397" s="6">
        <v>46204</v>
      </c>
      <c r="C3397" s="8">
        <v>46209</v>
      </c>
      <c r="D3397" s="2" t="s">
        <v>7433</v>
      </c>
      <c r="E3397" s="2" t="s">
        <v>260</v>
      </c>
      <c r="F3397" s="2" t="s">
        <v>16703</v>
      </c>
      <c r="G3397" s="2" t="s">
        <v>8432</v>
      </c>
      <c r="H3397" s="2" t="s">
        <v>39</v>
      </c>
      <c r="I3397" s="9">
        <v>6508.2120000000004</v>
      </c>
      <c r="J3397" s="7">
        <v>1</v>
      </c>
      <c r="K3397" s="9">
        <v>6508.21</v>
      </c>
      <c r="L3397" s="14">
        <v>0</v>
      </c>
      <c r="M3397" s="2" t="s">
        <v>71</v>
      </c>
      <c r="N3397" s="2" t="s">
        <v>16706</v>
      </c>
      <c r="O3397" s="2" t="s">
        <v>8431</v>
      </c>
      <c r="P3397" s="9">
        <v>3.58</v>
      </c>
      <c r="Q3397" s="9">
        <v>6508.21</v>
      </c>
      <c r="R3397" s="2" t="s">
        <v>16711</v>
      </c>
    </row>
    <row r="3398" spans="1:18" x14ac:dyDescent="0.25">
      <c r="A3398" s="2" t="s">
        <v>8433</v>
      </c>
      <c r="B3398" s="6">
        <v>46204</v>
      </c>
      <c r="C3398" s="8">
        <v>46234</v>
      </c>
      <c r="D3398" s="2" t="s">
        <v>7433</v>
      </c>
      <c r="E3398" s="2" t="s">
        <v>260</v>
      </c>
      <c r="F3398" s="2" t="s">
        <v>16703</v>
      </c>
      <c r="G3398" s="2" t="s">
        <v>8434</v>
      </c>
      <c r="H3398" s="2" t="s">
        <v>39</v>
      </c>
      <c r="I3398" s="9">
        <v>9762.3179999999993</v>
      </c>
      <c r="J3398" s="7">
        <v>1</v>
      </c>
      <c r="K3398" s="9">
        <v>9762.32</v>
      </c>
      <c r="L3398" s="14">
        <v>0</v>
      </c>
      <c r="M3398" s="2" t="s">
        <v>71</v>
      </c>
      <c r="N3398" s="2" t="s">
        <v>16706</v>
      </c>
      <c r="O3398" s="2" t="s">
        <v>8431</v>
      </c>
      <c r="P3398" s="9">
        <v>5.37</v>
      </c>
      <c r="Q3398" s="9">
        <v>9762.32</v>
      </c>
      <c r="R3398" s="2" t="s">
        <v>16711</v>
      </c>
    </row>
    <row r="3399" spans="1:18" x14ac:dyDescent="0.25">
      <c r="A3399" s="2" t="s">
        <v>8435</v>
      </c>
      <c r="B3399" s="6">
        <v>46204</v>
      </c>
      <c r="C3399" s="8">
        <v>46210</v>
      </c>
      <c r="D3399" s="2" t="s">
        <v>7433</v>
      </c>
      <c r="E3399" s="2" t="s">
        <v>260</v>
      </c>
      <c r="F3399" s="2" t="s">
        <v>16703</v>
      </c>
      <c r="G3399" s="2" t="s">
        <v>8437</v>
      </c>
      <c r="H3399" s="2" t="s">
        <v>76</v>
      </c>
      <c r="I3399" s="9">
        <v>105902976</v>
      </c>
      <c r="J3399" s="7">
        <v>6.2000000000000003E-5</v>
      </c>
      <c r="K3399" s="9">
        <v>6565.98</v>
      </c>
      <c r="L3399" s="14">
        <v>0</v>
      </c>
      <c r="M3399" s="2" t="s">
        <v>71</v>
      </c>
      <c r="N3399" s="2" t="s">
        <v>16706</v>
      </c>
      <c r="O3399" s="2" t="s">
        <v>8436</v>
      </c>
      <c r="P3399" s="9">
        <v>3.61</v>
      </c>
      <c r="Q3399" s="9">
        <v>6618.94</v>
      </c>
      <c r="R3399" s="2" t="s">
        <v>16711</v>
      </c>
    </row>
    <row r="3400" spans="1:18" x14ac:dyDescent="0.25">
      <c r="A3400" s="2" t="s">
        <v>8440</v>
      </c>
      <c r="B3400" s="6">
        <v>46204</v>
      </c>
      <c r="C3400" s="8">
        <v>46211</v>
      </c>
      <c r="D3400" s="2" t="s">
        <v>7433</v>
      </c>
      <c r="E3400" s="2" t="s">
        <v>260</v>
      </c>
      <c r="F3400" s="2" t="s">
        <v>16703</v>
      </c>
      <c r="G3400" s="2" t="s">
        <v>8442</v>
      </c>
      <c r="H3400" s="2" t="s">
        <v>70</v>
      </c>
      <c r="I3400" s="9">
        <v>10119.795489</v>
      </c>
      <c r="J3400" s="7">
        <v>0.65800000000000003</v>
      </c>
      <c r="K3400" s="9">
        <v>6658.83</v>
      </c>
      <c r="L3400" s="14">
        <v>0</v>
      </c>
      <c r="M3400" s="2" t="s">
        <v>71</v>
      </c>
      <c r="N3400" s="2" t="s">
        <v>16706</v>
      </c>
      <c r="O3400" s="2" t="s">
        <v>8441</v>
      </c>
      <c r="P3400" s="9">
        <v>3.66</v>
      </c>
      <c r="Q3400" s="9">
        <v>6729.66</v>
      </c>
      <c r="R3400" s="2" t="s">
        <v>16711</v>
      </c>
    </row>
    <row r="3401" spans="1:18" x14ac:dyDescent="0.25">
      <c r="A3401" s="2" t="s">
        <v>8445</v>
      </c>
      <c r="B3401" s="6">
        <v>46204</v>
      </c>
      <c r="C3401" s="8">
        <v>46212</v>
      </c>
      <c r="D3401" s="2" t="s">
        <v>7433</v>
      </c>
      <c r="E3401" s="2" t="s">
        <v>260</v>
      </c>
      <c r="F3401" s="2" t="s">
        <v>16703</v>
      </c>
      <c r="G3401" s="2" t="s">
        <v>8447</v>
      </c>
      <c r="H3401" s="2" t="s">
        <v>39</v>
      </c>
      <c r="I3401" s="9">
        <v>-17100.98</v>
      </c>
      <c r="J3401" s="7">
        <v>1</v>
      </c>
      <c r="K3401" s="9">
        <v>-17100.98</v>
      </c>
      <c r="L3401" s="14">
        <v>0</v>
      </c>
      <c r="M3401" s="2" t="s">
        <v>71</v>
      </c>
      <c r="N3401" s="2" t="s">
        <v>16706</v>
      </c>
      <c r="O3401" s="2" t="s">
        <v>8446</v>
      </c>
      <c r="P3401" s="9">
        <v>0</v>
      </c>
      <c r="Q3401" s="9">
        <v>-17100.98</v>
      </c>
      <c r="R3401" s="2" t="s">
        <v>16711</v>
      </c>
    </row>
    <row r="3402" spans="1:18" x14ac:dyDescent="0.25">
      <c r="A3402" s="2" t="s">
        <v>8448</v>
      </c>
      <c r="B3402" s="6">
        <v>46204</v>
      </c>
      <c r="C3402" s="8">
        <v>46213</v>
      </c>
      <c r="D3402" s="2" t="s">
        <v>7433</v>
      </c>
      <c r="E3402" s="2" t="s">
        <v>260</v>
      </c>
      <c r="F3402" s="2" t="s">
        <v>16703</v>
      </c>
      <c r="G3402" s="2" t="s">
        <v>8450</v>
      </c>
      <c r="H3402" s="2" t="s">
        <v>76</v>
      </c>
      <c r="I3402" s="9">
        <v>111217856</v>
      </c>
      <c r="J3402" s="7">
        <v>6.2000000000000003E-5</v>
      </c>
      <c r="K3402" s="9">
        <v>6895.51</v>
      </c>
      <c r="L3402" s="14">
        <v>0</v>
      </c>
      <c r="M3402" s="2" t="s">
        <v>71</v>
      </c>
      <c r="N3402" s="2" t="s">
        <v>16706</v>
      </c>
      <c r="O3402" s="2" t="s">
        <v>8449</v>
      </c>
      <c r="P3402" s="9">
        <v>3.79</v>
      </c>
      <c r="Q3402" s="9">
        <v>6951.12</v>
      </c>
      <c r="R3402" s="2" t="s">
        <v>16711</v>
      </c>
    </row>
    <row r="3403" spans="1:18" x14ac:dyDescent="0.25">
      <c r="A3403" s="2" t="s">
        <v>8453</v>
      </c>
      <c r="B3403" s="6">
        <v>46204</v>
      </c>
      <c r="C3403" s="8">
        <v>46214</v>
      </c>
      <c r="D3403" s="2" t="s">
        <v>7433</v>
      </c>
      <c r="E3403" s="2" t="s">
        <v>260</v>
      </c>
      <c r="F3403" s="2" t="s">
        <v>16703</v>
      </c>
      <c r="G3403" s="2" t="s">
        <v>8455</v>
      </c>
      <c r="H3403" s="2" t="s">
        <v>70</v>
      </c>
      <c r="I3403" s="9">
        <v>10619.314286000001</v>
      </c>
      <c r="J3403" s="7">
        <v>0.65800000000000003</v>
      </c>
      <c r="K3403" s="9">
        <v>6987.51</v>
      </c>
      <c r="L3403" s="14">
        <v>0</v>
      </c>
      <c r="M3403" s="2" t="s">
        <v>71</v>
      </c>
      <c r="N3403" s="2" t="s">
        <v>16706</v>
      </c>
      <c r="O3403" s="2" t="s">
        <v>8454</v>
      </c>
      <c r="P3403" s="9">
        <v>3.84</v>
      </c>
      <c r="Q3403" s="9">
        <v>7061.84</v>
      </c>
      <c r="R3403" s="2" t="s">
        <v>16711</v>
      </c>
    </row>
    <row r="3404" spans="1:18" x14ac:dyDescent="0.25">
      <c r="A3404" s="2" t="s">
        <v>8458</v>
      </c>
      <c r="B3404" s="6">
        <v>46204</v>
      </c>
      <c r="C3404" s="8">
        <v>46215</v>
      </c>
      <c r="D3404" s="2" t="s">
        <v>7433</v>
      </c>
      <c r="E3404" s="2" t="s">
        <v>260</v>
      </c>
      <c r="F3404" s="2" t="s">
        <v>16703</v>
      </c>
      <c r="G3404" s="2" t="s">
        <v>8460</v>
      </c>
      <c r="H3404" s="2" t="s">
        <v>39</v>
      </c>
      <c r="I3404" s="9">
        <v>7172.5680000000002</v>
      </c>
      <c r="J3404" s="7">
        <v>1</v>
      </c>
      <c r="K3404" s="9">
        <v>7172.57</v>
      </c>
      <c r="L3404" s="14">
        <v>0</v>
      </c>
      <c r="M3404" s="2" t="s">
        <v>71</v>
      </c>
      <c r="N3404" s="2" t="s">
        <v>16706</v>
      </c>
      <c r="O3404" s="2" t="s">
        <v>8459</v>
      </c>
      <c r="P3404" s="9">
        <v>3.94</v>
      </c>
      <c r="Q3404" s="9">
        <v>7172.57</v>
      </c>
      <c r="R3404" s="2" t="s">
        <v>16711</v>
      </c>
    </row>
    <row r="3405" spans="1:18" x14ac:dyDescent="0.25">
      <c r="A3405" s="2" t="s">
        <v>8463</v>
      </c>
      <c r="B3405" s="6">
        <v>46204</v>
      </c>
      <c r="C3405" s="8">
        <v>46216</v>
      </c>
      <c r="D3405" s="2" t="s">
        <v>7433</v>
      </c>
      <c r="E3405" s="2" t="s">
        <v>260</v>
      </c>
      <c r="F3405" s="2" t="s">
        <v>16703</v>
      </c>
      <c r="G3405" s="2" t="s">
        <v>8465</v>
      </c>
      <c r="H3405" s="2" t="s">
        <v>76</v>
      </c>
      <c r="I3405" s="9">
        <v>116532736</v>
      </c>
      <c r="J3405" s="7">
        <v>6.2000000000000003E-5</v>
      </c>
      <c r="K3405" s="9">
        <v>7225.03</v>
      </c>
      <c r="L3405" s="14">
        <v>0</v>
      </c>
      <c r="M3405" s="2" t="s">
        <v>71</v>
      </c>
      <c r="N3405" s="2" t="s">
        <v>16706</v>
      </c>
      <c r="O3405" s="2" t="s">
        <v>8464</v>
      </c>
      <c r="P3405" s="9">
        <v>3.97</v>
      </c>
      <c r="Q3405" s="9">
        <v>7283.3</v>
      </c>
      <c r="R3405" s="2" t="s">
        <v>16711</v>
      </c>
    </row>
    <row r="3406" spans="1:18" x14ac:dyDescent="0.25">
      <c r="A3406" s="2" t="s">
        <v>8468</v>
      </c>
      <c r="B3406" s="6">
        <v>46204</v>
      </c>
      <c r="C3406" s="8">
        <v>46217</v>
      </c>
      <c r="D3406" s="2" t="s">
        <v>7433</v>
      </c>
      <c r="E3406" s="2" t="s">
        <v>260</v>
      </c>
      <c r="F3406" s="2" t="s">
        <v>16703</v>
      </c>
      <c r="G3406" s="2" t="s">
        <v>8470</v>
      </c>
      <c r="H3406" s="2" t="s">
        <v>70</v>
      </c>
      <c r="I3406" s="9">
        <v>11118.833083</v>
      </c>
      <c r="J3406" s="7">
        <v>0.65800000000000003</v>
      </c>
      <c r="K3406" s="9">
        <v>7316.19</v>
      </c>
      <c r="L3406" s="14">
        <v>0</v>
      </c>
      <c r="M3406" s="2" t="s">
        <v>71</v>
      </c>
      <c r="N3406" s="2" t="s">
        <v>16706</v>
      </c>
      <c r="O3406" s="2" t="s">
        <v>8469</v>
      </c>
      <c r="P3406" s="9">
        <v>4.0199999999999996</v>
      </c>
      <c r="Q3406" s="9">
        <v>7394.02</v>
      </c>
      <c r="R3406" s="2" t="s">
        <v>16711</v>
      </c>
    </row>
    <row r="3407" spans="1:18" x14ac:dyDescent="0.25">
      <c r="A3407" s="2" t="s">
        <v>8473</v>
      </c>
      <c r="B3407" s="6">
        <v>46174</v>
      </c>
      <c r="C3407" s="8">
        <v>46188</v>
      </c>
      <c r="D3407" s="2" t="s">
        <v>7433</v>
      </c>
      <c r="E3407" s="2" t="s">
        <v>260</v>
      </c>
      <c r="F3407" s="2" t="s">
        <v>16703</v>
      </c>
      <c r="G3407" s="2" t="s">
        <v>8475</v>
      </c>
      <c r="H3407" s="2" t="s">
        <v>39</v>
      </c>
      <c r="I3407" s="9">
        <v>7504.7479999999996</v>
      </c>
      <c r="J3407" s="7">
        <v>1</v>
      </c>
      <c r="K3407" s="9">
        <v>7504.75</v>
      </c>
      <c r="L3407" s="14">
        <v>0</v>
      </c>
      <c r="M3407" s="2" t="s">
        <v>71</v>
      </c>
      <c r="N3407" s="2" t="s">
        <v>16704</v>
      </c>
      <c r="O3407" s="2" t="s">
        <v>8474</v>
      </c>
      <c r="P3407" s="9">
        <v>4.13</v>
      </c>
      <c r="Q3407" s="9">
        <v>7504.75</v>
      </c>
      <c r="R3407" s="2" t="s">
        <v>16710</v>
      </c>
    </row>
    <row r="3408" spans="1:18" x14ac:dyDescent="0.25">
      <c r="A3408" s="2" t="s">
        <v>8476</v>
      </c>
      <c r="B3408" s="6">
        <v>46204</v>
      </c>
      <c r="C3408" s="8">
        <v>46213</v>
      </c>
      <c r="D3408" s="2" t="s">
        <v>7433</v>
      </c>
      <c r="E3408" s="2" t="s">
        <v>260</v>
      </c>
      <c r="F3408" s="2" t="s">
        <v>16703</v>
      </c>
      <c r="G3408" s="2" t="s">
        <v>8477</v>
      </c>
      <c r="H3408" s="2" t="s">
        <v>39</v>
      </c>
      <c r="I3408" s="9">
        <v>11257.121999999999</v>
      </c>
      <c r="J3408" s="7">
        <v>1</v>
      </c>
      <c r="K3408" s="9">
        <v>11257.12</v>
      </c>
      <c r="L3408" s="14">
        <v>0</v>
      </c>
      <c r="M3408" s="2" t="s">
        <v>71</v>
      </c>
      <c r="N3408" s="2" t="s">
        <v>16706</v>
      </c>
      <c r="O3408" s="2" t="s">
        <v>8474</v>
      </c>
      <c r="P3408" s="9">
        <v>6.19</v>
      </c>
      <c r="Q3408" s="9">
        <v>11257.12</v>
      </c>
      <c r="R3408" s="2" t="s">
        <v>16711</v>
      </c>
    </row>
    <row r="3409" spans="1:18" x14ac:dyDescent="0.25">
      <c r="A3409" s="2" t="s">
        <v>8478</v>
      </c>
      <c r="B3409" s="6">
        <v>46174</v>
      </c>
      <c r="C3409" s="8">
        <v>46189</v>
      </c>
      <c r="D3409" s="2" t="s">
        <v>7433</v>
      </c>
      <c r="E3409" s="2" t="s">
        <v>260</v>
      </c>
      <c r="F3409" s="2" t="s">
        <v>16703</v>
      </c>
      <c r="G3409" s="2" t="s">
        <v>8480</v>
      </c>
      <c r="H3409" s="2" t="s">
        <v>76</v>
      </c>
      <c r="I3409" s="9">
        <v>121847616</v>
      </c>
      <c r="J3409" s="7">
        <v>6.2500000000000001E-5</v>
      </c>
      <c r="K3409" s="9">
        <v>7615.48</v>
      </c>
      <c r="L3409" s="14">
        <v>0</v>
      </c>
      <c r="M3409" s="2" t="s">
        <v>71</v>
      </c>
      <c r="N3409" s="2" t="s">
        <v>16704</v>
      </c>
      <c r="O3409" s="2" t="s">
        <v>8479</v>
      </c>
      <c r="P3409" s="9">
        <v>4.1900000000000004</v>
      </c>
      <c r="Q3409" s="9">
        <v>7615.48</v>
      </c>
      <c r="R3409" s="2" t="s">
        <v>16710</v>
      </c>
    </row>
    <row r="3410" spans="1:18" x14ac:dyDescent="0.25">
      <c r="A3410" s="2" t="s">
        <v>8481</v>
      </c>
      <c r="B3410" s="6">
        <v>46204</v>
      </c>
      <c r="C3410" s="8">
        <v>46214</v>
      </c>
      <c r="D3410" s="2" t="s">
        <v>7433</v>
      </c>
      <c r="E3410" s="2" t="s">
        <v>260</v>
      </c>
      <c r="F3410" s="2" t="s">
        <v>16703</v>
      </c>
      <c r="G3410" s="2" t="s">
        <v>8482</v>
      </c>
      <c r="H3410" s="2" t="s">
        <v>76</v>
      </c>
      <c r="I3410" s="9">
        <v>182771424</v>
      </c>
      <c r="J3410" s="7">
        <v>6.2000000000000003E-5</v>
      </c>
      <c r="K3410" s="9">
        <v>11331.83</v>
      </c>
      <c r="L3410" s="14">
        <v>0</v>
      </c>
      <c r="M3410" s="2" t="s">
        <v>71</v>
      </c>
      <c r="N3410" s="2" t="s">
        <v>16706</v>
      </c>
      <c r="O3410" s="2" t="s">
        <v>8479</v>
      </c>
      <c r="P3410" s="9">
        <v>6.23</v>
      </c>
      <c r="Q3410" s="9">
        <v>11423.21</v>
      </c>
      <c r="R3410" s="2" t="s">
        <v>16711</v>
      </c>
    </row>
    <row r="3411" spans="1:18" x14ac:dyDescent="0.25">
      <c r="A3411" s="2" t="s">
        <v>8483</v>
      </c>
      <c r="B3411" s="6">
        <v>46174</v>
      </c>
      <c r="C3411" s="8">
        <v>46190</v>
      </c>
      <c r="D3411" s="2" t="s">
        <v>7433</v>
      </c>
      <c r="E3411" s="2" t="s">
        <v>260</v>
      </c>
      <c r="F3411" s="2" t="s">
        <v>16703</v>
      </c>
      <c r="G3411" s="2" t="s">
        <v>8485</v>
      </c>
      <c r="H3411" s="2" t="s">
        <v>70</v>
      </c>
      <c r="I3411" s="9">
        <v>11618.345864999999</v>
      </c>
      <c r="J3411" s="7">
        <v>0.66500000000000004</v>
      </c>
      <c r="K3411" s="9">
        <v>7726.2</v>
      </c>
      <c r="L3411" s="14">
        <v>0</v>
      </c>
      <c r="M3411" s="2" t="s">
        <v>71</v>
      </c>
      <c r="N3411" s="2" t="s">
        <v>16704</v>
      </c>
      <c r="O3411" s="2" t="s">
        <v>8484</v>
      </c>
      <c r="P3411" s="9">
        <v>4.25</v>
      </c>
      <c r="Q3411" s="9">
        <v>7726.2</v>
      </c>
      <c r="R3411" s="2" t="s">
        <v>16710</v>
      </c>
    </row>
    <row r="3412" spans="1:18" x14ac:dyDescent="0.25">
      <c r="A3412" s="2" t="s">
        <v>8486</v>
      </c>
      <c r="B3412" s="6">
        <v>46204</v>
      </c>
      <c r="C3412" s="8">
        <v>46215</v>
      </c>
      <c r="D3412" s="2" t="s">
        <v>7433</v>
      </c>
      <c r="E3412" s="2" t="s">
        <v>260</v>
      </c>
      <c r="F3412" s="2" t="s">
        <v>16703</v>
      </c>
      <c r="G3412" s="2" t="s">
        <v>8487</v>
      </c>
      <c r="H3412" s="2" t="s">
        <v>70</v>
      </c>
      <c r="I3412" s="9">
        <v>17427.518797000001</v>
      </c>
      <c r="J3412" s="7">
        <v>0.65800000000000003</v>
      </c>
      <c r="K3412" s="9">
        <v>11467.31</v>
      </c>
      <c r="L3412" s="14">
        <v>0</v>
      </c>
      <c r="M3412" s="2" t="s">
        <v>71</v>
      </c>
      <c r="N3412" s="2" t="s">
        <v>16706</v>
      </c>
      <c r="O3412" s="2" t="s">
        <v>8484</v>
      </c>
      <c r="P3412" s="9">
        <v>6.31</v>
      </c>
      <c r="Q3412" s="9">
        <v>11589.3</v>
      </c>
      <c r="R3412" s="2" t="s">
        <v>16711</v>
      </c>
    </row>
    <row r="3413" spans="1:18" x14ac:dyDescent="0.25">
      <c r="A3413" s="2" t="s">
        <v>8488</v>
      </c>
      <c r="B3413" s="6">
        <v>46174</v>
      </c>
      <c r="C3413" s="8">
        <v>46191</v>
      </c>
      <c r="D3413" s="2" t="s">
        <v>7433</v>
      </c>
      <c r="E3413" s="2" t="s">
        <v>260</v>
      </c>
      <c r="F3413" s="2" t="s">
        <v>16703</v>
      </c>
      <c r="G3413" s="2" t="s">
        <v>8490</v>
      </c>
      <c r="H3413" s="2" t="s">
        <v>39</v>
      </c>
      <c r="I3413" s="9">
        <v>7836.9279999999999</v>
      </c>
      <c r="J3413" s="7">
        <v>1</v>
      </c>
      <c r="K3413" s="9">
        <v>7836.93</v>
      </c>
      <c r="L3413" s="14">
        <v>0</v>
      </c>
      <c r="M3413" s="2" t="s">
        <v>71</v>
      </c>
      <c r="N3413" s="2" t="s">
        <v>16704</v>
      </c>
      <c r="O3413" s="2" t="s">
        <v>8489</v>
      </c>
      <c r="P3413" s="9">
        <v>4.3099999999999996</v>
      </c>
      <c r="Q3413" s="9">
        <v>7836.93</v>
      </c>
      <c r="R3413" s="2" t="s">
        <v>16710</v>
      </c>
    </row>
    <row r="3414" spans="1:18" x14ac:dyDescent="0.25">
      <c r="A3414" s="2" t="s">
        <v>8491</v>
      </c>
      <c r="B3414" s="6">
        <v>46204</v>
      </c>
      <c r="C3414" s="8">
        <v>46216</v>
      </c>
      <c r="D3414" s="2" t="s">
        <v>7433</v>
      </c>
      <c r="E3414" s="2" t="s">
        <v>260</v>
      </c>
      <c r="F3414" s="2" t="s">
        <v>16703</v>
      </c>
      <c r="G3414" s="2" t="s">
        <v>8492</v>
      </c>
      <c r="H3414" s="2" t="s">
        <v>39</v>
      </c>
      <c r="I3414" s="9">
        <v>11755.392</v>
      </c>
      <c r="J3414" s="7">
        <v>1</v>
      </c>
      <c r="K3414" s="9">
        <v>11755.39</v>
      </c>
      <c r="L3414" s="14">
        <v>0</v>
      </c>
      <c r="M3414" s="2" t="s">
        <v>71</v>
      </c>
      <c r="N3414" s="2" t="s">
        <v>16706</v>
      </c>
      <c r="O3414" s="2" t="s">
        <v>8489</v>
      </c>
      <c r="P3414" s="9">
        <v>6.47</v>
      </c>
      <c r="Q3414" s="9">
        <v>11755.39</v>
      </c>
      <c r="R3414" s="2" t="s">
        <v>16711</v>
      </c>
    </row>
    <row r="3415" spans="1:18" x14ac:dyDescent="0.25">
      <c r="A3415" s="2" t="s">
        <v>8493</v>
      </c>
      <c r="B3415" s="6">
        <v>46174</v>
      </c>
      <c r="C3415" s="8">
        <v>46192</v>
      </c>
      <c r="D3415" s="2" t="s">
        <v>7433</v>
      </c>
      <c r="E3415" s="2" t="s">
        <v>260</v>
      </c>
      <c r="F3415" s="2" t="s">
        <v>16703</v>
      </c>
      <c r="G3415" s="2" t="s">
        <v>8495</v>
      </c>
      <c r="H3415" s="2" t="s">
        <v>76</v>
      </c>
      <c r="I3415" s="9">
        <v>127162496</v>
      </c>
      <c r="J3415" s="7">
        <v>6.2500000000000001E-5</v>
      </c>
      <c r="K3415" s="9">
        <v>7947.66</v>
      </c>
      <c r="L3415" s="14">
        <v>0</v>
      </c>
      <c r="M3415" s="2" t="s">
        <v>71</v>
      </c>
      <c r="N3415" s="2" t="s">
        <v>16704</v>
      </c>
      <c r="O3415" s="2" t="s">
        <v>8494</v>
      </c>
      <c r="P3415" s="9">
        <v>4.37</v>
      </c>
      <c r="Q3415" s="9">
        <v>7947.66</v>
      </c>
      <c r="R3415" s="2" t="s">
        <v>16710</v>
      </c>
    </row>
    <row r="3416" spans="1:18" x14ac:dyDescent="0.25">
      <c r="A3416" s="2" t="s">
        <v>8496</v>
      </c>
      <c r="B3416" s="6">
        <v>46204</v>
      </c>
      <c r="C3416" s="8">
        <v>46217</v>
      </c>
      <c r="D3416" s="2" t="s">
        <v>7433</v>
      </c>
      <c r="E3416" s="2" t="s">
        <v>260</v>
      </c>
      <c r="F3416" s="2" t="s">
        <v>16703</v>
      </c>
      <c r="G3416" s="2" t="s">
        <v>8497</v>
      </c>
      <c r="H3416" s="2" t="s">
        <v>76</v>
      </c>
      <c r="I3416" s="9">
        <v>190743744</v>
      </c>
      <c r="J3416" s="7">
        <v>6.2000000000000003E-5</v>
      </c>
      <c r="K3416" s="9">
        <v>11826.11</v>
      </c>
      <c r="L3416" s="14">
        <v>0</v>
      </c>
      <c r="M3416" s="2" t="s">
        <v>71</v>
      </c>
      <c r="N3416" s="2" t="s">
        <v>16706</v>
      </c>
      <c r="O3416" s="2" t="s">
        <v>8494</v>
      </c>
      <c r="P3416" s="9">
        <v>6.5</v>
      </c>
      <c r="Q3416" s="9">
        <v>11921.48</v>
      </c>
      <c r="R3416" s="2" t="s">
        <v>16711</v>
      </c>
    </row>
    <row r="3417" spans="1:18" x14ac:dyDescent="0.25">
      <c r="A3417" s="2" t="s">
        <v>8498</v>
      </c>
      <c r="B3417" s="6">
        <v>46174</v>
      </c>
      <c r="C3417" s="8">
        <v>46193</v>
      </c>
      <c r="D3417" s="2" t="s">
        <v>7433</v>
      </c>
      <c r="E3417" s="2" t="s">
        <v>260</v>
      </c>
      <c r="F3417" s="2" t="s">
        <v>16703</v>
      </c>
      <c r="G3417" s="2" t="s">
        <v>8500</v>
      </c>
      <c r="H3417" s="2" t="s">
        <v>70</v>
      </c>
      <c r="I3417" s="9">
        <v>12117.864662</v>
      </c>
      <c r="J3417" s="7">
        <v>0.66500000000000004</v>
      </c>
      <c r="K3417" s="9">
        <v>8058.38</v>
      </c>
      <c r="L3417" s="14">
        <v>0</v>
      </c>
      <c r="M3417" s="2" t="s">
        <v>71</v>
      </c>
      <c r="N3417" s="2" t="s">
        <v>16704</v>
      </c>
      <c r="O3417" s="2" t="s">
        <v>8499</v>
      </c>
      <c r="P3417" s="9">
        <v>4.43</v>
      </c>
      <c r="Q3417" s="9">
        <v>8058.38</v>
      </c>
      <c r="R3417" s="2" t="s">
        <v>16710</v>
      </c>
    </row>
    <row r="3418" spans="1:18" x14ac:dyDescent="0.25">
      <c r="A3418" s="2" t="s">
        <v>8501</v>
      </c>
      <c r="B3418" s="6">
        <v>46204</v>
      </c>
      <c r="C3418" s="8">
        <v>46218</v>
      </c>
      <c r="D3418" s="2" t="s">
        <v>7433</v>
      </c>
      <c r="E3418" s="2" t="s">
        <v>260</v>
      </c>
      <c r="F3418" s="2" t="s">
        <v>16703</v>
      </c>
      <c r="G3418" s="2" t="s">
        <v>8502</v>
      </c>
      <c r="H3418" s="2" t="s">
        <v>70</v>
      </c>
      <c r="I3418" s="9">
        <v>18176.796992</v>
      </c>
      <c r="J3418" s="7">
        <v>0.65800000000000003</v>
      </c>
      <c r="K3418" s="9">
        <v>11960.33</v>
      </c>
      <c r="L3418" s="14">
        <v>0</v>
      </c>
      <c r="M3418" s="2" t="s">
        <v>71</v>
      </c>
      <c r="N3418" s="2" t="s">
        <v>16706</v>
      </c>
      <c r="O3418" s="2" t="s">
        <v>8499</v>
      </c>
      <c r="P3418" s="9">
        <v>6.58</v>
      </c>
      <c r="Q3418" s="9">
        <v>12087.57</v>
      </c>
      <c r="R3418" s="2" t="s">
        <v>16711</v>
      </c>
    </row>
    <row r="3419" spans="1:18" x14ac:dyDescent="0.25">
      <c r="A3419" s="2" t="s">
        <v>8503</v>
      </c>
      <c r="B3419" s="6">
        <v>46174</v>
      </c>
      <c r="C3419" s="8">
        <v>46194</v>
      </c>
      <c r="D3419" s="2" t="s">
        <v>7433</v>
      </c>
      <c r="E3419" s="2" t="s">
        <v>260</v>
      </c>
      <c r="F3419" s="2" t="s">
        <v>16703</v>
      </c>
      <c r="G3419" s="2" t="s">
        <v>8505</v>
      </c>
      <c r="H3419" s="2" t="s">
        <v>39</v>
      </c>
      <c r="I3419" s="9">
        <v>8169.1080000000002</v>
      </c>
      <c r="J3419" s="7">
        <v>1</v>
      </c>
      <c r="K3419" s="9">
        <v>8169.11</v>
      </c>
      <c r="L3419" s="14">
        <v>0</v>
      </c>
      <c r="M3419" s="2" t="s">
        <v>71</v>
      </c>
      <c r="N3419" s="2" t="s">
        <v>16704</v>
      </c>
      <c r="O3419" s="2" t="s">
        <v>8504</v>
      </c>
      <c r="P3419" s="9">
        <v>4.49</v>
      </c>
      <c r="Q3419" s="9">
        <v>8169.11</v>
      </c>
      <c r="R3419" s="2" t="s">
        <v>16710</v>
      </c>
    </row>
    <row r="3420" spans="1:18" x14ac:dyDescent="0.25">
      <c r="A3420" s="2" t="s">
        <v>8506</v>
      </c>
      <c r="B3420" s="6">
        <v>46204</v>
      </c>
      <c r="C3420" s="8">
        <v>46219</v>
      </c>
      <c r="D3420" s="2" t="s">
        <v>7433</v>
      </c>
      <c r="E3420" s="2" t="s">
        <v>260</v>
      </c>
      <c r="F3420" s="2" t="s">
        <v>16703</v>
      </c>
      <c r="G3420" s="2" t="s">
        <v>8507</v>
      </c>
      <c r="H3420" s="2" t="s">
        <v>39</v>
      </c>
      <c r="I3420" s="9">
        <v>12253.662</v>
      </c>
      <c r="J3420" s="7">
        <v>1</v>
      </c>
      <c r="K3420" s="9">
        <v>12253.66</v>
      </c>
      <c r="L3420" s="14">
        <v>0</v>
      </c>
      <c r="M3420" s="2" t="s">
        <v>71</v>
      </c>
      <c r="N3420" s="2" t="s">
        <v>16706</v>
      </c>
      <c r="O3420" s="2" t="s">
        <v>8504</v>
      </c>
      <c r="P3420" s="9">
        <v>6.74</v>
      </c>
      <c r="Q3420" s="9">
        <v>12253.66</v>
      </c>
      <c r="R3420" s="2" t="s">
        <v>16711</v>
      </c>
    </row>
    <row r="3421" spans="1:18" x14ac:dyDescent="0.25">
      <c r="A3421" s="2" t="s">
        <v>8508</v>
      </c>
      <c r="B3421" s="6">
        <v>46174</v>
      </c>
      <c r="C3421" s="8">
        <v>46195</v>
      </c>
      <c r="D3421" s="2" t="s">
        <v>7433</v>
      </c>
      <c r="E3421" s="2" t="s">
        <v>260</v>
      </c>
      <c r="F3421" s="2" t="s">
        <v>16703</v>
      </c>
      <c r="G3421" s="2" t="s">
        <v>8510</v>
      </c>
      <c r="H3421" s="2" t="s">
        <v>76</v>
      </c>
      <c r="I3421" s="9">
        <v>132477312</v>
      </c>
      <c r="J3421" s="7">
        <v>6.2500000000000001E-5</v>
      </c>
      <c r="K3421" s="9">
        <v>8279.83</v>
      </c>
      <c r="L3421" s="14">
        <v>0</v>
      </c>
      <c r="M3421" s="2" t="s">
        <v>71</v>
      </c>
      <c r="N3421" s="2" t="s">
        <v>16704</v>
      </c>
      <c r="O3421" s="2" t="s">
        <v>8509</v>
      </c>
      <c r="P3421" s="9">
        <v>4.55</v>
      </c>
      <c r="Q3421" s="9">
        <v>8279.83</v>
      </c>
      <c r="R3421" s="2" t="s">
        <v>16710</v>
      </c>
    </row>
    <row r="3422" spans="1:18" x14ac:dyDescent="0.25">
      <c r="A3422" s="2" t="s">
        <v>8511</v>
      </c>
      <c r="B3422" s="6">
        <v>46204</v>
      </c>
      <c r="C3422" s="8">
        <v>46220</v>
      </c>
      <c r="D3422" s="2" t="s">
        <v>7433</v>
      </c>
      <c r="E3422" s="2" t="s">
        <v>260</v>
      </c>
      <c r="F3422" s="2" t="s">
        <v>16703</v>
      </c>
      <c r="G3422" s="2" t="s">
        <v>8512</v>
      </c>
      <c r="H3422" s="2" t="s">
        <v>76</v>
      </c>
      <c r="I3422" s="9">
        <v>198715968</v>
      </c>
      <c r="J3422" s="7">
        <v>6.2000000000000003E-5</v>
      </c>
      <c r="K3422" s="9">
        <v>12320.39</v>
      </c>
      <c r="L3422" s="14">
        <v>0</v>
      </c>
      <c r="M3422" s="2" t="s">
        <v>71</v>
      </c>
      <c r="N3422" s="2" t="s">
        <v>16706</v>
      </c>
      <c r="O3422" s="2" t="s">
        <v>8509</v>
      </c>
      <c r="P3422" s="9">
        <v>6.78</v>
      </c>
      <c r="Q3422" s="9">
        <v>12419.75</v>
      </c>
      <c r="R3422" s="2" t="s">
        <v>16711</v>
      </c>
    </row>
    <row r="3423" spans="1:18" x14ac:dyDescent="0.25">
      <c r="A3423" s="2" t="s">
        <v>8513</v>
      </c>
      <c r="B3423" s="6">
        <v>46174</v>
      </c>
      <c r="C3423" s="8">
        <v>46196</v>
      </c>
      <c r="D3423" s="2" t="s">
        <v>7433</v>
      </c>
      <c r="E3423" s="2" t="s">
        <v>260</v>
      </c>
      <c r="F3423" s="2" t="s">
        <v>16703</v>
      </c>
      <c r="G3423" s="2" t="s">
        <v>8515</v>
      </c>
      <c r="H3423" s="2" t="s">
        <v>70</v>
      </c>
      <c r="I3423" s="9">
        <v>12617.383459000001</v>
      </c>
      <c r="J3423" s="7">
        <v>0.66500000000000004</v>
      </c>
      <c r="K3423" s="9">
        <v>8390.56</v>
      </c>
      <c r="L3423" s="14">
        <v>0</v>
      </c>
      <c r="M3423" s="2" t="s">
        <v>71</v>
      </c>
      <c r="N3423" s="2" t="s">
        <v>16704</v>
      </c>
      <c r="O3423" s="2" t="s">
        <v>8514</v>
      </c>
      <c r="P3423" s="9">
        <v>4.6100000000000003</v>
      </c>
      <c r="Q3423" s="9">
        <v>8390.56</v>
      </c>
      <c r="R3423" s="2" t="s">
        <v>16710</v>
      </c>
    </row>
    <row r="3424" spans="1:18" x14ac:dyDescent="0.25">
      <c r="A3424" s="2" t="s">
        <v>8516</v>
      </c>
      <c r="B3424" s="6">
        <v>46204</v>
      </c>
      <c r="C3424" s="8">
        <v>46221</v>
      </c>
      <c r="D3424" s="2" t="s">
        <v>7433</v>
      </c>
      <c r="E3424" s="2" t="s">
        <v>260</v>
      </c>
      <c r="F3424" s="2" t="s">
        <v>16703</v>
      </c>
      <c r="G3424" s="2" t="s">
        <v>8517</v>
      </c>
      <c r="H3424" s="2" t="s">
        <v>70</v>
      </c>
      <c r="I3424" s="9">
        <v>18926.075187999999</v>
      </c>
      <c r="J3424" s="7">
        <v>0.65800000000000003</v>
      </c>
      <c r="K3424" s="9">
        <v>12453.36</v>
      </c>
      <c r="L3424" s="14">
        <v>0</v>
      </c>
      <c r="M3424" s="2" t="s">
        <v>71</v>
      </c>
      <c r="N3424" s="2" t="s">
        <v>16706</v>
      </c>
      <c r="O3424" s="2" t="s">
        <v>8514</v>
      </c>
      <c r="P3424" s="9">
        <v>6.85</v>
      </c>
      <c r="Q3424" s="9">
        <v>12585.84</v>
      </c>
      <c r="R3424" s="2" t="s">
        <v>16711</v>
      </c>
    </row>
    <row r="3425" spans="1:18" x14ac:dyDescent="0.25">
      <c r="A3425" s="2" t="s">
        <v>8518</v>
      </c>
      <c r="B3425" s="6">
        <v>46174</v>
      </c>
      <c r="C3425" s="8">
        <v>46197</v>
      </c>
      <c r="D3425" s="2" t="s">
        <v>7433</v>
      </c>
      <c r="E3425" s="2" t="s">
        <v>260</v>
      </c>
      <c r="F3425" s="2" t="s">
        <v>16703</v>
      </c>
      <c r="G3425" s="2" t="s">
        <v>8520</v>
      </c>
      <c r="H3425" s="2" t="s">
        <v>39</v>
      </c>
      <c r="I3425" s="9">
        <v>8501.2880000000005</v>
      </c>
      <c r="J3425" s="7">
        <v>1</v>
      </c>
      <c r="K3425" s="9">
        <v>8501.2900000000009</v>
      </c>
      <c r="L3425" s="14">
        <v>0</v>
      </c>
      <c r="M3425" s="2" t="s">
        <v>71</v>
      </c>
      <c r="N3425" s="2" t="s">
        <v>16704</v>
      </c>
      <c r="O3425" s="2" t="s">
        <v>8519</v>
      </c>
      <c r="P3425" s="9">
        <v>4.68</v>
      </c>
      <c r="Q3425" s="9">
        <v>8501.2900000000009</v>
      </c>
      <c r="R3425" s="2" t="s">
        <v>16710</v>
      </c>
    </row>
    <row r="3426" spans="1:18" x14ac:dyDescent="0.25">
      <c r="A3426" s="2" t="s">
        <v>8521</v>
      </c>
      <c r="B3426" s="6">
        <v>46204</v>
      </c>
      <c r="C3426" s="8">
        <v>46222</v>
      </c>
      <c r="D3426" s="2" t="s">
        <v>7433</v>
      </c>
      <c r="E3426" s="2" t="s">
        <v>260</v>
      </c>
      <c r="F3426" s="2" t="s">
        <v>16703</v>
      </c>
      <c r="G3426" s="2" t="s">
        <v>8522</v>
      </c>
      <c r="H3426" s="2" t="s">
        <v>39</v>
      </c>
      <c r="I3426" s="9">
        <v>12751.932000000001</v>
      </c>
      <c r="J3426" s="7">
        <v>1</v>
      </c>
      <c r="K3426" s="9">
        <v>12751.93</v>
      </c>
      <c r="L3426" s="14">
        <v>0</v>
      </c>
      <c r="M3426" s="2" t="s">
        <v>71</v>
      </c>
      <c r="N3426" s="2" t="s">
        <v>16706</v>
      </c>
      <c r="O3426" s="2" t="s">
        <v>8519</v>
      </c>
      <c r="P3426" s="9">
        <v>7.01</v>
      </c>
      <c r="Q3426" s="9">
        <v>12751.93</v>
      </c>
      <c r="R3426" s="2" t="s">
        <v>16711</v>
      </c>
    </row>
    <row r="3427" spans="1:18" x14ac:dyDescent="0.25">
      <c r="A3427" s="2" t="s">
        <v>8523</v>
      </c>
      <c r="B3427" s="6">
        <v>46174</v>
      </c>
      <c r="C3427" s="8">
        <v>46198</v>
      </c>
      <c r="D3427" s="2" t="s">
        <v>7433</v>
      </c>
      <c r="E3427" s="2" t="s">
        <v>260</v>
      </c>
      <c r="F3427" s="2" t="s">
        <v>16703</v>
      </c>
      <c r="G3427" s="2" t="s">
        <v>8525</v>
      </c>
      <c r="H3427" s="2" t="s">
        <v>76</v>
      </c>
      <c r="I3427" s="9">
        <v>137792192</v>
      </c>
      <c r="J3427" s="7">
        <v>6.2500000000000001E-5</v>
      </c>
      <c r="K3427" s="9">
        <v>8612.01</v>
      </c>
      <c r="L3427" s="14">
        <v>0</v>
      </c>
      <c r="M3427" s="2" t="s">
        <v>71</v>
      </c>
      <c r="N3427" s="2" t="s">
        <v>16704</v>
      </c>
      <c r="O3427" s="2" t="s">
        <v>8524</v>
      </c>
      <c r="P3427" s="9">
        <v>4.74</v>
      </c>
      <c r="Q3427" s="9">
        <v>8612.01</v>
      </c>
      <c r="R3427" s="2" t="s">
        <v>16710</v>
      </c>
    </row>
    <row r="3428" spans="1:18" x14ac:dyDescent="0.25">
      <c r="A3428" s="2" t="s">
        <v>8526</v>
      </c>
      <c r="B3428" s="6">
        <v>46204</v>
      </c>
      <c r="C3428" s="8">
        <v>46223</v>
      </c>
      <c r="D3428" s="2" t="s">
        <v>7433</v>
      </c>
      <c r="E3428" s="2" t="s">
        <v>260</v>
      </c>
      <c r="F3428" s="2" t="s">
        <v>16703</v>
      </c>
      <c r="G3428" s="2" t="s">
        <v>8527</v>
      </c>
      <c r="H3428" s="2" t="s">
        <v>76</v>
      </c>
      <c r="I3428" s="9">
        <v>206688288</v>
      </c>
      <c r="J3428" s="7">
        <v>6.2000000000000003E-5</v>
      </c>
      <c r="K3428" s="9">
        <v>12814.67</v>
      </c>
      <c r="L3428" s="14">
        <v>0</v>
      </c>
      <c r="M3428" s="2" t="s">
        <v>71</v>
      </c>
      <c r="N3428" s="2" t="s">
        <v>16706</v>
      </c>
      <c r="O3428" s="2" t="s">
        <v>8524</v>
      </c>
      <c r="P3428" s="9">
        <v>7.05</v>
      </c>
      <c r="Q3428" s="9">
        <v>12918.02</v>
      </c>
      <c r="R3428" s="2" t="s">
        <v>16711</v>
      </c>
    </row>
    <row r="3429" spans="1:18" x14ac:dyDescent="0.25">
      <c r="A3429" s="2" t="s">
        <v>8528</v>
      </c>
      <c r="B3429" s="6">
        <v>46174</v>
      </c>
      <c r="C3429" s="8">
        <v>46199</v>
      </c>
      <c r="D3429" s="2" t="s">
        <v>7433</v>
      </c>
      <c r="E3429" s="2" t="s">
        <v>260</v>
      </c>
      <c r="F3429" s="2" t="s">
        <v>16703</v>
      </c>
      <c r="G3429" s="2" t="s">
        <v>8530</v>
      </c>
      <c r="H3429" s="2" t="s">
        <v>70</v>
      </c>
      <c r="I3429" s="9">
        <v>13116.902255999999</v>
      </c>
      <c r="J3429" s="7">
        <v>0.66500000000000004</v>
      </c>
      <c r="K3429" s="9">
        <v>8722.74</v>
      </c>
      <c r="L3429" s="14">
        <v>0</v>
      </c>
      <c r="M3429" s="2" t="s">
        <v>71</v>
      </c>
      <c r="N3429" s="2" t="s">
        <v>16704</v>
      </c>
      <c r="O3429" s="2" t="s">
        <v>8529</v>
      </c>
      <c r="P3429" s="9">
        <v>4.8</v>
      </c>
      <c r="Q3429" s="9">
        <v>8722.74</v>
      </c>
      <c r="R3429" s="2" t="s">
        <v>16710</v>
      </c>
    </row>
    <row r="3430" spans="1:18" x14ac:dyDescent="0.25">
      <c r="A3430" s="2" t="s">
        <v>8531</v>
      </c>
      <c r="B3430" s="6">
        <v>46204</v>
      </c>
      <c r="C3430" s="8">
        <v>46224</v>
      </c>
      <c r="D3430" s="2" t="s">
        <v>7433</v>
      </c>
      <c r="E3430" s="2" t="s">
        <v>260</v>
      </c>
      <c r="F3430" s="2" t="s">
        <v>16703</v>
      </c>
      <c r="G3430" s="2" t="s">
        <v>8532</v>
      </c>
      <c r="H3430" s="2" t="s">
        <v>70</v>
      </c>
      <c r="I3430" s="9">
        <v>19675.353383000001</v>
      </c>
      <c r="J3430" s="7">
        <v>0.65800000000000003</v>
      </c>
      <c r="K3430" s="9">
        <v>12946.38</v>
      </c>
      <c r="L3430" s="14">
        <v>0</v>
      </c>
      <c r="M3430" s="2" t="s">
        <v>71</v>
      </c>
      <c r="N3430" s="2" t="s">
        <v>16706</v>
      </c>
      <c r="O3430" s="2" t="s">
        <v>8529</v>
      </c>
      <c r="P3430" s="9">
        <v>7.12</v>
      </c>
      <c r="Q3430" s="9">
        <v>13084.11</v>
      </c>
      <c r="R3430" s="2" t="s">
        <v>16711</v>
      </c>
    </row>
    <row r="3431" spans="1:18" x14ac:dyDescent="0.25">
      <c r="A3431" s="2" t="s">
        <v>8533</v>
      </c>
      <c r="B3431" s="6">
        <v>46174</v>
      </c>
      <c r="C3431" s="8">
        <v>46200</v>
      </c>
      <c r="D3431" s="2" t="s">
        <v>7433</v>
      </c>
      <c r="E3431" s="2" t="s">
        <v>260</v>
      </c>
      <c r="F3431" s="2" t="s">
        <v>16703</v>
      </c>
      <c r="G3431" s="2" t="s">
        <v>8535</v>
      </c>
      <c r="H3431" s="2" t="s">
        <v>39</v>
      </c>
      <c r="I3431" s="9">
        <v>8833.4639999999999</v>
      </c>
      <c r="J3431" s="7">
        <v>1</v>
      </c>
      <c r="K3431" s="9">
        <v>8833.4599999999991</v>
      </c>
      <c r="L3431" s="14">
        <v>0</v>
      </c>
      <c r="M3431" s="2" t="s">
        <v>71</v>
      </c>
      <c r="N3431" s="2" t="s">
        <v>16704</v>
      </c>
      <c r="O3431" s="2" t="s">
        <v>8534</v>
      </c>
      <c r="P3431" s="9">
        <v>4.8600000000000003</v>
      </c>
      <c r="Q3431" s="9">
        <v>8833.4599999999991</v>
      </c>
      <c r="R3431" s="2" t="s">
        <v>16710</v>
      </c>
    </row>
    <row r="3432" spans="1:18" x14ac:dyDescent="0.25">
      <c r="A3432" s="2" t="s">
        <v>8536</v>
      </c>
      <c r="B3432" s="6">
        <v>46204</v>
      </c>
      <c r="C3432" s="8">
        <v>46225</v>
      </c>
      <c r="D3432" s="2" t="s">
        <v>7433</v>
      </c>
      <c r="E3432" s="2" t="s">
        <v>260</v>
      </c>
      <c r="F3432" s="2" t="s">
        <v>16703</v>
      </c>
      <c r="G3432" s="2" t="s">
        <v>8537</v>
      </c>
      <c r="H3432" s="2" t="s">
        <v>39</v>
      </c>
      <c r="I3432" s="9">
        <v>13250.196</v>
      </c>
      <c r="J3432" s="7">
        <v>1</v>
      </c>
      <c r="K3432" s="9">
        <v>13250.2</v>
      </c>
      <c r="L3432" s="14">
        <v>0</v>
      </c>
      <c r="M3432" s="2" t="s">
        <v>71</v>
      </c>
      <c r="N3432" s="2" t="s">
        <v>16706</v>
      </c>
      <c r="O3432" s="2" t="s">
        <v>8534</v>
      </c>
      <c r="P3432" s="9">
        <v>7.29</v>
      </c>
      <c r="Q3432" s="9">
        <v>13250.2</v>
      </c>
      <c r="R3432" s="2" t="s">
        <v>16711</v>
      </c>
    </row>
    <row r="3433" spans="1:18" x14ac:dyDescent="0.25">
      <c r="A3433" s="2" t="s">
        <v>8538</v>
      </c>
      <c r="B3433" s="6">
        <v>46174</v>
      </c>
      <c r="C3433" s="8">
        <v>46201</v>
      </c>
      <c r="D3433" s="2" t="s">
        <v>7433</v>
      </c>
      <c r="E3433" s="2" t="s">
        <v>260</v>
      </c>
      <c r="F3433" s="2" t="s">
        <v>16703</v>
      </c>
      <c r="G3433" s="2" t="s">
        <v>8540</v>
      </c>
      <c r="H3433" s="2" t="s">
        <v>76</v>
      </c>
      <c r="I3433" s="9">
        <v>143107072</v>
      </c>
      <c r="J3433" s="7">
        <v>6.2500000000000001E-5</v>
      </c>
      <c r="K3433" s="9">
        <v>8944.19</v>
      </c>
      <c r="L3433" s="14">
        <v>0</v>
      </c>
      <c r="M3433" s="2" t="s">
        <v>71</v>
      </c>
      <c r="N3433" s="2" t="s">
        <v>16704</v>
      </c>
      <c r="O3433" s="2" t="s">
        <v>8539</v>
      </c>
      <c r="P3433" s="9">
        <v>4.92</v>
      </c>
      <c r="Q3433" s="9">
        <v>8944.19</v>
      </c>
      <c r="R3433" s="2" t="s">
        <v>16710</v>
      </c>
    </row>
    <row r="3434" spans="1:18" x14ac:dyDescent="0.25">
      <c r="A3434" s="2" t="s">
        <v>8541</v>
      </c>
      <c r="B3434" s="6">
        <v>46204</v>
      </c>
      <c r="C3434" s="8">
        <v>46226</v>
      </c>
      <c r="D3434" s="2" t="s">
        <v>7433</v>
      </c>
      <c r="E3434" s="2" t="s">
        <v>260</v>
      </c>
      <c r="F3434" s="2" t="s">
        <v>16703</v>
      </c>
      <c r="G3434" s="2" t="s">
        <v>8542</v>
      </c>
      <c r="H3434" s="2" t="s">
        <v>76</v>
      </c>
      <c r="I3434" s="9">
        <v>214660608</v>
      </c>
      <c r="J3434" s="7">
        <v>6.2000000000000003E-5</v>
      </c>
      <c r="K3434" s="9">
        <v>13308.96</v>
      </c>
      <c r="L3434" s="14">
        <v>0</v>
      </c>
      <c r="M3434" s="2" t="s">
        <v>71</v>
      </c>
      <c r="N3434" s="2" t="s">
        <v>16706</v>
      </c>
      <c r="O3434" s="2" t="s">
        <v>8539</v>
      </c>
      <c r="P3434" s="9">
        <v>7.32</v>
      </c>
      <c r="Q3434" s="9">
        <v>13416.29</v>
      </c>
      <c r="R3434" s="2" t="s">
        <v>16711</v>
      </c>
    </row>
    <row r="3435" spans="1:18" x14ac:dyDescent="0.25">
      <c r="A3435" s="2" t="s">
        <v>8543</v>
      </c>
      <c r="B3435" s="6">
        <v>46174</v>
      </c>
      <c r="C3435" s="8">
        <v>46202</v>
      </c>
      <c r="D3435" s="2" t="s">
        <v>7433</v>
      </c>
      <c r="E3435" s="2" t="s">
        <v>260</v>
      </c>
      <c r="F3435" s="2" t="s">
        <v>16703</v>
      </c>
      <c r="G3435" s="2" t="s">
        <v>8545</v>
      </c>
      <c r="H3435" s="2" t="s">
        <v>70</v>
      </c>
      <c r="I3435" s="9">
        <v>13616.421053</v>
      </c>
      <c r="J3435" s="7">
        <v>0.66500000000000004</v>
      </c>
      <c r="K3435" s="9">
        <v>9054.92</v>
      </c>
      <c r="L3435" s="14">
        <v>0</v>
      </c>
      <c r="M3435" s="2" t="s">
        <v>71</v>
      </c>
      <c r="N3435" s="2" t="s">
        <v>16704</v>
      </c>
      <c r="O3435" s="2" t="s">
        <v>8544</v>
      </c>
      <c r="P3435" s="9">
        <v>4.9800000000000004</v>
      </c>
      <c r="Q3435" s="9">
        <v>9054.92</v>
      </c>
      <c r="R3435" s="2" t="s">
        <v>16710</v>
      </c>
    </row>
    <row r="3436" spans="1:18" x14ac:dyDescent="0.25">
      <c r="A3436" s="2" t="s">
        <v>8546</v>
      </c>
      <c r="B3436" s="6">
        <v>46204</v>
      </c>
      <c r="C3436" s="8">
        <v>46227</v>
      </c>
      <c r="D3436" s="2" t="s">
        <v>7433</v>
      </c>
      <c r="E3436" s="2" t="s">
        <v>260</v>
      </c>
      <c r="F3436" s="2" t="s">
        <v>16703</v>
      </c>
      <c r="G3436" s="2" t="s">
        <v>8547</v>
      </c>
      <c r="H3436" s="2" t="s">
        <v>70</v>
      </c>
      <c r="I3436" s="9">
        <v>20424.631579000001</v>
      </c>
      <c r="J3436" s="7">
        <v>0.65800000000000003</v>
      </c>
      <c r="K3436" s="9">
        <v>13439.41</v>
      </c>
      <c r="L3436" s="14">
        <v>0</v>
      </c>
      <c r="M3436" s="2" t="s">
        <v>71</v>
      </c>
      <c r="N3436" s="2" t="s">
        <v>16706</v>
      </c>
      <c r="O3436" s="2" t="s">
        <v>8544</v>
      </c>
      <c r="P3436" s="9">
        <v>7.39</v>
      </c>
      <c r="Q3436" s="9">
        <v>13582.38</v>
      </c>
      <c r="R3436" s="2" t="s">
        <v>16711</v>
      </c>
    </row>
    <row r="3437" spans="1:18" x14ac:dyDescent="0.25">
      <c r="A3437" s="2" t="s">
        <v>8548</v>
      </c>
      <c r="B3437" s="6">
        <v>46174</v>
      </c>
      <c r="C3437" s="8">
        <v>46203</v>
      </c>
      <c r="D3437" s="2" t="s">
        <v>7433</v>
      </c>
      <c r="E3437" s="2" t="s">
        <v>260</v>
      </c>
      <c r="F3437" s="2" t="s">
        <v>16703</v>
      </c>
      <c r="G3437" s="2" t="s">
        <v>8550</v>
      </c>
      <c r="H3437" s="2" t="s">
        <v>39</v>
      </c>
      <c r="I3437" s="9">
        <v>9165.6440000000002</v>
      </c>
      <c r="J3437" s="7">
        <v>1</v>
      </c>
      <c r="K3437" s="9">
        <v>9165.64</v>
      </c>
      <c r="L3437" s="14">
        <v>0</v>
      </c>
      <c r="M3437" s="2" t="s">
        <v>71</v>
      </c>
      <c r="N3437" s="2" t="s">
        <v>16704</v>
      </c>
      <c r="O3437" s="2" t="s">
        <v>8549</v>
      </c>
      <c r="P3437" s="9">
        <v>5.04</v>
      </c>
      <c r="Q3437" s="9">
        <v>9165.64</v>
      </c>
      <c r="R3437" s="2" t="s">
        <v>16710</v>
      </c>
    </row>
    <row r="3438" spans="1:18" x14ac:dyDescent="0.25">
      <c r="A3438" s="2" t="s">
        <v>8551</v>
      </c>
      <c r="B3438" s="6">
        <v>46204</v>
      </c>
      <c r="C3438" s="8">
        <v>46228</v>
      </c>
      <c r="D3438" s="2" t="s">
        <v>7433</v>
      </c>
      <c r="E3438" s="2" t="s">
        <v>260</v>
      </c>
      <c r="F3438" s="2" t="s">
        <v>16703</v>
      </c>
      <c r="G3438" s="2" t="s">
        <v>8552</v>
      </c>
      <c r="H3438" s="2" t="s">
        <v>39</v>
      </c>
      <c r="I3438" s="9">
        <v>13748.466</v>
      </c>
      <c r="J3438" s="7">
        <v>1</v>
      </c>
      <c r="K3438" s="9">
        <v>13748.47</v>
      </c>
      <c r="L3438" s="14">
        <v>0</v>
      </c>
      <c r="M3438" s="2" t="s">
        <v>71</v>
      </c>
      <c r="N3438" s="2" t="s">
        <v>16706</v>
      </c>
      <c r="O3438" s="2" t="s">
        <v>8549</v>
      </c>
      <c r="P3438" s="9">
        <v>7.56</v>
      </c>
      <c r="Q3438" s="9">
        <v>13748.47</v>
      </c>
      <c r="R3438" s="2" t="s">
        <v>16711</v>
      </c>
    </row>
    <row r="3439" spans="1:18" x14ac:dyDescent="0.25">
      <c r="A3439" s="2" t="s">
        <v>8553</v>
      </c>
      <c r="B3439" s="6">
        <v>46204</v>
      </c>
      <c r="C3439" s="8">
        <v>46204</v>
      </c>
      <c r="D3439" s="2" t="s">
        <v>7433</v>
      </c>
      <c r="E3439" s="2" t="s">
        <v>260</v>
      </c>
      <c r="F3439" s="2" t="s">
        <v>16703</v>
      </c>
      <c r="G3439" s="2" t="s">
        <v>8555</v>
      </c>
      <c r="H3439" s="2" t="s">
        <v>76</v>
      </c>
      <c r="I3439" s="9">
        <v>148421952</v>
      </c>
      <c r="J3439" s="7">
        <v>6.2000000000000003E-5</v>
      </c>
      <c r="K3439" s="9">
        <v>9202.16</v>
      </c>
      <c r="L3439" s="14">
        <v>0</v>
      </c>
      <c r="M3439" s="2" t="s">
        <v>71</v>
      </c>
      <c r="N3439" s="2" t="s">
        <v>16706</v>
      </c>
      <c r="O3439" s="2" t="s">
        <v>8554</v>
      </c>
      <c r="P3439" s="9">
        <v>5.0599999999999996</v>
      </c>
      <c r="Q3439" s="9">
        <v>9276.3700000000008</v>
      </c>
      <c r="R3439" s="2" t="s">
        <v>16711</v>
      </c>
    </row>
    <row r="3440" spans="1:18" x14ac:dyDescent="0.25">
      <c r="A3440" s="2" t="s">
        <v>8556</v>
      </c>
      <c r="B3440" s="6">
        <v>46204</v>
      </c>
      <c r="C3440" s="8">
        <v>46229</v>
      </c>
      <c r="D3440" s="2" t="s">
        <v>7433</v>
      </c>
      <c r="E3440" s="2" t="s">
        <v>260</v>
      </c>
      <c r="F3440" s="2" t="s">
        <v>16703</v>
      </c>
      <c r="G3440" s="2" t="s">
        <v>8557</v>
      </c>
      <c r="H3440" s="2" t="s">
        <v>76</v>
      </c>
      <c r="I3440" s="9">
        <v>222632928</v>
      </c>
      <c r="J3440" s="7">
        <v>6.2000000000000003E-5</v>
      </c>
      <c r="K3440" s="9">
        <v>13803.24</v>
      </c>
      <c r="L3440" s="14">
        <v>0</v>
      </c>
      <c r="M3440" s="2" t="s">
        <v>71</v>
      </c>
      <c r="N3440" s="2" t="s">
        <v>16706</v>
      </c>
      <c r="O3440" s="2" t="s">
        <v>8554</v>
      </c>
      <c r="P3440" s="9">
        <v>7.59</v>
      </c>
      <c r="Q3440" s="9">
        <v>13914.56</v>
      </c>
      <c r="R3440" s="2" t="s">
        <v>16711</v>
      </c>
    </row>
    <row r="3441" spans="1:18" x14ac:dyDescent="0.25">
      <c r="A3441" s="2" t="s">
        <v>8558</v>
      </c>
      <c r="B3441" s="6">
        <v>46204</v>
      </c>
      <c r="C3441" s="8">
        <v>46205</v>
      </c>
      <c r="D3441" s="2" t="s">
        <v>7433</v>
      </c>
      <c r="E3441" s="2" t="s">
        <v>260</v>
      </c>
      <c r="F3441" s="2" t="s">
        <v>16703</v>
      </c>
      <c r="G3441" s="2" t="s">
        <v>8560</v>
      </c>
      <c r="H3441" s="2" t="s">
        <v>70</v>
      </c>
      <c r="I3441" s="9">
        <v>14115.933833999999</v>
      </c>
      <c r="J3441" s="7">
        <v>0.65800000000000003</v>
      </c>
      <c r="K3441" s="9">
        <v>9288.2800000000007</v>
      </c>
      <c r="L3441" s="14">
        <v>0</v>
      </c>
      <c r="M3441" s="2" t="s">
        <v>71</v>
      </c>
      <c r="N3441" s="2" t="s">
        <v>16706</v>
      </c>
      <c r="O3441" s="2" t="s">
        <v>8559</v>
      </c>
      <c r="P3441" s="9">
        <v>5.1100000000000003</v>
      </c>
      <c r="Q3441" s="9">
        <v>9387.1</v>
      </c>
      <c r="R3441" s="2" t="s">
        <v>16711</v>
      </c>
    </row>
    <row r="3442" spans="1:18" x14ac:dyDescent="0.25">
      <c r="A3442" s="2" t="s">
        <v>8561</v>
      </c>
      <c r="B3442" s="6">
        <v>46204</v>
      </c>
      <c r="C3442" s="8">
        <v>46230</v>
      </c>
      <c r="D3442" s="2" t="s">
        <v>7433</v>
      </c>
      <c r="E3442" s="2" t="s">
        <v>260</v>
      </c>
      <c r="F3442" s="2" t="s">
        <v>16703</v>
      </c>
      <c r="G3442" s="2" t="s">
        <v>8562</v>
      </c>
      <c r="H3442" s="2" t="s">
        <v>70</v>
      </c>
      <c r="I3442" s="9">
        <v>21173.900752000001</v>
      </c>
      <c r="J3442" s="7">
        <v>0.65800000000000003</v>
      </c>
      <c r="K3442" s="9">
        <v>13932.43</v>
      </c>
      <c r="L3442" s="14">
        <v>0</v>
      </c>
      <c r="M3442" s="2" t="s">
        <v>71</v>
      </c>
      <c r="N3442" s="2" t="s">
        <v>16706</v>
      </c>
      <c r="O3442" s="2" t="s">
        <v>8559</v>
      </c>
      <c r="P3442" s="9">
        <v>7.66</v>
      </c>
      <c r="Q3442" s="9">
        <v>14080.64</v>
      </c>
      <c r="R3442" s="2" t="s">
        <v>16711</v>
      </c>
    </row>
    <row r="3443" spans="1:18" x14ac:dyDescent="0.25">
      <c r="A3443" s="2" t="s">
        <v>8563</v>
      </c>
      <c r="B3443" s="6">
        <v>46204</v>
      </c>
      <c r="C3443" s="8">
        <v>46206</v>
      </c>
      <c r="D3443" s="2" t="s">
        <v>7433</v>
      </c>
      <c r="E3443" s="2" t="s">
        <v>260</v>
      </c>
      <c r="F3443" s="2" t="s">
        <v>16703</v>
      </c>
      <c r="G3443" s="2" t="s">
        <v>8565</v>
      </c>
      <c r="H3443" s="2" t="s">
        <v>39</v>
      </c>
      <c r="I3443" s="9">
        <v>9497.8240000000005</v>
      </c>
      <c r="J3443" s="7">
        <v>1</v>
      </c>
      <c r="K3443" s="9">
        <v>9497.82</v>
      </c>
      <c r="L3443" s="14">
        <v>0</v>
      </c>
      <c r="M3443" s="2" t="s">
        <v>71</v>
      </c>
      <c r="N3443" s="2" t="s">
        <v>16706</v>
      </c>
      <c r="O3443" s="2" t="s">
        <v>8564</v>
      </c>
      <c r="P3443" s="9">
        <v>5.22</v>
      </c>
      <c r="Q3443" s="9">
        <v>9497.82</v>
      </c>
      <c r="R3443" s="2" t="s">
        <v>16711</v>
      </c>
    </row>
    <row r="3444" spans="1:18" x14ac:dyDescent="0.25">
      <c r="A3444" s="2" t="s">
        <v>8566</v>
      </c>
      <c r="B3444" s="6">
        <v>46204</v>
      </c>
      <c r="C3444" s="8">
        <v>46231</v>
      </c>
      <c r="D3444" s="2" t="s">
        <v>7433</v>
      </c>
      <c r="E3444" s="2" t="s">
        <v>260</v>
      </c>
      <c r="F3444" s="2" t="s">
        <v>16703</v>
      </c>
      <c r="G3444" s="2" t="s">
        <v>8567</v>
      </c>
      <c r="H3444" s="2" t="s">
        <v>39</v>
      </c>
      <c r="I3444" s="9">
        <v>14246.736000000001</v>
      </c>
      <c r="J3444" s="7">
        <v>1</v>
      </c>
      <c r="K3444" s="9">
        <v>14246.74</v>
      </c>
      <c r="L3444" s="14">
        <v>0</v>
      </c>
      <c r="M3444" s="2" t="s">
        <v>71</v>
      </c>
      <c r="N3444" s="2" t="s">
        <v>16706</v>
      </c>
      <c r="O3444" s="2" t="s">
        <v>8564</v>
      </c>
      <c r="P3444" s="9">
        <v>7.84</v>
      </c>
      <c r="Q3444" s="9">
        <v>14246.74</v>
      </c>
      <c r="R3444" s="2" t="s">
        <v>16711</v>
      </c>
    </row>
    <row r="3445" spans="1:18" x14ac:dyDescent="0.25">
      <c r="A3445" s="2" t="s">
        <v>8568</v>
      </c>
      <c r="B3445" s="6">
        <v>46204</v>
      </c>
      <c r="C3445" s="8">
        <v>46207</v>
      </c>
      <c r="D3445" s="2" t="s">
        <v>7433</v>
      </c>
      <c r="E3445" s="2" t="s">
        <v>260</v>
      </c>
      <c r="F3445" s="2" t="s">
        <v>16703</v>
      </c>
      <c r="G3445" s="2" t="s">
        <v>8570</v>
      </c>
      <c r="H3445" s="2" t="s">
        <v>76</v>
      </c>
      <c r="I3445" s="9">
        <v>10376832</v>
      </c>
      <c r="J3445" s="7">
        <v>6.2000000000000003E-5</v>
      </c>
      <c r="K3445" s="9">
        <v>643.36</v>
      </c>
      <c r="L3445" s="14">
        <v>0</v>
      </c>
      <c r="M3445" s="2" t="s">
        <v>71</v>
      </c>
      <c r="N3445" s="2" t="s">
        <v>16706</v>
      </c>
      <c r="O3445" s="2" t="s">
        <v>8569</v>
      </c>
      <c r="P3445" s="9">
        <v>1.8</v>
      </c>
      <c r="Q3445" s="9">
        <v>648.54999999999995</v>
      </c>
      <c r="R3445" s="2" t="s">
        <v>16711</v>
      </c>
    </row>
    <row r="3446" spans="1:18" x14ac:dyDescent="0.25">
      <c r="A3446" s="2" t="s">
        <v>8571</v>
      </c>
      <c r="B3446" s="6">
        <v>46204</v>
      </c>
      <c r="C3446" s="8">
        <v>46232</v>
      </c>
      <c r="D3446" s="2" t="s">
        <v>7433</v>
      </c>
      <c r="E3446" s="2" t="s">
        <v>260</v>
      </c>
      <c r="F3446" s="2" t="s">
        <v>16703</v>
      </c>
      <c r="G3446" s="2" t="s">
        <v>8572</v>
      </c>
      <c r="H3446" s="2" t="s">
        <v>76</v>
      </c>
      <c r="I3446" s="9">
        <v>15565248</v>
      </c>
      <c r="J3446" s="7">
        <v>6.2000000000000003E-5</v>
      </c>
      <c r="K3446" s="9">
        <v>965.05</v>
      </c>
      <c r="L3446" s="14">
        <v>0</v>
      </c>
      <c r="M3446" s="2" t="s">
        <v>71</v>
      </c>
      <c r="N3446" s="2" t="s">
        <v>16706</v>
      </c>
      <c r="O3446" s="2" t="s">
        <v>8569</v>
      </c>
      <c r="P3446" s="9">
        <v>1.8</v>
      </c>
      <c r="Q3446" s="9">
        <v>972.83</v>
      </c>
      <c r="R3446" s="2" t="s">
        <v>16711</v>
      </c>
    </row>
    <row r="3447" spans="1:18" x14ac:dyDescent="0.25">
      <c r="A3447" s="2" t="s">
        <v>8573</v>
      </c>
      <c r="B3447" s="6">
        <v>46204</v>
      </c>
      <c r="C3447" s="8">
        <v>46208</v>
      </c>
      <c r="D3447" s="2" t="s">
        <v>7433</v>
      </c>
      <c r="E3447" s="2" t="s">
        <v>260</v>
      </c>
      <c r="F3447" s="2" t="s">
        <v>16703</v>
      </c>
      <c r="G3447" s="2" t="s">
        <v>8575</v>
      </c>
      <c r="H3447" s="2" t="s">
        <v>70</v>
      </c>
      <c r="I3447" s="9">
        <v>1141.768421</v>
      </c>
      <c r="J3447" s="7">
        <v>0.65800000000000003</v>
      </c>
      <c r="K3447" s="9">
        <v>751.28</v>
      </c>
      <c r="L3447" s="14">
        <v>0</v>
      </c>
      <c r="M3447" s="2" t="s">
        <v>71</v>
      </c>
      <c r="N3447" s="2" t="s">
        <v>16706</v>
      </c>
      <c r="O3447" s="2" t="s">
        <v>8574</v>
      </c>
      <c r="P3447" s="9">
        <v>1.8</v>
      </c>
      <c r="Q3447" s="9">
        <v>759.28</v>
      </c>
      <c r="R3447" s="2" t="s">
        <v>16711</v>
      </c>
    </row>
    <row r="3448" spans="1:18" x14ac:dyDescent="0.25">
      <c r="A3448" s="2" t="s">
        <v>8576</v>
      </c>
      <c r="B3448" s="6">
        <v>46204</v>
      </c>
      <c r="C3448" s="8">
        <v>46233</v>
      </c>
      <c r="D3448" s="2" t="s">
        <v>7433</v>
      </c>
      <c r="E3448" s="2" t="s">
        <v>260</v>
      </c>
      <c r="F3448" s="2" t="s">
        <v>16703</v>
      </c>
      <c r="G3448" s="2" t="s">
        <v>8577</v>
      </c>
      <c r="H3448" s="2" t="s">
        <v>70</v>
      </c>
      <c r="I3448" s="9">
        <v>1712.652632</v>
      </c>
      <c r="J3448" s="7">
        <v>0.65800000000000003</v>
      </c>
      <c r="K3448" s="9">
        <v>1126.93</v>
      </c>
      <c r="L3448" s="14">
        <v>0</v>
      </c>
      <c r="M3448" s="2" t="s">
        <v>71</v>
      </c>
      <c r="N3448" s="2" t="s">
        <v>16706</v>
      </c>
      <c r="O3448" s="2" t="s">
        <v>8574</v>
      </c>
      <c r="P3448" s="9">
        <v>1.8</v>
      </c>
      <c r="Q3448" s="9">
        <v>1138.9100000000001</v>
      </c>
      <c r="R3448" s="2" t="s">
        <v>16711</v>
      </c>
    </row>
    <row r="3449" spans="1:18" x14ac:dyDescent="0.25">
      <c r="A3449" s="2" t="s">
        <v>8578</v>
      </c>
      <c r="B3449" s="6">
        <v>46204</v>
      </c>
      <c r="C3449" s="8">
        <v>46209</v>
      </c>
      <c r="D3449" s="2" t="s">
        <v>7433</v>
      </c>
      <c r="E3449" s="2" t="s">
        <v>260</v>
      </c>
      <c r="F3449" s="2" t="s">
        <v>16703</v>
      </c>
      <c r="G3449" s="2" t="s">
        <v>8580</v>
      </c>
      <c r="H3449" s="2" t="s">
        <v>39</v>
      </c>
      <c r="I3449" s="9">
        <v>870.00400000000002</v>
      </c>
      <c r="J3449" s="7">
        <v>1</v>
      </c>
      <c r="K3449" s="9">
        <v>870</v>
      </c>
      <c r="L3449" s="14">
        <v>0</v>
      </c>
      <c r="M3449" s="2" t="s">
        <v>71</v>
      </c>
      <c r="N3449" s="2" t="s">
        <v>16706</v>
      </c>
      <c r="O3449" s="2" t="s">
        <v>8579</v>
      </c>
      <c r="P3449" s="9">
        <v>1.8</v>
      </c>
      <c r="Q3449" s="9">
        <v>870</v>
      </c>
      <c r="R3449" s="2" t="s">
        <v>16711</v>
      </c>
    </row>
    <row r="3450" spans="1:18" x14ac:dyDescent="0.25">
      <c r="A3450" s="2" t="s">
        <v>8581</v>
      </c>
      <c r="B3450" s="6">
        <v>46204</v>
      </c>
      <c r="C3450" s="8">
        <v>46234</v>
      </c>
      <c r="D3450" s="2" t="s">
        <v>7433</v>
      </c>
      <c r="E3450" s="2" t="s">
        <v>260</v>
      </c>
      <c r="F3450" s="2" t="s">
        <v>16703</v>
      </c>
      <c r="G3450" s="2" t="s">
        <v>8582</v>
      </c>
      <c r="H3450" s="2" t="s">
        <v>39</v>
      </c>
      <c r="I3450" s="9">
        <v>1305.0060000000001</v>
      </c>
      <c r="J3450" s="7">
        <v>1</v>
      </c>
      <c r="K3450" s="9">
        <v>1305.01</v>
      </c>
      <c r="L3450" s="14">
        <v>0</v>
      </c>
      <c r="M3450" s="2" t="s">
        <v>71</v>
      </c>
      <c r="N3450" s="2" t="s">
        <v>16706</v>
      </c>
      <c r="O3450" s="2" t="s">
        <v>8579</v>
      </c>
      <c r="P3450" s="9">
        <v>1.8</v>
      </c>
      <c r="Q3450" s="9">
        <v>1305.01</v>
      </c>
      <c r="R3450" s="2" t="s">
        <v>16711</v>
      </c>
    </row>
    <row r="3451" spans="1:18" x14ac:dyDescent="0.25">
      <c r="A3451" s="2" t="s">
        <v>8583</v>
      </c>
      <c r="B3451" s="6">
        <v>46204</v>
      </c>
      <c r="C3451" s="8">
        <v>46210</v>
      </c>
      <c r="D3451" s="2" t="s">
        <v>7433</v>
      </c>
      <c r="E3451" s="2" t="s">
        <v>260</v>
      </c>
      <c r="F3451" s="2" t="s">
        <v>16703</v>
      </c>
      <c r="G3451" s="2" t="s">
        <v>8585</v>
      </c>
      <c r="H3451" s="2" t="s">
        <v>76</v>
      </c>
      <c r="I3451" s="9">
        <v>15691648</v>
      </c>
      <c r="J3451" s="7">
        <v>6.2000000000000003E-5</v>
      </c>
      <c r="K3451" s="9">
        <v>972.88</v>
      </c>
      <c r="L3451" s="14">
        <v>0</v>
      </c>
      <c r="M3451" s="2" t="s">
        <v>71</v>
      </c>
      <c r="N3451" s="2" t="s">
        <v>16706</v>
      </c>
      <c r="O3451" s="2" t="s">
        <v>8584</v>
      </c>
      <c r="P3451" s="9">
        <v>1.8</v>
      </c>
      <c r="Q3451" s="9">
        <v>980.73</v>
      </c>
      <c r="R3451" s="2" t="s">
        <v>16711</v>
      </c>
    </row>
    <row r="3452" spans="1:18" x14ac:dyDescent="0.25">
      <c r="A3452" s="2" t="s">
        <v>8588</v>
      </c>
      <c r="B3452" s="6">
        <v>46204</v>
      </c>
      <c r="C3452" s="8">
        <v>46211</v>
      </c>
      <c r="D3452" s="2" t="s">
        <v>7433</v>
      </c>
      <c r="E3452" s="2" t="s">
        <v>260</v>
      </c>
      <c r="F3452" s="2" t="s">
        <v>16703</v>
      </c>
      <c r="G3452" s="2" t="s">
        <v>8590</v>
      </c>
      <c r="H3452" s="2" t="s">
        <v>70</v>
      </c>
      <c r="I3452" s="9">
        <v>1641.2872179999999</v>
      </c>
      <c r="J3452" s="7">
        <v>0.65800000000000003</v>
      </c>
      <c r="K3452" s="9">
        <v>1079.97</v>
      </c>
      <c r="L3452" s="14">
        <v>0</v>
      </c>
      <c r="M3452" s="2" t="s">
        <v>71</v>
      </c>
      <c r="N3452" s="2" t="s">
        <v>16706</v>
      </c>
      <c r="O3452" s="2" t="s">
        <v>8589</v>
      </c>
      <c r="P3452" s="9">
        <v>1.8</v>
      </c>
      <c r="Q3452" s="9">
        <v>1091.46</v>
      </c>
      <c r="R3452" s="2" t="s">
        <v>16711</v>
      </c>
    </row>
    <row r="3453" spans="1:18" x14ac:dyDescent="0.25">
      <c r="A3453" s="2" t="s">
        <v>8593</v>
      </c>
      <c r="B3453" s="6">
        <v>46204</v>
      </c>
      <c r="C3453" s="8">
        <v>46212</v>
      </c>
      <c r="D3453" s="2" t="s">
        <v>7433</v>
      </c>
      <c r="E3453" s="2" t="s">
        <v>260</v>
      </c>
      <c r="F3453" s="2" t="s">
        <v>16703</v>
      </c>
      <c r="G3453" s="2" t="s">
        <v>8595</v>
      </c>
      <c r="H3453" s="2" t="s">
        <v>39</v>
      </c>
      <c r="I3453" s="9">
        <v>1202.184</v>
      </c>
      <c r="J3453" s="7">
        <v>1</v>
      </c>
      <c r="K3453" s="9">
        <v>1202.18</v>
      </c>
      <c r="L3453" s="14">
        <v>0</v>
      </c>
      <c r="M3453" s="2" t="s">
        <v>71</v>
      </c>
      <c r="N3453" s="2" t="s">
        <v>16706</v>
      </c>
      <c r="O3453" s="2" t="s">
        <v>8594</v>
      </c>
      <c r="P3453" s="9">
        <v>1.8</v>
      </c>
      <c r="Q3453" s="9">
        <v>1202.18</v>
      </c>
      <c r="R3453" s="2" t="s">
        <v>16711</v>
      </c>
    </row>
    <row r="3454" spans="1:18" x14ac:dyDescent="0.25">
      <c r="A3454" s="2" t="s">
        <v>8598</v>
      </c>
      <c r="B3454" s="6">
        <v>46204</v>
      </c>
      <c r="C3454" s="8">
        <v>46213</v>
      </c>
      <c r="D3454" s="2" t="s">
        <v>7433</v>
      </c>
      <c r="E3454" s="2" t="s">
        <v>260</v>
      </c>
      <c r="F3454" s="2" t="s">
        <v>16703</v>
      </c>
      <c r="G3454" s="2" t="s">
        <v>8600</v>
      </c>
      <c r="H3454" s="2" t="s">
        <v>76</v>
      </c>
      <c r="I3454" s="9">
        <v>21006528</v>
      </c>
      <c r="J3454" s="7">
        <v>6.2000000000000003E-5</v>
      </c>
      <c r="K3454" s="9">
        <v>1302.4000000000001</v>
      </c>
      <c r="L3454" s="14">
        <v>0</v>
      </c>
      <c r="M3454" s="2" t="s">
        <v>71</v>
      </c>
      <c r="N3454" s="2" t="s">
        <v>16706</v>
      </c>
      <c r="O3454" s="2" t="s">
        <v>8599</v>
      </c>
      <c r="P3454" s="9">
        <v>1.8</v>
      </c>
      <c r="Q3454" s="9">
        <v>1312.91</v>
      </c>
      <c r="R3454" s="2" t="s">
        <v>16711</v>
      </c>
    </row>
    <row r="3455" spans="1:18" x14ac:dyDescent="0.25">
      <c r="A3455" s="2" t="s">
        <v>8603</v>
      </c>
      <c r="B3455" s="6">
        <v>46204</v>
      </c>
      <c r="C3455" s="8">
        <v>46214</v>
      </c>
      <c r="D3455" s="2" t="s">
        <v>7433</v>
      </c>
      <c r="E3455" s="2" t="s">
        <v>260</v>
      </c>
      <c r="F3455" s="2" t="s">
        <v>16703</v>
      </c>
      <c r="G3455" s="2" t="s">
        <v>8605</v>
      </c>
      <c r="H3455" s="2" t="s">
        <v>70</v>
      </c>
      <c r="I3455" s="9">
        <v>2140.8060150000001</v>
      </c>
      <c r="J3455" s="7">
        <v>0.65800000000000003</v>
      </c>
      <c r="K3455" s="9">
        <v>1408.65</v>
      </c>
      <c r="L3455" s="14">
        <v>0</v>
      </c>
      <c r="M3455" s="2" t="s">
        <v>71</v>
      </c>
      <c r="N3455" s="2" t="s">
        <v>16706</v>
      </c>
      <c r="O3455" s="2" t="s">
        <v>8604</v>
      </c>
      <c r="P3455" s="9">
        <v>1.8</v>
      </c>
      <c r="Q3455" s="9">
        <v>1423.64</v>
      </c>
      <c r="R3455" s="2" t="s">
        <v>16711</v>
      </c>
    </row>
    <row r="3456" spans="1:18" x14ac:dyDescent="0.25">
      <c r="A3456" s="2" t="s">
        <v>8608</v>
      </c>
      <c r="B3456" s="6">
        <v>46204</v>
      </c>
      <c r="C3456" s="8">
        <v>46215</v>
      </c>
      <c r="D3456" s="2" t="s">
        <v>7433</v>
      </c>
      <c r="E3456" s="2" t="s">
        <v>260</v>
      </c>
      <c r="F3456" s="2" t="s">
        <v>16703</v>
      </c>
      <c r="G3456" s="2" t="s">
        <v>8610</v>
      </c>
      <c r="H3456" s="2" t="s">
        <v>39</v>
      </c>
      <c r="I3456" s="9">
        <v>1534.36</v>
      </c>
      <c r="J3456" s="7">
        <v>1</v>
      </c>
      <c r="K3456" s="9">
        <v>1534.36</v>
      </c>
      <c r="L3456" s="14">
        <v>0</v>
      </c>
      <c r="M3456" s="2" t="s">
        <v>71</v>
      </c>
      <c r="N3456" s="2" t="s">
        <v>16706</v>
      </c>
      <c r="O3456" s="2" t="s">
        <v>8609</v>
      </c>
      <c r="P3456" s="9">
        <v>1.8</v>
      </c>
      <c r="Q3456" s="9">
        <v>1534.36</v>
      </c>
      <c r="R3456" s="2" t="s">
        <v>16711</v>
      </c>
    </row>
    <row r="3457" spans="1:18" x14ac:dyDescent="0.25">
      <c r="A3457" s="2" t="s">
        <v>8613</v>
      </c>
      <c r="B3457" s="6">
        <v>46204</v>
      </c>
      <c r="C3457" s="8">
        <v>46216</v>
      </c>
      <c r="D3457" s="2" t="s">
        <v>7433</v>
      </c>
      <c r="E3457" s="2" t="s">
        <v>260</v>
      </c>
      <c r="F3457" s="2" t="s">
        <v>16703</v>
      </c>
      <c r="G3457" s="2" t="s">
        <v>8615</v>
      </c>
      <c r="H3457" s="2" t="s">
        <v>76</v>
      </c>
      <c r="I3457" s="9">
        <v>26321408</v>
      </c>
      <c r="J3457" s="7">
        <v>6.2000000000000003E-5</v>
      </c>
      <c r="K3457" s="9">
        <v>1631.93</v>
      </c>
      <c r="L3457" s="14">
        <v>0</v>
      </c>
      <c r="M3457" s="2" t="s">
        <v>71</v>
      </c>
      <c r="N3457" s="2" t="s">
        <v>16706</v>
      </c>
      <c r="O3457" s="2" t="s">
        <v>8614</v>
      </c>
      <c r="P3457" s="9">
        <v>1.8</v>
      </c>
      <c r="Q3457" s="9">
        <v>1645.09</v>
      </c>
      <c r="R3457" s="2" t="s">
        <v>16711</v>
      </c>
    </row>
    <row r="3458" spans="1:18" x14ac:dyDescent="0.25">
      <c r="A3458" s="2" t="s">
        <v>8618</v>
      </c>
      <c r="B3458" s="6">
        <v>46204</v>
      </c>
      <c r="C3458" s="8">
        <v>46217</v>
      </c>
      <c r="D3458" s="2" t="s">
        <v>7433</v>
      </c>
      <c r="E3458" s="2" t="s">
        <v>260</v>
      </c>
      <c r="F3458" s="2" t="s">
        <v>16703</v>
      </c>
      <c r="G3458" s="2" t="s">
        <v>8620</v>
      </c>
      <c r="H3458" s="2" t="s">
        <v>70</v>
      </c>
      <c r="I3458" s="9">
        <v>2640.3248119999998</v>
      </c>
      <c r="J3458" s="7">
        <v>0.65800000000000003</v>
      </c>
      <c r="K3458" s="9">
        <v>1737.33</v>
      </c>
      <c r="L3458" s="14">
        <v>0</v>
      </c>
      <c r="M3458" s="2" t="s">
        <v>71</v>
      </c>
      <c r="N3458" s="2" t="s">
        <v>16706</v>
      </c>
      <c r="O3458" s="2" t="s">
        <v>8619</v>
      </c>
      <c r="P3458" s="9">
        <v>1.8</v>
      </c>
      <c r="Q3458" s="9">
        <v>1755.82</v>
      </c>
      <c r="R3458" s="2" t="s">
        <v>16711</v>
      </c>
    </row>
    <row r="3459" spans="1:18" x14ac:dyDescent="0.25">
      <c r="A3459" s="2" t="s">
        <v>8623</v>
      </c>
      <c r="B3459" s="6">
        <v>46174</v>
      </c>
      <c r="C3459" s="8">
        <v>46188</v>
      </c>
      <c r="D3459" s="2" t="s">
        <v>7433</v>
      </c>
      <c r="E3459" s="2" t="s">
        <v>260</v>
      </c>
      <c r="F3459" s="2" t="s">
        <v>16703</v>
      </c>
      <c r="G3459" s="2" t="s">
        <v>8625</v>
      </c>
      <c r="H3459" s="2" t="s">
        <v>39</v>
      </c>
      <c r="I3459" s="9">
        <v>1866.54</v>
      </c>
      <c r="J3459" s="7">
        <v>1</v>
      </c>
      <c r="K3459" s="9">
        <v>1866.54</v>
      </c>
      <c r="L3459" s="14">
        <v>0</v>
      </c>
      <c r="M3459" s="2" t="s">
        <v>71</v>
      </c>
      <c r="N3459" s="2" t="s">
        <v>16704</v>
      </c>
      <c r="O3459" s="2" t="s">
        <v>8624</v>
      </c>
      <c r="P3459" s="9">
        <v>1.8</v>
      </c>
      <c r="Q3459" s="9">
        <v>1866.54</v>
      </c>
      <c r="R3459" s="2" t="s">
        <v>16710</v>
      </c>
    </row>
    <row r="3460" spans="1:18" x14ac:dyDescent="0.25">
      <c r="A3460" s="2" t="s">
        <v>8626</v>
      </c>
      <c r="B3460" s="6">
        <v>46204</v>
      </c>
      <c r="C3460" s="8">
        <v>46213</v>
      </c>
      <c r="D3460" s="2" t="s">
        <v>7433</v>
      </c>
      <c r="E3460" s="2" t="s">
        <v>260</v>
      </c>
      <c r="F3460" s="2" t="s">
        <v>16703</v>
      </c>
      <c r="G3460" s="2" t="s">
        <v>8627</v>
      </c>
      <c r="H3460" s="2" t="s">
        <v>39</v>
      </c>
      <c r="I3460" s="9">
        <v>2799.81</v>
      </c>
      <c r="J3460" s="7">
        <v>1</v>
      </c>
      <c r="K3460" s="9">
        <v>2799.81</v>
      </c>
      <c r="L3460" s="14">
        <v>0</v>
      </c>
      <c r="M3460" s="2" t="s">
        <v>71</v>
      </c>
      <c r="N3460" s="2" t="s">
        <v>16706</v>
      </c>
      <c r="O3460" s="2" t="s">
        <v>8624</v>
      </c>
      <c r="P3460" s="9">
        <v>1.8</v>
      </c>
      <c r="Q3460" s="9">
        <v>2799.81</v>
      </c>
      <c r="R3460" s="2" t="s">
        <v>16711</v>
      </c>
    </row>
    <row r="3461" spans="1:18" x14ac:dyDescent="0.25">
      <c r="A3461" s="2" t="s">
        <v>8628</v>
      </c>
      <c r="B3461" s="6">
        <v>46174</v>
      </c>
      <c r="C3461" s="8">
        <v>46189</v>
      </c>
      <c r="D3461" s="2" t="s">
        <v>7433</v>
      </c>
      <c r="E3461" s="2" t="s">
        <v>260</v>
      </c>
      <c r="F3461" s="2" t="s">
        <v>16703</v>
      </c>
      <c r="G3461" s="2" t="s">
        <v>8630</v>
      </c>
      <c r="H3461" s="2" t="s">
        <v>76</v>
      </c>
      <c r="I3461" s="9">
        <v>31636288</v>
      </c>
      <c r="J3461" s="7">
        <v>6.2500000000000001E-5</v>
      </c>
      <c r="K3461" s="9">
        <v>1977.27</v>
      </c>
      <c r="L3461" s="14">
        <v>0</v>
      </c>
      <c r="M3461" s="2" t="s">
        <v>71</v>
      </c>
      <c r="N3461" s="2" t="s">
        <v>16704</v>
      </c>
      <c r="O3461" s="2" t="s">
        <v>8629</v>
      </c>
      <c r="P3461" s="9">
        <v>1.8</v>
      </c>
      <c r="Q3461" s="9">
        <v>1977.27</v>
      </c>
      <c r="R3461" s="2" t="s">
        <v>16710</v>
      </c>
    </row>
    <row r="3462" spans="1:18" x14ac:dyDescent="0.25">
      <c r="A3462" s="2" t="s">
        <v>8631</v>
      </c>
      <c r="B3462" s="6">
        <v>46204</v>
      </c>
      <c r="C3462" s="8">
        <v>46214</v>
      </c>
      <c r="D3462" s="2" t="s">
        <v>7433</v>
      </c>
      <c r="E3462" s="2" t="s">
        <v>260</v>
      </c>
      <c r="F3462" s="2" t="s">
        <v>16703</v>
      </c>
      <c r="G3462" s="2" t="s">
        <v>8632</v>
      </c>
      <c r="H3462" s="2" t="s">
        <v>76</v>
      </c>
      <c r="I3462" s="9">
        <v>47454432</v>
      </c>
      <c r="J3462" s="7">
        <v>6.2000000000000003E-5</v>
      </c>
      <c r="K3462" s="9">
        <v>2942.17</v>
      </c>
      <c r="L3462" s="14">
        <v>0</v>
      </c>
      <c r="M3462" s="2" t="s">
        <v>71</v>
      </c>
      <c r="N3462" s="2" t="s">
        <v>16706</v>
      </c>
      <c r="O3462" s="2" t="s">
        <v>8629</v>
      </c>
      <c r="P3462" s="9">
        <v>1.8</v>
      </c>
      <c r="Q3462" s="9">
        <v>2965.9</v>
      </c>
      <c r="R3462" s="2" t="s">
        <v>16711</v>
      </c>
    </row>
    <row r="3463" spans="1:18" x14ac:dyDescent="0.25">
      <c r="A3463" s="2" t="s">
        <v>8633</v>
      </c>
      <c r="B3463" s="6">
        <v>46174</v>
      </c>
      <c r="C3463" s="8">
        <v>46190</v>
      </c>
      <c r="D3463" s="2" t="s">
        <v>7433</v>
      </c>
      <c r="E3463" s="2" t="s">
        <v>260</v>
      </c>
      <c r="F3463" s="2" t="s">
        <v>16703</v>
      </c>
      <c r="G3463" s="2" t="s">
        <v>8635</v>
      </c>
      <c r="H3463" s="2" t="s">
        <v>70</v>
      </c>
      <c r="I3463" s="9">
        <v>3139.8375940000001</v>
      </c>
      <c r="J3463" s="7">
        <v>0.66500000000000004</v>
      </c>
      <c r="K3463" s="9">
        <v>2087.9899999999998</v>
      </c>
      <c r="L3463" s="14">
        <v>0</v>
      </c>
      <c r="M3463" s="2" t="s">
        <v>71</v>
      </c>
      <c r="N3463" s="2" t="s">
        <v>16704</v>
      </c>
      <c r="O3463" s="2" t="s">
        <v>8634</v>
      </c>
      <c r="P3463" s="9">
        <v>1.8</v>
      </c>
      <c r="Q3463" s="9">
        <v>2087.9899999999998</v>
      </c>
      <c r="R3463" s="2" t="s">
        <v>16710</v>
      </c>
    </row>
    <row r="3464" spans="1:18" x14ac:dyDescent="0.25">
      <c r="A3464" s="2" t="s">
        <v>8636</v>
      </c>
      <c r="B3464" s="6">
        <v>46204</v>
      </c>
      <c r="C3464" s="8">
        <v>46215</v>
      </c>
      <c r="D3464" s="2" t="s">
        <v>7433</v>
      </c>
      <c r="E3464" s="2" t="s">
        <v>260</v>
      </c>
      <c r="F3464" s="2" t="s">
        <v>16703</v>
      </c>
      <c r="G3464" s="2" t="s">
        <v>8637</v>
      </c>
      <c r="H3464" s="2" t="s">
        <v>70</v>
      </c>
      <c r="I3464" s="9">
        <v>4709.7563909999999</v>
      </c>
      <c r="J3464" s="7">
        <v>0.65800000000000003</v>
      </c>
      <c r="K3464" s="9">
        <v>3099.02</v>
      </c>
      <c r="L3464" s="14">
        <v>0</v>
      </c>
      <c r="M3464" s="2" t="s">
        <v>71</v>
      </c>
      <c r="N3464" s="2" t="s">
        <v>16706</v>
      </c>
      <c r="O3464" s="2" t="s">
        <v>8634</v>
      </c>
      <c r="P3464" s="9">
        <v>1.8</v>
      </c>
      <c r="Q3464" s="9">
        <v>3131.99</v>
      </c>
      <c r="R3464" s="2" t="s">
        <v>16711</v>
      </c>
    </row>
    <row r="3465" spans="1:18" x14ac:dyDescent="0.25">
      <c r="A3465" s="2" t="s">
        <v>8638</v>
      </c>
      <c r="B3465" s="6">
        <v>46174</v>
      </c>
      <c r="C3465" s="8">
        <v>46191</v>
      </c>
      <c r="D3465" s="2" t="s">
        <v>7433</v>
      </c>
      <c r="E3465" s="2" t="s">
        <v>260</v>
      </c>
      <c r="F3465" s="2" t="s">
        <v>16703</v>
      </c>
      <c r="G3465" s="2" t="s">
        <v>8640</v>
      </c>
      <c r="H3465" s="2" t="s">
        <v>39</v>
      </c>
      <c r="I3465" s="9">
        <v>2198.7199999999998</v>
      </c>
      <c r="J3465" s="7">
        <v>1</v>
      </c>
      <c r="K3465" s="9">
        <v>2198.7199999999998</v>
      </c>
      <c r="L3465" s="14">
        <v>0</v>
      </c>
      <c r="M3465" s="2" t="s">
        <v>71</v>
      </c>
      <c r="N3465" s="2" t="s">
        <v>16704</v>
      </c>
      <c r="O3465" s="2" t="s">
        <v>8639</v>
      </c>
      <c r="P3465" s="9">
        <v>1.8</v>
      </c>
      <c r="Q3465" s="9">
        <v>2198.7199999999998</v>
      </c>
      <c r="R3465" s="2" t="s">
        <v>16710</v>
      </c>
    </row>
    <row r="3466" spans="1:18" x14ac:dyDescent="0.25">
      <c r="A3466" s="2" t="s">
        <v>8641</v>
      </c>
      <c r="B3466" s="6">
        <v>46204</v>
      </c>
      <c r="C3466" s="8">
        <v>46216</v>
      </c>
      <c r="D3466" s="2" t="s">
        <v>7433</v>
      </c>
      <c r="E3466" s="2" t="s">
        <v>260</v>
      </c>
      <c r="F3466" s="2" t="s">
        <v>16703</v>
      </c>
      <c r="G3466" s="2" t="s">
        <v>8642</v>
      </c>
      <c r="H3466" s="2" t="s">
        <v>39</v>
      </c>
      <c r="I3466" s="9">
        <v>3298.08</v>
      </c>
      <c r="J3466" s="7">
        <v>1</v>
      </c>
      <c r="K3466" s="9">
        <v>3298.08</v>
      </c>
      <c r="L3466" s="14">
        <v>0</v>
      </c>
      <c r="M3466" s="2" t="s">
        <v>71</v>
      </c>
      <c r="N3466" s="2" t="s">
        <v>16706</v>
      </c>
      <c r="O3466" s="2" t="s">
        <v>8639</v>
      </c>
      <c r="P3466" s="9">
        <v>1.81</v>
      </c>
      <c r="Q3466" s="9">
        <v>3298.08</v>
      </c>
      <c r="R3466" s="2" t="s">
        <v>16711</v>
      </c>
    </row>
    <row r="3467" spans="1:18" x14ac:dyDescent="0.25">
      <c r="A3467" s="2" t="s">
        <v>8643</v>
      </c>
      <c r="B3467" s="6">
        <v>46174</v>
      </c>
      <c r="C3467" s="8">
        <v>46192</v>
      </c>
      <c r="D3467" s="2" t="s">
        <v>7433</v>
      </c>
      <c r="E3467" s="2" t="s">
        <v>260</v>
      </c>
      <c r="F3467" s="2" t="s">
        <v>16703</v>
      </c>
      <c r="G3467" s="2" t="s">
        <v>8645</v>
      </c>
      <c r="H3467" s="2" t="s">
        <v>76</v>
      </c>
      <c r="I3467" s="9">
        <v>36951168</v>
      </c>
      <c r="J3467" s="7">
        <v>6.2500000000000001E-5</v>
      </c>
      <c r="K3467" s="9">
        <v>2309.4499999999998</v>
      </c>
      <c r="L3467" s="14">
        <v>0</v>
      </c>
      <c r="M3467" s="2" t="s">
        <v>71</v>
      </c>
      <c r="N3467" s="2" t="s">
        <v>16704</v>
      </c>
      <c r="O3467" s="2" t="s">
        <v>8644</v>
      </c>
      <c r="P3467" s="9">
        <v>1.8</v>
      </c>
      <c r="Q3467" s="9">
        <v>2309.4499999999998</v>
      </c>
      <c r="R3467" s="2" t="s">
        <v>16710</v>
      </c>
    </row>
    <row r="3468" spans="1:18" x14ac:dyDescent="0.25">
      <c r="A3468" s="2" t="s">
        <v>8646</v>
      </c>
      <c r="B3468" s="6">
        <v>46204</v>
      </c>
      <c r="C3468" s="8">
        <v>46217</v>
      </c>
      <c r="D3468" s="2" t="s">
        <v>7433</v>
      </c>
      <c r="E3468" s="2" t="s">
        <v>260</v>
      </c>
      <c r="F3468" s="2" t="s">
        <v>16703</v>
      </c>
      <c r="G3468" s="2" t="s">
        <v>8647</v>
      </c>
      <c r="H3468" s="2" t="s">
        <v>76</v>
      </c>
      <c r="I3468" s="9">
        <v>55426752</v>
      </c>
      <c r="J3468" s="7">
        <v>6.2000000000000003E-5</v>
      </c>
      <c r="K3468" s="9">
        <v>3436.46</v>
      </c>
      <c r="L3468" s="14">
        <v>0</v>
      </c>
      <c r="M3468" s="2" t="s">
        <v>71</v>
      </c>
      <c r="N3468" s="2" t="s">
        <v>16706</v>
      </c>
      <c r="O3468" s="2" t="s">
        <v>8644</v>
      </c>
      <c r="P3468" s="9">
        <v>1.89</v>
      </c>
      <c r="Q3468" s="9">
        <v>3464.17</v>
      </c>
      <c r="R3468" s="2" t="s">
        <v>16711</v>
      </c>
    </row>
    <row r="3469" spans="1:18" x14ac:dyDescent="0.25">
      <c r="A3469" s="2" t="s">
        <v>8648</v>
      </c>
      <c r="B3469" s="6">
        <v>46174</v>
      </c>
      <c r="C3469" s="8">
        <v>46193</v>
      </c>
      <c r="D3469" s="2" t="s">
        <v>7433</v>
      </c>
      <c r="E3469" s="2" t="s">
        <v>260</v>
      </c>
      <c r="F3469" s="2" t="s">
        <v>16703</v>
      </c>
      <c r="G3469" s="2" t="s">
        <v>8650</v>
      </c>
      <c r="H3469" s="2" t="s">
        <v>70</v>
      </c>
      <c r="I3469" s="9">
        <v>-9098.3909769999991</v>
      </c>
      <c r="J3469" s="7">
        <v>0.66500000000000004</v>
      </c>
      <c r="K3469" s="9">
        <v>-6050.43</v>
      </c>
      <c r="L3469" s="14">
        <v>0</v>
      </c>
      <c r="M3469" s="2" t="s">
        <v>71</v>
      </c>
      <c r="N3469" s="2" t="s">
        <v>16704</v>
      </c>
      <c r="O3469" s="2" t="s">
        <v>8649</v>
      </c>
      <c r="P3469" s="9">
        <v>0</v>
      </c>
      <c r="Q3469" s="9">
        <v>-6050.43</v>
      </c>
      <c r="R3469" s="2" t="s">
        <v>16710</v>
      </c>
    </row>
    <row r="3470" spans="1:18" x14ac:dyDescent="0.25">
      <c r="A3470" s="2" t="s">
        <v>8651</v>
      </c>
      <c r="B3470" s="6">
        <v>46174</v>
      </c>
      <c r="C3470" s="8">
        <v>46194</v>
      </c>
      <c r="D3470" s="2" t="s">
        <v>7433</v>
      </c>
      <c r="E3470" s="2" t="s">
        <v>260</v>
      </c>
      <c r="F3470" s="2" t="s">
        <v>16703</v>
      </c>
      <c r="G3470" s="2" t="s">
        <v>8653</v>
      </c>
      <c r="H3470" s="2" t="s">
        <v>39</v>
      </c>
      <c r="I3470" s="9">
        <v>2530.9</v>
      </c>
      <c r="J3470" s="7">
        <v>1</v>
      </c>
      <c r="K3470" s="9">
        <v>2530.9</v>
      </c>
      <c r="L3470" s="14">
        <v>0</v>
      </c>
      <c r="M3470" s="2" t="s">
        <v>71</v>
      </c>
      <c r="N3470" s="2" t="s">
        <v>16704</v>
      </c>
      <c r="O3470" s="2" t="s">
        <v>8652</v>
      </c>
      <c r="P3470" s="9">
        <v>1.8</v>
      </c>
      <c r="Q3470" s="9">
        <v>2530.9</v>
      </c>
      <c r="R3470" s="2" t="s">
        <v>16710</v>
      </c>
    </row>
    <row r="3471" spans="1:18" x14ac:dyDescent="0.25">
      <c r="A3471" s="2" t="s">
        <v>8654</v>
      </c>
      <c r="B3471" s="6">
        <v>46204</v>
      </c>
      <c r="C3471" s="8">
        <v>46219</v>
      </c>
      <c r="D3471" s="2" t="s">
        <v>7433</v>
      </c>
      <c r="E3471" s="2" t="s">
        <v>260</v>
      </c>
      <c r="F3471" s="2" t="s">
        <v>16703</v>
      </c>
      <c r="G3471" s="2" t="s">
        <v>8655</v>
      </c>
      <c r="H3471" s="2" t="s">
        <v>39</v>
      </c>
      <c r="I3471" s="9">
        <v>3796.35</v>
      </c>
      <c r="J3471" s="7">
        <v>1</v>
      </c>
      <c r="K3471" s="9">
        <v>3796.35</v>
      </c>
      <c r="L3471" s="14">
        <v>0</v>
      </c>
      <c r="M3471" s="2" t="s">
        <v>71</v>
      </c>
      <c r="N3471" s="2" t="s">
        <v>16706</v>
      </c>
      <c r="O3471" s="2" t="s">
        <v>8652</v>
      </c>
      <c r="P3471" s="9">
        <v>2.09</v>
      </c>
      <c r="Q3471" s="9">
        <v>3796.35</v>
      </c>
      <c r="R3471" s="2" t="s">
        <v>16711</v>
      </c>
    </row>
    <row r="3472" spans="1:18" x14ac:dyDescent="0.25">
      <c r="A3472" s="2" t="s">
        <v>8656</v>
      </c>
      <c r="B3472" s="6">
        <v>46174</v>
      </c>
      <c r="C3472" s="8">
        <v>46195</v>
      </c>
      <c r="D3472" s="2" t="s">
        <v>7433</v>
      </c>
      <c r="E3472" s="2" t="s">
        <v>260</v>
      </c>
      <c r="F3472" s="2" t="s">
        <v>16703</v>
      </c>
      <c r="G3472" s="2" t="s">
        <v>8658</v>
      </c>
      <c r="H3472" s="2" t="s">
        <v>76</v>
      </c>
      <c r="I3472" s="9">
        <v>42265984</v>
      </c>
      <c r="J3472" s="7">
        <v>6.2500000000000001E-5</v>
      </c>
      <c r="K3472" s="9">
        <v>2641.62</v>
      </c>
      <c r="L3472" s="14">
        <v>0</v>
      </c>
      <c r="M3472" s="2" t="s">
        <v>71</v>
      </c>
      <c r="N3472" s="2" t="s">
        <v>16704</v>
      </c>
      <c r="O3472" s="2" t="s">
        <v>8657</v>
      </c>
      <c r="P3472" s="9">
        <v>1.8</v>
      </c>
      <c r="Q3472" s="9">
        <v>2641.62</v>
      </c>
      <c r="R3472" s="2" t="s">
        <v>16710</v>
      </c>
    </row>
    <row r="3473" spans="1:18" x14ac:dyDescent="0.25">
      <c r="A3473" s="2" t="s">
        <v>8659</v>
      </c>
      <c r="B3473" s="6">
        <v>46204</v>
      </c>
      <c r="C3473" s="8">
        <v>46220</v>
      </c>
      <c r="D3473" s="2" t="s">
        <v>7433</v>
      </c>
      <c r="E3473" s="2" t="s">
        <v>260</v>
      </c>
      <c r="F3473" s="2" t="s">
        <v>16703</v>
      </c>
      <c r="G3473" s="2" t="s">
        <v>8660</v>
      </c>
      <c r="H3473" s="2" t="s">
        <v>76</v>
      </c>
      <c r="I3473" s="9">
        <v>63398976</v>
      </c>
      <c r="J3473" s="7">
        <v>6.2000000000000003E-5</v>
      </c>
      <c r="K3473" s="9">
        <v>3930.74</v>
      </c>
      <c r="L3473" s="14">
        <v>0</v>
      </c>
      <c r="M3473" s="2" t="s">
        <v>71</v>
      </c>
      <c r="N3473" s="2" t="s">
        <v>16706</v>
      </c>
      <c r="O3473" s="2" t="s">
        <v>8657</v>
      </c>
      <c r="P3473" s="9">
        <v>2.16</v>
      </c>
      <c r="Q3473" s="9">
        <v>3962.44</v>
      </c>
      <c r="R3473" s="2" t="s">
        <v>16711</v>
      </c>
    </row>
    <row r="3474" spans="1:18" x14ac:dyDescent="0.25">
      <c r="A3474" s="2" t="s">
        <v>8661</v>
      </c>
      <c r="B3474" s="6">
        <v>46174</v>
      </c>
      <c r="C3474" s="8">
        <v>46196</v>
      </c>
      <c r="D3474" s="2" t="s">
        <v>7433</v>
      </c>
      <c r="E3474" s="2" t="s">
        <v>260</v>
      </c>
      <c r="F3474" s="2" t="s">
        <v>16703</v>
      </c>
      <c r="G3474" s="2" t="s">
        <v>8663</v>
      </c>
      <c r="H3474" s="2" t="s">
        <v>70</v>
      </c>
      <c r="I3474" s="9">
        <v>4138.875188</v>
      </c>
      <c r="J3474" s="7">
        <v>0.66500000000000004</v>
      </c>
      <c r="K3474" s="9">
        <v>2752.35</v>
      </c>
      <c r="L3474" s="14">
        <v>0</v>
      </c>
      <c r="M3474" s="2" t="s">
        <v>71</v>
      </c>
      <c r="N3474" s="2" t="s">
        <v>16704</v>
      </c>
      <c r="O3474" s="2" t="s">
        <v>8662</v>
      </c>
      <c r="P3474" s="9">
        <v>1.8</v>
      </c>
      <c r="Q3474" s="9">
        <v>2752.35</v>
      </c>
      <c r="R3474" s="2" t="s">
        <v>16710</v>
      </c>
    </row>
    <row r="3475" spans="1:18" x14ac:dyDescent="0.25">
      <c r="A3475" s="2" t="s">
        <v>8664</v>
      </c>
      <c r="B3475" s="6">
        <v>46204</v>
      </c>
      <c r="C3475" s="8">
        <v>46221</v>
      </c>
      <c r="D3475" s="2" t="s">
        <v>7433</v>
      </c>
      <c r="E3475" s="2" t="s">
        <v>260</v>
      </c>
      <c r="F3475" s="2" t="s">
        <v>16703</v>
      </c>
      <c r="G3475" s="2" t="s">
        <v>8665</v>
      </c>
      <c r="H3475" s="2" t="s">
        <v>70</v>
      </c>
      <c r="I3475" s="9">
        <v>6208.312782</v>
      </c>
      <c r="J3475" s="7">
        <v>0.65800000000000003</v>
      </c>
      <c r="K3475" s="9">
        <v>4085.07</v>
      </c>
      <c r="L3475" s="14">
        <v>0</v>
      </c>
      <c r="M3475" s="2" t="s">
        <v>71</v>
      </c>
      <c r="N3475" s="2" t="s">
        <v>16706</v>
      </c>
      <c r="O3475" s="2" t="s">
        <v>8662</v>
      </c>
      <c r="P3475" s="9">
        <v>2.25</v>
      </c>
      <c r="Q3475" s="9">
        <v>4128.53</v>
      </c>
      <c r="R3475" s="2" t="s">
        <v>16711</v>
      </c>
    </row>
    <row r="3476" spans="1:18" x14ac:dyDescent="0.25">
      <c r="A3476" s="2" t="s">
        <v>8666</v>
      </c>
      <c r="B3476" s="6">
        <v>46174</v>
      </c>
      <c r="C3476" s="8">
        <v>46197</v>
      </c>
      <c r="D3476" s="2" t="s">
        <v>7433</v>
      </c>
      <c r="E3476" s="2" t="s">
        <v>260</v>
      </c>
      <c r="F3476" s="2" t="s">
        <v>16703</v>
      </c>
      <c r="G3476" s="2" t="s">
        <v>8668</v>
      </c>
      <c r="H3476" s="2" t="s">
        <v>39</v>
      </c>
      <c r="I3476" s="9">
        <v>2863.08</v>
      </c>
      <c r="J3476" s="7">
        <v>1</v>
      </c>
      <c r="K3476" s="9">
        <v>2863.08</v>
      </c>
      <c r="L3476" s="14">
        <v>0</v>
      </c>
      <c r="M3476" s="2" t="s">
        <v>71</v>
      </c>
      <c r="N3476" s="2" t="s">
        <v>16704</v>
      </c>
      <c r="O3476" s="2" t="s">
        <v>8667</v>
      </c>
      <c r="P3476" s="9">
        <v>1.8</v>
      </c>
      <c r="Q3476" s="9">
        <v>2863.08</v>
      </c>
      <c r="R3476" s="2" t="s">
        <v>16710</v>
      </c>
    </row>
    <row r="3477" spans="1:18" x14ac:dyDescent="0.25">
      <c r="A3477" s="2" t="s">
        <v>8669</v>
      </c>
      <c r="B3477" s="6">
        <v>46204</v>
      </c>
      <c r="C3477" s="8">
        <v>46222</v>
      </c>
      <c r="D3477" s="2" t="s">
        <v>7433</v>
      </c>
      <c r="E3477" s="2" t="s">
        <v>260</v>
      </c>
      <c r="F3477" s="2" t="s">
        <v>16703</v>
      </c>
      <c r="G3477" s="2" t="s">
        <v>8670</v>
      </c>
      <c r="H3477" s="2" t="s">
        <v>39</v>
      </c>
      <c r="I3477" s="9">
        <v>4294.62</v>
      </c>
      <c r="J3477" s="7">
        <v>1</v>
      </c>
      <c r="K3477" s="9">
        <v>4294.62</v>
      </c>
      <c r="L3477" s="14">
        <v>0</v>
      </c>
      <c r="M3477" s="2" t="s">
        <v>71</v>
      </c>
      <c r="N3477" s="2" t="s">
        <v>16706</v>
      </c>
      <c r="O3477" s="2" t="s">
        <v>8667</v>
      </c>
      <c r="P3477" s="9">
        <v>2.36</v>
      </c>
      <c r="Q3477" s="9">
        <v>4294.62</v>
      </c>
      <c r="R3477" s="2" t="s">
        <v>16711</v>
      </c>
    </row>
    <row r="3478" spans="1:18" x14ac:dyDescent="0.25">
      <c r="A3478" s="2" t="s">
        <v>8671</v>
      </c>
      <c r="B3478" s="6">
        <v>46174</v>
      </c>
      <c r="C3478" s="8">
        <v>46198</v>
      </c>
      <c r="D3478" s="2" t="s">
        <v>7433</v>
      </c>
      <c r="E3478" s="2" t="s">
        <v>260</v>
      </c>
      <c r="F3478" s="2" t="s">
        <v>16703</v>
      </c>
      <c r="G3478" s="2" t="s">
        <v>8673</v>
      </c>
      <c r="H3478" s="2" t="s">
        <v>76</v>
      </c>
      <c r="I3478" s="9">
        <v>47580864</v>
      </c>
      <c r="J3478" s="7">
        <v>6.2500000000000001E-5</v>
      </c>
      <c r="K3478" s="9">
        <v>2973.8</v>
      </c>
      <c r="L3478" s="14">
        <v>0</v>
      </c>
      <c r="M3478" s="2" t="s">
        <v>71</v>
      </c>
      <c r="N3478" s="2" t="s">
        <v>16704</v>
      </c>
      <c r="O3478" s="2" t="s">
        <v>8672</v>
      </c>
      <c r="P3478" s="9">
        <v>1.8</v>
      </c>
      <c r="Q3478" s="9">
        <v>2973.8</v>
      </c>
      <c r="R3478" s="2" t="s">
        <v>16710</v>
      </c>
    </row>
    <row r="3479" spans="1:18" x14ac:dyDescent="0.25">
      <c r="A3479" s="2" t="s">
        <v>8674</v>
      </c>
      <c r="B3479" s="6">
        <v>46204</v>
      </c>
      <c r="C3479" s="8">
        <v>46223</v>
      </c>
      <c r="D3479" s="2" t="s">
        <v>7433</v>
      </c>
      <c r="E3479" s="2" t="s">
        <v>260</v>
      </c>
      <c r="F3479" s="2" t="s">
        <v>16703</v>
      </c>
      <c r="G3479" s="2" t="s">
        <v>8675</v>
      </c>
      <c r="H3479" s="2" t="s">
        <v>76</v>
      </c>
      <c r="I3479" s="9">
        <v>71371296</v>
      </c>
      <c r="J3479" s="7">
        <v>6.2000000000000003E-5</v>
      </c>
      <c r="K3479" s="9">
        <v>4425.0200000000004</v>
      </c>
      <c r="L3479" s="14">
        <v>0</v>
      </c>
      <c r="M3479" s="2" t="s">
        <v>71</v>
      </c>
      <c r="N3479" s="2" t="s">
        <v>16706</v>
      </c>
      <c r="O3479" s="2" t="s">
        <v>8672</v>
      </c>
      <c r="P3479" s="9">
        <v>2.4300000000000002</v>
      </c>
      <c r="Q3479" s="9">
        <v>4460.71</v>
      </c>
      <c r="R3479" s="2" t="s">
        <v>16711</v>
      </c>
    </row>
    <row r="3480" spans="1:18" x14ac:dyDescent="0.25">
      <c r="A3480" s="2" t="s">
        <v>8676</v>
      </c>
      <c r="B3480" s="6">
        <v>46174</v>
      </c>
      <c r="C3480" s="8">
        <v>46199</v>
      </c>
      <c r="D3480" s="2" t="s">
        <v>7433</v>
      </c>
      <c r="E3480" s="2" t="s">
        <v>260</v>
      </c>
      <c r="F3480" s="2" t="s">
        <v>16703</v>
      </c>
      <c r="G3480" s="2" t="s">
        <v>8678</v>
      </c>
      <c r="H3480" s="2" t="s">
        <v>70</v>
      </c>
      <c r="I3480" s="9">
        <v>4638.3939849999997</v>
      </c>
      <c r="J3480" s="7">
        <v>0.66500000000000004</v>
      </c>
      <c r="K3480" s="9">
        <v>3084.53</v>
      </c>
      <c r="L3480" s="14">
        <v>0</v>
      </c>
      <c r="M3480" s="2" t="s">
        <v>71</v>
      </c>
      <c r="N3480" s="2" t="s">
        <v>16704</v>
      </c>
      <c r="O3480" s="2" t="s">
        <v>8677</v>
      </c>
      <c r="P3480" s="9">
        <v>1.8</v>
      </c>
      <c r="Q3480" s="9">
        <v>3084.53</v>
      </c>
      <c r="R3480" s="2" t="s">
        <v>16710</v>
      </c>
    </row>
    <row r="3481" spans="1:18" x14ac:dyDescent="0.25">
      <c r="A3481" s="2" t="s">
        <v>8679</v>
      </c>
      <c r="B3481" s="6">
        <v>46204</v>
      </c>
      <c r="C3481" s="8">
        <v>46224</v>
      </c>
      <c r="D3481" s="2" t="s">
        <v>7433</v>
      </c>
      <c r="E3481" s="2" t="s">
        <v>260</v>
      </c>
      <c r="F3481" s="2" t="s">
        <v>16703</v>
      </c>
      <c r="G3481" s="2" t="s">
        <v>8680</v>
      </c>
      <c r="H3481" s="2" t="s">
        <v>70</v>
      </c>
      <c r="I3481" s="9">
        <v>6957.5909769999998</v>
      </c>
      <c r="J3481" s="7">
        <v>0.65800000000000003</v>
      </c>
      <c r="K3481" s="9">
        <v>4578.09</v>
      </c>
      <c r="L3481" s="14">
        <v>0</v>
      </c>
      <c r="M3481" s="2" t="s">
        <v>71</v>
      </c>
      <c r="N3481" s="2" t="s">
        <v>16706</v>
      </c>
      <c r="O3481" s="2" t="s">
        <v>8677</v>
      </c>
      <c r="P3481" s="9">
        <v>2.52</v>
      </c>
      <c r="Q3481" s="9">
        <v>4626.8</v>
      </c>
      <c r="R3481" s="2" t="s">
        <v>16711</v>
      </c>
    </row>
    <row r="3482" spans="1:18" x14ac:dyDescent="0.25">
      <c r="A3482" s="2" t="s">
        <v>8681</v>
      </c>
      <c r="B3482" s="6">
        <v>46174</v>
      </c>
      <c r="C3482" s="8">
        <v>46200</v>
      </c>
      <c r="D3482" s="2" t="s">
        <v>7433</v>
      </c>
      <c r="E3482" s="2" t="s">
        <v>260</v>
      </c>
      <c r="F3482" s="2" t="s">
        <v>16703</v>
      </c>
      <c r="G3482" s="2" t="s">
        <v>8683</v>
      </c>
      <c r="H3482" s="2" t="s">
        <v>39</v>
      </c>
      <c r="I3482" s="9">
        <v>3195.2559999999999</v>
      </c>
      <c r="J3482" s="7">
        <v>1</v>
      </c>
      <c r="K3482" s="9">
        <v>3195.26</v>
      </c>
      <c r="L3482" s="14">
        <v>0</v>
      </c>
      <c r="M3482" s="2" t="s">
        <v>71</v>
      </c>
      <c r="N3482" s="2" t="s">
        <v>16704</v>
      </c>
      <c r="O3482" s="2" t="s">
        <v>8682</v>
      </c>
      <c r="P3482" s="9">
        <v>1.8</v>
      </c>
      <c r="Q3482" s="9">
        <v>3195.26</v>
      </c>
      <c r="R3482" s="2" t="s">
        <v>16710</v>
      </c>
    </row>
    <row r="3483" spans="1:18" x14ac:dyDescent="0.25">
      <c r="A3483" s="2" t="s">
        <v>8684</v>
      </c>
      <c r="B3483" s="6">
        <v>46204</v>
      </c>
      <c r="C3483" s="8">
        <v>46225</v>
      </c>
      <c r="D3483" s="2" t="s">
        <v>7433</v>
      </c>
      <c r="E3483" s="2" t="s">
        <v>260</v>
      </c>
      <c r="F3483" s="2" t="s">
        <v>16703</v>
      </c>
      <c r="G3483" s="2" t="s">
        <v>8685</v>
      </c>
      <c r="H3483" s="2" t="s">
        <v>39</v>
      </c>
      <c r="I3483" s="9">
        <v>4792.884</v>
      </c>
      <c r="J3483" s="7">
        <v>1</v>
      </c>
      <c r="K3483" s="9">
        <v>4792.88</v>
      </c>
      <c r="L3483" s="14">
        <v>0</v>
      </c>
      <c r="M3483" s="2" t="s">
        <v>71</v>
      </c>
      <c r="N3483" s="2" t="s">
        <v>16706</v>
      </c>
      <c r="O3483" s="2" t="s">
        <v>8682</v>
      </c>
      <c r="P3483" s="9">
        <v>2.64</v>
      </c>
      <c r="Q3483" s="9">
        <v>4792.88</v>
      </c>
      <c r="R3483" s="2" t="s">
        <v>16711</v>
      </c>
    </row>
    <row r="3484" spans="1:18" x14ac:dyDescent="0.25">
      <c r="A3484" s="2" t="s">
        <v>8686</v>
      </c>
      <c r="B3484" s="6">
        <v>46174</v>
      </c>
      <c r="C3484" s="8">
        <v>46201</v>
      </c>
      <c r="D3484" s="2" t="s">
        <v>7433</v>
      </c>
      <c r="E3484" s="2" t="s">
        <v>260</v>
      </c>
      <c r="F3484" s="2" t="s">
        <v>16703</v>
      </c>
      <c r="G3484" s="2" t="s">
        <v>8688</v>
      </c>
      <c r="H3484" s="2" t="s">
        <v>76</v>
      </c>
      <c r="I3484" s="9">
        <v>52895744</v>
      </c>
      <c r="J3484" s="7">
        <v>6.2500000000000001E-5</v>
      </c>
      <c r="K3484" s="9">
        <v>3305.98</v>
      </c>
      <c r="L3484" s="14">
        <v>0</v>
      </c>
      <c r="M3484" s="2" t="s">
        <v>71</v>
      </c>
      <c r="N3484" s="2" t="s">
        <v>16704</v>
      </c>
      <c r="O3484" s="2" t="s">
        <v>8687</v>
      </c>
      <c r="P3484" s="9">
        <v>1.82</v>
      </c>
      <c r="Q3484" s="9">
        <v>3305.98</v>
      </c>
      <c r="R3484" s="2" t="s">
        <v>16710</v>
      </c>
    </row>
    <row r="3485" spans="1:18" x14ac:dyDescent="0.25">
      <c r="A3485" s="2" t="s">
        <v>8689</v>
      </c>
      <c r="B3485" s="6">
        <v>46204</v>
      </c>
      <c r="C3485" s="8">
        <v>46226</v>
      </c>
      <c r="D3485" s="2" t="s">
        <v>7433</v>
      </c>
      <c r="E3485" s="2" t="s">
        <v>260</v>
      </c>
      <c r="F3485" s="2" t="s">
        <v>16703</v>
      </c>
      <c r="G3485" s="2" t="s">
        <v>8690</v>
      </c>
      <c r="H3485" s="2" t="s">
        <v>76</v>
      </c>
      <c r="I3485" s="9">
        <v>79343616</v>
      </c>
      <c r="J3485" s="7">
        <v>6.2000000000000003E-5</v>
      </c>
      <c r="K3485" s="9">
        <v>4919.3</v>
      </c>
      <c r="L3485" s="14">
        <v>0</v>
      </c>
      <c r="M3485" s="2" t="s">
        <v>71</v>
      </c>
      <c r="N3485" s="2" t="s">
        <v>16706</v>
      </c>
      <c r="O3485" s="2" t="s">
        <v>8687</v>
      </c>
      <c r="P3485" s="9">
        <v>2.71</v>
      </c>
      <c r="Q3485" s="9">
        <v>4958.9799999999996</v>
      </c>
      <c r="R3485" s="2" t="s">
        <v>16711</v>
      </c>
    </row>
    <row r="3486" spans="1:18" x14ac:dyDescent="0.25">
      <c r="A3486" s="2" t="s">
        <v>8691</v>
      </c>
      <c r="B3486" s="6">
        <v>46174</v>
      </c>
      <c r="C3486" s="8">
        <v>46202</v>
      </c>
      <c r="D3486" s="2" t="s">
        <v>7433</v>
      </c>
      <c r="E3486" s="2" t="s">
        <v>260</v>
      </c>
      <c r="F3486" s="2" t="s">
        <v>16703</v>
      </c>
      <c r="G3486" s="2" t="s">
        <v>8693</v>
      </c>
      <c r="H3486" s="2" t="s">
        <v>70</v>
      </c>
      <c r="I3486" s="9">
        <v>5137.9127820000003</v>
      </c>
      <c r="J3486" s="7">
        <v>0.66500000000000004</v>
      </c>
      <c r="K3486" s="9">
        <v>3416.71</v>
      </c>
      <c r="L3486" s="14">
        <v>0</v>
      </c>
      <c r="M3486" s="2" t="s">
        <v>71</v>
      </c>
      <c r="N3486" s="2" t="s">
        <v>16704</v>
      </c>
      <c r="O3486" s="2" t="s">
        <v>8692</v>
      </c>
      <c r="P3486" s="9">
        <v>1.88</v>
      </c>
      <c r="Q3486" s="9">
        <v>3416.71</v>
      </c>
      <c r="R3486" s="2" t="s">
        <v>16710</v>
      </c>
    </row>
    <row r="3487" spans="1:18" x14ac:dyDescent="0.25">
      <c r="A3487" s="2" t="s">
        <v>8694</v>
      </c>
      <c r="B3487" s="6">
        <v>46204</v>
      </c>
      <c r="C3487" s="8">
        <v>46227</v>
      </c>
      <c r="D3487" s="2" t="s">
        <v>7433</v>
      </c>
      <c r="E3487" s="2" t="s">
        <v>260</v>
      </c>
      <c r="F3487" s="2" t="s">
        <v>16703</v>
      </c>
      <c r="G3487" s="2" t="s">
        <v>8695</v>
      </c>
      <c r="H3487" s="2" t="s">
        <v>70</v>
      </c>
      <c r="I3487" s="9">
        <v>7706.869173</v>
      </c>
      <c r="J3487" s="7">
        <v>0.65800000000000003</v>
      </c>
      <c r="K3487" s="9">
        <v>5071.12</v>
      </c>
      <c r="L3487" s="14">
        <v>0</v>
      </c>
      <c r="M3487" s="2" t="s">
        <v>71</v>
      </c>
      <c r="N3487" s="2" t="s">
        <v>16706</v>
      </c>
      <c r="O3487" s="2" t="s">
        <v>8692</v>
      </c>
      <c r="P3487" s="9">
        <v>2.79</v>
      </c>
      <c r="Q3487" s="9">
        <v>5125.07</v>
      </c>
      <c r="R3487" s="2" t="s">
        <v>16711</v>
      </c>
    </row>
    <row r="3488" spans="1:18" x14ac:dyDescent="0.25">
      <c r="A3488" s="2" t="s">
        <v>8696</v>
      </c>
      <c r="B3488" s="6">
        <v>46174</v>
      </c>
      <c r="C3488" s="8">
        <v>46203</v>
      </c>
      <c r="D3488" s="2" t="s">
        <v>7433</v>
      </c>
      <c r="E3488" s="2" t="s">
        <v>260</v>
      </c>
      <c r="F3488" s="2" t="s">
        <v>16703</v>
      </c>
      <c r="G3488" s="2" t="s">
        <v>8698</v>
      </c>
      <c r="H3488" s="2" t="s">
        <v>39</v>
      </c>
      <c r="I3488" s="9">
        <v>3527.4360000000001</v>
      </c>
      <c r="J3488" s="7">
        <v>1</v>
      </c>
      <c r="K3488" s="9">
        <v>3527.44</v>
      </c>
      <c r="L3488" s="14">
        <v>0</v>
      </c>
      <c r="M3488" s="2" t="s">
        <v>71</v>
      </c>
      <c r="N3488" s="2" t="s">
        <v>16704</v>
      </c>
      <c r="O3488" s="2" t="s">
        <v>8697</v>
      </c>
      <c r="P3488" s="9">
        <v>1.94</v>
      </c>
      <c r="Q3488" s="9">
        <v>3527.44</v>
      </c>
      <c r="R3488" s="2" t="s">
        <v>16710</v>
      </c>
    </row>
    <row r="3489" spans="1:18" x14ac:dyDescent="0.25">
      <c r="A3489" s="2" t="s">
        <v>8699</v>
      </c>
      <c r="B3489" s="6">
        <v>46204</v>
      </c>
      <c r="C3489" s="8">
        <v>46228</v>
      </c>
      <c r="D3489" s="2" t="s">
        <v>7433</v>
      </c>
      <c r="E3489" s="2" t="s">
        <v>260</v>
      </c>
      <c r="F3489" s="2" t="s">
        <v>16703</v>
      </c>
      <c r="G3489" s="2" t="s">
        <v>8700</v>
      </c>
      <c r="H3489" s="2" t="s">
        <v>39</v>
      </c>
      <c r="I3489" s="9">
        <v>5291.1540000000005</v>
      </c>
      <c r="J3489" s="7">
        <v>1</v>
      </c>
      <c r="K3489" s="9">
        <v>5291.15</v>
      </c>
      <c r="L3489" s="14">
        <v>0</v>
      </c>
      <c r="M3489" s="2" t="s">
        <v>71</v>
      </c>
      <c r="N3489" s="2" t="s">
        <v>16706</v>
      </c>
      <c r="O3489" s="2" t="s">
        <v>8697</v>
      </c>
      <c r="P3489" s="9">
        <v>2.91</v>
      </c>
      <c r="Q3489" s="9">
        <v>5291.15</v>
      </c>
      <c r="R3489" s="2" t="s">
        <v>16711</v>
      </c>
    </row>
    <row r="3490" spans="1:18" x14ac:dyDescent="0.25">
      <c r="A3490" s="2" t="s">
        <v>8701</v>
      </c>
      <c r="B3490" s="6">
        <v>46204</v>
      </c>
      <c r="C3490" s="8">
        <v>46204</v>
      </c>
      <c r="D3490" s="2" t="s">
        <v>7433</v>
      </c>
      <c r="E3490" s="2" t="s">
        <v>260</v>
      </c>
      <c r="F3490" s="2" t="s">
        <v>16703</v>
      </c>
      <c r="G3490" s="2" t="s">
        <v>8703</v>
      </c>
      <c r="H3490" s="2" t="s">
        <v>76</v>
      </c>
      <c r="I3490" s="9">
        <v>58210624</v>
      </c>
      <c r="J3490" s="7">
        <v>6.2000000000000003E-5</v>
      </c>
      <c r="K3490" s="9">
        <v>3609.06</v>
      </c>
      <c r="L3490" s="14">
        <v>0</v>
      </c>
      <c r="M3490" s="2" t="s">
        <v>71</v>
      </c>
      <c r="N3490" s="2" t="s">
        <v>16706</v>
      </c>
      <c r="O3490" s="2" t="s">
        <v>8702</v>
      </c>
      <c r="P3490" s="9">
        <v>1.98</v>
      </c>
      <c r="Q3490" s="9">
        <v>3638.16</v>
      </c>
      <c r="R3490" s="2" t="s">
        <v>16711</v>
      </c>
    </row>
    <row r="3491" spans="1:18" x14ac:dyDescent="0.25">
      <c r="A3491" s="2" t="s">
        <v>8704</v>
      </c>
      <c r="B3491" s="6">
        <v>46204</v>
      </c>
      <c r="C3491" s="8">
        <v>46229</v>
      </c>
      <c r="D3491" s="2" t="s">
        <v>7433</v>
      </c>
      <c r="E3491" s="2" t="s">
        <v>260</v>
      </c>
      <c r="F3491" s="2" t="s">
        <v>16703</v>
      </c>
      <c r="G3491" s="2" t="s">
        <v>8705</v>
      </c>
      <c r="H3491" s="2" t="s">
        <v>76</v>
      </c>
      <c r="I3491" s="9">
        <v>87315936</v>
      </c>
      <c r="J3491" s="7">
        <v>6.2000000000000003E-5</v>
      </c>
      <c r="K3491" s="9">
        <v>5413.59</v>
      </c>
      <c r="L3491" s="14">
        <v>0</v>
      </c>
      <c r="M3491" s="2" t="s">
        <v>71</v>
      </c>
      <c r="N3491" s="2" t="s">
        <v>16706</v>
      </c>
      <c r="O3491" s="2" t="s">
        <v>8702</v>
      </c>
      <c r="P3491" s="9">
        <v>2.98</v>
      </c>
      <c r="Q3491" s="9">
        <v>5457.25</v>
      </c>
      <c r="R3491" s="2" t="s">
        <v>16711</v>
      </c>
    </row>
    <row r="3492" spans="1:18" x14ac:dyDescent="0.25">
      <c r="A3492" s="2" t="s">
        <v>8706</v>
      </c>
      <c r="B3492" s="6">
        <v>46204</v>
      </c>
      <c r="C3492" s="8">
        <v>46205</v>
      </c>
      <c r="D3492" s="2" t="s">
        <v>7433</v>
      </c>
      <c r="E3492" s="2" t="s">
        <v>260</v>
      </c>
      <c r="F3492" s="2" t="s">
        <v>16703</v>
      </c>
      <c r="G3492" s="2" t="s">
        <v>8708</v>
      </c>
      <c r="H3492" s="2" t="s">
        <v>70</v>
      </c>
      <c r="I3492" s="9">
        <v>5637.4255640000001</v>
      </c>
      <c r="J3492" s="7">
        <v>0.65800000000000003</v>
      </c>
      <c r="K3492" s="9">
        <v>3709.43</v>
      </c>
      <c r="L3492" s="14">
        <v>0</v>
      </c>
      <c r="M3492" s="2" t="s">
        <v>71</v>
      </c>
      <c r="N3492" s="2" t="s">
        <v>16706</v>
      </c>
      <c r="O3492" s="2" t="s">
        <v>8707</v>
      </c>
      <c r="P3492" s="9">
        <v>2.04</v>
      </c>
      <c r="Q3492" s="9">
        <v>3748.89</v>
      </c>
      <c r="R3492" s="2" t="s">
        <v>16711</v>
      </c>
    </row>
    <row r="3493" spans="1:18" x14ac:dyDescent="0.25">
      <c r="A3493" s="2" t="s">
        <v>8709</v>
      </c>
      <c r="B3493" s="6">
        <v>46204</v>
      </c>
      <c r="C3493" s="8">
        <v>46230</v>
      </c>
      <c r="D3493" s="2" t="s">
        <v>7433</v>
      </c>
      <c r="E3493" s="2" t="s">
        <v>260</v>
      </c>
      <c r="F3493" s="2" t="s">
        <v>16703</v>
      </c>
      <c r="G3493" s="2" t="s">
        <v>8710</v>
      </c>
      <c r="H3493" s="2" t="s">
        <v>70</v>
      </c>
      <c r="I3493" s="9">
        <v>8456.1383459999997</v>
      </c>
      <c r="J3493" s="7">
        <v>0.65800000000000003</v>
      </c>
      <c r="K3493" s="9">
        <v>5564.14</v>
      </c>
      <c r="L3493" s="14">
        <v>0</v>
      </c>
      <c r="M3493" s="2" t="s">
        <v>71</v>
      </c>
      <c r="N3493" s="2" t="s">
        <v>16706</v>
      </c>
      <c r="O3493" s="2" t="s">
        <v>8707</v>
      </c>
      <c r="P3493" s="9">
        <v>3.06</v>
      </c>
      <c r="Q3493" s="9">
        <v>5623.33</v>
      </c>
      <c r="R3493" s="2" t="s">
        <v>16711</v>
      </c>
    </row>
    <row r="3494" spans="1:18" x14ac:dyDescent="0.25">
      <c r="A3494" s="2" t="s">
        <v>8711</v>
      </c>
      <c r="B3494" s="6">
        <v>46204</v>
      </c>
      <c r="C3494" s="8">
        <v>46206</v>
      </c>
      <c r="D3494" s="2" t="s">
        <v>7433</v>
      </c>
      <c r="E3494" s="2" t="s">
        <v>260</v>
      </c>
      <c r="F3494" s="2" t="s">
        <v>16703</v>
      </c>
      <c r="G3494" s="2" t="s">
        <v>8713</v>
      </c>
      <c r="H3494" s="2" t="s">
        <v>39</v>
      </c>
      <c r="I3494" s="9">
        <v>3859.616</v>
      </c>
      <c r="J3494" s="7">
        <v>1</v>
      </c>
      <c r="K3494" s="9">
        <v>3859.62</v>
      </c>
      <c r="L3494" s="14">
        <v>0</v>
      </c>
      <c r="M3494" s="2" t="s">
        <v>71</v>
      </c>
      <c r="N3494" s="2" t="s">
        <v>16706</v>
      </c>
      <c r="O3494" s="2" t="s">
        <v>8712</v>
      </c>
      <c r="P3494" s="9">
        <v>2.12</v>
      </c>
      <c r="Q3494" s="9">
        <v>3859.62</v>
      </c>
      <c r="R3494" s="2" t="s">
        <v>16711</v>
      </c>
    </row>
    <row r="3495" spans="1:18" x14ac:dyDescent="0.25">
      <c r="A3495" s="2" t="s">
        <v>8714</v>
      </c>
      <c r="B3495" s="6">
        <v>46204</v>
      </c>
      <c r="C3495" s="8">
        <v>46231</v>
      </c>
      <c r="D3495" s="2" t="s">
        <v>7433</v>
      </c>
      <c r="E3495" s="2" t="s">
        <v>260</v>
      </c>
      <c r="F3495" s="2" t="s">
        <v>16703</v>
      </c>
      <c r="G3495" s="2" t="s">
        <v>8715</v>
      </c>
      <c r="H3495" s="2" t="s">
        <v>39</v>
      </c>
      <c r="I3495" s="9">
        <v>5789.424</v>
      </c>
      <c r="J3495" s="7">
        <v>1</v>
      </c>
      <c r="K3495" s="9">
        <v>5789.42</v>
      </c>
      <c r="L3495" s="14">
        <v>0</v>
      </c>
      <c r="M3495" s="2" t="s">
        <v>71</v>
      </c>
      <c r="N3495" s="2" t="s">
        <v>16706</v>
      </c>
      <c r="O3495" s="2" t="s">
        <v>8712</v>
      </c>
      <c r="P3495" s="9">
        <v>3.18</v>
      </c>
      <c r="Q3495" s="9">
        <v>5789.42</v>
      </c>
      <c r="R3495" s="2" t="s">
        <v>16711</v>
      </c>
    </row>
    <row r="3496" spans="1:18" x14ac:dyDescent="0.25">
      <c r="A3496" s="2" t="s">
        <v>8716</v>
      </c>
      <c r="B3496" s="6">
        <v>46204</v>
      </c>
      <c r="C3496" s="8">
        <v>46207</v>
      </c>
      <c r="D3496" s="2" t="s">
        <v>7433</v>
      </c>
      <c r="E3496" s="2" t="s">
        <v>260</v>
      </c>
      <c r="F3496" s="2" t="s">
        <v>16703</v>
      </c>
      <c r="G3496" s="2" t="s">
        <v>8718</v>
      </c>
      <c r="H3496" s="2" t="s">
        <v>76</v>
      </c>
      <c r="I3496" s="9">
        <v>63525504</v>
      </c>
      <c r="J3496" s="7">
        <v>6.2000000000000003E-5</v>
      </c>
      <c r="K3496" s="9">
        <v>3938.58</v>
      </c>
      <c r="L3496" s="14">
        <v>0</v>
      </c>
      <c r="M3496" s="2" t="s">
        <v>71</v>
      </c>
      <c r="N3496" s="2" t="s">
        <v>16706</v>
      </c>
      <c r="O3496" s="2" t="s">
        <v>8717</v>
      </c>
      <c r="P3496" s="9">
        <v>2.17</v>
      </c>
      <c r="Q3496" s="9">
        <v>3970.34</v>
      </c>
      <c r="R3496" s="2" t="s">
        <v>16711</v>
      </c>
    </row>
    <row r="3497" spans="1:18" x14ac:dyDescent="0.25">
      <c r="A3497" s="2" t="s">
        <v>8719</v>
      </c>
      <c r="B3497" s="6">
        <v>46204</v>
      </c>
      <c r="C3497" s="8">
        <v>46232</v>
      </c>
      <c r="D3497" s="2" t="s">
        <v>7433</v>
      </c>
      <c r="E3497" s="2" t="s">
        <v>260</v>
      </c>
      <c r="F3497" s="2" t="s">
        <v>16703</v>
      </c>
      <c r="G3497" s="2" t="s">
        <v>8720</v>
      </c>
      <c r="H3497" s="2" t="s">
        <v>76</v>
      </c>
      <c r="I3497" s="9">
        <v>95288256</v>
      </c>
      <c r="J3497" s="7">
        <v>6.2000000000000003E-5</v>
      </c>
      <c r="K3497" s="9">
        <v>5907.87</v>
      </c>
      <c r="L3497" s="14">
        <v>0</v>
      </c>
      <c r="M3497" s="2" t="s">
        <v>71</v>
      </c>
      <c r="N3497" s="2" t="s">
        <v>16706</v>
      </c>
      <c r="O3497" s="2" t="s">
        <v>8717</v>
      </c>
      <c r="P3497" s="9">
        <v>3.25</v>
      </c>
      <c r="Q3497" s="9">
        <v>5955.52</v>
      </c>
      <c r="R3497" s="2" t="s">
        <v>16711</v>
      </c>
    </row>
    <row r="3498" spans="1:18" x14ac:dyDescent="0.25">
      <c r="A3498" s="2" t="s">
        <v>8721</v>
      </c>
      <c r="B3498" s="6">
        <v>46204</v>
      </c>
      <c r="C3498" s="8">
        <v>46208</v>
      </c>
      <c r="D3498" s="2" t="s">
        <v>7433</v>
      </c>
      <c r="E3498" s="2" t="s">
        <v>260</v>
      </c>
      <c r="F3498" s="2" t="s">
        <v>16703</v>
      </c>
      <c r="G3498" s="2" t="s">
        <v>8723</v>
      </c>
      <c r="H3498" s="2" t="s">
        <v>70</v>
      </c>
      <c r="I3498" s="9">
        <v>6136.9443609999998</v>
      </c>
      <c r="J3498" s="7">
        <v>0.65800000000000003</v>
      </c>
      <c r="K3498" s="9">
        <v>4038.11</v>
      </c>
      <c r="L3498" s="14">
        <v>0</v>
      </c>
      <c r="M3498" s="2" t="s">
        <v>71</v>
      </c>
      <c r="N3498" s="2" t="s">
        <v>16706</v>
      </c>
      <c r="O3498" s="2" t="s">
        <v>8722</v>
      </c>
      <c r="P3498" s="9">
        <v>2.2200000000000002</v>
      </c>
      <c r="Q3498" s="9">
        <v>4081.07</v>
      </c>
      <c r="R3498" s="2" t="s">
        <v>16711</v>
      </c>
    </row>
    <row r="3499" spans="1:18" x14ac:dyDescent="0.25">
      <c r="A3499" s="2" t="s">
        <v>8724</v>
      </c>
      <c r="B3499" s="6">
        <v>46204</v>
      </c>
      <c r="C3499" s="8">
        <v>46233</v>
      </c>
      <c r="D3499" s="2" t="s">
        <v>7433</v>
      </c>
      <c r="E3499" s="2" t="s">
        <v>260</v>
      </c>
      <c r="F3499" s="2" t="s">
        <v>16703</v>
      </c>
      <c r="G3499" s="2" t="s">
        <v>8725</v>
      </c>
      <c r="H3499" s="2" t="s">
        <v>70</v>
      </c>
      <c r="I3499" s="9">
        <v>9205.4165410000005</v>
      </c>
      <c r="J3499" s="7">
        <v>0.65800000000000003</v>
      </c>
      <c r="K3499" s="9">
        <v>6057.16</v>
      </c>
      <c r="L3499" s="14">
        <v>0</v>
      </c>
      <c r="M3499" s="2" t="s">
        <v>71</v>
      </c>
      <c r="N3499" s="2" t="s">
        <v>16706</v>
      </c>
      <c r="O3499" s="2" t="s">
        <v>8722</v>
      </c>
      <c r="P3499" s="9">
        <v>3.33</v>
      </c>
      <c r="Q3499" s="9">
        <v>6121.6</v>
      </c>
      <c r="R3499" s="2" t="s">
        <v>16711</v>
      </c>
    </row>
    <row r="3500" spans="1:18" x14ac:dyDescent="0.25">
      <c r="A3500" s="2" t="s">
        <v>8726</v>
      </c>
      <c r="B3500" s="6">
        <v>46204</v>
      </c>
      <c r="C3500" s="8">
        <v>46209</v>
      </c>
      <c r="D3500" s="2" t="s">
        <v>7433</v>
      </c>
      <c r="E3500" s="2" t="s">
        <v>260</v>
      </c>
      <c r="F3500" s="2" t="s">
        <v>16703</v>
      </c>
      <c r="G3500" s="2" t="s">
        <v>8728</v>
      </c>
      <c r="H3500" s="2" t="s">
        <v>39</v>
      </c>
      <c r="I3500" s="9">
        <v>4191.7960000000003</v>
      </c>
      <c r="J3500" s="7">
        <v>1</v>
      </c>
      <c r="K3500" s="9">
        <v>4191.8</v>
      </c>
      <c r="L3500" s="14">
        <v>0</v>
      </c>
      <c r="M3500" s="2" t="s">
        <v>71</v>
      </c>
      <c r="N3500" s="2" t="s">
        <v>16706</v>
      </c>
      <c r="O3500" s="2" t="s">
        <v>8727</v>
      </c>
      <c r="P3500" s="9">
        <v>2.31</v>
      </c>
      <c r="Q3500" s="9">
        <v>4191.8</v>
      </c>
      <c r="R3500" s="2" t="s">
        <v>16711</v>
      </c>
    </row>
    <row r="3501" spans="1:18" x14ac:dyDescent="0.25">
      <c r="A3501" s="2" t="s">
        <v>8729</v>
      </c>
      <c r="B3501" s="6">
        <v>46204</v>
      </c>
      <c r="C3501" s="8">
        <v>46234</v>
      </c>
      <c r="D3501" s="2" t="s">
        <v>7433</v>
      </c>
      <c r="E3501" s="2" t="s">
        <v>260</v>
      </c>
      <c r="F3501" s="2" t="s">
        <v>16703</v>
      </c>
      <c r="G3501" s="2" t="s">
        <v>8730</v>
      </c>
      <c r="H3501" s="2" t="s">
        <v>39</v>
      </c>
      <c r="I3501" s="9">
        <v>6287.6940000000004</v>
      </c>
      <c r="J3501" s="7">
        <v>1</v>
      </c>
      <c r="K3501" s="9">
        <v>6287.69</v>
      </c>
      <c r="L3501" s="14">
        <v>0</v>
      </c>
      <c r="M3501" s="2" t="s">
        <v>71</v>
      </c>
      <c r="N3501" s="2" t="s">
        <v>16706</v>
      </c>
      <c r="O3501" s="2" t="s">
        <v>8727</v>
      </c>
      <c r="P3501" s="9">
        <v>3.46</v>
      </c>
      <c r="Q3501" s="9">
        <v>6287.69</v>
      </c>
      <c r="R3501" s="2" t="s">
        <v>16711</v>
      </c>
    </row>
    <row r="3502" spans="1:18" x14ac:dyDescent="0.25">
      <c r="A3502" s="2" t="s">
        <v>8731</v>
      </c>
      <c r="B3502" s="6">
        <v>46204</v>
      </c>
      <c r="C3502" s="8">
        <v>46210</v>
      </c>
      <c r="D3502" s="2" t="s">
        <v>7433</v>
      </c>
      <c r="E3502" s="2" t="s">
        <v>260</v>
      </c>
      <c r="F3502" s="2" t="s">
        <v>16703</v>
      </c>
      <c r="G3502" s="2" t="s">
        <v>8733</v>
      </c>
      <c r="H3502" s="2" t="s">
        <v>76</v>
      </c>
      <c r="I3502" s="9">
        <v>68840320</v>
      </c>
      <c r="J3502" s="7">
        <v>6.2000000000000003E-5</v>
      </c>
      <c r="K3502" s="9">
        <v>4268.1000000000004</v>
      </c>
      <c r="L3502" s="14">
        <v>0</v>
      </c>
      <c r="M3502" s="2" t="s">
        <v>71</v>
      </c>
      <c r="N3502" s="2" t="s">
        <v>16706</v>
      </c>
      <c r="O3502" s="2" t="s">
        <v>8732</v>
      </c>
      <c r="P3502" s="9">
        <v>2.35</v>
      </c>
      <c r="Q3502" s="9">
        <v>4302.5200000000004</v>
      </c>
      <c r="R3502" s="2" t="s">
        <v>16711</v>
      </c>
    </row>
    <row r="3503" spans="1:18" x14ac:dyDescent="0.25">
      <c r="A3503" s="2" t="s">
        <v>8736</v>
      </c>
      <c r="B3503" s="6">
        <v>46204</v>
      </c>
      <c r="C3503" s="8">
        <v>46211</v>
      </c>
      <c r="D3503" s="2" t="s">
        <v>7433</v>
      </c>
      <c r="E3503" s="2" t="s">
        <v>260</v>
      </c>
      <c r="F3503" s="2" t="s">
        <v>16703</v>
      </c>
      <c r="G3503" s="2" t="s">
        <v>8738</v>
      </c>
      <c r="H3503" s="2" t="s">
        <v>70</v>
      </c>
      <c r="I3503" s="9">
        <v>6636.4631579999996</v>
      </c>
      <c r="J3503" s="7">
        <v>0.65800000000000003</v>
      </c>
      <c r="K3503" s="9">
        <v>4366.79</v>
      </c>
      <c r="L3503" s="14">
        <v>0</v>
      </c>
      <c r="M3503" s="2" t="s">
        <v>71</v>
      </c>
      <c r="N3503" s="2" t="s">
        <v>16706</v>
      </c>
      <c r="O3503" s="2" t="s">
        <v>8737</v>
      </c>
      <c r="P3503" s="9">
        <v>2.4</v>
      </c>
      <c r="Q3503" s="9">
        <v>4413.25</v>
      </c>
      <c r="R3503" s="2" t="s">
        <v>16711</v>
      </c>
    </row>
    <row r="3504" spans="1:18" x14ac:dyDescent="0.25">
      <c r="A3504" s="2" t="s">
        <v>8741</v>
      </c>
      <c r="B3504" s="6">
        <v>46204</v>
      </c>
      <c r="C3504" s="8">
        <v>46212</v>
      </c>
      <c r="D3504" s="2" t="s">
        <v>7433</v>
      </c>
      <c r="E3504" s="2" t="s">
        <v>260</v>
      </c>
      <c r="F3504" s="2" t="s">
        <v>16703</v>
      </c>
      <c r="G3504" s="2" t="s">
        <v>8743</v>
      </c>
      <c r="H3504" s="2" t="s">
        <v>39</v>
      </c>
      <c r="I3504" s="9">
        <v>4523.9759999999997</v>
      </c>
      <c r="J3504" s="7">
        <v>1</v>
      </c>
      <c r="K3504" s="9">
        <v>4523.9799999999996</v>
      </c>
      <c r="L3504" s="14">
        <v>0</v>
      </c>
      <c r="M3504" s="2" t="s">
        <v>71</v>
      </c>
      <c r="N3504" s="2" t="s">
        <v>16706</v>
      </c>
      <c r="O3504" s="2" t="s">
        <v>8742</v>
      </c>
      <c r="P3504" s="9">
        <v>2.4900000000000002</v>
      </c>
      <c r="Q3504" s="9">
        <v>4523.9799999999996</v>
      </c>
      <c r="R3504" s="2" t="s">
        <v>16711</v>
      </c>
    </row>
    <row r="3505" spans="1:18" x14ac:dyDescent="0.25">
      <c r="A3505" s="2" t="s">
        <v>8746</v>
      </c>
      <c r="B3505" s="6">
        <v>46204</v>
      </c>
      <c r="C3505" s="8">
        <v>46213</v>
      </c>
      <c r="D3505" s="2" t="s">
        <v>7433</v>
      </c>
      <c r="E3505" s="2" t="s">
        <v>260</v>
      </c>
      <c r="F3505" s="2" t="s">
        <v>16703</v>
      </c>
      <c r="G3505" s="2" t="s">
        <v>8748</v>
      </c>
      <c r="H3505" s="2" t="s">
        <v>76</v>
      </c>
      <c r="I3505" s="9">
        <v>74155200</v>
      </c>
      <c r="J3505" s="7">
        <v>6.2000000000000003E-5</v>
      </c>
      <c r="K3505" s="9">
        <v>4597.62</v>
      </c>
      <c r="L3505" s="14">
        <v>0</v>
      </c>
      <c r="M3505" s="2" t="s">
        <v>71</v>
      </c>
      <c r="N3505" s="2" t="s">
        <v>16706</v>
      </c>
      <c r="O3505" s="2" t="s">
        <v>8747</v>
      </c>
      <c r="P3505" s="9">
        <v>2.5299999999999998</v>
      </c>
      <c r="Q3505" s="9">
        <v>4634.7</v>
      </c>
      <c r="R3505" s="2" t="s">
        <v>16711</v>
      </c>
    </row>
    <row r="3506" spans="1:18" x14ac:dyDescent="0.25">
      <c r="A3506" s="2" t="s">
        <v>8751</v>
      </c>
      <c r="B3506" s="6">
        <v>46204</v>
      </c>
      <c r="C3506" s="8">
        <v>46214</v>
      </c>
      <c r="D3506" s="2" t="s">
        <v>7433</v>
      </c>
      <c r="E3506" s="2" t="s">
        <v>260</v>
      </c>
      <c r="F3506" s="2" t="s">
        <v>16703</v>
      </c>
      <c r="G3506" s="2" t="s">
        <v>8753</v>
      </c>
      <c r="H3506" s="2" t="s">
        <v>70</v>
      </c>
      <c r="I3506" s="9">
        <v>7135.9819550000002</v>
      </c>
      <c r="J3506" s="7">
        <v>0.65800000000000003</v>
      </c>
      <c r="K3506" s="9">
        <v>4695.4799999999996</v>
      </c>
      <c r="L3506" s="14">
        <v>0</v>
      </c>
      <c r="M3506" s="2" t="s">
        <v>71</v>
      </c>
      <c r="N3506" s="2" t="s">
        <v>16706</v>
      </c>
      <c r="O3506" s="2" t="s">
        <v>8752</v>
      </c>
      <c r="P3506" s="9">
        <v>2.58</v>
      </c>
      <c r="Q3506" s="9">
        <v>4745.43</v>
      </c>
      <c r="R3506" s="2" t="s">
        <v>16711</v>
      </c>
    </row>
    <row r="3507" spans="1:18" x14ac:dyDescent="0.25">
      <c r="A3507" s="2" t="s">
        <v>8756</v>
      </c>
      <c r="B3507" s="6">
        <v>46204</v>
      </c>
      <c r="C3507" s="8">
        <v>46215</v>
      </c>
      <c r="D3507" s="2" t="s">
        <v>7433</v>
      </c>
      <c r="E3507" s="2" t="s">
        <v>260</v>
      </c>
      <c r="F3507" s="2" t="s">
        <v>16703</v>
      </c>
      <c r="G3507" s="2" t="s">
        <v>8758</v>
      </c>
      <c r="H3507" s="2" t="s">
        <v>39</v>
      </c>
      <c r="I3507" s="9">
        <v>4856.152</v>
      </c>
      <c r="J3507" s="7">
        <v>1</v>
      </c>
      <c r="K3507" s="9">
        <v>4856.1499999999996</v>
      </c>
      <c r="L3507" s="14">
        <v>0</v>
      </c>
      <c r="M3507" s="2" t="s">
        <v>71</v>
      </c>
      <c r="N3507" s="2" t="s">
        <v>16706</v>
      </c>
      <c r="O3507" s="2" t="s">
        <v>8757</v>
      </c>
      <c r="P3507" s="9">
        <v>2.67</v>
      </c>
      <c r="Q3507" s="9">
        <v>4856.1499999999996</v>
      </c>
      <c r="R3507" s="2" t="s">
        <v>16711</v>
      </c>
    </row>
    <row r="3508" spans="1:18" x14ac:dyDescent="0.25">
      <c r="A3508" s="2" t="s">
        <v>8761</v>
      </c>
      <c r="B3508" s="6">
        <v>46204</v>
      </c>
      <c r="C3508" s="8">
        <v>46216</v>
      </c>
      <c r="D3508" s="2" t="s">
        <v>7433</v>
      </c>
      <c r="E3508" s="2" t="s">
        <v>260</v>
      </c>
      <c r="F3508" s="2" t="s">
        <v>16703</v>
      </c>
      <c r="G3508" s="2" t="s">
        <v>8763</v>
      </c>
      <c r="H3508" s="2" t="s">
        <v>76</v>
      </c>
      <c r="I3508" s="9">
        <v>79470080</v>
      </c>
      <c r="J3508" s="7">
        <v>6.2000000000000003E-5</v>
      </c>
      <c r="K3508" s="9">
        <v>4927.1400000000003</v>
      </c>
      <c r="L3508" s="14">
        <v>0</v>
      </c>
      <c r="M3508" s="2" t="s">
        <v>71</v>
      </c>
      <c r="N3508" s="2" t="s">
        <v>16706</v>
      </c>
      <c r="O3508" s="2" t="s">
        <v>8762</v>
      </c>
      <c r="P3508" s="9">
        <v>2.71</v>
      </c>
      <c r="Q3508" s="9">
        <v>4966.88</v>
      </c>
      <c r="R3508" s="2" t="s">
        <v>16711</v>
      </c>
    </row>
    <row r="3509" spans="1:18" x14ac:dyDescent="0.25">
      <c r="A3509" s="2" t="s">
        <v>8766</v>
      </c>
      <c r="B3509" s="6">
        <v>46204</v>
      </c>
      <c r="C3509" s="8">
        <v>46217</v>
      </c>
      <c r="D3509" s="2" t="s">
        <v>7433</v>
      </c>
      <c r="E3509" s="2" t="s">
        <v>260</v>
      </c>
      <c r="F3509" s="2" t="s">
        <v>16703</v>
      </c>
      <c r="G3509" s="2" t="s">
        <v>8768</v>
      </c>
      <c r="H3509" s="2" t="s">
        <v>70</v>
      </c>
      <c r="I3509" s="9">
        <v>7635.5007519999999</v>
      </c>
      <c r="J3509" s="7">
        <v>0.65800000000000003</v>
      </c>
      <c r="K3509" s="9">
        <v>5024.16</v>
      </c>
      <c r="L3509" s="14">
        <v>0</v>
      </c>
      <c r="M3509" s="2" t="s">
        <v>71</v>
      </c>
      <c r="N3509" s="2" t="s">
        <v>16706</v>
      </c>
      <c r="O3509" s="2" t="s">
        <v>8767</v>
      </c>
      <c r="P3509" s="9">
        <v>2.76</v>
      </c>
      <c r="Q3509" s="9">
        <v>5077.6099999999997</v>
      </c>
      <c r="R3509" s="2" t="s">
        <v>16711</v>
      </c>
    </row>
    <row r="3510" spans="1:18" x14ac:dyDescent="0.25">
      <c r="A3510" s="2" t="s">
        <v>8771</v>
      </c>
      <c r="B3510" s="6">
        <v>46174</v>
      </c>
      <c r="C3510" s="8">
        <v>46188</v>
      </c>
      <c r="D3510" s="2" t="s">
        <v>7433</v>
      </c>
      <c r="E3510" s="2" t="s">
        <v>260</v>
      </c>
      <c r="F3510" s="2" t="s">
        <v>16703</v>
      </c>
      <c r="G3510" s="2" t="s">
        <v>8773</v>
      </c>
      <c r="H3510" s="2" t="s">
        <v>39</v>
      </c>
      <c r="I3510" s="9">
        <v>5188.3320000000003</v>
      </c>
      <c r="J3510" s="7">
        <v>1</v>
      </c>
      <c r="K3510" s="9">
        <v>5188.33</v>
      </c>
      <c r="L3510" s="14">
        <v>0</v>
      </c>
      <c r="M3510" s="2" t="s">
        <v>71</v>
      </c>
      <c r="N3510" s="2" t="s">
        <v>16704</v>
      </c>
      <c r="O3510" s="2" t="s">
        <v>8772</v>
      </c>
      <c r="P3510" s="9">
        <v>2.85</v>
      </c>
      <c r="Q3510" s="9">
        <v>5188.33</v>
      </c>
      <c r="R3510" s="2" t="s">
        <v>16710</v>
      </c>
    </row>
    <row r="3511" spans="1:18" x14ac:dyDescent="0.25">
      <c r="A3511" s="2" t="s">
        <v>8774</v>
      </c>
      <c r="B3511" s="6">
        <v>46204</v>
      </c>
      <c r="C3511" s="8">
        <v>46213</v>
      </c>
      <c r="D3511" s="2" t="s">
        <v>7433</v>
      </c>
      <c r="E3511" s="2" t="s">
        <v>260</v>
      </c>
      <c r="F3511" s="2" t="s">
        <v>16703</v>
      </c>
      <c r="G3511" s="2" t="s">
        <v>8775</v>
      </c>
      <c r="H3511" s="2" t="s">
        <v>39</v>
      </c>
      <c r="I3511" s="9">
        <v>7782.4979999999996</v>
      </c>
      <c r="J3511" s="7">
        <v>1</v>
      </c>
      <c r="K3511" s="9">
        <v>7782.5</v>
      </c>
      <c r="L3511" s="14">
        <v>0</v>
      </c>
      <c r="M3511" s="2" t="s">
        <v>71</v>
      </c>
      <c r="N3511" s="2" t="s">
        <v>16706</v>
      </c>
      <c r="O3511" s="2" t="s">
        <v>8772</v>
      </c>
      <c r="P3511" s="9">
        <v>4.28</v>
      </c>
      <c r="Q3511" s="9">
        <v>7782.5</v>
      </c>
      <c r="R3511" s="2" t="s">
        <v>16711</v>
      </c>
    </row>
    <row r="3512" spans="1:18" x14ac:dyDescent="0.25">
      <c r="A3512" s="2" t="s">
        <v>8776</v>
      </c>
      <c r="B3512" s="6">
        <v>46174</v>
      </c>
      <c r="C3512" s="8">
        <v>46189</v>
      </c>
      <c r="D3512" s="2" t="s">
        <v>7433</v>
      </c>
      <c r="E3512" s="2" t="s">
        <v>260</v>
      </c>
      <c r="F3512" s="2" t="s">
        <v>16703</v>
      </c>
      <c r="G3512" s="2" t="s">
        <v>8778</v>
      </c>
      <c r="H3512" s="2" t="s">
        <v>76</v>
      </c>
      <c r="I3512" s="9">
        <v>84784960</v>
      </c>
      <c r="J3512" s="7">
        <v>6.2500000000000001E-5</v>
      </c>
      <c r="K3512" s="9">
        <v>5299.06</v>
      </c>
      <c r="L3512" s="14">
        <v>0</v>
      </c>
      <c r="M3512" s="2" t="s">
        <v>71</v>
      </c>
      <c r="N3512" s="2" t="s">
        <v>16704</v>
      </c>
      <c r="O3512" s="2" t="s">
        <v>8777</v>
      </c>
      <c r="P3512" s="9">
        <v>2.91</v>
      </c>
      <c r="Q3512" s="9">
        <v>5299.06</v>
      </c>
      <c r="R3512" s="2" t="s">
        <v>16710</v>
      </c>
    </row>
    <row r="3513" spans="1:18" x14ac:dyDescent="0.25">
      <c r="A3513" s="2" t="s">
        <v>8779</v>
      </c>
      <c r="B3513" s="6">
        <v>46204</v>
      </c>
      <c r="C3513" s="8">
        <v>46214</v>
      </c>
      <c r="D3513" s="2" t="s">
        <v>7433</v>
      </c>
      <c r="E3513" s="2" t="s">
        <v>260</v>
      </c>
      <c r="F3513" s="2" t="s">
        <v>16703</v>
      </c>
      <c r="G3513" s="2" t="s">
        <v>8780</v>
      </c>
      <c r="H3513" s="2" t="s">
        <v>76</v>
      </c>
      <c r="I3513" s="9">
        <v>127177440</v>
      </c>
      <c r="J3513" s="7">
        <v>6.2000000000000003E-5</v>
      </c>
      <c r="K3513" s="9">
        <v>7885</v>
      </c>
      <c r="L3513" s="14">
        <v>0</v>
      </c>
      <c r="M3513" s="2" t="s">
        <v>71</v>
      </c>
      <c r="N3513" s="2" t="s">
        <v>16706</v>
      </c>
      <c r="O3513" s="2" t="s">
        <v>8777</v>
      </c>
      <c r="P3513" s="9">
        <v>4.34</v>
      </c>
      <c r="Q3513" s="9">
        <v>7948.59</v>
      </c>
      <c r="R3513" s="2" t="s">
        <v>16711</v>
      </c>
    </row>
    <row r="3514" spans="1:18" x14ac:dyDescent="0.25">
      <c r="A3514" s="2" t="s">
        <v>8781</v>
      </c>
      <c r="B3514" s="6">
        <v>46174</v>
      </c>
      <c r="C3514" s="8">
        <v>46190</v>
      </c>
      <c r="D3514" s="2" t="s">
        <v>7433</v>
      </c>
      <c r="E3514" s="2" t="s">
        <v>260</v>
      </c>
      <c r="F3514" s="2" t="s">
        <v>16703</v>
      </c>
      <c r="G3514" s="2" t="s">
        <v>8783</v>
      </c>
      <c r="H3514" s="2" t="s">
        <v>70</v>
      </c>
      <c r="I3514" s="9">
        <v>8135.0135339999997</v>
      </c>
      <c r="J3514" s="7">
        <v>0.66500000000000004</v>
      </c>
      <c r="K3514" s="9">
        <v>5409.78</v>
      </c>
      <c r="L3514" s="14">
        <v>0</v>
      </c>
      <c r="M3514" s="2" t="s">
        <v>71</v>
      </c>
      <c r="N3514" s="2" t="s">
        <v>16704</v>
      </c>
      <c r="O3514" s="2" t="s">
        <v>8782</v>
      </c>
      <c r="P3514" s="9">
        <v>2.98</v>
      </c>
      <c r="Q3514" s="9">
        <v>5409.78</v>
      </c>
      <c r="R3514" s="2" t="s">
        <v>16710</v>
      </c>
    </row>
    <row r="3515" spans="1:18" x14ac:dyDescent="0.25">
      <c r="A3515" s="2" t="s">
        <v>8784</v>
      </c>
      <c r="B3515" s="6">
        <v>46204</v>
      </c>
      <c r="C3515" s="8">
        <v>46215</v>
      </c>
      <c r="D3515" s="2" t="s">
        <v>7433</v>
      </c>
      <c r="E3515" s="2" t="s">
        <v>260</v>
      </c>
      <c r="F3515" s="2" t="s">
        <v>16703</v>
      </c>
      <c r="G3515" s="2" t="s">
        <v>8785</v>
      </c>
      <c r="H3515" s="2" t="s">
        <v>70</v>
      </c>
      <c r="I3515" s="9">
        <v>12202.520301</v>
      </c>
      <c r="J3515" s="7">
        <v>0.65800000000000003</v>
      </c>
      <c r="K3515" s="9">
        <v>8029.26</v>
      </c>
      <c r="L3515" s="14">
        <v>0</v>
      </c>
      <c r="M3515" s="2" t="s">
        <v>71</v>
      </c>
      <c r="N3515" s="2" t="s">
        <v>16706</v>
      </c>
      <c r="O3515" s="2" t="s">
        <v>8782</v>
      </c>
      <c r="P3515" s="9">
        <v>4.42</v>
      </c>
      <c r="Q3515" s="9">
        <v>8114.68</v>
      </c>
      <c r="R3515" s="2" t="s">
        <v>16711</v>
      </c>
    </row>
    <row r="3516" spans="1:18" x14ac:dyDescent="0.25">
      <c r="A3516" s="2" t="s">
        <v>8786</v>
      </c>
      <c r="B3516" s="6">
        <v>46174</v>
      </c>
      <c r="C3516" s="8">
        <v>46191</v>
      </c>
      <c r="D3516" s="2" t="s">
        <v>7433</v>
      </c>
      <c r="E3516" s="2" t="s">
        <v>260</v>
      </c>
      <c r="F3516" s="2" t="s">
        <v>16703</v>
      </c>
      <c r="G3516" s="2" t="s">
        <v>8788</v>
      </c>
      <c r="H3516" s="2" t="s">
        <v>39</v>
      </c>
      <c r="I3516" s="9">
        <v>5520.5119999999997</v>
      </c>
      <c r="J3516" s="7">
        <v>1</v>
      </c>
      <c r="K3516" s="9">
        <v>5520.51</v>
      </c>
      <c r="L3516" s="14">
        <v>0</v>
      </c>
      <c r="M3516" s="2" t="s">
        <v>71</v>
      </c>
      <c r="N3516" s="2" t="s">
        <v>16704</v>
      </c>
      <c r="O3516" s="2" t="s">
        <v>8787</v>
      </c>
      <c r="P3516" s="9">
        <v>3.04</v>
      </c>
      <c r="Q3516" s="9">
        <v>5520.51</v>
      </c>
      <c r="R3516" s="2" t="s">
        <v>16710</v>
      </c>
    </row>
    <row r="3517" spans="1:18" x14ac:dyDescent="0.25">
      <c r="A3517" s="2" t="s">
        <v>8789</v>
      </c>
      <c r="B3517" s="6">
        <v>46204</v>
      </c>
      <c r="C3517" s="8">
        <v>46216</v>
      </c>
      <c r="D3517" s="2" t="s">
        <v>7433</v>
      </c>
      <c r="E3517" s="2" t="s">
        <v>260</v>
      </c>
      <c r="F3517" s="2" t="s">
        <v>16703</v>
      </c>
      <c r="G3517" s="2" t="s">
        <v>8790</v>
      </c>
      <c r="H3517" s="2" t="s">
        <v>39</v>
      </c>
      <c r="I3517" s="9">
        <v>8280.768</v>
      </c>
      <c r="J3517" s="7">
        <v>1</v>
      </c>
      <c r="K3517" s="9">
        <v>8280.77</v>
      </c>
      <c r="L3517" s="14">
        <v>0</v>
      </c>
      <c r="M3517" s="2" t="s">
        <v>71</v>
      </c>
      <c r="N3517" s="2" t="s">
        <v>16706</v>
      </c>
      <c r="O3517" s="2" t="s">
        <v>8787</v>
      </c>
      <c r="P3517" s="9">
        <v>4.55</v>
      </c>
      <c r="Q3517" s="9">
        <v>8280.77</v>
      </c>
      <c r="R3517" s="2" t="s">
        <v>16711</v>
      </c>
    </row>
    <row r="3518" spans="1:18" x14ac:dyDescent="0.25">
      <c r="A3518" s="2" t="s">
        <v>8791</v>
      </c>
      <c r="B3518" s="6">
        <v>46174</v>
      </c>
      <c r="C3518" s="8">
        <v>46192</v>
      </c>
      <c r="D3518" s="2" t="s">
        <v>7433</v>
      </c>
      <c r="E3518" s="2" t="s">
        <v>260</v>
      </c>
      <c r="F3518" s="2" t="s">
        <v>16703</v>
      </c>
      <c r="G3518" s="2" t="s">
        <v>8793</v>
      </c>
      <c r="H3518" s="2" t="s">
        <v>76</v>
      </c>
      <c r="I3518" s="9">
        <v>90099840</v>
      </c>
      <c r="J3518" s="7">
        <v>6.2500000000000001E-5</v>
      </c>
      <c r="K3518" s="9">
        <v>5631.24</v>
      </c>
      <c r="L3518" s="14">
        <v>0</v>
      </c>
      <c r="M3518" s="2" t="s">
        <v>71</v>
      </c>
      <c r="N3518" s="2" t="s">
        <v>16704</v>
      </c>
      <c r="O3518" s="2" t="s">
        <v>8792</v>
      </c>
      <c r="P3518" s="9">
        <v>3.1</v>
      </c>
      <c r="Q3518" s="9">
        <v>5631.24</v>
      </c>
      <c r="R3518" s="2" t="s">
        <v>16710</v>
      </c>
    </row>
    <row r="3519" spans="1:18" x14ac:dyDescent="0.25">
      <c r="A3519" s="2" t="s">
        <v>8794</v>
      </c>
      <c r="B3519" s="6">
        <v>46204</v>
      </c>
      <c r="C3519" s="8">
        <v>46217</v>
      </c>
      <c r="D3519" s="2" t="s">
        <v>7433</v>
      </c>
      <c r="E3519" s="2" t="s">
        <v>260</v>
      </c>
      <c r="F3519" s="2" t="s">
        <v>16703</v>
      </c>
      <c r="G3519" s="2" t="s">
        <v>8795</v>
      </c>
      <c r="H3519" s="2" t="s">
        <v>76</v>
      </c>
      <c r="I3519" s="9">
        <v>135149760</v>
      </c>
      <c r="J3519" s="7">
        <v>6.2000000000000003E-5</v>
      </c>
      <c r="K3519" s="9">
        <v>8379.2900000000009</v>
      </c>
      <c r="L3519" s="14">
        <v>0</v>
      </c>
      <c r="M3519" s="2" t="s">
        <v>71</v>
      </c>
      <c r="N3519" s="2" t="s">
        <v>16706</v>
      </c>
      <c r="O3519" s="2" t="s">
        <v>8792</v>
      </c>
      <c r="P3519" s="9">
        <v>4.6100000000000003</v>
      </c>
      <c r="Q3519" s="9">
        <v>8446.86</v>
      </c>
      <c r="R3519" s="2" t="s">
        <v>16711</v>
      </c>
    </row>
    <row r="3520" spans="1:18" x14ac:dyDescent="0.25">
      <c r="A3520" s="2" t="s">
        <v>8796</v>
      </c>
      <c r="B3520" s="6">
        <v>46174</v>
      </c>
      <c r="C3520" s="8">
        <v>46193</v>
      </c>
      <c r="D3520" s="2" t="s">
        <v>7433</v>
      </c>
      <c r="E3520" s="2" t="s">
        <v>260</v>
      </c>
      <c r="F3520" s="2" t="s">
        <v>16703</v>
      </c>
      <c r="G3520" s="2" t="s">
        <v>8798</v>
      </c>
      <c r="H3520" s="2" t="s">
        <v>70</v>
      </c>
      <c r="I3520" s="9">
        <v>8634.5323310000003</v>
      </c>
      <c r="J3520" s="7">
        <v>0.66500000000000004</v>
      </c>
      <c r="K3520" s="9">
        <v>5741.96</v>
      </c>
      <c r="L3520" s="14">
        <v>0</v>
      </c>
      <c r="M3520" s="2" t="s">
        <v>71</v>
      </c>
      <c r="N3520" s="2" t="s">
        <v>16704</v>
      </c>
      <c r="O3520" s="2" t="s">
        <v>8797</v>
      </c>
      <c r="P3520" s="9">
        <v>3.16</v>
      </c>
      <c r="Q3520" s="9">
        <v>5741.96</v>
      </c>
      <c r="R3520" s="2" t="s">
        <v>16710</v>
      </c>
    </row>
    <row r="3521" spans="1:18" x14ac:dyDescent="0.25">
      <c r="A3521" s="2" t="s">
        <v>8799</v>
      </c>
      <c r="B3521" s="6">
        <v>46204</v>
      </c>
      <c r="C3521" s="8">
        <v>46218</v>
      </c>
      <c r="D3521" s="2" t="s">
        <v>7433</v>
      </c>
      <c r="E3521" s="2" t="s">
        <v>260</v>
      </c>
      <c r="F3521" s="2" t="s">
        <v>16703</v>
      </c>
      <c r="G3521" s="2" t="s">
        <v>8800</v>
      </c>
      <c r="H3521" s="2" t="s">
        <v>70</v>
      </c>
      <c r="I3521" s="9">
        <v>12951.798495999999</v>
      </c>
      <c r="J3521" s="7">
        <v>0.65800000000000003</v>
      </c>
      <c r="K3521" s="9">
        <v>8522.2800000000007</v>
      </c>
      <c r="L3521" s="14">
        <v>0</v>
      </c>
      <c r="M3521" s="2" t="s">
        <v>71</v>
      </c>
      <c r="N3521" s="2" t="s">
        <v>16706</v>
      </c>
      <c r="O3521" s="2" t="s">
        <v>8797</v>
      </c>
      <c r="P3521" s="9">
        <v>4.6900000000000004</v>
      </c>
      <c r="Q3521" s="9">
        <v>8612.9500000000007</v>
      </c>
      <c r="R3521" s="2" t="s">
        <v>16711</v>
      </c>
    </row>
    <row r="3522" spans="1:18" x14ac:dyDescent="0.25">
      <c r="A3522" s="2" t="s">
        <v>8801</v>
      </c>
      <c r="B3522" s="6">
        <v>46174</v>
      </c>
      <c r="C3522" s="8">
        <v>46194</v>
      </c>
      <c r="D3522" s="2" t="s">
        <v>7433</v>
      </c>
      <c r="E3522" s="2" t="s">
        <v>260</v>
      </c>
      <c r="F3522" s="2" t="s">
        <v>16703</v>
      </c>
      <c r="G3522" s="2" t="s">
        <v>8803</v>
      </c>
      <c r="H3522" s="2" t="s">
        <v>39</v>
      </c>
      <c r="I3522" s="9">
        <v>5852.692</v>
      </c>
      <c r="J3522" s="7">
        <v>1</v>
      </c>
      <c r="K3522" s="9">
        <v>5852.69</v>
      </c>
      <c r="L3522" s="14">
        <v>0</v>
      </c>
      <c r="M3522" s="2" t="s">
        <v>71</v>
      </c>
      <c r="N3522" s="2" t="s">
        <v>16704</v>
      </c>
      <c r="O3522" s="2" t="s">
        <v>8802</v>
      </c>
      <c r="P3522" s="9">
        <v>3.22</v>
      </c>
      <c r="Q3522" s="9">
        <v>5852.69</v>
      </c>
      <c r="R3522" s="2" t="s">
        <v>16710</v>
      </c>
    </row>
    <row r="3523" spans="1:18" x14ac:dyDescent="0.25">
      <c r="A3523" s="2" t="s">
        <v>8804</v>
      </c>
      <c r="B3523" s="6">
        <v>46204</v>
      </c>
      <c r="C3523" s="8">
        <v>46219</v>
      </c>
      <c r="D3523" s="2" t="s">
        <v>7433</v>
      </c>
      <c r="E3523" s="2" t="s">
        <v>260</v>
      </c>
      <c r="F3523" s="2" t="s">
        <v>16703</v>
      </c>
      <c r="G3523" s="2" t="s">
        <v>8805</v>
      </c>
      <c r="H3523" s="2" t="s">
        <v>39</v>
      </c>
      <c r="I3523" s="9">
        <v>8779.0380000000005</v>
      </c>
      <c r="J3523" s="7">
        <v>1</v>
      </c>
      <c r="K3523" s="9">
        <v>8779.0400000000009</v>
      </c>
      <c r="L3523" s="14">
        <v>0</v>
      </c>
      <c r="M3523" s="2" t="s">
        <v>71</v>
      </c>
      <c r="N3523" s="2" t="s">
        <v>16706</v>
      </c>
      <c r="O3523" s="2" t="s">
        <v>8802</v>
      </c>
      <c r="P3523" s="9">
        <v>4.83</v>
      </c>
      <c r="Q3523" s="9">
        <v>8779.0400000000009</v>
      </c>
      <c r="R3523" s="2" t="s">
        <v>16711</v>
      </c>
    </row>
    <row r="3524" spans="1:18" x14ac:dyDescent="0.25">
      <c r="A3524" s="2" t="s">
        <v>8806</v>
      </c>
      <c r="B3524" s="6">
        <v>46174</v>
      </c>
      <c r="C3524" s="8">
        <v>46195</v>
      </c>
      <c r="D3524" s="2" t="s">
        <v>7433</v>
      </c>
      <c r="E3524" s="2" t="s">
        <v>260</v>
      </c>
      <c r="F3524" s="2" t="s">
        <v>16703</v>
      </c>
      <c r="G3524" s="2" t="s">
        <v>8808</v>
      </c>
      <c r="H3524" s="2" t="s">
        <v>76</v>
      </c>
      <c r="I3524" s="9">
        <v>95414656</v>
      </c>
      <c r="J3524" s="7">
        <v>6.2500000000000001E-5</v>
      </c>
      <c r="K3524" s="9">
        <v>5963.42</v>
      </c>
      <c r="L3524" s="14">
        <v>0</v>
      </c>
      <c r="M3524" s="2" t="s">
        <v>71</v>
      </c>
      <c r="N3524" s="2" t="s">
        <v>16704</v>
      </c>
      <c r="O3524" s="2" t="s">
        <v>8807</v>
      </c>
      <c r="P3524" s="9">
        <v>3.28</v>
      </c>
      <c r="Q3524" s="9">
        <v>5963.42</v>
      </c>
      <c r="R3524" s="2" t="s">
        <v>16710</v>
      </c>
    </row>
    <row r="3525" spans="1:18" x14ac:dyDescent="0.25">
      <c r="A3525" s="2" t="s">
        <v>8809</v>
      </c>
      <c r="B3525" s="6">
        <v>46204</v>
      </c>
      <c r="C3525" s="8">
        <v>46220</v>
      </c>
      <c r="D3525" s="2" t="s">
        <v>7433</v>
      </c>
      <c r="E3525" s="2" t="s">
        <v>260</v>
      </c>
      <c r="F3525" s="2" t="s">
        <v>16703</v>
      </c>
      <c r="G3525" s="2" t="s">
        <v>8810</v>
      </c>
      <c r="H3525" s="2" t="s">
        <v>76</v>
      </c>
      <c r="I3525" s="9">
        <v>143121984</v>
      </c>
      <c r="J3525" s="7">
        <v>6.2000000000000003E-5</v>
      </c>
      <c r="K3525" s="9">
        <v>8873.56</v>
      </c>
      <c r="L3525" s="14">
        <v>0</v>
      </c>
      <c r="M3525" s="2" t="s">
        <v>71</v>
      </c>
      <c r="N3525" s="2" t="s">
        <v>16706</v>
      </c>
      <c r="O3525" s="2" t="s">
        <v>8807</v>
      </c>
      <c r="P3525" s="9">
        <v>4.88</v>
      </c>
      <c r="Q3525" s="9">
        <v>8945.1200000000008</v>
      </c>
      <c r="R3525" s="2" t="s">
        <v>16711</v>
      </c>
    </row>
    <row r="3526" spans="1:18" x14ac:dyDescent="0.25">
      <c r="A3526" s="2" t="s">
        <v>8811</v>
      </c>
      <c r="B3526" s="6">
        <v>46174</v>
      </c>
      <c r="C3526" s="8">
        <v>46196</v>
      </c>
      <c r="D3526" s="2" t="s">
        <v>7433</v>
      </c>
      <c r="E3526" s="2" t="s">
        <v>260</v>
      </c>
      <c r="F3526" s="2" t="s">
        <v>16703</v>
      </c>
      <c r="G3526" s="2" t="s">
        <v>8813</v>
      </c>
      <c r="H3526" s="2" t="s">
        <v>70</v>
      </c>
      <c r="I3526" s="9">
        <v>9134.0511279999992</v>
      </c>
      <c r="J3526" s="7">
        <v>0.66500000000000004</v>
      </c>
      <c r="K3526" s="9">
        <v>6074.14</v>
      </c>
      <c r="L3526" s="14">
        <v>0</v>
      </c>
      <c r="M3526" s="2" t="s">
        <v>71</v>
      </c>
      <c r="N3526" s="2" t="s">
        <v>16704</v>
      </c>
      <c r="O3526" s="2" t="s">
        <v>8812</v>
      </c>
      <c r="P3526" s="9">
        <v>3.34</v>
      </c>
      <c r="Q3526" s="9">
        <v>6074.14</v>
      </c>
      <c r="R3526" s="2" t="s">
        <v>16710</v>
      </c>
    </row>
    <row r="3527" spans="1:18" x14ac:dyDescent="0.25">
      <c r="A3527" s="2" t="s">
        <v>8814</v>
      </c>
      <c r="B3527" s="6">
        <v>46204</v>
      </c>
      <c r="C3527" s="8">
        <v>46221</v>
      </c>
      <c r="D3527" s="2" t="s">
        <v>7433</v>
      </c>
      <c r="E3527" s="2" t="s">
        <v>260</v>
      </c>
      <c r="F3527" s="2" t="s">
        <v>16703</v>
      </c>
      <c r="G3527" s="2" t="s">
        <v>8815</v>
      </c>
      <c r="H3527" s="2" t="s">
        <v>70</v>
      </c>
      <c r="I3527" s="9">
        <v>13701.076692000001</v>
      </c>
      <c r="J3527" s="7">
        <v>0.65800000000000003</v>
      </c>
      <c r="K3527" s="9">
        <v>9015.31</v>
      </c>
      <c r="L3527" s="14">
        <v>0</v>
      </c>
      <c r="M3527" s="2" t="s">
        <v>71</v>
      </c>
      <c r="N3527" s="2" t="s">
        <v>16706</v>
      </c>
      <c r="O3527" s="2" t="s">
        <v>8812</v>
      </c>
      <c r="P3527" s="9">
        <v>4.96</v>
      </c>
      <c r="Q3527" s="9">
        <v>9111.2199999999993</v>
      </c>
      <c r="R3527" s="2" t="s">
        <v>16711</v>
      </c>
    </row>
    <row r="3528" spans="1:18" x14ac:dyDescent="0.25">
      <c r="A3528" s="2" t="s">
        <v>8816</v>
      </c>
      <c r="B3528" s="6">
        <v>46174</v>
      </c>
      <c r="C3528" s="8">
        <v>46197</v>
      </c>
      <c r="D3528" s="2" t="s">
        <v>7433</v>
      </c>
      <c r="E3528" s="2" t="s">
        <v>260</v>
      </c>
      <c r="F3528" s="2" t="s">
        <v>16703</v>
      </c>
      <c r="G3528" s="2" t="s">
        <v>8818</v>
      </c>
      <c r="H3528" s="2" t="s">
        <v>39</v>
      </c>
      <c r="I3528" s="9">
        <v>6184.8720000000003</v>
      </c>
      <c r="J3528" s="7">
        <v>1</v>
      </c>
      <c r="K3528" s="9">
        <v>6184.87</v>
      </c>
      <c r="L3528" s="14">
        <v>0</v>
      </c>
      <c r="M3528" s="2" t="s">
        <v>71</v>
      </c>
      <c r="N3528" s="2" t="s">
        <v>16704</v>
      </c>
      <c r="O3528" s="2" t="s">
        <v>8817</v>
      </c>
      <c r="P3528" s="9">
        <v>3.4</v>
      </c>
      <c r="Q3528" s="9">
        <v>6184.87</v>
      </c>
      <c r="R3528" s="2" t="s">
        <v>16710</v>
      </c>
    </row>
    <row r="3529" spans="1:18" x14ac:dyDescent="0.25">
      <c r="A3529" s="2" t="s">
        <v>8819</v>
      </c>
      <c r="B3529" s="6">
        <v>46204</v>
      </c>
      <c r="C3529" s="8">
        <v>46222</v>
      </c>
      <c r="D3529" s="2" t="s">
        <v>7433</v>
      </c>
      <c r="E3529" s="2" t="s">
        <v>260</v>
      </c>
      <c r="F3529" s="2" t="s">
        <v>16703</v>
      </c>
      <c r="G3529" s="2" t="s">
        <v>8820</v>
      </c>
      <c r="H3529" s="2" t="s">
        <v>39</v>
      </c>
      <c r="I3529" s="9">
        <v>9277.3080000000009</v>
      </c>
      <c r="J3529" s="7">
        <v>1</v>
      </c>
      <c r="K3529" s="9">
        <v>9277.31</v>
      </c>
      <c r="L3529" s="14">
        <v>0</v>
      </c>
      <c r="M3529" s="2" t="s">
        <v>71</v>
      </c>
      <c r="N3529" s="2" t="s">
        <v>16706</v>
      </c>
      <c r="O3529" s="2" t="s">
        <v>8817</v>
      </c>
      <c r="P3529" s="9">
        <v>5.0999999999999996</v>
      </c>
      <c r="Q3529" s="9">
        <v>9277.31</v>
      </c>
      <c r="R3529" s="2" t="s">
        <v>16711</v>
      </c>
    </row>
    <row r="3530" spans="1:18" x14ac:dyDescent="0.25">
      <c r="A3530" s="2" t="s">
        <v>8821</v>
      </c>
      <c r="B3530" s="6">
        <v>46174</v>
      </c>
      <c r="C3530" s="8">
        <v>46198</v>
      </c>
      <c r="D3530" s="2" t="s">
        <v>7433</v>
      </c>
      <c r="E3530" s="2" t="s">
        <v>260</v>
      </c>
      <c r="F3530" s="2" t="s">
        <v>16703</v>
      </c>
      <c r="G3530" s="2" t="s">
        <v>8823</v>
      </c>
      <c r="H3530" s="2" t="s">
        <v>76</v>
      </c>
      <c r="I3530" s="9">
        <v>100729536</v>
      </c>
      <c r="J3530" s="7">
        <v>6.2500000000000001E-5</v>
      </c>
      <c r="K3530" s="9">
        <v>6295.6</v>
      </c>
      <c r="L3530" s="14">
        <v>0</v>
      </c>
      <c r="M3530" s="2" t="s">
        <v>71</v>
      </c>
      <c r="N3530" s="2" t="s">
        <v>16704</v>
      </c>
      <c r="O3530" s="2" t="s">
        <v>8822</v>
      </c>
      <c r="P3530" s="9">
        <v>3.46</v>
      </c>
      <c r="Q3530" s="9">
        <v>6295.6</v>
      </c>
      <c r="R3530" s="2" t="s">
        <v>16710</v>
      </c>
    </row>
    <row r="3531" spans="1:18" x14ac:dyDescent="0.25">
      <c r="A3531" s="2" t="s">
        <v>8824</v>
      </c>
      <c r="B3531" s="6">
        <v>46204</v>
      </c>
      <c r="C3531" s="8">
        <v>46223</v>
      </c>
      <c r="D3531" s="2" t="s">
        <v>7433</v>
      </c>
      <c r="E3531" s="2" t="s">
        <v>260</v>
      </c>
      <c r="F3531" s="2" t="s">
        <v>16703</v>
      </c>
      <c r="G3531" s="2" t="s">
        <v>8825</v>
      </c>
      <c r="H3531" s="2" t="s">
        <v>76</v>
      </c>
      <c r="I3531" s="9">
        <v>151094304</v>
      </c>
      <c r="J3531" s="7">
        <v>6.2000000000000003E-5</v>
      </c>
      <c r="K3531" s="9">
        <v>9367.85</v>
      </c>
      <c r="L3531" s="14">
        <v>0</v>
      </c>
      <c r="M3531" s="2" t="s">
        <v>71</v>
      </c>
      <c r="N3531" s="2" t="s">
        <v>16706</v>
      </c>
      <c r="O3531" s="2" t="s">
        <v>8822</v>
      </c>
      <c r="P3531" s="9">
        <v>5.15</v>
      </c>
      <c r="Q3531" s="9">
        <v>9443.39</v>
      </c>
      <c r="R3531" s="2" t="s">
        <v>16711</v>
      </c>
    </row>
    <row r="3532" spans="1:18" x14ac:dyDescent="0.25">
      <c r="A3532" s="2" t="s">
        <v>8826</v>
      </c>
      <c r="B3532" s="6">
        <v>46174</v>
      </c>
      <c r="C3532" s="8">
        <v>46199</v>
      </c>
      <c r="D3532" s="2" t="s">
        <v>7433</v>
      </c>
      <c r="E3532" s="2" t="s">
        <v>260</v>
      </c>
      <c r="F3532" s="2" t="s">
        <v>16703</v>
      </c>
      <c r="G3532" s="2" t="s">
        <v>8828</v>
      </c>
      <c r="H3532" s="2" t="s">
        <v>70</v>
      </c>
      <c r="I3532" s="9">
        <v>9633.5699249999998</v>
      </c>
      <c r="J3532" s="7">
        <v>0.66500000000000004</v>
      </c>
      <c r="K3532" s="9">
        <v>6406.32</v>
      </c>
      <c r="L3532" s="14">
        <v>0</v>
      </c>
      <c r="M3532" s="2" t="s">
        <v>71</v>
      </c>
      <c r="N3532" s="2" t="s">
        <v>16704</v>
      </c>
      <c r="O3532" s="2" t="s">
        <v>8827</v>
      </c>
      <c r="P3532" s="9">
        <v>3.52</v>
      </c>
      <c r="Q3532" s="9">
        <v>6406.32</v>
      </c>
      <c r="R3532" s="2" t="s">
        <v>16710</v>
      </c>
    </row>
    <row r="3533" spans="1:18" x14ac:dyDescent="0.25">
      <c r="A3533" s="2" t="s">
        <v>8829</v>
      </c>
      <c r="B3533" s="6">
        <v>46204</v>
      </c>
      <c r="C3533" s="8">
        <v>46224</v>
      </c>
      <c r="D3533" s="2" t="s">
        <v>7433</v>
      </c>
      <c r="E3533" s="2" t="s">
        <v>260</v>
      </c>
      <c r="F3533" s="2" t="s">
        <v>16703</v>
      </c>
      <c r="G3533" s="2" t="s">
        <v>8830</v>
      </c>
      <c r="H3533" s="2" t="s">
        <v>70</v>
      </c>
      <c r="I3533" s="9">
        <v>14450.354887</v>
      </c>
      <c r="J3533" s="7">
        <v>0.65800000000000003</v>
      </c>
      <c r="K3533" s="9">
        <v>9508.33</v>
      </c>
      <c r="L3533" s="14">
        <v>0</v>
      </c>
      <c r="M3533" s="2" t="s">
        <v>71</v>
      </c>
      <c r="N3533" s="2" t="s">
        <v>16706</v>
      </c>
      <c r="O3533" s="2" t="s">
        <v>8827</v>
      </c>
      <c r="P3533" s="9">
        <v>5.23</v>
      </c>
      <c r="Q3533" s="9">
        <v>9609.49</v>
      </c>
      <c r="R3533" s="2" t="s">
        <v>16711</v>
      </c>
    </row>
    <row r="3534" spans="1:18" x14ac:dyDescent="0.25">
      <c r="A3534" s="2" t="s">
        <v>8831</v>
      </c>
      <c r="B3534" s="6">
        <v>46174</v>
      </c>
      <c r="C3534" s="8">
        <v>46200</v>
      </c>
      <c r="D3534" s="2" t="s">
        <v>7433</v>
      </c>
      <c r="E3534" s="2" t="s">
        <v>260</v>
      </c>
      <c r="F3534" s="2" t="s">
        <v>16703</v>
      </c>
      <c r="G3534" s="2" t="s">
        <v>8833</v>
      </c>
      <c r="H3534" s="2" t="s">
        <v>39</v>
      </c>
      <c r="I3534" s="9">
        <v>6517.0479999999998</v>
      </c>
      <c r="J3534" s="7">
        <v>1</v>
      </c>
      <c r="K3534" s="9">
        <v>6517.05</v>
      </c>
      <c r="L3534" s="14">
        <v>0</v>
      </c>
      <c r="M3534" s="2" t="s">
        <v>71</v>
      </c>
      <c r="N3534" s="2" t="s">
        <v>16704</v>
      </c>
      <c r="O3534" s="2" t="s">
        <v>8832</v>
      </c>
      <c r="P3534" s="9">
        <v>3.58</v>
      </c>
      <c r="Q3534" s="9">
        <v>6517.05</v>
      </c>
      <c r="R3534" s="2" t="s">
        <v>16710</v>
      </c>
    </row>
    <row r="3535" spans="1:18" x14ac:dyDescent="0.25">
      <c r="A3535" s="2" t="s">
        <v>8834</v>
      </c>
      <c r="B3535" s="6">
        <v>46204</v>
      </c>
      <c r="C3535" s="8">
        <v>46225</v>
      </c>
      <c r="D3535" s="2" t="s">
        <v>7433</v>
      </c>
      <c r="E3535" s="2" t="s">
        <v>260</v>
      </c>
      <c r="F3535" s="2" t="s">
        <v>16703</v>
      </c>
      <c r="G3535" s="2" t="s">
        <v>8835</v>
      </c>
      <c r="H3535" s="2" t="s">
        <v>39</v>
      </c>
      <c r="I3535" s="9">
        <v>9775.5720000000001</v>
      </c>
      <c r="J3535" s="7">
        <v>1</v>
      </c>
      <c r="K3535" s="9">
        <v>9775.57</v>
      </c>
      <c r="L3535" s="14">
        <v>0</v>
      </c>
      <c r="M3535" s="2" t="s">
        <v>71</v>
      </c>
      <c r="N3535" s="2" t="s">
        <v>16706</v>
      </c>
      <c r="O3535" s="2" t="s">
        <v>8832</v>
      </c>
      <c r="P3535" s="9">
        <v>5.38</v>
      </c>
      <c r="Q3535" s="9">
        <v>9775.57</v>
      </c>
      <c r="R3535" s="2" t="s">
        <v>16711</v>
      </c>
    </row>
    <row r="3536" spans="1:18" x14ac:dyDescent="0.25">
      <c r="A3536" s="2" t="s">
        <v>8836</v>
      </c>
      <c r="B3536" s="6">
        <v>46174</v>
      </c>
      <c r="C3536" s="8">
        <v>46201</v>
      </c>
      <c r="D3536" s="2" t="s">
        <v>7433</v>
      </c>
      <c r="E3536" s="2" t="s">
        <v>260</v>
      </c>
      <c r="F3536" s="2" t="s">
        <v>16703</v>
      </c>
      <c r="G3536" s="2" t="s">
        <v>8838</v>
      </c>
      <c r="H3536" s="2" t="s">
        <v>76</v>
      </c>
      <c r="I3536" s="9">
        <v>106044416</v>
      </c>
      <c r="J3536" s="7">
        <v>6.2500000000000001E-5</v>
      </c>
      <c r="K3536" s="9">
        <v>6627.78</v>
      </c>
      <c r="L3536" s="14">
        <v>0</v>
      </c>
      <c r="M3536" s="2" t="s">
        <v>71</v>
      </c>
      <c r="N3536" s="2" t="s">
        <v>16704</v>
      </c>
      <c r="O3536" s="2" t="s">
        <v>8837</v>
      </c>
      <c r="P3536" s="9">
        <v>3.65</v>
      </c>
      <c r="Q3536" s="9">
        <v>6627.78</v>
      </c>
      <c r="R3536" s="2" t="s">
        <v>16710</v>
      </c>
    </row>
    <row r="3537" spans="1:18" x14ac:dyDescent="0.25">
      <c r="A3537" s="2" t="s">
        <v>8839</v>
      </c>
      <c r="B3537" s="6">
        <v>46204</v>
      </c>
      <c r="C3537" s="8">
        <v>46226</v>
      </c>
      <c r="D3537" s="2" t="s">
        <v>7433</v>
      </c>
      <c r="E3537" s="2" t="s">
        <v>260</v>
      </c>
      <c r="F3537" s="2" t="s">
        <v>16703</v>
      </c>
      <c r="G3537" s="2" t="s">
        <v>8840</v>
      </c>
      <c r="H3537" s="2" t="s">
        <v>76</v>
      </c>
      <c r="I3537" s="9">
        <v>159066624</v>
      </c>
      <c r="J3537" s="7">
        <v>6.2000000000000003E-5</v>
      </c>
      <c r="K3537" s="9">
        <v>9862.1299999999992</v>
      </c>
      <c r="L3537" s="14">
        <v>0</v>
      </c>
      <c r="M3537" s="2" t="s">
        <v>71</v>
      </c>
      <c r="N3537" s="2" t="s">
        <v>16706</v>
      </c>
      <c r="O3537" s="2" t="s">
        <v>8837</v>
      </c>
      <c r="P3537" s="9">
        <v>5.42</v>
      </c>
      <c r="Q3537" s="9">
        <v>9941.66</v>
      </c>
      <c r="R3537" s="2" t="s">
        <v>16711</v>
      </c>
    </row>
    <row r="3538" spans="1:18" x14ac:dyDescent="0.25">
      <c r="A3538" s="2" t="s">
        <v>8841</v>
      </c>
      <c r="B3538" s="6">
        <v>46174</v>
      </c>
      <c r="C3538" s="8">
        <v>46202</v>
      </c>
      <c r="D3538" s="2" t="s">
        <v>7433</v>
      </c>
      <c r="E3538" s="2" t="s">
        <v>260</v>
      </c>
      <c r="F3538" s="2" t="s">
        <v>16703</v>
      </c>
      <c r="G3538" s="2" t="s">
        <v>8843</v>
      </c>
      <c r="H3538" s="2" t="s">
        <v>70</v>
      </c>
      <c r="I3538" s="9">
        <v>10133.088722</v>
      </c>
      <c r="J3538" s="7">
        <v>0.66500000000000004</v>
      </c>
      <c r="K3538" s="9">
        <v>6738.5</v>
      </c>
      <c r="L3538" s="14">
        <v>0</v>
      </c>
      <c r="M3538" s="2" t="s">
        <v>71</v>
      </c>
      <c r="N3538" s="2" t="s">
        <v>16704</v>
      </c>
      <c r="O3538" s="2" t="s">
        <v>8842</v>
      </c>
      <c r="P3538" s="9">
        <v>3.71</v>
      </c>
      <c r="Q3538" s="9">
        <v>6738.5</v>
      </c>
      <c r="R3538" s="2" t="s">
        <v>16710</v>
      </c>
    </row>
    <row r="3539" spans="1:18" x14ac:dyDescent="0.25">
      <c r="A3539" s="2" t="s">
        <v>8844</v>
      </c>
      <c r="B3539" s="6">
        <v>46204</v>
      </c>
      <c r="C3539" s="8">
        <v>46227</v>
      </c>
      <c r="D3539" s="2" t="s">
        <v>7433</v>
      </c>
      <c r="E3539" s="2" t="s">
        <v>260</v>
      </c>
      <c r="F3539" s="2" t="s">
        <v>16703</v>
      </c>
      <c r="G3539" s="2" t="s">
        <v>8845</v>
      </c>
      <c r="H3539" s="2" t="s">
        <v>70</v>
      </c>
      <c r="I3539" s="9">
        <v>15199.633083000001</v>
      </c>
      <c r="J3539" s="7">
        <v>0.65800000000000003</v>
      </c>
      <c r="K3539" s="9">
        <v>10001.36</v>
      </c>
      <c r="L3539" s="14">
        <v>0</v>
      </c>
      <c r="M3539" s="2" t="s">
        <v>71</v>
      </c>
      <c r="N3539" s="2" t="s">
        <v>16706</v>
      </c>
      <c r="O3539" s="2" t="s">
        <v>8842</v>
      </c>
      <c r="P3539" s="9">
        <v>5.5</v>
      </c>
      <c r="Q3539" s="9">
        <v>10107.76</v>
      </c>
      <c r="R3539" s="2" t="s">
        <v>16711</v>
      </c>
    </row>
    <row r="3540" spans="1:18" x14ac:dyDescent="0.25">
      <c r="A3540" s="2" t="s">
        <v>8846</v>
      </c>
      <c r="B3540" s="6">
        <v>46174</v>
      </c>
      <c r="C3540" s="8">
        <v>46203</v>
      </c>
      <c r="D3540" s="2" t="s">
        <v>7433</v>
      </c>
      <c r="E3540" s="2" t="s">
        <v>260</v>
      </c>
      <c r="F3540" s="2" t="s">
        <v>16703</v>
      </c>
      <c r="G3540" s="2" t="s">
        <v>8848</v>
      </c>
      <c r="H3540" s="2" t="s">
        <v>39</v>
      </c>
      <c r="I3540" s="9">
        <v>6849.2280000000001</v>
      </c>
      <c r="J3540" s="7">
        <v>1</v>
      </c>
      <c r="K3540" s="9">
        <v>6849.23</v>
      </c>
      <c r="L3540" s="14">
        <v>0</v>
      </c>
      <c r="M3540" s="2" t="s">
        <v>71</v>
      </c>
      <c r="N3540" s="2" t="s">
        <v>16704</v>
      </c>
      <c r="O3540" s="2" t="s">
        <v>8847</v>
      </c>
      <c r="P3540" s="9">
        <v>3.77</v>
      </c>
      <c r="Q3540" s="9">
        <v>6849.23</v>
      </c>
      <c r="R3540" s="2" t="s">
        <v>16710</v>
      </c>
    </row>
    <row r="3541" spans="1:18" x14ac:dyDescent="0.25">
      <c r="A3541" s="2" t="s">
        <v>8849</v>
      </c>
      <c r="B3541" s="6">
        <v>46204</v>
      </c>
      <c r="C3541" s="8">
        <v>46228</v>
      </c>
      <c r="D3541" s="2" t="s">
        <v>7433</v>
      </c>
      <c r="E3541" s="2" t="s">
        <v>260</v>
      </c>
      <c r="F3541" s="2" t="s">
        <v>16703</v>
      </c>
      <c r="G3541" s="2" t="s">
        <v>8850</v>
      </c>
      <c r="H3541" s="2" t="s">
        <v>39</v>
      </c>
      <c r="I3541" s="9">
        <v>10273.842000000001</v>
      </c>
      <c r="J3541" s="7">
        <v>1</v>
      </c>
      <c r="K3541" s="9">
        <v>10273.84</v>
      </c>
      <c r="L3541" s="14">
        <v>0</v>
      </c>
      <c r="M3541" s="2" t="s">
        <v>71</v>
      </c>
      <c r="N3541" s="2" t="s">
        <v>16706</v>
      </c>
      <c r="O3541" s="2" t="s">
        <v>8847</v>
      </c>
      <c r="P3541" s="9">
        <v>5.65</v>
      </c>
      <c r="Q3541" s="9">
        <v>10273.84</v>
      </c>
      <c r="R3541" s="2" t="s">
        <v>16711</v>
      </c>
    </row>
    <row r="3542" spans="1:18" x14ac:dyDescent="0.25">
      <c r="A3542" s="2" t="s">
        <v>8851</v>
      </c>
      <c r="B3542" s="6">
        <v>46204</v>
      </c>
      <c r="C3542" s="8">
        <v>46204</v>
      </c>
      <c r="D3542" s="2" t="s">
        <v>7433</v>
      </c>
      <c r="E3542" s="2" t="s">
        <v>260</v>
      </c>
      <c r="F3542" s="2" t="s">
        <v>16703</v>
      </c>
      <c r="G3542" s="2" t="s">
        <v>8853</v>
      </c>
      <c r="H3542" s="2" t="s">
        <v>76</v>
      </c>
      <c r="I3542" s="9">
        <v>-278398240</v>
      </c>
      <c r="J3542" s="7">
        <v>6.2000000000000003E-5</v>
      </c>
      <c r="K3542" s="9">
        <v>-17260.689999999999</v>
      </c>
      <c r="L3542" s="14">
        <v>0</v>
      </c>
      <c r="M3542" s="2" t="s">
        <v>71</v>
      </c>
      <c r="N3542" s="2" t="s">
        <v>16706</v>
      </c>
      <c r="O3542" s="2" t="s">
        <v>8852</v>
      </c>
      <c r="P3542" s="9">
        <v>0</v>
      </c>
      <c r="Q3542" s="9">
        <v>-17399.89</v>
      </c>
      <c r="R3542" s="2" t="s">
        <v>16711</v>
      </c>
    </row>
    <row r="3543" spans="1:18" x14ac:dyDescent="0.25">
      <c r="A3543" s="2" t="s">
        <v>8854</v>
      </c>
      <c r="B3543" s="6">
        <v>46204</v>
      </c>
      <c r="C3543" s="8">
        <v>46205</v>
      </c>
      <c r="D3543" s="2" t="s">
        <v>7433</v>
      </c>
      <c r="E3543" s="2" t="s">
        <v>260</v>
      </c>
      <c r="F3543" s="2" t="s">
        <v>16703</v>
      </c>
      <c r="G3543" s="2" t="s">
        <v>8856</v>
      </c>
      <c r="H3543" s="2" t="s">
        <v>70</v>
      </c>
      <c r="I3543" s="9">
        <v>10632.601504</v>
      </c>
      <c r="J3543" s="7">
        <v>0.65800000000000003</v>
      </c>
      <c r="K3543" s="9">
        <v>6996.25</v>
      </c>
      <c r="L3543" s="14">
        <v>0</v>
      </c>
      <c r="M3543" s="2" t="s">
        <v>71</v>
      </c>
      <c r="N3543" s="2" t="s">
        <v>16706</v>
      </c>
      <c r="O3543" s="2" t="s">
        <v>8855</v>
      </c>
      <c r="P3543" s="9">
        <v>3.85</v>
      </c>
      <c r="Q3543" s="9">
        <v>7070.68</v>
      </c>
      <c r="R3543" s="2" t="s">
        <v>16711</v>
      </c>
    </row>
    <row r="3544" spans="1:18" x14ac:dyDescent="0.25">
      <c r="A3544" s="2" t="s">
        <v>8857</v>
      </c>
      <c r="B3544" s="6">
        <v>46204</v>
      </c>
      <c r="C3544" s="8">
        <v>46230</v>
      </c>
      <c r="D3544" s="2" t="s">
        <v>7433</v>
      </c>
      <c r="E3544" s="2" t="s">
        <v>260</v>
      </c>
      <c r="F3544" s="2" t="s">
        <v>16703</v>
      </c>
      <c r="G3544" s="2" t="s">
        <v>8858</v>
      </c>
      <c r="H3544" s="2" t="s">
        <v>70</v>
      </c>
      <c r="I3544" s="9">
        <v>15948.902255000001</v>
      </c>
      <c r="J3544" s="7">
        <v>0.65800000000000003</v>
      </c>
      <c r="K3544" s="9">
        <v>10494.38</v>
      </c>
      <c r="L3544" s="14">
        <v>0</v>
      </c>
      <c r="M3544" s="2" t="s">
        <v>71</v>
      </c>
      <c r="N3544" s="2" t="s">
        <v>16706</v>
      </c>
      <c r="O3544" s="2" t="s">
        <v>8855</v>
      </c>
      <c r="P3544" s="9">
        <v>5.77</v>
      </c>
      <c r="Q3544" s="9">
        <v>10606.02</v>
      </c>
      <c r="R3544" s="2" t="s">
        <v>16711</v>
      </c>
    </row>
    <row r="3545" spans="1:18" x14ac:dyDescent="0.25">
      <c r="A3545" s="2" t="s">
        <v>8859</v>
      </c>
      <c r="B3545" s="6">
        <v>46204</v>
      </c>
      <c r="C3545" s="8">
        <v>46206</v>
      </c>
      <c r="D3545" s="2" t="s">
        <v>7433</v>
      </c>
      <c r="E3545" s="2" t="s">
        <v>260</v>
      </c>
      <c r="F3545" s="2" t="s">
        <v>16703</v>
      </c>
      <c r="G3545" s="2" t="s">
        <v>8861</v>
      </c>
      <c r="H3545" s="2" t="s">
        <v>39</v>
      </c>
      <c r="I3545" s="9">
        <v>7181.4080000000004</v>
      </c>
      <c r="J3545" s="7">
        <v>1</v>
      </c>
      <c r="K3545" s="9">
        <v>7181.41</v>
      </c>
      <c r="L3545" s="14">
        <v>0</v>
      </c>
      <c r="M3545" s="2" t="s">
        <v>71</v>
      </c>
      <c r="N3545" s="2" t="s">
        <v>16706</v>
      </c>
      <c r="O3545" s="2" t="s">
        <v>8860</v>
      </c>
      <c r="P3545" s="9">
        <v>3.95</v>
      </c>
      <c r="Q3545" s="9">
        <v>7181.41</v>
      </c>
      <c r="R3545" s="2" t="s">
        <v>16711</v>
      </c>
    </row>
    <row r="3546" spans="1:18" x14ac:dyDescent="0.25">
      <c r="A3546" s="2" t="s">
        <v>8862</v>
      </c>
      <c r="B3546" s="6">
        <v>46204</v>
      </c>
      <c r="C3546" s="8">
        <v>46231</v>
      </c>
      <c r="D3546" s="2" t="s">
        <v>7433</v>
      </c>
      <c r="E3546" s="2" t="s">
        <v>260</v>
      </c>
      <c r="F3546" s="2" t="s">
        <v>16703</v>
      </c>
      <c r="G3546" s="2" t="s">
        <v>8863</v>
      </c>
      <c r="H3546" s="2" t="s">
        <v>39</v>
      </c>
      <c r="I3546" s="9">
        <v>10772.111999999999</v>
      </c>
      <c r="J3546" s="7">
        <v>1</v>
      </c>
      <c r="K3546" s="9">
        <v>10772.11</v>
      </c>
      <c r="L3546" s="14">
        <v>0</v>
      </c>
      <c r="M3546" s="2" t="s">
        <v>71</v>
      </c>
      <c r="N3546" s="2" t="s">
        <v>16706</v>
      </c>
      <c r="O3546" s="2" t="s">
        <v>8860</v>
      </c>
      <c r="P3546" s="9">
        <v>5.92</v>
      </c>
      <c r="Q3546" s="9">
        <v>10772.11</v>
      </c>
      <c r="R3546" s="2" t="s">
        <v>16711</v>
      </c>
    </row>
    <row r="3547" spans="1:18" x14ac:dyDescent="0.25">
      <c r="A3547" s="2" t="s">
        <v>8864</v>
      </c>
      <c r="B3547" s="6">
        <v>46204</v>
      </c>
      <c r="C3547" s="8">
        <v>46207</v>
      </c>
      <c r="D3547" s="2" t="s">
        <v>7433</v>
      </c>
      <c r="E3547" s="2" t="s">
        <v>260</v>
      </c>
      <c r="F3547" s="2" t="s">
        <v>16703</v>
      </c>
      <c r="G3547" s="2" t="s">
        <v>8866</v>
      </c>
      <c r="H3547" s="2" t="s">
        <v>76</v>
      </c>
      <c r="I3547" s="9">
        <v>116674176</v>
      </c>
      <c r="J3547" s="7">
        <v>6.2000000000000003E-5</v>
      </c>
      <c r="K3547" s="9">
        <v>7233.8</v>
      </c>
      <c r="L3547" s="14">
        <v>0</v>
      </c>
      <c r="M3547" s="2" t="s">
        <v>71</v>
      </c>
      <c r="N3547" s="2" t="s">
        <v>16706</v>
      </c>
      <c r="O3547" s="2" t="s">
        <v>8865</v>
      </c>
      <c r="P3547" s="9">
        <v>3.98</v>
      </c>
      <c r="Q3547" s="9">
        <v>7292.14</v>
      </c>
      <c r="R3547" s="2" t="s">
        <v>16711</v>
      </c>
    </row>
    <row r="3548" spans="1:18" x14ac:dyDescent="0.25">
      <c r="A3548" s="2" t="s">
        <v>8867</v>
      </c>
      <c r="B3548" s="6">
        <v>46204</v>
      </c>
      <c r="C3548" s="8">
        <v>46232</v>
      </c>
      <c r="D3548" s="2" t="s">
        <v>7433</v>
      </c>
      <c r="E3548" s="2" t="s">
        <v>260</v>
      </c>
      <c r="F3548" s="2" t="s">
        <v>16703</v>
      </c>
      <c r="G3548" s="2" t="s">
        <v>8868</v>
      </c>
      <c r="H3548" s="2" t="s">
        <v>76</v>
      </c>
      <c r="I3548" s="9">
        <v>175011264</v>
      </c>
      <c r="J3548" s="7">
        <v>6.2000000000000003E-5</v>
      </c>
      <c r="K3548" s="9">
        <v>10850.7</v>
      </c>
      <c r="L3548" s="14">
        <v>0</v>
      </c>
      <c r="M3548" s="2" t="s">
        <v>71</v>
      </c>
      <c r="N3548" s="2" t="s">
        <v>16706</v>
      </c>
      <c r="O3548" s="2" t="s">
        <v>8865</v>
      </c>
      <c r="P3548" s="9">
        <v>5.97</v>
      </c>
      <c r="Q3548" s="9">
        <v>10938.2</v>
      </c>
      <c r="R3548" s="2" t="s">
        <v>16711</v>
      </c>
    </row>
    <row r="3549" spans="1:18" x14ac:dyDescent="0.25">
      <c r="A3549" s="2" t="s">
        <v>8869</v>
      </c>
      <c r="B3549" s="6">
        <v>46204</v>
      </c>
      <c r="C3549" s="8">
        <v>46208</v>
      </c>
      <c r="D3549" s="2" t="s">
        <v>7433</v>
      </c>
      <c r="E3549" s="2" t="s">
        <v>260</v>
      </c>
      <c r="F3549" s="2" t="s">
        <v>16703</v>
      </c>
      <c r="G3549" s="2" t="s">
        <v>8871</v>
      </c>
      <c r="H3549" s="2" t="s">
        <v>70</v>
      </c>
      <c r="I3549" s="9">
        <v>11131.187970000001</v>
      </c>
      <c r="J3549" s="7">
        <v>0.65800000000000003</v>
      </c>
      <c r="K3549" s="9">
        <v>7324.32</v>
      </c>
      <c r="L3549" s="14">
        <v>0</v>
      </c>
      <c r="M3549" s="2" t="s">
        <v>71</v>
      </c>
      <c r="N3549" s="2" t="s">
        <v>16706</v>
      </c>
      <c r="O3549" s="2" t="s">
        <v>8870</v>
      </c>
      <c r="P3549" s="9">
        <v>4.03</v>
      </c>
      <c r="Q3549" s="9">
        <v>7402.24</v>
      </c>
      <c r="R3549" s="2" t="s">
        <v>16711</v>
      </c>
    </row>
    <row r="3550" spans="1:18" x14ac:dyDescent="0.25">
      <c r="A3550" s="2" t="s">
        <v>8872</v>
      </c>
      <c r="B3550" s="6">
        <v>46204</v>
      </c>
      <c r="C3550" s="8">
        <v>46233</v>
      </c>
      <c r="D3550" s="2" t="s">
        <v>7433</v>
      </c>
      <c r="E3550" s="2" t="s">
        <v>260</v>
      </c>
      <c r="F3550" s="2" t="s">
        <v>16703</v>
      </c>
      <c r="G3550" s="2" t="s">
        <v>8873</v>
      </c>
      <c r="H3550" s="2" t="s">
        <v>70</v>
      </c>
      <c r="I3550" s="9">
        <v>16696.781954999999</v>
      </c>
      <c r="J3550" s="7">
        <v>0.65800000000000003</v>
      </c>
      <c r="K3550" s="9">
        <v>10986.48</v>
      </c>
      <c r="L3550" s="14">
        <v>0</v>
      </c>
      <c r="M3550" s="2" t="s">
        <v>71</v>
      </c>
      <c r="N3550" s="2" t="s">
        <v>16706</v>
      </c>
      <c r="O3550" s="2" t="s">
        <v>8870</v>
      </c>
      <c r="P3550" s="9">
        <v>6.04</v>
      </c>
      <c r="Q3550" s="9">
        <v>11103.36</v>
      </c>
      <c r="R3550" s="2" t="s">
        <v>16711</v>
      </c>
    </row>
    <row r="3551" spans="1:18" x14ac:dyDescent="0.25">
      <c r="A3551" s="2" t="s">
        <v>8874</v>
      </c>
      <c r="B3551" s="6">
        <v>46204</v>
      </c>
      <c r="C3551" s="8">
        <v>46209</v>
      </c>
      <c r="D3551" s="2" t="s">
        <v>7433</v>
      </c>
      <c r="E3551" s="2" t="s">
        <v>260</v>
      </c>
      <c r="F3551" s="2" t="s">
        <v>16703</v>
      </c>
      <c r="G3551" s="2" t="s">
        <v>8876</v>
      </c>
      <c r="H3551" s="2" t="s">
        <v>39</v>
      </c>
      <c r="I3551" s="9">
        <v>7512.9679999999998</v>
      </c>
      <c r="J3551" s="7">
        <v>1</v>
      </c>
      <c r="K3551" s="9">
        <v>7512.97</v>
      </c>
      <c r="L3551" s="14">
        <v>0</v>
      </c>
      <c r="M3551" s="2" t="s">
        <v>71</v>
      </c>
      <c r="N3551" s="2" t="s">
        <v>16706</v>
      </c>
      <c r="O3551" s="2" t="s">
        <v>8875</v>
      </c>
      <c r="P3551" s="9">
        <v>4.13</v>
      </c>
      <c r="Q3551" s="9">
        <v>7512.97</v>
      </c>
      <c r="R3551" s="2" t="s">
        <v>16711</v>
      </c>
    </row>
    <row r="3552" spans="1:18" x14ac:dyDescent="0.25">
      <c r="A3552" s="2" t="s">
        <v>8877</v>
      </c>
      <c r="B3552" s="6">
        <v>46204</v>
      </c>
      <c r="C3552" s="8">
        <v>46234</v>
      </c>
      <c r="D3552" s="2" t="s">
        <v>7433</v>
      </c>
      <c r="E3552" s="2" t="s">
        <v>260</v>
      </c>
      <c r="F3552" s="2" t="s">
        <v>16703</v>
      </c>
      <c r="G3552" s="2" t="s">
        <v>8878</v>
      </c>
      <c r="H3552" s="2" t="s">
        <v>39</v>
      </c>
      <c r="I3552" s="9">
        <v>11269.451999999999</v>
      </c>
      <c r="J3552" s="7">
        <v>1</v>
      </c>
      <c r="K3552" s="9">
        <v>11269.45</v>
      </c>
      <c r="L3552" s="14">
        <v>0</v>
      </c>
      <c r="M3552" s="2" t="s">
        <v>71</v>
      </c>
      <c r="N3552" s="2" t="s">
        <v>16706</v>
      </c>
      <c r="O3552" s="2" t="s">
        <v>8875</v>
      </c>
      <c r="P3552" s="9">
        <v>6.2</v>
      </c>
      <c r="Q3552" s="9">
        <v>11269.45</v>
      </c>
      <c r="R3552" s="2" t="s">
        <v>16711</v>
      </c>
    </row>
    <row r="3553" spans="1:18" x14ac:dyDescent="0.25">
      <c r="A3553" s="2" t="s">
        <v>8879</v>
      </c>
      <c r="B3553" s="6">
        <v>46204</v>
      </c>
      <c r="C3553" s="8">
        <v>46210</v>
      </c>
      <c r="D3553" s="2" t="s">
        <v>7433</v>
      </c>
      <c r="E3553" s="2" t="s">
        <v>260</v>
      </c>
      <c r="F3553" s="2" t="s">
        <v>16703</v>
      </c>
      <c r="G3553" s="2" t="s">
        <v>8881</v>
      </c>
      <c r="H3553" s="2" t="s">
        <v>76</v>
      </c>
      <c r="I3553" s="9">
        <v>121979072</v>
      </c>
      <c r="J3553" s="7">
        <v>6.2000000000000003E-5</v>
      </c>
      <c r="K3553" s="9">
        <v>7562.7</v>
      </c>
      <c r="L3553" s="14">
        <v>0</v>
      </c>
      <c r="M3553" s="2" t="s">
        <v>71</v>
      </c>
      <c r="N3553" s="2" t="s">
        <v>16706</v>
      </c>
      <c r="O3553" s="2" t="s">
        <v>8880</v>
      </c>
      <c r="P3553" s="9">
        <v>4.16</v>
      </c>
      <c r="Q3553" s="9">
        <v>7623.69</v>
      </c>
      <c r="R3553" s="2" t="s">
        <v>16711</v>
      </c>
    </row>
    <row r="3554" spans="1:18" x14ac:dyDescent="0.25">
      <c r="A3554" s="2" t="s">
        <v>8884</v>
      </c>
      <c r="B3554" s="6">
        <v>46204</v>
      </c>
      <c r="C3554" s="8">
        <v>46211</v>
      </c>
      <c r="D3554" s="2" t="s">
        <v>7433</v>
      </c>
      <c r="E3554" s="2" t="s">
        <v>260</v>
      </c>
      <c r="F3554" s="2" t="s">
        <v>16703</v>
      </c>
      <c r="G3554" s="2" t="s">
        <v>8886</v>
      </c>
      <c r="H3554" s="2" t="s">
        <v>70</v>
      </c>
      <c r="I3554" s="9">
        <v>11630.706767</v>
      </c>
      <c r="J3554" s="7">
        <v>0.65800000000000003</v>
      </c>
      <c r="K3554" s="9">
        <v>7653.01</v>
      </c>
      <c r="L3554" s="14">
        <v>0</v>
      </c>
      <c r="M3554" s="2" t="s">
        <v>71</v>
      </c>
      <c r="N3554" s="2" t="s">
        <v>16706</v>
      </c>
      <c r="O3554" s="2" t="s">
        <v>8885</v>
      </c>
      <c r="P3554" s="9">
        <v>4.21</v>
      </c>
      <c r="Q3554" s="9">
        <v>7734.42</v>
      </c>
      <c r="R3554" s="2" t="s">
        <v>16711</v>
      </c>
    </row>
    <row r="3555" spans="1:18" x14ac:dyDescent="0.25">
      <c r="A3555" s="2" t="s">
        <v>8889</v>
      </c>
      <c r="B3555" s="6">
        <v>46204</v>
      </c>
      <c r="C3555" s="8">
        <v>46212</v>
      </c>
      <c r="D3555" s="2" t="s">
        <v>7433</v>
      </c>
      <c r="E3555" s="2" t="s">
        <v>260</v>
      </c>
      <c r="F3555" s="2" t="s">
        <v>16703</v>
      </c>
      <c r="G3555" s="2" t="s">
        <v>8891</v>
      </c>
      <c r="H3555" s="2" t="s">
        <v>39</v>
      </c>
      <c r="I3555" s="9">
        <v>7845.1440000000002</v>
      </c>
      <c r="J3555" s="7">
        <v>1</v>
      </c>
      <c r="K3555" s="9">
        <v>7845.14</v>
      </c>
      <c r="L3555" s="14">
        <v>0</v>
      </c>
      <c r="M3555" s="2" t="s">
        <v>71</v>
      </c>
      <c r="N3555" s="2" t="s">
        <v>16706</v>
      </c>
      <c r="O3555" s="2" t="s">
        <v>8890</v>
      </c>
      <c r="P3555" s="9">
        <v>4.3099999999999996</v>
      </c>
      <c r="Q3555" s="9">
        <v>7845.14</v>
      </c>
      <c r="R3555" s="2" t="s">
        <v>16711</v>
      </c>
    </row>
    <row r="3556" spans="1:18" x14ac:dyDescent="0.25">
      <c r="A3556" s="2" t="s">
        <v>8894</v>
      </c>
      <c r="B3556" s="6">
        <v>46204</v>
      </c>
      <c r="C3556" s="8">
        <v>46213</v>
      </c>
      <c r="D3556" s="2" t="s">
        <v>7433</v>
      </c>
      <c r="E3556" s="2" t="s">
        <v>260</v>
      </c>
      <c r="F3556" s="2" t="s">
        <v>16703</v>
      </c>
      <c r="G3556" s="2" t="s">
        <v>8896</v>
      </c>
      <c r="H3556" s="2" t="s">
        <v>76</v>
      </c>
      <c r="I3556" s="9">
        <v>127293952</v>
      </c>
      <c r="J3556" s="7">
        <v>6.2000000000000003E-5</v>
      </c>
      <c r="K3556" s="9">
        <v>7892.23</v>
      </c>
      <c r="L3556" s="14">
        <v>0</v>
      </c>
      <c r="M3556" s="2" t="s">
        <v>71</v>
      </c>
      <c r="N3556" s="2" t="s">
        <v>16706</v>
      </c>
      <c r="O3556" s="2" t="s">
        <v>8895</v>
      </c>
      <c r="P3556" s="9">
        <v>4.34</v>
      </c>
      <c r="Q3556" s="9">
        <v>7955.87</v>
      </c>
      <c r="R3556" s="2" t="s">
        <v>16711</v>
      </c>
    </row>
    <row r="3557" spans="1:18" x14ac:dyDescent="0.25">
      <c r="A3557" s="2" t="s">
        <v>8899</v>
      </c>
      <c r="B3557" s="6">
        <v>46204</v>
      </c>
      <c r="C3557" s="8">
        <v>46214</v>
      </c>
      <c r="D3557" s="2" t="s">
        <v>7433</v>
      </c>
      <c r="E3557" s="2" t="s">
        <v>260</v>
      </c>
      <c r="F3557" s="2" t="s">
        <v>16703</v>
      </c>
      <c r="G3557" s="2" t="s">
        <v>8901</v>
      </c>
      <c r="H3557" s="2" t="s">
        <v>70</v>
      </c>
      <c r="I3557" s="9">
        <v>12130.225564</v>
      </c>
      <c r="J3557" s="7">
        <v>0.65800000000000003</v>
      </c>
      <c r="K3557" s="9">
        <v>7981.69</v>
      </c>
      <c r="L3557" s="14">
        <v>0</v>
      </c>
      <c r="M3557" s="2" t="s">
        <v>71</v>
      </c>
      <c r="N3557" s="2" t="s">
        <v>16706</v>
      </c>
      <c r="O3557" s="2" t="s">
        <v>8900</v>
      </c>
      <c r="P3557" s="9">
        <v>4.3899999999999997</v>
      </c>
      <c r="Q3557" s="9">
        <v>8066.6</v>
      </c>
      <c r="R3557" s="2" t="s">
        <v>16711</v>
      </c>
    </row>
    <row r="3558" spans="1:18" x14ac:dyDescent="0.25">
      <c r="A3558" s="2" t="s">
        <v>8904</v>
      </c>
      <c r="B3558" s="6">
        <v>46204</v>
      </c>
      <c r="C3558" s="8">
        <v>46215</v>
      </c>
      <c r="D3558" s="2" t="s">
        <v>7433</v>
      </c>
      <c r="E3558" s="2" t="s">
        <v>260</v>
      </c>
      <c r="F3558" s="2" t="s">
        <v>16703</v>
      </c>
      <c r="G3558" s="2" t="s">
        <v>8906</v>
      </c>
      <c r="H3558" s="2" t="s">
        <v>39</v>
      </c>
      <c r="I3558" s="9">
        <v>8177.3239999999996</v>
      </c>
      <c r="J3558" s="7">
        <v>1</v>
      </c>
      <c r="K3558" s="9">
        <v>8177.32</v>
      </c>
      <c r="L3558" s="14">
        <v>0</v>
      </c>
      <c r="M3558" s="2" t="s">
        <v>71</v>
      </c>
      <c r="N3558" s="2" t="s">
        <v>16706</v>
      </c>
      <c r="O3558" s="2" t="s">
        <v>8905</v>
      </c>
      <c r="P3558" s="9">
        <v>4.5</v>
      </c>
      <c r="Q3558" s="9">
        <v>8177.32</v>
      </c>
      <c r="R3558" s="2" t="s">
        <v>16711</v>
      </c>
    </row>
    <row r="3559" spans="1:18" x14ac:dyDescent="0.25">
      <c r="A3559" s="2" t="s">
        <v>8909</v>
      </c>
      <c r="B3559" s="6">
        <v>46204</v>
      </c>
      <c r="C3559" s="8">
        <v>46216</v>
      </c>
      <c r="D3559" s="2" t="s">
        <v>7433</v>
      </c>
      <c r="E3559" s="2" t="s">
        <v>260</v>
      </c>
      <c r="F3559" s="2" t="s">
        <v>16703</v>
      </c>
      <c r="G3559" s="2" t="s">
        <v>8911</v>
      </c>
      <c r="H3559" s="2" t="s">
        <v>76</v>
      </c>
      <c r="I3559" s="9">
        <v>132608832</v>
      </c>
      <c r="J3559" s="7">
        <v>6.2000000000000003E-5</v>
      </c>
      <c r="K3559" s="9">
        <v>8221.75</v>
      </c>
      <c r="L3559" s="14">
        <v>0</v>
      </c>
      <c r="M3559" s="2" t="s">
        <v>71</v>
      </c>
      <c r="N3559" s="2" t="s">
        <v>16706</v>
      </c>
      <c r="O3559" s="2" t="s">
        <v>8910</v>
      </c>
      <c r="P3559" s="9">
        <v>4.5199999999999996</v>
      </c>
      <c r="Q3559" s="9">
        <v>8288.0499999999993</v>
      </c>
      <c r="R3559" s="2" t="s">
        <v>16711</v>
      </c>
    </row>
    <row r="3560" spans="1:18" x14ac:dyDescent="0.25">
      <c r="A3560" s="2" t="s">
        <v>8914</v>
      </c>
      <c r="B3560" s="6">
        <v>46204</v>
      </c>
      <c r="C3560" s="8">
        <v>46217</v>
      </c>
      <c r="D3560" s="2" t="s">
        <v>7433</v>
      </c>
      <c r="E3560" s="2" t="s">
        <v>260</v>
      </c>
      <c r="F3560" s="2" t="s">
        <v>16703</v>
      </c>
      <c r="G3560" s="2" t="s">
        <v>8916</v>
      </c>
      <c r="H3560" s="2" t="s">
        <v>70</v>
      </c>
      <c r="I3560" s="9">
        <v>12629.738346</v>
      </c>
      <c r="J3560" s="7">
        <v>0.65800000000000003</v>
      </c>
      <c r="K3560" s="9">
        <v>8310.3700000000008</v>
      </c>
      <c r="L3560" s="14">
        <v>0</v>
      </c>
      <c r="M3560" s="2" t="s">
        <v>71</v>
      </c>
      <c r="N3560" s="2" t="s">
        <v>16706</v>
      </c>
      <c r="O3560" s="2" t="s">
        <v>8915</v>
      </c>
      <c r="P3560" s="9">
        <v>4.57</v>
      </c>
      <c r="Q3560" s="9">
        <v>8398.7800000000007</v>
      </c>
      <c r="R3560" s="2" t="s">
        <v>16711</v>
      </c>
    </row>
    <row r="3561" spans="1:18" x14ac:dyDescent="0.25">
      <c r="A3561" s="2" t="s">
        <v>8919</v>
      </c>
      <c r="B3561" s="6">
        <v>46174</v>
      </c>
      <c r="C3561" s="8">
        <v>46188</v>
      </c>
      <c r="D3561" s="2" t="s">
        <v>7433</v>
      </c>
      <c r="E3561" s="2" t="s">
        <v>260</v>
      </c>
      <c r="F3561" s="2" t="s">
        <v>16703</v>
      </c>
      <c r="G3561" s="2" t="s">
        <v>8921</v>
      </c>
      <c r="H3561" s="2" t="s">
        <v>39</v>
      </c>
      <c r="I3561" s="9">
        <v>8509.5040000000008</v>
      </c>
      <c r="J3561" s="7">
        <v>1</v>
      </c>
      <c r="K3561" s="9">
        <v>8509.5</v>
      </c>
      <c r="L3561" s="14">
        <v>0</v>
      </c>
      <c r="M3561" s="2" t="s">
        <v>71</v>
      </c>
      <c r="N3561" s="2" t="s">
        <v>16704</v>
      </c>
      <c r="O3561" s="2" t="s">
        <v>8920</v>
      </c>
      <c r="P3561" s="9">
        <v>4.68</v>
      </c>
      <c r="Q3561" s="9">
        <v>8509.5</v>
      </c>
      <c r="R3561" s="2" t="s">
        <v>16710</v>
      </c>
    </row>
    <row r="3562" spans="1:18" x14ac:dyDescent="0.25">
      <c r="A3562" s="2" t="s">
        <v>8922</v>
      </c>
      <c r="B3562" s="6">
        <v>46204</v>
      </c>
      <c r="C3562" s="8">
        <v>46213</v>
      </c>
      <c r="D3562" s="2" t="s">
        <v>7433</v>
      </c>
      <c r="E3562" s="2" t="s">
        <v>260</v>
      </c>
      <c r="F3562" s="2" t="s">
        <v>16703</v>
      </c>
      <c r="G3562" s="2" t="s">
        <v>8923</v>
      </c>
      <c r="H3562" s="2" t="s">
        <v>39</v>
      </c>
      <c r="I3562" s="9">
        <v>12764.255999999999</v>
      </c>
      <c r="J3562" s="7">
        <v>1</v>
      </c>
      <c r="K3562" s="9">
        <v>12764.26</v>
      </c>
      <c r="L3562" s="14">
        <v>0</v>
      </c>
      <c r="M3562" s="2" t="s">
        <v>71</v>
      </c>
      <c r="N3562" s="2" t="s">
        <v>16706</v>
      </c>
      <c r="O3562" s="2" t="s">
        <v>8920</v>
      </c>
      <c r="P3562" s="9">
        <v>7.02</v>
      </c>
      <c r="Q3562" s="9">
        <v>12764.26</v>
      </c>
      <c r="R3562" s="2" t="s">
        <v>16711</v>
      </c>
    </row>
    <row r="3563" spans="1:18" x14ac:dyDescent="0.25">
      <c r="A3563" s="2" t="s">
        <v>8924</v>
      </c>
      <c r="B3563" s="6">
        <v>46174</v>
      </c>
      <c r="C3563" s="8">
        <v>46189</v>
      </c>
      <c r="D3563" s="2" t="s">
        <v>7433</v>
      </c>
      <c r="E3563" s="2" t="s">
        <v>260</v>
      </c>
      <c r="F3563" s="2" t="s">
        <v>16703</v>
      </c>
      <c r="G3563" s="2" t="s">
        <v>8926</v>
      </c>
      <c r="H3563" s="2" t="s">
        <v>76</v>
      </c>
      <c r="I3563" s="9">
        <v>137923712</v>
      </c>
      <c r="J3563" s="7">
        <v>6.2500000000000001E-5</v>
      </c>
      <c r="K3563" s="9">
        <v>8620.23</v>
      </c>
      <c r="L3563" s="14">
        <v>0</v>
      </c>
      <c r="M3563" s="2" t="s">
        <v>71</v>
      </c>
      <c r="N3563" s="2" t="s">
        <v>16704</v>
      </c>
      <c r="O3563" s="2" t="s">
        <v>8925</v>
      </c>
      <c r="P3563" s="9">
        <v>4.74</v>
      </c>
      <c r="Q3563" s="9">
        <v>8620.23</v>
      </c>
      <c r="R3563" s="2" t="s">
        <v>16710</v>
      </c>
    </row>
    <row r="3564" spans="1:18" x14ac:dyDescent="0.25">
      <c r="A3564" s="2" t="s">
        <v>8927</v>
      </c>
      <c r="B3564" s="6">
        <v>46204</v>
      </c>
      <c r="C3564" s="8">
        <v>46214</v>
      </c>
      <c r="D3564" s="2" t="s">
        <v>7433</v>
      </c>
      <c r="E3564" s="2" t="s">
        <v>260</v>
      </c>
      <c r="F3564" s="2" t="s">
        <v>16703</v>
      </c>
      <c r="G3564" s="2" t="s">
        <v>8928</v>
      </c>
      <c r="H3564" s="2" t="s">
        <v>76</v>
      </c>
      <c r="I3564" s="9">
        <v>206885568</v>
      </c>
      <c r="J3564" s="7">
        <v>6.2000000000000003E-5</v>
      </c>
      <c r="K3564" s="9">
        <v>12826.91</v>
      </c>
      <c r="L3564" s="14">
        <v>0</v>
      </c>
      <c r="M3564" s="2" t="s">
        <v>71</v>
      </c>
      <c r="N3564" s="2" t="s">
        <v>16706</v>
      </c>
      <c r="O3564" s="2" t="s">
        <v>8925</v>
      </c>
      <c r="P3564" s="9">
        <v>7.05</v>
      </c>
      <c r="Q3564" s="9">
        <v>12930.35</v>
      </c>
      <c r="R3564" s="2" t="s">
        <v>16711</v>
      </c>
    </row>
    <row r="3565" spans="1:18" x14ac:dyDescent="0.25">
      <c r="A3565" s="2" t="s">
        <v>8929</v>
      </c>
      <c r="B3565" s="6">
        <v>46174</v>
      </c>
      <c r="C3565" s="8">
        <v>46190</v>
      </c>
      <c r="D3565" s="2" t="s">
        <v>7433</v>
      </c>
      <c r="E3565" s="2" t="s">
        <v>260</v>
      </c>
      <c r="F3565" s="2" t="s">
        <v>16703</v>
      </c>
      <c r="G3565" s="2" t="s">
        <v>8931</v>
      </c>
      <c r="H3565" s="2" t="s">
        <v>70</v>
      </c>
      <c r="I3565" s="9">
        <v>13129.257143000001</v>
      </c>
      <c r="J3565" s="7">
        <v>0.66500000000000004</v>
      </c>
      <c r="K3565" s="9">
        <v>8730.9599999999991</v>
      </c>
      <c r="L3565" s="14">
        <v>0</v>
      </c>
      <c r="M3565" s="2" t="s">
        <v>71</v>
      </c>
      <c r="N3565" s="2" t="s">
        <v>16704</v>
      </c>
      <c r="O3565" s="2" t="s">
        <v>8930</v>
      </c>
      <c r="P3565" s="9">
        <v>4.8</v>
      </c>
      <c r="Q3565" s="9">
        <v>8730.9599999999991</v>
      </c>
      <c r="R3565" s="2" t="s">
        <v>16710</v>
      </c>
    </row>
    <row r="3566" spans="1:18" x14ac:dyDescent="0.25">
      <c r="A3566" s="2" t="s">
        <v>8932</v>
      </c>
      <c r="B3566" s="6">
        <v>46204</v>
      </c>
      <c r="C3566" s="8">
        <v>46215</v>
      </c>
      <c r="D3566" s="2" t="s">
        <v>7433</v>
      </c>
      <c r="E3566" s="2" t="s">
        <v>260</v>
      </c>
      <c r="F3566" s="2" t="s">
        <v>16703</v>
      </c>
      <c r="G3566" s="2" t="s">
        <v>8933</v>
      </c>
      <c r="H3566" s="2" t="s">
        <v>70</v>
      </c>
      <c r="I3566" s="9">
        <v>19693.885714</v>
      </c>
      <c r="J3566" s="7">
        <v>0.65800000000000003</v>
      </c>
      <c r="K3566" s="9">
        <v>12958.58</v>
      </c>
      <c r="L3566" s="14">
        <v>0</v>
      </c>
      <c r="M3566" s="2" t="s">
        <v>71</v>
      </c>
      <c r="N3566" s="2" t="s">
        <v>16706</v>
      </c>
      <c r="O3566" s="2" t="s">
        <v>8930</v>
      </c>
      <c r="P3566" s="9">
        <v>7.13</v>
      </c>
      <c r="Q3566" s="9">
        <v>13096.43</v>
      </c>
      <c r="R3566" s="2" t="s">
        <v>16711</v>
      </c>
    </row>
    <row r="3567" spans="1:18" x14ac:dyDescent="0.25">
      <c r="A3567" s="2" t="s">
        <v>8934</v>
      </c>
      <c r="B3567" s="6">
        <v>46174</v>
      </c>
      <c r="C3567" s="8">
        <v>46191</v>
      </c>
      <c r="D3567" s="2" t="s">
        <v>7433</v>
      </c>
      <c r="E3567" s="2" t="s">
        <v>260</v>
      </c>
      <c r="F3567" s="2" t="s">
        <v>16703</v>
      </c>
      <c r="G3567" s="2" t="s">
        <v>8936</v>
      </c>
      <c r="H3567" s="2" t="s">
        <v>39</v>
      </c>
      <c r="I3567" s="9">
        <v>8841.6839999999993</v>
      </c>
      <c r="J3567" s="7">
        <v>1</v>
      </c>
      <c r="K3567" s="9">
        <v>8841.68</v>
      </c>
      <c r="L3567" s="14">
        <v>0</v>
      </c>
      <c r="M3567" s="2" t="s">
        <v>71</v>
      </c>
      <c r="N3567" s="2" t="s">
        <v>16704</v>
      </c>
      <c r="O3567" s="2" t="s">
        <v>8935</v>
      </c>
      <c r="P3567" s="9">
        <v>4.8600000000000003</v>
      </c>
      <c r="Q3567" s="9">
        <v>8841.68</v>
      </c>
      <c r="R3567" s="2" t="s">
        <v>16710</v>
      </c>
    </row>
    <row r="3568" spans="1:18" x14ac:dyDescent="0.25">
      <c r="A3568" s="2" t="s">
        <v>8937</v>
      </c>
      <c r="B3568" s="6">
        <v>46204</v>
      </c>
      <c r="C3568" s="8">
        <v>46216</v>
      </c>
      <c r="D3568" s="2" t="s">
        <v>7433</v>
      </c>
      <c r="E3568" s="2" t="s">
        <v>260</v>
      </c>
      <c r="F3568" s="2" t="s">
        <v>16703</v>
      </c>
      <c r="G3568" s="2" t="s">
        <v>8938</v>
      </c>
      <c r="H3568" s="2" t="s">
        <v>39</v>
      </c>
      <c r="I3568" s="9">
        <v>13262.526</v>
      </c>
      <c r="J3568" s="7">
        <v>1</v>
      </c>
      <c r="K3568" s="9">
        <v>13262.53</v>
      </c>
      <c r="L3568" s="14">
        <v>0</v>
      </c>
      <c r="M3568" s="2" t="s">
        <v>71</v>
      </c>
      <c r="N3568" s="2" t="s">
        <v>16706</v>
      </c>
      <c r="O3568" s="2" t="s">
        <v>8935</v>
      </c>
      <c r="P3568" s="9">
        <v>7.29</v>
      </c>
      <c r="Q3568" s="9">
        <v>13262.53</v>
      </c>
      <c r="R3568" s="2" t="s">
        <v>16711</v>
      </c>
    </row>
    <row r="3569" spans="1:18" x14ac:dyDescent="0.25">
      <c r="A3569" s="2" t="s">
        <v>8939</v>
      </c>
      <c r="B3569" s="6">
        <v>46174</v>
      </c>
      <c r="C3569" s="8">
        <v>46192</v>
      </c>
      <c r="D3569" s="2" t="s">
        <v>7433</v>
      </c>
      <c r="E3569" s="2" t="s">
        <v>260</v>
      </c>
      <c r="F3569" s="2" t="s">
        <v>16703</v>
      </c>
      <c r="G3569" s="2" t="s">
        <v>8941</v>
      </c>
      <c r="H3569" s="2" t="s">
        <v>76</v>
      </c>
      <c r="I3569" s="9">
        <v>143238528</v>
      </c>
      <c r="J3569" s="7">
        <v>6.2500000000000001E-5</v>
      </c>
      <c r="K3569" s="9">
        <v>8952.41</v>
      </c>
      <c r="L3569" s="14">
        <v>0</v>
      </c>
      <c r="M3569" s="2" t="s">
        <v>71</v>
      </c>
      <c r="N3569" s="2" t="s">
        <v>16704</v>
      </c>
      <c r="O3569" s="2" t="s">
        <v>8940</v>
      </c>
      <c r="P3569" s="9">
        <v>4.92</v>
      </c>
      <c r="Q3569" s="9">
        <v>8952.41</v>
      </c>
      <c r="R3569" s="2" t="s">
        <v>16710</v>
      </c>
    </row>
    <row r="3570" spans="1:18" x14ac:dyDescent="0.25">
      <c r="A3570" s="2" t="s">
        <v>8942</v>
      </c>
      <c r="B3570" s="6">
        <v>46204</v>
      </c>
      <c r="C3570" s="8">
        <v>46217</v>
      </c>
      <c r="D3570" s="2" t="s">
        <v>7433</v>
      </c>
      <c r="E3570" s="2" t="s">
        <v>260</v>
      </c>
      <c r="F3570" s="2" t="s">
        <v>16703</v>
      </c>
      <c r="G3570" s="2" t="s">
        <v>8943</v>
      </c>
      <c r="H3570" s="2" t="s">
        <v>76</v>
      </c>
      <c r="I3570" s="9">
        <v>214857792</v>
      </c>
      <c r="J3570" s="7">
        <v>6.2000000000000003E-5</v>
      </c>
      <c r="K3570" s="9">
        <v>13321.18</v>
      </c>
      <c r="L3570" s="14">
        <v>0</v>
      </c>
      <c r="M3570" s="2" t="s">
        <v>71</v>
      </c>
      <c r="N3570" s="2" t="s">
        <v>16706</v>
      </c>
      <c r="O3570" s="2" t="s">
        <v>8940</v>
      </c>
      <c r="P3570" s="9">
        <v>7.33</v>
      </c>
      <c r="Q3570" s="9">
        <v>13428.61</v>
      </c>
      <c r="R3570" s="2" t="s">
        <v>16711</v>
      </c>
    </row>
    <row r="3571" spans="1:18" x14ac:dyDescent="0.25">
      <c r="A3571" s="2" t="s">
        <v>8944</v>
      </c>
      <c r="B3571" s="6">
        <v>46174</v>
      </c>
      <c r="C3571" s="8">
        <v>46193</v>
      </c>
      <c r="D3571" s="2" t="s">
        <v>7433</v>
      </c>
      <c r="E3571" s="2" t="s">
        <v>260</v>
      </c>
      <c r="F3571" s="2" t="s">
        <v>16703</v>
      </c>
      <c r="G3571" s="2" t="s">
        <v>8946</v>
      </c>
      <c r="H3571" s="2" t="s">
        <v>70</v>
      </c>
      <c r="I3571" s="9">
        <v>13628.77594</v>
      </c>
      <c r="J3571" s="7">
        <v>0.66500000000000004</v>
      </c>
      <c r="K3571" s="9">
        <v>9063.14</v>
      </c>
      <c r="L3571" s="14">
        <v>0</v>
      </c>
      <c r="M3571" s="2" t="s">
        <v>71</v>
      </c>
      <c r="N3571" s="2" t="s">
        <v>16704</v>
      </c>
      <c r="O3571" s="2" t="s">
        <v>8945</v>
      </c>
      <c r="P3571" s="9">
        <v>4.9800000000000004</v>
      </c>
      <c r="Q3571" s="9">
        <v>9063.14</v>
      </c>
      <c r="R3571" s="2" t="s">
        <v>16710</v>
      </c>
    </row>
    <row r="3572" spans="1:18" x14ac:dyDescent="0.25">
      <c r="A3572" s="2" t="s">
        <v>8947</v>
      </c>
      <c r="B3572" s="6">
        <v>46204</v>
      </c>
      <c r="C3572" s="8">
        <v>46218</v>
      </c>
      <c r="D3572" s="2" t="s">
        <v>7433</v>
      </c>
      <c r="E3572" s="2" t="s">
        <v>260</v>
      </c>
      <c r="F3572" s="2" t="s">
        <v>16703</v>
      </c>
      <c r="G3572" s="2" t="s">
        <v>8948</v>
      </c>
      <c r="H3572" s="2" t="s">
        <v>70</v>
      </c>
      <c r="I3572" s="9">
        <v>20443.163909999999</v>
      </c>
      <c r="J3572" s="7">
        <v>0.65800000000000003</v>
      </c>
      <c r="K3572" s="9">
        <v>13451.6</v>
      </c>
      <c r="L3572" s="14">
        <v>0</v>
      </c>
      <c r="M3572" s="2" t="s">
        <v>71</v>
      </c>
      <c r="N3572" s="2" t="s">
        <v>16706</v>
      </c>
      <c r="O3572" s="2" t="s">
        <v>8945</v>
      </c>
      <c r="P3572" s="9">
        <v>7.4</v>
      </c>
      <c r="Q3572" s="9">
        <v>13594.7</v>
      </c>
      <c r="R3572" s="2" t="s">
        <v>16711</v>
      </c>
    </row>
    <row r="3573" spans="1:18" x14ac:dyDescent="0.25">
      <c r="A3573" s="2" t="s">
        <v>8949</v>
      </c>
      <c r="B3573" s="6">
        <v>46174</v>
      </c>
      <c r="C3573" s="8">
        <v>46194</v>
      </c>
      <c r="D3573" s="2" t="s">
        <v>7433</v>
      </c>
      <c r="E3573" s="2" t="s">
        <v>260</v>
      </c>
      <c r="F3573" s="2" t="s">
        <v>16703</v>
      </c>
      <c r="G3573" s="2" t="s">
        <v>8951</v>
      </c>
      <c r="H3573" s="2" t="s">
        <v>39</v>
      </c>
      <c r="I3573" s="9">
        <v>9173.8639999999996</v>
      </c>
      <c r="J3573" s="7">
        <v>1</v>
      </c>
      <c r="K3573" s="9">
        <v>9173.86</v>
      </c>
      <c r="L3573" s="14">
        <v>0</v>
      </c>
      <c r="M3573" s="2" t="s">
        <v>71</v>
      </c>
      <c r="N3573" s="2" t="s">
        <v>16704</v>
      </c>
      <c r="O3573" s="2" t="s">
        <v>8950</v>
      </c>
      <c r="P3573" s="9">
        <v>5.05</v>
      </c>
      <c r="Q3573" s="9">
        <v>9173.86</v>
      </c>
      <c r="R3573" s="2" t="s">
        <v>16710</v>
      </c>
    </row>
    <row r="3574" spans="1:18" x14ac:dyDescent="0.25">
      <c r="A3574" s="2" t="s">
        <v>8952</v>
      </c>
      <c r="B3574" s="6">
        <v>46204</v>
      </c>
      <c r="C3574" s="8">
        <v>46219</v>
      </c>
      <c r="D3574" s="2" t="s">
        <v>7433</v>
      </c>
      <c r="E3574" s="2" t="s">
        <v>260</v>
      </c>
      <c r="F3574" s="2" t="s">
        <v>16703</v>
      </c>
      <c r="G3574" s="2" t="s">
        <v>8953</v>
      </c>
      <c r="H3574" s="2" t="s">
        <v>39</v>
      </c>
      <c r="I3574" s="9">
        <v>13760.796</v>
      </c>
      <c r="J3574" s="7">
        <v>1</v>
      </c>
      <c r="K3574" s="9">
        <v>13760.8</v>
      </c>
      <c r="L3574" s="14">
        <v>0</v>
      </c>
      <c r="M3574" s="2" t="s">
        <v>71</v>
      </c>
      <c r="N3574" s="2" t="s">
        <v>16706</v>
      </c>
      <c r="O3574" s="2" t="s">
        <v>8950</v>
      </c>
      <c r="P3574" s="9">
        <v>7.57</v>
      </c>
      <c r="Q3574" s="9">
        <v>13760.8</v>
      </c>
      <c r="R3574" s="2" t="s">
        <v>16711</v>
      </c>
    </row>
    <row r="3575" spans="1:18" x14ac:dyDescent="0.25">
      <c r="A3575" s="2" t="s">
        <v>8954</v>
      </c>
      <c r="B3575" s="6">
        <v>46174</v>
      </c>
      <c r="C3575" s="8">
        <v>46195</v>
      </c>
      <c r="D3575" s="2" t="s">
        <v>7433</v>
      </c>
      <c r="E3575" s="2" t="s">
        <v>260</v>
      </c>
      <c r="F3575" s="2" t="s">
        <v>16703</v>
      </c>
      <c r="G3575" s="2" t="s">
        <v>8956</v>
      </c>
      <c r="H3575" s="2" t="s">
        <v>76</v>
      </c>
      <c r="I3575" s="9">
        <v>148553408</v>
      </c>
      <c r="J3575" s="7">
        <v>6.2500000000000001E-5</v>
      </c>
      <c r="K3575" s="9">
        <v>9284.59</v>
      </c>
      <c r="L3575" s="14">
        <v>0</v>
      </c>
      <c r="M3575" s="2" t="s">
        <v>71</v>
      </c>
      <c r="N3575" s="2" t="s">
        <v>16704</v>
      </c>
      <c r="O3575" s="2" t="s">
        <v>8955</v>
      </c>
      <c r="P3575" s="9">
        <v>5.1100000000000003</v>
      </c>
      <c r="Q3575" s="9">
        <v>9284.59</v>
      </c>
      <c r="R3575" s="2" t="s">
        <v>16710</v>
      </c>
    </row>
    <row r="3576" spans="1:18" x14ac:dyDescent="0.25">
      <c r="A3576" s="2" t="s">
        <v>8957</v>
      </c>
      <c r="B3576" s="6">
        <v>46204</v>
      </c>
      <c r="C3576" s="8">
        <v>46220</v>
      </c>
      <c r="D3576" s="2" t="s">
        <v>7433</v>
      </c>
      <c r="E3576" s="2" t="s">
        <v>260</v>
      </c>
      <c r="F3576" s="2" t="s">
        <v>16703</v>
      </c>
      <c r="G3576" s="2" t="s">
        <v>8958</v>
      </c>
      <c r="H3576" s="2" t="s">
        <v>76</v>
      </c>
      <c r="I3576" s="9">
        <v>222830112</v>
      </c>
      <c r="J3576" s="7">
        <v>6.2000000000000003E-5</v>
      </c>
      <c r="K3576" s="9">
        <v>13815.47</v>
      </c>
      <c r="L3576" s="14">
        <v>0</v>
      </c>
      <c r="M3576" s="2" t="s">
        <v>71</v>
      </c>
      <c r="N3576" s="2" t="s">
        <v>16706</v>
      </c>
      <c r="O3576" s="2" t="s">
        <v>8955</v>
      </c>
      <c r="P3576" s="9">
        <v>7.6</v>
      </c>
      <c r="Q3576" s="9">
        <v>13926.88</v>
      </c>
      <c r="R3576" s="2" t="s">
        <v>16711</v>
      </c>
    </row>
    <row r="3577" spans="1:18" x14ac:dyDescent="0.25">
      <c r="A3577" s="2" t="s">
        <v>8959</v>
      </c>
      <c r="B3577" s="6">
        <v>46174</v>
      </c>
      <c r="C3577" s="8">
        <v>46196</v>
      </c>
      <c r="D3577" s="2" t="s">
        <v>7433</v>
      </c>
      <c r="E3577" s="2" t="s">
        <v>260</v>
      </c>
      <c r="F3577" s="2" t="s">
        <v>16703</v>
      </c>
      <c r="G3577" s="2" t="s">
        <v>8961</v>
      </c>
      <c r="H3577" s="2" t="s">
        <v>70</v>
      </c>
      <c r="I3577" s="9">
        <v>14128.294737</v>
      </c>
      <c r="J3577" s="7">
        <v>0.66500000000000004</v>
      </c>
      <c r="K3577" s="9">
        <v>9395.32</v>
      </c>
      <c r="L3577" s="14">
        <v>0</v>
      </c>
      <c r="M3577" s="2" t="s">
        <v>71</v>
      </c>
      <c r="N3577" s="2" t="s">
        <v>16704</v>
      </c>
      <c r="O3577" s="2" t="s">
        <v>8960</v>
      </c>
      <c r="P3577" s="9">
        <v>5.17</v>
      </c>
      <c r="Q3577" s="9">
        <v>9395.32</v>
      </c>
      <c r="R3577" s="2" t="s">
        <v>16710</v>
      </c>
    </row>
    <row r="3578" spans="1:18" x14ac:dyDescent="0.25">
      <c r="A3578" s="2" t="s">
        <v>8962</v>
      </c>
      <c r="B3578" s="6">
        <v>46204</v>
      </c>
      <c r="C3578" s="8">
        <v>46221</v>
      </c>
      <c r="D3578" s="2" t="s">
        <v>7433</v>
      </c>
      <c r="E3578" s="2" t="s">
        <v>260</v>
      </c>
      <c r="F3578" s="2" t="s">
        <v>16703</v>
      </c>
      <c r="G3578" s="2" t="s">
        <v>8963</v>
      </c>
      <c r="H3578" s="2" t="s">
        <v>70</v>
      </c>
      <c r="I3578" s="9">
        <v>21192.442104999998</v>
      </c>
      <c r="J3578" s="7">
        <v>0.65800000000000003</v>
      </c>
      <c r="K3578" s="9">
        <v>13944.63</v>
      </c>
      <c r="L3578" s="14">
        <v>0</v>
      </c>
      <c r="M3578" s="2" t="s">
        <v>71</v>
      </c>
      <c r="N3578" s="2" t="s">
        <v>16706</v>
      </c>
      <c r="O3578" s="2" t="s">
        <v>8960</v>
      </c>
      <c r="P3578" s="9">
        <v>7.67</v>
      </c>
      <c r="Q3578" s="9">
        <v>14092.97</v>
      </c>
      <c r="R3578" s="2" t="s">
        <v>16711</v>
      </c>
    </row>
    <row r="3579" spans="1:18" x14ac:dyDescent="0.25">
      <c r="A3579" s="2" t="s">
        <v>8964</v>
      </c>
      <c r="B3579" s="6">
        <v>46174</v>
      </c>
      <c r="C3579" s="8">
        <v>46197</v>
      </c>
      <c r="D3579" s="2" t="s">
        <v>7433</v>
      </c>
      <c r="E3579" s="2" t="s">
        <v>260</v>
      </c>
      <c r="F3579" s="2" t="s">
        <v>16703</v>
      </c>
      <c r="G3579" s="2" t="s">
        <v>8966</v>
      </c>
      <c r="H3579" s="2" t="s">
        <v>39</v>
      </c>
      <c r="I3579" s="9">
        <v>546.04</v>
      </c>
      <c r="J3579" s="7">
        <v>1</v>
      </c>
      <c r="K3579" s="9">
        <v>546.04</v>
      </c>
      <c r="L3579" s="14">
        <v>0</v>
      </c>
      <c r="M3579" s="2" t="s">
        <v>71</v>
      </c>
      <c r="N3579" s="2" t="s">
        <v>16704</v>
      </c>
      <c r="O3579" s="2" t="s">
        <v>8965</v>
      </c>
      <c r="P3579" s="9">
        <v>1.8</v>
      </c>
      <c r="Q3579" s="9">
        <v>546.04</v>
      </c>
      <c r="R3579" s="2" t="s">
        <v>16710</v>
      </c>
    </row>
    <row r="3580" spans="1:18" x14ac:dyDescent="0.25">
      <c r="A3580" s="2" t="s">
        <v>8967</v>
      </c>
      <c r="B3580" s="6">
        <v>46204</v>
      </c>
      <c r="C3580" s="8">
        <v>46222</v>
      </c>
      <c r="D3580" s="2" t="s">
        <v>7433</v>
      </c>
      <c r="E3580" s="2" t="s">
        <v>260</v>
      </c>
      <c r="F3580" s="2" t="s">
        <v>16703</v>
      </c>
      <c r="G3580" s="2" t="s">
        <v>8968</v>
      </c>
      <c r="H3580" s="2" t="s">
        <v>39</v>
      </c>
      <c r="I3580" s="9">
        <v>819.06</v>
      </c>
      <c r="J3580" s="7">
        <v>1</v>
      </c>
      <c r="K3580" s="9">
        <v>819.06</v>
      </c>
      <c r="L3580" s="14">
        <v>0</v>
      </c>
      <c r="M3580" s="2" t="s">
        <v>71</v>
      </c>
      <c r="N3580" s="2" t="s">
        <v>16706</v>
      </c>
      <c r="O3580" s="2" t="s">
        <v>8965</v>
      </c>
      <c r="P3580" s="9">
        <v>1.8</v>
      </c>
      <c r="Q3580" s="9">
        <v>819.06</v>
      </c>
      <c r="R3580" s="2" t="s">
        <v>16711</v>
      </c>
    </row>
    <row r="3581" spans="1:18" x14ac:dyDescent="0.25">
      <c r="A3581" s="2" t="s">
        <v>8969</v>
      </c>
      <c r="B3581" s="6">
        <v>46174</v>
      </c>
      <c r="C3581" s="8">
        <v>46198</v>
      </c>
      <c r="D3581" s="2" t="s">
        <v>7433</v>
      </c>
      <c r="E3581" s="2" t="s">
        <v>260</v>
      </c>
      <c r="F3581" s="2" t="s">
        <v>16703</v>
      </c>
      <c r="G3581" s="2" t="s">
        <v>8971</v>
      </c>
      <c r="H3581" s="2" t="s">
        <v>76</v>
      </c>
      <c r="I3581" s="9">
        <v>10508288</v>
      </c>
      <c r="J3581" s="7">
        <v>6.2500000000000001E-5</v>
      </c>
      <c r="K3581" s="9">
        <v>656.77</v>
      </c>
      <c r="L3581" s="14">
        <v>0</v>
      </c>
      <c r="M3581" s="2" t="s">
        <v>71</v>
      </c>
      <c r="N3581" s="2" t="s">
        <v>16704</v>
      </c>
      <c r="O3581" s="2" t="s">
        <v>8970</v>
      </c>
      <c r="P3581" s="9">
        <v>1.8</v>
      </c>
      <c r="Q3581" s="9">
        <v>656.77</v>
      </c>
      <c r="R3581" s="2" t="s">
        <v>16710</v>
      </c>
    </row>
    <row r="3582" spans="1:18" x14ac:dyDescent="0.25">
      <c r="A3582" s="2" t="s">
        <v>8972</v>
      </c>
      <c r="B3582" s="6">
        <v>46204</v>
      </c>
      <c r="C3582" s="8">
        <v>46223</v>
      </c>
      <c r="D3582" s="2" t="s">
        <v>7433</v>
      </c>
      <c r="E3582" s="2" t="s">
        <v>260</v>
      </c>
      <c r="F3582" s="2" t="s">
        <v>16703</v>
      </c>
      <c r="G3582" s="2" t="s">
        <v>8973</v>
      </c>
      <c r="H3582" s="2" t="s">
        <v>76</v>
      </c>
      <c r="I3582" s="9">
        <v>15762432</v>
      </c>
      <c r="J3582" s="7">
        <v>6.2000000000000003E-5</v>
      </c>
      <c r="K3582" s="9">
        <v>977.27</v>
      </c>
      <c r="L3582" s="14">
        <v>0</v>
      </c>
      <c r="M3582" s="2" t="s">
        <v>71</v>
      </c>
      <c r="N3582" s="2" t="s">
        <v>16706</v>
      </c>
      <c r="O3582" s="2" t="s">
        <v>8970</v>
      </c>
      <c r="P3582" s="9">
        <v>1.8</v>
      </c>
      <c r="Q3582" s="9">
        <v>985.15</v>
      </c>
      <c r="R3582" s="2" t="s">
        <v>16711</v>
      </c>
    </row>
    <row r="3583" spans="1:18" x14ac:dyDescent="0.25">
      <c r="A3583" s="2" t="s">
        <v>8974</v>
      </c>
      <c r="B3583" s="6">
        <v>46174</v>
      </c>
      <c r="C3583" s="8">
        <v>46199</v>
      </c>
      <c r="D3583" s="2" t="s">
        <v>7433</v>
      </c>
      <c r="E3583" s="2" t="s">
        <v>260</v>
      </c>
      <c r="F3583" s="2" t="s">
        <v>16703</v>
      </c>
      <c r="G3583" s="2" t="s">
        <v>8976</v>
      </c>
      <c r="H3583" s="2" t="s">
        <v>70</v>
      </c>
      <c r="I3583" s="9">
        <v>1154.1293230000001</v>
      </c>
      <c r="J3583" s="7">
        <v>0.66500000000000004</v>
      </c>
      <c r="K3583" s="9">
        <v>767.5</v>
      </c>
      <c r="L3583" s="14">
        <v>0</v>
      </c>
      <c r="M3583" s="2" t="s">
        <v>71</v>
      </c>
      <c r="N3583" s="2" t="s">
        <v>16704</v>
      </c>
      <c r="O3583" s="2" t="s">
        <v>8975</v>
      </c>
      <c r="P3583" s="9">
        <v>1.8</v>
      </c>
      <c r="Q3583" s="9">
        <v>767.5</v>
      </c>
      <c r="R3583" s="2" t="s">
        <v>16710</v>
      </c>
    </row>
    <row r="3584" spans="1:18" x14ac:dyDescent="0.25">
      <c r="A3584" s="2" t="s">
        <v>8977</v>
      </c>
      <c r="B3584" s="6">
        <v>46204</v>
      </c>
      <c r="C3584" s="8">
        <v>46224</v>
      </c>
      <c r="D3584" s="2" t="s">
        <v>7433</v>
      </c>
      <c r="E3584" s="2" t="s">
        <v>260</v>
      </c>
      <c r="F3584" s="2" t="s">
        <v>16703</v>
      </c>
      <c r="G3584" s="2" t="s">
        <v>8978</v>
      </c>
      <c r="H3584" s="2" t="s">
        <v>70</v>
      </c>
      <c r="I3584" s="9">
        <v>1731.1939850000001</v>
      </c>
      <c r="J3584" s="7">
        <v>0.65800000000000003</v>
      </c>
      <c r="K3584" s="9">
        <v>1139.1300000000001</v>
      </c>
      <c r="L3584" s="14">
        <v>0</v>
      </c>
      <c r="M3584" s="2" t="s">
        <v>71</v>
      </c>
      <c r="N3584" s="2" t="s">
        <v>16706</v>
      </c>
      <c r="O3584" s="2" t="s">
        <v>8975</v>
      </c>
      <c r="P3584" s="9">
        <v>1.8</v>
      </c>
      <c r="Q3584" s="9">
        <v>1151.24</v>
      </c>
      <c r="R3584" s="2" t="s">
        <v>16711</v>
      </c>
    </row>
    <row r="3585" spans="1:18" x14ac:dyDescent="0.25">
      <c r="A3585" s="2" t="s">
        <v>8979</v>
      </c>
      <c r="B3585" s="6">
        <v>46174</v>
      </c>
      <c r="C3585" s="8">
        <v>46200</v>
      </c>
      <c r="D3585" s="2" t="s">
        <v>7433</v>
      </c>
      <c r="E3585" s="2" t="s">
        <v>260</v>
      </c>
      <c r="F3585" s="2" t="s">
        <v>16703</v>
      </c>
      <c r="G3585" s="2" t="s">
        <v>8981</v>
      </c>
      <c r="H3585" s="2" t="s">
        <v>39</v>
      </c>
      <c r="I3585" s="9">
        <v>878.22</v>
      </c>
      <c r="J3585" s="7">
        <v>1</v>
      </c>
      <c r="K3585" s="9">
        <v>878.22</v>
      </c>
      <c r="L3585" s="14">
        <v>0</v>
      </c>
      <c r="M3585" s="2" t="s">
        <v>71</v>
      </c>
      <c r="N3585" s="2" t="s">
        <v>16704</v>
      </c>
      <c r="O3585" s="2" t="s">
        <v>8980</v>
      </c>
      <c r="P3585" s="9">
        <v>1.8</v>
      </c>
      <c r="Q3585" s="9">
        <v>878.22</v>
      </c>
      <c r="R3585" s="2" t="s">
        <v>16710</v>
      </c>
    </row>
    <row r="3586" spans="1:18" x14ac:dyDescent="0.25">
      <c r="A3586" s="2" t="s">
        <v>8982</v>
      </c>
      <c r="B3586" s="6">
        <v>46204</v>
      </c>
      <c r="C3586" s="8">
        <v>46225</v>
      </c>
      <c r="D3586" s="2" t="s">
        <v>7433</v>
      </c>
      <c r="E3586" s="2" t="s">
        <v>260</v>
      </c>
      <c r="F3586" s="2" t="s">
        <v>16703</v>
      </c>
      <c r="G3586" s="2" t="s">
        <v>8983</v>
      </c>
      <c r="H3586" s="2" t="s">
        <v>39</v>
      </c>
      <c r="I3586" s="9">
        <v>1317.33</v>
      </c>
      <c r="J3586" s="7">
        <v>1</v>
      </c>
      <c r="K3586" s="9">
        <v>1317.33</v>
      </c>
      <c r="L3586" s="14">
        <v>0</v>
      </c>
      <c r="M3586" s="2" t="s">
        <v>71</v>
      </c>
      <c r="N3586" s="2" t="s">
        <v>16706</v>
      </c>
      <c r="O3586" s="2" t="s">
        <v>8980</v>
      </c>
      <c r="P3586" s="9">
        <v>1.8</v>
      </c>
      <c r="Q3586" s="9">
        <v>1317.33</v>
      </c>
      <c r="R3586" s="2" t="s">
        <v>16711</v>
      </c>
    </row>
    <row r="3587" spans="1:18" x14ac:dyDescent="0.25">
      <c r="A3587" s="2" t="s">
        <v>8984</v>
      </c>
      <c r="B3587" s="6">
        <v>46174</v>
      </c>
      <c r="C3587" s="8">
        <v>46201</v>
      </c>
      <c r="D3587" s="2" t="s">
        <v>7433</v>
      </c>
      <c r="E3587" s="2" t="s">
        <v>260</v>
      </c>
      <c r="F3587" s="2" t="s">
        <v>16703</v>
      </c>
      <c r="G3587" s="2" t="s">
        <v>8986</v>
      </c>
      <c r="H3587" s="2" t="s">
        <v>76</v>
      </c>
      <c r="I3587" s="9">
        <v>15823168</v>
      </c>
      <c r="J3587" s="7">
        <v>6.2500000000000001E-5</v>
      </c>
      <c r="K3587" s="9">
        <v>988.95</v>
      </c>
      <c r="L3587" s="14">
        <v>0</v>
      </c>
      <c r="M3587" s="2" t="s">
        <v>71</v>
      </c>
      <c r="N3587" s="2" t="s">
        <v>16704</v>
      </c>
      <c r="O3587" s="2" t="s">
        <v>8985</v>
      </c>
      <c r="P3587" s="9">
        <v>1.8</v>
      </c>
      <c r="Q3587" s="9">
        <v>988.95</v>
      </c>
      <c r="R3587" s="2" t="s">
        <v>16710</v>
      </c>
    </row>
    <row r="3588" spans="1:18" x14ac:dyDescent="0.25">
      <c r="A3588" s="2" t="s">
        <v>8987</v>
      </c>
      <c r="B3588" s="6">
        <v>46204</v>
      </c>
      <c r="C3588" s="8">
        <v>46226</v>
      </c>
      <c r="D3588" s="2" t="s">
        <v>7433</v>
      </c>
      <c r="E3588" s="2" t="s">
        <v>260</v>
      </c>
      <c r="F3588" s="2" t="s">
        <v>16703</v>
      </c>
      <c r="G3588" s="2" t="s">
        <v>8988</v>
      </c>
      <c r="H3588" s="2" t="s">
        <v>76</v>
      </c>
      <c r="I3588" s="9">
        <v>23734752</v>
      </c>
      <c r="J3588" s="7">
        <v>6.2000000000000003E-5</v>
      </c>
      <c r="K3588" s="9">
        <v>1471.55</v>
      </c>
      <c r="L3588" s="14">
        <v>0</v>
      </c>
      <c r="M3588" s="2" t="s">
        <v>71</v>
      </c>
      <c r="N3588" s="2" t="s">
        <v>16706</v>
      </c>
      <c r="O3588" s="2" t="s">
        <v>8985</v>
      </c>
      <c r="P3588" s="9">
        <v>1.8</v>
      </c>
      <c r="Q3588" s="9">
        <v>1483.42</v>
      </c>
      <c r="R3588" s="2" t="s">
        <v>16711</v>
      </c>
    </row>
    <row r="3589" spans="1:18" x14ac:dyDescent="0.25">
      <c r="A3589" s="2" t="s">
        <v>8989</v>
      </c>
      <c r="B3589" s="6">
        <v>46174</v>
      </c>
      <c r="C3589" s="8">
        <v>46202</v>
      </c>
      <c r="D3589" s="2" t="s">
        <v>7433</v>
      </c>
      <c r="E3589" s="2" t="s">
        <v>260</v>
      </c>
      <c r="F3589" s="2" t="s">
        <v>16703</v>
      </c>
      <c r="G3589" s="2" t="s">
        <v>8991</v>
      </c>
      <c r="H3589" s="2" t="s">
        <v>70</v>
      </c>
      <c r="I3589" s="9">
        <v>1653.6421049999999</v>
      </c>
      <c r="J3589" s="7">
        <v>0.66500000000000004</v>
      </c>
      <c r="K3589" s="9">
        <v>1099.67</v>
      </c>
      <c r="L3589" s="14">
        <v>0</v>
      </c>
      <c r="M3589" s="2" t="s">
        <v>71</v>
      </c>
      <c r="N3589" s="2" t="s">
        <v>16704</v>
      </c>
      <c r="O3589" s="2" t="s">
        <v>8990</v>
      </c>
      <c r="P3589" s="9">
        <v>1.8</v>
      </c>
      <c r="Q3589" s="9">
        <v>1099.67</v>
      </c>
      <c r="R3589" s="2" t="s">
        <v>16710</v>
      </c>
    </row>
    <row r="3590" spans="1:18" x14ac:dyDescent="0.25">
      <c r="A3590" s="2" t="s">
        <v>8992</v>
      </c>
      <c r="B3590" s="6">
        <v>46204</v>
      </c>
      <c r="C3590" s="8">
        <v>46227</v>
      </c>
      <c r="D3590" s="2" t="s">
        <v>7433</v>
      </c>
      <c r="E3590" s="2" t="s">
        <v>260</v>
      </c>
      <c r="F3590" s="2" t="s">
        <v>16703</v>
      </c>
      <c r="G3590" s="2" t="s">
        <v>8993</v>
      </c>
      <c r="H3590" s="2" t="s">
        <v>70</v>
      </c>
      <c r="I3590" s="9">
        <v>2480.463158</v>
      </c>
      <c r="J3590" s="7">
        <v>0.65800000000000003</v>
      </c>
      <c r="K3590" s="9">
        <v>1632.14</v>
      </c>
      <c r="L3590" s="14">
        <v>0</v>
      </c>
      <c r="M3590" s="2" t="s">
        <v>71</v>
      </c>
      <c r="N3590" s="2" t="s">
        <v>16706</v>
      </c>
      <c r="O3590" s="2" t="s">
        <v>8990</v>
      </c>
      <c r="P3590" s="9">
        <v>1.8</v>
      </c>
      <c r="Q3590" s="9">
        <v>1649.51</v>
      </c>
      <c r="R3590" s="2" t="s">
        <v>16711</v>
      </c>
    </row>
    <row r="3591" spans="1:18" x14ac:dyDescent="0.25">
      <c r="A3591" s="2" t="s">
        <v>8994</v>
      </c>
      <c r="B3591" s="6">
        <v>46174</v>
      </c>
      <c r="C3591" s="8">
        <v>46203</v>
      </c>
      <c r="D3591" s="2" t="s">
        <v>7433</v>
      </c>
      <c r="E3591" s="2" t="s">
        <v>260</v>
      </c>
      <c r="F3591" s="2" t="s">
        <v>16703</v>
      </c>
      <c r="G3591" s="2" t="s">
        <v>8996</v>
      </c>
      <c r="H3591" s="2" t="s">
        <v>39</v>
      </c>
      <c r="I3591" s="9">
        <v>1210.4000000000001</v>
      </c>
      <c r="J3591" s="7">
        <v>1</v>
      </c>
      <c r="K3591" s="9">
        <v>1210.4000000000001</v>
      </c>
      <c r="L3591" s="14">
        <v>0</v>
      </c>
      <c r="M3591" s="2" t="s">
        <v>71</v>
      </c>
      <c r="N3591" s="2" t="s">
        <v>16704</v>
      </c>
      <c r="O3591" s="2" t="s">
        <v>8995</v>
      </c>
      <c r="P3591" s="9">
        <v>1.8</v>
      </c>
      <c r="Q3591" s="9">
        <v>1210.4000000000001</v>
      </c>
      <c r="R3591" s="2" t="s">
        <v>16710</v>
      </c>
    </row>
    <row r="3592" spans="1:18" x14ac:dyDescent="0.25">
      <c r="A3592" s="2" t="s">
        <v>8997</v>
      </c>
      <c r="B3592" s="6">
        <v>46204</v>
      </c>
      <c r="C3592" s="8">
        <v>46228</v>
      </c>
      <c r="D3592" s="2" t="s">
        <v>7433</v>
      </c>
      <c r="E3592" s="2" t="s">
        <v>260</v>
      </c>
      <c r="F3592" s="2" t="s">
        <v>16703</v>
      </c>
      <c r="G3592" s="2" t="s">
        <v>8998</v>
      </c>
      <c r="H3592" s="2" t="s">
        <v>39</v>
      </c>
      <c r="I3592" s="9">
        <v>1815.6</v>
      </c>
      <c r="J3592" s="7">
        <v>1</v>
      </c>
      <c r="K3592" s="9">
        <v>1815.6</v>
      </c>
      <c r="L3592" s="14">
        <v>0</v>
      </c>
      <c r="M3592" s="2" t="s">
        <v>71</v>
      </c>
      <c r="N3592" s="2" t="s">
        <v>16706</v>
      </c>
      <c r="O3592" s="2" t="s">
        <v>8995</v>
      </c>
      <c r="P3592" s="9">
        <v>1.8</v>
      </c>
      <c r="Q3592" s="9">
        <v>1815.6</v>
      </c>
      <c r="R3592" s="2" t="s">
        <v>16711</v>
      </c>
    </row>
    <row r="3593" spans="1:18" x14ac:dyDescent="0.25">
      <c r="A3593" s="2" t="s">
        <v>8999</v>
      </c>
      <c r="B3593" s="6">
        <v>46204</v>
      </c>
      <c r="C3593" s="8">
        <v>46204</v>
      </c>
      <c r="D3593" s="2" t="s">
        <v>7433</v>
      </c>
      <c r="E3593" s="2" t="s">
        <v>260</v>
      </c>
      <c r="F3593" s="2" t="s">
        <v>16703</v>
      </c>
      <c r="G3593" s="2" t="s">
        <v>9001</v>
      </c>
      <c r="H3593" s="2" t="s">
        <v>76</v>
      </c>
      <c r="I3593" s="9">
        <v>21138048</v>
      </c>
      <c r="J3593" s="7">
        <v>6.2000000000000003E-5</v>
      </c>
      <c r="K3593" s="9">
        <v>1310.56</v>
      </c>
      <c r="L3593" s="14">
        <v>0</v>
      </c>
      <c r="M3593" s="2" t="s">
        <v>71</v>
      </c>
      <c r="N3593" s="2" t="s">
        <v>16706</v>
      </c>
      <c r="O3593" s="2" t="s">
        <v>9000</v>
      </c>
      <c r="P3593" s="9">
        <v>1.8</v>
      </c>
      <c r="Q3593" s="9">
        <v>1321.13</v>
      </c>
      <c r="R3593" s="2" t="s">
        <v>16711</v>
      </c>
    </row>
    <row r="3594" spans="1:18" x14ac:dyDescent="0.25">
      <c r="A3594" s="2" t="s">
        <v>9002</v>
      </c>
      <c r="B3594" s="6">
        <v>46204</v>
      </c>
      <c r="C3594" s="8">
        <v>46229</v>
      </c>
      <c r="D3594" s="2" t="s">
        <v>7433</v>
      </c>
      <c r="E3594" s="2" t="s">
        <v>260</v>
      </c>
      <c r="F3594" s="2" t="s">
        <v>16703</v>
      </c>
      <c r="G3594" s="2" t="s">
        <v>9003</v>
      </c>
      <c r="H3594" s="2" t="s">
        <v>76</v>
      </c>
      <c r="I3594" s="9">
        <v>31707072</v>
      </c>
      <c r="J3594" s="7">
        <v>6.2000000000000003E-5</v>
      </c>
      <c r="K3594" s="9">
        <v>1965.84</v>
      </c>
      <c r="L3594" s="14">
        <v>0</v>
      </c>
      <c r="M3594" s="2" t="s">
        <v>71</v>
      </c>
      <c r="N3594" s="2" t="s">
        <v>16706</v>
      </c>
      <c r="O3594" s="2" t="s">
        <v>9000</v>
      </c>
      <c r="P3594" s="9">
        <v>1.8</v>
      </c>
      <c r="Q3594" s="9">
        <v>1981.69</v>
      </c>
      <c r="R3594" s="2" t="s">
        <v>16711</v>
      </c>
    </row>
    <row r="3595" spans="1:18" x14ac:dyDescent="0.25">
      <c r="A3595" s="2" t="s">
        <v>9004</v>
      </c>
      <c r="B3595" s="6">
        <v>46204</v>
      </c>
      <c r="C3595" s="8">
        <v>46205</v>
      </c>
      <c r="D3595" s="2" t="s">
        <v>7433</v>
      </c>
      <c r="E3595" s="2" t="s">
        <v>260</v>
      </c>
      <c r="F3595" s="2" t="s">
        <v>16703</v>
      </c>
      <c r="G3595" s="2" t="s">
        <v>9006</v>
      </c>
      <c r="H3595" s="2" t="s">
        <v>70</v>
      </c>
      <c r="I3595" s="9">
        <v>2153.166917</v>
      </c>
      <c r="J3595" s="7">
        <v>0.65800000000000003</v>
      </c>
      <c r="K3595" s="9">
        <v>1416.78</v>
      </c>
      <c r="L3595" s="14">
        <v>0</v>
      </c>
      <c r="M3595" s="2" t="s">
        <v>71</v>
      </c>
      <c r="N3595" s="2" t="s">
        <v>16706</v>
      </c>
      <c r="O3595" s="2" t="s">
        <v>9005</v>
      </c>
      <c r="P3595" s="9">
        <v>1.8</v>
      </c>
      <c r="Q3595" s="9">
        <v>1431.86</v>
      </c>
      <c r="R3595" s="2" t="s">
        <v>16711</v>
      </c>
    </row>
    <row r="3596" spans="1:18" x14ac:dyDescent="0.25">
      <c r="A3596" s="2" t="s">
        <v>9007</v>
      </c>
      <c r="B3596" s="6">
        <v>46204</v>
      </c>
      <c r="C3596" s="8">
        <v>46230</v>
      </c>
      <c r="D3596" s="2" t="s">
        <v>7433</v>
      </c>
      <c r="E3596" s="2" t="s">
        <v>260</v>
      </c>
      <c r="F3596" s="2" t="s">
        <v>16703</v>
      </c>
      <c r="G3596" s="2" t="s">
        <v>9008</v>
      </c>
      <c r="H3596" s="2" t="s">
        <v>70</v>
      </c>
      <c r="I3596" s="9">
        <v>3229.750376</v>
      </c>
      <c r="J3596" s="7">
        <v>0.65800000000000003</v>
      </c>
      <c r="K3596" s="9">
        <v>2125.1799999999998</v>
      </c>
      <c r="L3596" s="14">
        <v>0</v>
      </c>
      <c r="M3596" s="2" t="s">
        <v>71</v>
      </c>
      <c r="N3596" s="2" t="s">
        <v>16706</v>
      </c>
      <c r="O3596" s="2" t="s">
        <v>9005</v>
      </c>
      <c r="P3596" s="9">
        <v>1.8</v>
      </c>
      <c r="Q3596" s="9">
        <v>2147.7800000000002</v>
      </c>
      <c r="R3596" s="2" t="s">
        <v>16711</v>
      </c>
    </row>
    <row r="3597" spans="1:18" x14ac:dyDescent="0.25">
      <c r="A3597" s="2" t="s">
        <v>9009</v>
      </c>
      <c r="B3597" s="6">
        <v>46204</v>
      </c>
      <c r="C3597" s="8">
        <v>46206</v>
      </c>
      <c r="D3597" s="2" t="s">
        <v>7433</v>
      </c>
      <c r="E3597" s="2" t="s">
        <v>260</v>
      </c>
      <c r="F3597" s="2" t="s">
        <v>16703</v>
      </c>
      <c r="G3597" s="2" t="s">
        <v>9011</v>
      </c>
      <c r="H3597" s="2" t="s">
        <v>39</v>
      </c>
      <c r="I3597" s="9">
        <v>1542.58</v>
      </c>
      <c r="J3597" s="7">
        <v>1</v>
      </c>
      <c r="K3597" s="9">
        <v>1542.58</v>
      </c>
      <c r="L3597" s="14">
        <v>0</v>
      </c>
      <c r="M3597" s="2" t="s">
        <v>71</v>
      </c>
      <c r="N3597" s="2" t="s">
        <v>16706</v>
      </c>
      <c r="O3597" s="2" t="s">
        <v>9010</v>
      </c>
      <c r="P3597" s="9">
        <v>1.8</v>
      </c>
      <c r="Q3597" s="9">
        <v>1542.58</v>
      </c>
      <c r="R3597" s="2" t="s">
        <v>16711</v>
      </c>
    </row>
    <row r="3598" spans="1:18" x14ac:dyDescent="0.25">
      <c r="A3598" s="2" t="s">
        <v>9012</v>
      </c>
      <c r="B3598" s="6">
        <v>46204</v>
      </c>
      <c r="C3598" s="8">
        <v>46231</v>
      </c>
      <c r="D3598" s="2" t="s">
        <v>7433</v>
      </c>
      <c r="E3598" s="2" t="s">
        <v>260</v>
      </c>
      <c r="F3598" s="2" t="s">
        <v>16703</v>
      </c>
      <c r="G3598" s="2" t="s">
        <v>9013</v>
      </c>
      <c r="H3598" s="2" t="s">
        <v>39</v>
      </c>
      <c r="I3598" s="9">
        <v>2313.87</v>
      </c>
      <c r="J3598" s="7">
        <v>1</v>
      </c>
      <c r="K3598" s="9">
        <v>2313.87</v>
      </c>
      <c r="L3598" s="14">
        <v>0</v>
      </c>
      <c r="M3598" s="2" t="s">
        <v>71</v>
      </c>
      <c r="N3598" s="2" t="s">
        <v>16706</v>
      </c>
      <c r="O3598" s="2" t="s">
        <v>9010</v>
      </c>
      <c r="P3598" s="9">
        <v>1.8</v>
      </c>
      <c r="Q3598" s="9">
        <v>2313.87</v>
      </c>
      <c r="R3598" s="2" t="s">
        <v>16711</v>
      </c>
    </row>
    <row r="3599" spans="1:18" x14ac:dyDescent="0.25">
      <c r="A3599" s="2" t="s">
        <v>9014</v>
      </c>
      <c r="B3599" s="6">
        <v>46204</v>
      </c>
      <c r="C3599" s="8">
        <v>46207</v>
      </c>
      <c r="D3599" s="2" t="s">
        <v>7433</v>
      </c>
      <c r="E3599" s="2" t="s">
        <v>260</v>
      </c>
      <c r="F3599" s="2" t="s">
        <v>16703</v>
      </c>
      <c r="G3599" s="2" t="s">
        <v>9016</v>
      </c>
      <c r="H3599" s="2" t="s">
        <v>76</v>
      </c>
      <c r="I3599" s="9">
        <v>26452864</v>
      </c>
      <c r="J3599" s="7">
        <v>6.2000000000000003E-5</v>
      </c>
      <c r="K3599" s="9">
        <v>1640.08</v>
      </c>
      <c r="L3599" s="14">
        <v>0</v>
      </c>
      <c r="M3599" s="2" t="s">
        <v>71</v>
      </c>
      <c r="N3599" s="2" t="s">
        <v>16706</v>
      </c>
      <c r="O3599" s="2" t="s">
        <v>9015</v>
      </c>
      <c r="P3599" s="9">
        <v>1.8</v>
      </c>
      <c r="Q3599" s="9">
        <v>1653.3</v>
      </c>
      <c r="R3599" s="2" t="s">
        <v>16711</v>
      </c>
    </row>
    <row r="3600" spans="1:18" x14ac:dyDescent="0.25">
      <c r="A3600" s="2" t="s">
        <v>9017</v>
      </c>
      <c r="B3600" s="6">
        <v>46204</v>
      </c>
      <c r="C3600" s="8">
        <v>46232</v>
      </c>
      <c r="D3600" s="2" t="s">
        <v>7433</v>
      </c>
      <c r="E3600" s="2" t="s">
        <v>260</v>
      </c>
      <c r="F3600" s="2" t="s">
        <v>16703</v>
      </c>
      <c r="G3600" s="2" t="s">
        <v>9018</v>
      </c>
      <c r="H3600" s="2" t="s">
        <v>76</v>
      </c>
      <c r="I3600" s="9">
        <v>39679296</v>
      </c>
      <c r="J3600" s="7">
        <v>6.2000000000000003E-5</v>
      </c>
      <c r="K3600" s="9">
        <v>2460.12</v>
      </c>
      <c r="L3600" s="14">
        <v>0</v>
      </c>
      <c r="M3600" s="2" t="s">
        <v>71</v>
      </c>
      <c r="N3600" s="2" t="s">
        <v>16706</v>
      </c>
      <c r="O3600" s="2" t="s">
        <v>9015</v>
      </c>
      <c r="P3600" s="9">
        <v>1.8</v>
      </c>
      <c r="Q3600" s="9">
        <v>2479.96</v>
      </c>
      <c r="R3600" s="2" t="s">
        <v>16711</v>
      </c>
    </row>
    <row r="3601" spans="1:18" x14ac:dyDescent="0.25">
      <c r="A3601" s="2" t="s">
        <v>9019</v>
      </c>
      <c r="B3601" s="6">
        <v>46204</v>
      </c>
      <c r="C3601" s="8">
        <v>46208</v>
      </c>
      <c r="D3601" s="2" t="s">
        <v>7433</v>
      </c>
      <c r="E3601" s="2" t="s">
        <v>260</v>
      </c>
      <c r="F3601" s="2" t="s">
        <v>16703</v>
      </c>
      <c r="G3601" s="2" t="s">
        <v>9021</v>
      </c>
      <c r="H3601" s="2" t="s">
        <v>70</v>
      </c>
      <c r="I3601" s="9">
        <v>2652.6796989999998</v>
      </c>
      <c r="J3601" s="7">
        <v>0.65800000000000003</v>
      </c>
      <c r="K3601" s="9">
        <v>1745.46</v>
      </c>
      <c r="L3601" s="14">
        <v>0</v>
      </c>
      <c r="M3601" s="2" t="s">
        <v>71</v>
      </c>
      <c r="N3601" s="2" t="s">
        <v>16706</v>
      </c>
      <c r="O3601" s="2" t="s">
        <v>9020</v>
      </c>
      <c r="P3601" s="9">
        <v>1.8</v>
      </c>
      <c r="Q3601" s="9">
        <v>1764.03</v>
      </c>
      <c r="R3601" s="2" t="s">
        <v>16711</v>
      </c>
    </row>
    <row r="3602" spans="1:18" x14ac:dyDescent="0.25">
      <c r="A3602" s="2" t="s">
        <v>9022</v>
      </c>
      <c r="B3602" s="6">
        <v>46204</v>
      </c>
      <c r="C3602" s="8">
        <v>46233</v>
      </c>
      <c r="D3602" s="2" t="s">
        <v>7433</v>
      </c>
      <c r="E3602" s="2" t="s">
        <v>260</v>
      </c>
      <c r="F3602" s="2" t="s">
        <v>16703</v>
      </c>
      <c r="G3602" s="2" t="s">
        <v>9023</v>
      </c>
      <c r="H3602" s="2" t="s">
        <v>70</v>
      </c>
      <c r="I3602" s="9">
        <v>3979.0195490000001</v>
      </c>
      <c r="J3602" s="7">
        <v>0.65800000000000003</v>
      </c>
      <c r="K3602" s="9">
        <v>2618.19</v>
      </c>
      <c r="L3602" s="14">
        <v>0</v>
      </c>
      <c r="M3602" s="2" t="s">
        <v>71</v>
      </c>
      <c r="N3602" s="2" t="s">
        <v>16706</v>
      </c>
      <c r="O3602" s="2" t="s">
        <v>9020</v>
      </c>
      <c r="P3602" s="9">
        <v>1.8</v>
      </c>
      <c r="Q3602" s="9">
        <v>2646.05</v>
      </c>
      <c r="R3602" s="2" t="s">
        <v>16711</v>
      </c>
    </row>
    <row r="3603" spans="1:18" x14ac:dyDescent="0.25">
      <c r="A3603" s="2" t="s">
        <v>9024</v>
      </c>
      <c r="B3603" s="6">
        <v>46204</v>
      </c>
      <c r="C3603" s="8">
        <v>46209</v>
      </c>
      <c r="D3603" s="2" t="s">
        <v>7433</v>
      </c>
      <c r="E3603" s="2" t="s">
        <v>260</v>
      </c>
      <c r="F3603" s="2" t="s">
        <v>16703</v>
      </c>
      <c r="G3603" s="2" t="s">
        <v>9026</v>
      </c>
      <c r="H3603" s="2" t="s">
        <v>39</v>
      </c>
      <c r="I3603" s="9">
        <v>1874.76</v>
      </c>
      <c r="J3603" s="7">
        <v>1</v>
      </c>
      <c r="K3603" s="9">
        <v>1874.76</v>
      </c>
      <c r="L3603" s="14">
        <v>0</v>
      </c>
      <c r="M3603" s="2" t="s">
        <v>71</v>
      </c>
      <c r="N3603" s="2" t="s">
        <v>16706</v>
      </c>
      <c r="O3603" s="2" t="s">
        <v>9025</v>
      </c>
      <c r="P3603" s="9">
        <v>1.8</v>
      </c>
      <c r="Q3603" s="9">
        <v>1874.76</v>
      </c>
      <c r="R3603" s="2" t="s">
        <v>16711</v>
      </c>
    </row>
    <row r="3604" spans="1:18" x14ac:dyDescent="0.25">
      <c r="A3604" s="2" t="s">
        <v>9027</v>
      </c>
      <c r="B3604" s="6">
        <v>46204</v>
      </c>
      <c r="C3604" s="8">
        <v>46234</v>
      </c>
      <c r="D3604" s="2" t="s">
        <v>7433</v>
      </c>
      <c r="E3604" s="2" t="s">
        <v>260</v>
      </c>
      <c r="F3604" s="2" t="s">
        <v>16703</v>
      </c>
      <c r="G3604" s="2" t="s">
        <v>9028</v>
      </c>
      <c r="H3604" s="2" t="s">
        <v>39</v>
      </c>
      <c r="I3604" s="9">
        <v>2812.14</v>
      </c>
      <c r="J3604" s="7">
        <v>1</v>
      </c>
      <c r="K3604" s="9">
        <v>2812.14</v>
      </c>
      <c r="L3604" s="14">
        <v>0</v>
      </c>
      <c r="M3604" s="2" t="s">
        <v>71</v>
      </c>
      <c r="N3604" s="2" t="s">
        <v>16706</v>
      </c>
      <c r="O3604" s="2" t="s">
        <v>9025</v>
      </c>
      <c r="P3604" s="9">
        <v>1.8</v>
      </c>
      <c r="Q3604" s="9">
        <v>2812.14</v>
      </c>
      <c r="R3604" s="2" t="s">
        <v>16711</v>
      </c>
    </row>
    <row r="3605" spans="1:18" x14ac:dyDescent="0.25">
      <c r="A3605" s="2" t="s">
        <v>9029</v>
      </c>
      <c r="B3605" s="6">
        <v>46204</v>
      </c>
      <c r="C3605" s="8">
        <v>46210</v>
      </c>
      <c r="D3605" s="2" t="s">
        <v>7433</v>
      </c>
      <c r="E3605" s="2" t="s">
        <v>260</v>
      </c>
      <c r="F3605" s="2" t="s">
        <v>16703</v>
      </c>
      <c r="G3605" s="2" t="s">
        <v>9031</v>
      </c>
      <c r="H3605" s="2" t="s">
        <v>76</v>
      </c>
      <c r="I3605" s="9">
        <v>31767744</v>
      </c>
      <c r="J3605" s="7">
        <v>6.2000000000000003E-5</v>
      </c>
      <c r="K3605" s="9">
        <v>1969.6</v>
      </c>
      <c r="L3605" s="14">
        <v>0</v>
      </c>
      <c r="M3605" s="2" t="s">
        <v>71</v>
      </c>
      <c r="N3605" s="2" t="s">
        <v>16706</v>
      </c>
      <c r="O3605" s="2" t="s">
        <v>9030</v>
      </c>
      <c r="P3605" s="9">
        <v>1.8</v>
      </c>
      <c r="Q3605" s="9">
        <v>1985.48</v>
      </c>
      <c r="R3605" s="2" t="s">
        <v>16711</v>
      </c>
    </row>
    <row r="3606" spans="1:18" x14ac:dyDescent="0.25">
      <c r="A3606" s="2" t="s">
        <v>9034</v>
      </c>
      <c r="B3606" s="6">
        <v>46204</v>
      </c>
      <c r="C3606" s="8">
        <v>46211</v>
      </c>
      <c r="D3606" s="2" t="s">
        <v>7433</v>
      </c>
      <c r="E3606" s="2" t="s">
        <v>260</v>
      </c>
      <c r="F3606" s="2" t="s">
        <v>16703</v>
      </c>
      <c r="G3606" s="2" t="s">
        <v>9036</v>
      </c>
      <c r="H3606" s="2" t="s">
        <v>70</v>
      </c>
      <c r="I3606" s="9">
        <v>3152.198496</v>
      </c>
      <c r="J3606" s="7">
        <v>0.65800000000000003</v>
      </c>
      <c r="K3606" s="9">
        <v>2074.15</v>
      </c>
      <c r="L3606" s="14">
        <v>0</v>
      </c>
      <c r="M3606" s="2" t="s">
        <v>71</v>
      </c>
      <c r="N3606" s="2" t="s">
        <v>16706</v>
      </c>
      <c r="O3606" s="2" t="s">
        <v>9035</v>
      </c>
      <c r="P3606" s="9">
        <v>1.8</v>
      </c>
      <c r="Q3606" s="9">
        <v>2096.21</v>
      </c>
      <c r="R3606" s="2" t="s">
        <v>16711</v>
      </c>
    </row>
    <row r="3607" spans="1:18" x14ac:dyDescent="0.25">
      <c r="A3607" s="2" t="s">
        <v>9039</v>
      </c>
      <c r="B3607" s="6">
        <v>46204</v>
      </c>
      <c r="C3607" s="8">
        <v>46212</v>
      </c>
      <c r="D3607" s="2" t="s">
        <v>7433</v>
      </c>
      <c r="E3607" s="2" t="s">
        <v>260</v>
      </c>
      <c r="F3607" s="2" t="s">
        <v>16703</v>
      </c>
      <c r="G3607" s="2" t="s">
        <v>9041</v>
      </c>
      <c r="H3607" s="2" t="s">
        <v>39</v>
      </c>
      <c r="I3607" s="9">
        <v>2206.9360000000001</v>
      </c>
      <c r="J3607" s="7">
        <v>1</v>
      </c>
      <c r="K3607" s="9">
        <v>2206.94</v>
      </c>
      <c r="L3607" s="14">
        <v>0</v>
      </c>
      <c r="M3607" s="2" t="s">
        <v>71</v>
      </c>
      <c r="N3607" s="2" t="s">
        <v>16706</v>
      </c>
      <c r="O3607" s="2" t="s">
        <v>9040</v>
      </c>
      <c r="P3607" s="9">
        <v>1.8</v>
      </c>
      <c r="Q3607" s="9">
        <v>2206.94</v>
      </c>
      <c r="R3607" s="2" t="s">
        <v>16711</v>
      </c>
    </row>
    <row r="3608" spans="1:18" x14ac:dyDescent="0.25">
      <c r="A3608" s="2" t="s">
        <v>9044</v>
      </c>
      <c r="B3608" s="6">
        <v>46204</v>
      </c>
      <c r="C3608" s="8">
        <v>46213</v>
      </c>
      <c r="D3608" s="2" t="s">
        <v>7433</v>
      </c>
      <c r="E3608" s="2" t="s">
        <v>260</v>
      </c>
      <c r="F3608" s="2" t="s">
        <v>16703</v>
      </c>
      <c r="G3608" s="2" t="s">
        <v>9046</v>
      </c>
      <c r="H3608" s="2" t="s">
        <v>76</v>
      </c>
      <c r="I3608" s="9">
        <v>37082624</v>
      </c>
      <c r="J3608" s="7">
        <v>6.2000000000000003E-5</v>
      </c>
      <c r="K3608" s="9">
        <v>2299.12</v>
      </c>
      <c r="L3608" s="14">
        <v>0</v>
      </c>
      <c r="M3608" s="2" t="s">
        <v>71</v>
      </c>
      <c r="N3608" s="2" t="s">
        <v>16706</v>
      </c>
      <c r="O3608" s="2" t="s">
        <v>9045</v>
      </c>
      <c r="P3608" s="9">
        <v>1.8</v>
      </c>
      <c r="Q3608" s="9">
        <v>2317.66</v>
      </c>
      <c r="R3608" s="2" t="s">
        <v>16711</v>
      </c>
    </row>
    <row r="3609" spans="1:18" x14ac:dyDescent="0.25">
      <c r="A3609" s="2" t="s">
        <v>9049</v>
      </c>
      <c r="B3609" s="6">
        <v>46204</v>
      </c>
      <c r="C3609" s="8">
        <v>46214</v>
      </c>
      <c r="D3609" s="2" t="s">
        <v>7433</v>
      </c>
      <c r="E3609" s="2" t="s">
        <v>260</v>
      </c>
      <c r="F3609" s="2" t="s">
        <v>16703</v>
      </c>
      <c r="G3609" s="2" t="s">
        <v>9051</v>
      </c>
      <c r="H3609" s="2" t="s">
        <v>70</v>
      </c>
      <c r="I3609" s="9">
        <v>3651.7172930000002</v>
      </c>
      <c r="J3609" s="7">
        <v>0.65800000000000003</v>
      </c>
      <c r="K3609" s="9">
        <v>2402.83</v>
      </c>
      <c r="L3609" s="14">
        <v>0</v>
      </c>
      <c r="M3609" s="2" t="s">
        <v>71</v>
      </c>
      <c r="N3609" s="2" t="s">
        <v>16706</v>
      </c>
      <c r="O3609" s="2" t="s">
        <v>9050</v>
      </c>
      <c r="P3609" s="9">
        <v>1.8</v>
      </c>
      <c r="Q3609" s="9">
        <v>2428.39</v>
      </c>
      <c r="R3609" s="2" t="s">
        <v>16711</v>
      </c>
    </row>
    <row r="3610" spans="1:18" x14ac:dyDescent="0.25">
      <c r="A3610" s="2" t="s">
        <v>9054</v>
      </c>
      <c r="B3610" s="6">
        <v>46204</v>
      </c>
      <c r="C3610" s="8">
        <v>46215</v>
      </c>
      <c r="D3610" s="2" t="s">
        <v>7433</v>
      </c>
      <c r="E3610" s="2" t="s">
        <v>260</v>
      </c>
      <c r="F3610" s="2" t="s">
        <v>16703</v>
      </c>
      <c r="G3610" s="2" t="s">
        <v>9056</v>
      </c>
      <c r="H3610" s="2" t="s">
        <v>39</v>
      </c>
      <c r="I3610" s="9">
        <v>-6347.79</v>
      </c>
      <c r="J3610" s="7">
        <v>1</v>
      </c>
      <c r="K3610" s="9">
        <v>-6347.79</v>
      </c>
      <c r="L3610" s="14">
        <v>0</v>
      </c>
      <c r="M3610" s="2" t="s">
        <v>71</v>
      </c>
      <c r="N3610" s="2" t="s">
        <v>16706</v>
      </c>
      <c r="O3610" s="2" t="s">
        <v>9055</v>
      </c>
      <c r="P3610" s="9">
        <v>0</v>
      </c>
      <c r="Q3610" s="9">
        <v>-6347.79</v>
      </c>
      <c r="R3610" s="2" t="s">
        <v>16711</v>
      </c>
    </row>
    <row r="3611" spans="1:18" x14ac:dyDescent="0.25">
      <c r="A3611" s="2" t="s">
        <v>9057</v>
      </c>
      <c r="B3611" s="6">
        <v>46204</v>
      </c>
      <c r="C3611" s="8">
        <v>46216</v>
      </c>
      <c r="D3611" s="2" t="s">
        <v>7433</v>
      </c>
      <c r="E3611" s="2" t="s">
        <v>260</v>
      </c>
      <c r="F3611" s="2" t="s">
        <v>16703</v>
      </c>
      <c r="G3611" s="2" t="s">
        <v>9059</v>
      </c>
      <c r="H3611" s="2" t="s">
        <v>76</v>
      </c>
      <c r="I3611" s="9">
        <v>42397504</v>
      </c>
      <c r="J3611" s="7">
        <v>6.2000000000000003E-5</v>
      </c>
      <c r="K3611" s="9">
        <v>2628.65</v>
      </c>
      <c r="L3611" s="14">
        <v>0</v>
      </c>
      <c r="M3611" s="2" t="s">
        <v>71</v>
      </c>
      <c r="N3611" s="2" t="s">
        <v>16706</v>
      </c>
      <c r="O3611" s="2" t="s">
        <v>9058</v>
      </c>
      <c r="P3611" s="9">
        <v>1.8</v>
      </c>
      <c r="Q3611" s="9">
        <v>2649.84</v>
      </c>
      <c r="R3611" s="2" t="s">
        <v>16711</v>
      </c>
    </row>
    <row r="3612" spans="1:18" x14ac:dyDescent="0.25">
      <c r="A3612" s="2" t="s">
        <v>9062</v>
      </c>
      <c r="B3612" s="6">
        <v>46204</v>
      </c>
      <c r="C3612" s="8">
        <v>46217</v>
      </c>
      <c r="D3612" s="2" t="s">
        <v>7433</v>
      </c>
      <c r="E3612" s="2" t="s">
        <v>260</v>
      </c>
      <c r="F3612" s="2" t="s">
        <v>16703</v>
      </c>
      <c r="G3612" s="2" t="s">
        <v>9064</v>
      </c>
      <c r="H3612" s="2" t="s">
        <v>70</v>
      </c>
      <c r="I3612" s="9">
        <v>4151.2300750000004</v>
      </c>
      <c r="J3612" s="7">
        <v>0.65800000000000003</v>
      </c>
      <c r="K3612" s="9">
        <v>2731.51</v>
      </c>
      <c r="L3612" s="14">
        <v>0</v>
      </c>
      <c r="M3612" s="2" t="s">
        <v>71</v>
      </c>
      <c r="N3612" s="2" t="s">
        <v>16706</v>
      </c>
      <c r="O3612" s="2" t="s">
        <v>9063</v>
      </c>
      <c r="P3612" s="9">
        <v>1.8</v>
      </c>
      <c r="Q3612" s="9">
        <v>2760.57</v>
      </c>
      <c r="R3612" s="2" t="s">
        <v>16711</v>
      </c>
    </row>
    <row r="3613" spans="1:18" x14ac:dyDescent="0.25">
      <c r="A3613" s="2" t="s">
        <v>9067</v>
      </c>
      <c r="B3613" s="6">
        <v>46174</v>
      </c>
      <c r="C3613" s="8">
        <v>46188</v>
      </c>
      <c r="D3613" s="2" t="s">
        <v>7433</v>
      </c>
      <c r="E3613" s="2" t="s">
        <v>260</v>
      </c>
      <c r="F3613" s="2" t="s">
        <v>16703</v>
      </c>
      <c r="G3613" s="2" t="s">
        <v>9069</v>
      </c>
      <c r="H3613" s="2" t="s">
        <v>39</v>
      </c>
      <c r="I3613" s="9">
        <v>2871.2959999999998</v>
      </c>
      <c r="J3613" s="7">
        <v>1</v>
      </c>
      <c r="K3613" s="9">
        <v>2871.3</v>
      </c>
      <c r="L3613" s="14">
        <v>0</v>
      </c>
      <c r="M3613" s="2" t="s">
        <v>71</v>
      </c>
      <c r="N3613" s="2" t="s">
        <v>16704</v>
      </c>
      <c r="O3613" s="2" t="s">
        <v>9068</v>
      </c>
      <c r="P3613" s="9">
        <v>1.8</v>
      </c>
      <c r="Q3613" s="9">
        <v>2871.3</v>
      </c>
      <c r="R3613" s="2" t="s">
        <v>16710</v>
      </c>
    </row>
    <row r="3614" spans="1:18" x14ac:dyDescent="0.25">
      <c r="A3614" s="2" t="s">
        <v>9070</v>
      </c>
      <c r="B3614" s="6">
        <v>46204</v>
      </c>
      <c r="C3614" s="8">
        <v>46213</v>
      </c>
      <c r="D3614" s="2" t="s">
        <v>7433</v>
      </c>
      <c r="E3614" s="2" t="s">
        <v>260</v>
      </c>
      <c r="F3614" s="2" t="s">
        <v>16703</v>
      </c>
      <c r="G3614" s="2" t="s">
        <v>9071</v>
      </c>
      <c r="H3614" s="2" t="s">
        <v>39</v>
      </c>
      <c r="I3614" s="9">
        <v>4306.9440000000004</v>
      </c>
      <c r="J3614" s="7">
        <v>1</v>
      </c>
      <c r="K3614" s="9">
        <v>4306.9399999999996</v>
      </c>
      <c r="L3614" s="14">
        <v>0</v>
      </c>
      <c r="M3614" s="2" t="s">
        <v>71</v>
      </c>
      <c r="N3614" s="2" t="s">
        <v>16706</v>
      </c>
      <c r="O3614" s="2" t="s">
        <v>9068</v>
      </c>
      <c r="P3614" s="9">
        <v>2.37</v>
      </c>
      <c r="Q3614" s="9">
        <v>4306.9399999999996</v>
      </c>
      <c r="R3614" s="2" t="s">
        <v>16711</v>
      </c>
    </row>
    <row r="3615" spans="1:18" x14ac:dyDescent="0.25">
      <c r="A3615" s="2" t="s">
        <v>9072</v>
      </c>
      <c r="B3615" s="6">
        <v>46174</v>
      </c>
      <c r="C3615" s="8">
        <v>46189</v>
      </c>
      <c r="D3615" s="2" t="s">
        <v>7433</v>
      </c>
      <c r="E3615" s="2" t="s">
        <v>260</v>
      </c>
      <c r="F3615" s="2" t="s">
        <v>16703</v>
      </c>
      <c r="G3615" s="2" t="s">
        <v>9074</v>
      </c>
      <c r="H3615" s="2" t="s">
        <v>76</v>
      </c>
      <c r="I3615" s="9">
        <v>47712384</v>
      </c>
      <c r="J3615" s="7">
        <v>6.2500000000000001E-5</v>
      </c>
      <c r="K3615" s="9">
        <v>2982.02</v>
      </c>
      <c r="L3615" s="14">
        <v>0</v>
      </c>
      <c r="M3615" s="2" t="s">
        <v>71</v>
      </c>
      <c r="N3615" s="2" t="s">
        <v>16704</v>
      </c>
      <c r="O3615" s="2" t="s">
        <v>9073</v>
      </c>
      <c r="P3615" s="9">
        <v>1.8</v>
      </c>
      <c r="Q3615" s="9">
        <v>2982.02</v>
      </c>
      <c r="R3615" s="2" t="s">
        <v>16710</v>
      </c>
    </row>
    <row r="3616" spans="1:18" x14ac:dyDescent="0.25">
      <c r="A3616" s="2" t="s">
        <v>9075</v>
      </c>
      <c r="B3616" s="6">
        <v>46204</v>
      </c>
      <c r="C3616" s="8">
        <v>46214</v>
      </c>
      <c r="D3616" s="2" t="s">
        <v>7433</v>
      </c>
      <c r="E3616" s="2" t="s">
        <v>260</v>
      </c>
      <c r="F3616" s="2" t="s">
        <v>16703</v>
      </c>
      <c r="G3616" s="2" t="s">
        <v>9076</v>
      </c>
      <c r="H3616" s="2" t="s">
        <v>76</v>
      </c>
      <c r="I3616" s="9">
        <v>71568576</v>
      </c>
      <c r="J3616" s="7">
        <v>6.2000000000000003E-5</v>
      </c>
      <c r="K3616" s="9">
        <v>4437.25</v>
      </c>
      <c r="L3616" s="14">
        <v>0</v>
      </c>
      <c r="M3616" s="2" t="s">
        <v>71</v>
      </c>
      <c r="N3616" s="2" t="s">
        <v>16706</v>
      </c>
      <c r="O3616" s="2" t="s">
        <v>9073</v>
      </c>
      <c r="P3616" s="9">
        <v>2.44</v>
      </c>
      <c r="Q3616" s="9">
        <v>4473.04</v>
      </c>
      <c r="R3616" s="2" t="s">
        <v>16711</v>
      </c>
    </row>
    <row r="3617" spans="1:18" x14ac:dyDescent="0.25">
      <c r="A3617" s="2" t="s">
        <v>9077</v>
      </c>
      <c r="B3617" s="6">
        <v>46174</v>
      </c>
      <c r="C3617" s="8">
        <v>46190</v>
      </c>
      <c r="D3617" s="2" t="s">
        <v>7433</v>
      </c>
      <c r="E3617" s="2" t="s">
        <v>260</v>
      </c>
      <c r="F3617" s="2" t="s">
        <v>16703</v>
      </c>
      <c r="G3617" s="2" t="s">
        <v>9079</v>
      </c>
      <c r="H3617" s="2" t="s">
        <v>70</v>
      </c>
      <c r="I3617" s="9">
        <v>4650.7548870000001</v>
      </c>
      <c r="J3617" s="7">
        <v>0.66500000000000004</v>
      </c>
      <c r="K3617" s="9">
        <v>3092.75</v>
      </c>
      <c r="L3617" s="14">
        <v>0</v>
      </c>
      <c r="M3617" s="2" t="s">
        <v>71</v>
      </c>
      <c r="N3617" s="2" t="s">
        <v>16704</v>
      </c>
      <c r="O3617" s="2" t="s">
        <v>9078</v>
      </c>
      <c r="P3617" s="9">
        <v>1.8</v>
      </c>
      <c r="Q3617" s="9">
        <v>3092.75</v>
      </c>
      <c r="R3617" s="2" t="s">
        <v>16710</v>
      </c>
    </row>
    <row r="3618" spans="1:18" x14ac:dyDescent="0.25">
      <c r="A3618" s="2" t="s">
        <v>9080</v>
      </c>
      <c r="B3618" s="6">
        <v>46204</v>
      </c>
      <c r="C3618" s="8">
        <v>46215</v>
      </c>
      <c r="D3618" s="2" t="s">
        <v>7433</v>
      </c>
      <c r="E3618" s="2" t="s">
        <v>260</v>
      </c>
      <c r="F3618" s="2" t="s">
        <v>16703</v>
      </c>
      <c r="G3618" s="2" t="s">
        <v>9081</v>
      </c>
      <c r="H3618" s="2" t="s">
        <v>70</v>
      </c>
      <c r="I3618" s="9">
        <v>6976.1323309999998</v>
      </c>
      <c r="J3618" s="7">
        <v>0.65800000000000003</v>
      </c>
      <c r="K3618" s="9">
        <v>4590.3</v>
      </c>
      <c r="L3618" s="14">
        <v>0</v>
      </c>
      <c r="M3618" s="2" t="s">
        <v>71</v>
      </c>
      <c r="N3618" s="2" t="s">
        <v>16706</v>
      </c>
      <c r="O3618" s="2" t="s">
        <v>9078</v>
      </c>
      <c r="P3618" s="9">
        <v>2.52</v>
      </c>
      <c r="Q3618" s="9">
        <v>4639.13</v>
      </c>
      <c r="R3618" s="2" t="s">
        <v>16711</v>
      </c>
    </row>
    <row r="3619" spans="1:18" x14ac:dyDescent="0.25">
      <c r="A3619" s="2" t="s">
        <v>9122</v>
      </c>
      <c r="B3619" s="6">
        <v>46204</v>
      </c>
      <c r="C3619" s="8">
        <v>46218</v>
      </c>
      <c r="D3619" s="2" t="s">
        <v>7433</v>
      </c>
      <c r="E3619" s="2" t="s">
        <v>260</v>
      </c>
      <c r="F3619" s="2" t="s">
        <v>16703</v>
      </c>
      <c r="G3619" s="2" t="s">
        <v>9124</v>
      </c>
      <c r="H3619" s="2" t="s">
        <v>70</v>
      </c>
      <c r="I3619" s="9">
        <v>6214.7173249999996</v>
      </c>
      <c r="J3619" s="7">
        <v>0.65800000000000003</v>
      </c>
      <c r="K3619" s="9">
        <v>4089.28</v>
      </c>
      <c r="L3619" s="14">
        <v>0</v>
      </c>
      <c r="M3619" s="2" t="s">
        <v>71</v>
      </c>
      <c r="N3619" s="2" t="s">
        <v>16706</v>
      </c>
      <c r="O3619" s="2" t="s">
        <v>9123</v>
      </c>
      <c r="P3619" s="9">
        <v>2.25</v>
      </c>
      <c r="Q3619" s="9">
        <v>4089.28</v>
      </c>
      <c r="R3619" s="2" t="s">
        <v>16711</v>
      </c>
    </row>
    <row r="3620" spans="1:18" x14ac:dyDescent="0.25">
      <c r="A3620" s="2" t="s">
        <v>9127</v>
      </c>
      <c r="B3620" s="6">
        <v>46204</v>
      </c>
      <c r="C3620" s="8">
        <v>46219</v>
      </c>
      <c r="D3620" s="2" t="s">
        <v>7433</v>
      </c>
      <c r="E3620" s="2" t="s">
        <v>260</v>
      </c>
      <c r="F3620" s="2" t="s">
        <v>16703</v>
      </c>
      <c r="G3620" s="2" t="s">
        <v>9129</v>
      </c>
      <c r="H3620" s="2" t="s">
        <v>39</v>
      </c>
      <c r="I3620" s="9">
        <v>4200.0119999999997</v>
      </c>
      <c r="J3620" s="7">
        <v>1</v>
      </c>
      <c r="K3620" s="9">
        <v>4200.01</v>
      </c>
      <c r="L3620" s="14">
        <v>0</v>
      </c>
      <c r="M3620" s="2" t="s">
        <v>71</v>
      </c>
      <c r="N3620" s="2" t="s">
        <v>16706</v>
      </c>
      <c r="O3620" s="2" t="s">
        <v>9128</v>
      </c>
      <c r="P3620" s="9">
        <v>2.31</v>
      </c>
      <c r="Q3620" s="9">
        <v>4200.01</v>
      </c>
      <c r="R3620" s="2" t="s">
        <v>16711</v>
      </c>
    </row>
    <row r="3621" spans="1:18" x14ac:dyDescent="0.25">
      <c r="A3621" s="2" t="s">
        <v>9132</v>
      </c>
      <c r="B3621" s="6">
        <v>46204</v>
      </c>
      <c r="C3621" s="8">
        <v>46220</v>
      </c>
      <c r="D3621" s="2" t="s">
        <v>7433</v>
      </c>
      <c r="E3621" s="2" t="s">
        <v>260</v>
      </c>
      <c r="F3621" s="2" t="s">
        <v>16703</v>
      </c>
      <c r="G3621" s="2" t="s">
        <v>9134</v>
      </c>
      <c r="H3621" s="2" t="s">
        <v>76</v>
      </c>
      <c r="I3621" s="9">
        <v>69528064.516129002</v>
      </c>
      <c r="J3621" s="7">
        <v>6.2000000000000003E-5</v>
      </c>
      <c r="K3621" s="9">
        <v>4310.74</v>
      </c>
      <c r="L3621" s="14">
        <v>0</v>
      </c>
      <c r="M3621" s="2" t="s">
        <v>71</v>
      </c>
      <c r="N3621" s="2" t="s">
        <v>16706</v>
      </c>
      <c r="O3621" s="2" t="s">
        <v>9133</v>
      </c>
      <c r="P3621" s="9">
        <v>2.37</v>
      </c>
      <c r="Q3621" s="9">
        <v>4310.74</v>
      </c>
      <c r="R3621" s="2" t="s">
        <v>16711</v>
      </c>
    </row>
    <row r="3622" spans="1:18" x14ac:dyDescent="0.25">
      <c r="A3622" s="2" t="s">
        <v>9137</v>
      </c>
      <c r="B3622" s="6">
        <v>46204</v>
      </c>
      <c r="C3622" s="8">
        <v>46221</v>
      </c>
      <c r="D3622" s="2" t="s">
        <v>7433</v>
      </c>
      <c r="E3622" s="2" t="s">
        <v>260</v>
      </c>
      <c r="F3622" s="2" t="s">
        <v>16703</v>
      </c>
      <c r="G3622" s="2" t="s">
        <v>9139</v>
      </c>
      <c r="H3622" s="2" t="s">
        <v>70</v>
      </c>
      <c r="I3622" s="9">
        <v>6719.5501519999998</v>
      </c>
      <c r="J3622" s="7">
        <v>0.65800000000000003</v>
      </c>
      <c r="K3622" s="9">
        <v>4421.46</v>
      </c>
      <c r="L3622" s="14">
        <v>0</v>
      </c>
      <c r="M3622" s="2" t="s">
        <v>71</v>
      </c>
      <c r="N3622" s="2" t="s">
        <v>16706</v>
      </c>
      <c r="O3622" s="2" t="s">
        <v>9138</v>
      </c>
      <c r="P3622" s="9">
        <v>2.4300000000000002</v>
      </c>
      <c r="Q3622" s="9">
        <v>4421.46</v>
      </c>
      <c r="R3622" s="2" t="s">
        <v>16711</v>
      </c>
    </row>
    <row r="3623" spans="1:18" x14ac:dyDescent="0.25">
      <c r="A3623" s="2" t="s">
        <v>9142</v>
      </c>
      <c r="B3623" s="6">
        <v>46204</v>
      </c>
      <c r="C3623" s="8">
        <v>46222</v>
      </c>
      <c r="D3623" s="2" t="s">
        <v>7433</v>
      </c>
      <c r="E3623" s="2" t="s">
        <v>260</v>
      </c>
      <c r="F3623" s="2" t="s">
        <v>16703</v>
      </c>
      <c r="G3623" s="2" t="s">
        <v>9144</v>
      </c>
      <c r="H3623" s="2" t="s">
        <v>39</v>
      </c>
      <c r="I3623" s="9">
        <v>4532.192</v>
      </c>
      <c r="J3623" s="7">
        <v>1</v>
      </c>
      <c r="K3623" s="9">
        <v>4532.1899999999996</v>
      </c>
      <c r="L3623" s="14">
        <v>0</v>
      </c>
      <c r="M3623" s="2" t="s">
        <v>71</v>
      </c>
      <c r="N3623" s="2" t="s">
        <v>16706</v>
      </c>
      <c r="O3623" s="2" t="s">
        <v>9143</v>
      </c>
      <c r="P3623" s="9">
        <v>2.4900000000000002</v>
      </c>
      <c r="Q3623" s="9">
        <v>4532.1899999999996</v>
      </c>
      <c r="R3623" s="2" t="s">
        <v>16711</v>
      </c>
    </row>
    <row r="3624" spans="1:18" x14ac:dyDescent="0.25">
      <c r="A3624" s="2" t="s">
        <v>9147</v>
      </c>
      <c r="B3624" s="6">
        <v>46204</v>
      </c>
      <c r="C3624" s="8">
        <v>46223</v>
      </c>
      <c r="D3624" s="2" t="s">
        <v>7433</v>
      </c>
      <c r="E3624" s="2" t="s">
        <v>260</v>
      </c>
      <c r="F3624" s="2" t="s">
        <v>16703</v>
      </c>
      <c r="G3624" s="2" t="s">
        <v>9149</v>
      </c>
      <c r="H3624" s="2" t="s">
        <v>76</v>
      </c>
      <c r="I3624" s="9">
        <v>74885806.451612994</v>
      </c>
      <c r="J3624" s="7">
        <v>6.2000000000000003E-5</v>
      </c>
      <c r="K3624" s="9">
        <v>4642.92</v>
      </c>
      <c r="L3624" s="14">
        <v>0</v>
      </c>
      <c r="M3624" s="2" t="s">
        <v>71</v>
      </c>
      <c r="N3624" s="2" t="s">
        <v>16706</v>
      </c>
      <c r="O3624" s="2" t="s">
        <v>9148</v>
      </c>
      <c r="P3624" s="9">
        <v>2.5499999999999998</v>
      </c>
      <c r="Q3624" s="9">
        <v>4642.92</v>
      </c>
      <c r="R3624" s="2" t="s">
        <v>16711</v>
      </c>
    </row>
    <row r="3625" spans="1:18" x14ac:dyDescent="0.25">
      <c r="A3625" s="2" t="s">
        <v>9152</v>
      </c>
      <c r="B3625" s="6">
        <v>46204</v>
      </c>
      <c r="C3625" s="8">
        <v>46224</v>
      </c>
      <c r="D3625" s="2" t="s">
        <v>7433</v>
      </c>
      <c r="E3625" s="2" t="s">
        <v>260</v>
      </c>
      <c r="F3625" s="2" t="s">
        <v>16703</v>
      </c>
      <c r="G3625" s="2" t="s">
        <v>9154</v>
      </c>
      <c r="H3625" s="2" t="s">
        <v>70</v>
      </c>
      <c r="I3625" s="9">
        <v>7224.382979</v>
      </c>
      <c r="J3625" s="7">
        <v>0.65800000000000003</v>
      </c>
      <c r="K3625" s="9">
        <v>4753.6400000000003</v>
      </c>
      <c r="L3625" s="14">
        <v>0</v>
      </c>
      <c r="M3625" s="2" t="s">
        <v>71</v>
      </c>
      <c r="N3625" s="2" t="s">
        <v>16706</v>
      </c>
      <c r="O3625" s="2" t="s">
        <v>9153</v>
      </c>
      <c r="P3625" s="9">
        <v>2.61</v>
      </c>
      <c r="Q3625" s="9">
        <v>4753.6400000000003</v>
      </c>
      <c r="R3625" s="2" t="s">
        <v>16711</v>
      </c>
    </row>
    <row r="3626" spans="1:18" x14ac:dyDescent="0.25">
      <c r="A3626" s="2" t="s">
        <v>9157</v>
      </c>
      <c r="B3626" s="6">
        <v>46204</v>
      </c>
      <c r="C3626" s="8">
        <v>46225</v>
      </c>
      <c r="D3626" s="2" t="s">
        <v>7433</v>
      </c>
      <c r="E3626" s="2" t="s">
        <v>260</v>
      </c>
      <c r="F3626" s="2" t="s">
        <v>16703</v>
      </c>
      <c r="G3626" s="2" t="s">
        <v>9159</v>
      </c>
      <c r="H3626" s="2" t="s">
        <v>39</v>
      </c>
      <c r="I3626" s="9">
        <v>4864.3720000000003</v>
      </c>
      <c r="J3626" s="7">
        <v>1</v>
      </c>
      <c r="K3626" s="9">
        <v>4864.37</v>
      </c>
      <c r="L3626" s="14">
        <v>0</v>
      </c>
      <c r="M3626" s="2" t="s">
        <v>71</v>
      </c>
      <c r="N3626" s="2" t="s">
        <v>16706</v>
      </c>
      <c r="O3626" s="2" t="s">
        <v>9158</v>
      </c>
      <c r="P3626" s="9">
        <v>2.68</v>
      </c>
      <c r="Q3626" s="9">
        <v>4864.37</v>
      </c>
      <c r="R3626" s="2" t="s">
        <v>16711</v>
      </c>
    </row>
    <row r="3627" spans="1:18" x14ac:dyDescent="0.25">
      <c r="A3627" s="2" t="s">
        <v>9162</v>
      </c>
      <c r="B3627" s="6">
        <v>46204</v>
      </c>
      <c r="C3627" s="8">
        <v>46226</v>
      </c>
      <c r="D3627" s="2" t="s">
        <v>7433</v>
      </c>
      <c r="E3627" s="2" t="s">
        <v>260</v>
      </c>
      <c r="F3627" s="2" t="s">
        <v>16703</v>
      </c>
      <c r="G3627" s="2" t="s">
        <v>9164</v>
      </c>
      <c r="H3627" s="2" t="s">
        <v>76</v>
      </c>
      <c r="I3627" s="9">
        <v>80243483.870967999</v>
      </c>
      <c r="J3627" s="7">
        <v>6.2000000000000003E-5</v>
      </c>
      <c r="K3627" s="9">
        <v>4975.1000000000004</v>
      </c>
      <c r="L3627" s="14">
        <v>0</v>
      </c>
      <c r="M3627" s="2" t="s">
        <v>71</v>
      </c>
      <c r="N3627" s="2" t="s">
        <v>16706</v>
      </c>
      <c r="O3627" s="2" t="s">
        <v>9163</v>
      </c>
      <c r="P3627" s="9">
        <v>2.74</v>
      </c>
      <c r="Q3627" s="9">
        <v>4975.1000000000004</v>
      </c>
      <c r="R3627" s="2" t="s">
        <v>16711</v>
      </c>
    </row>
    <row r="3628" spans="1:18" x14ac:dyDescent="0.25">
      <c r="A3628" s="2" t="s">
        <v>9167</v>
      </c>
      <c r="B3628" s="6">
        <v>46204</v>
      </c>
      <c r="C3628" s="8">
        <v>46227</v>
      </c>
      <c r="D3628" s="2" t="s">
        <v>7433</v>
      </c>
      <c r="E3628" s="2" t="s">
        <v>260</v>
      </c>
      <c r="F3628" s="2" t="s">
        <v>16703</v>
      </c>
      <c r="G3628" s="2" t="s">
        <v>9169</v>
      </c>
      <c r="H3628" s="2" t="s">
        <v>70</v>
      </c>
      <c r="I3628" s="9">
        <v>7729.2158060000002</v>
      </c>
      <c r="J3628" s="7">
        <v>0.65800000000000003</v>
      </c>
      <c r="K3628" s="9">
        <v>5085.82</v>
      </c>
      <c r="L3628" s="14">
        <v>0</v>
      </c>
      <c r="M3628" s="2" t="s">
        <v>71</v>
      </c>
      <c r="N3628" s="2" t="s">
        <v>16706</v>
      </c>
      <c r="O3628" s="2" t="s">
        <v>9168</v>
      </c>
      <c r="P3628" s="9">
        <v>2.8</v>
      </c>
      <c r="Q3628" s="9">
        <v>5085.82</v>
      </c>
      <c r="R3628" s="2" t="s">
        <v>16711</v>
      </c>
    </row>
    <row r="3629" spans="1:18" x14ac:dyDescent="0.25">
      <c r="A3629" s="2" t="s">
        <v>9172</v>
      </c>
      <c r="B3629" s="6">
        <v>46204</v>
      </c>
      <c r="C3629" s="8">
        <v>46228</v>
      </c>
      <c r="D3629" s="2" t="s">
        <v>7433</v>
      </c>
      <c r="E3629" s="2" t="s">
        <v>260</v>
      </c>
      <c r="F3629" s="2" t="s">
        <v>16703</v>
      </c>
      <c r="G3629" s="2" t="s">
        <v>9174</v>
      </c>
      <c r="H3629" s="2" t="s">
        <v>39</v>
      </c>
      <c r="I3629" s="9">
        <v>5196.5519999999997</v>
      </c>
      <c r="J3629" s="7">
        <v>1</v>
      </c>
      <c r="K3629" s="9">
        <v>5196.55</v>
      </c>
      <c r="L3629" s="14">
        <v>0</v>
      </c>
      <c r="M3629" s="2" t="s">
        <v>71</v>
      </c>
      <c r="N3629" s="2" t="s">
        <v>16706</v>
      </c>
      <c r="O3629" s="2" t="s">
        <v>9173</v>
      </c>
      <c r="P3629" s="9">
        <v>2.86</v>
      </c>
      <c r="Q3629" s="9">
        <v>5196.55</v>
      </c>
      <c r="R3629" s="2" t="s">
        <v>16711</v>
      </c>
    </row>
    <row r="3630" spans="1:18" x14ac:dyDescent="0.25">
      <c r="A3630" s="2" t="s">
        <v>9177</v>
      </c>
      <c r="B3630" s="6">
        <v>46204</v>
      </c>
      <c r="C3630" s="8">
        <v>46229</v>
      </c>
      <c r="D3630" s="2" t="s">
        <v>7433</v>
      </c>
      <c r="E3630" s="2" t="s">
        <v>260</v>
      </c>
      <c r="F3630" s="2" t="s">
        <v>16703</v>
      </c>
      <c r="G3630" s="2" t="s">
        <v>9179</v>
      </c>
      <c r="H3630" s="2" t="s">
        <v>76</v>
      </c>
      <c r="I3630" s="9">
        <v>85601225.806452006</v>
      </c>
      <c r="J3630" s="7">
        <v>6.2000000000000003E-5</v>
      </c>
      <c r="K3630" s="9">
        <v>5307.28</v>
      </c>
      <c r="L3630" s="14">
        <v>0</v>
      </c>
      <c r="M3630" s="2" t="s">
        <v>71</v>
      </c>
      <c r="N3630" s="2" t="s">
        <v>16706</v>
      </c>
      <c r="O3630" s="2" t="s">
        <v>9178</v>
      </c>
      <c r="P3630" s="9">
        <v>2.92</v>
      </c>
      <c r="Q3630" s="9">
        <v>5307.28</v>
      </c>
      <c r="R3630" s="2" t="s">
        <v>16711</v>
      </c>
    </row>
    <row r="3631" spans="1:18" x14ac:dyDescent="0.25">
      <c r="A3631" s="2" t="s">
        <v>9182</v>
      </c>
      <c r="B3631" s="6">
        <v>46204</v>
      </c>
      <c r="C3631" s="8">
        <v>46230</v>
      </c>
      <c r="D3631" s="2" t="s">
        <v>7433</v>
      </c>
      <c r="E3631" s="2" t="s">
        <v>260</v>
      </c>
      <c r="F3631" s="2" t="s">
        <v>16703</v>
      </c>
      <c r="G3631" s="2" t="s">
        <v>9184</v>
      </c>
      <c r="H3631" s="2" t="s">
        <v>70</v>
      </c>
      <c r="I3631" s="9">
        <v>8234.048632</v>
      </c>
      <c r="J3631" s="7">
        <v>0.65800000000000003</v>
      </c>
      <c r="K3631" s="9">
        <v>5418</v>
      </c>
      <c r="L3631" s="14">
        <v>0</v>
      </c>
      <c r="M3631" s="2" t="s">
        <v>71</v>
      </c>
      <c r="N3631" s="2" t="s">
        <v>16706</v>
      </c>
      <c r="O3631" s="2" t="s">
        <v>9183</v>
      </c>
      <c r="P3631" s="9">
        <v>2.98</v>
      </c>
      <c r="Q3631" s="9">
        <v>5418</v>
      </c>
      <c r="R3631" s="2" t="s">
        <v>16711</v>
      </c>
    </row>
    <row r="3632" spans="1:18" x14ac:dyDescent="0.25">
      <c r="A3632" s="2" t="s">
        <v>9187</v>
      </c>
      <c r="B3632" s="6">
        <v>46204</v>
      </c>
      <c r="C3632" s="8">
        <v>46231</v>
      </c>
      <c r="D3632" s="2" t="s">
        <v>7433</v>
      </c>
      <c r="E3632" s="2" t="s">
        <v>260</v>
      </c>
      <c r="F3632" s="2" t="s">
        <v>16703</v>
      </c>
      <c r="G3632" s="2" t="s">
        <v>9189</v>
      </c>
      <c r="H3632" s="2" t="s">
        <v>39</v>
      </c>
      <c r="I3632" s="9">
        <v>5528.7280000000001</v>
      </c>
      <c r="J3632" s="7">
        <v>1</v>
      </c>
      <c r="K3632" s="9">
        <v>5528.73</v>
      </c>
      <c r="L3632" s="14">
        <v>0</v>
      </c>
      <c r="M3632" s="2" t="s">
        <v>71</v>
      </c>
      <c r="N3632" s="2" t="s">
        <v>16706</v>
      </c>
      <c r="O3632" s="2" t="s">
        <v>9188</v>
      </c>
      <c r="P3632" s="9">
        <v>3.04</v>
      </c>
      <c r="Q3632" s="9">
        <v>5528.73</v>
      </c>
      <c r="R3632" s="2" t="s">
        <v>16711</v>
      </c>
    </row>
    <row r="3633" spans="1:18" x14ac:dyDescent="0.25">
      <c r="A3633" s="2" t="s">
        <v>9192</v>
      </c>
      <c r="B3633" s="6">
        <v>46204</v>
      </c>
      <c r="C3633" s="8">
        <v>46232</v>
      </c>
      <c r="D3633" s="2" t="s">
        <v>7433</v>
      </c>
      <c r="E3633" s="2" t="s">
        <v>260</v>
      </c>
      <c r="F3633" s="2" t="s">
        <v>16703</v>
      </c>
      <c r="G3633" s="2" t="s">
        <v>9194</v>
      </c>
      <c r="H3633" s="2" t="s">
        <v>76</v>
      </c>
      <c r="I3633" s="9">
        <v>90958967.741935998</v>
      </c>
      <c r="J3633" s="7">
        <v>6.2000000000000003E-5</v>
      </c>
      <c r="K3633" s="9">
        <v>5639.46</v>
      </c>
      <c r="L3633" s="14">
        <v>0</v>
      </c>
      <c r="M3633" s="2" t="s">
        <v>71</v>
      </c>
      <c r="N3633" s="2" t="s">
        <v>16706</v>
      </c>
      <c r="O3633" s="2" t="s">
        <v>9193</v>
      </c>
      <c r="P3633" s="9">
        <v>3.1</v>
      </c>
      <c r="Q3633" s="9">
        <v>5639.46</v>
      </c>
      <c r="R3633" s="2" t="s">
        <v>16711</v>
      </c>
    </row>
    <row r="3634" spans="1:18" x14ac:dyDescent="0.25">
      <c r="A3634" s="2" t="s">
        <v>9197</v>
      </c>
      <c r="B3634" s="6">
        <v>46204</v>
      </c>
      <c r="C3634" s="8">
        <v>46233</v>
      </c>
      <c r="D3634" s="2" t="s">
        <v>7433</v>
      </c>
      <c r="E3634" s="2" t="s">
        <v>260</v>
      </c>
      <c r="F3634" s="2" t="s">
        <v>16703</v>
      </c>
      <c r="G3634" s="2" t="s">
        <v>9199</v>
      </c>
      <c r="H3634" s="2" t="s">
        <v>70</v>
      </c>
      <c r="I3634" s="9">
        <v>8738.8814590000002</v>
      </c>
      <c r="J3634" s="7">
        <v>0.65800000000000003</v>
      </c>
      <c r="K3634" s="9">
        <v>5750.18</v>
      </c>
      <c r="L3634" s="14">
        <v>0</v>
      </c>
      <c r="M3634" s="2" t="s">
        <v>71</v>
      </c>
      <c r="N3634" s="2" t="s">
        <v>16706</v>
      </c>
      <c r="O3634" s="2" t="s">
        <v>9198</v>
      </c>
      <c r="P3634" s="9">
        <v>3.16</v>
      </c>
      <c r="Q3634" s="9">
        <v>5750.18</v>
      </c>
      <c r="R3634" s="2" t="s">
        <v>16711</v>
      </c>
    </row>
    <row r="3635" spans="1:18" x14ac:dyDescent="0.25">
      <c r="A3635" s="2" t="s">
        <v>9202</v>
      </c>
      <c r="B3635" s="6">
        <v>46204</v>
      </c>
      <c r="C3635" s="8">
        <v>46234</v>
      </c>
      <c r="D3635" s="2" t="s">
        <v>7433</v>
      </c>
      <c r="E3635" s="2" t="s">
        <v>260</v>
      </c>
      <c r="F3635" s="2" t="s">
        <v>16703</v>
      </c>
      <c r="G3635" s="2" t="s">
        <v>9204</v>
      </c>
      <c r="H3635" s="2" t="s">
        <v>39</v>
      </c>
      <c r="I3635" s="9">
        <v>5860.9080000000004</v>
      </c>
      <c r="J3635" s="7">
        <v>1</v>
      </c>
      <c r="K3635" s="9">
        <v>5860.91</v>
      </c>
      <c r="L3635" s="14">
        <v>0</v>
      </c>
      <c r="M3635" s="2" t="s">
        <v>71</v>
      </c>
      <c r="N3635" s="2" t="s">
        <v>16706</v>
      </c>
      <c r="O3635" s="2" t="s">
        <v>9203</v>
      </c>
      <c r="P3635" s="9">
        <v>3.22</v>
      </c>
      <c r="Q3635" s="9">
        <v>5860.91</v>
      </c>
      <c r="R3635" s="2" t="s">
        <v>16711</v>
      </c>
    </row>
    <row r="3636" spans="1:18" x14ac:dyDescent="0.25">
      <c r="A3636" s="2" t="s">
        <v>9275</v>
      </c>
      <c r="B3636" s="6">
        <v>46204</v>
      </c>
      <c r="C3636" s="8">
        <v>46218</v>
      </c>
      <c r="D3636" s="2" t="s">
        <v>7433</v>
      </c>
      <c r="E3636" s="2" t="s">
        <v>260</v>
      </c>
      <c r="F3636" s="2" t="s">
        <v>16703</v>
      </c>
      <c r="G3636" s="2" t="s">
        <v>9277</v>
      </c>
      <c r="H3636" s="2" t="s">
        <v>39</v>
      </c>
      <c r="I3636" s="9">
        <v>7521.8040000000001</v>
      </c>
      <c r="J3636" s="7">
        <v>1</v>
      </c>
      <c r="K3636" s="9">
        <v>7521.8</v>
      </c>
      <c r="L3636" s="14">
        <v>0</v>
      </c>
      <c r="M3636" s="2" t="s">
        <v>71</v>
      </c>
      <c r="N3636" s="2" t="s">
        <v>16706</v>
      </c>
      <c r="O3636" s="2" t="s">
        <v>9276</v>
      </c>
      <c r="P3636" s="9">
        <v>4.1399999999999997</v>
      </c>
      <c r="Q3636" s="9">
        <v>7521.8</v>
      </c>
      <c r="R3636" s="2" t="s">
        <v>16711</v>
      </c>
    </row>
    <row r="3637" spans="1:18" x14ac:dyDescent="0.25">
      <c r="A3637" s="2" t="s">
        <v>9280</v>
      </c>
      <c r="B3637" s="6">
        <v>46204</v>
      </c>
      <c r="C3637" s="8">
        <v>46219</v>
      </c>
      <c r="D3637" s="2" t="s">
        <v>7433</v>
      </c>
      <c r="E3637" s="2" t="s">
        <v>260</v>
      </c>
      <c r="F3637" s="2" t="s">
        <v>16703</v>
      </c>
      <c r="G3637" s="2" t="s">
        <v>9282</v>
      </c>
      <c r="H3637" s="2" t="s">
        <v>76</v>
      </c>
      <c r="I3637" s="9">
        <v>123105354.83871</v>
      </c>
      <c r="J3637" s="7">
        <v>6.2000000000000003E-5</v>
      </c>
      <c r="K3637" s="9">
        <v>7632.53</v>
      </c>
      <c r="L3637" s="14">
        <v>0</v>
      </c>
      <c r="M3637" s="2" t="s">
        <v>71</v>
      </c>
      <c r="N3637" s="2" t="s">
        <v>16706</v>
      </c>
      <c r="O3637" s="2" t="s">
        <v>9281</v>
      </c>
      <c r="P3637" s="9">
        <v>4.2</v>
      </c>
      <c r="Q3637" s="9">
        <v>7632.53</v>
      </c>
      <c r="R3637" s="2" t="s">
        <v>16711</v>
      </c>
    </row>
    <row r="3638" spans="1:18" x14ac:dyDescent="0.25">
      <c r="A3638" s="2" t="s">
        <v>9285</v>
      </c>
      <c r="B3638" s="6">
        <v>46204</v>
      </c>
      <c r="C3638" s="8">
        <v>46220</v>
      </c>
      <c r="D3638" s="2" t="s">
        <v>7433</v>
      </c>
      <c r="E3638" s="2" t="s">
        <v>260</v>
      </c>
      <c r="F3638" s="2" t="s">
        <v>16703</v>
      </c>
      <c r="G3638" s="2" t="s">
        <v>9287</v>
      </c>
      <c r="H3638" s="2" t="s">
        <v>70</v>
      </c>
      <c r="I3638" s="9">
        <v>11767.866260999999</v>
      </c>
      <c r="J3638" s="7">
        <v>0.65800000000000003</v>
      </c>
      <c r="K3638" s="9">
        <v>7743.26</v>
      </c>
      <c r="L3638" s="14">
        <v>0</v>
      </c>
      <c r="M3638" s="2" t="s">
        <v>71</v>
      </c>
      <c r="N3638" s="2" t="s">
        <v>16706</v>
      </c>
      <c r="O3638" s="2" t="s">
        <v>9286</v>
      </c>
      <c r="P3638" s="9">
        <v>4.26</v>
      </c>
      <c r="Q3638" s="9">
        <v>7743.26</v>
      </c>
      <c r="R3638" s="2" t="s">
        <v>16711</v>
      </c>
    </row>
    <row r="3639" spans="1:18" x14ac:dyDescent="0.25">
      <c r="A3639" s="2" t="s">
        <v>9290</v>
      </c>
      <c r="B3639" s="6">
        <v>46204</v>
      </c>
      <c r="C3639" s="8">
        <v>46221</v>
      </c>
      <c r="D3639" s="2" t="s">
        <v>7433</v>
      </c>
      <c r="E3639" s="2" t="s">
        <v>260</v>
      </c>
      <c r="F3639" s="2" t="s">
        <v>16703</v>
      </c>
      <c r="G3639" s="2" t="s">
        <v>9292</v>
      </c>
      <c r="H3639" s="2" t="s">
        <v>39</v>
      </c>
      <c r="I3639" s="9">
        <v>7853.9840000000004</v>
      </c>
      <c r="J3639" s="7">
        <v>1</v>
      </c>
      <c r="K3639" s="9">
        <v>7853.98</v>
      </c>
      <c r="L3639" s="14">
        <v>0</v>
      </c>
      <c r="M3639" s="2" t="s">
        <v>71</v>
      </c>
      <c r="N3639" s="2" t="s">
        <v>16706</v>
      </c>
      <c r="O3639" s="2" t="s">
        <v>9291</v>
      </c>
      <c r="P3639" s="9">
        <v>4.32</v>
      </c>
      <c r="Q3639" s="9">
        <v>7853.98</v>
      </c>
      <c r="R3639" s="2" t="s">
        <v>16711</v>
      </c>
    </row>
    <row r="3640" spans="1:18" x14ac:dyDescent="0.25">
      <c r="A3640" s="2" t="s">
        <v>9295</v>
      </c>
      <c r="B3640" s="6">
        <v>46204</v>
      </c>
      <c r="C3640" s="8">
        <v>46222</v>
      </c>
      <c r="D3640" s="2" t="s">
        <v>7433</v>
      </c>
      <c r="E3640" s="2" t="s">
        <v>260</v>
      </c>
      <c r="F3640" s="2" t="s">
        <v>16703</v>
      </c>
      <c r="G3640" s="2" t="s">
        <v>9297</v>
      </c>
      <c r="H3640" s="2" t="s">
        <v>76</v>
      </c>
      <c r="I3640" s="9">
        <v>128463096.774194</v>
      </c>
      <c r="J3640" s="7">
        <v>6.2000000000000003E-5</v>
      </c>
      <c r="K3640" s="9">
        <v>7964.71</v>
      </c>
      <c r="L3640" s="14">
        <v>0</v>
      </c>
      <c r="M3640" s="2" t="s">
        <v>71</v>
      </c>
      <c r="N3640" s="2" t="s">
        <v>16706</v>
      </c>
      <c r="O3640" s="2" t="s">
        <v>9296</v>
      </c>
      <c r="P3640" s="9">
        <v>4.38</v>
      </c>
      <c r="Q3640" s="9">
        <v>7964.71</v>
      </c>
      <c r="R3640" s="2" t="s">
        <v>16711</v>
      </c>
    </row>
    <row r="3641" spans="1:18" x14ac:dyDescent="0.25">
      <c r="A3641" s="2" t="s">
        <v>9300</v>
      </c>
      <c r="B3641" s="6">
        <v>46204</v>
      </c>
      <c r="C3641" s="8">
        <v>46223</v>
      </c>
      <c r="D3641" s="2" t="s">
        <v>7433</v>
      </c>
      <c r="E3641" s="2" t="s">
        <v>260</v>
      </c>
      <c r="F3641" s="2" t="s">
        <v>16703</v>
      </c>
      <c r="G3641" s="2" t="s">
        <v>9302</v>
      </c>
      <c r="H3641" s="2" t="s">
        <v>70</v>
      </c>
      <c r="I3641" s="9">
        <v>12272.699087999999</v>
      </c>
      <c r="J3641" s="7">
        <v>0.65800000000000003</v>
      </c>
      <c r="K3641" s="9">
        <v>8075.44</v>
      </c>
      <c r="L3641" s="14">
        <v>0</v>
      </c>
      <c r="M3641" s="2" t="s">
        <v>71</v>
      </c>
      <c r="N3641" s="2" t="s">
        <v>16706</v>
      </c>
      <c r="O3641" s="2" t="s">
        <v>9301</v>
      </c>
      <c r="P3641" s="9">
        <v>4.4400000000000004</v>
      </c>
      <c r="Q3641" s="9">
        <v>8075.44</v>
      </c>
      <c r="R3641" s="2" t="s">
        <v>16711</v>
      </c>
    </row>
    <row r="3642" spans="1:18" x14ac:dyDescent="0.25">
      <c r="A3642" s="2" t="s">
        <v>9305</v>
      </c>
      <c r="B3642" s="6">
        <v>46204</v>
      </c>
      <c r="C3642" s="8">
        <v>46224</v>
      </c>
      <c r="D3642" s="2" t="s">
        <v>7433</v>
      </c>
      <c r="E3642" s="2" t="s">
        <v>260</v>
      </c>
      <c r="F3642" s="2" t="s">
        <v>16703</v>
      </c>
      <c r="G3642" s="2" t="s">
        <v>9307</v>
      </c>
      <c r="H3642" s="2" t="s">
        <v>39</v>
      </c>
      <c r="I3642" s="9">
        <v>8186.1639999999998</v>
      </c>
      <c r="J3642" s="7">
        <v>1</v>
      </c>
      <c r="K3642" s="9">
        <v>8186.16</v>
      </c>
      <c r="L3642" s="14">
        <v>0</v>
      </c>
      <c r="M3642" s="2" t="s">
        <v>71</v>
      </c>
      <c r="N3642" s="2" t="s">
        <v>16706</v>
      </c>
      <c r="O3642" s="2" t="s">
        <v>9306</v>
      </c>
      <c r="P3642" s="9">
        <v>4.5</v>
      </c>
      <c r="Q3642" s="9">
        <v>8186.16</v>
      </c>
      <c r="R3642" s="2" t="s">
        <v>16711</v>
      </c>
    </row>
    <row r="3643" spans="1:18" x14ac:dyDescent="0.25">
      <c r="A3643" s="2" t="s">
        <v>9310</v>
      </c>
      <c r="B3643" s="6">
        <v>46204</v>
      </c>
      <c r="C3643" s="8">
        <v>46225</v>
      </c>
      <c r="D3643" s="2" t="s">
        <v>7433</v>
      </c>
      <c r="E3643" s="2" t="s">
        <v>260</v>
      </c>
      <c r="F3643" s="2" t="s">
        <v>16703</v>
      </c>
      <c r="G3643" s="2" t="s">
        <v>9312</v>
      </c>
      <c r="H3643" s="2" t="s">
        <v>76</v>
      </c>
      <c r="I3643" s="9">
        <v>133820774.19354799</v>
      </c>
      <c r="J3643" s="7">
        <v>6.2000000000000003E-5</v>
      </c>
      <c r="K3643" s="9">
        <v>8296.89</v>
      </c>
      <c r="L3643" s="14">
        <v>0</v>
      </c>
      <c r="M3643" s="2" t="s">
        <v>71</v>
      </c>
      <c r="N3643" s="2" t="s">
        <v>16706</v>
      </c>
      <c r="O3643" s="2" t="s">
        <v>9311</v>
      </c>
      <c r="P3643" s="9">
        <v>4.5599999999999996</v>
      </c>
      <c r="Q3643" s="9">
        <v>8296.89</v>
      </c>
      <c r="R3643" s="2" t="s">
        <v>16711</v>
      </c>
    </row>
    <row r="3644" spans="1:18" x14ac:dyDescent="0.25">
      <c r="A3644" s="2" t="s">
        <v>9315</v>
      </c>
      <c r="B3644" s="6">
        <v>46204</v>
      </c>
      <c r="C3644" s="8">
        <v>46226</v>
      </c>
      <c r="D3644" s="2" t="s">
        <v>7433</v>
      </c>
      <c r="E3644" s="2" t="s">
        <v>260</v>
      </c>
      <c r="F3644" s="2" t="s">
        <v>16703</v>
      </c>
      <c r="G3644" s="2" t="s">
        <v>9317</v>
      </c>
      <c r="H3644" s="2" t="s">
        <v>70</v>
      </c>
      <c r="I3644" s="9">
        <v>12777.531915</v>
      </c>
      <c r="J3644" s="7">
        <v>0.65800000000000003</v>
      </c>
      <c r="K3644" s="9">
        <v>8407.6200000000008</v>
      </c>
      <c r="L3644" s="14">
        <v>0</v>
      </c>
      <c r="M3644" s="2" t="s">
        <v>71</v>
      </c>
      <c r="N3644" s="2" t="s">
        <v>16706</v>
      </c>
      <c r="O3644" s="2" t="s">
        <v>9316</v>
      </c>
      <c r="P3644" s="9">
        <v>4.62</v>
      </c>
      <c r="Q3644" s="9">
        <v>8407.6200000000008</v>
      </c>
      <c r="R3644" s="2" t="s">
        <v>16711</v>
      </c>
    </row>
    <row r="3645" spans="1:18" x14ac:dyDescent="0.25">
      <c r="A3645" s="2" t="s">
        <v>9320</v>
      </c>
      <c r="B3645" s="6">
        <v>46204</v>
      </c>
      <c r="C3645" s="8">
        <v>46227</v>
      </c>
      <c r="D3645" s="2" t="s">
        <v>7433</v>
      </c>
      <c r="E3645" s="2" t="s">
        <v>260</v>
      </c>
      <c r="F3645" s="2" t="s">
        <v>16703</v>
      </c>
      <c r="G3645" s="2" t="s">
        <v>9322</v>
      </c>
      <c r="H3645" s="2" t="s">
        <v>39</v>
      </c>
      <c r="I3645" s="9">
        <v>8518.3439999999991</v>
      </c>
      <c r="J3645" s="7">
        <v>1</v>
      </c>
      <c r="K3645" s="9">
        <v>8518.34</v>
      </c>
      <c r="L3645" s="14">
        <v>0</v>
      </c>
      <c r="M3645" s="2" t="s">
        <v>71</v>
      </c>
      <c r="N3645" s="2" t="s">
        <v>16706</v>
      </c>
      <c r="O3645" s="2" t="s">
        <v>9321</v>
      </c>
      <c r="P3645" s="9">
        <v>4.6900000000000004</v>
      </c>
      <c r="Q3645" s="9">
        <v>8518.34</v>
      </c>
      <c r="R3645" s="2" t="s">
        <v>16711</v>
      </c>
    </row>
    <row r="3646" spans="1:18" x14ac:dyDescent="0.25">
      <c r="A3646" s="2" t="s">
        <v>9325</v>
      </c>
      <c r="B3646" s="6">
        <v>46204</v>
      </c>
      <c r="C3646" s="8">
        <v>46228</v>
      </c>
      <c r="D3646" s="2" t="s">
        <v>7433</v>
      </c>
      <c r="E3646" s="2" t="s">
        <v>260</v>
      </c>
      <c r="F3646" s="2" t="s">
        <v>16703</v>
      </c>
      <c r="G3646" s="2" t="s">
        <v>9327</v>
      </c>
      <c r="H3646" s="2" t="s">
        <v>76</v>
      </c>
      <c r="I3646" s="9">
        <v>139178516.12903199</v>
      </c>
      <c r="J3646" s="7">
        <v>6.2000000000000003E-5</v>
      </c>
      <c r="K3646" s="9">
        <v>8629.07</v>
      </c>
      <c r="L3646" s="14">
        <v>0</v>
      </c>
      <c r="M3646" s="2" t="s">
        <v>71</v>
      </c>
      <c r="N3646" s="2" t="s">
        <v>16706</v>
      </c>
      <c r="O3646" s="2" t="s">
        <v>9326</v>
      </c>
      <c r="P3646" s="9">
        <v>4.75</v>
      </c>
      <c r="Q3646" s="9">
        <v>8629.07</v>
      </c>
      <c r="R3646" s="2" t="s">
        <v>16711</v>
      </c>
    </row>
    <row r="3647" spans="1:18" x14ac:dyDescent="0.25">
      <c r="A3647" s="2" t="s">
        <v>9330</v>
      </c>
      <c r="B3647" s="6">
        <v>46204</v>
      </c>
      <c r="C3647" s="8">
        <v>46229</v>
      </c>
      <c r="D3647" s="2" t="s">
        <v>7433</v>
      </c>
      <c r="E3647" s="2" t="s">
        <v>260</v>
      </c>
      <c r="F3647" s="2" t="s">
        <v>16703</v>
      </c>
      <c r="G3647" s="2" t="s">
        <v>9332</v>
      </c>
      <c r="H3647" s="2" t="s">
        <v>70</v>
      </c>
      <c r="I3647" s="9">
        <v>13282.364742</v>
      </c>
      <c r="J3647" s="7">
        <v>0.65800000000000003</v>
      </c>
      <c r="K3647" s="9">
        <v>8739.7999999999993</v>
      </c>
      <c r="L3647" s="14">
        <v>0</v>
      </c>
      <c r="M3647" s="2" t="s">
        <v>71</v>
      </c>
      <c r="N3647" s="2" t="s">
        <v>16706</v>
      </c>
      <c r="O3647" s="2" t="s">
        <v>9331</v>
      </c>
      <c r="P3647" s="9">
        <v>4.8099999999999996</v>
      </c>
      <c r="Q3647" s="9">
        <v>8739.7999999999993</v>
      </c>
      <c r="R3647" s="2" t="s">
        <v>16711</v>
      </c>
    </row>
    <row r="3648" spans="1:18" x14ac:dyDescent="0.25">
      <c r="A3648" s="2" t="s">
        <v>9335</v>
      </c>
      <c r="B3648" s="6">
        <v>46204</v>
      </c>
      <c r="C3648" s="8">
        <v>46230</v>
      </c>
      <c r="D3648" s="2" t="s">
        <v>7433</v>
      </c>
      <c r="E3648" s="2" t="s">
        <v>260</v>
      </c>
      <c r="F3648" s="2" t="s">
        <v>16703</v>
      </c>
      <c r="G3648" s="2" t="s">
        <v>9337</v>
      </c>
      <c r="H3648" s="2" t="s">
        <v>39</v>
      </c>
      <c r="I3648" s="9">
        <v>8850.52</v>
      </c>
      <c r="J3648" s="7">
        <v>1</v>
      </c>
      <c r="K3648" s="9">
        <v>8850.52</v>
      </c>
      <c r="L3648" s="14">
        <v>0</v>
      </c>
      <c r="M3648" s="2" t="s">
        <v>71</v>
      </c>
      <c r="N3648" s="2" t="s">
        <v>16706</v>
      </c>
      <c r="O3648" s="2" t="s">
        <v>9336</v>
      </c>
      <c r="P3648" s="9">
        <v>4.87</v>
      </c>
      <c r="Q3648" s="9">
        <v>8850.52</v>
      </c>
      <c r="R3648" s="2" t="s">
        <v>16711</v>
      </c>
    </row>
    <row r="3649" spans="1:18" x14ac:dyDescent="0.25">
      <c r="A3649" s="2" t="s">
        <v>9340</v>
      </c>
      <c r="B3649" s="6">
        <v>46204</v>
      </c>
      <c r="C3649" s="8">
        <v>46231</v>
      </c>
      <c r="D3649" s="2" t="s">
        <v>7433</v>
      </c>
      <c r="E3649" s="2" t="s">
        <v>260</v>
      </c>
      <c r="F3649" s="2" t="s">
        <v>16703</v>
      </c>
      <c r="G3649" s="2" t="s">
        <v>9342</v>
      </c>
      <c r="H3649" s="2" t="s">
        <v>76</v>
      </c>
      <c r="I3649" s="9">
        <v>144536258.06451601</v>
      </c>
      <c r="J3649" s="7">
        <v>6.2000000000000003E-5</v>
      </c>
      <c r="K3649" s="9">
        <v>8961.25</v>
      </c>
      <c r="L3649" s="14">
        <v>0</v>
      </c>
      <c r="M3649" s="2" t="s">
        <v>71</v>
      </c>
      <c r="N3649" s="2" t="s">
        <v>16706</v>
      </c>
      <c r="O3649" s="2" t="s">
        <v>9341</v>
      </c>
      <c r="P3649" s="9">
        <v>4.93</v>
      </c>
      <c r="Q3649" s="9">
        <v>8961.25</v>
      </c>
      <c r="R3649" s="2" t="s">
        <v>16711</v>
      </c>
    </row>
    <row r="3650" spans="1:18" x14ac:dyDescent="0.25">
      <c r="A3650" s="2" t="s">
        <v>9345</v>
      </c>
      <c r="B3650" s="6">
        <v>46204</v>
      </c>
      <c r="C3650" s="8">
        <v>46232</v>
      </c>
      <c r="D3650" s="2" t="s">
        <v>7433</v>
      </c>
      <c r="E3650" s="2" t="s">
        <v>260</v>
      </c>
      <c r="F3650" s="2" t="s">
        <v>16703</v>
      </c>
      <c r="G3650" s="2" t="s">
        <v>9347</v>
      </c>
      <c r="H3650" s="2" t="s">
        <v>70</v>
      </c>
      <c r="I3650" s="9">
        <v>13787.197568</v>
      </c>
      <c r="J3650" s="7">
        <v>0.65800000000000003</v>
      </c>
      <c r="K3650" s="9">
        <v>9071.98</v>
      </c>
      <c r="L3650" s="14">
        <v>0</v>
      </c>
      <c r="M3650" s="2" t="s">
        <v>71</v>
      </c>
      <c r="N3650" s="2" t="s">
        <v>16706</v>
      </c>
      <c r="O3650" s="2" t="s">
        <v>9346</v>
      </c>
      <c r="P3650" s="9">
        <v>4.99</v>
      </c>
      <c r="Q3650" s="9">
        <v>9071.98</v>
      </c>
      <c r="R3650" s="2" t="s">
        <v>16711</v>
      </c>
    </row>
    <row r="3651" spans="1:18" x14ac:dyDescent="0.25">
      <c r="A3651" s="2" t="s">
        <v>9350</v>
      </c>
      <c r="B3651" s="6">
        <v>46204</v>
      </c>
      <c r="C3651" s="8">
        <v>46233</v>
      </c>
      <c r="D3651" s="2" t="s">
        <v>7433</v>
      </c>
      <c r="E3651" s="2" t="s">
        <v>260</v>
      </c>
      <c r="F3651" s="2" t="s">
        <v>16703</v>
      </c>
      <c r="G3651" s="2" t="s">
        <v>9352</v>
      </c>
      <c r="H3651" s="2" t="s">
        <v>39</v>
      </c>
      <c r="I3651" s="9">
        <v>9182.08</v>
      </c>
      <c r="J3651" s="7">
        <v>1</v>
      </c>
      <c r="K3651" s="9">
        <v>9182.08</v>
      </c>
      <c r="L3651" s="14">
        <v>0</v>
      </c>
      <c r="M3651" s="2" t="s">
        <v>71</v>
      </c>
      <c r="N3651" s="2" t="s">
        <v>16706</v>
      </c>
      <c r="O3651" s="2" t="s">
        <v>9351</v>
      </c>
      <c r="P3651" s="9">
        <v>5.05</v>
      </c>
      <c r="Q3651" s="9">
        <v>9182.08</v>
      </c>
      <c r="R3651" s="2" t="s">
        <v>16711</v>
      </c>
    </row>
    <row r="3652" spans="1:18" x14ac:dyDescent="0.25">
      <c r="A3652" s="2" t="s">
        <v>9355</v>
      </c>
      <c r="B3652" s="6">
        <v>46204</v>
      </c>
      <c r="C3652" s="8">
        <v>46234</v>
      </c>
      <c r="D3652" s="2" t="s">
        <v>7433</v>
      </c>
      <c r="E3652" s="2" t="s">
        <v>260</v>
      </c>
      <c r="F3652" s="2" t="s">
        <v>16703</v>
      </c>
      <c r="G3652" s="2" t="s">
        <v>9357</v>
      </c>
      <c r="H3652" s="2" t="s">
        <v>76</v>
      </c>
      <c r="I3652" s="9">
        <v>149884000</v>
      </c>
      <c r="J3652" s="7">
        <v>6.2000000000000003E-5</v>
      </c>
      <c r="K3652" s="9">
        <v>9292.81</v>
      </c>
      <c r="L3652" s="14">
        <v>0</v>
      </c>
      <c r="M3652" s="2" t="s">
        <v>71</v>
      </c>
      <c r="N3652" s="2" t="s">
        <v>16706</v>
      </c>
      <c r="O3652" s="2" t="s">
        <v>9356</v>
      </c>
      <c r="P3652" s="9">
        <v>5.1100000000000003</v>
      </c>
      <c r="Q3652" s="9">
        <v>9292.81</v>
      </c>
      <c r="R3652" s="2" t="s">
        <v>16711</v>
      </c>
    </row>
    <row r="3653" spans="1:18" x14ac:dyDescent="0.25">
      <c r="A3653" s="2" t="s">
        <v>9430</v>
      </c>
      <c r="B3653" s="6">
        <v>46204</v>
      </c>
      <c r="C3653" s="8">
        <v>46218</v>
      </c>
      <c r="D3653" s="2" t="s">
        <v>7433</v>
      </c>
      <c r="E3653" s="2" t="s">
        <v>260</v>
      </c>
      <c r="F3653" s="2" t="s">
        <v>16703</v>
      </c>
      <c r="G3653" s="2" t="s">
        <v>9432</v>
      </c>
      <c r="H3653" s="2" t="s">
        <v>76</v>
      </c>
      <c r="I3653" s="9">
        <v>32156516.129032001</v>
      </c>
      <c r="J3653" s="7">
        <v>6.2000000000000003E-5</v>
      </c>
      <c r="K3653" s="9">
        <v>1993.7</v>
      </c>
      <c r="L3653" s="14">
        <v>0</v>
      </c>
      <c r="M3653" s="2" t="s">
        <v>71</v>
      </c>
      <c r="N3653" s="2" t="s">
        <v>16706</v>
      </c>
      <c r="O3653" s="2" t="s">
        <v>9431</v>
      </c>
      <c r="P3653" s="9">
        <v>1.8</v>
      </c>
      <c r="Q3653" s="9">
        <v>1993.7</v>
      </c>
      <c r="R3653" s="2" t="s">
        <v>16711</v>
      </c>
    </row>
    <row r="3654" spans="1:18" x14ac:dyDescent="0.25">
      <c r="A3654" s="2" t="s">
        <v>9435</v>
      </c>
      <c r="B3654" s="6">
        <v>46204</v>
      </c>
      <c r="C3654" s="8">
        <v>46219</v>
      </c>
      <c r="D3654" s="2" t="s">
        <v>7433</v>
      </c>
      <c r="E3654" s="2" t="s">
        <v>260</v>
      </c>
      <c r="F3654" s="2" t="s">
        <v>16703</v>
      </c>
      <c r="G3654" s="2" t="s">
        <v>9437</v>
      </c>
      <c r="H3654" s="2" t="s">
        <v>70</v>
      </c>
      <c r="I3654" s="9">
        <v>3198.2188449999999</v>
      </c>
      <c r="J3654" s="7">
        <v>0.65800000000000003</v>
      </c>
      <c r="K3654" s="9">
        <v>2104.4299999999998</v>
      </c>
      <c r="L3654" s="14">
        <v>0</v>
      </c>
      <c r="M3654" s="2" t="s">
        <v>71</v>
      </c>
      <c r="N3654" s="2" t="s">
        <v>16706</v>
      </c>
      <c r="O3654" s="2" t="s">
        <v>9436</v>
      </c>
      <c r="P3654" s="9">
        <v>1.8</v>
      </c>
      <c r="Q3654" s="9">
        <v>2104.4299999999998</v>
      </c>
      <c r="R3654" s="2" t="s">
        <v>16711</v>
      </c>
    </row>
    <row r="3655" spans="1:18" x14ac:dyDescent="0.25">
      <c r="A3655" s="2" t="s">
        <v>9440</v>
      </c>
      <c r="B3655" s="6">
        <v>46204</v>
      </c>
      <c r="C3655" s="8">
        <v>46220</v>
      </c>
      <c r="D3655" s="2" t="s">
        <v>7433</v>
      </c>
      <c r="E3655" s="2" t="s">
        <v>260</v>
      </c>
      <c r="F3655" s="2" t="s">
        <v>16703</v>
      </c>
      <c r="G3655" s="2" t="s">
        <v>9442</v>
      </c>
      <c r="H3655" s="2" t="s">
        <v>39</v>
      </c>
      <c r="I3655" s="9">
        <v>2215.1559999999999</v>
      </c>
      <c r="J3655" s="7">
        <v>1</v>
      </c>
      <c r="K3655" s="9">
        <v>2215.16</v>
      </c>
      <c r="L3655" s="14">
        <v>0</v>
      </c>
      <c r="M3655" s="2" t="s">
        <v>71</v>
      </c>
      <c r="N3655" s="2" t="s">
        <v>16706</v>
      </c>
      <c r="O3655" s="2" t="s">
        <v>9441</v>
      </c>
      <c r="P3655" s="9">
        <v>1.8</v>
      </c>
      <c r="Q3655" s="9">
        <v>2215.16</v>
      </c>
      <c r="R3655" s="2" t="s">
        <v>16711</v>
      </c>
    </row>
    <row r="3656" spans="1:18" x14ac:dyDescent="0.25">
      <c r="A3656" s="2" t="s">
        <v>9445</v>
      </c>
      <c r="B3656" s="6">
        <v>46204</v>
      </c>
      <c r="C3656" s="8">
        <v>46221</v>
      </c>
      <c r="D3656" s="2" t="s">
        <v>7433</v>
      </c>
      <c r="E3656" s="2" t="s">
        <v>260</v>
      </c>
      <c r="F3656" s="2" t="s">
        <v>16703</v>
      </c>
      <c r="G3656" s="2" t="s">
        <v>9447</v>
      </c>
      <c r="H3656" s="2" t="s">
        <v>76</v>
      </c>
      <c r="I3656" s="9">
        <v>37514193.548386998</v>
      </c>
      <c r="J3656" s="7">
        <v>6.2000000000000003E-5</v>
      </c>
      <c r="K3656" s="9">
        <v>2325.88</v>
      </c>
      <c r="L3656" s="14">
        <v>0</v>
      </c>
      <c r="M3656" s="2" t="s">
        <v>71</v>
      </c>
      <c r="N3656" s="2" t="s">
        <v>16706</v>
      </c>
      <c r="O3656" s="2" t="s">
        <v>9446</v>
      </c>
      <c r="P3656" s="9">
        <v>1.8</v>
      </c>
      <c r="Q3656" s="9">
        <v>2325.88</v>
      </c>
      <c r="R3656" s="2" t="s">
        <v>16711</v>
      </c>
    </row>
    <row r="3657" spans="1:18" x14ac:dyDescent="0.25">
      <c r="A3657" s="2" t="s">
        <v>9450</v>
      </c>
      <c r="B3657" s="6">
        <v>46204</v>
      </c>
      <c r="C3657" s="8">
        <v>46222</v>
      </c>
      <c r="D3657" s="2" t="s">
        <v>7433</v>
      </c>
      <c r="E3657" s="2" t="s">
        <v>260</v>
      </c>
      <c r="F3657" s="2" t="s">
        <v>16703</v>
      </c>
      <c r="G3657" s="2" t="s">
        <v>9452</v>
      </c>
      <c r="H3657" s="2" t="s">
        <v>70</v>
      </c>
      <c r="I3657" s="9">
        <v>3703.0516720000001</v>
      </c>
      <c r="J3657" s="7">
        <v>0.65800000000000003</v>
      </c>
      <c r="K3657" s="9">
        <v>2436.61</v>
      </c>
      <c r="L3657" s="14">
        <v>0</v>
      </c>
      <c r="M3657" s="2" t="s">
        <v>71</v>
      </c>
      <c r="N3657" s="2" t="s">
        <v>16706</v>
      </c>
      <c r="O3657" s="2" t="s">
        <v>9451</v>
      </c>
      <c r="P3657" s="9">
        <v>1.8</v>
      </c>
      <c r="Q3657" s="9">
        <v>2436.61</v>
      </c>
      <c r="R3657" s="2" t="s">
        <v>16711</v>
      </c>
    </row>
    <row r="3658" spans="1:18" x14ac:dyDescent="0.25">
      <c r="A3658" s="2" t="s">
        <v>9455</v>
      </c>
      <c r="B3658" s="6">
        <v>46204</v>
      </c>
      <c r="C3658" s="8">
        <v>46223</v>
      </c>
      <c r="D3658" s="2" t="s">
        <v>7433</v>
      </c>
      <c r="E3658" s="2" t="s">
        <v>260</v>
      </c>
      <c r="F3658" s="2" t="s">
        <v>16703</v>
      </c>
      <c r="G3658" s="2" t="s">
        <v>9457</v>
      </c>
      <c r="H3658" s="2" t="s">
        <v>39</v>
      </c>
      <c r="I3658" s="9">
        <v>2547.3359999999998</v>
      </c>
      <c r="J3658" s="7">
        <v>1</v>
      </c>
      <c r="K3658" s="9">
        <v>2547.34</v>
      </c>
      <c r="L3658" s="14">
        <v>0</v>
      </c>
      <c r="M3658" s="2" t="s">
        <v>71</v>
      </c>
      <c r="N3658" s="2" t="s">
        <v>16706</v>
      </c>
      <c r="O3658" s="2" t="s">
        <v>9456</v>
      </c>
      <c r="P3658" s="9">
        <v>1.8</v>
      </c>
      <c r="Q3658" s="9">
        <v>2547.34</v>
      </c>
      <c r="R3658" s="2" t="s">
        <v>16711</v>
      </c>
    </row>
    <row r="3659" spans="1:18" x14ac:dyDescent="0.25">
      <c r="A3659" s="2" t="s">
        <v>9460</v>
      </c>
      <c r="B3659" s="6">
        <v>46204</v>
      </c>
      <c r="C3659" s="8">
        <v>46224</v>
      </c>
      <c r="D3659" s="2" t="s">
        <v>7433</v>
      </c>
      <c r="E3659" s="2" t="s">
        <v>260</v>
      </c>
      <c r="F3659" s="2" t="s">
        <v>16703</v>
      </c>
      <c r="G3659" s="2" t="s">
        <v>9462</v>
      </c>
      <c r="H3659" s="2" t="s">
        <v>76</v>
      </c>
      <c r="I3659" s="9">
        <v>-107179838.709677</v>
      </c>
      <c r="J3659" s="7">
        <v>6.2000000000000003E-5</v>
      </c>
      <c r="K3659" s="9">
        <v>-6645.15</v>
      </c>
      <c r="L3659" s="14">
        <v>0</v>
      </c>
      <c r="M3659" s="2" t="s">
        <v>71</v>
      </c>
      <c r="N3659" s="2" t="s">
        <v>16706</v>
      </c>
      <c r="O3659" s="2" t="s">
        <v>9461</v>
      </c>
      <c r="P3659" s="9">
        <v>0</v>
      </c>
      <c r="Q3659" s="9">
        <v>-6645.15</v>
      </c>
      <c r="R3659" s="2" t="s">
        <v>16711</v>
      </c>
    </row>
    <row r="3660" spans="1:18" x14ac:dyDescent="0.25">
      <c r="A3660" s="2" t="s">
        <v>9463</v>
      </c>
      <c r="B3660" s="6">
        <v>46204</v>
      </c>
      <c r="C3660" s="8">
        <v>46225</v>
      </c>
      <c r="D3660" s="2" t="s">
        <v>7433</v>
      </c>
      <c r="E3660" s="2" t="s">
        <v>260</v>
      </c>
      <c r="F3660" s="2" t="s">
        <v>16703</v>
      </c>
      <c r="G3660" s="2" t="s">
        <v>9465</v>
      </c>
      <c r="H3660" s="2" t="s">
        <v>70</v>
      </c>
      <c r="I3660" s="9">
        <v>4207.8844980000003</v>
      </c>
      <c r="J3660" s="7">
        <v>0.65800000000000003</v>
      </c>
      <c r="K3660" s="9">
        <v>2768.79</v>
      </c>
      <c r="L3660" s="14">
        <v>0</v>
      </c>
      <c r="M3660" s="2" t="s">
        <v>71</v>
      </c>
      <c r="N3660" s="2" t="s">
        <v>16706</v>
      </c>
      <c r="O3660" s="2" t="s">
        <v>9464</v>
      </c>
      <c r="P3660" s="9">
        <v>1.8</v>
      </c>
      <c r="Q3660" s="9">
        <v>2768.79</v>
      </c>
      <c r="R3660" s="2" t="s">
        <v>16711</v>
      </c>
    </row>
    <row r="3661" spans="1:18" x14ac:dyDescent="0.25">
      <c r="A3661" s="2" t="s">
        <v>9468</v>
      </c>
      <c r="B3661" s="6">
        <v>46204</v>
      </c>
      <c r="C3661" s="8">
        <v>46226</v>
      </c>
      <c r="D3661" s="2" t="s">
        <v>7433</v>
      </c>
      <c r="E3661" s="2" t="s">
        <v>260</v>
      </c>
      <c r="F3661" s="2" t="s">
        <v>16703</v>
      </c>
      <c r="G3661" s="2" t="s">
        <v>9470</v>
      </c>
      <c r="H3661" s="2" t="s">
        <v>39</v>
      </c>
      <c r="I3661" s="9">
        <v>2879.5120000000002</v>
      </c>
      <c r="J3661" s="7">
        <v>1</v>
      </c>
      <c r="K3661" s="9">
        <v>2879.51</v>
      </c>
      <c r="L3661" s="14">
        <v>0</v>
      </c>
      <c r="M3661" s="2" t="s">
        <v>71</v>
      </c>
      <c r="N3661" s="2" t="s">
        <v>16706</v>
      </c>
      <c r="O3661" s="2" t="s">
        <v>9469</v>
      </c>
      <c r="P3661" s="9">
        <v>1.8</v>
      </c>
      <c r="Q3661" s="9">
        <v>2879.51</v>
      </c>
      <c r="R3661" s="2" t="s">
        <v>16711</v>
      </c>
    </row>
    <row r="3662" spans="1:18" x14ac:dyDescent="0.25">
      <c r="A3662" s="2" t="s">
        <v>9473</v>
      </c>
      <c r="B3662" s="6">
        <v>46204</v>
      </c>
      <c r="C3662" s="8">
        <v>46227</v>
      </c>
      <c r="D3662" s="2" t="s">
        <v>7433</v>
      </c>
      <c r="E3662" s="2" t="s">
        <v>260</v>
      </c>
      <c r="F3662" s="2" t="s">
        <v>16703</v>
      </c>
      <c r="G3662" s="2" t="s">
        <v>9475</v>
      </c>
      <c r="H3662" s="2" t="s">
        <v>76</v>
      </c>
      <c r="I3662" s="9">
        <v>48229677.419354998</v>
      </c>
      <c r="J3662" s="7">
        <v>6.2000000000000003E-5</v>
      </c>
      <c r="K3662" s="9">
        <v>2990.24</v>
      </c>
      <c r="L3662" s="14">
        <v>0</v>
      </c>
      <c r="M3662" s="2" t="s">
        <v>71</v>
      </c>
      <c r="N3662" s="2" t="s">
        <v>16706</v>
      </c>
      <c r="O3662" s="2" t="s">
        <v>9474</v>
      </c>
      <c r="P3662" s="9">
        <v>1.8</v>
      </c>
      <c r="Q3662" s="9">
        <v>2990.24</v>
      </c>
      <c r="R3662" s="2" t="s">
        <v>16711</v>
      </c>
    </row>
    <row r="3663" spans="1:18" x14ac:dyDescent="0.25">
      <c r="A3663" s="2" t="s">
        <v>9478</v>
      </c>
      <c r="B3663" s="6">
        <v>46204</v>
      </c>
      <c r="C3663" s="8">
        <v>46228</v>
      </c>
      <c r="D3663" s="2" t="s">
        <v>7433</v>
      </c>
      <c r="E3663" s="2" t="s">
        <v>260</v>
      </c>
      <c r="F3663" s="2" t="s">
        <v>16703</v>
      </c>
      <c r="G3663" s="2" t="s">
        <v>9480</v>
      </c>
      <c r="H3663" s="2" t="s">
        <v>70</v>
      </c>
      <c r="I3663" s="9">
        <v>4712.7173249999996</v>
      </c>
      <c r="J3663" s="7">
        <v>0.65800000000000003</v>
      </c>
      <c r="K3663" s="9">
        <v>3100.97</v>
      </c>
      <c r="L3663" s="14">
        <v>0</v>
      </c>
      <c r="M3663" s="2" t="s">
        <v>71</v>
      </c>
      <c r="N3663" s="2" t="s">
        <v>16706</v>
      </c>
      <c r="O3663" s="2" t="s">
        <v>9479</v>
      </c>
      <c r="P3663" s="9">
        <v>1.8</v>
      </c>
      <c r="Q3663" s="9">
        <v>3100.97</v>
      </c>
      <c r="R3663" s="2" t="s">
        <v>16711</v>
      </c>
    </row>
    <row r="3664" spans="1:18" x14ac:dyDescent="0.25">
      <c r="A3664" s="2" t="s">
        <v>9483</v>
      </c>
      <c r="B3664" s="6">
        <v>46204</v>
      </c>
      <c r="C3664" s="8">
        <v>46229</v>
      </c>
      <c r="D3664" s="2" t="s">
        <v>7433</v>
      </c>
      <c r="E3664" s="2" t="s">
        <v>260</v>
      </c>
      <c r="F3664" s="2" t="s">
        <v>16703</v>
      </c>
      <c r="G3664" s="2" t="s">
        <v>9485</v>
      </c>
      <c r="H3664" s="2" t="s">
        <v>39</v>
      </c>
      <c r="I3664" s="9">
        <v>3211.692</v>
      </c>
      <c r="J3664" s="7">
        <v>1</v>
      </c>
      <c r="K3664" s="9">
        <v>3211.69</v>
      </c>
      <c r="L3664" s="14">
        <v>0</v>
      </c>
      <c r="M3664" s="2" t="s">
        <v>71</v>
      </c>
      <c r="N3664" s="2" t="s">
        <v>16706</v>
      </c>
      <c r="O3664" s="2" t="s">
        <v>9484</v>
      </c>
      <c r="P3664" s="9">
        <v>1.8</v>
      </c>
      <c r="Q3664" s="9">
        <v>3211.69</v>
      </c>
      <c r="R3664" s="2" t="s">
        <v>16711</v>
      </c>
    </row>
    <row r="3665" spans="1:18" x14ac:dyDescent="0.25">
      <c r="A3665" s="2" t="s">
        <v>9488</v>
      </c>
      <c r="B3665" s="6">
        <v>46204</v>
      </c>
      <c r="C3665" s="8">
        <v>46230</v>
      </c>
      <c r="D3665" s="2" t="s">
        <v>7433</v>
      </c>
      <c r="E3665" s="2" t="s">
        <v>260</v>
      </c>
      <c r="F3665" s="2" t="s">
        <v>16703</v>
      </c>
      <c r="G3665" s="2" t="s">
        <v>9490</v>
      </c>
      <c r="H3665" s="2" t="s">
        <v>76</v>
      </c>
      <c r="I3665" s="9">
        <v>53587419.354838997</v>
      </c>
      <c r="J3665" s="7">
        <v>6.2000000000000003E-5</v>
      </c>
      <c r="K3665" s="9">
        <v>3322.42</v>
      </c>
      <c r="L3665" s="14">
        <v>0</v>
      </c>
      <c r="M3665" s="2" t="s">
        <v>71</v>
      </c>
      <c r="N3665" s="2" t="s">
        <v>16706</v>
      </c>
      <c r="O3665" s="2" t="s">
        <v>9489</v>
      </c>
      <c r="P3665" s="9">
        <v>1.83</v>
      </c>
      <c r="Q3665" s="9">
        <v>3322.42</v>
      </c>
      <c r="R3665" s="2" t="s">
        <v>16711</v>
      </c>
    </row>
    <row r="3666" spans="1:18" x14ac:dyDescent="0.25">
      <c r="A3666" s="2" t="s">
        <v>9493</v>
      </c>
      <c r="B3666" s="6">
        <v>46204</v>
      </c>
      <c r="C3666" s="8">
        <v>46231</v>
      </c>
      <c r="D3666" s="2" t="s">
        <v>7433</v>
      </c>
      <c r="E3666" s="2" t="s">
        <v>260</v>
      </c>
      <c r="F3666" s="2" t="s">
        <v>16703</v>
      </c>
      <c r="G3666" s="2" t="s">
        <v>9495</v>
      </c>
      <c r="H3666" s="2" t="s">
        <v>70</v>
      </c>
      <c r="I3666" s="9">
        <v>5217.5501519999998</v>
      </c>
      <c r="J3666" s="7">
        <v>0.65800000000000003</v>
      </c>
      <c r="K3666" s="9">
        <v>3433.15</v>
      </c>
      <c r="L3666" s="14">
        <v>0</v>
      </c>
      <c r="M3666" s="2" t="s">
        <v>71</v>
      </c>
      <c r="N3666" s="2" t="s">
        <v>16706</v>
      </c>
      <c r="O3666" s="2" t="s">
        <v>9494</v>
      </c>
      <c r="P3666" s="9">
        <v>1.89</v>
      </c>
      <c r="Q3666" s="9">
        <v>3433.15</v>
      </c>
      <c r="R3666" s="2" t="s">
        <v>16711</v>
      </c>
    </row>
    <row r="3667" spans="1:18" x14ac:dyDescent="0.25">
      <c r="A3667" s="2" t="s">
        <v>9498</v>
      </c>
      <c r="B3667" s="6">
        <v>46204</v>
      </c>
      <c r="C3667" s="8">
        <v>46232</v>
      </c>
      <c r="D3667" s="2" t="s">
        <v>7433</v>
      </c>
      <c r="E3667" s="2" t="s">
        <v>260</v>
      </c>
      <c r="F3667" s="2" t="s">
        <v>16703</v>
      </c>
      <c r="G3667" s="2" t="s">
        <v>9500</v>
      </c>
      <c r="H3667" s="2" t="s">
        <v>39</v>
      </c>
      <c r="I3667" s="9">
        <v>3543.8719999999998</v>
      </c>
      <c r="J3667" s="7">
        <v>1</v>
      </c>
      <c r="K3667" s="9">
        <v>3543.87</v>
      </c>
      <c r="L3667" s="14">
        <v>0</v>
      </c>
      <c r="M3667" s="2" t="s">
        <v>71</v>
      </c>
      <c r="N3667" s="2" t="s">
        <v>16706</v>
      </c>
      <c r="O3667" s="2" t="s">
        <v>9499</v>
      </c>
      <c r="P3667" s="9">
        <v>1.95</v>
      </c>
      <c r="Q3667" s="9">
        <v>3543.87</v>
      </c>
      <c r="R3667" s="2" t="s">
        <v>16711</v>
      </c>
    </row>
    <row r="3668" spans="1:18" x14ac:dyDescent="0.25">
      <c r="A3668" s="2" t="s">
        <v>9503</v>
      </c>
      <c r="B3668" s="6">
        <v>46204</v>
      </c>
      <c r="C3668" s="8">
        <v>46233</v>
      </c>
      <c r="D3668" s="2" t="s">
        <v>7433</v>
      </c>
      <c r="E3668" s="2" t="s">
        <v>260</v>
      </c>
      <c r="F3668" s="2" t="s">
        <v>16703</v>
      </c>
      <c r="G3668" s="2" t="s">
        <v>9505</v>
      </c>
      <c r="H3668" s="2" t="s">
        <v>76</v>
      </c>
      <c r="I3668" s="9">
        <v>58945161.290321998</v>
      </c>
      <c r="J3668" s="7">
        <v>6.2000000000000003E-5</v>
      </c>
      <c r="K3668" s="9">
        <v>3654.6</v>
      </c>
      <c r="L3668" s="14">
        <v>0</v>
      </c>
      <c r="M3668" s="2" t="s">
        <v>71</v>
      </c>
      <c r="N3668" s="2" t="s">
        <v>16706</v>
      </c>
      <c r="O3668" s="2" t="s">
        <v>9504</v>
      </c>
      <c r="P3668" s="9">
        <v>2.0099999999999998</v>
      </c>
      <c r="Q3668" s="9">
        <v>3654.6</v>
      </c>
      <c r="R3668" s="2" t="s">
        <v>16711</v>
      </c>
    </row>
    <row r="3669" spans="1:18" x14ac:dyDescent="0.25">
      <c r="A3669" s="2" t="s">
        <v>9508</v>
      </c>
      <c r="B3669" s="6">
        <v>46204</v>
      </c>
      <c r="C3669" s="8">
        <v>46234</v>
      </c>
      <c r="D3669" s="2" t="s">
        <v>7433</v>
      </c>
      <c r="E3669" s="2" t="s">
        <v>260</v>
      </c>
      <c r="F3669" s="2" t="s">
        <v>16703</v>
      </c>
      <c r="G3669" s="2" t="s">
        <v>9510</v>
      </c>
      <c r="H3669" s="2" t="s">
        <v>70</v>
      </c>
      <c r="I3669" s="9">
        <v>5722.382979</v>
      </c>
      <c r="J3669" s="7">
        <v>0.65800000000000003</v>
      </c>
      <c r="K3669" s="9">
        <v>3765.33</v>
      </c>
      <c r="L3669" s="14">
        <v>0</v>
      </c>
      <c r="M3669" s="2" t="s">
        <v>71</v>
      </c>
      <c r="N3669" s="2" t="s">
        <v>16706</v>
      </c>
      <c r="O3669" s="2" t="s">
        <v>9509</v>
      </c>
      <c r="P3669" s="9">
        <v>2.0699999999999998</v>
      </c>
      <c r="Q3669" s="9">
        <v>3765.33</v>
      </c>
      <c r="R3669" s="2" t="s">
        <v>16711</v>
      </c>
    </row>
    <row r="3670" spans="1:18" x14ac:dyDescent="0.25">
      <c r="A3670" s="2" t="s">
        <v>9583</v>
      </c>
      <c r="B3670" s="6">
        <v>46204</v>
      </c>
      <c r="C3670" s="8">
        <v>46218</v>
      </c>
      <c r="D3670" s="2" t="s">
        <v>7433</v>
      </c>
      <c r="E3670" s="2" t="s">
        <v>260</v>
      </c>
      <c r="F3670" s="2" t="s">
        <v>16703</v>
      </c>
      <c r="G3670" s="2" t="s">
        <v>9585</v>
      </c>
      <c r="H3670" s="2" t="s">
        <v>70</v>
      </c>
      <c r="I3670" s="9">
        <v>8246.5349540000007</v>
      </c>
      <c r="J3670" s="7">
        <v>0.65800000000000003</v>
      </c>
      <c r="K3670" s="9">
        <v>5426.22</v>
      </c>
      <c r="L3670" s="14">
        <v>0</v>
      </c>
      <c r="M3670" s="2" t="s">
        <v>71</v>
      </c>
      <c r="N3670" s="2" t="s">
        <v>16706</v>
      </c>
      <c r="O3670" s="2" t="s">
        <v>9584</v>
      </c>
      <c r="P3670" s="9">
        <v>2.98</v>
      </c>
      <c r="Q3670" s="9">
        <v>5426.22</v>
      </c>
      <c r="R3670" s="2" t="s">
        <v>16711</v>
      </c>
    </row>
    <row r="3671" spans="1:18" x14ac:dyDescent="0.25">
      <c r="A3671" s="2" t="s">
        <v>9588</v>
      </c>
      <c r="B3671" s="6">
        <v>46204</v>
      </c>
      <c r="C3671" s="8">
        <v>46219</v>
      </c>
      <c r="D3671" s="2" t="s">
        <v>7433</v>
      </c>
      <c r="E3671" s="2" t="s">
        <v>260</v>
      </c>
      <c r="F3671" s="2" t="s">
        <v>16703</v>
      </c>
      <c r="G3671" s="2" t="s">
        <v>9590</v>
      </c>
      <c r="H3671" s="2" t="s">
        <v>39</v>
      </c>
      <c r="I3671" s="9">
        <v>5536.9480000000003</v>
      </c>
      <c r="J3671" s="7">
        <v>1</v>
      </c>
      <c r="K3671" s="9">
        <v>5536.95</v>
      </c>
      <c r="L3671" s="14">
        <v>0</v>
      </c>
      <c r="M3671" s="2" t="s">
        <v>71</v>
      </c>
      <c r="N3671" s="2" t="s">
        <v>16706</v>
      </c>
      <c r="O3671" s="2" t="s">
        <v>9589</v>
      </c>
      <c r="P3671" s="9">
        <v>3.05</v>
      </c>
      <c r="Q3671" s="9">
        <v>5536.95</v>
      </c>
      <c r="R3671" s="2" t="s">
        <v>16711</v>
      </c>
    </row>
    <row r="3672" spans="1:18" x14ac:dyDescent="0.25">
      <c r="A3672" s="2" t="s">
        <v>9593</v>
      </c>
      <c r="B3672" s="6">
        <v>46204</v>
      </c>
      <c r="C3672" s="8">
        <v>46220</v>
      </c>
      <c r="D3672" s="2" t="s">
        <v>7433</v>
      </c>
      <c r="E3672" s="2" t="s">
        <v>260</v>
      </c>
      <c r="F3672" s="2" t="s">
        <v>16703</v>
      </c>
      <c r="G3672" s="2" t="s">
        <v>9595</v>
      </c>
      <c r="H3672" s="2" t="s">
        <v>76</v>
      </c>
      <c r="I3672" s="9">
        <v>91091483.870967999</v>
      </c>
      <c r="J3672" s="7">
        <v>6.2000000000000003E-5</v>
      </c>
      <c r="K3672" s="9">
        <v>5647.67</v>
      </c>
      <c r="L3672" s="14">
        <v>0</v>
      </c>
      <c r="M3672" s="2" t="s">
        <v>71</v>
      </c>
      <c r="N3672" s="2" t="s">
        <v>16706</v>
      </c>
      <c r="O3672" s="2" t="s">
        <v>9594</v>
      </c>
      <c r="P3672" s="9">
        <v>3.11</v>
      </c>
      <c r="Q3672" s="9">
        <v>5647.67</v>
      </c>
      <c r="R3672" s="2" t="s">
        <v>16711</v>
      </c>
    </row>
    <row r="3673" spans="1:18" x14ac:dyDescent="0.25">
      <c r="A3673" s="2" t="s">
        <v>9598</v>
      </c>
      <c r="B3673" s="6">
        <v>46204</v>
      </c>
      <c r="C3673" s="8">
        <v>46221</v>
      </c>
      <c r="D3673" s="2" t="s">
        <v>7433</v>
      </c>
      <c r="E3673" s="2" t="s">
        <v>260</v>
      </c>
      <c r="F3673" s="2" t="s">
        <v>16703</v>
      </c>
      <c r="G3673" s="2" t="s">
        <v>9600</v>
      </c>
      <c r="H3673" s="2" t="s">
        <v>70</v>
      </c>
      <c r="I3673" s="9">
        <v>8751.3677810000008</v>
      </c>
      <c r="J3673" s="7">
        <v>0.65800000000000003</v>
      </c>
      <c r="K3673" s="9">
        <v>5758.4</v>
      </c>
      <c r="L3673" s="14">
        <v>0</v>
      </c>
      <c r="M3673" s="2" t="s">
        <v>71</v>
      </c>
      <c r="N3673" s="2" t="s">
        <v>16706</v>
      </c>
      <c r="O3673" s="2" t="s">
        <v>9599</v>
      </c>
      <c r="P3673" s="9">
        <v>3.17</v>
      </c>
      <c r="Q3673" s="9">
        <v>5758.4</v>
      </c>
      <c r="R3673" s="2" t="s">
        <v>16711</v>
      </c>
    </row>
    <row r="3674" spans="1:18" x14ac:dyDescent="0.25">
      <c r="A3674" s="2" t="s">
        <v>9603</v>
      </c>
      <c r="B3674" s="6">
        <v>46204</v>
      </c>
      <c r="C3674" s="8">
        <v>46222</v>
      </c>
      <c r="D3674" s="2" t="s">
        <v>7433</v>
      </c>
      <c r="E3674" s="2" t="s">
        <v>260</v>
      </c>
      <c r="F3674" s="2" t="s">
        <v>16703</v>
      </c>
      <c r="G3674" s="2" t="s">
        <v>9605</v>
      </c>
      <c r="H3674" s="2" t="s">
        <v>39</v>
      </c>
      <c r="I3674" s="9">
        <v>5869.1279999999997</v>
      </c>
      <c r="J3674" s="7">
        <v>1</v>
      </c>
      <c r="K3674" s="9">
        <v>5869.13</v>
      </c>
      <c r="L3674" s="14">
        <v>0</v>
      </c>
      <c r="M3674" s="2" t="s">
        <v>71</v>
      </c>
      <c r="N3674" s="2" t="s">
        <v>16706</v>
      </c>
      <c r="O3674" s="2" t="s">
        <v>9604</v>
      </c>
      <c r="P3674" s="9">
        <v>3.23</v>
      </c>
      <c r="Q3674" s="9">
        <v>5869.13</v>
      </c>
      <c r="R3674" s="2" t="s">
        <v>16711</v>
      </c>
    </row>
    <row r="3675" spans="1:18" x14ac:dyDescent="0.25">
      <c r="A3675" s="2" t="s">
        <v>9608</v>
      </c>
      <c r="B3675" s="6">
        <v>46204</v>
      </c>
      <c r="C3675" s="8">
        <v>46223</v>
      </c>
      <c r="D3675" s="2" t="s">
        <v>7433</v>
      </c>
      <c r="E3675" s="2" t="s">
        <v>260</v>
      </c>
      <c r="F3675" s="2" t="s">
        <v>16703</v>
      </c>
      <c r="G3675" s="2" t="s">
        <v>9610</v>
      </c>
      <c r="H3675" s="2" t="s">
        <v>76</v>
      </c>
      <c r="I3675" s="9">
        <v>96449225.806452006</v>
      </c>
      <c r="J3675" s="7">
        <v>6.2000000000000003E-5</v>
      </c>
      <c r="K3675" s="9">
        <v>5979.85</v>
      </c>
      <c r="L3675" s="14">
        <v>0</v>
      </c>
      <c r="M3675" s="2" t="s">
        <v>71</v>
      </c>
      <c r="N3675" s="2" t="s">
        <v>16706</v>
      </c>
      <c r="O3675" s="2" t="s">
        <v>9609</v>
      </c>
      <c r="P3675" s="9">
        <v>3.29</v>
      </c>
      <c r="Q3675" s="9">
        <v>5979.85</v>
      </c>
      <c r="R3675" s="2" t="s">
        <v>16711</v>
      </c>
    </row>
    <row r="3676" spans="1:18" x14ac:dyDescent="0.25">
      <c r="A3676" s="2" t="s">
        <v>9613</v>
      </c>
      <c r="B3676" s="6">
        <v>46204</v>
      </c>
      <c r="C3676" s="8">
        <v>46224</v>
      </c>
      <c r="D3676" s="2" t="s">
        <v>7433</v>
      </c>
      <c r="E3676" s="2" t="s">
        <v>260</v>
      </c>
      <c r="F3676" s="2" t="s">
        <v>16703</v>
      </c>
      <c r="G3676" s="2" t="s">
        <v>9615</v>
      </c>
      <c r="H3676" s="2" t="s">
        <v>70</v>
      </c>
      <c r="I3676" s="9">
        <v>9256.2006079999992</v>
      </c>
      <c r="J3676" s="7">
        <v>0.65800000000000003</v>
      </c>
      <c r="K3676" s="9">
        <v>6090.58</v>
      </c>
      <c r="L3676" s="14">
        <v>0</v>
      </c>
      <c r="M3676" s="2" t="s">
        <v>71</v>
      </c>
      <c r="N3676" s="2" t="s">
        <v>16706</v>
      </c>
      <c r="O3676" s="2" t="s">
        <v>9614</v>
      </c>
      <c r="P3676" s="9">
        <v>3.35</v>
      </c>
      <c r="Q3676" s="9">
        <v>6090.58</v>
      </c>
      <c r="R3676" s="2" t="s">
        <v>16711</v>
      </c>
    </row>
    <row r="3677" spans="1:18" x14ac:dyDescent="0.25">
      <c r="A3677" s="2" t="s">
        <v>9618</v>
      </c>
      <c r="B3677" s="6">
        <v>46204</v>
      </c>
      <c r="C3677" s="8">
        <v>46225</v>
      </c>
      <c r="D3677" s="2" t="s">
        <v>7433</v>
      </c>
      <c r="E3677" s="2" t="s">
        <v>260</v>
      </c>
      <c r="F3677" s="2" t="s">
        <v>16703</v>
      </c>
      <c r="G3677" s="2" t="s">
        <v>9620</v>
      </c>
      <c r="H3677" s="2" t="s">
        <v>39</v>
      </c>
      <c r="I3677" s="9">
        <v>6201.3040000000001</v>
      </c>
      <c r="J3677" s="7">
        <v>1</v>
      </c>
      <c r="K3677" s="9">
        <v>6201.3</v>
      </c>
      <c r="L3677" s="14">
        <v>0</v>
      </c>
      <c r="M3677" s="2" t="s">
        <v>71</v>
      </c>
      <c r="N3677" s="2" t="s">
        <v>16706</v>
      </c>
      <c r="O3677" s="2" t="s">
        <v>9619</v>
      </c>
      <c r="P3677" s="9">
        <v>3.41</v>
      </c>
      <c r="Q3677" s="9">
        <v>6201.3</v>
      </c>
      <c r="R3677" s="2" t="s">
        <v>16711</v>
      </c>
    </row>
    <row r="3678" spans="1:18" x14ac:dyDescent="0.25">
      <c r="A3678" s="2" t="s">
        <v>9623</v>
      </c>
      <c r="B3678" s="6">
        <v>46204</v>
      </c>
      <c r="C3678" s="8">
        <v>46226</v>
      </c>
      <c r="D3678" s="2" t="s">
        <v>7433</v>
      </c>
      <c r="E3678" s="2" t="s">
        <v>260</v>
      </c>
      <c r="F3678" s="2" t="s">
        <v>16703</v>
      </c>
      <c r="G3678" s="2" t="s">
        <v>9625</v>
      </c>
      <c r="H3678" s="2" t="s">
        <v>76</v>
      </c>
      <c r="I3678" s="9">
        <v>101806967.741936</v>
      </c>
      <c r="J3678" s="7">
        <v>6.2000000000000003E-5</v>
      </c>
      <c r="K3678" s="9">
        <v>6312.03</v>
      </c>
      <c r="L3678" s="14">
        <v>0</v>
      </c>
      <c r="M3678" s="2" t="s">
        <v>71</v>
      </c>
      <c r="N3678" s="2" t="s">
        <v>16706</v>
      </c>
      <c r="O3678" s="2" t="s">
        <v>9624</v>
      </c>
      <c r="P3678" s="9">
        <v>3.47</v>
      </c>
      <c r="Q3678" s="9">
        <v>6312.03</v>
      </c>
      <c r="R3678" s="2" t="s">
        <v>16711</v>
      </c>
    </row>
    <row r="3679" spans="1:18" x14ac:dyDescent="0.25">
      <c r="A3679" s="2" t="s">
        <v>9628</v>
      </c>
      <c r="B3679" s="6">
        <v>46204</v>
      </c>
      <c r="C3679" s="8">
        <v>46227</v>
      </c>
      <c r="D3679" s="2" t="s">
        <v>7433</v>
      </c>
      <c r="E3679" s="2" t="s">
        <v>260</v>
      </c>
      <c r="F3679" s="2" t="s">
        <v>16703</v>
      </c>
      <c r="G3679" s="2" t="s">
        <v>9630</v>
      </c>
      <c r="H3679" s="2" t="s">
        <v>70</v>
      </c>
      <c r="I3679" s="9">
        <v>9761.0334349999994</v>
      </c>
      <c r="J3679" s="7">
        <v>0.65800000000000003</v>
      </c>
      <c r="K3679" s="9">
        <v>6422.76</v>
      </c>
      <c r="L3679" s="14">
        <v>0</v>
      </c>
      <c r="M3679" s="2" t="s">
        <v>71</v>
      </c>
      <c r="N3679" s="2" t="s">
        <v>16706</v>
      </c>
      <c r="O3679" s="2" t="s">
        <v>9629</v>
      </c>
      <c r="P3679" s="9">
        <v>3.53</v>
      </c>
      <c r="Q3679" s="9">
        <v>6422.76</v>
      </c>
      <c r="R3679" s="2" t="s">
        <v>16711</v>
      </c>
    </row>
    <row r="3680" spans="1:18" x14ac:dyDescent="0.25">
      <c r="A3680" s="2" t="s">
        <v>9633</v>
      </c>
      <c r="B3680" s="6">
        <v>46204</v>
      </c>
      <c r="C3680" s="8">
        <v>46228</v>
      </c>
      <c r="D3680" s="2" t="s">
        <v>7433</v>
      </c>
      <c r="E3680" s="2" t="s">
        <v>260</v>
      </c>
      <c r="F3680" s="2" t="s">
        <v>16703</v>
      </c>
      <c r="G3680" s="2" t="s">
        <v>9635</v>
      </c>
      <c r="H3680" s="2" t="s">
        <v>39</v>
      </c>
      <c r="I3680" s="9">
        <v>6533.4840000000004</v>
      </c>
      <c r="J3680" s="7">
        <v>1</v>
      </c>
      <c r="K3680" s="9">
        <v>6533.48</v>
      </c>
      <c r="L3680" s="14">
        <v>0</v>
      </c>
      <c r="M3680" s="2" t="s">
        <v>71</v>
      </c>
      <c r="N3680" s="2" t="s">
        <v>16706</v>
      </c>
      <c r="O3680" s="2" t="s">
        <v>9634</v>
      </c>
      <c r="P3680" s="9">
        <v>3.59</v>
      </c>
      <c r="Q3680" s="9">
        <v>6533.48</v>
      </c>
      <c r="R3680" s="2" t="s">
        <v>16711</v>
      </c>
    </row>
    <row r="3681" spans="1:18" x14ac:dyDescent="0.25">
      <c r="A3681" s="2" t="s">
        <v>9638</v>
      </c>
      <c r="B3681" s="6">
        <v>46204</v>
      </c>
      <c r="C3681" s="8">
        <v>46229</v>
      </c>
      <c r="D3681" s="2" t="s">
        <v>7433</v>
      </c>
      <c r="E3681" s="2" t="s">
        <v>260</v>
      </c>
      <c r="F3681" s="2" t="s">
        <v>16703</v>
      </c>
      <c r="G3681" s="2" t="s">
        <v>9640</v>
      </c>
      <c r="H3681" s="2" t="s">
        <v>76</v>
      </c>
      <c r="I3681" s="9">
        <v>107164709.67741901</v>
      </c>
      <c r="J3681" s="7">
        <v>6.2000000000000003E-5</v>
      </c>
      <c r="K3681" s="9">
        <v>6644.21</v>
      </c>
      <c r="L3681" s="14">
        <v>0</v>
      </c>
      <c r="M3681" s="2" t="s">
        <v>71</v>
      </c>
      <c r="N3681" s="2" t="s">
        <v>16706</v>
      </c>
      <c r="O3681" s="2" t="s">
        <v>9639</v>
      </c>
      <c r="P3681" s="9">
        <v>3.65</v>
      </c>
      <c r="Q3681" s="9">
        <v>6644.21</v>
      </c>
      <c r="R3681" s="2" t="s">
        <v>16711</v>
      </c>
    </row>
    <row r="3682" spans="1:18" x14ac:dyDescent="0.25">
      <c r="A3682" s="2" t="s">
        <v>9643</v>
      </c>
      <c r="B3682" s="6">
        <v>46204</v>
      </c>
      <c r="C3682" s="8">
        <v>46230</v>
      </c>
      <c r="D3682" s="2" t="s">
        <v>7433</v>
      </c>
      <c r="E3682" s="2" t="s">
        <v>260</v>
      </c>
      <c r="F3682" s="2" t="s">
        <v>16703</v>
      </c>
      <c r="G3682" s="2" t="s">
        <v>9645</v>
      </c>
      <c r="H3682" s="2" t="s">
        <v>70</v>
      </c>
      <c r="I3682" s="9">
        <v>10265.866260999999</v>
      </c>
      <c r="J3682" s="7">
        <v>0.65800000000000003</v>
      </c>
      <c r="K3682" s="9">
        <v>6754.94</v>
      </c>
      <c r="L3682" s="14">
        <v>0</v>
      </c>
      <c r="M3682" s="2" t="s">
        <v>71</v>
      </c>
      <c r="N3682" s="2" t="s">
        <v>16706</v>
      </c>
      <c r="O3682" s="2" t="s">
        <v>9644</v>
      </c>
      <c r="P3682" s="9">
        <v>3.72</v>
      </c>
      <c r="Q3682" s="9">
        <v>6754.94</v>
      </c>
      <c r="R3682" s="2" t="s">
        <v>16711</v>
      </c>
    </row>
    <row r="3683" spans="1:18" x14ac:dyDescent="0.25">
      <c r="A3683" s="2" t="s">
        <v>9648</v>
      </c>
      <c r="B3683" s="6">
        <v>46204</v>
      </c>
      <c r="C3683" s="8">
        <v>46231</v>
      </c>
      <c r="D3683" s="2" t="s">
        <v>7433</v>
      </c>
      <c r="E3683" s="2" t="s">
        <v>260</v>
      </c>
      <c r="F3683" s="2" t="s">
        <v>16703</v>
      </c>
      <c r="G3683" s="2" t="s">
        <v>9650</v>
      </c>
      <c r="H3683" s="2" t="s">
        <v>39</v>
      </c>
      <c r="I3683" s="9">
        <v>6865.6639999999998</v>
      </c>
      <c r="J3683" s="7">
        <v>1</v>
      </c>
      <c r="K3683" s="9">
        <v>6865.66</v>
      </c>
      <c r="L3683" s="14">
        <v>0</v>
      </c>
      <c r="M3683" s="2" t="s">
        <v>71</v>
      </c>
      <c r="N3683" s="2" t="s">
        <v>16706</v>
      </c>
      <c r="O3683" s="2" t="s">
        <v>9649</v>
      </c>
      <c r="P3683" s="9">
        <v>3.78</v>
      </c>
      <c r="Q3683" s="9">
        <v>6865.66</v>
      </c>
      <c r="R3683" s="2" t="s">
        <v>16711</v>
      </c>
    </row>
    <row r="3684" spans="1:18" x14ac:dyDescent="0.25">
      <c r="A3684" s="2" t="s">
        <v>9653</v>
      </c>
      <c r="B3684" s="6">
        <v>46204</v>
      </c>
      <c r="C3684" s="8">
        <v>46232</v>
      </c>
      <c r="D3684" s="2" t="s">
        <v>7433</v>
      </c>
      <c r="E3684" s="2" t="s">
        <v>260</v>
      </c>
      <c r="F3684" s="2" t="s">
        <v>16703</v>
      </c>
      <c r="G3684" s="2" t="s">
        <v>9655</v>
      </c>
      <c r="H3684" s="2" t="s">
        <v>76</v>
      </c>
      <c r="I3684" s="9">
        <v>112522451.612903</v>
      </c>
      <c r="J3684" s="7">
        <v>6.2000000000000003E-5</v>
      </c>
      <c r="K3684" s="9">
        <v>6976.39</v>
      </c>
      <c r="L3684" s="14">
        <v>0</v>
      </c>
      <c r="M3684" s="2" t="s">
        <v>71</v>
      </c>
      <c r="N3684" s="2" t="s">
        <v>16706</v>
      </c>
      <c r="O3684" s="2" t="s">
        <v>9654</v>
      </c>
      <c r="P3684" s="9">
        <v>3.84</v>
      </c>
      <c r="Q3684" s="9">
        <v>6976.39</v>
      </c>
      <c r="R3684" s="2" t="s">
        <v>16711</v>
      </c>
    </row>
    <row r="3685" spans="1:18" x14ac:dyDescent="0.25">
      <c r="A3685" s="2" t="s">
        <v>9658</v>
      </c>
      <c r="B3685" s="6">
        <v>46204</v>
      </c>
      <c r="C3685" s="8">
        <v>46233</v>
      </c>
      <c r="D3685" s="2" t="s">
        <v>7433</v>
      </c>
      <c r="E3685" s="2" t="s">
        <v>260</v>
      </c>
      <c r="F3685" s="2" t="s">
        <v>16703</v>
      </c>
      <c r="G3685" s="2" t="s">
        <v>9660</v>
      </c>
      <c r="H3685" s="2" t="s">
        <v>70</v>
      </c>
      <c r="I3685" s="9">
        <v>10770.693009000001</v>
      </c>
      <c r="J3685" s="7">
        <v>0.65800000000000003</v>
      </c>
      <c r="K3685" s="9">
        <v>7087.12</v>
      </c>
      <c r="L3685" s="14">
        <v>0</v>
      </c>
      <c r="M3685" s="2" t="s">
        <v>71</v>
      </c>
      <c r="N3685" s="2" t="s">
        <v>16706</v>
      </c>
      <c r="O3685" s="2" t="s">
        <v>9659</v>
      </c>
      <c r="P3685" s="9">
        <v>3.9</v>
      </c>
      <c r="Q3685" s="9">
        <v>7087.12</v>
      </c>
      <c r="R3685" s="2" t="s">
        <v>16711</v>
      </c>
    </row>
    <row r="3686" spans="1:18" x14ac:dyDescent="0.25">
      <c r="A3686" s="2" t="s">
        <v>9663</v>
      </c>
      <c r="B3686" s="6">
        <v>46204</v>
      </c>
      <c r="C3686" s="8">
        <v>46234</v>
      </c>
      <c r="D3686" s="2" t="s">
        <v>7433</v>
      </c>
      <c r="E3686" s="2" t="s">
        <v>260</v>
      </c>
      <c r="F3686" s="2" t="s">
        <v>16703</v>
      </c>
      <c r="G3686" s="2" t="s">
        <v>9665</v>
      </c>
      <c r="H3686" s="2" t="s">
        <v>39</v>
      </c>
      <c r="I3686" s="9">
        <v>-17994.61</v>
      </c>
      <c r="J3686" s="7">
        <v>1</v>
      </c>
      <c r="K3686" s="9">
        <v>-17994.61</v>
      </c>
      <c r="L3686" s="14">
        <v>0</v>
      </c>
      <c r="M3686" s="2" t="s">
        <v>71</v>
      </c>
      <c r="N3686" s="2" t="s">
        <v>16706</v>
      </c>
      <c r="O3686" s="2" t="s">
        <v>9664</v>
      </c>
      <c r="P3686" s="9">
        <v>0</v>
      </c>
      <c r="Q3686" s="9">
        <v>-17994.61</v>
      </c>
      <c r="R3686" s="2" t="s">
        <v>16711</v>
      </c>
    </row>
    <row r="3687" spans="1:18" x14ac:dyDescent="0.25">
      <c r="A3687" s="2" t="s">
        <v>9736</v>
      </c>
      <c r="B3687" s="6">
        <v>46204</v>
      </c>
      <c r="C3687" s="8">
        <v>46218</v>
      </c>
      <c r="D3687" s="2" t="s">
        <v>7433</v>
      </c>
      <c r="E3687" s="2" t="s">
        <v>260</v>
      </c>
      <c r="F3687" s="2" t="s">
        <v>16703</v>
      </c>
      <c r="G3687" s="2" t="s">
        <v>9738</v>
      </c>
      <c r="H3687" s="2" t="s">
        <v>39</v>
      </c>
      <c r="I3687" s="9">
        <v>8858.74</v>
      </c>
      <c r="J3687" s="7">
        <v>1</v>
      </c>
      <c r="K3687" s="9">
        <v>8858.74</v>
      </c>
      <c r="L3687" s="14">
        <v>0</v>
      </c>
      <c r="M3687" s="2" t="s">
        <v>71</v>
      </c>
      <c r="N3687" s="2" t="s">
        <v>16706</v>
      </c>
      <c r="O3687" s="2" t="s">
        <v>9737</v>
      </c>
      <c r="P3687" s="9">
        <v>4.87</v>
      </c>
      <c r="Q3687" s="9">
        <v>8858.74</v>
      </c>
      <c r="R3687" s="2" t="s">
        <v>16711</v>
      </c>
    </row>
    <row r="3688" spans="1:18" x14ac:dyDescent="0.25">
      <c r="A3688" s="2" t="s">
        <v>9741</v>
      </c>
      <c r="B3688" s="6">
        <v>46204</v>
      </c>
      <c r="C3688" s="8">
        <v>46219</v>
      </c>
      <c r="D3688" s="2" t="s">
        <v>7433</v>
      </c>
      <c r="E3688" s="2" t="s">
        <v>260</v>
      </c>
      <c r="F3688" s="2" t="s">
        <v>16703</v>
      </c>
      <c r="G3688" s="2" t="s">
        <v>9743</v>
      </c>
      <c r="H3688" s="2" t="s">
        <v>76</v>
      </c>
      <c r="I3688" s="9">
        <v>144668774.19354799</v>
      </c>
      <c r="J3688" s="7">
        <v>6.2000000000000003E-5</v>
      </c>
      <c r="K3688" s="9">
        <v>8969.4599999999991</v>
      </c>
      <c r="L3688" s="14">
        <v>0</v>
      </c>
      <c r="M3688" s="2" t="s">
        <v>71</v>
      </c>
      <c r="N3688" s="2" t="s">
        <v>16706</v>
      </c>
      <c r="O3688" s="2" t="s">
        <v>9742</v>
      </c>
      <c r="P3688" s="9">
        <v>4.93</v>
      </c>
      <c r="Q3688" s="9">
        <v>8969.4599999999991</v>
      </c>
      <c r="R3688" s="2" t="s">
        <v>16711</v>
      </c>
    </row>
    <row r="3689" spans="1:18" x14ac:dyDescent="0.25">
      <c r="A3689" s="2" t="s">
        <v>9746</v>
      </c>
      <c r="B3689" s="6">
        <v>46204</v>
      </c>
      <c r="C3689" s="8">
        <v>46220</v>
      </c>
      <c r="D3689" s="2" t="s">
        <v>7433</v>
      </c>
      <c r="E3689" s="2" t="s">
        <v>260</v>
      </c>
      <c r="F3689" s="2" t="s">
        <v>16703</v>
      </c>
      <c r="G3689" s="2" t="s">
        <v>9748</v>
      </c>
      <c r="H3689" s="2" t="s">
        <v>70</v>
      </c>
      <c r="I3689" s="9">
        <v>13799.68389</v>
      </c>
      <c r="J3689" s="7">
        <v>0.65800000000000003</v>
      </c>
      <c r="K3689" s="9">
        <v>9080.19</v>
      </c>
      <c r="L3689" s="14">
        <v>0</v>
      </c>
      <c r="M3689" s="2" t="s">
        <v>71</v>
      </c>
      <c r="N3689" s="2" t="s">
        <v>16706</v>
      </c>
      <c r="O3689" s="2" t="s">
        <v>9747</v>
      </c>
      <c r="P3689" s="9">
        <v>4.99</v>
      </c>
      <c r="Q3689" s="9">
        <v>9080.19</v>
      </c>
      <c r="R3689" s="2" t="s">
        <v>16711</v>
      </c>
    </row>
    <row r="3690" spans="1:18" x14ac:dyDescent="0.25">
      <c r="A3690" s="2" t="s">
        <v>9751</v>
      </c>
      <c r="B3690" s="6">
        <v>46204</v>
      </c>
      <c r="C3690" s="8">
        <v>46221</v>
      </c>
      <c r="D3690" s="2" t="s">
        <v>7433</v>
      </c>
      <c r="E3690" s="2" t="s">
        <v>260</v>
      </c>
      <c r="F3690" s="2" t="s">
        <v>16703</v>
      </c>
      <c r="G3690" s="2" t="s">
        <v>9753</v>
      </c>
      <c r="H3690" s="2" t="s">
        <v>39</v>
      </c>
      <c r="I3690" s="9">
        <v>9190.92</v>
      </c>
      <c r="J3690" s="7">
        <v>1</v>
      </c>
      <c r="K3690" s="9">
        <v>9190.92</v>
      </c>
      <c r="L3690" s="14">
        <v>0</v>
      </c>
      <c r="M3690" s="2" t="s">
        <v>71</v>
      </c>
      <c r="N3690" s="2" t="s">
        <v>16706</v>
      </c>
      <c r="O3690" s="2" t="s">
        <v>9752</v>
      </c>
      <c r="P3690" s="9">
        <v>5.0599999999999996</v>
      </c>
      <c r="Q3690" s="9">
        <v>9190.92</v>
      </c>
      <c r="R3690" s="2" t="s">
        <v>16711</v>
      </c>
    </row>
    <row r="3691" spans="1:18" x14ac:dyDescent="0.25">
      <c r="A3691" s="2" t="s">
        <v>9756</v>
      </c>
      <c r="B3691" s="6">
        <v>46204</v>
      </c>
      <c r="C3691" s="8">
        <v>46222</v>
      </c>
      <c r="D3691" s="2" t="s">
        <v>7433</v>
      </c>
      <c r="E3691" s="2" t="s">
        <v>260</v>
      </c>
      <c r="F3691" s="2" t="s">
        <v>16703</v>
      </c>
      <c r="G3691" s="2" t="s">
        <v>9758</v>
      </c>
      <c r="H3691" s="2" t="s">
        <v>76</v>
      </c>
      <c r="I3691" s="9">
        <v>150026516.12903199</v>
      </c>
      <c r="J3691" s="7">
        <v>6.2000000000000003E-5</v>
      </c>
      <c r="K3691" s="9">
        <v>9301.64</v>
      </c>
      <c r="L3691" s="14">
        <v>0</v>
      </c>
      <c r="M3691" s="2" t="s">
        <v>71</v>
      </c>
      <c r="N3691" s="2" t="s">
        <v>16706</v>
      </c>
      <c r="O3691" s="2" t="s">
        <v>9757</v>
      </c>
      <c r="P3691" s="9">
        <v>5.12</v>
      </c>
      <c r="Q3691" s="9">
        <v>9301.64</v>
      </c>
      <c r="R3691" s="2" t="s">
        <v>16711</v>
      </c>
    </row>
    <row r="3692" spans="1:18" x14ac:dyDescent="0.25">
      <c r="A3692" s="2" t="s">
        <v>9761</v>
      </c>
      <c r="B3692" s="6">
        <v>46204</v>
      </c>
      <c r="C3692" s="8">
        <v>46223</v>
      </c>
      <c r="D3692" s="2" t="s">
        <v>7433</v>
      </c>
      <c r="E3692" s="2" t="s">
        <v>260</v>
      </c>
      <c r="F3692" s="2" t="s">
        <v>16703</v>
      </c>
      <c r="G3692" s="2" t="s">
        <v>9763</v>
      </c>
      <c r="H3692" s="2" t="s">
        <v>70</v>
      </c>
      <c r="I3692" s="9">
        <v>14304.516717</v>
      </c>
      <c r="J3692" s="7">
        <v>0.65800000000000003</v>
      </c>
      <c r="K3692" s="9">
        <v>9412.3700000000008</v>
      </c>
      <c r="L3692" s="14">
        <v>0</v>
      </c>
      <c r="M3692" s="2" t="s">
        <v>71</v>
      </c>
      <c r="N3692" s="2" t="s">
        <v>16706</v>
      </c>
      <c r="O3692" s="2" t="s">
        <v>9762</v>
      </c>
      <c r="P3692" s="9">
        <v>5.18</v>
      </c>
      <c r="Q3692" s="9">
        <v>9412.3700000000008</v>
      </c>
      <c r="R3692" s="2" t="s">
        <v>16711</v>
      </c>
    </row>
    <row r="3693" spans="1:18" x14ac:dyDescent="0.25">
      <c r="A3693" s="2" t="s">
        <v>9766</v>
      </c>
      <c r="B3693" s="6">
        <v>46204</v>
      </c>
      <c r="C3693" s="8">
        <v>46224</v>
      </c>
      <c r="D3693" s="2" t="s">
        <v>7433</v>
      </c>
      <c r="E3693" s="2" t="s">
        <v>260</v>
      </c>
      <c r="F3693" s="2" t="s">
        <v>16703</v>
      </c>
      <c r="G3693" s="2" t="s">
        <v>9768</v>
      </c>
      <c r="H3693" s="2" t="s">
        <v>39</v>
      </c>
      <c r="I3693" s="9">
        <v>563.096</v>
      </c>
      <c r="J3693" s="7">
        <v>1</v>
      </c>
      <c r="K3693" s="9">
        <v>563.1</v>
      </c>
      <c r="L3693" s="14">
        <v>0</v>
      </c>
      <c r="M3693" s="2" t="s">
        <v>71</v>
      </c>
      <c r="N3693" s="2" t="s">
        <v>16706</v>
      </c>
      <c r="O3693" s="2" t="s">
        <v>9767</v>
      </c>
      <c r="P3693" s="9">
        <v>1.8</v>
      </c>
      <c r="Q3693" s="9">
        <v>563.1</v>
      </c>
      <c r="R3693" s="2" t="s">
        <v>16711</v>
      </c>
    </row>
    <row r="3694" spans="1:18" x14ac:dyDescent="0.25">
      <c r="A3694" s="2" t="s">
        <v>9771</v>
      </c>
      <c r="B3694" s="6">
        <v>46204</v>
      </c>
      <c r="C3694" s="8">
        <v>46225</v>
      </c>
      <c r="D3694" s="2" t="s">
        <v>7433</v>
      </c>
      <c r="E3694" s="2" t="s">
        <v>260</v>
      </c>
      <c r="F3694" s="2" t="s">
        <v>16703</v>
      </c>
      <c r="G3694" s="2" t="s">
        <v>9773</v>
      </c>
      <c r="H3694" s="2" t="s">
        <v>76</v>
      </c>
      <c r="I3694" s="9">
        <v>10868129.032258</v>
      </c>
      <c r="J3694" s="7">
        <v>6.2000000000000003E-5</v>
      </c>
      <c r="K3694" s="9">
        <v>673.82</v>
      </c>
      <c r="L3694" s="14">
        <v>0</v>
      </c>
      <c r="M3694" s="2" t="s">
        <v>71</v>
      </c>
      <c r="N3694" s="2" t="s">
        <v>16706</v>
      </c>
      <c r="O3694" s="2" t="s">
        <v>9772</v>
      </c>
      <c r="P3694" s="9">
        <v>1.8</v>
      </c>
      <c r="Q3694" s="9">
        <v>673.82</v>
      </c>
      <c r="R3694" s="2" t="s">
        <v>16711</v>
      </c>
    </row>
    <row r="3695" spans="1:18" x14ac:dyDescent="0.25">
      <c r="A3695" s="2" t="s">
        <v>9776</v>
      </c>
      <c r="B3695" s="6">
        <v>46204</v>
      </c>
      <c r="C3695" s="8">
        <v>46226</v>
      </c>
      <c r="D3695" s="2" t="s">
        <v>7433</v>
      </c>
      <c r="E3695" s="2" t="s">
        <v>260</v>
      </c>
      <c r="F3695" s="2" t="s">
        <v>16703</v>
      </c>
      <c r="G3695" s="2" t="s">
        <v>9778</v>
      </c>
      <c r="H3695" s="2" t="s">
        <v>70</v>
      </c>
      <c r="I3695" s="9">
        <v>1192.3221880000001</v>
      </c>
      <c r="J3695" s="7">
        <v>0.65800000000000003</v>
      </c>
      <c r="K3695" s="9">
        <v>784.55</v>
      </c>
      <c r="L3695" s="14">
        <v>0</v>
      </c>
      <c r="M3695" s="2" t="s">
        <v>71</v>
      </c>
      <c r="N3695" s="2" t="s">
        <v>16706</v>
      </c>
      <c r="O3695" s="2" t="s">
        <v>9777</v>
      </c>
      <c r="P3695" s="9">
        <v>1.8</v>
      </c>
      <c r="Q3695" s="9">
        <v>784.55</v>
      </c>
      <c r="R3695" s="2" t="s">
        <v>16711</v>
      </c>
    </row>
    <row r="3696" spans="1:18" x14ac:dyDescent="0.25">
      <c r="A3696" s="2" t="s">
        <v>9781</v>
      </c>
      <c r="B3696" s="6">
        <v>46204</v>
      </c>
      <c r="C3696" s="8">
        <v>46227</v>
      </c>
      <c r="D3696" s="2" t="s">
        <v>7433</v>
      </c>
      <c r="E3696" s="2" t="s">
        <v>260</v>
      </c>
      <c r="F3696" s="2" t="s">
        <v>16703</v>
      </c>
      <c r="G3696" s="2" t="s">
        <v>9783</v>
      </c>
      <c r="H3696" s="2" t="s">
        <v>39</v>
      </c>
      <c r="I3696" s="9">
        <v>895.27599999999995</v>
      </c>
      <c r="J3696" s="7">
        <v>1</v>
      </c>
      <c r="K3696" s="9">
        <v>895.28</v>
      </c>
      <c r="L3696" s="14">
        <v>0</v>
      </c>
      <c r="M3696" s="2" t="s">
        <v>71</v>
      </c>
      <c r="N3696" s="2" t="s">
        <v>16706</v>
      </c>
      <c r="O3696" s="2" t="s">
        <v>9782</v>
      </c>
      <c r="P3696" s="9">
        <v>1.8</v>
      </c>
      <c r="Q3696" s="9">
        <v>895.28</v>
      </c>
      <c r="R3696" s="2" t="s">
        <v>16711</v>
      </c>
    </row>
    <row r="3697" spans="1:18" x14ac:dyDescent="0.25">
      <c r="A3697" s="2" t="s">
        <v>9786</v>
      </c>
      <c r="B3697" s="6">
        <v>46204</v>
      </c>
      <c r="C3697" s="8">
        <v>46228</v>
      </c>
      <c r="D3697" s="2" t="s">
        <v>7433</v>
      </c>
      <c r="E3697" s="2" t="s">
        <v>260</v>
      </c>
      <c r="F3697" s="2" t="s">
        <v>16703</v>
      </c>
      <c r="G3697" s="2" t="s">
        <v>9788</v>
      </c>
      <c r="H3697" s="2" t="s">
        <v>76</v>
      </c>
      <c r="I3697" s="9">
        <v>16225870.967742</v>
      </c>
      <c r="J3697" s="7">
        <v>6.2000000000000003E-5</v>
      </c>
      <c r="K3697" s="9">
        <v>1006</v>
      </c>
      <c r="L3697" s="14">
        <v>0</v>
      </c>
      <c r="M3697" s="2" t="s">
        <v>71</v>
      </c>
      <c r="N3697" s="2" t="s">
        <v>16706</v>
      </c>
      <c r="O3697" s="2" t="s">
        <v>9787</v>
      </c>
      <c r="P3697" s="9">
        <v>1.8</v>
      </c>
      <c r="Q3697" s="9">
        <v>1006</v>
      </c>
      <c r="R3697" s="2" t="s">
        <v>16711</v>
      </c>
    </row>
    <row r="3698" spans="1:18" x14ac:dyDescent="0.25">
      <c r="A3698" s="2" t="s">
        <v>9791</v>
      </c>
      <c r="B3698" s="6">
        <v>46204</v>
      </c>
      <c r="C3698" s="8">
        <v>46229</v>
      </c>
      <c r="D3698" s="2" t="s">
        <v>7433</v>
      </c>
      <c r="E3698" s="2" t="s">
        <v>260</v>
      </c>
      <c r="F3698" s="2" t="s">
        <v>16703</v>
      </c>
      <c r="G3698" s="2" t="s">
        <v>9793</v>
      </c>
      <c r="H3698" s="2" t="s">
        <v>70</v>
      </c>
      <c r="I3698" s="9">
        <v>1697.155015</v>
      </c>
      <c r="J3698" s="7">
        <v>0.65800000000000003</v>
      </c>
      <c r="K3698" s="9">
        <v>1116.73</v>
      </c>
      <c r="L3698" s="14">
        <v>0</v>
      </c>
      <c r="M3698" s="2" t="s">
        <v>71</v>
      </c>
      <c r="N3698" s="2" t="s">
        <v>16706</v>
      </c>
      <c r="O3698" s="2" t="s">
        <v>9792</v>
      </c>
      <c r="P3698" s="9">
        <v>1.8</v>
      </c>
      <c r="Q3698" s="9">
        <v>1116.73</v>
      </c>
      <c r="R3698" s="2" t="s">
        <v>16711</v>
      </c>
    </row>
    <row r="3699" spans="1:18" x14ac:dyDescent="0.25">
      <c r="A3699" s="2" t="s">
        <v>9796</v>
      </c>
      <c r="B3699" s="6">
        <v>46204</v>
      </c>
      <c r="C3699" s="8">
        <v>46230</v>
      </c>
      <c r="D3699" s="2" t="s">
        <v>7433</v>
      </c>
      <c r="E3699" s="2" t="s">
        <v>260</v>
      </c>
      <c r="F3699" s="2" t="s">
        <v>16703</v>
      </c>
      <c r="G3699" s="2" t="s">
        <v>9798</v>
      </c>
      <c r="H3699" s="2" t="s">
        <v>39</v>
      </c>
      <c r="I3699" s="9">
        <v>1227.4559999999999</v>
      </c>
      <c r="J3699" s="7">
        <v>1</v>
      </c>
      <c r="K3699" s="9">
        <v>1227.46</v>
      </c>
      <c r="L3699" s="14">
        <v>0</v>
      </c>
      <c r="M3699" s="2" t="s">
        <v>71</v>
      </c>
      <c r="N3699" s="2" t="s">
        <v>16706</v>
      </c>
      <c r="O3699" s="2" t="s">
        <v>9797</v>
      </c>
      <c r="P3699" s="9">
        <v>1.8</v>
      </c>
      <c r="Q3699" s="9">
        <v>1227.46</v>
      </c>
      <c r="R3699" s="2" t="s">
        <v>16711</v>
      </c>
    </row>
    <row r="3700" spans="1:18" x14ac:dyDescent="0.25">
      <c r="A3700" s="2" t="s">
        <v>9801</v>
      </c>
      <c r="B3700" s="6">
        <v>46204</v>
      </c>
      <c r="C3700" s="8">
        <v>46231</v>
      </c>
      <c r="D3700" s="2" t="s">
        <v>7433</v>
      </c>
      <c r="E3700" s="2" t="s">
        <v>260</v>
      </c>
      <c r="F3700" s="2" t="s">
        <v>16703</v>
      </c>
      <c r="G3700" s="2" t="s">
        <v>9803</v>
      </c>
      <c r="H3700" s="2" t="s">
        <v>76</v>
      </c>
      <c r="I3700" s="9">
        <v>21583612.903225999</v>
      </c>
      <c r="J3700" s="7">
        <v>6.2000000000000003E-5</v>
      </c>
      <c r="K3700" s="9">
        <v>1338.18</v>
      </c>
      <c r="L3700" s="14">
        <v>0</v>
      </c>
      <c r="M3700" s="2" t="s">
        <v>71</v>
      </c>
      <c r="N3700" s="2" t="s">
        <v>16706</v>
      </c>
      <c r="O3700" s="2" t="s">
        <v>9802</v>
      </c>
      <c r="P3700" s="9">
        <v>1.8</v>
      </c>
      <c r="Q3700" s="9">
        <v>1338.18</v>
      </c>
      <c r="R3700" s="2" t="s">
        <v>16711</v>
      </c>
    </row>
    <row r="3701" spans="1:18" x14ac:dyDescent="0.25">
      <c r="A3701" s="2" t="s">
        <v>9806</v>
      </c>
      <c r="B3701" s="6">
        <v>46204</v>
      </c>
      <c r="C3701" s="8">
        <v>46232</v>
      </c>
      <c r="D3701" s="2" t="s">
        <v>7433</v>
      </c>
      <c r="E3701" s="2" t="s">
        <v>260</v>
      </c>
      <c r="F3701" s="2" t="s">
        <v>16703</v>
      </c>
      <c r="G3701" s="2" t="s">
        <v>9808</v>
      </c>
      <c r="H3701" s="2" t="s">
        <v>70</v>
      </c>
      <c r="I3701" s="9">
        <v>2201.987842</v>
      </c>
      <c r="J3701" s="7">
        <v>0.65800000000000003</v>
      </c>
      <c r="K3701" s="9">
        <v>1448.91</v>
      </c>
      <c r="L3701" s="14">
        <v>0</v>
      </c>
      <c r="M3701" s="2" t="s">
        <v>71</v>
      </c>
      <c r="N3701" s="2" t="s">
        <v>16706</v>
      </c>
      <c r="O3701" s="2" t="s">
        <v>9807</v>
      </c>
      <c r="P3701" s="9">
        <v>1.8</v>
      </c>
      <c r="Q3701" s="9">
        <v>1448.91</v>
      </c>
      <c r="R3701" s="2" t="s">
        <v>16711</v>
      </c>
    </row>
    <row r="3702" spans="1:18" x14ac:dyDescent="0.25">
      <c r="A3702" s="2" t="s">
        <v>9811</v>
      </c>
      <c r="B3702" s="6">
        <v>46204</v>
      </c>
      <c r="C3702" s="8">
        <v>46233</v>
      </c>
      <c r="D3702" s="2" t="s">
        <v>7433</v>
      </c>
      <c r="E3702" s="2" t="s">
        <v>260</v>
      </c>
      <c r="F3702" s="2" t="s">
        <v>16703</v>
      </c>
      <c r="G3702" s="2" t="s">
        <v>9813</v>
      </c>
      <c r="H3702" s="2" t="s">
        <v>39</v>
      </c>
      <c r="I3702" s="9">
        <v>1559.636</v>
      </c>
      <c r="J3702" s="7">
        <v>1</v>
      </c>
      <c r="K3702" s="9">
        <v>1559.64</v>
      </c>
      <c r="L3702" s="14">
        <v>0</v>
      </c>
      <c r="M3702" s="2" t="s">
        <v>71</v>
      </c>
      <c r="N3702" s="2" t="s">
        <v>16706</v>
      </c>
      <c r="O3702" s="2" t="s">
        <v>9812</v>
      </c>
      <c r="P3702" s="9">
        <v>1.8</v>
      </c>
      <c r="Q3702" s="9">
        <v>1559.64</v>
      </c>
      <c r="R3702" s="2" t="s">
        <v>16711</v>
      </c>
    </row>
    <row r="3703" spans="1:18" x14ac:dyDescent="0.25">
      <c r="A3703" s="2" t="s">
        <v>9816</v>
      </c>
      <c r="B3703" s="6">
        <v>46204</v>
      </c>
      <c r="C3703" s="8">
        <v>46234</v>
      </c>
      <c r="D3703" s="2" t="s">
        <v>7433</v>
      </c>
      <c r="E3703" s="2" t="s">
        <v>260</v>
      </c>
      <c r="F3703" s="2" t="s">
        <v>16703</v>
      </c>
      <c r="G3703" s="2" t="s">
        <v>9818</v>
      </c>
      <c r="H3703" s="2" t="s">
        <v>76</v>
      </c>
      <c r="I3703" s="9">
        <v>26941290.322581001</v>
      </c>
      <c r="J3703" s="7">
        <v>6.2000000000000003E-5</v>
      </c>
      <c r="K3703" s="9">
        <v>1670.36</v>
      </c>
      <c r="L3703" s="14">
        <v>0</v>
      </c>
      <c r="M3703" s="2" t="s">
        <v>71</v>
      </c>
      <c r="N3703" s="2" t="s">
        <v>16706</v>
      </c>
      <c r="O3703" s="2" t="s">
        <v>9817</v>
      </c>
      <c r="P3703" s="9">
        <v>1.8</v>
      </c>
      <c r="Q3703" s="9">
        <v>1670.36</v>
      </c>
      <c r="R3703" s="2" t="s">
        <v>16711</v>
      </c>
    </row>
    <row r="3704" spans="1:18" x14ac:dyDescent="0.25">
      <c r="A3704" s="2" t="s">
        <v>9889</v>
      </c>
      <c r="B3704" s="6">
        <v>46204</v>
      </c>
      <c r="C3704" s="8">
        <v>46218</v>
      </c>
      <c r="D3704" s="2" t="s">
        <v>7433</v>
      </c>
      <c r="E3704" s="2" t="s">
        <v>260</v>
      </c>
      <c r="F3704" s="2" t="s">
        <v>16703</v>
      </c>
      <c r="G3704" s="2" t="s">
        <v>9891</v>
      </c>
      <c r="H3704" s="2" t="s">
        <v>76</v>
      </c>
      <c r="I3704" s="9">
        <v>53719935.483870998</v>
      </c>
      <c r="J3704" s="7">
        <v>6.2000000000000003E-5</v>
      </c>
      <c r="K3704" s="9">
        <v>3330.64</v>
      </c>
      <c r="L3704" s="14">
        <v>0</v>
      </c>
      <c r="M3704" s="2" t="s">
        <v>71</v>
      </c>
      <c r="N3704" s="2" t="s">
        <v>16706</v>
      </c>
      <c r="O3704" s="2" t="s">
        <v>9890</v>
      </c>
      <c r="P3704" s="9">
        <v>1.83</v>
      </c>
      <c r="Q3704" s="9">
        <v>3330.64</v>
      </c>
      <c r="R3704" s="2" t="s">
        <v>16711</v>
      </c>
    </row>
    <row r="3705" spans="1:18" x14ac:dyDescent="0.25">
      <c r="A3705" s="2" t="s">
        <v>9894</v>
      </c>
      <c r="B3705" s="6">
        <v>46204</v>
      </c>
      <c r="C3705" s="8">
        <v>46219</v>
      </c>
      <c r="D3705" s="2" t="s">
        <v>7433</v>
      </c>
      <c r="E3705" s="2" t="s">
        <v>260</v>
      </c>
      <c r="F3705" s="2" t="s">
        <v>16703</v>
      </c>
      <c r="G3705" s="2" t="s">
        <v>9896</v>
      </c>
      <c r="H3705" s="2" t="s">
        <v>70</v>
      </c>
      <c r="I3705" s="9">
        <v>5230.0364740000005</v>
      </c>
      <c r="J3705" s="7">
        <v>0.65800000000000003</v>
      </c>
      <c r="K3705" s="9">
        <v>3441.36</v>
      </c>
      <c r="L3705" s="14">
        <v>0</v>
      </c>
      <c r="M3705" s="2" t="s">
        <v>71</v>
      </c>
      <c r="N3705" s="2" t="s">
        <v>16706</v>
      </c>
      <c r="O3705" s="2" t="s">
        <v>9895</v>
      </c>
      <c r="P3705" s="9">
        <v>1.89</v>
      </c>
      <c r="Q3705" s="9">
        <v>3441.36</v>
      </c>
      <c r="R3705" s="2" t="s">
        <v>16711</v>
      </c>
    </row>
    <row r="3706" spans="1:18" x14ac:dyDescent="0.25">
      <c r="A3706" s="2" t="s">
        <v>9899</v>
      </c>
      <c r="B3706" s="6">
        <v>46204</v>
      </c>
      <c r="C3706" s="8">
        <v>46220</v>
      </c>
      <c r="D3706" s="2" t="s">
        <v>7433</v>
      </c>
      <c r="E3706" s="2" t="s">
        <v>260</v>
      </c>
      <c r="F3706" s="2" t="s">
        <v>16703</v>
      </c>
      <c r="G3706" s="2" t="s">
        <v>9901</v>
      </c>
      <c r="H3706" s="2" t="s">
        <v>39</v>
      </c>
      <c r="I3706" s="9">
        <v>3552.0880000000002</v>
      </c>
      <c r="J3706" s="7">
        <v>1</v>
      </c>
      <c r="K3706" s="9">
        <v>3552.09</v>
      </c>
      <c r="L3706" s="14">
        <v>0</v>
      </c>
      <c r="M3706" s="2" t="s">
        <v>71</v>
      </c>
      <c r="N3706" s="2" t="s">
        <v>16706</v>
      </c>
      <c r="O3706" s="2" t="s">
        <v>9900</v>
      </c>
      <c r="P3706" s="9">
        <v>1.95</v>
      </c>
      <c r="Q3706" s="9">
        <v>3552.09</v>
      </c>
      <c r="R3706" s="2" t="s">
        <v>16711</v>
      </c>
    </row>
    <row r="3707" spans="1:18" x14ac:dyDescent="0.25">
      <c r="A3707" s="2" t="s">
        <v>9904</v>
      </c>
      <c r="B3707" s="6">
        <v>46204</v>
      </c>
      <c r="C3707" s="8">
        <v>46221</v>
      </c>
      <c r="D3707" s="2" t="s">
        <v>7433</v>
      </c>
      <c r="E3707" s="2" t="s">
        <v>260</v>
      </c>
      <c r="F3707" s="2" t="s">
        <v>16703</v>
      </c>
      <c r="G3707" s="2" t="s">
        <v>9906</v>
      </c>
      <c r="H3707" s="2" t="s">
        <v>76</v>
      </c>
      <c r="I3707" s="9">
        <v>59077677.419354998</v>
      </c>
      <c r="J3707" s="7">
        <v>6.2000000000000003E-5</v>
      </c>
      <c r="K3707" s="9">
        <v>3662.82</v>
      </c>
      <c r="L3707" s="14">
        <v>0</v>
      </c>
      <c r="M3707" s="2" t="s">
        <v>71</v>
      </c>
      <c r="N3707" s="2" t="s">
        <v>16706</v>
      </c>
      <c r="O3707" s="2" t="s">
        <v>9905</v>
      </c>
      <c r="P3707" s="9">
        <v>2.0099999999999998</v>
      </c>
      <c r="Q3707" s="9">
        <v>3662.82</v>
      </c>
      <c r="R3707" s="2" t="s">
        <v>16711</v>
      </c>
    </row>
    <row r="3708" spans="1:18" x14ac:dyDescent="0.25">
      <c r="A3708" s="2" t="s">
        <v>9909</v>
      </c>
      <c r="B3708" s="6">
        <v>46204</v>
      </c>
      <c r="C3708" s="8">
        <v>46222</v>
      </c>
      <c r="D3708" s="2" t="s">
        <v>7433</v>
      </c>
      <c r="E3708" s="2" t="s">
        <v>260</v>
      </c>
      <c r="F3708" s="2" t="s">
        <v>16703</v>
      </c>
      <c r="G3708" s="2" t="s">
        <v>9911</v>
      </c>
      <c r="H3708" s="2" t="s">
        <v>70</v>
      </c>
      <c r="I3708" s="9">
        <v>5734.8693009999997</v>
      </c>
      <c r="J3708" s="7">
        <v>0.65800000000000003</v>
      </c>
      <c r="K3708" s="9">
        <v>3773.54</v>
      </c>
      <c r="L3708" s="14">
        <v>0</v>
      </c>
      <c r="M3708" s="2" t="s">
        <v>71</v>
      </c>
      <c r="N3708" s="2" t="s">
        <v>16706</v>
      </c>
      <c r="O3708" s="2" t="s">
        <v>9910</v>
      </c>
      <c r="P3708" s="9">
        <v>2.08</v>
      </c>
      <c r="Q3708" s="9">
        <v>3773.54</v>
      </c>
      <c r="R3708" s="2" t="s">
        <v>16711</v>
      </c>
    </row>
    <row r="3709" spans="1:18" x14ac:dyDescent="0.25">
      <c r="A3709" s="2" t="s">
        <v>9914</v>
      </c>
      <c r="B3709" s="6">
        <v>46204</v>
      </c>
      <c r="C3709" s="8">
        <v>46223</v>
      </c>
      <c r="D3709" s="2" t="s">
        <v>7433</v>
      </c>
      <c r="E3709" s="2" t="s">
        <v>260</v>
      </c>
      <c r="F3709" s="2" t="s">
        <v>16703</v>
      </c>
      <c r="G3709" s="2" t="s">
        <v>9916</v>
      </c>
      <c r="H3709" s="2" t="s">
        <v>39</v>
      </c>
      <c r="I3709" s="9">
        <v>3884.268</v>
      </c>
      <c r="J3709" s="7">
        <v>1</v>
      </c>
      <c r="K3709" s="9">
        <v>3884.27</v>
      </c>
      <c r="L3709" s="14">
        <v>0</v>
      </c>
      <c r="M3709" s="2" t="s">
        <v>71</v>
      </c>
      <c r="N3709" s="2" t="s">
        <v>16706</v>
      </c>
      <c r="O3709" s="2" t="s">
        <v>9915</v>
      </c>
      <c r="P3709" s="9">
        <v>2.14</v>
      </c>
      <c r="Q3709" s="9">
        <v>3884.27</v>
      </c>
      <c r="R3709" s="2" t="s">
        <v>16711</v>
      </c>
    </row>
    <row r="3710" spans="1:18" x14ac:dyDescent="0.25">
      <c r="A3710" s="2" t="s">
        <v>9919</v>
      </c>
      <c r="B3710" s="6">
        <v>46204</v>
      </c>
      <c r="C3710" s="8">
        <v>46224</v>
      </c>
      <c r="D3710" s="2" t="s">
        <v>7433</v>
      </c>
      <c r="E3710" s="2" t="s">
        <v>260</v>
      </c>
      <c r="F3710" s="2" t="s">
        <v>16703</v>
      </c>
      <c r="G3710" s="2" t="s">
        <v>9921</v>
      </c>
      <c r="H3710" s="2" t="s">
        <v>76</v>
      </c>
      <c r="I3710" s="9">
        <v>64435419.354838997</v>
      </c>
      <c r="J3710" s="7">
        <v>6.2000000000000003E-5</v>
      </c>
      <c r="K3710" s="9">
        <v>3995</v>
      </c>
      <c r="L3710" s="14">
        <v>0</v>
      </c>
      <c r="M3710" s="2" t="s">
        <v>71</v>
      </c>
      <c r="N3710" s="2" t="s">
        <v>16706</v>
      </c>
      <c r="O3710" s="2" t="s">
        <v>9920</v>
      </c>
      <c r="P3710" s="9">
        <v>2.2000000000000002</v>
      </c>
      <c r="Q3710" s="9">
        <v>3995</v>
      </c>
      <c r="R3710" s="2" t="s">
        <v>16711</v>
      </c>
    </row>
    <row r="3711" spans="1:18" x14ac:dyDescent="0.25">
      <c r="A3711" s="2" t="s">
        <v>9924</v>
      </c>
      <c r="B3711" s="6">
        <v>46204</v>
      </c>
      <c r="C3711" s="8">
        <v>46225</v>
      </c>
      <c r="D3711" s="2" t="s">
        <v>7433</v>
      </c>
      <c r="E3711" s="2" t="s">
        <v>260</v>
      </c>
      <c r="F3711" s="2" t="s">
        <v>16703</v>
      </c>
      <c r="G3711" s="2" t="s">
        <v>9926</v>
      </c>
      <c r="H3711" s="2" t="s">
        <v>70</v>
      </c>
      <c r="I3711" s="9">
        <v>6239.7021279999999</v>
      </c>
      <c r="J3711" s="7">
        <v>0.65800000000000003</v>
      </c>
      <c r="K3711" s="9">
        <v>4105.72</v>
      </c>
      <c r="L3711" s="14">
        <v>0</v>
      </c>
      <c r="M3711" s="2" t="s">
        <v>71</v>
      </c>
      <c r="N3711" s="2" t="s">
        <v>16706</v>
      </c>
      <c r="O3711" s="2" t="s">
        <v>9925</v>
      </c>
      <c r="P3711" s="9">
        <v>2.2599999999999998</v>
      </c>
      <c r="Q3711" s="9">
        <v>4105.72</v>
      </c>
      <c r="R3711" s="2" t="s">
        <v>16711</v>
      </c>
    </row>
    <row r="3712" spans="1:18" x14ac:dyDescent="0.25">
      <c r="A3712" s="2" t="s">
        <v>9929</v>
      </c>
      <c r="B3712" s="6">
        <v>46204</v>
      </c>
      <c r="C3712" s="8">
        <v>46226</v>
      </c>
      <c r="D3712" s="2" t="s">
        <v>7433</v>
      </c>
      <c r="E3712" s="2" t="s">
        <v>260</v>
      </c>
      <c r="F3712" s="2" t="s">
        <v>16703</v>
      </c>
      <c r="G3712" s="2" t="s">
        <v>9931</v>
      </c>
      <c r="H3712" s="2" t="s">
        <v>39</v>
      </c>
      <c r="I3712" s="9">
        <v>4216.4480000000003</v>
      </c>
      <c r="J3712" s="7">
        <v>1</v>
      </c>
      <c r="K3712" s="9">
        <v>4216.45</v>
      </c>
      <c r="L3712" s="14">
        <v>0</v>
      </c>
      <c r="M3712" s="2" t="s">
        <v>71</v>
      </c>
      <c r="N3712" s="2" t="s">
        <v>16706</v>
      </c>
      <c r="O3712" s="2" t="s">
        <v>9930</v>
      </c>
      <c r="P3712" s="9">
        <v>2.3199999999999998</v>
      </c>
      <c r="Q3712" s="9">
        <v>4216.45</v>
      </c>
      <c r="R3712" s="2" t="s">
        <v>16711</v>
      </c>
    </row>
    <row r="3713" spans="1:18" x14ac:dyDescent="0.25">
      <c r="A3713" s="2" t="s">
        <v>9934</v>
      </c>
      <c r="B3713" s="6">
        <v>46204</v>
      </c>
      <c r="C3713" s="8">
        <v>46227</v>
      </c>
      <c r="D3713" s="2" t="s">
        <v>7433</v>
      </c>
      <c r="E3713" s="2" t="s">
        <v>260</v>
      </c>
      <c r="F3713" s="2" t="s">
        <v>16703</v>
      </c>
      <c r="G3713" s="2" t="s">
        <v>9936</v>
      </c>
      <c r="H3713" s="2" t="s">
        <v>76</v>
      </c>
      <c r="I3713" s="9">
        <v>69793161.290322006</v>
      </c>
      <c r="J3713" s="7">
        <v>6.2000000000000003E-5</v>
      </c>
      <c r="K3713" s="9">
        <v>4327.18</v>
      </c>
      <c r="L3713" s="14">
        <v>0</v>
      </c>
      <c r="M3713" s="2" t="s">
        <v>71</v>
      </c>
      <c r="N3713" s="2" t="s">
        <v>16706</v>
      </c>
      <c r="O3713" s="2" t="s">
        <v>9935</v>
      </c>
      <c r="P3713" s="9">
        <v>2.38</v>
      </c>
      <c r="Q3713" s="9">
        <v>4327.18</v>
      </c>
      <c r="R3713" s="2" t="s">
        <v>16711</v>
      </c>
    </row>
    <row r="3714" spans="1:18" x14ac:dyDescent="0.25">
      <c r="A3714" s="2" t="s">
        <v>9939</v>
      </c>
      <c r="B3714" s="6">
        <v>46204</v>
      </c>
      <c r="C3714" s="8">
        <v>46228</v>
      </c>
      <c r="D3714" s="2" t="s">
        <v>7433</v>
      </c>
      <c r="E3714" s="2" t="s">
        <v>260</v>
      </c>
      <c r="F3714" s="2" t="s">
        <v>16703</v>
      </c>
      <c r="G3714" s="2" t="s">
        <v>9941</v>
      </c>
      <c r="H3714" s="2" t="s">
        <v>70</v>
      </c>
      <c r="I3714" s="9">
        <v>6744.5349539999997</v>
      </c>
      <c r="J3714" s="7">
        <v>0.65800000000000003</v>
      </c>
      <c r="K3714" s="9">
        <v>4437.8999999999996</v>
      </c>
      <c r="L3714" s="14">
        <v>0</v>
      </c>
      <c r="M3714" s="2" t="s">
        <v>71</v>
      </c>
      <c r="N3714" s="2" t="s">
        <v>16706</v>
      </c>
      <c r="O3714" s="2" t="s">
        <v>9940</v>
      </c>
      <c r="P3714" s="9">
        <v>2.44</v>
      </c>
      <c r="Q3714" s="9">
        <v>4437.8999999999996</v>
      </c>
      <c r="R3714" s="2" t="s">
        <v>16711</v>
      </c>
    </row>
    <row r="3715" spans="1:18" x14ac:dyDescent="0.25">
      <c r="A3715" s="2" t="s">
        <v>9944</v>
      </c>
      <c r="B3715" s="6">
        <v>46204</v>
      </c>
      <c r="C3715" s="8">
        <v>46229</v>
      </c>
      <c r="D3715" s="2" t="s">
        <v>7433</v>
      </c>
      <c r="E3715" s="2" t="s">
        <v>260</v>
      </c>
      <c r="F3715" s="2" t="s">
        <v>16703</v>
      </c>
      <c r="G3715" s="2" t="s">
        <v>9946</v>
      </c>
      <c r="H3715" s="2" t="s">
        <v>39</v>
      </c>
      <c r="I3715" s="9">
        <v>4548.6279999999997</v>
      </c>
      <c r="J3715" s="7">
        <v>1</v>
      </c>
      <c r="K3715" s="9">
        <v>4548.63</v>
      </c>
      <c r="L3715" s="14">
        <v>0</v>
      </c>
      <c r="M3715" s="2" t="s">
        <v>71</v>
      </c>
      <c r="N3715" s="2" t="s">
        <v>16706</v>
      </c>
      <c r="O3715" s="2" t="s">
        <v>9945</v>
      </c>
      <c r="P3715" s="9">
        <v>2.5</v>
      </c>
      <c r="Q3715" s="9">
        <v>4548.63</v>
      </c>
      <c r="R3715" s="2" t="s">
        <v>16711</v>
      </c>
    </row>
    <row r="3716" spans="1:18" x14ac:dyDescent="0.25">
      <c r="A3716" s="2" t="s">
        <v>9949</v>
      </c>
      <c r="B3716" s="6">
        <v>46204</v>
      </c>
      <c r="C3716" s="8">
        <v>46230</v>
      </c>
      <c r="D3716" s="2" t="s">
        <v>7433</v>
      </c>
      <c r="E3716" s="2" t="s">
        <v>260</v>
      </c>
      <c r="F3716" s="2" t="s">
        <v>16703</v>
      </c>
      <c r="G3716" s="2" t="s">
        <v>9951</v>
      </c>
      <c r="H3716" s="2" t="s">
        <v>76</v>
      </c>
      <c r="I3716" s="9">
        <v>75150838.709677994</v>
      </c>
      <c r="J3716" s="7">
        <v>6.2000000000000003E-5</v>
      </c>
      <c r="K3716" s="9">
        <v>4659.3500000000004</v>
      </c>
      <c r="L3716" s="14">
        <v>0</v>
      </c>
      <c r="M3716" s="2" t="s">
        <v>71</v>
      </c>
      <c r="N3716" s="2" t="s">
        <v>16706</v>
      </c>
      <c r="O3716" s="2" t="s">
        <v>9950</v>
      </c>
      <c r="P3716" s="9">
        <v>2.56</v>
      </c>
      <c r="Q3716" s="9">
        <v>4659.3500000000004</v>
      </c>
      <c r="R3716" s="2" t="s">
        <v>16711</v>
      </c>
    </row>
    <row r="3717" spans="1:18" x14ac:dyDescent="0.25">
      <c r="A3717" s="2" t="s">
        <v>9954</v>
      </c>
      <c r="B3717" s="6">
        <v>46204</v>
      </c>
      <c r="C3717" s="8">
        <v>46231</v>
      </c>
      <c r="D3717" s="2" t="s">
        <v>7433</v>
      </c>
      <c r="E3717" s="2" t="s">
        <v>260</v>
      </c>
      <c r="F3717" s="2" t="s">
        <v>16703</v>
      </c>
      <c r="G3717" s="2" t="s">
        <v>9956</v>
      </c>
      <c r="H3717" s="2" t="s">
        <v>70</v>
      </c>
      <c r="I3717" s="9">
        <v>7249.3617020000002</v>
      </c>
      <c r="J3717" s="7">
        <v>0.65800000000000003</v>
      </c>
      <c r="K3717" s="9">
        <v>4770.08</v>
      </c>
      <c r="L3717" s="14">
        <v>0</v>
      </c>
      <c r="M3717" s="2" t="s">
        <v>71</v>
      </c>
      <c r="N3717" s="2" t="s">
        <v>16706</v>
      </c>
      <c r="O3717" s="2" t="s">
        <v>9955</v>
      </c>
      <c r="P3717" s="9">
        <v>2.62</v>
      </c>
      <c r="Q3717" s="9">
        <v>4770.08</v>
      </c>
      <c r="R3717" s="2" t="s">
        <v>16711</v>
      </c>
    </row>
    <row r="3718" spans="1:18" x14ac:dyDescent="0.25">
      <c r="A3718" s="2" t="s">
        <v>9959</v>
      </c>
      <c r="B3718" s="6">
        <v>46204</v>
      </c>
      <c r="C3718" s="8">
        <v>46232</v>
      </c>
      <c r="D3718" s="2" t="s">
        <v>7433</v>
      </c>
      <c r="E3718" s="2" t="s">
        <v>260</v>
      </c>
      <c r="F3718" s="2" t="s">
        <v>16703</v>
      </c>
      <c r="G3718" s="2" t="s">
        <v>9961</v>
      </c>
      <c r="H3718" s="2" t="s">
        <v>39</v>
      </c>
      <c r="I3718" s="9">
        <v>4880.808</v>
      </c>
      <c r="J3718" s="7">
        <v>1</v>
      </c>
      <c r="K3718" s="9">
        <v>4880.8100000000004</v>
      </c>
      <c r="L3718" s="14">
        <v>0</v>
      </c>
      <c r="M3718" s="2" t="s">
        <v>71</v>
      </c>
      <c r="N3718" s="2" t="s">
        <v>16706</v>
      </c>
      <c r="O3718" s="2" t="s">
        <v>9960</v>
      </c>
      <c r="P3718" s="9">
        <v>2.68</v>
      </c>
      <c r="Q3718" s="9">
        <v>4880.8100000000004</v>
      </c>
      <c r="R3718" s="2" t="s">
        <v>16711</v>
      </c>
    </row>
    <row r="3719" spans="1:18" x14ac:dyDescent="0.25">
      <c r="A3719" s="2" t="s">
        <v>9964</v>
      </c>
      <c r="B3719" s="6">
        <v>46204</v>
      </c>
      <c r="C3719" s="8">
        <v>46233</v>
      </c>
      <c r="D3719" s="2" t="s">
        <v>7433</v>
      </c>
      <c r="E3719" s="2" t="s">
        <v>260</v>
      </c>
      <c r="F3719" s="2" t="s">
        <v>16703</v>
      </c>
      <c r="G3719" s="2" t="s">
        <v>9966</v>
      </c>
      <c r="H3719" s="2" t="s">
        <v>76</v>
      </c>
      <c r="I3719" s="9">
        <v>80508580.645161003</v>
      </c>
      <c r="J3719" s="7">
        <v>6.2000000000000003E-5</v>
      </c>
      <c r="K3719" s="9">
        <v>4991.53</v>
      </c>
      <c r="L3719" s="14">
        <v>0</v>
      </c>
      <c r="M3719" s="2" t="s">
        <v>71</v>
      </c>
      <c r="N3719" s="2" t="s">
        <v>16706</v>
      </c>
      <c r="O3719" s="2" t="s">
        <v>9965</v>
      </c>
      <c r="P3719" s="9">
        <v>2.75</v>
      </c>
      <c r="Q3719" s="9">
        <v>4991.53</v>
      </c>
      <c r="R3719" s="2" t="s">
        <v>16711</v>
      </c>
    </row>
    <row r="3720" spans="1:18" x14ac:dyDescent="0.25">
      <c r="A3720" s="2" t="s">
        <v>9969</v>
      </c>
      <c r="B3720" s="6">
        <v>46204</v>
      </c>
      <c r="C3720" s="8">
        <v>46234</v>
      </c>
      <c r="D3720" s="2" t="s">
        <v>7433</v>
      </c>
      <c r="E3720" s="2" t="s">
        <v>260</v>
      </c>
      <c r="F3720" s="2" t="s">
        <v>16703</v>
      </c>
      <c r="G3720" s="2" t="s">
        <v>9971</v>
      </c>
      <c r="H3720" s="2" t="s">
        <v>70</v>
      </c>
      <c r="I3720" s="9">
        <v>7754.1945290000003</v>
      </c>
      <c r="J3720" s="7">
        <v>0.65800000000000003</v>
      </c>
      <c r="K3720" s="9">
        <v>5102.26</v>
      </c>
      <c r="L3720" s="14">
        <v>0</v>
      </c>
      <c r="M3720" s="2" t="s">
        <v>71</v>
      </c>
      <c r="N3720" s="2" t="s">
        <v>16706</v>
      </c>
      <c r="O3720" s="2" t="s">
        <v>9970</v>
      </c>
      <c r="P3720" s="9">
        <v>2.81</v>
      </c>
      <c r="Q3720" s="9">
        <v>5102.26</v>
      </c>
      <c r="R3720" s="2" t="s">
        <v>16711</v>
      </c>
    </row>
    <row r="3721" spans="1:18" x14ac:dyDescent="0.25">
      <c r="A3721" s="2" t="s">
        <v>10044</v>
      </c>
      <c r="B3721" s="6">
        <v>46204</v>
      </c>
      <c r="C3721" s="8">
        <v>46218</v>
      </c>
      <c r="D3721" s="2" t="s">
        <v>7433</v>
      </c>
      <c r="E3721" s="2" t="s">
        <v>260</v>
      </c>
      <c r="F3721" s="2" t="s">
        <v>16703</v>
      </c>
      <c r="G3721" s="2" t="s">
        <v>10046</v>
      </c>
      <c r="H3721" s="2" t="s">
        <v>70</v>
      </c>
      <c r="I3721" s="9">
        <v>10278.352584</v>
      </c>
      <c r="J3721" s="7">
        <v>0.65800000000000003</v>
      </c>
      <c r="K3721" s="9">
        <v>6763.16</v>
      </c>
      <c r="L3721" s="14">
        <v>0</v>
      </c>
      <c r="M3721" s="2" t="s">
        <v>71</v>
      </c>
      <c r="N3721" s="2" t="s">
        <v>16706</v>
      </c>
      <c r="O3721" s="2" t="s">
        <v>10045</v>
      </c>
      <c r="P3721" s="9">
        <v>3.72</v>
      </c>
      <c r="Q3721" s="9">
        <v>6763.16</v>
      </c>
      <c r="R3721" s="2" t="s">
        <v>16711</v>
      </c>
    </row>
    <row r="3722" spans="1:18" x14ac:dyDescent="0.25">
      <c r="A3722" s="2" t="s">
        <v>10049</v>
      </c>
      <c r="B3722" s="6">
        <v>46204</v>
      </c>
      <c r="C3722" s="8">
        <v>46219</v>
      </c>
      <c r="D3722" s="2" t="s">
        <v>7433</v>
      </c>
      <c r="E3722" s="2" t="s">
        <v>260</v>
      </c>
      <c r="F3722" s="2" t="s">
        <v>16703</v>
      </c>
      <c r="G3722" s="2" t="s">
        <v>10051</v>
      </c>
      <c r="H3722" s="2" t="s">
        <v>39</v>
      </c>
      <c r="I3722" s="9">
        <v>6873.88</v>
      </c>
      <c r="J3722" s="7">
        <v>1</v>
      </c>
      <c r="K3722" s="9">
        <v>6873.88</v>
      </c>
      <c r="L3722" s="14">
        <v>0</v>
      </c>
      <c r="M3722" s="2" t="s">
        <v>71</v>
      </c>
      <c r="N3722" s="2" t="s">
        <v>16706</v>
      </c>
      <c r="O3722" s="2" t="s">
        <v>10050</v>
      </c>
      <c r="P3722" s="9">
        <v>3.78</v>
      </c>
      <c r="Q3722" s="9">
        <v>6873.88</v>
      </c>
      <c r="R3722" s="2" t="s">
        <v>16711</v>
      </c>
    </row>
    <row r="3723" spans="1:18" x14ac:dyDescent="0.25">
      <c r="A3723" s="2" t="s">
        <v>10054</v>
      </c>
      <c r="B3723" s="6">
        <v>46204</v>
      </c>
      <c r="C3723" s="8">
        <v>46220</v>
      </c>
      <c r="D3723" s="2" t="s">
        <v>7433</v>
      </c>
      <c r="E3723" s="2" t="s">
        <v>260</v>
      </c>
      <c r="F3723" s="2" t="s">
        <v>16703</v>
      </c>
      <c r="G3723" s="2" t="s">
        <v>10056</v>
      </c>
      <c r="H3723" s="2" t="s">
        <v>76</v>
      </c>
      <c r="I3723" s="9">
        <v>112654967.741936</v>
      </c>
      <c r="J3723" s="7">
        <v>6.2000000000000003E-5</v>
      </c>
      <c r="K3723" s="9">
        <v>6984.61</v>
      </c>
      <c r="L3723" s="14">
        <v>0</v>
      </c>
      <c r="M3723" s="2" t="s">
        <v>71</v>
      </c>
      <c r="N3723" s="2" t="s">
        <v>16706</v>
      </c>
      <c r="O3723" s="2" t="s">
        <v>10055</v>
      </c>
      <c r="P3723" s="9">
        <v>3.84</v>
      </c>
      <c r="Q3723" s="9">
        <v>6984.61</v>
      </c>
      <c r="R3723" s="2" t="s">
        <v>16711</v>
      </c>
    </row>
    <row r="3724" spans="1:18" x14ac:dyDescent="0.25">
      <c r="A3724" s="2" t="s">
        <v>10059</v>
      </c>
      <c r="B3724" s="6">
        <v>46204</v>
      </c>
      <c r="C3724" s="8">
        <v>46221</v>
      </c>
      <c r="D3724" s="2" t="s">
        <v>7433</v>
      </c>
      <c r="E3724" s="2" t="s">
        <v>260</v>
      </c>
      <c r="F3724" s="2" t="s">
        <v>16703</v>
      </c>
      <c r="G3724" s="2" t="s">
        <v>10061</v>
      </c>
      <c r="H3724" s="2" t="s">
        <v>70</v>
      </c>
      <c r="I3724" s="9">
        <v>10783.18541</v>
      </c>
      <c r="J3724" s="7">
        <v>0.65800000000000003</v>
      </c>
      <c r="K3724" s="9">
        <v>7095.34</v>
      </c>
      <c r="L3724" s="14">
        <v>0</v>
      </c>
      <c r="M3724" s="2" t="s">
        <v>71</v>
      </c>
      <c r="N3724" s="2" t="s">
        <v>16706</v>
      </c>
      <c r="O3724" s="2" t="s">
        <v>10060</v>
      </c>
      <c r="P3724" s="9">
        <v>3.9</v>
      </c>
      <c r="Q3724" s="9">
        <v>7095.34</v>
      </c>
      <c r="R3724" s="2" t="s">
        <v>16711</v>
      </c>
    </row>
    <row r="3725" spans="1:18" x14ac:dyDescent="0.25">
      <c r="A3725" s="2" t="s">
        <v>10064</v>
      </c>
      <c r="B3725" s="6">
        <v>46204</v>
      </c>
      <c r="C3725" s="8">
        <v>46222</v>
      </c>
      <c r="D3725" s="2" t="s">
        <v>7433</v>
      </c>
      <c r="E3725" s="2" t="s">
        <v>260</v>
      </c>
      <c r="F3725" s="2" t="s">
        <v>16703</v>
      </c>
      <c r="G3725" s="2" t="s">
        <v>10066</v>
      </c>
      <c r="H3725" s="2" t="s">
        <v>39</v>
      </c>
      <c r="I3725" s="9">
        <v>7206.06</v>
      </c>
      <c r="J3725" s="7">
        <v>1</v>
      </c>
      <c r="K3725" s="9">
        <v>7206.06</v>
      </c>
      <c r="L3725" s="14">
        <v>0</v>
      </c>
      <c r="M3725" s="2" t="s">
        <v>71</v>
      </c>
      <c r="N3725" s="2" t="s">
        <v>16706</v>
      </c>
      <c r="O3725" s="2" t="s">
        <v>10065</v>
      </c>
      <c r="P3725" s="9">
        <v>3.96</v>
      </c>
      <c r="Q3725" s="9">
        <v>7206.06</v>
      </c>
      <c r="R3725" s="2" t="s">
        <v>16711</v>
      </c>
    </row>
    <row r="3726" spans="1:18" x14ac:dyDescent="0.25">
      <c r="A3726" s="2" t="s">
        <v>10069</v>
      </c>
      <c r="B3726" s="6">
        <v>46204</v>
      </c>
      <c r="C3726" s="8">
        <v>46223</v>
      </c>
      <c r="D3726" s="2" t="s">
        <v>7433</v>
      </c>
      <c r="E3726" s="2" t="s">
        <v>260</v>
      </c>
      <c r="F3726" s="2" t="s">
        <v>16703</v>
      </c>
      <c r="G3726" s="2" t="s">
        <v>10071</v>
      </c>
      <c r="H3726" s="2" t="s">
        <v>76</v>
      </c>
      <c r="I3726" s="9">
        <v>-295031774.19354802</v>
      </c>
      <c r="J3726" s="7">
        <v>6.2000000000000003E-5</v>
      </c>
      <c r="K3726" s="9">
        <v>-18291.97</v>
      </c>
      <c r="L3726" s="14">
        <v>0</v>
      </c>
      <c r="M3726" s="2" t="s">
        <v>71</v>
      </c>
      <c r="N3726" s="2" t="s">
        <v>16706</v>
      </c>
      <c r="O3726" s="2" t="s">
        <v>10070</v>
      </c>
      <c r="P3726" s="9">
        <v>0</v>
      </c>
      <c r="Q3726" s="9">
        <v>-18291.97</v>
      </c>
      <c r="R3726" s="2" t="s">
        <v>16711</v>
      </c>
    </row>
    <row r="3727" spans="1:18" x14ac:dyDescent="0.25">
      <c r="A3727" s="2" t="s">
        <v>10072</v>
      </c>
      <c r="B3727" s="6">
        <v>46204</v>
      </c>
      <c r="C3727" s="8">
        <v>46224</v>
      </c>
      <c r="D3727" s="2" t="s">
        <v>7433</v>
      </c>
      <c r="E3727" s="2" t="s">
        <v>260</v>
      </c>
      <c r="F3727" s="2" t="s">
        <v>16703</v>
      </c>
      <c r="G3727" s="2" t="s">
        <v>10074</v>
      </c>
      <c r="H3727" s="2" t="s">
        <v>70</v>
      </c>
      <c r="I3727" s="9">
        <v>11288.018237</v>
      </c>
      <c r="J3727" s="7">
        <v>0.65800000000000003</v>
      </c>
      <c r="K3727" s="9">
        <v>7427.52</v>
      </c>
      <c r="L3727" s="14">
        <v>0</v>
      </c>
      <c r="M3727" s="2" t="s">
        <v>71</v>
      </c>
      <c r="N3727" s="2" t="s">
        <v>16706</v>
      </c>
      <c r="O3727" s="2" t="s">
        <v>10073</v>
      </c>
      <c r="P3727" s="9">
        <v>4.09</v>
      </c>
      <c r="Q3727" s="9">
        <v>7427.52</v>
      </c>
      <c r="R3727" s="2" t="s">
        <v>16711</v>
      </c>
    </row>
    <row r="3728" spans="1:18" x14ac:dyDescent="0.25">
      <c r="A3728" s="2" t="s">
        <v>10077</v>
      </c>
      <c r="B3728" s="6">
        <v>46204</v>
      </c>
      <c r="C3728" s="8">
        <v>46225</v>
      </c>
      <c r="D3728" s="2" t="s">
        <v>7433</v>
      </c>
      <c r="E3728" s="2" t="s">
        <v>260</v>
      </c>
      <c r="F3728" s="2" t="s">
        <v>16703</v>
      </c>
      <c r="G3728" s="2" t="s">
        <v>10079</v>
      </c>
      <c r="H3728" s="2" t="s">
        <v>39</v>
      </c>
      <c r="I3728" s="9">
        <v>7538.24</v>
      </c>
      <c r="J3728" s="7">
        <v>1</v>
      </c>
      <c r="K3728" s="9">
        <v>7538.24</v>
      </c>
      <c r="L3728" s="14">
        <v>0</v>
      </c>
      <c r="M3728" s="2" t="s">
        <v>71</v>
      </c>
      <c r="N3728" s="2" t="s">
        <v>16706</v>
      </c>
      <c r="O3728" s="2" t="s">
        <v>10078</v>
      </c>
      <c r="P3728" s="9">
        <v>4.1500000000000004</v>
      </c>
      <c r="Q3728" s="9">
        <v>7538.24</v>
      </c>
      <c r="R3728" s="2" t="s">
        <v>16711</v>
      </c>
    </row>
    <row r="3729" spans="1:18" x14ac:dyDescent="0.25">
      <c r="A3729" s="2" t="s">
        <v>10082</v>
      </c>
      <c r="B3729" s="6">
        <v>46204</v>
      </c>
      <c r="C3729" s="8">
        <v>46226</v>
      </c>
      <c r="D3729" s="2" t="s">
        <v>7433</v>
      </c>
      <c r="E3729" s="2" t="s">
        <v>260</v>
      </c>
      <c r="F3729" s="2" t="s">
        <v>16703</v>
      </c>
      <c r="G3729" s="2" t="s">
        <v>10084</v>
      </c>
      <c r="H3729" s="2" t="s">
        <v>76</v>
      </c>
      <c r="I3729" s="9">
        <v>123370451.612903</v>
      </c>
      <c r="J3729" s="7">
        <v>6.2000000000000003E-5</v>
      </c>
      <c r="K3729" s="9">
        <v>7648.97</v>
      </c>
      <c r="L3729" s="14">
        <v>0</v>
      </c>
      <c r="M3729" s="2" t="s">
        <v>71</v>
      </c>
      <c r="N3729" s="2" t="s">
        <v>16706</v>
      </c>
      <c r="O3729" s="2" t="s">
        <v>10083</v>
      </c>
      <c r="P3729" s="9">
        <v>4.21</v>
      </c>
      <c r="Q3729" s="9">
        <v>7648.97</v>
      </c>
      <c r="R3729" s="2" t="s">
        <v>16711</v>
      </c>
    </row>
    <row r="3730" spans="1:18" x14ac:dyDescent="0.25">
      <c r="A3730" s="2" t="s">
        <v>10087</v>
      </c>
      <c r="B3730" s="6">
        <v>46204</v>
      </c>
      <c r="C3730" s="8">
        <v>46227</v>
      </c>
      <c r="D3730" s="2" t="s">
        <v>7433</v>
      </c>
      <c r="E3730" s="2" t="s">
        <v>260</v>
      </c>
      <c r="F3730" s="2" t="s">
        <v>16703</v>
      </c>
      <c r="G3730" s="2" t="s">
        <v>10089</v>
      </c>
      <c r="H3730" s="2" t="s">
        <v>70</v>
      </c>
      <c r="I3730" s="9">
        <v>11792.844985</v>
      </c>
      <c r="J3730" s="7">
        <v>0.65800000000000003</v>
      </c>
      <c r="K3730" s="9">
        <v>7759.69</v>
      </c>
      <c r="L3730" s="14">
        <v>0</v>
      </c>
      <c r="M3730" s="2" t="s">
        <v>71</v>
      </c>
      <c r="N3730" s="2" t="s">
        <v>16706</v>
      </c>
      <c r="O3730" s="2" t="s">
        <v>10088</v>
      </c>
      <c r="P3730" s="9">
        <v>4.2699999999999996</v>
      </c>
      <c r="Q3730" s="9">
        <v>7759.69</v>
      </c>
      <c r="R3730" s="2" t="s">
        <v>16711</v>
      </c>
    </row>
    <row r="3731" spans="1:18" x14ac:dyDescent="0.25">
      <c r="A3731" s="2" t="s">
        <v>10092</v>
      </c>
      <c r="B3731" s="6">
        <v>46204</v>
      </c>
      <c r="C3731" s="8">
        <v>46228</v>
      </c>
      <c r="D3731" s="2" t="s">
        <v>7433</v>
      </c>
      <c r="E3731" s="2" t="s">
        <v>260</v>
      </c>
      <c r="F3731" s="2" t="s">
        <v>16703</v>
      </c>
      <c r="G3731" s="2" t="s">
        <v>10094</v>
      </c>
      <c r="H3731" s="2" t="s">
        <v>39</v>
      </c>
      <c r="I3731" s="9">
        <v>7870.42</v>
      </c>
      <c r="J3731" s="7">
        <v>1</v>
      </c>
      <c r="K3731" s="9">
        <v>7870.42</v>
      </c>
      <c r="L3731" s="14">
        <v>0</v>
      </c>
      <c r="M3731" s="2" t="s">
        <v>71</v>
      </c>
      <c r="N3731" s="2" t="s">
        <v>16706</v>
      </c>
      <c r="O3731" s="2" t="s">
        <v>10093</v>
      </c>
      <c r="P3731" s="9">
        <v>4.33</v>
      </c>
      <c r="Q3731" s="9">
        <v>7870.42</v>
      </c>
      <c r="R3731" s="2" t="s">
        <v>16711</v>
      </c>
    </row>
    <row r="3732" spans="1:18" x14ac:dyDescent="0.25">
      <c r="A3732" s="2" t="s">
        <v>10097</v>
      </c>
      <c r="B3732" s="6">
        <v>46204</v>
      </c>
      <c r="C3732" s="8">
        <v>46229</v>
      </c>
      <c r="D3732" s="2" t="s">
        <v>7433</v>
      </c>
      <c r="E3732" s="2" t="s">
        <v>260</v>
      </c>
      <c r="F3732" s="2" t="s">
        <v>16703</v>
      </c>
      <c r="G3732" s="2" t="s">
        <v>10099</v>
      </c>
      <c r="H3732" s="2" t="s">
        <v>76</v>
      </c>
      <c r="I3732" s="9">
        <v>128728129.032258</v>
      </c>
      <c r="J3732" s="7">
        <v>6.2000000000000003E-5</v>
      </c>
      <c r="K3732" s="9">
        <v>7981.14</v>
      </c>
      <c r="L3732" s="14">
        <v>0</v>
      </c>
      <c r="M3732" s="2" t="s">
        <v>71</v>
      </c>
      <c r="N3732" s="2" t="s">
        <v>16706</v>
      </c>
      <c r="O3732" s="2" t="s">
        <v>10098</v>
      </c>
      <c r="P3732" s="9">
        <v>4.3899999999999997</v>
      </c>
      <c r="Q3732" s="9">
        <v>7981.14</v>
      </c>
      <c r="R3732" s="2" t="s">
        <v>16711</v>
      </c>
    </row>
    <row r="3733" spans="1:18" x14ac:dyDescent="0.25">
      <c r="A3733" s="2" t="s">
        <v>10102</v>
      </c>
      <c r="B3733" s="6">
        <v>46204</v>
      </c>
      <c r="C3733" s="8">
        <v>46230</v>
      </c>
      <c r="D3733" s="2" t="s">
        <v>7433</v>
      </c>
      <c r="E3733" s="2" t="s">
        <v>260</v>
      </c>
      <c r="F3733" s="2" t="s">
        <v>16703</v>
      </c>
      <c r="G3733" s="2" t="s">
        <v>10104</v>
      </c>
      <c r="H3733" s="2" t="s">
        <v>70</v>
      </c>
      <c r="I3733" s="9">
        <v>12297.677812</v>
      </c>
      <c r="J3733" s="7">
        <v>0.65800000000000003</v>
      </c>
      <c r="K3733" s="9">
        <v>8091.87</v>
      </c>
      <c r="L3733" s="14">
        <v>0</v>
      </c>
      <c r="M3733" s="2" t="s">
        <v>71</v>
      </c>
      <c r="N3733" s="2" t="s">
        <v>16706</v>
      </c>
      <c r="O3733" s="2" t="s">
        <v>10103</v>
      </c>
      <c r="P3733" s="9">
        <v>4.45</v>
      </c>
      <c r="Q3733" s="9">
        <v>8091.87</v>
      </c>
      <c r="R3733" s="2" t="s">
        <v>16711</v>
      </c>
    </row>
    <row r="3734" spans="1:18" x14ac:dyDescent="0.25">
      <c r="A3734" s="2" t="s">
        <v>10107</v>
      </c>
      <c r="B3734" s="6">
        <v>46204</v>
      </c>
      <c r="C3734" s="8">
        <v>46231</v>
      </c>
      <c r="D3734" s="2" t="s">
        <v>7433</v>
      </c>
      <c r="E3734" s="2" t="s">
        <v>260</v>
      </c>
      <c r="F3734" s="2" t="s">
        <v>16703</v>
      </c>
      <c r="G3734" s="2" t="s">
        <v>10109</v>
      </c>
      <c r="H3734" s="2" t="s">
        <v>39</v>
      </c>
      <c r="I3734" s="9">
        <v>8202.6</v>
      </c>
      <c r="J3734" s="7">
        <v>1</v>
      </c>
      <c r="K3734" s="9">
        <v>8202.6</v>
      </c>
      <c r="L3734" s="14">
        <v>0</v>
      </c>
      <c r="M3734" s="2" t="s">
        <v>71</v>
      </c>
      <c r="N3734" s="2" t="s">
        <v>16706</v>
      </c>
      <c r="O3734" s="2" t="s">
        <v>10108</v>
      </c>
      <c r="P3734" s="9">
        <v>4.51</v>
      </c>
      <c r="Q3734" s="9">
        <v>8202.6</v>
      </c>
      <c r="R3734" s="2" t="s">
        <v>16711</v>
      </c>
    </row>
    <row r="3735" spans="1:18" x14ac:dyDescent="0.25">
      <c r="A3735" s="2" t="s">
        <v>10112</v>
      </c>
      <c r="B3735" s="6">
        <v>46204</v>
      </c>
      <c r="C3735" s="8">
        <v>46232</v>
      </c>
      <c r="D3735" s="2" t="s">
        <v>7433</v>
      </c>
      <c r="E3735" s="2" t="s">
        <v>260</v>
      </c>
      <c r="F3735" s="2" t="s">
        <v>16703</v>
      </c>
      <c r="G3735" s="2" t="s">
        <v>10114</v>
      </c>
      <c r="H3735" s="2" t="s">
        <v>76</v>
      </c>
      <c r="I3735" s="9">
        <v>134085870.967742</v>
      </c>
      <c r="J3735" s="7">
        <v>6.2000000000000003E-5</v>
      </c>
      <c r="K3735" s="9">
        <v>8313.32</v>
      </c>
      <c r="L3735" s="14">
        <v>0</v>
      </c>
      <c r="M3735" s="2" t="s">
        <v>71</v>
      </c>
      <c r="N3735" s="2" t="s">
        <v>16706</v>
      </c>
      <c r="O3735" s="2" t="s">
        <v>10113</v>
      </c>
      <c r="P3735" s="9">
        <v>4.57</v>
      </c>
      <c r="Q3735" s="9">
        <v>8313.32</v>
      </c>
      <c r="R3735" s="2" t="s">
        <v>16711</v>
      </c>
    </row>
    <row r="3736" spans="1:18" x14ac:dyDescent="0.25">
      <c r="A3736" s="2" t="s">
        <v>10117</v>
      </c>
      <c r="B3736" s="6">
        <v>46204</v>
      </c>
      <c r="C3736" s="8">
        <v>46233</v>
      </c>
      <c r="D3736" s="2" t="s">
        <v>7433</v>
      </c>
      <c r="E3736" s="2" t="s">
        <v>260</v>
      </c>
      <c r="F3736" s="2" t="s">
        <v>16703</v>
      </c>
      <c r="G3736" s="2" t="s">
        <v>10119</v>
      </c>
      <c r="H3736" s="2" t="s">
        <v>70</v>
      </c>
      <c r="I3736" s="9">
        <v>12802.510638</v>
      </c>
      <c r="J3736" s="7">
        <v>0.65800000000000003</v>
      </c>
      <c r="K3736" s="9">
        <v>8424.0499999999993</v>
      </c>
      <c r="L3736" s="14">
        <v>0</v>
      </c>
      <c r="M3736" s="2" t="s">
        <v>71</v>
      </c>
      <c r="N3736" s="2" t="s">
        <v>16706</v>
      </c>
      <c r="O3736" s="2" t="s">
        <v>10118</v>
      </c>
      <c r="P3736" s="9">
        <v>4.63</v>
      </c>
      <c r="Q3736" s="9">
        <v>8424.0499999999993</v>
      </c>
      <c r="R3736" s="2" t="s">
        <v>16711</v>
      </c>
    </row>
    <row r="3737" spans="1:18" x14ac:dyDescent="0.25">
      <c r="A3737" s="2" t="s">
        <v>10122</v>
      </c>
      <c r="B3737" s="6">
        <v>46204</v>
      </c>
      <c r="C3737" s="8">
        <v>46234</v>
      </c>
      <c r="D3737" s="2" t="s">
        <v>7433</v>
      </c>
      <c r="E3737" s="2" t="s">
        <v>260</v>
      </c>
      <c r="F3737" s="2" t="s">
        <v>16703</v>
      </c>
      <c r="G3737" s="2" t="s">
        <v>10124</v>
      </c>
      <c r="H3737" s="2" t="s">
        <v>39</v>
      </c>
      <c r="I3737" s="9">
        <v>8534.7759999999998</v>
      </c>
      <c r="J3737" s="7">
        <v>1</v>
      </c>
      <c r="K3737" s="9">
        <v>8534.7800000000007</v>
      </c>
      <c r="L3737" s="14">
        <v>0</v>
      </c>
      <c r="M3737" s="2" t="s">
        <v>71</v>
      </c>
      <c r="N3737" s="2" t="s">
        <v>16706</v>
      </c>
      <c r="O3737" s="2" t="s">
        <v>10123</v>
      </c>
      <c r="P3737" s="9">
        <v>4.6900000000000004</v>
      </c>
      <c r="Q3737" s="9">
        <v>8534.7800000000007</v>
      </c>
      <c r="R3737" s="2" t="s">
        <v>16711</v>
      </c>
    </row>
    <row r="3738" spans="1:18" x14ac:dyDescent="0.25">
      <c r="A3738" s="2" t="s">
        <v>10197</v>
      </c>
      <c r="B3738" s="6">
        <v>46204</v>
      </c>
      <c r="C3738" s="8">
        <v>46218</v>
      </c>
      <c r="D3738" s="2" t="s">
        <v>7433</v>
      </c>
      <c r="E3738" s="2" t="s">
        <v>260</v>
      </c>
      <c r="F3738" s="2" t="s">
        <v>16703</v>
      </c>
      <c r="G3738" s="2" t="s">
        <v>10199</v>
      </c>
      <c r="H3738" s="2" t="s">
        <v>39</v>
      </c>
      <c r="I3738" s="9">
        <v>1235.672</v>
      </c>
      <c r="J3738" s="7">
        <v>1</v>
      </c>
      <c r="K3738" s="9">
        <v>1235.67</v>
      </c>
      <c r="L3738" s="14">
        <v>0</v>
      </c>
      <c r="M3738" s="2" t="s">
        <v>71</v>
      </c>
      <c r="N3738" s="2" t="s">
        <v>16706</v>
      </c>
      <c r="O3738" s="2" t="s">
        <v>10198</v>
      </c>
      <c r="P3738" s="9">
        <v>1.8</v>
      </c>
      <c r="Q3738" s="9">
        <v>1235.67</v>
      </c>
      <c r="R3738" s="2" t="s">
        <v>16711</v>
      </c>
    </row>
    <row r="3739" spans="1:18" x14ac:dyDescent="0.25">
      <c r="A3739" s="2" t="s">
        <v>10202</v>
      </c>
      <c r="B3739" s="6">
        <v>46204</v>
      </c>
      <c r="C3739" s="8">
        <v>46219</v>
      </c>
      <c r="D3739" s="2" t="s">
        <v>7433</v>
      </c>
      <c r="E3739" s="2" t="s">
        <v>260</v>
      </c>
      <c r="F3739" s="2" t="s">
        <v>16703</v>
      </c>
      <c r="G3739" s="2" t="s">
        <v>10204</v>
      </c>
      <c r="H3739" s="2" t="s">
        <v>76</v>
      </c>
      <c r="I3739" s="9">
        <v>21716129.032258</v>
      </c>
      <c r="J3739" s="7">
        <v>6.2000000000000003E-5</v>
      </c>
      <c r="K3739" s="9">
        <v>1346.4</v>
      </c>
      <c r="L3739" s="14">
        <v>0</v>
      </c>
      <c r="M3739" s="2" t="s">
        <v>71</v>
      </c>
      <c r="N3739" s="2" t="s">
        <v>16706</v>
      </c>
      <c r="O3739" s="2" t="s">
        <v>10203</v>
      </c>
      <c r="P3739" s="9">
        <v>1.8</v>
      </c>
      <c r="Q3739" s="9">
        <v>1346.4</v>
      </c>
      <c r="R3739" s="2" t="s">
        <v>16711</v>
      </c>
    </row>
    <row r="3740" spans="1:18" x14ac:dyDescent="0.25">
      <c r="A3740" s="2" t="s">
        <v>10207</v>
      </c>
      <c r="B3740" s="6">
        <v>46204</v>
      </c>
      <c r="C3740" s="8">
        <v>46220</v>
      </c>
      <c r="D3740" s="2" t="s">
        <v>7433</v>
      </c>
      <c r="E3740" s="2" t="s">
        <v>260</v>
      </c>
      <c r="F3740" s="2" t="s">
        <v>16703</v>
      </c>
      <c r="G3740" s="2" t="s">
        <v>10209</v>
      </c>
      <c r="H3740" s="2" t="s">
        <v>70</v>
      </c>
      <c r="I3740" s="9">
        <v>2214.4741640000002</v>
      </c>
      <c r="J3740" s="7">
        <v>0.65800000000000003</v>
      </c>
      <c r="K3740" s="9">
        <v>1457.12</v>
      </c>
      <c r="L3740" s="14">
        <v>0</v>
      </c>
      <c r="M3740" s="2" t="s">
        <v>71</v>
      </c>
      <c r="N3740" s="2" t="s">
        <v>16706</v>
      </c>
      <c r="O3740" s="2" t="s">
        <v>10208</v>
      </c>
      <c r="P3740" s="9">
        <v>1.8</v>
      </c>
      <c r="Q3740" s="9">
        <v>1457.12</v>
      </c>
      <c r="R3740" s="2" t="s">
        <v>16711</v>
      </c>
    </row>
    <row r="3741" spans="1:18" x14ac:dyDescent="0.25">
      <c r="A3741" s="2" t="s">
        <v>10212</v>
      </c>
      <c r="B3741" s="6">
        <v>46204</v>
      </c>
      <c r="C3741" s="8">
        <v>46221</v>
      </c>
      <c r="D3741" s="2" t="s">
        <v>7433</v>
      </c>
      <c r="E3741" s="2" t="s">
        <v>260</v>
      </c>
      <c r="F3741" s="2" t="s">
        <v>16703</v>
      </c>
      <c r="G3741" s="2" t="s">
        <v>10214</v>
      </c>
      <c r="H3741" s="2" t="s">
        <v>39</v>
      </c>
      <c r="I3741" s="9">
        <v>1567.8520000000001</v>
      </c>
      <c r="J3741" s="7">
        <v>1</v>
      </c>
      <c r="K3741" s="9">
        <v>1567.85</v>
      </c>
      <c r="L3741" s="14">
        <v>0</v>
      </c>
      <c r="M3741" s="2" t="s">
        <v>71</v>
      </c>
      <c r="N3741" s="2" t="s">
        <v>16706</v>
      </c>
      <c r="O3741" s="2" t="s">
        <v>10213</v>
      </c>
      <c r="P3741" s="9">
        <v>1.8</v>
      </c>
      <c r="Q3741" s="9">
        <v>1567.85</v>
      </c>
      <c r="R3741" s="2" t="s">
        <v>16711</v>
      </c>
    </row>
    <row r="3742" spans="1:18" x14ac:dyDescent="0.25">
      <c r="A3742" s="2" t="s">
        <v>10217</v>
      </c>
      <c r="B3742" s="6">
        <v>46204</v>
      </c>
      <c r="C3742" s="8">
        <v>46222</v>
      </c>
      <c r="D3742" s="2" t="s">
        <v>7433</v>
      </c>
      <c r="E3742" s="2" t="s">
        <v>260</v>
      </c>
      <c r="F3742" s="2" t="s">
        <v>16703</v>
      </c>
      <c r="G3742" s="2" t="s">
        <v>10219</v>
      </c>
      <c r="H3742" s="2" t="s">
        <v>76</v>
      </c>
      <c r="I3742" s="9">
        <v>27073870.967742</v>
      </c>
      <c r="J3742" s="7">
        <v>6.2000000000000003E-5</v>
      </c>
      <c r="K3742" s="9">
        <v>1678.58</v>
      </c>
      <c r="L3742" s="14">
        <v>0</v>
      </c>
      <c r="M3742" s="2" t="s">
        <v>71</v>
      </c>
      <c r="N3742" s="2" t="s">
        <v>16706</v>
      </c>
      <c r="O3742" s="2" t="s">
        <v>10218</v>
      </c>
      <c r="P3742" s="9">
        <v>1.8</v>
      </c>
      <c r="Q3742" s="9">
        <v>1678.58</v>
      </c>
      <c r="R3742" s="2" t="s">
        <v>16711</v>
      </c>
    </row>
    <row r="3743" spans="1:18" x14ac:dyDescent="0.25">
      <c r="A3743" s="2" t="s">
        <v>10222</v>
      </c>
      <c r="B3743" s="6">
        <v>46204</v>
      </c>
      <c r="C3743" s="8">
        <v>46223</v>
      </c>
      <c r="D3743" s="2" t="s">
        <v>7433</v>
      </c>
      <c r="E3743" s="2" t="s">
        <v>260</v>
      </c>
      <c r="F3743" s="2" t="s">
        <v>16703</v>
      </c>
      <c r="G3743" s="2" t="s">
        <v>10224</v>
      </c>
      <c r="H3743" s="2" t="s">
        <v>70</v>
      </c>
      <c r="I3743" s="9">
        <v>2719.3069909999999</v>
      </c>
      <c r="J3743" s="7">
        <v>0.65800000000000003</v>
      </c>
      <c r="K3743" s="9">
        <v>1789.3</v>
      </c>
      <c r="L3743" s="14">
        <v>0</v>
      </c>
      <c r="M3743" s="2" t="s">
        <v>71</v>
      </c>
      <c r="N3743" s="2" t="s">
        <v>16706</v>
      </c>
      <c r="O3743" s="2" t="s">
        <v>10223</v>
      </c>
      <c r="P3743" s="9">
        <v>1.8</v>
      </c>
      <c r="Q3743" s="9">
        <v>1789.3</v>
      </c>
      <c r="R3743" s="2" t="s">
        <v>16711</v>
      </c>
    </row>
    <row r="3744" spans="1:18" x14ac:dyDescent="0.25">
      <c r="A3744" s="2" t="s">
        <v>10227</v>
      </c>
      <c r="B3744" s="6">
        <v>46204</v>
      </c>
      <c r="C3744" s="8">
        <v>46224</v>
      </c>
      <c r="D3744" s="2" t="s">
        <v>7433</v>
      </c>
      <c r="E3744" s="2" t="s">
        <v>260</v>
      </c>
      <c r="F3744" s="2" t="s">
        <v>16703</v>
      </c>
      <c r="G3744" s="2" t="s">
        <v>10229</v>
      </c>
      <c r="H3744" s="2" t="s">
        <v>39</v>
      </c>
      <c r="I3744" s="9">
        <v>1900.0319999999999</v>
      </c>
      <c r="J3744" s="7">
        <v>1</v>
      </c>
      <c r="K3744" s="9">
        <v>1900.03</v>
      </c>
      <c r="L3744" s="14">
        <v>0</v>
      </c>
      <c r="M3744" s="2" t="s">
        <v>71</v>
      </c>
      <c r="N3744" s="2" t="s">
        <v>16706</v>
      </c>
      <c r="O3744" s="2" t="s">
        <v>10228</v>
      </c>
      <c r="P3744" s="9">
        <v>1.8</v>
      </c>
      <c r="Q3744" s="9">
        <v>1900.03</v>
      </c>
      <c r="R3744" s="2" t="s">
        <v>16711</v>
      </c>
    </row>
    <row r="3745" spans="1:18" x14ac:dyDescent="0.25">
      <c r="A3745" s="2" t="s">
        <v>10232</v>
      </c>
      <c r="B3745" s="6">
        <v>46204</v>
      </c>
      <c r="C3745" s="8">
        <v>46225</v>
      </c>
      <c r="D3745" s="2" t="s">
        <v>7433</v>
      </c>
      <c r="E3745" s="2" t="s">
        <v>260</v>
      </c>
      <c r="F3745" s="2" t="s">
        <v>16703</v>
      </c>
      <c r="G3745" s="2" t="s">
        <v>10234</v>
      </c>
      <c r="H3745" s="2" t="s">
        <v>76</v>
      </c>
      <c r="I3745" s="9">
        <v>32431612.903225999</v>
      </c>
      <c r="J3745" s="7">
        <v>6.2000000000000003E-5</v>
      </c>
      <c r="K3745" s="9">
        <v>2010.76</v>
      </c>
      <c r="L3745" s="14">
        <v>0</v>
      </c>
      <c r="M3745" s="2" t="s">
        <v>71</v>
      </c>
      <c r="N3745" s="2" t="s">
        <v>16706</v>
      </c>
      <c r="O3745" s="2" t="s">
        <v>10233</v>
      </c>
      <c r="P3745" s="9">
        <v>1.8</v>
      </c>
      <c r="Q3745" s="9">
        <v>2010.76</v>
      </c>
      <c r="R3745" s="2" t="s">
        <v>16711</v>
      </c>
    </row>
    <row r="3746" spans="1:18" x14ac:dyDescent="0.25">
      <c r="A3746" s="2" t="s">
        <v>10237</v>
      </c>
      <c r="B3746" s="6">
        <v>46204</v>
      </c>
      <c r="C3746" s="8">
        <v>46226</v>
      </c>
      <c r="D3746" s="2" t="s">
        <v>7433</v>
      </c>
      <c r="E3746" s="2" t="s">
        <v>260</v>
      </c>
      <c r="F3746" s="2" t="s">
        <v>16703</v>
      </c>
      <c r="G3746" s="2" t="s">
        <v>10239</v>
      </c>
      <c r="H3746" s="2" t="s">
        <v>70</v>
      </c>
      <c r="I3746" s="9">
        <v>3224.1398180000001</v>
      </c>
      <c r="J3746" s="7">
        <v>0.65800000000000003</v>
      </c>
      <c r="K3746" s="9">
        <v>2121.48</v>
      </c>
      <c r="L3746" s="14">
        <v>0</v>
      </c>
      <c r="M3746" s="2" t="s">
        <v>71</v>
      </c>
      <c r="N3746" s="2" t="s">
        <v>16706</v>
      </c>
      <c r="O3746" s="2" t="s">
        <v>10238</v>
      </c>
      <c r="P3746" s="9">
        <v>1.8</v>
      </c>
      <c r="Q3746" s="9">
        <v>2121.48</v>
      </c>
      <c r="R3746" s="2" t="s">
        <v>16711</v>
      </c>
    </row>
    <row r="3747" spans="1:18" x14ac:dyDescent="0.25">
      <c r="A3747" s="2" t="s">
        <v>10242</v>
      </c>
      <c r="B3747" s="6">
        <v>46204</v>
      </c>
      <c r="C3747" s="8">
        <v>46227</v>
      </c>
      <c r="D3747" s="2" t="s">
        <v>7433</v>
      </c>
      <c r="E3747" s="2" t="s">
        <v>260</v>
      </c>
      <c r="F3747" s="2" t="s">
        <v>16703</v>
      </c>
      <c r="G3747" s="2" t="s">
        <v>10244</v>
      </c>
      <c r="H3747" s="2" t="s">
        <v>39</v>
      </c>
      <c r="I3747" s="9">
        <v>2232.212</v>
      </c>
      <c r="J3747" s="7">
        <v>1</v>
      </c>
      <c r="K3747" s="9">
        <v>2232.21</v>
      </c>
      <c r="L3747" s="14">
        <v>0</v>
      </c>
      <c r="M3747" s="2" t="s">
        <v>71</v>
      </c>
      <c r="N3747" s="2" t="s">
        <v>16706</v>
      </c>
      <c r="O3747" s="2" t="s">
        <v>10243</v>
      </c>
      <c r="P3747" s="9">
        <v>1.8</v>
      </c>
      <c r="Q3747" s="9">
        <v>2232.21</v>
      </c>
      <c r="R3747" s="2" t="s">
        <v>16711</v>
      </c>
    </row>
    <row r="3748" spans="1:18" x14ac:dyDescent="0.25">
      <c r="A3748" s="2" t="s">
        <v>10247</v>
      </c>
      <c r="B3748" s="6">
        <v>46204</v>
      </c>
      <c r="C3748" s="8">
        <v>46228</v>
      </c>
      <c r="D3748" s="2" t="s">
        <v>7433</v>
      </c>
      <c r="E3748" s="2" t="s">
        <v>260</v>
      </c>
      <c r="F3748" s="2" t="s">
        <v>16703</v>
      </c>
      <c r="G3748" s="2" t="s">
        <v>10249</v>
      </c>
      <c r="H3748" s="2" t="s">
        <v>76</v>
      </c>
      <c r="I3748" s="9">
        <v>37789290.322581001</v>
      </c>
      <c r="J3748" s="7">
        <v>6.2000000000000003E-5</v>
      </c>
      <c r="K3748" s="9">
        <v>2342.94</v>
      </c>
      <c r="L3748" s="14">
        <v>0</v>
      </c>
      <c r="M3748" s="2" t="s">
        <v>71</v>
      </c>
      <c r="N3748" s="2" t="s">
        <v>16706</v>
      </c>
      <c r="O3748" s="2" t="s">
        <v>10248</v>
      </c>
      <c r="P3748" s="9">
        <v>1.8</v>
      </c>
      <c r="Q3748" s="9">
        <v>2342.94</v>
      </c>
      <c r="R3748" s="2" t="s">
        <v>16711</v>
      </c>
    </row>
    <row r="3749" spans="1:18" x14ac:dyDescent="0.25">
      <c r="A3749" s="2" t="s">
        <v>10252</v>
      </c>
      <c r="B3749" s="6">
        <v>46204</v>
      </c>
      <c r="C3749" s="8">
        <v>46229</v>
      </c>
      <c r="D3749" s="2" t="s">
        <v>7433</v>
      </c>
      <c r="E3749" s="2" t="s">
        <v>260</v>
      </c>
      <c r="F3749" s="2" t="s">
        <v>16703</v>
      </c>
      <c r="G3749" s="2" t="s">
        <v>10254</v>
      </c>
      <c r="H3749" s="2" t="s">
        <v>70</v>
      </c>
      <c r="I3749" s="9">
        <v>3728.9726439999999</v>
      </c>
      <c r="J3749" s="7">
        <v>0.65800000000000003</v>
      </c>
      <c r="K3749" s="9">
        <v>2453.66</v>
      </c>
      <c r="L3749" s="14">
        <v>0</v>
      </c>
      <c r="M3749" s="2" t="s">
        <v>71</v>
      </c>
      <c r="N3749" s="2" t="s">
        <v>16706</v>
      </c>
      <c r="O3749" s="2" t="s">
        <v>10253</v>
      </c>
      <c r="P3749" s="9">
        <v>1.8</v>
      </c>
      <c r="Q3749" s="9">
        <v>2453.66</v>
      </c>
      <c r="R3749" s="2" t="s">
        <v>16711</v>
      </c>
    </row>
    <row r="3750" spans="1:18" x14ac:dyDescent="0.25">
      <c r="A3750" s="2" t="s">
        <v>10257</v>
      </c>
      <c r="B3750" s="6">
        <v>46204</v>
      </c>
      <c r="C3750" s="8">
        <v>46230</v>
      </c>
      <c r="D3750" s="2" t="s">
        <v>7433</v>
      </c>
      <c r="E3750" s="2" t="s">
        <v>260</v>
      </c>
      <c r="F3750" s="2" t="s">
        <v>16703</v>
      </c>
      <c r="G3750" s="2" t="s">
        <v>10259</v>
      </c>
      <c r="H3750" s="2" t="s">
        <v>39</v>
      </c>
      <c r="I3750" s="9">
        <v>2564.3919999999998</v>
      </c>
      <c r="J3750" s="7">
        <v>1</v>
      </c>
      <c r="K3750" s="9">
        <v>2564.39</v>
      </c>
      <c r="L3750" s="14">
        <v>0</v>
      </c>
      <c r="M3750" s="2" t="s">
        <v>71</v>
      </c>
      <c r="N3750" s="2" t="s">
        <v>16706</v>
      </c>
      <c r="O3750" s="2" t="s">
        <v>10258</v>
      </c>
      <c r="P3750" s="9">
        <v>1.8</v>
      </c>
      <c r="Q3750" s="9">
        <v>2564.39</v>
      </c>
      <c r="R3750" s="2" t="s">
        <v>16711</v>
      </c>
    </row>
    <row r="3751" spans="1:18" x14ac:dyDescent="0.25">
      <c r="A3751" s="2" t="s">
        <v>10262</v>
      </c>
      <c r="B3751" s="6">
        <v>46204</v>
      </c>
      <c r="C3751" s="8">
        <v>46231</v>
      </c>
      <c r="D3751" s="2" t="s">
        <v>7433</v>
      </c>
      <c r="E3751" s="2" t="s">
        <v>260</v>
      </c>
      <c r="F3751" s="2" t="s">
        <v>16703</v>
      </c>
      <c r="G3751" s="2" t="s">
        <v>10264</v>
      </c>
      <c r="H3751" s="2" t="s">
        <v>76</v>
      </c>
      <c r="I3751" s="9">
        <v>43147032.258064002</v>
      </c>
      <c r="J3751" s="7">
        <v>6.2000000000000003E-5</v>
      </c>
      <c r="K3751" s="9">
        <v>2675.12</v>
      </c>
      <c r="L3751" s="14">
        <v>0</v>
      </c>
      <c r="M3751" s="2" t="s">
        <v>71</v>
      </c>
      <c r="N3751" s="2" t="s">
        <v>16706</v>
      </c>
      <c r="O3751" s="2" t="s">
        <v>10263</v>
      </c>
      <c r="P3751" s="9">
        <v>1.8</v>
      </c>
      <c r="Q3751" s="9">
        <v>2675.12</v>
      </c>
      <c r="R3751" s="2" t="s">
        <v>16711</v>
      </c>
    </row>
    <row r="3752" spans="1:18" x14ac:dyDescent="0.25">
      <c r="A3752" s="2" t="s">
        <v>10267</v>
      </c>
      <c r="B3752" s="6">
        <v>46204</v>
      </c>
      <c r="C3752" s="8">
        <v>46232</v>
      </c>
      <c r="D3752" s="2" t="s">
        <v>7433</v>
      </c>
      <c r="E3752" s="2" t="s">
        <v>260</v>
      </c>
      <c r="F3752" s="2" t="s">
        <v>16703</v>
      </c>
      <c r="G3752" s="2" t="s">
        <v>10269</v>
      </c>
      <c r="H3752" s="2" t="s">
        <v>70</v>
      </c>
      <c r="I3752" s="9">
        <v>4233.8054709999997</v>
      </c>
      <c r="J3752" s="7">
        <v>0.65800000000000003</v>
      </c>
      <c r="K3752" s="9">
        <v>2785.84</v>
      </c>
      <c r="L3752" s="14">
        <v>0</v>
      </c>
      <c r="M3752" s="2" t="s">
        <v>71</v>
      </c>
      <c r="N3752" s="2" t="s">
        <v>16706</v>
      </c>
      <c r="O3752" s="2" t="s">
        <v>10268</v>
      </c>
      <c r="P3752" s="9">
        <v>1.8</v>
      </c>
      <c r="Q3752" s="9">
        <v>2785.84</v>
      </c>
      <c r="R3752" s="2" t="s">
        <v>16711</v>
      </c>
    </row>
    <row r="3753" spans="1:18" x14ac:dyDescent="0.25">
      <c r="A3753" s="2" t="s">
        <v>10272</v>
      </c>
      <c r="B3753" s="6">
        <v>46204</v>
      </c>
      <c r="C3753" s="8">
        <v>46233</v>
      </c>
      <c r="D3753" s="2" t="s">
        <v>7433</v>
      </c>
      <c r="E3753" s="2" t="s">
        <v>260</v>
      </c>
      <c r="F3753" s="2" t="s">
        <v>16703</v>
      </c>
      <c r="G3753" s="2" t="s">
        <v>10274</v>
      </c>
      <c r="H3753" s="2" t="s">
        <v>39</v>
      </c>
      <c r="I3753" s="9">
        <v>-7241.42</v>
      </c>
      <c r="J3753" s="7">
        <v>1</v>
      </c>
      <c r="K3753" s="9">
        <v>-7241.42</v>
      </c>
      <c r="L3753" s="14">
        <v>0</v>
      </c>
      <c r="M3753" s="2" t="s">
        <v>71</v>
      </c>
      <c r="N3753" s="2" t="s">
        <v>16706</v>
      </c>
      <c r="O3753" s="2" t="s">
        <v>10273</v>
      </c>
      <c r="P3753" s="9">
        <v>0</v>
      </c>
      <c r="Q3753" s="9">
        <v>-7241.42</v>
      </c>
      <c r="R3753" s="2" t="s">
        <v>16711</v>
      </c>
    </row>
    <row r="3754" spans="1:18" x14ac:dyDescent="0.25">
      <c r="A3754" s="2" t="s">
        <v>10275</v>
      </c>
      <c r="B3754" s="6">
        <v>46204</v>
      </c>
      <c r="C3754" s="8">
        <v>46234</v>
      </c>
      <c r="D3754" s="2" t="s">
        <v>7433</v>
      </c>
      <c r="E3754" s="2" t="s">
        <v>260</v>
      </c>
      <c r="F3754" s="2" t="s">
        <v>16703</v>
      </c>
      <c r="G3754" s="2" t="s">
        <v>10277</v>
      </c>
      <c r="H3754" s="2" t="s">
        <v>76</v>
      </c>
      <c r="I3754" s="9">
        <v>48504774.193548001</v>
      </c>
      <c r="J3754" s="7">
        <v>6.2000000000000003E-5</v>
      </c>
      <c r="K3754" s="9">
        <v>3007.3</v>
      </c>
      <c r="L3754" s="14">
        <v>0</v>
      </c>
      <c r="M3754" s="2" t="s">
        <v>71</v>
      </c>
      <c r="N3754" s="2" t="s">
        <v>16706</v>
      </c>
      <c r="O3754" s="2" t="s">
        <v>10276</v>
      </c>
      <c r="P3754" s="9">
        <v>1.8</v>
      </c>
      <c r="Q3754" s="9">
        <v>3007.3</v>
      </c>
      <c r="R3754" s="2" t="s">
        <v>16711</v>
      </c>
    </row>
    <row r="3755" spans="1:18" x14ac:dyDescent="0.25">
      <c r="A3755" s="2" t="s">
        <v>10350</v>
      </c>
      <c r="B3755" s="6">
        <v>46204</v>
      </c>
      <c r="C3755" s="8">
        <v>46218</v>
      </c>
      <c r="D3755" s="2" t="s">
        <v>7433</v>
      </c>
      <c r="E3755" s="2" t="s">
        <v>260</v>
      </c>
      <c r="F3755" s="2" t="s">
        <v>16703</v>
      </c>
      <c r="G3755" s="2" t="s">
        <v>10352</v>
      </c>
      <c r="H3755" s="2" t="s">
        <v>76</v>
      </c>
      <c r="I3755" s="9">
        <v>75283419.354838997</v>
      </c>
      <c r="J3755" s="7">
        <v>6.2000000000000003E-5</v>
      </c>
      <c r="K3755" s="9">
        <v>4667.57</v>
      </c>
      <c r="L3755" s="14">
        <v>0</v>
      </c>
      <c r="M3755" s="2" t="s">
        <v>71</v>
      </c>
      <c r="N3755" s="2" t="s">
        <v>16706</v>
      </c>
      <c r="O3755" s="2" t="s">
        <v>10351</v>
      </c>
      <c r="P3755" s="9">
        <v>2.57</v>
      </c>
      <c r="Q3755" s="9">
        <v>4667.57</v>
      </c>
      <c r="R3755" s="2" t="s">
        <v>16711</v>
      </c>
    </row>
    <row r="3756" spans="1:18" x14ac:dyDescent="0.25">
      <c r="A3756" s="2" t="s">
        <v>10355</v>
      </c>
      <c r="B3756" s="6">
        <v>46204</v>
      </c>
      <c r="C3756" s="8">
        <v>46219</v>
      </c>
      <c r="D3756" s="2" t="s">
        <v>7433</v>
      </c>
      <c r="E3756" s="2" t="s">
        <v>260</v>
      </c>
      <c r="F3756" s="2" t="s">
        <v>16703</v>
      </c>
      <c r="G3756" s="2" t="s">
        <v>10357</v>
      </c>
      <c r="H3756" s="2" t="s">
        <v>70</v>
      </c>
      <c r="I3756" s="9">
        <v>7261.8541029999997</v>
      </c>
      <c r="J3756" s="7">
        <v>0.65800000000000003</v>
      </c>
      <c r="K3756" s="9">
        <v>4778.3</v>
      </c>
      <c r="L3756" s="14">
        <v>0</v>
      </c>
      <c r="M3756" s="2" t="s">
        <v>71</v>
      </c>
      <c r="N3756" s="2" t="s">
        <v>16706</v>
      </c>
      <c r="O3756" s="2" t="s">
        <v>10356</v>
      </c>
      <c r="P3756" s="9">
        <v>2.63</v>
      </c>
      <c r="Q3756" s="9">
        <v>4778.3</v>
      </c>
      <c r="R3756" s="2" t="s">
        <v>16711</v>
      </c>
    </row>
    <row r="3757" spans="1:18" x14ac:dyDescent="0.25">
      <c r="A3757" s="2" t="s">
        <v>10360</v>
      </c>
      <c r="B3757" s="6">
        <v>46204</v>
      </c>
      <c r="C3757" s="8">
        <v>46220</v>
      </c>
      <c r="D3757" s="2" t="s">
        <v>7433</v>
      </c>
      <c r="E3757" s="2" t="s">
        <v>260</v>
      </c>
      <c r="F3757" s="2" t="s">
        <v>16703</v>
      </c>
      <c r="G3757" s="2" t="s">
        <v>10362</v>
      </c>
      <c r="H3757" s="2" t="s">
        <v>39</v>
      </c>
      <c r="I3757" s="9">
        <v>4889.0240000000003</v>
      </c>
      <c r="J3757" s="7">
        <v>1</v>
      </c>
      <c r="K3757" s="9">
        <v>4889.0200000000004</v>
      </c>
      <c r="L3757" s="14">
        <v>0</v>
      </c>
      <c r="M3757" s="2" t="s">
        <v>71</v>
      </c>
      <c r="N3757" s="2" t="s">
        <v>16706</v>
      </c>
      <c r="O3757" s="2" t="s">
        <v>10361</v>
      </c>
      <c r="P3757" s="9">
        <v>2.69</v>
      </c>
      <c r="Q3757" s="9">
        <v>4889.0200000000004</v>
      </c>
      <c r="R3757" s="2" t="s">
        <v>16711</v>
      </c>
    </row>
    <row r="3758" spans="1:18" x14ac:dyDescent="0.25">
      <c r="A3758" s="2" t="s">
        <v>10365</v>
      </c>
      <c r="B3758" s="6">
        <v>46204</v>
      </c>
      <c r="C3758" s="8">
        <v>46221</v>
      </c>
      <c r="D3758" s="2" t="s">
        <v>7433</v>
      </c>
      <c r="E3758" s="2" t="s">
        <v>260</v>
      </c>
      <c r="F3758" s="2" t="s">
        <v>16703</v>
      </c>
      <c r="G3758" s="2" t="s">
        <v>10367</v>
      </c>
      <c r="H3758" s="2" t="s">
        <v>76</v>
      </c>
      <c r="I3758" s="9">
        <v>80641161.290322006</v>
      </c>
      <c r="J3758" s="7">
        <v>6.2000000000000003E-5</v>
      </c>
      <c r="K3758" s="9">
        <v>4999.75</v>
      </c>
      <c r="L3758" s="14">
        <v>0</v>
      </c>
      <c r="M3758" s="2" t="s">
        <v>71</v>
      </c>
      <c r="N3758" s="2" t="s">
        <v>16706</v>
      </c>
      <c r="O3758" s="2" t="s">
        <v>10366</v>
      </c>
      <c r="P3758" s="9">
        <v>2.75</v>
      </c>
      <c r="Q3758" s="9">
        <v>4999.75</v>
      </c>
      <c r="R3758" s="2" t="s">
        <v>16711</v>
      </c>
    </row>
    <row r="3759" spans="1:18" x14ac:dyDescent="0.25">
      <c r="A3759" s="2" t="s">
        <v>10370</v>
      </c>
      <c r="B3759" s="6">
        <v>46204</v>
      </c>
      <c r="C3759" s="8">
        <v>46222</v>
      </c>
      <c r="D3759" s="2" t="s">
        <v>7433</v>
      </c>
      <c r="E3759" s="2" t="s">
        <v>260</v>
      </c>
      <c r="F3759" s="2" t="s">
        <v>16703</v>
      </c>
      <c r="G3759" s="2" t="s">
        <v>10372</v>
      </c>
      <c r="H3759" s="2" t="s">
        <v>70</v>
      </c>
      <c r="I3759" s="9">
        <v>7766.6869299999998</v>
      </c>
      <c r="J3759" s="7">
        <v>0.65800000000000003</v>
      </c>
      <c r="K3759" s="9">
        <v>5110.4799999999996</v>
      </c>
      <c r="L3759" s="14">
        <v>0</v>
      </c>
      <c r="M3759" s="2" t="s">
        <v>71</v>
      </c>
      <c r="N3759" s="2" t="s">
        <v>16706</v>
      </c>
      <c r="O3759" s="2" t="s">
        <v>10371</v>
      </c>
      <c r="P3759" s="9">
        <v>2.81</v>
      </c>
      <c r="Q3759" s="9">
        <v>5110.4799999999996</v>
      </c>
      <c r="R3759" s="2" t="s">
        <v>16711</v>
      </c>
    </row>
    <row r="3760" spans="1:18" x14ac:dyDescent="0.25">
      <c r="A3760" s="2" t="s">
        <v>10375</v>
      </c>
      <c r="B3760" s="6">
        <v>46204</v>
      </c>
      <c r="C3760" s="8">
        <v>46223</v>
      </c>
      <c r="D3760" s="2" t="s">
        <v>7433</v>
      </c>
      <c r="E3760" s="2" t="s">
        <v>260</v>
      </c>
      <c r="F3760" s="2" t="s">
        <v>16703</v>
      </c>
      <c r="G3760" s="2" t="s">
        <v>10377</v>
      </c>
      <c r="H3760" s="2" t="s">
        <v>39</v>
      </c>
      <c r="I3760" s="9">
        <v>5221.2039999999997</v>
      </c>
      <c r="J3760" s="7">
        <v>1</v>
      </c>
      <c r="K3760" s="9">
        <v>5221.2</v>
      </c>
      <c r="L3760" s="14">
        <v>0</v>
      </c>
      <c r="M3760" s="2" t="s">
        <v>71</v>
      </c>
      <c r="N3760" s="2" t="s">
        <v>16706</v>
      </c>
      <c r="O3760" s="2" t="s">
        <v>10376</v>
      </c>
      <c r="P3760" s="9">
        <v>2.87</v>
      </c>
      <c r="Q3760" s="9">
        <v>5221.2</v>
      </c>
      <c r="R3760" s="2" t="s">
        <v>16711</v>
      </c>
    </row>
    <row r="3761" spans="1:18" x14ac:dyDescent="0.25">
      <c r="A3761" s="2" t="s">
        <v>10380</v>
      </c>
      <c r="B3761" s="6">
        <v>46204</v>
      </c>
      <c r="C3761" s="8">
        <v>46224</v>
      </c>
      <c r="D3761" s="2" t="s">
        <v>7433</v>
      </c>
      <c r="E3761" s="2" t="s">
        <v>260</v>
      </c>
      <c r="F3761" s="2" t="s">
        <v>16703</v>
      </c>
      <c r="G3761" s="2" t="s">
        <v>10382</v>
      </c>
      <c r="H3761" s="2" t="s">
        <v>76</v>
      </c>
      <c r="I3761" s="9">
        <v>85998838.709677994</v>
      </c>
      <c r="J3761" s="7">
        <v>6.2000000000000003E-5</v>
      </c>
      <c r="K3761" s="9">
        <v>5331.93</v>
      </c>
      <c r="L3761" s="14">
        <v>0</v>
      </c>
      <c r="M3761" s="2" t="s">
        <v>71</v>
      </c>
      <c r="N3761" s="2" t="s">
        <v>16706</v>
      </c>
      <c r="O3761" s="2" t="s">
        <v>10381</v>
      </c>
      <c r="P3761" s="9">
        <v>2.93</v>
      </c>
      <c r="Q3761" s="9">
        <v>5331.93</v>
      </c>
      <c r="R3761" s="2" t="s">
        <v>16711</v>
      </c>
    </row>
    <row r="3762" spans="1:18" x14ac:dyDescent="0.25">
      <c r="A3762" s="2" t="s">
        <v>10385</v>
      </c>
      <c r="B3762" s="6">
        <v>46204</v>
      </c>
      <c r="C3762" s="8">
        <v>46225</v>
      </c>
      <c r="D3762" s="2" t="s">
        <v>7433</v>
      </c>
      <c r="E3762" s="2" t="s">
        <v>260</v>
      </c>
      <c r="F3762" s="2" t="s">
        <v>16703</v>
      </c>
      <c r="G3762" s="2" t="s">
        <v>10387</v>
      </c>
      <c r="H3762" s="2" t="s">
        <v>70</v>
      </c>
      <c r="I3762" s="9">
        <v>8271.5136779999993</v>
      </c>
      <c r="J3762" s="7">
        <v>0.65800000000000003</v>
      </c>
      <c r="K3762" s="9">
        <v>5442.66</v>
      </c>
      <c r="L3762" s="14">
        <v>0</v>
      </c>
      <c r="M3762" s="2" t="s">
        <v>71</v>
      </c>
      <c r="N3762" s="2" t="s">
        <v>16706</v>
      </c>
      <c r="O3762" s="2" t="s">
        <v>10386</v>
      </c>
      <c r="P3762" s="9">
        <v>2.99</v>
      </c>
      <c r="Q3762" s="9">
        <v>5442.66</v>
      </c>
      <c r="R3762" s="2" t="s">
        <v>16711</v>
      </c>
    </row>
    <row r="3763" spans="1:18" x14ac:dyDescent="0.25">
      <c r="A3763" s="2" t="s">
        <v>10390</v>
      </c>
      <c r="B3763" s="6">
        <v>46204</v>
      </c>
      <c r="C3763" s="8">
        <v>46226</v>
      </c>
      <c r="D3763" s="2" t="s">
        <v>7433</v>
      </c>
      <c r="E3763" s="2" t="s">
        <v>260</v>
      </c>
      <c r="F3763" s="2" t="s">
        <v>16703</v>
      </c>
      <c r="G3763" s="2" t="s">
        <v>10392</v>
      </c>
      <c r="H3763" s="2" t="s">
        <v>39</v>
      </c>
      <c r="I3763" s="9">
        <v>5553.384</v>
      </c>
      <c r="J3763" s="7">
        <v>1</v>
      </c>
      <c r="K3763" s="9">
        <v>5553.38</v>
      </c>
      <c r="L3763" s="14">
        <v>0</v>
      </c>
      <c r="M3763" s="2" t="s">
        <v>71</v>
      </c>
      <c r="N3763" s="2" t="s">
        <v>16706</v>
      </c>
      <c r="O3763" s="2" t="s">
        <v>10391</v>
      </c>
      <c r="P3763" s="9">
        <v>3.05</v>
      </c>
      <c r="Q3763" s="9">
        <v>5553.38</v>
      </c>
      <c r="R3763" s="2" t="s">
        <v>16711</v>
      </c>
    </row>
    <row r="3764" spans="1:18" x14ac:dyDescent="0.25">
      <c r="A3764" s="2" t="s">
        <v>10395</v>
      </c>
      <c r="B3764" s="6">
        <v>46204</v>
      </c>
      <c r="C3764" s="8">
        <v>46227</v>
      </c>
      <c r="D3764" s="2" t="s">
        <v>7433</v>
      </c>
      <c r="E3764" s="2" t="s">
        <v>260</v>
      </c>
      <c r="F3764" s="2" t="s">
        <v>16703</v>
      </c>
      <c r="G3764" s="2" t="s">
        <v>10397</v>
      </c>
      <c r="H3764" s="2" t="s">
        <v>76</v>
      </c>
      <c r="I3764" s="9">
        <v>91356580.645161003</v>
      </c>
      <c r="J3764" s="7">
        <v>6.2000000000000003E-5</v>
      </c>
      <c r="K3764" s="9">
        <v>5664.11</v>
      </c>
      <c r="L3764" s="14">
        <v>0</v>
      </c>
      <c r="M3764" s="2" t="s">
        <v>71</v>
      </c>
      <c r="N3764" s="2" t="s">
        <v>16706</v>
      </c>
      <c r="O3764" s="2" t="s">
        <v>10396</v>
      </c>
      <c r="P3764" s="9">
        <v>3.12</v>
      </c>
      <c r="Q3764" s="9">
        <v>5664.11</v>
      </c>
      <c r="R3764" s="2" t="s">
        <v>16711</v>
      </c>
    </row>
    <row r="3765" spans="1:18" x14ac:dyDescent="0.25">
      <c r="A3765" s="2" t="s">
        <v>10400</v>
      </c>
      <c r="B3765" s="6">
        <v>46204</v>
      </c>
      <c r="C3765" s="8">
        <v>46228</v>
      </c>
      <c r="D3765" s="2" t="s">
        <v>7433</v>
      </c>
      <c r="E3765" s="2" t="s">
        <v>260</v>
      </c>
      <c r="F3765" s="2" t="s">
        <v>16703</v>
      </c>
      <c r="G3765" s="2" t="s">
        <v>10402</v>
      </c>
      <c r="H3765" s="2" t="s">
        <v>70</v>
      </c>
      <c r="I3765" s="9">
        <v>8776.3465039999992</v>
      </c>
      <c r="J3765" s="7">
        <v>0.65800000000000003</v>
      </c>
      <c r="K3765" s="9">
        <v>5774.84</v>
      </c>
      <c r="L3765" s="14">
        <v>0</v>
      </c>
      <c r="M3765" s="2" t="s">
        <v>71</v>
      </c>
      <c r="N3765" s="2" t="s">
        <v>16706</v>
      </c>
      <c r="O3765" s="2" t="s">
        <v>10401</v>
      </c>
      <c r="P3765" s="9">
        <v>3.18</v>
      </c>
      <c r="Q3765" s="9">
        <v>5774.84</v>
      </c>
      <c r="R3765" s="2" t="s">
        <v>16711</v>
      </c>
    </row>
    <row r="3766" spans="1:18" x14ac:dyDescent="0.25">
      <c r="A3766" s="2" t="s">
        <v>10405</v>
      </c>
      <c r="B3766" s="6">
        <v>46204</v>
      </c>
      <c r="C3766" s="8">
        <v>46229</v>
      </c>
      <c r="D3766" s="2" t="s">
        <v>7433</v>
      </c>
      <c r="E3766" s="2" t="s">
        <v>260</v>
      </c>
      <c r="F3766" s="2" t="s">
        <v>16703</v>
      </c>
      <c r="G3766" s="2" t="s">
        <v>10407</v>
      </c>
      <c r="H3766" s="2" t="s">
        <v>39</v>
      </c>
      <c r="I3766" s="9">
        <v>5885.56</v>
      </c>
      <c r="J3766" s="7">
        <v>1</v>
      </c>
      <c r="K3766" s="9">
        <v>5885.56</v>
      </c>
      <c r="L3766" s="14">
        <v>0</v>
      </c>
      <c r="M3766" s="2" t="s">
        <v>71</v>
      </c>
      <c r="N3766" s="2" t="s">
        <v>16706</v>
      </c>
      <c r="O3766" s="2" t="s">
        <v>10406</v>
      </c>
      <c r="P3766" s="9">
        <v>3.24</v>
      </c>
      <c r="Q3766" s="9">
        <v>5885.56</v>
      </c>
      <c r="R3766" s="2" t="s">
        <v>16711</v>
      </c>
    </row>
    <row r="3767" spans="1:18" x14ac:dyDescent="0.25">
      <c r="A3767" s="2" t="s">
        <v>10410</v>
      </c>
      <c r="B3767" s="6">
        <v>46204</v>
      </c>
      <c r="C3767" s="8">
        <v>46230</v>
      </c>
      <c r="D3767" s="2" t="s">
        <v>7433</v>
      </c>
      <c r="E3767" s="2" t="s">
        <v>260</v>
      </c>
      <c r="F3767" s="2" t="s">
        <v>16703</v>
      </c>
      <c r="G3767" s="2" t="s">
        <v>10412</v>
      </c>
      <c r="H3767" s="2" t="s">
        <v>76</v>
      </c>
      <c r="I3767" s="9">
        <v>96714322.580644995</v>
      </c>
      <c r="J3767" s="7">
        <v>6.2000000000000003E-5</v>
      </c>
      <c r="K3767" s="9">
        <v>5996.29</v>
      </c>
      <c r="L3767" s="14">
        <v>0</v>
      </c>
      <c r="M3767" s="2" t="s">
        <v>71</v>
      </c>
      <c r="N3767" s="2" t="s">
        <v>16706</v>
      </c>
      <c r="O3767" s="2" t="s">
        <v>10411</v>
      </c>
      <c r="P3767" s="9">
        <v>3.3</v>
      </c>
      <c r="Q3767" s="9">
        <v>5996.29</v>
      </c>
      <c r="R3767" s="2" t="s">
        <v>16711</v>
      </c>
    </row>
    <row r="3768" spans="1:18" x14ac:dyDescent="0.25">
      <c r="A3768" s="2" t="s">
        <v>10415</v>
      </c>
      <c r="B3768" s="6">
        <v>46204</v>
      </c>
      <c r="C3768" s="8">
        <v>46231</v>
      </c>
      <c r="D3768" s="2" t="s">
        <v>7433</v>
      </c>
      <c r="E3768" s="2" t="s">
        <v>260</v>
      </c>
      <c r="F3768" s="2" t="s">
        <v>16703</v>
      </c>
      <c r="G3768" s="2" t="s">
        <v>10417</v>
      </c>
      <c r="H3768" s="2" t="s">
        <v>70</v>
      </c>
      <c r="I3768" s="9">
        <v>9281.1732520000005</v>
      </c>
      <c r="J3768" s="7">
        <v>0.65800000000000003</v>
      </c>
      <c r="K3768" s="9">
        <v>6107.01</v>
      </c>
      <c r="L3768" s="14">
        <v>0</v>
      </c>
      <c r="M3768" s="2" t="s">
        <v>71</v>
      </c>
      <c r="N3768" s="2" t="s">
        <v>16706</v>
      </c>
      <c r="O3768" s="2" t="s">
        <v>10416</v>
      </c>
      <c r="P3768" s="9">
        <v>3.36</v>
      </c>
      <c r="Q3768" s="9">
        <v>6107.01</v>
      </c>
      <c r="R3768" s="2" t="s">
        <v>16711</v>
      </c>
    </row>
    <row r="3769" spans="1:18" x14ac:dyDescent="0.25">
      <c r="A3769" s="2" t="s">
        <v>10420</v>
      </c>
      <c r="B3769" s="6">
        <v>46204</v>
      </c>
      <c r="C3769" s="8">
        <v>46232</v>
      </c>
      <c r="D3769" s="2" t="s">
        <v>7433</v>
      </c>
      <c r="E3769" s="2" t="s">
        <v>260</v>
      </c>
      <c r="F3769" s="2" t="s">
        <v>16703</v>
      </c>
      <c r="G3769" s="2" t="s">
        <v>10422</v>
      </c>
      <c r="H3769" s="2" t="s">
        <v>39</v>
      </c>
      <c r="I3769" s="9">
        <v>6217.74</v>
      </c>
      <c r="J3769" s="7">
        <v>1</v>
      </c>
      <c r="K3769" s="9">
        <v>6217.74</v>
      </c>
      <c r="L3769" s="14">
        <v>0</v>
      </c>
      <c r="M3769" s="2" t="s">
        <v>71</v>
      </c>
      <c r="N3769" s="2" t="s">
        <v>16706</v>
      </c>
      <c r="O3769" s="2" t="s">
        <v>10421</v>
      </c>
      <c r="P3769" s="9">
        <v>3.42</v>
      </c>
      <c r="Q3769" s="9">
        <v>6217.74</v>
      </c>
      <c r="R3769" s="2" t="s">
        <v>16711</v>
      </c>
    </row>
    <row r="3770" spans="1:18" x14ac:dyDescent="0.25">
      <c r="A3770" s="2" t="s">
        <v>10425</v>
      </c>
      <c r="B3770" s="6">
        <v>46204</v>
      </c>
      <c r="C3770" s="8">
        <v>46233</v>
      </c>
      <c r="D3770" s="2" t="s">
        <v>7433</v>
      </c>
      <c r="E3770" s="2" t="s">
        <v>260</v>
      </c>
      <c r="F3770" s="2" t="s">
        <v>16703</v>
      </c>
      <c r="G3770" s="2" t="s">
        <v>10427</v>
      </c>
      <c r="H3770" s="2" t="s">
        <v>76</v>
      </c>
      <c r="I3770" s="9">
        <v>102072064.516129</v>
      </c>
      <c r="J3770" s="7">
        <v>6.2000000000000003E-5</v>
      </c>
      <c r="K3770" s="9">
        <v>6328.47</v>
      </c>
      <c r="L3770" s="14">
        <v>0</v>
      </c>
      <c r="M3770" s="2" t="s">
        <v>71</v>
      </c>
      <c r="N3770" s="2" t="s">
        <v>16706</v>
      </c>
      <c r="O3770" s="2" t="s">
        <v>10426</v>
      </c>
      <c r="P3770" s="9">
        <v>3.48</v>
      </c>
      <c r="Q3770" s="9">
        <v>6328.47</v>
      </c>
      <c r="R3770" s="2" t="s">
        <v>16711</v>
      </c>
    </row>
    <row r="3771" spans="1:18" x14ac:dyDescent="0.25">
      <c r="A3771" s="2" t="s">
        <v>10430</v>
      </c>
      <c r="B3771" s="6">
        <v>46204</v>
      </c>
      <c r="C3771" s="8">
        <v>46234</v>
      </c>
      <c r="D3771" s="2" t="s">
        <v>7433</v>
      </c>
      <c r="E3771" s="2" t="s">
        <v>260</v>
      </c>
      <c r="F3771" s="2" t="s">
        <v>16703</v>
      </c>
      <c r="G3771" s="2" t="s">
        <v>10432</v>
      </c>
      <c r="H3771" s="2" t="s">
        <v>70</v>
      </c>
      <c r="I3771" s="9">
        <v>9786.0060790000007</v>
      </c>
      <c r="J3771" s="7">
        <v>0.65800000000000003</v>
      </c>
      <c r="K3771" s="9">
        <v>6439.19</v>
      </c>
      <c r="L3771" s="14">
        <v>0</v>
      </c>
      <c r="M3771" s="2" t="s">
        <v>71</v>
      </c>
      <c r="N3771" s="2" t="s">
        <v>16706</v>
      </c>
      <c r="O3771" s="2" t="s">
        <v>10431</v>
      </c>
      <c r="P3771" s="9">
        <v>3.54</v>
      </c>
      <c r="Q3771" s="9">
        <v>6439.19</v>
      </c>
      <c r="R3771" s="2" t="s">
        <v>16711</v>
      </c>
    </row>
    <row r="3772" spans="1:18" x14ac:dyDescent="0.25">
      <c r="A3772" s="2" t="s">
        <v>10503</v>
      </c>
      <c r="B3772" s="6">
        <v>46204</v>
      </c>
      <c r="C3772" s="8">
        <v>46218</v>
      </c>
      <c r="D3772" s="2" t="s">
        <v>7433</v>
      </c>
      <c r="E3772" s="2" t="s">
        <v>260</v>
      </c>
      <c r="F3772" s="2" t="s">
        <v>16703</v>
      </c>
      <c r="G3772" s="2" t="s">
        <v>10505</v>
      </c>
      <c r="H3772" s="2" t="s">
        <v>70</v>
      </c>
      <c r="I3772" s="9">
        <v>12310.170212999999</v>
      </c>
      <c r="J3772" s="7">
        <v>0.65800000000000003</v>
      </c>
      <c r="K3772" s="9">
        <v>8100.09</v>
      </c>
      <c r="L3772" s="14">
        <v>0</v>
      </c>
      <c r="M3772" s="2" t="s">
        <v>71</v>
      </c>
      <c r="N3772" s="2" t="s">
        <v>16706</v>
      </c>
      <c r="O3772" s="2" t="s">
        <v>10504</v>
      </c>
      <c r="P3772" s="9">
        <v>4.46</v>
      </c>
      <c r="Q3772" s="9">
        <v>8100.09</v>
      </c>
      <c r="R3772" s="2" t="s">
        <v>16711</v>
      </c>
    </row>
    <row r="3773" spans="1:18" x14ac:dyDescent="0.25">
      <c r="A3773" s="2" t="s">
        <v>10508</v>
      </c>
      <c r="B3773" s="6">
        <v>46204</v>
      </c>
      <c r="C3773" s="8">
        <v>46219</v>
      </c>
      <c r="D3773" s="2" t="s">
        <v>7433</v>
      </c>
      <c r="E3773" s="2" t="s">
        <v>260</v>
      </c>
      <c r="F3773" s="2" t="s">
        <v>16703</v>
      </c>
      <c r="G3773" s="2" t="s">
        <v>10510</v>
      </c>
      <c r="H3773" s="2" t="s">
        <v>39</v>
      </c>
      <c r="I3773" s="9">
        <v>8210.8160000000007</v>
      </c>
      <c r="J3773" s="7">
        <v>1</v>
      </c>
      <c r="K3773" s="9">
        <v>8210.82</v>
      </c>
      <c r="L3773" s="14">
        <v>0</v>
      </c>
      <c r="M3773" s="2" t="s">
        <v>71</v>
      </c>
      <c r="N3773" s="2" t="s">
        <v>16706</v>
      </c>
      <c r="O3773" s="2" t="s">
        <v>10509</v>
      </c>
      <c r="P3773" s="9">
        <v>4.5199999999999996</v>
      </c>
      <c r="Q3773" s="9">
        <v>8210.82</v>
      </c>
      <c r="R3773" s="2" t="s">
        <v>16711</v>
      </c>
    </row>
    <row r="3774" spans="1:18" x14ac:dyDescent="0.25">
      <c r="A3774" s="2" t="s">
        <v>10513</v>
      </c>
      <c r="B3774" s="6">
        <v>46204</v>
      </c>
      <c r="C3774" s="8">
        <v>46220</v>
      </c>
      <c r="D3774" s="2" t="s">
        <v>7433</v>
      </c>
      <c r="E3774" s="2" t="s">
        <v>260</v>
      </c>
      <c r="F3774" s="2" t="s">
        <v>16703</v>
      </c>
      <c r="G3774" s="2" t="s">
        <v>10515</v>
      </c>
      <c r="H3774" s="2" t="s">
        <v>76</v>
      </c>
      <c r="I3774" s="9">
        <v>134218451.612903</v>
      </c>
      <c r="J3774" s="7">
        <v>6.2000000000000003E-5</v>
      </c>
      <c r="K3774" s="9">
        <v>8321.5400000000009</v>
      </c>
      <c r="L3774" s="14">
        <v>0</v>
      </c>
      <c r="M3774" s="2" t="s">
        <v>71</v>
      </c>
      <c r="N3774" s="2" t="s">
        <v>16706</v>
      </c>
      <c r="O3774" s="2" t="s">
        <v>10514</v>
      </c>
      <c r="P3774" s="9">
        <v>4.58</v>
      </c>
      <c r="Q3774" s="9">
        <v>8321.5400000000009</v>
      </c>
      <c r="R3774" s="2" t="s">
        <v>16711</v>
      </c>
    </row>
    <row r="3775" spans="1:18" x14ac:dyDescent="0.25">
      <c r="A3775" s="2" t="s">
        <v>10518</v>
      </c>
      <c r="B3775" s="6">
        <v>46204</v>
      </c>
      <c r="C3775" s="8">
        <v>46221</v>
      </c>
      <c r="D3775" s="2" t="s">
        <v>7433</v>
      </c>
      <c r="E3775" s="2" t="s">
        <v>260</v>
      </c>
      <c r="F3775" s="2" t="s">
        <v>16703</v>
      </c>
      <c r="G3775" s="2" t="s">
        <v>10520</v>
      </c>
      <c r="H3775" s="2" t="s">
        <v>70</v>
      </c>
      <c r="I3775" s="9">
        <v>12815.00304</v>
      </c>
      <c r="J3775" s="7">
        <v>0.65800000000000003</v>
      </c>
      <c r="K3775" s="9">
        <v>8432.27</v>
      </c>
      <c r="L3775" s="14">
        <v>0</v>
      </c>
      <c r="M3775" s="2" t="s">
        <v>71</v>
      </c>
      <c r="N3775" s="2" t="s">
        <v>16706</v>
      </c>
      <c r="O3775" s="2" t="s">
        <v>10519</v>
      </c>
      <c r="P3775" s="9">
        <v>4.6399999999999997</v>
      </c>
      <c r="Q3775" s="9">
        <v>8432.27</v>
      </c>
      <c r="R3775" s="2" t="s">
        <v>16711</v>
      </c>
    </row>
    <row r="3776" spans="1:18" x14ac:dyDescent="0.25">
      <c r="A3776" s="2" t="s">
        <v>10523</v>
      </c>
      <c r="B3776" s="6">
        <v>46204</v>
      </c>
      <c r="C3776" s="8">
        <v>46222</v>
      </c>
      <c r="D3776" s="2" t="s">
        <v>7433</v>
      </c>
      <c r="E3776" s="2" t="s">
        <v>260</v>
      </c>
      <c r="F3776" s="2" t="s">
        <v>16703</v>
      </c>
      <c r="G3776" s="2" t="s">
        <v>10525</v>
      </c>
      <c r="H3776" s="2" t="s">
        <v>39</v>
      </c>
      <c r="I3776" s="9">
        <v>8542.9959999999992</v>
      </c>
      <c r="J3776" s="7">
        <v>1</v>
      </c>
      <c r="K3776" s="9">
        <v>8543</v>
      </c>
      <c r="L3776" s="14">
        <v>0</v>
      </c>
      <c r="M3776" s="2" t="s">
        <v>71</v>
      </c>
      <c r="N3776" s="2" t="s">
        <v>16706</v>
      </c>
      <c r="O3776" s="2" t="s">
        <v>10524</v>
      </c>
      <c r="P3776" s="9">
        <v>4.7</v>
      </c>
      <c r="Q3776" s="9">
        <v>8543</v>
      </c>
      <c r="R3776" s="2" t="s">
        <v>16711</v>
      </c>
    </row>
    <row r="3777" spans="1:18" x14ac:dyDescent="0.25">
      <c r="A3777" s="2" t="s">
        <v>10528</v>
      </c>
      <c r="B3777" s="6">
        <v>46204</v>
      </c>
      <c r="C3777" s="8">
        <v>46223</v>
      </c>
      <c r="D3777" s="2" t="s">
        <v>7433</v>
      </c>
      <c r="E3777" s="2" t="s">
        <v>260</v>
      </c>
      <c r="F3777" s="2" t="s">
        <v>16703</v>
      </c>
      <c r="G3777" s="2" t="s">
        <v>10530</v>
      </c>
      <c r="H3777" s="2" t="s">
        <v>76</v>
      </c>
      <c r="I3777" s="9">
        <v>139576129.032258</v>
      </c>
      <c r="J3777" s="7">
        <v>6.2000000000000003E-5</v>
      </c>
      <c r="K3777" s="9">
        <v>8653.7199999999993</v>
      </c>
      <c r="L3777" s="14">
        <v>0</v>
      </c>
      <c r="M3777" s="2" t="s">
        <v>71</v>
      </c>
      <c r="N3777" s="2" t="s">
        <v>16706</v>
      </c>
      <c r="O3777" s="2" t="s">
        <v>10529</v>
      </c>
      <c r="P3777" s="9">
        <v>4.76</v>
      </c>
      <c r="Q3777" s="9">
        <v>8653.7199999999993</v>
      </c>
      <c r="R3777" s="2" t="s">
        <v>16711</v>
      </c>
    </row>
    <row r="3778" spans="1:18" x14ac:dyDescent="0.25">
      <c r="A3778" s="2" t="s">
        <v>10533</v>
      </c>
      <c r="B3778" s="6">
        <v>46204</v>
      </c>
      <c r="C3778" s="8">
        <v>46224</v>
      </c>
      <c r="D3778" s="2" t="s">
        <v>7433</v>
      </c>
      <c r="E3778" s="2" t="s">
        <v>260</v>
      </c>
      <c r="F3778" s="2" t="s">
        <v>16703</v>
      </c>
      <c r="G3778" s="2" t="s">
        <v>10535</v>
      </c>
      <c r="H3778" s="2" t="s">
        <v>70</v>
      </c>
      <c r="I3778" s="9">
        <v>13319.829787000001</v>
      </c>
      <c r="J3778" s="7">
        <v>0.65800000000000003</v>
      </c>
      <c r="K3778" s="9">
        <v>8764.4500000000007</v>
      </c>
      <c r="L3778" s="14">
        <v>0</v>
      </c>
      <c r="M3778" s="2" t="s">
        <v>71</v>
      </c>
      <c r="N3778" s="2" t="s">
        <v>16706</v>
      </c>
      <c r="O3778" s="2" t="s">
        <v>10534</v>
      </c>
      <c r="P3778" s="9">
        <v>4.82</v>
      </c>
      <c r="Q3778" s="9">
        <v>8764.4500000000007</v>
      </c>
      <c r="R3778" s="2" t="s">
        <v>16711</v>
      </c>
    </row>
    <row r="3779" spans="1:18" x14ac:dyDescent="0.25">
      <c r="A3779" s="2" t="s">
        <v>10538</v>
      </c>
      <c r="B3779" s="6">
        <v>46204</v>
      </c>
      <c r="C3779" s="8">
        <v>46225</v>
      </c>
      <c r="D3779" s="2" t="s">
        <v>7433</v>
      </c>
      <c r="E3779" s="2" t="s">
        <v>260</v>
      </c>
      <c r="F3779" s="2" t="s">
        <v>16703</v>
      </c>
      <c r="G3779" s="2" t="s">
        <v>10540</v>
      </c>
      <c r="H3779" s="2" t="s">
        <v>39</v>
      </c>
      <c r="I3779" s="9">
        <v>8875.1759999999995</v>
      </c>
      <c r="J3779" s="7">
        <v>1</v>
      </c>
      <c r="K3779" s="9">
        <v>8875.18</v>
      </c>
      <c r="L3779" s="14">
        <v>0</v>
      </c>
      <c r="M3779" s="2" t="s">
        <v>71</v>
      </c>
      <c r="N3779" s="2" t="s">
        <v>16706</v>
      </c>
      <c r="O3779" s="2" t="s">
        <v>10539</v>
      </c>
      <c r="P3779" s="9">
        <v>4.88</v>
      </c>
      <c r="Q3779" s="9">
        <v>8875.18</v>
      </c>
      <c r="R3779" s="2" t="s">
        <v>16711</v>
      </c>
    </row>
    <row r="3780" spans="1:18" x14ac:dyDescent="0.25">
      <c r="A3780" s="2" t="s">
        <v>10543</v>
      </c>
      <c r="B3780" s="6">
        <v>46204</v>
      </c>
      <c r="C3780" s="8">
        <v>46226</v>
      </c>
      <c r="D3780" s="2" t="s">
        <v>7433</v>
      </c>
      <c r="E3780" s="2" t="s">
        <v>260</v>
      </c>
      <c r="F3780" s="2" t="s">
        <v>16703</v>
      </c>
      <c r="G3780" s="2" t="s">
        <v>10545</v>
      </c>
      <c r="H3780" s="2" t="s">
        <v>76</v>
      </c>
      <c r="I3780" s="9">
        <v>144933870.967742</v>
      </c>
      <c r="J3780" s="7">
        <v>6.2000000000000003E-5</v>
      </c>
      <c r="K3780" s="9">
        <v>8985.9</v>
      </c>
      <c r="L3780" s="14">
        <v>0</v>
      </c>
      <c r="M3780" s="2" t="s">
        <v>71</v>
      </c>
      <c r="N3780" s="2" t="s">
        <v>16706</v>
      </c>
      <c r="O3780" s="2" t="s">
        <v>10544</v>
      </c>
      <c r="P3780" s="9">
        <v>4.9400000000000004</v>
      </c>
      <c r="Q3780" s="9">
        <v>8985.9</v>
      </c>
      <c r="R3780" s="2" t="s">
        <v>16711</v>
      </c>
    </row>
    <row r="3781" spans="1:18" x14ac:dyDescent="0.25">
      <c r="A3781" s="2" t="s">
        <v>10548</v>
      </c>
      <c r="B3781" s="6">
        <v>46204</v>
      </c>
      <c r="C3781" s="8">
        <v>46227</v>
      </c>
      <c r="D3781" s="2" t="s">
        <v>7433</v>
      </c>
      <c r="E3781" s="2" t="s">
        <v>260</v>
      </c>
      <c r="F3781" s="2" t="s">
        <v>16703</v>
      </c>
      <c r="G3781" s="2" t="s">
        <v>10550</v>
      </c>
      <c r="H3781" s="2" t="s">
        <v>70</v>
      </c>
      <c r="I3781" s="9">
        <v>13824.662614000001</v>
      </c>
      <c r="J3781" s="7">
        <v>0.65800000000000003</v>
      </c>
      <c r="K3781" s="9">
        <v>9096.6299999999992</v>
      </c>
      <c r="L3781" s="14">
        <v>0</v>
      </c>
      <c r="M3781" s="2" t="s">
        <v>71</v>
      </c>
      <c r="N3781" s="2" t="s">
        <v>16706</v>
      </c>
      <c r="O3781" s="2" t="s">
        <v>10549</v>
      </c>
      <c r="P3781" s="9">
        <v>5</v>
      </c>
      <c r="Q3781" s="9">
        <v>9096.6299999999992</v>
      </c>
      <c r="R3781" s="2" t="s">
        <v>16711</v>
      </c>
    </row>
    <row r="3782" spans="1:18" x14ac:dyDescent="0.25">
      <c r="A3782" s="2" t="s">
        <v>10553</v>
      </c>
      <c r="B3782" s="6">
        <v>46204</v>
      </c>
      <c r="C3782" s="8">
        <v>46228</v>
      </c>
      <c r="D3782" s="2" t="s">
        <v>7433</v>
      </c>
      <c r="E3782" s="2" t="s">
        <v>260</v>
      </c>
      <c r="F3782" s="2" t="s">
        <v>16703</v>
      </c>
      <c r="G3782" s="2" t="s">
        <v>10555</v>
      </c>
      <c r="H3782" s="2" t="s">
        <v>39</v>
      </c>
      <c r="I3782" s="9">
        <v>9207.3520000000008</v>
      </c>
      <c r="J3782" s="7">
        <v>1</v>
      </c>
      <c r="K3782" s="9">
        <v>9207.35</v>
      </c>
      <c r="L3782" s="14">
        <v>0</v>
      </c>
      <c r="M3782" s="2" t="s">
        <v>71</v>
      </c>
      <c r="N3782" s="2" t="s">
        <v>16706</v>
      </c>
      <c r="O3782" s="2" t="s">
        <v>10554</v>
      </c>
      <c r="P3782" s="9">
        <v>5.0599999999999996</v>
      </c>
      <c r="Q3782" s="9">
        <v>9207.35</v>
      </c>
      <c r="R3782" s="2" t="s">
        <v>16711</v>
      </c>
    </row>
    <row r="3783" spans="1:18" x14ac:dyDescent="0.25">
      <c r="A3783" s="2" t="s">
        <v>10558</v>
      </c>
      <c r="B3783" s="6">
        <v>46204</v>
      </c>
      <c r="C3783" s="8">
        <v>46229</v>
      </c>
      <c r="D3783" s="2" t="s">
        <v>7433</v>
      </c>
      <c r="E3783" s="2" t="s">
        <v>260</v>
      </c>
      <c r="F3783" s="2" t="s">
        <v>16703</v>
      </c>
      <c r="G3783" s="2" t="s">
        <v>10560</v>
      </c>
      <c r="H3783" s="2" t="s">
        <v>76</v>
      </c>
      <c r="I3783" s="9">
        <v>150291612.90322599</v>
      </c>
      <c r="J3783" s="7">
        <v>6.2000000000000003E-5</v>
      </c>
      <c r="K3783" s="9">
        <v>9318.08</v>
      </c>
      <c r="L3783" s="14">
        <v>0</v>
      </c>
      <c r="M3783" s="2" t="s">
        <v>71</v>
      </c>
      <c r="N3783" s="2" t="s">
        <v>16706</v>
      </c>
      <c r="O3783" s="2" t="s">
        <v>10559</v>
      </c>
      <c r="P3783" s="9">
        <v>5.12</v>
      </c>
      <c r="Q3783" s="9">
        <v>9318.08</v>
      </c>
      <c r="R3783" s="2" t="s">
        <v>16711</v>
      </c>
    </row>
    <row r="3784" spans="1:18" x14ac:dyDescent="0.25">
      <c r="A3784" s="2" t="s">
        <v>10563</v>
      </c>
      <c r="B3784" s="6">
        <v>46204</v>
      </c>
      <c r="C3784" s="8">
        <v>46230</v>
      </c>
      <c r="D3784" s="2" t="s">
        <v>7433</v>
      </c>
      <c r="E3784" s="2" t="s">
        <v>260</v>
      </c>
      <c r="F3784" s="2" t="s">
        <v>16703</v>
      </c>
      <c r="G3784" s="2" t="s">
        <v>10565</v>
      </c>
      <c r="H3784" s="2" t="s">
        <v>70</v>
      </c>
      <c r="I3784" s="9">
        <v>14329.489362</v>
      </c>
      <c r="J3784" s="7">
        <v>0.65800000000000003</v>
      </c>
      <c r="K3784" s="9">
        <v>9428.7999999999993</v>
      </c>
      <c r="L3784" s="14">
        <v>0</v>
      </c>
      <c r="M3784" s="2" t="s">
        <v>71</v>
      </c>
      <c r="N3784" s="2" t="s">
        <v>16706</v>
      </c>
      <c r="O3784" s="2" t="s">
        <v>10564</v>
      </c>
      <c r="P3784" s="9">
        <v>5.19</v>
      </c>
      <c r="Q3784" s="9">
        <v>9428.7999999999993</v>
      </c>
      <c r="R3784" s="2" t="s">
        <v>16711</v>
      </c>
    </row>
    <row r="3785" spans="1:18" x14ac:dyDescent="0.25">
      <c r="A3785" s="2" t="s">
        <v>10568</v>
      </c>
      <c r="B3785" s="6">
        <v>46204</v>
      </c>
      <c r="C3785" s="8">
        <v>46231</v>
      </c>
      <c r="D3785" s="2" t="s">
        <v>7433</v>
      </c>
      <c r="E3785" s="2" t="s">
        <v>260</v>
      </c>
      <c r="F3785" s="2" t="s">
        <v>16703</v>
      </c>
      <c r="G3785" s="2" t="s">
        <v>10570</v>
      </c>
      <c r="H3785" s="2" t="s">
        <v>39</v>
      </c>
      <c r="I3785" s="9">
        <v>579.53200000000004</v>
      </c>
      <c r="J3785" s="7">
        <v>1</v>
      </c>
      <c r="K3785" s="9">
        <v>579.53</v>
      </c>
      <c r="L3785" s="14">
        <v>0</v>
      </c>
      <c r="M3785" s="2" t="s">
        <v>71</v>
      </c>
      <c r="N3785" s="2" t="s">
        <v>16706</v>
      </c>
      <c r="O3785" s="2" t="s">
        <v>10569</v>
      </c>
      <c r="P3785" s="9">
        <v>1.8</v>
      </c>
      <c r="Q3785" s="9">
        <v>579.53</v>
      </c>
      <c r="R3785" s="2" t="s">
        <v>16711</v>
      </c>
    </row>
    <row r="3786" spans="1:18" x14ac:dyDescent="0.25">
      <c r="A3786" s="2" t="s">
        <v>10573</v>
      </c>
      <c r="B3786" s="6">
        <v>46204</v>
      </c>
      <c r="C3786" s="8">
        <v>46232</v>
      </c>
      <c r="D3786" s="2" t="s">
        <v>7433</v>
      </c>
      <c r="E3786" s="2" t="s">
        <v>260</v>
      </c>
      <c r="F3786" s="2" t="s">
        <v>16703</v>
      </c>
      <c r="G3786" s="2" t="s">
        <v>10575</v>
      </c>
      <c r="H3786" s="2" t="s">
        <v>76</v>
      </c>
      <c r="I3786" s="9">
        <v>11133225.806452001</v>
      </c>
      <c r="J3786" s="7">
        <v>6.2000000000000003E-5</v>
      </c>
      <c r="K3786" s="9">
        <v>690.26</v>
      </c>
      <c r="L3786" s="14">
        <v>0</v>
      </c>
      <c r="M3786" s="2" t="s">
        <v>71</v>
      </c>
      <c r="N3786" s="2" t="s">
        <v>16706</v>
      </c>
      <c r="O3786" s="2" t="s">
        <v>10574</v>
      </c>
      <c r="P3786" s="9">
        <v>1.8</v>
      </c>
      <c r="Q3786" s="9">
        <v>690.26</v>
      </c>
      <c r="R3786" s="2" t="s">
        <v>16711</v>
      </c>
    </row>
    <row r="3787" spans="1:18" x14ac:dyDescent="0.25">
      <c r="A3787" s="2" t="s">
        <v>10578</v>
      </c>
      <c r="B3787" s="6">
        <v>46204</v>
      </c>
      <c r="C3787" s="8">
        <v>46233</v>
      </c>
      <c r="D3787" s="2" t="s">
        <v>7433</v>
      </c>
      <c r="E3787" s="2" t="s">
        <v>260</v>
      </c>
      <c r="F3787" s="2" t="s">
        <v>16703</v>
      </c>
      <c r="G3787" s="2" t="s">
        <v>10580</v>
      </c>
      <c r="H3787" s="2" t="s">
        <v>70</v>
      </c>
      <c r="I3787" s="9">
        <v>1217.3069909999999</v>
      </c>
      <c r="J3787" s="7">
        <v>0.65800000000000003</v>
      </c>
      <c r="K3787" s="9">
        <v>800.99</v>
      </c>
      <c r="L3787" s="14">
        <v>0</v>
      </c>
      <c r="M3787" s="2" t="s">
        <v>71</v>
      </c>
      <c r="N3787" s="2" t="s">
        <v>16706</v>
      </c>
      <c r="O3787" s="2" t="s">
        <v>10579</v>
      </c>
      <c r="P3787" s="9">
        <v>1.8</v>
      </c>
      <c r="Q3787" s="9">
        <v>800.99</v>
      </c>
      <c r="R3787" s="2" t="s">
        <v>16711</v>
      </c>
    </row>
    <row r="3788" spans="1:18" x14ac:dyDescent="0.25">
      <c r="A3788" s="2" t="s">
        <v>10583</v>
      </c>
      <c r="B3788" s="6">
        <v>46204</v>
      </c>
      <c r="C3788" s="8">
        <v>46234</v>
      </c>
      <c r="D3788" s="2" t="s">
        <v>7433</v>
      </c>
      <c r="E3788" s="2" t="s">
        <v>260</v>
      </c>
      <c r="F3788" s="2" t="s">
        <v>16703</v>
      </c>
      <c r="G3788" s="2" t="s">
        <v>10585</v>
      </c>
      <c r="H3788" s="2" t="s">
        <v>39</v>
      </c>
      <c r="I3788" s="9">
        <v>911.71199999999999</v>
      </c>
      <c r="J3788" s="7">
        <v>1</v>
      </c>
      <c r="K3788" s="9">
        <v>911.71</v>
      </c>
      <c r="L3788" s="14">
        <v>0</v>
      </c>
      <c r="M3788" s="2" t="s">
        <v>71</v>
      </c>
      <c r="N3788" s="2" t="s">
        <v>16706</v>
      </c>
      <c r="O3788" s="2" t="s">
        <v>10584</v>
      </c>
      <c r="P3788" s="9">
        <v>1.8</v>
      </c>
      <c r="Q3788" s="9">
        <v>911.71</v>
      </c>
      <c r="R3788" s="2" t="s">
        <v>16711</v>
      </c>
    </row>
    <row r="3789" spans="1:18" x14ac:dyDescent="0.25">
      <c r="A3789" s="2" t="s">
        <v>10658</v>
      </c>
      <c r="B3789" s="6">
        <v>46204</v>
      </c>
      <c r="C3789" s="8">
        <v>46218</v>
      </c>
      <c r="D3789" s="2" t="s">
        <v>7433</v>
      </c>
      <c r="E3789" s="2" t="s">
        <v>260</v>
      </c>
      <c r="F3789" s="2" t="s">
        <v>16703</v>
      </c>
      <c r="G3789" s="2" t="s">
        <v>10660</v>
      </c>
      <c r="H3789" s="2" t="s">
        <v>39</v>
      </c>
      <c r="I3789" s="9">
        <v>2572.6080000000002</v>
      </c>
      <c r="J3789" s="7">
        <v>1</v>
      </c>
      <c r="K3789" s="9">
        <v>2572.61</v>
      </c>
      <c r="L3789" s="14">
        <v>0</v>
      </c>
      <c r="M3789" s="2" t="s">
        <v>71</v>
      </c>
      <c r="N3789" s="2" t="s">
        <v>16706</v>
      </c>
      <c r="O3789" s="2" t="s">
        <v>10659</v>
      </c>
      <c r="P3789" s="9">
        <v>1.8</v>
      </c>
      <c r="Q3789" s="9">
        <v>2572.61</v>
      </c>
      <c r="R3789" s="2" t="s">
        <v>16711</v>
      </c>
    </row>
    <row r="3790" spans="1:18" x14ac:dyDescent="0.25">
      <c r="A3790" s="2" t="s">
        <v>10663</v>
      </c>
      <c r="B3790" s="6">
        <v>46204</v>
      </c>
      <c r="C3790" s="8">
        <v>46219</v>
      </c>
      <c r="D3790" s="2" t="s">
        <v>7433</v>
      </c>
      <c r="E3790" s="2" t="s">
        <v>260</v>
      </c>
      <c r="F3790" s="2" t="s">
        <v>16703</v>
      </c>
      <c r="G3790" s="2" t="s">
        <v>10665</v>
      </c>
      <c r="H3790" s="2" t="s">
        <v>76</v>
      </c>
      <c r="I3790" s="9">
        <v>43279612.903226003</v>
      </c>
      <c r="J3790" s="7">
        <v>6.2000000000000003E-5</v>
      </c>
      <c r="K3790" s="9">
        <v>2683.34</v>
      </c>
      <c r="L3790" s="14">
        <v>0</v>
      </c>
      <c r="M3790" s="2" t="s">
        <v>71</v>
      </c>
      <c r="N3790" s="2" t="s">
        <v>16706</v>
      </c>
      <c r="O3790" s="2" t="s">
        <v>10664</v>
      </c>
      <c r="P3790" s="9">
        <v>1.8</v>
      </c>
      <c r="Q3790" s="9">
        <v>2683.34</v>
      </c>
      <c r="R3790" s="2" t="s">
        <v>16711</v>
      </c>
    </row>
    <row r="3791" spans="1:18" x14ac:dyDescent="0.25">
      <c r="A3791" s="2" t="s">
        <v>10668</v>
      </c>
      <c r="B3791" s="6">
        <v>46204</v>
      </c>
      <c r="C3791" s="8">
        <v>46220</v>
      </c>
      <c r="D3791" s="2" t="s">
        <v>7433</v>
      </c>
      <c r="E3791" s="2" t="s">
        <v>260</v>
      </c>
      <c r="F3791" s="2" t="s">
        <v>16703</v>
      </c>
      <c r="G3791" s="2" t="s">
        <v>10670</v>
      </c>
      <c r="H3791" s="2" t="s">
        <v>70</v>
      </c>
      <c r="I3791" s="9">
        <v>4246.2917930000003</v>
      </c>
      <c r="J3791" s="7">
        <v>0.65800000000000003</v>
      </c>
      <c r="K3791" s="9">
        <v>2794.06</v>
      </c>
      <c r="L3791" s="14">
        <v>0</v>
      </c>
      <c r="M3791" s="2" t="s">
        <v>71</v>
      </c>
      <c r="N3791" s="2" t="s">
        <v>16706</v>
      </c>
      <c r="O3791" s="2" t="s">
        <v>10669</v>
      </c>
      <c r="P3791" s="9">
        <v>1.8</v>
      </c>
      <c r="Q3791" s="9">
        <v>2794.06</v>
      </c>
      <c r="R3791" s="2" t="s">
        <v>16711</v>
      </c>
    </row>
    <row r="3792" spans="1:18" x14ac:dyDescent="0.25">
      <c r="A3792" s="2" t="s">
        <v>10673</v>
      </c>
      <c r="B3792" s="6">
        <v>46204</v>
      </c>
      <c r="C3792" s="8">
        <v>46221</v>
      </c>
      <c r="D3792" s="2" t="s">
        <v>7433</v>
      </c>
      <c r="E3792" s="2" t="s">
        <v>260</v>
      </c>
      <c r="F3792" s="2" t="s">
        <v>16703</v>
      </c>
      <c r="G3792" s="2" t="s">
        <v>10675</v>
      </c>
      <c r="H3792" s="2" t="s">
        <v>39</v>
      </c>
      <c r="I3792" s="9">
        <v>2904.788</v>
      </c>
      <c r="J3792" s="7">
        <v>1</v>
      </c>
      <c r="K3792" s="9">
        <v>2904.79</v>
      </c>
      <c r="L3792" s="14">
        <v>0</v>
      </c>
      <c r="M3792" s="2" t="s">
        <v>71</v>
      </c>
      <c r="N3792" s="2" t="s">
        <v>16706</v>
      </c>
      <c r="O3792" s="2" t="s">
        <v>10674</v>
      </c>
      <c r="P3792" s="9">
        <v>1.8</v>
      </c>
      <c r="Q3792" s="9">
        <v>2904.79</v>
      </c>
      <c r="R3792" s="2" t="s">
        <v>16711</v>
      </c>
    </row>
    <row r="3793" spans="1:18" x14ac:dyDescent="0.25">
      <c r="A3793" s="2" t="s">
        <v>10678</v>
      </c>
      <c r="B3793" s="6">
        <v>46204</v>
      </c>
      <c r="C3793" s="8">
        <v>46222</v>
      </c>
      <c r="D3793" s="2" t="s">
        <v>7433</v>
      </c>
      <c r="E3793" s="2" t="s">
        <v>260</v>
      </c>
      <c r="F3793" s="2" t="s">
        <v>16703</v>
      </c>
      <c r="G3793" s="2" t="s">
        <v>10680</v>
      </c>
      <c r="H3793" s="2" t="s">
        <v>76</v>
      </c>
      <c r="I3793" s="9">
        <v>-121593225.80645201</v>
      </c>
      <c r="J3793" s="7">
        <v>6.2000000000000003E-5</v>
      </c>
      <c r="K3793" s="9">
        <v>-7538.78</v>
      </c>
      <c r="L3793" s="14">
        <v>0</v>
      </c>
      <c r="M3793" s="2" t="s">
        <v>71</v>
      </c>
      <c r="N3793" s="2" t="s">
        <v>16706</v>
      </c>
      <c r="O3793" s="2" t="s">
        <v>10679</v>
      </c>
      <c r="P3793" s="9">
        <v>0</v>
      </c>
      <c r="Q3793" s="9">
        <v>-7538.78</v>
      </c>
      <c r="R3793" s="2" t="s">
        <v>16711</v>
      </c>
    </row>
    <row r="3794" spans="1:18" x14ac:dyDescent="0.25">
      <c r="A3794" s="2" t="s">
        <v>10681</v>
      </c>
      <c r="B3794" s="6">
        <v>46204</v>
      </c>
      <c r="C3794" s="8">
        <v>46223</v>
      </c>
      <c r="D3794" s="2" t="s">
        <v>7433</v>
      </c>
      <c r="E3794" s="2" t="s">
        <v>260</v>
      </c>
      <c r="F3794" s="2" t="s">
        <v>16703</v>
      </c>
      <c r="G3794" s="2" t="s">
        <v>10683</v>
      </c>
      <c r="H3794" s="2" t="s">
        <v>70</v>
      </c>
      <c r="I3794" s="9">
        <v>4751.1246199999996</v>
      </c>
      <c r="J3794" s="7">
        <v>0.65800000000000003</v>
      </c>
      <c r="K3794" s="9">
        <v>3126.24</v>
      </c>
      <c r="L3794" s="14">
        <v>0</v>
      </c>
      <c r="M3794" s="2" t="s">
        <v>71</v>
      </c>
      <c r="N3794" s="2" t="s">
        <v>16706</v>
      </c>
      <c r="O3794" s="2" t="s">
        <v>10682</v>
      </c>
      <c r="P3794" s="9">
        <v>1.8</v>
      </c>
      <c r="Q3794" s="9">
        <v>3126.24</v>
      </c>
      <c r="R3794" s="2" t="s">
        <v>16711</v>
      </c>
    </row>
    <row r="3795" spans="1:18" x14ac:dyDescent="0.25">
      <c r="A3795" s="2" t="s">
        <v>10686</v>
      </c>
      <c r="B3795" s="6">
        <v>46204</v>
      </c>
      <c r="C3795" s="8">
        <v>46224</v>
      </c>
      <c r="D3795" s="2" t="s">
        <v>7433</v>
      </c>
      <c r="E3795" s="2" t="s">
        <v>260</v>
      </c>
      <c r="F3795" s="2" t="s">
        <v>16703</v>
      </c>
      <c r="G3795" s="2" t="s">
        <v>10688</v>
      </c>
      <c r="H3795" s="2" t="s">
        <v>39</v>
      </c>
      <c r="I3795" s="9">
        <v>3236.9679999999998</v>
      </c>
      <c r="J3795" s="7">
        <v>1</v>
      </c>
      <c r="K3795" s="9">
        <v>3236.97</v>
      </c>
      <c r="L3795" s="14">
        <v>0</v>
      </c>
      <c r="M3795" s="2" t="s">
        <v>71</v>
      </c>
      <c r="N3795" s="2" t="s">
        <v>16706</v>
      </c>
      <c r="O3795" s="2" t="s">
        <v>10687</v>
      </c>
      <c r="P3795" s="9">
        <v>1.8</v>
      </c>
      <c r="Q3795" s="9">
        <v>3236.97</v>
      </c>
      <c r="R3795" s="2" t="s">
        <v>16711</v>
      </c>
    </row>
    <row r="3796" spans="1:18" x14ac:dyDescent="0.25">
      <c r="A3796" s="2" t="s">
        <v>10691</v>
      </c>
      <c r="B3796" s="6">
        <v>46204</v>
      </c>
      <c r="C3796" s="8">
        <v>46225</v>
      </c>
      <c r="D3796" s="2" t="s">
        <v>7433</v>
      </c>
      <c r="E3796" s="2" t="s">
        <v>260</v>
      </c>
      <c r="F3796" s="2" t="s">
        <v>16703</v>
      </c>
      <c r="G3796" s="2" t="s">
        <v>10693</v>
      </c>
      <c r="H3796" s="2" t="s">
        <v>76</v>
      </c>
      <c r="I3796" s="9">
        <v>53995032.258064002</v>
      </c>
      <c r="J3796" s="7">
        <v>6.2000000000000003E-5</v>
      </c>
      <c r="K3796" s="9">
        <v>3347.69</v>
      </c>
      <c r="L3796" s="14">
        <v>0</v>
      </c>
      <c r="M3796" s="2" t="s">
        <v>71</v>
      </c>
      <c r="N3796" s="2" t="s">
        <v>16706</v>
      </c>
      <c r="O3796" s="2" t="s">
        <v>10692</v>
      </c>
      <c r="P3796" s="9">
        <v>1.84</v>
      </c>
      <c r="Q3796" s="9">
        <v>3347.69</v>
      </c>
      <c r="R3796" s="2" t="s">
        <v>16711</v>
      </c>
    </row>
    <row r="3797" spans="1:18" x14ac:dyDescent="0.25">
      <c r="A3797" s="2" t="s">
        <v>10696</v>
      </c>
      <c r="B3797" s="6">
        <v>46204</v>
      </c>
      <c r="C3797" s="8">
        <v>46226</v>
      </c>
      <c r="D3797" s="2" t="s">
        <v>7433</v>
      </c>
      <c r="E3797" s="2" t="s">
        <v>260</v>
      </c>
      <c r="F3797" s="2" t="s">
        <v>16703</v>
      </c>
      <c r="G3797" s="2" t="s">
        <v>10698</v>
      </c>
      <c r="H3797" s="2" t="s">
        <v>70</v>
      </c>
      <c r="I3797" s="9">
        <v>5255.9574469999998</v>
      </c>
      <c r="J3797" s="7">
        <v>0.65800000000000003</v>
      </c>
      <c r="K3797" s="9">
        <v>3458.42</v>
      </c>
      <c r="L3797" s="14">
        <v>0</v>
      </c>
      <c r="M3797" s="2" t="s">
        <v>71</v>
      </c>
      <c r="N3797" s="2" t="s">
        <v>16706</v>
      </c>
      <c r="O3797" s="2" t="s">
        <v>10697</v>
      </c>
      <c r="P3797" s="9">
        <v>1.9</v>
      </c>
      <c r="Q3797" s="9">
        <v>3458.42</v>
      </c>
      <c r="R3797" s="2" t="s">
        <v>16711</v>
      </c>
    </row>
    <row r="3798" spans="1:18" x14ac:dyDescent="0.25">
      <c r="A3798" s="2" t="s">
        <v>10701</v>
      </c>
      <c r="B3798" s="6">
        <v>46204</v>
      </c>
      <c r="C3798" s="8">
        <v>46227</v>
      </c>
      <c r="D3798" s="2" t="s">
        <v>7433</v>
      </c>
      <c r="E3798" s="2" t="s">
        <v>260</v>
      </c>
      <c r="F3798" s="2" t="s">
        <v>16703</v>
      </c>
      <c r="G3798" s="2" t="s">
        <v>10703</v>
      </c>
      <c r="H3798" s="2" t="s">
        <v>39</v>
      </c>
      <c r="I3798" s="9">
        <v>3569.1439999999998</v>
      </c>
      <c r="J3798" s="7">
        <v>1</v>
      </c>
      <c r="K3798" s="9">
        <v>3569.14</v>
      </c>
      <c r="L3798" s="14">
        <v>0</v>
      </c>
      <c r="M3798" s="2" t="s">
        <v>71</v>
      </c>
      <c r="N3798" s="2" t="s">
        <v>16706</v>
      </c>
      <c r="O3798" s="2" t="s">
        <v>10702</v>
      </c>
      <c r="P3798" s="9">
        <v>1.96</v>
      </c>
      <c r="Q3798" s="9">
        <v>3569.14</v>
      </c>
      <c r="R3798" s="2" t="s">
        <v>16711</v>
      </c>
    </row>
    <row r="3799" spans="1:18" x14ac:dyDescent="0.25">
      <c r="A3799" s="2" t="s">
        <v>10706</v>
      </c>
      <c r="B3799" s="6">
        <v>46204</v>
      </c>
      <c r="C3799" s="8">
        <v>46228</v>
      </c>
      <c r="D3799" s="2" t="s">
        <v>7433</v>
      </c>
      <c r="E3799" s="2" t="s">
        <v>260</v>
      </c>
      <c r="F3799" s="2" t="s">
        <v>16703</v>
      </c>
      <c r="G3799" s="2" t="s">
        <v>10708</v>
      </c>
      <c r="H3799" s="2" t="s">
        <v>76</v>
      </c>
      <c r="I3799" s="9">
        <v>59352774.193548001</v>
      </c>
      <c r="J3799" s="7">
        <v>6.2000000000000003E-5</v>
      </c>
      <c r="K3799" s="9">
        <v>3679.87</v>
      </c>
      <c r="L3799" s="14">
        <v>0</v>
      </c>
      <c r="M3799" s="2" t="s">
        <v>71</v>
      </c>
      <c r="N3799" s="2" t="s">
        <v>16706</v>
      </c>
      <c r="O3799" s="2" t="s">
        <v>10707</v>
      </c>
      <c r="P3799" s="9">
        <v>2.02</v>
      </c>
      <c r="Q3799" s="9">
        <v>3679.87</v>
      </c>
      <c r="R3799" s="2" t="s">
        <v>16711</v>
      </c>
    </row>
    <row r="3800" spans="1:18" x14ac:dyDescent="0.25">
      <c r="A3800" s="2" t="s">
        <v>10711</v>
      </c>
      <c r="B3800" s="6">
        <v>46204</v>
      </c>
      <c r="C3800" s="8">
        <v>46229</v>
      </c>
      <c r="D3800" s="2" t="s">
        <v>7433</v>
      </c>
      <c r="E3800" s="2" t="s">
        <v>260</v>
      </c>
      <c r="F3800" s="2" t="s">
        <v>16703</v>
      </c>
      <c r="G3800" s="2" t="s">
        <v>10713</v>
      </c>
      <c r="H3800" s="2" t="s">
        <v>70</v>
      </c>
      <c r="I3800" s="9">
        <v>5760.790274</v>
      </c>
      <c r="J3800" s="7">
        <v>0.65800000000000003</v>
      </c>
      <c r="K3800" s="9">
        <v>3790.6</v>
      </c>
      <c r="L3800" s="14">
        <v>0</v>
      </c>
      <c r="M3800" s="2" t="s">
        <v>71</v>
      </c>
      <c r="N3800" s="2" t="s">
        <v>16706</v>
      </c>
      <c r="O3800" s="2" t="s">
        <v>10712</v>
      </c>
      <c r="P3800" s="9">
        <v>2.08</v>
      </c>
      <c r="Q3800" s="9">
        <v>3790.6</v>
      </c>
      <c r="R3800" s="2" t="s">
        <v>16711</v>
      </c>
    </row>
    <row r="3801" spans="1:18" x14ac:dyDescent="0.25">
      <c r="A3801" s="2" t="s">
        <v>10716</v>
      </c>
      <c r="B3801" s="6">
        <v>46204</v>
      </c>
      <c r="C3801" s="8">
        <v>46230</v>
      </c>
      <c r="D3801" s="2" t="s">
        <v>7433</v>
      </c>
      <c r="E3801" s="2" t="s">
        <v>260</v>
      </c>
      <c r="F3801" s="2" t="s">
        <v>16703</v>
      </c>
      <c r="G3801" s="2" t="s">
        <v>10718</v>
      </c>
      <c r="H3801" s="2" t="s">
        <v>39</v>
      </c>
      <c r="I3801" s="9">
        <v>3901.3240000000001</v>
      </c>
      <c r="J3801" s="7">
        <v>1</v>
      </c>
      <c r="K3801" s="9">
        <v>3901.32</v>
      </c>
      <c r="L3801" s="14">
        <v>0</v>
      </c>
      <c r="M3801" s="2" t="s">
        <v>71</v>
      </c>
      <c r="N3801" s="2" t="s">
        <v>16706</v>
      </c>
      <c r="O3801" s="2" t="s">
        <v>10717</v>
      </c>
      <c r="P3801" s="9">
        <v>2.15</v>
      </c>
      <c r="Q3801" s="9">
        <v>3901.32</v>
      </c>
      <c r="R3801" s="2" t="s">
        <v>16711</v>
      </c>
    </row>
    <row r="3802" spans="1:18" x14ac:dyDescent="0.25">
      <c r="A3802" s="2" t="s">
        <v>10721</v>
      </c>
      <c r="B3802" s="6">
        <v>46204</v>
      </c>
      <c r="C3802" s="8">
        <v>46231</v>
      </c>
      <c r="D3802" s="2" t="s">
        <v>7433</v>
      </c>
      <c r="E3802" s="2" t="s">
        <v>260</v>
      </c>
      <c r="F3802" s="2" t="s">
        <v>16703</v>
      </c>
      <c r="G3802" s="2" t="s">
        <v>10723</v>
      </c>
      <c r="H3802" s="2" t="s">
        <v>76</v>
      </c>
      <c r="I3802" s="9">
        <v>64710516.129032001</v>
      </c>
      <c r="J3802" s="7">
        <v>6.2000000000000003E-5</v>
      </c>
      <c r="K3802" s="9">
        <v>4012.05</v>
      </c>
      <c r="L3802" s="14">
        <v>0</v>
      </c>
      <c r="M3802" s="2" t="s">
        <v>71</v>
      </c>
      <c r="N3802" s="2" t="s">
        <v>16706</v>
      </c>
      <c r="O3802" s="2" t="s">
        <v>10722</v>
      </c>
      <c r="P3802" s="9">
        <v>2.21</v>
      </c>
      <c r="Q3802" s="9">
        <v>4012.05</v>
      </c>
      <c r="R3802" s="2" t="s">
        <v>16711</v>
      </c>
    </row>
    <row r="3803" spans="1:18" x14ac:dyDescent="0.25">
      <c r="A3803" s="2" t="s">
        <v>10726</v>
      </c>
      <c r="B3803" s="6">
        <v>46204</v>
      </c>
      <c r="C3803" s="8">
        <v>46232</v>
      </c>
      <c r="D3803" s="2" t="s">
        <v>7433</v>
      </c>
      <c r="E3803" s="2" t="s">
        <v>260</v>
      </c>
      <c r="F3803" s="2" t="s">
        <v>16703</v>
      </c>
      <c r="G3803" s="2" t="s">
        <v>10728</v>
      </c>
      <c r="H3803" s="2" t="s">
        <v>70</v>
      </c>
      <c r="I3803" s="9">
        <v>6265.617021</v>
      </c>
      <c r="J3803" s="7">
        <v>0.65800000000000003</v>
      </c>
      <c r="K3803" s="9">
        <v>4122.78</v>
      </c>
      <c r="L3803" s="14">
        <v>0</v>
      </c>
      <c r="M3803" s="2" t="s">
        <v>71</v>
      </c>
      <c r="N3803" s="2" t="s">
        <v>16706</v>
      </c>
      <c r="O3803" s="2" t="s">
        <v>10727</v>
      </c>
      <c r="P3803" s="9">
        <v>2.27</v>
      </c>
      <c r="Q3803" s="9">
        <v>4122.78</v>
      </c>
      <c r="R3803" s="2" t="s">
        <v>16711</v>
      </c>
    </row>
    <row r="3804" spans="1:18" x14ac:dyDescent="0.25">
      <c r="A3804" s="2" t="s">
        <v>16712</v>
      </c>
      <c r="B3804" s="6">
        <v>46174</v>
      </c>
      <c r="C3804" s="8">
        <v>46174</v>
      </c>
      <c r="D3804" s="2" t="s">
        <v>136</v>
      </c>
      <c r="E3804" s="2" t="s">
        <v>48</v>
      </c>
      <c r="F3804" s="2"/>
      <c r="G3804" s="2" t="s">
        <v>16713</v>
      </c>
      <c r="H3804" s="2" t="s">
        <v>39</v>
      </c>
      <c r="I3804" s="9">
        <v>0</v>
      </c>
      <c r="J3804" s="7">
        <v>1</v>
      </c>
      <c r="K3804" s="9">
        <v>0</v>
      </c>
      <c r="L3804" s="14">
        <v>88.728606700328754</v>
      </c>
      <c r="M3804" s="2" t="s">
        <v>71</v>
      </c>
      <c r="N3804" s="2" t="s">
        <v>16714</v>
      </c>
      <c r="O3804" s="2"/>
      <c r="P3804" s="9">
        <v>0</v>
      </c>
      <c r="Q3804" s="9">
        <v>0</v>
      </c>
      <c r="R3804" s="2"/>
    </row>
    <row r="3805" spans="1:18" x14ac:dyDescent="0.25">
      <c r="A3805" s="2" t="s">
        <v>16715</v>
      </c>
      <c r="B3805" s="6">
        <v>46174</v>
      </c>
      <c r="C3805" s="8">
        <v>46175</v>
      </c>
      <c r="D3805" s="2" t="s">
        <v>136</v>
      </c>
      <c r="E3805" s="2" t="s">
        <v>48</v>
      </c>
      <c r="F3805" s="2"/>
      <c r="G3805" s="2" t="s">
        <v>16716</v>
      </c>
      <c r="H3805" s="2" t="s">
        <v>39</v>
      </c>
      <c r="I3805" s="9">
        <v>0</v>
      </c>
      <c r="J3805" s="7">
        <v>1</v>
      </c>
      <c r="K3805" s="9">
        <v>0</v>
      </c>
      <c r="L3805" s="14">
        <v>89.664811964043835</v>
      </c>
      <c r="M3805" s="2" t="s">
        <v>71</v>
      </c>
      <c r="N3805" s="2" t="s">
        <v>16714</v>
      </c>
      <c r="O3805" s="2"/>
      <c r="P3805" s="9">
        <v>0</v>
      </c>
      <c r="Q3805" s="9">
        <v>0</v>
      </c>
      <c r="R3805" s="2"/>
    </row>
    <row r="3806" spans="1:18" x14ac:dyDescent="0.25">
      <c r="A3806" s="2" t="s">
        <v>16717</v>
      </c>
      <c r="B3806" s="6">
        <v>46174</v>
      </c>
      <c r="C3806" s="8">
        <v>46176</v>
      </c>
      <c r="D3806" s="2" t="s">
        <v>136</v>
      </c>
      <c r="E3806" s="2" t="s">
        <v>48</v>
      </c>
      <c r="F3806" s="2"/>
      <c r="G3806" s="2" t="s">
        <v>16718</v>
      </c>
      <c r="H3806" s="2" t="s">
        <v>39</v>
      </c>
      <c r="I3806" s="9">
        <v>0</v>
      </c>
      <c r="J3806" s="7">
        <v>1</v>
      </c>
      <c r="K3806" s="9">
        <v>0</v>
      </c>
      <c r="L3806" s="14">
        <v>90.26711170758891</v>
      </c>
      <c r="M3806" s="2" t="s">
        <v>71</v>
      </c>
      <c r="N3806" s="2" t="s">
        <v>16714</v>
      </c>
      <c r="O3806" s="2"/>
      <c r="P3806" s="9">
        <v>0</v>
      </c>
      <c r="Q3806" s="9">
        <v>0</v>
      </c>
      <c r="R3806" s="2"/>
    </row>
    <row r="3807" spans="1:18" x14ac:dyDescent="0.25">
      <c r="A3807" s="2" t="s">
        <v>16719</v>
      </c>
      <c r="B3807" s="6">
        <v>46174</v>
      </c>
      <c r="C3807" s="8">
        <v>46177</v>
      </c>
      <c r="D3807" s="2" t="s">
        <v>136</v>
      </c>
      <c r="E3807" s="2" t="s">
        <v>48</v>
      </c>
      <c r="F3807" s="2"/>
      <c r="G3807" s="2" t="s">
        <v>16720</v>
      </c>
      <c r="H3807" s="2" t="s">
        <v>39</v>
      </c>
      <c r="I3807" s="9">
        <v>0</v>
      </c>
      <c r="J3807" s="7">
        <v>1</v>
      </c>
      <c r="K3807" s="9">
        <v>0</v>
      </c>
      <c r="L3807" s="14">
        <v>90.436631698357274</v>
      </c>
      <c r="M3807" s="2" t="s">
        <v>71</v>
      </c>
      <c r="N3807" s="2" t="s">
        <v>16714</v>
      </c>
      <c r="O3807" s="2"/>
      <c r="P3807" s="9">
        <v>0</v>
      </c>
      <c r="Q3807" s="9">
        <v>0</v>
      </c>
      <c r="R3807" s="2"/>
    </row>
    <row r="3808" spans="1:18" x14ac:dyDescent="0.25">
      <c r="A3808" s="2" t="s">
        <v>16721</v>
      </c>
      <c r="B3808" s="6">
        <v>46174</v>
      </c>
      <c r="C3808" s="8">
        <v>46178</v>
      </c>
      <c r="D3808" s="2" t="s">
        <v>136</v>
      </c>
      <c r="E3808" s="2" t="s">
        <v>48</v>
      </c>
      <c r="F3808" s="2"/>
      <c r="G3808" s="2" t="s">
        <v>16722</v>
      </c>
      <c r="H3808" s="2" t="s">
        <v>39</v>
      </c>
      <c r="I3808" s="9">
        <v>0</v>
      </c>
      <c r="J3808" s="7">
        <v>1</v>
      </c>
      <c r="K3808" s="9">
        <v>0</v>
      </c>
      <c r="L3808" s="14">
        <v>90.172856868528598</v>
      </c>
      <c r="M3808" s="2" t="s">
        <v>71</v>
      </c>
      <c r="N3808" s="2" t="s">
        <v>16714</v>
      </c>
      <c r="O3808" s="2"/>
      <c r="P3808" s="9">
        <v>0</v>
      </c>
      <c r="Q3808" s="9">
        <v>0</v>
      </c>
      <c r="R3808" s="2"/>
    </row>
    <row r="3809" spans="1:18" x14ac:dyDescent="0.25">
      <c r="A3809" s="2" t="s">
        <v>16723</v>
      </c>
      <c r="B3809" s="6">
        <v>46174</v>
      </c>
      <c r="C3809" s="8">
        <v>46179</v>
      </c>
      <c r="D3809" s="2" t="s">
        <v>136</v>
      </c>
      <c r="E3809" s="2" t="s">
        <v>48</v>
      </c>
      <c r="F3809" s="2"/>
      <c r="G3809" s="2" t="s">
        <v>16724</v>
      </c>
      <c r="H3809" s="2" t="s">
        <v>39</v>
      </c>
      <c r="I3809" s="9">
        <v>0</v>
      </c>
      <c r="J3809" s="7">
        <v>1</v>
      </c>
      <c r="K3809" s="9">
        <v>0</v>
      </c>
      <c r="L3809" s="14">
        <v>89.558289946543852</v>
      </c>
      <c r="M3809" s="2" t="s">
        <v>71</v>
      </c>
      <c r="N3809" s="2" t="s">
        <v>16714</v>
      </c>
      <c r="O3809" s="2"/>
      <c r="P3809" s="9">
        <v>0</v>
      </c>
      <c r="Q3809" s="9">
        <v>0</v>
      </c>
      <c r="R3809" s="2"/>
    </row>
    <row r="3810" spans="1:18" x14ac:dyDescent="0.25">
      <c r="A3810" s="2" t="s">
        <v>16725</v>
      </c>
      <c r="B3810" s="6">
        <v>46174</v>
      </c>
      <c r="C3810" s="8">
        <v>46180</v>
      </c>
      <c r="D3810" s="2" t="s">
        <v>136</v>
      </c>
      <c r="E3810" s="2" t="s">
        <v>48</v>
      </c>
      <c r="F3810" s="2"/>
      <c r="G3810" s="2" t="s">
        <v>16726</v>
      </c>
      <c r="H3810" s="2" t="s">
        <v>39</v>
      </c>
      <c r="I3810" s="9">
        <v>0</v>
      </c>
      <c r="J3810" s="7">
        <v>1</v>
      </c>
      <c r="K3810" s="9">
        <v>0</v>
      </c>
      <c r="L3810" s="14">
        <v>88.73125211519762</v>
      </c>
      <c r="M3810" s="2" t="s">
        <v>71</v>
      </c>
      <c r="N3810" s="2" t="s">
        <v>16714</v>
      </c>
      <c r="O3810" s="2"/>
      <c r="P3810" s="9">
        <v>0</v>
      </c>
      <c r="Q3810" s="9">
        <v>0</v>
      </c>
      <c r="R3810" s="2"/>
    </row>
    <row r="3811" spans="1:18" x14ac:dyDescent="0.25">
      <c r="A3811" s="2" t="s">
        <v>16727</v>
      </c>
      <c r="B3811" s="6">
        <v>46174</v>
      </c>
      <c r="C3811" s="8">
        <v>46181</v>
      </c>
      <c r="D3811" s="2" t="s">
        <v>136</v>
      </c>
      <c r="E3811" s="2" t="s">
        <v>48</v>
      </c>
      <c r="F3811" s="2"/>
      <c r="G3811" s="2" t="s">
        <v>16728</v>
      </c>
      <c r="H3811" s="2" t="s">
        <v>39</v>
      </c>
      <c r="I3811" s="9">
        <v>0</v>
      </c>
      <c r="J3811" s="7">
        <v>1</v>
      </c>
      <c r="K3811" s="9">
        <v>0</v>
      </c>
      <c r="L3811" s="14">
        <v>87.828074818310981</v>
      </c>
      <c r="M3811" s="2" t="s">
        <v>71</v>
      </c>
      <c r="N3811" s="2" t="s">
        <v>16714</v>
      </c>
      <c r="O3811" s="2"/>
      <c r="P3811" s="9">
        <v>0</v>
      </c>
      <c r="Q3811" s="9">
        <v>0</v>
      </c>
      <c r="R3811" s="2"/>
    </row>
    <row r="3812" spans="1:18" x14ac:dyDescent="0.25">
      <c r="A3812" s="2" t="s">
        <v>16729</v>
      </c>
      <c r="B3812" s="6">
        <v>46174</v>
      </c>
      <c r="C3812" s="8">
        <v>46182</v>
      </c>
      <c r="D3812" s="2" t="s">
        <v>136</v>
      </c>
      <c r="E3812" s="2" t="s">
        <v>48</v>
      </c>
      <c r="F3812" s="2"/>
      <c r="G3812" s="2" t="s">
        <v>16730</v>
      </c>
      <c r="H3812" s="2" t="s">
        <v>39</v>
      </c>
      <c r="I3812" s="9">
        <v>0</v>
      </c>
      <c r="J3812" s="7">
        <v>1</v>
      </c>
      <c r="K3812" s="9">
        <v>0</v>
      </c>
      <c r="L3812" s="14">
        <v>86.958871588272089</v>
      </c>
      <c r="M3812" s="2" t="s">
        <v>71</v>
      </c>
      <c r="N3812" s="2" t="s">
        <v>16714</v>
      </c>
      <c r="O3812" s="2"/>
      <c r="P3812" s="9">
        <v>0</v>
      </c>
      <c r="Q3812" s="9">
        <v>0</v>
      </c>
      <c r="R3812" s="2"/>
    </row>
    <row r="3813" spans="1:18" x14ac:dyDescent="0.25">
      <c r="A3813" s="2" t="s">
        <v>16731</v>
      </c>
      <c r="B3813" s="6">
        <v>46174</v>
      </c>
      <c r="C3813" s="8">
        <v>46183</v>
      </c>
      <c r="D3813" s="2" t="s">
        <v>136</v>
      </c>
      <c r="E3813" s="2" t="s">
        <v>48</v>
      </c>
      <c r="F3813" s="2"/>
      <c r="G3813" s="2" t="s">
        <v>16732</v>
      </c>
      <c r="H3813" s="2" t="s">
        <v>39</v>
      </c>
      <c r="I3813" s="9">
        <v>0</v>
      </c>
      <c r="J3813" s="7">
        <v>1</v>
      </c>
      <c r="K3813" s="9">
        <v>0</v>
      </c>
      <c r="L3813" s="14">
        <v>86.219782313853742</v>
      </c>
      <c r="M3813" s="2" t="s">
        <v>71</v>
      </c>
      <c r="N3813" s="2" t="s">
        <v>16714</v>
      </c>
      <c r="O3813" s="2"/>
      <c r="P3813" s="9">
        <v>0</v>
      </c>
      <c r="Q3813" s="9">
        <v>0</v>
      </c>
      <c r="R3813" s="2"/>
    </row>
    <row r="3814" spans="1:18" x14ac:dyDescent="0.25">
      <c r="A3814" s="2" t="s">
        <v>16733</v>
      </c>
      <c r="B3814" s="6">
        <v>46174</v>
      </c>
      <c r="C3814" s="8">
        <v>46184</v>
      </c>
      <c r="D3814" s="2" t="s">
        <v>136</v>
      </c>
      <c r="E3814" s="2" t="s">
        <v>48</v>
      </c>
      <c r="F3814" s="2"/>
      <c r="G3814" s="2" t="s">
        <v>16734</v>
      </c>
      <c r="H3814" s="2" t="s">
        <v>39</v>
      </c>
      <c r="I3814" s="9">
        <v>0</v>
      </c>
      <c r="J3814" s="7">
        <v>1</v>
      </c>
      <c r="K3814" s="9">
        <v>0</v>
      </c>
      <c r="L3814" s="14">
        <v>85.73600882136752</v>
      </c>
      <c r="M3814" s="2" t="s">
        <v>71</v>
      </c>
      <c r="N3814" s="2" t="s">
        <v>16714</v>
      </c>
      <c r="O3814" s="2"/>
      <c r="P3814" s="9">
        <v>0</v>
      </c>
      <c r="Q3814" s="9">
        <v>0</v>
      </c>
      <c r="R3814" s="2"/>
    </row>
    <row r="3815" spans="1:18" x14ac:dyDescent="0.25">
      <c r="A3815" s="2" t="s">
        <v>16735</v>
      </c>
      <c r="B3815" s="6">
        <v>46174</v>
      </c>
      <c r="C3815" s="8">
        <v>46185</v>
      </c>
      <c r="D3815" s="2" t="s">
        <v>136</v>
      </c>
      <c r="E3815" s="2" t="s">
        <v>48</v>
      </c>
      <c r="F3815" s="2"/>
      <c r="G3815" s="2" t="s">
        <v>16736</v>
      </c>
      <c r="H3815" s="2" t="s">
        <v>39</v>
      </c>
      <c r="I3815" s="9">
        <v>0</v>
      </c>
      <c r="J3815" s="7">
        <v>1</v>
      </c>
      <c r="K3815" s="9">
        <v>0</v>
      </c>
      <c r="L3815" s="14">
        <v>85.47261933109678</v>
      </c>
      <c r="M3815" s="2" t="s">
        <v>71</v>
      </c>
      <c r="N3815" s="2" t="s">
        <v>16714</v>
      </c>
      <c r="O3815" s="2"/>
      <c r="P3815" s="9">
        <v>0</v>
      </c>
      <c r="Q3815" s="9">
        <v>0</v>
      </c>
      <c r="R3815" s="2"/>
    </row>
    <row r="3816" spans="1:18" x14ac:dyDescent="0.25">
      <c r="A3816" s="2" t="s">
        <v>16737</v>
      </c>
      <c r="B3816" s="6">
        <v>46174</v>
      </c>
      <c r="C3816" s="8">
        <v>46186</v>
      </c>
      <c r="D3816" s="2" t="s">
        <v>136</v>
      </c>
      <c r="E3816" s="2" t="s">
        <v>48</v>
      </c>
      <c r="F3816" s="2"/>
      <c r="G3816" s="2" t="s">
        <v>16738</v>
      </c>
      <c r="H3816" s="2" t="s">
        <v>39</v>
      </c>
      <c r="I3816" s="9">
        <v>0</v>
      </c>
      <c r="J3816" s="7">
        <v>1</v>
      </c>
      <c r="K3816" s="9">
        <v>0</v>
      </c>
      <c r="L3816" s="14">
        <v>85.494388235079882</v>
      </c>
      <c r="M3816" s="2" t="s">
        <v>71</v>
      </c>
      <c r="N3816" s="2" t="s">
        <v>16714</v>
      </c>
      <c r="O3816" s="2"/>
      <c r="P3816" s="9">
        <v>0</v>
      </c>
      <c r="Q3816" s="9">
        <v>0</v>
      </c>
      <c r="R3816" s="2"/>
    </row>
    <row r="3817" spans="1:18" x14ac:dyDescent="0.25">
      <c r="A3817" s="2" t="s">
        <v>16739</v>
      </c>
      <c r="B3817" s="6">
        <v>46174</v>
      </c>
      <c r="C3817" s="8">
        <v>46187</v>
      </c>
      <c r="D3817" s="2" t="s">
        <v>136</v>
      </c>
      <c r="E3817" s="2" t="s">
        <v>48</v>
      </c>
      <c r="F3817" s="2"/>
      <c r="G3817" s="2" t="s">
        <v>16740</v>
      </c>
      <c r="H3817" s="2" t="s">
        <v>39</v>
      </c>
      <c r="I3817" s="9">
        <v>0</v>
      </c>
      <c r="J3817" s="7">
        <v>1</v>
      </c>
      <c r="K3817" s="9">
        <v>0</v>
      </c>
      <c r="L3817" s="14">
        <v>85.73530233764734</v>
      </c>
      <c r="M3817" s="2" t="s">
        <v>71</v>
      </c>
      <c r="N3817" s="2" t="s">
        <v>16714</v>
      </c>
      <c r="O3817" s="2"/>
      <c r="P3817" s="9">
        <v>0</v>
      </c>
      <c r="Q3817" s="9">
        <v>0</v>
      </c>
      <c r="R3817" s="2"/>
    </row>
    <row r="3818" spans="1:18" x14ac:dyDescent="0.25">
      <c r="A3818" s="2" t="s">
        <v>16741</v>
      </c>
      <c r="B3818" s="6">
        <v>46174</v>
      </c>
      <c r="C3818" s="8">
        <v>46188</v>
      </c>
      <c r="D3818" s="2" t="s">
        <v>136</v>
      </c>
      <c r="E3818" s="2" t="s">
        <v>48</v>
      </c>
      <c r="F3818" s="2"/>
      <c r="G3818" s="2" t="s">
        <v>16742</v>
      </c>
      <c r="H3818" s="2" t="s">
        <v>39</v>
      </c>
      <c r="I3818" s="9">
        <v>0</v>
      </c>
      <c r="J3818" s="7">
        <v>1</v>
      </c>
      <c r="K3818" s="9">
        <v>0</v>
      </c>
      <c r="L3818" s="14">
        <v>86.07655072824528</v>
      </c>
      <c r="M3818" s="2" t="s">
        <v>71</v>
      </c>
      <c r="N3818" s="2" t="s">
        <v>16714</v>
      </c>
      <c r="O3818" s="2"/>
      <c r="P3818" s="9">
        <v>0</v>
      </c>
      <c r="Q3818" s="9">
        <v>0</v>
      </c>
      <c r="R3818" s="2"/>
    </row>
    <row r="3819" spans="1:18" x14ac:dyDescent="0.25">
      <c r="A3819" s="2" t="s">
        <v>16743</v>
      </c>
      <c r="B3819" s="6">
        <v>46174</v>
      </c>
      <c r="C3819" s="8">
        <v>46189</v>
      </c>
      <c r="D3819" s="2" t="s">
        <v>136</v>
      </c>
      <c r="E3819" s="2" t="s">
        <v>48</v>
      </c>
      <c r="F3819" s="2"/>
      <c r="G3819" s="2" t="s">
        <v>16744</v>
      </c>
      <c r="H3819" s="2" t="s">
        <v>39</v>
      </c>
      <c r="I3819" s="9">
        <v>0</v>
      </c>
      <c r="J3819" s="7">
        <v>1</v>
      </c>
      <c r="K3819" s="9">
        <v>0</v>
      </c>
      <c r="L3819" s="14">
        <v>86.464683588041837</v>
      </c>
      <c r="M3819" s="2" t="s">
        <v>71</v>
      </c>
      <c r="N3819" s="2" t="s">
        <v>16714</v>
      </c>
      <c r="O3819" s="2"/>
      <c r="P3819" s="9">
        <v>0</v>
      </c>
      <c r="Q3819" s="9">
        <v>0</v>
      </c>
      <c r="R3819" s="2"/>
    </row>
    <row r="3820" spans="1:18" x14ac:dyDescent="0.25">
      <c r="A3820" s="2" t="s">
        <v>16745</v>
      </c>
      <c r="B3820" s="6">
        <v>46174</v>
      </c>
      <c r="C3820" s="8">
        <v>46190</v>
      </c>
      <c r="D3820" s="2" t="s">
        <v>136</v>
      </c>
      <c r="E3820" s="2" t="s">
        <v>48</v>
      </c>
      <c r="F3820" s="2"/>
      <c r="G3820" s="2" t="s">
        <v>16746</v>
      </c>
      <c r="H3820" s="2" t="s">
        <v>39</v>
      </c>
      <c r="I3820" s="9">
        <v>0</v>
      </c>
      <c r="J3820" s="7">
        <v>1</v>
      </c>
      <c r="K3820" s="9">
        <v>0</v>
      </c>
      <c r="L3820" s="14">
        <v>86.676157052641784</v>
      </c>
      <c r="M3820" s="2" t="s">
        <v>71</v>
      </c>
      <c r="N3820" s="2" t="s">
        <v>16714</v>
      </c>
      <c r="O3820" s="2"/>
      <c r="P3820" s="9">
        <v>0</v>
      </c>
      <c r="Q3820" s="9">
        <v>0</v>
      </c>
      <c r="R3820" s="2"/>
    </row>
    <row r="3821" spans="1:18" x14ac:dyDescent="0.25">
      <c r="A3821" s="2" t="s">
        <v>16747</v>
      </c>
      <c r="B3821" s="6">
        <v>46174</v>
      </c>
      <c r="C3821" s="8">
        <v>46191</v>
      </c>
      <c r="D3821" s="2" t="s">
        <v>136</v>
      </c>
      <c r="E3821" s="2" t="s">
        <v>48</v>
      </c>
      <c r="F3821" s="2"/>
      <c r="G3821" s="2" t="s">
        <v>16748</v>
      </c>
      <c r="H3821" s="2" t="s">
        <v>39</v>
      </c>
      <c r="I3821" s="9">
        <v>0</v>
      </c>
      <c r="J3821" s="7">
        <v>1</v>
      </c>
      <c r="K3821" s="9">
        <v>0</v>
      </c>
      <c r="L3821" s="14">
        <v>70.415501896559675</v>
      </c>
      <c r="M3821" s="2" t="s">
        <v>71</v>
      </c>
      <c r="N3821" s="2" t="s">
        <v>16714</v>
      </c>
      <c r="O3821" s="2"/>
      <c r="P3821" s="9">
        <v>0</v>
      </c>
      <c r="Q3821" s="9">
        <v>0</v>
      </c>
      <c r="R3821" s="2"/>
    </row>
    <row r="3822" spans="1:18" x14ac:dyDescent="0.25">
      <c r="A3822" s="2" t="s">
        <v>16749</v>
      </c>
      <c r="B3822" s="6">
        <v>46174</v>
      </c>
      <c r="C3822" s="8">
        <v>46192</v>
      </c>
      <c r="D3822" s="2" t="s">
        <v>136</v>
      </c>
      <c r="E3822" s="2" t="s">
        <v>48</v>
      </c>
      <c r="F3822" s="2"/>
      <c r="G3822" s="2" t="s">
        <v>16750</v>
      </c>
      <c r="H3822" s="2" t="s">
        <v>39</v>
      </c>
      <c r="I3822" s="9">
        <v>0</v>
      </c>
      <c r="J3822" s="7">
        <v>1</v>
      </c>
      <c r="K3822" s="9">
        <v>0</v>
      </c>
      <c r="L3822" s="14">
        <v>86.624115359347869</v>
      </c>
      <c r="M3822" s="2" t="s">
        <v>71</v>
      </c>
      <c r="N3822" s="2" t="s">
        <v>16714</v>
      </c>
      <c r="O3822" s="2"/>
      <c r="P3822" s="9">
        <v>0</v>
      </c>
      <c r="Q3822" s="9">
        <v>0</v>
      </c>
      <c r="R3822" s="2"/>
    </row>
    <row r="3823" spans="1:18" x14ac:dyDescent="0.25">
      <c r="A3823" s="2" t="s">
        <v>16751</v>
      </c>
      <c r="B3823" s="6">
        <v>46174</v>
      </c>
      <c r="C3823" s="8">
        <v>46193</v>
      </c>
      <c r="D3823" s="2" t="s">
        <v>136</v>
      </c>
      <c r="E3823" s="2" t="s">
        <v>48</v>
      </c>
      <c r="F3823" s="2"/>
      <c r="G3823" s="2" t="s">
        <v>16752</v>
      </c>
      <c r="H3823" s="2" t="s">
        <v>39</v>
      </c>
      <c r="I3823" s="9">
        <v>0</v>
      </c>
      <c r="J3823" s="7">
        <v>1</v>
      </c>
      <c r="K3823" s="9">
        <v>0</v>
      </c>
      <c r="L3823" s="14">
        <v>86.213979190905121</v>
      </c>
      <c r="M3823" s="2" t="s">
        <v>71</v>
      </c>
      <c r="N3823" s="2" t="s">
        <v>16714</v>
      </c>
      <c r="O3823" s="2"/>
      <c r="P3823" s="9">
        <v>0</v>
      </c>
      <c r="Q3823" s="9">
        <v>0</v>
      </c>
      <c r="R3823" s="2"/>
    </row>
    <row r="3824" spans="1:18" x14ac:dyDescent="0.25">
      <c r="A3824" s="2" t="s">
        <v>16753</v>
      </c>
      <c r="B3824" s="6">
        <v>46174</v>
      </c>
      <c r="C3824" s="8">
        <v>46194</v>
      </c>
      <c r="D3824" s="2" t="s">
        <v>136</v>
      </c>
      <c r="E3824" s="2" t="s">
        <v>48</v>
      </c>
      <c r="F3824" s="2"/>
      <c r="G3824" s="2" t="s">
        <v>16754</v>
      </c>
      <c r="H3824" s="2" t="s">
        <v>39</v>
      </c>
      <c r="I3824" s="9">
        <v>0</v>
      </c>
      <c r="J3824" s="7">
        <v>1</v>
      </c>
      <c r="K3824" s="9">
        <v>0</v>
      </c>
      <c r="L3824" s="14">
        <v>85.637578066513768</v>
      </c>
      <c r="M3824" s="2" t="s">
        <v>71</v>
      </c>
      <c r="N3824" s="2" t="s">
        <v>16714</v>
      </c>
      <c r="O3824" s="2"/>
      <c r="P3824" s="9">
        <v>0</v>
      </c>
      <c r="Q3824" s="9">
        <v>0</v>
      </c>
      <c r="R3824" s="2"/>
    </row>
    <row r="3825" spans="1:18" x14ac:dyDescent="0.25">
      <c r="A3825" s="2" t="s">
        <v>16755</v>
      </c>
      <c r="B3825" s="6">
        <v>46174</v>
      </c>
      <c r="C3825" s="8">
        <v>46195</v>
      </c>
      <c r="D3825" s="2" t="s">
        <v>136</v>
      </c>
      <c r="E3825" s="2" t="s">
        <v>48</v>
      </c>
      <c r="F3825" s="2"/>
      <c r="G3825" s="2" t="s">
        <v>16756</v>
      </c>
      <c r="H3825" s="2" t="s">
        <v>39</v>
      </c>
      <c r="I3825" s="9">
        <v>0</v>
      </c>
      <c r="J3825" s="7">
        <v>1</v>
      </c>
      <c r="K3825" s="9">
        <v>0</v>
      </c>
      <c r="L3825" s="14">
        <v>84.814097310175953</v>
      </c>
      <c r="M3825" s="2" t="s">
        <v>71</v>
      </c>
      <c r="N3825" s="2" t="s">
        <v>16714</v>
      </c>
      <c r="O3825" s="2"/>
      <c r="P3825" s="9">
        <v>0</v>
      </c>
      <c r="Q3825" s="9">
        <v>0</v>
      </c>
      <c r="R3825" s="2"/>
    </row>
    <row r="3826" spans="1:18" x14ac:dyDescent="0.25">
      <c r="A3826" s="2" t="s">
        <v>16757</v>
      </c>
      <c r="B3826" s="6">
        <v>46174</v>
      </c>
      <c r="C3826" s="8">
        <v>46196</v>
      </c>
      <c r="D3826" s="2" t="s">
        <v>136</v>
      </c>
      <c r="E3826" s="2" t="s">
        <v>48</v>
      </c>
      <c r="F3826" s="2"/>
      <c r="G3826" s="2" t="s">
        <v>16758</v>
      </c>
      <c r="H3826" s="2" t="s">
        <v>39</v>
      </c>
      <c r="I3826" s="9">
        <v>0</v>
      </c>
      <c r="J3826" s="7">
        <v>1</v>
      </c>
      <c r="K3826" s="9">
        <v>0</v>
      </c>
      <c r="L3826" s="14">
        <v>83.942695949669528</v>
      </c>
      <c r="M3826" s="2" t="s">
        <v>71</v>
      </c>
      <c r="N3826" s="2" t="s">
        <v>16714</v>
      </c>
      <c r="O3826" s="2"/>
      <c r="P3826" s="9">
        <v>0</v>
      </c>
      <c r="Q3826" s="9">
        <v>0</v>
      </c>
      <c r="R3826" s="2"/>
    </row>
    <row r="3827" spans="1:18" x14ac:dyDescent="0.25">
      <c r="A3827" s="2" t="s">
        <v>16759</v>
      </c>
      <c r="B3827" s="6">
        <v>46174</v>
      </c>
      <c r="C3827" s="8">
        <v>46197</v>
      </c>
      <c r="D3827" s="2" t="s">
        <v>136</v>
      </c>
      <c r="E3827" s="2" t="s">
        <v>48</v>
      </c>
      <c r="F3827" s="2"/>
      <c r="G3827" s="2" t="s">
        <v>16760</v>
      </c>
      <c r="H3827" s="2" t="s">
        <v>39</v>
      </c>
      <c r="I3827" s="9">
        <v>0</v>
      </c>
      <c r="J3827" s="7">
        <v>1</v>
      </c>
      <c r="K3827" s="9">
        <v>0</v>
      </c>
      <c r="L3827" s="14">
        <v>83.079601184649562</v>
      </c>
      <c r="M3827" s="2" t="s">
        <v>71</v>
      </c>
      <c r="N3827" s="2" t="s">
        <v>16714</v>
      </c>
      <c r="O3827" s="2"/>
      <c r="P3827" s="9">
        <v>0</v>
      </c>
      <c r="Q3827" s="9">
        <v>0</v>
      </c>
      <c r="R3827" s="2"/>
    </row>
    <row r="3828" spans="1:18" x14ac:dyDescent="0.25">
      <c r="A3828" s="2" t="s">
        <v>16761</v>
      </c>
      <c r="B3828" s="6">
        <v>46174</v>
      </c>
      <c r="C3828" s="8">
        <v>46198</v>
      </c>
      <c r="D3828" s="2" t="s">
        <v>136</v>
      </c>
      <c r="E3828" s="2" t="s">
        <v>48</v>
      </c>
      <c r="F3828" s="2"/>
      <c r="G3828" s="2" t="s">
        <v>16762</v>
      </c>
      <c r="H3828" s="2" t="s">
        <v>39</v>
      </c>
      <c r="I3828" s="9">
        <v>0</v>
      </c>
      <c r="J3828" s="7">
        <v>1</v>
      </c>
      <c r="K3828" s="9">
        <v>0</v>
      </c>
      <c r="L3828" s="14">
        <v>82.368112155873192</v>
      </c>
      <c r="M3828" s="2" t="s">
        <v>71</v>
      </c>
      <c r="N3828" s="2" t="s">
        <v>16714</v>
      </c>
      <c r="O3828" s="2"/>
      <c r="P3828" s="9">
        <v>0</v>
      </c>
      <c r="Q3828" s="9">
        <v>0</v>
      </c>
      <c r="R3828" s="2"/>
    </row>
    <row r="3829" spans="1:18" x14ac:dyDescent="0.25">
      <c r="A3829" s="2" t="s">
        <v>16763</v>
      </c>
      <c r="B3829" s="6">
        <v>46174</v>
      </c>
      <c r="C3829" s="8">
        <v>46199</v>
      </c>
      <c r="D3829" s="2" t="s">
        <v>136</v>
      </c>
      <c r="E3829" s="2" t="s">
        <v>48</v>
      </c>
      <c r="F3829" s="2"/>
      <c r="G3829" s="2" t="s">
        <v>16764</v>
      </c>
      <c r="H3829" s="2" t="s">
        <v>39</v>
      </c>
      <c r="I3829" s="9">
        <v>0</v>
      </c>
      <c r="J3829" s="7">
        <v>1</v>
      </c>
      <c r="K3829" s="9">
        <v>0</v>
      </c>
      <c r="L3829" s="14">
        <v>81.940798290434202</v>
      </c>
      <c r="M3829" s="2" t="s">
        <v>71</v>
      </c>
      <c r="N3829" s="2" t="s">
        <v>16714</v>
      </c>
      <c r="O3829" s="2"/>
      <c r="P3829" s="9">
        <v>0</v>
      </c>
      <c r="Q3829" s="9">
        <v>0</v>
      </c>
      <c r="R3829" s="2"/>
    </row>
    <row r="3830" spans="1:18" x14ac:dyDescent="0.25">
      <c r="A3830" s="2" t="s">
        <v>16765</v>
      </c>
      <c r="B3830" s="6">
        <v>46174</v>
      </c>
      <c r="C3830" s="8">
        <v>46200</v>
      </c>
      <c r="D3830" s="2" t="s">
        <v>136</v>
      </c>
      <c r="E3830" s="2" t="s">
        <v>48</v>
      </c>
      <c r="F3830" s="2"/>
      <c r="G3830" s="2" t="s">
        <v>16766</v>
      </c>
      <c r="H3830" s="2" t="s">
        <v>39</v>
      </c>
      <c r="I3830" s="9">
        <v>0</v>
      </c>
      <c r="J3830" s="7">
        <v>1</v>
      </c>
      <c r="K3830" s="9">
        <v>0</v>
      </c>
      <c r="L3830" s="14">
        <v>81.866302448220196</v>
      </c>
      <c r="M3830" s="2" t="s">
        <v>71</v>
      </c>
      <c r="N3830" s="2" t="s">
        <v>16714</v>
      </c>
      <c r="O3830" s="2"/>
      <c r="P3830" s="9">
        <v>0</v>
      </c>
      <c r="Q3830" s="9">
        <v>0</v>
      </c>
      <c r="R3830" s="2"/>
    </row>
    <row r="3831" spans="1:18" x14ac:dyDescent="0.25">
      <c r="A3831" s="2" t="s">
        <v>16767</v>
      </c>
      <c r="B3831" s="6">
        <v>46174</v>
      </c>
      <c r="C3831" s="8">
        <v>46201</v>
      </c>
      <c r="D3831" s="2" t="s">
        <v>136</v>
      </c>
      <c r="E3831" s="2" t="s">
        <v>48</v>
      </c>
      <c r="F3831" s="2"/>
      <c r="G3831" s="2" t="s">
        <v>16768</v>
      </c>
      <c r="H3831" s="2" t="s">
        <v>39</v>
      </c>
      <c r="I3831" s="9">
        <v>0</v>
      </c>
      <c r="J3831" s="7">
        <v>1</v>
      </c>
      <c r="K3831" s="9">
        <v>0</v>
      </c>
      <c r="L3831" s="14">
        <v>82.186992838048255</v>
      </c>
      <c r="M3831" s="2" t="s">
        <v>71</v>
      </c>
      <c r="N3831" s="2" t="s">
        <v>16714</v>
      </c>
      <c r="O3831" s="2"/>
      <c r="P3831" s="9">
        <v>0</v>
      </c>
      <c r="Q3831" s="9">
        <v>0</v>
      </c>
      <c r="R3831" s="2"/>
    </row>
    <row r="3832" spans="1:18" x14ac:dyDescent="0.25">
      <c r="A3832" s="2" t="s">
        <v>16769</v>
      </c>
      <c r="B3832" s="6">
        <v>46174</v>
      </c>
      <c r="C3832" s="8">
        <v>46202</v>
      </c>
      <c r="D3832" s="2" t="s">
        <v>136</v>
      </c>
      <c r="E3832" s="2" t="s">
        <v>48</v>
      </c>
      <c r="F3832" s="2"/>
      <c r="G3832" s="2" t="s">
        <v>16770</v>
      </c>
      <c r="H3832" s="2" t="s">
        <v>39</v>
      </c>
      <c r="I3832" s="9">
        <v>0</v>
      </c>
      <c r="J3832" s="7">
        <v>1</v>
      </c>
      <c r="K3832" s="9">
        <v>0</v>
      </c>
      <c r="L3832" s="14">
        <v>82.886884227682231</v>
      </c>
      <c r="M3832" s="2" t="s">
        <v>71</v>
      </c>
      <c r="N3832" s="2" t="s">
        <v>16714</v>
      </c>
      <c r="O3832" s="2"/>
      <c r="P3832" s="9">
        <v>0</v>
      </c>
      <c r="Q3832" s="9">
        <v>0</v>
      </c>
      <c r="R3832" s="2"/>
    </row>
    <row r="3833" spans="1:18" x14ac:dyDescent="0.25">
      <c r="A3833" s="2" t="s">
        <v>16771</v>
      </c>
      <c r="B3833" s="6">
        <v>46174</v>
      </c>
      <c r="C3833" s="8">
        <v>46203</v>
      </c>
      <c r="D3833" s="2" t="s">
        <v>136</v>
      </c>
      <c r="E3833" s="2" t="s">
        <v>48</v>
      </c>
      <c r="F3833" s="2"/>
      <c r="G3833" s="2" t="s">
        <v>16772</v>
      </c>
      <c r="H3833" s="2" t="s">
        <v>39</v>
      </c>
      <c r="I3833" s="9">
        <v>0</v>
      </c>
      <c r="J3833" s="7">
        <v>1</v>
      </c>
      <c r="K3833" s="9">
        <v>0</v>
      </c>
      <c r="L3833" s="14">
        <v>83.954335371922156</v>
      </c>
      <c r="M3833" s="2" t="s">
        <v>71</v>
      </c>
      <c r="N3833" s="2" t="s">
        <v>16714</v>
      </c>
      <c r="O3833" s="2"/>
      <c r="P3833" s="9">
        <v>0</v>
      </c>
      <c r="Q3833" s="9">
        <v>0</v>
      </c>
      <c r="R3833" s="2"/>
    </row>
    <row r="3834" spans="1:18" x14ac:dyDescent="0.25">
      <c r="A3834" s="2" t="s">
        <v>16773</v>
      </c>
      <c r="B3834" s="6">
        <v>46204</v>
      </c>
      <c r="C3834" s="8">
        <v>46204</v>
      </c>
      <c r="D3834" s="2" t="s">
        <v>136</v>
      </c>
      <c r="E3834" s="2" t="s">
        <v>48</v>
      </c>
      <c r="F3834" s="2"/>
      <c r="G3834" s="2" t="s">
        <v>16774</v>
      </c>
      <c r="H3834" s="2" t="s">
        <v>39</v>
      </c>
      <c r="I3834" s="9">
        <v>0</v>
      </c>
      <c r="J3834" s="7">
        <v>1</v>
      </c>
      <c r="K3834" s="9">
        <v>0</v>
      </c>
      <c r="L3834" s="14">
        <v>84.919049159160238</v>
      </c>
      <c r="M3834" s="2" t="s">
        <v>71</v>
      </c>
      <c r="N3834" s="2" t="s">
        <v>16775</v>
      </c>
      <c r="O3834" s="2"/>
      <c r="P3834" s="9">
        <v>0</v>
      </c>
      <c r="Q3834" s="9">
        <v>0</v>
      </c>
      <c r="R3834" s="2"/>
    </row>
    <row r="3835" spans="1:18" x14ac:dyDescent="0.25">
      <c r="A3835" s="2" t="s">
        <v>16776</v>
      </c>
      <c r="B3835" s="6">
        <v>46204</v>
      </c>
      <c r="C3835" s="8">
        <v>46205</v>
      </c>
      <c r="D3835" s="2" t="s">
        <v>136</v>
      </c>
      <c r="E3835" s="2" t="s">
        <v>48</v>
      </c>
      <c r="F3835" s="2"/>
      <c r="G3835" s="2" t="s">
        <v>16777</v>
      </c>
      <c r="H3835" s="2" t="s">
        <v>39</v>
      </c>
      <c r="I3835" s="9">
        <v>0</v>
      </c>
      <c r="J3835" s="7">
        <v>1</v>
      </c>
      <c r="K3835" s="9">
        <v>0</v>
      </c>
      <c r="L3835" s="14">
        <v>86.430638519485385</v>
      </c>
      <c r="M3835" s="2" t="s">
        <v>71</v>
      </c>
      <c r="N3835" s="2" t="s">
        <v>16775</v>
      </c>
      <c r="O3835" s="2"/>
      <c r="P3835" s="9">
        <v>0</v>
      </c>
      <c r="Q3835" s="9">
        <v>0</v>
      </c>
      <c r="R3835" s="2"/>
    </row>
    <row r="3836" spans="1:18" x14ac:dyDescent="0.25">
      <c r="A3836" s="2" t="s">
        <v>16778</v>
      </c>
      <c r="B3836" s="6">
        <v>46204</v>
      </c>
      <c r="C3836" s="8">
        <v>46206</v>
      </c>
      <c r="D3836" s="2" t="s">
        <v>136</v>
      </c>
      <c r="E3836" s="2" t="s">
        <v>48</v>
      </c>
      <c r="F3836" s="2"/>
      <c r="G3836" s="2" t="s">
        <v>16779</v>
      </c>
      <c r="H3836" s="2" t="s">
        <v>39</v>
      </c>
      <c r="I3836" s="9">
        <v>0</v>
      </c>
      <c r="J3836" s="7">
        <v>1</v>
      </c>
      <c r="K3836" s="9">
        <v>0</v>
      </c>
      <c r="L3836" s="14">
        <v>87.97691838746465</v>
      </c>
      <c r="M3836" s="2" t="s">
        <v>71</v>
      </c>
      <c r="N3836" s="2" t="s">
        <v>16775</v>
      </c>
      <c r="O3836" s="2"/>
      <c r="P3836" s="9">
        <v>0</v>
      </c>
      <c r="Q3836" s="9">
        <v>0</v>
      </c>
      <c r="R3836" s="2"/>
    </row>
    <row r="3837" spans="1:18" x14ac:dyDescent="0.25">
      <c r="A3837" s="2" t="s">
        <v>16780</v>
      </c>
      <c r="B3837" s="6">
        <v>46204</v>
      </c>
      <c r="C3837" s="8">
        <v>46207</v>
      </c>
      <c r="D3837" s="2" t="s">
        <v>136</v>
      </c>
      <c r="E3837" s="2" t="s">
        <v>48</v>
      </c>
      <c r="F3837" s="2"/>
      <c r="G3837" s="2" t="s">
        <v>16781</v>
      </c>
      <c r="H3837" s="2" t="s">
        <v>39</v>
      </c>
      <c r="I3837" s="9">
        <v>0</v>
      </c>
      <c r="J3837" s="7">
        <v>1</v>
      </c>
      <c r="K3837" s="9">
        <v>0</v>
      </c>
      <c r="L3837" s="14">
        <v>89.370050398995915</v>
      </c>
      <c r="M3837" s="2" t="s">
        <v>71</v>
      </c>
      <c r="N3837" s="2" t="s">
        <v>16775</v>
      </c>
      <c r="O3837" s="2"/>
      <c r="P3837" s="9">
        <v>0</v>
      </c>
      <c r="Q3837" s="9">
        <v>0</v>
      </c>
      <c r="R3837" s="2"/>
    </row>
    <row r="3838" spans="1:18" x14ac:dyDescent="0.25">
      <c r="A3838" s="2" t="s">
        <v>16782</v>
      </c>
      <c r="B3838" s="6">
        <v>46204</v>
      </c>
      <c r="C3838" s="8">
        <v>46208</v>
      </c>
      <c r="D3838" s="2" t="s">
        <v>136</v>
      </c>
      <c r="E3838" s="2" t="s">
        <v>48</v>
      </c>
      <c r="F3838" s="2"/>
      <c r="G3838" s="2" t="s">
        <v>16783</v>
      </c>
      <c r="H3838" s="2" t="s">
        <v>39</v>
      </c>
      <c r="I3838" s="9">
        <v>0</v>
      </c>
      <c r="J3838" s="7">
        <v>1</v>
      </c>
      <c r="K3838" s="9">
        <v>0</v>
      </c>
      <c r="L3838" s="14">
        <v>90.449651660807262</v>
      </c>
      <c r="M3838" s="2" t="s">
        <v>71</v>
      </c>
      <c r="N3838" s="2" t="s">
        <v>16775</v>
      </c>
      <c r="O3838" s="2"/>
      <c r="P3838" s="9">
        <v>0</v>
      </c>
      <c r="Q3838" s="9">
        <v>0</v>
      </c>
      <c r="R3838" s="2"/>
    </row>
    <row r="3839" spans="1:18" x14ac:dyDescent="0.25">
      <c r="A3839" s="2" t="s">
        <v>16784</v>
      </c>
      <c r="B3839" s="6">
        <v>46204</v>
      </c>
      <c r="C3839" s="8">
        <v>46209</v>
      </c>
      <c r="D3839" s="2" t="s">
        <v>136</v>
      </c>
      <c r="E3839" s="2" t="s">
        <v>48</v>
      </c>
      <c r="F3839" s="2"/>
      <c r="G3839" s="2" t="s">
        <v>16785</v>
      </c>
      <c r="H3839" s="2" t="s">
        <v>39</v>
      </c>
      <c r="I3839" s="9">
        <v>0</v>
      </c>
      <c r="J3839" s="7">
        <v>1</v>
      </c>
      <c r="K3839" s="9">
        <v>0</v>
      </c>
      <c r="L3839" s="14">
        <v>91.053027936735361</v>
      </c>
      <c r="M3839" s="2" t="s">
        <v>71</v>
      </c>
      <c r="N3839" s="2" t="s">
        <v>16775</v>
      </c>
      <c r="O3839" s="2"/>
      <c r="P3839" s="9">
        <v>0</v>
      </c>
      <c r="Q3839" s="9">
        <v>0</v>
      </c>
      <c r="R3839" s="2"/>
    </row>
    <row r="3840" spans="1:18" x14ac:dyDescent="0.25">
      <c r="A3840" s="2" t="s">
        <v>16786</v>
      </c>
      <c r="B3840" s="6">
        <v>46204</v>
      </c>
      <c r="C3840" s="8">
        <v>46210</v>
      </c>
      <c r="D3840" s="2" t="s">
        <v>136</v>
      </c>
      <c r="E3840" s="2" t="s">
        <v>48</v>
      </c>
      <c r="F3840" s="2"/>
      <c r="G3840" s="2" t="s">
        <v>16787</v>
      </c>
      <c r="H3840" s="2" t="s">
        <v>39</v>
      </c>
      <c r="I3840" s="9">
        <v>0</v>
      </c>
      <c r="J3840" s="7">
        <v>1</v>
      </c>
      <c r="K3840" s="9">
        <v>0</v>
      </c>
      <c r="L3840" s="14">
        <v>91.249689719575017</v>
      </c>
      <c r="M3840" s="2" t="s">
        <v>71</v>
      </c>
      <c r="N3840" s="2" t="s">
        <v>16775</v>
      </c>
      <c r="O3840" s="2"/>
      <c r="P3840" s="9">
        <v>0</v>
      </c>
      <c r="Q3840" s="9">
        <v>0</v>
      </c>
      <c r="R3840" s="2"/>
    </row>
    <row r="3841" spans="1:18" x14ac:dyDescent="0.25">
      <c r="A3841" s="2" t="s">
        <v>16788</v>
      </c>
      <c r="B3841" s="6">
        <v>46204</v>
      </c>
      <c r="C3841" s="8">
        <v>46211</v>
      </c>
      <c r="D3841" s="2" t="s">
        <v>136</v>
      </c>
      <c r="E3841" s="2" t="s">
        <v>48</v>
      </c>
      <c r="F3841" s="2"/>
      <c r="G3841" s="2" t="s">
        <v>16789</v>
      </c>
      <c r="H3841" s="2" t="s">
        <v>39</v>
      </c>
      <c r="I3841" s="9">
        <v>0</v>
      </c>
      <c r="J3841" s="7">
        <v>1</v>
      </c>
      <c r="K3841" s="9">
        <v>0</v>
      </c>
      <c r="L3841" s="14">
        <v>90.983657171085127</v>
      </c>
      <c r="M3841" s="2" t="s">
        <v>71</v>
      </c>
      <c r="N3841" s="2" t="s">
        <v>16775</v>
      </c>
      <c r="O3841" s="2"/>
      <c r="P3841" s="9">
        <v>0</v>
      </c>
      <c r="Q3841" s="9">
        <v>0</v>
      </c>
      <c r="R3841" s="2"/>
    </row>
    <row r="3842" spans="1:18" x14ac:dyDescent="0.25">
      <c r="A3842" s="2" t="s">
        <v>16790</v>
      </c>
      <c r="B3842" s="6">
        <v>46204</v>
      </c>
      <c r="C3842" s="8">
        <v>46212</v>
      </c>
      <c r="D3842" s="2" t="s">
        <v>136</v>
      </c>
      <c r="E3842" s="2" t="s">
        <v>48</v>
      </c>
      <c r="F3842" s="2"/>
      <c r="G3842" s="2" t="s">
        <v>16791</v>
      </c>
      <c r="H3842" s="2" t="s">
        <v>39</v>
      </c>
      <c r="I3842" s="9">
        <v>0</v>
      </c>
      <c r="J3842" s="7">
        <v>1</v>
      </c>
      <c r="K3842" s="9">
        <v>0</v>
      </c>
      <c r="L3842" s="14">
        <v>90.236032712587289</v>
      </c>
      <c r="M3842" s="2" t="s">
        <v>71</v>
      </c>
      <c r="N3842" s="2" t="s">
        <v>16775</v>
      </c>
      <c r="O3842" s="2"/>
      <c r="P3842" s="9">
        <v>0</v>
      </c>
      <c r="Q3842" s="9">
        <v>0</v>
      </c>
      <c r="R3842" s="2"/>
    </row>
    <row r="3843" spans="1:18" x14ac:dyDescent="0.25">
      <c r="A3843" s="2" t="s">
        <v>16792</v>
      </c>
      <c r="B3843" s="6">
        <v>46204</v>
      </c>
      <c r="C3843" s="8">
        <v>46213</v>
      </c>
      <c r="D3843" s="2" t="s">
        <v>136</v>
      </c>
      <c r="E3843" s="2" t="s">
        <v>48</v>
      </c>
      <c r="F3843" s="2"/>
      <c r="G3843" s="2" t="s">
        <v>16793</v>
      </c>
      <c r="H3843" s="2" t="s">
        <v>39</v>
      </c>
      <c r="I3843" s="9">
        <v>0</v>
      </c>
      <c r="J3843" s="7">
        <v>1</v>
      </c>
      <c r="K3843" s="9">
        <v>0</v>
      </c>
      <c r="L3843" s="14">
        <v>89.051504878708613</v>
      </c>
      <c r="M3843" s="2" t="s">
        <v>71</v>
      </c>
      <c r="N3843" s="2" t="s">
        <v>16775</v>
      </c>
      <c r="O3843" s="2"/>
      <c r="P3843" s="9">
        <v>0</v>
      </c>
      <c r="Q3843" s="9">
        <v>0</v>
      </c>
      <c r="R3843" s="2"/>
    </row>
    <row r="3844" spans="1:18" x14ac:dyDescent="0.25">
      <c r="A3844" s="2" t="s">
        <v>16794</v>
      </c>
      <c r="B3844" s="6">
        <v>46204</v>
      </c>
      <c r="C3844" s="8">
        <v>46214</v>
      </c>
      <c r="D3844" s="2" t="s">
        <v>136</v>
      </c>
      <c r="E3844" s="2" t="s">
        <v>48</v>
      </c>
      <c r="F3844" s="2"/>
      <c r="G3844" s="2" t="s">
        <v>16795</v>
      </c>
      <c r="H3844" s="2" t="s">
        <v>39</v>
      </c>
      <c r="I3844" s="9">
        <v>0</v>
      </c>
      <c r="J3844" s="7">
        <v>1</v>
      </c>
      <c r="K3844" s="9">
        <v>0</v>
      </c>
      <c r="L3844" s="14">
        <v>87.769394204830505</v>
      </c>
      <c r="M3844" s="2" t="s">
        <v>71</v>
      </c>
      <c r="N3844" s="2" t="s">
        <v>16775</v>
      </c>
      <c r="O3844" s="2"/>
      <c r="P3844" s="9">
        <v>0</v>
      </c>
      <c r="Q3844" s="9">
        <v>0</v>
      </c>
      <c r="R3844" s="2"/>
    </row>
    <row r="3845" spans="1:18" x14ac:dyDescent="0.25">
      <c r="A3845" s="2" t="s">
        <v>16796</v>
      </c>
      <c r="B3845" s="6">
        <v>46204</v>
      </c>
      <c r="C3845" s="8">
        <v>46215</v>
      </c>
      <c r="D3845" s="2" t="s">
        <v>136</v>
      </c>
      <c r="E3845" s="2" t="s">
        <v>48</v>
      </c>
      <c r="F3845" s="2"/>
      <c r="G3845" s="2" t="s">
        <v>16797</v>
      </c>
      <c r="H3845" s="2" t="s">
        <v>39</v>
      </c>
      <c r="I3845" s="9">
        <v>0</v>
      </c>
      <c r="J3845" s="7">
        <v>1</v>
      </c>
      <c r="K3845" s="9">
        <v>0</v>
      </c>
      <c r="L3845" s="14">
        <v>86.433606329180535</v>
      </c>
      <c r="M3845" s="2" t="s">
        <v>71</v>
      </c>
      <c r="N3845" s="2" t="s">
        <v>16775</v>
      </c>
      <c r="O3845" s="2"/>
      <c r="P3845" s="9">
        <v>0</v>
      </c>
      <c r="Q3845" s="9">
        <v>0</v>
      </c>
      <c r="R3845" s="2"/>
    </row>
    <row r="3846" spans="1:18" x14ac:dyDescent="0.25">
      <c r="A3846" s="2" t="s">
        <v>16798</v>
      </c>
      <c r="B3846" s="6">
        <v>46204</v>
      </c>
      <c r="C3846" s="8">
        <v>46216</v>
      </c>
      <c r="D3846" s="2" t="s">
        <v>136</v>
      </c>
      <c r="E3846" s="2" t="s">
        <v>48</v>
      </c>
      <c r="F3846" s="2"/>
      <c r="G3846" s="2" t="s">
        <v>16799</v>
      </c>
      <c r="H3846" s="2" t="s">
        <v>39</v>
      </c>
      <c r="I3846" s="9">
        <v>0</v>
      </c>
      <c r="J3846" s="7">
        <v>1</v>
      </c>
      <c r="K3846" s="9">
        <v>0</v>
      </c>
      <c r="L3846" s="14">
        <v>85.118341098124432</v>
      </c>
      <c r="M3846" s="2" t="s">
        <v>71</v>
      </c>
      <c r="N3846" s="2" t="s">
        <v>16775</v>
      </c>
      <c r="O3846" s="2"/>
      <c r="P3846" s="9">
        <v>0</v>
      </c>
      <c r="Q3846" s="9">
        <v>0</v>
      </c>
      <c r="R3846" s="2"/>
    </row>
    <row r="3847" spans="1:18" x14ac:dyDescent="0.25">
      <c r="A3847" s="2" t="s">
        <v>16800</v>
      </c>
      <c r="B3847" s="6">
        <v>46204</v>
      </c>
      <c r="C3847" s="8">
        <v>46217</v>
      </c>
      <c r="D3847" s="2" t="s">
        <v>136</v>
      </c>
      <c r="E3847" s="2" t="s">
        <v>48</v>
      </c>
      <c r="F3847" s="2"/>
      <c r="G3847" s="2" t="s">
        <v>16801</v>
      </c>
      <c r="H3847" s="2" t="s">
        <v>39</v>
      </c>
      <c r="I3847" s="9">
        <v>0</v>
      </c>
      <c r="J3847" s="7">
        <v>1</v>
      </c>
      <c r="K3847" s="9">
        <v>0</v>
      </c>
      <c r="L3847" s="14">
        <v>84.028583010372657</v>
      </c>
      <c r="M3847" s="2" t="s">
        <v>71</v>
      </c>
      <c r="N3847" s="2" t="s">
        <v>16775</v>
      </c>
      <c r="O3847" s="2"/>
      <c r="P3847" s="9">
        <v>0</v>
      </c>
      <c r="Q3847" s="9">
        <v>0</v>
      </c>
      <c r="R3847" s="2"/>
    </row>
    <row r="3848" spans="1:18" x14ac:dyDescent="0.25">
      <c r="A3848" s="2" t="s">
        <v>16802</v>
      </c>
      <c r="B3848" s="6">
        <v>46204</v>
      </c>
      <c r="C3848" s="8">
        <v>46218</v>
      </c>
      <c r="D3848" s="2" t="s">
        <v>136</v>
      </c>
      <c r="E3848" s="2" t="s">
        <v>48</v>
      </c>
      <c r="F3848" s="2"/>
      <c r="G3848" s="2" t="s">
        <v>16803</v>
      </c>
      <c r="H3848" s="2" t="s">
        <v>39</v>
      </c>
      <c r="I3848" s="9">
        <v>0</v>
      </c>
      <c r="J3848" s="7">
        <v>1</v>
      </c>
      <c r="K3848" s="9">
        <v>0</v>
      </c>
      <c r="L3848" s="14">
        <v>83.279365964643546</v>
      </c>
      <c r="M3848" s="2" t="s">
        <v>71</v>
      </c>
      <c r="N3848" s="2" t="s">
        <v>16775</v>
      </c>
      <c r="O3848" s="2"/>
      <c r="P3848" s="9">
        <v>0</v>
      </c>
      <c r="Q3848" s="9">
        <v>0</v>
      </c>
      <c r="R3848" s="2"/>
    </row>
    <row r="3849" spans="1:18" x14ac:dyDescent="0.25">
      <c r="A3849" s="2" t="s">
        <v>16804</v>
      </c>
      <c r="B3849" s="6">
        <v>46204</v>
      </c>
      <c r="C3849" s="8">
        <v>46219</v>
      </c>
      <c r="D3849" s="2" t="s">
        <v>136</v>
      </c>
      <c r="E3849" s="2" t="s">
        <v>48</v>
      </c>
      <c r="F3849" s="2"/>
      <c r="G3849" s="2" t="s">
        <v>16805</v>
      </c>
      <c r="H3849" s="2" t="s">
        <v>39</v>
      </c>
      <c r="I3849" s="9">
        <v>0</v>
      </c>
      <c r="J3849" s="7">
        <v>1</v>
      </c>
      <c r="K3849" s="9">
        <v>0</v>
      </c>
      <c r="L3849" s="14">
        <v>82.863616944585431</v>
      </c>
      <c r="M3849" s="2" t="s">
        <v>71</v>
      </c>
      <c r="N3849" s="2" t="s">
        <v>16775</v>
      </c>
      <c r="O3849" s="2"/>
      <c r="P3849" s="9">
        <v>0</v>
      </c>
      <c r="Q3849" s="9">
        <v>0</v>
      </c>
      <c r="R3849" s="2"/>
    </row>
    <row r="3850" spans="1:18" x14ac:dyDescent="0.25">
      <c r="A3850" s="2" t="s">
        <v>16806</v>
      </c>
      <c r="B3850" s="6">
        <v>46204</v>
      </c>
      <c r="C3850" s="8">
        <v>46220</v>
      </c>
      <c r="D3850" s="2" t="s">
        <v>136</v>
      </c>
      <c r="E3850" s="2" t="s">
        <v>48</v>
      </c>
      <c r="F3850" s="2"/>
      <c r="G3850" s="2" t="s">
        <v>16807</v>
      </c>
      <c r="H3850" s="2" t="s">
        <v>39</v>
      </c>
      <c r="I3850" s="9">
        <v>0</v>
      </c>
      <c r="J3850" s="7">
        <v>1</v>
      </c>
      <c r="K3850" s="9">
        <v>0</v>
      </c>
      <c r="L3850" s="14">
        <v>82.814400189499068</v>
      </c>
      <c r="M3850" s="2" t="s">
        <v>71</v>
      </c>
      <c r="N3850" s="2" t="s">
        <v>16775</v>
      </c>
      <c r="O3850" s="2"/>
      <c r="P3850" s="9">
        <v>0</v>
      </c>
      <c r="Q3850" s="9">
        <v>0</v>
      </c>
      <c r="R3850" s="2"/>
    </row>
    <row r="3851" spans="1:18" x14ac:dyDescent="0.25">
      <c r="A3851" s="2" t="s">
        <v>16808</v>
      </c>
      <c r="B3851" s="6">
        <v>46204</v>
      </c>
      <c r="C3851" s="8">
        <v>46221</v>
      </c>
      <c r="D3851" s="2" t="s">
        <v>136</v>
      </c>
      <c r="E3851" s="2" t="s">
        <v>48</v>
      </c>
      <c r="F3851" s="2"/>
      <c r="G3851" s="2" t="s">
        <v>16809</v>
      </c>
      <c r="H3851" s="2" t="s">
        <v>39</v>
      </c>
      <c r="I3851" s="9">
        <v>0</v>
      </c>
      <c r="J3851" s="7">
        <v>1</v>
      </c>
      <c r="K3851" s="9">
        <v>0</v>
      </c>
      <c r="L3851" s="14">
        <v>83.014520228812486</v>
      </c>
      <c r="M3851" s="2" t="s">
        <v>71</v>
      </c>
      <c r="N3851" s="2" t="s">
        <v>16775</v>
      </c>
      <c r="O3851" s="2"/>
      <c r="P3851" s="9">
        <v>0</v>
      </c>
      <c r="Q3851" s="9">
        <v>0</v>
      </c>
      <c r="R3851" s="2"/>
    </row>
    <row r="3852" spans="1:18" x14ac:dyDescent="0.25">
      <c r="A3852" s="2" t="s">
        <v>16810</v>
      </c>
      <c r="B3852" s="6">
        <v>46204</v>
      </c>
      <c r="C3852" s="8">
        <v>46222</v>
      </c>
      <c r="D3852" s="2" t="s">
        <v>136</v>
      </c>
      <c r="E3852" s="2" t="s">
        <v>48</v>
      </c>
      <c r="F3852" s="2"/>
      <c r="G3852" s="2" t="s">
        <v>16811</v>
      </c>
      <c r="H3852" s="2" t="s">
        <v>39</v>
      </c>
      <c r="I3852" s="9">
        <v>0</v>
      </c>
      <c r="J3852" s="7">
        <v>1</v>
      </c>
      <c r="K3852" s="9">
        <v>0</v>
      </c>
      <c r="L3852" s="14">
        <v>83.442219427379257</v>
      </c>
      <c r="M3852" s="2" t="s">
        <v>71</v>
      </c>
      <c r="N3852" s="2" t="s">
        <v>16775</v>
      </c>
      <c r="O3852" s="2"/>
      <c r="P3852" s="9">
        <v>0</v>
      </c>
      <c r="Q3852" s="9">
        <v>0</v>
      </c>
      <c r="R3852" s="2"/>
    </row>
    <row r="3853" spans="1:18" x14ac:dyDescent="0.25">
      <c r="A3853" s="2" t="s">
        <v>16812</v>
      </c>
      <c r="B3853" s="6">
        <v>46204</v>
      </c>
      <c r="C3853" s="8">
        <v>46223</v>
      </c>
      <c r="D3853" s="2" t="s">
        <v>136</v>
      </c>
      <c r="E3853" s="2" t="s">
        <v>48</v>
      </c>
      <c r="F3853" s="2"/>
      <c r="G3853" s="2" t="s">
        <v>16813</v>
      </c>
      <c r="H3853" s="2" t="s">
        <v>39</v>
      </c>
      <c r="I3853" s="9">
        <v>0</v>
      </c>
      <c r="J3853" s="7">
        <v>1</v>
      </c>
      <c r="K3853" s="9">
        <v>0</v>
      </c>
      <c r="L3853" s="14">
        <v>83.930899069135577</v>
      </c>
      <c r="M3853" s="2" t="s">
        <v>71</v>
      </c>
      <c r="N3853" s="2" t="s">
        <v>16775</v>
      </c>
      <c r="O3853" s="2"/>
      <c r="P3853" s="9">
        <v>0</v>
      </c>
      <c r="Q3853" s="9">
        <v>0</v>
      </c>
      <c r="R3853" s="2"/>
    </row>
    <row r="3854" spans="1:18" x14ac:dyDescent="0.25">
      <c r="A3854" s="2" t="s">
        <v>16814</v>
      </c>
      <c r="B3854" s="6">
        <v>46204</v>
      </c>
      <c r="C3854" s="8">
        <v>46224</v>
      </c>
      <c r="D3854" s="2" t="s">
        <v>136</v>
      </c>
      <c r="E3854" s="2" t="s">
        <v>48</v>
      </c>
      <c r="F3854" s="2"/>
      <c r="G3854" s="2" t="s">
        <v>16815</v>
      </c>
      <c r="H3854" s="2" t="s">
        <v>39</v>
      </c>
      <c r="I3854" s="9">
        <v>0</v>
      </c>
      <c r="J3854" s="7">
        <v>1</v>
      </c>
      <c r="K3854" s="9">
        <v>0</v>
      </c>
      <c r="L3854" s="14">
        <v>84.443702062272351</v>
      </c>
      <c r="M3854" s="2" t="s">
        <v>71</v>
      </c>
      <c r="N3854" s="2" t="s">
        <v>16775</v>
      </c>
      <c r="O3854" s="2"/>
      <c r="P3854" s="9">
        <v>0</v>
      </c>
      <c r="Q3854" s="9">
        <v>0</v>
      </c>
      <c r="R3854" s="2"/>
    </row>
    <row r="3855" spans="1:18" x14ac:dyDescent="0.25">
      <c r="A3855" s="2" t="s">
        <v>16816</v>
      </c>
      <c r="B3855" s="6">
        <v>46204</v>
      </c>
      <c r="C3855" s="8">
        <v>46225</v>
      </c>
      <c r="D3855" s="2" t="s">
        <v>136</v>
      </c>
      <c r="E3855" s="2" t="s">
        <v>48</v>
      </c>
      <c r="F3855" s="2"/>
      <c r="G3855" s="2" t="s">
        <v>16817</v>
      </c>
      <c r="H3855" s="2" t="s">
        <v>39</v>
      </c>
      <c r="I3855" s="9">
        <v>0</v>
      </c>
      <c r="J3855" s="7">
        <v>1</v>
      </c>
      <c r="K3855" s="9">
        <v>0</v>
      </c>
      <c r="L3855" s="14">
        <v>74.202138974379864</v>
      </c>
      <c r="M3855" s="2" t="s">
        <v>71</v>
      </c>
      <c r="N3855" s="2" t="s">
        <v>16775</v>
      </c>
      <c r="O3855" s="2"/>
      <c r="P3855" s="9">
        <v>0</v>
      </c>
      <c r="Q3855" s="9">
        <v>0</v>
      </c>
      <c r="R3855" s="2"/>
    </row>
    <row r="3856" spans="1:18" x14ac:dyDescent="0.25">
      <c r="A3856" s="2" t="s">
        <v>16818</v>
      </c>
      <c r="B3856" s="6">
        <v>46204</v>
      </c>
      <c r="C3856" s="8">
        <v>46226</v>
      </c>
      <c r="D3856" s="2" t="s">
        <v>136</v>
      </c>
      <c r="E3856" s="2" t="s">
        <v>48</v>
      </c>
      <c r="F3856" s="2"/>
      <c r="G3856" s="2" t="s">
        <v>16819</v>
      </c>
      <c r="H3856" s="2" t="s">
        <v>39</v>
      </c>
      <c r="I3856" s="9">
        <v>0</v>
      </c>
      <c r="J3856" s="7">
        <v>1</v>
      </c>
      <c r="K3856" s="9">
        <v>0</v>
      </c>
      <c r="L3856" s="14">
        <v>85.175102289529249</v>
      </c>
      <c r="M3856" s="2" t="s">
        <v>71</v>
      </c>
      <c r="N3856" s="2" t="s">
        <v>16775</v>
      </c>
      <c r="O3856" s="2"/>
      <c r="P3856" s="9">
        <v>0</v>
      </c>
      <c r="Q3856" s="9">
        <v>0</v>
      </c>
      <c r="R3856" s="2"/>
    </row>
    <row r="3857" spans="1:18" x14ac:dyDescent="0.25">
      <c r="A3857" s="2" t="s">
        <v>16820</v>
      </c>
      <c r="B3857" s="6">
        <v>46204</v>
      </c>
      <c r="C3857" s="8">
        <v>46227</v>
      </c>
      <c r="D3857" s="2" t="s">
        <v>136</v>
      </c>
      <c r="E3857" s="2" t="s">
        <v>48</v>
      </c>
      <c r="F3857" s="2"/>
      <c r="G3857" s="2" t="s">
        <v>16821</v>
      </c>
      <c r="H3857" s="2" t="s">
        <v>39</v>
      </c>
      <c r="I3857" s="9">
        <v>0</v>
      </c>
      <c r="J3857" s="7">
        <v>1</v>
      </c>
      <c r="K3857" s="9">
        <v>0</v>
      </c>
      <c r="L3857" s="14">
        <v>85.240780381182333</v>
      </c>
      <c r="M3857" s="2" t="s">
        <v>71</v>
      </c>
      <c r="N3857" s="2" t="s">
        <v>16775</v>
      </c>
      <c r="O3857" s="2"/>
      <c r="P3857" s="9">
        <v>0</v>
      </c>
      <c r="Q3857" s="9">
        <v>0</v>
      </c>
      <c r="R3857" s="2"/>
    </row>
    <row r="3858" spans="1:18" x14ac:dyDescent="0.25">
      <c r="A3858" s="2" t="s">
        <v>16822</v>
      </c>
      <c r="B3858" s="6">
        <v>46204</v>
      </c>
      <c r="C3858" s="8">
        <v>46228</v>
      </c>
      <c r="D3858" s="2" t="s">
        <v>136</v>
      </c>
      <c r="E3858" s="2" t="s">
        <v>48</v>
      </c>
      <c r="F3858" s="2"/>
      <c r="G3858" s="2" t="s">
        <v>16823</v>
      </c>
      <c r="H3858" s="2" t="s">
        <v>39</v>
      </c>
      <c r="I3858" s="9">
        <v>0</v>
      </c>
      <c r="J3858" s="7">
        <v>1</v>
      </c>
      <c r="K3858" s="9">
        <v>0</v>
      </c>
      <c r="L3858" s="14">
        <v>85.185264844732728</v>
      </c>
      <c r="M3858" s="2" t="s">
        <v>71</v>
      </c>
      <c r="N3858" s="2" t="s">
        <v>16775</v>
      </c>
      <c r="O3858" s="2"/>
      <c r="P3858" s="9">
        <v>0</v>
      </c>
      <c r="Q3858" s="9">
        <v>0</v>
      </c>
      <c r="R3858" s="2"/>
    </row>
    <row r="3859" spans="1:18" x14ac:dyDescent="0.25">
      <c r="A3859" s="2" t="s">
        <v>16824</v>
      </c>
      <c r="B3859" s="6">
        <v>46204</v>
      </c>
      <c r="C3859" s="8">
        <v>46229</v>
      </c>
      <c r="D3859" s="2" t="s">
        <v>136</v>
      </c>
      <c r="E3859" s="2" t="s">
        <v>48</v>
      </c>
      <c r="F3859" s="2"/>
      <c r="G3859" s="2" t="s">
        <v>16825</v>
      </c>
      <c r="H3859" s="2" t="s">
        <v>39</v>
      </c>
      <c r="I3859" s="9">
        <v>0</v>
      </c>
      <c r="J3859" s="7">
        <v>1</v>
      </c>
      <c r="K3859" s="9">
        <v>0</v>
      </c>
      <c r="L3859" s="14">
        <v>84.847634139730644</v>
      </c>
      <c r="M3859" s="2" t="s">
        <v>71</v>
      </c>
      <c r="N3859" s="2" t="s">
        <v>16775</v>
      </c>
      <c r="O3859" s="2"/>
      <c r="P3859" s="9">
        <v>0</v>
      </c>
      <c r="Q3859" s="9">
        <v>0</v>
      </c>
      <c r="R3859" s="2"/>
    </row>
    <row r="3860" spans="1:18" x14ac:dyDescent="0.25">
      <c r="A3860" s="2" t="s">
        <v>16826</v>
      </c>
      <c r="B3860" s="6">
        <v>46204</v>
      </c>
      <c r="C3860" s="8">
        <v>46230</v>
      </c>
      <c r="D3860" s="2" t="s">
        <v>136</v>
      </c>
      <c r="E3860" s="2" t="s">
        <v>48</v>
      </c>
      <c r="F3860" s="2"/>
      <c r="G3860" s="2" t="s">
        <v>16827</v>
      </c>
      <c r="H3860" s="2" t="s">
        <v>39</v>
      </c>
      <c r="I3860" s="9">
        <v>0</v>
      </c>
      <c r="J3860" s="7">
        <v>1</v>
      </c>
      <c r="K3860" s="9">
        <v>0</v>
      </c>
      <c r="L3860" s="14">
        <v>84.472967215034942</v>
      </c>
      <c r="M3860" s="2" t="s">
        <v>71</v>
      </c>
      <c r="N3860" s="2" t="s">
        <v>16775</v>
      </c>
      <c r="O3860" s="2"/>
      <c r="P3860" s="9">
        <v>0</v>
      </c>
      <c r="Q3860" s="9">
        <v>0</v>
      </c>
      <c r="R3860" s="2"/>
    </row>
    <row r="3861" spans="1:18" x14ac:dyDescent="0.25">
      <c r="A3861" s="2" t="s">
        <v>16828</v>
      </c>
      <c r="B3861" s="6">
        <v>46204</v>
      </c>
      <c r="C3861" s="8">
        <v>46231</v>
      </c>
      <c r="D3861" s="2" t="s">
        <v>136</v>
      </c>
      <c r="E3861" s="2" t="s">
        <v>48</v>
      </c>
      <c r="F3861" s="2"/>
      <c r="G3861" s="2" t="s">
        <v>16829</v>
      </c>
      <c r="H3861" s="2" t="s">
        <v>39</v>
      </c>
      <c r="I3861" s="9">
        <v>0</v>
      </c>
      <c r="J3861" s="7">
        <v>1</v>
      </c>
      <c r="K3861" s="9">
        <v>0</v>
      </c>
      <c r="L3861" s="14">
        <v>84.033090731515912</v>
      </c>
      <c r="M3861" s="2" t="s">
        <v>71</v>
      </c>
      <c r="N3861" s="2" t="s">
        <v>16775</v>
      </c>
      <c r="O3861" s="2"/>
      <c r="P3861" s="9">
        <v>0</v>
      </c>
      <c r="Q3861" s="9">
        <v>0</v>
      </c>
      <c r="R3861" s="2"/>
    </row>
    <row r="3862" spans="1:18" x14ac:dyDescent="0.25">
      <c r="A3862" s="2" t="s">
        <v>16830</v>
      </c>
      <c r="B3862" s="6">
        <v>46204</v>
      </c>
      <c r="C3862" s="8">
        <v>46232</v>
      </c>
      <c r="D3862" s="2" t="s">
        <v>136</v>
      </c>
      <c r="E3862" s="2" t="s">
        <v>48</v>
      </c>
      <c r="F3862" s="2"/>
      <c r="G3862" s="2" t="s">
        <v>16831</v>
      </c>
      <c r="H3862" s="2" t="s">
        <v>39</v>
      </c>
      <c r="I3862" s="9">
        <v>0</v>
      </c>
      <c r="J3862" s="7">
        <v>1</v>
      </c>
      <c r="K3862" s="9">
        <v>0</v>
      </c>
      <c r="L3862" s="14">
        <v>83.674633946388909</v>
      </c>
      <c r="M3862" s="2" t="s">
        <v>71</v>
      </c>
      <c r="N3862" s="2" t="s">
        <v>16775</v>
      </c>
      <c r="O3862" s="2"/>
      <c r="P3862" s="9">
        <v>0</v>
      </c>
      <c r="Q3862" s="9">
        <v>0</v>
      </c>
      <c r="R3862" s="2"/>
    </row>
    <row r="3863" spans="1:18" x14ac:dyDescent="0.25">
      <c r="A3863" s="2" t="s">
        <v>16832</v>
      </c>
      <c r="B3863" s="6">
        <v>46204</v>
      </c>
      <c r="C3863" s="8">
        <v>46233</v>
      </c>
      <c r="D3863" s="2" t="s">
        <v>136</v>
      </c>
      <c r="E3863" s="2" t="s">
        <v>48</v>
      </c>
      <c r="F3863" s="2"/>
      <c r="G3863" s="2" t="s">
        <v>16833</v>
      </c>
      <c r="H3863" s="2" t="s">
        <v>39</v>
      </c>
      <c r="I3863" s="9">
        <v>0</v>
      </c>
      <c r="J3863" s="7">
        <v>1</v>
      </c>
      <c r="K3863" s="9">
        <v>0</v>
      </c>
      <c r="L3863" s="14">
        <v>83.517432083348311</v>
      </c>
      <c r="M3863" s="2" t="s">
        <v>71</v>
      </c>
      <c r="N3863" s="2" t="s">
        <v>16775</v>
      </c>
      <c r="O3863" s="2"/>
      <c r="P3863" s="9">
        <v>0</v>
      </c>
      <c r="Q3863" s="9">
        <v>0</v>
      </c>
      <c r="R3863" s="2"/>
    </row>
    <row r="3864" spans="1:18" x14ac:dyDescent="0.25">
      <c r="A3864" s="2" t="s">
        <v>16834</v>
      </c>
      <c r="B3864" s="6">
        <v>46204</v>
      </c>
      <c r="C3864" s="8">
        <v>46234</v>
      </c>
      <c r="D3864" s="2" t="s">
        <v>136</v>
      </c>
      <c r="E3864" s="2" t="s">
        <v>48</v>
      </c>
      <c r="F3864" s="2"/>
      <c r="G3864" s="2" t="s">
        <v>16835</v>
      </c>
      <c r="H3864" s="2" t="s">
        <v>39</v>
      </c>
      <c r="I3864" s="9">
        <v>0</v>
      </c>
      <c r="J3864" s="7">
        <v>1</v>
      </c>
      <c r="K3864" s="9">
        <v>0</v>
      </c>
      <c r="L3864" s="14">
        <v>83.685222148541285</v>
      </c>
      <c r="M3864" s="2" t="s">
        <v>71</v>
      </c>
      <c r="N3864" s="2" t="s">
        <v>16775</v>
      </c>
      <c r="O3864" s="2"/>
      <c r="P3864" s="9">
        <v>0</v>
      </c>
      <c r="Q3864" s="9">
        <v>0</v>
      </c>
      <c r="R3864" s="2"/>
    </row>
    <row r="3865" spans="1:18" x14ac:dyDescent="0.25">
      <c r="A3865" s="2" t="s">
        <v>16836</v>
      </c>
      <c r="B3865" s="6">
        <v>46174</v>
      </c>
      <c r="C3865" s="8">
        <v>46174</v>
      </c>
      <c r="D3865" s="2" t="s">
        <v>199</v>
      </c>
      <c r="E3865" s="2" t="s">
        <v>48</v>
      </c>
      <c r="F3865" s="2"/>
      <c r="G3865" s="2" t="s">
        <v>16837</v>
      </c>
      <c r="H3865" s="2" t="s">
        <v>39</v>
      </c>
      <c r="I3865" s="9">
        <v>0</v>
      </c>
      <c r="J3865" s="7">
        <v>1</v>
      </c>
      <c r="K3865" s="9">
        <v>0</v>
      </c>
      <c r="L3865" s="14">
        <v>54.885183446758603</v>
      </c>
      <c r="M3865" s="2" t="s">
        <v>71</v>
      </c>
      <c r="N3865" s="2" t="s">
        <v>16714</v>
      </c>
      <c r="O3865" s="2"/>
      <c r="P3865" s="9">
        <v>0</v>
      </c>
      <c r="Q3865" s="9">
        <v>0</v>
      </c>
      <c r="R3865" s="2"/>
    </row>
    <row r="3866" spans="1:18" x14ac:dyDescent="0.25">
      <c r="A3866" s="2" t="s">
        <v>16838</v>
      </c>
      <c r="B3866" s="6">
        <v>46174</v>
      </c>
      <c r="C3866" s="8">
        <v>46175</v>
      </c>
      <c r="D3866" s="2" t="s">
        <v>199</v>
      </c>
      <c r="E3866" s="2" t="s">
        <v>48</v>
      </c>
      <c r="F3866" s="2"/>
      <c r="G3866" s="2" t="s">
        <v>16839</v>
      </c>
      <c r="H3866" s="2" t="s">
        <v>39</v>
      </c>
      <c r="I3866" s="9">
        <v>0</v>
      </c>
      <c r="J3866" s="7">
        <v>1</v>
      </c>
      <c r="K3866" s="9">
        <v>0</v>
      </c>
      <c r="L3866" s="14">
        <v>54.799474838774287</v>
      </c>
      <c r="M3866" s="2" t="s">
        <v>71</v>
      </c>
      <c r="N3866" s="2" t="s">
        <v>16714</v>
      </c>
      <c r="O3866" s="2"/>
      <c r="P3866" s="9">
        <v>0</v>
      </c>
      <c r="Q3866" s="9">
        <v>0</v>
      </c>
      <c r="R3866" s="2"/>
    </row>
    <row r="3867" spans="1:18" x14ac:dyDescent="0.25">
      <c r="A3867" s="2" t="s">
        <v>16840</v>
      </c>
      <c r="B3867" s="6">
        <v>46174</v>
      </c>
      <c r="C3867" s="8">
        <v>46176</v>
      </c>
      <c r="D3867" s="2" t="s">
        <v>199</v>
      </c>
      <c r="E3867" s="2" t="s">
        <v>48</v>
      </c>
      <c r="F3867" s="2"/>
      <c r="G3867" s="2" t="s">
        <v>16841</v>
      </c>
      <c r="H3867" s="2" t="s">
        <v>39</v>
      </c>
      <c r="I3867" s="9">
        <v>0</v>
      </c>
      <c r="J3867" s="7">
        <v>1</v>
      </c>
      <c r="K3867" s="9">
        <v>0</v>
      </c>
      <c r="L3867" s="14">
        <v>54.489906761806132</v>
      </c>
      <c r="M3867" s="2" t="s">
        <v>71</v>
      </c>
      <c r="N3867" s="2" t="s">
        <v>16714</v>
      </c>
      <c r="O3867" s="2"/>
      <c r="P3867" s="9">
        <v>0</v>
      </c>
      <c r="Q3867" s="9">
        <v>0</v>
      </c>
      <c r="R3867" s="2"/>
    </row>
    <row r="3868" spans="1:18" x14ac:dyDescent="0.25">
      <c r="A3868" s="2" t="s">
        <v>16842</v>
      </c>
      <c r="B3868" s="6">
        <v>46174</v>
      </c>
      <c r="C3868" s="8">
        <v>46177</v>
      </c>
      <c r="D3868" s="2" t="s">
        <v>199</v>
      </c>
      <c r="E3868" s="2" t="s">
        <v>48</v>
      </c>
      <c r="F3868" s="2"/>
      <c r="G3868" s="2" t="s">
        <v>16843</v>
      </c>
      <c r="H3868" s="2" t="s">
        <v>39</v>
      </c>
      <c r="I3868" s="9">
        <v>0</v>
      </c>
      <c r="J3868" s="7">
        <v>1</v>
      </c>
      <c r="K3868" s="9">
        <v>0</v>
      </c>
      <c r="L3868" s="14">
        <v>54.052010770705863</v>
      </c>
      <c r="M3868" s="2" t="s">
        <v>71</v>
      </c>
      <c r="N3868" s="2" t="s">
        <v>16714</v>
      </c>
      <c r="O3868" s="2"/>
      <c r="P3868" s="9">
        <v>0</v>
      </c>
      <c r="Q3868" s="9">
        <v>0</v>
      </c>
      <c r="R3868" s="2"/>
    </row>
    <row r="3869" spans="1:18" x14ac:dyDescent="0.25">
      <c r="A3869" s="2" t="s">
        <v>16844</v>
      </c>
      <c r="B3869" s="6">
        <v>46174</v>
      </c>
      <c r="C3869" s="8">
        <v>46178</v>
      </c>
      <c r="D3869" s="2" t="s">
        <v>199</v>
      </c>
      <c r="E3869" s="2" t="s">
        <v>48</v>
      </c>
      <c r="F3869" s="2"/>
      <c r="G3869" s="2" t="s">
        <v>16845</v>
      </c>
      <c r="H3869" s="2" t="s">
        <v>39</v>
      </c>
      <c r="I3869" s="9">
        <v>0</v>
      </c>
      <c r="J3869" s="7">
        <v>1</v>
      </c>
      <c r="K3869" s="9">
        <v>0</v>
      </c>
      <c r="L3869" s="14">
        <v>53.475093794015983</v>
      </c>
      <c r="M3869" s="2" t="s">
        <v>71</v>
      </c>
      <c r="N3869" s="2" t="s">
        <v>16714</v>
      </c>
      <c r="O3869" s="2"/>
      <c r="P3869" s="9">
        <v>0</v>
      </c>
      <c r="Q3869" s="9">
        <v>0</v>
      </c>
      <c r="R3869" s="2"/>
    </row>
    <row r="3870" spans="1:18" x14ac:dyDescent="0.25">
      <c r="A3870" s="2" t="s">
        <v>16846</v>
      </c>
      <c r="B3870" s="6">
        <v>46174</v>
      </c>
      <c r="C3870" s="8">
        <v>46179</v>
      </c>
      <c r="D3870" s="2" t="s">
        <v>199</v>
      </c>
      <c r="E3870" s="2" t="s">
        <v>48</v>
      </c>
      <c r="F3870" s="2"/>
      <c r="G3870" s="2" t="s">
        <v>16847</v>
      </c>
      <c r="H3870" s="2" t="s">
        <v>39</v>
      </c>
      <c r="I3870" s="9">
        <v>0</v>
      </c>
      <c r="J3870" s="7">
        <v>1</v>
      </c>
      <c r="K3870" s="9">
        <v>0</v>
      </c>
      <c r="L3870" s="14">
        <v>52.905580896345327</v>
      </c>
      <c r="M3870" s="2" t="s">
        <v>71</v>
      </c>
      <c r="N3870" s="2" t="s">
        <v>16714</v>
      </c>
      <c r="O3870" s="2"/>
      <c r="P3870" s="9">
        <v>0</v>
      </c>
      <c r="Q3870" s="9">
        <v>0</v>
      </c>
      <c r="R3870" s="2"/>
    </row>
    <row r="3871" spans="1:18" x14ac:dyDescent="0.25">
      <c r="A3871" s="2" t="s">
        <v>16848</v>
      </c>
      <c r="B3871" s="6">
        <v>46174</v>
      </c>
      <c r="C3871" s="8">
        <v>46180</v>
      </c>
      <c r="D3871" s="2" t="s">
        <v>199</v>
      </c>
      <c r="E3871" s="2" t="s">
        <v>48</v>
      </c>
      <c r="F3871" s="2"/>
      <c r="G3871" s="2" t="s">
        <v>16849</v>
      </c>
      <c r="H3871" s="2" t="s">
        <v>39</v>
      </c>
      <c r="I3871" s="9">
        <v>0</v>
      </c>
      <c r="J3871" s="7">
        <v>1</v>
      </c>
      <c r="K3871" s="9">
        <v>0</v>
      </c>
      <c r="L3871" s="14">
        <v>52.491528021073186</v>
      </c>
      <c r="M3871" s="2" t="s">
        <v>71</v>
      </c>
      <c r="N3871" s="2" t="s">
        <v>16714</v>
      </c>
      <c r="O3871" s="2"/>
      <c r="P3871" s="9">
        <v>0</v>
      </c>
      <c r="Q3871" s="9">
        <v>0</v>
      </c>
      <c r="R3871" s="2"/>
    </row>
    <row r="3872" spans="1:18" x14ac:dyDescent="0.25">
      <c r="A3872" s="2" t="s">
        <v>16850</v>
      </c>
      <c r="B3872" s="6">
        <v>46174</v>
      </c>
      <c r="C3872" s="8">
        <v>46181</v>
      </c>
      <c r="D3872" s="2" t="s">
        <v>199</v>
      </c>
      <c r="E3872" s="2" t="s">
        <v>48</v>
      </c>
      <c r="F3872" s="2"/>
      <c r="G3872" s="2" t="s">
        <v>16851</v>
      </c>
      <c r="H3872" s="2" t="s">
        <v>39</v>
      </c>
      <c r="I3872" s="9">
        <v>0</v>
      </c>
      <c r="J3872" s="7">
        <v>1</v>
      </c>
      <c r="K3872" s="9">
        <v>0</v>
      </c>
      <c r="L3872" s="14">
        <v>52.28363314354619</v>
      </c>
      <c r="M3872" s="2" t="s">
        <v>71</v>
      </c>
      <c r="N3872" s="2" t="s">
        <v>16714</v>
      </c>
      <c r="O3872" s="2"/>
      <c r="P3872" s="9">
        <v>0</v>
      </c>
      <c r="Q3872" s="9">
        <v>0</v>
      </c>
      <c r="R3872" s="2"/>
    </row>
    <row r="3873" spans="1:18" x14ac:dyDescent="0.25">
      <c r="A3873" s="2" t="s">
        <v>16852</v>
      </c>
      <c r="B3873" s="6">
        <v>46174</v>
      </c>
      <c r="C3873" s="8">
        <v>46182</v>
      </c>
      <c r="D3873" s="2" t="s">
        <v>199</v>
      </c>
      <c r="E3873" s="2" t="s">
        <v>48</v>
      </c>
      <c r="F3873" s="2"/>
      <c r="G3873" s="2" t="s">
        <v>16853</v>
      </c>
      <c r="H3873" s="2" t="s">
        <v>39</v>
      </c>
      <c r="I3873" s="9">
        <v>0</v>
      </c>
      <c r="J3873" s="7">
        <v>1</v>
      </c>
      <c r="K3873" s="9">
        <v>0</v>
      </c>
      <c r="L3873" s="14">
        <v>52.272113450673793</v>
      </c>
      <c r="M3873" s="2" t="s">
        <v>71</v>
      </c>
      <c r="N3873" s="2" t="s">
        <v>16714</v>
      </c>
      <c r="O3873" s="2"/>
      <c r="P3873" s="9">
        <v>0</v>
      </c>
      <c r="Q3873" s="9">
        <v>0</v>
      </c>
      <c r="R3873" s="2"/>
    </row>
    <row r="3874" spans="1:18" x14ac:dyDescent="0.25">
      <c r="A3874" s="2" t="s">
        <v>16854</v>
      </c>
      <c r="B3874" s="6">
        <v>46174</v>
      </c>
      <c r="C3874" s="8">
        <v>46183</v>
      </c>
      <c r="D3874" s="2" t="s">
        <v>199</v>
      </c>
      <c r="E3874" s="2" t="s">
        <v>48</v>
      </c>
      <c r="F3874" s="2"/>
      <c r="G3874" s="2" t="s">
        <v>16855</v>
      </c>
      <c r="H3874" s="2" t="s">
        <v>39</v>
      </c>
      <c r="I3874" s="9">
        <v>0</v>
      </c>
      <c r="J3874" s="7">
        <v>1</v>
      </c>
      <c r="K3874" s="9">
        <v>0</v>
      </c>
      <c r="L3874" s="14">
        <v>52.533404159498978</v>
      </c>
      <c r="M3874" s="2" t="s">
        <v>71</v>
      </c>
      <c r="N3874" s="2" t="s">
        <v>16714</v>
      </c>
      <c r="O3874" s="2"/>
      <c r="P3874" s="9">
        <v>0</v>
      </c>
      <c r="Q3874" s="9">
        <v>0</v>
      </c>
      <c r="R3874" s="2"/>
    </row>
    <row r="3875" spans="1:18" x14ac:dyDescent="0.25">
      <c r="A3875" s="2" t="s">
        <v>16856</v>
      </c>
      <c r="B3875" s="6">
        <v>46174</v>
      </c>
      <c r="C3875" s="8">
        <v>46184</v>
      </c>
      <c r="D3875" s="2" t="s">
        <v>199</v>
      </c>
      <c r="E3875" s="2" t="s">
        <v>48</v>
      </c>
      <c r="F3875" s="2"/>
      <c r="G3875" s="2" t="s">
        <v>16857</v>
      </c>
      <c r="H3875" s="2" t="s">
        <v>39</v>
      </c>
      <c r="I3875" s="9">
        <v>0</v>
      </c>
      <c r="J3875" s="7">
        <v>1</v>
      </c>
      <c r="K3875" s="9">
        <v>0</v>
      </c>
      <c r="L3875" s="14">
        <v>52.921306096558311</v>
      </c>
      <c r="M3875" s="2" t="s">
        <v>71</v>
      </c>
      <c r="N3875" s="2" t="s">
        <v>16714</v>
      </c>
      <c r="O3875" s="2"/>
      <c r="P3875" s="9">
        <v>0</v>
      </c>
      <c r="Q3875" s="9">
        <v>0</v>
      </c>
      <c r="R3875" s="2"/>
    </row>
    <row r="3876" spans="1:18" x14ac:dyDescent="0.25">
      <c r="A3876" s="2" t="s">
        <v>16858</v>
      </c>
      <c r="B3876" s="6">
        <v>46174</v>
      </c>
      <c r="C3876" s="8">
        <v>46185</v>
      </c>
      <c r="D3876" s="2" t="s">
        <v>199</v>
      </c>
      <c r="E3876" s="2" t="s">
        <v>48</v>
      </c>
      <c r="F3876" s="2"/>
      <c r="G3876" s="2" t="s">
        <v>16859</v>
      </c>
      <c r="H3876" s="2" t="s">
        <v>39</v>
      </c>
      <c r="I3876" s="9">
        <v>0</v>
      </c>
      <c r="J3876" s="7">
        <v>1</v>
      </c>
      <c r="K3876" s="9">
        <v>0</v>
      </c>
      <c r="L3876" s="14">
        <v>53.401319597814222</v>
      </c>
      <c r="M3876" s="2" t="s">
        <v>71</v>
      </c>
      <c r="N3876" s="2" t="s">
        <v>16714</v>
      </c>
      <c r="O3876" s="2"/>
      <c r="P3876" s="9">
        <v>0</v>
      </c>
      <c r="Q3876" s="9">
        <v>0</v>
      </c>
      <c r="R3876" s="2"/>
    </row>
    <row r="3877" spans="1:18" x14ac:dyDescent="0.25">
      <c r="A3877" s="2" t="s">
        <v>16860</v>
      </c>
      <c r="B3877" s="6">
        <v>46174</v>
      </c>
      <c r="C3877" s="8">
        <v>46186</v>
      </c>
      <c r="D3877" s="2" t="s">
        <v>199</v>
      </c>
      <c r="E3877" s="2" t="s">
        <v>48</v>
      </c>
      <c r="F3877" s="2"/>
      <c r="G3877" s="2" t="s">
        <v>16861</v>
      </c>
      <c r="H3877" s="2" t="s">
        <v>39</v>
      </c>
      <c r="I3877" s="9">
        <v>0</v>
      </c>
      <c r="J3877" s="7">
        <v>1</v>
      </c>
      <c r="K3877" s="9">
        <v>0</v>
      </c>
      <c r="L3877" s="14">
        <v>53.911782389549451</v>
      </c>
      <c r="M3877" s="2" t="s">
        <v>71</v>
      </c>
      <c r="N3877" s="2" t="s">
        <v>16714</v>
      </c>
      <c r="O3877" s="2"/>
      <c r="P3877" s="9">
        <v>0</v>
      </c>
      <c r="Q3877" s="9">
        <v>0</v>
      </c>
      <c r="R3877" s="2"/>
    </row>
    <row r="3878" spans="1:18" x14ac:dyDescent="0.25">
      <c r="A3878" s="2" t="s">
        <v>16862</v>
      </c>
      <c r="B3878" s="6">
        <v>46174</v>
      </c>
      <c r="C3878" s="8">
        <v>46187</v>
      </c>
      <c r="D3878" s="2" t="s">
        <v>199</v>
      </c>
      <c r="E3878" s="2" t="s">
        <v>48</v>
      </c>
      <c r="F3878" s="2"/>
      <c r="G3878" s="2" t="s">
        <v>16863</v>
      </c>
      <c r="H3878" s="2" t="s">
        <v>39</v>
      </c>
      <c r="I3878" s="9">
        <v>0</v>
      </c>
      <c r="J3878" s="7">
        <v>1</v>
      </c>
      <c r="K3878" s="9">
        <v>0</v>
      </c>
      <c r="L3878" s="14">
        <v>54.298221991697083</v>
      </c>
      <c r="M3878" s="2" t="s">
        <v>71</v>
      </c>
      <c r="N3878" s="2" t="s">
        <v>16714</v>
      </c>
      <c r="O3878" s="2"/>
      <c r="P3878" s="9">
        <v>0</v>
      </c>
      <c r="Q3878" s="9">
        <v>0</v>
      </c>
      <c r="R3878" s="2"/>
    </row>
    <row r="3879" spans="1:18" x14ac:dyDescent="0.25">
      <c r="A3879" s="2" t="s">
        <v>16864</v>
      </c>
      <c r="B3879" s="6">
        <v>46174</v>
      </c>
      <c r="C3879" s="8">
        <v>46188</v>
      </c>
      <c r="D3879" s="2" t="s">
        <v>199</v>
      </c>
      <c r="E3879" s="2" t="s">
        <v>48</v>
      </c>
      <c r="F3879" s="2"/>
      <c r="G3879" s="2" t="s">
        <v>16865</v>
      </c>
      <c r="H3879" s="2" t="s">
        <v>39</v>
      </c>
      <c r="I3879" s="9">
        <v>0</v>
      </c>
      <c r="J3879" s="7">
        <v>1</v>
      </c>
      <c r="K3879" s="9">
        <v>0</v>
      </c>
      <c r="L3879" s="14">
        <v>54.497459216520767</v>
      </c>
      <c r="M3879" s="2" t="s">
        <v>71</v>
      </c>
      <c r="N3879" s="2" t="s">
        <v>16714</v>
      </c>
      <c r="O3879" s="2"/>
      <c r="P3879" s="9">
        <v>0</v>
      </c>
      <c r="Q3879" s="9">
        <v>0</v>
      </c>
      <c r="R3879" s="2"/>
    </row>
    <row r="3880" spans="1:18" x14ac:dyDescent="0.25">
      <c r="A3880" s="2" t="s">
        <v>16866</v>
      </c>
      <c r="B3880" s="6">
        <v>46174</v>
      </c>
      <c r="C3880" s="8">
        <v>46189</v>
      </c>
      <c r="D3880" s="2" t="s">
        <v>199</v>
      </c>
      <c r="E3880" s="2" t="s">
        <v>48</v>
      </c>
      <c r="F3880" s="2"/>
      <c r="G3880" s="2" t="s">
        <v>16867</v>
      </c>
      <c r="H3880" s="2" t="s">
        <v>39</v>
      </c>
      <c r="I3880" s="9">
        <v>0</v>
      </c>
      <c r="J3880" s="7">
        <v>1</v>
      </c>
      <c r="K3880" s="9">
        <v>0</v>
      </c>
      <c r="L3880" s="14">
        <v>54.494097585900747</v>
      </c>
      <c r="M3880" s="2" t="s">
        <v>71</v>
      </c>
      <c r="N3880" s="2" t="s">
        <v>16714</v>
      </c>
      <c r="O3880" s="2"/>
      <c r="P3880" s="9">
        <v>0</v>
      </c>
      <c r="Q3880" s="9">
        <v>0</v>
      </c>
      <c r="R3880" s="2"/>
    </row>
    <row r="3881" spans="1:18" x14ac:dyDescent="0.25">
      <c r="A3881" s="2" t="s">
        <v>16868</v>
      </c>
      <c r="B3881" s="6">
        <v>46174</v>
      </c>
      <c r="C3881" s="8">
        <v>46190</v>
      </c>
      <c r="D3881" s="2" t="s">
        <v>199</v>
      </c>
      <c r="E3881" s="2" t="s">
        <v>48</v>
      </c>
      <c r="F3881" s="2"/>
      <c r="G3881" s="2" t="s">
        <v>16869</v>
      </c>
      <c r="H3881" s="2" t="s">
        <v>39</v>
      </c>
      <c r="I3881" s="9">
        <v>0</v>
      </c>
      <c r="J3881" s="7">
        <v>1</v>
      </c>
      <c r="K3881" s="9">
        <v>0</v>
      </c>
      <c r="L3881" s="14">
        <v>54.111712681586773</v>
      </c>
      <c r="M3881" s="2" t="s">
        <v>71</v>
      </c>
      <c r="N3881" s="2" t="s">
        <v>16714</v>
      </c>
      <c r="O3881" s="2"/>
      <c r="P3881" s="9">
        <v>0</v>
      </c>
      <c r="Q3881" s="9">
        <v>0</v>
      </c>
      <c r="R3881" s="2"/>
    </row>
    <row r="3882" spans="1:18" x14ac:dyDescent="0.25">
      <c r="A3882" s="2" t="s">
        <v>16870</v>
      </c>
      <c r="B3882" s="6">
        <v>46174</v>
      </c>
      <c r="C3882" s="8">
        <v>46191</v>
      </c>
      <c r="D3882" s="2" t="s">
        <v>199</v>
      </c>
      <c r="E3882" s="2" t="s">
        <v>48</v>
      </c>
      <c r="F3882" s="2"/>
      <c r="G3882" s="2" t="s">
        <v>16871</v>
      </c>
      <c r="H3882" s="2" t="s">
        <v>39</v>
      </c>
      <c r="I3882" s="9">
        <v>0</v>
      </c>
      <c r="J3882" s="7">
        <v>1</v>
      </c>
      <c r="K3882" s="9">
        <v>0</v>
      </c>
      <c r="L3882" s="14">
        <v>53.509538798569302</v>
      </c>
      <c r="M3882" s="2" t="s">
        <v>71</v>
      </c>
      <c r="N3882" s="2" t="s">
        <v>16714</v>
      </c>
      <c r="O3882" s="2"/>
      <c r="P3882" s="9">
        <v>0</v>
      </c>
      <c r="Q3882" s="9">
        <v>0</v>
      </c>
      <c r="R3882" s="2"/>
    </row>
    <row r="3883" spans="1:18" x14ac:dyDescent="0.25">
      <c r="A3883" s="2" t="s">
        <v>16872</v>
      </c>
      <c r="B3883" s="6">
        <v>46174</v>
      </c>
      <c r="C3883" s="8">
        <v>46192</v>
      </c>
      <c r="D3883" s="2" t="s">
        <v>199</v>
      </c>
      <c r="E3883" s="2" t="s">
        <v>48</v>
      </c>
      <c r="F3883" s="2"/>
      <c r="G3883" s="2" t="s">
        <v>16873</v>
      </c>
      <c r="H3883" s="2" t="s">
        <v>39</v>
      </c>
      <c r="I3883" s="9">
        <v>0</v>
      </c>
      <c r="J3883" s="7">
        <v>1</v>
      </c>
      <c r="K3883" s="9">
        <v>0</v>
      </c>
      <c r="L3883" s="14">
        <v>52.73240458442897</v>
      </c>
      <c r="M3883" s="2" t="s">
        <v>71</v>
      </c>
      <c r="N3883" s="2" t="s">
        <v>16714</v>
      </c>
      <c r="O3883" s="2"/>
      <c r="P3883" s="9">
        <v>0</v>
      </c>
      <c r="Q3883" s="9">
        <v>0</v>
      </c>
      <c r="R3883" s="2"/>
    </row>
    <row r="3884" spans="1:18" x14ac:dyDescent="0.25">
      <c r="A3884" s="2" t="s">
        <v>16874</v>
      </c>
      <c r="B3884" s="6">
        <v>46174</v>
      </c>
      <c r="C3884" s="8">
        <v>46193</v>
      </c>
      <c r="D3884" s="2" t="s">
        <v>199</v>
      </c>
      <c r="E3884" s="2" t="s">
        <v>48</v>
      </c>
      <c r="F3884" s="2"/>
      <c r="G3884" s="2" t="s">
        <v>16875</v>
      </c>
      <c r="H3884" s="2" t="s">
        <v>39</v>
      </c>
      <c r="I3884" s="9">
        <v>0</v>
      </c>
      <c r="J3884" s="7">
        <v>1</v>
      </c>
      <c r="K3884" s="9">
        <v>0</v>
      </c>
      <c r="L3884" s="14">
        <v>51.74402347199976</v>
      </c>
      <c r="M3884" s="2" t="s">
        <v>71</v>
      </c>
      <c r="N3884" s="2" t="s">
        <v>16714</v>
      </c>
      <c r="O3884" s="2"/>
      <c r="P3884" s="9">
        <v>0</v>
      </c>
      <c r="Q3884" s="9">
        <v>0</v>
      </c>
      <c r="R3884" s="2"/>
    </row>
    <row r="3885" spans="1:18" x14ac:dyDescent="0.25">
      <c r="A3885" s="2" t="s">
        <v>16876</v>
      </c>
      <c r="B3885" s="6">
        <v>46174</v>
      </c>
      <c r="C3885" s="8">
        <v>46194</v>
      </c>
      <c r="D3885" s="2" t="s">
        <v>199</v>
      </c>
      <c r="E3885" s="2" t="s">
        <v>48</v>
      </c>
      <c r="F3885" s="2"/>
      <c r="G3885" s="2" t="s">
        <v>16877</v>
      </c>
      <c r="H3885" s="2" t="s">
        <v>39</v>
      </c>
      <c r="I3885" s="9">
        <v>0</v>
      </c>
      <c r="J3885" s="7">
        <v>1</v>
      </c>
      <c r="K3885" s="9">
        <v>0</v>
      </c>
      <c r="L3885" s="14">
        <v>50.794997348978043</v>
      </c>
      <c r="M3885" s="2" t="s">
        <v>71</v>
      </c>
      <c r="N3885" s="2" t="s">
        <v>16714</v>
      </c>
      <c r="O3885" s="2"/>
      <c r="P3885" s="9">
        <v>0</v>
      </c>
      <c r="Q3885" s="9">
        <v>0</v>
      </c>
      <c r="R3885" s="2"/>
    </row>
    <row r="3886" spans="1:18" x14ac:dyDescent="0.25">
      <c r="A3886" s="2" t="s">
        <v>16878</v>
      </c>
      <c r="B3886" s="6">
        <v>46174</v>
      </c>
      <c r="C3886" s="8">
        <v>46195</v>
      </c>
      <c r="D3886" s="2" t="s">
        <v>199</v>
      </c>
      <c r="E3886" s="2" t="s">
        <v>48</v>
      </c>
      <c r="F3886" s="2"/>
      <c r="G3886" s="2" t="s">
        <v>16879</v>
      </c>
      <c r="H3886" s="2" t="s">
        <v>39</v>
      </c>
      <c r="I3886" s="9">
        <v>0</v>
      </c>
      <c r="J3886" s="7">
        <v>1</v>
      </c>
      <c r="K3886" s="9">
        <v>0</v>
      </c>
      <c r="L3886" s="14">
        <v>49.893916232541557</v>
      </c>
      <c r="M3886" s="2" t="s">
        <v>71</v>
      </c>
      <c r="N3886" s="2" t="s">
        <v>16714</v>
      </c>
      <c r="O3886" s="2"/>
      <c r="P3886" s="9">
        <v>0</v>
      </c>
      <c r="Q3886" s="9">
        <v>0</v>
      </c>
      <c r="R3886" s="2"/>
    </row>
    <row r="3887" spans="1:18" x14ac:dyDescent="0.25">
      <c r="A3887" s="2" t="s">
        <v>16880</v>
      </c>
      <c r="B3887" s="6">
        <v>46174</v>
      </c>
      <c r="C3887" s="8">
        <v>46196</v>
      </c>
      <c r="D3887" s="2" t="s">
        <v>199</v>
      </c>
      <c r="E3887" s="2" t="s">
        <v>48</v>
      </c>
      <c r="F3887" s="2"/>
      <c r="G3887" s="2" t="s">
        <v>16881</v>
      </c>
      <c r="H3887" s="2" t="s">
        <v>39</v>
      </c>
      <c r="I3887" s="9">
        <v>0</v>
      </c>
      <c r="J3887" s="7">
        <v>1</v>
      </c>
      <c r="K3887" s="9">
        <v>0</v>
      </c>
      <c r="L3887" s="14">
        <v>49.158365954766829</v>
      </c>
      <c r="M3887" s="2" t="s">
        <v>71</v>
      </c>
      <c r="N3887" s="2" t="s">
        <v>16714</v>
      </c>
      <c r="O3887" s="2"/>
      <c r="P3887" s="9">
        <v>0</v>
      </c>
      <c r="Q3887" s="9">
        <v>0</v>
      </c>
      <c r="R3887" s="2"/>
    </row>
    <row r="3888" spans="1:18" x14ac:dyDescent="0.25">
      <c r="A3888" s="2" t="s">
        <v>16882</v>
      </c>
      <c r="B3888" s="6">
        <v>46174</v>
      </c>
      <c r="C3888" s="8">
        <v>46197</v>
      </c>
      <c r="D3888" s="2" t="s">
        <v>199</v>
      </c>
      <c r="E3888" s="2" t="s">
        <v>48</v>
      </c>
      <c r="F3888" s="2"/>
      <c r="G3888" s="2" t="s">
        <v>16883</v>
      </c>
      <c r="H3888" s="2" t="s">
        <v>39</v>
      </c>
      <c r="I3888" s="9">
        <v>0</v>
      </c>
      <c r="J3888" s="7">
        <v>1</v>
      </c>
      <c r="K3888" s="9">
        <v>0</v>
      </c>
      <c r="L3888" s="14">
        <v>48.705864612537461</v>
      </c>
      <c r="M3888" s="2" t="s">
        <v>71</v>
      </c>
      <c r="N3888" s="2" t="s">
        <v>16714</v>
      </c>
      <c r="O3888" s="2"/>
      <c r="P3888" s="9">
        <v>0</v>
      </c>
      <c r="Q3888" s="9">
        <v>0</v>
      </c>
      <c r="R3888" s="2"/>
    </row>
    <row r="3889" spans="1:18" x14ac:dyDescent="0.25">
      <c r="A3889" s="2" t="s">
        <v>16884</v>
      </c>
      <c r="B3889" s="6">
        <v>46174</v>
      </c>
      <c r="C3889" s="8">
        <v>46198</v>
      </c>
      <c r="D3889" s="2" t="s">
        <v>199</v>
      </c>
      <c r="E3889" s="2" t="s">
        <v>48</v>
      </c>
      <c r="F3889" s="2"/>
      <c r="G3889" s="2" t="s">
        <v>16885</v>
      </c>
      <c r="H3889" s="2" t="s">
        <v>39</v>
      </c>
      <c r="I3889" s="9">
        <v>0</v>
      </c>
      <c r="J3889" s="7">
        <v>1</v>
      </c>
      <c r="K3889" s="9">
        <v>0</v>
      </c>
      <c r="L3889" s="14">
        <v>48.595573125767082</v>
      </c>
      <c r="M3889" s="2" t="s">
        <v>71</v>
      </c>
      <c r="N3889" s="2" t="s">
        <v>16714</v>
      </c>
      <c r="O3889" s="2"/>
      <c r="P3889" s="9">
        <v>0</v>
      </c>
      <c r="Q3889" s="9">
        <v>0</v>
      </c>
      <c r="R3889" s="2"/>
    </row>
    <row r="3890" spans="1:18" x14ac:dyDescent="0.25">
      <c r="A3890" s="2" t="s">
        <v>16886</v>
      </c>
      <c r="B3890" s="6">
        <v>46174</v>
      </c>
      <c r="C3890" s="8">
        <v>46199</v>
      </c>
      <c r="D3890" s="2" t="s">
        <v>199</v>
      </c>
      <c r="E3890" s="2" t="s">
        <v>48</v>
      </c>
      <c r="F3890" s="2"/>
      <c r="G3890" s="2" t="s">
        <v>16887</v>
      </c>
      <c r="H3890" s="2" t="s">
        <v>39</v>
      </c>
      <c r="I3890" s="9">
        <v>0</v>
      </c>
      <c r="J3890" s="7">
        <v>1</v>
      </c>
      <c r="K3890" s="9">
        <v>0</v>
      </c>
      <c r="L3890" s="14">
        <v>48.872923476516299</v>
      </c>
      <c r="M3890" s="2" t="s">
        <v>71</v>
      </c>
      <c r="N3890" s="2" t="s">
        <v>16714</v>
      </c>
      <c r="O3890" s="2"/>
      <c r="P3890" s="9">
        <v>0</v>
      </c>
      <c r="Q3890" s="9">
        <v>0</v>
      </c>
      <c r="R3890" s="2"/>
    </row>
    <row r="3891" spans="1:18" x14ac:dyDescent="0.25">
      <c r="A3891" s="2" t="s">
        <v>16888</v>
      </c>
      <c r="B3891" s="6">
        <v>46174</v>
      </c>
      <c r="C3891" s="8">
        <v>46200</v>
      </c>
      <c r="D3891" s="2" t="s">
        <v>199</v>
      </c>
      <c r="E3891" s="2" t="s">
        <v>48</v>
      </c>
      <c r="F3891" s="2"/>
      <c r="G3891" s="2" t="s">
        <v>16889</v>
      </c>
      <c r="H3891" s="2" t="s">
        <v>39</v>
      </c>
      <c r="I3891" s="9">
        <v>0</v>
      </c>
      <c r="J3891" s="7">
        <v>1</v>
      </c>
      <c r="K3891" s="9">
        <v>0</v>
      </c>
      <c r="L3891" s="14">
        <v>49.503305607944128</v>
      </c>
      <c r="M3891" s="2" t="s">
        <v>71</v>
      </c>
      <c r="N3891" s="2" t="s">
        <v>16714</v>
      </c>
      <c r="O3891" s="2"/>
      <c r="P3891" s="9">
        <v>0</v>
      </c>
      <c r="Q3891" s="9">
        <v>0</v>
      </c>
      <c r="R3891" s="2"/>
    </row>
    <row r="3892" spans="1:18" x14ac:dyDescent="0.25">
      <c r="A3892" s="2" t="s">
        <v>16890</v>
      </c>
      <c r="B3892" s="6">
        <v>46174</v>
      </c>
      <c r="C3892" s="8">
        <v>46201</v>
      </c>
      <c r="D3892" s="2" t="s">
        <v>199</v>
      </c>
      <c r="E3892" s="2" t="s">
        <v>48</v>
      </c>
      <c r="F3892" s="2"/>
      <c r="G3892" s="2" t="s">
        <v>16891</v>
      </c>
      <c r="H3892" s="2" t="s">
        <v>39</v>
      </c>
      <c r="I3892" s="9">
        <v>0</v>
      </c>
      <c r="J3892" s="7">
        <v>1</v>
      </c>
      <c r="K3892" s="9">
        <v>0</v>
      </c>
      <c r="L3892" s="14">
        <v>50.405734705516913</v>
      </c>
      <c r="M3892" s="2" t="s">
        <v>71</v>
      </c>
      <c r="N3892" s="2" t="s">
        <v>16714</v>
      </c>
      <c r="O3892" s="2"/>
      <c r="P3892" s="9">
        <v>0</v>
      </c>
      <c r="Q3892" s="9">
        <v>0</v>
      </c>
      <c r="R3892" s="2"/>
    </row>
    <row r="3893" spans="1:18" x14ac:dyDescent="0.25">
      <c r="A3893" s="2" t="s">
        <v>16892</v>
      </c>
      <c r="B3893" s="6">
        <v>46174</v>
      </c>
      <c r="C3893" s="8">
        <v>46202</v>
      </c>
      <c r="D3893" s="2" t="s">
        <v>199</v>
      </c>
      <c r="E3893" s="2" t="s">
        <v>48</v>
      </c>
      <c r="F3893" s="2"/>
      <c r="G3893" s="2" t="s">
        <v>16893</v>
      </c>
      <c r="H3893" s="2" t="s">
        <v>39</v>
      </c>
      <c r="I3893" s="9">
        <v>0</v>
      </c>
      <c r="J3893" s="7">
        <v>1</v>
      </c>
      <c r="K3893" s="9">
        <v>0</v>
      </c>
      <c r="L3893" s="14">
        <v>51.5293972794707</v>
      </c>
      <c r="M3893" s="2" t="s">
        <v>71</v>
      </c>
      <c r="N3893" s="2" t="s">
        <v>16714</v>
      </c>
      <c r="O3893" s="2"/>
      <c r="P3893" s="9">
        <v>0</v>
      </c>
      <c r="Q3893" s="9">
        <v>0</v>
      </c>
      <c r="R3893" s="2"/>
    </row>
    <row r="3894" spans="1:18" x14ac:dyDescent="0.25">
      <c r="A3894" s="2" t="s">
        <v>16894</v>
      </c>
      <c r="B3894" s="6">
        <v>46174</v>
      </c>
      <c r="C3894" s="8">
        <v>46203</v>
      </c>
      <c r="D3894" s="2" t="s">
        <v>199</v>
      </c>
      <c r="E3894" s="2" t="s">
        <v>48</v>
      </c>
      <c r="F3894" s="2"/>
      <c r="G3894" s="2" t="s">
        <v>16895</v>
      </c>
      <c r="H3894" s="2" t="s">
        <v>39</v>
      </c>
      <c r="I3894" s="9">
        <v>0</v>
      </c>
      <c r="J3894" s="7">
        <v>1</v>
      </c>
      <c r="K3894" s="9">
        <v>0</v>
      </c>
      <c r="L3894" s="14">
        <v>52.765230188028369</v>
      </c>
      <c r="M3894" s="2" t="s">
        <v>71</v>
      </c>
      <c r="N3894" s="2" t="s">
        <v>16714</v>
      </c>
      <c r="O3894" s="2"/>
      <c r="P3894" s="9">
        <v>0</v>
      </c>
      <c r="Q3894" s="9">
        <v>0</v>
      </c>
      <c r="R3894" s="2"/>
    </row>
    <row r="3895" spans="1:18" x14ac:dyDescent="0.25">
      <c r="A3895" s="2" t="s">
        <v>16896</v>
      </c>
      <c r="B3895" s="6">
        <v>46204</v>
      </c>
      <c r="C3895" s="8">
        <v>46204</v>
      </c>
      <c r="D3895" s="2" t="s">
        <v>199</v>
      </c>
      <c r="E3895" s="2" t="s">
        <v>48</v>
      </c>
      <c r="F3895" s="2"/>
      <c r="G3895" s="2" t="s">
        <v>16897</v>
      </c>
      <c r="H3895" s="2" t="s">
        <v>39</v>
      </c>
      <c r="I3895" s="9">
        <v>0</v>
      </c>
      <c r="J3895" s="7">
        <v>1</v>
      </c>
      <c r="K3895" s="9">
        <v>0</v>
      </c>
      <c r="L3895" s="14">
        <v>54.018454451368598</v>
      </c>
      <c r="M3895" s="2" t="s">
        <v>71</v>
      </c>
      <c r="N3895" s="2" t="s">
        <v>16775</v>
      </c>
      <c r="O3895" s="2"/>
      <c r="P3895" s="9">
        <v>0</v>
      </c>
      <c r="Q3895" s="9">
        <v>0</v>
      </c>
      <c r="R3895" s="2"/>
    </row>
    <row r="3896" spans="1:18" x14ac:dyDescent="0.25">
      <c r="A3896" s="2" t="s">
        <v>16898</v>
      </c>
      <c r="B3896" s="6">
        <v>46204</v>
      </c>
      <c r="C3896" s="8">
        <v>46205</v>
      </c>
      <c r="D3896" s="2" t="s">
        <v>199</v>
      </c>
      <c r="E3896" s="2" t="s">
        <v>48</v>
      </c>
      <c r="F3896" s="2"/>
      <c r="G3896" s="2" t="s">
        <v>16899</v>
      </c>
      <c r="H3896" s="2" t="s">
        <v>39</v>
      </c>
      <c r="I3896" s="9">
        <v>0</v>
      </c>
      <c r="J3896" s="7">
        <v>1</v>
      </c>
      <c r="K3896" s="9">
        <v>0</v>
      </c>
      <c r="L3896" s="14">
        <v>55.059819550462613</v>
      </c>
      <c r="M3896" s="2" t="s">
        <v>71</v>
      </c>
      <c r="N3896" s="2" t="s">
        <v>16775</v>
      </c>
      <c r="O3896" s="2"/>
      <c r="P3896" s="9">
        <v>0</v>
      </c>
      <c r="Q3896" s="9">
        <v>0</v>
      </c>
      <c r="R3896" s="2"/>
    </row>
    <row r="3897" spans="1:18" x14ac:dyDescent="0.25">
      <c r="A3897" s="2" t="s">
        <v>16900</v>
      </c>
      <c r="B3897" s="6">
        <v>46204</v>
      </c>
      <c r="C3897" s="8">
        <v>46206</v>
      </c>
      <c r="D3897" s="2" t="s">
        <v>199</v>
      </c>
      <c r="E3897" s="2" t="s">
        <v>48</v>
      </c>
      <c r="F3897" s="2"/>
      <c r="G3897" s="2" t="s">
        <v>16901</v>
      </c>
      <c r="H3897" s="2" t="s">
        <v>39</v>
      </c>
      <c r="I3897" s="9">
        <v>0</v>
      </c>
      <c r="J3897" s="7">
        <v>1</v>
      </c>
      <c r="K3897" s="9">
        <v>0</v>
      </c>
      <c r="L3897" s="14">
        <v>55.852398790350023</v>
      </c>
      <c r="M3897" s="2" t="s">
        <v>71</v>
      </c>
      <c r="N3897" s="2" t="s">
        <v>16775</v>
      </c>
      <c r="O3897" s="2"/>
      <c r="P3897" s="9">
        <v>0</v>
      </c>
      <c r="Q3897" s="9">
        <v>0</v>
      </c>
      <c r="R3897" s="2"/>
    </row>
    <row r="3898" spans="1:18" x14ac:dyDescent="0.25">
      <c r="A3898" s="2" t="s">
        <v>16902</v>
      </c>
      <c r="B3898" s="6">
        <v>46204</v>
      </c>
      <c r="C3898" s="8">
        <v>46207</v>
      </c>
      <c r="D3898" s="2" t="s">
        <v>199</v>
      </c>
      <c r="E3898" s="2" t="s">
        <v>48</v>
      </c>
      <c r="F3898" s="2"/>
      <c r="G3898" s="2" t="s">
        <v>16903</v>
      </c>
      <c r="H3898" s="2" t="s">
        <v>39</v>
      </c>
      <c r="I3898" s="9">
        <v>0</v>
      </c>
      <c r="J3898" s="7">
        <v>1</v>
      </c>
      <c r="K3898" s="9">
        <v>0</v>
      </c>
      <c r="L3898" s="14">
        <v>56.274010987736268</v>
      </c>
      <c r="M3898" s="2" t="s">
        <v>71</v>
      </c>
      <c r="N3898" s="2" t="s">
        <v>16775</v>
      </c>
      <c r="O3898" s="2"/>
      <c r="P3898" s="9">
        <v>0</v>
      </c>
      <c r="Q3898" s="9">
        <v>0</v>
      </c>
      <c r="R3898" s="2"/>
    </row>
    <row r="3899" spans="1:18" x14ac:dyDescent="0.25">
      <c r="A3899" s="2" t="s">
        <v>16904</v>
      </c>
      <c r="B3899" s="6">
        <v>46204</v>
      </c>
      <c r="C3899" s="8">
        <v>46208</v>
      </c>
      <c r="D3899" s="2" t="s">
        <v>199</v>
      </c>
      <c r="E3899" s="2" t="s">
        <v>48</v>
      </c>
      <c r="F3899" s="2"/>
      <c r="G3899" s="2" t="s">
        <v>16905</v>
      </c>
      <c r="H3899" s="2" t="s">
        <v>39</v>
      </c>
      <c r="I3899" s="9">
        <v>0</v>
      </c>
      <c r="J3899" s="7">
        <v>1</v>
      </c>
      <c r="K3899" s="9">
        <v>0</v>
      </c>
      <c r="L3899" s="14">
        <v>56.360139262630597</v>
      </c>
      <c r="M3899" s="2" t="s">
        <v>71</v>
      </c>
      <c r="N3899" s="2" t="s">
        <v>16775</v>
      </c>
      <c r="O3899" s="2"/>
      <c r="P3899" s="9">
        <v>0</v>
      </c>
      <c r="Q3899" s="9">
        <v>0</v>
      </c>
      <c r="R3899" s="2"/>
    </row>
    <row r="3900" spans="1:18" x14ac:dyDescent="0.25">
      <c r="A3900" s="2" t="s">
        <v>16906</v>
      </c>
      <c r="B3900" s="6">
        <v>46204</v>
      </c>
      <c r="C3900" s="8">
        <v>46209</v>
      </c>
      <c r="D3900" s="2" t="s">
        <v>199</v>
      </c>
      <c r="E3900" s="2" t="s">
        <v>48</v>
      </c>
      <c r="F3900" s="2"/>
      <c r="G3900" s="2" t="s">
        <v>16907</v>
      </c>
      <c r="H3900" s="2" t="s">
        <v>39</v>
      </c>
      <c r="I3900" s="9">
        <v>0</v>
      </c>
      <c r="J3900" s="7">
        <v>1</v>
      </c>
      <c r="K3900" s="9">
        <v>0</v>
      </c>
      <c r="L3900" s="14">
        <v>56.055600317968313</v>
      </c>
      <c r="M3900" s="2" t="s">
        <v>71</v>
      </c>
      <c r="N3900" s="2" t="s">
        <v>16775</v>
      </c>
      <c r="O3900" s="2"/>
      <c r="P3900" s="9">
        <v>0</v>
      </c>
      <c r="Q3900" s="9">
        <v>0</v>
      </c>
      <c r="R3900" s="2"/>
    </row>
    <row r="3901" spans="1:18" x14ac:dyDescent="0.25">
      <c r="A3901" s="2" t="s">
        <v>16908</v>
      </c>
      <c r="B3901" s="6">
        <v>46204</v>
      </c>
      <c r="C3901" s="8">
        <v>46210</v>
      </c>
      <c r="D3901" s="2" t="s">
        <v>199</v>
      </c>
      <c r="E3901" s="2" t="s">
        <v>48</v>
      </c>
      <c r="F3901" s="2"/>
      <c r="G3901" s="2" t="s">
        <v>16909</v>
      </c>
      <c r="H3901" s="2" t="s">
        <v>39</v>
      </c>
      <c r="I3901" s="9">
        <v>0</v>
      </c>
      <c r="J3901" s="7">
        <v>1</v>
      </c>
      <c r="K3901" s="9">
        <v>0</v>
      </c>
      <c r="L3901" s="14">
        <v>55.482149005284192</v>
      </c>
      <c r="M3901" s="2" t="s">
        <v>71</v>
      </c>
      <c r="N3901" s="2" t="s">
        <v>16775</v>
      </c>
      <c r="O3901" s="2"/>
      <c r="P3901" s="9">
        <v>0</v>
      </c>
      <c r="Q3901" s="9">
        <v>0</v>
      </c>
      <c r="R3901" s="2"/>
    </row>
    <row r="3902" spans="1:18" x14ac:dyDescent="0.25">
      <c r="A3902" s="2" t="s">
        <v>16910</v>
      </c>
      <c r="B3902" s="6">
        <v>46204</v>
      </c>
      <c r="C3902" s="8">
        <v>46211</v>
      </c>
      <c r="D3902" s="2" t="s">
        <v>199</v>
      </c>
      <c r="E3902" s="2" t="s">
        <v>48</v>
      </c>
      <c r="F3902" s="2"/>
      <c r="G3902" s="2" t="s">
        <v>16911</v>
      </c>
      <c r="H3902" s="2" t="s">
        <v>39</v>
      </c>
      <c r="I3902" s="9">
        <v>0</v>
      </c>
      <c r="J3902" s="7">
        <v>1</v>
      </c>
      <c r="K3902" s="9">
        <v>0</v>
      </c>
      <c r="L3902" s="14">
        <v>54.710156582880792</v>
      </c>
      <c r="M3902" s="2" t="s">
        <v>71</v>
      </c>
      <c r="N3902" s="2" t="s">
        <v>16775</v>
      </c>
      <c r="O3902" s="2"/>
      <c r="P3902" s="9">
        <v>0</v>
      </c>
      <c r="Q3902" s="9">
        <v>0</v>
      </c>
      <c r="R3902" s="2"/>
    </row>
    <row r="3903" spans="1:18" x14ac:dyDescent="0.25">
      <c r="A3903" s="2" t="s">
        <v>16912</v>
      </c>
      <c r="B3903" s="6">
        <v>46204</v>
      </c>
      <c r="C3903" s="8">
        <v>46212</v>
      </c>
      <c r="D3903" s="2" t="s">
        <v>199</v>
      </c>
      <c r="E3903" s="2" t="s">
        <v>48</v>
      </c>
      <c r="F3903" s="2"/>
      <c r="G3903" s="2" t="s">
        <v>16913</v>
      </c>
      <c r="H3903" s="2" t="s">
        <v>39</v>
      </c>
      <c r="I3903" s="9">
        <v>0</v>
      </c>
      <c r="J3903" s="7">
        <v>1</v>
      </c>
      <c r="K3903" s="9">
        <v>0</v>
      </c>
      <c r="L3903" s="14">
        <v>39.503064493420233</v>
      </c>
      <c r="M3903" s="2" t="s">
        <v>71</v>
      </c>
      <c r="N3903" s="2" t="s">
        <v>16775</v>
      </c>
      <c r="O3903" s="2"/>
      <c r="P3903" s="9">
        <v>0</v>
      </c>
      <c r="Q3903" s="9">
        <v>0</v>
      </c>
      <c r="R3903" s="2"/>
    </row>
    <row r="3904" spans="1:18" x14ac:dyDescent="0.25">
      <c r="A3904" s="2" t="s">
        <v>16914</v>
      </c>
      <c r="B3904" s="6">
        <v>46204</v>
      </c>
      <c r="C3904" s="8">
        <v>46213</v>
      </c>
      <c r="D3904" s="2" t="s">
        <v>199</v>
      </c>
      <c r="E3904" s="2" t="s">
        <v>48</v>
      </c>
      <c r="F3904" s="2"/>
      <c r="G3904" s="2" t="s">
        <v>16915</v>
      </c>
      <c r="H3904" s="2" t="s">
        <v>39</v>
      </c>
      <c r="I3904" s="9">
        <v>0</v>
      </c>
      <c r="J3904" s="7">
        <v>1</v>
      </c>
      <c r="K3904" s="9">
        <v>0</v>
      </c>
      <c r="L3904" s="14">
        <v>52.913105328469257</v>
      </c>
      <c r="M3904" s="2" t="s">
        <v>71</v>
      </c>
      <c r="N3904" s="2" t="s">
        <v>16775</v>
      </c>
      <c r="O3904" s="2"/>
      <c r="P3904" s="9">
        <v>0</v>
      </c>
      <c r="Q3904" s="9">
        <v>0</v>
      </c>
      <c r="R3904" s="2"/>
    </row>
    <row r="3905" spans="1:18" x14ac:dyDescent="0.25">
      <c r="A3905" s="2" t="s">
        <v>16916</v>
      </c>
      <c r="B3905" s="6">
        <v>46204</v>
      </c>
      <c r="C3905" s="8">
        <v>46214</v>
      </c>
      <c r="D3905" s="2" t="s">
        <v>199</v>
      </c>
      <c r="E3905" s="2" t="s">
        <v>48</v>
      </c>
      <c r="F3905" s="2"/>
      <c r="G3905" s="2" t="s">
        <v>16917</v>
      </c>
      <c r="H3905" s="2" t="s">
        <v>39</v>
      </c>
      <c r="I3905" s="9">
        <v>0</v>
      </c>
      <c r="J3905" s="7">
        <v>1</v>
      </c>
      <c r="K3905" s="9">
        <v>0</v>
      </c>
      <c r="L3905" s="14">
        <v>52.164099673898839</v>
      </c>
      <c r="M3905" s="2" t="s">
        <v>71</v>
      </c>
      <c r="N3905" s="2" t="s">
        <v>16775</v>
      </c>
      <c r="O3905" s="2"/>
      <c r="P3905" s="9">
        <v>0</v>
      </c>
      <c r="Q3905" s="9">
        <v>0</v>
      </c>
      <c r="R3905" s="2"/>
    </row>
    <row r="3906" spans="1:18" x14ac:dyDescent="0.25">
      <c r="A3906" s="2" t="s">
        <v>16918</v>
      </c>
      <c r="B3906" s="6">
        <v>46204</v>
      </c>
      <c r="C3906" s="8">
        <v>46215</v>
      </c>
      <c r="D3906" s="2" t="s">
        <v>199</v>
      </c>
      <c r="E3906" s="2" t="s">
        <v>48</v>
      </c>
      <c r="F3906" s="2"/>
      <c r="G3906" s="2" t="s">
        <v>16919</v>
      </c>
      <c r="H3906" s="2" t="s">
        <v>39</v>
      </c>
      <c r="I3906" s="9">
        <v>0</v>
      </c>
      <c r="J3906" s="7">
        <v>1</v>
      </c>
      <c r="K3906" s="9">
        <v>0</v>
      </c>
      <c r="L3906" s="14">
        <v>51.66093047192718</v>
      </c>
      <c r="M3906" s="2" t="s">
        <v>71</v>
      </c>
      <c r="N3906" s="2" t="s">
        <v>16775</v>
      </c>
      <c r="O3906" s="2"/>
      <c r="P3906" s="9">
        <v>0</v>
      </c>
      <c r="Q3906" s="9">
        <v>0</v>
      </c>
      <c r="R3906" s="2"/>
    </row>
    <row r="3907" spans="1:18" x14ac:dyDescent="0.25">
      <c r="A3907" s="2" t="s">
        <v>16920</v>
      </c>
      <c r="B3907" s="6">
        <v>46204</v>
      </c>
      <c r="C3907" s="8">
        <v>46216</v>
      </c>
      <c r="D3907" s="2" t="s">
        <v>199</v>
      </c>
      <c r="E3907" s="2" t="s">
        <v>48</v>
      </c>
      <c r="F3907" s="2"/>
      <c r="G3907" s="2" t="s">
        <v>16921</v>
      </c>
      <c r="H3907" s="2" t="s">
        <v>39</v>
      </c>
      <c r="I3907" s="9">
        <v>0</v>
      </c>
      <c r="J3907" s="7">
        <v>1</v>
      </c>
      <c r="K3907" s="9">
        <v>0</v>
      </c>
      <c r="L3907" s="14">
        <v>51.399473964917</v>
      </c>
      <c r="M3907" s="2" t="s">
        <v>71</v>
      </c>
      <c r="N3907" s="2" t="s">
        <v>16775</v>
      </c>
      <c r="O3907" s="2"/>
      <c r="P3907" s="9">
        <v>0</v>
      </c>
      <c r="Q3907" s="9">
        <v>0</v>
      </c>
      <c r="R3907" s="2"/>
    </row>
    <row r="3908" spans="1:18" x14ac:dyDescent="0.25">
      <c r="A3908" s="2" t="s">
        <v>16922</v>
      </c>
      <c r="B3908" s="6">
        <v>46204</v>
      </c>
      <c r="C3908" s="8">
        <v>46217</v>
      </c>
      <c r="D3908" s="2" t="s">
        <v>199</v>
      </c>
      <c r="E3908" s="2" t="s">
        <v>48</v>
      </c>
      <c r="F3908" s="2"/>
      <c r="G3908" s="2" t="s">
        <v>16923</v>
      </c>
      <c r="H3908" s="2" t="s">
        <v>39</v>
      </c>
      <c r="I3908" s="9">
        <v>0</v>
      </c>
      <c r="J3908" s="7">
        <v>1</v>
      </c>
      <c r="K3908" s="9">
        <v>0</v>
      </c>
      <c r="L3908" s="14">
        <v>51.33858853682878</v>
      </c>
      <c r="M3908" s="2" t="s">
        <v>71</v>
      </c>
      <c r="N3908" s="2" t="s">
        <v>16775</v>
      </c>
      <c r="O3908" s="2"/>
      <c r="P3908" s="9">
        <v>0</v>
      </c>
      <c r="Q3908" s="9">
        <v>0</v>
      </c>
      <c r="R3908" s="2"/>
    </row>
    <row r="3909" spans="1:18" x14ac:dyDescent="0.25">
      <c r="A3909" s="2" t="s">
        <v>16924</v>
      </c>
      <c r="B3909" s="6">
        <v>46204</v>
      </c>
      <c r="C3909" s="8">
        <v>46218</v>
      </c>
      <c r="D3909" s="2" t="s">
        <v>199</v>
      </c>
      <c r="E3909" s="2" t="s">
        <v>48</v>
      </c>
      <c r="F3909" s="2"/>
      <c r="G3909" s="2" t="s">
        <v>16925</v>
      </c>
      <c r="H3909" s="2" t="s">
        <v>39</v>
      </c>
      <c r="I3909" s="9">
        <v>0</v>
      </c>
      <c r="J3909" s="7">
        <v>1</v>
      </c>
      <c r="K3909" s="9">
        <v>0</v>
      </c>
      <c r="L3909" s="14">
        <v>51.520167700351749</v>
      </c>
      <c r="M3909" s="2" t="s">
        <v>71</v>
      </c>
      <c r="N3909" s="2" t="s">
        <v>16775</v>
      </c>
      <c r="O3909" s="2"/>
      <c r="P3909" s="9">
        <v>0</v>
      </c>
      <c r="Q3909" s="9">
        <v>0</v>
      </c>
      <c r="R3909" s="2"/>
    </row>
    <row r="3910" spans="1:18" x14ac:dyDescent="0.25">
      <c r="A3910" s="2" t="s">
        <v>16926</v>
      </c>
      <c r="B3910" s="6">
        <v>46204</v>
      </c>
      <c r="C3910" s="8">
        <v>46219</v>
      </c>
      <c r="D3910" s="2" t="s">
        <v>199</v>
      </c>
      <c r="E3910" s="2" t="s">
        <v>48</v>
      </c>
      <c r="F3910" s="2"/>
      <c r="G3910" s="2" t="s">
        <v>16927</v>
      </c>
      <c r="H3910" s="2" t="s">
        <v>39</v>
      </c>
      <c r="I3910" s="9">
        <v>0</v>
      </c>
      <c r="J3910" s="7">
        <v>1</v>
      </c>
      <c r="K3910" s="9">
        <v>0</v>
      </c>
      <c r="L3910" s="14">
        <v>51.904264574049172</v>
      </c>
      <c r="M3910" s="2" t="s">
        <v>71</v>
      </c>
      <c r="N3910" s="2" t="s">
        <v>16775</v>
      </c>
      <c r="O3910" s="2"/>
      <c r="P3910" s="9">
        <v>0</v>
      </c>
      <c r="Q3910" s="9">
        <v>0</v>
      </c>
      <c r="R3910" s="2"/>
    </row>
    <row r="3911" spans="1:18" x14ac:dyDescent="0.25">
      <c r="A3911" s="2" t="s">
        <v>16928</v>
      </c>
      <c r="B3911" s="6">
        <v>46204</v>
      </c>
      <c r="C3911" s="8">
        <v>46220</v>
      </c>
      <c r="D3911" s="2" t="s">
        <v>199</v>
      </c>
      <c r="E3911" s="2" t="s">
        <v>48</v>
      </c>
      <c r="F3911" s="2"/>
      <c r="G3911" s="2" t="s">
        <v>16929</v>
      </c>
      <c r="H3911" s="2" t="s">
        <v>39</v>
      </c>
      <c r="I3911" s="9">
        <v>0</v>
      </c>
      <c r="J3911" s="7">
        <v>1</v>
      </c>
      <c r="K3911" s="9">
        <v>0</v>
      </c>
      <c r="L3911" s="14">
        <v>52.31619251002833</v>
      </c>
      <c r="M3911" s="2" t="s">
        <v>71</v>
      </c>
      <c r="N3911" s="2" t="s">
        <v>16775</v>
      </c>
      <c r="O3911" s="2"/>
      <c r="P3911" s="9">
        <v>0</v>
      </c>
      <c r="Q3911" s="9">
        <v>0</v>
      </c>
      <c r="R3911" s="2"/>
    </row>
    <row r="3912" spans="1:18" x14ac:dyDescent="0.25">
      <c r="A3912" s="2" t="s">
        <v>16930</v>
      </c>
      <c r="B3912" s="6">
        <v>46204</v>
      </c>
      <c r="C3912" s="8">
        <v>46221</v>
      </c>
      <c r="D3912" s="2" t="s">
        <v>199</v>
      </c>
      <c r="E3912" s="2" t="s">
        <v>48</v>
      </c>
      <c r="F3912" s="2"/>
      <c r="G3912" s="2" t="s">
        <v>16931</v>
      </c>
      <c r="H3912" s="2" t="s">
        <v>39</v>
      </c>
      <c r="I3912" s="9">
        <v>0</v>
      </c>
      <c r="J3912" s="7">
        <v>1</v>
      </c>
      <c r="K3912" s="9">
        <v>0</v>
      </c>
      <c r="L3912" s="14">
        <v>52.660094610387738</v>
      </c>
      <c r="M3912" s="2" t="s">
        <v>71</v>
      </c>
      <c r="N3912" s="2" t="s">
        <v>16775</v>
      </c>
      <c r="O3912" s="2"/>
      <c r="P3912" s="9">
        <v>0</v>
      </c>
      <c r="Q3912" s="9">
        <v>0</v>
      </c>
      <c r="R3912" s="2"/>
    </row>
    <row r="3913" spans="1:18" x14ac:dyDescent="0.25">
      <c r="A3913" s="2" t="s">
        <v>16932</v>
      </c>
      <c r="B3913" s="6">
        <v>46204</v>
      </c>
      <c r="C3913" s="8">
        <v>46222</v>
      </c>
      <c r="D3913" s="2" t="s">
        <v>199</v>
      </c>
      <c r="E3913" s="2" t="s">
        <v>48</v>
      </c>
      <c r="F3913" s="2"/>
      <c r="G3913" s="2" t="s">
        <v>16933</v>
      </c>
      <c r="H3913" s="2" t="s">
        <v>39</v>
      </c>
      <c r="I3913" s="9">
        <v>0</v>
      </c>
      <c r="J3913" s="7">
        <v>1</v>
      </c>
      <c r="K3913" s="9">
        <v>0</v>
      </c>
      <c r="L3913" s="14">
        <v>52.915528488442163</v>
      </c>
      <c r="M3913" s="2" t="s">
        <v>71</v>
      </c>
      <c r="N3913" s="2" t="s">
        <v>16775</v>
      </c>
      <c r="O3913" s="2"/>
      <c r="P3913" s="9">
        <v>0</v>
      </c>
      <c r="Q3913" s="9">
        <v>0</v>
      </c>
      <c r="R3913" s="2"/>
    </row>
    <row r="3914" spans="1:18" x14ac:dyDescent="0.25">
      <c r="A3914" s="2" t="s">
        <v>16934</v>
      </c>
      <c r="B3914" s="6">
        <v>46204</v>
      </c>
      <c r="C3914" s="8">
        <v>46223</v>
      </c>
      <c r="D3914" s="2" t="s">
        <v>199</v>
      </c>
      <c r="E3914" s="2" t="s">
        <v>48</v>
      </c>
      <c r="F3914" s="2"/>
      <c r="G3914" s="2" t="s">
        <v>16935</v>
      </c>
      <c r="H3914" s="2" t="s">
        <v>39</v>
      </c>
      <c r="I3914" s="9">
        <v>0</v>
      </c>
      <c r="J3914" s="7">
        <v>1</v>
      </c>
      <c r="K3914" s="9">
        <v>0</v>
      </c>
      <c r="L3914" s="14">
        <v>52.980893505770389</v>
      </c>
      <c r="M3914" s="2" t="s">
        <v>71</v>
      </c>
      <c r="N3914" s="2" t="s">
        <v>16775</v>
      </c>
      <c r="O3914" s="2"/>
      <c r="P3914" s="9">
        <v>0</v>
      </c>
      <c r="Q3914" s="9">
        <v>0</v>
      </c>
      <c r="R3914" s="2"/>
    </row>
    <row r="3915" spans="1:18" x14ac:dyDescent="0.25">
      <c r="A3915" s="2" t="s">
        <v>16936</v>
      </c>
      <c r="B3915" s="6">
        <v>46204</v>
      </c>
      <c r="C3915" s="8">
        <v>46224</v>
      </c>
      <c r="D3915" s="2" t="s">
        <v>199</v>
      </c>
      <c r="E3915" s="2" t="s">
        <v>48</v>
      </c>
      <c r="F3915" s="2"/>
      <c r="G3915" s="2" t="s">
        <v>16937</v>
      </c>
      <c r="H3915" s="2" t="s">
        <v>39</v>
      </c>
      <c r="I3915" s="9">
        <v>0</v>
      </c>
      <c r="J3915" s="7">
        <v>1</v>
      </c>
      <c r="K3915" s="9">
        <v>0</v>
      </c>
      <c r="L3915" s="14">
        <v>52.794851024500261</v>
      </c>
      <c r="M3915" s="2" t="s">
        <v>71</v>
      </c>
      <c r="N3915" s="2" t="s">
        <v>16775</v>
      </c>
      <c r="O3915" s="2"/>
      <c r="P3915" s="9">
        <v>0</v>
      </c>
      <c r="Q3915" s="9">
        <v>0</v>
      </c>
      <c r="R3915" s="2"/>
    </row>
    <row r="3916" spans="1:18" x14ac:dyDescent="0.25">
      <c r="A3916" s="2" t="s">
        <v>16938</v>
      </c>
      <c r="B3916" s="6">
        <v>46204</v>
      </c>
      <c r="C3916" s="8">
        <v>46225</v>
      </c>
      <c r="D3916" s="2" t="s">
        <v>199</v>
      </c>
      <c r="E3916" s="2" t="s">
        <v>48</v>
      </c>
      <c r="F3916" s="2"/>
      <c r="G3916" s="2" t="s">
        <v>16939</v>
      </c>
      <c r="H3916" s="2" t="s">
        <v>39</v>
      </c>
      <c r="I3916" s="9">
        <v>0</v>
      </c>
      <c r="J3916" s="7">
        <v>1</v>
      </c>
      <c r="K3916" s="9">
        <v>0</v>
      </c>
      <c r="L3916" s="14">
        <v>52.490767533744012</v>
      </c>
      <c r="M3916" s="2" t="s">
        <v>71</v>
      </c>
      <c r="N3916" s="2" t="s">
        <v>16775</v>
      </c>
      <c r="O3916" s="2"/>
      <c r="P3916" s="9">
        <v>0</v>
      </c>
      <c r="Q3916" s="9">
        <v>0</v>
      </c>
      <c r="R3916" s="2"/>
    </row>
    <row r="3917" spans="1:18" x14ac:dyDescent="0.25">
      <c r="A3917" s="2" t="s">
        <v>16940</v>
      </c>
      <c r="B3917" s="6">
        <v>46204</v>
      </c>
      <c r="C3917" s="8">
        <v>46226</v>
      </c>
      <c r="D3917" s="2" t="s">
        <v>199</v>
      </c>
      <c r="E3917" s="2" t="s">
        <v>48</v>
      </c>
      <c r="F3917" s="2"/>
      <c r="G3917" s="2" t="s">
        <v>16941</v>
      </c>
      <c r="H3917" s="2" t="s">
        <v>39</v>
      </c>
      <c r="I3917" s="9">
        <v>0</v>
      </c>
      <c r="J3917" s="7">
        <v>1</v>
      </c>
      <c r="K3917" s="9">
        <v>0</v>
      </c>
      <c r="L3917" s="14">
        <v>51.979470796653843</v>
      </c>
      <c r="M3917" s="2" t="s">
        <v>71</v>
      </c>
      <c r="N3917" s="2" t="s">
        <v>16775</v>
      </c>
      <c r="O3917" s="2"/>
      <c r="P3917" s="9">
        <v>0</v>
      </c>
      <c r="Q3917" s="9">
        <v>0</v>
      </c>
      <c r="R3917" s="2"/>
    </row>
    <row r="3918" spans="1:18" x14ac:dyDescent="0.25">
      <c r="A3918" s="2" t="s">
        <v>16942</v>
      </c>
      <c r="B3918" s="6">
        <v>46204</v>
      </c>
      <c r="C3918" s="8">
        <v>46227</v>
      </c>
      <c r="D3918" s="2" t="s">
        <v>199</v>
      </c>
      <c r="E3918" s="2" t="s">
        <v>48</v>
      </c>
      <c r="F3918" s="2"/>
      <c r="G3918" s="2" t="s">
        <v>16943</v>
      </c>
      <c r="H3918" s="2" t="s">
        <v>39</v>
      </c>
      <c r="I3918" s="9">
        <v>0</v>
      </c>
      <c r="J3918" s="7">
        <v>1</v>
      </c>
      <c r="K3918" s="9">
        <v>0</v>
      </c>
      <c r="L3918" s="14">
        <v>51.358846159603608</v>
      </c>
      <c r="M3918" s="2" t="s">
        <v>71</v>
      </c>
      <c r="N3918" s="2" t="s">
        <v>16775</v>
      </c>
      <c r="O3918" s="2"/>
      <c r="P3918" s="9">
        <v>0</v>
      </c>
      <c r="Q3918" s="9">
        <v>0</v>
      </c>
      <c r="R3918" s="2"/>
    </row>
    <row r="3919" spans="1:18" x14ac:dyDescent="0.25">
      <c r="A3919" s="2" t="s">
        <v>16944</v>
      </c>
      <c r="B3919" s="6">
        <v>46204</v>
      </c>
      <c r="C3919" s="8">
        <v>46228</v>
      </c>
      <c r="D3919" s="2" t="s">
        <v>199</v>
      </c>
      <c r="E3919" s="2" t="s">
        <v>48</v>
      </c>
      <c r="F3919" s="2"/>
      <c r="G3919" s="2" t="s">
        <v>16945</v>
      </c>
      <c r="H3919" s="2" t="s">
        <v>39</v>
      </c>
      <c r="I3919" s="9">
        <v>0</v>
      </c>
      <c r="J3919" s="7">
        <v>1</v>
      </c>
      <c r="K3919" s="9">
        <v>0</v>
      </c>
      <c r="L3919" s="14">
        <v>50.735012260751503</v>
      </c>
      <c r="M3919" s="2" t="s">
        <v>71</v>
      </c>
      <c r="N3919" s="2" t="s">
        <v>16775</v>
      </c>
      <c r="O3919" s="2"/>
      <c r="P3919" s="9">
        <v>0</v>
      </c>
      <c r="Q3919" s="9">
        <v>0</v>
      </c>
      <c r="R3919" s="2"/>
    </row>
    <row r="3920" spans="1:18" x14ac:dyDescent="0.25">
      <c r="A3920" s="2" t="s">
        <v>16946</v>
      </c>
      <c r="B3920" s="6">
        <v>46204</v>
      </c>
      <c r="C3920" s="8">
        <v>46229</v>
      </c>
      <c r="D3920" s="2" t="s">
        <v>199</v>
      </c>
      <c r="E3920" s="2" t="s">
        <v>48</v>
      </c>
      <c r="F3920" s="2"/>
      <c r="G3920" s="2" t="s">
        <v>16947</v>
      </c>
      <c r="H3920" s="2" t="s">
        <v>39</v>
      </c>
      <c r="I3920" s="9">
        <v>0</v>
      </c>
      <c r="J3920" s="7">
        <v>1</v>
      </c>
      <c r="K3920" s="9">
        <v>0</v>
      </c>
      <c r="L3920" s="14">
        <v>50.187833020648043</v>
      </c>
      <c r="M3920" s="2" t="s">
        <v>71</v>
      </c>
      <c r="N3920" s="2" t="s">
        <v>16775</v>
      </c>
      <c r="O3920" s="2"/>
      <c r="P3920" s="9">
        <v>0</v>
      </c>
      <c r="Q3920" s="9">
        <v>0</v>
      </c>
      <c r="R3920" s="2"/>
    </row>
    <row r="3921" spans="1:18" x14ac:dyDescent="0.25">
      <c r="A3921" s="2" t="s">
        <v>16948</v>
      </c>
      <c r="B3921" s="6">
        <v>46204</v>
      </c>
      <c r="C3921" s="8">
        <v>46230</v>
      </c>
      <c r="D3921" s="2" t="s">
        <v>199</v>
      </c>
      <c r="E3921" s="2" t="s">
        <v>48</v>
      </c>
      <c r="F3921" s="2"/>
      <c r="G3921" s="2" t="s">
        <v>16949</v>
      </c>
      <c r="H3921" s="2" t="s">
        <v>39</v>
      </c>
      <c r="I3921" s="9">
        <v>0</v>
      </c>
      <c r="J3921" s="7">
        <v>1</v>
      </c>
      <c r="K3921" s="9">
        <v>0</v>
      </c>
      <c r="L3921" s="14">
        <v>49.785850358696877</v>
      </c>
      <c r="M3921" s="2" t="s">
        <v>71</v>
      </c>
      <c r="N3921" s="2" t="s">
        <v>16775</v>
      </c>
      <c r="O3921" s="2"/>
      <c r="P3921" s="9">
        <v>0</v>
      </c>
      <c r="Q3921" s="9">
        <v>0</v>
      </c>
      <c r="R3921" s="2"/>
    </row>
    <row r="3922" spans="1:18" x14ac:dyDescent="0.25">
      <c r="A3922" s="2" t="s">
        <v>16950</v>
      </c>
      <c r="B3922" s="6">
        <v>46204</v>
      </c>
      <c r="C3922" s="8">
        <v>46231</v>
      </c>
      <c r="D3922" s="2" t="s">
        <v>199</v>
      </c>
      <c r="E3922" s="2" t="s">
        <v>48</v>
      </c>
      <c r="F3922" s="2"/>
      <c r="G3922" s="2" t="s">
        <v>16951</v>
      </c>
      <c r="H3922" s="2" t="s">
        <v>39</v>
      </c>
      <c r="I3922" s="9">
        <v>0</v>
      </c>
      <c r="J3922" s="7">
        <v>1</v>
      </c>
      <c r="K3922" s="9">
        <v>0</v>
      </c>
      <c r="L3922" s="14">
        <v>49.654026780697393</v>
      </c>
      <c r="M3922" s="2" t="s">
        <v>71</v>
      </c>
      <c r="N3922" s="2" t="s">
        <v>16775</v>
      </c>
      <c r="O3922" s="2"/>
      <c r="P3922" s="9">
        <v>0</v>
      </c>
      <c r="Q3922" s="9">
        <v>0</v>
      </c>
      <c r="R3922" s="2"/>
    </row>
    <row r="3923" spans="1:18" x14ac:dyDescent="0.25">
      <c r="A3923" s="2" t="s">
        <v>16952</v>
      </c>
      <c r="B3923" s="6">
        <v>46204</v>
      </c>
      <c r="C3923" s="8">
        <v>46232</v>
      </c>
      <c r="D3923" s="2" t="s">
        <v>199</v>
      </c>
      <c r="E3923" s="2" t="s">
        <v>48</v>
      </c>
      <c r="F3923" s="2"/>
      <c r="G3923" s="2" t="s">
        <v>16953</v>
      </c>
      <c r="H3923" s="2" t="s">
        <v>39</v>
      </c>
      <c r="I3923" s="9">
        <v>0</v>
      </c>
      <c r="J3923" s="7">
        <v>1</v>
      </c>
      <c r="K3923" s="9">
        <v>0</v>
      </c>
      <c r="L3923" s="14">
        <v>49.790480037267088</v>
      </c>
      <c r="M3923" s="2" t="s">
        <v>71</v>
      </c>
      <c r="N3923" s="2" t="s">
        <v>16775</v>
      </c>
      <c r="O3923" s="2"/>
      <c r="P3923" s="9">
        <v>0</v>
      </c>
      <c r="Q3923" s="9">
        <v>0</v>
      </c>
      <c r="R3923" s="2"/>
    </row>
    <row r="3924" spans="1:18" x14ac:dyDescent="0.25">
      <c r="A3924" s="2" t="s">
        <v>16954</v>
      </c>
      <c r="B3924" s="6">
        <v>46204</v>
      </c>
      <c r="C3924" s="8">
        <v>46233</v>
      </c>
      <c r="D3924" s="2" t="s">
        <v>199</v>
      </c>
      <c r="E3924" s="2" t="s">
        <v>48</v>
      </c>
      <c r="F3924" s="2"/>
      <c r="G3924" s="2" t="s">
        <v>16955</v>
      </c>
      <c r="H3924" s="2" t="s">
        <v>39</v>
      </c>
      <c r="I3924" s="9">
        <v>0</v>
      </c>
      <c r="J3924" s="7">
        <v>1</v>
      </c>
      <c r="K3924" s="9">
        <v>0</v>
      </c>
      <c r="L3924" s="14">
        <v>50.268648648308023</v>
      </c>
      <c r="M3924" s="2" t="s">
        <v>71</v>
      </c>
      <c r="N3924" s="2" t="s">
        <v>16775</v>
      </c>
      <c r="O3924" s="2"/>
      <c r="P3924" s="9">
        <v>0</v>
      </c>
      <c r="Q3924" s="9">
        <v>0</v>
      </c>
      <c r="R3924" s="2"/>
    </row>
    <row r="3925" spans="1:18" x14ac:dyDescent="0.25">
      <c r="A3925" s="2" t="s">
        <v>16956</v>
      </c>
      <c r="B3925" s="6">
        <v>46204</v>
      </c>
      <c r="C3925" s="8">
        <v>46234</v>
      </c>
      <c r="D3925" s="2" t="s">
        <v>199</v>
      </c>
      <c r="E3925" s="2" t="s">
        <v>48</v>
      </c>
      <c r="F3925" s="2"/>
      <c r="G3925" s="2" t="s">
        <v>16957</v>
      </c>
      <c r="H3925" s="2" t="s">
        <v>39</v>
      </c>
      <c r="I3925" s="9">
        <v>0</v>
      </c>
      <c r="J3925" s="7">
        <v>1</v>
      </c>
      <c r="K3925" s="9">
        <v>0</v>
      </c>
      <c r="L3925" s="14">
        <v>51.061580356830078</v>
      </c>
      <c r="M3925" s="2" t="s">
        <v>71</v>
      </c>
      <c r="N3925" s="2" t="s">
        <v>16775</v>
      </c>
      <c r="O3925" s="2"/>
      <c r="P3925" s="9">
        <v>0</v>
      </c>
      <c r="Q3925" s="9">
        <v>0</v>
      </c>
      <c r="R3925" s="2"/>
    </row>
    <row r="3926" spans="1:18" x14ac:dyDescent="0.25">
      <c r="A3926" s="2" t="s">
        <v>16958</v>
      </c>
      <c r="B3926" s="6">
        <v>46174</v>
      </c>
      <c r="C3926" s="8">
        <v>46174</v>
      </c>
      <c r="D3926" s="2" t="s">
        <v>7433</v>
      </c>
      <c r="E3926" s="2" t="s">
        <v>16959</v>
      </c>
      <c r="F3926" s="2" t="s">
        <v>15300</v>
      </c>
      <c r="G3926" s="2" t="s">
        <v>16960</v>
      </c>
      <c r="H3926" s="2" t="s">
        <v>39</v>
      </c>
      <c r="I3926" s="9">
        <v>6248.6629999999996</v>
      </c>
      <c r="J3926" s="7">
        <v>1</v>
      </c>
      <c r="K3926" s="9">
        <v>6248.66</v>
      </c>
      <c r="L3926" s="14">
        <v>0</v>
      </c>
      <c r="M3926" s="2" t="s">
        <v>71</v>
      </c>
      <c r="N3926" s="2" t="s">
        <v>16961</v>
      </c>
      <c r="O3926" s="2" t="s">
        <v>7434</v>
      </c>
      <c r="P3926" s="9">
        <v>0</v>
      </c>
      <c r="Q3926" s="9">
        <v>0</v>
      </c>
      <c r="R3926" s="2"/>
    </row>
    <row r="3927" spans="1:18" x14ac:dyDescent="0.25">
      <c r="A3927" s="2" t="s">
        <v>16962</v>
      </c>
      <c r="B3927" s="6">
        <v>46174</v>
      </c>
      <c r="C3927" s="8">
        <v>46175</v>
      </c>
      <c r="D3927" s="2" t="s">
        <v>7433</v>
      </c>
      <c r="E3927" s="2" t="s">
        <v>16959</v>
      </c>
      <c r="F3927" s="2" t="s">
        <v>15304</v>
      </c>
      <c r="G3927" s="2" t="s">
        <v>16963</v>
      </c>
      <c r="H3927" s="2" t="s">
        <v>76</v>
      </c>
      <c r="I3927" s="9">
        <v>105071912</v>
      </c>
      <c r="J3927" s="7">
        <v>6.2500000000000001E-5</v>
      </c>
      <c r="K3927" s="9">
        <v>6566.99</v>
      </c>
      <c r="L3927" s="14">
        <v>0</v>
      </c>
      <c r="M3927" s="2" t="s">
        <v>71</v>
      </c>
      <c r="N3927" s="2" t="s">
        <v>16961</v>
      </c>
      <c r="O3927" s="2" t="s">
        <v>7439</v>
      </c>
      <c r="P3927" s="9">
        <v>0</v>
      </c>
      <c r="Q3927" s="9">
        <v>0</v>
      </c>
      <c r="R3927" s="2"/>
    </row>
    <row r="3928" spans="1:18" x14ac:dyDescent="0.25">
      <c r="A3928" s="2" t="s">
        <v>16964</v>
      </c>
      <c r="B3928" s="6">
        <v>46174</v>
      </c>
      <c r="C3928" s="8">
        <v>46176</v>
      </c>
      <c r="D3928" s="2" t="s">
        <v>7433</v>
      </c>
      <c r="E3928" s="2" t="s">
        <v>16959</v>
      </c>
      <c r="F3928" s="2" t="s">
        <v>15308</v>
      </c>
      <c r="G3928" s="2" t="s">
        <v>16965</v>
      </c>
      <c r="H3928" s="2" t="s">
        <v>70</v>
      </c>
      <c r="I3928" s="9">
        <v>10353.890977999999</v>
      </c>
      <c r="J3928" s="7">
        <v>0.66500000000000004</v>
      </c>
      <c r="K3928" s="9">
        <v>6885.34</v>
      </c>
      <c r="L3928" s="14">
        <v>0</v>
      </c>
      <c r="M3928" s="2" t="s">
        <v>71</v>
      </c>
      <c r="N3928" s="2" t="s">
        <v>16961</v>
      </c>
      <c r="O3928" s="2" t="s">
        <v>7444</v>
      </c>
      <c r="P3928" s="9">
        <v>0</v>
      </c>
      <c r="Q3928" s="9">
        <v>0</v>
      </c>
      <c r="R3928" s="2"/>
    </row>
    <row r="3929" spans="1:18" x14ac:dyDescent="0.25">
      <c r="A3929" s="2" t="s">
        <v>16966</v>
      </c>
      <c r="B3929" s="6">
        <v>46174</v>
      </c>
      <c r="C3929" s="8">
        <v>46177</v>
      </c>
      <c r="D3929" s="2" t="s">
        <v>7433</v>
      </c>
      <c r="E3929" s="2" t="s">
        <v>16959</v>
      </c>
      <c r="F3929" s="2" t="s">
        <v>15312</v>
      </c>
      <c r="G3929" s="2" t="s">
        <v>16967</v>
      </c>
      <c r="H3929" s="2" t="s">
        <v>39</v>
      </c>
      <c r="I3929" s="9">
        <v>7203.6689999999999</v>
      </c>
      <c r="J3929" s="7">
        <v>1</v>
      </c>
      <c r="K3929" s="9">
        <v>7203.67</v>
      </c>
      <c r="L3929" s="14">
        <v>0</v>
      </c>
      <c r="M3929" s="2" t="s">
        <v>71</v>
      </c>
      <c r="N3929" s="2" t="s">
        <v>16961</v>
      </c>
      <c r="O3929" s="2" t="s">
        <v>7449</v>
      </c>
      <c r="P3929" s="9">
        <v>0</v>
      </c>
      <c r="Q3929" s="9">
        <v>0</v>
      </c>
      <c r="R3929" s="2"/>
    </row>
    <row r="3930" spans="1:18" x14ac:dyDescent="0.25">
      <c r="A3930" s="2" t="s">
        <v>16968</v>
      </c>
      <c r="B3930" s="6">
        <v>46174</v>
      </c>
      <c r="C3930" s="8">
        <v>46178</v>
      </c>
      <c r="D3930" s="2" t="s">
        <v>7433</v>
      </c>
      <c r="E3930" s="2" t="s">
        <v>16959</v>
      </c>
      <c r="F3930" s="2" t="s">
        <v>15316</v>
      </c>
      <c r="G3930" s="2" t="s">
        <v>16969</v>
      </c>
      <c r="H3930" s="2" t="s">
        <v>76</v>
      </c>
      <c r="I3930" s="9">
        <v>120352192</v>
      </c>
      <c r="J3930" s="7">
        <v>6.2500000000000001E-5</v>
      </c>
      <c r="K3930" s="9">
        <v>7522.01</v>
      </c>
      <c r="L3930" s="14">
        <v>0</v>
      </c>
      <c r="M3930" s="2" t="s">
        <v>71</v>
      </c>
      <c r="N3930" s="2" t="s">
        <v>16961</v>
      </c>
      <c r="O3930" s="2" t="s">
        <v>7454</v>
      </c>
      <c r="P3930" s="9">
        <v>0</v>
      </c>
      <c r="Q3930" s="9">
        <v>0</v>
      </c>
      <c r="R3930" s="2"/>
    </row>
    <row r="3931" spans="1:18" x14ac:dyDescent="0.25">
      <c r="A3931" s="2" t="s">
        <v>16970</v>
      </c>
      <c r="B3931" s="6">
        <v>46174</v>
      </c>
      <c r="C3931" s="8">
        <v>46179</v>
      </c>
      <c r="D3931" s="2" t="s">
        <v>7433</v>
      </c>
      <c r="E3931" s="2" t="s">
        <v>16959</v>
      </c>
      <c r="F3931" s="2" t="s">
        <v>15320</v>
      </c>
      <c r="G3931" s="2" t="s">
        <v>16971</v>
      </c>
      <c r="H3931" s="2" t="s">
        <v>70</v>
      </c>
      <c r="I3931" s="9">
        <v>11789.990226</v>
      </c>
      <c r="J3931" s="7">
        <v>0.66500000000000004</v>
      </c>
      <c r="K3931" s="9">
        <v>7840.34</v>
      </c>
      <c r="L3931" s="14">
        <v>0</v>
      </c>
      <c r="M3931" s="2" t="s">
        <v>71</v>
      </c>
      <c r="N3931" s="2" t="s">
        <v>16961</v>
      </c>
      <c r="O3931" s="2" t="s">
        <v>7459</v>
      </c>
      <c r="P3931" s="9">
        <v>0</v>
      </c>
      <c r="Q3931" s="9">
        <v>0</v>
      </c>
      <c r="R3931" s="2"/>
    </row>
    <row r="3932" spans="1:18" x14ac:dyDescent="0.25">
      <c r="A3932" s="2" t="s">
        <v>16972</v>
      </c>
      <c r="B3932" s="6">
        <v>46174</v>
      </c>
      <c r="C3932" s="8">
        <v>46180</v>
      </c>
      <c r="D3932" s="2" t="s">
        <v>7433</v>
      </c>
      <c r="E3932" s="2" t="s">
        <v>16959</v>
      </c>
      <c r="F3932" s="2" t="s">
        <v>15324</v>
      </c>
      <c r="G3932" s="2" t="s">
        <v>16973</v>
      </c>
      <c r="H3932" s="2" t="s">
        <v>39</v>
      </c>
      <c r="I3932" s="9">
        <v>8158.6864999999998</v>
      </c>
      <c r="J3932" s="7">
        <v>1</v>
      </c>
      <c r="K3932" s="9">
        <v>8158.69</v>
      </c>
      <c r="L3932" s="14">
        <v>0</v>
      </c>
      <c r="M3932" s="2" t="s">
        <v>71</v>
      </c>
      <c r="N3932" s="2" t="s">
        <v>16961</v>
      </c>
      <c r="O3932" s="2" t="s">
        <v>7464</v>
      </c>
      <c r="P3932" s="9">
        <v>0</v>
      </c>
      <c r="Q3932" s="9">
        <v>0</v>
      </c>
      <c r="R3932" s="2"/>
    </row>
    <row r="3933" spans="1:18" x14ac:dyDescent="0.25">
      <c r="A3933" s="2" t="s">
        <v>16974</v>
      </c>
      <c r="B3933" s="6">
        <v>46174</v>
      </c>
      <c r="C3933" s="8">
        <v>46181</v>
      </c>
      <c r="D3933" s="2" t="s">
        <v>7433</v>
      </c>
      <c r="E3933" s="2" t="s">
        <v>16959</v>
      </c>
      <c r="F3933" s="2" t="s">
        <v>15328</v>
      </c>
      <c r="G3933" s="2" t="s">
        <v>16975</v>
      </c>
      <c r="H3933" s="2" t="s">
        <v>76</v>
      </c>
      <c r="I3933" s="9">
        <v>135632472</v>
      </c>
      <c r="J3933" s="7">
        <v>6.2500000000000001E-5</v>
      </c>
      <c r="K3933" s="9">
        <v>8477.0300000000007</v>
      </c>
      <c r="L3933" s="14">
        <v>0</v>
      </c>
      <c r="M3933" s="2" t="s">
        <v>71</v>
      </c>
      <c r="N3933" s="2" t="s">
        <v>16961</v>
      </c>
      <c r="O3933" s="2" t="s">
        <v>7469</v>
      </c>
      <c r="P3933" s="9">
        <v>0</v>
      </c>
      <c r="Q3933" s="9">
        <v>0</v>
      </c>
      <c r="R3933" s="2"/>
    </row>
    <row r="3934" spans="1:18" x14ac:dyDescent="0.25">
      <c r="A3934" s="2" t="s">
        <v>16976</v>
      </c>
      <c r="B3934" s="6">
        <v>46174</v>
      </c>
      <c r="C3934" s="8">
        <v>46182</v>
      </c>
      <c r="D3934" s="2" t="s">
        <v>7433</v>
      </c>
      <c r="E3934" s="2" t="s">
        <v>16959</v>
      </c>
      <c r="F3934" s="2" t="s">
        <v>15332</v>
      </c>
      <c r="G3934" s="2" t="s">
        <v>16977</v>
      </c>
      <c r="H3934" s="2" t="s">
        <v>70</v>
      </c>
      <c r="I3934" s="9">
        <v>13226.124061</v>
      </c>
      <c r="J3934" s="7">
        <v>0.66500000000000004</v>
      </c>
      <c r="K3934" s="9">
        <v>8795.3700000000008</v>
      </c>
      <c r="L3934" s="14">
        <v>0</v>
      </c>
      <c r="M3934" s="2" t="s">
        <v>71</v>
      </c>
      <c r="N3934" s="2" t="s">
        <v>16961</v>
      </c>
      <c r="O3934" s="2" t="s">
        <v>7474</v>
      </c>
      <c r="P3934" s="9">
        <v>0</v>
      </c>
      <c r="Q3934" s="9">
        <v>0</v>
      </c>
      <c r="R3934" s="2"/>
    </row>
    <row r="3935" spans="1:18" x14ac:dyDescent="0.25">
      <c r="A3935" s="2" t="s">
        <v>16978</v>
      </c>
      <c r="B3935" s="6">
        <v>46174</v>
      </c>
      <c r="C3935" s="8">
        <v>46183</v>
      </c>
      <c r="D3935" s="2" t="s">
        <v>7433</v>
      </c>
      <c r="E3935" s="2" t="s">
        <v>16959</v>
      </c>
      <c r="F3935" s="2" t="s">
        <v>15336</v>
      </c>
      <c r="G3935" s="2" t="s">
        <v>16979</v>
      </c>
      <c r="H3935" s="2" t="s">
        <v>39</v>
      </c>
      <c r="I3935" s="9">
        <v>9113.7039999999997</v>
      </c>
      <c r="J3935" s="7">
        <v>1</v>
      </c>
      <c r="K3935" s="9">
        <v>9113.7000000000007</v>
      </c>
      <c r="L3935" s="14">
        <v>0</v>
      </c>
      <c r="M3935" s="2" t="s">
        <v>71</v>
      </c>
      <c r="N3935" s="2" t="s">
        <v>16961</v>
      </c>
      <c r="O3935" s="2" t="s">
        <v>7479</v>
      </c>
      <c r="P3935" s="9">
        <v>0</v>
      </c>
      <c r="Q3935" s="9">
        <v>0</v>
      </c>
      <c r="R3935" s="2"/>
    </row>
    <row r="3936" spans="1:18" x14ac:dyDescent="0.25">
      <c r="A3936" s="2" t="s">
        <v>16980</v>
      </c>
      <c r="B3936" s="6">
        <v>46174</v>
      </c>
      <c r="C3936" s="8">
        <v>46184</v>
      </c>
      <c r="D3936" s="2" t="s">
        <v>7433</v>
      </c>
      <c r="E3936" s="2" t="s">
        <v>16959</v>
      </c>
      <c r="F3936" s="2" t="s">
        <v>15300</v>
      </c>
      <c r="G3936" s="2" t="s">
        <v>16981</v>
      </c>
      <c r="H3936" s="2" t="s">
        <v>76</v>
      </c>
      <c r="I3936" s="9">
        <v>150912752</v>
      </c>
      <c r="J3936" s="7">
        <v>6.2500000000000001E-5</v>
      </c>
      <c r="K3936" s="9">
        <v>9432.0499999999993</v>
      </c>
      <c r="L3936" s="14">
        <v>0</v>
      </c>
      <c r="M3936" s="2" t="s">
        <v>71</v>
      </c>
      <c r="N3936" s="2" t="s">
        <v>16961</v>
      </c>
      <c r="O3936" s="2" t="s">
        <v>7484</v>
      </c>
      <c r="P3936" s="9">
        <v>0</v>
      </c>
      <c r="Q3936" s="9">
        <v>0</v>
      </c>
      <c r="R3936" s="2"/>
    </row>
    <row r="3937" spans="1:18" x14ac:dyDescent="0.25">
      <c r="A3937" s="2" t="s">
        <v>16982</v>
      </c>
      <c r="B3937" s="6">
        <v>46174</v>
      </c>
      <c r="C3937" s="8">
        <v>46185</v>
      </c>
      <c r="D3937" s="2" t="s">
        <v>7433</v>
      </c>
      <c r="E3937" s="2" t="s">
        <v>16959</v>
      </c>
      <c r="F3937" s="2" t="s">
        <v>15304</v>
      </c>
      <c r="G3937" s="2" t="s">
        <v>16983</v>
      </c>
      <c r="H3937" s="2" t="s">
        <v>70</v>
      </c>
      <c r="I3937" s="9">
        <v>14662.223308000001</v>
      </c>
      <c r="J3937" s="7">
        <v>0.66500000000000004</v>
      </c>
      <c r="K3937" s="9">
        <v>9750.3799999999992</v>
      </c>
      <c r="L3937" s="14">
        <v>0</v>
      </c>
      <c r="M3937" s="2" t="s">
        <v>71</v>
      </c>
      <c r="N3937" s="2" t="s">
        <v>16961</v>
      </c>
      <c r="O3937" s="2" t="s">
        <v>7489</v>
      </c>
      <c r="P3937" s="9">
        <v>0</v>
      </c>
      <c r="Q3937" s="9">
        <v>0</v>
      </c>
      <c r="R3937" s="2"/>
    </row>
    <row r="3938" spans="1:18" x14ac:dyDescent="0.25">
      <c r="A3938" s="2" t="s">
        <v>16984</v>
      </c>
      <c r="B3938" s="6">
        <v>46174</v>
      </c>
      <c r="C3938" s="8">
        <v>46186</v>
      </c>
      <c r="D3938" s="2" t="s">
        <v>7433</v>
      </c>
      <c r="E3938" s="2" t="s">
        <v>16959</v>
      </c>
      <c r="F3938" s="2" t="s">
        <v>15308</v>
      </c>
      <c r="G3938" s="2" t="s">
        <v>16985</v>
      </c>
      <c r="H3938" s="2" t="s">
        <v>39</v>
      </c>
      <c r="I3938" s="9">
        <v>10068.7215</v>
      </c>
      <c r="J3938" s="7">
        <v>1</v>
      </c>
      <c r="K3938" s="9">
        <v>10068.719999999999</v>
      </c>
      <c r="L3938" s="14">
        <v>0</v>
      </c>
      <c r="M3938" s="2" t="s">
        <v>71</v>
      </c>
      <c r="N3938" s="2" t="s">
        <v>16961</v>
      </c>
      <c r="O3938" s="2" t="s">
        <v>7494</v>
      </c>
      <c r="P3938" s="9">
        <v>0</v>
      </c>
      <c r="Q3938" s="9">
        <v>0</v>
      </c>
      <c r="R3938" s="2"/>
    </row>
    <row r="3939" spans="1:18" x14ac:dyDescent="0.25">
      <c r="A3939" s="2" t="s">
        <v>16986</v>
      </c>
      <c r="B3939" s="6">
        <v>46174</v>
      </c>
      <c r="C3939" s="8">
        <v>46187</v>
      </c>
      <c r="D3939" s="2" t="s">
        <v>7433</v>
      </c>
      <c r="E3939" s="2" t="s">
        <v>16959</v>
      </c>
      <c r="F3939" s="2" t="s">
        <v>15312</v>
      </c>
      <c r="G3939" s="2" t="s">
        <v>16987</v>
      </c>
      <c r="H3939" s="2" t="s">
        <v>76</v>
      </c>
      <c r="I3939" s="9">
        <v>166192848</v>
      </c>
      <c r="J3939" s="7">
        <v>6.2500000000000001E-5</v>
      </c>
      <c r="K3939" s="9">
        <v>10387.049999999999</v>
      </c>
      <c r="L3939" s="14">
        <v>0</v>
      </c>
      <c r="M3939" s="2" t="s">
        <v>71</v>
      </c>
      <c r="N3939" s="2" t="s">
        <v>16961</v>
      </c>
      <c r="O3939" s="2" t="s">
        <v>7499</v>
      </c>
      <c r="P3939" s="9">
        <v>0</v>
      </c>
      <c r="Q3939" s="9">
        <v>0</v>
      </c>
      <c r="R3939" s="2"/>
    </row>
    <row r="3940" spans="1:18" x14ac:dyDescent="0.25">
      <c r="A3940" s="2" t="s">
        <v>16988</v>
      </c>
      <c r="B3940" s="6">
        <v>46174</v>
      </c>
      <c r="C3940" s="8">
        <v>46188</v>
      </c>
      <c r="D3940" s="2" t="s">
        <v>7433</v>
      </c>
      <c r="E3940" s="2" t="s">
        <v>16959</v>
      </c>
      <c r="F3940" s="2" t="s">
        <v>15316</v>
      </c>
      <c r="G3940" s="2" t="s">
        <v>16989</v>
      </c>
      <c r="H3940" s="2" t="s">
        <v>70</v>
      </c>
      <c r="I3940" s="9">
        <v>16098.33985</v>
      </c>
      <c r="J3940" s="7">
        <v>0.66500000000000004</v>
      </c>
      <c r="K3940" s="9">
        <v>10705.4</v>
      </c>
      <c r="L3940" s="14">
        <v>0</v>
      </c>
      <c r="M3940" s="2" t="s">
        <v>71</v>
      </c>
      <c r="N3940" s="2" t="s">
        <v>16961</v>
      </c>
      <c r="O3940" s="2" t="s">
        <v>7504</v>
      </c>
      <c r="P3940" s="9">
        <v>0</v>
      </c>
      <c r="Q3940" s="9">
        <v>0</v>
      </c>
      <c r="R3940" s="2"/>
    </row>
    <row r="3941" spans="1:18" x14ac:dyDescent="0.25">
      <c r="A3941" s="2" t="s">
        <v>16990</v>
      </c>
      <c r="B3941" s="6">
        <v>46174</v>
      </c>
      <c r="C3941" s="8">
        <v>46189</v>
      </c>
      <c r="D3941" s="2" t="s">
        <v>7433</v>
      </c>
      <c r="E3941" s="2" t="s">
        <v>16959</v>
      </c>
      <c r="F3941" s="2" t="s">
        <v>15320</v>
      </c>
      <c r="G3941" s="2" t="s">
        <v>16991</v>
      </c>
      <c r="H3941" s="2" t="s">
        <v>39</v>
      </c>
      <c r="I3941" s="9">
        <v>11023.739</v>
      </c>
      <c r="J3941" s="7">
        <v>1</v>
      </c>
      <c r="K3941" s="9">
        <v>11023.74</v>
      </c>
      <c r="L3941" s="14">
        <v>0</v>
      </c>
      <c r="M3941" s="2" t="s">
        <v>71</v>
      </c>
      <c r="N3941" s="2" t="s">
        <v>16961</v>
      </c>
      <c r="O3941" s="2" t="s">
        <v>7509</v>
      </c>
      <c r="P3941" s="9">
        <v>0</v>
      </c>
      <c r="Q3941" s="9">
        <v>0</v>
      </c>
      <c r="R3941" s="2"/>
    </row>
    <row r="3942" spans="1:18" x14ac:dyDescent="0.25">
      <c r="A3942" s="2" t="s">
        <v>16992</v>
      </c>
      <c r="B3942" s="6">
        <v>46174</v>
      </c>
      <c r="C3942" s="8">
        <v>46190</v>
      </c>
      <c r="D3942" s="2" t="s">
        <v>7433</v>
      </c>
      <c r="E3942" s="2" t="s">
        <v>16959</v>
      </c>
      <c r="F3942" s="2" t="s">
        <v>15324</v>
      </c>
      <c r="G3942" s="2" t="s">
        <v>16993</v>
      </c>
      <c r="H3942" s="2" t="s">
        <v>76</v>
      </c>
      <c r="I3942" s="9">
        <v>181473128</v>
      </c>
      <c r="J3942" s="7">
        <v>6.2500000000000001E-5</v>
      </c>
      <c r="K3942" s="9">
        <v>11342.07</v>
      </c>
      <c r="L3942" s="14">
        <v>0</v>
      </c>
      <c r="M3942" s="2" t="s">
        <v>71</v>
      </c>
      <c r="N3942" s="2" t="s">
        <v>16961</v>
      </c>
      <c r="O3942" s="2" t="s">
        <v>7514</v>
      </c>
      <c r="P3942" s="9">
        <v>0</v>
      </c>
      <c r="Q3942" s="9">
        <v>0</v>
      </c>
      <c r="R3942" s="2"/>
    </row>
    <row r="3943" spans="1:18" x14ac:dyDescent="0.25">
      <c r="A3943" s="2" t="s">
        <v>16994</v>
      </c>
      <c r="B3943" s="6">
        <v>46174</v>
      </c>
      <c r="C3943" s="8">
        <v>46191</v>
      </c>
      <c r="D3943" s="2" t="s">
        <v>7433</v>
      </c>
      <c r="E3943" s="2" t="s">
        <v>16959</v>
      </c>
      <c r="F3943" s="2" t="s">
        <v>15328</v>
      </c>
      <c r="G3943" s="2" t="s">
        <v>16995</v>
      </c>
      <c r="H3943" s="2" t="s">
        <v>70</v>
      </c>
      <c r="I3943" s="9">
        <v>17534.456389999999</v>
      </c>
      <c r="J3943" s="7">
        <v>0.66500000000000004</v>
      </c>
      <c r="K3943" s="9">
        <v>11660.41</v>
      </c>
      <c r="L3943" s="14">
        <v>0</v>
      </c>
      <c r="M3943" s="2" t="s">
        <v>71</v>
      </c>
      <c r="N3943" s="2" t="s">
        <v>16961</v>
      </c>
      <c r="O3943" s="2" t="s">
        <v>7519</v>
      </c>
      <c r="P3943" s="9">
        <v>0</v>
      </c>
      <c r="Q3943" s="9">
        <v>0</v>
      </c>
      <c r="R3943" s="2"/>
    </row>
    <row r="3944" spans="1:18" x14ac:dyDescent="0.25">
      <c r="A3944" s="2" t="s">
        <v>16996</v>
      </c>
      <c r="B3944" s="6">
        <v>46174</v>
      </c>
      <c r="C3944" s="8">
        <v>46192</v>
      </c>
      <c r="D3944" s="2" t="s">
        <v>7433</v>
      </c>
      <c r="E3944" s="2" t="s">
        <v>16959</v>
      </c>
      <c r="F3944" s="2" t="s">
        <v>15332</v>
      </c>
      <c r="G3944" s="2" t="s">
        <v>16997</v>
      </c>
      <c r="H3944" s="2" t="s">
        <v>39</v>
      </c>
      <c r="I3944" s="9">
        <v>11978.745000000001</v>
      </c>
      <c r="J3944" s="7">
        <v>1</v>
      </c>
      <c r="K3944" s="9">
        <v>11978.74</v>
      </c>
      <c r="L3944" s="14">
        <v>0</v>
      </c>
      <c r="M3944" s="2" t="s">
        <v>71</v>
      </c>
      <c r="N3944" s="2" t="s">
        <v>16961</v>
      </c>
      <c r="O3944" s="2" t="s">
        <v>7524</v>
      </c>
      <c r="P3944" s="9">
        <v>0</v>
      </c>
      <c r="Q3944" s="9">
        <v>0</v>
      </c>
      <c r="R3944" s="2"/>
    </row>
    <row r="3945" spans="1:18" x14ac:dyDescent="0.25">
      <c r="A3945" s="2" t="s">
        <v>16998</v>
      </c>
      <c r="B3945" s="6">
        <v>46174</v>
      </c>
      <c r="C3945" s="8">
        <v>46193</v>
      </c>
      <c r="D3945" s="2" t="s">
        <v>7433</v>
      </c>
      <c r="E3945" s="2" t="s">
        <v>16959</v>
      </c>
      <c r="F3945" s="2" t="s">
        <v>15336</v>
      </c>
      <c r="G3945" s="2" t="s">
        <v>16999</v>
      </c>
      <c r="H3945" s="2" t="s">
        <v>76</v>
      </c>
      <c r="I3945" s="9">
        <v>196753408</v>
      </c>
      <c r="J3945" s="7">
        <v>6.2500000000000001E-5</v>
      </c>
      <c r="K3945" s="9">
        <v>12297.09</v>
      </c>
      <c r="L3945" s="14">
        <v>0</v>
      </c>
      <c r="M3945" s="2" t="s">
        <v>71</v>
      </c>
      <c r="N3945" s="2" t="s">
        <v>16961</v>
      </c>
      <c r="O3945" s="2" t="s">
        <v>7529</v>
      </c>
      <c r="P3945" s="9">
        <v>0</v>
      </c>
      <c r="Q3945" s="9">
        <v>0</v>
      </c>
      <c r="R3945" s="2"/>
    </row>
    <row r="3946" spans="1:18" x14ac:dyDescent="0.25">
      <c r="A3946" s="2" t="s">
        <v>17000</v>
      </c>
      <c r="B3946" s="6">
        <v>46174</v>
      </c>
      <c r="C3946" s="8">
        <v>46194</v>
      </c>
      <c r="D3946" s="2" t="s">
        <v>7433</v>
      </c>
      <c r="E3946" s="2" t="s">
        <v>16959</v>
      </c>
      <c r="F3946" s="2" t="s">
        <v>15300</v>
      </c>
      <c r="G3946" s="2" t="s">
        <v>17001</v>
      </c>
      <c r="H3946" s="2" t="s">
        <v>70</v>
      </c>
      <c r="I3946" s="9">
        <v>18970.555638999998</v>
      </c>
      <c r="J3946" s="7">
        <v>0.66500000000000004</v>
      </c>
      <c r="K3946" s="9">
        <v>12615.42</v>
      </c>
      <c r="L3946" s="14">
        <v>0</v>
      </c>
      <c r="M3946" s="2" t="s">
        <v>71</v>
      </c>
      <c r="N3946" s="2" t="s">
        <v>16961</v>
      </c>
      <c r="O3946" s="2" t="s">
        <v>7534</v>
      </c>
      <c r="P3946" s="9">
        <v>0</v>
      </c>
      <c r="Q3946" s="9">
        <v>0</v>
      </c>
      <c r="R3946" s="2"/>
    </row>
    <row r="3947" spans="1:18" x14ac:dyDescent="0.25">
      <c r="A3947" s="2" t="s">
        <v>17002</v>
      </c>
      <c r="B3947" s="6">
        <v>46174</v>
      </c>
      <c r="C3947" s="8">
        <v>46195</v>
      </c>
      <c r="D3947" s="2" t="s">
        <v>7433</v>
      </c>
      <c r="E3947" s="2" t="s">
        <v>16959</v>
      </c>
      <c r="F3947" s="2" t="s">
        <v>15304</v>
      </c>
      <c r="G3947" s="2" t="s">
        <v>17003</v>
      </c>
      <c r="H3947" s="2" t="s">
        <v>39</v>
      </c>
      <c r="I3947" s="9">
        <v>12933.762500000001</v>
      </c>
      <c r="J3947" s="7">
        <v>1</v>
      </c>
      <c r="K3947" s="9">
        <v>12933.76</v>
      </c>
      <c r="L3947" s="14">
        <v>0</v>
      </c>
      <c r="M3947" s="2" t="s">
        <v>71</v>
      </c>
      <c r="N3947" s="2" t="s">
        <v>16961</v>
      </c>
      <c r="O3947" s="2" t="s">
        <v>7539</v>
      </c>
      <c r="P3947" s="9">
        <v>0</v>
      </c>
      <c r="Q3947" s="9">
        <v>0</v>
      </c>
      <c r="R3947" s="2"/>
    </row>
    <row r="3948" spans="1:18" x14ac:dyDescent="0.25">
      <c r="A3948" s="2" t="s">
        <v>17004</v>
      </c>
      <c r="B3948" s="6">
        <v>46174</v>
      </c>
      <c r="C3948" s="8">
        <v>46196</v>
      </c>
      <c r="D3948" s="2" t="s">
        <v>7433</v>
      </c>
      <c r="E3948" s="2" t="s">
        <v>16959</v>
      </c>
      <c r="F3948" s="2" t="s">
        <v>15308</v>
      </c>
      <c r="G3948" s="2" t="s">
        <v>17005</v>
      </c>
      <c r="H3948" s="2" t="s">
        <v>76</v>
      </c>
      <c r="I3948" s="9">
        <v>212033688</v>
      </c>
      <c r="J3948" s="7">
        <v>6.2500000000000001E-5</v>
      </c>
      <c r="K3948" s="9">
        <v>13252.11</v>
      </c>
      <c r="L3948" s="14">
        <v>0</v>
      </c>
      <c r="M3948" s="2" t="s">
        <v>71</v>
      </c>
      <c r="N3948" s="2" t="s">
        <v>16961</v>
      </c>
      <c r="O3948" s="2" t="s">
        <v>7544</v>
      </c>
      <c r="P3948" s="9">
        <v>0</v>
      </c>
      <c r="Q3948" s="9">
        <v>0</v>
      </c>
      <c r="R3948" s="2"/>
    </row>
    <row r="3949" spans="1:18" x14ac:dyDescent="0.25">
      <c r="A3949" s="2" t="s">
        <v>17006</v>
      </c>
      <c r="B3949" s="6">
        <v>46174</v>
      </c>
      <c r="C3949" s="8">
        <v>46197</v>
      </c>
      <c r="D3949" s="2" t="s">
        <v>7433</v>
      </c>
      <c r="E3949" s="2" t="s">
        <v>16959</v>
      </c>
      <c r="F3949" s="2" t="s">
        <v>15312</v>
      </c>
      <c r="G3949" s="2" t="s">
        <v>17007</v>
      </c>
      <c r="H3949" s="2" t="s">
        <v>70</v>
      </c>
      <c r="I3949" s="9">
        <v>20406.689472999999</v>
      </c>
      <c r="J3949" s="7">
        <v>0.66500000000000004</v>
      </c>
      <c r="K3949" s="9">
        <v>13570.45</v>
      </c>
      <c r="L3949" s="14">
        <v>0</v>
      </c>
      <c r="M3949" s="2" t="s">
        <v>71</v>
      </c>
      <c r="N3949" s="2" t="s">
        <v>16961</v>
      </c>
      <c r="O3949" s="2" t="s">
        <v>7549</v>
      </c>
      <c r="P3949" s="9">
        <v>0</v>
      </c>
      <c r="Q3949" s="9">
        <v>0</v>
      </c>
      <c r="R3949" s="2"/>
    </row>
    <row r="3950" spans="1:18" x14ac:dyDescent="0.25">
      <c r="A3950" s="2" t="s">
        <v>17008</v>
      </c>
      <c r="B3950" s="6">
        <v>46174</v>
      </c>
      <c r="C3950" s="8">
        <v>46198</v>
      </c>
      <c r="D3950" s="2" t="s">
        <v>7433</v>
      </c>
      <c r="E3950" s="2" t="s">
        <v>16959</v>
      </c>
      <c r="F3950" s="2" t="s">
        <v>15316</v>
      </c>
      <c r="G3950" s="2" t="s">
        <v>17009</v>
      </c>
      <c r="H3950" s="2" t="s">
        <v>39</v>
      </c>
      <c r="I3950" s="9">
        <v>13888.78</v>
      </c>
      <c r="J3950" s="7">
        <v>1</v>
      </c>
      <c r="K3950" s="9">
        <v>13888.78</v>
      </c>
      <c r="L3950" s="14">
        <v>0</v>
      </c>
      <c r="M3950" s="2" t="s">
        <v>71</v>
      </c>
      <c r="N3950" s="2" t="s">
        <v>16961</v>
      </c>
      <c r="O3950" s="2" t="s">
        <v>7554</v>
      </c>
      <c r="P3950" s="9">
        <v>0</v>
      </c>
      <c r="Q3950" s="9">
        <v>0</v>
      </c>
      <c r="R3950" s="2"/>
    </row>
    <row r="3951" spans="1:18" x14ac:dyDescent="0.25">
      <c r="A3951" s="2" t="s">
        <v>17010</v>
      </c>
      <c r="B3951" s="6">
        <v>46174</v>
      </c>
      <c r="C3951" s="8">
        <v>46199</v>
      </c>
      <c r="D3951" s="2" t="s">
        <v>7433</v>
      </c>
      <c r="E3951" s="2" t="s">
        <v>16959</v>
      </c>
      <c r="F3951" s="2" t="s">
        <v>15320</v>
      </c>
      <c r="G3951" s="2" t="s">
        <v>17011</v>
      </c>
      <c r="H3951" s="2" t="s">
        <v>76</v>
      </c>
      <c r="I3951" s="9">
        <v>227313968</v>
      </c>
      <c r="J3951" s="7">
        <v>6.2500000000000001E-5</v>
      </c>
      <c r="K3951" s="9">
        <v>14207.12</v>
      </c>
      <c r="L3951" s="14">
        <v>0</v>
      </c>
      <c r="M3951" s="2" t="s">
        <v>71</v>
      </c>
      <c r="N3951" s="2" t="s">
        <v>16961</v>
      </c>
      <c r="O3951" s="2" t="s">
        <v>7559</v>
      </c>
      <c r="P3951" s="9">
        <v>0</v>
      </c>
      <c r="Q3951" s="9">
        <v>0</v>
      </c>
      <c r="R3951" s="2"/>
    </row>
    <row r="3952" spans="1:18" x14ac:dyDescent="0.25">
      <c r="A3952" s="2" t="s">
        <v>17012</v>
      </c>
      <c r="B3952" s="6">
        <v>46174</v>
      </c>
      <c r="C3952" s="8">
        <v>46200</v>
      </c>
      <c r="D3952" s="2" t="s">
        <v>7433</v>
      </c>
      <c r="E3952" s="2" t="s">
        <v>16959</v>
      </c>
      <c r="F3952" s="2" t="s">
        <v>15324</v>
      </c>
      <c r="G3952" s="2" t="s">
        <v>17013</v>
      </c>
      <c r="H3952" s="2" t="s">
        <v>70</v>
      </c>
      <c r="I3952" s="9">
        <v>21842.788721000001</v>
      </c>
      <c r="J3952" s="7">
        <v>0.66500000000000004</v>
      </c>
      <c r="K3952" s="9">
        <v>14525.45</v>
      </c>
      <c r="L3952" s="14">
        <v>0</v>
      </c>
      <c r="M3952" s="2" t="s">
        <v>71</v>
      </c>
      <c r="N3952" s="2" t="s">
        <v>16961</v>
      </c>
      <c r="O3952" s="2" t="s">
        <v>7564</v>
      </c>
      <c r="P3952" s="9">
        <v>0</v>
      </c>
      <c r="Q3952" s="9">
        <v>0</v>
      </c>
      <c r="R3952" s="2"/>
    </row>
    <row r="3953" spans="1:18" x14ac:dyDescent="0.25">
      <c r="A3953" s="2" t="s">
        <v>17014</v>
      </c>
      <c r="B3953" s="6">
        <v>46174</v>
      </c>
      <c r="C3953" s="8">
        <v>46201</v>
      </c>
      <c r="D3953" s="2" t="s">
        <v>7433</v>
      </c>
      <c r="E3953" s="2" t="s">
        <v>16959</v>
      </c>
      <c r="F3953" s="2" t="s">
        <v>15328</v>
      </c>
      <c r="G3953" s="2" t="s">
        <v>17015</v>
      </c>
      <c r="H3953" s="2" t="s">
        <v>39</v>
      </c>
      <c r="I3953" s="9">
        <v>14843.797500000001</v>
      </c>
      <c r="J3953" s="7">
        <v>1</v>
      </c>
      <c r="K3953" s="9">
        <v>14843.8</v>
      </c>
      <c r="L3953" s="14">
        <v>0</v>
      </c>
      <c r="M3953" s="2" t="s">
        <v>71</v>
      </c>
      <c r="N3953" s="2" t="s">
        <v>16961</v>
      </c>
      <c r="O3953" s="2" t="s">
        <v>7569</v>
      </c>
      <c r="P3953" s="9">
        <v>0</v>
      </c>
      <c r="Q3953" s="9">
        <v>0</v>
      </c>
      <c r="R3953" s="2"/>
    </row>
    <row r="3954" spans="1:18" x14ac:dyDescent="0.25">
      <c r="A3954" s="2" t="s">
        <v>17016</v>
      </c>
      <c r="B3954" s="6">
        <v>46174</v>
      </c>
      <c r="C3954" s="8">
        <v>46202</v>
      </c>
      <c r="D3954" s="2" t="s">
        <v>7433</v>
      </c>
      <c r="E3954" s="2" t="s">
        <v>16959</v>
      </c>
      <c r="F3954" s="2" t="s">
        <v>15332</v>
      </c>
      <c r="G3954" s="2" t="s">
        <v>17017</v>
      </c>
      <c r="H3954" s="2" t="s">
        <v>76</v>
      </c>
      <c r="I3954" s="9">
        <v>242594064</v>
      </c>
      <c r="J3954" s="7">
        <v>6.2500000000000001E-5</v>
      </c>
      <c r="K3954" s="9">
        <v>15162.13</v>
      </c>
      <c r="L3954" s="14">
        <v>0</v>
      </c>
      <c r="M3954" s="2" t="s">
        <v>71</v>
      </c>
      <c r="N3954" s="2" t="s">
        <v>16961</v>
      </c>
      <c r="O3954" s="2" t="s">
        <v>7574</v>
      </c>
      <c r="P3954" s="9">
        <v>0</v>
      </c>
      <c r="Q3954" s="9">
        <v>0</v>
      </c>
      <c r="R3954" s="2"/>
    </row>
    <row r="3955" spans="1:18" x14ac:dyDescent="0.25">
      <c r="A3955" s="2" t="s">
        <v>17018</v>
      </c>
      <c r="B3955" s="6">
        <v>46174</v>
      </c>
      <c r="C3955" s="8">
        <v>46203</v>
      </c>
      <c r="D3955" s="2" t="s">
        <v>7433</v>
      </c>
      <c r="E3955" s="2" t="s">
        <v>16959</v>
      </c>
      <c r="F3955" s="2" t="s">
        <v>15336</v>
      </c>
      <c r="G3955" s="2" t="s">
        <v>17019</v>
      </c>
      <c r="H3955" s="2" t="s">
        <v>70</v>
      </c>
      <c r="I3955" s="9">
        <v>23278.905263000001</v>
      </c>
      <c r="J3955" s="7">
        <v>0.66500000000000004</v>
      </c>
      <c r="K3955" s="9">
        <v>15480.47</v>
      </c>
      <c r="L3955" s="14">
        <v>0</v>
      </c>
      <c r="M3955" s="2" t="s">
        <v>71</v>
      </c>
      <c r="N3955" s="2" t="s">
        <v>16961</v>
      </c>
      <c r="O3955" s="2" t="s">
        <v>7579</v>
      </c>
      <c r="P3955" s="9">
        <v>0</v>
      </c>
      <c r="Q3955" s="9">
        <v>0</v>
      </c>
      <c r="R3955" s="2"/>
    </row>
    <row r="3956" spans="1:18" x14ac:dyDescent="0.25">
      <c r="A3956" s="2" t="s">
        <v>17020</v>
      </c>
      <c r="B3956" s="6">
        <v>46174</v>
      </c>
      <c r="C3956" s="8">
        <v>46174</v>
      </c>
      <c r="D3956" s="2" t="s">
        <v>7433</v>
      </c>
      <c r="E3956" s="2" t="s">
        <v>16959</v>
      </c>
      <c r="F3956" s="2" t="s">
        <v>15300</v>
      </c>
      <c r="G3956" s="2" t="s">
        <v>17021</v>
      </c>
      <c r="H3956" s="2" t="s">
        <v>39</v>
      </c>
      <c r="I3956" s="9">
        <v>15798.815000000001</v>
      </c>
      <c r="J3956" s="7">
        <v>1</v>
      </c>
      <c r="K3956" s="9">
        <v>15798.81</v>
      </c>
      <c r="L3956" s="14">
        <v>0</v>
      </c>
      <c r="M3956" s="2" t="s">
        <v>71</v>
      </c>
      <c r="N3956" s="2" t="s">
        <v>16961</v>
      </c>
      <c r="O3956" s="2" t="s">
        <v>7584</v>
      </c>
      <c r="P3956" s="9">
        <v>0</v>
      </c>
      <c r="Q3956" s="9">
        <v>0</v>
      </c>
      <c r="R3956" s="2"/>
    </row>
    <row r="3957" spans="1:18" x14ac:dyDescent="0.25">
      <c r="A3957" s="2" t="s">
        <v>17022</v>
      </c>
      <c r="B3957" s="6">
        <v>46174</v>
      </c>
      <c r="C3957" s="8">
        <v>46175</v>
      </c>
      <c r="D3957" s="2" t="s">
        <v>7433</v>
      </c>
      <c r="E3957" s="2" t="s">
        <v>16959</v>
      </c>
      <c r="F3957" s="2" t="s">
        <v>15304</v>
      </c>
      <c r="G3957" s="2" t="s">
        <v>17023</v>
      </c>
      <c r="H3957" s="2" t="s">
        <v>76</v>
      </c>
      <c r="I3957" s="9">
        <v>257874344</v>
      </c>
      <c r="J3957" s="7">
        <v>6.2500000000000001E-5</v>
      </c>
      <c r="K3957" s="9">
        <v>16117.15</v>
      </c>
      <c r="L3957" s="14">
        <v>0</v>
      </c>
      <c r="M3957" s="2" t="s">
        <v>71</v>
      </c>
      <c r="N3957" s="2" t="s">
        <v>16961</v>
      </c>
      <c r="O3957" s="2" t="s">
        <v>7589</v>
      </c>
      <c r="P3957" s="9">
        <v>0</v>
      </c>
      <c r="Q3957" s="9">
        <v>0</v>
      </c>
      <c r="R3957" s="2"/>
    </row>
    <row r="3958" spans="1:18" x14ac:dyDescent="0.25">
      <c r="A3958" s="2" t="s">
        <v>17024</v>
      </c>
      <c r="B3958" s="6">
        <v>46174</v>
      </c>
      <c r="C3958" s="8">
        <v>46176</v>
      </c>
      <c r="D3958" s="2" t="s">
        <v>7433</v>
      </c>
      <c r="E3958" s="2" t="s">
        <v>16959</v>
      </c>
      <c r="F3958" s="2" t="s">
        <v>15308</v>
      </c>
      <c r="G3958" s="2" t="s">
        <v>17025</v>
      </c>
      <c r="H3958" s="2" t="s">
        <v>70</v>
      </c>
      <c r="I3958" s="9">
        <v>24715.021804</v>
      </c>
      <c r="J3958" s="7">
        <v>0.66500000000000004</v>
      </c>
      <c r="K3958" s="9">
        <v>16435.490000000002</v>
      </c>
      <c r="L3958" s="14">
        <v>0</v>
      </c>
      <c r="M3958" s="2" t="s">
        <v>71</v>
      </c>
      <c r="N3958" s="2" t="s">
        <v>16961</v>
      </c>
      <c r="O3958" s="2" t="s">
        <v>7594</v>
      </c>
      <c r="P3958" s="9">
        <v>0</v>
      </c>
      <c r="Q3958" s="9">
        <v>0</v>
      </c>
      <c r="R3958" s="2"/>
    </row>
    <row r="3959" spans="1:18" x14ac:dyDescent="0.25">
      <c r="A3959" s="2" t="s">
        <v>17026</v>
      </c>
      <c r="B3959" s="6">
        <v>46174</v>
      </c>
      <c r="C3959" s="8">
        <v>46177</v>
      </c>
      <c r="D3959" s="2" t="s">
        <v>7433</v>
      </c>
      <c r="E3959" s="2" t="s">
        <v>16959</v>
      </c>
      <c r="F3959" s="2" t="s">
        <v>15312</v>
      </c>
      <c r="G3959" s="2" t="s">
        <v>17027</v>
      </c>
      <c r="H3959" s="2" t="s">
        <v>39</v>
      </c>
      <c r="I3959" s="9">
        <v>16753.821</v>
      </c>
      <c r="J3959" s="7">
        <v>1</v>
      </c>
      <c r="K3959" s="9">
        <v>16753.82</v>
      </c>
      <c r="L3959" s="14">
        <v>0</v>
      </c>
      <c r="M3959" s="2" t="s">
        <v>71</v>
      </c>
      <c r="N3959" s="2" t="s">
        <v>16961</v>
      </c>
      <c r="O3959" s="2" t="s">
        <v>7599</v>
      </c>
      <c r="P3959" s="9">
        <v>0</v>
      </c>
      <c r="Q3959" s="9">
        <v>0</v>
      </c>
      <c r="R3959" s="2"/>
    </row>
    <row r="3960" spans="1:18" x14ac:dyDescent="0.25">
      <c r="A3960" s="2" t="s">
        <v>17028</v>
      </c>
      <c r="B3960" s="6">
        <v>46174</v>
      </c>
      <c r="C3960" s="8">
        <v>46178</v>
      </c>
      <c r="D3960" s="2" t="s">
        <v>7433</v>
      </c>
      <c r="E3960" s="2" t="s">
        <v>16959</v>
      </c>
      <c r="F3960" s="2" t="s">
        <v>15316</v>
      </c>
      <c r="G3960" s="2" t="s">
        <v>17029</v>
      </c>
      <c r="H3960" s="2" t="s">
        <v>76</v>
      </c>
      <c r="I3960" s="9">
        <v>273154624</v>
      </c>
      <c r="J3960" s="7">
        <v>6.2500000000000001E-5</v>
      </c>
      <c r="K3960" s="9">
        <v>17072.16</v>
      </c>
      <c r="L3960" s="14">
        <v>0</v>
      </c>
      <c r="M3960" s="2" t="s">
        <v>71</v>
      </c>
      <c r="N3960" s="2" t="s">
        <v>16961</v>
      </c>
      <c r="O3960" s="2" t="s">
        <v>7604</v>
      </c>
      <c r="P3960" s="9">
        <v>0</v>
      </c>
      <c r="Q3960" s="9">
        <v>0</v>
      </c>
      <c r="R3960" s="2"/>
    </row>
    <row r="3961" spans="1:18" x14ac:dyDescent="0.25">
      <c r="A3961" s="2" t="s">
        <v>17030</v>
      </c>
      <c r="B3961" s="6">
        <v>46174</v>
      </c>
      <c r="C3961" s="8">
        <v>46179</v>
      </c>
      <c r="D3961" s="2" t="s">
        <v>7433</v>
      </c>
      <c r="E3961" s="2" t="s">
        <v>16959</v>
      </c>
      <c r="F3961" s="2" t="s">
        <v>15320</v>
      </c>
      <c r="G3961" s="2" t="s">
        <v>17031</v>
      </c>
      <c r="H3961" s="2" t="s">
        <v>70</v>
      </c>
      <c r="I3961" s="9">
        <v>26151.121051999999</v>
      </c>
      <c r="J3961" s="7">
        <v>0.66500000000000004</v>
      </c>
      <c r="K3961" s="9">
        <v>17390.5</v>
      </c>
      <c r="L3961" s="14">
        <v>0</v>
      </c>
      <c r="M3961" s="2" t="s">
        <v>71</v>
      </c>
      <c r="N3961" s="2" t="s">
        <v>16961</v>
      </c>
      <c r="O3961" s="2" t="s">
        <v>7609</v>
      </c>
      <c r="P3961" s="9">
        <v>0</v>
      </c>
      <c r="Q3961" s="9">
        <v>0</v>
      </c>
      <c r="R3961" s="2"/>
    </row>
    <row r="3962" spans="1:18" x14ac:dyDescent="0.25">
      <c r="A3962" s="2" t="s">
        <v>17032</v>
      </c>
      <c r="B3962" s="6">
        <v>46174</v>
      </c>
      <c r="C3962" s="8">
        <v>46180</v>
      </c>
      <c r="D3962" s="2" t="s">
        <v>7433</v>
      </c>
      <c r="E3962" s="2" t="s">
        <v>16959</v>
      </c>
      <c r="F3962" s="2" t="s">
        <v>15324</v>
      </c>
      <c r="G3962" s="2" t="s">
        <v>17033</v>
      </c>
      <c r="H3962" s="2" t="s">
        <v>39</v>
      </c>
      <c r="I3962" s="9">
        <v>17708.838500000002</v>
      </c>
      <c r="J3962" s="7">
        <v>1</v>
      </c>
      <c r="K3962" s="9">
        <v>17708.84</v>
      </c>
      <c r="L3962" s="14">
        <v>0</v>
      </c>
      <c r="M3962" s="2" t="s">
        <v>71</v>
      </c>
      <c r="N3962" s="2" t="s">
        <v>16961</v>
      </c>
      <c r="O3962" s="2" t="s">
        <v>7614</v>
      </c>
      <c r="P3962" s="9">
        <v>0</v>
      </c>
      <c r="Q3962" s="9">
        <v>0</v>
      </c>
      <c r="R3962" s="2"/>
    </row>
    <row r="3963" spans="1:18" x14ac:dyDescent="0.25">
      <c r="A3963" s="2" t="s">
        <v>17034</v>
      </c>
      <c r="B3963" s="6">
        <v>46174</v>
      </c>
      <c r="C3963" s="8">
        <v>46181</v>
      </c>
      <c r="D3963" s="2" t="s">
        <v>7433</v>
      </c>
      <c r="E3963" s="2" t="s">
        <v>16959</v>
      </c>
      <c r="F3963" s="2" t="s">
        <v>15328</v>
      </c>
      <c r="G3963" s="2" t="s">
        <v>17035</v>
      </c>
      <c r="H3963" s="2" t="s">
        <v>76</v>
      </c>
      <c r="I3963" s="9">
        <v>288434904</v>
      </c>
      <c r="J3963" s="7">
        <v>6.2500000000000001E-5</v>
      </c>
      <c r="K3963" s="9">
        <v>18027.18</v>
      </c>
      <c r="L3963" s="14">
        <v>0</v>
      </c>
      <c r="M3963" s="2" t="s">
        <v>71</v>
      </c>
      <c r="N3963" s="2" t="s">
        <v>16961</v>
      </c>
      <c r="O3963" s="2" t="s">
        <v>7619</v>
      </c>
      <c r="P3963" s="9">
        <v>0</v>
      </c>
      <c r="Q3963" s="9">
        <v>0</v>
      </c>
      <c r="R3963" s="2"/>
    </row>
    <row r="3964" spans="1:18" x14ac:dyDescent="0.25">
      <c r="A3964" s="2" t="s">
        <v>17036</v>
      </c>
      <c r="B3964" s="6">
        <v>46174</v>
      </c>
      <c r="C3964" s="8">
        <v>46182</v>
      </c>
      <c r="D3964" s="2" t="s">
        <v>7433</v>
      </c>
      <c r="E3964" s="2" t="s">
        <v>16959</v>
      </c>
      <c r="F3964" s="2" t="s">
        <v>15332</v>
      </c>
      <c r="G3964" s="2" t="s">
        <v>17037</v>
      </c>
      <c r="H3964" s="2" t="s">
        <v>70</v>
      </c>
      <c r="I3964" s="9">
        <v>27587.254886999999</v>
      </c>
      <c r="J3964" s="7">
        <v>0.66500000000000004</v>
      </c>
      <c r="K3964" s="9">
        <v>18345.52</v>
      </c>
      <c r="L3964" s="14">
        <v>0</v>
      </c>
      <c r="M3964" s="2" t="s">
        <v>71</v>
      </c>
      <c r="N3964" s="2" t="s">
        <v>16961</v>
      </c>
      <c r="O3964" s="2" t="s">
        <v>7624</v>
      </c>
      <c r="P3964" s="9">
        <v>0</v>
      </c>
      <c r="Q3964" s="9">
        <v>0</v>
      </c>
      <c r="R3964" s="2"/>
    </row>
    <row r="3965" spans="1:18" x14ac:dyDescent="0.25">
      <c r="A3965" s="2" t="s">
        <v>17038</v>
      </c>
      <c r="B3965" s="6">
        <v>46174</v>
      </c>
      <c r="C3965" s="8">
        <v>46183</v>
      </c>
      <c r="D3965" s="2" t="s">
        <v>7433</v>
      </c>
      <c r="E3965" s="2" t="s">
        <v>16959</v>
      </c>
      <c r="F3965" s="2" t="s">
        <v>15336</v>
      </c>
      <c r="G3965" s="2" t="s">
        <v>17039</v>
      </c>
      <c r="H3965" s="2" t="s">
        <v>39</v>
      </c>
      <c r="I3965" s="9">
        <v>18663.856</v>
      </c>
      <c r="J3965" s="7">
        <v>1</v>
      </c>
      <c r="K3965" s="9">
        <v>18663.86</v>
      </c>
      <c r="L3965" s="14">
        <v>0</v>
      </c>
      <c r="M3965" s="2" t="s">
        <v>71</v>
      </c>
      <c r="N3965" s="2" t="s">
        <v>16961</v>
      </c>
      <c r="O3965" s="2" t="s">
        <v>7629</v>
      </c>
      <c r="P3965" s="9">
        <v>0</v>
      </c>
      <c r="Q3965" s="9">
        <v>0</v>
      </c>
      <c r="R3965" s="2"/>
    </row>
    <row r="3966" spans="1:18" x14ac:dyDescent="0.25">
      <c r="A3966" s="2" t="s">
        <v>17040</v>
      </c>
      <c r="B3966" s="6">
        <v>46174</v>
      </c>
      <c r="C3966" s="8">
        <v>46184</v>
      </c>
      <c r="D3966" s="2" t="s">
        <v>7433</v>
      </c>
      <c r="E3966" s="2" t="s">
        <v>16959</v>
      </c>
      <c r="F3966" s="2" t="s">
        <v>15300</v>
      </c>
      <c r="G3966" s="2" t="s">
        <v>17041</v>
      </c>
      <c r="H3966" s="2" t="s">
        <v>76</v>
      </c>
      <c r="I3966" s="9">
        <v>-303715184</v>
      </c>
      <c r="J3966" s="7">
        <v>6.2500000000000001E-5</v>
      </c>
      <c r="K3966" s="9">
        <v>-18982.2</v>
      </c>
      <c r="L3966" s="14">
        <v>0</v>
      </c>
      <c r="M3966" s="2" t="s">
        <v>71</v>
      </c>
      <c r="N3966" s="2" t="s">
        <v>16961</v>
      </c>
      <c r="O3966" s="2" t="s">
        <v>7634</v>
      </c>
      <c r="P3966" s="9">
        <v>0</v>
      </c>
      <c r="Q3966" s="9">
        <v>0</v>
      </c>
      <c r="R3966" s="2"/>
    </row>
    <row r="3967" spans="1:18" x14ac:dyDescent="0.25">
      <c r="A3967" s="2" t="s">
        <v>17042</v>
      </c>
      <c r="B3967" s="6">
        <v>46174</v>
      </c>
      <c r="C3967" s="8">
        <v>46185</v>
      </c>
      <c r="D3967" s="2" t="s">
        <v>7433</v>
      </c>
      <c r="E3967" s="2" t="s">
        <v>16959</v>
      </c>
      <c r="F3967" s="2" t="s">
        <v>15304</v>
      </c>
      <c r="G3967" s="2" t="s">
        <v>17043</v>
      </c>
      <c r="H3967" s="2" t="s">
        <v>70</v>
      </c>
      <c r="I3967" s="9">
        <v>29023.354135000001</v>
      </c>
      <c r="J3967" s="7">
        <v>0.66500000000000004</v>
      </c>
      <c r="K3967" s="9">
        <v>19300.53</v>
      </c>
      <c r="L3967" s="14">
        <v>0</v>
      </c>
      <c r="M3967" s="2" t="s">
        <v>71</v>
      </c>
      <c r="N3967" s="2" t="s">
        <v>16961</v>
      </c>
      <c r="O3967" s="2" t="s">
        <v>7637</v>
      </c>
      <c r="P3967" s="9">
        <v>0</v>
      </c>
      <c r="Q3967" s="9">
        <v>0</v>
      </c>
      <c r="R3967" s="2"/>
    </row>
    <row r="3968" spans="1:18" x14ac:dyDescent="0.25">
      <c r="A3968" s="2" t="s">
        <v>17044</v>
      </c>
      <c r="B3968" s="6">
        <v>46174</v>
      </c>
      <c r="C3968" s="8">
        <v>46186</v>
      </c>
      <c r="D3968" s="2" t="s">
        <v>7433</v>
      </c>
      <c r="E3968" s="2" t="s">
        <v>16959</v>
      </c>
      <c r="F3968" s="2" t="s">
        <v>15308</v>
      </c>
      <c r="G3968" s="2" t="s">
        <v>17045</v>
      </c>
      <c r="H3968" s="2" t="s">
        <v>39</v>
      </c>
      <c r="I3968" s="9">
        <v>19618.873500000002</v>
      </c>
      <c r="J3968" s="7">
        <v>1</v>
      </c>
      <c r="K3968" s="9">
        <v>19618.87</v>
      </c>
      <c r="L3968" s="14">
        <v>0</v>
      </c>
      <c r="M3968" s="2" t="s">
        <v>71</v>
      </c>
      <c r="N3968" s="2" t="s">
        <v>16961</v>
      </c>
      <c r="O3968" s="2" t="s">
        <v>7642</v>
      </c>
      <c r="P3968" s="9">
        <v>0</v>
      </c>
      <c r="Q3968" s="9">
        <v>0</v>
      </c>
      <c r="R3968" s="2"/>
    </row>
    <row r="3969" spans="1:18" x14ac:dyDescent="0.25">
      <c r="A3969" s="2" t="s">
        <v>17046</v>
      </c>
      <c r="B3969" s="6">
        <v>46174</v>
      </c>
      <c r="C3969" s="8">
        <v>46187</v>
      </c>
      <c r="D3969" s="2" t="s">
        <v>7433</v>
      </c>
      <c r="E3969" s="2" t="s">
        <v>16959</v>
      </c>
      <c r="F3969" s="2" t="s">
        <v>15312</v>
      </c>
      <c r="G3969" s="2" t="s">
        <v>17047</v>
      </c>
      <c r="H3969" s="2" t="s">
        <v>76</v>
      </c>
      <c r="I3969" s="9">
        <v>318995280</v>
      </c>
      <c r="J3969" s="7">
        <v>6.2500000000000001E-5</v>
      </c>
      <c r="K3969" s="9">
        <v>19937.2</v>
      </c>
      <c r="L3969" s="14">
        <v>0</v>
      </c>
      <c r="M3969" s="2" t="s">
        <v>71</v>
      </c>
      <c r="N3969" s="2" t="s">
        <v>16961</v>
      </c>
      <c r="O3969" s="2" t="s">
        <v>7647</v>
      </c>
      <c r="P3969" s="9">
        <v>0</v>
      </c>
      <c r="Q3969" s="9">
        <v>0</v>
      </c>
      <c r="R3969" s="2"/>
    </row>
    <row r="3970" spans="1:18" x14ac:dyDescent="0.25">
      <c r="A3970" s="2" t="s">
        <v>17048</v>
      </c>
      <c r="B3970" s="6">
        <v>46174</v>
      </c>
      <c r="C3970" s="8">
        <v>46188</v>
      </c>
      <c r="D3970" s="2" t="s">
        <v>7433</v>
      </c>
      <c r="E3970" s="2" t="s">
        <v>16959</v>
      </c>
      <c r="F3970" s="2" t="s">
        <v>15316</v>
      </c>
      <c r="G3970" s="2" t="s">
        <v>17049</v>
      </c>
      <c r="H3970" s="2" t="s">
        <v>70</v>
      </c>
      <c r="I3970" s="9">
        <v>30459.470677000001</v>
      </c>
      <c r="J3970" s="7">
        <v>0.66500000000000004</v>
      </c>
      <c r="K3970" s="9">
        <v>20255.55</v>
      </c>
      <c r="L3970" s="14">
        <v>0</v>
      </c>
      <c r="M3970" s="2" t="s">
        <v>71</v>
      </c>
      <c r="N3970" s="2" t="s">
        <v>16961</v>
      </c>
      <c r="O3970" s="2" t="s">
        <v>7652</v>
      </c>
      <c r="P3970" s="9">
        <v>0</v>
      </c>
      <c r="Q3970" s="9">
        <v>0</v>
      </c>
      <c r="R3970" s="2"/>
    </row>
    <row r="3971" spans="1:18" x14ac:dyDescent="0.25">
      <c r="A3971" s="2" t="s">
        <v>17050</v>
      </c>
      <c r="B3971" s="6">
        <v>46174</v>
      </c>
      <c r="C3971" s="8">
        <v>46189</v>
      </c>
      <c r="D3971" s="2" t="s">
        <v>7433</v>
      </c>
      <c r="E3971" s="2" t="s">
        <v>16959</v>
      </c>
      <c r="F3971" s="2" t="s">
        <v>15320</v>
      </c>
      <c r="G3971" s="2" t="s">
        <v>17051</v>
      </c>
      <c r="H3971" s="2" t="s">
        <v>39</v>
      </c>
      <c r="I3971" s="9">
        <v>20573.891</v>
      </c>
      <c r="J3971" s="7">
        <v>1</v>
      </c>
      <c r="K3971" s="9">
        <v>20573.89</v>
      </c>
      <c r="L3971" s="14">
        <v>0</v>
      </c>
      <c r="M3971" s="2" t="s">
        <v>71</v>
      </c>
      <c r="N3971" s="2" t="s">
        <v>16961</v>
      </c>
      <c r="O3971" s="2" t="s">
        <v>7657</v>
      </c>
      <c r="P3971" s="9">
        <v>0</v>
      </c>
      <c r="Q3971" s="9">
        <v>0</v>
      </c>
      <c r="R3971" s="2"/>
    </row>
    <row r="3972" spans="1:18" x14ac:dyDescent="0.25">
      <c r="A3972" s="2" t="s">
        <v>17052</v>
      </c>
      <c r="B3972" s="6">
        <v>46174</v>
      </c>
      <c r="C3972" s="8">
        <v>46190</v>
      </c>
      <c r="D3972" s="2" t="s">
        <v>7433</v>
      </c>
      <c r="E3972" s="2" t="s">
        <v>16959</v>
      </c>
      <c r="F3972" s="2" t="s">
        <v>15324</v>
      </c>
      <c r="G3972" s="2" t="s">
        <v>17053</v>
      </c>
      <c r="H3972" s="2" t="s">
        <v>76</v>
      </c>
      <c r="I3972" s="9">
        <v>334275560</v>
      </c>
      <c r="J3972" s="7">
        <v>6.2500000000000001E-5</v>
      </c>
      <c r="K3972" s="9">
        <v>20892.22</v>
      </c>
      <c r="L3972" s="14">
        <v>0</v>
      </c>
      <c r="M3972" s="2" t="s">
        <v>71</v>
      </c>
      <c r="N3972" s="2" t="s">
        <v>16961</v>
      </c>
      <c r="O3972" s="2" t="s">
        <v>7662</v>
      </c>
      <c r="P3972" s="9">
        <v>0</v>
      </c>
      <c r="Q3972" s="9">
        <v>0</v>
      </c>
      <c r="R3972" s="2"/>
    </row>
    <row r="3973" spans="1:18" x14ac:dyDescent="0.25">
      <c r="A3973" s="2" t="s">
        <v>17054</v>
      </c>
      <c r="B3973" s="6">
        <v>46174</v>
      </c>
      <c r="C3973" s="8">
        <v>46191</v>
      </c>
      <c r="D3973" s="2" t="s">
        <v>7433</v>
      </c>
      <c r="E3973" s="2" t="s">
        <v>16959</v>
      </c>
      <c r="F3973" s="2" t="s">
        <v>15328</v>
      </c>
      <c r="G3973" s="2" t="s">
        <v>17055</v>
      </c>
      <c r="H3973" s="2" t="s">
        <v>70</v>
      </c>
      <c r="I3973" s="9">
        <v>31895.587218000001</v>
      </c>
      <c r="J3973" s="7">
        <v>0.66500000000000004</v>
      </c>
      <c r="K3973" s="9">
        <v>21210.57</v>
      </c>
      <c r="L3973" s="14">
        <v>0</v>
      </c>
      <c r="M3973" s="2" t="s">
        <v>71</v>
      </c>
      <c r="N3973" s="2" t="s">
        <v>16961</v>
      </c>
      <c r="O3973" s="2" t="s">
        <v>7667</v>
      </c>
      <c r="P3973" s="9">
        <v>0</v>
      </c>
      <c r="Q3973" s="9">
        <v>0</v>
      </c>
      <c r="R3973" s="2"/>
    </row>
    <row r="3974" spans="1:18" x14ac:dyDescent="0.25">
      <c r="A3974" s="2" t="s">
        <v>17056</v>
      </c>
      <c r="B3974" s="6">
        <v>46174</v>
      </c>
      <c r="C3974" s="8">
        <v>46192</v>
      </c>
      <c r="D3974" s="2" t="s">
        <v>7433</v>
      </c>
      <c r="E3974" s="2" t="s">
        <v>16959</v>
      </c>
      <c r="F3974" s="2" t="s">
        <v>15332</v>
      </c>
      <c r="G3974" s="2" t="s">
        <v>17057</v>
      </c>
      <c r="H3974" s="2" t="s">
        <v>39</v>
      </c>
      <c r="I3974" s="9">
        <v>21528.897000000001</v>
      </c>
      <c r="J3974" s="7">
        <v>1</v>
      </c>
      <c r="K3974" s="9">
        <v>21528.9</v>
      </c>
      <c r="L3974" s="14">
        <v>0</v>
      </c>
      <c r="M3974" s="2" t="s">
        <v>71</v>
      </c>
      <c r="N3974" s="2" t="s">
        <v>16961</v>
      </c>
      <c r="O3974" s="2" t="s">
        <v>7672</v>
      </c>
      <c r="P3974" s="9">
        <v>0</v>
      </c>
      <c r="Q3974" s="9">
        <v>0</v>
      </c>
      <c r="R3974" s="2"/>
    </row>
    <row r="3975" spans="1:18" x14ac:dyDescent="0.25">
      <c r="A3975" s="2" t="s">
        <v>17058</v>
      </c>
      <c r="B3975" s="6">
        <v>46174</v>
      </c>
      <c r="C3975" s="8">
        <v>46193</v>
      </c>
      <c r="D3975" s="2" t="s">
        <v>7433</v>
      </c>
      <c r="E3975" s="2" t="s">
        <v>16959</v>
      </c>
      <c r="F3975" s="2" t="s">
        <v>15336</v>
      </c>
      <c r="G3975" s="2" t="s">
        <v>17059</v>
      </c>
      <c r="H3975" s="2" t="s">
        <v>76</v>
      </c>
      <c r="I3975" s="9">
        <v>349555840</v>
      </c>
      <c r="J3975" s="7">
        <v>6.2500000000000001E-5</v>
      </c>
      <c r="K3975" s="9">
        <v>21847.24</v>
      </c>
      <c r="L3975" s="14">
        <v>0</v>
      </c>
      <c r="M3975" s="2" t="s">
        <v>71</v>
      </c>
      <c r="N3975" s="2" t="s">
        <v>16961</v>
      </c>
      <c r="O3975" s="2" t="s">
        <v>7677</v>
      </c>
      <c r="P3975" s="9">
        <v>0</v>
      </c>
      <c r="Q3975" s="9">
        <v>0</v>
      </c>
      <c r="R3975" s="2"/>
    </row>
    <row r="3976" spans="1:18" x14ac:dyDescent="0.25">
      <c r="A3976" s="2" t="s">
        <v>17060</v>
      </c>
      <c r="B3976" s="6">
        <v>46174</v>
      </c>
      <c r="C3976" s="8">
        <v>46194</v>
      </c>
      <c r="D3976" s="2" t="s">
        <v>7433</v>
      </c>
      <c r="E3976" s="2" t="s">
        <v>16959</v>
      </c>
      <c r="F3976" s="2" t="s">
        <v>15300</v>
      </c>
      <c r="G3976" s="2" t="s">
        <v>17061</v>
      </c>
      <c r="H3976" s="2" t="s">
        <v>70</v>
      </c>
      <c r="I3976" s="9">
        <v>33331.686465999999</v>
      </c>
      <c r="J3976" s="7">
        <v>0.66500000000000004</v>
      </c>
      <c r="K3976" s="9">
        <v>22165.57</v>
      </c>
      <c r="L3976" s="14">
        <v>0</v>
      </c>
      <c r="M3976" s="2" t="s">
        <v>71</v>
      </c>
      <c r="N3976" s="2" t="s">
        <v>16961</v>
      </c>
      <c r="O3976" s="2" t="s">
        <v>7682</v>
      </c>
      <c r="P3976" s="9">
        <v>0</v>
      </c>
      <c r="Q3976" s="9">
        <v>0</v>
      </c>
      <c r="R3976" s="2"/>
    </row>
    <row r="3977" spans="1:18" x14ac:dyDescent="0.25">
      <c r="A3977" s="2" t="s">
        <v>17062</v>
      </c>
      <c r="B3977" s="6">
        <v>46174</v>
      </c>
      <c r="C3977" s="8">
        <v>46195</v>
      </c>
      <c r="D3977" s="2" t="s">
        <v>7433</v>
      </c>
      <c r="E3977" s="2" t="s">
        <v>16959</v>
      </c>
      <c r="F3977" s="2" t="s">
        <v>15304</v>
      </c>
      <c r="G3977" s="2" t="s">
        <v>17063</v>
      </c>
      <c r="H3977" s="2" t="s">
        <v>39</v>
      </c>
      <c r="I3977" s="9">
        <v>22483.914499999999</v>
      </c>
      <c r="J3977" s="7">
        <v>1</v>
      </c>
      <c r="K3977" s="9">
        <v>22483.91</v>
      </c>
      <c r="L3977" s="14">
        <v>0</v>
      </c>
      <c r="M3977" s="2" t="s">
        <v>71</v>
      </c>
      <c r="N3977" s="2" t="s">
        <v>16961</v>
      </c>
      <c r="O3977" s="2" t="s">
        <v>7687</v>
      </c>
      <c r="P3977" s="9">
        <v>0</v>
      </c>
      <c r="Q3977" s="9">
        <v>0</v>
      </c>
      <c r="R3977" s="2"/>
    </row>
    <row r="3978" spans="1:18" x14ac:dyDescent="0.25">
      <c r="A3978" s="2" t="s">
        <v>17064</v>
      </c>
      <c r="B3978" s="6">
        <v>46174</v>
      </c>
      <c r="C3978" s="8">
        <v>46196</v>
      </c>
      <c r="D3978" s="2" t="s">
        <v>7433</v>
      </c>
      <c r="E3978" s="2" t="s">
        <v>16959</v>
      </c>
      <c r="F3978" s="2" t="s">
        <v>15308</v>
      </c>
      <c r="G3978" s="2" t="s">
        <v>17065</v>
      </c>
      <c r="H3978" s="2" t="s">
        <v>76</v>
      </c>
      <c r="I3978" s="9">
        <v>364836120</v>
      </c>
      <c r="J3978" s="7">
        <v>6.2500000000000001E-5</v>
      </c>
      <c r="K3978" s="9">
        <v>22802.26</v>
      </c>
      <c r="L3978" s="14">
        <v>0</v>
      </c>
      <c r="M3978" s="2" t="s">
        <v>71</v>
      </c>
      <c r="N3978" s="2" t="s">
        <v>16961</v>
      </c>
      <c r="O3978" s="2" t="s">
        <v>7692</v>
      </c>
      <c r="P3978" s="9">
        <v>0</v>
      </c>
      <c r="Q3978" s="9">
        <v>0</v>
      </c>
      <c r="R3978" s="2"/>
    </row>
    <row r="3979" spans="1:18" x14ac:dyDescent="0.25">
      <c r="A3979" s="2" t="s">
        <v>17066</v>
      </c>
      <c r="B3979" s="6">
        <v>46174</v>
      </c>
      <c r="C3979" s="8">
        <v>46197</v>
      </c>
      <c r="D3979" s="2" t="s">
        <v>7433</v>
      </c>
      <c r="E3979" s="2" t="s">
        <v>16959</v>
      </c>
      <c r="F3979" s="2" t="s">
        <v>15312</v>
      </c>
      <c r="G3979" s="2" t="s">
        <v>17067</v>
      </c>
      <c r="H3979" s="2" t="s">
        <v>70</v>
      </c>
      <c r="I3979" s="9">
        <v>34767.820301</v>
      </c>
      <c r="J3979" s="7">
        <v>0.66500000000000004</v>
      </c>
      <c r="K3979" s="9">
        <v>23120.6</v>
      </c>
      <c r="L3979" s="14">
        <v>0</v>
      </c>
      <c r="M3979" s="2" t="s">
        <v>71</v>
      </c>
      <c r="N3979" s="2" t="s">
        <v>16961</v>
      </c>
      <c r="O3979" s="2" t="s">
        <v>7697</v>
      </c>
      <c r="P3979" s="9">
        <v>0</v>
      </c>
      <c r="Q3979" s="9">
        <v>0</v>
      </c>
      <c r="R3979" s="2"/>
    </row>
    <row r="3980" spans="1:18" x14ac:dyDescent="0.25">
      <c r="A3980" s="2" t="s">
        <v>17068</v>
      </c>
      <c r="B3980" s="6">
        <v>46174</v>
      </c>
      <c r="C3980" s="8">
        <v>46198</v>
      </c>
      <c r="D3980" s="2" t="s">
        <v>7433</v>
      </c>
      <c r="E3980" s="2" t="s">
        <v>16959</v>
      </c>
      <c r="F3980" s="2" t="s">
        <v>15316</v>
      </c>
      <c r="G3980" s="2" t="s">
        <v>17069</v>
      </c>
      <c r="H3980" s="2" t="s">
        <v>39</v>
      </c>
      <c r="I3980" s="9">
        <v>23438.932000000001</v>
      </c>
      <c r="J3980" s="7">
        <v>1</v>
      </c>
      <c r="K3980" s="9">
        <v>23438.93</v>
      </c>
      <c r="L3980" s="14">
        <v>0</v>
      </c>
      <c r="M3980" s="2" t="s">
        <v>71</v>
      </c>
      <c r="N3980" s="2" t="s">
        <v>16961</v>
      </c>
      <c r="O3980" s="2" t="s">
        <v>7702</v>
      </c>
      <c r="P3980" s="9">
        <v>0</v>
      </c>
      <c r="Q3980" s="9">
        <v>0</v>
      </c>
      <c r="R3980" s="2"/>
    </row>
    <row r="3981" spans="1:18" x14ac:dyDescent="0.25">
      <c r="A3981" s="2" t="s">
        <v>17070</v>
      </c>
      <c r="B3981" s="6">
        <v>46174</v>
      </c>
      <c r="C3981" s="8">
        <v>46199</v>
      </c>
      <c r="D3981" s="2" t="s">
        <v>7433</v>
      </c>
      <c r="E3981" s="2" t="s">
        <v>16959</v>
      </c>
      <c r="F3981" s="2" t="s">
        <v>15320</v>
      </c>
      <c r="G3981" s="2" t="s">
        <v>17071</v>
      </c>
      <c r="H3981" s="2" t="s">
        <v>76</v>
      </c>
      <c r="I3981" s="9">
        <v>380116400</v>
      </c>
      <c r="J3981" s="7">
        <v>6.2500000000000001E-5</v>
      </c>
      <c r="K3981" s="9">
        <v>23757.27</v>
      </c>
      <c r="L3981" s="14">
        <v>0</v>
      </c>
      <c r="M3981" s="2" t="s">
        <v>71</v>
      </c>
      <c r="N3981" s="2" t="s">
        <v>16961</v>
      </c>
      <c r="O3981" s="2" t="s">
        <v>7707</v>
      </c>
      <c r="P3981" s="9">
        <v>0</v>
      </c>
      <c r="Q3981" s="9">
        <v>0</v>
      </c>
      <c r="R3981" s="2"/>
    </row>
    <row r="3982" spans="1:18" x14ac:dyDescent="0.25">
      <c r="A3982" s="2" t="s">
        <v>17072</v>
      </c>
      <c r="B3982" s="6">
        <v>46174</v>
      </c>
      <c r="C3982" s="8">
        <v>46200</v>
      </c>
      <c r="D3982" s="2" t="s">
        <v>7433</v>
      </c>
      <c r="E3982" s="2" t="s">
        <v>16959</v>
      </c>
      <c r="F3982" s="2" t="s">
        <v>15324</v>
      </c>
      <c r="G3982" s="2" t="s">
        <v>17073</v>
      </c>
      <c r="H3982" s="2" t="s">
        <v>70</v>
      </c>
      <c r="I3982" s="9">
        <v>36203.919548999998</v>
      </c>
      <c r="J3982" s="7">
        <v>0.66500000000000004</v>
      </c>
      <c r="K3982" s="9">
        <v>24075.61</v>
      </c>
      <c r="L3982" s="14">
        <v>0</v>
      </c>
      <c r="M3982" s="2" t="s">
        <v>71</v>
      </c>
      <c r="N3982" s="2" t="s">
        <v>16961</v>
      </c>
      <c r="O3982" s="2" t="s">
        <v>7712</v>
      </c>
      <c r="P3982" s="9">
        <v>0</v>
      </c>
      <c r="Q3982" s="9">
        <v>0</v>
      </c>
      <c r="R3982" s="2"/>
    </row>
    <row r="3983" spans="1:18" x14ac:dyDescent="0.25">
      <c r="A3983" s="2" t="s">
        <v>17074</v>
      </c>
      <c r="B3983" s="6">
        <v>46174</v>
      </c>
      <c r="C3983" s="8">
        <v>46201</v>
      </c>
      <c r="D3983" s="2" t="s">
        <v>7433</v>
      </c>
      <c r="E3983" s="2" t="s">
        <v>16959</v>
      </c>
      <c r="F3983" s="2" t="s">
        <v>15328</v>
      </c>
      <c r="G3983" s="2" t="s">
        <v>17075</v>
      </c>
      <c r="H3983" s="2" t="s">
        <v>39</v>
      </c>
      <c r="I3983" s="9">
        <v>24393.949499999999</v>
      </c>
      <c r="J3983" s="7">
        <v>1</v>
      </c>
      <c r="K3983" s="9">
        <v>24393.95</v>
      </c>
      <c r="L3983" s="14">
        <v>0</v>
      </c>
      <c r="M3983" s="2" t="s">
        <v>71</v>
      </c>
      <c r="N3983" s="2" t="s">
        <v>16961</v>
      </c>
      <c r="O3983" s="2" t="s">
        <v>7717</v>
      </c>
      <c r="P3983" s="9">
        <v>0</v>
      </c>
      <c r="Q3983" s="9">
        <v>0</v>
      </c>
      <c r="R3983" s="2"/>
    </row>
    <row r="3984" spans="1:18" x14ac:dyDescent="0.25">
      <c r="A3984" s="2" t="s">
        <v>17076</v>
      </c>
      <c r="B3984" s="6">
        <v>46174</v>
      </c>
      <c r="C3984" s="8">
        <v>46202</v>
      </c>
      <c r="D3984" s="2" t="s">
        <v>7433</v>
      </c>
      <c r="E3984" s="2" t="s">
        <v>16959</v>
      </c>
      <c r="F3984" s="2" t="s">
        <v>15332</v>
      </c>
      <c r="G3984" s="2" t="s">
        <v>17077</v>
      </c>
      <c r="H3984" s="2" t="s">
        <v>76</v>
      </c>
      <c r="I3984" s="9">
        <v>395396496</v>
      </c>
      <c r="J3984" s="7">
        <v>6.2500000000000001E-5</v>
      </c>
      <c r="K3984" s="9">
        <v>24712.28</v>
      </c>
      <c r="L3984" s="14">
        <v>0</v>
      </c>
      <c r="M3984" s="2" t="s">
        <v>71</v>
      </c>
      <c r="N3984" s="2" t="s">
        <v>16961</v>
      </c>
      <c r="O3984" s="2" t="s">
        <v>7722</v>
      </c>
      <c r="P3984" s="9">
        <v>0</v>
      </c>
      <c r="Q3984" s="9">
        <v>0</v>
      </c>
      <c r="R3984" s="2"/>
    </row>
    <row r="3985" spans="1:18" x14ac:dyDescent="0.25">
      <c r="A3985" s="2" t="s">
        <v>17078</v>
      </c>
      <c r="B3985" s="6">
        <v>46174</v>
      </c>
      <c r="C3985" s="8">
        <v>46203</v>
      </c>
      <c r="D3985" s="2" t="s">
        <v>7433</v>
      </c>
      <c r="E3985" s="2" t="s">
        <v>16959</v>
      </c>
      <c r="F3985" s="2" t="s">
        <v>15336</v>
      </c>
      <c r="G3985" s="2" t="s">
        <v>17079</v>
      </c>
      <c r="H3985" s="2" t="s">
        <v>70</v>
      </c>
      <c r="I3985" s="9">
        <v>37640.036090000001</v>
      </c>
      <c r="J3985" s="7">
        <v>0.66500000000000004</v>
      </c>
      <c r="K3985" s="9">
        <v>25030.62</v>
      </c>
      <c r="L3985" s="14">
        <v>0</v>
      </c>
      <c r="M3985" s="2" t="s">
        <v>71</v>
      </c>
      <c r="N3985" s="2" t="s">
        <v>16961</v>
      </c>
      <c r="O3985" s="2" t="s">
        <v>7727</v>
      </c>
      <c r="P3985" s="9">
        <v>0</v>
      </c>
      <c r="Q3985" s="9">
        <v>0</v>
      </c>
      <c r="R3985" s="2"/>
    </row>
    <row r="3986" spans="1:18" x14ac:dyDescent="0.25">
      <c r="A3986" s="2" t="s">
        <v>17080</v>
      </c>
      <c r="B3986" s="6">
        <v>46174</v>
      </c>
      <c r="C3986" s="8">
        <v>46174</v>
      </c>
      <c r="D3986" s="2" t="s">
        <v>7433</v>
      </c>
      <c r="E3986" s="2" t="s">
        <v>16959</v>
      </c>
      <c r="F3986" s="2" t="s">
        <v>15300</v>
      </c>
      <c r="G3986" s="2" t="s">
        <v>17081</v>
      </c>
      <c r="H3986" s="2" t="s">
        <v>39</v>
      </c>
      <c r="I3986" s="9">
        <v>25348.967000000001</v>
      </c>
      <c r="J3986" s="7">
        <v>1</v>
      </c>
      <c r="K3986" s="9">
        <v>25348.97</v>
      </c>
      <c r="L3986" s="14">
        <v>0</v>
      </c>
      <c r="M3986" s="2" t="s">
        <v>71</v>
      </c>
      <c r="N3986" s="2" t="s">
        <v>16961</v>
      </c>
      <c r="O3986" s="2" t="s">
        <v>7732</v>
      </c>
      <c r="P3986" s="9">
        <v>0</v>
      </c>
      <c r="Q3986" s="9">
        <v>0</v>
      </c>
      <c r="R3986" s="2"/>
    </row>
    <row r="3987" spans="1:18" x14ac:dyDescent="0.25">
      <c r="A3987" s="2" t="s">
        <v>17082</v>
      </c>
      <c r="B3987" s="6">
        <v>46174</v>
      </c>
      <c r="C3987" s="8">
        <v>46175</v>
      </c>
      <c r="D3987" s="2" t="s">
        <v>7433</v>
      </c>
      <c r="E3987" s="2" t="s">
        <v>16959</v>
      </c>
      <c r="F3987" s="2" t="s">
        <v>15304</v>
      </c>
      <c r="G3987" s="2" t="s">
        <v>17083</v>
      </c>
      <c r="H3987" s="2" t="s">
        <v>76</v>
      </c>
      <c r="I3987" s="9">
        <v>410676776</v>
      </c>
      <c r="J3987" s="7">
        <v>6.2500000000000001E-5</v>
      </c>
      <c r="K3987" s="9">
        <v>25667.3</v>
      </c>
      <c r="L3987" s="14">
        <v>0</v>
      </c>
      <c r="M3987" s="2" t="s">
        <v>71</v>
      </c>
      <c r="N3987" s="2" t="s">
        <v>16961</v>
      </c>
      <c r="O3987" s="2" t="s">
        <v>7737</v>
      </c>
      <c r="P3987" s="9">
        <v>0</v>
      </c>
      <c r="Q3987" s="9">
        <v>0</v>
      </c>
      <c r="R3987" s="2"/>
    </row>
    <row r="3988" spans="1:18" x14ac:dyDescent="0.25">
      <c r="A3988" s="2" t="s">
        <v>17084</v>
      </c>
      <c r="B3988" s="6">
        <v>46174</v>
      </c>
      <c r="C3988" s="8">
        <v>46176</v>
      </c>
      <c r="D3988" s="2" t="s">
        <v>7433</v>
      </c>
      <c r="E3988" s="2" t="s">
        <v>16959</v>
      </c>
      <c r="F3988" s="2" t="s">
        <v>15308</v>
      </c>
      <c r="G3988" s="2" t="s">
        <v>17085</v>
      </c>
      <c r="H3988" s="2" t="s">
        <v>70</v>
      </c>
      <c r="I3988" s="9">
        <v>39076.152631999998</v>
      </c>
      <c r="J3988" s="7">
        <v>0.66500000000000004</v>
      </c>
      <c r="K3988" s="9">
        <v>25985.64</v>
      </c>
      <c r="L3988" s="14">
        <v>0</v>
      </c>
      <c r="M3988" s="2" t="s">
        <v>71</v>
      </c>
      <c r="N3988" s="2" t="s">
        <v>16961</v>
      </c>
      <c r="O3988" s="2" t="s">
        <v>7742</v>
      </c>
      <c r="P3988" s="9">
        <v>0</v>
      </c>
      <c r="Q3988" s="9">
        <v>0</v>
      </c>
      <c r="R3988" s="2"/>
    </row>
    <row r="3989" spans="1:18" x14ac:dyDescent="0.25">
      <c r="A3989" s="2" t="s">
        <v>17086</v>
      </c>
      <c r="B3989" s="6">
        <v>46174</v>
      </c>
      <c r="C3989" s="8">
        <v>46177</v>
      </c>
      <c r="D3989" s="2" t="s">
        <v>7433</v>
      </c>
      <c r="E3989" s="2" t="s">
        <v>16959</v>
      </c>
      <c r="F3989" s="2" t="s">
        <v>15312</v>
      </c>
      <c r="G3989" s="2" t="s">
        <v>17087</v>
      </c>
      <c r="H3989" s="2" t="s">
        <v>39</v>
      </c>
      <c r="I3989" s="9">
        <v>26303.973000000002</v>
      </c>
      <c r="J3989" s="7">
        <v>1</v>
      </c>
      <c r="K3989" s="9">
        <v>26303.97</v>
      </c>
      <c r="L3989" s="14">
        <v>0</v>
      </c>
      <c r="M3989" s="2" t="s">
        <v>71</v>
      </c>
      <c r="N3989" s="2" t="s">
        <v>16961</v>
      </c>
      <c r="O3989" s="2" t="s">
        <v>7747</v>
      </c>
      <c r="P3989" s="9">
        <v>0</v>
      </c>
      <c r="Q3989" s="9">
        <v>0</v>
      </c>
      <c r="R3989" s="2"/>
    </row>
    <row r="3990" spans="1:18" x14ac:dyDescent="0.25">
      <c r="A3990" s="2" t="s">
        <v>17088</v>
      </c>
      <c r="B3990" s="6">
        <v>46174</v>
      </c>
      <c r="C3990" s="8">
        <v>46178</v>
      </c>
      <c r="D3990" s="2" t="s">
        <v>7433</v>
      </c>
      <c r="E3990" s="2" t="s">
        <v>16959</v>
      </c>
      <c r="F3990" s="2" t="s">
        <v>15316</v>
      </c>
      <c r="G3990" s="2" t="s">
        <v>17089</v>
      </c>
      <c r="H3990" s="2" t="s">
        <v>76</v>
      </c>
      <c r="I3990" s="9">
        <v>425957056</v>
      </c>
      <c r="J3990" s="7">
        <v>6.2500000000000001E-5</v>
      </c>
      <c r="K3990" s="9">
        <v>26622.32</v>
      </c>
      <c r="L3990" s="14">
        <v>0</v>
      </c>
      <c r="M3990" s="2" t="s">
        <v>71</v>
      </c>
      <c r="N3990" s="2" t="s">
        <v>16961</v>
      </c>
      <c r="O3990" s="2" t="s">
        <v>7752</v>
      </c>
      <c r="P3990" s="9">
        <v>0</v>
      </c>
      <c r="Q3990" s="9">
        <v>0</v>
      </c>
      <c r="R3990" s="2"/>
    </row>
    <row r="3991" spans="1:18" x14ac:dyDescent="0.25">
      <c r="A3991" s="2" t="s">
        <v>17090</v>
      </c>
      <c r="B3991" s="6">
        <v>46174</v>
      </c>
      <c r="C3991" s="8">
        <v>46179</v>
      </c>
      <c r="D3991" s="2" t="s">
        <v>7433</v>
      </c>
      <c r="E3991" s="2" t="s">
        <v>16959</v>
      </c>
      <c r="F3991" s="2" t="s">
        <v>15320</v>
      </c>
      <c r="G3991" s="2" t="s">
        <v>17091</v>
      </c>
      <c r="H3991" s="2" t="s">
        <v>70</v>
      </c>
      <c r="I3991" s="9">
        <v>40512.251880000003</v>
      </c>
      <c r="J3991" s="7">
        <v>0.66500000000000004</v>
      </c>
      <c r="K3991" s="9">
        <v>26940.65</v>
      </c>
      <c r="L3991" s="14">
        <v>0</v>
      </c>
      <c r="M3991" s="2" t="s">
        <v>71</v>
      </c>
      <c r="N3991" s="2" t="s">
        <v>16961</v>
      </c>
      <c r="O3991" s="2" t="s">
        <v>7757</v>
      </c>
      <c r="P3991" s="9">
        <v>0</v>
      </c>
      <c r="Q3991" s="9">
        <v>0</v>
      </c>
      <c r="R3991" s="2"/>
    </row>
    <row r="3992" spans="1:18" x14ac:dyDescent="0.25">
      <c r="A3992" s="2" t="s">
        <v>17092</v>
      </c>
      <c r="B3992" s="6">
        <v>46174</v>
      </c>
      <c r="C3992" s="8">
        <v>46180</v>
      </c>
      <c r="D3992" s="2" t="s">
        <v>7433</v>
      </c>
      <c r="E3992" s="2" t="s">
        <v>16959</v>
      </c>
      <c r="F3992" s="2" t="s">
        <v>15324</v>
      </c>
      <c r="G3992" s="2" t="s">
        <v>17093</v>
      </c>
      <c r="H3992" s="2" t="s">
        <v>39</v>
      </c>
      <c r="I3992" s="9">
        <v>27258.9905</v>
      </c>
      <c r="J3992" s="7">
        <v>1</v>
      </c>
      <c r="K3992" s="9">
        <v>27258.99</v>
      </c>
      <c r="L3992" s="14">
        <v>0</v>
      </c>
      <c r="M3992" s="2" t="s">
        <v>71</v>
      </c>
      <c r="N3992" s="2" t="s">
        <v>16961</v>
      </c>
      <c r="O3992" s="2" t="s">
        <v>7762</v>
      </c>
      <c r="P3992" s="9">
        <v>0</v>
      </c>
      <c r="Q3992" s="9">
        <v>0</v>
      </c>
      <c r="R3992" s="2"/>
    </row>
    <row r="3993" spans="1:18" x14ac:dyDescent="0.25">
      <c r="A3993" s="2" t="s">
        <v>17094</v>
      </c>
      <c r="B3993" s="6">
        <v>46174</v>
      </c>
      <c r="C3993" s="8">
        <v>46181</v>
      </c>
      <c r="D3993" s="2" t="s">
        <v>7433</v>
      </c>
      <c r="E3993" s="2" t="s">
        <v>16959</v>
      </c>
      <c r="F3993" s="2" t="s">
        <v>15328</v>
      </c>
      <c r="G3993" s="2" t="s">
        <v>17095</v>
      </c>
      <c r="H3993" s="2" t="s">
        <v>76</v>
      </c>
      <c r="I3993" s="9">
        <v>29077336</v>
      </c>
      <c r="J3993" s="7">
        <v>6.2500000000000001E-5</v>
      </c>
      <c r="K3993" s="9">
        <v>1817.33</v>
      </c>
      <c r="L3993" s="14">
        <v>0</v>
      </c>
      <c r="M3993" s="2" t="s">
        <v>71</v>
      </c>
      <c r="N3993" s="2" t="s">
        <v>16961</v>
      </c>
      <c r="O3993" s="2" t="s">
        <v>7767</v>
      </c>
      <c r="P3993" s="9">
        <v>0</v>
      </c>
      <c r="Q3993" s="9">
        <v>0</v>
      </c>
      <c r="R3993" s="2"/>
    </row>
    <row r="3994" spans="1:18" x14ac:dyDescent="0.25">
      <c r="A3994" s="2" t="s">
        <v>17096</v>
      </c>
      <c r="B3994" s="6">
        <v>46174</v>
      </c>
      <c r="C3994" s="8">
        <v>46182</v>
      </c>
      <c r="D3994" s="2" t="s">
        <v>7433</v>
      </c>
      <c r="E3994" s="2" t="s">
        <v>16959</v>
      </c>
      <c r="F3994" s="2" t="s">
        <v>15332</v>
      </c>
      <c r="G3994" s="2" t="s">
        <v>17097</v>
      </c>
      <c r="H3994" s="2" t="s">
        <v>70</v>
      </c>
      <c r="I3994" s="9">
        <v>3211.5436100000002</v>
      </c>
      <c r="J3994" s="7">
        <v>0.66500000000000004</v>
      </c>
      <c r="K3994" s="9">
        <v>2135.6799999999998</v>
      </c>
      <c r="L3994" s="14">
        <v>0</v>
      </c>
      <c r="M3994" s="2" t="s">
        <v>71</v>
      </c>
      <c r="N3994" s="2" t="s">
        <v>16961</v>
      </c>
      <c r="O3994" s="2" t="s">
        <v>7772</v>
      </c>
      <c r="P3994" s="9">
        <v>0</v>
      </c>
      <c r="Q3994" s="9">
        <v>0</v>
      </c>
      <c r="R3994" s="2"/>
    </row>
    <row r="3995" spans="1:18" x14ac:dyDescent="0.25">
      <c r="A3995" s="2" t="s">
        <v>17098</v>
      </c>
      <c r="B3995" s="6">
        <v>46174</v>
      </c>
      <c r="C3995" s="8">
        <v>46183</v>
      </c>
      <c r="D3995" s="2" t="s">
        <v>7433</v>
      </c>
      <c r="E3995" s="2" t="s">
        <v>16959</v>
      </c>
      <c r="F3995" s="2" t="s">
        <v>15336</v>
      </c>
      <c r="G3995" s="2" t="s">
        <v>17099</v>
      </c>
      <c r="H3995" s="2" t="s">
        <v>39</v>
      </c>
      <c r="I3995" s="9">
        <v>2454.0079999999998</v>
      </c>
      <c r="J3995" s="7">
        <v>1</v>
      </c>
      <c r="K3995" s="9">
        <v>2454.0100000000002</v>
      </c>
      <c r="L3995" s="14">
        <v>0</v>
      </c>
      <c r="M3995" s="2" t="s">
        <v>71</v>
      </c>
      <c r="N3995" s="2" t="s">
        <v>16961</v>
      </c>
      <c r="O3995" s="2" t="s">
        <v>7777</v>
      </c>
      <c r="P3995" s="9">
        <v>0</v>
      </c>
      <c r="Q3995" s="9">
        <v>0</v>
      </c>
      <c r="R3995" s="2"/>
    </row>
    <row r="3996" spans="1:18" x14ac:dyDescent="0.25">
      <c r="A3996" s="2" t="s">
        <v>17100</v>
      </c>
      <c r="B3996" s="6">
        <v>46174</v>
      </c>
      <c r="C3996" s="8">
        <v>46184</v>
      </c>
      <c r="D3996" s="2" t="s">
        <v>7433</v>
      </c>
      <c r="E3996" s="2" t="s">
        <v>16959</v>
      </c>
      <c r="F3996" s="2" t="s">
        <v>15300</v>
      </c>
      <c r="G3996" s="2" t="s">
        <v>17101</v>
      </c>
      <c r="H3996" s="2" t="s">
        <v>76</v>
      </c>
      <c r="I3996" s="9">
        <v>44357616</v>
      </c>
      <c r="J3996" s="7">
        <v>6.2500000000000001E-5</v>
      </c>
      <c r="K3996" s="9">
        <v>2772.35</v>
      </c>
      <c r="L3996" s="14">
        <v>0</v>
      </c>
      <c r="M3996" s="2" t="s">
        <v>71</v>
      </c>
      <c r="N3996" s="2" t="s">
        <v>16961</v>
      </c>
      <c r="O3996" s="2" t="s">
        <v>7782</v>
      </c>
      <c r="P3996" s="9">
        <v>0</v>
      </c>
      <c r="Q3996" s="9">
        <v>0</v>
      </c>
      <c r="R3996" s="2"/>
    </row>
    <row r="3997" spans="1:18" x14ac:dyDescent="0.25">
      <c r="A3997" s="2" t="s">
        <v>17102</v>
      </c>
      <c r="B3997" s="6">
        <v>46174</v>
      </c>
      <c r="C3997" s="8">
        <v>46185</v>
      </c>
      <c r="D3997" s="2" t="s">
        <v>7433</v>
      </c>
      <c r="E3997" s="2" t="s">
        <v>16959</v>
      </c>
      <c r="F3997" s="2" t="s">
        <v>15304</v>
      </c>
      <c r="G3997" s="2" t="s">
        <v>17103</v>
      </c>
      <c r="H3997" s="2" t="s">
        <v>70</v>
      </c>
      <c r="I3997" s="9">
        <v>4647.6428569999998</v>
      </c>
      <c r="J3997" s="7">
        <v>0.66500000000000004</v>
      </c>
      <c r="K3997" s="9">
        <v>3090.68</v>
      </c>
      <c r="L3997" s="14">
        <v>0</v>
      </c>
      <c r="M3997" s="2" t="s">
        <v>71</v>
      </c>
      <c r="N3997" s="2" t="s">
        <v>16961</v>
      </c>
      <c r="O3997" s="2" t="s">
        <v>7787</v>
      </c>
      <c r="P3997" s="9">
        <v>0</v>
      </c>
      <c r="Q3997" s="9">
        <v>0</v>
      </c>
      <c r="R3997" s="2"/>
    </row>
    <row r="3998" spans="1:18" x14ac:dyDescent="0.25">
      <c r="A3998" s="2" t="s">
        <v>17104</v>
      </c>
      <c r="B3998" s="6">
        <v>46174</v>
      </c>
      <c r="C3998" s="8">
        <v>46186</v>
      </c>
      <c r="D3998" s="2" t="s">
        <v>7433</v>
      </c>
      <c r="E3998" s="2" t="s">
        <v>16959</v>
      </c>
      <c r="F3998" s="2" t="s">
        <v>15308</v>
      </c>
      <c r="G3998" s="2" t="s">
        <v>17105</v>
      </c>
      <c r="H3998" s="2" t="s">
        <v>39</v>
      </c>
      <c r="I3998" s="9">
        <v>3409.0255000000002</v>
      </c>
      <c r="J3998" s="7">
        <v>1</v>
      </c>
      <c r="K3998" s="9">
        <v>3409.03</v>
      </c>
      <c r="L3998" s="14">
        <v>0</v>
      </c>
      <c r="M3998" s="2" t="s">
        <v>71</v>
      </c>
      <c r="N3998" s="2" t="s">
        <v>16961</v>
      </c>
      <c r="O3998" s="2" t="s">
        <v>7792</v>
      </c>
      <c r="P3998" s="9">
        <v>0</v>
      </c>
      <c r="Q3998" s="9">
        <v>0</v>
      </c>
      <c r="R3998" s="2"/>
    </row>
    <row r="3999" spans="1:18" x14ac:dyDescent="0.25">
      <c r="A3999" s="2" t="s">
        <v>17106</v>
      </c>
      <c r="B3999" s="6">
        <v>46174</v>
      </c>
      <c r="C3999" s="8">
        <v>46187</v>
      </c>
      <c r="D3999" s="2" t="s">
        <v>7433</v>
      </c>
      <c r="E3999" s="2" t="s">
        <v>16959</v>
      </c>
      <c r="F3999" s="2" t="s">
        <v>15312</v>
      </c>
      <c r="G3999" s="2" t="s">
        <v>17107</v>
      </c>
      <c r="H3999" s="2" t="s">
        <v>76</v>
      </c>
      <c r="I3999" s="9">
        <v>59637712</v>
      </c>
      <c r="J3999" s="7">
        <v>6.2500000000000001E-5</v>
      </c>
      <c r="K3999" s="9">
        <v>3727.36</v>
      </c>
      <c r="L3999" s="14">
        <v>0</v>
      </c>
      <c r="M3999" s="2" t="s">
        <v>71</v>
      </c>
      <c r="N3999" s="2" t="s">
        <v>16961</v>
      </c>
      <c r="O3999" s="2" t="s">
        <v>7797</v>
      </c>
      <c r="P3999" s="9">
        <v>0</v>
      </c>
      <c r="Q3999" s="9">
        <v>0</v>
      </c>
      <c r="R3999" s="2"/>
    </row>
    <row r="4000" spans="1:18" x14ac:dyDescent="0.25">
      <c r="A4000" s="2" t="s">
        <v>17108</v>
      </c>
      <c r="B4000" s="6">
        <v>46174</v>
      </c>
      <c r="C4000" s="8">
        <v>46188</v>
      </c>
      <c r="D4000" s="2" t="s">
        <v>7433</v>
      </c>
      <c r="E4000" s="2" t="s">
        <v>16959</v>
      </c>
      <c r="F4000" s="2" t="s">
        <v>15316</v>
      </c>
      <c r="G4000" s="2" t="s">
        <v>17109</v>
      </c>
      <c r="H4000" s="2" t="s">
        <v>70</v>
      </c>
      <c r="I4000" s="9">
        <v>6083.7593989999996</v>
      </c>
      <c r="J4000" s="7">
        <v>0.66500000000000004</v>
      </c>
      <c r="K4000" s="9">
        <v>4045.7</v>
      </c>
      <c r="L4000" s="14">
        <v>0</v>
      </c>
      <c r="M4000" s="2" t="s">
        <v>71</v>
      </c>
      <c r="N4000" s="2" t="s">
        <v>16961</v>
      </c>
      <c r="O4000" s="2" t="s">
        <v>7802</v>
      </c>
      <c r="P4000" s="9">
        <v>0</v>
      </c>
      <c r="Q4000" s="9">
        <v>0</v>
      </c>
      <c r="R4000" s="2"/>
    </row>
    <row r="4001" spans="1:18" x14ac:dyDescent="0.25">
      <c r="A4001" s="2" t="s">
        <v>17110</v>
      </c>
      <c r="B4001" s="6">
        <v>46174</v>
      </c>
      <c r="C4001" s="8">
        <v>46189</v>
      </c>
      <c r="D4001" s="2" t="s">
        <v>7433</v>
      </c>
      <c r="E4001" s="2" t="s">
        <v>16959</v>
      </c>
      <c r="F4001" s="2" t="s">
        <v>15320</v>
      </c>
      <c r="G4001" s="2" t="s">
        <v>17111</v>
      </c>
      <c r="H4001" s="2" t="s">
        <v>39</v>
      </c>
      <c r="I4001" s="9">
        <v>4364.0429999999997</v>
      </c>
      <c r="J4001" s="7">
        <v>1</v>
      </c>
      <c r="K4001" s="9">
        <v>4364.04</v>
      </c>
      <c r="L4001" s="14">
        <v>0</v>
      </c>
      <c r="M4001" s="2" t="s">
        <v>71</v>
      </c>
      <c r="N4001" s="2" t="s">
        <v>16961</v>
      </c>
      <c r="O4001" s="2" t="s">
        <v>7807</v>
      </c>
      <c r="P4001" s="9">
        <v>0</v>
      </c>
      <c r="Q4001" s="9">
        <v>0</v>
      </c>
      <c r="R4001" s="2"/>
    </row>
    <row r="4002" spans="1:18" x14ac:dyDescent="0.25">
      <c r="A4002" s="2" t="s">
        <v>17112</v>
      </c>
      <c r="B4002" s="6">
        <v>46174</v>
      </c>
      <c r="C4002" s="8">
        <v>46190</v>
      </c>
      <c r="D4002" s="2" t="s">
        <v>7433</v>
      </c>
      <c r="E4002" s="2" t="s">
        <v>16959</v>
      </c>
      <c r="F4002" s="2" t="s">
        <v>15324</v>
      </c>
      <c r="G4002" s="2" t="s">
        <v>17113</v>
      </c>
      <c r="H4002" s="2" t="s">
        <v>76</v>
      </c>
      <c r="I4002" s="9">
        <v>74917992</v>
      </c>
      <c r="J4002" s="7">
        <v>6.2500000000000001E-5</v>
      </c>
      <c r="K4002" s="9">
        <v>4682.37</v>
      </c>
      <c r="L4002" s="14">
        <v>0</v>
      </c>
      <c r="M4002" s="2" t="s">
        <v>71</v>
      </c>
      <c r="N4002" s="2" t="s">
        <v>16961</v>
      </c>
      <c r="O4002" s="2" t="s">
        <v>7812</v>
      </c>
      <c r="P4002" s="9">
        <v>0</v>
      </c>
      <c r="Q4002" s="9">
        <v>0</v>
      </c>
      <c r="R4002" s="2"/>
    </row>
    <row r="4003" spans="1:18" x14ac:dyDescent="0.25">
      <c r="A4003" s="2" t="s">
        <v>17114</v>
      </c>
      <c r="B4003" s="6">
        <v>46174</v>
      </c>
      <c r="C4003" s="8">
        <v>46191</v>
      </c>
      <c r="D4003" s="2" t="s">
        <v>7433</v>
      </c>
      <c r="E4003" s="2" t="s">
        <v>16959</v>
      </c>
      <c r="F4003" s="2" t="s">
        <v>15328</v>
      </c>
      <c r="G4003" s="2" t="s">
        <v>17115</v>
      </c>
      <c r="H4003" s="2" t="s">
        <v>70</v>
      </c>
      <c r="I4003" s="9">
        <v>7519.8759389999996</v>
      </c>
      <c r="J4003" s="7">
        <v>0.66500000000000004</v>
      </c>
      <c r="K4003" s="9">
        <v>5000.72</v>
      </c>
      <c r="L4003" s="14">
        <v>0</v>
      </c>
      <c r="M4003" s="2" t="s">
        <v>71</v>
      </c>
      <c r="N4003" s="2" t="s">
        <v>16961</v>
      </c>
      <c r="O4003" s="2" t="s">
        <v>7817</v>
      </c>
      <c r="P4003" s="9">
        <v>0</v>
      </c>
      <c r="Q4003" s="9">
        <v>0</v>
      </c>
      <c r="R4003" s="2"/>
    </row>
    <row r="4004" spans="1:18" x14ac:dyDescent="0.25">
      <c r="A4004" s="2" t="s">
        <v>17116</v>
      </c>
      <c r="B4004" s="6">
        <v>46174</v>
      </c>
      <c r="C4004" s="8">
        <v>46192</v>
      </c>
      <c r="D4004" s="2" t="s">
        <v>7433</v>
      </c>
      <c r="E4004" s="2" t="s">
        <v>16959</v>
      </c>
      <c r="F4004" s="2" t="s">
        <v>15332</v>
      </c>
      <c r="G4004" s="2" t="s">
        <v>17117</v>
      </c>
      <c r="H4004" s="2" t="s">
        <v>39</v>
      </c>
      <c r="I4004" s="9">
        <v>5319.049</v>
      </c>
      <c r="J4004" s="7">
        <v>1</v>
      </c>
      <c r="K4004" s="9">
        <v>5319.05</v>
      </c>
      <c r="L4004" s="14">
        <v>0</v>
      </c>
      <c r="M4004" s="2" t="s">
        <v>71</v>
      </c>
      <c r="N4004" s="2" t="s">
        <v>16961</v>
      </c>
      <c r="O4004" s="2" t="s">
        <v>7822</v>
      </c>
      <c r="P4004" s="9">
        <v>0</v>
      </c>
      <c r="Q4004" s="9">
        <v>0</v>
      </c>
      <c r="R4004" s="2"/>
    </row>
    <row r="4005" spans="1:18" x14ac:dyDescent="0.25">
      <c r="A4005" s="2" t="s">
        <v>17118</v>
      </c>
      <c r="B4005" s="6">
        <v>46174</v>
      </c>
      <c r="C4005" s="8">
        <v>46193</v>
      </c>
      <c r="D4005" s="2" t="s">
        <v>7433</v>
      </c>
      <c r="E4005" s="2" t="s">
        <v>16959</v>
      </c>
      <c r="F4005" s="2" t="s">
        <v>15336</v>
      </c>
      <c r="G4005" s="2" t="s">
        <v>17119</v>
      </c>
      <c r="H4005" s="2" t="s">
        <v>76</v>
      </c>
      <c r="I4005" s="9">
        <v>90198272</v>
      </c>
      <c r="J4005" s="7">
        <v>6.2500000000000001E-5</v>
      </c>
      <c r="K4005" s="9">
        <v>5637.39</v>
      </c>
      <c r="L4005" s="14">
        <v>0</v>
      </c>
      <c r="M4005" s="2" t="s">
        <v>71</v>
      </c>
      <c r="N4005" s="2" t="s">
        <v>16961</v>
      </c>
      <c r="O4005" s="2" t="s">
        <v>7827</v>
      </c>
      <c r="P4005" s="9">
        <v>0</v>
      </c>
      <c r="Q4005" s="9">
        <v>0</v>
      </c>
      <c r="R4005" s="2"/>
    </row>
    <row r="4006" spans="1:18" x14ac:dyDescent="0.25">
      <c r="A4006" s="2" t="s">
        <v>17120</v>
      </c>
      <c r="B4006" s="6">
        <v>46174</v>
      </c>
      <c r="C4006" s="8">
        <v>46194</v>
      </c>
      <c r="D4006" s="2" t="s">
        <v>7433</v>
      </c>
      <c r="E4006" s="2" t="s">
        <v>16959</v>
      </c>
      <c r="F4006" s="2" t="s">
        <v>15300</v>
      </c>
      <c r="G4006" s="2" t="s">
        <v>17121</v>
      </c>
      <c r="H4006" s="2" t="s">
        <v>70</v>
      </c>
      <c r="I4006" s="9">
        <v>8955.9751880000003</v>
      </c>
      <c r="J4006" s="7">
        <v>0.66500000000000004</v>
      </c>
      <c r="K4006" s="9">
        <v>5955.72</v>
      </c>
      <c r="L4006" s="14">
        <v>0</v>
      </c>
      <c r="M4006" s="2" t="s">
        <v>71</v>
      </c>
      <c r="N4006" s="2" t="s">
        <v>16961</v>
      </c>
      <c r="O4006" s="2" t="s">
        <v>7832</v>
      </c>
      <c r="P4006" s="9">
        <v>0</v>
      </c>
      <c r="Q4006" s="9">
        <v>0</v>
      </c>
      <c r="R4006" s="2"/>
    </row>
    <row r="4007" spans="1:18" x14ac:dyDescent="0.25">
      <c r="A4007" s="2" t="s">
        <v>17122</v>
      </c>
      <c r="B4007" s="6">
        <v>46174</v>
      </c>
      <c r="C4007" s="8">
        <v>46195</v>
      </c>
      <c r="D4007" s="2" t="s">
        <v>7433</v>
      </c>
      <c r="E4007" s="2" t="s">
        <v>16959</v>
      </c>
      <c r="F4007" s="2" t="s">
        <v>15304</v>
      </c>
      <c r="G4007" s="2" t="s">
        <v>17123</v>
      </c>
      <c r="H4007" s="2" t="s">
        <v>39</v>
      </c>
      <c r="I4007" s="9">
        <v>-6274.0664999999999</v>
      </c>
      <c r="J4007" s="7">
        <v>1</v>
      </c>
      <c r="K4007" s="9">
        <v>-6274.07</v>
      </c>
      <c r="L4007" s="14">
        <v>0</v>
      </c>
      <c r="M4007" s="2" t="s">
        <v>71</v>
      </c>
      <c r="N4007" s="2" t="s">
        <v>16961</v>
      </c>
      <c r="O4007" s="2" t="s">
        <v>7837</v>
      </c>
      <c r="P4007" s="9">
        <v>0</v>
      </c>
      <c r="Q4007" s="9">
        <v>0</v>
      </c>
      <c r="R4007" s="2"/>
    </row>
    <row r="4008" spans="1:18" x14ac:dyDescent="0.25">
      <c r="A4008" s="2" t="s">
        <v>17124</v>
      </c>
      <c r="B4008" s="6">
        <v>46174</v>
      </c>
      <c r="C4008" s="8">
        <v>46196</v>
      </c>
      <c r="D4008" s="2" t="s">
        <v>7433</v>
      </c>
      <c r="E4008" s="2" t="s">
        <v>16959</v>
      </c>
      <c r="F4008" s="2" t="s">
        <v>15308</v>
      </c>
      <c r="G4008" s="2" t="s">
        <v>17125</v>
      </c>
      <c r="H4008" s="2" t="s">
        <v>76</v>
      </c>
      <c r="I4008" s="9">
        <v>105478552</v>
      </c>
      <c r="J4008" s="7">
        <v>6.2500000000000001E-5</v>
      </c>
      <c r="K4008" s="9">
        <v>6592.41</v>
      </c>
      <c r="L4008" s="14">
        <v>0</v>
      </c>
      <c r="M4008" s="2" t="s">
        <v>71</v>
      </c>
      <c r="N4008" s="2" t="s">
        <v>16961</v>
      </c>
      <c r="O4008" s="2" t="s">
        <v>7840</v>
      </c>
      <c r="P4008" s="9">
        <v>0</v>
      </c>
      <c r="Q4008" s="9">
        <v>0</v>
      </c>
      <c r="R4008" s="2"/>
    </row>
    <row r="4009" spans="1:18" x14ac:dyDescent="0.25">
      <c r="A4009" s="2" t="s">
        <v>17126</v>
      </c>
      <c r="B4009" s="6">
        <v>46174</v>
      </c>
      <c r="C4009" s="8">
        <v>46197</v>
      </c>
      <c r="D4009" s="2" t="s">
        <v>7433</v>
      </c>
      <c r="E4009" s="2" t="s">
        <v>16959</v>
      </c>
      <c r="F4009" s="2" t="s">
        <v>15312</v>
      </c>
      <c r="G4009" s="2" t="s">
        <v>17127</v>
      </c>
      <c r="H4009" s="2" t="s">
        <v>70</v>
      </c>
      <c r="I4009" s="9">
        <v>10392.109022000001</v>
      </c>
      <c r="J4009" s="7">
        <v>0.66500000000000004</v>
      </c>
      <c r="K4009" s="9">
        <v>6910.75</v>
      </c>
      <c r="L4009" s="14">
        <v>0</v>
      </c>
      <c r="M4009" s="2" t="s">
        <v>71</v>
      </c>
      <c r="N4009" s="2" t="s">
        <v>16961</v>
      </c>
      <c r="O4009" s="2" t="s">
        <v>7845</v>
      </c>
      <c r="P4009" s="9">
        <v>0</v>
      </c>
      <c r="Q4009" s="9">
        <v>0</v>
      </c>
      <c r="R4009" s="2"/>
    </row>
    <row r="4010" spans="1:18" x14ac:dyDescent="0.25">
      <c r="A4010" s="2" t="s">
        <v>17128</v>
      </c>
      <c r="B4010" s="6">
        <v>46174</v>
      </c>
      <c r="C4010" s="8">
        <v>46198</v>
      </c>
      <c r="D4010" s="2" t="s">
        <v>7433</v>
      </c>
      <c r="E4010" s="2" t="s">
        <v>16959</v>
      </c>
      <c r="F4010" s="2" t="s">
        <v>15316</v>
      </c>
      <c r="G4010" s="2" t="s">
        <v>17129</v>
      </c>
      <c r="H4010" s="2" t="s">
        <v>39</v>
      </c>
      <c r="I4010" s="9">
        <v>7229.0839999999998</v>
      </c>
      <c r="J4010" s="7">
        <v>1</v>
      </c>
      <c r="K4010" s="9">
        <v>7229.08</v>
      </c>
      <c r="L4010" s="14">
        <v>0</v>
      </c>
      <c r="M4010" s="2" t="s">
        <v>71</v>
      </c>
      <c r="N4010" s="2" t="s">
        <v>16961</v>
      </c>
      <c r="O4010" s="2" t="s">
        <v>7850</v>
      </c>
      <c r="P4010" s="9">
        <v>0</v>
      </c>
      <c r="Q4010" s="9">
        <v>0</v>
      </c>
      <c r="R4010" s="2"/>
    </row>
    <row r="4011" spans="1:18" x14ac:dyDescent="0.25">
      <c r="A4011" s="2" t="s">
        <v>17130</v>
      </c>
      <c r="B4011" s="6">
        <v>46174</v>
      </c>
      <c r="C4011" s="8">
        <v>46199</v>
      </c>
      <c r="D4011" s="2" t="s">
        <v>7433</v>
      </c>
      <c r="E4011" s="2" t="s">
        <v>16959</v>
      </c>
      <c r="F4011" s="2" t="s">
        <v>15320</v>
      </c>
      <c r="G4011" s="2" t="s">
        <v>17131</v>
      </c>
      <c r="H4011" s="2" t="s">
        <v>76</v>
      </c>
      <c r="I4011" s="9">
        <v>120758832</v>
      </c>
      <c r="J4011" s="7">
        <v>6.2500000000000001E-5</v>
      </c>
      <c r="K4011" s="9">
        <v>7547.43</v>
      </c>
      <c r="L4011" s="14">
        <v>0</v>
      </c>
      <c r="M4011" s="2" t="s">
        <v>71</v>
      </c>
      <c r="N4011" s="2" t="s">
        <v>16961</v>
      </c>
      <c r="O4011" s="2" t="s">
        <v>7855</v>
      </c>
      <c r="P4011" s="9">
        <v>0</v>
      </c>
      <c r="Q4011" s="9">
        <v>0</v>
      </c>
      <c r="R4011" s="2"/>
    </row>
    <row r="4012" spans="1:18" x14ac:dyDescent="0.25">
      <c r="A4012" s="2" t="s">
        <v>17132</v>
      </c>
      <c r="B4012" s="6">
        <v>46174</v>
      </c>
      <c r="C4012" s="8">
        <v>46200</v>
      </c>
      <c r="D4012" s="2" t="s">
        <v>7433</v>
      </c>
      <c r="E4012" s="2" t="s">
        <v>16959</v>
      </c>
      <c r="F4012" s="2" t="s">
        <v>15324</v>
      </c>
      <c r="G4012" s="2" t="s">
        <v>17133</v>
      </c>
      <c r="H4012" s="2" t="s">
        <v>70</v>
      </c>
      <c r="I4012" s="9">
        <v>11828.208269999999</v>
      </c>
      <c r="J4012" s="7">
        <v>0.66500000000000004</v>
      </c>
      <c r="K4012" s="9">
        <v>7865.76</v>
      </c>
      <c r="L4012" s="14">
        <v>0</v>
      </c>
      <c r="M4012" s="2" t="s">
        <v>71</v>
      </c>
      <c r="N4012" s="2" t="s">
        <v>16961</v>
      </c>
      <c r="O4012" s="2" t="s">
        <v>7860</v>
      </c>
      <c r="P4012" s="9">
        <v>0</v>
      </c>
      <c r="Q4012" s="9">
        <v>0</v>
      </c>
      <c r="R4012" s="2"/>
    </row>
    <row r="4013" spans="1:18" x14ac:dyDescent="0.25">
      <c r="A4013" s="2" t="s">
        <v>17134</v>
      </c>
      <c r="B4013" s="6">
        <v>46174</v>
      </c>
      <c r="C4013" s="8">
        <v>46201</v>
      </c>
      <c r="D4013" s="2" t="s">
        <v>7433</v>
      </c>
      <c r="E4013" s="2" t="s">
        <v>16959</v>
      </c>
      <c r="F4013" s="2" t="s">
        <v>15328</v>
      </c>
      <c r="G4013" s="2" t="s">
        <v>17135</v>
      </c>
      <c r="H4013" s="2" t="s">
        <v>39</v>
      </c>
      <c r="I4013" s="9">
        <v>8184.1014999999998</v>
      </c>
      <c r="J4013" s="7">
        <v>1</v>
      </c>
      <c r="K4013" s="9">
        <v>8184.1</v>
      </c>
      <c r="L4013" s="14">
        <v>0</v>
      </c>
      <c r="M4013" s="2" t="s">
        <v>71</v>
      </c>
      <c r="N4013" s="2" t="s">
        <v>16961</v>
      </c>
      <c r="O4013" s="2" t="s">
        <v>7865</v>
      </c>
      <c r="P4013" s="9">
        <v>0</v>
      </c>
      <c r="Q4013" s="9">
        <v>0</v>
      </c>
      <c r="R4013" s="2"/>
    </row>
    <row r="4014" spans="1:18" x14ac:dyDescent="0.25">
      <c r="A4014" s="2" t="s">
        <v>17136</v>
      </c>
      <c r="B4014" s="6">
        <v>46174</v>
      </c>
      <c r="C4014" s="8">
        <v>46202</v>
      </c>
      <c r="D4014" s="2" t="s">
        <v>7433</v>
      </c>
      <c r="E4014" s="2" t="s">
        <v>16959</v>
      </c>
      <c r="F4014" s="2" t="s">
        <v>15332</v>
      </c>
      <c r="G4014" s="2" t="s">
        <v>17137</v>
      </c>
      <c r="H4014" s="2" t="s">
        <v>76</v>
      </c>
      <c r="I4014" s="9">
        <v>136038928</v>
      </c>
      <c r="J4014" s="7">
        <v>6.2500000000000001E-5</v>
      </c>
      <c r="K4014" s="9">
        <v>8502.43</v>
      </c>
      <c r="L4014" s="14">
        <v>0</v>
      </c>
      <c r="M4014" s="2" t="s">
        <v>71</v>
      </c>
      <c r="N4014" s="2" t="s">
        <v>16961</v>
      </c>
      <c r="O4014" s="2" t="s">
        <v>7870</v>
      </c>
      <c r="P4014" s="9">
        <v>0</v>
      </c>
      <c r="Q4014" s="9">
        <v>0</v>
      </c>
      <c r="R4014" s="2"/>
    </row>
    <row r="4015" spans="1:18" x14ac:dyDescent="0.25">
      <c r="A4015" s="2" t="s">
        <v>17138</v>
      </c>
      <c r="B4015" s="6">
        <v>46174</v>
      </c>
      <c r="C4015" s="8">
        <v>46203</v>
      </c>
      <c r="D4015" s="2" t="s">
        <v>7433</v>
      </c>
      <c r="E4015" s="2" t="s">
        <v>16959</v>
      </c>
      <c r="F4015" s="2" t="s">
        <v>15336</v>
      </c>
      <c r="G4015" s="2" t="s">
        <v>17139</v>
      </c>
      <c r="H4015" s="2" t="s">
        <v>70</v>
      </c>
      <c r="I4015" s="9">
        <v>13264.324812000001</v>
      </c>
      <c r="J4015" s="7">
        <v>0.66500000000000004</v>
      </c>
      <c r="K4015" s="9">
        <v>8820.7800000000007</v>
      </c>
      <c r="L4015" s="14">
        <v>0</v>
      </c>
      <c r="M4015" s="2" t="s">
        <v>71</v>
      </c>
      <c r="N4015" s="2" t="s">
        <v>16961</v>
      </c>
      <c r="O4015" s="2" t="s">
        <v>7875</v>
      </c>
      <c r="P4015" s="9">
        <v>0</v>
      </c>
      <c r="Q4015" s="9">
        <v>0</v>
      </c>
      <c r="R4015" s="2"/>
    </row>
    <row r="4016" spans="1:18" x14ac:dyDescent="0.25">
      <c r="A4016" s="2" t="s">
        <v>17140</v>
      </c>
      <c r="B4016" s="6">
        <v>46174</v>
      </c>
      <c r="C4016" s="8">
        <v>46174</v>
      </c>
      <c r="D4016" s="2" t="s">
        <v>7433</v>
      </c>
      <c r="E4016" s="2" t="s">
        <v>16959</v>
      </c>
      <c r="F4016" s="2" t="s">
        <v>15300</v>
      </c>
      <c r="G4016" s="2" t="s">
        <v>17141</v>
      </c>
      <c r="H4016" s="2" t="s">
        <v>39</v>
      </c>
      <c r="I4016" s="9">
        <v>9139.1190000000006</v>
      </c>
      <c r="J4016" s="7">
        <v>1</v>
      </c>
      <c r="K4016" s="9">
        <v>9139.1200000000008</v>
      </c>
      <c r="L4016" s="14">
        <v>0</v>
      </c>
      <c r="M4016" s="2" t="s">
        <v>71</v>
      </c>
      <c r="N4016" s="2" t="s">
        <v>16961</v>
      </c>
      <c r="O4016" s="2" t="s">
        <v>7880</v>
      </c>
      <c r="P4016" s="9">
        <v>0</v>
      </c>
      <c r="Q4016" s="9">
        <v>0</v>
      </c>
      <c r="R4016" s="2"/>
    </row>
    <row r="4017" spans="1:18" x14ac:dyDescent="0.25">
      <c r="A4017" s="2" t="s">
        <v>17142</v>
      </c>
      <c r="B4017" s="6">
        <v>46174</v>
      </c>
      <c r="C4017" s="8">
        <v>46175</v>
      </c>
      <c r="D4017" s="2" t="s">
        <v>7433</v>
      </c>
      <c r="E4017" s="2" t="s">
        <v>16959</v>
      </c>
      <c r="F4017" s="2" t="s">
        <v>15304</v>
      </c>
      <c r="G4017" s="2" t="s">
        <v>17143</v>
      </c>
      <c r="H4017" s="2" t="s">
        <v>76</v>
      </c>
      <c r="I4017" s="9">
        <v>151319208</v>
      </c>
      <c r="J4017" s="7">
        <v>6.2500000000000001E-5</v>
      </c>
      <c r="K4017" s="9">
        <v>9457.4500000000007</v>
      </c>
      <c r="L4017" s="14">
        <v>0</v>
      </c>
      <c r="M4017" s="2" t="s">
        <v>71</v>
      </c>
      <c r="N4017" s="2" t="s">
        <v>16961</v>
      </c>
      <c r="O4017" s="2" t="s">
        <v>7885</v>
      </c>
      <c r="P4017" s="9">
        <v>0</v>
      </c>
      <c r="Q4017" s="9">
        <v>0</v>
      </c>
      <c r="R4017" s="2"/>
    </row>
    <row r="4018" spans="1:18" x14ac:dyDescent="0.25">
      <c r="A4018" s="2" t="s">
        <v>17144</v>
      </c>
      <c r="B4018" s="6">
        <v>46174</v>
      </c>
      <c r="C4018" s="8">
        <v>46176</v>
      </c>
      <c r="D4018" s="2" t="s">
        <v>7433</v>
      </c>
      <c r="E4018" s="2" t="s">
        <v>16959</v>
      </c>
      <c r="F4018" s="2" t="s">
        <v>15308</v>
      </c>
      <c r="G4018" s="2" t="s">
        <v>17145</v>
      </c>
      <c r="H4018" s="2" t="s">
        <v>70</v>
      </c>
      <c r="I4018" s="9">
        <v>14700.441353</v>
      </c>
      <c r="J4018" s="7">
        <v>0.66500000000000004</v>
      </c>
      <c r="K4018" s="9">
        <v>9775.7900000000009</v>
      </c>
      <c r="L4018" s="14">
        <v>0</v>
      </c>
      <c r="M4018" s="2" t="s">
        <v>71</v>
      </c>
      <c r="N4018" s="2" t="s">
        <v>16961</v>
      </c>
      <c r="O4018" s="2" t="s">
        <v>7890</v>
      </c>
      <c r="P4018" s="9">
        <v>0</v>
      </c>
      <c r="Q4018" s="9">
        <v>0</v>
      </c>
      <c r="R4018" s="2"/>
    </row>
    <row r="4019" spans="1:18" x14ac:dyDescent="0.25">
      <c r="A4019" s="2" t="s">
        <v>17146</v>
      </c>
      <c r="B4019" s="6">
        <v>46174</v>
      </c>
      <c r="C4019" s="8">
        <v>46177</v>
      </c>
      <c r="D4019" s="2" t="s">
        <v>7433</v>
      </c>
      <c r="E4019" s="2" t="s">
        <v>16959</v>
      </c>
      <c r="F4019" s="2" t="s">
        <v>15312</v>
      </c>
      <c r="G4019" s="2" t="s">
        <v>17147</v>
      </c>
      <c r="H4019" s="2" t="s">
        <v>39</v>
      </c>
      <c r="I4019" s="9">
        <v>10094.125</v>
      </c>
      <c r="J4019" s="7">
        <v>1</v>
      </c>
      <c r="K4019" s="9">
        <v>10094.129999999999</v>
      </c>
      <c r="L4019" s="14">
        <v>0</v>
      </c>
      <c r="M4019" s="2" t="s">
        <v>71</v>
      </c>
      <c r="N4019" s="2" t="s">
        <v>16961</v>
      </c>
      <c r="O4019" s="2" t="s">
        <v>7895</v>
      </c>
      <c r="P4019" s="9">
        <v>0</v>
      </c>
      <c r="Q4019" s="9">
        <v>0</v>
      </c>
      <c r="R4019" s="2"/>
    </row>
    <row r="4020" spans="1:18" x14ac:dyDescent="0.25">
      <c r="A4020" s="2" t="s">
        <v>17148</v>
      </c>
      <c r="B4020" s="6">
        <v>46174</v>
      </c>
      <c r="C4020" s="8">
        <v>46178</v>
      </c>
      <c r="D4020" s="2" t="s">
        <v>7433</v>
      </c>
      <c r="E4020" s="2" t="s">
        <v>16959</v>
      </c>
      <c r="F4020" s="2" t="s">
        <v>15316</v>
      </c>
      <c r="G4020" s="2" t="s">
        <v>17149</v>
      </c>
      <c r="H4020" s="2" t="s">
        <v>76</v>
      </c>
      <c r="I4020" s="9">
        <v>166599488</v>
      </c>
      <c r="J4020" s="7">
        <v>6.2500000000000001E-5</v>
      </c>
      <c r="K4020" s="9">
        <v>10412.469999999999</v>
      </c>
      <c r="L4020" s="14">
        <v>0</v>
      </c>
      <c r="M4020" s="2" t="s">
        <v>71</v>
      </c>
      <c r="N4020" s="2" t="s">
        <v>16961</v>
      </c>
      <c r="O4020" s="2" t="s">
        <v>7900</v>
      </c>
      <c r="P4020" s="9">
        <v>0</v>
      </c>
      <c r="Q4020" s="9">
        <v>0</v>
      </c>
      <c r="R4020" s="2"/>
    </row>
    <row r="4021" spans="1:18" x14ac:dyDescent="0.25">
      <c r="A4021" s="2" t="s">
        <v>17150</v>
      </c>
      <c r="B4021" s="6">
        <v>46174</v>
      </c>
      <c r="C4021" s="8">
        <v>46179</v>
      </c>
      <c r="D4021" s="2" t="s">
        <v>7433</v>
      </c>
      <c r="E4021" s="2" t="s">
        <v>16959</v>
      </c>
      <c r="F4021" s="2" t="s">
        <v>15320</v>
      </c>
      <c r="G4021" s="2" t="s">
        <v>17151</v>
      </c>
      <c r="H4021" s="2" t="s">
        <v>70</v>
      </c>
      <c r="I4021" s="9">
        <v>16136.540601000001</v>
      </c>
      <c r="J4021" s="7">
        <v>0.66500000000000004</v>
      </c>
      <c r="K4021" s="9">
        <v>10730.8</v>
      </c>
      <c r="L4021" s="14">
        <v>0</v>
      </c>
      <c r="M4021" s="2" t="s">
        <v>71</v>
      </c>
      <c r="N4021" s="2" t="s">
        <v>16961</v>
      </c>
      <c r="O4021" s="2" t="s">
        <v>7905</v>
      </c>
      <c r="P4021" s="9">
        <v>0</v>
      </c>
      <c r="Q4021" s="9">
        <v>0</v>
      </c>
      <c r="R4021" s="2"/>
    </row>
    <row r="4022" spans="1:18" x14ac:dyDescent="0.25">
      <c r="A4022" s="2" t="s">
        <v>17152</v>
      </c>
      <c r="B4022" s="6">
        <v>46174</v>
      </c>
      <c r="C4022" s="8">
        <v>46180</v>
      </c>
      <c r="D4022" s="2" t="s">
        <v>7433</v>
      </c>
      <c r="E4022" s="2" t="s">
        <v>16959</v>
      </c>
      <c r="F4022" s="2" t="s">
        <v>15324</v>
      </c>
      <c r="G4022" s="2" t="s">
        <v>17153</v>
      </c>
      <c r="H4022" s="2" t="s">
        <v>39</v>
      </c>
      <c r="I4022" s="9">
        <v>11047.36</v>
      </c>
      <c r="J4022" s="7">
        <v>1</v>
      </c>
      <c r="K4022" s="9">
        <v>11047.36</v>
      </c>
      <c r="L4022" s="14">
        <v>0</v>
      </c>
      <c r="M4022" s="2" t="s">
        <v>71</v>
      </c>
      <c r="N4022" s="2" t="s">
        <v>16961</v>
      </c>
      <c r="O4022" s="2" t="s">
        <v>7910</v>
      </c>
      <c r="P4022" s="9">
        <v>0</v>
      </c>
      <c r="Q4022" s="9">
        <v>0</v>
      </c>
      <c r="R4022" s="2"/>
    </row>
    <row r="4023" spans="1:18" x14ac:dyDescent="0.25">
      <c r="A4023" s="2" t="s">
        <v>17154</v>
      </c>
      <c r="B4023" s="6">
        <v>46174</v>
      </c>
      <c r="C4023" s="8">
        <v>46181</v>
      </c>
      <c r="D4023" s="2" t="s">
        <v>7433</v>
      </c>
      <c r="E4023" s="2" t="s">
        <v>16959</v>
      </c>
      <c r="F4023" s="2" t="s">
        <v>15328</v>
      </c>
      <c r="G4023" s="2" t="s">
        <v>17155</v>
      </c>
      <c r="H4023" s="2" t="s">
        <v>76</v>
      </c>
      <c r="I4023" s="9">
        <v>181851248</v>
      </c>
      <c r="J4023" s="7">
        <v>6.2500000000000001E-5</v>
      </c>
      <c r="K4023" s="9">
        <v>11365.7</v>
      </c>
      <c r="L4023" s="14">
        <v>0</v>
      </c>
      <c r="M4023" s="2" t="s">
        <v>71</v>
      </c>
      <c r="N4023" s="2" t="s">
        <v>16961</v>
      </c>
      <c r="O4023" s="2" t="s">
        <v>7915</v>
      </c>
      <c r="P4023" s="9">
        <v>0</v>
      </c>
      <c r="Q4023" s="9">
        <v>0</v>
      </c>
      <c r="R4023" s="2"/>
    </row>
    <row r="4024" spans="1:18" x14ac:dyDescent="0.25">
      <c r="A4024" s="2" t="s">
        <v>17156</v>
      </c>
      <c r="B4024" s="6">
        <v>46174</v>
      </c>
      <c r="C4024" s="8">
        <v>46182</v>
      </c>
      <c r="D4024" s="2" t="s">
        <v>7433</v>
      </c>
      <c r="E4024" s="2" t="s">
        <v>16959</v>
      </c>
      <c r="F4024" s="2" t="s">
        <v>15332</v>
      </c>
      <c r="G4024" s="2" t="s">
        <v>17157</v>
      </c>
      <c r="H4024" s="2" t="s">
        <v>70</v>
      </c>
      <c r="I4024" s="9">
        <v>17569.976692</v>
      </c>
      <c r="J4024" s="7">
        <v>0.66500000000000004</v>
      </c>
      <c r="K4024" s="9">
        <v>11684.03</v>
      </c>
      <c r="L4024" s="14">
        <v>0</v>
      </c>
      <c r="M4024" s="2" t="s">
        <v>71</v>
      </c>
      <c r="N4024" s="2" t="s">
        <v>16961</v>
      </c>
      <c r="O4024" s="2" t="s">
        <v>7920</v>
      </c>
      <c r="P4024" s="9">
        <v>0</v>
      </c>
      <c r="Q4024" s="9">
        <v>0</v>
      </c>
      <c r="R4024" s="2"/>
    </row>
    <row r="4025" spans="1:18" x14ac:dyDescent="0.25">
      <c r="A4025" s="2" t="s">
        <v>17158</v>
      </c>
      <c r="B4025" s="6">
        <v>46174</v>
      </c>
      <c r="C4025" s="8">
        <v>46183</v>
      </c>
      <c r="D4025" s="2" t="s">
        <v>7433</v>
      </c>
      <c r="E4025" s="2" t="s">
        <v>16959</v>
      </c>
      <c r="F4025" s="2" t="s">
        <v>15336</v>
      </c>
      <c r="G4025" s="2" t="s">
        <v>17159</v>
      </c>
      <c r="H4025" s="2" t="s">
        <v>39</v>
      </c>
      <c r="I4025" s="9">
        <v>12002.377500000001</v>
      </c>
      <c r="J4025" s="7">
        <v>1</v>
      </c>
      <c r="K4025" s="9">
        <v>12002.38</v>
      </c>
      <c r="L4025" s="14">
        <v>0</v>
      </c>
      <c r="M4025" s="2" t="s">
        <v>71</v>
      </c>
      <c r="N4025" s="2" t="s">
        <v>16961</v>
      </c>
      <c r="O4025" s="2" t="s">
        <v>7925</v>
      </c>
      <c r="P4025" s="9">
        <v>0</v>
      </c>
      <c r="Q4025" s="9">
        <v>0</v>
      </c>
      <c r="R4025" s="2"/>
    </row>
    <row r="4026" spans="1:18" x14ac:dyDescent="0.25">
      <c r="A4026" s="2" t="s">
        <v>17160</v>
      </c>
      <c r="B4026" s="6">
        <v>46174</v>
      </c>
      <c r="C4026" s="8">
        <v>46184</v>
      </c>
      <c r="D4026" s="2" t="s">
        <v>7433</v>
      </c>
      <c r="E4026" s="2" t="s">
        <v>16959</v>
      </c>
      <c r="F4026" s="2" t="s">
        <v>15300</v>
      </c>
      <c r="G4026" s="2" t="s">
        <v>17161</v>
      </c>
      <c r="H4026" s="2" t="s">
        <v>76</v>
      </c>
      <c r="I4026" s="9">
        <v>197131344</v>
      </c>
      <c r="J4026" s="7">
        <v>6.2500000000000001E-5</v>
      </c>
      <c r="K4026" s="9">
        <v>12320.71</v>
      </c>
      <c r="L4026" s="14">
        <v>0</v>
      </c>
      <c r="M4026" s="2" t="s">
        <v>71</v>
      </c>
      <c r="N4026" s="2" t="s">
        <v>16961</v>
      </c>
      <c r="O4026" s="2" t="s">
        <v>7930</v>
      </c>
      <c r="P4026" s="9">
        <v>0</v>
      </c>
      <c r="Q4026" s="9">
        <v>0</v>
      </c>
      <c r="R4026" s="2"/>
    </row>
    <row r="4027" spans="1:18" x14ac:dyDescent="0.25">
      <c r="A4027" s="2" t="s">
        <v>17162</v>
      </c>
      <c r="B4027" s="6">
        <v>46174</v>
      </c>
      <c r="C4027" s="8">
        <v>46185</v>
      </c>
      <c r="D4027" s="2" t="s">
        <v>7433</v>
      </c>
      <c r="E4027" s="2" t="s">
        <v>16959</v>
      </c>
      <c r="F4027" s="2" t="s">
        <v>15304</v>
      </c>
      <c r="G4027" s="2" t="s">
        <v>17163</v>
      </c>
      <c r="H4027" s="2" t="s">
        <v>70</v>
      </c>
      <c r="I4027" s="9">
        <v>19006.093233</v>
      </c>
      <c r="J4027" s="7">
        <v>0.66500000000000004</v>
      </c>
      <c r="K4027" s="9">
        <v>12639.05</v>
      </c>
      <c r="L4027" s="14">
        <v>0</v>
      </c>
      <c r="M4027" s="2" t="s">
        <v>71</v>
      </c>
      <c r="N4027" s="2" t="s">
        <v>16961</v>
      </c>
      <c r="O4027" s="2" t="s">
        <v>7935</v>
      </c>
      <c r="P4027" s="9">
        <v>0</v>
      </c>
      <c r="Q4027" s="9">
        <v>0</v>
      </c>
      <c r="R4027" s="2"/>
    </row>
    <row r="4028" spans="1:18" x14ac:dyDescent="0.25">
      <c r="A4028" s="2" t="s">
        <v>17164</v>
      </c>
      <c r="B4028" s="6">
        <v>46174</v>
      </c>
      <c r="C4028" s="8">
        <v>46186</v>
      </c>
      <c r="D4028" s="2" t="s">
        <v>7433</v>
      </c>
      <c r="E4028" s="2" t="s">
        <v>16959</v>
      </c>
      <c r="F4028" s="2" t="s">
        <v>15308</v>
      </c>
      <c r="G4028" s="2" t="s">
        <v>17165</v>
      </c>
      <c r="H4028" s="2" t="s">
        <v>39</v>
      </c>
      <c r="I4028" s="9">
        <v>12957.395</v>
      </c>
      <c r="J4028" s="7">
        <v>1</v>
      </c>
      <c r="K4028" s="9">
        <v>12957.39</v>
      </c>
      <c r="L4028" s="14">
        <v>0</v>
      </c>
      <c r="M4028" s="2" t="s">
        <v>71</v>
      </c>
      <c r="N4028" s="2" t="s">
        <v>16961</v>
      </c>
      <c r="O4028" s="2" t="s">
        <v>7940</v>
      </c>
      <c r="P4028" s="9">
        <v>0</v>
      </c>
      <c r="Q4028" s="9">
        <v>0</v>
      </c>
      <c r="R4028" s="2"/>
    </row>
    <row r="4029" spans="1:18" x14ac:dyDescent="0.25">
      <c r="A4029" s="2" t="s">
        <v>17166</v>
      </c>
      <c r="B4029" s="6">
        <v>46174</v>
      </c>
      <c r="C4029" s="8">
        <v>46187</v>
      </c>
      <c r="D4029" s="2" t="s">
        <v>7433</v>
      </c>
      <c r="E4029" s="2" t="s">
        <v>16959</v>
      </c>
      <c r="F4029" s="2" t="s">
        <v>15312</v>
      </c>
      <c r="G4029" s="2" t="s">
        <v>17167</v>
      </c>
      <c r="H4029" s="2" t="s">
        <v>76</v>
      </c>
      <c r="I4029" s="9">
        <v>212411624</v>
      </c>
      <c r="J4029" s="7">
        <v>6.2500000000000001E-5</v>
      </c>
      <c r="K4029" s="9">
        <v>13275.73</v>
      </c>
      <c r="L4029" s="14">
        <v>0</v>
      </c>
      <c r="M4029" s="2" t="s">
        <v>71</v>
      </c>
      <c r="N4029" s="2" t="s">
        <v>16961</v>
      </c>
      <c r="O4029" s="2" t="s">
        <v>7945</v>
      </c>
      <c r="P4029" s="9">
        <v>0</v>
      </c>
      <c r="Q4029" s="9">
        <v>0</v>
      </c>
      <c r="R4029" s="2"/>
    </row>
    <row r="4030" spans="1:18" x14ac:dyDescent="0.25">
      <c r="A4030" s="2" t="s">
        <v>17168</v>
      </c>
      <c r="B4030" s="6">
        <v>46174</v>
      </c>
      <c r="C4030" s="8">
        <v>46188</v>
      </c>
      <c r="D4030" s="2" t="s">
        <v>7433</v>
      </c>
      <c r="E4030" s="2" t="s">
        <v>16959</v>
      </c>
      <c r="F4030" s="2" t="s">
        <v>15316</v>
      </c>
      <c r="G4030" s="2" t="s">
        <v>17169</v>
      </c>
      <c r="H4030" s="2" t="s">
        <v>70</v>
      </c>
      <c r="I4030" s="9">
        <v>20442.209773999999</v>
      </c>
      <c r="J4030" s="7">
        <v>0.66500000000000004</v>
      </c>
      <c r="K4030" s="9">
        <v>13594.07</v>
      </c>
      <c r="L4030" s="14">
        <v>0</v>
      </c>
      <c r="M4030" s="2" t="s">
        <v>71</v>
      </c>
      <c r="N4030" s="2" t="s">
        <v>16961</v>
      </c>
      <c r="O4030" s="2" t="s">
        <v>7950</v>
      </c>
      <c r="P4030" s="9">
        <v>0</v>
      </c>
      <c r="Q4030" s="9">
        <v>0</v>
      </c>
      <c r="R4030" s="2"/>
    </row>
    <row r="4031" spans="1:18" x14ac:dyDescent="0.25">
      <c r="A4031" s="2" t="s">
        <v>17170</v>
      </c>
      <c r="B4031" s="6">
        <v>46174</v>
      </c>
      <c r="C4031" s="8">
        <v>46189</v>
      </c>
      <c r="D4031" s="2" t="s">
        <v>7433</v>
      </c>
      <c r="E4031" s="2" t="s">
        <v>16959</v>
      </c>
      <c r="F4031" s="2" t="s">
        <v>15320</v>
      </c>
      <c r="G4031" s="2" t="s">
        <v>17171</v>
      </c>
      <c r="H4031" s="2" t="s">
        <v>39</v>
      </c>
      <c r="I4031" s="9">
        <v>13912.401</v>
      </c>
      <c r="J4031" s="7">
        <v>1</v>
      </c>
      <c r="K4031" s="9">
        <v>13912.4</v>
      </c>
      <c r="L4031" s="14">
        <v>0</v>
      </c>
      <c r="M4031" s="2" t="s">
        <v>71</v>
      </c>
      <c r="N4031" s="2" t="s">
        <v>16961</v>
      </c>
      <c r="O4031" s="2" t="s">
        <v>7955</v>
      </c>
      <c r="P4031" s="9">
        <v>0</v>
      </c>
      <c r="Q4031" s="9">
        <v>0</v>
      </c>
      <c r="R4031" s="2"/>
    </row>
    <row r="4032" spans="1:18" x14ac:dyDescent="0.25">
      <c r="A4032" s="2" t="s">
        <v>17172</v>
      </c>
      <c r="B4032" s="6">
        <v>46174</v>
      </c>
      <c r="C4032" s="8">
        <v>46190</v>
      </c>
      <c r="D4032" s="2" t="s">
        <v>7433</v>
      </c>
      <c r="E4032" s="2" t="s">
        <v>16959</v>
      </c>
      <c r="F4032" s="2" t="s">
        <v>15324</v>
      </c>
      <c r="G4032" s="2" t="s">
        <v>17173</v>
      </c>
      <c r="H4032" s="2" t="s">
        <v>76</v>
      </c>
      <c r="I4032" s="9">
        <v>227691904</v>
      </c>
      <c r="J4032" s="7">
        <v>6.2500000000000001E-5</v>
      </c>
      <c r="K4032" s="9">
        <v>14230.74</v>
      </c>
      <c r="L4032" s="14">
        <v>0</v>
      </c>
      <c r="M4032" s="2" t="s">
        <v>71</v>
      </c>
      <c r="N4032" s="2" t="s">
        <v>16961</v>
      </c>
      <c r="O4032" s="2" t="s">
        <v>7960</v>
      </c>
      <c r="P4032" s="9">
        <v>0</v>
      </c>
      <c r="Q4032" s="9">
        <v>0</v>
      </c>
      <c r="R4032" s="2"/>
    </row>
    <row r="4033" spans="1:18" x14ac:dyDescent="0.25">
      <c r="A4033" s="2" t="s">
        <v>17174</v>
      </c>
      <c r="B4033" s="6">
        <v>46174</v>
      </c>
      <c r="C4033" s="8">
        <v>46191</v>
      </c>
      <c r="D4033" s="2" t="s">
        <v>7433</v>
      </c>
      <c r="E4033" s="2" t="s">
        <v>16959</v>
      </c>
      <c r="F4033" s="2" t="s">
        <v>15328</v>
      </c>
      <c r="G4033" s="2" t="s">
        <v>17175</v>
      </c>
      <c r="H4033" s="2" t="s">
        <v>70</v>
      </c>
      <c r="I4033" s="9">
        <v>21878.326315999999</v>
      </c>
      <c r="J4033" s="7">
        <v>0.66500000000000004</v>
      </c>
      <c r="K4033" s="9">
        <v>14549.09</v>
      </c>
      <c r="L4033" s="14">
        <v>0</v>
      </c>
      <c r="M4033" s="2" t="s">
        <v>71</v>
      </c>
      <c r="N4033" s="2" t="s">
        <v>16961</v>
      </c>
      <c r="O4033" s="2" t="s">
        <v>7965</v>
      </c>
      <c r="P4033" s="9">
        <v>0</v>
      </c>
      <c r="Q4033" s="9">
        <v>0</v>
      </c>
      <c r="R4033" s="2"/>
    </row>
    <row r="4034" spans="1:18" x14ac:dyDescent="0.25">
      <c r="A4034" s="2" t="s">
        <v>17176</v>
      </c>
      <c r="B4034" s="6">
        <v>46174</v>
      </c>
      <c r="C4034" s="8">
        <v>46192</v>
      </c>
      <c r="D4034" s="2" t="s">
        <v>7433</v>
      </c>
      <c r="E4034" s="2" t="s">
        <v>16959</v>
      </c>
      <c r="F4034" s="2" t="s">
        <v>15332</v>
      </c>
      <c r="G4034" s="2" t="s">
        <v>17177</v>
      </c>
      <c r="H4034" s="2" t="s">
        <v>39</v>
      </c>
      <c r="I4034" s="9">
        <v>14867.4185</v>
      </c>
      <c r="J4034" s="7">
        <v>1</v>
      </c>
      <c r="K4034" s="9">
        <v>14867.42</v>
      </c>
      <c r="L4034" s="14">
        <v>0</v>
      </c>
      <c r="M4034" s="2" t="s">
        <v>71</v>
      </c>
      <c r="N4034" s="2" t="s">
        <v>16961</v>
      </c>
      <c r="O4034" s="2" t="s">
        <v>7970</v>
      </c>
      <c r="P4034" s="9">
        <v>0</v>
      </c>
      <c r="Q4034" s="9">
        <v>0</v>
      </c>
      <c r="R4034" s="2"/>
    </row>
    <row r="4035" spans="1:18" x14ac:dyDescent="0.25">
      <c r="A4035" s="2" t="s">
        <v>17178</v>
      </c>
      <c r="B4035" s="6">
        <v>46174</v>
      </c>
      <c r="C4035" s="8">
        <v>46193</v>
      </c>
      <c r="D4035" s="2" t="s">
        <v>7433</v>
      </c>
      <c r="E4035" s="2" t="s">
        <v>16959</v>
      </c>
      <c r="F4035" s="2" t="s">
        <v>15336</v>
      </c>
      <c r="G4035" s="2" t="s">
        <v>17179</v>
      </c>
      <c r="H4035" s="2" t="s">
        <v>76</v>
      </c>
      <c r="I4035" s="9">
        <v>242972184</v>
      </c>
      <c r="J4035" s="7">
        <v>6.2500000000000001E-5</v>
      </c>
      <c r="K4035" s="9">
        <v>15185.76</v>
      </c>
      <c r="L4035" s="14">
        <v>0</v>
      </c>
      <c r="M4035" s="2" t="s">
        <v>71</v>
      </c>
      <c r="N4035" s="2" t="s">
        <v>16961</v>
      </c>
      <c r="O4035" s="2" t="s">
        <v>7975</v>
      </c>
      <c r="P4035" s="9">
        <v>0</v>
      </c>
      <c r="Q4035" s="9">
        <v>0</v>
      </c>
      <c r="R4035" s="2"/>
    </row>
    <row r="4036" spans="1:18" x14ac:dyDescent="0.25">
      <c r="A4036" s="2" t="s">
        <v>17180</v>
      </c>
      <c r="B4036" s="6">
        <v>46174</v>
      </c>
      <c r="C4036" s="8">
        <v>46194</v>
      </c>
      <c r="D4036" s="2" t="s">
        <v>7433</v>
      </c>
      <c r="E4036" s="2" t="s">
        <v>16959</v>
      </c>
      <c r="F4036" s="2" t="s">
        <v>15300</v>
      </c>
      <c r="G4036" s="2" t="s">
        <v>17181</v>
      </c>
      <c r="H4036" s="2" t="s">
        <v>70</v>
      </c>
      <c r="I4036" s="9">
        <v>23314.425564000001</v>
      </c>
      <c r="J4036" s="7">
        <v>0.66500000000000004</v>
      </c>
      <c r="K4036" s="9">
        <v>15504.09</v>
      </c>
      <c r="L4036" s="14">
        <v>0</v>
      </c>
      <c r="M4036" s="2" t="s">
        <v>71</v>
      </c>
      <c r="N4036" s="2" t="s">
        <v>16961</v>
      </c>
      <c r="O4036" s="2" t="s">
        <v>7980</v>
      </c>
      <c r="P4036" s="9">
        <v>0</v>
      </c>
      <c r="Q4036" s="9">
        <v>0</v>
      </c>
      <c r="R4036" s="2"/>
    </row>
    <row r="4037" spans="1:18" x14ac:dyDescent="0.25">
      <c r="A4037" s="2" t="s">
        <v>17182</v>
      </c>
      <c r="B4037" s="6">
        <v>46174</v>
      </c>
      <c r="C4037" s="8">
        <v>46195</v>
      </c>
      <c r="D4037" s="2" t="s">
        <v>7433</v>
      </c>
      <c r="E4037" s="2" t="s">
        <v>16959</v>
      </c>
      <c r="F4037" s="2" t="s">
        <v>15304</v>
      </c>
      <c r="G4037" s="2" t="s">
        <v>17183</v>
      </c>
      <c r="H4037" s="2" t="s">
        <v>39</v>
      </c>
      <c r="I4037" s="9">
        <v>15822.436</v>
      </c>
      <c r="J4037" s="7">
        <v>1</v>
      </c>
      <c r="K4037" s="9">
        <v>15822.44</v>
      </c>
      <c r="L4037" s="14">
        <v>0</v>
      </c>
      <c r="M4037" s="2" t="s">
        <v>71</v>
      </c>
      <c r="N4037" s="2" t="s">
        <v>16961</v>
      </c>
      <c r="O4037" s="2" t="s">
        <v>7985</v>
      </c>
      <c r="P4037" s="9">
        <v>0</v>
      </c>
      <c r="Q4037" s="9">
        <v>0</v>
      </c>
      <c r="R4037" s="2"/>
    </row>
    <row r="4038" spans="1:18" x14ac:dyDescent="0.25">
      <c r="A4038" s="2" t="s">
        <v>17184</v>
      </c>
      <c r="B4038" s="6">
        <v>46174</v>
      </c>
      <c r="C4038" s="8">
        <v>46196</v>
      </c>
      <c r="D4038" s="2" t="s">
        <v>7433</v>
      </c>
      <c r="E4038" s="2" t="s">
        <v>16959</v>
      </c>
      <c r="F4038" s="2" t="s">
        <v>15308</v>
      </c>
      <c r="G4038" s="2" t="s">
        <v>17185</v>
      </c>
      <c r="H4038" s="2" t="s">
        <v>76</v>
      </c>
      <c r="I4038" s="9">
        <v>258252464</v>
      </c>
      <c r="J4038" s="7">
        <v>6.2500000000000001E-5</v>
      </c>
      <c r="K4038" s="9">
        <v>16140.78</v>
      </c>
      <c r="L4038" s="14">
        <v>0</v>
      </c>
      <c r="M4038" s="2" t="s">
        <v>71</v>
      </c>
      <c r="N4038" s="2" t="s">
        <v>16961</v>
      </c>
      <c r="O4038" s="2" t="s">
        <v>7990</v>
      </c>
      <c r="P4038" s="9">
        <v>0</v>
      </c>
      <c r="Q4038" s="9">
        <v>0</v>
      </c>
      <c r="R4038" s="2"/>
    </row>
    <row r="4039" spans="1:18" x14ac:dyDescent="0.25">
      <c r="A4039" s="2" t="s">
        <v>17186</v>
      </c>
      <c r="B4039" s="6">
        <v>46174</v>
      </c>
      <c r="C4039" s="8">
        <v>46197</v>
      </c>
      <c r="D4039" s="2" t="s">
        <v>7433</v>
      </c>
      <c r="E4039" s="2" t="s">
        <v>16959</v>
      </c>
      <c r="F4039" s="2" t="s">
        <v>15312</v>
      </c>
      <c r="G4039" s="2" t="s">
        <v>17187</v>
      </c>
      <c r="H4039" s="2" t="s">
        <v>70</v>
      </c>
      <c r="I4039" s="9">
        <v>24750.542105</v>
      </c>
      <c r="J4039" s="7">
        <v>0.66500000000000004</v>
      </c>
      <c r="K4039" s="9">
        <v>16459.11</v>
      </c>
      <c r="L4039" s="14">
        <v>0</v>
      </c>
      <c r="M4039" s="2" t="s">
        <v>71</v>
      </c>
      <c r="N4039" s="2" t="s">
        <v>16961</v>
      </c>
      <c r="O4039" s="2" t="s">
        <v>7995</v>
      </c>
      <c r="P4039" s="9">
        <v>0</v>
      </c>
      <c r="Q4039" s="9">
        <v>0</v>
      </c>
      <c r="R4039" s="2"/>
    </row>
    <row r="4040" spans="1:18" x14ac:dyDescent="0.25">
      <c r="A4040" s="2" t="s">
        <v>17188</v>
      </c>
      <c r="B4040" s="6">
        <v>46174</v>
      </c>
      <c r="C4040" s="8">
        <v>46198</v>
      </c>
      <c r="D4040" s="2" t="s">
        <v>7433</v>
      </c>
      <c r="E4040" s="2" t="s">
        <v>16959</v>
      </c>
      <c r="F4040" s="2" t="s">
        <v>15316</v>
      </c>
      <c r="G4040" s="2" t="s">
        <v>17189</v>
      </c>
      <c r="H4040" s="2" t="s">
        <v>39</v>
      </c>
      <c r="I4040" s="9">
        <v>16777.4535</v>
      </c>
      <c r="J4040" s="7">
        <v>1</v>
      </c>
      <c r="K4040" s="9">
        <v>16777.45</v>
      </c>
      <c r="L4040" s="14">
        <v>0</v>
      </c>
      <c r="M4040" s="2" t="s">
        <v>71</v>
      </c>
      <c r="N4040" s="2" t="s">
        <v>16961</v>
      </c>
      <c r="O4040" s="2" t="s">
        <v>8000</v>
      </c>
      <c r="P4040" s="9">
        <v>0</v>
      </c>
      <c r="Q4040" s="9">
        <v>0</v>
      </c>
      <c r="R4040" s="2"/>
    </row>
    <row r="4041" spans="1:18" x14ac:dyDescent="0.25">
      <c r="A4041" s="2" t="s">
        <v>17190</v>
      </c>
      <c r="B4041" s="6">
        <v>46174</v>
      </c>
      <c r="C4041" s="8">
        <v>46199</v>
      </c>
      <c r="D4041" s="2" t="s">
        <v>7433</v>
      </c>
      <c r="E4041" s="2" t="s">
        <v>16959</v>
      </c>
      <c r="F4041" s="2" t="s">
        <v>15320</v>
      </c>
      <c r="G4041" s="2" t="s">
        <v>17191</v>
      </c>
      <c r="H4041" s="2" t="s">
        <v>76</v>
      </c>
      <c r="I4041" s="9">
        <v>273532560</v>
      </c>
      <c r="J4041" s="7">
        <v>6.2500000000000001E-5</v>
      </c>
      <c r="K4041" s="9">
        <v>17095.79</v>
      </c>
      <c r="L4041" s="14">
        <v>0</v>
      </c>
      <c r="M4041" s="2" t="s">
        <v>71</v>
      </c>
      <c r="N4041" s="2" t="s">
        <v>16961</v>
      </c>
      <c r="O4041" s="2" t="s">
        <v>8005</v>
      </c>
      <c r="P4041" s="9">
        <v>0</v>
      </c>
      <c r="Q4041" s="9">
        <v>0</v>
      </c>
      <c r="R4041" s="2"/>
    </row>
    <row r="4042" spans="1:18" x14ac:dyDescent="0.25">
      <c r="A4042" s="2" t="s">
        <v>17192</v>
      </c>
      <c r="B4042" s="6">
        <v>46174</v>
      </c>
      <c r="C4042" s="8">
        <v>46200</v>
      </c>
      <c r="D4042" s="2" t="s">
        <v>7433</v>
      </c>
      <c r="E4042" s="2" t="s">
        <v>16959</v>
      </c>
      <c r="F4042" s="2" t="s">
        <v>15324</v>
      </c>
      <c r="G4042" s="2" t="s">
        <v>17193</v>
      </c>
      <c r="H4042" s="2" t="s">
        <v>70</v>
      </c>
      <c r="I4042" s="9">
        <v>26186.658647</v>
      </c>
      <c r="J4042" s="7">
        <v>0.66500000000000004</v>
      </c>
      <c r="K4042" s="9">
        <v>17414.13</v>
      </c>
      <c r="L4042" s="14">
        <v>0</v>
      </c>
      <c r="M4042" s="2" t="s">
        <v>71</v>
      </c>
      <c r="N4042" s="2" t="s">
        <v>16961</v>
      </c>
      <c r="O4042" s="2" t="s">
        <v>8010</v>
      </c>
      <c r="P4042" s="9">
        <v>0</v>
      </c>
      <c r="Q4042" s="9">
        <v>0</v>
      </c>
      <c r="R4042" s="2"/>
    </row>
    <row r="4043" spans="1:18" x14ac:dyDescent="0.25">
      <c r="A4043" s="2" t="s">
        <v>17194</v>
      </c>
      <c r="B4043" s="6">
        <v>46174</v>
      </c>
      <c r="C4043" s="8">
        <v>46201</v>
      </c>
      <c r="D4043" s="2" t="s">
        <v>7433</v>
      </c>
      <c r="E4043" s="2" t="s">
        <v>16959</v>
      </c>
      <c r="F4043" s="2" t="s">
        <v>15328</v>
      </c>
      <c r="G4043" s="2" t="s">
        <v>17195</v>
      </c>
      <c r="H4043" s="2" t="s">
        <v>39</v>
      </c>
      <c r="I4043" s="9">
        <v>17732.471000000001</v>
      </c>
      <c r="J4043" s="7">
        <v>1</v>
      </c>
      <c r="K4043" s="9">
        <v>17732.47</v>
      </c>
      <c r="L4043" s="14">
        <v>0</v>
      </c>
      <c r="M4043" s="2" t="s">
        <v>71</v>
      </c>
      <c r="N4043" s="2" t="s">
        <v>16961</v>
      </c>
      <c r="O4043" s="2" t="s">
        <v>8015</v>
      </c>
      <c r="P4043" s="9">
        <v>0</v>
      </c>
      <c r="Q4043" s="9">
        <v>0</v>
      </c>
      <c r="R4043" s="2"/>
    </row>
    <row r="4044" spans="1:18" x14ac:dyDescent="0.25">
      <c r="A4044" s="2" t="s">
        <v>17196</v>
      </c>
      <c r="B4044" s="6">
        <v>46174</v>
      </c>
      <c r="C4044" s="8">
        <v>46202</v>
      </c>
      <c r="D4044" s="2" t="s">
        <v>7433</v>
      </c>
      <c r="E4044" s="2" t="s">
        <v>16959</v>
      </c>
      <c r="F4044" s="2" t="s">
        <v>15332</v>
      </c>
      <c r="G4044" s="2" t="s">
        <v>17197</v>
      </c>
      <c r="H4044" s="2" t="s">
        <v>76</v>
      </c>
      <c r="I4044" s="9">
        <v>288812840</v>
      </c>
      <c r="J4044" s="7">
        <v>6.2500000000000001E-5</v>
      </c>
      <c r="K4044" s="9">
        <v>18050.8</v>
      </c>
      <c r="L4044" s="14">
        <v>0</v>
      </c>
      <c r="M4044" s="2" t="s">
        <v>71</v>
      </c>
      <c r="N4044" s="2" t="s">
        <v>16961</v>
      </c>
      <c r="O4044" s="2" t="s">
        <v>8020</v>
      </c>
      <c r="P4044" s="9">
        <v>0</v>
      </c>
      <c r="Q4044" s="9">
        <v>0</v>
      </c>
      <c r="R4044" s="2"/>
    </row>
    <row r="4045" spans="1:18" x14ac:dyDescent="0.25">
      <c r="A4045" s="2" t="s">
        <v>17198</v>
      </c>
      <c r="B4045" s="6">
        <v>46174</v>
      </c>
      <c r="C4045" s="8">
        <v>46203</v>
      </c>
      <c r="D4045" s="2" t="s">
        <v>7433</v>
      </c>
      <c r="E4045" s="2" t="s">
        <v>16959</v>
      </c>
      <c r="F4045" s="2" t="s">
        <v>15336</v>
      </c>
      <c r="G4045" s="2" t="s">
        <v>17199</v>
      </c>
      <c r="H4045" s="2" t="s">
        <v>70</v>
      </c>
      <c r="I4045" s="9">
        <v>27622.775188</v>
      </c>
      <c r="J4045" s="7">
        <v>0.66500000000000004</v>
      </c>
      <c r="K4045" s="9">
        <v>18369.150000000001</v>
      </c>
      <c r="L4045" s="14">
        <v>0</v>
      </c>
      <c r="M4045" s="2" t="s">
        <v>71</v>
      </c>
      <c r="N4045" s="2" t="s">
        <v>16961</v>
      </c>
      <c r="O4045" s="2" t="s">
        <v>8025</v>
      </c>
      <c r="P4045" s="9">
        <v>0</v>
      </c>
      <c r="Q4045" s="9">
        <v>0</v>
      </c>
      <c r="R4045" s="2"/>
    </row>
    <row r="4046" spans="1:18" x14ac:dyDescent="0.25">
      <c r="A4046" s="2" t="s">
        <v>17200</v>
      </c>
      <c r="B4046" s="6">
        <v>46174</v>
      </c>
      <c r="C4046" s="8">
        <v>46174</v>
      </c>
      <c r="D4046" s="2" t="s">
        <v>7433</v>
      </c>
      <c r="E4046" s="2" t="s">
        <v>16959</v>
      </c>
      <c r="F4046" s="2" t="s">
        <v>15300</v>
      </c>
      <c r="G4046" s="2" t="s">
        <v>17201</v>
      </c>
      <c r="H4046" s="2" t="s">
        <v>39</v>
      </c>
      <c r="I4046" s="9">
        <v>18687.476999999999</v>
      </c>
      <c r="J4046" s="7">
        <v>1</v>
      </c>
      <c r="K4046" s="9">
        <v>18687.48</v>
      </c>
      <c r="L4046" s="14">
        <v>0</v>
      </c>
      <c r="M4046" s="2" t="s">
        <v>71</v>
      </c>
      <c r="N4046" s="2" t="s">
        <v>16961</v>
      </c>
      <c r="O4046" s="2" t="s">
        <v>8030</v>
      </c>
      <c r="P4046" s="9">
        <v>0</v>
      </c>
      <c r="Q4046" s="9">
        <v>0</v>
      </c>
      <c r="R4046" s="2"/>
    </row>
    <row r="4047" spans="1:18" x14ac:dyDescent="0.25">
      <c r="A4047" s="2" t="s">
        <v>17202</v>
      </c>
      <c r="B4047" s="6">
        <v>46174</v>
      </c>
      <c r="C4047" s="8">
        <v>46175</v>
      </c>
      <c r="D4047" s="2" t="s">
        <v>7433</v>
      </c>
      <c r="E4047" s="2" t="s">
        <v>16959</v>
      </c>
      <c r="F4047" s="2" t="s">
        <v>15304</v>
      </c>
      <c r="G4047" s="2" t="s">
        <v>17203</v>
      </c>
      <c r="H4047" s="2" t="s">
        <v>76</v>
      </c>
      <c r="I4047" s="9">
        <v>304093120</v>
      </c>
      <c r="J4047" s="7">
        <v>6.2500000000000001E-5</v>
      </c>
      <c r="K4047" s="9">
        <v>19005.82</v>
      </c>
      <c r="L4047" s="14">
        <v>0</v>
      </c>
      <c r="M4047" s="2" t="s">
        <v>71</v>
      </c>
      <c r="N4047" s="2" t="s">
        <v>16961</v>
      </c>
      <c r="O4047" s="2" t="s">
        <v>8035</v>
      </c>
      <c r="P4047" s="9">
        <v>0</v>
      </c>
      <c r="Q4047" s="9">
        <v>0</v>
      </c>
      <c r="R4047" s="2"/>
    </row>
    <row r="4048" spans="1:18" x14ac:dyDescent="0.25">
      <c r="A4048" s="2" t="s">
        <v>17204</v>
      </c>
      <c r="B4048" s="6">
        <v>46174</v>
      </c>
      <c r="C4048" s="8">
        <v>46176</v>
      </c>
      <c r="D4048" s="2" t="s">
        <v>7433</v>
      </c>
      <c r="E4048" s="2" t="s">
        <v>16959</v>
      </c>
      <c r="F4048" s="2" t="s">
        <v>15308</v>
      </c>
      <c r="G4048" s="2" t="s">
        <v>17205</v>
      </c>
      <c r="H4048" s="2" t="s">
        <v>70</v>
      </c>
      <c r="I4048" s="9">
        <v>-29058.891729999999</v>
      </c>
      <c r="J4048" s="7">
        <v>0.66500000000000004</v>
      </c>
      <c r="K4048" s="9">
        <v>-19324.16</v>
      </c>
      <c r="L4048" s="14">
        <v>0</v>
      </c>
      <c r="M4048" s="2" t="s">
        <v>71</v>
      </c>
      <c r="N4048" s="2" t="s">
        <v>16961</v>
      </c>
      <c r="O4048" s="2" t="s">
        <v>8040</v>
      </c>
      <c r="P4048" s="9">
        <v>0</v>
      </c>
      <c r="Q4048" s="9">
        <v>0</v>
      </c>
      <c r="R4048" s="2"/>
    </row>
    <row r="4049" spans="1:18" x14ac:dyDescent="0.25">
      <c r="A4049" s="2" t="s">
        <v>17206</v>
      </c>
      <c r="B4049" s="6">
        <v>46174</v>
      </c>
      <c r="C4049" s="8">
        <v>46177</v>
      </c>
      <c r="D4049" s="2" t="s">
        <v>7433</v>
      </c>
      <c r="E4049" s="2" t="s">
        <v>16959</v>
      </c>
      <c r="F4049" s="2" t="s">
        <v>15312</v>
      </c>
      <c r="G4049" s="2" t="s">
        <v>17207</v>
      </c>
      <c r="H4049" s="2" t="s">
        <v>39</v>
      </c>
      <c r="I4049" s="9">
        <v>19642.494500000001</v>
      </c>
      <c r="J4049" s="7">
        <v>1</v>
      </c>
      <c r="K4049" s="9">
        <v>19642.490000000002</v>
      </c>
      <c r="L4049" s="14">
        <v>0</v>
      </c>
      <c r="M4049" s="2" t="s">
        <v>71</v>
      </c>
      <c r="N4049" s="2" t="s">
        <v>16961</v>
      </c>
      <c r="O4049" s="2" t="s">
        <v>8043</v>
      </c>
      <c r="P4049" s="9">
        <v>0</v>
      </c>
      <c r="Q4049" s="9">
        <v>0</v>
      </c>
      <c r="R4049" s="2"/>
    </row>
    <row r="4050" spans="1:18" x14ac:dyDescent="0.25">
      <c r="A4050" s="2" t="s">
        <v>17208</v>
      </c>
      <c r="B4050" s="6">
        <v>46174</v>
      </c>
      <c r="C4050" s="8">
        <v>46178</v>
      </c>
      <c r="D4050" s="2" t="s">
        <v>7433</v>
      </c>
      <c r="E4050" s="2" t="s">
        <v>16959</v>
      </c>
      <c r="F4050" s="2" t="s">
        <v>15316</v>
      </c>
      <c r="G4050" s="2" t="s">
        <v>17209</v>
      </c>
      <c r="H4050" s="2" t="s">
        <v>76</v>
      </c>
      <c r="I4050" s="9">
        <v>319373400</v>
      </c>
      <c r="J4050" s="7">
        <v>6.2500000000000001E-5</v>
      </c>
      <c r="K4050" s="9">
        <v>19960.84</v>
      </c>
      <c r="L4050" s="14">
        <v>0</v>
      </c>
      <c r="M4050" s="2" t="s">
        <v>71</v>
      </c>
      <c r="N4050" s="2" t="s">
        <v>16961</v>
      </c>
      <c r="O4050" s="2" t="s">
        <v>8048</v>
      </c>
      <c r="P4050" s="9">
        <v>0</v>
      </c>
      <c r="Q4050" s="9">
        <v>0</v>
      </c>
      <c r="R4050" s="2"/>
    </row>
    <row r="4051" spans="1:18" x14ac:dyDescent="0.25">
      <c r="A4051" s="2" t="s">
        <v>17210</v>
      </c>
      <c r="B4051" s="6">
        <v>46174</v>
      </c>
      <c r="C4051" s="8">
        <v>46179</v>
      </c>
      <c r="D4051" s="2" t="s">
        <v>7433</v>
      </c>
      <c r="E4051" s="2" t="s">
        <v>16959</v>
      </c>
      <c r="F4051" s="2" t="s">
        <v>15320</v>
      </c>
      <c r="G4051" s="2" t="s">
        <v>17211</v>
      </c>
      <c r="H4051" s="2" t="s">
        <v>70</v>
      </c>
      <c r="I4051" s="9">
        <v>30494.990978000002</v>
      </c>
      <c r="J4051" s="7">
        <v>0.66500000000000004</v>
      </c>
      <c r="K4051" s="9">
        <v>20279.169999999998</v>
      </c>
      <c r="L4051" s="14">
        <v>0</v>
      </c>
      <c r="M4051" s="2" t="s">
        <v>71</v>
      </c>
      <c r="N4051" s="2" t="s">
        <v>16961</v>
      </c>
      <c r="O4051" s="2" t="s">
        <v>8053</v>
      </c>
      <c r="P4051" s="9">
        <v>0</v>
      </c>
      <c r="Q4051" s="9">
        <v>0</v>
      </c>
      <c r="R4051" s="2"/>
    </row>
    <row r="4052" spans="1:18" x14ac:dyDescent="0.25">
      <c r="A4052" s="2" t="s">
        <v>17212</v>
      </c>
      <c r="B4052" s="6">
        <v>46174</v>
      </c>
      <c r="C4052" s="8">
        <v>46180</v>
      </c>
      <c r="D4052" s="2" t="s">
        <v>7433</v>
      </c>
      <c r="E4052" s="2" t="s">
        <v>16959</v>
      </c>
      <c r="F4052" s="2" t="s">
        <v>15324</v>
      </c>
      <c r="G4052" s="2" t="s">
        <v>17213</v>
      </c>
      <c r="H4052" s="2" t="s">
        <v>39</v>
      </c>
      <c r="I4052" s="9">
        <v>20597.511999999999</v>
      </c>
      <c r="J4052" s="7">
        <v>1</v>
      </c>
      <c r="K4052" s="9">
        <v>20597.509999999998</v>
      </c>
      <c r="L4052" s="14">
        <v>0</v>
      </c>
      <c r="M4052" s="2" t="s">
        <v>71</v>
      </c>
      <c r="N4052" s="2" t="s">
        <v>16961</v>
      </c>
      <c r="O4052" s="2" t="s">
        <v>8058</v>
      </c>
      <c r="P4052" s="9">
        <v>0</v>
      </c>
      <c r="Q4052" s="9">
        <v>0</v>
      </c>
      <c r="R4052" s="2"/>
    </row>
    <row r="4053" spans="1:18" x14ac:dyDescent="0.25">
      <c r="A4053" s="2" t="s">
        <v>17214</v>
      </c>
      <c r="B4053" s="6">
        <v>46174</v>
      </c>
      <c r="C4053" s="8">
        <v>46181</v>
      </c>
      <c r="D4053" s="2" t="s">
        <v>7433</v>
      </c>
      <c r="E4053" s="2" t="s">
        <v>16959</v>
      </c>
      <c r="F4053" s="2" t="s">
        <v>15328</v>
      </c>
      <c r="G4053" s="2" t="s">
        <v>17215</v>
      </c>
      <c r="H4053" s="2" t="s">
        <v>76</v>
      </c>
      <c r="I4053" s="9">
        <v>334653680</v>
      </c>
      <c r="J4053" s="7">
        <v>6.2500000000000001E-5</v>
      </c>
      <c r="K4053" s="9">
        <v>20915.86</v>
      </c>
      <c r="L4053" s="14">
        <v>0</v>
      </c>
      <c r="M4053" s="2" t="s">
        <v>71</v>
      </c>
      <c r="N4053" s="2" t="s">
        <v>16961</v>
      </c>
      <c r="O4053" s="2" t="s">
        <v>8063</v>
      </c>
      <c r="P4053" s="9">
        <v>0</v>
      </c>
      <c r="Q4053" s="9">
        <v>0</v>
      </c>
      <c r="R4053" s="2"/>
    </row>
    <row r="4054" spans="1:18" x14ac:dyDescent="0.25">
      <c r="A4054" s="2" t="s">
        <v>17216</v>
      </c>
      <c r="B4054" s="6">
        <v>46174</v>
      </c>
      <c r="C4054" s="8">
        <v>46182</v>
      </c>
      <c r="D4054" s="2" t="s">
        <v>7433</v>
      </c>
      <c r="E4054" s="2" t="s">
        <v>16959</v>
      </c>
      <c r="F4054" s="2" t="s">
        <v>15332</v>
      </c>
      <c r="G4054" s="2" t="s">
        <v>17217</v>
      </c>
      <c r="H4054" s="2" t="s">
        <v>70</v>
      </c>
      <c r="I4054" s="9">
        <v>31931.107519000001</v>
      </c>
      <c r="J4054" s="7">
        <v>0.66500000000000004</v>
      </c>
      <c r="K4054" s="9">
        <v>21234.19</v>
      </c>
      <c r="L4054" s="14">
        <v>0</v>
      </c>
      <c r="M4054" s="2" t="s">
        <v>71</v>
      </c>
      <c r="N4054" s="2" t="s">
        <v>16961</v>
      </c>
      <c r="O4054" s="2" t="s">
        <v>8068</v>
      </c>
      <c r="P4054" s="9">
        <v>0</v>
      </c>
      <c r="Q4054" s="9">
        <v>0</v>
      </c>
      <c r="R4054" s="2"/>
    </row>
    <row r="4055" spans="1:18" x14ac:dyDescent="0.25">
      <c r="A4055" s="2" t="s">
        <v>17218</v>
      </c>
      <c r="B4055" s="6">
        <v>46174</v>
      </c>
      <c r="C4055" s="8">
        <v>46183</v>
      </c>
      <c r="D4055" s="2" t="s">
        <v>7433</v>
      </c>
      <c r="E4055" s="2" t="s">
        <v>16959</v>
      </c>
      <c r="F4055" s="2" t="s">
        <v>15336</v>
      </c>
      <c r="G4055" s="2" t="s">
        <v>17219</v>
      </c>
      <c r="H4055" s="2" t="s">
        <v>39</v>
      </c>
      <c r="I4055" s="9">
        <v>21552.529500000001</v>
      </c>
      <c r="J4055" s="7">
        <v>1</v>
      </c>
      <c r="K4055" s="9">
        <v>21552.53</v>
      </c>
      <c r="L4055" s="14">
        <v>0</v>
      </c>
      <c r="M4055" s="2" t="s">
        <v>71</v>
      </c>
      <c r="N4055" s="2" t="s">
        <v>16961</v>
      </c>
      <c r="O4055" s="2" t="s">
        <v>8073</v>
      </c>
      <c r="P4055" s="9">
        <v>0</v>
      </c>
      <c r="Q4055" s="9">
        <v>0</v>
      </c>
      <c r="R4055" s="2"/>
    </row>
    <row r="4056" spans="1:18" x14ac:dyDescent="0.25">
      <c r="A4056" s="2" t="s">
        <v>17220</v>
      </c>
      <c r="B4056" s="6">
        <v>46174</v>
      </c>
      <c r="C4056" s="8">
        <v>46184</v>
      </c>
      <c r="D4056" s="2" t="s">
        <v>7433</v>
      </c>
      <c r="E4056" s="2" t="s">
        <v>16959</v>
      </c>
      <c r="F4056" s="2" t="s">
        <v>15300</v>
      </c>
      <c r="G4056" s="2" t="s">
        <v>17221</v>
      </c>
      <c r="H4056" s="2" t="s">
        <v>76</v>
      </c>
      <c r="I4056" s="9">
        <v>349933776</v>
      </c>
      <c r="J4056" s="7">
        <v>6.2500000000000001E-5</v>
      </c>
      <c r="K4056" s="9">
        <v>21870.86</v>
      </c>
      <c r="L4056" s="14">
        <v>0</v>
      </c>
      <c r="M4056" s="2" t="s">
        <v>71</v>
      </c>
      <c r="N4056" s="2" t="s">
        <v>16961</v>
      </c>
      <c r="O4056" s="2" t="s">
        <v>8078</v>
      </c>
      <c r="P4056" s="9">
        <v>0</v>
      </c>
      <c r="Q4056" s="9">
        <v>0</v>
      </c>
      <c r="R4056" s="2"/>
    </row>
    <row r="4057" spans="1:18" x14ac:dyDescent="0.25">
      <c r="A4057" s="2" t="s">
        <v>17222</v>
      </c>
      <c r="B4057" s="6">
        <v>46174</v>
      </c>
      <c r="C4057" s="8">
        <v>46185</v>
      </c>
      <c r="D4057" s="2" t="s">
        <v>7433</v>
      </c>
      <c r="E4057" s="2" t="s">
        <v>16959</v>
      </c>
      <c r="F4057" s="2" t="s">
        <v>15304</v>
      </c>
      <c r="G4057" s="2" t="s">
        <v>17223</v>
      </c>
      <c r="H4057" s="2" t="s">
        <v>70</v>
      </c>
      <c r="I4057" s="9">
        <v>33367.224061000001</v>
      </c>
      <c r="J4057" s="7">
        <v>0.66500000000000004</v>
      </c>
      <c r="K4057" s="9">
        <v>22189.200000000001</v>
      </c>
      <c r="L4057" s="14">
        <v>0</v>
      </c>
      <c r="M4057" s="2" t="s">
        <v>71</v>
      </c>
      <c r="N4057" s="2" t="s">
        <v>16961</v>
      </c>
      <c r="O4057" s="2" t="s">
        <v>8083</v>
      </c>
      <c r="P4057" s="9">
        <v>0</v>
      </c>
      <c r="Q4057" s="9">
        <v>0</v>
      </c>
      <c r="R4057" s="2"/>
    </row>
    <row r="4058" spans="1:18" x14ac:dyDescent="0.25">
      <c r="A4058" s="2" t="s">
        <v>17224</v>
      </c>
      <c r="B4058" s="6">
        <v>46174</v>
      </c>
      <c r="C4058" s="8">
        <v>46186</v>
      </c>
      <c r="D4058" s="2" t="s">
        <v>7433</v>
      </c>
      <c r="E4058" s="2" t="s">
        <v>16959</v>
      </c>
      <c r="F4058" s="2" t="s">
        <v>15308</v>
      </c>
      <c r="G4058" s="2" t="s">
        <v>17225</v>
      </c>
      <c r="H4058" s="2" t="s">
        <v>39</v>
      </c>
      <c r="I4058" s="9">
        <v>22507.546999999999</v>
      </c>
      <c r="J4058" s="7">
        <v>1</v>
      </c>
      <c r="K4058" s="9">
        <v>22507.55</v>
      </c>
      <c r="L4058" s="14">
        <v>0</v>
      </c>
      <c r="M4058" s="2" t="s">
        <v>71</v>
      </c>
      <c r="N4058" s="2" t="s">
        <v>16961</v>
      </c>
      <c r="O4058" s="2" t="s">
        <v>8088</v>
      </c>
      <c r="P4058" s="9">
        <v>0</v>
      </c>
      <c r="Q4058" s="9">
        <v>0</v>
      </c>
      <c r="R4058" s="2"/>
    </row>
    <row r="4059" spans="1:18" x14ac:dyDescent="0.25">
      <c r="A4059" s="2" t="s">
        <v>17226</v>
      </c>
      <c r="B4059" s="6">
        <v>46174</v>
      </c>
      <c r="C4059" s="8">
        <v>46187</v>
      </c>
      <c r="D4059" s="2" t="s">
        <v>7433</v>
      </c>
      <c r="E4059" s="2" t="s">
        <v>16959</v>
      </c>
      <c r="F4059" s="2" t="s">
        <v>15312</v>
      </c>
      <c r="G4059" s="2" t="s">
        <v>17227</v>
      </c>
      <c r="H4059" s="2" t="s">
        <v>76</v>
      </c>
      <c r="I4059" s="9">
        <v>365214056</v>
      </c>
      <c r="J4059" s="7">
        <v>6.2500000000000001E-5</v>
      </c>
      <c r="K4059" s="9">
        <v>22825.88</v>
      </c>
      <c r="L4059" s="14">
        <v>0</v>
      </c>
      <c r="M4059" s="2" t="s">
        <v>71</v>
      </c>
      <c r="N4059" s="2" t="s">
        <v>16961</v>
      </c>
      <c r="O4059" s="2" t="s">
        <v>8093</v>
      </c>
      <c r="P4059" s="9">
        <v>0</v>
      </c>
      <c r="Q4059" s="9">
        <v>0</v>
      </c>
      <c r="R4059" s="2"/>
    </row>
    <row r="4060" spans="1:18" x14ac:dyDescent="0.25">
      <c r="A4060" s="2" t="s">
        <v>17228</v>
      </c>
      <c r="B4060" s="6">
        <v>46174</v>
      </c>
      <c r="C4060" s="8">
        <v>46188</v>
      </c>
      <c r="D4060" s="2" t="s">
        <v>7433</v>
      </c>
      <c r="E4060" s="2" t="s">
        <v>16959</v>
      </c>
      <c r="F4060" s="2" t="s">
        <v>15316</v>
      </c>
      <c r="G4060" s="2" t="s">
        <v>17229</v>
      </c>
      <c r="H4060" s="2" t="s">
        <v>70</v>
      </c>
      <c r="I4060" s="9">
        <v>34803.340601000004</v>
      </c>
      <c r="J4060" s="7">
        <v>0.66500000000000004</v>
      </c>
      <c r="K4060" s="9">
        <v>23144.22</v>
      </c>
      <c r="L4060" s="14">
        <v>0</v>
      </c>
      <c r="M4060" s="2" t="s">
        <v>71</v>
      </c>
      <c r="N4060" s="2" t="s">
        <v>16961</v>
      </c>
      <c r="O4060" s="2" t="s">
        <v>8098</v>
      </c>
      <c r="P4060" s="9">
        <v>0</v>
      </c>
      <c r="Q4060" s="9">
        <v>0</v>
      </c>
      <c r="R4060" s="2"/>
    </row>
    <row r="4061" spans="1:18" x14ac:dyDescent="0.25">
      <c r="A4061" s="2" t="s">
        <v>17230</v>
      </c>
      <c r="B4061" s="6">
        <v>46174</v>
      </c>
      <c r="C4061" s="8">
        <v>46189</v>
      </c>
      <c r="D4061" s="2" t="s">
        <v>7433</v>
      </c>
      <c r="E4061" s="2" t="s">
        <v>16959</v>
      </c>
      <c r="F4061" s="2" t="s">
        <v>15320</v>
      </c>
      <c r="G4061" s="2" t="s">
        <v>17231</v>
      </c>
      <c r="H4061" s="2" t="s">
        <v>39</v>
      </c>
      <c r="I4061" s="9">
        <v>23462.553</v>
      </c>
      <c r="J4061" s="7">
        <v>1</v>
      </c>
      <c r="K4061" s="9">
        <v>23462.55</v>
      </c>
      <c r="L4061" s="14">
        <v>0</v>
      </c>
      <c r="M4061" s="2" t="s">
        <v>71</v>
      </c>
      <c r="N4061" s="2" t="s">
        <v>16961</v>
      </c>
      <c r="O4061" s="2" t="s">
        <v>8103</v>
      </c>
      <c r="P4061" s="9">
        <v>0</v>
      </c>
      <c r="Q4061" s="9">
        <v>0</v>
      </c>
      <c r="R4061" s="2"/>
    </row>
    <row r="4062" spans="1:18" x14ac:dyDescent="0.25">
      <c r="A4062" s="2" t="s">
        <v>17232</v>
      </c>
      <c r="B4062" s="6">
        <v>46174</v>
      </c>
      <c r="C4062" s="8">
        <v>46190</v>
      </c>
      <c r="D4062" s="2" t="s">
        <v>7433</v>
      </c>
      <c r="E4062" s="2" t="s">
        <v>16959</v>
      </c>
      <c r="F4062" s="2" t="s">
        <v>15324</v>
      </c>
      <c r="G4062" s="2" t="s">
        <v>17233</v>
      </c>
      <c r="H4062" s="2" t="s">
        <v>76</v>
      </c>
      <c r="I4062" s="9">
        <v>380494336</v>
      </c>
      <c r="J4062" s="7">
        <v>6.2500000000000001E-5</v>
      </c>
      <c r="K4062" s="9">
        <v>23780.9</v>
      </c>
      <c r="L4062" s="14">
        <v>0</v>
      </c>
      <c r="M4062" s="2" t="s">
        <v>71</v>
      </c>
      <c r="N4062" s="2" t="s">
        <v>16961</v>
      </c>
      <c r="O4062" s="2" t="s">
        <v>8108</v>
      </c>
      <c r="P4062" s="9">
        <v>0</v>
      </c>
      <c r="Q4062" s="9">
        <v>0</v>
      </c>
      <c r="R4062" s="2"/>
    </row>
    <row r="4063" spans="1:18" x14ac:dyDescent="0.25">
      <c r="A4063" s="2" t="s">
        <v>17234</v>
      </c>
      <c r="B4063" s="6">
        <v>46174</v>
      </c>
      <c r="C4063" s="8">
        <v>46191</v>
      </c>
      <c r="D4063" s="2" t="s">
        <v>7433</v>
      </c>
      <c r="E4063" s="2" t="s">
        <v>16959</v>
      </c>
      <c r="F4063" s="2" t="s">
        <v>15328</v>
      </c>
      <c r="G4063" s="2" t="s">
        <v>17235</v>
      </c>
      <c r="H4063" s="2" t="s">
        <v>70</v>
      </c>
      <c r="I4063" s="9">
        <v>36239.457143</v>
      </c>
      <c r="J4063" s="7">
        <v>0.66500000000000004</v>
      </c>
      <c r="K4063" s="9">
        <v>24099.24</v>
      </c>
      <c r="L4063" s="14">
        <v>0</v>
      </c>
      <c r="M4063" s="2" t="s">
        <v>71</v>
      </c>
      <c r="N4063" s="2" t="s">
        <v>16961</v>
      </c>
      <c r="O4063" s="2" t="s">
        <v>8113</v>
      </c>
      <c r="P4063" s="9">
        <v>0</v>
      </c>
      <c r="Q4063" s="9">
        <v>0</v>
      </c>
      <c r="R4063" s="2"/>
    </row>
    <row r="4064" spans="1:18" x14ac:dyDescent="0.25">
      <c r="A4064" s="2" t="s">
        <v>17236</v>
      </c>
      <c r="B4064" s="6">
        <v>46174</v>
      </c>
      <c r="C4064" s="8">
        <v>46192</v>
      </c>
      <c r="D4064" s="2" t="s">
        <v>7433</v>
      </c>
      <c r="E4064" s="2" t="s">
        <v>16959</v>
      </c>
      <c r="F4064" s="2" t="s">
        <v>15332</v>
      </c>
      <c r="G4064" s="2" t="s">
        <v>17237</v>
      </c>
      <c r="H4064" s="2" t="s">
        <v>39</v>
      </c>
      <c r="I4064" s="9">
        <v>24417.570500000002</v>
      </c>
      <c r="J4064" s="7">
        <v>1</v>
      </c>
      <c r="K4064" s="9">
        <v>24417.57</v>
      </c>
      <c r="L4064" s="14">
        <v>0</v>
      </c>
      <c r="M4064" s="2" t="s">
        <v>71</v>
      </c>
      <c r="N4064" s="2" t="s">
        <v>16961</v>
      </c>
      <c r="O4064" s="2" t="s">
        <v>8118</v>
      </c>
      <c r="P4064" s="9">
        <v>0</v>
      </c>
      <c r="Q4064" s="9">
        <v>0</v>
      </c>
      <c r="R4064" s="2"/>
    </row>
    <row r="4065" spans="1:18" x14ac:dyDescent="0.25">
      <c r="A4065" s="2" t="s">
        <v>17238</v>
      </c>
      <c r="B4065" s="6">
        <v>46174</v>
      </c>
      <c r="C4065" s="8">
        <v>46193</v>
      </c>
      <c r="D4065" s="2" t="s">
        <v>7433</v>
      </c>
      <c r="E4065" s="2" t="s">
        <v>16959</v>
      </c>
      <c r="F4065" s="2" t="s">
        <v>15336</v>
      </c>
      <c r="G4065" s="2" t="s">
        <v>17239</v>
      </c>
      <c r="H4065" s="2" t="s">
        <v>76</v>
      </c>
      <c r="I4065" s="9">
        <v>395774616</v>
      </c>
      <c r="J4065" s="7">
        <v>6.2500000000000001E-5</v>
      </c>
      <c r="K4065" s="9">
        <v>24735.91</v>
      </c>
      <c r="L4065" s="14">
        <v>0</v>
      </c>
      <c r="M4065" s="2" t="s">
        <v>71</v>
      </c>
      <c r="N4065" s="2" t="s">
        <v>16961</v>
      </c>
      <c r="O4065" s="2" t="s">
        <v>8123</v>
      </c>
      <c r="P4065" s="9">
        <v>0</v>
      </c>
      <c r="Q4065" s="9">
        <v>0</v>
      </c>
      <c r="R4065" s="2"/>
    </row>
    <row r="4066" spans="1:18" x14ac:dyDescent="0.25">
      <c r="A4066" s="2" t="s">
        <v>17240</v>
      </c>
      <c r="B4066" s="6">
        <v>46174</v>
      </c>
      <c r="C4066" s="8">
        <v>46194</v>
      </c>
      <c r="D4066" s="2" t="s">
        <v>7433</v>
      </c>
      <c r="E4066" s="2" t="s">
        <v>16959</v>
      </c>
      <c r="F4066" s="2" t="s">
        <v>15300</v>
      </c>
      <c r="G4066" s="2" t="s">
        <v>17241</v>
      </c>
      <c r="H4066" s="2" t="s">
        <v>70</v>
      </c>
      <c r="I4066" s="9">
        <v>37675.556389999998</v>
      </c>
      <c r="J4066" s="7">
        <v>0.66500000000000004</v>
      </c>
      <c r="K4066" s="9">
        <v>25054.25</v>
      </c>
      <c r="L4066" s="14">
        <v>0</v>
      </c>
      <c r="M4066" s="2" t="s">
        <v>71</v>
      </c>
      <c r="N4066" s="2" t="s">
        <v>16961</v>
      </c>
      <c r="O4066" s="2" t="s">
        <v>8128</v>
      </c>
      <c r="P4066" s="9">
        <v>0</v>
      </c>
      <c r="Q4066" s="9">
        <v>0</v>
      </c>
      <c r="R4066" s="2"/>
    </row>
    <row r="4067" spans="1:18" x14ac:dyDescent="0.25">
      <c r="A4067" s="2" t="s">
        <v>17242</v>
      </c>
      <c r="B4067" s="6">
        <v>46174</v>
      </c>
      <c r="C4067" s="8">
        <v>46195</v>
      </c>
      <c r="D4067" s="2" t="s">
        <v>7433</v>
      </c>
      <c r="E4067" s="2" t="s">
        <v>16959</v>
      </c>
      <c r="F4067" s="2" t="s">
        <v>15304</v>
      </c>
      <c r="G4067" s="2" t="s">
        <v>17243</v>
      </c>
      <c r="H4067" s="2" t="s">
        <v>39</v>
      </c>
      <c r="I4067" s="9">
        <v>25372.588</v>
      </c>
      <c r="J4067" s="7">
        <v>1</v>
      </c>
      <c r="K4067" s="9">
        <v>25372.59</v>
      </c>
      <c r="L4067" s="14">
        <v>0</v>
      </c>
      <c r="M4067" s="2" t="s">
        <v>71</v>
      </c>
      <c r="N4067" s="2" t="s">
        <v>16961</v>
      </c>
      <c r="O4067" s="2" t="s">
        <v>8133</v>
      </c>
      <c r="P4067" s="9">
        <v>0</v>
      </c>
      <c r="Q4067" s="9">
        <v>0</v>
      </c>
      <c r="R4067" s="2"/>
    </row>
    <row r="4068" spans="1:18" x14ac:dyDescent="0.25">
      <c r="A4068" s="2" t="s">
        <v>17244</v>
      </c>
      <c r="B4068" s="6">
        <v>46174</v>
      </c>
      <c r="C4068" s="8">
        <v>46196</v>
      </c>
      <c r="D4068" s="2" t="s">
        <v>7433</v>
      </c>
      <c r="E4068" s="2" t="s">
        <v>16959</v>
      </c>
      <c r="F4068" s="2" t="s">
        <v>15308</v>
      </c>
      <c r="G4068" s="2" t="s">
        <v>17245</v>
      </c>
      <c r="H4068" s="2" t="s">
        <v>76</v>
      </c>
      <c r="I4068" s="9">
        <v>411054896</v>
      </c>
      <c r="J4068" s="7">
        <v>6.2500000000000001E-5</v>
      </c>
      <c r="K4068" s="9">
        <v>25690.93</v>
      </c>
      <c r="L4068" s="14">
        <v>0</v>
      </c>
      <c r="M4068" s="2" t="s">
        <v>71</v>
      </c>
      <c r="N4068" s="2" t="s">
        <v>16961</v>
      </c>
      <c r="O4068" s="2" t="s">
        <v>8138</v>
      </c>
      <c r="P4068" s="9">
        <v>0</v>
      </c>
      <c r="Q4068" s="9">
        <v>0</v>
      </c>
      <c r="R4068" s="2"/>
    </row>
    <row r="4069" spans="1:18" x14ac:dyDescent="0.25">
      <c r="A4069" s="2" t="s">
        <v>17246</v>
      </c>
      <c r="B4069" s="6">
        <v>46174</v>
      </c>
      <c r="C4069" s="8">
        <v>46197</v>
      </c>
      <c r="D4069" s="2" t="s">
        <v>7433</v>
      </c>
      <c r="E4069" s="2" t="s">
        <v>16959</v>
      </c>
      <c r="F4069" s="2" t="s">
        <v>15312</v>
      </c>
      <c r="G4069" s="2" t="s">
        <v>17247</v>
      </c>
      <c r="H4069" s="2" t="s">
        <v>70</v>
      </c>
      <c r="I4069" s="9">
        <v>39111.672932000001</v>
      </c>
      <c r="J4069" s="7">
        <v>0.66500000000000004</v>
      </c>
      <c r="K4069" s="9">
        <v>26009.26</v>
      </c>
      <c r="L4069" s="14">
        <v>0</v>
      </c>
      <c r="M4069" s="2" t="s">
        <v>71</v>
      </c>
      <c r="N4069" s="2" t="s">
        <v>16961</v>
      </c>
      <c r="O4069" s="2" t="s">
        <v>8143</v>
      </c>
      <c r="P4069" s="9">
        <v>0</v>
      </c>
      <c r="Q4069" s="9">
        <v>0</v>
      </c>
      <c r="R4069" s="2"/>
    </row>
    <row r="4070" spans="1:18" x14ac:dyDescent="0.25">
      <c r="A4070" s="2" t="s">
        <v>17248</v>
      </c>
      <c r="B4070" s="6">
        <v>46174</v>
      </c>
      <c r="C4070" s="8">
        <v>46198</v>
      </c>
      <c r="D4070" s="2" t="s">
        <v>7433</v>
      </c>
      <c r="E4070" s="2" t="s">
        <v>16959</v>
      </c>
      <c r="F4070" s="2" t="s">
        <v>15316</v>
      </c>
      <c r="G4070" s="2" t="s">
        <v>17249</v>
      </c>
      <c r="H4070" s="2" t="s">
        <v>39</v>
      </c>
      <c r="I4070" s="9">
        <v>26327.605500000001</v>
      </c>
      <c r="J4070" s="7">
        <v>1</v>
      </c>
      <c r="K4070" s="9">
        <v>26327.61</v>
      </c>
      <c r="L4070" s="14">
        <v>0</v>
      </c>
      <c r="M4070" s="2" t="s">
        <v>71</v>
      </c>
      <c r="N4070" s="2" t="s">
        <v>16961</v>
      </c>
      <c r="O4070" s="2" t="s">
        <v>8148</v>
      </c>
      <c r="P4070" s="9">
        <v>0</v>
      </c>
      <c r="Q4070" s="9">
        <v>0</v>
      </c>
      <c r="R4070" s="2"/>
    </row>
    <row r="4071" spans="1:18" x14ac:dyDescent="0.25">
      <c r="A4071" s="2" t="s">
        <v>17250</v>
      </c>
      <c r="B4071" s="6">
        <v>46174</v>
      </c>
      <c r="C4071" s="8">
        <v>46199</v>
      </c>
      <c r="D4071" s="2" t="s">
        <v>7433</v>
      </c>
      <c r="E4071" s="2" t="s">
        <v>16959</v>
      </c>
      <c r="F4071" s="2" t="s">
        <v>15320</v>
      </c>
      <c r="G4071" s="2" t="s">
        <v>17251</v>
      </c>
      <c r="H4071" s="2" t="s">
        <v>76</v>
      </c>
      <c r="I4071" s="9">
        <v>426334992</v>
      </c>
      <c r="J4071" s="7">
        <v>6.2500000000000001E-5</v>
      </c>
      <c r="K4071" s="9">
        <v>26645.94</v>
      </c>
      <c r="L4071" s="14">
        <v>0</v>
      </c>
      <c r="M4071" s="2" t="s">
        <v>71</v>
      </c>
      <c r="N4071" s="2" t="s">
        <v>16961</v>
      </c>
      <c r="O4071" s="2" t="s">
        <v>8153</v>
      </c>
      <c r="P4071" s="9">
        <v>0</v>
      </c>
      <c r="Q4071" s="9">
        <v>0</v>
      </c>
      <c r="R4071" s="2"/>
    </row>
    <row r="4072" spans="1:18" x14ac:dyDescent="0.25">
      <c r="A4072" s="2" t="s">
        <v>17252</v>
      </c>
      <c r="B4072" s="6">
        <v>46174</v>
      </c>
      <c r="C4072" s="8">
        <v>46200</v>
      </c>
      <c r="D4072" s="2" t="s">
        <v>7433</v>
      </c>
      <c r="E4072" s="2" t="s">
        <v>16959</v>
      </c>
      <c r="F4072" s="2" t="s">
        <v>15324</v>
      </c>
      <c r="G4072" s="2" t="s">
        <v>17253</v>
      </c>
      <c r="H4072" s="2" t="s">
        <v>70</v>
      </c>
      <c r="I4072" s="9">
        <v>40547.789472999997</v>
      </c>
      <c r="J4072" s="7">
        <v>0.66500000000000004</v>
      </c>
      <c r="K4072" s="9">
        <v>26964.28</v>
      </c>
      <c r="L4072" s="14">
        <v>0</v>
      </c>
      <c r="M4072" s="2" t="s">
        <v>71</v>
      </c>
      <c r="N4072" s="2" t="s">
        <v>16961</v>
      </c>
      <c r="O4072" s="2" t="s">
        <v>8158</v>
      </c>
      <c r="P4072" s="9">
        <v>0</v>
      </c>
      <c r="Q4072" s="9">
        <v>0</v>
      </c>
      <c r="R4072" s="2"/>
    </row>
    <row r="4073" spans="1:18" x14ac:dyDescent="0.25">
      <c r="A4073" s="2" t="s">
        <v>17254</v>
      </c>
      <c r="B4073" s="6">
        <v>46174</v>
      </c>
      <c r="C4073" s="8">
        <v>46201</v>
      </c>
      <c r="D4073" s="2" t="s">
        <v>7433</v>
      </c>
      <c r="E4073" s="2" t="s">
        <v>16959</v>
      </c>
      <c r="F4073" s="2" t="s">
        <v>15328</v>
      </c>
      <c r="G4073" s="2" t="s">
        <v>17255</v>
      </c>
      <c r="H4073" s="2" t="s">
        <v>39</v>
      </c>
      <c r="I4073" s="9">
        <v>27282.623</v>
      </c>
      <c r="J4073" s="7">
        <v>1</v>
      </c>
      <c r="K4073" s="9">
        <v>27282.62</v>
      </c>
      <c r="L4073" s="14">
        <v>0</v>
      </c>
      <c r="M4073" s="2" t="s">
        <v>71</v>
      </c>
      <c r="N4073" s="2" t="s">
        <v>16961</v>
      </c>
      <c r="O4073" s="2" t="s">
        <v>8163</v>
      </c>
      <c r="P4073" s="9">
        <v>0</v>
      </c>
      <c r="Q4073" s="9">
        <v>0</v>
      </c>
      <c r="R4073" s="2"/>
    </row>
    <row r="4074" spans="1:18" x14ac:dyDescent="0.25">
      <c r="A4074" s="2" t="s">
        <v>17256</v>
      </c>
      <c r="B4074" s="6">
        <v>46174</v>
      </c>
      <c r="C4074" s="8">
        <v>46202</v>
      </c>
      <c r="D4074" s="2" t="s">
        <v>7433</v>
      </c>
      <c r="E4074" s="2" t="s">
        <v>16959</v>
      </c>
      <c r="F4074" s="2" t="s">
        <v>15332</v>
      </c>
      <c r="G4074" s="2" t="s">
        <v>17257</v>
      </c>
      <c r="H4074" s="2" t="s">
        <v>76</v>
      </c>
      <c r="I4074" s="9">
        <v>29455272</v>
      </c>
      <c r="J4074" s="7">
        <v>6.2500000000000001E-5</v>
      </c>
      <c r="K4074" s="9">
        <v>1840.95</v>
      </c>
      <c r="L4074" s="14">
        <v>0</v>
      </c>
      <c r="M4074" s="2" t="s">
        <v>71</v>
      </c>
      <c r="N4074" s="2" t="s">
        <v>16961</v>
      </c>
      <c r="O4074" s="2" t="s">
        <v>8168</v>
      </c>
      <c r="P4074" s="9">
        <v>0</v>
      </c>
      <c r="Q4074" s="9">
        <v>0</v>
      </c>
      <c r="R4074" s="2"/>
    </row>
    <row r="4075" spans="1:18" x14ac:dyDescent="0.25">
      <c r="A4075" s="2" t="s">
        <v>17258</v>
      </c>
      <c r="B4075" s="6">
        <v>46174</v>
      </c>
      <c r="C4075" s="8">
        <v>46203</v>
      </c>
      <c r="D4075" s="2" t="s">
        <v>7433</v>
      </c>
      <c r="E4075" s="2" t="s">
        <v>16959</v>
      </c>
      <c r="F4075" s="2" t="s">
        <v>15336</v>
      </c>
      <c r="G4075" s="2" t="s">
        <v>17259</v>
      </c>
      <c r="H4075" s="2" t="s">
        <v>70</v>
      </c>
      <c r="I4075" s="9">
        <v>3247.0639099999999</v>
      </c>
      <c r="J4075" s="7">
        <v>0.66500000000000004</v>
      </c>
      <c r="K4075" s="9">
        <v>2159.3000000000002</v>
      </c>
      <c r="L4075" s="14">
        <v>0</v>
      </c>
      <c r="M4075" s="2" t="s">
        <v>71</v>
      </c>
      <c r="N4075" s="2" t="s">
        <v>16961</v>
      </c>
      <c r="O4075" s="2" t="s">
        <v>8173</v>
      </c>
      <c r="P4075" s="9">
        <v>0</v>
      </c>
      <c r="Q4075" s="9">
        <v>0</v>
      </c>
      <c r="R4075" s="2"/>
    </row>
    <row r="4076" spans="1:18" x14ac:dyDescent="0.25">
      <c r="A4076" s="2" t="s">
        <v>17260</v>
      </c>
      <c r="B4076" s="6">
        <v>46174</v>
      </c>
      <c r="C4076" s="8">
        <v>46174</v>
      </c>
      <c r="D4076" s="2" t="s">
        <v>7433</v>
      </c>
      <c r="E4076" s="2" t="s">
        <v>16959</v>
      </c>
      <c r="F4076" s="2" t="s">
        <v>15300</v>
      </c>
      <c r="G4076" s="2" t="s">
        <v>17261</v>
      </c>
      <c r="H4076" s="2" t="s">
        <v>39</v>
      </c>
      <c r="I4076" s="9">
        <v>2477.6289999999999</v>
      </c>
      <c r="J4076" s="7">
        <v>1</v>
      </c>
      <c r="K4076" s="9">
        <v>2477.63</v>
      </c>
      <c r="L4076" s="14">
        <v>0</v>
      </c>
      <c r="M4076" s="2" t="s">
        <v>71</v>
      </c>
      <c r="N4076" s="2" t="s">
        <v>16961</v>
      </c>
      <c r="O4076" s="2" t="s">
        <v>8178</v>
      </c>
      <c r="P4076" s="9">
        <v>0</v>
      </c>
      <c r="Q4076" s="9">
        <v>0</v>
      </c>
      <c r="R4076" s="2"/>
    </row>
    <row r="4077" spans="1:18" x14ac:dyDescent="0.25">
      <c r="A4077" s="2" t="s">
        <v>17262</v>
      </c>
      <c r="B4077" s="6">
        <v>46174</v>
      </c>
      <c r="C4077" s="8">
        <v>46175</v>
      </c>
      <c r="D4077" s="2" t="s">
        <v>7433</v>
      </c>
      <c r="E4077" s="2" t="s">
        <v>16959</v>
      </c>
      <c r="F4077" s="2" t="s">
        <v>15304</v>
      </c>
      <c r="G4077" s="2" t="s">
        <v>17263</v>
      </c>
      <c r="H4077" s="2" t="s">
        <v>76</v>
      </c>
      <c r="I4077" s="9">
        <v>44735552</v>
      </c>
      <c r="J4077" s="7">
        <v>6.2500000000000001E-5</v>
      </c>
      <c r="K4077" s="9">
        <v>2795.97</v>
      </c>
      <c r="L4077" s="14">
        <v>0</v>
      </c>
      <c r="M4077" s="2" t="s">
        <v>71</v>
      </c>
      <c r="N4077" s="2" t="s">
        <v>16961</v>
      </c>
      <c r="O4077" s="2" t="s">
        <v>8183</v>
      </c>
      <c r="P4077" s="9">
        <v>0</v>
      </c>
      <c r="Q4077" s="9">
        <v>0</v>
      </c>
      <c r="R4077" s="2"/>
    </row>
    <row r="4078" spans="1:18" x14ac:dyDescent="0.25">
      <c r="A4078" s="2" t="s">
        <v>17264</v>
      </c>
      <c r="B4078" s="6">
        <v>46174</v>
      </c>
      <c r="C4078" s="8">
        <v>46176</v>
      </c>
      <c r="D4078" s="2" t="s">
        <v>7433</v>
      </c>
      <c r="E4078" s="2" t="s">
        <v>16959</v>
      </c>
      <c r="F4078" s="2" t="s">
        <v>15308</v>
      </c>
      <c r="G4078" s="2" t="s">
        <v>17265</v>
      </c>
      <c r="H4078" s="2" t="s">
        <v>70</v>
      </c>
      <c r="I4078" s="9">
        <v>4683.163157</v>
      </c>
      <c r="J4078" s="7">
        <v>0.66500000000000004</v>
      </c>
      <c r="K4078" s="9">
        <v>3114.3</v>
      </c>
      <c r="L4078" s="14">
        <v>0</v>
      </c>
      <c r="M4078" s="2" t="s">
        <v>71</v>
      </c>
      <c r="N4078" s="2" t="s">
        <v>16961</v>
      </c>
      <c r="O4078" s="2" t="s">
        <v>8188</v>
      </c>
      <c r="P4078" s="9">
        <v>0</v>
      </c>
      <c r="Q4078" s="9">
        <v>0</v>
      </c>
      <c r="R4078" s="2"/>
    </row>
    <row r="4079" spans="1:18" x14ac:dyDescent="0.25">
      <c r="A4079" s="2" t="s">
        <v>17266</v>
      </c>
      <c r="B4079" s="6">
        <v>46174</v>
      </c>
      <c r="C4079" s="8">
        <v>46177</v>
      </c>
      <c r="D4079" s="2" t="s">
        <v>7433</v>
      </c>
      <c r="E4079" s="2" t="s">
        <v>16959</v>
      </c>
      <c r="F4079" s="2" t="s">
        <v>15312</v>
      </c>
      <c r="G4079" s="2" t="s">
        <v>17267</v>
      </c>
      <c r="H4079" s="2" t="s">
        <v>39</v>
      </c>
      <c r="I4079" s="9">
        <v>3432.6464999999998</v>
      </c>
      <c r="J4079" s="7">
        <v>1</v>
      </c>
      <c r="K4079" s="9">
        <v>3432.65</v>
      </c>
      <c r="L4079" s="14">
        <v>0</v>
      </c>
      <c r="M4079" s="2" t="s">
        <v>71</v>
      </c>
      <c r="N4079" s="2" t="s">
        <v>16961</v>
      </c>
      <c r="O4079" s="2" t="s">
        <v>8193</v>
      </c>
      <c r="P4079" s="9">
        <v>0</v>
      </c>
      <c r="Q4079" s="9">
        <v>0</v>
      </c>
      <c r="R4079" s="2"/>
    </row>
    <row r="4080" spans="1:18" x14ac:dyDescent="0.25">
      <c r="A4080" s="2" t="s">
        <v>17268</v>
      </c>
      <c r="B4080" s="6">
        <v>46174</v>
      </c>
      <c r="C4080" s="8">
        <v>46178</v>
      </c>
      <c r="D4080" s="2" t="s">
        <v>7433</v>
      </c>
      <c r="E4080" s="2" t="s">
        <v>16959</v>
      </c>
      <c r="F4080" s="2" t="s">
        <v>15316</v>
      </c>
      <c r="G4080" s="2" t="s">
        <v>17269</v>
      </c>
      <c r="H4080" s="2" t="s">
        <v>76</v>
      </c>
      <c r="I4080" s="9">
        <v>60015832</v>
      </c>
      <c r="J4080" s="7">
        <v>6.2500000000000001E-5</v>
      </c>
      <c r="K4080" s="9">
        <v>3750.99</v>
      </c>
      <c r="L4080" s="14">
        <v>0</v>
      </c>
      <c r="M4080" s="2" t="s">
        <v>71</v>
      </c>
      <c r="N4080" s="2" t="s">
        <v>16961</v>
      </c>
      <c r="O4080" s="2" t="s">
        <v>8198</v>
      </c>
      <c r="P4080" s="9">
        <v>0</v>
      </c>
      <c r="Q4080" s="9">
        <v>0</v>
      </c>
      <c r="R4080" s="2"/>
    </row>
    <row r="4081" spans="1:18" x14ac:dyDescent="0.25">
      <c r="A4081" s="2" t="s">
        <v>17270</v>
      </c>
      <c r="B4081" s="6">
        <v>46174</v>
      </c>
      <c r="C4081" s="8">
        <v>46179</v>
      </c>
      <c r="D4081" s="2" t="s">
        <v>7433</v>
      </c>
      <c r="E4081" s="2" t="s">
        <v>16959</v>
      </c>
      <c r="F4081" s="2" t="s">
        <v>15320</v>
      </c>
      <c r="G4081" s="2" t="s">
        <v>17271</v>
      </c>
      <c r="H4081" s="2" t="s">
        <v>70</v>
      </c>
      <c r="I4081" s="9">
        <v>6119.2796989999997</v>
      </c>
      <c r="J4081" s="7">
        <v>0.66500000000000004</v>
      </c>
      <c r="K4081" s="9">
        <v>4069.32</v>
      </c>
      <c r="L4081" s="14">
        <v>0</v>
      </c>
      <c r="M4081" s="2" t="s">
        <v>71</v>
      </c>
      <c r="N4081" s="2" t="s">
        <v>16961</v>
      </c>
      <c r="O4081" s="2" t="s">
        <v>8203</v>
      </c>
      <c r="P4081" s="9">
        <v>0</v>
      </c>
      <c r="Q4081" s="9">
        <v>0</v>
      </c>
      <c r="R4081" s="2"/>
    </row>
    <row r="4082" spans="1:18" x14ac:dyDescent="0.25">
      <c r="A4082" s="2" t="s">
        <v>17272</v>
      </c>
      <c r="B4082" s="6">
        <v>46174</v>
      </c>
      <c r="C4082" s="8">
        <v>46180</v>
      </c>
      <c r="D4082" s="2" t="s">
        <v>7433</v>
      </c>
      <c r="E4082" s="2" t="s">
        <v>16959</v>
      </c>
      <c r="F4082" s="2" t="s">
        <v>15324</v>
      </c>
      <c r="G4082" s="2" t="s">
        <v>17273</v>
      </c>
      <c r="H4082" s="2" t="s">
        <v>39</v>
      </c>
      <c r="I4082" s="9">
        <v>4387.6639999999998</v>
      </c>
      <c r="J4082" s="7">
        <v>1</v>
      </c>
      <c r="K4082" s="9">
        <v>4387.66</v>
      </c>
      <c r="L4082" s="14">
        <v>0</v>
      </c>
      <c r="M4082" s="2" t="s">
        <v>71</v>
      </c>
      <c r="N4082" s="2" t="s">
        <v>16961</v>
      </c>
      <c r="O4082" s="2" t="s">
        <v>8208</v>
      </c>
      <c r="P4082" s="9">
        <v>0</v>
      </c>
      <c r="Q4082" s="9">
        <v>0</v>
      </c>
      <c r="R4082" s="2"/>
    </row>
    <row r="4083" spans="1:18" x14ac:dyDescent="0.25">
      <c r="A4083" s="2" t="s">
        <v>17274</v>
      </c>
      <c r="B4083" s="6">
        <v>46174</v>
      </c>
      <c r="C4083" s="8">
        <v>46181</v>
      </c>
      <c r="D4083" s="2" t="s">
        <v>7433</v>
      </c>
      <c r="E4083" s="2" t="s">
        <v>16959</v>
      </c>
      <c r="F4083" s="2" t="s">
        <v>15328</v>
      </c>
      <c r="G4083" s="2" t="s">
        <v>17275</v>
      </c>
      <c r="H4083" s="2" t="s">
        <v>76</v>
      </c>
      <c r="I4083" s="9">
        <v>75296112</v>
      </c>
      <c r="J4083" s="7">
        <v>6.2500000000000001E-5</v>
      </c>
      <c r="K4083" s="9">
        <v>4706.01</v>
      </c>
      <c r="L4083" s="14">
        <v>0</v>
      </c>
      <c r="M4083" s="2" t="s">
        <v>71</v>
      </c>
      <c r="N4083" s="2" t="s">
        <v>16961</v>
      </c>
      <c r="O4083" s="2" t="s">
        <v>8213</v>
      </c>
      <c r="P4083" s="9">
        <v>0</v>
      </c>
      <c r="Q4083" s="9">
        <v>0</v>
      </c>
      <c r="R4083" s="2"/>
    </row>
    <row r="4084" spans="1:18" x14ac:dyDescent="0.25">
      <c r="A4084" s="2" t="s">
        <v>17276</v>
      </c>
      <c r="B4084" s="6">
        <v>46174</v>
      </c>
      <c r="C4084" s="8">
        <v>46182</v>
      </c>
      <c r="D4084" s="2" t="s">
        <v>7433</v>
      </c>
      <c r="E4084" s="2" t="s">
        <v>16959</v>
      </c>
      <c r="F4084" s="2" t="s">
        <v>15332</v>
      </c>
      <c r="G4084" s="2" t="s">
        <v>17277</v>
      </c>
      <c r="H4084" s="2" t="s">
        <v>70</v>
      </c>
      <c r="I4084" s="9">
        <v>7555.39624</v>
      </c>
      <c r="J4084" s="7">
        <v>0.66500000000000004</v>
      </c>
      <c r="K4084" s="9">
        <v>5024.34</v>
      </c>
      <c r="L4084" s="14">
        <v>0</v>
      </c>
      <c r="M4084" s="2" t="s">
        <v>71</v>
      </c>
      <c r="N4084" s="2" t="s">
        <v>16961</v>
      </c>
      <c r="O4084" s="2" t="s">
        <v>8218</v>
      </c>
      <c r="P4084" s="9">
        <v>0</v>
      </c>
      <c r="Q4084" s="9">
        <v>0</v>
      </c>
      <c r="R4084" s="2"/>
    </row>
    <row r="4085" spans="1:18" x14ac:dyDescent="0.25">
      <c r="A4085" s="2" t="s">
        <v>17278</v>
      </c>
      <c r="B4085" s="6">
        <v>46174</v>
      </c>
      <c r="C4085" s="8">
        <v>46183</v>
      </c>
      <c r="D4085" s="2" t="s">
        <v>7433</v>
      </c>
      <c r="E4085" s="2" t="s">
        <v>16959</v>
      </c>
      <c r="F4085" s="2" t="s">
        <v>15336</v>
      </c>
      <c r="G4085" s="2" t="s">
        <v>17279</v>
      </c>
      <c r="H4085" s="2" t="s">
        <v>39</v>
      </c>
      <c r="I4085" s="9">
        <v>5342.6814999999997</v>
      </c>
      <c r="J4085" s="7">
        <v>1</v>
      </c>
      <c r="K4085" s="9">
        <v>5342.68</v>
      </c>
      <c r="L4085" s="14">
        <v>0</v>
      </c>
      <c r="M4085" s="2" t="s">
        <v>71</v>
      </c>
      <c r="N4085" s="2" t="s">
        <v>16961</v>
      </c>
      <c r="O4085" s="2" t="s">
        <v>8223</v>
      </c>
      <c r="P4085" s="9">
        <v>0</v>
      </c>
      <c r="Q4085" s="9">
        <v>0</v>
      </c>
      <c r="R4085" s="2"/>
    </row>
    <row r="4086" spans="1:18" x14ac:dyDescent="0.25">
      <c r="A4086" s="2" t="s">
        <v>17280</v>
      </c>
      <c r="B4086" s="6">
        <v>46174</v>
      </c>
      <c r="C4086" s="8">
        <v>46184</v>
      </c>
      <c r="D4086" s="2" t="s">
        <v>7433</v>
      </c>
      <c r="E4086" s="2" t="s">
        <v>16959</v>
      </c>
      <c r="F4086" s="2" t="s">
        <v>15300</v>
      </c>
      <c r="G4086" s="2" t="s">
        <v>17281</v>
      </c>
      <c r="H4086" s="2" t="s">
        <v>76</v>
      </c>
      <c r="I4086" s="9">
        <v>90576208</v>
      </c>
      <c r="J4086" s="7">
        <v>6.2500000000000001E-5</v>
      </c>
      <c r="K4086" s="9">
        <v>5661.01</v>
      </c>
      <c r="L4086" s="14">
        <v>0</v>
      </c>
      <c r="M4086" s="2" t="s">
        <v>71</v>
      </c>
      <c r="N4086" s="2" t="s">
        <v>16961</v>
      </c>
      <c r="O4086" s="2" t="s">
        <v>8228</v>
      </c>
      <c r="P4086" s="9">
        <v>0</v>
      </c>
      <c r="Q4086" s="9">
        <v>0</v>
      </c>
      <c r="R4086" s="2"/>
    </row>
    <row r="4087" spans="1:18" x14ac:dyDescent="0.25">
      <c r="A4087" s="2" t="s">
        <v>17282</v>
      </c>
      <c r="B4087" s="6">
        <v>46174</v>
      </c>
      <c r="C4087" s="8">
        <v>46185</v>
      </c>
      <c r="D4087" s="2" t="s">
        <v>7433</v>
      </c>
      <c r="E4087" s="2" t="s">
        <v>16959</v>
      </c>
      <c r="F4087" s="2" t="s">
        <v>15304</v>
      </c>
      <c r="G4087" s="2" t="s">
        <v>17283</v>
      </c>
      <c r="H4087" s="2" t="s">
        <v>70</v>
      </c>
      <c r="I4087" s="9">
        <v>8991.5127819999998</v>
      </c>
      <c r="J4087" s="7">
        <v>0.66500000000000004</v>
      </c>
      <c r="K4087" s="9">
        <v>5979.36</v>
      </c>
      <c r="L4087" s="14">
        <v>0</v>
      </c>
      <c r="M4087" s="2" t="s">
        <v>71</v>
      </c>
      <c r="N4087" s="2" t="s">
        <v>16961</v>
      </c>
      <c r="O4087" s="2" t="s">
        <v>8233</v>
      </c>
      <c r="P4087" s="9">
        <v>0</v>
      </c>
      <c r="Q4087" s="9">
        <v>0</v>
      </c>
      <c r="R4087" s="2"/>
    </row>
    <row r="4088" spans="1:18" x14ac:dyDescent="0.25">
      <c r="A4088" s="2" t="s">
        <v>17284</v>
      </c>
      <c r="B4088" s="6">
        <v>46174</v>
      </c>
      <c r="C4088" s="8">
        <v>46186</v>
      </c>
      <c r="D4088" s="2" t="s">
        <v>7433</v>
      </c>
      <c r="E4088" s="2" t="s">
        <v>16959</v>
      </c>
      <c r="F4088" s="2" t="s">
        <v>15308</v>
      </c>
      <c r="G4088" s="2" t="s">
        <v>17285</v>
      </c>
      <c r="H4088" s="2" t="s">
        <v>39</v>
      </c>
      <c r="I4088" s="9">
        <v>6297.6989999999996</v>
      </c>
      <c r="J4088" s="7">
        <v>1</v>
      </c>
      <c r="K4088" s="9">
        <v>6297.7</v>
      </c>
      <c r="L4088" s="14">
        <v>0</v>
      </c>
      <c r="M4088" s="2" t="s">
        <v>71</v>
      </c>
      <c r="N4088" s="2" t="s">
        <v>16961</v>
      </c>
      <c r="O4088" s="2" t="s">
        <v>8238</v>
      </c>
      <c r="P4088" s="9">
        <v>0</v>
      </c>
      <c r="Q4088" s="9">
        <v>0</v>
      </c>
      <c r="R4088" s="2"/>
    </row>
    <row r="4089" spans="1:18" x14ac:dyDescent="0.25">
      <c r="A4089" s="2" t="s">
        <v>17286</v>
      </c>
      <c r="B4089" s="6">
        <v>46174</v>
      </c>
      <c r="C4089" s="8">
        <v>46187</v>
      </c>
      <c r="D4089" s="2" t="s">
        <v>7433</v>
      </c>
      <c r="E4089" s="2" t="s">
        <v>16959</v>
      </c>
      <c r="F4089" s="2" t="s">
        <v>15312</v>
      </c>
      <c r="G4089" s="2" t="s">
        <v>17287</v>
      </c>
      <c r="H4089" s="2" t="s">
        <v>76</v>
      </c>
      <c r="I4089" s="9">
        <v>-105856488</v>
      </c>
      <c r="J4089" s="7">
        <v>6.2500000000000001E-5</v>
      </c>
      <c r="K4089" s="9">
        <v>-6616.03</v>
      </c>
      <c r="L4089" s="14">
        <v>0</v>
      </c>
      <c r="M4089" s="2" t="s">
        <v>71</v>
      </c>
      <c r="N4089" s="2" t="s">
        <v>16961</v>
      </c>
      <c r="O4089" s="2" t="s">
        <v>8243</v>
      </c>
      <c r="P4089" s="9">
        <v>0</v>
      </c>
      <c r="Q4089" s="9">
        <v>0</v>
      </c>
      <c r="R4089" s="2"/>
    </row>
    <row r="4090" spans="1:18" x14ac:dyDescent="0.25">
      <c r="A4090" s="2" t="s">
        <v>17288</v>
      </c>
      <c r="B4090" s="6">
        <v>46174</v>
      </c>
      <c r="C4090" s="8">
        <v>46188</v>
      </c>
      <c r="D4090" s="2" t="s">
        <v>7433</v>
      </c>
      <c r="E4090" s="2" t="s">
        <v>16959</v>
      </c>
      <c r="F4090" s="2" t="s">
        <v>15316</v>
      </c>
      <c r="G4090" s="2" t="s">
        <v>17289</v>
      </c>
      <c r="H4090" s="2" t="s">
        <v>70</v>
      </c>
      <c r="I4090" s="9">
        <v>10427.629322999999</v>
      </c>
      <c r="J4090" s="7">
        <v>0.66500000000000004</v>
      </c>
      <c r="K4090" s="9">
        <v>6934.37</v>
      </c>
      <c r="L4090" s="14">
        <v>0</v>
      </c>
      <c r="M4090" s="2" t="s">
        <v>71</v>
      </c>
      <c r="N4090" s="2" t="s">
        <v>16961</v>
      </c>
      <c r="O4090" s="2" t="s">
        <v>8246</v>
      </c>
      <c r="P4090" s="9">
        <v>0</v>
      </c>
      <c r="Q4090" s="9">
        <v>0</v>
      </c>
      <c r="R4090" s="2"/>
    </row>
    <row r="4091" spans="1:18" x14ac:dyDescent="0.25">
      <c r="A4091" s="2" t="s">
        <v>17290</v>
      </c>
      <c r="B4091" s="6">
        <v>46174</v>
      </c>
      <c r="C4091" s="8">
        <v>46189</v>
      </c>
      <c r="D4091" s="2" t="s">
        <v>7433</v>
      </c>
      <c r="E4091" s="2" t="s">
        <v>16959</v>
      </c>
      <c r="F4091" s="2" t="s">
        <v>15320</v>
      </c>
      <c r="G4091" s="2" t="s">
        <v>17291</v>
      </c>
      <c r="H4091" s="2" t="s">
        <v>39</v>
      </c>
      <c r="I4091" s="9">
        <v>7252.7049999999999</v>
      </c>
      <c r="J4091" s="7">
        <v>1</v>
      </c>
      <c r="K4091" s="9">
        <v>7252.7</v>
      </c>
      <c r="L4091" s="14">
        <v>0</v>
      </c>
      <c r="M4091" s="2" t="s">
        <v>71</v>
      </c>
      <c r="N4091" s="2" t="s">
        <v>16961</v>
      </c>
      <c r="O4091" s="2" t="s">
        <v>8251</v>
      </c>
      <c r="P4091" s="9">
        <v>0</v>
      </c>
      <c r="Q4091" s="9">
        <v>0</v>
      </c>
      <c r="R4091" s="2"/>
    </row>
    <row r="4092" spans="1:18" x14ac:dyDescent="0.25">
      <c r="A4092" s="2" t="s">
        <v>17292</v>
      </c>
      <c r="B4092" s="6">
        <v>46174</v>
      </c>
      <c r="C4092" s="8">
        <v>46190</v>
      </c>
      <c r="D4092" s="2" t="s">
        <v>7433</v>
      </c>
      <c r="E4092" s="2" t="s">
        <v>16959</v>
      </c>
      <c r="F4092" s="2" t="s">
        <v>15324</v>
      </c>
      <c r="G4092" s="2" t="s">
        <v>17293</v>
      </c>
      <c r="H4092" s="2" t="s">
        <v>76</v>
      </c>
      <c r="I4092" s="9">
        <v>121136768</v>
      </c>
      <c r="J4092" s="7">
        <v>6.2500000000000001E-5</v>
      </c>
      <c r="K4092" s="9">
        <v>7571.05</v>
      </c>
      <c r="L4092" s="14">
        <v>0</v>
      </c>
      <c r="M4092" s="2" t="s">
        <v>71</v>
      </c>
      <c r="N4092" s="2" t="s">
        <v>16961</v>
      </c>
      <c r="O4092" s="2" t="s">
        <v>8256</v>
      </c>
      <c r="P4092" s="9">
        <v>0</v>
      </c>
      <c r="Q4092" s="9">
        <v>0</v>
      </c>
      <c r="R4092" s="2"/>
    </row>
    <row r="4093" spans="1:18" x14ac:dyDescent="0.25">
      <c r="A4093" s="2" t="s">
        <v>17294</v>
      </c>
      <c r="B4093" s="6">
        <v>46174</v>
      </c>
      <c r="C4093" s="8">
        <v>46191</v>
      </c>
      <c r="D4093" s="2" t="s">
        <v>7433</v>
      </c>
      <c r="E4093" s="2" t="s">
        <v>16959</v>
      </c>
      <c r="F4093" s="2" t="s">
        <v>15328</v>
      </c>
      <c r="G4093" s="2" t="s">
        <v>17295</v>
      </c>
      <c r="H4093" s="2" t="s">
        <v>70</v>
      </c>
      <c r="I4093" s="9">
        <v>11863.728571</v>
      </c>
      <c r="J4093" s="7">
        <v>0.66500000000000004</v>
      </c>
      <c r="K4093" s="9">
        <v>7889.38</v>
      </c>
      <c r="L4093" s="14">
        <v>0</v>
      </c>
      <c r="M4093" s="2" t="s">
        <v>71</v>
      </c>
      <c r="N4093" s="2" t="s">
        <v>16961</v>
      </c>
      <c r="O4093" s="2" t="s">
        <v>8261</v>
      </c>
      <c r="P4093" s="9">
        <v>0</v>
      </c>
      <c r="Q4093" s="9">
        <v>0</v>
      </c>
      <c r="R4093" s="2"/>
    </row>
    <row r="4094" spans="1:18" x14ac:dyDescent="0.25">
      <c r="A4094" s="2" t="s">
        <v>17296</v>
      </c>
      <c r="B4094" s="6">
        <v>46174</v>
      </c>
      <c r="C4094" s="8">
        <v>46192</v>
      </c>
      <c r="D4094" s="2" t="s">
        <v>7433</v>
      </c>
      <c r="E4094" s="2" t="s">
        <v>16959</v>
      </c>
      <c r="F4094" s="2" t="s">
        <v>15332</v>
      </c>
      <c r="G4094" s="2" t="s">
        <v>17297</v>
      </c>
      <c r="H4094" s="2" t="s">
        <v>39</v>
      </c>
      <c r="I4094" s="9">
        <v>8207.7224999999999</v>
      </c>
      <c r="J4094" s="7">
        <v>1</v>
      </c>
      <c r="K4094" s="9">
        <v>8207.7199999999993</v>
      </c>
      <c r="L4094" s="14">
        <v>0</v>
      </c>
      <c r="M4094" s="2" t="s">
        <v>71</v>
      </c>
      <c r="N4094" s="2" t="s">
        <v>16961</v>
      </c>
      <c r="O4094" s="2" t="s">
        <v>8266</v>
      </c>
      <c r="P4094" s="9">
        <v>0</v>
      </c>
      <c r="Q4094" s="9">
        <v>0</v>
      </c>
      <c r="R4094" s="2"/>
    </row>
    <row r="4095" spans="1:18" x14ac:dyDescent="0.25">
      <c r="A4095" s="2" t="s">
        <v>17298</v>
      </c>
      <c r="B4095" s="6">
        <v>46174</v>
      </c>
      <c r="C4095" s="8">
        <v>46193</v>
      </c>
      <c r="D4095" s="2" t="s">
        <v>7433</v>
      </c>
      <c r="E4095" s="2" t="s">
        <v>16959</v>
      </c>
      <c r="F4095" s="2" t="s">
        <v>15336</v>
      </c>
      <c r="G4095" s="2" t="s">
        <v>17299</v>
      </c>
      <c r="H4095" s="2" t="s">
        <v>76</v>
      </c>
      <c r="I4095" s="9">
        <v>136417048</v>
      </c>
      <c r="J4095" s="7">
        <v>6.2500000000000001E-5</v>
      </c>
      <c r="K4095" s="9">
        <v>8526.07</v>
      </c>
      <c r="L4095" s="14">
        <v>0</v>
      </c>
      <c r="M4095" s="2" t="s">
        <v>71</v>
      </c>
      <c r="N4095" s="2" t="s">
        <v>16961</v>
      </c>
      <c r="O4095" s="2" t="s">
        <v>8271</v>
      </c>
      <c r="P4095" s="9">
        <v>0</v>
      </c>
      <c r="Q4095" s="9">
        <v>0</v>
      </c>
      <c r="R4095" s="2"/>
    </row>
    <row r="4096" spans="1:18" x14ac:dyDescent="0.25">
      <c r="A4096" s="2" t="s">
        <v>17300</v>
      </c>
      <c r="B4096" s="6">
        <v>46174</v>
      </c>
      <c r="C4096" s="8">
        <v>46194</v>
      </c>
      <c r="D4096" s="2" t="s">
        <v>7433</v>
      </c>
      <c r="E4096" s="2" t="s">
        <v>16959</v>
      </c>
      <c r="F4096" s="2" t="s">
        <v>15300</v>
      </c>
      <c r="G4096" s="2" t="s">
        <v>17301</v>
      </c>
      <c r="H4096" s="2" t="s">
        <v>70</v>
      </c>
      <c r="I4096" s="9">
        <v>13299.845112999999</v>
      </c>
      <c r="J4096" s="7">
        <v>0.66500000000000004</v>
      </c>
      <c r="K4096" s="9">
        <v>8844.4</v>
      </c>
      <c r="L4096" s="14">
        <v>0</v>
      </c>
      <c r="M4096" s="2" t="s">
        <v>71</v>
      </c>
      <c r="N4096" s="2" t="s">
        <v>16961</v>
      </c>
      <c r="O4096" s="2" t="s">
        <v>8276</v>
      </c>
      <c r="P4096" s="9">
        <v>0</v>
      </c>
      <c r="Q4096" s="9">
        <v>0</v>
      </c>
      <c r="R4096" s="2"/>
    </row>
    <row r="4097" spans="1:18" x14ac:dyDescent="0.25">
      <c r="A4097" s="2" t="s">
        <v>17302</v>
      </c>
      <c r="B4097" s="6">
        <v>46174</v>
      </c>
      <c r="C4097" s="8">
        <v>46195</v>
      </c>
      <c r="D4097" s="2" t="s">
        <v>7433</v>
      </c>
      <c r="E4097" s="2" t="s">
        <v>16959</v>
      </c>
      <c r="F4097" s="2" t="s">
        <v>15304</v>
      </c>
      <c r="G4097" s="2" t="s">
        <v>17303</v>
      </c>
      <c r="H4097" s="2" t="s">
        <v>39</v>
      </c>
      <c r="I4097" s="9">
        <v>9162.74</v>
      </c>
      <c r="J4097" s="7">
        <v>1</v>
      </c>
      <c r="K4097" s="9">
        <v>9162.74</v>
      </c>
      <c r="L4097" s="14">
        <v>0</v>
      </c>
      <c r="M4097" s="2" t="s">
        <v>71</v>
      </c>
      <c r="N4097" s="2" t="s">
        <v>16961</v>
      </c>
      <c r="O4097" s="2" t="s">
        <v>8281</v>
      </c>
      <c r="P4097" s="9">
        <v>0</v>
      </c>
      <c r="Q4097" s="9">
        <v>0</v>
      </c>
      <c r="R4097" s="2"/>
    </row>
    <row r="4098" spans="1:18" x14ac:dyDescent="0.25">
      <c r="A4098" s="2" t="s">
        <v>17304</v>
      </c>
      <c r="B4098" s="6">
        <v>46174</v>
      </c>
      <c r="C4098" s="8">
        <v>46196</v>
      </c>
      <c r="D4098" s="2" t="s">
        <v>7433</v>
      </c>
      <c r="E4098" s="2" t="s">
        <v>16959</v>
      </c>
      <c r="F4098" s="2" t="s">
        <v>15308</v>
      </c>
      <c r="G4098" s="2" t="s">
        <v>17305</v>
      </c>
      <c r="H4098" s="2" t="s">
        <v>76</v>
      </c>
      <c r="I4098" s="9">
        <v>151697328</v>
      </c>
      <c r="J4098" s="7">
        <v>6.2500000000000001E-5</v>
      </c>
      <c r="K4098" s="9">
        <v>9481.08</v>
      </c>
      <c r="L4098" s="14">
        <v>0</v>
      </c>
      <c r="M4098" s="2" t="s">
        <v>71</v>
      </c>
      <c r="N4098" s="2" t="s">
        <v>16961</v>
      </c>
      <c r="O4098" s="2" t="s">
        <v>8286</v>
      </c>
      <c r="P4098" s="9">
        <v>0</v>
      </c>
      <c r="Q4098" s="9">
        <v>0</v>
      </c>
      <c r="R4098" s="2"/>
    </row>
    <row r="4099" spans="1:18" x14ac:dyDescent="0.25">
      <c r="A4099" s="2" t="s">
        <v>17306</v>
      </c>
      <c r="B4099" s="6">
        <v>46174</v>
      </c>
      <c r="C4099" s="8">
        <v>46197</v>
      </c>
      <c r="D4099" s="2" t="s">
        <v>7433</v>
      </c>
      <c r="E4099" s="2" t="s">
        <v>16959</v>
      </c>
      <c r="F4099" s="2" t="s">
        <v>15312</v>
      </c>
      <c r="G4099" s="2" t="s">
        <v>17307</v>
      </c>
      <c r="H4099" s="2" t="s">
        <v>70</v>
      </c>
      <c r="I4099" s="9">
        <v>14735.961654000001</v>
      </c>
      <c r="J4099" s="7">
        <v>0.66500000000000004</v>
      </c>
      <c r="K4099" s="9">
        <v>9799.41</v>
      </c>
      <c r="L4099" s="14">
        <v>0</v>
      </c>
      <c r="M4099" s="2" t="s">
        <v>71</v>
      </c>
      <c r="N4099" s="2" t="s">
        <v>16961</v>
      </c>
      <c r="O4099" s="2" t="s">
        <v>8291</v>
      </c>
      <c r="P4099" s="9">
        <v>0</v>
      </c>
      <c r="Q4099" s="9">
        <v>0</v>
      </c>
      <c r="R4099" s="2"/>
    </row>
    <row r="4100" spans="1:18" x14ac:dyDescent="0.25">
      <c r="A4100" s="2" t="s">
        <v>17308</v>
      </c>
      <c r="B4100" s="6">
        <v>46174</v>
      </c>
      <c r="C4100" s="8">
        <v>46198</v>
      </c>
      <c r="D4100" s="2" t="s">
        <v>7433</v>
      </c>
      <c r="E4100" s="2" t="s">
        <v>16959</v>
      </c>
      <c r="F4100" s="2" t="s">
        <v>15316</v>
      </c>
      <c r="G4100" s="2" t="s">
        <v>17309</v>
      </c>
      <c r="H4100" s="2" t="s">
        <v>39</v>
      </c>
      <c r="I4100" s="9">
        <v>10117.7575</v>
      </c>
      <c r="J4100" s="7">
        <v>1</v>
      </c>
      <c r="K4100" s="9">
        <v>10117.76</v>
      </c>
      <c r="L4100" s="14">
        <v>0</v>
      </c>
      <c r="M4100" s="2" t="s">
        <v>71</v>
      </c>
      <c r="N4100" s="2" t="s">
        <v>16961</v>
      </c>
      <c r="O4100" s="2" t="s">
        <v>8296</v>
      </c>
      <c r="P4100" s="9">
        <v>0</v>
      </c>
      <c r="Q4100" s="9">
        <v>0</v>
      </c>
      <c r="R4100" s="2"/>
    </row>
    <row r="4101" spans="1:18" x14ac:dyDescent="0.25">
      <c r="A4101" s="2" t="s">
        <v>17310</v>
      </c>
      <c r="B4101" s="6">
        <v>46174</v>
      </c>
      <c r="C4101" s="8">
        <v>46199</v>
      </c>
      <c r="D4101" s="2" t="s">
        <v>7433</v>
      </c>
      <c r="E4101" s="2" t="s">
        <v>16959</v>
      </c>
      <c r="F4101" s="2" t="s">
        <v>15320</v>
      </c>
      <c r="G4101" s="2" t="s">
        <v>17311</v>
      </c>
      <c r="H4101" s="2" t="s">
        <v>76</v>
      </c>
      <c r="I4101" s="9">
        <v>166977424</v>
      </c>
      <c r="J4101" s="7">
        <v>6.2500000000000001E-5</v>
      </c>
      <c r="K4101" s="9">
        <v>10436.09</v>
      </c>
      <c r="L4101" s="14">
        <v>0</v>
      </c>
      <c r="M4101" s="2" t="s">
        <v>71</v>
      </c>
      <c r="N4101" s="2" t="s">
        <v>16961</v>
      </c>
      <c r="O4101" s="2" t="s">
        <v>8301</v>
      </c>
      <c r="P4101" s="9">
        <v>0</v>
      </c>
      <c r="Q4101" s="9">
        <v>0</v>
      </c>
      <c r="R4101" s="2"/>
    </row>
    <row r="4102" spans="1:18" x14ac:dyDescent="0.25">
      <c r="A4102" s="2" t="s">
        <v>17312</v>
      </c>
      <c r="B4102" s="6">
        <v>46174</v>
      </c>
      <c r="C4102" s="8">
        <v>46200</v>
      </c>
      <c r="D4102" s="2" t="s">
        <v>7433</v>
      </c>
      <c r="E4102" s="2" t="s">
        <v>16959</v>
      </c>
      <c r="F4102" s="2" t="s">
        <v>15324</v>
      </c>
      <c r="G4102" s="2" t="s">
        <v>17313</v>
      </c>
      <c r="H4102" s="2" t="s">
        <v>70</v>
      </c>
      <c r="I4102" s="9">
        <v>16172.078196</v>
      </c>
      <c r="J4102" s="7">
        <v>0.66500000000000004</v>
      </c>
      <c r="K4102" s="9">
        <v>10754.43</v>
      </c>
      <c r="L4102" s="14">
        <v>0</v>
      </c>
      <c r="M4102" s="2" t="s">
        <v>71</v>
      </c>
      <c r="N4102" s="2" t="s">
        <v>16961</v>
      </c>
      <c r="O4102" s="2" t="s">
        <v>8306</v>
      </c>
      <c r="P4102" s="9">
        <v>0</v>
      </c>
      <c r="Q4102" s="9">
        <v>0</v>
      </c>
      <c r="R4102" s="2"/>
    </row>
    <row r="4103" spans="1:18" x14ac:dyDescent="0.25">
      <c r="A4103" s="2" t="s">
        <v>17314</v>
      </c>
      <c r="B4103" s="6">
        <v>46174</v>
      </c>
      <c r="C4103" s="8">
        <v>46201</v>
      </c>
      <c r="D4103" s="2" t="s">
        <v>7433</v>
      </c>
      <c r="E4103" s="2" t="s">
        <v>16959</v>
      </c>
      <c r="F4103" s="2" t="s">
        <v>15328</v>
      </c>
      <c r="G4103" s="2" t="s">
        <v>17315</v>
      </c>
      <c r="H4103" s="2" t="s">
        <v>39</v>
      </c>
      <c r="I4103" s="9">
        <v>11072.775</v>
      </c>
      <c r="J4103" s="7">
        <v>1</v>
      </c>
      <c r="K4103" s="9">
        <v>11072.78</v>
      </c>
      <c r="L4103" s="14">
        <v>0</v>
      </c>
      <c r="M4103" s="2" t="s">
        <v>71</v>
      </c>
      <c r="N4103" s="2" t="s">
        <v>16961</v>
      </c>
      <c r="O4103" s="2" t="s">
        <v>8311</v>
      </c>
      <c r="P4103" s="9">
        <v>0</v>
      </c>
      <c r="Q4103" s="9">
        <v>0</v>
      </c>
      <c r="R4103" s="2"/>
    </row>
    <row r="4104" spans="1:18" x14ac:dyDescent="0.25">
      <c r="A4104" s="2" t="s">
        <v>17316</v>
      </c>
      <c r="B4104" s="6">
        <v>46174</v>
      </c>
      <c r="C4104" s="8">
        <v>46202</v>
      </c>
      <c r="D4104" s="2" t="s">
        <v>7433</v>
      </c>
      <c r="E4104" s="2" t="s">
        <v>16959</v>
      </c>
      <c r="F4104" s="2" t="s">
        <v>15332</v>
      </c>
      <c r="G4104" s="2" t="s">
        <v>17317</v>
      </c>
      <c r="H4104" s="2" t="s">
        <v>76</v>
      </c>
      <c r="I4104" s="9">
        <v>182257704</v>
      </c>
      <c r="J4104" s="7">
        <v>6.2500000000000001E-5</v>
      </c>
      <c r="K4104" s="9">
        <v>11391.11</v>
      </c>
      <c r="L4104" s="14">
        <v>0</v>
      </c>
      <c r="M4104" s="2" t="s">
        <v>71</v>
      </c>
      <c r="N4104" s="2" t="s">
        <v>16961</v>
      </c>
      <c r="O4104" s="2" t="s">
        <v>8316</v>
      </c>
      <c r="P4104" s="9">
        <v>0</v>
      </c>
      <c r="Q4104" s="9">
        <v>0</v>
      </c>
      <c r="R4104" s="2"/>
    </row>
    <row r="4105" spans="1:18" x14ac:dyDescent="0.25">
      <c r="A4105" s="2" t="s">
        <v>17318</v>
      </c>
      <c r="B4105" s="6">
        <v>46174</v>
      </c>
      <c r="C4105" s="8">
        <v>46203</v>
      </c>
      <c r="D4105" s="2" t="s">
        <v>7433</v>
      </c>
      <c r="E4105" s="2" t="s">
        <v>16959</v>
      </c>
      <c r="F4105" s="2" t="s">
        <v>15336</v>
      </c>
      <c r="G4105" s="2" t="s">
        <v>17319</v>
      </c>
      <c r="H4105" s="2" t="s">
        <v>70</v>
      </c>
      <c r="I4105" s="9">
        <v>17608.194737000002</v>
      </c>
      <c r="J4105" s="7">
        <v>0.66500000000000004</v>
      </c>
      <c r="K4105" s="9">
        <v>11709.45</v>
      </c>
      <c r="L4105" s="14">
        <v>0</v>
      </c>
      <c r="M4105" s="2" t="s">
        <v>71</v>
      </c>
      <c r="N4105" s="2" t="s">
        <v>16961</v>
      </c>
      <c r="O4105" s="2" t="s">
        <v>8321</v>
      </c>
      <c r="P4105" s="9">
        <v>0</v>
      </c>
      <c r="Q4105" s="9">
        <v>0</v>
      </c>
      <c r="R4105" s="2"/>
    </row>
    <row r="4106" spans="1:18" x14ac:dyDescent="0.25">
      <c r="A4106" s="2" t="s">
        <v>17320</v>
      </c>
      <c r="B4106" s="6">
        <v>46174</v>
      </c>
      <c r="C4106" s="8">
        <v>46174</v>
      </c>
      <c r="D4106" s="2" t="s">
        <v>7433</v>
      </c>
      <c r="E4106" s="2" t="s">
        <v>16959</v>
      </c>
      <c r="F4106" s="2" t="s">
        <v>15300</v>
      </c>
      <c r="G4106" s="2" t="s">
        <v>17321</v>
      </c>
      <c r="H4106" s="2" t="s">
        <v>39</v>
      </c>
      <c r="I4106" s="9">
        <v>12027.781000000001</v>
      </c>
      <c r="J4106" s="7">
        <v>1</v>
      </c>
      <c r="K4106" s="9">
        <v>12027.78</v>
      </c>
      <c r="L4106" s="14">
        <v>0</v>
      </c>
      <c r="M4106" s="2" t="s">
        <v>71</v>
      </c>
      <c r="N4106" s="2" t="s">
        <v>16961</v>
      </c>
      <c r="O4106" s="2" t="s">
        <v>8326</v>
      </c>
      <c r="P4106" s="9">
        <v>0</v>
      </c>
      <c r="Q4106" s="9">
        <v>0</v>
      </c>
      <c r="R4106" s="2"/>
    </row>
    <row r="4107" spans="1:18" x14ac:dyDescent="0.25">
      <c r="A4107" s="2" t="s">
        <v>17322</v>
      </c>
      <c r="B4107" s="6">
        <v>46174</v>
      </c>
      <c r="C4107" s="8">
        <v>46175</v>
      </c>
      <c r="D4107" s="2" t="s">
        <v>7433</v>
      </c>
      <c r="E4107" s="2" t="s">
        <v>16959</v>
      </c>
      <c r="F4107" s="2" t="s">
        <v>15304</v>
      </c>
      <c r="G4107" s="2" t="s">
        <v>17323</v>
      </c>
      <c r="H4107" s="2" t="s">
        <v>76</v>
      </c>
      <c r="I4107" s="9">
        <v>197537984</v>
      </c>
      <c r="J4107" s="7">
        <v>6.2500000000000001E-5</v>
      </c>
      <c r="K4107" s="9">
        <v>12346.12</v>
      </c>
      <c r="L4107" s="14">
        <v>0</v>
      </c>
      <c r="M4107" s="2" t="s">
        <v>71</v>
      </c>
      <c r="N4107" s="2" t="s">
        <v>16961</v>
      </c>
      <c r="O4107" s="2" t="s">
        <v>8331</v>
      </c>
      <c r="P4107" s="9">
        <v>0</v>
      </c>
      <c r="Q4107" s="9">
        <v>0</v>
      </c>
      <c r="R4107" s="2"/>
    </row>
    <row r="4108" spans="1:18" x14ac:dyDescent="0.25">
      <c r="A4108" s="2" t="s">
        <v>17324</v>
      </c>
      <c r="B4108" s="6">
        <v>46174</v>
      </c>
      <c r="C4108" s="8">
        <v>46176</v>
      </c>
      <c r="D4108" s="2" t="s">
        <v>7433</v>
      </c>
      <c r="E4108" s="2" t="s">
        <v>16959</v>
      </c>
      <c r="F4108" s="2" t="s">
        <v>15308</v>
      </c>
      <c r="G4108" s="2" t="s">
        <v>17325</v>
      </c>
      <c r="H4108" s="2" t="s">
        <v>70</v>
      </c>
      <c r="I4108" s="9">
        <v>19044.293985</v>
      </c>
      <c r="J4108" s="7">
        <v>0.66500000000000004</v>
      </c>
      <c r="K4108" s="9">
        <v>12664.46</v>
      </c>
      <c r="L4108" s="14">
        <v>0</v>
      </c>
      <c r="M4108" s="2" t="s">
        <v>71</v>
      </c>
      <c r="N4108" s="2" t="s">
        <v>16961</v>
      </c>
      <c r="O4108" s="2" t="s">
        <v>8336</v>
      </c>
      <c r="P4108" s="9">
        <v>0</v>
      </c>
      <c r="Q4108" s="9">
        <v>0</v>
      </c>
      <c r="R4108" s="2"/>
    </row>
    <row r="4109" spans="1:18" x14ac:dyDescent="0.25">
      <c r="A4109" s="2" t="s">
        <v>17326</v>
      </c>
      <c r="B4109" s="6">
        <v>46174</v>
      </c>
      <c r="C4109" s="8">
        <v>46177</v>
      </c>
      <c r="D4109" s="2" t="s">
        <v>7433</v>
      </c>
      <c r="E4109" s="2" t="s">
        <v>16959</v>
      </c>
      <c r="F4109" s="2" t="s">
        <v>15312</v>
      </c>
      <c r="G4109" s="2" t="s">
        <v>17327</v>
      </c>
      <c r="H4109" s="2" t="s">
        <v>39</v>
      </c>
      <c r="I4109" s="9">
        <v>12982.798500000001</v>
      </c>
      <c r="J4109" s="7">
        <v>1</v>
      </c>
      <c r="K4109" s="9">
        <v>12982.8</v>
      </c>
      <c r="L4109" s="14">
        <v>0</v>
      </c>
      <c r="M4109" s="2" t="s">
        <v>71</v>
      </c>
      <c r="N4109" s="2" t="s">
        <v>16961</v>
      </c>
      <c r="O4109" s="2" t="s">
        <v>8341</v>
      </c>
      <c r="P4109" s="9">
        <v>0</v>
      </c>
      <c r="Q4109" s="9">
        <v>0</v>
      </c>
      <c r="R4109" s="2"/>
    </row>
    <row r="4110" spans="1:18" x14ac:dyDescent="0.25">
      <c r="A4110" s="2" t="s">
        <v>17328</v>
      </c>
      <c r="B4110" s="6">
        <v>46174</v>
      </c>
      <c r="C4110" s="8">
        <v>46178</v>
      </c>
      <c r="D4110" s="2" t="s">
        <v>7433</v>
      </c>
      <c r="E4110" s="2" t="s">
        <v>16959</v>
      </c>
      <c r="F4110" s="2" t="s">
        <v>15316</v>
      </c>
      <c r="G4110" s="2" t="s">
        <v>17329</v>
      </c>
      <c r="H4110" s="2" t="s">
        <v>76</v>
      </c>
      <c r="I4110" s="9">
        <v>212818264</v>
      </c>
      <c r="J4110" s="7">
        <v>6.2500000000000001E-5</v>
      </c>
      <c r="K4110" s="9">
        <v>13301.14</v>
      </c>
      <c r="L4110" s="14">
        <v>0</v>
      </c>
      <c r="M4110" s="2" t="s">
        <v>71</v>
      </c>
      <c r="N4110" s="2" t="s">
        <v>16961</v>
      </c>
      <c r="O4110" s="2" t="s">
        <v>8346</v>
      </c>
      <c r="P4110" s="9">
        <v>0</v>
      </c>
      <c r="Q4110" s="9">
        <v>0</v>
      </c>
      <c r="R4110" s="2"/>
    </row>
    <row r="4111" spans="1:18" x14ac:dyDescent="0.25">
      <c r="A4111" s="2" t="s">
        <v>17330</v>
      </c>
      <c r="B4111" s="6">
        <v>46174</v>
      </c>
      <c r="C4111" s="8">
        <v>46179</v>
      </c>
      <c r="D4111" s="2" t="s">
        <v>7433</v>
      </c>
      <c r="E4111" s="2" t="s">
        <v>16959</v>
      </c>
      <c r="F4111" s="2" t="s">
        <v>15320</v>
      </c>
      <c r="G4111" s="2" t="s">
        <v>17331</v>
      </c>
      <c r="H4111" s="2" t="s">
        <v>70</v>
      </c>
      <c r="I4111" s="9">
        <v>20480.410527</v>
      </c>
      <c r="J4111" s="7">
        <v>0.66500000000000004</v>
      </c>
      <c r="K4111" s="9">
        <v>13619.47</v>
      </c>
      <c r="L4111" s="14">
        <v>0</v>
      </c>
      <c r="M4111" s="2" t="s">
        <v>71</v>
      </c>
      <c r="N4111" s="2" t="s">
        <v>16961</v>
      </c>
      <c r="O4111" s="2" t="s">
        <v>8351</v>
      </c>
      <c r="P4111" s="9">
        <v>0</v>
      </c>
      <c r="Q4111" s="9">
        <v>0</v>
      </c>
      <c r="R4111" s="2"/>
    </row>
    <row r="4112" spans="1:18" x14ac:dyDescent="0.25">
      <c r="A4112" s="2" t="s">
        <v>17332</v>
      </c>
      <c r="B4112" s="6">
        <v>46174</v>
      </c>
      <c r="C4112" s="8">
        <v>46180</v>
      </c>
      <c r="D4112" s="2" t="s">
        <v>7433</v>
      </c>
      <c r="E4112" s="2" t="s">
        <v>16959</v>
      </c>
      <c r="F4112" s="2" t="s">
        <v>15324</v>
      </c>
      <c r="G4112" s="2" t="s">
        <v>17333</v>
      </c>
      <c r="H4112" s="2" t="s">
        <v>39</v>
      </c>
      <c r="I4112" s="9">
        <v>13937.816000000001</v>
      </c>
      <c r="J4112" s="7">
        <v>1</v>
      </c>
      <c r="K4112" s="9">
        <v>13937.82</v>
      </c>
      <c r="L4112" s="14">
        <v>0</v>
      </c>
      <c r="M4112" s="2" t="s">
        <v>71</v>
      </c>
      <c r="N4112" s="2" t="s">
        <v>16961</v>
      </c>
      <c r="O4112" s="2" t="s">
        <v>8356</v>
      </c>
      <c r="P4112" s="9">
        <v>0</v>
      </c>
      <c r="Q4112" s="9">
        <v>0</v>
      </c>
      <c r="R4112" s="2"/>
    </row>
    <row r="4113" spans="1:18" x14ac:dyDescent="0.25">
      <c r="A4113" s="2" t="s">
        <v>17334</v>
      </c>
      <c r="B4113" s="6">
        <v>46174</v>
      </c>
      <c r="C4113" s="8">
        <v>46181</v>
      </c>
      <c r="D4113" s="2" t="s">
        <v>7433</v>
      </c>
      <c r="E4113" s="2" t="s">
        <v>16959</v>
      </c>
      <c r="F4113" s="2" t="s">
        <v>15328</v>
      </c>
      <c r="G4113" s="2" t="s">
        <v>17335</v>
      </c>
      <c r="H4113" s="2" t="s">
        <v>76</v>
      </c>
      <c r="I4113" s="9">
        <v>228098544</v>
      </c>
      <c r="J4113" s="7">
        <v>6.2500000000000001E-5</v>
      </c>
      <c r="K4113" s="9">
        <v>14256.16</v>
      </c>
      <c r="L4113" s="14">
        <v>0</v>
      </c>
      <c r="M4113" s="2" t="s">
        <v>71</v>
      </c>
      <c r="N4113" s="2" t="s">
        <v>16961</v>
      </c>
      <c r="O4113" s="2" t="s">
        <v>8361</v>
      </c>
      <c r="P4113" s="9">
        <v>0</v>
      </c>
      <c r="Q4113" s="9">
        <v>0</v>
      </c>
      <c r="R4113" s="2"/>
    </row>
    <row r="4114" spans="1:18" x14ac:dyDescent="0.25">
      <c r="A4114" s="2" t="s">
        <v>17336</v>
      </c>
      <c r="B4114" s="6">
        <v>46174</v>
      </c>
      <c r="C4114" s="8">
        <v>46182</v>
      </c>
      <c r="D4114" s="2" t="s">
        <v>7433</v>
      </c>
      <c r="E4114" s="2" t="s">
        <v>16959</v>
      </c>
      <c r="F4114" s="2" t="s">
        <v>15332</v>
      </c>
      <c r="G4114" s="2" t="s">
        <v>17337</v>
      </c>
      <c r="H4114" s="2" t="s">
        <v>70</v>
      </c>
      <c r="I4114" s="9">
        <v>21916.527067999999</v>
      </c>
      <c r="J4114" s="7">
        <v>0.66500000000000004</v>
      </c>
      <c r="K4114" s="9">
        <v>14574.49</v>
      </c>
      <c r="L4114" s="14">
        <v>0</v>
      </c>
      <c r="M4114" s="2" t="s">
        <v>71</v>
      </c>
      <c r="N4114" s="2" t="s">
        <v>16961</v>
      </c>
      <c r="O4114" s="2" t="s">
        <v>8366</v>
      </c>
      <c r="P4114" s="9">
        <v>0</v>
      </c>
      <c r="Q4114" s="9">
        <v>0</v>
      </c>
      <c r="R4114" s="2"/>
    </row>
    <row r="4115" spans="1:18" x14ac:dyDescent="0.25">
      <c r="A4115" s="2" t="s">
        <v>17338</v>
      </c>
      <c r="B4115" s="6">
        <v>46174</v>
      </c>
      <c r="C4115" s="8">
        <v>46183</v>
      </c>
      <c r="D4115" s="2" t="s">
        <v>7433</v>
      </c>
      <c r="E4115" s="2" t="s">
        <v>16959</v>
      </c>
      <c r="F4115" s="2" t="s">
        <v>15336</v>
      </c>
      <c r="G4115" s="2" t="s">
        <v>17339</v>
      </c>
      <c r="H4115" s="2" t="s">
        <v>39</v>
      </c>
      <c r="I4115" s="9">
        <v>14892.833500000001</v>
      </c>
      <c r="J4115" s="7">
        <v>1</v>
      </c>
      <c r="K4115" s="9">
        <v>14892.83</v>
      </c>
      <c r="L4115" s="14">
        <v>0</v>
      </c>
      <c r="M4115" s="2" t="s">
        <v>71</v>
      </c>
      <c r="N4115" s="2" t="s">
        <v>16961</v>
      </c>
      <c r="O4115" s="2" t="s">
        <v>8371</v>
      </c>
      <c r="P4115" s="9">
        <v>0</v>
      </c>
      <c r="Q4115" s="9">
        <v>0</v>
      </c>
      <c r="R4115" s="2"/>
    </row>
    <row r="4116" spans="1:18" x14ac:dyDescent="0.25">
      <c r="A4116" s="2" t="s">
        <v>17340</v>
      </c>
      <c r="B4116" s="6">
        <v>46174</v>
      </c>
      <c r="C4116" s="8">
        <v>46184</v>
      </c>
      <c r="D4116" s="2" t="s">
        <v>7433</v>
      </c>
      <c r="E4116" s="2" t="s">
        <v>16959</v>
      </c>
      <c r="F4116" s="2" t="s">
        <v>15300</v>
      </c>
      <c r="G4116" s="2" t="s">
        <v>17341</v>
      </c>
      <c r="H4116" s="2" t="s">
        <v>76</v>
      </c>
      <c r="I4116" s="9">
        <v>243378640</v>
      </c>
      <c r="J4116" s="7">
        <v>6.2500000000000001E-5</v>
      </c>
      <c r="K4116" s="9">
        <v>15211.16</v>
      </c>
      <c r="L4116" s="14">
        <v>0</v>
      </c>
      <c r="M4116" s="2" t="s">
        <v>71</v>
      </c>
      <c r="N4116" s="2" t="s">
        <v>16961</v>
      </c>
      <c r="O4116" s="2" t="s">
        <v>8376</v>
      </c>
      <c r="P4116" s="9">
        <v>0</v>
      </c>
      <c r="Q4116" s="9">
        <v>0</v>
      </c>
      <c r="R4116" s="2"/>
    </row>
    <row r="4117" spans="1:18" x14ac:dyDescent="0.25">
      <c r="A4117" s="2" t="s">
        <v>17342</v>
      </c>
      <c r="B4117" s="6">
        <v>46174</v>
      </c>
      <c r="C4117" s="8">
        <v>46185</v>
      </c>
      <c r="D4117" s="2" t="s">
        <v>7433</v>
      </c>
      <c r="E4117" s="2" t="s">
        <v>16959</v>
      </c>
      <c r="F4117" s="2" t="s">
        <v>15304</v>
      </c>
      <c r="G4117" s="2" t="s">
        <v>17343</v>
      </c>
      <c r="H4117" s="2" t="s">
        <v>70</v>
      </c>
      <c r="I4117" s="9">
        <v>23352.643609999999</v>
      </c>
      <c r="J4117" s="7">
        <v>0.66500000000000004</v>
      </c>
      <c r="K4117" s="9">
        <v>15529.51</v>
      </c>
      <c r="L4117" s="14">
        <v>0</v>
      </c>
      <c r="M4117" s="2" t="s">
        <v>71</v>
      </c>
      <c r="N4117" s="2" t="s">
        <v>16961</v>
      </c>
      <c r="O4117" s="2" t="s">
        <v>8381</v>
      </c>
      <c r="P4117" s="9">
        <v>0</v>
      </c>
      <c r="Q4117" s="9">
        <v>0</v>
      </c>
      <c r="R4117" s="2"/>
    </row>
    <row r="4118" spans="1:18" x14ac:dyDescent="0.25">
      <c r="A4118" s="2" t="s">
        <v>17344</v>
      </c>
      <c r="B4118" s="6">
        <v>46174</v>
      </c>
      <c r="C4118" s="8">
        <v>46186</v>
      </c>
      <c r="D4118" s="2" t="s">
        <v>7433</v>
      </c>
      <c r="E4118" s="2" t="s">
        <v>16959</v>
      </c>
      <c r="F4118" s="2" t="s">
        <v>15308</v>
      </c>
      <c r="G4118" s="2" t="s">
        <v>17345</v>
      </c>
      <c r="H4118" s="2" t="s">
        <v>39</v>
      </c>
      <c r="I4118" s="9">
        <v>15847.851000000001</v>
      </c>
      <c r="J4118" s="7">
        <v>1</v>
      </c>
      <c r="K4118" s="9">
        <v>15847.85</v>
      </c>
      <c r="L4118" s="14">
        <v>0</v>
      </c>
      <c r="M4118" s="2" t="s">
        <v>71</v>
      </c>
      <c r="N4118" s="2" t="s">
        <v>16961</v>
      </c>
      <c r="O4118" s="2" t="s">
        <v>8386</v>
      </c>
      <c r="P4118" s="9">
        <v>0</v>
      </c>
      <c r="Q4118" s="9">
        <v>0</v>
      </c>
      <c r="R4118" s="2"/>
    </row>
    <row r="4119" spans="1:18" x14ac:dyDescent="0.25">
      <c r="A4119" s="2" t="s">
        <v>17346</v>
      </c>
      <c r="B4119" s="6">
        <v>46174</v>
      </c>
      <c r="C4119" s="8">
        <v>46187</v>
      </c>
      <c r="D4119" s="2" t="s">
        <v>7433</v>
      </c>
      <c r="E4119" s="2" t="s">
        <v>16959</v>
      </c>
      <c r="F4119" s="2" t="s">
        <v>15312</v>
      </c>
      <c r="G4119" s="2" t="s">
        <v>17347</v>
      </c>
      <c r="H4119" s="2" t="s">
        <v>76</v>
      </c>
      <c r="I4119" s="9">
        <v>258630400</v>
      </c>
      <c r="J4119" s="7">
        <v>6.2500000000000001E-5</v>
      </c>
      <c r="K4119" s="9">
        <v>16164.4</v>
      </c>
      <c r="L4119" s="14">
        <v>0</v>
      </c>
      <c r="M4119" s="2" t="s">
        <v>71</v>
      </c>
      <c r="N4119" s="2" t="s">
        <v>16961</v>
      </c>
      <c r="O4119" s="2" t="s">
        <v>8391</v>
      </c>
      <c r="P4119" s="9">
        <v>0</v>
      </c>
      <c r="Q4119" s="9">
        <v>0</v>
      </c>
      <c r="R4119" s="2"/>
    </row>
    <row r="4120" spans="1:18" x14ac:dyDescent="0.25">
      <c r="A4120" s="2" t="s">
        <v>17348</v>
      </c>
      <c r="B4120" s="6">
        <v>46174</v>
      </c>
      <c r="C4120" s="8">
        <v>46188</v>
      </c>
      <c r="D4120" s="2" t="s">
        <v>7433</v>
      </c>
      <c r="E4120" s="2" t="s">
        <v>16959</v>
      </c>
      <c r="F4120" s="2" t="s">
        <v>15316</v>
      </c>
      <c r="G4120" s="2" t="s">
        <v>17349</v>
      </c>
      <c r="H4120" s="2" t="s">
        <v>70</v>
      </c>
      <c r="I4120" s="9">
        <v>24786.079699000002</v>
      </c>
      <c r="J4120" s="7">
        <v>0.66500000000000004</v>
      </c>
      <c r="K4120" s="9">
        <v>16482.740000000002</v>
      </c>
      <c r="L4120" s="14">
        <v>0</v>
      </c>
      <c r="M4120" s="2" t="s">
        <v>71</v>
      </c>
      <c r="N4120" s="2" t="s">
        <v>16961</v>
      </c>
      <c r="O4120" s="2" t="s">
        <v>8396</v>
      </c>
      <c r="P4120" s="9">
        <v>0</v>
      </c>
      <c r="Q4120" s="9">
        <v>0</v>
      </c>
      <c r="R4120" s="2"/>
    </row>
    <row r="4121" spans="1:18" x14ac:dyDescent="0.25">
      <c r="A4121" s="2" t="s">
        <v>17350</v>
      </c>
      <c r="B4121" s="6">
        <v>46174</v>
      </c>
      <c r="C4121" s="8">
        <v>46189</v>
      </c>
      <c r="D4121" s="2" t="s">
        <v>7433</v>
      </c>
      <c r="E4121" s="2" t="s">
        <v>16959</v>
      </c>
      <c r="F4121" s="2" t="s">
        <v>15320</v>
      </c>
      <c r="G4121" s="2" t="s">
        <v>17351</v>
      </c>
      <c r="H4121" s="2" t="s">
        <v>39</v>
      </c>
      <c r="I4121" s="9">
        <v>16801.074499999999</v>
      </c>
      <c r="J4121" s="7">
        <v>1</v>
      </c>
      <c r="K4121" s="9">
        <v>16801.07</v>
      </c>
      <c r="L4121" s="14">
        <v>0</v>
      </c>
      <c r="M4121" s="2" t="s">
        <v>71</v>
      </c>
      <c r="N4121" s="2" t="s">
        <v>16961</v>
      </c>
      <c r="O4121" s="2" t="s">
        <v>8401</v>
      </c>
      <c r="P4121" s="9">
        <v>0</v>
      </c>
      <c r="Q4121" s="9">
        <v>0</v>
      </c>
      <c r="R4121" s="2"/>
    </row>
    <row r="4122" spans="1:18" x14ac:dyDescent="0.25">
      <c r="A4122" s="2" t="s">
        <v>17352</v>
      </c>
      <c r="B4122" s="6">
        <v>46174</v>
      </c>
      <c r="C4122" s="8">
        <v>46190</v>
      </c>
      <c r="D4122" s="2" t="s">
        <v>7433</v>
      </c>
      <c r="E4122" s="2" t="s">
        <v>16959</v>
      </c>
      <c r="F4122" s="2" t="s">
        <v>15324</v>
      </c>
      <c r="G4122" s="2" t="s">
        <v>17353</v>
      </c>
      <c r="H4122" s="2" t="s">
        <v>76</v>
      </c>
      <c r="I4122" s="9">
        <v>273910680</v>
      </c>
      <c r="J4122" s="7">
        <v>6.2500000000000001E-5</v>
      </c>
      <c r="K4122" s="9">
        <v>17119.419999999998</v>
      </c>
      <c r="L4122" s="14">
        <v>0</v>
      </c>
      <c r="M4122" s="2" t="s">
        <v>71</v>
      </c>
      <c r="N4122" s="2" t="s">
        <v>16961</v>
      </c>
      <c r="O4122" s="2" t="s">
        <v>8406</v>
      </c>
      <c r="P4122" s="9">
        <v>0</v>
      </c>
      <c r="Q4122" s="9">
        <v>0</v>
      </c>
      <c r="R4122" s="2"/>
    </row>
    <row r="4123" spans="1:18" x14ac:dyDescent="0.25">
      <c r="A4123" s="2" t="s">
        <v>17354</v>
      </c>
      <c r="B4123" s="6">
        <v>46174</v>
      </c>
      <c r="C4123" s="8">
        <v>46191</v>
      </c>
      <c r="D4123" s="2" t="s">
        <v>7433</v>
      </c>
      <c r="E4123" s="2" t="s">
        <v>16959</v>
      </c>
      <c r="F4123" s="2" t="s">
        <v>15328</v>
      </c>
      <c r="G4123" s="2" t="s">
        <v>17355</v>
      </c>
      <c r="H4123" s="2" t="s">
        <v>70</v>
      </c>
      <c r="I4123" s="9">
        <v>26222.178948000001</v>
      </c>
      <c r="J4123" s="7">
        <v>0.66500000000000004</v>
      </c>
      <c r="K4123" s="9">
        <v>17437.75</v>
      </c>
      <c r="L4123" s="14">
        <v>0</v>
      </c>
      <c r="M4123" s="2" t="s">
        <v>71</v>
      </c>
      <c r="N4123" s="2" t="s">
        <v>16961</v>
      </c>
      <c r="O4123" s="2" t="s">
        <v>8411</v>
      </c>
      <c r="P4123" s="9">
        <v>0</v>
      </c>
      <c r="Q4123" s="9">
        <v>0</v>
      </c>
      <c r="R4123" s="2"/>
    </row>
    <row r="4124" spans="1:18" x14ac:dyDescent="0.25">
      <c r="A4124" s="2" t="s">
        <v>17356</v>
      </c>
      <c r="B4124" s="6">
        <v>46174</v>
      </c>
      <c r="C4124" s="8">
        <v>46192</v>
      </c>
      <c r="D4124" s="2" t="s">
        <v>7433</v>
      </c>
      <c r="E4124" s="2" t="s">
        <v>16959</v>
      </c>
      <c r="F4124" s="2" t="s">
        <v>15332</v>
      </c>
      <c r="G4124" s="2" t="s">
        <v>17357</v>
      </c>
      <c r="H4124" s="2" t="s">
        <v>39</v>
      </c>
      <c r="I4124" s="9">
        <v>17756.092000000001</v>
      </c>
      <c r="J4124" s="7">
        <v>1</v>
      </c>
      <c r="K4124" s="9">
        <v>17756.09</v>
      </c>
      <c r="L4124" s="14">
        <v>0</v>
      </c>
      <c r="M4124" s="2" t="s">
        <v>71</v>
      </c>
      <c r="N4124" s="2" t="s">
        <v>16961</v>
      </c>
      <c r="O4124" s="2" t="s">
        <v>8416</v>
      </c>
      <c r="P4124" s="9">
        <v>0</v>
      </c>
      <c r="Q4124" s="9">
        <v>0</v>
      </c>
      <c r="R4124" s="2"/>
    </row>
    <row r="4125" spans="1:18" x14ac:dyDescent="0.25">
      <c r="A4125" s="2" t="s">
        <v>17358</v>
      </c>
      <c r="B4125" s="6">
        <v>46174</v>
      </c>
      <c r="C4125" s="8">
        <v>46193</v>
      </c>
      <c r="D4125" s="2" t="s">
        <v>7433</v>
      </c>
      <c r="E4125" s="2" t="s">
        <v>16959</v>
      </c>
      <c r="F4125" s="2" t="s">
        <v>15336</v>
      </c>
      <c r="G4125" s="2" t="s">
        <v>17359</v>
      </c>
      <c r="H4125" s="2" t="s">
        <v>76</v>
      </c>
      <c r="I4125" s="9">
        <v>289190960</v>
      </c>
      <c r="J4125" s="7">
        <v>6.2500000000000001E-5</v>
      </c>
      <c r="K4125" s="9">
        <v>18074.43</v>
      </c>
      <c r="L4125" s="14">
        <v>0</v>
      </c>
      <c r="M4125" s="2" t="s">
        <v>71</v>
      </c>
      <c r="N4125" s="2" t="s">
        <v>16961</v>
      </c>
      <c r="O4125" s="2" t="s">
        <v>8421</v>
      </c>
      <c r="P4125" s="9">
        <v>0</v>
      </c>
      <c r="Q4125" s="9">
        <v>0</v>
      </c>
      <c r="R4125" s="2"/>
    </row>
    <row r="4126" spans="1:18" x14ac:dyDescent="0.25">
      <c r="A4126" s="2" t="s">
        <v>17360</v>
      </c>
      <c r="B4126" s="6">
        <v>46174</v>
      </c>
      <c r="C4126" s="8">
        <v>46194</v>
      </c>
      <c r="D4126" s="2" t="s">
        <v>7433</v>
      </c>
      <c r="E4126" s="2" t="s">
        <v>16959</v>
      </c>
      <c r="F4126" s="2" t="s">
        <v>15300</v>
      </c>
      <c r="G4126" s="2" t="s">
        <v>17361</v>
      </c>
      <c r="H4126" s="2" t="s">
        <v>70</v>
      </c>
      <c r="I4126" s="9">
        <v>27658.295488</v>
      </c>
      <c r="J4126" s="7">
        <v>0.66500000000000004</v>
      </c>
      <c r="K4126" s="9">
        <v>18392.77</v>
      </c>
      <c r="L4126" s="14">
        <v>0</v>
      </c>
      <c r="M4126" s="2" t="s">
        <v>71</v>
      </c>
      <c r="N4126" s="2" t="s">
        <v>16961</v>
      </c>
      <c r="O4126" s="2" t="s">
        <v>8426</v>
      </c>
      <c r="P4126" s="9">
        <v>0</v>
      </c>
      <c r="Q4126" s="9">
        <v>0</v>
      </c>
      <c r="R4126" s="2"/>
    </row>
    <row r="4127" spans="1:18" x14ac:dyDescent="0.25">
      <c r="A4127" s="2" t="s">
        <v>17362</v>
      </c>
      <c r="B4127" s="6">
        <v>46174</v>
      </c>
      <c r="C4127" s="8">
        <v>46195</v>
      </c>
      <c r="D4127" s="2" t="s">
        <v>7433</v>
      </c>
      <c r="E4127" s="2" t="s">
        <v>16959</v>
      </c>
      <c r="F4127" s="2" t="s">
        <v>15304</v>
      </c>
      <c r="G4127" s="2" t="s">
        <v>17363</v>
      </c>
      <c r="H4127" s="2" t="s">
        <v>39</v>
      </c>
      <c r="I4127" s="9">
        <v>18711.109499999999</v>
      </c>
      <c r="J4127" s="7">
        <v>1</v>
      </c>
      <c r="K4127" s="9">
        <v>18711.11</v>
      </c>
      <c r="L4127" s="14">
        <v>0</v>
      </c>
      <c r="M4127" s="2" t="s">
        <v>71</v>
      </c>
      <c r="N4127" s="2" t="s">
        <v>16961</v>
      </c>
      <c r="O4127" s="2" t="s">
        <v>8431</v>
      </c>
      <c r="P4127" s="9">
        <v>0</v>
      </c>
      <c r="Q4127" s="9">
        <v>0</v>
      </c>
      <c r="R4127" s="2"/>
    </row>
    <row r="4128" spans="1:18" x14ac:dyDescent="0.25">
      <c r="A4128" s="2" t="s">
        <v>17364</v>
      </c>
      <c r="B4128" s="6">
        <v>46174</v>
      </c>
      <c r="C4128" s="8">
        <v>46196</v>
      </c>
      <c r="D4128" s="2" t="s">
        <v>7433</v>
      </c>
      <c r="E4128" s="2" t="s">
        <v>16959</v>
      </c>
      <c r="F4128" s="2" t="s">
        <v>15308</v>
      </c>
      <c r="G4128" s="2" t="s">
        <v>17365</v>
      </c>
      <c r="H4128" s="2" t="s">
        <v>76</v>
      </c>
      <c r="I4128" s="9">
        <v>304471056</v>
      </c>
      <c r="J4128" s="7">
        <v>6.2500000000000001E-5</v>
      </c>
      <c r="K4128" s="9">
        <v>19029.439999999999</v>
      </c>
      <c r="L4128" s="14">
        <v>0</v>
      </c>
      <c r="M4128" s="2" t="s">
        <v>71</v>
      </c>
      <c r="N4128" s="2" t="s">
        <v>16961</v>
      </c>
      <c r="O4128" s="2" t="s">
        <v>8436</v>
      </c>
      <c r="P4128" s="9">
        <v>0</v>
      </c>
      <c r="Q4128" s="9">
        <v>0</v>
      </c>
      <c r="R4128" s="2"/>
    </row>
    <row r="4129" spans="1:18" x14ac:dyDescent="0.25">
      <c r="A4129" s="2" t="s">
        <v>17366</v>
      </c>
      <c r="B4129" s="6">
        <v>46174</v>
      </c>
      <c r="C4129" s="8">
        <v>46197</v>
      </c>
      <c r="D4129" s="2" t="s">
        <v>7433</v>
      </c>
      <c r="E4129" s="2" t="s">
        <v>16959</v>
      </c>
      <c r="F4129" s="2" t="s">
        <v>15312</v>
      </c>
      <c r="G4129" s="2" t="s">
        <v>17367</v>
      </c>
      <c r="H4129" s="2" t="s">
        <v>70</v>
      </c>
      <c r="I4129" s="9">
        <v>29094.41203</v>
      </c>
      <c r="J4129" s="7">
        <v>0.66500000000000004</v>
      </c>
      <c r="K4129" s="9">
        <v>19347.78</v>
      </c>
      <c r="L4129" s="14">
        <v>0</v>
      </c>
      <c r="M4129" s="2" t="s">
        <v>71</v>
      </c>
      <c r="N4129" s="2" t="s">
        <v>16961</v>
      </c>
      <c r="O4129" s="2" t="s">
        <v>8441</v>
      </c>
      <c r="P4129" s="9">
        <v>0</v>
      </c>
      <c r="Q4129" s="9">
        <v>0</v>
      </c>
      <c r="R4129" s="2"/>
    </row>
    <row r="4130" spans="1:18" x14ac:dyDescent="0.25">
      <c r="A4130" s="2" t="s">
        <v>17368</v>
      </c>
      <c r="B4130" s="6">
        <v>46174</v>
      </c>
      <c r="C4130" s="8">
        <v>46198</v>
      </c>
      <c r="D4130" s="2" t="s">
        <v>7433</v>
      </c>
      <c r="E4130" s="2" t="s">
        <v>16959</v>
      </c>
      <c r="F4130" s="2" t="s">
        <v>15316</v>
      </c>
      <c r="G4130" s="2" t="s">
        <v>17369</v>
      </c>
      <c r="H4130" s="2" t="s">
        <v>39</v>
      </c>
      <c r="I4130" s="9">
        <v>-19666.127</v>
      </c>
      <c r="J4130" s="7">
        <v>1</v>
      </c>
      <c r="K4130" s="9">
        <v>-19666.13</v>
      </c>
      <c r="L4130" s="14">
        <v>0</v>
      </c>
      <c r="M4130" s="2" t="s">
        <v>71</v>
      </c>
      <c r="N4130" s="2" t="s">
        <v>16961</v>
      </c>
      <c r="O4130" s="2" t="s">
        <v>8446</v>
      </c>
      <c r="P4130" s="9">
        <v>0</v>
      </c>
      <c r="Q4130" s="9">
        <v>0</v>
      </c>
      <c r="R4130" s="2"/>
    </row>
    <row r="4131" spans="1:18" x14ac:dyDescent="0.25">
      <c r="A4131" s="2" t="s">
        <v>17370</v>
      </c>
      <c r="B4131" s="6">
        <v>46174</v>
      </c>
      <c r="C4131" s="8">
        <v>46199</v>
      </c>
      <c r="D4131" s="2" t="s">
        <v>7433</v>
      </c>
      <c r="E4131" s="2" t="s">
        <v>16959</v>
      </c>
      <c r="F4131" s="2" t="s">
        <v>15320</v>
      </c>
      <c r="G4131" s="2" t="s">
        <v>17371</v>
      </c>
      <c r="H4131" s="2" t="s">
        <v>76</v>
      </c>
      <c r="I4131" s="9">
        <v>319751336</v>
      </c>
      <c r="J4131" s="7">
        <v>6.2500000000000001E-5</v>
      </c>
      <c r="K4131" s="9">
        <v>19984.46</v>
      </c>
      <c r="L4131" s="14">
        <v>0</v>
      </c>
      <c r="M4131" s="2" t="s">
        <v>71</v>
      </c>
      <c r="N4131" s="2" t="s">
        <v>16961</v>
      </c>
      <c r="O4131" s="2" t="s">
        <v>8449</v>
      </c>
      <c r="P4131" s="9">
        <v>0</v>
      </c>
      <c r="Q4131" s="9">
        <v>0</v>
      </c>
      <c r="R4131" s="2"/>
    </row>
    <row r="4132" spans="1:18" x14ac:dyDescent="0.25">
      <c r="A4132" s="2" t="s">
        <v>17372</v>
      </c>
      <c r="B4132" s="6">
        <v>46174</v>
      </c>
      <c r="C4132" s="8">
        <v>46200</v>
      </c>
      <c r="D4132" s="2" t="s">
        <v>7433</v>
      </c>
      <c r="E4132" s="2" t="s">
        <v>16959</v>
      </c>
      <c r="F4132" s="2" t="s">
        <v>15324</v>
      </c>
      <c r="G4132" s="2" t="s">
        <v>17373</v>
      </c>
      <c r="H4132" s="2" t="s">
        <v>70</v>
      </c>
      <c r="I4132" s="9">
        <v>30530.528570999999</v>
      </c>
      <c r="J4132" s="7">
        <v>0.66500000000000004</v>
      </c>
      <c r="K4132" s="9">
        <v>20302.8</v>
      </c>
      <c r="L4132" s="14">
        <v>0</v>
      </c>
      <c r="M4132" s="2" t="s">
        <v>71</v>
      </c>
      <c r="N4132" s="2" t="s">
        <v>16961</v>
      </c>
      <c r="O4132" s="2" t="s">
        <v>8454</v>
      </c>
      <c r="P4132" s="9">
        <v>0</v>
      </c>
      <c r="Q4132" s="9">
        <v>0</v>
      </c>
      <c r="R4132" s="2"/>
    </row>
    <row r="4133" spans="1:18" x14ac:dyDescent="0.25">
      <c r="A4133" s="2" t="s">
        <v>17374</v>
      </c>
      <c r="B4133" s="6">
        <v>46174</v>
      </c>
      <c r="C4133" s="8">
        <v>46201</v>
      </c>
      <c r="D4133" s="2" t="s">
        <v>7433</v>
      </c>
      <c r="E4133" s="2" t="s">
        <v>16959</v>
      </c>
      <c r="F4133" s="2" t="s">
        <v>15328</v>
      </c>
      <c r="G4133" s="2" t="s">
        <v>17375</v>
      </c>
      <c r="H4133" s="2" t="s">
        <v>39</v>
      </c>
      <c r="I4133" s="9">
        <v>20621.133000000002</v>
      </c>
      <c r="J4133" s="7">
        <v>1</v>
      </c>
      <c r="K4133" s="9">
        <v>20621.13</v>
      </c>
      <c r="L4133" s="14">
        <v>0</v>
      </c>
      <c r="M4133" s="2" t="s">
        <v>71</v>
      </c>
      <c r="N4133" s="2" t="s">
        <v>16961</v>
      </c>
      <c r="O4133" s="2" t="s">
        <v>8459</v>
      </c>
      <c r="P4133" s="9">
        <v>0</v>
      </c>
      <c r="Q4133" s="9">
        <v>0</v>
      </c>
      <c r="R4133" s="2"/>
    </row>
    <row r="4134" spans="1:18" x14ac:dyDescent="0.25">
      <c r="A4134" s="2" t="s">
        <v>17376</v>
      </c>
      <c r="B4134" s="6">
        <v>46174</v>
      </c>
      <c r="C4134" s="8">
        <v>46202</v>
      </c>
      <c r="D4134" s="2" t="s">
        <v>7433</v>
      </c>
      <c r="E4134" s="2" t="s">
        <v>16959</v>
      </c>
      <c r="F4134" s="2" t="s">
        <v>15332</v>
      </c>
      <c r="G4134" s="2" t="s">
        <v>17377</v>
      </c>
      <c r="H4134" s="2" t="s">
        <v>76</v>
      </c>
      <c r="I4134" s="9">
        <v>335031616</v>
      </c>
      <c r="J4134" s="7">
        <v>6.2500000000000001E-5</v>
      </c>
      <c r="K4134" s="9">
        <v>20939.48</v>
      </c>
      <c r="L4134" s="14">
        <v>0</v>
      </c>
      <c r="M4134" s="2" t="s">
        <v>71</v>
      </c>
      <c r="N4134" s="2" t="s">
        <v>16961</v>
      </c>
      <c r="O4134" s="2" t="s">
        <v>8464</v>
      </c>
      <c r="P4134" s="9">
        <v>0</v>
      </c>
      <c r="Q4134" s="9">
        <v>0</v>
      </c>
      <c r="R4134" s="2"/>
    </row>
    <row r="4135" spans="1:18" x14ac:dyDescent="0.25">
      <c r="A4135" s="2" t="s">
        <v>17378</v>
      </c>
      <c r="B4135" s="6">
        <v>46174</v>
      </c>
      <c r="C4135" s="8">
        <v>46203</v>
      </c>
      <c r="D4135" s="2" t="s">
        <v>7433</v>
      </c>
      <c r="E4135" s="2" t="s">
        <v>16959</v>
      </c>
      <c r="F4135" s="2" t="s">
        <v>15336</v>
      </c>
      <c r="G4135" s="2" t="s">
        <v>17379</v>
      </c>
      <c r="H4135" s="2" t="s">
        <v>70</v>
      </c>
      <c r="I4135" s="9">
        <v>31966.645112999999</v>
      </c>
      <c r="J4135" s="7">
        <v>0.66500000000000004</v>
      </c>
      <c r="K4135" s="9">
        <v>21257.82</v>
      </c>
      <c r="L4135" s="14">
        <v>0</v>
      </c>
      <c r="M4135" s="2" t="s">
        <v>71</v>
      </c>
      <c r="N4135" s="2" t="s">
        <v>16961</v>
      </c>
      <c r="O4135" s="2" t="s">
        <v>8469</v>
      </c>
      <c r="P4135" s="9">
        <v>0</v>
      </c>
      <c r="Q4135" s="9">
        <v>0</v>
      </c>
      <c r="R4135" s="2"/>
    </row>
    <row r="4136" spans="1:18" x14ac:dyDescent="0.25">
      <c r="A4136" s="2" t="s">
        <v>17380</v>
      </c>
      <c r="B4136" s="6">
        <v>46174</v>
      </c>
      <c r="C4136" s="8">
        <v>46174</v>
      </c>
      <c r="D4136" s="2" t="s">
        <v>7433</v>
      </c>
      <c r="E4136" s="2" t="s">
        <v>16959</v>
      </c>
      <c r="F4136" s="2" t="s">
        <v>15300</v>
      </c>
      <c r="G4136" s="2" t="s">
        <v>17381</v>
      </c>
      <c r="H4136" s="2" t="s">
        <v>39</v>
      </c>
      <c r="I4136" s="9">
        <v>21576.1505</v>
      </c>
      <c r="J4136" s="7">
        <v>1</v>
      </c>
      <c r="K4136" s="9">
        <v>21576.15</v>
      </c>
      <c r="L4136" s="14">
        <v>0</v>
      </c>
      <c r="M4136" s="2" t="s">
        <v>71</v>
      </c>
      <c r="N4136" s="2" t="s">
        <v>16961</v>
      </c>
      <c r="O4136" s="2" t="s">
        <v>8474</v>
      </c>
      <c r="P4136" s="9">
        <v>0</v>
      </c>
      <c r="Q4136" s="9">
        <v>0</v>
      </c>
      <c r="R4136" s="2"/>
    </row>
    <row r="4137" spans="1:18" x14ac:dyDescent="0.25">
      <c r="A4137" s="2" t="s">
        <v>17382</v>
      </c>
      <c r="B4137" s="6">
        <v>46174</v>
      </c>
      <c r="C4137" s="8">
        <v>46175</v>
      </c>
      <c r="D4137" s="2" t="s">
        <v>7433</v>
      </c>
      <c r="E4137" s="2" t="s">
        <v>16959</v>
      </c>
      <c r="F4137" s="2" t="s">
        <v>15304</v>
      </c>
      <c r="G4137" s="2" t="s">
        <v>17383</v>
      </c>
      <c r="H4137" s="2" t="s">
        <v>76</v>
      </c>
      <c r="I4137" s="9">
        <v>350311896</v>
      </c>
      <c r="J4137" s="7">
        <v>6.2500000000000001E-5</v>
      </c>
      <c r="K4137" s="9">
        <v>21894.49</v>
      </c>
      <c r="L4137" s="14">
        <v>0</v>
      </c>
      <c r="M4137" s="2" t="s">
        <v>71</v>
      </c>
      <c r="N4137" s="2" t="s">
        <v>16961</v>
      </c>
      <c r="O4137" s="2" t="s">
        <v>8479</v>
      </c>
      <c r="P4137" s="9">
        <v>0</v>
      </c>
      <c r="Q4137" s="9">
        <v>0</v>
      </c>
      <c r="R4137" s="2"/>
    </row>
    <row r="4138" spans="1:18" x14ac:dyDescent="0.25">
      <c r="A4138" s="2" t="s">
        <v>17384</v>
      </c>
      <c r="B4138" s="6">
        <v>46174</v>
      </c>
      <c r="C4138" s="8">
        <v>46176</v>
      </c>
      <c r="D4138" s="2" t="s">
        <v>7433</v>
      </c>
      <c r="E4138" s="2" t="s">
        <v>16959</v>
      </c>
      <c r="F4138" s="2" t="s">
        <v>15308</v>
      </c>
      <c r="G4138" s="2" t="s">
        <v>17385</v>
      </c>
      <c r="H4138" s="2" t="s">
        <v>70</v>
      </c>
      <c r="I4138" s="9">
        <v>33402.744360999997</v>
      </c>
      <c r="J4138" s="7">
        <v>0.66500000000000004</v>
      </c>
      <c r="K4138" s="9">
        <v>22212.82</v>
      </c>
      <c r="L4138" s="14">
        <v>0</v>
      </c>
      <c r="M4138" s="2" t="s">
        <v>71</v>
      </c>
      <c r="N4138" s="2" t="s">
        <v>16961</v>
      </c>
      <c r="O4138" s="2" t="s">
        <v>8484</v>
      </c>
      <c r="P4138" s="9">
        <v>0</v>
      </c>
      <c r="Q4138" s="9">
        <v>0</v>
      </c>
      <c r="R4138" s="2"/>
    </row>
    <row r="4139" spans="1:18" x14ac:dyDescent="0.25">
      <c r="A4139" s="2" t="s">
        <v>17386</v>
      </c>
      <c r="B4139" s="6">
        <v>46174</v>
      </c>
      <c r="C4139" s="8">
        <v>46177</v>
      </c>
      <c r="D4139" s="2" t="s">
        <v>7433</v>
      </c>
      <c r="E4139" s="2" t="s">
        <v>16959</v>
      </c>
      <c r="F4139" s="2" t="s">
        <v>15312</v>
      </c>
      <c r="G4139" s="2" t="s">
        <v>17387</v>
      </c>
      <c r="H4139" s="2" t="s">
        <v>39</v>
      </c>
      <c r="I4139" s="9">
        <v>22531.168000000001</v>
      </c>
      <c r="J4139" s="7">
        <v>1</v>
      </c>
      <c r="K4139" s="9">
        <v>22531.17</v>
      </c>
      <c r="L4139" s="14">
        <v>0</v>
      </c>
      <c r="M4139" s="2" t="s">
        <v>71</v>
      </c>
      <c r="N4139" s="2" t="s">
        <v>16961</v>
      </c>
      <c r="O4139" s="2" t="s">
        <v>8489</v>
      </c>
      <c r="P4139" s="9">
        <v>0</v>
      </c>
      <c r="Q4139" s="9">
        <v>0</v>
      </c>
      <c r="R4139" s="2"/>
    </row>
    <row r="4140" spans="1:18" x14ac:dyDescent="0.25">
      <c r="A4140" s="2" t="s">
        <v>17388</v>
      </c>
      <c r="B4140" s="6">
        <v>46174</v>
      </c>
      <c r="C4140" s="8">
        <v>46178</v>
      </c>
      <c r="D4140" s="2" t="s">
        <v>7433</v>
      </c>
      <c r="E4140" s="2" t="s">
        <v>16959</v>
      </c>
      <c r="F4140" s="2" t="s">
        <v>15316</v>
      </c>
      <c r="G4140" s="2" t="s">
        <v>17389</v>
      </c>
      <c r="H4140" s="2" t="s">
        <v>76</v>
      </c>
      <c r="I4140" s="9">
        <v>365592176</v>
      </c>
      <c r="J4140" s="7">
        <v>6.2500000000000001E-5</v>
      </c>
      <c r="K4140" s="9">
        <v>22849.51</v>
      </c>
      <c r="L4140" s="14">
        <v>0</v>
      </c>
      <c r="M4140" s="2" t="s">
        <v>71</v>
      </c>
      <c r="N4140" s="2" t="s">
        <v>16961</v>
      </c>
      <c r="O4140" s="2" t="s">
        <v>8494</v>
      </c>
      <c r="P4140" s="9">
        <v>0</v>
      </c>
      <c r="Q4140" s="9">
        <v>0</v>
      </c>
      <c r="R4140" s="2"/>
    </row>
    <row r="4141" spans="1:18" x14ac:dyDescent="0.25">
      <c r="A4141" s="2" t="s">
        <v>17390</v>
      </c>
      <c r="B4141" s="6">
        <v>46174</v>
      </c>
      <c r="C4141" s="8">
        <v>46179</v>
      </c>
      <c r="D4141" s="2" t="s">
        <v>7433</v>
      </c>
      <c r="E4141" s="2" t="s">
        <v>16959</v>
      </c>
      <c r="F4141" s="2" t="s">
        <v>15320</v>
      </c>
      <c r="G4141" s="2" t="s">
        <v>17391</v>
      </c>
      <c r="H4141" s="2" t="s">
        <v>70</v>
      </c>
      <c r="I4141" s="9">
        <v>34838.860902</v>
      </c>
      <c r="J4141" s="7">
        <v>0.66500000000000004</v>
      </c>
      <c r="K4141" s="9">
        <v>23167.84</v>
      </c>
      <c r="L4141" s="14">
        <v>0</v>
      </c>
      <c r="M4141" s="2" t="s">
        <v>71</v>
      </c>
      <c r="N4141" s="2" t="s">
        <v>16961</v>
      </c>
      <c r="O4141" s="2" t="s">
        <v>8499</v>
      </c>
      <c r="P4141" s="9">
        <v>0</v>
      </c>
      <c r="Q4141" s="9">
        <v>0</v>
      </c>
      <c r="R4141" s="2"/>
    </row>
    <row r="4142" spans="1:18" x14ac:dyDescent="0.25">
      <c r="A4142" s="2" t="s">
        <v>17392</v>
      </c>
      <c r="B4142" s="6">
        <v>46174</v>
      </c>
      <c r="C4142" s="8">
        <v>46180</v>
      </c>
      <c r="D4142" s="2" t="s">
        <v>7433</v>
      </c>
      <c r="E4142" s="2" t="s">
        <v>16959</v>
      </c>
      <c r="F4142" s="2" t="s">
        <v>15324</v>
      </c>
      <c r="G4142" s="2" t="s">
        <v>17393</v>
      </c>
      <c r="H4142" s="2" t="s">
        <v>39</v>
      </c>
      <c r="I4142" s="9">
        <v>23486.1855</v>
      </c>
      <c r="J4142" s="7">
        <v>1</v>
      </c>
      <c r="K4142" s="9">
        <v>23486.19</v>
      </c>
      <c r="L4142" s="14">
        <v>0</v>
      </c>
      <c r="M4142" s="2" t="s">
        <v>71</v>
      </c>
      <c r="N4142" s="2" t="s">
        <v>16961</v>
      </c>
      <c r="O4142" s="2" t="s">
        <v>8504</v>
      </c>
      <c r="P4142" s="9">
        <v>0</v>
      </c>
      <c r="Q4142" s="9">
        <v>0</v>
      </c>
      <c r="R4142" s="2"/>
    </row>
    <row r="4143" spans="1:18" x14ac:dyDescent="0.25">
      <c r="A4143" s="2" t="s">
        <v>17394</v>
      </c>
      <c r="B4143" s="6">
        <v>46174</v>
      </c>
      <c r="C4143" s="8">
        <v>46181</v>
      </c>
      <c r="D4143" s="2" t="s">
        <v>7433</v>
      </c>
      <c r="E4143" s="2" t="s">
        <v>16959</v>
      </c>
      <c r="F4143" s="2" t="s">
        <v>15328</v>
      </c>
      <c r="G4143" s="2" t="s">
        <v>17395</v>
      </c>
      <c r="H4143" s="2" t="s">
        <v>76</v>
      </c>
      <c r="I4143" s="9">
        <v>380872272</v>
      </c>
      <c r="J4143" s="7">
        <v>6.2500000000000001E-5</v>
      </c>
      <c r="K4143" s="9">
        <v>23804.52</v>
      </c>
      <c r="L4143" s="14">
        <v>0</v>
      </c>
      <c r="M4143" s="2" t="s">
        <v>71</v>
      </c>
      <c r="N4143" s="2" t="s">
        <v>16961</v>
      </c>
      <c r="O4143" s="2" t="s">
        <v>8509</v>
      </c>
      <c r="P4143" s="9">
        <v>0</v>
      </c>
      <c r="Q4143" s="9">
        <v>0</v>
      </c>
      <c r="R4143" s="2"/>
    </row>
    <row r="4144" spans="1:18" x14ac:dyDescent="0.25">
      <c r="A4144" s="2" t="s">
        <v>17396</v>
      </c>
      <c r="B4144" s="6">
        <v>46174</v>
      </c>
      <c r="C4144" s="8">
        <v>46182</v>
      </c>
      <c r="D4144" s="2" t="s">
        <v>7433</v>
      </c>
      <c r="E4144" s="2" t="s">
        <v>16959</v>
      </c>
      <c r="F4144" s="2" t="s">
        <v>15332</v>
      </c>
      <c r="G4144" s="2" t="s">
        <v>17397</v>
      </c>
      <c r="H4144" s="2" t="s">
        <v>70</v>
      </c>
      <c r="I4144" s="9">
        <v>36274.977443999996</v>
      </c>
      <c r="J4144" s="7">
        <v>0.66500000000000004</v>
      </c>
      <c r="K4144" s="9">
        <v>24122.86</v>
      </c>
      <c r="L4144" s="14">
        <v>0</v>
      </c>
      <c r="M4144" s="2" t="s">
        <v>71</v>
      </c>
      <c r="N4144" s="2" t="s">
        <v>16961</v>
      </c>
      <c r="O4144" s="2" t="s">
        <v>8514</v>
      </c>
      <c r="P4144" s="9">
        <v>0</v>
      </c>
      <c r="Q4144" s="9">
        <v>0</v>
      </c>
      <c r="R4144" s="2"/>
    </row>
    <row r="4145" spans="1:18" x14ac:dyDescent="0.25">
      <c r="A4145" s="2" t="s">
        <v>17398</v>
      </c>
      <c r="B4145" s="6">
        <v>46174</v>
      </c>
      <c r="C4145" s="8">
        <v>46183</v>
      </c>
      <c r="D4145" s="2" t="s">
        <v>7433</v>
      </c>
      <c r="E4145" s="2" t="s">
        <v>16959</v>
      </c>
      <c r="F4145" s="2" t="s">
        <v>15336</v>
      </c>
      <c r="G4145" s="2" t="s">
        <v>17399</v>
      </c>
      <c r="H4145" s="2" t="s">
        <v>39</v>
      </c>
      <c r="I4145" s="9">
        <v>24441.203000000001</v>
      </c>
      <c r="J4145" s="7">
        <v>1</v>
      </c>
      <c r="K4145" s="9">
        <v>24441.200000000001</v>
      </c>
      <c r="L4145" s="14">
        <v>0</v>
      </c>
      <c r="M4145" s="2" t="s">
        <v>71</v>
      </c>
      <c r="N4145" s="2" t="s">
        <v>16961</v>
      </c>
      <c r="O4145" s="2" t="s">
        <v>8519</v>
      </c>
      <c r="P4145" s="9">
        <v>0</v>
      </c>
      <c r="Q4145" s="9">
        <v>0</v>
      </c>
      <c r="R4145" s="2"/>
    </row>
    <row r="4146" spans="1:18" x14ac:dyDescent="0.25">
      <c r="A4146" s="2" t="s">
        <v>17400</v>
      </c>
      <c r="B4146" s="6">
        <v>46174</v>
      </c>
      <c r="C4146" s="8">
        <v>46184</v>
      </c>
      <c r="D4146" s="2" t="s">
        <v>7433</v>
      </c>
      <c r="E4146" s="2" t="s">
        <v>16959</v>
      </c>
      <c r="F4146" s="2" t="s">
        <v>15300</v>
      </c>
      <c r="G4146" s="2" t="s">
        <v>17401</v>
      </c>
      <c r="H4146" s="2" t="s">
        <v>76</v>
      </c>
      <c r="I4146" s="9">
        <v>396152552</v>
      </c>
      <c r="J4146" s="7">
        <v>6.2500000000000001E-5</v>
      </c>
      <c r="K4146" s="9">
        <v>24759.53</v>
      </c>
      <c r="L4146" s="14">
        <v>0</v>
      </c>
      <c r="M4146" s="2" t="s">
        <v>71</v>
      </c>
      <c r="N4146" s="2" t="s">
        <v>16961</v>
      </c>
      <c r="O4146" s="2" t="s">
        <v>8524</v>
      </c>
      <c r="P4146" s="9">
        <v>0</v>
      </c>
      <c r="Q4146" s="9">
        <v>0</v>
      </c>
      <c r="R4146" s="2"/>
    </row>
    <row r="4147" spans="1:18" x14ac:dyDescent="0.25">
      <c r="A4147" s="2" t="s">
        <v>17402</v>
      </c>
      <c r="B4147" s="6">
        <v>46174</v>
      </c>
      <c r="C4147" s="8">
        <v>46185</v>
      </c>
      <c r="D4147" s="2" t="s">
        <v>7433</v>
      </c>
      <c r="E4147" s="2" t="s">
        <v>16959</v>
      </c>
      <c r="F4147" s="2" t="s">
        <v>15304</v>
      </c>
      <c r="G4147" s="2" t="s">
        <v>17403</v>
      </c>
      <c r="H4147" s="2" t="s">
        <v>70</v>
      </c>
      <c r="I4147" s="9">
        <v>37711.093985</v>
      </c>
      <c r="J4147" s="7">
        <v>0.66500000000000004</v>
      </c>
      <c r="K4147" s="9">
        <v>25077.88</v>
      </c>
      <c r="L4147" s="14">
        <v>0</v>
      </c>
      <c r="M4147" s="2" t="s">
        <v>71</v>
      </c>
      <c r="N4147" s="2" t="s">
        <v>16961</v>
      </c>
      <c r="O4147" s="2" t="s">
        <v>8529</v>
      </c>
      <c r="P4147" s="9">
        <v>0</v>
      </c>
      <c r="Q4147" s="9">
        <v>0</v>
      </c>
      <c r="R4147" s="2"/>
    </row>
    <row r="4148" spans="1:18" x14ac:dyDescent="0.25">
      <c r="A4148" s="2" t="s">
        <v>17404</v>
      </c>
      <c r="B4148" s="6">
        <v>46174</v>
      </c>
      <c r="C4148" s="8">
        <v>46186</v>
      </c>
      <c r="D4148" s="2" t="s">
        <v>7433</v>
      </c>
      <c r="E4148" s="2" t="s">
        <v>16959</v>
      </c>
      <c r="F4148" s="2" t="s">
        <v>15308</v>
      </c>
      <c r="G4148" s="2" t="s">
        <v>17405</v>
      </c>
      <c r="H4148" s="2" t="s">
        <v>39</v>
      </c>
      <c r="I4148" s="9">
        <v>25396.208999999999</v>
      </c>
      <c r="J4148" s="7">
        <v>1</v>
      </c>
      <c r="K4148" s="9">
        <v>25396.21</v>
      </c>
      <c r="L4148" s="14">
        <v>0</v>
      </c>
      <c r="M4148" s="2" t="s">
        <v>71</v>
      </c>
      <c r="N4148" s="2" t="s">
        <v>16961</v>
      </c>
      <c r="O4148" s="2" t="s">
        <v>8534</v>
      </c>
      <c r="P4148" s="9">
        <v>0</v>
      </c>
      <c r="Q4148" s="9">
        <v>0</v>
      </c>
      <c r="R4148" s="2"/>
    </row>
    <row r="4149" spans="1:18" x14ac:dyDescent="0.25">
      <c r="A4149" s="2" t="s">
        <v>17406</v>
      </c>
      <c r="B4149" s="6">
        <v>46174</v>
      </c>
      <c r="C4149" s="8">
        <v>46187</v>
      </c>
      <c r="D4149" s="2" t="s">
        <v>7433</v>
      </c>
      <c r="E4149" s="2" t="s">
        <v>16959</v>
      </c>
      <c r="F4149" s="2" t="s">
        <v>15312</v>
      </c>
      <c r="G4149" s="2" t="s">
        <v>17407</v>
      </c>
      <c r="H4149" s="2" t="s">
        <v>76</v>
      </c>
      <c r="I4149" s="9">
        <v>411432832</v>
      </c>
      <c r="J4149" s="7">
        <v>6.2500000000000001E-5</v>
      </c>
      <c r="K4149" s="9">
        <v>25714.55</v>
      </c>
      <c r="L4149" s="14">
        <v>0</v>
      </c>
      <c r="M4149" s="2" t="s">
        <v>71</v>
      </c>
      <c r="N4149" s="2" t="s">
        <v>16961</v>
      </c>
      <c r="O4149" s="2" t="s">
        <v>8539</v>
      </c>
      <c r="P4149" s="9">
        <v>0</v>
      </c>
      <c r="Q4149" s="9">
        <v>0</v>
      </c>
      <c r="R4149" s="2"/>
    </row>
    <row r="4150" spans="1:18" x14ac:dyDescent="0.25">
      <c r="A4150" s="2" t="s">
        <v>17408</v>
      </c>
      <c r="B4150" s="6">
        <v>46174</v>
      </c>
      <c r="C4150" s="8">
        <v>46188</v>
      </c>
      <c r="D4150" s="2" t="s">
        <v>7433</v>
      </c>
      <c r="E4150" s="2" t="s">
        <v>16959</v>
      </c>
      <c r="F4150" s="2" t="s">
        <v>15316</v>
      </c>
      <c r="G4150" s="2" t="s">
        <v>17409</v>
      </c>
      <c r="H4150" s="2" t="s">
        <v>70</v>
      </c>
      <c r="I4150" s="9">
        <v>39147.210527000003</v>
      </c>
      <c r="J4150" s="7">
        <v>0.66500000000000004</v>
      </c>
      <c r="K4150" s="9">
        <v>26032.89</v>
      </c>
      <c r="L4150" s="14">
        <v>0</v>
      </c>
      <c r="M4150" s="2" t="s">
        <v>71</v>
      </c>
      <c r="N4150" s="2" t="s">
        <v>16961</v>
      </c>
      <c r="O4150" s="2" t="s">
        <v>8544</v>
      </c>
      <c r="P4150" s="9">
        <v>0</v>
      </c>
      <c r="Q4150" s="9">
        <v>0</v>
      </c>
      <c r="R4150" s="2"/>
    </row>
    <row r="4151" spans="1:18" x14ac:dyDescent="0.25">
      <c r="A4151" s="2" t="s">
        <v>17410</v>
      </c>
      <c r="B4151" s="6">
        <v>46174</v>
      </c>
      <c r="C4151" s="8">
        <v>46189</v>
      </c>
      <c r="D4151" s="2" t="s">
        <v>7433</v>
      </c>
      <c r="E4151" s="2" t="s">
        <v>16959</v>
      </c>
      <c r="F4151" s="2" t="s">
        <v>15320</v>
      </c>
      <c r="G4151" s="2" t="s">
        <v>17411</v>
      </c>
      <c r="H4151" s="2" t="s">
        <v>39</v>
      </c>
      <c r="I4151" s="9">
        <v>26351.226500000001</v>
      </c>
      <c r="J4151" s="7">
        <v>1</v>
      </c>
      <c r="K4151" s="9">
        <v>26351.23</v>
      </c>
      <c r="L4151" s="14">
        <v>0</v>
      </c>
      <c r="M4151" s="2" t="s">
        <v>71</v>
      </c>
      <c r="N4151" s="2" t="s">
        <v>16961</v>
      </c>
      <c r="O4151" s="2" t="s">
        <v>8549</v>
      </c>
      <c r="P4151" s="9">
        <v>0</v>
      </c>
      <c r="Q4151" s="9">
        <v>0</v>
      </c>
      <c r="R4151" s="2"/>
    </row>
    <row r="4152" spans="1:18" x14ac:dyDescent="0.25">
      <c r="A4152" s="2" t="s">
        <v>17412</v>
      </c>
      <c r="B4152" s="6">
        <v>46174</v>
      </c>
      <c r="C4152" s="8">
        <v>46190</v>
      </c>
      <c r="D4152" s="2" t="s">
        <v>7433</v>
      </c>
      <c r="E4152" s="2" t="s">
        <v>16959</v>
      </c>
      <c r="F4152" s="2" t="s">
        <v>15324</v>
      </c>
      <c r="G4152" s="2" t="s">
        <v>17413</v>
      </c>
      <c r="H4152" s="2" t="s">
        <v>76</v>
      </c>
      <c r="I4152" s="9">
        <v>426713112</v>
      </c>
      <c r="J4152" s="7">
        <v>6.2500000000000001E-5</v>
      </c>
      <c r="K4152" s="9">
        <v>26669.57</v>
      </c>
      <c r="L4152" s="14">
        <v>0</v>
      </c>
      <c r="M4152" s="2" t="s">
        <v>71</v>
      </c>
      <c r="N4152" s="2" t="s">
        <v>16961</v>
      </c>
      <c r="O4152" s="2" t="s">
        <v>8554</v>
      </c>
      <c r="P4152" s="9">
        <v>0</v>
      </c>
      <c r="Q4152" s="9">
        <v>0</v>
      </c>
      <c r="R4152" s="2"/>
    </row>
    <row r="4153" spans="1:18" x14ac:dyDescent="0.25">
      <c r="A4153" s="2" t="s">
        <v>17414</v>
      </c>
      <c r="B4153" s="6">
        <v>46174</v>
      </c>
      <c r="C4153" s="8">
        <v>46191</v>
      </c>
      <c r="D4153" s="2" t="s">
        <v>7433</v>
      </c>
      <c r="E4153" s="2" t="s">
        <v>16959</v>
      </c>
      <c r="F4153" s="2" t="s">
        <v>15328</v>
      </c>
      <c r="G4153" s="2" t="s">
        <v>17415</v>
      </c>
      <c r="H4153" s="2" t="s">
        <v>70</v>
      </c>
      <c r="I4153" s="9">
        <v>40583.309774000001</v>
      </c>
      <c r="J4153" s="7">
        <v>0.66500000000000004</v>
      </c>
      <c r="K4153" s="9">
        <v>26987.9</v>
      </c>
      <c r="L4153" s="14">
        <v>0</v>
      </c>
      <c r="M4153" s="2" t="s">
        <v>71</v>
      </c>
      <c r="N4153" s="2" t="s">
        <v>16961</v>
      </c>
      <c r="O4153" s="2" t="s">
        <v>8559</v>
      </c>
      <c r="P4153" s="9">
        <v>0</v>
      </c>
      <c r="Q4153" s="9">
        <v>0</v>
      </c>
      <c r="R4153" s="2"/>
    </row>
    <row r="4154" spans="1:18" x14ac:dyDescent="0.25">
      <c r="A4154" s="2" t="s">
        <v>17416</v>
      </c>
      <c r="B4154" s="6">
        <v>46174</v>
      </c>
      <c r="C4154" s="8">
        <v>46192</v>
      </c>
      <c r="D4154" s="2" t="s">
        <v>7433</v>
      </c>
      <c r="E4154" s="2" t="s">
        <v>16959</v>
      </c>
      <c r="F4154" s="2" t="s">
        <v>15332</v>
      </c>
      <c r="G4154" s="2" t="s">
        <v>17417</v>
      </c>
      <c r="H4154" s="2" t="s">
        <v>39</v>
      </c>
      <c r="I4154" s="9">
        <v>27306.243999999999</v>
      </c>
      <c r="J4154" s="7">
        <v>1</v>
      </c>
      <c r="K4154" s="9">
        <v>27306.240000000002</v>
      </c>
      <c r="L4154" s="14">
        <v>0</v>
      </c>
      <c r="M4154" s="2" t="s">
        <v>71</v>
      </c>
      <c r="N4154" s="2" t="s">
        <v>16961</v>
      </c>
      <c r="O4154" s="2" t="s">
        <v>8564</v>
      </c>
      <c r="P4154" s="9">
        <v>0</v>
      </c>
      <c r="Q4154" s="9">
        <v>0</v>
      </c>
      <c r="R4154" s="2"/>
    </row>
    <row r="4155" spans="1:18" x14ac:dyDescent="0.25">
      <c r="A4155" s="2" t="s">
        <v>17418</v>
      </c>
      <c r="B4155" s="6">
        <v>46174</v>
      </c>
      <c r="C4155" s="8">
        <v>46193</v>
      </c>
      <c r="D4155" s="2" t="s">
        <v>7433</v>
      </c>
      <c r="E4155" s="2" t="s">
        <v>16959</v>
      </c>
      <c r="F4155" s="2" t="s">
        <v>15336</v>
      </c>
      <c r="G4155" s="2" t="s">
        <v>17419</v>
      </c>
      <c r="H4155" s="2" t="s">
        <v>76</v>
      </c>
      <c r="I4155" s="9">
        <v>29833392</v>
      </c>
      <c r="J4155" s="7">
        <v>6.2500000000000001E-5</v>
      </c>
      <c r="K4155" s="9">
        <v>1864.59</v>
      </c>
      <c r="L4155" s="14">
        <v>0</v>
      </c>
      <c r="M4155" s="2" t="s">
        <v>71</v>
      </c>
      <c r="N4155" s="2" t="s">
        <v>16961</v>
      </c>
      <c r="O4155" s="2" t="s">
        <v>8569</v>
      </c>
      <c r="P4155" s="9">
        <v>0</v>
      </c>
      <c r="Q4155" s="9">
        <v>0</v>
      </c>
      <c r="R4155" s="2"/>
    </row>
    <row r="4156" spans="1:18" x14ac:dyDescent="0.25">
      <c r="A4156" s="2" t="s">
        <v>17420</v>
      </c>
      <c r="B4156" s="6">
        <v>46174</v>
      </c>
      <c r="C4156" s="8">
        <v>46194</v>
      </c>
      <c r="D4156" s="2" t="s">
        <v>7433</v>
      </c>
      <c r="E4156" s="2" t="s">
        <v>16959</v>
      </c>
      <c r="F4156" s="2" t="s">
        <v>15300</v>
      </c>
      <c r="G4156" s="2" t="s">
        <v>17421</v>
      </c>
      <c r="H4156" s="2" t="s">
        <v>70</v>
      </c>
      <c r="I4156" s="9">
        <v>3282.5842109999999</v>
      </c>
      <c r="J4156" s="7">
        <v>0.66500000000000004</v>
      </c>
      <c r="K4156" s="9">
        <v>2182.92</v>
      </c>
      <c r="L4156" s="14">
        <v>0</v>
      </c>
      <c r="M4156" s="2" t="s">
        <v>71</v>
      </c>
      <c r="N4156" s="2" t="s">
        <v>16961</v>
      </c>
      <c r="O4156" s="2" t="s">
        <v>8574</v>
      </c>
      <c r="P4156" s="9">
        <v>0</v>
      </c>
      <c r="Q4156" s="9">
        <v>0</v>
      </c>
      <c r="R4156" s="2"/>
    </row>
    <row r="4157" spans="1:18" x14ac:dyDescent="0.25">
      <c r="A4157" s="2" t="s">
        <v>17422</v>
      </c>
      <c r="B4157" s="6">
        <v>46174</v>
      </c>
      <c r="C4157" s="8">
        <v>46195</v>
      </c>
      <c r="D4157" s="2" t="s">
        <v>7433</v>
      </c>
      <c r="E4157" s="2" t="s">
        <v>16959</v>
      </c>
      <c r="F4157" s="2" t="s">
        <v>15304</v>
      </c>
      <c r="G4157" s="2" t="s">
        <v>17423</v>
      </c>
      <c r="H4157" s="2" t="s">
        <v>39</v>
      </c>
      <c r="I4157" s="9">
        <v>2501.2615000000001</v>
      </c>
      <c r="J4157" s="7">
        <v>1</v>
      </c>
      <c r="K4157" s="9">
        <v>2501.2600000000002</v>
      </c>
      <c r="L4157" s="14">
        <v>0</v>
      </c>
      <c r="M4157" s="2" t="s">
        <v>71</v>
      </c>
      <c r="N4157" s="2" t="s">
        <v>16961</v>
      </c>
      <c r="O4157" s="2" t="s">
        <v>8579</v>
      </c>
      <c r="P4157" s="9">
        <v>0</v>
      </c>
      <c r="Q4157" s="9">
        <v>0</v>
      </c>
      <c r="R4157" s="2"/>
    </row>
    <row r="4158" spans="1:18" x14ac:dyDescent="0.25">
      <c r="A4158" s="2" t="s">
        <v>17424</v>
      </c>
      <c r="B4158" s="6">
        <v>46174</v>
      </c>
      <c r="C4158" s="8">
        <v>46196</v>
      </c>
      <c r="D4158" s="2" t="s">
        <v>7433</v>
      </c>
      <c r="E4158" s="2" t="s">
        <v>16959</v>
      </c>
      <c r="F4158" s="2" t="s">
        <v>15308</v>
      </c>
      <c r="G4158" s="2" t="s">
        <v>17425</v>
      </c>
      <c r="H4158" s="2" t="s">
        <v>76</v>
      </c>
      <c r="I4158" s="9">
        <v>45113488</v>
      </c>
      <c r="J4158" s="7">
        <v>6.2500000000000001E-5</v>
      </c>
      <c r="K4158" s="9">
        <v>2819.59</v>
      </c>
      <c r="L4158" s="14">
        <v>0</v>
      </c>
      <c r="M4158" s="2" t="s">
        <v>71</v>
      </c>
      <c r="N4158" s="2" t="s">
        <v>16961</v>
      </c>
      <c r="O4158" s="2" t="s">
        <v>8584</v>
      </c>
      <c r="P4158" s="9">
        <v>0</v>
      </c>
      <c r="Q4158" s="9">
        <v>0</v>
      </c>
      <c r="R4158" s="2"/>
    </row>
    <row r="4159" spans="1:18" x14ac:dyDescent="0.25">
      <c r="A4159" s="2" t="s">
        <v>17426</v>
      </c>
      <c r="B4159" s="6">
        <v>46174</v>
      </c>
      <c r="C4159" s="8">
        <v>46197</v>
      </c>
      <c r="D4159" s="2" t="s">
        <v>7433</v>
      </c>
      <c r="E4159" s="2" t="s">
        <v>16959</v>
      </c>
      <c r="F4159" s="2" t="s">
        <v>15312</v>
      </c>
      <c r="G4159" s="2" t="s">
        <v>17427</v>
      </c>
      <c r="H4159" s="2" t="s">
        <v>70</v>
      </c>
      <c r="I4159" s="9">
        <v>4718.7007519999997</v>
      </c>
      <c r="J4159" s="7">
        <v>0.66500000000000004</v>
      </c>
      <c r="K4159" s="9">
        <v>3137.94</v>
      </c>
      <c r="L4159" s="14">
        <v>0</v>
      </c>
      <c r="M4159" s="2" t="s">
        <v>71</v>
      </c>
      <c r="N4159" s="2" t="s">
        <v>16961</v>
      </c>
      <c r="O4159" s="2" t="s">
        <v>8589</v>
      </c>
      <c r="P4159" s="9">
        <v>0</v>
      </c>
      <c r="Q4159" s="9">
        <v>0</v>
      </c>
      <c r="R4159" s="2"/>
    </row>
    <row r="4160" spans="1:18" x14ac:dyDescent="0.25">
      <c r="A4160" s="2" t="s">
        <v>17428</v>
      </c>
      <c r="B4160" s="6">
        <v>46174</v>
      </c>
      <c r="C4160" s="8">
        <v>46198</v>
      </c>
      <c r="D4160" s="2" t="s">
        <v>7433</v>
      </c>
      <c r="E4160" s="2" t="s">
        <v>16959</v>
      </c>
      <c r="F4160" s="2" t="s">
        <v>15316</v>
      </c>
      <c r="G4160" s="2" t="s">
        <v>17429</v>
      </c>
      <c r="H4160" s="2" t="s">
        <v>39</v>
      </c>
      <c r="I4160" s="9">
        <v>3456.279</v>
      </c>
      <c r="J4160" s="7">
        <v>1</v>
      </c>
      <c r="K4160" s="9">
        <v>3456.28</v>
      </c>
      <c r="L4160" s="14">
        <v>0</v>
      </c>
      <c r="M4160" s="2" t="s">
        <v>71</v>
      </c>
      <c r="N4160" s="2" t="s">
        <v>16961</v>
      </c>
      <c r="O4160" s="2" t="s">
        <v>8594</v>
      </c>
      <c r="P4160" s="9">
        <v>0</v>
      </c>
      <c r="Q4160" s="9">
        <v>0</v>
      </c>
      <c r="R4160" s="2"/>
    </row>
    <row r="4161" spans="1:18" x14ac:dyDescent="0.25">
      <c r="A4161" s="2" t="s">
        <v>17430</v>
      </c>
      <c r="B4161" s="6">
        <v>46174</v>
      </c>
      <c r="C4161" s="8">
        <v>46199</v>
      </c>
      <c r="D4161" s="2" t="s">
        <v>7433</v>
      </c>
      <c r="E4161" s="2" t="s">
        <v>16959</v>
      </c>
      <c r="F4161" s="2" t="s">
        <v>15320</v>
      </c>
      <c r="G4161" s="2" t="s">
        <v>17431</v>
      </c>
      <c r="H4161" s="2" t="s">
        <v>76</v>
      </c>
      <c r="I4161" s="9">
        <v>60393768</v>
      </c>
      <c r="J4161" s="7">
        <v>6.2500000000000001E-5</v>
      </c>
      <c r="K4161" s="9">
        <v>3774.61</v>
      </c>
      <c r="L4161" s="14">
        <v>0</v>
      </c>
      <c r="M4161" s="2" t="s">
        <v>71</v>
      </c>
      <c r="N4161" s="2" t="s">
        <v>16961</v>
      </c>
      <c r="O4161" s="2" t="s">
        <v>8599</v>
      </c>
      <c r="P4161" s="9">
        <v>0</v>
      </c>
      <c r="Q4161" s="9">
        <v>0</v>
      </c>
      <c r="R4161" s="2"/>
    </row>
    <row r="4162" spans="1:18" x14ac:dyDescent="0.25">
      <c r="A4162" s="2" t="s">
        <v>17432</v>
      </c>
      <c r="B4162" s="6">
        <v>46174</v>
      </c>
      <c r="C4162" s="8">
        <v>46200</v>
      </c>
      <c r="D4162" s="2" t="s">
        <v>7433</v>
      </c>
      <c r="E4162" s="2" t="s">
        <v>16959</v>
      </c>
      <c r="F4162" s="2" t="s">
        <v>15324</v>
      </c>
      <c r="G4162" s="2" t="s">
        <v>17433</v>
      </c>
      <c r="H4162" s="2" t="s">
        <v>70</v>
      </c>
      <c r="I4162" s="9">
        <v>6154.8172940000004</v>
      </c>
      <c r="J4162" s="7">
        <v>0.66500000000000004</v>
      </c>
      <c r="K4162" s="9">
        <v>4092.95</v>
      </c>
      <c r="L4162" s="14">
        <v>0</v>
      </c>
      <c r="M4162" s="2" t="s">
        <v>71</v>
      </c>
      <c r="N4162" s="2" t="s">
        <v>16961</v>
      </c>
      <c r="O4162" s="2" t="s">
        <v>8604</v>
      </c>
      <c r="P4162" s="9">
        <v>0</v>
      </c>
      <c r="Q4162" s="9">
        <v>0</v>
      </c>
      <c r="R4162" s="2"/>
    </row>
    <row r="4163" spans="1:18" x14ac:dyDescent="0.25">
      <c r="A4163" s="2" t="s">
        <v>17434</v>
      </c>
      <c r="B4163" s="6">
        <v>46174</v>
      </c>
      <c r="C4163" s="8">
        <v>46201</v>
      </c>
      <c r="D4163" s="2" t="s">
        <v>7433</v>
      </c>
      <c r="E4163" s="2" t="s">
        <v>16959</v>
      </c>
      <c r="F4163" s="2" t="s">
        <v>15328</v>
      </c>
      <c r="G4163" s="2" t="s">
        <v>17435</v>
      </c>
      <c r="H4163" s="2" t="s">
        <v>39</v>
      </c>
      <c r="I4163" s="9">
        <v>4411.2849999999999</v>
      </c>
      <c r="J4163" s="7">
        <v>1</v>
      </c>
      <c r="K4163" s="9">
        <v>4411.29</v>
      </c>
      <c r="L4163" s="14">
        <v>0</v>
      </c>
      <c r="M4163" s="2" t="s">
        <v>71</v>
      </c>
      <c r="N4163" s="2" t="s">
        <v>16961</v>
      </c>
      <c r="O4163" s="2" t="s">
        <v>8609</v>
      </c>
      <c r="P4163" s="9">
        <v>0</v>
      </c>
      <c r="Q4163" s="9">
        <v>0</v>
      </c>
      <c r="R4163" s="2"/>
    </row>
    <row r="4164" spans="1:18" x14ac:dyDescent="0.25">
      <c r="A4164" s="2" t="s">
        <v>17436</v>
      </c>
      <c r="B4164" s="6">
        <v>46174</v>
      </c>
      <c r="C4164" s="8">
        <v>46202</v>
      </c>
      <c r="D4164" s="2" t="s">
        <v>7433</v>
      </c>
      <c r="E4164" s="2" t="s">
        <v>16959</v>
      </c>
      <c r="F4164" s="2" t="s">
        <v>15332</v>
      </c>
      <c r="G4164" s="2" t="s">
        <v>17437</v>
      </c>
      <c r="H4164" s="2" t="s">
        <v>76</v>
      </c>
      <c r="I4164" s="9">
        <v>75674048</v>
      </c>
      <c r="J4164" s="7">
        <v>6.2500000000000001E-5</v>
      </c>
      <c r="K4164" s="9">
        <v>4729.63</v>
      </c>
      <c r="L4164" s="14">
        <v>0</v>
      </c>
      <c r="M4164" s="2" t="s">
        <v>71</v>
      </c>
      <c r="N4164" s="2" t="s">
        <v>16961</v>
      </c>
      <c r="O4164" s="2" t="s">
        <v>8614</v>
      </c>
      <c r="P4164" s="9">
        <v>0</v>
      </c>
      <c r="Q4164" s="9">
        <v>0</v>
      </c>
      <c r="R4164" s="2"/>
    </row>
    <row r="4165" spans="1:18" x14ac:dyDescent="0.25">
      <c r="A4165" s="2" t="s">
        <v>17438</v>
      </c>
      <c r="B4165" s="6">
        <v>46174</v>
      </c>
      <c r="C4165" s="8">
        <v>46203</v>
      </c>
      <c r="D4165" s="2" t="s">
        <v>7433</v>
      </c>
      <c r="E4165" s="2" t="s">
        <v>16959</v>
      </c>
      <c r="F4165" s="2" t="s">
        <v>15336</v>
      </c>
      <c r="G4165" s="2" t="s">
        <v>17439</v>
      </c>
      <c r="H4165" s="2" t="s">
        <v>70</v>
      </c>
      <c r="I4165" s="9">
        <v>7590.9338340000004</v>
      </c>
      <c r="J4165" s="7">
        <v>0.66500000000000004</v>
      </c>
      <c r="K4165" s="9">
        <v>5047.97</v>
      </c>
      <c r="L4165" s="14">
        <v>0</v>
      </c>
      <c r="M4165" s="2" t="s">
        <v>71</v>
      </c>
      <c r="N4165" s="2" t="s">
        <v>16961</v>
      </c>
      <c r="O4165" s="2" t="s">
        <v>8619</v>
      </c>
      <c r="P4165" s="9">
        <v>0</v>
      </c>
      <c r="Q4165" s="9">
        <v>0</v>
      </c>
      <c r="R4165" s="2"/>
    </row>
    <row r="4166" spans="1:18" x14ac:dyDescent="0.25">
      <c r="A4166" s="2" t="s">
        <v>17440</v>
      </c>
      <c r="B4166" s="6">
        <v>46174</v>
      </c>
      <c r="C4166" s="8">
        <v>46174</v>
      </c>
      <c r="D4166" s="2" t="s">
        <v>7433</v>
      </c>
      <c r="E4166" s="2" t="s">
        <v>16959</v>
      </c>
      <c r="F4166" s="2" t="s">
        <v>15300</v>
      </c>
      <c r="G4166" s="2" t="s">
        <v>17441</v>
      </c>
      <c r="H4166" s="2" t="s">
        <v>39</v>
      </c>
      <c r="I4166" s="9">
        <v>5366.3024999999998</v>
      </c>
      <c r="J4166" s="7">
        <v>1</v>
      </c>
      <c r="K4166" s="9">
        <v>5366.3</v>
      </c>
      <c r="L4166" s="14">
        <v>0</v>
      </c>
      <c r="M4166" s="2" t="s">
        <v>71</v>
      </c>
      <c r="N4166" s="2" t="s">
        <v>16961</v>
      </c>
      <c r="O4166" s="2" t="s">
        <v>8624</v>
      </c>
      <c r="P4166" s="9">
        <v>0</v>
      </c>
      <c r="Q4166" s="9">
        <v>0</v>
      </c>
      <c r="R4166" s="2"/>
    </row>
    <row r="4167" spans="1:18" x14ac:dyDescent="0.25">
      <c r="A4167" s="2" t="s">
        <v>17442</v>
      </c>
      <c r="B4167" s="6">
        <v>46174</v>
      </c>
      <c r="C4167" s="8">
        <v>46175</v>
      </c>
      <c r="D4167" s="2" t="s">
        <v>7433</v>
      </c>
      <c r="E4167" s="2" t="s">
        <v>16959</v>
      </c>
      <c r="F4167" s="2" t="s">
        <v>15304</v>
      </c>
      <c r="G4167" s="2" t="s">
        <v>17443</v>
      </c>
      <c r="H4167" s="2" t="s">
        <v>76</v>
      </c>
      <c r="I4167" s="9">
        <v>90954328</v>
      </c>
      <c r="J4167" s="7">
        <v>6.2500000000000001E-5</v>
      </c>
      <c r="K4167" s="9">
        <v>5684.65</v>
      </c>
      <c r="L4167" s="14">
        <v>0</v>
      </c>
      <c r="M4167" s="2" t="s">
        <v>71</v>
      </c>
      <c r="N4167" s="2" t="s">
        <v>16961</v>
      </c>
      <c r="O4167" s="2" t="s">
        <v>8629</v>
      </c>
      <c r="P4167" s="9">
        <v>0</v>
      </c>
      <c r="Q4167" s="9">
        <v>0</v>
      </c>
      <c r="R4167" s="2"/>
    </row>
    <row r="4168" spans="1:18" x14ac:dyDescent="0.25">
      <c r="A4168" s="2" t="s">
        <v>17444</v>
      </c>
      <c r="B4168" s="6">
        <v>46174</v>
      </c>
      <c r="C4168" s="8">
        <v>46176</v>
      </c>
      <c r="D4168" s="2" t="s">
        <v>7433</v>
      </c>
      <c r="E4168" s="2" t="s">
        <v>16959</v>
      </c>
      <c r="F4168" s="2" t="s">
        <v>15308</v>
      </c>
      <c r="G4168" s="2" t="s">
        <v>17445</v>
      </c>
      <c r="H4168" s="2" t="s">
        <v>70</v>
      </c>
      <c r="I4168" s="9">
        <v>9027.0330830000003</v>
      </c>
      <c r="J4168" s="7">
        <v>0.66500000000000004</v>
      </c>
      <c r="K4168" s="9">
        <v>6002.98</v>
      </c>
      <c r="L4168" s="14">
        <v>0</v>
      </c>
      <c r="M4168" s="2" t="s">
        <v>71</v>
      </c>
      <c r="N4168" s="2" t="s">
        <v>16961</v>
      </c>
      <c r="O4168" s="2" t="s">
        <v>8634</v>
      </c>
      <c r="P4168" s="9">
        <v>0</v>
      </c>
      <c r="Q4168" s="9">
        <v>0</v>
      </c>
      <c r="R4168" s="2"/>
    </row>
    <row r="4169" spans="1:18" x14ac:dyDescent="0.25">
      <c r="A4169" s="2" t="s">
        <v>17446</v>
      </c>
      <c r="B4169" s="6">
        <v>46174</v>
      </c>
      <c r="C4169" s="8">
        <v>46177</v>
      </c>
      <c r="D4169" s="2" t="s">
        <v>7433</v>
      </c>
      <c r="E4169" s="2" t="s">
        <v>16959</v>
      </c>
      <c r="F4169" s="2" t="s">
        <v>15312</v>
      </c>
      <c r="G4169" s="2" t="s">
        <v>17447</v>
      </c>
      <c r="H4169" s="2" t="s">
        <v>39</v>
      </c>
      <c r="I4169" s="9">
        <v>6321.32</v>
      </c>
      <c r="J4169" s="7">
        <v>1</v>
      </c>
      <c r="K4169" s="9">
        <v>6321.32</v>
      </c>
      <c r="L4169" s="14">
        <v>0</v>
      </c>
      <c r="M4169" s="2" t="s">
        <v>71</v>
      </c>
      <c r="N4169" s="2" t="s">
        <v>16961</v>
      </c>
      <c r="O4169" s="2" t="s">
        <v>8639</v>
      </c>
      <c r="P4169" s="9">
        <v>0</v>
      </c>
      <c r="Q4169" s="9">
        <v>0</v>
      </c>
      <c r="R4169" s="2"/>
    </row>
    <row r="4170" spans="1:18" x14ac:dyDescent="0.25">
      <c r="A4170" s="2" t="s">
        <v>17448</v>
      </c>
      <c r="B4170" s="6">
        <v>46174</v>
      </c>
      <c r="C4170" s="8">
        <v>46178</v>
      </c>
      <c r="D4170" s="2" t="s">
        <v>7433</v>
      </c>
      <c r="E4170" s="2" t="s">
        <v>16959</v>
      </c>
      <c r="F4170" s="2" t="s">
        <v>15316</v>
      </c>
      <c r="G4170" s="2" t="s">
        <v>17449</v>
      </c>
      <c r="H4170" s="2" t="s">
        <v>76</v>
      </c>
      <c r="I4170" s="9">
        <v>106234608</v>
      </c>
      <c r="J4170" s="7">
        <v>6.2500000000000001E-5</v>
      </c>
      <c r="K4170" s="9">
        <v>6639.66</v>
      </c>
      <c r="L4170" s="14">
        <v>0</v>
      </c>
      <c r="M4170" s="2" t="s">
        <v>71</v>
      </c>
      <c r="N4170" s="2" t="s">
        <v>16961</v>
      </c>
      <c r="O4170" s="2" t="s">
        <v>8644</v>
      </c>
      <c r="P4170" s="9">
        <v>0</v>
      </c>
      <c r="Q4170" s="9">
        <v>0</v>
      </c>
      <c r="R4170" s="2"/>
    </row>
    <row r="4171" spans="1:18" x14ac:dyDescent="0.25">
      <c r="A4171" s="2" t="s">
        <v>17450</v>
      </c>
      <c r="B4171" s="6">
        <v>46174</v>
      </c>
      <c r="C4171" s="8">
        <v>46179</v>
      </c>
      <c r="D4171" s="2" t="s">
        <v>7433</v>
      </c>
      <c r="E4171" s="2" t="s">
        <v>16959</v>
      </c>
      <c r="F4171" s="2" t="s">
        <v>15320</v>
      </c>
      <c r="G4171" s="2" t="s">
        <v>17451</v>
      </c>
      <c r="H4171" s="2" t="s">
        <v>70</v>
      </c>
      <c r="I4171" s="9">
        <v>-10463.149624</v>
      </c>
      <c r="J4171" s="7">
        <v>0.66500000000000004</v>
      </c>
      <c r="K4171" s="9">
        <v>-6957.99</v>
      </c>
      <c r="L4171" s="14">
        <v>0</v>
      </c>
      <c r="M4171" s="2" t="s">
        <v>71</v>
      </c>
      <c r="N4171" s="2" t="s">
        <v>16961</v>
      </c>
      <c r="O4171" s="2" t="s">
        <v>8649</v>
      </c>
      <c r="P4171" s="9">
        <v>0</v>
      </c>
      <c r="Q4171" s="9">
        <v>0</v>
      </c>
      <c r="R4171" s="2"/>
    </row>
    <row r="4172" spans="1:18" x14ac:dyDescent="0.25">
      <c r="A4172" s="2" t="s">
        <v>17452</v>
      </c>
      <c r="B4172" s="6">
        <v>46174</v>
      </c>
      <c r="C4172" s="8">
        <v>46180</v>
      </c>
      <c r="D4172" s="2" t="s">
        <v>7433</v>
      </c>
      <c r="E4172" s="2" t="s">
        <v>16959</v>
      </c>
      <c r="F4172" s="2" t="s">
        <v>15324</v>
      </c>
      <c r="G4172" s="2" t="s">
        <v>17453</v>
      </c>
      <c r="H4172" s="2" t="s">
        <v>39</v>
      </c>
      <c r="I4172" s="9">
        <v>7276.3374999999996</v>
      </c>
      <c r="J4172" s="7">
        <v>1</v>
      </c>
      <c r="K4172" s="9">
        <v>7276.34</v>
      </c>
      <c r="L4172" s="14">
        <v>0</v>
      </c>
      <c r="M4172" s="2" t="s">
        <v>71</v>
      </c>
      <c r="N4172" s="2" t="s">
        <v>16961</v>
      </c>
      <c r="O4172" s="2" t="s">
        <v>8652</v>
      </c>
      <c r="P4172" s="9">
        <v>0</v>
      </c>
      <c r="Q4172" s="9">
        <v>0</v>
      </c>
      <c r="R4172" s="2"/>
    </row>
    <row r="4173" spans="1:18" x14ac:dyDescent="0.25">
      <c r="A4173" s="2" t="s">
        <v>17454</v>
      </c>
      <c r="B4173" s="6">
        <v>46174</v>
      </c>
      <c r="C4173" s="8">
        <v>46181</v>
      </c>
      <c r="D4173" s="2" t="s">
        <v>7433</v>
      </c>
      <c r="E4173" s="2" t="s">
        <v>16959</v>
      </c>
      <c r="F4173" s="2" t="s">
        <v>15328</v>
      </c>
      <c r="G4173" s="2" t="s">
        <v>17455</v>
      </c>
      <c r="H4173" s="2" t="s">
        <v>76</v>
      </c>
      <c r="I4173" s="9">
        <v>121514704</v>
      </c>
      <c r="J4173" s="7">
        <v>6.2500000000000001E-5</v>
      </c>
      <c r="K4173" s="9">
        <v>7594.67</v>
      </c>
      <c r="L4173" s="14">
        <v>0</v>
      </c>
      <c r="M4173" s="2" t="s">
        <v>71</v>
      </c>
      <c r="N4173" s="2" t="s">
        <v>16961</v>
      </c>
      <c r="O4173" s="2" t="s">
        <v>8657</v>
      </c>
      <c r="P4173" s="9">
        <v>0</v>
      </c>
      <c r="Q4173" s="9">
        <v>0</v>
      </c>
      <c r="R4173" s="2"/>
    </row>
    <row r="4174" spans="1:18" x14ac:dyDescent="0.25">
      <c r="A4174" s="2" t="s">
        <v>17456</v>
      </c>
      <c r="B4174" s="6">
        <v>46174</v>
      </c>
      <c r="C4174" s="8">
        <v>46182</v>
      </c>
      <c r="D4174" s="2" t="s">
        <v>7433</v>
      </c>
      <c r="E4174" s="2" t="s">
        <v>16959</v>
      </c>
      <c r="F4174" s="2" t="s">
        <v>15332</v>
      </c>
      <c r="G4174" s="2" t="s">
        <v>17457</v>
      </c>
      <c r="H4174" s="2" t="s">
        <v>70</v>
      </c>
      <c r="I4174" s="9">
        <v>11899.266165000001</v>
      </c>
      <c r="J4174" s="7">
        <v>0.66500000000000004</v>
      </c>
      <c r="K4174" s="9">
        <v>7913.01</v>
      </c>
      <c r="L4174" s="14">
        <v>0</v>
      </c>
      <c r="M4174" s="2" t="s">
        <v>71</v>
      </c>
      <c r="N4174" s="2" t="s">
        <v>16961</v>
      </c>
      <c r="O4174" s="2" t="s">
        <v>8662</v>
      </c>
      <c r="P4174" s="9">
        <v>0</v>
      </c>
      <c r="Q4174" s="9">
        <v>0</v>
      </c>
      <c r="R4174" s="2"/>
    </row>
    <row r="4175" spans="1:18" x14ac:dyDescent="0.25">
      <c r="A4175" s="2" t="s">
        <v>17458</v>
      </c>
      <c r="B4175" s="6">
        <v>46174</v>
      </c>
      <c r="C4175" s="8">
        <v>46183</v>
      </c>
      <c r="D4175" s="2" t="s">
        <v>7433</v>
      </c>
      <c r="E4175" s="2" t="s">
        <v>16959</v>
      </c>
      <c r="F4175" s="2" t="s">
        <v>15336</v>
      </c>
      <c r="G4175" s="2" t="s">
        <v>17459</v>
      </c>
      <c r="H4175" s="2" t="s">
        <v>39</v>
      </c>
      <c r="I4175" s="9">
        <v>8231.3549999999996</v>
      </c>
      <c r="J4175" s="7">
        <v>1</v>
      </c>
      <c r="K4175" s="9">
        <v>8231.36</v>
      </c>
      <c r="L4175" s="14">
        <v>0</v>
      </c>
      <c r="M4175" s="2" t="s">
        <v>71</v>
      </c>
      <c r="N4175" s="2" t="s">
        <v>16961</v>
      </c>
      <c r="O4175" s="2" t="s">
        <v>8667</v>
      </c>
      <c r="P4175" s="9">
        <v>0</v>
      </c>
      <c r="Q4175" s="9">
        <v>0</v>
      </c>
      <c r="R4175" s="2"/>
    </row>
    <row r="4176" spans="1:18" x14ac:dyDescent="0.25">
      <c r="A4176" s="2" t="s">
        <v>17460</v>
      </c>
      <c r="B4176" s="6">
        <v>46174</v>
      </c>
      <c r="C4176" s="8">
        <v>46184</v>
      </c>
      <c r="D4176" s="2" t="s">
        <v>7433</v>
      </c>
      <c r="E4176" s="2" t="s">
        <v>16959</v>
      </c>
      <c r="F4176" s="2" t="s">
        <v>15300</v>
      </c>
      <c r="G4176" s="2" t="s">
        <v>17461</v>
      </c>
      <c r="H4176" s="2" t="s">
        <v>76</v>
      </c>
      <c r="I4176" s="9">
        <v>136794984</v>
      </c>
      <c r="J4176" s="7">
        <v>6.2500000000000001E-5</v>
      </c>
      <c r="K4176" s="9">
        <v>8549.69</v>
      </c>
      <c r="L4176" s="14">
        <v>0</v>
      </c>
      <c r="M4176" s="2" t="s">
        <v>71</v>
      </c>
      <c r="N4176" s="2" t="s">
        <v>16961</v>
      </c>
      <c r="O4176" s="2" t="s">
        <v>8672</v>
      </c>
      <c r="P4176" s="9">
        <v>0</v>
      </c>
      <c r="Q4176" s="9">
        <v>0</v>
      </c>
      <c r="R4176" s="2"/>
    </row>
    <row r="4177" spans="1:18" x14ac:dyDescent="0.25">
      <c r="A4177" s="2" t="s">
        <v>17462</v>
      </c>
      <c r="B4177" s="6">
        <v>46174</v>
      </c>
      <c r="C4177" s="8">
        <v>46185</v>
      </c>
      <c r="D4177" s="2" t="s">
        <v>7433</v>
      </c>
      <c r="E4177" s="2" t="s">
        <v>16959</v>
      </c>
      <c r="F4177" s="2" t="s">
        <v>15304</v>
      </c>
      <c r="G4177" s="2" t="s">
        <v>17463</v>
      </c>
      <c r="H4177" s="2" t="s">
        <v>70</v>
      </c>
      <c r="I4177" s="9">
        <v>13335.382706</v>
      </c>
      <c r="J4177" s="7">
        <v>0.66500000000000004</v>
      </c>
      <c r="K4177" s="9">
        <v>8868.0300000000007</v>
      </c>
      <c r="L4177" s="14">
        <v>0</v>
      </c>
      <c r="M4177" s="2" t="s">
        <v>71</v>
      </c>
      <c r="N4177" s="2" t="s">
        <v>16961</v>
      </c>
      <c r="O4177" s="2" t="s">
        <v>8677</v>
      </c>
      <c r="P4177" s="9">
        <v>0</v>
      </c>
      <c r="Q4177" s="9">
        <v>0</v>
      </c>
      <c r="R4177" s="2"/>
    </row>
    <row r="4178" spans="1:18" x14ac:dyDescent="0.25">
      <c r="A4178" s="2" t="s">
        <v>17464</v>
      </c>
      <c r="B4178" s="6">
        <v>46174</v>
      </c>
      <c r="C4178" s="8">
        <v>46186</v>
      </c>
      <c r="D4178" s="2" t="s">
        <v>7433</v>
      </c>
      <c r="E4178" s="2" t="s">
        <v>16959</v>
      </c>
      <c r="F4178" s="2" t="s">
        <v>15308</v>
      </c>
      <c r="G4178" s="2" t="s">
        <v>17465</v>
      </c>
      <c r="H4178" s="2" t="s">
        <v>39</v>
      </c>
      <c r="I4178" s="9">
        <v>9186.3610000000008</v>
      </c>
      <c r="J4178" s="7">
        <v>1</v>
      </c>
      <c r="K4178" s="9">
        <v>9186.36</v>
      </c>
      <c r="L4178" s="14">
        <v>0</v>
      </c>
      <c r="M4178" s="2" t="s">
        <v>71</v>
      </c>
      <c r="N4178" s="2" t="s">
        <v>16961</v>
      </c>
      <c r="O4178" s="2" t="s">
        <v>8682</v>
      </c>
      <c r="P4178" s="9">
        <v>0</v>
      </c>
      <c r="Q4178" s="9">
        <v>0</v>
      </c>
      <c r="R4178" s="2"/>
    </row>
    <row r="4179" spans="1:18" x14ac:dyDescent="0.25">
      <c r="A4179" s="2" t="s">
        <v>17466</v>
      </c>
      <c r="B4179" s="6">
        <v>46174</v>
      </c>
      <c r="C4179" s="8">
        <v>46187</v>
      </c>
      <c r="D4179" s="2" t="s">
        <v>7433</v>
      </c>
      <c r="E4179" s="2" t="s">
        <v>16959</v>
      </c>
      <c r="F4179" s="2" t="s">
        <v>15312</v>
      </c>
      <c r="G4179" s="2" t="s">
        <v>17467</v>
      </c>
      <c r="H4179" s="2" t="s">
        <v>76</v>
      </c>
      <c r="I4179" s="9">
        <v>152075264</v>
      </c>
      <c r="J4179" s="7">
        <v>6.2500000000000001E-5</v>
      </c>
      <c r="K4179" s="9">
        <v>9504.7000000000007</v>
      </c>
      <c r="L4179" s="14">
        <v>0</v>
      </c>
      <c r="M4179" s="2" t="s">
        <v>71</v>
      </c>
      <c r="N4179" s="2" t="s">
        <v>16961</v>
      </c>
      <c r="O4179" s="2" t="s">
        <v>8687</v>
      </c>
      <c r="P4179" s="9">
        <v>0</v>
      </c>
      <c r="Q4179" s="9">
        <v>0</v>
      </c>
      <c r="R4179" s="2"/>
    </row>
    <row r="4180" spans="1:18" x14ac:dyDescent="0.25">
      <c r="A4180" s="2" t="s">
        <v>17468</v>
      </c>
      <c r="B4180" s="6">
        <v>46174</v>
      </c>
      <c r="C4180" s="8">
        <v>46188</v>
      </c>
      <c r="D4180" s="2" t="s">
        <v>7433</v>
      </c>
      <c r="E4180" s="2" t="s">
        <v>16959</v>
      </c>
      <c r="F4180" s="2" t="s">
        <v>15316</v>
      </c>
      <c r="G4180" s="2" t="s">
        <v>17469</v>
      </c>
      <c r="H4180" s="2" t="s">
        <v>70</v>
      </c>
      <c r="I4180" s="9">
        <v>14771.499248</v>
      </c>
      <c r="J4180" s="7">
        <v>0.66500000000000004</v>
      </c>
      <c r="K4180" s="9">
        <v>9823.0499999999993</v>
      </c>
      <c r="L4180" s="14">
        <v>0</v>
      </c>
      <c r="M4180" s="2" t="s">
        <v>71</v>
      </c>
      <c r="N4180" s="2" t="s">
        <v>16961</v>
      </c>
      <c r="O4180" s="2" t="s">
        <v>8692</v>
      </c>
      <c r="P4180" s="9">
        <v>0</v>
      </c>
      <c r="Q4180" s="9">
        <v>0</v>
      </c>
      <c r="R4180" s="2"/>
    </row>
    <row r="4181" spans="1:18" x14ac:dyDescent="0.25">
      <c r="A4181" s="2" t="s">
        <v>17470</v>
      </c>
      <c r="B4181" s="6">
        <v>46174</v>
      </c>
      <c r="C4181" s="8">
        <v>46189</v>
      </c>
      <c r="D4181" s="2" t="s">
        <v>7433</v>
      </c>
      <c r="E4181" s="2" t="s">
        <v>16959</v>
      </c>
      <c r="F4181" s="2" t="s">
        <v>15320</v>
      </c>
      <c r="G4181" s="2" t="s">
        <v>17471</v>
      </c>
      <c r="H4181" s="2" t="s">
        <v>39</v>
      </c>
      <c r="I4181" s="9">
        <v>10141.378500000001</v>
      </c>
      <c r="J4181" s="7">
        <v>1</v>
      </c>
      <c r="K4181" s="9">
        <v>10141.379999999999</v>
      </c>
      <c r="L4181" s="14">
        <v>0</v>
      </c>
      <c r="M4181" s="2" t="s">
        <v>71</v>
      </c>
      <c r="N4181" s="2" t="s">
        <v>16961</v>
      </c>
      <c r="O4181" s="2" t="s">
        <v>8697</v>
      </c>
      <c r="P4181" s="9">
        <v>0</v>
      </c>
      <c r="Q4181" s="9">
        <v>0</v>
      </c>
      <c r="R4181" s="2"/>
    </row>
    <row r="4182" spans="1:18" x14ac:dyDescent="0.25">
      <c r="A4182" s="2" t="s">
        <v>17472</v>
      </c>
      <c r="B4182" s="6">
        <v>46174</v>
      </c>
      <c r="C4182" s="8">
        <v>46190</v>
      </c>
      <c r="D4182" s="2" t="s">
        <v>7433</v>
      </c>
      <c r="E4182" s="2" t="s">
        <v>16959</v>
      </c>
      <c r="F4182" s="2" t="s">
        <v>15324</v>
      </c>
      <c r="G4182" s="2" t="s">
        <v>17473</v>
      </c>
      <c r="H4182" s="2" t="s">
        <v>76</v>
      </c>
      <c r="I4182" s="9">
        <v>167355544</v>
      </c>
      <c r="J4182" s="7">
        <v>6.2500000000000001E-5</v>
      </c>
      <c r="K4182" s="9">
        <v>10459.719999999999</v>
      </c>
      <c r="L4182" s="14">
        <v>0</v>
      </c>
      <c r="M4182" s="2" t="s">
        <v>71</v>
      </c>
      <c r="N4182" s="2" t="s">
        <v>16961</v>
      </c>
      <c r="O4182" s="2" t="s">
        <v>8702</v>
      </c>
      <c r="P4182" s="9">
        <v>0</v>
      </c>
      <c r="Q4182" s="9">
        <v>0</v>
      </c>
      <c r="R4182" s="2"/>
    </row>
    <row r="4183" spans="1:18" x14ac:dyDescent="0.25">
      <c r="A4183" s="2" t="s">
        <v>17474</v>
      </c>
      <c r="B4183" s="6">
        <v>46174</v>
      </c>
      <c r="C4183" s="8">
        <v>46191</v>
      </c>
      <c r="D4183" s="2" t="s">
        <v>7433</v>
      </c>
      <c r="E4183" s="2" t="s">
        <v>16959</v>
      </c>
      <c r="F4183" s="2" t="s">
        <v>15328</v>
      </c>
      <c r="G4183" s="2" t="s">
        <v>17475</v>
      </c>
      <c r="H4183" s="2" t="s">
        <v>70</v>
      </c>
      <c r="I4183" s="9">
        <v>16207.598496000001</v>
      </c>
      <c r="J4183" s="7">
        <v>0.66500000000000004</v>
      </c>
      <c r="K4183" s="9">
        <v>10778.05</v>
      </c>
      <c r="L4183" s="14">
        <v>0</v>
      </c>
      <c r="M4183" s="2" t="s">
        <v>71</v>
      </c>
      <c r="N4183" s="2" t="s">
        <v>16961</v>
      </c>
      <c r="O4183" s="2" t="s">
        <v>8707</v>
      </c>
      <c r="P4183" s="9">
        <v>0</v>
      </c>
      <c r="Q4183" s="9">
        <v>0</v>
      </c>
      <c r="R4183" s="2"/>
    </row>
    <row r="4184" spans="1:18" x14ac:dyDescent="0.25">
      <c r="A4184" s="2" t="s">
        <v>17476</v>
      </c>
      <c r="B4184" s="6">
        <v>46174</v>
      </c>
      <c r="C4184" s="8">
        <v>46192</v>
      </c>
      <c r="D4184" s="2" t="s">
        <v>7433</v>
      </c>
      <c r="E4184" s="2" t="s">
        <v>16959</v>
      </c>
      <c r="F4184" s="2" t="s">
        <v>15332</v>
      </c>
      <c r="G4184" s="2" t="s">
        <v>17477</v>
      </c>
      <c r="H4184" s="2" t="s">
        <v>39</v>
      </c>
      <c r="I4184" s="9">
        <v>11096.396000000001</v>
      </c>
      <c r="J4184" s="7">
        <v>1</v>
      </c>
      <c r="K4184" s="9">
        <v>11096.4</v>
      </c>
      <c r="L4184" s="14">
        <v>0</v>
      </c>
      <c r="M4184" s="2" t="s">
        <v>71</v>
      </c>
      <c r="N4184" s="2" t="s">
        <v>16961</v>
      </c>
      <c r="O4184" s="2" t="s">
        <v>8712</v>
      </c>
      <c r="P4184" s="9">
        <v>0</v>
      </c>
      <c r="Q4184" s="9">
        <v>0</v>
      </c>
      <c r="R4184" s="2"/>
    </row>
    <row r="4185" spans="1:18" x14ac:dyDescent="0.25">
      <c r="A4185" s="2" t="s">
        <v>17478</v>
      </c>
      <c r="B4185" s="6">
        <v>46174</v>
      </c>
      <c r="C4185" s="8">
        <v>46193</v>
      </c>
      <c r="D4185" s="2" t="s">
        <v>7433</v>
      </c>
      <c r="E4185" s="2" t="s">
        <v>16959</v>
      </c>
      <c r="F4185" s="2" t="s">
        <v>15336</v>
      </c>
      <c r="G4185" s="2" t="s">
        <v>17479</v>
      </c>
      <c r="H4185" s="2" t="s">
        <v>76</v>
      </c>
      <c r="I4185" s="9">
        <v>182635824</v>
      </c>
      <c r="J4185" s="7">
        <v>6.2500000000000001E-5</v>
      </c>
      <c r="K4185" s="9">
        <v>11414.74</v>
      </c>
      <c r="L4185" s="14">
        <v>0</v>
      </c>
      <c r="M4185" s="2" t="s">
        <v>71</v>
      </c>
      <c r="N4185" s="2" t="s">
        <v>16961</v>
      </c>
      <c r="O4185" s="2" t="s">
        <v>8717</v>
      </c>
      <c r="P4185" s="9">
        <v>0</v>
      </c>
      <c r="Q4185" s="9">
        <v>0</v>
      </c>
      <c r="R4185" s="2"/>
    </row>
    <row r="4186" spans="1:18" x14ac:dyDescent="0.25">
      <c r="A4186" s="2" t="s">
        <v>17480</v>
      </c>
      <c r="B4186" s="6">
        <v>46174</v>
      </c>
      <c r="C4186" s="8">
        <v>46194</v>
      </c>
      <c r="D4186" s="2" t="s">
        <v>7433</v>
      </c>
      <c r="E4186" s="2" t="s">
        <v>16959</v>
      </c>
      <c r="F4186" s="2" t="s">
        <v>15300</v>
      </c>
      <c r="G4186" s="2" t="s">
        <v>17481</v>
      </c>
      <c r="H4186" s="2" t="s">
        <v>70</v>
      </c>
      <c r="I4186" s="9">
        <v>17643.715037000002</v>
      </c>
      <c r="J4186" s="7">
        <v>0.66500000000000004</v>
      </c>
      <c r="K4186" s="9">
        <v>11733.07</v>
      </c>
      <c r="L4186" s="14">
        <v>0</v>
      </c>
      <c r="M4186" s="2" t="s">
        <v>71</v>
      </c>
      <c r="N4186" s="2" t="s">
        <v>16961</v>
      </c>
      <c r="O4186" s="2" t="s">
        <v>8722</v>
      </c>
      <c r="P4186" s="9">
        <v>0</v>
      </c>
      <c r="Q4186" s="9">
        <v>0</v>
      </c>
      <c r="R4186" s="2"/>
    </row>
    <row r="4187" spans="1:18" x14ac:dyDescent="0.25">
      <c r="A4187" s="2" t="s">
        <v>17482</v>
      </c>
      <c r="B4187" s="6">
        <v>46174</v>
      </c>
      <c r="C4187" s="8">
        <v>46195</v>
      </c>
      <c r="D4187" s="2" t="s">
        <v>7433</v>
      </c>
      <c r="E4187" s="2" t="s">
        <v>16959</v>
      </c>
      <c r="F4187" s="2" t="s">
        <v>15304</v>
      </c>
      <c r="G4187" s="2" t="s">
        <v>17483</v>
      </c>
      <c r="H4187" s="2" t="s">
        <v>39</v>
      </c>
      <c r="I4187" s="9">
        <v>12051.413500000001</v>
      </c>
      <c r="J4187" s="7">
        <v>1</v>
      </c>
      <c r="K4187" s="9">
        <v>12051.41</v>
      </c>
      <c r="L4187" s="14">
        <v>0</v>
      </c>
      <c r="M4187" s="2" t="s">
        <v>71</v>
      </c>
      <c r="N4187" s="2" t="s">
        <v>16961</v>
      </c>
      <c r="O4187" s="2" t="s">
        <v>8727</v>
      </c>
      <c r="P4187" s="9">
        <v>0</v>
      </c>
      <c r="Q4187" s="9">
        <v>0</v>
      </c>
      <c r="R4187" s="2"/>
    </row>
    <row r="4188" spans="1:18" x14ac:dyDescent="0.25">
      <c r="A4188" s="2" t="s">
        <v>17484</v>
      </c>
      <c r="B4188" s="6">
        <v>46174</v>
      </c>
      <c r="C4188" s="8">
        <v>46196</v>
      </c>
      <c r="D4188" s="2" t="s">
        <v>7433</v>
      </c>
      <c r="E4188" s="2" t="s">
        <v>16959</v>
      </c>
      <c r="F4188" s="2" t="s">
        <v>15308</v>
      </c>
      <c r="G4188" s="2" t="s">
        <v>17485</v>
      </c>
      <c r="H4188" s="2" t="s">
        <v>76</v>
      </c>
      <c r="I4188" s="9">
        <v>197915920</v>
      </c>
      <c r="J4188" s="7">
        <v>6.2500000000000001E-5</v>
      </c>
      <c r="K4188" s="9">
        <v>12369.74</v>
      </c>
      <c r="L4188" s="14">
        <v>0</v>
      </c>
      <c r="M4188" s="2" t="s">
        <v>71</v>
      </c>
      <c r="N4188" s="2" t="s">
        <v>16961</v>
      </c>
      <c r="O4188" s="2" t="s">
        <v>8732</v>
      </c>
      <c r="P4188" s="9">
        <v>0</v>
      </c>
      <c r="Q4188" s="9">
        <v>0</v>
      </c>
      <c r="R4188" s="2"/>
    </row>
    <row r="4189" spans="1:18" x14ac:dyDescent="0.25">
      <c r="A4189" s="2" t="s">
        <v>17486</v>
      </c>
      <c r="B4189" s="6">
        <v>46174</v>
      </c>
      <c r="C4189" s="8">
        <v>46197</v>
      </c>
      <c r="D4189" s="2" t="s">
        <v>7433</v>
      </c>
      <c r="E4189" s="2" t="s">
        <v>16959</v>
      </c>
      <c r="F4189" s="2" t="s">
        <v>15312</v>
      </c>
      <c r="G4189" s="2" t="s">
        <v>17487</v>
      </c>
      <c r="H4189" s="2" t="s">
        <v>70</v>
      </c>
      <c r="I4189" s="9">
        <v>19079.831579000002</v>
      </c>
      <c r="J4189" s="7">
        <v>0.66500000000000004</v>
      </c>
      <c r="K4189" s="9">
        <v>12688.09</v>
      </c>
      <c r="L4189" s="14">
        <v>0</v>
      </c>
      <c r="M4189" s="2" t="s">
        <v>71</v>
      </c>
      <c r="N4189" s="2" t="s">
        <v>16961</v>
      </c>
      <c r="O4189" s="2" t="s">
        <v>8737</v>
      </c>
      <c r="P4189" s="9">
        <v>0</v>
      </c>
      <c r="Q4189" s="9">
        <v>0</v>
      </c>
      <c r="R4189" s="2"/>
    </row>
    <row r="4190" spans="1:18" x14ac:dyDescent="0.25">
      <c r="A4190" s="2" t="s">
        <v>17488</v>
      </c>
      <c r="B4190" s="6">
        <v>46174</v>
      </c>
      <c r="C4190" s="8">
        <v>46198</v>
      </c>
      <c r="D4190" s="2" t="s">
        <v>7433</v>
      </c>
      <c r="E4190" s="2" t="s">
        <v>16959</v>
      </c>
      <c r="F4190" s="2" t="s">
        <v>15316</v>
      </c>
      <c r="G4190" s="2" t="s">
        <v>17489</v>
      </c>
      <c r="H4190" s="2" t="s">
        <v>39</v>
      </c>
      <c r="I4190" s="9">
        <v>13006.431</v>
      </c>
      <c r="J4190" s="7">
        <v>1</v>
      </c>
      <c r="K4190" s="9">
        <v>13006.43</v>
      </c>
      <c r="L4190" s="14">
        <v>0</v>
      </c>
      <c r="M4190" s="2" t="s">
        <v>71</v>
      </c>
      <c r="N4190" s="2" t="s">
        <v>16961</v>
      </c>
      <c r="O4190" s="2" t="s">
        <v>8742</v>
      </c>
      <c r="P4190" s="9">
        <v>0</v>
      </c>
      <c r="Q4190" s="9">
        <v>0</v>
      </c>
      <c r="R4190" s="2"/>
    </row>
    <row r="4191" spans="1:18" x14ac:dyDescent="0.25">
      <c r="A4191" s="2" t="s">
        <v>17490</v>
      </c>
      <c r="B4191" s="6">
        <v>46174</v>
      </c>
      <c r="C4191" s="8">
        <v>46199</v>
      </c>
      <c r="D4191" s="2" t="s">
        <v>7433</v>
      </c>
      <c r="E4191" s="2" t="s">
        <v>16959</v>
      </c>
      <c r="F4191" s="2" t="s">
        <v>15320</v>
      </c>
      <c r="G4191" s="2" t="s">
        <v>17491</v>
      </c>
      <c r="H4191" s="2" t="s">
        <v>76</v>
      </c>
      <c r="I4191" s="9">
        <v>213196200</v>
      </c>
      <c r="J4191" s="7">
        <v>6.2500000000000001E-5</v>
      </c>
      <c r="K4191" s="9">
        <v>13324.76</v>
      </c>
      <c r="L4191" s="14">
        <v>0</v>
      </c>
      <c r="M4191" s="2" t="s">
        <v>71</v>
      </c>
      <c r="N4191" s="2" t="s">
        <v>16961</v>
      </c>
      <c r="O4191" s="2" t="s">
        <v>8747</v>
      </c>
      <c r="P4191" s="9">
        <v>0</v>
      </c>
      <c r="Q4191" s="9">
        <v>0</v>
      </c>
      <c r="R4191" s="2"/>
    </row>
    <row r="4192" spans="1:18" x14ac:dyDescent="0.25">
      <c r="A4192" s="2" t="s">
        <v>17492</v>
      </c>
      <c r="B4192" s="6">
        <v>46174</v>
      </c>
      <c r="C4192" s="8">
        <v>46200</v>
      </c>
      <c r="D4192" s="2" t="s">
        <v>7433</v>
      </c>
      <c r="E4192" s="2" t="s">
        <v>16959</v>
      </c>
      <c r="F4192" s="2" t="s">
        <v>15324</v>
      </c>
      <c r="G4192" s="2" t="s">
        <v>17493</v>
      </c>
      <c r="H4192" s="2" t="s">
        <v>70</v>
      </c>
      <c r="I4192" s="9">
        <v>20515.948120000001</v>
      </c>
      <c r="J4192" s="7">
        <v>0.66500000000000004</v>
      </c>
      <c r="K4192" s="9">
        <v>13643.11</v>
      </c>
      <c r="L4192" s="14">
        <v>0</v>
      </c>
      <c r="M4192" s="2" t="s">
        <v>71</v>
      </c>
      <c r="N4192" s="2" t="s">
        <v>16961</v>
      </c>
      <c r="O4192" s="2" t="s">
        <v>8752</v>
      </c>
      <c r="P4192" s="9">
        <v>0</v>
      </c>
      <c r="Q4192" s="9">
        <v>0</v>
      </c>
      <c r="R4192" s="2"/>
    </row>
    <row r="4193" spans="1:18" x14ac:dyDescent="0.25">
      <c r="A4193" s="2" t="s">
        <v>17494</v>
      </c>
      <c r="B4193" s="6">
        <v>46174</v>
      </c>
      <c r="C4193" s="8">
        <v>46201</v>
      </c>
      <c r="D4193" s="2" t="s">
        <v>7433</v>
      </c>
      <c r="E4193" s="2" t="s">
        <v>16959</v>
      </c>
      <c r="F4193" s="2" t="s">
        <v>15328</v>
      </c>
      <c r="G4193" s="2" t="s">
        <v>17495</v>
      </c>
      <c r="H4193" s="2" t="s">
        <v>39</v>
      </c>
      <c r="I4193" s="9">
        <v>13961.437</v>
      </c>
      <c r="J4193" s="7">
        <v>1</v>
      </c>
      <c r="K4193" s="9">
        <v>13961.44</v>
      </c>
      <c r="L4193" s="14">
        <v>0</v>
      </c>
      <c r="M4193" s="2" t="s">
        <v>71</v>
      </c>
      <c r="N4193" s="2" t="s">
        <v>16961</v>
      </c>
      <c r="O4193" s="2" t="s">
        <v>8757</v>
      </c>
      <c r="P4193" s="9">
        <v>0</v>
      </c>
      <c r="Q4193" s="9">
        <v>0</v>
      </c>
      <c r="R4193" s="2"/>
    </row>
    <row r="4194" spans="1:18" x14ac:dyDescent="0.25">
      <c r="A4194" s="2" t="s">
        <v>17496</v>
      </c>
      <c r="B4194" s="6">
        <v>46174</v>
      </c>
      <c r="C4194" s="8">
        <v>46202</v>
      </c>
      <c r="D4194" s="2" t="s">
        <v>7433</v>
      </c>
      <c r="E4194" s="2" t="s">
        <v>16959</v>
      </c>
      <c r="F4194" s="2" t="s">
        <v>15332</v>
      </c>
      <c r="G4194" s="2" t="s">
        <v>17497</v>
      </c>
      <c r="H4194" s="2" t="s">
        <v>76</v>
      </c>
      <c r="I4194" s="9">
        <v>228476480</v>
      </c>
      <c r="J4194" s="7">
        <v>6.2500000000000001E-5</v>
      </c>
      <c r="K4194" s="9">
        <v>14279.78</v>
      </c>
      <c r="L4194" s="14">
        <v>0</v>
      </c>
      <c r="M4194" s="2" t="s">
        <v>71</v>
      </c>
      <c r="N4194" s="2" t="s">
        <v>16961</v>
      </c>
      <c r="O4194" s="2" t="s">
        <v>8762</v>
      </c>
      <c r="P4194" s="9">
        <v>0</v>
      </c>
      <c r="Q4194" s="9">
        <v>0</v>
      </c>
      <c r="R4194" s="2"/>
    </row>
    <row r="4195" spans="1:18" x14ac:dyDescent="0.25">
      <c r="A4195" s="2" t="s">
        <v>17498</v>
      </c>
      <c r="B4195" s="6">
        <v>46174</v>
      </c>
      <c r="C4195" s="8">
        <v>46203</v>
      </c>
      <c r="D4195" s="2" t="s">
        <v>7433</v>
      </c>
      <c r="E4195" s="2" t="s">
        <v>16959</v>
      </c>
      <c r="F4195" s="2" t="s">
        <v>15336</v>
      </c>
      <c r="G4195" s="2" t="s">
        <v>17499</v>
      </c>
      <c r="H4195" s="2" t="s">
        <v>70</v>
      </c>
      <c r="I4195" s="9">
        <v>21952.064662000001</v>
      </c>
      <c r="J4195" s="7">
        <v>0.66500000000000004</v>
      </c>
      <c r="K4195" s="9">
        <v>14598.12</v>
      </c>
      <c r="L4195" s="14">
        <v>0</v>
      </c>
      <c r="M4195" s="2" t="s">
        <v>71</v>
      </c>
      <c r="N4195" s="2" t="s">
        <v>16961</v>
      </c>
      <c r="O4195" s="2" t="s">
        <v>8767</v>
      </c>
      <c r="P4195" s="9">
        <v>0</v>
      </c>
      <c r="Q4195" s="9">
        <v>0</v>
      </c>
      <c r="R4195" s="2"/>
    </row>
    <row r="4196" spans="1:18" x14ac:dyDescent="0.25">
      <c r="A4196" s="2" t="s">
        <v>17500</v>
      </c>
      <c r="B4196" s="6">
        <v>46174</v>
      </c>
      <c r="C4196" s="8">
        <v>46174</v>
      </c>
      <c r="D4196" s="2" t="s">
        <v>7433</v>
      </c>
      <c r="E4196" s="2" t="s">
        <v>16959</v>
      </c>
      <c r="F4196" s="2" t="s">
        <v>15300</v>
      </c>
      <c r="G4196" s="2" t="s">
        <v>17501</v>
      </c>
      <c r="H4196" s="2" t="s">
        <v>39</v>
      </c>
      <c r="I4196" s="9">
        <v>14916.4545</v>
      </c>
      <c r="J4196" s="7">
        <v>1</v>
      </c>
      <c r="K4196" s="9">
        <v>14916.45</v>
      </c>
      <c r="L4196" s="14">
        <v>0</v>
      </c>
      <c r="M4196" s="2" t="s">
        <v>71</v>
      </c>
      <c r="N4196" s="2" t="s">
        <v>16961</v>
      </c>
      <c r="O4196" s="2" t="s">
        <v>8772</v>
      </c>
      <c r="P4196" s="9">
        <v>0</v>
      </c>
      <c r="Q4196" s="9">
        <v>0</v>
      </c>
      <c r="R4196" s="2"/>
    </row>
    <row r="4197" spans="1:18" x14ac:dyDescent="0.25">
      <c r="A4197" s="2" t="s">
        <v>17502</v>
      </c>
      <c r="B4197" s="6">
        <v>46174</v>
      </c>
      <c r="C4197" s="8">
        <v>46175</v>
      </c>
      <c r="D4197" s="2" t="s">
        <v>7433</v>
      </c>
      <c r="E4197" s="2" t="s">
        <v>16959</v>
      </c>
      <c r="F4197" s="2" t="s">
        <v>15304</v>
      </c>
      <c r="G4197" s="2" t="s">
        <v>17503</v>
      </c>
      <c r="H4197" s="2" t="s">
        <v>76</v>
      </c>
      <c r="I4197" s="9">
        <v>243756760</v>
      </c>
      <c r="J4197" s="7">
        <v>6.2500000000000001E-5</v>
      </c>
      <c r="K4197" s="9">
        <v>15234.8</v>
      </c>
      <c r="L4197" s="14">
        <v>0</v>
      </c>
      <c r="M4197" s="2" t="s">
        <v>71</v>
      </c>
      <c r="N4197" s="2" t="s">
        <v>16961</v>
      </c>
      <c r="O4197" s="2" t="s">
        <v>8777</v>
      </c>
      <c r="P4197" s="9">
        <v>0</v>
      </c>
      <c r="Q4197" s="9">
        <v>0</v>
      </c>
      <c r="R4197" s="2"/>
    </row>
    <row r="4198" spans="1:18" x14ac:dyDescent="0.25">
      <c r="A4198" s="2" t="s">
        <v>17504</v>
      </c>
      <c r="B4198" s="6">
        <v>46174</v>
      </c>
      <c r="C4198" s="8">
        <v>46176</v>
      </c>
      <c r="D4198" s="2" t="s">
        <v>7433</v>
      </c>
      <c r="E4198" s="2" t="s">
        <v>16959</v>
      </c>
      <c r="F4198" s="2" t="s">
        <v>15308</v>
      </c>
      <c r="G4198" s="2" t="s">
        <v>17505</v>
      </c>
      <c r="H4198" s="2" t="s">
        <v>70</v>
      </c>
      <c r="I4198" s="9">
        <v>23388.163909999999</v>
      </c>
      <c r="J4198" s="7">
        <v>0.66500000000000004</v>
      </c>
      <c r="K4198" s="9">
        <v>15553.13</v>
      </c>
      <c r="L4198" s="14">
        <v>0</v>
      </c>
      <c r="M4198" s="2" t="s">
        <v>71</v>
      </c>
      <c r="N4198" s="2" t="s">
        <v>16961</v>
      </c>
      <c r="O4198" s="2" t="s">
        <v>8782</v>
      </c>
      <c r="P4198" s="9">
        <v>0</v>
      </c>
      <c r="Q4198" s="9">
        <v>0</v>
      </c>
      <c r="R4198" s="2"/>
    </row>
    <row r="4199" spans="1:18" x14ac:dyDescent="0.25">
      <c r="A4199" s="2" t="s">
        <v>17506</v>
      </c>
      <c r="B4199" s="6">
        <v>46174</v>
      </c>
      <c r="C4199" s="8">
        <v>46177</v>
      </c>
      <c r="D4199" s="2" t="s">
        <v>7433</v>
      </c>
      <c r="E4199" s="2" t="s">
        <v>16959</v>
      </c>
      <c r="F4199" s="2" t="s">
        <v>15312</v>
      </c>
      <c r="G4199" s="2" t="s">
        <v>17507</v>
      </c>
      <c r="H4199" s="2" t="s">
        <v>39</v>
      </c>
      <c r="I4199" s="9">
        <v>15871.472</v>
      </c>
      <c r="J4199" s="7">
        <v>1</v>
      </c>
      <c r="K4199" s="9">
        <v>15871.47</v>
      </c>
      <c r="L4199" s="14">
        <v>0</v>
      </c>
      <c r="M4199" s="2" t="s">
        <v>71</v>
      </c>
      <c r="N4199" s="2" t="s">
        <v>16961</v>
      </c>
      <c r="O4199" s="2" t="s">
        <v>8787</v>
      </c>
      <c r="P4199" s="9">
        <v>0</v>
      </c>
      <c r="Q4199" s="9">
        <v>0</v>
      </c>
      <c r="R4199" s="2"/>
    </row>
    <row r="4200" spans="1:18" x14ac:dyDescent="0.25">
      <c r="A4200" s="2" t="s">
        <v>17508</v>
      </c>
      <c r="B4200" s="6">
        <v>46174</v>
      </c>
      <c r="C4200" s="8">
        <v>46178</v>
      </c>
      <c r="D4200" s="2" t="s">
        <v>7433</v>
      </c>
      <c r="E4200" s="2" t="s">
        <v>16959</v>
      </c>
      <c r="F4200" s="2" t="s">
        <v>15316</v>
      </c>
      <c r="G4200" s="2" t="s">
        <v>17509</v>
      </c>
      <c r="H4200" s="2" t="s">
        <v>76</v>
      </c>
      <c r="I4200" s="9">
        <v>259037040</v>
      </c>
      <c r="J4200" s="7">
        <v>6.2500000000000001E-5</v>
      </c>
      <c r="K4200" s="9">
        <v>16189.81</v>
      </c>
      <c r="L4200" s="14">
        <v>0</v>
      </c>
      <c r="M4200" s="2" t="s">
        <v>71</v>
      </c>
      <c r="N4200" s="2" t="s">
        <v>16961</v>
      </c>
      <c r="O4200" s="2" t="s">
        <v>8792</v>
      </c>
      <c r="P4200" s="9">
        <v>0</v>
      </c>
      <c r="Q4200" s="9">
        <v>0</v>
      </c>
      <c r="R4200" s="2"/>
    </row>
    <row r="4201" spans="1:18" x14ac:dyDescent="0.25">
      <c r="A4201" s="2" t="s">
        <v>17510</v>
      </c>
      <c r="B4201" s="6">
        <v>46174</v>
      </c>
      <c r="C4201" s="8">
        <v>46179</v>
      </c>
      <c r="D4201" s="2" t="s">
        <v>7433</v>
      </c>
      <c r="E4201" s="2" t="s">
        <v>16959</v>
      </c>
      <c r="F4201" s="2" t="s">
        <v>15320</v>
      </c>
      <c r="G4201" s="2" t="s">
        <v>17511</v>
      </c>
      <c r="H4201" s="2" t="s">
        <v>70</v>
      </c>
      <c r="I4201" s="9">
        <v>24824.280450999999</v>
      </c>
      <c r="J4201" s="7">
        <v>0.66500000000000004</v>
      </c>
      <c r="K4201" s="9">
        <v>16508.150000000001</v>
      </c>
      <c r="L4201" s="14">
        <v>0</v>
      </c>
      <c r="M4201" s="2" t="s">
        <v>71</v>
      </c>
      <c r="N4201" s="2" t="s">
        <v>16961</v>
      </c>
      <c r="O4201" s="2" t="s">
        <v>8797</v>
      </c>
      <c r="P4201" s="9">
        <v>0</v>
      </c>
      <c r="Q4201" s="9">
        <v>0</v>
      </c>
      <c r="R4201" s="2"/>
    </row>
    <row r="4202" spans="1:18" x14ac:dyDescent="0.25">
      <c r="A4202" s="2" t="s">
        <v>17512</v>
      </c>
      <c r="B4202" s="6">
        <v>46174</v>
      </c>
      <c r="C4202" s="8">
        <v>46180</v>
      </c>
      <c r="D4202" s="2" t="s">
        <v>7433</v>
      </c>
      <c r="E4202" s="2" t="s">
        <v>16959</v>
      </c>
      <c r="F4202" s="2" t="s">
        <v>15324</v>
      </c>
      <c r="G4202" s="2" t="s">
        <v>17513</v>
      </c>
      <c r="H4202" s="2" t="s">
        <v>39</v>
      </c>
      <c r="I4202" s="9">
        <v>16826.4895</v>
      </c>
      <c r="J4202" s="7">
        <v>1</v>
      </c>
      <c r="K4202" s="9">
        <v>16826.490000000002</v>
      </c>
      <c r="L4202" s="14">
        <v>0</v>
      </c>
      <c r="M4202" s="2" t="s">
        <v>71</v>
      </c>
      <c r="N4202" s="2" t="s">
        <v>16961</v>
      </c>
      <c r="O4202" s="2" t="s">
        <v>8802</v>
      </c>
      <c r="P4202" s="9">
        <v>0</v>
      </c>
      <c r="Q4202" s="9">
        <v>0</v>
      </c>
      <c r="R4202" s="2"/>
    </row>
    <row r="4203" spans="1:18" x14ac:dyDescent="0.25">
      <c r="A4203" s="2" t="s">
        <v>17514</v>
      </c>
      <c r="B4203" s="6">
        <v>46174</v>
      </c>
      <c r="C4203" s="8">
        <v>46181</v>
      </c>
      <c r="D4203" s="2" t="s">
        <v>7433</v>
      </c>
      <c r="E4203" s="2" t="s">
        <v>16959</v>
      </c>
      <c r="F4203" s="2" t="s">
        <v>15328</v>
      </c>
      <c r="G4203" s="2" t="s">
        <v>17515</v>
      </c>
      <c r="H4203" s="2" t="s">
        <v>76</v>
      </c>
      <c r="I4203" s="9">
        <v>274317136</v>
      </c>
      <c r="J4203" s="7">
        <v>6.2500000000000001E-5</v>
      </c>
      <c r="K4203" s="9">
        <v>17144.82</v>
      </c>
      <c r="L4203" s="14">
        <v>0</v>
      </c>
      <c r="M4203" s="2" t="s">
        <v>71</v>
      </c>
      <c r="N4203" s="2" t="s">
        <v>16961</v>
      </c>
      <c r="O4203" s="2" t="s">
        <v>8807</v>
      </c>
      <c r="P4203" s="9">
        <v>0</v>
      </c>
      <c r="Q4203" s="9">
        <v>0</v>
      </c>
      <c r="R4203" s="2"/>
    </row>
    <row r="4204" spans="1:18" x14ac:dyDescent="0.25">
      <c r="A4204" s="2" t="s">
        <v>17516</v>
      </c>
      <c r="B4204" s="6">
        <v>46174</v>
      </c>
      <c r="C4204" s="8">
        <v>46182</v>
      </c>
      <c r="D4204" s="2" t="s">
        <v>7433</v>
      </c>
      <c r="E4204" s="2" t="s">
        <v>16959</v>
      </c>
      <c r="F4204" s="2" t="s">
        <v>15332</v>
      </c>
      <c r="G4204" s="2" t="s">
        <v>17517</v>
      </c>
      <c r="H4204" s="2" t="s">
        <v>70</v>
      </c>
      <c r="I4204" s="9">
        <v>26260.396992999998</v>
      </c>
      <c r="J4204" s="7">
        <v>0.66500000000000004</v>
      </c>
      <c r="K4204" s="9">
        <v>17463.16</v>
      </c>
      <c r="L4204" s="14">
        <v>0</v>
      </c>
      <c r="M4204" s="2" t="s">
        <v>71</v>
      </c>
      <c r="N4204" s="2" t="s">
        <v>16961</v>
      </c>
      <c r="O4204" s="2" t="s">
        <v>8812</v>
      </c>
      <c r="P4204" s="9">
        <v>0</v>
      </c>
      <c r="Q4204" s="9">
        <v>0</v>
      </c>
      <c r="R4204" s="2"/>
    </row>
    <row r="4205" spans="1:18" x14ac:dyDescent="0.25">
      <c r="A4205" s="2" t="s">
        <v>17518</v>
      </c>
      <c r="B4205" s="6">
        <v>46174</v>
      </c>
      <c r="C4205" s="8">
        <v>46183</v>
      </c>
      <c r="D4205" s="2" t="s">
        <v>7433</v>
      </c>
      <c r="E4205" s="2" t="s">
        <v>16959</v>
      </c>
      <c r="F4205" s="2" t="s">
        <v>15336</v>
      </c>
      <c r="G4205" s="2" t="s">
        <v>17519</v>
      </c>
      <c r="H4205" s="2" t="s">
        <v>39</v>
      </c>
      <c r="I4205" s="9">
        <v>17781.507000000001</v>
      </c>
      <c r="J4205" s="7">
        <v>1</v>
      </c>
      <c r="K4205" s="9">
        <v>17781.509999999998</v>
      </c>
      <c r="L4205" s="14">
        <v>0</v>
      </c>
      <c r="M4205" s="2" t="s">
        <v>71</v>
      </c>
      <c r="N4205" s="2" t="s">
        <v>16961</v>
      </c>
      <c r="O4205" s="2" t="s">
        <v>8817</v>
      </c>
      <c r="P4205" s="9">
        <v>0</v>
      </c>
      <c r="Q4205" s="9">
        <v>0</v>
      </c>
      <c r="R4205" s="2"/>
    </row>
    <row r="4206" spans="1:18" x14ac:dyDescent="0.25">
      <c r="A4206" s="2" t="s">
        <v>17520</v>
      </c>
      <c r="B4206" s="6">
        <v>46174</v>
      </c>
      <c r="C4206" s="8">
        <v>46184</v>
      </c>
      <c r="D4206" s="2" t="s">
        <v>7433</v>
      </c>
      <c r="E4206" s="2" t="s">
        <v>16959</v>
      </c>
      <c r="F4206" s="2" t="s">
        <v>15300</v>
      </c>
      <c r="G4206" s="2" t="s">
        <v>17521</v>
      </c>
      <c r="H4206" s="2" t="s">
        <v>76</v>
      </c>
      <c r="I4206" s="9">
        <v>289597416</v>
      </c>
      <c r="J4206" s="7">
        <v>6.2500000000000001E-5</v>
      </c>
      <c r="K4206" s="9">
        <v>18099.84</v>
      </c>
      <c r="L4206" s="14">
        <v>0</v>
      </c>
      <c r="M4206" s="2" t="s">
        <v>71</v>
      </c>
      <c r="N4206" s="2" t="s">
        <v>16961</v>
      </c>
      <c r="O4206" s="2" t="s">
        <v>8822</v>
      </c>
      <c r="P4206" s="9">
        <v>0</v>
      </c>
      <c r="Q4206" s="9">
        <v>0</v>
      </c>
      <c r="R4206" s="2"/>
    </row>
    <row r="4207" spans="1:18" x14ac:dyDescent="0.25">
      <c r="A4207" s="2" t="s">
        <v>17522</v>
      </c>
      <c r="B4207" s="6">
        <v>46174</v>
      </c>
      <c r="C4207" s="8">
        <v>46185</v>
      </c>
      <c r="D4207" s="2" t="s">
        <v>7433</v>
      </c>
      <c r="E4207" s="2" t="s">
        <v>16959</v>
      </c>
      <c r="F4207" s="2" t="s">
        <v>15304</v>
      </c>
      <c r="G4207" s="2" t="s">
        <v>17523</v>
      </c>
      <c r="H4207" s="2" t="s">
        <v>70</v>
      </c>
      <c r="I4207" s="9">
        <v>27696.513534000002</v>
      </c>
      <c r="J4207" s="7">
        <v>0.66500000000000004</v>
      </c>
      <c r="K4207" s="9">
        <v>18418.18</v>
      </c>
      <c r="L4207" s="14">
        <v>0</v>
      </c>
      <c r="M4207" s="2" t="s">
        <v>71</v>
      </c>
      <c r="N4207" s="2" t="s">
        <v>16961</v>
      </c>
      <c r="O4207" s="2" t="s">
        <v>8827</v>
      </c>
      <c r="P4207" s="9">
        <v>0</v>
      </c>
      <c r="Q4207" s="9">
        <v>0</v>
      </c>
      <c r="R4207" s="2"/>
    </row>
    <row r="4208" spans="1:18" x14ac:dyDescent="0.25">
      <c r="A4208" s="2" t="s">
        <v>17524</v>
      </c>
      <c r="B4208" s="6">
        <v>46174</v>
      </c>
      <c r="C4208" s="8">
        <v>46186</v>
      </c>
      <c r="D4208" s="2" t="s">
        <v>7433</v>
      </c>
      <c r="E4208" s="2" t="s">
        <v>16959</v>
      </c>
      <c r="F4208" s="2" t="s">
        <v>15308</v>
      </c>
      <c r="G4208" s="2" t="s">
        <v>17525</v>
      </c>
      <c r="H4208" s="2" t="s">
        <v>39</v>
      </c>
      <c r="I4208" s="9">
        <v>18736.512999999999</v>
      </c>
      <c r="J4208" s="7">
        <v>1</v>
      </c>
      <c r="K4208" s="9">
        <v>18736.509999999998</v>
      </c>
      <c r="L4208" s="14">
        <v>0</v>
      </c>
      <c r="M4208" s="2" t="s">
        <v>71</v>
      </c>
      <c r="N4208" s="2" t="s">
        <v>16961</v>
      </c>
      <c r="O4208" s="2" t="s">
        <v>8832</v>
      </c>
      <c r="P4208" s="9">
        <v>0</v>
      </c>
      <c r="Q4208" s="9">
        <v>0</v>
      </c>
      <c r="R4208" s="2"/>
    </row>
    <row r="4209" spans="1:18" x14ac:dyDescent="0.25">
      <c r="A4209" s="2" t="s">
        <v>17526</v>
      </c>
      <c r="B4209" s="6">
        <v>46174</v>
      </c>
      <c r="C4209" s="8">
        <v>46187</v>
      </c>
      <c r="D4209" s="2" t="s">
        <v>7433</v>
      </c>
      <c r="E4209" s="2" t="s">
        <v>16959</v>
      </c>
      <c r="F4209" s="2" t="s">
        <v>15312</v>
      </c>
      <c r="G4209" s="2" t="s">
        <v>17527</v>
      </c>
      <c r="H4209" s="2" t="s">
        <v>76</v>
      </c>
      <c r="I4209" s="9">
        <v>304877696</v>
      </c>
      <c r="J4209" s="7">
        <v>6.2500000000000001E-5</v>
      </c>
      <c r="K4209" s="9">
        <v>19054.86</v>
      </c>
      <c r="L4209" s="14">
        <v>0</v>
      </c>
      <c r="M4209" s="2" t="s">
        <v>71</v>
      </c>
      <c r="N4209" s="2" t="s">
        <v>16961</v>
      </c>
      <c r="O4209" s="2" t="s">
        <v>8837</v>
      </c>
      <c r="P4209" s="9">
        <v>0</v>
      </c>
      <c r="Q4209" s="9">
        <v>0</v>
      </c>
      <c r="R4209" s="2"/>
    </row>
    <row r="4210" spans="1:18" x14ac:dyDescent="0.25">
      <c r="A4210" s="2" t="s">
        <v>17528</v>
      </c>
      <c r="B4210" s="6">
        <v>46174</v>
      </c>
      <c r="C4210" s="8">
        <v>46188</v>
      </c>
      <c r="D4210" s="2" t="s">
        <v>7433</v>
      </c>
      <c r="E4210" s="2" t="s">
        <v>16959</v>
      </c>
      <c r="F4210" s="2" t="s">
        <v>15316</v>
      </c>
      <c r="G4210" s="2" t="s">
        <v>17529</v>
      </c>
      <c r="H4210" s="2" t="s">
        <v>70</v>
      </c>
      <c r="I4210" s="9">
        <v>29132.630076000001</v>
      </c>
      <c r="J4210" s="7">
        <v>0.66500000000000004</v>
      </c>
      <c r="K4210" s="9">
        <v>19373.2</v>
      </c>
      <c r="L4210" s="14">
        <v>0</v>
      </c>
      <c r="M4210" s="2" t="s">
        <v>71</v>
      </c>
      <c r="N4210" s="2" t="s">
        <v>16961</v>
      </c>
      <c r="O4210" s="2" t="s">
        <v>8842</v>
      </c>
      <c r="P4210" s="9">
        <v>0</v>
      </c>
      <c r="Q4210" s="9">
        <v>0</v>
      </c>
      <c r="R4210" s="2"/>
    </row>
    <row r="4211" spans="1:18" x14ac:dyDescent="0.25">
      <c r="A4211" s="2" t="s">
        <v>17530</v>
      </c>
      <c r="B4211" s="6">
        <v>46174</v>
      </c>
      <c r="C4211" s="8">
        <v>46189</v>
      </c>
      <c r="D4211" s="2" t="s">
        <v>7433</v>
      </c>
      <c r="E4211" s="2" t="s">
        <v>16959</v>
      </c>
      <c r="F4211" s="2" t="s">
        <v>15320</v>
      </c>
      <c r="G4211" s="2" t="s">
        <v>17531</v>
      </c>
      <c r="H4211" s="2" t="s">
        <v>39</v>
      </c>
      <c r="I4211" s="9">
        <v>19691.530500000001</v>
      </c>
      <c r="J4211" s="7">
        <v>1</v>
      </c>
      <c r="K4211" s="9">
        <v>19691.53</v>
      </c>
      <c r="L4211" s="14">
        <v>0</v>
      </c>
      <c r="M4211" s="2" t="s">
        <v>71</v>
      </c>
      <c r="N4211" s="2" t="s">
        <v>16961</v>
      </c>
      <c r="O4211" s="2" t="s">
        <v>8847</v>
      </c>
      <c r="P4211" s="9">
        <v>0</v>
      </c>
      <c r="Q4211" s="9">
        <v>0</v>
      </c>
      <c r="R4211" s="2"/>
    </row>
    <row r="4212" spans="1:18" x14ac:dyDescent="0.25">
      <c r="A4212" s="2" t="s">
        <v>17532</v>
      </c>
      <c r="B4212" s="6">
        <v>46174</v>
      </c>
      <c r="C4212" s="8">
        <v>46190</v>
      </c>
      <c r="D4212" s="2" t="s">
        <v>7433</v>
      </c>
      <c r="E4212" s="2" t="s">
        <v>16959</v>
      </c>
      <c r="F4212" s="2" t="s">
        <v>15324</v>
      </c>
      <c r="G4212" s="2" t="s">
        <v>17533</v>
      </c>
      <c r="H4212" s="2" t="s">
        <v>76</v>
      </c>
      <c r="I4212" s="9">
        <v>-320157976</v>
      </c>
      <c r="J4212" s="7">
        <v>6.2500000000000001E-5</v>
      </c>
      <c r="K4212" s="9">
        <v>-20009.87</v>
      </c>
      <c r="L4212" s="14">
        <v>0</v>
      </c>
      <c r="M4212" s="2" t="s">
        <v>71</v>
      </c>
      <c r="N4212" s="2" t="s">
        <v>16961</v>
      </c>
      <c r="O4212" s="2" t="s">
        <v>8852</v>
      </c>
      <c r="P4212" s="9">
        <v>0</v>
      </c>
      <c r="Q4212" s="9">
        <v>0</v>
      </c>
      <c r="R4212" s="2"/>
    </row>
    <row r="4213" spans="1:18" x14ac:dyDescent="0.25">
      <c r="A4213" s="2" t="s">
        <v>17534</v>
      </c>
      <c r="B4213" s="6">
        <v>46174</v>
      </c>
      <c r="C4213" s="8">
        <v>46191</v>
      </c>
      <c r="D4213" s="2" t="s">
        <v>7433</v>
      </c>
      <c r="E4213" s="2" t="s">
        <v>16959</v>
      </c>
      <c r="F4213" s="2" t="s">
        <v>15328</v>
      </c>
      <c r="G4213" s="2" t="s">
        <v>17535</v>
      </c>
      <c r="H4213" s="2" t="s">
        <v>70</v>
      </c>
      <c r="I4213" s="9">
        <v>30568.729323</v>
      </c>
      <c r="J4213" s="7">
        <v>0.66500000000000004</v>
      </c>
      <c r="K4213" s="9">
        <v>20328.2</v>
      </c>
      <c r="L4213" s="14">
        <v>0</v>
      </c>
      <c r="M4213" s="2" t="s">
        <v>71</v>
      </c>
      <c r="N4213" s="2" t="s">
        <v>16961</v>
      </c>
      <c r="O4213" s="2" t="s">
        <v>8855</v>
      </c>
      <c r="P4213" s="9">
        <v>0</v>
      </c>
      <c r="Q4213" s="9">
        <v>0</v>
      </c>
      <c r="R4213" s="2"/>
    </row>
    <row r="4214" spans="1:18" x14ac:dyDescent="0.25">
      <c r="A4214" s="2" t="s">
        <v>17536</v>
      </c>
      <c r="B4214" s="6">
        <v>46174</v>
      </c>
      <c r="C4214" s="8">
        <v>46192</v>
      </c>
      <c r="D4214" s="2" t="s">
        <v>7433</v>
      </c>
      <c r="E4214" s="2" t="s">
        <v>16959</v>
      </c>
      <c r="F4214" s="2" t="s">
        <v>15332</v>
      </c>
      <c r="G4214" s="2" t="s">
        <v>17537</v>
      </c>
      <c r="H4214" s="2" t="s">
        <v>39</v>
      </c>
      <c r="I4214" s="9">
        <v>20646.547999999999</v>
      </c>
      <c r="J4214" s="7">
        <v>1</v>
      </c>
      <c r="K4214" s="9">
        <v>20646.55</v>
      </c>
      <c r="L4214" s="14">
        <v>0</v>
      </c>
      <c r="M4214" s="2" t="s">
        <v>71</v>
      </c>
      <c r="N4214" s="2" t="s">
        <v>16961</v>
      </c>
      <c r="O4214" s="2" t="s">
        <v>8860</v>
      </c>
      <c r="P4214" s="9">
        <v>0</v>
      </c>
      <c r="Q4214" s="9">
        <v>0</v>
      </c>
      <c r="R4214" s="2"/>
    </row>
    <row r="4215" spans="1:18" x14ac:dyDescent="0.25">
      <c r="A4215" s="2" t="s">
        <v>17538</v>
      </c>
      <c r="B4215" s="6">
        <v>46174</v>
      </c>
      <c r="C4215" s="8">
        <v>46193</v>
      </c>
      <c r="D4215" s="2" t="s">
        <v>7433</v>
      </c>
      <c r="E4215" s="2" t="s">
        <v>16959</v>
      </c>
      <c r="F4215" s="2" t="s">
        <v>15336</v>
      </c>
      <c r="G4215" s="2" t="s">
        <v>17539</v>
      </c>
      <c r="H4215" s="2" t="s">
        <v>76</v>
      </c>
      <c r="I4215" s="9">
        <v>335438256</v>
      </c>
      <c r="J4215" s="7">
        <v>6.2500000000000001E-5</v>
      </c>
      <c r="K4215" s="9">
        <v>20964.89</v>
      </c>
      <c r="L4215" s="14">
        <v>0</v>
      </c>
      <c r="M4215" s="2" t="s">
        <v>71</v>
      </c>
      <c r="N4215" s="2" t="s">
        <v>16961</v>
      </c>
      <c r="O4215" s="2" t="s">
        <v>8865</v>
      </c>
      <c r="P4215" s="9">
        <v>0</v>
      </c>
      <c r="Q4215" s="9">
        <v>0</v>
      </c>
      <c r="R4215" s="2"/>
    </row>
    <row r="4216" spans="1:18" x14ac:dyDescent="0.25">
      <c r="A4216" s="2" t="s">
        <v>17540</v>
      </c>
      <c r="B4216" s="6">
        <v>46174</v>
      </c>
      <c r="C4216" s="8">
        <v>46194</v>
      </c>
      <c r="D4216" s="2" t="s">
        <v>7433</v>
      </c>
      <c r="E4216" s="2" t="s">
        <v>16959</v>
      </c>
      <c r="F4216" s="2" t="s">
        <v>15300</v>
      </c>
      <c r="G4216" s="2" t="s">
        <v>17541</v>
      </c>
      <c r="H4216" s="2" t="s">
        <v>70</v>
      </c>
      <c r="I4216" s="9">
        <v>32002.165413999999</v>
      </c>
      <c r="J4216" s="7">
        <v>0.66500000000000004</v>
      </c>
      <c r="K4216" s="9">
        <v>21281.439999999999</v>
      </c>
      <c r="L4216" s="14">
        <v>0</v>
      </c>
      <c r="M4216" s="2" t="s">
        <v>71</v>
      </c>
      <c r="N4216" s="2" t="s">
        <v>16961</v>
      </c>
      <c r="O4216" s="2" t="s">
        <v>8870</v>
      </c>
      <c r="P4216" s="9">
        <v>0</v>
      </c>
      <c r="Q4216" s="9">
        <v>0</v>
      </c>
      <c r="R4216" s="2"/>
    </row>
    <row r="4217" spans="1:18" x14ac:dyDescent="0.25">
      <c r="A4217" s="2" t="s">
        <v>17542</v>
      </c>
      <c r="B4217" s="6">
        <v>46174</v>
      </c>
      <c r="C4217" s="8">
        <v>46195</v>
      </c>
      <c r="D4217" s="2" t="s">
        <v>7433</v>
      </c>
      <c r="E4217" s="2" t="s">
        <v>16959</v>
      </c>
      <c r="F4217" s="2" t="s">
        <v>15304</v>
      </c>
      <c r="G4217" s="2" t="s">
        <v>17543</v>
      </c>
      <c r="H4217" s="2" t="s">
        <v>39</v>
      </c>
      <c r="I4217" s="9">
        <v>21599.782999999999</v>
      </c>
      <c r="J4217" s="7">
        <v>1</v>
      </c>
      <c r="K4217" s="9">
        <v>21599.78</v>
      </c>
      <c r="L4217" s="14">
        <v>0</v>
      </c>
      <c r="M4217" s="2" t="s">
        <v>71</v>
      </c>
      <c r="N4217" s="2" t="s">
        <v>16961</v>
      </c>
      <c r="O4217" s="2" t="s">
        <v>8875</v>
      </c>
      <c r="P4217" s="9">
        <v>0</v>
      </c>
      <c r="Q4217" s="9">
        <v>0</v>
      </c>
      <c r="R4217" s="2"/>
    </row>
    <row r="4218" spans="1:18" x14ac:dyDescent="0.25">
      <c r="A4218" s="2" t="s">
        <v>17544</v>
      </c>
      <c r="B4218" s="6">
        <v>46174</v>
      </c>
      <c r="C4218" s="8">
        <v>46196</v>
      </c>
      <c r="D4218" s="2" t="s">
        <v>7433</v>
      </c>
      <c r="E4218" s="2" t="s">
        <v>16959</v>
      </c>
      <c r="F4218" s="2" t="s">
        <v>15308</v>
      </c>
      <c r="G4218" s="2" t="s">
        <v>17545</v>
      </c>
      <c r="H4218" s="2" t="s">
        <v>76</v>
      </c>
      <c r="I4218" s="9">
        <v>350689832</v>
      </c>
      <c r="J4218" s="7">
        <v>6.2500000000000001E-5</v>
      </c>
      <c r="K4218" s="9">
        <v>21918.11</v>
      </c>
      <c r="L4218" s="14">
        <v>0</v>
      </c>
      <c r="M4218" s="2" t="s">
        <v>71</v>
      </c>
      <c r="N4218" s="2" t="s">
        <v>16961</v>
      </c>
      <c r="O4218" s="2" t="s">
        <v>8880</v>
      </c>
      <c r="P4218" s="9">
        <v>0</v>
      </c>
      <c r="Q4218" s="9">
        <v>0</v>
      </c>
      <c r="R4218" s="2"/>
    </row>
    <row r="4219" spans="1:18" x14ac:dyDescent="0.25">
      <c r="A4219" s="2" t="s">
        <v>17546</v>
      </c>
      <c r="B4219" s="6">
        <v>46174</v>
      </c>
      <c r="C4219" s="8">
        <v>46197</v>
      </c>
      <c r="D4219" s="2" t="s">
        <v>7433</v>
      </c>
      <c r="E4219" s="2" t="s">
        <v>16959</v>
      </c>
      <c r="F4219" s="2" t="s">
        <v>15312</v>
      </c>
      <c r="G4219" s="2" t="s">
        <v>17547</v>
      </c>
      <c r="H4219" s="2" t="s">
        <v>70</v>
      </c>
      <c r="I4219" s="9">
        <v>33438.281954999999</v>
      </c>
      <c r="J4219" s="7">
        <v>0.66500000000000004</v>
      </c>
      <c r="K4219" s="9">
        <v>22236.46</v>
      </c>
      <c r="L4219" s="14">
        <v>0</v>
      </c>
      <c r="M4219" s="2" t="s">
        <v>71</v>
      </c>
      <c r="N4219" s="2" t="s">
        <v>16961</v>
      </c>
      <c r="O4219" s="2" t="s">
        <v>8885</v>
      </c>
      <c r="P4219" s="9">
        <v>0</v>
      </c>
      <c r="Q4219" s="9">
        <v>0</v>
      </c>
      <c r="R4219" s="2"/>
    </row>
    <row r="4220" spans="1:18" x14ac:dyDescent="0.25">
      <c r="A4220" s="2" t="s">
        <v>17548</v>
      </c>
      <c r="B4220" s="6">
        <v>46174</v>
      </c>
      <c r="C4220" s="8">
        <v>46198</v>
      </c>
      <c r="D4220" s="2" t="s">
        <v>7433</v>
      </c>
      <c r="E4220" s="2" t="s">
        <v>16959</v>
      </c>
      <c r="F4220" s="2" t="s">
        <v>15316</v>
      </c>
      <c r="G4220" s="2" t="s">
        <v>17549</v>
      </c>
      <c r="H4220" s="2" t="s">
        <v>39</v>
      </c>
      <c r="I4220" s="9">
        <v>22554.789000000001</v>
      </c>
      <c r="J4220" s="7">
        <v>1</v>
      </c>
      <c r="K4220" s="9">
        <v>22554.79</v>
      </c>
      <c r="L4220" s="14">
        <v>0</v>
      </c>
      <c r="M4220" s="2" t="s">
        <v>71</v>
      </c>
      <c r="N4220" s="2" t="s">
        <v>16961</v>
      </c>
      <c r="O4220" s="2" t="s">
        <v>8890</v>
      </c>
      <c r="P4220" s="9">
        <v>0</v>
      </c>
      <c r="Q4220" s="9">
        <v>0</v>
      </c>
      <c r="R4220" s="2"/>
    </row>
    <row r="4221" spans="1:18" x14ac:dyDescent="0.25">
      <c r="A4221" s="2" t="s">
        <v>17550</v>
      </c>
      <c r="B4221" s="6">
        <v>46174</v>
      </c>
      <c r="C4221" s="8">
        <v>46199</v>
      </c>
      <c r="D4221" s="2" t="s">
        <v>7433</v>
      </c>
      <c r="E4221" s="2" t="s">
        <v>16959</v>
      </c>
      <c r="F4221" s="2" t="s">
        <v>15320</v>
      </c>
      <c r="G4221" s="2" t="s">
        <v>17551</v>
      </c>
      <c r="H4221" s="2" t="s">
        <v>76</v>
      </c>
      <c r="I4221" s="9">
        <v>365970112</v>
      </c>
      <c r="J4221" s="7">
        <v>6.2500000000000001E-5</v>
      </c>
      <c r="K4221" s="9">
        <v>22873.13</v>
      </c>
      <c r="L4221" s="14">
        <v>0</v>
      </c>
      <c r="M4221" s="2" t="s">
        <v>71</v>
      </c>
      <c r="N4221" s="2" t="s">
        <v>16961</v>
      </c>
      <c r="O4221" s="2" t="s">
        <v>8895</v>
      </c>
      <c r="P4221" s="9">
        <v>0</v>
      </c>
      <c r="Q4221" s="9">
        <v>0</v>
      </c>
      <c r="R4221" s="2"/>
    </row>
    <row r="4222" spans="1:18" x14ac:dyDescent="0.25">
      <c r="A4222" s="2" t="s">
        <v>17552</v>
      </c>
      <c r="B4222" s="6">
        <v>46174</v>
      </c>
      <c r="C4222" s="8">
        <v>46200</v>
      </c>
      <c r="D4222" s="2" t="s">
        <v>7433</v>
      </c>
      <c r="E4222" s="2" t="s">
        <v>16959</v>
      </c>
      <c r="F4222" s="2" t="s">
        <v>15324</v>
      </c>
      <c r="G4222" s="2" t="s">
        <v>17553</v>
      </c>
      <c r="H4222" s="2" t="s">
        <v>70</v>
      </c>
      <c r="I4222" s="9">
        <v>34874.398496000002</v>
      </c>
      <c r="J4222" s="7">
        <v>0.66500000000000004</v>
      </c>
      <c r="K4222" s="9">
        <v>23191.48</v>
      </c>
      <c r="L4222" s="14">
        <v>0</v>
      </c>
      <c r="M4222" s="2" t="s">
        <v>71</v>
      </c>
      <c r="N4222" s="2" t="s">
        <v>16961</v>
      </c>
      <c r="O4222" s="2" t="s">
        <v>8900</v>
      </c>
      <c r="P4222" s="9">
        <v>0</v>
      </c>
      <c r="Q4222" s="9">
        <v>0</v>
      </c>
      <c r="R4222" s="2"/>
    </row>
    <row r="4223" spans="1:18" x14ac:dyDescent="0.25">
      <c r="A4223" s="2" t="s">
        <v>17554</v>
      </c>
      <c r="B4223" s="6">
        <v>46174</v>
      </c>
      <c r="C4223" s="8">
        <v>46201</v>
      </c>
      <c r="D4223" s="2" t="s">
        <v>7433</v>
      </c>
      <c r="E4223" s="2" t="s">
        <v>16959</v>
      </c>
      <c r="F4223" s="2" t="s">
        <v>15328</v>
      </c>
      <c r="G4223" s="2" t="s">
        <v>17555</v>
      </c>
      <c r="H4223" s="2" t="s">
        <v>39</v>
      </c>
      <c r="I4223" s="9">
        <v>23509.806499999999</v>
      </c>
      <c r="J4223" s="7">
        <v>1</v>
      </c>
      <c r="K4223" s="9">
        <v>23509.81</v>
      </c>
      <c r="L4223" s="14">
        <v>0</v>
      </c>
      <c r="M4223" s="2" t="s">
        <v>71</v>
      </c>
      <c r="N4223" s="2" t="s">
        <v>16961</v>
      </c>
      <c r="O4223" s="2" t="s">
        <v>8905</v>
      </c>
      <c r="P4223" s="9">
        <v>0</v>
      </c>
      <c r="Q4223" s="9">
        <v>0</v>
      </c>
      <c r="R4223" s="2"/>
    </row>
    <row r="4224" spans="1:18" x14ac:dyDescent="0.25">
      <c r="A4224" s="2" t="s">
        <v>17556</v>
      </c>
      <c r="B4224" s="6">
        <v>46174</v>
      </c>
      <c r="C4224" s="8">
        <v>46202</v>
      </c>
      <c r="D4224" s="2" t="s">
        <v>7433</v>
      </c>
      <c r="E4224" s="2" t="s">
        <v>16959</v>
      </c>
      <c r="F4224" s="2" t="s">
        <v>15332</v>
      </c>
      <c r="G4224" s="2" t="s">
        <v>17557</v>
      </c>
      <c r="H4224" s="2" t="s">
        <v>76</v>
      </c>
      <c r="I4224" s="9">
        <v>381250392</v>
      </c>
      <c r="J4224" s="7">
        <v>6.2500000000000001E-5</v>
      </c>
      <c r="K4224" s="9">
        <v>23828.15</v>
      </c>
      <c r="L4224" s="14">
        <v>0</v>
      </c>
      <c r="M4224" s="2" t="s">
        <v>71</v>
      </c>
      <c r="N4224" s="2" t="s">
        <v>16961</v>
      </c>
      <c r="O4224" s="2" t="s">
        <v>8910</v>
      </c>
      <c r="P4224" s="9">
        <v>0</v>
      </c>
      <c r="Q4224" s="9">
        <v>0</v>
      </c>
      <c r="R4224" s="2"/>
    </row>
    <row r="4225" spans="1:18" x14ac:dyDescent="0.25">
      <c r="A4225" s="2" t="s">
        <v>17558</v>
      </c>
      <c r="B4225" s="6">
        <v>46174</v>
      </c>
      <c r="C4225" s="8">
        <v>46203</v>
      </c>
      <c r="D4225" s="2" t="s">
        <v>7433</v>
      </c>
      <c r="E4225" s="2" t="s">
        <v>16959</v>
      </c>
      <c r="F4225" s="2" t="s">
        <v>15336</v>
      </c>
      <c r="G4225" s="2" t="s">
        <v>17559</v>
      </c>
      <c r="H4225" s="2" t="s">
        <v>70</v>
      </c>
      <c r="I4225" s="9">
        <v>36310.497745000001</v>
      </c>
      <c r="J4225" s="7">
        <v>0.66500000000000004</v>
      </c>
      <c r="K4225" s="9">
        <v>24146.48</v>
      </c>
      <c r="L4225" s="14">
        <v>0</v>
      </c>
      <c r="M4225" s="2" t="s">
        <v>71</v>
      </c>
      <c r="N4225" s="2" t="s">
        <v>16961</v>
      </c>
      <c r="O4225" s="2" t="s">
        <v>8915</v>
      </c>
      <c r="P4225" s="9">
        <v>0</v>
      </c>
      <c r="Q4225" s="9">
        <v>0</v>
      </c>
      <c r="R4225" s="2"/>
    </row>
    <row r="4226" spans="1:18" x14ac:dyDescent="0.25">
      <c r="A4226" s="2" t="s">
        <v>17560</v>
      </c>
      <c r="B4226" s="6">
        <v>46174</v>
      </c>
      <c r="C4226" s="8">
        <v>46174</v>
      </c>
      <c r="D4226" s="2" t="s">
        <v>7433</v>
      </c>
      <c r="E4226" s="2" t="s">
        <v>16959</v>
      </c>
      <c r="F4226" s="2" t="s">
        <v>15300</v>
      </c>
      <c r="G4226" s="2" t="s">
        <v>17561</v>
      </c>
      <c r="H4226" s="2" t="s">
        <v>39</v>
      </c>
      <c r="I4226" s="9">
        <v>24464.824000000001</v>
      </c>
      <c r="J4226" s="7">
        <v>1</v>
      </c>
      <c r="K4226" s="9">
        <v>24464.82</v>
      </c>
      <c r="L4226" s="14">
        <v>0</v>
      </c>
      <c r="M4226" s="2" t="s">
        <v>71</v>
      </c>
      <c r="N4226" s="2" t="s">
        <v>16961</v>
      </c>
      <c r="O4226" s="2" t="s">
        <v>8920</v>
      </c>
      <c r="P4226" s="9">
        <v>0</v>
      </c>
      <c r="Q4226" s="9">
        <v>0</v>
      </c>
      <c r="R4226" s="2"/>
    </row>
    <row r="4227" spans="1:18" x14ac:dyDescent="0.25">
      <c r="A4227" s="2" t="s">
        <v>17562</v>
      </c>
      <c r="B4227" s="6">
        <v>46174</v>
      </c>
      <c r="C4227" s="8">
        <v>46175</v>
      </c>
      <c r="D4227" s="2" t="s">
        <v>7433</v>
      </c>
      <c r="E4227" s="2" t="s">
        <v>16959</v>
      </c>
      <c r="F4227" s="2" t="s">
        <v>15304</v>
      </c>
      <c r="G4227" s="2" t="s">
        <v>17563</v>
      </c>
      <c r="H4227" s="2" t="s">
        <v>76</v>
      </c>
      <c r="I4227" s="9">
        <v>396530672</v>
      </c>
      <c r="J4227" s="7">
        <v>6.2500000000000001E-5</v>
      </c>
      <c r="K4227" s="9">
        <v>24783.17</v>
      </c>
      <c r="L4227" s="14">
        <v>0</v>
      </c>
      <c r="M4227" s="2" t="s">
        <v>71</v>
      </c>
      <c r="N4227" s="2" t="s">
        <v>16961</v>
      </c>
      <c r="O4227" s="2" t="s">
        <v>8925</v>
      </c>
      <c r="P4227" s="9">
        <v>0</v>
      </c>
      <c r="Q4227" s="9">
        <v>0</v>
      </c>
      <c r="R4227" s="2"/>
    </row>
    <row r="4228" spans="1:18" x14ac:dyDescent="0.25">
      <c r="A4228" s="2" t="s">
        <v>17564</v>
      </c>
      <c r="B4228" s="6">
        <v>46174</v>
      </c>
      <c r="C4228" s="8">
        <v>46176</v>
      </c>
      <c r="D4228" s="2" t="s">
        <v>7433</v>
      </c>
      <c r="E4228" s="2" t="s">
        <v>16959</v>
      </c>
      <c r="F4228" s="2" t="s">
        <v>15308</v>
      </c>
      <c r="G4228" s="2" t="s">
        <v>17565</v>
      </c>
      <c r="H4228" s="2" t="s">
        <v>70</v>
      </c>
      <c r="I4228" s="9">
        <v>37746.614286000004</v>
      </c>
      <c r="J4228" s="7">
        <v>0.66500000000000004</v>
      </c>
      <c r="K4228" s="9">
        <v>25101.5</v>
      </c>
      <c r="L4228" s="14">
        <v>0</v>
      </c>
      <c r="M4228" s="2" t="s">
        <v>71</v>
      </c>
      <c r="N4228" s="2" t="s">
        <v>16961</v>
      </c>
      <c r="O4228" s="2" t="s">
        <v>8930</v>
      </c>
      <c r="P4228" s="9">
        <v>0</v>
      </c>
      <c r="Q4228" s="9">
        <v>0</v>
      </c>
      <c r="R4228" s="2"/>
    </row>
    <row r="4229" spans="1:18" x14ac:dyDescent="0.25">
      <c r="A4229" s="2" t="s">
        <v>17566</v>
      </c>
      <c r="B4229" s="6">
        <v>46174</v>
      </c>
      <c r="C4229" s="8">
        <v>46177</v>
      </c>
      <c r="D4229" s="2" t="s">
        <v>7433</v>
      </c>
      <c r="E4229" s="2" t="s">
        <v>16959</v>
      </c>
      <c r="F4229" s="2" t="s">
        <v>15312</v>
      </c>
      <c r="G4229" s="2" t="s">
        <v>17567</v>
      </c>
      <c r="H4229" s="2" t="s">
        <v>39</v>
      </c>
      <c r="I4229" s="9">
        <v>25419.841499999999</v>
      </c>
      <c r="J4229" s="7">
        <v>1</v>
      </c>
      <c r="K4229" s="9">
        <v>25419.84</v>
      </c>
      <c r="L4229" s="14">
        <v>0</v>
      </c>
      <c r="M4229" s="2" t="s">
        <v>71</v>
      </c>
      <c r="N4229" s="2" t="s">
        <v>16961</v>
      </c>
      <c r="O4229" s="2" t="s">
        <v>8935</v>
      </c>
      <c r="P4229" s="9">
        <v>0</v>
      </c>
      <c r="Q4229" s="9">
        <v>0</v>
      </c>
      <c r="R4229" s="2"/>
    </row>
    <row r="4230" spans="1:18" x14ac:dyDescent="0.25">
      <c r="A4230" s="2" t="s">
        <v>17568</v>
      </c>
      <c r="B4230" s="6">
        <v>46174</v>
      </c>
      <c r="C4230" s="8">
        <v>46178</v>
      </c>
      <c r="D4230" s="2" t="s">
        <v>7433</v>
      </c>
      <c r="E4230" s="2" t="s">
        <v>16959</v>
      </c>
      <c r="F4230" s="2" t="s">
        <v>15316</v>
      </c>
      <c r="G4230" s="2" t="s">
        <v>17569</v>
      </c>
      <c r="H4230" s="2" t="s">
        <v>76</v>
      </c>
      <c r="I4230" s="9">
        <v>411810768</v>
      </c>
      <c r="J4230" s="7">
        <v>6.2500000000000001E-5</v>
      </c>
      <c r="K4230" s="9">
        <v>25738.17</v>
      </c>
      <c r="L4230" s="14">
        <v>0</v>
      </c>
      <c r="M4230" s="2" t="s">
        <v>71</v>
      </c>
      <c r="N4230" s="2" t="s">
        <v>16961</v>
      </c>
      <c r="O4230" s="2" t="s">
        <v>8940</v>
      </c>
      <c r="P4230" s="9">
        <v>0</v>
      </c>
      <c r="Q4230" s="9">
        <v>0</v>
      </c>
      <c r="R4230" s="2"/>
    </row>
    <row r="4231" spans="1:18" x14ac:dyDescent="0.25">
      <c r="A4231" s="2" t="s">
        <v>17570</v>
      </c>
      <c r="B4231" s="6">
        <v>46174</v>
      </c>
      <c r="C4231" s="8">
        <v>46179</v>
      </c>
      <c r="D4231" s="2" t="s">
        <v>7433</v>
      </c>
      <c r="E4231" s="2" t="s">
        <v>16959</v>
      </c>
      <c r="F4231" s="2" t="s">
        <v>15320</v>
      </c>
      <c r="G4231" s="2" t="s">
        <v>17571</v>
      </c>
      <c r="H4231" s="2" t="s">
        <v>70</v>
      </c>
      <c r="I4231" s="9">
        <v>39182.730828</v>
      </c>
      <c r="J4231" s="7">
        <v>0.66500000000000004</v>
      </c>
      <c r="K4231" s="9">
        <v>26056.52</v>
      </c>
      <c r="L4231" s="14">
        <v>0</v>
      </c>
      <c r="M4231" s="2" t="s">
        <v>71</v>
      </c>
      <c r="N4231" s="2" t="s">
        <v>16961</v>
      </c>
      <c r="O4231" s="2" t="s">
        <v>8945</v>
      </c>
      <c r="P4231" s="9">
        <v>0</v>
      </c>
      <c r="Q4231" s="9">
        <v>0</v>
      </c>
      <c r="R4231" s="2"/>
    </row>
    <row r="4232" spans="1:18" x14ac:dyDescent="0.25">
      <c r="A4232" s="2" t="s">
        <v>17572</v>
      </c>
      <c r="B4232" s="6">
        <v>46174</v>
      </c>
      <c r="C4232" s="8">
        <v>46180</v>
      </c>
      <c r="D4232" s="2" t="s">
        <v>7433</v>
      </c>
      <c r="E4232" s="2" t="s">
        <v>16959</v>
      </c>
      <c r="F4232" s="2" t="s">
        <v>15324</v>
      </c>
      <c r="G4232" s="2" t="s">
        <v>17573</v>
      </c>
      <c r="H4232" s="2" t="s">
        <v>39</v>
      </c>
      <c r="I4232" s="9">
        <v>26374.859</v>
      </c>
      <c r="J4232" s="7">
        <v>1</v>
      </c>
      <c r="K4232" s="9">
        <v>26374.86</v>
      </c>
      <c r="L4232" s="14">
        <v>0</v>
      </c>
      <c r="M4232" s="2" t="s">
        <v>71</v>
      </c>
      <c r="N4232" s="2" t="s">
        <v>16961</v>
      </c>
      <c r="O4232" s="2" t="s">
        <v>8950</v>
      </c>
      <c r="P4232" s="9">
        <v>0</v>
      </c>
      <c r="Q4232" s="9">
        <v>0</v>
      </c>
      <c r="R4232" s="2"/>
    </row>
    <row r="4233" spans="1:18" x14ac:dyDescent="0.25">
      <c r="A4233" s="2" t="s">
        <v>17574</v>
      </c>
      <c r="B4233" s="6">
        <v>46174</v>
      </c>
      <c r="C4233" s="8">
        <v>46181</v>
      </c>
      <c r="D4233" s="2" t="s">
        <v>7433</v>
      </c>
      <c r="E4233" s="2" t="s">
        <v>16959</v>
      </c>
      <c r="F4233" s="2" t="s">
        <v>15328</v>
      </c>
      <c r="G4233" s="2" t="s">
        <v>17575</v>
      </c>
      <c r="H4233" s="2" t="s">
        <v>76</v>
      </c>
      <c r="I4233" s="9">
        <v>427091048</v>
      </c>
      <c r="J4233" s="7">
        <v>6.2500000000000001E-5</v>
      </c>
      <c r="K4233" s="9">
        <v>26693.19</v>
      </c>
      <c r="L4233" s="14">
        <v>0</v>
      </c>
      <c r="M4233" s="2" t="s">
        <v>71</v>
      </c>
      <c r="N4233" s="2" t="s">
        <v>16961</v>
      </c>
      <c r="O4233" s="2" t="s">
        <v>8955</v>
      </c>
      <c r="P4233" s="9">
        <v>0</v>
      </c>
      <c r="Q4233" s="9">
        <v>0</v>
      </c>
      <c r="R4233" s="2"/>
    </row>
    <row r="4234" spans="1:18" x14ac:dyDescent="0.25">
      <c r="A4234" s="2" t="s">
        <v>17576</v>
      </c>
      <c r="B4234" s="6">
        <v>46174</v>
      </c>
      <c r="C4234" s="8">
        <v>46182</v>
      </c>
      <c r="D4234" s="2" t="s">
        <v>7433</v>
      </c>
      <c r="E4234" s="2" t="s">
        <v>16959</v>
      </c>
      <c r="F4234" s="2" t="s">
        <v>15332</v>
      </c>
      <c r="G4234" s="2" t="s">
        <v>17577</v>
      </c>
      <c r="H4234" s="2" t="s">
        <v>70</v>
      </c>
      <c r="I4234" s="9">
        <v>40618.847368000002</v>
      </c>
      <c r="J4234" s="7">
        <v>0.66500000000000004</v>
      </c>
      <c r="K4234" s="9">
        <v>27011.53</v>
      </c>
      <c r="L4234" s="14">
        <v>0</v>
      </c>
      <c r="M4234" s="2" t="s">
        <v>71</v>
      </c>
      <c r="N4234" s="2" t="s">
        <v>16961</v>
      </c>
      <c r="O4234" s="2" t="s">
        <v>8960</v>
      </c>
      <c r="P4234" s="9">
        <v>0</v>
      </c>
      <c r="Q4234" s="9">
        <v>0</v>
      </c>
      <c r="R4234" s="2"/>
    </row>
    <row r="4235" spans="1:18" x14ac:dyDescent="0.25">
      <c r="A4235" s="2" t="s">
        <v>17578</v>
      </c>
      <c r="B4235" s="6">
        <v>46174</v>
      </c>
      <c r="C4235" s="8">
        <v>46183</v>
      </c>
      <c r="D4235" s="2" t="s">
        <v>7433</v>
      </c>
      <c r="E4235" s="2" t="s">
        <v>16959</v>
      </c>
      <c r="F4235" s="2" t="s">
        <v>15336</v>
      </c>
      <c r="G4235" s="2" t="s">
        <v>17579</v>
      </c>
      <c r="H4235" s="2" t="s">
        <v>39</v>
      </c>
      <c r="I4235" s="9">
        <v>1569.865</v>
      </c>
      <c r="J4235" s="7">
        <v>1</v>
      </c>
      <c r="K4235" s="9">
        <v>1569.86</v>
      </c>
      <c r="L4235" s="14">
        <v>0</v>
      </c>
      <c r="M4235" s="2" t="s">
        <v>71</v>
      </c>
      <c r="N4235" s="2" t="s">
        <v>16961</v>
      </c>
      <c r="O4235" s="2" t="s">
        <v>8965</v>
      </c>
      <c r="P4235" s="9">
        <v>0</v>
      </c>
      <c r="Q4235" s="9">
        <v>0</v>
      </c>
      <c r="R4235" s="2"/>
    </row>
    <row r="4236" spans="1:18" x14ac:dyDescent="0.25">
      <c r="A4236" s="2" t="s">
        <v>17580</v>
      </c>
      <c r="B4236" s="6">
        <v>46174</v>
      </c>
      <c r="C4236" s="8">
        <v>46184</v>
      </c>
      <c r="D4236" s="2" t="s">
        <v>7433</v>
      </c>
      <c r="E4236" s="2" t="s">
        <v>16959</v>
      </c>
      <c r="F4236" s="2" t="s">
        <v>15300</v>
      </c>
      <c r="G4236" s="2" t="s">
        <v>17581</v>
      </c>
      <c r="H4236" s="2" t="s">
        <v>76</v>
      </c>
      <c r="I4236" s="9">
        <v>30211328</v>
      </c>
      <c r="J4236" s="7">
        <v>6.2500000000000001E-5</v>
      </c>
      <c r="K4236" s="9">
        <v>1888.21</v>
      </c>
      <c r="L4236" s="14">
        <v>0</v>
      </c>
      <c r="M4236" s="2" t="s">
        <v>71</v>
      </c>
      <c r="N4236" s="2" t="s">
        <v>16961</v>
      </c>
      <c r="O4236" s="2" t="s">
        <v>8970</v>
      </c>
      <c r="P4236" s="9">
        <v>0</v>
      </c>
      <c r="Q4236" s="9">
        <v>0</v>
      </c>
      <c r="R4236" s="2"/>
    </row>
    <row r="4237" spans="1:18" x14ac:dyDescent="0.25">
      <c r="A4237" s="2" t="s">
        <v>17582</v>
      </c>
      <c r="B4237" s="6">
        <v>46174</v>
      </c>
      <c r="C4237" s="8">
        <v>46185</v>
      </c>
      <c r="D4237" s="2" t="s">
        <v>7433</v>
      </c>
      <c r="E4237" s="2" t="s">
        <v>16959</v>
      </c>
      <c r="F4237" s="2" t="s">
        <v>15304</v>
      </c>
      <c r="G4237" s="2" t="s">
        <v>17583</v>
      </c>
      <c r="H4237" s="2" t="s">
        <v>70</v>
      </c>
      <c r="I4237" s="9">
        <v>3318.1218039999999</v>
      </c>
      <c r="J4237" s="7">
        <v>0.66500000000000004</v>
      </c>
      <c r="K4237" s="9">
        <v>2206.5500000000002</v>
      </c>
      <c r="L4237" s="14">
        <v>0</v>
      </c>
      <c r="M4237" s="2" t="s">
        <v>71</v>
      </c>
      <c r="N4237" s="2" t="s">
        <v>16961</v>
      </c>
      <c r="O4237" s="2" t="s">
        <v>8975</v>
      </c>
      <c r="P4237" s="9">
        <v>0</v>
      </c>
      <c r="Q4237" s="9">
        <v>0</v>
      </c>
      <c r="R4237" s="2"/>
    </row>
    <row r="4238" spans="1:18" x14ac:dyDescent="0.25">
      <c r="A4238" s="2" t="s">
        <v>17584</v>
      </c>
      <c r="B4238" s="6">
        <v>46174</v>
      </c>
      <c r="C4238" s="8">
        <v>46186</v>
      </c>
      <c r="D4238" s="2" t="s">
        <v>7433</v>
      </c>
      <c r="E4238" s="2" t="s">
        <v>16959</v>
      </c>
      <c r="F4238" s="2" t="s">
        <v>15308</v>
      </c>
      <c r="G4238" s="2" t="s">
        <v>17585</v>
      </c>
      <c r="H4238" s="2" t="s">
        <v>39</v>
      </c>
      <c r="I4238" s="9">
        <v>2524.8825000000002</v>
      </c>
      <c r="J4238" s="7">
        <v>1</v>
      </c>
      <c r="K4238" s="9">
        <v>2524.88</v>
      </c>
      <c r="L4238" s="14">
        <v>0</v>
      </c>
      <c r="M4238" s="2" t="s">
        <v>71</v>
      </c>
      <c r="N4238" s="2" t="s">
        <v>16961</v>
      </c>
      <c r="O4238" s="2" t="s">
        <v>8980</v>
      </c>
      <c r="P4238" s="9">
        <v>0</v>
      </c>
      <c r="Q4238" s="9">
        <v>0</v>
      </c>
      <c r="R4238" s="2"/>
    </row>
    <row r="4239" spans="1:18" x14ac:dyDescent="0.25">
      <c r="A4239" s="2" t="s">
        <v>17586</v>
      </c>
      <c r="B4239" s="6">
        <v>46174</v>
      </c>
      <c r="C4239" s="8">
        <v>46187</v>
      </c>
      <c r="D4239" s="2" t="s">
        <v>7433</v>
      </c>
      <c r="E4239" s="2" t="s">
        <v>16959</v>
      </c>
      <c r="F4239" s="2" t="s">
        <v>15312</v>
      </c>
      <c r="G4239" s="2" t="s">
        <v>17587</v>
      </c>
      <c r="H4239" s="2" t="s">
        <v>76</v>
      </c>
      <c r="I4239" s="9">
        <v>45491608</v>
      </c>
      <c r="J4239" s="7">
        <v>6.2500000000000001E-5</v>
      </c>
      <c r="K4239" s="9">
        <v>2843.23</v>
      </c>
      <c r="L4239" s="14">
        <v>0</v>
      </c>
      <c r="M4239" s="2" t="s">
        <v>71</v>
      </c>
      <c r="N4239" s="2" t="s">
        <v>16961</v>
      </c>
      <c r="O4239" s="2" t="s">
        <v>8985</v>
      </c>
      <c r="P4239" s="9">
        <v>0</v>
      </c>
      <c r="Q4239" s="9">
        <v>0</v>
      </c>
      <c r="R4239" s="2"/>
    </row>
    <row r="4240" spans="1:18" x14ac:dyDescent="0.25">
      <c r="A4240" s="2" t="s">
        <v>17588</v>
      </c>
      <c r="B4240" s="6">
        <v>46174</v>
      </c>
      <c r="C4240" s="8">
        <v>46188</v>
      </c>
      <c r="D4240" s="2" t="s">
        <v>7433</v>
      </c>
      <c r="E4240" s="2" t="s">
        <v>16959</v>
      </c>
      <c r="F4240" s="2" t="s">
        <v>15316</v>
      </c>
      <c r="G4240" s="2" t="s">
        <v>17589</v>
      </c>
      <c r="H4240" s="2" t="s">
        <v>70</v>
      </c>
      <c r="I4240" s="9">
        <v>4754.2210519999999</v>
      </c>
      <c r="J4240" s="7">
        <v>0.66500000000000004</v>
      </c>
      <c r="K4240" s="9">
        <v>3161.56</v>
      </c>
      <c r="L4240" s="14">
        <v>0</v>
      </c>
      <c r="M4240" s="2" t="s">
        <v>71</v>
      </c>
      <c r="N4240" s="2" t="s">
        <v>16961</v>
      </c>
      <c r="O4240" s="2" t="s">
        <v>8990</v>
      </c>
      <c r="P4240" s="9">
        <v>0</v>
      </c>
      <c r="Q4240" s="9">
        <v>0</v>
      </c>
      <c r="R4240" s="2"/>
    </row>
    <row r="4241" spans="1:18" x14ac:dyDescent="0.25">
      <c r="A4241" s="2" t="s">
        <v>17590</v>
      </c>
      <c r="B4241" s="6">
        <v>46174</v>
      </c>
      <c r="C4241" s="8">
        <v>46189</v>
      </c>
      <c r="D4241" s="2" t="s">
        <v>7433</v>
      </c>
      <c r="E4241" s="2" t="s">
        <v>16959</v>
      </c>
      <c r="F4241" s="2" t="s">
        <v>15320</v>
      </c>
      <c r="G4241" s="2" t="s">
        <v>17591</v>
      </c>
      <c r="H4241" s="2" t="s">
        <v>39</v>
      </c>
      <c r="I4241" s="9">
        <v>3479.9</v>
      </c>
      <c r="J4241" s="7">
        <v>1</v>
      </c>
      <c r="K4241" s="9">
        <v>3479.9</v>
      </c>
      <c r="L4241" s="14">
        <v>0</v>
      </c>
      <c r="M4241" s="2" t="s">
        <v>71</v>
      </c>
      <c r="N4241" s="2" t="s">
        <v>16961</v>
      </c>
      <c r="O4241" s="2" t="s">
        <v>8995</v>
      </c>
      <c r="P4241" s="9">
        <v>0</v>
      </c>
      <c r="Q4241" s="9">
        <v>0</v>
      </c>
      <c r="R4241" s="2"/>
    </row>
    <row r="4242" spans="1:18" x14ac:dyDescent="0.25">
      <c r="A4242" s="2" t="s">
        <v>17592</v>
      </c>
      <c r="B4242" s="6">
        <v>46174</v>
      </c>
      <c r="C4242" s="8">
        <v>46190</v>
      </c>
      <c r="D4242" s="2" t="s">
        <v>7433</v>
      </c>
      <c r="E4242" s="2" t="s">
        <v>16959</v>
      </c>
      <c r="F4242" s="2" t="s">
        <v>15324</v>
      </c>
      <c r="G4242" s="2" t="s">
        <v>17593</v>
      </c>
      <c r="H4242" s="2" t="s">
        <v>76</v>
      </c>
      <c r="I4242" s="9">
        <v>60771888</v>
      </c>
      <c r="J4242" s="7">
        <v>6.2500000000000001E-5</v>
      </c>
      <c r="K4242" s="9">
        <v>3798.24</v>
      </c>
      <c r="L4242" s="14">
        <v>0</v>
      </c>
      <c r="M4242" s="2" t="s">
        <v>71</v>
      </c>
      <c r="N4242" s="2" t="s">
        <v>16961</v>
      </c>
      <c r="O4242" s="2" t="s">
        <v>9000</v>
      </c>
      <c r="P4242" s="9">
        <v>0</v>
      </c>
      <c r="Q4242" s="9">
        <v>0</v>
      </c>
      <c r="R4242" s="2"/>
    </row>
    <row r="4243" spans="1:18" x14ac:dyDescent="0.25">
      <c r="A4243" s="2" t="s">
        <v>17594</v>
      </c>
      <c r="B4243" s="6">
        <v>46174</v>
      </c>
      <c r="C4243" s="8">
        <v>46191</v>
      </c>
      <c r="D4243" s="2" t="s">
        <v>7433</v>
      </c>
      <c r="E4243" s="2" t="s">
        <v>16959</v>
      </c>
      <c r="F4243" s="2" t="s">
        <v>15328</v>
      </c>
      <c r="G4243" s="2" t="s">
        <v>17595</v>
      </c>
      <c r="H4243" s="2" t="s">
        <v>70</v>
      </c>
      <c r="I4243" s="9">
        <v>6190.3548870000004</v>
      </c>
      <c r="J4243" s="7">
        <v>0.66500000000000004</v>
      </c>
      <c r="K4243" s="9">
        <v>4116.59</v>
      </c>
      <c r="L4243" s="14">
        <v>0</v>
      </c>
      <c r="M4243" s="2" t="s">
        <v>71</v>
      </c>
      <c r="N4243" s="2" t="s">
        <v>16961</v>
      </c>
      <c r="O4243" s="2" t="s">
        <v>9005</v>
      </c>
      <c r="P4243" s="9">
        <v>0</v>
      </c>
      <c r="Q4243" s="9">
        <v>0</v>
      </c>
      <c r="R4243" s="2"/>
    </row>
    <row r="4244" spans="1:18" x14ac:dyDescent="0.25">
      <c r="A4244" s="2" t="s">
        <v>17596</v>
      </c>
      <c r="B4244" s="6">
        <v>46174</v>
      </c>
      <c r="C4244" s="8">
        <v>46192</v>
      </c>
      <c r="D4244" s="2" t="s">
        <v>7433</v>
      </c>
      <c r="E4244" s="2" t="s">
        <v>16959</v>
      </c>
      <c r="F4244" s="2" t="s">
        <v>15332</v>
      </c>
      <c r="G4244" s="2" t="s">
        <v>17597</v>
      </c>
      <c r="H4244" s="2" t="s">
        <v>39</v>
      </c>
      <c r="I4244" s="9">
        <v>4434.9174999999996</v>
      </c>
      <c r="J4244" s="7">
        <v>1</v>
      </c>
      <c r="K4244" s="9">
        <v>4434.92</v>
      </c>
      <c r="L4244" s="14">
        <v>0</v>
      </c>
      <c r="M4244" s="2" t="s">
        <v>71</v>
      </c>
      <c r="N4244" s="2" t="s">
        <v>16961</v>
      </c>
      <c r="O4244" s="2" t="s">
        <v>9010</v>
      </c>
      <c r="P4244" s="9">
        <v>0</v>
      </c>
      <c r="Q4244" s="9">
        <v>0</v>
      </c>
      <c r="R4244" s="2"/>
    </row>
    <row r="4245" spans="1:18" x14ac:dyDescent="0.25">
      <c r="A4245" s="2" t="s">
        <v>17598</v>
      </c>
      <c r="B4245" s="6">
        <v>46174</v>
      </c>
      <c r="C4245" s="8">
        <v>46193</v>
      </c>
      <c r="D4245" s="2" t="s">
        <v>7433</v>
      </c>
      <c r="E4245" s="2" t="s">
        <v>16959</v>
      </c>
      <c r="F4245" s="2" t="s">
        <v>15336</v>
      </c>
      <c r="G4245" s="2" t="s">
        <v>17599</v>
      </c>
      <c r="H4245" s="2" t="s">
        <v>76</v>
      </c>
      <c r="I4245" s="9">
        <v>76051984</v>
      </c>
      <c r="J4245" s="7">
        <v>6.2500000000000001E-5</v>
      </c>
      <c r="K4245" s="9">
        <v>4753.25</v>
      </c>
      <c r="L4245" s="14">
        <v>0</v>
      </c>
      <c r="M4245" s="2" t="s">
        <v>71</v>
      </c>
      <c r="N4245" s="2" t="s">
        <v>16961</v>
      </c>
      <c r="O4245" s="2" t="s">
        <v>9015</v>
      </c>
      <c r="P4245" s="9">
        <v>0</v>
      </c>
      <c r="Q4245" s="9">
        <v>0</v>
      </c>
      <c r="R4245" s="2"/>
    </row>
    <row r="4246" spans="1:18" x14ac:dyDescent="0.25">
      <c r="A4246" s="2" t="s">
        <v>17600</v>
      </c>
      <c r="B4246" s="6">
        <v>46174</v>
      </c>
      <c r="C4246" s="8">
        <v>46194</v>
      </c>
      <c r="D4246" s="2" t="s">
        <v>7433</v>
      </c>
      <c r="E4246" s="2" t="s">
        <v>16959</v>
      </c>
      <c r="F4246" s="2" t="s">
        <v>15300</v>
      </c>
      <c r="G4246" s="2" t="s">
        <v>17601</v>
      </c>
      <c r="H4246" s="2" t="s">
        <v>70</v>
      </c>
      <c r="I4246" s="9">
        <v>7626.454135</v>
      </c>
      <c r="J4246" s="7">
        <v>0.66500000000000004</v>
      </c>
      <c r="K4246" s="9">
        <v>5071.59</v>
      </c>
      <c r="L4246" s="14">
        <v>0</v>
      </c>
      <c r="M4246" s="2" t="s">
        <v>71</v>
      </c>
      <c r="N4246" s="2" t="s">
        <v>16961</v>
      </c>
      <c r="O4246" s="2" t="s">
        <v>9020</v>
      </c>
      <c r="P4246" s="9">
        <v>0</v>
      </c>
      <c r="Q4246" s="9">
        <v>0</v>
      </c>
      <c r="R4246" s="2"/>
    </row>
    <row r="4247" spans="1:18" x14ac:dyDescent="0.25">
      <c r="A4247" s="2" t="s">
        <v>17602</v>
      </c>
      <c r="B4247" s="6">
        <v>46174</v>
      </c>
      <c r="C4247" s="8">
        <v>46195</v>
      </c>
      <c r="D4247" s="2" t="s">
        <v>7433</v>
      </c>
      <c r="E4247" s="2" t="s">
        <v>16959</v>
      </c>
      <c r="F4247" s="2" t="s">
        <v>15304</v>
      </c>
      <c r="G4247" s="2" t="s">
        <v>17603</v>
      </c>
      <c r="H4247" s="2" t="s">
        <v>39</v>
      </c>
      <c r="I4247" s="9">
        <v>5389.9350000000004</v>
      </c>
      <c r="J4247" s="7">
        <v>1</v>
      </c>
      <c r="K4247" s="9">
        <v>5389.93</v>
      </c>
      <c r="L4247" s="14">
        <v>0</v>
      </c>
      <c r="M4247" s="2" t="s">
        <v>71</v>
      </c>
      <c r="N4247" s="2" t="s">
        <v>16961</v>
      </c>
      <c r="O4247" s="2" t="s">
        <v>9025</v>
      </c>
      <c r="P4247" s="9">
        <v>0</v>
      </c>
      <c r="Q4247" s="9">
        <v>0</v>
      </c>
      <c r="R4247" s="2"/>
    </row>
    <row r="4248" spans="1:18" x14ac:dyDescent="0.25">
      <c r="A4248" s="2" t="s">
        <v>17604</v>
      </c>
      <c r="B4248" s="6">
        <v>46174</v>
      </c>
      <c r="C4248" s="8">
        <v>46196</v>
      </c>
      <c r="D4248" s="2" t="s">
        <v>7433</v>
      </c>
      <c r="E4248" s="2" t="s">
        <v>16959</v>
      </c>
      <c r="F4248" s="2" t="s">
        <v>15308</v>
      </c>
      <c r="G4248" s="2" t="s">
        <v>17605</v>
      </c>
      <c r="H4248" s="2" t="s">
        <v>76</v>
      </c>
      <c r="I4248" s="9">
        <v>91332264</v>
      </c>
      <c r="J4248" s="7">
        <v>6.2500000000000001E-5</v>
      </c>
      <c r="K4248" s="9">
        <v>5708.27</v>
      </c>
      <c r="L4248" s="14">
        <v>0</v>
      </c>
      <c r="M4248" s="2" t="s">
        <v>71</v>
      </c>
      <c r="N4248" s="2" t="s">
        <v>16961</v>
      </c>
      <c r="O4248" s="2" t="s">
        <v>9030</v>
      </c>
      <c r="P4248" s="9">
        <v>0</v>
      </c>
      <c r="Q4248" s="9">
        <v>0</v>
      </c>
      <c r="R4248" s="2"/>
    </row>
    <row r="4249" spans="1:18" x14ac:dyDescent="0.25">
      <c r="A4249" s="2" t="s">
        <v>17606</v>
      </c>
      <c r="B4249" s="6">
        <v>46174</v>
      </c>
      <c r="C4249" s="8">
        <v>46197</v>
      </c>
      <c r="D4249" s="2" t="s">
        <v>7433</v>
      </c>
      <c r="E4249" s="2" t="s">
        <v>16959</v>
      </c>
      <c r="F4249" s="2" t="s">
        <v>15312</v>
      </c>
      <c r="G4249" s="2" t="s">
        <v>17607</v>
      </c>
      <c r="H4249" s="2" t="s">
        <v>70</v>
      </c>
      <c r="I4249" s="9">
        <v>9062.5706769999997</v>
      </c>
      <c r="J4249" s="7">
        <v>0.66500000000000004</v>
      </c>
      <c r="K4249" s="9">
        <v>6026.61</v>
      </c>
      <c r="L4249" s="14">
        <v>0</v>
      </c>
      <c r="M4249" s="2" t="s">
        <v>71</v>
      </c>
      <c r="N4249" s="2" t="s">
        <v>16961</v>
      </c>
      <c r="O4249" s="2" t="s">
        <v>9035</v>
      </c>
      <c r="P4249" s="9">
        <v>0</v>
      </c>
      <c r="Q4249" s="9">
        <v>0</v>
      </c>
      <c r="R4249" s="2"/>
    </row>
    <row r="4250" spans="1:18" x14ac:dyDescent="0.25">
      <c r="A4250" s="2" t="s">
        <v>17608</v>
      </c>
      <c r="B4250" s="6">
        <v>46174</v>
      </c>
      <c r="C4250" s="8">
        <v>46198</v>
      </c>
      <c r="D4250" s="2" t="s">
        <v>7433</v>
      </c>
      <c r="E4250" s="2" t="s">
        <v>16959</v>
      </c>
      <c r="F4250" s="2" t="s">
        <v>15316</v>
      </c>
      <c r="G4250" s="2" t="s">
        <v>17609</v>
      </c>
      <c r="H4250" s="2" t="s">
        <v>39</v>
      </c>
      <c r="I4250" s="9">
        <v>6344.9409999999998</v>
      </c>
      <c r="J4250" s="7">
        <v>1</v>
      </c>
      <c r="K4250" s="9">
        <v>6344.94</v>
      </c>
      <c r="L4250" s="14">
        <v>0</v>
      </c>
      <c r="M4250" s="2" t="s">
        <v>71</v>
      </c>
      <c r="N4250" s="2" t="s">
        <v>16961</v>
      </c>
      <c r="O4250" s="2" t="s">
        <v>9040</v>
      </c>
      <c r="P4250" s="9">
        <v>0</v>
      </c>
      <c r="Q4250" s="9">
        <v>0</v>
      </c>
      <c r="R4250" s="2"/>
    </row>
    <row r="4251" spans="1:18" x14ac:dyDescent="0.25">
      <c r="A4251" s="2" t="s">
        <v>17610</v>
      </c>
      <c r="B4251" s="6">
        <v>46174</v>
      </c>
      <c r="C4251" s="8">
        <v>46199</v>
      </c>
      <c r="D4251" s="2" t="s">
        <v>7433</v>
      </c>
      <c r="E4251" s="2" t="s">
        <v>16959</v>
      </c>
      <c r="F4251" s="2" t="s">
        <v>15320</v>
      </c>
      <c r="G4251" s="2" t="s">
        <v>17611</v>
      </c>
      <c r="H4251" s="2" t="s">
        <v>76</v>
      </c>
      <c r="I4251" s="9">
        <v>106612544</v>
      </c>
      <c r="J4251" s="7">
        <v>6.2500000000000001E-5</v>
      </c>
      <c r="K4251" s="9">
        <v>6663.28</v>
      </c>
      <c r="L4251" s="14">
        <v>0</v>
      </c>
      <c r="M4251" s="2" t="s">
        <v>71</v>
      </c>
      <c r="N4251" s="2" t="s">
        <v>16961</v>
      </c>
      <c r="O4251" s="2" t="s">
        <v>9045</v>
      </c>
      <c r="P4251" s="9">
        <v>0</v>
      </c>
      <c r="Q4251" s="9">
        <v>0</v>
      </c>
      <c r="R4251" s="2"/>
    </row>
    <row r="4252" spans="1:18" x14ac:dyDescent="0.25">
      <c r="A4252" s="2" t="s">
        <v>17612</v>
      </c>
      <c r="B4252" s="6">
        <v>46174</v>
      </c>
      <c r="C4252" s="8">
        <v>46200</v>
      </c>
      <c r="D4252" s="2" t="s">
        <v>7433</v>
      </c>
      <c r="E4252" s="2" t="s">
        <v>16959</v>
      </c>
      <c r="F4252" s="2" t="s">
        <v>15324</v>
      </c>
      <c r="G4252" s="2" t="s">
        <v>17613</v>
      </c>
      <c r="H4252" s="2" t="s">
        <v>70</v>
      </c>
      <c r="I4252" s="9">
        <v>10498.687217999999</v>
      </c>
      <c r="J4252" s="7">
        <v>0.66500000000000004</v>
      </c>
      <c r="K4252" s="9">
        <v>6981.63</v>
      </c>
      <c r="L4252" s="14">
        <v>0</v>
      </c>
      <c r="M4252" s="2" t="s">
        <v>71</v>
      </c>
      <c r="N4252" s="2" t="s">
        <v>16961</v>
      </c>
      <c r="O4252" s="2" t="s">
        <v>9050</v>
      </c>
      <c r="P4252" s="9">
        <v>0</v>
      </c>
      <c r="Q4252" s="9">
        <v>0</v>
      </c>
      <c r="R4252" s="2"/>
    </row>
    <row r="4253" spans="1:18" x14ac:dyDescent="0.25">
      <c r="A4253" s="2" t="s">
        <v>17614</v>
      </c>
      <c r="B4253" s="6">
        <v>46174</v>
      </c>
      <c r="C4253" s="8">
        <v>46201</v>
      </c>
      <c r="D4253" s="2" t="s">
        <v>7433</v>
      </c>
      <c r="E4253" s="2" t="s">
        <v>16959</v>
      </c>
      <c r="F4253" s="2" t="s">
        <v>15328</v>
      </c>
      <c r="G4253" s="2" t="s">
        <v>17615</v>
      </c>
      <c r="H4253" s="2" t="s">
        <v>39</v>
      </c>
      <c r="I4253" s="9">
        <v>-7299.9584999999997</v>
      </c>
      <c r="J4253" s="7">
        <v>1</v>
      </c>
      <c r="K4253" s="9">
        <v>-7299.96</v>
      </c>
      <c r="L4253" s="14">
        <v>0</v>
      </c>
      <c r="M4253" s="2" t="s">
        <v>71</v>
      </c>
      <c r="N4253" s="2" t="s">
        <v>16961</v>
      </c>
      <c r="O4253" s="2" t="s">
        <v>9055</v>
      </c>
      <c r="P4253" s="9">
        <v>0</v>
      </c>
      <c r="Q4253" s="9">
        <v>0</v>
      </c>
      <c r="R4253" s="2"/>
    </row>
    <row r="4254" spans="1:18" x14ac:dyDescent="0.25">
      <c r="A4254" s="2" t="s">
        <v>17616</v>
      </c>
      <c r="B4254" s="6">
        <v>46174</v>
      </c>
      <c r="C4254" s="8">
        <v>46202</v>
      </c>
      <c r="D4254" s="2" t="s">
        <v>7433</v>
      </c>
      <c r="E4254" s="2" t="s">
        <v>16959</v>
      </c>
      <c r="F4254" s="2" t="s">
        <v>15332</v>
      </c>
      <c r="G4254" s="2" t="s">
        <v>17617</v>
      </c>
      <c r="H4254" s="2" t="s">
        <v>76</v>
      </c>
      <c r="I4254" s="9">
        <v>121892824</v>
      </c>
      <c r="J4254" s="7">
        <v>6.2500000000000001E-5</v>
      </c>
      <c r="K4254" s="9">
        <v>7618.3</v>
      </c>
      <c r="L4254" s="14">
        <v>0</v>
      </c>
      <c r="M4254" s="2" t="s">
        <v>71</v>
      </c>
      <c r="N4254" s="2" t="s">
        <v>16961</v>
      </c>
      <c r="O4254" s="2" t="s">
        <v>9058</v>
      </c>
      <c r="P4254" s="9">
        <v>0</v>
      </c>
      <c r="Q4254" s="9">
        <v>0</v>
      </c>
      <c r="R4254" s="2"/>
    </row>
    <row r="4255" spans="1:18" x14ac:dyDescent="0.25">
      <c r="A4255" s="2" t="s">
        <v>17618</v>
      </c>
      <c r="B4255" s="6">
        <v>46174</v>
      </c>
      <c r="C4255" s="8">
        <v>46203</v>
      </c>
      <c r="D4255" s="2" t="s">
        <v>7433</v>
      </c>
      <c r="E4255" s="2" t="s">
        <v>16959</v>
      </c>
      <c r="F4255" s="2" t="s">
        <v>15336</v>
      </c>
      <c r="G4255" s="2" t="s">
        <v>17619</v>
      </c>
      <c r="H4255" s="2" t="s">
        <v>70</v>
      </c>
      <c r="I4255" s="9">
        <v>11934.786466</v>
      </c>
      <c r="J4255" s="7">
        <v>0.66500000000000004</v>
      </c>
      <c r="K4255" s="9">
        <v>7936.63</v>
      </c>
      <c r="L4255" s="14">
        <v>0</v>
      </c>
      <c r="M4255" s="2" t="s">
        <v>71</v>
      </c>
      <c r="N4255" s="2" t="s">
        <v>16961</v>
      </c>
      <c r="O4255" s="2" t="s">
        <v>9063</v>
      </c>
      <c r="P4255" s="9">
        <v>0</v>
      </c>
      <c r="Q4255" s="9">
        <v>0</v>
      </c>
      <c r="R4255" s="2"/>
    </row>
    <row r="4256" spans="1:18" x14ac:dyDescent="0.25">
      <c r="A4256" s="2" t="s">
        <v>17620</v>
      </c>
      <c r="B4256" s="6">
        <v>46174</v>
      </c>
      <c r="C4256" s="8">
        <v>46174</v>
      </c>
      <c r="D4256" s="2" t="s">
        <v>7433</v>
      </c>
      <c r="E4256" s="2" t="s">
        <v>16959</v>
      </c>
      <c r="F4256" s="2" t="s">
        <v>15300</v>
      </c>
      <c r="G4256" s="2" t="s">
        <v>17621</v>
      </c>
      <c r="H4256" s="2" t="s">
        <v>39</v>
      </c>
      <c r="I4256" s="9">
        <v>8254.9760000000006</v>
      </c>
      <c r="J4256" s="7">
        <v>1</v>
      </c>
      <c r="K4256" s="9">
        <v>8254.98</v>
      </c>
      <c r="L4256" s="14">
        <v>0</v>
      </c>
      <c r="M4256" s="2" t="s">
        <v>71</v>
      </c>
      <c r="N4256" s="2" t="s">
        <v>16961</v>
      </c>
      <c r="O4256" s="2" t="s">
        <v>9068</v>
      </c>
      <c r="P4256" s="9">
        <v>0</v>
      </c>
      <c r="Q4256" s="9">
        <v>0</v>
      </c>
      <c r="R4256" s="2"/>
    </row>
    <row r="4257" spans="1:18" x14ac:dyDescent="0.25">
      <c r="A4257" s="2" t="s">
        <v>17622</v>
      </c>
      <c r="B4257" s="6">
        <v>46174</v>
      </c>
      <c r="C4257" s="8">
        <v>46175</v>
      </c>
      <c r="D4257" s="2" t="s">
        <v>7433</v>
      </c>
      <c r="E4257" s="2" t="s">
        <v>16959</v>
      </c>
      <c r="F4257" s="2" t="s">
        <v>15304</v>
      </c>
      <c r="G4257" s="2" t="s">
        <v>17623</v>
      </c>
      <c r="H4257" s="2" t="s">
        <v>76</v>
      </c>
      <c r="I4257" s="9">
        <v>137173104</v>
      </c>
      <c r="J4257" s="7">
        <v>6.2500000000000001E-5</v>
      </c>
      <c r="K4257" s="9">
        <v>8573.32</v>
      </c>
      <c r="L4257" s="14">
        <v>0</v>
      </c>
      <c r="M4257" s="2" t="s">
        <v>71</v>
      </c>
      <c r="N4257" s="2" t="s">
        <v>16961</v>
      </c>
      <c r="O4257" s="2" t="s">
        <v>9073</v>
      </c>
      <c r="P4257" s="9">
        <v>0</v>
      </c>
      <c r="Q4257" s="9">
        <v>0</v>
      </c>
      <c r="R4257" s="2"/>
    </row>
    <row r="4258" spans="1:18" x14ac:dyDescent="0.25">
      <c r="A4258" s="2" t="s">
        <v>17624</v>
      </c>
      <c r="B4258" s="6">
        <v>46174</v>
      </c>
      <c r="C4258" s="8">
        <v>46176</v>
      </c>
      <c r="D4258" s="2" t="s">
        <v>7433</v>
      </c>
      <c r="E4258" s="2" t="s">
        <v>16959</v>
      </c>
      <c r="F4258" s="2" t="s">
        <v>15308</v>
      </c>
      <c r="G4258" s="2" t="s">
        <v>17625</v>
      </c>
      <c r="H4258" s="2" t="s">
        <v>70</v>
      </c>
      <c r="I4258" s="9">
        <v>13370.920301</v>
      </c>
      <c r="J4258" s="7">
        <v>0.66500000000000004</v>
      </c>
      <c r="K4258" s="9">
        <v>8891.66</v>
      </c>
      <c r="L4258" s="14">
        <v>0</v>
      </c>
      <c r="M4258" s="2" t="s">
        <v>71</v>
      </c>
      <c r="N4258" s="2" t="s">
        <v>16961</v>
      </c>
      <c r="O4258" s="2" t="s">
        <v>9078</v>
      </c>
      <c r="P4258" s="9">
        <v>0</v>
      </c>
      <c r="Q4258" s="9">
        <v>0</v>
      </c>
      <c r="R4258" s="2"/>
    </row>
    <row r="4259" spans="1:18" x14ac:dyDescent="0.25">
      <c r="A4259" s="2" t="s">
        <v>17626</v>
      </c>
      <c r="B4259" s="6">
        <v>46204</v>
      </c>
      <c r="C4259" s="8">
        <v>46227</v>
      </c>
      <c r="D4259" s="2" t="s">
        <v>7433</v>
      </c>
      <c r="E4259" s="2" t="s">
        <v>16959</v>
      </c>
      <c r="F4259" s="2" t="s">
        <v>15312</v>
      </c>
      <c r="G4259" s="2" t="s">
        <v>17627</v>
      </c>
      <c r="H4259" s="2" t="s">
        <v>39</v>
      </c>
      <c r="I4259" s="9">
        <v>9209.9935000000005</v>
      </c>
      <c r="J4259" s="7">
        <v>1</v>
      </c>
      <c r="K4259" s="9">
        <v>9209.99</v>
      </c>
      <c r="L4259" s="14">
        <v>0</v>
      </c>
      <c r="M4259" s="2" t="s">
        <v>71</v>
      </c>
      <c r="N4259" s="2" t="s">
        <v>17628</v>
      </c>
      <c r="O4259" s="2" t="s">
        <v>9083</v>
      </c>
      <c r="P4259" s="9">
        <v>0</v>
      </c>
      <c r="Q4259" s="9">
        <v>0</v>
      </c>
      <c r="R4259" s="2"/>
    </row>
    <row r="4260" spans="1:18" x14ac:dyDescent="0.25">
      <c r="A4260" s="2" t="s">
        <v>17629</v>
      </c>
      <c r="B4260" s="6">
        <v>46204</v>
      </c>
      <c r="C4260" s="8">
        <v>46228</v>
      </c>
      <c r="D4260" s="2" t="s">
        <v>7433</v>
      </c>
      <c r="E4260" s="2" t="s">
        <v>16959</v>
      </c>
      <c r="F4260" s="2" t="s">
        <v>15316</v>
      </c>
      <c r="G4260" s="2" t="s">
        <v>17630</v>
      </c>
      <c r="H4260" s="2" t="s">
        <v>76</v>
      </c>
      <c r="I4260" s="9">
        <v>153682661.29032299</v>
      </c>
      <c r="J4260" s="7">
        <v>6.2000000000000003E-5</v>
      </c>
      <c r="K4260" s="9">
        <v>9528.32</v>
      </c>
      <c r="L4260" s="14">
        <v>0</v>
      </c>
      <c r="M4260" s="2" t="s">
        <v>71</v>
      </c>
      <c r="N4260" s="2" t="s">
        <v>17628</v>
      </c>
      <c r="O4260" s="2" t="s">
        <v>9088</v>
      </c>
      <c r="P4260" s="9">
        <v>0</v>
      </c>
      <c r="Q4260" s="9">
        <v>0</v>
      </c>
      <c r="R4260" s="2"/>
    </row>
    <row r="4261" spans="1:18" x14ac:dyDescent="0.25">
      <c r="A4261" s="2" t="s">
        <v>17631</v>
      </c>
      <c r="B4261" s="6">
        <v>46204</v>
      </c>
      <c r="C4261" s="8">
        <v>46229</v>
      </c>
      <c r="D4261" s="2" t="s">
        <v>7433</v>
      </c>
      <c r="E4261" s="2" t="s">
        <v>16959</v>
      </c>
      <c r="F4261" s="2" t="s">
        <v>15320</v>
      </c>
      <c r="G4261" s="2" t="s">
        <v>17632</v>
      </c>
      <c r="H4261" s="2" t="s">
        <v>70</v>
      </c>
      <c r="I4261" s="9">
        <v>14964.541034</v>
      </c>
      <c r="J4261" s="7">
        <v>0.65800000000000003</v>
      </c>
      <c r="K4261" s="9">
        <v>9846.67</v>
      </c>
      <c r="L4261" s="14">
        <v>0</v>
      </c>
      <c r="M4261" s="2" t="s">
        <v>71</v>
      </c>
      <c r="N4261" s="2" t="s">
        <v>17628</v>
      </c>
      <c r="O4261" s="2" t="s">
        <v>9093</v>
      </c>
      <c r="P4261" s="9">
        <v>0</v>
      </c>
      <c r="Q4261" s="9">
        <v>0</v>
      </c>
      <c r="R4261" s="2"/>
    </row>
    <row r="4262" spans="1:18" x14ac:dyDescent="0.25">
      <c r="A4262" s="2" t="s">
        <v>17633</v>
      </c>
      <c r="B4262" s="6">
        <v>46204</v>
      </c>
      <c r="C4262" s="8">
        <v>46230</v>
      </c>
      <c r="D4262" s="2" t="s">
        <v>7433</v>
      </c>
      <c r="E4262" s="2" t="s">
        <v>16959</v>
      </c>
      <c r="F4262" s="2" t="s">
        <v>15324</v>
      </c>
      <c r="G4262" s="2" t="s">
        <v>17634</v>
      </c>
      <c r="H4262" s="2" t="s">
        <v>39</v>
      </c>
      <c r="I4262" s="9">
        <v>10165.011</v>
      </c>
      <c r="J4262" s="7">
        <v>1</v>
      </c>
      <c r="K4262" s="9">
        <v>10165.01</v>
      </c>
      <c r="L4262" s="14">
        <v>0</v>
      </c>
      <c r="M4262" s="2" t="s">
        <v>71</v>
      </c>
      <c r="N4262" s="2" t="s">
        <v>17628</v>
      </c>
      <c r="O4262" s="2" t="s">
        <v>9098</v>
      </c>
      <c r="P4262" s="9">
        <v>0</v>
      </c>
      <c r="Q4262" s="9">
        <v>0</v>
      </c>
      <c r="R4262" s="2"/>
    </row>
    <row r="4263" spans="1:18" x14ac:dyDescent="0.25">
      <c r="A4263" s="2" t="s">
        <v>17635</v>
      </c>
      <c r="B4263" s="6">
        <v>46204</v>
      </c>
      <c r="C4263" s="8">
        <v>46231</v>
      </c>
      <c r="D4263" s="2" t="s">
        <v>7433</v>
      </c>
      <c r="E4263" s="2" t="s">
        <v>16959</v>
      </c>
      <c r="F4263" s="2" t="s">
        <v>15328</v>
      </c>
      <c r="G4263" s="2" t="s">
        <v>17636</v>
      </c>
      <c r="H4263" s="2" t="s">
        <v>76</v>
      </c>
      <c r="I4263" s="9">
        <v>169086169.35483801</v>
      </c>
      <c r="J4263" s="7">
        <v>6.2000000000000003E-5</v>
      </c>
      <c r="K4263" s="9">
        <v>10483.34</v>
      </c>
      <c r="L4263" s="14">
        <v>0</v>
      </c>
      <c r="M4263" s="2" t="s">
        <v>71</v>
      </c>
      <c r="N4263" s="2" t="s">
        <v>17628</v>
      </c>
      <c r="O4263" s="2" t="s">
        <v>9103</v>
      </c>
      <c r="P4263" s="9">
        <v>0</v>
      </c>
      <c r="Q4263" s="9">
        <v>0</v>
      </c>
      <c r="R4263" s="2"/>
    </row>
    <row r="4264" spans="1:18" x14ac:dyDescent="0.25">
      <c r="A4264" s="2" t="s">
        <v>17637</v>
      </c>
      <c r="B4264" s="6">
        <v>46204</v>
      </c>
      <c r="C4264" s="8">
        <v>46232</v>
      </c>
      <c r="D4264" s="2" t="s">
        <v>7433</v>
      </c>
      <c r="E4264" s="2" t="s">
        <v>16959</v>
      </c>
      <c r="F4264" s="2" t="s">
        <v>15332</v>
      </c>
      <c r="G4264" s="2" t="s">
        <v>17638</v>
      </c>
      <c r="H4264" s="2" t="s">
        <v>70</v>
      </c>
      <c r="I4264" s="9">
        <v>16415.935410999999</v>
      </c>
      <c r="J4264" s="7">
        <v>0.65800000000000003</v>
      </c>
      <c r="K4264" s="9">
        <v>10801.69</v>
      </c>
      <c r="L4264" s="14">
        <v>0</v>
      </c>
      <c r="M4264" s="2" t="s">
        <v>71</v>
      </c>
      <c r="N4264" s="2" t="s">
        <v>17628</v>
      </c>
      <c r="O4264" s="2" t="s">
        <v>9108</v>
      </c>
      <c r="P4264" s="9">
        <v>0</v>
      </c>
      <c r="Q4264" s="9">
        <v>0</v>
      </c>
      <c r="R4264" s="2"/>
    </row>
    <row r="4265" spans="1:18" x14ac:dyDescent="0.25">
      <c r="A4265" s="2" t="s">
        <v>17639</v>
      </c>
      <c r="B4265" s="6">
        <v>46204</v>
      </c>
      <c r="C4265" s="8">
        <v>46233</v>
      </c>
      <c r="D4265" s="2" t="s">
        <v>7433</v>
      </c>
      <c r="E4265" s="2" t="s">
        <v>16959</v>
      </c>
      <c r="F4265" s="2" t="s">
        <v>15336</v>
      </c>
      <c r="G4265" s="2" t="s">
        <v>17640</v>
      </c>
      <c r="H4265" s="2" t="s">
        <v>39</v>
      </c>
      <c r="I4265" s="9">
        <v>11120.017</v>
      </c>
      <c r="J4265" s="7">
        <v>1</v>
      </c>
      <c r="K4265" s="9">
        <v>11120.02</v>
      </c>
      <c r="L4265" s="14">
        <v>0</v>
      </c>
      <c r="M4265" s="2" t="s">
        <v>71</v>
      </c>
      <c r="N4265" s="2" t="s">
        <v>17628</v>
      </c>
      <c r="O4265" s="2" t="s">
        <v>9113</v>
      </c>
      <c r="P4265" s="9">
        <v>0</v>
      </c>
      <c r="Q4265" s="9">
        <v>0</v>
      </c>
      <c r="R4265" s="2"/>
    </row>
    <row r="4266" spans="1:18" x14ac:dyDescent="0.25">
      <c r="A4266" s="2" t="s">
        <v>17641</v>
      </c>
      <c r="B4266" s="6">
        <v>46204</v>
      </c>
      <c r="C4266" s="8">
        <v>46234</v>
      </c>
      <c r="D4266" s="2" t="s">
        <v>7433</v>
      </c>
      <c r="E4266" s="2" t="s">
        <v>16959</v>
      </c>
      <c r="F4266" s="2" t="s">
        <v>15300</v>
      </c>
      <c r="G4266" s="2" t="s">
        <v>17642</v>
      </c>
      <c r="H4266" s="2" t="s">
        <v>76</v>
      </c>
      <c r="I4266" s="9">
        <v>184489677.41935501</v>
      </c>
      <c r="J4266" s="7">
        <v>6.2000000000000003E-5</v>
      </c>
      <c r="K4266" s="9">
        <v>11438.36</v>
      </c>
      <c r="L4266" s="14">
        <v>0</v>
      </c>
      <c r="M4266" s="2" t="s">
        <v>71</v>
      </c>
      <c r="N4266" s="2" t="s">
        <v>17628</v>
      </c>
      <c r="O4266" s="2" t="s">
        <v>9118</v>
      </c>
      <c r="P4266" s="9">
        <v>0</v>
      </c>
      <c r="Q4266" s="9">
        <v>0</v>
      </c>
      <c r="R4266" s="2"/>
    </row>
    <row r="4267" spans="1:18" x14ac:dyDescent="0.25">
      <c r="A4267" s="2" t="s">
        <v>17643</v>
      </c>
      <c r="B4267" s="6">
        <v>46204</v>
      </c>
      <c r="C4267" s="8">
        <v>46204</v>
      </c>
      <c r="D4267" s="2" t="s">
        <v>7433</v>
      </c>
      <c r="E4267" s="2" t="s">
        <v>16959</v>
      </c>
      <c r="F4267" s="2" t="s">
        <v>15304</v>
      </c>
      <c r="G4267" s="2" t="s">
        <v>17644</v>
      </c>
      <c r="H4267" s="2" t="s">
        <v>70</v>
      </c>
      <c r="I4267" s="9">
        <v>17867.312310000001</v>
      </c>
      <c r="J4267" s="7">
        <v>0.65800000000000003</v>
      </c>
      <c r="K4267" s="9">
        <v>11756.69</v>
      </c>
      <c r="L4267" s="14">
        <v>0</v>
      </c>
      <c r="M4267" s="2" t="s">
        <v>71</v>
      </c>
      <c r="N4267" s="2" t="s">
        <v>17628</v>
      </c>
      <c r="O4267" s="2" t="s">
        <v>9123</v>
      </c>
      <c r="P4267" s="9">
        <v>0</v>
      </c>
      <c r="Q4267" s="9">
        <v>0</v>
      </c>
      <c r="R4267" s="2"/>
    </row>
    <row r="4268" spans="1:18" x14ac:dyDescent="0.25">
      <c r="A4268" s="2" t="s">
        <v>17645</v>
      </c>
      <c r="B4268" s="6">
        <v>46204</v>
      </c>
      <c r="C4268" s="8">
        <v>46205</v>
      </c>
      <c r="D4268" s="2" t="s">
        <v>7433</v>
      </c>
      <c r="E4268" s="2" t="s">
        <v>16959</v>
      </c>
      <c r="F4268" s="2" t="s">
        <v>15308</v>
      </c>
      <c r="G4268" s="2" t="s">
        <v>17646</v>
      </c>
      <c r="H4268" s="2" t="s">
        <v>39</v>
      </c>
      <c r="I4268" s="9">
        <v>12075.0345</v>
      </c>
      <c r="J4268" s="7">
        <v>1</v>
      </c>
      <c r="K4268" s="9">
        <v>12075.03</v>
      </c>
      <c r="L4268" s="14">
        <v>0</v>
      </c>
      <c r="M4268" s="2" t="s">
        <v>71</v>
      </c>
      <c r="N4268" s="2" t="s">
        <v>17628</v>
      </c>
      <c r="O4268" s="2" t="s">
        <v>9128</v>
      </c>
      <c r="P4268" s="9">
        <v>0</v>
      </c>
      <c r="Q4268" s="9">
        <v>0</v>
      </c>
      <c r="R4268" s="2"/>
    </row>
    <row r="4269" spans="1:18" x14ac:dyDescent="0.25">
      <c r="A4269" s="2" t="s">
        <v>17647</v>
      </c>
      <c r="B4269" s="6">
        <v>46204</v>
      </c>
      <c r="C4269" s="8">
        <v>46206</v>
      </c>
      <c r="D4269" s="2" t="s">
        <v>7433</v>
      </c>
      <c r="E4269" s="2" t="s">
        <v>16959</v>
      </c>
      <c r="F4269" s="2" t="s">
        <v>15312</v>
      </c>
      <c r="G4269" s="2" t="s">
        <v>17648</v>
      </c>
      <c r="H4269" s="2" t="s">
        <v>76</v>
      </c>
      <c r="I4269" s="9">
        <v>199893185.48387101</v>
      </c>
      <c r="J4269" s="7">
        <v>6.2000000000000003E-5</v>
      </c>
      <c r="K4269" s="9">
        <v>12393.38</v>
      </c>
      <c r="L4269" s="14">
        <v>0</v>
      </c>
      <c r="M4269" s="2" t="s">
        <v>71</v>
      </c>
      <c r="N4269" s="2" t="s">
        <v>17628</v>
      </c>
      <c r="O4269" s="2" t="s">
        <v>9133</v>
      </c>
      <c r="P4269" s="9">
        <v>0</v>
      </c>
      <c r="Q4269" s="9">
        <v>0</v>
      </c>
      <c r="R4269" s="2"/>
    </row>
    <row r="4270" spans="1:18" x14ac:dyDescent="0.25">
      <c r="A4270" s="2" t="s">
        <v>17649</v>
      </c>
      <c r="B4270" s="6">
        <v>46204</v>
      </c>
      <c r="C4270" s="8">
        <v>46207</v>
      </c>
      <c r="D4270" s="2" t="s">
        <v>7433</v>
      </c>
      <c r="E4270" s="2" t="s">
        <v>16959</v>
      </c>
      <c r="F4270" s="2" t="s">
        <v>15316</v>
      </c>
      <c r="G4270" s="2" t="s">
        <v>17650</v>
      </c>
      <c r="H4270" s="2" t="s">
        <v>70</v>
      </c>
      <c r="I4270" s="9">
        <v>19318.706687000002</v>
      </c>
      <c r="J4270" s="7">
        <v>0.65800000000000003</v>
      </c>
      <c r="K4270" s="9">
        <v>12711.71</v>
      </c>
      <c r="L4270" s="14">
        <v>0</v>
      </c>
      <c r="M4270" s="2" t="s">
        <v>71</v>
      </c>
      <c r="N4270" s="2" t="s">
        <v>17628</v>
      </c>
      <c r="O4270" s="2" t="s">
        <v>9138</v>
      </c>
      <c r="P4270" s="9">
        <v>0</v>
      </c>
      <c r="Q4270" s="9">
        <v>0</v>
      </c>
      <c r="R4270" s="2"/>
    </row>
    <row r="4271" spans="1:18" x14ac:dyDescent="0.25">
      <c r="A4271" s="2" t="s">
        <v>17651</v>
      </c>
      <c r="B4271" s="6">
        <v>46204</v>
      </c>
      <c r="C4271" s="8">
        <v>46208</v>
      </c>
      <c r="D4271" s="2" t="s">
        <v>7433</v>
      </c>
      <c r="E4271" s="2" t="s">
        <v>16959</v>
      </c>
      <c r="F4271" s="2" t="s">
        <v>15320</v>
      </c>
      <c r="G4271" s="2" t="s">
        <v>17652</v>
      </c>
      <c r="H4271" s="2" t="s">
        <v>39</v>
      </c>
      <c r="I4271" s="9">
        <v>13030.052</v>
      </c>
      <c r="J4271" s="7">
        <v>1</v>
      </c>
      <c r="K4271" s="9">
        <v>13030.05</v>
      </c>
      <c r="L4271" s="14">
        <v>0</v>
      </c>
      <c r="M4271" s="2" t="s">
        <v>71</v>
      </c>
      <c r="N4271" s="2" t="s">
        <v>17628</v>
      </c>
      <c r="O4271" s="2" t="s">
        <v>9143</v>
      </c>
      <c r="P4271" s="9">
        <v>0</v>
      </c>
      <c r="Q4271" s="9">
        <v>0</v>
      </c>
      <c r="R4271" s="2"/>
    </row>
    <row r="4272" spans="1:18" x14ac:dyDescent="0.25">
      <c r="A4272" s="2" t="s">
        <v>17653</v>
      </c>
      <c r="B4272" s="6">
        <v>46204</v>
      </c>
      <c r="C4272" s="8">
        <v>46209</v>
      </c>
      <c r="D4272" s="2" t="s">
        <v>7433</v>
      </c>
      <c r="E4272" s="2" t="s">
        <v>16959</v>
      </c>
      <c r="F4272" s="2" t="s">
        <v>15324</v>
      </c>
      <c r="G4272" s="2" t="s">
        <v>17654</v>
      </c>
      <c r="H4272" s="2" t="s">
        <v>76</v>
      </c>
      <c r="I4272" s="9">
        <v>215296693.54838699</v>
      </c>
      <c r="J4272" s="7">
        <v>6.2000000000000003E-5</v>
      </c>
      <c r="K4272" s="9">
        <v>13348.39</v>
      </c>
      <c r="L4272" s="14">
        <v>0</v>
      </c>
      <c r="M4272" s="2" t="s">
        <v>71</v>
      </c>
      <c r="N4272" s="2" t="s">
        <v>17628</v>
      </c>
      <c r="O4272" s="2" t="s">
        <v>9148</v>
      </c>
      <c r="P4272" s="9">
        <v>0</v>
      </c>
      <c r="Q4272" s="9">
        <v>0</v>
      </c>
      <c r="R4272" s="2"/>
    </row>
    <row r="4273" spans="1:18" x14ac:dyDescent="0.25">
      <c r="A4273" s="2" t="s">
        <v>17655</v>
      </c>
      <c r="B4273" s="6">
        <v>46204</v>
      </c>
      <c r="C4273" s="8">
        <v>46210</v>
      </c>
      <c r="D4273" s="2" t="s">
        <v>7433</v>
      </c>
      <c r="E4273" s="2" t="s">
        <v>16959</v>
      </c>
      <c r="F4273" s="2" t="s">
        <v>15328</v>
      </c>
      <c r="G4273" s="2" t="s">
        <v>17656</v>
      </c>
      <c r="H4273" s="2" t="s">
        <v>70</v>
      </c>
      <c r="I4273" s="9">
        <v>20770.101063999999</v>
      </c>
      <c r="J4273" s="7">
        <v>0.65800000000000003</v>
      </c>
      <c r="K4273" s="9">
        <v>13666.73</v>
      </c>
      <c r="L4273" s="14">
        <v>0</v>
      </c>
      <c r="M4273" s="2" t="s">
        <v>71</v>
      </c>
      <c r="N4273" s="2" t="s">
        <v>17628</v>
      </c>
      <c r="O4273" s="2" t="s">
        <v>9153</v>
      </c>
      <c r="P4273" s="9">
        <v>0</v>
      </c>
      <c r="Q4273" s="9">
        <v>0</v>
      </c>
      <c r="R4273" s="2"/>
    </row>
    <row r="4274" spans="1:18" x14ac:dyDescent="0.25">
      <c r="A4274" s="2" t="s">
        <v>17657</v>
      </c>
      <c r="B4274" s="6">
        <v>46204</v>
      </c>
      <c r="C4274" s="8">
        <v>46211</v>
      </c>
      <c r="D4274" s="2" t="s">
        <v>7433</v>
      </c>
      <c r="E4274" s="2" t="s">
        <v>16959</v>
      </c>
      <c r="F4274" s="2" t="s">
        <v>15332</v>
      </c>
      <c r="G4274" s="2" t="s">
        <v>17658</v>
      </c>
      <c r="H4274" s="2" t="s">
        <v>39</v>
      </c>
      <c r="I4274" s="9">
        <v>13985.0695</v>
      </c>
      <c r="J4274" s="7">
        <v>1</v>
      </c>
      <c r="K4274" s="9">
        <v>13985.07</v>
      </c>
      <c r="L4274" s="14">
        <v>0</v>
      </c>
      <c r="M4274" s="2" t="s">
        <v>71</v>
      </c>
      <c r="N4274" s="2" t="s">
        <v>17628</v>
      </c>
      <c r="O4274" s="2" t="s">
        <v>9158</v>
      </c>
      <c r="P4274" s="9">
        <v>0</v>
      </c>
      <c r="Q4274" s="9">
        <v>0</v>
      </c>
      <c r="R4274" s="2"/>
    </row>
    <row r="4275" spans="1:18" x14ac:dyDescent="0.25">
      <c r="A4275" s="2" t="s">
        <v>17659</v>
      </c>
      <c r="B4275" s="6">
        <v>46204</v>
      </c>
      <c r="C4275" s="8">
        <v>46212</v>
      </c>
      <c r="D4275" s="2" t="s">
        <v>7433</v>
      </c>
      <c r="E4275" s="2" t="s">
        <v>16959</v>
      </c>
      <c r="F4275" s="2" t="s">
        <v>15336</v>
      </c>
      <c r="G4275" s="2" t="s">
        <v>17660</v>
      </c>
      <c r="H4275" s="2" t="s">
        <v>76</v>
      </c>
      <c r="I4275" s="9">
        <v>230700016.12903199</v>
      </c>
      <c r="J4275" s="7">
        <v>6.2000000000000003E-5</v>
      </c>
      <c r="K4275" s="9">
        <v>14303.4</v>
      </c>
      <c r="L4275" s="14">
        <v>0</v>
      </c>
      <c r="M4275" s="2" t="s">
        <v>71</v>
      </c>
      <c r="N4275" s="2" t="s">
        <v>17628</v>
      </c>
      <c r="O4275" s="2" t="s">
        <v>9163</v>
      </c>
      <c r="P4275" s="9">
        <v>0</v>
      </c>
      <c r="Q4275" s="9">
        <v>0</v>
      </c>
      <c r="R4275" s="2"/>
    </row>
    <row r="4276" spans="1:18" x14ac:dyDescent="0.25">
      <c r="A4276" s="2" t="s">
        <v>17661</v>
      </c>
      <c r="B4276" s="6">
        <v>46204</v>
      </c>
      <c r="C4276" s="8">
        <v>46213</v>
      </c>
      <c r="D4276" s="2" t="s">
        <v>7433</v>
      </c>
      <c r="E4276" s="2" t="s">
        <v>16959</v>
      </c>
      <c r="F4276" s="2" t="s">
        <v>15300</v>
      </c>
      <c r="G4276" s="2" t="s">
        <v>17662</v>
      </c>
      <c r="H4276" s="2" t="s">
        <v>70</v>
      </c>
      <c r="I4276" s="9">
        <v>22221.495440999999</v>
      </c>
      <c r="J4276" s="7">
        <v>0.65800000000000003</v>
      </c>
      <c r="K4276" s="9">
        <v>14621.74</v>
      </c>
      <c r="L4276" s="14">
        <v>0</v>
      </c>
      <c r="M4276" s="2" t="s">
        <v>71</v>
      </c>
      <c r="N4276" s="2" t="s">
        <v>17628</v>
      </c>
      <c r="O4276" s="2" t="s">
        <v>9168</v>
      </c>
      <c r="P4276" s="9">
        <v>0</v>
      </c>
      <c r="Q4276" s="9">
        <v>0</v>
      </c>
      <c r="R4276" s="2"/>
    </row>
    <row r="4277" spans="1:18" x14ac:dyDescent="0.25">
      <c r="A4277" s="2" t="s">
        <v>17663</v>
      </c>
      <c r="B4277" s="6">
        <v>46204</v>
      </c>
      <c r="C4277" s="8">
        <v>46214</v>
      </c>
      <c r="D4277" s="2" t="s">
        <v>7433</v>
      </c>
      <c r="E4277" s="2" t="s">
        <v>16959</v>
      </c>
      <c r="F4277" s="2" t="s">
        <v>15304</v>
      </c>
      <c r="G4277" s="2" t="s">
        <v>17664</v>
      </c>
      <c r="H4277" s="2" t="s">
        <v>39</v>
      </c>
      <c r="I4277" s="9">
        <v>14940.087</v>
      </c>
      <c r="J4277" s="7">
        <v>1</v>
      </c>
      <c r="K4277" s="9">
        <v>14940.09</v>
      </c>
      <c r="L4277" s="14">
        <v>0</v>
      </c>
      <c r="M4277" s="2" t="s">
        <v>71</v>
      </c>
      <c r="N4277" s="2" t="s">
        <v>17628</v>
      </c>
      <c r="O4277" s="2" t="s">
        <v>9173</v>
      </c>
      <c r="P4277" s="9">
        <v>0</v>
      </c>
      <c r="Q4277" s="9">
        <v>0</v>
      </c>
      <c r="R4277" s="2"/>
    </row>
    <row r="4278" spans="1:18" x14ac:dyDescent="0.25">
      <c r="A4278" s="2" t="s">
        <v>17665</v>
      </c>
      <c r="B4278" s="6">
        <v>46204</v>
      </c>
      <c r="C4278" s="8">
        <v>46215</v>
      </c>
      <c r="D4278" s="2" t="s">
        <v>7433</v>
      </c>
      <c r="E4278" s="2" t="s">
        <v>16959</v>
      </c>
      <c r="F4278" s="2" t="s">
        <v>15308</v>
      </c>
      <c r="G4278" s="2" t="s">
        <v>17666</v>
      </c>
      <c r="H4278" s="2" t="s">
        <v>76</v>
      </c>
      <c r="I4278" s="9">
        <v>246103524.19354799</v>
      </c>
      <c r="J4278" s="7">
        <v>6.2000000000000003E-5</v>
      </c>
      <c r="K4278" s="9">
        <v>15258.42</v>
      </c>
      <c r="L4278" s="14">
        <v>0</v>
      </c>
      <c r="M4278" s="2" t="s">
        <v>71</v>
      </c>
      <c r="N4278" s="2" t="s">
        <v>17628</v>
      </c>
      <c r="O4278" s="2" t="s">
        <v>9178</v>
      </c>
      <c r="P4278" s="9">
        <v>0</v>
      </c>
      <c r="Q4278" s="9">
        <v>0</v>
      </c>
      <c r="R4278" s="2"/>
    </row>
    <row r="4279" spans="1:18" x14ac:dyDescent="0.25">
      <c r="A4279" s="2" t="s">
        <v>17667</v>
      </c>
      <c r="B4279" s="6">
        <v>46204</v>
      </c>
      <c r="C4279" s="8">
        <v>46216</v>
      </c>
      <c r="D4279" s="2" t="s">
        <v>7433</v>
      </c>
      <c r="E4279" s="2" t="s">
        <v>16959</v>
      </c>
      <c r="F4279" s="2" t="s">
        <v>15312</v>
      </c>
      <c r="G4279" s="2" t="s">
        <v>17668</v>
      </c>
      <c r="H4279" s="2" t="s">
        <v>70</v>
      </c>
      <c r="I4279" s="9">
        <v>23672.889818</v>
      </c>
      <c r="J4279" s="7">
        <v>0.65800000000000003</v>
      </c>
      <c r="K4279" s="9">
        <v>15576.76</v>
      </c>
      <c r="L4279" s="14">
        <v>0</v>
      </c>
      <c r="M4279" s="2" t="s">
        <v>71</v>
      </c>
      <c r="N4279" s="2" t="s">
        <v>17628</v>
      </c>
      <c r="O4279" s="2" t="s">
        <v>9183</v>
      </c>
      <c r="P4279" s="9">
        <v>0</v>
      </c>
      <c r="Q4279" s="9">
        <v>0</v>
      </c>
      <c r="R4279" s="2"/>
    </row>
    <row r="4280" spans="1:18" x14ac:dyDescent="0.25">
      <c r="A4280" s="2" t="s">
        <v>17669</v>
      </c>
      <c r="B4280" s="6">
        <v>46204</v>
      </c>
      <c r="C4280" s="8">
        <v>46217</v>
      </c>
      <c r="D4280" s="2" t="s">
        <v>7433</v>
      </c>
      <c r="E4280" s="2" t="s">
        <v>16959</v>
      </c>
      <c r="F4280" s="2" t="s">
        <v>15316</v>
      </c>
      <c r="G4280" s="2" t="s">
        <v>17670</v>
      </c>
      <c r="H4280" s="2" t="s">
        <v>39</v>
      </c>
      <c r="I4280" s="9">
        <v>15895.093000000001</v>
      </c>
      <c r="J4280" s="7">
        <v>1</v>
      </c>
      <c r="K4280" s="9">
        <v>15895.09</v>
      </c>
      <c r="L4280" s="14">
        <v>0</v>
      </c>
      <c r="M4280" s="2" t="s">
        <v>71</v>
      </c>
      <c r="N4280" s="2" t="s">
        <v>17628</v>
      </c>
      <c r="O4280" s="2" t="s">
        <v>9188</v>
      </c>
      <c r="P4280" s="9">
        <v>0</v>
      </c>
      <c r="Q4280" s="9">
        <v>0</v>
      </c>
      <c r="R4280" s="2"/>
    </row>
    <row r="4281" spans="1:18" x14ac:dyDescent="0.25">
      <c r="A4281" s="2" t="s">
        <v>17671</v>
      </c>
      <c r="B4281" s="6">
        <v>46204</v>
      </c>
      <c r="C4281" s="8">
        <v>46218</v>
      </c>
      <c r="D4281" s="2" t="s">
        <v>7433</v>
      </c>
      <c r="E4281" s="2" t="s">
        <v>16959</v>
      </c>
      <c r="F4281" s="2" t="s">
        <v>15320</v>
      </c>
      <c r="G4281" s="2" t="s">
        <v>17672</v>
      </c>
      <c r="H4281" s="2" t="s">
        <v>76</v>
      </c>
      <c r="I4281" s="9">
        <v>261507032.25806499</v>
      </c>
      <c r="J4281" s="7">
        <v>6.2000000000000003E-5</v>
      </c>
      <c r="K4281" s="9">
        <v>16213.44</v>
      </c>
      <c r="L4281" s="14">
        <v>0</v>
      </c>
      <c r="M4281" s="2" t="s">
        <v>71</v>
      </c>
      <c r="N4281" s="2" t="s">
        <v>17628</v>
      </c>
      <c r="O4281" s="2" t="s">
        <v>9193</v>
      </c>
      <c r="P4281" s="9">
        <v>0</v>
      </c>
      <c r="Q4281" s="9">
        <v>0</v>
      </c>
      <c r="R4281" s="2"/>
    </row>
    <row r="4282" spans="1:18" x14ac:dyDescent="0.25">
      <c r="A4282" s="2" t="s">
        <v>17673</v>
      </c>
      <c r="B4282" s="6">
        <v>46204</v>
      </c>
      <c r="C4282" s="8">
        <v>46219</v>
      </c>
      <c r="D4282" s="2" t="s">
        <v>7433</v>
      </c>
      <c r="E4282" s="2" t="s">
        <v>16959</v>
      </c>
      <c r="F4282" s="2" t="s">
        <v>15324</v>
      </c>
      <c r="G4282" s="2" t="s">
        <v>17674</v>
      </c>
      <c r="H4282" s="2" t="s">
        <v>70</v>
      </c>
      <c r="I4282" s="9">
        <v>25124.284194</v>
      </c>
      <c r="J4282" s="7">
        <v>0.65800000000000003</v>
      </c>
      <c r="K4282" s="9">
        <v>16531.78</v>
      </c>
      <c r="L4282" s="14">
        <v>0</v>
      </c>
      <c r="M4282" s="2" t="s">
        <v>71</v>
      </c>
      <c r="N4282" s="2" t="s">
        <v>17628</v>
      </c>
      <c r="O4282" s="2" t="s">
        <v>9198</v>
      </c>
      <c r="P4282" s="9">
        <v>0</v>
      </c>
      <c r="Q4282" s="9">
        <v>0</v>
      </c>
      <c r="R4282" s="2"/>
    </row>
    <row r="4283" spans="1:18" x14ac:dyDescent="0.25">
      <c r="A4283" s="2" t="s">
        <v>17675</v>
      </c>
      <c r="B4283" s="6">
        <v>46204</v>
      </c>
      <c r="C4283" s="8">
        <v>46220</v>
      </c>
      <c r="D4283" s="2" t="s">
        <v>7433</v>
      </c>
      <c r="E4283" s="2" t="s">
        <v>16959</v>
      </c>
      <c r="F4283" s="2" t="s">
        <v>15328</v>
      </c>
      <c r="G4283" s="2" t="s">
        <v>17676</v>
      </c>
      <c r="H4283" s="2" t="s">
        <v>39</v>
      </c>
      <c r="I4283" s="9">
        <v>16850.110499999999</v>
      </c>
      <c r="J4283" s="7">
        <v>1</v>
      </c>
      <c r="K4283" s="9">
        <v>16850.11</v>
      </c>
      <c r="L4283" s="14">
        <v>0</v>
      </c>
      <c r="M4283" s="2" t="s">
        <v>71</v>
      </c>
      <c r="N4283" s="2" t="s">
        <v>17628</v>
      </c>
      <c r="O4283" s="2" t="s">
        <v>9203</v>
      </c>
      <c r="P4283" s="9">
        <v>0</v>
      </c>
      <c r="Q4283" s="9">
        <v>0</v>
      </c>
      <c r="R4283" s="2"/>
    </row>
    <row r="4284" spans="1:18" x14ac:dyDescent="0.25">
      <c r="A4284" s="2" t="s">
        <v>17677</v>
      </c>
      <c r="B4284" s="6">
        <v>46204</v>
      </c>
      <c r="C4284" s="8">
        <v>46221</v>
      </c>
      <c r="D4284" s="2" t="s">
        <v>7433</v>
      </c>
      <c r="E4284" s="2" t="s">
        <v>16959</v>
      </c>
      <c r="F4284" s="2" t="s">
        <v>15332</v>
      </c>
      <c r="G4284" s="2" t="s">
        <v>17678</v>
      </c>
      <c r="H4284" s="2" t="s">
        <v>76</v>
      </c>
      <c r="I4284" s="9">
        <v>276910540.32257998</v>
      </c>
      <c r="J4284" s="7">
        <v>6.2000000000000003E-5</v>
      </c>
      <c r="K4284" s="9">
        <v>17168.45</v>
      </c>
      <c r="L4284" s="14">
        <v>0</v>
      </c>
      <c r="M4284" s="2" t="s">
        <v>71</v>
      </c>
      <c r="N4284" s="2" t="s">
        <v>17628</v>
      </c>
      <c r="O4284" s="2" t="s">
        <v>9208</v>
      </c>
      <c r="P4284" s="9">
        <v>0</v>
      </c>
      <c r="Q4284" s="9">
        <v>0</v>
      </c>
      <c r="R4284" s="2"/>
    </row>
    <row r="4285" spans="1:18" x14ac:dyDescent="0.25">
      <c r="A4285" s="2" t="s">
        <v>17679</v>
      </c>
      <c r="B4285" s="6">
        <v>46204</v>
      </c>
      <c r="C4285" s="8">
        <v>46222</v>
      </c>
      <c r="D4285" s="2" t="s">
        <v>7433</v>
      </c>
      <c r="E4285" s="2" t="s">
        <v>16959</v>
      </c>
      <c r="F4285" s="2" t="s">
        <v>15336</v>
      </c>
      <c r="G4285" s="2" t="s">
        <v>17680</v>
      </c>
      <c r="H4285" s="2" t="s">
        <v>70</v>
      </c>
      <c r="I4285" s="9">
        <v>26575.678571</v>
      </c>
      <c r="J4285" s="7">
        <v>0.65800000000000003</v>
      </c>
      <c r="K4285" s="9">
        <v>17486.8</v>
      </c>
      <c r="L4285" s="14">
        <v>0</v>
      </c>
      <c r="M4285" s="2" t="s">
        <v>71</v>
      </c>
      <c r="N4285" s="2" t="s">
        <v>17628</v>
      </c>
      <c r="O4285" s="2" t="s">
        <v>9213</v>
      </c>
      <c r="P4285" s="9">
        <v>0</v>
      </c>
      <c r="Q4285" s="9">
        <v>0</v>
      </c>
      <c r="R4285" s="2"/>
    </row>
    <row r="4286" spans="1:18" x14ac:dyDescent="0.25">
      <c r="A4286" s="2" t="s">
        <v>17681</v>
      </c>
      <c r="B4286" s="6">
        <v>46204</v>
      </c>
      <c r="C4286" s="8">
        <v>46223</v>
      </c>
      <c r="D4286" s="2" t="s">
        <v>7433</v>
      </c>
      <c r="E4286" s="2" t="s">
        <v>16959</v>
      </c>
      <c r="F4286" s="2" t="s">
        <v>15300</v>
      </c>
      <c r="G4286" s="2" t="s">
        <v>17682</v>
      </c>
      <c r="H4286" s="2" t="s">
        <v>39</v>
      </c>
      <c r="I4286" s="9">
        <v>17805.128000000001</v>
      </c>
      <c r="J4286" s="7">
        <v>1</v>
      </c>
      <c r="K4286" s="9">
        <v>17805.13</v>
      </c>
      <c r="L4286" s="14">
        <v>0</v>
      </c>
      <c r="M4286" s="2" t="s">
        <v>71</v>
      </c>
      <c r="N4286" s="2" t="s">
        <v>17628</v>
      </c>
      <c r="O4286" s="2" t="s">
        <v>9218</v>
      </c>
      <c r="P4286" s="9">
        <v>0</v>
      </c>
      <c r="Q4286" s="9">
        <v>0</v>
      </c>
      <c r="R4286" s="2"/>
    </row>
    <row r="4287" spans="1:18" x14ac:dyDescent="0.25">
      <c r="A4287" s="2" t="s">
        <v>17683</v>
      </c>
      <c r="B4287" s="6">
        <v>46204</v>
      </c>
      <c r="C4287" s="8">
        <v>46224</v>
      </c>
      <c r="D4287" s="2" t="s">
        <v>7433</v>
      </c>
      <c r="E4287" s="2" t="s">
        <v>16959</v>
      </c>
      <c r="F4287" s="2" t="s">
        <v>15304</v>
      </c>
      <c r="G4287" s="2" t="s">
        <v>17684</v>
      </c>
      <c r="H4287" s="2" t="s">
        <v>76</v>
      </c>
      <c r="I4287" s="9">
        <v>292314048.387097</v>
      </c>
      <c r="J4287" s="7">
        <v>6.2000000000000003E-5</v>
      </c>
      <c r="K4287" s="9">
        <v>18123.47</v>
      </c>
      <c r="L4287" s="14">
        <v>0</v>
      </c>
      <c r="M4287" s="2" t="s">
        <v>71</v>
      </c>
      <c r="N4287" s="2" t="s">
        <v>17628</v>
      </c>
      <c r="O4287" s="2" t="s">
        <v>9223</v>
      </c>
      <c r="P4287" s="9">
        <v>0</v>
      </c>
      <c r="Q4287" s="9">
        <v>0</v>
      </c>
      <c r="R4287" s="2"/>
    </row>
    <row r="4288" spans="1:18" x14ac:dyDescent="0.25">
      <c r="A4288" s="2" t="s">
        <v>17685</v>
      </c>
      <c r="B4288" s="6">
        <v>46204</v>
      </c>
      <c r="C4288" s="8">
        <v>46225</v>
      </c>
      <c r="D4288" s="2" t="s">
        <v>7433</v>
      </c>
      <c r="E4288" s="2" t="s">
        <v>16959</v>
      </c>
      <c r="F4288" s="2" t="s">
        <v>15308</v>
      </c>
      <c r="G4288" s="2" t="s">
        <v>17686</v>
      </c>
      <c r="H4288" s="2" t="s">
        <v>70</v>
      </c>
      <c r="I4288" s="9">
        <v>28027.055472</v>
      </c>
      <c r="J4288" s="7">
        <v>0.65800000000000003</v>
      </c>
      <c r="K4288" s="9">
        <v>18441.8</v>
      </c>
      <c r="L4288" s="14">
        <v>0</v>
      </c>
      <c r="M4288" s="2" t="s">
        <v>71</v>
      </c>
      <c r="N4288" s="2" t="s">
        <v>17628</v>
      </c>
      <c r="O4288" s="2" t="s">
        <v>9228</v>
      </c>
      <c r="P4288" s="9">
        <v>0</v>
      </c>
      <c r="Q4288" s="9">
        <v>0</v>
      </c>
      <c r="R4288" s="2"/>
    </row>
    <row r="4289" spans="1:18" x14ac:dyDescent="0.25">
      <c r="A4289" s="2" t="s">
        <v>17687</v>
      </c>
      <c r="B4289" s="6">
        <v>46204</v>
      </c>
      <c r="C4289" s="8">
        <v>46226</v>
      </c>
      <c r="D4289" s="2" t="s">
        <v>7433</v>
      </c>
      <c r="E4289" s="2" t="s">
        <v>16959</v>
      </c>
      <c r="F4289" s="2" t="s">
        <v>15312</v>
      </c>
      <c r="G4289" s="2" t="s">
        <v>17688</v>
      </c>
      <c r="H4289" s="2" t="s">
        <v>39</v>
      </c>
      <c r="I4289" s="9">
        <v>18760.145499999999</v>
      </c>
      <c r="J4289" s="7">
        <v>1</v>
      </c>
      <c r="K4289" s="9">
        <v>18760.150000000001</v>
      </c>
      <c r="L4289" s="14">
        <v>0</v>
      </c>
      <c r="M4289" s="2" t="s">
        <v>71</v>
      </c>
      <c r="N4289" s="2" t="s">
        <v>17628</v>
      </c>
      <c r="O4289" s="2" t="s">
        <v>9233</v>
      </c>
      <c r="P4289" s="9">
        <v>0</v>
      </c>
      <c r="Q4289" s="9">
        <v>0</v>
      </c>
      <c r="R4289" s="2"/>
    </row>
    <row r="4290" spans="1:18" x14ac:dyDescent="0.25">
      <c r="A4290" s="2" t="s">
        <v>17689</v>
      </c>
      <c r="B4290" s="6">
        <v>46204</v>
      </c>
      <c r="C4290" s="8">
        <v>46227</v>
      </c>
      <c r="D4290" s="2" t="s">
        <v>7433</v>
      </c>
      <c r="E4290" s="2" t="s">
        <v>16959</v>
      </c>
      <c r="F4290" s="2" t="s">
        <v>15316</v>
      </c>
      <c r="G4290" s="2" t="s">
        <v>17690</v>
      </c>
      <c r="H4290" s="2" t="s">
        <v>76</v>
      </c>
      <c r="I4290" s="9">
        <v>307717370.96774203</v>
      </c>
      <c r="J4290" s="7">
        <v>6.2000000000000003E-5</v>
      </c>
      <c r="K4290" s="9">
        <v>19078.48</v>
      </c>
      <c r="L4290" s="14">
        <v>0</v>
      </c>
      <c r="M4290" s="2" t="s">
        <v>71</v>
      </c>
      <c r="N4290" s="2" t="s">
        <v>17628</v>
      </c>
      <c r="O4290" s="2" t="s">
        <v>9238</v>
      </c>
      <c r="P4290" s="9">
        <v>0</v>
      </c>
      <c r="Q4290" s="9">
        <v>0</v>
      </c>
      <c r="R4290" s="2"/>
    </row>
    <row r="4291" spans="1:18" x14ac:dyDescent="0.25">
      <c r="A4291" s="2" t="s">
        <v>17691</v>
      </c>
      <c r="B4291" s="6">
        <v>46204</v>
      </c>
      <c r="C4291" s="8">
        <v>46228</v>
      </c>
      <c r="D4291" s="2" t="s">
        <v>7433</v>
      </c>
      <c r="E4291" s="2" t="s">
        <v>16959</v>
      </c>
      <c r="F4291" s="2" t="s">
        <v>15320</v>
      </c>
      <c r="G4291" s="2" t="s">
        <v>17692</v>
      </c>
      <c r="H4291" s="2" t="s">
        <v>70</v>
      </c>
      <c r="I4291" s="9">
        <v>29478.449847</v>
      </c>
      <c r="J4291" s="7">
        <v>0.65800000000000003</v>
      </c>
      <c r="K4291" s="9">
        <v>19396.82</v>
      </c>
      <c r="L4291" s="14">
        <v>0</v>
      </c>
      <c r="M4291" s="2" t="s">
        <v>71</v>
      </c>
      <c r="N4291" s="2" t="s">
        <v>17628</v>
      </c>
      <c r="O4291" s="2" t="s">
        <v>9243</v>
      </c>
      <c r="P4291" s="9">
        <v>0</v>
      </c>
      <c r="Q4291" s="9">
        <v>0</v>
      </c>
      <c r="R4291" s="2"/>
    </row>
    <row r="4292" spans="1:18" x14ac:dyDescent="0.25">
      <c r="A4292" s="2" t="s">
        <v>17693</v>
      </c>
      <c r="B4292" s="6">
        <v>46204</v>
      </c>
      <c r="C4292" s="8">
        <v>46229</v>
      </c>
      <c r="D4292" s="2" t="s">
        <v>7433</v>
      </c>
      <c r="E4292" s="2" t="s">
        <v>16959</v>
      </c>
      <c r="F4292" s="2" t="s">
        <v>15324</v>
      </c>
      <c r="G4292" s="2" t="s">
        <v>17694</v>
      </c>
      <c r="H4292" s="2" t="s">
        <v>39</v>
      </c>
      <c r="I4292" s="9">
        <v>19715.163</v>
      </c>
      <c r="J4292" s="7">
        <v>1</v>
      </c>
      <c r="K4292" s="9">
        <v>19715.16</v>
      </c>
      <c r="L4292" s="14">
        <v>0</v>
      </c>
      <c r="M4292" s="2" t="s">
        <v>71</v>
      </c>
      <c r="N4292" s="2" t="s">
        <v>17628</v>
      </c>
      <c r="O4292" s="2" t="s">
        <v>9248</v>
      </c>
      <c r="P4292" s="9">
        <v>0</v>
      </c>
      <c r="Q4292" s="9">
        <v>0</v>
      </c>
      <c r="R4292" s="2"/>
    </row>
    <row r="4293" spans="1:18" x14ac:dyDescent="0.25">
      <c r="A4293" s="2" t="s">
        <v>17695</v>
      </c>
      <c r="B4293" s="6">
        <v>46204</v>
      </c>
      <c r="C4293" s="8">
        <v>46230</v>
      </c>
      <c r="D4293" s="2" t="s">
        <v>7433</v>
      </c>
      <c r="E4293" s="2" t="s">
        <v>16959</v>
      </c>
      <c r="F4293" s="2" t="s">
        <v>15328</v>
      </c>
      <c r="G4293" s="2" t="s">
        <v>17696</v>
      </c>
      <c r="H4293" s="2" t="s">
        <v>76</v>
      </c>
      <c r="I4293" s="9">
        <v>323120879.03225797</v>
      </c>
      <c r="J4293" s="7">
        <v>6.2000000000000003E-5</v>
      </c>
      <c r="K4293" s="9">
        <v>20033.490000000002</v>
      </c>
      <c r="L4293" s="14">
        <v>0</v>
      </c>
      <c r="M4293" s="2" t="s">
        <v>71</v>
      </c>
      <c r="N4293" s="2" t="s">
        <v>17628</v>
      </c>
      <c r="O4293" s="2" t="s">
        <v>9253</v>
      </c>
      <c r="P4293" s="9">
        <v>0</v>
      </c>
      <c r="Q4293" s="9">
        <v>0</v>
      </c>
      <c r="R4293" s="2"/>
    </row>
    <row r="4294" spans="1:18" x14ac:dyDescent="0.25">
      <c r="A4294" s="2" t="s">
        <v>17697</v>
      </c>
      <c r="B4294" s="6">
        <v>46204</v>
      </c>
      <c r="C4294" s="8">
        <v>46231</v>
      </c>
      <c r="D4294" s="2" t="s">
        <v>7433</v>
      </c>
      <c r="E4294" s="2" t="s">
        <v>16959</v>
      </c>
      <c r="F4294" s="2" t="s">
        <v>15332</v>
      </c>
      <c r="G4294" s="2" t="s">
        <v>17698</v>
      </c>
      <c r="H4294" s="2" t="s">
        <v>70</v>
      </c>
      <c r="I4294" s="9">
        <v>-30929.844225000001</v>
      </c>
      <c r="J4294" s="7">
        <v>0.65800000000000003</v>
      </c>
      <c r="K4294" s="9">
        <v>-20351.84</v>
      </c>
      <c r="L4294" s="14">
        <v>0</v>
      </c>
      <c r="M4294" s="2" t="s">
        <v>71</v>
      </c>
      <c r="N4294" s="2" t="s">
        <v>17628</v>
      </c>
      <c r="O4294" s="2" t="s">
        <v>9258</v>
      </c>
      <c r="P4294" s="9">
        <v>0</v>
      </c>
      <c r="Q4294" s="9">
        <v>0</v>
      </c>
      <c r="R4294" s="2"/>
    </row>
    <row r="4295" spans="1:18" x14ac:dyDescent="0.25">
      <c r="A4295" s="2" t="s">
        <v>17699</v>
      </c>
      <c r="B4295" s="6">
        <v>46204</v>
      </c>
      <c r="C4295" s="8">
        <v>46232</v>
      </c>
      <c r="D4295" s="2" t="s">
        <v>7433</v>
      </c>
      <c r="E4295" s="2" t="s">
        <v>16959</v>
      </c>
      <c r="F4295" s="2" t="s">
        <v>15336</v>
      </c>
      <c r="G4295" s="2" t="s">
        <v>17700</v>
      </c>
      <c r="H4295" s="2" t="s">
        <v>39</v>
      </c>
      <c r="I4295" s="9">
        <v>20670.169000000002</v>
      </c>
      <c r="J4295" s="7">
        <v>1</v>
      </c>
      <c r="K4295" s="9">
        <v>20670.169999999998</v>
      </c>
      <c r="L4295" s="14">
        <v>0</v>
      </c>
      <c r="M4295" s="2" t="s">
        <v>71</v>
      </c>
      <c r="N4295" s="2" t="s">
        <v>17628</v>
      </c>
      <c r="O4295" s="2" t="s">
        <v>9261</v>
      </c>
      <c r="P4295" s="9">
        <v>0</v>
      </c>
      <c r="Q4295" s="9">
        <v>0</v>
      </c>
      <c r="R4295" s="2"/>
    </row>
    <row r="4296" spans="1:18" x14ac:dyDescent="0.25">
      <c r="A4296" s="2" t="s">
        <v>17701</v>
      </c>
      <c r="B4296" s="6">
        <v>46204</v>
      </c>
      <c r="C4296" s="8">
        <v>46233</v>
      </c>
      <c r="D4296" s="2" t="s">
        <v>7433</v>
      </c>
      <c r="E4296" s="2" t="s">
        <v>16959</v>
      </c>
      <c r="F4296" s="2" t="s">
        <v>15300</v>
      </c>
      <c r="G4296" s="2" t="s">
        <v>17702</v>
      </c>
      <c r="H4296" s="2" t="s">
        <v>76</v>
      </c>
      <c r="I4296" s="9">
        <v>338524387.096775</v>
      </c>
      <c r="J4296" s="7">
        <v>6.2000000000000003E-5</v>
      </c>
      <c r="K4296" s="9">
        <v>20988.51</v>
      </c>
      <c r="L4296" s="14">
        <v>0</v>
      </c>
      <c r="M4296" s="2" t="s">
        <v>71</v>
      </c>
      <c r="N4296" s="2" t="s">
        <v>17628</v>
      </c>
      <c r="O4296" s="2" t="s">
        <v>9266</v>
      </c>
      <c r="P4296" s="9">
        <v>0</v>
      </c>
      <c r="Q4296" s="9">
        <v>0</v>
      </c>
      <c r="R4296" s="2"/>
    </row>
    <row r="4297" spans="1:18" x14ac:dyDescent="0.25">
      <c r="A4297" s="2" t="s">
        <v>17703</v>
      </c>
      <c r="B4297" s="6">
        <v>46204</v>
      </c>
      <c r="C4297" s="8">
        <v>46234</v>
      </c>
      <c r="D4297" s="2" t="s">
        <v>7433</v>
      </c>
      <c r="E4297" s="2" t="s">
        <v>16959</v>
      </c>
      <c r="F4297" s="2" t="s">
        <v>15304</v>
      </c>
      <c r="G4297" s="2" t="s">
        <v>17704</v>
      </c>
      <c r="H4297" s="2" t="s">
        <v>70</v>
      </c>
      <c r="I4297" s="9">
        <v>32381.221125</v>
      </c>
      <c r="J4297" s="7">
        <v>0.65800000000000003</v>
      </c>
      <c r="K4297" s="9">
        <v>21306.84</v>
      </c>
      <c r="L4297" s="14">
        <v>0</v>
      </c>
      <c r="M4297" s="2" t="s">
        <v>71</v>
      </c>
      <c r="N4297" s="2" t="s">
        <v>17628</v>
      </c>
      <c r="O4297" s="2" t="s">
        <v>9271</v>
      </c>
      <c r="P4297" s="9">
        <v>0</v>
      </c>
      <c r="Q4297" s="9">
        <v>0</v>
      </c>
      <c r="R4297" s="2"/>
    </row>
    <row r="4298" spans="1:18" x14ac:dyDescent="0.25">
      <c r="A4298" s="2" t="s">
        <v>17705</v>
      </c>
      <c r="B4298" s="6">
        <v>46204</v>
      </c>
      <c r="C4298" s="8">
        <v>46204</v>
      </c>
      <c r="D4298" s="2" t="s">
        <v>7433</v>
      </c>
      <c r="E4298" s="2" t="s">
        <v>16959</v>
      </c>
      <c r="F4298" s="2" t="s">
        <v>15308</v>
      </c>
      <c r="G4298" s="2" t="s">
        <v>17706</v>
      </c>
      <c r="H4298" s="2" t="s">
        <v>39</v>
      </c>
      <c r="I4298" s="9">
        <v>21625.1865</v>
      </c>
      <c r="J4298" s="7">
        <v>1</v>
      </c>
      <c r="K4298" s="9">
        <v>21625.19</v>
      </c>
      <c r="L4298" s="14">
        <v>0</v>
      </c>
      <c r="M4298" s="2" t="s">
        <v>71</v>
      </c>
      <c r="N4298" s="2" t="s">
        <v>17628</v>
      </c>
      <c r="O4298" s="2" t="s">
        <v>9276</v>
      </c>
      <c r="P4298" s="9">
        <v>0</v>
      </c>
      <c r="Q4298" s="9">
        <v>0</v>
      </c>
      <c r="R4298" s="2"/>
    </row>
    <row r="4299" spans="1:18" x14ac:dyDescent="0.25">
      <c r="A4299" s="2" t="s">
        <v>17707</v>
      </c>
      <c r="B4299" s="6">
        <v>46204</v>
      </c>
      <c r="C4299" s="8">
        <v>46205</v>
      </c>
      <c r="D4299" s="2" t="s">
        <v>7433</v>
      </c>
      <c r="E4299" s="2" t="s">
        <v>16959</v>
      </c>
      <c r="F4299" s="2" t="s">
        <v>15312</v>
      </c>
      <c r="G4299" s="2" t="s">
        <v>17708</v>
      </c>
      <c r="H4299" s="2" t="s">
        <v>76</v>
      </c>
      <c r="I4299" s="9">
        <v>353927895.16128999</v>
      </c>
      <c r="J4299" s="7">
        <v>6.2000000000000003E-5</v>
      </c>
      <c r="K4299" s="9">
        <v>21943.53</v>
      </c>
      <c r="L4299" s="14">
        <v>0</v>
      </c>
      <c r="M4299" s="2" t="s">
        <v>71</v>
      </c>
      <c r="N4299" s="2" t="s">
        <v>17628</v>
      </c>
      <c r="O4299" s="2" t="s">
        <v>9281</v>
      </c>
      <c r="P4299" s="9">
        <v>0</v>
      </c>
      <c r="Q4299" s="9">
        <v>0</v>
      </c>
      <c r="R4299" s="2"/>
    </row>
    <row r="4300" spans="1:18" x14ac:dyDescent="0.25">
      <c r="A4300" s="2" t="s">
        <v>17709</v>
      </c>
      <c r="B4300" s="6">
        <v>46204</v>
      </c>
      <c r="C4300" s="8">
        <v>46206</v>
      </c>
      <c r="D4300" s="2" t="s">
        <v>7433</v>
      </c>
      <c r="E4300" s="2" t="s">
        <v>16959</v>
      </c>
      <c r="F4300" s="2" t="s">
        <v>15316</v>
      </c>
      <c r="G4300" s="2" t="s">
        <v>17710</v>
      </c>
      <c r="H4300" s="2" t="s">
        <v>70</v>
      </c>
      <c r="I4300" s="9">
        <v>33832.615501</v>
      </c>
      <c r="J4300" s="7">
        <v>0.65800000000000003</v>
      </c>
      <c r="K4300" s="9">
        <v>22261.86</v>
      </c>
      <c r="L4300" s="14">
        <v>0</v>
      </c>
      <c r="M4300" s="2" t="s">
        <v>71</v>
      </c>
      <c r="N4300" s="2" t="s">
        <v>17628</v>
      </c>
      <c r="O4300" s="2" t="s">
        <v>9286</v>
      </c>
      <c r="P4300" s="9">
        <v>0</v>
      </c>
      <c r="Q4300" s="9">
        <v>0</v>
      </c>
      <c r="R4300" s="2"/>
    </row>
    <row r="4301" spans="1:18" x14ac:dyDescent="0.25">
      <c r="A4301" s="2" t="s">
        <v>17711</v>
      </c>
      <c r="B4301" s="6">
        <v>46204</v>
      </c>
      <c r="C4301" s="8">
        <v>46207</v>
      </c>
      <c r="D4301" s="2" t="s">
        <v>7433</v>
      </c>
      <c r="E4301" s="2" t="s">
        <v>16959</v>
      </c>
      <c r="F4301" s="2" t="s">
        <v>15320</v>
      </c>
      <c r="G4301" s="2" t="s">
        <v>17712</v>
      </c>
      <c r="H4301" s="2" t="s">
        <v>39</v>
      </c>
      <c r="I4301" s="9">
        <v>22580.204000000002</v>
      </c>
      <c r="J4301" s="7">
        <v>1</v>
      </c>
      <c r="K4301" s="9">
        <v>22580.2</v>
      </c>
      <c r="L4301" s="14">
        <v>0</v>
      </c>
      <c r="M4301" s="2" t="s">
        <v>71</v>
      </c>
      <c r="N4301" s="2" t="s">
        <v>17628</v>
      </c>
      <c r="O4301" s="2" t="s">
        <v>9291</v>
      </c>
      <c r="P4301" s="9">
        <v>0</v>
      </c>
      <c r="Q4301" s="9">
        <v>0</v>
      </c>
      <c r="R4301" s="2"/>
    </row>
    <row r="4302" spans="1:18" x14ac:dyDescent="0.25">
      <c r="A4302" s="2" t="s">
        <v>17713</v>
      </c>
      <c r="B4302" s="6">
        <v>46204</v>
      </c>
      <c r="C4302" s="8">
        <v>46208</v>
      </c>
      <c r="D4302" s="2" t="s">
        <v>7433</v>
      </c>
      <c r="E4302" s="2" t="s">
        <v>16959</v>
      </c>
      <c r="F4302" s="2" t="s">
        <v>15324</v>
      </c>
      <c r="G4302" s="2" t="s">
        <v>17714</v>
      </c>
      <c r="H4302" s="2" t="s">
        <v>76</v>
      </c>
      <c r="I4302" s="9">
        <v>369331403.22580701</v>
      </c>
      <c r="J4302" s="7">
        <v>6.2000000000000003E-5</v>
      </c>
      <c r="K4302" s="9">
        <v>22898.55</v>
      </c>
      <c r="L4302" s="14">
        <v>0</v>
      </c>
      <c r="M4302" s="2" t="s">
        <v>71</v>
      </c>
      <c r="N4302" s="2" t="s">
        <v>17628</v>
      </c>
      <c r="O4302" s="2" t="s">
        <v>9296</v>
      </c>
      <c r="P4302" s="9">
        <v>0</v>
      </c>
      <c r="Q4302" s="9">
        <v>0</v>
      </c>
      <c r="R4302" s="2"/>
    </row>
    <row r="4303" spans="1:18" x14ac:dyDescent="0.25">
      <c r="A4303" s="2" t="s">
        <v>17715</v>
      </c>
      <c r="B4303" s="6">
        <v>46204</v>
      </c>
      <c r="C4303" s="8">
        <v>46209</v>
      </c>
      <c r="D4303" s="2" t="s">
        <v>7433</v>
      </c>
      <c r="E4303" s="2" t="s">
        <v>16959</v>
      </c>
      <c r="F4303" s="2" t="s">
        <v>15328</v>
      </c>
      <c r="G4303" s="2" t="s">
        <v>17716</v>
      </c>
      <c r="H4303" s="2" t="s">
        <v>70</v>
      </c>
      <c r="I4303" s="9">
        <v>35284.009877999997</v>
      </c>
      <c r="J4303" s="7">
        <v>0.65800000000000003</v>
      </c>
      <c r="K4303" s="9">
        <v>23216.880000000001</v>
      </c>
      <c r="L4303" s="14">
        <v>0</v>
      </c>
      <c r="M4303" s="2" t="s">
        <v>71</v>
      </c>
      <c r="N4303" s="2" t="s">
        <v>17628</v>
      </c>
      <c r="O4303" s="2" t="s">
        <v>9301</v>
      </c>
      <c r="P4303" s="9">
        <v>0</v>
      </c>
      <c r="Q4303" s="9">
        <v>0</v>
      </c>
      <c r="R4303" s="2"/>
    </row>
    <row r="4304" spans="1:18" x14ac:dyDescent="0.25">
      <c r="A4304" s="2" t="s">
        <v>17717</v>
      </c>
      <c r="B4304" s="6">
        <v>46204</v>
      </c>
      <c r="C4304" s="8">
        <v>46210</v>
      </c>
      <c r="D4304" s="2" t="s">
        <v>7433</v>
      </c>
      <c r="E4304" s="2" t="s">
        <v>16959</v>
      </c>
      <c r="F4304" s="2" t="s">
        <v>15332</v>
      </c>
      <c r="G4304" s="2" t="s">
        <v>17718</v>
      </c>
      <c r="H4304" s="2" t="s">
        <v>39</v>
      </c>
      <c r="I4304" s="9">
        <v>23535.2215</v>
      </c>
      <c r="J4304" s="7">
        <v>1</v>
      </c>
      <c r="K4304" s="9">
        <v>23535.22</v>
      </c>
      <c r="L4304" s="14">
        <v>0</v>
      </c>
      <c r="M4304" s="2" t="s">
        <v>71</v>
      </c>
      <c r="N4304" s="2" t="s">
        <v>17628</v>
      </c>
      <c r="O4304" s="2" t="s">
        <v>9306</v>
      </c>
      <c r="P4304" s="9">
        <v>0</v>
      </c>
      <c r="Q4304" s="9">
        <v>0</v>
      </c>
      <c r="R4304" s="2"/>
    </row>
    <row r="4305" spans="1:18" x14ac:dyDescent="0.25">
      <c r="A4305" s="2" t="s">
        <v>17719</v>
      </c>
      <c r="B4305" s="6">
        <v>46204</v>
      </c>
      <c r="C4305" s="8">
        <v>46211</v>
      </c>
      <c r="D4305" s="2" t="s">
        <v>7433</v>
      </c>
      <c r="E4305" s="2" t="s">
        <v>16959</v>
      </c>
      <c r="F4305" s="2" t="s">
        <v>15336</v>
      </c>
      <c r="G4305" s="2" t="s">
        <v>17720</v>
      </c>
      <c r="H4305" s="2" t="s">
        <v>76</v>
      </c>
      <c r="I4305" s="9">
        <v>384734725.80645198</v>
      </c>
      <c r="J4305" s="7">
        <v>6.2000000000000003E-5</v>
      </c>
      <c r="K4305" s="9">
        <v>23853.55</v>
      </c>
      <c r="L4305" s="14">
        <v>0</v>
      </c>
      <c r="M4305" s="2" t="s">
        <v>71</v>
      </c>
      <c r="N4305" s="2" t="s">
        <v>17628</v>
      </c>
      <c r="O4305" s="2" t="s">
        <v>9311</v>
      </c>
      <c r="P4305" s="9">
        <v>0</v>
      </c>
      <c r="Q4305" s="9">
        <v>0</v>
      </c>
      <c r="R4305" s="2"/>
    </row>
    <row r="4306" spans="1:18" x14ac:dyDescent="0.25">
      <c r="A4306" s="2" t="s">
        <v>17721</v>
      </c>
      <c r="B4306" s="6">
        <v>46204</v>
      </c>
      <c r="C4306" s="8">
        <v>46212</v>
      </c>
      <c r="D4306" s="2" t="s">
        <v>7433</v>
      </c>
      <c r="E4306" s="2" t="s">
        <v>16959</v>
      </c>
      <c r="F4306" s="2" t="s">
        <v>15300</v>
      </c>
      <c r="G4306" s="2" t="s">
        <v>17722</v>
      </c>
      <c r="H4306" s="2" t="s">
        <v>70</v>
      </c>
      <c r="I4306" s="9">
        <v>36735.404255000001</v>
      </c>
      <c r="J4306" s="7">
        <v>0.65800000000000003</v>
      </c>
      <c r="K4306" s="9">
        <v>24171.9</v>
      </c>
      <c r="L4306" s="14">
        <v>0</v>
      </c>
      <c r="M4306" s="2" t="s">
        <v>71</v>
      </c>
      <c r="N4306" s="2" t="s">
        <v>17628</v>
      </c>
      <c r="O4306" s="2" t="s">
        <v>9316</v>
      </c>
      <c r="P4306" s="9">
        <v>0</v>
      </c>
      <c r="Q4306" s="9">
        <v>0</v>
      </c>
      <c r="R4306" s="2"/>
    </row>
    <row r="4307" spans="1:18" x14ac:dyDescent="0.25">
      <c r="A4307" s="2" t="s">
        <v>17723</v>
      </c>
      <c r="B4307" s="6">
        <v>46204</v>
      </c>
      <c r="C4307" s="8">
        <v>46213</v>
      </c>
      <c r="D4307" s="2" t="s">
        <v>7433</v>
      </c>
      <c r="E4307" s="2" t="s">
        <v>16959</v>
      </c>
      <c r="F4307" s="2" t="s">
        <v>15304</v>
      </c>
      <c r="G4307" s="2" t="s">
        <v>17724</v>
      </c>
      <c r="H4307" s="2" t="s">
        <v>39</v>
      </c>
      <c r="I4307" s="9">
        <v>24490.239000000001</v>
      </c>
      <c r="J4307" s="7">
        <v>1</v>
      </c>
      <c r="K4307" s="9">
        <v>24490.240000000002</v>
      </c>
      <c r="L4307" s="14">
        <v>0</v>
      </c>
      <c r="M4307" s="2" t="s">
        <v>71</v>
      </c>
      <c r="N4307" s="2" t="s">
        <v>17628</v>
      </c>
      <c r="O4307" s="2" t="s">
        <v>9321</v>
      </c>
      <c r="P4307" s="9">
        <v>0</v>
      </c>
      <c r="Q4307" s="9">
        <v>0</v>
      </c>
      <c r="R4307" s="2"/>
    </row>
    <row r="4308" spans="1:18" x14ac:dyDescent="0.25">
      <c r="A4308" s="2" t="s">
        <v>17725</v>
      </c>
      <c r="B4308" s="6">
        <v>46204</v>
      </c>
      <c r="C4308" s="8">
        <v>46214</v>
      </c>
      <c r="D4308" s="2" t="s">
        <v>7433</v>
      </c>
      <c r="E4308" s="2" t="s">
        <v>16959</v>
      </c>
      <c r="F4308" s="2" t="s">
        <v>15308</v>
      </c>
      <c r="G4308" s="2" t="s">
        <v>17726</v>
      </c>
      <c r="H4308" s="2" t="s">
        <v>76</v>
      </c>
      <c r="I4308" s="9">
        <v>400138233.87096798</v>
      </c>
      <c r="J4308" s="7">
        <v>6.2000000000000003E-5</v>
      </c>
      <c r="K4308" s="9">
        <v>24808.57</v>
      </c>
      <c r="L4308" s="14">
        <v>0</v>
      </c>
      <c r="M4308" s="2" t="s">
        <v>71</v>
      </c>
      <c r="N4308" s="2" t="s">
        <v>17628</v>
      </c>
      <c r="O4308" s="2" t="s">
        <v>9326</v>
      </c>
      <c r="P4308" s="9">
        <v>0</v>
      </c>
      <c r="Q4308" s="9">
        <v>0</v>
      </c>
      <c r="R4308" s="2"/>
    </row>
    <row r="4309" spans="1:18" x14ac:dyDescent="0.25">
      <c r="A4309" s="2" t="s">
        <v>17727</v>
      </c>
      <c r="B4309" s="6">
        <v>46204</v>
      </c>
      <c r="C4309" s="8">
        <v>46215</v>
      </c>
      <c r="D4309" s="2" t="s">
        <v>7433</v>
      </c>
      <c r="E4309" s="2" t="s">
        <v>16959</v>
      </c>
      <c r="F4309" s="2" t="s">
        <v>15312</v>
      </c>
      <c r="G4309" s="2" t="s">
        <v>17728</v>
      </c>
      <c r="H4309" s="2" t="s">
        <v>70</v>
      </c>
      <c r="I4309" s="9">
        <v>38186.798631999998</v>
      </c>
      <c r="J4309" s="7">
        <v>0.65800000000000003</v>
      </c>
      <c r="K4309" s="9">
        <v>25126.91</v>
      </c>
      <c r="L4309" s="14">
        <v>0</v>
      </c>
      <c r="M4309" s="2" t="s">
        <v>71</v>
      </c>
      <c r="N4309" s="2" t="s">
        <v>17628</v>
      </c>
      <c r="O4309" s="2" t="s">
        <v>9331</v>
      </c>
      <c r="P4309" s="9">
        <v>0</v>
      </c>
      <c r="Q4309" s="9">
        <v>0</v>
      </c>
      <c r="R4309" s="2"/>
    </row>
    <row r="4310" spans="1:18" x14ac:dyDescent="0.25">
      <c r="A4310" s="2" t="s">
        <v>17729</v>
      </c>
      <c r="B4310" s="6">
        <v>46204</v>
      </c>
      <c r="C4310" s="8">
        <v>46216</v>
      </c>
      <c r="D4310" s="2" t="s">
        <v>7433</v>
      </c>
      <c r="E4310" s="2" t="s">
        <v>16959</v>
      </c>
      <c r="F4310" s="2" t="s">
        <v>15316</v>
      </c>
      <c r="G4310" s="2" t="s">
        <v>17730</v>
      </c>
      <c r="H4310" s="2" t="s">
        <v>39</v>
      </c>
      <c r="I4310" s="9">
        <v>25445.244999999999</v>
      </c>
      <c r="J4310" s="7">
        <v>1</v>
      </c>
      <c r="K4310" s="9">
        <v>25445.25</v>
      </c>
      <c r="L4310" s="14">
        <v>0</v>
      </c>
      <c r="M4310" s="2" t="s">
        <v>71</v>
      </c>
      <c r="N4310" s="2" t="s">
        <v>17628</v>
      </c>
      <c r="O4310" s="2" t="s">
        <v>9336</v>
      </c>
      <c r="P4310" s="9">
        <v>0</v>
      </c>
      <c r="Q4310" s="9">
        <v>0</v>
      </c>
      <c r="R4310" s="2"/>
    </row>
    <row r="4311" spans="1:18" x14ac:dyDescent="0.25">
      <c r="A4311" s="2" t="s">
        <v>17731</v>
      </c>
      <c r="B4311" s="6">
        <v>46204</v>
      </c>
      <c r="C4311" s="8">
        <v>46217</v>
      </c>
      <c r="D4311" s="2" t="s">
        <v>7433</v>
      </c>
      <c r="E4311" s="2" t="s">
        <v>16959</v>
      </c>
      <c r="F4311" s="2" t="s">
        <v>15320</v>
      </c>
      <c r="G4311" s="2" t="s">
        <v>17732</v>
      </c>
      <c r="H4311" s="2" t="s">
        <v>76</v>
      </c>
      <c r="I4311" s="9">
        <v>415541741.93548298</v>
      </c>
      <c r="J4311" s="7">
        <v>6.2000000000000003E-5</v>
      </c>
      <c r="K4311" s="9">
        <v>25763.59</v>
      </c>
      <c r="L4311" s="14">
        <v>0</v>
      </c>
      <c r="M4311" s="2" t="s">
        <v>71</v>
      </c>
      <c r="N4311" s="2" t="s">
        <v>17628</v>
      </c>
      <c r="O4311" s="2" t="s">
        <v>9341</v>
      </c>
      <c r="P4311" s="9">
        <v>0</v>
      </c>
      <c r="Q4311" s="9">
        <v>0</v>
      </c>
      <c r="R4311" s="2"/>
    </row>
    <row r="4312" spans="1:18" x14ac:dyDescent="0.25">
      <c r="A4312" s="2" t="s">
        <v>17733</v>
      </c>
      <c r="B4312" s="6">
        <v>46204</v>
      </c>
      <c r="C4312" s="8">
        <v>46218</v>
      </c>
      <c r="D4312" s="2" t="s">
        <v>7433</v>
      </c>
      <c r="E4312" s="2" t="s">
        <v>16959</v>
      </c>
      <c r="F4312" s="2" t="s">
        <v>15324</v>
      </c>
      <c r="G4312" s="2" t="s">
        <v>17734</v>
      </c>
      <c r="H4312" s="2" t="s">
        <v>70</v>
      </c>
      <c r="I4312" s="9">
        <v>39638.193009000002</v>
      </c>
      <c r="J4312" s="7">
        <v>0.65800000000000003</v>
      </c>
      <c r="K4312" s="9">
        <v>26081.93</v>
      </c>
      <c r="L4312" s="14">
        <v>0</v>
      </c>
      <c r="M4312" s="2" t="s">
        <v>71</v>
      </c>
      <c r="N4312" s="2" t="s">
        <v>17628</v>
      </c>
      <c r="O4312" s="2" t="s">
        <v>9346</v>
      </c>
      <c r="P4312" s="9">
        <v>0</v>
      </c>
      <c r="Q4312" s="9">
        <v>0</v>
      </c>
      <c r="R4312" s="2"/>
    </row>
    <row r="4313" spans="1:18" x14ac:dyDescent="0.25">
      <c r="A4313" s="2" t="s">
        <v>17735</v>
      </c>
      <c r="B4313" s="6">
        <v>46204</v>
      </c>
      <c r="C4313" s="8">
        <v>46219</v>
      </c>
      <c r="D4313" s="2" t="s">
        <v>7433</v>
      </c>
      <c r="E4313" s="2" t="s">
        <v>16959</v>
      </c>
      <c r="F4313" s="2" t="s">
        <v>15328</v>
      </c>
      <c r="G4313" s="2" t="s">
        <v>17736</v>
      </c>
      <c r="H4313" s="2" t="s">
        <v>39</v>
      </c>
      <c r="I4313" s="9">
        <v>26398.48</v>
      </c>
      <c r="J4313" s="7">
        <v>1</v>
      </c>
      <c r="K4313" s="9">
        <v>26398.48</v>
      </c>
      <c r="L4313" s="14">
        <v>0</v>
      </c>
      <c r="M4313" s="2" t="s">
        <v>71</v>
      </c>
      <c r="N4313" s="2" t="s">
        <v>17628</v>
      </c>
      <c r="O4313" s="2" t="s">
        <v>9351</v>
      </c>
      <c r="P4313" s="9">
        <v>0</v>
      </c>
      <c r="Q4313" s="9">
        <v>0</v>
      </c>
      <c r="R4313" s="2"/>
    </row>
    <row r="4314" spans="1:18" x14ac:dyDescent="0.25">
      <c r="A4314" s="2" t="s">
        <v>17737</v>
      </c>
      <c r="B4314" s="6">
        <v>46204</v>
      </c>
      <c r="C4314" s="8">
        <v>46220</v>
      </c>
      <c r="D4314" s="2" t="s">
        <v>7433</v>
      </c>
      <c r="E4314" s="2" t="s">
        <v>16959</v>
      </c>
      <c r="F4314" s="2" t="s">
        <v>15332</v>
      </c>
      <c r="G4314" s="2" t="s">
        <v>17738</v>
      </c>
      <c r="H4314" s="2" t="s">
        <v>76</v>
      </c>
      <c r="I4314" s="9">
        <v>430916500</v>
      </c>
      <c r="J4314" s="7">
        <v>6.2000000000000003E-5</v>
      </c>
      <c r="K4314" s="9">
        <v>26716.82</v>
      </c>
      <c r="L4314" s="14">
        <v>0</v>
      </c>
      <c r="M4314" s="2" t="s">
        <v>71</v>
      </c>
      <c r="N4314" s="2" t="s">
        <v>17628</v>
      </c>
      <c r="O4314" s="2" t="s">
        <v>9356</v>
      </c>
      <c r="P4314" s="9">
        <v>0</v>
      </c>
      <c r="Q4314" s="9">
        <v>0</v>
      </c>
      <c r="R4314" s="2"/>
    </row>
    <row r="4315" spans="1:18" x14ac:dyDescent="0.25">
      <c r="A4315" s="2" t="s">
        <v>17739</v>
      </c>
      <c r="B4315" s="6">
        <v>46204</v>
      </c>
      <c r="C4315" s="8">
        <v>46221</v>
      </c>
      <c r="D4315" s="2" t="s">
        <v>7433</v>
      </c>
      <c r="E4315" s="2" t="s">
        <v>16959</v>
      </c>
      <c r="F4315" s="2" t="s">
        <v>15336</v>
      </c>
      <c r="G4315" s="2" t="s">
        <v>17740</v>
      </c>
      <c r="H4315" s="2" t="s">
        <v>70</v>
      </c>
      <c r="I4315" s="9">
        <v>41086.860941999999</v>
      </c>
      <c r="J4315" s="7">
        <v>0.65800000000000003</v>
      </c>
      <c r="K4315" s="9">
        <v>27035.15</v>
      </c>
      <c r="L4315" s="14">
        <v>0</v>
      </c>
      <c r="M4315" s="2" t="s">
        <v>71</v>
      </c>
      <c r="N4315" s="2" t="s">
        <v>17628</v>
      </c>
      <c r="O4315" s="2" t="s">
        <v>9361</v>
      </c>
      <c r="P4315" s="9">
        <v>0</v>
      </c>
      <c r="Q4315" s="9">
        <v>0</v>
      </c>
      <c r="R4315" s="2"/>
    </row>
    <row r="4316" spans="1:18" x14ac:dyDescent="0.25">
      <c r="A4316" s="2" t="s">
        <v>17741</v>
      </c>
      <c r="B4316" s="6">
        <v>46204</v>
      </c>
      <c r="C4316" s="8">
        <v>46222</v>
      </c>
      <c r="D4316" s="2" t="s">
        <v>7433</v>
      </c>
      <c r="E4316" s="2" t="s">
        <v>16959</v>
      </c>
      <c r="F4316" s="2" t="s">
        <v>15300</v>
      </c>
      <c r="G4316" s="2" t="s">
        <v>17742</v>
      </c>
      <c r="H4316" s="2" t="s">
        <v>39</v>
      </c>
      <c r="I4316" s="9">
        <v>1593.4974999999999</v>
      </c>
      <c r="J4316" s="7">
        <v>1</v>
      </c>
      <c r="K4316" s="9">
        <v>1593.5</v>
      </c>
      <c r="L4316" s="14">
        <v>0</v>
      </c>
      <c r="M4316" s="2" t="s">
        <v>71</v>
      </c>
      <c r="N4316" s="2" t="s">
        <v>17628</v>
      </c>
      <c r="O4316" s="2" t="s">
        <v>9366</v>
      </c>
      <c r="P4316" s="9">
        <v>0</v>
      </c>
      <c r="Q4316" s="9">
        <v>0</v>
      </c>
      <c r="R4316" s="2"/>
    </row>
    <row r="4317" spans="1:18" x14ac:dyDescent="0.25">
      <c r="A4317" s="2" t="s">
        <v>17743</v>
      </c>
      <c r="B4317" s="6">
        <v>46204</v>
      </c>
      <c r="C4317" s="8">
        <v>46223</v>
      </c>
      <c r="D4317" s="2" t="s">
        <v>7433</v>
      </c>
      <c r="E4317" s="2" t="s">
        <v>16959</v>
      </c>
      <c r="F4317" s="2" t="s">
        <v>15304</v>
      </c>
      <c r="G4317" s="2" t="s">
        <v>17744</v>
      </c>
      <c r="H4317" s="2" t="s">
        <v>76</v>
      </c>
      <c r="I4317" s="9">
        <v>30835951.612902999</v>
      </c>
      <c r="J4317" s="7">
        <v>6.2000000000000003E-5</v>
      </c>
      <c r="K4317" s="9">
        <v>1911.83</v>
      </c>
      <c r="L4317" s="14">
        <v>0</v>
      </c>
      <c r="M4317" s="2" t="s">
        <v>71</v>
      </c>
      <c r="N4317" s="2" t="s">
        <v>17628</v>
      </c>
      <c r="O4317" s="2" t="s">
        <v>9371</v>
      </c>
      <c r="P4317" s="9">
        <v>0</v>
      </c>
      <c r="Q4317" s="9">
        <v>0</v>
      </c>
      <c r="R4317" s="2"/>
    </row>
    <row r="4318" spans="1:18" x14ac:dyDescent="0.25">
      <c r="A4318" s="2" t="s">
        <v>17745</v>
      </c>
      <c r="B4318" s="6">
        <v>46204</v>
      </c>
      <c r="C4318" s="8">
        <v>46224</v>
      </c>
      <c r="D4318" s="2" t="s">
        <v>7433</v>
      </c>
      <c r="E4318" s="2" t="s">
        <v>16959</v>
      </c>
      <c r="F4318" s="2" t="s">
        <v>15308</v>
      </c>
      <c r="G4318" s="2" t="s">
        <v>17746</v>
      </c>
      <c r="H4318" s="2" t="s">
        <v>70</v>
      </c>
      <c r="I4318" s="9">
        <v>3389.3191489999999</v>
      </c>
      <c r="J4318" s="7">
        <v>0.65800000000000003</v>
      </c>
      <c r="K4318" s="9">
        <v>2230.17</v>
      </c>
      <c r="L4318" s="14">
        <v>0</v>
      </c>
      <c r="M4318" s="2" t="s">
        <v>71</v>
      </c>
      <c r="N4318" s="2" t="s">
        <v>17628</v>
      </c>
      <c r="O4318" s="2" t="s">
        <v>9376</v>
      </c>
      <c r="P4318" s="9">
        <v>0</v>
      </c>
      <c r="Q4318" s="9">
        <v>0</v>
      </c>
      <c r="R4318" s="2"/>
    </row>
    <row r="4319" spans="1:18" x14ac:dyDescent="0.25">
      <c r="A4319" s="2" t="s">
        <v>17747</v>
      </c>
      <c r="B4319" s="6">
        <v>46204</v>
      </c>
      <c r="C4319" s="8">
        <v>46225</v>
      </c>
      <c r="D4319" s="2" t="s">
        <v>7433</v>
      </c>
      <c r="E4319" s="2" t="s">
        <v>16959</v>
      </c>
      <c r="F4319" s="2" t="s">
        <v>15312</v>
      </c>
      <c r="G4319" s="2" t="s">
        <v>17748</v>
      </c>
      <c r="H4319" s="2" t="s">
        <v>39</v>
      </c>
      <c r="I4319" s="9">
        <v>2548.5149999999999</v>
      </c>
      <c r="J4319" s="7">
        <v>1</v>
      </c>
      <c r="K4319" s="9">
        <v>2548.52</v>
      </c>
      <c r="L4319" s="14">
        <v>0</v>
      </c>
      <c r="M4319" s="2" t="s">
        <v>71</v>
      </c>
      <c r="N4319" s="2" t="s">
        <v>17628</v>
      </c>
      <c r="O4319" s="2" t="s">
        <v>9381</v>
      </c>
      <c r="P4319" s="9">
        <v>0</v>
      </c>
      <c r="Q4319" s="9">
        <v>0</v>
      </c>
      <c r="R4319" s="2"/>
    </row>
    <row r="4320" spans="1:18" x14ac:dyDescent="0.25">
      <c r="A4320" s="2" t="s">
        <v>17749</v>
      </c>
      <c r="B4320" s="6">
        <v>46204</v>
      </c>
      <c r="C4320" s="8">
        <v>46226</v>
      </c>
      <c r="D4320" s="2" t="s">
        <v>7433</v>
      </c>
      <c r="E4320" s="2" t="s">
        <v>16959</v>
      </c>
      <c r="F4320" s="2" t="s">
        <v>15316</v>
      </c>
      <c r="G4320" s="2" t="s">
        <v>17750</v>
      </c>
      <c r="H4320" s="2" t="s">
        <v>76</v>
      </c>
      <c r="I4320" s="9">
        <v>46239459.677419998</v>
      </c>
      <c r="J4320" s="7">
        <v>6.2000000000000003E-5</v>
      </c>
      <c r="K4320" s="9">
        <v>2866.85</v>
      </c>
      <c r="L4320" s="14">
        <v>0</v>
      </c>
      <c r="M4320" s="2" t="s">
        <v>71</v>
      </c>
      <c r="N4320" s="2" t="s">
        <v>17628</v>
      </c>
      <c r="O4320" s="2" t="s">
        <v>9386</v>
      </c>
      <c r="P4320" s="9">
        <v>0</v>
      </c>
      <c r="Q4320" s="9">
        <v>0</v>
      </c>
      <c r="R4320" s="2"/>
    </row>
    <row r="4321" spans="1:18" x14ac:dyDescent="0.25">
      <c r="A4321" s="2" t="s">
        <v>17751</v>
      </c>
      <c r="B4321" s="6">
        <v>46204</v>
      </c>
      <c r="C4321" s="8">
        <v>46227</v>
      </c>
      <c r="D4321" s="2" t="s">
        <v>7433</v>
      </c>
      <c r="E4321" s="2" t="s">
        <v>16959</v>
      </c>
      <c r="F4321" s="2" t="s">
        <v>15320</v>
      </c>
      <c r="G4321" s="2" t="s">
        <v>17752</v>
      </c>
      <c r="H4321" s="2" t="s">
        <v>70</v>
      </c>
      <c r="I4321" s="9">
        <v>4840.7135250000001</v>
      </c>
      <c r="J4321" s="7">
        <v>0.65800000000000003</v>
      </c>
      <c r="K4321" s="9">
        <v>3185.19</v>
      </c>
      <c r="L4321" s="14">
        <v>0</v>
      </c>
      <c r="M4321" s="2" t="s">
        <v>71</v>
      </c>
      <c r="N4321" s="2" t="s">
        <v>17628</v>
      </c>
      <c r="O4321" s="2" t="s">
        <v>9391</v>
      </c>
      <c r="P4321" s="9">
        <v>0</v>
      </c>
      <c r="Q4321" s="9">
        <v>0</v>
      </c>
      <c r="R4321" s="2"/>
    </row>
    <row r="4322" spans="1:18" x14ac:dyDescent="0.25">
      <c r="A4322" s="2" t="s">
        <v>17753</v>
      </c>
      <c r="B4322" s="6">
        <v>46204</v>
      </c>
      <c r="C4322" s="8">
        <v>46228</v>
      </c>
      <c r="D4322" s="2" t="s">
        <v>7433</v>
      </c>
      <c r="E4322" s="2" t="s">
        <v>16959</v>
      </c>
      <c r="F4322" s="2" t="s">
        <v>15324</v>
      </c>
      <c r="G4322" s="2" t="s">
        <v>17754</v>
      </c>
      <c r="H4322" s="2" t="s">
        <v>39</v>
      </c>
      <c r="I4322" s="9">
        <v>3503.5210000000002</v>
      </c>
      <c r="J4322" s="7">
        <v>1</v>
      </c>
      <c r="K4322" s="9">
        <v>3503.52</v>
      </c>
      <c r="L4322" s="14">
        <v>0</v>
      </c>
      <c r="M4322" s="2" t="s">
        <v>71</v>
      </c>
      <c r="N4322" s="2" t="s">
        <v>17628</v>
      </c>
      <c r="O4322" s="2" t="s">
        <v>9396</v>
      </c>
      <c r="P4322" s="9">
        <v>0</v>
      </c>
      <c r="Q4322" s="9">
        <v>0</v>
      </c>
      <c r="R4322" s="2"/>
    </row>
    <row r="4323" spans="1:18" x14ac:dyDescent="0.25">
      <c r="A4323" s="2" t="s">
        <v>17755</v>
      </c>
      <c r="B4323" s="6">
        <v>46204</v>
      </c>
      <c r="C4323" s="8">
        <v>46229</v>
      </c>
      <c r="D4323" s="2" t="s">
        <v>7433</v>
      </c>
      <c r="E4323" s="2" t="s">
        <v>16959</v>
      </c>
      <c r="F4323" s="2" t="s">
        <v>15328</v>
      </c>
      <c r="G4323" s="2" t="s">
        <v>17756</v>
      </c>
      <c r="H4323" s="2" t="s">
        <v>76</v>
      </c>
      <c r="I4323" s="9">
        <v>61642967.741935</v>
      </c>
      <c r="J4323" s="7">
        <v>6.2000000000000003E-5</v>
      </c>
      <c r="K4323" s="9">
        <v>3821.86</v>
      </c>
      <c r="L4323" s="14">
        <v>0</v>
      </c>
      <c r="M4323" s="2" t="s">
        <v>71</v>
      </c>
      <c r="N4323" s="2" t="s">
        <v>17628</v>
      </c>
      <c r="O4323" s="2" t="s">
        <v>9401</v>
      </c>
      <c r="P4323" s="9">
        <v>0</v>
      </c>
      <c r="Q4323" s="9">
        <v>0</v>
      </c>
      <c r="R4323" s="2"/>
    </row>
    <row r="4324" spans="1:18" x14ac:dyDescent="0.25">
      <c r="A4324" s="2" t="s">
        <v>17757</v>
      </c>
      <c r="B4324" s="6">
        <v>46204</v>
      </c>
      <c r="C4324" s="8">
        <v>46230</v>
      </c>
      <c r="D4324" s="2" t="s">
        <v>7433</v>
      </c>
      <c r="E4324" s="2" t="s">
        <v>16959</v>
      </c>
      <c r="F4324" s="2" t="s">
        <v>15332</v>
      </c>
      <c r="G4324" s="2" t="s">
        <v>17758</v>
      </c>
      <c r="H4324" s="2" t="s">
        <v>70</v>
      </c>
      <c r="I4324" s="9">
        <v>6292.0904259999998</v>
      </c>
      <c r="J4324" s="7">
        <v>0.65800000000000003</v>
      </c>
      <c r="K4324" s="9">
        <v>4140.2</v>
      </c>
      <c r="L4324" s="14">
        <v>0</v>
      </c>
      <c r="M4324" s="2" t="s">
        <v>71</v>
      </c>
      <c r="N4324" s="2" t="s">
        <v>17628</v>
      </c>
      <c r="O4324" s="2" t="s">
        <v>9406</v>
      </c>
      <c r="P4324" s="9">
        <v>0</v>
      </c>
      <c r="Q4324" s="9">
        <v>0</v>
      </c>
      <c r="R4324" s="2"/>
    </row>
    <row r="4325" spans="1:18" x14ac:dyDescent="0.25">
      <c r="A4325" s="2" t="s">
        <v>17759</v>
      </c>
      <c r="B4325" s="6">
        <v>46204</v>
      </c>
      <c r="C4325" s="8">
        <v>46231</v>
      </c>
      <c r="D4325" s="2" t="s">
        <v>7433</v>
      </c>
      <c r="E4325" s="2" t="s">
        <v>16959</v>
      </c>
      <c r="F4325" s="2" t="s">
        <v>15336</v>
      </c>
      <c r="G4325" s="2" t="s">
        <v>17760</v>
      </c>
      <c r="H4325" s="2" t="s">
        <v>39</v>
      </c>
      <c r="I4325" s="9">
        <v>4458.5384999999997</v>
      </c>
      <c r="J4325" s="7">
        <v>1</v>
      </c>
      <c r="K4325" s="9">
        <v>4458.54</v>
      </c>
      <c r="L4325" s="14">
        <v>0</v>
      </c>
      <c r="M4325" s="2" t="s">
        <v>71</v>
      </c>
      <c r="N4325" s="2" t="s">
        <v>17628</v>
      </c>
      <c r="O4325" s="2" t="s">
        <v>9411</v>
      </c>
      <c r="P4325" s="9">
        <v>0</v>
      </c>
      <c r="Q4325" s="9">
        <v>0</v>
      </c>
      <c r="R4325" s="2"/>
    </row>
    <row r="4326" spans="1:18" x14ac:dyDescent="0.25">
      <c r="A4326" s="2" t="s">
        <v>17761</v>
      </c>
      <c r="B4326" s="6">
        <v>46204</v>
      </c>
      <c r="C4326" s="8">
        <v>46232</v>
      </c>
      <c r="D4326" s="2" t="s">
        <v>7433</v>
      </c>
      <c r="E4326" s="2" t="s">
        <v>16959</v>
      </c>
      <c r="F4326" s="2" t="s">
        <v>15300</v>
      </c>
      <c r="G4326" s="2" t="s">
        <v>17762</v>
      </c>
      <c r="H4326" s="2" t="s">
        <v>76</v>
      </c>
      <c r="I4326" s="9">
        <v>77046475.806452006</v>
      </c>
      <c r="J4326" s="7">
        <v>6.2000000000000003E-5</v>
      </c>
      <c r="K4326" s="9">
        <v>4776.88</v>
      </c>
      <c r="L4326" s="14">
        <v>0</v>
      </c>
      <c r="M4326" s="2" t="s">
        <v>71</v>
      </c>
      <c r="N4326" s="2" t="s">
        <v>17628</v>
      </c>
      <c r="O4326" s="2" t="s">
        <v>9416</v>
      </c>
      <c r="P4326" s="9">
        <v>0</v>
      </c>
      <c r="Q4326" s="9">
        <v>0</v>
      </c>
      <c r="R4326" s="2"/>
    </row>
    <row r="4327" spans="1:18" x14ac:dyDescent="0.25">
      <c r="A4327" s="2" t="s">
        <v>17763</v>
      </c>
      <c r="B4327" s="6">
        <v>46204</v>
      </c>
      <c r="C4327" s="8">
        <v>46233</v>
      </c>
      <c r="D4327" s="2" t="s">
        <v>7433</v>
      </c>
      <c r="E4327" s="2" t="s">
        <v>16959</v>
      </c>
      <c r="F4327" s="2" t="s">
        <v>15304</v>
      </c>
      <c r="G4327" s="2" t="s">
        <v>17764</v>
      </c>
      <c r="H4327" s="2" t="s">
        <v>70</v>
      </c>
      <c r="I4327" s="9">
        <v>7743.4848030000003</v>
      </c>
      <c r="J4327" s="7">
        <v>0.65800000000000003</v>
      </c>
      <c r="K4327" s="9">
        <v>5095.21</v>
      </c>
      <c r="L4327" s="14">
        <v>0</v>
      </c>
      <c r="M4327" s="2" t="s">
        <v>71</v>
      </c>
      <c r="N4327" s="2" t="s">
        <v>17628</v>
      </c>
      <c r="O4327" s="2" t="s">
        <v>9421</v>
      </c>
      <c r="P4327" s="9">
        <v>0</v>
      </c>
      <c r="Q4327" s="9">
        <v>0</v>
      </c>
      <c r="R4327" s="2"/>
    </row>
    <row r="4328" spans="1:18" x14ac:dyDescent="0.25">
      <c r="A4328" s="2" t="s">
        <v>17765</v>
      </c>
      <c r="B4328" s="6">
        <v>46204</v>
      </c>
      <c r="C4328" s="8">
        <v>46234</v>
      </c>
      <c r="D4328" s="2" t="s">
        <v>7433</v>
      </c>
      <c r="E4328" s="2" t="s">
        <v>16959</v>
      </c>
      <c r="F4328" s="2" t="s">
        <v>15308</v>
      </c>
      <c r="G4328" s="2" t="s">
        <v>17766</v>
      </c>
      <c r="H4328" s="2" t="s">
        <v>39</v>
      </c>
      <c r="I4328" s="9">
        <v>5413.5559999999996</v>
      </c>
      <c r="J4328" s="7">
        <v>1</v>
      </c>
      <c r="K4328" s="9">
        <v>5413.56</v>
      </c>
      <c r="L4328" s="14">
        <v>0</v>
      </c>
      <c r="M4328" s="2" t="s">
        <v>71</v>
      </c>
      <c r="N4328" s="2" t="s">
        <v>17628</v>
      </c>
      <c r="O4328" s="2" t="s">
        <v>9426</v>
      </c>
      <c r="P4328" s="9">
        <v>0</v>
      </c>
      <c r="Q4328" s="9">
        <v>0</v>
      </c>
      <c r="R4328" s="2"/>
    </row>
    <row r="4329" spans="1:18" x14ac:dyDescent="0.25">
      <c r="A4329" s="2" t="s">
        <v>17767</v>
      </c>
      <c r="B4329" s="6">
        <v>46204</v>
      </c>
      <c r="C4329" s="8">
        <v>46204</v>
      </c>
      <c r="D4329" s="2" t="s">
        <v>7433</v>
      </c>
      <c r="E4329" s="2" t="s">
        <v>16959</v>
      </c>
      <c r="F4329" s="2" t="s">
        <v>15312</v>
      </c>
      <c r="G4329" s="2" t="s">
        <v>17768</v>
      </c>
      <c r="H4329" s="2" t="s">
        <v>76</v>
      </c>
      <c r="I4329" s="9">
        <v>92449983.870967999</v>
      </c>
      <c r="J4329" s="7">
        <v>6.2000000000000003E-5</v>
      </c>
      <c r="K4329" s="9">
        <v>5731.9</v>
      </c>
      <c r="L4329" s="14">
        <v>0</v>
      </c>
      <c r="M4329" s="2" t="s">
        <v>71</v>
      </c>
      <c r="N4329" s="2" t="s">
        <v>17628</v>
      </c>
      <c r="O4329" s="2" t="s">
        <v>9431</v>
      </c>
      <c r="P4329" s="9">
        <v>0</v>
      </c>
      <c r="Q4329" s="9">
        <v>0</v>
      </c>
      <c r="R4329" s="2"/>
    </row>
    <row r="4330" spans="1:18" x14ac:dyDescent="0.25">
      <c r="A4330" s="2" t="s">
        <v>17769</v>
      </c>
      <c r="B4330" s="6">
        <v>46204</v>
      </c>
      <c r="C4330" s="8">
        <v>46205</v>
      </c>
      <c r="D4330" s="2" t="s">
        <v>7433</v>
      </c>
      <c r="E4330" s="2" t="s">
        <v>16959</v>
      </c>
      <c r="F4330" s="2" t="s">
        <v>15316</v>
      </c>
      <c r="G4330" s="2" t="s">
        <v>17770</v>
      </c>
      <c r="H4330" s="2" t="s">
        <v>70</v>
      </c>
      <c r="I4330" s="9">
        <v>9194.8791789999996</v>
      </c>
      <c r="J4330" s="7">
        <v>0.65800000000000003</v>
      </c>
      <c r="K4330" s="9">
        <v>6050.23</v>
      </c>
      <c r="L4330" s="14">
        <v>0</v>
      </c>
      <c r="M4330" s="2" t="s">
        <v>71</v>
      </c>
      <c r="N4330" s="2" t="s">
        <v>17628</v>
      </c>
      <c r="O4330" s="2" t="s">
        <v>9436</v>
      </c>
      <c r="P4330" s="9">
        <v>0</v>
      </c>
      <c r="Q4330" s="9">
        <v>0</v>
      </c>
      <c r="R4330" s="2"/>
    </row>
    <row r="4331" spans="1:18" x14ac:dyDescent="0.25">
      <c r="A4331" s="2" t="s">
        <v>17771</v>
      </c>
      <c r="B4331" s="6">
        <v>46204</v>
      </c>
      <c r="C4331" s="8">
        <v>46206</v>
      </c>
      <c r="D4331" s="2" t="s">
        <v>7433</v>
      </c>
      <c r="E4331" s="2" t="s">
        <v>16959</v>
      </c>
      <c r="F4331" s="2" t="s">
        <v>15320</v>
      </c>
      <c r="G4331" s="2" t="s">
        <v>17772</v>
      </c>
      <c r="H4331" s="2" t="s">
        <v>39</v>
      </c>
      <c r="I4331" s="9">
        <v>6368.5735000000004</v>
      </c>
      <c r="J4331" s="7">
        <v>1</v>
      </c>
      <c r="K4331" s="9">
        <v>6368.57</v>
      </c>
      <c r="L4331" s="14">
        <v>0</v>
      </c>
      <c r="M4331" s="2" t="s">
        <v>71</v>
      </c>
      <c r="N4331" s="2" t="s">
        <v>17628</v>
      </c>
      <c r="O4331" s="2" t="s">
        <v>9441</v>
      </c>
      <c r="P4331" s="9">
        <v>0</v>
      </c>
      <c r="Q4331" s="9">
        <v>0</v>
      </c>
      <c r="R4331" s="2"/>
    </row>
    <row r="4332" spans="1:18" x14ac:dyDescent="0.25">
      <c r="A4332" s="2" t="s">
        <v>17773</v>
      </c>
      <c r="B4332" s="6">
        <v>46204</v>
      </c>
      <c r="C4332" s="8">
        <v>46207</v>
      </c>
      <c r="D4332" s="2" t="s">
        <v>7433</v>
      </c>
      <c r="E4332" s="2" t="s">
        <v>16959</v>
      </c>
      <c r="F4332" s="2" t="s">
        <v>15324</v>
      </c>
      <c r="G4332" s="2" t="s">
        <v>17774</v>
      </c>
      <c r="H4332" s="2" t="s">
        <v>76</v>
      </c>
      <c r="I4332" s="9">
        <v>107853306.45161299</v>
      </c>
      <c r="J4332" s="7">
        <v>6.2000000000000003E-5</v>
      </c>
      <c r="K4332" s="9">
        <v>6686.9</v>
      </c>
      <c r="L4332" s="14">
        <v>0</v>
      </c>
      <c r="M4332" s="2" t="s">
        <v>71</v>
      </c>
      <c r="N4332" s="2" t="s">
        <v>17628</v>
      </c>
      <c r="O4332" s="2" t="s">
        <v>9446</v>
      </c>
      <c r="P4332" s="9">
        <v>0</v>
      </c>
      <c r="Q4332" s="9">
        <v>0</v>
      </c>
      <c r="R4332" s="2"/>
    </row>
    <row r="4333" spans="1:18" x14ac:dyDescent="0.25">
      <c r="A4333" s="2" t="s">
        <v>17775</v>
      </c>
      <c r="B4333" s="6">
        <v>46204</v>
      </c>
      <c r="C4333" s="8">
        <v>46208</v>
      </c>
      <c r="D4333" s="2" t="s">
        <v>7433</v>
      </c>
      <c r="E4333" s="2" t="s">
        <v>16959</v>
      </c>
      <c r="F4333" s="2" t="s">
        <v>15328</v>
      </c>
      <c r="G4333" s="2" t="s">
        <v>17776</v>
      </c>
      <c r="H4333" s="2" t="s">
        <v>70</v>
      </c>
      <c r="I4333" s="9">
        <v>10646.273556</v>
      </c>
      <c r="J4333" s="7">
        <v>0.65800000000000003</v>
      </c>
      <c r="K4333" s="9">
        <v>7005.25</v>
      </c>
      <c r="L4333" s="14">
        <v>0</v>
      </c>
      <c r="M4333" s="2" t="s">
        <v>71</v>
      </c>
      <c r="N4333" s="2" t="s">
        <v>17628</v>
      </c>
      <c r="O4333" s="2" t="s">
        <v>9451</v>
      </c>
      <c r="P4333" s="9">
        <v>0</v>
      </c>
      <c r="Q4333" s="9">
        <v>0</v>
      </c>
      <c r="R4333" s="2"/>
    </row>
    <row r="4334" spans="1:18" x14ac:dyDescent="0.25">
      <c r="A4334" s="2" t="s">
        <v>17777</v>
      </c>
      <c r="B4334" s="6">
        <v>46204</v>
      </c>
      <c r="C4334" s="8">
        <v>46209</v>
      </c>
      <c r="D4334" s="2" t="s">
        <v>7433</v>
      </c>
      <c r="E4334" s="2" t="s">
        <v>16959</v>
      </c>
      <c r="F4334" s="2" t="s">
        <v>15332</v>
      </c>
      <c r="G4334" s="2" t="s">
        <v>17778</v>
      </c>
      <c r="H4334" s="2" t="s">
        <v>39</v>
      </c>
      <c r="I4334" s="9">
        <v>7323.5910000000003</v>
      </c>
      <c r="J4334" s="7">
        <v>1</v>
      </c>
      <c r="K4334" s="9">
        <v>7323.59</v>
      </c>
      <c r="L4334" s="14">
        <v>0</v>
      </c>
      <c r="M4334" s="2" t="s">
        <v>71</v>
      </c>
      <c r="N4334" s="2" t="s">
        <v>17628</v>
      </c>
      <c r="O4334" s="2" t="s">
        <v>9456</v>
      </c>
      <c r="P4334" s="9">
        <v>0</v>
      </c>
      <c r="Q4334" s="9">
        <v>0</v>
      </c>
      <c r="R4334" s="2"/>
    </row>
    <row r="4335" spans="1:18" x14ac:dyDescent="0.25">
      <c r="A4335" s="2" t="s">
        <v>17779</v>
      </c>
      <c r="B4335" s="6">
        <v>46204</v>
      </c>
      <c r="C4335" s="8">
        <v>46210</v>
      </c>
      <c r="D4335" s="2" t="s">
        <v>7433</v>
      </c>
      <c r="E4335" s="2" t="s">
        <v>16959</v>
      </c>
      <c r="F4335" s="2" t="s">
        <v>15336</v>
      </c>
      <c r="G4335" s="2" t="s">
        <v>17780</v>
      </c>
      <c r="H4335" s="2" t="s">
        <v>76</v>
      </c>
      <c r="I4335" s="9">
        <v>-123256814.516129</v>
      </c>
      <c r="J4335" s="7">
        <v>6.2000000000000003E-5</v>
      </c>
      <c r="K4335" s="9">
        <v>-7641.92</v>
      </c>
      <c r="L4335" s="14">
        <v>0</v>
      </c>
      <c r="M4335" s="2" t="s">
        <v>71</v>
      </c>
      <c r="N4335" s="2" t="s">
        <v>17628</v>
      </c>
      <c r="O4335" s="2" t="s">
        <v>9461</v>
      </c>
      <c r="P4335" s="9">
        <v>0</v>
      </c>
      <c r="Q4335" s="9">
        <v>0</v>
      </c>
      <c r="R4335" s="2"/>
    </row>
    <row r="4336" spans="1:18" x14ac:dyDescent="0.25">
      <c r="A4336" s="2" t="s">
        <v>17781</v>
      </c>
      <c r="B4336" s="6">
        <v>46204</v>
      </c>
      <c r="C4336" s="8">
        <v>46211</v>
      </c>
      <c r="D4336" s="2" t="s">
        <v>7433</v>
      </c>
      <c r="E4336" s="2" t="s">
        <v>16959</v>
      </c>
      <c r="F4336" s="2" t="s">
        <v>15300</v>
      </c>
      <c r="G4336" s="2" t="s">
        <v>17782</v>
      </c>
      <c r="H4336" s="2" t="s">
        <v>70</v>
      </c>
      <c r="I4336" s="9">
        <v>12097.667933000001</v>
      </c>
      <c r="J4336" s="7">
        <v>0.65800000000000003</v>
      </c>
      <c r="K4336" s="9">
        <v>7960.27</v>
      </c>
      <c r="L4336" s="14">
        <v>0</v>
      </c>
      <c r="M4336" s="2" t="s">
        <v>71</v>
      </c>
      <c r="N4336" s="2" t="s">
        <v>17628</v>
      </c>
      <c r="O4336" s="2" t="s">
        <v>9464</v>
      </c>
      <c r="P4336" s="9">
        <v>0</v>
      </c>
      <c r="Q4336" s="9">
        <v>0</v>
      </c>
      <c r="R4336" s="2"/>
    </row>
    <row r="4337" spans="1:18" x14ac:dyDescent="0.25">
      <c r="A4337" s="2" t="s">
        <v>17783</v>
      </c>
      <c r="B4337" s="6">
        <v>46204</v>
      </c>
      <c r="C4337" s="8">
        <v>46212</v>
      </c>
      <c r="D4337" s="2" t="s">
        <v>7433</v>
      </c>
      <c r="E4337" s="2" t="s">
        <v>16959</v>
      </c>
      <c r="F4337" s="2" t="s">
        <v>15304</v>
      </c>
      <c r="G4337" s="2" t="s">
        <v>17784</v>
      </c>
      <c r="H4337" s="2" t="s">
        <v>39</v>
      </c>
      <c r="I4337" s="9">
        <v>8278.5969999999998</v>
      </c>
      <c r="J4337" s="7">
        <v>1</v>
      </c>
      <c r="K4337" s="9">
        <v>8278.6</v>
      </c>
      <c r="L4337" s="14">
        <v>0</v>
      </c>
      <c r="M4337" s="2" t="s">
        <v>71</v>
      </c>
      <c r="N4337" s="2" t="s">
        <v>17628</v>
      </c>
      <c r="O4337" s="2" t="s">
        <v>9469</v>
      </c>
      <c r="P4337" s="9">
        <v>0</v>
      </c>
      <c r="Q4337" s="9">
        <v>0</v>
      </c>
      <c r="R4337" s="2"/>
    </row>
    <row r="4338" spans="1:18" x14ac:dyDescent="0.25">
      <c r="A4338" s="2" t="s">
        <v>17785</v>
      </c>
      <c r="B4338" s="6">
        <v>46204</v>
      </c>
      <c r="C4338" s="8">
        <v>46213</v>
      </c>
      <c r="D4338" s="2" t="s">
        <v>7433</v>
      </c>
      <c r="E4338" s="2" t="s">
        <v>16959</v>
      </c>
      <c r="F4338" s="2" t="s">
        <v>15308</v>
      </c>
      <c r="G4338" s="2" t="s">
        <v>17786</v>
      </c>
      <c r="H4338" s="2" t="s">
        <v>76</v>
      </c>
      <c r="I4338" s="9">
        <v>138660322.58064499</v>
      </c>
      <c r="J4338" s="7">
        <v>6.2000000000000003E-5</v>
      </c>
      <c r="K4338" s="9">
        <v>8596.94</v>
      </c>
      <c r="L4338" s="14">
        <v>0</v>
      </c>
      <c r="M4338" s="2" t="s">
        <v>71</v>
      </c>
      <c r="N4338" s="2" t="s">
        <v>17628</v>
      </c>
      <c r="O4338" s="2" t="s">
        <v>9474</v>
      </c>
      <c r="P4338" s="9">
        <v>0</v>
      </c>
      <c r="Q4338" s="9">
        <v>0</v>
      </c>
      <c r="R4338" s="2"/>
    </row>
    <row r="4339" spans="1:18" x14ac:dyDescent="0.25">
      <c r="A4339" s="2" t="s">
        <v>17787</v>
      </c>
      <c r="B4339" s="6">
        <v>46204</v>
      </c>
      <c r="C4339" s="8">
        <v>46214</v>
      </c>
      <c r="D4339" s="2" t="s">
        <v>7433</v>
      </c>
      <c r="E4339" s="2" t="s">
        <v>16959</v>
      </c>
      <c r="F4339" s="2" t="s">
        <v>15312</v>
      </c>
      <c r="G4339" s="2" t="s">
        <v>17788</v>
      </c>
      <c r="H4339" s="2" t="s">
        <v>70</v>
      </c>
      <c r="I4339" s="9">
        <v>13549.062309999999</v>
      </c>
      <c r="J4339" s="7">
        <v>0.65800000000000003</v>
      </c>
      <c r="K4339" s="9">
        <v>8915.2800000000007</v>
      </c>
      <c r="L4339" s="14">
        <v>0</v>
      </c>
      <c r="M4339" s="2" t="s">
        <v>71</v>
      </c>
      <c r="N4339" s="2" t="s">
        <v>17628</v>
      </c>
      <c r="O4339" s="2" t="s">
        <v>9479</v>
      </c>
      <c r="P4339" s="9">
        <v>0</v>
      </c>
      <c r="Q4339" s="9">
        <v>0</v>
      </c>
      <c r="R4339" s="2"/>
    </row>
    <row r="4340" spans="1:18" x14ac:dyDescent="0.25">
      <c r="A4340" s="2" t="s">
        <v>17789</v>
      </c>
      <c r="B4340" s="6">
        <v>46204</v>
      </c>
      <c r="C4340" s="8">
        <v>46215</v>
      </c>
      <c r="D4340" s="2" t="s">
        <v>7433</v>
      </c>
      <c r="E4340" s="2" t="s">
        <v>16959</v>
      </c>
      <c r="F4340" s="2" t="s">
        <v>15316</v>
      </c>
      <c r="G4340" s="2" t="s">
        <v>17790</v>
      </c>
      <c r="H4340" s="2" t="s">
        <v>39</v>
      </c>
      <c r="I4340" s="9">
        <v>9233.6144999999997</v>
      </c>
      <c r="J4340" s="7">
        <v>1</v>
      </c>
      <c r="K4340" s="9">
        <v>9233.61</v>
      </c>
      <c r="L4340" s="14">
        <v>0</v>
      </c>
      <c r="M4340" s="2" t="s">
        <v>71</v>
      </c>
      <c r="N4340" s="2" t="s">
        <v>17628</v>
      </c>
      <c r="O4340" s="2" t="s">
        <v>9484</v>
      </c>
      <c r="P4340" s="9">
        <v>0</v>
      </c>
      <c r="Q4340" s="9">
        <v>0</v>
      </c>
      <c r="R4340" s="2"/>
    </row>
    <row r="4341" spans="1:18" x14ac:dyDescent="0.25">
      <c r="A4341" s="2" t="s">
        <v>17791</v>
      </c>
      <c r="B4341" s="6">
        <v>46204</v>
      </c>
      <c r="C4341" s="8">
        <v>46216</v>
      </c>
      <c r="D4341" s="2" t="s">
        <v>7433</v>
      </c>
      <c r="E4341" s="2" t="s">
        <v>16959</v>
      </c>
      <c r="F4341" s="2" t="s">
        <v>15320</v>
      </c>
      <c r="G4341" s="2" t="s">
        <v>17792</v>
      </c>
      <c r="H4341" s="2" t="s">
        <v>76</v>
      </c>
      <c r="I4341" s="9">
        <v>154063830.64516199</v>
      </c>
      <c r="J4341" s="7">
        <v>6.2000000000000003E-5</v>
      </c>
      <c r="K4341" s="9">
        <v>9551.9599999999991</v>
      </c>
      <c r="L4341" s="14">
        <v>0</v>
      </c>
      <c r="M4341" s="2" t="s">
        <v>71</v>
      </c>
      <c r="N4341" s="2" t="s">
        <v>17628</v>
      </c>
      <c r="O4341" s="2" t="s">
        <v>9489</v>
      </c>
      <c r="P4341" s="9">
        <v>0</v>
      </c>
      <c r="Q4341" s="9">
        <v>0</v>
      </c>
      <c r="R4341" s="2"/>
    </row>
    <row r="4342" spans="1:18" x14ac:dyDescent="0.25">
      <c r="A4342" s="2" t="s">
        <v>17793</v>
      </c>
      <c r="B4342" s="6">
        <v>46204</v>
      </c>
      <c r="C4342" s="8">
        <v>46217</v>
      </c>
      <c r="D4342" s="2" t="s">
        <v>7433</v>
      </c>
      <c r="E4342" s="2" t="s">
        <v>16959</v>
      </c>
      <c r="F4342" s="2" t="s">
        <v>15324</v>
      </c>
      <c r="G4342" s="2" t="s">
        <v>17794</v>
      </c>
      <c r="H4342" s="2" t="s">
        <v>70</v>
      </c>
      <c r="I4342" s="9">
        <v>15000.456687</v>
      </c>
      <c r="J4342" s="7">
        <v>0.65800000000000003</v>
      </c>
      <c r="K4342" s="9">
        <v>9870.2999999999993</v>
      </c>
      <c r="L4342" s="14">
        <v>0</v>
      </c>
      <c r="M4342" s="2" t="s">
        <v>71</v>
      </c>
      <c r="N4342" s="2" t="s">
        <v>17628</v>
      </c>
      <c r="O4342" s="2" t="s">
        <v>9494</v>
      </c>
      <c r="P4342" s="9">
        <v>0</v>
      </c>
      <c r="Q4342" s="9">
        <v>0</v>
      </c>
      <c r="R4342" s="2"/>
    </row>
    <row r="4343" spans="1:18" x14ac:dyDescent="0.25">
      <c r="A4343" s="2" t="s">
        <v>17795</v>
      </c>
      <c r="B4343" s="6">
        <v>46204</v>
      </c>
      <c r="C4343" s="8">
        <v>46218</v>
      </c>
      <c r="D4343" s="2" t="s">
        <v>7433</v>
      </c>
      <c r="E4343" s="2" t="s">
        <v>16959</v>
      </c>
      <c r="F4343" s="2" t="s">
        <v>15328</v>
      </c>
      <c r="G4343" s="2" t="s">
        <v>17796</v>
      </c>
      <c r="H4343" s="2" t="s">
        <v>39</v>
      </c>
      <c r="I4343" s="9">
        <v>10188.632</v>
      </c>
      <c r="J4343" s="7">
        <v>1</v>
      </c>
      <c r="K4343" s="9">
        <v>10188.629999999999</v>
      </c>
      <c r="L4343" s="14">
        <v>0</v>
      </c>
      <c r="M4343" s="2" t="s">
        <v>71</v>
      </c>
      <c r="N4343" s="2" t="s">
        <v>17628</v>
      </c>
      <c r="O4343" s="2" t="s">
        <v>9499</v>
      </c>
      <c r="P4343" s="9">
        <v>0</v>
      </c>
      <c r="Q4343" s="9">
        <v>0</v>
      </c>
      <c r="R4343" s="2"/>
    </row>
    <row r="4344" spans="1:18" x14ac:dyDescent="0.25">
      <c r="A4344" s="2" t="s">
        <v>17797</v>
      </c>
      <c r="B4344" s="6">
        <v>46204</v>
      </c>
      <c r="C4344" s="8">
        <v>46219</v>
      </c>
      <c r="D4344" s="2" t="s">
        <v>7433</v>
      </c>
      <c r="E4344" s="2" t="s">
        <v>16959</v>
      </c>
      <c r="F4344" s="2" t="s">
        <v>15332</v>
      </c>
      <c r="G4344" s="2" t="s">
        <v>17798</v>
      </c>
      <c r="H4344" s="2" t="s">
        <v>76</v>
      </c>
      <c r="I4344" s="9">
        <v>169467338.70967701</v>
      </c>
      <c r="J4344" s="7">
        <v>6.2000000000000003E-5</v>
      </c>
      <c r="K4344" s="9">
        <v>10506.97</v>
      </c>
      <c r="L4344" s="14">
        <v>0</v>
      </c>
      <c r="M4344" s="2" t="s">
        <v>71</v>
      </c>
      <c r="N4344" s="2" t="s">
        <v>17628</v>
      </c>
      <c r="O4344" s="2" t="s">
        <v>9504</v>
      </c>
      <c r="P4344" s="9">
        <v>0</v>
      </c>
      <c r="Q4344" s="9">
        <v>0</v>
      </c>
      <c r="R4344" s="2"/>
    </row>
    <row r="4345" spans="1:18" x14ac:dyDescent="0.25">
      <c r="A4345" s="2" t="s">
        <v>17799</v>
      </c>
      <c r="B4345" s="6">
        <v>46204</v>
      </c>
      <c r="C4345" s="8">
        <v>46220</v>
      </c>
      <c r="D4345" s="2" t="s">
        <v>7433</v>
      </c>
      <c r="E4345" s="2" t="s">
        <v>16959</v>
      </c>
      <c r="F4345" s="2" t="s">
        <v>15336</v>
      </c>
      <c r="G4345" s="2" t="s">
        <v>17800</v>
      </c>
      <c r="H4345" s="2" t="s">
        <v>70</v>
      </c>
      <c r="I4345" s="9">
        <v>16451.851063999999</v>
      </c>
      <c r="J4345" s="7">
        <v>0.65800000000000003</v>
      </c>
      <c r="K4345" s="9">
        <v>10825.32</v>
      </c>
      <c r="L4345" s="14">
        <v>0</v>
      </c>
      <c r="M4345" s="2" t="s">
        <v>71</v>
      </c>
      <c r="N4345" s="2" t="s">
        <v>17628</v>
      </c>
      <c r="O4345" s="2" t="s">
        <v>9509</v>
      </c>
      <c r="P4345" s="9">
        <v>0</v>
      </c>
      <c r="Q4345" s="9">
        <v>0</v>
      </c>
      <c r="R4345" s="2"/>
    </row>
    <row r="4346" spans="1:18" x14ac:dyDescent="0.25">
      <c r="A4346" s="2" t="s">
        <v>17801</v>
      </c>
      <c r="B4346" s="6">
        <v>46204</v>
      </c>
      <c r="C4346" s="8">
        <v>46221</v>
      </c>
      <c r="D4346" s="2" t="s">
        <v>7433</v>
      </c>
      <c r="E4346" s="2" t="s">
        <v>16959</v>
      </c>
      <c r="F4346" s="2" t="s">
        <v>15300</v>
      </c>
      <c r="G4346" s="2" t="s">
        <v>17802</v>
      </c>
      <c r="H4346" s="2" t="s">
        <v>39</v>
      </c>
      <c r="I4346" s="9">
        <v>11143.6495</v>
      </c>
      <c r="J4346" s="7">
        <v>1</v>
      </c>
      <c r="K4346" s="9">
        <v>11143.65</v>
      </c>
      <c r="L4346" s="14">
        <v>0</v>
      </c>
      <c r="M4346" s="2" t="s">
        <v>71</v>
      </c>
      <c r="N4346" s="2" t="s">
        <v>17628</v>
      </c>
      <c r="O4346" s="2" t="s">
        <v>9514</v>
      </c>
      <c r="P4346" s="9">
        <v>0</v>
      </c>
      <c r="Q4346" s="9">
        <v>0</v>
      </c>
      <c r="R4346" s="2"/>
    </row>
    <row r="4347" spans="1:18" x14ac:dyDescent="0.25">
      <c r="A4347" s="2" t="s">
        <v>17803</v>
      </c>
      <c r="B4347" s="6">
        <v>46204</v>
      </c>
      <c r="C4347" s="8">
        <v>46222</v>
      </c>
      <c r="D4347" s="2" t="s">
        <v>7433</v>
      </c>
      <c r="E4347" s="2" t="s">
        <v>16959</v>
      </c>
      <c r="F4347" s="2" t="s">
        <v>15304</v>
      </c>
      <c r="G4347" s="2" t="s">
        <v>17804</v>
      </c>
      <c r="H4347" s="2" t="s">
        <v>76</v>
      </c>
      <c r="I4347" s="9">
        <v>184870661.29032299</v>
      </c>
      <c r="J4347" s="7">
        <v>6.2000000000000003E-5</v>
      </c>
      <c r="K4347" s="9">
        <v>11461.98</v>
      </c>
      <c r="L4347" s="14">
        <v>0</v>
      </c>
      <c r="M4347" s="2" t="s">
        <v>71</v>
      </c>
      <c r="N4347" s="2" t="s">
        <v>17628</v>
      </c>
      <c r="O4347" s="2" t="s">
        <v>9519</v>
      </c>
      <c r="P4347" s="9">
        <v>0</v>
      </c>
      <c r="Q4347" s="9">
        <v>0</v>
      </c>
      <c r="R4347" s="2"/>
    </row>
    <row r="4348" spans="1:18" x14ac:dyDescent="0.25">
      <c r="A4348" s="2" t="s">
        <v>17805</v>
      </c>
      <c r="B4348" s="6">
        <v>46204</v>
      </c>
      <c r="C4348" s="8">
        <v>46223</v>
      </c>
      <c r="D4348" s="2" t="s">
        <v>7433</v>
      </c>
      <c r="E4348" s="2" t="s">
        <v>16959</v>
      </c>
      <c r="F4348" s="2" t="s">
        <v>15308</v>
      </c>
      <c r="G4348" s="2" t="s">
        <v>17806</v>
      </c>
      <c r="H4348" s="2" t="s">
        <v>70</v>
      </c>
      <c r="I4348" s="9">
        <v>17903.227963000001</v>
      </c>
      <c r="J4348" s="7">
        <v>0.65800000000000003</v>
      </c>
      <c r="K4348" s="9">
        <v>11780.32</v>
      </c>
      <c r="L4348" s="14">
        <v>0</v>
      </c>
      <c r="M4348" s="2" t="s">
        <v>71</v>
      </c>
      <c r="N4348" s="2" t="s">
        <v>17628</v>
      </c>
      <c r="O4348" s="2" t="s">
        <v>9524</v>
      </c>
      <c r="P4348" s="9">
        <v>0</v>
      </c>
      <c r="Q4348" s="9">
        <v>0</v>
      </c>
      <c r="R4348" s="2"/>
    </row>
    <row r="4349" spans="1:18" x14ac:dyDescent="0.25">
      <c r="A4349" s="2" t="s">
        <v>17807</v>
      </c>
      <c r="B4349" s="6">
        <v>46204</v>
      </c>
      <c r="C4349" s="8">
        <v>46224</v>
      </c>
      <c r="D4349" s="2" t="s">
        <v>7433</v>
      </c>
      <c r="E4349" s="2" t="s">
        <v>16959</v>
      </c>
      <c r="F4349" s="2" t="s">
        <v>15312</v>
      </c>
      <c r="G4349" s="2" t="s">
        <v>17808</v>
      </c>
      <c r="H4349" s="2" t="s">
        <v>39</v>
      </c>
      <c r="I4349" s="9">
        <v>12098.666999999999</v>
      </c>
      <c r="J4349" s="7">
        <v>1</v>
      </c>
      <c r="K4349" s="9">
        <v>12098.67</v>
      </c>
      <c r="L4349" s="14">
        <v>0</v>
      </c>
      <c r="M4349" s="2" t="s">
        <v>71</v>
      </c>
      <c r="N4349" s="2" t="s">
        <v>17628</v>
      </c>
      <c r="O4349" s="2" t="s">
        <v>9529</v>
      </c>
      <c r="P4349" s="9">
        <v>0</v>
      </c>
      <c r="Q4349" s="9">
        <v>0</v>
      </c>
      <c r="R4349" s="2"/>
    </row>
    <row r="4350" spans="1:18" x14ac:dyDescent="0.25">
      <c r="A4350" s="2" t="s">
        <v>17809</v>
      </c>
      <c r="B4350" s="6">
        <v>46204</v>
      </c>
      <c r="C4350" s="8">
        <v>46225</v>
      </c>
      <c r="D4350" s="2" t="s">
        <v>7433</v>
      </c>
      <c r="E4350" s="2" t="s">
        <v>16959</v>
      </c>
      <c r="F4350" s="2" t="s">
        <v>15316</v>
      </c>
      <c r="G4350" s="2" t="s">
        <v>17810</v>
      </c>
      <c r="H4350" s="2" t="s">
        <v>76</v>
      </c>
      <c r="I4350" s="9">
        <v>200274169.35483801</v>
      </c>
      <c r="J4350" s="7">
        <v>6.2000000000000003E-5</v>
      </c>
      <c r="K4350" s="9">
        <v>12417</v>
      </c>
      <c r="L4350" s="14">
        <v>0</v>
      </c>
      <c r="M4350" s="2" t="s">
        <v>71</v>
      </c>
      <c r="N4350" s="2" t="s">
        <v>17628</v>
      </c>
      <c r="O4350" s="2" t="s">
        <v>9534</v>
      </c>
      <c r="P4350" s="9">
        <v>0</v>
      </c>
      <c r="Q4350" s="9">
        <v>0</v>
      </c>
      <c r="R4350" s="2"/>
    </row>
    <row r="4351" spans="1:18" x14ac:dyDescent="0.25">
      <c r="A4351" s="2" t="s">
        <v>17811</v>
      </c>
      <c r="B4351" s="6">
        <v>46204</v>
      </c>
      <c r="C4351" s="8">
        <v>46226</v>
      </c>
      <c r="D4351" s="2" t="s">
        <v>7433</v>
      </c>
      <c r="E4351" s="2" t="s">
        <v>16959</v>
      </c>
      <c r="F4351" s="2" t="s">
        <v>15320</v>
      </c>
      <c r="G4351" s="2" t="s">
        <v>17812</v>
      </c>
      <c r="H4351" s="2" t="s">
        <v>70</v>
      </c>
      <c r="I4351" s="9">
        <v>19354.622340000002</v>
      </c>
      <c r="J4351" s="7">
        <v>0.65800000000000003</v>
      </c>
      <c r="K4351" s="9">
        <v>12735.34</v>
      </c>
      <c r="L4351" s="14">
        <v>0</v>
      </c>
      <c r="M4351" s="2" t="s">
        <v>71</v>
      </c>
      <c r="N4351" s="2" t="s">
        <v>17628</v>
      </c>
      <c r="O4351" s="2" t="s">
        <v>9539</v>
      </c>
      <c r="P4351" s="9">
        <v>0</v>
      </c>
      <c r="Q4351" s="9">
        <v>0</v>
      </c>
      <c r="R4351" s="2"/>
    </row>
    <row r="4352" spans="1:18" x14ac:dyDescent="0.25">
      <c r="A4352" s="2" t="s">
        <v>17813</v>
      </c>
      <c r="B4352" s="6">
        <v>46204</v>
      </c>
      <c r="C4352" s="8">
        <v>46227</v>
      </c>
      <c r="D4352" s="2" t="s">
        <v>7433</v>
      </c>
      <c r="E4352" s="2" t="s">
        <v>16959</v>
      </c>
      <c r="F4352" s="2" t="s">
        <v>15324</v>
      </c>
      <c r="G4352" s="2" t="s">
        <v>17814</v>
      </c>
      <c r="H4352" s="2" t="s">
        <v>39</v>
      </c>
      <c r="I4352" s="9">
        <v>13053.673000000001</v>
      </c>
      <c r="J4352" s="7">
        <v>1</v>
      </c>
      <c r="K4352" s="9">
        <v>13053.67</v>
      </c>
      <c r="L4352" s="14">
        <v>0</v>
      </c>
      <c r="M4352" s="2" t="s">
        <v>71</v>
      </c>
      <c r="N4352" s="2" t="s">
        <v>17628</v>
      </c>
      <c r="O4352" s="2" t="s">
        <v>9544</v>
      </c>
      <c r="P4352" s="9">
        <v>0</v>
      </c>
      <c r="Q4352" s="9">
        <v>0</v>
      </c>
      <c r="R4352" s="2"/>
    </row>
    <row r="4353" spans="1:18" x14ac:dyDescent="0.25">
      <c r="A4353" s="2" t="s">
        <v>17815</v>
      </c>
      <c r="B4353" s="6">
        <v>46204</v>
      </c>
      <c r="C4353" s="8">
        <v>46228</v>
      </c>
      <c r="D4353" s="2" t="s">
        <v>7433</v>
      </c>
      <c r="E4353" s="2" t="s">
        <v>16959</v>
      </c>
      <c r="F4353" s="2" t="s">
        <v>15328</v>
      </c>
      <c r="G4353" s="2" t="s">
        <v>17816</v>
      </c>
      <c r="H4353" s="2" t="s">
        <v>76</v>
      </c>
      <c r="I4353" s="9">
        <v>215677677.41935501</v>
      </c>
      <c r="J4353" s="7">
        <v>6.2000000000000003E-5</v>
      </c>
      <c r="K4353" s="9">
        <v>13372.02</v>
      </c>
      <c r="L4353" s="14">
        <v>0</v>
      </c>
      <c r="M4353" s="2" t="s">
        <v>71</v>
      </c>
      <c r="N4353" s="2" t="s">
        <v>17628</v>
      </c>
      <c r="O4353" s="2" t="s">
        <v>9549</v>
      </c>
      <c r="P4353" s="9">
        <v>0</v>
      </c>
      <c r="Q4353" s="9">
        <v>0</v>
      </c>
      <c r="R4353" s="2"/>
    </row>
    <row r="4354" spans="1:18" x14ac:dyDescent="0.25">
      <c r="A4354" s="2" t="s">
        <v>17817</v>
      </c>
      <c r="B4354" s="6">
        <v>46204</v>
      </c>
      <c r="C4354" s="8">
        <v>46229</v>
      </c>
      <c r="D4354" s="2" t="s">
        <v>7433</v>
      </c>
      <c r="E4354" s="2" t="s">
        <v>16959</v>
      </c>
      <c r="F4354" s="2" t="s">
        <v>15332</v>
      </c>
      <c r="G4354" s="2" t="s">
        <v>17818</v>
      </c>
      <c r="H4354" s="2" t="s">
        <v>70</v>
      </c>
      <c r="I4354" s="9">
        <v>20805.999240000001</v>
      </c>
      <c r="J4354" s="7">
        <v>0.65800000000000003</v>
      </c>
      <c r="K4354" s="9">
        <v>13690.35</v>
      </c>
      <c r="L4354" s="14">
        <v>0</v>
      </c>
      <c r="M4354" s="2" t="s">
        <v>71</v>
      </c>
      <c r="N4354" s="2" t="s">
        <v>17628</v>
      </c>
      <c r="O4354" s="2" t="s">
        <v>9554</v>
      </c>
      <c r="P4354" s="9">
        <v>0</v>
      </c>
      <c r="Q4354" s="9">
        <v>0</v>
      </c>
      <c r="R4354" s="2"/>
    </row>
    <row r="4355" spans="1:18" x14ac:dyDescent="0.25">
      <c r="A4355" s="2" t="s">
        <v>17819</v>
      </c>
      <c r="B4355" s="6">
        <v>46204</v>
      </c>
      <c r="C4355" s="8">
        <v>46230</v>
      </c>
      <c r="D4355" s="2" t="s">
        <v>7433</v>
      </c>
      <c r="E4355" s="2" t="s">
        <v>16959</v>
      </c>
      <c r="F4355" s="2" t="s">
        <v>15336</v>
      </c>
      <c r="G4355" s="2" t="s">
        <v>17820</v>
      </c>
      <c r="H4355" s="2" t="s">
        <v>39</v>
      </c>
      <c r="I4355" s="9">
        <v>14008.690500000001</v>
      </c>
      <c r="J4355" s="7">
        <v>1</v>
      </c>
      <c r="K4355" s="9">
        <v>14008.69</v>
      </c>
      <c r="L4355" s="14">
        <v>0</v>
      </c>
      <c r="M4355" s="2" t="s">
        <v>71</v>
      </c>
      <c r="N4355" s="2" t="s">
        <v>17628</v>
      </c>
      <c r="O4355" s="2" t="s">
        <v>9559</v>
      </c>
      <c r="P4355" s="9">
        <v>0</v>
      </c>
      <c r="Q4355" s="9">
        <v>0</v>
      </c>
      <c r="R4355" s="2"/>
    </row>
    <row r="4356" spans="1:18" x14ac:dyDescent="0.25">
      <c r="A4356" s="2" t="s">
        <v>17821</v>
      </c>
      <c r="B4356" s="6">
        <v>46204</v>
      </c>
      <c r="C4356" s="8">
        <v>46231</v>
      </c>
      <c r="D4356" s="2" t="s">
        <v>7433</v>
      </c>
      <c r="E4356" s="2" t="s">
        <v>16959</v>
      </c>
      <c r="F4356" s="2" t="s">
        <v>15300</v>
      </c>
      <c r="G4356" s="2" t="s">
        <v>17822</v>
      </c>
      <c r="H4356" s="2" t="s">
        <v>76</v>
      </c>
      <c r="I4356" s="9">
        <v>231081185.48387101</v>
      </c>
      <c r="J4356" s="7">
        <v>6.2000000000000003E-5</v>
      </c>
      <c r="K4356" s="9">
        <v>14327.03</v>
      </c>
      <c r="L4356" s="14">
        <v>0</v>
      </c>
      <c r="M4356" s="2" t="s">
        <v>71</v>
      </c>
      <c r="N4356" s="2" t="s">
        <v>17628</v>
      </c>
      <c r="O4356" s="2" t="s">
        <v>9564</v>
      </c>
      <c r="P4356" s="9">
        <v>0</v>
      </c>
      <c r="Q4356" s="9">
        <v>0</v>
      </c>
      <c r="R4356" s="2"/>
    </row>
    <row r="4357" spans="1:18" x14ac:dyDescent="0.25">
      <c r="A4357" s="2" t="s">
        <v>17823</v>
      </c>
      <c r="B4357" s="6">
        <v>46204</v>
      </c>
      <c r="C4357" s="8">
        <v>46232</v>
      </c>
      <c r="D4357" s="2" t="s">
        <v>7433</v>
      </c>
      <c r="E4357" s="2" t="s">
        <v>16959</v>
      </c>
      <c r="F4357" s="2" t="s">
        <v>15304</v>
      </c>
      <c r="G4357" s="2" t="s">
        <v>17824</v>
      </c>
      <c r="H4357" s="2" t="s">
        <v>70</v>
      </c>
      <c r="I4357" s="9">
        <v>22257.393617000002</v>
      </c>
      <c r="J4357" s="7">
        <v>0.65800000000000003</v>
      </c>
      <c r="K4357" s="9">
        <v>14645.37</v>
      </c>
      <c r="L4357" s="14">
        <v>0</v>
      </c>
      <c r="M4357" s="2" t="s">
        <v>71</v>
      </c>
      <c r="N4357" s="2" t="s">
        <v>17628</v>
      </c>
      <c r="O4357" s="2" t="s">
        <v>9569</v>
      </c>
      <c r="P4357" s="9">
        <v>0</v>
      </c>
      <c r="Q4357" s="9">
        <v>0</v>
      </c>
      <c r="R4357" s="2"/>
    </row>
    <row r="4358" spans="1:18" x14ac:dyDescent="0.25">
      <c r="A4358" s="2" t="s">
        <v>17825</v>
      </c>
      <c r="B4358" s="6">
        <v>46204</v>
      </c>
      <c r="C4358" s="8">
        <v>46233</v>
      </c>
      <c r="D4358" s="2" t="s">
        <v>7433</v>
      </c>
      <c r="E4358" s="2" t="s">
        <v>16959</v>
      </c>
      <c r="F4358" s="2" t="s">
        <v>15308</v>
      </c>
      <c r="G4358" s="2" t="s">
        <v>17826</v>
      </c>
      <c r="H4358" s="2" t="s">
        <v>39</v>
      </c>
      <c r="I4358" s="9">
        <v>14963.708000000001</v>
      </c>
      <c r="J4358" s="7">
        <v>1</v>
      </c>
      <c r="K4358" s="9">
        <v>14963.71</v>
      </c>
      <c r="L4358" s="14">
        <v>0</v>
      </c>
      <c r="M4358" s="2" t="s">
        <v>71</v>
      </c>
      <c r="N4358" s="2" t="s">
        <v>17628</v>
      </c>
      <c r="O4358" s="2" t="s">
        <v>9574</v>
      </c>
      <c r="P4358" s="9">
        <v>0</v>
      </c>
      <c r="Q4358" s="9">
        <v>0</v>
      </c>
      <c r="R4358" s="2"/>
    </row>
    <row r="4359" spans="1:18" x14ac:dyDescent="0.25">
      <c r="A4359" s="2" t="s">
        <v>17827</v>
      </c>
      <c r="B4359" s="6">
        <v>46204</v>
      </c>
      <c r="C4359" s="8">
        <v>46234</v>
      </c>
      <c r="D4359" s="2" t="s">
        <v>7433</v>
      </c>
      <c r="E4359" s="2" t="s">
        <v>16959</v>
      </c>
      <c r="F4359" s="2" t="s">
        <v>15312</v>
      </c>
      <c r="G4359" s="2" t="s">
        <v>17828</v>
      </c>
      <c r="H4359" s="2" t="s">
        <v>76</v>
      </c>
      <c r="I4359" s="9">
        <v>246484693.54838699</v>
      </c>
      <c r="J4359" s="7">
        <v>6.2000000000000003E-5</v>
      </c>
      <c r="K4359" s="9">
        <v>15282.05</v>
      </c>
      <c r="L4359" s="14">
        <v>0</v>
      </c>
      <c r="M4359" s="2" t="s">
        <v>71</v>
      </c>
      <c r="N4359" s="2" t="s">
        <v>17628</v>
      </c>
      <c r="O4359" s="2" t="s">
        <v>9579</v>
      </c>
      <c r="P4359" s="9">
        <v>0</v>
      </c>
      <c r="Q4359" s="9">
        <v>0</v>
      </c>
      <c r="R4359" s="2"/>
    </row>
    <row r="4360" spans="1:18" x14ac:dyDescent="0.25">
      <c r="A4360" s="2" t="s">
        <v>17829</v>
      </c>
      <c r="B4360" s="6">
        <v>46204</v>
      </c>
      <c r="C4360" s="8">
        <v>46204</v>
      </c>
      <c r="D4360" s="2" t="s">
        <v>7433</v>
      </c>
      <c r="E4360" s="2" t="s">
        <v>16959</v>
      </c>
      <c r="F4360" s="2" t="s">
        <v>15316</v>
      </c>
      <c r="G4360" s="2" t="s">
        <v>17830</v>
      </c>
      <c r="H4360" s="2" t="s">
        <v>70</v>
      </c>
      <c r="I4360" s="9">
        <v>23708.787993999998</v>
      </c>
      <c r="J4360" s="7">
        <v>0.65800000000000003</v>
      </c>
      <c r="K4360" s="9">
        <v>15600.38</v>
      </c>
      <c r="L4360" s="14">
        <v>0</v>
      </c>
      <c r="M4360" s="2" t="s">
        <v>71</v>
      </c>
      <c r="N4360" s="2" t="s">
        <v>17628</v>
      </c>
      <c r="O4360" s="2" t="s">
        <v>9584</v>
      </c>
      <c r="P4360" s="9">
        <v>0</v>
      </c>
      <c r="Q4360" s="9">
        <v>0</v>
      </c>
      <c r="R4360" s="2"/>
    </row>
    <row r="4361" spans="1:18" x14ac:dyDescent="0.25">
      <c r="A4361" s="2" t="s">
        <v>17831</v>
      </c>
      <c r="B4361" s="6">
        <v>46204</v>
      </c>
      <c r="C4361" s="8">
        <v>46205</v>
      </c>
      <c r="D4361" s="2" t="s">
        <v>7433</v>
      </c>
      <c r="E4361" s="2" t="s">
        <v>16959</v>
      </c>
      <c r="F4361" s="2" t="s">
        <v>15320</v>
      </c>
      <c r="G4361" s="2" t="s">
        <v>17832</v>
      </c>
      <c r="H4361" s="2" t="s">
        <v>39</v>
      </c>
      <c r="I4361" s="9">
        <v>15918.7255</v>
      </c>
      <c r="J4361" s="7">
        <v>1</v>
      </c>
      <c r="K4361" s="9">
        <v>15918.73</v>
      </c>
      <c r="L4361" s="14">
        <v>0</v>
      </c>
      <c r="M4361" s="2" t="s">
        <v>71</v>
      </c>
      <c r="N4361" s="2" t="s">
        <v>17628</v>
      </c>
      <c r="O4361" s="2" t="s">
        <v>9589</v>
      </c>
      <c r="P4361" s="9">
        <v>0</v>
      </c>
      <c r="Q4361" s="9">
        <v>0</v>
      </c>
      <c r="R4361" s="2"/>
    </row>
    <row r="4362" spans="1:18" x14ac:dyDescent="0.25">
      <c r="A4362" s="2" t="s">
        <v>17833</v>
      </c>
      <c r="B4362" s="6">
        <v>46204</v>
      </c>
      <c r="C4362" s="8">
        <v>46206</v>
      </c>
      <c r="D4362" s="2" t="s">
        <v>7433</v>
      </c>
      <c r="E4362" s="2" t="s">
        <v>16959</v>
      </c>
      <c r="F4362" s="2" t="s">
        <v>15324</v>
      </c>
      <c r="G4362" s="2" t="s">
        <v>17834</v>
      </c>
      <c r="H4362" s="2" t="s">
        <v>76</v>
      </c>
      <c r="I4362" s="9">
        <v>261888016.12903199</v>
      </c>
      <c r="J4362" s="7">
        <v>6.2000000000000003E-5</v>
      </c>
      <c r="K4362" s="9">
        <v>16237.06</v>
      </c>
      <c r="L4362" s="14">
        <v>0</v>
      </c>
      <c r="M4362" s="2" t="s">
        <v>71</v>
      </c>
      <c r="N4362" s="2" t="s">
        <v>17628</v>
      </c>
      <c r="O4362" s="2" t="s">
        <v>9594</v>
      </c>
      <c r="P4362" s="9">
        <v>0</v>
      </c>
      <c r="Q4362" s="9">
        <v>0</v>
      </c>
      <c r="R4362" s="2"/>
    </row>
    <row r="4363" spans="1:18" x14ac:dyDescent="0.25">
      <c r="A4363" s="2" t="s">
        <v>17835</v>
      </c>
      <c r="B4363" s="6">
        <v>46204</v>
      </c>
      <c r="C4363" s="8">
        <v>46207</v>
      </c>
      <c r="D4363" s="2" t="s">
        <v>7433</v>
      </c>
      <c r="E4363" s="2" t="s">
        <v>16959</v>
      </c>
      <c r="F4363" s="2" t="s">
        <v>15328</v>
      </c>
      <c r="G4363" s="2" t="s">
        <v>17836</v>
      </c>
      <c r="H4363" s="2" t="s">
        <v>70</v>
      </c>
      <c r="I4363" s="9">
        <v>25160.182370999999</v>
      </c>
      <c r="J4363" s="7">
        <v>0.65800000000000003</v>
      </c>
      <c r="K4363" s="9">
        <v>16555.400000000001</v>
      </c>
      <c r="L4363" s="14">
        <v>0</v>
      </c>
      <c r="M4363" s="2" t="s">
        <v>71</v>
      </c>
      <c r="N4363" s="2" t="s">
        <v>17628</v>
      </c>
      <c r="O4363" s="2" t="s">
        <v>9599</v>
      </c>
      <c r="P4363" s="9">
        <v>0</v>
      </c>
      <c r="Q4363" s="9">
        <v>0</v>
      </c>
      <c r="R4363" s="2"/>
    </row>
    <row r="4364" spans="1:18" x14ac:dyDescent="0.25">
      <c r="A4364" s="2" t="s">
        <v>17837</v>
      </c>
      <c r="B4364" s="6">
        <v>46204</v>
      </c>
      <c r="C4364" s="8">
        <v>46208</v>
      </c>
      <c r="D4364" s="2" t="s">
        <v>7433</v>
      </c>
      <c r="E4364" s="2" t="s">
        <v>16959</v>
      </c>
      <c r="F4364" s="2" t="s">
        <v>15332</v>
      </c>
      <c r="G4364" s="2" t="s">
        <v>17838</v>
      </c>
      <c r="H4364" s="2" t="s">
        <v>39</v>
      </c>
      <c r="I4364" s="9">
        <v>16873.742999999999</v>
      </c>
      <c r="J4364" s="7">
        <v>1</v>
      </c>
      <c r="K4364" s="9">
        <v>16873.740000000002</v>
      </c>
      <c r="L4364" s="14">
        <v>0</v>
      </c>
      <c r="M4364" s="2" t="s">
        <v>71</v>
      </c>
      <c r="N4364" s="2" t="s">
        <v>17628</v>
      </c>
      <c r="O4364" s="2" t="s">
        <v>9604</v>
      </c>
      <c r="P4364" s="9">
        <v>0</v>
      </c>
      <c r="Q4364" s="9">
        <v>0</v>
      </c>
      <c r="R4364" s="2"/>
    </row>
    <row r="4365" spans="1:18" x14ac:dyDescent="0.25">
      <c r="A4365" s="2" t="s">
        <v>17839</v>
      </c>
      <c r="B4365" s="6">
        <v>46204</v>
      </c>
      <c r="C4365" s="8">
        <v>46209</v>
      </c>
      <c r="D4365" s="2" t="s">
        <v>7433</v>
      </c>
      <c r="E4365" s="2" t="s">
        <v>16959</v>
      </c>
      <c r="F4365" s="2" t="s">
        <v>15336</v>
      </c>
      <c r="G4365" s="2" t="s">
        <v>17840</v>
      </c>
      <c r="H4365" s="2" t="s">
        <v>76</v>
      </c>
      <c r="I4365" s="9">
        <v>277291524.19354802</v>
      </c>
      <c r="J4365" s="7">
        <v>6.2000000000000003E-5</v>
      </c>
      <c r="K4365" s="9">
        <v>17192.07</v>
      </c>
      <c r="L4365" s="14">
        <v>0</v>
      </c>
      <c r="M4365" s="2" t="s">
        <v>71</v>
      </c>
      <c r="N4365" s="2" t="s">
        <v>17628</v>
      </c>
      <c r="O4365" s="2" t="s">
        <v>9609</v>
      </c>
      <c r="P4365" s="9">
        <v>0</v>
      </c>
      <c r="Q4365" s="9">
        <v>0</v>
      </c>
      <c r="R4365" s="2"/>
    </row>
    <row r="4366" spans="1:18" x14ac:dyDescent="0.25">
      <c r="A4366" s="2" t="s">
        <v>17841</v>
      </c>
      <c r="B4366" s="6">
        <v>46204</v>
      </c>
      <c r="C4366" s="8">
        <v>46210</v>
      </c>
      <c r="D4366" s="2" t="s">
        <v>7433</v>
      </c>
      <c r="E4366" s="2" t="s">
        <v>16959</v>
      </c>
      <c r="F4366" s="2" t="s">
        <v>15300</v>
      </c>
      <c r="G4366" s="2" t="s">
        <v>17842</v>
      </c>
      <c r="H4366" s="2" t="s">
        <v>70</v>
      </c>
      <c r="I4366" s="9">
        <v>26611.576747999999</v>
      </c>
      <c r="J4366" s="7">
        <v>0.65800000000000003</v>
      </c>
      <c r="K4366" s="9">
        <v>17510.419999999998</v>
      </c>
      <c r="L4366" s="14">
        <v>0</v>
      </c>
      <c r="M4366" s="2" t="s">
        <v>71</v>
      </c>
      <c r="N4366" s="2" t="s">
        <v>17628</v>
      </c>
      <c r="O4366" s="2" t="s">
        <v>9614</v>
      </c>
      <c r="P4366" s="9">
        <v>0</v>
      </c>
      <c r="Q4366" s="9">
        <v>0</v>
      </c>
      <c r="R4366" s="2"/>
    </row>
    <row r="4367" spans="1:18" x14ac:dyDescent="0.25">
      <c r="A4367" s="2" t="s">
        <v>17843</v>
      </c>
      <c r="B4367" s="6">
        <v>46204</v>
      </c>
      <c r="C4367" s="8">
        <v>46211</v>
      </c>
      <c r="D4367" s="2" t="s">
        <v>7433</v>
      </c>
      <c r="E4367" s="2" t="s">
        <v>16959</v>
      </c>
      <c r="F4367" s="2" t="s">
        <v>15304</v>
      </c>
      <c r="G4367" s="2" t="s">
        <v>17844</v>
      </c>
      <c r="H4367" s="2" t="s">
        <v>39</v>
      </c>
      <c r="I4367" s="9">
        <v>17828.749</v>
      </c>
      <c r="J4367" s="7">
        <v>1</v>
      </c>
      <c r="K4367" s="9">
        <v>17828.75</v>
      </c>
      <c r="L4367" s="14">
        <v>0</v>
      </c>
      <c r="M4367" s="2" t="s">
        <v>71</v>
      </c>
      <c r="N4367" s="2" t="s">
        <v>17628</v>
      </c>
      <c r="O4367" s="2" t="s">
        <v>9619</v>
      </c>
      <c r="P4367" s="9">
        <v>0</v>
      </c>
      <c r="Q4367" s="9">
        <v>0</v>
      </c>
      <c r="R4367" s="2"/>
    </row>
    <row r="4368" spans="1:18" x14ac:dyDescent="0.25">
      <c r="A4368" s="2" t="s">
        <v>17845</v>
      </c>
      <c r="B4368" s="6">
        <v>46204</v>
      </c>
      <c r="C4368" s="8">
        <v>46212</v>
      </c>
      <c r="D4368" s="2" t="s">
        <v>7433</v>
      </c>
      <c r="E4368" s="2" t="s">
        <v>16959</v>
      </c>
      <c r="F4368" s="2" t="s">
        <v>15308</v>
      </c>
      <c r="G4368" s="2" t="s">
        <v>17846</v>
      </c>
      <c r="H4368" s="2" t="s">
        <v>76</v>
      </c>
      <c r="I4368" s="9">
        <v>292695032.25806499</v>
      </c>
      <c r="J4368" s="7">
        <v>6.2000000000000003E-5</v>
      </c>
      <c r="K4368" s="9">
        <v>18147.09</v>
      </c>
      <c r="L4368" s="14">
        <v>0</v>
      </c>
      <c r="M4368" s="2" t="s">
        <v>71</v>
      </c>
      <c r="N4368" s="2" t="s">
        <v>17628</v>
      </c>
      <c r="O4368" s="2" t="s">
        <v>9624</v>
      </c>
      <c r="P4368" s="9">
        <v>0</v>
      </c>
      <c r="Q4368" s="9">
        <v>0</v>
      </c>
      <c r="R4368" s="2"/>
    </row>
    <row r="4369" spans="1:18" x14ac:dyDescent="0.25">
      <c r="A4369" s="2" t="s">
        <v>17847</v>
      </c>
      <c r="B4369" s="6">
        <v>46204</v>
      </c>
      <c r="C4369" s="8">
        <v>46213</v>
      </c>
      <c r="D4369" s="2" t="s">
        <v>7433</v>
      </c>
      <c r="E4369" s="2" t="s">
        <v>16959</v>
      </c>
      <c r="F4369" s="2" t="s">
        <v>15312</v>
      </c>
      <c r="G4369" s="2" t="s">
        <v>17848</v>
      </c>
      <c r="H4369" s="2" t="s">
        <v>70</v>
      </c>
      <c r="I4369" s="9">
        <v>28062.971125</v>
      </c>
      <c r="J4369" s="7">
        <v>0.65800000000000003</v>
      </c>
      <c r="K4369" s="9">
        <v>18465.43</v>
      </c>
      <c r="L4369" s="14">
        <v>0</v>
      </c>
      <c r="M4369" s="2" t="s">
        <v>71</v>
      </c>
      <c r="N4369" s="2" t="s">
        <v>17628</v>
      </c>
      <c r="O4369" s="2" t="s">
        <v>9629</v>
      </c>
      <c r="P4369" s="9">
        <v>0</v>
      </c>
      <c r="Q4369" s="9">
        <v>0</v>
      </c>
      <c r="R4369" s="2"/>
    </row>
    <row r="4370" spans="1:18" x14ac:dyDescent="0.25">
      <c r="A4370" s="2" t="s">
        <v>17849</v>
      </c>
      <c r="B4370" s="6">
        <v>46204</v>
      </c>
      <c r="C4370" s="8">
        <v>46214</v>
      </c>
      <c r="D4370" s="2" t="s">
        <v>7433</v>
      </c>
      <c r="E4370" s="2" t="s">
        <v>16959</v>
      </c>
      <c r="F4370" s="2" t="s">
        <v>15316</v>
      </c>
      <c r="G4370" s="2" t="s">
        <v>17850</v>
      </c>
      <c r="H4370" s="2" t="s">
        <v>39</v>
      </c>
      <c r="I4370" s="9">
        <v>18783.766500000002</v>
      </c>
      <c r="J4370" s="7">
        <v>1</v>
      </c>
      <c r="K4370" s="9">
        <v>18783.77</v>
      </c>
      <c r="L4370" s="14">
        <v>0</v>
      </c>
      <c r="M4370" s="2" t="s">
        <v>71</v>
      </c>
      <c r="N4370" s="2" t="s">
        <v>17628</v>
      </c>
      <c r="O4370" s="2" t="s">
        <v>9634</v>
      </c>
      <c r="P4370" s="9">
        <v>0</v>
      </c>
      <c r="Q4370" s="9">
        <v>0</v>
      </c>
      <c r="R4370" s="2"/>
    </row>
    <row r="4371" spans="1:18" x14ac:dyDescent="0.25">
      <c r="A4371" s="2" t="s">
        <v>17851</v>
      </c>
      <c r="B4371" s="6">
        <v>46204</v>
      </c>
      <c r="C4371" s="8">
        <v>46215</v>
      </c>
      <c r="D4371" s="2" t="s">
        <v>7433</v>
      </c>
      <c r="E4371" s="2" t="s">
        <v>16959</v>
      </c>
      <c r="F4371" s="2" t="s">
        <v>15320</v>
      </c>
      <c r="G4371" s="2" t="s">
        <v>17852</v>
      </c>
      <c r="H4371" s="2" t="s">
        <v>76</v>
      </c>
      <c r="I4371" s="9">
        <v>308098540.32257998</v>
      </c>
      <c r="J4371" s="7">
        <v>6.2000000000000003E-5</v>
      </c>
      <c r="K4371" s="9">
        <v>19102.11</v>
      </c>
      <c r="L4371" s="14">
        <v>0</v>
      </c>
      <c r="M4371" s="2" t="s">
        <v>71</v>
      </c>
      <c r="N4371" s="2" t="s">
        <v>17628</v>
      </c>
      <c r="O4371" s="2" t="s">
        <v>9639</v>
      </c>
      <c r="P4371" s="9">
        <v>0</v>
      </c>
      <c r="Q4371" s="9">
        <v>0</v>
      </c>
      <c r="R4371" s="2"/>
    </row>
    <row r="4372" spans="1:18" x14ac:dyDescent="0.25">
      <c r="A4372" s="2" t="s">
        <v>17853</v>
      </c>
      <c r="B4372" s="6">
        <v>46204</v>
      </c>
      <c r="C4372" s="8">
        <v>46216</v>
      </c>
      <c r="D4372" s="2" t="s">
        <v>7433</v>
      </c>
      <c r="E4372" s="2" t="s">
        <v>16959</v>
      </c>
      <c r="F4372" s="2" t="s">
        <v>15324</v>
      </c>
      <c r="G4372" s="2" t="s">
        <v>17854</v>
      </c>
      <c r="H4372" s="2" t="s">
        <v>70</v>
      </c>
      <c r="I4372" s="9">
        <v>29514.365501</v>
      </c>
      <c r="J4372" s="7">
        <v>0.65800000000000003</v>
      </c>
      <c r="K4372" s="9">
        <v>19420.45</v>
      </c>
      <c r="L4372" s="14">
        <v>0</v>
      </c>
      <c r="M4372" s="2" t="s">
        <v>71</v>
      </c>
      <c r="N4372" s="2" t="s">
        <v>17628</v>
      </c>
      <c r="O4372" s="2" t="s">
        <v>9644</v>
      </c>
      <c r="P4372" s="9">
        <v>0</v>
      </c>
      <c r="Q4372" s="9">
        <v>0</v>
      </c>
      <c r="R4372" s="2"/>
    </row>
    <row r="4373" spans="1:18" x14ac:dyDescent="0.25">
      <c r="A4373" s="2" t="s">
        <v>17855</v>
      </c>
      <c r="B4373" s="6">
        <v>46204</v>
      </c>
      <c r="C4373" s="8">
        <v>46217</v>
      </c>
      <c r="D4373" s="2" t="s">
        <v>7433</v>
      </c>
      <c r="E4373" s="2" t="s">
        <v>16959</v>
      </c>
      <c r="F4373" s="2" t="s">
        <v>15328</v>
      </c>
      <c r="G4373" s="2" t="s">
        <v>17856</v>
      </c>
      <c r="H4373" s="2" t="s">
        <v>39</v>
      </c>
      <c r="I4373" s="9">
        <v>19738.784</v>
      </c>
      <c r="J4373" s="7">
        <v>1</v>
      </c>
      <c r="K4373" s="9">
        <v>19738.78</v>
      </c>
      <c r="L4373" s="14">
        <v>0</v>
      </c>
      <c r="M4373" s="2" t="s">
        <v>71</v>
      </c>
      <c r="N4373" s="2" t="s">
        <v>17628</v>
      </c>
      <c r="O4373" s="2" t="s">
        <v>9649</v>
      </c>
      <c r="P4373" s="9">
        <v>0</v>
      </c>
      <c r="Q4373" s="9">
        <v>0</v>
      </c>
      <c r="R4373" s="2"/>
    </row>
    <row r="4374" spans="1:18" x14ac:dyDescent="0.25">
      <c r="A4374" s="2" t="s">
        <v>17857</v>
      </c>
      <c r="B4374" s="6">
        <v>46204</v>
      </c>
      <c r="C4374" s="8">
        <v>46218</v>
      </c>
      <c r="D4374" s="2" t="s">
        <v>7433</v>
      </c>
      <c r="E4374" s="2" t="s">
        <v>16959</v>
      </c>
      <c r="F4374" s="2" t="s">
        <v>15332</v>
      </c>
      <c r="G4374" s="2" t="s">
        <v>17858</v>
      </c>
      <c r="H4374" s="2" t="s">
        <v>76</v>
      </c>
      <c r="I4374" s="9">
        <v>323502048.387097</v>
      </c>
      <c r="J4374" s="7">
        <v>6.2000000000000003E-5</v>
      </c>
      <c r="K4374" s="9">
        <v>20057.13</v>
      </c>
      <c r="L4374" s="14">
        <v>0</v>
      </c>
      <c r="M4374" s="2" t="s">
        <v>71</v>
      </c>
      <c r="N4374" s="2" t="s">
        <v>17628</v>
      </c>
      <c r="O4374" s="2" t="s">
        <v>9654</v>
      </c>
      <c r="P4374" s="9">
        <v>0</v>
      </c>
      <c r="Q4374" s="9">
        <v>0</v>
      </c>
      <c r="R4374" s="2"/>
    </row>
    <row r="4375" spans="1:18" x14ac:dyDescent="0.25">
      <c r="A4375" s="2" t="s">
        <v>17859</v>
      </c>
      <c r="B4375" s="6">
        <v>46204</v>
      </c>
      <c r="C4375" s="8">
        <v>46219</v>
      </c>
      <c r="D4375" s="2" t="s">
        <v>7433</v>
      </c>
      <c r="E4375" s="2" t="s">
        <v>16959</v>
      </c>
      <c r="F4375" s="2" t="s">
        <v>15336</v>
      </c>
      <c r="G4375" s="2" t="s">
        <v>17860</v>
      </c>
      <c r="H4375" s="2" t="s">
        <v>70</v>
      </c>
      <c r="I4375" s="9">
        <v>30965.742401</v>
      </c>
      <c r="J4375" s="7">
        <v>0.65800000000000003</v>
      </c>
      <c r="K4375" s="9">
        <v>20375.46</v>
      </c>
      <c r="L4375" s="14">
        <v>0</v>
      </c>
      <c r="M4375" s="2" t="s">
        <v>71</v>
      </c>
      <c r="N4375" s="2" t="s">
        <v>17628</v>
      </c>
      <c r="O4375" s="2" t="s">
        <v>9659</v>
      </c>
      <c r="P4375" s="9">
        <v>0</v>
      </c>
      <c r="Q4375" s="9">
        <v>0</v>
      </c>
      <c r="R4375" s="2"/>
    </row>
    <row r="4376" spans="1:18" x14ac:dyDescent="0.25">
      <c r="A4376" s="2" t="s">
        <v>17861</v>
      </c>
      <c r="B4376" s="6">
        <v>46204</v>
      </c>
      <c r="C4376" s="8">
        <v>46220</v>
      </c>
      <c r="D4376" s="2" t="s">
        <v>7433</v>
      </c>
      <c r="E4376" s="2" t="s">
        <v>16959</v>
      </c>
      <c r="F4376" s="2" t="s">
        <v>15300</v>
      </c>
      <c r="G4376" s="2" t="s">
        <v>17862</v>
      </c>
      <c r="H4376" s="2" t="s">
        <v>39</v>
      </c>
      <c r="I4376" s="9">
        <v>-20693.801500000001</v>
      </c>
      <c r="J4376" s="7">
        <v>1</v>
      </c>
      <c r="K4376" s="9">
        <v>-20693.8</v>
      </c>
      <c r="L4376" s="14">
        <v>0</v>
      </c>
      <c r="M4376" s="2" t="s">
        <v>71</v>
      </c>
      <c r="N4376" s="2" t="s">
        <v>17628</v>
      </c>
      <c r="O4376" s="2" t="s">
        <v>9664</v>
      </c>
      <c r="P4376" s="9">
        <v>0</v>
      </c>
      <c r="Q4376" s="9">
        <v>0</v>
      </c>
      <c r="R4376" s="2"/>
    </row>
    <row r="4377" spans="1:18" x14ac:dyDescent="0.25">
      <c r="A4377" s="2" t="s">
        <v>17863</v>
      </c>
      <c r="B4377" s="6">
        <v>46204</v>
      </c>
      <c r="C4377" s="8">
        <v>46221</v>
      </c>
      <c r="D4377" s="2" t="s">
        <v>7433</v>
      </c>
      <c r="E4377" s="2" t="s">
        <v>16959</v>
      </c>
      <c r="F4377" s="2" t="s">
        <v>15304</v>
      </c>
      <c r="G4377" s="2" t="s">
        <v>17864</v>
      </c>
      <c r="H4377" s="2" t="s">
        <v>76</v>
      </c>
      <c r="I4377" s="9">
        <v>338905370.96774203</v>
      </c>
      <c r="J4377" s="7">
        <v>6.2000000000000003E-5</v>
      </c>
      <c r="K4377" s="9">
        <v>21012.13</v>
      </c>
      <c r="L4377" s="14">
        <v>0</v>
      </c>
      <c r="M4377" s="2" t="s">
        <v>71</v>
      </c>
      <c r="N4377" s="2" t="s">
        <v>17628</v>
      </c>
      <c r="O4377" s="2" t="s">
        <v>9667</v>
      </c>
      <c r="P4377" s="9">
        <v>0</v>
      </c>
      <c r="Q4377" s="9">
        <v>0</v>
      </c>
      <c r="R4377" s="2"/>
    </row>
    <row r="4378" spans="1:18" x14ac:dyDescent="0.25">
      <c r="A4378" s="2" t="s">
        <v>17865</v>
      </c>
      <c r="B4378" s="6">
        <v>46204</v>
      </c>
      <c r="C4378" s="8">
        <v>46222</v>
      </c>
      <c r="D4378" s="2" t="s">
        <v>7433</v>
      </c>
      <c r="E4378" s="2" t="s">
        <v>16959</v>
      </c>
      <c r="F4378" s="2" t="s">
        <v>15308</v>
      </c>
      <c r="G4378" s="2" t="s">
        <v>17866</v>
      </c>
      <c r="H4378" s="2" t="s">
        <v>70</v>
      </c>
      <c r="I4378" s="9">
        <v>32417.136779</v>
      </c>
      <c r="J4378" s="7">
        <v>0.65800000000000003</v>
      </c>
      <c r="K4378" s="9">
        <v>21330.48</v>
      </c>
      <c r="L4378" s="14">
        <v>0</v>
      </c>
      <c r="M4378" s="2" t="s">
        <v>71</v>
      </c>
      <c r="N4378" s="2" t="s">
        <v>17628</v>
      </c>
      <c r="O4378" s="2" t="s">
        <v>9672</v>
      </c>
      <c r="P4378" s="9">
        <v>0</v>
      </c>
      <c r="Q4378" s="9">
        <v>0</v>
      </c>
      <c r="R4378" s="2"/>
    </row>
    <row r="4379" spans="1:18" x14ac:dyDescent="0.25">
      <c r="A4379" s="2" t="s">
        <v>17867</v>
      </c>
      <c r="B4379" s="6">
        <v>46204</v>
      </c>
      <c r="C4379" s="8">
        <v>46223</v>
      </c>
      <c r="D4379" s="2" t="s">
        <v>7433</v>
      </c>
      <c r="E4379" s="2" t="s">
        <v>16959</v>
      </c>
      <c r="F4379" s="2" t="s">
        <v>15312</v>
      </c>
      <c r="G4379" s="2" t="s">
        <v>17868</v>
      </c>
      <c r="H4379" s="2" t="s">
        <v>39</v>
      </c>
      <c r="I4379" s="9">
        <v>21648.819</v>
      </c>
      <c r="J4379" s="7">
        <v>1</v>
      </c>
      <c r="K4379" s="9">
        <v>21648.82</v>
      </c>
      <c r="L4379" s="14">
        <v>0</v>
      </c>
      <c r="M4379" s="2" t="s">
        <v>71</v>
      </c>
      <c r="N4379" s="2" t="s">
        <v>17628</v>
      </c>
      <c r="O4379" s="2" t="s">
        <v>9677</v>
      </c>
      <c r="P4379" s="9">
        <v>0</v>
      </c>
      <c r="Q4379" s="9">
        <v>0</v>
      </c>
      <c r="R4379" s="2"/>
    </row>
    <row r="4380" spans="1:18" x14ac:dyDescent="0.25">
      <c r="A4380" s="2" t="s">
        <v>17869</v>
      </c>
      <c r="B4380" s="6">
        <v>46204</v>
      </c>
      <c r="C4380" s="8">
        <v>46224</v>
      </c>
      <c r="D4380" s="2" t="s">
        <v>7433</v>
      </c>
      <c r="E4380" s="2" t="s">
        <v>16959</v>
      </c>
      <c r="F4380" s="2" t="s">
        <v>15316</v>
      </c>
      <c r="G4380" s="2" t="s">
        <v>17870</v>
      </c>
      <c r="H4380" s="2" t="s">
        <v>76</v>
      </c>
      <c r="I4380" s="9">
        <v>354308879.03225797</v>
      </c>
      <c r="J4380" s="7">
        <v>6.2000000000000003E-5</v>
      </c>
      <c r="K4380" s="9">
        <v>21967.15</v>
      </c>
      <c r="L4380" s="14">
        <v>0</v>
      </c>
      <c r="M4380" s="2" t="s">
        <v>71</v>
      </c>
      <c r="N4380" s="2" t="s">
        <v>17628</v>
      </c>
      <c r="O4380" s="2" t="s">
        <v>9682</v>
      </c>
      <c r="P4380" s="9">
        <v>0</v>
      </c>
      <c r="Q4380" s="9">
        <v>0</v>
      </c>
      <c r="R4380" s="2"/>
    </row>
    <row r="4381" spans="1:18" x14ac:dyDescent="0.25">
      <c r="A4381" s="2" t="s">
        <v>17871</v>
      </c>
      <c r="B4381" s="6">
        <v>46204</v>
      </c>
      <c r="C4381" s="8">
        <v>46225</v>
      </c>
      <c r="D4381" s="2" t="s">
        <v>7433</v>
      </c>
      <c r="E4381" s="2" t="s">
        <v>16959</v>
      </c>
      <c r="F4381" s="2" t="s">
        <v>15320</v>
      </c>
      <c r="G4381" s="2" t="s">
        <v>17872</v>
      </c>
      <c r="H4381" s="2" t="s">
        <v>70</v>
      </c>
      <c r="I4381" s="9">
        <v>33868.531155999997</v>
      </c>
      <c r="J4381" s="7">
        <v>0.65800000000000003</v>
      </c>
      <c r="K4381" s="9">
        <v>22285.49</v>
      </c>
      <c r="L4381" s="14">
        <v>0</v>
      </c>
      <c r="M4381" s="2" t="s">
        <v>71</v>
      </c>
      <c r="N4381" s="2" t="s">
        <v>17628</v>
      </c>
      <c r="O4381" s="2" t="s">
        <v>9687</v>
      </c>
      <c r="P4381" s="9">
        <v>0</v>
      </c>
      <c r="Q4381" s="9">
        <v>0</v>
      </c>
      <c r="R4381" s="2"/>
    </row>
    <row r="4382" spans="1:18" x14ac:dyDescent="0.25">
      <c r="A4382" s="2" t="s">
        <v>17873</v>
      </c>
      <c r="B4382" s="6">
        <v>46204</v>
      </c>
      <c r="C4382" s="8">
        <v>46226</v>
      </c>
      <c r="D4382" s="2" t="s">
        <v>7433</v>
      </c>
      <c r="E4382" s="2" t="s">
        <v>16959</v>
      </c>
      <c r="F4382" s="2" t="s">
        <v>15324</v>
      </c>
      <c r="G4382" s="2" t="s">
        <v>17874</v>
      </c>
      <c r="H4382" s="2" t="s">
        <v>39</v>
      </c>
      <c r="I4382" s="9">
        <v>22603.825000000001</v>
      </c>
      <c r="J4382" s="7">
        <v>1</v>
      </c>
      <c r="K4382" s="9">
        <v>22603.82</v>
      </c>
      <c r="L4382" s="14">
        <v>0</v>
      </c>
      <c r="M4382" s="2" t="s">
        <v>71</v>
      </c>
      <c r="N4382" s="2" t="s">
        <v>17628</v>
      </c>
      <c r="O4382" s="2" t="s">
        <v>9692</v>
      </c>
      <c r="P4382" s="9">
        <v>0</v>
      </c>
      <c r="Q4382" s="9">
        <v>0</v>
      </c>
      <c r="R4382" s="2"/>
    </row>
    <row r="4383" spans="1:18" x14ac:dyDescent="0.25">
      <c r="A4383" s="2" t="s">
        <v>17875</v>
      </c>
      <c r="B4383" s="6">
        <v>46204</v>
      </c>
      <c r="C4383" s="8">
        <v>46227</v>
      </c>
      <c r="D4383" s="2" t="s">
        <v>7433</v>
      </c>
      <c r="E4383" s="2" t="s">
        <v>16959</v>
      </c>
      <c r="F4383" s="2" t="s">
        <v>15328</v>
      </c>
      <c r="G4383" s="2" t="s">
        <v>17876</v>
      </c>
      <c r="H4383" s="2" t="s">
        <v>76</v>
      </c>
      <c r="I4383" s="9">
        <v>369712387.096775</v>
      </c>
      <c r="J4383" s="7">
        <v>6.2000000000000003E-5</v>
      </c>
      <c r="K4383" s="9">
        <v>22922.17</v>
      </c>
      <c r="L4383" s="14">
        <v>0</v>
      </c>
      <c r="M4383" s="2" t="s">
        <v>71</v>
      </c>
      <c r="N4383" s="2" t="s">
        <v>17628</v>
      </c>
      <c r="O4383" s="2" t="s">
        <v>9697</v>
      </c>
      <c r="P4383" s="9">
        <v>0</v>
      </c>
      <c r="Q4383" s="9">
        <v>0</v>
      </c>
      <c r="R4383" s="2"/>
    </row>
    <row r="4384" spans="1:18" x14ac:dyDescent="0.25">
      <c r="A4384" s="2" t="s">
        <v>17877</v>
      </c>
      <c r="B4384" s="6">
        <v>46204</v>
      </c>
      <c r="C4384" s="8">
        <v>46228</v>
      </c>
      <c r="D4384" s="2" t="s">
        <v>7433</v>
      </c>
      <c r="E4384" s="2" t="s">
        <v>16959</v>
      </c>
      <c r="F4384" s="2" t="s">
        <v>15332</v>
      </c>
      <c r="G4384" s="2" t="s">
        <v>17878</v>
      </c>
      <c r="H4384" s="2" t="s">
        <v>70</v>
      </c>
      <c r="I4384" s="9">
        <v>35319.908055</v>
      </c>
      <c r="J4384" s="7">
        <v>0.65800000000000003</v>
      </c>
      <c r="K4384" s="9">
        <v>23240.5</v>
      </c>
      <c r="L4384" s="14">
        <v>0</v>
      </c>
      <c r="M4384" s="2" t="s">
        <v>71</v>
      </c>
      <c r="N4384" s="2" t="s">
        <v>17628</v>
      </c>
      <c r="O4384" s="2" t="s">
        <v>9702</v>
      </c>
      <c r="P4384" s="9">
        <v>0</v>
      </c>
      <c r="Q4384" s="9">
        <v>0</v>
      </c>
      <c r="R4384" s="2"/>
    </row>
    <row r="4385" spans="1:18" x14ac:dyDescent="0.25">
      <c r="A4385" s="2" t="s">
        <v>17879</v>
      </c>
      <c r="B4385" s="6">
        <v>46204</v>
      </c>
      <c r="C4385" s="8">
        <v>46229</v>
      </c>
      <c r="D4385" s="2" t="s">
        <v>7433</v>
      </c>
      <c r="E4385" s="2" t="s">
        <v>16959</v>
      </c>
      <c r="F4385" s="2" t="s">
        <v>15336</v>
      </c>
      <c r="G4385" s="2" t="s">
        <v>17880</v>
      </c>
      <c r="H4385" s="2" t="s">
        <v>39</v>
      </c>
      <c r="I4385" s="9">
        <v>23558.842499999999</v>
      </c>
      <c r="J4385" s="7">
        <v>1</v>
      </c>
      <c r="K4385" s="9">
        <v>23558.84</v>
      </c>
      <c r="L4385" s="14">
        <v>0</v>
      </c>
      <c r="M4385" s="2" t="s">
        <v>71</v>
      </c>
      <c r="N4385" s="2" t="s">
        <v>17628</v>
      </c>
      <c r="O4385" s="2" t="s">
        <v>9707</v>
      </c>
      <c r="P4385" s="9">
        <v>0</v>
      </c>
      <c r="Q4385" s="9">
        <v>0</v>
      </c>
      <c r="R4385" s="2"/>
    </row>
    <row r="4386" spans="1:18" x14ac:dyDescent="0.25">
      <c r="A4386" s="2" t="s">
        <v>17881</v>
      </c>
      <c r="B4386" s="6">
        <v>46204</v>
      </c>
      <c r="C4386" s="8">
        <v>46230</v>
      </c>
      <c r="D4386" s="2" t="s">
        <v>7433</v>
      </c>
      <c r="E4386" s="2" t="s">
        <v>16959</v>
      </c>
      <c r="F4386" s="2" t="s">
        <v>15300</v>
      </c>
      <c r="G4386" s="2" t="s">
        <v>17882</v>
      </c>
      <c r="H4386" s="2" t="s">
        <v>76</v>
      </c>
      <c r="I4386" s="9">
        <v>385115895.16128999</v>
      </c>
      <c r="J4386" s="7">
        <v>6.2000000000000003E-5</v>
      </c>
      <c r="K4386" s="9">
        <v>23877.19</v>
      </c>
      <c r="L4386" s="14">
        <v>0</v>
      </c>
      <c r="M4386" s="2" t="s">
        <v>71</v>
      </c>
      <c r="N4386" s="2" t="s">
        <v>17628</v>
      </c>
      <c r="O4386" s="2" t="s">
        <v>9712</v>
      </c>
      <c r="P4386" s="9">
        <v>0</v>
      </c>
      <c r="Q4386" s="9">
        <v>0</v>
      </c>
      <c r="R4386" s="2"/>
    </row>
    <row r="4387" spans="1:18" x14ac:dyDescent="0.25">
      <c r="A4387" s="2" t="s">
        <v>17883</v>
      </c>
      <c r="B4387" s="6">
        <v>46204</v>
      </c>
      <c r="C4387" s="8">
        <v>46231</v>
      </c>
      <c r="D4387" s="2" t="s">
        <v>7433</v>
      </c>
      <c r="E4387" s="2" t="s">
        <v>16959</v>
      </c>
      <c r="F4387" s="2" t="s">
        <v>15304</v>
      </c>
      <c r="G4387" s="2" t="s">
        <v>17884</v>
      </c>
      <c r="H4387" s="2" t="s">
        <v>70</v>
      </c>
      <c r="I4387" s="9">
        <v>36771.302431999997</v>
      </c>
      <c r="J4387" s="7">
        <v>0.65800000000000003</v>
      </c>
      <c r="K4387" s="9">
        <v>24195.52</v>
      </c>
      <c r="L4387" s="14">
        <v>0</v>
      </c>
      <c r="M4387" s="2" t="s">
        <v>71</v>
      </c>
      <c r="N4387" s="2" t="s">
        <v>17628</v>
      </c>
      <c r="O4387" s="2" t="s">
        <v>9717</v>
      </c>
      <c r="P4387" s="9">
        <v>0</v>
      </c>
      <c r="Q4387" s="9">
        <v>0</v>
      </c>
      <c r="R4387" s="2"/>
    </row>
    <row r="4388" spans="1:18" x14ac:dyDescent="0.25">
      <c r="A4388" s="2" t="s">
        <v>17885</v>
      </c>
      <c r="B4388" s="6">
        <v>46204</v>
      </c>
      <c r="C4388" s="8">
        <v>46232</v>
      </c>
      <c r="D4388" s="2" t="s">
        <v>7433</v>
      </c>
      <c r="E4388" s="2" t="s">
        <v>16959</v>
      </c>
      <c r="F4388" s="2" t="s">
        <v>15308</v>
      </c>
      <c r="G4388" s="2" t="s">
        <v>17886</v>
      </c>
      <c r="H4388" s="2" t="s">
        <v>39</v>
      </c>
      <c r="I4388" s="9">
        <v>24513.86</v>
      </c>
      <c r="J4388" s="7">
        <v>1</v>
      </c>
      <c r="K4388" s="9">
        <v>24513.86</v>
      </c>
      <c r="L4388" s="14">
        <v>0</v>
      </c>
      <c r="M4388" s="2" t="s">
        <v>71</v>
      </c>
      <c r="N4388" s="2" t="s">
        <v>17628</v>
      </c>
      <c r="O4388" s="2" t="s">
        <v>9722</v>
      </c>
      <c r="P4388" s="9">
        <v>0</v>
      </c>
      <c r="Q4388" s="9">
        <v>0</v>
      </c>
      <c r="R4388" s="2"/>
    </row>
    <row r="4389" spans="1:18" x14ac:dyDescent="0.25">
      <c r="A4389" s="2" t="s">
        <v>17887</v>
      </c>
      <c r="B4389" s="6">
        <v>46204</v>
      </c>
      <c r="C4389" s="8">
        <v>46233</v>
      </c>
      <c r="D4389" s="2" t="s">
        <v>7433</v>
      </c>
      <c r="E4389" s="2" t="s">
        <v>16959</v>
      </c>
      <c r="F4389" s="2" t="s">
        <v>15312</v>
      </c>
      <c r="G4389" s="2" t="s">
        <v>17888</v>
      </c>
      <c r="H4389" s="2" t="s">
        <v>76</v>
      </c>
      <c r="I4389" s="9">
        <v>400519403.22580701</v>
      </c>
      <c r="J4389" s="7">
        <v>6.2000000000000003E-5</v>
      </c>
      <c r="K4389" s="9">
        <v>24832.2</v>
      </c>
      <c r="L4389" s="14">
        <v>0</v>
      </c>
      <c r="M4389" s="2" t="s">
        <v>71</v>
      </c>
      <c r="N4389" s="2" t="s">
        <v>17628</v>
      </c>
      <c r="O4389" s="2" t="s">
        <v>9727</v>
      </c>
      <c r="P4389" s="9">
        <v>0</v>
      </c>
      <c r="Q4389" s="9">
        <v>0</v>
      </c>
      <c r="R4389" s="2"/>
    </row>
    <row r="4390" spans="1:18" x14ac:dyDescent="0.25">
      <c r="A4390" s="2" t="s">
        <v>17889</v>
      </c>
      <c r="B4390" s="6">
        <v>46204</v>
      </c>
      <c r="C4390" s="8">
        <v>46234</v>
      </c>
      <c r="D4390" s="2" t="s">
        <v>7433</v>
      </c>
      <c r="E4390" s="2" t="s">
        <v>16959</v>
      </c>
      <c r="F4390" s="2" t="s">
        <v>15316</v>
      </c>
      <c r="G4390" s="2" t="s">
        <v>17890</v>
      </c>
      <c r="H4390" s="2" t="s">
        <v>70</v>
      </c>
      <c r="I4390" s="9">
        <v>38222.696809000001</v>
      </c>
      <c r="J4390" s="7">
        <v>0.65800000000000003</v>
      </c>
      <c r="K4390" s="9">
        <v>25150.53</v>
      </c>
      <c r="L4390" s="14">
        <v>0</v>
      </c>
      <c r="M4390" s="2" t="s">
        <v>71</v>
      </c>
      <c r="N4390" s="2" t="s">
        <v>17628</v>
      </c>
      <c r="O4390" s="2" t="s">
        <v>9732</v>
      </c>
      <c r="P4390" s="9">
        <v>0</v>
      </c>
      <c r="Q4390" s="9">
        <v>0</v>
      </c>
      <c r="R4390" s="2"/>
    </row>
    <row r="4391" spans="1:18" x14ac:dyDescent="0.25">
      <c r="A4391" s="2" t="s">
        <v>17891</v>
      </c>
      <c r="B4391" s="6">
        <v>46204</v>
      </c>
      <c r="C4391" s="8">
        <v>46204</v>
      </c>
      <c r="D4391" s="2" t="s">
        <v>7433</v>
      </c>
      <c r="E4391" s="2" t="s">
        <v>16959</v>
      </c>
      <c r="F4391" s="2" t="s">
        <v>15320</v>
      </c>
      <c r="G4391" s="2" t="s">
        <v>17892</v>
      </c>
      <c r="H4391" s="2" t="s">
        <v>39</v>
      </c>
      <c r="I4391" s="9">
        <v>25468.877499999999</v>
      </c>
      <c r="J4391" s="7">
        <v>1</v>
      </c>
      <c r="K4391" s="9">
        <v>25468.880000000001</v>
      </c>
      <c r="L4391" s="14">
        <v>0</v>
      </c>
      <c r="M4391" s="2" t="s">
        <v>71</v>
      </c>
      <c r="N4391" s="2" t="s">
        <v>17628</v>
      </c>
      <c r="O4391" s="2" t="s">
        <v>9737</v>
      </c>
      <c r="P4391" s="9">
        <v>0</v>
      </c>
      <c r="Q4391" s="9">
        <v>0</v>
      </c>
      <c r="R4391" s="2"/>
    </row>
    <row r="4392" spans="1:18" x14ac:dyDescent="0.25">
      <c r="A4392" s="2" t="s">
        <v>17893</v>
      </c>
      <c r="B4392" s="6">
        <v>46204</v>
      </c>
      <c r="C4392" s="8">
        <v>46205</v>
      </c>
      <c r="D4392" s="2" t="s">
        <v>7433</v>
      </c>
      <c r="E4392" s="2" t="s">
        <v>16959</v>
      </c>
      <c r="F4392" s="2" t="s">
        <v>15324</v>
      </c>
      <c r="G4392" s="2" t="s">
        <v>17894</v>
      </c>
      <c r="H4392" s="2" t="s">
        <v>76</v>
      </c>
      <c r="I4392" s="9">
        <v>415922725.80645198</v>
      </c>
      <c r="J4392" s="7">
        <v>6.2000000000000003E-5</v>
      </c>
      <c r="K4392" s="9">
        <v>25787.21</v>
      </c>
      <c r="L4392" s="14">
        <v>0</v>
      </c>
      <c r="M4392" s="2" t="s">
        <v>71</v>
      </c>
      <c r="N4392" s="2" t="s">
        <v>17628</v>
      </c>
      <c r="O4392" s="2" t="s">
        <v>9742</v>
      </c>
      <c r="P4392" s="9">
        <v>0</v>
      </c>
      <c r="Q4392" s="9">
        <v>0</v>
      </c>
      <c r="R4392" s="2"/>
    </row>
    <row r="4393" spans="1:18" x14ac:dyDescent="0.25">
      <c r="A4393" s="2" t="s">
        <v>17895</v>
      </c>
      <c r="B4393" s="6">
        <v>46204</v>
      </c>
      <c r="C4393" s="8">
        <v>46206</v>
      </c>
      <c r="D4393" s="2" t="s">
        <v>7433</v>
      </c>
      <c r="E4393" s="2" t="s">
        <v>16959</v>
      </c>
      <c r="F4393" s="2" t="s">
        <v>15328</v>
      </c>
      <c r="G4393" s="2" t="s">
        <v>17896</v>
      </c>
      <c r="H4393" s="2" t="s">
        <v>70</v>
      </c>
      <c r="I4393" s="9">
        <v>39674.091184999997</v>
      </c>
      <c r="J4393" s="7">
        <v>0.65800000000000003</v>
      </c>
      <c r="K4393" s="9">
        <v>26105.55</v>
      </c>
      <c r="L4393" s="14">
        <v>0</v>
      </c>
      <c r="M4393" s="2" t="s">
        <v>71</v>
      </c>
      <c r="N4393" s="2" t="s">
        <v>17628</v>
      </c>
      <c r="O4393" s="2" t="s">
        <v>9747</v>
      </c>
      <c r="P4393" s="9">
        <v>0</v>
      </c>
      <c r="Q4393" s="9">
        <v>0</v>
      </c>
      <c r="R4393" s="2"/>
    </row>
    <row r="4394" spans="1:18" x14ac:dyDescent="0.25">
      <c r="A4394" s="2" t="s">
        <v>17897</v>
      </c>
      <c r="B4394" s="6">
        <v>46204</v>
      </c>
      <c r="C4394" s="8">
        <v>46207</v>
      </c>
      <c r="D4394" s="2" t="s">
        <v>7433</v>
      </c>
      <c r="E4394" s="2" t="s">
        <v>16959</v>
      </c>
      <c r="F4394" s="2" t="s">
        <v>15332</v>
      </c>
      <c r="G4394" s="2" t="s">
        <v>17898</v>
      </c>
      <c r="H4394" s="2" t="s">
        <v>39</v>
      </c>
      <c r="I4394" s="9">
        <v>26423.895</v>
      </c>
      <c r="J4394" s="7">
        <v>1</v>
      </c>
      <c r="K4394" s="9">
        <v>26423.89</v>
      </c>
      <c r="L4394" s="14">
        <v>0</v>
      </c>
      <c r="M4394" s="2" t="s">
        <v>71</v>
      </c>
      <c r="N4394" s="2" t="s">
        <v>17628</v>
      </c>
      <c r="O4394" s="2" t="s">
        <v>9752</v>
      </c>
      <c r="P4394" s="9">
        <v>0</v>
      </c>
      <c r="Q4394" s="9">
        <v>0</v>
      </c>
      <c r="R4394" s="2"/>
    </row>
    <row r="4395" spans="1:18" x14ac:dyDescent="0.25">
      <c r="A4395" s="2" t="s">
        <v>17899</v>
      </c>
      <c r="B4395" s="6">
        <v>46204</v>
      </c>
      <c r="C4395" s="8">
        <v>46208</v>
      </c>
      <c r="D4395" s="2" t="s">
        <v>7433</v>
      </c>
      <c r="E4395" s="2" t="s">
        <v>16959</v>
      </c>
      <c r="F4395" s="2" t="s">
        <v>15336</v>
      </c>
      <c r="G4395" s="2" t="s">
        <v>17900</v>
      </c>
      <c r="H4395" s="2" t="s">
        <v>76</v>
      </c>
      <c r="I4395" s="9">
        <v>431326233.87096798</v>
      </c>
      <c r="J4395" s="7">
        <v>6.2000000000000003E-5</v>
      </c>
      <c r="K4395" s="9">
        <v>26742.23</v>
      </c>
      <c r="L4395" s="14">
        <v>0</v>
      </c>
      <c r="M4395" s="2" t="s">
        <v>71</v>
      </c>
      <c r="N4395" s="2" t="s">
        <v>17628</v>
      </c>
      <c r="O4395" s="2" t="s">
        <v>9757</v>
      </c>
      <c r="P4395" s="9">
        <v>0</v>
      </c>
      <c r="Q4395" s="9">
        <v>0</v>
      </c>
      <c r="R4395" s="2"/>
    </row>
    <row r="4396" spans="1:18" x14ac:dyDescent="0.25">
      <c r="A4396" s="2" t="s">
        <v>17901</v>
      </c>
      <c r="B4396" s="6">
        <v>46204</v>
      </c>
      <c r="C4396" s="8">
        <v>46209</v>
      </c>
      <c r="D4396" s="2" t="s">
        <v>7433</v>
      </c>
      <c r="E4396" s="2" t="s">
        <v>16959</v>
      </c>
      <c r="F4396" s="2" t="s">
        <v>15300</v>
      </c>
      <c r="G4396" s="2" t="s">
        <v>17902</v>
      </c>
      <c r="H4396" s="2" t="s">
        <v>70</v>
      </c>
      <c r="I4396" s="9">
        <v>41125.485562000002</v>
      </c>
      <c r="J4396" s="7">
        <v>0.65800000000000003</v>
      </c>
      <c r="K4396" s="9">
        <v>27060.57</v>
      </c>
      <c r="L4396" s="14">
        <v>0</v>
      </c>
      <c r="M4396" s="2" t="s">
        <v>71</v>
      </c>
      <c r="N4396" s="2" t="s">
        <v>17628</v>
      </c>
      <c r="O4396" s="2" t="s">
        <v>9762</v>
      </c>
      <c r="P4396" s="9">
        <v>0</v>
      </c>
      <c r="Q4396" s="9">
        <v>0</v>
      </c>
      <c r="R4396" s="2"/>
    </row>
    <row r="4397" spans="1:18" x14ac:dyDescent="0.25">
      <c r="A4397" s="2" t="s">
        <v>17903</v>
      </c>
      <c r="B4397" s="6">
        <v>46204</v>
      </c>
      <c r="C4397" s="8">
        <v>46210</v>
      </c>
      <c r="D4397" s="2" t="s">
        <v>7433</v>
      </c>
      <c r="E4397" s="2" t="s">
        <v>16959</v>
      </c>
      <c r="F4397" s="2" t="s">
        <v>15304</v>
      </c>
      <c r="G4397" s="2" t="s">
        <v>17904</v>
      </c>
      <c r="H4397" s="2" t="s">
        <v>39</v>
      </c>
      <c r="I4397" s="9">
        <v>1618.9010000000001</v>
      </c>
      <c r="J4397" s="7">
        <v>1</v>
      </c>
      <c r="K4397" s="9">
        <v>1618.9</v>
      </c>
      <c r="L4397" s="14">
        <v>0</v>
      </c>
      <c r="M4397" s="2" t="s">
        <v>71</v>
      </c>
      <c r="N4397" s="2" t="s">
        <v>17628</v>
      </c>
      <c r="O4397" s="2" t="s">
        <v>9767</v>
      </c>
      <c r="P4397" s="9">
        <v>0</v>
      </c>
      <c r="Q4397" s="9">
        <v>0</v>
      </c>
      <c r="R4397" s="2"/>
    </row>
    <row r="4398" spans="1:18" x14ac:dyDescent="0.25">
      <c r="A4398" s="2" t="s">
        <v>17905</v>
      </c>
      <c r="B4398" s="6">
        <v>46204</v>
      </c>
      <c r="C4398" s="8">
        <v>46211</v>
      </c>
      <c r="D4398" s="2" t="s">
        <v>7433</v>
      </c>
      <c r="E4398" s="2" t="s">
        <v>16959</v>
      </c>
      <c r="F4398" s="2" t="s">
        <v>15308</v>
      </c>
      <c r="G4398" s="2" t="s">
        <v>17906</v>
      </c>
      <c r="H4398" s="2" t="s">
        <v>76</v>
      </c>
      <c r="I4398" s="9">
        <v>31245870.967742</v>
      </c>
      <c r="J4398" s="7">
        <v>6.2000000000000003E-5</v>
      </c>
      <c r="K4398" s="9">
        <v>1937.24</v>
      </c>
      <c r="L4398" s="14">
        <v>0</v>
      </c>
      <c r="M4398" s="2" t="s">
        <v>71</v>
      </c>
      <c r="N4398" s="2" t="s">
        <v>17628</v>
      </c>
      <c r="O4398" s="2" t="s">
        <v>9772</v>
      </c>
      <c r="P4398" s="9">
        <v>0</v>
      </c>
      <c r="Q4398" s="9">
        <v>0</v>
      </c>
      <c r="R4398" s="2"/>
    </row>
    <row r="4399" spans="1:18" x14ac:dyDescent="0.25">
      <c r="A4399" s="2" t="s">
        <v>17907</v>
      </c>
      <c r="B4399" s="6">
        <v>46204</v>
      </c>
      <c r="C4399" s="8">
        <v>46212</v>
      </c>
      <c r="D4399" s="2" t="s">
        <v>7433</v>
      </c>
      <c r="E4399" s="2" t="s">
        <v>16959</v>
      </c>
      <c r="F4399" s="2" t="s">
        <v>15312</v>
      </c>
      <c r="G4399" s="2" t="s">
        <v>17908</v>
      </c>
      <c r="H4399" s="2" t="s">
        <v>70</v>
      </c>
      <c r="I4399" s="9">
        <v>3427.9262920000001</v>
      </c>
      <c r="J4399" s="7">
        <v>0.65800000000000003</v>
      </c>
      <c r="K4399" s="9">
        <v>2255.58</v>
      </c>
      <c r="L4399" s="14">
        <v>0</v>
      </c>
      <c r="M4399" s="2" t="s">
        <v>71</v>
      </c>
      <c r="N4399" s="2" t="s">
        <v>17628</v>
      </c>
      <c r="O4399" s="2" t="s">
        <v>9777</v>
      </c>
      <c r="P4399" s="9">
        <v>0</v>
      </c>
      <c r="Q4399" s="9">
        <v>0</v>
      </c>
      <c r="R4399" s="2"/>
    </row>
    <row r="4400" spans="1:18" x14ac:dyDescent="0.25">
      <c r="A4400" s="2" t="s">
        <v>17909</v>
      </c>
      <c r="B4400" s="6">
        <v>46204</v>
      </c>
      <c r="C4400" s="8">
        <v>46213</v>
      </c>
      <c r="D4400" s="2" t="s">
        <v>7433</v>
      </c>
      <c r="E4400" s="2" t="s">
        <v>16959</v>
      </c>
      <c r="F4400" s="2" t="s">
        <v>15316</v>
      </c>
      <c r="G4400" s="2" t="s">
        <v>17910</v>
      </c>
      <c r="H4400" s="2" t="s">
        <v>39</v>
      </c>
      <c r="I4400" s="9">
        <v>2573.9185000000002</v>
      </c>
      <c r="J4400" s="7">
        <v>1</v>
      </c>
      <c r="K4400" s="9">
        <v>2573.92</v>
      </c>
      <c r="L4400" s="14">
        <v>0</v>
      </c>
      <c r="M4400" s="2" t="s">
        <v>71</v>
      </c>
      <c r="N4400" s="2" t="s">
        <v>17628</v>
      </c>
      <c r="O4400" s="2" t="s">
        <v>9782</v>
      </c>
      <c r="P4400" s="9">
        <v>0</v>
      </c>
      <c r="Q4400" s="9">
        <v>0</v>
      </c>
      <c r="R4400" s="2"/>
    </row>
    <row r="4401" spans="1:18" x14ac:dyDescent="0.25">
      <c r="A4401" s="2" t="s">
        <v>17911</v>
      </c>
      <c r="B4401" s="6">
        <v>46204</v>
      </c>
      <c r="C4401" s="8">
        <v>46214</v>
      </c>
      <c r="D4401" s="2" t="s">
        <v>7433</v>
      </c>
      <c r="E4401" s="2" t="s">
        <v>16959</v>
      </c>
      <c r="F4401" s="2" t="s">
        <v>15320</v>
      </c>
      <c r="G4401" s="2" t="s">
        <v>17912</v>
      </c>
      <c r="H4401" s="2" t="s">
        <v>76</v>
      </c>
      <c r="I4401" s="9">
        <v>46649379.032257996</v>
      </c>
      <c r="J4401" s="7">
        <v>6.2000000000000003E-5</v>
      </c>
      <c r="K4401" s="9">
        <v>2892.26</v>
      </c>
      <c r="L4401" s="14">
        <v>0</v>
      </c>
      <c r="M4401" s="2" t="s">
        <v>71</v>
      </c>
      <c r="N4401" s="2" t="s">
        <v>17628</v>
      </c>
      <c r="O4401" s="2" t="s">
        <v>9787</v>
      </c>
      <c r="P4401" s="9">
        <v>0</v>
      </c>
      <c r="Q4401" s="9">
        <v>0</v>
      </c>
      <c r="R4401" s="2"/>
    </row>
    <row r="4402" spans="1:18" x14ac:dyDescent="0.25">
      <c r="A4402" s="2" t="s">
        <v>17913</v>
      </c>
      <c r="B4402" s="6">
        <v>46204</v>
      </c>
      <c r="C4402" s="8">
        <v>46215</v>
      </c>
      <c r="D4402" s="2" t="s">
        <v>7433</v>
      </c>
      <c r="E4402" s="2" t="s">
        <v>16959</v>
      </c>
      <c r="F4402" s="2" t="s">
        <v>15324</v>
      </c>
      <c r="G4402" s="2" t="s">
        <v>17914</v>
      </c>
      <c r="H4402" s="2" t="s">
        <v>70</v>
      </c>
      <c r="I4402" s="9">
        <v>4879.3206689999997</v>
      </c>
      <c r="J4402" s="7">
        <v>0.65800000000000003</v>
      </c>
      <c r="K4402" s="9">
        <v>3210.59</v>
      </c>
      <c r="L4402" s="14">
        <v>0</v>
      </c>
      <c r="M4402" s="2" t="s">
        <v>71</v>
      </c>
      <c r="N4402" s="2" t="s">
        <v>17628</v>
      </c>
      <c r="O4402" s="2" t="s">
        <v>9792</v>
      </c>
      <c r="P4402" s="9">
        <v>0</v>
      </c>
      <c r="Q4402" s="9">
        <v>0</v>
      </c>
      <c r="R4402" s="2"/>
    </row>
    <row r="4403" spans="1:18" x14ac:dyDescent="0.25">
      <c r="A4403" s="2" t="s">
        <v>17915</v>
      </c>
      <c r="B4403" s="6">
        <v>46204</v>
      </c>
      <c r="C4403" s="8">
        <v>46216</v>
      </c>
      <c r="D4403" s="2" t="s">
        <v>7433</v>
      </c>
      <c r="E4403" s="2" t="s">
        <v>16959</v>
      </c>
      <c r="F4403" s="2" t="s">
        <v>15328</v>
      </c>
      <c r="G4403" s="2" t="s">
        <v>17916</v>
      </c>
      <c r="H4403" s="2" t="s">
        <v>39</v>
      </c>
      <c r="I4403" s="9">
        <v>3528.9360000000001</v>
      </c>
      <c r="J4403" s="7">
        <v>1</v>
      </c>
      <c r="K4403" s="9">
        <v>3528.94</v>
      </c>
      <c r="L4403" s="14">
        <v>0</v>
      </c>
      <c r="M4403" s="2" t="s">
        <v>71</v>
      </c>
      <c r="N4403" s="2" t="s">
        <v>17628</v>
      </c>
      <c r="O4403" s="2" t="s">
        <v>9797</v>
      </c>
      <c r="P4403" s="9">
        <v>0</v>
      </c>
      <c r="Q4403" s="9">
        <v>0</v>
      </c>
      <c r="R4403" s="2"/>
    </row>
    <row r="4404" spans="1:18" x14ac:dyDescent="0.25">
      <c r="A4404" s="2" t="s">
        <v>17917</v>
      </c>
      <c r="B4404" s="6">
        <v>46204</v>
      </c>
      <c r="C4404" s="8">
        <v>46217</v>
      </c>
      <c r="D4404" s="2" t="s">
        <v>7433</v>
      </c>
      <c r="E4404" s="2" t="s">
        <v>16959</v>
      </c>
      <c r="F4404" s="2" t="s">
        <v>15332</v>
      </c>
      <c r="G4404" s="2" t="s">
        <v>17918</v>
      </c>
      <c r="H4404" s="2" t="s">
        <v>76</v>
      </c>
      <c r="I4404" s="9">
        <v>62052887.096775003</v>
      </c>
      <c r="J4404" s="7">
        <v>6.2000000000000003E-5</v>
      </c>
      <c r="K4404" s="9">
        <v>3847.28</v>
      </c>
      <c r="L4404" s="14">
        <v>0</v>
      </c>
      <c r="M4404" s="2" t="s">
        <v>71</v>
      </c>
      <c r="N4404" s="2" t="s">
        <v>17628</v>
      </c>
      <c r="O4404" s="2" t="s">
        <v>9802</v>
      </c>
      <c r="P4404" s="9">
        <v>0</v>
      </c>
      <c r="Q4404" s="9">
        <v>0</v>
      </c>
      <c r="R4404" s="2"/>
    </row>
    <row r="4405" spans="1:18" x14ac:dyDescent="0.25">
      <c r="A4405" s="2" t="s">
        <v>17919</v>
      </c>
      <c r="B4405" s="6">
        <v>46204</v>
      </c>
      <c r="C4405" s="8">
        <v>46218</v>
      </c>
      <c r="D4405" s="2" t="s">
        <v>7433</v>
      </c>
      <c r="E4405" s="2" t="s">
        <v>16959</v>
      </c>
      <c r="F4405" s="2" t="s">
        <v>15336</v>
      </c>
      <c r="G4405" s="2" t="s">
        <v>17920</v>
      </c>
      <c r="H4405" s="2" t="s">
        <v>70</v>
      </c>
      <c r="I4405" s="9">
        <v>6330.7150460000003</v>
      </c>
      <c r="J4405" s="7">
        <v>0.65800000000000003</v>
      </c>
      <c r="K4405" s="9">
        <v>4165.6099999999997</v>
      </c>
      <c r="L4405" s="14">
        <v>0</v>
      </c>
      <c r="M4405" s="2" t="s">
        <v>71</v>
      </c>
      <c r="N4405" s="2" t="s">
        <v>17628</v>
      </c>
      <c r="O4405" s="2" t="s">
        <v>9807</v>
      </c>
      <c r="P4405" s="9">
        <v>0</v>
      </c>
      <c r="Q4405" s="9">
        <v>0</v>
      </c>
      <c r="R4405" s="2"/>
    </row>
    <row r="4406" spans="1:18" x14ac:dyDescent="0.25">
      <c r="A4406" s="2" t="s">
        <v>17921</v>
      </c>
      <c r="B4406" s="6">
        <v>46204</v>
      </c>
      <c r="C4406" s="8">
        <v>46219</v>
      </c>
      <c r="D4406" s="2" t="s">
        <v>7433</v>
      </c>
      <c r="E4406" s="2" t="s">
        <v>16959</v>
      </c>
      <c r="F4406" s="2" t="s">
        <v>15300</v>
      </c>
      <c r="G4406" s="2" t="s">
        <v>17922</v>
      </c>
      <c r="H4406" s="2" t="s">
        <v>39</v>
      </c>
      <c r="I4406" s="9">
        <v>4483.9534999999996</v>
      </c>
      <c r="J4406" s="7">
        <v>1</v>
      </c>
      <c r="K4406" s="9">
        <v>4483.95</v>
      </c>
      <c r="L4406" s="14">
        <v>0</v>
      </c>
      <c r="M4406" s="2" t="s">
        <v>71</v>
      </c>
      <c r="N4406" s="2" t="s">
        <v>17628</v>
      </c>
      <c r="O4406" s="2" t="s">
        <v>9812</v>
      </c>
      <c r="P4406" s="9">
        <v>0</v>
      </c>
      <c r="Q4406" s="9">
        <v>0</v>
      </c>
      <c r="R4406" s="2"/>
    </row>
    <row r="4407" spans="1:18" x14ac:dyDescent="0.25">
      <c r="A4407" s="2" t="s">
        <v>17923</v>
      </c>
      <c r="B4407" s="6">
        <v>46204</v>
      </c>
      <c r="C4407" s="8">
        <v>46220</v>
      </c>
      <c r="D4407" s="2" t="s">
        <v>7433</v>
      </c>
      <c r="E4407" s="2" t="s">
        <v>16959</v>
      </c>
      <c r="F4407" s="2" t="s">
        <v>15304</v>
      </c>
      <c r="G4407" s="2" t="s">
        <v>17924</v>
      </c>
      <c r="H4407" s="2" t="s">
        <v>76</v>
      </c>
      <c r="I4407" s="9">
        <v>77456209.677420005</v>
      </c>
      <c r="J4407" s="7">
        <v>6.2000000000000003E-5</v>
      </c>
      <c r="K4407" s="9">
        <v>4802.28</v>
      </c>
      <c r="L4407" s="14">
        <v>0</v>
      </c>
      <c r="M4407" s="2" t="s">
        <v>71</v>
      </c>
      <c r="N4407" s="2" t="s">
        <v>17628</v>
      </c>
      <c r="O4407" s="2" t="s">
        <v>9817</v>
      </c>
      <c r="P4407" s="9">
        <v>0</v>
      </c>
      <c r="Q4407" s="9">
        <v>0</v>
      </c>
      <c r="R4407" s="2"/>
    </row>
    <row r="4408" spans="1:18" x14ac:dyDescent="0.25">
      <c r="A4408" s="2" t="s">
        <v>17925</v>
      </c>
      <c r="B4408" s="6">
        <v>46204</v>
      </c>
      <c r="C4408" s="8">
        <v>46221</v>
      </c>
      <c r="D4408" s="2" t="s">
        <v>7433</v>
      </c>
      <c r="E4408" s="2" t="s">
        <v>16959</v>
      </c>
      <c r="F4408" s="2" t="s">
        <v>15308</v>
      </c>
      <c r="G4408" s="2" t="s">
        <v>17926</v>
      </c>
      <c r="H4408" s="2" t="s">
        <v>70</v>
      </c>
      <c r="I4408" s="9">
        <v>7782.1094229999999</v>
      </c>
      <c r="J4408" s="7">
        <v>0.65800000000000003</v>
      </c>
      <c r="K4408" s="9">
        <v>5120.63</v>
      </c>
      <c r="L4408" s="14">
        <v>0</v>
      </c>
      <c r="M4408" s="2" t="s">
        <v>71</v>
      </c>
      <c r="N4408" s="2" t="s">
        <v>17628</v>
      </c>
      <c r="O4408" s="2" t="s">
        <v>9822</v>
      </c>
      <c r="P4408" s="9">
        <v>0</v>
      </c>
      <c r="Q4408" s="9">
        <v>0</v>
      </c>
      <c r="R4408" s="2"/>
    </row>
    <row r="4409" spans="1:18" x14ac:dyDescent="0.25">
      <c r="A4409" s="2" t="s">
        <v>17927</v>
      </c>
      <c r="B4409" s="6">
        <v>46204</v>
      </c>
      <c r="C4409" s="8">
        <v>46222</v>
      </c>
      <c r="D4409" s="2" t="s">
        <v>7433</v>
      </c>
      <c r="E4409" s="2" t="s">
        <v>16959</v>
      </c>
      <c r="F4409" s="2" t="s">
        <v>15312</v>
      </c>
      <c r="G4409" s="2" t="s">
        <v>17928</v>
      </c>
      <c r="H4409" s="2" t="s">
        <v>39</v>
      </c>
      <c r="I4409" s="9">
        <v>5438.9709999999995</v>
      </c>
      <c r="J4409" s="7">
        <v>1</v>
      </c>
      <c r="K4409" s="9">
        <v>5438.97</v>
      </c>
      <c r="L4409" s="14">
        <v>0</v>
      </c>
      <c r="M4409" s="2" t="s">
        <v>71</v>
      </c>
      <c r="N4409" s="2" t="s">
        <v>17628</v>
      </c>
      <c r="O4409" s="2" t="s">
        <v>9827</v>
      </c>
      <c r="P4409" s="9">
        <v>0</v>
      </c>
      <c r="Q4409" s="9">
        <v>0</v>
      </c>
      <c r="R4409" s="2"/>
    </row>
    <row r="4410" spans="1:18" x14ac:dyDescent="0.25">
      <c r="A4410" s="2" t="s">
        <v>17929</v>
      </c>
      <c r="B4410" s="6">
        <v>46204</v>
      </c>
      <c r="C4410" s="8">
        <v>46223</v>
      </c>
      <c r="D4410" s="2" t="s">
        <v>7433</v>
      </c>
      <c r="E4410" s="2" t="s">
        <v>16959</v>
      </c>
      <c r="F4410" s="2" t="s">
        <v>15316</v>
      </c>
      <c r="G4410" s="2" t="s">
        <v>17930</v>
      </c>
      <c r="H4410" s="2" t="s">
        <v>76</v>
      </c>
      <c r="I4410" s="9">
        <v>92830967.741935</v>
      </c>
      <c r="J4410" s="7">
        <v>6.2000000000000003E-5</v>
      </c>
      <c r="K4410" s="9">
        <v>5755.52</v>
      </c>
      <c r="L4410" s="14">
        <v>0</v>
      </c>
      <c r="M4410" s="2" t="s">
        <v>71</v>
      </c>
      <c r="N4410" s="2" t="s">
        <v>17628</v>
      </c>
      <c r="O4410" s="2" t="s">
        <v>9832</v>
      </c>
      <c r="P4410" s="9">
        <v>0</v>
      </c>
      <c r="Q4410" s="9">
        <v>0</v>
      </c>
      <c r="R4410" s="2"/>
    </row>
    <row r="4411" spans="1:18" x14ac:dyDescent="0.25">
      <c r="A4411" s="2" t="s">
        <v>17931</v>
      </c>
      <c r="B4411" s="6">
        <v>46204</v>
      </c>
      <c r="C4411" s="8">
        <v>46224</v>
      </c>
      <c r="D4411" s="2" t="s">
        <v>7433</v>
      </c>
      <c r="E4411" s="2" t="s">
        <v>16959</v>
      </c>
      <c r="F4411" s="2" t="s">
        <v>15320</v>
      </c>
      <c r="G4411" s="2" t="s">
        <v>17932</v>
      </c>
      <c r="H4411" s="2" t="s">
        <v>70</v>
      </c>
      <c r="I4411" s="9">
        <v>9230.7773560000005</v>
      </c>
      <c r="J4411" s="7">
        <v>0.65800000000000003</v>
      </c>
      <c r="K4411" s="9">
        <v>6073.85</v>
      </c>
      <c r="L4411" s="14">
        <v>0</v>
      </c>
      <c r="M4411" s="2" t="s">
        <v>71</v>
      </c>
      <c r="N4411" s="2" t="s">
        <v>17628</v>
      </c>
      <c r="O4411" s="2" t="s">
        <v>9837</v>
      </c>
      <c r="P4411" s="9">
        <v>0</v>
      </c>
      <c r="Q4411" s="9">
        <v>0</v>
      </c>
      <c r="R4411" s="2"/>
    </row>
    <row r="4412" spans="1:18" x14ac:dyDescent="0.25">
      <c r="A4412" s="2" t="s">
        <v>17933</v>
      </c>
      <c r="B4412" s="6">
        <v>46204</v>
      </c>
      <c r="C4412" s="8">
        <v>46225</v>
      </c>
      <c r="D4412" s="2" t="s">
        <v>7433</v>
      </c>
      <c r="E4412" s="2" t="s">
        <v>16959</v>
      </c>
      <c r="F4412" s="2" t="s">
        <v>15324</v>
      </c>
      <c r="G4412" s="2" t="s">
        <v>17934</v>
      </c>
      <c r="H4412" s="2" t="s">
        <v>39</v>
      </c>
      <c r="I4412" s="9">
        <v>6392.1944999999996</v>
      </c>
      <c r="J4412" s="7">
        <v>1</v>
      </c>
      <c r="K4412" s="9">
        <v>6392.19</v>
      </c>
      <c r="L4412" s="14">
        <v>0</v>
      </c>
      <c r="M4412" s="2" t="s">
        <v>71</v>
      </c>
      <c r="N4412" s="2" t="s">
        <v>17628</v>
      </c>
      <c r="O4412" s="2" t="s">
        <v>9842</v>
      </c>
      <c r="P4412" s="9">
        <v>0</v>
      </c>
      <c r="Q4412" s="9">
        <v>0</v>
      </c>
      <c r="R4412" s="2"/>
    </row>
    <row r="4413" spans="1:18" x14ac:dyDescent="0.25">
      <c r="A4413" s="2" t="s">
        <v>17935</v>
      </c>
      <c r="B4413" s="6">
        <v>46204</v>
      </c>
      <c r="C4413" s="8">
        <v>46226</v>
      </c>
      <c r="D4413" s="2" t="s">
        <v>7433</v>
      </c>
      <c r="E4413" s="2" t="s">
        <v>16959</v>
      </c>
      <c r="F4413" s="2" t="s">
        <v>15328</v>
      </c>
      <c r="G4413" s="2" t="s">
        <v>17936</v>
      </c>
      <c r="H4413" s="2" t="s">
        <v>76</v>
      </c>
      <c r="I4413" s="9">
        <v>108234475.80645201</v>
      </c>
      <c r="J4413" s="7">
        <v>6.2000000000000003E-5</v>
      </c>
      <c r="K4413" s="9">
        <v>6710.54</v>
      </c>
      <c r="L4413" s="14">
        <v>0</v>
      </c>
      <c r="M4413" s="2" t="s">
        <v>71</v>
      </c>
      <c r="N4413" s="2" t="s">
        <v>17628</v>
      </c>
      <c r="O4413" s="2" t="s">
        <v>9847</v>
      </c>
      <c r="P4413" s="9">
        <v>0</v>
      </c>
      <c r="Q4413" s="9">
        <v>0</v>
      </c>
      <c r="R4413" s="2"/>
    </row>
    <row r="4414" spans="1:18" x14ac:dyDescent="0.25">
      <c r="A4414" s="2" t="s">
        <v>17937</v>
      </c>
      <c r="B4414" s="6">
        <v>46204</v>
      </c>
      <c r="C4414" s="8">
        <v>46227</v>
      </c>
      <c r="D4414" s="2" t="s">
        <v>7433</v>
      </c>
      <c r="E4414" s="2" t="s">
        <v>16959</v>
      </c>
      <c r="F4414" s="2" t="s">
        <v>15332</v>
      </c>
      <c r="G4414" s="2" t="s">
        <v>17938</v>
      </c>
      <c r="H4414" s="2" t="s">
        <v>70</v>
      </c>
      <c r="I4414" s="9">
        <v>10682.171732999999</v>
      </c>
      <c r="J4414" s="7">
        <v>0.65800000000000003</v>
      </c>
      <c r="K4414" s="9">
        <v>7028.87</v>
      </c>
      <c r="L4414" s="14">
        <v>0</v>
      </c>
      <c r="M4414" s="2" t="s">
        <v>71</v>
      </c>
      <c r="N4414" s="2" t="s">
        <v>17628</v>
      </c>
      <c r="O4414" s="2" t="s">
        <v>9852</v>
      </c>
      <c r="P4414" s="9">
        <v>0</v>
      </c>
      <c r="Q4414" s="9">
        <v>0</v>
      </c>
      <c r="R4414" s="2"/>
    </row>
    <row r="4415" spans="1:18" x14ac:dyDescent="0.25">
      <c r="A4415" s="2" t="s">
        <v>17939</v>
      </c>
      <c r="B4415" s="6">
        <v>46204</v>
      </c>
      <c r="C4415" s="8">
        <v>46228</v>
      </c>
      <c r="D4415" s="2" t="s">
        <v>7433</v>
      </c>
      <c r="E4415" s="2" t="s">
        <v>16959</v>
      </c>
      <c r="F4415" s="2" t="s">
        <v>15336</v>
      </c>
      <c r="G4415" s="2" t="s">
        <v>17940</v>
      </c>
      <c r="H4415" s="2" t="s">
        <v>39</v>
      </c>
      <c r="I4415" s="9">
        <v>7347.2120000000004</v>
      </c>
      <c r="J4415" s="7">
        <v>1</v>
      </c>
      <c r="K4415" s="9">
        <v>7347.21</v>
      </c>
      <c r="L4415" s="14">
        <v>0</v>
      </c>
      <c r="M4415" s="2" t="s">
        <v>71</v>
      </c>
      <c r="N4415" s="2" t="s">
        <v>17628</v>
      </c>
      <c r="O4415" s="2" t="s">
        <v>9857</v>
      </c>
      <c r="P4415" s="9">
        <v>0</v>
      </c>
      <c r="Q4415" s="9">
        <v>0</v>
      </c>
      <c r="R4415" s="2"/>
    </row>
    <row r="4416" spans="1:18" x14ac:dyDescent="0.25">
      <c r="A4416" s="2" t="s">
        <v>17941</v>
      </c>
      <c r="B4416" s="6">
        <v>46204</v>
      </c>
      <c r="C4416" s="8">
        <v>46229</v>
      </c>
      <c r="D4416" s="2" t="s">
        <v>7433</v>
      </c>
      <c r="E4416" s="2" t="s">
        <v>16959</v>
      </c>
      <c r="F4416" s="2" t="s">
        <v>15300</v>
      </c>
      <c r="G4416" s="2" t="s">
        <v>17942</v>
      </c>
      <c r="H4416" s="2" t="s">
        <v>76</v>
      </c>
      <c r="I4416" s="9">
        <v>123637983.870968</v>
      </c>
      <c r="J4416" s="7">
        <v>6.2000000000000003E-5</v>
      </c>
      <c r="K4416" s="9">
        <v>7665.55</v>
      </c>
      <c r="L4416" s="14">
        <v>0</v>
      </c>
      <c r="M4416" s="2" t="s">
        <v>71</v>
      </c>
      <c r="N4416" s="2" t="s">
        <v>17628</v>
      </c>
      <c r="O4416" s="2" t="s">
        <v>9862</v>
      </c>
      <c r="P4416" s="9">
        <v>0</v>
      </c>
      <c r="Q4416" s="9">
        <v>0</v>
      </c>
      <c r="R4416" s="2"/>
    </row>
    <row r="4417" spans="1:18" x14ac:dyDescent="0.25">
      <c r="A4417" s="2" t="s">
        <v>17943</v>
      </c>
      <c r="B4417" s="6">
        <v>46204</v>
      </c>
      <c r="C4417" s="8">
        <v>46230</v>
      </c>
      <c r="D4417" s="2" t="s">
        <v>7433</v>
      </c>
      <c r="E4417" s="2" t="s">
        <v>16959</v>
      </c>
      <c r="F4417" s="2" t="s">
        <v>15304</v>
      </c>
      <c r="G4417" s="2" t="s">
        <v>17944</v>
      </c>
      <c r="H4417" s="2" t="s">
        <v>70</v>
      </c>
      <c r="I4417" s="9">
        <v>-12133.56611</v>
      </c>
      <c r="J4417" s="7">
        <v>0.65800000000000003</v>
      </c>
      <c r="K4417" s="9">
        <v>-7983.89</v>
      </c>
      <c r="L4417" s="14">
        <v>0</v>
      </c>
      <c r="M4417" s="2" t="s">
        <v>71</v>
      </c>
      <c r="N4417" s="2" t="s">
        <v>17628</v>
      </c>
      <c r="O4417" s="2" t="s">
        <v>9867</v>
      </c>
      <c r="P4417" s="9">
        <v>0</v>
      </c>
      <c r="Q4417" s="9">
        <v>0</v>
      </c>
      <c r="R4417" s="2"/>
    </row>
    <row r="4418" spans="1:18" x14ac:dyDescent="0.25">
      <c r="A4418" s="2" t="s">
        <v>17945</v>
      </c>
      <c r="B4418" s="6">
        <v>46204</v>
      </c>
      <c r="C4418" s="8">
        <v>46231</v>
      </c>
      <c r="D4418" s="2" t="s">
        <v>7433</v>
      </c>
      <c r="E4418" s="2" t="s">
        <v>16959</v>
      </c>
      <c r="F4418" s="2" t="s">
        <v>15308</v>
      </c>
      <c r="G4418" s="2" t="s">
        <v>17946</v>
      </c>
      <c r="H4418" s="2" t="s">
        <v>39</v>
      </c>
      <c r="I4418" s="9">
        <v>8302.2294999999995</v>
      </c>
      <c r="J4418" s="7">
        <v>1</v>
      </c>
      <c r="K4418" s="9">
        <v>8302.23</v>
      </c>
      <c r="L4418" s="14">
        <v>0</v>
      </c>
      <c r="M4418" s="2" t="s">
        <v>71</v>
      </c>
      <c r="N4418" s="2" t="s">
        <v>17628</v>
      </c>
      <c r="O4418" s="2" t="s">
        <v>9870</v>
      </c>
      <c r="P4418" s="9">
        <v>0</v>
      </c>
      <c r="Q4418" s="9">
        <v>0</v>
      </c>
      <c r="R4418" s="2"/>
    </row>
    <row r="4419" spans="1:18" x14ac:dyDescent="0.25">
      <c r="A4419" s="2" t="s">
        <v>17947</v>
      </c>
      <c r="B4419" s="6">
        <v>46204</v>
      </c>
      <c r="C4419" s="8">
        <v>46232</v>
      </c>
      <c r="D4419" s="2" t="s">
        <v>7433</v>
      </c>
      <c r="E4419" s="2" t="s">
        <v>16959</v>
      </c>
      <c r="F4419" s="2" t="s">
        <v>15312</v>
      </c>
      <c r="G4419" s="2" t="s">
        <v>17948</v>
      </c>
      <c r="H4419" s="2" t="s">
        <v>76</v>
      </c>
      <c r="I4419" s="9">
        <v>139041306.45161301</v>
      </c>
      <c r="J4419" s="7">
        <v>6.2000000000000003E-5</v>
      </c>
      <c r="K4419" s="9">
        <v>8620.56</v>
      </c>
      <c r="L4419" s="14">
        <v>0</v>
      </c>
      <c r="M4419" s="2" t="s">
        <v>71</v>
      </c>
      <c r="N4419" s="2" t="s">
        <v>17628</v>
      </c>
      <c r="O4419" s="2" t="s">
        <v>9875</v>
      </c>
      <c r="P4419" s="9">
        <v>0</v>
      </c>
      <c r="Q4419" s="9">
        <v>0</v>
      </c>
      <c r="R4419" s="2"/>
    </row>
    <row r="4420" spans="1:18" x14ac:dyDescent="0.25">
      <c r="A4420" s="2" t="s">
        <v>17949</v>
      </c>
      <c r="B4420" s="6">
        <v>46204</v>
      </c>
      <c r="C4420" s="8">
        <v>46233</v>
      </c>
      <c r="D4420" s="2" t="s">
        <v>7433</v>
      </c>
      <c r="E4420" s="2" t="s">
        <v>16959</v>
      </c>
      <c r="F4420" s="2" t="s">
        <v>15316</v>
      </c>
      <c r="G4420" s="2" t="s">
        <v>17950</v>
      </c>
      <c r="H4420" s="2" t="s">
        <v>70</v>
      </c>
      <c r="I4420" s="9">
        <v>13584.960487</v>
      </c>
      <c r="J4420" s="7">
        <v>0.65800000000000003</v>
      </c>
      <c r="K4420" s="9">
        <v>8938.9</v>
      </c>
      <c r="L4420" s="14">
        <v>0</v>
      </c>
      <c r="M4420" s="2" t="s">
        <v>71</v>
      </c>
      <c r="N4420" s="2" t="s">
        <v>17628</v>
      </c>
      <c r="O4420" s="2" t="s">
        <v>9880</v>
      </c>
      <c r="P4420" s="9">
        <v>0</v>
      </c>
      <c r="Q4420" s="9">
        <v>0</v>
      </c>
      <c r="R4420" s="2"/>
    </row>
    <row r="4421" spans="1:18" x14ac:dyDescent="0.25">
      <c r="A4421" s="2" t="s">
        <v>17951</v>
      </c>
      <c r="B4421" s="6">
        <v>46204</v>
      </c>
      <c r="C4421" s="8">
        <v>46234</v>
      </c>
      <c r="D4421" s="2" t="s">
        <v>7433</v>
      </c>
      <c r="E4421" s="2" t="s">
        <v>16959</v>
      </c>
      <c r="F4421" s="2" t="s">
        <v>15320</v>
      </c>
      <c r="G4421" s="2" t="s">
        <v>17952</v>
      </c>
      <c r="H4421" s="2" t="s">
        <v>39</v>
      </c>
      <c r="I4421" s="9">
        <v>9257.2469999999994</v>
      </c>
      <c r="J4421" s="7">
        <v>1</v>
      </c>
      <c r="K4421" s="9">
        <v>9257.25</v>
      </c>
      <c r="L4421" s="14">
        <v>0</v>
      </c>
      <c r="M4421" s="2" t="s">
        <v>71</v>
      </c>
      <c r="N4421" s="2" t="s">
        <v>17628</v>
      </c>
      <c r="O4421" s="2" t="s">
        <v>9885</v>
      </c>
      <c r="P4421" s="9">
        <v>0</v>
      </c>
      <c r="Q4421" s="9">
        <v>0</v>
      </c>
      <c r="R4421" s="2"/>
    </row>
    <row r="4422" spans="1:18" x14ac:dyDescent="0.25">
      <c r="A4422" s="2" t="s">
        <v>17953</v>
      </c>
      <c r="B4422" s="6">
        <v>46204</v>
      </c>
      <c r="C4422" s="8">
        <v>46204</v>
      </c>
      <c r="D4422" s="2" t="s">
        <v>7433</v>
      </c>
      <c r="E4422" s="2" t="s">
        <v>16959</v>
      </c>
      <c r="F4422" s="2" t="s">
        <v>15324</v>
      </c>
      <c r="G4422" s="2" t="s">
        <v>17954</v>
      </c>
      <c r="H4422" s="2" t="s">
        <v>76</v>
      </c>
      <c r="I4422" s="9">
        <v>154444814.51612899</v>
      </c>
      <c r="J4422" s="7">
        <v>6.2000000000000003E-5</v>
      </c>
      <c r="K4422" s="9">
        <v>9575.58</v>
      </c>
      <c r="L4422" s="14">
        <v>0</v>
      </c>
      <c r="M4422" s="2" t="s">
        <v>71</v>
      </c>
      <c r="N4422" s="2" t="s">
        <v>17628</v>
      </c>
      <c r="O4422" s="2" t="s">
        <v>9890</v>
      </c>
      <c r="P4422" s="9">
        <v>0</v>
      </c>
      <c r="Q4422" s="9">
        <v>0</v>
      </c>
      <c r="R4422" s="2"/>
    </row>
    <row r="4423" spans="1:18" x14ac:dyDescent="0.25">
      <c r="A4423" s="2" t="s">
        <v>17955</v>
      </c>
      <c r="B4423" s="6">
        <v>46204</v>
      </c>
      <c r="C4423" s="8">
        <v>46205</v>
      </c>
      <c r="D4423" s="2" t="s">
        <v>7433</v>
      </c>
      <c r="E4423" s="2" t="s">
        <v>16959</v>
      </c>
      <c r="F4423" s="2" t="s">
        <v>15328</v>
      </c>
      <c r="G4423" s="2" t="s">
        <v>17956</v>
      </c>
      <c r="H4423" s="2" t="s">
        <v>70</v>
      </c>
      <c r="I4423" s="9">
        <v>15036.354863</v>
      </c>
      <c r="J4423" s="7">
        <v>0.65800000000000003</v>
      </c>
      <c r="K4423" s="9">
        <v>9893.92</v>
      </c>
      <c r="L4423" s="14">
        <v>0</v>
      </c>
      <c r="M4423" s="2" t="s">
        <v>71</v>
      </c>
      <c r="N4423" s="2" t="s">
        <v>17628</v>
      </c>
      <c r="O4423" s="2" t="s">
        <v>9895</v>
      </c>
      <c r="P4423" s="9">
        <v>0</v>
      </c>
      <c r="Q4423" s="9">
        <v>0</v>
      </c>
      <c r="R4423" s="2"/>
    </row>
    <row r="4424" spans="1:18" x14ac:dyDescent="0.25">
      <c r="A4424" s="2" t="s">
        <v>17957</v>
      </c>
      <c r="B4424" s="6">
        <v>46204</v>
      </c>
      <c r="C4424" s="8">
        <v>46206</v>
      </c>
      <c r="D4424" s="2" t="s">
        <v>7433</v>
      </c>
      <c r="E4424" s="2" t="s">
        <v>16959</v>
      </c>
      <c r="F4424" s="2" t="s">
        <v>15332</v>
      </c>
      <c r="G4424" s="2" t="s">
        <v>17958</v>
      </c>
      <c r="H4424" s="2" t="s">
        <v>39</v>
      </c>
      <c r="I4424" s="9">
        <v>10212.253000000001</v>
      </c>
      <c r="J4424" s="7">
        <v>1</v>
      </c>
      <c r="K4424" s="9">
        <v>10212.25</v>
      </c>
      <c r="L4424" s="14">
        <v>0</v>
      </c>
      <c r="M4424" s="2" t="s">
        <v>71</v>
      </c>
      <c r="N4424" s="2" t="s">
        <v>17628</v>
      </c>
      <c r="O4424" s="2" t="s">
        <v>9900</v>
      </c>
      <c r="P4424" s="9">
        <v>0</v>
      </c>
      <c r="Q4424" s="9">
        <v>0</v>
      </c>
      <c r="R4424" s="2"/>
    </row>
    <row r="4425" spans="1:18" x14ac:dyDescent="0.25">
      <c r="A4425" s="2" t="s">
        <v>17959</v>
      </c>
      <c r="B4425" s="6">
        <v>46204</v>
      </c>
      <c r="C4425" s="8">
        <v>46207</v>
      </c>
      <c r="D4425" s="2" t="s">
        <v>7433</v>
      </c>
      <c r="E4425" s="2" t="s">
        <v>16959</v>
      </c>
      <c r="F4425" s="2" t="s">
        <v>15336</v>
      </c>
      <c r="G4425" s="2" t="s">
        <v>17960</v>
      </c>
      <c r="H4425" s="2" t="s">
        <v>76</v>
      </c>
      <c r="I4425" s="9">
        <v>169848322.58064499</v>
      </c>
      <c r="J4425" s="7">
        <v>6.2000000000000003E-5</v>
      </c>
      <c r="K4425" s="9">
        <v>10530.6</v>
      </c>
      <c r="L4425" s="14">
        <v>0</v>
      </c>
      <c r="M4425" s="2" t="s">
        <v>71</v>
      </c>
      <c r="N4425" s="2" t="s">
        <v>17628</v>
      </c>
      <c r="O4425" s="2" t="s">
        <v>9905</v>
      </c>
      <c r="P4425" s="9">
        <v>0</v>
      </c>
      <c r="Q4425" s="9">
        <v>0</v>
      </c>
      <c r="R4425" s="2"/>
    </row>
    <row r="4426" spans="1:18" x14ac:dyDescent="0.25">
      <c r="A4426" s="2" t="s">
        <v>17961</v>
      </c>
      <c r="B4426" s="6">
        <v>46204</v>
      </c>
      <c r="C4426" s="8">
        <v>46208</v>
      </c>
      <c r="D4426" s="2" t="s">
        <v>7433</v>
      </c>
      <c r="E4426" s="2" t="s">
        <v>16959</v>
      </c>
      <c r="F4426" s="2" t="s">
        <v>15300</v>
      </c>
      <c r="G4426" s="2" t="s">
        <v>17962</v>
      </c>
      <c r="H4426" s="2" t="s">
        <v>70</v>
      </c>
      <c r="I4426" s="9">
        <v>16487.749240000001</v>
      </c>
      <c r="J4426" s="7">
        <v>0.65800000000000003</v>
      </c>
      <c r="K4426" s="9">
        <v>10848.94</v>
      </c>
      <c r="L4426" s="14">
        <v>0</v>
      </c>
      <c r="M4426" s="2" t="s">
        <v>71</v>
      </c>
      <c r="N4426" s="2" t="s">
        <v>17628</v>
      </c>
      <c r="O4426" s="2" t="s">
        <v>9910</v>
      </c>
      <c r="P4426" s="9">
        <v>0</v>
      </c>
      <c r="Q4426" s="9">
        <v>0</v>
      </c>
      <c r="R4426" s="2"/>
    </row>
    <row r="4427" spans="1:18" x14ac:dyDescent="0.25">
      <c r="A4427" s="2" t="s">
        <v>17963</v>
      </c>
      <c r="B4427" s="6">
        <v>46204</v>
      </c>
      <c r="C4427" s="8">
        <v>46209</v>
      </c>
      <c r="D4427" s="2" t="s">
        <v>7433</v>
      </c>
      <c r="E4427" s="2" t="s">
        <v>16959</v>
      </c>
      <c r="F4427" s="2" t="s">
        <v>15304</v>
      </c>
      <c r="G4427" s="2" t="s">
        <v>17964</v>
      </c>
      <c r="H4427" s="2" t="s">
        <v>39</v>
      </c>
      <c r="I4427" s="9">
        <v>11167.270500000001</v>
      </c>
      <c r="J4427" s="7">
        <v>1</v>
      </c>
      <c r="K4427" s="9">
        <v>11167.27</v>
      </c>
      <c r="L4427" s="14">
        <v>0</v>
      </c>
      <c r="M4427" s="2" t="s">
        <v>71</v>
      </c>
      <c r="N4427" s="2" t="s">
        <v>17628</v>
      </c>
      <c r="O4427" s="2" t="s">
        <v>9915</v>
      </c>
      <c r="P4427" s="9">
        <v>0</v>
      </c>
      <c r="Q4427" s="9">
        <v>0</v>
      </c>
      <c r="R4427" s="2"/>
    </row>
    <row r="4428" spans="1:18" x14ac:dyDescent="0.25">
      <c r="A4428" s="2" t="s">
        <v>17965</v>
      </c>
      <c r="B4428" s="6">
        <v>46204</v>
      </c>
      <c r="C4428" s="8">
        <v>46210</v>
      </c>
      <c r="D4428" s="2" t="s">
        <v>7433</v>
      </c>
      <c r="E4428" s="2" t="s">
        <v>16959</v>
      </c>
      <c r="F4428" s="2" t="s">
        <v>15308</v>
      </c>
      <c r="G4428" s="2" t="s">
        <v>17966</v>
      </c>
      <c r="H4428" s="2" t="s">
        <v>76</v>
      </c>
      <c r="I4428" s="9">
        <v>185251830.64516199</v>
      </c>
      <c r="J4428" s="7">
        <v>6.2000000000000003E-5</v>
      </c>
      <c r="K4428" s="9">
        <v>11485.61</v>
      </c>
      <c r="L4428" s="14">
        <v>0</v>
      </c>
      <c r="M4428" s="2" t="s">
        <v>71</v>
      </c>
      <c r="N4428" s="2" t="s">
        <v>17628</v>
      </c>
      <c r="O4428" s="2" t="s">
        <v>9920</v>
      </c>
      <c r="P4428" s="9">
        <v>0</v>
      </c>
      <c r="Q4428" s="9">
        <v>0</v>
      </c>
      <c r="R4428" s="2"/>
    </row>
    <row r="4429" spans="1:18" x14ac:dyDescent="0.25">
      <c r="A4429" s="2" t="s">
        <v>17967</v>
      </c>
      <c r="B4429" s="6">
        <v>46204</v>
      </c>
      <c r="C4429" s="8">
        <v>46211</v>
      </c>
      <c r="D4429" s="2" t="s">
        <v>7433</v>
      </c>
      <c r="E4429" s="2" t="s">
        <v>16959</v>
      </c>
      <c r="F4429" s="2" t="s">
        <v>15312</v>
      </c>
      <c r="G4429" s="2" t="s">
        <v>17968</v>
      </c>
      <c r="H4429" s="2" t="s">
        <v>70</v>
      </c>
      <c r="I4429" s="9">
        <v>17939.143617000002</v>
      </c>
      <c r="J4429" s="7">
        <v>0.65800000000000003</v>
      </c>
      <c r="K4429" s="9">
        <v>11803.96</v>
      </c>
      <c r="L4429" s="14">
        <v>0</v>
      </c>
      <c r="M4429" s="2" t="s">
        <v>71</v>
      </c>
      <c r="N4429" s="2" t="s">
        <v>17628</v>
      </c>
      <c r="O4429" s="2" t="s">
        <v>9925</v>
      </c>
      <c r="P4429" s="9">
        <v>0</v>
      </c>
      <c r="Q4429" s="9">
        <v>0</v>
      </c>
      <c r="R4429" s="2"/>
    </row>
    <row r="4430" spans="1:18" x14ac:dyDescent="0.25">
      <c r="A4430" s="2" t="s">
        <v>17969</v>
      </c>
      <c r="B4430" s="6">
        <v>46204</v>
      </c>
      <c r="C4430" s="8">
        <v>46212</v>
      </c>
      <c r="D4430" s="2" t="s">
        <v>7433</v>
      </c>
      <c r="E4430" s="2" t="s">
        <v>16959</v>
      </c>
      <c r="F4430" s="2" t="s">
        <v>15316</v>
      </c>
      <c r="G4430" s="2" t="s">
        <v>17970</v>
      </c>
      <c r="H4430" s="2" t="s">
        <v>39</v>
      </c>
      <c r="I4430" s="9">
        <v>12122.288</v>
      </c>
      <c r="J4430" s="7">
        <v>1</v>
      </c>
      <c r="K4430" s="9">
        <v>12122.29</v>
      </c>
      <c r="L4430" s="14">
        <v>0</v>
      </c>
      <c r="M4430" s="2" t="s">
        <v>71</v>
      </c>
      <c r="N4430" s="2" t="s">
        <v>17628</v>
      </c>
      <c r="O4430" s="2" t="s">
        <v>9930</v>
      </c>
      <c r="P4430" s="9">
        <v>0</v>
      </c>
      <c r="Q4430" s="9">
        <v>0</v>
      </c>
      <c r="R4430" s="2"/>
    </row>
    <row r="4431" spans="1:18" x14ac:dyDescent="0.25">
      <c r="A4431" s="2" t="s">
        <v>17971</v>
      </c>
      <c r="B4431" s="6">
        <v>46204</v>
      </c>
      <c r="C4431" s="8">
        <v>46213</v>
      </c>
      <c r="D4431" s="2" t="s">
        <v>7433</v>
      </c>
      <c r="E4431" s="2" t="s">
        <v>16959</v>
      </c>
      <c r="F4431" s="2" t="s">
        <v>15320</v>
      </c>
      <c r="G4431" s="2" t="s">
        <v>17972</v>
      </c>
      <c r="H4431" s="2" t="s">
        <v>76</v>
      </c>
      <c r="I4431" s="9">
        <v>200655338.70967701</v>
      </c>
      <c r="J4431" s="7">
        <v>6.2000000000000003E-5</v>
      </c>
      <c r="K4431" s="9">
        <v>12440.63</v>
      </c>
      <c r="L4431" s="14">
        <v>0</v>
      </c>
      <c r="M4431" s="2" t="s">
        <v>71</v>
      </c>
      <c r="N4431" s="2" t="s">
        <v>17628</v>
      </c>
      <c r="O4431" s="2" t="s">
        <v>9935</v>
      </c>
      <c r="P4431" s="9">
        <v>0</v>
      </c>
      <c r="Q4431" s="9">
        <v>0</v>
      </c>
      <c r="R4431" s="2"/>
    </row>
    <row r="4432" spans="1:18" x14ac:dyDescent="0.25">
      <c r="A4432" s="2" t="s">
        <v>17973</v>
      </c>
      <c r="B4432" s="6">
        <v>46204</v>
      </c>
      <c r="C4432" s="8">
        <v>46214</v>
      </c>
      <c r="D4432" s="2" t="s">
        <v>7433</v>
      </c>
      <c r="E4432" s="2" t="s">
        <v>16959</v>
      </c>
      <c r="F4432" s="2" t="s">
        <v>15324</v>
      </c>
      <c r="G4432" s="2" t="s">
        <v>17974</v>
      </c>
      <c r="H4432" s="2" t="s">
        <v>70</v>
      </c>
      <c r="I4432" s="9">
        <v>19390.537993999998</v>
      </c>
      <c r="J4432" s="7">
        <v>0.65800000000000003</v>
      </c>
      <c r="K4432" s="9">
        <v>12758.97</v>
      </c>
      <c r="L4432" s="14">
        <v>0</v>
      </c>
      <c r="M4432" s="2" t="s">
        <v>71</v>
      </c>
      <c r="N4432" s="2" t="s">
        <v>17628</v>
      </c>
      <c r="O4432" s="2" t="s">
        <v>9940</v>
      </c>
      <c r="P4432" s="9">
        <v>0</v>
      </c>
      <c r="Q4432" s="9">
        <v>0</v>
      </c>
      <c r="R4432" s="2"/>
    </row>
    <row r="4433" spans="1:18" x14ac:dyDescent="0.25">
      <c r="A4433" s="2" t="s">
        <v>17975</v>
      </c>
      <c r="B4433" s="6">
        <v>46204</v>
      </c>
      <c r="C4433" s="8">
        <v>46215</v>
      </c>
      <c r="D4433" s="2" t="s">
        <v>7433</v>
      </c>
      <c r="E4433" s="2" t="s">
        <v>16959</v>
      </c>
      <c r="F4433" s="2" t="s">
        <v>15328</v>
      </c>
      <c r="G4433" s="2" t="s">
        <v>17976</v>
      </c>
      <c r="H4433" s="2" t="s">
        <v>39</v>
      </c>
      <c r="I4433" s="9">
        <v>13077.3055</v>
      </c>
      <c r="J4433" s="7">
        <v>1</v>
      </c>
      <c r="K4433" s="9">
        <v>13077.31</v>
      </c>
      <c r="L4433" s="14">
        <v>0</v>
      </c>
      <c r="M4433" s="2" t="s">
        <v>71</v>
      </c>
      <c r="N4433" s="2" t="s">
        <v>17628</v>
      </c>
      <c r="O4433" s="2" t="s">
        <v>9945</v>
      </c>
      <c r="P4433" s="9">
        <v>0</v>
      </c>
      <c r="Q4433" s="9">
        <v>0</v>
      </c>
      <c r="R4433" s="2"/>
    </row>
    <row r="4434" spans="1:18" x14ac:dyDescent="0.25">
      <c r="A4434" s="2" t="s">
        <v>17977</v>
      </c>
      <c r="B4434" s="6">
        <v>46204</v>
      </c>
      <c r="C4434" s="8">
        <v>46216</v>
      </c>
      <c r="D4434" s="2" t="s">
        <v>7433</v>
      </c>
      <c r="E4434" s="2" t="s">
        <v>16959</v>
      </c>
      <c r="F4434" s="2" t="s">
        <v>15332</v>
      </c>
      <c r="G4434" s="2" t="s">
        <v>17978</v>
      </c>
      <c r="H4434" s="2" t="s">
        <v>76</v>
      </c>
      <c r="I4434" s="9">
        <v>216058661.29032299</v>
      </c>
      <c r="J4434" s="7">
        <v>6.2000000000000003E-5</v>
      </c>
      <c r="K4434" s="9">
        <v>13395.64</v>
      </c>
      <c r="L4434" s="14">
        <v>0</v>
      </c>
      <c r="M4434" s="2" t="s">
        <v>71</v>
      </c>
      <c r="N4434" s="2" t="s">
        <v>17628</v>
      </c>
      <c r="O4434" s="2" t="s">
        <v>9950</v>
      </c>
      <c r="P4434" s="9">
        <v>0</v>
      </c>
      <c r="Q4434" s="9">
        <v>0</v>
      </c>
      <c r="R4434" s="2"/>
    </row>
    <row r="4435" spans="1:18" x14ac:dyDescent="0.25">
      <c r="A4435" s="2" t="s">
        <v>17979</v>
      </c>
      <c r="B4435" s="6">
        <v>46204</v>
      </c>
      <c r="C4435" s="8">
        <v>46217</v>
      </c>
      <c r="D4435" s="2" t="s">
        <v>7433</v>
      </c>
      <c r="E4435" s="2" t="s">
        <v>16959</v>
      </c>
      <c r="F4435" s="2" t="s">
        <v>15336</v>
      </c>
      <c r="G4435" s="2" t="s">
        <v>17980</v>
      </c>
      <c r="H4435" s="2" t="s">
        <v>70</v>
      </c>
      <c r="I4435" s="9">
        <v>20841.914893000001</v>
      </c>
      <c r="J4435" s="7">
        <v>0.65800000000000003</v>
      </c>
      <c r="K4435" s="9">
        <v>13713.98</v>
      </c>
      <c r="L4435" s="14">
        <v>0</v>
      </c>
      <c r="M4435" s="2" t="s">
        <v>71</v>
      </c>
      <c r="N4435" s="2" t="s">
        <v>17628</v>
      </c>
      <c r="O4435" s="2" t="s">
        <v>9955</v>
      </c>
      <c r="P4435" s="9">
        <v>0</v>
      </c>
      <c r="Q4435" s="9">
        <v>0</v>
      </c>
      <c r="R4435" s="2"/>
    </row>
    <row r="4436" spans="1:18" x14ac:dyDescent="0.25">
      <c r="A4436" s="2" t="s">
        <v>17981</v>
      </c>
      <c r="B4436" s="6">
        <v>46204</v>
      </c>
      <c r="C4436" s="8">
        <v>46218</v>
      </c>
      <c r="D4436" s="2" t="s">
        <v>7433</v>
      </c>
      <c r="E4436" s="2" t="s">
        <v>16959</v>
      </c>
      <c r="F4436" s="2" t="s">
        <v>15300</v>
      </c>
      <c r="G4436" s="2" t="s">
        <v>17982</v>
      </c>
      <c r="H4436" s="2" t="s">
        <v>39</v>
      </c>
      <c r="I4436" s="9">
        <v>14032.323</v>
      </c>
      <c r="J4436" s="7">
        <v>1</v>
      </c>
      <c r="K4436" s="9">
        <v>14032.32</v>
      </c>
      <c r="L4436" s="14">
        <v>0</v>
      </c>
      <c r="M4436" s="2" t="s">
        <v>71</v>
      </c>
      <c r="N4436" s="2" t="s">
        <v>17628</v>
      </c>
      <c r="O4436" s="2" t="s">
        <v>9960</v>
      </c>
      <c r="P4436" s="9">
        <v>0</v>
      </c>
      <c r="Q4436" s="9">
        <v>0</v>
      </c>
      <c r="R4436" s="2"/>
    </row>
    <row r="4437" spans="1:18" x14ac:dyDescent="0.25">
      <c r="A4437" s="2" t="s">
        <v>17983</v>
      </c>
      <c r="B4437" s="6">
        <v>46204</v>
      </c>
      <c r="C4437" s="8">
        <v>46219</v>
      </c>
      <c r="D4437" s="2" t="s">
        <v>7433</v>
      </c>
      <c r="E4437" s="2" t="s">
        <v>16959</v>
      </c>
      <c r="F4437" s="2" t="s">
        <v>15304</v>
      </c>
      <c r="G4437" s="2" t="s">
        <v>17984</v>
      </c>
      <c r="H4437" s="2" t="s">
        <v>76</v>
      </c>
      <c r="I4437" s="9">
        <v>231462169.35483801</v>
      </c>
      <c r="J4437" s="7">
        <v>6.2000000000000003E-5</v>
      </c>
      <c r="K4437" s="9">
        <v>14350.65</v>
      </c>
      <c r="L4437" s="14">
        <v>0</v>
      </c>
      <c r="M4437" s="2" t="s">
        <v>71</v>
      </c>
      <c r="N4437" s="2" t="s">
        <v>17628</v>
      </c>
      <c r="O4437" s="2" t="s">
        <v>9965</v>
      </c>
      <c r="P4437" s="9">
        <v>0</v>
      </c>
      <c r="Q4437" s="9">
        <v>0</v>
      </c>
      <c r="R4437" s="2"/>
    </row>
    <row r="4438" spans="1:18" x14ac:dyDescent="0.25">
      <c r="A4438" s="2" t="s">
        <v>17985</v>
      </c>
      <c r="B4438" s="6">
        <v>46204</v>
      </c>
      <c r="C4438" s="8">
        <v>46220</v>
      </c>
      <c r="D4438" s="2" t="s">
        <v>7433</v>
      </c>
      <c r="E4438" s="2" t="s">
        <v>16959</v>
      </c>
      <c r="F4438" s="2" t="s">
        <v>15308</v>
      </c>
      <c r="G4438" s="2" t="s">
        <v>17986</v>
      </c>
      <c r="H4438" s="2" t="s">
        <v>70</v>
      </c>
      <c r="I4438" s="9">
        <v>22293.309270000002</v>
      </c>
      <c r="J4438" s="7">
        <v>0.65800000000000003</v>
      </c>
      <c r="K4438" s="9">
        <v>14669</v>
      </c>
      <c r="L4438" s="14">
        <v>0</v>
      </c>
      <c r="M4438" s="2" t="s">
        <v>71</v>
      </c>
      <c r="N4438" s="2" t="s">
        <v>17628</v>
      </c>
      <c r="O4438" s="2" t="s">
        <v>9970</v>
      </c>
      <c r="P4438" s="9">
        <v>0</v>
      </c>
      <c r="Q4438" s="9">
        <v>0</v>
      </c>
      <c r="R4438" s="2"/>
    </row>
    <row r="4439" spans="1:18" x14ac:dyDescent="0.25">
      <c r="A4439" s="2" t="s">
        <v>17987</v>
      </c>
      <c r="B4439" s="6">
        <v>46204</v>
      </c>
      <c r="C4439" s="8">
        <v>46221</v>
      </c>
      <c r="D4439" s="2" t="s">
        <v>7433</v>
      </c>
      <c r="E4439" s="2" t="s">
        <v>16959</v>
      </c>
      <c r="F4439" s="2" t="s">
        <v>15312</v>
      </c>
      <c r="G4439" s="2" t="s">
        <v>17988</v>
      </c>
      <c r="H4439" s="2" t="s">
        <v>39</v>
      </c>
      <c r="I4439" s="9">
        <v>14987.329</v>
      </c>
      <c r="J4439" s="7">
        <v>1</v>
      </c>
      <c r="K4439" s="9">
        <v>14987.33</v>
      </c>
      <c r="L4439" s="14">
        <v>0</v>
      </c>
      <c r="M4439" s="2" t="s">
        <v>71</v>
      </c>
      <c r="N4439" s="2" t="s">
        <v>17628</v>
      </c>
      <c r="O4439" s="2" t="s">
        <v>9975</v>
      </c>
      <c r="P4439" s="9">
        <v>0</v>
      </c>
      <c r="Q4439" s="9">
        <v>0</v>
      </c>
      <c r="R4439" s="2"/>
    </row>
    <row r="4440" spans="1:18" x14ac:dyDescent="0.25">
      <c r="A4440" s="2" t="s">
        <v>17989</v>
      </c>
      <c r="B4440" s="6">
        <v>46204</v>
      </c>
      <c r="C4440" s="8">
        <v>46222</v>
      </c>
      <c r="D4440" s="2" t="s">
        <v>7433</v>
      </c>
      <c r="E4440" s="2" t="s">
        <v>16959</v>
      </c>
      <c r="F4440" s="2" t="s">
        <v>15316</v>
      </c>
      <c r="G4440" s="2" t="s">
        <v>17990</v>
      </c>
      <c r="H4440" s="2" t="s">
        <v>76</v>
      </c>
      <c r="I4440" s="9">
        <v>246865677.41935501</v>
      </c>
      <c r="J4440" s="7">
        <v>6.2000000000000003E-5</v>
      </c>
      <c r="K4440" s="9">
        <v>15305.67</v>
      </c>
      <c r="L4440" s="14">
        <v>0</v>
      </c>
      <c r="M4440" s="2" t="s">
        <v>71</v>
      </c>
      <c r="N4440" s="2" t="s">
        <v>17628</v>
      </c>
      <c r="O4440" s="2" t="s">
        <v>9980</v>
      </c>
      <c r="P4440" s="9">
        <v>0</v>
      </c>
      <c r="Q4440" s="9">
        <v>0</v>
      </c>
      <c r="R4440" s="2"/>
    </row>
    <row r="4441" spans="1:18" x14ac:dyDescent="0.25">
      <c r="A4441" s="2" t="s">
        <v>17991</v>
      </c>
      <c r="B4441" s="6">
        <v>46204</v>
      </c>
      <c r="C4441" s="8">
        <v>46223</v>
      </c>
      <c r="D4441" s="2" t="s">
        <v>7433</v>
      </c>
      <c r="E4441" s="2" t="s">
        <v>16959</v>
      </c>
      <c r="F4441" s="2" t="s">
        <v>15320</v>
      </c>
      <c r="G4441" s="2" t="s">
        <v>17992</v>
      </c>
      <c r="H4441" s="2" t="s">
        <v>70</v>
      </c>
      <c r="I4441" s="9">
        <v>23744.686170000001</v>
      </c>
      <c r="J4441" s="7">
        <v>0.65800000000000003</v>
      </c>
      <c r="K4441" s="9">
        <v>15624</v>
      </c>
      <c r="L4441" s="14">
        <v>0</v>
      </c>
      <c r="M4441" s="2" t="s">
        <v>71</v>
      </c>
      <c r="N4441" s="2" t="s">
        <v>17628</v>
      </c>
      <c r="O4441" s="2" t="s">
        <v>9985</v>
      </c>
      <c r="P4441" s="9">
        <v>0</v>
      </c>
      <c r="Q4441" s="9">
        <v>0</v>
      </c>
      <c r="R4441" s="2"/>
    </row>
    <row r="4442" spans="1:18" x14ac:dyDescent="0.25">
      <c r="A4442" s="2" t="s">
        <v>17993</v>
      </c>
      <c r="B4442" s="6">
        <v>46204</v>
      </c>
      <c r="C4442" s="8">
        <v>46224</v>
      </c>
      <c r="D4442" s="2" t="s">
        <v>7433</v>
      </c>
      <c r="E4442" s="2" t="s">
        <v>16959</v>
      </c>
      <c r="F4442" s="2" t="s">
        <v>15324</v>
      </c>
      <c r="G4442" s="2" t="s">
        <v>17994</v>
      </c>
      <c r="H4442" s="2" t="s">
        <v>39</v>
      </c>
      <c r="I4442" s="9">
        <v>15942.3465</v>
      </c>
      <c r="J4442" s="7">
        <v>1</v>
      </c>
      <c r="K4442" s="9">
        <v>15942.35</v>
      </c>
      <c r="L4442" s="14">
        <v>0</v>
      </c>
      <c r="M4442" s="2" t="s">
        <v>71</v>
      </c>
      <c r="N4442" s="2" t="s">
        <v>17628</v>
      </c>
      <c r="O4442" s="2" t="s">
        <v>9990</v>
      </c>
      <c r="P4442" s="9">
        <v>0</v>
      </c>
      <c r="Q4442" s="9">
        <v>0</v>
      </c>
      <c r="R4442" s="2"/>
    </row>
    <row r="4443" spans="1:18" x14ac:dyDescent="0.25">
      <c r="A4443" s="2" t="s">
        <v>17995</v>
      </c>
      <c r="B4443" s="6">
        <v>46204</v>
      </c>
      <c r="C4443" s="8">
        <v>46225</v>
      </c>
      <c r="D4443" s="2" t="s">
        <v>7433</v>
      </c>
      <c r="E4443" s="2" t="s">
        <v>16959</v>
      </c>
      <c r="F4443" s="2" t="s">
        <v>15328</v>
      </c>
      <c r="G4443" s="2" t="s">
        <v>17996</v>
      </c>
      <c r="H4443" s="2" t="s">
        <v>76</v>
      </c>
      <c r="I4443" s="9">
        <v>262269185.48387101</v>
      </c>
      <c r="J4443" s="7">
        <v>6.2000000000000003E-5</v>
      </c>
      <c r="K4443" s="9">
        <v>16260.69</v>
      </c>
      <c r="L4443" s="14">
        <v>0</v>
      </c>
      <c r="M4443" s="2" t="s">
        <v>71</v>
      </c>
      <c r="N4443" s="2" t="s">
        <v>17628</v>
      </c>
      <c r="O4443" s="2" t="s">
        <v>9995</v>
      </c>
      <c r="P4443" s="9">
        <v>0</v>
      </c>
      <c r="Q4443" s="9">
        <v>0</v>
      </c>
      <c r="R4443" s="2"/>
    </row>
    <row r="4444" spans="1:18" x14ac:dyDescent="0.25">
      <c r="A4444" s="2" t="s">
        <v>17997</v>
      </c>
      <c r="B4444" s="6">
        <v>46204</v>
      </c>
      <c r="C4444" s="8">
        <v>46226</v>
      </c>
      <c r="D4444" s="2" t="s">
        <v>7433</v>
      </c>
      <c r="E4444" s="2" t="s">
        <v>16959</v>
      </c>
      <c r="F4444" s="2" t="s">
        <v>15332</v>
      </c>
      <c r="G4444" s="2" t="s">
        <v>17998</v>
      </c>
      <c r="H4444" s="2" t="s">
        <v>70</v>
      </c>
      <c r="I4444" s="9">
        <v>25196.080547000001</v>
      </c>
      <c r="J4444" s="7">
        <v>0.65800000000000003</v>
      </c>
      <c r="K4444" s="9">
        <v>16579.02</v>
      </c>
      <c r="L4444" s="14">
        <v>0</v>
      </c>
      <c r="M4444" s="2" t="s">
        <v>71</v>
      </c>
      <c r="N4444" s="2" t="s">
        <v>17628</v>
      </c>
      <c r="O4444" s="2" t="s">
        <v>10000</v>
      </c>
      <c r="P4444" s="9">
        <v>0</v>
      </c>
      <c r="Q4444" s="9">
        <v>0</v>
      </c>
      <c r="R4444" s="2"/>
    </row>
    <row r="4445" spans="1:18" x14ac:dyDescent="0.25">
      <c r="A4445" s="2" t="s">
        <v>17999</v>
      </c>
      <c r="B4445" s="6">
        <v>46204</v>
      </c>
      <c r="C4445" s="8">
        <v>46227</v>
      </c>
      <c r="D4445" s="2" t="s">
        <v>7433</v>
      </c>
      <c r="E4445" s="2" t="s">
        <v>16959</v>
      </c>
      <c r="F4445" s="2" t="s">
        <v>15336</v>
      </c>
      <c r="G4445" s="2" t="s">
        <v>18000</v>
      </c>
      <c r="H4445" s="2" t="s">
        <v>39</v>
      </c>
      <c r="I4445" s="9">
        <v>16897.364000000001</v>
      </c>
      <c r="J4445" s="7">
        <v>1</v>
      </c>
      <c r="K4445" s="9">
        <v>16897.36</v>
      </c>
      <c r="L4445" s="14">
        <v>0</v>
      </c>
      <c r="M4445" s="2" t="s">
        <v>71</v>
      </c>
      <c r="N4445" s="2" t="s">
        <v>17628</v>
      </c>
      <c r="O4445" s="2" t="s">
        <v>10005</v>
      </c>
      <c r="P4445" s="9">
        <v>0</v>
      </c>
      <c r="Q4445" s="9">
        <v>0</v>
      </c>
      <c r="R4445" s="2"/>
    </row>
    <row r="4446" spans="1:18" x14ac:dyDescent="0.25">
      <c r="A4446" s="2" t="s">
        <v>18001</v>
      </c>
      <c r="B4446" s="6">
        <v>46204</v>
      </c>
      <c r="C4446" s="8">
        <v>46228</v>
      </c>
      <c r="D4446" s="2" t="s">
        <v>7433</v>
      </c>
      <c r="E4446" s="2" t="s">
        <v>16959</v>
      </c>
      <c r="F4446" s="2" t="s">
        <v>15300</v>
      </c>
      <c r="G4446" s="2" t="s">
        <v>18002</v>
      </c>
      <c r="H4446" s="2" t="s">
        <v>76</v>
      </c>
      <c r="I4446" s="9">
        <v>277672693.54838699</v>
      </c>
      <c r="J4446" s="7">
        <v>6.2000000000000003E-5</v>
      </c>
      <c r="K4446" s="9">
        <v>17215.71</v>
      </c>
      <c r="L4446" s="14">
        <v>0</v>
      </c>
      <c r="M4446" s="2" t="s">
        <v>71</v>
      </c>
      <c r="N4446" s="2" t="s">
        <v>17628</v>
      </c>
      <c r="O4446" s="2" t="s">
        <v>10010</v>
      </c>
      <c r="P4446" s="9">
        <v>0</v>
      </c>
      <c r="Q4446" s="9">
        <v>0</v>
      </c>
      <c r="R4446" s="2"/>
    </row>
    <row r="4447" spans="1:18" x14ac:dyDescent="0.25">
      <c r="A4447" s="2" t="s">
        <v>18003</v>
      </c>
      <c r="B4447" s="6">
        <v>46204</v>
      </c>
      <c r="C4447" s="8">
        <v>46229</v>
      </c>
      <c r="D4447" s="2" t="s">
        <v>7433</v>
      </c>
      <c r="E4447" s="2" t="s">
        <v>16959</v>
      </c>
      <c r="F4447" s="2" t="s">
        <v>15304</v>
      </c>
      <c r="G4447" s="2" t="s">
        <v>18004</v>
      </c>
      <c r="H4447" s="2" t="s">
        <v>70</v>
      </c>
      <c r="I4447" s="9">
        <v>26647.474923999998</v>
      </c>
      <c r="J4447" s="7">
        <v>0.65800000000000003</v>
      </c>
      <c r="K4447" s="9">
        <v>17534.04</v>
      </c>
      <c r="L4447" s="14">
        <v>0</v>
      </c>
      <c r="M4447" s="2" t="s">
        <v>71</v>
      </c>
      <c r="N4447" s="2" t="s">
        <v>17628</v>
      </c>
      <c r="O4447" s="2" t="s">
        <v>10015</v>
      </c>
      <c r="P4447" s="9">
        <v>0</v>
      </c>
      <c r="Q4447" s="9">
        <v>0</v>
      </c>
      <c r="R4447" s="2"/>
    </row>
    <row r="4448" spans="1:18" x14ac:dyDescent="0.25">
      <c r="A4448" s="2" t="s">
        <v>18005</v>
      </c>
      <c r="B4448" s="6">
        <v>46204</v>
      </c>
      <c r="C4448" s="8">
        <v>46230</v>
      </c>
      <c r="D4448" s="2" t="s">
        <v>7433</v>
      </c>
      <c r="E4448" s="2" t="s">
        <v>16959</v>
      </c>
      <c r="F4448" s="2" t="s">
        <v>15308</v>
      </c>
      <c r="G4448" s="2" t="s">
        <v>18006</v>
      </c>
      <c r="H4448" s="2" t="s">
        <v>39</v>
      </c>
      <c r="I4448" s="9">
        <v>17852.3815</v>
      </c>
      <c r="J4448" s="7">
        <v>1</v>
      </c>
      <c r="K4448" s="9">
        <v>17852.38</v>
      </c>
      <c r="L4448" s="14">
        <v>0</v>
      </c>
      <c r="M4448" s="2" t="s">
        <v>71</v>
      </c>
      <c r="N4448" s="2" t="s">
        <v>17628</v>
      </c>
      <c r="O4448" s="2" t="s">
        <v>10020</v>
      </c>
      <c r="P4448" s="9">
        <v>0</v>
      </c>
      <c r="Q4448" s="9">
        <v>0</v>
      </c>
      <c r="R4448" s="2"/>
    </row>
    <row r="4449" spans="1:18" x14ac:dyDescent="0.25">
      <c r="A4449" s="2" t="s">
        <v>18007</v>
      </c>
      <c r="B4449" s="6">
        <v>46204</v>
      </c>
      <c r="C4449" s="8">
        <v>46231</v>
      </c>
      <c r="D4449" s="2" t="s">
        <v>7433</v>
      </c>
      <c r="E4449" s="2" t="s">
        <v>16959</v>
      </c>
      <c r="F4449" s="2" t="s">
        <v>15312</v>
      </c>
      <c r="G4449" s="2" t="s">
        <v>18008</v>
      </c>
      <c r="H4449" s="2" t="s">
        <v>76</v>
      </c>
      <c r="I4449" s="9">
        <v>293076016.12903202</v>
      </c>
      <c r="J4449" s="7">
        <v>6.2000000000000003E-5</v>
      </c>
      <c r="K4449" s="9">
        <v>18170.71</v>
      </c>
      <c r="L4449" s="14">
        <v>0</v>
      </c>
      <c r="M4449" s="2" t="s">
        <v>71</v>
      </c>
      <c r="N4449" s="2" t="s">
        <v>17628</v>
      </c>
      <c r="O4449" s="2" t="s">
        <v>10025</v>
      </c>
      <c r="P4449" s="9">
        <v>0</v>
      </c>
      <c r="Q4449" s="9">
        <v>0</v>
      </c>
      <c r="R4449" s="2"/>
    </row>
    <row r="4450" spans="1:18" x14ac:dyDescent="0.25">
      <c r="A4450" s="2" t="s">
        <v>18009</v>
      </c>
      <c r="B4450" s="6">
        <v>46204</v>
      </c>
      <c r="C4450" s="8">
        <v>46232</v>
      </c>
      <c r="D4450" s="2" t="s">
        <v>7433</v>
      </c>
      <c r="E4450" s="2" t="s">
        <v>16959</v>
      </c>
      <c r="F4450" s="2" t="s">
        <v>15316</v>
      </c>
      <c r="G4450" s="2" t="s">
        <v>18010</v>
      </c>
      <c r="H4450" s="2" t="s">
        <v>70</v>
      </c>
      <c r="I4450" s="9">
        <v>28098.869300999999</v>
      </c>
      <c r="J4450" s="7">
        <v>0.65800000000000003</v>
      </c>
      <c r="K4450" s="9">
        <v>18489.060000000001</v>
      </c>
      <c r="L4450" s="14">
        <v>0</v>
      </c>
      <c r="M4450" s="2" t="s">
        <v>71</v>
      </c>
      <c r="N4450" s="2" t="s">
        <v>17628</v>
      </c>
      <c r="O4450" s="2" t="s">
        <v>10030</v>
      </c>
      <c r="P4450" s="9">
        <v>0</v>
      </c>
      <c r="Q4450" s="9">
        <v>0</v>
      </c>
      <c r="R4450" s="2"/>
    </row>
    <row r="4451" spans="1:18" x14ac:dyDescent="0.25">
      <c r="A4451" s="2" t="s">
        <v>18011</v>
      </c>
      <c r="B4451" s="6">
        <v>46204</v>
      </c>
      <c r="C4451" s="8">
        <v>46233</v>
      </c>
      <c r="D4451" s="2" t="s">
        <v>7433</v>
      </c>
      <c r="E4451" s="2" t="s">
        <v>16959</v>
      </c>
      <c r="F4451" s="2" t="s">
        <v>15320</v>
      </c>
      <c r="G4451" s="2" t="s">
        <v>18012</v>
      </c>
      <c r="H4451" s="2" t="s">
        <v>39</v>
      </c>
      <c r="I4451" s="9">
        <v>18807.399000000001</v>
      </c>
      <c r="J4451" s="7">
        <v>1</v>
      </c>
      <c r="K4451" s="9">
        <v>18807.400000000001</v>
      </c>
      <c r="L4451" s="14">
        <v>0</v>
      </c>
      <c r="M4451" s="2" t="s">
        <v>71</v>
      </c>
      <c r="N4451" s="2" t="s">
        <v>17628</v>
      </c>
      <c r="O4451" s="2" t="s">
        <v>10035</v>
      </c>
      <c r="P4451" s="9">
        <v>0</v>
      </c>
      <c r="Q4451" s="9">
        <v>0</v>
      </c>
      <c r="R4451" s="2"/>
    </row>
    <row r="4452" spans="1:18" x14ac:dyDescent="0.25">
      <c r="A4452" s="2" t="s">
        <v>18013</v>
      </c>
      <c r="B4452" s="6">
        <v>46204</v>
      </c>
      <c r="C4452" s="8">
        <v>46234</v>
      </c>
      <c r="D4452" s="2" t="s">
        <v>7433</v>
      </c>
      <c r="E4452" s="2" t="s">
        <v>16959</v>
      </c>
      <c r="F4452" s="2" t="s">
        <v>15324</v>
      </c>
      <c r="G4452" s="2" t="s">
        <v>18014</v>
      </c>
      <c r="H4452" s="2" t="s">
        <v>76</v>
      </c>
      <c r="I4452" s="9">
        <v>308479524.19354802</v>
      </c>
      <c r="J4452" s="7">
        <v>6.2000000000000003E-5</v>
      </c>
      <c r="K4452" s="9">
        <v>19125.73</v>
      </c>
      <c r="L4452" s="14">
        <v>0</v>
      </c>
      <c r="M4452" s="2" t="s">
        <v>71</v>
      </c>
      <c r="N4452" s="2" t="s">
        <v>17628</v>
      </c>
      <c r="O4452" s="2" t="s">
        <v>10040</v>
      </c>
      <c r="P4452" s="9">
        <v>0</v>
      </c>
      <c r="Q4452" s="9">
        <v>0</v>
      </c>
      <c r="R4452" s="2"/>
    </row>
    <row r="4453" spans="1:18" x14ac:dyDescent="0.25">
      <c r="A4453" s="2" t="s">
        <v>18015</v>
      </c>
      <c r="B4453" s="6">
        <v>46204</v>
      </c>
      <c r="C4453" s="8">
        <v>46204</v>
      </c>
      <c r="D4453" s="2" t="s">
        <v>7433</v>
      </c>
      <c r="E4453" s="2" t="s">
        <v>16959</v>
      </c>
      <c r="F4453" s="2" t="s">
        <v>15328</v>
      </c>
      <c r="G4453" s="2" t="s">
        <v>18016</v>
      </c>
      <c r="H4453" s="2" t="s">
        <v>70</v>
      </c>
      <c r="I4453" s="9">
        <v>29550.263677999999</v>
      </c>
      <c r="J4453" s="7">
        <v>0.65800000000000003</v>
      </c>
      <c r="K4453" s="9">
        <v>19444.07</v>
      </c>
      <c r="L4453" s="14">
        <v>0</v>
      </c>
      <c r="M4453" s="2" t="s">
        <v>71</v>
      </c>
      <c r="N4453" s="2" t="s">
        <v>17628</v>
      </c>
      <c r="O4453" s="2" t="s">
        <v>10045</v>
      </c>
      <c r="P4453" s="9">
        <v>0</v>
      </c>
      <c r="Q4453" s="9">
        <v>0</v>
      </c>
      <c r="R4453" s="2"/>
    </row>
    <row r="4454" spans="1:18" x14ac:dyDescent="0.25">
      <c r="A4454" s="2" t="s">
        <v>18017</v>
      </c>
      <c r="B4454" s="6">
        <v>46204</v>
      </c>
      <c r="C4454" s="8">
        <v>46205</v>
      </c>
      <c r="D4454" s="2" t="s">
        <v>7433</v>
      </c>
      <c r="E4454" s="2" t="s">
        <v>16959</v>
      </c>
      <c r="F4454" s="2" t="s">
        <v>15332</v>
      </c>
      <c r="G4454" s="2" t="s">
        <v>18018</v>
      </c>
      <c r="H4454" s="2" t="s">
        <v>39</v>
      </c>
      <c r="I4454" s="9">
        <v>19762.404999999999</v>
      </c>
      <c r="J4454" s="7">
        <v>1</v>
      </c>
      <c r="K4454" s="9">
        <v>19762.41</v>
      </c>
      <c r="L4454" s="14">
        <v>0</v>
      </c>
      <c r="M4454" s="2" t="s">
        <v>71</v>
      </c>
      <c r="N4454" s="2" t="s">
        <v>17628</v>
      </c>
      <c r="O4454" s="2" t="s">
        <v>10050</v>
      </c>
      <c r="P4454" s="9">
        <v>0</v>
      </c>
      <c r="Q4454" s="9">
        <v>0</v>
      </c>
      <c r="R4454" s="2"/>
    </row>
    <row r="4455" spans="1:18" x14ac:dyDescent="0.25">
      <c r="A4455" s="2" t="s">
        <v>18019</v>
      </c>
      <c r="B4455" s="6">
        <v>46204</v>
      </c>
      <c r="C4455" s="8">
        <v>46206</v>
      </c>
      <c r="D4455" s="2" t="s">
        <v>7433</v>
      </c>
      <c r="E4455" s="2" t="s">
        <v>16959</v>
      </c>
      <c r="F4455" s="2" t="s">
        <v>15336</v>
      </c>
      <c r="G4455" s="2" t="s">
        <v>18020</v>
      </c>
      <c r="H4455" s="2" t="s">
        <v>76</v>
      </c>
      <c r="I4455" s="9">
        <v>323883032.25806499</v>
      </c>
      <c r="J4455" s="7">
        <v>6.2000000000000003E-5</v>
      </c>
      <c r="K4455" s="9">
        <v>20080.75</v>
      </c>
      <c r="L4455" s="14">
        <v>0</v>
      </c>
      <c r="M4455" s="2" t="s">
        <v>71</v>
      </c>
      <c r="N4455" s="2" t="s">
        <v>17628</v>
      </c>
      <c r="O4455" s="2" t="s">
        <v>10055</v>
      </c>
      <c r="P4455" s="9">
        <v>0</v>
      </c>
      <c r="Q4455" s="9">
        <v>0</v>
      </c>
      <c r="R4455" s="2"/>
    </row>
    <row r="4456" spans="1:18" x14ac:dyDescent="0.25">
      <c r="A4456" s="2" t="s">
        <v>18021</v>
      </c>
      <c r="B4456" s="6">
        <v>46204</v>
      </c>
      <c r="C4456" s="8">
        <v>46207</v>
      </c>
      <c r="D4456" s="2" t="s">
        <v>7433</v>
      </c>
      <c r="E4456" s="2" t="s">
        <v>16959</v>
      </c>
      <c r="F4456" s="2" t="s">
        <v>15300</v>
      </c>
      <c r="G4456" s="2" t="s">
        <v>18022</v>
      </c>
      <c r="H4456" s="2" t="s">
        <v>70</v>
      </c>
      <c r="I4456" s="9">
        <v>31001.658055</v>
      </c>
      <c r="J4456" s="7">
        <v>0.65800000000000003</v>
      </c>
      <c r="K4456" s="9">
        <v>20399.09</v>
      </c>
      <c r="L4456" s="14">
        <v>0</v>
      </c>
      <c r="M4456" s="2" t="s">
        <v>71</v>
      </c>
      <c r="N4456" s="2" t="s">
        <v>17628</v>
      </c>
      <c r="O4456" s="2" t="s">
        <v>10060</v>
      </c>
      <c r="P4456" s="9">
        <v>0</v>
      </c>
      <c r="Q4456" s="9">
        <v>0</v>
      </c>
      <c r="R4456" s="2"/>
    </row>
    <row r="4457" spans="1:18" x14ac:dyDescent="0.25">
      <c r="A4457" s="2" t="s">
        <v>18023</v>
      </c>
      <c r="B4457" s="6">
        <v>46204</v>
      </c>
      <c r="C4457" s="8">
        <v>46208</v>
      </c>
      <c r="D4457" s="2" t="s">
        <v>7433</v>
      </c>
      <c r="E4457" s="2" t="s">
        <v>16959</v>
      </c>
      <c r="F4457" s="2" t="s">
        <v>15304</v>
      </c>
      <c r="G4457" s="2" t="s">
        <v>18024</v>
      </c>
      <c r="H4457" s="2" t="s">
        <v>39</v>
      </c>
      <c r="I4457" s="9">
        <v>20717.422500000001</v>
      </c>
      <c r="J4457" s="7">
        <v>1</v>
      </c>
      <c r="K4457" s="9">
        <v>20717.419999999998</v>
      </c>
      <c r="L4457" s="14">
        <v>0</v>
      </c>
      <c r="M4457" s="2" t="s">
        <v>71</v>
      </c>
      <c r="N4457" s="2" t="s">
        <v>17628</v>
      </c>
      <c r="O4457" s="2" t="s">
        <v>10065</v>
      </c>
      <c r="P4457" s="9">
        <v>0</v>
      </c>
      <c r="Q4457" s="9">
        <v>0</v>
      </c>
      <c r="R4457" s="2"/>
    </row>
    <row r="4458" spans="1:18" x14ac:dyDescent="0.25">
      <c r="A4458" s="2" t="s">
        <v>18025</v>
      </c>
      <c r="B4458" s="6">
        <v>46204</v>
      </c>
      <c r="C4458" s="8">
        <v>46209</v>
      </c>
      <c r="D4458" s="2" t="s">
        <v>7433</v>
      </c>
      <c r="E4458" s="2" t="s">
        <v>16959</v>
      </c>
      <c r="F4458" s="2" t="s">
        <v>15308</v>
      </c>
      <c r="G4458" s="2" t="s">
        <v>18026</v>
      </c>
      <c r="H4458" s="2" t="s">
        <v>76</v>
      </c>
      <c r="I4458" s="9">
        <v>-339286540.32257998</v>
      </c>
      <c r="J4458" s="7">
        <v>6.2000000000000003E-5</v>
      </c>
      <c r="K4458" s="9">
        <v>-21035.77</v>
      </c>
      <c r="L4458" s="14">
        <v>0</v>
      </c>
      <c r="M4458" s="2" t="s">
        <v>71</v>
      </c>
      <c r="N4458" s="2" t="s">
        <v>17628</v>
      </c>
      <c r="O4458" s="2" t="s">
        <v>10070</v>
      </c>
      <c r="P4458" s="9">
        <v>0</v>
      </c>
      <c r="Q4458" s="9">
        <v>0</v>
      </c>
      <c r="R4458" s="2"/>
    </row>
    <row r="4459" spans="1:18" x14ac:dyDescent="0.25">
      <c r="A4459" s="2" t="s">
        <v>18027</v>
      </c>
      <c r="B4459" s="6">
        <v>46204</v>
      </c>
      <c r="C4459" s="8">
        <v>46210</v>
      </c>
      <c r="D4459" s="2" t="s">
        <v>7433</v>
      </c>
      <c r="E4459" s="2" t="s">
        <v>16959</v>
      </c>
      <c r="F4459" s="2" t="s">
        <v>15312</v>
      </c>
      <c r="G4459" s="2" t="s">
        <v>18028</v>
      </c>
      <c r="H4459" s="2" t="s">
        <v>70</v>
      </c>
      <c r="I4459" s="9">
        <v>32453.052432</v>
      </c>
      <c r="J4459" s="7">
        <v>0.65800000000000003</v>
      </c>
      <c r="K4459" s="9">
        <v>21354.11</v>
      </c>
      <c r="L4459" s="14">
        <v>0</v>
      </c>
      <c r="M4459" s="2" t="s">
        <v>71</v>
      </c>
      <c r="N4459" s="2" t="s">
        <v>17628</v>
      </c>
      <c r="O4459" s="2" t="s">
        <v>10073</v>
      </c>
      <c r="P4459" s="9">
        <v>0</v>
      </c>
      <c r="Q4459" s="9">
        <v>0</v>
      </c>
      <c r="R4459" s="2"/>
    </row>
    <row r="4460" spans="1:18" x14ac:dyDescent="0.25">
      <c r="A4460" s="2" t="s">
        <v>18029</v>
      </c>
      <c r="B4460" s="6">
        <v>46204</v>
      </c>
      <c r="C4460" s="8">
        <v>46211</v>
      </c>
      <c r="D4460" s="2" t="s">
        <v>7433</v>
      </c>
      <c r="E4460" s="2" t="s">
        <v>16959</v>
      </c>
      <c r="F4460" s="2" t="s">
        <v>15316</v>
      </c>
      <c r="G4460" s="2" t="s">
        <v>18030</v>
      </c>
      <c r="H4460" s="2" t="s">
        <v>39</v>
      </c>
      <c r="I4460" s="9">
        <v>21672.44</v>
      </c>
      <c r="J4460" s="7">
        <v>1</v>
      </c>
      <c r="K4460" s="9">
        <v>21672.44</v>
      </c>
      <c r="L4460" s="14">
        <v>0</v>
      </c>
      <c r="M4460" s="2" t="s">
        <v>71</v>
      </c>
      <c r="N4460" s="2" t="s">
        <v>17628</v>
      </c>
      <c r="O4460" s="2" t="s">
        <v>10078</v>
      </c>
      <c r="P4460" s="9">
        <v>0</v>
      </c>
      <c r="Q4460" s="9">
        <v>0</v>
      </c>
      <c r="R4460" s="2"/>
    </row>
    <row r="4461" spans="1:18" x14ac:dyDescent="0.25">
      <c r="A4461" s="2" t="s">
        <v>18031</v>
      </c>
      <c r="B4461" s="6">
        <v>46204</v>
      </c>
      <c r="C4461" s="8">
        <v>46212</v>
      </c>
      <c r="D4461" s="2" t="s">
        <v>7433</v>
      </c>
      <c r="E4461" s="2" t="s">
        <v>16959</v>
      </c>
      <c r="F4461" s="2" t="s">
        <v>15320</v>
      </c>
      <c r="G4461" s="2" t="s">
        <v>18032</v>
      </c>
      <c r="H4461" s="2" t="s">
        <v>76</v>
      </c>
      <c r="I4461" s="9">
        <v>354690048.387097</v>
      </c>
      <c r="J4461" s="7">
        <v>6.2000000000000003E-5</v>
      </c>
      <c r="K4461" s="9">
        <v>21990.78</v>
      </c>
      <c r="L4461" s="14">
        <v>0</v>
      </c>
      <c r="M4461" s="2" t="s">
        <v>71</v>
      </c>
      <c r="N4461" s="2" t="s">
        <v>17628</v>
      </c>
      <c r="O4461" s="2" t="s">
        <v>10083</v>
      </c>
      <c r="P4461" s="9">
        <v>0</v>
      </c>
      <c r="Q4461" s="9">
        <v>0</v>
      </c>
      <c r="R4461" s="2"/>
    </row>
    <row r="4462" spans="1:18" x14ac:dyDescent="0.25">
      <c r="A4462" s="2" t="s">
        <v>18033</v>
      </c>
      <c r="B4462" s="6">
        <v>46204</v>
      </c>
      <c r="C4462" s="8">
        <v>46213</v>
      </c>
      <c r="D4462" s="2" t="s">
        <v>7433</v>
      </c>
      <c r="E4462" s="2" t="s">
        <v>16959</v>
      </c>
      <c r="F4462" s="2" t="s">
        <v>15324</v>
      </c>
      <c r="G4462" s="2" t="s">
        <v>18034</v>
      </c>
      <c r="H4462" s="2" t="s">
        <v>70</v>
      </c>
      <c r="I4462" s="9">
        <v>33904.429330999999</v>
      </c>
      <c r="J4462" s="7">
        <v>0.65800000000000003</v>
      </c>
      <c r="K4462" s="9">
        <v>22309.11</v>
      </c>
      <c r="L4462" s="14">
        <v>0</v>
      </c>
      <c r="M4462" s="2" t="s">
        <v>71</v>
      </c>
      <c r="N4462" s="2" t="s">
        <v>17628</v>
      </c>
      <c r="O4462" s="2" t="s">
        <v>10088</v>
      </c>
      <c r="P4462" s="9">
        <v>0</v>
      </c>
      <c r="Q4462" s="9">
        <v>0</v>
      </c>
      <c r="R4462" s="2"/>
    </row>
    <row r="4463" spans="1:18" x14ac:dyDescent="0.25">
      <c r="A4463" s="2" t="s">
        <v>18035</v>
      </c>
      <c r="B4463" s="6">
        <v>46204</v>
      </c>
      <c r="C4463" s="8">
        <v>46214</v>
      </c>
      <c r="D4463" s="2" t="s">
        <v>7433</v>
      </c>
      <c r="E4463" s="2" t="s">
        <v>16959</v>
      </c>
      <c r="F4463" s="2" t="s">
        <v>15328</v>
      </c>
      <c r="G4463" s="2" t="s">
        <v>18036</v>
      </c>
      <c r="H4463" s="2" t="s">
        <v>39</v>
      </c>
      <c r="I4463" s="9">
        <v>22627.4575</v>
      </c>
      <c r="J4463" s="7">
        <v>1</v>
      </c>
      <c r="K4463" s="9">
        <v>22627.46</v>
      </c>
      <c r="L4463" s="14">
        <v>0</v>
      </c>
      <c r="M4463" s="2" t="s">
        <v>71</v>
      </c>
      <c r="N4463" s="2" t="s">
        <v>17628</v>
      </c>
      <c r="O4463" s="2" t="s">
        <v>10093</v>
      </c>
      <c r="P4463" s="9">
        <v>0</v>
      </c>
      <c r="Q4463" s="9">
        <v>0</v>
      </c>
      <c r="R4463" s="2"/>
    </row>
    <row r="4464" spans="1:18" x14ac:dyDescent="0.25">
      <c r="A4464" s="2" t="s">
        <v>18037</v>
      </c>
      <c r="B4464" s="6">
        <v>46204</v>
      </c>
      <c r="C4464" s="8">
        <v>46215</v>
      </c>
      <c r="D4464" s="2" t="s">
        <v>7433</v>
      </c>
      <c r="E4464" s="2" t="s">
        <v>16959</v>
      </c>
      <c r="F4464" s="2" t="s">
        <v>15332</v>
      </c>
      <c r="G4464" s="2" t="s">
        <v>18038</v>
      </c>
      <c r="H4464" s="2" t="s">
        <v>76</v>
      </c>
      <c r="I4464" s="9">
        <v>370093370.96774203</v>
      </c>
      <c r="J4464" s="7">
        <v>6.2000000000000003E-5</v>
      </c>
      <c r="K4464" s="9">
        <v>22945.79</v>
      </c>
      <c r="L4464" s="14">
        <v>0</v>
      </c>
      <c r="M4464" s="2" t="s">
        <v>71</v>
      </c>
      <c r="N4464" s="2" t="s">
        <v>17628</v>
      </c>
      <c r="O4464" s="2" t="s">
        <v>10098</v>
      </c>
      <c r="P4464" s="9">
        <v>0</v>
      </c>
      <c r="Q4464" s="9">
        <v>0</v>
      </c>
      <c r="R4464" s="2"/>
    </row>
    <row r="4465" spans="1:18" x14ac:dyDescent="0.25">
      <c r="A4465" s="2" t="s">
        <v>18039</v>
      </c>
      <c r="B4465" s="6">
        <v>46204</v>
      </c>
      <c r="C4465" s="8">
        <v>46216</v>
      </c>
      <c r="D4465" s="2" t="s">
        <v>7433</v>
      </c>
      <c r="E4465" s="2" t="s">
        <v>16959</v>
      </c>
      <c r="F4465" s="2" t="s">
        <v>15336</v>
      </c>
      <c r="G4465" s="2" t="s">
        <v>18040</v>
      </c>
      <c r="H4465" s="2" t="s">
        <v>70</v>
      </c>
      <c r="I4465" s="9">
        <v>35355.823708000004</v>
      </c>
      <c r="J4465" s="7">
        <v>0.65800000000000003</v>
      </c>
      <c r="K4465" s="9">
        <v>23264.13</v>
      </c>
      <c r="L4465" s="14">
        <v>0</v>
      </c>
      <c r="M4465" s="2" t="s">
        <v>71</v>
      </c>
      <c r="N4465" s="2" t="s">
        <v>17628</v>
      </c>
      <c r="O4465" s="2" t="s">
        <v>10103</v>
      </c>
      <c r="P4465" s="9">
        <v>0</v>
      </c>
      <c r="Q4465" s="9">
        <v>0</v>
      </c>
      <c r="R4465" s="2"/>
    </row>
    <row r="4466" spans="1:18" x14ac:dyDescent="0.25">
      <c r="A4466" s="2" t="s">
        <v>18041</v>
      </c>
      <c r="B4466" s="6">
        <v>46204</v>
      </c>
      <c r="C4466" s="8">
        <v>46217</v>
      </c>
      <c r="D4466" s="2" t="s">
        <v>7433</v>
      </c>
      <c r="E4466" s="2" t="s">
        <v>16959</v>
      </c>
      <c r="F4466" s="2" t="s">
        <v>15300</v>
      </c>
      <c r="G4466" s="2" t="s">
        <v>18042</v>
      </c>
      <c r="H4466" s="2" t="s">
        <v>39</v>
      </c>
      <c r="I4466" s="9">
        <v>23582.474999999999</v>
      </c>
      <c r="J4466" s="7">
        <v>1</v>
      </c>
      <c r="K4466" s="9">
        <v>23582.48</v>
      </c>
      <c r="L4466" s="14">
        <v>0</v>
      </c>
      <c r="M4466" s="2" t="s">
        <v>71</v>
      </c>
      <c r="N4466" s="2" t="s">
        <v>17628</v>
      </c>
      <c r="O4466" s="2" t="s">
        <v>10108</v>
      </c>
      <c r="P4466" s="9">
        <v>0</v>
      </c>
      <c r="Q4466" s="9">
        <v>0</v>
      </c>
      <c r="R4466" s="2"/>
    </row>
    <row r="4467" spans="1:18" x14ac:dyDescent="0.25">
      <c r="A4467" s="2" t="s">
        <v>18043</v>
      </c>
      <c r="B4467" s="6">
        <v>46204</v>
      </c>
      <c r="C4467" s="8">
        <v>46218</v>
      </c>
      <c r="D4467" s="2" t="s">
        <v>7433</v>
      </c>
      <c r="E4467" s="2" t="s">
        <v>16959</v>
      </c>
      <c r="F4467" s="2" t="s">
        <v>15304</v>
      </c>
      <c r="G4467" s="2" t="s">
        <v>18044</v>
      </c>
      <c r="H4467" s="2" t="s">
        <v>76</v>
      </c>
      <c r="I4467" s="9">
        <v>385496879.03225797</v>
      </c>
      <c r="J4467" s="7">
        <v>6.2000000000000003E-5</v>
      </c>
      <c r="K4467" s="9">
        <v>23900.81</v>
      </c>
      <c r="L4467" s="14">
        <v>0</v>
      </c>
      <c r="M4467" s="2" t="s">
        <v>71</v>
      </c>
      <c r="N4467" s="2" t="s">
        <v>17628</v>
      </c>
      <c r="O4467" s="2" t="s">
        <v>10113</v>
      </c>
      <c r="P4467" s="9">
        <v>0</v>
      </c>
      <c r="Q4467" s="9">
        <v>0</v>
      </c>
      <c r="R4467" s="2"/>
    </row>
    <row r="4468" spans="1:18" x14ac:dyDescent="0.25">
      <c r="A4468" s="2" t="s">
        <v>18045</v>
      </c>
      <c r="B4468" s="6">
        <v>46204</v>
      </c>
      <c r="C4468" s="8">
        <v>46219</v>
      </c>
      <c r="D4468" s="2" t="s">
        <v>7433</v>
      </c>
      <c r="E4468" s="2" t="s">
        <v>16959</v>
      </c>
      <c r="F4468" s="2" t="s">
        <v>15308</v>
      </c>
      <c r="G4468" s="2" t="s">
        <v>18046</v>
      </c>
      <c r="H4468" s="2" t="s">
        <v>70</v>
      </c>
      <c r="I4468" s="9">
        <v>36807.218085</v>
      </c>
      <c r="J4468" s="7">
        <v>0.65800000000000003</v>
      </c>
      <c r="K4468" s="9">
        <v>24219.15</v>
      </c>
      <c r="L4468" s="14">
        <v>0</v>
      </c>
      <c r="M4468" s="2" t="s">
        <v>71</v>
      </c>
      <c r="N4468" s="2" t="s">
        <v>17628</v>
      </c>
      <c r="O4468" s="2" t="s">
        <v>10118</v>
      </c>
      <c r="P4468" s="9">
        <v>0</v>
      </c>
      <c r="Q4468" s="9">
        <v>0</v>
      </c>
      <c r="R4468" s="2"/>
    </row>
    <row r="4469" spans="1:18" x14ac:dyDescent="0.25">
      <c r="A4469" s="2" t="s">
        <v>18047</v>
      </c>
      <c r="B4469" s="6">
        <v>46204</v>
      </c>
      <c r="C4469" s="8">
        <v>46220</v>
      </c>
      <c r="D4469" s="2" t="s">
        <v>7433</v>
      </c>
      <c r="E4469" s="2" t="s">
        <v>16959</v>
      </c>
      <c r="F4469" s="2" t="s">
        <v>15312</v>
      </c>
      <c r="G4469" s="2" t="s">
        <v>18048</v>
      </c>
      <c r="H4469" s="2" t="s">
        <v>39</v>
      </c>
      <c r="I4469" s="9">
        <v>24537.481</v>
      </c>
      <c r="J4469" s="7">
        <v>1</v>
      </c>
      <c r="K4469" s="9">
        <v>24537.48</v>
      </c>
      <c r="L4469" s="14">
        <v>0</v>
      </c>
      <c r="M4469" s="2" t="s">
        <v>71</v>
      </c>
      <c r="N4469" s="2" t="s">
        <v>17628</v>
      </c>
      <c r="O4469" s="2" t="s">
        <v>10123</v>
      </c>
      <c r="P4469" s="9">
        <v>0</v>
      </c>
      <c r="Q4469" s="9">
        <v>0</v>
      </c>
      <c r="R4469" s="2"/>
    </row>
    <row r="4470" spans="1:18" x14ac:dyDescent="0.25">
      <c r="A4470" s="2" t="s">
        <v>18049</v>
      </c>
      <c r="B4470" s="6">
        <v>46204</v>
      </c>
      <c r="C4470" s="8">
        <v>46221</v>
      </c>
      <c r="D4470" s="2" t="s">
        <v>7433</v>
      </c>
      <c r="E4470" s="2" t="s">
        <v>16959</v>
      </c>
      <c r="F4470" s="2" t="s">
        <v>15316</v>
      </c>
      <c r="G4470" s="2" t="s">
        <v>18050</v>
      </c>
      <c r="H4470" s="2" t="s">
        <v>76</v>
      </c>
      <c r="I4470" s="9">
        <v>400900387.09677398</v>
      </c>
      <c r="J4470" s="7">
        <v>6.2000000000000003E-5</v>
      </c>
      <c r="K4470" s="9">
        <v>24855.82</v>
      </c>
      <c r="L4470" s="14">
        <v>0</v>
      </c>
      <c r="M4470" s="2" t="s">
        <v>71</v>
      </c>
      <c r="N4470" s="2" t="s">
        <v>17628</v>
      </c>
      <c r="O4470" s="2" t="s">
        <v>10128</v>
      </c>
      <c r="P4470" s="9">
        <v>0</v>
      </c>
      <c r="Q4470" s="9">
        <v>0</v>
      </c>
      <c r="R4470" s="2"/>
    </row>
    <row r="4471" spans="1:18" x14ac:dyDescent="0.25">
      <c r="A4471" s="2" t="s">
        <v>18051</v>
      </c>
      <c r="B4471" s="6">
        <v>46204</v>
      </c>
      <c r="C4471" s="8">
        <v>46222</v>
      </c>
      <c r="D4471" s="2" t="s">
        <v>7433</v>
      </c>
      <c r="E4471" s="2" t="s">
        <v>16959</v>
      </c>
      <c r="F4471" s="2" t="s">
        <v>15320</v>
      </c>
      <c r="G4471" s="2" t="s">
        <v>18052</v>
      </c>
      <c r="H4471" s="2" t="s">
        <v>70</v>
      </c>
      <c r="I4471" s="9">
        <v>38258.594985000003</v>
      </c>
      <c r="J4471" s="7">
        <v>0.65800000000000003</v>
      </c>
      <c r="K4471" s="9">
        <v>25174.16</v>
      </c>
      <c r="L4471" s="14">
        <v>0</v>
      </c>
      <c r="M4471" s="2" t="s">
        <v>71</v>
      </c>
      <c r="N4471" s="2" t="s">
        <v>17628</v>
      </c>
      <c r="O4471" s="2" t="s">
        <v>10133</v>
      </c>
      <c r="P4471" s="9">
        <v>0</v>
      </c>
      <c r="Q4471" s="9">
        <v>0</v>
      </c>
      <c r="R4471" s="2"/>
    </row>
    <row r="4472" spans="1:18" x14ac:dyDescent="0.25">
      <c r="A4472" s="2" t="s">
        <v>18053</v>
      </c>
      <c r="B4472" s="6">
        <v>46204</v>
      </c>
      <c r="C4472" s="8">
        <v>46223</v>
      </c>
      <c r="D4472" s="2" t="s">
        <v>7433</v>
      </c>
      <c r="E4472" s="2" t="s">
        <v>16959</v>
      </c>
      <c r="F4472" s="2" t="s">
        <v>15324</v>
      </c>
      <c r="G4472" s="2" t="s">
        <v>18054</v>
      </c>
      <c r="H4472" s="2" t="s">
        <v>39</v>
      </c>
      <c r="I4472" s="9">
        <v>25492.498500000002</v>
      </c>
      <c r="J4472" s="7">
        <v>1</v>
      </c>
      <c r="K4472" s="9">
        <v>25492.5</v>
      </c>
      <c r="L4472" s="14">
        <v>0</v>
      </c>
      <c r="M4472" s="2" t="s">
        <v>71</v>
      </c>
      <c r="N4472" s="2" t="s">
        <v>17628</v>
      </c>
      <c r="O4472" s="2" t="s">
        <v>10138</v>
      </c>
      <c r="P4472" s="9">
        <v>0</v>
      </c>
      <c r="Q4472" s="9">
        <v>0</v>
      </c>
      <c r="R4472" s="2"/>
    </row>
    <row r="4473" spans="1:18" x14ac:dyDescent="0.25">
      <c r="A4473" s="2" t="s">
        <v>18055</v>
      </c>
      <c r="B4473" s="6">
        <v>46204</v>
      </c>
      <c r="C4473" s="8">
        <v>46224</v>
      </c>
      <c r="D4473" s="2" t="s">
        <v>7433</v>
      </c>
      <c r="E4473" s="2" t="s">
        <v>16959</v>
      </c>
      <c r="F4473" s="2" t="s">
        <v>15328</v>
      </c>
      <c r="G4473" s="2" t="s">
        <v>18056</v>
      </c>
      <c r="H4473" s="2" t="s">
        <v>76</v>
      </c>
      <c r="I4473" s="9">
        <v>416303895.16128999</v>
      </c>
      <c r="J4473" s="7">
        <v>6.2000000000000003E-5</v>
      </c>
      <c r="K4473" s="9">
        <v>25810.84</v>
      </c>
      <c r="L4473" s="14">
        <v>0</v>
      </c>
      <c r="M4473" s="2" t="s">
        <v>71</v>
      </c>
      <c r="N4473" s="2" t="s">
        <v>17628</v>
      </c>
      <c r="O4473" s="2" t="s">
        <v>10143</v>
      </c>
      <c r="P4473" s="9">
        <v>0</v>
      </c>
      <c r="Q4473" s="9">
        <v>0</v>
      </c>
      <c r="R4473" s="2"/>
    </row>
    <row r="4474" spans="1:18" x14ac:dyDescent="0.25">
      <c r="A4474" s="2" t="s">
        <v>18057</v>
      </c>
      <c r="B4474" s="6">
        <v>46204</v>
      </c>
      <c r="C4474" s="8">
        <v>46225</v>
      </c>
      <c r="D4474" s="2" t="s">
        <v>7433</v>
      </c>
      <c r="E4474" s="2" t="s">
        <v>16959</v>
      </c>
      <c r="F4474" s="2" t="s">
        <v>15332</v>
      </c>
      <c r="G4474" s="2" t="s">
        <v>18058</v>
      </c>
      <c r="H4474" s="2" t="s">
        <v>70</v>
      </c>
      <c r="I4474" s="9">
        <v>39709.989362</v>
      </c>
      <c r="J4474" s="7">
        <v>0.65800000000000003</v>
      </c>
      <c r="K4474" s="9">
        <v>26129.17</v>
      </c>
      <c r="L4474" s="14">
        <v>0</v>
      </c>
      <c r="M4474" s="2" t="s">
        <v>71</v>
      </c>
      <c r="N4474" s="2" t="s">
        <v>17628</v>
      </c>
      <c r="O4474" s="2" t="s">
        <v>10148</v>
      </c>
      <c r="P4474" s="9">
        <v>0</v>
      </c>
      <c r="Q4474" s="9">
        <v>0</v>
      </c>
      <c r="R4474" s="2"/>
    </row>
    <row r="4475" spans="1:18" x14ac:dyDescent="0.25">
      <c r="A4475" s="2" t="s">
        <v>18059</v>
      </c>
      <c r="B4475" s="6">
        <v>46204</v>
      </c>
      <c r="C4475" s="8">
        <v>46226</v>
      </c>
      <c r="D4475" s="2" t="s">
        <v>7433</v>
      </c>
      <c r="E4475" s="2" t="s">
        <v>16959</v>
      </c>
      <c r="F4475" s="2" t="s">
        <v>15336</v>
      </c>
      <c r="G4475" s="2" t="s">
        <v>18060</v>
      </c>
      <c r="H4475" s="2" t="s">
        <v>39</v>
      </c>
      <c r="I4475" s="9">
        <v>26447.516</v>
      </c>
      <c r="J4475" s="7">
        <v>1</v>
      </c>
      <c r="K4475" s="9">
        <v>26447.52</v>
      </c>
      <c r="L4475" s="14">
        <v>0</v>
      </c>
      <c r="M4475" s="2" t="s">
        <v>71</v>
      </c>
      <c r="N4475" s="2" t="s">
        <v>17628</v>
      </c>
      <c r="O4475" s="2" t="s">
        <v>10153</v>
      </c>
      <c r="P4475" s="9">
        <v>0</v>
      </c>
      <c r="Q4475" s="9">
        <v>0</v>
      </c>
      <c r="R4475" s="2"/>
    </row>
    <row r="4476" spans="1:18" x14ac:dyDescent="0.25">
      <c r="A4476" s="2" t="s">
        <v>18061</v>
      </c>
      <c r="B4476" s="6">
        <v>46204</v>
      </c>
      <c r="C4476" s="8">
        <v>46227</v>
      </c>
      <c r="D4476" s="2" t="s">
        <v>7433</v>
      </c>
      <c r="E4476" s="2" t="s">
        <v>16959</v>
      </c>
      <c r="F4476" s="2" t="s">
        <v>15300</v>
      </c>
      <c r="G4476" s="2" t="s">
        <v>18062</v>
      </c>
      <c r="H4476" s="2" t="s">
        <v>76</v>
      </c>
      <c r="I4476" s="9">
        <v>431707403.22580701</v>
      </c>
      <c r="J4476" s="7">
        <v>6.2000000000000003E-5</v>
      </c>
      <c r="K4476" s="9">
        <v>26765.86</v>
      </c>
      <c r="L4476" s="14">
        <v>0</v>
      </c>
      <c r="M4476" s="2" t="s">
        <v>71</v>
      </c>
      <c r="N4476" s="2" t="s">
        <v>17628</v>
      </c>
      <c r="O4476" s="2" t="s">
        <v>10158</v>
      </c>
      <c r="P4476" s="9">
        <v>0</v>
      </c>
      <c r="Q4476" s="9">
        <v>0</v>
      </c>
      <c r="R4476" s="2"/>
    </row>
    <row r="4477" spans="1:18" x14ac:dyDescent="0.25">
      <c r="A4477" s="2" t="s">
        <v>18063</v>
      </c>
      <c r="B4477" s="6">
        <v>46204</v>
      </c>
      <c r="C4477" s="8">
        <v>46228</v>
      </c>
      <c r="D4477" s="2" t="s">
        <v>7433</v>
      </c>
      <c r="E4477" s="2" t="s">
        <v>16959</v>
      </c>
      <c r="F4477" s="2" t="s">
        <v>15304</v>
      </c>
      <c r="G4477" s="2" t="s">
        <v>18064</v>
      </c>
      <c r="H4477" s="2" t="s">
        <v>70</v>
      </c>
      <c r="I4477" s="9">
        <v>41161.383738999997</v>
      </c>
      <c r="J4477" s="7">
        <v>0.65800000000000003</v>
      </c>
      <c r="K4477" s="9">
        <v>27084.19</v>
      </c>
      <c r="L4477" s="14">
        <v>0</v>
      </c>
      <c r="M4477" s="2" t="s">
        <v>71</v>
      </c>
      <c r="N4477" s="2" t="s">
        <v>17628</v>
      </c>
      <c r="O4477" s="2" t="s">
        <v>10163</v>
      </c>
      <c r="P4477" s="9">
        <v>0</v>
      </c>
      <c r="Q4477" s="9">
        <v>0</v>
      </c>
      <c r="R4477" s="2"/>
    </row>
    <row r="4478" spans="1:18" x14ac:dyDescent="0.25">
      <c r="A4478" s="2" t="s">
        <v>18065</v>
      </c>
      <c r="B4478" s="6">
        <v>46204</v>
      </c>
      <c r="C4478" s="8">
        <v>46229</v>
      </c>
      <c r="D4478" s="2" t="s">
        <v>7433</v>
      </c>
      <c r="E4478" s="2" t="s">
        <v>16959</v>
      </c>
      <c r="F4478" s="2" t="s">
        <v>15308</v>
      </c>
      <c r="G4478" s="2" t="s">
        <v>18066</v>
      </c>
      <c r="H4478" s="2" t="s">
        <v>39</v>
      </c>
      <c r="I4478" s="9">
        <v>1642.5335</v>
      </c>
      <c r="J4478" s="7">
        <v>1</v>
      </c>
      <c r="K4478" s="9">
        <v>1642.53</v>
      </c>
      <c r="L4478" s="14">
        <v>0</v>
      </c>
      <c r="M4478" s="2" t="s">
        <v>71</v>
      </c>
      <c r="N4478" s="2" t="s">
        <v>17628</v>
      </c>
      <c r="O4478" s="2" t="s">
        <v>10168</v>
      </c>
      <c r="P4478" s="9">
        <v>0</v>
      </c>
      <c r="Q4478" s="9">
        <v>0</v>
      </c>
      <c r="R4478" s="2"/>
    </row>
    <row r="4479" spans="1:18" x14ac:dyDescent="0.25">
      <c r="A4479" s="2" t="s">
        <v>18067</v>
      </c>
      <c r="B4479" s="6">
        <v>46204</v>
      </c>
      <c r="C4479" s="8">
        <v>46230</v>
      </c>
      <c r="D4479" s="2" t="s">
        <v>7433</v>
      </c>
      <c r="E4479" s="2" t="s">
        <v>16959</v>
      </c>
      <c r="F4479" s="2" t="s">
        <v>15312</v>
      </c>
      <c r="G4479" s="2" t="s">
        <v>18068</v>
      </c>
      <c r="H4479" s="2" t="s">
        <v>76</v>
      </c>
      <c r="I4479" s="9">
        <v>31626854.838709999</v>
      </c>
      <c r="J4479" s="7">
        <v>6.2000000000000003E-5</v>
      </c>
      <c r="K4479" s="9">
        <v>1960.86</v>
      </c>
      <c r="L4479" s="14">
        <v>0</v>
      </c>
      <c r="M4479" s="2" t="s">
        <v>71</v>
      </c>
      <c r="N4479" s="2" t="s">
        <v>17628</v>
      </c>
      <c r="O4479" s="2" t="s">
        <v>10173</v>
      </c>
      <c r="P4479" s="9">
        <v>0</v>
      </c>
      <c r="Q4479" s="9">
        <v>0</v>
      </c>
      <c r="R4479" s="2"/>
    </row>
    <row r="4480" spans="1:18" x14ac:dyDescent="0.25">
      <c r="A4480" s="2" t="s">
        <v>18069</v>
      </c>
      <c r="B4480" s="6">
        <v>46204</v>
      </c>
      <c r="C4480" s="8">
        <v>46231</v>
      </c>
      <c r="D4480" s="2" t="s">
        <v>7433</v>
      </c>
      <c r="E4480" s="2" t="s">
        <v>16959</v>
      </c>
      <c r="F4480" s="2" t="s">
        <v>15316</v>
      </c>
      <c r="G4480" s="2" t="s">
        <v>18070</v>
      </c>
      <c r="H4480" s="2" t="s">
        <v>70</v>
      </c>
      <c r="I4480" s="9">
        <v>3463.8419450000001</v>
      </c>
      <c r="J4480" s="7">
        <v>0.65800000000000003</v>
      </c>
      <c r="K4480" s="9">
        <v>2279.21</v>
      </c>
      <c r="L4480" s="14">
        <v>0</v>
      </c>
      <c r="M4480" s="2" t="s">
        <v>71</v>
      </c>
      <c r="N4480" s="2" t="s">
        <v>17628</v>
      </c>
      <c r="O4480" s="2" t="s">
        <v>10178</v>
      </c>
      <c r="P4480" s="9">
        <v>0</v>
      </c>
      <c r="Q4480" s="9">
        <v>0</v>
      </c>
      <c r="R4480" s="2"/>
    </row>
    <row r="4481" spans="1:18" x14ac:dyDescent="0.25">
      <c r="A4481" s="2" t="s">
        <v>18071</v>
      </c>
      <c r="B4481" s="6">
        <v>46204</v>
      </c>
      <c r="C4481" s="8">
        <v>46232</v>
      </c>
      <c r="D4481" s="2" t="s">
        <v>7433</v>
      </c>
      <c r="E4481" s="2" t="s">
        <v>16959</v>
      </c>
      <c r="F4481" s="2" t="s">
        <v>15320</v>
      </c>
      <c r="G4481" s="2" t="s">
        <v>18072</v>
      </c>
      <c r="H4481" s="2" t="s">
        <v>39</v>
      </c>
      <c r="I4481" s="9">
        <v>2597.5509999999999</v>
      </c>
      <c r="J4481" s="7">
        <v>1</v>
      </c>
      <c r="K4481" s="9">
        <v>2597.5500000000002</v>
      </c>
      <c r="L4481" s="14">
        <v>0</v>
      </c>
      <c r="M4481" s="2" t="s">
        <v>71</v>
      </c>
      <c r="N4481" s="2" t="s">
        <v>17628</v>
      </c>
      <c r="O4481" s="2" t="s">
        <v>10183</v>
      </c>
      <c r="P4481" s="9">
        <v>0</v>
      </c>
      <c r="Q4481" s="9">
        <v>0</v>
      </c>
      <c r="R4481" s="2"/>
    </row>
    <row r="4482" spans="1:18" x14ac:dyDescent="0.25">
      <c r="A4482" s="2" t="s">
        <v>18073</v>
      </c>
      <c r="B4482" s="6">
        <v>46204</v>
      </c>
      <c r="C4482" s="8">
        <v>46233</v>
      </c>
      <c r="D4482" s="2" t="s">
        <v>7433</v>
      </c>
      <c r="E4482" s="2" t="s">
        <v>16959</v>
      </c>
      <c r="F4482" s="2" t="s">
        <v>15324</v>
      </c>
      <c r="G4482" s="2" t="s">
        <v>18074</v>
      </c>
      <c r="H4482" s="2" t="s">
        <v>76</v>
      </c>
      <c r="I4482" s="9">
        <v>47030362.903224997</v>
      </c>
      <c r="J4482" s="7">
        <v>6.2000000000000003E-5</v>
      </c>
      <c r="K4482" s="9">
        <v>2915.88</v>
      </c>
      <c r="L4482" s="14">
        <v>0</v>
      </c>
      <c r="M4482" s="2" t="s">
        <v>71</v>
      </c>
      <c r="N4482" s="2" t="s">
        <v>17628</v>
      </c>
      <c r="O4482" s="2" t="s">
        <v>10188</v>
      </c>
      <c r="P4482" s="9">
        <v>0</v>
      </c>
      <c r="Q4482" s="9">
        <v>0</v>
      </c>
      <c r="R4482" s="2"/>
    </row>
    <row r="4483" spans="1:18" x14ac:dyDescent="0.25">
      <c r="A4483" s="2" t="s">
        <v>18075</v>
      </c>
      <c r="B4483" s="6">
        <v>46204</v>
      </c>
      <c r="C4483" s="8">
        <v>46234</v>
      </c>
      <c r="D4483" s="2" t="s">
        <v>7433</v>
      </c>
      <c r="E4483" s="2" t="s">
        <v>16959</v>
      </c>
      <c r="F4483" s="2" t="s">
        <v>15328</v>
      </c>
      <c r="G4483" s="2" t="s">
        <v>18076</v>
      </c>
      <c r="H4483" s="2" t="s">
        <v>70</v>
      </c>
      <c r="I4483" s="9">
        <v>4915.2363219999997</v>
      </c>
      <c r="J4483" s="7">
        <v>0.65800000000000003</v>
      </c>
      <c r="K4483" s="9">
        <v>3234.23</v>
      </c>
      <c r="L4483" s="14">
        <v>0</v>
      </c>
      <c r="M4483" s="2" t="s">
        <v>71</v>
      </c>
      <c r="N4483" s="2" t="s">
        <v>17628</v>
      </c>
      <c r="O4483" s="2" t="s">
        <v>10193</v>
      </c>
      <c r="P4483" s="9">
        <v>0</v>
      </c>
      <c r="Q4483" s="9">
        <v>0</v>
      </c>
      <c r="R4483" s="2"/>
    </row>
    <row r="4484" spans="1:18" x14ac:dyDescent="0.25">
      <c r="A4484" s="2" t="s">
        <v>18077</v>
      </c>
      <c r="B4484" s="6">
        <v>46204</v>
      </c>
      <c r="C4484" s="8">
        <v>46204</v>
      </c>
      <c r="D4484" s="2" t="s">
        <v>7433</v>
      </c>
      <c r="E4484" s="2" t="s">
        <v>16959</v>
      </c>
      <c r="F4484" s="2" t="s">
        <v>15332</v>
      </c>
      <c r="G4484" s="2" t="s">
        <v>18078</v>
      </c>
      <c r="H4484" s="2" t="s">
        <v>39</v>
      </c>
      <c r="I4484" s="9">
        <v>3552.5569999999998</v>
      </c>
      <c r="J4484" s="7">
        <v>1</v>
      </c>
      <c r="K4484" s="9">
        <v>3552.56</v>
      </c>
      <c r="L4484" s="14">
        <v>0</v>
      </c>
      <c r="M4484" s="2" t="s">
        <v>71</v>
      </c>
      <c r="N4484" s="2" t="s">
        <v>17628</v>
      </c>
      <c r="O4484" s="2" t="s">
        <v>10198</v>
      </c>
      <c r="P4484" s="9">
        <v>0</v>
      </c>
      <c r="Q4484" s="9">
        <v>0</v>
      </c>
      <c r="R4484" s="2"/>
    </row>
    <row r="4485" spans="1:18" x14ac:dyDescent="0.25">
      <c r="A4485" s="2" t="s">
        <v>18079</v>
      </c>
      <c r="B4485" s="6">
        <v>46204</v>
      </c>
      <c r="C4485" s="8">
        <v>46205</v>
      </c>
      <c r="D4485" s="2" t="s">
        <v>7433</v>
      </c>
      <c r="E4485" s="2" t="s">
        <v>16959</v>
      </c>
      <c r="F4485" s="2" t="s">
        <v>15336</v>
      </c>
      <c r="G4485" s="2" t="s">
        <v>18080</v>
      </c>
      <c r="H4485" s="2" t="s">
        <v>76</v>
      </c>
      <c r="I4485" s="9">
        <v>62433870.967742004</v>
      </c>
      <c r="J4485" s="7">
        <v>6.2000000000000003E-5</v>
      </c>
      <c r="K4485" s="9">
        <v>3870.9</v>
      </c>
      <c r="L4485" s="14">
        <v>0</v>
      </c>
      <c r="M4485" s="2" t="s">
        <v>71</v>
      </c>
      <c r="N4485" s="2" t="s">
        <v>17628</v>
      </c>
      <c r="O4485" s="2" t="s">
        <v>10203</v>
      </c>
      <c r="P4485" s="9">
        <v>0</v>
      </c>
      <c r="Q4485" s="9">
        <v>0</v>
      </c>
      <c r="R4485" s="2"/>
    </row>
    <row r="4486" spans="1:18" x14ac:dyDescent="0.25">
      <c r="A4486" s="2" t="s">
        <v>18081</v>
      </c>
      <c r="B4486" s="6">
        <v>46204</v>
      </c>
      <c r="C4486" s="8">
        <v>46206</v>
      </c>
      <c r="D4486" s="2" t="s">
        <v>7433</v>
      </c>
      <c r="E4486" s="2" t="s">
        <v>16959</v>
      </c>
      <c r="F4486" s="2" t="s">
        <v>15300</v>
      </c>
      <c r="G4486" s="2" t="s">
        <v>18082</v>
      </c>
      <c r="H4486" s="2" t="s">
        <v>70</v>
      </c>
      <c r="I4486" s="9">
        <v>6366.6132209999996</v>
      </c>
      <c r="J4486" s="7">
        <v>0.65800000000000003</v>
      </c>
      <c r="K4486" s="9">
        <v>4189.2299999999996</v>
      </c>
      <c r="L4486" s="14">
        <v>0</v>
      </c>
      <c r="M4486" s="2" t="s">
        <v>71</v>
      </c>
      <c r="N4486" s="2" t="s">
        <v>17628</v>
      </c>
      <c r="O4486" s="2" t="s">
        <v>10208</v>
      </c>
      <c r="P4486" s="9">
        <v>0</v>
      </c>
      <c r="Q4486" s="9">
        <v>0</v>
      </c>
      <c r="R4486" s="2"/>
    </row>
    <row r="4487" spans="1:18" x14ac:dyDescent="0.25">
      <c r="A4487" s="2" t="s">
        <v>18083</v>
      </c>
      <c r="B4487" s="6">
        <v>46204</v>
      </c>
      <c r="C4487" s="8">
        <v>46207</v>
      </c>
      <c r="D4487" s="2" t="s">
        <v>7433</v>
      </c>
      <c r="E4487" s="2" t="s">
        <v>16959</v>
      </c>
      <c r="F4487" s="2" t="s">
        <v>15304</v>
      </c>
      <c r="G4487" s="2" t="s">
        <v>18084</v>
      </c>
      <c r="H4487" s="2" t="s">
        <v>39</v>
      </c>
      <c r="I4487" s="9">
        <v>4507.5744999999997</v>
      </c>
      <c r="J4487" s="7">
        <v>1</v>
      </c>
      <c r="K4487" s="9">
        <v>4507.57</v>
      </c>
      <c r="L4487" s="14">
        <v>0</v>
      </c>
      <c r="M4487" s="2" t="s">
        <v>71</v>
      </c>
      <c r="N4487" s="2" t="s">
        <v>17628</v>
      </c>
      <c r="O4487" s="2" t="s">
        <v>10213</v>
      </c>
      <c r="P4487" s="9">
        <v>0</v>
      </c>
      <c r="Q4487" s="9">
        <v>0</v>
      </c>
      <c r="R4487" s="2"/>
    </row>
    <row r="4488" spans="1:18" x14ac:dyDescent="0.25">
      <c r="A4488" s="2" t="s">
        <v>18085</v>
      </c>
      <c r="B4488" s="6">
        <v>46204</v>
      </c>
      <c r="C4488" s="8">
        <v>46208</v>
      </c>
      <c r="D4488" s="2" t="s">
        <v>7433</v>
      </c>
      <c r="E4488" s="2" t="s">
        <v>16959</v>
      </c>
      <c r="F4488" s="2" t="s">
        <v>15308</v>
      </c>
      <c r="G4488" s="2" t="s">
        <v>18086</v>
      </c>
      <c r="H4488" s="2" t="s">
        <v>76</v>
      </c>
      <c r="I4488" s="9">
        <v>77837379.032258004</v>
      </c>
      <c r="J4488" s="7">
        <v>6.2000000000000003E-5</v>
      </c>
      <c r="K4488" s="9">
        <v>4825.92</v>
      </c>
      <c r="L4488" s="14">
        <v>0</v>
      </c>
      <c r="M4488" s="2" t="s">
        <v>71</v>
      </c>
      <c r="N4488" s="2" t="s">
        <v>17628</v>
      </c>
      <c r="O4488" s="2" t="s">
        <v>10218</v>
      </c>
      <c r="P4488" s="9">
        <v>0</v>
      </c>
      <c r="Q4488" s="9">
        <v>0</v>
      </c>
      <c r="R4488" s="2"/>
    </row>
    <row r="4489" spans="1:18" x14ac:dyDescent="0.25">
      <c r="A4489" s="2" t="s">
        <v>18087</v>
      </c>
      <c r="B4489" s="6">
        <v>46204</v>
      </c>
      <c r="C4489" s="8">
        <v>46209</v>
      </c>
      <c r="D4489" s="2" t="s">
        <v>7433</v>
      </c>
      <c r="E4489" s="2" t="s">
        <v>16959</v>
      </c>
      <c r="F4489" s="2" t="s">
        <v>15312</v>
      </c>
      <c r="G4489" s="2" t="s">
        <v>18088</v>
      </c>
      <c r="H4489" s="2" t="s">
        <v>70</v>
      </c>
      <c r="I4489" s="9">
        <v>7818.0075989999996</v>
      </c>
      <c r="J4489" s="7">
        <v>0.65800000000000003</v>
      </c>
      <c r="K4489" s="9">
        <v>5144.25</v>
      </c>
      <c r="L4489" s="14">
        <v>0</v>
      </c>
      <c r="M4489" s="2" t="s">
        <v>71</v>
      </c>
      <c r="N4489" s="2" t="s">
        <v>17628</v>
      </c>
      <c r="O4489" s="2" t="s">
        <v>10223</v>
      </c>
      <c r="P4489" s="9">
        <v>0</v>
      </c>
      <c r="Q4489" s="9">
        <v>0</v>
      </c>
      <c r="R4489" s="2"/>
    </row>
    <row r="4490" spans="1:18" x14ac:dyDescent="0.25">
      <c r="A4490" s="2" t="s">
        <v>18089</v>
      </c>
      <c r="B4490" s="6">
        <v>46204</v>
      </c>
      <c r="C4490" s="8">
        <v>46210</v>
      </c>
      <c r="D4490" s="2" t="s">
        <v>7433</v>
      </c>
      <c r="E4490" s="2" t="s">
        <v>16959</v>
      </c>
      <c r="F4490" s="2" t="s">
        <v>15316</v>
      </c>
      <c r="G4490" s="2" t="s">
        <v>18090</v>
      </c>
      <c r="H4490" s="2" t="s">
        <v>39</v>
      </c>
      <c r="I4490" s="9">
        <v>5462.5919999999996</v>
      </c>
      <c r="J4490" s="7">
        <v>1</v>
      </c>
      <c r="K4490" s="9">
        <v>5462.59</v>
      </c>
      <c r="L4490" s="14">
        <v>0</v>
      </c>
      <c r="M4490" s="2" t="s">
        <v>71</v>
      </c>
      <c r="N4490" s="2" t="s">
        <v>17628</v>
      </c>
      <c r="O4490" s="2" t="s">
        <v>10228</v>
      </c>
      <c r="P4490" s="9">
        <v>0</v>
      </c>
      <c r="Q4490" s="9">
        <v>0</v>
      </c>
      <c r="R4490" s="2"/>
    </row>
    <row r="4491" spans="1:18" x14ac:dyDescent="0.25">
      <c r="A4491" s="2" t="s">
        <v>18091</v>
      </c>
      <c r="B4491" s="6">
        <v>46204</v>
      </c>
      <c r="C4491" s="8">
        <v>46211</v>
      </c>
      <c r="D4491" s="2" t="s">
        <v>7433</v>
      </c>
      <c r="E4491" s="2" t="s">
        <v>16959</v>
      </c>
      <c r="F4491" s="2" t="s">
        <v>15320</v>
      </c>
      <c r="G4491" s="2" t="s">
        <v>18092</v>
      </c>
      <c r="H4491" s="2" t="s">
        <v>76</v>
      </c>
      <c r="I4491" s="9">
        <v>93240887.096774995</v>
      </c>
      <c r="J4491" s="7">
        <v>6.2000000000000003E-5</v>
      </c>
      <c r="K4491" s="9">
        <v>5780.93</v>
      </c>
      <c r="L4491" s="14">
        <v>0</v>
      </c>
      <c r="M4491" s="2" t="s">
        <v>71</v>
      </c>
      <c r="N4491" s="2" t="s">
        <v>17628</v>
      </c>
      <c r="O4491" s="2" t="s">
        <v>10233</v>
      </c>
      <c r="P4491" s="9">
        <v>0</v>
      </c>
      <c r="Q4491" s="9">
        <v>0</v>
      </c>
      <c r="R4491" s="2"/>
    </row>
    <row r="4492" spans="1:18" x14ac:dyDescent="0.25">
      <c r="A4492" s="2" t="s">
        <v>18093</v>
      </c>
      <c r="B4492" s="6">
        <v>46204</v>
      </c>
      <c r="C4492" s="8">
        <v>46212</v>
      </c>
      <c r="D4492" s="2" t="s">
        <v>7433</v>
      </c>
      <c r="E4492" s="2" t="s">
        <v>16959</v>
      </c>
      <c r="F4492" s="2" t="s">
        <v>15324</v>
      </c>
      <c r="G4492" s="2" t="s">
        <v>18094</v>
      </c>
      <c r="H4492" s="2" t="s">
        <v>70</v>
      </c>
      <c r="I4492" s="9">
        <v>9269.4019759999992</v>
      </c>
      <c r="J4492" s="7">
        <v>0.65800000000000003</v>
      </c>
      <c r="K4492" s="9">
        <v>6099.27</v>
      </c>
      <c r="L4492" s="14">
        <v>0</v>
      </c>
      <c r="M4492" s="2" t="s">
        <v>71</v>
      </c>
      <c r="N4492" s="2" t="s">
        <v>17628</v>
      </c>
      <c r="O4492" s="2" t="s">
        <v>10238</v>
      </c>
      <c r="P4492" s="9">
        <v>0</v>
      </c>
      <c r="Q4492" s="9">
        <v>0</v>
      </c>
      <c r="R4492" s="2"/>
    </row>
    <row r="4493" spans="1:18" x14ac:dyDescent="0.25">
      <c r="A4493" s="2" t="s">
        <v>18095</v>
      </c>
      <c r="B4493" s="6">
        <v>46204</v>
      </c>
      <c r="C4493" s="8">
        <v>46213</v>
      </c>
      <c r="D4493" s="2" t="s">
        <v>7433</v>
      </c>
      <c r="E4493" s="2" t="s">
        <v>16959</v>
      </c>
      <c r="F4493" s="2" t="s">
        <v>15328</v>
      </c>
      <c r="G4493" s="2" t="s">
        <v>18096</v>
      </c>
      <c r="H4493" s="2" t="s">
        <v>39</v>
      </c>
      <c r="I4493" s="9">
        <v>6417.6094999999996</v>
      </c>
      <c r="J4493" s="7">
        <v>1</v>
      </c>
      <c r="K4493" s="9">
        <v>6417.61</v>
      </c>
      <c r="L4493" s="14">
        <v>0</v>
      </c>
      <c r="M4493" s="2" t="s">
        <v>71</v>
      </c>
      <c r="N4493" s="2" t="s">
        <v>17628</v>
      </c>
      <c r="O4493" s="2" t="s">
        <v>10243</v>
      </c>
      <c r="P4493" s="9">
        <v>0</v>
      </c>
      <c r="Q4493" s="9">
        <v>0</v>
      </c>
      <c r="R4493" s="2"/>
    </row>
    <row r="4494" spans="1:18" x14ac:dyDescent="0.25">
      <c r="A4494" s="2" t="s">
        <v>18097</v>
      </c>
      <c r="B4494" s="6">
        <v>46204</v>
      </c>
      <c r="C4494" s="8">
        <v>46214</v>
      </c>
      <c r="D4494" s="2" t="s">
        <v>7433</v>
      </c>
      <c r="E4494" s="2" t="s">
        <v>16959</v>
      </c>
      <c r="F4494" s="2" t="s">
        <v>15332</v>
      </c>
      <c r="G4494" s="2" t="s">
        <v>18098</v>
      </c>
      <c r="H4494" s="2" t="s">
        <v>76</v>
      </c>
      <c r="I4494" s="9">
        <v>108644209.67742001</v>
      </c>
      <c r="J4494" s="7">
        <v>6.2000000000000003E-5</v>
      </c>
      <c r="K4494" s="9">
        <v>6735.94</v>
      </c>
      <c r="L4494" s="14">
        <v>0</v>
      </c>
      <c r="M4494" s="2" t="s">
        <v>71</v>
      </c>
      <c r="N4494" s="2" t="s">
        <v>17628</v>
      </c>
      <c r="O4494" s="2" t="s">
        <v>10248</v>
      </c>
      <c r="P4494" s="9">
        <v>0</v>
      </c>
      <c r="Q4494" s="9">
        <v>0</v>
      </c>
      <c r="R4494" s="2"/>
    </row>
    <row r="4495" spans="1:18" x14ac:dyDescent="0.25">
      <c r="A4495" s="2" t="s">
        <v>18099</v>
      </c>
      <c r="B4495" s="6">
        <v>46204</v>
      </c>
      <c r="C4495" s="8">
        <v>46215</v>
      </c>
      <c r="D4495" s="2" t="s">
        <v>7433</v>
      </c>
      <c r="E4495" s="2" t="s">
        <v>16959</v>
      </c>
      <c r="F4495" s="2" t="s">
        <v>15336</v>
      </c>
      <c r="G4495" s="2" t="s">
        <v>18100</v>
      </c>
      <c r="H4495" s="2" t="s">
        <v>70</v>
      </c>
      <c r="I4495" s="9">
        <v>10720.796353</v>
      </c>
      <c r="J4495" s="7">
        <v>0.65800000000000003</v>
      </c>
      <c r="K4495" s="9">
        <v>7054.28</v>
      </c>
      <c r="L4495" s="14">
        <v>0</v>
      </c>
      <c r="M4495" s="2" t="s">
        <v>71</v>
      </c>
      <c r="N4495" s="2" t="s">
        <v>17628</v>
      </c>
      <c r="O4495" s="2" t="s">
        <v>10253</v>
      </c>
      <c r="P4495" s="9">
        <v>0</v>
      </c>
      <c r="Q4495" s="9">
        <v>0</v>
      </c>
      <c r="R4495" s="2"/>
    </row>
    <row r="4496" spans="1:18" x14ac:dyDescent="0.25">
      <c r="A4496" s="2" t="s">
        <v>18101</v>
      </c>
      <c r="B4496" s="6">
        <v>46204</v>
      </c>
      <c r="C4496" s="8">
        <v>46216</v>
      </c>
      <c r="D4496" s="2" t="s">
        <v>7433</v>
      </c>
      <c r="E4496" s="2" t="s">
        <v>16959</v>
      </c>
      <c r="F4496" s="2" t="s">
        <v>15300</v>
      </c>
      <c r="G4496" s="2" t="s">
        <v>18102</v>
      </c>
      <c r="H4496" s="2" t="s">
        <v>39</v>
      </c>
      <c r="I4496" s="9">
        <v>7372.6270000000004</v>
      </c>
      <c r="J4496" s="7">
        <v>1</v>
      </c>
      <c r="K4496" s="9">
        <v>7372.63</v>
      </c>
      <c r="L4496" s="14">
        <v>0</v>
      </c>
      <c r="M4496" s="2" t="s">
        <v>71</v>
      </c>
      <c r="N4496" s="2" t="s">
        <v>17628</v>
      </c>
      <c r="O4496" s="2" t="s">
        <v>10258</v>
      </c>
      <c r="P4496" s="9">
        <v>0</v>
      </c>
      <c r="Q4496" s="9">
        <v>0</v>
      </c>
      <c r="R4496" s="2"/>
    </row>
    <row r="4497" spans="1:18" x14ac:dyDescent="0.25">
      <c r="A4497" s="2" t="s">
        <v>18103</v>
      </c>
      <c r="B4497" s="6">
        <v>46204</v>
      </c>
      <c r="C4497" s="8">
        <v>46217</v>
      </c>
      <c r="D4497" s="2" t="s">
        <v>7433</v>
      </c>
      <c r="E4497" s="2" t="s">
        <v>16959</v>
      </c>
      <c r="F4497" s="2" t="s">
        <v>15304</v>
      </c>
      <c r="G4497" s="2" t="s">
        <v>18104</v>
      </c>
      <c r="H4497" s="2" t="s">
        <v>76</v>
      </c>
      <c r="I4497" s="9">
        <v>124047717.741935</v>
      </c>
      <c r="J4497" s="7">
        <v>6.2000000000000003E-5</v>
      </c>
      <c r="K4497" s="9">
        <v>7690.96</v>
      </c>
      <c r="L4497" s="14">
        <v>0</v>
      </c>
      <c r="M4497" s="2" t="s">
        <v>71</v>
      </c>
      <c r="N4497" s="2" t="s">
        <v>17628</v>
      </c>
      <c r="O4497" s="2" t="s">
        <v>10263</v>
      </c>
      <c r="P4497" s="9">
        <v>0</v>
      </c>
      <c r="Q4497" s="9">
        <v>0</v>
      </c>
      <c r="R4497" s="2"/>
    </row>
    <row r="4498" spans="1:18" x14ac:dyDescent="0.25">
      <c r="A4498" s="2" t="s">
        <v>18105</v>
      </c>
      <c r="B4498" s="6">
        <v>46204</v>
      </c>
      <c r="C4498" s="8">
        <v>46218</v>
      </c>
      <c r="D4498" s="2" t="s">
        <v>7433</v>
      </c>
      <c r="E4498" s="2" t="s">
        <v>16959</v>
      </c>
      <c r="F4498" s="2" t="s">
        <v>15308</v>
      </c>
      <c r="G4498" s="2" t="s">
        <v>18106</v>
      </c>
      <c r="H4498" s="2" t="s">
        <v>70</v>
      </c>
      <c r="I4498" s="9">
        <v>12172.19073</v>
      </c>
      <c r="J4498" s="7">
        <v>0.65800000000000003</v>
      </c>
      <c r="K4498" s="9">
        <v>8009.3</v>
      </c>
      <c r="L4498" s="14">
        <v>0</v>
      </c>
      <c r="M4498" s="2" t="s">
        <v>71</v>
      </c>
      <c r="N4498" s="2" t="s">
        <v>17628</v>
      </c>
      <c r="O4498" s="2" t="s">
        <v>10268</v>
      </c>
      <c r="P4498" s="9">
        <v>0</v>
      </c>
      <c r="Q4498" s="9">
        <v>0</v>
      </c>
      <c r="R4498" s="2"/>
    </row>
    <row r="4499" spans="1:18" x14ac:dyDescent="0.25">
      <c r="A4499" s="2" t="s">
        <v>18107</v>
      </c>
      <c r="B4499" s="6">
        <v>46204</v>
      </c>
      <c r="C4499" s="8">
        <v>46219</v>
      </c>
      <c r="D4499" s="2" t="s">
        <v>7433</v>
      </c>
      <c r="E4499" s="2" t="s">
        <v>16959</v>
      </c>
      <c r="F4499" s="2" t="s">
        <v>15312</v>
      </c>
      <c r="G4499" s="2" t="s">
        <v>18108</v>
      </c>
      <c r="H4499" s="2" t="s">
        <v>39</v>
      </c>
      <c r="I4499" s="9">
        <v>-8327.6329999999998</v>
      </c>
      <c r="J4499" s="7">
        <v>1</v>
      </c>
      <c r="K4499" s="9">
        <v>-8327.6299999999992</v>
      </c>
      <c r="L4499" s="14">
        <v>0</v>
      </c>
      <c r="M4499" s="2" t="s">
        <v>71</v>
      </c>
      <c r="N4499" s="2" t="s">
        <v>17628</v>
      </c>
      <c r="O4499" s="2" t="s">
        <v>10273</v>
      </c>
      <c r="P4499" s="9">
        <v>0</v>
      </c>
      <c r="Q4499" s="9">
        <v>0</v>
      </c>
      <c r="R4499" s="2"/>
    </row>
    <row r="4500" spans="1:18" x14ac:dyDescent="0.25">
      <c r="A4500" s="2" t="s">
        <v>18109</v>
      </c>
      <c r="B4500" s="6">
        <v>46204</v>
      </c>
      <c r="C4500" s="8">
        <v>46220</v>
      </c>
      <c r="D4500" s="2" t="s">
        <v>7433</v>
      </c>
      <c r="E4500" s="2" t="s">
        <v>16959</v>
      </c>
      <c r="F4500" s="2" t="s">
        <v>15316</v>
      </c>
      <c r="G4500" s="2" t="s">
        <v>18110</v>
      </c>
      <c r="H4500" s="2" t="s">
        <v>76</v>
      </c>
      <c r="I4500" s="9">
        <v>139451225.80645201</v>
      </c>
      <c r="J4500" s="7">
        <v>6.2000000000000003E-5</v>
      </c>
      <c r="K4500" s="9">
        <v>8645.98</v>
      </c>
      <c r="L4500" s="14">
        <v>0</v>
      </c>
      <c r="M4500" s="2" t="s">
        <v>71</v>
      </c>
      <c r="N4500" s="2" t="s">
        <v>17628</v>
      </c>
      <c r="O4500" s="2" t="s">
        <v>10276</v>
      </c>
      <c r="P4500" s="9">
        <v>0</v>
      </c>
      <c r="Q4500" s="9">
        <v>0</v>
      </c>
      <c r="R4500" s="2"/>
    </row>
    <row r="4501" spans="1:18" x14ac:dyDescent="0.25">
      <c r="A4501" s="2" t="s">
        <v>18111</v>
      </c>
      <c r="B4501" s="6">
        <v>46204</v>
      </c>
      <c r="C4501" s="8">
        <v>46221</v>
      </c>
      <c r="D4501" s="2" t="s">
        <v>7433</v>
      </c>
      <c r="E4501" s="2" t="s">
        <v>16959</v>
      </c>
      <c r="F4501" s="2" t="s">
        <v>15320</v>
      </c>
      <c r="G4501" s="2" t="s">
        <v>18112</v>
      </c>
      <c r="H4501" s="2" t="s">
        <v>70</v>
      </c>
      <c r="I4501" s="9">
        <v>13623.585107000001</v>
      </c>
      <c r="J4501" s="7">
        <v>0.65800000000000003</v>
      </c>
      <c r="K4501" s="9">
        <v>8964.32</v>
      </c>
      <c r="L4501" s="14">
        <v>0</v>
      </c>
      <c r="M4501" s="2" t="s">
        <v>71</v>
      </c>
      <c r="N4501" s="2" t="s">
        <v>17628</v>
      </c>
      <c r="O4501" s="2" t="s">
        <v>10281</v>
      </c>
      <c r="P4501" s="9">
        <v>0</v>
      </c>
      <c r="Q4501" s="9">
        <v>0</v>
      </c>
      <c r="R4501" s="2"/>
    </row>
    <row r="4502" spans="1:18" x14ac:dyDescent="0.25">
      <c r="A4502" s="2" t="s">
        <v>18113</v>
      </c>
      <c r="B4502" s="6">
        <v>46204</v>
      </c>
      <c r="C4502" s="8">
        <v>46222</v>
      </c>
      <c r="D4502" s="2" t="s">
        <v>7433</v>
      </c>
      <c r="E4502" s="2" t="s">
        <v>16959</v>
      </c>
      <c r="F4502" s="2" t="s">
        <v>15324</v>
      </c>
      <c r="G4502" s="2" t="s">
        <v>18114</v>
      </c>
      <c r="H4502" s="2" t="s">
        <v>39</v>
      </c>
      <c r="I4502" s="9">
        <v>9282.6504999999997</v>
      </c>
      <c r="J4502" s="7">
        <v>1</v>
      </c>
      <c r="K4502" s="9">
        <v>9282.65</v>
      </c>
      <c r="L4502" s="14">
        <v>0</v>
      </c>
      <c r="M4502" s="2" t="s">
        <v>71</v>
      </c>
      <c r="N4502" s="2" t="s">
        <v>17628</v>
      </c>
      <c r="O4502" s="2" t="s">
        <v>10286</v>
      </c>
      <c r="P4502" s="9">
        <v>0</v>
      </c>
      <c r="Q4502" s="9">
        <v>0</v>
      </c>
      <c r="R4502" s="2"/>
    </row>
    <row r="4503" spans="1:18" x14ac:dyDescent="0.25">
      <c r="A4503" s="2" t="s">
        <v>18115</v>
      </c>
      <c r="B4503" s="6">
        <v>46204</v>
      </c>
      <c r="C4503" s="8">
        <v>46223</v>
      </c>
      <c r="D4503" s="2" t="s">
        <v>7433</v>
      </c>
      <c r="E4503" s="2" t="s">
        <v>16959</v>
      </c>
      <c r="F4503" s="2" t="s">
        <v>15328</v>
      </c>
      <c r="G4503" s="2" t="s">
        <v>18116</v>
      </c>
      <c r="H4503" s="2" t="s">
        <v>76</v>
      </c>
      <c r="I4503" s="9">
        <v>154854733.87096801</v>
      </c>
      <c r="J4503" s="7">
        <v>6.2000000000000003E-5</v>
      </c>
      <c r="K4503" s="9">
        <v>9600.99</v>
      </c>
      <c r="L4503" s="14">
        <v>0</v>
      </c>
      <c r="M4503" s="2" t="s">
        <v>71</v>
      </c>
      <c r="N4503" s="2" t="s">
        <v>17628</v>
      </c>
      <c r="O4503" s="2" t="s">
        <v>10291</v>
      </c>
      <c r="P4503" s="9">
        <v>0</v>
      </c>
      <c r="Q4503" s="9">
        <v>0</v>
      </c>
      <c r="R4503" s="2"/>
    </row>
    <row r="4504" spans="1:18" x14ac:dyDescent="0.25">
      <c r="A4504" s="2" t="s">
        <v>18117</v>
      </c>
      <c r="B4504" s="6">
        <v>46204</v>
      </c>
      <c r="C4504" s="8">
        <v>46224</v>
      </c>
      <c r="D4504" s="2" t="s">
        <v>7433</v>
      </c>
      <c r="E4504" s="2" t="s">
        <v>16959</v>
      </c>
      <c r="F4504" s="2" t="s">
        <v>15332</v>
      </c>
      <c r="G4504" s="2" t="s">
        <v>18118</v>
      </c>
      <c r="H4504" s="2" t="s">
        <v>70</v>
      </c>
      <c r="I4504" s="9">
        <v>15074.962006</v>
      </c>
      <c r="J4504" s="7">
        <v>0.65800000000000003</v>
      </c>
      <c r="K4504" s="9">
        <v>9919.32</v>
      </c>
      <c r="L4504" s="14">
        <v>0</v>
      </c>
      <c r="M4504" s="2" t="s">
        <v>71</v>
      </c>
      <c r="N4504" s="2" t="s">
        <v>17628</v>
      </c>
      <c r="O4504" s="2" t="s">
        <v>10296</v>
      </c>
      <c r="P4504" s="9">
        <v>0</v>
      </c>
      <c r="Q4504" s="9">
        <v>0</v>
      </c>
      <c r="R4504" s="2"/>
    </row>
    <row r="4505" spans="1:18" x14ac:dyDescent="0.25">
      <c r="A4505" s="2" t="s">
        <v>18119</v>
      </c>
      <c r="B4505" s="6">
        <v>46204</v>
      </c>
      <c r="C4505" s="8">
        <v>46225</v>
      </c>
      <c r="D4505" s="2" t="s">
        <v>7433</v>
      </c>
      <c r="E4505" s="2" t="s">
        <v>16959</v>
      </c>
      <c r="F4505" s="2" t="s">
        <v>15336</v>
      </c>
      <c r="G4505" s="2" t="s">
        <v>18120</v>
      </c>
      <c r="H4505" s="2" t="s">
        <v>39</v>
      </c>
      <c r="I4505" s="9">
        <v>10237.668</v>
      </c>
      <c r="J4505" s="7">
        <v>1</v>
      </c>
      <c r="K4505" s="9">
        <v>10237.67</v>
      </c>
      <c r="L4505" s="14">
        <v>0</v>
      </c>
      <c r="M4505" s="2" t="s">
        <v>71</v>
      </c>
      <c r="N4505" s="2" t="s">
        <v>17628</v>
      </c>
      <c r="O4505" s="2" t="s">
        <v>10301</v>
      </c>
      <c r="P4505" s="9">
        <v>0</v>
      </c>
      <c r="Q4505" s="9">
        <v>0</v>
      </c>
      <c r="R4505" s="2"/>
    </row>
    <row r="4506" spans="1:18" x14ac:dyDescent="0.25">
      <c r="A4506" s="2" t="s">
        <v>18121</v>
      </c>
      <c r="B4506" s="6">
        <v>46204</v>
      </c>
      <c r="C4506" s="8">
        <v>46226</v>
      </c>
      <c r="D4506" s="2" t="s">
        <v>7433</v>
      </c>
      <c r="E4506" s="2" t="s">
        <v>16959</v>
      </c>
      <c r="F4506" s="2" t="s">
        <v>15300</v>
      </c>
      <c r="G4506" s="2" t="s">
        <v>18122</v>
      </c>
      <c r="H4506" s="2" t="s">
        <v>76</v>
      </c>
      <c r="I4506" s="9">
        <v>170258241.93548301</v>
      </c>
      <c r="J4506" s="7">
        <v>6.2000000000000003E-5</v>
      </c>
      <c r="K4506" s="9">
        <v>10556.01</v>
      </c>
      <c r="L4506" s="14">
        <v>0</v>
      </c>
      <c r="M4506" s="2" t="s">
        <v>71</v>
      </c>
      <c r="N4506" s="2" t="s">
        <v>17628</v>
      </c>
      <c r="O4506" s="2" t="s">
        <v>10306</v>
      </c>
      <c r="P4506" s="9">
        <v>0</v>
      </c>
      <c r="Q4506" s="9">
        <v>0</v>
      </c>
      <c r="R4506" s="2"/>
    </row>
    <row r="4507" spans="1:18" x14ac:dyDescent="0.25">
      <c r="A4507" s="2" t="s">
        <v>18123</v>
      </c>
      <c r="B4507" s="6">
        <v>46204</v>
      </c>
      <c r="C4507" s="8">
        <v>46227</v>
      </c>
      <c r="D4507" s="2" t="s">
        <v>7433</v>
      </c>
      <c r="E4507" s="2" t="s">
        <v>16959</v>
      </c>
      <c r="F4507" s="2" t="s">
        <v>15304</v>
      </c>
      <c r="G4507" s="2" t="s">
        <v>18124</v>
      </c>
      <c r="H4507" s="2" t="s">
        <v>70</v>
      </c>
      <c r="I4507" s="9">
        <v>16523.647417</v>
      </c>
      <c r="J4507" s="7">
        <v>0.65800000000000003</v>
      </c>
      <c r="K4507" s="9">
        <v>10872.56</v>
      </c>
      <c r="L4507" s="14">
        <v>0</v>
      </c>
      <c r="M4507" s="2" t="s">
        <v>71</v>
      </c>
      <c r="N4507" s="2" t="s">
        <v>17628</v>
      </c>
      <c r="O4507" s="2" t="s">
        <v>10311</v>
      </c>
      <c r="P4507" s="9">
        <v>0</v>
      </c>
      <c r="Q4507" s="9">
        <v>0</v>
      </c>
      <c r="R4507" s="2"/>
    </row>
    <row r="4508" spans="1:18" x14ac:dyDescent="0.25">
      <c r="A4508" s="2" t="s">
        <v>18125</v>
      </c>
      <c r="B4508" s="6">
        <v>46204</v>
      </c>
      <c r="C4508" s="8">
        <v>46228</v>
      </c>
      <c r="D4508" s="2" t="s">
        <v>7433</v>
      </c>
      <c r="E4508" s="2" t="s">
        <v>16959</v>
      </c>
      <c r="F4508" s="2" t="s">
        <v>15308</v>
      </c>
      <c r="G4508" s="2" t="s">
        <v>18126</v>
      </c>
      <c r="H4508" s="2" t="s">
        <v>39</v>
      </c>
      <c r="I4508" s="9">
        <v>11190.903</v>
      </c>
      <c r="J4508" s="7">
        <v>1</v>
      </c>
      <c r="K4508" s="9">
        <v>11190.9</v>
      </c>
      <c r="L4508" s="14">
        <v>0</v>
      </c>
      <c r="M4508" s="2" t="s">
        <v>71</v>
      </c>
      <c r="N4508" s="2" t="s">
        <v>17628</v>
      </c>
      <c r="O4508" s="2" t="s">
        <v>10316</v>
      </c>
      <c r="P4508" s="9">
        <v>0</v>
      </c>
      <c r="Q4508" s="9">
        <v>0</v>
      </c>
      <c r="R4508" s="2"/>
    </row>
    <row r="4509" spans="1:18" x14ac:dyDescent="0.25">
      <c r="A4509" s="2" t="s">
        <v>18127</v>
      </c>
      <c r="B4509" s="6">
        <v>46204</v>
      </c>
      <c r="C4509" s="8">
        <v>46229</v>
      </c>
      <c r="D4509" s="2" t="s">
        <v>7433</v>
      </c>
      <c r="E4509" s="2" t="s">
        <v>16959</v>
      </c>
      <c r="F4509" s="2" t="s">
        <v>15312</v>
      </c>
      <c r="G4509" s="2" t="s">
        <v>18128</v>
      </c>
      <c r="H4509" s="2" t="s">
        <v>76</v>
      </c>
      <c r="I4509" s="9">
        <v>185632814.51612899</v>
      </c>
      <c r="J4509" s="7">
        <v>6.2000000000000003E-5</v>
      </c>
      <c r="K4509" s="9">
        <v>11509.23</v>
      </c>
      <c r="L4509" s="14">
        <v>0</v>
      </c>
      <c r="M4509" s="2" t="s">
        <v>71</v>
      </c>
      <c r="N4509" s="2" t="s">
        <v>17628</v>
      </c>
      <c r="O4509" s="2" t="s">
        <v>10321</v>
      </c>
      <c r="P4509" s="9">
        <v>0</v>
      </c>
      <c r="Q4509" s="9">
        <v>0</v>
      </c>
      <c r="R4509" s="2"/>
    </row>
    <row r="4510" spans="1:18" x14ac:dyDescent="0.25">
      <c r="A4510" s="2" t="s">
        <v>18129</v>
      </c>
      <c r="B4510" s="6">
        <v>46204</v>
      </c>
      <c r="C4510" s="8">
        <v>46230</v>
      </c>
      <c r="D4510" s="2" t="s">
        <v>7433</v>
      </c>
      <c r="E4510" s="2" t="s">
        <v>16959</v>
      </c>
      <c r="F4510" s="2" t="s">
        <v>15316</v>
      </c>
      <c r="G4510" s="2" t="s">
        <v>18130</v>
      </c>
      <c r="H4510" s="2" t="s">
        <v>70</v>
      </c>
      <c r="I4510" s="9">
        <v>17975.041794000001</v>
      </c>
      <c r="J4510" s="7">
        <v>0.65800000000000003</v>
      </c>
      <c r="K4510" s="9">
        <v>11827.58</v>
      </c>
      <c r="L4510" s="14">
        <v>0</v>
      </c>
      <c r="M4510" s="2" t="s">
        <v>71</v>
      </c>
      <c r="N4510" s="2" t="s">
        <v>17628</v>
      </c>
      <c r="O4510" s="2" t="s">
        <v>10326</v>
      </c>
      <c r="P4510" s="9">
        <v>0</v>
      </c>
      <c r="Q4510" s="9">
        <v>0</v>
      </c>
      <c r="R4510" s="2"/>
    </row>
    <row r="4511" spans="1:18" x14ac:dyDescent="0.25">
      <c r="A4511" s="2" t="s">
        <v>18131</v>
      </c>
      <c r="B4511" s="6">
        <v>46204</v>
      </c>
      <c r="C4511" s="8">
        <v>46231</v>
      </c>
      <c r="D4511" s="2" t="s">
        <v>7433</v>
      </c>
      <c r="E4511" s="2" t="s">
        <v>16959</v>
      </c>
      <c r="F4511" s="2" t="s">
        <v>15320</v>
      </c>
      <c r="G4511" s="2" t="s">
        <v>18132</v>
      </c>
      <c r="H4511" s="2" t="s">
        <v>39</v>
      </c>
      <c r="I4511" s="9">
        <v>12145.909</v>
      </c>
      <c r="J4511" s="7">
        <v>1</v>
      </c>
      <c r="K4511" s="9">
        <v>12145.91</v>
      </c>
      <c r="L4511" s="14">
        <v>0</v>
      </c>
      <c r="M4511" s="2" t="s">
        <v>71</v>
      </c>
      <c r="N4511" s="2" t="s">
        <v>17628</v>
      </c>
      <c r="O4511" s="2" t="s">
        <v>10331</v>
      </c>
      <c r="P4511" s="9">
        <v>0</v>
      </c>
      <c r="Q4511" s="9">
        <v>0</v>
      </c>
      <c r="R4511" s="2"/>
    </row>
    <row r="4512" spans="1:18" x14ac:dyDescent="0.25">
      <c r="A4512" s="2" t="s">
        <v>18133</v>
      </c>
      <c r="B4512" s="6">
        <v>46204</v>
      </c>
      <c r="C4512" s="8">
        <v>46232</v>
      </c>
      <c r="D4512" s="2" t="s">
        <v>7433</v>
      </c>
      <c r="E4512" s="2" t="s">
        <v>16959</v>
      </c>
      <c r="F4512" s="2" t="s">
        <v>15324</v>
      </c>
      <c r="G4512" s="2" t="s">
        <v>18134</v>
      </c>
      <c r="H4512" s="2" t="s">
        <v>76</v>
      </c>
      <c r="I4512" s="9">
        <v>201036322.58064499</v>
      </c>
      <c r="J4512" s="7">
        <v>6.2000000000000003E-5</v>
      </c>
      <c r="K4512" s="9">
        <v>12464.25</v>
      </c>
      <c r="L4512" s="14">
        <v>0</v>
      </c>
      <c r="M4512" s="2" t="s">
        <v>71</v>
      </c>
      <c r="N4512" s="2" t="s">
        <v>17628</v>
      </c>
      <c r="O4512" s="2" t="s">
        <v>10336</v>
      </c>
      <c r="P4512" s="9">
        <v>0</v>
      </c>
      <c r="Q4512" s="9">
        <v>0</v>
      </c>
      <c r="R4512" s="2"/>
    </row>
    <row r="4513" spans="1:18" x14ac:dyDescent="0.25">
      <c r="A4513" s="2" t="s">
        <v>18135</v>
      </c>
      <c r="B4513" s="6">
        <v>46204</v>
      </c>
      <c r="C4513" s="8">
        <v>46233</v>
      </c>
      <c r="D4513" s="2" t="s">
        <v>7433</v>
      </c>
      <c r="E4513" s="2" t="s">
        <v>16959</v>
      </c>
      <c r="F4513" s="2" t="s">
        <v>15328</v>
      </c>
      <c r="G4513" s="2" t="s">
        <v>18136</v>
      </c>
      <c r="H4513" s="2" t="s">
        <v>70</v>
      </c>
      <c r="I4513" s="9">
        <v>19426.436170000001</v>
      </c>
      <c r="J4513" s="7">
        <v>0.65800000000000003</v>
      </c>
      <c r="K4513" s="9">
        <v>12782.59</v>
      </c>
      <c r="L4513" s="14">
        <v>0</v>
      </c>
      <c r="M4513" s="2" t="s">
        <v>71</v>
      </c>
      <c r="N4513" s="2" t="s">
        <v>17628</v>
      </c>
      <c r="O4513" s="2" t="s">
        <v>10341</v>
      </c>
      <c r="P4513" s="9">
        <v>0</v>
      </c>
      <c r="Q4513" s="9">
        <v>0</v>
      </c>
      <c r="R4513" s="2"/>
    </row>
    <row r="4514" spans="1:18" x14ac:dyDescent="0.25">
      <c r="A4514" s="2" t="s">
        <v>18137</v>
      </c>
      <c r="B4514" s="6">
        <v>46204</v>
      </c>
      <c r="C4514" s="8">
        <v>46234</v>
      </c>
      <c r="D4514" s="2" t="s">
        <v>7433</v>
      </c>
      <c r="E4514" s="2" t="s">
        <v>16959</v>
      </c>
      <c r="F4514" s="2" t="s">
        <v>15332</v>
      </c>
      <c r="G4514" s="2" t="s">
        <v>18138</v>
      </c>
      <c r="H4514" s="2" t="s">
        <v>39</v>
      </c>
      <c r="I4514" s="9">
        <v>13100.9265</v>
      </c>
      <c r="J4514" s="7">
        <v>1</v>
      </c>
      <c r="K4514" s="9">
        <v>13100.93</v>
      </c>
      <c r="L4514" s="14">
        <v>0</v>
      </c>
      <c r="M4514" s="2" t="s">
        <v>71</v>
      </c>
      <c r="N4514" s="2" t="s">
        <v>17628</v>
      </c>
      <c r="O4514" s="2" t="s">
        <v>10346</v>
      </c>
      <c r="P4514" s="9">
        <v>0</v>
      </c>
      <c r="Q4514" s="9">
        <v>0</v>
      </c>
      <c r="R4514" s="2"/>
    </row>
    <row r="4515" spans="1:18" x14ac:dyDescent="0.25">
      <c r="A4515" s="2" t="s">
        <v>18139</v>
      </c>
      <c r="B4515" s="6">
        <v>46204</v>
      </c>
      <c r="C4515" s="8">
        <v>46204</v>
      </c>
      <c r="D4515" s="2" t="s">
        <v>7433</v>
      </c>
      <c r="E4515" s="2" t="s">
        <v>16959</v>
      </c>
      <c r="F4515" s="2" t="s">
        <v>15336</v>
      </c>
      <c r="G4515" s="2" t="s">
        <v>18140</v>
      </c>
      <c r="H4515" s="2" t="s">
        <v>76</v>
      </c>
      <c r="I4515" s="9">
        <v>216439830.64516199</v>
      </c>
      <c r="J4515" s="7">
        <v>6.2000000000000003E-5</v>
      </c>
      <c r="K4515" s="9">
        <v>13419.27</v>
      </c>
      <c r="L4515" s="14">
        <v>0</v>
      </c>
      <c r="M4515" s="2" t="s">
        <v>71</v>
      </c>
      <c r="N4515" s="2" t="s">
        <v>17628</v>
      </c>
      <c r="O4515" s="2" t="s">
        <v>10351</v>
      </c>
      <c r="P4515" s="9">
        <v>0</v>
      </c>
      <c r="Q4515" s="9">
        <v>0</v>
      </c>
      <c r="R4515" s="2"/>
    </row>
    <row r="4516" spans="1:18" x14ac:dyDescent="0.25">
      <c r="A4516" s="2" t="s">
        <v>18141</v>
      </c>
      <c r="B4516" s="6">
        <v>46204</v>
      </c>
      <c r="C4516" s="8">
        <v>46205</v>
      </c>
      <c r="D4516" s="2" t="s">
        <v>7433</v>
      </c>
      <c r="E4516" s="2" t="s">
        <v>16959</v>
      </c>
      <c r="F4516" s="2" t="s">
        <v>15300</v>
      </c>
      <c r="G4516" s="2" t="s">
        <v>18142</v>
      </c>
      <c r="H4516" s="2" t="s">
        <v>70</v>
      </c>
      <c r="I4516" s="9">
        <v>20877.830547000001</v>
      </c>
      <c r="J4516" s="7">
        <v>0.65800000000000003</v>
      </c>
      <c r="K4516" s="9">
        <v>13737.61</v>
      </c>
      <c r="L4516" s="14">
        <v>0</v>
      </c>
      <c r="M4516" s="2" t="s">
        <v>71</v>
      </c>
      <c r="N4516" s="2" t="s">
        <v>17628</v>
      </c>
      <c r="O4516" s="2" t="s">
        <v>10356</v>
      </c>
      <c r="P4516" s="9">
        <v>0</v>
      </c>
      <c r="Q4516" s="9">
        <v>0</v>
      </c>
      <c r="R4516" s="2"/>
    </row>
    <row r="4517" spans="1:18" x14ac:dyDescent="0.25">
      <c r="A4517" s="2" t="s">
        <v>18143</v>
      </c>
      <c r="B4517" s="6">
        <v>46204</v>
      </c>
      <c r="C4517" s="8">
        <v>46206</v>
      </c>
      <c r="D4517" s="2" t="s">
        <v>7433</v>
      </c>
      <c r="E4517" s="2" t="s">
        <v>16959</v>
      </c>
      <c r="F4517" s="2" t="s">
        <v>15304</v>
      </c>
      <c r="G4517" s="2" t="s">
        <v>18144</v>
      </c>
      <c r="H4517" s="2" t="s">
        <v>39</v>
      </c>
      <c r="I4517" s="9">
        <v>14055.944</v>
      </c>
      <c r="J4517" s="7">
        <v>1</v>
      </c>
      <c r="K4517" s="9">
        <v>14055.94</v>
      </c>
      <c r="L4517" s="14">
        <v>0</v>
      </c>
      <c r="M4517" s="2" t="s">
        <v>71</v>
      </c>
      <c r="N4517" s="2" t="s">
        <v>17628</v>
      </c>
      <c r="O4517" s="2" t="s">
        <v>10361</v>
      </c>
      <c r="P4517" s="9">
        <v>0</v>
      </c>
      <c r="Q4517" s="9">
        <v>0</v>
      </c>
      <c r="R4517" s="2"/>
    </row>
    <row r="4518" spans="1:18" x14ac:dyDescent="0.25">
      <c r="A4518" s="2" t="s">
        <v>18145</v>
      </c>
      <c r="B4518" s="6">
        <v>46204</v>
      </c>
      <c r="C4518" s="8">
        <v>46207</v>
      </c>
      <c r="D4518" s="2" t="s">
        <v>7433</v>
      </c>
      <c r="E4518" s="2" t="s">
        <v>16959</v>
      </c>
      <c r="F4518" s="2" t="s">
        <v>15308</v>
      </c>
      <c r="G4518" s="2" t="s">
        <v>18146</v>
      </c>
      <c r="H4518" s="2" t="s">
        <v>76</v>
      </c>
      <c r="I4518" s="9">
        <v>231843338.70967701</v>
      </c>
      <c r="J4518" s="7">
        <v>6.2000000000000003E-5</v>
      </c>
      <c r="K4518" s="9">
        <v>14374.29</v>
      </c>
      <c r="L4518" s="14">
        <v>0</v>
      </c>
      <c r="M4518" s="2" t="s">
        <v>71</v>
      </c>
      <c r="N4518" s="2" t="s">
        <v>17628</v>
      </c>
      <c r="O4518" s="2" t="s">
        <v>10366</v>
      </c>
      <c r="P4518" s="9">
        <v>0</v>
      </c>
      <c r="Q4518" s="9">
        <v>0</v>
      </c>
      <c r="R4518" s="2"/>
    </row>
    <row r="4519" spans="1:18" x14ac:dyDescent="0.25">
      <c r="A4519" s="2" t="s">
        <v>18147</v>
      </c>
      <c r="B4519" s="6">
        <v>46204</v>
      </c>
      <c r="C4519" s="8">
        <v>46208</v>
      </c>
      <c r="D4519" s="2" t="s">
        <v>7433</v>
      </c>
      <c r="E4519" s="2" t="s">
        <v>16959</v>
      </c>
      <c r="F4519" s="2" t="s">
        <v>15312</v>
      </c>
      <c r="G4519" s="2" t="s">
        <v>18148</v>
      </c>
      <c r="H4519" s="2" t="s">
        <v>70</v>
      </c>
      <c r="I4519" s="9">
        <v>22329.224923999998</v>
      </c>
      <c r="J4519" s="7">
        <v>0.65800000000000003</v>
      </c>
      <c r="K4519" s="9">
        <v>14692.63</v>
      </c>
      <c r="L4519" s="14">
        <v>0</v>
      </c>
      <c r="M4519" s="2" t="s">
        <v>71</v>
      </c>
      <c r="N4519" s="2" t="s">
        <v>17628</v>
      </c>
      <c r="O4519" s="2" t="s">
        <v>10371</v>
      </c>
      <c r="P4519" s="9">
        <v>0</v>
      </c>
      <c r="Q4519" s="9">
        <v>0</v>
      </c>
      <c r="R4519" s="2"/>
    </row>
    <row r="4520" spans="1:18" x14ac:dyDescent="0.25">
      <c r="A4520" s="2" t="s">
        <v>18149</v>
      </c>
      <c r="B4520" s="6">
        <v>46204</v>
      </c>
      <c r="C4520" s="8">
        <v>46209</v>
      </c>
      <c r="D4520" s="2" t="s">
        <v>7433</v>
      </c>
      <c r="E4520" s="2" t="s">
        <v>16959</v>
      </c>
      <c r="F4520" s="2" t="s">
        <v>15316</v>
      </c>
      <c r="G4520" s="2" t="s">
        <v>18150</v>
      </c>
      <c r="H4520" s="2" t="s">
        <v>39</v>
      </c>
      <c r="I4520" s="9">
        <v>15010.961499999999</v>
      </c>
      <c r="J4520" s="7">
        <v>1</v>
      </c>
      <c r="K4520" s="9">
        <v>15010.96</v>
      </c>
      <c r="L4520" s="14">
        <v>0</v>
      </c>
      <c r="M4520" s="2" t="s">
        <v>71</v>
      </c>
      <c r="N4520" s="2" t="s">
        <v>17628</v>
      </c>
      <c r="O4520" s="2" t="s">
        <v>10376</v>
      </c>
      <c r="P4520" s="9">
        <v>0</v>
      </c>
      <c r="Q4520" s="9">
        <v>0</v>
      </c>
      <c r="R4520" s="2"/>
    </row>
    <row r="4521" spans="1:18" x14ac:dyDescent="0.25">
      <c r="A4521" s="2" t="s">
        <v>18151</v>
      </c>
      <c r="B4521" s="6">
        <v>46204</v>
      </c>
      <c r="C4521" s="8">
        <v>46210</v>
      </c>
      <c r="D4521" s="2" t="s">
        <v>7433</v>
      </c>
      <c r="E4521" s="2" t="s">
        <v>16959</v>
      </c>
      <c r="F4521" s="2" t="s">
        <v>15320</v>
      </c>
      <c r="G4521" s="2" t="s">
        <v>18152</v>
      </c>
      <c r="H4521" s="2" t="s">
        <v>76</v>
      </c>
      <c r="I4521" s="9">
        <v>247246661.29032299</v>
      </c>
      <c r="J4521" s="7">
        <v>6.2000000000000003E-5</v>
      </c>
      <c r="K4521" s="9">
        <v>15329.29</v>
      </c>
      <c r="L4521" s="14">
        <v>0</v>
      </c>
      <c r="M4521" s="2" t="s">
        <v>71</v>
      </c>
      <c r="N4521" s="2" t="s">
        <v>17628</v>
      </c>
      <c r="O4521" s="2" t="s">
        <v>10381</v>
      </c>
      <c r="P4521" s="9">
        <v>0</v>
      </c>
      <c r="Q4521" s="9">
        <v>0</v>
      </c>
      <c r="R4521" s="2"/>
    </row>
    <row r="4522" spans="1:18" x14ac:dyDescent="0.25">
      <c r="A4522" s="2" t="s">
        <v>18153</v>
      </c>
      <c r="B4522" s="6">
        <v>46204</v>
      </c>
      <c r="C4522" s="8">
        <v>46211</v>
      </c>
      <c r="D4522" s="2" t="s">
        <v>7433</v>
      </c>
      <c r="E4522" s="2" t="s">
        <v>16959</v>
      </c>
      <c r="F4522" s="2" t="s">
        <v>15324</v>
      </c>
      <c r="G4522" s="2" t="s">
        <v>18154</v>
      </c>
      <c r="H4522" s="2" t="s">
        <v>70</v>
      </c>
      <c r="I4522" s="9">
        <v>23780.601824000001</v>
      </c>
      <c r="J4522" s="7">
        <v>0.65800000000000003</v>
      </c>
      <c r="K4522" s="9">
        <v>15647.64</v>
      </c>
      <c r="L4522" s="14">
        <v>0</v>
      </c>
      <c r="M4522" s="2" t="s">
        <v>71</v>
      </c>
      <c r="N4522" s="2" t="s">
        <v>17628</v>
      </c>
      <c r="O4522" s="2" t="s">
        <v>10386</v>
      </c>
      <c r="P4522" s="9">
        <v>0</v>
      </c>
      <c r="Q4522" s="9">
        <v>0</v>
      </c>
      <c r="R4522" s="2"/>
    </row>
    <row r="4523" spans="1:18" x14ac:dyDescent="0.25">
      <c r="A4523" s="2" t="s">
        <v>18155</v>
      </c>
      <c r="B4523" s="6">
        <v>46204</v>
      </c>
      <c r="C4523" s="8">
        <v>46212</v>
      </c>
      <c r="D4523" s="2" t="s">
        <v>7433</v>
      </c>
      <c r="E4523" s="2" t="s">
        <v>16959</v>
      </c>
      <c r="F4523" s="2" t="s">
        <v>15328</v>
      </c>
      <c r="G4523" s="2" t="s">
        <v>18156</v>
      </c>
      <c r="H4523" s="2" t="s">
        <v>39</v>
      </c>
      <c r="I4523" s="9">
        <v>15965.978999999999</v>
      </c>
      <c r="J4523" s="7">
        <v>1</v>
      </c>
      <c r="K4523" s="9">
        <v>15965.98</v>
      </c>
      <c r="L4523" s="14">
        <v>0</v>
      </c>
      <c r="M4523" s="2" t="s">
        <v>71</v>
      </c>
      <c r="N4523" s="2" t="s">
        <v>17628</v>
      </c>
      <c r="O4523" s="2" t="s">
        <v>10391</v>
      </c>
      <c r="P4523" s="9">
        <v>0</v>
      </c>
      <c r="Q4523" s="9">
        <v>0</v>
      </c>
      <c r="R4523" s="2"/>
    </row>
    <row r="4524" spans="1:18" x14ac:dyDescent="0.25">
      <c r="A4524" s="2" t="s">
        <v>18157</v>
      </c>
      <c r="B4524" s="6">
        <v>46204</v>
      </c>
      <c r="C4524" s="8">
        <v>46213</v>
      </c>
      <c r="D4524" s="2" t="s">
        <v>7433</v>
      </c>
      <c r="E4524" s="2" t="s">
        <v>16959</v>
      </c>
      <c r="F4524" s="2" t="s">
        <v>15332</v>
      </c>
      <c r="G4524" s="2" t="s">
        <v>18158</v>
      </c>
      <c r="H4524" s="2" t="s">
        <v>76</v>
      </c>
      <c r="I4524" s="9">
        <v>262650169.35483801</v>
      </c>
      <c r="J4524" s="7">
        <v>6.2000000000000003E-5</v>
      </c>
      <c r="K4524" s="9">
        <v>16284.31</v>
      </c>
      <c r="L4524" s="14">
        <v>0</v>
      </c>
      <c r="M4524" s="2" t="s">
        <v>71</v>
      </c>
      <c r="N4524" s="2" t="s">
        <v>17628</v>
      </c>
      <c r="O4524" s="2" t="s">
        <v>10396</v>
      </c>
      <c r="P4524" s="9">
        <v>0</v>
      </c>
      <c r="Q4524" s="9">
        <v>0</v>
      </c>
      <c r="R4524" s="2"/>
    </row>
    <row r="4525" spans="1:18" x14ac:dyDescent="0.25">
      <c r="A4525" s="2" t="s">
        <v>18159</v>
      </c>
      <c r="B4525" s="6">
        <v>46204</v>
      </c>
      <c r="C4525" s="8">
        <v>46214</v>
      </c>
      <c r="D4525" s="2" t="s">
        <v>7433</v>
      </c>
      <c r="E4525" s="2" t="s">
        <v>16959</v>
      </c>
      <c r="F4525" s="2" t="s">
        <v>15336</v>
      </c>
      <c r="G4525" s="2" t="s">
        <v>18160</v>
      </c>
      <c r="H4525" s="2" t="s">
        <v>70</v>
      </c>
      <c r="I4525" s="9">
        <v>25231.996200000001</v>
      </c>
      <c r="J4525" s="7">
        <v>0.65800000000000003</v>
      </c>
      <c r="K4525" s="9">
        <v>16602.650000000001</v>
      </c>
      <c r="L4525" s="14">
        <v>0</v>
      </c>
      <c r="M4525" s="2" t="s">
        <v>71</v>
      </c>
      <c r="N4525" s="2" t="s">
        <v>17628</v>
      </c>
      <c r="O4525" s="2" t="s">
        <v>10401</v>
      </c>
      <c r="P4525" s="9">
        <v>0</v>
      </c>
      <c r="Q4525" s="9">
        <v>0</v>
      </c>
      <c r="R4525" s="2"/>
    </row>
    <row r="4526" spans="1:18" x14ac:dyDescent="0.25">
      <c r="A4526" s="2" t="s">
        <v>18161</v>
      </c>
      <c r="B4526" s="6">
        <v>46204</v>
      </c>
      <c r="C4526" s="8">
        <v>46215</v>
      </c>
      <c r="D4526" s="2" t="s">
        <v>7433</v>
      </c>
      <c r="E4526" s="2" t="s">
        <v>16959</v>
      </c>
      <c r="F4526" s="2" t="s">
        <v>15300</v>
      </c>
      <c r="G4526" s="2" t="s">
        <v>18162</v>
      </c>
      <c r="H4526" s="2" t="s">
        <v>39</v>
      </c>
      <c r="I4526" s="9">
        <v>16920.985000000001</v>
      </c>
      <c r="J4526" s="7">
        <v>1</v>
      </c>
      <c r="K4526" s="9">
        <v>16920.98</v>
      </c>
      <c r="L4526" s="14">
        <v>0</v>
      </c>
      <c r="M4526" s="2" t="s">
        <v>71</v>
      </c>
      <c r="N4526" s="2" t="s">
        <v>17628</v>
      </c>
      <c r="O4526" s="2" t="s">
        <v>10406</v>
      </c>
      <c r="P4526" s="9">
        <v>0</v>
      </c>
      <c r="Q4526" s="9">
        <v>0</v>
      </c>
      <c r="R4526" s="2"/>
    </row>
    <row r="4527" spans="1:18" x14ac:dyDescent="0.25">
      <c r="A4527" s="2" t="s">
        <v>18163</v>
      </c>
      <c r="B4527" s="6">
        <v>46204</v>
      </c>
      <c r="C4527" s="8">
        <v>46216</v>
      </c>
      <c r="D4527" s="2" t="s">
        <v>7433</v>
      </c>
      <c r="E4527" s="2" t="s">
        <v>16959</v>
      </c>
      <c r="F4527" s="2" t="s">
        <v>15304</v>
      </c>
      <c r="G4527" s="2" t="s">
        <v>18164</v>
      </c>
      <c r="H4527" s="2" t="s">
        <v>76</v>
      </c>
      <c r="I4527" s="9">
        <v>278053677.41935498</v>
      </c>
      <c r="J4527" s="7">
        <v>6.2000000000000003E-5</v>
      </c>
      <c r="K4527" s="9">
        <v>17239.330000000002</v>
      </c>
      <c r="L4527" s="14">
        <v>0</v>
      </c>
      <c r="M4527" s="2" t="s">
        <v>71</v>
      </c>
      <c r="N4527" s="2" t="s">
        <v>17628</v>
      </c>
      <c r="O4527" s="2" t="s">
        <v>10411</v>
      </c>
      <c r="P4527" s="9">
        <v>0</v>
      </c>
      <c r="Q4527" s="9">
        <v>0</v>
      </c>
      <c r="R4527" s="2"/>
    </row>
    <row r="4528" spans="1:18" x14ac:dyDescent="0.25">
      <c r="A4528" s="2" t="s">
        <v>18165</v>
      </c>
      <c r="B4528" s="6">
        <v>46204</v>
      </c>
      <c r="C4528" s="8">
        <v>46217</v>
      </c>
      <c r="D4528" s="2" t="s">
        <v>7433</v>
      </c>
      <c r="E4528" s="2" t="s">
        <v>16959</v>
      </c>
      <c r="F4528" s="2" t="s">
        <v>15308</v>
      </c>
      <c r="G4528" s="2" t="s">
        <v>18166</v>
      </c>
      <c r="H4528" s="2" t="s">
        <v>70</v>
      </c>
      <c r="I4528" s="9">
        <v>26683.373101000001</v>
      </c>
      <c r="J4528" s="7">
        <v>0.65800000000000003</v>
      </c>
      <c r="K4528" s="9">
        <v>17557.66</v>
      </c>
      <c r="L4528" s="14">
        <v>0</v>
      </c>
      <c r="M4528" s="2" t="s">
        <v>71</v>
      </c>
      <c r="N4528" s="2" t="s">
        <v>17628</v>
      </c>
      <c r="O4528" s="2" t="s">
        <v>10416</v>
      </c>
      <c r="P4528" s="9">
        <v>0</v>
      </c>
      <c r="Q4528" s="9">
        <v>0</v>
      </c>
      <c r="R4528" s="2"/>
    </row>
    <row r="4529" spans="1:18" x14ac:dyDescent="0.25">
      <c r="A4529" s="2" t="s">
        <v>18167</v>
      </c>
      <c r="B4529" s="6">
        <v>46204</v>
      </c>
      <c r="C4529" s="8">
        <v>46218</v>
      </c>
      <c r="D4529" s="2" t="s">
        <v>7433</v>
      </c>
      <c r="E4529" s="2" t="s">
        <v>16959</v>
      </c>
      <c r="F4529" s="2" t="s">
        <v>15312</v>
      </c>
      <c r="G4529" s="2" t="s">
        <v>18168</v>
      </c>
      <c r="H4529" s="2" t="s">
        <v>39</v>
      </c>
      <c r="I4529" s="9">
        <v>17876.002499999999</v>
      </c>
      <c r="J4529" s="7">
        <v>1</v>
      </c>
      <c r="K4529" s="9">
        <v>17876</v>
      </c>
      <c r="L4529" s="14">
        <v>0</v>
      </c>
      <c r="M4529" s="2" t="s">
        <v>71</v>
      </c>
      <c r="N4529" s="2" t="s">
        <v>17628</v>
      </c>
      <c r="O4529" s="2" t="s">
        <v>10421</v>
      </c>
      <c r="P4529" s="9">
        <v>0</v>
      </c>
      <c r="Q4529" s="9">
        <v>0</v>
      </c>
      <c r="R4529" s="2"/>
    </row>
    <row r="4530" spans="1:18" x14ac:dyDescent="0.25">
      <c r="A4530" s="2" t="s">
        <v>18169</v>
      </c>
      <c r="B4530" s="6">
        <v>46204</v>
      </c>
      <c r="C4530" s="8">
        <v>46219</v>
      </c>
      <c r="D4530" s="2" t="s">
        <v>7433</v>
      </c>
      <c r="E4530" s="2" t="s">
        <v>16959</v>
      </c>
      <c r="F4530" s="2" t="s">
        <v>15316</v>
      </c>
      <c r="G4530" s="2" t="s">
        <v>18170</v>
      </c>
      <c r="H4530" s="2" t="s">
        <v>76</v>
      </c>
      <c r="I4530" s="9">
        <v>293457185.48387098</v>
      </c>
      <c r="J4530" s="7">
        <v>6.2000000000000003E-5</v>
      </c>
      <c r="K4530" s="9">
        <v>18194.349999999999</v>
      </c>
      <c r="L4530" s="14">
        <v>0</v>
      </c>
      <c r="M4530" s="2" t="s">
        <v>71</v>
      </c>
      <c r="N4530" s="2" t="s">
        <v>17628</v>
      </c>
      <c r="O4530" s="2" t="s">
        <v>10426</v>
      </c>
      <c r="P4530" s="9">
        <v>0</v>
      </c>
      <c r="Q4530" s="9">
        <v>0</v>
      </c>
      <c r="R4530" s="2"/>
    </row>
    <row r="4531" spans="1:18" x14ac:dyDescent="0.25">
      <c r="A4531" s="2" t="s">
        <v>18171</v>
      </c>
      <c r="B4531" s="6">
        <v>46204</v>
      </c>
      <c r="C4531" s="8">
        <v>46220</v>
      </c>
      <c r="D4531" s="2" t="s">
        <v>7433</v>
      </c>
      <c r="E4531" s="2" t="s">
        <v>16959</v>
      </c>
      <c r="F4531" s="2" t="s">
        <v>15320</v>
      </c>
      <c r="G4531" s="2" t="s">
        <v>18172</v>
      </c>
      <c r="H4531" s="2" t="s">
        <v>70</v>
      </c>
      <c r="I4531" s="9">
        <v>28134.767478000002</v>
      </c>
      <c r="J4531" s="7">
        <v>0.65800000000000003</v>
      </c>
      <c r="K4531" s="9">
        <v>18512.68</v>
      </c>
      <c r="L4531" s="14">
        <v>0</v>
      </c>
      <c r="M4531" s="2" t="s">
        <v>71</v>
      </c>
      <c r="N4531" s="2" t="s">
        <v>17628</v>
      </c>
      <c r="O4531" s="2" t="s">
        <v>10431</v>
      </c>
      <c r="P4531" s="9">
        <v>0</v>
      </c>
      <c r="Q4531" s="9">
        <v>0</v>
      </c>
      <c r="R4531" s="2"/>
    </row>
    <row r="4532" spans="1:18" x14ac:dyDescent="0.25">
      <c r="A4532" s="2" t="s">
        <v>18173</v>
      </c>
      <c r="B4532" s="6">
        <v>46204</v>
      </c>
      <c r="C4532" s="8">
        <v>46221</v>
      </c>
      <c r="D4532" s="2" t="s">
        <v>7433</v>
      </c>
      <c r="E4532" s="2" t="s">
        <v>16959</v>
      </c>
      <c r="F4532" s="2" t="s">
        <v>15324</v>
      </c>
      <c r="G4532" s="2" t="s">
        <v>18174</v>
      </c>
      <c r="H4532" s="2" t="s">
        <v>39</v>
      </c>
      <c r="I4532" s="9">
        <v>18831.02</v>
      </c>
      <c r="J4532" s="7">
        <v>1</v>
      </c>
      <c r="K4532" s="9">
        <v>18831.02</v>
      </c>
      <c r="L4532" s="14">
        <v>0</v>
      </c>
      <c r="M4532" s="2" t="s">
        <v>71</v>
      </c>
      <c r="N4532" s="2" t="s">
        <v>17628</v>
      </c>
      <c r="O4532" s="2" t="s">
        <v>10436</v>
      </c>
      <c r="P4532" s="9">
        <v>0</v>
      </c>
      <c r="Q4532" s="9">
        <v>0</v>
      </c>
      <c r="R4532" s="2"/>
    </row>
    <row r="4533" spans="1:18" x14ac:dyDescent="0.25">
      <c r="A4533" s="2" t="s">
        <v>18175</v>
      </c>
      <c r="B4533" s="6">
        <v>46204</v>
      </c>
      <c r="C4533" s="8">
        <v>46222</v>
      </c>
      <c r="D4533" s="2" t="s">
        <v>7433</v>
      </c>
      <c r="E4533" s="2" t="s">
        <v>16959</v>
      </c>
      <c r="F4533" s="2" t="s">
        <v>15328</v>
      </c>
      <c r="G4533" s="2" t="s">
        <v>18176</v>
      </c>
      <c r="H4533" s="2" t="s">
        <v>76</v>
      </c>
      <c r="I4533" s="9">
        <v>308860693.54838699</v>
      </c>
      <c r="J4533" s="7">
        <v>6.2000000000000003E-5</v>
      </c>
      <c r="K4533" s="9">
        <v>19149.36</v>
      </c>
      <c r="L4533" s="14">
        <v>0</v>
      </c>
      <c r="M4533" s="2" t="s">
        <v>71</v>
      </c>
      <c r="N4533" s="2" t="s">
        <v>17628</v>
      </c>
      <c r="O4533" s="2" t="s">
        <v>10441</v>
      </c>
      <c r="P4533" s="9">
        <v>0</v>
      </c>
      <c r="Q4533" s="9">
        <v>0</v>
      </c>
      <c r="R4533" s="2"/>
    </row>
    <row r="4534" spans="1:18" x14ac:dyDescent="0.25">
      <c r="A4534" s="2" t="s">
        <v>18177</v>
      </c>
      <c r="B4534" s="6">
        <v>46204</v>
      </c>
      <c r="C4534" s="8">
        <v>46223</v>
      </c>
      <c r="D4534" s="2" t="s">
        <v>7433</v>
      </c>
      <c r="E4534" s="2" t="s">
        <v>16959</v>
      </c>
      <c r="F4534" s="2" t="s">
        <v>15332</v>
      </c>
      <c r="G4534" s="2" t="s">
        <v>18178</v>
      </c>
      <c r="H4534" s="2" t="s">
        <v>70</v>
      </c>
      <c r="I4534" s="9">
        <v>29586.161854000002</v>
      </c>
      <c r="J4534" s="7">
        <v>0.65800000000000003</v>
      </c>
      <c r="K4534" s="9">
        <v>19467.689999999999</v>
      </c>
      <c r="L4534" s="14">
        <v>0</v>
      </c>
      <c r="M4534" s="2" t="s">
        <v>71</v>
      </c>
      <c r="N4534" s="2" t="s">
        <v>17628</v>
      </c>
      <c r="O4534" s="2" t="s">
        <v>10446</v>
      </c>
      <c r="P4534" s="9">
        <v>0</v>
      </c>
      <c r="Q4534" s="9">
        <v>0</v>
      </c>
      <c r="R4534" s="2"/>
    </row>
    <row r="4535" spans="1:18" x14ac:dyDescent="0.25">
      <c r="A4535" s="2" t="s">
        <v>18179</v>
      </c>
      <c r="B4535" s="6">
        <v>46204</v>
      </c>
      <c r="C4535" s="8">
        <v>46224</v>
      </c>
      <c r="D4535" s="2" t="s">
        <v>7433</v>
      </c>
      <c r="E4535" s="2" t="s">
        <v>16959</v>
      </c>
      <c r="F4535" s="2" t="s">
        <v>15336</v>
      </c>
      <c r="G4535" s="2" t="s">
        <v>18180</v>
      </c>
      <c r="H4535" s="2" t="s">
        <v>39</v>
      </c>
      <c r="I4535" s="9">
        <v>19786.037499999999</v>
      </c>
      <c r="J4535" s="7">
        <v>1</v>
      </c>
      <c r="K4535" s="9">
        <v>19786.04</v>
      </c>
      <c r="L4535" s="14">
        <v>0</v>
      </c>
      <c r="M4535" s="2" t="s">
        <v>71</v>
      </c>
      <c r="N4535" s="2" t="s">
        <v>17628</v>
      </c>
      <c r="O4535" s="2" t="s">
        <v>10451</v>
      </c>
      <c r="P4535" s="9">
        <v>0</v>
      </c>
      <c r="Q4535" s="9">
        <v>0</v>
      </c>
      <c r="R4535" s="2"/>
    </row>
    <row r="4536" spans="1:18" x14ac:dyDescent="0.25">
      <c r="A4536" s="2" t="s">
        <v>18181</v>
      </c>
      <c r="B4536" s="6">
        <v>46204</v>
      </c>
      <c r="C4536" s="8">
        <v>46225</v>
      </c>
      <c r="D4536" s="2" t="s">
        <v>7433</v>
      </c>
      <c r="E4536" s="2" t="s">
        <v>16959</v>
      </c>
      <c r="F4536" s="2" t="s">
        <v>15300</v>
      </c>
      <c r="G4536" s="2" t="s">
        <v>18182</v>
      </c>
      <c r="H4536" s="2" t="s">
        <v>76</v>
      </c>
      <c r="I4536" s="9">
        <v>324264016.12903202</v>
      </c>
      <c r="J4536" s="7">
        <v>6.2000000000000003E-5</v>
      </c>
      <c r="K4536" s="9">
        <v>20104.37</v>
      </c>
      <c r="L4536" s="14">
        <v>0</v>
      </c>
      <c r="M4536" s="2" t="s">
        <v>71</v>
      </c>
      <c r="N4536" s="2" t="s">
        <v>17628</v>
      </c>
      <c r="O4536" s="2" t="s">
        <v>10456</v>
      </c>
      <c r="P4536" s="9">
        <v>0</v>
      </c>
      <c r="Q4536" s="9">
        <v>0</v>
      </c>
      <c r="R4536" s="2"/>
    </row>
    <row r="4537" spans="1:18" x14ac:dyDescent="0.25">
      <c r="A4537" s="2" t="s">
        <v>18183</v>
      </c>
      <c r="B4537" s="6">
        <v>46204</v>
      </c>
      <c r="C4537" s="8">
        <v>46226</v>
      </c>
      <c r="D4537" s="2" t="s">
        <v>7433</v>
      </c>
      <c r="E4537" s="2" t="s">
        <v>16959</v>
      </c>
      <c r="F4537" s="2" t="s">
        <v>15304</v>
      </c>
      <c r="G4537" s="2" t="s">
        <v>18184</v>
      </c>
      <c r="H4537" s="2" t="s">
        <v>70</v>
      </c>
      <c r="I4537" s="9">
        <v>31037.556230999999</v>
      </c>
      <c r="J4537" s="7">
        <v>0.65800000000000003</v>
      </c>
      <c r="K4537" s="9">
        <v>20422.71</v>
      </c>
      <c r="L4537" s="14">
        <v>0</v>
      </c>
      <c r="M4537" s="2" t="s">
        <v>71</v>
      </c>
      <c r="N4537" s="2" t="s">
        <v>17628</v>
      </c>
      <c r="O4537" s="2" t="s">
        <v>10461</v>
      </c>
      <c r="P4537" s="9">
        <v>0</v>
      </c>
      <c r="Q4537" s="9">
        <v>0</v>
      </c>
      <c r="R4537" s="2"/>
    </row>
    <row r="4538" spans="1:18" x14ac:dyDescent="0.25">
      <c r="A4538" s="2" t="s">
        <v>18185</v>
      </c>
      <c r="B4538" s="6">
        <v>46204</v>
      </c>
      <c r="C4538" s="8">
        <v>46227</v>
      </c>
      <c r="D4538" s="2" t="s">
        <v>7433</v>
      </c>
      <c r="E4538" s="2" t="s">
        <v>16959</v>
      </c>
      <c r="F4538" s="2" t="s">
        <v>15308</v>
      </c>
      <c r="G4538" s="2" t="s">
        <v>18186</v>
      </c>
      <c r="H4538" s="2" t="s">
        <v>39</v>
      </c>
      <c r="I4538" s="9">
        <v>20741.055</v>
      </c>
      <c r="J4538" s="7">
        <v>1</v>
      </c>
      <c r="K4538" s="9">
        <v>20741.060000000001</v>
      </c>
      <c r="L4538" s="14">
        <v>0</v>
      </c>
      <c r="M4538" s="2" t="s">
        <v>71</v>
      </c>
      <c r="N4538" s="2" t="s">
        <v>17628</v>
      </c>
      <c r="O4538" s="2" t="s">
        <v>10466</v>
      </c>
      <c r="P4538" s="9">
        <v>0</v>
      </c>
      <c r="Q4538" s="9">
        <v>0</v>
      </c>
      <c r="R4538" s="2"/>
    </row>
    <row r="4539" spans="1:18" x14ac:dyDescent="0.25">
      <c r="A4539" s="2" t="s">
        <v>18187</v>
      </c>
      <c r="B4539" s="6">
        <v>46204</v>
      </c>
      <c r="C4539" s="8">
        <v>46228</v>
      </c>
      <c r="D4539" s="2" t="s">
        <v>7433</v>
      </c>
      <c r="E4539" s="2" t="s">
        <v>16959</v>
      </c>
      <c r="F4539" s="2" t="s">
        <v>15312</v>
      </c>
      <c r="G4539" s="2" t="s">
        <v>18188</v>
      </c>
      <c r="H4539" s="2" t="s">
        <v>76</v>
      </c>
      <c r="I4539" s="9">
        <v>339667524.19354802</v>
      </c>
      <c r="J4539" s="7">
        <v>6.2000000000000003E-5</v>
      </c>
      <c r="K4539" s="9">
        <v>21059.39</v>
      </c>
      <c r="L4539" s="14">
        <v>0</v>
      </c>
      <c r="M4539" s="2" t="s">
        <v>71</v>
      </c>
      <c r="N4539" s="2" t="s">
        <v>17628</v>
      </c>
      <c r="O4539" s="2" t="s">
        <v>10471</v>
      </c>
      <c r="P4539" s="9">
        <v>0</v>
      </c>
      <c r="Q4539" s="9">
        <v>0</v>
      </c>
      <c r="R4539" s="2"/>
    </row>
    <row r="4540" spans="1:18" x14ac:dyDescent="0.25">
      <c r="A4540" s="2" t="s">
        <v>18189</v>
      </c>
      <c r="B4540" s="6">
        <v>46204</v>
      </c>
      <c r="C4540" s="8">
        <v>46229</v>
      </c>
      <c r="D4540" s="2" t="s">
        <v>7433</v>
      </c>
      <c r="E4540" s="2" t="s">
        <v>16959</v>
      </c>
      <c r="F4540" s="2" t="s">
        <v>15316</v>
      </c>
      <c r="G4540" s="2" t="s">
        <v>18190</v>
      </c>
      <c r="H4540" s="2" t="s">
        <v>70</v>
      </c>
      <c r="I4540" s="9">
        <v>-32488.950607999999</v>
      </c>
      <c r="J4540" s="7">
        <v>0.65800000000000003</v>
      </c>
      <c r="K4540" s="9">
        <v>-21377.73</v>
      </c>
      <c r="L4540" s="14">
        <v>0</v>
      </c>
      <c r="M4540" s="2" t="s">
        <v>71</v>
      </c>
      <c r="N4540" s="2" t="s">
        <v>17628</v>
      </c>
      <c r="O4540" s="2" t="s">
        <v>10476</v>
      </c>
      <c r="P4540" s="9">
        <v>0</v>
      </c>
      <c r="Q4540" s="9">
        <v>0</v>
      </c>
      <c r="R4540" s="2"/>
    </row>
    <row r="4541" spans="1:18" x14ac:dyDescent="0.25">
      <c r="A4541" s="2" t="s">
        <v>18191</v>
      </c>
      <c r="B4541" s="6">
        <v>46204</v>
      </c>
      <c r="C4541" s="8">
        <v>46230</v>
      </c>
      <c r="D4541" s="2" t="s">
        <v>7433</v>
      </c>
      <c r="E4541" s="2" t="s">
        <v>16959</v>
      </c>
      <c r="F4541" s="2" t="s">
        <v>15320</v>
      </c>
      <c r="G4541" s="2" t="s">
        <v>18192</v>
      </c>
      <c r="H4541" s="2" t="s">
        <v>39</v>
      </c>
      <c r="I4541" s="9">
        <v>21696.061000000002</v>
      </c>
      <c r="J4541" s="7">
        <v>1</v>
      </c>
      <c r="K4541" s="9">
        <v>21696.06</v>
      </c>
      <c r="L4541" s="14">
        <v>0</v>
      </c>
      <c r="M4541" s="2" t="s">
        <v>71</v>
      </c>
      <c r="N4541" s="2" t="s">
        <v>17628</v>
      </c>
      <c r="O4541" s="2" t="s">
        <v>10479</v>
      </c>
      <c r="P4541" s="9">
        <v>0</v>
      </c>
      <c r="Q4541" s="9">
        <v>0</v>
      </c>
      <c r="R4541" s="2"/>
    </row>
    <row r="4542" spans="1:18" x14ac:dyDescent="0.25">
      <c r="A4542" s="2" t="s">
        <v>18193</v>
      </c>
      <c r="B4542" s="6">
        <v>46204</v>
      </c>
      <c r="C4542" s="8">
        <v>46231</v>
      </c>
      <c r="D4542" s="2" t="s">
        <v>7433</v>
      </c>
      <c r="E4542" s="2" t="s">
        <v>16959</v>
      </c>
      <c r="F4542" s="2" t="s">
        <v>15324</v>
      </c>
      <c r="G4542" s="2" t="s">
        <v>18194</v>
      </c>
      <c r="H4542" s="2" t="s">
        <v>76</v>
      </c>
      <c r="I4542" s="9">
        <v>355071032.25806499</v>
      </c>
      <c r="J4542" s="7">
        <v>6.2000000000000003E-5</v>
      </c>
      <c r="K4542" s="9">
        <v>22014.400000000001</v>
      </c>
      <c r="L4542" s="14">
        <v>0</v>
      </c>
      <c r="M4542" s="2" t="s">
        <v>71</v>
      </c>
      <c r="N4542" s="2" t="s">
        <v>17628</v>
      </c>
      <c r="O4542" s="2" t="s">
        <v>10484</v>
      </c>
      <c r="P4542" s="9">
        <v>0</v>
      </c>
      <c r="Q4542" s="9">
        <v>0</v>
      </c>
      <c r="R4542" s="2"/>
    </row>
    <row r="4543" spans="1:18" x14ac:dyDescent="0.25">
      <c r="A4543" s="2" t="s">
        <v>18195</v>
      </c>
      <c r="B4543" s="6">
        <v>46204</v>
      </c>
      <c r="C4543" s="8">
        <v>46232</v>
      </c>
      <c r="D4543" s="2" t="s">
        <v>7433</v>
      </c>
      <c r="E4543" s="2" t="s">
        <v>16959</v>
      </c>
      <c r="F4543" s="2" t="s">
        <v>15328</v>
      </c>
      <c r="G4543" s="2" t="s">
        <v>18196</v>
      </c>
      <c r="H4543" s="2" t="s">
        <v>70</v>
      </c>
      <c r="I4543" s="9">
        <v>33940.344985000003</v>
      </c>
      <c r="J4543" s="7">
        <v>0.65800000000000003</v>
      </c>
      <c r="K4543" s="9">
        <v>22332.75</v>
      </c>
      <c r="L4543" s="14">
        <v>0</v>
      </c>
      <c r="M4543" s="2" t="s">
        <v>71</v>
      </c>
      <c r="N4543" s="2" t="s">
        <v>17628</v>
      </c>
      <c r="O4543" s="2" t="s">
        <v>10489</v>
      </c>
      <c r="P4543" s="9">
        <v>0</v>
      </c>
      <c r="Q4543" s="9">
        <v>0</v>
      </c>
      <c r="R4543" s="2"/>
    </row>
    <row r="4544" spans="1:18" x14ac:dyDescent="0.25">
      <c r="A4544" s="2" t="s">
        <v>18197</v>
      </c>
      <c r="B4544" s="6">
        <v>46204</v>
      </c>
      <c r="C4544" s="8">
        <v>46233</v>
      </c>
      <c r="D4544" s="2" t="s">
        <v>7433</v>
      </c>
      <c r="E4544" s="2" t="s">
        <v>16959</v>
      </c>
      <c r="F4544" s="2" t="s">
        <v>15332</v>
      </c>
      <c r="G4544" s="2" t="s">
        <v>18198</v>
      </c>
      <c r="H4544" s="2" t="s">
        <v>39</v>
      </c>
      <c r="I4544" s="9">
        <v>22651.0785</v>
      </c>
      <c r="J4544" s="7">
        <v>1</v>
      </c>
      <c r="K4544" s="9">
        <v>22651.08</v>
      </c>
      <c r="L4544" s="14">
        <v>0</v>
      </c>
      <c r="M4544" s="2" t="s">
        <v>71</v>
      </c>
      <c r="N4544" s="2" t="s">
        <v>17628</v>
      </c>
      <c r="O4544" s="2" t="s">
        <v>10494</v>
      </c>
      <c r="P4544" s="9">
        <v>0</v>
      </c>
      <c r="Q4544" s="9">
        <v>0</v>
      </c>
      <c r="R4544" s="2"/>
    </row>
    <row r="4545" spans="1:18" x14ac:dyDescent="0.25">
      <c r="A4545" s="2" t="s">
        <v>18199</v>
      </c>
      <c r="B4545" s="6">
        <v>46204</v>
      </c>
      <c r="C4545" s="8">
        <v>46234</v>
      </c>
      <c r="D4545" s="2" t="s">
        <v>7433</v>
      </c>
      <c r="E4545" s="2" t="s">
        <v>16959</v>
      </c>
      <c r="F4545" s="2" t="s">
        <v>15336</v>
      </c>
      <c r="G4545" s="2" t="s">
        <v>18200</v>
      </c>
      <c r="H4545" s="2" t="s">
        <v>76</v>
      </c>
      <c r="I4545" s="9">
        <v>370474540.32257998</v>
      </c>
      <c r="J4545" s="7">
        <v>6.2000000000000003E-5</v>
      </c>
      <c r="K4545" s="9">
        <v>22969.42</v>
      </c>
      <c r="L4545" s="14">
        <v>0</v>
      </c>
      <c r="M4545" s="2" t="s">
        <v>71</v>
      </c>
      <c r="N4545" s="2" t="s">
        <v>17628</v>
      </c>
      <c r="O4545" s="2" t="s">
        <v>10499</v>
      </c>
      <c r="P4545" s="9">
        <v>0</v>
      </c>
      <c r="Q4545" s="9">
        <v>0</v>
      </c>
      <c r="R4545" s="2"/>
    </row>
    <row r="4546" spans="1:18" x14ac:dyDescent="0.25">
      <c r="A4546" s="2" t="s">
        <v>18201</v>
      </c>
      <c r="B4546" s="6">
        <v>46204</v>
      </c>
      <c r="C4546" s="8">
        <v>46204</v>
      </c>
      <c r="D4546" s="2" t="s">
        <v>7433</v>
      </c>
      <c r="E4546" s="2" t="s">
        <v>16959</v>
      </c>
      <c r="F4546" s="2" t="s">
        <v>15300</v>
      </c>
      <c r="G4546" s="2" t="s">
        <v>18202</v>
      </c>
      <c r="H4546" s="2" t="s">
        <v>70</v>
      </c>
      <c r="I4546" s="9">
        <v>35391.739362</v>
      </c>
      <c r="J4546" s="7">
        <v>0.65800000000000003</v>
      </c>
      <c r="K4546" s="9">
        <v>23287.759999999998</v>
      </c>
      <c r="L4546" s="14">
        <v>0</v>
      </c>
      <c r="M4546" s="2" t="s">
        <v>71</v>
      </c>
      <c r="N4546" s="2" t="s">
        <v>17628</v>
      </c>
      <c r="O4546" s="2" t="s">
        <v>10504</v>
      </c>
      <c r="P4546" s="9">
        <v>0</v>
      </c>
      <c r="Q4546" s="9">
        <v>0</v>
      </c>
      <c r="R4546" s="2"/>
    </row>
    <row r="4547" spans="1:18" x14ac:dyDescent="0.25">
      <c r="A4547" s="2" t="s">
        <v>18203</v>
      </c>
      <c r="B4547" s="6">
        <v>46204</v>
      </c>
      <c r="C4547" s="8">
        <v>46205</v>
      </c>
      <c r="D4547" s="2" t="s">
        <v>7433</v>
      </c>
      <c r="E4547" s="2" t="s">
        <v>16959</v>
      </c>
      <c r="F4547" s="2" t="s">
        <v>15304</v>
      </c>
      <c r="G4547" s="2" t="s">
        <v>18204</v>
      </c>
      <c r="H4547" s="2" t="s">
        <v>39</v>
      </c>
      <c r="I4547" s="9">
        <v>23606.096000000001</v>
      </c>
      <c r="J4547" s="7">
        <v>1</v>
      </c>
      <c r="K4547" s="9">
        <v>23606.1</v>
      </c>
      <c r="L4547" s="14">
        <v>0</v>
      </c>
      <c r="M4547" s="2" t="s">
        <v>71</v>
      </c>
      <c r="N4547" s="2" t="s">
        <v>17628</v>
      </c>
      <c r="O4547" s="2" t="s">
        <v>10509</v>
      </c>
      <c r="P4547" s="9">
        <v>0</v>
      </c>
      <c r="Q4547" s="9">
        <v>0</v>
      </c>
      <c r="R4547" s="2"/>
    </row>
    <row r="4548" spans="1:18" x14ac:dyDescent="0.25">
      <c r="A4548" s="2" t="s">
        <v>18205</v>
      </c>
      <c r="B4548" s="6">
        <v>46204</v>
      </c>
      <c r="C4548" s="8">
        <v>46206</v>
      </c>
      <c r="D4548" s="2" t="s">
        <v>7433</v>
      </c>
      <c r="E4548" s="2" t="s">
        <v>16959</v>
      </c>
      <c r="F4548" s="2" t="s">
        <v>15308</v>
      </c>
      <c r="G4548" s="2" t="s">
        <v>18206</v>
      </c>
      <c r="H4548" s="2" t="s">
        <v>76</v>
      </c>
      <c r="I4548" s="9">
        <v>385878048.387097</v>
      </c>
      <c r="J4548" s="7">
        <v>6.2000000000000003E-5</v>
      </c>
      <c r="K4548" s="9">
        <v>23924.44</v>
      </c>
      <c r="L4548" s="14">
        <v>0</v>
      </c>
      <c r="M4548" s="2" t="s">
        <v>71</v>
      </c>
      <c r="N4548" s="2" t="s">
        <v>17628</v>
      </c>
      <c r="O4548" s="2" t="s">
        <v>10514</v>
      </c>
      <c r="P4548" s="9">
        <v>0</v>
      </c>
      <c r="Q4548" s="9">
        <v>0</v>
      </c>
      <c r="R4548" s="2"/>
    </row>
    <row r="4549" spans="1:18" x14ac:dyDescent="0.25">
      <c r="A4549" s="2" t="s">
        <v>18207</v>
      </c>
      <c r="B4549" s="6">
        <v>46204</v>
      </c>
      <c r="C4549" s="8">
        <v>46207</v>
      </c>
      <c r="D4549" s="2" t="s">
        <v>7433</v>
      </c>
      <c r="E4549" s="2" t="s">
        <v>16959</v>
      </c>
      <c r="F4549" s="2" t="s">
        <v>15312</v>
      </c>
      <c r="G4549" s="2" t="s">
        <v>18208</v>
      </c>
      <c r="H4549" s="2" t="s">
        <v>70</v>
      </c>
      <c r="I4549" s="9">
        <v>36843.133738999997</v>
      </c>
      <c r="J4549" s="7">
        <v>0.65800000000000003</v>
      </c>
      <c r="K4549" s="9">
        <v>24242.78</v>
      </c>
      <c r="L4549" s="14">
        <v>0</v>
      </c>
      <c r="M4549" s="2" t="s">
        <v>71</v>
      </c>
      <c r="N4549" s="2" t="s">
        <v>17628</v>
      </c>
      <c r="O4549" s="2" t="s">
        <v>10519</v>
      </c>
      <c r="P4549" s="9">
        <v>0</v>
      </c>
      <c r="Q4549" s="9">
        <v>0</v>
      </c>
      <c r="R4549" s="2"/>
    </row>
    <row r="4550" spans="1:18" x14ac:dyDescent="0.25">
      <c r="A4550" s="2" t="s">
        <v>18209</v>
      </c>
      <c r="B4550" s="6">
        <v>46204</v>
      </c>
      <c r="C4550" s="8">
        <v>46208</v>
      </c>
      <c r="D4550" s="2" t="s">
        <v>7433</v>
      </c>
      <c r="E4550" s="2" t="s">
        <v>16959</v>
      </c>
      <c r="F4550" s="2" t="s">
        <v>15316</v>
      </c>
      <c r="G4550" s="2" t="s">
        <v>18210</v>
      </c>
      <c r="H4550" s="2" t="s">
        <v>39</v>
      </c>
      <c r="I4550" s="9">
        <v>24561.113499999999</v>
      </c>
      <c r="J4550" s="7">
        <v>1</v>
      </c>
      <c r="K4550" s="9">
        <v>24561.11</v>
      </c>
      <c r="L4550" s="14">
        <v>0</v>
      </c>
      <c r="M4550" s="2" t="s">
        <v>71</v>
      </c>
      <c r="N4550" s="2" t="s">
        <v>17628</v>
      </c>
      <c r="O4550" s="2" t="s">
        <v>10524</v>
      </c>
      <c r="P4550" s="9">
        <v>0</v>
      </c>
      <c r="Q4550" s="9">
        <v>0</v>
      </c>
      <c r="R4550" s="2"/>
    </row>
    <row r="4551" spans="1:18" x14ac:dyDescent="0.25">
      <c r="A4551" s="2" t="s">
        <v>18211</v>
      </c>
      <c r="B4551" s="6">
        <v>46204</v>
      </c>
      <c r="C4551" s="8">
        <v>46209</v>
      </c>
      <c r="D4551" s="2" t="s">
        <v>7433</v>
      </c>
      <c r="E4551" s="2" t="s">
        <v>16959</v>
      </c>
      <c r="F4551" s="2" t="s">
        <v>15320</v>
      </c>
      <c r="G4551" s="2" t="s">
        <v>18212</v>
      </c>
      <c r="H4551" s="2" t="s">
        <v>76</v>
      </c>
      <c r="I4551" s="9">
        <v>401281370.96774203</v>
      </c>
      <c r="J4551" s="7">
        <v>6.2000000000000003E-5</v>
      </c>
      <c r="K4551" s="9">
        <v>24879.439999999999</v>
      </c>
      <c r="L4551" s="14">
        <v>0</v>
      </c>
      <c r="M4551" s="2" t="s">
        <v>71</v>
      </c>
      <c r="N4551" s="2" t="s">
        <v>17628</v>
      </c>
      <c r="O4551" s="2" t="s">
        <v>10529</v>
      </c>
      <c r="P4551" s="9">
        <v>0</v>
      </c>
      <c r="Q4551" s="9">
        <v>0</v>
      </c>
      <c r="R4551" s="2"/>
    </row>
    <row r="4552" spans="1:18" x14ac:dyDescent="0.25">
      <c r="A4552" s="2" t="s">
        <v>18213</v>
      </c>
      <c r="B4552" s="6">
        <v>46204</v>
      </c>
      <c r="C4552" s="8">
        <v>46210</v>
      </c>
      <c r="D4552" s="2" t="s">
        <v>7433</v>
      </c>
      <c r="E4552" s="2" t="s">
        <v>16959</v>
      </c>
      <c r="F4552" s="2" t="s">
        <v>15324</v>
      </c>
      <c r="G4552" s="2" t="s">
        <v>18214</v>
      </c>
      <c r="H4552" s="2" t="s">
        <v>70</v>
      </c>
      <c r="I4552" s="9">
        <v>38294.510638</v>
      </c>
      <c r="J4552" s="7">
        <v>0.65800000000000003</v>
      </c>
      <c r="K4552" s="9">
        <v>25197.79</v>
      </c>
      <c r="L4552" s="14">
        <v>0</v>
      </c>
      <c r="M4552" s="2" t="s">
        <v>71</v>
      </c>
      <c r="N4552" s="2" t="s">
        <v>17628</v>
      </c>
      <c r="O4552" s="2" t="s">
        <v>10534</v>
      </c>
      <c r="P4552" s="9">
        <v>0</v>
      </c>
      <c r="Q4552" s="9">
        <v>0</v>
      </c>
      <c r="R4552" s="2"/>
    </row>
    <row r="4553" spans="1:18" x14ac:dyDescent="0.25">
      <c r="A4553" s="2" t="s">
        <v>18215</v>
      </c>
      <c r="B4553" s="6">
        <v>46204</v>
      </c>
      <c r="C4553" s="8">
        <v>46211</v>
      </c>
      <c r="D4553" s="2" t="s">
        <v>7433</v>
      </c>
      <c r="E4553" s="2" t="s">
        <v>16959</v>
      </c>
      <c r="F4553" s="2" t="s">
        <v>15328</v>
      </c>
      <c r="G4553" s="2" t="s">
        <v>18216</v>
      </c>
      <c r="H4553" s="2" t="s">
        <v>39</v>
      </c>
      <c r="I4553" s="9">
        <v>25516.131000000001</v>
      </c>
      <c r="J4553" s="7">
        <v>1</v>
      </c>
      <c r="K4553" s="9">
        <v>25516.13</v>
      </c>
      <c r="L4553" s="14">
        <v>0</v>
      </c>
      <c r="M4553" s="2" t="s">
        <v>71</v>
      </c>
      <c r="N4553" s="2" t="s">
        <v>17628</v>
      </c>
      <c r="O4553" s="2" t="s">
        <v>10539</v>
      </c>
      <c r="P4553" s="9">
        <v>0</v>
      </c>
      <c r="Q4553" s="9">
        <v>0</v>
      </c>
      <c r="R4553" s="2"/>
    </row>
    <row r="4554" spans="1:18" x14ac:dyDescent="0.25">
      <c r="A4554" s="2" t="s">
        <v>18217</v>
      </c>
      <c r="B4554" s="6">
        <v>46204</v>
      </c>
      <c r="C4554" s="8">
        <v>46212</v>
      </c>
      <c r="D4554" s="2" t="s">
        <v>7433</v>
      </c>
      <c r="E4554" s="2" t="s">
        <v>16959</v>
      </c>
      <c r="F4554" s="2" t="s">
        <v>15332</v>
      </c>
      <c r="G4554" s="2" t="s">
        <v>18218</v>
      </c>
      <c r="H4554" s="2" t="s">
        <v>76</v>
      </c>
      <c r="I4554" s="9">
        <v>416684879.03225797</v>
      </c>
      <c r="J4554" s="7">
        <v>6.2000000000000003E-5</v>
      </c>
      <c r="K4554" s="9">
        <v>25834.46</v>
      </c>
      <c r="L4554" s="14">
        <v>0</v>
      </c>
      <c r="M4554" s="2" t="s">
        <v>71</v>
      </c>
      <c r="N4554" s="2" t="s">
        <v>17628</v>
      </c>
      <c r="O4554" s="2" t="s">
        <v>10544</v>
      </c>
      <c r="P4554" s="9">
        <v>0</v>
      </c>
      <c r="Q4554" s="9">
        <v>0</v>
      </c>
      <c r="R4554" s="2"/>
    </row>
    <row r="4555" spans="1:18" x14ac:dyDescent="0.25">
      <c r="A4555" s="2" t="s">
        <v>18219</v>
      </c>
      <c r="B4555" s="6">
        <v>46204</v>
      </c>
      <c r="C4555" s="8">
        <v>46213</v>
      </c>
      <c r="D4555" s="2" t="s">
        <v>7433</v>
      </c>
      <c r="E4555" s="2" t="s">
        <v>16959</v>
      </c>
      <c r="F4555" s="2" t="s">
        <v>15336</v>
      </c>
      <c r="G4555" s="2" t="s">
        <v>18220</v>
      </c>
      <c r="H4555" s="2" t="s">
        <v>70</v>
      </c>
      <c r="I4555" s="9">
        <v>39745.905014999997</v>
      </c>
      <c r="J4555" s="7">
        <v>0.65800000000000003</v>
      </c>
      <c r="K4555" s="9">
        <v>26152.81</v>
      </c>
      <c r="L4555" s="14">
        <v>0</v>
      </c>
      <c r="M4555" s="2" t="s">
        <v>71</v>
      </c>
      <c r="N4555" s="2" t="s">
        <v>17628</v>
      </c>
      <c r="O4555" s="2" t="s">
        <v>10549</v>
      </c>
      <c r="P4555" s="9">
        <v>0</v>
      </c>
      <c r="Q4555" s="9">
        <v>0</v>
      </c>
      <c r="R4555" s="2"/>
    </row>
    <row r="4556" spans="1:18" x14ac:dyDescent="0.25">
      <c r="A4556" s="2" t="s">
        <v>18221</v>
      </c>
      <c r="B4556" s="6">
        <v>46204</v>
      </c>
      <c r="C4556" s="8">
        <v>46214</v>
      </c>
      <c r="D4556" s="2" t="s">
        <v>7433</v>
      </c>
      <c r="E4556" s="2" t="s">
        <v>16959</v>
      </c>
      <c r="F4556" s="2" t="s">
        <v>15300</v>
      </c>
      <c r="G4556" s="2" t="s">
        <v>18222</v>
      </c>
      <c r="H4556" s="2" t="s">
        <v>39</v>
      </c>
      <c r="I4556" s="9">
        <v>26471.136999999999</v>
      </c>
      <c r="J4556" s="7">
        <v>1</v>
      </c>
      <c r="K4556" s="9">
        <v>26471.14</v>
      </c>
      <c r="L4556" s="14">
        <v>0</v>
      </c>
      <c r="M4556" s="2" t="s">
        <v>71</v>
      </c>
      <c r="N4556" s="2" t="s">
        <v>17628</v>
      </c>
      <c r="O4556" s="2" t="s">
        <v>10554</v>
      </c>
      <c r="P4556" s="9">
        <v>0</v>
      </c>
      <c r="Q4556" s="9">
        <v>0</v>
      </c>
      <c r="R4556" s="2"/>
    </row>
    <row r="4557" spans="1:18" x14ac:dyDescent="0.25">
      <c r="A4557" s="2" t="s">
        <v>18223</v>
      </c>
      <c r="B4557" s="6">
        <v>46204</v>
      </c>
      <c r="C4557" s="8">
        <v>46215</v>
      </c>
      <c r="D4557" s="2" t="s">
        <v>7433</v>
      </c>
      <c r="E4557" s="2" t="s">
        <v>16959</v>
      </c>
      <c r="F4557" s="2" t="s">
        <v>15304</v>
      </c>
      <c r="G4557" s="2" t="s">
        <v>18224</v>
      </c>
      <c r="H4557" s="2" t="s">
        <v>76</v>
      </c>
      <c r="I4557" s="9">
        <v>432088387.096775</v>
      </c>
      <c r="J4557" s="7">
        <v>6.2000000000000003E-5</v>
      </c>
      <c r="K4557" s="9">
        <v>26789.48</v>
      </c>
      <c r="L4557" s="14">
        <v>0</v>
      </c>
      <c r="M4557" s="2" t="s">
        <v>71</v>
      </c>
      <c r="N4557" s="2" t="s">
        <v>17628</v>
      </c>
      <c r="O4557" s="2" t="s">
        <v>10559</v>
      </c>
      <c r="P4557" s="9">
        <v>0</v>
      </c>
      <c r="Q4557" s="9">
        <v>0</v>
      </c>
      <c r="R4557" s="2"/>
    </row>
    <row r="4558" spans="1:18" x14ac:dyDescent="0.25">
      <c r="A4558" s="2" t="s">
        <v>18225</v>
      </c>
      <c r="B4558" s="6">
        <v>46204</v>
      </c>
      <c r="C4558" s="8">
        <v>46216</v>
      </c>
      <c r="D4558" s="2" t="s">
        <v>7433</v>
      </c>
      <c r="E4558" s="2" t="s">
        <v>16959</v>
      </c>
      <c r="F4558" s="2" t="s">
        <v>15308</v>
      </c>
      <c r="G4558" s="2" t="s">
        <v>18226</v>
      </c>
      <c r="H4558" s="2" t="s">
        <v>70</v>
      </c>
      <c r="I4558" s="9">
        <v>41197.281915</v>
      </c>
      <c r="J4558" s="7">
        <v>0.65800000000000003</v>
      </c>
      <c r="K4558" s="9">
        <v>27107.81</v>
      </c>
      <c r="L4558" s="14">
        <v>0</v>
      </c>
      <c r="M4558" s="2" t="s">
        <v>71</v>
      </c>
      <c r="N4558" s="2" t="s">
        <v>17628</v>
      </c>
      <c r="O4558" s="2" t="s">
        <v>10564</v>
      </c>
      <c r="P4558" s="9">
        <v>0</v>
      </c>
      <c r="Q4558" s="9">
        <v>0</v>
      </c>
      <c r="R4558" s="2"/>
    </row>
    <row r="4559" spans="1:18" x14ac:dyDescent="0.25">
      <c r="A4559" s="2" t="s">
        <v>18227</v>
      </c>
      <c r="B4559" s="6">
        <v>46204</v>
      </c>
      <c r="C4559" s="8">
        <v>46217</v>
      </c>
      <c r="D4559" s="2" t="s">
        <v>7433</v>
      </c>
      <c r="E4559" s="2" t="s">
        <v>16959</v>
      </c>
      <c r="F4559" s="2" t="s">
        <v>15312</v>
      </c>
      <c r="G4559" s="2" t="s">
        <v>18228</v>
      </c>
      <c r="H4559" s="2" t="s">
        <v>39</v>
      </c>
      <c r="I4559" s="9">
        <v>1666.1545000000001</v>
      </c>
      <c r="J4559" s="7">
        <v>1</v>
      </c>
      <c r="K4559" s="9">
        <v>1666.15</v>
      </c>
      <c r="L4559" s="14">
        <v>0</v>
      </c>
      <c r="M4559" s="2" t="s">
        <v>71</v>
      </c>
      <c r="N4559" s="2" t="s">
        <v>17628</v>
      </c>
      <c r="O4559" s="2" t="s">
        <v>10569</v>
      </c>
      <c r="P4559" s="9">
        <v>0</v>
      </c>
      <c r="Q4559" s="9">
        <v>0</v>
      </c>
      <c r="R4559" s="2"/>
    </row>
    <row r="4560" spans="1:18" x14ac:dyDescent="0.25">
      <c r="A4560" s="2" t="s">
        <v>18229</v>
      </c>
      <c r="B4560" s="6">
        <v>46204</v>
      </c>
      <c r="C4560" s="8">
        <v>46218</v>
      </c>
      <c r="D4560" s="2" t="s">
        <v>7433</v>
      </c>
      <c r="E4560" s="2" t="s">
        <v>16959</v>
      </c>
      <c r="F4560" s="2" t="s">
        <v>15316</v>
      </c>
      <c r="G4560" s="2" t="s">
        <v>18230</v>
      </c>
      <c r="H4560" s="2" t="s">
        <v>76</v>
      </c>
      <c r="I4560" s="9">
        <v>32008024.193548001</v>
      </c>
      <c r="J4560" s="7">
        <v>6.2000000000000003E-5</v>
      </c>
      <c r="K4560" s="9">
        <v>1984.5</v>
      </c>
      <c r="L4560" s="14">
        <v>0</v>
      </c>
      <c r="M4560" s="2" t="s">
        <v>71</v>
      </c>
      <c r="N4560" s="2" t="s">
        <v>17628</v>
      </c>
      <c r="O4560" s="2" t="s">
        <v>10574</v>
      </c>
      <c r="P4560" s="9">
        <v>0</v>
      </c>
      <c r="Q4560" s="9">
        <v>0</v>
      </c>
      <c r="R4560" s="2"/>
    </row>
    <row r="4561" spans="1:18" x14ac:dyDescent="0.25">
      <c r="A4561" s="2" t="s">
        <v>18231</v>
      </c>
      <c r="B4561" s="6">
        <v>46204</v>
      </c>
      <c r="C4561" s="8">
        <v>46219</v>
      </c>
      <c r="D4561" s="2" t="s">
        <v>7433</v>
      </c>
      <c r="E4561" s="2" t="s">
        <v>16959</v>
      </c>
      <c r="F4561" s="2" t="s">
        <v>15320</v>
      </c>
      <c r="G4561" s="2" t="s">
        <v>18232</v>
      </c>
      <c r="H4561" s="2" t="s">
        <v>70</v>
      </c>
      <c r="I4561" s="9">
        <v>3499.757599</v>
      </c>
      <c r="J4561" s="7">
        <v>0.65800000000000003</v>
      </c>
      <c r="K4561" s="9">
        <v>2302.84</v>
      </c>
      <c r="L4561" s="14">
        <v>0</v>
      </c>
      <c r="M4561" s="2" t="s">
        <v>71</v>
      </c>
      <c r="N4561" s="2" t="s">
        <v>17628</v>
      </c>
      <c r="O4561" s="2" t="s">
        <v>10579</v>
      </c>
      <c r="P4561" s="9">
        <v>0</v>
      </c>
      <c r="Q4561" s="9">
        <v>0</v>
      </c>
      <c r="R4561" s="2"/>
    </row>
    <row r="4562" spans="1:18" x14ac:dyDescent="0.25">
      <c r="A4562" s="2" t="s">
        <v>18233</v>
      </c>
      <c r="B4562" s="6">
        <v>46204</v>
      </c>
      <c r="C4562" s="8">
        <v>46220</v>
      </c>
      <c r="D4562" s="2" t="s">
        <v>7433</v>
      </c>
      <c r="E4562" s="2" t="s">
        <v>16959</v>
      </c>
      <c r="F4562" s="2" t="s">
        <v>15324</v>
      </c>
      <c r="G4562" s="2" t="s">
        <v>18234</v>
      </c>
      <c r="H4562" s="2" t="s">
        <v>39</v>
      </c>
      <c r="I4562" s="9">
        <v>2621.172</v>
      </c>
      <c r="J4562" s="7">
        <v>1</v>
      </c>
      <c r="K4562" s="9">
        <v>2621.17</v>
      </c>
      <c r="L4562" s="14">
        <v>0</v>
      </c>
      <c r="M4562" s="2" t="s">
        <v>71</v>
      </c>
      <c r="N4562" s="2" t="s">
        <v>17628</v>
      </c>
      <c r="O4562" s="2" t="s">
        <v>10584</v>
      </c>
      <c r="P4562" s="9">
        <v>0</v>
      </c>
      <c r="Q4562" s="9">
        <v>0</v>
      </c>
      <c r="R4562" s="2"/>
    </row>
    <row r="4563" spans="1:18" x14ac:dyDescent="0.25">
      <c r="A4563" s="2" t="s">
        <v>18235</v>
      </c>
      <c r="B4563" s="6">
        <v>46204</v>
      </c>
      <c r="C4563" s="8">
        <v>46221</v>
      </c>
      <c r="D4563" s="2" t="s">
        <v>7433</v>
      </c>
      <c r="E4563" s="2" t="s">
        <v>16959</v>
      </c>
      <c r="F4563" s="2" t="s">
        <v>15328</v>
      </c>
      <c r="G4563" s="2" t="s">
        <v>18236</v>
      </c>
      <c r="H4563" s="2" t="s">
        <v>76</v>
      </c>
      <c r="I4563" s="9">
        <v>47411532.258065</v>
      </c>
      <c r="J4563" s="7">
        <v>6.2000000000000003E-5</v>
      </c>
      <c r="K4563" s="9">
        <v>2939.52</v>
      </c>
      <c r="L4563" s="14">
        <v>0</v>
      </c>
      <c r="M4563" s="2" t="s">
        <v>71</v>
      </c>
      <c r="N4563" s="2" t="s">
        <v>17628</v>
      </c>
      <c r="O4563" s="2" t="s">
        <v>10589</v>
      </c>
      <c r="P4563" s="9">
        <v>0</v>
      </c>
      <c r="Q4563" s="9">
        <v>0</v>
      </c>
      <c r="R4563" s="2"/>
    </row>
    <row r="4564" spans="1:18" x14ac:dyDescent="0.25">
      <c r="A4564" s="2" t="s">
        <v>18237</v>
      </c>
      <c r="B4564" s="6">
        <v>46204</v>
      </c>
      <c r="C4564" s="8">
        <v>46222</v>
      </c>
      <c r="D4564" s="2" t="s">
        <v>7433</v>
      </c>
      <c r="E4564" s="2" t="s">
        <v>16959</v>
      </c>
      <c r="F4564" s="2" t="s">
        <v>15332</v>
      </c>
      <c r="G4564" s="2" t="s">
        <v>18238</v>
      </c>
      <c r="H4564" s="2" t="s">
        <v>70</v>
      </c>
      <c r="I4564" s="9">
        <v>4951.1344989999998</v>
      </c>
      <c r="J4564" s="7">
        <v>0.65800000000000003</v>
      </c>
      <c r="K4564" s="9">
        <v>3257.85</v>
      </c>
      <c r="L4564" s="14">
        <v>0</v>
      </c>
      <c r="M4564" s="2" t="s">
        <v>71</v>
      </c>
      <c r="N4564" s="2" t="s">
        <v>17628</v>
      </c>
      <c r="O4564" s="2" t="s">
        <v>10594</v>
      </c>
      <c r="P4564" s="9">
        <v>0</v>
      </c>
      <c r="Q4564" s="9">
        <v>0</v>
      </c>
      <c r="R4564" s="2"/>
    </row>
    <row r="4565" spans="1:18" x14ac:dyDescent="0.25">
      <c r="A4565" s="2" t="s">
        <v>18239</v>
      </c>
      <c r="B4565" s="6">
        <v>46204</v>
      </c>
      <c r="C4565" s="8">
        <v>46223</v>
      </c>
      <c r="D4565" s="2" t="s">
        <v>7433</v>
      </c>
      <c r="E4565" s="2" t="s">
        <v>16959</v>
      </c>
      <c r="F4565" s="2" t="s">
        <v>15336</v>
      </c>
      <c r="G4565" s="2" t="s">
        <v>18240</v>
      </c>
      <c r="H4565" s="2" t="s">
        <v>39</v>
      </c>
      <c r="I4565" s="9">
        <v>3576.1895</v>
      </c>
      <c r="J4565" s="7">
        <v>1</v>
      </c>
      <c r="K4565" s="9">
        <v>3576.19</v>
      </c>
      <c r="L4565" s="14">
        <v>0</v>
      </c>
      <c r="M4565" s="2" t="s">
        <v>71</v>
      </c>
      <c r="N4565" s="2" t="s">
        <v>17628</v>
      </c>
      <c r="O4565" s="2" t="s">
        <v>10599</v>
      </c>
      <c r="P4565" s="9">
        <v>0</v>
      </c>
      <c r="Q4565" s="9">
        <v>0</v>
      </c>
      <c r="R4565" s="2"/>
    </row>
    <row r="4566" spans="1:18" x14ac:dyDescent="0.25">
      <c r="A4566" s="2" t="s">
        <v>18241</v>
      </c>
      <c r="B4566" s="6">
        <v>46204</v>
      </c>
      <c r="C4566" s="8">
        <v>46224</v>
      </c>
      <c r="D4566" s="2" t="s">
        <v>7433</v>
      </c>
      <c r="E4566" s="2" t="s">
        <v>16959</v>
      </c>
      <c r="F4566" s="2" t="s">
        <v>15300</v>
      </c>
      <c r="G4566" s="2" t="s">
        <v>18242</v>
      </c>
      <c r="H4566" s="2" t="s">
        <v>76</v>
      </c>
      <c r="I4566" s="9">
        <v>62814854.838710003</v>
      </c>
      <c r="J4566" s="7">
        <v>6.2000000000000003E-5</v>
      </c>
      <c r="K4566" s="9">
        <v>3894.52</v>
      </c>
      <c r="L4566" s="14">
        <v>0</v>
      </c>
      <c r="M4566" s="2" t="s">
        <v>71</v>
      </c>
      <c r="N4566" s="2" t="s">
        <v>17628</v>
      </c>
      <c r="O4566" s="2" t="s">
        <v>10604</v>
      </c>
      <c r="P4566" s="9">
        <v>0</v>
      </c>
      <c r="Q4566" s="9">
        <v>0</v>
      </c>
      <c r="R4566" s="2"/>
    </row>
    <row r="4567" spans="1:18" x14ac:dyDescent="0.25">
      <c r="A4567" s="2" t="s">
        <v>18243</v>
      </c>
      <c r="B4567" s="6">
        <v>46204</v>
      </c>
      <c r="C4567" s="8">
        <v>46225</v>
      </c>
      <c r="D4567" s="2" t="s">
        <v>7433</v>
      </c>
      <c r="E4567" s="2" t="s">
        <v>16959</v>
      </c>
      <c r="F4567" s="2" t="s">
        <v>15304</v>
      </c>
      <c r="G4567" s="2" t="s">
        <v>18244</v>
      </c>
      <c r="H4567" s="2" t="s">
        <v>70</v>
      </c>
      <c r="I4567" s="9">
        <v>6402.528875</v>
      </c>
      <c r="J4567" s="7">
        <v>0.65800000000000003</v>
      </c>
      <c r="K4567" s="9">
        <v>4212.8599999999997</v>
      </c>
      <c r="L4567" s="14">
        <v>0</v>
      </c>
      <c r="M4567" s="2" t="s">
        <v>71</v>
      </c>
      <c r="N4567" s="2" t="s">
        <v>17628</v>
      </c>
      <c r="O4567" s="2" t="s">
        <v>10609</v>
      </c>
      <c r="P4567" s="9">
        <v>0</v>
      </c>
      <c r="Q4567" s="9">
        <v>0</v>
      </c>
      <c r="R4567" s="2"/>
    </row>
    <row r="4568" spans="1:18" x14ac:dyDescent="0.25">
      <c r="A4568" s="2" t="s">
        <v>18245</v>
      </c>
      <c r="B4568" s="6">
        <v>46204</v>
      </c>
      <c r="C4568" s="8">
        <v>46226</v>
      </c>
      <c r="D4568" s="2" t="s">
        <v>7433</v>
      </c>
      <c r="E4568" s="2" t="s">
        <v>16959</v>
      </c>
      <c r="F4568" s="2" t="s">
        <v>15308</v>
      </c>
      <c r="G4568" s="2" t="s">
        <v>18246</v>
      </c>
      <c r="H4568" s="2" t="s">
        <v>39</v>
      </c>
      <c r="I4568" s="9">
        <v>4531.2070000000003</v>
      </c>
      <c r="J4568" s="7">
        <v>1</v>
      </c>
      <c r="K4568" s="9">
        <v>4531.21</v>
      </c>
      <c r="L4568" s="14">
        <v>0</v>
      </c>
      <c r="M4568" s="2" t="s">
        <v>71</v>
      </c>
      <c r="N4568" s="2" t="s">
        <v>17628</v>
      </c>
      <c r="O4568" s="2" t="s">
        <v>10614</v>
      </c>
      <c r="P4568" s="9">
        <v>0</v>
      </c>
      <c r="Q4568" s="9">
        <v>0</v>
      </c>
      <c r="R4568" s="2"/>
    </row>
    <row r="4569" spans="1:18" x14ac:dyDescent="0.25">
      <c r="A4569" s="2" t="s">
        <v>18247</v>
      </c>
      <c r="B4569" s="6">
        <v>46204</v>
      </c>
      <c r="C4569" s="8">
        <v>46227</v>
      </c>
      <c r="D4569" s="2" t="s">
        <v>7433</v>
      </c>
      <c r="E4569" s="2" t="s">
        <v>16959</v>
      </c>
      <c r="F4569" s="2" t="s">
        <v>15312</v>
      </c>
      <c r="G4569" s="2" t="s">
        <v>18248</v>
      </c>
      <c r="H4569" s="2" t="s">
        <v>76</v>
      </c>
      <c r="I4569" s="9">
        <v>78218362.903225005</v>
      </c>
      <c r="J4569" s="7">
        <v>6.2000000000000003E-5</v>
      </c>
      <c r="K4569" s="9">
        <v>4849.54</v>
      </c>
      <c r="L4569" s="14">
        <v>0</v>
      </c>
      <c r="M4569" s="2" t="s">
        <v>71</v>
      </c>
      <c r="N4569" s="2" t="s">
        <v>17628</v>
      </c>
      <c r="O4569" s="2" t="s">
        <v>10619</v>
      </c>
      <c r="P4569" s="9">
        <v>0</v>
      </c>
      <c r="Q4569" s="9">
        <v>0</v>
      </c>
      <c r="R4569" s="2"/>
    </row>
    <row r="4570" spans="1:18" x14ac:dyDescent="0.25">
      <c r="A4570" s="2" t="s">
        <v>18249</v>
      </c>
      <c r="B4570" s="6">
        <v>46204</v>
      </c>
      <c r="C4570" s="8">
        <v>46228</v>
      </c>
      <c r="D4570" s="2" t="s">
        <v>7433</v>
      </c>
      <c r="E4570" s="2" t="s">
        <v>16959</v>
      </c>
      <c r="F4570" s="2" t="s">
        <v>15316</v>
      </c>
      <c r="G4570" s="2" t="s">
        <v>18250</v>
      </c>
      <c r="H4570" s="2" t="s">
        <v>70</v>
      </c>
      <c r="I4570" s="9">
        <v>7853.9232519999996</v>
      </c>
      <c r="J4570" s="7">
        <v>0.65800000000000003</v>
      </c>
      <c r="K4570" s="9">
        <v>5167.88</v>
      </c>
      <c r="L4570" s="14">
        <v>0</v>
      </c>
      <c r="M4570" s="2" t="s">
        <v>71</v>
      </c>
      <c r="N4570" s="2" t="s">
        <v>17628</v>
      </c>
      <c r="O4570" s="2" t="s">
        <v>10624</v>
      </c>
      <c r="P4570" s="9">
        <v>0</v>
      </c>
      <c r="Q4570" s="9">
        <v>0</v>
      </c>
      <c r="R4570" s="2"/>
    </row>
    <row r="4571" spans="1:18" x14ac:dyDescent="0.25">
      <c r="A4571" s="2" t="s">
        <v>18251</v>
      </c>
      <c r="B4571" s="6">
        <v>46204</v>
      </c>
      <c r="C4571" s="8">
        <v>46229</v>
      </c>
      <c r="D4571" s="2" t="s">
        <v>7433</v>
      </c>
      <c r="E4571" s="2" t="s">
        <v>16959</v>
      </c>
      <c r="F4571" s="2" t="s">
        <v>15320</v>
      </c>
      <c r="G4571" s="2" t="s">
        <v>18252</v>
      </c>
      <c r="H4571" s="2" t="s">
        <v>39</v>
      </c>
      <c r="I4571" s="9">
        <v>5486.2129999999997</v>
      </c>
      <c r="J4571" s="7">
        <v>1</v>
      </c>
      <c r="K4571" s="9">
        <v>5486.21</v>
      </c>
      <c r="L4571" s="14">
        <v>0</v>
      </c>
      <c r="M4571" s="2" t="s">
        <v>71</v>
      </c>
      <c r="N4571" s="2" t="s">
        <v>17628</v>
      </c>
      <c r="O4571" s="2" t="s">
        <v>10629</v>
      </c>
      <c r="P4571" s="9">
        <v>0</v>
      </c>
      <c r="Q4571" s="9">
        <v>0</v>
      </c>
      <c r="R4571" s="2"/>
    </row>
    <row r="4572" spans="1:18" x14ac:dyDescent="0.25">
      <c r="A4572" s="2" t="s">
        <v>18253</v>
      </c>
      <c r="B4572" s="6">
        <v>46204</v>
      </c>
      <c r="C4572" s="8">
        <v>46230</v>
      </c>
      <c r="D4572" s="2" t="s">
        <v>7433</v>
      </c>
      <c r="E4572" s="2" t="s">
        <v>16959</v>
      </c>
      <c r="F4572" s="2" t="s">
        <v>15324</v>
      </c>
      <c r="G4572" s="2" t="s">
        <v>18254</v>
      </c>
      <c r="H4572" s="2" t="s">
        <v>76</v>
      </c>
      <c r="I4572" s="9">
        <v>93621870.967741996</v>
      </c>
      <c r="J4572" s="7">
        <v>6.2000000000000003E-5</v>
      </c>
      <c r="K4572" s="9">
        <v>5804.56</v>
      </c>
      <c r="L4572" s="14">
        <v>0</v>
      </c>
      <c r="M4572" s="2" t="s">
        <v>71</v>
      </c>
      <c r="N4572" s="2" t="s">
        <v>17628</v>
      </c>
      <c r="O4572" s="2" t="s">
        <v>10634</v>
      </c>
      <c r="P4572" s="9">
        <v>0</v>
      </c>
      <c r="Q4572" s="9">
        <v>0</v>
      </c>
      <c r="R4572" s="2"/>
    </row>
    <row r="4573" spans="1:18" x14ac:dyDescent="0.25">
      <c r="A4573" s="2" t="s">
        <v>18255</v>
      </c>
      <c r="B4573" s="6">
        <v>46204</v>
      </c>
      <c r="C4573" s="8">
        <v>46231</v>
      </c>
      <c r="D4573" s="2" t="s">
        <v>7433</v>
      </c>
      <c r="E4573" s="2" t="s">
        <v>16959</v>
      </c>
      <c r="F4573" s="2" t="s">
        <v>15328</v>
      </c>
      <c r="G4573" s="2" t="s">
        <v>18256</v>
      </c>
      <c r="H4573" s="2" t="s">
        <v>70</v>
      </c>
      <c r="I4573" s="9">
        <v>9305.3001519999998</v>
      </c>
      <c r="J4573" s="7">
        <v>0.65800000000000003</v>
      </c>
      <c r="K4573" s="9">
        <v>6122.89</v>
      </c>
      <c r="L4573" s="14">
        <v>0</v>
      </c>
      <c r="M4573" s="2" t="s">
        <v>71</v>
      </c>
      <c r="N4573" s="2" t="s">
        <v>17628</v>
      </c>
      <c r="O4573" s="2" t="s">
        <v>10639</v>
      </c>
      <c r="P4573" s="9">
        <v>0</v>
      </c>
      <c r="Q4573" s="9">
        <v>0</v>
      </c>
      <c r="R4573" s="2"/>
    </row>
    <row r="4574" spans="1:18" x14ac:dyDescent="0.25">
      <c r="A4574" s="2" t="s">
        <v>18257</v>
      </c>
      <c r="B4574" s="6">
        <v>46204</v>
      </c>
      <c r="C4574" s="8">
        <v>46232</v>
      </c>
      <c r="D4574" s="2" t="s">
        <v>7433</v>
      </c>
      <c r="E4574" s="2" t="s">
        <v>16959</v>
      </c>
      <c r="F4574" s="2" t="s">
        <v>15332</v>
      </c>
      <c r="G4574" s="2" t="s">
        <v>18258</v>
      </c>
      <c r="H4574" s="2" t="s">
        <v>39</v>
      </c>
      <c r="I4574" s="9">
        <v>6441.2304999999997</v>
      </c>
      <c r="J4574" s="7">
        <v>1</v>
      </c>
      <c r="K4574" s="9">
        <v>6441.23</v>
      </c>
      <c r="L4574" s="14">
        <v>0</v>
      </c>
      <c r="M4574" s="2" t="s">
        <v>71</v>
      </c>
      <c r="N4574" s="2" t="s">
        <v>17628</v>
      </c>
      <c r="O4574" s="2" t="s">
        <v>10644</v>
      </c>
      <c r="P4574" s="9">
        <v>0</v>
      </c>
      <c r="Q4574" s="9">
        <v>0</v>
      </c>
      <c r="R4574" s="2"/>
    </row>
    <row r="4575" spans="1:18" x14ac:dyDescent="0.25">
      <c r="A4575" s="2" t="s">
        <v>18259</v>
      </c>
      <c r="B4575" s="6">
        <v>46204</v>
      </c>
      <c r="C4575" s="8">
        <v>46233</v>
      </c>
      <c r="D4575" s="2" t="s">
        <v>7433</v>
      </c>
      <c r="E4575" s="2" t="s">
        <v>16959</v>
      </c>
      <c r="F4575" s="2" t="s">
        <v>15336</v>
      </c>
      <c r="G4575" s="2" t="s">
        <v>18260</v>
      </c>
      <c r="H4575" s="2" t="s">
        <v>76</v>
      </c>
      <c r="I4575" s="9">
        <v>109025379.032258</v>
      </c>
      <c r="J4575" s="7">
        <v>6.2000000000000003E-5</v>
      </c>
      <c r="K4575" s="9">
        <v>6759.57</v>
      </c>
      <c r="L4575" s="14">
        <v>0</v>
      </c>
      <c r="M4575" s="2" t="s">
        <v>71</v>
      </c>
      <c r="N4575" s="2" t="s">
        <v>17628</v>
      </c>
      <c r="O4575" s="2" t="s">
        <v>10649</v>
      </c>
      <c r="P4575" s="9">
        <v>0</v>
      </c>
      <c r="Q4575" s="9">
        <v>0</v>
      </c>
      <c r="R4575" s="2"/>
    </row>
    <row r="4576" spans="1:18" x14ac:dyDescent="0.25">
      <c r="A4576" s="2" t="s">
        <v>18261</v>
      </c>
      <c r="B4576" s="6">
        <v>46204</v>
      </c>
      <c r="C4576" s="8">
        <v>46234</v>
      </c>
      <c r="D4576" s="2" t="s">
        <v>7433</v>
      </c>
      <c r="E4576" s="2" t="s">
        <v>16959</v>
      </c>
      <c r="F4576" s="2" t="s">
        <v>15300</v>
      </c>
      <c r="G4576" s="2" t="s">
        <v>18262</v>
      </c>
      <c r="H4576" s="2" t="s">
        <v>70</v>
      </c>
      <c r="I4576" s="9">
        <v>10756.694528</v>
      </c>
      <c r="J4576" s="7">
        <v>0.65800000000000003</v>
      </c>
      <c r="K4576" s="9">
        <v>7077.9</v>
      </c>
      <c r="L4576" s="14">
        <v>0</v>
      </c>
      <c r="M4576" s="2" t="s">
        <v>71</v>
      </c>
      <c r="N4576" s="2" t="s">
        <v>17628</v>
      </c>
      <c r="O4576" s="2" t="s">
        <v>10654</v>
      </c>
      <c r="P4576" s="9">
        <v>0</v>
      </c>
      <c r="Q4576" s="9">
        <v>0</v>
      </c>
      <c r="R4576" s="2"/>
    </row>
    <row r="4577" spans="1:18" x14ac:dyDescent="0.25">
      <c r="A4577" s="2" t="s">
        <v>18263</v>
      </c>
      <c r="B4577" s="6">
        <v>46204</v>
      </c>
      <c r="C4577" s="8">
        <v>46204</v>
      </c>
      <c r="D4577" s="2" t="s">
        <v>7433</v>
      </c>
      <c r="E4577" s="2" t="s">
        <v>16959</v>
      </c>
      <c r="F4577" s="2" t="s">
        <v>15304</v>
      </c>
      <c r="G4577" s="2" t="s">
        <v>18264</v>
      </c>
      <c r="H4577" s="2" t="s">
        <v>39</v>
      </c>
      <c r="I4577" s="9">
        <v>7396.2479999999996</v>
      </c>
      <c r="J4577" s="7">
        <v>1</v>
      </c>
      <c r="K4577" s="9">
        <v>7396.25</v>
      </c>
      <c r="L4577" s="14">
        <v>0</v>
      </c>
      <c r="M4577" s="2" t="s">
        <v>71</v>
      </c>
      <c r="N4577" s="2" t="s">
        <v>17628</v>
      </c>
      <c r="O4577" s="2" t="s">
        <v>10659</v>
      </c>
      <c r="P4577" s="9">
        <v>0</v>
      </c>
      <c r="Q4577" s="9">
        <v>0</v>
      </c>
      <c r="R4577" s="2"/>
    </row>
    <row r="4578" spans="1:18" x14ac:dyDescent="0.25">
      <c r="A4578" s="2" t="s">
        <v>18265</v>
      </c>
      <c r="B4578" s="6">
        <v>46204</v>
      </c>
      <c r="C4578" s="8">
        <v>46205</v>
      </c>
      <c r="D4578" s="2" t="s">
        <v>7433</v>
      </c>
      <c r="E4578" s="2" t="s">
        <v>16959</v>
      </c>
      <c r="F4578" s="2" t="s">
        <v>15308</v>
      </c>
      <c r="G4578" s="2" t="s">
        <v>18266</v>
      </c>
      <c r="H4578" s="2" t="s">
        <v>76</v>
      </c>
      <c r="I4578" s="9">
        <v>124428887.096775</v>
      </c>
      <c r="J4578" s="7">
        <v>6.2000000000000003E-5</v>
      </c>
      <c r="K4578" s="9">
        <v>7714.59</v>
      </c>
      <c r="L4578" s="14">
        <v>0</v>
      </c>
      <c r="M4578" s="2" t="s">
        <v>71</v>
      </c>
      <c r="N4578" s="2" t="s">
        <v>17628</v>
      </c>
      <c r="O4578" s="2" t="s">
        <v>10664</v>
      </c>
      <c r="P4578" s="9">
        <v>0</v>
      </c>
      <c r="Q4578" s="9">
        <v>0</v>
      </c>
      <c r="R4578" s="2"/>
    </row>
    <row r="4579" spans="1:18" x14ac:dyDescent="0.25">
      <c r="A4579" s="2" t="s">
        <v>18267</v>
      </c>
      <c r="B4579" s="6">
        <v>46204</v>
      </c>
      <c r="C4579" s="8">
        <v>46206</v>
      </c>
      <c r="D4579" s="2" t="s">
        <v>7433</v>
      </c>
      <c r="E4579" s="2" t="s">
        <v>16959</v>
      </c>
      <c r="F4579" s="2" t="s">
        <v>15312</v>
      </c>
      <c r="G4579" s="2" t="s">
        <v>18268</v>
      </c>
      <c r="H4579" s="2" t="s">
        <v>70</v>
      </c>
      <c r="I4579" s="9">
        <v>12208.088905000001</v>
      </c>
      <c r="J4579" s="7">
        <v>0.65800000000000003</v>
      </c>
      <c r="K4579" s="9">
        <v>8032.92</v>
      </c>
      <c r="L4579" s="14">
        <v>0</v>
      </c>
      <c r="M4579" s="2" t="s">
        <v>71</v>
      </c>
      <c r="N4579" s="2" t="s">
        <v>17628</v>
      </c>
      <c r="O4579" s="2" t="s">
        <v>10669</v>
      </c>
      <c r="P4579" s="9">
        <v>0</v>
      </c>
      <c r="Q4579" s="9">
        <v>0</v>
      </c>
      <c r="R4579" s="2"/>
    </row>
    <row r="4580" spans="1:18" x14ac:dyDescent="0.25">
      <c r="A4580" s="2" t="s">
        <v>18269</v>
      </c>
      <c r="B4580" s="6">
        <v>46204</v>
      </c>
      <c r="C4580" s="8">
        <v>46207</v>
      </c>
      <c r="D4580" s="2" t="s">
        <v>7433</v>
      </c>
      <c r="E4580" s="2" t="s">
        <v>16959</v>
      </c>
      <c r="F4580" s="2" t="s">
        <v>15316</v>
      </c>
      <c r="G4580" s="2" t="s">
        <v>18270</v>
      </c>
      <c r="H4580" s="2" t="s">
        <v>39</v>
      </c>
      <c r="I4580" s="9">
        <v>8351.2654999999995</v>
      </c>
      <c r="J4580" s="7">
        <v>1</v>
      </c>
      <c r="K4580" s="9">
        <v>8351.27</v>
      </c>
      <c r="L4580" s="14">
        <v>0</v>
      </c>
      <c r="M4580" s="2" t="s">
        <v>71</v>
      </c>
      <c r="N4580" s="2" t="s">
        <v>17628</v>
      </c>
      <c r="O4580" s="2" t="s">
        <v>10674</v>
      </c>
      <c r="P4580" s="9">
        <v>0</v>
      </c>
      <c r="Q4580" s="9">
        <v>0</v>
      </c>
      <c r="R4580" s="2"/>
    </row>
    <row r="4581" spans="1:18" x14ac:dyDescent="0.25">
      <c r="A4581" s="2" t="s">
        <v>18271</v>
      </c>
      <c r="B4581" s="6">
        <v>46204</v>
      </c>
      <c r="C4581" s="8">
        <v>46208</v>
      </c>
      <c r="D4581" s="2" t="s">
        <v>7433</v>
      </c>
      <c r="E4581" s="2" t="s">
        <v>16959</v>
      </c>
      <c r="F4581" s="2" t="s">
        <v>15320</v>
      </c>
      <c r="G4581" s="2" t="s">
        <v>18272</v>
      </c>
      <c r="H4581" s="2" t="s">
        <v>76</v>
      </c>
      <c r="I4581" s="9">
        <v>-139832209.67741999</v>
      </c>
      <c r="J4581" s="7">
        <v>6.2000000000000003E-5</v>
      </c>
      <c r="K4581" s="9">
        <v>-8669.6</v>
      </c>
      <c r="L4581" s="14">
        <v>0</v>
      </c>
      <c r="M4581" s="2" t="s">
        <v>71</v>
      </c>
      <c r="N4581" s="2" t="s">
        <v>17628</v>
      </c>
      <c r="O4581" s="2" t="s">
        <v>10679</v>
      </c>
      <c r="P4581" s="9">
        <v>0</v>
      </c>
      <c r="Q4581" s="9">
        <v>0</v>
      </c>
      <c r="R4581" s="2"/>
    </row>
    <row r="4582" spans="1:18" x14ac:dyDescent="0.25">
      <c r="A4582" s="2" t="s">
        <v>18273</v>
      </c>
      <c r="B4582" s="6">
        <v>46204</v>
      </c>
      <c r="C4582" s="8">
        <v>46209</v>
      </c>
      <c r="D4582" s="2" t="s">
        <v>7433</v>
      </c>
      <c r="E4582" s="2" t="s">
        <v>16959</v>
      </c>
      <c r="F4582" s="2" t="s">
        <v>15324</v>
      </c>
      <c r="G4582" s="2" t="s">
        <v>18274</v>
      </c>
      <c r="H4582" s="2" t="s">
        <v>70</v>
      </c>
      <c r="I4582" s="9">
        <v>13659.483281999999</v>
      </c>
      <c r="J4582" s="7">
        <v>0.65800000000000003</v>
      </c>
      <c r="K4582" s="9">
        <v>8987.94</v>
      </c>
      <c r="L4582" s="14">
        <v>0</v>
      </c>
      <c r="M4582" s="2" t="s">
        <v>71</v>
      </c>
      <c r="N4582" s="2" t="s">
        <v>17628</v>
      </c>
      <c r="O4582" s="2" t="s">
        <v>10682</v>
      </c>
      <c r="P4582" s="9">
        <v>0</v>
      </c>
      <c r="Q4582" s="9">
        <v>0</v>
      </c>
      <c r="R4582" s="2"/>
    </row>
    <row r="4583" spans="1:18" x14ac:dyDescent="0.25">
      <c r="A4583" s="2" t="s">
        <v>18275</v>
      </c>
      <c r="B4583" s="6">
        <v>46204</v>
      </c>
      <c r="C4583" s="8">
        <v>46210</v>
      </c>
      <c r="D4583" s="2" t="s">
        <v>7433</v>
      </c>
      <c r="E4583" s="2" t="s">
        <v>16959</v>
      </c>
      <c r="F4583" s="2" t="s">
        <v>15328</v>
      </c>
      <c r="G4583" s="2" t="s">
        <v>18276</v>
      </c>
      <c r="H4583" s="2" t="s">
        <v>39</v>
      </c>
      <c r="I4583" s="9">
        <v>9306.2829999999994</v>
      </c>
      <c r="J4583" s="7">
        <v>1</v>
      </c>
      <c r="K4583" s="9">
        <v>9306.2800000000007</v>
      </c>
      <c r="L4583" s="14">
        <v>0</v>
      </c>
      <c r="M4583" s="2" t="s">
        <v>71</v>
      </c>
      <c r="N4583" s="2" t="s">
        <v>17628</v>
      </c>
      <c r="O4583" s="2" t="s">
        <v>10687</v>
      </c>
      <c r="P4583" s="9">
        <v>0</v>
      </c>
      <c r="Q4583" s="9">
        <v>0</v>
      </c>
      <c r="R4583" s="2"/>
    </row>
    <row r="4584" spans="1:18" x14ac:dyDescent="0.25">
      <c r="A4584" s="2" t="s">
        <v>18277</v>
      </c>
      <c r="B4584" s="6">
        <v>46204</v>
      </c>
      <c r="C4584" s="8">
        <v>46211</v>
      </c>
      <c r="D4584" s="2" t="s">
        <v>7433</v>
      </c>
      <c r="E4584" s="2" t="s">
        <v>16959</v>
      </c>
      <c r="F4584" s="2" t="s">
        <v>15332</v>
      </c>
      <c r="G4584" s="2" t="s">
        <v>18278</v>
      </c>
      <c r="H4584" s="2" t="s">
        <v>76</v>
      </c>
      <c r="I4584" s="9">
        <v>155235717.74193501</v>
      </c>
      <c r="J4584" s="7">
        <v>6.2000000000000003E-5</v>
      </c>
      <c r="K4584" s="9">
        <v>9624.61</v>
      </c>
      <c r="L4584" s="14">
        <v>0</v>
      </c>
      <c r="M4584" s="2" t="s">
        <v>71</v>
      </c>
      <c r="N4584" s="2" t="s">
        <v>17628</v>
      </c>
      <c r="O4584" s="2" t="s">
        <v>10692</v>
      </c>
      <c r="P4584" s="9">
        <v>0</v>
      </c>
      <c r="Q4584" s="9">
        <v>0</v>
      </c>
      <c r="R4584" s="2"/>
    </row>
    <row r="4585" spans="1:18" x14ac:dyDescent="0.25">
      <c r="A4585" s="2" t="s">
        <v>18279</v>
      </c>
      <c r="B4585" s="6">
        <v>46204</v>
      </c>
      <c r="C4585" s="8">
        <v>46212</v>
      </c>
      <c r="D4585" s="2" t="s">
        <v>7433</v>
      </c>
      <c r="E4585" s="2" t="s">
        <v>16959</v>
      </c>
      <c r="F4585" s="2" t="s">
        <v>15336</v>
      </c>
      <c r="G4585" s="2" t="s">
        <v>18280</v>
      </c>
      <c r="H4585" s="2" t="s">
        <v>70</v>
      </c>
      <c r="I4585" s="9">
        <v>15110.87766</v>
      </c>
      <c r="J4585" s="7">
        <v>0.65800000000000003</v>
      </c>
      <c r="K4585" s="9">
        <v>9942.9599999999991</v>
      </c>
      <c r="L4585" s="14">
        <v>0</v>
      </c>
      <c r="M4585" s="2" t="s">
        <v>71</v>
      </c>
      <c r="N4585" s="2" t="s">
        <v>17628</v>
      </c>
      <c r="O4585" s="2" t="s">
        <v>10697</v>
      </c>
      <c r="P4585" s="9">
        <v>0</v>
      </c>
      <c r="Q4585" s="9">
        <v>0</v>
      </c>
      <c r="R4585" s="2"/>
    </row>
    <row r="4586" spans="1:18" x14ac:dyDescent="0.25">
      <c r="A4586" s="2" t="s">
        <v>18281</v>
      </c>
      <c r="B4586" s="6">
        <v>46204</v>
      </c>
      <c r="C4586" s="8">
        <v>46213</v>
      </c>
      <c r="D4586" s="2" t="s">
        <v>7433</v>
      </c>
      <c r="E4586" s="2" t="s">
        <v>16959</v>
      </c>
      <c r="F4586" s="2" t="s">
        <v>15300</v>
      </c>
      <c r="G4586" s="2" t="s">
        <v>18282</v>
      </c>
      <c r="H4586" s="2" t="s">
        <v>39</v>
      </c>
      <c r="I4586" s="9">
        <v>10261.289000000001</v>
      </c>
      <c r="J4586" s="7">
        <v>1</v>
      </c>
      <c r="K4586" s="9">
        <v>10261.290000000001</v>
      </c>
      <c r="L4586" s="14">
        <v>0</v>
      </c>
      <c r="M4586" s="2" t="s">
        <v>71</v>
      </c>
      <c r="N4586" s="2" t="s">
        <v>17628</v>
      </c>
      <c r="O4586" s="2" t="s">
        <v>10702</v>
      </c>
      <c r="P4586" s="9">
        <v>0</v>
      </c>
      <c r="Q4586" s="9">
        <v>0</v>
      </c>
      <c r="R4586" s="2"/>
    </row>
    <row r="4587" spans="1:18" x14ac:dyDescent="0.25">
      <c r="A4587" s="2" t="s">
        <v>18283</v>
      </c>
      <c r="B4587" s="6">
        <v>46204</v>
      </c>
      <c r="C4587" s="8">
        <v>46214</v>
      </c>
      <c r="D4587" s="2" t="s">
        <v>7433</v>
      </c>
      <c r="E4587" s="2" t="s">
        <v>16959</v>
      </c>
      <c r="F4587" s="2" t="s">
        <v>15304</v>
      </c>
      <c r="G4587" s="2" t="s">
        <v>18284</v>
      </c>
      <c r="H4587" s="2" t="s">
        <v>76</v>
      </c>
      <c r="I4587" s="9">
        <v>170639225.80645201</v>
      </c>
      <c r="J4587" s="7">
        <v>6.2000000000000003E-5</v>
      </c>
      <c r="K4587" s="9">
        <v>10579.63</v>
      </c>
      <c r="L4587" s="14">
        <v>0</v>
      </c>
      <c r="M4587" s="2" t="s">
        <v>71</v>
      </c>
      <c r="N4587" s="2" t="s">
        <v>17628</v>
      </c>
      <c r="O4587" s="2" t="s">
        <v>10707</v>
      </c>
      <c r="P4587" s="9">
        <v>0</v>
      </c>
      <c r="Q4587" s="9">
        <v>0</v>
      </c>
      <c r="R4587" s="2"/>
    </row>
    <row r="4588" spans="1:18" x14ac:dyDescent="0.25">
      <c r="A4588" s="2" t="s">
        <v>18285</v>
      </c>
      <c r="B4588" s="6">
        <v>46204</v>
      </c>
      <c r="C4588" s="8">
        <v>46215</v>
      </c>
      <c r="D4588" s="2" t="s">
        <v>7433</v>
      </c>
      <c r="E4588" s="2" t="s">
        <v>16959</v>
      </c>
      <c r="F4588" s="2" t="s">
        <v>15308</v>
      </c>
      <c r="G4588" s="2" t="s">
        <v>18286</v>
      </c>
      <c r="H4588" s="2" t="s">
        <v>70</v>
      </c>
      <c r="I4588" s="9">
        <v>16562.272036999999</v>
      </c>
      <c r="J4588" s="7">
        <v>0.65800000000000003</v>
      </c>
      <c r="K4588" s="9">
        <v>10897.97</v>
      </c>
      <c r="L4588" s="14">
        <v>0</v>
      </c>
      <c r="M4588" s="2" t="s">
        <v>71</v>
      </c>
      <c r="N4588" s="2" t="s">
        <v>17628</v>
      </c>
      <c r="O4588" s="2" t="s">
        <v>10712</v>
      </c>
      <c r="P4588" s="9">
        <v>0</v>
      </c>
      <c r="Q4588" s="9">
        <v>0</v>
      </c>
      <c r="R4588" s="2"/>
    </row>
    <row r="4589" spans="1:18" x14ac:dyDescent="0.25">
      <c r="A4589" s="2" t="s">
        <v>18287</v>
      </c>
      <c r="B4589" s="6">
        <v>46204</v>
      </c>
      <c r="C4589" s="8">
        <v>46216</v>
      </c>
      <c r="D4589" s="2" t="s">
        <v>7433</v>
      </c>
      <c r="E4589" s="2" t="s">
        <v>16959</v>
      </c>
      <c r="F4589" s="2" t="s">
        <v>15312</v>
      </c>
      <c r="G4589" s="2" t="s">
        <v>18288</v>
      </c>
      <c r="H4589" s="2" t="s">
        <v>39</v>
      </c>
      <c r="I4589" s="9">
        <v>11216.306500000001</v>
      </c>
      <c r="J4589" s="7">
        <v>1</v>
      </c>
      <c r="K4589" s="9">
        <v>11216.31</v>
      </c>
      <c r="L4589" s="14">
        <v>0</v>
      </c>
      <c r="M4589" s="2" t="s">
        <v>71</v>
      </c>
      <c r="N4589" s="2" t="s">
        <v>17628</v>
      </c>
      <c r="O4589" s="2" t="s">
        <v>10717</v>
      </c>
      <c r="P4589" s="9">
        <v>0</v>
      </c>
      <c r="Q4589" s="9">
        <v>0</v>
      </c>
      <c r="R4589" s="2"/>
    </row>
    <row r="4590" spans="1:18" x14ac:dyDescent="0.25">
      <c r="A4590" s="2" t="s">
        <v>18289</v>
      </c>
      <c r="B4590" s="6">
        <v>46204</v>
      </c>
      <c r="C4590" s="8">
        <v>46217</v>
      </c>
      <c r="D4590" s="2" t="s">
        <v>7433</v>
      </c>
      <c r="E4590" s="2" t="s">
        <v>16959</v>
      </c>
      <c r="F4590" s="2" t="s">
        <v>15316</v>
      </c>
      <c r="G4590" s="2" t="s">
        <v>18290</v>
      </c>
      <c r="H4590" s="2" t="s">
        <v>76</v>
      </c>
      <c r="I4590" s="9">
        <v>186042733.87096801</v>
      </c>
      <c r="J4590" s="7">
        <v>6.2000000000000003E-5</v>
      </c>
      <c r="K4590" s="9">
        <v>11534.65</v>
      </c>
      <c r="L4590" s="14">
        <v>0</v>
      </c>
      <c r="M4590" s="2" t="s">
        <v>71</v>
      </c>
      <c r="N4590" s="2" t="s">
        <v>17628</v>
      </c>
      <c r="O4590" s="2" t="s">
        <v>10722</v>
      </c>
      <c r="P4590" s="9">
        <v>0</v>
      </c>
      <c r="Q4590" s="9">
        <v>0</v>
      </c>
      <c r="R4590" s="2"/>
    </row>
    <row r="4591" spans="1:18" x14ac:dyDescent="0.25">
      <c r="A4591" s="2" t="s">
        <v>18291</v>
      </c>
      <c r="B4591" s="6">
        <v>46204</v>
      </c>
      <c r="C4591" s="8">
        <v>46218</v>
      </c>
      <c r="D4591" s="2" t="s">
        <v>7433</v>
      </c>
      <c r="E4591" s="2" t="s">
        <v>16959</v>
      </c>
      <c r="F4591" s="2" t="s">
        <v>15320</v>
      </c>
      <c r="G4591" s="2" t="s">
        <v>18292</v>
      </c>
      <c r="H4591" s="2" t="s">
        <v>70</v>
      </c>
      <c r="I4591" s="9">
        <v>18013.648936000001</v>
      </c>
      <c r="J4591" s="7">
        <v>0.65800000000000003</v>
      </c>
      <c r="K4591" s="9">
        <v>11852.98</v>
      </c>
      <c r="L4591" s="14">
        <v>0</v>
      </c>
      <c r="M4591" s="2" t="s">
        <v>71</v>
      </c>
      <c r="N4591" s="2" t="s">
        <v>17628</v>
      </c>
      <c r="O4591" s="2" t="s">
        <v>10727</v>
      </c>
      <c r="P4591" s="9">
        <v>0</v>
      </c>
      <c r="Q4591" s="9">
        <v>0</v>
      </c>
      <c r="R4591" s="2"/>
    </row>
    <row r="4592" spans="1:18" x14ac:dyDescent="0.25">
      <c r="A4592" s="2" t="s">
        <v>173</v>
      </c>
      <c r="B4592" s="6">
        <v>46204</v>
      </c>
      <c r="C4592" s="8">
        <v>46234</v>
      </c>
      <c r="D4592" s="2" t="s">
        <v>136</v>
      </c>
      <c r="E4592" s="2" t="s">
        <v>16662</v>
      </c>
      <c r="F4592" s="2" t="s">
        <v>16663</v>
      </c>
      <c r="G4592" s="2" t="s">
        <v>18293</v>
      </c>
      <c r="H4592" s="2" t="s">
        <v>70</v>
      </c>
      <c r="I4592" s="9">
        <v>3652540.786421</v>
      </c>
      <c r="J4592" s="7">
        <v>0.65800000000000003</v>
      </c>
      <c r="K4592" s="9">
        <v>2403371.84</v>
      </c>
      <c r="L4592" s="14">
        <v>813.59913252040838</v>
      </c>
      <c r="M4592" s="2" t="s">
        <v>71</v>
      </c>
      <c r="N4592" s="2" t="s">
        <v>16674</v>
      </c>
      <c r="O4592" s="2" t="s">
        <v>18294</v>
      </c>
      <c r="P4592" s="9">
        <v>0</v>
      </c>
      <c r="Q4592" s="9">
        <v>0</v>
      </c>
      <c r="R4592" s="2"/>
    </row>
  </sheetData>
  <pageMargins left="0.75" right="0.75" top="1" bottom="1" header="0.5" footer="0.5"/>
  <pageSetup paperSize="8" fitToHeight="0" orientation="landscape"/>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20</vt:i4>
      </vt:variant>
    </vt:vector>
  </HeadingPairs>
  <TitlesOfParts>
    <vt:vector size="40" baseType="lpstr">
      <vt:lpstr>Guide</vt:lpstr>
      <vt:lpstr>Model_Rules</vt:lpstr>
      <vt:lpstr>Assumptions</vt:lpstr>
      <vt:lpstr>Period_Status</vt:lpstr>
      <vt:lpstr>Settlement_Schedule</vt:lpstr>
      <vt:lpstr>Settlement_Bridge</vt:lpstr>
      <vt:lpstr>Budget</vt:lpstr>
      <vt:lpstr>Actuals_to_July</vt:lpstr>
      <vt:lpstr>Forecast_Drivers</vt:lpstr>
      <vt:lpstr>Gold_Stock</vt:lpstr>
      <vt:lpstr>Revenue</vt:lpstr>
      <vt:lpstr>Operating_Costs</vt:lpstr>
      <vt:lpstr>Capex</vt:lpstr>
      <vt:lpstr>Cashflow</vt:lpstr>
      <vt:lpstr>Management_View</vt:lpstr>
      <vt:lpstr>Controls</vt:lpstr>
      <vt:lpstr>Source_Index</vt:lpstr>
      <vt:lpstr>Change_Log</vt:lpstr>
      <vt:lpstr>Data_Dictionary</vt:lpstr>
      <vt:lpstr>Source_Detail</vt:lpstr>
      <vt:lpstr>Actuals_to_July!Print_Titles</vt:lpstr>
      <vt:lpstr>Assumptions!Print_Titles</vt:lpstr>
      <vt:lpstr>Budget!Print_Titles</vt:lpstr>
      <vt:lpstr>Capex!Print_Titles</vt:lpstr>
      <vt:lpstr>Cashflow!Print_Titles</vt:lpstr>
      <vt:lpstr>Change_Log!Print_Titles</vt:lpstr>
      <vt:lpstr>Controls!Print_Titles</vt:lpstr>
      <vt:lpstr>Data_Dictionary!Print_Titles</vt:lpstr>
      <vt:lpstr>Forecast_Drivers!Print_Titles</vt:lpstr>
      <vt:lpstr>Gold_Stock!Print_Titles</vt:lpstr>
      <vt:lpstr>Guide!Print_Titles</vt:lpstr>
      <vt:lpstr>Management_View!Print_Titles</vt:lpstr>
      <vt:lpstr>Model_Rules!Print_Titles</vt:lpstr>
      <vt:lpstr>Operating_Costs!Print_Titles</vt:lpstr>
      <vt:lpstr>Period_Status!Print_Titles</vt:lpstr>
      <vt:lpstr>Revenue!Print_Titles</vt:lpstr>
      <vt:lpstr>Settlement_Bridge!Print_Titles</vt:lpstr>
      <vt:lpstr>Settlement_Schedule!Print_Titles</vt:lpstr>
      <vt:lpstr>Source_Detail!Print_Titles</vt:lpstr>
      <vt:lpstr>Source_Index!Print_Titles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Original synthetic mining management finance training</dc:title>
  <dc:creator>Contoso Minerals Group | Synthetic Training</dc:creator>
  <dc:description>Fictional. No customer documents. Not audited statutory financial statements.</dc:description>
  <cp:lastModifiedBy>Contoso Minerals Group | Synthetic Training</cp:lastModifiedBy>
  <dcterms:created xsi:type="dcterms:W3CDTF">2026-09-10T12:00:00Z</dcterms:created>
  <dcterms:modified xsi:type="dcterms:W3CDTF">2026-09-10T13:12:43Z</dcterms:modified>
</cp:coreProperties>
</file>